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defaultThemeVersion="202300"/>
  <mc:AlternateContent xmlns:mc="http://schemas.openxmlformats.org/markup-compatibility/2006">
    <mc:Choice Requires="x15">
      <x15ac:absPath xmlns:x15ac="http://schemas.microsoft.com/office/spreadsheetml/2010/11/ac" url="H:\Products\Gasoline\"/>
    </mc:Choice>
  </mc:AlternateContent>
  <xr:revisionPtr revIDLastSave="0" documentId="13_ncr:1_{31A9837A-A610-454F-9764-974F24031E1E}" xr6:coauthVersionLast="47" xr6:coauthVersionMax="47" xr10:uidLastSave="{00000000-0000-0000-0000-000000000000}"/>
  <bookViews>
    <workbookView xWindow="28680" yWindow="-120" windowWidth="29040" windowHeight="15720" xr2:uid="{DAEE1FAE-5303-45C8-BAE8-550C3059A55F}"/>
  </bookViews>
  <sheets>
    <sheet name="Sheet1" sheetId="1" r:id="rId1"/>
  </sheets>
  <externalReferences>
    <externalReference r:id="rId2"/>
    <externalReference r:id="rId3"/>
    <externalReference r:id="rId4"/>
  </externalReferenc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740" i="1" l="1" a="1"/>
  <c r="H2740" i="1" s="1"/>
  <c r="H2741" i="1" a="1"/>
  <c r="H2741" i="1" s="1"/>
  <c r="H2742" i="1" a="1"/>
  <c r="H2742" i="1" s="1"/>
  <c r="H2743" i="1" a="1"/>
  <c r="H2743" i="1" s="1"/>
  <c r="H2744" i="1" a="1"/>
  <c r="H2744" i="1" s="1"/>
  <c r="H2745" i="1" a="1"/>
  <c r="H2745" i="1" s="1"/>
  <c r="H2746" i="1" a="1"/>
  <c r="H2746" i="1" s="1"/>
  <c r="H2747" i="1" a="1"/>
  <c r="H2747" i="1" s="1"/>
  <c r="A2747" i="1"/>
  <c r="G2747" i="1" s="1" a="1"/>
  <c r="G2747" i="1" s="1"/>
  <c r="I2747" i="1"/>
  <c r="J2747" i="1" a="1"/>
  <c r="J2747" i="1" s="1"/>
  <c r="L2747" i="1"/>
  <c r="M2747" i="1" a="1"/>
  <c r="M2747" i="1" s="1"/>
  <c r="N2747" i="1" a="1"/>
  <c r="N2747" i="1" s="1"/>
  <c r="A2746" i="1"/>
  <c r="K2747" i="1" l="1" a="1"/>
  <c r="K2747" i="1" s="1"/>
  <c r="N2746" i="1" a="1"/>
  <c r="N2746" i="1" s="1"/>
  <c r="M2746" i="1" a="1"/>
  <c r="M2746" i="1" s="1"/>
  <c r="K2746" i="1" a="1"/>
  <c r="K2746" i="1" s="1"/>
  <c r="I2746" i="1"/>
  <c r="G2746" i="1" a="1"/>
  <c r="G2746" i="1" s="1"/>
  <c r="L2746" i="1"/>
  <c r="J2746" i="1" a="1"/>
  <c r="J2746" i="1" s="1"/>
  <c r="A2745" i="1"/>
  <c r="N2745" i="1" l="1" a="1"/>
  <c r="N2745" i="1" s="1"/>
  <c r="M2745" i="1" a="1"/>
  <c r="M2745" i="1" s="1"/>
  <c r="J2745" i="1" a="1"/>
  <c r="J2745" i="1" s="1"/>
  <c r="L2745" i="1"/>
  <c r="K2745" i="1" a="1"/>
  <c r="K2745" i="1" s="1"/>
  <c r="G2745" i="1" a="1"/>
  <c r="G2745" i="1" s="1"/>
  <c r="A2744" i="1" l="1"/>
  <c r="N2744" i="1" l="1" a="1"/>
  <c r="N2744" i="1" s="1"/>
  <c r="M2744" i="1" a="1"/>
  <c r="M2744" i="1" s="1"/>
  <c r="J2744" i="1" a="1"/>
  <c r="J2744" i="1" s="1"/>
  <c r="L2744" i="1"/>
  <c r="K2744" i="1" a="1"/>
  <c r="K2744" i="1" s="1"/>
  <c r="G2744" i="1" a="1"/>
  <c r="G2744" i="1" s="1"/>
  <c r="A2743" i="1" l="1"/>
  <c r="N2743" i="1" l="1" a="1"/>
  <c r="N2743" i="1" s="1"/>
  <c r="M2743" i="1" a="1"/>
  <c r="M2743" i="1" s="1"/>
  <c r="J2743" i="1" a="1"/>
  <c r="J2743" i="1" s="1"/>
  <c r="L2743" i="1"/>
  <c r="K2743" i="1" a="1"/>
  <c r="K2743" i="1" s="1"/>
  <c r="A2742" i="1"/>
  <c r="G2743" i="1" a="1"/>
  <c r="G2743" i="1" s="1"/>
  <c r="N2742" i="1" l="1" a="1"/>
  <c r="N2742" i="1" s="1"/>
  <c r="M2742" i="1" a="1"/>
  <c r="M2742" i="1" s="1"/>
  <c r="J2742" i="1" a="1"/>
  <c r="J2742" i="1" s="1"/>
  <c r="L2742" i="1"/>
  <c r="K2742" i="1" a="1"/>
  <c r="K2742" i="1" s="1"/>
  <c r="G2742" i="1" a="1"/>
  <c r="G2742" i="1" s="1"/>
  <c r="A2741" i="1" l="1"/>
  <c r="A2740" i="1"/>
  <c r="N2740" i="1" l="1" a="1"/>
  <c r="N2740" i="1" s="1"/>
  <c r="M2740" i="1" a="1"/>
  <c r="M2740" i="1" s="1"/>
  <c r="N2741" i="1" a="1"/>
  <c r="N2741" i="1" s="1"/>
  <c r="M2741" i="1" a="1"/>
  <c r="M2741" i="1" s="1"/>
  <c r="J2740" i="1" a="1"/>
  <c r="J2740" i="1" s="1"/>
  <c r="L2740" i="1"/>
  <c r="K2740" i="1" a="1"/>
  <c r="K2740" i="1" s="1"/>
  <c r="J2741" i="1" a="1"/>
  <c r="J2741" i="1" s="1"/>
  <c r="L2741" i="1"/>
  <c r="K2741" i="1" a="1"/>
  <c r="K2741" i="1" s="1"/>
  <c r="A2739" i="1"/>
  <c r="G2740" i="1" a="1"/>
  <c r="G2740" i="1" s="1"/>
  <c r="G2741" i="1" a="1"/>
  <c r="G2741" i="1" s="1"/>
  <c r="N2739" i="1" l="1" a="1"/>
  <c r="N2739" i="1" s="1"/>
  <c r="M2739" i="1" a="1"/>
  <c r="M2739" i="1" s="1"/>
  <c r="J2739" i="1" a="1"/>
  <c r="J2739" i="1" s="1"/>
  <c r="L2739" i="1"/>
  <c r="K2739" i="1" a="1"/>
  <c r="K2739" i="1" s="1"/>
  <c r="H2739" i="1" a="1"/>
  <c r="H2739" i="1" s="1"/>
  <c r="G2739" i="1" a="1"/>
  <c r="G2739" i="1" s="1"/>
  <c r="A2738" i="1" l="1"/>
  <c r="N2738" i="1" l="1" a="1"/>
  <c r="N2738" i="1" s="1"/>
  <c r="M2738" i="1" a="1"/>
  <c r="M2738" i="1" s="1"/>
  <c r="J2738" i="1" a="1"/>
  <c r="J2738" i="1" s="1"/>
  <c r="L2738" i="1"/>
  <c r="K2738" i="1" a="1"/>
  <c r="K2738" i="1" s="1"/>
  <c r="H2738" i="1" a="1"/>
  <c r="H2738" i="1" s="1"/>
  <c r="G2738" i="1" a="1"/>
  <c r="G2738" i="1" s="1"/>
  <c r="A2737" i="1" l="1"/>
  <c r="N2737" i="1" l="1" a="1"/>
  <c r="N2737" i="1" s="1"/>
  <c r="M2737" i="1" a="1"/>
  <c r="M2737" i="1" s="1"/>
  <c r="J2737" i="1" a="1"/>
  <c r="J2737" i="1" s="1"/>
  <c r="L2737" i="1"/>
  <c r="K2737" i="1" a="1"/>
  <c r="K2737" i="1" s="1"/>
  <c r="H2737" i="1" a="1"/>
  <c r="H2737" i="1" s="1"/>
  <c r="G2737" i="1" a="1"/>
  <c r="G2737" i="1" s="1"/>
  <c r="A2736" i="1" l="1"/>
  <c r="N2736" i="1" l="1" a="1"/>
  <c r="N2736" i="1" s="1"/>
  <c r="M2736" i="1" a="1"/>
  <c r="M2736" i="1" s="1"/>
  <c r="J2736" i="1" a="1"/>
  <c r="J2736" i="1" s="1"/>
  <c r="L2736" i="1"/>
  <c r="K2736" i="1" a="1"/>
  <c r="K2736" i="1" s="1"/>
  <c r="H2736" i="1" a="1"/>
  <c r="H2736" i="1" s="1"/>
  <c r="G2736" i="1" a="1"/>
  <c r="G2736" i="1" s="1"/>
  <c r="A2735" i="1" l="1"/>
  <c r="N2735" i="1" l="1" a="1"/>
  <c r="N2735" i="1" s="1"/>
  <c r="M2735" i="1" a="1"/>
  <c r="M2735" i="1" s="1"/>
  <c r="J2735" i="1" a="1"/>
  <c r="J2735" i="1" s="1"/>
  <c r="L2735" i="1"/>
  <c r="K2735" i="1" a="1"/>
  <c r="K2735" i="1" s="1"/>
  <c r="H2735" i="1" a="1"/>
  <c r="H2735" i="1" s="1"/>
  <c r="G2735" i="1" a="1"/>
  <c r="G2735" i="1" s="1"/>
  <c r="A2734" i="1" l="1"/>
  <c r="N2734" i="1" l="1" a="1"/>
  <c r="N2734" i="1" s="1"/>
  <c r="M2734" i="1" a="1"/>
  <c r="M2734" i="1" s="1"/>
  <c r="J2734" i="1" a="1"/>
  <c r="J2734" i="1" s="1"/>
  <c r="L2734" i="1"/>
  <c r="K2734" i="1" a="1"/>
  <c r="K2734" i="1" s="1"/>
  <c r="H2734" i="1" a="1"/>
  <c r="H2734" i="1" s="1"/>
  <c r="G2734" i="1" a="1"/>
  <c r="G2734" i="1" s="1"/>
  <c r="A2733" i="1" l="1"/>
  <c r="N2733" i="1" l="1" a="1"/>
  <c r="N2733" i="1" s="1"/>
  <c r="M2733" i="1" a="1"/>
  <c r="M2733" i="1" s="1"/>
  <c r="J2733" i="1" a="1"/>
  <c r="J2733" i="1" s="1"/>
  <c r="L2733" i="1"/>
  <c r="K2733" i="1" a="1"/>
  <c r="K2733" i="1" s="1"/>
  <c r="H2733" i="1" a="1"/>
  <c r="H2733" i="1" s="1"/>
  <c r="G2733" i="1" a="1"/>
  <c r="G2733" i="1" s="1"/>
  <c r="A2732" i="1" l="1"/>
  <c r="N2732" i="1" l="1" a="1"/>
  <c r="N2732" i="1" s="1"/>
  <c r="M2732" i="1" a="1"/>
  <c r="M2732" i="1" s="1"/>
  <c r="J2732" i="1" a="1"/>
  <c r="J2732" i="1" s="1"/>
  <c r="L2732" i="1"/>
  <c r="K2732" i="1" a="1"/>
  <c r="K2732" i="1" s="1"/>
  <c r="H2732" i="1" a="1"/>
  <c r="H2732" i="1" s="1"/>
  <c r="G2732" i="1" a="1"/>
  <c r="G2732" i="1" s="1"/>
  <c r="A2731" i="1" l="1"/>
  <c r="N2731" i="1" l="1" a="1"/>
  <c r="N2731" i="1" s="1"/>
  <c r="M2731" i="1" a="1"/>
  <c r="M2731" i="1" s="1"/>
  <c r="J2731" i="1" a="1"/>
  <c r="J2731" i="1" s="1"/>
  <c r="L2731" i="1"/>
  <c r="K2731" i="1" a="1"/>
  <c r="K2731" i="1" s="1"/>
  <c r="H2731" i="1" a="1"/>
  <c r="H2731" i="1" s="1"/>
  <c r="G2731" i="1" a="1"/>
  <c r="G2731" i="1" s="1"/>
  <c r="A2730" i="1" l="1"/>
  <c r="N2730" i="1" l="1" a="1"/>
  <c r="N2730" i="1" s="1"/>
  <c r="M2730" i="1" a="1"/>
  <c r="M2730" i="1" s="1"/>
  <c r="J2730" i="1" a="1"/>
  <c r="J2730" i="1" s="1"/>
  <c r="L2730" i="1"/>
  <c r="K2730" i="1" a="1"/>
  <c r="K2730" i="1" s="1"/>
  <c r="H2730" i="1" a="1"/>
  <c r="H2730" i="1" s="1"/>
  <c r="G2730" i="1" a="1"/>
  <c r="G2730" i="1" s="1"/>
  <c r="A2729" i="1" l="1"/>
  <c r="N2729" i="1" l="1" a="1"/>
  <c r="N2729" i="1" s="1"/>
  <c r="M2729" i="1" a="1"/>
  <c r="M2729" i="1" s="1"/>
  <c r="J2729" i="1" a="1"/>
  <c r="J2729" i="1" s="1"/>
  <c r="L2729" i="1"/>
  <c r="K2729" i="1" a="1"/>
  <c r="K2729" i="1" s="1"/>
  <c r="H2729" i="1" a="1"/>
  <c r="H2729" i="1" s="1"/>
  <c r="G2729" i="1" a="1"/>
  <c r="G2729" i="1" s="1"/>
  <c r="A2727" i="1" l="1"/>
  <c r="A2726" i="1"/>
  <c r="A2728" i="1"/>
  <c r="N2728" i="1" l="1" a="1"/>
  <c r="N2728" i="1" s="1"/>
  <c r="M2728" i="1" a="1"/>
  <c r="M2728" i="1" s="1"/>
  <c r="N2727" i="1" a="1"/>
  <c r="N2727" i="1" s="1"/>
  <c r="M2727" i="1" a="1"/>
  <c r="M2727" i="1" s="1"/>
  <c r="N2726" i="1" a="1"/>
  <c r="N2726" i="1" s="1"/>
  <c r="M2726" i="1" a="1"/>
  <c r="M2726" i="1" s="1"/>
  <c r="J2728" i="1" a="1"/>
  <c r="J2728" i="1" s="1"/>
  <c r="L2728" i="1"/>
  <c r="K2728" i="1" a="1"/>
  <c r="K2728" i="1" s="1"/>
  <c r="J2726" i="1" a="1"/>
  <c r="J2726" i="1" s="1"/>
  <c r="L2726" i="1"/>
  <c r="K2726" i="1" a="1"/>
  <c r="K2726" i="1" s="1"/>
  <c r="J2727" i="1" a="1"/>
  <c r="J2727" i="1" s="1"/>
  <c r="L2727" i="1"/>
  <c r="K2727" i="1" a="1"/>
  <c r="K2727" i="1" s="1"/>
  <c r="A2724" i="1"/>
  <c r="A2725" i="1"/>
  <c r="H2728" i="1" a="1"/>
  <c r="H2728" i="1" s="1"/>
  <c r="G2728" i="1" a="1"/>
  <c r="G2728" i="1" s="1"/>
  <c r="H2726" i="1" a="1"/>
  <c r="H2726" i="1" s="1"/>
  <c r="G2726" i="1" a="1"/>
  <c r="G2726" i="1" s="1"/>
  <c r="H2727" i="1" a="1"/>
  <c r="H2727" i="1" s="1"/>
  <c r="G2727" i="1" a="1"/>
  <c r="G2727" i="1" s="1"/>
  <c r="A2722" i="1"/>
  <c r="N2725" i="1" l="1" a="1"/>
  <c r="N2725" i="1" s="1"/>
  <c r="M2725" i="1" a="1"/>
  <c r="M2725" i="1" s="1"/>
  <c r="N2724" i="1" a="1"/>
  <c r="N2724" i="1" s="1"/>
  <c r="M2724" i="1" a="1"/>
  <c r="M2724" i="1" s="1"/>
  <c r="N2722" i="1" a="1"/>
  <c r="N2722" i="1" s="1"/>
  <c r="M2722" i="1" a="1"/>
  <c r="M2722" i="1" s="1"/>
  <c r="J2722" i="1" a="1"/>
  <c r="J2722" i="1" s="1"/>
  <c r="L2722" i="1"/>
  <c r="K2722" i="1" a="1"/>
  <c r="K2722" i="1" s="1"/>
  <c r="J2725" i="1" a="1"/>
  <c r="J2725" i="1" s="1"/>
  <c r="L2725" i="1"/>
  <c r="K2725" i="1" a="1"/>
  <c r="K2725" i="1" s="1"/>
  <c r="J2724" i="1" a="1"/>
  <c r="J2724" i="1" s="1"/>
  <c r="L2724" i="1"/>
  <c r="K2724" i="1" a="1"/>
  <c r="K2724" i="1" s="1"/>
  <c r="H2725" i="1" a="1"/>
  <c r="H2725" i="1" s="1"/>
  <c r="G2725" i="1" a="1"/>
  <c r="G2725" i="1" s="1"/>
  <c r="H2722" i="1" a="1"/>
  <c r="H2722" i="1" s="1"/>
  <c r="G2722" i="1" a="1"/>
  <c r="G2722" i="1" s="1"/>
  <c r="A2723" i="1"/>
  <c r="H2724" i="1" a="1"/>
  <c r="H2724" i="1" s="1"/>
  <c r="G2724" i="1" a="1"/>
  <c r="G2724" i="1" s="1"/>
  <c r="N2723" i="1" l="1" a="1"/>
  <c r="N2723" i="1" s="1"/>
  <c r="M2723" i="1" a="1"/>
  <c r="M2723" i="1" s="1"/>
  <c r="J2723" i="1" a="1"/>
  <c r="J2723" i="1" s="1"/>
  <c r="L2723" i="1"/>
  <c r="K2723" i="1" a="1"/>
  <c r="K2723" i="1" s="1"/>
  <c r="H2723" i="1" a="1"/>
  <c r="H2723" i="1" s="1"/>
  <c r="G2723" i="1" a="1"/>
  <c r="G2723" i="1" s="1"/>
  <c r="A2721" i="1" l="1"/>
  <c r="N2721" i="1" l="1" a="1"/>
  <c r="N2721" i="1" s="1"/>
  <c r="M2721" i="1" a="1"/>
  <c r="M2721" i="1" s="1"/>
  <c r="J2721" i="1" a="1"/>
  <c r="J2721" i="1" s="1"/>
  <c r="L2721" i="1"/>
  <c r="K2721" i="1" a="1"/>
  <c r="K2721" i="1" s="1"/>
  <c r="H2721" i="1" a="1"/>
  <c r="H2721" i="1" s="1"/>
  <c r="G2721" i="1" a="1"/>
  <c r="G2721" i="1" s="1"/>
  <c r="A2720" i="1" l="1"/>
  <c r="N2720" i="1" l="1" a="1"/>
  <c r="N2720" i="1" s="1"/>
  <c r="M2720" i="1" a="1"/>
  <c r="M2720" i="1" s="1"/>
  <c r="J2720" i="1" a="1"/>
  <c r="J2720" i="1" s="1"/>
  <c r="L2720" i="1"/>
  <c r="K2720" i="1" a="1"/>
  <c r="K2720" i="1" s="1"/>
  <c r="H2720" i="1" a="1"/>
  <c r="H2720" i="1" s="1"/>
  <c r="G2720" i="1" a="1"/>
  <c r="G2720" i="1" s="1"/>
  <c r="A2719" i="1" l="1"/>
  <c r="N2719" i="1" l="1" a="1"/>
  <c r="N2719" i="1" s="1"/>
  <c r="M2719" i="1" a="1"/>
  <c r="M2719" i="1" s="1"/>
  <c r="J2719" i="1" a="1"/>
  <c r="J2719" i="1" s="1"/>
  <c r="L2719" i="1"/>
  <c r="K2719" i="1" a="1"/>
  <c r="K2719" i="1" s="1"/>
  <c r="H2719" i="1" a="1"/>
  <c r="H2719" i="1" s="1"/>
  <c r="G2719" i="1" a="1"/>
  <c r="G2719" i="1" s="1"/>
  <c r="A2718" i="1"/>
  <c r="N2718" i="1" l="1" a="1"/>
  <c r="N2718" i="1" s="1"/>
  <c r="M2718" i="1" a="1"/>
  <c r="M2718" i="1" s="1"/>
  <c r="J2718" i="1" a="1"/>
  <c r="J2718" i="1" s="1"/>
  <c r="L2718" i="1"/>
  <c r="K2718" i="1" a="1"/>
  <c r="K2718" i="1" s="1"/>
  <c r="H2718" i="1" a="1"/>
  <c r="H2718" i="1" s="1"/>
  <c r="G2718" i="1" a="1"/>
  <c r="G2718" i="1" s="1"/>
  <c r="A2717" i="1" l="1"/>
  <c r="N2717" i="1" l="1" a="1"/>
  <c r="N2717" i="1" s="1"/>
  <c r="M2717" i="1" a="1"/>
  <c r="M2717" i="1" s="1"/>
  <c r="J2717" i="1" a="1"/>
  <c r="J2717" i="1" s="1"/>
  <c r="L2717" i="1"/>
  <c r="K2717" i="1" a="1"/>
  <c r="K2717" i="1" s="1"/>
  <c r="H2717" i="1" a="1"/>
  <c r="H2717" i="1" s="1"/>
  <c r="G2717" i="1" a="1"/>
  <c r="G2717" i="1" s="1"/>
  <c r="A2716" i="1" l="1"/>
  <c r="N2716" i="1" l="1" a="1"/>
  <c r="N2716" i="1" s="1"/>
  <c r="M2716" i="1" a="1"/>
  <c r="M2716" i="1" s="1"/>
  <c r="J2716" i="1" a="1"/>
  <c r="J2716" i="1" s="1"/>
  <c r="L2716" i="1"/>
  <c r="K2716" i="1" a="1"/>
  <c r="K2716" i="1" s="1"/>
  <c r="H2716" i="1" a="1"/>
  <c r="H2716" i="1" s="1"/>
  <c r="G2716" i="1" a="1"/>
  <c r="G2716" i="1" s="1"/>
  <c r="A2715" i="1" l="1"/>
  <c r="N2715" i="1" l="1" a="1"/>
  <c r="N2715" i="1" s="1"/>
  <c r="M2715" i="1" a="1"/>
  <c r="M2715" i="1" s="1"/>
  <c r="J2715" i="1" a="1"/>
  <c r="J2715" i="1" s="1"/>
  <c r="L2715" i="1"/>
  <c r="K2715" i="1" a="1"/>
  <c r="K2715" i="1" s="1"/>
  <c r="H2715" i="1" a="1"/>
  <c r="H2715" i="1" s="1"/>
  <c r="G2715" i="1" a="1"/>
  <c r="G2715" i="1" s="1"/>
  <c r="A2714" i="1" l="1"/>
  <c r="N2714" i="1" l="1" a="1"/>
  <c r="N2714" i="1" s="1"/>
  <c r="M2714" i="1" a="1"/>
  <c r="M2714" i="1" s="1"/>
  <c r="J2714" i="1" a="1"/>
  <c r="J2714" i="1" s="1"/>
  <c r="L2714" i="1"/>
  <c r="K2714" i="1" a="1"/>
  <c r="K2714" i="1" s="1"/>
  <c r="H2714" i="1" a="1"/>
  <c r="H2714" i="1" s="1"/>
  <c r="G2714" i="1" a="1"/>
  <c r="G2714" i="1" s="1"/>
  <c r="A2713" i="1" l="1"/>
  <c r="N2713" i="1" l="1" a="1"/>
  <c r="N2713" i="1" s="1"/>
  <c r="M2713" i="1" a="1"/>
  <c r="M2713" i="1" s="1"/>
  <c r="J2713" i="1" a="1"/>
  <c r="J2713" i="1" s="1"/>
  <c r="L2713" i="1"/>
  <c r="K2713" i="1" a="1"/>
  <c r="K2713" i="1" s="1"/>
  <c r="H2713" i="1" a="1"/>
  <c r="H2713" i="1" s="1"/>
  <c r="G2713" i="1" a="1"/>
  <c r="G2713" i="1" s="1"/>
  <c r="A2712" i="1" l="1"/>
  <c r="A2711" i="1"/>
  <c r="N2711" i="1" l="1" a="1"/>
  <c r="N2711" i="1" s="1"/>
  <c r="M2711" i="1" a="1"/>
  <c r="M2711" i="1" s="1"/>
  <c r="N2712" i="1" a="1"/>
  <c r="N2712" i="1" s="1"/>
  <c r="M2712" i="1" a="1"/>
  <c r="M2712" i="1" s="1"/>
  <c r="J2711" i="1" a="1"/>
  <c r="J2711" i="1" s="1"/>
  <c r="L2711" i="1"/>
  <c r="K2711" i="1" a="1"/>
  <c r="K2711" i="1" s="1"/>
  <c r="J2712" i="1" a="1"/>
  <c r="J2712" i="1" s="1"/>
  <c r="L2712" i="1"/>
  <c r="K2712" i="1" a="1"/>
  <c r="K2712" i="1" s="1"/>
  <c r="H2711" i="1" a="1"/>
  <c r="H2711" i="1" s="1"/>
  <c r="G2711" i="1" a="1"/>
  <c r="G2711" i="1" s="1"/>
  <c r="H2712" i="1" a="1"/>
  <c r="H2712" i="1" s="1"/>
  <c r="G2712" i="1" a="1"/>
  <c r="G2712" i="1" s="1"/>
  <c r="A2710" i="1" l="1"/>
  <c r="N2710" i="1" l="1" a="1"/>
  <c r="N2710" i="1" s="1"/>
  <c r="M2710" i="1" a="1"/>
  <c r="M2710" i="1" s="1"/>
  <c r="J2710" i="1" a="1"/>
  <c r="J2710" i="1" s="1"/>
  <c r="L2710" i="1"/>
  <c r="K2710" i="1" a="1"/>
  <c r="K2710" i="1" s="1"/>
  <c r="H2710" i="1" a="1"/>
  <c r="H2710" i="1" s="1"/>
  <c r="G2710" i="1" a="1"/>
  <c r="G2710" i="1" s="1"/>
  <c r="A2709" i="1" l="1"/>
  <c r="N2709" i="1" l="1" a="1"/>
  <c r="N2709" i="1" s="1"/>
  <c r="M2709" i="1" a="1"/>
  <c r="M2709" i="1" s="1"/>
  <c r="J2709" i="1" a="1"/>
  <c r="J2709" i="1" s="1"/>
  <c r="L2709" i="1"/>
  <c r="K2709" i="1" a="1"/>
  <c r="K2709" i="1" s="1"/>
  <c r="H2709" i="1" a="1"/>
  <c r="H2709" i="1" s="1"/>
  <c r="G2709" i="1" a="1"/>
  <c r="G2709" i="1" s="1"/>
  <c r="A2708" i="1" l="1"/>
  <c r="N2708" i="1" l="1" a="1"/>
  <c r="N2708" i="1" s="1"/>
  <c r="M2708" i="1" a="1"/>
  <c r="M2708" i="1" s="1"/>
  <c r="J2708" i="1" a="1"/>
  <c r="J2708" i="1" s="1"/>
  <c r="L2708" i="1"/>
  <c r="K2708" i="1" a="1"/>
  <c r="K2708" i="1" s="1"/>
  <c r="H2708" i="1" a="1"/>
  <c r="H2708" i="1" s="1"/>
  <c r="G2708" i="1" a="1"/>
  <c r="G2708" i="1" s="1"/>
  <c r="A2707" i="1" l="1"/>
  <c r="A2706" i="1"/>
  <c r="N2706" i="1" l="1" a="1"/>
  <c r="N2706" i="1" s="1"/>
  <c r="M2706" i="1" a="1"/>
  <c r="M2706" i="1" s="1"/>
  <c r="N2707" i="1" a="1"/>
  <c r="N2707" i="1" s="1"/>
  <c r="M2707" i="1" a="1"/>
  <c r="M2707" i="1" s="1"/>
  <c r="J2706" i="1" a="1"/>
  <c r="J2706" i="1" s="1"/>
  <c r="L2706" i="1"/>
  <c r="K2706" i="1" a="1"/>
  <c r="K2706" i="1" s="1"/>
  <c r="J2707" i="1" a="1"/>
  <c r="J2707" i="1" s="1"/>
  <c r="L2707" i="1"/>
  <c r="K2707" i="1" a="1"/>
  <c r="K2707" i="1" s="1"/>
  <c r="H2706" i="1" a="1"/>
  <c r="H2706" i="1" s="1"/>
  <c r="G2706" i="1" a="1"/>
  <c r="G2706" i="1" s="1"/>
  <c r="H2707" i="1" a="1"/>
  <c r="H2707" i="1" s="1"/>
  <c r="G2707" i="1" a="1"/>
  <c r="G2707" i="1" s="1"/>
  <c r="A2705" i="1" l="1"/>
  <c r="N2705" i="1" l="1" a="1"/>
  <c r="N2705" i="1" s="1"/>
  <c r="M2705" i="1" a="1"/>
  <c r="M2705" i="1" s="1"/>
  <c r="J2705" i="1" a="1"/>
  <c r="J2705" i="1" s="1"/>
  <c r="L2705" i="1"/>
  <c r="K2705" i="1" a="1"/>
  <c r="K2705" i="1" s="1"/>
  <c r="A2704" i="1"/>
  <c r="A2703" i="1"/>
  <c r="H2705" i="1" a="1"/>
  <c r="H2705" i="1" s="1"/>
  <c r="G2705" i="1" a="1"/>
  <c r="G2705" i="1" s="1"/>
  <c r="N2703" i="1" l="1" a="1"/>
  <c r="N2703" i="1" s="1"/>
  <c r="M2703" i="1" a="1"/>
  <c r="M2703" i="1" s="1"/>
  <c r="N2704" i="1" a="1"/>
  <c r="N2704" i="1" s="1"/>
  <c r="M2704" i="1" a="1"/>
  <c r="M2704" i="1" s="1"/>
  <c r="J2703" i="1" a="1"/>
  <c r="J2703" i="1" s="1"/>
  <c r="L2703" i="1"/>
  <c r="K2703" i="1" a="1"/>
  <c r="K2703" i="1" s="1"/>
  <c r="J2704" i="1" a="1"/>
  <c r="J2704" i="1" s="1"/>
  <c r="L2704" i="1"/>
  <c r="K2704" i="1" a="1"/>
  <c r="K2704" i="1" s="1"/>
  <c r="H2703" i="1" a="1"/>
  <c r="H2703" i="1" s="1"/>
  <c r="G2703" i="1" a="1"/>
  <c r="G2703" i="1" s="1"/>
  <c r="H2704" i="1" a="1"/>
  <c r="H2704" i="1" s="1"/>
  <c r="G2704" i="1" a="1"/>
  <c r="G2704" i="1" s="1"/>
  <c r="A2702" i="1" l="1"/>
  <c r="N2702" i="1" l="1" a="1"/>
  <c r="N2702" i="1" s="1"/>
  <c r="M2702" i="1" a="1"/>
  <c r="M2702" i="1" s="1"/>
  <c r="J2702" i="1" a="1"/>
  <c r="J2702" i="1" s="1"/>
  <c r="L2702" i="1"/>
  <c r="K2702" i="1" a="1"/>
  <c r="K2702" i="1" s="1"/>
  <c r="H2702" i="1" a="1"/>
  <c r="H2702" i="1" s="1"/>
  <c r="G2702" i="1" a="1"/>
  <c r="G2702" i="1" s="1"/>
  <c r="A2701" i="1" l="1"/>
  <c r="N2701" i="1" l="1" a="1"/>
  <c r="N2701" i="1" s="1"/>
  <c r="M2701" i="1" a="1"/>
  <c r="M2701" i="1" s="1"/>
  <c r="J2701" i="1" a="1"/>
  <c r="J2701" i="1" s="1"/>
  <c r="L2701" i="1"/>
  <c r="K2701" i="1" a="1"/>
  <c r="K2701" i="1" s="1"/>
  <c r="H2701" i="1" a="1"/>
  <c r="H2701" i="1" s="1"/>
  <c r="G2701" i="1" a="1"/>
  <c r="G2701" i="1" s="1"/>
  <c r="A2700" i="1" l="1"/>
  <c r="N2700" i="1" l="1" a="1"/>
  <c r="N2700" i="1" s="1"/>
  <c r="M2700" i="1" a="1"/>
  <c r="M2700" i="1" s="1"/>
  <c r="J2700" i="1" a="1"/>
  <c r="J2700" i="1" s="1"/>
  <c r="L2700" i="1"/>
  <c r="K2700" i="1" a="1"/>
  <c r="K2700" i="1" s="1"/>
  <c r="H2700" i="1" a="1"/>
  <c r="H2700" i="1" s="1"/>
  <c r="G2700" i="1" a="1"/>
  <c r="G2700" i="1" s="1"/>
  <c r="A2699" i="1" l="1"/>
  <c r="N2699" i="1" l="1" a="1"/>
  <c r="N2699" i="1" s="1"/>
  <c r="M2699" i="1" a="1"/>
  <c r="M2699" i="1" s="1"/>
  <c r="J2699" i="1" a="1"/>
  <c r="J2699" i="1" s="1"/>
  <c r="L2699" i="1"/>
  <c r="K2699" i="1" a="1"/>
  <c r="K2699" i="1" s="1"/>
  <c r="A2697" i="1"/>
  <c r="A2698" i="1"/>
  <c r="H2699" i="1" a="1"/>
  <c r="H2699" i="1" s="1"/>
  <c r="G2699" i="1" a="1"/>
  <c r="G2699" i="1" s="1"/>
  <c r="N2698" i="1" l="1" a="1"/>
  <c r="N2698" i="1" s="1"/>
  <c r="M2698" i="1" a="1"/>
  <c r="M2698" i="1" s="1"/>
  <c r="N2697" i="1" a="1"/>
  <c r="N2697" i="1" s="1"/>
  <c r="M2697" i="1" a="1"/>
  <c r="M2697" i="1" s="1"/>
  <c r="J2698" i="1" a="1"/>
  <c r="J2698" i="1" s="1"/>
  <c r="L2698" i="1"/>
  <c r="K2698" i="1" a="1"/>
  <c r="K2698" i="1" s="1"/>
  <c r="J2697" i="1" a="1"/>
  <c r="J2697" i="1" s="1"/>
  <c r="L2697" i="1"/>
  <c r="K2697" i="1" a="1"/>
  <c r="K2697" i="1" s="1"/>
  <c r="H2698" i="1" a="1"/>
  <c r="H2698" i="1" s="1"/>
  <c r="G2698" i="1" a="1"/>
  <c r="G2698" i="1" s="1"/>
  <c r="H2697" i="1" a="1"/>
  <c r="H2697" i="1" s="1"/>
  <c r="G2697" i="1" a="1"/>
  <c r="G2697" i="1" s="1"/>
  <c r="A2696" i="1" l="1"/>
  <c r="N2696" i="1" l="1" a="1"/>
  <c r="N2696" i="1" s="1"/>
  <c r="M2696" i="1" a="1"/>
  <c r="M2696" i="1" s="1"/>
  <c r="J2696" i="1" a="1"/>
  <c r="J2696" i="1" s="1"/>
  <c r="L2696" i="1"/>
  <c r="K2696" i="1" a="1"/>
  <c r="K2696" i="1" s="1"/>
  <c r="H2696" i="1" a="1"/>
  <c r="H2696" i="1" s="1"/>
  <c r="G2696" i="1" a="1"/>
  <c r="G2696" i="1" s="1"/>
  <c r="A2695" i="1" l="1"/>
  <c r="N2695" i="1" l="1" a="1"/>
  <c r="N2695" i="1" s="1"/>
  <c r="M2695" i="1" a="1"/>
  <c r="M2695" i="1" s="1"/>
  <c r="J2695" i="1" a="1"/>
  <c r="J2695" i="1" s="1"/>
  <c r="L2695" i="1"/>
  <c r="K2695" i="1" a="1"/>
  <c r="K2695" i="1" s="1"/>
  <c r="H2695" i="1" a="1"/>
  <c r="H2695" i="1" s="1"/>
  <c r="G2695" i="1" a="1"/>
  <c r="G2695" i="1" s="1"/>
  <c r="A2694" i="1" l="1"/>
  <c r="N2694" i="1" l="1" a="1"/>
  <c r="N2694" i="1" s="1"/>
  <c r="M2694" i="1" a="1"/>
  <c r="M2694" i="1" s="1"/>
  <c r="J2694" i="1" a="1"/>
  <c r="J2694" i="1" s="1"/>
  <c r="L2694" i="1"/>
  <c r="K2694" i="1" a="1"/>
  <c r="K2694" i="1" s="1"/>
  <c r="H2694" i="1" a="1"/>
  <c r="H2694" i="1" s="1"/>
  <c r="G2694" i="1" a="1"/>
  <c r="G2694" i="1" s="1"/>
  <c r="A2693" i="1" l="1"/>
  <c r="N2693" i="1" l="1" a="1"/>
  <c r="N2693" i="1" s="1"/>
  <c r="M2693" i="1" a="1"/>
  <c r="M2693" i="1" s="1"/>
  <c r="J2693" i="1" a="1"/>
  <c r="J2693" i="1" s="1"/>
  <c r="L2693" i="1"/>
  <c r="K2693" i="1" a="1"/>
  <c r="K2693" i="1" s="1"/>
  <c r="H2693" i="1" a="1"/>
  <c r="H2693" i="1" s="1"/>
  <c r="G2693" i="1" a="1"/>
  <c r="G2693" i="1" s="1"/>
  <c r="A2692" i="1" l="1"/>
  <c r="N2692" i="1" l="1" a="1"/>
  <c r="N2692" i="1" s="1"/>
  <c r="M2692" i="1" a="1"/>
  <c r="M2692" i="1" s="1"/>
  <c r="J2692" i="1" a="1"/>
  <c r="J2692" i="1" s="1"/>
  <c r="L2692" i="1"/>
  <c r="K2692" i="1" a="1"/>
  <c r="K2692" i="1" s="1"/>
  <c r="H2692" i="1" a="1"/>
  <c r="H2692" i="1" s="1"/>
  <c r="G2692" i="1" a="1"/>
  <c r="G2692" i="1" s="1"/>
  <c r="A2691" i="1" l="1"/>
  <c r="N2691" i="1" l="1" a="1"/>
  <c r="N2691" i="1" s="1"/>
  <c r="M2691" i="1" a="1"/>
  <c r="M2691" i="1" s="1"/>
  <c r="J2691" i="1" a="1"/>
  <c r="J2691" i="1" s="1"/>
  <c r="L2691" i="1"/>
  <c r="K2691" i="1" a="1"/>
  <c r="K2691" i="1" s="1"/>
  <c r="H2691" i="1" a="1"/>
  <c r="H2691" i="1" s="1"/>
  <c r="G2691" i="1" a="1"/>
  <c r="G2691" i="1" s="1"/>
  <c r="A2690" i="1" l="1"/>
  <c r="N2690" i="1" l="1" a="1"/>
  <c r="N2690" i="1" s="1"/>
  <c r="M2690" i="1" a="1"/>
  <c r="M2690" i="1" s="1"/>
  <c r="J2690" i="1" a="1"/>
  <c r="J2690" i="1" s="1"/>
  <c r="L2690" i="1"/>
  <c r="K2690" i="1" a="1"/>
  <c r="K2690" i="1" s="1"/>
  <c r="H2690" i="1" a="1"/>
  <c r="H2690" i="1" s="1"/>
  <c r="G2690" i="1" a="1"/>
  <c r="G2690" i="1" s="1"/>
  <c r="A2689" i="1" l="1"/>
  <c r="A2688" i="1"/>
  <c r="N2689" i="1" l="1" a="1"/>
  <c r="N2689" i="1" s="1"/>
  <c r="M2689" i="1" a="1"/>
  <c r="M2689" i="1" s="1"/>
  <c r="N2688" i="1" a="1"/>
  <c r="N2688" i="1" s="1"/>
  <c r="M2688" i="1" a="1"/>
  <c r="M2688" i="1" s="1"/>
  <c r="J2688" i="1" a="1"/>
  <c r="J2688" i="1" s="1"/>
  <c r="L2688" i="1"/>
  <c r="K2688" i="1" a="1"/>
  <c r="K2688" i="1" s="1"/>
  <c r="J2689" i="1" a="1"/>
  <c r="J2689" i="1" s="1"/>
  <c r="L2689" i="1"/>
  <c r="K2689" i="1" a="1"/>
  <c r="K2689" i="1" s="1"/>
  <c r="H2688" i="1" a="1"/>
  <c r="H2688" i="1" s="1"/>
  <c r="G2688" i="1" a="1"/>
  <c r="G2688" i="1" s="1"/>
  <c r="H2689" i="1" a="1"/>
  <c r="H2689" i="1" s="1"/>
  <c r="G2689" i="1" a="1"/>
  <c r="G2689" i="1" s="1"/>
  <c r="A2687" i="1" l="1"/>
  <c r="N2687" i="1" l="1" a="1"/>
  <c r="N2687" i="1" s="1"/>
  <c r="M2687" i="1" a="1"/>
  <c r="M2687" i="1" s="1"/>
  <c r="J2687" i="1" a="1"/>
  <c r="J2687" i="1" s="1"/>
  <c r="L2687" i="1"/>
  <c r="K2687" i="1" a="1"/>
  <c r="K2687" i="1" s="1"/>
  <c r="H2687" i="1" a="1"/>
  <c r="H2687" i="1" s="1"/>
  <c r="G2687" i="1" a="1"/>
  <c r="G2687" i="1" s="1"/>
  <c r="A2686" i="1" l="1"/>
  <c r="N2686" i="1" l="1" a="1"/>
  <c r="N2686" i="1" s="1"/>
  <c r="M2686" i="1" a="1"/>
  <c r="M2686" i="1" s="1"/>
  <c r="J2686" i="1" a="1"/>
  <c r="J2686" i="1" s="1"/>
  <c r="L2686" i="1"/>
  <c r="K2686" i="1" a="1"/>
  <c r="K2686" i="1" s="1"/>
  <c r="H2686" i="1" a="1"/>
  <c r="H2686" i="1" s="1"/>
  <c r="G2686" i="1" a="1"/>
  <c r="G2686" i="1" s="1"/>
  <c r="A2685" i="1" l="1"/>
  <c r="N2685" i="1" l="1" a="1"/>
  <c r="N2685" i="1" s="1"/>
  <c r="M2685" i="1" a="1"/>
  <c r="M2685" i="1" s="1"/>
  <c r="J2685" i="1" a="1"/>
  <c r="J2685" i="1" s="1"/>
  <c r="L2685" i="1"/>
  <c r="K2685" i="1" a="1"/>
  <c r="K2685" i="1" s="1"/>
  <c r="H2685" i="1" a="1"/>
  <c r="H2685" i="1" s="1"/>
  <c r="G2685" i="1" a="1"/>
  <c r="G2685" i="1" s="1"/>
  <c r="A2684" i="1" l="1"/>
  <c r="N2684" i="1" l="1" a="1"/>
  <c r="N2684" i="1" s="1"/>
  <c r="M2684" i="1" a="1"/>
  <c r="M2684" i="1" s="1"/>
  <c r="J2684" i="1" a="1"/>
  <c r="J2684" i="1" s="1"/>
  <c r="L2684" i="1"/>
  <c r="K2684" i="1" a="1"/>
  <c r="K2684" i="1" s="1"/>
  <c r="H2684" i="1" a="1"/>
  <c r="H2684" i="1" s="1"/>
  <c r="G2684" i="1" a="1"/>
  <c r="G2684" i="1" s="1"/>
  <c r="A2683" i="1" l="1"/>
  <c r="N2683" i="1" l="1" a="1"/>
  <c r="N2683" i="1" s="1"/>
  <c r="M2683" i="1" a="1"/>
  <c r="M2683" i="1" s="1"/>
  <c r="J2683" i="1" a="1"/>
  <c r="J2683" i="1" s="1"/>
  <c r="L2683" i="1"/>
  <c r="K2683" i="1" a="1"/>
  <c r="K2683" i="1" s="1"/>
  <c r="H2683" i="1" a="1"/>
  <c r="H2683" i="1" s="1"/>
  <c r="G2683" i="1" a="1"/>
  <c r="G2683" i="1" s="1"/>
  <c r="A2682" i="1" l="1"/>
  <c r="N2682" i="1" l="1" a="1"/>
  <c r="N2682" i="1" s="1"/>
  <c r="M2682" i="1" a="1"/>
  <c r="M2682" i="1" s="1"/>
  <c r="J2682" i="1" a="1"/>
  <c r="J2682" i="1" s="1"/>
  <c r="L2682" i="1"/>
  <c r="K2682" i="1" a="1"/>
  <c r="K2682" i="1" s="1"/>
  <c r="H2682" i="1" a="1"/>
  <c r="H2682" i="1" s="1"/>
  <c r="G2682" i="1" a="1"/>
  <c r="G2682" i="1" s="1"/>
  <c r="A2681" i="1" l="1"/>
  <c r="N2681" i="1" l="1" a="1"/>
  <c r="N2681" i="1" s="1"/>
  <c r="M2681" i="1" a="1"/>
  <c r="M2681" i="1" s="1"/>
  <c r="J2681" i="1" a="1"/>
  <c r="J2681" i="1" s="1"/>
  <c r="L2681" i="1"/>
  <c r="K2681" i="1" a="1"/>
  <c r="K2681" i="1" s="1"/>
  <c r="H2681" i="1" a="1"/>
  <c r="H2681" i="1" s="1"/>
  <c r="G2681" i="1" a="1"/>
  <c r="G2681" i="1" s="1"/>
  <c r="A2680" i="1" l="1"/>
  <c r="N2680" i="1" l="1" a="1"/>
  <c r="N2680" i="1" s="1"/>
  <c r="M2680" i="1" a="1"/>
  <c r="M2680" i="1" s="1"/>
  <c r="J2680" i="1" a="1"/>
  <c r="J2680" i="1" s="1"/>
  <c r="L2680" i="1"/>
  <c r="K2680" i="1" a="1"/>
  <c r="K2680" i="1" s="1"/>
  <c r="H2680" i="1" a="1"/>
  <c r="H2680" i="1" s="1"/>
  <c r="G2680" i="1" a="1"/>
  <c r="G2680" i="1" s="1"/>
  <c r="A2679" i="1" l="1"/>
  <c r="N2679" i="1" l="1" a="1"/>
  <c r="N2679" i="1" s="1"/>
  <c r="M2679" i="1" a="1"/>
  <c r="M2679" i="1" s="1"/>
  <c r="J2679" i="1" a="1"/>
  <c r="J2679" i="1" s="1"/>
  <c r="L2679" i="1"/>
  <c r="K2679" i="1" a="1"/>
  <c r="K2679" i="1" s="1"/>
  <c r="H2679" i="1" a="1"/>
  <c r="H2679" i="1" s="1"/>
  <c r="G2679" i="1" a="1"/>
  <c r="G2679" i="1" s="1"/>
  <c r="A2678" i="1" l="1"/>
  <c r="N2678" i="1" l="1" a="1"/>
  <c r="N2678" i="1" s="1"/>
  <c r="M2678" i="1" a="1"/>
  <c r="M2678" i="1" s="1"/>
  <c r="J2678" i="1" a="1"/>
  <c r="J2678" i="1" s="1"/>
  <c r="L2678" i="1"/>
  <c r="K2678" i="1" a="1"/>
  <c r="K2678" i="1" s="1"/>
  <c r="H2678" i="1" a="1"/>
  <c r="H2678" i="1" s="1"/>
  <c r="G2678" i="1" a="1"/>
  <c r="G2678" i="1" s="1"/>
  <c r="A2677" i="1" l="1"/>
  <c r="N2677" i="1" l="1" a="1"/>
  <c r="N2677" i="1" s="1"/>
  <c r="M2677" i="1" a="1"/>
  <c r="M2677" i="1" s="1"/>
  <c r="J2677" i="1" a="1"/>
  <c r="J2677" i="1" s="1"/>
  <c r="L2677" i="1"/>
  <c r="K2677" i="1" a="1"/>
  <c r="K2677" i="1" s="1"/>
  <c r="H2677" i="1" a="1"/>
  <c r="H2677" i="1" s="1"/>
  <c r="G2677" i="1" a="1"/>
  <c r="G2677" i="1" s="1"/>
  <c r="A2676" i="1" l="1"/>
  <c r="N2676" i="1" l="1" a="1"/>
  <c r="N2676" i="1" s="1"/>
  <c r="M2676" i="1" a="1"/>
  <c r="M2676" i="1" s="1"/>
  <c r="J2676" i="1" a="1"/>
  <c r="J2676" i="1" s="1"/>
  <c r="L2676" i="1"/>
  <c r="K2676" i="1" a="1"/>
  <c r="K2676" i="1" s="1"/>
  <c r="H2676" i="1" a="1"/>
  <c r="H2676" i="1" s="1"/>
  <c r="G2676" i="1" a="1"/>
  <c r="G2676" i="1" s="1"/>
  <c r="A2675" i="1" l="1"/>
  <c r="N2675" i="1" l="1" a="1"/>
  <c r="N2675" i="1" s="1"/>
  <c r="M2675" i="1" a="1"/>
  <c r="M2675" i="1" s="1"/>
  <c r="J2675" i="1" a="1"/>
  <c r="J2675" i="1" s="1"/>
  <c r="L2675" i="1"/>
  <c r="K2675" i="1" a="1"/>
  <c r="K2675" i="1" s="1"/>
  <c r="H2675" i="1" a="1"/>
  <c r="H2675" i="1" s="1"/>
  <c r="G2675" i="1" a="1"/>
  <c r="G2675" i="1" s="1"/>
  <c r="A2674" i="1" l="1"/>
  <c r="N2674" i="1" l="1" a="1"/>
  <c r="N2674" i="1" s="1"/>
  <c r="M2674" i="1" a="1"/>
  <c r="M2674" i="1" s="1"/>
  <c r="J2674" i="1" a="1"/>
  <c r="J2674" i="1" s="1"/>
  <c r="L2674" i="1"/>
  <c r="K2674" i="1" a="1"/>
  <c r="K2674" i="1" s="1"/>
  <c r="H2674" i="1" a="1"/>
  <c r="H2674" i="1" s="1"/>
  <c r="G2674" i="1" a="1"/>
  <c r="G2674" i="1" s="1"/>
  <c r="A2673" i="1"/>
  <c r="N2673" i="1" l="1" a="1"/>
  <c r="N2673" i="1" s="1"/>
  <c r="M2673" i="1" a="1"/>
  <c r="M2673" i="1" s="1"/>
  <c r="J2673" i="1" a="1"/>
  <c r="J2673" i="1" s="1"/>
  <c r="L2673" i="1"/>
  <c r="K2673" i="1" a="1"/>
  <c r="K2673" i="1" s="1"/>
  <c r="H2673" i="1" a="1"/>
  <c r="H2673" i="1" s="1"/>
  <c r="G2673" i="1" a="1"/>
  <c r="G2673" i="1" s="1"/>
  <c r="A2672" i="1" l="1"/>
  <c r="N2672" i="1" l="1" a="1"/>
  <c r="N2672" i="1" s="1"/>
  <c r="M2672" i="1" a="1"/>
  <c r="M2672" i="1" s="1"/>
  <c r="J2672" i="1" a="1"/>
  <c r="J2672" i="1" s="1"/>
  <c r="L2672" i="1"/>
  <c r="K2672" i="1" a="1"/>
  <c r="K2672" i="1" s="1"/>
  <c r="H2672" i="1" a="1"/>
  <c r="H2672" i="1" s="1"/>
  <c r="G2672" i="1" a="1"/>
  <c r="G2672" i="1" s="1"/>
  <c r="A2671" i="1" l="1"/>
  <c r="N2671" i="1" l="1" a="1"/>
  <c r="N2671" i="1" s="1"/>
  <c r="M2671" i="1" a="1"/>
  <c r="M2671" i="1" s="1"/>
  <c r="J2671" i="1" a="1"/>
  <c r="J2671" i="1" s="1"/>
  <c r="L2671" i="1"/>
  <c r="K2671" i="1" a="1"/>
  <c r="K2671" i="1" s="1"/>
  <c r="H2671" i="1" a="1"/>
  <c r="H2671" i="1" s="1"/>
  <c r="G2671" i="1" a="1"/>
  <c r="G2671" i="1" s="1"/>
  <c r="A2670" i="1" l="1"/>
  <c r="N2670" i="1" l="1" a="1"/>
  <c r="N2670" i="1" s="1"/>
  <c r="M2670" i="1" a="1"/>
  <c r="M2670" i="1" s="1"/>
  <c r="J2670" i="1" a="1"/>
  <c r="J2670" i="1" s="1"/>
  <c r="L2670" i="1"/>
  <c r="K2670" i="1" a="1"/>
  <c r="K2670" i="1" s="1"/>
  <c r="H2670" i="1" a="1"/>
  <c r="H2670" i="1" s="1"/>
  <c r="G2670" i="1" a="1"/>
  <c r="G2670" i="1" s="1"/>
  <c r="A2669" i="1" l="1"/>
  <c r="N2669" i="1" l="1" a="1"/>
  <c r="N2669" i="1" s="1"/>
  <c r="M2669" i="1" a="1"/>
  <c r="M2669" i="1" s="1"/>
  <c r="J2669" i="1" a="1"/>
  <c r="J2669" i="1" s="1"/>
  <c r="L2669" i="1"/>
  <c r="K2669" i="1" a="1"/>
  <c r="K2669" i="1" s="1"/>
  <c r="H2669" i="1" a="1"/>
  <c r="H2669" i="1" s="1"/>
  <c r="G2669" i="1" a="1"/>
  <c r="G2669" i="1" s="1"/>
  <c r="A2668" i="1" l="1"/>
  <c r="N2668" i="1" l="1" a="1"/>
  <c r="N2668" i="1" s="1"/>
  <c r="M2668" i="1" a="1"/>
  <c r="M2668" i="1" s="1"/>
  <c r="J2668" i="1" a="1"/>
  <c r="J2668" i="1" s="1"/>
  <c r="L2668" i="1"/>
  <c r="K2668" i="1" a="1"/>
  <c r="K2668" i="1" s="1"/>
  <c r="H2668" i="1" a="1"/>
  <c r="H2668" i="1" s="1"/>
  <c r="G2668" i="1" a="1"/>
  <c r="G2668" i="1" s="1"/>
  <c r="A2667" i="1" l="1"/>
  <c r="N2667" i="1" l="1" a="1"/>
  <c r="N2667" i="1" s="1"/>
  <c r="M2667" i="1" a="1"/>
  <c r="M2667" i="1" s="1"/>
  <c r="J2667" i="1" a="1"/>
  <c r="J2667" i="1" s="1"/>
  <c r="L2667" i="1"/>
  <c r="K2667" i="1" a="1"/>
  <c r="K2667" i="1" s="1"/>
  <c r="H2667" i="1" a="1"/>
  <c r="H2667" i="1" s="1"/>
  <c r="G2667" i="1" a="1"/>
  <c r="G2667" i="1" s="1"/>
  <c r="A2666" i="1" l="1"/>
  <c r="N2666" i="1" l="1" a="1"/>
  <c r="N2666" i="1" s="1"/>
  <c r="M2666" i="1" a="1"/>
  <c r="M2666" i="1" s="1"/>
  <c r="J2666" i="1" a="1"/>
  <c r="J2666" i="1" s="1"/>
  <c r="L2666" i="1"/>
  <c r="K2666" i="1" a="1"/>
  <c r="K2666" i="1" s="1"/>
  <c r="H2666" i="1" a="1"/>
  <c r="H2666" i="1" s="1"/>
  <c r="G2666" i="1" a="1"/>
  <c r="G2666" i="1" s="1"/>
  <c r="A2665" i="1" l="1"/>
  <c r="N2665" i="1" l="1" a="1"/>
  <c r="N2665" i="1" s="1"/>
  <c r="M2665" i="1" a="1"/>
  <c r="M2665" i="1" s="1"/>
  <c r="J2665" i="1" a="1"/>
  <c r="J2665" i="1" s="1"/>
  <c r="L2665" i="1"/>
  <c r="K2665" i="1" a="1"/>
  <c r="K2665" i="1" s="1"/>
  <c r="H2665" i="1" a="1"/>
  <c r="H2665" i="1" s="1"/>
  <c r="G2665" i="1" a="1"/>
  <c r="G2665" i="1" s="1"/>
  <c r="A2664" i="1" l="1"/>
  <c r="N2664" i="1" l="1" a="1"/>
  <c r="N2664" i="1" s="1"/>
  <c r="M2664" i="1" a="1"/>
  <c r="M2664" i="1" s="1"/>
  <c r="J2664" i="1" a="1"/>
  <c r="J2664" i="1" s="1"/>
  <c r="L2664" i="1"/>
  <c r="K2664" i="1" a="1"/>
  <c r="K2664" i="1" s="1"/>
  <c r="H2664" i="1" a="1"/>
  <c r="H2664" i="1" s="1"/>
  <c r="G2664" i="1" a="1"/>
  <c r="G2664" i="1" s="1"/>
  <c r="A2663" i="1" l="1"/>
  <c r="N2663" i="1" l="1" a="1"/>
  <c r="N2663" i="1" s="1"/>
  <c r="M2663" i="1" a="1"/>
  <c r="M2663" i="1" s="1"/>
  <c r="J2663" i="1" a="1"/>
  <c r="J2663" i="1" s="1"/>
  <c r="L2663" i="1"/>
  <c r="K2663" i="1" a="1"/>
  <c r="K2663" i="1" s="1"/>
  <c r="H2663" i="1" a="1"/>
  <c r="H2663" i="1" s="1"/>
  <c r="G2663" i="1" a="1"/>
  <c r="G2663" i="1" s="1"/>
  <c r="A2662" i="1" l="1"/>
  <c r="N2662" i="1" l="1" a="1"/>
  <c r="N2662" i="1" s="1"/>
  <c r="M2662" i="1" a="1"/>
  <c r="M2662" i="1" s="1"/>
  <c r="J2662" i="1" a="1"/>
  <c r="J2662" i="1" s="1"/>
  <c r="L2662" i="1"/>
  <c r="K2662" i="1" a="1"/>
  <c r="K2662" i="1" s="1"/>
  <c r="H2662" i="1" a="1"/>
  <c r="H2662" i="1" s="1"/>
  <c r="G2662" i="1" a="1"/>
  <c r="G2662" i="1" s="1"/>
  <c r="A2661" i="1" l="1"/>
  <c r="N2661" i="1" l="1" a="1"/>
  <c r="N2661" i="1" s="1"/>
  <c r="M2661" i="1" a="1"/>
  <c r="M2661" i="1" s="1"/>
  <c r="J2661" i="1" a="1"/>
  <c r="J2661" i="1" s="1"/>
  <c r="L2661" i="1"/>
  <c r="K2661" i="1" a="1"/>
  <c r="K2661" i="1" s="1"/>
  <c r="H2661" i="1" a="1"/>
  <c r="H2661" i="1" s="1"/>
  <c r="G2661" i="1" a="1"/>
  <c r="G2661" i="1" s="1"/>
  <c r="A2660" i="1" l="1"/>
  <c r="N2660" i="1" l="1" a="1"/>
  <c r="N2660" i="1" s="1"/>
  <c r="M2660" i="1" a="1"/>
  <c r="M2660" i="1" s="1"/>
  <c r="J2660" i="1" a="1"/>
  <c r="J2660" i="1" s="1"/>
  <c r="L2660" i="1"/>
  <c r="K2660" i="1" a="1"/>
  <c r="K2660" i="1" s="1"/>
  <c r="H2660" i="1" a="1"/>
  <c r="H2660" i="1" s="1"/>
  <c r="G2660" i="1" a="1"/>
  <c r="G2660" i="1" s="1"/>
  <c r="A2659" i="1" l="1"/>
  <c r="N2659" i="1" l="1" a="1"/>
  <c r="N2659" i="1" s="1"/>
  <c r="M2659" i="1" a="1"/>
  <c r="M2659" i="1" s="1"/>
  <c r="J2659" i="1" a="1"/>
  <c r="J2659" i="1" s="1"/>
  <c r="L2659" i="1"/>
  <c r="K2659" i="1" a="1"/>
  <c r="K2659" i="1" s="1"/>
  <c r="H2659" i="1" a="1"/>
  <c r="H2659" i="1" s="1"/>
  <c r="G2659" i="1" a="1"/>
  <c r="G2659" i="1" s="1"/>
  <c r="A2658" i="1" l="1"/>
  <c r="N2658" i="1" l="1" a="1"/>
  <c r="N2658" i="1" s="1"/>
  <c r="M2658" i="1" a="1"/>
  <c r="M2658" i="1" s="1"/>
  <c r="J2658" i="1" a="1"/>
  <c r="J2658" i="1" s="1"/>
  <c r="L2658" i="1"/>
  <c r="K2658" i="1" a="1"/>
  <c r="K2658" i="1" s="1"/>
  <c r="H2658" i="1" a="1"/>
  <c r="H2658" i="1" s="1"/>
  <c r="G2658" i="1" a="1"/>
  <c r="G2658" i="1" s="1"/>
  <c r="A2657" i="1" l="1"/>
  <c r="N2657" i="1" l="1" a="1"/>
  <c r="N2657" i="1" s="1"/>
  <c r="M2657" i="1" a="1"/>
  <c r="M2657" i="1" s="1"/>
  <c r="J2657" i="1" a="1"/>
  <c r="J2657" i="1" s="1"/>
  <c r="L2657" i="1"/>
  <c r="K2657" i="1" a="1"/>
  <c r="K2657" i="1" s="1"/>
  <c r="H2657" i="1" a="1"/>
  <c r="H2657" i="1" s="1"/>
  <c r="G2657" i="1" a="1"/>
  <c r="G2657" i="1" s="1"/>
  <c r="A2656" i="1" l="1"/>
  <c r="N2656" i="1" l="1" a="1"/>
  <c r="N2656" i="1" s="1"/>
  <c r="M2656" i="1" a="1"/>
  <c r="M2656" i="1" s="1"/>
  <c r="J2656" i="1" a="1"/>
  <c r="J2656" i="1" s="1"/>
  <c r="L2656" i="1"/>
  <c r="K2656" i="1" a="1"/>
  <c r="K2656" i="1" s="1"/>
  <c r="H2656" i="1" a="1"/>
  <c r="H2656" i="1" s="1"/>
  <c r="G2656" i="1" a="1"/>
  <c r="G2656" i="1" s="1"/>
  <c r="A2655" i="1" l="1"/>
  <c r="N2655" i="1" l="1" a="1"/>
  <c r="N2655" i="1" s="1"/>
  <c r="M2655" i="1" a="1"/>
  <c r="M2655" i="1" s="1"/>
  <c r="J2655" i="1" a="1"/>
  <c r="J2655" i="1" s="1"/>
  <c r="L2655" i="1"/>
  <c r="K2655" i="1" a="1"/>
  <c r="K2655" i="1" s="1"/>
  <c r="H2655" i="1" a="1"/>
  <c r="H2655" i="1" s="1"/>
  <c r="G2655" i="1" a="1"/>
  <c r="G2655" i="1" s="1"/>
  <c r="A2654" i="1" l="1"/>
  <c r="N2654" i="1" l="1" a="1"/>
  <c r="N2654" i="1" s="1"/>
  <c r="M2654" i="1" a="1"/>
  <c r="M2654" i="1" s="1"/>
  <c r="J2654" i="1" a="1"/>
  <c r="J2654" i="1" s="1"/>
  <c r="L2654" i="1"/>
  <c r="K2654" i="1" a="1"/>
  <c r="K2654" i="1" s="1"/>
  <c r="H2654" i="1" a="1"/>
  <c r="H2654" i="1" s="1"/>
  <c r="G2654" i="1" a="1"/>
  <c r="G2654" i="1" s="1"/>
  <c r="A2653" i="1" l="1"/>
  <c r="N2653" i="1" l="1" a="1"/>
  <c r="N2653" i="1" s="1"/>
  <c r="M2653" i="1" a="1"/>
  <c r="M2653" i="1" s="1"/>
  <c r="J2653" i="1" a="1"/>
  <c r="J2653" i="1" s="1"/>
  <c r="L2653" i="1"/>
  <c r="K2653" i="1" a="1"/>
  <c r="K2653" i="1" s="1"/>
  <c r="H2653" i="1" a="1"/>
  <c r="H2653" i="1" s="1"/>
  <c r="G2653" i="1" a="1"/>
  <c r="G2653" i="1" s="1"/>
  <c r="A2652" i="1" l="1"/>
  <c r="N2652" i="1" l="1" a="1"/>
  <c r="N2652" i="1" s="1"/>
  <c r="M2652" i="1" a="1"/>
  <c r="M2652" i="1" s="1"/>
  <c r="J2652" i="1" a="1"/>
  <c r="J2652" i="1" s="1"/>
  <c r="L2652" i="1"/>
  <c r="K2652" i="1" a="1"/>
  <c r="K2652" i="1" s="1"/>
  <c r="H2652" i="1" a="1"/>
  <c r="H2652" i="1" s="1"/>
  <c r="G2652" i="1" a="1"/>
  <c r="G2652" i="1" s="1"/>
  <c r="A2651" i="1" l="1"/>
  <c r="N2651" i="1" l="1" a="1"/>
  <c r="N2651" i="1" s="1"/>
  <c r="M2651" i="1" a="1"/>
  <c r="M2651" i="1" s="1"/>
  <c r="J2651" i="1" a="1"/>
  <c r="J2651" i="1" s="1"/>
  <c r="L2651" i="1"/>
  <c r="K2651" i="1" a="1"/>
  <c r="K2651" i="1" s="1"/>
  <c r="H2651" i="1" a="1"/>
  <c r="H2651" i="1" s="1"/>
  <c r="G2651" i="1" a="1"/>
  <c r="G2651" i="1" s="1"/>
  <c r="A2650" i="1" l="1"/>
  <c r="N2650" i="1" l="1" a="1"/>
  <c r="N2650" i="1" s="1"/>
  <c r="M2650" i="1" a="1"/>
  <c r="M2650" i="1" s="1"/>
  <c r="J2650" i="1" a="1"/>
  <c r="J2650" i="1" s="1"/>
  <c r="L2650" i="1"/>
  <c r="K2650" i="1" a="1"/>
  <c r="K2650" i="1" s="1"/>
  <c r="H2650" i="1" a="1"/>
  <c r="H2650" i="1" s="1"/>
  <c r="G2650" i="1" a="1"/>
  <c r="G2650" i="1" s="1"/>
  <c r="A2649" i="1" l="1"/>
  <c r="N2649" i="1" l="1" a="1"/>
  <c r="N2649" i="1" s="1"/>
  <c r="M2649" i="1" a="1"/>
  <c r="M2649" i="1" s="1"/>
  <c r="J2649" i="1" a="1"/>
  <c r="J2649" i="1" s="1"/>
  <c r="L2649" i="1"/>
  <c r="K2649" i="1" a="1"/>
  <c r="K2649" i="1" s="1"/>
  <c r="H2649" i="1" a="1"/>
  <c r="H2649" i="1" s="1"/>
  <c r="G2649" i="1" a="1"/>
  <c r="G2649" i="1" s="1"/>
  <c r="A2648" i="1" l="1"/>
  <c r="N2648" i="1" l="1" a="1"/>
  <c r="N2648" i="1" s="1"/>
  <c r="M2648" i="1" a="1"/>
  <c r="M2648" i="1" s="1"/>
  <c r="J2648" i="1" a="1"/>
  <c r="J2648" i="1" s="1"/>
  <c r="L2648" i="1"/>
  <c r="K2648" i="1" a="1"/>
  <c r="K2648" i="1" s="1"/>
  <c r="H2648" i="1" a="1"/>
  <c r="H2648" i="1" s="1"/>
  <c r="G2648" i="1" a="1"/>
  <c r="G2648" i="1" s="1"/>
  <c r="A2647" i="1" l="1"/>
  <c r="N2647" i="1" l="1" a="1"/>
  <c r="N2647" i="1" s="1"/>
  <c r="M2647" i="1" a="1"/>
  <c r="M2647" i="1" s="1"/>
  <c r="J2647" i="1" a="1"/>
  <c r="J2647" i="1" s="1"/>
  <c r="L2647" i="1"/>
  <c r="K2647" i="1" a="1"/>
  <c r="K2647" i="1" s="1"/>
  <c r="H2647" i="1" a="1"/>
  <c r="H2647" i="1" s="1"/>
  <c r="G2647" i="1" a="1"/>
  <c r="G2647" i="1" s="1"/>
  <c r="A2646" i="1" l="1"/>
  <c r="N2646" i="1" l="1" a="1"/>
  <c r="N2646" i="1" s="1"/>
  <c r="M2646" i="1" a="1"/>
  <c r="M2646" i="1" s="1"/>
  <c r="J2646" i="1" a="1"/>
  <c r="J2646" i="1" s="1"/>
  <c r="L2646" i="1"/>
  <c r="K2646" i="1" a="1"/>
  <c r="K2646" i="1" s="1"/>
  <c r="H2646" i="1" a="1"/>
  <c r="H2646" i="1" s="1"/>
  <c r="G2646" i="1" a="1"/>
  <c r="G2646" i="1" s="1"/>
  <c r="A2645" i="1" l="1"/>
  <c r="N2645" i="1" l="1" a="1"/>
  <c r="N2645" i="1" s="1"/>
  <c r="M2645" i="1" a="1"/>
  <c r="M2645" i="1" s="1"/>
  <c r="J2645" i="1" a="1"/>
  <c r="J2645" i="1" s="1"/>
  <c r="L2645" i="1"/>
  <c r="K2645" i="1" a="1"/>
  <c r="K2645" i="1" s="1"/>
  <c r="H2645" i="1" a="1"/>
  <c r="H2645" i="1" s="1"/>
  <c r="G2645" i="1" a="1"/>
  <c r="G2645" i="1" s="1"/>
  <c r="A2644" i="1" l="1"/>
  <c r="N2644" i="1" l="1" a="1"/>
  <c r="N2644" i="1" s="1"/>
  <c r="M2644" i="1" a="1"/>
  <c r="M2644" i="1" s="1"/>
  <c r="J2644" i="1" a="1"/>
  <c r="J2644" i="1" s="1"/>
  <c r="L2644" i="1"/>
  <c r="K2644" i="1" a="1"/>
  <c r="K2644" i="1" s="1"/>
  <c r="H2644" i="1" a="1"/>
  <c r="H2644" i="1" s="1"/>
  <c r="G2644" i="1" a="1"/>
  <c r="G2644" i="1" s="1"/>
  <c r="A2643" i="1" l="1"/>
  <c r="N2643" i="1" l="1" a="1"/>
  <c r="N2643" i="1" s="1"/>
  <c r="M2643" i="1" a="1"/>
  <c r="M2643" i="1" s="1"/>
  <c r="J2643" i="1" a="1"/>
  <c r="J2643" i="1" s="1"/>
  <c r="L2643" i="1"/>
  <c r="K2643" i="1" a="1"/>
  <c r="K2643" i="1" s="1"/>
  <c r="H2643" i="1" a="1"/>
  <c r="H2643" i="1" s="1"/>
  <c r="G2643" i="1" a="1"/>
  <c r="G2643" i="1" s="1"/>
  <c r="A2642" i="1" l="1"/>
  <c r="N2642" i="1" l="1" a="1"/>
  <c r="N2642" i="1" s="1"/>
  <c r="M2642" i="1" a="1"/>
  <c r="M2642" i="1" s="1"/>
  <c r="J2642" i="1" a="1"/>
  <c r="J2642" i="1" s="1"/>
  <c r="L2642" i="1"/>
  <c r="K2642" i="1" a="1"/>
  <c r="K2642" i="1" s="1"/>
  <c r="H2642" i="1" a="1"/>
  <c r="H2642" i="1" s="1"/>
  <c r="G2642" i="1" a="1"/>
  <c r="G2642" i="1" s="1"/>
  <c r="A2641" i="1" l="1"/>
  <c r="N2641" i="1" l="1" a="1"/>
  <c r="N2641" i="1" s="1"/>
  <c r="M2641" i="1" a="1"/>
  <c r="M2641" i="1" s="1"/>
  <c r="J2641" i="1" a="1"/>
  <c r="J2641" i="1" s="1"/>
  <c r="L2641" i="1"/>
  <c r="K2641" i="1" a="1"/>
  <c r="K2641" i="1" s="1"/>
  <c r="H2641" i="1" a="1"/>
  <c r="H2641" i="1" s="1"/>
  <c r="G2641" i="1" a="1"/>
  <c r="G2641" i="1" s="1"/>
  <c r="A2640" i="1" l="1"/>
  <c r="N2640" i="1" l="1" a="1"/>
  <c r="N2640" i="1" s="1"/>
  <c r="M2640" i="1" a="1"/>
  <c r="M2640" i="1" s="1"/>
  <c r="J2640" i="1" a="1"/>
  <c r="J2640" i="1" s="1"/>
  <c r="L2640" i="1"/>
  <c r="K2640" i="1" a="1"/>
  <c r="K2640" i="1" s="1"/>
  <c r="H2640" i="1" a="1"/>
  <c r="H2640" i="1" s="1"/>
  <c r="G2640" i="1" a="1"/>
  <c r="G2640" i="1" s="1"/>
  <c r="A2639" i="1" l="1"/>
  <c r="N2639" i="1" l="1" a="1"/>
  <c r="N2639" i="1" s="1"/>
  <c r="M2639" i="1" a="1"/>
  <c r="M2639" i="1" s="1"/>
  <c r="J2639" i="1" a="1"/>
  <c r="J2639" i="1" s="1"/>
  <c r="L2639" i="1"/>
  <c r="K2639" i="1" a="1"/>
  <c r="K2639" i="1" s="1"/>
  <c r="H2639" i="1" a="1"/>
  <c r="H2639" i="1" s="1"/>
  <c r="G2639" i="1" a="1"/>
  <c r="G2639" i="1" s="1"/>
  <c r="A2638" i="1" l="1"/>
  <c r="N2638" i="1" l="1" a="1"/>
  <c r="N2638" i="1" s="1"/>
  <c r="M2638" i="1" a="1"/>
  <c r="M2638" i="1" s="1"/>
  <c r="J2638" i="1" a="1"/>
  <c r="J2638" i="1" s="1"/>
  <c r="L2638" i="1"/>
  <c r="K2638" i="1" a="1"/>
  <c r="K2638" i="1" s="1"/>
  <c r="H2638" i="1" a="1"/>
  <c r="H2638" i="1" s="1"/>
  <c r="G2638" i="1" a="1"/>
  <c r="G2638" i="1" s="1"/>
  <c r="A2637" i="1" l="1"/>
  <c r="N2637" i="1" l="1" a="1"/>
  <c r="N2637" i="1" s="1"/>
  <c r="M2637" i="1" a="1"/>
  <c r="M2637" i="1" s="1"/>
  <c r="J2637" i="1" a="1"/>
  <c r="J2637" i="1" s="1"/>
  <c r="L2637" i="1"/>
  <c r="K2637" i="1" a="1"/>
  <c r="K2637" i="1" s="1"/>
  <c r="H2637" i="1" a="1"/>
  <c r="H2637" i="1" s="1"/>
  <c r="G2637" i="1" a="1"/>
  <c r="G2637" i="1" s="1"/>
  <c r="A2636" i="1" l="1"/>
  <c r="N2636" i="1" l="1" a="1"/>
  <c r="N2636" i="1" s="1"/>
  <c r="M2636" i="1" a="1"/>
  <c r="M2636" i="1" s="1"/>
  <c r="J2636" i="1" a="1"/>
  <c r="J2636" i="1" s="1"/>
  <c r="L2636" i="1"/>
  <c r="K2636" i="1" a="1"/>
  <c r="K2636" i="1" s="1"/>
  <c r="H2636" i="1" a="1"/>
  <c r="H2636" i="1" s="1"/>
  <c r="G2636" i="1" a="1"/>
  <c r="G2636" i="1" s="1"/>
  <c r="A2635" i="1" l="1"/>
  <c r="N2635" i="1" l="1" a="1"/>
  <c r="N2635" i="1" s="1"/>
  <c r="M2635" i="1" a="1"/>
  <c r="M2635" i="1" s="1"/>
  <c r="J2635" i="1" a="1"/>
  <c r="J2635" i="1" s="1"/>
  <c r="L2635" i="1"/>
  <c r="K2635" i="1" a="1"/>
  <c r="K2635" i="1" s="1"/>
  <c r="H2635" i="1" a="1"/>
  <c r="H2635" i="1" s="1"/>
  <c r="G2635" i="1" a="1"/>
  <c r="G2635" i="1" s="1"/>
  <c r="A2634" i="1" l="1"/>
  <c r="N2634" i="1" l="1" a="1"/>
  <c r="N2634" i="1" s="1"/>
  <c r="M2634" i="1" a="1"/>
  <c r="M2634" i="1" s="1"/>
  <c r="J2634" i="1" a="1"/>
  <c r="J2634" i="1" s="1"/>
  <c r="L2634" i="1"/>
  <c r="K2634" i="1" a="1"/>
  <c r="K2634" i="1" s="1"/>
  <c r="H2634" i="1" a="1"/>
  <c r="H2634" i="1" s="1"/>
  <c r="G2634" i="1" a="1"/>
  <c r="G2634" i="1" s="1"/>
  <c r="A2633" i="1"/>
  <c r="N2633" i="1" l="1" a="1"/>
  <c r="N2633" i="1" s="1"/>
  <c r="M2633" i="1" a="1"/>
  <c r="M2633" i="1" s="1"/>
  <c r="J2633" i="1" a="1"/>
  <c r="J2633" i="1" s="1"/>
  <c r="L2633" i="1"/>
  <c r="K2633" i="1" a="1"/>
  <c r="K2633" i="1" s="1"/>
  <c r="H2633" i="1" a="1"/>
  <c r="H2633" i="1" s="1"/>
  <c r="G2633" i="1" a="1"/>
  <c r="G2633" i="1" s="1"/>
  <c r="A2631" i="1" l="1"/>
  <c r="A2632" i="1"/>
  <c r="N2632" i="1" l="1" a="1"/>
  <c r="N2632" i="1" s="1"/>
  <c r="M2632" i="1" a="1"/>
  <c r="M2632" i="1" s="1"/>
  <c r="N2631" i="1" a="1"/>
  <c r="N2631" i="1" s="1"/>
  <c r="M2631" i="1" a="1"/>
  <c r="M2631" i="1" s="1"/>
  <c r="J2632" i="1" a="1"/>
  <c r="J2632" i="1" s="1"/>
  <c r="L2632" i="1"/>
  <c r="K2632" i="1" a="1"/>
  <c r="K2632" i="1" s="1"/>
  <c r="J2631" i="1" a="1"/>
  <c r="J2631" i="1" s="1"/>
  <c r="L2631" i="1"/>
  <c r="K2631" i="1" a="1"/>
  <c r="K2631" i="1" s="1"/>
  <c r="H2631" i="1" a="1"/>
  <c r="H2631" i="1" s="1"/>
  <c r="G2631" i="1" a="1"/>
  <c r="G2631" i="1" s="1"/>
  <c r="H2632" i="1" a="1"/>
  <c r="H2632" i="1" s="1"/>
  <c r="G2632" i="1" a="1"/>
  <c r="G2632" i="1" s="1"/>
  <c r="A2630" i="1" l="1"/>
  <c r="N2630" i="1" l="1" a="1"/>
  <c r="N2630" i="1" s="1"/>
  <c r="M2630" i="1" a="1"/>
  <c r="M2630" i="1" s="1"/>
  <c r="J2630" i="1" a="1"/>
  <c r="J2630" i="1" s="1"/>
  <c r="L2630" i="1"/>
  <c r="K2630" i="1" a="1"/>
  <c r="K2630" i="1" s="1"/>
  <c r="H2630" i="1" a="1"/>
  <c r="H2630" i="1" s="1"/>
  <c r="G2630" i="1" a="1"/>
  <c r="G2630" i="1" s="1"/>
  <c r="A2629" i="1" l="1"/>
  <c r="N2629" i="1" l="1" a="1"/>
  <c r="N2629" i="1" s="1"/>
  <c r="M2629" i="1" a="1"/>
  <c r="M2629" i="1" s="1"/>
  <c r="J2629" i="1" a="1"/>
  <c r="J2629" i="1" s="1"/>
  <c r="L2629" i="1"/>
  <c r="K2629" i="1" a="1"/>
  <c r="K2629" i="1" s="1"/>
  <c r="H2629" i="1" a="1"/>
  <c r="H2629" i="1" s="1"/>
  <c r="G2629" i="1" a="1"/>
  <c r="G2629" i="1" s="1"/>
  <c r="I2745" i="1" l="1"/>
  <c r="I2744" i="1"/>
  <c r="I2743" i="1"/>
  <c r="I2742" i="1"/>
  <c r="I2740" i="1"/>
  <c r="I2741" i="1"/>
  <c r="I2739" i="1"/>
  <c r="I2738" i="1"/>
  <c r="I2737" i="1"/>
  <c r="I2736" i="1"/>
  <c r="I2735" i="1"/>
  <c r="I2734" i="1"/>
  <c r="I2733" i="1"/>
  <c r="I2732" i="1"/>
  <c r="I2731" i="1"/>
  <c r="I2730" i="1"/>
  <c r="I2729" i="1"/>
  <c r="I2728" i="1"/>
  <c r="I2726" i="1"/>
  <c r="I2727" i="1"/>
  <c r="I2725" i="1"/>
  <c r="I2722" i="1"/>
  <c r="I2724" i="1"/>
  <c r="I2723" i="1"/>
  <c r="I2721" i="1"/>
  <c r="I2720" i="1"/>
  <c r="I2719" i="1"/>
  <c r="I2718" i="1"/>
  <c r="I2717" i="1"/>
  <c r="I2716" i="1"/>
  <c r="I2715" i="1"/>
  <c r="I2714" i="1"/>
  <c r="I2713" i="1"/>
  <c r="I2711" i="1"/>
  <c r="I2712" i="1"/>
  <c r="I2710" i="1"/>
  <c r="I2709" i="1"/>
  <c r="I2708" i="1"/>
  <c r="I2706" i="1"/>
  <c r="I2707" i="1"/>
  <c r="I2705" i="1"/>
  <c r="I2703" i="1"/>
  <c r="I2704" i="1"/>
  <c r="I2702" i="1"/>
  <c r="I2701" i="1"/>
  <c r="I2700" i="1"/>
  <c r="I2699" i="1"/>
  <c r="I2698" i="1"/>
  <c r="I2697" i="1"/>
  <c r="I2696" i="1"/>
  <c r="I2695" i="1"/>
  <c r="I2694" i="1"/>
  <c r="I2693" i="1"/>
  <c r="I2692" i="1"/>
  <c r="I2691" i="1"/>
  <c r="I2690" i="1"/>
  <c r="I2688" i="1"/>
  <c r="I2689" i="1"/>
  <c r="I2687" i="1"/>
  <c r="I2686" i="1"/>
  <c r="I2685" i="1"/>
  <c r="I2684" i="1"/>
  <c r="I2683" i="1"/>
  <c r="I2682" i="1"/>
  <c r="I2681" i="1"/>
  <c r="I2680" i="1"/>
  <c r="I2679" i="1"/>
  <c r="I2678" i="1"/>
  <c r="I2677" i="1"/>
  <c r="I2676" i="1"/>
  <c r="I2675" i="1"/>
  <c r="I2674" i="1"/>
  <c r="I2673" i="1"/>
  <c r="I2672" i="1"/>
  <c r="I2671" i="1"/>
  <c r="I2670" i="1"/>
  <c r="I2669" i="1"/>
  <c r="I2668" i="1"/>
  <c r="I2667" i="1"/>
  <c r="I2666" i="1"/>
  <c r="I2665" i="1"/>
  <c r="I2664" i="1"/>
  <c r="I2663" i="1"/>
  <c r="I2662" i="1"/>
  <c r="I2661" i="1"/>
  <c r="I2660" i="1"/>
  <c r="I2659" i="1"/>
  <c r="I2658" i="1"/>
  <c r="I2657" i="1"/>
  <c r="I2656" i="1"/>
  <c r="I2655" i="1"/>
  <c r="I2654" i="1"/>
  <c r="I2653" i="1"/>
  <c r="I2652" i="1"/>
  <c r="I2651" i="1"/>
  <c r="I2650" i="1"/>
  <c r="I2649" i="1"/>
  <c r="I2648" i="1"/>
  <c r="I2647" i="1"/>
  <c r="I2646" i="1"/>
  <c r="I2645" i="1"/>
  <c r="I2644" i="1"/>
  <c r="I2643" i="1"/>
  <c r="I2642" i="1"/>
  <c r="I2641" i="1"/>
  <c r="I2640" i="1"/>
  <c r="I2639" i="1"/>
  <c r="I2638" i="1"/>
  <c r="I2637" i="1"/>
  <c r="I2636" i="1"/>
  <c r="I2635" i="1"/>
  <c r="I2634" i="1"/>
  <c r="I2633" i="1"/>
  <c r="I2631" i="1"/>
  <c r="I2632" i="1"/>
  <c r="I2630" i="1"/>
  <c r="I2629" i="1"/>
  <c r="A2628" i="1" l="1"/>
  <c r="N2628" i="1" l="1" a="1"/>
  <c r="N2628" i="1" s="1"/>
  <c r="M2628" i="1" a="1"/>
  <c r="M2628" i="1" s="1"/>
  <c r="J2628" i="1" a="1"/>
  <c r="J2628" i="1" s="1"/>
  <c r="L2628" i="1"/>
  <c r="K2628" i="1" a="1"/>
  <c r="K2628" i="1" s="1"/>
  <c r="I2628" i="1"/>
  <c r="H2628" i="1" a="1"/>
  <c r="H2628" i="1" s="1"/>
  <c r="G2628" i="1" a="1"/>
  <c r="G2628" i="1" s="1"/>
  <c r="A2627" i="1" l="1"/>
  <c r="N2627" i="1" l="1" a="1"/>
  <c r="N2627" i="1" s="1"/>
  <c r="M2627" i="1" a="1"/>
  <c r="M2627" i="1" s="1"/>
  <c r="J2627" i="1" a="1"/>
  <c r="J2627" i="1" s="1"/>
  <c r="L2627" i="1"/>
  <c r="K2627" i="1" a="1"/>
  <c r="K2627" i="1" s="1"/>
  <c r="I2627" i="1"/>
  <c r="H2627" i="1" a="1"/>
  <c r="H2627" i="1" s="1"/>
  <c r="G2627" i="1" a="1"/>
  <c r="G2627" i="1" s="1"/>
  <c r="A2626" i="1" l="1"/>
  <c r="N2626" i="1" l="1" a="1"/>
  <c r="N2626" i="1" s="1"/>
  <c r="M2626" i="1" a="1"/>
  <c r="M2626" i="1" s="1"/>
  <c r="J2626" i="1" a="1"/>
  <c r="J2626" i="1" s="1"/>
  <c r="L2626" i="1"/>
  <c r="K2626" i="1" a="1"/>
  <c r="K2626" i="1" s="1"/>
  <c r="I2626" i="1"/>
  <c r="H2626" i="1" a="1"/>
  <c r="H2626" i="1" s="1"/>
  <c r="G2626" i="1" a="1"/>
  <c r="G2626" i="1" s="1"/>
  <c r="A2625" i="1" l="1"/>
  <c r="N2625" i="1" l="1" a="1"/>
  <c r="N2625" i="1" s="1"/>
  <c r="M2625" i="1" a="1"/>
  <c r="M2625" i="1" s="1"/>
  <c r="J2625" i="1" a="1"/>
  <c r="J2625" i="1" s="1"/>
  <c r="L2625" i="1"/>
  <c r="K2625" i="1" a="1"/>
  <c r="K2625" i="1" s="1"/>
  <c r="I2625" i="1"/>
  <c r="H2625" i="1" a="1"/>
  <c r="H2625" i="1" s="1"/>
  <c r="G2625" i="1" a="1"/>
  <c r="G2625" i="1" s="1"/>
  <c r="A2624" i="1" l="1"/>
  <c r="N2624" i="1" l="1" a="1"/>
  <c r="N2624" i="1" s="1"/>
  <c r="M2624" i="1" a="1"/>
  <c r="M2624" i="1" s="1"/>
  <c r="J2624" i="1" a="1"/>
  <c r="J2624" i="1" s="1"/>
  <c r="L2624" i="1"/>
  <c r="K2624" i="1" a="1"/>
  <c r="K2624" i="1" s="1"/>
  <c r="I2624" i="1"/>
  <c r="H2624" i="1" a="1"/>
  <c r="H2624" i="1" s="1"/>
  <c r="G2624" i="1" a="1"/>
  <c r="G2624" i="1" s="1"/>
  <c r="A2623" i="1" l="1"/>
  <c r="N2623" i="1" l="1" a="1"/>
  <c r="N2623" i="1" s="1"/>
  <c r="M2623" i="1" a="1"/>
  <c r="M2623" i="1" s="1"/>
  <c r="J2623" i="1" a="1"/>
  <c r="J2623" i="1" s="1"/>
  <c r="L2623" i="1"/>
  <c r="K2623" i="1" a="1"/>
  <c r="K2623" i="1" s="1"/>
  <c r="I2623" i="1"/>
  <c r="H2623" i="1" a="1"/>
  <c r="H2623" i="1" s="1"/>
  <c r="G2623" i="1" a="1"/>
  <c r="G2623" i="1" s="1"/>
  <c r="A2622" i="1" l="1"/>
  <c r="N2622" i="1" l="1" a="1"/>
  <c r="N2622" i="1" s="1"/>
  <c r="M2622" i="1" a="1"/>
  <c r="M2622" i="1" s="1"/>
  <c r="J2622" i="1" a="1"/>
  <c r="J2622" i="1" s="1"/>
  <c r="L2622" i="1"/>
  <c r="K2622" i="1" a="1"/>
  <c r="K2622" i="1" s="1"/>
  <c r="I2622" i="1"/>
  <c r="H2622" i="1" a="1"/>
  <c r="H2622" i="1" s="1"/>
  <c r="G2622" i="1" a="1"/>
  <c r="G2622" i="1" s="1"/>
  <c r="A2621" i="1" l="1"/>
  <c r="N2621" i="1" l="1" a="1"/>
  <c r="N2621" i="1" s="1"/>
  <c r="M2621" i="1" a="1"/>
  <c r="M2621" i="1" s="1"/>
  <c r="J2621" i="1" a="1"/>
  <c r="J2621" i="1" s="1"/>
  <c r="L2621" i="1"/>
  <c r="K2621" i="1" a="1"/>
  <c r="K2621" i="1" s="1"/>
  <c r="I2621" i="1"/>
  <c r="H2621" i="1" a="1"/>
  <c r="H2621" i="1" s="1"/>
  <c r="G2621" i="1" a="1"/>
  <c r="G2621" i="1" s="1"/>
  <c r="A2620" i="1" l="1"/>
  <c r="N2620" i="1" l="1" a="1"/>
  <c r="N2620" i="1" s="1"/>
  <c r="M2620" i="1" a="1"/>
  <c r="M2620" i="1" s="1"/>
  <c r="J2620" i="1" a="1"/>
  <c r="J2620" i="1" s="1"/>
  <c r="L2620" i="1"/>
  <c r="K2620" i="1" a="1"/>
  <c r="K2620" i="1" s="1"/>
  <c r="I2620" i="1"/>
  <c r="H2620" i="1" a="1"/>
  <c r="H2620" i="1" s="1"/>
  <c r="G2620" i="1" a="1"/>
  <c r="G2620" i="1" s="1"/>
  <c r="A2619" i="1" l="1"/>
  <c r="N2619" i="1" l="1" a="1"/>
  <c r="N2619" i="1" s="1"/>
  <c r="M2619" i="1" a="1"/>
  <c r="M2619" i="1" s="1"/>
  <c r="J2619" i="1" a="1"/>
  <c r="J2619" i="1" s="1"/>
  <c r="L2619" i="1"/>
  <c r="K2619" i="1" a="1"/>
  <c r="K2619" i="1" s="1"/>
  <c r="I2619" i="1"/>
  <c r="H2619" i="1" a="1"/>
  <c r="H2619" i="1" s="1"/>
  <c r="G2619" i="1" a="1"/>
  <c r="G2619" i="1" s="1"/>
  <c r="A2618" i="1" l="1"/>
  <c r="N2618" i="1" l="1" a="1"/>
  <c r="N2618" i="1" s="1"/>
  <c r="M2618" i="1" a="1"/>
  <c r="M2618" i="1" s="1"/>
  <c r="J2618" i="1" a="1"/>
  <c r="J2618" i="1" s="1"/>
  <c r="L2618" i="1"/>
  <c r="K2618" i="1" a="1"/>
  <c r="K2618" i="1" s="1"/>
  <c r="I2618" i="1"/>
  <c r="H2618" i="1" a="1"/>
  <c r="H2618" i="1" s="1"/>
  <c r="G2618" i="1" a="1"/>
  <c r="G2618" i="1" s="1"/>
  <c r="A2617" i="1" l="1"/>
  <c r="N2617" i="1" l="1" a="1"/>
  <c r="N2617" i="1" s="1"/>
  <c r="M2617" i="1" a="1"/>
  <c r="M2617" i="1" s="1"/>
  <c r="J2617" i="1" a="1"/>
  <c r="J2617" i="1" s="1"/>
  <c r="L2617" i="1"/>
  <c r="K2617" i="1" a="1"/>
  <c r="K2617" i="1" s="1"/>
  <c r="I2617" i="1"/>
  <c r="H2617" i="1" a="1"/>
  <c r="H2617" i="1" s="1"/>
  <c r="G2617" i="1" a="1"/>
  <c r="G2617" i="1" s="1"/>
  <c r="A2616" i="1" l="1"/>
  <c r="N2616" i="1" l="1" a="1"/>
  <c r="N2616" i="1" s="1"/>
  <c r="M2616" i="1" a="1"/>
  <c r="M2616" i="1" s="1"/>
  <c r="J2616" i="1" a="1"/>
  <c r="J2616" i="1" s="1"/>
  <c r="L2616" i="1"/>
  <c r="K2616" i="1" a="1"/>
  <c r="K2616" i="1" s="1"/>
  <c r="I2616" i="1"/>
  <c r="H2616" i="1" a="1"/>
  <c r="H2616" i="1" s="1"/>
  <c r="G2616" i="1" a="1"/>
  <c r="G2616" i="1" s="1"/>
  <c r="A2615" i="1" l="1"/>
  <c r="N2615" i="1" l="1" a="1"/>
  <c r="N2615" i="1" s="1"/>
  <c r="M2615" i="1" a="1"/>
  <c r="M2615" i="1" s="1"/>
  <c r="J2615" i="1" a="1"/>
  <c r="J2615" i="1" s="1"/>
  <c r="L2615" i="1"/>
  <c r="K2615" i="1" a="1"/>
  <c r="K2615" i="1" s="1"/>
  <c r="I2615" i="1"/>
  <c r="H2615" i="1" a="1"/>
  <c r="H2615" i="1" s="1"/>
  <c r="G2615" i="1" a="1"/>
  <c r="G2615" i="1" s="1"/>
  <c r="A2614" i="1" l="1"/>
  <c r="N2614" i="1" l="1" a="1"/>
  <c r="N2614" i="1" s="1"/>
  <c r="M2614" i="1" a="1"/>
  <c r="M2614" i="1" s="1"/>
  <c r="J2614" i="1" a="1"/>
  <c r="J2614" i="1" s="1"/>
  <c r="L2614" i="1"/>
  <c r="K2614" i="1" a="1"/>
  <c r="K2614" i="1" s="1"/>
  <c r="I2614" i="1"/>
  <c r="H2614" i="1" a="1"/>
  <c r="H2614" i="1" s="1"/>
  <c r="G2614" i="1" a="1"/>
  <c r="G2614" i="1" s="1"/>
  <c r="A2613" i="1" l="1"/>
  <c r="N2613" i="1" l="1" a="1"/>
  <c r="N2613" i="1" s="1"/>
  <c r="M2613" i="1" a="1"/>
  <c r="M2613" i="1" s="1"/>
  <c r="J2613" i="1" a="1"/>
  <c r="J2613" i="1" s="1"/>
  <c r="L2613" i="1"/>
  <c r="K2613" i="1" a="1"/>
  <c r="K2613" i="1" s="1"/>
  <c r="I2613" i="1"/>
  <c r="H2613" i="1" a="1"/>
  <c r="H2613" i="1" s="1"/>
  <c r="G2613" i="1" a="1"/>
  <c r="G2613" i="1" s="1"/>
  <c r="A2612" i="1" l="1"/>
  <c r="A2611" i="1"/>
  <c r="A2610" i="1"/>
  <c r="N2610" i="1" l="1" a="1"/>
  <c r="N2610" i="1" s="1"/>
  <c r="M2610" i="1" a="1"/>
  <c r="M2610" i="1" s="1"/>
  <c r="N2611" i="1" a="1"/>
  <c r="N2611" i="1" s="1"/>
  <c r="M2611" i="1" a="1"/>
  <c r="M2611" i="1" s="1"/>
  <c r="N2612" i="1" a="1"/>
  <c r="N2612" i="1" s="1"/>
  <c r="M2612" i="1" a="1"/>
  <c r="M2612" i="1" s="1"/>
  <c r="J2610" i="1" a="1"/>
  <c r="J2610" i="1" s="1"/>
  <c r="L2610" i="1"/>
  <c r="K2610" i="1" a="1"/>
  <c r="K2610" i="1" s="1"/>
  <c r="J2611" i="1" a="1"/>
  <c r="J2611" i="1" s="1"/>
  <c r="L2611" i="1"/>
  <c r="K2611" i="1" a="1"/>
  <c r="K2611" i="1" s="1"/>
  <c r="J2612" i="1" a="1"/>
  <c r="J2612" i="1" s="1"/>
  <c r="L2612" i="1"/>
  <c r="K2612" i="1" a="1"/>
  <c r="K2612" i="1" s="1"/>
  <c r="I2611" i="1"/>
  <c r="H2611" i="1" a="1"/>
  <c r="H2611" i="1" s="1"/>
  <c r="G2611" i="1" a="1"/>
  <c r="G2611" i="1" s="1"/>
  <c r="I2610" i="1"/>
  <c r="H2610" i="1" a="1"/>
  <c r="H2610" i="1" s="1"/>
  <c r="G2610" i="1" a="1"/>
  <c r="G2610" i="1" s="1"/>
  <c r="I2612" i="1"/>
  <c r="H2612" i="1" a="1"/>
  <c r="H2612" i="1" s="1"/>
  <c r="G2612" i="1" a="1"/>
  <c r="G2612" i="1" s="1"/>
  <c r="A2609" i="1" l="1"/>
  <c r="N2609" i="1" l="1" a="1"/>
  <c r="N2609" i="1" s="1"/>
  <c r="M2609" i="1" a="1"/>
  <c r="M2609" i="1" s="1"/>
  <c r="J2609" i="1" a="1"/>
  <c r="J2609" i="1" s="1"/>
  <c r="L2609" i="1"/>
  <c r="K2609" i="1" a="1"/>
  <c r="K2609" i="1" s="1"/>
  <c r="I2609" i="1"/>
  <c r="H2609" i="1" a="1"/>
  <c r="H2609" i="1" s="1"/>
  <c r="G2609" i="1" a="1"/>
  <c r="G2609" i="1" s="1"/>
  <c r="A2608" i="1" l="1"/>
  <c r="N2608" i="1" l="1" a="1"/>
  <c r="N2608" i="1" s="1"/>
  <c r="M2608" i="1" a="1"/>
  <c r="M2608" i="1" s="1"/>
  <c r="J2608" i="1" a="1"/>
  <c r="J2608" i="1" s="1"/>
  <c r="L2608" i="1"/>
  <c r="K2608" i="1" a="1"/>
  <c r="K2608" i="1" s="1"/>
  <c r="I2608" i="1"/>
  <c r="H2608" i="1" a="1"/>
  <c r="H2608" i="1" s="1"/>
  <c r="G2608" i="1" a="1"/>
  <c r="G2608" i="1" s="1"/>
  <c r="A2607" i="1" l="1"/>
  <c r="A2606" i="1"/>
  <c r="N2606" i="1" l="1" a="1"/>
  <c r="N2606" i="1" s="1"/>
  <c r="M2606" i="1" a="1"/>
  <c r="M2606" i="1" s="1"/>
  <c r="N2607" i="1" a="1"/>
  <c r="N2607" i="1" s="1"/>
  <c r="M2607" i="1" a="1"/>
  <c r="M2607" i="1" s="1"/>
  <c r="J2606" i="1" a="1"/>
  <c r="J2606" i="1" s="1"/>
  <c r="L2606" i="1"/>
  <c r="K2606" i="1" a="1"/>
  <c r="K2606" i="1" s="1"/>
  <c r="J2607" i="1" a="1"/>
  <c r="J2607" i="1" s="1"/>
  <c r="L2607" i="1"/>
  <c r="K2607" i="1" a="1"/>
  <c r="K2607" i="1" s="1"/>
  <c r="I2606" i="1"/>
  <c r="H2606" i="1" a="1"/>
  <c r="H2606" i="1" s="1"/>
  <c r="G2606" i="1" a="1"/>
  <c r="G2606" i="1" s="1"/>
  <c r="I2607" i="1"/>
  <c r="H2607" i="1" a="1"/>
  <c r="H2607" i="1" s="1"/>
  <c r="G2607" i="1" a="1"/>
  <c r="G2607" i="1" s="1"/>
  <c r="A2605" i="1" l="1"/>
  <c r="N2605" i="1" l="1" a="1"/>
  <c r="N2605" i="1" s="1"/>
  <c r="M2605" i="1" a="1"/>
  <c r="M2605" i="1" s="1"/>
  <c r="J2605" i="1" a="1"/>
  <c r="J2605" i="1" s="1"/>
  <c r="L2605" i="1"/>
  <c r="K2605" i="1" a="1"/>
  <c r="K2605" i="1" s="1"/>
  <c r="I2605" i="1"/>
  <c r="H2605" i="1" a="1"/>
  <c r="H2605" i="1" s="1"/>
  <c r="G2605" i="1" a="1"/>
  <c r="G2605" i="1" s="1"/>
  <c r="A2603" i="1" l="1"/>
  <c r="A2604" i="1"/>
  <c r="N2604" i="1" l="1" a="1"/>
  <c r="N2604" i="1" s="1"/>
  <c r="M2604" i="1" a="1"/>
  <c r="M2604" i="1" s="1"/>
  <c r="N2603" i="1" a="1"/>
  <c r="N2603" i="1" s="1"/>
  <c r="M2603" i="1" a="1"/>
  <c r="M2603" i="1" s="1"/>
  <c r="J2604" i="1" a="1"/>
  <c r="J2604" i="1" s="1"/>
  <c r="L2604" i="1"/>
  <c r="K2604" i="1" a="1"/>
  <c r="K2604" i="1" s="1"/>
  <c r="J2603" i="1" a="1"/>
  <c r="J2603" i="1" s="1"/>
  <c r="L2603" i="1"/>
  <c r="K2603" i="1" a="1"/>
  <c r="K2603" i="1" s="1"/>
  <c r="I2604" i="1"/>
  <c r="H2604" i="1" a="1"/>
  <c r="H2604" i="1" s="1"/>
  <c r="G2604" i="1" a="1"/>
  <c r="G2604" i="1" s="1"/>
  <c r="I2603" i="1"/>
  <c r="H2603" i="1" a="1"/>
  <c r="H2603" i="1" s="1"/>
  <c r="G2603" i="1" a="1"/>
  <c r="G2603" i="1" s="1"/>
  <c r="A2602" i="1"/>
  <c r="N2602" i="1" l="1" a="1"/>
  <c r="N2602" i="1" s="1"/>
  <c r="M2602" i="1" a="1"/>
  <c r="M2602" i="1" s="1"/>
  <c r="J2602" i="1" a="1"/>
  <c r="J2602" i="1" s="1"/>
  <c r="L2602" i="1"/>
  <c r="K2602" i="1" a="1"/>
  <c r="K2602" i="1" s="1"/>
  <c r="I2602" i="1"/>
  <c r="H2602" i="1" a="1"/>
  <c r="H2602" i="1" s="1"/>
  <c r="G2602" i="1" a="1"/>
  <c r="G2602" i="1" s="1"/>
  <c r="A2601" i="1" l="1"/>
  <c r="A2600" i="1"/>
  <c r="N2601" i="1" l="1" a="1"/>
  <c r="N2601" i="1" s="1"/>
  <c r="M2601" i="1" a="1"/>
  <c r="M2601" i="1" s="1"/>
  <c r="N2600" i="1" a="1"/>
  <c r="N2600" i="1" s="1"/>
  <c r="M2600" i="1" a="1"/>
  <c r="M2600" i="1" s="1"/>
  <c r="J2601" i="1" a="1"/>
  <c r="J2601" i="1" s="1"/>
  <c r="L2601" i="1"/>
  <c r="K2601" i="1" a="1"/>
  <c r="K2601" i="1" s="1"/>
  <c r="J2600" i="1" a="1"/>
  <c r="J2600" i="1" s="1"/>
  <c r="L2600" i="1"/>
  <c r="K2600" i="1" a="1"/>
  <c r="K2600" i="1" s="1"/>
  <c r="I2601" i="1"/>
  <c r="H2601" i="1" a="1"/>
  <c r="H2601" i="1" s="1"/>
  <c r="G2601" i="1" a="1"/>
  <c r="G2601" i="1" s="1"/>
  <c r="I2600" i="1"/>
  <c r="H2600" i="1" a="1"/>
  <c r="H2600" i="1" s="1"/>
  <c r="G2600" i="1" a="1"/>
  <c r="G2600" i="1" s="1"/>
  <c r="A2599" i="1" l="1"/>
  <c r="A2598" i="1"/>
  <c r="A2597" i="1"/>
  <c r="A2596" i="1"/>
  <c r="N2596" i="1" l="1" a="1"/>
  <c r="N2596" i="1" s="1"/>
  <c r="M2596" i="1" a="1"/>
  <c r="M2596" i="1" s="1"/>
  <c r="N2597" i="1" a="1"/>
  <c r="N2597" i="1" s="1"/>
  <c r="M2597" i="1" a="1"/>
  <c r="M2597" i="1" s="1"/>
  <c r="N2598" i="1" a="1"/>
  <c r="N2598" i="1" s="1"/>
  <c r="M2598" i="1" a="1"/>
  <c r="M2598" i="1" s="1"/>
  <c r="N2599" i="1" a="1"/>
  <c r="N2599" i="1" s="1"/>
  <c r="M2599" i="1" a="1"/>
  <c r="M2599" i="1" s="1"/>
  <c r="J2597" i="1" a="1"/>
  <c r="J2597" i="1" s="1"/>
  <c r="L2597" i="1"/>
  <c r="K2597" i="1" a="1"/>
  <c r="K2597" i="1" s="1"/>
  <c r="J2598" i="1" a="1"/>
  <c r="J2598" i="1" s="1"/>
  <c r="L2598" i="1"/>
  <c r="K2598" i="1" a="1"/>
  <c r="K2598" i="1" s="1"/>
  <c r="J2596" i="1" a="1"/>
  <c r="J2596" i="1" s="1"/>
  <c r="L2596" i="1"/>
  <c r="K2596" i="1" a="1"/>
  <c r="K2596" i="1" s="1"/>
  <c r="J2599" i="1" a="1"/>
  <c r="J2599" i="1" s="1"/>
  <c r="L2599" i="1"/>
  <c r="K2599" i="1" a="1"/>
  <c r="K2599" i="1" s="1"/>
  <c r="I2596" i="1"/>
  <c r="H2596" i="1" a="1"/>
  <c r="H2596" i="1" s="1"/>
  <c r="G2596" i="1" a="1"/>
  <c r="G2596" i="1" s="1"/>
  <c r="I2598" i="1"/>
  <c r="H2598" i="1" a="1"/>
  <c r="H2598" i="1" s="1"/>
  <c r="G2598" i="1" a="1"/>
  <c r="G2598" i="1" s="1"/>
  <c r="I2597" i="1"/>
  <c r="H2597" i="1" a="1"/>
  <c r="H2597" i="1" s="1"/>
  <c r="G2597" i="1" a="1"/>
  <c r="G2597" i="1" s="1"/>
  <c r="I2599" i="1"/>
  <c r="H2599" i="1" a="1"/>
  <c r="H2599" i="1" s="1"/>
  <c r="G2599" i="1" a="1"/>
  <c r="G2599" i="1" s="1"/>
  <c r="A2595" i="1" l="1"/>
  <c r="N2595" i="1" l="1" a="1"/>
  <c r="N2595" i="1" s="1"/>
  <c r="M2595" i="1" a="1"/>
  <c r="M2595" i="1" s="1"/>
  <c r="J2595" i="1" a="1"/>
  <c r="J2595" i="1" s="1"/>
  <c r="L2595" i="1"/>
  <c r="K2595" i="1" a="1"/>
  <c r="K2595" i="1" s="1"/>
  <c r="I2595" i="1"/>
  <c r="H2595" i="1" a="1"/>
  <c r="H2595" i="1" s="1"/>
  <c r="G2595" i="1" a="1"/>
  <c r="G2595" i="1" s="1"/>
  <c r="A2594" i="1"/>
  <c r="N2594" i="1" l="1" a="1"/>
  <c r="N2594" i="1" s="1"/>
  <c r="M2594" i="1" a="1"/>
  <c r="M2594" i="1" s="1"/>
  <c r="J2594" i="1" a="1"/>
  <c r="J2594" i="1" s="1"/>
  <c r="L2594" i="1"/>
  <c r="K2594" i="1" a="1"/>
  <c r="K2594" i="1" s="1"/>
  <c r="I2594" i="1"/>
  <c r="H2594" i="1" a="1"/>
  <c r="H2594" i="1" s="1"/>
  <c r="G2594" i="1" a="1"/>
  <c r="G2594" i="1" s="1"/>
  <c r="A2593" i="1" l="1"/>
  <c r="N2593" i="1" l="1" a="1"/>
  <c r="N2593" i="1" s="1"/>
  <c r="M2593" i="1" a="1"/>
  <c r="M2593" i="1" s="1"/>
  <c r="J2593" i="1" a="1"/>
  <c r="J2593" i="1" s="1"/>
  <c r="L2593" i="1"/>
  <c r="K2593" i="1" a="1"/>
  <c r="K2593" i="1" s="1"/>
  <c r="I2593" i="1"/>
  <c r="H2593" i="1" a="1"/>
  <c r="H2593" i="1" s="1"/>
  <c r="G2593" i="1" a="1"/>
  <c r="G2593" i="1" s="1"/>
  <c r="A2592" i="1" l="1"/>
  <c r="N2592" i="1" l="1" a="1"/>
  <c r="N2592" i="1" s="1"/>
  <c r="M2592" i="1" a="1"/>
  <c r="M2592" i="1" s="1"/>
  <c r="J2592" i="1" a="1"/>
  <c r="J2592" i="1" s="1"/>
  <c r="L2592" i="1"/>
  <c r="K2592" i="1" a="1"/>
  <c r="K2592" i="1" s="1"/>
  <c r="I2592" i="1"/>
  <c r="H2592" i="1" a="1"/>
  <c r="H2592" i="1" s="1"/>
  <c r="G2592" i="1" a="1"/>
  <c r="G2592" i="1" s="1"/>
  <c r="A2591" i="1" l="1"/>
  <c r="A2590" i="1"/>
  <c r="N2590" i="1" l="1" a="1"/>
  <c r="N2590" i="1" s="1"/>
  <c r="M2590" i="1" a="1"/>
  <c r="M2590" i="1" s="1"/>
  <c r="N2591" i="1" a="1"/>
  <c r="N2591" i="1" s="1"/>
  <c r="M2591" i="1" a="1"/>
  <c r="M2591" i="1" s="1"/>
  <c r="J2590" i="1" a="1"/>
  <c r="J2590" i="1" s="1"/>
  <c r="L2590" i="1"/>
  <c r="K2590" i="1" a="1"/>
  <c r="K2590" i="1" s="1"/>
  <c r="J2591" i="1" a="1"/>
  <c r="J2591" i="1" s="1"/>
  <c r="L2591" i="1"/>
  <c r="K2591" i="1" a="1"/>
  <c r="K2591" i="1" s="1"/>
  <c r="I2590" i="1"/>
  <c r="H2590" i="1" a="1"/>
  <c r="H2590" i="1" s="1"/>
  <c r="G2590" i="1" a="1"/>
  <c r="G2590" i="1" s="1"/>
  <c r="I2591" i="1"/>
  <c r="H2591" i="1" a="1"/>
  <c r="H2591" i="1" s="1"/>
  <c r="G2591" i="1" a="1"/>
  <c r="G2591" i="1" s="1"/>
  <c r="A2589" i="1" l="1"/>
  <c r="N2589" i="1" l="1" a="1"/>
  <c r="N2589" i="1" s="1"/>
  <c r="M2589" i="1" a="1"/>
  <c r="M2589" i="1" s="1"/>
  <c r="J2589" i="1" a="1"/>
  <c r="J2589" i="1" s="1"/>
  <c r="L2589" i="1"/>
  <c r="K2589" i="1" a="1"/>
  <c r="K2589" i="1" s="1"/>
  <c r="I2589" i="1"/>
  <c r="H2589" i="1" a="1"/>
  <c r="H2589" i="1" s="1"/>
  <c r="G2589" i="1" a="1"/>
  <c r="G2589" i="1" s="1"/>
  <c r="A2588" i="1" l="1"/>
  <c r="N2588" i="1" l="1" a="1"/>
  <c r="N2588" i="1" s="1"/>
  <c r="M2588" i="1" a="1"/>
  <c r="M2588" i="1" s="1"/>
  <c r="J2588" i="1" a="1"/>
  <c r="J2588" i="1" s="1"/>
  <c r="L2588" i="1"/>
  <c r="K2588" i="1" a="1"/>
  <c r="K2588" i="1" s="1"/>
  <c r="I2588" i="1"/>
  <c r="H2588" i="1" a="1"/>
  <c r="H2588" i="1" s="1"/>
  <c r="G2588" i="1" a="1"/>
  <c r="G2588" i="1" s="1"/>
  <c r="A2587" i="1" l="1"/>
  <c r="N2587" i="1" l="1" a="1"/>
  <c r="N2587" i="1" s="1"/>
  <c r="M2587" i="1" a="1"/>
  <c r="M2587" i="1" s="1"/>
  <c r="J2587" i="1" a="1"/>
  <c r="J2587" i="1" s="1"/>
  <c r="L2587" i="1"/>
  <c r="K2587" i="1" a="1"/>
  <c r="K2587" i="1" s="1"/>
  <c r="I2587" i="1"/>
  <c r="H2587" i="1" a="1"/>
  <c r="H2587" i="1" s="1"/>
  <c r="G2587" i="1" a="1"/>
  <c r="G2587" i="1" s="1"/>
  <c r="A2586" i="1" l="1"/>
  <c r="N2586" i="1" l="1" a="1"/>
  <c r="N2586" i="1" s="1"/>
  <c r="M2586" i="1" a="1"/>
  <c r="M2586" i="1" s="1"/>
  <c r="J2586" i="1" a="1"/>
  <c r="J2586" i="1" s="1"/>
  <c r="L2586" i="1"/>
  <c r="K2586" i="1" a="1"/>
  <c r="K2586" i="1" s="1"/>
  <c r="I2586" i="1"/>
  <c r="H2586" i="1" a="1"/>
  <c r="H2586" i="1" s="1"/>
  <c r="G2586" i="1" a="1"/>
  <c r="G2586" i="1" s="1"/>
  <c r="A2585" i="1" l="1"/>
  <c r="N2585" i="1" l="1" a="1"/>
  <c r="N2585" i="1" s="1"/>
  <c r="M2585" i="1" a="1"/>
  <c r="M2585" i="1" s="1"/>
  <c r="J2585" i="1" a="1"/>
  <c r="J2585" i="1" s="1"/>
  <c r="L2585" i="1"/>
  <c r="K2585" i="1" a="1"/>
  <c r="K2585" i="1" s="1"/>
  <c r="I2585" i="1"/>
  <c r="H2585" i="1" a="1"/>
  <c r="H2585" i="1" s="1"/>
  <c r="G2585" i="1" a="1"/>
  <c r="G2585" i="1" s="1"/>
  <c r="A2584" i="1" l="1"/>
  <c r="N2584" i="1" l="1" a="1"/>
  <c r="N2584" i="1" s="1"/>
  <c r="M2584" i="1" a="1"/>
  <c r="M2584" i="1" s="1"/>
  <c r="J2584" i="1" a="1"/>
  <c r="J2584" i="1" s="1"/>
  <c r="L2584" i="1"/>
  <c r="K2584" i="1" a="1"/>
  <c r="K2584" i="1" s="1"/>
  <c r="I2584" i="1"/>
  <c r="H2584" i="1" a="1"/>
  <c r="H2584" i="1" s="1"/>
  <c r="G2584" i="1" a="1"/>
  <c r="G2584" i="1" s="1"/>
  <c r="A2583" i="1" l="1"/>
  <c r="N2583" i="1" l="1" a="1"/>
  <c r="N2583" i="1" s="1"/>
  <c r="M2583" i="1" a="1"/>
  <c r="M2583" i="1" s="1"/>
  <c r="J2583" i="1" a="1"/>
  <c r="J2583" i="1" s="1"/>
  <c r="L2583" i="1"/>
  <c r="K2583" i="1" a="1"/>
  <c r="K2583" i="1" s="1"/>
  <c r="I2583" i="1"/>
  <c r="H2583" i="1" a="1"/>
  <c r="H2583" i="1" s="1"/>
  <c r="G2583" i="1" a="1"/>
  <c r="G2583" i="1" s="1"/>
  <c r="A2582" i="1" l="1"/>
  <c r="N2582" i="1" l="1" a="1"/>
  <c r="N2582" i="1" s="1"/>
  <c r="M2582" i="1" a="1"/>
  <c r="M2582" i="1" s="1"/>
  <c r="J2582" i="1" a="1"/>
  <c r="J2582" i="1" s="1"/>
  <c r="L2582" i="1"/>
  <c r="K2582" i="1" a="1"/>
  <c r="K2582" i="1" s="1"/>
  <c r="I2582" i="1"/>
  <c r="H2582" i="1" a="1"/>
  <c r="H2582" i="1" s="1"/>
  <c r="G2582" i="1" a="1"/>
  <c r="G2582" i="1" s="1"/>
  <c r="A2581" i="1" l="1"/>
  <c r="N2581" i="1" l="1" a="1"/>
  <c r="N2581" i="1" s="1"/>
  <c r="M2581" i="1" a="1"/>
  <c r="M2581" i="1" s="1"/>
  <c r="J2581" i="1" a="1"/>
  <c r="J2581" i="1" s="1"/>
  <c r="L2581" i="1"/>
  <c r="K2581" i="1" a="1"/>
  <c r="K2581" i="1" s="1"/>
  <c r="I2581" i="1"/>
  <c r="H2581" i="1" a="1"/>
  <c r="H2581" i="1" s="1"/>
  <c r="G2581" i="1" a="1"/>
  <c r="G2581" i="1" s="1"/>
  <c r="A2580" i="1" l="1"/>
  <c r="N2580" i="1" l="1" a="1"/>
  <c r="N2580" i="1" s="1"/>
  <c r="M2580" i="1" a="1"/>
  <c r="M2580" i="1" s="1"/>
  <c r="J2580" i="1" a="1"/>
  <c r="J2580" i="1" s="1"/>
  <c r="L2580" i="1"/>
  <c r="K2580" i="1" a="1"/>
  <c r="K2580" i="1" s="1"/>
  <c r="I2580" i="1"/>
  <c r="H2580" i="1" a="1"/>
  <c r="H2580" i="1" s="1"/>
  <c r="G2580" i="1" a="1"/>
  <c r="G2580" i="1" s="1"/>
  <c r="A2579" i="1" l="1"/>
  <c r="N2579" i="1" l="1" a="1"/>
  <c r="N2579" i="1" s="1"/>
  <c r="M2579" i="1" a="1"/>
  <c r="M2579" i="1" s="1"/>
  <c r="J2579" i="1" a="1"/>
  <c r="J2579" i="1" s="1"/>
  <c r="L2579" i="1"/>
  <c r="K2579" i="1" a="1"/>
  <c r="K2579" i="1" s="1"/>
  <c r="I2579" i="1"/>
  <c r="H2579" i="1" a="1"/>
  <c r="H2579" i="1" s="1"/>
  <c r="G2579" i="1" a="1"/>
  <c r="G2579" i="1" s="1"/>
  <c r="A2578" i="1" l="1"/>
  <c r="N2578" i="1" l="1" a="1"/>
  <c r="N2578" i="1" s="1"/>
  <c r="M2578" i="1" a="1"/>
  <c r="M2578" i="1" s="1"/>
  <c r="J2578" i="1" a="1"/>
  <c r="J2578" i="1" s="1"/>
  <c r="L2578" i="1"/>
  <c r="K2578" i="1" a="1"/>
  <c r="K2578" i="1" s="1"/>
  <c r="I2578" i="1"/>
  <c r="H2578" i="1" a="1"/>
  <c r="H2578" i="1" s="1"/>
  <c r="G2578" i="1" a="1"/>
  <c r="G2578" i="1" s="1"/>
  <c r="A2577" i="1" l="1"/>
  <c r="N2577" i="1" l="1" a="1"/>
  <c r="N2577" i="1" s="1"/>
  <c r="M2577" i="1" a="1"/>
  <c r="M2577" i="1" s="1"/>
  <c r="J2577" i="1" a="1"/>
  <c r="J2577" i="1" s="1"/>
  <c r="L2577" i="1"/>
  <c r="K2577" i="1" a="1"/>
  <c r="K2577" i="1" s="1"/>
  <c r="I2577" i="1"/>
  <c r="H2577" i="1" a="1"/>
  <c r="H2577" i="1" s="1"/>
  <c r="G2577" i="1" a="1"/>
  <c r="G2577" i="1" s="1"/>
  <c r="A2576" i="1" l="1"/>
  <c r="N2576" i="1" l="1" a="1"/>
  <c r="N2576" i="1" s="1"/>
  <c r="M2576" i="1" a="1"/>
  <c r="M2576" i="1" s="1"/>
  <c r="J2576" i="1" a="1"/>
  <c r="J2576" i="1" s="1"/>
  <c r="L2576" i="1"/>
  <c r="K2576" i="1" a="1"/>
  <c r="K2576" i="1" s="1"/>
  <c r="I2576" i="1"/>
  <c r="H2576" i="1" a="1"/>
  <c r="H2576" i="1" s="1"/>
  <c r="G2576" i="1" a="1"/>
  <c r="G2576" i="1" s="1"/>
  <c r="A2575" i="1" l="1"/>
  <c r="N2575" i="1" l="1" a="1"/>
  <c r="N2575" i="1" s="1"/>
  <c r="M2575" i="1" a="1"/>
  <c r="M2575" i="1" s="1"/>
  <c r="J2575" i="1" a="1"/>
  <c r="J2575" i="1" s="1"/>
  <c r="L2575" i="1"/>
  <c r="K2575" i="1" a="1"/>
  <c r="K2575" i="1" s="1"/>
  <c r="I2575" i="1"/>
  <c r="H2575" i="1" a="1"/>
  <c r="H2575" i="1" s="1"/>
  <c r="G2575" i="1" a="1"/>
  <c r="G2575" i="1" s="1"/>
  <c r="A2574" i="1" l="1"/>
  <c r="N2574" i="1" l="1" a="1"/>
  <c r="N2574" i="1" s="1"/>
  <c r="M2574" i="1" a="1"/>
  <c r="M2574" i="1" s="1"/>
  <c r="J2574" i="1" a="1"/>
  <c r="J2574" i="1" s="1"/>
  <c r="L2574" i="1"/>
  <c r="K2574" i="1" a="1"/>
  <c r="K2574" i="1" s="1"/>
  <c r="I2574" i="1"/>
  <c r="H2574" i="1" a="1"/>
  <c r="H2574" i="1" s="1"/>
  <c r="G2574" i="1" a="1"/>
  <c r="G2574" i="1" s="1"/>
  <c r="A2573" i="1" l="1"/>
  <c r="N2573" i="1" l="1" a="1"/>
  <c r="N2573" i="1" s="1"/>
  <c r="M2573" i="1" a="1"/>
  <c r="M2573" i="1" s="1"/>
  <c r="J2573" i="1" a="1"/>
  <c r="J2573" i="1" s="1"/>
  <c r="L2573" i="1"/>
  <c r="K2573" i="1" a="1"/>
  <c r="K2573" i="1" s="1"/>
  <c r="I2573" i="1"/>
  <c r="H2573" i="1" a="1"/>
  <c r="H2573" i="1" s="1"/>
  <c r="G2573" i="1" a="1"/>
  <c r="G2573" i="1" s="1"/>
  <c r="A2572" i="1" l="1"/>
  <c r="N2572" i="1" l="1" a="1"/>
  <c r="N2572" i="1" s="1"/>
  <c r="M2572" i="1" a="1"/>
  <c r="M2572" i="1" s="1"/>
  <c r="J2572" i="1" a="1"/>
  <c r="J2572" i="1" s="1"/>
  <c r="L2572" i="1"/>
  <c r="K2572" i="1" a="1"/>
  <c r="K2572" i="1" s="1"/>
  <c r="I2572" i="1"/>
  <c r="H2572" i="1" a="1"/>
  <c r="H2572" i="1" s="1"/>
  <c r="G2572" i="1" a="1"/>
  <c r="G2572" i="1" s="1"/>
  <c r="A2571" i="1" l="1"/>
  <c r="N2571" i="1" l="1" a="1"/>
  <c r="N2571" i="1" s="1"/>
  <c r="M2571" i="1" a="1"/>
  <c r="M2571" i="1" s="1"/>
  <c r="J2571" i="1" a="1"/>
  <c r="J2571" i="1" s="1"/>
  <c r="L2571" i="1"/>
  <c r="K2571" i="1" a="1"/>
  <c r="K2571" i="1" s="1"/>
  <c r="I2571" i="1"/>
  <c r="H2571" i="1" a="1"/>
  <c r="H2571" i="1" s="1"/>
  <c r="G2571" i="1" a="1"/>
  <c r="G2571" i="1" s="1"/>
  <c r="A2570" i="1" l="1"/>
  <c r="N2570" i="1" l="1" a="1"/>
  <c r="N2570" i="1" s="1"/>
  <c r="M2570" i="1" a="1"/>
  <c r="M2570" i="1" s="1"/>
  <c r="J2570" i="1" a="1"/>
  <c r="J2570" i="1" s="1"/>
  <c r="L2570" i="1"/>
  <c r="K2570" i="1" a="1"/>
  <c r="K2570" i="1" s="1"/>
  <c r="I2570" i="1"/>
  <c r="H2570" i="1" a="1"/>
  <c r="H2570" i="1" s="1"/>
  <c r="G2570" i="1" a="1"/>
  <c r="G2570" i="1" s="1"/>
  <c r="A2569" i="1" l="1"/>
  <c r="N2569" i="1" l="1" a="1"/>
  <c r="N2569" i="1" s="1"/>
  <c r="M2569" i="1" a="1"/>
  <c r="M2569" i="1" s="1"/>
  <c r="J2569" i="1" a="1"/>
  <c r="J2569" i="1" s="1"/>
  <c r="L2569" i="1"/>
  <c r="K2569" i="1" a="1"/>
  <c r="K2569" i="1" s="1"/>
  <c r="I2569" i="1"/>
  <c r="H2569" i="1" a="1"/>
  <c r="H2569" i="1" s="1"/>
  <c r="G2569" i="1" a="1"/>
  <c r="G2569" i="1" s="1"/>
  <c r="A2568" i="1"/>
  <c r="N2568" i="1" l="1" a="1"/>
  <c r="N2568" i="1" s="1"/>
  <c r="M2568" i="1" a="1"/>
  <c r="M2568" i="1" s="1"/>
  <c r="J2568" i="1" a="1"/>
  <c r="J2568" i="1" s="1"/>
  <c r="L2568" i="1"/>
  <c r="K2568" i="1" a="1"/>
  <c r="K2568" i="1" s="1"/>
  <c r="I2568" i="1"/>
  <c r="H2568" i="1" a="1"/>
  <c r="H2568" i="1" s="1"/>
  <c r="G2568" i="1" a="1"/>
  <c r="G2568" i="1" s="1"/>
  <c r="A2567" i="1" l="1"/>
  <c r="A2566" i="1"/>
  <c r="N2566" i="1" l="1" a="1"/>
  <c r="N2566" i="1" s="1"/>
  <c r="M2566" i="1" a="1"/>
  <c r="M2566" i="1" s="1"/>
  <c r="N2567" i="1" a="1"/>
  <c r="N2567" i="1" s="1"/>
  <c r="M2567" i="1" a="1"/>
  <c r="M2567" i="1" s="1"/>
  <c r="J2566" i="1" a="1"/>
  <c r="J2566" i="1" s="1"/>
  <c r="L2566" i="1"/>
  <c r="K2566" i="1" a="1"/>
  <c r="K2566" i="1" s="1"/>
  <c r="J2567" i="1" a="1"/>
  <c r="J2567" i="1" s="1"/>
  <c r="L2567" i="1"/>
  <c r="K2567" i="1" a="1"/>
  <c r="K2567" i="1" s="1"/>
  <c r="I2567" i="1"/>
  <c r="H2567" i="1" a="1"/>
  <c r="H2567" i="1" s="1"/>
  <c r="G2567" i="1" a="1"/>
  <c r="G2567" i="1" s="1"/>
  <c r="I2566" i="1"/>
  <c r="H2566" i="1" a="1"/>
  <c r="H2566" i="1" s="1"/>
  <c r="G2566" i="1" a="1"/>
  <c r="G2566" i="1" s="1"/>
  <c r="A2565" i="1"/>
  <c r="N2565" i="1" l="1" a="1"/>
  <c r="N2565" i="1" s="1"/>
  <c r="M2565" i="1" a="1"/>
  <c r="M2565" i="1" s="1"/>
  <c r="J2565" i="1" a="1"/>
  <c r="J2565" i="1" s="1"/>
  <c r="L2565" i="1"/>
  <c r="K2565" i="1" a="1"/>
  <c r="K2565" i="1" s="1"/>
  <c r="I2565" i="1"/>
  <c r="H2565" i="1" a="1"/>
  <c r="H2565" i="1" s="1"/>
  <c r="G2565" i="1" a="1"/>
  <c r="G2565" i="1" s="1"/>
  <c r="A2564" i="1" l="1"/>
  <c r="N2564" i="1" l="1" a="1"/>
  <c r="N2564" i="1" s="1"/>
  <c r="M2564" i="1" a="1"/>
  <c r="M2564" i="1" s="1"/>
  <c r="J2564" i="1" a="1"/>
  <c r="J2564" i="1" s="1"/>
  <c r="L2564" i="1"/>
  <c r="K2564" i="1" a="1"/>
  <c r="K2564" i="1" s="1"/>
  <c r="I2564" i="1"/>
  <c r="H2564" i="1" a="1"/>
  <c r="H2564" i="1" s="1"/>
  <c r="G2564" i="1" a="1"/>
  <c r="G2564" i="1" s="1"/>
  <c r="A2563" i="1" l="1"/>
  <c r="N2563" i="1" l="1" a="1"/>
  <c r="N2563" i="1" s="1"/>
  <c r="M2563" i="1" a="1"/>
  <c r="M2563" i="1" s="1"/>
  <c r="J2563" i="1" a="1"/>
  <c r="J2563" i="1" s="1"/>
  <c r="L2563" i="1"/>
  <c r="K2563" i="1" a="1"/>
  <c r="K2563" i="1" s="1"/>
  <c r="I2563" i="1"/>
  <c r="H2563" i="1" a="1"/>
  <c r="H2563" i="1" s="1"/>
  <c r="G2563" i="1" a="1"/>
  <c r="G2563" i="1" s="1"/>
  <c r="A2562" i="1" l="1"/>
  <c r="N2562" i="1" l="1" a="1"/>
  <c r="N2562" i="1" s="1"/>
  <c r="M2562" i="1" a="1"/>
  <c r="M2562" i="1" s="1"/>
  <c r="J2562" i="1" a="1"/>
  <c r="J2562" i="1" s="1"/>
  <c r="L2562" i="1"/>
  <c r="K2562" i="1" a="1"/>
  <c r="K2562" i="1" s="1"/>
  <c r="I2562" i="1"/>
  <c r="H2562" i="1" a="1"/>
  <c r="H2562" i="1" s="1"/>
  <c r="G2562" i="1" a="1"/>
  <c r="G2562" i="1" s="1"/>
  <c r="A2561" i="1" l="1"/>
  <c r="N2561" i="1" l="1" a="1"/>
  <c r="N2561" i="1" s="1"/>
  <c r="M2561" i="1" a="1"/>
  <c r="M2561" i="1" s="1"/>
  <c r="J2561" i="1" a="1"/>
  <c r="J2561" i="1" s="1"/>
  <c r="L2561" i="1"/>
  <c r="K2561" i="1" a="1"/>
  <c r="K2561" i="1" s="1"/>
  <c r="I2561" i="1"/>
  <c r="H2561" i="1" a="1"/>
  <c r="H2561" i="1" s="1"/>
  <c r="G2561" i="1" a="1"/>
  <c r="G2561" i="1" s="1"/>
  <c r="A2560" i="1" l="1"/>
  <c r="N2560" i="1" l="1" a="1"/>
  <c r="N2560" i="1" s="1"/>
  <c r="M2560" i="1" a="1"/>
  <c r="M2560" i="1" s="1"/>
  <c r="J2560" i="1" a="1"/>
  <c r="J2560" i="1" s="1"/>
  <c r="L2560" i="1"/>
  <c r="K2560" i="1" a="1"/>
  <c r="K2560" i="1" s="1"/>
  <c r="I2560" i="1"/>
  <c r="H2560" i="1" a="1"/>
  <c r="H2560" i="1" s="1"/>
  <c r="G2560" i="1" a="1"/>
  <c r="G2560" i="1" s="1"/>
  <c r="A2559" i="1" l="1"/>
  <c r="N2559" i="1" l="1" a="1"/>
  <c r="N2559" i="1" s="1"/>
  <c r="M2559" i="1" a="1"/>
  <c r="M2559" i="1" s="1"/>
  <c r="J2559" i="1" a="1"/>
  <c r="J2559" i="1" s="1"/>
  <c r="L2559" i="1"/>
  <c r="K2559" i="1" a="1"/>
  <c r="K2559" i="1" s="1"/>
  <c r="I2559" i="1"/>
  <c r="H2559" i="1" a="1"/>
  <c r="H2559" i="1" s="1"/>
  <c r="G2559" i="1" a="1"/>
  <c r="G2559" i="1" s="1"/>
  <c r="A2558" i="1" l="1"/>
  <c r="N2558" i="1" l="1" a="1"/>
  <c r="N2558" i="1" s="1"/>
  <c r="M2558" i="1" a="1"/>
  <c r="M2558" i="1" s="1"/>
  <c r="J2558" i="1" a="1"/>
  <c r="J2558" i="1" s="1"/>
  <c r="L2558" i="1"/>
  <c r="K2558" i="1" a="1"/>
  <c r="K2558" i="1" s="1"/>
  <c r="I2558" i="1"/>
  <c r="H2558" i="1" a="1"/>
  <c r="H2558" i="1" s="1"/>
  <c r="G2558" i="1" a="1"/>
  <c r="G2558" i="1" s="1"/>
  <c r="A2557" i="1" l="1"/>
  <c r="N2557" i="1" l="1" a="1"/>
  <c r="N2557" i="1" s="1"/>
  <c r="M2557" i="1" a="1"/>
  <c r="M2557" i="1" s="1"/>
  <c r="J2557" i="1" a="1"/>
  <c r="J2557" i="1" s="1"/>
  <c r="L2557" i="1"/>
  <c r="K2557" i="1" a="1"/>
  <c r="K2557" i="1" s="1"/>
  <c r="I2557" i="1"/>
  <c r="H2557" i="1" a="1"/>
  <c r="H2557" i="1" s="1"/>
  <c r="G2557" i="1" a="1"/>
  <c r="G2557" i="1" s="1"/>
  <c r="A2556" i="1" l="1"/>
  <c r="N2556" i="1" l="1" a="1"/>
  <c r="N2556" i="1" s="1"/>
  <c r="M2556" i="1" a="1"/>
  <c r="M2556" i="1" s="1"/>
  <c r="J2556" i="1" a="1"/>
  <c r="J2556" i="1" s="1"/>
  <c r="L2556" i="1"/>
  <c r="K2556" i="1" a="1"/>
  <c r="K2556" i="1" s="1"/>
  <c r="I2556" i="1"/>
  <c r="H2556" i="1" a="1"/>
  <c r="H2556" i="1" s="1"/>
  <c r="G2556" i="1" a="1"/>
  <c r="G2556" i="1" s="1"/>
  <c r="A2555" i="1" l="1"/>
  <c r="A2554" i="1"/>
  <c r="N2554" i="1" l="1" a="1"/>
  <c r="N2554" i="1" s="1"/>
  <c r="M2554" i="1" a="1"/>
  <c r="M2554" i="1" s="1"/>
  <c r="N2555" i="1" a="1"/>
  <c r="N2555" i="1" s="1"/>
  <c r="M2555" i="1" a="1"/>
  <c r="M2555" i="1" s="1"/>
  <c r="J2554" i="1" a="1"/>
  <c r="J2554" i="1" s="1"/>
  <c r="L2554" i="1"/>
  <c r="K2554" i="1" a="1"/>
  <c r="K2554" i="1" s="1"/>
  <c r="J2555" i="1" a="1"/>
  <c r="J2555" i="1" s="1"/>
  <c r="L2555" i="1"/>
  <c r="K2555" i="1" a="1"/>
  <c r="K2555" i="1" s="1"/>
  <c r="I2554" i="1"/>
  <c r="H2554" i="1" a="1"/>
  <c r="H2554" i="1" s="1"/>
  <c r="G2554" i="1" a="1"/>
  <c r="G2554" i="1" s="1"/>
  <c r="I2555" i="1"/>
  <c r="H2555" i="1" a="1"/>
  <c r="H2555" i="1" s="1"/>
  <c r="G2555" i="1" a="1"/>
  <c r="G2555" i="1" s="1"/>
  <c r="A2553" i="1" l="1"/>
  <c r="N2553" i="1" l="1" a="1"/>
  <c r="N2553" i="1" s="1"/>
  <c r="M2553" i="1" a="1"/>
  <c r="M2553" i="1" s="1"/>
  <c r="J2553" i="1" a="1"/>
  <c r="J2553" i="1" s="1"/>
  <c r="L2553" i="1"/>
  <c r="K2553" i="1" a="1"/>
  <c r="K2553" i="1" s="1"/>
  <c r="I2553" i="1"/>
  <c r="H2553" i="1" a="1"/>
  <c r="H2553" i="1" s="1"/>
  <c r="G2553" i="1" a="1"/>
  <c r="G2553" i="1" s="1"/>
  <c r="A2552" i="1"/>
  <c r="N2552" i="1" l="1" a="1"/>
  <c r="N2552" i="1" s="1"/>
  <c r="M2552" i="1" a="1"/>
  <c r="M2552" i="1" s="1"/>
  <c r="J2552" i="1" a="1"/>
  <c r="J2552" i="1" s="1"/>
  <c r="L2552" i="1"/>
  <c r="K2552" i="1" a="1"/>
  <c r="K2552" i="1" s="1"/>
  <c r="I2552" i="1"/>
  <c r="H2552" i="1" a="1"/>
  <c r="H2552" i="1" s="1"/>
  <c r="G2552" i="1" a="1"/>
  <c r="G2552" i="1" s="1"/>
  <c r="A2551" i="1" l="1"/>
  <c r="N2551" i="1" l="1" a="1"/>
  <c r="N2551" i="1" s="1"/>
  <c r="M2551" i="1" a="1"/>
  <c r="M2551" i="1" s="1"/>
  <c r="J2551" i="1" a="1"/>
  <c r="J2551" i="1" s="1"/>
  <c r="L2551" i="1"/>
  <c r="K2551" i="1" a="1"/>
  <c r="K2551" i="1" s="1"/>
  <c r="I2551" i="1"/>
  <c r="H2551" i="1" a="1"/>
  <c r="H2551" i="1" s="1"/>
  <c r="G2551" i="1" a="1"/>
  <c r="G2551" i="1" s="1"/>
  <c r="A2550" i="1" l="1"/>
  <c r="A2549" i="1"/>
  <c r="N2550" i="1" l="1" a="1"/>
  <c r="N2550" i="1" s="1"/>
  <c r="M2550" i="1" a="1"/>
  <c r="M2550" i="1" s="1"/>
  <c r="N2549" i="1" a="1"/>
  <c r="N2549" i="1" s="1"/>
  <c r="M2549" i="1" a="1"/>
  <c r="M2549" i="1" s="1"/>
  <c r="J2549" i="1" a="1"/>
  <c r="J2549" i="1" s="1"/>
  <c r="L2549" i="1"/>
  <c r="K2549" i="1" a="1"/>
  <c r="K2549" i="1" s="1"/>
  <c r="J2550" i="1" a="1"/>
  <c r="J2550" i="1" s="1"/>
  <c r="L2550" i="1"/>
  <c r="K2550" i="1" a="1"/>
  <c r="K2550" i="1" s="1"/>
  <c r="I2549" i="1"/>
  <c r="H2549" i="1" a="1"/>
  <c r="H2549" i="1" s="1"/>
  <c r="G2549" i="1" a="1"/>
  <c r="G2549" i="1" s="1"/>
  <c r="I2550" i="1"/>
  <c r="H2550" i="1" a="1"/>
  <c r="H2550" i="1" s="1"/>
  <c r="G2550" i="1" a="1"/>
  <c r="G2550" i="1" s="1"/>
  <c r="A2548" i="1" l="1"/>
  <c r="N2548" i="1" l="1" a="1"/>
  <c r="N2548" i="1" s="1"/>
  <c r="M2548" i="1" a="1"/>
  <c r="M2548" i="1" s="1"/>
  <c r="J2548" i="1" a="1"/>
  <c r="J2548" i="1" s="1"/>
  <c r="L2548" i="1"/>
  <c r="K2548" i="1" a="1"/>
  <c r="K2548" i="1" s="1"/>
  <c r="I2548" i="1"/>
  <c r="H2548" i="1" a="1"/>
  <c r="H2548" i="1" s="1"/>
  <c r="G2548" i="1" a="1"/>
  <c r="G2548" i="1" s="1"/>
  <c r="A2547" i="1" l="1"/>
  <c r="N2547" i="1" l="1" a="1"/>
  <c r="N2547" i="1" s="1"/>
  <c r="M2547" i="1" a="1"/>
  <c r="M2547" i="1" s="1"/>
  <c r="J2547" i="1" a="1"/>
  <c r="J2547" i="1" s="1"/>
  <c r="L2547" i="1"/>
  <c r="K2547" i="1" a="1"/>
  <c r="K2547" i="1" s="1"/>
  <c r="I2547" i="1"/>
  <c r="H2547" i="1" a="1"/>
  <c r="H2547" i="1" s="1"/>
  <c r="G2547" i="1" a="1"/>
  <c r="G2547" i="1" s="1"/>
  <c r="A2546" i="1"/>
  <c r="N2546" i="1" l="1" a="1"/>
  <c r="N2546" i="1" s="1"/>
  <c r="M2546" i="1" a="1"/>
  <c r="M2546" i="1" s="1"/>
  <c r="J2546" i="1" a="1"/>
  <c r="J2546" i="1" s="1"/>
  <c r="L2546" i="1"/>
  <c r="K2546" i="1" a="1"/>
  <c r="K2546" i="1" s="1"/>
  <c r="I2546" i="1"/>
  <c r="H2546" i="1" a="1"/>
  <c r="H2546" i="1" s="1"/>
  <c r="G2546" i="1" a="1"/>
  <c r="G2546" i="1" s="1"/>
  <c r="A2545" i="1" l="1"/>
  <c r="N2545" i="1" l="1" a="1"/>
  <c r="N2545" i="1" s="1"/>
  <c r="M2545" i="1" a="1"/>
  <c r="M2545" i="1" s="1"/>
  <c r="J2545" i="1" a="1"/>
  <c r="J2545" i="1" s="1"/>
  <c r="L2545" i="1"/>
  <c r="K2545" i="1" a="1"/>
  <c r="K2545" i="1" s="1"/>
  <c r="I2545" i="1"/>
  <c r="H2545" i="1" a="1"/>
  <c r="H2545" i="1" s="1"/>
  <c r="G2545" i="1" a="1"/>
  <c r="G2545" i="1" s="1"/>
  <c r="A2544" i="1" l="1"/>
  <c r="N2544" i="1" l="1" a="1"/>
  <c r="N2544" i="1" s="1"/>
  <c r="M2544" i="1" a="1"/>
  <c r="M2544" i="1" s="1"/>
  <c r="J2544" i="1" a="1"/>
  <c r="J2544" i="1" s="1"/>
  <c r="L2544" i="1"/>
  <c r="K2544" i="1" a="1"/>
  <c r="K2544" i="1" s="1"/>
  <c r="I2544" i="1"/>
  <c r="H2544" i="1" a="1"/>
  <c r="H2544" i="1" s="1"/>
  <c r="G2544" i="1" a="1"/>
  <c r="G2544" i="1" s="1"/>
  <c r="A2543" i="1" l="1"/>
  <c r="N2543" i="1" l="1" a="1"/>
  <c r="N2543" i="1" s="1"/>
  <c r="M2543" i="1" a="1"/>
  <c r="M2543" i="1" s="1"/>
  <c r="J2543" i="1" a="1"/>
  <c r="J2543" i="1" s="1"/>
  <c r="L2543" i="1"/>
  <c r="K2543" i="1" a="1"/>
  <c r="K2543" i="1" s="1"/>
  <c r="I2543" i="1"/>
  <c r="H2543" i="1" a="1"/>
  <c r="H2543" i="1" s="1"/>
  <c r="G2543" i="1" a="1"/>
  <c r="G2543" i="1" s="1"/>
  <c r="A2542" i="1" l="1"/>
  <c r="N2542" i="1" l="1" a="1"/>
  <c r="N2542" i="1" s="1"/>
  <c r="M2542" i="1" a="1"/>
  <c r="M2542" i="1" s="1"/>
  <c r="J2542" i="1" a="1"/>
  <c r="J2542" i="1" s="1"/>
  <c r="L2542" i="1"/>
  <c r="K2542" i="1" a="1"/>
  <c r="K2542" i="1" s="1"/>
  <c r="I2542" i="1"/>
  <c r="H2542" i="1" a="1"/>
  <c r="H2542" i="1" s="1"/>
  <c r="G2542" i="1" a="1"/>
  <c r="G2542" i="1" s="1"/>
  <c r="A2541" i="1"/>
  <c r="N2541" i="1" l="1" a="1"/>
  <c r="N2541" i="1" s="1"/>
  <c r="M2541" i="1" a="1"/>
  <c r="M2541" i="1" s="1"/>
  <c r="J2541" i="1" a="1"/>
  <c r="J2541" i="1" s="1"/>
  <c r="L2541" i="1"/>
  <c r="K2541" i="1" a="1"/>
  <c r="K2541" i="1" s="1"/>
  <c r="I2541" i="1"/>
  <c r="H2541" i="1" a="1"/>
  <c r="H2541" i="1" s="1"/>
  <c r="G2541" i="1" a="1"/>
  <c r="G2541" i="1" s="1"/>
  <c r="A2540" i="1" l="1"/>
  <c r="N2540" i="1" l="1" a="1"/>
  <c r="N2540" i="1" s="1"/>
  <c r="M2540" i="1" a="1"/>
  <c r="M2540" i="1" s="1"/>
  <c r="J2540" i="1" a="1"/>
  <c r="J2540" i="1" s="1"/>
  <c r="L2540" i="1"/>
  <c r="K2540" i="1" a="1"/>
  <c r="K2540" i="1" s="1"/>
  <c r="I2540" i="1"/>
  <c r="H2540" i="1" a="1"/>
  <c r="H2540" i="1" s="1"/>
  <c r="G2540" i="1" a="1"/>
  <c r="G2540" i="1" s="1"/>
  <c r="A2539" i="1" l="1"/>
  <c r="N2539" i="1" l="1" a="1"/>
  <c r="N2539" i="1" s="1"/>
  <c r="M2539" i="1" a="1"/>
  <c r="M2539" i="1" s="1"/>
  <c r="J2539" i="1" a="1"/>
  <c r="J2539" i="1" s="1"/>
  <c r="L2539" i="1"/>
  <c r="K2539" i="1" a="1"/>
  <c r="K2539" i="1" s="1"/>
  <c r="I2539" i="1"/>
  <c r="H2539" i="1" a="1"/>
  <c r="H2539" i="1" s="1"/>
  <c r="G2539" i="1" a="1"/>
  <c r="G2539" i="1" s="1"/>
  <c r="A2538" i="1" l="1"/>
  <c r="N2538" i="1" l="1" a="1"/>
  <c r="N2538" i="1" s="1"/>
  <c r="M2538" i="1" a="1"/>
  <c r="M2538" i="1" s="1"/>
  <c r="J2538" i="1" a="1"/>
  <c r="J2538" i="1" s="1"/>
  <c r="L2538" i="1"/>
  <c r="K2538" i="1" a="1"/>
  <c r="K2538" i="1" s="1"/>
  <c r="I2538" i="1"/>
  <c r="H2538" i="1" a="1"/>
  <c r="H2538" i="1" s="1"/>
  <c r="G2538" i="1" a="1"/>
  <c r="G2538" i="1" s="1"/>
  <c r="A2537" i="1" l="1"/>
  <c r="N2537" i="1" l="1" a="1"/>
  <c r="N2537" i="1" s="1"/>
  <c r="M2537" i="1" a="1"/>
  <c r="M2537" i="1" s="1"/>
  <c r="J2537" i="1" a="1"/>
  <c r="J2537" i="1" s="1"/>
  <c r="L2537" i="1"/>
  <c r="K2537" i="1" a="1"/>
  <c r="K2537" i="1" s="1"/>
  <c r="I2537" i="1"/>
  <c r="H2537" i="1" a="1"/>
  <c r="H2537" i="1" s="1"/>
  <c r="G2537" i="1" a="1"/>
  <c r="G2537" i="1" s="1"/>
  <c r="A2536" i="1" l="1"/>
  <c r="N2536" i="1" l="1" a="1"/>
  <c r="N2536" i="1" s="1"/>
  <c r="M2536" i="1" a="1"/>
  <c r="M2536" i="1" s="1"/>
  <c r="J2536" i="1" a="1"/>
  <c r="J2536" i="1" s="1"/>
  <c r="L2536" i="1"/>
  <c r="K2536" i="1" a="1"/>
  <c r="K2536" i="1" s="1"/>
  <c r="I2536" i="1"/>
  <c r="H2536" i="1" a="1"/>
  <c r="H2536" i="1" s="1"/>
  <c r="G2536" i="1" a="1"/>
  <c r="G2536" i="1" s="1"/>
  <c r="A2535" i="1" l="1"/>
  <c r="N2535" i="1" l="1" a="1"/>
  <c r="N2535" i="1" s="1"/>
  <c r="M2535" i="1" a="1"/>
  <c r="M2535" i="1" s="1"/>
  <c r="J2535" i="1" a="1"/>
  <c r="J2535" i="1" s="1"/>
  <c r="L2535" i="1"/>
  <c r="K2535" i="1" a="1"/>
  <c r="K2535" i="1" s="1"/>
  <c r="I2535" i="1"/>
  <c r="H2535" i="1" a="1"/>
  <c r="H2535" i="1" s="1"/>
  <c r="G2535" i="1" a="1"/>
  <c r="G2535" i="1" s="1"/>
  <c r="A2534" i="1" l="1"/>
  <c r="N2534" i="1" l="1" a="1"/>
  <c r="N2534" i="1" s="1"/>
  <c r="M2534" i="1" a="1"/>
  <c r="M2534" i="1" s="1"/>
  <c r="J2534" i="1" a="1"/>
  <c r="J2534" i="1" s="1"/>
  <c r="L2534" i="1"/>
  <c r="K2534" i="1" a="1"/>
  <c r="K2534" i="1" s="1"/>
  <c r="I2534" i="1"/>
  <c r="H2534" i="1" a="1"/>
  <c r="H2534" i="1" s="1"/>
  <c r="G2534" i="1" a="1"/>
  <c r="G2534" i="1" s="1"/>
  <c r="A2533" i="1"/>
  <c r="N2533" i="1" l="1" a="1"/>
  <c r="N2533" i="1" s="1"/>
  <c r="M2533" i="1" a="1"/>
  <c r="M2533" i="1" s="1"/>
  <c r="J2533" i="1" a="1"/>
  <c r="J2533" i="1" s="1"/>
  <c r="L2533" i="1"/>
  <c r="K2533" i="1" a="1"/>
  <c r="K2533" i="1" s="1"/>
  <c r="I2533" i="1"/>
  <c r="H2533" i="1" a="1"/>
  <c r="H2533" i="1" s="1"/>
  <c r="G2533" i="1" a="1"/>
  <c r="G2533" i="1" s="1"/>
  <c r="A2532" i="1"/>
  <c r="N2532" i="1" l="1" a="1"/>
  <c r="N2532" i="1" s="1"/>
  <c r="M2532" i="1" a="1"/>
  <c r="M2532" i="1" s="1"/>
  <c r="J2532" i="1" a="1"/>
  <c r="J2532" i="1" s="1"/>
  <c r="L2532" i="1"/>
  <c r="K2532" i="1" a="1"/>
  <c r="K2532" i="1" s="1"/>
  <c r="I2532" i="1"/>
  <c r="H2532" i="1" a="1"/>
  <c r="H2532" i="1" s="1"/>
  <c r="G2532" i="1" a="1"/>
  <c r="G2532" i="1" s="1"/>
  <c r="A2531" i="1" l="1"/>
  <c r="N2531" i="1" l="1" a="1"/>
  <c r="N2531" i="1" s="1"/>
  <c r="M2531" i="1" a="1"/>
  <c r="M2531" i="1" s="1"/>
  <c r="J2531" i="1" a="1"/>
  <c r="J2531" i="1" s="1"/>
  <c r="L2531" i="1"/>
  <c r="K2531" i="1" a="1"/>
  <c r="K2531" i="1" s="1"/>
  <c r="I2531" i="1"/>
  <c r="H2531" i="1" a="1"/>
  <c r="H2531" i="1" s="1"/>
  <c r="G2531" i="1" a="1"/>
  <c r="G2531" i="1" s="1"/>
  <c r="A2530" i="1"/>
  <c r="A2529" i="1"/>
  <c r="N2529" i="1" l="1" a="1"/>
  <c r="N2529" i="1" s="1"/>
  <c r="M2529" i="1" a="1"/>
  <c r="M2529" i="1" s="1"/>
  <c r="N2530" i="1" a="1"/>
  <c r="N2530" i="1" s="1"/>
  <c r="M2530" i="1" a="1"/>
  <c r="M2530" i="1" s="1"/>
  <c r="J2529" i="1" a="1"/>
  <c r="J2529" i="1" s="1"/>
  <c r="L2529" i="1"/>
  <c r="K2529" i="1" a="1"/>
  <c r="K2529" i="1" s="1"/>
  <c r="J2530" i="1" a="1"/>
  <c r="J2530" i="1" s="1"/>
  <c r="L2530" i="1"/>
  <c r="K2530" i="1" a="1"/>
  <c r="K2530" i="1" s="1"/>
  <c r="I2530" i="1"/>
  <c r="H2530" i="1" a="1"/>
  <c r="H2530" i="1" s="1"/>
  <c r="G2530" i="1" a="1"/>
  <c r="G2530" i="1" s="1"/>
  <c r="I2529" i="1"/>
  <c r="H2529" i="1" a="1"/>
  <c r="H2529" i="1" s="1"/>
  <c r="G2529" i="1" a="1"/>
  <c r="G2529" i="1" s="1"/>
  <c r="A2528" i="1" l="1"/>
  <c r="N2528" i="1" l="1" a="1"/>
  <c r="N2528" i="1" s="1"/>
  <c r="M2528" i="1" a="1"/>
  <c r="M2528" i="1" s="1"/>
  <c r="J2528" i="1" a="1"/>
  <c r="J2528" i="1" s="1"/>
  <c r="L2528" i="1"/>
  <c r="K2528" i="1" a="1"/>
  <c r="K2528" i="1" s="1"/>
  <c r="I2528" i="1"/>
  <c r="H2528" i="1" a="1"/>
  <c r="H2528" i="1" s="1"/>
  <c r="G2528" i="1" a="1"/>
  <c r="G2528" i="1" s="1"/>
  <c r="A2527" i="1" l="1"/>
  <c r="A2526" i="1"/>
  <c r="N2526" i="1" l="1" a="1"/>
  <c r="N2526" i="1" s="1"/>
  <c r="M2526" i="1" a="1"/>
  <c r="M2526" i="1" s="1"/>
  <c r="N2527" i="1" a="1"/>
  <c r="N2527" i="1" s="1"/>
  <c r="M2527" i="1" a="1"/>
  <c r="M2527" i="1" s="1"/>
  <c r="J2526" i="1" a="1"/>
  <c r="J2526" i="1" s="1"/>
  <c r="L2526" i="1"/>
  <c r="K2526" i="1" a="1"/>
  <c r="K2526" i="1" s="1"/>
  <c r="J2527" i="1" a="1"/>
  <c r="J2527" i="1" s="1"/>
  <c r="L2527" i="1"/>
  <c r="K2527" i="1" a="1"/>
  <c r="K2527" i="1" s="1"/>
  <c r="I2526" i="1"/>
  <c r="H2526" i="1" a="1"/>
  <c r="H2526" i="1" s="1"/>
  <c r="G2526" i="1" a="1"/>
  <c r="G2526" i="1" s="1"/>
  <c r="I2527" i="1"/>
  <c r="H2527" i="1" a="1"/>
  <c r="H2527" i="1" s="1"/>
  <c r="G2527" i="1" a="1"/>
  <c r="G2527" i="1" s="1"/>
  <c r="A2525" i="1" l="1"/>
  <c r="N2525" i="1" l="1" a="1"/>
  <c r="N2525" i="1" s="1"/>
  <c r="M2525" i="1" a="1"/>
  <c r="M2525" i="1" s="1"/>
  <c r="J2525" i="1" a="1"/>
  <c r="J2525" i="1" s="1"/>
  <c r="L2525" i="1"/>
  <c r="K2525" i="1" a="1"/>
  <c r="K2525" i="1" s="1"/>
  <c r="I2525" i="1"/>
  <c r="H2525" i="1" a="1"/>
  <c r="H2525" i="1" s="1"/>
  <c r="G2525" i="1" a="1"/>
  <c r="G2525" i="1" s="1"/>
  <c r="A2524" i="1" l="1"/>
  <c r="N2524" i="1" l="1" a="1"/>
  <c r="N2524" i="1" s="1"/>
  <c r="M2524" i="1" a="1"/>
  <c r="M2524" i="1" s="1"/>
  <c r="J2524" i="1" a="1"/>
  <c r="J2524" i="1" s="1"/>
  <c r="L2524" i="1"/>
  <c r="K2524" i="1" a="1"/>
  <c r="K2524" i="1" s="1"/>
  <c r="I2524" i="1"/>
  <c r="H2524" i="1" a="1"/>
  <c r="H2524" i="1" s="1"/>
  <c r="G2524" i="1" a="1"/>
  <c r="G2524" i="1" s="1"/>
  <c r="A2523" i="1" l="1"/>
  <c r="N2523" i="1" l="1" a="1"/>
  <c r="N2523" i="1" s="1"/>
  <c r="M2523" i="1" a="1"/>
  <c r="M2523" i="1" s="1"/>
  <c r="J2523" i="1" a="1"/>
  <c r="J2523" i="1" s="1"/>
  <c r="L2523" i="1"/>
  <c r="K2523" i="1" a="1"/>
  <c r="K2523" i="1" s="1"/>
  <c r="I2523" i="1"/>
  <c r="H2523" i="1" a="1"/>
  <c r="H2523" i="1" s="1"/>
  <c r="G2523" i="1" a="1"/>
  <c r="G2523" i="1" s="1"/>
  <c r="A2522" i="1" l="1"/>
  <c r="N2522" i="1" l="1" a="1"/>
  <c r="N2522" i="1" s="1"/>
  <c r="M2522" i="1" a="1"/>
  <c r="M2522" i="1" s="1"/>
  <c r="J2522" i="1" a="1"/>
  <c r="J2522" i="1" s="1"/>
  <c r="L2522" i="1"/>
  <c r="K2522" i="1" a="1"/>
  <c r="K2522" i="1" s="1"/>
  <c r="I2522" i="1"/>
  <c r="H2522" i="1" a="1"/>
  <c r="H2522" i="1" s="1"/>
  <c r="G2522" i="1" a="1"/>
  <c r="G2522" i="1" s="1"/>
  <c r="A2521" i="1" l="1"/>
  <c r="N2521" i="1" l="1" a="1"/>
  <c r="N2521" i="1" s="1"/>
  <c r="M2521" i="1" a="1"/>
  <c r="M2521" i="1" s="1"/>
  <c r="J2521" i="1" a="1"/>
  <c r="J2521" i="1" s="1"/>
  <c r="L2521" i="1"/>
  <c r="K2521" i="1" a="1"/>
  <c r="K2521" i="1" s="1"/>
  <c r="I2521" i="1"/>
  <c r="H2521" i="1" a="1"/>
  <c r="H2521" i="1" s="1"/>
  <c r="G2521" i="1" a="1"/>
  <c r="G2521" i="1" s="1"/>
  <c r="A2520" i="1" l="1"/>
  <c r="N2520" i="1" l="1" a="1"/>
  <c r="N2520" i="1" s="1"/>
  <c r="M2520" i="1" a="1"/>
  <c r="M2520" i="1" s="1"/>
  <c r="J2520" i="1" a="1"/>
  <c r="J2520" i="1" s="1"/>
  <c r="L2520" i="1"/>
  <c r="K2520" i="1" a="1"/>
  <c r="K2520" i="1" s="1"/>
  <c r="I2520" i="1"/>
  <c r="H2520" i="1" a="1"/>
  <c r="H2520" i="1" s="1"/>
  <c r="G2520" i="1" a="1"/>
  <c r="G2520" i="1" s="1"/>
  <c r="A2519" i="1" l="1"/>
  <c r="N2519" i="1" l="1" a="1"/>
  <c r="N2519" i="1" s="1"/>
  <c r="M2519" i="1" a="1"/>
  <c r="M2519" i="1" s="1"/>
  <c r="J2519" i="1" a="1"/>
  <c r="J2519" i="1" s="1"/>
  <c r="L2519" i="1"/>
  <c r="K2519" i="1" a="1"/>
  <c r="K2519" i="1" s="1"/>
  <c r="I2519" i="1"/>
  <c r="H2519" i="1" a="1"/>
  <c r="H2519" i="1" s="1"/>
  <c r="G2519" i="1" a="1"/>
  <c r="G2519" i="1" s="1"/>
  <c r="A2518" i="1" l="1"/>
  <c r="N2518" i="1" l="1" a="1"/>
  <c r="N2518" i="1" s="1"/>
  <c r="M2518" i="1" a="1"/>
  <c r="M2518" i="1" s="1"/>
  <c r="J2518" i="1" a="1"/>
  <c r="J2518" i="1" s="1"/>
  <c r="L2518" i="1"/>
  <c r="K2518" i="1" a="1"/>
  <c r="K2518" i="1" s="1"/>
  <c r="I2518" i="1"/>
  <c r="H2518" i="1" a="1"/>
  <c r="H2518" i="1" s="1"/>
  <c r="G2518" i="1" a="1"/>
  <c r="G2518" i="1" s="1"/>
  <c r="A2517" i="1" l="1"/>
  <c r="N2517" i="1" l="1" a="1"/>
  <c r="N2517" i="1" s="1"/>
  <c r="M2517" i="1" a="1"/>
  <c r="M2517" i="1" s="1"/>
  <c r="J2517" i="1" a="1"/>
  <c r="J2517" i="1" s="1"/>
  <c r="L2517" i="1"/>
  <c r="K2517" i="1" a="1"/>
  <c r="K2517" i="1" s="1"/>
  <c r="I2517" i="1"/>
  <c r="H2517" i="1" a="1"/>
  <c r="H2517" i="1" s="1"/>
  <c r="G2517" i="1" a="1"/>
  <c r="G2517" i="1" s="1"/>
  <c r="A2516" i="1" l="1"/>
  <c r="N2516" i="1" l="1" a="1"/>
  <c r="N2516" i="1" s="1"/>
  <c r="M2516" i="1" a="1"/>
  <c r="M2516" i="1" s="1"/>
  <c r="J2516" i="1" a="1"/>
  <c r="J2516" i="1" s="1"/>
  <c r="L2516" i="1"/>
  <c r="K2516" i="1" a="1"/>
  <c r="K2516" i="1" s="1"/>
  <c r="I2516" i="1"/>
  <c r="H2516" i="1" a="1"/>
  <c r="H2516" i="1" s="1"/>
  <c r="G2516" i="1" a="1"/>
  <c r="G2516" i="1" s="1"/>
  <c r="A2515" i="1" l="1"/>
  <c r="N2515" i="1" l="1" a="1"/>
  <c r="N2515" i="1" s="1"/>
  <c r="M2515" i="1" a="1"/>
  <c r="M2515" i="1" s="1"/>
  <c r="J2515" i="1" a="1"/>
  <c r="J2515" i="1" s="1"/>
  <c r="L2515" i="1"/>
  <c r="K2515" i="1" a="1"/>
  <c r="K2515" i="1" s="1"/>
  <c r="I2515" i="1"/>
  <c r="H2515" i="1" a="1"/>
  <c r="H2515" i="1" s="1"/>
  <c r="G2515" i="1" a="1"/>
  <c r="G2515" i="1" s="1"/>
  <c r="A2514" i="1" l="1"/>
  <c r="N2514" i="1" l="1" a="1"/>
  <c r="N2514" i="1" s="1"/>
  <c r="M2514" i="1" a="1"/>
  <c r="M2514" i="1" s="1"/>
  <c r="J2514" i="1" a="1"/>
  <c r="J2514" i="1" s="1"/>
  <c r="L2514" i="1"/>
  <c r="K2514" i="1" a="1"/>
  <c r="K2514" i="1" s="1"/>
  <c r="I2514" i="1"/>
  <c r="H2514" i="1" a="1"/>
  <c r="H2514" i="1" s="1"/>
  <c r="G2514" i="1" a="1"/>
  <c r="G2514" i="1" s="1"/>
  <c r="A2513" i="1" l="1"/>
  <c r="N2513" i="1" l="1" a="1"/>
  <c r="N2513" i="1" s="1"/>
  <c r="M2513" i="1" a="1"/>
  <c r="M2513" i="1" s="1"/>
  <c r="J2513" i="1" a="1"/>
  <c r="J2513" i="1" s="1"/>
  <c r="L2513" i="1"/>
  <c r="K2513" i="1" a="1"/>
  <c r="K2513" i="1" s="1"/>
  <c r="I2513" i="1"/>
  <c r="H2513" i="1" a="1"/>
  <c r="H2513" i="1" s="1"/>
  <c r="G2513" i="1" a="1"/>
  <c r="G2513" i="1" s="1"/>
  <c r="A2512" i="1"/>
  <c r="N2512" i="1" l="1" a="1"/>
  <c r="N2512" i="1" s="1"/>
  <c r="M2512" i="1" a="1"/>
  <c r="M2512" i="1" s="1"/>
  <c r="J2512" i="1" a="1"/>
  <c r="J2512" i="1" s="1"/>
  <c r="L2512" i="1"/>
  <c r="K2512" i="1" a="1"/>
  <c r="K2512" i="1" s="1"/>
  <c r="I2512" i="1"/>
  <c r="H2512" i="1" a="1"/>
  <c r="H2512" i="1" s="1"/>
  <c r="G2512" i="1" a="1"/>
  <c r="G2512" i="1" s="1"/>
  <c r="A2511" i="1"/>
  <c r="N2511" i="1" l="1" a="1"/>
  <c r="N2511" i="1" s="1"/>
  <c r="M2511" i="1" a="1"/>
  <c r="M2511" i="1" s="1"/>
  <c r="J2511" i="1" a="1"/>
  <c r="J2511" i="1" s="1"/>
  <c r="L2511" i="1"/>
  <c r="K2511" i="1" a="1"/>
  <c r="K2511" i="1" s="1"/>
  <c r="I2511" i="1"/>
  <c r="H2511" i="1" a="1"/>
  <c r="H2511" i="1" s="1"/>
  <c r="G2511" i="1" a="1"/>
  <c r="G2511" i="1" s="1"/>
  <c r="A2510" i="1" l="1"/>
  <c r="N2510" i="1" l="1" a="1"/>
  <c r="N2510" i="1" s="1"/>
  <c r="M2510" i="1" a="1"/>
  <c r="M2510" i="1" s="1"/>
  <c r="J2510" i="1" a="1"/>
  <c r="J2510" i="1" s="1"/>
  <c r="L2510" i="1"/>
  <c r="K2510" i="1" a="1"/>
  <c r="K2510" i="1" s="1"/>
  <c r="I2510" i="1"/>
  <c r="H2510" i="1" a="1"/>
  <c r="H2510" i="1" s="1"/>
  <c r="G2510" i="1" a="1"/>
  <c r="G2510" i="1" s="1"/>
  <c r="A2509" i="1"/>
  <c r="N2509" i="1" l="1" a="1"/>
  <c r="N2509" i="1" s="1"/>
  <c r="M2509" i="1" a="1"/>
  <c r="M2509" i="1" s="1"/>
  <c r="J2509" i="1" a="1"/>
  <c r="J2509" i="1" s="1"/>
  <c r="L2509" i="1"/>
  <c r="K2509" i="1" a="1"/>
  <c r="K2509" i="1" s="1"/>
  <c r="I2509" i="1"/>
  <c r="H2509" i="1" a="1"/>
  <c r="H2509" i="1" s="1"/>
  <c r="G2509" i="1" a="1"/>
  <c r="G2509" i="1" s="1"/>
  <c r="A2508" i="1"/>
  <c r="N2508" i="1" l="1" a="1"/>
  <c r="N2508" i="1" s="1"/>
  <c r="M2508" i="1" a="1"/>
  <c r="M2508" i="1" s="1"/>
  <c r="J2508" i="1" a="1"/>
  <c r="J2508" i="1" s="1"/>
  <c r="L2508" i="1"/>
  <c r="K2508" i="1" a="1"/>
  <c r="K2508" i="1" s="1"/>
  <c r="I2508" i="1"/>
  <c r="H2508" i="1" a="1"/>
  <c r="H2508" i="1" s="1"/>
  <c r="G2508" i="1" a="1"/>
  <c r="G2508" i="1" s="1"/>
  <c r="A2507" i="1" l="1"/>
  <c r="N2507" i="1" l="1" a="1"/>
  <c r="N2507" i="1" s="1"/>
  <c r="M2507" i="1" a="1"/>
  <c r="M2507" i="1" s="1"/>
  <c r="J2507" i="1" a="1"/>
  <c r="J2507" i="1" s="1"/>
  <c r="L2507" i="1"/>
  <c r="K2507" i="1" a="1"/>
  <c r="K2507" i="1" s="1"/>
  <c r="I2507" i="1"/>
  <c r="H2507" i="1" a="1"/>
  <c r="H2507" i="1" s="1"/>
  <c r="G2507" i="1" a="1"/>
  <c r="G2507" i="1" s="1"/>
  <c r="A2506" i="1" l="1"/>
  <c r="N2506" i="1" l="1" a="1"/>
  <c r="N2506" i="1" s="1"/>
  <c r="M2506" i="1" a="1"/>
  <c r="M2506" i="1" s="1"/>
  <c r="J2506" i="1" a="1"/>
  <c r="J2506" i="1" s="1"/>
  <c r="L2506" i="1"/>
  <c r="K2506" i="1" a="1"/>
  <c r="K2506" i="1" s="1"/>
  <c r="I2506" i="1"/>
  <c r="H2506" i="1" a="1"/>
  <c r="H2506" i="1" s="1"/>
  <c r="G2506" i="1" a="1"/>
  <c r="G2506" i="1" s="1"/>
  <c r="A2505" i="1" l="1"/>
  <c r="N2505" i="1" l="1" a="1"/>
  <c r="N2505" i="1" s="1"/>
  <c r="M2505" i="1" a="1"/>
  <c r="M2505" i="1" s="1"/>
  <c r="J2505" i="1" a="1"/>
  <c r="J2505" i="1" s="1"/>
  <c r="L2505" i="1"/>
  <c r="K2505" i="1" a="1"/>
  <c r="K2505" i="1" s="1"/>
  <c r="I2505" i="1"/>
  <c r="H2505" i="1" a="1"/>
  <c r="H2505" i="1" s="1"/>
  <c r="G2505" i="1" a="1"/>
  <c r="G2505" i="1" s="1"/>
  <c r="A2504" i="1" l="1"/>
  <c r="N2504" i="1" l="1" a="1"/>
  <c r="N2504" i="1" s="1"/>
  <c r="M2504" i="1" a="1"/>
  <c r="M2504" i="1" s="1"/>
  <c r="J2504" i="1" a="1"/>
  <c r="J2504" i="1" s="1"/>
  <c r="L2504" i="1"/>
  <c r="K2504" i="1" a="1"/>
  <c r="K2504" i="1" s="1"/>
  <c r="I2504" i="1"/>
  <c r="H2504" i="1" a="1"/>
  <c r="H2504" i="1" s="1"/>
  <c r="G2504" i="1" a="1"/>
  <c r="G2504" i="1" s="1"/>
  <c r="A2503" i="1" l="1"/>
  <c r="N2503" i="1" l="1" a="1"/>
  <c r="N2503" i="1" s="1"/>
  <c r="M2503" i="1" a="1"/>
  <c r="M2503" i="1" s="1"/>
  <c r="J2503" i="1" a="1"/>
  <c r="J2503" i="1" s="1"/>
  <c r="L2503" i="1"/>
  <c r="K2503" i="1" a="1"/>
  <c r="K2503" i="1" s="1"/>
  <c r="I2503" i="1"/>
  <c r="H2503" i="1" a="1"/>
  <c r="H2503" i="1" s="1"/>
  <c r="G2503" i="1" a="1"/>
  <c r="G2503" i="1" s="1"/>
  <c r="A2502" i="1" l="1"/>
  <c r="N2502" i="1" l="1" a="1"/>
  <c r="N2502" i="1" s="1"/>
  <c r="M2502" i="1" a="1"/>
  <c r="M2502" i="1" s="1"/>
  <c r="J2502" i="1" a="1"/>
  <c r="J2502" i="1" s="1"/>
  <c r="L2502" i="1"/>
  <c r="K2502" i="1" a="1"/>
  <c r="K2502" i="1" s="1"/>
  <c r="I2502" i="1"/>
  <c r="H2502" i="1" a="1"/>
  <c r="H2502" i="1" s="1"/>
  <c r="G2502" i="1" a="1"/>
  <c r="G2502" i="1" s="1"/>
  <c r="A2501" i="1"/>
  <c r="N2501" i="1" l="1" a="1"/>
  <c r="N2501" i="1" s="1"/>
  <c r="M2501" i="1" a="1"/>
  <c r="M2501" i="1" s="1"/>
  <c r="J2501" i="1" a="1"/>
  <c r="J2501" i="1" s="1"/>
  <c r="L2501" i="1"/>
  <c r="K2501" i="1" a="1"/>
  <c r="K2501" i="1" s="1"/>
  <c r="I2501" i="1"/>
  <c r="H2501" i="1" a="1"/>
  <c r="H2501" i="1" s="1"/>
  <c r="G2501" i="1" a="1"/>
  <c r="G2501" i="1" s="1"/>
  <c r="A2500" i="1" l="1"/>
  <c r="N2500" i="1" l="1" a="1"/>
  <c r="N2500" i="1" s="1"/>
  <c r="M2500" i="1" a="1"/>
  <c r="M2500" i="1" s="1"/>
  <c r="J2500" i="1" a="1"/>
  <c r="J2500" i="1" s="1"/>
  <c r="L2500" i="1"/>
  <c r="K2500" i="1" a="1"/>
  <c r="K2500" i="1" s="1"/>
  <c r="I2500" i="1"/>
  <c r="H2500" i="1" a="1"/>
  <c r="H2500" i="1" s="1"/>
  <c r="G2500" i="1" a="1"/>
  <c r="G2500" i="1" s="1"/>
  <c r="A2499" i="1" l="1"/>
  <c r="N2499" i="1" l="1" a="1"/>
  <c r="N2499" i="1" s="1"/>
  <c r="M2499" i="1" a="1"/>
  <c r="M2499" i="1" s="1"/>
  <c r="J2499" i="1" a="1"/>
  <c r="J2499" i="1" s="1"/>
  <c r="L2499" i="1"/>
  <c r="K2499" i="1" a="1"/>
  <c r="K2499" i="1" s="1"/>
  <c r="I2499" i="1"/>
  <c r="H2499" i="1" a="1"/>
  <c r="H2499" i="1" s="1"/>
  <c r="G2499" i="1" a="1"/>
  <c r="G2499" i="1" s="1"/>
  <c r="A2498" i="1"/>
  <c r="N2498" i="1" l="1" a="1"/>
  <c r="N2498" i="1" s="1"/>
  <c r="M2498" i="1" a="1"/>
  <c r="M2498" i="1" s="1"/>
  <c r="J2498" i="1" a="1"/>
  <c r="J2498" i="1" s="1"/>
  <c r="L2498" i="1"/>
  <c r="K2498" i="1" a="1"/>
  <c r="K2498" i="1" s="1"/>
  <c r="I2498" i="1"/>
  <c r="H2498" i="1" a="1"/>
  <c r="H2498" i="1" s="1"/>
  <c r="G2498" i="1" a="1"/>
  <c r="G2498" i="1" s="1"/>
  <c r="A2497" i="1" l="1"/>
  <c r="N2497" i="1" l="1" a="1"/>
  <c r="N2497" i="1" s="1"/>
  <c r="M2497" i="1" a="1"/>
  <c r="M2497" i="1" s="1"/>
  <c r="J2497" i="1" a="1"/>
  <c r="J2497" i="1" s="1"/>
  <c r="L2497" i="1"/>
  <c r="K2497" i="1" a="1"/>
  <c r="K2497" i="1" s="1"/>
  <c r="I2497" i="1"/>
  <c r="H2497" i="1" a="1"/>
  <c r="H2497" i="1" s="1"/>
  <c r="G2497" i="1" a="1"/>
  <c r="G2497" i="1" s="1"/>
  <c r="A2496" i="1" l="1"/>
  <c r="N2496" i="1" l="1" a="1"/>
  <c r="N2496" i="1" s="1"/>
  <c r="M2496" i="1" a="1"/>
  <c r="M2496" i="1" s="1"/>
  <c r="J2496" i="1" a="1"/>
  <c r="J2496" i="1" s="1"/>
  <c r="L2496" i="1"/>
  <c r="K2496" i="1" a="1"/>
  <c r="K2496" i="1" s="1"/>
  <c r="I2496" i="1"/>
  <c r="H2496" i="1" a="1"/>
  <c r="H2496" i="1" s="1"/>
  <c r="G2496" i="1" a="1"/>
  <c r="G2496" i="1" s="1"/>
  <c r="A2495" i="1" l="1"/>
  <c r="N2495" i="1" l="1" a="1"/>
  <c r="N2495" i="1" s="1"/>
  <c r="M2495" i="1" a="1"/>
  <c r="M2495" i="1" s="1"/>
  <c r="J2495" i="1" a="1"/>
  <c r="J2495" i="1" s="1"/>
  <c r="L2495" i="1"/>
  <c r="K2495" i="1" a="1"/>
  <c r="K2495" i="1" s="1"/>
  <c r="I2495" i="1"/>
  <c r="H2495" i="1" a="1"/>
  <c r="H2495" i="1" s="1"/>
  <c r="G2495" i="1" a="1"/>
  <c r="G2495" i="1" s="1"/>
  <c r="A2494" i="1" l="1"/>
  <c r="N2494" i="1" l="1" a="1"/>
  <c r="N2494" i="1" s="1"/>
  <c r="M2494" i="1" a="1"/>
  <c r="M2494" i="1" s="1"/>
  <c r="J2494" i="1" a="1"/>
  <c r="J2494" i="1" s="1"/>
  <c r="L2494" i="1"/>
  <c r="K2494" i="1" a="1"/>
  <c r="K2494" i="1" s="1"/>
  <c r="I2494" i="1"/>
  <c r="H2494" i="1" a="1"/>
  <c r="H2494" i="1" s="1"/>
  <c r="G2494" i="1" a="1"/>
  <c r="G2494" i="1" s="1"/>
  <c r="A2493" i="1" l="1"/>
  <c r="N2493" i="1" l="1" a="1"/>
  <c r="N2493" i="1" s="1"/>
  <c r="M2493" i="1" a="1"/>
  <c r="M2493" i="1" s="1"/>
  <c r="J2493" i="1" a="1"/>
  <c r="J2493" i="1" s="1"/>
  <c r="L2493" i="1"/>
  <c r="K2493" i="1" a="1"/>
  <c r="K2493" i="1" s="1"/>
  <c r="I2493" i="1"/>
  <c r="H2493" i="1" a="1"/>
  <c r="H2493" i="1" s="1"/>
  <c r="G2493" i="1" a="1"/>
  <c r="G2493" i="1" s="1"/>
  <c r="A2492" i="1" l="1"/>
  <c r="N2492" i="1" l="1" a="1"/>
  <c r="N2492" i="1" s="1"/>
  <c r="M2492" i="1" a="1"/>
  <c r="M2492" i="1" s="1"/>
  <c r="J2492" i="1" a="1"/>
  <c r="J2492" i="1" s="1"/>
  <c r="L2492" i="1"/>
  <c r="K2492" i="1" a="1"/>
  <c r="K2492" i="1" s="1"/>
  <c r="I2492" i="1"/>
  <c r="H2492" i="1" a="1"/>
  <c r="H2492" i="1" s="1"/>
  <c r="G2492" i="1" a="1"/>
  <c r="G2492" i="1" s="1"/>
  <c r="A2491" i="1" l="1"/>
  <c r="N2491" i="1" l="1" a="1"/>
  <c r="N2491" i="1" s="1"/>
  <c r="M2491" i="1" a="1"/>
  <c r="M2491" i="1" s="1"/>
  <c r="J2491" i="1" a="1"/>
  <c r="J2491" i="1" s="1"/>
  <c r="L2491" i="1"/>
  <c r="K2491" i="1" a="1"/>
  <c r="K2491" i="1" s="1"/>
  <c r="I2491" i="1"/>
  <c r="H2491" i="1" a="1"/>
  <c r="H2491" i="1" s="1"/>
  <c r="G2491" i="1" a="1"/>
  <c r="G2491" i="1" s="1"/>
  <c r="A2490" i="1"/>
  <c r="N2490" i="1" l="1" a="1"/>
  <c r="N2490" i="1" s="1"/>
  <c r="M2490" i="1" a="1"/>
  <c r="M2490" i="1" s="1"/>
  <c r="J2490" i="1" a="1"/>
  <c r="J2490" i="1" s="1"/>
  <c r="L2490" i="1"/>
  <c r="K2490" i="1" a="1"/>
  <c r="K2490" i="1" s="1"/>
  <c r="I2490" i="1"/>
  <c r="H2490" i="1" a="1"/>
  <c r="H2490" i="1" s="1"/>
  <c r="G2490" i="1" a="1"/>
  <c r="G2490" i="1" s="1"/>
  <c r="A2489" i="1" l="1"/>
  <c r="N2489" i="1" l="1" a="1"/>
  <c r="N2489" i="1" s="1"/>
  <c r="M2489" i="1" a="1"/>
  <c r="M2489" i="1" s="1"/>
  <c r="J2489" i="1" a="1"/>
  <c r="J2489" i="1" s="1"/>
  <c r="L2489" i="1"/>
  <c r="K2489" i="1" a="1"/>
  <c r="K2489" i="1" s="1"/>
  <c r="I2489" i="1"/>
  <c r="H2489" i="1" a="1"/>
  <c r="H2489" i="1" s="1"/>
  <c r="G2489" i="1" a="1"/>
  <c r="G2489" i="1" s="1"/>
  <c r="A2488" i="1" l="1"/>
  <c r="N2488" i="1" l="1" a="1"/>
  <c r="N2488" i="1" s="1"/>
  <c r="M2488" i="1" a="1"/>
  <c r="M2488" i="1" s="1"/>
  <c r="J2488" i="1" a="1"/>
  <c r="J2488" i="1" s="1"/>
  <c r="L2488" i="1"/>
  <c r="K2488" i="1" a="1"/>
  <c r="K2488" i="1" s="1"/>
  <c r="I2488" i="1"/>
  <c r="H2488" i="1" a="1"/>
  <c r="H2488" i="1" s="1"/>
  <c r="G2488" i="1" a="1"/>
  <c r="G2488" i="1" s="1"/>
  <c r="A2487" i="1" l="1"/>
  <c r="N2487" i="1" l="1" a="1"/>
  <c r="N2487" i="1" s="1"/>
  <c r="M2487" i="1" a="1"/>
  <c r="M2487" i="1" s="1"/>
  <c r="J2487" i="1" a="1"/>
  <c r="J2487" i="1" s="1"/>
  <c r="L2487" i="1"/>
  <c r="K2487" i="1" a="1"/>
  <c r="K2487" i="1" s="1"/>
  <c r="I2487" i="1"/>
  <c r="H2487" i="1" a="1"/>
  <c r="H2487" i="1" s="1"/>
  <c r="G2487" i="1" a="1"/>
  <c r="G2487" i="1" s="1"/>
  <c r="A2486" i="1"/>
  <c r="N2486" i="1" l="1" a="1"/>
  <c r="N2486" i="1" s="1"/>
  <c r="M2486" i="1" a="1"/>
  <c r="M2486" i="1" s="1"/>
  <c r="J2486" i="1" a="1"/>
  <c r="J2486" i="1" s="1"/>
  <c r="L2486" i="1"/>
  <c r="K2486" i="1" a="1"/>
  <c r="K2486" i="1" s="1"/>
  <c r="I2486" i="1"/>
  <c r="H2486" i="1" a="1"/>
  <c r="H2486" i="1" s="1"/>
  <c r="G2486" i="1" a="1"/>
  <c r="G2486" i="1" s="1"/>
  <c r="A2485" i="1" l="1"/>
  <c r="N2485" i="1" l="1" a="1"/>
  <c r="N2485" i="1" s="1"/>
  <c r="M2485" i="1" a="1"/>
  <c r="M2485" i="1" s="1"/>
  <c r="J2485" i="1" a="1"/>
  <c r="J2485" i="1" s="1"/>
  <c r="L2485" i="1"/>
  <c r="K2485" i="1" a="1"/>
  <c r="K2485" i="1" s="1"/>
  <c r="I2485" i="1"/>
  <c r="H2485" i="1" a="1"/>
  <c r="H2485" i="1" s="1"/>
  <c r="G2485" i="1" a="1"/>
  <c r="G2485" i="1" s="1"/>
  <c r="A2484" i="1" l="1"/>
  <c r="N2484" i="1" l="1" a="1"/>
  <c r="N2484" i="1" s="1"/>
  <c r="M2484" i="1" a="1"/>
  <c r="M2484" i="1" s="1"/>
  <c r="J2484" i="1" a="1"/>
  <c r="J2484" i="1" s="1"/>
  <c r="L2484" i="1"/>
  <c r="K2484" i="1" a="1"/>
  <c r="K2484" i="1" s="1"/>
  <c r="I2484" i="1"/>
  <c r="H2484" i="1" a="1"/>
  <c r="H2484" i="1" s="1"/>
  <c r="G2484" i="1" a="1"/>
  <c r="G2484" i="1" s="1"/>
  <c r="A2483" i="1" l="1"/>
  <c r="N2483" i="1" l="1" a="1"/>
  <c r="N2483" i="1" s="1"/>
  <c r="M2483" i="1" a="1"/>
  <c r="M2483" i="1" s="1"/>
  <c r="J2483" i="1" a="1"/>
  <c r="J2483" i="1" s="1"/>
  <c r="L2483" i="1"/>
  <c r="K2483" i="1" a="1"/>
  <c r="K2483" i="1" s="1"/>
  <c r="I2483" i="1"/>
  <c r="H2483" i="1" a="1"/>
  <c r="H2483" i="1" s="1"/>
  <c r="G2483" i="1" a="1"/>
  <c r="G2483" i="1" s="1"/>
  <c r="A2482" i="1" l="1"/>
  <c r="N2482" i="1" l="1" a="1"/>
  <c r="N2482" i="1" s="1"/>
  <c r="M2482" i="1" a="1"/>
  <c r="M2482" i="1" s="1"/>
  <c r="J2482" i="1" a="1"/>
  <c r="J2482" i="1" s="1"/>
  <c r="L2482" i="1"/>
  <c r="K2482" i="1" a="1"/>
  <c r="K2482" i="1" s="1"/>
  <c r="I2482" i="1"/>
  <c r="H2482" i="1" a="1"/>
  <c r="H2482" i="1" s="1"/>
  <c r="G2482" i="1" a="1"/>
  <c r="G2482" i="1" s="1"/>
  <c r="A2481" i="1" l="1"/>
  <c r="N2481" i="1" l="1" a="1"/>
  <c r="N2481" i="1" s="1"/>
  <c r="M2481" i="1" a="1"/>
  <c r="M2481" i="1" s="1"/>
  <c r="J2481" i="1" a="1"/>
  <c r="J2481" i="1" s="1"/>
  <c r="L2481" i="1"/>
  <c r="K2481" i="1" a="1"/>
  <c r="K2481" i="1" s="1"/>
  <c r="I2481" i="1"/>
  <c r="H2481" i="1" a="1"/>
  <c r="H2481" i="1" s="1"/>
  <c r="G2481" i="1" a="1"/>
  <c r="G2481" i="1" s="1"/>
  <c r="A2480" i="1"/>
  <c r="A2479" i="1"/>
  <c r="A2478" i="1"/>
  <c r="A2477" i="1"/>
  <c r="N2477" i="1" l="1" a="1"/>
  <c r="N2477" i="1" s="1"/>
  <c r="M2477" i="1" a="1"/>
  <c r="M2477" i="1" s="1"/>
  <c r="N2478" i="1" a="1"/>
  <c r="N2478" i="1" s="1"/>
  <c r="M2478" i="1" a="1"/>
  <c r="M2478" i="1" s="1"/>
  <c r="N2479" i="1" a="1"/>
  <c r="N2479" i="1" s="1"/>
  <c r="M2479" i="1" a="1"/>
  <c r="M2479" i="1" s="1"/>
  <c r="N2480" i="1" a="1"/>
  <c r="N2480" i="1" s="1"/>
  <c r="M2480" i="1" a="1"/>
  <c r="M2480" i="1" s="1"/>
  <c r="J2477" i="1" a="1"/>
  <c r="J2477" i="1" s="1"/>
  <c r="L2477" i="1"/>
  <c r="K2477" i="1" a="1"/>
  <c r="K2477" i="1" s="1"/>
  <c r="J2478" i="1" a="1"/>
  <c r="J2478" i="1" s="1"/>
  <c r="L2478" i="1"/>
  <c r="K2478" i="1" a="1"/>
  <c r="K2478" i="1" s="1"/>
  <c r="J2479" i="1" a="1"/>
  <c r="J2479" i="1" s="1"/>
  <c r="L2479" i="1"/>
  <c r="K2479" i="1" a="1"/>
  <c r="K2479" i="1" s="1"/>
  <c r="J2480" i="1" a="1"/>
  <c r="J2480" i="1" s="1"/>
  <c r="L2480" i="1"/>
  <c r="K2480" i="1" a="1"/>
  <c r="K2480" i="1" s="1"/>
  <c r="I2480" i="1"/>
  <c r="H2480" i="1" a="1"/>
  <c r="H2480" i="1" s="1"/>
  <c r="G2480" i="1" a="1"/>
  <c r="G2480" i="1" s="1"/>
  <c r="I2479" i="1"/>
  <c r="H2479" i="1" a="1"/>
  <c r="H2479" i="1" s="1"/>
  <c r="G2479" i="1" a="1"/>
  <c r="G2479" i="1" s="1"/>
  <c r="I2478" i="1"/>
  <c r="H2478" i="1" a="1"/>
  <c r="H2478" i="1" s="1"/>
  <c r="G2478" i="1" a="1"/>
  <c r="G2478" i="1" s="1"/>
  <c r="I2477" i="1"/>
  <c r="H2477" i="1" a="1"/>
  <c r="H2477" i="1" s="1"/>
  <c r="G2477" i="1" a="1"/>
  <c r="G2477" i="1" s="1"/>
  <c r="A2476" i="1"/>
  <c r="N2476" i="1" l="1" a="1"/>
  <c r="N2476" i="1" s="1"/>
  <c r="M2476" i="1" a="1"/>
  <c r="M2476" i="1" s="1"/>
  <c r="J2476" i="1" a="1"/>
  <c r="J2476" i="1" s="1"/>
  <c r="L2476" i="1"/>
  <c r="K2476" i="1" a="1"/>
  <c r="K2476" i="1" s="1"/>
  <c r="I2476" i="1"/>
  <c r="H2476" i="1" a="1"/>
  <c r="H2476" i="1" s="1"/>
  <c r="G2476" i="1" a="1"/>
  <c r="G2476" i="1" s="1"/>
  <c r="A2475" i="1"/>
  <c r="N2475" i="1" l="1" a="1"/>
  <c r="N2475" i="1" s="1"/>
  <c r="M2475" i="1" a="1"/>
  <c r="M2475" i="1" s="1"/>
  <c r="J2475" i="1" a="1"/>
  <c r="J2475" i="1" s="1"/>
  <c r="L2475" i="1"/>
  <c r="K2475" i="1" a="1"/>
  <c r="K2475" i="1" s="1"/>
  <c r="I2475" i="1"/>
  <c r="H2475" i="1" a="1"/>
  <c r="H2475" i="1" s="1"/>
  <c r="G2475" i="1" a="1"/>
  <c r="G2475" i="1" s="1"/>
  <c r="A2474" i="1" l="1"/>
  <c r="A2473" i="1"/>
  <c r="N2473" i="1" l="1" a="1"/>
  <c r="N2473" i="1" s="1"/>
  <c r="M2473" i="1" a="1"/>
  <c r="M2473" i="1" s="1"/>
  <c r="N2474" i="1" a="1"/>
  <c r="N2474" i="1" s="1"/>
  <c r="M2474" i="1" a="1"/>
  <c r="M2474" i="1" s="1"/>
  <c r="J2473" i="1" a="1"/>
  <c r="J2473" i="1" s="1"/>
  <c r="L2473" i="1"/>
  <c r="K2473" i="1" a="1"/>
  <c r="K2473" i="1" s="1"/>
  <c r="J2474" i="1" a="1"/>
  <c r="J2474" i="1" s="1"/>
  <c r="L2474" i="1"/>
  <c r="K2474" i="1" a="1"/>
  <c r="K2474" i="1" s="1"/>
  <c r="I2473" i="1"/>
  <c r="H2473" i="1" a="1"/>
  <c r="H2473" i="1" s="1"/>
  <c r="G2473" i="1" a="1"/>
  <c r="G2473" i="1" s="1"/>
  <c r="I2474" i="1"/>
  <c r="H2474" i="1" a="1"/>
  <c r="H2474" i="1" s="1"/>
  <c r="G2474" i="1" a="1"/>
  <c r="G2474" i="1" s="1"/>
  <c r="A2472" i="1" l="1"/>
  <c r="N2472" i="1" l="1" a="1"/>
  <c r="N2472" i="1" s="1"/>
  <c r="M2472" i="1" a="1"/>
  <c r="M2472" i="1" s="1"/>
  <c r="J2472" i="1" a="1"/>
  <c r="J2472" i="1" s="1"/>
  <c r="L2472" i="1"/>
  <c r="K2472" i="1" a="1"/>
  <c r="K2472" i="1" s="1"/>
  <c r="I2472" i="1"/>
  <c r="H2472" i="1" a="1"/>
  <c r="H2472" i="1" s="1"/>
  <c r="G2472" i="1" a="1"/>
  <c r="G2472" i="1" s="1"/>
  <c r="A2471" i="1" l="1"/>
  <c r="N2471" i="1" l="1" a="1"/>
  <c r="N2471" i="1" s="1"/>
  <c r="M2471" i="1" a="1"/>
  <c r="M2471" i="1" s="1"/>
  <c r="J2471" i="1" a="1"/>
  <c r="J2471" i="1" s="1"/>
  <c r="L2471" i="1"/>
  <c r="K2471" i="1" a="1"/>
  <c r="K2471" i="1" s="1"/>
  <c r="I2471" i="1"/>
  <c r="H2471" i="1" a="1"/>
  <c r="H2471" i="1" s="1"/>
  <c r="G2471" i="1" a="1"/>
  <c r="G2471" i="1" s="1"/>
  <c r="A2470" i="1" l="1"/>
  <c r="A2469" i="1"/>
  <c r="A2468" i="1"/>
  <c r="A2467" i="1"/>
  <c r="N2469" i="1" l="1" a="1"/>
  <c r="N2469" i="1" s="1"/>
  <c r="M2469" i="1" a="1"/>
  <c r="M2469" i="1" s="1"/>
  <c r="N2470" i="1" a="1"/>
  <c r="N2470" i="1" s="1"/>
  <c r="M2470" i="1" a="1"/>
  <c r="M2470" i="1" s="1"/>
  <c r="N2467" i="1" a="1"/>
  <c r="N2467" i="1" s="1"/>
  <c r="M2467" i="1" a="1"/>
  <c r="M2467" i="1" s="1"/>
  <c r="N2468" i="1" a="1"/>
  <c r="N2468" i="1" s="1"/>
  <c r="M2468" i="1" a="1"/>
  <c r="M2468" i="1" s="1"/>
  <c r="J2468" i="1" a="1"/>
  <c r="J2468" i="1" s="1"/>
  <c r="L2468" i="1"/>
  <c r="K2468" i="1" a="1"/>
  <c r="K2468" i="1" s="1"/>
  <c r="J2469" i="1" a="1"/>
  <c r="J2469" i="1" s="1"/>
  <c r="L2469" i="1"/>
  <c r="K2469" i="1" a="1"/>
  <c r="K2469" i="1" s="1"/>
  <c r="J2470" i="1" a="1"/>
  <c r="J2470" i="1" s="1"/>
  <c r="L2470" i="1"/>
  <c r="K2470" i="1" a="1"/>
  <c r="K2470" i="1" s="1"/>
  <c r="J2467" i="1" a="1"/>
  <c r="J2467" i="1" s="1"/>
  <c r="L2467" i="1"/>
  <c r="K2467" i="1" a="1"/>
  <c r="K2467" i="1" s="1"/>
  <c r="I2468" i="1"/>
  <c r="H2468" i="1" a="1"/>
  <c r="H2468" i="1" s="1"/>
  <c r="G2468" i="1" a="1"/>
  <c r="G2468" i="1" s="1"/>
  <c r="I2467" i="1"/>
  <c r="H2467" i="1" a="1"/>
  <c r="H2467" i="1" s="1"/>
  <c r="G2467" i="1" a="1"/>
  <c r="G2467" i="1" s="1"/>
  <c r="I2470" i="1"/>
  <c r="H2470" i="1" a="1"/>
  <c r="H2470" i="1" s="1"/>
  <c r="G2470" i="1" a="1"/>
  <c r="G2470" i="1" s="1"/>
  <c r="I2469" i="1"/>
  <c r="H2469" i="1" a="1"/>
  <c r="H2469" i="1" s="1"/>
  <c r="G2469" i="1" a="1"/>
  <c r="G2469" i="1" s="1"/>
  <c r="A2466" i="1"/>
  <c r="N2466" i="1" l="1" a="1"/>
  <c r="N2466" i="1" s="1"/>
  <c r="M2466" i="1" a="1"/>
  <c r="M2466" i="1" s="1"/>
  <c r="J2466" i="1" a="1"/>
  <c r="J2466" i="1" s="1"/>
  <c r="L2466" i="1"/>
  <c r="K2466" i="1" a="1"/>
  <c r="K2466" i="1" s="1"/>
  <c r="I2466" i="1"/>
  <c r="H2466" i="1" a="1"/>
  <c r="H2466" i="1" s="1"/>
  <c r="G2466" i="1" a="1"/>
  <c r="G2466" i="1" s="1"/>
  <c r="A2465" i="1"/>
  <c r="N2465" i="1" l="1" a="1"/>
  <c r="N2465" i="1" s="1"/>
  <c r="M2465" i="1" a="1"/>
  <c r="M2465" i="1" s="1"/>
  <c r="J2465" i="1" a="1"/>
  <c r="J2465" i="1" s="1"/>
  <c r="L2465" i="1"/>
  <c r="K2465" i="1" a="1"/>
  <c r="K2465" i="1" s="1"/>
  <c r="I2465" i="1"/>
  <c r="H2465" i="1" a="1"/>
  <c r="H2465" i="1" s="1"/>
  <c r="G2465" i="1" a="1"/>
  <c r="G2465" i="1" s="1"/>
  <c r="A2464" i="1" l="1"/>
  <c r="N2464" i="1" l="1" a="1"/>
  <c r="N2464" i="1" s="1"/>
  <c r="M2464" i="1" a="1"/>
  <c r="M2464" i="1" s="1"/>
  <c r="J2464" i="1" a="1"/>
  <c r="J2464" i="1" s="1"/>
  <c r="L2464" i="1"/>
  <c r="K2464" i="1" a="1"/>
  <c r="K2464" i="1" s="1"/>
  <c r="I2464" i="1"/>
  <c r="H2464" i="1" a="1"/>
  <c r="H2464" i="1" s="1"/>
  <c r="G2464" i="1" a="1"/>
  <c r="G2464" i="1" s="1"/>
  <c r="A2463" i="1" l="1"/>
  <c r="N2463" i="1" l="1" a="1"/>
  <c r="N2463" i="1" s="1"/>
  <c r="M2463" i="1" a="1"/>
  <c r="M2463" i="1" s="1"/>
  <c r="J2463" i="1" a="1"/>
  <c r="J2463" i="1" s="1"/>
  <c r="L2463" i="1"/>
  <c r="K2463" i="1" a="1"/>
  <c r="K2463" i="1" s="1"/>
  <c r="I2463" i="1"/>
  <c r="H2463" i="1" a="1"/>
  <c r="H2463" i="1" s="1"/>
  <c r="G2463" i="1" a="1"/>
  <c r="G2463" i="1" s="1"/>
  <c r="A2462" i="1" l="1"/>
  <c r="N2462" i="1" l="1" a="1"/>
  <c r="N2462" i="1" s="1"/>
  <c r="M2462" i="1" a="1"/>
  <c r="M2462" i="1" s="1"/>
  <c r="J2462" i="1" a="1"/>
  <c r="J2462" i="1" s="1"/>
  <c r="L2462" i="1"/>
  <c r="K2462" i="1" a="1"/>
  <c r="K2462" i="1" s="1"/>
  <c r="I2462" i="1"/>
  <c r="H2462" i="1" a="1"/>
  <c r="H2462" i="1" s="1"/>
  <c r="G2462" i="1" a="1"/>
  <c r="G2462" i="1" s="1"/>
  <c r="A2461" i="1"/>
  <c r="N2461" i="1" l="1" a="1"/>
  <c r="N2461" i="1" s="1"/>
  <c r="M2461" i="1" a="1"/>
  <c r="M2461" i="1" s="1"/>
  <c r="J2461" i="1" a="1"/>
  <c r="J2461" i="1" s="1"/>
  <c r="L2461" i="1"/>
  <c r="K2461" i="1" a="1"/>
  <c r="K2461" i="1" s="1"/>
  <c r="I2461" i="1"/>
  <c r="H2461" i="1" a="1"/>
  <c r="H2461" i="1" s="1"/>
  <c r="G2461" i="1" a="1"/>
  <c r="G2461" i="1" s="1"/>
  <c r="A2460" i="1" l="1"/>
  <c r="N2460" i="1" l="1" a="1"/>
  <c r="N2460" i="1" s="1"/>
  <c r="M2460" i="1" a="1"/>
  <c r="M2460" i="1" s="1"/>
  <c r="J2460" i="1" a="1"/>
  <c r="J2460" i="1" s="1"/>
  <c r="L2460" i="1"/>
  <c r="K2460" i="1" a="1"/>
  <c r="K2460" i="1" s="1"/>
  <c r="I2460" i="1"/>
  <c r="H2460" i="1" a="1"/>
  <c r="H2460" i="1" s="1"/>
  <c r="G2460" i="1" a="1"/>
  <c r="G2460" i="1" s="1"/>
  <c r="A2459" i="1" l="1"/>
  <c r="N2459" i="1" l="1" a="1"/>
  <c r="N2459" i="1" s="1"/>
  <c r="M2459" i="1" a="1"/>
  <c r="M2459" i="1" s="1"/>
  <c r="J2459" i="1" a="1"/>
  <c r="J2459" i="1" s="1"/>
  <c r="L2459" i="1"/>
  <c r="K2459" i="1" a="1"/>
  <c r="K2459" i="1" s="1"/>
  <c r="I2459" i="1"/>
  <c r="H2459" i="1" a="1"/>
  <c r="H2459" i="1" s="1"/>
  <c r="G2459" i="1" a="1"/>
  <c r="G2459" i="1" s="1"/>
  <c r="A2458" i="1" l="1"/>
  <c r="A2457" i="1"/>
  <c r="A2456" i="1"/>
  <c r="A2453" i="1"/>
  <c r="A2454" i="1"/>
  <c r="A2455" i="1"/>
  <c r="A2452" i="1"/>
  <c r="A2451" i="1"/>
  <c r="N2451" i="1" l="1" a="1"/>
  <c r="N2451" i="1" s="1"/>
  <c r="M2451" i="1" a="1"/>
  <c r="M2451" i="1" s="1"/>
  <c r="N2452" i="1" a="1"/>
  <c r="N2452" i="1" s="1"/>
  <c r="M2452" i="1" a="1"/>
  <c r="M2452" i="1" s="1"/>
  <c r="N2455" i="1" a="1"/>
  <c r="N2455" i="1" s="1"/>
  <c r="M2455" i="1" a="1"/>
  <c r="M2455" i="1" s="1"/>
  <c r="N2454" i="1" a="1"/>
  <c r="N2454" i="1" s="1"/>
  <c r="M2454" i="1" a="1"/>
  <c r="M2454" i="1" s="1"/>
  <c r="N2453" i="1" a="1"/>
  <c r="N2453" i="1" s="1"/>
  <c r="M2453" i="1" a="1"/>
  <c r="M2453" i="1" s="1"/>
  <c r="N2456" i="1" a="1"/>
  <c r="N2456" i="1" s="1"/>
  <c r="M2456" i="1" a="1"/>
  <c r="M2456" i="1" s="1"/>
  <c r="N2457" i="1" a="1"/>
  <c r="N2457" i="1" s="1"/>
  <c r="M2457" i="1" a="1"/>
  <c r="M2457" i="1" s="1"/>
  <c r="N2458" i="1" a="1"/>
  <c r="N2458" i="1" s="1"/>
  <c r="M2458" i="1" a="1"/>
  <c r="M2458" i="1" s="1"/>
  <c r="J2453" i="1" a="1"/>
  <c r="J2453" i="1" s="1"/>
  <c r="L2453" i="1"/>
  <c r="K2453" i="1" a="1"/>
  <c r="K2453" i="1" s="1"/>
  <c r="J2456" i="1" a="1"/>
  <c r="J2456" i="1" s="1"/>
  <c r="L2456" i="1"/>
  <c r="K2456" i="1" a="1"/>
  <c r="K2456" i="1" s="1"/>
  <c r="J2451" i="1" a="1"/>
  <c r="J2451" i="1" s="1"/>
  <c r="L2451" i="1"/>
  <c r="K2451" i="1" a="1"/>
  <c r="K2451" i="1" s="1"/>
  <c r="J2452" i="1" a="1"/>
  <c r="J2452" i="1" s="1"/>
  <c r="L2452" i="1"/>
  <c r="K2452" i="1" a="1"/>
  <c r="K2452" i="1" s="1"/>
  <c r="J2455" i="1" a="1"/>
  <c r="J2455" i="1" s="1"/>
  <c r="L2455" i="1"/>
  <c r="K2455" i="1" a="1"/>
  <c r="K2455" i="1" s="1"/>
  <c r="J2454" i="1" a="1"/>
  <c r="J2454" i="1" s="1"/>
  <c r="L2454" i="1"/>
  <c r="K2454" i="1" a="1"/>
  <c r="K2454" i="1" s="1"/>
  <c r="J2457" i="1" a="1"/>
  <c r="J2457" i="1" s="1"/>
  <c r="L2457" i="1"/>
  <c r="K2457" i="1" a="1"/>
  <c r="K2457" i="1" s="1"/>
  <c r="J2458" i="1" a="1"/>
  <c r="J2458" i="1" s="1"/>
  <c r="L2458" i="1"/>
  <c r="K2458" i="1" a="1"/>
  <c r="K2458" i="1" s="1"/>
  <c r="I2454" i="1"/>
  <c r="H2454" i="1" a="1"/>
  <c r="H2454" i="1" s="1"/>
  <c r="G2454" i="1" a="1"/>
  <c r="G2454" i="1" s="1"/>
  <c r="I2455" i="1"/>
  <c r="H2455" i="1" a="1"/>
  <c r="H2455" i="1" s="1"/>
  <c r="G2455" i="1" a="1"/>
  <c r="G2455" i="1" s="1"/>
  <c r="I2452" i="1"/>
  <c r="H2452" i="1" a="1"/>
  <c r="H2452" i="1" s="1"/>
  <c r="G2452" i="1" a="1"/>
  <c r="G2452" i="1" s="1"/>
  <c r="I2456" i="1"/>
  <c r="H2456" i="1" a="1"/>
  <c r="H2456" i="1" s="1"/>
  <c r="G2456" i="1" a="1"/>
  <c r="G2456" i="1" s="1"/>
  <c r="I2458" i="1"/>
  <c r="H2458" i="1" a="1"/>
  <c r="H2458" i="1" s="1"/>
  <c r="G2458" i="1" a="1"/>
  <c r="G2458" i="1" s="1"/>
  <c r="I2457" i="1"/>
  <c r="H2457" i="1" a="1"/>
  <c r="H2457" i="1" s="1"/>
  <c r="G2457" i="1" a="1"/>
  <c r="G2457" i="1" s="1"/>
  <c r="I2451" i="1"/>
  <c r="H2451" i="1" a="1"/>
  <c r="H2451" i="1" s="1"/>
  <c r="G2451" i="1" a="1"/>
  <c r="G2451" i="1" s="1"/>
  <c r="I2453" i="1"/>
  <c r="H2453" i="1" a="1"/>
  <c r="H2453" i="1" s="1"/>
  <c r="G2453" i="1" a="1"/>
  <c r="G2453" i="1" s="1"/>
  <c r="A2450" i="1" l="1"/>
  <c r="N2450" i="1" l="1" a="1"/>
  <c r="N2450" i="1" s="1"/>
  <c r="M2450" i="1" a="1"/>
  <c r="M2450" i="1" s="1"/>
  <c r="J2450" i="1" a="1"/>
  <c r="J2450" i="1" s="1"/>
  <c r="L2450" i="1"/>
  <c r="K2450" i="1" a="1"/>
  <c r="K2450" i="1" s="1"/>
  <c r="I2450" i="1"/>
  <c r="H2450" i="1" a="1"/>
  <c r="H2450" i="1" s="1"/>
  <c r="G2450" i="1" a="1"/>
  <c r="G2450" i="1" s="1"/>
  <c r="A2449" i="1" l="1"/>
  <c r="N2449" i="1" l="1" a="1"/>
  <c r="N2449" i="1" s="1"/>
  <c r="M2449" i="1" a="1"/>
  <c r="M2449" i="1" s="1"/>
  <c r="J2449" i="1" a="1"/>
  <c r="J2449" i="1" s="1"/>
  <c r="L2449" i="1"/>
  <c r="K2449" i="1" a="1"/>
  <c r="K2449" i="1" s="1"/>
  <c r="I2449" i="1"/>
  <c r="H2449" i="1" a="1"/>
  <c r="H2449" i="1" s="1"/>
  <c r="G2449" i="1" a="1"/>
  <c r="G2449" i="1" s="1"/>
  <c r="A2448" i="1" l="1"/>
  <c r="N2448" i="1" l="1" a="1"/>
  <c r="N2448" i="1" s="1"/>
  <c r="M2448" i="1" a="1"/>
  <c r="M2448" i="1" s="1"/>
  <c r="J2448" i="1" a="1"/>
  <c r="J2448" i="1" s="1"/>
  <c r="L2448" i="1"/>
  <c r="K2448" i="1" a="1"/>
  <c r="K2448" i="1" s="1"/>
  <c r="I2448" i="1"/>
  <c r="H2448" i="1" a="1"/>
  <c r="H2448" i="1" s="1"/>
  <c r="G2448" i="1" a="1"/>
  <c r="G2448" i="1" s="1"/>
  <c r="A2447" i="1" l="1"/>
  <c r="N2447" i="1" l="1" a="1"/>
  <c r="N2447" i="1" s="1"/>
  <c r="M2447" i="1" a="1"/>
  <c r="M2447" i="1" s="1"/>
  <c r="J2447" i="1" a="1"/>
  <c r="J2447" i="1" s="1"/>
  <c r="L2447" i="1"/>
  <c r="K2447" i="1" a="1"/>
  <c r="K2447" i="1" s="1"/>
  <c r="I2447" i="1"/>
  <c r="H2447" i="1" a="1"/>
  <c r="H2447" i="1" s="1"/>
  <c r="G2447" i="1" a="1"/>
  <c r="G2447" i="1" s="1"/>
  <c r="A2446" i="1" l="1"/>
  <c r="N2446" i="1" l="1" a="1"/>
  <c r="N2446" i="1" s="1"/>
  <c r="M2446" i="1" a="1"/>
  <c r="M2446" i="1" s="1"/>
  <c r="J2446" i="1" a="1"/>
  <c r="J2446" i="1" s="1"/>
  <c r="L2446" i="1"/>
  <c r="K2446" i="1" a="1"/>
  <c r="K2446" i="1" s="1"/>
  <c r="I2446" i="1"/>
  <c r="H2446" i="1" a="1"/>
  <c r="H2446" i="1" s="1"/>
  <c r="G2446" i="1" a="1"/>
  <c r="G2446" i="1" s="1"/>
  <c r="A2445" i="1" l="1"/>
  <c r="N2445" i="1" l="1" a="1"/>
  <c r="N2445" i="1" s="1"/>
  <c r="M2445" i="1" a="1"/>
  <c r="M2445" i="1" s="1"/>
  <c r="J2445" i="1" a="1"/>
  <c r="J2445" i="1" s="1"/>
  <c r="L2445" i="1"/>
  <c r="K2445" i="1" a="1"/>
  <c r="K2445" i="1" s="1"/>
  <c r="I2445" i="1"/>
  <c r="H2445" i="1" a="1"/>
  <c r="H2445" i="1" s="1"/>
  <c r="G2445" i="1" a="1"/>
  <c r="G2445" i="1" s="1"/>
  <c r="A2444" i="1" l="1"/>
  <c r="N2444" i="1" l="1" a="1"/>
  <c r="N2444" i="1" s="1"/>
  <c r="M2444" i="1" a="1"/>
  <c r="M2444" i="1" s="1"/>
  <c r="J2444" i="1" a="1"/>
  <c r="J2444" i="1" s="1"/>
  <c r="L2444" i="1"/>
  <c r="K2444" i="1" a="1"/>
  <c r="K2444" i="1" s="1"/>
  <c r="I2444" i="1"/>
  <c r="H2444" i="1" a="1"/>
  <c r="H2444" i="1" s="1"/>
  <c r="G2444" i="1" a="1"/>
  <c r="G2444" i="1" s="1"/>
  <c r="A2443" i="1" l="1"/>
  <c r="N2443" i="1" l="1" a="1"/>
  <c r="N2443" i="1" s="1"/>
  <c r="M2443" i="1" a="1"/>
  <c r="M2443" i="1" s="1"/>
  <c r="J2443" i="1" a="1"/>
  <c r="J2443" i="1" s="1"/>
  <c r="L2443" i="1"/>
  <c r="K2443" i="1" a="1"/>
  <c r="K2443" i="1" s="1"/>
  <c r="I2443" i="1"/>
  <c r="H2443" i="1" a="1"/>
  <c r="H2443" i="1" s="1"/>
  <c r="G2443" i="1" a="1"/>
  <c r="G2443" i="1" s="1"/>
  <c r="A2442" i="1" l="1"/>
  <c r="N2442" i="1" l="1" a="1"/>
  <c r="N2442" i="1" s="1"/>
  <c r="M2442" i="1" a="1"/>
  <c r="M2442" i="1" s="1"/>
  <c r="J2442" i="1" a="1"/>
  <c r="J2442" i="1" s="1"/>
  <c r="L2442" i="1"/>
  <c r="K2442" i="1" a="1"/>
  <c r="K2442" i="1" s="1"/>
  <c r="I2442" i="1"/>
  <c r="H2442" i="1" a="1"/>
  <c r="H2442" i="1" s="1"/>
  <c r="G2442" i="1" a="1"/>
  <c r="G2442" i="1" s="1"/>
  <c r="A2441" i="1" l="1"/>
  <c r="A2439" i="1"/>
  <c r="A2440" i="1"/>
  <c r="N2440" i="1" l="1" a="1"/>
  <c r="N2440" i="1" s="1"/>
  <c r="M2440" i="1" a="1"/>
  <c r="M2440" i="1" s="1"/>
  <c r="N2439" i="1" a="1"/>
  <c r="N2439" i="1" s="1"/>
  <c r="M2439" i="1" a="1"/>
  <c r="M2439" i="1" s="1"/>
  <c r="N2441" i="1" a="1"/>
  <c r="N2441" i="1" s="1"/>
  <c r="M2441" i="1" a="1"/>
  <c r="M2441" i="1" s="1"/>
  <c r="J2440" i="1" a="1"/>
  <c r="J2440" i="1" s="1"/>
  <c r="L2440" i="1"/>
  <c r="K2440" i="1" a="1"/>
  <c r="K2440" i="1" s="1"/>
  <c r="J2439" i="1" a="1"/>
  <c r="J2439" i="1" s="1"/>
  <c r="L2439" i="1"/>
  <c r="K2439" i="1" a="1"/>
  <c r="K2439" i="1" s="1"/>
  <c r="J2441" i="1" a="1"/>
  <c r="J2441" i="1" s="1"/>
  <c r="L2441" i="1"/>
  <c r="K2441" i="1" a="1"/>
  <c r="K2441" i="1" s="1"/>
  <c r="I2441" i="1"/>
  <c r="H2441" i="1" a="1"/>
  <c r="H2441" i="1" s="1"/>
  <c r="G2441" i="1" a="1"/>
  <c r="G2441" i="1" s="1"/>
  <c r="I2439" i="1"/>
  <c r="H2439" i="1" a="1"/>
  <c r="H2439" i="1" s="1"/>
  <c r="G2439" i="1" a="1"/>
  <c r="G2439" i="1" s="1"/>
  <c r="I2440" i="1"/>
  <c r="H2440" i="1" a="1"/>
  <c r="H2440" i="1" s="1"/>
  <c r="G2440" i="1" a="1"/>
  <c r="G2440" i="1" s="1"/>
  <c r="A2438" i="1"/>
  <c r="N2438" i="1" l="1" a="1"/>
  <c r="N2438" i="1" s="1"/>
  <c r="M2438" i="1" a="1"/>
  <c r="M2438" i="1" s="1"/>
  <c r="J2438" i="1" a="1"/>
  <c r="J2438" i="1" s="1"/>
  <c r="L2438" i="1"/>
  <c r="K2438" i="1" a="1"/>
  <c r="K2438" i="1" s="1"/>
  <c r="I2438" i="1"/>
  <c r="H2438" i="1" a="1"/>
  <c r="H2438" i="1" s="1"/>
  <c r="G2438" i="1" a="1"/>
  <c r="G2438" i="1" s="1"/>
  <c r="A2437" i="1" l="1"/>
  <c r="A2436" i="1"/>
  <c r="N2436" i="1" l="1" a="1"/>
  <c r="N2436" i="1" s="1"/>
  <c r="M2436" i="1" a="1"/>
  <c r="M2436" i="1" s="1"/>
  <c r="N2437" i="1" a="1"/>
  <c r="N2437" i="1" s="1"/>
  <c r="M2437" i="1" a="1"/>
  <c r="M2437" i="1" s="1"/>
  <c r="J2437" i="1" a="1"/>
  <c r="J2437" i="1" s="1"/>
  <c r="L2437" i="1"/>
  <c r="K2437" i="1" a="1"/>
  <c r="K2437" i="1" s="1"/>
  <c r="J2436" i="1" a="1"/>
  <c r="J2436" i="1" s="1"/>
  <c r="L2436" i="1"/>
  <c r="K2436" i="1" a="1"/>
  <c r="K2436" i="1" s="1"/>
  <c r="I2437" i="1"/>
  <c r="H2437" i="1" a="1"/>
  <c r="H2437" i="1" s="1"/>
  <c r="G2437" i="1" a="1"/>
  <c r="G2437" i="1" s="1"/>
  <c r="I2436" i="1"/>
  <c r="H2436" i="1" a="1"/>
  <c r="H2436" i="1" s="1"/>
  <c r="G2436" i="1" a="1"/>
  <c r="G2436" i="1" s="1"/>
  <c r="A2435" i="1" l="1"/>
  <c r="N2435" i="1" l="1" a="1"/>
  <c r="N2435" i="1" s="1"/>
  <c r="M2435" i="1" a="1"/>
  <c r="M2435" i="1" s="1"/>
  <c r="J2435" i="1" a="1"/>
  <c r="J2435" i="1" s="1"/>
  <c r="L2435" i="1"/>
  <c r="K2435" i="1" a="1"/>
  <c r="K2435" i="1" s="1"/>
  <c r="I2435" i="1"/>
  <c r="H2435" i="1" a="1"/>
  <c r="H2435" i="1" s="1"/>
  <c r="G2435" i="1" a="1"/>
  <c r="G2435" i="1" s="1"/>
  <c r="A2434" i="1" l="1"/>
  <c r="N2434" i="1" l="1" a="1"/>
  <c r="N2434" i="1" s="1"/>
  <c r="M2434" i="1" a="1"/>
  <c r="M2434" i="1" s="1"/>
  <c r="J2434" i="1" a="1"/>
  <c r="J2434" i="1" s="1"/>
  <c r="L2434" i="1"/>
  <c r="K2434" i="1" a="1"/>
  <c r="K2434" i="1" s="1"/>
  <c r="I2434" i="1"/>
  <c r="H2434" i="1" a="1"/>
  <c r="H2434" i="1" s="1"/>
  <c r="G2434" i="1" a="1"/>
  <c r="G2434" i="1" s="1"/>
  <c r="A2433" i="1" l="1"/>
  <c r="N2433" i="1" l="1" a="1"/>
  <c r="N2433" i="1" s="1"/>
  <c r="M2433" i="1" a="1"/>
  <c r="M2433" i="1" s="1"/>
  <c r="J2433" i="1" a="1"/>
  <c r="J2433" i="1" s="1"/>
  <c r="L2433" i="1"/>
  <c r="K2433" i="1" a="1"/>
  <c r="K2433" i="1" s="1"/>
  <c r="I2433" i="1"/>
  <c r="H2433" i="1" a="1"/>
  <c r="H2433" i="1" s="1"/>
  <c r="G2433" i="1" a="1"/>
  <c r="G2433" i="1" s="1"/>
  <c r="A2432" i="1" l="1"/>
  <c r="N2432" i="1" l="1" a="1"/>
  <c r="N2432" i="1" s="1"/>
  <c r="M2432" i="1" a="1"/>
  <c r="M2432" i="1" s="1"/>
  <c r="J2432" i="1" a="1"/>
  <c r="J2432" i="1" s="1"/>
  <c r="L2432" i="1"/>
  <c r="K2432" i="1" a="1"/>
  <c r="K2432" i="1" s="1"/>
  <c r="I2432" i="1"/>
  <c r="H2432" i="1" a="1"/>
  <c r="H2432" i="1" s="1"/>
  <c r="G2432" i="1" a="1"/>
  <c r="G2432" i="1" s="1"/>
  <c r="A2431" i="1" l="1"/>
  <c r="N2431" i="1" l="1" a="1"/>
  <c r="N2431" i="1" s="1"/>
  <c r="M2431" i="1" a="1"/>
  <c r="M2431" i="1" s="1"/>
  <c r="J2431" i="1" a="1"/>
  <c r="J2431" i="1" s="1"/>
  <c r="L2431" i="1"/>
  <c r="K2431" i="1" a="1"/>
  <c r="K2431" i="1" s="1"/>
  <c r="I2431" i="1"/>
  <c r="H2431" i="1" a="1"/>
  <c r="H2431" i="1" s="1"/>
  <c r="G2431" i="1" a="1"/>
  <c r="G2431" i="1" s="1"/>
  <c r="A2430" i="1" l="1"/>
  <c r="N2430" i="1" l="1" a="1"/>
  <c r="N2430" i="1" s="1"/>
  <c r="M2430" i="1" a="1"/>
  <c r="M2430" i="1" s="1"/>
  <c r="J2430" i="1" a="1"/>
  <c r="J2430" i="1" s="1"/>
  <c r="L2430" i="1"/>
  <c r="K2430" i="1" a="1"/>
  <c r="K2430" i="1" s="1"/>
  <c r="I2430" i="1"/>
  <c r="H2430" i="1" a="1"/>
  <c r="H2430" i="1" s="1"/>
  <c r="G2430" i="1" a="1"/>
  <c r="G2430" i="1" s="1"/>
  <c r="A2429" i="1" l="1"/>
  <c r="N2429" i="1" l="1" a="1"/>
  <c r="N2429" i="1" s="1"/>
  <c r="M2429" i="1" a="1"/>
  <c r="M2429" i="1" s="1"/>
  <c r="J2429" i="1" a="1"/>
  <c r="J2429" i="1" s="1"/>
  <c r="L2429" i="1"/>
  <c r="K2429" i="1" a="1"/>
  <c r="K2429" i="1" s="1"/>
  <c r="I2429" i="1"/>
  <c r="H2429" i="1" a="1"/>
  <c r="H2429" i="1" s="1"/>
  <c r="G2429" i="1" a="1"/>
  <c r="G2429" i="1" s="1"/>
  <c r="A2428" i="1" l="1"/>
  <c r="N2428" i="1" l="1" a="1"/>
  <c r="N2428" i="1" s="1"/>
  <c r="M2428" i="1" a="1"/>
  <c r="M2428" i="1" s="1"/>
  <c r="J2428" i="1" a="1"/>
  <c r="J2428" i="1" s="1"/>
  <c r="L2428" i="1"/>
  <c r="K2428" i="1" a="1"/>
  <c r="K2428" i="1" s="1"/>
  <c r="I2428" i="1"/>
  <c r="H2428" i="1" a="1"/>
  <c r="H2428" i="1" s="1"/>
  <c r="G2428" i="1" a="1"/>
  <c r="G2428" i="1" s="1"/>
  <c r="A2427" i="1" l="1"/>
  <c r="N2427" i="1" l="1" a="1"/>
  <c r="N2427" i="1" s="1"/>
  <c r="M2427" i="1" a="1"/>
  <c r="M2427" i="1" s="1"/>
  <c r="J2427" i="1" a="1"/>
  <c r="J2427" i="1" s="1"/>
  <c r="L2427" i="1"/>
  <c r="K2427" i="1" a="1"/>
  <c r="K2427" i="1" s="1"/>
  <c r="I2427" i="1"/>
  <c r="H2427" i="1" a="1"/>
  <c r="H2427" i="1" s="1"/>
  <c r="G2427" i="1" a="1"/>
  <c r="G2427" i="1" s="1"/>
  <c r="A2426" i="1" l="1"/>
  <c r="N2426" i="1" l="1" a="1"/>
  <c r="N2426" i="1" s="1"/>
  <c r="M2426" i="1" a="1"/>
  <c r="M2426" i="1" s="1"/>
  <c r="J2426" i="1" a="1"/>
  <c r="J2426" i="1" s="1"/>
  <c r="L2426" i="1"/>
  <c r="K2426" i="1" a="1"/>
  <c r="K2426" i="1" s="1"/>
  <c r="I2426" i="1"/>
  <c r="H2426" i="1" a="1"/>
  <c r="H2426" i="1" s="1"/>
  <c r="G2426" i="1" a="1"/>
  <c r="G2426" i="1" s="1"/>
  <c r="A2425" i="1" l="1"/>
  <c r="N2425" i="1" l="1" a="1"/>
  <c r="N2425" i="1" s="1"/>
  <c r="M2425" i="1" a="1"/>
  <c r="M2425" i="1" s="1"/>
  <c r="J2425" i="1" a="1"/>
  <c r="J2425" i="1" s="1"/>
  <c r="L2425" i="1"/>
  <c r="K2425" i="1" a="1"/>
  <c r="K2425" i="1" s="1"/>
  <c r="I2425" i="1"/>
  <c r="H2425" i="1" a="1"/>
  <c r="H2425" i="1" s="1"/>
  <c r="G2425" i="1" a="1"/>
  <c r="G2425" i="1" s="1"/>
  <c r="A2424" i="1" l="1"/>
  <c r="N2424" i="1" l="1" a="1"/>
  <c r="N2424" i="1" s="1"/>
  <c r="M2424" i="1" a="1"/>
  <c r="M2424" i="1" s="1"/>
  <c r="J2424" i="1" a="1"/>
  <c r="J2424" i="1" s="1"/>
  <c r="L2424" i="1"/>
  <c r="K2424" i="1" a="1"/>
  <c r="K2424" i="1" s="1"/>
  <c r="I2424" i="1"/>
  <c r="H2424" i="1" a="1"/>
  <c r="H2424" i="1" s="1"/>
  <c r="G2424" i="1" a="1"/>
  <c r="G2424" i="1" s="1"/>
  <c r="A2423" i="1" l="1"/>
  <c r="N2423" i="1" l="1" a="1"/>
  <c r="N2423" i="1" s="1"/>
  <c r="M2423" i="1" a="1"/>
  <c r="M2423" i="1" s="1"/>
  <c r="J2423" i="1" a="1"/>
  <c r="J2423" i="1" s="1"/>
  <c r="L2423" i="1"/>
  <c r="K2423" i="1" a="1"/>
  <c r="K2423" i="1" s="1"/>
  <c r="I2423" i="1"/>
  <c r="H2423" i="1" a="1"/>
  <c r="H2423" i="1" s="1"/>
  <c r="G2423" i="1" a="1"/>
  <c r="G2423" i="1" s="1"/>
  <c r="A2422" i="1" l="1"/>
  <c r="A2421" i="1"/>
  <c r="N2421" i="1" l="1" a="1"/>
  <c r="N2421" i="1" s="1"/>
  <c r="M2421" i="1" a="1"/>
  <c r="M2421" i="1" s="1"/>
  <c r="N2422" i="1" a="1"/>
  <c r="N2422" i="1" s="1"/>
  <c r="M2422" i="1" a="1"/>
  <c r="M2422" i="1" s="1"/>
  <c r="J2421" i="1" a="1"/>
  <c r="J2421" i="1" s="1"/>
  <c r="L2421" i="1"/>
  <c r="K2421" i="1" a="1"/>
  <c r="K2421" i="1" s="1"/>
  <c r="J2422" i="1" a="1"/>
  <c r="J2422" i="1" s="1"/>
  <c r="L2422" i="1"/>
  <c r="K2422" i="1" a="1"/>
  <c r="K2422" i="1" s="1"/>
  <c r="I2421" i="1"/>
  <c r="H2421" i="1" a="1"/>
  <c r="H2421" i="1" s="1"/>
  <c r="G2421" i="1" a="1"/>
  <c r="G2421" i="1" s="1"/>
  <c r="I2422" i="1"/>
  <c r="H2422" i="1" a="1"/>
  <c r="H2422" i="1" s="1"/>
  <c r="G2422" i="1" a="1"/>
  <c r="G2422" i="1" s="1"/>
  <c r="A2420" i="1" l="1"/>
  <c r="N2420" i="1" l="1" a="1"/>
  <c r="N2420" i="1" s="1"/>
  <c r="M2420" i="1" a="1"/>
  <c r="M2420" i="1" s="1"/>
  <c r="J2420" i="1" a="1"/>
  <c r="J2420" i="1" s="1"/>
  <c r="L2420" i="1"/>
  <c r="K2420" i="1" a="1"/>
  <c r="K2420" i="1" s="1"/>
  <c r="I2420" i="1"/>
  <c r="H2420" i="1" a="1"/>
  <c r="H2420" i="1" s="1"/>
  <c r="G2420" i="1" a="1"/>
  <c r="G2420" i="1" s="1"/>
  <c r="A2419" i="1" l="1"/>
  <c r="N2419" i="1" l="1" a="1"/>
  <c r="N2419" i="1" s="1"/>
  <c r="M2419" i="1" a="1"/>
  <c r="M2419" i="1" s="1"/>
  <c r="J2419" i="1" a="1"/>
  <c r="J2419" i="1" s="1"/>
  <c r="L2419" i="1"/>
  <c r="K2419" i="1" a="1"/>
  <c r="K2419" i="1" s="1"/>
  <c r="I2419" i="1"/>
  <c r="H2419" i="1" a="1"/>
  <c r="H2419" i="1" s="1"/>
  <c r="G2419" i="1" a="1"/>
  <c r="G2419" i="1" s="1"/>
  <c r="A2418" i="1" l="1"/>
  <c r="N2418" i="1" l="1" a="1"/>
  <c r="N2418" i="1" s="1"/>
  <c r="M2418" i="1" a="1"/>
  <c r="M2418" i="1" s="1"/>
  <c r="J2418" i="1" a="1"/>
  <c r="J2418" i="1" s="1"/>
  <c r="L2418" i="1"/>
  <c r="K2418" i="1" a="1"/>
  <c r="K2418" i="1" s="1"/>
  <c r="I2418" i="1"/>
  <c r="H2418" i="1" a="1"/>
  <c r="H2418" i="1" s="1"/>
  <c r="G2418" i="1" a="1"/>
  <c r="G2418" i="1" s="1"/>
  <c r="A2417" i="1" l="1"/>
  <c r="N2417" i="1" l="1" a="1"/>
  <c r="N2417" i="1" s="1"/>
  <c r="M2417" i="1" a="1"/>
  <c r="M2417" i="1" s="1"/>
  <c r="J2417" i="1" a="1"/>
  <c r="J2417" i="1" s="1"/>
  <c r="L2417" i="1"/>
  <c r="K2417" i="1" a="1"/>
  <c r="K2417" i="1" s="1"/>
  <c r="I2417" i="1"/>
  <c r="H2417" i="1" a="1"/>
  <c r="H2417" i="1" s="1"/>
  <c r="G2417" i="1" a="1"/>
  <c r="G2417" i="1" s="1"/>
  <c r="A2416" i="1"/>
  <c r="N2416" i="1" l="1" a="1"/>
  <c r="N2416" i="1" s="1"/>
  <c r="M2416" i="1" a="1"/>
  <c r="M2416" i="1" s="1"/>
  <c r="J2416" i="1" a="1"/>
  <c r="J2416" i="1" s="1"/>
  <c r="L2416" i="1"/>
  <c r="K2416" i="1" a="1"/>
  <c r="K2416" i="1" s="1"/>
  <c r="I2416" i="1"/>
  <c r="H2416" i="1" a="1"/>
  <c r="H2416" i="1" s="1"/>
  <c r="G2416" i="1" a="1"/>
  <c r="G2416" i="1" s="1"/>
  <c r="A2415" i="1" l="1"/>
  <c r="N2415" i="1" l="1" a="1"/>
  <c r="N2415" i="1" s="1"/>
  <c r="M2415" i="1" a="1"/>
  <c r="M2415" i="1" s="1"/>
  <c r="J2415" i="1" a="1"/>
  <c r="J2415" i="1" s="1"/>
  <c r="L2415" i="1"/>
  <c r="K2415" i="1" a="1"/>
  <c r="K2415" i="1" s="1"/>
  <c r="I2415" i="1"/>
  <c r="H2415" i="1" a="1"/>
  <c r="H2415" i="1" s="1"/>
  <c r="G2415" i="1" a="1"/>
  <c r="G2415" i="1" s="1"/>
  <c r="A2414" i="1" l="1"/>
  <c r="A2413" i="1"/>
  <c r="N2413" i="1" l="1" a="1"/>
  <c r="N2413" i="1" s="1"/>
  <c r="M2413" i="1" a="1"/>
  <c r="M2413" i="1" s="1"/>
  <c r="N2414" i="1" a="1"/>
  <c r="N2414" i="1" s="1"/>
  <c r="M2414" i="1" a="1"/>
  <c r="M2414" i="1" s="1"/>
  <c r="J2413" i="1" a="1"/>
  <c r="J2413" i="1" s="1"/>
  <c r="L2413" i="1"/>
  <c r="K2413" i="1" a="1"/>
  <c r="K2413" i="1" s="1"/>
  <c r="J2414" i="1" a="1"/>
  <c r="J2414" i="1" s="1"/>
  <c r="L2414" i="1"/>
  <c r="K2414" i="1" a="1"/>
  <c r="K2414" i="1" s="1"/>
  <c r="I2414" i="1"/>
  <c r="H2414" i="1" a="1"/>
  <c r="H2414" i="1" s="1"/>
  <c r="G2414" i="1" a="1"/>
  <c r="G2414" i="1" s="1"/>
  <c r="I2413" i="1"/>
  <c r="H2413" i="1" a="1"/>
  <c r="H2413" i="1" s="1"/>
  <c r="G2413" i="1" a="1"/>
  <c r="G2413" i="1" s="1"/>
  <c r="A2412" i="1" l="1"/>
  <c r="N2412" i="1" l="1" a="1"/>
  <c r="N2412" i="1" s="1"/>
  <c r="M2412" i="1" a="1"/>
  <c r="M2412" i="1" s="1"/>
  <c r="J2412" i="1" a="1"/>
  <c r="J2412" i="1" s="1"/>
  <c r="L2412" i="1"/>
  <c r="K2412" i="1" a="1"/>
  <c r="K2412" i="1" s="1"/>
  <c r="I2412" i="1"/>
  <c r="H2412" i="1" a="1"/>
  <c r="H2412" i="1" s="1"/>
  <c r="G2412" i="1" a="1"/>
  <c r="G2412" i="1" s="1"/>
  <c r="A2411" i="1" l="1"/>
  <c r="N2411" i="1" l="1" a="1"/>
  <c r="N2411" i="1" s="1"/>
  <c r="M2411" i="1" a="1"/>
  <c r="M2411" i="1" s="1"/>
  <c r="J2411" i="1" a="1"/>
  <c r="J2411" i="1" s="1"/>
  <c r="L2411" i="1"/>
  <c r="K2411" i="1" a="1"/>
  <c r="K2411" i="1" s="1"/>
  <c r="I2411" i="1"/>
  <c r="H2411" i="1" a="1"/>
  <c r="H2411" i="1" s="1"/>
  <c r="G2411" i="1" a="1"/>
  <c r="G2411" i="1" s="1"/>
  <c r="A2410" i="1" l="1"/>
  <c r="N2410" i="1" l="1" a="1"/>
  <c r="N2410" i="1" s="1"/>
  <c r="M2410" i="1" a="1"/>
  <c r="M2410" i="1" s="1"/>
  <c r="J2410" i="1" a="1"/>
  <c r="J2410" i="1" s="1"/>
  <c r="L2410" i="1"/>
  <c r="K2410" i="1" a="1"/>
  <c r="K2410" i="1" s="1"/>
  <c r="I2410" i="1"/>
  <c r="H2410" i="1" a="1"/>
  <c r="H2410" i="1" s="1"/>
  <c r="G2410" i="1" a="1"/>
  <c r="G2410" i="1" s="1"/>
  <c r="A2409" i="1" l="1"/>
  <c r="N2409" i="1" l="1" a="1"/>
  <c r="N2409" i="1" s="1"/>
  <c r="M2409" i="1" a="1"/>
  <c r="M2409" i="1" s="1"/>
  <c r="J2409" i="1" a="1"/>
  <c r="J2409" i="1" s="1"/>
  <c r="L2409" i="1"/>
  <c r="K2409" i="1" a="1"/>
  <c r="K2409" i="1" s="1"/>
  <c r="I2409" i="1"/>
  <c r="H2409" i="1" a="1"/>
  <c r="H2409" i="1" s="1"/>
  <c r="G2409" i="1" a="1"/>
  <c r="G2409" i="1" s="1"/>
  <c r="A2408" i="1" l="1"/>
  <c r="N2408" i="1" l="1" a="1"/>
  <c r="N2408" i="1" s="1"/>
  <c r="M2408" i="1" a="1"/>
  <c r="M2408" i="1" s="1"/>
  <c r="J2408" i="1" a="1"/>
  <c r="J2408" i="1" s="1"/>
  <c r="L2408" i="1"/>
  <c r="K2408" i="1" a="1"/>
  <c r="K2408" i="1" s="1"/>
  <c r="I2408" i="1"/>
  <c r="H2408" i="1" a="1"/>
  <c r="H2408" i="1" s="1"/>
  <c r="G2408" i="1" a="1"/>
  <c r="G2408" i="1" s="1"/>
  <c r="A2407" i="1" l="1"/>
  <c r="N2407" i="1" l="1" a="1"/>
  <c r="N2407" i="1" s="1"/>
  <c r="M2407" i="1" a="1"/>
  <c r="M2407" i="1" s="1"/>
  <c r="J2407" i="1" a="1"/>
  <c r="J2407" i="1" s="1"/>
  <c r="L2407" i="1"/>
  <c r="K2407" i="1" a="1"/>
  <c r="K2407" i="1" s="1"/>
  <c r="I2407" i="1"/>
  <c r="H2407" i="1" a="1"/>
  <c r="H2407" i="1" s="1"/>
  <c r="G2407" i="1" a="1"/>
  <c r="G2407" i="1" s="1"/>
  <c r="A2406" i="1" l="1"/>
  <c r="N2406" i="1" l="1" a="1"/>
  <c r="N2406" i="1" s="1"/>
  <c r="M2406" i="1" a="1"/>
  <c r="M2406" i="1" s="1"/>
  <c r="J2406" i="1" a="1"/>
  <c r="J2406" i="1" s="1"/>
  <c r="L2406" i="1"/>
  <c r="K2406" i="1" a="1"/>
  <c r="K2406" i="1" s="1"/>
  <c r="I2406" i="1"/>
  <c r="H2406" i="1" a="1"/>
  <c r="H2406" i="1" s="1"/>
  <c r="G2406" i="1" a="1"/>
  <c r="G2406" i="1" s="1"/>
  <c r="A2405" i="1" l="1"/>
  <c r="N2405" i="1" l="1" a="1"/>
  <c r="N2405" i="1" s="1"/>
  <c r="M2405" i="1" a="1"/>
  <c r="M2405" i="1" s="1"/>
  <c r="J2405" i="1" a="1"/>
  <c r="J2405" i="1" s="1"/>
  <c r="L2405" i="1"/>
  <c r="K2405" i="1" a="1"/>
  <c r="K2405" i="1" s="1"/>
  <c r="I2405" i="1"/>
  <c r="H2405" i="1" a="1"/>
  <c r="H2405" i="1" s="1"/>
  <c r="G2405" i="1" a="1"/>
  <c r="G2405" i="1" s="1"/>
  <c r="A2404" i="1" l="1"/>
  <c r="N2404" i="1" l="1" a="1"/>
  <c r="N2404" i="1" s="1"/>
  <c r="M2404" i="1" a="1"/>
  <c r="M2404" i="1" s="1"/>
  <c r="J2404" i="1" a="1"/>
  <c r="J2404" i="1" s="1"/>
  <c r="L2404" i="1"/>
  <c r="K2404" i="1" a="1"/>
  <c r="K2404" i="1" s="1"/>
  <c r="I2404" i="1"/>
  <c r="H2404" i="1" a="1"/>
  <c r="H2404" i="1" s="1"/>
  <c r="G2404" i="1" a="1"/>
  <c r="G2404" i="1" s="1"/>
  <c r="A2403" i="1" l="1"/>
  <c r="N2403" i="1" l="1" a="1"/>
  <c r="N2403" i="1" s="1"/>
  <c r="M2403" i="1" a="1"/>
  <c r="M2403" i="1" s="1"/>
  <c r="J2403" i="1" a="1"/>
  <c r="J2403" i="1" s="1"/>
  <c r="L2403" i="1"/>
  <c r="K2403" i="1" a="1"/>
  <c r="K2403" i="1" s="1"/>
  <c r="I2403" i="1"/>
  <c r="H2403" i="1" a="1"/>
  <c r="H2403" i="1" s="1"/>
  <c r="G2403" i="1" a="1"/>
  <c r="G2403" i="1" s="1"/>
  <c r="A2402" i="1" l="1"/>
  <c r="N2402" i="1" l="1" a="1"/>
  <c r="N2402" i="1" s="1"/>
  <c r="M2402" i="1" a="1"/>
  <c r="M2402" i="1" s="1"/>
  <c r="J2402" i="1" a="1"/>
  <c r="J2402" i="1" s="1"/>
  <c r="L2402" i="1"/>
  <c r="K2402" i="1" a="1"/>
  <c r="K2402" i="1" s="1"/>
  <c r="I2402" i="1"/>
  <c r="H2402" i="1" a="1"/>
  <c r="H2402" i="1" s="1"/>
  <c r="G2402" i="1" a="1"/>
  <c r="G2402" i="1" s="1"/>
  <c r="A2401" i="1" l="1"/>
  <c r="N2401" i="1" l="1" a="1"/>
  <c r="N2401" i="1" s="1"/>
  <c r="M2401" i="1" a="1"/>
  <c r="M2401" i="1" s="1"/>
  <c r="J2401" i="1" a="1"/>
  <c r="J2401" i="1" s="1"/>
  <c r="L2401" i="1"/>
  <c r="K2401" i="1" a="1"/>
  <c r="K2401" i="1" s="1"/>
  <c r="I2401" i="1"/>
  <c r="H2401" i="1" a="1"/>
  <c r="H2401" i="1" s="1"/>
  <c r="G2401" i="1" a="1"/>
  <c r="G2401" i="1" s="1"/>
  <c r="A2400" i="1" l="1"/>
  <c r="N2400" i="1" l="1" a="1"/>
  <c r="N2400" i="1" s="1"/>
  <c r="M2400" i="1" a="1"/>
  <c r="M2400" i="1" s="1"/>
  <c r="J2400" i="1" a="1"/>
  <c r="J2400" i="1" s="1"/>
  <c r="L2400" i="1"/>
  <c r="K2400" i="1" a="1"/>
  <c r="K2400" i="1" s="1"/>
  <c r="I2400" i="1"/>
  <c r="H2400" i="1" a="1"/>
  <c r="H2400" i="1" s="1"/>
  <c r="G2400" i="1" a="1"/>
  <c r="G2400" i="1" s="1"/>
  <c r="A2399" i="1" l="1"/>
  <c r="N2399" i="1" l="1" a="1"/>
  <c r="N2399" i="1" s="1"/>
  <c r="M2399" i="1" a="1"/>
  <c r="M2399" i="1" s="1"/>
  <c r="J2399" i="1" a="1"/>
  <c r="J2399" i="1" s="1"/>
  <c r="L2399" i="1"/>
  <c r="K2399" i="1" a="1"/>
  <c r="K2399" i="1" s="1"/>
  <c r="I2399" i="1"/>
  <c r="H2399" i="1" a="1"/>
  <c r="H2399" i="1" s="1"/>
  <c r="G2399" i="1" a="1"/>
  <c r="G2399" i="1" s="1"/>
  <c r="A2398" i="1" l="1"/>
  <c r="N2398" i="1" l="1" a="1"/>
  <c r="N2398" i="1" s="1"/>
  <c r="M2398" i="1" a="1"/>
  <c r="M2398" i="1" s="1"/>
  <c r="J2398" i="1" a="1"/>
  <c r="J2398" i="1" s="1"/>
  <c r="L2398" i="1"/>
  <c r="K2398" i="1" a="1"/>
  <c r="K2398" i="1" s="1"/>
  <c r="I2398" i="1"/>
  <c r="H2398" i="1" a="1"/>
  <c r="H2398" i="1" s="1"/>
  <c r="G2398" i="1" a="1"/>
  <c r="G2398" i="1" s="1"/>
  <c r="A2397" i="1" l="1"/>
  <c r="N2397" i="1" l="1" a="1"/>
  <c r="N2397" i="1" s="1"/>
  <c r="M2397" i="1" a="1"/>
  <c r="M2397" i="1" s="1"/>
  <c r="J2397" i="1" a="1"/>
  <c r="J2397" i="1" s="1"/>
  <c r="L2397" i="1"/>
  <c r="K2397" i="1" a="1"/>
  <c r="K2397" i="1" s="1"/>
  <c r="I2397" i="1"/>
  <c r="H2397" i="1" a="1"/>
  <c r="H2397" i="1" s="1"/>
  <c r="G2397" i="1" a="1"/>
  <c r="G2397" i="1" s="1"/>
  <c r="A2396" i="1" l="1"/>
  <c r="N2396" i="1" l="1" a="1"/>
  <c r="N2396" i="1" s="1"/>
  <c r="M2396" i="1" a="1"/>
  <c r="M2396" i="1" s="1"/>
  <c r="J2396" i="1" a="1"/>
  <c r="J2396" i="1" s="1"/>
  <c r="L2396" i="1"/>
  <c r="K2396" i="1" a="1"/>
  <c r="K2396" i="1" s="1"/>
  <c r="I2396" i="1"/>
  <c r="H2396" i="1" a="1"/>
  <c r="H2396" i="1" s="1"/>
  <c r="G2396" i="1" a="1"/>
  <c r="G2396" i="1" s="1"/>
  <c r="A2395" i="1" l="1"/>
  <c r="N2395" i="1" l="1" a="1"/>
  <c r="N2395" i="1" s="1"/>
  <c r="M2395" i="1" a="1"/>
  <c r="M2395" i="1" s="1"/>
  <c r="J2395" i="1" a="1"/>
  <c r="J2395" i="1" s="1"/>
  <c r="L2395" i="1"/>
  <c r="K2395" i="1" a="1"/>
  <c r="K2395" i="1" s="1"/>
  <c r="I2395" i="1"/>
  <c r="H2395" i="1" a="1"/>
  <c r="H2395" i="1" s="1"/>
  <c r="G2395" i="1" a="1"/>
  <c r="G2395" i="1" s="1"/>
  <c r="A2394" i="1" l="1"/>
  <c r="N2394" i="1" l="1" a="1"/>
  <c r="N2394" i="1" s="1"/>
  <c r="M2394" i="1" a="1"/>
  <c r="M2394" i="1" s="1"/>
  <c r="J2394" i="1" a="1"/>
  <c r="J2394" i="1" s="1"/>
  <c r="L2394" i="1"/>
  <c r="K2394" i="1" a="1"/>
  <c r="K2394" i="1" s="1"/>
  <c r="I2394" i="1"/>
  <c r="H2394" i="1" a="1"/>
  <c r="H2394" i="1" s="1"/>
  <c r="G2394" i="1" a="1"/>
  <c r="G2394" i="1" s="1"/>
  <c r="A2393" i="1" l="1"/>
  <c r="N2393" i="1" l="1" a="1"/>
  <c r="N2393" i="1" s="1"/>
  <c r="M2393" i="1" a="1"/>
  <c r="M2393" i="1" s="1"/>
  <c r="J2393" i="1" a="1"/>
  <c r="J2393" i="1" s="1"/>
  <c r="L2393" i="1"/>
  <c r="K2393" i="1" a="1"/>
  <c r="K2393" i="1" s="1"/>
  <c r="I2393" i="1"/>
  <c r="H2393" i="1" a="1"/>
  <c r="H2393" i="1" s="1"/>
  <c r="G2393" i="1" a="1"/>
  <c r="G2393" i="1" s="1"/>
  <c r="A2392" i="1" l="1"/>
  <c r="N2392" i="1" l="1" a="1"/>
  <c r="N2392" i="1" s="1"/>
  <c r="M2392" i="1" a="1"/>
  <c r="M2392" i="1" s="1"/>
  <c r="J2392" i="1" a="1"/>
  <c r="J2392" i="1" s="1"/>
  <c r="L2392" i="1"/>
  <c r="K2392" i="1" a="1"/>
  <c r="K2392" i="1" s="1"/>
  <c r="I2392" i="1"/>
  <c r="H2392" i="1" a="1"/>
  <c r="H2392" i="1" s="1"/>
  <c r="G2392" i="1" a="1"/>
  <c r="G2392" i="1" s="1"/>
  <c r="A2391" i="1" l="1"/>
  <c r="N2391" i="1" l="1" a="1"/>
  <c r="N2391" i="1" s="1"/>
  <c r="M2391" i="1" a="1"/>
  <c r="M2391" i="1" s="1"/>
  <c r="J2391" i="1" a="1"/>
  <c r="J2391" i="1" s="1"/>
  <c r="L2391" i="1"/>
  <c r="K2391" i="1" a="1"/>
  <c r="K2391" i="1" s="1"/>
  <c r="I2391" i="1"/>
  <c r="H2391" i="1" a="1"/>
  <c r="H2391" i="1" s="1"/>
  <c r="G2391" i="1" a="1"/>
  <c r="G2391" i="1" s="1"/>
  <c r="A2390" i="1" l="1"/>
  <c r="N2390" i="1" l="1" a="1"/>
  <c r="N2390" i="1" s="1"/>
  <c r="M2390" i="1" a="1"/>
  <c r="M2390" i="1" s="1"/>
  <c r="J2390" i="1" a="1"/>
  <c r="J2390" i="1" s="1"/>
  <c r="L2390" i="1"/>
  <c r="K2390" i="1" a="1"/>
  <c r="K2390" i="1" s="1"/>
  <c r="I2390" i="1"/>
  <c r="H2390" i="1" a="1"/>
  <c r="H2390" i="1" s="1"/>
  <c r="G2390" i="1" a="1"/>
  <c r="G2390" i="1" s="1"/>
  <c r="A2389" i="1" l="1"/>
  <c r="A2388" i="1"/>
  <c r="N2388" i="1" l="1" a="1"/>
  <c r="N2388" i="1" s="1"/>
  <c r="M2388" i="1" a="1"/>
  <c r="M2388" i="1" s="1"/>
  <c r="N2389" i="1" a="1"/>
  <c r="N2389" i="1" s="1"/>
  <c r="M2389" i="1" a="1"/>
  <c r="M2389" i="1" s="1"/>
  <c r="J2389" i="1" a="1"/>
  <c r="J2389" i="1" s="1"/>
  <c r="L2389" i="1"/>
  <c r="K2389" i="1" a="1"/>
  <c r="K2389" i="1" s="1"/>
  <c r="J2388" i="1" a="1"/>
  <c r="J2388" i="1" s="1"/>
  <c r="L2388" i="1"/>
  <c r="K2388" i="1" a="1"/>
  <c r="K2388" i="1" s="1"/>
  <c r="I2389" i="1"/>
  <c r="H2389" i="1" a="1"/>
  <c r="H2389" i="1" s="1"/>
  <c r="G2389" i="1" a="1"/>
  <c r="G2389" i="1" s="1"/>
  <c r="I2388" i="1"/>
  <c r="H2388" i="1" a="1"/>
  <c r="H2388" i="1" s="1"/>
  <c r="G2388" i="1" a="1"/>
  <c r="G2388" i="1" s="1"/>
  <c r="A2387" i="1"/>
  <c r="N2387" i="1" l="1" a="1"/>
  <c r="N2387" i="1" s="1"/>
  <c r="M2387" i="1" a="1"/>
  <c r="M2387" i="1" s="1"/>
  <c r="J2387" i="1" a="1"/>
  <c r="J2387" i="1" s="1"/>
  <c r="L2387" i="1"/>
  <c r="K2387" i="1" a="1"/>
  <c r="K2387" i="1" s="1"/>
  <c r="I2387" i="1"/>
  <c r="H2387" i="1" a="1"/>
  <c r="H2387" i="1" s="1"/>
  <c r="G2387" i="1" a="1"/>
  <c r="G2387" i="1" s="1"/>
  <c r="A2386" i="1" l="1"/>
  <c r="N2386" i="1" l="1" a="1"/>
  <c r="N2386" i="1" s="1"/>
  <c r="M2386" i="1" a="1"/>
  <c r="M2386" i="1" s="1"/>
  <c r="J2386" i="1" a="1"/>
  <c r="J2386" i="1" s="1"/>
  <c r="L2386" i="1"/>
  <c r="K2386" i="1" a="1"/>
  <c r="K2386" i="1" s="1"/>
  <c r="I2386" i="1"/>
  <c r="H2386" i="1" a="1"/>
  <c r="H2386" i="1" s="1"/>
  <c r="G2386" i="1" a="1"/>
  <c r="G2386" i="1" s="1"/>
  <c r="A2385" i="1" l="1"/>
  <c r="N2385" i="1" l="1" a="1"/>
  <c r="N2385" i="1" s="1"/>
  <c r="M2385" i="1" a="1"/>
  <c r="M2385" i="1" s="1"/>
  <c r="J2385" i="1" a="1"/>
  <c r="J2385" i="1" s="1"/>
  <c r="L2385" i="1"/>
  <c r="K2385" i="1" a="1"/>
  <c r="K2385" i="1" s="1"/>
  <c r="I2385" i="1"/>
  <c r="H2385" i="1" a="1"/>
  <c r="H2385" i="1" s="1"/>
  <c r="G2385" i="1" a="1"/>
  <c r="G2385" i="1" s="1"/>
  <c r="A2384" i="1" l="1"/>
  <c r="N2384" i="1" l="1" a="1"/>
  <c r="N2384" i="1" s="1"/>
  <c r="M2384" i="1" a="1"/>
  <c r="M2384" i="1" s="1"/>
  <c r="J2384" i="1" a="1"/>
  <c r="J2384" i="1" s="1"/>
  <c r="L2384" i="1"/>
  <c r="K2384" i="1" a="1"/>
  <c r="K2384" i="1" s="1"/>
  <c r="I2384" i="1"/>
  <c r="H2384" i="1" a="1"/>
  <c r="H2384" i="1" s="1"/>
  <c r="G2384" i="1" a="1"/>
  <c r="G2384" i="1" s="1"/>
  <c r="A2383" i="1" l="1"/>
  <c r="N2383" i="1" l="1" a="1"/>
  <c r="N2383" i="1" s="1"/>
  <c r="M2383" i="1" a="1"/>
  <c r="M2383" i="1" s="1"/>
  <c r="J2383" i="1" a="1"/>
  <c r="J2383" i="1" s="1"/>
  <c r="L2383" i="1"/>
  <c r="K2383" i="1" a="1"/>
  <c r="K2383" i="1" s="1"/>
  <c r="I2383" i="1"/>
  <c r="H2383" i="1" a="1"/>
  <c r="H2383" i="1" s="1"/>
  <c r="G2383" i="1" a="1"/>
  <c r="G2383" i="1" s="1"/>
  <c r="A2382" i="1" l="1"/>
  <c r="N2382" i="1" l="1" a="1"/>
  <c r="N2382" i="1" s="1"/>
  <c r="M2382" i="1" a="1"/>
  <c r="M2382" i="1" s="1"/>
  <c r="J2382" i="1" a="1"/>
  <c r="J2382" i="1" s="1"/>
  <c r="L2382" i="1"/>
  <c r="K2382" i="1" a="1"/>
  <c r="K2382" i="1" s="1"/>
  <c r="I2382" i="1"/>
  <c r="H2382" i="1" a="1"/>
  <c r="H2382" i="1" s="1"/>
  <c r="G2382" i="1" a="1"/>
  <c r="G2382" i="1" s="1"/>
  <c r="A2381" i="1" l="1"/>
  <c r="N2381" i="1" l="1" a="1"/>
  <c r="N2381" i="1" s="1"/>
  <c r="M2381" i="1" a="1"/>
  <c r="M2381" i="1" s="1"/>
  <c r="J2381" i="1" a="1"/>
  <c r="J2381" i="1" s="1"/>
  <c r="L2381" i="1"/>
  <c r="K2381" i="1" a="1"/>
  <c r="K2381" i="1" s="1"/>
  <c r="I2381" i="1"/>
  <c r="H2381" i="1" a="1"/>
  <c r="H2381" i="1" s="1"/>
  <c r="G2381" i="1" a="1"/>
  <c r="G2381" i="1" s="1"/>
  <c r="A2380" i="1" l="1"/>
  <c r="A2379" i="1"/>
  <c r="N2379" i="1" l="1" a="1"/>
  <c r="N2379" i="1" s="1"/>
  <c r="M2379" i="1" a="1"/>
  <c r="M2379" i="1" s="1"/>
  <c r="N2380" i="1" a="1"/>
  <c r="N2380" i="1" s="1"/>
  <c r="M2380" i="1" a="1"/>
  <c r="M2380" i="1" s="1"/>
  <c r="J2380" i="1" a="1"/>
  <c r="J2380" i="1" s="1"/>
  <c r="L2380" i="1"/>
  <c r="K2380" i="1" a="1"/>
  <c r="K2380" i="1" s="1"/>
  <c r="J2379" i="1" a="1"/>
  <c r="J2379" i="1" s="1"/>
  <c r="L2379" i="1"/>
  <c r="K2379" i="1" a="1"/>
  <c r="K2379" i="1" s="1"/>
  <c r="I2380" i="1"/>
  <c r="H2380" i="1" a="1"/>
  <c r="H2380" i="1" s="1"/>
  <c r="G2380" i="1" a="1"/>
  <c r="G2380" i="1" s="1"/>
  <c r="I2379" i="1"/>
  <c r="H2379" i="1" a="1"/>
  <c r="H2379" i="1" s="1"/>
  <c r="G2379" i="1" a="1"/>
  <c r="G2379" i="1" s="1"/>
  <c r="A2378" i="1" l="1"/>
  <c r="N2378" i="1" l="1" a="1"/>
  <c r="N2378" i="1" s="1"/>
  <c r="M2378" i="1" a="1"/>
  <c r="M2378" i="1" s="1"/>
  <c r="J2378" i="1" a="1"/>
  <c r="J2378" i="1" s="1"/>
  <c r="L2378" i="1"/>
  <c r="K2378" i="1" a="1"/>
  <c r="K2378" i="1" s="1"/>
  <c r="I2378" i="1"/>
  <c r="H2378" i="1" a="1"/>
  <c r="H2378" i="1" s="1"/>
  <c r="G2378" i="1" a="1"/>
  <c r="G2378" i="1" s="1"/>
  <c r="A2377" i="1" l="1"/>
  <c r="N2377" i="1" l="1" a="1"/>
  <c r="N2377" i="1" s="1"/>
  <c r="M2377" i="1" a="1"/>
  <c r="M2377" i="1" s="1"/>
  <c r="J2377" i="1" a="1"/>
  <c r="J2377" i="1" s="1"/>
  <c r="L2377" i="1"/>
  <c r="K2377" i="1" a="1"/>
  <c r="K2377" i="1" s="1"/>
  <c r="I2377" i="1"/>
  <c r="H2377" i="1" a="1"/>
  <c r="H2377" i="1" s="1"/>
  <c r="G2377" i="1" a="1"/>
  <c r="G2377" i="1" s="1"/>
  <c r="A2376" i="1"/>
  <c r="N2376" i="1" l="1" a="1"/>
  <c r="N2376" i="1" s="1"/>
  <c r="M2376" i="1" a="1"/>
  <c r="M2376" i="1" s="1"/>
  <c r="J2376" i="1" a="1"/>
  <c r="J2376" i="1" s="1"/>
  <c r="L2376" i="1"/>
  <c r="K2376" i="1" a="1"/>
  <c r="K2376" i="1" s="1"/>
  <c r="I2376" i="1"/>
  <c r="H2376" i="1" a="1"/>
  <c r="H2376" i="1" s="1"/>
  <c r="G2376" i="1" a="1"/>
  <c r="G2376" i="1" s="1"/>
  <c r="A2375" i="1" l="1"/>
  <c r="N2375" i="1" l="1" a="1"/>
  <c r="N2375" i="1" s="1"/>
  <c r="M2375" i="1" a="1"/>
  <c r="M2375" i="1" s="1"/>
  <c r="J2375" i="1" a="1"/>
  <c r="J2375" i="1" s="1"/>
  <c r="L2375" i="1"/>
  <c r="K2375" i="1" a="1"/>
  <c r="K2375" i="1" s="1"/>
  <c r="I2375" i="1"/>
  <c r="H2375" i="1" a="1"/>
  <c r="H2375" i="1" s="1"/>
  <c r="G2375" i="1" a="1"/>
  <c r="G2375" i="1" s="1"/>
  <c r="A2374" i="1"/>
  <c r="N2374" i="1" l="1" a="1"/>
  <c r="N2374" i="1" s="1"/>
  <c r="M2374" i="1" a="1"/>
  <c r="M2374" i="1" s="1"/>
  <c r="J2374" i="1" a="1"/>
  <c r="J2374" i="1" s="1"/>
  <c r="L2374" i="1"/>
  <c r="K2374" i="1" a="1"/>
  <c r="K2374" i="1" s="1"/>
  <c r="I2374" i="1"/>
  <c r="H2374" i="1" a="1"/>
  <c r="H2374" i="1" s="1"/>
  <c r="G2374" i="1" a="1"/>
  <c r="G2374" i="1" s="1"/>
  <c r="A2373" i="1" l="1"/>
  <c r="N2373" i="1" l="1" a="1"/>
  <c r="N2373" i="1" s="1"/>
  <c r="M2373" i="1" a="1"/>
  <c r="M2373" i="1" s="1"/>
  <c r="J2373" i="1" a="1"/>
  <c r="J2373" i="1" s="1"/>
  <c r="L2373" i="1"/>
  <c r="K2373" i="1" a="1"/>
  <c r="K2373" i="1" s="1"/>
  <c r="I2373" i="1"/>
  <c r="H2373" i="1" a="1"/>
  <c r="H2373" i="1" s="1"/>
  <c r="G2373" i="1" a="1"/>
  <c r="G2373" i="1" s="1"/>
  <c r="A2372" i="1" l="1"/>
  <c r="N2372" i="1" l="1" a="1"/>
  <c r="N2372" i="1" s="1"/>
  <c r="M2372" i="1" a="1"/>
  <c r="M2372" i="1" s="1"/>
  <c r="J2372" i="1" a="1"/>
  <c r="J2372" i="1" s="1"/>
  <c r="L2372" i="1"/>
  <c r="K2372" i="1" a="1"/>
  <c r="K2372" i="1" s="1"/>
  <c r="I2372" i="1"/>
  <c r="H2372" i="1" a="1"/>
  <c r="H2372" i="1" s="1"/>
  <c r="G2372" i="1" a="1"/>
  <c r="G2372" i="1" s="1"/>
  <c r="A2371" i="1" l="1"/>
  <c r="N2371" i="1" l="1" a="1"/>
  <c r="N2371" i="1" s="1"/>
  <c r="M2371" i="1" a="1"/>
  <c r="M2371" i="1" s="1"/>
  <c r="J2371" i="1" a="1"/>
  <c r="J2371" i="1" s="1"/>
  <c r="L2371" i="1"/>
  <c r="K2371" i="1" a="1"/>
  <c r="K2371" i="1" s="1"/>
  <c r="I2371" i="1"/>
  <c r="H2371" i="1" a="1"/>
  <c r="H2371" i="1" s="1"/>
  <c r="G2371" i="1" a="1"/>
  <c r="G2371" i="1" s="1"/>
  <c r="A2370" i="1" l="1"/>
  <c r="N2370" i="1" l="1" a="1"/>
  <c r="N2370" i="1" s="1"/>
  <c r="M2370" i="1" a="1"/>
  <c r="M2370" i="1" s="1"/>
  <c r="J2370" i="1" a="1"/>
  <c r="J2370" i="1" s="1"/>
  <c r="L2370" i="1"/>
  <c r="K2370" i="1" a="1"/>
  <c r="K2370" i="1" s="1"/>
  <c r="I2370" i="1"/>
  <c r="H2370" i="1" a="1"/>
  <c r="H2370" i="1" s="1"/>
  <c r="G2370" i="1" a="1"/>
  <c r="G2370" i="1" s="1"/>
  <c r="A2369" i="1" l="1"/>
  <c r="N2369" i="1" l="1" a="1"/>
  <c r="N2369" i="1" s="1"/>
  <c r="M2369" i="1" a="1"/>
  <c r="M2369" i="1" s="1"/>
  <c r="J2369" i="1" a="1"/>
  <c r="J2369" i="1" s="1"/>
  <c r="L2369" i="1"/>
  <c r="K2369" i="1" a="1"/>
  <c r="K2369" i="1" s="1"/>
  <c r="I2369" i="1"/>
  <c r="H2369" i="1" a="1"/>
  <c r="H2369" i="1" s="1"/>
  <c r="G2369" i="1" a="1"/>
  <c r="G2369" i="1" s="1"/>
  <c r="A2368" i="1" l="1"/>
  <c r="N2368" i="1" l="1" a="1"/>
  <c r="N2368" i="1" s="1"/>
  <c r="M2368" i="1" a="1"/>
  <c r="M2368" i="1" s="1"/>
  <c r="J2368" i="1" a="1"/>
  <c r="J2368" i="1" s="1"/>
  <c r="L2368" i="1"/>
  <c r="K2368" i="1" a="1"/>
  <c r="K2368" i="1" s="1"/>
  <c r="I2368" i="1"/>
  <c r="H2368" i="1" a="1"/>
  <c r="H2368" i="1" s="1"/>
  <c r="G2368" i="1" a="1"/>
  <c r="G2368" i="1" s="1"/>
  <c r="A2367" i="1" l="1"/>
  <c r="N2367" i="1" l="1" a="1"/>
  <c r="N2367" i="1" s="1"/>
  <c r="M2367" i="1" a="1"/>
  <c r="M2367" i="1" s="1"/>
  <c r="J2367" i="1" a="1"/>
  <c r="J2367" i="1" s="1"/>
  <c r="L2367" i="1"/>
  <c r="K2367" i="1" a="1"/>
  <c r="K2367" i="1" s="1"/>
  <c r="I2367" i="1"/>
  <c r="H2367" i="1" a="1"/>
  <c r="H2367" i="1" s="1"/>
  <c r="G2367" i="1" a="1"/>
  <c r="G2367" i="1" s="1"/>
  <c r="A2366" i="1" l="1"/>
  <c r="N2366" i="1" l="1" a="1"/>
  <c r="N2366" i="1" s="1"/>
  <c r="M2366" i="1" a="1"/>
  <c r="M2366" i="1" s="1"/>
  <c r="J2366" i="1" a="1"/>
  <c r="J2366" i="1" s="1"/>
  <c r="L2366" i="1"/>
  <c r="K2366" i="1" a="1"/>
  <c r="K2366" i="1" s="1"/>
  <c r="I2366" i="1"/>
  <c r="H2366" i="1" a="1"/>
  <c r="H2366" i="1" s="1"/>
  <c r="G2366" i="1" a="1"/>
  <c r="G2366" i="1" s="1"/>
  <c r="A2365" i="1" l="1"/>
  <c r="N2365" i="1" l="1" a="1"/>
  <c r="N2365" i="1" s="1"/>
  <c r="M2365" i="1" a="1"/>
  <c r="M2365" i="1" s="1"/>
  <c r="J2365" i="1" a="1"/>
  <c r="J2365" i="1" s="1"/>
  <c r="L2365" i="1"/>
  <c r="K2365" i="1" a="1"/>
  <c r="K2365" i="1" s="1"/>
  <c r="I2365" i="1"/>
  <c r="H2365" i="1" a="1"/>
  <c r="H2365" i="1" s="1"/>
  <c r="G2365" i="1" a="1"/>
  <c r="G2365" i="1" s="1"/>
  <c r="A2364" i="1" l="1"/>
  <c r="N2364" i="1" l="1" a="1"/>
  <c r="N2364" i="1" s="1"/>
  <c r="M2364" i="1" a="1"/>
  <c r="M2364" i="1" s="1"/>
  <c r="J2364" i="1" a="1"/>
  <c r="J2364" i="1" s="1"/>
  <c r="L2364" i="1"/>
  <c r="K2364" i="1" a="1"/>
  <c r="K2364" i="1" s="1"/>
  <c r="I2364" i="1"/>
  <c r="H2364" i="1" a="1"/>
  <c r="H2364" i="1" s="1"/>
  <c r="G2364" i="1" a="1"/>
  <c r="G2364" i="1" s="1"/>
  <c r="A2363" i="1" l="1"/>
  <c r="A2362" i="1"/>
  <c r="N2363" i="1" l="1" a="1"/>
  <c r="N2363" i="1" s="1"/>
  <c r="M2363" i="1" a="1"/>
  <c r="M2363" i="1" s="1"/>
  <c r="N2362" i="1" a="1"/>
  <c r="N2362" i="1" s="1"/>
  <c r="M2362" i="1" a="1"/>
  <c r="M2362" i="1" s="1"/>
  <c r="J2362" i="1" a="1"/>
  <c r="J2362" i="1" s="1"/>
  <c r="L2362" i="1"/>
  <c r="K2362" i="1" a="1"/>
  <c r="K2362" i="1" s="1"/>
  <c r="J2363" i="1" a="1"/>
  <c r="J2363" i="1" s="1"/>
  <c r="L2363" i="1"/>
  <c r="K2363" i="1" a="1"/>
  <c r="K2363" i="1" s="1"/>
  <c r="I2363" i="1"/>
  <c r="H2363" i="1" a="1"/>
  <c r="H2363" i="1" s="1"/>
  <c r="G2363" i="1" a="1"/>
  <c r="G2363" i="1" s="1"/>
  <c r="I2362" i="1"/>
  <c r="H2362" i="1" a="1"/>
  <c r="H2362" i="1" s="1"/>
  <c r="G2362" i="1" a="1"/>
  <c r="G2362" i="1" s="1"/>
  <c r="A2361" i="1" l="1"/>
  <c r="N2361" i="1" l="1" a="1"/>
  <c r="N2361" i="1" s="1"/>
  <c r="M2361" i="1" a="1"/>
  <c r="M2361" i="1" s="1"/>
  <c r="J2361" i="1" a="1"/>
  <c r="J2361" i="1" s="1"/>
  <c r="L2361" i="1"/>
  <c r="K2361" i="1" a="1"/>
  <c r="K2361" i="1" s="1"/>
  <c r="I2361" i="1"/>
  <c r="H2361" i="1" a="1"/>
  <c r="H2361" i="1" s="1"/>
  <c r="G2361" i="1" a="1"/>
  <c r="G2361" i="1" s="1"/>
  <c r="A2360" i="1" l="1"/>
  <c r="N2360" i="1" l="1" a="1"/>
  <c r="N2360" i="1" s="1"/>
  <c r="M2360" i="1" a="1"/>
  <c r="M2360" i="1" s="1"/>
  <c r="J2360" i="1" a="1"/>
  <c r="J2360" i="1" s="1"/>
  <c r="L2360" i="1"/>
  <c r="K2360" i="1" a="1"/>
  <c r="K2360" i="1" s="1"/>
  <c r="I2360" i="1"/>
  <c r="H2360" i="1" a="1"/>
  <c r="H2360" i="1" s="1"/>
  <c r="G2360" i="1" a="1"/>
  <c r="G2360" i="1" s="1"/>
  <c r="A2359" i="1" l="1"/>
  <c r="A2358" i="1"/>
  <c r="N2358" i="1" l="1" a="1"/>
  <c r="N2358" i="1" s="1"/>
  <c r="M2358" i="1" a="1"/>
  <c r="M2358" i="1" s="1"/>
  <c r="N2359" i="1" a="1"/>
  <c r="N2359" i="1" s="1"/>
  <c r="M2359" i="1" a="1"/>
  <c r="M2359" i="1" s="1"/>
  <c r="J2358" i="1" a="1"/>
  <c r="J2358" i="1" s="1"/>
  <c r="L2358" i="1"/>
  <c r="K2358" i="1" a="1"/>
  <c r="K2358" i="1" s="1"/>
  <c r="J2359" i="1" a="1"/>
  <c r="J2359" i="1" s="1"/>
  <c r="L2359" i="1"/>
  <c r="K2359" i="1" a="1"/>
  <c r="K2359" i="1" s="1"/>
  <c r="I2358" i="1"/>
  <c r="H2358" i="1" a="1"/>
  <c r="H2358" i="1" s="1"/>
  <c r="G2358" i="1" a="1"/>
  <c r="G2358" i="1" s="1"/>
  <c r="I2359" i="1"/>
  <c r="H2359" i="1" a="1"/>
  <c r="H2359" i="1" s="1"/>
  <c r="G2359" i="1" a="1"/>
  <c r="G2359" i="1" s="1"/>
  <c r="A2357" i="1"/>
  <c r="N2357" i="1" l="1" a="1"/>
  <c r="N2357" i="1" s="1"/>
  <c r="M2357" i="1" a="1"/>
  <c r="M2357" i="1" s="1"/>
  <c r="J2357" i="1" a="1"/>
  <c r="J2357" i="1" s="1"/>
  <c r="L2357" i="1"/>
  <c r="K2357" i="1" a="1"/>
  <c r="K2357" i="1" s="1"/>
  <c r="I2357" i="1"/>
  <c r="H2357" i="1" a="1"/>
  <c r="H2357" i="1" s="1"/>
  <c r="G2357" i="1" a="1"/>
  <c r="G2357" i="1" s="1"/>
  <c r="A2356" i="1" l="1"/>
  <c r="N2356" i="1" l="1" a="1"/>
  <c r="N2356" i="1" s="1"/>
  <c r="M2356" i="1" a="1"/>
  <c r="M2356" i="1" s="1"/>
  <c r="J2356" i="1" a="1"/>
  <c r="J2356" i="1" s="1"/>
  <c r="L2356" i="1"/>
  <c r="K2356" i="1" a="1"/>
  <c r="K2356" i="1" s="1"/>
  <c r="I2356" i="1"/>
  <c r="H2356" i="1" a="1"/>
  <c r="H2356" i="1" s="1"/>
  <c r="G2356" i="1" a="1"/>
  <c r="G2356" i="1" s="1"/>
  <c r="A2355" i="1" l="1"/>
  <c r="N2355" i="1" l="1" a="1"/>
  <c r="N2355" i="1" s="1"/>
  <c r="M2355" i="1" a="1"/>
  <c r="M2355" i="1" s="1"/>
  <c r="J2355" i="1" a="1"/>
  <c r="J2355" i="1" s="1"/>
  <c r="L2355" i="1"/>
  <c r="K2355" i="1" a="1"/>
  <c r="K2355" i="1" s="1"/>
  <c r="I2355" i="1"/>
  <c r="H2355" i="1" a="1"/>
  <c r="H2355" i="1" s="1"/>
  <c r="G2355" i="1" a="1"/>
  <c r="G2355" i="1" s="1"/>
  <c r="A2354" i="1" l="1"/>
  <c r="N2354" i="1" l="1" a="1"/>
  <c r="N2354" i="1" s="1"/>
  <c r="M2354" i="1" a="1"/>
  <c r="M2354" i="1" s="1"/>
  <c r="J2354" i="1" a="1"/>
  <c r="J2354" i="1" s="1"/>
  <c r="L2354" i="1"/>
  <c r="K2354" i="1" a="1"/>
  <c r="K2354" i="1" s="1"/>
  <c r="I2354" i="1"/>
  <c r="H2354" i="1" a="1"/>
  <c r="H2354" i="1" s="1"/>
  <c r="G2354" i="1" a="1"/>
  <c r="G2354" i="1" s="1"/>
  <c r="A2353" i="1"/>
  <c r="N2353" i="1" l="1" a="1"/>
  <c r="N2353" i="1" s="1"/>
  <c r="M2353" i="1" a="1"/>
  <c r="M2353" i="1" s="1"/>
  <c r="J2353" i="1" a="1"/>
  <c r="J2353" i="1" s="1"/>
  <c r="L2353" i="1"/>
  <c r="K2353" i="1" a="1"/>
  <c r="K2353" i="1" s="1"/>
  <c r="I2353" i="1"/>
  <c r="H2353" i="1" a="1"/>
  <c r="H2353" i="1" s="1"/>
  <c r="G2353" i="1" a="1"/>
  <c r="G2353" i="1" s="1"/>
  <c r="A2352" i="1" l="1"/>
  <c r="N2352" i="1" l="1" a="1"/>
  <c r="N2352" i="1" s="1"/>
  <c r="M2352" i="1" a="1"/>
  <c r="M2352" i="1" s="1"/>
  <c r="J2352" i="1" a="1"/>
  <c r="J2352" i="1" s="1"/>
  <c r="L2352" i="1"/>
  <c r="K2352" i="1" a="1"/>
  <c r="K2352" i="1" s="1"/>
  <c r="I2352" i="1"/>
  <c r="H2352" i="1" a="1"/>
  <c r="H2352" i="1" s="1"/>
  <c r="G2352" i="1" a="1"/>
  <c r="G2352" i="1" s="1"/>
  <c r="A2351" i="1" l="1"/>
  <c r="N2351" i="1" l="1" a="1"/>
  <c r="N2351" i="1" s="1"/>
  <c r="M2351" i="1" a="1"/>
  <c r="M2351" i="1" s="1"/>
  <c r="J2351" i="1" a="1"/>
  <c r="J2351" i="1" s="1"/>
  <c r="L2351" i="1"/>
  <c r="K2351" i="1" a="1"/>
  <c r="K2351" i="1" s="1"/>
  <c r="I2351" i="1"/>
  <c r="H2351" i="1" a="1"/>
  <c r="H2351" i="1" s="1"/>
  <c r="G2351" i="1" a="1"/>
  <c r="G2351" i="1" s="1"/>
  <c r="A2350" i="1" l="1"/>
  <c r="N2350" i="1" l="1" a="1"/>
  <c r="N2350" i="1" s="1"/>
  <c r="M2350" i="1" a="1"/>
  <c r="M2350" i="1" s="1"/>
  <c r="J2350" i="1" a="1"/>
  <c r="J2350" i="1" s="1"/>
  <c r="L2350" i="1"/>
  <c r="K2350" i="1" a="1"/>
  <c r="K2350" i="1" s="1"/>
  <c r="I2350" i="1"/>
  <c r="H2350" i="1" a="1"/>
  <c r="H2350" i="1" s="1"/>
  <c r="G2350" i="1" a="1"/>
  <c r="G2350" i="1" s="1"/>
  <c r="A2349" i="1" l="1"/>
  <c r="A2348" i="1"/>
  <c r="A2346" i="1"/>
  <c r="A2347" i="1"/>
  <c r="N2346" i="1" l="1" a="1"/>
  <c r="N2346" i="1" s="1"/>
  <c r="M2346" i="1" a="1"/>
  <c r="M2346" i="1" s="1"/>
  <c r="N2348" i="1" a="1"/>
  <c r="N2348" i="1" s="1"/>
  <c r="M2348" i="1" a="1"/>
  <c r="M2348" i="1" s="1"/>
  <c r="N2349" i="1" a="1"/>
  <c r="N2349" i="1" s="1"/>
  <c r="M2349" i="1" a="1"/>
  <c r="M2349" i="1" s="1"/>
  <c r="N2347" i="1" a="1"/>
  <c r="N2347" i="1" s="1"/>
  <c r="M2347" i="1" a="1"/>
  <c r="M2347" i="1" s="1"/>
  <c r="J2349" i="1" a="1"/>
  <c r="J2349" i="1" s="1"/>
  <c r="L2349" i="1"/>
  <c r="K2349" i="1" a="1"/>
  <c r="K2349" i="1" s="1"/>
  <c r="J2347" i="1" a="1"/>
  <c r="J2347" i="1" s="1"/>
  <c r="L2347" i="1"/>
  <c r="K2347" i="1" a="1"/>
  <c r="K2347" i="1" s="1"/>
  <c r="J2346" i="1" a="1"/>
  <c r="J2346" i="1" s="1"/>
  <c r="L2346" i="1"/>
  <c r="K2346" i="1" a="1"/>
  <c r="K2346" i="1" s="1"/>
  <c r="J2348" i="1" a="1"/>
  <c r="J2348" i="1" s="1"/>
  <c r="L2348" i="1"/>
  <c r="K2348" i="1" a="1"/>
  <c r="K2348" i="1" s="1"/>
  <c r="I2348" i="1"/>
  <c r="H2348" i="1" a="1"/>
  <c r="H2348" i="1" s="1"/>
  <c r="G2348" i="1" a="1"/>
  <c r="G2348" i="1" s="1"/>
  <c r="I2347" i="1"/>
  <c r="H2347" i="1" a="1"/>
  <c r="H2347" i="1" s="1"/>
  <c r="G2347" i="1" a="1"/>
  <c r="G2347" i="1" s="1"/>
  <c r="I2346" i="1"/>
  <c r="H2346" i="1" a="1"/>
  <c r="H2346" i="1" s="1"/>
  <c r="G2346" i="1" a="1"/>
  <c r="G2346" i="1" s="1"/>
  <c r="I2349" i="1"/>
  <c r="H2349" i="1" a="1"/>
  <c r="H2349" i="1" s="1"/>
  <c r="G2349" i="1" a="1"/>
  <c r="G2349" i="1" s="1"/>
  <c r="A2345" i="1" l="1"/>
  <c r="A2344" i="1"/>
  <c r="N2344" i="1" l="1" a="1"/>
  <c r="N2344" i="1" s="1"/>
  <c r="M2344" i="1" a="1"/>
  <c r="M2344" i="1" s="1"/>
  <c r="N2345" i="1" a="1"/>
  <c r="N2345" i="1" s="1"/>
  <c r="M2345" i="1" a="1"/>
  <c r="M2345" i="1" s="1"/>
  <c r="J2344" i="1" a="1"/>
  <c r="J2344" i="1" s="1"/>
  <c r="L2344" i="1"/>
  <c r="K2344" i="1" a="1"/>
  <c r="K2344" i="1" s="1"/>
  <c r="J2345" i="1" a="1"/>
  <c r="J2345" i="1" s="1"/>
  <c r="L2345" i="1"/>
  <c r="K2345" i="1" a="1"/>
  <c r="K2345" i="1" s="1"/>
  <c r="I2344" i="1"/>
  <c r="H2344" i="1" a="1"/>
  <c r="H2344" i="1" s="1"/>
  <c r="G2344" i="1" a="1"/>
  <c r="G2344" i="1" s="1"/>
  <c r="I2345" i="1"/>
  <c r="H2345" i="1" a="1"/>
  <c r="H2345" i="1" s="1"/>
  <c r="G2345" i="1" a="1"/>
  <c r="G2345" i="1" s="1"/>
  <c r="A2343" i="1" l="1"/>
  <c r="N2343" i="1" l="1" a="1"/>
  <c r="N2343" i="1" s="1"/>
  <c r="M2343" i="1" a="1"/>
  <c r="M2343" i="1" s="1"/>
  <c r="J2343" i="1" a="1"/>
  <c r="J2343" i="1" s="1"/>
  <c r="L2343" i="1"/>
  <c r="K2343" i="1" a="1"/>
  <c r="K2343" i="1" s="1"/>
  <c r="I2343" i="1"/>
  <c r="H2343" i="1" a="1"/>
  <c r="H2343" i="1" s="1"/>
  <c r="G2343" i="1" a="1"/>
  <c r="G2343" i="1" s="1"/>
  <c r="A2340" i="1"/>
  <c r="A2341" i="1"/>
  <c r="A2342" i="1"/>
  <c r="A2339" i="1"/>
  <c r="N2342" i="1" l="1" a="1"/>
  <c r="N2342" i="1" s="1"/>
  <c r="M2342" i="1" a="1"/>
  <c r="M2342" i="1" s="1"/>
  <c r="N2341" i="1" a="1"/>
  <c r="N2341" i="1" s="1"/>
  <c r="M2341" i="1" a="1"/>
  <c r="M2341" i="1" s="1"/>
  <c r="N2340" i="1" a="1"/>
  <c r="N2340" i="1" s="1"/>
  <c r="M2340" i="1" a="1"/>
  <c r="M2340" i="1" s="1"/>
  <c r="N2339" i="1" a="1"/>
  <c r="N2339" i="1" s="1"/>
  <c r="M2339" i="1" a="1"/>
  <c r="M2339" i="1" s="1"/>
  <c r="J2341" i="1" a="1"/>
  <c r="J2341" i="1" s="1"/>
  <c r="L2341" i="1"/>
  <c r="K2341" i="1" a="1"/>
  <c r="K2341" i="1" s="1"/>
  <c r="J2339" i="1" a="1"/>
  <c r="J2339" i="1" s="1"/>
  <c r="L2339" i="1"/>
  <c r="K2339" i="1" a="1"/>
  <c r="K2339" i="1" s="1"/>
  <c r="J2342" i="1" a="1"/>
  <c r="J2342" i="1" s="1"/>
  <c r="L2342" i="1"/>
  <c r="K2342" i="1" a="1"/>
  <c r="K2342" i="1" s="1"/>
  <c r="J2340" i="1" a="1"/>
  <c r="J2340" i="1" s="1"/>
  <c r="L2340" i="1"/>
  <c r="K2340" i="1" a="1"/>
  <c r="K2340" i="1" s="1"/>
  <c r="I2342" i="1"/>
  <c r="H2342" i="1" a="1"/>
  <c r="H2342" i="1" s="1"/>
  <c r="G2342" i="1" a="1"/>
  <c r="G2342" i="1" s="1"/>
  <c r="I2340" i="1"/>
  <c r="H2340" i="1" a="1"/>
  <c r="H2340" i="1" s="1"/>
  <c r="G2340" i="1" a="1"/>
  <c r="G2340" i="1" s="1"/>
  <c r="I2339" i="1"/>
  <c r="H2339" i="1" a="1"/>
  <c r="H2339" i="1" s="1"/>
  <c r="G2339" i="1" a="1"/>
  <c r="G2339" i="1" s="1"/>
  <c r="I2341" i="1"/>
  <c r="H2341" i="1" a="1"/>
  <c r="H2341" i="1" s="1"/>
  <c r="G2341" i="1" a="1"/>
  <c r="G2341" i="1" s="1"/>
  <c r="A2338" i="1" l="1"/>
  <c r="N2338" i="1" l="1" a="1"/>
  <c r="N2338" i="1" s="1"/>
  <c r="M2338" i="1" a="1"/>
  <c r="M2338" i="1" s="1"/>
  <c r="J2338" i="1" a="1"/>
  <c r="J2338" i="1" s="1"/>
  <c r="L2338" i="1"/>
  <c r="K2338" i="1" a="1"/>
  <c r="K2338" i="1" s="1"/>
  <c r="I2338" i="1"/>
  <c r="H2338" i="1" a="1"/>
  <c r="H2338" i="1" s="1"/>
  <c r="G2338" i="1" a="1"/>
  <c r="G2338" i="1" s="1"/>
  <c r="A2337" i="1" l="1"/>
  <c r="N2337" i="1" l="1" a="1"/>
  <c r="N2337" i="1" s="1"/>
  <c r="M2337" i="1" a="1"/>
  <c r="M2337" i="1" s="1"/>
  <c r="J2337" i="1" a="1"/>
  <c r="J2337" i="1" s="1"/>
  <c r="L2337" i="1"/>
  <c r="K2337" i="1" a="1"/>
  <c r="K2337" i="1" s="1"/>
  <c r="I2337" i="1"/>
  <c r="H2337" i="1" a="1"/>
  <c r="H2337" i="1" s="1"/>
  <c r="G2337" i="1" a="1"/>
  <c r="G2337" i="1" s="1"/>
  <c r="A2336" i="1" l="1"/>
  <c r="N2336" i="1" l="1" a="1"/>
  <c r="N2336" i="1" s="1"/>
  <c r="M2336" i="1" a="1"/>
  <c r="M2336" i="1" s="1"/>
  <c r="J2336" i="1" a="1"/>
  <c r="J2336" i="1" s="1"/>
  <c r="L2336" i="1"/>
  <c r="K2336" i="1" a="1"/>
  <c r="K2336" i="1" s="1"/>
  <c r="I2336" i="1"/>
  <c r="H2336" i="1" a="1"/>
  <c r="H2336" i="1" s="1"/>
  <c r="G2336" i="1" a="1"/>
  <c r="G2336" i="1" s="1"/>
  <c r="A2334" i="1"/>
  <c r="A2335" i="1"/>
  <c r="N2335" i="1" l="1" a="1"/>
  <c r="N2335" i="1" s="1"/>
  <c r="M2335" i="1" a="1"/>
  <c r="M2335" i="1" s="1"/>
  <c r="N2334" i="1" a="1"/>
  <c r="N2334" i="1" s="1"/>
  <c r="M2334" i="1" a="1"/>
  <c r="M2334" i="1" s="1"/>
  <c r="J2334" i="1" a="1"/>
  <c r="J2334" i="1" s="1"/>
  <c r="L2334" i="1"/>
  <c r="K2334" i="1" a="1"/>
  <c r="K2334" i="1" s="1"/>
  <c r="J2335" i="1" a="1"/>
  <c r="J2335" i="1" s="1"/>
  <c r="L2335" i="1"/>
  <c r="K2335" i="1" a="1"/>
  <c r="K2335" i="1" s="1"/>
  <c r="I2334" i="1"/>
  <c r="H2334" i="1" a="1"/>
  <c r="H2334" i="1" s="1"/>
  <c r="G2334" i="1" a="1"/>
  <c r="G2334" i="1" s="1"/>
  <c r="I2335" i="1"/>
  <c r="H2335" i="1" a="1"/>
  <c r="H2335" i="1" s="1"/>
  <c r="G2335" i="1" a="1"/>
  <c r="G2335" i="1" s="1"/>
  <c r="A2333" i="1" l="1"/>
  <c r="N2333" i="1" l="1" a="1"/>
  <c r="N2333" i="1" s="1"/>
  <c r="M2333" i="1" a="1"/>
  <c r="M2333" i="1" s="1"/>
  <c r="J2333" i="1" a="1"/>
  <c r="J2333" i="1" s="1"/>
  <c r="L2333" i="1"/>
  <c r="K2333" i="1" a="1"/>
  <c r="K2333" i="1" s="1"/>
  <c r="I2333" i="1"/>
  <c r="H2333" i="1" a="1"/>
  <c r="H2333" i="1" s="1"/>
  <c r="G2333" i="1" a="1"/>
  <c r="G2333" i="1" s="1"/>
  <c r="A2332" i="1" l="1"/>
  <c r="N2332" i="1" l="1" a="1"/>
  <c r="N2332" i="1" s="1"/>
  <c r="M2332" i="1" a="1"/>
  <c r="M2332" i="1" s="1"/>
  <c r="J2332" i="1" a="1"/>
  <c r="J2332" i="1" s="1"/>
  <c r="L2332" i="1"/>
  <c r="K2332" i="1" a="1"/>
  <c r="K2332" i="1" s="1"/>
  <c r="I2332" i="1"/>
  <c r="H2332" i="1" a="1"/>
  <c r="H2332" i="1" s="1"/>
  <c r="G2332" i="1" a="1"/>
  <c r="G2332" i="1" s="1"/>
  <c r="A2331" i="1" l="1"/>
  <c r="N2331" i="1" l="1" a="1"/>
  <c r="N2331" i="1" s="1"/>
  <c r="M2331" i="1" a="1"/>
  <c r="M2331" i="1" s="1"/>
  <c r="J2331" i="1" a="1"/>
  <c r="J2331" i="1" s="1"/>
  <c r="L2331" i="1"/>
  <c r="K2331" i="1" a="1"/>
  <c r="K2331" i="1" s="1"/>
  <c r="I2331" i="1"/>
  <c r="H2331" i="1" a="1"/>
  <c r="H2331" i="1" s="1"/>
  <c r="G2331" i="1" a="1"/>
  <c r="G2331" i="1" s="1"/>
  <c r="A2330" i="1" l="1"/>
  <c r="N2330" i="1" l="1" a="1"/>
  <c r="N2330" i="1" s="1"/>
  <c r="M2330" i="1" a="1"/>
  <c r="M2330" i="1" s="1"/>
  <c r="J2330" i="1" a="1"/>
  <c r="J2330" i="1" s="1"/>
  <c r="L2330" i="1"/>
  <c r="K2330" i="1" a="1"/>
  <c r="K2330" i="1" s="1"/>
  <c r="I2330" i="1"/>
  <c r="H2330" i="1" a="1"/>
  <c r="H2330" i="1" s="1"/>
  <c r="G2330" i="1" a="1"/>
  <c r="G2330" i="1" s="1"/>
  <c r="A2329" i="1" l="1"/>
  <c r="N2329" i="1" l="1" a="1"/>
  <c r="N2329" i="1" s="1"/>
  <c r="M2329" i="1" a="1"/>
  <c r="M2329" i="1" s="1"/>
  <c r="J2329" i="1" a="1"/>
  <c r="J2329" i="1" s="1"/>
  <c r="L2329" i="1"/>
  <c r="K2329" i="1" a="1"/>
  <c r="K2329" i="1" s="1"/>
  <c r="I2329" i="1"/>
  <c r="H2329" i="1" a="1"/>
  <c r="H2329" i="1" s="1"/>
  <c r="G2329" i="1" a="1"/>
  <c r="G2329" i="1" s="1"/>
  <c r="A2328" i="1" l="1"/>
  <c r="N2328" i="1" l="1" a="1"/>
  <c r="N2328" i="1" s="1"/>
  <c r="M2328" i="1" a="1"/>
  <c r="M2328" i="1" s="1"/>
  <c r="J2328" i="1" a="1"/>
  <c r="J2328" i="1" s="1"/>
  <c r="L2328" i="1"/>
  <c r="K2328" i="1" a="1"/>
  <c r="K2328" i="1" s="1"/>
  <c r="I2328" i="1"/>
  <c r="H2328" i="1" a="1"/>
  <c r="H2328" i="1" s="1"/>
  <c r="G2328" i="1" a="1"/>
  <c r="G2328" i="1" s="1"/>
  <c r="A2327" i="1" l="1"/>
  <c r="N2327" i="1" l="1" a="1"/>
  <c r="N2327" i="1" s="1"/>
  <c r="M2327" i="1" a="1"/>
  <c r="M2327" i="1" s="1"/>
  <c r="J2327" i="1" a="1"/>
  <c r="J2327" i="1" s="1"/>
  <c r="L2327" i="1"/>
  <c r="K2327" i="1" a="1"/>
  <c r="K2327" i="1" s="1"/>
  <c r="I2327" i="1"/>
  <c r="H2327" i="1" a="1"/>
  <c r="H2327" i="1" s="1"/>
  <c r="G2327" i="1" a="1"/>
  <c r="G2327" i="1" s="1"/>
  <c r="A2326" i="1" l="1"/>
  <c r="N2326" i="1" l="1" a="1"/>
  <c r="N2326" i="1" s="1"/>
  <c r="M2326" i="1" a="1"/>
  <c r="M2326" i="1" s="1"/>
  <c r="J2326" i="1" a="1"/>
  <c r="J2326" i="1" s="1"/>
  <c r="L2326" i="1"/>
  <c r="K2326" i="1" a="1"/>
  <c r="K2326" i="1" s="1"/>
  <c r="I2326" i="1"/>
  <c r="H2326" i="1" a="1"/>
  <c r="H2326" i="1" s="1"/>
  <c r="G2326" i="1" a="1"/>
  <c r="G2326" i="1" s="1"/>
  <c r="A2325" i="1" l="1"/>
  <c r="N2325" i="1" l="1" a="1"/>
  <c r="N2325" i="1" s="1"/>
  <c r="M2325" i="1" a="1"/>
  <c r="M2325" i="1" s="1"/>
  <c r="J2325" i="1" a="1"/>
  <c r="J2325" i="1" s="1"/>
  <c r="L2325" i="1"/>
  <c r="K2325" i="1" a="1"/>
  <c r="K2325" i="1" s="1"/>
  <c r="I2325" i="1"/>
  <c r="H2325" i="1" a="1"/>
  <c r="H2325" i="1" s="1"/>
  <c r="G2325" i="1" a="1"/>
  <c r="G2325" i="1" s="1"/>
  <c r="A2324" i="1"/>
  <c r="N2324" i="1" l="1" a="1"/>
  <c r="N2324" i="1" s="1"/>
  <c r="M2324" i="1" a="1"/>
  <c r="M2324" i="1" s="1"/>
  <c r="J2324" i="1" a="1"/>
  <c r="J2324" i="1" s="1"/>
  <c r="L2324" i="1"/>
  <c r="K2324" i="1" a="1"/>
  <c r="K2324" i="1" s="1"/>
  <c r="I2324" i="1"/>
  <c r="H2324" i="1" a="1"/>
  <c r="H2324" i="1" s="1"/>
  <c r="G2324" i="1" a="1"/>
  <c r="G2324" i="1" s="1"/>
  <c r="A2323" i="1" l="1"/>
  <c r="A2322" i="1"/>
  <c r="N2322" i="1" l="1" a="1"/>
  <c r="N2322" i="1" s="1"/>
  <c r="M2322" i="1" a="1"/>
  <c r="M2322" i="1" s="1"/>
  <c r="N2323" i="1" a="1"/>
  <c r="N2323" i="1" s="1"/>
  <c r="M2323" i="1" a="1"/>
  <c r="M2323" i="1" s="1"/>
  <c r="J2322" i="1" a="1"/>
  <c r="J2322" i="1" s="1"/>
  <c r="L2322" i="1"/>
  <c r="K2322" i="1" a="1"/>
  <c r="K2322" i="1" s="1"/>
  <c r="J2323" i="1" a="1"/>
  <c r="J2323" i="1" s="1"/>
  <c r="L2323" i="1"/>
  <c r="K2323" i="1" a="1"/>
  <c r="K2323" i="1" s="1"/>
  <c r="I2323" i="1"/>
  <c r="H2323" i="1" a="1"/>
  <c r="H2323" i="1" s="1"/>
  <c r="G2323" i="1" a="1"/>
  <c r="G2323" i="1" s="1"/>
  <c r="I2322" i="1"/>
  <c r="H2322" i="1" a="1"/>
  <c r="H2322" i="1" s="1"/>
  <c r="G2322" i="1" a="1"/>
  <c r="G2322" i="1" s="1"/>
  <c r="A2321" i="1" l="1"/>
  <c r="N2321" i="1" l="1" a="1"/>
  <c r="N2321" i="1" s="1"/>
  <c r="M2321" i="1" a="1"/>
  <c r="M2321" i="1" s="1"/>
  <c r="J2321" i="1" a="1"/>
  <c r="J2321" i="1" s="1"/>
  <c r="L2321" i="1"/>
  <c r="K2321" i="1" a="1"/>
  <c r="K2321" i="1" s="1"/>
  <c r="I2321" i="1"/>
  <c r="H2321" i="1" a="1"/>
  <c r="H2321" i="1" s="1"/>
  <c r="G2321" i="1" a="1"/>
  <c r="G2321" i="1" s="1"/>
  <c r="A2320" i="1" l="1"/>
  <c r="A2319" i="1"/>
  <c r="A2318" i="1"/>
  <c r="N2318" i="1" l="1" a="1"/>
  <c r="N2318" i="1" s="1"/>
  <c r="M2318" i="1" a="1"/>
  <c r="M2318" i="1" s="1"/>
  <c r="N2319" i="1" a="1"/>
  <c r="N2319" i="1" s="1"/>
  <c r="M2319" i="1" a="1"/>
  <c r="M2319" i="1" s="1"/>
  <c r="N2320" i="1" a="1"/>
  <c r="N2320" i="1" s="1"/>
  <c r="M2320" i="1" a="1"/>
  <c r="M2320" i="1" s="1"/>
  <c r="J2318" i="1" a="1"/>
  <c r="J2318" i="1" s="1"/>
  <c r="L2318" i="1"/>
  <c r="K2318" i="1" a="1"/>
  <c r="K2318" i="1" s="1"/>
  <c r="J2319" i="1" a="1"/>
  <c r="J2319" i="1" s="1"/>
  <c r="L2319" i="1"/>
  <c r="K2319" i="1" a="1"/>
  <c r="K2319" i="1" s="1"/>
  <c r="J2320" i="1" a="1"/>
  <c r="J2320" i="1" s="1"/>
  <c r="L2320" i="1"/>
  <c r="K2320" i="1" a="1"/>
  <c r="K2320" i="1" s="1"/>
  <c r="I2319" i="1"/>
  <c r="H2319" i="1" a="1"/>
  <c r="H2319" i="1" s="1"/>
  <c r="G2319" i="1" a="1"/>
  <c r="G2319" i="1" s="1"/>
  <c r="I2318" i="1"/>
  <c r="H2318" i="1" a="1"/>
  <c r="H2318" i="1" s="1"/>
  <c r="G2318" i="1" a="1"/>
  <c r="G2318" i="1" s="1"/>
  <c r="I2320" i="1"/>
  <c r="H2320" i="1" a="1"/>
  <c r="H2320" i="1" s="1"/>
  <c r="G2320" i="1" a="1"/>
  <c r="G2320" i="1" s="1"/>
  <c r="A2317" i="1" l="1"/>
  <c r="N2317" i="1" l="1" a="1"/>
  <c r="N2317" i="1" s="1"/>
  <c r="M2317" i="1" a="1"/>
  <c r="M2317" i="1" s="1"/>
  <c r="J2317" i="1" a="1"/>
  <c r="J2317" i="1" s="1"/>
  <c r="L2317" i="1"/>
  <c r="K2317" i="1" a="1"/>
  <c r="K2317" i="1" s="1"/>
  <c r="I2317" i="1"/>
  <c r="H2317" i="1" a="1"/>
  <c r="H2317" i="1" s="1"/>
  <c r="G2317" i="1" a="1"/>
  <c r="G2317" i="1" s="1"/>
  <c r="A2316" i="1" l="1"/>
  <c r="N2316" i="1" l="1" a="1"/>
  <c r="N2316" i="1" s="1"/>
  <c r="M2316" i="1" a="1"/>
  <c r="M2316" i="1" s="1"/>
  <c r="J2316" i="1" a="1"/>
  <c r="J2316" i="1" s="1"/>
  <c r="L2316" i="1"/>
  <c r="K2316" i="1" a="1"/>
  <c r="K2316" i="1" s="1"/>
  <c r="I2316" i="1"/>
  <c r="H2316" i="1" a="1"/>
  <c r="H2316" i="1" s="1"/>
  <c r="G2316" i="1" a="1"/>
  <c r="G2316" i="1" s="1"/>
  <c r="A2315" i="1" l="1"/>
  <c r="A2314" i="1"/>
  <c r="N2314" i="1" l="1" a="1"/>
  <c r="N2314" i="1" s="1"/>
  <c r="M2314" i="1" a="1"/>
  <c r="M2314" i="1" s="1"/>
  <c r="N2315" i="1" a="1"/>
  <c r="N2315" i="1" s="1"/>
  <c r="M2315" i="1" a="1"/>
  <c r="M2315" i="1" s="1"/>
  <c r="J2315" i="1" a="1"/>
  <c r="J2315" i="1" s="1"/>
  <c r="L2315" i="1"/>
  <c r="K2315" i="1" a="1"/>
  <c r="K2315" i="1" s="1"/>
  <c r="J2314" i="1" a="1"/>
  <c r="J2314" i="1" s="1"/>
  <c r="L2314" i="1"/>
  <c r="K2314" i="1" a="1"/>
  <c r="K2314" i="1" s="1"/>
  <c r="I2314" i="1"/>
  <c r="H2314" i="1" a="1"/>
  <c r="H2314" i="1" s="1"/>
  <c r="G2314" i="1" a="1"/>
  <c r="G2314" i="1" s="1"/>
  <c r="I2315" i="1"/>
  <c r="H2315" i="1" a="1"/>
  <c r="H2315" i="1" s="1"/>
  <c r="G2315" i="1" a="1"/>
  <c r="G2315" i="1" s="1"/>
  <c r="A2313" i="1" l="1"/>
  <c r="N2313" i="1" l="1" a="1"/>
  <c r="N2313" i="1" s="1"/>
  <c r="M2313" i="1" a="1"/>
  <c r="M2313" i="1" s="1"/>
  <c r="J2313" i="1" a="1"/>
  <c r="J2313" i="1" s="1"/>
  <c r="L2313" i="1"/>
  <c r="K2313" i="1" a="1"/>
  <c r="K2313" i="1" s="1"/>
  <c r="I2313" i="1"/>
  <c r="H2313" i="1" a="1"/>
  <c r="H2313" i="1" s="1"/>
  <c r="G2313" i="1" a="1"/>
  <c r="G2313" i="1" s="1"/>
  <c r="A2312" i="1" l="1"/>
  <c r="N2312" i="1" l="1" a="1"/>
  <c r="N2312" i="1" s="1"/>
  <c r="M2312" i="1" a="1"/>
  <c r="M2312" i="1" s="1"/>
  <c r="J2312" i="1" a="1"/>
  <c r="J2312" i="1" s="1"/>
  <c r="L2312" i="1"/>
  <c r="K2312" i="1" a="1"/>
  <c r="K2312" i="1" s="1"/>
  <c r="I2312" i="1"/>
  <c r="H2312" i="1" a="1"/>
  <c r="H2312" i="1" s="1"/>
  <c r="G2312" i="1" a="1"/>
  <c r="G2312" i="1" s="1"/>
  <c r="A2311" i="1" l="1"/>
  <c r="N2311" i="1" l="1" a="1"/>
  <c r="N2311" i="1" s="1"/>
  <c r="M2311" i="1" a="1"/>
  <c r="M2311" i="1" s="1"/>
  <c r="J2311" i="1" a="1"/>
  <c r="J2311" i="1" s="1"/>
  <c r="L2311" i="1"/>
  <c r="K2311" i="1" a="1"/>
  <c r="K2311" i="1" s="1"/>
  <c r="I2311" i="1"/>
  <c r="H2311" i="1" a="1"/>
  <c r="H2311" i="1" s="1"/>
  <c r="G2311" i="1" a="1"/>
  <c r="G2311" i="1" s="1"/>
  <c r="A2310" i="1" l="1"/>
  <c r="N2310" i="1" l="1" a="1"/>
  <c r="N2310" i="1" s="1"/>
  <c r="M2310" i="1" a="1"/>
  <c r="M2310" i="1" s="1"/>
  <c r="J2310" i="1" a="1"/>
  <c r="J2310" i="1" s="1"/>
  <c r="L2310" i="1"/>
  <c r="K2310" i="1" a="1"/>
  <c r="K2310" i="1" s="1"/>
  <c r="I2310" i="1"/>
  <c r="H2310" i="1" a="1"/>
  <c r="H2310" i="1" s="1"/>
  <c r="G2310" i="1" a="1"/>
  <c r="G2310" i="1" s="1"/>
  <c r="A2309" i="1" l="1"/>
  <c r="N2309" i="1" l="1" a="1"/>
  <c r="N2309" i="1" s="1"/>
  <c r="M2309" i="1" a="1"/>
  <c r="M2309" i="1" s="1"/>
  <c r="J2309" i="1" a="1"/>
  <c r="J2309" i="1" s="1"/>
  <c r="L2309" i="1"/>
  <c r="K2309" i="1" a="1"/>
  <c r="K2309" i="1" s="1"/>
  <c r="I2309" i="1"/>
  <c r="H2309" i="1" a="1"/>
  <c r="H2309" i="1" s="1"/>
  <c r="G2309" i="1" a="1"/>
  <c r="G2309" i="1" s="1"/>
  <c r="A2308" i="1" l="1"/>
  <c r="N2308" i="1" l="1" a="1"/>
  <c r="N2308" i="1" s="1"/>
  <c r="M2308" i="1" a="1"/>
  <c r="M2308" i="1" s="1"/>
  <c r="J2308" i="1" a="1"/>
  <c r="J2308" i="1" s="1"/>
  <c r="L2308" i="1"/>
  <c r="K2308" i="1" a="1"/>
  <c r="K2308" i="1" s="1"/>
  <c r="I2308" i="1"/>
  <c r="H2308" i="1" a="1"/>
  <c r="H2308" i="1" s="1"/>
  <c r="G2308" i="1" a="1"/>
  <c r="G2308" i="1" s="1"/>
  <c r="A2307" i="1" l="1"/>
  <c r="N2307" i="1" l="1" a="1"/>
  <c r="N2307" i="1" s="1"/>
  <c r="M2307" i="1" a="1"/>
  <c r="M2307" i="1" s="1"/>
  <c r="J2307" i="1" a="1"/>
  <c r="J2307" i="1" s="1"/>
  <c r="L2307" i="1"/>
  <c r="K2307" i="1" a="1"/>
  <c r="K2307" i="1" s="1"/>
  <c r="I2307" i="1"/>
  <c r="H2307" i="1" a="1"/>
  <c r="H2307" i="1" s="1"/>
  <c r="G2307" i="1" a="1"/>
  <c r="G2307" i="1" s="1"/>
  <c r="A2306" i="1" l="1"/>
  <c r="N2306" i="1" l="1" a="1"/>
  <c r="N2306" i="1" s="1"/>
  <c r="M2306" i="1" a="1"/>
  <c r="M2306" i="1" s="1"/>
  <c r="J2306" i="1" a="1"/>
  <c r="J2306" i="1" s="1"/>
  <c r="L2306" i="1"/>
  <c r="K2306" i="1" a="1"/>
  <c r="K2306" i="1" s="1"/>
  <c r="I2306" i="1"/>
  <c r="H2306" i="1" a="1"/>
  <c r="H2306" i="1" s="1"/>
  <c r="G2306" i="1" a="1"/>
  <c r="G2306" i="1" s="1"/>
  <c r="A2305" i="1"/>
  <c r="N2305" i="1" l="1" a="1"/>
  <c r="N2305" i="1" s="1"/>
  <c r="M2305" i="1" a="1"/>
  <c r="M2305" i="1" s="1"/>
  <c r="J2305" i="1" a="1"/>
  <c r="J2305" i="1" s="1"/>
  <c r="L2305" i="1"/>
  <c r="K2305" i="1" a="1"/>
  <c r="K2305" i="1" s="1"/>
  <c r="I2305" i="1"/>
  <c r="H2305" i="1" a="1"/>
  <c r="H2305" i="1" s="1"/>
  <c r="G2305" i="1" a="1"/>
  <c r="G2305" i="1" s="1"/>
  <c r="A2304" i="1" l="1"/>
  <c r="N2304" i="1" l="1" a="1"/>
  <c r="N2304" i="1" s="1"/>
  <c r="M2304" i="1" a="1"/>
  <c r="M2304" i="1" s="1"/>
  <c r="J2304" i="1" a="1"/>
  <c r="J2304" i="1" s="1"/>
  <c r="L2304" i="1"/>
  <c r="K2304" i="1" a="1"/>
  <c r="K2304" i="1" s="1"/>
  <c r="I2304" i="1"/>
  <c r="H2304" i="1" a="1"/>
  <c r="H2304" i="1" s="1"/>
  <c r="G2304" i="1" a="1"/>
  <c r="G2304" i="1" s="1"/>
  <c r="A2302" i="1" l="1"/>
  <c r="A2303" i="1"/>
  <c r="N2303" i="1" l="1" a="1"/>
  <c r="N2303" i="1" s="1"/>
  <c r="M2303" i="1" a="1"/>
  <c r="M2303" i="1" s="1"/>
  <c r="N2302" i="1" a="1"/>
  <c r="N2302" i="1" s="1"/>
  <c r="M2302" i="1" a="1"/>
  <c r="M2302" i="1" s="1"/>
  <c r="J2303" i="1" a="1"/>
  <c r="J2303" i="1" s="1"/>
  <c r="L2303" i="1"/>
  <c r="K2303" i="1" a="1"/>
  <c r="K2303" i="1" s="1"/>
  <c r="J2302" i="1" a="1"/>
  <c r="J2302" i="1" s="1"/>
  <c r="L2302" i="1"/>
  <c r="K2302" i="1" a="1"/>
  <c r="K2302" i="1" s="1"/>
  <c r="I2303" i="1"/>
  <c r="H2303" i="1" a="1"/>
  <c r="H2303" i="1" s="1"/>
  <c r="G2303" i="1" a="1"/>
  <c r="G2303" i="1" s="1"/>
  <c r="I2302" i="1"/>
  <c r="H2302" i="1" a="1"/>
  <c r="H2302" i="1" s="1"/>
  <c r="G2302" i="1" a="1"/>
  <c r="G2302" i="1" s="1"/>
  <c r="A2301" i="1" l="1"/>
  <c r="N2301" i="1" l="1" a="1"/>
  <c r="N2301" i="1" s="1"/>
  <c r="M2301" i="1" a="1"/>
  <c r="M2301" i="1" s="1"/>
  <c r="J2301" i="1" a="1"/>
  <c r="J2301" i="1" s="1"/>
  <c r="L2301" i="1"/>
  <c r="K2301" i="1" a="1"/>
  <c r="K2301" i="1" s="1"/>
  <c r="I2301" i="1"/>
  <c r="H2301" i="1" a="1"/>
  <c r="H2301" i="1" s="1"/>
  <c r="G2301" i="1" a="1"/>
  <c r="G2301" i="1" s="1"/>
  <c r="A2300" i="1" l="1"/>
  <c r="N2300" i="1" l="1" a="1"/>
  <c r="N2300" i="1" s="1"/>
  <c r="M2300" i="1" a="1"/>
  <c r="M2300" i="1" s="1"/>
  <c r="J2300" i="1" a="1"/>
  <c r="J2300" i="1" s="1"/>
  <c r="L2300" i="1"/>
  <c r="K2300" i="1" a="1"/>
  <c r="K2300" i="1" s="1"/>
  <c r="I2300" i="1"/>
  <c r="H2300" i="1" a="1"/>
  <c r="H2300" i="1" s="1"/>
  <c r="G2300" i="1" a="1"/>
  <c r="G2300" i="1" s="1"/>
  <c r="A2299" i="1" l="1"/>
  <c r="N2299" i="1" l="1" a="1"/>
  <c r="N2299" i="1" s="1"/>
  <c r="M2299" i="1" a="1"/>
  <c r="M2299" i="1" s="1"/>
  <c r="J2299" i="1" a="1"/>
  <c r="J2299" i="1" s="1"/>
  <c r="L2299" i="1"/>
  <c r="K2299" i="1" a="1"/>
  <c r="K2299" i="1" s="1"/>
  <c r="I2299" i="1"/>
  <c r="H2299" i="1" a="1"/>
  <c r="H2299" i="1" s="1"/>
  <c r="G2299" i="1" a="1"/>
  <c r="G2299" i="1" s="1"/>
  <c r="A2298" i="1" l="1"/>
  <c r="N2298" i="1" l="1" a="1"/>
  <c r="N2298" i="1" s="1"/>
  <c r="M2298" i="1" a="1"/>
  <c r="M2298" i="1" s="1"/>
  <c r="J2298" i="1" a="1"/>
  <c r="J2298" i="1" s="1"/>
  <c r="L2298" i="1"/>
  <c r="K2298" i="1" a="1"/>
  <c r="K2298" i="1" s="1"/>
  <c r="I2298" i="1"/>
  <c r="H2298" i="1" a="1"/>
  <c r="H2298" i="1" s="1"/>
  <c r="G2298" i="1" a="1"/>
  <c r="G2298" i="1" s="1"/>
  <c r="A2297" i="1" l="1"/>
  <c r="N2297" i="1" l="1" a="1"/>
  <c r="N2297" i="1" s="1"/>
  <c r="M2297" i="1" a="1"/>
  <c r="M2297" i="1" s="1"/>
  <c r="J2297" i="1" a="1"/>
  <c r="J2297" i="1" s="1"/>
  <c r="L2297" i="1"/>
  <c r="K2297" i="1" a="1"/>
  <c r="K2297" i="1" s="1"/>
  <c r="I2297" i="1"/>
  <c r="H2297" i="1" a="1"/>
  <c r="H2297" i="1" s="1"/>
  <c r="G2297" i="1" a="1"/>
  <c r="G2297" i="1" s="1"/>
  <c r="A2296" i="1" l="1"/>
  <c r="A2295" i="1"/>
  <c r="A2294" i="1"/>
  <c r="A2293" i="1"/>
  <c r="A2292" i="1"/>
  <c r="N2294" i="1" l="1" a="1"/>
  <c r="N2294" i="1" s="1"/>
  <c r="M2294" i="1" a="1"/>
  <c r="M2294" i="1" s="1"/>
  <c r="N2295" i="1" a="1"/>
  <c r="N2295" i="1" s="1"/>
  <c r="M2295" i="1" a="1"/>
  <c r="M2295" i="1" s="1"/>
  <c r="N2296" i="1" a="1"/>
  <c r="N2296" i="1" s="1"/>
  <c r="M2296" i="1" a="1"/>
  <c r="M2296" i="1" s="1"/>
  <c r="N2292" i="1" a="1"/>
  <c r="N2292" i="1" s="1"/>
  <c r="M2292" i="1" a="1"/>
  <c r="M2292" i="1" s="1"/>
  <c r="N2293" i="1" a="1"/>
  <c r="N2293" i="1" s="1"/>
  <c r="M2293" i="1" a="1"/>
  <c r="M2293" i="1" s="1"/>
  <c r="J2292" i="1" a="1"/>
  <c r="J2292" i="1" s="1"/>
  <c r="L2292" i="1"/>
  <c r="K2292" i="1" a="1"/>
  <c r="K2292" i="1" s="1"/>
  <c r="J2293" i="1" a="1"/>
  <c r="J2293" i="1" s="1"/>
  <c r="L2293" i="1"/>
  <c r="K2293" i="1" a="1"/>
  <c r="K2293" i="1" s="1"/>
  <c r="J2294" i="1" a="1"/>
  <c r="J2294" i="1" s="1"/>
  <c r="L2294" i="1"/>
  <c r="K2294" i="1" a="1"/>
  <c r="K2294" i="1" s="1"/>
  <c r="J2295" i="1" a="1"/>
  <c r="J2295" i="1" s="1"/>
  <c r="L2295" i="1"/>
  <c r="K2295" i="1" a="1"/>
  <c r="K2295" i="1" s="1"/>
  <c r="J2296" i="1" a="1"/>
  <c r="J2296" i="1" s="1"/>
  <c r="L2296" i="1"/>
  <c r="K2296" i="1" a="1"/>
  <c r="K2296" i="1" s="1"/>
  <c r="I2295" i="1"/>
  <c r="H2295" i="1" a="1"/>
  <c r="H2295" i="1" s="1"/>
  <c r="G2295" i="1" a="1"/>
  <c r="G2295" i="1" s="1"/>
  <c r="I2292" i="1"/>
  <c r="H2292" i="1" a="1"/>
  <c r="H2292" i="1" s="1"/>
  <c r="G2292" i="1" a="1"/>
  <c r="G2292" i="1" s="1"/>
  <c r="I2293" i="1"/>
  <c r="H2293" i="1" a="1"/>
  <c r="H2293" i="1" s="1"/>
  <c r="G2293" i="1" a="1"/>
  <c r="G2293" i="1" s="1"/>
  <c r="I2294" i="1"/>
  <c r="H2294" i="1" a="1"/>
  <c r="H2294" i="1" s="1"/>
  <c r="G2294" i="1" a="1"/>
  <c r="G2294" i="1" s="1"/>
  <c r="I2296" i="1"/>
  <c r="H2296" i="1" a="1"/>
  <c r="H2296" i="1" s="1"/>
  <c r="G2296" i="1" a="1"/>
  <c r="G2296" i="1" s="1"/>
  <c r="A2291" i="1" l="1"/>
  <c r="N2291" i="1" l="1" a="1"/>
  <c r="N2291" i="1" s="1"/>
  <c r="M2291" i="1" a="1"/>
  <c r="M2291" i="1" s="1"/>
  <c r="J2291" i="1" a="1"/>
  <c r="J2291" i="1" s="1"/>
  <c r="L2291" i="1"/>
  <c r="K2291" i="1" a="1"/>
  <c r="K2291" i="1" s="1"/>
  <c r="I2291" i="1"/>
  <c r="H2291" i="1" a="1"/>
  <c r="H2291" i="1" s="1"/>
  <c r="G2291" i="1" a="1"/>
  <c r="G2291" i="1" s="1"/>
  <c r="A2290" i="1" l="1"/>
  <c r="N2290" i="1" l="1" a="1"/>
  <c r="N2290" i="1" s="1"/>
  <c r="M2290" i="1" a="1"/>
  <c r="M2290" i="1" s="1"/>
  <c r="J2290" i="1" a="1"/>
  <c r="J2290" i="1" s="1"/>
  <c r="L2290" i="1"/>
  <c r="K2290" i="1" a="1"/>
  <c r="K2290" i="1" s="1"/>
  <c r="I2290" i="1"/>
  <c r="H2290" i="1" a="1"/>
  <c r="H2290" i="1" s="1"/>
  <c r="G2290" i="1" a="1"/>
  <c r="G2290" i="1" s="1"/>
  <c r="A2289" i="1"/>
  <c r="A2288" i="1"/>
  <c r="A2287" i="1"/>
  <c r="N2287" i="1" l="1" a="1"/>
  <c r="N2287" i="1" s="1"/>
  <c r="M2287" i="1" a="1"/>
  <c r="M2287" i="1" s="1"/>
  <c r="N2288" i="1" a="1"/>
  <c r="N2288" i="1" s="1"/>
  <c r="M2288" i="1" a="1"/>
  <c r="M2288" i="1" s="1"/>
  <c r="N2289" i="1" a="1"/>
  <c r="N2289" i="1" s="1"/>
  <c r="M2289" i="1" a="1"/>
  <c r="M2289" i="1" s="1"/>
  <c r="J2287" i="1" a="1"/>
  <c r="J2287" i="1" s="1"/>
  <c r="L2287" i="1"/>
  <c r="K2287" i="1" a="1"/>
  <c r="K2287" i="1" s="1"/>
  <c r="J2288" i="1" a="1"/>
  <c r="J2288" i="1" s="1"/>
  <c r="L2288" i="1"/>
  <c r="K2288" i="1" a="1"/>
  <c r="K2288" i="1" s="1"/>
  <c r="J2289" i="1" a="1"/>
  <c r="J2289" i="1" s="1"/>
  <c r="L2289" i="1"/>
  <c r="K2289" i="1" a="1"/>
  <c r="K2289" i="1" s="1"/>
  <c r="I2287" i="1"/>
  <c r="H2287" i="1" a="1"/>
  <c r="H2287" i="1" s="1"/>
  <c r="G2287" i="1" a="1"/>
  <c r="G2287" i="1" s="1"/>
  <c r="I2289" i="1"/>
  <c r="H2289" i="1" a="1"/>
  <c r="H2289" i="1" s="1"/>
  <c r="G2289" i="1" a="1"/>
  <c r="G2289" i="1" s="1"/>
  <c r="I2288" i="1"/>
  <c r="H2288" i="1" a="1"/>
  <c r="H2288" i="1" s="1"/>
  <c r="G2288" i="1" a="1"/>
  <c r="G2288" i="1" s="1"/>
  <c r="A2286" i="1" l="1"/>
  <c r="N2286" i="1" l="1" a="1"/>
  <c r="N2286" i="1" s="1"/>
  <c r="M2286" i="1" a="1"/>
  <c r="M2286" i="1" s="1"/>
  <c r="J2286" i="1" a="1"/>
  <c r="J2286" i="1" s="1"/>
  <c r="L2286" i="1"/>
  <c r="K2286" i="1" a="1"/>
  <c r="K2286" i="1" s="1"/>
  <c r="I2286" i="1"/>
  <c r="H2286" i="1" a="1"/>
  <c r="H2286" i="1" s="1"/>
  <c r="G2286" i="1" a="1"/>
  <c r="G2286" i="1" s="1"/>
  <c r="A2285" i="1" l="1"/>
  <c r="N2285" i="1" l="1" a="1"/>
  <c r="N2285" i="1" s="1"/>
  <c r="M2285" i="1" a="1"/>
  <c r="M2285" i="1" s="1"/>
  <c r="J2285" i="1" a="1"/>
  <c r="J2285" i="1" s="1"/>
  <c r="L2285" i="1"/>
  <c r="K2285" i="1" a="1"/>
  <c r="K2285" i="1" s="1"/>
  <c r="I2285" i="1"/>
  <c r="H2285" i="1" a="1"/>
  <c r="H2285" i="1" s="1"/>
  <c r="G2285" i="1" a="1"/>
  <c r="G2285" i="1" s="1"/>
  <c r="A2284" i="1" l="1"/>
  <c r="N2284" i="1" l="1" a="1"/>
  <c r="N2284" i="1" s="1"/>
  <c r="M2284" i="1" a="1"/>
  <c r="M2284" i="1" s="1"/>
  <c r="J2284" i="1" a="1"/>
  <c r="J2284" i="1" s="1"/>
  <c r="L2284" i="1"/>
  <c r="K2284" i="1" a="1"/>
  <c r="K2284" i="1" s="1"/>
  <c r="I2284" i="1"/>
  <c r="H2284" i="1" a="1"/>
  <c r="H2284" i="1" s="1"/>
  <c r="G2284" i="1" a="1"/>
  <c r="G2284" i="1" s="1"/>
  <c r="A2283" i="1"/>
  <c r="N2283" i="1" l="1" a="1"/>
  <c r="N2283" i="1" s="1"/>
  <c r="M2283" i="1" a="1"/>
  <c r="M2283" i="1" s="1"/>
  <c r="J2283" i="1" a="1"/>
  <c r="J2283" i="1" s="1"/>
  <c r="L2283" i="1"/>
  <c r="K2283" i="1" a="1"/>
  <c r="K2283" i="1" s="1"/>
  <c r="I2283" i="1"/>
  <c r="H2283" i="1" a="1"/>
  <c r="H2283" i="1" s="1"/>
  <c r="G2283" i="1" a="1"/>
  <c r="G2283" i="1" s="1"/>
  <c r="A2282" i="1" l="1"/>
  <c r="N2282" i="1" l="1" a="1"/>
  <c r="N2282" i="1" s="1"/>
  <c r="M2282" i="1" a="1"/>
  <c r="M2282" i="1" s="1"/>
  <c r="J2282" i="1" a="1"/>
  <c r="J2282" i="1" s="1"/>
  <c r="L2282" i="1"/>
  <c r="K2282" i="1" a="1"/>
  <c r="K2282" i="1" s="1"/>
  <c r="I2282" i="1"/>
  <c r="H2282" i="1" a="1"/>
  <c r="H2282" i="1" s="1"/>
  <c r="G2282" i="1" a="1"/>
  <c r="G2282" i="1" s="1"/>
  <c r="A2281" i="1" l="1"/>
  <c r="N2281" i="1" l="1" a="1"/>
  <c r="N2281" i="1" s="1"/>
  <c r="M2281" i="1" a="1"/>
  <c r="M2281" i="1" s="1"/>
  <c r="J2281" i="1" a="1"/>
  <c r="J2281" i="1" s="1"/>
  <c r="L2281" i="1"/>
  <c r="K2281" i="1" a="1"/>
  <c r="K2281" i="1" s="1"/>
  <c r="I2281" i="1"/>
  <c r="H2281" i="1" a="1"/>
  <c r="H2281" i="1" s="1"/>
  <c r="G2281" i="1" a="1"/>
  <c r="G2281" i="1" s="1"/>
  <c r="A2280" i="1" l="1"/>
  <c r="N2280" i="1" l="1" a="1"/>
  <c r="N2280" i="1" s="1"/>
  <c r="M2280" i="1" a="1"/>
  <c r="M2280" i="1" s="1"/>
  <c r="J2280" i="1" a="1"/>
  <c r="J2280" i="1" s="1"/>
  <c r="L2280" i="1"/>
  <c r="K2280" i="1" a="1"/>
  <c r="K2280" i="1" s="1"/>
  <c r="I2280" i="1"/>
  <c r="H2280" i="1" a="1"/>
  <c r="H2280" i="1" s="1"/>
  <c r="G2280" i="1" a="1"/>
  <c r="G2280" i="1" s="1"/>
  <c r="A2279" i="1" l="1"/>
  <c r="N2279" i="1" l="1" a="1"/>
  <c r="N2279" i="1" s="1"/>
  <c r="M2279" i="1" a="1"/>
  <c r="M2279" i="1" s="1"/>
  <c r="J2279" i="1" a="1"/>
  <c r="J2279" i="1" s="1"/>
  <c r="L2279" i="1"/>
  <c r="K2279" i="1" a="1"/>
  <c r="K2279" i="1" s="1"/>
  <c r="I2279" i="1"/>
  <c r="H2279" i="1" a="1"/>
  <c r="H2279" i="1" s="1"/>
  <c r="G2279" i="1" a="1"/>
  <c r="G2279" i="1" s="1"/>
  <c r="A2278" i="1" l="1"/>
  <c r="N2278" i="1" l="1" a="1"/>
  <c r="N2278" i="1" s="1"/>
  <c r="M2278" i="1" a="1"/>
  <c r="M2278" i="1" s="1"/>
  <c r="J2278" i="1" a="1"/>
  <c r="J2278" i="1" s="1"/>
  <c r="L2278" i="1"/>
  <c r="K2278" i="1" a="1"/>
  <c r="K2278" i="1" s="1"/>
  <c r="I2278" i="1"/>
  <c r="H2278" i="1" a="1"/>
  <c r="H2278" i="1" s="1"/>
  <c r="G2278" i="1" a="1"/>
  <c r="G2278" i="1" s="1"/>
  <c r="A2277" i="1"/>
  <c r="A2276" i="1"/>
  <c r="N2277" i="1" l="1" a="1"/>
  <c r="N2277" i="1" s="1"/>
  <c r="M2277" i="1" a="1"/>
  <c r="M2277" i="1" s="1"/>
  <c r="N2276" i="1" a="1"/>
  <c r="N2276" i="1" s="1"/>
  <c r="M2276" i="1" a="1"/>
  <c r="M2276" i="1" s="1"/>
  <c r="J2276" i="1" a="1"/>
  <c r="J2276" i="1" s="1"/>
  <c r="L2276" i="1"/>
  <c r="K2276" i="1" a="1"/>
  <c r="K2276" i="1" s="1"/>
  <c r="J2277" i="1" a="1"/>
  <c r="J2277" i="1" s="1"/>
  <c r="L2277" i="1"/>
  <c r="K2277" i="1" a="1"/>
  <c r="K2277" i="1" s="1"/>
  <c r="I2276" i="1"/>
  <c r="H2276" i="1" a="1"/>
  <c r="H2276" i="1" s="1"/>
  <c r="G2276" i="1" a="1"/>
  <c r="G2276" i="1" s="1"/>
  <c r="I2277" i="1"/>
  <c r="H2277" i="1" a="1"/>
  <c r="H2277" i="1" s="1"/>
  <c r="G2277" i="1" a="1"/>
  <c r="G2277" i="1" s="1"/>
  <c r="A2275" i="1" l="1"/>
  <c r="N2275" i="1" l="1" a="1"/>
  <c r="N2275" i="1" s="1"/>
  <c r="M2275" i="1" a="1"/>
  <c r="M2275" i="1" s="1"/>
  <c r="J2275" i="1" a="1"/>
  <c r="J2275" i="1" s="1"/>
  <c r="L2275" i="1"/>
  <c r="K2275" i="1" a="1"/>
  <c r="K2275" i="1" s="1"/>
  <c r="I2275" i="1"/>
  <c r="H2275" i="1" a="1"/>
  <c r="H2275" i="1" s="1"/>
  <c r="G2275" i="1" a="1"/>
  <c r="G2275" i="1" s="1"/>
  <c r="A2274" i="1" l="1"/>
  <c r="N2274" i="1" l="1" a="1"/>
  <c r="N2274" i="1" s="1"/>
  <c r="M2274" i="1" a="1"/>
  <c r="M2274" i="1" s="1"/>
  <c r="J2274" i="1" a="1"/>
  <c r="J2274" i="1" s="1"/>
  <c r="L2274" i="1"/>
  <c r="K2274" i="1" a="1"/>
  <c r="K2274" i="1" s="1"/>
  <c r="I2274" i="1"/>
  <c r="H2274" i="1" a="1"/>
  <c r="H2274" i="1" s="1"/>
  <c r="G2274" i="1" a="1"/>
  <c r="G2274" i="1" s="1"/>
  <c r="A2273" i="1"/>
  <c r="N2273" i="1" l="1" a="1"/>
  <c r="N2273" i="1" s="1"/>
  <c r="M2273" i="1" a="1"/>
  <c r="M2273" i="1" s="1"/>
  <c r="J2273" i="1" a="1"/>
  <c r="J2273" i="1" s="1"/>
  <c r="L2273" i="1"/>
  <c r="K2273" i="1" a="1"/>
  <c r="K2273" i="1" s="1"/>
  <c r="I2273" i="1"/>
  <c r="H2273" i="1" a="1"/>
  <c r="H2273" i="1" s="1"/>
  <c r="G2273" i="1" a="1"/>
  <c r="G2273" i="1" s="1"/>
  <c r="A2272" i="1" l="1"/>
  <c r="N2272" i="1" l="1" a="1"/>
  <c r="N2272" i="1" s="1"/>
  <c r="M2272" i="1" a="1"/>
  <c r="M2272" i="1" s="1"/>
  <c r="J2272" i="1" a="1"/>
  <c r="J2272" i="1" s="1"/>
  <c r="L2272" i="1"/>
  <c r="K2272" i="1" a="1"/>
  <c r="K2272" i="1" s="1"/>
  <c r="I2272" i="1"/>
  <c r="H2272" i="1" a="1"/>
  <c r="H2272" i="1" s="1"/>
  <c r="G2272" i="1" a="1"/>
  <c r="G2272" i="1" s="1"/>
  <c r="A2271" i="1" l="1"/>
  <c r="N2271" i="1" l="1" a="1"/>
  <c r="N2271" i="1" s="1"/>
  <c r="M2271" i="1" a="1"/>
  <c r="M2271" i="1" s="1"/>
  <c r="J2271" i="1" a="1"/>
  <c r="J2271" i="1" s="1"/>
  <c r="L2271" i="1"/>
  <c r="K2271" i="1" a="1"/>
  <c r="K2271" i="1" s="1"/>
  <c r="I2271" i="1"/>
  <c r="H2271" i="1" a="1"/>
  <c r="H2271" i="1" s="1"/>
  <c r="G2271" i="1" a="1"/>
  <c r="G2271" i="1" s="1"/>
  <c r="A2270" i="1" l="1"/>
  <c r="N2270" i="1" l="1" a="1"/>
  <c r="N2270" i="1" s="1"/>
  <c r="M2270" i="1" a="1"/>
  <c r="M2270" i="1" s="1"/>
  <c r="J2270" i="1" a="1"/>
  <c r="J2270" i="1" s="1"/>
  <c r="L2270" i="1"/>
  <c r="K2270" i="1" a="1"/>
  <c r="K2270" i="1" s="1"/>
  <c r="I2270" i="1"/>
  <c r="H2270" i="1" a="1"/>
  <c r="H2270" i="1" s="1"/>
  <c r="G2270" i="1" a="1"/>
  <c r="G2270" i="1" s="1"/>
  <c r="A2269" i="1" l="1"/>
  <c r="N2269" i="1" l="1" a="1"/>
  <c r="N2269" i="1" s="1"/>
  <c r="M2269" i="1" a="1"/>
  <c r="M2269" i="1" s="1"/>
  <c r="J2269" i="1" a="1"/>
  <c r="J2269" i="1" s="1"/>
  <c r="L2269" i="1"/>
  <c r="K2269" i="1" a="1"/>
  <c r="K2269" i="1" s="1"/>
  <c r="I2269" i="1"/>
  <c r="H2269" i="1" a="1"/>
  <c r="H2269" i="1" s="1"/>
  <c r="G2269" i="1" a="1"/>
  <c r="G2269" i="1" s="1"/>
  <c r="A2267" i="1" l="1"/>
  <c r="A2268" i="1"/>
  <c r="A2266" i="1"/>
  <c r="N2266" i="1" l="1" a="1"/>
  <c r="N2266" i="1" s="1"/>
  <c r="M2266" i="1" a="1"/>
  <c r="M2266" i="1" s="1"/>
  <c r="N2268" i="1" a="1"/>
  <c r="N2268" i="1" s="1"/>
  <c r="M2268" i="1" a="1"/>
  <c r="M2268" i="1" s="1"/>
  <c r="N2267" i="1" a="1"/>
  <c r="N2267" i="1" s="1"/>
  <c r="M2267" i="1" a="1"/>
  <c r="M2267" i="1" s="1"/>
  <c r="J2266" i="1" a="1"/>
  <c r="J2266" i="1" s="1"/>
  <c r="L2266" i="1"/>
  <c r="K2266" i="1" a="1"/>
  <c r="K2266" i="1" s="1"/>
  <c r="J2268" i="1" a="1"/>
  <c r="J2268" i="1" s="1"/>
  <c r="L2268" i="1"/>
  <c r="K2268" i="1" a="1"/>
  <c r="K2268" i="1" s="1"/>
  <c r="J2267" i="1" a="1"/>
  <c r="J2267" i="1" s="1"/>
  <c r="L2267" i="1"/>
  <c r="K2267" i="1" a="1"/>
  <c r="K2267" i="1" s="1"/>
  <c r="I2266" i="1"/>
  <c r="H2266" i="1" a="1"/>
  <c r="H2266" i="1" s="1"/>
  <c r="G2266" i="1" a="1"/>
  <c r="G2266" i="1" s="1"/>
  <c r="I2267" i="1"/>
  <c r="H2267" i="1" a="1"/>
  <c r="H2267" i="1" s="1"/>
  <c r="G2267" i="1" a="1"/>
  <c r="G2267" i="1" s="1"/>
  <c r="I2268" i="1"/>
  <c r="H2268" i="1" a="1"/>
  <c r="H2268" i="1" s="1"/>
  <c r="G2268" i="1" a="1"/>
  <c r="G2268" i="1" s="1"/>
  <c r="A2265" i="1" l="1"/>
  <c r="N2265" i="1" l="1" a="1"/>
  <c r="N2265" i="1" s="1"/>
  <c r="M2265" i="1" a="1"/>
  <c r="M2265" i="1" s="1"/>
  <c r="J2265" i="1" a="1"/>
  <c r="J2265" i="1" s="1"/>
  <c r="L2265" i="1"/>
  <c r="K2265" i="1" a="1"/>
  <c r="K2265" i="1" s="1"/>
  <c r="I2265" i="1"/>
  <c r="H2265" i="1" a="1"/>
  <c r="H2265" i="1" s="1"/>
  <c r="G2265" i="1" a="1"/>
  <c r="G2265" i="1" s="1"/>
  <c r="A2264" i="1"/>
  <c r="A2263" i="1"/>
  <c r="N2263" i="1" l="1" a="1"/>
  <c r="N2263" i="1" s="1"/>
  <c r="M2263" i="1" a="1"/>
  <c r="M2263" i="1" s="1"/>
  <c r="N2264" i="1" a="1"/>
  <c r="N2264" i="1" s="1"/>
  <c r="M2264" i="1" a="1"/>
  <c r="M2264" i="1" s="1"/>
  <c r="J2263" i="1" a="1"/>
  <c r="J2263" i="1" s="1"/>
  <c r="L2263" i="1"/>
  <c r="K2263" i="1" a="1"/>
  <c r="K2263" i="1" s="1"/>
  <c r="J2264" i="1" a="1"/>
  <c r="J2264" i="1" s="1"/>
  <c r="L2264" i="1"/>
  <c r="K2264" i="1" a="1"/>
  <c r="K2264" i="1" s="1"/>
  <c r="I2264" i="1"/>
  <c r="H2264" i="1" a="1"/>
  <c r="H2264" i="1" s="1"/>
  <c r="G2264" i="1" a="1"/>
  <c r="G2264" i="1" s="1"/>
  <c r="I2263" i="1"/>
  <c r="H2263" i="1" a="1"/>
  <c r="H2263" i="1" s="1"/>
  <c r="G2263" i="1" a="1"/>
  <c r="G2263" i="1" s="1"/>
  <c r="A2262" i="1" l="1"/>
  <c r="N2262" i="1" l="1" a="1"/>
  <c r="N2262" i="1" s="1"/>
  <c r="M2262" i="1" a="1"/>
  <c r="M2262" i="1" s="1"/>
  <c r="J2262" i="1" a="1"/>
  <c r="J2262" i="1" s="1"/>
  <c r="L2262" i="1"/>
  <c r="K2262" i="1" a="1"/>
  <c r="K2262" i="1" s="1"/>
  <c r="I2262" i="1"/>
  <c r="H2262" i="1" a="1"/>
  <c r="H2262" i="1" s="1"/>
  <c r="G2262" i="1" a="1"/>
  <c r="G2262" i="1" s="1"/>
  <c r="A2261" i="1" l="1"/>
  <c r="N2261" i="1" l="1" a="1"/>
  <c r="N2261" i="1" s="1"/>
  <c r="M2261" i="1" a="1"/>
  <c r="M2261" i="1" s="1"/>
  <c r="J2261" i="1" a="1"/>
  <c r="J2261" i="1" s="1"/>
  <c r="L2261" i="1"/>
  <c r="K2261" i="1" a="1"/>
  <c r="K2261" i="1" s="1"/>
  <c r="I2261" i="1"/>
  <c r="H2261" i="1" a="1"/>
  <c r="H2261" i="1" s="1"/>
  <c r="G2261" i="1" a="1"/>
  <c r="G2261" i="1" s="1"/>
  <c r="A2260" i="1" l="1"/>
  <c r="N2260" i="1" l="1" a="1"/>
  <c r="N2260" i="1" s="1"/>
  <c r="M2260" i="1" a="1"/>
  <c r="M2260" i="1" s="1"/>
  <c r="J2260" i="1" a="1"/>
  <c r="J2260" i="1" s="1"/>
  <c r="L2260" i="1"/>
  <c r="K2260" i="1" a="1"/>
  <c r="K2260" i="1" s="1"/>
  <c r="I2260" i="1"/>
  <c r="H2260" i="1" a="1"/>
  <c r="H2260" i="1" s="1"/>
  <c r="G2260" i="1" a="1"/>
  <c r="G2260" i="1" s="1"/>
  <c r="A2259" i="1" l="1"/>
  <c r="N2259" i="1" l="1" a="1"/>
  <c r="N2259" i="1" s="1"/>
  <c r="M2259" i="1" a="1"/>
  <c r="M2259" i="1" s="1"/>
  <c r="J2259" i="1" a="1"/>
  <c r="J2259" i="1" s="1"/>
  <c r="L2259" i="1"/>
  <c r="K2259" i="1" a="1"/>
  <c r="K2259" i="1" s="1"/>
  <c r="I2259" i="1"/>
  <c r="H2259" i="1" a="1"/>
  <c r="H2259" i="1" s="1"/>
  <c r="G2259" i="1" a="1"/>
  <c r="G2259" i="1" s="1"/>
  <c r="A2258" i="1" l="1"/>
  <c r="N2258" i="1" l="1" a="1"/>
  <c r="N2258" i="1" s="1"/>
  <c r="M2258" i="1" a="1"/>
  <c r="M2258" i="1" s="1"/>
  <c r="J2258" i="1" a="1"/>
  <c r="J2258" i="1" s="1"/>
  <c r="L2258" i="1"/>
  <c r="K2258" i="1" a="1"/>
  <c r="K2258" i="1" s="1"/>
  <c r="I2258" i="1"/>
  <c r="H2258" i="1" a="1"/>
  <c r="H2258" i="1" s="1"/>
  <c r="G2258" i="1" a="1"/>
  <c r="G2258" i="1" s="1"/>
  <c r="A2257" i="1" l="1"/>
  <c r="N2257" i="1" l="1" a="1"/>
  <c r="N2257" i="1" s="1"/>
  <c r="M2257" i="1" a="1"/>
  <c r="M2257" i="1" s="1"/>
  <c r="J2257" i="1" a="1"/>
  <c r="J2257" i="1" s="1"/>
  <c r="L2257" i="1"/>
  <c r="K2257" i="1" a="1"/>
  <c r="K2257" i="1" s="1"/>
  <c r="I2257" i="1"/>
  <c r="H2257" i="1" a="1"/>
  <c r="H2257" i="1" s="1"/>
  <c r="G2257" i="1" a="1"/>
  <c r="G2257" i="1" s="1"/>
  <c r="A2256" i="1" l="1"/>
  <c r="N2256" i="1" l="1" a="1"/>
  <c r="N2256" i="1" s="1"/>
  <c r="M2256" i="1" a="1"/>
  <c r="M2256" i="1" s="1"/>
  <c r="J2256" i="1" a="1"/>
  <c r="J2256" i="1" s="1"/>
  <c r="L2256" i="1"/>
  <c r="K2256" i="1" a="1"/>
  <c r="K2256" i="1" s="1"/>
  <c r="I2256" i="1"/>
  <c r="H2256" i="1" a="1"/>
  <c r="H2256" i="1" s="1"/>
  <c r="G2256" i="1" a="1"/>
  <c r="G2256" i="1" s="1"/>
  <c r="A2255" i="1" l="1"/>
  <c r="N2255" i="1" l="1" a="1"/>
  <c r="N2255" i="1" s="1"/>
  <c r="M2255" i="1" a="1"/>
  <c r="M2255" i="1" s="1"/>
  <c r="J2255" i="1" a="1"/>
  <c r="J2255" i="1" s="1"/>
  <c r="L2255" i="1"/>
  <c r="K2255" i="1" a="1"/>
  <c r="K2255" i="1" s="1"/>
  <c r="I2255" i="1"/>
  <c r="H2255" i="1" a="1"/>
  <c r="H2255" i="1" s="1"/>
  <c r="G2255" i="1" a="1"/>
  <c r="G2255" i="1" s="1"/>
  <c r="A2254" i="1" l="1"/>
  <c r="N2254" i="1" l="1" a="1"/>
  <c r="N2254" i="1" s="1"/>
  <c r="M2254" i="1" a="1"/>
  <c r="M2254" i="1" s="1"/>
  <c r="J2254" i="1" a="1"/>
  <c r="J2254" i="1" s="1"/>
  <c r="L2254" i="1"/>
  <c r="K2254" i="1" a="1"/>
  <c r="K2254" i="1" s="1"/>
  <c r="I2254" i="1"/>
  <c r="H2254" i="1" a="1"/>
  <c r="H2254" i="1" s="1"/>
  <c r="G2254" i="1" a="1"/>
  <c r="G2254" i="1" s="1"/>
  <c r="A2253" i="1" l="1"/>
  <c r="N2253" i="1" l="1" a="1"/>
  <c r="N2253" i="1" s="1"/>
  <c r="M2253" i="1" a="1"/>
  <c r="M2253" i="1" s="1"/>
  <c r="J2253" i="1" a="1"/>
  <c r="J2253" i="1" s="1"/>
  <c r="L2253" i="1"/>
  <c r="K2253" i="1" a="1"/>
  <c r="K2253" i="1" s="1"/>
  <c r="I2253" i="1"/>
  <c r="H2253" i="1" a="1"/>
  <c r="H2253" i="1" s="1"/>
  <c r="G2253" i="1" a="1"/>
  <c r="G2253" i="1" s="1"/>
  <c r="A2252" i="1" l="1"/>
  <c r="N2252" i="1" l="1" a="1"/>
  <c r="N2252" i="1" s="1"/>
  <c r="M2252" i="1" a="1"/>
  <c r="M2252" i="1" s="1"/>
  <c r="J2252" i="1" a="1"/>
  <c r="J2252" i="1" s="1"/>
  <c r="L2252" i="1"/>
  <c r="K2252" i="1" a="1"/>
  <c r="K2252" i="1" s="1"/>
  <c r="I2252" i="1"/>
  <c r="H2252" i="1" a="1"/>
  <c r="H2252" i="1" s="1"/>
  <c r="G2252" i="1" a="1"/>
  <c r="G2252" i="1" s="1"/>
  <c r="A2251" i="1" l="1"/>
  <c r="A2250" i="1"/>
  <c r="N2250" i="1" l="1" a="1"/>
  <c r="N2250" i="1" s="1"/>
  <c r="M2250" i="1" a="1"/>
  <c r="M2250" i="1" s="1"/>
  <c r="N2251" i="1" a="1"/>
  <c r="N2251" i="1" s="1"/>
  <c r="M2251" i="1" a="1"/>
  <c r="M2251" i="1" s="1"/>
  <c r="J2251" i="1" a="1"/>
  <c r="J2251" i="1" s="1"/>
  <c r="L2251" i="1"/>
  <c r="K2251" i="1" a="1"/>
  <c r="K2251" i="1" s="1"/>
  <c r="J2250" i="1" a="1"/>
  <c r="J2250" i="1" s="1"/>
  <c r="L2250" i="1"/>
  <c r="K2250" i="1" a="1"/>
  <c r="K2250" i="1" s="1"/>
  <c r="I2250" i="1"/>
  <c r="H2250" i="1" a="1"/>
  <c r="H2250" i="1" s="1"/>
  <c r="G2250" i="1" a="1"/>
  <c r="G2250" i="1" s="1"/>
  <c r="I2251" i="1"/>
  <c r="H2251" i="1" a="1"/>
  <c r="H2251" i="1" s="1"/>
  <c r="G2251" i="1" a="1"/>
  <c r="G2251" i="1" s="1"/>
  <c r="A2249" i="1"/>
  <c r="N2249" i="1" l="1" a="1"/>
  <c r="N2249" i="1" s="1"/>
  <c r="M2249" i="1" a="1"/>
  <c r="M2249" i="1" s="1"/>
  <c r="J2249" i="1" a="1"/>
  <c r="J2249" i="1" s="1"/>
  <c r="L2249" i="1"/>
  <c r="K2249" i="1" a="1"/>
  <c r="K2249" i="1" s="1"/>
  <c r="I2249" i="1"/>
  <c r="H2249" i="1" a="1"/>
  <c r="H2249" i="1" s="1"/>
  <c r="G2249" i="1" a="1"/>
  <c r="G2249" i="1" s="1"/>
  <c r="A2248" i="1" l="1"/>
  <c r="N2248" i="1" l="1" a="1"/>
  <c r="N2248" i="1" s="1"/>
  <c r="M2248" i="1" a="1"/>
  <c r="M2248" i="1" s="1"/>
  <c r="J2248" i="1" a="1"/>
  <c r="J2248" i="1" s="1"/>
  <c r="L2248" i="1"/>
  <c r="K2248" i="1" a="1"/>
  <c r="K2248" i="1" s="1"/>
  <c r="I2248" i="1"/>
  <c r="H2248" i="1" a="1"/>
  <c r="H2248" i="1" s="1"/>
  <c r="G2248" i="1" a="1"/>
  <c r="G2248" i="1" s="1"/>
  <c r="A2247" i="1" l="1"/>
  <c r="N2247" i="1" l="1" a="1"/>
  <c r="N2247" i="1" s="1"/>
  <c r="M2247" i="1" a="1"/>
  <c r="M2247" i="1" s="1"/>
  <c r="J2247" i="1" a="1"/>
  <c r="J2247" i="1" s="1"/>
  <c r="L2247" i="1"/>
  <c r="K2247" i="1" a="1"/>
  <c r="K2247" i="1" s="1"/>
  <c r="I2247" i="1"/>
  <c r="H2247" i="1" a="1"/>
  <c r="H2247" i="1" s="1"/>
  <c r="G2247" i="1" a="1"/>
  <c r="G2247" i="1" s="1"/>
  <c r="A2246" i="1" l="1"/>
  <c r="A2245" i="1"/>
  <c r="N2245" i="1" l="1" a="1"/>
  <c r="N2245" i="1" s="1"/>
  <c r="M2245" i="1" a="1"/>
  <c r="M2245" i="1" s="1"/>
  <c r="N2246" i="1" a="1"/>
  <c r="N2246" i="1" s="1"/>
  <c r="M2246" i="1" a="1"/>
  <c r="M2246" i="1" s="1"/>
  <c r="J2246" i="1" a="1"/>
  <c r="J2246" i="1" s="1"/>
  <c r="L2246" i="1"/>
  <c r="K2246" i="1" a="1"/>
  <c r="K2246" i="1" s="1"/>
  <c r="J2245" i="1" a="1"/>
  <c r="J2245" i="1" s="1"/>
  <c r="L2245" i="1"/>
  <c r="K2245" i="1" a="1"/>
  <c r="K2245" i="1" s="1"/>
  <c r="I2245" i="1"/>
  <c r="H2245" i="1" a="1"/>
  <c r="H2245" i="1" s="1"/>
  <c r="G2245" i="1" a="1"/>
  <c r="G2245" i="1" s="1"/>
  <c r="I2246" i="1"/>
  <c r="H2246" i="1" a="1"/>
  <c r="H2246" i="1" s="1"/>
  <c r="G2246" i="1" a="1"/>
  <c r="G2246" i="1" s="1"/>
  <c r="A2244" i="1" l="1"/>
  <c r="N2244" i="1" l="1" a="1"/>
  <c r="N2244" i="1" s="1"/>
  <c r="M2244" i="1" a="1"/>
  <c r="M2244" i="1" s="1"/>
  <c r="J2244" i="1" a="1"/>
  <c r="J2244" i="1" s="1"/>
  <c r="L2244" i="1"/>
  <c r="K2244" i="1" a="1"/>
  <c r="K2244" i="1" s="1"/>
  <c r="I2244" i="1"/>
  <c r="H2244" i="1" a="1"/>
  <c r="H2244" i="1" s="1"/>
  <c r="G2244" i="1" a="1"/>
  <c r="G2244" i="1" s="1"/>
  <c r="A2243" i="1" l="1"/>
  <c r="N2243" i="1" l="1" a="1"/>
  <c r="N2243" i="1" s="1"/>
  <c r="M2243" i="1" a="1"/>
  <c r="M2243" i="1" s="1"/>
  <c r="J2243" i="1" a="1"/>
  <c r="J2243" i="1" s="1"/>
  <c r="L2243" i="1"/>
  <c r="K2243" i="1" a="1"/>
  <c r="K2243" i="1" s="1"/>
  <c r="I2243" i="1"/>
  <c r="H2243" i="1" a="1"/>
  <c r="H2243" i="1" s="1"/>
  <c r="G2243" i="1" a="1"/>
  <c r="G2243" i="1" s="1"/>
  <c r="A2242" i="1" l="1"/>
  <c r="N2242" i="1" l="1" a="1"/>
  <c r="N2242" i="1" s="1"/>
  <c r="M2242" i="1" a="1"/>
  <c r="M2242" i="1" s="1"/>
  <c r="J2242" i="1" a="1"/>
  <c r="J2242" i="1" s="1"/>
  <c r="L2242" i="1"/>
  <c r="K2242" i="1" a="1"/>
  <c r="K2242" i="1" s="1"/>
  <c r="I2242" i="1"/>
  <c r="H2242" i="1" a="1"/>
  <c r="H2242" i="1" s="1"/>
  <c r="G2242" i="1" a="1"/>
  <c r="G2242" i="1" s="1"/>
  <c r="A2241" i="1" l="1"/>
  <c r="N2241" i="1" l="1" a="1"/>
  <c r="N2241" i="1" s="1"/>
  <c r="M2241" i="1" a="1"/>
  <c r="M2241" i="1" s="1"/>
  <c r="J2241" i="1" a="1"/>
  <c r="J2241" i="1" s="1"/>
  <c r="L2241" i="1"/>
  <c r="K2241" i="1" a="1"/>
  <c r="K2241" i="1" s="1"/>
  <c r="I2241" i="1"/>
  <c r="H2241" i="1" a="1"/>
  <c r="H2241" i="1" s="1"/>
  <c r="G2241" i="1" a="1"/>
  <c r="G2241" i="1" s="1"/>
  <c r="A2240" i="1" l="1"/>
  <c r="N2240" i="1" l="1" a="1"/>
  <c r="N2240" i="1" s="1"/>
  <c r="M2240" i="1" a="1"/>
  <c r="M2240" i="1" s="1"/>
  <c r="J2240" i="1" a="1"/>
  <c r="J2240" i="1" s="1"/>
  <c r="L2240" i="1"/>
  <c r="K2240" i="1" a="1"/>
  <c r="K2240" i="1" s="1"/>
  <c r="I2240" i="1"/>
  <c r="H2240" i="1" a="1"/>
  <c r="H2240" i="1" s="1"/>
  <c r="G2240" i="1" a="1"/>
  <c r="G2240" i="1" s="1"/>
  <c r="A2239" i="1"/>
  <c r="N2239" i="1" l="1" a="1"/>
  <c r="N2239" i="1" s="1"/>
  <c r="M2239" i="1" a="1"/>
  <c r="M2239" i="1" s="1"/>
  <c r="J2239" i="1" a="1"/>
  <c r="J2239" i="1" s="1"/>
  <c r="L2239" i="1"/>
  <c r="K2239" i="1" a="1"/>
  <c r="K2239" i="1" s="1"/>
  <c r="I2239" i="1"/>
  <c r="H2239" i="1" a="1"/>
  <c r="H2239" i="1" s="1"/>
  <c r="G2239" i="1" a="1"/>
  <c r="G2239" i="1" s="1"/>
  <c r="A2238" i="1" l="1"/>
  <c r="N2238" i="1" l="1" a="1"/>
  <c r="N2238" i="1" s="1"/>
  <c r="M2238" i="1" a="1"/>
  <c r="M2238" i="1" s="1"/>
  <c r="J2238" i="1" a="1"/>
  <c r="J2238" i="1" s="1"/>
  <c r="L2238" i="1"/>
  <c r="K2238" i="1" a="1"/>
  <c r="K2238" i="1" s="1"/>
  <c r="I2238" i="1"/>
  <c r="H2238" i="1" a="1"/>
  <c r="H2238" i="1" s="1"/>
  <c r="G2238" i="1" a="1"/>
  <c r="G2238" i="1" s="1"/>
  <c r="A2237" i="1" l="1"/>
  <c r="N2237" i="1" l="1" a="1"/>
  <c r="N2237" i="1" s="1"/>
  <c r="M2237" i="1" a="1"/>
  <c r="M2237" i="1" s="1"/>
  <c r="J2237" i="1" a="1"/>
  <c r="J2237" i="1" s="1"/>
  <c r="L2237" i="1"/>
  <c r="K2237" i="1" a="1"/>
  <c r="K2237" i="1" s="1"/>
  <c r="I2237" i="1"/>
  <c r="H2237" i="1" a="1"/>
  <c r="H2237" i="1" s="1"/>
  <c r="G2237" i="1" a="1"/>
  <c r="G2237" i="1" s="1"/>
  <c r="A2236" i="1" l="1"/>
  <c r="N2236" i="1" l="1" a="1"/>
  <c r="N2236" i="1" s="1"/>
  <c r="M2236" i="1" a="1"/>
  <c r="M2236" i="1" s="1"/>
  <c r="J2236" i="1" a="1"/>
  <c r="J2236" i="1" s="1"/>
  <c r="L2236" i="1"/>
  <c r="K2236" i="1" a="1"/>
  <c r="K2236" i="1" s="1"/>
  <c r="I2236" i="1"/>
  <c r="H2236" i="1" a="1"/>
  <c r="H2236" i="1" s="1"/>
  <c r="G2236" i="1" a="1"/>
  <c r="G2236" i="1" s="1"/>
  <c r="A2235" i="1" l="1"/>
  <c r="N2235" i="1" l="1" a="1"/>
  <c r="N2235" i="1" s="1"/>
  <c r="M2235" i="1" a="1"/>
  <c r="M2235" i="1" s="1"/>
  <c r="J2235" i="1" a="1"/>
  <c r="J2235" i="1" s="1"/>
  <c r="L2235" i="1"/>
  <c r="K2235" i="1" a="1"/>
  <c r="K2235" i="1" s="1"/>
  <c r="I2235" i="1"/>
  <c r="H2235" i="1" a="1"/>
  <c r="H2235" i="1" s="1"/>
  <c r="G2235" i="1" a="1"/>
  <c r="G2235" i="1" s="1"/>
  <c r="A2234" i="1" l="1"/>
  <c r="N2234" i="1" l="1" a="1"/>
  <c r="N2234" i="1" s="1"/>
  <c r="M2234" i="1" a="1"/>
  <c r="M2234" i="1" s="1"/>
  <c r="J2234" i="1" a="1"/>
  <c r="J2234" i="1" s="1"/>
  <c r="L2234" i="1"/>
  <c r="K2234" i="1" a="1"/>
  <c r="K2234" i="1" s="1"/>
  <c r="I2234" i="1"/>
  <c r="H2234" i="1" a="1"/>
  <c r="H2234" i="1" s="1"/>
  <c r="G2234" i="1" a="1"/>
  <c r="G2234" i="1" s="1"/>
  <c r="A2233" i="1" l="1"/>
  <c r="N2233" i="1" l="1" a="1"/>
  <c r="N2233" i="1" s="1"/>
  <c r="M2233" i="1" a="1"/>
  <c r="M2233" i="1" s="1"/>
  <c r="J2233" i="1" a="1"/>
  <c r="J2233" i="1" s="1"/>
  <c r="L2233" i="1"/>
  <c r="K2233" i="1" a="1"/>
  <c r="K2233" i="1" s="1"/>
  <c r="I2233" i="1"/>
  <c r="H2233" i="1" a="1"/>
  <c r="H2233" i="1" s="1"/>
  <c r="G2233" i="1" a="1"/>
  <c r="G2233" i="1" s="1"/>
  <c r="A2232" i="1" l="1"/>
  <c r="N2232" i="1" l="1" a="1"/>
  <c r="N2232" i="1" s="1"/>
  <c r="M2232" i="1" a="1"/>
  <c r="M2232" i="1" s="1"/>
  <c r="J2232" i="1" a="1"/>
  <c r="J2232" i="1" s="1"/>
  <c r="L2232" i="1"/>
  <c r="K2232" i="1" a="1"/>
  <c r="K2232" i="1" s="1"/>
  <c r="I2232" i="1"/>
  <c r="H2232" i="1" a="1"/>
  <c r="H2232" i="1" s="1"/>
  <c r="G2232" i="1" a="1"/>
  <c r="G2232" i="1" s="1"/>
  <c r="A2231" i="1" l="1"/>
  <c r="N2231" i="1" l="1" a="1"/>
  <c r="N2231" i="1" s="1"/>
  <c r="M2231" i="1" a="1"/>
  <c r="M2231" i="1" s="1"/>
  <c r="J2231" i="1" a="1"/>
  <c r="J2231" i="1" s="1"/>
  <c r="L2231" i="1"/>
  <c r="K2231" i="1" a="1"/>
  <c r="K2231" i="1" s="1"/>
  <c r="I2231" i="1"/>
  <c r="H2231" i="1" a="1"/>
  <c r="H2231" i="1" s="1"/>
  <c r="G2231" i="1" a="1"/>
  <c r="G2231" i="1" s="1"/>
  <c r="A2230" i="1" l="1"/>
  <c r="N2230" i="1" l="1" a="1"/>
  <c r="N2230" i="1" s="1"/>
  <c r="M2230" i="1" a="1"/>
  <c r="M2230" i="1" s="1"/>
  <c r="J2230" i="1" a="1"/>
  <c r="J2230" i="1" s="1"/>
  <c r="L2230" i="1"/>
  <c r="K2230" i="1" a="1"/>
  <c r="K2230" i="1" s="1"/>
  <c r="I2230" i="1"/>
  <c r="H2230" i="1" a="1"/>
  <c r="H2230" i="1" s="1"/>
  <c r="G2230" i="1" a="1"/>
  <c r="G2230" i="1" s="1"/>
  <c r="A2229" i="1"/>
  <c r="N2229" i="1" l="1" a="1"/>
  <c r="N2229" i="1" s="1"/>
  <c r="M2229" i="1" a="1"/>
  <c r="M2229" i="1" s="1"/>
  <c r="J2229" i="1" a="1"/>
  <c r="J2229" i="1" s="1"/>
  <c r="L2229" i="1"/>
  <c r="K2229" i="1" a="1"/>
  <c r="K2229" i="1" s="1"/>
  <c r="I2229" i="1"/>
  <c r="H2229" i="1" a="1"/>
  <c r="H2229" i="1" s="1"/>
  <c r="G2229" i="1" a="1"/>
  <c r="G2229" i="1" s="1"/>
  <c r="A2228" i="1" l="1"/>
  <c r="N2228" i="1" l="1" a="1"/>
  <c r="N2228" i="1" s="1"/>
  <c r="M2228" i="1" a="1"/>
  <c r="M2228" i="1" s="1"/>
  <c r="J2228" i="1" a="1"/>
  <c r="J2228" i="1" s="1"/>
  <c r="L2228" i="1"/>
  <c r="K2228" i="1" a="1"/>
  <c r="K2228" i="1" s="1"/>
  <c r="I2228" i="1"/>
  <c r="H2228" i="1" a="1"/>
  <c r="H2228" i="1" s="1"/>
  <c r="G2228" i="1" a="1"/>
  <c r="G2228" i="1" s="1"/>
  <c r="A2227" i="1" l="1"/>
  <c r="N2227" i="1" l="1" a="1"/>
  <c r="N2227" i="1" s="1"/>
  <c r="M2227" i="1" a="1"/>
  <c r="M2227" i="1" s="1"/>
  <c r="J2227" i="1" a="1"/>
  <c r="J2227" i="1" s="1"/>
  <c r="L2227" i="1"/>
  <c r="K2227" i="1" a="1"/>
  <c r="K2227" i="1" s="1"/>
  <c r="I2227" i="1"/>
  <c r="H2227" i="1" a="1"/>
  <c r="H2227" i="1" s="1"/>
  <c r="G2227" i="1" a="1"/>
  <c r="G2227" i="1" s="1"/>
  <c r="A2226" i="1" l="1"/>
  <c r="N2226" i="1" l="1" a="1"/>
  <c r="N2226" i="1" s="1"/>
  <c r="M2226" i="1" a="1"/>
  <c r="M2226" i="1" s="1"/>
  <c r="J2226" i="1" a="1"/>
  <c r="J2226" i="1" s="1"/>
  <c r="L2226" i="1"/>
  <c r="K2226" i="1" a="1"/>
  <c r="K2226" i="1" s="1"/>
  <c r="I2226" i="1"/>
  <c r="H2226" i="1" a="1"/>
  <c r="H2226" i="1" s="1"/>
  <c r="G2226" i="1" a="1"/>
  <c r="G2226" i="1" s="1"/>
  <c r="A2225" i="1" l="1"/>
  <c r="N2225" i="1" l="1" a="1"/>
  <c r="N2225" i="1" s="1"/>
  <c r="M2225" i="1" a="1"/>
  <c r="M2225" i="1" s="1"/>
  <c r="J2225" i="1" a="1"/>
  <c r="J2225" i="1" s="1"/>
  <c r="L2225" i="1"/>
  <c r="K2225" i="1" a="1"/>
  <c r="K2225" i="1" s="1"/>
  <c r="I2225" i="1"/>
  <c r="H2225" i="1" a="1"/>
  <c r="H2225" i="1" s="1"/>
  <c r="G2225" i="1" a="1"/>
  <c r="G2225" i="1" s="1"/>
  <c r="A2224" i="1"/>
  <c r="N2224" i="1" l="1" a="1"/>
  <c r="N2224" i="1" s="1"/>
  <c r="M2224" i="1" a="1"/>
  <c r="M2224" i="1" s="1"/>
  <c r="J2224" i="1" a="1"/>
  <c r="J2224" i="1" s="1"/>
  <c r="L2224" i="1"/>
  <c r="K2224" i="1" a="1"/>
  <c r="K2224" i="1" s="1"/>
  <c r="I2224" i="1"/>
  <c r="H2224" i="1" a="1"/>
  <c r="H2224" i="1" s="1"/>
  <c r="G2224" i="1" a="1"/>
  <c r="G2224" i="1" s="1"/>
  <c r="A2223" i="1" l="1"/>
  <c r="N2223" i="1" l="1" a="1"/>
  <c r="N2223" i="1" s="1"/>
  <c r="M2223" i="1" a="1"/>
  <c r="M2223" i="1" s="1"/>
  <c r="J2223" i="1" a="1"/>
  <c r="J2223" i="1" s="1"/>
  <c r="L2223" i="1"/>
  <c r="K2223" i="1" a="1"/>
  <c r="K2223" i="1" s="1"/>
  <c r="I2223" i="1"/>
  <c r="H2223" i="1" a="1"/>
  <c r="H2223" i="1" s="1"/>
  <c r="G2223" i="1" a="1"/>
  <c r="G2223" i="1" s="1"/>
  <c r="A2222" i="1" l="1"/>
  <c r="N2222" i="1" l="1" a="1"/>
  <c r="N2222" i="1" s="1"/>
  <c r="M2222" i="1" a="1"/>
  <c r="M2222" i="1" s="1"/>
  <c r="J2222" i="1" a="1"/>
  <c r="J2222" i="1" s="1"/>
  <c r="L2222" i="1"/>
  <c r="K2222" i="1" a="1"/>
  <c r="K2222" i="1" s="1"/>
  <c r="I2222" i="1"/>
  <c r="H2222" i="1" a="1"/>
  <c r="H2222" i="1" s="1"/>
  <c r="G2222" i="1" a="1"/>
  <c r="G2222" i="1" s="1"/>
  <c r="A2221" i="1" l="1"/>
  <c r="N2221" i="1" l="1" a="1"/>
  <c r="N2221" i="1" s="1"/>
  <c r="M2221" i="1" a="1"/>
  <c r="M2221" i="1" s="1"/>
  <c r="J2221" i="1" a="1"/>
  <c r="J2221" i="1" s="1"/>
  <c r="L2221" i="1"/>
  <c r="K2221" i="1" a="1"/>
  <c r="K2221" i="1" s="1"/>
  <c r="I2221" i="1"/>
  <c r="H2221" i="1" a="1"/>
  <c r="H2221" i="1" s="1"/>
  <c r="G2221" i="1" a="1"/>
  <c r="G2221" i="1" s="1"/>
  <c r="A2220" i="1"/>
  <c r="N2220" i="1" l="1" a="1"/>
  <c r="N2220" i="1" s="1"/>
  <c r="M2220" i="1" a="1"/>
  <c r="M2220" i="1" s="1"/>
  <c r="J2220" i="1" a="1"/>
  <c r="J2220" i="1" s="1"/>
  <c r="L2220" i="1"/>
  <c r="K2220" i="1" a="1"/>
  <c r="K2220" i="1" s="1"/>
  <c r="I2220" i="1"/>
  <c r="H2220" i="1" a="1"/>
  <c r="H2220" i="1" s="1"/>
  <c r="G2220" i="1" a="1"/>
  <c r="G2220" i="1" s="1"/>
  <c r="A2219" i="1"/>
  <c r="N2219" i="1" l="1" a="1"/>
  <c r="N2219" i="1" s="1"/>
  <c r="M2219" i="1" a="1"/>
  <c r="M2219" i="1" s="1"/>
  <c r="J2219" i="1" a="1"/>
  <c r="J2219" i="1" s="1"/>
  <c r="L2219" i="1"/>
  <c r="K2219" i="1" a="1"/>
  <c r="K2219" i="1" s="1"/>
  <c r="I2219" i="1"/>
  <c r="H2219" i="1" a="1"/>
  <c r="H2219" i="1" s="1"/>
  <c r="G2219" i="1" a="1"/>
  <c r="G2219" i="1" s="1"/>
  <c r="A2218" i="1" l="1"/>
  <c r="A2217" i="1"/>
  <c r="N2217" i="1" l="1" a="1"/>
  <c r="N2217" i="1" s="1"/>
  <c r="M2217" i="1" a="1"/>
  <c r="M2217" i="1" s="1"/>
  <c r="N2218" i="1" a="1"/>
  <c r="N2218" i="1" s="1"/>
  <c r="M2218" i="1" a="1"/>
  <c r="M2218" i="1" s="1"/>
  <c r="J2217" i="1" a="1"/>
  <c r="J2217" i="1" s="1"/>
  <c r="L2217" i="1"/>
  <c r="K2217" i="1" a="1"/>
  <c r="K2217" i="1" s="1"/>
  <c r="J2218" i="1" a="1"/>
  <c r="J2218" i="1" s="1"/>
  <c r="L2218" i="1"/>
  <c r="K2218" i="1" a="1"/>
  <c r="K2218" i="1" s="1"/>
  <c r="I2218" i="1"/>
  <c r="H2218" i="1" a="1"/>
  <c r="H2218" i="1" s="1"/>
  <c r="G2218" i="1" a="1"/>
  <c r="G2218" i="1" s="1"/>
  <c r="I2217" i="1"/>
  <c r="H2217" i="1" a="1"/>
  <c r="H2217" i="1" s="1"/>
  <c r="G2217" i="1" a="1"/>
  <c r="G2217" i="1" s="1"/>
  <c r="A2216" i="1"/>
  <c r="N2216" i="1" l="1" a="1"/>
  <c r="N2216" i="1" s="1"/>
  <c r="M2216" i="1" a="1"/>
  <c r="M2216" i="1" s="1"/>
  <c r="J2216" i="1" a="1"/>
  <c r="J2216" i="1" s="1"/>
  <c r="L2216" i="1"/>
  <c r="K2216" i="1" a="1"/>
  <c r="K2216" i="1" s="1"/>
  <c r="I2216" i="1"/>
  <c r="H2216" i="1" a="1"/>
  <c r="H2216" i="1" s="1"/>
  <c r="G2216" i="1" a="1"/>
  <c r="G2216" i="1" s="1"/>
  <c r="A2215" i="1" l="1"/>
  <c r="N2215" i="1" l="1" a="1"/>
  <c r="N2215" i="1" s="1"/>
  <c r="M2215" i="1" a="1"/>
  <c r="M2215" i="1" s="1"/>
  <c r="J2215" i="1" a="1"/>
  <c r="J2215" i="1" s="1"/>
  <c r="L2215" i="1"/>
  <c r="K2215" i="1" a="1"/>
  <c r="K2215" i="1" s="1"/>
  <c r="I2215" i="1"/>
  <c r="H2215" i="1" a="1"/>
  <c r="H2215" i="1" s="1"/>
  <c r="G2215" i="1" a="1"/>
  <c r="G2215" i="1" s="1"/>
  <c r="A2214" i="1" l="1"/>
  <c r="N2214" i="1" l="1" a="1"/>
  <c r="N2214" i="1" s="1"/>
  <c r="M2214" i="1" a="1"/>
  <c r="M2214" i="1" s="1"/>
  <c r="J2214" i="1" a="1"/>
  <c r="J2214" i="1" s="1"/>
  <c r="L2214" i="1"/>
  <c r="K2214" i="1" a="1"/>
  <c r="K2214" i="1" s="1"/>
  <c r="I2214" i="1"/>
  <c r="H2214" i="1" a="1"/>
  <c r="H2214" i="1" s="1"/>
  <c r="G2214" i="1" a="1"/>
  <c r="G2214" i="1" s="1"/>
  <c r="A2213" i="1" l="1"/>
  <c r="N2213" i="1" l="1" a="1"/>
  <c r="N2213" i="1" s="1"/>
  <c r="M2213" i="1" a="1"/>
  <c r="M2213" i="1" s="1"/>
  <c r="J2213" i="1" a="1"/>
  <c r="J2213" i="1" s="1"/>
  <c r="L2213" i="1"/>
  <c r="K2213" i="1" a="1"/>
  <c r="K2213" i="1" s="1"/>
  <c r="I2213" i="1"/>
  <c r="H2213" i="1" a="1"/>
  <c r="H2213" i="1" s="1"/>
  <c r="G2213" i="1" a="1"/>
  <c r="G2213" i="1" s="1"/>
  <c r="A2212" i="1" l="1"/>
  <c r="N2212" i="1" l="1" a="1"/>
  <c r="N2212" i="1" s="1"/>
  <c r="M2212" i="1" a="1"/>
  <c r="M2212" i="1" s="1"/>
  <c r="J2212" i="1" a="1"/>
  <c r="J2212" i="1" s="1"/>
  <c r="L2212" i="1"/>
  <c r="K2212" i="1" a="1"/>
  <c r="K2212" i="1" s="1"/>
  <c r="I2212" i="1"/>
  <c r="H2212" i="1" a="1"/>
  <c r="H2212" i="1" s="1"/>
  <c r="G2212" i="1" a="1"/>
  <c r="G2212" i="1" s="1"/>
  <c r="A2211" i="1" l="1"/>
  <c r="N2211" i="1" l="1" a="1"/>
  <c r="N2211" i="1" s="1"/>
  <c r="M2211" i="1" a="1"/>
  <c r="M2211" i="1" s="1"/>
  <c r="J2211" i="1" a="1"/>
  <c r="J2211" i="1" s="1"/>
  <c r="L2211" i="1"/>
  <c r="K2211" i="1" a="1"/>
  <c r="K2211" i="1" s="1"/>
  <c r="I2211" i="1"/>
  <c r="H2211" i="1" a="1"/>
  <c r="H2211" i="1" s="1"/>
  <c r="G2211" i="1" a="1"/>
  <c r="G2211" i="1" s="1"/>
  <c r="A2210" i="1" l="1"/>
  <c r="N2210" i="1" l="1" a="1"/>
  <c r="N2210" i="1" s="1"/>
  <c r="M2210" i="1" a="1"/>
  <c r="M2210" i="1" s="1"/>
  <c r="J2210" i="1" a="1"/>
  <c r="J2210" i="1" s="1"/>
  <c r="L2210" i="1"/>
  <c r="K2210" i="1" a="1"/>
  <c r="K2210" i="1" s="1"/>
  <c r="I2210" i="1"/>
  <c r="H2210" i="1" a="1"/>
  <c r="H2210" i="1" s="1"/>
  <c r="G2210" i="1" a="1"/>
  <c r="G2210" i="1" s="1"/>
  <c r="A2209" i="1" l="1"/>
  <c r="N2209" i="1" l="1" a="1"/>
  <c r="N2209" i="1" s="1"/>
  <c r="M2209" i="1" a="1"/>
  <c r="M2209" i="1" s="1"/>
  <c r="J2209" i="1" a="1"/>
  <c r="J2209" i="1" s="1"/>
  <c r="L2209" i="1"/>
  <c r="K2209" i="1" a="1"/>
  <c r="K2209" i="1" s="1"/>
  <c r="I2209" i="1"/>
  <c r="H2209" i="1" a="1"/>
  <c r="H2209" i="1" s="1"/>
  <c r="G2209" i="1" a="1"/>
  <c r="G2209" i="1" s="1"/>
  <c r="A2207" i="1"/>
  <c r="A2208" i="1"/>
  <c r="N2208" i="1" l="1" a="1"/>
  <c r="N2208" i="1" s="1"/>
  <c r="M2208" i="1" a="1"/>
  <c r="M2208" i="1" s="1"/>
  <c r="N2207" i="1" a="1"/>
  <c r="N2207" i="1" s="1"/>
  <c r="M2207" i="1" a="1"/>
  <c r="M2207" i="1" s="1"/>
  <c r="J2208" i="1" a="1"/>
  <c r="J2208" i="1" s="1"/>
  <c r="L2208" i="1"/>
  <c r="K2208" i="1" a="1"/>
  <c r="K2208" i="1" s="1"/>
  <c r="J2207" i="1" a="1"/>
  <c r="J2207" i="1" s="1"/>
  <c r="L2207" i="1"/>
  <c r="K2207" i="1" a="1"/>
  <c r="K2207" i="1" s="1"/>
  <c r="I2208" i="1"/>
  <c r="H2208" i="1" a="1"/>
  <c r="H2208" i="1" s="1"/>
  <c r="G2208" i="1" a="1"/>
  <c r="G2208" i="1" s="1"/>
  <c r="I2207" i="1"/>
  <c r="H2207" i="1" a="1"/>
  <c r="H2207" i="1" s="1"/>
  <c r="G2207" i="1" a="1"/>
  <c r="G2207" i="1" s="1"/>
  <c r="A2206" i="1"/>
  <c r="N2206" i="1" l="1" a="1"/>
  <c r="N2206" i="1" s="1"/>
  <c r="M2206" i="1" a="1"/>
  <c r="M2206" i="1" s="1"/>
  <c r="J2206" i="1" a="1"/>
  <c r="J2206" i="1" s="1"/>
  <c r="L2206" i="1"/>
  <c r="K2206" i="1" a="1"/>
  <c r="K2206" i="1" s="1"/>
  <c r="I2206" i="1"/>
  <c r="H2206" i="1" a="1"/>
  <c r="H2206" i="1" s="1"/>
  <c r="G2206" i="1" a="1"/>
  <c r="G2206" i="1" s="1"/>
  <c r="A2205" i="1" l="1"/>
  <c r="N2205" i="1" l="1" a="1"/>
  <c r="N2205" i="1" s="1"/>
  <c r="M2205" i="1" a="1"/>
  <c r="M2205" i="1" s="1"/>
  <c r="J2205" i="1" a="1"/>
  <c r="J2205" i="1" s="1"/>
  <c r="L2205" i="1"/>
  <c r="K2205" i="1" a="1"/>
  <c r="K2205" i="1" s="1"/>
  <c r="I2205" i="1"/>
  <c r="H2205" i="1" a="1"/>
  <c r="H2205" i="1" s="1"/>
  <c r="G2205" i="1" a="1"/>
  <c r="G2205" i="1" s="1"/>
  <c r="A2203" i="1" l="1"/>
  <c r="A2204" i="1"/>
  <c r="N2204" i="1" l="1" a="1"/>
  <c r="N2204" i="1" s="1"/>
  <c r="M2204" i="1" a="1"/>
  <c r="M2204" i="1" s="1"/>
  <c r="N2203" i="1" a="1"/>
  <c r="N2203" i="1" s="1"/>
  <c r="M2203" i="1" a="1"/>
  <c r="M2203" i="1" s="1"/>
  <c r="J2204" i="1" a="1"/>
  <c r="J2204" i="1" s="1"/>
  <c r="L2204" i="1"/>
  <c r="K2204" i="1" a="1"/>
  <c r="K2204" i="1" s="1"/>
  <c r="J2203" i="1" a="1"/>
  <c r="J2203" i="1" s="1"/>
  <c r="L2203" i="1"/>
  <c r="K2203" i="1" a="1"/>
  <c r="K2203" i="1" s="1"/>
  <c r="I2203" i="1"/>
  <c r="H2203" i="1" a="1"/>
  <c r="H2203" i="1" s="1"/>
  <c r="G2203" i="1" a="1"/>
  <c r="G2203" i="1" s="1"/>
  <c r="I2204" i="1"/>
  <c r="H2204" i="1" a="1"/>
  <c r="H2204" i="1" s="1"/>
  <c r="G2204" i="1" a="1"/>
  <c r="G2204" i="1" s="1"/>
  <c r="A2202" i="1"/>
  <c r="N2202" i="1" l="1" a="1"/>
  <c r="N2202" i="1" s="1"/>
  <c r="M2202" i="1" a="1"/>
  <c r="M2202" i="1" s="1"/>
  <c r="J2202" i="1" a="1"/>
  <c r="J2202" i="1" s="1"/>
  <c r="L2202" i="1"/>
  <c r="K2202" i="1" a="1"/>
  <c r="K2202" i="1" s="1"/>
  <c r="I2202" i="1"/>
  <c r="H2202" i="1" a="1"/>
  <c r="H2202" i="1" s="1"/>
  <c r="G2202" i="1" a="1"/>
  <c r="G2202" i="1" s="1"/>
  <c r="A2201" i="1" l="1"/>
  <c r="N2201" i="1" l="1" a="1"/>
  <c r="N2201" i="1" s="1"/>
  <c r="M2201" i="1" a="1"/>
  <c r="M2201" i="1" s="1"/>
  <c r="J2201" i="1" a="1"/>
  <c r="J2201" i="1" s="1"/>
  <c r="L2201" i="1"/>
  <c r="K2201" i="1" a="1"/>
  <c r="K2201" i="1" s="1"/>
  <c r="I2201" i="1"/>
  <c r="H2201" i="1" a="1"/>
  <c r="H2201" i="1" s="1"/>
  <c r="G2201" i="1" a="1"/>
  <c r="G2201" i="1" s="1"/>
  <c r="A2200" i="1" l="1"/>
  <c r="N2200" i="1" l="1" a="1"/>
  <c r="N2200" i="1" s="1"/>
  <c r="M2200" i="1" a="1"/>
  <c r="M2200" i="1" s="1"/>
  <c r="J2200" i="1" a="1"/>
  <c r="J2200" i="1" s="1"/>
  <c r="L2200" i="1"/>
  <c r="K2200" i="1" a="1"/>
  <c r="K2200" i="1" s="1"/>
  <c r="I2200" i="1"/>
  <c r="H2200" i="1" a="1"/>
  <c r="H2200" i="1" s="1"/>
  <c r="G2200" i="1" a="1"/>
  <c r="G2200" i="1" s="1"/>
  <c r="A2199" i="1" l="1"/>
  <c r="A2198" i="1"/>
  <c r="N2198" i="1" l="1" a="1"/>
  <c r="N2198" i="1" s="1"/>
  <c r="M2198" i="1" a="1"/>
  <c r="M2198" i="1" s="1"/>
  <c r="N2199" i="1" a="1"/>
  <c r="N2199" i="1" s="1"/>
  <c r="M2199" i="1" a="1"/>
  <c r="M2199" i="1" s="1"/>
  <c r="J2199" i="1" a="1"/>
  <c r="J2199" i="1" s="1"/>
  <c r="L2199" i="1"/>
  <c r="K2199" i="1" a="1"/>
  <c r="K2199" i="1" s="1"/>
  <c r="J2198" i="1" a="1"/>
  <c r="J2198" i="1" s="1"/>
  <c r="L2198" i="1"/>
  <c r="K2198" i="1" a="1"/>
  <c r="K2198" i="1" s="1"/>
  <c r="I2199" i="1"/>
  <c r="H2199" i="1" a="1"/>
  <c r="H2199" i="1" s="1"/>
  <c r="G2199" i="1" a="1"/>
  <c r="G2199" i="1" s="1"/>
  <c r="I2198" i="1"/>
  <c r="H2198" i="1" a="1"/>
  <c r="H2198" i="1" s="1"/>
  <c r="G2198" i="1" a="1"/>
  <c r="G2198" i="1" s="1"/>
  <c r="A2197" i="1" l="1"/>
  <c r="N2197" i="1" l="1" a="1"/>
  <c r="N2197" i="1" s="1"/>
  <c r="M2197" i="1" a="1"/>
  <c r="M2197" i="1" s="1"/>
  <c r="J2197" i="1" a="1"/>
  <c r="J2197" i="1" s="1"/>
  <c r="L2197" i="1"/>
  <c r="K2197" i="1" a="1"/>
  <c r="K2197" i="1" s="1"/>
  <c r="I2197" i="1"/>
  <c r="H2197" i="1" a="1"/>
  <c r="H2197" i="1" s="1"/>
  <c r="G2197" i="1" a="1"/>
  <c r="G2197" i="1" s="1"/>
  <c r="A2196" i="1" l="1"/>
  <c r="N2196" i="1" l="1" a="1"/>
  <c r="N2196" i="1" s="1"/>
  <c r="M2196" i="1" a="1"/>
  <c r="M2196" i="1" s="1"/>
  <c r="J2196" i="1" a="1"/>
  <c r="J2196" i="1" s="1"/>
  <c r="L2196" i="1"/>
  <c r="K2196" i="1" a="1"/>
  <c r="K2196" i="1" s="1"/>
  <c r="I2196" i="1"/>
  <c r="H2196" i="1" a="1"/>
  <c r="H2196" i="1" s="1"/>
  <c r="G2196" i="1" a="1"/>
  <c r="G2196" i="1" s="1"/>
  <c r="A2195" i="1" l="1"/>
  <c r="N2195" i="1" l="1" a="1"/>
  <c r="N2195" i="1" s="1"/>
  <c r="M2195" i="1" a="1"/>
  <c r="M2195" i="1" s="1"/>
  <c r="J2195" i="1" a="1"/>
  <c r="J2195" i="1" s="1"/>
  <c r="L2195" i="1"/>
  <c r="K2195" i="1" a="1"/>
  <c r="K2195" i="1" s="1"/>
  <c r="I2195" i="1"/>
  <c r="H2195" i="1" a="1"/>
  <c r="H2195" i="1" s="1"/>
  <c r="G2195" i="1" a="1"/>
  <c r="G2195" i="1" s="1"/>
  <c r="A2194" i="1" l="1"/>
  <c r="N2194" i="1" l="1" a="1"/>
  <c r="N2194" i="1" s="1"/>
  <c r="M2194" i="1" a="1"/>
  <c r="M2194" i="1" s="1"/>
  <c r="J2194" i="1" a="1"/>
  <c r="J2194" i="1" s="1"/>
  <c r="L2194" i="1"/>
  <c r="K2194" i="1" a="1"/>
  <c r="K2194" i="1" s="1"/>
  <c r="I2194" i="1"/>
  <c r="H2194" i="1" a="1"/>
  <c r="H2194" i="1" s="1"/>
  <c r="G2194" i="1" a="1"/>
  <c r="G2194" i="1" s="1"/>
  <c r="A2193" i="1" l="1"/>
  <c r="N2193" i="1" l="1" a="1"/>
  <c r="N2193" i="1" s="1"/>
  <c r="M2193" i="1" a="1"/>
  <c r="M2193" i="1" s="1"/>
  <c r="J2193" i="1" a="1"/>
  <c r="J2193" i="1" s="1"/>
  <c r="L2193" i="1"/>
  <c r="K2193" i="1" a="1"/>
  <c r="K2193" i="1" s="1"/>
  <c r="I2193" i="1"/>
  <c r="H2193" i="1" a="1"/>
  <c r="H2193" i="1" s="1"/>
  <c r="G2193" i="1" a="1"/>
  <c r="G2193" i="1" s="1"/>
  <c r="A2192" i="1" l="1"/>
  <c r="N2192" i="1" l="1" a="1"/>
  <c r="N2192" i="1" s="1"/>
  <c r="M2192" i="1" a="1"/>
  <c r="M2192" i="1" s="1"/>
  <c r="J2192" i="1" a="1"/>
  <c r="J2192" i="1" s="1"/>
  <c r="L2192" i="1"/>
  <c r="K2192" i="1" a="1"/>
  <c r="K2192" i="1" s="1"/>
  <c r="I2192" i="1"/>
  <c r="H2192" i="1" a="1"/>
  <c r="H2192" i="1" s="1"/>
  <c r="G2192" i="1" a="1"/>
  <c r="G2192" i="1" s="1"/>
  <c r="A2191" i="1" l="1"/>
  <c r="N2191" i="1" l="1" a="1"/>
  <c r="N2191" i="1" s="1"/>
  <c r="M2191" i="1" a="1"/>
  <c r="M2191" i="1" s="1"/>
  <c r="J2191" i="1" a="1"/>
  <c r="J2191" i="1" s="1"/>
  <c r="L2191" i="1"/>
  <c r="K2191" i="1" a="1"/>
  <c r="K2191" i="1" s="1"/>
  <c r="I2191" i="1"/>
  <c r="H2191" i="1" a="1"/>
  <c r="H2191" i="1" s="1"/>
  <c r="G2191" i="1" a="1"/>
  <c r="G2191" i="1" s="1"/>
  <c r="A2190" i="1"/>
  <c r="N2190" i="1" l="1" a="1"/>
  <c r="N2190" i="1" s="1"/>
  <c r="M2190" i="1" a="1"/>
  <c r="M2190" i="1" s="1"/>
  <c r="J2190" i="1" a="1"/>
  <c r="J2190" i="1" s="1"/>
  <c r="L2190" i="1"/>
  <c r="K2190" i="1" a="1"/>
  <c r="K2190" i="1" s="1"/>
  <c r="I2190" i="1"/>
  <c r="H2190" i="1" a="1"/>
  <c r="H2190" i="1" s="1"/>
  <c r="G2190" i="1" a="1"/>
  <c r="G2190" i="1" s="1"/>
  <c r="A2188" i="1" l="1"/>
  <c r="A2189" i="1"/>
  <c r="A2187" i="1"/>
  <c r="A2186" i="1"/>
  <c r="N2186" i="1" l="1" a="1"/>
  <c r="N2186" i="1" s="1"/>
  <c r="M2186" i="1" a="1"/>
  <c r="M2186" i="1" s="1"/>
  <c r="N2187" i="1" a="1"/>
  <c r="N2187" i="1" s="1"/>
  <c r="M2187" i="1" a="1"/>
  <c r="M2187" i="1" s="1"/>
  <c r="N2189" i="1" a="1"/>
  <c r="N2189" i="1" s="1"/>
  <c r="M2189" i="1" a="1"/>
  <c r="M2189" i="1" s="1"/>
  <c r="N2188" i="1" a="1"/>
  <c r="N2188" i="1" s="1"/>
  <c r="M2188" i="1" a="1"/>
  <c r="M2188" i="1" s="1"/>
  <c r="J2186" i="1" a="1"/>
  <c r="J2186" i="1" s="1"/>
  <c r="L2186" i="1"/>
  <c r="K2186" i="1" a="1"/>
  <c r="K2186" i="1" s="1"/>
  <c r="J2187" i="1" a="1"/>
  <c r="J2187" i="1" s="1"/>
  <c r="L2187" i="1"/>
  <c r="K2187" i="1" a="1"/>
  <c r="K2187" i="1" s="1"/>
  <c r="J2189" i="1" a="1"/>
  <c r="J2189" i="1" s="1"/>
  <c r="L2189" i="1"/>
  <c r="K2189" i="1" a="1"/>
  <c r="K2189" i="1" s="1"/>
  <c r="J2188" i="1" a="1"/>
  <c r="J2188" i="1" s="1"/>
  <c r="L2188" i="1"/>
  <c r="K2188" i="1" a="1"/>
  <c r="K2188" i="1" s="1"/>
  <c r="I2186" i="1"/>
  <c r="H2186" i="1" a="1"/>
  <c r="H2186" i="1" s="1"/>
  <c r="G2186" i="1" a="1"/>
  <c r="G2186" i="1" s="1"/>
  <c r="I2189" i="1"/>
  <c r="H2189" i="1" a="1"/>
  <c r="H2189" i="1" s="1"/>
  <c r="G2189" i="1" a="1"/>
  <c r="G2189" i="1" s="1"/>
  <c r="I2187" i="1"/>
  <c r="H2187" i="1" a="1"/>
  <c r="H2187" i="1" s="1"/>
  <c r="G2187" i="1" a="1"/>
  <c r="G2187" i="1" s="1"/>
  <c r="I2188" i="1"/>
  <c r="H2188" i="1" a="1"/>
  <c r="H2188" i="1" s="1"/>
  <c r="G2188" i="1" a="1"/>
  <c r="G2188" i="1" s="1"/>
  <c r="A2185" i="1" l="1"/>
  <c r="A2184" i="1"/>
  <c r="N2184" i="1" l="1" a="1"/>
  <c r="N2184" i="1" s="1"/>
  <c r="M2184" i="1" a="1"/>
  <c r="M2184" i="1" s="1"/>
  <c r="N2185" i="1" a="1"/>
  <c r="N2185" i="1" s="1"/>
  <c r="M2185" i="1" a="1"/>
  <c r="M2185" i="1" s="1"/>
  <c r="J2184" i="1" a="1"/>
  <c r="J2184" i="1" s="1"/>
  <c r="L2184" i="1"/>
  <c r="K2184" i="1" a="1"/>
  <c r="K2184" i="1" s="1"/>
  <c r="J2185" i="1" a="1"/>
  <c r="J2185" i="1" s="1"/>
  <c r="L2185" i="1"/>
  <c r="K2185" i="1" a="1"/>
  <c r="K2185" i="1" s="1"/>
  <c r="I2185" i="1"/>
  <c r="H2185" i="1" a="1"/>
  <c r="H2185" i="1" s="1"/>
  <c r="G2185" i="1" a="1"/>
  <c r="G2185" i="1" s="1"/>
  <c r="I2184" i="1"/>
  <c r="H2184" i="1" a="1"/>
  <c r="H2184" i="1" s="1"/>
  <c r="G2184" i="1" a="1"/>
  <c r="G2184" i="1" s="1"/>
  <c r="A2183" i="1" l="1"/>
  <c r="N2183" i="1" l="1" a="1"/>
  <c r="N2183" i="1" s="1"/>
  <c r="M2183" i="1" a="1"/>
  <c r="M2183" i="1" s="1"/>
  <c r="J2183" i="1" a="1"/>
  <c r="J2183" i="1" s="1"/>
  <c r="L2183" i="1"/>
  <c r="K2183" i="1" a="1"/>
  <c r="K2183" i="1" s="1"/>
  <c r="I2183" i="1"/>
  <c r="H2183" i="1" a="1"/>
  <c r="H2183" i="1" s="1"/>
  <c r="G2183" i="1" a="1"/>
  <c r="G2183" i="1" s="1"/>
  <c r="A2182" i="1" l="1"/>
  <c r="N2182" i="1" l="1" a="1"/>
  <c r="N2182" i="1" s="1"/>
  <c r="M2182" i="1" a="1"/>
  <c r="M2182" i="1" s="1"/>
  <c r="J2182" i="1" a="1"/>
  <c r="J2182" i="1" s="1"/>
  <c r="L2182" i="1"/>
  <c r="K2182" i="1" a="1"/>
  <c r="K2182" i="1" s="1"/>
  <c r="I2182" i="1"/>
  <c r="H2182" i="1" a="1"/>
  <c r="H2182" i="1" s="1"/>
  <c r="G2182" i="1" a="1"/>
  <c r="G2182" i="1" s="1"/>
  <c r="A2181" i="1" l="1"/>
  <c r="N2181" i="1" l="1" a="1"/>
  <c r="N2181" i="1" s="1"/>
  <c r="M2181" i="1" a="1"/>
  <c r="M2181" i="1" s="1"/>
  <c r="J2181" i="1" a="1"/>
  <c r="J2181" i="1" s="1"/>
  <c r="L2181" i="1"/>
  <c r="K2181" i="1" a="1"/>
  <c r="K2181" i="1" s="1"/>
  <c r="I2181" i="1"/>
  <c r="H2181" i="1" a="1"/>
  <c r="H2181" i="1" s="1"/>
  <c r="G2181" i="1" a="1"/>
  <c r="G2181" i="1" s="1"/>
  <c r="A2180" i="1" l="1"/>
  <c r="N2180" i="1" l="1" a="1"/>
  <c r="N2180" i="1" s="1"/>
  <c r="M2180" i="1" a="1"/>
  <c r="M2180" i="1" s="1"/>
  <c r="J2180" i="1" a="1"/>
  <c r="J2180" i="1" s="1"/>
  <c r="L2180" i="1"/>
  <c r="K2180" i="1" a="1"/>
  <c r="K2180" i="1" s="1"/>
  <c r="I2180" i="1"/>
  <c r="H2180" i="1" a="1"/>
  <c r="H2180" i="1" s="1"/>
  <c r="G2180" i="1" a="1"/>
  <c r="G2180" i="1" s="1"/>
  <c r="A2179" i="1" l="1"/>
  <c r="N2179" i="1" l="1" a="1"/>
  <c r="N2179" i="1" s="1"/>
  <c r="M2179" i="1" a="1"/>
  <c r="M2179" i="1" s="1"/>
  <c r="J2179" i="1" a="1"/>
  <c r="J2179" i="1" s="1"/>
  <c r="L2179" i="1"/>
  <c r="K2179" i="1" a="1"/>
  <c r="K2179" i="1" s="1"/>
  <c r="I2179" i="1"/>
  <c r="H2179" i="1" a="1"/>
  <c r="H2179" i="1" s="1"/>
  <c r="G2179" i="1" a="1"/>
  <c r="G2179" i="1" s="1"/>
  <c r="A2178" i="1" l="1"/>
  <c r="N2178" i="1" l="1" a="1"/>
  <c r="N2178" i="1" s="1"/>
  <c r="M2178" i="1" a="1"/>
  <c r="M2178" i="1" s="1"/>
  <c r="J2178" i="1" a="1"/>
  <c r="J2178" i="1" s="1"/>
  <c r="L2178" i="1"/>
  <c r="K2178" i="1" a="1"/>
  <c r="K2178" i="1" s="1"/>
  <c r="I2178" i="1"/>
  <c r="H2178" i="1" a="1"/>
  <c r="H2178" i="1" s="1"/>
  <c r="G2178" i="1" a="1"/>
  <c r="G2178" i="1" s="1"/>
  <c r="A2177" i="1" l="1"/>
  <c r="N2177" i="1" l="1" a="1"/>
  <c r="N2177" i="1" s="1"/>
  <c r="M2177" i="1" a="1"/>
  <c r="M2177" i="1" s="1"/>
  <c r="J2177" i="1" a="1"/>
  <c r="J2177" i="1" s="1"/>
  <c r="L2177" i="1"/>
  <c r="K2177" i="1" a="1"/>
  <c r="K2177" i="1" s="1"/>
  <c r="I2177" i="1"/>
  <c r="H2177" i="1" a="1"/>
  <c r="H2177" i="1" s="1"/>
  <c r="G2177" i="1" a="1"/>
  <c r="G2177" i="1" s="1"/>
  <c r="A2176" i="1" l="1"/>
  <c r="A2174" i="1"/>
  <c r="A2175" i="1"/>
  <c r="N2175" i="1" l="1" a="1"/>
  <c r="N2175" i="1" s="1"/>
  <c r="M2175" i="1" a="1"/>
  <c r="M2175" i="1" s="1"/>
  <c r="N2174" i="1" a="1"/>
  <c r="N2174" i="1" s="1"/>
  <c r="M2174" i="1" a="1"/>
  <c r="M2174" i="1" s="1"/>
  <c r="N2176" i="1" a="1"/>
  <c r="N2176" i="1" s="1"/>
  <c r="M2176" i="1" a="1"/>
  <c r="M2176" i="1" s="1"/>
  <c r="J2175" i="1" a="1"/>
  <c r="J2175" i="1" s="1"/>
  <c r="L2175" i="1"/>
  <c r="K2175" i="1" a="1"/>
  <c r="K2175" i="1" s="1"/>
  <c r="J2174" i="1" a="1"/>
  <c r="J2174" i="1" s="1"/>
  <c r="L2174" i="1"/>
  <c r="K2174" i="1" a="1"/>
  <c r="K2174" i="1" s="1"/>
  <c r="J2176" i="1" a="1"/>
  <c r="J2176" i="1" s="1"/>
  <c r="L2176" i="1"/>
  <c r="K2176" i="1" a="1"/>
  <c r="K2176" i="1" s="1"/>
  <c r="I2174" i="1"/>
  <c r="H2174" i="1" a="1"/>
  <c r="H2174" i="1" s="1"/>
  <c r="G2174" i="1" a="1"/>
  <c r="G2174" i="1" s="1"/>
  <c r="I2176" i="1"/>
  <c r="H2176" i="1" a="1"/>
  <c r="H2176" i="1" s="1"/>
  <c r="G2176" i="1" a="1"/>
  <c r="G2176" i="1" s="1"/>
  <c r="I2175" i="1"/>
  <c r="H2175" i="1" a="1"/>
  <c r="H2175" i="1" s="1"/>
  <c r="G2175" i="1" a="1"/>
  <c r="G2175" i="1" s="1"/>
  <c r="A2173" i="1" l="1"/>
  <c r="N2173" i="1" l="1" a="1"/>
  <c r="N2173" i="1" s="1"/>
  <c r="M2173" i="1" a="1"/>
  <c r="M2173" i="1" s="1"/>
  <c r="J2173" i="1" a="1"/>
  <c r="J2173" i="1" s="1"/>
  <c r="L2173" i="1"/>
  <c r="K2173" i="1" a="1"/>
  <c r="K2173" i="1" s="1"/>
  <c r="I2173" i="1"/>
  <c r="H2173" i="1" a="1"/>
  <c r="H2173" i="1" s="1"/>
  <c r="G2173" i="1" a="1"/>
  <c r="G2173" i="1" s="1"/>
  <c r="A2172" i="1" l="1"/>
  <c r="N2172" i="1" l="1" a="1"/>
  <c r="N2172" i="1" s="1"/>
  <c r="M2172" i="1" a="1"/>
  <c r="M2172" i="1" s="1"/>
  <c r="J2172" i="1" a="1"/>
  <c r="J2172" i="1" s="1"/>
  <c r="L2172" i="1"/>
  <c r="K2172" i="1" a="1"/>
  <c r="K2172" i="1" s="1"/>
  <c r="I2172" i="1"/>
  <c r="H2172" i="1" a="1"/>
  <c r="H2172" i="1" s="1"/>
  <c r="G2172" i="1" a="1"/>
  <c r="G2172" i="1" s="1"/>
  <c r="A2171" i="1" l="1"/>
  <c r="N2171" i="1" l="1" a="1"/>
  <c r="N2171" i="1" s="1"/>
  <c r="M2171" i="1" a="1"/>
  <c r="M2171" i="1" s="1"/>
  <c r="J2171" i="1" a="1"/>
  <c r="J2171" i="1" s="1"/>
  <c r="L2171" i="1"/>
  <c r="K2171" i="1" a="1"/>
  <c r="K2171" i="1" s="1"/>
  <c r="I2171" i="1"/>
  <c r="H2171" i="1" a="1"/>
  <c r="H2171" i="1" s="1"/>
  <c r="G2171" i="1" a="1"/>
  <c r="G2171" i="1" s="1"/>
  <c r="A2170" i="1" l="1"/>
  <c r="N2170" i="1" l="1" a="1"/>
  <c r="N2170" i="1" s="1"/>
  <c r="M2170" i="1" a="1"/>
  <c r="M2170" i="1" s="1"/>
  <c r="J2170" i="1" a="1"/>
  <c r="J2170" i="1" s="1"/>
  <c r="L2170" i="1"/>
  <c r="K2170" i="1" a="1"/>
  <c r="K2170" i="1" s="1"/>
  <c r="I2170" i="1"/>
  <c r="H2170" i="1" a="1"/>
  <c r="H2170" i="1" s="1"/>
  <c r="G2170" i="1" a="1"/>
  <c r="G2170" i="1" s="1"/>
  <c r="A2169" i="1" l="1"/>
  <c r="N2169" i="1" l="1" a="1"/>
  <c r="N2169" i="1" s="1"/>
  <c r="M2169" i="1" a="1"/>
  <c r="M2169" i="1" s="1"/>
  <c r="J2169" i="1" a="1"/>
  <c r="J2169" i="1" s="1"/>
  <c r="L2169" i="1"/>
  <c r="K2169" i="1" a="1"/>
  <c r="K2169" i="1" s="1"/>
  <c r="I2169" i="1"/>
  <c r="H2169" i="1" a="1"/>
  <c r="H2169" i="1" s="1"/>
  <c r="G2169" i="1" a="1"/>
  <c r="G2169" i="1" s="1"/>
  <c r="A2168" i="1" l="1"/>
  <c r="N2168" i="1" l="1" a="1"/>
  <c r="N2168" i="1" s="1"/>
  <c r="M2168" i="1" a="1"/>
  <c r="M2168" i="1" s="1"/>
  <c r="J2168" i="1" a="1"/>
  <c r="J2168" i="1" s="1"/>
  <c r="L2168" i="1"/>
  <c r="K2168" i="1" a="1"/>
  <c r="K2168" i="1" s="1"/>
  <c r="I2168" i="1"/>
  <c r="H2168" i="1" a="1"/>
  <c r="H2168" i="1" s="1"/>
  <c r="G2168" i="1" a="1"/>
  <c r="G2168" i="1" s="1"/>
  <c r="A2167" i="1" l="1"/>
  <c r="N2167" i="1" l="1" a="1"/>
  <c r="N2167" i="1" s="1"/>
  <c r="M2167" i="1" a="1"/>
  <c r="M2167" i="1" s="1"/>
  <c r="J2167" i="1" a="1"/>
  <c r="J2167" i="1" s="1"/>
  <c r="L2167" i="1"/>
  <c r="K2167" i="1" a="1"/>
  <c r="K2167" i="1" s="1"/>
  <c r="I2167" i="1"/>
  <c r="H2167" i="1" a="1"/>
  <c r="H2167" i="1" s="1"/>
  <c r="G2167" i="1" a="1"/>
  <c r="G2167" i="1" s="1"/>
  <c r="A2166" i="1" l="1"/>
  <c r="N2166" i="1" l="1" a="1"/>
  <c r="N2166" i="1" s="1"/>
  <c r="M2166" i="1" a="1"/>
  <c r="M2166" i="1" s="1"/>
  <c r="J2166" i="1" a="1"/>
  <c r="J2166" i="1" s="1"/>
  <c r="L2166" i="1"/>
  <c r="K2166" i="1" a="1"/>
  <c r="K2166" i="1" s="1"/>
  <c r="I2166" i="1"/>
  <c r="H2166" i="1" a="1"/>
  <c r="H2166" i="1" s="1"/>
  <c r="G2166" i="1" a="1"/>
  <c r="G2166" i="1" s="1"/>
  <c r="A2165" i="1" l="1"/>
  <c r="A2164" i="1"/>
  <c r="A2163" i="1"/>
  <c r="N2164" i="1" l="1" a="1"/>
  <c r="N2164" i="1" s="1"/>
  <c r="M2164" i="1" a="1"/>
  <c r="M2164" i="1" s="1"/>
  <c r="N2165" i="1" a="1"/>
  <c r="N2165" i="1" s="1"/>
  <c r="M2165" i="1" a="1"/>
  <c r="M2165" i="1" s="1"/>
  <c r="N2163" i="1" a="1"/>
  <c r="N2163" i="1" s="1"/>
  <c r="M2163" i="1" a="1"/>
  <c r="M2163" i="1" s="1"/>
  <c r="J2163" i="1" a="1"/>
  <c r="J2163" i="1" s="1"/>
  <c r="L2163" i="1"/>
  <c r="K2163" i="1" a="1"/>
  <c r="K2163" i="1" s="1"/>
  <c r="J2164" i="1" a="1"/>
  <c r="J2164" i="1" s="1"/>
  <c r="L2164" i="1"/>
  <c r="K2164" i="1" a="1"/>
  <c r="K2164" i="1" s="1"/>
  <c r="J2165" i="1" a="1"/>
  <c r="J2165" i="1" s="1"/>
  <c r="L2165" i="1"/>
  <c r="K2165" i="1" a="1"/>
  <c r="K2165" i="1" s="1"/>
  <c r="I2165" i="1"/>
  <c r="H2165" i="1" a="1"/>
  <c r="H2165" i="1" s="1"/>
  <c r="G2165" i="1" a="1"/>
  <c r="G2165" i="1" s="1"/>
  <c r="I2163" i="1"/>
  <c r="H2163" i="1" a="1"/>
  <c r="H2163" i="1" s="1"/>
  <c r="G2163" i="1" a="1"/>
  <c r="G2163" i="1" s="1"/>
  <c r="I2164" i="1"/>
  <c r="H2164" i="1" a="1"/>
  <c r="H2164" i="1" s="1"/>
  <c r="G2164" i="1" a="1"/>
  <c r="G2164" i="1" s="1"/>
  <c r="A2162" i="1"/>
  <c r="N2162" i="1" l="1" a="1"/>
  <c r="N2162" i="1" s="1"/>
  <c r="M2162" i="1" a="1"/>
  <c r="M2162" i="1" s="1"/>
  <c r="J2162" i="1" a="1"/>
  <c r="J2162" i="1" s="1"/>
  <c r="L2162" i="1"/>
  <c r="K2162" i="1" a="1"/>
  <c r="K2162" i="1" s="1"/>
  <c r="I2162" i="1"/>
  <c r="H2162" i="1" a="1"/>
  <c r="H2162" i="1" s="1"/>
  <c r="G2162" i="1" a="1"/>
  <c r="G2162" i="1" s="1"/>
  <c r="A2161" i="1" l="1"/>
  <c r="N2161" i="1" l="1" a="1"/>
  <c r="N2161" i="1" s="1"/>
  <c r="M2161" i="1" a="1"/>
  <c r="M2161" i="1" s="1"/>
  <c r="J2161" i="1" a="1"/>
  <c r="J2161" i="1" s="1"/>
  <c r="L2161" i="1"/>
  <c r="K2161" i="1" a="1"/>
  <c r="K2161" i="1" s="1"/>
  <c r="I2161" i="1"/>
  <c r="H2161" i="1" a="1"/>
  <c r="H2161" i="1" s="1"/>
  <c r="G2161" i="1" a="1"/>
  <c r="G2161" i="1" s="1"/>
  <c r="A2160" i="1" l="1"/>
  <c r="N2160" i="1" l="1" a="1"/>
  <c r="N2160" i="1" s="1"/>
  <c r="M2160" i="1" a="1"/>
  <c r="M2160" i="1" s="1"/>
  <c r="J2160" i="1" a="1"/>
  <c r="J2160" i="1" s="1"/>
  <c r="L2160" i="1"/>
  <c r="K2160" i="1" a="1"/>
  <c r="K2160" i="1" s="1"/>
  <c r="I2160" i="1"/>
  <c r="H2160" i="1" a="1"/>
  <c r="H2160" i="1" s="1"/>
  <c r="G2160" i="1" a="1"/>
  <c r="G2160" i="1" s="1"/>
  <c r="A2159" i="1"/>
  <c r="N2159" i="1" l="1" a="1"/>
  <c r="N2159" i="1" s="1"/>
  <c r="M2159" i="1" a="1"/>
  <c r="M2159" i="1" s="1"/>
  <c r="J2159" i="1" a="1"/>
  <c r="J2159" i="1" s="1"/>
  <c r="L2159" i="1"/>
  <c r="K2159" i="1" a="1"/>
  <c r="K2159" i="1" s="1"/>
  <c r="I2159" i="1"/>
  <c r="H2159" i="1" a="1"/>
  <c r="H2159" i="1" s="1"/>
  <c r="G2159" i="1" a="1"/>
  <c r="G2159" i="1" s="1"/>
  <c r="A2158" i="1"/>
  <c r="N2158" i="1" l="1" a="1"/>
  <c r="N2158" i="1" s="1"/>
  <c r="M2158" i="1" a="1"/>
  <c r="M2158" i="1" s="1"/>
  <c r="J2158" i="1" a="1"/>
  <c r="J2158" i="1" s="1"/>
  <c r="L2158" i="1"/>
  <c r="K2158" i="1" a="1"/>
  <c r="K2158" i="1" s="1"/>
  <c r="I2158" i="1"/>
  <c r="H2158" i="1" a="1"/>
  <c r="H2158" i="1" s="1"/>
  <c r="G2158" i="1" a="1"/>
  <c r="G2158" i="1" s="1"/>
  <c r="A2157" i="1"/>
  <c r="N2157" i="1" l="1" a="1"/>
  <c r="N2157" i="1" s="1"/>
  <c r="M2157" i="1" a="1"/>
  <c r="M2157" i="1" s="1"/>
  <c r="J2157" i="1" a="1"/>
  <c r="J2157" i="1" s="1"/>
  <c r="L2157" i="1"/>
  <c r="K2157" i="1" a="1"/>
  <c r="K2157" i="1" s="1"/>
  <c r="I2157" i="1"/>
  <c r="H2157" i="1" a="1"/>
  <c r="H2157" i="1" s="1"/>
  <c r="G2157" i="1" a="1"/>
  <c r="G2157" i="1" s="1"/>
  <c r="A2156" i="1" l="1"/>
  <c r="N2156" i="1" l="1" a="1"/>
  <c r="N2156" i="1" s="1"/>
  <c r="M2156" i="1" a="1"/>
  <c r="M2156" i="1" s="1"/>
  <c r="J2156" i="1" a="1"/>
  <c r="J2156" i="1" s="1"/>
  <c r="L2156" i="1"/>
  <c r="K2156" i="1" a="1"/>
  <c r="K2156" i="1" s="1"/>
  <c r="I2156" i="1"/>
  <c r="H2156" i="1" a="1"/>
  <c r="H2156" i="1" s="1"/>
  <c r="G2156" i="1" a="1"/>
  <c r="G2156" i="1" s="1"/>
  <c r="A2155" i="1" l="1"/>
  <c r="N2155" i="1" l="1" a="1"/>
  <c r="N2155" i="1" s="1"/>
  <c r="M2155" i="1" a="1"/>
  <c r="M2155" i="1" s="1"/>
  <c r="J2155" i="1" a="1"/>
  <c r="J2155" i="1" s="1"/>
  <c r="L2155" i="1"/>
  <c r="K2155" i="1" a="1"/>
  <c r="K2155" i="1" s="1"/>
  <c r="I2155" i="1"/>
  <c r="H2155" i="1" a="1"/>
  <c r="H2155" i="1" s="1"/>
  <c r="G2155" i="1" a="1"/>
  <c r="G2155" i="1" s="1"/>
  <c r="A2154" i="1" l="1"/>
  <c r="N2154" i="1" l="1" a="1"/>
  <c r="N2154" i="1" s="1"/>
  <c r="M2154" i="1" a="1"/>
  <c r="M2154" i="1" s="1"/>
  <c r="J2154" i="1" a="1"/>
  <c r="J2154" i="1" s="1"/>
  <c r="L2154" i="1"/>
  <c r="K2154" i="1" a="1"/>
  <c r="K2154" i="1" s="1"/>
  <c r="I2154" i="1"/>
  <c r="H2154" i="1" a="1"/>
  <c r="H2154" i="1" s="1"/>
  <c r="G2154" i="1" a="1"/>
  <c r="G2154" i="1" s="1"/>
  <c r="A2153" i="1" l="1"/>
  <c r="N2153" i="1" l="1" a="1"/>
  <c r="N2153" i="1" s="1"/>
  <c r="M2153" i="1" a="1"/>
  <c r="M2153" i="1" s="1"/>
  <c r="J2153" i="1" a="1"/>
  <c r="J2153" i="1" s="1"/>
  <c r="L2153" i="1"/>
  <c r="K2153" i="1" a="1"/>
  <c r="K2153" i="1" s="1"/>
  <c r="I2153" i="1"/>
  <c r="H2153" i="1" a="1"/>
  <c r="H2153" i="1" s="1"/>
  <c r="G2153" i="1" a="1"/>
  <c r="G2153" i="1" s="1"/>
  <c r="A2152" i="1"/>
  <c r="N2152" i="1" l="1" a="1"/>
  <c r="N2152" i="1" s="1"/>
  <c r="M2152" i="1" a="1"/>
  <c r="M2152" i="1" s="1"/>
  <c r="J2152" i="1" a="1"/>
  <c r="J2152" i="1" s="1"/>
  <c r="L2152" i="1"/>
  <c r="K2152" i="1" a="1"/>
  <c r="K2152" i="1" s="1"/>
  <c r="I2152" i="1"/>
  <c r="H2152" i="1" a="1"/>
  <c r="H2152" i="1" s="1"/>
  <c r="G2152" i="1" a="1"/>
  <c r="G2152" i="1" s="1"/>
  <c r="A2151" i="1" l="1"/>
  <c r="N2151" i="1" l="1" a="1"/>
  <c r="N2151" i="1" s="1"/>
  <c r="M2151" i="1" a="1"/>
  <c r="M2151" i="1" s="1"/>
  <c r="J2151" i="1" a="1"/>
  <c r="J2151" i="1" s="1"/>
  <c r="L2151" i="1"/>
  <c r="K2151" i="1" a="1"/>
  <c r="K2151" i="1" s="1"/>
  <c r="I2151" i="1"/>
  <c r="H2151" i="1" a="1"/>
  <c r="H2151" i="1" s="1"/>
  <c r="G2151" i="1" a="1"/>
  <c r="G2151" i="1" s="1"/>
  <c r="A2150" i="1" l="1"/>
  <c r="N2150" i="1" l="1" a="1"/>
  <c r="N2150" i="1" s="1"/>
  <c r="M2150" i="1" a="1"/>
  <c r="M2150" i="1" s="1"/>
  <c r="J2150" i="1" a="1"/>
  <c r="J2150" i="1" s="1"/>
  <c r="L2150" i="1"/>
  <c r="K2150" i="1" a="1"/>
  <c r="K2150" i="1" s="1"/>
  <c r="I2150" i="1"/>
  <c r="H2150" i="1" a="1"/>
  <c r="H2150" i="1" s="1"/>
  <c r="G2150" i="1" a="1"/>
  <c r="G2150" i="1" s="1"/>
  <c r="A2149" i="1" l="1"/>
  <c r="N2149" i="1" l="1" a="1"/>
  <c r="N2149" i="1" s="1"/>
  <c r="M2149" i="1" a="1"/>
  <c r="M2149" i="1" s="1"/>
  <c r="J2149" i="1" a="1"/>
  <c r="J2149" i="1" s="1"/>
  <c r="L2149" i="1"/>
  <c r="K2149" i="1" a="1"/>
  <c r="K2149" i="1" s="1"/>
  <c r="I2149" i="1"/>
  <c r="H2149" i="1" a="1"/>
  <c r="H2149" i="1" s="1"/>
  <c r="G2149" i="1" a="1"/>
  <c r="G2149" i="1" s="1"/>
  <c r="A2148" i="1" l="1"/>
  <c r="N2148" i="1" l="1" a="1"/>
  <c r="N2148" i="1" s="1"/>
  <c r="M2148" i="1" a="1"/>
  <c r="M2148" i="1" s="1"/>
  <c r="J2148" i="1" a="1"/>
  <c r="J2148" i="1" s="1"/>
  <c r="L2148" i="1"/>
  <c r="K2148" i="1" a="1"/>
  <c r="K2148" i="1" s="1"/>
  <c r="I2148" i="1"/>
  <c r="H2148" i="1" a="1"/>
  <c r="H2148" i="1" s="1"/>
  <c r="G2148" i="1" a="1"/>
  <c r="G2148" i="1" s="1"/>
  <c r="A2147" i="1" l="1"/>
  <c r="N2147" i="1" l="1" a="1"/>
  <c r="N2147" i="1" s="1"/>
  <c r="M2147" i="1" a="1"/>
  <c r="M2147" i="1" s="1"/>
  <c r="J2147" i="1" a="1"/>
  <c r="J2147" i="1" s="1"/>
  <c r="L2147" i="1"/>
  <c r="K2147" i="1" a="1"/>
  <c r="K2147" i="1" s="1"/>
  <c r="I2147" i="1"/>
  <c r="H2147" i="1" a="1"/>
  <c r="H2147" i="1" s="1"/>
  <c r="G2147" i="1" a="1"/>
  <c r="G2147" i="1" s="1"/>
  <c r="A2146" i="1"/>
  <c r="N2146" i="1" l="1" a="1"/>
  <c r="N2146" i="1" s="1"/>
  <c r="M2146" i="1" a="1"/>
  <c r="M2146" i="1" s="1"/>
  <c r="J2146" i="1" a="1"/>
  <c r="J2146" i="1" s="1"/>
  <c r="L2146" i="1"/>
  <c r="K2146" i="1" a="1"/>
  <c r="K2146" i="1" s="1"/>
  <c r="I2146" i="1"/>
  <c r="H2146" i="1" a="1"/>
  <c r="H2146" i="1" s="1"/>
  <c r="G2146" i="1" a="1"/>
  <c r="G2146" i="1" s="1"/>
  <c r="A2145" i="1" l="1"/>
  <c r="N2145" i="1" l="1" a="1"/>
  <c r="N2145" i="1" s="1"/>
  <c r="M2145" i="1" a="1"/>
  <c r="M2145" i="1" s="1"/>
  <c r="J2145" i="1" a="1"/>
  <c r="J2145" i="1" s="1"/>
  <c r="L2145" i="1"/>
  <c r="K2145" i="1" a="1"/>
  <c r="K2145" i="1" s="1"/>
  <c r="I2145" i="1"/>
  <c r="H2145" i="1" a="1"/>
  <c r="H2145" i="1" s="1"/>
  <c r="G2145" i="1" a="1"/>
  <c r="G2145" i="1" s="1"/>
  <c r="A2144" i="1" l="1"/>
  <c r="N2144" i="1" l="1" a="1"/>
  <c r="N2144" i="1" s="1"/>
  <c r="M2144" i="1" a="1"/>
  <c r="M2144" i="1" s="1"/>
  <c r="J2144" i="1" a="1"/>
  <c r="J2144" i="1" s="1"/>
  <c r="L2144" i="1"/>
  <c r="K2144" i="1" a="1"/>
  <c r="K2144" i="1" s="1"/>
  <c r="I2144" i="1"/>
  <c r="H2144" i="1" a="1"/>
  <c r="H2144" i="1" s="1"/>
  <c r="G2144" i="1" a="1"/>
  <c r="G2144" i="1" s="1"/>
  <c r="A2143" i="1" l="1"/>
  <c r="N2143" i="1" l="1" a="1"/>
  <c r="N2143" i="1" s="1"/>
  <c r="M2143" i="1" a="1"/>
  <c r="M2143" i="1" s="1"/>
  <c r="J2143" i="1" a="1"/>
  <c r="J2143" i="1" s="1"/>
  <c r="L2143" i="1"/>
  <c r="K2143" i="1" a="1"/>
  <c r="K2143" i="1" s="1"/>
  <c r="I2143" i="1"/>
  <c r="H2143" i="1" a="1"/>
  <c r="H2143" i="1" s="1"/>
  <c r="G2143" i="1" a="1"/>
  <c r="G2143" i="1" s="1"/>
  <c r="A2142" i="1" l="1"/>
  <c r="N2142" i="1" l="1" a="1"/>
  <c r="N2142" i="1" s="1"/>
  <c r="M2142" i="1" a="1"/>
  <c r="M2142" i="1" s="1"/>
  <c r="J2142" i="1" a="1"/>
  <c r="J2142" i="1" s="1"/>
  <c r="L2142" i="1"/>
  <c r="K2142" i="1" a="1"/>
  <c r="K2142" i="1" s="1"/>
  <c r="I2142" i="1"/>
  <c r="H2142" i="1" a="1"/>
  <c r="H2142" i="1" s="1"/>
  <c r="G2142" i="1" a="1"/>
  <c r="G2142" i="1" s="1"/>
  <c r="A2141" i="1" l="1"/>
  <c r="N2141" i="1" l="1" a="1"/>
  <c r="N2141" i="1" s="1"/>
  <c r="M2141" i="1" a="1"/>
  <c r="M2141" i="1" s="1"/>
  <c r="J2141" i="1" a="1"/>
  <c r="J2141" i="1" s="1"/>
  <c r="L2141" i="1"/>
  <c r="K2141" i="1" a="1"/>
  <c r="K2141" i="1" s="1"/>
  <c r="I2141" i="1"/>
  <c r="H2141" i="1" a="1"/>
  <c r="H2141" i="1" s="1"/>
  <c r="G2141" i="1" a="1"/>
  <c r="G2141" i="1" s="1"/>
  <c r="A2140" i="1" l="1"/>
  <c r="N2140" i="1" l="1" a="1"/>
  <c r="N2140" i="1" s="1"/>
  <c r="M2140" i="1" a="1"/>
  <c r="M2140" i="1" s="1"/>
  <c r="J2140" i="1" a="1"/>
  <c r="J2140" i="1" s="1"/>
  <c r="L2140" i="1"/>
  <c r="K2140" i="1" a="1"/>
  <c r="K2140" i="1" s="1"/>
  <c r="I2140" i="1"/>
  <c r="H2140" i="1" a="1"/>
  <c r="H2140" i="1" s="1"/>
  <c r="G2140" i="1" a="1"/>
  <c r="G2140" i="1" s="1"/>
  <c r="A2139" i="1" l="1"/>
  <c r="N2139" i="1" l="1" a="1"/>
  <c r="N2139" i="1" s="1"/>
  <c r="M2139" i="1" a="1"/>
  <c r="M2139" i="1" s="1"/>
  <c r="J2139" i="1" a="1"/>
  <c r="J2139" i="1" s="1"/>
  <c r="L2139" i="1"/>
  <c r="K2139" i="1" a="1"/>
  <c r="K2139" i="1" s="1"/>
  <c r="I2139" i="1"/>
  <c r="H2139" i="1" a="1"/>
  <c r="H2139" i="1" s="1"/>
  <c r="G2139" i="1" a="1"/>
  <c r="G2139" i="1" s="1"/>
  <c r="A2138" i="1" l="1"/>
  <c r="A2137" i="1"/>
  <c r="N2137" i="1" l="1" a="1"/>
  <c r="N2137" i="1" s="1"/>
  <c r="M2137" i="1" a="1"/>
  <c r="M2137" i="1" s="1"/>
  <c r="N2138" i="1" a="1"/>
  <c r="N2138" i="1" s="1"/>
  <c r="M2138" i="1" a="1"/>
  <c r="M2138" i="1" s="1"/>
  <c r="J2137" i="1" a="1"/>
  <c r="J2137" i="1" s="1"/>
  <c r="L2137" i="1"/>
  <c r="K2137" i="1" a="1"/>
  <c r="K2137" i="1" s="1"/>
  <c r="J2138" i="1" a="1"/>
  <c r="J2138" i="1" s="1"/>
  <c r="L2138" i="1"/>
  <c r="K2138" i="1" a="1"/>
  <c r="K2138" i="1" s="1"/>
  <c r="I2138" i="1"/>
  <c r="H2138" i="1" a="1"/>
  <c r="H2138" i="1" s="1"/>
  <c r="G2138" i="1" a="1"/>
  <c r="G2138" i="1" s="1"/>
  <c r="I2137" i="1"/>
  <c r="H2137" i="1" a="1"/>
  <c r="H2137" i="1" s="1"/>
  <c r="G2137" i="1" a="1"/>
  <c r="G2137" i="1" s="1"/>
  <c r="A2136" i="1" l="1"/>
  <c r="N2136" i="1" l="1" a="1"/>
  <c r="N2136" i="1" s="1"/>
  <c r="M2136" i="1" a="1"/>
  <c r="M2136" i="1" s="1"/>
  <c r="J2136" i="1" a="1"/>
  <c r="J2136" i="1" s="1"/>
  <c r="L2136" i="1"/>
  <c r="K2136" i="1" a="1"/>
  <c r="K2136" i="1" s="1"/>
  <c r="I2136" i="1"/>
  <c r="H2136" i="1" a="1"/>
  <c r="H2136" i="1" s="1"/>
  <c r="G2136" i="1" a="1"/>
  <c r="G2136" i="1" s="1"/>
  <c r="A2135" i="1" l="1"/>
  <c r="N2135" i="1" l="1" a="1"/>
  <c r="N2135" i="1" s="1"/>
  <c r="M2135" i="1" a="1"/>
  <c r="M2135" i="1" s="1"/>
  <c r="J2135" i="1" a="1"/>
  <c r="J2135" i="1" s="1"/>
  <c r="L2135" i="1"/>
  <c r="K2135" i="1" a="1"/>
  <c r="K2135" i="1" s="1"/>
  <c r="I2135" i="1"/>
  <c r="H2135" i="1" a="1"/>
  <c r="H2135" i="1" s="1"/>
  <c r="G2135" i="1" a="1"/>
  <c r="G2135" i="1" s="1"/>
  <c r="A2134" i="1" l="1"/>
  <c r="N2134" i="1" l="1" a="1"/>
  <c r="N2134" i="1" s="1"/>
  <c r="M2134" i="1" a="1"/>
  <c r="M2134" i="1" s="1"/>
  <c r="J2134" i="1" a="1"/>
  <c r="J2134" i="1" s="1"/>
  <c r="L2134" i="1"/>
  <c r="K2134" i="1" a="1"/>
  <c r="K2134" i="1" s="1"/>
  <c r="I2134" i="1"/>
  <c r="H2134" i="1" a="1"/>
  <c r="H2134" i="1" s="1"/>
  <c r="G2134" i="1" a="1"/>
  <c r="G2134" i="1" s="1"/>
  <c r="A2133" i="1" l="1"/>
  <c r="N2133" i="1" l="1" a="1"/>
  <c r="N2133" i="1" s="1"/>
  <c r="M2133" i="1" a="1"/>
  <c r="M2133" i="1" s="1"/>
  <c r="J2133" i="1" a="1"/>
  <c r="J2133" i="1" s="1"/>
  <c r="L2133" i="1"/>
  <c r="K2133" i="1" a="1"/>
  <c r="K2133" i="1" s="1"/>
  <c r="I2133" i="1"/>
  <c r="H2133" i="1" a="1"/>
  <c r="H2133" i="1" s="1"/>
  <c r="G2133" i="1" a="1"/>
  <c r="G2133" i="1" s="1"/>
  <c r="A2132" i="1" l="1"/>
  <c r="A2131" i="1"/>
  <c r="N2131" i="1" l="1" a="1"/>
  <c r="N2131" i="1" s="1"/>
  <c r="M2131" i="1" a="1"/>
  <c r="M2131" i="1" s="1"/>
  <c r="N2132" i="1" a="1"/>
  <c r="N2132" i="1" s="1"/>
  <c r="M2132" i="1" a="1"/>
  <c r="M2132" i="1" s="1"/>
  <c r="J2132" i="1" a="1"/>
  <c r="J2132" i="1" s="1"/>
  <c r="L2132" i="1"/>
  <c r="K2132" i="1" a="1"/>
  <c r="K2132" i="1" s="1"/>
  <c r="J2131" i="1" a="1"/>
  <c r="J2131" i="1" s="1"/>
  <c r="L2131" i="1"/>
  <c r="K2131" i="1" a="1"/>
  <c r="K2131" i="1" s="1"/>
  <c r="I2132" i="1"/>
  <c r="H2132" i="1" a="1"/>
  <c r="H2132" i="1" s="1"/>
  <c r="G2132" i="1" a="1"/>
  <c r="G2132" i="1" s="1"/>
  <c r="I2131" i="1"/>
  <c r="H2131" i="1" a="1"/>
  <c r="H2131" i="1" s="1"/>
  <c r="G2131" i="1" a="1"/>
  <c r="G2131" i="1" s="1"/>
  <c r="A2130" i="1" l="1"/>
  <c r="N2130" i="1" l="1" a="1"/>
  <c r="N2130" i="1" s="1"/>
  <c r="M2130" i="1" a="1"/>
  <c r="M2130" i="1" s="1"/>
  <c r="J2130" i="1" a="1"/>
  <c r="J2130" i="1" s="1"/>
  <c r="L2130" i="1"/>
  <c r="K2130" i="1" a="1"/>
  <c r="K2130" i="1" s="1"/>
  <c r="I2130" i="1"/>
  <c r="H2130" i="1" a="1"/>
  <c r="H2130" i="1" s="1"/>
  <c r="G2130" i="1" a="1"/>
  <c r="G2130" i="1" s="1"/>
  <c r="A2129" i="1" l="1"/>
  <c r="N2129" i="1" l="1" a="1"/>
  <c r="N2129" i="1" s="1"/>
  <c r="M2129" i="1" a="1"/>
  <c r="M2129" i="1" s="1"/>
  <c r="J2129" i="1" a="1"/>
  <c r="J2129" i="1" s="1"/>
  <c r="L2129" i="1"/>
  <c r="K2129" i="1" a="1"/>
  <c r="K2129" i="1" s="1"/>
  <c r="I2129" i="1"/>
  <c r="H2129" i="1" a="1"/>
  <c r="H2129" i="1" s="1"/>
  <c r="G2129" i="1" a="1"/>
  <c r="G2129" i="1" s="1"/>
  <c r="A2128" i="1" l="1"/>
  <c r="N2128" i="1" l="1" a="1"/>
  <c r="N2128" i="1" s="1"/>
  <c r="M2128" i="1" a="1"/>
  <c r="M2128" i="1" s="1"/>
  <c r="J2128" i="1" a="1"/>
  <c r="J2128" i="1" s="1"/>
  <c r="L2128" i="1"/>
  <c r="K2128" i="1" a="1"/>
  <c r="K2128" i="1" s="1"/>
  <c r="I2128" i="1"/>
  <c r="H2128" i="1" a="1"/>
  <c r="H2128" i="1" s="1"/>
  <c r="G2128" i="1" a="1"/>
  <c r="G2128" i="1" s="1"/>
  <c r="A2127" i="1" l="1"/>
  <c r="N2127" i="1" l="1" a="1"/>
  <c r="N2127" i="1" s="1"/>
  <c r="M2127" i="1" a="1"/>
  <c r="M2127" i="1" s="1"/>
  <c r="J2127" i="1" a="1"/>
  <c r="J2127" i="1" s="1"/>
  <c r="L2127" i="1"/>
  <c r="K2127" i="1" a="1"/>
  <c r="K2127" i="1" s="1"/>
  <c r="I2127" i="1"/>
  <c r="H2127" i="1" a="1"/>
  <c r="H2127" i="1" s="1"/>
  <c r="G2127" i="1" a="1"/>
  <c r="G2127" i="1" s="1"/>
  <c r="A2126" i="1" l="1"/>
  <c r="N2126" i="1" l="1" a="1"/>
  <c r="N2126" i="1" s="1"/>
  <c r="M2126" i="1" a="1"/>
  <c r="M2126" i="1" s="1"/>
  <c r="J2126" i="1" a="1"/>
  <c r="J2126" i="1" s="1"/>
  <c r="L2126" i="1"/>
  <c r="K2126" i="1" a="1"/>
  <c r="K2126" i="1" s="1"/>
  <c r="I2126" i="1"/>
  <c r="H2126" i="1" a="1"/>
  <c r="H2126" i="1" s="1"/>
  <c r="G2126" i="1" a="1"/>
  <c r="G2126" i="1" s="1"/>
  <c r="A2125" i="1" l="1"/>
  <c r="A2124" i="1"/>
  <c r="N2124" i="1" l="1" a="1"/>
  <c r="N2124" i="1" s="1"/>
  <c r="M2124" i="1" a="1"/>
  <c r="M2124" i="1" s="1"/>
  <c r="N2125" i="1" a="1"/>
  <c r="N2125" i="1" s="1"/>
  <c r="M2125" i="1" a="1"/>
  <c r="M2125" i="1" s="1"/>
  <c r="J2124" i="1" a="1"/>
  <c r="J2124" i="1" s="1"/>
  <c r="L2124" i="1"/>
  <c r="K2124" i="1" a="1"/>
  <c r="K2124" i="1" s="1"/>
  <c r="J2125" i="1" a="1"/>
  <c r="J2125" i="1" s="1"/>
  <c r="L2125" i="1"/>
  <c r="K2125" i="1" a="1"/>
  <c r="K2125" i="1" s="1"/>
  <c r="I2125" i="1"/>
  <c r="H2125" i="1" a="1"/>
  <c r="H2125" i="1" s="1"/>
  <c r="G2125" i="1" a="1"/>
  <c r="G2125" i="1" s="1"/>
  <c r="I2124" i="1"/>
  <c r="H2124" i="1" a="1"/>
  <c r="H2124" i="1" s="1"/>
  <c r="G2124" i="1" a="1"/>
  <c r="G2124" i="1" s="1"/>
  <c r="A2123" i="1" l="1"/>
  <c r="N2123" i="1" l="1" a="1"/>
  <c r="N2123" i="1" s="1"/>
  <c r="M2123" i="1" a="1"/>
  <c r="M2123" i="1" s="1"/>
  <c r="J2123" i="1" a="1"/>
  <c r="J2123" i="1" s="1"/>
  <c r="L2123" i="1"/>
  <c r="K2123" i="1" a="1"/>
  <c r="K2123" i="1" s="1"/>
  <c r="I2123" i="1"/>
  <c r="H2123" i="1" a="1"/>
  <c r="H2123" i="1" s="1"/>
  <c r="G2123" i="1" a="1"/>
  <c r="G2123" i="1" s="1"/>
  <c r="A2122" i="1"/>
  <c r="N2122" i="1" l="1" a="1"/>
  <c r="N2122" i="1" s="1"/>
  <c r="M2122" i="1" a="1"/>
  <c r="M2122" i="1" s="1"/>
  <c r="J2122" i="1" a="1"/>
  <c r="J2122" i="1" s="1"/>
  <c r="L2122" i="1"/>
  <c r="K2122" i="1" a="1"/>
  <c r="K2122" i="1" s="1"/>
  <c r="I2122" i="1"/>
  <c r="H2122" i="1" a="1"/>
  <c r="H2122" i="1" s="1"/>
  <c r="G2122" i="1" a="1"/>
  <c r="G2122" i="1" s="1"/>
  <c r="A2121" i="1" l="1"/>
  <c r="N2121" i="1" l="1" a="1"/>
  <c r="N2121" i="1" s="1"/>
  <c r="M2121" i="1" a="1"/>
  <c r="M2121" i="1" s="1"/>
  <c r="J2121" i="1" a="1"/>
  <c r="J2121" i="1" s="1"/>
  <c r="L2121" i="1"/>
  <c r="K2121" i="1" a="1"/>
  <c r="K2121" i="1" s="1"/>
  <c r="I2121" i="1"/>
  <c r="H2121" i="1" a="1"/>
  <c r="H2121" i="1" s="1"/>
  <c r="G2121" i="1" a="1"/>
  <c r="G2121" i="1" s="1"/>
  <c r="A2120" i="1" l="1"/>
  <c r="N2120" i="1" l="1" a="1"/>
  <c r="N2120" i="1" s="1"/>
  <c r="M2120" i="1" a="1"/>
  <c r="M2120" i="1" s="1"/>
  <c r="J2120" i="1" a="1"/>
  <c r="J2120" i="1" s="1"/>
  <c r="L2120" i="1"/>
  <c r="K2120" i="1" a="1"/>
  <c r="K2120" i="1" s="1"/>
  <c r="I2120" i="1"/>
  <c r="H2120" i="1" a="1"/>
  <c r="H2120" i="1" s="1"/>
  <c r="G2120" i="1" a="1"/>
  <c r="G2120" i="1" s="1"/>
  <c r="A2119" i="1" l="1"/>
  <c r="N2119" i="1" l="1" a="1"/>
  <c r="N2119" i="1" s="1"/>
  <c r="M2119" i="1" a="1"/>
  <c r="M2119" i="1" s="1"/>
  <c r="J2119" i="1" a="1"/>
  <c r="J2119" i="1" s="1"/>
  <c r="L2119" i="1"/>
  <c r="K2119" i="1" a="1"/>
  <c r="K2119" i="1" s="1"/>
  <c r="I2119" i="1"/>
  <c r="H2119" i="1" a="1"/>
  <c r="H2119" i="1" s="1"/>
  <c r="G2119" i="1" a="1"/>
  <c r="G2119" i="1" s="1"/>
  <c r="A2118" i="1" l="1"/>
  <c r="N2118" i="1" l="1" a="1"/>
  <c r="N2118" i="1" s="1"/>
  <c r="M2118" i="1" a="1"/>
  <c r="M2118" i="1" s="1"/>
  <c r="J2118" i="1" a="1"/>
  <c r="J2118" i="1" s="1"/>
  <c r="L2118" i="1"/>
  <c r="K2118" i="1" a="1"/>
  <c r="K2118" i="1" s="1"/>
  <c r="I2118" i="1"/>
  <c r="H2118" i="1" a="1"/>
  <c r="H2118" i="1" s="1"/>
  <c r="G2118" i="1" a="1"/>
  <c r="G2118" i="1" s="1"/>
  <c r="A2117" i="1" l="1"/>
  <c r="N2117" i="1" l="1" a="1"/>
  <c r="N2117" i="1" s="1"/>
  <c r="M2117" i="1" a="1"/>
  <c r="M2117" i="1" s="1"/>
  <c r="J2117" i="1" a="1"/>
  <c r="J2117" i="1" s="1"/>
  <c r="L2117" i="1"/>
  <c r="K2117" i="1" a="1"/>
  <c r="K2117" i="1" s="1"/>
  <c r="I2117" i="1"/>
  <c r="H2117" i="1" a="1"/>
  <c r="H2117" i="1" s="1"/>
  <c r="G2117" i="1" a="1"/>
  <c r="G2117" i="1" s="1"/>
  <c r="A2116" i="1" l="1"/>
  <c r="N2116" i="1" l="1" a="1"/>
  <c r="N2116" i="1" s="1"/>
  <c r="M2116" i="1" a="1"/>
  <c r="M2116" i="1" s="1"/>
  <c r="J2116" i="1" a="1"/>
  <c r="J2116" i="1" s="1"/>
  <c r="L2116" i="1"/>
  <c r="K2116" i="1" a="1"/>
  <c r="K2116" i="1" s="1"/>
  <c r="I2116" i="1"/>
  <c r="H2116" i="1" a="1"/>
  <c r="H2116" i="1" s="1"/>
  <c r="G2116" i="1" a="1"/>
  <c r="G2116" i="1" s="1"/>
  <c r="A2115" i="1" l="1"/>
  <c r="N2115" i="1" l="1" a="1"/>
  <c r="N2115" i="1" s="1"/>
  <c r="M2115" i="1" a="1"/>
  <c r="M2115" i="1" s="1"/>
  <c r="J2115" i="1" a="1"/>
  <c r="J2115" i="1" s="1"/>
  <c r="L2115" i="1"/>
  <c r="K2115" i="1" a="1"/>
  <c r="K2115" i="1" s="1"/>
  <c r="I2115" i="1"/>
  <c r="H2115" i="1" a="1"/>
  <c r="H2115" i="1" s="1"/>
  <c r="G2115" i="1" a="1"/>
  <c r="G2115" i="1" s="1"/>
  <c r="A2114" i="1" l="1"/>
  <c r="N2114" i="1" l="1" a="1"/>
  <c r="N2114" i="1" s="1"/>
  <c r="M2114" i="1" a="1"/>
  <c r="M2114" i="1" s="1"/>
  <c r="J2114" i="1" a="1"/>
  <c r="J2114" i="1" s="1"/>
  <c r="L2114" i="1"/>
  <c r="K2114" i="1" a="1"/>
  <c r="K2114" i="1" s="1"/>
  <c r="I2114" i="1"/>
  <c r="H2114" i="1" a="1"/>
  <c r="H2114" i="1" s="1"/>
  <c r="G2114" i="1" a="1"/>
  <c r="G2114" i="1" s="1"/>
  <c r="A2113" i="1" l="1"/>
  <c r="N2113" i="1" l="1" a="1"/>
  <c r="N2113" i="1" s="1"/>
  <c r="M2113" i="1" a="1"/>
  <c r="M2113" i="1" s="1"/>
  <c r="J2113" i="1" a="1"/>
  <c r="J2113" i="1" s="1"/>
  <c r="L2113" i="1"/>
  <c r="K2113" i="1" a="1"/>
  <c r="K2113" i="1" s="1"/>
  <c r="I2113" i="1"/>
  <c r="H2113" i="1" a="1"/>
  <c r="H2113" i="1" s="1"/>
  <c r="G2113" i="1" a="1"/>
  <c r="G2113" i="1" s="1"/>
  <c r="A2112" i="1"/>
  <c r="N2112" i="1" l="1" a="1"/>
  <c r="N2112" i="1" s="1"/>
  <c r="M2112" i="1" a="1"/>
  <c r="M2112" i="1" s="1"/>
  <c r="J2112" i="1" a="1"/>
  <c r="J2112" i="1" s="1"/>
  <c r="L2112" i="1"/>
  <c r="K2112" i="1" a="1"/>
  <c r="K2112" i="1" s="1"/>
  <c r="I2112" i="1"/>
  <c r="H2112" i="1" a="1"/>
  <c r="H2112" i="1" s="1"/>
  <c r="G2112" i="1" a="1"/>
  <c r="G2112" i="1" s="1"/>
  <c r="A2111" i="1"/>
  <c r="N2111" i="1" l="1" a="1"/>
  <c r="N2111" i="1" s="1"/>
  <c r="M2111" i="1" a="1"/>
  <c r="M2111" i="1" s="1"/>
  <c r="J2111" i="1" a="1"/>
  <c r="J2111" i="1" s="1"/>
  <c r="L2111" i="1"/>
  <c r="K2111" i="1" a="1"/>
  <c r="K2111" i="1" s="1"/>
  <c r="I2111" i="1"/>
  <c r="H2111" i="1" a="1"/>
  <c r="H2111" i="1" s="1"/>
  <c r="G2111" i="1" a="1"/>
  <c r="G2111" i="1" s="1"/>
  <c r="A2110" i="1" l="1"/>
  <c r="N2110" i="1" l="1" a="1"/>
  <c r="N2110" i="1" s="1"/>
  <c r="M2110" i="1" a="1"/>
  <c r="M2110" i="1" s="1"/>
  <c r="J2110" i="1" a="1"/>
  <c r="J2110" i="1" s="1"/>
  <c r="L2110" i="1"/>
  <c r="K2110" i="1" a="1"/>
  <c r="K2110" i="1" s="1"/>
  <c r="I2110" i="1"/>
  <c r="H2110" i="1" a="1"/>
  <c r="H2110" i="1" s="1"/>
  <c r="G2110" i="1" a="1"/>
  <c r="G2110" i="1" s="1"/>
  <c r="A2109" i="1" l="1"/>
  <c r="N2109" i="1" l="1" a="1"/>
  <c r="N2109" i="1" s="1"/>
  <c r="M2109" i="1" a="1"/>
  <c r="M2109" i="1" s="1"/>
  <c r="J2109" i="1" a="1"/>
  <c r="J2109" i="1" s="1"/>
  <c r="L2109" i="1"/>
  <c r="K2109" i="1" a="1"/>
  <c r="K2109" i="1" s="1"/>
  <c r="I2109" i="1"/>
  <c r="H2109" i="1" a="1"/>
  <c r="H2109" i="1" s="1"/>
  <c r="G2109" i="1" a="1"/>
  <c r="G2109" i="1" s="1"/>
  <c r="A2108" i="1"/>
  <c r="A2107" i="1"/>
  <c r="N2107" i="1" l="1" a="1"/>
  <c r="N2107" i="1" s="1"/>
  <c r="M2107" i="1" a="1"/>
  <c r="M2107" i="1" s="1"/>
  <c r="N2108" i="1" a="1"/>
  <c r="N2108" i="1" s="1"/>
  <c r="M2108" i="1" a="1"/>
  <c r="M2108" i="1" s="1"/>
  <c r="J2107" i="1" a="1"/>
  <c r="J2107" i="1" s="1"/>
  <c r="L2107" i="1"/>
  <c r="K2107" i="1" a="1"/>
  <c r="K2107" i="1" s="1"/>
  <c r="J2108" i="1" a="1"/>
  <c r="J2108" i="1" s="1"/>
  <c r="L2108" i="1"/>
  <c r="K2108" i="1" a="1"/>
  <c r="K2108" i="1" s="1"/>
  <c r="I2108" i="1"/>
  <c r="H2108" i="1" a="1"/>
  <c r="H2108" i="1" s="1"/>
  <c r="G2108" i="1" a="1"/>
  <c r="G2108" i="1" s="1"/>
  <c r="I2107" i="1"/>
  <c r="H2107" i="1" a="1"/>
  <c r="H2107" i="1" s="1"/>
  <c r="G2107" i="1" a="1"/>
  <c r="G2107" i="1" s="1"/>
  <c r="A2100" i="1" l="1"/>
  <c r="A2101" i="1"/>
  <c r="A2102" i="1"/>
  <c r="A2103" i="1"/>
  <c r="A2104" i="1"/>
  <c r="A2105" i="1"/>
  <c r="A2106" i="1"/>
  <c r="A2099" i="1"/>
  <c r="N2102" i="1" l="1" a="1"/>
  <c r="N2102" i="1" s="1"/>
  <c r="M2102" i="1" a="1"/>
  <c r="M2102" i="1" s="1"/>
  <c r="N2099" i="1" a="1"/>
  <c r="N2099" i="1" s="1"/>
  <c r="M2099" i="1" a="1"/>
  <c r="M2099" i="1" s="1"/>
  <c r="N2105" i="1" a="1"/>
  <c r="N2105" i="1" s="1"/>
  <c r="M2105" i="1" a="1"/>
  <c r="M2105" i="1" s="1"/>
  <c r="N2103" i="1" a="1"/>
  <c r="N2103" i="1" s="1"/>
  <c r="M2103" i="1" a="1"/>
  <c r="M2103" i="1" s="1"/>
  <c r="N2101" i="1" a="1"/>
  <c r="N2101" i="1" s="1"/>
  <c r="M2101" i="1" a="1"/>
  <c r="M2101" i="1" s="1"/>
  <c r="N2106" i="1" a="1"/>
  <c r="N2106" i="1" s="1"/>
  <c r="M2106" i="1" a="1"/>
  <c r="M2106" i="1" s="1"/>
  <c r="N2104" i="1" a="1"/>
  <c r="N2104" i="1" s="1"/>
  <c r="M2104" i="1" a="1"/>
  <c r="M2104" i="1" s="1"/>
  <c r="N2100" i="1" a="1"/>
  <c r="N2100" i="1" s="1"/>
  <c r="M2100" i="1" a="1"/>
  <c r="M2100" i="1" s="1"/>
  <c r="J2100" i="1" a="1"/>
  <c r="J2100" i="1" s="1"/>
  <c r="L2100" i="1"/>
  <c r="K2100" i="1" a="1"/>
  <c r="K2100" i="1" s="1"/>
  <c r="J2099" i="1" a="1"/>
  <c r="J2099" i="1" s="1"/>
  <c r="L2099" i="1"/>
  <c r="K2099" i="1" a="1"/>
  <c r="K2099" i="1" s="1"/>
  <c r="J2106" i="1" a="1"/>
  <c r="J2106" i="1" s="1"/>
  <c r="L2106" i="1"/>
  <c r="K2106" i="1" a="1"/>
  <c r="K2106" i="1" s="1"/>
  <c r="J2105" i="1" a="1"/>
  <c r="J2105" i="1" s="1"/>
  <c r="L2105" i="1"/>
  <c r="K2105" i="1" a="1"/>
  <c r="K2105" i="1" s="1"/>
  <c r="J2104" i="1" a="1"/>
  <c r="J2104" i="1" s="1"/>
  <c r="L2104" i="1"/>
  <c r="K2104" i="1" a="1"/>
  <c r="K2104" i="1" s="1"/>
  <c r="J2103" i="1" a="1"/>
  <c r="J2103" i="1" s="1"/>
  <c r="L2103" i="1"/>
  <c r="K2103" i="1" a="1"/>
  <c r="K2103" i="1" s="1"/>
  <c r="J2102" i="1" a="1"/>
  <c r="J2102" i="1" s="1"/>
  <c r="L2102" i="1"/>
  <c r="K2102" i="1" a="1"/>
  <c r="K2102" i="1" s="1"/>
  <c r="J2101" i="1" a="1"/>
  <c r="J2101" i="1" s="1"/>
  <c r="L2101" i="1"/>
  <c r="K2101" i="1" a="1"/>
  <c r="K2101" i="1" s="1"/>
  <c r="I2102" i="1"/>
  <c r="H2102" i="1" a="1"/>
  <c r="H2102" i="1" s="1"/>
  <c r="G2102" i="1" a="1"/>
  <c r="G2102" i="1" s="1"/>
  <c r="I2105" i="1"/>
  <c r="H2105" i="1" a="1"/>
  <c r="H2105" i="1" s="1"/>
  <c r="G2105" i="1" a="1"/>
  <c r="G2105" i="1" s="1"/>
  <c r="I2103" i="1"/>
  <c r="H2103" i="1" a="1"/>
  <c r="H2103" i="1" s="1"/>
  <c r="G2103" i="1" a="1"/>
  <c r="G2103" i="1" s="1"/>
  <c r="I2100" i="1"/>
  <c r="H2100" i="1" a="1"/>
  <c r="H2100" i="1" s="1"/>
  <c r="G2100" i="1" a="1"/>
  <c r="G2100" i="1" s="1"/>
  <c r="I2106" i="1"/>
  <c r="H2106" i="1" a="1"/>
  <c r="H2106" i="1" s="1"/>
  <c r="G2106" i="1" a="1"/>
  <c r="G2106" i="1" s="1"/>
  <c r="I2101" i="1"/>
  <c r="H2101" i="1" a="1"/>
  <c r="H2101" i="1" s="1"/>
  <c r="G2101" i="1" a="1"/>
  <c r="G2101" i="1" s="1"/>
  <c r="I2099" i="1"/>
  <c r="H2099" i="1" a="1"/>
  <c r="H2099" i="1" s="1"/>
  <c r="G2099" i="1" a="1"/>
  <c r="G2099" i="1" s="1"/>
  <c r="I2104" i="1"/>
  <c r="H2104" i="1" a="1"/>
  <c r="H2104" i="1" s="1"/>
  <c r="G2104" i="1" a="1"/>
  <c r="G2104" i="1" s="1"/>
  <c r="A2098" i="1"/>
  <c r="N2098" i="1" l="1" a="1"/>
  <c r="N2098" i="1" s="1"/>
  <c r="M2098" i="1" a="1"/>
  <c r="M2098" i="1" s="1"/>
  <c r="J2098" i="1" a="1"/>
  <c r="J2098" i="1" s="1"/>
  <c r="L2098" i="1"/>
  <c r="K2098" i="1" a="1"/>
  <c r="K2098" i="1" s="1"/>
  <c r="I2098" i="1"/>
  <c r="H2098" i="1" a="1"/>
  <c r="H2098" i="1" s="1"/>
  <c r="G2098" i="1" a="1"/>
  <c r="G2098" i="1" s="1"/>
  <c r="A2096" i="1" l="1"/>
  <c r="A2097" i="1"/>
  <c r="N2097" i="1" l="1" a="1"/>
  <c r="N2097" i="1" s="1"/>
  <c r="M2097" i="1" a="1"/>
  <c r="M2097" i="1" s="1"/>
  <c r="N2096" i="1" a="1"/>
  <c r="N2096" i="1" s="1"/>
  <c r="M2096" i="1" a="1"/>
  <c r="M2096" i="1" s="1"/>
  <c r="J2097" i="1" a="1"/>
  <c r="J2097" i="1" s="1"/>
  <c r="L2097" i="1"/>
  <c r="K2097" i="1" a="1"/>
  <c r="K2097" i="1" s="1"/>
  <c r="J2096" i="1" a="1"/>
  <c r="J2096" i="1" s="1"/>
  <c r="L2096" i="1"/>
  <c r="K2096" i="1" a="1"/>
  <c r="K2096" i="1" s="1"/>
  <c r="I2097" i="1"/>
  <c r="H2097" i="1" a="1"/>
  <c r="H2097" i="1" s="1"/>
  <c r="G2097" i="1" a="1"/>
  <c r="G2097" i="1" s="1"/>
  <c r="I2096" i="1"/>
  <c r="H2096" i="1" a="1"/>
  <c r="H2096" i="1" s="1"/>
  <c r="G2096" i="1" a="1"/>
  <c r="G2096" i="1" s="1"/>
  <c r="A2095" i="1" l="1"/>
  <c r="N2095" i="1" l="1" a="1"/>
  <c r="N2095" i="1" s="1"/>
  <c r="M2095" i="1" a="1"/>
  <c r="M2095" i="1" s="1"/>
  <c r="J2095" i="1" a="1"/>
  <c r="J2095" i="1" s="1"/>
  <c r="L2095" i="1"/>
  <c r="K2095" i="1" a="1"/>
  <c r="K2095" i="1" s="1"/>
  <c r="I2095" i="1"/>
  <c r="H2095" i="1" a="1"/>
  <c r="H2095" i="1" s="1"/>
  <c r="G2095" i="1" a="1"/>
  <c r="G2095" i="1" s="1"/>
  <c r="A2094" i="1" l="1"/>
  <c r="N2094" i="1" l="1" a="1"/>
  <c r="N2094" i="1" s="1"/>
  <c r="M2094" i="1" a="1"/>
  <c r="M2094" i="1" s="1"/>
  <c r="J2094" i="1" a="1"/>
  <c r="J2094" i="1" s="1"/>
  <c r="L2094" i="1"/>
  <c r="K2094" i="1" a="1"/>
  <c r="K2094" i="1" s="1"/>
  <c r="I2094" i="1"/>
  <c r="H2094" i="1" a="1"/>
  <c r="H2094" i="1" s="1"/>
  <c r="G2094" i="1" a="1"/>
  <c r="G2094" i="1" s="1"/>
  <c r="A2093" i="1"/>
  <c r="N2093" i="1" l="1" a="1"/>
  <c r="N2093" i="1" s="1"/>
  <c r="M2093" i="1" a="1"/>
  <c r="M2093" i="1" s="1"/>
  <c r="J2093" i="1" a="1"/>
  <c r="J2093" i="1" s="1"/>
  <c r="L2093" i="1"/>
  <c r="K2093" i="1" a="1"/>
  <c r="K2093" i="1" s="1"/>
  <c r="I2093" i="1"/>
  <c r="H2093" i="1" a="1"/>
  <c r="H2093" i="1" s="1"/>
  <c r="G2093" i="1" a="1"/>
  <c r="G2093" i="1" s="1"/>
  <c r="A2091" i="1"/>
  <c r="A2092" i="1"/>
  <c r="A2089" i="1"/>
  <c r="A2090" i="1"/>
  <c r="N2090" i="1" l="1" a="1"/>
  <c r="N2090" i="1" s="1"/>
  <c r="M2090" i="1" a="1"/>
  <c r="M2090" i="1" s="1"/>
  <c r="N2092" i="1" a="1"/>
  <c r="N2092" i="1" s="1"/>
  <c r="M2092" i="1" a="1"/>
  <c r="M2092" i="1" s="1"/>
  <c r="N2089" i="1" a="1"/>
  <c r="N2089" i="1" s="1"/>
  <c r="M2089" i="1" a="1"/>
  <c r="M2089" i="1" s="1"/>
  <c r="N2091" i="1" a="1"/>
  <c r="N2091" i="1" s="1"/>
  <c r="M2091" i="1" a="1"/>
  <c r="M2091" i="1" s="1"/>
  <c r="J2090" i="1" a="1"/>
  <c r="J2090" i="1" s="1"/>
  <c r="L2090" i="1"/>
  <c r="K2090" i="1" a="1"/>
  <c r="K2090" i="1" s="1"/>
  <c r="J2089" i="1" a="1"/>
  <c r="J2089" i="1" s="1"/>
  <c r="L2089" i="1"/>
  <c r="K2089" i="1" a="1"/>
  <c r="K2089" i="1" s="1"/>
  <c r="J2092" i="1" a="1"/>
  <c r="J2092" i="1" s="1"/>
  <c r="L2092" i="1"/>
  <c r="K2092" i="1" a="1"/>
  <c r="K2092" i="1" s="1"/>
  <c r="J2091" i="1" a="1"/>
  <c r="J2091" i="1" s="1"/>
  <c r="L2091" i="1"/>
  <c r="K2091" i="1" a="1"/>
  <c r="K2091" i="1" s="1"/>
  <c r="I2090" i="1"/>
  <c r="H2090" i="1" a="1"/>
  <c r="H2090" i="1" s="1"/>
  <c r="G2090" i="1" a="1"/>
  <c r="G2090" i="1" s="1"/>
  <c r="A2085" i="1"/>
  <c r="I2091" i="1"/>
  <c r="H2091" i="1" a="1"/>
  <c r="H2091" i="1" s="1"/>
  <c r="G2091" i="1" a="1"/>
  <c r="G2091" i="1" s="1"/>
  <c r="A2088" i="1"/>
  <c r="A2083" i="1"/>
  <c r="A2086" i="1"/>
  <c r="I2092" i="1"/>
  <c r="H2092" i="1" a="1"/>
  <c r="H2092" i="1" s="1"/>
  <c r="G2092" i="1" a="1"/>
  <c r="G2092" i="1" s="1"/>
  <c r="A2087" i="1"/>
  <c r="A2082" i="1"/>
  <c r="I2089" i="1"/>
  <c r="H2089" i="1" a="1"/>
  <c r="H2089" i="1" s="1"/>
  <c r="G2089" i="1" a="1"/>
  <c r="G2089" i="1" s="1"/>
  <c r="A2084" i="1"/>
  <c r="N2084" i="1" l="1" a="1"/>
  <c r="N2084" i="1" s="1"/>
  <c r="M2084" i="1" a="1"/>
  <c r="M2084" i="1" s="1"/>
  <c r="N2082" i="1" a="1"/>
  <c r="N2082" i="1" s="1"/>
  <c r="M2082" i="1" a="1"/>
  <c r="M2082" i="1" s="1"/>
  <c r="N2087" i="1" a="1"/>
  <c r="N2087" i="1" s="1"/>
  <c r="M2087" i="1" a="1"/>
  <c r="M2087" i="1" s="1"/>
  <c r="N2086" i="1" a="1"/>
  <c r="N2086" i="1" s="1"/>
  <c r="M2086" i="1" a="1"/>
  <c r="M2086" i="1" s="1"/>
  <c r="N2083" i="1" a="1"/>
  <c r="N2083" i="1" s="1"/>
  <c r="M2083" i="1" a="1"/>
  <c r="M2083" i="1" s="1"/>
  <c r="N2088" i="1" a="1"/>
  <c r="N2088" i="1" s="1"/>
  <c r="M2088" i="1" a="1"/>
  <c r="M2088" i="1" s="1"/>
  <c r="N2085" i="1" a="1"/>
  <c r="N2085" i="1" s="1"/>
  <c r="M2085" i="1" a="1"/>
  <c r="M2085" i="1" s="1"/>
  <c r="J2085" i="1" a="1"/>
  <c r="J2085" i="1" s="1"/>
  <c r="L2085" i="1"/>
  <c r="K2085" i="1" a="1"/>
  <c r="K2085" i="1" s="1"/>
  <c r="J2083" i="1" a="1"/>
  <c r="J2083" i="1" s="1"/>
  <c r="L2083" i="1"/>
  <c r="K2083" i="1" a="1"/>
  <c r="K2083" i="1" s="1"/>
  <c r="J2088" i="1" a="1"/>
  <c r="J2088" i="1" s="1"/>
  <c r="L2088" i="1"/>
  <c r="K2088" i="1" a="1"/>
  <c r="K2088" i="1" s="1"/>
  <c r="J2084" i="1" a="1"/>
  <c r="J2084" i="1" s="1"/>
  <c r="L2084" i="1"/>
  <c r="K2084" i="1" a="1"/>
  <c r="K2084" i="1" s="1"/>
  <c r="J2086" i="1" a="1"/>
  <c r="J2086" i="1" s="1"/>
  <c r="L2086" i="1"/>
  <c r="K2086" i="1" a="1"/>
  <c r="K2086" i="1" s="1"/>
  <c r="J2082" i="1" a="1"/>
  <c r="J2082" i="1" s="1"/>
  <c r="L2082" i="1"/>
  <c r="K2082" i="1" a="1"/>
  <c r="K2082" i="1" s="1"/>
  <c r="J2087" i="1" a="1"/>
  <c r="J2087" i="1" s="1"/>
  <c r="L2087" i="1"/>
  <c r="K2087" i="1" a="1"/>
  <c r="K2087" i="1" s="1"/>
  <c r="I2087" i="1"/>
  <c r="H2087" i="1" a="1"/>
  <c r="H2087" i="1" s="1"/>
  <c r="G2087" i="1" a="1"/>
  <c r="G2087" i="1" s="1"/>
  <c r="I2082" i="1"/>
  <c r="H2082" i="1" a="1"/>
  <c r="H2082" i="1" s="1"/>
  <c r="G2082" i="1" a="1"/>
  <c r="G2082" i="1" s="1"/>
  <c r="I2085" i="1"/>
  <c r="H2085" i="1" a="1"/>
  <c r="H2085" i="1" s="1"/>
  <c r="G2085" i="1" a="1"/>
  <c r="G2085" i="1" s="1"/>
  <c r="I2084" i="1"/>
  <c r="H2084" i="1" a="1"/>
  <c r="H2084" i="1" s="1"/>
  <c r="G2084" i="1" a="1"/>
  <c r="G2084" i="1" s="1"/>
  <c r="I2086" i="1"/>
  <c r="H2086" i="1" a="1"/>
  <c r="H2086" i="1" s="1"/>
  <c r="G2086" i="1" a="1"/>
  <c r="G2086" i="1" s="1"/>
  <c r="I2088" i="1"/>
  <c r="H2088" i="1" a="1"/>
  <c r="H2088" i="1" s="1"/>
  <c r="G2088" i="1" a="1"/>
  <c r="G2088" i="1" s="1"/>
  <c r="I2083" i="1"/>
  <c r="H2083" i="1" a="1"/>
  <c r="H2083" i="1" s="1"/>
  <c r="G2083" i="1" a="1"/>
  <c r="G2083" i="1" s="1"/>
  <c r="A2081" i="1" l="1"/>
  <c r="N2081" i="1" l="1" a="1"/>
  <c r="N2081" i="1" s="1"/>
  <c r="M2081" i="1" a="1"/>
  <c r="M2081" i="1" s="1"/>
  <c r="J2081" i="1" a="1"/>
  <c r="J2081" i="1" s="1"/>
  <c r="L2081" i="1"/>
  <c r="K2081" i="1" a="1"/>
  <c r="K2081" i="1" s="1"/>
  <c r="A2080" i="1"/>
  <c r="I2081" i="1"/>
  <c r="H2081" i="1" a="1"/>
  <c r="H2081" i="1" s="1"/>
  <c r="G2081" i="1" a="1"/>
  <c r="G2081" i="1" s="1"/>
  <c r="N2080" i="1" l="1" a="1"/>
  <c r="N2080" i="1" s="1"/>
  <c r="M2080" i="1" a="1"/>
  <c r="M2080" i="1" s="1"/>
  <c r="J2080" i="1" a="1"/>
  <c r="J2080" i="1" s="1"/>
  <c r="L2080" i="1"/>
  <c r="K2080" i="1" a="1"/>
  <c r="K2080" i="1" s="1"/>
  <c r="I2080" i="1"/>
  <c r="H2080" i="1" a="1"/>
  <c r="H2080" i="1" s="1"/>
  <c r="G2080" i="1" a="1"/>
  <c r="G2080" i="1" s="1"/>
  <c r="A2079" i="1" l="1"/>
  <c r="A2078" i="1"/>
  <c r="N2079" i="1" l="1" a="1"/>
  <c r="N2079" i="1" s="1"/>
  <c r="M2079" i="1" a="1"/>
  <c r="M2079" i="1" s="1"/>
  <c r="N2078" i="1" a="1"/>
  <c r="N2078" i="1" s="1"/>
  <c r="M2078" i="1" a="1"/>
  <c r="M2078" i="1" s="1"/>
  <c r="J2078" i="1" a="1"/>
  <c r="J2078" i="1" s="1"/>
  <c r="L2078" i="1"/>
  <c r="K2078" i="1" a="1"/>
  <c r="K2078" i="1" s="1"/>
  <c r="J2079" i="1" a="1"/>
  <c r="J2079" i="1" s="1"/>
  <c r="L2079" i="1"/>
  <c r="K2079" i="1" a="1"/>
  <c r="K2079" i="1" s="1"/>
  <c r="I2079" i="1"/>
  <c r="H2079" i="1" a="1"/>
  <c r="H2079" i="1" s="1"/>
  <c r="G2079" i="1" a="1"/>
  <c r="G2079" i="1" s="1"/>
  <c r="A2076" i="1"/>
  <c r="A2077" i="1"/>
  <c r="I2078" i="1"/>
  <c r="H2078" i="1" a="1"/>
  <c r="H2078" i="1" s="1"/>
  <c r="G2078" i="1" a="1"/>
  <c r="G2078" i="1" s="1"/>
  <c r="N2077" i="1" l="1" a="1"/>
  <c r="N2077" i="1" s="1"/>
  <c r="M2077" i="1" a="1"/>
  <c r="M2077" i="1" s="1"/>
  <c r="N2076" i="1" a="1"/>
  <c r="N2076" i="1" s="1"/>
  <c r="M2076" i="1" a="1"/>
  <c r="M2076" i="1" s="1"/>
  <c r="J2077" i="1" a="1"/>
  <c r="J2077" i="1" s="1"/>
  <c r="L2077" i="1"/>
  <c r="K2077" i="1" a="1"/>
  <c r="K2077" i="1" s="1"/>
  <c r="J2076" i="1" a="1"/>
  <c r="J2076" i="1" s="1"/>
  <c r="L2076" i="1"/>
  <c r="K2076" i="1" a="1"/>
  <c r="K2076" i="1" s="1"/>
  <c r="I2077" i="1"/>
  <c r="H2077" i="1" a="1"/>
  <c r="H2077" i="1" s="1"/>
  <c r="G2077" i="1" a="1"/>
  <c r="G2077" i="1" s="1"/>
  <c r="I2076" i="1"/>
  <c r="H2076" i="1" a="1"/>
  <c r="H2076" i="1" s="1"/>
  <c r="G2076" i="1" a="1"/>
  <c r="G2076" i="1" s="1"/>
  <c r="A2075" i="1"/>
  <c r="N2075" i="1" l="1" a="1"/>
  <c r="N2075" i="1" s="1"/>
  <c r="M2075" i="1" a="1"/>
  <c r="M2075" i="1" s="1"/>
  <c r="J2075" i="1" a="1"/>
  <c r="J2075" i="1" s="1"/>
  <c r="L2075" i="1"/>
  <c r="K2075" i="1" a="1"/>
  <c r="K2075" i="1" s="1"/>
  <c r="I2075" i="1"/>
  <c r="H2075" i="1" a="1"/>
  <c r="H2075" i="1" s="1"/>
  <c r="G2075" i="1" a="1"/>
  <c r="G2075" i="1" s="1"/>
  <c r="A2073" i="1" l="1"/>
  <c r="A2074" i="1"/>
  <c r="N2073" i="1" l="1" a="1"/>
  <c r="N2073" i="1" s="1"/>
  <c r="M2073" i="1" a="1"/>
  <c r="M2073" i="1" s="1"/>
  <c r="N2074" i="1" a="1"/>
  <c r="N2074" i="1" s="1"/>
  <c r="M2074" i="1" a="1"/>
  <c r="M2074" i="1" s="1"/>
  <c r="J2074" i="1" a="1"/>
  <c r="J2074" i="1" s="1"/>
  <c r="L2074" i="1"/>
  <c r="K2074" i="1" a="1"/>
  <c r="K2074" i="1" s="1"/>
  <c r="J2073" i="1" a="1"/>
  <c r="J2073" i="1" s="1"/>
  <c r="L2073" i="1"/>
  <c r="K2073" i="1" a="1"/>
  <c r="K2073" i="1" s="1"/>
  <c r="A2071" i="1"/>
  <c r="I2073" i="1"/>
  <c r="H2073" i="1" a="1"/>
  <c r="H2073" i="1" s="1"/>
  <c r="G2073" i="1" a="1"/>
  <c r="G2073" i="1" s="1"/>
  <c r="A2072" i="1"/>
  <c r="I2074" i="1"/>
  <c r="H2074" i="1" a="1"/>
  <c r="H2074" i="1" s="1"/>
  <c r="G2074" i="1" a="1"/>
  <c r="G2074" i="1" s="1"/>
  <c r="N2072" i="1" l="1" a="1"/>
  <c r="N2072" i="1" s="1"/>
  <c r="M2072" i="1" a="1"/>
  <c r="M2072" i="1" s="1"/>
  <c r="N2071" i="1" a="1"/>
  <c r="N2071" i="1" s="1"/>
  <c r="M2071" i="1" a="1"/>
  <c r="M2071" i="1" s="1"/>
  <c r="J2072" i="1" a="1"/>
  <c r="J2072" i="1" s="1"/>
  <c r="L2072" i="1"/>
  <c r="K2072" i="1" a="1"/>
  <c r="K2072" i="1" s="1"/>
  <c r="J2071" i="1" a="1"/>
  <c r="J2071" i="1" s="1"/>
  <c r="L2071" i="1"/>
  <c r="K2071" i="1" a="1"/>
  <c r="K2071" i="1" s="1"/>
  <c r="I2072" i="1"/>
  <c r="H2072" i="1" a="1"/>
  <c r="H2072" i="1" s="1"/>
  <c r="G2072" i="1" a="1"/>
  <c r="G2072" i="1" s="1"/>
  <c r="A2070" i="1"/>
  <c r="I2071" i="1"/>
  <c r="H2071" i="1" a="1"/>
  <c r="H2071" i="1" s="1"/>
  <c r="G2071" i="1" a="1"/>
  <c r="G2071" i="1" s="1"/>
  <c r="N2070" i="1" l="1" a="1"/>
  <c r="N2070" i="1" s="1"/>
  <c r="M2070" i="1" a="1"/>
  <c r="M2070" i="1" s="1"/>
  <c r="J2070" i="1" a="1"/>
  <c r="J2070" i="1" s="1"/>
  <c r="L2070" i="1"/>
  <c r="K2070" i="1" a="1"/>
  <c r="K2070" i="1" s="1"/>
  <c r="I2070" i="1"/>
  <c r="H2070" i="1" a="1"/>
  <c r="H2070" i="1" s="1"/>
  <c r="G2070" i="1" a="1"/>
  <c r="G2070" i="1" s="1"/>
  <c r="A2069" i="1" l="1"/>
  <c r="N2069" i="1" l="1" a="1"/>
  <c r="N2069" i="1" s="1"/>
  <c r="M2069" i="1" a="1"/>
  <c r="M2069" i="1" s="1"/>
  <c r="J2069" i="1" a="1"/>
  <c r="J2069" i="1" s="1"/>
  <c r="L2069" i="1"/>
  <c r="K2069" i="1" a="1"/>
  <c r="K2069" i="1" s="1"/>
  <c r="I2069" i="1"/>
  <c r="H2069" i="1" a="1"/>
  <c r="H2069" i="1" s="1"/>
  <c r="G2069" i="1" a="1"/>
  <c r="G2069" i="1" s="1"/>
  <c r="A2068" i="1" l="1"/>
  <c r="N2068" i="1" l="1" a="1"/>
  <c r="N2068" i="1" s="1"/>
  <c r="M2068" i="1" a="1"/>
  <c r="M2068" i="1" s="1"/>
  <c r="J2068" i="1" a="1"/>
  <c r="J2068" i="1" s="1"/>
  <c r="L2068" i="1"/>
  <c r="K2068" i="1" a="1"/>
  <c r="K2068" i="1" s="1"/>
  <c r="I2068" i="1"/>
  <c r="H2068" i="1" a="1"/>
  <c r="H2068" i="1" s="1"/>
  <c r="G2068" i="1" a="1"/>
  <c r="G2068" i="1" s="1"/>
  <c r="A2067" i="1" l="1"/>
  <c r="N2067" i="1" l="1" a="1"/>
  <c r="N2067" i="1" s="1"/>
  <c r="M2067" i="1" a="1"/>
  <c r="M2067" i="1" s="1"/>
  <c r="J2067" i="1" a="1"/>
  <c r="J2067" i="1" s="1"/>
  <c r="L2067" i="1"/>
  <c r="K2067" i="1" a="1"/>
  <c r="K2067" i="1" s="1"/>
  <c r="I2067" i="1"/>
  <c r="H2067" i="1" a="1"/>
  <c r="H2067" i="1" s="1"/>
  <c r="G2067" i="1" a="1"/>
  <c r="G2067" i="1" s="1"/>
  <c r="A2066" i="1" l="1"/>
  <c r="N2066" i="1" l="1" a="1"/>
  <c r="N2066" i="1" s="1"/>
  <c r="M2066" i="1" a="1"/>
  <c r="M2066" i="1" s="1"/>
  <c r="J2066" i="1" a="1"/>
  <c r="J2066" i="1" s="1"/>
  <c r="L2066" i="1"/>
  <c r="K2066" i="1" a="1"/>
  <c r="K2066" i="1" s="1"/>
  <c r="I2066" i="1"/>
  <c r="H2066" i="1" a="1"/>
  <c r="H2066" i="1" s="1"/>
  <c r="G2066" i="1" a="1"/>
  <c r="G2066" i="1" s="1"/>
  <c r="A2065" i="1" l="1"/>
  <c r="N2065" i="1" l="1" a="1"/>
  <c r="N2065" i="1" s="1"/>
  <c r="M2065" i="1" a="1"/>
  <c r="M2065" i="1" s="1"/>
  <c r="J2065" i="1" a="1"/>
  <c r="J2065" i="1" s="1"/>
  <c r="L2065" i="1"/>
  <c r="K2065" i="1" a="1"/>
  <c r="K2065" i="1" s="1"/>
  <c r="I2065" i="1"/>
  <c r="H2065" i="1" a="1"/>
  <c r="H2065" i="1" s="1"/>
  <c r="G2065" i="1" a="1"/>
  <c r="G2065" i="1" s="1"/>
  <c r="A2064" i="1" l="1"/>
  <c r="N2064" i="1" l="1" a="1"/>
  <c r="N2064" i="1" s="1"/>
  <c r="M2064" i="1" a="1"/>
  <c r="M2064" i="1" s="1"/>
  <c r="J2064" i="1" a="1"/>
  <c r="J2064" i="1" s="1"/>
  <c r="L2064" i="1"/>
  <c r="K2064" i="1" a="1"/>
  <c r="K2064" i="1" s="1"/>
  <c r="I2064" i="1"/>
  <c r="H2064" i="1" a="1"/>
  <c r="H2064" i="1" s="1"/>
  <c r="G2064" i="1" a="1"/>
  <c r="G2064" i="1" s="1"/>
  <c r="A2063" i="1" l="1"/>
  <c r="N2063" i="1" l="1" a="1"/>
  <c r="N2063" i="1" s="1"/>
  <c r="M2063" i="1" a="1"/>
  <c r="M2063" i="1" s="1"/>
  <c r="J2063" i="1" a="1"/>
  <c r="J2063" i="1" s="1"/>
  <c r="L2063" i="1"/>
  <c r="K2063" i="1" a="1"/>
  <c r="K2063" i="1" s="1"/>
  <c r="A2062" i="1"/>
  <c r="I2063" i="1"/>
  <c r="H2063" i="1" a="1"/>
  <c r="H2063" i="1" s="1"/>
  <c r="G2063" i="1" a="1"/>
  <c r="G2063" i="1" s="1"/>
  <c r="N2062" i="1" l="1" a="1"/>
  <c r="N2062" i="1" s="1"/>
  <c r="M2062" i="1" a="1"/>
  <c r="M2062" i="1" s="1"/>
  <c r="J2062" i="1" a="1"/>
  <c r="J2062" i="1" s="1"/>
  <c r="L2062" i="1"/>
  <c r="K2062" i="1" a="1"/>
  <c r="K2062" i="1" s="1"/>
  <c r="I2062" i="1"/>
  <c r="H2062" i="1" a="1"/>
  <c r="H2062" i="1" s="1"/>
  <c r="G2062" i="1" a="1"/>
  <c r="G2062" i="1" s="1"/>
  <c r="A2061" i="1"/>
  <c r="N2061" i="1" l="1" a="1"/>
  <c r="N2061" i="1" s="1"/>
  <c r="M2061" i="1" a="1"/>
  <c r="M2061" i="1" s="1"/>
  <c r="J2061" i="1" a="1"/>
  <c r="J2061" i="1" s="1"/>
  <c r="L2061" i="1"/>
  <c r="K2061" i="1" a="1"/>
  <c r="K2061" i="1" s="1"/>
  <c r="I2061" i="1"/>
  <c r="H2061" i="1" a="1"/>
  <c r="H2061" i="1" s="1"/>
  <c r="G2061" i="1" a="1"/>
  <c r="G2061" i="1" s="1"/>
  <c r="A2060" i="1" l="1"/>
  <c r="N2060" i="1" l="1" a="1"/>
  <c r="N2060" i="1" s="1"/>
  <c r="M2060" i="1" a="1"/>
  <c r="M2060" i="1" s="1"/>
  <c r="J2060" i="1" a="1"/>
  <c r="J2060" i="1" s="1"/>
  <c r="L2060" i="1"/>
  <c r="K2060" i="1" a="1"/>
  <c r="K2060" i="1" s="1"/>
  <c r="A2059" i="1"/>
  <c r="I2060" i="1"/>
  <c r="H2060" i="1" a="1"/>
  <c r="H2060" i="1" s="1"/>
  <c r="G2060" i="1" a="1"/>
  <c r="G2060" i="1" s="1"/>
  <c r="N2059" i="1" l="1" a="1"/>
  <c r="N2059" i="1" s="1"/>
  <c r="M2059" i="1" a="1"/>
  <c r="M2059" i="1" s="1"/>
  <c r="J2059" i="1" a="1"/>
  <c r="J2059" i="1" s="1"/>
  <c r="L2059" i="1"/>
  <c r="K2059" i="1" a="1"/>
  <c r="K2059" i="1" s="1"/>
  <c r="I2059" i="1"/>
  <c r="H2059" i="1" a="1"/>
  <c r="H2059" i="1" s="1"/>
  <c r="G2059" i="1" a="1"/>
  <c r="G2059" i="1" s="1"/>
  <c r="A2058" i="1" l="1"/>
  <c r="N2058" i="1" l="1" a="1"/>
  <c r="N2058" i="1" s="1"/>
  <c r="M2058" i="1" a="1"/>
  <c r="M2058" i="1" s="1"/>
  <c r="J2058" i="1" a="1"/>
  <c r="J2058" i="1" s="1"/>
  <c r="L2058" i="1"/>
  <c r="K2058" i="1" a="1"/>
  <c r="K2058" i="1" s="1"/>
  <c r="I2058" i="1"/>
  <c r="H2058" i="1" a="1"/>
  <c r="H2058" i="1" s="1"/>
  <c r="G2058" i="1" a="1"/>
  <c r="G2058" i="1" s="1"/>
  <c r="A2057" i="1" l="1"/>
  <c r="N2057" i="1" l="1" a="1"/>
  <c r="N2057" i="1" s="1"/>
  <c r="M2057" i="1" a="1"/>
  <c r="M2057" i="1" s="1"/>
  <c r="J2057" i="1" a="1"/>
  <c r="J2057" i="1" s="1"/>
  <c r="L2057" i="1"/>
  <c r="K2057" i="1" a="1"/>
  <c r="K2057" i="1" s="1"/>
  <c r="I2057" i="1"/>
  <c r="H2057" i="1" a="1"/>
  <c r="H2057" i="1" s="1"/>
  <c r="G2057" i="1" a="1"/>
  <c r="G2057" i="1" s="1"/>
  <c r="A2056" i="1" l="1"/>
  <c r="N2056" i="1" l="1" a="1"/>
  <c r="N2056" i="1" s="1"/>
  <c r="M2056" i="1" a="1"/>
  <c r="M2056" i="1" s="1"/>
  <c r="J2056" i="1" a="1"/>
  <c r="J2056" i="1" s="1"/>
  <c r="L2056" i="1"/>
  <c r="K2056" i="1" a="1"/>
  <c r="K2056" i="1" s="1"/>
  <c r="I2056" i="1"/>
  <c r="H2056" i="1" a="1"/>
  <c r="H2056" i="1" s="1"/>
  <c r="G2056" i="1" a="1"/>
  <c r="G2056" i="1" s="1"/>
  <c r="A2055" i="1" l="1"/>
  <c r="N2055" i="1" l="1" a="1"/>
  <c r="N2055" i="1" s="1"/>
  <c r="M2055" i="1" a="1"/>
  <c r="M2055" i="1" s="1"/>
  <c r="J2055" i="1" a="1"/>
  <c r="J2055" i="1" s="1"/>
  <c r="L2055" i="1"/>
  <c r="K2055" i="1" a="1"/>
  <c r="K2055" i="1" s="1"/>
  <c r="I2055" i="1"/>
  <c r="H2055" i="1" a="1"/>
  <c r="H2055" i="1" s="1"/>
  <c r="G2055" i="1" a="1"/>
  <c r="G2055" i="1" s="1"/>
  <c r="A2054" i="1"/>
  <c r="N2054" i="1" l="1" a="1"/>
  <c r="N2054" i="1" s="1"/>
  <c r="M2054" i="1" a="1"/>
  <c r="M2054" i="1" s="1"/>
  <c r="J2054" i="1" a="1"/>
  <c r="J2054" i="1" s="1"/>
  <c r="L2054" i="1"/>
  <c r="K2054" i="1" a="1"/>
  <c r="K2054" i="1" s="1"/>
  <c r="I2054" i="1"/>
  <c r="H2054" i="1" a="1"/>
  <c r="H2054" i="1" s="1"/>
  <c r="G2054" i="1" a="1"/>
  <c r="G2054" i="1" s="1"/>
  <c r="A2053" i="1" l="1"/>
  <c r="A2052" i="1"/>
  <c r="A2051" i="1"/>
  <c r="N2053" i="1" l="1" a="1"/>
  <c r="N2053" i="1" s="1"/>
  <c r="M2053" i="1" a="1"/>
  <c r="M2053" i="1" s="1"/>
  <c r="N2051" i="1" a="1"/>
  <c r="N2051" i="1" s="1"/>
  <c r="M2051" i="1" a="1"/>
  <c r="M2051" i="1" s="1"/>
  <c r="N2052" i="1" a="1"/>
  <c r="N2052" i="1" s="1"/>
  <c r="M2052" i="1" a="1"/>
  <c r="M2052" i="1" s="1"/>
  <c r="J2051" i="1" a="1"/>
  <c r="J2051" i="1" s="1"/>
  <c r="L2051" i="1"/>
  <c r="K2051" i="1" a="1"/>
  <c r="K2051" i="1" s="1"/>
  <c r="J2052" i="1" a="1"/>
  <c r="J2052" i="1" s="1"/>
  <c r="L2052" i="1"/>
  <c r="K2052" i="1" a="1"/>
  <c r="K2052" i="1" s="1"/>
  <c r="J2053" i="1" a="1"/>
  <c r="J2053" i="1" s="1"/>
  <c r="L2053" i="1"/>
  <c r="K2053" i="1" a="1"/>
  <c r="K2053" i="1" s="1"/>
  <c r="I2053" i="1"/>
  <c r="H2053" i="1" a="1"/>
  <c r="H2053" i="1" s="1"/>
  <c r="G2053" i="1" a="1"/>
  <c r="G2053" i="1" s="1"/>
  <c r="A2050" i="1"/>
  <c r="I2051" i="1"/>
  <c r="H2051" i="1" a="1"/>
  <c r="H2051" i="1" s="1"/>
  <c r="G2051" i="1" a="1"/>
  <c r="G2051" i="1" s="1"/>
  <c r="I2052" i="1"/>
  <c r="H2052" i="1" a="1"/>
  <c r="H2052" i="1" s="1"/>
  <c r="G2052" i="1" a="1"/>
  <c r="G2052" i="1" s="1"/>
  <c r="N2050" i="1" l="1" a="1"/>
  <c r="N2050" i="1" s="1"/>
  <c r="M2050" i="1" a="1"/>
  <c r="M2050" i="1" s="1"/>
  <c r="J2050" i="1" a="1"/>
  <c r="J2050" i="1" s="1"/>
  <c r="L2050" i="1"/>
  <c r="K2050" i="1" a="1"/>
  <c r="K2050" i="1" s="1"/>
  <c r="I2050" i="1"/>
  <c r="H2050" i="1" a="1"/>
  <c r="H2050" i="1" s="1"/>
  <c r="G2050" i="1" a="1"/>
  <c r="G2050" i="1" s="1"/>
  <c r="A2049" i="1"/>
  <c r="N2049" i="1" l="1" a="1"/>
  <c r="N2049" i="1" s="1"/>
  <c r="M2049" i="1" a="1"/>
  <c r="M2049" i="1" s="1"/>
  <c r="J2049" i="1" a="1"/>
  <c r="J2049" i="1" s="1"/>
  <c r="L2049" i="1"/>
  <c r="K2049" i="1" a="1"/>
  <c r="K2049" i="1" s="1"/>
  <c r="I2049" i="1"/>
  <c r="H2049" i="1" a="1"/>
  <c r="H2049" i="1" s="1"/>
  <c r="G2049" i="1" a="1"/>
  <c r="G2049" i="1" s="1"/>
  <c r="A2048" i="1" l="1"/>
  <c r="N2048" i="1" l="1" a="1"/>
  <c r="N2048" i="1" s="1"/>
  <c r="M2048" i="1" a="1"/>
  <c r="M2048" i="1" s="1"/>
  <c r="J2048" i="1" a="1"/>
  <c r="J2048" i="1" s="1"/>
  <c r="L2048" i="1"/>
  <c r="K2048" i="1" a="1"/>
  <c r="K2048" i="1" s="1"/>
  <c r="A2047" i="1"/>
  <c r="I2048" i="1"/>
  <c r="H2048" i="1" a="1"/>
  <c r="H2048" i="1" s="1"/>
  <c r="G2048" i="1" a="1"/>
  <c r="G2048" i="1" s="1"/>
  <c r="N2047" i="1" l="1" a="1"/>
  <c r="N2047" i="1" s="1"/>
  <c r="M2047" i="1" a="1"/>
  <c r="M2047" i="1" s="1"/>
  <c r="J2047" i="1" a="1"/>
  <c r="J2047" i="1" s="1"/>
  <c r="L2047" i="1"/>
  <c r="K2047" i="1" a="1"/>
  <c r="K2047" i="1" s="1"/>
  <c r="I2047" i="1"/>
  <c r="H2047" i="1" a="1"/>
  <c r="H2047" i="1" s="1"/>
  <c r="G2047" i="1" a="1"/>
  <c r="G2047" i="1" s="1"/>
  <c r="A2046" i="1" l="1"/>
  <c r="N2046" i="1" l="1" a="1"/>
  <c r="N2046" i="1" s="1"/>
  <c r="M2046" i="1" a="1"/>
  <c r="M2046" i="1" s="1"/>
  <c r="J2046" i="1" a="1"/>
  <c r="J2046" i="1" s="1"/>
  <c r="L2046" i="1"/>
  <c r="K2046" i="1" a="1"/>
  <c r="K2046" i="1" s="1"/>
  <c r="I2046" i="1"/>
  <c r="H2046" i="1" a="1"/>
  <c r="H2046" i="1" s="1"/>
  <c r="G2046" i="1" a="1"/>
  <c r="G2046" i="1" s="1"/>
  <c r="A2045" i="1" l="1"/>
  <c r="N2045" i="1" l="1" a="1"/>
  <c r="N2045" i="1" s="1"/>
  <c r="M2045" i="1" a="1"/>
  <c r="M2045" i="1" s="1"/>
  <c r="J2045" i="1" a="1"/>
  <c r="J2045" i="1" s="1"/>
  <c r="L2045" i="1"/>
  <c r="K2045" i="1" a="1"/>
  <c r="K2045" i="1" s="1"/>
  <c r="I2045" i="1"/>
  <c r="H2045" i="1" a="1"/>
  <c r="H2045" i="1" s="1"/>
  <c r="G2045" i="1" a="1"/>
  <c r="G2045" i="1" s="1"/>
  <c r="A2044" i="1"/>
  <c r="N2044" i="1" l="1" a="1"/>
  <c r="N2044" i="1" s="1"/>
  <c r="M2044" i="1" a="1"/>
  <c r="M2044" i="1" s="1"/>
  <c r="J2044" i="1" a="1"/>
  <c r="J2044" i="1" s="1"/>
  <c r="L2044" i="1"/>
  <c r="K2044" i="1" a="1"/>
  <c r="K2044" i="1" s="1"/>
  <c r="I2044" i="1"/>
  <c r="H2044" i="1" a="1"/>
  <c r="H2044" i="1" s="1"/>
  <c r="G2044" i="1" a="1"/>
  <c r="G2044" i="1" s="1"/>
  <c r="A2043" i="1"/>
  <c r="N2043" i="1" l="1" a="1"/>
  <c r="N2043" i="1" s="1"/>
  <c r="M2043" i="1" a="1"/>
  <c r="M2043" i="1" s="1"/>
  <c r="J2043" i="1" a="1"/>
  <c r="J2043" i="1" s="1"/>
  <c r="L2043" i="1"/>
  <c r="K2043" i="1" a="1"/>
  <c r="K2043" i="1" s="1"/>
  <c r="A2042" i="1"/>
  <c r="I2043" i="1"/>
  <c r="H2043" i="1" a="1"/>
  <c r="H2043" i="1" s="1"/>
  <c r="G2043" i="1" a="1"/>
  <c r="G2043" i="1" s="1"/>
  <c r="N2042" i="1" l="1" a="1"/>
  <c r="N2042" i="1" s="1"/>
  <c r="M2042" i="1" a="1"/>
  <c r="M2042" i="1" s="1"/>
  <c r="J2042" i="1" a="1"/>
  <c r="J2042" i="1" s="1"/>
  <c r="L2042" i="1"/>
  <c r="K2042" i="1" a="1"/>
  <c r="K2042" i="1" s="1"/>
  <c r="A2041" i="1"/>
  <c r="I2042" i="1"/>
  <c r="H2042" i="1" a="1"/>
  <c r="H2042" i="1" s="1"/>
  <c r="G2042" i="1" a="1"/>
  <c r="G2042" i="1" s="1"/>
  <c r="N2041" i="1" l="1" a="1"/>
  <c r="N2041" i="1" s="1"/>
  <c r="M2041" i="1" a="1"/>
  <c r="M2041" i="1" s="1"/>
  <c r="J2041" i="1" a="1"/>
  <c r="J2041" i="1" s="1"/>
  <c r="L2041" i="1"/>
  <c r="K2041" i="1" a="1"/>
  <c r="K2041" i="1" s="1"/>
  <c r="I2041" i="1"/>
  <c r="H2041" i="1" a="1"/>
  <c r="H2041" i="1" s="1"/>
  <c r="G2041" i="1" a="1"/>
  <c r="G2041" i="1" s="1"/>
  <c r="A2040" i="1" l="1"/>
  <c r="A2039" i="1"/>
  <c r="A2038" i="1"/>
  <c r="N2038" i="1" l="1" a="1"/>
  <c r="N2038" i="1" s="1"/>
  <c r="M2038" i="1" a="1"/>
  <c r="M2038" i="1" s="1"/>
  <c r="N2040" i="1" a="1"/>
  <c r="N2040" i="1" s="1"/>
  <c r="M2040" i="1" a="1"/>
  <c r="M2040" i="1" s="1"/>
  <c r="N2039" i="1" a="1"/>
  <c r="N2039" i="1" s="1"/>
  <c r="M2039" i="1" a="1"/>
  <c r="M2039" i="1" s="1"/>
  <c r="J2038" i="1" a="1"/>
  <c r="J2038" i="1" s="1"/>
  <c r="L2038" i="1"/>
  <c r="K2038" i="1" a="1"/>
  <c r="K2038" i="1" s="1"/>
  <c r="J2039" i="1" a="1"/>
  <c r="J2039" i="1" s="1"/>
  <c r="L2039" i="1"/>
  <c r="K2039" i="1" a="1"/>
  <c r="K2039" i="1" s="1"/>
  <c r="J2040" i="1" a="1"/>
  <c r="J2040" i="1" s="1"/>
  <c r="L2040" i="1"/>
  <c r="K2040" i="1" a="1"/>
  <c r="K2040" i="1" s="1"/>
  <c r="I2038" i="1"/>
  <c r="H2038" i="1" a="1"/>
  <c r="H2038" i="1" s="1"/>
  <c r="G2038" i="1" a="1"/>
  <c r="G2038" i="1" s="1"/>
  <c r="I2039" i="1"/>
  <c r="H2039" i="1" a="1"/>
  <c r="H2039" i="1" s="1"/>
  <c r="G2039" i="1" a="1"/>
  <c r="G2039" i="1" s="1"/>
  <c r="A2037" i="1"/>
  <c r="I2040" i="1"/>
  <c r="H2040" i="1" a="1"/>
  <c r="H2040" i="1" s="1"/>
  <c r="G2040" i="1" a="1"/>
  <c r="G2040" i="1" s="1"/>
  <c r="N2037" i="1" l="1" a="1"/>
  <c r="N2037" i="1" s="1"/>
  <c r="M2037" i="1" a="1"/>
  <c r="M2037" i="1" s="1"/>
  <c r="J2037" i="1" a="1"/>
  <c r="J2037" i="1" s="1"/>
  <c r="L2037" i="1"/>
  <c r="K2037" i="1" a="1"/>
  <c r="K2037" i="1" s="1"/>
  <c r="I2037" i="1"/>
  <c r="H2037" i="1" a="1"/>
  <c r="H2037" i="1" s="1"/>
  <c r="G2037" i="1" a="1"/>
  <c r="G2037" i="1" s="1"/>
  <c r="A2035" i="1" l="1"/>
  <c r="A2034" i="1"/>
  <c r="A2036" i="1"/>
  <c r="N2035" i="1" l="1" a="1"/>
  <c r="N2035" i="1" s="1"/>
  <c r="M2035" i="1" a="1"/>
  <c r="M2035" i="1" s="1"/>
  <c r="N2036" i="1" a="1"/>
  <c r="N2036" i="1" s="1"/>
  <c r="M2036" i="1" a="1"/>
  <c r="M2036" i="1" s="1"/>
  <c r="N2034" i="1" a="1"/>
  <c r="N2034" i="1" s="1"/>
  <c r="M2034" i="1" a="1"/>
  <c r="M2034" i="1" s="1"/>
  <c r="J2036" i="1" a="1"/>
  <c r="J2036" i="1" s="1"/>
  <c r="L2036" i="1"/>
  <c r="K2036" i="1" a="1"/>
  <c r="K2036" i="1" s="1"/>
  <c r="J2034" i="1" a="1"/>
  <c r="J2034" i="1" s="1"/>
  <c r="L2034" i="1"/>
  <c r="K2034" i="1" a="1"/>
  <c r="K2034" i="1" s="1"/>
  <c r="J2035" i="1" a="1"/>
  <c r="J2035" i="1" s="1"/>
  <c r="L2035" i="1"/>
  <c r="K2035" i="1" a="1"/>
  <c r="K2035" i="1" s="1"/>
  <c r="I2036" i="1"/>
  <c r="H2036" i="1" a="1"/>
  <c r="H2036" i="1" s="1"/>
  <c r="G2036" i="1" a="1"/>
  <c r="G2036" i="1" s="1"/>
  <c r="I2034" i="1"/>
  <c r="H2034" i="1" a="1"/>
  <c r="H2034" i="1" s="1"/>
  <c r="G2034" i="1" a="1"/>
  <c r="G2034" i="1" s="1"/>
  <c r="I2035" i="1"/>
  <c r="H2035" i="1" a="1"/>
  <c r="H2035" i="1" s="1"/>
  <c r="G2035" i="1" a="1"/>
  <c r="G2035" i="1" s="1"/>
  <c r="A2033" i="1" l="1"/>
  <c r="A2032" i="1"/>
  <c r="N2032" i="1" l="1" a="1"/>
  <c r="N2032" i="1" s="1"/>
  <c r="M2032" i="1" a="1"/>
  <c r="M2032" i="1" s="1"/>
  <c r="N2033" i="1" a="1"/>
  <c r="N2033" i="1" s="1"/>
  <c r="M2033" i="1" a="1"/>
  <c r="M2033" i="1" s="1"/>
  <c r="J2032" i="1" a="1"/>
  <c r="J2032" i="1" s="1"/>
  <c r="L2032" i="1"/>
  <c r="K2032" i="1" a="1"/>
  <c r="K2032" i="1" s="1"/>
  <c r="J2033" i="1" a="1"/>
  <c r="J2033" i="1" s="1"/>
  <c r="L2033" i="1"/>
  <c r="K2033" i="1" a="1"/>
  <c r="K2033" i="1" s="1"/>
  <c r="I2032" i="1"/>
  <c r="H2032" i="1" a="1"/>
  <c r="H2032" i="1" s="1"/>
  <c r="G2032" i="1" a="1"/>
  <c r="G2032" i="1" s="1"/>
  <c r="I2033" i="1"/>
  <c r="H2033" i="1" a="1"/>
  <c r="H2033" i="1" s="1"/>
  <c r="G2033" i="1" a="1"/>
  <c r="G2033" i="1" s="1"/>
  <c r="A2031" i="1" l="1"/>
  <c r="N2031" i="1" l="1" a="1"/>
  <c r="N2031" i="1" s="1"/>
  <c r="M2031" i="1" a="1"/>
  <c r="M2031" i="1" s="1"/>
  <c r="J2031" i="1" a="1"/>
  <c r="J2031" i="1" s="1"/>
  <c r="L2031" i="1"/>
  <c r="K2031" i="1" a="1"/>
  <c r="K2031" i="1" s="1"/>
  <c r="I2031" i="1"/>
  <c r="H2031" i="1" a="1"/>
  <c r="H2031" i="1" s="1"/>
  <c r="G2031" i="1" a="1"/>
  <c r="G2031" i="1" s="1"/>
  <c r="A2030" i="1" l="1"/>
  <c r="A2029" i="1"/>
  <c r="N2029" i="1" l="1" a="1"/>
  <c r="N2029" i="1" s="1"/>
  <c r="M2029" i="1" a="1"/>
  <c r="M2029" i="1" s="1"/>
  <c r="N2030" i="1" a="1"/>
  <c r="N2030" i="1" s="1"/>
  <c r="M2030" i="1" a="1"/>
  <c r="M2030" i="1" s="1"/>
  <c r="J2029" i="1" a="1"/>
  <c r="J2029" i="1" s="1"/>
  <c r="L2029" i="1"/>
  <c r="K2029" i="1" a="1"/>
  <c r="K2029" i="1" s="1"/>
  <c r="J2030" i="1" a="1"/>
  <c r="J2030" i="1" s="1"/>
  <c r="L2030" i="1"/>
  <c r="K2030" i="1" a="1"/>
  <c r="K2030" i="1" s="1"/>
  <c r="I2029" i="1"/>
  <c r="H2029" i="1" a="1"/>
  <c r="H2029" i="1" s="1"/>
  <c r="G2029" i="1" a="1"/>
  <c r="G2029" i="1" s="1"/>
  <c r="A2028" i="1"/>
  <c r="I2030" i="1"/>
  <c r="H2030" i="1" a="1"/>
  <c r="H2030" i="1" s="1"/>
  <c r="G2030" i="1" a="1"/>
  <c r="G2030" i="1" s="1"/>
  <c r="N2028" i="1" l="1" a="1"/>
  <c r="N2028" i="1" s="1"/>
  <c r="M2028" i="1" a="1"/>
  <c r="M2028" i="1" s="1"/>
  <c r="J2028" i="1" a="1"/>
  <c r="J2028" i="1" s="1"/>
  <c r="L2028" i="1"/>
  <c r="K2028" i="1" a="1"/>
  <c r="K2028" i="1" s="1"/>
  <c r="I2028" i="1"/>
  <c r="H2028" i="1" a="1"/>
  <c r="H2028" i="1" s="1"/>
  <c r="G2028" i="1" a="1"/>
  <c r="G2028" i="1" s="1"/>
  <c r="A2027" i="1" l="1"/>
  <c r="N2027" i="1" l="1" a="1"/>
  <c r="N2027" i="1" s="1"/>
  <c r="M2027" i="1" a="1"/>
  <c r="M2027" i="1" s="1"/>
  <c r="J2027" i="1" a="1"/>
  <c r="J2027" i="1" s="1"/>
  <c r="L2027" i="1"/>
  <c r="K2027" i="1" a="1"/>
  <c r="K2027" i="1" s="1"/>
  <c r="I2027" i="1"/>
  <c r="H2027" i="1" a="1"/>
  <c r="H2027" i="1" s="1"/>
  <c r="G2027" i="1" a="1"/>
  <c r="G2027" i="1" s="1"/>
  <c r="A2026" i="1" l="1"/>
  <c r="N2026" i="1" l="1" a="1"/>
  <c r="N2026" i="1" s="1"/>
  <c r="M2026" i="1" a="1"/>
  <c r="M2026" i="1" s="1"/>
  <c r="J2026" i="1" a="1"/>
  <c r="J2026" i="1" s="1"/>
  <c r="L2026" i="1"/>
  <c r="K2026" i="1" a="1"/>
  <c r="K2026" i="1" s="1"/>
  <c r="I2026" i="1"/>
  <c r="H2026" i="1" a="1"/>
  <c r="H2026" i="1" s="1"/>
  <c r="G2026" i="1" a="1"/>
  <c r="G2026" i="1" s="1"/>
  <c r="A2025" i="1" l="1"/>
  <c r="A2024" i="1"/>
  <c r="N2024" i="1" l="1" a="1"/>
  <c r="N2024" i="1" s="1"/>
  <c r="M2024" i="1" a="1"/>
  <c r="M2024" i="1" s="1"/>
  <c r="N2025" i="1" a="1"/>
  <c r="N2025" i="1" s="1"/>
  <c r="M2025" i="1" a="1"/>
  <c r="M2025" i="1" s="1"/>
  <c r="J2024" i="1" a="1"/>
  <c r="J2024" i="1" s="1"/>
  <c r="L2024" i="1"/>
  <c r="K2024" i="1" a="1"/>
  <c r="K2024" i="1" s="1"/>
  <c r="J2025" i="1" a="1"/>
  <c r="J2025" i="1" s="1"/>
  <c r="L2025" i="1"/>
  <c r="K2025" i="1" a="1"/>
  <c r="K2025" i="1" s="1"/>
  <c r="I2024" i="1"/>
  <c r="H2024" i="1" a="1"/>
  <c r="H2024" i="1" s="1"/>
  <c r="G2024" i="1" a="1"/>
  <c r="G2024" i="1" s="1"/>
  <c r="I2025" i="1"/>
  <c r="H2025" i="1" a="1"/>
  <c r="H2025" i="1" s="1"/>
  <c r="G2025" i="1" a="1"/>
  <c r="G2025" i="1" s="1"/>
  <c r="A2023" i="1" l="1"/>
  <c r="A2022" i="1"/>
  <c r="N2022" i="1" l="1" a="1"/>
  <c r="N2022" i="1" s="1"/>
  <c r="M2022" i="1" a="1"/>
  <c r="M2022" i="1" s="1"/>
  <c r="N2023" i="1" a="1"/>
  <c r="N2023" i="1" s="1"/>
  <c r="M2023" i="1" a="1"/>
  <c r="M2023" i="1" s="1"/>
  <c r="J2022" i="1" a="1"/>
  <c r="J2022" i="1" s="1"/>
  <c r="L2022" i="1"/>
  <c r="K2022" i="1" a="1"/>
  <c r="K2022" i="1" s="1"/>
  <c r="J2023" i="1" a="1"/>
  <c r="J2023" i="1" s="1"/>
  <c r="L2023" i="1"/>
  <c r="K2023" i="1" a="1"/>
  <c r="K2023" i="1" s="1"/>
  <c r="A2021" i="1"/>
  <c r="I2022" i="1"/>
  <c r="H2022" i="1" a="1"/>
  <c r="H2022" i="1" s="1"/>
  <c r="G2022" i="1" a="1"/>
  <c r="G2022" i="1" s="1"/>
  <c r="I2023" i="1"/>
  <c r="H2023" i="1" a="1"/>
  <c r="H2023" i="1" s="1"/>
  <c r="G2023" i="1" a="1"/>
  <c r="G2023" i="1" s="1"/>
  <c r="N2021" i="1" l="1" a="1"/>
  <c r="N2021" i="1" s="1"/>
  <c r="M2021" i="1" a="1"/>
  <c r="M2021" i="1" s="1"/>
  <c r="J2021" i="1" a="1"/>
  <c r="J2021" i="1" s="1"/>
  <c r="L2021" i="1"/>
  <c r="K2021" i="1" a="1"/>
  <c r="K2021" i="1" s="1"/>
  <c r="I2021" i="1"/>
  <c r="H2021" i="1" a="1"/>
  <c r="H2021" i="1" s="1"/>
  <c r="G2021" i="1" a="1"/>
  <c r="G2021" i="1" s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N1703" i="1" l="1" a="1"/>
  <c r="N1703" i="1" s="1"/>
  <c r="M1703" i="1" a="1"/>
  <c r="M1703" i="1" s="1"/>
  <c r="N1316" i="1" a="1"/>
  <c r="N1316" i="1" s="1"/>
  <c r="M1316" i="1" a="1"/>
  <c r="M1316" i="1" s="1"/>
  <c r="N1016" i="1" a="1"/>
  <c r="N1016" i="1" s="1"/>
  <c r="M1016" i="1" a="1"/>
  <c r="M1016" i="1" s="1"/>
  <c r="N736" i="1" a="1"/>
  <c r="N736" i="1" s="1"/>
  <c r="M736" i="1" a="1"/>
  <c r="M736" i="1" s="1"/>
  <c r="N456" i="1" a="1"/>
  <c r="N456" i="1" s="1"/>
  <c r="M456" i="1" a="1"/>
  <c r="M456" i="1" s="1"/>
  <c r="N196" i="1" a="1"/>
  <c r="N196" i="1" s="1"/>
  <c r="M196" i="1" a="1"/>
  <c r="M196" i="1" s="1"/>
  <c r="N1742" i="1" a="1"/>
  <c r="N1742" i="1" s="1"/>
  <c r="M1742" i="1" a="1"/>
  <c r="M1742" i="1" s="1"/>
  <c r="N1415" i="1" a="1"/>
  <c r="N1415" i="1" s="1"/>
  <c r="M1415" i="1" a="1"/>
  <c r="M1415" i="1" s="1"/>
  <c r="N1235" i="1" a="1"/>
  <c r="N1235" i="1" s="1"/>
  <c r="M1235" i="1" a="1"/>
  <c r="M1235" i="1" s="1"/>
  <c r="N1055" i="1" a="1"/>
  <c r="N1055" i="1" s="1"/>
  <c r="M1055" i="1" a="1"/>
  <c r="M1055" i="1" s="1"/>
  <c r="N955" i="1" a="1"/>
  <c r="N955" i="1" s="1"/>
  <c r="M955" i="1" a="1"/>
  <c r="M955" i="1" s="1"/>
  <c r="N895" i="1" a="1"/>
  <c r="N895" i="1" s="1"/>
  <c r="M895" i="1" a="1"/>
  <c r="M895" i="1" s="1"/>
  <c r="N835" i="1" a="1"/>
  <c r="N835" i="1" s="1"/>
  <c r="M835" i="1" a="1"/>
  <c r="M835" i="1" s="1"/>
  <c r="N815" i="1" a="1"/>
  <c r="N815" i="1" s="1"/>
  <c r="M815" i="1" a="1"/>
  <c r="M815" i="1" s="1"/>
  <c r="N755" i="1" a="1"/>
  <c r="N755" i="1" s="1"/>
  <c r="M755" i="1" a="1"/>
  <c r="M755" i="1" s="1"/>
  <c r="N695" i="1" a="1"/>
  <c r="N695" i="1" s="1"/>
  <c r="M695" i="1" a="1"/>
  <c r="M695" i="1" s="1"/>
  <c r="N635" i="1" a="1"/>
  <c r="N635" i="1" s="1"/>
  <c r="M635" i="1" a="1"/>
  <c r="M635" i="1" s="1"/>
  <c r="N575" i="1" a="1"/>
  <c r="N575" i="1" s="1"/>
  <c r="M575" i="1" a="1"/>
  <c r="M575" i="1" s="1"/>
  <c r="N515" i="1" a="1"/>
  <c r="N515" i="1" s="1"/>
  <c r="M515" i="1" a="1"/>
  <c r="M515" i="1" s="1"/>
  <c r="N455" i="1" a="1"/>
  <c r="N455" i="1" s="1"/>
  <c r="M455" i="1" a="1"/>
  <c r="M455" i="1" s="1"/>
  <c r="N375" i="1" a="1"/>
  <c r="N375" i="1" s="1"/>
  <c r="M375" i="1" a="1"/>
  <c r="M375" i="1" s="1"/>
  <c r="N335" i="1" a="1"/>
  <c r="N335" i="1" s="1"/>
  <c r="M335" i="1" a="1"/>
  <c r="M335" i="1" s="1"/>
  <c r="N275" i="1" a="1"/>
  <c r="N275" i="1" s="1"/>
  <c r="M275" i="1" a="1"/>
  <c r="M275" i="1" s="1"/>
  <c r="N235" i="1" a="1"/>
  <c r="N235" i="1" s="1"/>
  <c r="M235" i="1" a="1"/>
  <c r="M235" i="1" s="1"/>
  <c r="N175" i="1" a="1"/>
  <c r="N175" i="1" s="1"/>
  <c r="M175" i="1" a="1"/>
  <c r="M175" i="1" s="1"/>
  <c r="N115" i="1" a="1"/>
  <c r="N115" i="1" s="1"/>
  <c r="M115" i="1" a="1"/>
  <c r="M115" i="1" s="1"/>
  <c r="N75" i="1" a="1"/>
  <c r="N75" i="1" s="1"/>
  <c r="M75" i="1" a="1"/>
  <c r="M75" i="1" s="1"/>
  <c r="N55" i="1" a="1"/>
  <c r="N55" i="1" s="1"/>
  <c r="M55" i="1" a="1"/>
  <c r="M55" i="1" s="1"/>
  <c r="N1821" i="1" a="1"/>
  <c r="N1821" i="1" s="1"/>
  <c r="M1821" i="1" a="1"/>
  <c r="M1821" i="1" s="1"/>
  <c r="N1801" i="1" a="1"/>
  <c r="N1801" i="1" s="1"/>
  <c r="M1801" i="1" a="1"/>
  <c r="M1801" i="1" s="1"/>
  <c r="N1741" i="1" a="1"/>
  <c r="N1741" i="1" s="1"/>
  <c r="M1741" i="1" a="1"/>
  <c r="M1741" i="1" s="1"/>
  <c r="N1681" i="1" a="1"/>
  <c r="N1681" i="1" s="1"/>
  <c r="M1681" i="1" a="1"/>
  <c r="M1681" i="1" s="1"/>
  <c r="N1641" i="1" a="1"/>
  <c r="N1641" i="1" s="1"/>
  <c r="M1641" i="1" a="1"/>
  <c r="M1641" i="1" s="1"/>
  <c r="N1434" i="1" a="1"/>
  <c r="N1434" i="1" s="1"/>
  <c r="M1434" i="1" a="1"/>
  <c r="M1434" i="1" s="1"/>
  <c r="N1374" i="1" a="1"/>
  <c r="N1374" i="1" s="1"/>
  <c r="M1374" i="1" a="1"/>
  <c r="M1374" i="1" s="1"/>
  <c r="N1314" i="1" a="1"/>
  <c r="N1314" i="1" s="1"/>
  <c r="M1314" i="1" a="1"/>
  <c r="M1314" i="1" s="1"/>
  <c r="N1274" i="1" a="1"/>
  <c r="N1274" i="1" s="1"/>
  <c r="M1274" i="1" a="1"/>
  <c r="M1274" i="1" s="1"/>
  <c r="N1214" i="1" a="1"/>
  <c r="N1214" i="1" s="1"/>
  <c r="M1214" i="1" a="1"/>
  <c r="M1214" i="1" s="1"/>
  <c r="N1154" i="1" a="1"/>
  <c r="N1154" i="1" s="1"/>
  <c r="M1154" i="1" a="1"/>
  <c r="M1154" i="1" s="1"/>
  <c r="N1094" i="1" a="1"/>
  <c r="N1094" i="1" s="1"/>
  <c r="M1094" i="1" a="1"/>
  <c r="M1094" i="1" s="1"/>
  <c r="N1034" i="1" a="1"/>
  <c r="N1034" i="1" s="1"/>
  <c r="M1034" i="1" a="1"/>
  <c r="M1034" i="1" s="1"/>
  <c r="N974" i="1" a="1"/>
  <c r="N974" i="1" s="1"/>
  <c r="M974" i="1" a="1"/>
  <c r="M974" i="1" s="1"/>
  <c r="N914" i="1" a="1"/>
  <c r="N914" i="1" s="1"/>
  <c r="M914" i="1" a="1"/>
  <c r="M914" i="1" s="1"/>
  <c r="N874" i="1" a="1"/>
  <c r="N874" i="1" s="1"/>
  <c r="M874" i="1" a="1"/>
  <c r="M874" i="1" s="1"/>
  <c r="N814" i="1" a="1"/>
  <c r="N814" i="1" s="1"/>
  <c r="M814" i="1" a="1"/>
  <c r="M814" i="1" s="1"/>
  <c r="N774" i="1" a="1"/>
  <c r="N774" i="1" s="1"/>
  <c r="M774" i="1" a="1"/>
  <c r="M774" i="1" s="1"/>
  <c r="N714" i="1" a="1"/>
  <c r="N714" i="1" s="1"/>
  <c r="M714" i="1" a="1"/>
  <c r="M714" i="1" s="1"/>
  <c r="N674" i="1" a="1"/>
  <c r="N674" i="1" s="1"/>
  <c r="M674" i="1" a="1"/>
  <c r="M674" i="1" s="1"/>
  <c r="N634" i="1" a="1"/>
  <c r="N634" i="1" s="1"/>
  <c r="M634" i="1" a="1"/>
  <c r="M634" i="1" s="1"/>
  <c r="N574" i="1" a="1"/>
  <c r="N574" i="1" s="1"/>
  <c r="M574" i="1" a="1"/>
  <c r="M574" i="1" s="1"/>
  <c r="N534" i="1" a="1"/>
  <c r="N534" i="1" s="1"/>
  <c r="M534" i="1" a="1"/>
  <c r="M534" i="1" s="1"/>
  <c r="N494" i="1" a="1"/>
  <c r="N494" i="1" s="1"/>
  <c r="M494" i="1" a="1"/>
  <c r="M494" i="1" s="1"/>
  <c r="N454" i="1" a="1"/>
  <c r="N454" i="1" s="1"/>
  <c r="M454" i="1" a="1"/>
  <c r="M454" i="1" s="1"/>
  <c r="N414" i="1" a="1"/>
  <c r="N414" i="1" s="1"/>
  <c r="M414" i="1" a="1"/>
  <c r="M414" i="1" s="1"/>
  <c r="N374" i="1" a="1"/>
  <c r="N374" i="1" s="1"/>
  <c r="M374" i="1" a="1"/>
  <c r="M374" i="1" s="1"/>
  <c r="N334" i="1" a="1"/>
  <c r="N334" i="1" s="1"/>
  <c r="M334" i="1" a="1"/>
  <c r="M334" i="1" s="1"/>
  <c r="N294" i="1" a="1"/>
  <c r="N294" i="1" s="1"/>
  <c r="M294" i="1" a="1"/>
  <c r="M294" i="1" s="1"/>
  <c r="N254" i="1" a="1"/>
  <c r="N254" i="1" s="1"/>
  <c r="M254" i="1" a="1"/>
  <c r="M254" i="1" s="1"/>
  <c r="N214" i="1" a="1"/>
  <c r="N214" i="1" s="1"/>
  <c r="M214" i="1" a="1"/>
  <c r="M214" i="1" s="1"/>
  <c r="N174" i="1" a="1"/>
  <c r="N174" i="1" s="1"/>
  <c r="M174" i="1" a="1"/>
  <c r="M174" i="1" s="1"/>
  <c r="N114" i="1" a="1"/>
  <c r="N114" i="1" s="1"/>
  <c r="M114" i="1" a="1"/>
  <c r="M114" i="1" s="1"/>
  <c r="N54" i="1" a="1"/>
  <c r="N54" i="1" s="1"/>
  <c r="M54" i="1" a="1"/>
  <c r="M54" i="1" s="1"/>
  <c r="N34" i="1" a="1"/>
  <c r="N34" i="1" s="1"/>
  <c r="M34" i="1" a="1"/>
  <c r="M34" i="1" s="1"/>
  <c r="N1820" i="1" a="1"/>
  <c r="N1820" i="1" s="1"/>
  <c r="M1820" i="1" a="1"/>
  <c r="M1820" i="1" s="1"/>
  <c r="N1780" i="1" a="1"/>
  <c r="N1780" i="1" s="1"/>
  <c r="M1780" i="1" a="1"/>
  <c r="M1780" i="1" s="1"/>
  <c r="N1740" i="1" a="1"/>
  <c r="N1740" i="1" s="1"/>
  <c r="M1740" i="1" a="1"/>
  <c r="M1740" i="1" s="1"/>
  <c r="N1680" i="1" a="1"/>
  <c r="N1680" i="1" s="1"/>
  <c r="M1680" i="1" a="1"/>
  <c r="M1680" i="1" s="1"/>
  <c r="N1640" i="1" a="1"/>
  <c r="N1640" i="1" s="1"/>
  <c r="M1640" i="1" a="1"/>
  <c r="M1640" i="1" s="1"/>
  <c r="N1600" i="1" a="1"/>
  <c r="N1600" i="1" s="1"/>
  <c r="M1600" i="1" a="1"/>
  <c r="M1600" i="1" s="1"/>
  <c r="N1413" i="1" a="1"/>
  <c r="N1413" i="1" s="1"/>
  <c r="M1413" i="1" a="1"/>
  <c r="M1413" i="1" s="1"/>
  <c r="N1373" i="1" a="1"/>
  <c r="N1373" i="1" s="1"/>
  <c r="M1373" i="1" a="1"/>
  <c r="M1373" i="1" s="1"/>
  <c r="N1353" i="1" a="1"/>
  <c r="N1353" i="1" s="1"/>
  <c r="M1353" i="1" a="1"/>
  <c r="M1353" i="1" s="1"/>
  <c r="N1333" i="1" a="1"/>
  <c r="N1333" i="1" s="1"/>
  <c r="M1333" i="1" a="1"/>
  <c r="M1333" i="1" s="1"/>
  <c r="N1293" i="1" a="1"/>
  <c r="N1293" i="1" s="1"/>
  <c r="M1293" i="1" a="1"/>
  <c r="M1293" i="1" s="1"/>
  <c r="N1273" i="1" a="1"/>
  <c r="N1273" i="1" s="1"/>
  <c r="M1273" i="1" a="1"/>
  <c r="M1273" i="1" s="1"/>
  <c r="N1253" i="1" a="1"/>
  <c r="N1253" i="1" s="1"/>
  <c r="M1253" i="1" a="1"/>
  <c r="M1253" i="1" s="1"/>
  <c r="N1233" i="1" a="1"/>
  <c r="N1233" i="1" s="1"/>
  <c r="M1233" i="1" a="1"/>
  <c r="M1233" i="1" s="1"/>
  <c r="N1213" i="1" a="1"/>
  <c r="N1213" i="1" s="1"/>
  <c r="M1213" i="1" a="1"/>
  <c r="M1213" i="1" s="1"/>
  <c r="N1193" i="1" a="1"/>
  <c r="N1193" i="1" s="1"/>
  <c r="M1193" i="1" a="1"/>
  <c r="M1193" i="1" s="1"/>
  <c r="N1173" i="1" a="1"/>
  <c r="N1173" i="1" s="1"/>
  <c r="M1173" i="1" a="1"/>
  <c r="M1173" i="1" s="1"/>
  <c r="N1153" i="1" a="1"/>
  <c r="N1153" i="1" s="1"/>
  <c r="M1153" i="1" a="1"/>
  <c r="M1153" i="1" s="1"/>
  <c r="N1133" i="1" a="1"/>
  <c r="N1133" i="1" s="1"/>
  <c r="M1133" i="1" a="1"/>
  <c r="M1133" i="1" s="1"/>
  <c r="N1113" i="1" a="1"/>
  <c r="N1113" i="1" s="1"/>
  <c r="M1113" i="1" a="1"/>
  <c r="M1113" i="1" s="1"/>
  <c r="N1093" i="1" a="1"/>
  <c r="N1093" i="1" s="1"/>
  <c r="M1093" i="1" a="1"/>
  <c r="M1093" i="1" s="1"/>
  <c r="N1073" i="1" a="1"/>
  <c r="N1073" i="1" s="1"/>
  <c r="M1073" i="1" a="1"/>
  <c r="M1073" i="1" s="1"/>
  <c r="N1053" i="1" a="1"/>
  <c r="N1053" i="1" s="1"/>
  <c r="M1053" i="1" a="1"/>
  <c r="M1053" i="1" s="1"/>
  <c r="N1033" i="1" a="1"/>
  <c r="N1033" i="1" s="1"/>
  <c r="M1033" i="1" a="1"/>
  <c r="M1033" i="1" s="1"/>
  <c r="N1013" i="1" a="1"/>
  <c r="N1013" i="1" s="1"/>
  <c r="M1013" i="1" a="1"/>
  <c r="M1013" i="1" s="1"/>
  <c r="N993" i="1" a="1"/>
  <c r="N993" i="1" s="1"/>
  <c r="M993" i="1" a="1"/>
  <c r="M993" i="1" s="1"/>
  <c r="N973" i="1" a="1"/>
  <c r="N973" i="1" s="1"/>
  <c r="M973" i="1" a="1"/>
  <c r="M973" i="1" s="1"/>
  <c r="N953" i="1" a="1"/>
  <c r="N953" i="1" s="1"/>
  <c r="M953" i="1" a="1"/>
  <c r="M953" i="1" s="1"/>
  <c r="N933" i="1" a="1"/>
  <c r="N933" i="1" s="1"/>
  <c r="M933" i="1" a="1"/>
  <c r="M933" i="1" s="1"/>
  <c r="N913" i="1" a="1"/>
  <c r="N913" i="1" s="1"/>
  <c r="M913" i="1" a="1"/>
  <c r="M913" i="1" s="1"/>
  <c r="N893" i="1" a="1"/>
  <c r="N893" i="1" s="1"/>
  <c r="M893" i="1" a="1"/>
  <c r="M893" i="1" s="1"/>
  <c r="N873" i="1" a="1"/>
  <c r="N873" i="1" s="1"/>
  <c r="M873" i="1" a="1"/>
  <c r="M873" i="1" s="1"/>
  <c r="N853" i="1" a="1"/>
  <c r="N853" i="1" s="1"/>
  <c r="M853" i="1" a="1"/>
  <c r="M853" i="1" s="1"/>
  <c r="N833" i="1" a="1"/>
  <c r="N833" i="1" s="1"/>
  <c r="M833" i="1" a="1"/>
  <c r="M833" i="1" s="1"/>
  <c r="N813" i="1" a="1"/>
  <c r="N813" i="1" s="1"/>
  <c r="M813" i="1" a="1"/>
  <c r="M813" i="1" s="1"/>
  <c r="N793" i="1" a="1"/>
  <c r="N793" i="1" s="1"/>
  <c r="M793" i="1" a="1"/>
  <c r="M793" i="1" s="1"/>
  <c r="N773" i="1" a="1"/>
  <c r="N773" i="1" s="1"/>
  <c r="M773" i="1" a="1"/>
  <c r="M773" i="1" s="1"/>
  <c r="N753" i="1" a="1"/>
  <c r="N753" i="1" s="1"/>
  <c r="M753" i="1" a="1"/>
  <c r="M753" i="1" s="1"/>
  <c r="N733" i="1" a="1"/>
  <c r="N733" i="1" s="1"/>
  <c r="M733" i="1" a="1"/>
  <c r="M733" i="1" s="1"/>
  <c r="N713" i="1" a="1"/>
  <c r="N713" i="1" s="1"/>
  <c r="M713" i="1" a="1"/>
  <c r="M713" i="1" s="1"/>
  <c r="N693" i="1" a="1"/>
  <c r="N693" i="1" s="1"/>
  <c r="M693" i="1" a="1"/>
  <c r="M693" i="1" s="1"/>
  <c r="N673" i="1" a="1"/>
  <c r="N673" i="1" s="1"/>
  <c r="M673" i="1" a="1"/>
  <c r="M673" i="1" s="1"/>
  <c r="N653" i="1" a="1"/>
  <c r="N653" i="1" s="1"/>
  <c r="M653" i="1" a="1"/>
  <c r="M653" i="1" s="1"/>
  <c r="N633" i="1" a="1"/>
  <c r="N633" i="1" s="1"/>
  <c r="M633" i="1" a="1"/>
  <c r="M633" i="1" s="1"/>
  <c r="N613" i="1" a="1"/>
  <c r="N613" i="1" s="1"/>
  <c r="M613" i="1" a="1"/>
  <c r="M613" i="1" s="1"/>
  <c r="N593" i="1" a="1"/>
  <c r="N593" i="1" s="1"/>
  <c r="M593" i="1" a="1"/>
  <c r="M593" i="1" s="1"/>
  <c r="N573" i="1" a="1"/>
  <c r="N573" i="1" s="1"/>
  <c r="M573" i="1" a="1"/>
  <c r="M573" i="1" s="1"/>
  <c r="N553" i="1" a="1"/>
  <c r="N553" i="1" s="1"/>
  <c r="M553" i="1" a="1"/>
  <c r="M553" i="1" s="1"/>
  <c r="N533" i="1" a="1"/>
  <c r="N533" i="1" s="1"/>
  <c r="M533" i="1" a="1"/>
  <c r="M533" i="1" s="1"/>
  <c r="N513" i="1" a="1"/>
  <c r="N513" i="1" s="1"/>
  <c r="M513" i="1" a="1"/>
  <c r="M513" i="1" s="1"/>
  <c r="N493" i="1" a="1"/>
  <c r="N493" i="1" s="1"/>
  <c r="M493" i="1" a="1"/>
  <c r="M493" i="1" s="1"/>
  <c r="N473" i="1" a="1"/>
  <c r="N473" i="1" s="1"/>
  <c r="M473" i="1" a="1"/>
  <c r="M473" i="1" s="1"/>
  <c r="N453" i="1" a="1"/>
  <c r="N453" i="1" s="1"/>
  <c r="M453" i="1" a="1"/>
  <c r="M453" i="1" s="1"/>
  <c r="N433" i="1" a="1"/>
  <c r="N433" i="1" s="1"/>
  <c r="M433" i="1" a="1"/>
  <c r="M433" i="1" s="1"/>
  <c r="N413" i="1" a="1"/>
  <c r="N413" i="1" s="1"/>
  <c r="M413" i="1" a="1"/>
  <c r="M413" i="1" s="1"/>
  <c r="N393" i="1" a="1"/>
  <c r="N393" i="1" s="1"/>
  <c r="M393" i="1" a="1"/>
  <c r="M393" i="1" s="1"/>
  <c r="N373" i="1" a="1"/>
  <c r="N373" i="1" s="1"/>
  <c r="M373" i="1" a="1"/>
  <c r="M373" i="1" s="1"/>
  <c r="N353" i="1" a="1"/>
  <c r="N353" i="1" s="1"/>
  <c r="M353" i="1" a="1"/>
  <c r="M353" i="1" s="1"/>
  <c r="N333" i="1" a="1"/>
  <c r="N333" i="1" s="1"/>
  <c r="M333" i="1" a="1"/>
  <c r="M333" i="1" s="1"/>
  <c r="N313" i="1" a="1"/>
  <c r="N313" i="1" s="1"/>
  <c r="M313" i="1" a="1"/>
  <c r="M313" i="1" s="1"/>
  <c r="N293" i="1" a="1"/>
  <c r="N293" i="1" s="1"/>
  <c r="M293" i="1" a="1"/>
  <c r="M293" i="1" s="1"/>
  <c r="N273" i="1" a="1"/>
  <c r="N273" i="1" s="1"/>
  <c r="M273" i="1" a="1"/>
  <c r="M273" i="1" s="1"/>
  <c r="N253" i="1" a="1"/>
  <c r="N253" i="1" s="1"/>
  <c r="M253" i="1" a="1"/>
  <c r="M253" i="1" s="1"/>
  <c r="N233" i="1" a="1"/>
  <c r="N233" i="1" s="1"/>
  <c r="M233" i="1" a="1"/>
  <c r="M233" i="1" s="1"/>
  <c r="N213" i="1" a="1"/>
  <c r="N213" i="1" s="1"/>
  <c r="M213" i="1" a="1"/>
  <c r="M213" i="1" s="1"/>
  <c r="N193" i="1" a="1"/>
  <c r="N193" i="1" s="1"/>
  <c r="M193" i="1" a="1"/>
  <c r="M193" i="1" s="1"/>
  <c r="N173" i="1" a="1"/>
  <c r="N173" i="1" s="1"/>
  <c r="M173" i="1" a="1"/>
  <c r="M173" i="1" s="1"/>
  <c r="N153" i="1" a="1"/>
  <c r="N153" i="1" s="1"/>
  <c r="M153" i="1" a="1"/>
  <c r="M153" i="1" s="1"/>
  <c r="N133" i="1" a="1"/>
  <c r="N133" i="1" s="1"/>
  <c r="M133" i="1" a="1"/>
  <c r="M133" i="1" s="1"/>
  <c r="N113" i="1" a="1"/>
  <c r="N113" i="1" s="1"/>
  <c r="M113" i="1" a="1"/>
  <c r="M113" i="1" s="1"/>
  <c r="N93" i="1" a="1"/>
  <c r="N93" i="1" s="1"/>
  <c r="M93" i="1" a="1"/>
  <c r="M93" i="1" s="1"/>
  <c r="N73" i="1" a="1"/>
  <c r="N73" i="1" s="1"/>
  <c r="M73" i="1" a="1"/>
  <c r="M73" i="1" s="1"/>
  <c r="N53" i="1" a="1"/>
  <c r="N53" i="1" s="1"/>
  <c r="M53" i="1" a="1"/>
  <c r="M53" i="1" s="1"/>
  <c r="N33" i="1" a="1"/>
  <c r="N33" i="1" s="1"/>
  <c r="M33" i="1" a="1"/>
  <c r="M33" i="1" s="1"/>
  <c r="N13" i="1" a="1"/>
  <c r="N13" i="1" s="1"/>
  <c r="M13" i="1" a="1"/>
  <c r="M13" i="1" s="1"/>
  <c r="N1763" i="1" a="1"/>
  <c r="N1763" i="1" s="1"/>
  <c r="M1763" i="1" a="1"/>
  <c r="M1763" i="1" s="1"/>
  <c r="N1583" i="1" a="1"/>
  <c r="N1583" i="1" s="1"/>
  <c r="M1583" i="1" a="1"/>
  <c r="M1583" i="1" s="1"/>
  <c r="N1156" i="1" a="1"/>
  <c r="N1156" i="1" s="1"/>
  <c r="M1156" i="1" a="1"/>
  <c r="M1156" i="1" s="1"/>
  <c r="N796" i="1" a="1"/>
  <c r="N796" i="1" s="1"/>
  <c r="M796" i="1" a="1"/>
  <c r="M796" i="1" s="1"/>
  <c r="N556" i="1" a="1"/>
  <c r="N556" i="1" s="1"/>
  <c r="M556" i="1" a="1"/>
  <c r="M556" i="1" s="1"/>
  <c r="N176" i="1" a="1"/>
  <c r="N176" i="1" s="1"/>
  <c r="M176" i="1" a="1"/>
  <c r="M176" i="1" s="1"/>
  <c r="N1782" i="1" a="1"/>
  <c r="N1782" i="1" s="1"/>
  <c r="M1782" i="1" a="1"/>
  <c r="M1782" i="1" s="1"/>
  <c r="N1395" i="1" a="1"/>
  <c r="N1395" i="1" s="1"/>
  <c r="M1395" i="1" a="1"/>
  <c r="M1395" i="1" s="1"/>
  <c r="N1255" i="1" a="1"/>
  <c r="N1255" i="1" s="1"/>
  <c r="M1255" i="1" a="1"/>
  <c r="M1255" i="1" s="1"/>
  <c r="N1155" i="1" a="1"/>
  <c r="N1155" i="1" s="1"/>
  <c r="M1155" i="1" a="1"/>
  <c r="M1155" i="1" s="1"/>
  <c r="N995" i="1" a="1"/>
  <c r="N995" i="1" s="1"/>
  <c r="M995" i="1" a="1"/>
  <c r="M995" i="1" s="1"/>
  <c r="N935" i="1" a="1"/>
  <c r="N935" i="1" s="1"/>
  <c r="M935" i="1" a="1"/>
  <c r="M935" i="1" s="1"/>
  <c r="N875" i="1" a="1"/>
  <c r="N875" i="1" s="1"/>
  <c r="M875" i="1" a="1"/>
  <c r="M875" i="1" s="1"/>
  <c r="N775" i="1" a="1"/>
  <c r="N775" i="1" s="1"/>
  <c r="M775" i="1" a="1"/>
  <c r="M775" i="1" s="1"/>
  <c r="N715" i="1" a="1"/>
  <c r="N715" i="1" s="1"/>
  <c r="M715" i="1" a="1"/>
  <c r="M715" i="1" s="1"/>
  <c r="N655" i="1" a="1"/>
  <c r="N655" i="1" s="1"/>
  <c r="M655" i="1" a="1"/>
  <c r="M655" i="1" s="1"/>
  <c r="N615" i="1" a="1"/>
  <c r="N615" i="1" s="1"/>
  <c r="M615" i="1" a="1"/>
  <c r="M615" i="1" s="1"/>
  <c r="N555" i="1" a="1"/>
  <c r="N555" i="1" s="1"/>
  <c r="M555" i="1" a="1"/>
  <c r="M555" i="1" s="1"/>
  <c r="N495" i="1" a="1"/>
  <c r="N495" i="1" s="1"/>
  <c r="M495" i="1" a="1"/>
  <c r="M495" i="1" s="1"/>
  <c r="N435" i="1" a="1"/>
  <c r="N435" i="1" s="1"/>
  <c r="M435" i="1" a="1"/>
  <c r="M435" i="1" s="1"/>
  <c r="N395" i="1" a="1"/>
  <c r="N395" i="1" s="1"/>
  <c r="M395" i="1" a="1"/>
  <c r="M395" i="1" s="1"/>
  <c r="N315" i="1" a="1"/>
  <c r="N315" i="1" s="1"/>
  <c r="M315" i="1" a="1"/>
  <c r="M315" i="1" s="1"/>
  <c r="N255" i="1" a="1"/>
  <c r="N255" i="1" s="1"/>
  <c r="M255" i="1" a="1"/>
  <c r="M255" i="1" s="1"/>
  <c r="N195" i="1" a="1"/>
  <c r="N195" i="1" s="1"/>
  <c r="M195" i="1" a="1"/>
  <c r="M195" i="1" s="1"/>
  <c r="N155" i="1" a="1"/>
  <c r="N155" i="1" s="1"/>
  <c r="M155" i="1" a="1"/>
  <c r="M155" i="1" s="1"/>
  <c r="N95" i="1" a="1"/>
  <c r="N95" i="1" s="1"/>
  <c r="M95" i="1" a="1"/>
  <c r="M95" i="1" s="1"/>
  <c r="N35" i="1" a="1"/>
  <c r="N35" i="1" s="1"/>
  <c r="M35" i="1" a="1"/>
  <c r="M35" i="1" s="1"/>
  <c r="N1781" i="1" a="1"/>
  <c r="N1781" i="1" s="1"/>
  <c r="M1781" i="1" a="1"/>
  <c r="M1781" i="1" s="1"/>
  <c r="N1721" i="1" a="1"/>
  <c r="N1721" i="1" s="1"/>
  <c r="M1721" i="1" a="1"/>
  <c r="M1721" i="1" s="1"/>
  <c r="N1661" i="1" a="1"/>
  <c r="N1661" i="1" s="1"/>
  <c r="M1661" i="1" a="1"/>
  <c r="M1661" i="1" s="1"/>
  <c r="N1601" i="1" a="1"/>
  <c r="N1601" i="1" s="1"/>
  <c r="M1601" i="1" a="1"/>
  <c r="M1601" i="1" s="1"/>
  <c r="N1394" i="1" a="1"/>
  <c r="N1394" i="1" s="1"/>
  <c r="M1394" i="1" a="1"/>
  <c r="M1394" i="1" s="1"/>
  <c r="N1334" i="1" a="1"/>
  <c r="N1334" i="1" s="1"/>
  <c r="M1334" i="1" a="1"/>
  <c r="M1334" i="1" s="1"/>
  <c r="N1254" i="1" a="1"/>
  <c r="N1254" i="1" s="1"/>
  <c r="M1254" i="1" a="1"/>
  <c r="M1254" i="1" s="1"/>
  <c r="N1194" i="1" a="1"/>
  <c r="N1194" i="1" s="1"/>
  <c r="M1194" i="1" a="1"/>
  <c r="M1194" i="1" s="1"/>
  <c r="N1134" i="1" a="1"/>
  <c r="N1134" i="1" s="1"/>
  <c r="M1134" i="1" a="1"/>
  <c r="M1134" i="1" s="1"/>
  <c r="N1054" i="1" a="1"/>
  <c r="N1054" i="1" s="1"/>
  <c r="M1054" i="1" a="1"/>
  <c r="M1054" i="1" s="1"/>
  <c r="N994" i="1" a="1"/>
  <c r="N994" i="1" s="1"/>
  <c r="M994" i="1" a="1"/>
  <c r="M994" i="1" s="1"/>
  <c r="N934" i="1" a="1"/>
  <c r="N934" i="1" s="1"/>
  <c r="M934" i="1" a="1"/>
  <c r="M934" i="1" s="1"/>
  <c r="N854" i="1" a="1"/>
  <c r="N854" i="1" s="1"/>
  <c r="M854" i="1" a="1"/>
  <c r="M854" i="1" s="1"/>
  <c r="N794" i="1" a="1"/>
  <c r="N794" i="1" s="1"/>
  <c r="M794" i="1" a="1"/>
  <c r="M794" i="1" s="1"/>
  <c r="N754" i="1" a="1"/>
  <c r="N754" i="1" s="1"/>
  <c r="M754" i="1" a="1"/>
  <c r="M754" i="1" s="1"/>
  <c r="N694" i="1" a="1"/>
  <c r="N694" i="1" s="1"/>
  <c r="M694" i="1" a="1"/>
  <c r="M694" i="1" s="1"/>
  <c r="N654" i="1" a="1"/>
  <c r="N654" i="1" s="1"/>
  <c r="M654" i="1" a="1"/>
  <c r="M654" i="1" s="1"/>
  <c r="N594" i="1" a="1"/>
  <c r="N594" i="1" s="1"/>
  <c r="M594" i="1" a="1"/>
  <c r="M594" i="1" s="1"/>
  <c r="N554" i="1" a="1"/>
  <c r="N554" i="1" s="1"/>
  <c r="M554" i="1" a="1"/>
  <c r="M554" i="1" s="1"/>
  <c r="N514" i="1" a="1"/>
  <c r="N514" i="1" s="1"/>
  <c r="M514" i="1" a="1"/>
  <c r="M514" i="1" s="1"/>
  <c r="N474" i="1" a="1"/>
  <c r="N474" i="1" s="1"/>
  <c r="M474" i="1" a="1"/>
  <c r="M474" i="1" s="1"/>
  <c r="N434" i="1" a="1"/>
  <c r="N434" i="1" s="1"/>
  <c r="M434" i="1" a="1"/>
  <c r="M434" i="1" s="1"/>
  <c r="N394" i="1" a="1"/>
  <c r="N394" i="1" s="1"/>
  <c r="M394" i="1" a="1"/>
  <c r="M394" i="1" s="1"/>
  <c r="N354" i="1" a="1"/>
  <c r="N354" i="1" s="1"/>
  <c r="M354" i="1" a="1"/>
  <c r="M354" i="1" s="1"/>
  <c r="N314" i="1" a="1"/>
  <c r="N314" i="1" s="1"/>
  <c r="M314" i="1" a="1"/>
  <c r="M314" i="1" s="1"/>
  <c r="N274" i="1" a="1"/>
  <c r="N274" i="1" s="1"/>
  <c r="M274" i="1" a="1"/>
  <c r="M274" i="1" s="1"/>
  <c r="N234" i="1" a="1"/>
  <c r="N234" i="1" s="1"/>
  <c r="M234" i="1" a="1"/>
  <c r="M234" i="1" s="1"/>
  <c r="N194" i="1" a="1"/>
  <c r="N194" i="1" s="1"/>
  <c r="M194" i="1" a="1"/>
  <c r="M194" i="1" s="1"/>
  <c r="N134" i="1" a="1"/>
  <c r="N134" i="1" s="1"/>
  <c r="M134" i="1" a="1"/>
  <c r="M134" i="1" s="1"/>
  <c r="N94" i="1" a="1"/>
  <c r="N94" i="1" s="1"/>
  <c r="M94" i="1" a="1"/>
  <c r="M94" i="1" s="1"/>
  <c r="N74" i="1" a="1"/>
  <c r="N74" i="1" s="1"/>
  <c r="M74" i="1" a="1"/>
  <c r="M74" i="1" s="1"/>
  <c r="N14" i="1" a="1"/>
  <c r="N14" i="1" s="1"/>
  <c r="M14" i="1" a="1"/>
  <c r="M14" i="1" s="1"/>
  <c r="N1800" i="1" a="1"/>
  <c r="N1800" i="1" s="1"/>
  <c r="M1800" i="1" a="1"/>
  <c r="M1800" i="1" s="1"/>
  <c r="N1760" i="1" a="1"/>
  <c r="N1760" i="1" s="1"/>
  <c r="M1760" i="1" a="1"/>
  <c r="M1760" i="1" s="1"/>
  <c r="N1720" i="1" a="1"/>
  <c r="N1720" i="1" s="1"/>
  <c r="M1720" i="1" a="1"/>
  <c r="M1720" i="1" s="1"/>
  <c r="N1700" i="1" a="1"/>
  <c r="N1700" i="1" s="1"/>
  <c r="M1700" i="1" a="1"/>
  <c r="M1700" i="1" s="1"/>
  <c r="N1660" i="1" a="1"/>
  <c r="N1660" i="1" s="1"/>
  <c r="M1660" i="1" a="1"/>
  <c r="M1660" i="1" s="1"/>
  <c r="N1620" i="1" a="1"/>
  <c r="N1620" i="1" s="1"/>
  <c r="M1620" i="1" a="1"/>
  <c r="M1620" i="1" s="1"/>
  <c r="N1580" i="1" a="1"/>
  <c r="N1580" i="1" s="1"/>
  <c r="M1580" i="1" a="1"/>
  <c r="M1580" i="1" s="1"/>
  <c r="N1433" i="1" a="1"/>
  <c r="N1433" i="1" s="1"/>
  <c r="M1433" i="1" a="1"/>
  <c r="M1433" i="1" s="1"/>
  <c r="N1393" i="1" a="1"/>
  <c r="N1393" i="1" s="1"/>
  <c r="M1393" i="1" a="1"/>
  <c r="M1393" i="1" s="1"/>
  <c r="N1313" i="1" a="1"/>
  <c r="N1313" i="1" s="1"/>
  <c r="M1313" i="1" a="1"/>
  <c r="M1313" i="1" s="1"/>
  <c r="N1819" i="1" a="1"/>
  <c r="N1819" i="1" s="1"/>
  <c r="M1819" i="1" a="1"/>
  <c r="M1819" i="1" s="1"/>
  <c r="N1799" i="1" a="1"/>
  <c r="N1799" i="1" s="1"/>
  <c r="M1799" i="1" a="1"/>
  <c r="M1799" i="1" s="1"/>
  <c r="N1779" i="1" a="1"/>
  <c r="N1779" i="1" s="1"/>
  <c r="M1779" i="1" a="1"/>
  <c r="M1779" i="1" s="1"/>
  <c r="N1759" i="1" a="1"/>
  <c r="N1759" i="1" s="1"/>
  <c r="M1759" i="1" a="1"/>
  <c r="M1759" i="1" s="1"/>
  <c r="N1739" i="1" a="1"/>
  <c r="N1739" i="1" s="1"/>
  <c r="M1739" i="1" a="1"/>
  <c r="M1739" i="1" s="1"/>
  <c r="N1719" i="1" a="1"/>
  <c r="N1719" i="1" s="1"/>
  <c r="M1719" i="1" a="1"/>
  <c r="M1719" i="1" s="1"/>
  <c r="N1699" i="1" a="1"/>
  <c r="N1699" i="1" s="1"/>
  <c r="M1699" i="1" a="1"/>
  <c r="M1699" i="1" s="1"/>
  <c r="N1679" i="1" a="1"/>
  <c r="N1679" i="1" s="1"/>
  <c r="M1679" i="1" a="1"/>
  <c r="M1679" i="1" s="1"/>
  <c r="N1659" i="1" a="1"/>
  <c r="N1659" i="1" s="1"/>
  <c r="M1659" i="1" a="1"/>
  <c r="M1659" i="1" s="1"/>
  <c r="N1639" i="1" a="1"/>
  <c r="N1639" i="1" s="1"/>
  <c r="M1639" i="1" a="1"/>
  <c r="M1639" i="1" s="1"/>
  <c r="N1619" i="1" a="1"/>
  <c r="N1619" i="1" s="1"/>
  <c r="M1619" i="1" a="1"/>
  <c r="M1619" i="1" s="1"/>
  <c r="N1599" i="1" a="1"/>
  <c r="N1599" i="1" s="1"/>
  <c r="M1599" i="1" a="1"/>
  <c r="M1599" i="1" s="1"/>
  <c r="N1579" i="1" a="1"/>
  <c r="N1579" i="1" s="1"/>
  <c r="M1579" i="1" a="1"/>
  <c r="M1579" i="1" s="1"/>
  <c r="N1432" i="1" a="1"/>
  <c r="N1432" i="1" s="1"/>
  <c r="M1432" i="1" a="1"/>
  <c r="M1432" i="1" s="1"/>
  <c r="N1412" i="1" a="1"/>
  <c r="N1412" i="1" s="1"/>
  <c r="M1412" i="1" a="1"/>
  <c r="M1412" i="1" s="1"/>
  <c r="N1392" i="1" a="1"/>
  <c r="N1392" i="1" s="1"/>
  <c r="M1392" i="1" a="1"/>
  <c r="M1392" i="1" s="1"/>
  <c r="N1372" i="1" a="1"/>
  <c r="N1372" i="1" s="1"/>
  <c r="M1372" i="1" a="1"/>
  <c r="M1372" i="1" s="1"/>
  <c r="N1352" i="1" a="1"/>
  <c r="N1352" i="1" s="1"/>
  <c r="M1352" i="1" a="1"/>
  <c r="M1352" i="1" s="1"/>
  <c r="N1332" i="1" a="1"/>
  <c r="N1332" i="1" s="1"/>
  <c r="M1332" i="1" a="1"/>
  <c r="M1332" i="1" s="1"/>
  <c r="N1312" i="1" a="1"/>
  <c r="N1312" i="1" s="1"/>
  <c r="M1312" i="1" a="1"/>
  <c r="M1312" i="1" s="1"/>
  <c r="N1292" i="1" a="1"/>
  <c r="N1292" i="1" s="1"/>
  <c r="M1292" i="1" a="1"/>
  <c r="M1292" i="1" s="1"/>
  <c r="N1272" i="1" a="1"/>
  <c r="N1272" i="1" s="1"/>
  <c r="M1272" i="1" a="1"/>
  <c r="M1272" i="1" s="1"/>
  <c r="N1252" i="1" a="1"/>
  <c r="N1252" i="1" s="1"/>
  <c r="M1252" i="1" a="1"/>
  <c r="M1252" i="1" s="1"/>
  <c r="N1232" i="1" a="1"/>
  <c r="N1232" i="1" s="1"/>
  <c r="M1232" i="1" a="1"/>
  <c r="M1232" i="1" s="1"/>
  <c r="N1212" i="1" a="1"/>
  <c r="N1212" i="1" s="1"/>
  <c r="M1212" i="1" a="1"/>
  <c r="M1212" i="1" s="1"/>
  <c r="N1192" i="1" a="1"/>
  <c r="N1192" i="1" s="1"/>
  <c r="M1192" i="1" a="1"/>
  <c r="M1192" i="1" s="1"/>
  <c r="N1172" i="1" a="1"/>
  <c r="N1172" i="1" s="1"/>
  <c r="M1172" i="1" a="1"/>
  <c r="M1172" i="1" s="1"/>
  <c r="N1152" i="1" a="1"/>
  <c r="N1152" i="1" s="1"/>
  <c r="M1152" i="1" a="1"/>
  <c r="M1152" i="1" s="1"/>
  <c r="N1132" i="1" a="1"/>
  <c r="N1132" i="1" s="1"/>
  <c r="M1132" i="1" a="1"/>
  <c r="M1132" i="1" s="1"/>
  <c r="N1112" i="1" a="1"/>
  <c r="N1112" i="1" s="1"/>
  <c r="M1112" i="1" a="1"/>
  <c r="M1112" i="1" s="1"/>
  <c r="N1092" i="1" a="1"/>
  <c r="N1092" i="1" s="1"/>
  <c r="M1092" i="1" a="1"/>
  <c r="M1092" i="1" s="1"/>
  <c r="N1072" i="1" a="1"/>
  <c r="N1072" i="1" s="1"/>
  <c r="M1072" i="1" a="1"/>
  <c r="M1072" i="1" s="1"/>
  <c r="N1052" i="1" a="1"/>
  <c r="N1052" i="1" s="1"/>
  <c r="M1052" i="1" a="1"/>
  <c r="M1052" i="1" s="1"/>
  <c r="N1032" i="1" a="1"/>
  <c r="N1032" i="1" s="1"/>
  <c r="M1032" i="1" a="1"/>
  <c r="M1032" i="1" s="1"/>
  <c r="N1012" i="1" a="1"/>
  <c r="N1012" i="1" s="1"/>
  <c r="M1012" i="1" a="1"/>
  <c r="M1012" i="1" s="1"/>
  <c r="N992" i="1" a="1"/>
  <c r="N992" i="1" s="1"/>
  <c r="M992" i="1" a="1"/>
  <c r="M992" i="1" s="1"/>
  <c r="N972" i="1" a="1"/>
  <c r="N972" i="1" s="1"/>
  <c r="M972" i="1" a="1"/>
  <c r="M972" i="1" s="1"/>
  <c r="N952" i="1" a="1"/>
  <c r="N952" i="1" s="1"/>
  <c r="M952" i="1" a="1"/>
  <c r="M952" i="1" s="1"/>
  <c r="N932" i="1" a="1"/>
  <c r="N932" i="1" s="1"/>
  <c r="M932" i="1" a="1"/>
  <c r="M932" i="1" s="1"/>
  <c r="N912" i="1" a="1"/>
  <c r="N912" i="1" s="1"/>
  <c r="M912" i="1" a="1"/>
  <c r="M912" i="1" s="1"/>
  <c r="N892" i="1" a="1"/>
  <c r="N892" i="1" s="1"/>
  <c r="M892" i="1" a="1"/>
  <c r="M892" i="1" s="1"/>
  <c r="N872" i="1" a="1"/>
  <c r="N872" i="1" s="1"/>
  <c r="M872" i="1" a="1"/>
  <c r="M872" i="1" s="1"/>
  <c r="N852" i="1" a="1"/>
  <c r="N852" i="1" s="1"/>
  <c r="M852" i="1" a="1"/>
  <c r="M852" i="1" s="1"/>
  <c r="N832" i="1" a="1"/>
  <c r="N832" i="1" s="1"/>
  <c r="M832" i="1" a="1"/>
  <c r="M832" i="1" s="1"/>
  <c r="N812" i="1" a="1"/>
  <c r="N812" i="1" s="1"/>
  <c r="M812" i="1" a="1"/>
  <c r="M812" i="1" s="1"/>
  <c r="N792" i="1" a="1"/>
  <c r="N792" i="1" s="1"/>
  <c r="M792" i="1" a="1"/>
  <c r="M792" i="1" s="1"/>
  <c r="N772" i="1" a="1"/>
  <c r="N772" i="1" s="1"/>
  <c r="M772" i="1" a="1"/>
  <c r="M772" i="1" s="1"/>
  <c r="N752" i="1" a="1"/>
  <c r="N752" i="1" s="1"/>
  <c r="M752" i="1" a="1"/>
  <c r="M752" i="1" s="1"/>
  <c r="N732" i="1" a="1"/>
  <c r="N732" i="1" s="1"/>
  <c r="M732" i="1" a="1"/>
  <c r="M732" i="1" s="1"/>
  <c r="N712" i="1" a="1"/>
  <c r="N712" i="1" s="1"/>
  <c r="M712" i="1" a="1"/>
  <c r="M712" i="1" s="1"/>
  <c r="N692" i="1" a="1"/>
  <c r="N692" i="1" s="1"/>
  <c r="M692" i="1" a="1"/>
  <c r="M692" i="1" s="1"/>
  <c r="N672" i="1" a="1"/>
  <c r="N672" i="1" s="1"/>
  <c r="M672" i="1" a="1"/>
  <c r="M672" i="1" s="1"/>
  <c r="N652" i="1" a="1"/>
  <c r="N652" i="1" s="1"/>
  <c r="M652" i="1" a="1"/>
  <c r="M652" i="1" s="1"/>
  <c r="N632" i="1" a="1"/>
  <c r="N632" i="1" s="1"/>
  <c r="M632" i="1" a="1"/>
  <c r="M632" i="1" s="1"/>
  <c r="N612" i="1" a="1"/>
  <c r="N612" i="1" s="1"/>
  <c r="M612" i="1" a="1"/>
  <c r="M612" i="1" s="1"/>
  <c r="N592" i="1" a="1"/>
  <c r="N592" i="1" s="1"/>
  <c r="M592" i="1" a="1"/>
  <c r="M592" i="1" s="1"/>
  <c r="N572" i="1" a="1"/>
  <c r="N572" i="1" s="1"/>
  <c r="M572" i="1" a="1"/>
  <c r="M572" i="1" s="1"/>
  <c r="N552" i="1" a="1"/>
  <c r="N552" i="1" s="1"/>
  <c r="M552" i="1" a="1"/>
  <c r="M552" i="1" s="1"/>
  <c r="N532" i="1" a="1"/>
  <c r="N532" i="1" s="1"/>
  <c r="M532" i="1" a="1"/>
  <c r="M532" i="1" s="1"/>
  <c r="N512" i="1" a="1"/>
  <c r="N512" i="1" s="1"/>
  <c r="M512" i="1" a="1"/>
  <c r="M512" i="1" s="1"/>
  <c r="N492" i="1" a="1"/>
  <c r="N492" i="1" s="1"/>
  <c r="M492" i="1" a="1"/>
  <c r="M492" i="1" s="1"/>
  <c r="N472" i="1" a="1"/>
  <c r="N472" i="1" s="1"/>
  <c r="M472" i="1" a="1"/>
  <c r="M472" i="1" s="1"/>
  <c r="N452" i="1" a="1"/>
  <c r="N452" i="1" s="1"/>
  <c r="M452" i="1" a="1"/>
  <c r="M452" i="1" s="1"/>
  <c r="N432" i="1" a="1"/>
  <c r="N432" i="1" s="1"/>
  <c r="M432" i="1" a="1"/>
  <c r="M432" i="1" s="1"/>
  <c r="N412" i="1" a="1"/>
  <c r="N412" i="1" s="1"/>
  <c r="M412" i="1" a="1"/>
  <c r="M412" i="1" s="1"/>
  <c r="N392" i="1" a="1"/>
  <c r="N392" i="1" s="1"/>
  <c r="M392" i="1" a="1"/>
  <c r="M392" i="1" s="1"/>
  <c r="N372" i="1" a="1"/>
  <c r="N372" i="1" s="1"/>
  <c r="M372" i="1" a="1"/>
  <c r="M372" i="1" s="1"/>
  <c r="N352" i="1" a="1"/>
  <c r="N352" i="1" s="1"/>
  <c r="M352" i="1" a="1"/>
  <c r="M352" i="1" s="1"/>
  <c r="N332" i="1" a="1"/>
  <c r="N332" i="1" s="1"/>
  <c r="M332" i="1" a="1"/>
  <c r="M332" i="1" s="1"/>
  <c r="N312" i="1" a="1"/>
  <c r="N312" i="1" s="1"/>
  <c r="M312" i="1" a="1"/>
  <c r="M312" i="1" s="1"/>
  <c r="N292" i="1" a="1"/>
  <c r="N292" i="1" s="1"/>
  <c r="M292" i="1" a="1"/>
  <c r="M292" i="1" s="1"/>
  <c r="N272" i="1" a="1"/>
  <c r="N272" i="1" s="1"/>
  <c r="M272" i="1" a="1"/>
  <c r="M272" i="1" s="1"/>
  <c r="N252" i="1" a="1"/>
  <c r="N252" i="1" s="1"/>
  <c r="M252" i="1" a="1"/>
  <c r="M252" i="1" s="1"/>
  <c r="N232" i="1" a="1"/>
  <c r="N232" i="1" s="1"/>
  <c r="M232" i="1" a="1"/>
  <c r="M232" i="1" s="1"/>
  <c r="N212" i="1" a="1"/>
  <c r="N212" i="1" s="1"/>
  <c r="M212" i="1" a="1"/>
  <c r="M212" i="1" s="1"/>
  <c r="N192" i="1" a="1"/>
  <c r="N192" i="1" s="1"/>
  <c r="M192" i="1" a="1"/>
  <c r="M192" i="1" s="1"/>
  <c r="N172" i="1" a="1"/>
  <c r="N172" i="1" s="1"/>
  <c r="M172" i="1" a="1"/>
  <c r="M172" i="1" s="1"/>
  <c r="N152" i="1" a="1"/>
  <c r="N152" i="1" s="1"/>
  <c r="M152" i="1" a="1"/>
  <c r="M152" i="1" s="1"/>
  <c r="N132" i="1" a="1"/>
  <c r="N132" i="1" s="1"/>
  <c r="M132" i="1" a="1"/>
  <c r="M132" i="1" s="1"/>
  <c r="N112" i="1" a="1"/>
  <c r="N112" i="1" s="1"/>
  <c r="M112" i="1" a="1"/>
  <c r="M112" i="1" s="1"/>
  <c r="N92" i="1" a="1"/>
  <c r="N92" i="1" s="1"/>
  <c r="M92" i="1" a="1"/>
  <c r="M92" i="1" s="1"/>
  <c r="N72" i="1" a="1"/>
  <c r="N72" i="1" s="1"/>
  <c r="M72" i="1" a="1"/>
  <c r="M72" i="1" s="1"/>
  <c r="N52" i="1" a="1"/>
  <c r="N52" i="1" s="1"/>
  <c r="M52" i="1" a="1"/>
  <c r="M52" i="1" s="1"/>
  <c r="N32" i="1" a="1"/>
  <c r="N32" i="1" s="1"/>
  <c r="M32" i="1" a="1"/>
  <c r="M32" i="1" s="1"/>
  <c r="N12" i="1" a="1"/>
  <c r="N12" i="1" s="1"/>
  <c r="M12" i="1" a="1"/>
  <c r="M12" i="1" s="1"/>
  <c r="N1823" i="1" a="1"/>
  <c r="N1823" i="1" s="1"/>
  <c r="M1823" i="1" a="1"/>
  <c r="M1823" i="1" s="1"/>
  <c r="N1336" i="1" a="1"/>
  <c r="N1336" i="1" s="1"/>
  <c r="M1336" i="1" a="1"/>
  <c r="M1336" i="1" s="1"/>
  <c r="N996" i="1" a="1"/>
  <c r="N996" i="1" s="1"/>
  <c r="M996" i="1" a="1"/>
  <c r="M996" i="1" s="1"/>
  <c r="N616" i="1" a="1"/>
  <c r="N616" i="1" s="1"/>
  <c r="M616" i="1" a="1"/>
  <c r="M616" i="1" s="1"/>
  <c r="N96" i="1" a="1"/>
  <c r="N96" i="1" s="1"/>
  <c r="M96" i="1" a="1"/>
  <c r="M96" i="1" s="1"/>
  <c r="N1822" i="1" a="1"/>
  <c r="N1822" i="1" s="1"/>
  <c r="M1822" i="1" a="1"/>
  <c r="M1822" i="1" s="1"/>
  <c r="N1622" i="1" a="1"/>
  <c r="N1622" i="1" s="1"/>
  <c r="M1622" i="1" a="1"/>
  <c r="M1622" i="1" s="1"/>
  <c r="N1295" i="1" a="1"/>
  <c r="N1295" i="1" s="1"/>
  <c r="M1295" i="1" a="1"/>
  <c r="M1295" i="1" s="1"/>
  <c r="N1175" i="1" a="1"/>
  <c r="N1175" i="1" s="1"/>
  <c r="M1175" i="1" a="1"/>
  <c r="M1175" i="1" s="1"/>
  <c r="N975" i="1" a="1"/>
  <c r="N975" i="1" s="1"/>
  <c r="M975" i="1" a="1"/>
  <c r="M975" i="1" s="1"/>
  <c r="N915" i="1" a="1"/>
  <c r="N915" i="1" s="1"/>
  <c r="M915" i="1" a="1"/>
  <c r="M915" i="1" s="1"/>
  <c r="N855" i="1" a="1"/>
  <c r="N855" i="1" s="1"/>
  <c r="M855" i="1" a="1"/>
  <c r="M855" i="1" s="1"/>
  <c r="N795" i="1" a="1"/>
  <c r="N795" i="1" s="1"/>
  <c r="M795" i="1" a="1"/>
  <c r="M795" i="1" s="1"/>
  <c r="N735" i="1" a="1"/>
  <c r="N735" i="1" s="1"/>
  <c r="M735" i="1" a="1"/>
  <c r="M735" i="1" s="1"/>
  <c r="N675" i="1" a="1"/>
  <c r="N675" i="1" s="1"/>
  <c r="M675" i="1" a="1"/>
  <c r="M675" i="1" s="1"/>
  <c r="N595" i="1" a="1"/>
  <c r="N595" i="1" s="1"/>
  <c r="M595" i="1" a="1"/>
  <c r="M595" i="1" s="1"/>
  <c r="N535" i="1" a="1"/>
  <c r="N535" i="1" s="1"/>
  <c r="M535" i="1" a="1"/>
  <c r="M535" i="1" s="1"/>
  <c r="N475" i="1" a="1"/>
  <c r="N475" i="1" s="1"/>
  <c r="M475" i="1" a="1"/>
  <c r="M475" i="1" s="1"/>
  <c r="N415" i="1" a="1"/>
  <c r="N415" i="1" s="1"/>
  <c r="M415" i="1" a="1"/>
  <c r="M415" i="1" s="1"/>
  <c r="N355" i="1" a="1"/>
  <c r="N355" i="1" s="1"/>
  <c r="M355" i="1" a="1"/>
  <c r="M355" i="1" s="1"/>
  <c r="N295" i="1" a="1"/>
  <c r="N295" i="1" s="1"/>
  <c r="M295" i="1" a="1"/>
  <c r="M295" i="1" s="1"/>
  <c r="N215" i="1" a="1"/>
  <c r="N215" i="1" s="1"/>
  <c r="M215" i="1" a="1"/>
  <c r="M215" i="1" s="1"/>
  <c r="N135" i="1" a="1"/>
  <c r="N135" i="1" s="1"/>
  <c r="M135" i="1" a="1"/>
  <c r="M135" i="1" s="1"/>
  <c r="N15" i="1" a="1"/>
  <c r="N15" i="1" s="1"/>
  <c r="M15" i="1" a="1"/>
  <c r="M15" i="1" s="1"/>
  <c r="N1761" i="1" a="1"/>
  <c r="N1761" i="1" s="1"/>
  <c r="M1761" i="1" a="1"/>
  <c r="M1761" i="1" s="1"/>
  <c r="N1701" i="1" a="1"/>
  <c r="N1701" i="1" s="1"/>
  <c r="M1701" i="1" a="1"/>
  <c r="M1701" i="1" s="1"/>
  <c r="N1621" i="1" a="1"/>
  <c r="N1621" i="1" s="1"/>
  <c r="M1621" i="1" a="1"/>
  <c r="M1621" i="1" s="1"/>
  <c r="N1581" i="1" a="1"/>
  <c r="N1581" i="1" s="1"/>
  <c r="M1581" i="1" a="1"/>
  <c r="M1581" i="1" s="1"/>
  <c r="N1414" i="1" a="1"/>
  <c r="N1414" i="1" s="1"/>
  <c r="M1414" i="1" a="1"/>
  <c r="M1414" i="1" s="1"/>
  <c r="N1354" i="1" a="1"/>
  <c r="N1354" i="1" s="1"/>
  <c r="M1354" i="1" a="1"/>
  <c r="M1354" i="1" s="1"/>
  <c r="N1294" i="1" a="1"/>
  <c r="N1294" i="1" s="1"/>
  <c r="M1294" i="1" a="1"/>
  <c r="M1294" i="1" s="1"/>
  <c r="N1234" i="1" a="1"/>
  <c r="N1234" i="1" s="1"/>
  <c r="M1234" i="1" a="1"/>
  <c r="M1234" i="1" s="1"/>
  <c r="N1174" i="1" a="1"/>
  <c r="N1174" i="1" s="1"/>
  <c r="M1174" i="1" a="1"/>
  <c r="M1174" i="1" s="1"/>
  <c r="N1114" i="1" a="1"/>
  <c r="N1114" i="1" s="1"/>
  <c r="M1114" i="1" a="1"/>
  <c r="M1114" i="1" s="1"/>
  <c r="N1074" i="1" a="1"/>
  <c r="N1074" i="1" s="1"/>
  <c r="M1074" i="1" a="1"/>
  <c r="M1074" i="1" s="1"/>
  <c r="N1014" i="1" a="1"/>
  <c r="N1014" i="1" s="1"/>
  <c r="M1014" i="1" a="1"/>
  <c r="M1014" i="1" s="1"/>
  <c r="N954" i="1" a="1"/>
  <c r="N954" i="1" s="1"/>
  <c r="M954" i="1" a="1"/>
  <c r="M954" i="1" s="1"/>
  <c r="N894" i="1" a="1"/>
  <c r="N894" i="1" s="1"/>
  <c r="M894" i="1" a="1"/>
  <c r="M894" i="1" s="1"/>
  <c r="N834" i="1" a="1"/>
  <c r="N834" i="1" s="1"/>
  <c r="M834" i="1" a="1"/>
  <c r="M834" i="1" s="1"/>
  <c r="N734" i="1" a="1"/>
  <c r="N734" i="1" s="1"/>
  <c r="M734" i="1" a="1"/>
  <c r="M734" i="1" s="1"/>
  <c r="N614" i="1" a="1"/>
  <c r="N614" i="1" s="1"/>
  <c r="M614" i="1" a="1"/>
  <c r="M614" i="1" s="1"/>
  <c r="N154" i="1" a="1"/>
  <c r="N154" i="1" s="1"/>
  <c r="M154" i="1" a="1"/>
  <c r="M154" i="1" s="1"/>
  <c r="N1818" i="1" a="1"/>
  <c r="N1818" i="1" s="1"/>
  <c r="M1818" i="1" a="1"/>
  <c r="M1818" i="1" s="1"/>
  <c r="N1798" i="1" a="1"/>
  <c r="N1798" i="1" s="1"/>
  <c r="M1798" i="1" a="1"/>
  <c r="M1798" i="1" s="1"/>
  <c r="N1778" i="1" a="1"/>
  <c r="N1778" i="1" s="1"/>
  <c r="M1778" i="1" a="1"/>
  <c r="M1778" i="1" s="1"/>
  <c r="N1758" i="1" a="1"/>
  <c r="N1758" i="1" s="1"/>
  <c r="M1758" i="1" a="1"/>
  <c r="M1758" i="1" s="1"/>
  <c r="N1738" i="1" a="1"/>
  <c r="N1738" i="1" s="1"/>
  <c r="M1738" i="1" a="1"/>
  <c r="M1738" i="1" s="1"/>
  <c r="N1718" i="1" a="1"/>
  <c r="N1718" i="1" s="1"/>
  <c r="M1718" i="1" a="1"/>
  <c r="M1718" i="1" s="1"/>
  <c r="N1698" i="1" a="1"/>
  <c r="N1698" i="1" s="1"/>
  <c r="M1698" i="1" a="1"/>
  <c r="M1698" i="1" s="1"/>
  <c r="N1678" i="1" a="1"/>
  <c r="N1678" i="1" s="1"/>
  <c r="M1678" i="1" a="1"/>
  <c r="M1678" i="1" s="1"/>
  <c r="N1658" i="1" a="1"/>
  <c r="N1658" i="1" s="1"/>
  <c r="M1658" i="1" a="1"/>
  <c r="M1658" i="1" s="1"/>
  <c r="N1638" i="1" a="1"/>
  <c r="N1638" i="1" s="1"/>
  <c r="M1638" i="1" a="1"/>
  <c r="M1638" i="1" s="1"/>
  <c r="N1618" i="1" a="1"/>
  <c r="N1618" i="1" s="1"/>
  <c r="M1618" i="1" a="1"/>
  <c r="M1618" i="1" s="1"/>
  <c r="N1598" i="1" a="1"/>
  <c r="N1598" i="1" s="1"/>
  <c r="M1598" i="1" a="1"/>
  <c r="M1598" i="1" s="1"/>
  <c r="N1578" i="1" a="1"/>
  <c r="N1578" i="1" s="1"/>
  <c r="M1578" i="1" a="1"/>
  <c r="M1578" i="1" s="1"/>
  <c r="N1431" i="1" a="1"/>
  <c r="N1431" i="1" s="1"/>
  <c r="M1431" i="1" a="1"/>
  <c r="M1431" i="1" s="1"/>
  <c r="N1411" i="1" a="1"/>
  <c r="N1411" i="1" s="1"/>
  <c r="M1411" i="1" a="1"/>
  <c r="M1411" i="1" s="1"/>
  <c r="N1391" i="1" a="1"/>
  <c r="N1391" i="1" s="1"/>
  <c r="M1391" i="1" a="1"/>
  <c r="M1391" i="1" s="1"/>
  <c r="N1371" i="1" a="1"/>
  <c r="N1371" i="1" s="1"/>
  <c r="M1371" i="1" a="1"/>
  <c r="M1371" i="1" s="1"/>
  <c r="N1351" i="1" a="1"/>
  <c r="N1351" i="1" s="1"/>
  <c r="M1351" i="1" a="1"/>
  <c r="M1351" i="1" s="1"/>
  <c r="N1331" i="1" a="1"/>
  <c r="N1331" i="1" s="1"/>
  <c r="M1331" i="1" a="1"/>
  <c r="M1331" i="1" s="1"/>
  <c r="N1311" i="1" a="1"/>
  <c r="N1311" i="1" s="1"/>
  <c r="M1311" i="1" a="1"/>
  <c r="M1311" i="1" s="1"/>
  <c r="N1291" i="1" a="1"/>
  <c r="N1291" i="1" s="1"/>
  <c r="M1291" i="1" a="1"/>
  <c r="M1291" i="1" s="1"/>
  <c r="N1271" i="1" a="1"/>
  <c r="N1271" i="1" s="1"/>
  <c r="M1271" i="1" a="1"/>
  <c r="M1271" i="1" s="1"/>
  <c r="N1251" i="1" a="1"/>
  <c r="N1251" i="1" s="1"/>
  <c r="M1251" i="1" a="1"/>
  <c r="M1251" i="1" s="1"/>
  <c r="N1231" i="1" a="1"/>
  <c r="N1231" i="1" s="1"/>
  <c r="M1231" i="1" a="1"/>
  <c r="M1231" i="1" s="1"/>
  <c r="N1211" i="1" a="1"/>
  <c r="N1211" i="1" s="1"/>
  <c r="M1211" i="1" a="1"/>
  <c r="M1211" i="1" s="1"/>
  <c r="N1191" i="1" a="1"/>
  <c r="N1191" i="1" s="1"/>
  <c r="M1191" i="1" a="1"/>
  <c r="M1191" i="1" s="1"/>
  <c r="N1171" i="1" a="1"/>
  <c r="N1171" i="1" s="1"/>
  <c r="M1171" i="1" a="1"/>
  <c r="M1171" i="1" s="1"/>
  <c r="N1151" i="1" a="1"/>
  <c r="N1151" i="1" s="1"/>
  <c r="M1151" i="1" a="1"/>
  <c r="M1151" i="1" s="1"/>
  <c r="N1131" i="1" a="1"/>
  <c r="N1131" i="1" s="1"/>
  <c r="M1131" i="1" a="1"/>
  <c r="M1131" i="1" s="1"/>
  <c r="N1111" i="1" a="1"/>
  <c r="N1111" i="1" s="1"/>
  <c r="M1111" i="1" a="1"/>
  <c r="M1111" i="1" s="1"/>
  <c r="N1091" i="1" a="1"/>
  <c r="N1091" i="1" s="1"/>
  <c r="M1091" i="1" a="1"/>
  <c r="M1091" i="1" s="1"/>
  <c r="N1071" i="1" a="1"/>
  <c r="N1071" i="1" s="1"/>
  <c r="M1071" i="1" a="1"/>
  <c r="M1071" i="1" s="1"/>
  <c r="N1051" i="1" a="1"/>
  <c r="N1051" i="1" s="1"/>
  <c r="M1051" i="1" a="1"/>
  <c r="M1051" i="1" s="1"/>
  <c r="N1031" i="1" a="1"/>
  <c r="N1031" i="1" s="1"/>
  <c r="M1031" i="1" a="1"/>
  <c r="M1031" i="1" s="1"/>
  <c r="N1011" i="1" a="1"/>
  <c r="N1011" i="1" s="1"/>
  <c r="M1011" i="1" a="1"/>
  <c r="M1011" i="1" s="1"/>
  <c r="N991" i="1" a="1"/>
  <c r="N991" i="1" s="1"/>
  <c r="M991" i="1" a="1"/>
  <c r="M991" i="1" s="1"/>
  <c r="N971" i="1" a="1"/>
  <c r="N971" i="1" s="1"/>
  <c r="M971" i="1" a="1"/>
  <c r="M971" i="1" s="1"/>
  <c r="N951" i="1" a="1"/>
  <c r="N951" i="1" s="1"/>
  <c r="M951" i="1" a="1"/>
  <c r="M951" i="1" s="1"/>
  <c r="N931" i="1" a="1"/>
  <c r="N931" i="1" s="1"/>
  <c r="M931" i="1" a="1"/>
  <c r="M931" i="1" s="1"/>
  <c r="N911" i="1" a="1"/>
  <c r="N911" i="1" s="1"/>
  <c r="M911" i="1" a="1"/>
  <c r="M911" i="1" s="1"/>
  <c r="N891" i="1" a="1"/>
  <c r="N891" i="1" s="1"/>
  <c r="M891" i="1" a="1"/>
  <c r="M891" i="1" s="1"/>
  <c r="N871" i="1" a="1"/>
  <c r="N871" i="1" s="1"/>
  <c r="M871" i="1" a="1"/>
  <c r="M871" i="1" s="1"/>
  <c r="N851" i="1" a="1"/>
  <c r="N851" i="1" s="1"/>
  <c r="M851" i="1" a="1"/>
  <c r="M851" i="1" s="1"/>
  <c r="N831" i="1" a="1"/>
  <c r="N831" i="1" s="1"/>
  <c r="M831" i="1" a="1"/>
  <c r="M831" i="1" s="1"/>
  <c r="N811" i="1" a="1"/>
  <c r="N811" i="1" s="1"/>
  <c r="M811" i="1" a="1"/>
  <c r="M811" i="1" s="1"/>
  <c r="N791" i="1" a="1"/>
  <c r="N791" i="1" s="1"/>
  <c r="M791" i="1" a="1"/>
  <c r="M791" i="1" s="1"/>
  <c r="N771" i="1" a="1"/>
  <c r="N771" i="1" s="1"/>
  <c r="M771" i="1" a="1"/>
  <c r="M771" i="1" s="1"/>
  <c r="N751" i="1" a="1"/>
  <c r="N751" i="1" s="1"/>
  <c r="M751" i="1" a="1"/>
  <c r="M751" i="1" s="1"/>
  <c r="N731" i="1" a="1"/>
  <c r="N731" i="1" s="1"/>
  <c r="M731" i="1" a="1"/>
  <c r="M731" i="1" s="1"/>
  <c r="N711" i="1" a="1"/>
  <c r="N711" i="1" s="1"/>
  <c r="M711" i="1" a="1"/>
  <c r="M711" i="1" s="1"/>
  <c r="N691" i="1" a="1"/>
  <c r="N691" i="1" s="1"/>
  <c r="M691" i="1" a="1"/>
  <c r="M691" i="1" s="1"/>
  <c r="N671" i="1" a="1"/>
  <c r="N671" i="1" s="1"/>
  <c r="M671" i="1" a="1"/>
  <c r="M671" i="1" s="1"/>
  <c r="N651" i="1" a="1"/>
  <c r="N651" i="1" s="1"/>
  <c r="M651" i="1" a="1"/>
  <c r="M651" i="1" s="1"/>
  <c r="N631" i="1" a="1"/>
  <c r="N631" i="1" s="1"/>
  <c r="M631" i="1" a="1"/>
  <c r="M631" i="1" s="1"/>
  <c r="N611" i="1" a="1"/>
  <c r="N611" i="1" s="1"/>
  <c r="M611" i="1" a="1"/>
  <c r="M611" i="1" s="1"/>
  <c r="N591" i="1" a="1"/>
  <c r="N591" i="1" s="1"/>
  <c r="M591" i="1" a="1"/>
  <c r="M591" i="1" s="1"/>
  <c r="N571" i="1" a="1"/>
  <c r="N571" i="1" s="1"/>
  <c r="M571" i="1" a="1"/>
  <c r="M571" i="1" s="1"/>
  <c r="N551" i="1" a="1"/>
  <c r="N551" i="1" s="1"/>
  <c r="M551" i="1" a="1"/>
  <c r="M551" i="1" s="1"/>
  <c r="N531" i="1" a="1"/>
  <c r="N531" i="1" s="1"/>
  <c r="M531" i="1" a="1"/>
  <c r="M531" i="1" s="1"/>
  <c r="N511" i="1" a="1"/>
  <c r="N511" i="1" s="1"/>
  <c r="M511" i="1" a="1"/>
  <c r="M511" i="1" s="1"/>
  <c r="N491" i="1" a="1"/>
  <c r="N491" i="1" s="1"/>
  <c r="M491" i="1" a="1"/>
  <c r="M491" i="1" s="1"/>
  <c r="N471" i="1" a="1"/>
  <c r="N471" i="1" s="1"/>
  <c r="M471" i="1" a="1"/>
  <c r="M471" i="1" s="1"/>
  <c r="N451" i="1" a="1"/>
  <c r="N451" i="1" s="1"/>
  <c r="M451" i="1" a="1"/>
  <c r="M451" i="1" s="1"/>
  <c r="N431" i="1" a="1"/>
  <c r="N431" i="1" s="1"/>
  <c r="M431" i="1" a="1"/>
  <c r="M431" i="1" s="1"/>
  <c r="N411" i="1" a="1"/>
  <c r="N411" i="1" s="1"/>
  <c r="M411" i="1" a="1"/>
  <c r="M411" i="1" s="1"/>
  <c r="N391" i="1" a="1"/>
  <c r="N391" i="1" s="1"/>
  <c r="M391" i="1" a="1"/>
  <c r="M391" i="1" s="1"/>
  <c r="N371" i="1" a="1"/>
  <c r="N371" i="1" s="1"/>
  <c r="M371" i="1" a="1"/>
  <c r="M371" i="1" s="1"/>
  <c r="N351" i="1" a="1"/>
  <c r="N351" i="1" s="1"/>
  <c r="M351" i="1" a="1"/>
  <c r="M351" i="1" s="1"/>
  <c r="N331" i="1" a="1"/>
  <c r="N331" i="1" s="1"/>
  <c r="M331" i="1" a="1"/>
  <c r="M331" i="1" s="1"/>
  <c r="N311" i="1" a="1"/>
  <c r="N311" i="1" s="1"/>
  <c r="M311" i="1" a="1"/>
  <c r="M311" i="1" s="1"/>
  <c r="N291" i="1" a="1"/>
  <c r="N291" i="1" s="1"/>
  <c r="M291" i="1" a="1"/>
  <c r="M291" i="1" s="1"/>
  <c r="N271" i="1" a="1"/>
  <c r="N271" i="1" s="1"/>
  <c r="M271" i="1" a="1"/>
  <c r="M271" i="1" s="1"/>
  <c r="N251" i="1" a="1"/>
  <c r="N251" i="1" s="1"/>
  <c r="M251" i="1" a="1"/>
  <c r="M251" i="1" s="1"/>
  <c r="N231" i="1" a="1"/>
  <c r="N231" i="1" s="1"/>
  <c r="M231" i="1" a="1"/>
  <c r="M231" i="1" s="1"/>
  <c r="N211" i="1" a="1"/>
  <c r="N211" i="1" s="1"/>
  <c r="M211" i="1" a="1"/>
  <c r="M211" i="1" s="1"/>
  <c r="N191" i="1" a="1"/>
  <c r="N191" i="1" s="1"/>
  <c r="M191" i="1" a="1"/>
  <c r="M191" i="1" s="1"/>
  <c r="N171" i="1" a="1"/>
  <c r="N171" i="1" s="1"/>
  <c r="M171" i="1" a="1"/>
  <c r="M171" i="1" s="1"/>
  <c r="N151" i="1" a="1"/>
  <c r="N151" i="1" s="1"/>
  <c r="M151" i="1" a="1"/>
  <c r="M151" i="1" s="1"/>
  <c r="N131" i="1" a="1"/>
  <c r="N131" i="1" s="1"/>
  <c r="M131" i="1" a="1"/>
  <c r="M131" i="1" s="1"/>
  <c r="N111" i="1" a="1"/>
  <c r="N111" i="1" s="1"/>
  <c r="M111" i="1" a="1"/>
  <c r="M111" i="1" s="1"/>
  <c r="N91" i="1" a="1"/>
  <c r="N91" i="1" s="1"/>
  <c r="M91" i="1" a="1"/>
  <c r="M91" i="1" s="1"/>
  <c r="N71" i="1" a="1"/>
  <c r="N71" i="1" s="1"/>
  <c r="M71" i="1" a="1"/>
  <c r="M71" i="1" s="1"/>
  <c r="N51" i="1" a="1"/>
  <c r="N51" i="1" s="1"/>
  <c r="M51" i="1" a="1"/>
  <c r="M51" i="1" s="1"/>
  <c r="N31" i="1" a="1"/>
  <c r="N31" i="1" s="1"/>
  <c r="M31" i="1" a="1"/>
  <c r="M31" i="1" s="1"/>
  <c r="N11" i="1" a="1"/>
  <c r="N11" i="1" s="1"/>
  <c r="M11" i="1" a="1"/>
  <c r="M11" i="1" s="1"/>
  <c r="N1808" i="1" a="1"/>
  <c r="N1808" i="1" s="1"/>
  <c r="M1808" i="1" a="1"/>
  <c r="M1808" i="1" s="1"/>
  <c r="N1603" i="1" a="1"/>
  <c r="N1603" i="1" s="1"/>
  <c r="M1603" i="1" a="1"/>
  <c r="M1603" i="1" s="1"/>
  <c r="N1196" i="1" a="1"/>
  <c r="N1196" i="1" s="1"/>
  <c r="M1196" i="1" a="1"/>
  <c r="M1196" i="1" s="1"/>
  <c r="N976" i="1" a="1"/>
  <c r="N976" i="1" s="1"/>
  <c r="M976" i="1" a="1"/>
  <c r="M976" i="1" s="1"/>
  <c r="N756" i="1" a="1"/>
  <c r="N756" i="1" s="1"/>
  <c r="M756" i="1" a="1"/>
  <c r="M756" i="1" s="1"/>
  <c r="N516" i="1" a="1"/>
  <c r="N516" i="1" s="1"/>
  <c r="M516" i="1" a="1"/>
  <c r="M516" i="1" s="1"/>
  <c r="N316" i="1" a="1"/>
  <c r="N316" i="1" s="1"/>
  <c r="M316" i="1" a="1"/>
  <c r="M316" i="1" s="1"/>
  <c r="N156" i="1" a="1"/>
  <c r="N156" i="1" s="1"/>
  <c r="M156" i="1" a="1"/>
  <c r="M156" i="1" s="1"/>
  <c r="N1682" i="1" a="1"/>
  <c r="N1682" i="1" s="1"/>
  <c r="M1682" i="1" a="1"/>
  <c r="M1682" i="1" s="1"/>
  <c r="N1375" i="1" a="1"/>
  <c r="N1375" i="1" s="1"/>
  <c r="M1375" i="1" a="1"/>
  <c r="M1375" i="1" s="1"/>
  <c r="N1135" i="1" a="1"/>
  <c r="N1135" i="1" s="1"/>
  <c r="M1135" i="1" a="1"/>
  <c r="M1135" i="1" s="1"/>
  <c r="N1817" i="1" a="1"/>
  <c r="N1817" i="1" s="1"/>
  <c r="M1817" i="1" a="1"/>
  <c r="M1817" i="1" s="1"/>
  <c r="N1657" i="1" a="1"/>
  <c r="N1657" i="1" s="1"/>
  <c r="M1657" i="1" a="1"/>
  <c r="M1657" i="1" s="1"/>
  <c r="N1370" i="1" a="1"/>
  <c r="N1370" i="1" s="1"/>
  <c r="M1370" i="1" a="1"/>
  <c r="M1370" i="1" s="1"/>
  <c r="N1210" i="1" a="1"/>
  <c r="N1210" i="1" s="1"/>
  <c r="M1210" i="1" a="1"/>
  <c r="M1210" i="1" s="1"/>
  <c r="N1070" i="1" a="1"/>
  <c r="N1070" i="1" s="1"/>
  <c r="M1070" i="1" a="1"/>
  <c r="M1070" i="1" s="1"/>
  <c r="N890" i="1" a="1"/>
  <c r="N890" i="1" s="1"/>
  <c r="M890" i="1" a="1"/>
  <c r="M890" i="1" s="1"/>
  <c r="N650" i="1" a="1"/>
  <c r="N650" i="1" s="1"/>
  <c r="M650" i="1" a="1"/>
  <c r="M650" i="1" s="1"/>
  <c r="N1349" i="1" a="1"/>
  <c r="N1349" i="1" s="1"/>
  <c r="M1349" i="1" a="1"/>
  <c r="M1349" i="1" s="1"/>
  <c r="N1708" i="1" a="1"/>
  <c r="N1708" i="1" s="1"/>
  <c r="M1708" i="1" a="1"/>
  <c r="M1708" i="1" s="1"/>
  <c r="N1623" i="1" a="1"/>
  <c r="N1623" i="1" s="1"/>
  <c r="M1623" i="1" a="1"/>
  <c r="M1623" i="1" s="1"/>
  <c r="N1276" i="1" a="1"/>
  <c r="N1276" i="1" s="1"/>
  <c r="M1276" i="1" a="1"/>
  <c r="M1276" i="1" s="1"/>
  <c r="N1096" i="1" a="1"/>
  <c r="N1096" i="1" s="1"/>
  <c r="M1096" i="1" a="1"/>
  <c r="M1096" i="1" s="1"/>
  <c r="N896" i="1" a="1"/>
  <c r="N896" i="1" s="1"/>
  <c r="M896" i="1" a="1"/>
  <c r="M896" i="1" s="1"/>
  <c r="N696" i="1" a="1"/>
  <c r="N696" i="1" s="1"/>
  <c r="M696" i="1" a="1"/>
  <c r="M696" i="1" s="1"/>
  <c r="N476" i="1" a="1"/>
  <c r="N476" i="1" s="1"/>
  <c r="M476" i="1" a="1"/>
  <c r="M476" i="1" s="1"/>
  <c r="N296" i="1" a="1"/>
  <c r="N296" i="1" s="1"/>
  <c r="M296" i="1" a="1"/>
  <c r="M296" i="1" s="1"/>
  <c r="N56" i="1" a="1"/>
  <c r="N56" i="1" s="1"/>
  <c r="M56" i="1" a="1"/>
  <c r="M56" i="1" s="1"/>
  <c r="N1802" i="1" a="1"/>
  <c r="N1802" i="1" s="1"/>
  <c r="M1802" i="1" a="1"/>
  <c r="M1802" i="1" s="1"/>
  <c r="N1602" i="1" a="1"/>
  <c r="N1602" i="1" s="1"/>
  <c r="M1602" i="1" a="1"/>
  <c r="M1602" i="1" s="1"/>
  <c r="N1215" i="1" a="1"/>
  <c r="N1215" i="1" s="1"/>
  <c r="M1215" i="1" a="1"/>
  <c r="M1215" i="1" s="1"/>
  <c r="N1797" i="1" a="1"/>
  <c r="N1797" i="1" s="1"/>
  <c r="M1797" i="1" a="1"/>
  <c r="M1797" i="1" s="1"/>
  <c r="N1617" i="1" a="1"/>
  <c r="N1617" i="1" s="1"/>
  <c r="M1617" i="1" a="1"/>
  <c r="M1617" i="1" s="1"/>
  <c r="N1330" i="1" a="1"/>
  <c r="N1330" i="1" s="1"/>
  <c r="M1330" i="1" a="1"/>
  <c r="M1330" i="1" s="1"/>
  <c r="N1170" i="1" a="1"/>
  <c r="N1170" i="1" s="1"/>
  <c r="M1170" i="1" a="1"/>
  <c r="M1170" i="1" s="1"/>
  <c r="N1090" i="1" a="1"/>
  <c r="N1090" i="1" s="1"/>
  <c r="M1090" i="1" a="1"/>
  <c r="M1090" i="1" s="1"/>
  <c r="N950" i="1" a="1"/>
  <c r="N950" i="1" s="1"/>
  <c r="M950" i="1" a="1"/>
  <c r="M950" i="1" s="1"/>
  <c r="N830" i="1" a="1"/>
  <c r="N830" i="1" s="1"/>
  <c r="M830" i="1" a="1"/>
  <c r="M830" i="1" s="1"/>
  <c r="N710" i="1" a="1"/>
  <c r="N710" i="1" s="1"/>
  <c r="M710" i="1" a="1"/>
  <c r="M710" i="1" s="1"/>
  <c r="N590" i="1" a="1"/>
  <c r="N590" i="1" s="1"/>
  <c r="M590" i="1" a="1"/>
  <c r="M590" i="1" s="1"/>
  <c r="N450" i="1" a="1"/>
  <c r="N450" i="1" s="1"/>
  <c r="M450" i="1" a="1"/>
  <c r="M450" i="1" s="1"/>
  <c r="N370" i="1" a="1"/>
  <c r="N370" i="1" s="1"/>
  <c r="M370" i="1" a="1"/>
  <c r="M370" i="1" s="1"/>
  <c r="N310" i="1" a="1"/>
  <c r="N310" i="1" s="1"/>
  <c r="M310" i="1" a="1"/>
  <c r="M310" i="1" s="1"/>
  <c r="N190" i="1" a="1"/>
  <c r="N190" i="1" s="1"/>
  <c r="M190" i="1" a="1"/>
  <c r="M190" i="1" s="1"/>
  <c r="N130" i="1" a="1"/>
  <c r="N130" i="1" s="1"/>
  <c r="M130" i="1" a="1"/>
  <c r="M130" i="1" s="1"/>
  <c r="N30" i="1" a="1"/>
  <c r="N30" i="1" s="1"/>
  <c r="M30" i="1" a="1"/>
  <c r="M30" i="1" s="1"/>
  <c r="N1756" i="1" a="1"/>
  <c r="N1756" i="1" s="1"/>
  <c r="M1756" i="1" a="1"/>
  <c r="M1756" i="1" s="1"/>
  <c r="N1656" i="1" a="1"/>
  <c r="N1656" i="1" s="1"/>
  <c r="M1656" i="1" a="1"/>
  <c r="M1656" i="1" s="1"/>
  <c r="N1389" i="1" a="1"/>
  <c r="N1389" i="1" s="1"/>
  <c r="M1389" i="1" a="1"/>
  <c r="M1389" i="1" s="1"/>
  <c r="N1249" i="1" a="1"/>
  <c r="N1249" i="1" s="1"/>
  <c r="M1249" i="1" a="1"/>
  <c r="M1249" i="1" s="1"/>
  <c r="N1149" i="1" a="1"/>
  <c r="N1149" i="1" s="1"/>
  <c r="M1149" i="1" a="1"/>
  <c r="M1149" i="1" s="1"/>
  <c r="N1049" i="1" a="1"/>
  <c r="N1049" i="1" s="1"/>
  <c r="M1049" i="1" a="1"/>
  <c r="M1049" i="1" s="1"/>
  <c r="N949" i="1" a="1"/>
  <c r="N949" i="1" s="1"/>
  <c r="M949" i="1" a="1"/>
  <c r="M949" i="1" s="1"/>
  <c r="N869" i="1" a="1"/>
  <c r="N869" i="1" s="1"/>
  <c r="M869" i="1" a="1"/>
  <c r="M869" i="1" s="1"/>
  <c r="N789" i="1" a="1"/>
  <c r="N789" i="1" s="1"/>
  <c r="M789" i="1" a="1"/>
  <c r="M789" i="1" s="1"/>
  <c r="N729" i="1" a="1"/>
  <c r="N729" i="1" s="1"/>
  <c r="M729" i="1" a="1"/>
  <c r="M729" i="1" s="1"/>
  <c r="N629" i="1" a="1"/>
  <c r="N629" i="1" s="1"/>
  <c r="M629" i="1" a="1"/>
  <c r="M629" i="1" s="1"/>
  <c r="N529" i="1" a="1"/>
  <c r="N529" i="1" s="1"/>
  <c r="M529" i="1" a="1"/>
  <c r="M529" i="1" s="1"/>
  <c r="N409" i="1" a="1"/>
  <c r="N409" i="1" s="1"/>
  <c r="M409" i="1" a="1"/>
  <c r="M409" i="1" s="1"/>
  <c r="N309" i="1" a="1"/>
  <c r="N309" i="1" s="1"/>
  <c r="M309" i="1" a="1"/>
  <c r="M309" i="1" s="1"/>
  <c r="N209" i="1" a="1"/>
  <c r="N209" i="1" s="1"/>
  <c r="M209" i="1" a="1"/>
  <c r="M209" i="1" s="1"/>
  <c r="N129" i="1" a="1"/>
  <c r="N129" i="1" s="1"/>
  <c r="M129" i="1" a="1"/>
  <c r="M129" i="1" s="1"/>
  <c r="N89" i="1" a="1"/>
  <c r="N89" i="1" s="1"/>
  <c r="M89" i="1" a="1"/>
  <c r="M89" i="1" s="1"/>
  <c r="N1795" i="1" a="1"/>
  <c r="N1795" i="1" s="1"/>
  <c r="M1795" i="1" a="1"/>
  <c r="M1795" i="1" s="1"/>
  <c r="N1655" i="1" a="1"/>
  <c r="N1655" i="1" s="1"/>
  <c r="M1655" i="1" a="1"/>
  <c r="M1655" i="1" s="1"/>
  <c r="N1368" i="1" a="1"/>
  <c r="N1368" i="1" s="1"/>
  <c r="M1368" i="1" a="1"/>
  <c r="M1368" i="1" s="1"/>
  <c r="N1208" i="1" a="1"/>
  <c r="N1208" i="1" s="1"/>
  <c r="M1208" i="1" a="1"/>
  <c r="M1208" i="1" s="1"/>
  <c r="N1128" i="1" a="1"/>
  <c r="N1128" i="1" s="1"/>
  <c r="M1128" i="1" a="1"/>
  <c r="M1128" i="1" s="1"/>
  <c r="N1048" i="1" a="1"/>
  <c r="N1048" i="1" s="1"/>
  <c r="M1048" i="1" a="1"/>
  <c r="M1048" i="1" s="1"/>
  <c r="N948" i="1" a="1"/>
  <c r="N948" i="1" s="1"/>
  <c r="M948" i="1" a="1"/>
  <c r="M948" i="1" s="1"/>
  <c r="N848" i="1" a="1"/>
  <c r="N848" i="1" s="1"/>
  <c r="M848" i="1" a="1"/>
  <c r="M848" i="1" s="1"/>
  <c r="N728" i="1" a="1"/>
  <c r="N728" i="1" s="1"/>
  <c r="M728" i="1" a="1"/>
  <c r="M728" i="1" s="1"/>
  <c r="N588" i="1" a="1"/>
  <c r="N588" i="1" s="1"/>
  <c r="M588" i="1" a="1"/>
  <c r="M588" i="1" s="1"/>
  <c r="N388" i="1" a="1"/>
  <c r="N388" i="1" s="1"/>
  <c r="M388" i="1" a="1"/>
  <c r="M388" i="1" s="1"/>
  <c r="N148" i="1" a="1"/>
  <c r="N148" i="1" s="1"/>
  <c r="M148" i="1" a="1"/>
  <c r="M148" i="1" s="1"/>
  <c r="N1723" i="1" a="1"/>
  <c r="N1723" i="1" s="1"/>
  <c r="M1723" i="1" a="1"/>
  <c r="M1723" i="1" s="1"/>
  <c r="N1296" i="1" a="1"/>
  <c r="N1296" i="1" s="1"/>
  <c r="M1296" i="1" a="1"/>
  <c r="M1296" i="1" s="1"/>
  <c r="N936" i="1" a="1"/>
  <c r="N936" i="1" s="1"/>
  <c r="M936" i="1" a="1"/>
  <c r="M936" i="1" s="1"/>
  <c r="N596" i="1" a="1"/>
  <c r="N596" i="1" s="1"/>
  <c r="M596" i="1" a="1"/>
  <c r="M596" i="1" s="1"/>
  <c r="N116" i="1" a="1"/>
  <c r="N116" i="1" s="1"/>
  <c r="M116" i="1" a="1"/>
  <c r="M116" i="1" s="1"/>
  <c r="N1762" i="1" a="1"/>
  <c r="N1762" i="1" s="1"/>
  <c r="M1762" i="1" a="1"/>
  <c r="M1762" i="1" s="1"/>
  <c r="N1435" i="1" a="1"/>
  <c r="N1435" i="1" s="1"/>
  <c r="M1435" i="1" a="1"/>
  <c r="M1435" i="1" s="1"/>
  <c r="N1195" i="1" a="1"/>
  <c r="N1195" i="1" s="1"/>
  <c r="M1195" i="1" a="1"/>
  <c r="M1195" i="1" s="1"/>
  <c r="N1777" i="1" a="1"/>
  <c r="N1777" i="1" s="1"/>
  <c r="M1777" i="1" a="1"/>
  <c r="M1777" i="1" s="1"/>
  <c r="N1597" i="1" a="1"/>
  <c r="N1597" i="1" s="1"/>
  <c r="M1597" i="1" a="1"/>
  <c r="M1597" i="1" s="1"/>
  <c r="N1310" i="1" a="1"/>
  <c r="N1310" i="1" s="1"/>
  <c r="M1310" i="1" a="1"/>
  <c r="M1310" i="1" s="1"/>
  <c r="N1150" i="1" a="1"/>
  <c r="N1150" i="1" s="1"/>
  <c r="M1150" i="1" a="1"/>
  <c r="M1150" i="1" s="1"/>
  <c r="N1030" i="1" a="1"/>
  <c r="N1030" i="1" s="1"/>
  <c r="M1030" i="1" a="1"/>
  <c r="M1030" i="1" s="1"/>
  <c r="N870" i="1" a="1"/>
  <c r="N870" i="1" s="1"/>
  <c r="M870" i="1" a="1"/>
  <c r="M870" i="1" s="1"/>
  <c r="N770" i="1" a="1"/>
  <c r="N770" i="1" s="1"/>
  <c r="M770" i="1" a="1"/>
  <c r="M770" i="1" s="1"/>
  <c r="N690" i="1" a="1"/>
  <c r="N690" i="1" s="1"/>
  <c r="M690" i="1" a="1"/>
  <c r="M690" i="1" s="1"/>
  <c r="N570" i="1" a="1"/>
  <c r="N570" i="1" s="1"/>
  <c r="M570" i="1" a="1"/>
  <c r="M570" i="1" s="1"/>
  <c r="N430" i="1" a="1"/>
  <c r="N430" i="1" s="1"/>
  <c r="M430" i="1" a="1"/>
  <c r="M430" i="1" s="1"/>
  <c r="N270" i="1" a="1"/>
  <c r="N270" i="1" s="1"/>
  <c r="M270" i="1" a="1"/>
  <c r="M270" i="1" s="1"/>
  <c r="N10" i="1" a="1"/>
  <c r="N10" i="1" s="1"/>
  <c r="M10" i="1" a="1"/>
  <c r="M10" i="1" s="1"/>
  <c r="N1736" i="1" a="1"/>
  <c r="N1736" i="1" s="1"/>
  <c r="M1736" i="1" a="1"/>
  <c r="M1736" i="1" s="1"/>
  <c r="N1676" i="1" a="1"/>
  <c r="N1676" i="1" s="1"/>
  <c r="M1676" i="1" a="1"/>
  <c r="M1676" i="1" s="1"/>
  <c r="N1576" i="1" a="1"/>
  <c r="N1576" i="1" s="1"/>
  <c r="M1576" i="1" a="1"/>
  <c r="M1576" i="1" s="1"/>
  <c r="N1309" i="1" a="1"/>
  <c r="N1309" i="1" s="1"/>
  <c r="M1309" i="1" a="1"/>
  <c r="M1309" i="1" s="1"/>
  <c r="N1209" i="1" a="1"/>
  <c r="N1209" i="1" s="1"/>
  <c r="M1209" i="1" a="1"/>
  <c r="M1209" i="1" s="1"/>
  <c r="N1109" i="1" a="1"/>
  <c r="N1109" i="1" s="1"/>
  <c r="M1109" i="1" a="1"/>
  <c r="M1109" i="1" s="1"/>
  <c r="N1009" i="1" a="1"/>
  <c r="N1009" i="1" s="1"/>
  <c r="M1009" i="1" a="1"/>
  <c r="M1009" i="1" s="1"/>
  <c r="N909" i="1" a="1"/>
  <c r="N909" i="1" s="1"/>
  <c r="M909" i="1" a="1"/>
  <c r="M909" i="1" s="1"/>
  <c r="N809" i="1" a="1"/>
  <c r="N809" i="1" s="1"/>
  <c r="M809" i="1" a="1"/>
  <c r="M809" i="1" s="1"/>
  <c r="N709" i="1" a="1"/>
  <c r="N709" i="1" s="1"/>
  <c r="M709" i="1" a="1"/>
  <c r="M709" i="1" s="1"/>
  <c r="N609" i="1" a="1"/>
  <c r="N609" i="1" s="1"/>
  <c r="M609" i="1" a="1"/>
  <c r="M609" i="1" s="1"/>
  <c r="N509" i="1" a="1"/>
  <c r="N509" i="1" s="1"/>
  <c r="M509" i="1" a="1"/>
  <c r="M509" i="1" s="1"/>
  <c r="N429" i="1" a="1"/>
  <c r="N429" i="1" s="1"/>
  <c r="M429" i="1" a="1"/>
  <c r="M429" i="1" s="1"/>
  <c r="N289" i="1" a="1"/>
  <c r="N289" i="1" s="1"/>
  <c r="M289" i="1" a="1"/>
  <c r="M289" i="1" s="1"/>
  <c r="N229" i="1" a="1"/>
  <c r="N229" i="1" s="1"/>
  <c r="M229" i="1" a="1"/>
  <c r="M229" i="1" s="1"/>
  <c r="N69" i="1" a="1"/>
  <c r="N69" i="1" s="1"/>
  <c r="M69" i="1" a="1"/>
  <c r="M69" i="1" s="1"/>
  <c r="N1755" i="1" a="1"/>
  <c r="N1755" i="1" s="1"/>
  <c r="M1755" i="1" a="1"/>
  <c r="M1755" i="1" s="1"/>
  <c r="N1675" i="1" a="1"/>
  <c r="N1675" i="1" s="1"/>
  <c r="M1675" i="1" a="1"/>
  <c r="M1675" i="1" s="1"/>
  <c r="N1575" i="1" a="1"/>
  <c r="N1575" i="1" s="1"/>
  <c r="M1575" i="1" a="1"/>
  <c r="M1575" i="1" s="1"/>
  <c r="N1348" i="1" a="1"/>
  <c r="N1348" i="1" s="1"/>
  <c r="M1348" i="1" a="1"/>
  <c r="M1348" i="1" s="1"/>
  <c r="N1248" i="1" a="1"/>
  <c r="N1248" i="1" s="1"/>
  <c r="M1248" i="1" a="1"/>
  <c r="M1248" i="1" s="1"/>
  <c r="N1148" i="1" a="1"/>
  <c r="N1148" i="1" s="1"/>
  <c r="M1148" i="1" a="1"/>
  <c r="M1148" i="1" s="1"/>
  <c r="N1068" i="1" a="1"/>
  <c r="N1068" i="1" s="1"/>
  <c r="M1068" i="1" a="1"/>
  <c r="M1068" i="1" s="1"/>
  <c r="N988" i="1" a="1"/>
  <c r="N988" i="1" s="1"/>
  <c r="M988" i="1" a="1"/>
  <c r="M988" i="1" s="1"/>
  <c r="N928" i="1" a="1"/>
  <c r="N928" i="1" s="1"/>
  <c r="M928" i="1" a="1"/>
  <c r="M928" i="1" s="1"/>
  <c r="N868" i="1" a="1"/>
  <c r="N868" i="1" s="1"/>
  <c r="M868" i="1" a="1"/>
  <c r="M868" i="1" s="1"/>
  <c r="N788" i="1" a="1"/>
  <c r="N788" i="1" s="1"/>
  <c r="M788" i="1" a="1"/>
  <c r="M788" i="1" s="1"/>
  <c r="N708" i="1" a="1"/>
  <c r="N708" i="1" s="1"/>
  <c r="M708" i="1" a="1"/>
  <c r="M708" i="1" s="1"/>
  <c r="N648" i="1" a="1"/>
  <c r="N648" i="1" s="1"/>
  <c r="M648" i="1" a="1"/>
  <c r="M648" i="1" s="1"/>
  <c r="N568" i="1" a="1"/>
  <c r="N568" i="1" s="1"/>
  <c r="M568" i="1" a="1"/>
  <c r="M568" i="1" s="1"/>
  <c r="N488" i="1" a="1"/>
  <c r="N488" i="1" s="1"/>
  <c r="M488" i="1" a="1"/>
  <c r="M488" i="1" s="1"/>
  <c r="N428" i="1" a="1"/>
  <c r="N428" i="1" s="1"/>
  <c r="M428" i="1" a="1"/>
  <c r="M428" i="1" s="1"/>
  <c r="N328" i="1" a="1"/>
  <c r="N328" i="1" s="1"/>
  <c r="M328" i="1" a="1"/>
  <c r="M328" i="1" s="1"/>
  <c r="N268" i="1" a="1"/>
  <c r="N268" i="1" s="1"/>
  <c r="M268" i="1" a="1"/>
  <c r="M268" i="1" s="1"/>
  <c r="N228" i="1" a="1"/>
  <c r="N228" i="1" s="1"/>
  <c r="M228" i="1" a="1"/>
  <c r="M228" i="1" s="1"/>
  <c r="N208" i="1" a="1"/>
  <c r="N208" i="1" s="1"/>
  <c r="M208" i="1" a="1"/>
  <c r="M208" i="1" s="1"/>
  <c r="N108" i="1" a="1"/>
  <c r="N108" i="1" s="1"/>
  <c r="M108" i="1" a="1"/>
  <c r="M108" i="1" s="1"/>
  <c r="N28" i="1" a="1"/>
  <c r="N28" i="1" s="1"/>
  <c r="M28" i="1" a="1"/>
  <c r="M28" i="1" s="1"/>
  <c r="N1814" i="1" a="1"/>
  <c r="N1814" i="1" s="1"/>
  <c r="M1814" i="1" a="1"/>
  <c r="M1814" i="1" s="1"/>
  <c r="N1794" i="1" a="1"/>
  <c r="N1794" i="1" s="1"/>
  <c r="M1794" i="1" a="1"/>
  <c r="M1794" i="1" s="1"/>
  <c r="N1774" i="1" a="1"/>
  <c r="N1774" i="1" s="1"/>
  <c r="M1774" i="1" a="1"/>
  <c r="M1774" i="1" s="1"/>
  <c r="N1754" i="1" a="1"/>
  <c r="N1754" i="1" s="1"/>
  <c r="M1754" i="1" a="1"/>
  <c r="M1754" i="1" s="1"/>
  <c r="N1734" i="1" a="1"/>
  <c r="N1734" i="1" s="1"/>
  <c r="M1734" i="1" a="1"/>
  <c r="M1734" i="1" s="1"/>
  <c r="N1714" i="1" a="1"/>
  <c r="N1714" i="1" s="1"/>
  <c r="M1714" i="1" a="1"/>
  <c r="M1714" i="1" s="1"/>
  <c r="N1694" i="1" a="1"/>
  <c r="N1694" i="1" s="1"/>
  <c r="M1694" i="1" a="1"/>
  <c r="M1694" i="1" s="1"/>
  <c r="N1674" i="1" a="1"/>
  <c r="N1674" i="1" s="1"/>
  <c r="M1674" i="1" a="1"/>
  <c r="M1674" i="1" s="1"/>
  <c r="N1654" i="1" a="1"/>
  <c r="N1654" i="1" s="1"/>
  <c r="M1654" i="1" a="1"/>
  <c r="M1654" i="1" s="1"/>
  <c r="N1634" i="1" a="1"/>
  <c r="N1634" i="1" s="1"/>
  <c r="M1634" i="1" a="1"/>
  <c r="M1634" i="1" s="1"/>
  <c r="N1614" i="1" a="1"/>
  <c r="N1614" i="1" s="1"/>
  <c r="M1614" i="1" a="1"/>
  <c r="M1614" i="1" s="1"/>
  <c r="N1594" i="1" a="1"/>
  <c r="N1594" i="1" s="1"/>
  <c r="M1594" i="1" a="1"/>
  <c r="M1594" i="1" s="1"/>
  <c r="N1574" i="1" a="1"/>
  <c r="N1574" i="1" s="1"/>
  <c r="M1574" i="1" a="1"/>
  <c r="M1574" i="1" s="1"/>
  <c r="N1427" i="1" a="1"/>
  <c r="N1427" i="1" s="1"/>
  <c r="M1427" i="1" a="1"/>
  <c r="M1427" i="1" s="1"/>
  <c r="N1407" i="1" a="1"/>
  <c r="N1407" i="1" s="1"/>
  <c r="M1407" i="1" a="1"/>
  <c r="M1407" i="1" s="1"/>
  <c r="N1387" i="1" a="1"/>
  <c r="N1387" i="1" s="1"/>
  <c r="M1387" i="1" a="1"/>
  <c r="M1387" i="1" s="1"/>
  <c r="N1367" i="1" a="1"/>
  <c r="N1367" i="1" s="1"/>
  <c r="M1367" i="1" a="1"/>
  <c r="M1367" i="1" s="1"/>
  <c r="N1347" i="1" a="1"/>
  <c r="N1347" i="1" s="1"/>
  <c r="M1347" i="1" a="1"/>
  <c r="M1347" i="1" s="1"/>
  <c r="N1327" i="1" a="1"/>
  <c r="N1327" i="1" s="1"/>
  <c r="M1327" i="1" a="1"/>
  <c r="M1327" i="1" s="1"/>
  <c r="N1307" i="1" a="1"/>
  <c r="N1307" i="1" s="1"/>
  <c r="M1307" i="1" a="1"/>
  <c r="M1307" i="1" s="1"/>
  <c r="N1287" i="1" a="1"/>
  <c r="N1287" i="1" s="1"/>
  <c r="M1287" i="1" a="1"/>
  <c r="M1287" i="1" s="1"/>
  <c r="N1267" i="1" a="1"/>
  <c r="N1267" i="1" s="1"/>
  <c r="M1267" i="1" a="1"/>
  <c r="M1267" i="1" s="1"/>
  <c r="N1247" i="1" a="1"/>
  <c r="N1247" i="1" s="1"/>
  <c r="M1247" i="1" a="1"/>
  <c r="M1247" i="1" s="1"/>
  <c r="N1227" i="1" a="1"/>
  <c r="N1227" i="1" s="1"/>
  <c r="M1227" i="1" a="1"/>
  <c r="M1227" i="1" s="1"/>
  <c r="N1207" i="1" a="1"/>
  <c r="N1207" i="1" s="1"/>
  <c r="M1207" i="1" a="1"/>
  <c r="M1207" i="1" s="1"/>
  <c r="N1187" i="1" a="1"/>
  <c r="N1187" i="1" s="1"/>
  <c r="M1187" i="1" a="1"/>
  <c r="M1187" i="1" s="1"/>
  <c r="N1167" i="1" a="1"/>
  <c r="N1167" i="1" s="1"/>
  <c r="M1167" i="1" a="1"/>
  <c r="M1167" i="1" s="1"/>
  <c r="N1147" i="1" a="1"/>
  <c r="N1147" i="1" s="1"/>
  <c r="M1147" i="1" a="1"/>
  <c r="M1147" i="1" s="1"/>
  <c r="N1127" i="1" a="1"/>
  <c r="N1127" i="1" s="1"/>
  <c r="M1127" i="1" a="1"/>
  <c r="M1127" i="1" s="1"/>
  <c r="N1107" i="1" a="1"/>
  <c r="N1107" i="1" s="1"/>
  <c r="M1107" i="1" a="1"/>
  <c r="M1107" i="1" s="1"/>
  <c r="N1087" i="1" a="1"/>
  <c r="N1087" i="1" s="1"/>
  <c r="M1087" i="1" a="1"/>
  <c r="M1087" i="1" s="1"/>
  <c r="N1067" i="1" a="1"/>
  <c r="N1067" i="1" s="1"/>
  <c r="M1067" i="1" a="1"/>
  <c r="M1067" i="1" s="1"/>
  <c r="N1047" i="1" a="1"/>
  <c r="N1047" i="1" s="1"/>
  <c r="M1047" i="1" a="1"/>
  <c r="M1047" i="1" s="1"/>
  <c r="N1027" i="1" a="1"/>
  <c r="N1027" i="1" s="1"/>
  <c r="M1027" i="1" a="1"/>
  <c r="M1027" i="1" s="1"/>
  <c r="N1007" i="1" a="1"/>
  <c r="N1007" i="1" s="1"/>
  <c r="M1007" i="1" a="1"/>
  <c r="M1007" i="1" s="1"/>
  <c r="N987" i="1" a="1"/>
  <c r="N987" i="1" s="1"/>
  <c r="M987" i="1" a="1"/>
  <c r="M987" i="1" s="1"/>
  <c r="N967" i="1" a="1"/>
  <c r="N967" i="1" s="1"/>
  <c r="M967" i="1" a="1"/>
  <c r="M967" i="1" s="1"/>
  <c r="N947" i="1" a="1"/>
  <c r="N947" i="1" s="1"/>
  <c r="M947" i="1" a="1"/>
  <c r="M947" i="1" s="1"/>
  <c r="N927" i="1" a="1"/>
  <c r="N927" i="1" s="1"/>
  <c r="M927" i="1" a="1"/>
  <c r="M927" i="1" s="1"/>
  <c r="N907" i="1" a="1"/>
  <c r="N907" i="1" s="1"/>
  <c r="M907" i="1" a="1"/>
  <c r="M907" i="1" s="1"/>
  <c r="N887" i="1" a="1"/>
  <c r="N887" i="1" s="1"/>
  <c r="M887" i="1" a="1"/>
  <c r="M887" i="1" s="1"/>
  <c r="N867" i="1" a="1"/>
  <c r="N867" i="1" s="1"/>
  <c r="M867" i="1" a="1"/>
  <c r="M867" i="1" s="1"/>
  <c r="N847" i="1" a="1"/>
  <c r="N847" i="1" s="1"/>
  <c r="M847" i="1" a="1"/>
  <c r="M847" i="1" s="1"/>
  <c r="N827" i="1" a="1"/>
  <c r="N827" i="1" s="1"/>
  <c r="M827" i="1" a="1"/>
  <c r="M827" i="1" s="1"/>
  <c r="N807" i="1" a="1"/>
  <c r="N807" i="1" s="1"/>
  <c r="M807" i="1" a="1"/>
  <c r="M807" i="1" s="1"/>
  <c r="N787" i="1" a="1"/>
  <c r="N787" i="1" s="1"/>
  <c r="M787" i="1" a="1"/>
  <c r="M787" i="1" s="1"/>
  <c r="N767" i="1" a="1"/>
  <c r="N767" i="1" s="1"/>
  <c r="M767" i="1" a="1"/>
  <c r="M767" i="1" s="1"/>
  <c r="N747" i="1" a="1"/>
  <c r="N747" i="1" s="1"/>
  <c r="M747" i="1" a="1"/>
  <c r="M747" i="1" s="1"/>
  <c r="N727" i="1" a="1"/>
  <c r="N727" i="1" s="1"/>
  <c r="M727" i="1" a="1"/>
  <c r="M727" i="1" s="1"/>
  <c r="N707" i="1" a="1"/>
  <c r="N707" i="1" s="1"/>
  <c r="M707" i="1" a="1"/>
  <c r="M707" i="1" s="1"/>
  <c r="N687" i="1" a="1"/>
  <c r="N687" i="1" s="1"/>
  <c r="M687" i="1" a="1"/>
  <c r="M687" i="1" s="1"/>
  <c r="N667" i="1" a="1"/>
  <c r="N667" i="1" s="1"/>
  <c r="M667" i="1" a="1"/>
  <c r="M667" i="1" s="1"/>
  <c r="N647" i="1" a="1"/>
  <c r="N647" i="1" s="1"/>
  <c r="M647" i="1" a="1"/>
  <c r="M647" i="1" s="1"/>
  <c r="N627" i="1" a="1"/>
  <c r="N627" i="1" s="1"/>
  <c r="M627" i="1" a="1"/>
  <c r="M627" i="1" s="1"/>
  <c r="N607" i="1" a="1"/>
  <c r="N607" i="1" s="1"/>
  <c r="M607" i="1" a="1"/>
  <c r="M607" i="1" s="1"/>
  <c r="N587" i="1" a="1"/>
  <c r="N587" i="1" s="1"/>
  <c r="M587" i="1" a="1"/>
  <c r="M587" i="1" s="1"/>
  <c r="N567" i="1" a="1"/>
  <c r="N567" i="1" s="1"/>
  <c r="M567" i="1" a="1"/>
  <c r="M567" i="1" s="1"/>
  <c r="N547" i="1" a="1"/>
  <c r="N547" i="1" s="1"/>
  <c r="M547" i="1" a="1"/>
  <c r="M547" i="1" s="1"/>
  <c r="N527" i="1" a="1"/>
  <c r="N527" i="1" s="1"/>
  <c r="M527" i="1" a="1"/>
  <c r="M527" i="1" s="1"/>
  <c r="N507" i="1" a="1"/>
  <c r="N507" i="1" s="1"/>
  <c r="M507" i="1" a="1"/>
  <c r="M507" i="1" s="1"/>
  <c r="N487" i="1" a="1"/>
  <c r="N487" i="1" s="1"/>
  <c r="M487" i="1" a="1"/>
  <c r="M487" i="1" s="1"/>
  <c r="N467" i="1" a="1"/>
  <c r="N467" i="1" s="1"/>
  <c r="M467" i="1" a="1"/>
  <c r="M467" i="1" s="1"/>
  <c r="N447" i="1" a="1"/>
  <c r="N447" i="1" s="1"/>
  <c r="M447" i="1" a="1"/>
  <c r="M447" i="1" s="1"/>
  <c r="N427" i="1" a="1"/>
  <c r="N427" i="1" s="1"/>
  <c r="M427" i="1" a="1"/>
  <c r="M427" i="1" s="1"/>
  <c r="N407" i="1" a="1"/>
  <c r="N407" i="1" s="1"/>
  <c r="M407" i="1" a="1"/>
  <c r="M407" i="1" s="1"/>
  <c r="N387" i="1" a="1"/>
  <c r="N387" i="1" s="1"/>
  <c r="M387" i="1" a="1"/>
  <c r="M387" i="1" s="1"/>
  <c r="N367" i="1" a="1"/>
  <c r="N367" i="1" s="1"/>
  <c r="M367" i="1" a="1"/>
  <c r="M367" i="1" s="1"/>
  <c r="N347" i="1" a="1"/>
  <c r="N347" i="1" s="1"/>
  <c r="M347" i="1" a="1"/>
  <c r="M347" i="1" s="1"/>
  <c r="N327" i="1" a="1"/>
  <c r="N327" i="1" s="1"/>
  <c r="M327" i="1" a="1"/>
  <c r="M327" i="1" s="1"/>
  <c r="N307" i="1" a="1"/>
  <c r="N307" i="1" s="1"/>
  <c r="M307" i="1" a="1"/>
  <c r="M307" i="1" s="1"/>
  <c r="N287" i="1" a="1"/>
  <c r="N287" i="1" s="1"/>
  <c r="M287" i="1" a="1"/>
  <c r="M287" i="1" s="1"/>
  <c r="N267" i="1" a="1"/>
  <c r="N267" i="1" s="1"/>
  <c r="M267" i="1" a="1"/>
  <c r="M267" i="1" s="1"/>
  <c r="N247" i="1" a="1"/>
  <c r="N247" i="1" s="1"/>
  <c r="M247" i="1" a="1"/>
  <c r="M247" i="1" s="1"/>
  <c r="N227" i="1" a="1"/>
  <c r="N227" i="1" s="1"/>
  <c r="M227" i="1" a="1"/>
  <c r="M227" i="1" s="1"/>
  <c r="N207" i="1" a="1"/>
  <c r="N207" i="1" s="1"/>
  <c r="M207" i="1" a="1"/>
  <c r="M207" i="1" s="1"/>
  <c r="N187" i="1" a="1"/>
  <c r="N187" i="1" s="1"/>
  <c r="M187" i="1" a="1"/>
  <c r="M187" i="1" s="1"/>
  <c r="N167" i="1" a="1"/>
  <c r="N167" i="1" s="1"/>
  <c r="M167" i="1" a="1"/>
  <c r="M167" i="1" s="1"/>
  <c r="N147" i="1" a="1"/>
  <c r="N147" i="1" s="1"/>
  <c r="M147" i="1" a="1"/>
  <c r="M147" i="1" s="1"/>
  <c r="N127" i="1" a="1"/>
  <c r="N127" i="1" s="1"/>
  <c r="M127" i="1" a="1"/>
  <c r="M127" i="1" s="1"/>
  <c r="N107" i="1" a="1"/>
  <c r="N107" i="1" s="1"/>
  <c r="M107" i="1" a="1"/>
  <c r="M107" i="1" s="1"/>
  <c r="N87" i="1" a="1"/>
  <c r="N87" i="1" s="1"/>
  <c r="M87" i="1" a="1"/>
  <c r="M87" i="1" s="1"/>
  <c r="N67" i="1" a="1"/>
  <c r="N67" i="1" s="1"/>
  <c r="M67" i="1" a="1"/>
  <c r="M67" i="1" s="1"/>
  <c r="N47" i="1" a="1"/>
  <c r="N47" i="1" s="1"/>
  <c r="M47" i="1" a="1"/>
  <c r="M47" i="1" s="1"/>
  <c r="N27" i="1" a="1"/>
  <c r="N27" i="1" s="1"/>
  <c r="M27" i="1" a="1"/>
  <c r="M27" i="1" s="1"/>
  <c r="N7" i="1" a="1"/>
  <c r="N7" i="1" s="1"/>
  <c r="M7" i="1" a="1"/>
  <c r="M7" i="1" s="1"/>
  <c r="N1788" i="1" a="1"/>
  <c r="N1788" i="1" s="1"/>
  <c r="M1788" i="1" a="1"/>
  <c r="M1788" i="1" s="1"/>
  <c r="N1743" i="1" a="1"/>
  <c r="N1743" i="1" s="1"/>
  <c r="M1743" i="1" a="1"/>
  <c r="M1743" i="1" s="1"/>
  <c r="N1643" i="1" a="1"/>
  <c r="N1643" i="1" s="1"/>
  <c r="M1643" i="1" a="1"/>
  <c r="M1643" i="1" s="1"/>
  <c r="N1356" i="1" a="1"/>
  <c r="N1356" i="1" s="1"/>
  <c r="M1356" i="1" a="1"/>
  <c r="M1356" i="1" s="1"/>
  <c r="N1176" i="1" a="1"/>
  <c r="N1176" i="1" s="1"/>
  <c r="M1176" i="1" a="1"/>
  <c r="M1176" i="1" s="1"/>
  <c r="N956" i="1" a="1"/>
  <c r="N956" i="1" s="1"/>
  <c r="M956" i="1" a="1"/>
  <c r="M956" i="1" s="1"/>
  <c r="N776" i="1" a="1"/>
  <c r="N776" i="1" s="1"/>
  <c r="M776" i="1" a="1"/>
  <c r="M776" i="1" s="1"/>
  <c r="N536" i="1" a="1"/>
  <c r="N536" i="1" s="1"/>
  <c r="M536" i="1" a="1"/>
  <c r="M536" i="1" s="1"/>
  <c r="N376" i="1" a="1"/>
  <c r="N376" i="1" s="1"/>
  <c r="M376" i="1" a="1"/>
  <c r="M376" i="1" s="1"/>
  <c r="N256" i="1" a="1"/>
  <c r="N256" i="1" s="1"/>
  <c r="M256" i="1" a="1"/>
  <c r="M256" i="1" s="1"/>
  <c r="N76" i="1" a="1"/>
  <c r="N76" i="1" s="1"/>
  <c r="M76" i="1" a="1"/>
  <c r="M76" i="1" s="1"/>
  <c r="N1722" i="1" a="1"/>
  <c r="N1722" i="1" s="1"/>
  <c r="M1722" i="1" a="1"/>
  <c r="M1722" i="1" s="1"/>
  <c r="N1582" i="1" a="1"/>
  <c r="N1582" i="1" s="1"/>
  <c r="M1582" i="1" a="1"/>
  <c r="M1582" i="1" s="1"/>
  <c r="N1275" i="1" a="1"/>
  <c r="N1275" i="1" s="1"/>
  <c r="M1275" i="1" a="1"/>
  <c r="M1275" i="1" s="1"/>
  <c r="N1095" i="1" a="1"/>
  <c r="N1095" i="1" s="1"/>
  <c r="M1095" i="1" a="1"/>
  <c r="M1095" i="1" s="1"/>
  <c r="N1757" i="1" a="1"/>
  <c r="N1757" i="1" s="1"/>
  <c r="M1757" i="1" a="1"/>
  <c r="M1757" i="1" s="1"/>
  <c r="N1637" i="1" a="1"/>
  <c r="N1637" i="1" s="1"/>
  <c r="M1637" i="1" a="1"/>
  <c r="M1637" i="1" s="1"/>
  <c r="N1350" i="1" a="1"/>
  <c r="N1350" i="1" s="1"/>
  <c r="M1350" i="1" a="1"/>
  <c r="M1350" i="1" s="1"/>
  <c r="N1190" i="1" a="1"/>
  <c r="N1190" i="1" s="1"/>
  <c r="M1190" i="1" a="1"/>
  <c r="M1190" i="1" s="1"/>
  <c r="N1050" i="1" a="1"/>
  <c r="N1050" i="1" s="1"/>
  <c r="M1050" i="1" a="1"/>
  <c r="M1050" i="1" s="1"/>
  <c r="N910" i="1" a="1"/>
  <c r="N910" i="1" s="1"/>
  <c r="M910" i="1" a="1"/>
  <c r="M910" i="1" s="1"/>
  <c r="N810" i="1" a="1"/>
  <c r="N810" i="1" s="1"/>
  <c r="M810" i="1" a="1"/>
  <c r="M810" i="1" s="1"/>
  <c r="N730" i="1" a="1"/>
  <c r="N730" i="1" s="1"/>
  <c r="M730" i="1" a="1"/>
  <c r="M730" i="1" s="1"/>
  <c r="N610" i="1" a="1"/>
  <c r="N610" i="1" s="1"/>
  <c r="M610" i="1" a="1"/>
  <c r="M610" i="1" s="1"/>
  <c r="N470" i="1" a="1"/>
  <c r="N470" i="1" s="1"/>
  <c r="M470" i="1" a="1"/>
  <c r="M470" i="1" s="1"/>
  <c r="N350" i="1" a="1"/>
  <c r="N350" i="1" s="1"/>
  <c r="M350" i="1" a="1"/>
  <c r="M350" i="1" s="1"/>
  <c r="N290" i="1" a="1"/>
  <c r="N290" i="1" s="1"/>
  <c r="M290" i="1" a="1"/>
  <c r="M290" i="1" s="1"/>
  <c r="N230" i="1" a="1"/>
  <c r="N230" i="1" s="1"/>
  <c r="M230" i="1" a="1"/>
  <c r="M230" i="1" s="1"/>
  <c r="N170" i="1" a="1"/>
  <c r="N170" i="1" s="1"/>
  <c r="M170" i="1" a="1"/>
  <c r="M170" i="1" s="1"/>
  <c r="N110" i="1" a="1"/>
  <c r="N110" i="1" s="1"/>
  <c r="M110" i="1" a="1"/>
  <c r="M110" i="1" s="1"/>
  <c r="N90" i="1" a="1"/>
  <c r="N90" i="1" s="1"/>
  <c r="M90" i="1" a="1"/>
  <c r="M90" i="1" s="1"/>
  <c r="N1796" i="1" a="1"/>
  <c r="N1796" i="1" s="1"/>
  <c r="M1796" i="1" a="1"/>
  <c r="M1796" i="1" s="1"/>
  <c r="N1716" i="1" a="1"/>
  <c r="N1716" i="1" s="1"/>
  <c r="M1716" i="1" a="1"/>
  <c r="M1716" i="1" s="1"/>
  <c r="N1616" i="1" a="1"/>
  <c r="N1616" i="1" s="1"/>
  <c r="M1616" i="1" a="1"/>
  <c r="M1616" i="1" s="1"/>
  <c r="N1429" i="1" a="1"/>
  <c r="N1429" i="1" s="1"/>
  <c r="M1429" i="1" a="1"/>
  <c r="M1429" i="1" s="1"/>
  <c r="N1369" i="1" a="1"/>
  <c r="N1369" i="1" s="1"/>
  <c r="M1369" i="1" a="1"/>
  <c r="M1369" i="1" s="1"/>
  <c r="N1289" i="1" a="1"/>
  <c r="N1289" i="1" s="1"/>
  <c r="M1289" i="1" a="1"/>
  <c r="M1289" i="1" s="1"/>
  <c r="N1189" i="1" a="1"/>
  <c r="N1189" i="1" s="1"/>
  <c r="M1189" i="1" a="1"/>
  <c r="M1189" i="1" s="1"/>
  <c r="N1089" i="1" a="1"/>
  <c r="N1089" i="1" s="1"/>
  <c r="M1089" i="1" a="1"/>
  <c r="M1089" i="1" s="1"/>
  <c r="N989" i="1" a="1"/>
  <c r="N989" i="1" s="1"/>
  <c r="M989" i="1" a="1"/>
  <c r="M989" i="1" s="1"/>
  <c r="N929" i="1" a="1"/>
  <c r="N929" i="1" s="1"/>
  <c r="M929" i="1" a="1"/>
  <c r="M929" i="1" s="1"/>
  <c r="N849" i="1" a="1"/>
  <c r="N849" i="1" s="1"/>
  <c r="M849" i="1" a="1"/>
  <c r="M849" i="1" s="1"/>
  <c r="N749" i="1" a="1"/>
  <c r="N749" i="1" s="1"/>
  <c r="M749" i="1" a="1"/>
  <c r="M749" i="1" s="1"/>
  <c r="N649" i="1" a="1"/>
  <c r="N649" i="1" s="1"/>
  <c r="M649" i="1" a="1"/>
  <c r="M649" i="1" s="1"/>
  <c r="N549" i="1" a="1"/>
  <c r="N549" i="1" s="1"/>
  <c r="M549" i="1" a="1"/>
  <c r="M549" i="1" s="1"/>
  <c r="N449" i="1" a="1"/>
  <c r="N449" i="1" s="1"/>
  <c r="M449" i="1" a="1"/>
  <c r="M449" i="1" s="1"/>
  <c r="N389" i="1" a="1"/>
  <c r="N389" i="1" s="1"/>
  <c r="M389" i="1" a="1"/>
  <c r="M389" i="1" s="1"/>
  <c r="N329" i="1" a="1"/>
  <c r="N329" i="1" s="1"/>
  <c r="M329" i="1" a="1"/>
  <c r="M329" i="1" s="1"/>
  <c r="N269" i="1" a="1"/>
  <c r="N269" i="1" s="1"/>
  <c r="M269" i="1" a="1"/>
  <c r="M269" i="1" s="1"/>
  <c r="N169" i="1" a="1"/>
  <c r="N169" i="1" s="1"/>
  <c r="M169" i="1" a="1"/>
  <c r="M169" i="1" s="1"/>
  <c r="N109" i="1" a="1"/>
  <c r="N109" i="1" s="1"/>
  <c r="M109" i="1" a="1"/>
  <c r="M109" i="1" s="1"/>
  <c r="N29" i="1" a="1"/>
  <c r="N29" i="1" s="1"/>
  <c r="M29" i="1" a="1"/>
  <c r="M29" i="1" s="1"/>
  <c r="N1775" i="1" a="1"/>
  <c r="N1775" i="1" s="1"/>
  <c r="M1775" i="1" a="1"/>
  <c r="M1775" i="1" s="1"/>
  <c r="N1695" i="1" a="1"/>
  <c r="N1695" i="1" s="1"/>
  <c r="M1695" i="1" a="1"/>
  <c r="M1695" i="1" s="1"/>
  <c r="N1615" i="1" a="1"/>
  <c r="N1615" i="1" s="1"/>
  <c r="M1615" i="1" a="1"/>
  <c r="M1615" i="1" s="1"/>
  <c r="N1428" i="1" a="1"/>
  <c r="N1428" i="1" s="1"/>
  <c r="M1428" i="1" a="1"/>
  <c r="M1428" i="1" s="1"/>
  <c r="N1308" i="1" a="1"/>
  <c r="N1308" i="1" s="1"/>
  <c r="M1308" i="1" a="1"/>
  <c r="M1308" i="1" s="1"/>
  <c r="N1228" i="1" a="1"/>
  <c r="N1228" i="1" s="1"/>
  <c r="M1228" i="1" a="1"/>
  <c r="M1228" i="1" s="1"/>
  <c r="N1188" i="1" a="1"/>
  <c r="N1188" i="1" s="1"/>
  <c r="M1188" i="1" a="1"/>
  <c r="M1188" i="1" s="1"/>
  <c r="N1088" i="1" a="1"/>
  <c r="N1088" i="1" s="1"/>
  <c r="M1088" i="1" a="1"/>
  <c r="M1088" i="1" s="1"/>
  <c r="N1008" i="1" a="1"/>
  <c r="N1008" i="1" s="1"/>
  <c r="M1008" i="1" a="1"/>
  <c r="M1008" i="1" s="1"/>
  <c r="N888" i="1" a="1"/>
  <c r="N888" i="1" s="1"/>
  <c r="M888" i="1" a="1"/>
  <c r="M888" i="1" s="1"/>
  <c r="N808" i="1" a="1"/>
  <c r="N808" i="1" s="1"/>
  <c r="M808" i="1" a="1"/>
  <c r="M808" i="1" s="1"/>
  <c r="N748" i="1" a="1"/>
  <c r="N748" i="1" s="1"/>
  <c r="M748" i="1" a="1"/>
  <c r="M748" i="1" s="1"/>
  <c r="N688" i="1" a="1"/>
  <c r="N688" i="1" s="1"/>
  <c r="M688" i="1" a="1"/>
  <c r="M688" i="1" s="1"/>
  <c r="N608" i="1" a="1"/>
  <c r="N608" i="1" s="1"/>
  <c r="M608" i="1" a="1"/>
  <c r="M608" i="1" s="1"/>
  <c r="N548" i="1" a="1"/>
  <c r="N548" i="1" s="1"/>
  <c r="M548" i="1" a="1"/>
  <c r="M548" i="1" s="1"/>
  <c r="N508" i="1" a="1"/>
  <c r="N508" i="1" s="1"/>
  <c r="M508" i="1" a="1"/>
  <c r="M508" i="1" s="1"/>
  <c r="N448" i="1" a="1"/>
  <c r="N448" i="1" s="1"/>
  <c r="M448" i="1" a="1"/>
  <c r="M448" i="1" s="1"/>
  <c r="N348" i="1" a="1"/>
  <c r="N348" i="1" s="1"/>
  <c r="M348" i="1" a="1"/>
  <c r="M348" i="1" s="1"/>
  <c r="N308" i="1" a="1"/>
  <c r="N308" i="1" s="1"/>
  <c r="M308" i="1" a="1"/>
  <c r="M308" i="1" s="1"/>
  <c r="N248" i="1" a="1"/>
  <c r="N248" i="1" s="1"/>
  <c r="M248" i="1" a="1"/>
  <c r="M248" i="1" s="1"/>
  <c r="N168" i="1" a="1"/>
  <c r="N168" i="1" s="1"/>
  <c r="M168" i="1" a="1"/>
  <c r="M168" i="1" s="1"/>
  <c r="N88" i="1" a="1"/>
  <c r="N88" i="1" s="1"/>
  <c r="M88" i="1" a="1"/>
  <c r="M88" i="1" s="1"/>
  <c r="N8" i="1" a="1"/>
  <c r="N8" i="1" s="1"/>
  <c r="M8" i="1" a="1"/>
  <c r="M8" i="1" s="1"/>
  <c r="N1813" i="1" a="1"/>
  <c r="N1813" i="1" s="1"/>
  <c r="M1813" i="1" a="1"/>
  <c r="M1813" i="1" s="1"/>
  <c r="N1793" i="1" a="1"/>
  <c r="N1793" i="1" s="1"/>
  <c r="M1793" i="1" a="1"/>
  <c r="M1793" i="1" s="1"/>
  <c r="N1773" i="1" a="1"/>
  <c r="N1773" i="1" s="1"/>
  <c r="M1773" i="1" a="1"/>
  <c r="M1773" i="1" s="1"/>
  <c r="N1753" i="1" a="1"/>
  <c r="N1753" i="1" s="1"/>
  <c r="M1753" i="1" a="1"/>
  <c r="M1753" i="1" s="1"/>
  <c r="N1733" i="1" a="1"/>
  <c r="N1733" i="1" s="1"/>
  <c r="M1733" i="1" a="1"/>
  <c r="M1733" i="1" s="1"/>
  <c r="N1713" i="1" a="1"/>
  <c r="N1713" i="1" s="1"/>
  <c r="M1713" i="1" a="1"/>
  <c r="M1713" i="1" s="1"/>
  <c r="N1693" i="1" a="1"/>
  <c r="N1693" i="1" s="1"/>
  <c r="M1693" i="1" a="1"/>
  <c r="M1693" i="1" s="1"/>
  <c r="N1673" i="1" a="1"/>
  <c r="N1673" i="1" s="1"/>
  <c r="M1673" i="1" a="1"/>
  <c r="M1673" i="1" s="1"/>
  <c r="N1653" i="1" a="1"/>
  <c r="N1653" i="1" s="1"/>
  <c r="M1653" i="1" a="1"/>
  <c r="M1653" i="1" s="1"/>
  <c r="N1633" i="1" a="1"/>
  <c r="N1633" i="1" s="1"/>
  <c r="M1633" i="1" a="1"/>
  <c r="M1633" i="1" s="1"/>
  <c r="N1613" i="1" a="1"/>
  <c r="N1613" i="1" s="1"/>
  <c r="M1613" i="1" a="1"/>
  <c r="M1613" i="1" s="1"/>
  <c r="N1593" i="1" a="1"/>
  <c r="N1593" i="1" s="1"/>
  <c r="M1593" i="1" a="1"/>
  <c r="M1593" i="1" s="1"/>
  <c r="N1573" i="1" a="1"/>
  <c r="N1573" i="1" s="1"/>
  <c r="M1573" i="1" a="1"/>
  <c r="M1573" i="1" s="1"/>
  <c r="N1426" i="1" a="1"/>
  <c r="N1426" i="1" s="1"/>
  <c r="M1426" i="1" a="1"/>
  <c r="M1426" i="1" s="1"/>
  <c r="N1406" i="1" a="1"/>
  <c r="N1406" i="1" s="1"/>
  <c r="M1406" i="1" a="1"/>
  <c r="M1406" i="1" s="1"/>
  <c r="N1386" i="1" a="1"/>
  <c r="N1386" i="1" s="1"/>
  <c r="M1386" i="1" a="1"/>
  <c r="M1386" i="1" s="1"/>
  <c r="N1366" i="1" a="1"/>
  <c r="N1366" i="1" s="1"/>
  <c r="M1366" i="1" a="1"/>
  <c r="M1366" i="1" s="1"/>
  <c r="N1346" i="1" a="1"/>
  <c r="N1346" i="1" s="1"/>
  <c r="M1346" i="1" a="1"/>
  <c r="M1346" i="1" s="1"/>
  <c r="N1326" i="1" a="1"/>
  <c r="N1326" i="1" s="1"/>
  <c r="M1326" i="1" a="1"/>
  <c r="M1326" i="1" s="1"/>
  <c r="N1306" i="1" a="1"/>
  <c r="N1306" i="1" s="1"/>
  <c r="M1306" i="1" a="1"/>
  <c r="M1306" i="1" s="1"/>
  <c r="N1286" i="1" a="1"/>
  <c r="N1286" i="1" s="1"/>
  <c r="M1286" i="1" a="1"/>
  <c r="M1286" i="1" s="1"/>
  <c r="N1266" i="1" a="1"/>
  <c r="N1266" i="1" s="1"/>
  <c r="M1266" i="1" a="1"/>
  <c r="M1266" i="1" s="1"/>
  <c r="N1246" i="1" a="1"/>
  <c r="N1246" i="1" s="1"/>
  <c r="M1246" i="1" a="1"/>
  <c r="M1246" i="1" s="1"/>
  <c r="N1226" i="1" a="1"/>
  <c r="N1226" i="1" s="1"/>
  <c r="M1226" i="1" a="1"/>
  <c r="M1226" i="1" s="1"/>
  <c r="N1206" i="1" a="1"/>
  <c r="N1206" i="1" s="1"/>
  <c r="M1206" i="1" a="1"/>
  <c r="M1206" i="1" s="1"/>
  <c r="N1186" i="1" a="1"/>
  <c r="N1186" i="1" s="1"/>
  <c r="M1186" i="1" a="1"/>
  <c r="M1186" i="1" s="1"/>
  <c r="N1166" i="1" a="1"/>
  <c r="N1166" i="1" s="1"/>
  <c r="M1166" i="1" a="1"/>
  <c r="M1166" i="1" s="1"/>
  <c r="N1146" i="1" a="1"/>
  <c r="N1146" i="1" s="1"/>
  <c r="M1146" i="1" a="1"/>
  <c r="M1146" i="1" s="1"/>
  <c r="N1126" i="1" a="1"/>
  <c r="N1126" i="1" s="1"/>
  <c r="M1126" i="1" a="1"/>
  <c r="M1126" i="1" s="1"/>
  <c r="N1106" i="1" a="1"/>
  <c r="N1106" i="1" s="1"/>
  <c r="M1106" i="1" a="1"/>
  <c r="M1106" i="1" s="1"/>
  <c r="N1086" i="1" a="1"/>
  <c r="N1086" i="1" s="1"/>
  <c r="M1086" i="1" a="1"/>
  <c r="M1086" i="1" s="1"/>
  <c r="N1066" i="1" a="1"/>
  <c r="N1066" i="1" s="1"/>
  <c r="M1066" i="1" a="1"/>
  <c r="M1066" i="1" s="1"/>
  <c r="N1046" i="1" a="1"/>
  <c r="N1046" i="1" s="1"/>
  <c r="M1046" i="1" a="1"/>
  <c r="M1046" i="1" s="1"/>
  <c r="N1026" i="1" a="1"/>
  <c r="N1026" i="1" s="1"/>
  <c r="M1026" i="1" a="1"/>
  <c r="M1026" i="1" s="1"/>
  <c r="N1006" i="1" a="1"/>
  <c r="N1006" i="1" s="1"/>
  <c r="M1006" i="1" a="1"/>
  <c r="M1006" i="1" s="1"/>
  <c r="N986" i="1" a="1"/>
  <c r="N986" i="1" s="1"/>
  <c r="M986" i="1" a="1"/>
  <c r="M986" i="1" s="1"/>
  <c r="N966" i="1" a="1"/>
  <c r="N966" i="1" s="1"/>
  <c r="M966" i="1" a="1"/>
  <c r="M966" i="1" s="1"/>
  <c r="N946" i="1" a="1"/>
  <c r="N946" i="1" s="1"/>
  <c r="M946" i="1" a="1"/>
  <c r="M946" i="1" s="1"/>
  <c r="N926" i="1" a="1"/>
  <c r="N926" i="1" s="1"/>
  <c r="M926" i="1" a="1"/>
  <c r="M926" i="1" s="1"/>
  <c r="N906" i="1" a="1"/>
  <c r="N906" i="1" s="1"/>
  <c r="M906" i="1" a="1"/>
  <c r="M906" i="1" s="1"/>
  <c r="N886" i="1" a="1"/>
  <c r="N886" i="1" s="1"/>
  <c r="M886" i="1" a="1"/>
  <c r="M886" i="1" s="1"/>
  <c r="N866" i="1" a="1"/>
  <c r="N866" i="1" s="1"/>
  <c r="M866" i="1" a="1"/>
  <c r="M866" i="1" s="1"/>
  <c r="N846" i="1" a="1"/>
  <c r="N846" i="1" s="1"/>
  <c r="M846" i="1" a="1"/>
  <c r="M846" i="1" s="1"/>
  <c r="N826" i="1" a="1"/>
  <c r="N826" i="1" s="1"/>
  <c r="M826" i="1" a="1"/>
  <c r="M826" i="1" s="1"/>
  <c r="N806" i="1" a="1"/>
  <c r="N806" i="1" s="1"/>
  <c r="M806" i="1" a="1"/>
  <c r="M806" i="1" s="1"/>
  <c r="N786" i="1" a="1"/>
  <c r="N786" i="1" s="1"/>
  <c r="M786" i="1" a="1"/>
  <c r="M786" i="1" s="1"/>
  <c r="N766" i="1" a="1"/>
  <c r="N766" i="1" s="1"/>
  <c r="M766" i="1" a="1"/>
  <c r="M766" i="1" s="1"/>
  <c r="N746" i="1" a="1"/>
  <c r="N746" i="1" s="1"/>
  <c r="M746" i="1" a="1"/>
  <c r="M746" i="1" s="1"/>
  <c r="N726" i="1" a="1"/>
  <c r="N726" i="1" s="1"/>
  <c r="M726" i="1" a="1"/>
  <c r="M726" i="1" s="1"/>
  <c r="N706" i="1" a="1"/>
  <c r="N706" i="1" s="1"/>
  <c r="M706" i="1" a="1"/>
  <c r="M706" i="1" s="1"/>
  <c r="N686" i="1" a="1"/>
  <c r="N686" i="1" s="1"/>
  <c r="M686" i="1" a="1"/>
  <c r="M686" i="1" s="1"/>
  <c r="N666" i="1" a="1"/>
  <c r="N666" i="1" s="1"/>
  <c r="M666" i="1" a="1"/>
  <c r="M666" i="1" s="1"/>
  <c r="N646" i="1" a="1"/>
  <c r="N646" i="1" s="1"/>
  <c r="M646" i="1" a="1"/>
  <c r="M646" i="1" s="1"/>
  <c r="N626" i="1" a="1"/>
  <c r="N626" i="1" s="1"/>
  <c r="M626" i="1" a="1"/>
  <c r="M626" i="1" s="1"/>
  <c r="N606" i="1" a="1"/>
  <c r="N606" i="1" s="1"/>
  <c r="M606" i="1" a="1"/>
  <c r="M606" i="1" s="1"/>
  <c r="N586" i="1" a="1"/>
  <c r="N586" i="1" s="1"/>
  <c r="M586" i="1" a="1"/>
  <c r="M586" i="1" s="1"/>
  <c r="N566" i="1" a="1"/>
  <c r="N566" i="1" s="1"/>
  <c r="M566" i="1" a="1"/>
  <c r="M566" i="1" s="1"/>
  <c r="N546" i="1" a="1"/>
  <c r="N546" i="1" s="1"/>
  <c r="M546" i="1" a="1"/>
  <c r="M546" i="1" s="1"/>
  <c r="N526" i="1" a="1"/>
  <c r="N526" i="1" s="1"/>
  <c r="M526" i="1" a="1"/>
  <c r="M526" i="1" s="1"/>
  <c r="N506" i="1" a="1"/>
  <c r="N506" i="1" s="1"/>
  <c r="M506" i="1" a="1"/>
  <c r="M506" i="1" s="1"/>
  <c r="N486" i="1" a="1"/>
  <c r="N486" i="1" s="1"/>
  <c r="M486" i="1" a="1"/>
  <c r="M486" i="1" s="1"/>
  <c r="N466" i="1" a="1"/>
  <c r="N466" i="1" s="1"/>
  <c r="M466" i="1" a="1"/>
  <c r="M466" i="1" s="1"/>
  <c r="N446" i="1" a="1"/>
  <c r="N446" i="1" s="1"/>
  <c r="M446" i="1" a="1"/>
  <c r="M446" i="1" s="1"/>
  <c r="N426" i="1" a="1"/>
  <c r="N426" i="1" s="1"/>
  <c r="M426" i="1" a="1"/>
  <c r="M426" i="1" s="1"/>
  <c r="N406" i="1" a="1"/>
  <c r="N406" i="1" s="1"/>
  <c r="M406" i="1" a="1"/>
  <c r="M406" i="1" s="1"/>
  <c r="N386" i="1" a="1"/>
  <c r="N386" i="1" s="1"/>
  <c r="M386" i="1" a="1"/>
  <c r="M386" i="1" s="1"/>
  <c r="N366" i="1" a="1"/>
  <c r="N366" i="1" s="1"/>
  <c r="M366" i="1" a="1"/>
  <c r="M366" i="1" s="1"/>
  <c r="N346" i="1" a="1"/>
  <c r="N346" i="1" s="1"/>
  <c r="M346" i="1" a="1"/>
  <c r="M346" i="1" s="1"/>
  <c r="N326" i="1" a="1"/>
  <c r="N326" i="1" s="1"/>
  <c r="M326" i="1" a="1"/>
  <c r="M326" i="1" s="1"/>
  <c r="N306" i="1" a="1"/>
  <c r="N306" i="1" s="1"/>
  <c r="M306" i="1" a="1"/>
  <c r="M306" i="1" s="1"/>
  <c r="N286" i="1" a="1"/>
  <c r="N286" i="1" s="1"/>
  <c r="M286" i="1" a="1"/>
  <c r="M286" i="1" s="1"/>
  <c r="N266" i="1" a="1"/>
  <c r="N266" i="1" s="1"/>
  <c r="M266" i="1" a="1"/>
  <c r="M266" i="1" s="1"/>
  <c r="N246" i="1" a="1"/>
  <c r="N246" i="1" s="1"/>
  <c r="M246" i="1" a="1"/>
  <c r="M246" i="1" s="1"/>
  <c r="N226" i="1" a="1"/>
  <c r="N226" i="1" s="1"/>
  <c r="M226" i="1" a="1"/>
  <c r="M226" i="1" s="1"/>
  <c r="N206" i="1" a="1"/>
  <c r="N206" i="1" s="1"/>
  <c r="M206" i="1" a="1"/>
  <c r="M206" i="1" s="1"/>
  <c r="N186" i="1" a="1"/>
  <c r="N186" i="1" s="1"/>
  <c r="M186" i="1" a="1"/>
  <c r="M186" i="1" s="1"/>
  <c r="N166" i="1" a="1"/>
  <c r="N166" i="1" s="1"/>
  <c r="M166" i="1" a="1"/>
  <c r="M166" i="1" s="1"/>
  <c r="N146" i="1" a="1"/>
  <c r="N146" i="1" s="1"/>
  <c r="M146" i="1" a="1"/>
  <c r="M146" i="1" s="1"/>
  <c r="N126" i="1" a="1"/>
  <c r="N126" i="1" s="1"/>
  <c r="M126" i="1" a="1"/>
  <c r="M126" i="1" s="1"/>
  <c r="N106" i="1" a="1"/>
  <c r="N106" i="1" s="1"/>
  <c r="M106" i="1" a="1"/>
  <c r="M106" i="1" s="1"/>
  <c r="N86" i="1" a="1"/>
  <c r="N86" i="1" s="1"/>
  <c r="M86" i="1" a="1"/>
  <c r="M86" i="1" s="1"/>
  <c r="N66" i="1" a="1"/>
  <c r="N66" i="1" s="1"/>
  <c r="M66" i="1" a="1"/>
  <c r="M66" i="1" s="1"/>
  <c r="N46" i="1" a="1"/>
  <c r="N46" i="1" s="1"/>
  <c r="M46" i="1" a="1"/>
  <c r="M46" i="1" s="1"/>
  <c r="N26" i="1" a="1"/>
  <c r="N26" i="1" s="1"/>
  <c r="M26" i="1" a="1"/>
  <c r="M26" i="1" s="1"/>
  <c r="N6" i="1" a="1"/>
  <c r="N6" i="1" s="1"/>
  <c r="M6" i="1" a="1"/>
  <c r="M6" i="1" s="1"/>
  <c r="N1783" i="1" a="1"/>
  <c r="N1783" i="1" s="1"/>
  <c r="M1783" i="1" a="1"/>
  <c r="M1783" i="1" s="1"/>
  <c r="N1376" i="1" a="1"/>
  <c r="N1376" i="1" s="1"/>
  <c r="M1376" i="1" a="1"/>
  <c r="M1376" i="1" s="1"/>
  <c r="N1116" i="1" a="1"/>
  <c r="N1116" i="1" s="1"/>
  <c r="M1116" i="1" a="1"/>
  <c r="M1116" i="1" s="1"/>
  <c r="N916" i="1" a="1"/>
  <c r="N916" i="1" s="1"/>
  <c r="M916" i="1" a="1"/>
  <c r="M916" i="1" s="1"/>
  <c r="N716" i="1" a="1"/>
  <c r="N716" i="1" s="1"/>
  <c r="M716" i="1" a="1"/>
  <c r="M716" i="1" s="1"/>
  <c r="N496" i="1" a="1"/>
  <c r="N496" i="1" s="1"/>
  <c r="M496" i="1" a="1"/>
  <c r="M496" i="1" s="1"/>
  <c r="N356" i="1" a="1"/>
  <c r="N356" i="1" s="1"/>
  <c r="M356" i="1" a="1"/>
  <c r="M356" i="1" s="1"/>
  <c r="N36" i="1" a="1"/>
  <c r="N36" i="1" s="1"/>
  <c r="M36" i="1" a="1"/>
  <c r="M36" i="1" s="1"/>
  <c r="N1335" i="1" a="1"/>
  <c r="N1335" i="1" s="1"/>
  <c r="M1335" i="1" a="1"/>
  <c r="M1335" i="1" s="1"/>
  <c r="N1035" i="1" a="1"/>
  <c r="N1035" i="1" s="1"/>
  <c r="M1035" i="1" a="1"/>
  <c r="M1035" i="1" s="1"/>
  <c r="N1697" i="1" a="1"/>
  <c r="N1697" i="1" s="1"/>
  <c r="M1697" i="1" a="1"/>
  <c r="M1697" i="1" s="1"/>
  <c r="N1390" i="1" a="1"/>
  <c r="N1390" i="1" s="1"/>
  <c r="M1390" i="1" a="1"/>
  <c r="M1390" i="1" s="1"/>
  <c r="N1270" i="1" a="1"/>
  <c r="N1270" i="1" s="1"/>
  <c r="M1270" i="1" a="1"/>
  <c r="M1270" i="1" s="1"/>
  <c r="N1130" i="1" a="1"/>
  <c r="N1130" i="1" s="1"/>
  <c r="M1130" i="1" a="1"/>
  <c r="M1130" i="1" s="1"/>
  <c r="N970" i="1" a="1"/>
  <c r="N970" i="1" s="1"/>
  <c r="M970" i="1" a="1"/>
  <c r="M970" i="1" s="1"/>
  <c r="N850" i="1" a="1"/>
  <c r="N850" i="1" s="1"/>
  <c r="M850" i="1" a="1"/>
  <c r="M850" i="1" s="1"/>
  <c r="N750" i="1" a="1"/>
  <c r="N750" i="1" s="1"/>
  <c r="M750" i="1" a="1"/>
  <c r="M750" i="1" s="1"/>
  <c r="N630" i="1" a="1"/>
  <c r="N630" i="1" s="1"/>
  <c r="M630" i="1" a="1"/>
  <c r="M630" i="1" s="1"/>
  <c r="N490" i="1" a="1"/>
  <c r="N490" i="1" s="1"/>
  <c r="M490" i="1" a="1"/>
  <c r="M490" i="1" s="1"/>
  <c r="N410" i="1" a="1"/>
  <c r="N410" i="1" s="1"/>
  <c r="M410" i="1" a="1"/>
  <c r="M410" i="1" s="1"/>
  <c r="N330" i="1" a="1"/>
  <c r="N330" i="1" s="1"/>
  <c r="M330" i="1" a="1"/>
  <c r="M330" i="1" s="1"/>
  <c r="N210" i="1" a="1"/>
  <c r="N210" i="1" s="1"/>
  <c r="M210" i="1" a="1"/>
  <c r="M210" i="1" s="1"/>
  <c r="N150" i="1" a="1"/>
  <c r="N150" i="1" s="1"/>
  <c r="M150" i="1" a="1"/>
  <c r="M150" i="1" s="1"/>
  <c r="N50" i="1" a="1"/>
  <c r="N50" i="1" s="1"/>
  <c r="M50" i="1" a="1"/>
  <c r="M50" i="1" s="1"/>
  <c r="N1816" i="1" a="1"/>
  <c r="N1816" i="1" s="1"/>
  <c r="M1816" i="1" a="1"/>
  <c r="M1816" i="1" s="1"/>
  <c r="N1696" i="1" a="1"/>
  <c r="N1696" i="1" s="1"/>
  <c r="M1696" i="1" a="1"/>
  <c r="M1696" i="1" s="1"/>
  <c r="N1596" i="1" a="1"/>
  <c r="N1596" i="1" s="1"/>
  <c r="M1596" i="1" a="1"/>
  <c r="M1596" i="1" s="1"/>
  <c r="N1329" i="1" a="1"/>
  <c r="N1329" i="1" s="1"/>
  <c r="M1329" i="1" a="1"/>
  <c r="M1329" i="1" s="1"/>
  <c r="N1229" i="1" a="1"/>
  <c r="N1229" i="1" s="1"/>
  <c r="M1229" i="1" a="1"/>
  <c r="M1229" i="1" s="1"/>
  <c r="N1129" i="1" a="1"/>
  <c r="N1129" i="1" s="1"/>
  <c r="M1129" i="1" a="1"/>
  <c r="M1129" i="1" s="1"/>
  <c r="N1029" i="1" a="1"/>
  <c r="N1029" i="1" s="1"/>
  <c r="M1029" i="1" a="1"/>
  <c r="M1029" i="1" s="1"/>
  <c r="N889" i="1" a="1"/>
  <c r="N889" i="1" s="1"/>
  <c r="M889" i="1" a="1"/>
  <c r="M889" i="1" s="1"/>
  <c r="N769" i="1" a="1"/>
  <c r="N769" i="1" s="1"/>
  <c r="M769" i="1" a="1"/>
  <c r="M769" i="1" s="1"/>
  <c r="N669" i="1" a="1"/>
  <c r="N669" i="1" s="1"/>
  <c r="M669" i="1" a="1"/>
  <c r="M669" i="1" s="1"/>
  <c r="N569" i="1" a="1"/>
  <c r="N569" i="1" s="1"/>
  <c r="M569" i="1" a="1"/>
  <c r="M569" i="1" s="1"/>
  <c r="N489" i="1" a="1"/>
  <c r="N489" i="1" s="1"/>
  <c r="M489" i="1" a="1"/>
  <c r="M489" i="1" s="1"/>
  <c r="N369" i="1" a="1"/>
  <c r="N369" i="1" s="1"/>
  <c r="M369" i="1" a="1"/>
  <c r="M369" i="1" s="1"/>
  <c r="N249" i="1" a="1"/>
  <c r="N249" i="1" s="1"/>
  <c r="M249" i="1" a="1"/>
  <c r="M249" i="1" s="1"/>
  <c r="N149" i="1" a="1"/>
  <c r="N149" i="1" s="1"/>
  <c r="M149" i="1" a="1"/>
  <c r="M149" i="1" s="1"/>
  <c r="N49" i="1" a="1"/>
  <c r="N49" i="1" s="1"/>
  <c r="M49" i="1" a="1"/>
  <c r="M49" i="1" s="1"/>
  <c r="N1815" i="1" a="1"/>
  <c r="N1815" i="1" s="1"/>
  <c r="M1815" i="1" a="1"/>
  <c r="M1815" i="1" s="1"/>
  <c r="N1715" i="1" a="1"/>
  <c r="N1715" i="1" s="1"/>
  <c r="M1715" i="1" a="1"/>
  <c r="M1715" i="1" s="1"/>
  <c r="N1595" i="1" a="1"/>
  <c r="N1595" i="1" s="1"/>
  <c r="M1595" i="1" a="1"/>
  <c r="M1595" i="1" s="1"/>
  <c r="N1408" i="1" a="1"/>
  <c r="N1408" i="1" s="1"/>
  <c r="M1408" i="1" a="1"/>
  <c r="M1408" i="1" s="1"/>
  <c r="N1328" i="1" a="1"/>
  <c r="N1328" i="1" s="1"/>
  <c r="M1328" i="1" a="1"/>
  <c r="M1328" i="1" s="1"/>
  <c r="N1268" i="1" a="1"/>
  <c r="N1268" i="1" s="1"/>
  <c r="M1268" i="1" a="1"/>
  <c r="M1268" i="1" s="1"/>
  <c r="N1168" i="1" a="1"/>
  <c r="N1168" i="1" s="1"/>
  <c r="M1168" i="1" a="1"/>
  <c r="M1168" i="1" s="1"/>
  <c r="N1108" i="1" a="1"/>
  <c r="N1108" i="1" s="1"/>
  <c r="M1108" i="1" a="1"/>
  <c r="M1108" i="1" s="1"/>
  <c r="N1028" i="1" a="1"/>
  <c r="N1028" i="1" s="1"/>
  <c r="M1028" i="1" a="1"/>
  <c r="M1028" i="1" s="1"/>
  <c r="N908" i="1" a="1"/>
  <c r="N908" i="1" s="1"/>
  <c r="M908" i="1" a="1"/>
  <c r="M908" i="1" s="1"/>
  <c r="N828" i="1" a="1"/>
  <c r="N828" i="1" s="1"/>
  <c r="M828" i="1" a="1"/>
  <c r="M828" i="1" s="1"/>
  <c r="N768" i="1" a="1"/>
  <c r="N768" i="1" s="1"/>
  <c r="M768" i="1" a="1"/>
  <c r="M768" i="1" s="1"/>
  <c r="N668" i="1" a="1"/>
  <c r="N668" i="1" s="1"/>
  <c r="M668" i="1" a="1"/>
  <c r="M668" i="1" s="1"/>
  <c r="N628" i="1" a="1"/>
  <c r="N628" i="1" s="1"/>
  <c r="M628" i="1" a="1"/>
  <c r="M628" i="1" s="1"/>
  <c r="N528" i="1" a="1"/>
  <c r="N528" i="1" s="1"/>
  <c r="M528" i="1" a="1"/>
  <c r="M528" i="1" s="1"/>
  <c r="N468" i="1" a="1"/>
  <c r="N468" i="1" s="1"/>
  <c r="M468" i="1" a="1"/>
  <c r="M468" i="1" s="1"/>
  <c r="N408" i="1" a="1"/>
  <c r="N408" i="1" s="1"/>
  <c r="M408" i="1" a="1"/>
  <c r="M408" i="1" s="1"/>
  <c r="N368" i="1" a="1"/>
  <c r="N368" i="1" s="1"/>
  <c r="M368" i="1" a="1"/>
  <c r="M368" i="1" s="1"/>
  <c r="N288" i="1" a="1"/>
  <c r="N288" i="1" s="1"/>
  <c r="M288" i="1" a="1"/>
  <c r="M288" i="1" s="1"/>
  <c r="N188" i="1" a="1"/>
  <c r="N188" i="1" s="1"/>
  <c r="M188" i="1" a="1"/>
  <c r="M188" i="1" s="1"/>
  <c r="N128" i="1" a="1"/>
  <c r="N128" i="1" s="1"/>
  <c r="M128" i="1" a="1"/>
  <c r="M128" i="1" s="1"/>
  <c r="N68" i="1" a="1"/>
  <c r="N68" i="1" s="1"/>
  <c r="M68" i="1" a="1"/>
  <c r="M68" i="1" s="1"/>
  <c r="N48" i="1" a="1"/>
  <c r="N48" i="1" s="1"/>
  <c r="M48" i="1" a="1"/>
  <c r="M48" i="1" s="1"/>
  <c r="N1812" i="1" a="1"/>
  <c r="N1812" i="1" s="1"/>
  <c r="M1812" i="1" a="1"/>
  <c r="M1812" i="1" s="1"/>
  <c r="N1792" i="1" a="1"/>
  <c r="N1792" i="1" s="1"/>
  <c r="M1792" i="1" a="1"/>
  <c r="M1792" i="1" s="1"/>
  <c r="N1772" i="1" a="1"/>
  <c r="N1772" i="1" s="1"/>
  <c r="M1772" i="1" a="1"/>
  <c r="M1772" i="1" s="1"/>
  <c r="N1752" i="1" a="1"/>
  <c r="N1752" i="1" s="1"/>
  <c r="M1752" i="1" a="1"/>
  <c r="M1752" i="1" s="1"/>
  <c r="N1732" i="1" a="1"/>
  <c r="N1732" i="1" s="1"/>
  <c r="M1732" i="1" a="1"/>
  <c r="M1732" i="1" s="1"/>
  <c r="N1712" i="1" a="1"/>
  <c r="N1712" i="1" s="1"/>
  <c r="M1712" i="1" a="1"/>
  <c r="M1712" i="1" s="1"/>
  <c r="N1692" i="1" a="1"/>
  <c r="N1692" i="1" s="1"/>
  <c r="M1692" i="1" a="1"/>
  <c r="M1692" i="1" s="1"/>
  <c r="N1672" i="1" a="1"/>
  <c r="N1672" i="1" s="1"/>
  <c r="M1672" i="1" a="1"/>
  <c r="M1672" i="1" s="1"/>
  <c r="N1652" i="1" a="1"/>
  <c r="N1652" i="1" s="1"/>
  <c r="M1652" i="1" a="1"/>
  <c r="M1652" i="1" s="1"/>
  <c r="N1632" i="1" a="1"/>
  <c r="N1632" i="1" s="1"/>
  <c r="M1632" i="1" a="1"/>
  <c r="M1632" i="1" s="1"/>
  <c r="N1612" i="1" a="1"/>
  <c r="N1612" i="1" s="1"/>
  <c r="M1612" i="1" a="1"/>
  <c r="M1612" i="1" s="1"/>
  <c r="N1592" i="1" a="1"/>
  <c r="N1592" i="1" s="1"/>
  <c r="M1592" i="1" a="1"/>
  <c r="M1592" i="1" s="1"/>
  <c r="N1572" i="1" a="1"/>
  <c r="N1572" i="1" s="1"/>
  <c r="M1572" i="1" a="1"/>
  <c r="M1572" i="1" s="1"/>
  <c r="N1425" i="1" a="1"/>
  <c r="N1425" i="1" s="1"/>
  <c r="M1425" i="1" a="1"/>
  <c r="M1425" i="1" s="1"/>
  <c r="N1405" i="1" a="1"/>
  <c r="N1405" i="1" s="1"/>
  <c r="M1405" i="1" a="1"/>
  <c r="M1405" i="1" s="1"/>
  <c r="N1385" i="1" a="1"/>
  <c r="N1385" i="1" s="1"/>
  <c r="M1385" i="1" a="1"/>
  <c r="M1385" i="1" s="1"/>
  <c r="N1365" i="1" a="1"/>
  <c r="N1365" i="1" s="1"/>
  <c r="M1365" i="1" a="1"/>
  <c r="M1365" i="1" s="1"/>
  <c r="N1345" i="1" a="1"/>
  <c r="N1345" i="1" s="1"/>
  <c r="M1345" i="1" a="1"/>
  <c r="M1345" i="1" s="1"/>
  <c r="N1325" i="1" a="1"/>
  <c r="N1325" i="1" s="1"/>
  <c r="M1325" i="1" a="1"/>
  <c r="M1325" i="1" s="1"/>
  <c r="N1305" i="1" a="1"/>
  <c r="N1305" i="1" s="1"/>
  <c r="M1305" i="1" a="1"/>
  <c r="M1305" i="1" s="1"/>
  <c r="N1285" i="1" a="1"/>
  <c r="N1285" i="1" s="1"/>
  <c r="M1285" i="1" a="1"/>
  <c r="M1285" i="1" s="1"/>
  <c r="N1265" i="1" a="1"/>
  <c r="N1265" i="1" s="1"/>
  <c r="M1265" i="1" a="1"/>
  <c r="M1265" i="1" s="1"/>
  <c r="N1245" i="1" a="1"/>
  <c r="N1245" i="1" s="1"/>
  <c r="M1245" i="1" a="1"/>
  <c r="M1245" i="1" s="1"/>
  <c r="N1225" i="1" a="1"/>
  <c r="N1225" i="1" s="1"/>
  <c r="M1225" i="1" a="1"/>
  <c r="M1225" i="1" s="1"/>
  <c r="N1205" i="1" a="1"/>
  <c r="N1205" i="1" s="1"/>
  <c r="M1205" i="1" a="1"/>
  <c r="M1205" i="1" s="1"/>
  <c r="N1185" i="1" a="1"/>
  <c r="N1185" i="1" s="1"/>
  <c r="M1185" i="1" a="1"/>
  <c r="M1185" i="1" s="1"/>
  <c r="N1165" i="1" a="1"/>
  <c r="N1165" i="1" s="1"/>
  <c r="M1165" i="1" a="1"/>
  <c r="M1165" i="1" s="1"/>
  <c r="N1145" i="1" a="1"/>
  <c r="N1145" i="1" s="1"/>
  <c r="M1145" i="1" a="1"/>
  <c r="M1145" i="1" s="1"/>
  <c r="N1125" i="1" a="1"/>
  <c r="N1125" i="1" s="1"/>
  <c r="M1125" i="1" a="1"/>
  <c r="M1125" i="1" s="1"/>
  <c r="N1105" i="1" a="1"/>
  <c r="N1105" i="1" s="1"/>
  <c r="M1105" i="1" a="1"/>
  <c r="M1105" i="1" s="1"/>
  <c r="N1085" i="1" a="1"/>
  <c r="N1085" i="1" s="1"/>
  <c r="M1085" i="1" a="1"/>
  <c r="M1085" i="1" s="1"/>
  <c r="N1065" i="1" a="1"/>
  <c r="N1065" i="1" s="1"/>
  <c r="M1065" i="1" a="1"/>
  <c r="M1065" i="1" s="1"/>
  <c r="N1045" i="1" a="1"/>
  <c r="N1045" i="1" s="1"/>
  <c r="M1045" i="1" a="1"/>
  <c r="M1045" i="1" s="1"/>
  <c r="N1025" i="1" a="1"/>
  <c r="N1025" i="1" s="1"/>
  <c r="M1025" i="1" a="1"/>
  <c r="M1025" i="1" s="1"/>
  <c r="N1005" i="1" a="1"/>
  <c r="N1005" i="1" s="1"/>
  <c r="M1005" i="1" a="1"/>
  <c r="M1005" i="1" s="1"/>
  <c r="N985" i="1" a="1"/>
  <c r="N985" i="1" s="1"/>
  <c r="M985" i="1" a="1"/>
  <c r="M985" i="1" s="1"/>
  <c r="N965" i="1" a="1"/>
  <c r="N965" i="1" s="1"/>
  <c r="M965" i="1" a="1"/>
  <c r="M965" i="1" s="1"/>
  <c r="N945" i="1" a="1"/>
  <c r="N945" i="1" s="1"/>
  <c r="M945" i="1" a="1"/>
  <c r="M945" i="1" s="1"/>
  <c r="N925" i="1" a="1"/>
  <c r="N925" i="1" s="1"/>
  <c r="M925" i="1" a="1"/>
  <c r="M925" i="1" s="1"/>
  <c r="N905" i="1" a="1"/>
  <c r="N905" i="1" s="1"/>
  <c r="M905" i="1" a="1"/>
  <c r="M905" i="1" s="1"/>
  <c r="N885" i="1" a="1"/>
  <c r="N885" i="1" s="1"/>
  <c r="M885" i="1" a="1"/>
  <c r="M885" i="1" s="1"/>
  <c r="N865" i="1" a="1"/>
  <c r="N865" i="1" s="1"/>
  <c r="M865" i="1" a="1"/>
  <c r="M865" i="1" s="1"/>
  <c r="N845" i="1" a="1"/>
  <c r="N845" i="1" s="1"/>
  <c r="M845" i="1" a="1"/>
  <c r="M845" i="1" s="1"/>
  <c r="N825" i="1" a="1"/>
  <c r="N825" i="1" s="1"/>
  <c r="M825" i="1" a="1"/>
  <c r="M825" i="1" s="1"/>
  <c r="N805" i="1" a="1"/>
  <c r="N805" i="1" s="1"/>
  <c r="M805" i="1" a="1"/>
  <c r="M805" i="1" s="1"/>
  <c r="N785" i="1" a="1"/>
  <c r="N785" i="1" s="1"/>
  <c r="M785" i="1" a="1"/>
  <c r="M785" i="1" s="1"/>
  <c r="N765" i="1" a="1"/>
  <c r="N765" i="1" s="1"/>
  <c r="M765" i="1" a="1"/>
  <c r="M765" i="1" s="1"/>
  <c r="N745" i="1" a="1"/>
  <c r="N745" i="1" s="1"/>
  <c r="M745" i="1" a="1"/>
  <c r="M745" i="1" s="1"/>
  <c r="N725" i="1" a="1"/>
  <c r="N725" i="1" s="1"/>
  <c r="M725" i="1" a="1"/>
  <c r="M725" i="1" s="1"/>
  <c r="N705" i="1" a="1"/>
  <c r="N705" i="1" s="1"/>
  <c r="M705" i="1" a="1"/>
  <c r="M705" i="1" s="1"/>
  <c r="N685" i="1" a="1"/>
  <c r="N685" i="1" s="1"/>
  <c r="M685" i="1" a="1"/>
  <c r="M685" i="1" s="1"/>
  <c r="N665" i="1" a="1"/>
  <c r="N665" i="1" s="1"/>
  <c r="M665" i="1" a="1"/>
  <c r="M665" i="1" s="1"/>
  <c r="N645" i="1" a="1"/>
  <c r="N645" i="1" s="1"/>
  <c r="M645" i="1" a="1"/>
  <c r="M645" i="1" s="1"/>
  <c r="N625" i="1" a="1"/>
  <c r="N625" i="1" s="1"/>
  <c r="M625" i="1" a="1"/>
  <c r="M625" i="1" s="1"/>
  <c r="N605" i="1" a="1"/>
  <c r="N605" i="1" s="1"/>
  <c r="M605" i="1" a="1"/>
  <c r="M605" i="1" s="1"/>
  <c r="N585" i="1" a="1"/>
  <c r="N585" i="1" s="1"/>
  <c r="M585" i="1" a="1"/>
  <c r="M585" i="1" s="1"/>
  <c r="N565" i="1" a="1"/>
  <c r="N565" i="1" s="1"/>
  <c r="M565" i="1" a="1"/>
  <c r="M565" i="1" s="1"/>
  <c r="N545" i="1" a="1"/>
  <c r="N545" i="1" s="1"/>
  <c r="M545" i="1" a="1"/>
  <c r="M545" i="1" s="1"/>
  <c r="N525" i="1" a="1"/>
  <c r="N525" i="1" s="1"/>
  <c r="M525" i="1" a="1"/>
  <c r="M525" i="1" s="1"/>
  <c r="N505" i="1" a="1"/>
  <c r="N505" i="1" s="1"/>
  <c r="M505" i="1" a="1"/>
  <c r="M505" i="1" s="1"/>
  <c r="N485" i="1" a="1"/>
  <c r="N485" i="1" s="1"/>
  <c r="M485" i="1" a="1"/>
  <c r="M485" i="1" s="1"/>
  <c r="N465" i="1" a="1"/>
  <c r="N465" i="1" s="1"/>
  <c r="M465" i="1" a="1"/>
  <c r="M465" i="1" s="1"/>
  <c r="N445" i="1" a="1"/>
  <c r="N445" i="1" s="1"/>
  <c r="M445" i="1" a="1"/>
  <c r="M445" i="1" s="1"/>
  <c r="N425" i="1" a="1"/>
  <c r="N425" i="1" s="1"/>
  <c r="M425" i="1" a="1"/>
  <c r="M425" i="1" s="1"/>
  <c r="N405" i="1" a="1"/>
  <c r="N405" i="1" s="1"/>
  <c r="M405" i="1" a="1"/>
  <c r="M405" i="1" s="1"/>
  <c r="N385" i="1" a="1"/>
  <c r="N385" i="1" s="1"/>
  <c r="M385" i="1" a="1"/>
  <c r="M385" i="1" s="1"/>
  <c r="N365" i="1" a="1"/>
  <c r="N365" i="1" s="1"/>
  <c r="M365" i="1" a="1"/>
  <c r="M365" i="1" s="1"/>
  <c r="N345" i="1" a="1"/>
  <c r="N345" i="1" s="1"/>
  <c r="M345" i="1" a="1"/>
  <c r="M345" i="1" s="1"/>
  <c r="N325" i="1" a="1"/>
  <c r="N325" i="1" s="1"/>
  <c r="M325" i="1" a="1"/>
  <c r="M325" i="1" s="1"/>
  <c r="N305" i="1" a="1"/>
  <c r="N305" i="1" s="1"/>
  <c r="M305" i="1" a="1"/>
  <c r="M305" i="1" s="1"/>
  <c r="N285" i="1" a="1"/>
  <c r="N285" i="1" s="1"/>
  <c r="M285" i="1" a="1"/>
  <c r="M285" i="1" s="1"/>
  <c r="N265" i="1" a="1"/>
  <c r="N265" i="1" s="1"/>
  <c r="M265" i="1" a="1"/>
  <c r="M265" i="1" s="1"/>
  <c r="N245" i="1" a="1"/>
  <c r="N245" i="1" s="1"/>
  <c r="M245" i="1" a="1"/>
  <c r="M245" i="1" s="1"/>
  <c r="N225" i="1" a="1"/>
  <c r="N225" i="1" s="1"/>
  <c r="M225" i="1" a="1"/>
  <c r="M225" i="1" s="1"/>
  <c r="N205" i="1" a="1"/>
  <c r="N205" i="1" s="1"/>
  <c r="M205" i="1" a="1"/>
  <c r="M205" i="1" s="1"/>
  <c r="N185" i="1" a="1"/>
  <c r="N185" i="1" s="1"/>
  <c r="M185" i="1" a="1"/>
  <c r="M185" i="1" s="1"/>
  <c r="N165" i="1" a="1"/>
  <c r="N165" i="1" s="1"/>
  <c r="M165" i="1" a="1"/>
  <c r="M165" i="1" s="1"/>
  <c r="N145" i="1" a="1"/>
  <c r="N145" i="1" s="1"/>
  <c r="M145" i="1" a="1"/>
  <c r="M145" i="1" s="1"/>
  <c r="N125" i="1" a="1"/>
  <c r="N125" i="1" s="1"/>
  <c r="M125" i="1" a="1"/>
  <c r="M125" i="1" s="1"/>
  <c r="N105" i="1" a="1"/>
  <c r="N105" i="1" s="1"/>
  <c r="M105" i="1" a="1"/>
  <c r="M105" i="1" s="1"/>
  <c r="N85" i="1" a="1"/>
  <c r="N85" i="1" s="1"/>
  <c r="M85" i="1" a="1"/>
  <c r="M85" i="1" s="1"/>
  <c r="N65" i="1" a="1"/>
  <c r="N65" i="1" s="1"/>
  <c r="M65" i="1" a="1"/>
  <c r="M65" i="1" s="1"/>
  <c r="N45" i="1" a="1"/>
  <c r="N45" i="1" s="1"/>
  <c r="M45" i="1" a="1"/>
  <c r="M45" i="1" s="1"/>
  <c r="N25" i="1" a="1"/>
  <c r="N25" i="1" s="1"/>
  <c r="M25" i="1" a="1"/>
  <c r="M25" i="1" s="1"/>
  <c r="N5" i="1" a="1"/>
  <c r="N5" i="1" s="1"/>
  <c r="M5" i="1" a="1"/>
  <c r="M5" i="1" s="1"/>
  <c r="N1416" i="1" a="1"/>
  <c r="N1416" i="1" s="1"/>
  <c r="M1416" i="1" a="1"/>
  <c r="M1416" i="1" s="1"/>
  <c r="N1136" i="1" a="1"/>
  <c r="N1136" i="1" s="1"/>
  <c r="M1136" i="1" a="1"/>
  <c r="M1136" i="1" s="1"/>
  <c r="N836" i="1" a="1"/>
  <c r="N836" i="1" s="1"/>
  <c r="M836" i="1" a="1"/>
  <c r="M836" i="1" s="1"/>
  <c r="N576" i="1" a="1"/>
  <c r="N576" i="1" s="1"/>
  <c r="M576" i="1" a="1"/>
  <c r="M576" i="1" s="1"/>
  <c r="N136" i="1" a="1"/>
  <c r="N136" i="1" s="1"/>
  <c r="M136" i="1" a="1"/>
  <c r="M136" i="1" s="1"/>
  <c r="N1642" i="1" a="1"/>
  <c r="N1642" i="1" s="1"/>
  <c r="M1642" i="1" a="1"/>
  <c r="M1642" i="1" s="1"/>
  <c r="N1115" i="1" a="1"/>
  <c r="N1115" i="1" s="1"/>
  <c r="M1115" i="1" a="1"/>
  <c r="M1115" i="1" s="1"/>
  <c r="N1677" i="1" a="1"/>
  <c r="N1677" i="1" s="1"/>
  <c r="M1677" i="1" a="1"/>
  <c r="M1677" i="1" s="1"/>
  <c r="N1410" i="1" a="1"/>
  <c r="N1410" i="1" s="1"/>
  <c r="M1410" i="1" a="1"/>
  <c r="M1410" i="1" s="1"/>
  <c r="N1290" i="1" a="1"/>
  <c r="N1290" i="1" s="1"/>
  <c r="M1290" i="1" a="1"/>
  <c r="M1290" i="1" s="1"/>
  <c r="N1110" i="1" a="1"/>
  <c r="N1110" i="1" s="1"/>
  <c r="M1110" i="1" a="1"/>
  <c r="M1110" i="1" s="1"/>
  <c r="N930" i="1" a="1"/>
  <c r="N930" i="1" s="1"/>
  <c r="M930" i="1" a="1"/>
  <c r="M930" i="1" s="1"/>
  <c r="N790" i="1" a="1"/>
  <c r="N790" i="1" s="1"/>
  <c r="M790" i="1" a="1"/>
  <c r="M790" i="1" s="1"/>
  <c r="N670" i="1" a="1"/>
  <c r="N670" i="1" s="1"/>
  <c r="M670" i="1" a="1"/>
  <c r="M670" i="1" s="1"/>
  <c r="N510" i="1" a="1"/>
  <c r="N510" i="1" s="1"/>
  <c r="M510" i="1" a="1"/>
  <c r="M510" i="1" s="1"/>
  <c r="N390" i="1" a="1"/>
  <c r="N390" i="1" s="1"/>
  <c r="M390" i="1" a="1"/>
  <c r="M390" i="1" s="1"/>
  <c r="N250" i="1" a="1"/>
  <c r="N250" i="1" s="1"/>
  <c r="M250" i="1" a="1"/>
  <c r="M250" i="1" s="1"/>
  <c r="N70" i="1" a="1"/>
  <c r="N70" i="1" s="1"/>
  <c r="M70" i="1" a="1"/>
  <c r="M70" i="1" s="1"/>
  <c r="N1776" i="1" a="1"/>
  <c r="N1776" i="1" s="1"/>
  <c r="M1776" i="1" a="1"/>
  <c r="M1776" i="1" s="1"/>
  <c r="N1636" i="1" a="1"/>
  <c r="N1636" i="1" s="1"/>
  <c r="M1636" i="1" a="1"/>
  <c r="M1636" i="1" s="1"/>
  <c r="N1409" i="1" a="1"/>
  <c r="N1409" i="1" s="1"/>
  <c r="M1409" i="1" a="1"/>
  <c r="M1409" i="1" s="1"/>
  <c r="N1269" i="1" a="1"/>
  <c r="N1269" i="1" s="1"/>
  <c r="M1269" i="1" a="1"/>
  <c r="M1269" i="1" s="1"/>
  <c r="N1169" i="1" a="1"/>
  <c r="N1169" i="1" s="1"/>
  <c r="M1169" i="1" a="1"/>
  <c r="M1169" i="1" s="1"/>
  <c r="N1069" i="1" a="1"/>
  <c r="N1069" i="1" s="1"/>
  <c r="M1069" i="1" a="1"/>
  <c r="M1069" i="1" s="1"/>
  <c r="N969" i="1" a="1"/>
  <c r="N969" i="1" s="1"/>
  <c r="M969" i="1" a="1"/>
  <c r="M969" i="1" s="1"/>
  <c r="N829" i="1" a="1"/>
  <c r="N829" i="1" s="1"/>
  <c r="M829" i="1" a="1"/>
  <c r="M829" i="1" s="1"/>
  <c r="N689" i="1" a="1"/>
  <c r="N689" i="1" s="1"/>
  <c r="M689" i="1" a="1"/>
  <c r="M689" i="1" s="1"/>
  <c r="N589" i="1" a="1"/>
  <c r="N589" i="1" s="1"/>
  <c r="M589" i="1" a="1"/>
  <c r="M589" i="1" s="1"/>
  <c r="N469" i="1" a="1"/>
  <c r="N469" i="1" s="1"/>
  <c r="M469" i="1" a="1"/>
  <c r="M469" i="1" s="1"/>
  <c r="N349" i="1" a="1"/>
  <c r="N349" i="1" s="1"/>
  <c r="M349" i="1" a="1"/>
  <c r="M349" i="1" s="1"/>
  <c r="N189" i="1" a="1"/>
  <c r="N189" i="1" s="1"/>
  <c r="M189" i="1" a="1"/>
  <c r="M189" i="1" s="1"/>
  <c r="N9" i="1" a="1"/>
  <c r="N9" i="1" s="1"/>
  <c r="M9" i="1" a="1"/>
  <c r="M9" i="1" s="1"/>
  <c r="N1735" i="1" a="1"/>
  <c r="N1735" i="1" s="1"/>
  <c r="M1735" i="1" a="1"/>
  <c r="M1735" i="1" s="1"/>
  <c r="N1635" i="1" a="1"/>
  <c r="N1635" i="1" s="1"/>
  <c r="M1635" i="1" a="1"/>
  <c r="M1635" i="1" s="1"/>
  <c r="N1388" i="1" a="1"/>
  <c r="N1388" i="1" s="1"/>
  <c r="M1388" i="1" a="1"/>
  <c r="M1388" i="1" s="1"/>
  <c r="N1288" i="1" a="1"/>
  <c r="N1288" i="1" s="1"/>
  <c r="M1288" i="1" a="1"/>
  <c r="M1288" i="1" s="1"/>
  <c r="N968" i="1" a="1"/>
  <c r="N968" i="1" s="1"/>
  <c r="M968" i="1" a="1"/>
  <c r="M968" i="1" s="1"/>
  <c r="N1811" i="1" a="1"/>
  <c r="N1811" i="1" s="1"/>
  <c r="M1811" i="1" a="1"/>
  <c r="M1811" i="1" s="1"/>
  <c r="N1791" i="1" a="1"/>
  <c r="N1791" i="1" s="1"/>
  <c r="M1791" i="1" a="1"/>
  <c r="M1791" i="1" s="1"/>
  <c r="N1771" i="1" a="1"/>
  <c r="N1771" i="1" s="1"/>
  <c r="M1771" i="1" a="1"/>
  <c r="M1771" i="1" s="1"/>
  <c r="N1751" i="1" a="1"/>
  <c r="N1751" i="1" s="1"/>
  <c r="M1751" i="1" a="1"/>
  <c r="M1751" i="1" s="1"/>
  <c r="N1731" i="1" a="1"/>
  <c r="N1731" i="1" s="1"/>
  <c r="M1731" i="1" a="1"/>
  <c r="M1731" i="1" s="1"/>
  <c r="N1711" i="1" a="1"/>
  <c r="N1711" i="1" s="1"/>
  <c r="M1711" i="1" a="1"/>
  <c r="M1711" i="1" s="1"/>
  <c r="N1691" i="1" a="1"/>
  <c r="N1691" i="1" s="1"/>
  <c r="M1691" i="1" a="1"/>
  <c r="M1691" i="1" s="1"/>
  <c r="N1671" i="1" a="1"/>
  <c r="N1671" i="1" s="1"/>
  <c r="M1671" i="1" a="1"/>
  <c r="M1671" i="1" s="1"/>
  <c r="N1651" i="1" a="1"/>
  <c r="N1651" i="1" s="1"/>
  <c r="M1651" i="1" a="1"/>
  <c r="M1651" i="1" s="1"/>
  <c r="N1631" i="1" a="1"/>
  <c r="N1631" i="1" s="1"/>
  <c r="M1631" i="1" a="1"/>
  <c r="M1631" i="1" s="1"/>
  <c r="N1611" i="1" a="1"/>
  <c r="N1611" i="1" s="1"/>
  <c r="M1611" i="1" a="1"/>
  <c r="M1611" i="1" s="1"/>
  <c r="N1591" i="1" a="1"/>
  <c r="N1591" i="1" s="1"/>
  <c r="M1591" i="1" a="1"/>
  <c r="M1591" i="1" s="1"/>
  <c r="N1571" i="1" a="1"/>
  <c r="N1571" i="1" s="1"/>
  <c r="M1571" i="1" a="1"/>
  <c r="M1571" i="1" s="1"/>
  <c r="N1424" i="1" a="1"/>
  <c r="N1424" i="1" s="1"/>
  <c r="M1424" i="1" a="1"/>
  <c r="M1424" i="1" s="1"/>
  <c r="N1404" i="1" a="1"/>
  <c r="N1404" i="1" s="1"/>
  <c r="M1404" i="1" a="1"/>
  <c r="M1404" i="1" s="1"/>
  <c r="N1384" i="1" a="1"/>
  <c r="N1384" i="1" s="1"/>
  <c r="M1384" i="1" a="1"/>
  <c r="M1384" i="1" s="1"/>
  <c r="N1364" i="1" a="1"/>
  <c r="N1364" i="1" s="1"/>
  <c r="M1364" i="1" a="1"/>
  <c r="M1364" i="1" s="1"/>
  <c r="N1344" i="1" a="1"/>
  <c r="N1344" i="1" s="1"/>
  <c r="M1344" i="1" a="1"/>
  <c r="M1344" i="1" s="1"/>
  <c r="N1324" i="1" a="1"/>
  <c r="N1324" i="1" s="1"/>
  <c r="M1324" i="1" a="1"/>
  <c r="M1324" i="1" s="1"/>
  <c r="N1304" i="1" a="1"/>
  <c r="N1304" i="1" s="1"/>
  <c r="M1304" i="1" a="1"/>
  <c r="M1304" i="1" s="1"/>
  <c r="N1284" i="1" a="1"/>
  <c r="N1284" i="1" s="1"/>
  <c r="M1284" i="1" a="1"/>
  <c r="M1284" i="1" s="1"/>
  <c r="N1264" i="1" a="1"/>
  <c r="N1264" i="1" s="1"/>
  <c r="M1264" i="1" a="1"/>
  <c r="M1264" i="1" s="1"/>
  <c r="N1244" i="1" a="1"/>
  <c r="N1244" i="1" s="1"/>
  <c r="M1244" i="1" a="1"/>
  <c r="M1244" i="1" s="1"/>
  <c r="N1224" i="1" a="1"/>
  <c r="N1224" i="1" s="1"/>
  <c r="M1224" i="1" a="1"/>
  <c r="M1224" i="1" s="1"/>
  <c r="N1204" i="1" a="1"/>
  <c r="N1204" i="1" s="1"/>
  <c r="M1204" i="1" a="1"/>
  <c r="M1204" i="1" s="1"/>
  <c r="N1184" i="1" a="1"/>
  <c r="N1184" i="1" s="1"/>
  <c r="M1184" i="1" a="1"/>
  <c r="M1184" i="1" s="1"/>
  <c r="N1164" i="1" a="1"/>
  <c r="N1164" i="1" s="1"/>
  <c r="M1164" i="1" a="1"/>
  <c r="M1164" i="1" s="1"/>
  <c r="N1144" i="1" a="1"/>
  <c r="N1144" i="1" s="1"/>
  <c r="M1144" i="1" a="1"/>
  <c r="M1144" i="1" s="1"/>
  <c r="N1124" i="1" a="1"/>
  <c r="N1124" i="1" s="1"/>
  <c r="M1124" i="1" a="1"/>
  <c r="M1124" i="1" s="1"/>
  <c r="N1104" i="1" a="1"/>
  <c r="N1104" i="1" s="1"/>
  <c r="M1104" i="1" a="1"/>
  <c r="M1104" i="1" s="1"/>
  <c r="N1084" i="1" a="1"/>
  <c r="N1084" i="1" s="1"/>
  <c r="M1084" i="1" a="1"/>
  <c r="M1084" i="1" s="1"/>
  <c r="N1064" i="1" a="1"/>
  <c r="N1064" i="1" s="1"/>
  <c r="M1064" i="1" a="1"/>
  <c r="M1064" i="1" s="1"/>
  <c r="N1044" i="1" a="1"/>
  <c r="N1044" i="1" s="1"/>
  <c r="M1044" i="1" a="1"/>
  <c r="M1044" i="1" s="1"/>
  <c r="N1024" i="1" a="1"/>
  <c r="N1024" i="1" s="1"/>
  <c r="M1024" i="1" a="1"/>
  <c r="M1024" i="1" s="1"/>
  <c r="N1004" i="1" a="1"/>
  <c r="N1004" i="1" s="1"/>
  <c r="M1004" i="1" a="1"/>
  <c r="M1004" i="1" s="1"/>
  <c r="N984" i="1" a="1"/>
  <c r="N984" i="1" s="1"/>
  <c r="M984" i="1" a="1"/>
  <c r="M984" i="1" s="1"/>
  <c r="N964" i="1" a="1"/>
  <c r="N964" i="1" s="1"/>
  <c r="M964" i="1" a="1"/>
  <c r="M964" i="1" s="1"/>
  <c r="N944" i="1" a="1"/>
  <c r="N944" i="1" s="1"/>
  <c r="M944" i="1" a="1"/>
  <c r="M944" i="1" s="1"/>
  <c r="N924" i="1" a="1"/>
  <c r="N924" i="1" s="1"/>
  <c r="M924" i="1" a="1"/>
  <c r="M924" i="1" s="1"/>
  <c r="N904" i="1" a="1"/>
  <c r="N904" i="1" s="1"/>
  <c r="M904" i="1" a="1"/>
  <c r="M904" i="1" s="1"/>
  <c r="N884" i="1" a="1"/>
  <c r="N884" i="1" s="1"/>
  <c r="M884" i="1" a="1"/>
  <c r="M884" i="1" s="1"/>
  <c r="N864" i="1" a="1"/>
  <c r="N864" i="1" s="1"/>
  <c r="M864" i="1" a="1"/>
  <c r="M864" i="1" s="1"/>
  <c r="N844" i="1" a="1"/>
  <c r="N844" i="1" s="1"/>
  <c r="M844" i="1" a="1"/>
  <c r="M844" i="1" s="1"/>
  <c r="N824" i="1" a="1"/>
  <c r="N824" i="1" s="1"/>
  <c r="M824" i="1" a="1"/>
  <c r="M824" i="1" s="1"/>
  <c r="N804" i="1" a="1"/>
  <c r="N804" i="1" s="1"/>
  <c r="M804" i="1" a="1"/>
  <c r="M804" i="1" s="1"/>
  <c r="N784" i="1" a="1"/>
  <c r="N784" i="1" s="1"/>
  <c r="M784" i="1" a="1"/>
  <c r="M784" i="1" s="1"/>
  <c r="N764" i="1" a="1"/>
  <c r="N764" i="1" s="1"/>
  <c r="M764" i="1" a="1"/>
  <c r="M764" i="1" s="1"/>
  <c r="N744" i="1" a="1"/>
  <c r="N744" i="1" s="1"/>
  <c r="M744" i="1" a="1"/>
  <c r="M744" i="1" s="1"/>
  <c r="N724" i="1" a="1"/>
  <c r="N724" i="1" s="1"/>
  <c r="M724" i="1" a="1"/>
  <c r="M724" i="1" s="1"/>
  <c r="N704" i="1" a="1"/>
  <c r="N704" i="1" s="1"/>
  <c r="M704" i="1" a="1"/>
  <c r="M704" i="1" s="1"/>
  <c r="N684" i="1" a="1"/>
  <c r="N684" i="1" s="1"/>
  <c r="M684" i="1" a="1"/>
  <c r="M684" i="1" s="1"/>
  <c r="N664" i="1" a="1"/>
  <c r="N664" i="1" s="1"/>
  <c r="M664" i="1" a="1"/>
  <c r="M664" i="1" s="1"/>
  <c r="N644" i="1" a="1"/>
  <c r="N644" i="1" s="1"/>
  <c r="M644" i="1" a="1"/>
  <c r="M644" i="1" s="1"/>
  <c r="N624" i="1" a="1"/>
  <c r="N624" i="1" s="1"/>
  <c r="M624" i="1" a="1"/>
  <c r="M624" i="1" s="1"/>
  <c r="N604" i="1" a="1"/>
  <c r="N604" i="1" s="1"/>
  <c r="M604" i="1" a="1"/>
  <c r="M604" i="1" s="1"/>
  <c r="N584" i="1" a="1"/>
  <c r="N584" i="1" s="1"/>
  <c r="M584" i="1" a="1"/>
  <c r="M584" i="1" s="1"/>
  <c r="N564" i="1" a="1"/>
  <c r="N564" i="1" s="1"/>
  <c r="M564" i="1" a="1"/>
  <c r="M564" i="1" s="1"/>
  <c r="N544" i="1" a="1"/>
  <c r="N544" i="1" s="1"/>
  <c r="M544" i="1" a="1"/>
  <c r="M544" i="1" s="1"/>
  <c r="N524" i="1" a="1"/>
  <c r="N524" i="1" s="1"/>
  <c r="M524" i="1" a="1"/>
  <c r="M524" i="1" s="1"/>
  <c r="N504" i="1" a="1"/>
  <c r="N504" i="1" s="1"/>
  <c r="M504" i="1" a="1"/>
  <c r="M504" i="1" s="1"/>
  <c r="N484" i="1" a="1"/>
  <c r="N484" i="1" s="1"/>
  <c r="M484" i="1" a="1"/>
  <c r="M484" i="1" s="1"/>
  <c r="N464" i="1" a="1"/>
  <c r="N464" i="1" s="1"/>
  <c r="M464" i="1" a="1"/>
  <c r="M464" i="1" s="1"/>
  <c r="N444" i="1" a="1"/>
  <c r="N444" i="1" s="1"/>
  <c r="M444" i="1" a="1"/>
  <c r="M444" i="1" s="1"/>
  <c r="N424" i="1" a="1"/>
  <c r="N424" i="1" s="1"/>
  <c r="M424" i="1" a="1"/>
  <c r="M424" i="1" s="1"/>
  <c r="N404" i="1" a="1"/>
  <c r="N404" i="1" s="1"/>
  <c r="M404" i="1" a="1"/>
  <c r="M404" i="1" s="1"/>
  <c r="N384" i="1" a="1"/>
  <c r="N384" i="1" s="1"/>
  <c r="M384" i="1" a="1"/>
  <c r="M384" i="1" s="1"/>
  <c r="N364" i="1" a="1"/>
  <c r="N364" i="1" s="1"/>
  <c r="M364" i="1" a="1"/>
  <c r="M364" i="1" s="1"/>
  <c r="N344" i="1" a="1"/>
  <c r="N344" i="1" s="1"/>
  <c r="M344" i="1" a="1"/>
  <c r="M344" i="1" s="1"/>
  <c r="N324" i="1" a="1"/>
  <c r="N324" i="1" s="1"/>
  <c r="M324" i="1" a="1"/>
  <c r="M324" i="1" s="1"/>
  <c r="N304" i="1" a="1"/>
  <c r="N304" i="1" s="1"/>
  <c r="M304" i="1" a="1"/>
  <c r="M304" i="1" s="1"/>
  <c r="N284" i="1" a="1"/>
  <c r="N284" i="1" s="1"/>
  <c r="M284" i="1" a="1"/>
  <c r="M284" i="1" s="1"/>
  <c r="N264" i="1" a="1"/>
  <c r="N264" i="1" s="1"/>
  <c r="M264" i="1" a="1"/>
  <c r="M264" i="1" s="1"/>
  <c r="N244" i="1" a="1"/>
  <c r="N244" i="1" s="1"/>
  <c r="M244" i="1" a="1"/>
  <c r="M244" i="1" s="1"/>
  <c r="N224" i="1" a="1"/>
  <c r="N224" i="1" s="1"/>
  <c r="M224" i="1" a="1"/>
  <c r="M224" i="1" s="1"/>
  <c r="N204" i="1" a="1"/>
  <c r="N204" i="1" s="1"/>
  <c r="M204" i="1" a="1"/>
  <c r="M204" i="1" s="1"/>
  <c r="N184" i="1" a="1"/>
  <c r="N184" i="1" s="1"/>
  <c r="M184" i="1" a="1"/>
  <c r="M184" i="1" s="1"/>
  <c r="N164" i="1" a="1"/>
  <c r="N164" i="1" s="1"/>
  <c r="M164" i="1" a="1"/>
  <c r="M164" i="1" s="1"/>
  <c r="N144" i="1" a="1"/>
  <c r="N144" i="1" s="1"/>
  <c r="M144" i="1" a="1"/>
  <c r="M144" i="1" s="1"/>
  <c r="N124" i="1" a="1"/>
  <c r="N124" i="1" s="1"/>
  <c r="M124" i="1" a="1"/>
  <c r="M124" i="1" s="1"/>
  <c r="N104" i="1" a="1"/>
  <c r="N104" i="1" s="1"/>
  <c r="M104" i="1" a="1"/>
  <c r="M104" i="1" s="1"/>
  <c r="N84" i="1" a="1"/>
  <c r="N84" i="1" s="1"/>
  <c r="M84" i="1" a="1"/>
  <c r="M84" i="1" s="1"/>
  <c r="N64" i="1" a="1"/>
  <c r="N64" i="1" s="1"/>
  <c r="M64" i="1" a="1"/>
  <c r="M64" i="1" s="1"/>
  <c r="N44" i="1" a="1"/>
  <c r="N44" i="1" s="1"/>
  <c r="M44" i="1" a="1"/>
  <c r="M44" i="1" s="1"/>
  <c r="N24" i="1" a="1"/>
  <c r="N24" i="1" s="1"/>
  <c r="M24" i="1" a="1"/>
  <c r="M24" i="1" s="1"/>
  <c r="N4" i="1" a="1"/>
  <c r="N4" i="1" s="1"/>
  <c r="M4" i="1" a="1"/>
  <c r="M4" i="1" s="1"/>
  <c r="N1688" i="1" a="1"/>
  <c r="N1688" i="1" s="1"/>
  <c r="M1688" i="1" a="1"/>
  <c r="M1688" i="1" s="1"/>
  <c r="N1683" i="1" a="1"/>
  <c r="N1683" i="1" s="1"/>
  <c r="M1683" i="1" a="1"/>
  <c r="M1683" i="1" s="1"/>
  <c r="N1396" i="1" a="1"/>
  <c r="N1396" i="1" s="1"/>
  <c r="M1396" i="1" a="1"/>
  <c r="M1396" i="1" s="1"/>
  <c r="N1236" i="1" a="1"/>
  <c r="N1236" i="1" s="1"/>
  <c r="M1236" i="1" a="1"/>
  <c r="M1236" i="1" s="1"/>
  <c r="N1076" i="1" a="1"/>
  <c r="N1076" i="1" s="1"/>
  <c r="M1076" i="1" a="1"/>
  <c r="M1076" i="1" s="1"/>
  <c r="N876" i="1" a="1"/>
  <c r="N876" i="1" s="1"/>
  <c r="M876" i="1" a="1"/>
  <c r="M876" i="1" s="1"/>
  <c r="N656" i="1" a="1"/>
  <c r="N656" i="1" s="1"/>
  <c r="M656" i="1" a="1"/>
  <c r="M656" i="1" s="1"/>
  <c r="N416" i="1" a="1"/>
  <c r="N416" i="1" s="1"/>
  <c r="M416" i="1" a="1"/>
  <c r="M416" i="1" s="1"/>
  <c r="N336" i="1" a="1"/>
  <c r="N336" i="1" s="1"/>
  <c r="M336" i="1" a="1"/>
  <c r="M336" i="1" s="1"/>
  <c r="N276" i="1" a="1"/>
  <c r="N276" i="1" s="1"/>
  <c r="M276" i="1" a="1"/>
  <c r="M276" i="1" s="1"/>
  <c r="N216" i="1" a="1"/>
  <c r="N216" i="1" s="1"/>
  <c r="M216" i="1" a="1"/>
  <c r="M216" i="1" s="1"/>
  <c r="N1702" i="1" a="1"/>
  <c r="N1702" i="1" s="1"/>
  <c r="M1702" i="1" a="1"/>
  <c r="M1702" i="1" s="1"/>
  <c r="N1355" i="1" a="1"/>
  <c r="N1355" i="1" s="1"/>
  <c r="M1355" i="1" a="1"/>
  <c r="M1355" i="1" s="1"/>
  <c r="N1015" i="1" a="1"/>
  <c r="N1015" i="1" s="1"/>
  <c r="M1015" i="1" a="1"/>
  <c r="M1015" i="1" s="1"/>
  <c r="N1737" i="1" a="1"/>
  <c r="N1737" i="1" s="1"/>
  <c r="M1737" i="1" a="1"/>
  <c r="M1737" i="1" s="1"/>
  <c r="N1577" i="1" a="1"/>
  <c r="N1577" i="1" s="1"/>
  <c r="M1577" i="1" a="1"/>
  <c r="M1577" i="1" s="1"/>
  <c r="N1230" i="1" a="1"/>
  <c r="N1230" i="1" s="1"/>
  <c r="M1230" i="1" a="1"/>
  <c r="M1230" i="1" s="1"/>
  <c r="N990" i="1" a="1"/>
  <c r="N990" i="1" s="1"/>
  <c r="M990" i="1" a="1"/>
  <c r="M990" i="1" s="1"/>
  <c r="N530" i="1" a="1"/>
  <c r="N530" i="1" s="1"/>
  <c r="M530" i="1" a="1"/>
  <c r="M530" i="1" s="1"/>
  <c r="N1770" i="1" a="1"/>
  <c r="N1770" i="1" s="1"/>
  <c r="M1770" i="1" a="1"/>
  <c r="M1770" i="1" s="1"/>
  <c r="N1730" i="1" a="1"/>
  <c r="N1730" i="1" s="1"/>
  <c r="M1730" i="1" a="1"/>
  <c r="M1730" i="1" s="1"/>
  <c r="N1690" i="1" a="1"/>
  <c r="N1690" i="1" s="1"/>
  <c r="M1690" i="1" a="1"/>
  <c r="M1690" i="1" s="1"/>
  <c r="N1650" i="1" a="1"/>
  <c r="N1650" i="1" s="1"/>
  <c r="M1650" i="1" a="1"/>
  <c r="M1650" i="1" s="1"/>
  <c r="N1610" i="1" a="1"/>
  <c r="N1610" i="1" s="1"/>
  <c r="M1610" i="1" a="1"/>
  <c r="M1610" i="1" s="1"/>
  <c r="N1570" i="1" a="1"/>
  <c r="N1570" i="1" s="1"/>
  <c r="M1570" i="1" a="1"/>
  <c r="M1570" i="1" s="1"/>
  <c r="N1403" i="1" a="1"/>
  <c r="N1403" i="1" s="1"/>
  <c r="M1403" i="1" a="1"/>
  <c r="M1403" i="1" s="1"/>
  <c r="N1363" i="1" a="1"/>
  <c r="N1363" i="1" s="1"/>
  <c r="M1363" i="1" a="1"/>
  <c r="M1363" i="1" s="1"/>
  <c r="N1323" i="1" a="1"/>
  <c r="N1323" i="1" s="1"/>
  <c r="M1323" i="1" a="1"/>
  <c r="M1323" i="1" s="1"/>
  <c r="N1283" i="1" a="1"/>
  <c r="N1283" i="1" s="1"/>
  <c r="M1283" i="1" a="1"/>
  <c r="M1283" i="1" s="1"/>
  <c r="N1243" i="1" a="1"/>
  <c r="N1243" i="1" s="1"/>
  <c r="M1243" i="1" a="1"/>
  <c r="M1243" i="1" s="1"/>
  <c r="N1203" i="1" a="1"/>
  <c r="N1203" i="1" s="1"/>
  <c r="M1203" i="1" a="1"/>
  <c r="M1203" i="1" s="1"/>
  <c r="N1163" i="1" a="1"/>
  <c r="N1163" i="1" s="1"/>
  <c r="M1163" i="1" a="1"/>
  <c r="M1163" i="1" s="1"/>
  <c r="N1123" i="1" a="1"/>
  <c r="N1123" i="1" s="1"/>
  <c r="M1123" i="1" a="1"/>
  <c r="M1123" i="1" s="1"/>
  <c r="N1083" i="1" a="1"/>
  <c r="N1083" i="1" s="1"/>
  <c r="M1083" i="1" a="1"/>
  <c r="M1083" i="1" s="1"/>
  <c r="N1043" i="1" a="1"/>
  <c r="N1043" i="1" s="1"/>
  <c r="M1043" i="1" a="1"/>
  <c r="M1043" i="1" s="1"/>
  <c r="N1003" i="1" a="1"/>
  <c r="N1003" i="1" s="1"/>
  <c r="M1003" i="1" a="1"/>
  <c r="M1003" i="1" s="1"/>
  <c r="N963" i="1" a="1"/>
  <c r="N963" i="1" s="1"/>
  <c r="M963" i="1" a="1"/>
  <c r="M963" i="1" s="1"/>
  <c r="N923" i="1" a="1"/>
  <c r="N923" i="1" s="1"/>
  <c r="M923" i="1" a="1"/>
  <c r="M923" i="1" s="1"/>
  <c r="N863" i="1" a="1"/>
  <c r="N863" i="1" s="1"/>
  <c r="M863" i="1" a="1"/>
  <c r="M863" i="1" s="1"/>
  <c r="N823" i="1" a="1"/>
  <c r="N823" i="1" s="1"/>
  <c r="M823" i="1" a="1"/>
  <c r="M823" i="1" s="1"/>
  <c r="N803" i="1" a="1"/>
  <c r="N803" i="1" s="1"/>
  <c r="M803" i="1" a="1"/>
  <c r="M803" i="1" s="1"/>
  <c r="N763" i="1" a="1"/>
  <c r="N763" i="1" s="1"/>
  <c r="M763" i="1" a="1"/>
  <c r="M763" i="1" s="1"/>
  <c r="N743" i="1" a="1"/>
  <c r="N743" i="1" s="1"/>
  <c r="M743" i="1" a="1"/>
  <c r="M743" i="1" s="1"/>
  <c r="N723" i="1" a="1"/>
  <c r="N723" i="1" s="1"/>
  <c r="M723" i="1" a="1"/>
  <c r="M723" i="1" s="1"/>
  <c r="N703" i="1" a="1"/>
  <c r="N703" i="1" s="1"/>
  <c r="M703" i="1" a="1"/>
  <c r="M703" i="1" s="1"/>
  <c r="N683" i="1" a="1"/>
  <c r="N683" i="1" s="1"/>
  <c r="M683" i="1" a="1"/>
  <c r="M683" i="1" s="1"/>
  <c r="N663" i="1" a="1"/>
  <c r="N663" i="1" s="1"/>
  <c r="M663" i="1" a="1"/>
  <c r="M663" i="1" s="1"/>
  <c r="N643" i="1" a="1"/>
  <c r="N643" i="1" s="1"/>
  <c r="M643" i="1" a="1"/>
  <c r="M643" i="1" s="1"/>
  <c r="N623" i="1" a="1"/>
  <c r="N623" i="1" s="1"/>
  <c r="M623" i="1" a="1"/>
  <c r="M623" i="1" s="1"/>
  <c r="N603" i="1" a="1"/>
  <c r="N603" i="1" s="1"/>
  <c r="M603" i="1" a="1"/>
  <c r="M603" i="1" s="1"/>
  <c r="N583" i="1" a="1"/>
  <c r="N583" i="1" s="1"/>
  <c r="M583" i="1" a="1"/>
  <c r="M583" i="1" s="1"/>
  <c r="N543" i="1" a="1"/>
  <c r="N543" i="1" s="1"/>
  <c r="M543" i="1" a="1"/>
  <c r="M543" i="1" s="1"/>
  <c r="N523" i="1" a="1"/>
  <c r="N523" i="1" s="1"/>
  <c r="M523" i="1" a="1"/>
  <c r="M523" i="1" s="1"/>
  <c r="N503" i="1" a="1"/>
  <c r="N503" i="1" s="1"/>
  <c r="M503" i="1" a="1"/>
  <c r="M503" i="1" s="1"/>
  <c r="N483" i="1" a="1"/>
  <c r="N483" i="1" s="1"/>
  <c r="M483" i="1" a="1"/>
  <c r="M483" i="1" s="1"/>
  <c r="N463" i="1" a="1"/>
  <c r="N463" i="1" s="1"/>
  <c r="M463" i="1" a="1"/>
  <c r="M463" i="1" s="1"/>
  <c r="N443" i="1" a="1"/>
  <c r="N443" i="1" s="1"/>
  <c r="M443" i="1" a="1"/>
  <c r="M443" i="1" s="1"/>
  <c r="N423" i="1" a="1"/>
  <c r="N423" i="1" s="1"/>
  <c r="M423" i="1" a="1"/>
  <c r="M423" i="1" s="1"/>
  <c r="N403" i="1" a="1"/>
  <c r="N403" i="1" s="1"/>
  <c r="M403" i="1" a="1"/>
  <c r="M403" i="1" s="1"/>
  <c r="N383" i="1" a="1"/>
  <c r="N383" i="1" s="1"/>
  <c r="M383" i="1" a="1"/>
  <c r="M383" i="1" s="1"/>
  <c r="N363" i="1" a="1"/>
  <c r="N363" i="1" s="1"/>
  <c r="M363" i="1" a="1"/>
  <c r="M363" i="1" s="1"/>
  <c r="N343" i="1" a="1"/>
  <c r="N343" i="1" s="1"/>
  <c r="M343" i="1" a="1"/>
  <c r="M343" i="1" s="1"/>
  <c r="N323" i="1" a="1"/>
  <c r="N323" i="1" s="1"/>
  <c r="M323" i="1" a="1"/>
  <c r="M323" i="1" s="1"/>
  <c r="N303" i="1" a="1"/>
  <c r="N303" i="1" s="1"/>
  <c r="M303" i="1" a="1"/>
  <c r="M303" i="1" s="1"/>
  <c r="N283" i="1" a="1"/>
  <c r="N283" i="1" s="1"/>
  <c r="M283" i="1" a="1"/>
  <c r="M283" i="1" s="1"/>
  <c r="N263" i="1" a="1"/>
  <c r="N263" i="1" s="1"/>
  <c r="M263" i="1" a="1"/>
  <c r="M263" i="1" s="1"/>
  <c r="N243" i="1" a="1"/>
  <c r="N243" i="1" s="1"/>
  <c r="M243" i="1" a="1"/>
  <c r="M243" i="1" s="1"/>
  <c r="N223" i="1" a="1"/>
  <c r="N223" i="1" s="1"/>
  <c r="M223" i="1" a="1"/>
  <c r="M223" i="1" s="1"/>
  <c r="N203" i="1" a="1"/>
  <c r="N203" i="1" s="1"/>
  <c r="M203" i="1" a="1"/>
  <c r="M203" i="1" s="1"/>
  <c r="N183" i="1" a="1"/>
  <c r="N183" i="1" s="1"/>
  <c r="M183" i="1" a="1"/>
  <c r="M183" i="1" s="1"/>
  <c r="N163" i="1" a="1"/>
  <c r="N163" i="1" s="1"/>
  <c r="M163" i="1" a="1"/>
  <c r="M163" i="1" s="1"/>
  <c r="N143" i="1" a="1"/>
  <c r="N143" i="1" s="1"/>
  <c r="M143" i="1" a="1"/>
  <c r="M143" i="1" s="1"/>
  <c r="N123" i="1" a="1"/>
  <c r="N123" i="1" s="1"/>
  <c r="M123" i="1" a="1"/>
  <c r="M123" i="1" s="1"/>
  <c r="N103" i="1" a="1"/>
  <c r="N103" i="1" s="1"/>
  <c r="M103" i="1" a="1"/>
  <c r="M103" i="1" s="1"/>
  <c r="N83" i="1" a="1"/>
  <c r="N83" i="1" s="1"/>
  <c r="M83" i="1" a="1"/>
  <c r="M83" i="1" s="1"/>
  <c r="N63" i="1" a="1"/>
  <c r="N63" i="1" s="1"/>
  <c r="M63" i="1" a="1"/>
  <c r="M63" i="1" s="1"/>
  <c r="N43" i="1" a="1"/>
  <c r="N43" i="1" s="1"/>
  <c r="M43" i="1" a="1"/>
  <c r="M43" i="1" s="1"/>
  <c r="N23" i="1" a="1"/>
  <c r="N23" i="1" s="1"/>
  <c r="M23" i="1" a="1"/>
  <c r="M23" i="1" s="1"/>
  <c r="N3" i="1" a="1"/>
  <c r="N3" i="1" s="1"/>
  <c r="M3" i="1" a="1"/>
  <c r="M3" i="1" s="1"/>
  <c r="N1803" i="1" a="1"/>
  <c r="N1803" i="1" s="1"/>
  <c r="M1803" i="1" a="1"/>
  <c r="M1803" i="1" s="1"/>
  <c r="N1436" i="1" a="1"/>
  <c r="N1436" i="1" s="1"/>
  <c r="M1436" i="1" a="1"/>
  <c r="M1436" i="1" s="1"/>
  <c r="N1216" i="1" a="1"/>
  <c r="N1216" i="1" s="1"/>
  <c r="M1216" i="1" a="1"/>
  <c r="M1216" i="1" s="1"/>
  <c r="N1036" i="1" a="1"/>
  <c r="N1036" i="1" s="1"/>
  <c r="M1036" i="1" a="1"/>
  <c r="M1036" i="1" s="1"/>
  <c r="N816" i="1" a="1"/>
  <c r="N816" i="1" s="1"/>
  <c r="M816" i="1" a="1"/>
  <c r="M816" i="1" s="1"/>
  <c r="N636" i="1" a="1"/>
  <c r="N636" i="1" s="1"/>
  <c r="M636" i="1" a="1"/>
  <c r="M636" i="1" s="1"/>
  <c r="N396" i="1" a="1"/>
  <c r="N396" i="1" s="1"/>
  <c r="M396" i="1" a="1"/>
  <c r="M396" i="1" s="1"/>
  <c r="N16" i="1" a="1"/>
  <c r="N16" i="1" s="1"/>
  <c r="M16" i="1" a="1"/>
  <c r="M16" i="1" s="1"/>
  <c r="N1662" i="1" a="1"/>
  <c r="N1662" i="1" s="1"/>
  <c r="M1662" i="1" a="1"/>
  <c r="M1662" i="1" s="1"/>
  <c r="N1315" i="1" a="1"/>
  <c r="N1315" i="1" s="1"/>
  <c r="M1315" i="1" a="1"/>
  <c r="M1315" i="1" s="1"/>
  <c r="N1075" i="1" a="1"/>
  <c r="N1075" i="1" s="1"/>
  <c r="M1075" i="1" a="1"/>
  <c r="M1075" i="1" s="1"/>
  <c r="N1717" i="1" a="1"/>
  <c r="N1717" i="1" s="1"/>
  <c r="M1717" i="1" a="1"/>
  <c r="M1717" i="1" s="1"/>
  <c r="N1430" i="1" a="1"/>
  <c r="N1430" i="1" s="1"/>
  <c r="M1430" i="1" a="1"/>
  <c r="M1430" i="1" s="1"/>
  <c r="N1250" i="1" a="1"/>
  <c r="N1250" i="1" s="1"/>
  <c r="M1250" i="1" a="1"/>
  <c r="M1250" i="1" s="1"/>
  <c r="N1010" i="1" a="1"/>
  <c r="N1010" i="1" s="1"/>
  <c r="M1010" i="1" a="1"/>
  <c r="M1010" i="1" s="1"/>
  <c r="N550" i="1" a="1"/>
  <c r="N550" i="1" s="1"/>
  <c r="M550" i="1" a="1"/>
  <c r="M550" i="1" s="1"/>
  <c r="N1810" i="1" a="1"/>
  <c r="N1810" i="1" s="1"/>
  <c r="M1810" i="1" a="1"/>
  <c r="M1810" i="1" s="1"/>
  <c r="N1790" i="1" a="1"/>
  <c r="N1790" i="1" s="1"/>
  <c r="M1790" i="1" a="1"/>
  <c r="M1790" i="1" s="1"/>
  <c r="N1750" i="1" a="1"/>
  <c r="N1750" i="1" s="1"/>
  <c r="M1750" i="1" a="1"/>
  <c r="M1750" i="1" s="1"/>
  <c r="N1710" i="1" a="1"/>
  <c r="N1710" i="1" s="1"/>
  <c r="M1710" i="1" a="1"/>
  <c r="M1710" i="1" s="1"/>
  <c r="N1670" i="1" a="1"/>
  <c r="N1670" i="1" s="1"/>
  <c r="M1670" i="1" a="1"/>
  <c r="M1670" i="1" s="1"/>
  <c r="N1630" i="1" a="1"/>
  <c r="N1630" i="1" s="1"/>
  <c r="M1630" i="1" a="1"/>
  <c r="M1630" i="1" s="1"/>
  <c r="N1590" i="1" a="1"/>
  <c r="N1590" i="1" s="1"/>
  <c r="M1590" i="1" a="1"/>
  <c r="M1590" i="1" s="1"/>
  <c r="N1423" i="1" a="1"/>
  <c r="N1423" i="1" s="1"/>
  <c r="M1423" i="1" a="1"/>
  <c r="M1423" i="1" s="1"/>
  <c r="N1383" i="1" a="1"/>
  <c r="N1383" i="1" s="1"/>
  <c r="M1383" i="1" a="1"/>
  <c r="M1383" i="1" s="1"/>
  <c r="N1343" i="1" a="1"/>
  <c r="N1343" i="1" s="1"/>
  <c r="M1343" i="1" a="1"/>
  <c r="M1343" i="1" s="1"/>
  <c r="N1303" i="1" a="1"/>
  <c r="N1303" i="1" s="1"/>
  <c r="M1303" i="1" a="1"/>
  <c r="M1303" i="1" s="1"/>
  <c r="N1263" i="1" a="1"/>
  <c r="N1263" i="1" s="1"/>
  <c r="M1263" i="1" a="1"/>
  <c r="M1263" i="1" s="1"/>
  <c r="N1223" i="1" a="1"/>
  <c r="N1223" i="1" s="1"/>
  <c r="M1223" i="1" a="1"/>
  <c r="M1223" i="1" s="1"/>
  <c r="N1183" i="1" a="1"/>
  <c r="N1183" i="1" s="1"/>
  <c r="M1183" i="1" a="1"/>
  <c r="M1183" i="1" s="1"/>
  <c r="N1143" i="1" a="1"/>
  <c r="N1143" i="1" s="1"/>
  <c r="M1143" i="1" a="1"/>
  <c r="M1143" i="1" s="1"/>
  <c r="N1103" i="1" a="1"/>
  <c r="N1103" i="1" s="1"/>
  <c r="M1103" i="1" a="1"/>
  <c r="M1103" i="1" s="1"/>
  <c r="N1063" i="1" a="1"/>
  <c r="N1063" i="1" s="1"/>
  <c r="M1063" i="1" a="1"/>
  <c r="M1063" i="1" s="1"/>
  <c r="N1023" i="1" a="1"/>
  <c r="N1023" i="1" s="1"/>
  <c r="M1023" i="1" a="1"/>
  <c r="M1023" i="1" s="1"/>
  <c r="N983" i="1" a="1"/>
  <c r="N983" i="1" s="1"/>
  <c r="M983" i="1" a="1"/>
  <c r="M983" i="1" s="1"/>
  <c r="N943" i="1" a="1"/>
  <c r="N943" i="1" s="1"/>
  <c r="M943" i="1" a="1"/>
  <c r="M943" i="1" s="1"/>
  <c r="N903" i="1" a="1"/>
  <c r="N903" i="1" s="1"/>
  <c r="M903" i="1" a="1"/>
  <c r="M903" i="1" s="1"/>
  <c r="N883" i="1" a="1"/>
  <c r="N883" i="1" s="1"/>
  <c r="M883" i="1" a="1"/>
  <c r="M883" i="1" s="1"/>
  <c r="N843" i="1" a="1"/>
  <c r="N843" i="1" s="1"/>
  <c r="M843" i="1" a="1"/>
  <c r="M843" i="1" s="1"/>
  <c r="N783" i="1" a="1"/>
  <c r="N783" i="1" s="1"/>
  <c r="M783" i="1" a="1"/>
  <c r="M783" i="1" s="1"/>
  <c r="N563" i="1" a="1"/>
  <c r="N563" i="1" s="1"/>
  <c r="M563" i="1" a="1"/>
  <c r="M563" i="1" s="1"/>
  <c r="N1809" i="1" a="1"/>
  <c r="N1809" i="1" s="1"/>
  <c r="M1809" i="1" a="1"/>
  <c r="M1809" i="1" s="1"/>
  <c r="N1789" i="1" a="1"/>
  <c r="N1789" i="1" s="1"/>
  <c r="M1789" i="1" a="1"/>
  <c r="M1789" i="1" s="1"/>
  <c r="N1769" i="1" a="1"/>
  <c r="N1769" i="1" s="1"/>
  <c r="M1769" i="1" a="1"/>
  <c r="M1769" i="1" s="1"/>
  <c r="N1749" i="1" a="1"/>
  <c r="N1749" i="1" s="1"/>
  <c r="M1749" i="1" a="1"/>
  <c r="M1749" i="1" s="1"/>
  <c r="N1729" i="1" a="1"/>
  <c r="N1729" i="1" s="1"/>
  <c r="M1729" i="1" a="1"/>
  <c r="M1729" i="1" s="1"/>
  <c r="N1709" i="1" a="1"/>
  <c r="N1709" i="1" s="1"/>
  <c r="M1709" i="1" a="1"/>
  <c r="M1709" i="1" s="1"/>
  <c r="N1689" i="1" a="1"/>
  <c r="N1689" i="1" s="1"/>
  <c r="M1689" i="1" a="1"/>
  <c r="M1689" i="1" s="1"/>
  <c r="N1669" i="1" a="1"/>
  <c r="N1669" i="1" s="1"/>
  <c r="M1669" i="1" a="1"/>
  <c r="M1669" i="1" s="1"/>
  <c r="N1649" i="1" a="1"/>
  <c r="N1649" i="1" s="1"/>
  <c r="M1649" i="1" a="1"/>
  <c r="M1649" i="1" s="1"/>
  <c r="N1629" i="1" a="1"/>
  <c r="N1629" i="1" s="1"/>
  <c r="M1629" i="1" a="1"/>
  <c r="M1629" i="1" s="1"/>
  <c r="N1609" i="1" a="1"/>
  <c r="N1609" i="1" s="1"/>
  <c r="M1609" i="1" a="1"/>
  <c r="M1609" i="1" s="1"/>
  <c r="N1589" i="1" a="1"/>
  <c r="N1589" i="1" s="1"/>
  <c r="M1589" i="1" a="1"/>
  <c r="M1589" i="1" s="1"/>
  <c r="N1569" i="1" a="1"/>
  <c r="N1569" i="1" s="1"/>
  <c r="M1569" i="1" a="1"/>
  <c r="M1569" i="1" s="1"/>
  <c r="N1422" i="1" a="1"/>
  <c r="N1422" i="1" s="1"/>
  <c r="M1422" i="1" a="1"/>
  <c r="M1422" i="1" s="1"/>
  <c r="N1402" i="1" a="1"/>
  <c r="N1402" i="1" s="1"/>
  <c r="M1402" i="1" a="1"/>
  <c r="M1402" i="1" s="1"/>
  <c r="N1382" i="1" a="1"/>
  <c r="N1382" i="1" s="1"/>
  <c r="M1382" i="1" a="1"/>
  <c r="M1382" i="1" s="1"/>
  <c r="N1362" i="1" a="1"/>
  <c r="N1362" i="1" s="1"/>
  <c r="M1362" i="1" a="1"/>
  <c r="M1362" i="1" s="1"/>
  <c r="N1342" i="1" a="1"/>
  <c r="N1342" i="1" s="1"/>
  <c r="M1342" i="1" a="1"/>
  <c r="M1342" i="1" s="1"/>
  <c r="N1322" i="1" a="1"/>
  <c r="N1322" i="1" s="1"/>
  <c r="M1322" i="1" a="1"/>
  <c r="M1322" i="1" s="1"/>
  <c r="N1302" i="1" a="1"/>
  <c r="N1302" i="1" s="1"/>
  <c r="M1302" i="1" a="1"/>
  <c r="M1302" i="1" s="1"/>
  <c r="N1282" i="1" a="1"/>
  <c r="N1282" i="1" s="1"/>
  <c r="M1282" i="1" a="1"/>
  <c r="M1282" i="1" s="1"/>
  <c r="N1262" i="1" a="1"/>
  <c r="N1262" i="1" s="1"/>
  <c r="M1262" i="1" a="1"/>
  <c r="M1262" i="1" s="1"/>
  <c r="N1242" i="1" a="1"/>
  <c r="N1242" i="1" s="1"/>
  <c r="M1242" i="1" a="1"/>
  <c r="M1242" i="1" s="1"/>
  <c r="N1222" i="1" a="1"/>
  <c r="N1222" i="1" s="1"/>
  <c r="M1222" i="1" a="1"/>
  <c r="M1222" i="1" s="1"/>
  <c r="N1202" i="1" a="1"/>
  <c r="N1202" i="1" s="1"/>
  <c r="M1202" i="1" a="1"/>
  <c r="M1202" i="1" s="1"/>
  <c r="N1182" i="1" a="1"/>
  <c r="N1182" i="1" s="1"/>
  <c r="M1182" i="1" a="1"/>
  <c r="M1182" i="1" s="1"/>
  <c r="N1162" i="1" a="1"/>
  <c r="N1162" i="1" s="1"/>
  <c r="M1162" i="1" a="1"/>
  <c r="M1162" i="1" s="1"/>
  <c r="N1142" i="1" a="1"/>
  <c r="N1142" i="1" s="1"/>
  <c r="M1142" i="1" a="1"/>
  <c r="M1142" i="1" s="1"/>
  <c r="N1122" i="1" a="1"/>
  <c r="N1122" i="1" s="1"/>
  <c r="M1122" i="1" a="1"/>
  <c r="M1122" i="1" s="1"/>
  <c r="N1102" i="1" a="1"/>
  <c r="N1102" i="1" s="1"/>
  <c r="M1102" i="1" a="1"/>
  <c r="M1102" i="1" s="1"/>
  <c r="N1082" i="1" a="1"/>
  <c r="N1082" i="1" s="1"/>
  <c r="M1082" i="1" a="1"/>
  <c r="M1082" i="1" s="1"/>
  <c r="N1062" i="1" a="1"/>
  <c r="N1062" i="1" s="1"/>
  <c r="M1062" i="1" a="1"/>
  <c r="M1062" i="1" s="1"/>
  <c r="N1042" i="1" a="1"/>
  <c r="N1042" i="1" s="1"/>
  <c r="M1042" i="1" a="1"/>
  <c r="M1042" i="1" s="1"/>
  <c r="N1022" i="1" a="1"/>
  <c r="N1022" i="1" s="1"/>
  <c r="M1022" i="1" a="1"/>
  <c r="M1022" i="1" s="1"/>
  <c r="N1002" i="1" a="1"/>
  <c r="N1002" i="1" s="1"/>
  <c r="M1002" i="1" a="1"/>
  <c r="M1002" i="1" s="1"/>
  <c r="N982" i="1" a="1"/>
  <c r="N982" i="1" s="1"/>
  <c r="M982" i="1" a="1"/>
  <c r="M982" i="1" s="1"/>
  <c r="N962" i="1" a="1"/>
  <c r="N962" i="1" s="1"/>
  <c r="M962" i="1" a="1"/>
  <c r="M962" i="1" s="1"/>
  <c r="N942" i="1" a="1"/>
  <c r="N942" i="1" s="1"/>
  <c r="M942" i="1" a="1"/>
  <c r="M942" i="1" s="1"/>
  <c r="N922" i="1" a="1"/>
  <c r="N922" i="1" s="1"/>
  <c r="M922" i="1" a="1"/>
  <c r="M922" i="1" s="1"/>
  <c r="N902" i="1" a="1"/>
  <c r="N902" i="1" s="1"/>
  <c r="M902" i="1" a="1"/>
  <c r="M902" i="1" s="1"/>
  <c r="N882" i="1" a="1"/>
  <c r="N882" i="1" s="1"/>
  <c r="M882" i="1" a="1"/>
  <c r="M882" i="1" s="1"/>
  <c r="N862" i="1" a="1"/>
  <c r="N862" i="1" s="1"/>
  <c r="M862" i="1" a="1"/>
  <c r="M862" i="1" s="1"/>
  <c r="N842" i="1" a="1"/>
  <c r="N842" i="1" s="1"/>
  <c r="M842" i="1" a="1"/>
  <c r="M842" i="1" s="1"/>
  <c r="N822" i="1" a="1"/>
  <c r="N822" i="1" s="1"/>
  <c r="M822" i="1" a="1"/>
  <c r="M822" i="1" s="1"/>
  <c r="N802" i="1" a="1"/>
  <c r="N802" i="1" s="1"/>
  <c r="M802" i="1" a="1"/>
  <c r="M802" i="1" s="1"/>
  <c r="N782" i="1" a="1"/>
  <c r="N782" i="1" s="1"/>
  <c r="M782" i="1" a="1"/>
  <c r="M782" i="1" s="1"/>
  <c r="N762" i="1" a="1"/>
  <c r="N762" i="1" s="1"/>
  <c r="M762" i="1" a="1"/>
  <c r="M762" i="1" s="1"/>
  <c r="N742" i="1" a="1"/>
  <c r="N742" i="1" s="1"/>
  <c r="M742" i="1" a="1"/>
  <c r="M742" i="1" s="1"/>
  <c r="N722" i="1" a="1"/>
  <c r="N722" i="1" s="1"/>
  <c r="M722" i="1" a="1"/>
  <c r="M722" i="1" s="1"/>
  <c r="N702" i="1" a="1"/>
  <c r="N702" i="1" s="1"/>
  <c r="M702" i="1" a="1"/>
  <c r="M702" i="1" s="1"/>
  <c r="N682" i="1" a="1"/>
  <c r="N682" i="1" s="1"/>
  <c r="M682" i="1" a="1"/>
  <c r="M682" i="1" s="1"/>
  <c r="N662" i="1" a="1"/>
  <c r="N662" i="1" s="1"/>
  <c r="M662" i="1" a="1"/>
  <c r="M662" i="1" s="1"/>
  <c r="N642" i="1" a="1"/>
  <c r="N642" i="1" s="1"/>
  <c r="M642" i="1" a="1"/>
  <c r="M642" i="1" s="1"/>
  <c r="N622" i="1" a="1"/>
  <c r="N622" i="1" s="1"/>
  <c r="M622" i="1" a="1"/>
  <c r="M622" i="1" s="1"/>
  <c r="N602" i="1" a="1"/>
  <c r="N602" i="1" s="1"/>
  <c r="M602" i="1" a="1"/>
  <c r="M602" i="1" s="1"/>
  <c r="N582" i="1" a="1"/>
  <c r="N582" i="1" s="1"/>
  <c r="M582" i="1" a="1"/>
  <c r="M582" i="1" s="1"/>
  <c r="N562" i="1" a="1"/>
  <c r="N562" i="1" s="1"/>
  <c r="M562" i="1" a="1"/>
  <c r="M562" i="1" s="1"/>
  <c r="N542" i="1" a="1"/>
  <c r="N542" i="1" s="1"/>
  <c r="M542" i="1" a="1"/>
  <c r="M542" i="1" s="1"/>
  <c r="N522" i="1" a="1"/>
  <c r="N522" i="1" s="1"/>
  <c r="M522" i="1" a="1"/>
  <c r="M522" i="1" s="1"/>
  <c r="N502" i="1" a="1"/>
  <c r="N502" i="1" s="1"/>
  <c r="M502" i="1" a="1"/>
  <c r="M502" i="1" s="1"/>
  <c r="N482" i="1" a="1"/>
  <c r="N482" i="1" s="1"/>
  <c r="M482" i="1" a="1"/>
  <c r="M482" i="1" s="1"/>
  <c r="N462" i="1" a="1"/>
  <c r="N462" i="1" s="1"/>
  <c r="M462" i="1" a="1"/>
  <c r="M462" i="1" s="1"/>
  <c r="N442" i="1" a="1"/>
  <c r="N442" i="1" s="1"/>
  <c r="M442" i="1" a="1"/>
  <c r="M442" i="1" s="1"/>
  <c r="N422" i="1" a="1"/>
  <c r="N422" i="1" s="1"/>
  <c r="M422" i="1" a="1"/>
  <c r="M422" i="1" s="1"/>
  <c r="N402" i="1" a="1"/>
  <c r="N402" i="1" s="1"/>
  <c r="M402" i="1" a="1"/>
  <c r="M402" i="1" s="1"/>
  <c r="N382" i="1" a="1"/>
  <c r="N382" i="1" s="1"/>
  <c r="M382" i="1" a="1"/>
  <c r="M382" i="1" s="1"/>
  <c r="N362" i="1" a="1"/>
  <c r="N362" i="1" s="1"/>
  <c r="M362" i="1" a="1"/>
  <c r="M362" i="1" s="1"/>
  <c r="N342" i="1" a="1"/>
  <c r="N342" i="1" s="1"/>
  <c r="M342" i="1" a="1"/>
  <c r="M342" i="1" s="1"/>
  <c r="N322" i="1" a="1"/>
  <c r="N322" i="1" s="1"/>
  <c r="M322" i="1" a="1"/>
  <c r="M322" i="1" s="1"/>
  <c r="N302" i="1" a="1"/>
  <c r="N302" i="1" s="1"/>
  <c r="M302" i="1" a="1"/>
  <c r="M302" i="1" s="1"/>
  <c r="N282" i="1" a="1"/>
  <c r="N282" i="1" s="1"/>
  <c r="M282" i="1" a="1"/>
  <c r="M282" i="1" s="1"/>
  <c r="N262" i="1" a="1"/>
  <c r="N262" i="1" s="1"/>
  <c r="M262" i="1" a="1"/>
  <c r="M262" i="1" s="1"/>
  <c r="N242" i="1" a="1"/>
  <c r="N242" i="1" s="1"/>
  <c r="M242" i="1" a="1"/>
  <c r="M242" i="1" s="1"/>
  <c r="N222" i="1" a="1"/>
  <c r="N222" i="1" s="1"/>
  <c r="M222" i="1" a="1"/>
  <c r="M222" i="1" s="1"/>
  <c r="N202" i="1" a="1"/>
  <c r="N202" i="1" s="1"/>
  <c r="M202" i="1" a="1"/>
  <c r="M202" i="1" s="1"/>
  <c r="N182" i="1" a="1"/>
  <c r="N182" i="1" s="1"/>
  <c r="M182" i="1" a="1"/>
  <c r="M182" i="1" s="1"/>
  <c r="N162" i="1" a="1"/>
  <c r="N162" i="1" s="1"/>
  <c r="M162" i="1" a="1"/>
  <c r="M162" i="1" s="1"/>
  <c r="N142" i="1" a="1"/>
  <c r="N142" i="1" s="1"/>
  <c r="M142" i="1" a="1"/>
  <c r="M142" i="1" s="1"/>
  <c r="N122" i="1" a="1"/>
  <c r="N122" i="1" s="1"/>
  <c r="M122" i="1" a="1"/>
  <c r="M122" i="1" s="1"/>
  <c r="N102" i="1" a="1"/>
  <c r="N102" i="1" s="1"/>
  <c r="M102" i="1" a="1"/>
  <c r="M102" i="1" s="1"/>
  <c r="N82" i="1" a="1"/>
  <c r="N82" i="1" s="1"/>
  <c r="M82" i="1" a="1"/>
  <c r="M82" i="1" s="1"/>
  <c r="N62" i="1" a="1"/>
  <c r="N62" i="1" s="1"/>
  <c r="M62" i="1" a="1"/>
  <c r="M62" i="1" s="1"/>
  <c r="N42" i="1" a="1"/>
  <c r="N42" i="1" s="1"/>
  <c r="M42" i="1" a="1"/>
  <c r="M42" i="1" s="1"/>
  <c r="N22" i="1" a="1"/>
  <c r="N22" i="1" s="1"/>
  <c r="M22" i="1" a="1"/>
  <c r="M22" i="1" s="1"/>
  <c r="N2" i="1" a="1"/>
  <c r="N2" i="1" s="1"/>
  <c r="M2" i="1" a="1"/>
  <c r="M2" i="1" s="1"/>
  <c r="N1768" i="1" a="1"/>
  <c r="N1768" i="1" s="1"/>
  <c r="M1768" i="1" a="1"/>
  <c r="M1768" i="1" s="1"/>
  <c r="N1648" i="1" a="1"/>
  <c r="N1648" i="1" s="1"/>
  <c r="M1648" i="1" a="1"/>
  <c r="M1648" i="1" s="1"/>
  <c r="N1588" i="1" a="1"/>
  <c r="N1588" i="1" s="1"/>
  <c r="M1588" i="1" a="1"/>
  <c r="M1588" i="1" s="1"/>
  <c r="N1381" i="1" a="1"/>
  <c r="N1381" i="1" s="1"/>
  <c r="M1381" i="1" a="1"/>
  <c r="M1381" i="1" s="1"/>
  <c r="N1321" i="1" a="1"/>
  <c r="N1321" i="1" s="1"/>
  <c r="M1321" i="1" a="1"/>
  <c r="M1321" i="1" s="1"/>
  <c r="N1261" i="1" a="1"/>
  <c r="N1261" i="1" s="1"/>
  <c r="M1261" i="1" a="1"/>
  <c r="M1261" i="1" s="1"/>
  <c r="N1181" i="1" a="1"/>
  <c r="N1181" i="1" s="1"/>
  <c r="M1181" i="1" a="1"/>
  <c r="M1181" i="1" s="1"/>
  <c r="N1081" i="1" a="1"/>
  <c r="N1081" i="1" s="1"/>
  <c r="M1081" i="1" a="1"/>
  <c r="M1081" i="1" s="1"/>
  <c r="N861" i="1" a="1"/>
  <c r="N861" i="1" s="1"/>
  <c r="M861" i="1" a="1"/>
  <c r="M861" i="1" s="1"/>
  <c r="N1728" i="1" a="1"/>
  <c r="N1728" i="1" s="1"/>
  <c r="M1728" i="1" a="1"/>
  <c r="M1728" i="1" s="1"/>
  <c r="N1628" i="1" a="1"/>
  <c r="N1628" i="1" s="1"/>
  <c r="M1628" i="1" a="1"/>
  <c r="M1628" i="1" s="1"/>
  <c r="N1568" i="1" a="1"/>
  <c r="N1568" i="1" s="1"/>
  <c r="M1568" i="1" a="1"/>
  <c r="M1568" i="1" s="1"/>
  <c r="N1401" i="1" a="1"/>
  <c r="N1401" i="1" s="1"/>
  <c r="M1401" i="1" a="1"/>
  <c r="M1401" i="1" s="1"/>
  <c r="N1361" i="1" a="1"/>
  <c r="N1361" i="1" s="1"/>
  <c r="M1361" i="1" a="1"/>
  <c r="M1361" i="1" s="1"/>
  <c r="N1301" i="1" a="1"/>
  <c r="N1301" i="1" s="1"/>
  <c r="M1301" i="1" a="1"/>
  <c r="M1301" i="1" s="1"/>
  <c r="N1241" i="1" a="1"/>
  <c r="N1241" i="1" s="1"/>
  <c r="M1241" i="1" a="1"/>
  <c r="M1241" i="1" s="1"/>
  <c r="N1201" i="1" a="1"/>
  <c r="N1201" i="1" s="1"/>
  <c r="M1201" i="1" a="1"/>
  <c r="M1201" i="1" s="1"/>
  <c r="N1141" i="1" a="1"/>
  <c r="N1141" i="1" s="1"/>
  <c r="M1141" i="1" a="1"/>
  <c r="M1141" i="1" s="1"/>
  <c r="N1101" i="1" a="1"/>
  <c r="N1101" i="1" s="1"/>
  <c r="M1101" i="1" a="1"/>
  <c r="M1101" i="1" s="1"/>
  <c r="N1041" i="1" a="1"/>
  <c r="N1041" i="1" s="1"/>
  <c r="M1041" i="1" a="1"/>
  <c r="M1041" i="1" s="1"/>
  <c r="N1001" i="1" a="1"/>
  <c r="N1001" i="1" s="1"/>
  <c r="M1001" i="1" a="1"/>
  <c r="M1001" i="1" s="1"/>
  <c r="N961" i="1" a="1"/>
  <c r="N961" i="1" s="1"/>
  <c r="M961" i="1" a="1"/>
  <c r="M961" i="1" s="1"/>
  <c r="N921" i="1" a="1"/>
  <c r="N921" i="1" s="1"/>
  <c r="M921" i="1" a="1"/>
  <c r="M921" i="1" s="1"/>
  <c r="N901" i="1" a="1"/>
  <c r="N901" i="1" s="1"/>
  <c r="M901" i="1" a="1"/>
  <c r="M901" i="1" s="1"/>
  <c r="N841" i="1" a="1"/>
  <c r="N841" i="1" s="1"/>
  <c r="M841" i="1" a="1"/>
  <c r="M841" i="1" s="1"/>
  <c r="N801" i="1" a="1"/>
  <c r="N801" i="1" s="1"/>
  <c r="M801" i="1" a="1"/>
  <c r="M801" i="1" s="1"/>
  <c r="N761" i="1" a="1"/>
  <c r="N761" i="1" s="1"/>
  <c r="M761" i="1" a="1"/>
  <c r="M761" i="1" s="1"/>
  <c r="N741" i="1" a="1"/>
  <c r="N741" i="1" s="1"/>
  <c r="M741" i="1" a="1"/>
  <c r="M741" i="1" s="1"/>
  <c r="N701" i="1" a="1"/>
  <c r="N701" i="1" s="1"/>
  <c r="M701" i="1" a="1"/>
  <c r="M701" i="1" s="1"/>
  <c r="N641" i="1" a="1"/>
  <c r="N641" i="1" s="1"/>
  <c r="M641" i="1" a="1"/>
  <c r="M641" i="1" s="1"/>
  <c r="N601" i="1" a="1"/>
  <c r="N601" i="1" s="1"/>
  <c r="M601" i="1" a="1"/>
  <c r="M601" i="1" s="1"/>
  <c r="N561" i="1" a="1"/>
  <c r="N561" i="1" s="1"/>
  <c r="M561" i="1" a="1"/>
  <c r="M561" i="1" s="1"/>
  <c r="N521" i="1" a="1"/>
  <c r="N521" i="1" s="1"/>
  <c r="M521" i="1" a="1"/>
  <c r="M521" i="1" s="1"/>
  <c r="N461" i="1" a="1"/>
  <c r="N461" i="1" s="1"/>
  <c r="M461" i="1" a="1"/>
  <c r="M461" i="1" s="1"/>
  <c r="N421" i="1" a="1"/>
  <c r="N421" i="1" s="1"/>
  <c r="M421" i="1" a="1"/>
  <c r="M421" i="1" s="1"/>
  <c r="N401" i="1" a="1"/>
  <c r="N401" i="1" s="1"/>
  <c r="M401" i="1" a="1"/>
  <c r="M401" i="1" s="1"/>
  <c r="N361" i="1" a="1"/>
  <c r="N361" i="1" s="1"/>
  <c r="M361" i="1" a="1"/>
  <c r="M361" i="1" s="1"/>
  <c r="N341" i="1" a="1"/>
  <c r="N341" i="1" s="1"/>
  <c r="M341" i="1" a="1"/>
  <c r="M341" i="1" s="1"/>
  <c r="N301" i="1" a="1"/>
  <c r="N301" i="1" s="1"/>
  <c r="M301" i="1" a="1"/>
  <c r="M301" i="1" s="1"/>
  <c r="N281" i="1" a="1"/>
  <c r="N281" i="1" s="1"/>
  <c r="M281" i="1" a="1"/>
  <c r="M281" i="1" s="1"/>
  <c r="N261" i="1" a="1"/>
  <c r="N261" i="1" s="1"/>
  <c r="M261" i="1" a="1"/>
  <c r="M261" i="1" s="1"/>
  <c r="N241" i="1" a="1"/>
  <c r="N241" i="1" s="1"/>
  <c r="M241" i="1" a="1"/>
  <c r="M241" i="1" s="1"/>
  <c r="N221" i="1" a="1"/>
  <c r="N221" i="1" s="1"/>
  <c r="M221" i="1" a="1"/>
  <c r="M221" i="1" s="1"/>
  <c r="N201" i="1" a="1"/>
  <c r="N201" i="1" s="1"/>
  <c r="M201" i="1" a="1"/>
  <c r="M201" i="1" s="1"/>
  <c r="N181" i="1" a="1"/>
  <c r="N181" i="1" s="1"/>
  <c r="M181" i="1" a="1"/>
  <c r="M181" i="1" s="1"/>
  <c r="N161" i="1" a="1"/>
  <c r="N161" i="1" s="1"/>
  <c r="M161" i="1" a="1"/>
  <c r="M161" i="1" s="1"/>
  <c r="N141" i="1" a="1"/>
  <c r="N141" i="1" s="1"/>
  <c r="M141" i="1" a="1"/>
  <c r="M141" i="1" s="1"/>
  <c r="N121" i="1" a="1"/>
  <c r="N121" i="1" s="1"/>
  <c r="M121" i="1" a="1"/>
  <c r="M121" i="1" s="1"/>
  <c r="N101" i="1" a="1"/>
  <c r="N101" i="1" s="1"/>
  <c r="M101" i="1" a="1"/>
  <c r="M101" i="1" s="1"/>
  <c r="N81" i="1" a="1"/>
  <c r="N81" i="1" s="1"/>
  <c r="M81" i="1" a="1"/>
  <c r="M81" i="1" s="1"/>
  <c r="N61" i="1" a="1"/>
  <c r="N61" i="1" s="1"/>
  <c r="M61" i="1" a="1"/>
  <c r="M61" i="1" s="1"/>
  <c r="N21" i="1" a="1"/>
  <c r="N21" i="1" s="1"/>
  <c r="M21" i="1" a="1"/>
  <c r="M21" i="1" s="1"/>
  <c r="N1827" i="1" a="1"/>
  <c r="N1827" i="1" s="1"/>
  <c r="M1827" i="1" a="1"/>
  <c r="M1827" i="1" s="1"/>
  <c r="N1807" i="1" a="1"/>
  <c r="N1807" i="1" s="1"/>
  <c r="M1807" i="1" a="1"/>
  <c r="M1807" i="1" s="1"/>
  <c r="N1787" i="1" a="1"/>
  <c r="N1787" i="1" s="1"/>
  <c r="M1787" i="1" a="1"/>
  <c r="M1787" i="1" s="1"/>
  <c r="N1767" i="1" a="1"/>
  <c r="N1767" i="1" s="1"/>
  <c r="M1767" i="1" a="1"/>
  <c r="M1767" i="1" s="1"/>
  <c r="N1747" i="1" a="1"/>
  <c r="N1747" i="1" s="1"/>
  <c r="M1747" i="1" a="1"/>
  <c r="M1747" i="1" s="1"/>
  <c r="N1727" i="1" a="1"/>
  <c r="N1727" i="1" s="1"/>
  <c r="M1727" i="1" a="1"/>
  <c r="M1727" i="1" s="1"/>
  <c r="N1707" i="1" a="1"/>
  <c r="N1707" i="1" s="1"/>
  <c r="M1707" i="1" a="1"/>
  <c r="M1707" i="1" s="1"/>
  <c r="N1687" i="1" a="1"/>
  <c r="N1687" i="1" s="1"/>
  <c r="M1687" i="1" a="1"/>
  <c r="M1687" i="1" s="1"/>
  <c r="N1667" i="1" a="1"/>
  <c r="N1667" i="1" s="1"/>
  <c r="M1667" i="1" a="1"/>
  <c r="M1667" i="1" s="1"/>
  <c r="N1647" i="1" a="1"/>
  <c r="N1647" i="1" s="1"/>
  <c r="M1647" i="1" a="1"/>
  <c r="M1647" i="1" s="1"/>
  <c r="N1627" i="1" a="1"/>
  <c r="N1627" i="1" s="1"/>
  <c r="M1627" i="1" a="1"/>
  <c r="M1627" i="1" s="1"/>
  <c r="N1607" i="1" a="1"/>
  <c r="N1607" i="1" s="1"/>
  <c r="M1607" i="1" a="1"/>
  <c r="M1607" i="1" s="1"/>
  <c r="N1587" i="1" a="1"/>
  <c r="N1587" i="1" s="1"/>
  <c r="M1587" i="1" a="1"/>
  <c r="M1587" i="1" s="1"/>
  <c r="N1440" i="1" a="1"/>
  <c r="N1440" i="1" s="1"/>
  <c r="M1440" i="1" a="1"/>
  <c r="M1440" i="1" s="1"/>
  <c r="N1420" i="1" a="1"/>
  <c r="N1420" i="1" s="1"/>
  <c r="M1420" i="1" a="1"/>
  <c r="M1420" i="1" s="1"/>
  <c r="N1400" i="1" a="1"/>
  <c r="N1400" i="1" s="1"/>
  <c r="M1400" i="1" a="1"/>
  <c r="M1400" i="1" s="1"/>
  <c r="N1380" i="1" a="1"/>
  <c r="N1380" i="1" s="1"/>
  <c r="M1380" i="1" a="1"/>
  <c r="M1380" i="1" s="1"/>
  <c r="N1360" i="1" a="1"/>
  <c r="N1360" i="1" s="1"/>
  <c r="M1360" i="1" a="1"/>
  <c r="M1360" i="1" s="1"/>
  <c r="N1340" i="1" a="1"/>
  <c r="N1340" i="1" s="1"/>
  <c r="M1340" i="1" a="1"/>
  <c r="M1340" i="1" s="1"/>
  <c r="N1320" i="1" a="1"/>
  <c r="N1320" i="1" s="1"/>
  <c r="M1320" i="1" a="1"/>
  <c r="M1320" i="1" s="1"/>
  <c r="N1300" i="1" a="1"/>
  <c r="N1300" i="1" s="1"/>
  <c r="M1300" i="1" a="1"/>
  <c r="M1300" i="1" s="1"/>
  <c r="N1280" i="1" a="1"/>
  <c r="N1280" i="1" s="1"/>
  <c r="M1280" i="1" a="1"/>
  <c r="M1280" i="1" s="1"/>
  <c r="N1260" i="1" a="1"/>
  <c r="N1260" i="1" s="1"/>
  <c r="M1260" i="1" a="1"/>
  <c r="M1260" i="1" s="1"/>
  <c r="N1240" i="1" a="1"/>
  <c r="N1240" i="1" s="1"/>
  <c r="M1240" i="1" a="1"/>
  <c r="M1240" i="1" s="1"/>
  <c r="N1220" i="1" a="1"/>
  <c r="N1220" i="1" s="1"/>
  <c r="M1220" i="1" a="1"/>
  <c r="M1220" i="1" s="1"/>
  <c r="N1200" i="1" a="1"/>
  <c r="N1200" i="1" s="1"/>
  <c r="M1200" i="1" a="1"/>
  <c r="M1200" i="1" s="1"/>
  <c r="N1180" i="1" a="1"/>
  <c r="N1180" i="1" s="1"/>
  <c r="M1180" i="1" a="1"/>
  <c r="M1180" i="1" s="1"/>
  <c r="N1160" i="1" a="1"/>
  <c r="N1160" i="1" s="1"/>
  <c r="M1160" i="1" a="1"/>
  <c r="M1160" i="1" s="1"/>
  <c r="N1140" i="1" a="1"/>
  <c r="N1140" i="1" s="1"/>
  <c r="M1140" i="1" a="1"/>
  <c r="M1140" i="1" s="1"/>
  <c r="N1120" i="1" a="1"/>
  <c r="N1120" i="1" s="1"/>
  <c r="M1120" i="1" a="1"/>
  <c r="M1120" i="1" s="1"/>
  <c r="N1100" i="1" a="1"/>
  <c r="N1100" i="1" s="1"/>
  <c r="M1100" i="1" a="1"/>
  <c r="M1100" i="1" s="1"/>
  <c r="N1080" i="1" a="1"/>
  <c r="N1080" i="1" s="1"/>
  <c r="M1080" i="1" a="1"/>
  <c r="M1080" i="1" s="1"/>
  <c r="N1060" i="1" a="1"/>
  <c r="N1060" i="1" s="1"/>
  <c r="M1060" i="1" a="1"/>
  <c r="M1060" i="1" s="1"/>
  <c r="N1040" i="1" a="1"/>
  <c r="N1040" i="1" s="1"/>
  <c r="M1040" i="1" a="1"/>
  <c r="M1040" i="1" s="1"/>
  <c r="N1020" i="1" a="1"/>
  <c r="N1020" i="1" s="1"/>
  <c r="M1020" i="1" a="1"/>
  <c r="M1020" i="1" s="1"/>
  <c r="N1000" i="1" a="1"/>
  <c r="N1000" i="1" s="1"/>
  <c r="M1000" i="1" a="1"/>
  <c r="M1000" i="1" s="1"/>
  <c r="N980" i="1" a="1"/>
  <c r="N980" i="1" s="1"/>
  <c r="M980" i="1" a="1"/>
  <c r="M980" i="1" s="1"/>
  <c r="N960" i="1" a="1"/>
  <c r="N960" i="1" s="1"/>
  <c r="M960" i="1" a="1"/>
  <c r="M960" i="1" s="1"/>
  <c r="N940" i="1" a="1"/>
  <c r="N940" i="1" s="1"/>
  <c r="M940" i="1" a="1"/>
  <c r="M940" i="1" s="1"/>
  <c r="N920" i="1" a="1"/>
  <c r="N920" i="1" s="1"/>
  <c r="M920" i="1" a="1"/>
  <c r="M920" i="1" s="1"/>
  <c r="N900" i="1" a="1"/>
  <c r="N900" i="1" s="1"/>
  <c r="M900" i="1" a="1"/>
  <c r="M900" i="1" s="1"/>
  <c r="N880" i="1" a="1"/>
  <c r="N880" i="1" s="1"/>
  <c r="M880" i="1" a="1"/>
  <c r="M880" i="1" s="1"/>
  <c r="N860" i="1" a="1"/>
  <c r="N860" i="1" s="1"/>
  <c r="M860" i="1" a="1"/>
  <c r="M860" i="1" s="1"/>
  <c r="N840" i="1" a="1"/>
  <c r="N840" i="1" s="1"/>
  <c r="M840" i="1" a="1"/>
  <c r="M840" i="1" s="1"/>
  <c r="N820" i="1" a="1"/>
  <c r="N820" i="1" s="1"/>
  <c r="M820" i="1" a="1"/>
  <c r="M820" i="1" s="1"/>
  <c r="N800" i="1" a="1"/>
  <c r="N800" i="1" s="1"/>
  <c r="M800" i="1" a="1"/>
  <c r="M800" i="1" s="1"/>
  <c r="N780" i="1" a="1"/>
  <c r="N780" i="1" s="1"/>
  <c r="M780" i="1" a="1"/>
  <c r="M780" i="1" s="1"/>
  <c r="N760" i="1" a="1"/>
  <c r="N760" i="1" s="1"/>
  <c r="M760" i="1" a="1"/>
  <c r="M760" i="1" s="1"/>
  <c r="N740" i="1" a="1"/>
  <c r="N740" i="1" s="1"/>
  <c r="M740" i="1" a="1"/>
  <c r="M740" i="1" s="1"/>
  <c r="N720" i="1" a="1"/>
  <c r="N720" i="1" s="1"/>
  <c r="M720" i="1" a="1"/>
  <c r="M720" i="1" s="1"/>
  <c r="N700" i="1" a="1"/>
  <c r="N700" i="1" s="1"/>
  <c r="M700" i="1" a="1"/>
  <c r="M700" i="1" s="1"/>
  <c r="N680" i="1" a="1"/>
  <c r="N680" i="1" s="1"/>
  <c r="M680" i="1" a="1"/>
  <c r="M680" i="1" s="1"/>
  <c r="N660" i="1" a="1"/>
  <c r="N660" i="1" s="1"/>
  <c r="M660" i="1" a="1"/>
  <c r="M660" i="1" s="1"/>
  <c r="N640" i="1" a="1"/>
  <c r="N640" i="1" s="1"/>
  <c r="M640" i="1" a="1"/>
  <c r="M640" i="1" s="1"/>
  <c r="N620" i="1" a="1"/>
  <c r="N620" i="1" s="1"/>
  <c r="M620" i="1" a="1"/>
  <c r="M620" i="1" s="1"/>
  <c r="N600" i="1" a="1"/>
  <c r="N600" i="1" s="1"/>
  <c r="M600" i="1" a="1"/>
  <c r="M600" i="1" s="1"/>
  <c r="N580" i="1" a="1"/>
  <c r="N580" i="1" s="1"/>
  <c r="M580" i="1" a="1"/>
  <c r="M580" i="1" s="1"/>
  <c r="N560" i="1" a="1"/>
  <c r="N560" i="1" s="1"/>
  <c r="M560" i="1" a="1"/>
  <c r="M560" i="1" s="1"/>
  <c r="N540" i="1" a="1"/>
  <c r="N540" i="1" s="1"/>
  <c r="M540" i="1" a="1"/>
  <c r="M540" i="1" s="1"/>
  <c r="N520" i="1" a="1"/>
  <c r="N520" i="1" s="1"/>
  <c r="M520" i="1" a="1"/>
  <c r="M520" i="1" s="1"/>
  <c r="N500" i="1" a="1"/>
  <c r="N500" i="1" s="1"/>
  <c r="M500" i="1" a="1"/>
  <c r="M500" i="1" s="1"/>
  <c r="N480" i="1" a="1"/>
  <c r="N480" i="1" s="1"/>
  <c r="M480" i="1" a="1"/>
  <c r="M480" i="1" s="1"/>
  <c r="N460" i="1" a="1"/>
  <c r="N460" i="1" s="1"/>
  <c r="M460" i="1" a="1"/>
  <c r="M460" i="1" s="1"/>
  <c r="N440" i="1" a="1"/>
  <c r="N440" i="1" s="1"/>
  <c r="M440" i="1" a="1"/>
  <c r="M440" i="1" s="1"/>
  <c r="N420" i="1" a="1"/>
  <c r="N420" i="1" s="1"/>
  <c r="M420" i="1" a="1"/>
  <c r="M420" i="1" s="1"/>
  <c r="N400" i="1" a="1"/>
  <c r="N400" i="1" s="1"/>
  <c r="M400" i="1" a="1"/>
  <c r="M400" i="1" s="1"/>
  <c r="N380" i="1" a="1"/>
  <c r="N380" i="1" s="1"/>
  <c r="M380" i="1" a="1"/>
  <c r="M380" i="1" s="1"/>
  <c r="N360" i="1" a="1"/>
  <c r="N360" i="1" s="1"/>
  <c r="M360" i="1" a="1"/>
  <c r="M360" i="1" s="1"/>
  <c r="N340" i="1" a="1"/>
  <c r="N340" i="1" s="1"/>
  <c r="M340" i="1" a="1"/>
  <c r="M340" i="1" s="1"/>
  <c r="N320" i="1" a="1"/>
  <c r="N320" i="1" s="1"/>
  <c r="M320" i="1" a="1"/>
  <c r="M320" i="1" s="1"/>
  <c r="N300" i="1" a="1"/>
  <c r="N300" i="1" s="1"/>
  <c r="M300" i="1" a="1"/>
  <c r="M300" i="1" s="1"/>
  <c r="N280" i="1" a="1"/>
  <c r="N280" i="1" s="1"/>
  <c r="M280" i="1" a="1"/>
  <c r="M280" i="1" s="1"/>
  <c r="N260" i="1" a="1"/>
  <c r="N260" i="1" s="1"/>
  <c r="M260" i="1" a="1"/>
  <c r="M260" i="1" s="1"/>
  <c r="N240" i="1" a="1"/>
  <c r="N240" i="1" s="1"/>
  <c r="M240" i="1" a="1"/>
  <c r="M240" i="1" s="1"/>
  <c r="N220" i="1" a="1"/>
  <c r="N220" i="1" s="1"/>
  <c r="M220" i="1" a="1"/>
  <c r="M220" i="1" s="1"/>
  <c r="N200" i="1" a="1"/>
  <c r="N200" i="1" s="1"/>
  <c r="M200" i="1" a="1"/>
  <c r="M200" i="1" s="1"/>
  <c r="N180" i="1" a="1"/>
  <c r="N180" i="1" s="1"/>
  <c r="M180" i="1" a="1"/>
  <c r="M180" i="1" s="1"/>
  <c r="N160" i="1" a="1"/>
  <c r="N160" i="1" s="1"/>
  <c r="M160" i="1" a="1"/>
  <c r="M160" i="1" s="1"/>
  <c r="N140" i="1" a="1"/>
  <c r="N140" i="1" s="1"/>
  <c r="M140" i="1" a="1"/>
  <c r="M140" i="1" s="1"/>
  <c r="N120" i="1" a="1"/>
  <c r="N120" i="1" s="1"/>
  <c r="M120" i="1" a="1"/>
  <c r="M120" i="1" s="1"/>
  <c r="N100" i="1" a="1"/>
  <c r="N100" i="1" s="1"/>
  <c r="M100" i="1" a="1"/>
  <c r="M100" i="1" s="1"/>
  <c r="N80" i="1" a="1"/>
  <c r="N80" i="1" s="1"/>
  <c r="M80" i="1" a="1"/>
  <c r="M80" i="1" s="1"/>
  <c r="N60" i="1" a="1"/>
  <c r="N60" i="1" s="1"/>
  <c r="M60" i="1" a="1"/>
  <c r="M60" i="1" s="1"/>
  <c r="N40" i="1" a="1"/>
  <c r="N40" i="1" s="1"/>
  <c r="M40" i="1" a="1"/>
  <c r="M40" i="1" s="1"/>
  <c r="N20" i="1" a="1"/>
  <c r="N20" i="1" s="1"/>
  <c r="M20" i="1" a="1"/>
  <c r="M20" i="1" s="1"/>
  <c r="N1826" i="1" a="1"/>
  <c r="N1826" i="1" s="1"/>
  <c r="M1826" i="1" a="1"/>
  <c r="M1826" i="1" s="1"/>
  <c r="N1806" i="1" a="1"/>
  <c r="N1806" i="1" s="1"/>
  <c r="M1806" i="1" a="1"/>
  <c r="M1806" i="1" s="1"/>
  <c r="N1786" i="1" a="1"/>
  <c r="N1786" i="1" s="1"/>
  <c r="M1786" i="1" a="1"/>
  <c r="M1786" i="1" s="1"/>
  <c r="N1766" i="1" a="1"/>
  <c r="N1766" i="1" s="1"/>
  <c r="M1766" i="1" a="1"/>
  <c r="M1766" i="1" s="1"/>
  <c r="N1746" i="1" a="1"/>
  <c r="N1746" i="1" s="1"/>
  <c r="M1746" i="1" a="1"/>
  <c r="M1746" i="1" s="1"/>
  <c r="N1726" i="1" a="1"/>
  <c r="N1726" i="1" s="1"/>
  <c r="M1726" i="1" a="1"/>
  <c r="M1726" i="1" s="1"/>
  <c r="N1706" i="1" a="1"/>
  <c r="N1706" i="1" s="1"/>
  <c r="M1706" i="1" a="1"/>
  <c r="M1706" i="1" s="1"/>
  <c r="N1686" i="1" a="1"/>
  <c r="N1686" i="1" s="1"/>
  <c r="M1686" i="1" a="1"/>
  <c r="M1686" i="1" s="1"/>
  <c r="N1666" i="1" a="1"/>
  <c r="N1666" i="1" s="1"/>
  <c r="M1666" i="1" a="1"/>
  <c r="M1666" i="1" s="1"/>
  <c r="N1646" i="1" a="1"/>
  <c r="N1646" i="1" s="1"/>
  <c r="M1646" i="1" a="1"/>
  <c r="M1646" i="1" s="1"/>
  <c r="N1626" i="1" a="1"/>
  <c r="N1626" i="1" s="1"/>
  <c r="M1626" i="1" a="1"/>
  <c r="M1626" i="1" s="1"/>
  <c r="N1606" i="1" a="1"/>
  <c r="N1606" i="1" s="1"/>
  <c r="M1606" i="1" a="1"/>
  <c r="M1606" i="1" s="1"/>
  <c r="N1586" i="1" a="1"/>
  <c r="N1586" i="1" s="1"/>
  <c r="M1586" i="1" a="1"/>
  <c r="M1586" i="1" s="1"/>
  <c r="N1439" i="1" a="1"/>
  <c r="N1439" i="1" s="1"/>
  <c r="M1439" i="1" a="1"/>
  <c r="M1439" i="1" s="1"/>
  <c r="N1419" i="1" a="1"/>
  <c r="N1419" i="1" s="1"/>
  <c r="M1419" i="1" a="1"/>
  <c r="M1419" i="1" s="1"/>
  <c r="N1399" i="1" a="1"/>
  <c r="N1399" i="1" s="1"/>
  <c r="M1399" i="1" a="1"/>
  <c r="M1399" i="1" s="1"/>
  <c r="N1379" i="1" a="1"/>
  <c r="N1379" i="1" s="1"/>
  <c r="M1379" i="1" a="1"/>
  <c r="M1379" i="1" s="1"/>
  <c r="N1359" i="1" a="1"/>
  <c r="N1359" i="1" s="1"/>
  <c r="M1359" i="1" a="1"/>
  <c r="M1359" i="1" s="1"/>
  <c r="N1339" i="1" a="1"/>
  <c r="N1339" i="1" s="1"/>
  <c r="M1339" i="1" a="1"/>
  <c r="M1339" i="1" s="1"/>
  <c r="N1319" i="1" a="1"/>
  <c r="N1319" i="1" s="1"/>
  <c r="M1319" i="1" a="1"/>
  <c r="M1319" i="1" s="1"/>
  <c r="N1299" i="1" a="1"/>
  <c r="N1299" i="1" s="1"/>
  <c r="M1299" i="1" a="1"/>
  <c r="M1299" i="1" s="1"/>
  <c r="N1279" i="1" a="1"/>
  <c r="N1279" i="1" s="1"/>
  <c r="M1279" i="1" a="1"/>
  <c r="M1279" i="1" s="1"/>
  <c r="N1259" i="1" a="1"/>
  <c r="N1259" i="1" s="1"/>
  <c r="M1259" i="1" a="1"/>
  <c r="M1259" i="1" s="1"/>
  <c r="N1239" i="1" a="1"/>
  <c r="N1239" i="1" s="1"/>
  <c r="M1239" i="1" a="1"/>
  <c r="M1239" i="1" s="1"/>
  <c r="N1219" i="1" a="1"/>
  <c r="N1219" i="1" s="1"/>
  <c r="M1219" i="1" a="1"/>
  <c r="M1219" i="1" s="1"/>
  <c r="N1199" i="1" a="1"/>
  <c r="N1199" i="1" s="1"/>
  <c r="M1199" i="1" a="1"/>
  <c r="M1199" i="1" s="1"/>
  <c r="N1179" i="1" a="1"/>
  <c r="N1179" i="1" s="1"/>
  <c r="M1179" i="1" a="1"/>
  <c r="M1179" i="1" s="1"/>
  <c r="N1159" i="1" a="1"/>
  <c r="N1159" i="1" s="1"/>
  <c r="M1159" i="1" a="1"/>
  <c r="M1159" i="1" s="1"/>
  <c r="N1139" i="1" a="1"/>
  <c r="N1139" i="1" s="1"/>
  <c r="M1139" i="1" a="1"/>
  <c r="M1139" i="1" s="1"/>
  <c r="N1119" i="1" a="1"/>
  <c r="N1119" i="1" s="1"/>
  <c r="M1119" i="1" a="1"/>
  <c r="M1119" i="1" s="1"/>
  <c r="N1099" i="1" a="1"/>
  <c r="N1099" i="1" s="1"/>
  <c r="M1099" i="1" a="1"/>
  <c r="M1099" i="1" s="1"/>
  <c r="N1079" i="1" a="1"/>
  <c r="N1079" i="1" s="1"/>
  <c r="M1079" i="1" a="1"/>
  <c r="M1079" i="1" s="1"/>
  <c r="N1059" i="1" a="1"/>
  <c r="N1059" i="1" s="1"/>
  <c r="M1059" i="1" a="1"/>
  <c r="M1059" i="1" s="1"/>
  <c r="N1039" i="1" a="1"/>
  <c r="N1039" i="1" s="1"/>
  <c r="M1039" i="1" a="1"/>
  <c r="M1039" i="1" s="1"/>
  <c r="N1019" i="1" a="1"/>
  <c r="N1019" i="1" s="1"/>
  <c r="M1019" i="1" a="1"/>
  <c r="M1019" i="1" s="1"/>
  <c r="N999" i="1" a="1"/>
  <c r="N999" i="1" s="1"/>
  <c r="M999" i="1" a="1"/>
  <c r="M999" i="1" s="1"/>
  <c r="N979" i="1" a="1"/>
  <c r="N979" i="1" s="1"/>
  <c r="M979" i="1" a="1"/>
  <c r="M979" i="1" s="1"/>
  <c r="N959" i="1" a="1"/>
  <c r="N959" i="1" s="1"/>
  <c r="M959" i="1" a="1"/>
  <c r="M959" i="1" s="1"/>
  <c r="N939" i="1" a="1"/>
  <c r="N939" i="1" s="1"/>
  <c r="M939" i="1" a="1"/>
  <c r="M939" i="1" s="1"/>
  <c r="N919" i="1" a="1"/>
  <c r="N919" i="1" s="1"/>
  <c r="M919" i="1" a="1"/>
  <c r="M919" i="1" s="1"/>
  <c r="N899" i="1" a="1"/>
  <c r="N899" i="1" s="1"/>
  <c r="M899" i="1" a="1"/>
  <c r="M899" i="1" s="1"/>
  <c r="N879" i="1" a="1"/>
  <c r="N879" i="1" s="1"/>
  <c r="M879" i="1" a="1"/>
  <c r="M879" i="1" s="1"/>
  <c r="N859" i="1" a="1"/>
  <c r="N859" i="1" s="1"/>
  <c r="M859" i="1" a="1"/>
  <c r="M859" i="1" s="1"/>
  <c r="N839" i="1" a="1"/>
  <c r="N839" i="1" s="1"/>
  <c r="M839" i="1" a="1"/>
  <c r="M839" i="1" s="1"/>
  <c r="N819" i="1" a="1"/>
  <c r="N819" i="1" s="1"/>
  <c r="M819" i="1" a="1"/>
  <c r="M819" i="1" s="1"/>
  <c r="N799" i="1" a="1"/>
  <c r="N799" i="1" s="1"/>
  <c r="M799" i="1" a="1"/>
  <c r="M799" i="1" s="1"/>
  <c r="N779" i="1" a="1"/>
  <c r="N779" i="1" s="1"/>
  <c r="M779" i="1" a="1"/>
  <c r="M779" i="1" s="1"/>
  <c r="N759" i="1" a="1"/>
  <c r="N759" i="1" s="1"/>
  <c r="M759" i="1" a="1"/>
  <c r="M759" i="1" s="1"/>
  <c r="N739" i="1" a="1"/>
  <c r="N739" i="1" s="1"/>
  <c r="M739" i="1" a="1"/>
  <c r="M739" i="1" s="1"/>
  <c r="N719" i="1" a="1"/>
  <c r="N719" i="1" s="1"/>
  <c r="M719" i="1" a="1"/>
  <c r="M719" i="1" s="1"/>
  <c r="N699" i="1" a="1"/>
  <c r="N699" i="1" s="1"/>
  <c r="M699" i="1" a="1"/>
  <c r="M699" i="1" s="1"/>
  <c r="N679" i="1" a="1"/>
  <c r="N679" i="1" s="1"/>
  <c r="M679" i="1" a="1"/>
  <c r="M679" i="1" s="1"/>
  <c r="N659" i="1" a="1"/>
  <c r="N659" i="1" s="1"/>
  <c r="M659" i="1" a="1"/>
  <c r="M659" i="1" s="1"/>
  <c r="N639" i="1" a="1"/>
  <c r="N639" i="1" s="1"/>
  <c r="M639" i="1" a="1"/>
  <c r="M639" i="1" s="1"/>
  <c r="N619" i="1" a="1"/>
  <c r="N619" i="1" s="1"/>
  <c r="M619" i="1" a="1"/>
  <c r="M619" i="1" s="1"/>
  <c r="N599" i="1" a="1"/>
  <c r="N599" i="1" s="1"/>
  <c r="M599" i="1" a="1"/>
  <c r="M599" i="1" s="1"/>
  <c r="N579" i="1" a="1"/>
  <c r="N579" i="1" s="1"/>
  <c r="M579" i="1" a="1"/>
  <c r="M579" i="1" s="1"/>
  <c r="N559" i="1" a="1"/>
  <c r="N559" i="1" s="1"/>
  <c r="M559" i="1" a="1"/>
  <c r="M559" i="1" s="1"/>
  <c r="N539" i="1" a="1"/>
  <c r="N539" i="1" s="1"/>
  <c r="M539" i="1" a="1"/>
  <c r="M539" i="1" s="1"/>
  <c r="N519" i="1" a="1"/>
  <c r="N519" i="1" s="1"/>
  <c r="M519" i="1" a="1"/>
  <c r="M519" i="1" s="1"/>
  <c r="N499" i="1" a="1"/>
  <c r="N499" i="1" s="1"/>
  <c r="M499" i="1" a="1"/>
  <c r="M499" i="1" s="1"/>
  <c r="N479" i="1" a="1"/>
  <c r="N479" i="1" s="1"/>
  <c r="M479" i="1" a="1"/>
  <c r="M479" i="1" s="1"/>
  <c r="N459" i="1" a="1"/>
  <c r="N459" i="1" s="1"/>
  <c r="M459" i="1" a="1"/>
  <c r="M459" i="1" s="1"/>
  <c r="N439" i="1" a="1"/>
  <c r="N439" i="1" s="1"/>
  <c r="M439" i="1" a="1"/>
  <c r="M439" i="1" s="1"/>
  <c r="N419" i="1" a="1"/>
  <c r="N419" i="1" s="1"/>
  <c r="M419" i="1" a="1"/>
  <c r="M419" i="1" s="1"/>
  <c r="N399" i="1" a="1"/>
  <c r="N399" i="1" s="1"/>
  <c r="M399" i="1" a="1"/>
  <c r="M399" i="1" s="1"/>
  <c r="N379" i="1" a="1"/>
  <c r="N379" i="1" s="1"/>
  <c r="M379" i="1" a="1"/>
  <c r="M379" i="1" s="1"/>
  <c r="N359" i="1" a="1"/>
  <c r="N359" i="1" s="1"/>
  <c r="M359" i="1" a="1"/>
  <c r="M359" i="1" s="1"/>
  <c r="N339" i="1" a="1"/>
  <c r="N339" i="1" s="1"/>
  <c r="M339" i="1" a="1"/>
  <c r="M339" i="1" s="1"/>
  <c r="N319" i="1" a="1"/>
  <c r="N319" i="1" s="1"/>
  <c r="M319" i="1" a="1"/>
  <c r="M319" i="1" s="1"/>
  <c r="N299" i="1" a="1"/>
  <c r="N299" i="1" s="1"/>
  <c r="M299" i="1" a="1"/>
  <c r="M299" i="1" s="1"/>
  <c r="N279" i="1" a="1"/>
  <c r="N279" i="1" s="1"/>
  <c r="M279" i="1" a="1"/>
  <c r="M279" i="1" s="1"/>
  <c r="N259" i="1" a="1"/>
  <c r="N259" i="1" s="1"/>
  <c r="M259" i="1" a="1"/>
  <c r="M259" i="1" s="1"/>
  <c r="N239" i="1" a="1"/>
  <c r="N239" i="1" s="1"/>
  <c r="M239" i="1" a="1"/>
  <c r="M239" i="1" s="1"/>
  <c r="N219" i="1" a="1"/>
  <c r="N219" i="1" s="1"/>
  <c r="M219" i="1" a="1"/>
  <c r="M219" i="1" s="1"/>
  <c r="N199" i="1" a="1"/>
  <c r="N199" i="1" s="1"/>
  <c r="M199" i="1" a="1"/>
  <c r="M199" i="1" s="1"/>
  <c r="N179" i="1" a="1"/>
  <c r="N179" i="1" s="1"/>
  <c r="M179" i="1" a="1"/>
  <c r="M179" i="1" s="1"/>
  <c r="N159" i="1" a="1"/>
  <c r="N159" i="1" s="1"/>
  <c r="M159" i="1" a="1"/>
  <c r="M159" i="1" s="1"/>
  <c r="N139" i="1" a="1"/>
  <c r="N139" i="1" s="1"/>
  <c r="M139" i="1" a="1"/>
  <c r="M139" i="1" s="1"/>
  <c r="N119" i="1" a="1"/>
  <c r="N119" i="1" s="1"/>
  <c r="M119" i="1" a="1"/>
  <c r="M119" i="1" s="1"/>
  <c r="N99" i="1" a="1"/>
  <c r="N99" i="1" s="1"/>
  <c r="M99" i="1" a="1"/>
  <c r="M99" i="1" s="1"/>
  <c r="N79" i="1" a="1"/>
  <c r="N79" i="1" s="1"/>
  <c r="M79" i="1" a="1"/>
  <c r="M79" i="1" s="1"/>
  <c r="N59" i="1" a="1"/>
  <c r="N59" i="1" s="1"/>
  <c r="M59" i="1" a="1"/>
  <c r="M59" i="1" s="1"/>
  <c r="N39" i="1" a="1"/>
  <c r="N39" i="1" s="1"/>
  <c r="M39" i="1" a="1"/>
  <c r="M39" i="1" s="1"/>
  <c r="N19" i="1" a="1"/>
  <c r="N19" i="1" s="1"/>
  <c r="M19" i="1" a="1"/>
  <c r="M19" i="1" s="1"/>
  <c r="N1668" i="1" a="1"/>
  <c r="N1668" i="1" s="1"/>
  <c r="M1668" i="1" a="1"/>
  <c r="M1668" i="1" s="1"/>
  <c r="N1608" i="1" a="1"/>
  <c r="N1608" i="1" s="1"/>
  <c r="M1608" i="1" a="1"/>
  <c r="M1608" i="1" s="1"/>
  <c r="N1421" i="1" a="1"/>
  <c r="N1421" i="1" s="1"/>
  <c r="M1421" i="1" a="1"/>
  <c r="M1421" i="1" s="1"/>
  <c r="N1341" i="1" a="1"/>
  <c r="N1341" i="1" s="1"/>
  <c r="M1341" i="1" a="1"/>
  <c r="M1341" i="1" s="1"/>
  <c r="N1281" i="1" a="1"/>
  <c r="N1281" i="1" s="1"/>
  <c r="M1281" i="1" a="1"/>
  <c r="M1281" i="1" s="1"/>
  <c r="N1221" i="1" a="1"/>
  <c r="N1221" i="1" s="1"/>
  <c r="M1221" i="1" a="1"/>
  <c r="M1221" i="1" s="1"/>
  <c r="N1161" i="1" a="1"/>
  <c r="N1161" i="1" s="1"/>
  <c r="M1161" i="1" a="1"/>
  <c r="M1161" i="1" s="1"/>
  <c r="N1121" i="1" a="1"/>
  <c r="N1121" i="1" s="1"/>
  <c r="M1121" i="1" a="1"/>
  <c r="M1121" i="1" s="1"/>
  <c r="N1061" i="1" a="1"/>
  <c r="N1061" i="1" s="1"/>
  <c r="M1061" i="1" a="1"/>
  <c r="M1061" i="1" s="1"/>
  <c r="N1021" i="1" a="1"/>
  <c r="N1021" i="1" s="1"/>
  <c r="M1021" i="1" a="1"/>
  <c r="M1021" i="1" s="1"/>
  <c r="N981" i="1" a="1"/>
  <c r="N981" i="1" s="1"/>
  <c r="M981" i="1" a="1"/>
  <c r="M981" i="1" s="1"/>
  <c r="N941" i="1" a="1"/>
  <c r="N941" i="1" s="1"/>
  <c r="M941" i="1" a="1"/>
  <c r="M941" i="1" s="1"/>
  <c r="N881" i="1" a="1"/>
  <c r="N881" i="1" s="1"/>
  <c r="M881" i="1" a="1"/>
  <c r="M881" i="1" s="1"/>
  <c r="N821" i="1" a="1"/>
  <c r="N821" i="1" s="1"/>
  <c r="M821" i="1" a="1"/>
  <c r="M821" i="1" s="1"/>
  <c r="N781" i="1" a="1"/>
  <c r="N781" i="1" s="1"/>
  <c r="M781" i="1" a="1"/>
  <c r="M781" i="1" s="1"/>
  <c r="N721" i="1" a="1"/>
  <c r="N721" i="1" s="1"/>
  <c r="M721" i="1" a="1"/>
  <c r="M721" i="1" s="1"/>
  <c r="N681" i="1" a="1"/>
  <c r="N681" i="1" s="1"/>
  <c r="M681" i="1" a="1"/>
  <c r="M681" i="1" s="1"/>
  <c r="N661" i="1" a="1"/>
  <c r="N661" i="1" s="1"/>
  <c r="M661" i="1" a="1"/>
  <c r="M661" i="1" s="1"/>
  <c r="N621" i="1" a="1"/>
  <c r="N621" i="1" s="1"/>
  <c r="M621" i="1" a="1"/>
  <c r="M621" i="1" s="1"/>
  <c r="N581" i="1" a="1"/>
  <c r="N581" i="1" s="1"/>
  <c r="M581" i="1" a="1"/>
  <c r="M581" i="1" s="1"/>
  <c r="N541" i="1" a="1"/>
  <c r="N541" i="1" s="1"/>
  <c r="M541" i="1" a="1"/>
  <c r="M541" i="1" s="1"/>
  <c r="N501" i="1" a="1"/>
  <c r="N501" i="1" s="1"/>
  <c r="M501" i="1" a="1"/>
  <c r="M501" i="1" s="1"/>
  <c r="N481" i="1" a="1"/>
  <c r="N481" i="1" s="1"/>
  <c r="M481" i="1" a="1"/>
  <c r="M481" i="1" s="1"/>
  <c r="N441" i="1" a="1"/>
  <c r="N441" i="1" s="1"/>
  <c r="M441" i="1" a="1"/>
  <c r="M441" i="1" s="1"/>
  <c r="N381" i="1" a="1"/>
  <c r="N381" i="1" s="1"/>
  <c r="M381" i="1" a="1"/>
  <c r="M381" i="1" s="1"/>
  <c r="N321" i="1" a="1"/>
  <c r="N321" i="1" s="1"/>
  <c r="M321" i="1" a="1"/>
  <c r="M321" i="1" s="1"/>
  <c r="N41" i="1" a="1"/>
  <c r="N41" i="1" s="1"/>
  <c r="M41" i="1" a="1"/>
  <c r="M41" i="1" s="1"/>
  <c r="N1825" i="1" a="1"/>
  <c r="N1825" i="1" s="1"/>
  <c r="M1825" i="1" a="1"/>
  <c r="M1825" i="1" s="1"/>
  <c r="N1805" i="1" a="1"/>
  <c r="N1805" i="1" s="1"/>
  <c r="M1805" i="1" a="1"/>
  <c r="M1805" i="1" s="1"/>
  <c r="N1785" i="1" a="1"/>
  <c r="N1785" i="1" s="1"/>
  <c r="M1785" i="1" a="1"/>
  <c r="M1785" i="1" s="1"/>
  <c r="N1765" i="1" a="1"/>
  <c r="N1765" i="1" s="1"/>
  <c r="M1765" i="1" a="1"/>
  <c r="M1765" i="1" s="1"/>
  <c r="N1745" i="1" a="1"/>
  <c r="N1745" i="1" s="1"/>
  <c r="M1745" i="1" a="1"/>
  <c r="M1745" i="1" s="1"/>
  <c r="N1725" i="1" a="1"/>
  <c r="N1725" i="1" s="1"/>
  <c r="M1725" i="1" a="1"/>
  <c r="M1725" i="1" s="1"/>
  <c r="N1705" i="1" a="1"/>
  <c r="N1705" i="1" s="1"/>
  <c r="M1705" i="1" a="1"/>
  <c r="M1705" i="1" s="1"/>
  <c r="N1685" i="1" a="1"/>
  <c r="N1685" i="1" s="1"/>
  <c r="M1685" i="1" a="1"/>
  <c r="M1685" i="1" s="1"/>
  <c r="N1665" i="1" a="1"/>
  <c r="N1665" i="1" s="1"/>
  <c r="M1665" i="1" a="1"/>
  <c r="M1665" i="1" s="1"/>
  <c r="N1645" i="1" a="1"/>
  <c r="N1645" i="1" s="1"/>
  <c r="M1645" i="1" a="1"/>
  <c r="M1645" i="1" s="1"/>
  <c r="N1625" i="1" a="1"/>
  <c r="N1625" i="1" s="1"/>
  <c r="M1625" i="1" a="1"/>
  <c r="M1625" i="1" s="1"/>
  <c r="N1605" i="1" a="1"/>
  <c r="N1605" i="1" s="1"/>
  <c r="M1605" i="1" a="1"/>
  <c r="M1605" i="1" s="1"/>
  <c r="N1585" i="1" a="1"/>
  <c r="N1585" i="1" s="1"/>
  <c r="M1585" i="1" a="1"/>
  <c r="M1585" i="1" s="1"/>
  <c r="N1438" i="1" a="1"/>
  <c r="N1438" i="1" s="1"/>
  <c r="M1438" i="1" a="1"/>
  <c r="M1438" i="1" s="1"/>
  <c r="N1418" i="1" a="1"/>
  <c r="N1418" i="1" s="1"/>
  <c r="M1418" i="1" a="1"/>
  <c r="M1418" i="1" s="1"/>
  <c r="N1398" i="1" a="1"/>
  <c r="N1398" i="1" s="1"/>
  <c r="M1398" i="1" a="1"/>
  <c r="M1398" i="1" s="1"/>
  <c r="N1378" i="1" a="1"/>
  <c r="N1378" i="1" s="1"/>
  <c r="M1378" i="1" a="1"/>
  <c r="M1378" i="1" s="1"/>
  <c r="N1358" i="1" a="1"/>
  <c r="N1358" i="1" s="1"/>
  <c r="M1358" i="1" a="1"/>
  <c r="M1358" i="1" s="1"/>
  <c r="N1338" i="1" a="1"/>
  <c r="N1338" i="1" s="1"/>
  <c r="M1338" i="1" a="1"/>
  <c r="M1338" i="1" s="1"/>
  <c r="N1318" i="1" a="1"/>
  <c r="N1318" i="1" s="1"/>
  <c r="M1318" i="1" a="1"/>
  <c r="M1318" i="1" s="1"/>
  <c r="N1298" i="1" a="1"/>
  <c r="N1298" i="1" s="1"/>
  <c r="M1298" i="1" a="1"/>
  <c r="M1298" i="1" s="1"/>
  <c r="N1278" i="1" a="1"/>
  <c r="N1278" i="1" s="1"/>
  <c r="M1278" i="1" a="1"/>
  <c r="M1278" i="1" s="1"/>
  <c r="N1258" i="1" a="1"/>
  <c r="N1258" i="1" s="1"/>
  <c r="M1258" i="1" a="1"/>
  <c r="M1258" i="1" s="1"/>
  <c r="N1238" i="1" a="1"/>
  <c r="N1238" i="1" s="1"/>
  <c r="M1238" i="1" a="1"/>
  <c r="M1238" i="1" s="1"/>
  <c r="N1218" i="1" a="1"/>
  <c r="N1218" i="1" s="1"/>
  <c r="M1218" i="1" a="1"/>
  <c r="M1218" i="1" s="1"/>
  <c r="N1198" i="1" a="1"/>
  <c r="N1198" i="1" s="1"/>
  <c r="M1198" i="1" a="1"/>
  <c r="M1198" i="1" s="1"/>
  <c r="N1178" i="1" a="1"/>
  <c r="N1178" i="1" s="1"/>
  <c r="M1178" i="1" a="1"/>
  <c r="M1178" i="1" s="1"/>
  <c r="N1158" i="1" a="1"/>
  <c r="N1158" i="1" s="1"/>
  <c r="M1158" i="1" a="1"/>
  <c r="M1158" i="1" s="1"/>
  <c r="N1138" i="1" a="1"/>
  <c r="N1138" i="1" s="1"/>
  <c r="M1138" i="1" a="1"/>
  <c r="M1138" i="1" s="1"/>
  <c r="N1118" i="1" a="1"/>
  <c r="N1118" i="1" s="1"/>
  <c r="M1118" i="1" a="1"/>
  <c r="M1118" i="1" s="1"/>
  <c r="N1098" i="1" a="1"/>
  <c r="N1098" i="1" s="1"/>
  <c r="M1098" i="1" a="1"/>
  <c r="M1098" i="1" s="1"/>
  <c r="N1078" i="1" a="1"/>
  <c r="N1078" i="1" s="1"/>
  <c r="M1078" i="1" a="1"/>
  <c r="M1078" i="1" s="1"/>
  <c r="N1058" i="1" a="1"/>
  <c r="N1058" i="1" s="1"/>
  <c r="M1058" i="1" a="1"/>
  <c r="M1058" i="1" s="1"/>
  <c r="N1038" i="1" a="1"/>
  <c r="N1038" i="1" s="1"/>
  <c r="M1038" i="1" a="1"/>
  <c r="M1038" i="1" s="1"/>
  <c r="N1018" i="1" a="1"/>
  <c r="N1018" i="1" s="1"/>
  <c r="M1018" i="1" a="1"/>
  <c r="M1018" i="1" s="1"/>
  <c r="N998" i="1" a="1"/>
  <c r="N998" i="1" s="1"/>
  <c r="M998" i="1" a="1"/>
  <c r="M998" i="1" s="1"/>
  <c r="N978" i="1" a="1"/>
  <c r="N978" i="1" s="1"/>
  <c r="M978" i="1" a="1"/>
  <c r="M978" i="1" s="1"/>
  <c r="N958" i="1" a="1"/>
  <c r="N958" i="1" s="1"/>
  <c r="M958" i="1" a="1"/>
  <c r="M958" i="1" s="1"/>
  <c r="N938" i="1" a="1"/>
  <c r="N938" i="1" s="1"/>
  <c r="M938" i="1" a="1"/>
  <c r="M938" i="1" s="1"/>
  <c r="N918" i="1" a="1"/>
  <c r="N918" i="1" s="1"/>
  <c r="M918" i="1" a="1"/>
  <c r="M918" i="1" s="1"/>
  <c r="N898" i="1" a="1"/>
  <c r="N898" i="1" s="1"/>
  <c r="M898" i="1" a="1"/>
  <c r="M898" i="1" s="1"/>
  <c r="N878" i="1" a="1"/>
  <c r="N878" i="1" s="1"/>
  <c r="M878" i="1" a="1"/>
  <c r="M878" i="1" s="1"/>
  <c r="N858" i="1" a="1"/>
  <c r="N858" i="1" s="1"/>
  <c r="M858" i="1" a="1"/>
  <c r="M858" i="1" s="1"/>
  <c r="N838" i="1" a="1"/>
  <c r="N838" i="1" s="1"/>
  <c r="M838" i="1" a="1"/>
  <c r="M838" i="1" s="1"/>
  <c r="N818" i="1" a="1"/>
  <c r="N818" i="1" s="1"/>
  <c r="M818" i="1" a="1"/>
  <c r="M818" i="1" s="1"/>
  <c r="N798" i="1" a="1"/>
  <c r="N798" i="1" s="1"/>
  <c r="M798" i="1" a="1"/>
  <c r="M798" i="1" s="1"/>
  <c r="N778" i="1" a="1"/>
  <c r="N778" i="1" s="1"/>
  <c r="M778" i="1" a="1"/>
  <c r="M778" i="1" s="1"/>
  <c r="N758" i="1" a="1"/>
  <c r="N758" i="1" s="1"/>
  <c r="M758" i="1" a="1"/>
  <c r="M758" i="1" s="1"/>
  <c r="N738" i="1" a="1"/>
  <c r="N738" i="1" s="1"/>
  <c r="M738" i="1" a="1"/>
  <c r="M738" i="1" s="1"/>
  <c r="N718" i="1" a="1"/>
  <c r="N718" i="1" s="1"/>
  <c r="M718" i="1" a="1"/>
  <c r="M718" i="1" s="1"/>
  <c r="N698" i="1" a="1"/>
  <c r="N698" i="1" s="1"/>
  <c r="M698" i="1" a="1"/>
  <c r="M698" i="1" s="1"/>
  <c r="N678" i="1" a="1"/>
  <c r="N678" i="1" s="1"/>
  <c r="M678" i="1" a="1"/>
  <c r="M678" i="1" s="1"/>
  <c r="N658" i="1" a="1"/>
  <c r="N658" i="1" s="1"/>
  <c r="M658" i="1" a="1"/>
  <c r="M658" i="1" s="1"/>
  <c r="N638" i="1" a="1"/>
  <c r="N638" i="1" s="1"/>
  <c r="M638" i="1" a="1"/>
  <c r="M638" i="1" s="1"/>
  <c r="N618" i="1" a="1"/>
  <c r="N618" i="1" s="1"/>
  <c r="M618" i="1" a="1"/>
  <c r="M618" i="1" s="1"/>
  <c r="N598" i="1" a="1"/>
  <c r="N598" i="1" s="1"/>
  <c r="M598" i="1" a="1"/>
  <c r="M598" i="1" s="1"/>
  <c r="N578" i="1" a="1"/>
  <c r="N578" i="1" s="1"/>
  <c r="M578" i="1" a="1"/>
  <c r="M578" i="1" s="1"/>
  <c r="N558" i="1" a="1"/>
  <c r="N558" i="1" s="1"/>
  <c r="M558" i="1" a="1"/>
  <c r="M558" i="1" s="1"/>
  <c r="N538" i="1" a="1"/>
  <c r="N538" i="1" s="1"/>
  <c r="M538" i="1" a="1"/>
  <c r="M538" i="1" s="1"/>
  <c r="N518" i="1" a="1"/>
  <c r="N518" i="1" s="1"/>
  <c r="M518" i="1" a="1"/>
  <c r="M518" i="1" s="1"/>
  <c r="N498" i="1" a="1"/>
  <c r="N498" i="1" s="1"/>
  <c r="M498" i="1" a="1"/>
  <c r="M498" i="1" s="1"/>
  <c r="N478" i="1" a="1"/>
  <c r="N478" i="1" s="1"/>
  <c r="M478" i="1" a="1"/>
  <c r="M478" i="1" s="1"/>
  <c r="N458" i="1" a="1"/>
  <c r="N458" i="1" s="1"/>
  <c r="M458" i="1" a="1"/>
  <c r="M458" i="1" s="1"/>
  <c r="N438" i="1" a="1"/>
  <c r="N438" i="1" s="1"/>
  <c r="M438" i="1" a="1"/>
  <c r="M438" i="1" s="1"/>
  <c r="N418" i="1" a="1"/>
  <c r="N418" i="1" s="1"/>
  <c r="M418" i="1" a="1"/>
  <c r="M418" i="1" s="1"/>
  <c r="N398" i="1" a="1"/>
  <c r="N398" i="1" s="1"/>
  <c r="M398" i="1" a="1"/>
  <c r="M398" i="1" s="1"/>
  <c r="N378" i="1" a="1"/>
  <c r="N378" i="1" s="1"/>
  <c r="M378" i="1" a="1"/>
  <c r="M378" i="1" s="1"/>
  <c r="N358" i="1" a="1"/>
  <c r="N358" i="1" s="1"/>
  <c r="M358" i="1" a="1"/>
  <c r="M358" i="1" s="1"/>
  <c r="N338" i="1" a="1"/>
  <c r="N338" i="1" s="1"/>
  <c r="M338" i="1" a="1"/>
  <c r="M338" i="1" s="1"/>
  <c r="N318" i="1" a="1"/>
  <c r="N318" i="1" s="1"/>
  <c r="M318" i="1" a="1"/>
  <c r="M318" i="1" s="1"/>
  <c r="N298" i="1" a="1"/>
  <c r="N298" i="1" s="1"/>
  <c r="M298" i="1" a="1"/>
  <c r="M298" i="1" s="1"/>
  <c r="N278" i="1" a="1"/>
  <c r="N278" i="1" s="1"/>
  <c r="M278" i="1" a="1"/>
  <c r="M278" i="1" s="1"/>
  <c r="N258" i="1" a="1"/>
  <c r="N258" i="1" s="1"/>
  <c r="M258" i="1" a="1"/>
  <c r="M258" i="1" s="1"/>
  <c r="N238" i="1" a="1"/>
  <c r="N238" i="1" s="1"/>
  <c r="M238" i="1" a="1"/>
  <c r="M238" i="1" s="1"/>
  <c r="N218" i="1" a="1"/>
  <c r="N218" i="1" s="1"/>
  <c r="M218" i="1" a="1"/>
  <c r="M218" i="1" s="1"/>
  <c r="N198" i="1" a="1"/>
  <c r="N198" i="1" s="1"/>
  <c r="M198" i="1" a="1"/>
  <c r="M198" i="1" s="1"/>
  <c r="N178" i="1" a="1"/>
  <c r="N178" i="1" s="1"/>
  <c r="M178" i="1" a="1"/>
  <c r="M178" i="1" s="1"/>
  <c r="N158" i="1" a="1"/>
  <c r="N158" i="1" s="1"/>
  <c r="M158" i="1" a="1"/>
  <c r="M158" i="1" s="1"/>
  <c r="N138" i="1" a="1"/>
  <c r="N138" i="1" s="1"/>
  <c r="M138" i="1" a="1"/>
  <c r="M138" i="1" s="1"/>
  <c r="N118" i="1" a="1"/>
  <c r="N118" i="1" s="1"/>
  <c r="M118" i="1" a="1"/>
  <c r="M118" i="1" s="1"/>
  <c r="N98" i="1" a="1"/>
  <c r="N98" i="1" s="1"/>
  <c r="M98" i="1" a="1"/>
  <c r="M98" i="1" s="1"/>
  <c r="N78" i="1" a="1"/>
  <c r="N78" i="1" s="1"/>
  <c r="M78" i="1" a="1"/>
  <c r="M78" i="1" s="1"/>
  <c r="N58" i="1" a="1"/>
  <c r="N58" i="1" s="1"/>
  <c r="M58" i="1" a="1"/>
  <c r="M58" i="1" s="1"/>
  <c r="N38" i="1" a="1"/>
  <c r="N38" i="1" s="1"/>
  <c r="M38" i="1" a="1"/>
  <c r="M38" i="1" s="1"/>
  <c r="N18" i="1" a="1"/>
  <c r="N18" i="1" s="1"/>
  <c r="M18" i="1" a="1"/>
  <c r="M18" i="1" s="1"/>
  <c r="N1824" i="1" a="1"/>
  <c r="N1824" i="1" s="1"/>
  <c r="M1824" i="1" a="1"/>
  <c r="M1824" i="1" s="1"/>
  <c r="N1804" i="1" a="1"/>
  <c r="N1804" i="1" s="1"/>
  <c r="M1804" i="1" a="1"/>
  <c r="M1804" i="1" s="1"/>
  <c r="N1784" i="1" a="1"/>
  <c r="N1784" i="1" s="1"/>
  <c r="M1784" i="1" a="1"/>
  <c r="M1784" i="1" s="1"/>
  <c r="N1764" i="1" a="1"/>
  <c r="N1764" i="1" s="1"/>
  <c r="M1764" i="1" a="1"/>
  <c r="M1764" i="1" s="1"/>
  <c r="N1744" i="1" a="1"/>
  <c r="N1744" i="1" s="1"/>
  <c r="M1744" i="1" a="1"/>
  <c r="M1744" i="1" s="1"/>
  <c r="N1724" i="1" a="1"/>
  <c r="N1724" i="1" s="1"/>
  <c r="M1724" i="1" a="1"/>
  <c r="M1724" i="1" s="1"/>
  <c r="N1704" i="1" a="1"/>
  <c r="N1704" i="1" s="1"/>
  <c r="M1704" i="1" a="1"/>
  <c r="M1704" i="1" s="1"/>
  <c r="N1684" i="1" a="1"/>
  <c r="N1684" i="1" s="1"/>
  <c r="M1684" i="1" a="1"/>
  <c r="M1684" i="1" s="1"/>
  <c r="N1664" i="1" a="1"/>
  <c r="N1664" i="1" s="1"/>
  <c r="M1664" i="1" a="1"/>
  <c r="M1664" i="1" s="1"/>
  <c r="N1644" i="1" a="1"/>
  <c r="N1644" i="1" s="1"/>
  <c r="M1644" i="1" a="1"/>
  <c r="M1644" i="1" s="1"/>
  <c r="N1624" i="1" a="1"/>
  <c r="N1624" i="1" s="1"/>
  <c r="M1624" i="1" a="1"/>
  <c r="M1624" i="1" s="1"/>
  <c r="N1604" i="1" a="1"/>
  <c r="N1604" i="1" s="1"/>
  <c r="M1604" i="1" a="1"/>
  <c r="M1604" i="1" s="1"/>
  <c r="N1584" i="1" a="1"/>
  <c r="N1584" i="1" s="1"/>
  <c r="M1584" i="1" a="1"/>
  <c r="M1584" i="1" s="1"/>
  <c r="N1437" i="1" a="1"/>
  <c r="N1437" i="1" s="1"/>
  <c r="M1437" i="1" a="1"/>
  <c r="M1437" i="1" s="1"/>
  <c r="N1417" i="1" a="1"/>
  <c r="N1417" i="1" s="1"/>
  <c r="M1417" i="1" a="1"/>
  <c r="M1417" i="1" s="1"/>
  <c r="N1397" i="1" a="1"/>
  <c r="N1397" i="1" s="1"/>
  <c r="M1397" i="1" a="1"/>
  <c r="M1397" i="1" s="1"/>
  <c r="N1377" i="1" a="1"/>
  <c r="N1377" i="1" s="1"/>
  <c r="M1377" i="1" a="1"/>
  <c r="M1377" i="1" s="1"/>
  <c r="N1357" i="1" a="1"/>
  <c r="N1357" i="1" s="1"/>
  <c r="M1357" i="1" a="1"/>
  <c r="M1357" i="1" s="1"/>
  <c r="N1337" i="1" a="1"/>
  <c r="N1337" i="1" s="1"/>
  <c r="M1337" i="1" a="1"/>
  <c r="M1337" i="1" s="1"/>
  <c r="N1317" i="1" a="1"/>
  <c r="N1317" i="1" s="1"/>
  <c r="M1317" i="1" a="1"/>
  <c r="M1317" i="1" s="1"/>
  <c r="N1297" i="1" a="1"/>
  <c r="N1297" i="1" s="1"/>
  <c r="M1297" i="1" a="1"/>
  <c r="M1297" i="1" s="1"/>
  <c r="N1277" i="1" a="1"/>
  <c r="N1277" i="1" s="1"/>
  <c r="M1277" i="1" a="1"/>
  <c r="M1277" i="1" s="1"/>
  <c r="N1257" i="1" a="1"/>
  <c r="N1257" i="1" s="1"/>
  <c r="M1257" i="1" a="1"/>
  <c r="M1257" i="1" s="1"/>
  <c r="N1237" i="1" a="1"/>
  <c r="N1237" i="1" s="1"/>
  <c r="M1237" i="1" a="1"/>
  <c r="M1237" i="1" s="1"/>
  <c r="N1217" i="1" a="1"/>
  <c r="N1217" i="1" s="1"/>
  <c r="M1217" i="1" a="1"/>
  <c r="M1217" i="1" s="1"/>
  <c r="N1197" i="1" a="1"/>
  <c r="N1197" i="1" s="1"/>
  <c r="M1197" i="1" a="1"/>
  <c r="M1197" i="1" s="1"/>
  <c r="N1177" i="1" a="1"/>
  <c r="N1177" i="1" s="1"/>
  <c r="M1177" i="1" a="1"/>
  <c r="M1177" i="1" s="1"/>
  <c r="N1157" i="1" a="1"/>
  <c r="N1157" i="1" s="1"/>
  <c r="M1157" i="1" a="1"/>
  <c r="M1157" i="1" s="1"/>
  <c r="N1137" i="1" a="1"/>
  <c r="N1137" i="1" s="1"/>
  <c r="M1137" i="1" a="1"/>
  <c r="M1137" i="1" s="1"/>
  <c r="N1117" i="1" a="1"/>
  <c r="N1117" i="1" s="1"/>
  <c r="M1117" i="1" a="1"/>
  <c r="M1117" i="1" s="1"/>
  <c r="N1097" i="1" a="1"/>
  <c r="N1097" i="1" s="1"/>
  <c r="M1097" i="1" a="1"/>
  <c r="M1097" i="1" s="1"/>
  <c r="N1077" i="1" a="1"/>
  <c r="N1077" i="1" s="1"/>
  <c r="M1077" i="1" a="1"/>
  <c r="M1077" i="1" s="1"/>
  <c r="N1057" i="1" a="1"/>
  <c r="N1057" i="1" s="1"/>
  <c r="M1057" i="1" a="1"/>
  <c r="M1057" i="1" s="1"/>
  <c r="N1037" i="1" a="1"/>
  <c r="N1037" i="1" s="1"/>
  <c r="M1037" i="1" a="1"/>
  <c r="M1037" i="1" s="1"/>
  <c r="N1017" i="1" a="1"/>
  <c r="N1017" i="1" s="1"/>
  <c r="M1017" i="1" a="1"/>
  <c r="M1017" i="1" s="1"/>
  <c r="N997" i="1" a="1"/>
  <c r="N997" i="1" s="1"/>
  <c r="M997" i="1" a="1"/>
  <c r="M997" i="1" s="1"/>
  <c r="N977" i="1" a="1"/>
  <c r="N977" i="1" s="1"/>
  <c r="M977" i="1" a="1"/>
  <c r="M977" i="1" s="1"/>
  <c r="N957" i="1" a="1"/>
  <c r="N957" i="1" s="1"/>
  <c r="M957" i="1" a="1"/>
  <c r="M957" i="1" s="1"/>
  <c r="N937" i="1" a="1"/>
  <c r="N937" i="1" s="1"/>
  <c r="M937" i="1" a="1"/>
  <c r="M937" i="1" s="1"/>
  <c r="N917" i="1" a="1"/>
  <c r="N917" i="1" s="1"/>
  <c r="M917" i="1" a="1"/>
  <c r="M917" i="1" s="1"/>
  <c r="N897" i="1" a="1"/>
  <c r="N897" i="1" s="1"/>
  <c r="M897" i="1" a="1"/>
  <c r="M897" i="1" s="1"/>
  <c r="N877" i="1" a="1"/>
  <c r="N877" i="1" s="1"/>
  <c r="M877" i="1" a="1"/>
  <c r="M877" i="1" s="1"/>
  <c r="N857" i="1" a="1"/>
  <c r="N857" i="1" s="1"/>
  <c r="M857" i="1" a="1"/>
  <c r="M857" i="1" s="1"/>
  <c r="N837" i="1" a="1"/>
  <c r="N837" i="1" s="1"/>
  <c r="M837" i="1" a="1"/>
  <c r="M837" i="1" s="1"/>
  <c r="N817" i="1" a="1"/>
  <c r="N817" i="1" s="1"/>
  <c r="M817" i="1" a="1"/>
  <c r="M817" i="1" s="1"/>
  <c r="N797" i="1" a="1"/>
  <c r="N797" i="1" s="1"/>
  <c r="M797" i="1" a="1"/>
  <c r="M797" i="1" s="1"/>
  <c r="N777" i="1" a="1"/>
  <c r="N777" i="1" s="1"/>
  <c r="M777" i="1" a="1"/>
  <c r="M777" i="1" s="1"/>
  <c r="N757" i="1" a="1"/>
  <c r="N757" i="1" s="1"/>
  <c r="M757" i="1" a="1"/>
  <c r="M757" i="1" s="1"/>
  <c r="N737" i="1" a="1"/>
  <c r="N737" i="1" s="1"/>
  <c r="M737" i="1" a="1"/>
  <c r="M737" i="1" s="1"/>
  <c r="N717" i="1" a="1"/>
  <c r="N717" i="1" s="1"/>
  <c r="M717" i="1" a="1"/>
  <c r="M717" i="1" s="1"/>
  <c r="N697" i="1" a="1"/>
  <c r="N697" i="1" s="1"/>
  <c r="M697" i="1" a="1"/>
  <c r="M697" i="1" s="1"/>
  <c r="N677" i="1" a="1"/>
  <c r="N677" i="1" s="1"/>
  <c r="M677" i="1" a="1"/>
  <c r="M677" i="1" s="1"/>
  <c r="N657" i="1" a="1"/>
  <c r="N657" i="1" s="1"/>
  <c r="M657" i="1" a="1"/>
  <c r="M657" i="1" s="1"/>
  <c r="N637" i="1" a="1"/>
  <c r="N637" i="1" s="1"/>
  <c r="M637" i="1" a="1"/>
  <c r="M637" i="1" s="1"/>
  <c r="N617" i="1" a="1"/>
  <c r="N617" i="1" s="1"/>
  <c r="M617" i="1" a="1"/>
  <c r="M617" i="1" s="1"/>
  <c r="N597" i="1" a="1"/>
  <c r="N597" i="1" s="1"/>
  <c r="M597" i="1" a="1"/>
  <c r="M597" i="1" s="1"/>
  <c r="N577" i="1" a="1"/>
  <c r="N577" i="1" s="1"/>
  <c r="M577" i="1" a="1"/>
  <c r="M577" i="1" s="1"/>
  <c r="N557" i="1" a="1"/>
  <c r="N557" i="1" s="1"/>
  <c r="M557" i="1" a="1"/>
  <c r="M557" i="1" s="1"/>
  <c r="N537" i="1" a="1"/>
  <c r="N537" i="1" s="1"/>
  <c r="M537" i="1" a="1"/>
  <c r="M537" i="1" s="1"/>
  <c r="N517" i="1" a="1"/>
  <c r="N517" i="1" s="1"/>
  <c r="M517" i="1" a="1"/>
  <c r="M517" i="1" s="1"/>
  <c r="N497" i="1" a="1"/>
  <c r="N497" i="1" s="1"/>
  <c r="M497" i="1" a="1"/>
  <c r="M497" i="1" s="1"/>
  <c r="N477" i="1" a="1"/>
  <c r="N477" i="1" s="1"/>
  <c r="M477" i="1" a="1"/>
  <c r="M477" i="1" s="1"/>
  <c r="N457" i="1" a="1"/>
  <c r="N457" i="1" s="1"/>
  <c r="M457" i="1" a="1"/>
  <c r="M457" i="1" s="1"/>
  <c r="N437" i="1" a="1"/>
  <c r="N437" i="1" s="1"/>
  <c r="M437" i="1" a="1"/>
  <c r="M437" i="1" s="1"/>
  <c r="N417" i="1" a="1"/>
  <c r="N417" i="1" s="1"/>
  <c r="M417" i="1" a="1"/>
  <c r="M417" i="1" s="1"/>
  <c r="N397" i="1" a="1"/>
  <c r="N397" i="1" s="1"/>
  <c r="M397" i="1" a="1"/>
  <c r="M397" i="1" s="1"/>
  <c r="N377" i="1" a="1"/>
  <c r="N377" i="1" s="1"/>
  <c r="M377" i="1" a="1"/>
  <c r="M377" i="1" s="1"/>
  <c r="N357" i="1" a="1"/>
  <c r="N357" i="1" s="1"/>
  <c r="M357" i="1" a="1"/>
  <c r="M357" i="1" s="1"/>
  <c r="N337" i="1" a="1"/>
  <c r="N337" i="1" s="1"/>
  <c r="M337" i="1" a="1"/>
  <c r="M337" i="1" s="1"/>
  <c r="N317" i="1" a="1"/>
  <c r="N317" i="1" s="1"/>
  <c r="M317" i="1" a="1"/>
  <c r="M317" i="1" s="1"/>
  <c r="N297" i="1" a="1"/>
  <c r="N297" i="1" s="1"/>
  <c r="M297" i="1" a="1"/>
  <c r="M297" i="1" s="1"/>
  <c r="N277" i="1" a="1"/>
  <c r="N277" i="1" s="1"/>
  <c r="M277" i="1" a="1"/>
  <c r="M277" i="1" s="1"/>
  <c r="N257" i="1" a="1"/>
  <c r="N257" i="1" s="1"/>
  <c r="M257" i="1" a="1"/>
  <c r="M257" i="1" s="1"/>
  <c r="N237" i="1" a="1"/>
  <c r="N237" i="1" s="1"/>
  <c r="M237" i="1" a="1"/>
  <c r="M237" i="1" s="1"/>
  <c r="N217" i="1" a="1"/>
  <c r="N217" i="1" s="1"/>
  <c r="M217" i="1" a="1"/>
  <c r="M217" i="1" s="1"/>
  <c r="N197" i="1" a="1"/>
  <c r="N197" i="1" s="1"/>
  <c r="M197" i="1" a="1"/>
  <c r="M197" i="1" s="1"/>
  <c r="N177" i="1" a="1"/>
  <c r="N177" i="1" s="1"/>
  <c r="M177" i="1" a="1"/>
  <c r="M177" i="1" s="1"/>
  <c r="N157" i="1" a="1"/>
  <c r="N157" i="1" s="1"/>
  <c r="M157" i="1" a="1"/>
  <c r="M157" i="1" s="1"/>
  <c r="N137" i="1" a="1"/>
  <c r="N137" i="1" s="1"/>
  <c r="M137" i="1" a="1"/>
  <c r="M137" i="1" s="1"/>
  <c r="N117" i="1" a="1"/>
  <c r="N117" i="1" s="1"/>
  <c r="M117" i="1" a="1"/>
  <c r="M117" i="1" s="1"/>
  <c r="N97" i="1" a="1"/>
  <c r="N97" i="1" s="1"/>
  <c r="M97" i="1" a="1"/>
  <c r="M97" i="1" s="1"/>
  <c r="N77" i="1" a="1"/>
  <c r="N77" i="1" s="1"/>
  <c r="M77" i="1" a="1"/>
  <c r="M77" i="1" s="1"/>
  <c r="N57" i="1" a="1"/>
  <c r="N57" i="1" s="1"/>
  <c r="M57" i="1" a="1"/>
  <c r="M57" i="1" s="1"/>
  <c r="N37" i="1" a="1"/>
  <c r="N37" i="1" s="1"/>
  <c r="M37" i="1" a="1"/>
  <c r="M37" i="1" s="1"/>
  <c r="N17" i="1" a="1"/>
  <c r="N17" i="1" s="1"/>
  <c r="M17" i="1" a="1"/>
  <c r="M17" i="1" s="1"/>
  <c r="N1748" i="1" a="1"/>
  <c r="N1748" i="1" s="1"/>
  <c r="M1748" i="1" a="1"/>
  <c r="M1748" i="1" s="1"/>
  <c r="N1663" i="1" a="1"/>
  <c r="N1663" i="1" s="1"/>
  <c r="M1663" i="1" a="1"/>
  <c r="M1663" i="1" s="1"/>
  <c r="N1256" i="1" a="1"/>
  <c r="N1256" i="1" s="1"/>
  <c r="M1256" i="1" a="1"/>
  <c r="M1256" i="1" s="1"/>
  <c r="N1056" i="1" a="1"/>
  <c r="N1056" i="1" s="1"/>
  <c r="M1056" i="1" a="1"/>
  <c r="M1056" i="1" s="1"/>
  <c r="N856" i="1" a="1"/>
  <c r="N856" i="1" s="1"/>
  <c r="M856" i="1" a="1"/>
  <c r="M856" i="1" s="1"/>
  <c r="N676" i="1" a="1"/>
  <c r="N676" i="1" s="1"/>
  <c r="M676" i="1" a="1"/>
  <c r="M676" i="1" s="1"/>
  <c r="N436" i="1" a="1"/>
  <c r="N436" i="1" s="1"/>
  <c r="M436" i="1" a="1"/>
  <c r="M436" i="1" s="1"/>
  <c r="N236" i="1" a="1"/>
  <c r="N236" i="1" s="1"/>
  <c r="M236" i="1" a="1"/>
  <c r="M236" i="1" s="1"/>
  <c r="J15" i="1" a="1"/>
  <c r="J15" i="1" s="1"/>
  <c r="L15" i="1"/>
  <c r="K15" i="1" a="1"/>
  <c r="K15" i="1" s="1"/>
  <c r="J1314" i="1" a="1"/>
  <c r="J1314" i="1" s="1"/>
  <c r="L1314" i="1"/>
  <c r="K1314" i="1" a="1"/>
  <c r="K1314" i="1" s="1"/>
  <c r="J1641" i="1" a="1"/>
  <c r="J1641" i="1" s="1"/>
  <c r="L1641" i="1"/>
  <c r="K1641" i="1" a="1"/>
  <c r="K1641" i="1" s="1"/>
  <c r="J1621" i="1" a="1"/>
  <c r="J1621" i="1" s="1"/>
  <c r="L1621" i="1"/>
  <c r="K1621" i="1" a="1"/>
  <c r="K1621" i="1" s="1"/>
  <c r="J1581" i="1" a="1"/>
  <c r="J1581" i="1" s="1"/>
  <c r="L1581" i="1"/>
  <c r="K1581" i="1" a="1"/>
  <c r="K1581" i="1" s="1"/>
  <c r="J1414" i="1" a="1"/>
  <c r="J1414" i="1" s="1"/>
  <c r="L1414" i="1"/>
  <c r="K1414" i="1" a="1"/>
  <c r="K1414" i="1" s="1"/>
  <c r="J1601" i="1" a="1"/>
  <c r="J1601" i="1" s="1"/>
  <c r="L1601" i="1"/>
  <c r="K1601" i="1" a="1"/>
  <c r="K1601" i="1" s="1"/>
  <c r="J1434" i="1" a="1"/>
  <c r="J1434" i="1" s="1"/>
  <c r="L1434" i="1"/>
  <c r="K1434" i="1" a="1"/>
  <c r="K1434" i="1" s="1"/>
  <c r="J1354" i="1" a="1"/>
  <c r="J1354" i="1" s="1"/>
  <c r="L1354" i="1"/>
  <c r="K1354" i="1" a="1"/>
  <c r="K1354" i="1" s="1"/>
  <c r="J1294" i="1" a="1"/>
  <c r="J1294" i="1" s="1"/>
  <c r="L1294" i="1"/>
  <c r="K1294" i="1" a="1"/>
  <c r="K1294" i="1" s="1"/>
  <c r="J1394" i="1" a="1"/>
  <c r="J1394" i="1" s="1"/>
  <c r="L1394" i="1"/>
  <c r="K1394" i="1" a="1"/>
  <c r="K1394" i="1" s="1"/>
  <c r="J1374" i="1" a="1"/>
  <c r="J1374" i="1" s="1"/>
  <c r="L1374" i="1"/>
  <c r="K1374" i="1" a="1"/>
  <c r="K1374" i="1" s="1"/>
  <c r="J1334" i="1" a="1"/>
  <c r="J1334" i="1" s="1"/>
  <c r="L1334" i="1"/>
  <c r="K1334" i="1" a="1"/>
  <c r="K1334" i="1" s="1"/>
  <c r="J1154" i="1" a="1"/>
  <c r="J1154" i="1" s="1"/>
  <c r="L1154" i="1"/>
  <c r="K1154" i="1" a="1"/>
  <c r="K1154" i="1" s="1"/>
  <c r="J1822" i="1" a="1"/>
  <c r="J1822" i="1" s="1"/>
  <c r="L1822" i="1"/>
  <c r="K1822" i="1" a="1"/>
  <c r="K1822" i="1" s="1"/>
  <c r="J1762" i="1" a="1"/>
  <c r="J1762" i="1" s="1"/>
  <c r="L1762" i="1"/>
  <c r="K1762" i="1" a="1"/>
  <c r="K1762" i="1" s="1"/>
  <c r="J1722" i="1" a="1"/>
  <c r="J1722" i="1" s="1"/>
  <c r="L1722" i="1"/>
  <c r="K1722" i="1" a="1"/>
  <c r="K1722" i="1" s="1"/>
  <c r="J1682" i="1" a="1"/>
  <c r="J1682" i="1" s="1"/>
  <c r="L1682" i="1"/>
  <c r="K1682" i="1" a="1"/>
  <c r="K1682" i="1" s="1"/>
  <c r="J1642" i="1" a="1"/>
  <c r="J1642" i="1" s="1"/>
  <c r="L1642" i="1"/>
  <c r="K1642" i="1" a="1"/>
  <c r="K1642" i="1" s="1"/>
  <c r="J1602" i="1" a="1"/>
  <c r="J1602" i="1" s="1"/>
  <c r="L1602" i="1"/>
  <c r="K1602" i="1" a="1"/>
  <c r="K1602" i="1" s="1"/>
  <c r="J1435" i="1" a="1"/>
  <c r="J1435" i="1" s="1"/>
  <c r="L1435" i="1"/>
  <c r="K1435" i="1" a="1"/>
  <c r="K1435" i="1" s="1"/>
  <c r="J1395" i="1" a="1"/>
  <c r="J1395" i="1" s="1"/>
  <c r="L1395" i="1"/>
  <c r="K1395" i="1" a="1"/>
  <c r="K1395" i="1" s="1"/>
  <c r="J1375" i="1" a="1"/>
  <c r="J1375" i="1" s="1"/>
  <c r="L1375" i="1"/>
  <c r="K1375" i="1" a="1"/>
  <c r="K1375" i="1" s="1"/>
  <c r="J1335" i="1" a="1"/>
  <c r="J1335" i="1" s="1"/>
  <c r="L1335" i="1"/>
  <c r="K1335" i="1" a="1"/>
  <c r="K1335" i="1" s="1"/>
  <c r="J1315" i="1" a="1"/>
  <c r="J1315" i="1" s="1"/>
  <c r="L1315" i="1"/>
  <c r="K1315" i="1" a="1"/>
  <c r="K1315" i="1" s="1"/>
  <c r="J1295" i="1" a="1"/>
  <c r="J1295" i="1" s="1"/>
  <c r="L1295" i="1"/>
  <c r="K1295" i="1" a="1"/>
  <c r="K1295" i="1" s="1"/>
  <c r="J1275" i="1" a="1"/>
  <c r="J1275" i="1" s="1"/>
  <c r="L1275" i="1"/>
  <c r="K1275" i="1" a="1"/>
  <c r="K1275" i="1" s="1"/>
  <c r="J1255" i="1" a="1"/>
  <c r="J1255" i="1" s="1"/>
  <c r="L1255" i="1"/>
  <c r="K1255" i="1" a="1"/>
  <c r="K1255" i="1" s="1"/>
  <c r="J1235" i="1" a="1"/>
  <c r="J1235" i="1" s="1"/>
  <c r="L1235" i="1"/>
  <c r="K1235" i="1" a="1"/>
  <c r="K1235" i="1" s="1"/>
  <c r="J1215" i="1" a="1"/>
  <c r="J1215" i="1" s="1"/>
  <c r="L1215" i="1"/>
  <c r="K1215" i="1" a="1"/>
  <c r="K1215" i="1" s="1"/>
  <c r="J1195" i="1" a="1"/>
  <c r="J1195" i="1" s="1"/>
  <c r="L1195" i="1"/>
  <c r="K1195" i="1" a="1"/>
  <c r="K1195" i="1" s="1"/>
  <c r="J1175" i="1" a="1"/>
  <c r="J1175" i="1" s="1"/>
  <c r="L1175" i="1"/>
  <c r="K1175" i="1" a="1"/>
  <c r="K1175" i="1" s="1"/>
  <c r="J1155" i="1" a="1"/>
  <c r="J1155" i="1" s="1"/>
  <c r="L1155" i="1"/>
  <c r="K1155" i="1" a="1"/>
  <c r="K1155" i="1" s="1"/>
  <c r="J1135" i="1" a="1"/>
  <c r="J1135" i="1" s="1"/>
  <c r="L1135" i="1"/>
  <c r="K1135" i="1" a="1"/>
  <c r="K1135" i="1" s="1"/>
  <c r="J1115" i="1" a="1"/>
  <c r="J1115" i="1" s="1"/>
  <c r="L1115" i="1"/>
  <c r="K1115" i="1" a="1"/>
  <c r="K1115" i="1" s="1"/>
  <c r="J1095" i="1" a="1"/>
  <c r="J1095" i="1" s="1"/>
  <c r="L1095" i="1"/>
  <c r="K1095" i="1" a="1"/>
  <c r="K1095" i="1" s="1"/>
  <c r="J1075" i="1" a="1"/>
  <c r="J1075" i="1" s="1"/>
  <c r="L1075" i="1"/>
  <c r="K1075" i="1" a="1"/>
  <c r="K1075" i="1" s="1"/>
  <c r="J1055" i="1" a="1"/>
  <c r="J1055" i="1" s="1"/>
  <c r="L1055" i="1"/>
  <c r="K1055" i="1" a="1"/>
  <c r="K1055" i="1" s="1"/>
  <c r="J1035" i="1" a="1"/>
  <c r="J1035" i="1" s="1"/>
  <c r="L1035" i="1"/>
  <c r="K1035" i="1" a="1"/>
  <c r="K1035" i="1" s="1"/>
  <c r="J1015" i="1" a="1"/>
  <c r="J1015" i="1" s="1"/>
  <c r="L1015" i="1"/>
  <c r="K1015" i="1" a="1"/>
  <c r="K1015" i="1" s="1"/>
  <c r="J995" i="1" a="1"/>
  <c r="J995" i="1" s="1"/>
  <c r="L995" i="1"/>
  <c r="K995" i="1" a="1"/>
  <c r="K995" i="1" s="1"/>
  <c r="J975" i="1" a="1"/>
  <c r="J975" i="1" s="1"/>
  <c r="L975" i="1"/>
  <c r="K975" i="1" a="1"/>
  <c r="K975" i="1" s="1"/>
  <c r="J955" i="1" a="1"/>
  <c r="J955" i="1" s="1"/>
  <c r="L955" i="1"/>
  <c r="K955" i="1" a="1"/>
  <c r="K955" i="1" s="1"/>
  <c r="J935" i="1" a="1"/>
  <c r="J935" i="1" s="1"/>
  <c r="L935" i="1"/>
  <c r="K935" i="1" a="1"/>
  <c r="K935" i="1" s="1"/>
  <c r="J915" i="1" a="1"/>
  <c r="J915" i="1" s="1"/>
  <c r="L915" i="1"/>
  <c r="K915" i="1" a="1"/>
  <c r="K915" i="1" s="1"/>
  <c r="J895" i="1" a="1"/>
  <c r="J895" i="1" s="1"/>
  <c r="L895" i="1"/>
  <c r="K895" i="1" a="1"/>
  <c r="K895" i="1" s="1"/>
  <c r="J875" i="1" a="1"/>
  <c r="J875" i="1" s="1"/>
  <c r="L875" i="1"/>
  <c r="K875" i="1" a="1"/>
  <c r="K875" i="1" s="1"/>
  <c r="J855" i="1" a="1"/>
  <c r="J855" i="1" s="1"/>
  <c r="L855" i="1"/>
  <c r="K855" i="1" a="1"/>
  <c r="K855" i="1" s="1"/>
  <c r="J835" i="1" a="1"/>
  <c r="J835" i="1" s="1"/>
  <c r="L835" i="1"/>
  <c r="K835" i="1" a="1"/>
  <c r="K835" i="1" s="1"/>
  <c r="J815" i="1" a="1"/>
  <c r="J815" i="1" s="1"/>
  <c r="L815" i="1"/>
  <c r="K815" i="1" a="1"/>
  <c r="K815" i="1" s="1"/>
  <c r="J795" i="1" a="1"/>
  <c r="J795" i="1" s="1"/>
  <c r="L795" i="1"/>
  <c r="K795" i="1" a="1"/>
  <c r="K795" i="1" s="1"/>
  <c r="J775" i="1" a="1"/>
  <c r="J775" i="1" s="1"/>
  <c r="L775" i="1"/>
  <c r="K775" i="1" a="1"/>
  <c r="K775" i="1" s="1"/>
  <c r="J755" i="1" a="1"/>
  <c r="J755" i="1" s="1"/>
  <c r="L755" i="1"/>
  <c r="K755" i="1" a="1"/>
  <c r="K755" i="1" s="1"/>
  <c r="J735" i="1" a="1"/>
  <c r="J735" i="1" s="1"/>
  <c r="L735" i="1"/>
  <c r="K735" i="1" a="1"/>
  <c r="K735" i="1" s="1"/>
  <c r="J715" i="1" a="1"/>
  <c r="J715" i="1" s="1"/>
  <c r="L715" i="1"/>
  <c r="K715" i="1" a="1"/>
  <c r="K715" i="1" s="1"/>
  <c r="J695" i="1" a="1"/>
  <c r="J695" i="1" s="1"/>
  <c r="L695" i="1"/>
  <c r="K695" i="1" a="1"/>
  <c r="K695" i="1" s="1"/>
  <c r="J675" i="1" a="1"/>
  <c r="J675" i="1" s="1"/>
  <c r="L675" i="1"/>
  <c r="K675" i="1" a="1"/>
  <c r="K675" i="1" s="1"/>
  <c r="J655" i="1" a="1"/>
  <c r="J655" i="1" s="1"/>
  <c r="L655" i="1"/>
  <c r="K655" i="1" a="1"/>
  <c r="K655" i="1" s="1"/>
  <c r="J635" i="1" a="1"/>
  <c r="J635" i="1" s="1"/>
  <c r="L635" i="1"/>
  <c r="K635" i="1" a="1"/>
  <c r="K635" i="1" s="1"/>
  <c r="J615" i="1" a="1"/>
  <c r="J615" i="1" s="1"/>
  <c r="L615" i="1"/>
  <c r="K615" i="1" a="1"/>
  <c r="K615" i="1" s="1"/>
  <c r="J595" i="1" a="1"/>
  <c r="J595" i="1" s="1"/>
  <c r="L595" i="1"/>
  <c r="K595" i="1" a="1"/>
  <c r="K595" i="1" s="1"/>
  <c r="J575" i="1" a="1"/>
  <c r="J575" i="1" s="1"/>
  <c r="L575" i="1"/>
  <c r="K575" i="1" a="1"/>
  <c r="K575" i="1" s="1"/>
  <c r="J555" i="1" a="1"/>
  <c r="J555" i="1" s="1"/>
  <c r="L555" i="1"/>
  <c r="K555" i="1" a="1"/>
  <c r="K555" i="1" s="1"/>
  <c r="J535" i="1" a="1"/>
  <c r="J535" i="1" s="1"/>
  <c r="L535" i="1"/>
  <c r="K535" i="1" a="1"/>
  <c r="K535" i="1" s="1"/>
  <c r="J515" i="1" a="1"/>
  <c r="J515" i="1" s="1"/>
  <c r="L515" i="1"/>
  <c r="K515" i="1" a="1"/>
  <c r="K515" i="1" s="1"/>
  <c r="J495" i="1" a="1"/>
  <c r="J495" i="1" s="1"/>
  <c r="L495" i="1"/>
  <c r="K495" i="1" a="1"/>
  <c r="K495" i="1" s="1"/>
  <c r="J475" i="1" a="1"/>
  <c r="J475" i="1" s="1"/>
  <c r="L475" i="1"/>
  <c r="K475" i="1" a="1"/>
  <c r="K475" i="1" s="1"/>
  <c r="J455" i="1" a="1"/>
  <c r="J455" i="1" s="1"/>
  <c r="L455" i="1"/>
  <c r="K455" i="1" a="1"/>
  <c r="K455" i="1" s="1"/>
  <c r="J435" i="1" a="1"/>
  <c r="J435" i="1" s="1"/>
  <c r="L435" i="1"/>
  <c r="K435" i="1" a="1"/>
  <c r="K435" i="1" s="1"/>
  <c r="J415" i="1" a="1"/>
  <c r="J415" i="1" s="1"/>
  <c r="L415" i="1"/>
  <c r="K415" i="1" a="1"/>
  <c r="K415" i="1" s="1"/>
  <c r="J395" i="1" a="1"/>
  <c r="J395" i="1" s="1"/>
  <c r="L395" i="1"/>
  <c r="K395" i="1" a="1"/>
  <c r="K395" i="1" s="1"/>
  <c r="J375" i="1" a="1"/>
  <c r="J375" i="1" s="1"/>
  <c r="L375" i="1"/>
  <c r="K375" i="1" a="1"/>
  <c r="K375" i="1" s="1"/>
  <c r="J355" i="1" a="1"/>
  <c r="J355" i="1" s="1"/>
  <c r="L355" i="1"/>
  <c r="K355" i="1" a="1"/>
  <c r="K355" i="1" s="1"/>
  <c r="J335" i="1" a="1"/>
  <c r="J335" i="1" s="1"/>
  <c r="L335" i="1"/>
  <c r="K335" i="1" a="1"/>
  <c r="K335" i="1" s="1"/>
  <c r="J315" i="1" a="1"/>
  <c r="J315" i="1" s="1"/>
  <c r="L315" i="1"/>
  <c r="K315" i="1" a="1"/>
  <c r="K315" i="1" s="1"/>
  <c r="J295" i="1" a="1"/>
  <c r="J295" i="1" s="1"/>
  <c r="L295" i="1"/>
  <c r="K295" i="1" a="1"/>
  <c r="K295" i="1" s="1"/>
  <c r="J275" i="1" a="1"/>
  <c r="J275" i="1" s="1"/>
  <c r="L275" i="1"/>
  <c r="K275" i="1" a="1"/>
  <c r="K275" i="1" s="1"/>
  <c r="J255" i="1" a="1"/>
  <c r="J255" i="1" s="1"/>
  <c r="L255" i="1"/>
  <c r="K255" i="1" a="1"/>
  <c r="K255" i="1" s="1"/>
  <c r="J235" i="1" a="1"/>
  <c r="J235" i="1" s="1"/>
  <c r="L235" i="1"/>
  <c r="K235" i="1" a="1"/>
  <c r="K235" i="1" s="1"/>
  <c r="J215" i="1" a="1"/>
  <c r="J215" i="1" s="1"/>
  <c r="L215" i="1"/>
  <c r="K215" i="1" a="1"/>
  <c r="K215" i="1" s="1"/>
  <c r="J195" i="1" a="1"/>
  <c r="J195" i="1" s="1"/>
  <c r="L195" i="1"/>
  <c r="K195" i="1" a="1"/>
  <c r="K195" i="1" s="1"/>
  <c r="J175" i="1" a="1"/>
  <c r="J175" i="1" s="1"/>
  <c r="L175" i="1"/>
  <c r="K175" i="1" a="1"/>
  <c r="K175" i="1" s="1"/>
  <c r="J155" i="1" a="1"/>
  <c r="J155" i="1" s="1"/>
  <c r="L155" i="1"/>
  <c r="K155" i="1" a="1"/>
  <c r="K155" i="1" s="1"/>
  <c r="J135" i="1" a="1"/>
  <c r="J135" i="1" s="1"/>
  <c r="L135" i="1"/>
  <c r="K135" i="1" a="1"/>
  <c r="K135" i="1" s="1"/>
  <c r="J115" i="1" a="1"/>
  <c r="J115" i="1" s="1"/>
  <c r="L115" i="1"/>
  <c r="K115" i="1" a="1"/>
  <c r="K115" i="1" s="1"/>
  <c r="J95" i="1" a="1"/>
  <c r="J95" i="1" s="1"/>
  <c r="L95" i="1"/>
  <c r="K95" i="1" a="1"/>
  <c r="K95" i="1" s="1"/>
  <c r="J75" i="1" a="1"/>
  <c r="J75" i="1" s="1"/>
  <c r="L75" i="1"/>
  <c r="K75" i="1" a="1"/>
  <c r="K75" i="1" s="1"/>
  <c r="J55" i="1" a="1"/>
  <c r="J55" i="1" s="1"/>
  <c r="L55" i="1"/>
  <c r="K55" i="1" a="1"/>
  <c r="K55" i="1" s="1"/>
  <c r="J35" i="1" a="1"/>
  <c r="J35" i="1" s="1"/>
  <c r="L35" i="1"/>
  <c r="K35" i="1" a="1"/>
  <c r="K35" i="1" s="1"/>
  <c r="J1821" i="1" a="1"/>
  <c r="J1821" i="1" s="1"/>
  <c r="L1821" i="1"/>
  <c r="K1821" i="1" a="1"/>
  <c r="K1821" i="1" s="1"/>
  <c r="J1801" i="1" a="1"/>
  <c r="J1801" i="1" s="1"/>
  <c r="L1801" i="1"/>
  <c r="K1801" i="1" a="1"/>
  <c r="K1801" i="1" s="1"/>
  <c r="J1781" i="1" a="1"/>
  <c r="J1781" i="1" s="1"/>
  <c r="L1781" i="1"/>
  <c r="K1781" i="1" a="1"/>
  <c r="K1781" i="1" s="1"/>
  <c r="J1761" i="1" a="1"/>
  <c r="J1761" i="1" s="1"/>
  <c r="L1761" i="1"/>
  <c r="K1761" i="1" a="1"/>
  <c r="K1761" i="1" s="1"/>
  <c r="J1741" i="1" a="1"/>
  <c r="J1741" i="1" s="1"/>
  <c r="L1741" i="1"/>
  <c r="K1741" i="1" a="1"/>
  <c r="K1741" i="1" s="1"/>
  <c r="J1721" i="1" a="1"/>
  <c r="J1721" i="1" s="1"/>
  <c r="L1721" i="1"/>
  <c r="K1721" i="1" a="1"/>
  <c r="K1721" i="1" s="1"/>
  <c r="J1701" i="1" a="1"/>
  <c r="J1701" i="1" s="1"/>
  <c r="L1701" i="1"/>
  <c r="K1701" i="1" a="1"/>
  <c r="K1701" i="1" s="1"/>
  <c r="J1681" i="1" a="1"/>
  <c r="J1681" i="1" s="1"/>
  <c r="L1681" i="1"/>
  <c r="K1681" i="1" a="1"/>
  <c r="K1681" i="1" s="1"/>
  <c r="J1661" i="1" a="1"/>
  <c r="J1661" i="1" s="1"/>
  <c r="L1661" i="1"/>
  <c r="K1661" i="1" a="1"/>
  <c r="K1661" i="1" s="1"/>
  <c r="J1254" i="1" a="1"/>
  <c r="J1254" i="1" s="1"/>
  <c r="L1254" i="1"/>
  <c r="K1254" i="1" a="1"/>
  <c r="K1254" i="1" s="1"/>
  <c r="J1214" i="1" a="1"/>
  <c r="J1214" i="1" s="1"/>
  <c r="L1214" i="1"/>
  <c r="K1214" i="1" a="1"/>
  <c r="K1214" i="1" s="1"/>
  <c r="J1802" i="1" a="1"/>
  <c r="J1802" i="1" s="1"/>
  <c r="L1802" i="1"/>
  <c r="K1802" i="1" a="1"/>
  <c r="K1802" i="1" s="1"/>
  <c r="J1782" i="1" a="1"/>
  <c r="J1782" i="1" s="1"/>
  <c r="L1782" i="1"/>
  <c r="K1782" i="1" a="1"/>
  <c r="K1782" i="1" s="1"/>
  <c r="J1742" i="1" a="1"/>
  <c r="J1742" i="1" s="1"/>
  <c r="L1742" i="1"/>
  <c r="K1742" i="1" a="1"/>
  <c r="K1742" i="1" s="1"/>
  <c r="J1702" i="1" a="1"/>
  <c r="J1702" i="1" s="1"/>
  <c r="L1702" i="1"/>
  <c r="K1702" i="1" a="1"/>
  <c r="K1702" i="1" s="1"/>
  <c r="J1662" i="1" a="1"/>
  <c r="J1662" i="1" s="1"/>
  <c r="L1662" i="1"/>
  <c r="K1662" i="1" a="1"/>
  <c r="K1662" i="1" s="1"/>
  <c r="J1622" i="1" a="1"/>
  <c r="J1622" i="1" s="1"/>
  <c r="L1622" i="1"/>
  <c r="K1622" i="1" a="1"/>
  <c r="K1622" i="1" s="1"/>
  <c r="J1582" i="1" a="1"/>
  <c r="J1582" i="1" s="1"/>
  <c r="L1582" i="1"/>
  <c r="K1582" i="1" a="1"/>
  <c r="K1582" i="1" s="1"/>
  <c r="J1415" i="1" a="1"/>
  <c r="J1415" i="1" s="1"/>
  <c r="L1415" i="1"/>
  <c r="K1415" i="1" a="1"/>
  <c r="K1415" i="1" s="1"/>
  <c r="J1355" i="1" a="1"/>
  <c r="J1355" i="1" s="1"/>
  <c r="L1355" i="1"/>
  <c r="K1355" i="1" a="1"/>
  <c r="K1355" i="1" s="1"/>
  <c r="J1234" i="1" a="1"/>
  <c r="J1234" i="1" s="1"/>
  <c r="L1234" i="1"/>
  <c r="K1234" i="1" a="1"/>
  <c r="K1234" i="1" s="1"/>
  <c r="J1274" i="1" a="1"/>
  <c r="J1274" i="1" s="1"/>
  <c r="L1274" i="1"/>
  <c r="K1274" i="1" a="1"/>
  <c r="K1274" i="1" s="1"/>
  <c r="J814" i="1" a="1"/>
  <c r="J814" i="1" s="1"/>
  <c r="L814" i="1"/>
  <c r="K814" i="1" a="1"/>
  <c r="K814" i="1" s="1"/>
  <c r="J51" i="1" a="1"/>
  <c r="J51" i="1" s="1"/>
  <c r="L51" i="1"/>
  <c r="K51" i="1" a="1"/>
  <c r="K51" i="1" s="1"/>
  <c r="J1817" i="1" a="1"/>
  <c r="J1817" i="1" s="1"/>
  <c r="L1817" i="1"/>
  <c r="K1817" i="1" a="1"/>
  <c r="K1817" i="1" s="1"/>
  <c r="J1677" i="1" a="1"/>
  <c r="J1677" i="1" s="1"/>
  <c r="L1677" i="1"/>
  <c r="K1677" i="1" a="1"/>
  <c r="K1677" i="1" s="1"/>
  <c r="J1577" i="1" a="1"/>
  <c r="J1577" i="1" s="1"/>
  <c r="L1577" i="1"/>
  <c r="K1577" i="1" a="1"/>
  <c r="K1577" i="1" s="1"/>
  <c r="J1350" i="1" a="1"/>
  <c r="J1350" i="1" s="1"/>
  <c r="L1350" i="1"/>
  <c r="K1350" i="1" a="1"/>
  <c r="K1350" i="1" s="1"/>
  <c r="J1210" i="1" a="1"/>
  <c r="J1210" i="1" s="1"/>
  <c r="L1210" i="1"/>
  <c r="K1210" i="1" a="1"/>
  <c r="K1210" i="1" s="1"/>
  <c r="J1050" i="1" a="1"/>
  <c r="J1050" i="1" s="1"/>
  <c r="L1050" i="1"/>
  <c r="K1050" i="1" a="1"/>
  <c r="K1050" i="1" s="1"/>
  <c r="J910" i="1" a="1"/>
  <c r="J910" i="1" s="1"/>
  <c r="L910" i="1"/>
  <c r="K910" i="1" a="1"/>
  <c r="K910" i="1" s="1"/>
  <c r="J750" i="1" a="1"/>
  <c r="J750" i="1" s="1"/>
  <c r="L750" i="1"/>
  <c r="K750" i="1" a="1"/>
  <c r="K750" i="1" s="1"/>
  <c r="J570" i="1" a="1"/>
  <c r="J570" i="1" s="1"/>
  <c r="L570" i="1"/>
  <c r="K570" i="1" a="1"/>
  <c r="K570" i="1" s="1"/>
  <c r="J390" i="1" a="1"/>
  <c r="J390" i="1" s="1"/>
  <c r="L390" i="1"/>
  <c r="K390" i="1" a="1"/>
  <c r="K390" i="1" s="1"/>
  <c r="J50" i="1" a="1"/>
  <c r="J50" i="1" s="1"/>
  <c r="L50" i="1"/>
  <c r="K50" i="1" a="1"/>
  <c r="K50" i="1" s="1"/>
  <c r="J1716" i="1" a="1"/>
  <c r="J1716" i="1" s="1"/>
  <c r="L1716" i="1"/>
  <c r="K1716" i="1" a="1"/>
  <c r="K1716" i="1" s="1"/>
  <c r="J1596" i="1" a="1"/>
  <c r="J1596" i="1" s="1"/>
  <c r="L1596" i="1"/>
  <c r="K1596" i="1" a="1"/>
  <c r="K1596" i="1" s="1"/>
  <c r="J1329" i="1" a="1"/>
  <c r="J1329" i="1" s="1"/>
  <c r="L1329" i="1"/>
  <c r="K1329" i="1" a="1"/>
  <c r="K1329" i="1" s="1"/>
  <c r="J1189" i="1" a="1"/>
  <c r="J1189" i="1" s="1"/>
  <c r="L1189" i="1"/>
  <c r="K1189" i="1" a="1"/>
  <c r="K1189" i="1" s="1"/>
  <c r="J1069" i="1" a="1"/>
  <c r="J1069" i="1" s="1"/>
  <c r="L1069" i="1"/>
  <c r="K1069" i="1" a="1"/>
  <c r="K1069" i="1" s="1"/>
  <c r="J929" i="1" a="1"/>
  <c r="J929" i="1" s="1"/>
  <c r="L929" i="1"/>
  <c r="K929" i="1" a="1"/>
  <c r="K929" i="1" s="1"/>
  <c r="J769" i="1" a="1"/>
  <c r="J769" i="1" s="1"/>
  <c r="L769" i="1"/>
  <c r="K769" i="1" a="1"/>
  <c r="K769" i="1" s="1"/>
  <c r="J629" i="1" a="1"/>
  <c r="J629" i="1" s="1"/>
  <c r="L629" i="1"/>
  <c r="K629" i="1" a="1"/>
  <c r="K629" i="1" s="1"/>
  <c r="J509" i="1" a="1"/>
  <c r="J509" i="1" s="1"/>
  <c r="L509" i="1"/>
  <c r="K509" i="1" a="1"/>
  <c r="K509" i="1" s="1"/>
  <c r="J369" i="1" a="1"/>
  <c r="J369" i="1" s="1"/>
  <c r="L369" i="1"/>
  <c r="K369" i="1" a="1"/>
  <c r="K369" i="1" s="1"/>
  <c r="J249" i="1" a="1"/>
  <c r="J249" i="1" s="1"/>
  <c r="L249" i="1"/>
  <c r="K249" i="1" a="1"/>
  <c r="K249" i="1" s="1"/>
  <c r="J9" i="1" a="1"/>
  <c r="J9" i="1" s="1"/>
  <c r="L9" i="1"/>
  <c r="K9" i="1" a="1"/>
  <c r="K9" i="1" s="1"/>
  <c r="J1815" i="1" a="1"/>
  <c r="J1815" i="1" s="1"/>
  <c r="L1815" i="1"/>
  <c r="K1815" i="1" a="1"/>
  <c r="K1815" i="1" s="1"/>
  <c r="J1795" i="1" a="1"/>
  <c r="J1795" i="1" s="1"/>
  <c r="L1795" i="1"/>
  <c r="K1795" i="1" a="1"/>
  <c r="K1795" i="1" s="1"/>
  <c r="J1775" i="1" a="1"/>
  <c r="J1775" i="1" s="1"/>
  <c r="L1775" i="1"/>
  <c r="K1775" i="1" a="1"/>
  <c r="K1775" i="1" s="1"/>
  <c r="J1755" i="1" a="1"/>
  <c r="J1755" i="1" s="1"/>
  <c r="L1755" i="1"/>
  <c r="K1755" i="1" a="1"/>
  <c r="K1755" i="1" s="1"/>
  <c r="J1735" i="1" a="1"/>
  <c r="J1735" i="1" s="1"/>
  <c r="L1735" i="1"/>
  <c r="K1735" i="1" a="1"/>
  <c r="K1735" i="1" s="1"/>
  <c r="J1715" i="1" a="1"/>
  <c r="J1715" i="1" s="1"/>
  <c r="L1715" i="1"/>
  <c r="K1715" i="1" a="1"/>
  <c r="K1715" i="1" s="1"/>
  <c r="J1695" i="1" a="1"/>
  <c r="J1695" i="1" s="1"/>
  <c r="L1695" i="1"/>
  <c r="K1695" i="1" a="1"/>
  <c r="K1695" i="1" s="1"/>
  <c r="J1675" i="1" a="1"/>
  <c r="J1675" i="1" s="1"/>
  <c r="L1675" i="1"/>
  <c r="K1675" i="1" a="1"/>
  <c r="K1675" i="1" s="1"/>
  <c r="J1655" i="1" a="1"/>
  <c r="J1655" i="1" s="1"/>
  <c r="L1655" i="1"/>
  <c r="K1655" i="1" a="1"/>
  <c r="K1655" i="1" s="1"/>
  <c r="J1635" i="1" a="1"/>
  <c r="J1635" i="1" s="1"/>
  <c r="L1635" i="1"/>
  <c r="K1635" i="1" a="1"/>
  <c r="K1635" i="1" s="1"/>
  <c r="J1615" i="1" a="1"/>
  <c r="J1615" i="1" s="1"/>
  <c r="L1615" i="1"/>
  <c r="K1615" i="1" a="1"/>
  <c r="K1615" i="1" s="1"/>
  <c r="J1595" i="1" a="1"/>
  <c r="J1595" i="1" s="1"/>
  <c r="L1595" i="1"/>
  <c r="K1595" i="1" a="1"/>
  <c r="K1595" i="1" s="1"/>
  <c r="J1575" i="1" a="1"/>
  <c r="J1575" i="1" s="1"/>
  <c r="L1575" i="1"/>
  <c r="K1575" i="1" a="1"/>
  <c r="K1575" i="1" s="1"/>
  <c r="J1428" i="1" a="1"/>
  <c r="J1428" i="1" s="1"/>
  <c r="L1428" i="1"/>
  <c r="K1428" i="1" a="1"/>
  <c r="K1428" i="1" s="1"/>
  <c r="J1408" i="1" a="1"/>
  <c r="J1408" i="1" s="1"/>
  <c r="L1408" i="1"/>
  <c r="K1408" i="1" a="1"/>
  <c r="K1408" i="1" s="1"/>
  <c r="J1388" i="1" a="1"/>
  <c r="J1388" i="1" s="1"/>
  <c r="L1388" i="1"/>
  <c r="K1388" i="1" a="1"/>
  <c r="K1388" i="1" s="1"/>
  <c r="J1368" i="1" a="1"/>
  <c r="J1368" i="1" s="1"/>
  <c r="L1368" i="1"/>
  <c r="K1368" i="1" a="1"/>
  <c r="K1368" i="1" s="1"/>
  <c r="J1348" i="1" a="1"/>
  <c r="J1348" i="1" s="1"/>
  <c r="L1348" i="1"/>
  <c r="K1348" i="1" a="1"/>
  <c r="K1348" i="1" s="1"/>
  <c r="J1328" i="1" a="1"/>
  <c r="J1328" i="1" s="1"/>
  <c r="L1328" i="1"/>
  <c r="K1328" i="1" a="1"/>
  <c r="K1328" i="1" s="1"/>
  <c r="J1308" i="1" a="1"/>
  <c r="J1308" i="1" s="1"/>
  <c r="L1308" i="1"/>
  <c r="K1308" i="1" a="1"/>
  <c r="K1308" i="1" s="1"/>
  <c r="J1288" i="1" a="1"/>
  <c r="J1288" i="1" s="1"/>
  <c r="L1288" i="1"/>
  <c r="K1288" i="1" a="1"/>
  <c r="K1288" i="1" s="1"/>
  <c r="J1268" i="1" a="1"/>
  <c r="J1268" i="1" s="1"/>
  <c r="L1268" i="1"/>
  <c r="K1268" i="1" a="1"/>
  <c r="K1268" i="1" s="1"/>
  <c r="J1248" i="1" a="1"/>
  <c r="J1248" i="1" s="1"/>
  <c r="L1248" i="1"/>
  <c r="K1248" i="1" a="1"/>
  <c r="K1248" i="1" s="1"/>
  <c r="J1228" i="1" a="1"/>
  <c r="J1228" i="1" s="1"/>
  <c r="L1228" i="1"/>
  <c r="K1228" i="1" a="1"/>
  <c r="K1228" i="1" s="1"/>
  <c r="J1208" i="1" a="1"/>
  <c r="J1208" i="1" s="1"/>
  <c r="L1208" i="1"/>
  <c r="K1208" i="1" a="1"/>
  <c r="K1208" i="1" s="1"/>
  <c r="J1188" i="1" a="1"/>
  <c r="J1188" i="1" s="1"/>
  <c r="L1188" i="1"/>
  <c r="K1188" i="1" a="1"/>
  <c r="K1188" i="1" s="1"/>
  <c r="J1168" i="1" a="1"/>
  <c r="J1168" i="1" s="1"/>
  <c r="L1168" i="1"/>
  <c r="K1168" i="1" a="1"/>
  <c r="K1168" i="1" s="1"/>
  <c r="J1148" i="1" a="1"/>
  <c r="J1148" i="1" s="1"/>
  <c r="L1148" i="1"/>
  <c r="K1148" i="1" a="1"/>
  <c r="K1148" i="1" s="1"/>
  <c r="J1128" i="1" a="1"/>
  <c r="J1128" i="1" s="1"/>
  <c r="L1128" i="1"/>
  <c r="K1128" i="1" a="1"/>
  <c r="K1128" i="1" s="1"/>
  <c r="J1108" i="1" a="1"/>
  <c r="J1108" i="1" s="1"/>
  <c r="L1108" i="1"/>
  <c r="K1108" i="1" a="1"/>
  <c r="K1108" i="1" s="1"/>
  <c r="J1088" i="1" a="1"/>
  <c r="J1088" i="1" s="1"/>
  <c r="L1088" i="1"/>
  <c r="K1088" i="1" a="1"/>
  <c r="K1088" i="1" s="1"/>
  <c r="J1068" i="1" a="1"/>
  <c r="J1068" i="1" s="1"/>
  <c r="L1068" i="1"/>
  <c r="K1068" i="1" a="1"/>
  <c r="K1068" i="1" s="1"/>
  <c r="J1048" i="1" a="1"/>
  <c r="J1048" i="1" s="1"/>
  <c r="L1048" i="1"/>
  <c r="K1048" i="1" a="1"/>
  <c r="K1048" i="1" s="1"/>
  <c r="J1028" i="1" a="1"/>
  <c r="J1028" i="1" s="1"/>
  <c r="L1028" i="1"/>
  <c r="K1028" i="1" a="1"/>
  <c r="K1028" i="1" s="1"/>
  <c r="J1008" i="1" a="1"/>
  <c r="J1008" i="1" s="1"/>
  <c r="L1008" i="1"/>
  <c r="K1008" i="1" a="1"/>
  <c r="K1008" i="1" s="1"/>
  <c r="J988" i="1" a="1"/>
  <c r="J988" i="1" s="1"/>
  <c r="L988" i="1"/>
  <c r="K988" i="1" a="1"/>
  <c r="K988" i="1" s="1"/>
  <c r="J968" i="1" a="1"/>
  <c r="J968" i="1" s="1"/>
  <c r="L968" i="1"/>
  <c r="K968" i="1" a="1"/>
  <c r="K968" i="1" s="1"/>
  <c r="J948" i="1" a="1"/>
  <c r="J948" i="1" s="1"/>
  <c r="L948" i="1"/>
  <c r="K948" i="1" a="1"/>
  <c r="K948" i="1" s="1"/>
  <c r="J928" i="1" a="1"/>
  <c r="J928" i="1" s="1"/>
  <c r="L928" i="1"/>
  <c r="K928" i="1" a="1"/>
  <c r="K928" i="1" s="1"/>
  <c r="J908" i="1" a="1"/>
  <c r="J908" i="1" s="1"/>
  <c r="L908" i="1"/>
  <c r="K908" i="1" a="1"/>
  <c r="K908" i="1" s="1"/>
  <c r="J888" i="1" a="1"/>
  <c r="J888" i="1" s="1"/>
  <c r="L888" i="1"/>
  <c r="K888" i="1" a="1"/>
  <c r="K888" i="1" s="1"/>
  <c r="J868" i="1" a="1"/>
  <c r="J868" i="1" s="1"/>
  <c r="L868" i="1"/>
  <c r="K868" i="1" a="1"/>
  <c r="K868" i="1" s="1"/>
  <c r="J848" i="1" a="1"/>
  <c r="J848" i="1" s="1"/>
  <c r="L848" i="1"/>
  <c r="K848" i="1" a="1"/>
  <c r="K848" i="1" s="1"/>
  <c r="J828" i="1" a="1"/>
  <c r="J828" i="1" s="1"/>
  <c r="L828" i="1"/>
  <c r="K828" i="1" a="1"/>
  <c r="K828" i="1" s="1"/>
  <c r="J808" i="1" a="1"/>
  <c r="J808" i="1" s="1"/>
  <c r="L808" i="1"/>
  <c r="K808" i="1" a="1"/>
  <c r="K808" i="1" s="1"/>
  <c r="J788" i="1" a="1"/>
  <c r="J788" i="1" s="1"/>
  <c r="L788" i="1"/>
  <c r="K788" i="1" a="1"/>
  <c r="K788" i="1" s="1"/>
  <c r="J768" i="1" a="1"/>
  <c r="J768" i="1" s="1"/>
  <c r="L768" i="1"/>
  <c r="K768" i="1" a="1"/>
  <c r="K768" i="1" s="1"/>
  <c r="J748" i="1" a="1"/>
  <c r="J748" i="1" s="1"/>
  <c r="L748" i="1"/>
  <c r="K748" i="1" a="1"/>
  <c r="K748" i="1" s="1"/>
  <c r="J728" i="1" a="1"/>
  <c r="J728" i="1" s="1"/>
  <c r="L728" i="1"/>
  <c r="K728" i="1" a="1"/>
  <c r="K728" i="1" s="1"/>
  <c r="J708" i="1" a="1"/>
  <c r="J708" i="1" s="1"/>
  <c r="L708" i="1"/>
  <c r="K708" i="1" a="1"/>
  <c r="K708" i="1" s="1"/>
  <c r="J688" i="1" a="1"/>
  <c r="J688" i="1" s="1"/>
  <c r="L688" i="1"/>
  <c r="K688" i="1" a="1"/>
  <c r="K688" i="1" s="1"/>
  <c r="J668" i="1" a="1"/>
  <c r="J668" i="1" s="1"/>
  <c r="L668" i="1"/>
  <c r="K668" i="1" a="1"/>
  <c r="K668" i="1" s="1"/>
  <c r="J648" i="1" a="1"/>
  <c r="J648" i="1" s="1"/>
  <c r="L648" i="1"/>
  <c r="K648" i="1" a="1"/>
  <c r="K648" i="1" s="1"/>
  <c r="J628" i="1" a="1"/>
  <c r="J628" i="1" s="1"/>
  <c r="L628" i="1"/>
  <c r="K628" i="1" a="1"/>
  <c r="K628" i="1" s="1"/>
  <c r="J608" i="1" a="1"/>
  <c r="J608" i="1" s="1"/>
  <c r="L608" i="1"/>
  <c r="K608" i="1" a="1"/>
  <c r="K608" i="1" s="1"/>
  <c r="J588" i="1" a="1"/>
  <c r="J588" i="1" s="1"/>
  <c r="L588" i="1"/>
  <c r="K588" i="1" a="1"/>
  <c r="K588" i="1" s="1"/>
  <c r="J568" i="1" a="1"/>
  <c r="J568" i="1" s="1"/>
  <c r="L568" i="1"/>
  <c r="K568" i="1" a="1"/>
  <c r="K568" i="1" s="1"/>
  <c r="J548" i="1" a="1"/>
  <c r="J548" i="1" s="1"/>
  <c r="L548" i="1"/>
  <c r="K548" i="1" a="1"/>
  <c r="K548" i="1" s="1"/>
  <c r="J528" i="1" a="1"/>
  <c r="J528" i="1" s="1"/>
  <c r="L528" i="1"/>
  <c r="K528" i="1" a="1"/>
  <c r="K528" i="1" s="1"/>
  <c r="J508" i="1" a="1"/>
  <c r="J508" i="1" s="1"/>
  <c r="L508" i="1"/>
  <c r="K508" i="1" a="1"/>
  <c r="K508" i="1" s="1"/>
  <c r="J488" i="1" a="1"/>
  <c r="J488" i="1" s="1"/>
  <c r="L488" i="1"/>
  <c r="K488" i="1" a="1"/>
  <c r="K488" i="1" s="1"/>
  <c r="J468" i="1" a="1"/>
  <c r="J468" i="1" s="1"/>
  <c r="L468" i="1"/>
  <c r="K468" i="1" a="1"/>
  <c r="K468" i="1" s="1"/>
  <c r="J448" i="1" a="1"/>
  <c r="J448" i="1" s="1"/>
  <c r="L448" i="1"/>
  <c r="K448" i="1" a="1"/>
  <c r="K448" i="1" s="1"/>
  <c r="J428" i="1" a="1"/>
  <c r="J428" i="1" s="1"/>
  <c r="L428" i="1"/>
  <c r="K428" i="1" a="1"/>
  <c r="K428" i="1" s="1"/>
  <c r="J408" i="1" a="1"/>
  <c r="J408" i="1" s="1"/>
  <c r="L408" i="1"/>
  <c r="K408" i="1" a="1"/>
  <c r="K408" i="1" s="1"/>
  <c r="J388" i="1" a="1"/>
  <c r="J388" i="1" s="1"/>
  <c r="L388" i="1"/>
  <c r="K388" i="1" a="1"/>
  <c r="K388" i="1" s="1"/>
  <c r="J368" i="1" a="1"/>
  <c r="J368" i="1" s="1"/>
  <c r="L368" i="1"/>
  <c r="K368" i="1" a="1"/>
  <c r="K368" i="1" s="1"/>
  <c r="J348" i="1" a="1"/>
  <c r="J348" i="1" s="1"/>
  <c r="L348" i="1"/>
  <c r="K348" i="1" a="1"/>
  <c r="K348" i="1" s="1"/>
  <c r="J328" i="1" a="1"/>
  <c r="J328" i="1" s="1"/>
  <c r="L328" i="1"/>
  <c r="K328" i="1" a="1"/>
  <c r="K328" i="1" s="1"/>
  <c r="J308" i="1" a="1"/>
  <c r="J308" i="1" s="1"/>
  <c r="L308" i="1"/>
  <c r="K308" i="1" a="1"/>
  <c r="K308" i="1" s="1"/>
  <c r="J288" i="1" a="1"/>
  <c r="J288" i="1" s="1"/>
  <c r="L288" i="1"/>
  <c r="K288" i="1" a="1"/>
  <c r="K288" i="1" s="1"/>
  <c r="J268" i="1" a="1"/>
  <c r="J268" i="1" s="1"/>
  <c r="L268" i="1"/>
  <c r="K268" i="1" a="1"/>
  <c r="K268" i="1" s="1"/>
  <c r="J248" i="1" a="1"/>
  <c r="J248" i="1" s="1"/>
  <c r="L248" i="1"/>
  <c r="K248" i="1" a="1"/>
  <c r="K248" i="1" s="1"/>
  <c r="J228" i="1" a="1"/>
  <c r="J228" i="1" s="1"/>
  <c r="L228" i="1"/>
  <c r="K228" i="1" a="1"/>
  <c r="K228" i="1" s="1"/>
  <c r="J208" i="1" a="1"/>
  <c r="J208" i="1" s="1"/>
  <c r="L208" i="1"/>
  <c r="K208" i="1" a="1"/>
  <c r="K208" i="1" s="1"/>
  <c r="J188" i="1" a="1"/>
  <c r="J188" i="1" s="1"/>
  <c r="L188" i="1"/>
  <c r="K188" i="1" a="1"/>
  <c r="K188" i="1" s="1"/>
  <c r="J168" i="1" a="1"/>
  <c r="J168" i="1" s="1"/>
  <c r="L168" i="1"/>
  <c r="K168" i="1" a="1"/>
  <c r="K168" i="1" s="1"/>
  <c r="J148" i="1" a="1"/>
  <c r="J148" i="1" s="1"/>
  <c r="L148" i="1"/>
  <c r="K148" i="1" a="1"/>
  <c r="K148" i="1" s="1"/>
  <c r="J128" i="1" a="1"/>
  <c r="J128" i="1" s="1"/>
  <c r="L128" i="1"/>
  <c r="K128" i="1" a="1"/>
  <c r="K128" i="1" s="1"/>
  <c r="J108" i="1" a="1"/>
  <c r="J108" i="1" s="1"/>
  <c r="L108" i="1"/>
  <c r="K108" i="1" a="1"/>
  <c r="K108" i="1" s="1"/>
  <c r="J88" i="1" a="1"/>
  <c r="J88" i="1" s="1"/>
  <c r="L88" i="1"/>
  <c r="K88" i="1" a="1"/>
  <c r="K88" i="1" s="1"/>
  <c r="J68" i="1" a="1"/>
  <c r="J68" i="1" s="1"/>
  <c r="L68" i="1"/>
  <c r="K68" i="1" a="1"/>
  <c r="K68" i="1" s="1"/>
  <c r="J48" i="1" a="1"/>
  <c r="J48" i="1" s="1"/>
  <c r="L48" i="1"/>
  <c r="K48" i="1" a="1"/>
  <c r="K48" i="1" s="1"/>
  <c r="J28" i="1" a="1"/>
  <c r="J28" i="1" s="1"/>
  <c r="L28" i="1"/>
  <c r="K28" i="1" a="1"/>
  <c r="K28" i="1" s="1"/>
  <c r="J8" i="1" a="1"/>
  <c r="J8" i="1" s="1"/>
  <c r="L8" i="1"/>
  <c r="K8" i="1" a="1"/>
  <c r="K8" i="1" s="1"/>
  <c r="J1814" i="1" a="1"/>
  <c r="J1814" i="1" s="1"/>
  <c r="L1814" i="1"/>
  <c r="K1814" i="1" a="1"/>
  <c r="K1814" i="1" s="1"/>
  <c r="J1794" i="1" a="1"/>
  <c r="J1794" i="1" s="1"/>
  <c r="L1794" i="1"/>
  <c r="K1794" i="1" a="1"/>
  <c r="K1794" i="1" s="1"/>
  <c r="J1774" i="1" a="1"/>
  <c r="J1774" i="1" s="1"/>
  <c r="L1774" i="1"/>
  <c r="K1774" i="1" a="1"/>
  <c r="K1774" i="1" s="1"/>
  <c r="J1754" i="1" a="1"/>
  <c r="J1754" i="1" s="1"/>
  <c r="L1754" i="1"/>
  <c r="K1754" i="1" a="1"/>
  <c r="K1754" i="1" s="1"/>
  <c r="J1734" i="1" a="1"/>
  <c r="J1734" i="1" s="1"/>
  <c r="L1734" i="1"/>
  <c r="K1734" i="1" a="1"/>
  <c r="K1734" i="1" s="1"/>
  <c r="J1714" i="1" a="1"/>
  <c r="J1714" i="1" s="1"/>
  <c r="L1714" i="1"/>
  <c r="K1714" i="1" a="1"/>
  <c r="K1714" i="1" s="1"/>
  <c r="J1694" i="1" a="1"/>
  <c r="J1694" i="1" s="1"/>
  <c r="L1694" i="1"/>
  <c r="K1694" i="1" a="1"/>
  <c r="K1694" i="1" s="1"/>
  <c r="J1674" i="1" a="1"/>
  <c r="J1674" i="1" s="1"/>
  <c r="L1674" i="1"/>
  <c r="K1674" i="1" a="1"/>
  <c r="K1674" i="1" s="1"/>
  <c r="J1654" i="1" a="1"/>
  <c r="J1654" i="1" s="1"/>
  <c r="L1654" i="1"/>
  <c r="K1654" i="1" a="1"/>
  <c r="K1654" i="1" s="1"/>
  <c r="J1634" i="1" a="1"/>
  <c r="J1634" i="1" s="1"/>
  <c r="L1634" i="1"/>
  <c r="K1634" i="1" a="1"/>
  <c r="K1634" i="1" s="1"/>
  <c r="J1614" i="1" a="1"/>
  <c r="J1614" i="1" s="1"/>
  <c r="L1614" i="1"/>
  <c r="K1614" i="1" a="1"/>
  <c r="K1614" i="1" s="1"/>
  <c r="J1594" i="1" a="1"/>
  <c r="J1594" i="1" s="1"/>
  <c r="L1594" i="1"/>
  <c r="K1594" i="1" a="1"/>
  <c r="K1594" i="1" s="1"/>
  <c r="J1574" i="1" a="1"/>
  <c r="J1574" i="1" s="1"/>
  <c r="L1574" i="1"/>
  <c r="K1574" i="1" a="1"/>
  <c r="K1574" i="1" s="1"/>
  <c r="J1427" i="1" a="1"/>
  <c r="J1427" i="1" s="1"/>
  <c r="L1427" i="1"/>
  <c r="K1427" i="1" a="1"/>
  <c r="K1427" i="1" s="1"/>
  <c r="J1407" i="1" a="1"/>
  <c r="J1407" i="1" s="1"/>
  <c r="L1407" i="1"/>
  <c r="K1407" i="1" a="1"/>
  <c r="K1407" i="1" s="1"/>
  <c r="J1387" i="1" a="1"/>
  <c r="J1387" i="1" s="1"/>
  <c r="L1387" i="1"/>
  <c r="K1387" i="1" a="1"/>
  <c r="K1387" i="1" s="1"/>
  <c r="J1367" i="1" a="1"/>
  <c r="J1367" i="1" s="1"/>
  <c r="L1367" i="1"/>
  <c r="K1367" i="1" a="1"/>
  <c r="K1367" i="1" s="1"/>
  <c r="J1347" i="1" a="1"/>
  <c r="J1347" i="1" s="1"/>
  <c r="L1347" i="1"/>
  <c r="K1347" i="1" a="1"/>
  <c r="K1347" i="1" s="1"/>
  <c r="J1327" i="1" a="1"/>
  <c r="J1327" i="1" s="1"/>
  <c r="L1327" i="1"/>
  <c r="K1327" i="1" a="1"/>
  <c r="K1327" i="1" s="1"/>
  <c r="J1307" i="1" a="1"/>
  <c r="J1307" i="1" s="1"/>
  <c r="L1307" i="1"/>
  <c r="K1307" i="1" a="1"/>
  <c r="K1307" i="1" s="1"/>
  <c r="J1287" i="1" a="1"/>
  <c r="J1287" i="1" s="1"/>
  <c r="L1287" i="1"/>
  <c r="K1287" i="1" a="1"/>
  <c r="K1287" i="1" s="1"/>
  <c r="J1267" i="1" a="1"/>
  <c r="J1267" i="1" s="1"/>
  <c r="L1267" i="1"/>
  <c r="K1267" i="1" a="1"/>
  <c r="K1267" i="1" s="1"/>
  <c r="J1247" i="1" a="1"/>
  <c r="J1247" i="1" s="1"/>
  <c r="L1247" i="1"/>
  <c r="K1247" i="1" a="1"/>
  <c r="K1247" i="1" s="1"/>
  <c r="J1227" i="1" a="1"/>
  <c r="J1227" i="1" s="1"/>
  <c r="L1227" i="1"/>
  <c r="K1227" i="1" a="1"/>
  <c r="K1227" i="1" s="1"/>
  <c r="J1207" i="1" a="1"/>
  <c r="J1207" i="1" s="1"/>
  <c r="L1207" i="1"/>
  <c r="K1207" i="1" a="1"/>
  <c r="K1207" i="1" s="1"/>
  <c r="J1187" i="1" a="1"/>
  <c r="J1187" i="1" s="1"/>
  <c r="L1187" i="1"/>
  <c r="K1187" i="1" a="1"/>
  <c r="K1187" i="1" s="1"/>
  <c r="J1167" i="1" a="1"/>
  <c r="J1167" i="1" s="1"/>
  <c r="L1167" i="1"/>
  <c r="K1167" i="1" a="1"/>
  <c r="K1167" i="1" s="1"/>
  <c r="J1147" i="1" a="1"/>
  <c r="J1147" i="1" s="1"/>
  <c r="L1147" i="1"/>
  <c r="K1147" i="1" a="1"/>
  <c r="K1147" i="1" s="1"/>
  <c r="J1127" i="1" a="1"/>
  <c r="J1127" i="1" s="1"/>
  <c r="L1127" i="1"/>
  <c r="K1127" i="1" a="1"/>
  <c r="K1127" i="1" s="1"/>
  <c r="J1107" i="1" a="1"/>
  <c r="J1107" i="1" s="1"/>
  <c r="L1107" i="1"/>
  <c r="K1107" i="1" a="1"/>
  <c r="K1107" i="1" s="1"/>
  <c r="J1087" i="1" a="1"/>
  <c r="J1087" i="1" s="1"/>
  <c r="L1087" i="1"/>
  <c r="K1087" i="1" a="1"/>
  <c r="K1087" i="1" s="1"/>
  <c r="J1067" i="1" a="1"/>
  <c r="J1067" i="1" s="1"/>
  <c r="L1067" i="1"/>
  <c r="K1067" i="1" a="1"/>
  <c r="K1067" i="1" s="1"/>
  <c r="J1047" i="1" a="1"/>
  <c r="J1047" i="1" s="1"/>
  <c r="L1047" i="1"/>
  <c r="K1047" i="1" a="1"/>
  <c r="K1047" i="1" s="1"/>
  <c r="J1027" i="1" a="1"/>
  <c r="J1027" i="1" s="1"/>
  <c r="L1027" i="1"/>
  <c r="K1027" i="1" a="1"/>
  <c r="K1027" i="1" s="1"/>
  <c r="J1007" i="1" a="1"/>
  <c r="J1007" i="1" s="1"/>
  <c r="L1007" i="1"/>
  <c r="K1007" i="1" a="1"/>
  <c r="K1007" i="1" s="1"/>
  <c r="J987" i="1" a="1"/>
  <c r="J987" i="1" s="1"/>
  <c r="L987" i="1"/>
  <c r="K987" i="1" a="1"/>
  <c r="K987" i="1" s="1"/>
  <c r="J967" i="1" a="1"/>
  <c r="J967" i="1" s="1"/>
  <c r="L967" i="1"/>
  <c r="K967" i="1" a="1"/>
  <c r="K967" i="1" s="1"/>
  <c r="J947" i="1" a="1"/>
  <c r="J947" i="1" s="1"/>
  <c r="L947" i="1"/>
  <c r="K947" i="1" a="1"/>
  <c r="K947" i="1" s="1"/>
  <c r="J927" i="1" a="1"/>
  <c r="J927" i="1" s="1"/>
  <c r="L927" i="1"/>
  <c r="K927" i="1" a="1"/>
  <c r="K927" i="1" s="1"/>
  <c r="J907" i="1" a="1"/>
  <c r="J907" i="1" s="1"/>
  <c r="L907" i="1"/>
  <c r="K907" i="1" a="1"/>
  <c r="K907" i="1" s="1"/>
  <c r="J887" i="1" a="1"/>
  <c r="J887" i="1" s="1"/>
  <c r="L887" i="1"/>
  <c r="K887" i="1" a="1"/>
  <c r="K887" i="1" s="1"/>
  <c r="J867" i="1" a="1"/>
  <c r="J867" i="1" s="1"/>
  <c r="L867" i="1"/>
  <c r="K867" i="1" a="1"/>
  <c r="K867" i="1" s="1"/>
  <c r="J847" i="1" a="1"/>
  <c r="J847" i="1" s="1"/>
  <c r="L847" i="1"/>
  <c r="K847" i="1" a="1"/>
  <c r="K847" i="1" s="1"/>
  <c r="J827" i="1" a="1"/>
  <c r="J827" i="1" s="1"/>
  <c r="L827" i="1"/>
  <c r="K827" i="1" a="1"/>
  <c r="K827" i="1" s="1"/>
  <c r="J807" i="1" a="1"/>
  <c r="J807" i="1" s="1"/>
  <c r="L807" i="1"/>
  <c r="K807" i="1" a="1"/>
  <c r="K807" i="1" s="1"/>
  <c r="J787" i="1" a="1"/>
  <c r="J787" i="1" s="1"/>
  <c r="L787" i="1"/>
  <c r="K787" i="1" a="1"/>
  <c r="K787" i="1" s="1"/>
  <c r="J767" i="1" a="1"/>
  <c r="J767" i="1" s="1"/>
  <c r="L767" i="1"/>
  <c r="K767" i="1" a="1"/>
  <c r="K767" i="1" s="1"/>
  <c r="J747" i="1" a="1"/>
  <c r="J747" i="1" s="1"/>
  <c r="L747" i="1"/>
  <c r="K747" i="1" a="1"/>
  <c r="K747" i="1" s="1"/>
  <c r="J727" i="1" a="1"/>
  <c r="J727" i="1" s="1"/>
  <c r="L727" i="1"/>
  <c r="K727" i="1" a="1"/>
  <c r="K727" i="1" s="1"/>
  <c r="J707" i="1" a="1"/>
  <c r="J707" i="1" s="1"/>
  <c r="L707" i="1"/>
  <c r="K707" i="1" a="1"/>
  <c r="K707" i="1" s="1"/>
  <c r="J687" i="1" a="1"/>
  <c r="J687" i="1" s="1"/>
  <c r="L687" i="1"/>
  <c r="K687" i="1" a="1"/>
  <c r="K687" i="1" s="1"/>
  <c r="J667" i="1" a="1"/>
  <c r="J667" i="1" s="1"/>
  <c r="L667" i="1"/>
  <c r="K667" i="1" a="1"/>
  <c r="K667" i="1" s="1"/>
  <c r="J647" i="1" a="1"/>
  <c r="J647" i="1" s="1"/>
  <c r="L647" i="1"/>
  <c r="K647" i="1" a="1"/>
  <c r="K647" i="1" s="1"/>
  <c r="J627" i="1" a="1"/>
  <c r="J627" i="1" s="1"/>
  <c r="L627" i="1"/>
  <c r="K627" i="1" a="1"/>
  <c r="K627" i="1" s="1"/>
  <c r="J607" i="1" a="1"/>
  <c r="J607" i="1" s="1"/>
  <c r="L607" i="1"/>
  <c r="K607" i="1" a="1"/>
  <c r="K607" i="1" s="1"/>
  <c r="J587" i="1" a="1"/>
  <c r="J587" i="1" s="1"/>
  <c r="L587" i="1"/>
  <c r="K587" i="1" a="1"/>
  <c r="K587" i="1" s="1"/>
  <c r="J567" i="1" a="1"/>
  <c r="J567" i="1" s="1"/>
  <c r="L567" i="1"/>
  <c r="K567" i="1" a="1"/>
  <c r="K567" i="1" s="1"/>
  <c r="J547" i="1" a="1"/>
  <c r="J547" i="1" s="1"/>
  <c r="L547" i="1"/>
  <c r="K547" i="1" a="1"/>
  <c r="K547" i="1" s="1"/>
  <c r="J527" i="1" a="1"/>
  <c r="J527" i="1" s="1"/>
  <c r="L527" i="1"/>
  <c r="K527" i="1" a="1"/>
  <c r="K527" i="1" s="1"/>
  <c r="J507" i="1" a="1"/>
  <c r="J507" i="1" s="1"/>
  <c r="L507" i="1"/>
  <c r="K507" i="1" a="1"/>
  <c r="K507" i="1" s="1"/>
  <c r="J487" i="1" a="1"/>
  <c r="J487" i="1" s="1"/>
  <c r="L487" i="1"/>
  <c r="K487" i="1" a="1"/>
  <c r="K487" i="1" s="1"/>
  <c r="J467" i="1" a="1"/>
  <c r="J467" i="1" s="1"/>
  <c r="L467" i="1"/>
  <c r="K467" i="1" a="1"/>
  <c r="K467" i="1" s="1"/>
  <c r="J447" i="1" a="1"/>
  <c r="J447" i="1" s="1"/>
  <c r="L447" i="1"/>
  <c r="K447" i="1" a="1"/>
  <c r="K447" i="1" s="1"/>
  <c r="J427" i="1" a="1"/>
  <c r="J427" i="1" s="1"/>
  <c r="L427" i="1"/>
  <c r="K427" i="1" a="1"/>
  <c r="K427" i="1" s="1"/>
  <c r="J407" i="1" a="1"/>
  <c r="J407" i="1" s="1"/>
  <c r="L407" i="1"/>
  <c r="K407" i="1" a="1"/>
  <c r="K407" i="1" s="1"/>
  <c r="J387" i="1" a="1"/>
  <c r="J387" i="1" s="1"/>
  <c r="L387" i="1"/>
  <c r="K387" i="1" a="1"/>
  <c r="K387" i="1" s="1"/>
  <c r="J367" i="1" a="1"/>
  <c r="J367" i="1" s="1"/>
  <c r="L367" i="1"/>
  <c r="K367" i="1" a="1"/>
  <c r="K367" i="1" s="1"/>
  <c r="J347" i="1" a="1"/>
  <c r="J347" i="1" s="1"/>
  <c r="L347" i="1"/>
  <c r="K347" i="1" a="1"/>
  <c r="K347" i="1" s="1"/>
  <c r="J327" i="1" a="1"/>
  <c r="J327" i="1" s="1"/>
  <c r="L327" i="1"/>
  <c r="K327" i="1" a="1"/>
  <c r="K327" i="1" s="1"/>
  <c r="J307" i="1" a="1"/>
  <c r="J307" i="1" s="1"/>
  <c r="L307" i="1"/>
  <c r="K307" i="1" a="1"/>
  <c r="K307" i="1" s="1"/>
  <c r="J287" i="1" a="1"/>
  <c r="J287" i="1" s="1"/>
  <c r="L287" i="1"/>
  <c r="K287" i="1" a="1"/>
  <c r="K287" i="1" s="1"/>
  <c r="J267" i="1" a="1"/>
  <c r="J267" i="1" s="1"/>
  <c r="L267" i="1"/>
  <c r="K267" i="1" a="1"/>
  <c r="K267" i="1" s="1"/>
  <c r="J247" i="1" a="1"/>
  <c r="J247" i="1" s="1"/>
  <c r="L247" i="1"/>
  <c r="K247" i="1" a="1"/>
  <c r="K247" i="1" s="1"/>
  <c r="J227" i="1" a="1"/>
  <c r="J227" i="1" s="1"/>
  <c r="L227" i="1"/>
  <c r="K227" i="1" a="1"/>
  <c r="K227" i="1" s="1"/>
  <c r="J207" i="1" a="1"/>
  <c r="J207" i="1" s="1"/>
  <c r="L207" i="1"/>
  <c r="K207" i="1" a="1"/>
  <c r="K207" i="1" s="1"/>
  <c r="J187" i="1" a="1"/>
  <c r="J187" i="1" s="1"/>
  <c r="L187" i="1"/>
  <c r="K187" i="1" a="1"/>
  <c r="K187" i="1" s="1"/>
  <c r="J167" i="1" a="1"/>
  <c r="J167" i="1" s="1"/>
  <c r="L167" i="1"/>
  <c r="K167" i="1" a="1"/>
  <c r="K167" i="1" s="1"/>
  <c r="J147" i="1" a="1"/>
  <c r="J147" i="1" s="1"/>
  <c r="L147" i="1"/>
  <c r="K147" i="1" a="1"/>
  <c r="K147" i="1" s="1"/>
  <c r="J127" i="1" a="1"/>
  <c r="J127" i="1" s="1"/>
  <c r="L127" i="1"/>
  <c r="K127" i="1" a="1"/>
  <c r="K127" i="1" s="1"/>
  <c r="J107" i="1" a="1"/>
  <c r="J107" i="1" s="1"/>
  <c r="L107" i="1"/>
  <c r="K107" i="1" a="1"/>
  <c r="K107" i="1" s="1"/>
  <c r="J87" i="1" a="1"/>
  <c r="J87" i="1" s="1"/>
  <c r="L87" i="1"/>
  <c r="K87" i="1" a="1"/>
  <c r="K87" i="1" s="1"/>
  <c r="J67" i="1" a="1"/>
  <c r="J67" i="1" s="1"/>
  <c r="L67" i="1"/>
  <c r="K67" i="1" a="1"/>
  <c r="K67" i="1" s="1"/>
  <c r="J47" i="1" a="1"/>
  <c r="J47" i="1" s="1"/>
  <c r="L47" i="1"/>
  <c r="K47" i="1" a="1"/>
  <c r="K47" i="1" s="1"/>
  <c r="J27" i="1" a="1"/>
  <c r="J27" i="1" s="1"/>
  <c r="L27" i="1"/>
  <c r="K27" i="1" a="1"/>
  <c r="K27" i="1" s="1"/>
  <c r="J7" i="1" a="1"/>
  <c r="J7" i="1" s="1"/>
  <c r="L7" i="1"/>
  <c r="K7" i="1" a="1"/>
  <c r="K7" i="1" s="1"/>
  <c r="J1813" i="1" a="1"/>
  <c r="J1813" i="1" s="1"/>
  <c r="L1813" i="1"/>
  <c r="K1813" i="1" a="1"/>
  <c r="K1813" i="1" s="1"/>
  <c r="J1793" i="1" a="1"/>
  <c r="J1793" i="1" s="1"/>
  <c r="L1793" i="1"/>
  <c r="K1793" i="1" a="1"/>
  <c r="K1793" i="1" s="1"/>
  <c r="J1773" i="1" a="1"/>
  <c r="J1773" i="1" s="1"/>
  <c r="L1773" i="1"/>
  <c r="K1773" i="1" a="1"/>
  <c r="K1773" i="1" s="1"/>
  <c r="J1753" i="1" a="1"/>
  <c r="J1753" i="1" s="1"/>
  <c r="L1753" i="1"/>
  <c r="K1753" i="1" a="1"/>
  <c r="K1753" i="1" s="1"/>
  <c r="J1733" i="1" a="1"/>
  <c r="J1733" i="1" s="1"/>
  <c r="L1733" i="1"/>
  <c r="K1733" i="1" a="1"/>
  <c r="K1733" i="1" s="1"/>
  <c r="J1713" i="1" a="1"/>
  <c r="J1713" i="1" s="1"/>
  <c r="L1713" i="1"/>
  <c r="K1713" i="1" a="1"/>
  <c r="K1713" i="1" s="1"/>
  <c r="J1693" i="1" a="1"/>
  <c r="J1693" i="1" s="1"/>
  <c r="L1693" i="1"/>
  <c r="K1693" i="1" a="1"/>
  <c r="K1693" i="1" s="1"/>
  <c r="J1673" i="1" a="1"/>
  <c r="J1673" i="1" s="1"/>
  <c r="L1673" i="1"/>
  <c r="K1673" i="1" a="1"/>
  <c r="K1673" i="1" s="1"/>
  <c r="J1653" i="1" a="1"/>
  <c r="J1653" i="1" s="1"/>
  <c r="L1653" i="1"/>
  <c r="K1653" i="1" a="1"/>
  <c r="K1653" i="1" s="1"/>
  <c r="J1633" i="1" a="1"/>
  <c r="J1633" i="1" s="1"/>
  <c r="L1633" i="1"/>
  <c r="K1633" i="1" a="1"/>
  <c r="K1633" i="1" s="1"/>
  <c r="J1613" i="1" a="1"/>
  <c r="J1613" i="1" s="1"/>
  <c r="L1613" i="1"/>
  <c r="K1613" i="1" a="1"/>
  <c r="K1613" i="1" s="1"/>
  <c r="J1593" i="1" a="1"/>
  <c r="J1593" i="1" s="1"/>
  <c r="L1593" i="1"/>
  <c r="K1593" i="1" a="1"/>
  <c r="K1593" i="1" s="1"/>
  <c r="J1573" i="1" a="1"/>
  <c r="J1573" i="1" s="1"/>
  <c r="L1573" i="1"/>
  <c r="K1573" i="1" a="1"/>
  <c r="K1573" i="1" s="1"/>
  <c r="J1426" i="1" a="1"/>
  <c r="J1426" i="1" s="1"/>
  <c r="L1426" i="1"/>
  <c r="K1426" i="1" a="1"/>
  <c r="K1426" i="1" s="1"/>
  <c r="J1406" i="1" a="1"/>
  <c r="J1406" i="1" s="1"/>
  <c r="L1406" i="1"/>
  <c r="K1406" i="1" a="1"/>
  <c r="K1406" i="1" s="1"/>
  <c r="J1386" i="1" a="1"/>
  <c r="J1386" i="1" s="1"/>
  <c r="L1386" i="1"/>
  <c r="K1386" i="1" a="1"/>
  <c r="K1386" i="1" s="1"/>
  <c r="J1366" i="1" a="1"/>
  <c r="J1366" i="1" s="1"/>
  <c r="L1366" i="1"/>
  <c r="K1366" i="1" a="1"/>
  <c r="K1366" i="1" s="1"/>
  <c r="J1346" i="1" a="1"/>
  <c r="J1346" i="1" s="1"/>
  <c r="L1346" i="1"/>
  <c r="K1346" i="1" a="1"/>
  <c r="K1346" i="1" s="1"/>
  <c r="J1326" i="1" a="1"/>
  <c r="J1326" i="1" s="1"/>
  <c r="L1326" i="1"/>
  <c r="K1326" i="1" a="1"/>
  <c r="K1326" i="1" s="1"/>
  <c r="J1306" i="1" a="1"/>
  <c r="J1306" i="1" s="1"/>
  <c r="L1306" i="1"/>
  <c r="K1306" i="1" a="1"/>
  <c r="K1306" i="1" s="1"/>
  <c r="J1286" i="1" a="1"/>
  <c r="J1286" i="1" s="1"/>
  <c r="L1286" i="1"/>
  <c r="K1286" i="1" a="1"/>
  <c r="K1286" i="1" s="1"/>
  <c r="J1266" i="1" a="1"/>
  <c r="J1266" i="1" s="1"/>
  <c r="L1266" i="1"/>
  <c r="K1266" i="1" a="1"/>
  <c r="K1266" i="1" s="1"/>
  <c r="J1246" i="1" a="1"/>
  <c r="J1246" i="1" s="1"/>
  <c r="L1246" i="1"/>
  <c r="K1246" i="1" a="1"/>
  <c r="K1246" i="1" s="1"/>
  <c r="J1226" i="1" a="1"/>
  <c r="J1226" i="1" s="1"/>
  <c r="L1226" i="1"/>
  <c r="K1226" i="1" a="1"/>
  <c r="K1226" i="1" s="1"/>
  <c r="J1206" i="1" a="1"/>
  <c r="J1206" i="1" s="1"/>
  <c r="L1206" i="1"/>
  <c r="K1206" i="1" a="1"/>
  <c r="K1206" i="1" s="1"/>
  <c r="J1186" i="1" a="1"/>
  <c r="J1186" i="1" s="1"/>
  <c r="L1186" i="1"/>
  <c r="K1186" i="1" a="1"/>
  <c r="K1186" i="1" s="1"/>
  <c r="J1166" i="1" a="1"/>
  <c r="J1166" i="1" s="1"/>
  <c r="L1166" i="1"/>
  <c r="K1166" i="1" a="1"/>
  <c r="K1166" i="1" s="1"/>
  <c r="J1146" i="1" a="1"/>
  <c r="J1146" i="1" s="1"/>
  <c r="L1146" i="1"/>
  <c r="K1146" i="1" a="1"/>
  <c r="K1146" i="1" s="1"/>
  <c r="J1126" i="1" a="1"/>
  <c r="J1126" i="1" s="1"/>
  <c r="L1126" i="1"/>
  <c r="K1126" i="1" a="1"/>
  <c r="K1126" i="1" s="1"/>
  <c r="J1106" i="1" a="1"/>
  <c r="J1106" i="1" s="1"/>
  <c r="L1106" i="1"/>
  <c r="K1106" i="1" a="1"/>
  <c r="K1106" i="1" s="1"/>
  <c r="J1086" i="1" a="1"/>
  <c r="J1086" i="1" s="1"/>
  <c r="L1086" i="1"/>
  <c r="K1086" i="1" a="1"/>
  <c r="K1086" i="1" s="1"/>
  <c r="J1066" i="1" a="1"/>
  <c r="J1066" i="1" s="1"/>
  <c r="L1066" i="1"/>
  <c r="K1066" i="1" a="1"/>
  <c r="K1066" i="1" s="1"/>
  <c r="J1046" i="1" a="1"/>
  <c r="J1046" i="1" s="1"/>
  <c r="L1046" i="1"/>
  <c r="K1046" i="1" a="1"/>
  <c r="K1046" i="1" s="1"/>
  <c r="J1026" i="1" a="1"/>
  <c r="J1026" i="1" s="1"/>
  <c r="L1026" i="1"/>
  <c r="K1026" i="1" a="1"/>
  <c r="K1026" i="1" s="1"/>
  <c r="J1006" i="1" a="1"/>
  <c r="J1006" i="1" s="1"/>
  <c r="L1006" i="1"/>
  <c r="K1006" i="1" a="1"/>
  <c r="K1006" i="1" s="1"/>
  <c r="J986" i="1" a="1"/>
  <c r="J986" i="1" s="1"/>
  <c r="L986" i="1"/>
  <c r="K986" i="1" a="1"/>
  <c r="K986" i="1" s="1"/>
  <c r="J966" i="1" a="1"/>
  <c r="J966" i="1" s="1"/>
  <c r="L966" i="1"/>
  <c r="K966" i="1" a="1"/>
  <c r="K966" i="1" s="1"/>
  <c r="J946" i="1" a="1"/>
  <c r="J946" i="1" s="1"/>
  <c r="L946" i="1"/>
  <c r="K946" i="1" a="1"/>
  <c r="K946" i="1" s="1"/>
  <c r="J926" i="1" a="1"/>
  <c r="J926" i="1" s="1"/>
  <c r="L926" i="1"/>
  <c r="K926" i="1" a="1"/>
  <c r="K926" i="1" s="1"/>
  <c r="J906" i="1" a="1"/>
  <c r="J906" i="1" s="1"/>
  <c r="L906" i="1"/>
  <c r="K906" i="1" a="1"/>
  <c r="K906" i="1" s="1"/>
  <c r="J886" i="1" a="1"/>
  <c r="J886" i="1" s="1"/>
  <c r="L886" i="1"/>
  <c r="K886" i="1" a="1"/>
  <c r="K886" i="1" s="1"/>
  <c r="J866" i="1" a="1"/>
  <c r="J866" i="1" s="1"/>
  <c r="L866" i="1"/>
  <c r="K866" i="1" a="1"/>
  <c r="K866" i="1" s="1"/>
  <c r="J846" i="1" a="1"/>
  <c r="J846" i="1" s="1"/>
  <c r="L846" i="1"/>
  <c r="K846" i="1" a="1"/>
  <c r="K846" i="1" s="1"/>
  <c r="J826" i="1" a="1"/>
  <c r="J826" i="1" s="1"/>
  <c r="L826" i="1"/>
  <c r="K826" i="1" a="1"/>
  <c r="K826" i="1" s="1"/>
  <c r="J806" i="1" a="1"/>
  <c r="J806" i="1" s="1"/>
  <c r="K806" i="1" a="1"/>
  <c r="K806" i="1" s="1"/>
  <c r="L806" i="1"/>
  <c r="J786" i="1" a="1"/>
  <c r="J786" i="1" s="1"/>
  <c r="L786" i="1"/>
  <c r="K786" i="1" a="1"/>
  <c r="K786" i="1" s="1"/>
  <c r="J766" i="1" a="1"/>
  <c r="J766" i="1" s="1"/>
  <c r="L766" i="1"/>
  <c r="K766" i="1" a="1"/>
  <c r="K766" i="1" s="1"/>
  <c r="J746" i="1" a="1"/>
  <c r="J746" i="1" s="1"/>
  <c r="L746" i="1"/>
  <c r="K746" i="1" a="1"/>
  <c r="K746" i="1" s="1"/>
  <c r="J726" i="1" a="1"/>
  <c r="J726" i="1" s="1"/>
  <c r="L726" i="1"/>
  <c r="K726" i="1" a="1"/>
  <c r="K726" i="1" s="1"/>
  <c r="J706" i="1" a="1"/>
  <c r="J706" i="1" s="1"/>
  <c r="L706" i="1"/>
  <c r="K706" i="1" a="1"/>
  <c r="K706" i="1" s="1"/>
  <c r="J686" i="1" a="1"/>
  <c r="J686" i="1" s="1"/>
  <c r="L686" i="1"/>
  <c r="K686" i="1" a="1"/>
  <c r="K686" i="1" s="1"/>
  <c r="J666" i="1" a="1"/>
  <c r="J666" i="1" s="1"/>
  <c r="L666" i="1"/>
  <c r="K666" i="1" a="1"/>
  <c r="K666" i="1" s="1"/>
  <c r="J646" i="1" a="1"/>
  <c r="J646" i="1" s="1"/>
  <c r="L646" i="1"/>
  <c r="K646" i="1" a="1"/>
  <c r="K646" i="1" s="1"/>
  <c r="J626" i="1" a="1"/>
  <c r="J626" i="1" s="1"/>
  <c r="L626" i="1"/>
  <c r="K626" i="1" a="1"/>
  <c r="K626" i="1" s="1"/>
  <c r="J606" i="1" a="1"/>
  <c r="J606" i="1" s="1"/>
  <c r="L606" i="1"/>
  <c r="K606" i="1" a="1"/>
  <c r="K606" i="1" s="1"/>
  <c r="J586" i="1" a="1"/>
  <c r="J586" i="1" s="1"/>
  <c r="L586" i="1"/>
  <c r="K586" i="1" a="1"/>
  <c r="K586" i="1" s="1"/>
  <c r="J566" i="1" a="1"/>
  <c r="J566" i="1" s="1"/>
  <c r="L566" i="1"/>
  <c r="K566" i="1" a="1"/>
  <c r="K566" i="1" s="1"/>
  <c r="J546" i="1" a="1"/>
  <c r="J546" i="1" s="1"/>
  <c r="L546" i="1"/>
  <c r="K546" i="1" a="1"/>
  <c r="K546" i="1" s="1"/>
  <c r="J526" i="1" a="1"/>
  <c r="J526" i="1" s="1"/>
  <c r="L526" i="1"/>
  <c r="K526" i="1" a="1"/>
  <c r="K526" i="1" s="1"/>
  <c r="J506" i="1" a="1"/>
  <c r="J506" i="1" s="1"/>
  <c r="L506" i="1"/>
  <c r="K506" i="1" a="1"/>
  <c r="K506" i="1" s="1"/>
  <c r="J486" i="1" a="1"/>
  <c r="J486" i="1" s="1"/>
  <c r="L486" i="1"/>
  <c r="K486" i="1" a="1"/>
  <c r="K486" i="1" s="1"/>
  <c r="J466" i="1" a="1"/>
  <c r="J466" i="1" s="1"/>
  <c r="L466" i="1"/>
  <c r="K466" i="1" a="1"/>
  <c r="K466" i="1" s="1"/>
  <c r="J446" i="1" a="1"/>
  <c r="J446" i="1" s="1"/>
  <c r="L446" i="1"/>
  <c r="K446" i="1" a="1"/>
  <c r="K446" i="1" s="1"/>
  <c r="J426" i="1" a="1"/>
  <c r="J426" i="1" s="1"/>
  <c r="L426" i="1"/>
  <c r="K426" i="1" a="1"/>
  <c r="K426" i="1" s="1"/>
  <c r="J406" i="1" a="1"/>
  <c r="J406" i="1" s="1"/>
  <c r="L406" i="1"/>
  <c r="K406" i="1" a="1"/>
  <c r="K406" i="1" s="1"/>
  <c r="J386" i="1" a="1"/>
  <c r="J386" i="1" s="1"/>
  <c r="K386" i="1" a="1"/>
  <c r="K386" i="1" s="1"/>
  <c r="L386" i="1"/>
  <c r="J366" i="1" a="1"/>
  <c r="J366" i="1" s="1"/>
  <c r="L366" i="1"/>
  <c r="K366" i="1" a="1"/>
  <c r="K366" i="1" s="1"/>
  <c r="J346" i="1" a="1"/>
  <c r="J346" i="1" s="1"/>
  <c r="K346" i="1" a="1"/>
  <c r="K346" i="1" s="1"/>
  <c r="L346" i="1"/>
  <c r="J326" i="1" a="1"/>
  <c r="J326" i="1" s="1"/>
  <c r="K326" i="1" a="1"/>
  <c r="K326" i="1" s="1"/>
  <c r="L326" i="1"/>
  <c r="J306" i="1" a="1"/>
  <c r="J306" i="1" s="1"/>
  <c r="K306" i="1" a="1"/>
  <c r="K306" i="1" s="1"/>
  <c r="L306" i="1"/>
  <c r="J286" i="1" a="1"/>
  <c r="J286" i="1" s="1"/>
  <c r="K286" i="1" a="1"/>
  <c r="K286" i="1" s="1"/>
  <c r="L286" i="1"/>
  <c r="J266" i="1" a="1"/>
  <c r="J266" i="1" s="1"/>
  <c r="L266" i="1"/>
  <c r="K266" i="1" a="1"/>
  <c r="K266" i="1" s="1"/>
  <c r="J246" i="1" a="1"/>
  <c r="J246" i="1" s="1"/>
  <c r="K246" i="1" a="1"/>
  <c r="K246" i="1" s="1"/>
  <c r="L246" i="1"/>
  <c r="J226" i="1" a="1"/>
  <c r="J226" i="1" s="1"/>
  <c r="L226" i="1"/>
  <c r="K226" i="1" a="1"/>
  <c r="K226" i="1" s="1"/>
  <c r="J206" i="1" a="1"/>
  <c r="J206" i="1" s="1"/>
  <c r="L206" i="1"/>
  <c r="K206" i="1" a="1"/>
  <c r="K206" i="1" s="1"/>
  <c r="J186" i="1" a="1"/>
  <c r="J186" i="1" s="1"/>
  <c r="K186" i="1" a="1"/>
  <c r="K186" i="1" s="1"/>
  <c r="L186" i="1"/>
  <c r="J166" i="1" a="1"/>
  <c r="J166" i="1" s="1"/>
  <c r="L166" i="1"/>
  <c r="K166" i="1" a="1"/>
  <c r="K166" i="1" s="1"/>
  <c r="J146" i="1" a="1"/>
  <c r="J146" i="1" s="1"/>
  <c r="K146" i="1" a="1"/>
  <c r="K146" i="1" s="1"/>
  <c r="L146" i="1"/>
  <c r="J126" i="1" a="1"/>
  <c r="J126" i="1" s="1"/>
  <c r="L126" i="1"/>
  <c r="K126" i="1" a="1"/>
  <c r="K126" i="1" s="1"/>
  <c r="J106" i="1" a="1"/>
  <c r="J106" i="1" s="1"/>
  <c r="L106" i="1"/>
  <c r="K106" i="1" a="1"/>
  <c r="K106" i="1" s="1"/>
  <c r="J86" i="1" a="1"/>
  <c r="J86" i="1" s="1"/>
  <c r="L86" i="1"/>
  <c r="K86" i="1" a="1"/>
  <c r="K86" i="1" s="1"/>
  <c r="J66" i="1" a="1"/>
  <c r="J66" i="1" s="1"/>
  <c r="L66" i="1"/>
  <c r="K66" i="1" a="1"/>
  <c r="K66" i="1" s="1"/>
  <c r="J46" i="1" a="1"/>
  <c r="J46" i="1" s="1"/>
  <c r="L46" i="1"/>
  <c r="K46" i="1" a="1"/>
  <c r="K46" i="1" s="1"/>
  <c r="J26" i="1" a="1"/>
  <c r="J26" i="1" s="1"/>
  <c r="L26" i="1"/>
  <c r="K26" i="1" a="1"/>
  <c r="K26" i="1" s="1"/>
  <c r="J6" i="1" a="1"/>
  <c r="J6" i="1" s="1"/>
  <c r="L6" i="1"/>
  <c r="K6" i="1" a="1"/>
  <c r="K6" i="1" s="1"/>
  <c r="J1014" i="1" a="1"/>
  <c r="J1014" i="1" s="1"/>
  <c r="L1014" i="1"/>
  <c r="K1014" i="1" a="1"/>
  <c r="K1014" i="1" s="1"/>
  <c r="J854" i="1" a="1"/>
  <c r="J854" i="1" s="1"/>
  <c r="L854" i="1"/>
  <c r="K854" i="1" a="1"/>
  <c r="K854" i="1" s="1"/>
  <c r="J674" i="1" a="1"/>
  <c r="J674" i="1" s="1"/>
  <c r="L674" i="1"/>
  <c r="K674" i="1" a="1"/>
  <c r="K674" i="1" s="1"/>
  <c r="J554" i="1" a="1"/>
  <c r="J554" i="1" s="1"/>
  <c r="L554" i="1"/>
  <c r="K554" i="1" a="1"/>
  <c r="K554" i="1" s="1"/>
  <c r="J414" i="1" a="1"/>
  <c r="J414" i="1" s="1"/>
  <c r="L414" i="1"/>
  <c r="K414" i="1" a="1"/>
  <c r="K414" i="1" s="1"/>
  <c r="J34" i="1" a="1"/>
  <c r="J34" i="1" s="1"/>
  <c r="L34" i="1"/>
  <c r="K34" i="1" a="1"/>
  <c r="K34" i="1" s="1"/>
  <c r="J1780" i="1" a="1"/>
  <c r="J1780" i="1" s="1"/>
  <c r="L1780" i="1"/>
  <c r="K1780" i="1" a="1"/>
  <c r="K1780" i="1" s="1"/>
  <c r="J1640" i="1" a="1"/>
  <c r="J1640" i="1" s="1"/>
  <c r="L1640" i="1"/>
  <c r="K1640" i="1" a="1"/>
  <c r="K1640" i="1" s="1"/>
  <c r="J1413" i="1" a="1"/>
  <c r="J1413" i="1" s="1"/>
  <c r="L1413" i="1"/>
  <c r="K1413" i="1" a="1"/>
  <c r="K1413" i="1" s="1"/>
  <c r="J1273" i="1" a="1"/>
  <c r="J1273" i="1" s="1"/>
  <c r="L1273" i="1"/>
  <c r="K1273" i="1" a="1"/>
  <c r="K1273" i="1" s="1"/>
  <c r="J1133" i="1" a="1"/>
  <c r="J1133" i="1" s="1"/>
  <c r="L1133" i="1"/>
  <c r="K1133" i="1" a="1"/>
  <c r="K1133" i="1" s="1"/>
  <c r="J993" i="1" a="1"/>
  <c r="J993" i="1" s="1"/>
  <c r="L993" i="1"/>
  <c r="K993" i="1" a="1"/>
  <c r="K993" i="1" s="1"/>
  <c r="J873" i="1" a="1"/>
  <c r="J873" i="1" s="1"/>
  <c r="L873" i="1"/>
  <c r="K873" i="1" a="1"/>
  <c r="K873" i="1" s="1"/>
  <c r="J733" i="1" a="1"/>
  <c r="J733" i="1" s="1"/>
  <c r="L733" i="1"/>
  <c r="K733" i="1" a="1"/>
  <c r="K733" i="1" s="1"/>
  <c r="J573" i="1" a="1"/>
  <c r="J573" i="1" s="1"/>
  <c r="L573" i="1"/>
  <c r="K573" i="1" a="1"/>
  <c r="K573" i="1" s="1"/>
  <c r="J413" i="1" a="1"/>
  <c r="J413" i="1" s="1"/>
  <c r="L413" i="1"/>
  <c r="K413" i="1" a="1"/>
  <c r="K413" i="1" s="1"/>
  <c r="J93" i="1" a="1"/>
  <c r="J93" i="1" s="1"/>
  <c r="L93" i="1"/>
  <c r="K93" i="1" a="1"/>
  <c r="K93" i="1" s="1"/>
  <c r="J1819" i="1" a="1"/>
  <c r="J1819" i="1" s="1"/>
  <c r="L1819" i="1"/>
  <c r="K1819" i="1" a="1"/>
  <c r="K1819" i="1" s="1"/>
  <c r="J1659" i="1" a="1"/>
  <c r="J1659" i="1" s="1"/>
  <c r="L1659" i="1"/>
  <c r="K1659" i="1" a="1"/>
  <c r="K1659" i="1" s="1"/>
  <c r="J1392" i="1" a="1"/>
  <c r="J1392" i="1" s="1"/>
  <c r="L1392" i="1"/>
  <c r="K1392" i="1" a="1"/>
  <c r="K1392" i="1" s="1"/>
  <c r="J1252" i="1" a="1"/>
  <c r="J1252" i="1" s="1"/>
  <c r="L1252" i="1"/>
  <c r="K1252" i="1" a="1"/>
  <c r="K1252" i="1" s="1"/>
  <c r="J1112" i="1" a="1"/>
  <c r="J1112" i="1" s="1"/>
  <c r="L1112" i="1"/>
  <c r="K1112" i="1" a="1"/>
  <c r="K1112" i="1" s="1"/>
  <c r="J952" i="1" a="1"/>
  <c r="J952" i="1" s="1"/>
  <c r="L952" i="1"/>
  <c r="K952" i="1" a="1"/>
  <c r="K952" i="1" s="1"/>
  <c r="J812" i="1" a="1"/>
  <c r="J812" i="1" s="1"/>
  <c r="L812" i="1"/>
  <c r="K812" i="1" a="1"/>
  <c r="K812" i="1" s="1"/>
  <c r="J692" i="1" a="1"/>
  <c r="J692" i="1" s="1"/>
  <c r="L692" i="1"/>
  <c r="K692" i="1" a="1"/>
  <c r="K692" i="1" s="1"/>
  <c r="J552" i="1" a="1"/>
  <c r="J552" i="1" s="1"/>
  <c r="L552" i="1"/>
  <c r="K552" i="1" a="1"/>
  <c r="K552" i="1" s="1"/>
  <c r="J372" i="1" a="1"/>
  <c r="J372" i="1" s="1"/>
  <c r="L372" i="1"/>
  <c r="K372" i="1" a="1"/>
  <c r="K372" i="1" s="1"/>
  <c r="J32" i="1" a="1"/>
  <c r="J32" i="1" s="1"/>
  <c r="L32" i="1"/>
  <c r="K32" i="1" a="1"/>
  <c r="K32" i="1" s="1"/>
  <c r="J1738" i="1" a="1"/>
  <c r="J1738" i="1" s="1"/>
  <c r="L1738" i="1"/>
  <c r="K1738" i="1" a="1"/>
  <c r="K1738" i="1" s="1"/>
  <c r="J1598" i="1" a="1"/>
  <c r="J1598" i="1" s="1"/>
  <c r="L1598" i="1"/>
  <c r="K1598" i="1" a="1"/>
  <c r="K1598" i="1" s="1"/>
  <c r="J1331" i="1" a="1"/>
  <c r="J1331" i="1" s="1"/>
  <c r="L1331" i="1"/>
  <c r="K1331" i="1" a="1"/>
  <c r="K1331" i="1" s="1"/>
  <c r="J1191" i="1" a="1"/>
  <c r="J1191" i="1" s="1"/>
  <c r="L1191" i="1"/>
  <c r="K1191" i="1" a="1"/>
  <c r="K1191" i="1" s="1"/>
  <c r="J1051" i="1" a="1"/>
  <c r="J1051" i="1" s="1"/>
  <c r="L1051" i="1"/>
  <c r="K1051" i="1" a="1"/>
  <c r="K1051" i="1" s="1"/>
  <c r="J851" i="1" a="1"/>
  <c r="J851" i="1" s="1"/>
  <c r="L851" i="1"/>
  <c r="K851" i="1" a="1"/>
  <c r="K851" i="1" s="1"/>
  <c r="J631" i="1" a="1"/>
  <c r="J631" i="1" s="1"/>
  <c r="L631" i="1"/>
  <c r="K631" i="1" a="1"/>
  <c r="K631" i="1" s="1"/>
  <c r="J391" i="1" a="1"/>
  <c r="J391" i="1" s="1"/>
  <c r="L391" i="1"/>
  <c r="K391" i="1" a="1"/>
  <c r="K391" i="1" s="1"/>
  <c r="J31" i="1" a="1"/>
  <c r="J31" i="1" s="1"/>
  <c r="L31" i="1"/>
  <c r="K31" i="1" a="1"/>
  <c r="K31" i="1" s="1"/>
  <c r="J1737" i="1" a="1"/>
  <c r="J1737" i="1" s="1"/>
  <c r="L1737" i="1"/>
  <c r="K1737" i="1" a="1"/>
  <c r="K1737" i="1" s="1"/>
  <c r="J1597" i="1" a="1"/>
  <c r="J1597" i="1" s="1"/>
  <c r="L1597" i="1"/>
  <c r="K1597" i="1" a="1"/>
  <c r="K1597" i="1" s="1"/>
  <c r="J1330" i="1" a="1"/>
  <c r="J1330" i="1" s="1"/>
  <c r="L1330" i="1"/>
  <c r="K1330" i="1" a="1"/>
  <c r="K1330" i="1" s="1"/>
  <c r="J1150" i="1" a="1"/>
  <c r="J1150" i="1" s="1"/>
  <c r="L1150" i="1"/>
  <c r="K1150" i="1" a="1"/>
  <c r="K1150" i="1" s="1"/>
  <c r="J1010" i="1" a="1"/>
  <c r="J1010" i="1" s="1"/>
  <c r="L1010" i="1"/>
  <c r="K1010" i="1" a="1"/>
  <c r="K1010" i="1" s="1"/>
  <c r="J850" i="1" a="1"/>
  <c r="J850" i="1" s="1"/>
  <c r="L850" i="1"/>
  <c r="K850" i="1" a="1"/>
  <c r="K850" i="1" s="1"/>
  <c r="J690" i="1" a="1"/>
  <c r="J690" i="1" s="1"/>
  <c r="L690" i="1"/>
  <c r="K690" i="1" a="1"/>
  <c r="K690" i="1" s="1"/>
  <c r="J530" i="1" a="1"/>
  <c r="J530" i="1" s="1"/>
  <c r="L530" i="1"/>
  <c r="K530" i="1" a="1"/>
  <c r="K530" i="1" s="1"/>
  <c r="J370" i="1" a="1"/>
  <c r="J370" i="1" s="1"/>
  <c r="L370" i="1"/>
  <c r="K370" i="1" a="1"/>
  <c r="K370" i="1" s="1"/>
  <c r="J70" i="1" a="1"/>
  <c r="J70" i="1" s="1"/>
  <c r="L70" i="1"/>
  <c r="K70" i="1" a="1"/>
  <c r="K70" i="1" s="1"/>
  <c r="J1776" i="1" a="1"/>
  <c r="J1776" i="1" s="1"/>
  <c r="L1776" i="1"/>
  <c r="K1776" i="1" a="1"/>
  <c r="K1776" i="1" s="1"/>
  <c r="J1616" i="1" a="1"/>
  <c r="J1616" i="1" s="1"/>
  <c r="L1616" i="1"/>
  <c r="K1616" i="1" a="1"/>
  <c r="K1616" i="1" s="1"/>
  <c r="J1369" i="1" a="1"/>
  <c r="J1369" i="1" s="1"/>
  <c r="L1369" i="1"/>
  <c r="K1369" i="1" a="1"/>
  <c r="K1369" i="1" s="1"/>
  <c r="J1249" i="1" a="1"/>
  <c r="J1249" i="1" s="1"/>
  <c r="L1249" i="1"/>
  <c r="K1249" i="1" a="1"/>
  <c r="K1249" i="1" s="1"/>
  <c r="J1129" i="1" a="1"/>
  <c r="J1129" i="1" s="1"/>
  <c r="L1129" i="1"/>
  <c r="K1129" i="1" a="1"/>
  <c r="K1129" i="1" s="1"/>
  <c r="J1009" i="1" a="1"/>
  <c r="J1009" i="1" s="1"/>
  <c r="L1009" i="1"/>
  <c r="K1009" i="1" a="1"/>
  <c r="K1009" i="1" s="1"/>
  <c r="J829" i="1" a="1"/>
  <c r="J829" i="1" s="1"/>
  <c r="L829" i="1"/>
  <c r="K829" i="1" a="1"/>
  <c r="K829" i="1" s="1"/>
  <c r="J649" i="1" a="1"/>
  <c r="J649" i="1" s="1"/>
  <c r="L649" i="1"/>
  <c r="K649" i="1" a="1"/>
  <c r="K649" i="1" s="1"/>
  <c r="J489" i="1" a="1"/>
  <c r="J489" i="1" s="1"/>
  <c r="L489" i="1"/>
  <c r="K489" i="1" a="1"/>
  <c r="K489" i="1" s="1"/>
  <c r="J329" i="1" a="1"/>
  <c r="J329" i="1" s="1"/>
  <c r="L329" i="1"/>
  <c r="K329" i="1" a="1"/>
  <c r="K329" i="1" s="1"/>
  <c r="J49" i="1" a="1"/>
  <c r="J49" i="1" s="1"/>
  <c r="L49" i="1"/>
  <c r="K49" i="1" a="1"/>
  <c r="K49" i="1" s="1"/>
  <c r="J1752" i="1" a="1"/>
  <c r="J1752" i="1" s="1"/>
  <c r="L1752" i="1"/>
  <c r="K1752" i="1" a="1"/>
  <c r="K1752" i="1" s="1"/>
  <c r="J1692" i="1" a="1"/>
  <c r="J1692" i="1" s="1"/>
  <c r="L1692" i="1"/>
  <c r="K1692" i="1" a="1"/>
  <c r="K1692" i="1" s="1"/>
  <c r="J1592" i="1" a="1"/>
  <c r="J1592" i="1" s="1"/>
  <c r="L1592" i="1"/>
  <c r="K1592" i="1" a="1"/>
  <c r="K1592" i="1" s="1"/>
  <c r="J1365" i="1" a="1"/>
  <c r="J1365" i="1" s="1"/>
  <c r="L1365" i="1"/>
  <c r="K1365" i="1" a="1"/>
  <c r="K1365" i="1" s="1"/>
  <c r="J1305" i="1" a="1"/>
  <c r="J1305" i="1" s="1"/>
  <c r="L1305" i="1"/>
  <c r="K1305" i="1" a="1"/>
  <c r="K1305" i="1" s="1"/>
  <c r="J1225" i="1" a="1"/>
  <c r="J1225" i="1" s="1"/>
  <c r="L1225" i="1"/>
  <c r="K1225" i="1" a="1"/>
  <c r="K1225" i="1" s="1"/>
  <c r="J1125" i="1" a="1"/>
  <c r="J1125" i="1" s="1"/>
  <c r="L1125" i="1"/>
  <c r="K1125" i="1" a="1"/>
  <c r="K1125" i="1" s="1"/>
  <c r="J1045" i="1" a="1"/>
  <c r="J1045" i="1" s="1"/>
  <c r="L1045" i="1"/>
  <c r="K1045" i="1" a="1"/>
  <c r="K1045" i="1" s="1"/>
  <c r="J945" i="1" a="1"/>
  <c r="J945" i="1" s="1"/>
  <c r="L945" i="1"/>
  <c r="K945" i="1" a="1"/>
  <c r="K945" i="1" s="1"/>
  <c r="J865" i="1" a="1"/>
  <c r="J865" i="1" s="1"/>
  <c r="L865" i="1"/>
  <c r="K865" i="1" a="1"/>
  <c r="K865" i="1" s="1"/>
  <c r="J785" i="1" a="1"/>
  <c r="J785" i="1" s="1"/>
  <c r="L785" i="1"/>
  <c r="K785" i="1" a="1"/>
  <c r="K785" i="1" s="1"/>
  <c r="J705" i="1" a="1"/>
  <c r="J705" i="1" s="1"/>
  <c r="L705" i="1"/>
  <c r="K705" i="1" a="1"/>
  <c r="K705" i="1" s="1"/>
  <c r="J605" i="1" a="1"/>
  <c r="J605" i="1" s="1"/>
  <c r="L605" i="1"/>
  <c r="K605" i="1" a="1"/>
  <c r="K605" i="1" s="1"/>
  <c r="J525" i="1" a="1"/>
  <c r="J525" i="1" s="1"/>
  <c r="L525" i="1"/>
  <c r="K525" i="1" a="1"/>
  <c r="K525" i="1" s="1"/>
  <c r="J445" i="1" a="1"/>
  <c r="J445" i="1" s="1"/>
  <c r="L445" i="1"/>
  <c r="K445" i="1" a="1"/>
  <c r="K445" i="1" s="1"/>
  <c r="J345" i="1" a="1"/>
  <c r="J345" i="1" s="1"/>
  <c r="L345" i="1"/>
  <c r="K345" i="1" a="1"/>
  <c r="K345" i="1" s="1"/>
  <c r="J245" i="1" a="1"/>
  <c r="J245" i="1" s="1"/>
  <c r="L245" i="1"/>
  <c r="K245" i="1" a="1"/>
  <c r="K245" i="1" s="1"/>
  <c r="J45" i="1" a="1"/>
  <c r="J45" i="1" s="1"/>
  <c r="L45" i="1"/>
  <c r="K45" i="1" a="1"/>
  <c r="K45" i="1" s="1"/>
  <c r="J1791" i="1" a="1"/>
  <c r="J1791" i="1" s="1"/>
  <c r="L1791" i="1"/>
  <c r="K1791" i="1" a="1"/>
  <c r="K1791" i="1" s="1"/>
  <c r="J1691" i="1" a="1"/>
  <c r="J1691" i="1" s="1"/>
  <c r="L1691" i="1"/>
  <c r="K1691" i="1" a="1"/>
  <c r="K1691" i="1" s="1"/>
  <c r="J1611" i="1" a="1"/>
  <c r="J1611" i="1" s="1"/>
  <c r="L1611" i="1"/>
  <c r="K1611" i="1" a="1"/>
  <c r="K1611" i="1" s="1"/>
  <c r="J1404" i="1" a="1"/>
  <c r="J1404" i="1" s="1"/>
  <c r="L1404" i="1"/>
  <c r="K1404" i="1" a="1"/>
  <c r="K1404" i="1" s="1"/>
  <c r="J1324" i="1" a="1"/>
  <c r="J1324" i="1" s="1"/>
  <c r="L1324" i="1"/>
  <c r="K1324" i="1" a="1"/>
  <c r="K1324" i="1" s="1"/>
  <c r="J1264" i="1" a="1"/>
  <c r="J1264" i="1" s="1"/>
  <c r="L1264" i="1"/>
  <c r="K1264" i="1" a="1"/>
  <c r="K1264" i="1" s="1"/>
  <c r="J1204" i="1" a="1"/>
  <c r="J1204" i="1" s="1"/>
  <c r="L1204" i="1"/>
  <c r="K1204" i="1" a="1"/>
  <c r="K1204" i="1" s="1"/>
  <c r="J1124" i="1" a="1"/>
  <c r="J1124" i="1" s="1"/>
  <c r="L1124" i="1"/>
  <c r="K1124" i="1" a="1"/>
  <c r="K1124" i="1" s="1"/>
  <c r="J1044" i="1" a="1"/>
  <c r="J1044" i="1" s="1"/>
  <c r="L1044" i="1"/>
  <c r="K1044" i="1" a="1"/>
  <c r="K1044" i="1" s="1"/>
  <c r="J964" i="1" a="1"/>
  <c r="J964" i="1" s="1"/>
  <c r="L964" i="1"/>
  <c r="K964" i="1" a="1"/>
  <c r="K964" i="1" s="1"/>
  <c r="J864" i="1" a="1"/>
  <c r="J864" i="1" s="1"/>
  <c r="L864" i="1"/>
  <c r="K864" i="1" a="1"/>
  <c r="K864" i="1" s="1"/>
  <c r="J804" i="1" a="1"/>
  <c r="J804" i="1" s="1"/>
  <c r="L804" i="1"/>
  <c r="K804" i="1" a="1"/>
  <c r="K804" i="1" s="1"/>
  <c r="J724" i="1" a="1"/>
  <c r="J724" i="1" s="1"/>
  <c r="L724" i="1"/>
  <c r="K724" i="1" a="1"/>
  <c r="K724" i="1" s="1"/>
  <c r="J624" i="1" a="1"/>
  <c r="J624" i="1" s="1"/>
  <c r="L624" i="1"/>
  <c r="K624" i="1" a="1"/>
  <c r="K624" i="1" s="1"/>
  <c r="J544" i="1" a="1"/>
  <c r="J544" i="1" s="1"/>
  <c r="L544" i="1"/>
  <c r="K544" i="1" a="1"/>
  <c r="K544" i="1" s="1"/>
  <c r="J464" i="1" a="1"/>
  <c r="J464" i="1" s="1"/>
  <c r="L464" i="1"/>
  <c r="K464" i="1" a="1"/>
  <c r="K464" i="1" s="1"/>
  <c r="J384" i="1" a="1"/>
  <c r="J384" i="1" s="1"/>
  <c r="L384" i="1"/>
  <c r="K384" i="1" a="1"/>
  <c r="K384" i="1" s="1"/>
  <c r="J284" i="1" a="1"/>
  <c r="J284" i="1" s="1"/>
  <c r="L284" i="1"/>
  <c r="K284" i="1" a="1"/>
  <c r="K284" i="1" s="1"/>
  <c r="J204" i="1" a="1"/>
  <c r="J204" i="1" s="1"/>
  <c r="L204" i="1"/>
  <c r="K204" i="1" a="1"/>
  <c r="K204" i="1" s="1"/>
  <c r="J44" i="1" a="1"/>
  <c r="J44" i="1" s="1"/>
  <c r="L44" i="1"/>
  <c r="K44" i="1" a="1"/>
  <c r="K44" i="1" s="1"/>
  <c r="J1810" i="1" a="1"/>
  <c r="J1810" i="1" s="1"/>
  <c r="L1810" i="1"/>
  <c r="K1810" i="1" a="1"/>
  <c r="K1810" i="1" s="1"/>
  <c r="J1730" i="1" a="1"/>
  <c r="J1730" i="1" s="1"/>
  <c r="L1730" i="1"/>
  <c r="K1730" i="1" a="1"/>
  <c r="K1730" i="1" s="1"/>
  <c r="J1670" i="1" a="1"/>
  <c r="J1670" i="1" s="1"/>
  <c r="L1670" i="1"/>
  <c r="K1670" i="1" a="1"/>
  <c r="K1670" i="1" s="1"/>
  <c r="J1590" i="1" a="1"/>
  <c r="J1590" i="1" s="1"/>
  <c r="L1590" i="1"/>
  <c r="K1590" i="1" a="1"/>
  <c r="K1590" i="1" s="1"/>
  <c r="J1423" i="1" a="1"/>
  <c r="J1423" i="1" s="1"/>
  <c r="L1423" i="1"/>
  <c r="K1423" i="1" a="1"/>
  <c r="K1423" i="1" s="1"/>
  <c r="J1383" i="1" a="1"/>
  <c r="J1383" i="1" s="1"/>
  <c r="L1383" i="1"/>
  <c r="K1383" i="1" a="1"/>
  <c r="K1383" i="1" s="1"/>
  <c r="J1363" i="1" a="1"/>
  <c r="J1363" i="1" s="1"/>
  <c r="L1363" i="1"/>
  <c r="K1363" i="1" a="1"/>
  <c r="K1363" i="1" s="1"/>
  <c r="J1343" i="1" a="1"/>
  <c r="J1343" i="1" s="1"/>
  <c r="L1343" i="1"/>
  <c r="K1343" i="1" a="1"/>
  <c r="K1343" i="1" s="1"/>
  <c r="J1303" i="1" a="1"/>
  <c r="J1303" i="1" s="1"/>
  <c r="L1303" i="1"/>
  <c r="K1303" i="1" a="1"/>
  <c r="K1303" i="1" s="1"/>
  <c r="J1283" i="1" a="1"/>
  <c r="J1283" i="1" s="1"/>
  <c r="L1283" i="1"/>
  <c r="K1283" i="1" a="1"/>
  <c r="K1283" i="1" s="1"/>
  <c r="J1243" i="1" a="1"/>
  <c r="J1243" i="1" s="1"/>
  <c r="L1243" i="1"/>
  <c r="K1243" i="1" a="1"/>
  <c r="K1243" i="1" s="1"/>
  <c r="J1223" i="1" a="1"/>
  <c r="J1223" i="1" s="1"/>
  <c r="L1223" i="1"/>
  <c r="K1223" i="1" a="1"/>
  <c r="K1223" i="1" s="1"/>
  <c r="J1203" i="1" a="1"/>
  <c r="J1203" i="1" s="1"/>
  <c r="L1203" i="1"/>
  <c r="K1203" i="1" a="1"/>
  <c r="K1203" i="1" s="1"/>
  <c r="J1183" i="1" a="1"/>
  <c r="J1183" i="1" s="1"/>
  <c r="L1183" i="1"/>
  <c r="K1183" i="1" a="1"/>
  <c r="K1183" i="1" s="1"/>
  <c r="J1163" i="1" a="1"/>
  <c r="J1163" i="1" s="1"/>
  <c r="L1163" i="1"/>
  <c r="K1163" i="1" a="1"/>
  <c r="K1163" i="1" s="1"/>
  <c r="J1143" i="1" a="1"/>
  <c r="J1143" i="1" s="1"/>
  <c r="L1143" i="1"/>
  <c r="K1143" i="1" a="1"/>
  <c r="K1143" i="1" s="1"/>
  <c r="J1123" i="1" a="1"/>
  <c r="J1123" i="1" s="1"/>
  <c r="L1123" i="1"/>
  <c r="K1123" i="1" a="1"/>
  <c r="K1123" i="1" s="1"/>
  <c r="J1103" i="1" a="1"/>
  <c r="J1103" i="1" s="1"/>
  <c r="L1103" i="1"/>
  <c r="K1103" i="1" a="1"/>
  <c r="K1103" i="1" s="1"/>
  <c r="J1083" i="1" a="1"/>
  <c r="J1083" i="1" s="1"/>
  <c r="L1083" i="1"/>
  <c r="K1083" i="1" a="1"/>
  <c r="K1083" i="1" s="1"/>
  <c r="J1063" i="1" a="1"/>
  <c r="J1063" i="1" s="1"/>
  <c r="L1063" i="1"/>
  <c r="K1063" i="1" a="1"/>
  <c r="K1063" i="1" s="1"/>
  <c r="J1043" i="1" a="1"/>
  <c r="J1043" i="1" s="1"/>
  <c r="L1043" i="1"/>
  <c r="K1043" i="1" a="1"/>
  <c r="K1043" i="1" s="1"/>
  <c r="J1023" i="1" a="1"/>
  <c r="J1023" i="1" s="1"/>
  <c r="L1023" i="1"/>
  <c r="K1023" i="1" a="1"/>
  <c r="K1023" i="1" s="1"/>
  <c r="J1003" i="1" a="1"/>
  <c r="J1003" i="1" s="1"/>
  <c r="L1003" i="1"/>
  <c r="K1003" i="1" a="1"/>
  <c r="K1003" i="1" s="1"/>
  <c r="J983" i="1" a="1"/>
  <c r="J983" i="1" s="1"/>
  <c r="L983" i="1"/>
  <c r="K983" i="1" a="1"/>
  <c r="K983" i="1" s="1"/>
  <c r="J963" i="1" a="1"/>
  <c r="J963" i="1" s="1"/>
  <c r="L963" i="1"/>
  <c r="K963" i="1" a="1"/>
  <c r="K963" i="1" s="1"/>
  <c r="J943" i="1" a="1"/>
  <c r="J943" i="1" s="1"/>
  <c r="L943" i="1"/>
  <c r="K943" i="1" a="1"/>
  <c r="K943" i="1" s="1"/>
  <c r="J923" i="1" a="1"/>
  <c r="J923" i="1" s="1"/>
  <c r="L923" i="1"/>
  <c r="K923" i="1" a="1"/>
  <c r="K923" i="1" s="1"/>
  <c r="J903" i="1" a="1"/>
  <c r="J903" i="1" s="1"/>
  <c r="L903" i="1"/>
  <c r="K903" i="1" a="1"/>
  <c r="K903" i="1" s="1"/>
  <c r="J883" i="1" a="1"/>
  <c r="J883" i="1" s="1"/>
  <c r="L883" i="1"/>
  <c r="K883" i="1" a="1"/>
  <c r="K883" i="1" s="1"/>
  <c r="J863" i="1" a="1"/>
  <c r="J863" i="1" s="1"/>
  <c r="L863" i="1"/>
  <c r="K863" i="1" a="1"/>
  <c r="K863" i="1" s="1"/>
  <c r="J843" i="1" a="1"/>
  <c r="J843" i="1" s="1"/>
  <c r="L843" i="1"/>
  <c r="K843" i="1" a="1"/>
  <c r="K843" i="1" s="1"/>
  <c r="J823" i="1" a="1"/>
  <c r="J823" i="1" s="1"/>
  <c r="L823" i="1"/>
  <c r="K823" i="1" a="1"/>
  <c r="K823" i="1" s="1"/>
  <c r="J803" i="1" a="1"/>
  <c r="J803" i="1" s="1"/>
  <c r="L803" i="1"/>
  <c r="K803" i="1" a="1"/>
  <c r="K803" i="1" s="1"/>
  <c r="J783" i="1" a="1"/>
  <c r="J783" i="1" s="1"/>
  <c r="L783" i="1"/>
  <c r="K783" i="1" a="1"/>
  <c r="K783" i="1" s="1"/>
  <c r="J763" i="1" a="1"/>
  <c r="J763" i="1" s="1"/>
  <c r="L763" i="1"/>
  <c r="K763" i="1" a="1"/>
  <c r="K763" i="1" s="1"/>
  <c r="J743" i="1" a="1"/>
  <c r="J743" i="1" s="1"/>
  <c r="L743" i="1"/>
  <c r="K743" i="1" a="1"/>
  <c r="K743" i="1" s="1"/>
  <c r="J723" i="1" a="1"/>
  <c r="J723" i="1" s="1"/>
  <c r="L723" i="1"/>
  <c r="K723" i="1" a="1"/>
  <c r="K723" i="1" s="1"/>
  <c r="J703" i="1" a="1"/>
  <c r="J703" i="1" s="1"/>
  <c r="L703" i="1"/>
  <c r="K703" i="1" a="1"/>
  <c r="K703" i="1" s="1"/>
  <c r="J683" i="1" a="1"/>
  <c r="J683" i="1" s="1"/>
  <c r="L683" i="1"/>
  <c r="K683" i="1" a="1"/>
  <c r="K683" i="1" s="1"/>
  <c r="J663" i="1" a="1"/>
  <c r="J663" i="1" s="1"/>
  <c r="L663" i="1"/>
  <c r="K663" i="1" a="1"/>
  <c r="K663" i="1" s="1"/>
  <c r="J643" i="1" a="1"/>
  <c r="J643" i="1" s="1"/>
  <c r="L643" i="1"/>
  <c r="K643" i="1" a="1"/>
  <c r="K643" i="1" s="1"/>
  <c r="J623" i="1" a="1"/>
  <c r="J623" i="1" s="1"/>
  <c r="L623" i="1"/>
  <c r="K623" i="1" a="1"/>
  <c r="K623" i="1" s="1"/>
  <c r="J603" i="1" a="1"/>
  <c r="J603" i="1" s="1"/>
  <c r="L603" i="1"/>
  <c r="K603" i="1" a="1"/>
  <c r="K603" i="1" s="1"/>
  <c r="J583" i="1" a="1"/>
  <c r="J583" i="1" s="1"/>
  <c r="L583" i="1"/>
  <c r="K583" i="1" a="1"/>
  <c r="K583" i="1" s="1"/>
  <c r="J563" i="1" a="1"/>
  <c r="J563" i="1" s="1"/>
  <c r="L563" i="1"/>
  <c r="K563" i="1" a="1"/>
  <c r="K563" i="1" s="1"/>
  <c r="J543" i="1" a="1"/>
  <c r="J543" i="1" s="1"/>
  <c r="L543" i="1"/>
  <c r="K543" i="1" a="1"/>
  <c r="K543" i="1" s="1"/>
  <c r="J523" i="1" a="1"/>
  <c r="J523" i="1" s="1"/>
  <c r="L523" i="1"/>
  <c r="K523" i="1" a="1"/>
  <c r="K523" i="1" s="1"/>
  <c r="J503" i="1" a="1"/>
  <c r="J503" i="1" s="1"/>
  <c r="L503" i="1"/>
  <c r="K503" i="1" a="1"/>
  <c r="K503" i="1" s="1"/>
  <c r="J483" i="1" a="1"/>
  <c r="J483" i="1" s="1"/>
  <c r="L483" i="1"/>
  <c r="K483" i="1" a="1"/>
  <c r="K483" i="1" s="1"/>
  <c r="J463" i="1" a="1"/>
  <c r="J463" i="1" s="1"/>
  <c r="L463" i="1"/>
  <c r="K463" i="1" a="1"/>
  <c r="K463" i="1" s="1"/>
  <c r="J443" i="1" a="1"/>
  <c r="J443" i="1" s="1"/>
  <c r="L443" i="1"/>
  <c r="K443" i="1" a="1"/>
  <c r="K443" i="1" s="1"/>
  <c r="J423" i="1" a="1"/>
  <c r="J423" i="1" s="1"/>
  <c r="L423" i="1"/>
  <c r="K423" i="1" a="1"/>
  <c r="K423" i="1" s="1"/>
  <c r="J403" i="1" a="1"/>
  <c r="J403" i="1" s="1"/>
  <c r="L403" i="1"/>
  <c r="K403" i="1" a="1"/>
  <c r="K403" i="1" s="1"/>
  <c r="J383" i="1" a="1"/>
  <c r="J383" i="1" s="1"/>
  <c r="L383" i="1"/>
  <c r="K383" i="1" a="1"/>
  <c r="K383" i="1" s="1"/>
  <c r="J363" i="1" a="1"/>
  <c r="J363" i="1" s="1"/>
  <c r="L363" i="1"/>
  <c r="K363" i="1" a="1"/>
  <c r="K363" i="1" s="1"/>
  <c r="J343" i="1" a="1"/>
  <c r="J343" i="1" s="1"/>
  <c r="L343" i="1"/>
  <c r="K343" i="1" a="1"/>
  <c r="K343" i="1" s="1"/>
  <c r="J323" i="1" a="1"/>
  <c r="J323" i="1" s="1"/>
  <c r="L323" i="1"/>
  <c r="K323" i="1" a="1"/>
  <c r="K323" i="1" s="1"/>
  <c r="J303" i="1" a="1"/>
  <c r="J303" i="1" s="1"/>
  <c r="L303" i="1"/>
  <c r="K303" i="1" a="1"/>
  <c r="K303" i="1" s="1"/>
  <c r="J283" i="1" a="1"/>
  <c r="J283" i="1" s="1"/>
  <c r="L283" i="1"/>
  <c r="K283" i="1" a="1"/>
  <c r="K283" i="1" s="1"/>
  <c r="J263" i="1" a="1"/>
  <c r="J263" i="1" s="1"/>
  <c r="L263" i="1"/>
  <c r="K263" i="1" a="1"/>
  <c r="K263" i="1" s="1"/>
  <c r="J243" i="1" a="1"/>
  <c r="J243" i="1" s="1"/>
  <c r="L243" i="1"/>
  <c r="K243" i="1" a="1"/>
  <c r="K243" i="1" s="1"/>
  <c r="J223" i="1" a="1"/>
  <c r="J223" i="1" s="1"/>
  <c r="L223" i="1"/>
  <c r="K223" i="1" a="1"/>
  <c r="K223" i="1" s="1"/>
  <c r="J203" i="1" a="1"/>
  <c r="J203" i="1" s="1"/>
  <c r="L203" i="1"/>
  <c r="K203" i="1" a="1"/>
  <c r="K203" i="1" s="1"/>
  <c r="J183" i="1" a="1"/>
  <c r="J183" i="1" s="1"/>
  <c r="L183" i="1"/>
  <c r="K183" i="1" a="1"/>
  <c r="K183" i="1" s="1"/>
  <c r="J163" i="1" a="1"/>
  <c r="J163" i="1" s="1"/>
  <c r="L163" i="1"/>
  <c r="K163" i="1" a="1"/>
  <c r="K163" i="1" s="1"/>
  <c r="J143" i="1" a="1"/>
  <c r="J143" i="1" s="1"/>
  <c r="L143" i="1"/>
  <c r="K143" i="1" a="1"/>
  <c r="K143" i="1" s="1"/>
  <c r="J123" i="1" a="1"/>
  <c r="J123" i="1" s="1"/>
  <c r="L123" i="1"/>
  <c r="K123" i="1" a="1"/>
  <c r="K123" i="1" s="1"/>
  <c r="J103" i="1" a="1"/>
  <c r="J103" i="1" s="1"/>
  <c r="L103" i="1"/>
  <c r="K103" i="1" a="1"/>
  <c r="K103" i="1" s="1"/>
  <c r="J83" i="1" a="1"/>
  <c r="J83" i="1" s="1"/>
  <c r="L83" i="1"/>
  <c r="K83" i="1" a="1"/>
  <c r="K83" i="1" s="1"/>
  <c r="J63" i="1" a="1"/>
  <c r="J63" i="1" s="1"/>
  <c r="L63" i="1"/>
  <c r="K63" i="1" a="1"/>
  <c r="K63" i="1" s="1"/>
  <c r="J43" i="1" a="1"/>
  <c r="J43" i="1" s="1"/>
  <c r="L43" i="1"/>
  <c r="K43" i="1" a="1"/>
  <c r="K43" i="1" s="1"/>
  <c r="J23" i="1" a="1"/>
  <c r="J23" i="1" s="1"/>
  <c r="L23" i="1"/>
  <c r="K23" i="1" a="1"/>
  <c r="K23" i="1" s="1"/>
  <c r="J3" i="1" a="1"/>
  <c r="J3" i="1" s="1"/>
  <c r="L3" i="1"/>
  <c r="K3" i="1" a="1"/>
  <c r="K3" i="1" s="1"/>
  <c r="J1809" i="1" a="1"/>
  <c r="J1809" i="1" s="1"/>
  <c r="L1809" i="1"/>
  <c r="K1809" i="1" a="1"/>
  <c r="K1809" i="1" s="1"/>
  <c r="J1789" i="1" a="1"/>
  <c r="J1789" i="1" s="1"/>
  <c r="L1789" i="1"/>
  <c r="K1789" i="1" a="1"/>
  <c r="K1789" i="1" s="1"/>
  <c r="J1769" i="1" a="1"/>
  <c r="J1769" i="1" s="1"/>
  <c r="L1769" i="1"/>
  <c r="K1769" i="1" a="1"/>
  <c r="K1769" i="1" s="1"/>
  <c r="J1749" i="1" a="1"/>
  <c r="J1749" i="1" s="1"/>
  <c r="L1749" i="1"/>
  <c r="K1749" i="1" a="1"/>
  <c r="K1749" i="1" s="1"/>
  <c r="J1729" i="1" a="1"/>
  <c r="J1729" i="1" s="1"/>
  <c r="L1729" i="1"/>
  <c r="K1729" i="1" a="1"/>
  <c r="K1729" i="1" s="1"/>
  <c r="J1709" i="1" a="1"/>
  <c r="J1709" i="1" s="1"/>
  <c r="L1709" i="1"/>
  <c r="K1709" i="1" a="1"/>
  <c r="K1709" i="1" s="1"/>
  <c r="J1689" i="1" a="1"/>
  <c r="J1689" i="1" s="1"/>
  <c r="L1689" i="1"/>
  <c r="K1689" i="1" a="1"/>
  <c r="K1689" i="1" s="1"/>
  <c r="J1669" i="1" a="1"/>
  <c r="J1669" i="1" s="1"/>
  <c r="L1669" i="1"/>
  <c r="K1669" i="1" a="1"/>
  <c r="K1669" i="1" s="1"/>
  <c r="J1649" i="1" a="1"/>
  <c r="J1649" i="1" s="1"/>
  <c r="L1649" i="1"/>
  <c r="K1649" i="1" a="1"/>
  <c r="K1649" i="1" s="1"/>
  <c r="J1629" i="1" a="1"/>
  <c r="J1629" i="1" s="1"/>
  <c r="L1629" i="1"/>
  <c r="K1629" i="1" a="1"/>
  <c r="K1629" i="1" s="1"/>
  <c r="J1609" i="1" a="1"/>
  <c r="J1609" i="1" s="1"/>
  <c r="L1609" i="1"/>
  <c r="K1609" i="1" a="1"/>
  <c r="K1609" i="1" s="1"/>
  <c r="J1589" i="1" a="1"/>
  <c r="J1589" i="1" s="1"/>
  <c r="L1589" i="1"/>
  <c r="K1589" i="1" a="1"/>
  <c r="K1589" i="1" s="1"/>
  <c r="J1569" i="1" a="1"/>
  <c r="J1569" i="1" s="1"/>
  <c r="L1569" i="1"/>
  <c r="K1569" i="1" a="1"/>
  <c r="K1569" i="1" s="1"/>
  <c r="J1422" i="1" a="1"/>
  <c r="J1422" i="1" s="1"/>
  <c r="L1422" i="1"/>
  <c r="K1422" i="1" a="1"/>
  <c r="K1422" i="1" s="1"/>
  <c r="J1402" i="1" a="1"/>
  <c r="J1402" i="1" s="1"/>
  <c r="L1402" i="1"/>
  <c r="K1402" i="1" a="1"/>
  <c r="K1402" i="1" s="1"/>
  <c r="J1382" i="1" a="1"/>
  <c r="J1382" i="1" s="1"/>
  <c r="L1382" i="1"/>
  <c r="K1382" i="1" a="1"/>
  <c r="K1382" i="1" s="1"/>
  <c r="J1362" i="1" a="1"/>
  <c r="J1362" i="1" s="1"/>
  <c r="L1362" i="1"/>
  <c r="K1362" i="1" a="1"/>
  <c r="K1362" i="1" s="1"/>
  <c r="J1342" i="1" a="1"/>
  <c r="J1342" i="1" s="1"/>
  <c r="L1342" i="1"/>
  <c r="K1342" i="1" a="1"/>
  <c r="K1342" i="1" s="1"/>
  <c r="J1322" i="1" a="1"/>
  <c r="J1322" i="1" s="1"/>
  <c r="L1322" i="1"/>
  <c r="K1322" i="1" a="1"/>
  <c r="K1322" i="1" s="1"/>
  <c r="J1302" i="1" a="1"/>
  <c r="J1302" i="1" s="1"/>
  <c r="L1302" i="1"/>
  <c r="K1302" i="1" a="1"/>
  <c r="K1302" i="1" s="1"/>
  <c r="J1282" i="1" a="1"/>
  <c r="J1282" i="1" s="1"/>
  <c r="L1282" i="1"/>
  <c r="K1282" i="1" a="1"/>
  <c r="K1282" i="1" s="1"/>
  <c r="J1262" i="1" a="1"/>
  <c r="J1262" i="1" s="1"/>
  <c r="L1262" i="1"/>
  <c r="K1262" i="1" a="1"/>
  <c r="K1262" i="1" s="1"/>
  <c r="J1242" i="1" a="1"/>
  <c r="J1242" i="1" s="1"/>
  <c r="L1242" i="1"/>
  <c r="K1242" i="1" a="1"/>
  <c r="K1242" i="1" s="1"/>
  <c r="J1222" i="1" a="1"/>
  <c r="J1222" i="1" s="1"/>
  <c r="L1222" i="1"/>
  <c r="K1222" i="1" a="1"/>
  <c r="K1222" i="1" s="1"/>
  <c r="J1202" i="1" a="1"/>
  <c r="J1202" i="1" s="1"/>
  <c r="L1202" i="1"/>
  <c r="K1202" i="1" a="1"/>
  <c r="K1202" i="1" s="1"/>
  <c r="J1182" i="1" a="1"/>
  <c r="J1182" i="1" s="1"/>
  <c r="L1182" i="1"/>
  <c r="K1182" i="1" a="1"/>
  <c r="K1182" i="1" s="1"/>
  <c r="J1162" i="1" a="1"/>
  <c r="J1162" i="1" s="1"/>
  <c r="L1162" i="1"/>
  <c r="K1162" i="1" a="1"/>
  <c r="K1162" i="1" s="1"/>
  <c r="J1142" i="1" a="1"/>
  <c r="J1142" i="1" s="1"/>
  <c r="L1142" i="1"/>
  <c r="K1142" i="1" a="1"/>
  <c r="K1142" i="1" s="1"/>
  <c r="J1122" i="1" a="1"/>
  <c r="J1122" i="1" s="1"/>
  <c r="L1122" i="1"/>
  <c r="K1122" i="1" a="1"/>
  <c r="K1122" i="1" s="1"/>
  <c r="J1102" i="1" a="1"/>
  <c r="J1102" i="1" s="1"/>
  <c r="L1102" i="1"/>
  <c r="K1102" i="1" a="1"/>
  <c r="K1102" i="1" s="1"/>
  <c r="J1082" i="1" a="1"/>
  <c r="J1082" i="1" s="1"/>
  <c r="L1082" i="1"/>
  <c r="K1082" i="1" a="1"/>
  <c r="K1082" i="1" s="1"/>
  <c r="J1062" i="1" a="1"/>
  <c r="J1062" i="1" s="1"/>
  <c r="L1062" i="1"/>
  <c r="K1062" i="1" a="1"/>
  <c r="K1062" i="1" s="1"/>
  <c r="J1042" i="1" a="1"/>
  <c r="J1042" i="1" s="1"/>
  <c r="L1042" i="1"/>
  <c r="K1042" i="1" a="1"/>
  <c r="K1042" i="1" s="1"/>
  <c r="J1022" i="1" a="1"/>
  <c r="J1022" i="1" s="1"/>
  <c r="L1022" i="1"/>
  <c r="K1022" i="1" a="1"/>
  <c r="K1022" i="1" s="1"/>
  <c r="J1002" i="1" a="1"/>
  <c r="J1002" i="1" s="1"/>
  <c r="L1002" i="1"/>
  <c r="K1002" i="1" a="1"/>
  <c r="K1002" i="1" s="1"/>
  <c r="J982" i="1" a="1"/>
  <c r="J982" i="1" s="1"/>
  <c r="L982" i="1"/>
  <c r="K982" i="1" a="1"/>
  <c r="K982" i="1" s="1"/>
  <c r="J962" i="1" a="1"/>
  <c r="J962" i="1" s="1"/>
  <c r="L962" i="1"/>
  <c r="K962" i="1" a="1"/>
  <c r="K962" i="1" s="1"/>
  <c r="J942" i="1" a="1"/>
  <c r="J942" i="1" s="1"/>
  <c r="L942" i="1"/>
  <c r="K942" i="1" a="1"/>
  <c r="K942" i="1" s="1"/>
  <c r="J922" i="1" a="1"/>
  <c r="J922" i="1" s="1"/>
  <c r="L922" i="1"/>
  <c r="K922" i="1" a="1"/>
  <c r="K922" i="1" s="1"/>
  <c r="J902" i="1" a="1"/>
  <c r="J902" i="1" s="1"/>
  <c r="L902" i="1"/>
  <c r="K902" i="1" a="1"/>
  <c r="K902" i="1" s="1"/>
  <c r="J882" i="1" a="1"/>
  <c r="J882" i="1" s="1"/>
  <c r="L882" i="1"/>
  <c r="K882" i="1" a="1"/>
  <c r="K882" i="1" s="1"/>
  <c r="J862" i="1" a="1"/>
  <c r="J862" i="1" s="1"/>
  <c r="L862" i="1"/>
  <c r="K862" i="1" a="1"/>
  <c r="K862" i="1" s="1"/>
  <c r="J842" i="1" a="1"/>
  <c r="J842" i="1" s="1"/>
  <c r="L842" i="1"/>
  <c r="K842" i="1" a="1"/>
  <c r="K842" i="1" s="1"/>
  <c r="J822" i="1" a="1"/>
  <c r="J822" i="1" s="1"/>
  <c r="L822" i="1"/>
  <c r="K822" i="1" a="1"/>
  <c r="K822" i="1" s="1"/>
  <c r="J802" i="1" a="1"/>
  <c r="J802" i="1" s="1"/>
  <c r="L802" i="1"/>
  <c r="K802" i="1" a="1"/>
  <c r="K802" i="1" s="1"/>
  <c r="J782" i="1" a="1"/>
  <c r="J782" i="1" s="1"/>
  <c r="L782" i="1"/>
  <c r="K782" i="1" a="1"/>
  <c r="K782" i="1" s="1"/>
  <c r="J762" i="1" a="1"/>
  <c r="J762" i="1" s="1"/>
  <c r="L762" i="1"/>
  <c r="K762" i="1" a="1"/>
  <c r="K762" i="1" s="1"/>
  <c r="J742" i="1" a="1"/>
  <c r="J742" i="1" s="1"/>
  <c r="L742" i="1"/>
  <c r="K742" i="1" a="1"/>
  <c r="K742" i="1" s="1"/>
  <c r="J722" i="1" a="1"/>
  <c r="J722" i="1" s="1"/>
  <c r="L722" i="1"/>
  <c r="K722" i="1" a="1"/>
  <c r="K722" i="1" s="1"/>
  <c r="J702" i="1" a="1"/>
  <c r="J702" i="1" s="1"/>
  <c r="L702" i="1"/>
  <c r="K702" i="1" a="1"/>
  <c r="K702" i="1" s="1"/>
  <c r="J682" i="1" a="1"/>
  <c r="J682" i="1" s="1"/>
  <c r="L682" i="1"/>
  <c r="K682" i="1" a="1"/>
  <c r="K682" i="1" s="1"/>
  <c r="J662" i="1" a="1"/>
  <c r="J662" i="1" s="1"/>
  <c r="L662" i="1"/>
  <c r="K662" i="1" a="1"/>
  <c r="K662" i="1" s="1"/>
  <c r="J642" i="1" a="1"/>
  <c r="J642" i="1" s="1"/>
  <c r="L642" i="1"/>
  <c r="K642" i="1" a="1"/>
  <c r="K642" i="1" s="1"/>
  <c r="J622" i="1" a="1"/>
  <c r="J622" i="1" s="1"/>
  <c r="L622" i="1"/>
  <c r="K622" i="1" a="1"/>
  <c r="K622" i="1" s="1"/>
  <c r="J602" i="1" a="1"/>
  <c r="J602" i="1" s="1"/>
  <c r="L602" i="1"/>
  <c r="K602" i="1" a="1"/>
  <c r="K602" i="1" s="1"/>
  <c r="J582" i="1" a="1"/>
  <c r="J582" i="1" s="1"/>
  <c r="L582" i="1"/>
  <c r="K582" i="1" a="1"/>
  <c r="K582" i="1" s="1"/>
  <c r="J562" i="1" a="1"/>
  <c r="J562" i="1" s="1"/>
  <c r="L562" i="1"/>
  <c r="K562" i="1" a="1"/>
  <c r="K562" i="1" s="1"/>
  <c r="J542" i="1" a="1"/>
  <c r="J542" i="1" s="1"/>
  <c r="L542" i="1"/>
  <c r="K542" i="1" a="1"/>
  <c r="K542" i="1" s="1"/>
  <c r="J522" i="1" a="1"/>
  <c r="J522" i="1" s="1"/>
  <c r="L522" i="1"/>
  <c r="K522" i="1" a="1"/>
  <c r="K522" i="1" s="1"/>
  <c r="J502" i="1" a="1"/>
  <c r="J502" i="1" s="1"/>
  <c r="L502" i="1"/>
  <c r="K502" i="1" a="1"/>
  <c r="K502" i="1" s="1"/>
  <c r="J482" i="1" a="1"/>
  <c r="J482" i="1" s="1"/>
  <c r="L482" i="1"/>
  <c r="K482" i="1" a="1"/>
  <c r="K482" i="1" s="1"/>
  <c r="J462" i="1" a="1"/>
  <c r="J462" i="1" s="1"/>
  <c r="L462" i="1"/>
  <c r="K462" i="1" a="1"/>
  <c r="K462" i="1" s="1"/>
  <c r="J442" i="1" a="1"/>
  <c r="J442" i="1" s="1"/>
  <c r="L442" i="1"/>
  <c r="K442" i="1" a="1"/>
  <c r="K442" i="1" s="1"/>
  <c r="J422" i="1" a="1"/>
  <c r="J422" i="1" s="1"/>
  <c r="L422" i="1"/>
  <c r="K422" i="1" a="1"/>
  <c r="K422" i="1" s="1"/>
  <c r="J402" i="1" a="1"/>
  <c r="J402" i="1" s="1"/>
  <c r="L402" i="1"/>
  <c r="K402" i="1" a="1"/>
  <c r="K402" i="1" s="1"/>
  <c r="J382" i="1" a="1"/>
  <c r="J382" i="1" s="1"/>
  <c r="L382" i="1"/>
  <c r="K382" i="1" a="1"/>
  <c r="K382" i="1" s="1"/>
  <c r="J362" i="1" a="1"/>
  <c r="J362" i="1" s="1"/>
  <c r="L362" i="1"/>
  <c r="K362" i="1" a="1"/>
  <c r="K362" i="1" s="1"/>
  <c r="J342" i="1" a="1"/>
  <c r="J342" i="1" s="1"/>
  <c r="L342" i="1"/>
  <c r="K342" i="1" a="1"/>
  <c r="K342" i="1" s="1"/>
  <c r="J322" i="1" a="1"/>
  <c r="J322" i="1" s="1"/>
  <c r="L322" i="1"/>
  <c r="K322" i="1" a="1"/>
  <c r="K322" i="1" s="1"/>
  <c r="J302" i="1" a="1"/>
  <c r="J302" i="1" s="1"/>
  <c r="L302" i="1"/>
  <c r="K302" i="1" a="1"/>
  <c r="K302" i="1" s="1"/>
  <c r="J282" i="1" a="1"/>
  <c r="J282" i="1" s="1"/>
  <c r="L282" i="1"/>
  <c r="K282" i="1" a="1"/>
  <c r="K282" i="1" s="1"/>
  <c r="J262" i="1" a="1"/>
  <c r="J262" i="1" s="1"/>
  <c r="L262" i="1"/>
  <c r="K262" i="1" a="1"/>
  <c r="K262" i="1" s="1"/>
  <c r="J242" i="1" a="1"/>
  <c r="J242" i="1" s="1"/>
  <c r="L242" i="1"/>
  <c r="K242" i="1" a="1"/>
  <c r="K242" i="1" s="1"/>
  <c r="J222" i="1" a="1"/>
  <c r="J222" i="1" s="1"/>
  <c r="L222" i="1"/>
  <c r="K222" i="1" a="1"/>
  <c r="K222" i="1" s="1"/>
  <c r="J202" i="1" a="1"/>
  <c r="J202" i="1" s="1"/>
  <c r="L202" i="1"/>
  <c r="K202" i="1" a="1"/>
  <c r="K202" i="1" s="1"/>
  <c r="J182" i="1" a="1"/>
  <c r="J182" i="1" s="1"/>
  <c r="L182" i="1"/>
  <c r="K182" i="1" a="1"/>
  <c r="K182" i="1" s="1"/>
  <c r="J162" i="1" a="1"/>
  <c r="J162" i="1" s="1"/>
  <c r="L162" i="1"/>
  <c r="K162" i="1" a="1"/>
  <c r="K162" i="1" s="1"/>
  <c r="J142" i="1" a="1"/>
  <c r="J142" i="1" s="1"/>
  <c r="L142" i="1"/>
  <c r="K142" i="1" a="1"/>
  <c r="K142" i="1" s="1"/>
  <c r="J122" i="1" a="1"/>
  <c r="J122" i="1" s="1"/>
  <c r="L122" i="1"/>
  <c r="K122" i="1" a="1"/>
  <c r="K122" i="1" s="1"/>
  <c r="J102" i="1" a="1"/>
  <c r="J102" i="1" s="1"/>
  <c r="L102" i="1"/>
  <c r="K102" i="1" a="1"/>
  <c r="K102" i="1" s="1"/>
  <c r="J82" i="1" a="1"/>
  <c r="J82" i="1" s="1"/>
  <c r="L82" i="1"/>
  <c r="K82" i="1" a="1"/>
  <c r="K82" i="1" s="1"/>
  <c r="J62" i="1" a="1"/>
  <c r="J62" i="1" s="1"/>
  <c r="L62" i="1"/>
  <c r="K62" i="1" a="1"/>
  <c r="K62" i="1" s="1"/>
  <c r="J42" i="1" a="1"/>
  <c r="J42" i="1" s="1"/>
  <c r="L42" i="1"/>
  <c r="K42" i="1" a="1"/>
  <c r="K42" i="1" s="1"/>
  <c r="J22" i="1" a="1"/>
  <c r="J22" i="1" s="1"/>
  <c r="L22" i="1"/>
  <c r="K22" i="1" a="1"/>
  <c r="K22" i="1" s="1"/>
  <c r="J2" i="1" a="1"/>
  <c r="J2" i="1" s="1"/>
  <c r="L2" i="1"/>
  <c r="K2" i="1" a="1"/>
  <c r="K2" i="1" s="1"/>
  <c r="J1808" i="1" a="1"/>
  <c r="J1808" i="1" s="1"/>
  <c r="L1808" i="1"/>
  <c r="K1808" i="1" a="1"/>
  <c r="K1808" i="1" s="1"/>
  <c r="J1788" i="1" a="1"/>
  <c r="J1788" i="1" s="1"/>
  <c r="L1788" i="1"/>
  <c r="K1788" i="1" a="1"/>
  <c r="K1788" i="1" s="1"/>
  <c r="J1768" i="1" a="1"/>
  <c r="J1768" i="1" s="1"/>
  <c r="L1768" i="1"/>
  <c r="K1768" i="1" a="1"/>
  <c r="K1768" i="1" s="1"/>
  <c r="J1748" i="1" a="1"/>
  <c r="J1748" i="1" s="1"/>
  <c r="L1748" i="1"/>
  <c r="K1748" i="1" a="1"/>
  <c r="K1748" i="1" s="1"/>
  <c r="J1728" i="1" a="1"/>
  <c r="J1728" i="1" s="1"/>
  <c r="L1728" i="1"/>
  <c r="K1728" i="1" a="1"/>
  <c r="K1728" i="1" s="1"/>
  <c r="J1708" i="1" a="1"/>
  <c r="J1708" i="1" s="1"/>
  <c r="L1708" i="1"/>
  <c r="K1708" i="1" a="1"/>
  <c r="K1708" i="1" s="1"/>
  <c r="J1688" i="1" a="1"/>
  <c r="J1688" i="1" s="1"/>
  <c r="L1688" i="1"/>
  <c r="K1688" i="1" a="1"/>
  <c r="K1688" i="1" s="1"/>
  <c r="J1668" i="1" a="1"/>
  <c r="J1668" i="1" s="1"/>
  <c r="L1668" i="1"/>
  <c r="K1668" i="1" a="1"/>
  <c r="K1668" i="1" s="1"/>
  <c r="J1648" i="1" a="1"/>
  <c r="J1648" i="1" s="1"/>
  <c r="L1648" i="1"/>
  <c r="K1648" i="1" a="1"/>
  <c r="K1648" i="1" s="1"/>
  <c r="J1628" i="1" a="1"/>
  <c r="J1628" i="1" s="1"/>
  <c r="L1628" i="1"/>
  <c r="K1628" i="1" a="1"/>
  <c r="K1628" i="1" s="1"/>
  <c r="J1608" i="1" a="1"/>
  <c r="J1608" i="1" s="1"/>
  <c r="L1608" i="1"/>
  <c r="K1608" i="1" a="1"/>
  <c r="K1608" i="1" s="1"/>
  <c r="J1588" i="1" a="1"/>
  <c r="J1588" i="1" s="1"/>
  <c r="L1588" i="1"/>
  <c r="K1588" i="1" a="1"/>
  <c r="K1588" i="1" s="1"/>
  <c r="J1568" i="1" a="1"/>
  <c r="J1568" i="1" s="1"/>
  <c r="L1568" i="1"/>
  <c r="K1568" i="1" a="1"/>
  <c r="K1568" i="1" s="1"/>
  <c r="J1421" i="1" a="1"/>
  <c r="J1421" i="1" s="1"/>
  <c r="L1421" i="1"/>
  <c r="K1421" i="1" a="1"/>
  <c r="K1421" i="1" s="1"/>
  <c r="J1401" i="1" a="1"/>
  <c r="J1401" i="1" s="1"/>
  <c r="L1401" i="1"/>
  <c r="K1401" i="1" a="1"/>
  <c r="K1401" i="1" s="1"/>
  <c r="J1381" i="1" a="1"/>
  <c r="J1381" i="1" s="1"/>
  <c r="L1381" i="1"/>
  <c r="K1381" i="1" a="1"/>
  <c r="K1381" i="1" s="1"/>
  <c r="J1361" i="1" a="1"/>
  <c r="J1361" i="1" s="1"/>
  <c r="L1361" i="1"/>
  <c r="K1361" i="1" a="1"/>
  <c r="K1361" i="1" s="1"/>
  <c r="J1341" i="1" a="1"/>
  <c r="J1341" i="1" s="1"/>
  <c r="L1341" i="1"/>
  <c r="K1341" i="1" a="1"/>
  <c r="K1341" i="1" s="1"/>
  <c r="J1321" i="1" a="1"/>
  <c r="J1321" i="1" s="1"/>
  <c r="L1321" i="1"/>
  <c r="K1321" i="1" a="1"/>
  <c r="K1321" i="1" s="1"/>
  <c r="J1301" i="1" a="1"/>
  <c r="J1301" i="1" s="1"/>
  <c r="L1301" i="1"/>
  <c r="K1301" i="1" a="1"/>
  <c r="K1301" i="1" s="1"/>
  <c r="J1281" i="1" a="1"/>
  <c r="J1281" i="1" s="1"/>
  <c r="L1281" i="1"/>
  <c r="K1281" i="1" a="1"/>
  <c r="K1281" i="1" s="1"/>
  <c r="J1261" i="1" a="1"/>
  <c r="J1261" i="1" s="1"/>
  <c r="L1261" i="1"/>
  <c r="K1261" i="1" a="1"/>
  <c r="K1261" i="1" s="1"/>
  <c r="J1241" i="1" a="1"/>
  <c r="J1241" i="1" s="1"/>
  <c r="L1241" i="1"/>
  <c r="K1241" i="1" a="1"/>
  <c r="K1241" i="1" s="1"/>
  <c r="J1221" i="1" a="1"/>
  <c r="J1221" i="1" s="1"/>
  <c r="L1221" i="1"/>
  <c r="K1221" i="1" a="1"/>
  <c r="K1221" i="1" s="1"/>
  <c r="J1201" i="1" a="1"/>
  <c r="J1201" i="1" s="1"/>
  <c r="L1201" i="1"/>
  <c r="K1201" i="1" a="1"/>
  <c r="K1201" i="1" s="1"/>
  <c r="J1181" i="1" a="1"/>
  <c r="J1181" i="1" s="1"/>
  <c r="L1181" i="1"/>
  <c r="K1181" i="1" a="1"/>
  <c r="K1181" i="1" s="1"/>
  <c r="J1161" i="1" a="1"/>
  <c r="J1161" i="1" s="1"/>
  <c r="L1161" i="1"/>
  <c r="K1161" i="1" a="1"/>
  <c r="K1161" i="1" s="1"/>
  <c r="J1141" i="1" a="1"/>
  <c r="J1141" i="1" s="1"/>
  <c r="L1141" i="1"/>
  <c r="K1141" i="1" a="1"/>
  <c r="K1141" i="1" s="1"/>
  <c r="J1121" i="1" a="1"/>
  <c r="J1121" i="1" s="1"/>
  <c r="L1121" i="1"/>
  <c r="K1121" i="1" a="1"/>
  <c r="K1121" i="1" s="1"/>
  <c r="J1101" i="1" a="1"/>
  <c r="J1101" i="1" s="1"/>
  <c r="L1101" i="1"/>
  <c r="K1101" i="1" a="1"/>
  <c r="K1101" i="1" s="1"/>
  <c r="J1081" i="1" a="1"/>
  <c r="J1081" i="1" s="1"/>
  <c r="L1081" i="1"/>
  <c r="K1081" i="1" a="1"/>
  <c r="K1081" i="1" s="1"/>
  <c r="J1061" i="1" a="1"/>
  <c r="J1061" i="1" s="1"/>
  <c r="L1061" i="1"/>
  <c r="K1061" i="1" a="1"/>
  <c r="K1061" i="1" s="1"/>
  <c r="J1041" i="1" a="1"/>
  <c r="J1041" i="1" s="1"/>
  <c r="L1041" i="1"/>
  <c r="K1041" i="1" a="1"/>
  <c r="K1041" i="1" s="1"/>
  <c r="J1021" i="1" a="1"/>
  <c r="J1021" i="1" s="1"/>
  <c r="L1021" i="1"/>
  <c r="K1021" i="1" a="1"/>
  <c r="K1021" i="1" s="1"/>
  <c r="J1001" i="1" a="1"/>
  <c r="J1001" i="1" s="1"/>
  <c r="L1001" i="1"/>
  <c r="K1001" i="1" a="1"/>
  <c r="K1001" i="1" s="1"/>
  <c r="J981" i="1" a="1"/>
  <c r="J981" i="1" s="1"/>
  <c r="L981" i="1"/>
  <c r="K981" i="1" a="1"/>
  <c r="K981" i="1" s="1"/>
  <c r="J961" i="1" a="1"/>
  <c r="J961" i="1" s="1"/>
  <c r="L961" i="1"/>
  <c r="K961" i="1" a="1"/>
  <c r="K961" i="1" s="1"/>
  <c r="J941" i="1" a="1"/>
  <c r="J941" i="1" s="1"/>
  <c r="L941" i="1"/>
  <c r="K941" i="1" a="1"/>
  <c r="K941" i="1" s="1"/>
  <c r="J921" i="1" a="1"/>
  <c r="J921" i="1" s="1"/>
  <c r="L921" i="1"/>
  <c r="K921" i="1" a="1"/>
  <c r="K921" i="1" s="1"/>
  <c r="J901" i="1" a="1"/>
  <c r="J901" i="1" s="1"/>
  <c r="L901" i="1"/>
  <c r="K901" i="1" a="1"/>
  <c r="K901" i="1" s="1"/>
  <c r="J881" i="1" a="1"/>
  <c r="J881" i="1" s="1"/>
  <c r="L881" i="1"/>
  <c r="K881" i="1" a="1"/>
  <c r="K881" i="1" s="1"/>
  <c r="J861" i="1" a="1"/>
  <c r="J861" i="1" s="1"/>
  <c r="L861" i="1"/>
  <c r="K861" i="1" a="1"/>
  <c r="K861" i="1" s="1"/>
  <c r="J841" i="1" a="1"/>
  <c r="J841" i="1" s="1"/>
  <c r="L841" i="1"/>
  <c r="K841" i="1" a="1"/>
  <c r="K841" i="1" s="1"/>
  <c r="J821" i="1" a="1"/>
  <c r="J821" i="1" s="1"/>
  <c r="L821" i="1"/>
  <c r="K821" i="1" a="1"/>
  <c r="K821" i="1" s="1"/>
  <c r="J801" i="1" a="1"/>
  <c r="J801" i="1" s="1"/>
  <c r="L801" i="1"/>
  <c r="K801" i="1" a="1"/>
  <c r="K801" i="1" s="1"/>
  <c r="J781" i="1" a="1"/>
  <c r="J781" i="1" s="1"/>
  <c r="L781" i="1"/>
  <c r="K781" i="1" a="1"/>
  <c r="K781" i="1" s="1"/>
  <c r="J761" i="1" a="1"/>
  <c r="J761" i="1" s="1"/>
  <c r="L761" i="1"/>
  <c r="K761" i="1" a="1"/>
  <c r="K761" i="1" s="1"/>
  <c r="J741" i="1" a="1"/>
  <c r="J741" i="1" s="1"/>
  <c r="L741" i="1"/>
  <c r="K741" i="1" a="1"/>
  <c r="K741" i="1" s="1"/>
  <c r="J721" i="1" a="1"/>
  <c r="J721" i="1" s="1"/>
  <c r="L721" i="1"/>
  <c r="K721" i="1" a="1"/>
  <c r="K721" i="1" s="1"/>
  <c r="J701" i="1" a="1"/>
  <c r="J701" i="1" s="1"/>
  <c r="L701" i="1"/>
  <c r="K701" i="1" a="1"/>
  <c r="K701" i="1" s="1"/>
  <c r="J681" i="1" a="1"/>
  <c r="J681" i="1" s="1"/>
  <c r="L681" i="1"/>
  <c r="K681" i="1" a="1"/>
  <c r="K681" i="1" s="1"/>
  <c r="J661" i="1" a="1"/>
  <c r="J661" i="1" s="1"/>
  <c r="L661" i="1"/>
  <c r="K661" i="1" a="1"/>
  <c r="K661" i="1" s="1"/>
  <c r="J641" i="1" a="1"/>
  <c r="J641" i="1" s="1"/>
  <c r="L641" i="1"/>
  <c r="K641" i="1" a="1"/>
  <c r="K641" i="1" s="1"/>
  <c r="J621" i="1" a="1"/>
  <c r="J621" i="1" s="1"/>
  <c r="L621" i="1"/>
  <c r="K621" i="1" a="1"/>
  <c r="K621" i="1" s="1"/>
  <c r="J601" i="1" a="1"/>
  <c r="J601" i="1" s="1"/>
  <c r="L601" i="1"/>
  <c r="K601" i="1" a="1"/>
  <c r="K601" i="1" s="1"/>
  <c r="J581" i="1" a="1"/>
  <c r="J581" i="1" s="1"/>
  <c r="L581" i="1"/>
  <c r="K581" i="1" a="1"/>
  <c r="K581" i="1" s="1"/>
  <c r="J561" i="1" a="1"/>
  <c r="J561" i="1" s="1"/>
  <c r="L561" i="1"/>
  <c r="K561" i="1" a="1"/>
  <c r="K561" i="1" s="1"/>
  <c r="J541" i="1" a="1"/>
  <c r="J541" i="1" s="1"/>
  <c r="L541" i="1"/>
  <c r="K541" i="1" a="1"/>
  <c r="K541" i="1" s="1"/>
  <c r="J521" i="1" a="1"/>
  <c r="J521" i="1" s="1"/>
  <c r="L521" i="1"/>
  <c r="K521" i="1" a="1"/>
  <c r="K521" i="1" s="1"/>
  <c r="J501" i="1" a="1"/>
  <c r="J501" i="1" s="1"/>
  <c r="L501" i="1"/>
  <c r="K501" i="1" a="1"/>
  <c r="K501" i="1" s="1"/>
  <c r="J481" i="1" a="1"/>
  <c r="J481" i="1" s="1"/>
  <c r="L481" i="1"/>
  <c r="K481" i="1" a="1"/>
  <c r="K481" i="1" s="1"/>
  <c r="J461" i="1" a="1"/>
  <c r="J461" i="1" s="1"/>
  <c r="L461" i="1"/>
  <c r="K461" i="1" a="1"/>
  <c r="K461" i="1" s="1"/>
  <c r="J441" i="1" a="1"/>
  <c r="J441" i="1" s="1"/>
  <c r="L441" i="1"/>
  <c r="K441" i="1" a="1"/>
  <c r="K441" i="1" s="1"/>
  <c r="J421" i="1" a="1"/>
  <c r="J421" i="1" s="1"/>
  <c r="L421" i="1"/>
  <c r="K421" i="1" a="1"/>
  <c r="K421" i="1" s="1"/>
  <c r="J401" i="1" a="1"/>
  <c r="J401" i="1" s="1"/>
  <c r="L401" i="1"/>
  <c r="K401" i="1" a="1"/>
  <c r="K401" i="1" s="1"/>
  <c r="J381" i="1" a="1"/>
  <c r="J381" i="1" s="1"/>
  <c r="L381" i="1"/>
  <c r="K381" i="1" a="1"/>
  <c r="K381" i="1" s="1"/>
  <c r="J361" i="1" a="1"/>
  <c r="J361" i="1" s="1"/>
  <c r="L361" i="1"/>
  <c r="K361" i="1" a="1"/>
  <c r="K361" i="1" s="1"/>
  <c r="J341" i="1" a="1"/>
  <c r="J341" i="1" s="1"/>
  <c r="L341" i="1"/>
  <c r="K341" i="1" a="1"/>
  <c r="K341" i="1" s="1"/>
  <c r="J321" i="1" a="1"/>
  <c r="J321" i="1" s="1"/>
  <c r="L321" i="1"/>
  <c r="K321" i="1" a="1"/>
  <c r="K321" i="1" s="1"/>
  <c r="J301" i="1" a="1"/>
  <c r="J301" i="1" s="1"/>
  <c r="L301" i="1"/>
  <c r="K301" i="1" a="1"/>
  <c r="K301" i="1" s="1"/>
  <c r="J281" i="1" a="1"/>
  <c r="J281" i="1" s="1"/>
  <c r="L281" i="1"/>
  <c r="K281" i="1" a="1"/>
  <c r="K281" i="1" s="1"/>
  <c r="J261" i="1" a="1"/>
  <c r="J261" i="1" s="1"/>
  <c r="L261" i="1"/>
  <c r="K261" i="1" a="1"/>
  <c r="K261" i="1" s="1"/>
  <c r="J241" i="1" a="1"/>
  <c r="J241" i="1" s="1"/>
  <c r="L241" i="1"/>
  <c r="K241" i="1" a="1"/>
  <c r="K241" i="1" s="1"/>
  <c r="J221" i="1" a="1"/>
  <c r="J221" i="1" s="1"/>
  <c r="L221" i="1"/>
  <c r="K221" i="1" a="1"/>
  <c r="K221" i="1" s="1"/>
  <c r="J201" i="1" a="1"/>
  <c r="J201" i="1" s="1"/>
  <c r="L201" i="1"/>
  <c r="K201" i="1" a="1"/>
  <c r="K201" i="1" s="1"/>
  <c r="J181" i="1" a="1"/>
  <c r="J181" i="1" s="1"/>
  <c r="L181" i="1"/>
  <c r="K181" i="1" a="1"/>
  <c r="K181" i="1" s="1"/>
  <c r="J161" i="1" a="1"/>
  <c r="J161" i="1" s="1"/>
  <c r="L161" i="1"/>
  <c r="K161" i="1" a="1"/>
  <c r="K161" i="1" s="1"/>
  <c r="J141" i="1" a="1"/>
  <c r="J141" i="1" s="1"/>
  <c r="L141" i="1"/>
  <c r="K141" i="1" a="1"/>
  <c r="K141" i="1" s="1"/>
  <c r="J121" i="1" a="1"/>
  <c r="J121" i="1" s="1"/>
  <c r="L121" i="1"/>
  <c r="K121" i="1" a="1"/>
  <c r="K121" i="1" s="1"/>
  <c r="J101" i="1" a="1"/>
  <c r="J101" i="1" s="1"/>
  <c r="L101" i="1"/>
  <c r="K101" i="1" a="1"/>
  <c r="K101" i="1" s="1"/>
  <c r="J81" i="1" a="1"/>
  <c r="J81" i="1" s="1"/>
  <c r="L81" i="1"/>
  <c r="K81" i="1" a="1"/>
  <c r="K81" i="1" s="1"/>
  <c r="J61" i="1" a="1"/>
  <c r="J61" i="1" s="1"/>
  <c r="L61" i="1"/>
  <c r="K61" i="1" a="1"/>
  <c r="K61" i="1" s="1"/>
  <c r="J41" i="1" a="1"/>
  <c r="J41" i="1" s="1"/>
  <c r="L41" i="1"/>
  <c r="K41" i="1" a="1"/>
  <c r="K41" i="1" s="1"/>
  <c r="J21" i="1" a="1"/>
  <c r="J21" i="1" s="1"/>
  <c r="L21" i="1"/>
  <c r="K21" i="1" a="1"/>
  <c r="K21" i="1" s="1"/>
  <c r="J1194" i="1" a="1"/>
  <c r="J1194" i="1" s="1"/>
  <c r="L1194" i="1"/>
  <c r="K1194" i="1" a="1"/>
  <c r="K1194" i="1" s="1"/>
  <c r="J1174" i="1" a="1"/>
  <c r="J1174" i="1" s="1"/>
  <c r="L1174" i="1"/>
  <c r="K1174" i="1" a="1"/>
  <c r="K1174" i="1" s="1"/>
  <c r="J1134" i="1" a="1"/>
  <c r="J1134" i="1" s="1"/>
  <c r="L1134" i="1"/>
  <c r="K1134" i="1" a="1"/>
  <c r="K1134" i="1" s="1"/>
  <c r="J1094" i="1" a="1"/>
  <c r="J1094" i="1" s="1"/>
  <c r="L1094" i="1"/>
  <c r="K1094" i="1" a="1"/>
  <c r="K1094" i="1" s="1"/>
  <c r="J1034" i="1" a="1"/>
  <c r="J1034" i="1" s="1"/>
  <c r="L1034" i="1"/>
  <c r="K1034" i="1" a="1"/>
  <c r="K1034" i="1" s="1"/>
  <c r="J994" i="1" a="1"/>
  <c r="J994" i="1" s="1"/>
  <c r="L994" i="1"/>
  <c r="K994" i="1" a="1"/>
  <c r="K994" i="1" s="1"/>
  <c r="J954" i="1" a="1"/>
  <c r="J954" i="1" s="1"/>
  <c r="L954" i="1"/>
  <c r="K954" i="1" a="1"/>
  <c r="K954" i="1" s="1"/>
  <c r="J894" i="1" a="1"/>
  <c r="J894" i="1" s="1"/>
  <c r="L894" i="1"/>
  <c r="K894" i="1" a="1"/>
  <c r="K894" i="1" s="1"/>
  <c r="J874" i="1" a="1"/>
  <c r="J874" i="1" s="1"/>
  <c r="L874" i="1"/>
  <c r="K874" i="1" a="1"/>
  <c r="K874" i="1" s="1"/>
  <c r="J774" i="1" a="1"/>
  <c r="J774" i="1" s="1"/>
  <c r="L774" i="1"/>
  <c r="K774" i="1" a="1"/>
  <c r="K774" i="1" s="1"/>
  <c r="J734" i="1" a="1"/>
  <c r="J734" i="1" s="1"/>
  <c r="L734" i="1"/>
  <c r="K734" i="1" a="1"/>
  <c r="K734" i="1" s="1"/>
  <c r="J654" i="1" a="1"/>
  <c r="J654" i="1" s="1"/>
  <c r="L654" i="1"/>
  <c r="K654" i="1" a="1"/>
  <c r="K654" i="1" s="1"/>
  <c r="J574" i="1" a="1"/>
  <c r="J574" i="1" s="1"/>
  <c r="L574" i="1"/>
  <c r="K574" i="1" a="1"/>
  <c r="K574" i="1" s="1"/>
  <c r="J534" i="1" a="1"/>
  <c r="J534" i="1" s="1"/>
  <c r="L534" i="1"/>
  <c r="K534" i="1" a="1"/>
  <c r="K534" i="1" s="1"/>
  <c r="J474" i="1" a="1"/>
  <c r="J474" i="1" s="1"/>
  <c r="L474" i="1"/>
  <c r="K474" i="1" a="1"/>
  <c r="K474" i="1" s="1"/>
  <c r="J434" i="1" a="1"/>
  <c r="J434" i="1" s="1"/>
  <c r="L434" i="1"/>
  <c r="K434" i="1" a="1"/>
  <c r="K434" i="1" s="1"/>
  <c r="J394" i="1" a="1"/>
  <c r="J394" i="1" s="1"/>
  <c r="L394" i="1"/>
  <c r="K394" i="1" a="1"/>
  <c r="K394" i="1" s="1"/>
  <c r="J314" i="1" a="1"/>
  <c r="J314" i="1" s="1"/>
  <c r="L314" i="1"/>
  <c r="K314" i="1" a="1"/>
  <c r="K314" i="1" s="1"/>
  <c r="J294" i="1" a="1"/>
  <c r="J294" i="1" s="1"/>
  <c r="L294" i="1"/>
  <c r="K294" i="1" a="1"/>
  <c r="K294" i="1" s="1"/>
  <c r="J274" i="1" a="1"/>
  <c r="J274" i="1" s="1"/>
  <c r="L274" i="1"/>
  <c r="K274" i="1" a="1"/>
  <c r="K274" i="1" s="1"/>
  <c r="J254" i="1" a="1"/>
  <c r="J254" i="1" s="1"/>
  <c r="L254" i="1"/>
  <c r="K254" i="1" a="1"/>
  <c r="K254" i="1" s="1"/>
  <c r="J234" i="1" a="1"/>
  <c r="J234" i="1" s="1"/>
  <c r="L234" i="1"/>
  <c r="K234" i="1" a="1"/>
  <c r="K234" i="1" s="1"/>
  <c r="J214" i="1" a="1"/>
  <c r="J214" i="1" s="1"/>
  <c r="L214" i="1"/>
  <c r="K214" i="1" a="1"/>
  <c r="K214" i="1" s="1"/>
  <c r="J194" i="1" a="1"/>
  <c r="J194" i="1" s="1"/>
  <c r="L194" i="1"/>
  <c r="K194" i="1" a="1"/>
  <c r="K194" i="1" s="1"/>
  <c r="J174" i="1" a="1"/>
  <c r="J174" i="1" s="1"/>
  <c r="L174" i="1"/>
  <c r="K174" i="1" a="1"/>
  <c r="K174" i="1" s="1"/>
  <c r="J154" i="1" a="1"/>
  <c r="J154" i="1" s="1"/>
  <c r="L154" i="1"/>
  <c r="K154" i="1" a="1"/>
  <c r="K154" i="1" s="1"/>
  <c r="J134" i="1" a="1"/>
  <c r="J134" i="1" s="1"/>
  <c r="L134" i="1"/>
  <c r="K134" i="1" a="1"/>
  <c r="K134" i="1" s="1"/>
  <c r="J114" i="1" a="1"/>
  <c r="J114" i="1" s="1"/>
  <c r="L114" i="1"/>
  <c r="K114" i="1" a="1"/>
  <c r="K114" i="1" s="1"/>
  <c r="J14" i="1" a="1"/>
  <c r="J14" i="1" s="1"/>
  <c r="L14" i="1"/>
  <c r="K14" i="1" a="1"/>
  <c r="K14" i="1" s="1"/>
  <c r="J1800" i="1" a="1"/>
  <c r="J1800" i="1" s="1"/>
  <c r="L1800" i="1"/>
  <c r="K1800" i="1" a="1"/>
  <c r="K1800" i="1" s="1"/>
  <c r="J1740" i="1" a="1"/>
  <c r="J1740" i="1" s="1"/>
  <c r="L1740" i="1"/>
  <c r="K1740" i="1" a="1"/>
  <c r="K1740" i="1" s="1"/>
  <c r="J1720" i="1" a="1"/>
  <c r="J1720" i="1" s="1"/>
  <c r="L1720" i="1"/>
  <c r="K1720" i="1" a="1"/>
  <c r="K1720" i="1" s="1"/>
  <c r="J1680" i="1" a="1"/>
  <c r="J1680" i="1" s="1"/>
  <c r="L1680" i="1"/>
  <c r="K1680" i="1" a="1"/>
  <c r="K1680" i="1" s="1"/>
  <c r="J1620" i="1" a="1"/>
  <c r="J1620" i="1" s="1"/>
  <c r="L1620" i="1"/>
  <c r="K1620" i="1" a="1"/>
  <c r="K1620" i="1" s="1"/>
  <c r="J1600" i="1" a="1"/>
  <c r="J1600" i="1" s="1"/>
  <c r="L1600" i="1"/>
  <c r="K1600" i="1" a="1"/>
  <c r="K1600" i="1" s="1"/>
  <c r="J1433" i="1" a="1"/>
  <c r="J1433" i="1" s="1"/>
  <c r="L1433" i="1"/>
  <c r="K1433" i="1" a="1"/>
  <c r="K1433" i="1" s="1"/>
  <c r="J1353" i="1" a="1"/>
  <c r="J1353" i="1" s="1"/>
  <c r="L1353" i="1"/>
  <c r="K1353" i="1" a="1"/>
  <c r="K1353" i="1" s="1"/>
  <c r="J1333" i="1" a="1"/>
  <c r="J1333" i="1" s="1"/>
  <c r="L1333" i="1"/>
  <c r="K1333" i="1" a="1"/>
  <c r="K1333" i="1" s="1"/>
  <c r="J1293" i="1" a="1"/>
  <c r="J1293" i="1" s="1"/>
  <c r="L1293" i="1"/>
  <c r="K1293" i="1" a="1"/>
  <c r="K1293" i="1" s="1"/>
  <c r="J1253" i="1" a="1"/>
  <c r="J1253" i="1" s="1"/>
  <c r="L1253" i="1"/>
  <c r="K1253" i="1" a="1"/>
  <c r="K1253" i="1" s="1"/>
  <c r="J1193" i="1" a="1"/>
  <c r="J1193" i="1" s="1"/>
  <c r="L1193" i="1"/>
  <c r="K1193" i="1" a="1"/>
  <c r="K1193" i="1" s="1"/>
  <c r="J1153" i="1" a="1"/>
  <c r="J1153" i="1" s="1"/>
  <c r="L1153" i="1"/>
  <c r="K1153" i="1" a="1"/>
  <c r="K1153" i="1" s="1"/>
  <c r="J1113" i="1" a="1"/>
  <c r="J1113" i="1" s="1"/>
  <c r="L1113" i="1"/>
  <c r="K1113" i="1" a="1"/>
  <c r="K1113" i="1" s="1"/>
  <c r="J1053" i="1" a="1"/>
  <c r="J1053" i="1" s="1"/>
  <c r="L1053" i="1"/>
  <c r="K1053" i="1" a="1"/>
  <c r="K1053" i="1" s="1"/>
  <c r="J1013" i="1" a="1"/>
  <c r="J1013" i="1" s="1"/>
  <c r="L1013" i="1"/>
  <c r="K1013" i="1" a="1"/>
  <c r="K1013" i="1" s="1"/>
  <c r="J973" i="1" a="1"/>
  <c r="J973" i="1" s="1"/>
  <c r="L973" i="1"/>
  <c r="K973" i="1" a="1"/>
  <c r="K973" i="1" s="1"/>
  <c r="J913" i="1" a="1"/>
  <c r="J913" i="1" s="1"/>
  <c r="L913" i="1"/>
  <c r="K913" i="1" a="1"/>
  <c r="K913" i="1" s="1"/>
  <c r="J853" i="1" a="1"/>
  <c r="J853" i="1" s="1"/>
  <c r="L853" i="1"/>
  <c r="K853" i="1" a="1"/>
  <c r="K853" i="1" s="1"/>
  <c r="J813" i="1" a="1"/>
  <c r="J813" i="1" s="1"/>
  <c r="L813" i="1"/>
  <c r="K813" i="1" a="1"/>
  <c r="K813" i="1" s="1"/>
  <c r="J773" i="1" a="1"/>
  <c r="J773" i="1" s="1"/>
  <c r="L773" i="1"/>
  <c r="K773" i="1" a="1"/>
  <c r="K773" i="1" s="1"/>
  <c r="J713" i="1" a="1"/>
  <c r="J713" i="1" s="1"/>
  <c r="L713" i="1"/>
  <c r="K713" i="1" a="1"/>
  <c r="K713" i="1" s="1"/>
  <c r="J673" i="1" a="1"/>
  <c r="J673" i="1" s="1"/>
  <c r="L673" i="1"/>
  <c r="K673" i="1" a="1"/>
  <c r="K673" i="1" s="1"/>
  <c r="J613" i="1" a="1"/>
  <c r="J613" i="1" s="1"/>
  <c r="L613" i="1"/>
  <c r="K613" i="1" a="1"/>
  <c r="K613" i="1" s="1"/>
  <c r="J553" i="1" a="1"/>
  <c r="J553" i="1" s="1"/>
  <c r="L553" i="1"/>
  <c r="K553" i="1" a="1"/>
  <c r="K553" i="1" s="1"/>
  <c r="J493" i="1" a="1"/>
  <c r="J493" i="1" s="1"/>
  <c r="L493" i="1"/>
  <c r="K493" i="1" a="1"/>
  <c r="K493" i="1" s="1"/>
  <c r="J453" i="1" a="1"/>
  <c r="J453" i="1" s="1"/>
  <c r="L453" i="1"/>
  <c r="K453" i="1" a="1"/>
  <c r="K453" i="1" s="1"/>
  <c r="J433" i="1" a="1"/>
  <c r="J433" i="1" s="1"/>
  <c r="L433" i="1"/>
  <c r="K433" i="1" a="1"/>
  <c r="K433" i="1" s="1"/>
  <c r="J373" i="1" a="1"/>
  <c r="J373" i="1" s="1"/>
  <c r="L373" i="1"/>
  <c r="K373" i="1" a="1"/>
  <c r="K373" i="1" s="1"/>
  <c r="J313" i="1" a="1"/>
  <c r="J313" i="1" s="1"/>
  <c r="L313" i="1"/>
  <c r="K313" i="1" a="1"/>
  <c r="K313" i="1" s="1"/>
  <c r="J293" i="1" a="1"/>
  <c r="J293" i="1" s="1"/>
  <c r="L293" i="1"/>
  <c r="K293" i="1" a="1"/>
  <c r="K293" i="1" s="1"/>
  <c r="J273" i="1" a="1"/>
  <c r="J273" i="1" s="1"/>
  <c r="L273" i="1"/>
  <c r="K273" i="1" a="1"/>
  <c r="K273" i="1" s="1"/>
  <c r="J253" i="1" a="1"/>
  <c r="J253" i="1" s="1"/>
  <c r="L253" i="1"/>
  <c r="K253" i="1" a="1"/>
  <c r="K253" i="1" s="1"/>
  <c r="J233" i="1" a="1"/>
  <c r="J233" i="1" s="1"/>
  <c r="L233" i="1"/>
  <c r="K233" i="1" a="1"/>
  <c r="K233" i="1" s="1"/>
  <c r="J213" i="1" a="1"/>
  <c r="J213" i="1" s="1"/>
  <c r="L213" i="1"/>
  <c r="K213" i="1" a="1"/>
  <c r="K213" i="1" s="1"/>
  <c r="J193" i="1" a="1"/>
  <c r="J193" i="1" s="1"/>
  <c r="L193" i="1"/>
  <c r="K193" i="1" a="1"/>
  <c r="K193" i="1" s="1"/>
  <c r="J173" i="1" a="1"/>
  <c r="J173" i="1" s="1"/>
  <c r="L173" i="1"/>
  <c r="K173" i="1" a="1"/>
  <c r="K173" i="1" s="1"/>
  <c r="J153" i="1" a="1"/>
  <c r="J153" i="1" s="1"/>
  <c r="L153" i="1"/>
  <c r="K153" i="1" a="1"/>
  <c r="K153" i="1" s="1"/>
  <c r="J133" i="1" a="1"/>
  <c r="J133" i="1" s="1"/>
  <c r="L133" i="1"/>
  <c r="K133" i="1" a="1"/>
  <c r="K133" i="1" s="1"/>
  <c r="J113" i="1" a="1"/>
  <c r="J113" i="1" s="1"/>
  <c r="L113" i="1"/>
  <c r="K113" i="1" a="1"/>
  <c r="K113" i="1" s="1"/>
  <c r="J13" i="1" a="1"/>
  <c r="J13" i="1" s="1"/>
  <c r="L13" i="1"/>
  <c r="K13" i="1" a="1"/>
  <c r="K13" i="1" s="1"/>
  <c r="J1799" i="1" a="1"/>
  <c r="J1799" i="1" s="1"/>
  <c r="L1799" i="1"/>
  <c r="K1799" i="1" a="1"/>
  <c r="K1799" i="1" s="1"/>
  <c r="J1759" i="1" a="1"/>
  <c r="J1759" i="1" s="1"/>
  <c r="L1759" i="1"/>
  <c r="K1759" i="1" a="1"/>
  <c r="K1759" i="1" s="1"/>
  <c r="J1719" i="1" a="1"/>
  <c r="J1719" i="1" s="1"/>
  <c r="L1719" i="1"/>
  <c r="K1719" i="1" a="1"/>
  <c r="K1719" i="1" s="1"/>
  <c r="J1679" i="1" a="1"/>
  <c r="J1679" i="1" s="1"/>
  <c r="L1679" i="1"/>
  <c r="K1679" i="1" a="1"/>
  <c r="K1679" i="1" s="1"/>
  <c r="J1619" i="1" a="1"/>
  <c r="J1619" i="1" s="1"/>
  <c r="L1619" i="1"/>
  <c r="K1619" i="1" a="1"/>
  <c r="K1619" i="1" s="1"/>
  <c r="J1599" i="1" a="1"/>
  <c r="J1599" i="1" s="1"/>
  <c r="L1599" i="1"/>
  <c r="K1599" i="1" a="1"/>
  <c r="K1599" i="1" s="1"/>
  <c r="J1412" i="1" a="1"/>
  <c r="J1412" i="1" s="1"/>
  <c r="L1412" i="1"/>
  <c r="K1412" i="1" a="1"/>
  <c r="K1412" i="1" s="1"/>
  <c r="J1372" i="1" a="1"/>
  <c r="J1372" i="1" s="1"/>
  <c r="L1372" i="1"/>
  <c r="K1372" i="1" a="1"/>
  <c r="K1372" i="1" s="1"/>
  <c r="J1332" i="1" a="1"/>
  <c r="J1332" i="1" s="1"/>
  <c r="L1332" i="1"/>
  <c r="K1332" i="1" a="1"/>
  <c r="K1332" i="1" s="1"/>
  <c r="J1272" i="1" a="1"/>
  <c r="J1272" i="1" s="1"/>
  <c r="L1272" i="1"/>
  <c r="K1272" i="1" a="1"/>
  <c r="K1272" i="1" s="1"/>
  <c r="J1232" i="1" a="1"/>
  <c r="J1232" i="1" s="1"/>
  <c r="L1232" i="1"/>
  <c r="K1232" i="1" a="1"/>
  <c r="K1232" i="1" s="1"/>
  <c r="J1212" i="1" a="1"/>
  <c r="J1212" i="1" s="1"/>
  <c r="L1212" i="1"/>
  <c r="K1212" i="1" a="1"/>
  <c r="K1212" i="1" s="1"/>
  <c r="J1152" i="1" a="1"/>
  <c r="J1152" i="1" s="1"/>
  <c r="L1152" i="1"/>
  <c r="K1152" i="1" a="1"/>
  <c r="K1152" i="1" s="1"/>
  <c r="J1092" i="1" a="1"/>
  <c r="J1092" i="1" s="1"/>
  <c r="L1092" i="1"/>
  <c r="K1092" i="1" a="1"/>
  <c r="K1092" i="1" s="1"/>
  <c r="J1072" i="1" a="1"/>
  <c r="J1072" i="1" s="1"/>
  <c r="L1072" i="1"/>
  <c r="K1072" i="1" a="1"/>
  <c r="K1072" i="1" s="1"/>
  <c r="J1012" i="1" a="1"/>
  <c r="J1012" i="1" s="1"/>
  <c r="L1012" i="1"/>
  <c r="K1012" i="1" a="1"/>
  <c r="K1012" i="1" s="1"/>
  <c r="J972" i="1" a="1"/>
  <c r="J972" i="1" s="1"/>
  <c r="L972" i="1"/>
  <c r="K972" i="1" a="1"/>
  <c r="K972" i="1" s="1"/>
  <c r="J932" i="1" a="1"/>
  <c r="J932" i="1" s="1"/>
  <c r="L932" i="1"/>
  <c r="K932" i="1" a="1"/>
  <c r="K932" i="1" s="1"/>
  <c r="J892" i="1" a="1"/>
  <c r="J892" i="1" s="1"/>
  <c r="L892" i="1"/>
  <c r="K892" i="1" a="1"/>
  <c r="K892" i="1" s="1"/>
  <c r="J832" i="1" a="1"/>
  <c r="J832" i="1" s="1"/>
  <c r="L832" i="1"/>
  <c r="K832" i="1" a="1"/>
  <c r="K832" i="1" s="1"/>
  <c r="J792" i="1" a="1"/>
  <c r="J792" i="1" s="1"/>
  <c r="L792" i="1"/>
  <c r="K792" i="1" a="1"/>
  <c r="K792" i="1" s="1"/>
  <c r="J752" i="1" a="1"/>
  <c r="J752" i="1" s="1"/>
  <c r="L752" i="1"/>
  <c r="K752" i="1" a="1"/>
  <c r="K752" i="1" s="1"/>
  <c r="J672" i="1" a="1"/>
  <c r="J672" i="1" s="1"/>
  <c r="L672" i="1"/>
  <c r="K672" i="1" a="1"/>
  <c r="K672" i="1" s="1"/>
  <c r="J632" i="1" a="1"/>
  <c r="J632" i="1" s="1"/>
  <c r="L632" i="1"/>
  <c r="K632" i="1" a="1"/>
  <c r="K632" i="1" s="1"/>
  <c r="J592" i="1" a="1"/>
  <c r="J592" i="1" s="1"/>
  <c r="L592" i="1"/>
  <c r="K592" i="1" a="1"/>
  <c r="K592" i="1" s="1"/>
  <c r="J512" i="1" a="1"/>
  <c r="J512" i="1" s="1"/>
  <c r="L512" i="1"/>
  <c r="K512" i="1" a="1"/>
  <c r="K512" i="1" s="1"/>
  <c r="J492" i="1" a="1"/>
  <c r="J492" i="1" s="1"/>
  <c r="L492" i="1"/>
  <c r="K492" i="1" a="1"/>
  <c r="K492" i="1" s="1"/>
  <c r="J432" i="1" a="1"/>
  <c r="J432" i="1" s="1"/>
  <c r="L432" i="1"/>
  <c r="K432" i="1" a="1"/>
  <c r="K432" i="1" s="1"/>
  <c r="J412" i="1" a="1"/>
  <c r="J412" i="1" s="1"/>
  <c r="L412" i="1"/>
  <c r="K412" i="1" a="1"/>
  <c r="K412" i="1" s="1"/>
  <c r="J352" i="1" a="1"/>
  <c r="J352" i="1" s="1"/>
  <c r="L352" i="1"/>
  <c r="K352" i="1" a="1"/>
  <c r="K352" i="1" s="1"/>
  <c r="J292" i="1" a="1"/>
  <c r="J292" i="1" s="1"/>
  <c r="L292" i="1"/>
  <c r="K292" i="1" a="1"/>
  <c r="K292" i="1" s="1"/>
  <c r="J272" i="1" a="1"/>
  <c r="J272" i="1" s="1"/>
  <c r="L272" i="1"/>
  <c r="K272" i="1" a="1"/>
  <c r="K272" i="1" s="1"/>
  <c r="J252" i="1" a="1"/>
  <c r="J252" i="1" s="1"/>
  <c r="L252" i="1"/>
  <c r="K252" i="1" a="1"/>
  <c r="K252" i="1" s="1"/>
  <c r="J232" i="1" a="1"/>
  <c r="J232" i="1" s="1"/>
  <c r="L232" i="1"/>
  <c r="K232" i="1" a="1"/>
  <c r="K232" i="1" s="1"/>
  <c r="J212" i="1" a="1"/>
  <c r="J212" i="1" s="1"/>
  <c r="L212" i="1"/>
  <c r="K212" i="1" a="1"/>
  <c r="K212" i="1" s="1"/>
  <c r="J192" i="1" a="1"/>
  <c r="J192" i="1" s="1"/>
  <c r="L192" i="1"/>
  <c r="K192" i="1" a="1"/>
  <c r="K192" i="1" s="1"/>
  <c r="J172" i="1" a="1"/>
  <c r="J172" i="1" s="1"/>
  <c r="L172" i="1"/>
  <c r="K172" i="1" a="1"/>
  <c r="K172" i="1" s="1"/>
  <c r="J152" i="1" a="1"/>
  <c r="J152" i="1" s="1"/>
  <c r="L152" i="1"/>
  <c r="K152" i="1" a="1"/>
  <c r="K152" i="1" s="1"/>
  <c r="J132" i="1" a="1"/>
  <c r="J132" i="1" s="1"/>
  <c r="L132" i="1"/>
  <c r="K132" i="1" a="1"/>
  <c r="K132" i="1" s="1"/>
  <c r="J112" i="1" a="1"/>
  <c r="J112" i="1" s="1"/>
  <c r="L112" i="1"/>
  <c r="K112" i="1" a="1"/>
  <c r="K112" i="1" s="1"/>
  <c r="J12" i="1" a="1"/>
  <c r="J12" i="1" s="1"/>
  <c r="L12" i="1"/>
  <c r="K12" i="1" a="1"/>
  <c r="K12" i="1" s="1"/>
  <c r="J1818" i="1" a="1"/>
  <c r="J1818" i="1" s="1"/>
  <c r="L1818" i="1"/>
  <c r="K1818" i="1" a="1"/>
  <c r="K1818" i="1" s="1"/>
  <c r="J1758" i="1" a="1"/>
  <c r="J1758" i="1" s="1"/>
  <c r="L1758" i="1"/>
  <c r="K1758" i="1" a="1"/>
  <c r="K1758" i="1" s="1"/>
  <c r="J1698" i="1" a="1"/>
  <c r="J1698" i="1" s="1"/>
  <c r="L1698" i="1"/>
  <c r="K1698" i="1" a="1"/>
  <c r="K1698" i="1" s="1"/>
  <c r="J1678" i="1" a="1"/>
  <c r="J1678" i="1" s="1"/>
  <c r="L1678" i="1"/>
  <c r="K1678" i="1" a="1"/>
  <c r="K1678" i="1" s="1"/>
  <c r="J1618" i="1" a="1"/>
  <c r="J1618" i="1" s="1"/>
  <c r="L1618" i="1"/>
  <c r="K1618" i="1" a="1"/>
  <c r="K1618" i="1" s="1"/>
  <c r="J1578" i="1" a="1"/>
  <c r="J1578" i="1" s="1"/>
  <c r="L1578" i="1"/>
  <c r="K1578" i="1" a="1"/>
  <c r="K1578" i="1" s="1"/>
  <c r="J1411" i="1" a="1"/>
  <c r="J1411" i="1" s="1"/>
  <c r="L1411" i="1"/>
  <c r="K1411" i="1" a="1"/>
  <c r="K1411" i="1" s="1"/>
  <c r="J1371" i="1" a="1"/>
  <c r="J1371" i="1" s="1"/>
  <c r="L1371" i="1"/>
  <c r="K1371" i="1" a="1"/>
  <c r="K1371" i="1" s="1"/>
  <c r="J1311" i="1" a="1"/>
  <c r="J1311" i="1" s="1"/>
  <c r="L1311" i="1"/>
  <c r="K1311" i="1" a="1"/>
  <c r="K1311" i="1" s="1"/>
  <c r="J1251" i="1" a="1"/>
  <c r="J1251" i="1" s="1"/>
  <c r="L1251" i="1"/>
  <c r="K1251" i="1" a="1"/>
  <c r="K1251" i="1" s="1"/>
  <c r="J1231" i="1" a="1"/>
  <c r="J1231" i="1" s="1"/>
  <c r="L1231" i="1"/>
  <c r="K1231" i="1" a="1"/>
  <c r="K1231" i="1" s="1"/>
  <c r="J1171" i="1" a="1"/>
  <c r="J1171" i="1" s="1"/>
  <c r="L1171" i="1"/>
  <c r="K1171" i="1" a="1"/>
  <c r="K1171" i="1" s="1"/>
  <c r="J1111" i="1" a="1"/>
  <c r="J1111" i="1" s="1"/>
  <c r="L1111" i="1"/>
  <c r="K1111" i="1" a="1"/>
  <c r="K1111" i="1" s="1"/>
  <c r="J1071" i="1" a="1"/>
  <c r="J1071" i="1" s="1"/>
  <c r="L1071" i="1"/>
  <c r="K1071" i="1" a="1"/>
  <c r="K1071" i="1" s="1"/>
  <c r="J1031" i="1" a="1"/>
  <c r="J1031" i="1" s="1"/>
  <c r="L1031" i="1"/>
  <c r="K1031" i="1" a="1"/>
  <c r="K1031" i="1" s="1"/>
  <c r="J951" i="1" a="1"/>
  <c r="J951" i="1" s="1"/>
  <c r="L951" i="1"/>
  <c r="K951" i="1" a="1"/>
  <c r="K951" i="1" s="1"/>
  <c r="J931" i="1" a="1"/>
  <c r="J931" i="1" s="1"/>
  <c r="L931" i="1"/>
  <c r="K931" i="1" a="1"/>
  <c r="K931" i="1" s="1"/>
  <c r="J891" i="1" a="1"/>
  <c r="J891" i="1" s="1"/>
  <c r="L891" i="1"/>
  <c r="K891" i="1" a="1"/>
  <c r="K891" i="1" s="1"/>
  <c r="J811" i="1" a="1"/>
  <c r="J811" i="1" s="1"/>
  <c r="L811" i="1"/>
  <c r="K811" i="1" a="1"/>
  <c r="K811" i="1" s="1"/>
  <c r="J791" i="1" a="1"/>
  <c r="J791" i="1" s="1"/>
  <c r="L791" i="1"/>
  <c r="K791" i="1" a="1"/>
  <c r="K791" i="1" s="1"/>
  <c r="J751" i="1" a="1"/>
  <c r="J751" i="1" s="1"/>
  <c r="L751" i="1"/>
  <c r="K751" i="1" a="1"/>
  <c r="K751" i="1" s="1"/>
  <c r="J691" i="1" a="1"/>
  <c r="J691" i="1" s="1"/>
  <c r="L691" i="1"/>
  <c r="K691" i="1" a="1"/>
  <c r="K691" i="1" s="1"/>
  <c r="J651" i="1" a="1"/>
  <c r="J651" i="1" s="1"/>
  <c r="L651" i="1"/>
  <c r="K651" i="1" a="1"/>
  <c r="K651" i="1" s="1"/>
  <c r="J591" i="1" a="1"/>
  <c r="J591" i="1" s="1"/>
  <c r="L591" i="1"/>
  <c r="K591" i="1" a="1"/>
  <c r="K591" i="1" s="1"/>
  <c r="J531" i="1" a="1"/>
  <c r="J531" i="1" s="1"/>
  <c r="L531" i="1"/>
  <c r="K531" i="1" a="1"/>
  <c r="K531" i="1" s="1"/>
  <c r="J491" i="1" a="1"/>
  <c r="J491" i="1" s="1"/>
  <c r="L491" i="1"/>
  <c r="K491" i="1" a="1"/>
  <c r="K491" i="1" s="1"/>
  <c r="J451" i="1" a="1"/>
  <c r="J451" i="1" s="1"/>
  <c r="L451" i="1"/>
  <c r="K451" i="1" a="1"/>
  <c r="K451" i="1" s="1"/>
  <c r="J371" i="1" a="1"/>
  <c r="J371" i="1" s="1"/>
  <c r="L371" i="1"/>
  <c r="K371" i="1" a="1"/>
  <c r="K371" i="1" s="1"/>
  <c r="J351" i="1" a="1"/>
  <c r="J351" i="1" s="1"/>
  <c r="L351" i="1"/>
  <c r="K351" i="1" a="1"/>
  <c r="K351" i="1" s="1"/>
  <c r="J291" i="1" a="1"/>
  <c r="J291" i="1" s="1"/>
  <c r="L291" i="1"/>
  <c r="K291" i="1" a="1"/>
  <c r="K291" i="1" s="1"/>
  <c r="J271" i="1" a="1"/>
  <c r="J271" i="1" s="1"/>
  <c r="L271" i="1"/>
  <c r="K271" i="1" a="1"/>
  <c r="K271" i="1" s="1"/>
  <c r="J251" i="1" a="1"/>
  <c r="J251" i="1" s="1"/>
  <c r="L251" i="1"/>
  <c r="K251" i="1" a="1"/>
  <c r="K251" i="1" s="1"/>
  <c r="J231" i="1" a="1"/>
  <c r="J231" i="1" s="1"/>
  <c r="L231" i="1"/>
  <c r="K231" i="1" a="1"/>
  <c r="K231" i="1" s="1"/>
  <c r="J211" i="1" a="1"/>
  <c r="J211" i="1" s="1"/>
  <c r="L211" i="1"/>
  <c r="K211" i="1" a="1"/>
  <c r="K211" i="1" s="1"/>
  <c r="J191" i="1" a="1"/>
  <c r="J191" i="1" s="1"/>
  <c r="L191" i="1"/>
  <c r="K191" i="1" a="1"/>
  <c r="K191" i="1" s="1"/>
  <c r="J171" i="1" a="1"/>
  <c r="J171" i="1" s="1"/>
  <c r="L171" i="1"/>
  <c r="K171" i="1" a="1"/>
  <c r="K171" i="1" s="1"/>
  <c r="J151" i="1" a="1"/>
  <c r="J151" i="1" s="1"/>
  <c r="L151" i="1"/>
  <c r="K151" i="1" a="1"/>
  <c r="K151" i="1" s="1"/>
  <c r="J131" i="1" a="1"/>
  <c r="J131" i="1" s="1"/>
  <c r="L131" i="1"/>
  <c r="K131" i="1" a="1"/>
  <c r="K131" i="1" s="1"/>
  <c r="J11" i="1" a="1"/>
  <c r="J11" i="1" s="1"/>
  <c r="L11" i="1"/>
  <c r="K11" i="1" a="1"/>
  <c r="K11" i="1" s="1"/>
  <c r="J1797" i="1" a="1"/>
  <c r="J1797" i="1" s="1"/>
  <c r="L1797" i="1"/>
  <c r="K1797" i="1" a="1"/>
  <c r="K1797" i="1" s="1"/>
  <c r="J1757" i="1" a="1"/>
  <c r="J1757" i="1" s="1"/>
  <c r="L1757" i="1"/>
  <c r="K1757" i="1" a="1"/>
  <c r="K1757" i="1" s="1"/>
  <c r="J1697" i="1" a="1"/>
  <c r="J1697" i="1" s="1"/>
  <c r="L1697" i="1"/>
  <c r="K1697" i="1" a="1"/>
  <c r="K1697" i="1" s="1"/>
  <c r="J1637" i="1" a="1"/>
  <c r="J1637" i="1" s="1"/>
  <c r="L1637" i="1"/>
  <c r="K1637" i="1" a="1"/>
  <c r="K1637" i="1" s="1"/>
  <c r="J1617" i="1" a="1"/>
  <c r="J1617" i="1" s="1"/>
  <c r="L1617" i="1"/>
  <c r="K1617" i="1" a="1"/>
  <c r="K1617" i="1" s="1"/>
  <c r="J1430" i="1" a="1"/>
  <c r="J1430" i="1" s="1"/>
  <c r="L1430" i="1"/>
  <c r="K1430" i="1" a="1"/>
  <c r="K1430" i="1" s="1"/>
  <c r="J1370" i="1" a="1"/>
  <c r="J1370" i="1" s="1"/>
  <c r="L1370" i="1"/>
  <c r="K1370" i="1" a="1"/>
  <c r="K1370" i="1" s="1"/>
  <c r="J1310" i="1" a="1"/>
  <c r="J1310" i="1" s="1"/>
  <c r="L1310" i="1"/>
  <c r="K1310" i="1" a="1"/>
  <c r="K1310" i="1" s="1"/>
  <c r="J1230" i="1" a="1"/>
  <c r="J1230" i="1" s="1"/>
  <c r="L1230" i="1"/>
  <c r="K1230" i="1" a="1"/>
  <c r="K1230" i="1" s="1"/>
  <c r="J1190" i="1" a="1"/>
  <c r="J1190" i="1" s="1"/>
  <c r="L1190" i="1"/>
  <c r="K1190" i="1" a="1"/>
  <c r="K1190" i="1" s="1"/>
  <c r="J1130" i="1" a="1"/>
  <c r="J1130" i="1" s="1"/>
  <c r="L1130" i="1"/>
  <c r="K1130" i="1" a="1"/>
  <c r="K1130" i="1" s="1"/>
  <c r="J1090" i="1" a="1"/>
  <c r="J1090" i="1" s="1"/>
  <c r="L1090" i="1"/>
  <c r="K1090" i="1" a="1"/>
  <c r="K1090" i="1" s="1"/>
  <c r="J1030" i="1" a="1"/>
  <c r="J1030" i="1" s="1"/>
  <c r="L1030" i="1"/>
  <c r="K1030" i="1" a="1"/>
  <c r="K1030" i="1" s="1"/>
  <c r="J990" i="1" a="1"/>
  <c r="J990" i="1" s="1"/>
  <c r="L990" i="1"/>
  <c r="K990" i="1" a="1"/>
  <c r="K990" i="1" s="1"/>
  <c r="J930" i="1" a="1"/>
  <c r="J930" i="1" s="1"/>
  <c r="L930" i="1"/>
  <c r="K930" i="1" a="1"/>
  <c r="K930" i="1" s="1"/>
  <c r="J890" i="1" a="1"/>
  <c r="J890" i="1" s="1"/>
  <c r="L890" i="1"/>
  <c r="K890" i="1" a="1"/>
  <c r="K890" i="1" s="1"/>
  <c r="J830" i="1" a="1"/>
  <c r="J830" i="1" s="1"/>
  <c r="L830" i="1"/>
  <c r="K830" i="1" a="1"/>
  <c r="K830" i="1" s="1"/>
  <c r="J810" i="1" a="1"/>
  <c r="J810" i="1" s="1"/>
  <c r="L810" i="1"/>
  <c r="K810" i="1" a="1"/>
  <c r="K810" i="1" s="1"/>
  <c r="J730" i="1" a="1"/>
  <c r="J730" i="1" s="1"/>
  <c r="L730" i="1"/>
  <c r="K730" i="1" a="1"/>
  <c r="K730" i="1" s="1"/>
  <c r="J670" i="1" a="1"/>
  <c r="J670" i="1" s="1"/>
  <c r="L670" i="1"/>
  <c r="K670" i="1" a="1"/>
  <c r="K670" i="1" s="1"/>
  <c r="J630" i="1" a="1"/>
  <c r="J630" i="1" s="1"/>
  <c r="L630" i="1"/>
  <c r="K630" i="1" a="1"/>
  <c r="K630" i="1" s="1"/>
  <c r="J590" i="1" a="1"/>
  <c r="J590" i="1" s="1"/>
  <c r="L590" i="1"/>
  <c r="K590" i="1" a="1"/>
  <c r="K590" i="1" s="1"/>
  <c r="J510" i="1" a="1"/>
  <c r="J510" i="1" s="1"/>
  <c r="L510" i="1"/>
  <c r="K510" i="1" a="1"/>
  <c r="K510" i="1" s="1"/>
  <c r="J470" i="1" a="1"/>
  <c r="J470" i="1" s="1"/>
  <c r="L470" i="1"/>
  <c r="K470" i="1" a="1"/>
  <c r="K470" i="1" s="1"/>
  <c r="J430" i="1" a="1"/>
  <c r="J430" i="1" s="1"/>
  <c r="L430" i="1"/>
  <c r="K430" i="1" a="1"/>
  <c r="K430" i="1" s="1"/>
  <c r="J410" i="1" a="1"/>
  <c r="J410" i="1" s="1"/>
  <c r="L410" i="1"/>
  <c r="K410" i="1" a="1"/>
  <c r="K410" i="1" s="1"/>
  <c r="J330" i="1" a="1"/>
  <c r="J330" i="1" s="1"/>
  <c r="L330" i="1"/>
  <c r="K330" i="1" a="1"/>
  <c r="K330" i="1" s="1"/>
  <c r="J290" i="1" a="1"/>
  <c r="J290" i="1" s="1"/>
  <c r="L290" i="1"/>
  <c r="K290" i="1" a="1"/>
  <c r="K290" i="1" s="1"/>
  <c r="J270" i="1" a="1"/>
  <c r="J270" i="1" s="1"/>
  <c r="L270" i="1"/>
  <c r="K270" i="1" a="1"/>
  <c r="K270" i="1" s="1"/>
  <c r="J250" i="1" a="1"/>
  <c r="J250" i="1" s="1"/>
  <c r="L250" i="1"/>
  <c r="K250" i="1" a="1"/>
  <c r="K250" i="1" s="1"/>
  <c r="J230" i="1" a="1"/>
  <c r="J230" i="1" s="1"/>
  <c r="L230" i="1"/>
  <c r="K230" i="1" a="1"/>
  <c r="K230" i="1" s="1"/>
  <c r="J210" i="1" a="1"/>
  <c r="J210" i="1" s="1"/>
  <c r="L210" i="1"/>
  <c r="K210" i="1" a="1"/>
  <c r="K210" i="1" s="1"/>
  <c r="J190" i="1" a="1"/>
  <c r="J190" i="1" s="1"/>
  <c r="L190" i="1"/>
  <c r="K190" i="1" a="1"/>
  <c r="K190" i="1" s="1"/>
  <c r="J170" i="1" a="1"/>
  <c r="J170" i="1" s="1"/>
  <c r="L170" i="1"/>
  <c r="K170" i="1" a="1"/>
  <c r="K170" i="1" s="1"/>
  <c r="J150" i="1" a="1"/>
  <c r="J150" i="1" s="1"/>
  <c r="L150" i="1"/>
  <c r="K150" i="1" a="1"/>
  <c r="K150" i="1" s="1"/>
  <c r="J130" i="1" a="1"/>
  <c r="J130" i="1" s="1"/>
  <c r="L130" i="1"/>
  <c r="K130" i="1" a="1"/>
  <c r="K130" i="1" s="1"/>
  <c r="J110" i="1" a="1"/>
  <c r="J110" i="1" s="1"/>
  <c r="L110" i="1"/>
  <c r="K110" i="1" a="1"/>
  <c r="K110" i="1" s="1"/>
  <c r="J10" i="1" a="1"/>
  <c r="J10" i="1" s="1"/>
  <c r="L10" i="1"/>
  <c r="K10" i="1" a="1"/>
  <c r="K10" i="1" s="1"/>
  <c r="J1796" i="1" a="1"/>
  <c r="J1796" i="1" s="1"/>
  <c r="L1796" i="1"/>
  <c r="K1796" i="1" a="1"/>
  <c r="K1796" i="1" s="1"/>
  <c r="J1736" i="1" a="1"/>
  <c r="J1736" i="1" s="1"/>
  <c r="L1736" i="1"/>
  <c r="K1736" i="1" a="1"/>
  <c r="K1736" i="1" s="1"/>
  <c r="J1676" i="1" a="1"/>
  <c r="J1676" i="1" s="1"/>
  <c r="L1676" i="1"/>
  <c r="K1676" i="1" a="1"/>
  <c r="K1676" i="1" s="1"/>
  <c r="J1636" i="1" a="1"/>
  <c r="J1636" i="1" s="1"/>
  <c r="L1636" i="1"/>
  <c r="K1636" i="1" a="1"/>
  <c r="K1636" i="1" s="1"/>
  <c r="J1576" i="1" a="1"/>
  <c r="J1576" i="1" s="1"/>
  <c r="L1576" i="1"/>
  <c r="K1576" i="1" a="1"/>
  <c r="K1576" i="1" s="1"/>
  <c r="J1409" i="1" a="1"/>
  <c r="J1409" i="1" s="1"/>
  <c r="L1409" i="1"/>
  <c r="K1409" i="1" a="1"/>
  <c r="K1409" i="1" s="1"/>
  <c r="J1349" i="1" a="1"/>
  <c r="J1349" i="1" s="1"/>
  <c r="L1349" i="1"/>
  <c r="K1349" i="1" a="1"/>
  <c r="K1349" i="1" s="1"/>
  <c r="J1309" i="1" a="1"/>
  <c r="J1309" i="1" s="1"/>
  <c r="L1309" i="1"/>
  <c r="K1309" i="1" a="1"/>
  <c r="K1309" i="1" s="1"/>
  <c r="J1269" i="1" a="1"/>
  <c r="J1269" i="1" s="1"/>
  <c r="L1269" i="1"/>
  <c r="K1269" i="1" a="1"/>
  <c r="K1269" i="1" s="1"/>
  <c r="J1209" i="1" a="1"/>
  <c r="J1209" i="1" s="1"/>
  <c r="L1209" i="1"/>
  <c r="K1209" i="1" a="1"/>
  <c r="K1209" i="1" s="1"/>
  <c r="J1169" i="1" a="1"/>
  <c r="J1169" i="1" s="1"/>
  <c r="L1169" i="1"/>
  <c r="K1169" i="1" a="1"/>
  <c r="K1169" i="1" s="1"/>
  <c r="J1089" i="1" a="1"/>
  <c r="J1089" i="1" s="1"/>
  <c r="L1089" i="1"/>
  <c r="K1089" i="1" a="1"/>
  <c r="K1089" i="1" s="1"/>
  <c r="J1029" i="1" a="1"/>
  <c r="J1029" i="1" s="1"/>
  <c r="L1029" i="1"/>
  <c r="K1029" i="1" a="1"/>
  <c r="K1029" i="1" s="1"/>
  <c r="J949" i="1" a="1"/>
  <c r="J949" i="1" s="1"/>
  <c r="L949" i="1"/>
  <c r="K949" i="1" a="1"/>
  <c r="K949" i="1" s="1"/>
  <c r="J909" i="1" a="1"/>
  <c r="J909" i="1" s="1"/>
  <c r="L909" i="1"/>
  <c r="K909" i="1" a="1"/>
  <c r="K909" i="1" s="1"/>
  <c r="J889" i="1" a="1"/>
  <c r="J889" i="1" s="1"/>
  <c r="L889" i="1"/>
  <c r="K889" i="1" a="1"/>
  <c r="K889" i="1" s="1"/>
  <c r="J809" i="1" a="1"/>
  <c r="J809" i="1" s="1"/>
  <c r="L809" i="1"/>
  <c r="K809" i="1" a="1"/>
  <c r="K809" i="1" s="1"/>
  <c r="J789" i="1" a="1"/>
  <c r="J789" i="1" s="1"/>
  <c r="L789" i="1"/>
  <c r="K789" i="1" a="1"/>
  <c r="K789" i="1" s="1"/>
  <c r="J729" i="1" a="1"/>
  <c r="J729" i="1" s="1"/>
  <c r="L729" i="1"/>
  <c r="K729" i="1" a="1"/>
  <c r="K729" i="1" s="1"/>
  <c r="J669" i="1" a="1"/>
  <c r="J669" i="1" s="1"/>
  <c r="L669" i="1"/>
  <c r="K669" i="1" a="1"/>
  <c r="K669" i="1" s="1"/>
  <c r="J589" i="1" a="1"/>
  <c r="J589" i="1" s="1"/>
  <c r="L589" i="1"/>
  <c r="K589" i="1" a="1"/>
  <c r="K589" i="1" s="1"/>
  <c r="J529" i="1" a="1"/>
  <c r="J529" i="1" s="1"/>
  <c r="L529" i="1"/>
  <c r="K529" i="1" a="1"/>
  <c r="K529" i="1" s="1"/>
  <c r="J469" i="1" a="1"/>
  <c r="J469" i="1" s="1"/>
  <c r="L469" i="1"/>
  <c r="K469" i="1" a="1"/>
  <c r="K469" i="1" s="1"/>
  <c r="J429" i="1" a="1"/>
  <c r="J429" i="1" s="1"/>
  <c r="L429" i="1"/>
  <c r="K429" i="1" a="1"/>
  <c r="K429" i="1" s="1"/>
  <c r="J389" i="1" a="1"/>
  <c r="J389" i="1" s="1"/>
  <c r="L389" i="1"/>
  <c r="K389" i="1" a="1"/>
  <c r="K389" i="1" s="1"/>
  <c r="J349" i="1" a="1"/>
  <c r="J349" i="1" s="1"/>
  <c r="L349" i="1"/>
  <c r="K349" i="1" a="1"/>
  <c r="K349" i="1" s="1"/>
  <c r="J289" i="1" a="1"/>
  <c r="J289" i="1" s="1"/>
  <c r="L289" i="1"/>
  <c r="K289" i="1" a="1"/>
  <c r="K289" i="1" s="1"/>
  <c r="J269" i="1" a="1"/>
  <c r="J269" i="1" s="1"/>
  <c r="L269" i="1"/>
  <c r="K269" i="1" a="1"/>
  <c r="K269" i="1" s="1"/>
  <c r="J229" i="1" a="1"/>
  <c r="J229" i="1" s="1"/>
  <c r="L229" i="1"/>
  <c r="K229" i="1" a="1"/>
  <c r="K229" i="1" s="1"/>
  <c r="J209" i="1" a="1"/>
  <c r="J209" i="1" s="1"/>
  <c r="L209" i="1"/>
  <c r="K209" i="1" a="1"/>
  <c r="K209" i="1" s="1"/>
  <c r="J189" i="1" a="1"/>
  <c r="J189" i="1" s="1"/>
  <c r="L189" i="1"/>
  <c r="K189" i="1" a="1"/>
  <c r="K189" i="1" s="1"/>
  <c r="J169" i="1" a="1"/>
  <c r="J169" i="1" s="1"/>
  <c r="L169" i="1"/>
  <c r="K169" i="1" a="1"/>
  <c r="K169" i="1" s="1"/>
  <c r="J149" i="1" a="1"/>
  <c r="J149" i="1" s="1"/>
  <c r="L149" i="1"/>
  <c r="K149" i="1" a="1"/>
  <c r="K149" i="1" s="1"/>
  <c r="J129" i="1" a="1"/>
  <c r="J129" i="1" s="1"/>
  <c r="L129" i="1"/>
  <c r="K129" i="1" a="1"/>
  <c r="K129" i="1" s="1"/>
  <c r="J109" i="1" a="1"/>
  <c r="J109" i="1" s="1"/>
  <c r="L109" i="1"/>
  <c r="K109" i="1" a="1"/>
  <c r="K109" i="1" s="1"/>
  <c r="J29" i="1" a="1"/>
  <c r="J29" i="1" s="1"/>
  <c r="L29" i="1"/>
  <c r="K29" i="1" a="1"/>
  <c r="K29" i="1" s="1"/>
  <c r="J1792" i="1" a="1"/>
  <c r="J1792" i="1" s="1"/>
  <c r="L1792" i="1"/>
  <c r="K1792" i="1" a="1"/>
  <c r="K1792" i="1" s="1"/>
  <c r="J1732" i="1" a="1"/>
  <c r="J1732" i="1" s="1"/>
  <c r="L1732" i="1"/>
  <c r="K1732" i="1" a="1"/>
  <c r="K1732" i="1" s="1"/>
  <c r="J1712" i="1" a="1"/>
  <c r="J1712" i="1" s="1"/>
  <c r="L1712" i="1"/>
  <c r="K1712" i="1" a="1"/>
  <c r="K1712" i="1" s="1"/>
  <c r="J1652" i="1" a="1"/>
  <c r="J1652" i="1" s="1"/>
  <c r="L1652" i="1"/>
  <c r="K1652" i="1" a="1"/>
  <c r="K1652" i="1" s="1"/>
  <c r="J1632" i="1" a="1"/>
  <c r="J1632" i="1" s="1"/>
  <c r="L1632" i="1"/>
  <c r="K1632" i="1" a="1"/>
  <c r="K1632" i="1" s="1"/>
  <c r="J1612" i="1" a="1"/>
  <c r="J1612" i="1" s="1"/>
  <c r="L1612" i="1"/>
  <c r="K1612" i="1" a="1"/>
  <c r="K1612" i="1" s="1"/>
  <c r="J1572" i="1" a="1"/>
  <c r="J1572" i="1" s="1"/>
  <c r="L1572" i="1"/>
  <c r="K1572" i="1" a="1"/>
  <c r="K1572" i="1" s="1"/>
  <c r="J1385" i="1" a="1"/>
  <c r="J1385" i="1" s="1"/>
  <c r="L1385" i="1"/>
  <c r="K1385" i="1" a="1"/>
  <c r="K1385" i="1" s="1"/>
  <c r="J1345" i="1" a="1"/>
  <c r="J1345" i="1" s="1"/>
  <c r="L1345" i="1"/>
  <c r="K1345" i="1" a="1"/>
  <c r="K1345" i="1" s="1"/>
  <c r="J1325" i="1" a="1"/>
  <c r="J1325" i="1" s="1"/>
  <c r="L1325" i="1"/>
  <c r="K1325" i="1" a="1"/>
  <c r="K1325" i="1" s="1"/>
  <c r="J1265" i="1" a="1"/>
  <c r="J1265" i="1" s="1"/>
  <c r="L1265" i="1"/>
  <c r="K1265" i="1" a="1"/>
  <c r="K1265" i="1" s="1"/>
  <c r="J1245" i="1" a="1"/>
  <c r="J1245" i="1" s="1"/>
  <c r="L1245" i="1"/>
  <c r="K1245" i="1" a="1"/>
  <c r="K1245" i="1" s="1"/>
  <c r="J1205" i="1" a="1"/>
  <c r="J1205" i="1" s="1"/>
  <c r="L1205" i="1"/>
  <c r="K1205" i="1" a="1"/>
  <c r="K1205" i="1" s="1"/>
  <c r="J1165" i="1" a="1"/>
  <c r="J1165" i="1" s="1"/>
  <c r="L1165" i="1"/>
  <c r="K1165" i="1" a="1"/>
  <c r="K1165" i="1" s="1"/>
  <c r="J1145" i="1" a="1"/>
  <c r="J1145" i="1" s="1"/>
  <c r="L1145" i="1"/>
  <c r="K1145" i="1" a="1"/>
  <c r="K1145" i="1" s="1"/>
  <c r="J1085" i="1" a="1"/>
  <c r="J1085" i="1" s="1"/>
  <c r="L1085" i="1"/>
  <c r="K1085" i="1" a="1"/>
  <c r="K1085" i="1" s="1"/>
  <c r="J1065" i="1" a="1"/>
  <c r="J1065" i="1" s="1"/>
  <c r="L1065" i="1"/>
  <c r="K1065" i="1" a="1"/>
  <c r="K1065" i="1" s="1"/>
  <c r="J1025" i="1" a="1"/>
  <c r="J1025" i="1" s="1"/>
  <c r="L1025" i="1"/>
  <c r="K1025" i="1" a="1"/>
  <c r="K1025" i="1" s="1"/>
  <c r="J985" i="1" a="1"/>
  <c r="J985" i="1" s="1"/>
  <c r="L985" i="1"/>
  <c r="K985" i="1" a="1"/>
  <c r="K985" i="1" s="1"/>
  <c r="J965" i="1" a="1"/>
  <c r="J965" i="1" s="1"/>
  <c r="L965" i="1"/>
  <c r="K965" i="1" a="1"/>
  <c r="K965" i="1" s="1"/>
  <c r="J925" i="1" a="1"/>
  <c r="J925" i="1" s="1"/>
  <c r="L925" i="1"/>
  <c r="K925" i="1" a="1"/>
  <c r="K925" i="1" s="1"/>
  <c r="J885" i="1" a="1"/>
  <c r="J885" i="1" s="1"/>
  <c r="L885" i="1"/>
  <c r="K885" i="1" a="1"/>
  <c r="K885" i="1" s="1"/>
  <c r="J825" i="1" a="1"/>
  <c r="J825" i="1" s="1"/>
  <c r="L825" i="1"/>
  <c r="K825" i="1" a="1"/>
  <c r="K825" i="1" s="1"/>
  <c r="J765" i="1" a="1"/>
  <c r="J765" i="1" s="1"/>
  <c r="L765" i="1"/>
  <c r="K765" i="1" a="1"/>
  <c r="K765" i="1" s="1"/>
  <c r="J725" i="1" a="1"/>
  <c r="J725" i="1" s="1"/>
  <c r="L725" i="1"/>
  <c r="K725" i="1" a="1"/>
  <c r="K725" i="1" s="1"/>
  <c r="J665" i="1" a="1"/>
  <c r="J665" i="1" s="1"/>
  <c r="L665" i="1"/>
  <c r="K665" i="1" a="1"/>
  <c r="K665" i="1" s="1"/>
  <c r="J645" i="1" a="1"/>
  <c r="J645" i="1" s="1"/>
  <c r="L645" i="1"/>
  <c r="K645" i="1" a="1"/>
  <c r="K645" i="1" s="1"/>
  <c r="J585" i="1" a="1"/>
  <c r="J585" i="1" s="1"/>
  <c r="L585" i="1"/>
  <c r="K585" i="1" a="1"/>
  <c r="K585" i="1" s="1"/>
  <c r="J545" i="1" a="1"/>
  <c r="J545" i="1" s="1"/>
  <c r="L545" i="1"/>
  <c r="K545" i="1" a="1"/>
  <c r="K545" i="1" s="1"/>
  <c r="J485" i="1" a="1"/>
  <c r="J485" i="1" s="1"/>
  <c r="L485" i="1"/>
  <c r="K485" i="1" a="1"/>
  <c r="K485" i="1" s="1"/>
  <c r="J425" i="1" a="1"/>
  <c r="J425" i="1" s="1"/>
  <c r="L425" i="1"/>
  <c r="K425" i="1" a="1"/>
  <c r="K425" i="1" s="1"/>
  <c r="J405" i="1" a="1"/>
  <c r="J405" i="1" s="1"/>
  <c r="L405" i="1"/>
  <c r="K405" i="1" a="1"/>
  <c r="K405" i="1" s="1"/>
  <c r="J365" i="1" a="1"/>
  <c r="J365" i="1" s="1"/>
  <c r="L365" i="1"/>
  <c r="K365" i="1" a="1"/>
  <c r="K365" i="1" s="1"/>
  <c r="J325" i="1" a="1"/>
  <c r="J325" i="1" s="1"/>
  <c r="L325" i="1"/>
  <c r="K325" i="1" a="1"/>
  <c r="K325" i="1" s="1"/>
  <c r="J305" i="1" a="1"/>
  <c r="J305" i="1" s="1"/>
  <c r="L305" i="1"/>
  <c r="K305" i="1" a="1"/>
  <c r="K305" i="1" s="1"/>
  <c r="J265" i="1" a="1"/>
  <c r="J265" i="1" s="1"/>
  <c r="L265" i="1"/>
  <c r="K265" i="1" a="1"/>
  <c r="K265" i="1" s="1"/>
  <c r="J225" i="1" a="1"/>
  <c r="J225" i="1" s="1"/>
  <c r="L225" i="1"/>
  <c r="K225" i="1" a="1"/>
  <c r="K225" i="1" s="1"/>
  <c r="J205" i="1" a="1"/>
  <c r="J205" i="1" s="1"/>
  <c r="L205" i="1"/>
  <c r="K205" i="1" a="1"/>
  <c r="K205" i="1" s="1"/>
  <c r="J185" i="1" a="1"/>
  <c r="J185" i="1" s="1"/>
  <c r="L185" i="1"/>
  <c r="K185" i="1" a="1"/>
  <c r="K185" i="1" s="1"/>
  <c r="J165" i="1" a="1"/>
  <c r="J165" i="1" s="1"/>
  <c r="L165" i="1"/>
  <c r="K165" i="1" a="1"/>
  <c r="K165" i="1" s="1"/>
  <c r="J145" i="1" a="1"/>
  <c r="J145" i="1" s="1"/>
  <c r="L145" i="1"/>
  <c r="K145" i="1" a="1"/>
  <c r="K145" i="1" s="1"/>
  <c r="J125" i="1" a="1"/>
  <c r="J125" i="1" s="1"/>
  <c r="L125" i="1"/>
  <c r="K125" i="1" a="1"/>
  <c r="K125" i="1" s="1"/>
  <c r="J105" i="1" a="1"/>
  <c r="J105" i="1" s="1"/>
  <c r="L105" i="1"/>
  <c r="K105" i="1" a="1"/>
  <c r="K105" i="1" s="1"/>
  <c r="J85" i="1" a="1"/>
  <c r="J85" i="1" s="1"/>
  <c r="L85" i="1"/>
  <c r="K85" i="1" a="1"/>
  <c r="K85" i="1" s="1"/>
  <c r="J65" i="1" a="1"/>
  <c r="J65" i="1" s="1"/>
  <c r="L65" i="1"/>
  <c r="K65" i="1" a="1"/>
  <c r="K65" i="1" s="1"/>
  <c r="J5" i="1" a="1"/>
  <c r="J5" i="1" s="1"/>
  <c r="L5" i="1"/>
  <c r="K5" i="1" a="1"/>
  <c r="K5" i="1" s="1"/>
  <c r="J1811" i="1" a="1"/>
  <c r="J1811" i="1" s="1"/>
  <c r="L1811" i="1"/>
  <c r="K1811" i="1" a="1"/>
  <c r="K1811" i="1" s="1"/>
  <c r="J1771" i="1" a="1"/>
  <c r="J1771" i="1" s="1"/>
  <c r="L1771" i="1"/>
  <c r="K1771" i="1" a="1"/>
  <c r="K1771" i="1" s="1"/>
  <c r="J1751" i="1" a="1"/>
  <c r="J1751" i="1" s="1"/>
  <c r="L1751" i="1"/>
  <c r="K1751" i="1" a="1"/>
  <c r="K1751" i="1" s="1"/>
  <c r="J1711" i="1" a="1"/>
  <c r="J1711" i="1" s="1"/>
  <c r="L1711" i="1"/>
  <c r="K1711" i="1" a="1"/>
  <c r="K1711" i="1" s="1"/>
  <c r="J1671" i="1" a="1"/>
  <c r="J1671" i="1" s="1"/>
  <c r="L1671" i="1"/>
  <c r="K1671" i="1" a="1"/>
  <c r="K1671" i="1" s="1"/>
  <c r="J1631" i="1" a="1"/>
  <c r="J1631" i="1" s="1"/>
  <c r="L1631" i="1"/>
  <c r="K1631" i="1" a="1"/>
  <c r="K1631" i="1" s="1"/>
  <c r="J1591" i="1" a="1"/>
  <c r="J1591" i="1" s="1"/>
  <c r="L1591" i="1"/>
  <c r="K1591" i="1" a="1"/>
  <c r="K1591" i="1" s="1"/>
  <c r="J1424" i="1" a="1"/>
  <c r="J1424" i="1" s="1"/>
  <c r="L1424" i="1"/>
  <c r="K1424" i="1" a="1"/>
  <c r="K1424" i="1" s="1"/>
  <c r="J1384" i="1" a="1"/>
  <c r="J1384" i="1" s="1"/>
  <c r="L1384" i="1"/>
  <c r="K1384" i="1" a="1"/>
  <c r="K1384" i="1" s="1"/>
  <c r="J1344" i="1" a="1"/>
  <c r="J1344" i="1" s="1"/>
  <c r="L1344" i="1"/>
  <c r="K1344" i="1" a="1"/>
  <c r="K1344" i="1" s="1"/>
  <c r="J1304" i="1" a="1"/>
  <c r="J1304" i="1" s="1"/>
  <c r="L1304" i="1"/>
  <c r="K1304" i="1" a="1"/>
  <c r="K1304" i="1" s="1"/>
  <c r="J1244" i="1" a="1"/>
  <c r="J1244" i="1" s="1"/>
  <c r="L1244" i="1"/>
  <c r="K1244" i="1" a="1"/>
  <c r="K1244" i="1" s="1"/>
  <c r="J1184" i="1" a="1"/>
  <c r="J1184" i="1" s="1"/>
  <c r="L1184" i="1"/>
  <c r="K1184" i="1" a="1"/>
  <c r="K1184" i="1" s="1"/>
  <c r="J1164" i="1" a="1"/>
  <c r="J1164" i="1" s="1"/>
  <c r="L1164" i="1"/>
  <c r="K1164" i="1" a="1"/>
  <c r="K1164" i="1" s="1"/>
  <c r="J1104" i="1" a="1"/>
  <c r="J1104" i="1" s="1"/>
  <c r="L1104" i="1"/>
  <c r="K1104" i="1" a="1"/>
  <c r="K1104" i="1" s="1"/>
  <c r="J1064" i="1" a="1"/>
  <c r="J1064" i="1" s="1"/>
  <c r="L1064" i="1"/>
  <c r="K1064" i="1" a="1"/>
  <c r="K1064" i="1" s="1"/>
  <c r="J1004" i="1" a="1"/>
  <c r="J1004" i="1" s="1"/>
  <c r="L1004" i="1"/>
  <c r="K1004" i="1" a="1"/>
  <c r="K1004" i="1" s="1"/>
  <c r="J944" i="1" a="1"/>
  <c r="J944" i="1" s="1"/>
  <c r="L944" i="1"/>
  <c r="K944" i="1" a="1"/>
  <c r="K944" i="1" s="1"/>
  <c r="J904" i="1" a="1"/>
  <c r="J904" i="1" s="1"/>
  <c r="L904" i="1"/>
  <c r="K904" i="1" a="1"/>
  <c r="K904" i="1" s="1"/>
  <c r="J844" i="1" a="1"/>
  <c r="J844" i="1" s="1"/>
  <c r="L844" i="1"/>
  <c r="K844" i="1" a="1"/>
  <c r="K844" i="1" s="1"/>
  <c r="J784" i="1" a="1"/>
  <c r="J784" i="1" s="1"/>
  <c r="L784" i="1"/>
  <c r="K784" i="1" a="1"/>
  <c r="K784" i="1" s="1"/>
  <c r="J744" i="1" a="1"/>
  <c r="J744" i="1" s="1"/>
  <c r="L744" i="1"/>
  <c r="K744" i="1" a="1"/>
  <c r="K744" i="1" s="1"/>
  <c r="J704" i="1" a="1"/>
  <c r="J704" i="1" s="1"/>
  <c r="L704" i="1"/>
  <c r="K704" i="1" a="1"/>
  <c r="K704" i="1" s="1"/>
  <c r="J664" i="1" a="1"/>
  <c r="J664" i="1" s="1"/>
  <c r="L664" i="1"/>
  <c r="K664" i="1" a="1"/>
  <c r="K664" i="1" s="1"/>
  <c r="J604" i="1" a="1"/>
  <c r="J604" i="1" s="1"/>
  <c r="L604" i="1"/>
  <c r="K604" i="1" a="1"/>
  <c r="K604" i="1" s="1"/>
  <c r="J564" i="1" a="1"/>
  <c r="J564" i="1" s="1"/>
  <c r="L564" i="1"/>
  <c r="K564" i="1" a="1"/>
  <c r="K564" i="1" s="1"/>
  <c r="J504" i="1" a="1"/>
  <c r="J504" i="1" s="1"/>
  <c r="L504" i="1"/>
  <c r="K504" i="1" a="1"/>
  <c r="K504" i="1" s="1"/>
  <c r="J484" i="1" a="1"/>
  <c r="J484" i="1" s="1"/>
  <c r="L484" i="1"/>
  <c r="K484" i="1" a="1"/>
  <c r="K484" i="1" s="1"/>
  <c r="J424" i="1" a="1"/>
  <c r="J424" i="1" s="1"/>
  <c r="L424" i="1"/>
  <c r="K424" i="1" a="1"/>
  <c r="K424" i="1" s="1"/>
  <c r="J404" i="1" a="1"/>
  <c r="J404" i="1" s="1"/>
  <c r="L404" i="1"/>
  <c r="K404" i="1" a="1"/>
  <c r="K404" i="1" s="1"/>
  <c r="J344" i="1" a="1"/>
  <c r="J344" i="1" s="1"/>
  <c r="L344" i="1"/>
  <c r="K344" i="1" a="1"/>
  <c r="K344" i="1" s="1"/>
  <c r="J324" i="1" a="1"/>
  <c r="J324" i="1" s="1"/>
  <c r="L324" i="1"/>
  <c r="K324" i="1" a="1"/>
  <c r="K324" i="1" s="1"/>
  <c r="J304" i="1" a="1"/>
  <c r="J304" i="1" s="1"/>
  <c r="L304" i="1"/>
  <c r="K304" i="1" a="1"/>
  <c r="K304" i="1" s="1"/>
  <c r="J244" i="1" a="1"/>
  <c r="J244" i="1" s="1"/>
  <c r="L244" i="1"/>
  <c r="K244" i="1" a="1"/>
  <c r="K244" i="1" s="1"/>
  <c r="J224" i="1" a="1"/>
  <c r="J224" i="1" s="1"/>
  <c r="L224" i="1"/>
  <c r="K224" i="1" a="1"/>
  <c r="K224" i="1" s="1"/>
  <c r="J184" i="1" a="1"/>
  <c r="J184" i="1" s="1"/>
  <c r="L184" i="1"/>
  <c r="K184" i="1" a="1"/>
  <c r="K184" i="1" s="1"/>
  <c r="J164" i="1" a="1"/>
  <c r="J164" i="1" s="1"/>
  <c r="L164" i="1"/>
  <c r="K164" i="1" a="1"/>
  <c r="K164" i="1" s="1"/>
  <c r="J144" i="1" a="1"/>
  <c r="J144" i="1" s="1"/>
  <c r="L144" i="1"/>
  <c r="K144" i="1" a="1"/>
  <c r="K144" i="1" s="1"/>
  <c r="J124" i="1" a="1"/>
  <c r="J124" i="1" s="1"/>
  <c r="L124" i="1"/>
  <c r="K124" i="1" a="1"/>
  <c r="K124" i="1" s="1"/>
  <c r="J104" i="1" a="1"/>
  <c r="J104" i="1" s="1"/>
  <c r="L104" i="1"/>
  <c r="K104" i="1" a="1"/>
  <c r="K104" i="1" s="1"/>
  <c r="J84" i="1" a="1"/>
  <c r="J84" i="1" s="1"/>
  <c r="L84" i="1"/>
  <c r="K84" i="1" a="1"/>
  <c r="K84" i="1" s="1"/>
  <c r="J64" i="1" a="1"/>
  <c r="J64" i="1" s="1"/>
  <c r="L64" i="1"/>
  <c r="K64" i="1" a="1"/>
  <c r="K64" i="1" s="1"/>
  <c r="J24" i="1" a="1"/>
  <c r="J24" i="1" s="1"/>
  <c r="L24" i="1"/>
  <c r="K24" i="1" a="1"/>
  <c r="K24" i="1" s="1"/>
  <c r="J1750" i="1" a="1"/>
  <c r="J1750" i="1" s="1"/>
  <c r="L1750" i="1"/>
  <c r="K1750" i="1" a="1"/>
  <c r="K1750" i="1" s="1"/>
  <c r="J1690" i="1" a="1"/>
  <c r="J1690" i="1" s="1"/>
  <c r="L1690" i="1"/>
  <c r="K1690" i="1" a="1"/>
  <c r="K1690" i="1" s="1"/>
  <c r="J1650" i="1" a="1"/>
  <c r="J1650" i="1" s="1"/>
  <c r="L1650" i="1"/>
  <c r="K1650" i="1" a="1"/>
  <c r="K1650" i="1" s="1"/>
  <c r="J1610" i="1" a="1"/>
  <c r="J1610" i="1" s="1"/>
  <c r="L1610" i="1"/>
  <c r="K1610" i="1" a="1"/>
  <c r="K1610" i="1" s="1"/>
  <c r="J1570" i="1" a="1"/>
  <c r="J1570" i="1" s="1"/>
  <c r="L1570" i="1"/>
  <c r="K1570" i="1" a="1"/>
  <c r="K1570" i="1" s="1"/>
  <c r="J1403" i="1" a="1"/>
  <c r="J1403" i="1" s="1"/>
  <c r="L1403" i="1"/>
  <c r="K1403" i="1" a="1"/>
  <c r="K1403" i="1" s="1"/>
  <c r="J1263" i="1" a="1"/>
  <c r="J1263" i="1" s="1"/>
  <c r="L1263" i="1"/>
  <c r="K1263" i="1" a="1"/>
  <c r="K1263" i="1" s="1"/>
  <c r="J1827" i="1" a="1"/>
  <c r="J1827" i="1" s="1"/>
  <c r="L1827" i="1"/>
  <c r="K1827" i="1" a="1"/>
  <c r="K1827" i="1" s="1"/>
  <c r="J1807" i="1" a="1"/>
  <c r="J1807" i="1" s="1"/>
  <c r="L1807" i="1"/>
  <c r="K1807" i="1" a="1"/>
  <c r="K1807" i="1" s="1"/>
  <c r="J1787" i="1" a="1"/>
  <c r="J1787" i="1" s="1"/>
  <c r="L1787" i="1"/>
  <c r="K1787" i="1" a="1"/>
  <c r="K1787" i="1" s="1"/>
  <c r="J1767" i="1" a="1"/>
  <c r="J1767" i="1" s="1"/>
  <c r="L1767" i="1"/>
  <c r="K1767" i="1" a="1"/>
  <c r="K1767" i="1" s="1"/>
  <c r="J1747" i="1" a="1"/>
  <c r="J1747" i="1" s="1"/>
  <c r="L1747" i="1"/>
  <c r="K1747" i="1" a="1"/>
  <c r="K1747" i="1" s="1"/>
  <c r="J1727" i="1" a="1"/>
  <c r="J1727" i="1" s="1"/>
  <c r="L1727" i="1"/>
  <c r="K1727" i="1" a="1"/>
  <c r="K1727" i="1" s="1"/>
  <c r="J1707" i="1" a="1"/>
  <c r="J1707" i="1" s="1"/>
  <c r="L1707" i="1"/>
  <c r="K1707" i="1" a="1"/>
  <c r="K1707" i="1" s="1"/>
  <c r="J1687" i="1" a="1"/>
  <c r="J1687" i="1" s="1"/>
  <c r="L1687" i="1"/>
  <c r="K1687" i="1" a="1"/>
  <c r="K1687" i="1" s="1"/>
  <c r="J1667" i="1" a="1"/>
  <c r="J1667" i="1" s="1"/>
  <c r="L1667" i="1"/>
  <c r="K1667" i="1" a="1"/>
  <c r="K1667" i="1" s="1"/>
  <c r="J1647" i="1" a="1"/>
  <c r="J1647" i="1" s="1"/>
  <c r="L1647" i="1"/>
  <c r="K1647" i="1" a="1"/>
  <c r="K1647" i="1" s="1"/>
  <c r="J1627" i="1" a="1"/>
  <c r="J1627" i="1" s="1"/>
  <c r="L1627" i="1"/>
  <c r="K1627" i="1" a="1"/>
  <c r="K1627" i="1" s="1"/>
  <c r="J1607" i="1" a="1"/>
  <c r="J1607" i="1" s="1"/>
  <c r="L1607" i="1"/>
  <c r="K1607" i="1" a="1"/>
  <c r="K1607" i="1" s="1"/>
  <c r="J1587" i="1" a="1"/>
  <c r="J1587" i="1" s="1"/>
  <c r="L1587" i="1"/>
  <c r="K1587" i="1" a="1"/>
  <c r="K1587" i="1" s="1"/>
  <c r="J1440" i="1" a="1"/>
  <c r="J1440" i="1" s="1"/>
  <c r="L1440" i="1"/>
  <c r="K1440" i="1" a="1"/>
  <c r="K1440" i="1" s="1"/>
  <c r="J1420" i="1" a="1"/>
  <c r="J1420" i="1" s="1"/>
  <c r="L1420" i="1"/>
  <c r="K1420" i="1" a="1"/>
  <c r="K1420" i="1" s="1"/>
  <c r="J1400" i="1" a="1"/>
  <c r="J1400" i="1" s="1"/>
  <c r="L1400" i="1"/>
  <c r="K1400" i="1" a="1"/>
  <c r="K1400" i="1" s="1"/>
  <c r="J1380" i="1" a="1"/>
  <c r="J1380" i="1" s="1"/>
  <c r="L1380" i="1"/>
  <c r="K1380" i="1" a="1"/>
  <c r="K1380" i="1" s="1"/>
  <c r="J1360" i="1" a="1"/>
  <c r="J1360" i="1" s="1"/>
  <c r="L1360" i="1"/>
  <c r="K1360" i="1" a="1"/>
  <c r="K1360" i="1" s="1"/>
  <c r="J1340" i="1" a="1"/>
  <c r="J1340" i="1" s="1"/>
  <c r="L1340" i="1"/>
  <c r="K1340" i="1" a="1"/>
  <c r="K1340" i="1" s="1"/>
  <c r="J1320" i="1" a="1"/>
  <c r="J1320" i="1" s="1"/>
  <c r="L1320" i="1"/>
  <c r="K1320" i="1" a="1"/>
  <c r="K1320" i="1" s="1"/>
  <c r="J1300" i="1" a="1"/>
  <c r="J1300" i="1" s="1"/>
  <c r="L1300" i="1"/>
  <c r="K1300" i="1" a="1"/>
  <c r="K1300" i="1" s="1"/>
  <c r="J1280" i="1" a="1"/>
  <c r="J1280" i="1" s="1"/>
  <c r="L1280" i="1"/>
  <c r="K1280" i="1" a="1"/>
  <c r="K1280" i="1" s="1"/>
  <c r="J1260" i="1" a="1"/>
  <c r="J1260" i="1" s="1"/>
  <c r="L1260" i="1"/>
  <c r="K1260" i="1" a="1"/>
  <c r="K1260" i="1" s="1"/>
  <c r="J1240" i="1" a="1"/>
  <c r="J1240" i="1" s="1"/>
  <c r="L1240" i="1"/>
  <c r="K1240" i="1" a="1"/>
  <c r="K1240" i="1" s="1"/>
  <c r="J1220" i="1" a="1"/>
  <c r="J1220" i="1" s="1"/>
  <c r="L1220" i="1"/>
  <c r="K1220" i="1" a="1"/>
  <c r="K1220" i="1" s="1"/>
  <c r="J1200" i="1" a="1"/>
  <c r="J1200" i="1" s="1"/>
  <c r="L1200" i="1"/>
  <c r="K1200" i="1" a="1"/>
  <c r="K1200" i="1" s="1"/>
  <c r="J1180" i="1" a="1"/>
  <c r="J1180" i="1" s="1"/>
  <c r="L1180" i="1"/>
  <c r="K1180" i="1" a="1"/>
  <c r="K1180" i="1" s="1"/>
  <c r="J1160" i="1" a="1"/>
  <c r="J1160" i="1" s="1"/>
  <c r="L1160" i="1"/>
  <c r="K1160" i="1" a="1"/>
  <c r="K1160" i="1" s="1"/>
  <c r="J1140" i="1" a="1"/>
  <c r="J1140" i="1" s="1"/>
  <c r="L1140" i="1"/>
  <c r="K1140" i="1" a="1"/>
  <c r="K1140" i="1" s="1"/>
  <c r="J1120" i="1" a="1"/>
  <c r="J1120" i="1" s="1"/>
  <c r="L1120" i="1"/>
  <c r="K1120" i="1" a="1"/>
  <c r="K1120" i="1" s="1"/>
  <c r="J1100" i="1" a="1"/>
  <c r="J1100" i="1" s="1"/>
  <c r="L1100" i="1"/>
  <c r="K1100" i="1" a="1"/>
  <c r="K1100" i="1" s="1"/>
  <c r="J1080" i="1" a="1"/>
  <c r="J1080" i="1" s="1"/>
  <c r="L1080" i="1"/>
  <c r="K1080" i="1" a="1"/>
  <c r="K1080" i="1" s="1"/>
  <c r="J1060" i="1" a="1"/>
  <c r="J1060" i="1" s="1"/>
  <c r="L1060" i="1"/>
  <c r="K1060" i="1" a="1"/>
  <c r="K1060" i="1" s="1"/>
  <c r="J1040" i="1" a="1"/>
  <c r="J1040" i="1" s="1"/>
  <c r="L1040" i="1"/>
  <c r="K1040" i="1" a="1"/>
  <c r="K1040" i="1" s="1"/>
  <c r="J1020" i="1" a="1"/>
  <c r="J1020" i="1" s="1"/>
  <c r="L1020" i="1"/>
  <c r="K1020" i="1" a="1"/>
  <c r="K1020" i="1" s="1"/>
  <c r="J1000" i="1" a="1"/>
  <c r="J1000" i="1" s="1"/>
  <c r="L1000" i="1"/>
  <c r="K1000" i="1" a="1"/>
  <c r="K1000" i="1" s="1"/>
  <c r="J980" i="1" a="1"/>
  <c r="J980" i="1" s="1"/>
  <c r="L980" i="1"/>
  <c r="K980" i="1" a="1"/>
  <c r="K980" i="1" s="1"/>
  <c r="J960" i="1" a="1"/>
  <c r="J960" i="1" s="1"/>
  <c r="L960" i="1"/>
  <c r="K960" i="1" a="1"/>
  <c r="K960" i="1" s="1"/>
  <c r="J940" i="1" a="1"/>
  <c r="J940" i="1" s="1"/>
  <c r="L940" i="1"/>
  <c r="K940" i="1" a="1"/>
  <c r="K940" i="1" s="1"/>
  <c r="J920" i="1" a="1"/>
  <c r="J920" i="1" s="1"/>
  <c r="L920" i="1"/>
  <c r="K920" i="1" a="1"/>
  <c r="K920" i="1" s="1"/>
  <c r="J900" i="1" a="1"/>
  <c r="J900" i="1" s="1"/>
  <c r="L900" i="1"/>
  <c r="K900" i="1" a="1"/>
  <c r="K900" i="1" s="1"/>
  <c r="J880" i="1" a="1"/>
  <c r="J880" i="1" s="1"/>
  <c r="L880" i="1"/>
  <c r="K880" i="1" a="1"/>
  <c r="K880" i="1" s="1"/>
  <c r="J860" i="1" a="1"/>
  <c r="J860" i="1" s="1"/>
  <c r="L860" i="1"/>
  <c r="K860" i="1" a="1"/>
  <c r="K860" i="1" s="1"/>
  <c r="J840" i="1" a="1"/>
  <c r="J840" i="1" s="1"/>
  <c r="L840" i="1"/>
  <c r="K840" i="1" a="1"/>
  <c r="K840" i="1" s="1"/>
  <c r="J820" i="1" a="1"/>
  <c r="J820" i="1" s="1"/>
  <c r="L820" i="1"/>
  <c r="K820" i="1" a="1"/>
  <c r="K820" i="1" s="1"/>
  <c r="J800" i="1" a="1"/>
  <c r="J800" i="1" s="1"/>
  <c r="L800" i="1"/>
  <c r="K800" i="1" a="1"/>
  <c r="K800" i="1" s="1"/>
  <c r="J780" i="1" a="1"/>
  <c r="J780" i="1" s="1"/>
  <c r="L780" i="1"/>
  <c r="K780" i="1" a="1"/>
  <c r="K780" i="1" s="1"/>
  <c r="J760" i="1" a="1"/>
  <c r="J760" i="1" s="1"/>
  <c r="L760" i="1"/>
  <c r="K760" i="1" a="1"/>
  <c r="K760" i="1" s="1"/>
  <c r="J740" i="1" a="1"/>
  <c r="J740" i="1" s="1"/>
  <c r="L740" i="1"/>
  <c r="K740" i="1" a="1"/>
  <c r="K740" i="1" s="1"/>
  <c r="J720" i="1" a="1"/>
  <c r="J720" i="1" s="1"/>
  <c r="L720" i="1"/>
  <c r="K720" i="1" a="1"/>
  <c r="K720" i="1" s="1"/>
  <c r="J700" i="1" a="1"/>
  <c r="J700" i="1" s="1"/>
  <c r="L700" i="1"/>
  <c r="K700" i="1" a="1"/>
  <c r="K700" i="1" s="1"/>
  <c r="J680" i="1" a="1"/>
  <c r="J680" i="1" s="1"/>
  <c r="L680" i="1"/>
  <c r="K680" i="1" a="1"/>
  <c r="K680" i="1" s="1"/>
  <c r="J660" i="1" a="1"/>
  <c r="J660" i="1" s="1"/>
  <c r="L660" i="1"/>
  <c r="K660" i="1" a="1"/>
  <c r="K660" i="1" s="1"/>
  <c r="J640" i="1" a="1"/>
  <c r="J640" i="1" s="1"/>
  <c r="L640" i="1"/>
  <c r="K640" i="1" a="1"/>
  <c r="K640" i="1" s="1"/>
  <c r="J620" i="1" a="1"/>
  <c r="J620" i="1" s="1"/>
  <c r="L620" i="1"/>
  <c r="K620" i="1" a="1"/>
  <c r="K620" i="1" s="1"/>
  <c r="J600" i="1" a="1"/>
  <c r="J600" i="1" s="1"/>
  <c r="L600" i="1"/>
  <c r="K600" i="1" a="1"/>
  <c r="K600" i="1" s="1"/>
  <c r="J580" i="1" a="1"/>
  <c r="J580" i="1" s="1"/>
  <c r="L580" i="1"/>
  <c r="K580" i="1" a="1"/>
  <c r="K580" i="1" s="1"/>
  <c r="J560" i="1" a="1"/>
  <c r="J560" i="1" s="1"/>
  <c r="L560" i="1"/>
  <c r="K560" i="1" a="1"/>
  <c r="K560" i="1" s="1"/>
  <c r="J540" i="1" a="1"/>
  <c r="J540" i="1" s="1"/>
  <c r="L540" i="1"/>
  <c r="K540" i="1" a="1"/>
  <c r="K540" i="1" s="1"/>
  <c r="J520" i="1" a="1"/>
  <c r="J520" i="1" s="1"/>
  <c r="L520" i="1"/>
  <c r="K520" i="1" a="1"/>
  <c r="K520" i="1" s="1"/>
  <c r="J500" i="1" a="1"/>
  <c r="J500" i="1" s="1"/>
  <c r="L500" i="1"/>
  <c r="K500" i="1" a="1"/>
  <c r="K500" i="1" s="1"/>
  <c r="J480" i="1" a="1"/>
  <c r="J480" i="1" s="1"/>
  <c r="L480" i="1"/>
  <c r="K480" i="1" a="1"/>
  <c r="K480" i="1" s="1"/>
  <c r="J460" i="1" a="1"/>
  <c r="J460" i="1" s="1"/>
  <c r="L460" i="1"/>
  <c r="K460" i="1" a="1"/>
  <c r="K460" i="1" s="1"/>
  <c r="J440" i="1" a="1"/>
  <c r="J440" i="1" s="1"/>
  <c r="L440" i="1"/>
  <c r="K440" i="1" a="1"/>
  <c r="K440" i="1" s="1"/>
  <c r="J420" i="1" a="1"/>
  <c r="J420" i="1" s="1"/>
  <c r="L420" i="1"/>
  <c r="K420" i="1" a="1"/>
  <c r="K420" i="1" s="1"/>
  <c r="J400" i="1" a="1"/>
  <c r="J400" i="1" s="1"/>
  <c r="L400" i="1"/>
  <c r="K400" i="1" a="1"/>
  <c r="K400" i="1" s="1"/>
  <c r="J380" i="1" a="1"/>
  <c r="J380" i="1" s="1"/>
  <c r="L380" i="1"/>
  <c r="K380" i="1" a="1"/>
  <c r="K380" i="1" s="1"/>
  <c r="J360" i="1" a="1"/>
  <c r="J360" i="1" s="1"/>
  <c r="L360" i="1"/>
  <c r="K360" i="1" a="1"/>
  <c r="K360" i="1" s="1"/>
  <c r="J340" i="1" a="1"/>
  <c r="J340" i="1" s="1"/>
  <c r="L340" i="1"/>
  <c r="K340" i="1" a="1"/>
  <c r="K340" i="1" s="1"/>
  <c r="J320" i="1" a="1"/>
  <c r="J320" i="1" s="1"/>
  <c r="L320" i="1"/>
  <c r="K320" i="1" a="1"/>
  <c r="K320" i="1" s="1"/>
  <c r="J300" i="1" a="1"/>
  <c r="J300" i="1" s="1"/>
  <c r="L300" i="1"/>
  <c r="K300" i="1" a="1"/>
  <c r="K300" i="1" s="1"/>
  <c r="J280" i="1" a="1"/>
  <c r="J280" i="1" s="1"/>
  <c r="L280" i="1"/>
  <c r="K280" i="1" a="1"/>
  <c r="K280" i="1" s="1"/>
  <c r="J260" i="1" a="1"/>
  <c r="J260" i="1" s="1"/>
  <c r="L260" i="1"/>
  <c r="K260" i="1" a="1"/>
  <c r="K260" i="1" s="1"/>
  <c r="J240" i="1" a="1"/>
  <c r="J240" i="1" s="1"/>
  <c r="L240" i="1"/>
  <c r="K240" i="1" a="1"/>
  <c r="K240" i="1" s="1"/>
  <c r="J220" i="1" a="1"/>
  <c r="J220" i="1" s="1"/>
  <c r="L220" i="1"/>
  <c r="K220" i="1" a="1"/>
  <c r="K220" i="1" s="1"/>
  <c r="J200" i="1" a="1"/>
  <c r="J200" i="1" s="1"/>
  <c r="L200" i="1"/>
  <c r="K200" i="1" a="1"/>
  <c r="K200" i="1" s="1"/>
  <c r="J180" i="1" a="1"/>
  <c r="J180" i="1" s="1"/>
  <c r="L180" i="1"/>
  <c r="K180" i="1" a="1"/>
  <c r="K180" i="1" s="1"/>
  <c r="J160" i="1" a="1"/>
  <c r="J160" i="1" s="1"/>
  <c r="L160" i="1"/>
  <c r="K160" i="1" a="1"/>
  <c r="K160" i="1" s="1"/>
  <c r="J140" i="1" a="1"/>
  <c r="J140" i="1" s="1"/>
  <c r="L140" i="1"/>
  <c r="K140" i="1" a="1"/>
  <c r="K140" i="1" s="1"/>
  <c r="J120" i="1" a="1"/>
  <c r="J120" i="1" s="1"/>
  <c r="L120" i="1"/>
  <c r="K120" i="1" a="1"/>
  <c r="K120" i="1" s="1"/>
  <c r="J100" i="1" a="1"/>
  <c r="J100" i="1" s="1"/>
  <c r="L100" i="1"/>
  <c r="K100" i="1" a="1"/>
  <c r="K100" i="1" s="1"/>
  <c r="J80" i="1" a="1"/>
  <c r="J80" i="1" s="1"/>
  <c r="L80" i="1"/>
  <c r="K80" i="1" a="1"/>
  <c r="K80" i="1" s="1"/>
  <c r="J60" i="1" a="1"/>
  <c r="J60" i="1" s="1"/>
  <c r="L60" i="1"/>
  <c r="K60" i="1" a="1"/>
  <c r="K60" i="1" s="1"/>
  <c r="J40" i="1" a="1"/>
  <c r="J40" i="1" s="1"/>
  <c r="L40" i="1"/>
  <c r="K40" i="1" a="1"/>
  <c r="K40" i="1" s="1"/>
  <c r="J20" i="1" a="1"/>
  <c r="J20" i="1" s="1"/>
  <c r="L20" i="1"/>
  <c r="K20" i="1" a="1"/>
  <c r="K20" i="1" s="1"/>
  <c r="J1826" i="1" a="1"/>
  <c r="J1826" i="1" s="1"/>
  <c r="L1826" i="1"/>
  <c r="K1826" i="1" a="1"/>
  <c r="K1826" i="1" s="1"/>
  <c r="J1806" i="1" a="1"/>
  <c r="J1806" i="1" s="1"/>
  <c r="L1806" i="1"/>
  <c r="K1806" i="1" a="1"/>
  <c r="K1806" i="1" s="1"/>
  <c r="J1786" i="1" a="1"/>
  <c r="J1786" i="1" s="1"/>
  <c r="L1786" i="1"/>
  <c r="K1786" i="1" a="1"/>
  <c r="K1786" i="1" s="1"/>
  <c r="J1766" i="1" a="1"/>
  <c r="J1766" i="1" s="1"/>
  <c r="L1766" i="1"/>
  <c r="K1766" i="1" a="1"/>
  <c r="K1766" i="1" s="1"/>
  <c r="J1746" i="1" a="1"/>
  <c r="J1746" i="1" s="1"/>
  <c r="L1746" i="1"/>
  <c r="K1746" i="1" a="1"/>
  <c r="K1746" i="1" s="1"/>
  <c r="J1726" i="1" a="1"/>
  <c r="J1726" i="1" s="1"/>
  <c r="L1726" i="1"/>
  <c r="K1726" i="1" a="1"/>
  <c r="K1726" i="1" s="1"/>
  <c r="J1706" i="1" a="1"/>
  <c r="J1706" i="1" s="1"/>
  <c r="L1706" i="1"/>
  <c r="K1706" i="1" a="1"/>
  <c r="K1706" i="1" s="1"/>
  <c r="J1686" i="1" a="1"/>
  <c r="J1686" i="1" s="1"/>
  <c r="L1686" i="1"/>
  <c r="K1686" i="1" a="1"/>
  <c r="K1686" i="1" s="1"/>
  <c r="J1666" i="1" a="1"/>
  <c r="J1666" i="1" s="1"/>
  <c r="L1666" i="1"/>
  <c r="K1666" i="1" a="1"/>
  <c r="K1666" i="1" s="1"/>
  <c r="J1646" i="1" a="1"/>
  <c r="J1646" i="1" s="1"/>
  <c r="L1646" i="1"/>
  <c r="K1646" i="1" a="1"/>
  <c r="K1646" i="1" s="1"/>
  <c r="J1626" i="1" a="1"/>
  <c r="J1626" i="1" s="1"/>
  <c r="L1626" i="1"/>
  <c r="K1626" i="1" a="1"/>
  <c r="K1626" i="1" s="1"/>
  <c r="J1606" i="1" a="1"/>
  <c r="J1606" i="1" s="1"/>
  <c r="L1606" i="1"/>
  <c r="K1606" i="1" a="1"/>
  <c r="K1606" i="1" s="1"/>
  <c r="J1586" i="1" a="1"/>
  <c r="J1586" i="1" s="1"/>
  <c r="L1586" i="1"/>
  <c r="K1586" i="1" a="1"/>
  <c r="K1586" i="1" s="1"/>
  <c r="J1439" i="1" a="1"/>
  <c r="J1439" i="1" s="1"/>
  <c r="L1439" i="1"/>
  <c r="K1439" i="1" a="1"/>
  <c r="K1439" i="1" s="1"/>
  <c r="J1419" i="1" a="1"/>
  <c r="J1419" i="1" s="1"/>
  <c r="L1419" i="1"/>
  <c r="K1419" i="1" a="1"/>
  <c r="K1419" i="1" s="1"/>
  <c r="J1399" i="1" a="1"/>
  <c r="J1399" i="1" s="1"/>
  <c r="L1399" i="1"/>
  <c r="K1399" i="1" a="1"/>
  <c r="K1399" i="1" s="1"/>
  <c r="J1379" i="1" a="1"/>
  <c r="J1379" i="1" s="1"/>
  <c r="L1379" i="1"/>
  <c r="K1379" i="1" a="1"/>
  <c r="K1379" i="1" s="1"/>
  <c r="J1359" i="1" a="1"/>
  <c r="J1359" i="1" s="1"/>
  <c r="L1359" i="1"/>
  <c r="K1359" i="1" a="1"/>
  <c r="K1359" i="1" s="1"/>
  <c r="J1339" i="1" a="1"/>
  <c r="J1339" i="1" s="1"/>
  <c r="L1339" i="1"/>
  <c r="K1339" i="1" a="1"/>
  <c r="K1339" i="1" s="1"/>
  <c r="J1319" i="1" a="1"/>
  <c r="J1319" i="1" s="1"/>
  <c r="L1319" i="1"/>
  <c r="K1319" i="1" a="1"/>
  <c r="K1319" i="1" s="1"/>
  <c r="J1299" i="1" a="1"/>
  <c r="J1299" i="1" s="1"/>
  <c r="L1299" i="1"/>
  <c r="K1299" i="1" a="1"/>
  <c r="K1299" i="1" s="1"/>
  <c r="J1279" i="1" a="1"/>
  <c r="J1279" i="1" s="1"/>
  <c r="L1279" i="1"/>
  <c r="K1279" i="1" a="1"/>
  <c r="K1279" i="1" s="1"/>
  <c r="J1259" i="1" a="1"/>
  <c r="J1259" i="1" s="1"/>
  <c r="L1259" i="1"/>
  <c r="K1259" i="1" a="1"/>
  <c r="K1259" i="1" s="1"/>
  <c r="J1239" i="1" a="1"/>
  <c r="J1239" i="1" s="1"/>
  <c r="L1239" i="1"/>
  <c r="K1239" i="1" a="1"/>
  <c r="K1239" i="1" s="1"/>
  <c r="J1219" i="1" a="1"/>
  <c r="J1219" i="1" s="1"/>
  <c r="L1219" i="1"/>
  <c r="K1219" i="1" a="1"/>
  <c r="K1219" i="1" s="1"/>
  <c r="J1199" i="1" a="1"/>
  <c r="J1199" i="1" s="1"/>
  <c r="L1199" i="1"/>
  <c r="K1199" i="1" a="1"/>
  <c r="K1199" i="1" s="1"/>
  <c r="J1179" i="1" a="1"/>
  <c r="J1179" i="1" s="1"/>
  <c r="L1179" i="1"/>
  <c r="K1179" i="1" a="1"/>
  <c r="K1179" i="1" s="1"/>
  <c r="J1159" i="1" a="1"/>
  <c r="J1159" i="1" s="1"/>
  <c r="L1159" i="1"/>
  <c r="K1159" i="1" a="1"/>
  <c r="K1159" i="1" s="1"/>
  <c r="J1139" i="1" a="1"/>
  <c r="J1139" i="1" s="1"/>
  <c r="L1139" i="1"/>
  <c r="K1139" i="1" a="1"/>
  <c r="K1139" i="1" s="1"/>
  <c r="J1119" i="1" a="1"/>
  <c r="J1119" i="1" s="1"/>
  <c r="L1119" i="1"/>
  <c r="K1119" i="1" a="1"/>
  <c r="K1119" i="1" s="1"/>
  <c r="J1099" i="1" a="1"/>
  <c r="J1099" i="1" s="1"/>
  <c r="L1099" i="1"/>
  <c r="K1099" i="1" a="1"/>
  <c r="K1099" i="1" s="1"/>
  <c r="J1079" i="1" a="1"/>
  <c r="J1079" i="1" s="1"/>
  <c r="L1079" i="1"/>
  <c r="K1079" i="1" a="1"/>
  <c r="K1079" i="1" s="1"/>
  <c r="J1059" i="1" a="1"/>
  <c r="J1059" i="1" s="1"/>
  <c r="L1059" i="1"/>
  <c r="K1059" i="1" a="1"/>
  <c r="K1059" i="1" s="1"/>
  <c r="J1039" i="1" a="1"/>
  <c r="J1039" i="1" s="1"/>
  <c r="L1039" i="1"/>
  <c r="K1039" i="1" a="1"/>
  <c r="K1039" i="1" s="1"/>
  <c r="J1019" i="1" a="1"/>
  <c r="J1019" i="1" s="1"/>
  <c r="L1019" i="1"/>
  <c r="K1019" i="1" a="1"/>
  <c r="K1019" i="1" s="1"/>
  <c r="J999" i="1" a="1"/>
  <c r="J999" i="1" s="1"/>
  <c r="L999" i="1"/>
  <c r="K999" i="1" a="1"/>
  <c r="K999" i="1" s="1"/>
  <c r="J979" i="1" a="1"/>
  <c r="J979" i="1" s="1"/>
  <c r="L979" i="1"/>
  <c r="K979" i="1" a="1"/>
  <c r="K979" i="1" s="1"/>
  <c r="J959" i="1" a="1"/>
  <c r="J959" i="1" s="1"/>
  <c r="L959" i="1"/>
  <c r="K959" i="1" a="1"/>
  <c r="K959" i="1" s="1"/>
  <c r="J939" i="1" a="1"/>
  <c r="J939" i="1" s="1"/>
  <c r="L939" i="1"/>
  <c r="K939" i="1" a="1"/>
  <c r="K939" i="1" s="1"/>
  <c r="J919" i="1" a="1"/>
  <c r="J919" i="1" s="1"/>
  <c r="L919" i="1"/>
  <c r="K919" i="1" a="1"/>
  <c r="K919" i="1" s="1"/>
  <c r="J899" i="1" a="1"/>
  <c r="J899" i="1" s="1"/>
  <c r="L899" i="1"/>
  <c r="K899" i="1" a="1"/>
  <c r="K899" i="1" s="1"/>
  <c r="J879" i="1" a="1"/>
  <c r="J879" i="1" s="1"/>
  <c r="L879" i="1"/>
  <c r="K879" i="1" a="1"/>
  <c r="K879" i="1" s="1"/>
  <c r="J859" i="1" a="1"/>
  <c r="J859" i="1" s="1"/>
  <c r="L859" i="1"/>
  <c r="K859" i="1" a="1"/>
  <c r="K859" i="1" s="1"/>
  <c r="J839" i="1" a="1"/>
  <c r="J839" i="1" s="1"/>
  <c r="L839" i="1"/>
  <c r="K839" i="1" a="1"/>
  <c r="K839" i="1" s="1"/>
  <c r="J819" i="1" a="1"/>
  <c r="J819" i="1" s="1"/>
  <c r="L819" i="1"/>
  <c r="K819" i="1" a="1"/>
  <c r="K819" i="1" s="1"/>
  <c r="J799" i="1" a="1"/>
  <c r="J799" i="1" s="1"/>
  <c r="L799" i="1"/>
  <c r="K799" i="1" a="1"/>
  <c r="K799" i="1" s="1"/>
  <c r="J779" i="1" a="1"/>
  <c r="J779" i="1" s="1"/>
  <c r="L779" i="1"/>
  <c r="K779" i="1" a="1"/>
  <c r="K779" i="1" s="1"/>
  <c r="J759" i="1" a="1"/>
  <c r="J759" i="1" s="1"/>
  <c r="L759" i="1"/>
  <c r="K759" i="1" a="1"/>
  <c r="K759" i="1" s="1"/>
  <c r="J739" i="1" a="1"/>
  <c r="J739" i="1" s="1"/>
  <c r="L739" i="1"/>
  <c r="K739" i="1" a="1"/>
  <c r="K739" i="1" s="1"/>
  <c r="J719" i="1" a="1"/>
  <c r="J719" i="1" s="1"/>
  <c r="L719" i="1"/>
  <c r="K719" i="1" a="1"/>
  <c r="K719" i="1" s="1"/>
  <c r="J699" i="1" a="1"/>
  <c r="J699" i="1" s="1"/>
  <c r="L699" i="1"/>
  <c r="K699" i="1" a="1"/>
  <c r="K699" i="1" s="1"/>
  <c r="J679" i="1" a="1"/>
  <c r="J679" i="1" s="1"/>
  <c r="L679" i="1"/>
  <c r="K679" i="1" a="1"/>
  <c r="K679" i="1" s="1"/>
  <c r="J659" i="1" a="1"/>
  <c r="J659" i="1" s="1"/>
  <c r="L659" i="1"/>
  <c r="K659" i="1" a="1"/>
  <c r="K659" i="1" s="1"/>
  <c r="J639" i="1" a="1"/>
  <c r="J639" i="1" s="1"/>
  <c r="L639" i="1"/>
  <c r="K639" i="1" a="1"/>
  <c r="K639" i="1" s="1"/>
  <c r="J619" i="1" a="1"/>
  <c r="J619" i="1" s="1"/>
  <c r="L619" i="1"/>
  <c r="K619" i="1" a="1"/>
  <c r="K619" i="1" s="1"/>
  <c r="J599" i="1" a="1"/>
  <c r="J599" i="1" s="1"/>
  <c r="L599" i="1"/>
  <c r="K599" i="1" a="1"/>
  <c r="K599" i="1" s="1"/>
  <c r="J579" i="1" a="1"/>
  <c r="J579" i="1" s="1"/>
  <c r="L579" i="1"/>
  <c r="K579" i="1" a="1"/>
  <c r="K579" i="1" s="1"/>
  <c r="J559" i="1" a="1"/>
  <c r="J559" i="1" s="1"/>
  <c r="L559" i="1"/>
  <c r="K559" i="1" a="1"/>
  <c r="K559" i="1" s="1"/>
  <c r="J539" i="1" a="1"/>
  <c r="J539" i="1" s="1"/>
  <c r="L539" i="1"/>
  <c r="K539" i="1" a="1"/>
  <c r="K539" i="1" s="1"/>
  <c r="J519" i="1" a="1"/>
  <c r="J519" i="1" s="1"/>
  <c r="L519" i="1"/>
  <c r="K519" i="1" a="1"/>
  <c r="K519" i="1" s="1"/>
  <c r="J499" i="1" a="1"/>
  <c r="J499" i="1" s="1"/>
  <c r="L499" i="1"/>
  <c r="K499" i="1" a="1"/>
  <c r="K499" i="1" s="1"/>
  <c r="J479" i="1" a="1"/>
  <c r="J479" i="1" s="1"/>
  <c r="L479" i="1"/>
  <c r="K479" i="1" a="1"/>
  <c r="K479" i="1" s="1"/>
  <c r="J459" i="1" a="1"/>
  <c r="J459" i="1" s="1"/>
  <c r="L459" i="1"/>
  <c r="K459" i="1" a="1"/>
  <c r="K459" i="1" s="1"/>
  <c r="J439" i="1" a="1"/>
  <c r="J439" i="1" s="1"/>
  <c r="L439" i="1"/>
  <c r="K439" i="1" a="1"/>
  <c r="K439" i="1" s="1"/>
  <c r="J419" i="1" a="1"/>
  <c r="J419" i="1" s="1"/>
  <c r="L419" i="1"/>
  <c r="K419" i="1" a="1"/>
  <c r="K419" i="1" s="1"/>
  <c r="J399" i="1" a="1"/>
  <c r="J399" i="1" s="1"/>
  <c r="L399" i="1"/>
  <c r="K399" i="1" a="1"/>
  <c r="K399" i="1" s="1"/>
  <c r="J379" i="1" a="1"/>
  <c r="J379" i="1" s="1"/>
  <c r="L379" i="1"/>
  <c r="K379" i="1" a="1"/>
  <c r="K379" i="1" s="1"/>
  <c r="J359" i="1" a="1"/>
  <c r="J359" i="1" s="1"/>
  <c r="L359" i="1"/>
  <c r="K359" i="1" a="1"/>
  <c r="K359" i="1" s="1"/>
  <c r="J339" i="1" a="1"/>
  <c r="J339" i="1" s="1"/>
  <c r="L339" i="1"/>
  <c r="K339" i="1" a="1"/>
  <c r="K339" i="1" s="1"/>
  <c r="J319" i="1" a="1"/>
  <c r="J319" i="1" s="1"/>
  <c r="L319" i="1"/>
  <c r="K319" i="1" a="1"/>
  <c r="K319" i="1" s="1"/>
  <c r="J299" i="1" a="1"/>
  <c r="J299" i="1" s="1"/>
  <c r="L299" i="1"/>
  <c r="K299" i="1" a="1"/>
  <c r="K299" i="1" s="1"/>
  <c r="J279" i="1" a="1"/>
  <c r="J279" i="1" s="1"/>
  <c r="L279" i="1"/>
  <c r="K279" i="1" a="1"/>
  <c r="K279" i="1" s="1"/>
  <c r="J259" i="1" a="1"/>
  <c r="J259" i="1" s="1"/>
  <c r="L259" i="1"/>
  <c r="K259" i="1" a="1"/>
  <c r="K259" i="1" s="1"/>
  <c r="J239" i="1" a="1"/>
  <c r="J239" i="1" s="1"/>
  <c r="L239" i="1"/>
  <c r="K239" i="1" a="1"/>
  <c r="K239" i="1" s="1"/>
  <c r="J219" i="1" a="1"/>
  <c r="J219" i="1" s="1"/>
  <c r="L219" i="1"/>
  <c r="K219" i="1" a="1"/>
  <c r="K219" i="1" s="1"/>
  <c r="J199" i="1" a="1"/>
  <c r="J199" i="1" s="1"/>
  <c r="L199" i="1"/>
  <c r="K199" i="1" a="1"/>
  <c r="K199" i="1" s="1"/>
  <c r="J179" i="1" a="1"/>
  <c r="J179" i="1" s="1"/>
  <c r="L179" i="1"/>
  <c r="K179" i="1" a="1"/>
  <c r="K179" i="1" s="1"/>
  <c r="J159" i="1" a="1"/>
  <c r="J159" i="1" s="1"/>
  <c r="L159" i="1"/>
  <c r="K159" i="1" a="1"/>
  <c r="K159" i="1" s="1"/>
  <c r="J139" i="1" a="1"/>
  <c r="J139" i="1" s="1"/>
  <c r="L139" i="1"/>
  <c r="K139" i="1" a="1"/>
  <c r="K139" i="1" s="1"/>
  <c r="J119" i="1" a="1"/>
  <c r="J119" i="1" s="1"/>
  <c r="L119" i="1"/>
  <c r="K119" i="1" a="1"/>
  <c r="K119" i="1" s="1"/>
  <c r="J99" i="1" a="1"/>
  <c r="J99" i="1" s="1"/>
  <c r="L99" i="1"/>
  <c r="K99" i="1" a="1"/>
  <c r="K99" i="1" s="1"/>
  <c r="J79" i="1" a="1"/>
  <c r="J79" i="1" s="1"/>
  <c r="L79" i="1"/>
  <c r="K79" i="1" a="1"/>
  <c r="K79" i="1" s="1"/>
  <c r="J59" i="1" a="1"/>
  <c r="J59" i="1" s="1"/>
  <c r="L59" i="1"/>
  <c r="K59" i="1" a="1"/>
  <c r="K59" i="1" s="1"/>
  <c r="J39" i="1" a="1"/>
  <c r="J39" i="1" s="1"/>
  <c r="L39" i="1"/>
  <c r="K39" i="1" a="1"/>
  <c r="K39" i="1" s="1"/>
  <c r="J19" i="1" a="1"/>
  <c r="J19" i="1" s="1"/>
  <c r="L19" i="1"/>
  <c r="K19" i="1" a="1"/>
  <c r="K19" i="1" s="1"/>
  <c r="J1054" i="1" a="1"/>
  <c r="J1054" i="1" s="1"/>
  <c r="L1054" i="1"/>
  <c r="K1054" i="1" a="1"/>
  <c r="K1054" i="1" s="1"/>
  <c r="J914" i="1" a="1"/>
  <c r="J914" i="1" s="1"/>
  <c r="L914" i="1"/>
  <c r="K914" i="1" a="1"/>
  <c r="K914" i="1" s="1"/>
  <c r="J754" i="1" a="1"/>
  <c r="J754" i="1" s="1"/>
  <c r="L754" i="1"/>
  <c r="K754" i="1" a="1"/>
  <c r="K754" i="1" s="1"/>
  <c r="J634" i="1" a="1"/>
  <c r="J634" i="1" s="1"/>
  <c r="L634" i="1"/>
  <c r="K634" i="1" a="1"/>
  <c r="K634" i="1" s="1"/>
  <c r="J494" i="1" a="1"/>
  <c r="J494" i="1" s="1"/>
  <c r="L494" i="1"/>
  <c r="K494" i="1" a="1"/>
  <c r="K494" i="1" s="1"/>
  <c r="J354" i="1" a="1"/>
  <c r="J354" i="1" s="1"/>
  <c r="L354" i="1"/>
  <c r="K354" i="1" a="1"/>
  <c r="K354" i="1" s="1"/>
  <c r="J74" i="1" a="1"/>
  <c r="J74" i="1" s="1"/>
  <c r="L74" i="1"/>
  <c r="K74" i="1" a="1"/>
  <c r="K74" i="1" s="1"/>
  <c r="J1820" i="1" a="1"/>
  <c r="J1820" i="1" s="1"/>
  <c r="L1820" i="1"/>
  <c r="K1820" i="1" a="1"/>
  <c r="K1820" i="1" s="1"/>
  <c r="J1660" i="1" a="1"/>
  <c r="J1660" i="1" s="1"/>
  <c r="L1660" i="1"/>
  <c r="K1660" i="1" a="1"/>
  <c r="K1660" i="1" s="1"/>
  <c r="J1373" i="1" a="1"/>
  <c r="J1373" i="1" s="1"/>
  <c r="L1373" i="1"/>
  <c r="K1373" i="1" a="1"/>
  <c r="K1373" i="1" s="1"/>
  <c r="J1213" i="1" a="1"/>
  <c r="J1213" i="1" s="1"/>
  <c r="L1213" i="1"/>
  <c r="K1213" i="1" a="1"/>
  <c r="K1213" i="1" s="1"/>
  <c r="J1073" i="1" a="1"/>
  <c r="J1073" i="1" s="1"/>
  <c r="L1073" i="1"/>
  <c r="K1073" i="1" a="1"/>
  <c r="K1073" i="1" s="1"/>
  <c r="J953" i="1" a="1"/>
  <c r="J953" i="1" s="1"/>
  <c r="L953" i="1"/>
  <c r="K953" i="1" a="1"/>
  <c r="K953" i="1" s="1"/>
  <c r="J833" i="1" a="1"/>
  <c r="J833" i="1" s="1"/>
  <c r="L833" i="1"/>
  <c r="K833" i="1" a="1"/>
  <c r="K833" i="1" s="1"/>
  <c r="J693" i="1" a="1"/>
  <c r="J693" i="1" s="1"/>
  <c r="L693" i="1"/>
  <c r="K693" i="1" a="1"/>
  <c r="K693" i="1" s="1"/>
  <c r="J593" i="1" a="1"/>
  <c r="J593" i="1" s="1"/>
  <c r="L593" i="1"/>
  <c r="K593" i="1" a="1"/>
  <c r="K593" i="1" s="1"/>
  <c r="J473" i="1" a="1"/>
  <c r="J473" i="1" s="1"/>
  <c r="L473" i="1"/>
  <c r="K473" i="1" a="1"/>
  <c r="K473" i="1" s="1"/>
  <c r="J333" i="1" a="1"/>
  <c r="J333" i="1" s="1"/>
  <c r="L333" i="1"/>
  <c r="K333" i="1" a="1"/>
  <c r="K333" i="1" s="1"/>
  <c r="J73" i="1" a="1"/>
  <c r="J73" i="1" s="1"/>
  <c r="L73" i="1"/>
  <c r="K73" i="1" a="1"/>
  <c r="K73" i="1" s="1"/>
  <c r="J1699" i="1" a="1"/>
  <c r="J1699" i="1" s="1"/>
  <c r="L1699" i="1"/>
  <c r="K1699" i="1" a="1"/>
  <c r="K1699" i="1" s="1"/>
  <c r="J1432" i="1" a="1"/>
  <c r="J1432" i="1" s="1"/>
  <c r="L1432" i="1"/>
  <c r="K1432" i="1" a="1"/>
  <c r="K1432" i="1" s="1"/>
  <c r="J1292" i="1" a="1"/>
  <c r="J1292" i="1" s="1"/>
  <c r="L1292" i="1"/>
  <c r="K1292" i="1" a="1"/>
  <c r="K1292" i="1" s="1"/>
  <c r="J1132" i="1" a="1"/>
  <c r="J1132" i="1" s="1"/>
  <c r="L1132" i="1"/>
  <c r="K1132" i="1" a="1"/>
  <c r="K1132" i="1" s="1"/>
  <c r="J992" i="1" a="1"/>
  <c r="J992" i="1" s="1"/>
  <c r="L992" i="1"/>
  <c r="K992" i="1" a="1"/>
  <c r="K992" i="1" s="1"/>
  <c r="J852" i="1" a="1"/>
  <c r="J852" i="1" s="1"/>
  <c r="L852" i="1"/>
  <c r="K852" i="1" a="1"/>
  <c r="K852" i="1" s="1"/>
  <c r="J712" i="1" a="1"/>
  <c r="J712" i="1" s="1"/>
  <c r="L712" i="1"/>
  <c r="K712" i="1" a="1"/>
  <c r="K712" i="1" s="1"/>
  <c r="J572" i="1" a="1"/>
  <c r="J572" i="1" s="1"/>
  <c r="L572" i="1"/>
  <c r="K572" i="1" a="1"/>
  <c r="K572" i="1" s="1"/>
  <c r="J452" i="1" a="1"/>
  <c r="J452" i="1" s="1"/>
  <c r="L452" i="1"/>
  <c r="K452" i="1" a="1"/>
  <c r="K452" i="1" s="1"/>
  <c r="J312" i="1" a="1"/>
  <c r="J312" i="1" s="1"/>
  <c r="L312" i="1"/>
  <c r="K312" i="1" a="1"/>
  <c r="K312" i="1" s="1"/>
  <c r="J92" i="1" a="1"/>
  <c r="J92" i="1" s="1"/>
  <c r="L92" i="1"/>
  <c r="K92" i="1" a="1"/>
  <c r="K92" i="1" s="1"/>
  <c r="J1718" i="1" a="1"/>
  <c r="J1718" i="1" s="1"/>
  <c r="L1718" i="1"/>
  <c r="K1718" i="1" a="1"/>
  <c r="K1718" i="1" s="1"/>
  <c r="J1431" i="1" a="1"/>
  <c r="J1431" i="1" s="1"/>
  <c r="L1431" i="1"/>
  <c r="K1431" i="1" a="1"/>
  <c r="K1431" i="1" s="1"/>
  <c r="J1291" i="1" a="1"/>
  <c r="J1291" i="1" s="1"/>
  <c r="L1291" i="1"/>
  <c r="K1291" i="1" a="1"/>
  <c r="K1291" i="1" s="1"/>
  <c r="J1131" i="1" a="1"/>
  <c r="J1131" i="1" s="1"/>
  <c r="L1131" i="1"/>
  <c r="K1131" i="1" a="1"/>
  <c r="K1131" i="1" s="1"/>
  <c r="J971" i="1" a="1"/>
  <c r="J971" i="1" s="1"/>
  <c r="L971" i="1"/>
  <c r="K971" i="1" a="1"/>
  <c r="K971" i="1" s="1"/>
  <c r="J831" i="1" a="1"/>
  <c r="J831" i="1" s="1"/>
  <c r="L831" i="1"/>
  <c r="K831" i="1" a="1"/>
  <c r="K831" i="1" s="1"/>
  <c r="J711" i="1" a="1"/>
  <c r="J711" i="1" s="1"/>
  <c r="L711" i="1"/>
  <c r="K711" i="1" a="1"/>
  <c r="K711" i="1" s="1"/>
  <c r="J571" i="1" a="1"/>
  <c r="J571" i="1" s="1"/>
  <c r="L571" i="1"/>
  <c r="K571" i="1" a="1"/>
  <c r="K571" i="1" s="1"/>
  <c r="J411" i="1" a="1"/>
  <c r="J411" i="1" s="1"/>
  <c r="L411" i="1"/>
  <c r="K411" i="1" a="1"/>
  <c r="K411" i="1" s="1"/>
  <c r="J111" i="1" a="1"/>
  <c r="J111" i="1" s="1"/>
  <c r="L111" i="1"/>
  <c r="K111" i="1" a="1"/>
  <c r="K111" i="1" s="1"/>
  <c r="J1777" i="1" a="1"/>
  <c r="J1777" i="1" s="1"/>
  <c r="L1777" i="1"/>
  <c r="K1777" i="1" a="1"/>
  <c r="K1777" i="1" s="1"/>
  <c r="J1290" i="1" a="1"/>
  <c r="J1290" i="1" s="1"/>
  <c r="L1290" i="1"/>
  <c r="K1290" i="1" a="1"/>
  <c r="K1290" i="1" s="1"/>
  <c r="J710" i="1" a="1"/>
  <c r="J710" i="1" s="1"/>
  <c r="L710" i="1"/>
  <c r="K710" i="1" a="1"/>
  <c r="K710" i="1" s="1"/>
  <c r="J1074" i="1" a="1"/>
  <c r="J1074" i="1" s="1"/>
  <c r="L1074" i="1"/>
  <c r="K1074" i="1" a="1"/>
  <c r="K1074" i="1" s="1"/>
  <c r="J934" i="1" a="1"/>
  <c r="J934" i="1" s="1"/>
  <c r="L934" i="1"/>
  <c r="K934" i="1" a="1"/>
  <c r="K934" i="1" s="1"/>
  <c r="J794" i="1" a="1"/>
  <c r="J794" i="1" s="1"/>
  <c r="L794" i="1"/>
  <c r="K794" i="1" a="1"/>
  <c r="K794" i="1" s="1"/>
  <c r="J694" i="1" a="1"/>
  <c r="J694" i="1" s="1"/>
  <c r="L694" i="1"/>
  <c r="K694" i="1" a="1"/>
  <c r="K694" i="1" s="1"/>
  <c r="J614" i="1" a="1"/>
  <c r="J614" i="1" s="1"/>
  <c r="L614" i="1"/>
  <c r="K614" i="1" a="1"/>
  <c r="K614" i="1" s="1"/>
  <c r="J514" i="1" a="1"/>
  <c r="J514" i="1" s="1"/>
  <c r="L514" i="1"/>
  <c r="K514" i="1" a="1"/>
  <c r="K514" i="1" s="1"/>
  <c r="J374" i="1" a="1"/>
  <c r="J374" i="1" s="1"/>
  <c r="L374" i="1"/>
  <c r="K374" i="1" a="1"/>
  <c r="K374" i="1" s="1"/>
  <c r="J54" i="1" a="1"/>
  <c r="J54" i="1" s="1"/>
  <c r="L54" i="1"/>
  <c r="K54" i="1" a="1"/>
  <c r="K54" i="1" s="1"/>
  <c r="J1700" i="1" a="1"/>
  <c r="J1700" i="1" s="1"/>
  <c r="L1700" i="1"/>
  <c r="K1700" i="1" a="1"/>
  <c r="K1700" i="1" s="1"/>
  <c r="J1393" i="1" a="1"/>
  <c r="J1393" i="1" s="1"/>
  <c r="L1393" i="1"/>
  <c r="K1393" i="1" a="1"/>
  <c r="K1393" i="1" s="1"/>
  <c r="J1233" i="1" a="1"/>
  <c r="J1233" i="1" s="1"/>
  <c r="L1233" i="1"/>
  <c r="K1233" i="1" a="1"/>
  <c r="K1233" i="1" s="1"/>
  <c r="J1093" i="1" a="1"/>
  <c r="J1093" i="1" s="1"/>
  <c r="L1093" i="1"/>
  <c r="K1093" i="1" a="1"/>
  <c r="K1093" i="1" s="1"/>
  <c r="J933" i="1" a="1"/>
  <c r="J933" i="1" s="1"/>
  <c r="L933" i="1"/>
  <c r="K933" i="1" a="1"/>
  <c r="K933" i="1" s="1"/>
  <c r="J793" i="1" a="1"/>
  <c r="J793" i="1" s="1"/>
  <c r="L793" i="1"/>
  <c r="K793" i="1" a="1"/>
  <c r="K793" i="1" s="1"/>
  <c r="J653" i="1" a="1"/>
  <c r="J653" i="1" s="1"/>
  <c r="L653" i="1"/>
  <c r="K653" i="1" a="1"/>
  <c r="K653" i="1" s="1"/>
  <c r="J533" i="1" a="1"/>
  <c r="J533" i="1" s="1"/>
  <c r="L533" i="1"/>
  <c r="K533" i="1" a="1"/>
  <c r="K533" i="1" s="1"/>
  <c r="J393" i="1" a="1"/>
  <c r="J393" i="1" s="1"/>
  <c r="L393" i="1"/>
  <c r="K393" i="1" a="1"/>
  <c r="K393" i="1" s="1"/>
  <c r="J33" i="1" a="1"/>
  <c r="J33" i="1" s="1"/>
  <c r="L33" i="1"/>
  <c r="K33" i="1" a="1"/>
  <c r="K33" i="1" s="1"/>
  <c r="J1739" i="1" a="1"/>
  <c r="J1739" i="1" s="1"/>
  <c r="L1739" i="1"/>
  <c r="K1739" i="1" a="1"/>
  <c r="K1739" i="1" s="1"/>
  <c r="J1579" i="1" a="1"/>
  <c r="J1579" i="1" s="1"/>
  <c r="L1579" i="1"/>
  <c r="K1579" i="1" a="1"/>
  <c r="K1579" i="1" s="1"/>
  <c r="J1312" i="1" a="1"/>
  <c r="J1312" i="1" s="1"/>
  <c r="L1312" i="1"/>
  <c r="K1312" i="1" a="1"/>
  <c r="K1312" i="1" s="1"/>
  <c r="J1172" i="1" a="1"/>
  <c r="J1172" i="1" s="1"/>
  <c r="L1172" i="1"/>
  <c r="K1172" i="1" a="1"/>
  <c r="K1172" i="1" s="1"/>
  <c r="J1052" i="1" a="1"/>
  <c r="J1052" i="1" s="1"/>
  <c r="L1052" i="1"/>
  <c r="K1052" i="1" a="1"/>
  <c r="K1052" i="1" s="1"/>
  <c r="J912" i="1" a="1"/>
  <c r="J912" i="1" s="1"/>
  <c r="L912" i="1"/>
  <c r="K912" i="1" a="1"/>
  <c r="K912" i="1" s="1"/>
  <c r="J772" i="1" a="1"/>
  <c r="J772" i="1" s="1"/>
  <c r="L772" i="1"/>
  <c r="K772" i="1" a="1"/>
  <c r="K772" i="1" s="1"/>
  <c r="J652" i="1" a="1"/>
  <c r="J652" i="1" s="1"/>
  <c r="L652" i="1"/>
  <c r="K652" i="1" a="1"/>
  <c r="K652" i="1" s="1"/>
  <c r="J532" i="1" a="1"/>
  <c r="J532" i="1" s="1"/>
  <c r="L532" i="1"/>
  <c r="K532" i="1" a="1"/>
  <c r="K532" i="1" s="1"/>
  <c r="J392" i="1" a="1"/>
  <c r="J392" i="1" s="1"/>
  <c r="L392" i="1"/>
  <c r="K392" i="1" a="1"/>
  <c r="K392" i="1" s="1"/>
  <c r="J52" i="1" a="1"/>
  <c r="J52" i="1" s="1"/>
  <c r="L52" i="1"/>
  <c r="K52" i="1" a="1"/>
  <c r="K52" i="1" s="1"/>
  <c r="J1798" i="1" a="1"/>
  <c r="J1798" i="1" s="1"/>
  <c r="L1798" i="1"/>
  <c r="K1798" i="1" a="1"/>
  <c r="K1798" i="1" s="1"/>
  <c r="J1658" i="1" a="1"/>
  <c r="J1658" i="1" s="1"/>
  <c r="L1658" i="1"/>
  <c r="K1658" i="1" a="1"/>
  <c r="K1658" i="1" s="1"/>
  <c r="J1391" i="1" a="1"/>
  <c r="J1391" i="1" s="1"/>
  <c r="L1391" i="1"/>
  <c r="K1391" i="1" a="1"/>
  <c r="K1391" i="1" s="1"/>
  <c r="J1271" i="1" a="1"/>
  <c r="J1271" i="1" s="1"/>
  <c r="L1271" i="1"/>
  <c r="K1271" i="1" a="1"/>
  <c r="K1271" i="1" s="1"/>
  <c r="J1151" i="1" a="1"/>
  <c r="J1151" i="1" s="1"/>
  <c r="L1151" i="1"/>
  <c r="K1151" i="1" a="1"/>
  <c r="K1151" i="1" s="1"/>
  <c r="J1011" i="1" a="1"/>
  <c r="J1011" i="1" s="1"/>
  <c r="L1011" i="1"/>
  <c r="K1011" i="1" a="1"/>
  <c r="K1011" i="1" s="1"/>
  <c r="J911" i="1" a="1"/>
  <c r="J911" i="1" s="1"/>
  <c r="L911" i="1"/>
  <c r="K911" i="1" a="1"/>
  <c r="K911" i="1" s="1"/>
  <c r="J771" i="1" a="1"/>
  <c r="J771" i="1" s="1"/>
  <c r="L771" i="1"/>
  <c r="K771" i="1" a="1"/>
  <c r="K771" i="1" s="1"/>
  <c r="J671" i="1" a="1"/>
  <c r="J671" i="1" s="1"/>
  <c r="L671" i="1"/>
  <c r="K671" i="1" a="1"/>
  <c r="K671" i="1" s="1"/>
  <c r="J551" i="1" a="1"/>
  <c r="J551" i="1" s="1"/>
  <c r="L551" i="1"/>
  <c r="K551" i="1" a="1"/>
  <c r="K551" i="1" s="1"/>
  <c r="J471" i="1" a="1"/>
  <c r="J471" i="1" s="1"/>
  <c r="L471" i="1"/>
  <c r="K471" i="1" a="1"/>
  <c r="K471" i="1" s="1"/>
  <c r="J331" i="1" a="1"/>
  <c r="J331" i="1" s="1"/>
  <c r="L331" i="1"/>
  <c r="K331" i="1" a="1"/>
  <c r="K331" i="1" s="1"/>
  <c r="J71" i="1" a="1"/>
  <c r="J71" i="1" s="1"/>
  <c r="L71" i="1"/>
  <c r="K71" i="1" a="1"/>
  <c r="K71" i="1" s="1"/>
  <c r="J1717" i="1" a="1"/>
  <c r="J1717" i="1" s="1"/>
  <c r="L1717" i="1"/>
  <c r="K1717" i="1" a="1"/>
  <c r="K1717" i="1" s="1"/>
  <c r="J1410" i="1" a="1"/>
  <c r="J1410" i="1" s="1"/>
  <c r="L1410" i="1"/>
  <c r="K1410" i="1" a="1"/>
  <c r="K1410" i="1" s="1"/>
  <c r="J1270" i="1" a="1"/>
  <c r="J1270" i="1" s="1"/>
  <c r="L1270" i="1"/>
  <c r="K1270" i="1" a="1"/>
  <c r="K1270" i="1" s="1"/>
  <c r="J1170" i="1" a="1"/>
  <c r="J1170" i="1" s="1"/>
  <c r="L1170" i="1"/>
  <c r="K1170" i="1" a="1"/>
  <c r="K1170" i="1" s="1"/>
  <c r="J1070" i="1" a="1"/>
  <c r="J1070" i="1" s="1"/>
  <c r="L1070" i="1"/>
  <c r="K1070" i="1" a="1"/>
  <c r="K1070" i="1" s="1"/>
  <c r="J970" i="1" a="1"/>
  <c r="J970" i="1" s="1"/>
  <c r="L970" i="1"/>
  <c r="K970" i="1" a="1"/>
  <c r="K970" i="1" s="1"/>
  <c r="J870" i="1" a="1"/>
  <c r="J870" i="1" s="1"/>
  <c r="L870" i="1"/>
  <c r="K870" i="1" a="1"/>
  <c r="K870" i="1" s="1"/>
  <c r="J770" i="1" a="1"/>
  <c r="J770" i="1" s="1"/>
  <c r="L770" i="1"/>
  <c r="K770" i="1" a="1"/>
  <c r="K770" i="1" s="1"/>
  <c r="J650" i="1" a="1"/>
  <c r="J650" i="1" s="1"/>
  <c r="L650" i="1"/>
  <c r="K650" i="1" a="1"/>
  <c r="K650" i="1" s="1"/>
  <c r="J550" i="1" a="1"/>
  <c r="J550" i="1" s="1"/>
  <c r="L550" i="1"/>
  <c r="K550" i="1" a="1"/>
  <c r="K550" i="1" s="1"/>
  <c r="J450" i="1" a="1"/>
  <c r="J450" i="1" s="1"/>
  <c r="L450" i="1"/>
  <c r="K450" i="1" a="1"/>
  <c r="K450" i="1" s="1"/>
  <c r="J310" i="1" a="1"/>
  <c r="J310" i="1" s="1"/>
  <c r="L310" i="1"/>
  <c r="K310" i="1" a="1"/>
  <c r="K310" i="1" s="1"/>
  <c r="J90" i="1" a="1"/>
  <c r="J90" i="1" s="1"/>
  <c r="L90" i="1"/>
  <c r="K90" i="1" a="1"/>
  <c r="K90" i="1" s="1"/>
  <c r="J1816" i="1" a="1"/>
  <c r="J1816" i="1" s="1"/>
  <c r="L1816" i="1"/>
  <c r="K1816" i="1" a="1"/>
  <c r="K1816" i="1" s="1"/>
  <c r="J1696" i="1" a="1"/>
  <c r="J1696" i="1" s="1"/>
  <c r="L1696" i="1"/>
  <c r="K1696" i="1" a="1"/>
  <c r="K1696" i="1" s="1"/>
  <c r="J1429" i="1" a="1"/>
  <c r="J1429" i="1" s="1"/>
  <c r="L1429" i="1"/>
  <c r="K1429" i="1" a="1"/>
  <c r="K1429" i="1" s="1"/>
  <c r="J1289" i="1" a="1"/>
  <c r="J1289" i="1" s="1"/>
  <c r="L1289" i="1"/>
  <c r="K1289" i="1" a="1"/>
  <c r="K1289" i="1" s="1"/>
  <c r="J1149" i="1" a="1"/>
  <c r="J1149" i="1" s="1"/>
  <c r="L1149" i="1"/>
  <c r="K1149" i="1" a="1"/>
  <c r="K1149" i="1" s="1"/>
  <c r="J1049" i="1" a="1"/>
  <c r="J1049" i="1" s="1"/>
  <c r="L1049" i="1"/>
  <c r="K1049" i="1" a="1"/>
  <c r="K1049" i="1" s="1"/>
  <c r="J969" i="1" a="1"/>
  <c r="J969" i="1" s="1"/>
  <c r="L969" i="1"/>
  <c r="K969" i="1" a="1"/>
  <c r="K969" i="1" s="1"/>
  <c r="J869" i="1" a="1"/>
  <c r="J869" i="1" s="1"/>
  <c r="L869" i="1"/>
  <c r="K869" i="1" a="1"/>
  <c r="K869" i="1" s="1"/>
  <c r="J749" i="1" a="1"/>
  <c r="J749" i="1" s="1"/>
  <c r="L749" i="1"/>
  <c r="K749" i="1" a="1"/>
  <c r="K749" i="1" s="1"/>
  <c r="J689" i="1" a="1"/>
  <c r="J689" i="1" s="1"/>
  <c r="L689" i="1"/>
  <c r="K689" i="1" a="1"/>
  <c r="K689" i="1" s="1"/>
  <c r="J609" i="1" a="1"/>
  <c r="J609" i="1" s="1"/>
  <c r="L609" i="1"/>
  <c r="K609" i="1" a="1"/>
  <c r="K609" i="1" s="1"/>
  <c r="J549" i="1" a="1"/>
  <c r="J549" i="1" s="1"/>
  <c r="L549" i="1"/>
  <c r="K549" i="1" a="1"/>
  <c r="K549" i="1" s="1"/>
  <c r="J449" i="1" a="1"/>
  <c r="J449" i="1" s="1"/>
  <c r="L449" i="1"/>
  <c r="K449" i="1" a="1"/>
  <c r="K449" i="1" s="1"/>
  <c r="J309" i="1" a="1"/>
  <c r="J309" i="1" s="1"/>
  <c r="L309" i="1"/>
  <c r="K309" i="1" a="1"/>
  <c r="K309" i="1" s="1"/>
  <c r="J69" i="1" a="1"/>
  <c r="J69" i="1" s="1"/>
  <c r="L69" i="1"/>
  <c r="K69" i="1" a="1"/>
  <c r="K69" i="1" s="1"/>
  <c r="J1812" i="1" a="1"/>
  <c r="J1812" i="1" s="1"/>
  <c r="L1812" i="1"/>
  <c r="K1812" i="1" a="1"/>
  <c r="K1812" i="1" s="1"/>
  <c r="J1672" i="1" a="1"/>
  <c r="J1672" i="1" s="1"/>
  <c r="L1672" i="1"/>
  <c r="K1672" i="1" a="1"/>
  <c r="K1672" i="1" s="1"/>
  <c r="J1405" i="1" a="1"/>
  <c r="J1405" i="1" s="1"/>
  <c r="L1405" i="1"/>
  <c r="K1405" i="1" a="1"/>
  <c r="K1405" i="1" s="1"/>
  <c r="J1285" i="1" a="1"/>
  <c r="J1285" i="1" s="1"/>
  <c r="L1285" i="1"/>
  <c r="K1285" i="1" a="1"/>
  <c r="K1285" i="1" s="1"/>
  <c r="J1185" i="1" a="1"/>
  <c r="J1185" i="1" s="1"/>
  <c r="L1185" i="1"/>
  <c r="K1185" i="1" a="1"/>
  <c r="K1185" i="1" s="1"/>
  <c r="J1105" i="1" a="1"/>
  <c r="J1105" i="1" s="1"/>
  <c r="L1105" i="1"/>
  <c r="K1105" i="1" a="1"/>
  <c r="K1105" i="1" s="1"/>
  <c r="J1005" i="1" a="1"/>
  <c r="J1005" i="1" s="1"/>
  <c r="L1005" i="1"/>
  <c r="K1005" i="1" a="1"/>
  <c r="K1005" i="1" s="1"/>
  <c r="J905" i="1" a="1"/>
  <c r="J905" i="1" s="1"/>
  <c r="L905" i="1"/>
  <c r="K905" i="1" a="1"/>
  <c r="K905" i="1" s="1"/>
  <c r="J805" i="1" a="1"/>
  <c r="J805" i="1" s="1"/>
  <c r="L805" i="1"/>
  <c r="K805" i="1" a="1"/>
  <c r="K805" i="1" s="1"/>
  <c r="J745" i="1" a="1"/>
  <c r="J745" i="1" s="1"/>
  <c r="L745" i="1"/>
  <c r="K745" i="1" a="1"/>
  <c r="K745" i="1" s="1"/>
  <c r="J685" i="1" a="1"/>
  <c r="J685" i="1" s="1"/>
  <c r="L685" i="1"/>
  <c r="K685" i="1" a="1"/>
  <c r="K685" i="1" s="1"/>
  <c r="J625" i="1" a="1"/>
  <c r="J625" i="1" s="1"/>
  <c r="L625" i="1"/>
  <c r="K625" i="1" a="1"/>
  <c r="K625" i="1" s="1"/>
  <c r="J565" i="1" a="1"/>
  <c r="J565" i="1" s="1"/>
  <c r="L565" i="1"/>
  <c r="K565" i="1" a="1"/>
  <c r="K565" i="1" s="1"/>
  <c r="J505" i="1" a="1"/>
  <c r="J505" i="1" s="1"/>
  <c r="L505" i="1"/>
  <c r="K505" i="1" a="1"/>
  <c r="K505" i="1" s="1"/>
  <c r="J465" i="1" a="1"/>
  <c r="J465" i="1" s="1"/>
  <c r="L465" i="1"/>
  <c r="K465" i="1" a="1"/>
  <c r="K465" i="1" s="1"/>
  <c r="J385" i="1" a="1"/>
  <c r="J385" i="1" s="1"/>
  <c r="L385" i="1"/>
  <c r="K385" i="1" a="1"/>
  <c r="K385" i="1" s="1"/>
  <c r="J285" i="1" a="1"/>
  <c r="J285" i="1" s="1"/>
  <c r="L285" i="1"/>
  <c r="K285" i="1" a="1"/>
  <c r="K285" i="1" s="1"/>
  <c r="J25" i="1" a="1"/>
  <c r="J25" i="1" s="1"/>
  <c r="L25" i="1"/>
  <c r="K25" i="1" a="1"/>
  <c r="K25" i="1" s="1"/>
  <c r="J1731" i="1" a="1"/>
  <c r="J1731" i="1" s="1"/>
  <c r="L1731" i="1"/>
  <c r="K1731" i="1" a="1"/>
  <c r="K1731" i="1" s="1"/>
  <c r="J1651" i="1" a="1"/>
  <c r="J1651" i="1" s="1"/>
  <c r="L1651" i="1"/>
  <c r="K1651" i="1" a="1"/>
  <c r="K1651" i="1" s="1"/>
  <c r="J1571" i="1" a="1"/>
  <c r="J1571" i="1" s="1"/>
  <c r="L1571" i="1"/>
  <c r="K1571" i="1" a="1"/>
  <c r="K1571" i="1" s="1"/>
  <c r="J1364" i="1" a="1"/>
  <c r="J1364" i="1" s="1"/>
  <c r="L1364" i="1"/>
  <c r="K1364" i="1" a="1"/>
  <c r="K1364" i="1" s="1"/>
  <c r="J1284" i="1" a="1"/>
  <c r="J1284" i="1" s="1"/>
  <c r="L1284" i="1"/>
  <c r="K1284" i="1" a="1"/>
  <c r="K1284" i="1" s="1"/>
  <c r="J1224" i="1" a="1"/>
  <c r="J1224" i="1" s="1"/>
  <c r="L1224" i="1"/>
  <c r="K1224" i="1" a="1"/>
  <c r="K1224" i="1" s="1"/>
  <c r="J1144" i="1" a="1"/>
  <c r="J1144" i="1" s="1"/>
  <c r="L1144" i="1"/>
  <c r="K1144" i="1" a="1"/>
  <c r="K1144" i="1" s="1"/>
  <c r="J1084" i="1" a="1"/>
  <c r="J1084" i="1" s="1"/>
  <c r="L1084" i="1"/>
  <c r="K1084" i="1" a="1"/>
  <c r="K1084" i="1" s="1"/>
  <c r="J1024" i="1" a="1"/>
  <c r="J1024" i="1" s="1"/>
  <c r="L1024" i="1"/>
  <c r="K1024" i="1" a="1"/>
  <c r="K1024" i="1" s="1"/>
  <c r="J984" i="1" a="1"/>
  <c r="J984" i="1" s="1"/>
  <c r="L984" i="1"/>
  <c r="K984" i="1" a="1"/>
  <c r="K984" i="1" s="1"/>
  <c r="J924" i="1" a="1"/>
  <c r="J924" i="1" s="1"/>
  <c r="L924" i="1"/>
  <c r="K924" i="1" a="1"/>
  <c r="K924" i="1" s="1"/>
  <c r="J884" i="1" a="1"/>
  <c r="J884" i="1" s="1"/>
  <c r="L884" i="1"/>
  <c r="K884" i="1" a="1"/>
  <c r="K884" i="1" s="1"/>
  <c r="J824" i="1" a="1"/>
  <c r="J824" i="1" s="1"/>
  <c r="L824" i="1"/>
  <c r="K824" i="1" a="1"/>
  <c r="K824" i="1" s="1"/>
  <c r="J764" i="1" a="1"/>
  <c r="J764" i="1" s="1"/>
  <c r="L764" i="1"/>
  <c r="K764" i="1" a="1"/>
  <c r="K764" i="1" s="1"/>
  <c r="J684" i="1" a="1"/>
  <c r="J684" i="1" s="1"/>
  <c r="L684" i="1"/>
  <c r="K684" i="1" a="1"/>
  <c r="K684" i="1" s="1"/>
  <c r="J644" i="1" a="1"/>
  <c r="J644" i="1" s="1"/>
  <c r="L644" i="1"/>
  <c r="K644" i="1" a="1"/>
  <c r="K644" i="1" s="1"/>
  <c r="J584" i="1" a="1"/>
  <c r="J584" i="1" s="1"/>
  <c r="L584" i="1"/>
  <c r="K584" i="1" a="1"/>
  <c r="K584" i="1" s="1"/>
  <c r="J524" i="1" a="1"/>
  <c r="J524" i="1" s="1"/>
  <c r="L524" i="1"/>
  <c r="K524" i="1" a="1"/>
  <c r="K524" i="1" s="1"/>
  <c r="J444" i="1" a="1"/>
  <c r="J444" i="1" s="1"/>
  <c r="L444" i="1"/>
  <c r="K444" i="1" a="1"/>
  <c r="K444" i="1" s="1"/>
  <c r="J364" i="1" a="1"/>
  <c r="J364" i="1" s="1"/>
  <c r="L364" i="1"/>
  <c r="K364" i="1" a="1"/>
  <c r="K364" i="1" s="1"/>
  <c r="J264" i="1" a="1"/>
  <c r="J264" i="1" s="1"/>
  <c r="L264" i="1"/>
  <c r="K264" i="1" a="1"/>
  <c r="K264" i="1" s="1"/>
  <c r="J4" i="1" a="1"/>
  <c r="J4" i="1" s="1"/>
  <c r="L4" i="1"/>
  <c r="K4" i="1" a="1"/>
  <c r="K4" i="1" s="1"/>
  <c r="J1790" i="1" a="1"/>
  <c r="J1790" i="1" s="1"/>
  <c r="L1790" i="1"/>
  <c r="K1790" i="1" a="1"/>
  <c r="K1790" i="1" s="1"/>
  <c r="J1770" i="1" a="1"/>
  <c r="J1770" i="1" s="1"/>
  <c r="L1770" i="1"/>
  <c r="K1770" i="1" a="1"/>
  <c r="K1770" i="1" s="1"/>
  <c r="J1710" i="1" a="1"/>
  <c r="J1710" i="1" s="1"/>
  <c r="L1710" i="1"/>
  <c r="K1710" i="1" a="1"/>
  <c r="K1710" i="1" s="1"/>
  <c r="J1630" i="1" a="1"/>
  <c r="J1630" i="1" s="1"/>
  <c r="L1630" i="1"/>
  <c r="K1630" i="1" a="1"/>
  <c r="K1630" i="1" s="1"/>
  <c r="J1323" i="1" a="1"/>
  <c r="J1323" i="1" s="1"/>
  <c r="L1323" i="1"/>
  <c r="K1323" i="1" a="1"/>
  <c r="K1323" i="1" s="1"/>
  <c r="J1825" i="1" a="1"/>
  <c r="J1825" i="1" s="1"/>
  <c r="L1825" i="1"/>
  <c r="K1825" i="1" a="1"/>
  <c r="K1825" i="1" s="1"/>
  <c r="J1805" i="1" a="1"/>
  <c r="J1805" i="1" s="1"/>
  <c r="L1805" i="1"/>
  <c r="K1805" i="1" a="1"/>
  <c r="K1805" i="1" s="1"/>
  <c r="J1785" i="1" a="1"/>
  <c r="J1785" i="1" s="1"/>
  <c r="L1785" i="1"/>
  <c r="K1785" i="1" a="1"/>
  <c r="K1785" i="1" s="1"/>
  <c r="J1765" i="1" a="1"/>
  <c r="J1765" i="1" s="1"/>
  <c r="L1765" i="1"/>
  <c r="K1765" i="1" a="1"/>
  <c r="K1765" i="1" s="1"/>
  <c r="J1745" i="1" a="1"/>
  <c r="J1745" i="1" s="1"/>
  <c r="L1745" i="1"/>
  <c r="K1745" i="1" a="1"/>
  <c r="K1745" i="1" s="1"/>
  <c r="J1725" i="1" a="1"/>
  <c r="J1725" i="1" s="1"/>
  <c r="L1725" i="1"/>
  <c r="K1725" i="1" a="1"/>
  <c r="K1725" i="1" s="1"/>
  <c r="J1705" i="1" a="1"/>
  <c r="J1705" i="1" s="1"/>
  <c r="L1705" i="1"/>
  <c r="K1705" i="1" a="1"/>
  <c r="K1705" i="1" s="1"/>
  <c r="J1685" i="1" a="1"/>
  <c r="J1685" i="1" s="1"/>
  <c r="L1685" i="1"/>
  <c r="K1685" i="1" a="1"/>
  <c r="K1685" i="1" s="1"/>
  <c r="J1665" i="1" a="1"/>
  <c r="J1665" i="1" s="1"/>
  <c r="L1665" i="1"/>
  <c r="K1665" i="1" a="1"/>
  <c r="K1665" i="1" s="1"/>
  <c r="J1645" i="1" a="1"/>
  <c r="J1645" i="1" s="1"/>
  <c r="L1645" i="1"/>
  <c r="K1645" i="1" a="1"/>
  <c r="K1645" i="1" s="1"/>
  <c r="J1625" i="1" a="1"/>
  <c r="J1625" i="1" s="1"/>
  <c r="L1625" i="1"/>
  <c r="K1625" i="1" a="1"/>
  <c r="K1625" i="1" s="1"/>
  <c r="J1605" i="1" a="1"/>
  <c r="J1605" i="1" s="1"/>
  <c r="L1605" i="1"/>
  <c r="K1605" i="1" a="1"/>
  <c r="K1605" i="1" s="1"/>
  <c r="J1585" i="1" a="1"/>
  <c r="J1585" i="1" s="1"/>
  <c r="L1585" i="1"/>
  <c r="K1585" i="1" a="1"/>
  <c r="K1585" i="1" s="1"/>
  <c r="J1438" i="1" a="1"/>
  <c r="J1438" i="1" s="1"/>
  <c r="L1438" i="1"/>
  <c r="K1438" i="1" a="1"/>
  <c r="K1438" i="1" s="1"/>
  <c r="J1418" i="1" a="1"/>
  <c r="J1418" i="1" s="1"/>
  <c r="L1418" i="1"/>
  <c r="K1418" i="1" a="1"/>
  <c r="K1418" i="1" s="1"/>
  <c r="J1398" i="1" a="1"/>
  <c r="J1398" i="1" s="1"/>
  <c r="L1398" i="1"/>
  <c r="K1398" i="1" a="1"/>
  <c r="K1398" i="1" s="1"/>
  <c r="J1378" i="1" a="1"/>
  <c r="J1378" i="1" s="1"/>
  <c r="L1378" i="1"/>
  <c r="K1378" i="1" a="1"/>
  <c r="K1378" i="1" s="1"/>
  <c r="J1358" i="1" a="1"/>
  <c r="J1358" i="1" s="1"/>
  <c r="L1358" i="1"/>
  <c r="K1358" i="1" a="1"/>
  <c r="K1358" i="1" s="1"/>
  <c r="J1338" i="1" a="1"/>
  <c r="J1338" i="1" s="1"/>
  <c r="L1338" i="1"/>
  <c r="K1338" i="1" a="1"/>
  <c r="K1338" i="1" s="1"/>
  <c r="J1318" i="1" a="1"/>
  <c r="J1318" i="1" s="1"/>
  <c r="L1318" i="1"/>
  <c r="K1318" i="1" a="1"/>
  <c r="K1318" i="1" s="1"/>
  <c r="J1298" i="1" a="1"/>
  <c r="J1298" i="1" s="1"/>
  <c r="L1298" i="1"/>
  <c r="K1298" i="1" a="1"/>
  <c r="K1298" i="1" s="1"/>
  <c r="J1278" i="1" a="1"/>
  <c r="J1278" i="1" s="1"/>
  <c r="L1278" i="1"/>
  <c r="K1278" i="1" a="1"/>
  <c r="K1278" i="1" s="1"/>
  <c r="J1258" i="1" a="1"/>
  <c r="J1258" i="1" s="1"/>
  <c r="L1258" i="1"/>
  <c r="K1258" i="1" a="1"/>
  <c r="K1258" i="1" s="1"/>
  <c r="J1238" i="1" a="1"/>
  <c r="J1238" i="1" s="1"/>
  <c r="L1238" i="1"/>
  <c r="K1238" i="1" a="1"/>
  <c r="K1238" i="1" s="1"/>
  <c r="J1218" i="1" a="1"/>
  <c r="J1218" i="1" s="1"/>
  <c r="L1218" i="1"/>
  <c r="K1218" i="1" a="1"/>
  <c r="K1218" i="1" s="1"/>
  <c r="J1198" i="1" a="1"/>
  <c r="J1198" i="1" s="1"/>
  <c r="L1198" i="1"/>
  <c r="K1198" i="1" a="1"/>
  <c r="K1198" i="1" s="1"/>
  <c r="J1178" i="1" a="1"/>
  <c r="J1178" i="1" s="1"/>
  <c r="L1178" i="1"/>
  <c r="K1178" i="1" a="1"/>
  <c r="K1178" i="1" s="1"/>
  <c r="J1158" i="1" a="1"/>
  <c r="J1158" i="1" s="1"/>
  <c r="L1158" i="1"/>
  <c r="K1158" i="1" a="1"/>
  <c r="K1158" i="1" s="1"/>
  <c r="J1138" i="1" a="1"/>
  <c r="J1138" i="1" s="1"/>
  <c r="L1138" i="1"/>
  <c r="K1138" i="1" a="1"/>
  <c r="K1138" i="1" s="1"/>
  <c r="J1118" i="1" a="1"/>
  <c r="J1118" i="1" s="1"/>
  <c r="L1118" i="1"/>
  <c r="K1118" i="1" a="1"/>
  <c r="K1118" i="1" s="1"/>
  <c r="J1098" i="1" a="1"/>
  <c r="J1098" i="1" s="1"/>
  <c r="L1098" i="1"/>
  <c r="K1098" i="1" a="1"/>
  <c r="K1098" i="1" s="1"/>
  <c r="J1078" i="1" a="1"/>
  <c r="J1078" i="1" s="1"/>
  <c r="L1078" i="1"/>
  <c r="K1078" i="1" a="1"/>
  <c r="K1078" i="1" s="1"/>
  <c r="J1058" i="1" a="1"/>
  <c r="J1058" i="1" s="1"/>
  <c r="L1058" i="1"/>
  <c r="K1058" i="1" a="1"/>
  <c r="K1058" i="1" s="1"/>
  <c r="J1038" i="1" a="1"/>
  <c r="J1038" i="1" s="1"/>
  <c r="L1038" i="1"/>
  <c r="K1038" i="1" a="1"/>
  <c r="K1038" i="1" s="1"/>
  <c r="J1018" i="1" a="1"/>
  <c r="J1018" i="1" s="1"/>
  <c r="L1018" i="1"/>
  <c r="K1018" i="1" a="1"/>
  <c r="K1018" i="1" s="1"/>
  <c r="J998" i="1" a="1"/>
  <c r="J998" i="1" s="1"/>
  <c r="L998" i="1"/>
  <c r="K998" i="1" a="1"/>
  <c r="K998" i="1" s="1"/>
  <c r="J978" i="1" a="1"/>
  <c r="J978" i="1" s="1"/>
  <c r="L978" i="1"/>
  <c r="K978" i="1" a="1"/>
  <c r="K978" i="1" s="1"/>
  <c r="J958" i="1" a="1"/>
  <c r="J958" i="1" s="1"/>
  <c r="L958" i="1"/>
  <c r="K958" i="1" a="1"/>
  <c r="K958" i="1" s="1"/>
  <c r="J938" i="1" a="1"/>
  <c r="J938" i="1" s="1"/>
  <c r="L938" i="1"/>
  <c r="K938" i="1" a="1"/>
  <c r="K938" i="1" s="1"/>
  <c r="J918" i="1" a="1"/>
  <c r="J918" i="1" s="1"/>
  <c r="L918" i="1"/>
  <c r="K918" i="1" a="1"/>
  <c r="K918" i="1" s="1"/>
  <c r="J898" i="1" a="1"/>
  <c r="J898" i="1" s="1"/>
  <c r="L898" i="1"/>
  <c r="K898" i="1" a="1"/>
  <c r="K898" i="1" s="1"/>
  <c r="J878" i="1" a="1"/>
  <c r="J878" i="1" s="1"/>
  <c r="L878" i="1"/>
  <c r="K878" i="1" a="1"/>
  <c r="K878" i="1" s="1"/>
  <c r="J858" i="1" a="1"/>
  <c r="J858" i="1" s="1"/>
  <c r="L858" i="1"/>
  <c r="K858" i="1" a="1"/>
  <c r="K858" i="1" s="1"/>
  <c r="J838" i="1" a="1"/>
  <c r="J838" i="1" s="1"/>
  <c r="L838" i="1"/>
  <c r="K838" i="1" a="1"/>
  <c r="K838" i="1" s="1"/>
  <c r="J818" i="1" a="1"/>
  <c r="J818" i="1" s="1"/>
  <c r="L818" i="1"/>
  <c r="K818" i="1" a="1"/>
  <c r="K818" i="1" s="1"/>
  <c r="J798" i="1" a="1"/>
  <c r="J798" i="1" s="1"/>
  <c r="L798" i="1"/>
  <c r="K798" i="1" a="1"/>
  <c r="K798" i="1" s="1"/>
  <c r="J778" i="1" a="1"/>
  <c r="J778" i="1" s="1"/>
  <c r="L778" i="1"/>
  <c r="K778" i="1" a="1"/>
  <c r="K778" i="1" s="1"/>
  <c r="J758" i="1" a="1"/>
  <c r="J758" i="1" s="1"/>
  <c r="L758" i="1"/>
  <c r="K758" i="1" a="1"/>
  <c r="K758" i="1" s="1"/>
  <c r="J738" i="1" a="1"/>
  <c r="J738" i="1" s="1"/>
  <c r="L738" i="1"/>
  <c r="K738" i="1" a="1"/>
  <c r="K738" i="1" s="1"/>
  <c r="J718" i="1" a="1"/>
  <c r="J718" i="1" s="1"/>
  <c r="L718" i="1"/>
  <c r="K718" i="1" a="1"/>
  <c r="K718" i="1" s="1"/>
  <c r="J698" i="1" a="1"/>
  <c r="J698" i="1" s="1"/>
  <c r="L698" i="1"/>
  <c r="K698" i="1" a="1"/>
  <c r="K698" i="1" s="1"/>
  <c r="J678" i="1" a="1"/>
  <c r="J678" i="1" s="1"/>
  <c r="L678" i="1"/>
  <c r="K678" i="1" a="1"/>
  <c r="K678" i="1" s="1"/>
  <c r="J658" i="1" a="1"/>
  <c r="J658" i="1" s="1"/>
  <c r="L658" i="1"/>
  <c r="K658" i="1" a="1"/>
  <c r="K658" i="1" s="1"/>
  <c r="J638" i="1" a="1"/>
  <c r="J638" i="1" s="1"/>
  <c r="L638" i="1"/>
  <c r="K638" i="1" a="1"/>
  <c r="K638" i="1" s="1"/>
  <c r="J618" i="1" a="1"/>
  <c r="J618" i="1" s="1"/>
  <c r="L618" i="1"/>
  <c r="K618" i="1" a="1"/>
  <c r="K618" i="1" s="1"/>
  <c r="J598" i="1" a="1"/>
  <c r="J598" i="1" s="1"/>
  <c r="L598" i="1"/>
  <c r="K598" i="1" a="1"/>
  <c r="K598" i="1" s="1"/>
  <c r="J578" i="1" a="1"/>
  <c r="J578" i="1" s="1"/>
  <c r="L578" i="1"/>
  <c r="K578" i="1" a="1"/>
  <c r="K578" i="1" s="1"/>
  <c r="J558" i="1" a="1"/>
  <c r="J558" i="1" s="1"/>
  <c r="L558" i="1"/>
  <c r="K558" i="1" a="1"/>
  <c r="K558" i="1" s="1"/>
  <c r="J538" i="1" a="1"/>
  <c r="J538" i="1" s="1"/>
  <c r="L538" i="1"/>
  <c r="K538" i="1" a="1"/>
  <c r="K538" i="1" s="1"/>
  <c r="J518" i="1" a="1"/>
  <c r="J518" i="1" s="1"/>
  <c r="L518" i="1"/>
  <c r="K518" i="1" a="1"/>
  <c r="K518" i="1" s="1"/>
  <c r="J498" i="1" a="1"/>
  <c r="J498" i="1" s="1"/>
  <c r="L498" i="1"/>
  <c r="K498" i="1" a="1"/>
  <c r="K498" i="1" s="1"/>
  <c r="J478" i="1" a="1"/>
  <c r="J478" i="1" s="1"/>
  <c r="L478" i="1"/>
  <c r="K478" i="1" a="1"/>
  <c r="K478" i="1" s="1"/>
  <c r="J458" i="1" a="1"/>
  <c r="J458" i="1" s="1"/>
  <c r="L458" i="1"/>
  <c r="K458" i="1" a="1"/>
  <c r="K458" i="1" s="1"/>
  <c r="J438" i="1" a="1"/>
  <c r="J438" i="1" s="1"/>
  <c r="L438" i="1"/>
  <c r="K438" i="1" a="1"/>
  <c r="K438" i="1" s="1"/>
  <c r="J418" i="1" a="1"/>
  <c r="J418" i="1" s="1"/>
  <c r="L418" i="1"/>
  <c r="K418" i="1" a="1"/>
  <c r="K418" i="1" s="1"/>
  <c r="J398" i="1" a="1"/>
  <c r="J398" i="1" s="1"/>
  <c r="L398" i="1"/>
  <c r="K398" i="1" a="1"/>
  <c r="K398" i="1" s="1"/>
  <c r="J378" i="1" a="1"/>
  <c r="J378" i="1" s="1"/>
  <c r="L378" i="1"/>
  <c r="K378" i="1" a="1"/>
  <c r="K378" i="1" s="1"/>
  <c r="J358" i="1" a="1"/>
  <c r="J358" i="1" s="1"/>
  <c r="L358" i="1"/>
  <c r="K358" i="1" a="1"/>
  <c r="K358" i="1" s="1"/>
  <c r="J338" i="1" a="1"/>
  <c r="J338" i="1" s="1"/>
  <c r="L338" i="1"/>
  <c r="K338" i="1" a="1"/>
  <c r="K338" i="1" s="1"/>
  <c r="J318" i="1" a="1"/>
  <c r="J318" i="1" s="1"/>
  <c r="L318" i="1"/>
  <c r="K318" i="1" a="1"/>
  <c r="K318" i="1" s="1"/>
  <c r="J298" i="1" a="1"/>
  <c r="J298" i="1" s="1"/>
  <c r="L298" i="1"/>
  <c r="K298" i="1" a="1"/>
  <c r="K298" i="1" s="1"/>
  <c r="J278" i="1" a="1"/>
  <c r="J278" i="1" s="1"/>
  <c r="L278" i="1"/>
  <c r="K278" i="1" a="1"/>
  <c r="K278" i="1" s="1"/>
  <c r="J258" i="1" a="1"/>
  <c r="J258" i="1" s="1"/>
  <c r="L258" i="1"/>
  <c r="K258" i="1" a="1"/>
  <c r="K258" i="1" s="1"/>
  <c r="J238" i="1" a="1"/>
  <c r="J238" i="1" s="1"/>
  <c r="L238" i="1"/>
  <c r="K238" i="1" a="1"/>
  <c r="K238" i="1" s="1"/>
  <c r="J218" i="1" a="1"/>
  <c r="J218" i="1" s="1"/>
  <c r="L218" i="1"/>
  <c r="K218" i="1" a="1"/>
  <c r="K218" i="1" s="1"/>
  <c r="J198" i="1" a="1"/>
  <c r="J198" i="1" s="1"/>
  <c r="L198" i="1"/>
  <c r="K198" i="1" a="1"/>
  <c r="K198" i="1" s="1"/>
  <c r="J178" i="1" a="1"/>
  <c r="J178" i="1" s="1"/>
  <c r="L178" i="1"/>
  <c r="K178" i="1" a="1"/>
  <c r="K178" i="1" s="1"/>
  <c r="J158" i="1" a="1"/>
  <c r="J158" i="1" s="1"/>
  <c r="L158" i="1"/>
  <c r="K158" i="1" a="1"/>
  <c r="K158" i="1" s="1"/>
  <c r="J138" i="1" a="1"/>
  <c r="J138" i="1" s="1"/>
  <c r="L138" i="1"/>
  <c r="K138" i="1" a="1"/>
  <c r="K138" i="1" s="1"/>
  <c r="J118" i="1" a="1"/>
  <c r="J118" i="1" s="1"/>
  <c r="L118" i="1"/>
  <c r="K118" i="1" a="1"/>
  <c r="K118" i="1" s="1"/>
  <c r="J98" i="1" a="1"/>
  <c r="J98" i="1" s="1"/>
  <c r="L98" i="1"/>
  <c r="K98" i="1" a="1"/>
  <c r="K98" i="1" s="1"/>
  <c r="J78" i="1" a="1"/>
  <c r="J78" i="1" s="1"/>
  <c r="L78" i="1"/>
  <c r="K78" i="1" a="1"/>
  <c r="K78" i="1" s="1"/>
  <c r="J58" i="1" a="1"/>
  <c r="J58" i="1" s="1"/>
  <c r="L58" i="1"/>
  <c r="K58" i="1" a="1"/>
  <c r="K58" i="1" s="1"/>
  <c r="J38" i="1" a="1"/>
  <c r="J38" i="1" s="1"/>
  <c r="L38" i="1"/>
  <c r="K38" i="1" a="1"/>
  <c r="K38" i="1" s="1"/>
  <c r="J18" i="1" a="1"/>
  <c r="J18" i="1" s="1"/>
  <c r="L18" i="1"/>
  <c r="K18" i="1" a="1"/>
  <c r="K18" i="1" s="1"/>
  <c r="J1824" i="1" a="1"/>
  <c r="J1824" i="1" s="1"/>
  <c r="L1824" i="1"/>
  <c r="K1824" i="1" a="1"/>
  <c r="K1824" i="1" s="1"/>
  <c r="J1804" i="1" a="1"/>
  <c r="J1804" i="1" s="1"/>
  <c r="L1804" i="1"/>
  <c r="K1804" i="1" a="1"/>
  <c r="K1804" i="1" s="1"/>
  <c r="J1784" i="1" a="1"/>
  <c r="J1784" i="1" s="1"/>
  <c r="L1784" i="1"/>
  <c r="K1784" i="1" a="1"/>
  <c r="K1784" i="1" s="1"/>
  <c r="J1764" i="1" a="1"/>
  <c r="J1764" i="1" s="1"/>
  <c r="L1764" i="1"/>
  <c r="K1764" i="1" a="1"/>
  <c r="K1764" i="1" s="1"/>
  <c r="J1744" i="1" a="1"/>
  <c r="J1744" i="1" s="1"/>
  <c r="L1744" i="1"/>
  <c r="K1744" i="1" a="1"/>
  <c r="K1744" i="1" s="1"/>
  <c r="J1724" i="1" a="1"/>
  <c r="J1724" i="1" s="1"/>
  <c r="L1724" i="1"/>
  <c r="K1724" i="1" a="1"/>
  <c r="K1724" i="1" s="1"/>
  <c r="J1704" i="1" a="1"/>
  <c r="J1704" i="1" s="1"/>
  <c r="L1704" i="1"/>
  <c r="K1704" i="1" a="1"/>
  <c r="K1704" i="1" s="1"/>
  <c r="J1684" i="1" a="1"/>
  <c r="J1684" i="1" s="1"/>
  <c r="L1684" i="1"/>
  <c r="K1684" i="1" a="1"/>
  <c r="K1684" i="1" s="1"/>
  <c r="J1664" i="1" a="1"/>
  <c r="J1664" i="1" s="1"/>
  <c r="L1664" i="1"/>
  <c r="K1664" i="1" a="1"/>
  <c r="K1664" i="1" s="1"/>
  <c r="J1644" i="1" a="1"/>
  <c r="J1644" i="1" s="1"/>
  <c r="L1644" i="1"/>
  <c r="K1644" i="1" a="1"/>
  <c r="K1644" i="1" s="1"/>
  <c r="J1624" i="1" a="1"/>
  <c r="J1624" i="1" s="1"/>
  <c r="L1624" i="1"/>
  <c r="K1624" i="1" a="1"/>
  <c r="K1624" i="1" s="1"/>
  <c r="J1604" i="1" a="1"/>
  <c r="J1604" i="1" s="1"/>
  <c r="L1604" i="1"/>
  <c r="K1604" i="1" a="1"/>
  <c r="K1604" i="1" s="1"/>
  <c r="J1584" i="1" a="1"/>
  <c r="J1584" i="1" s="1"/>
  <c r="L1584" i="1"/>
  <c r="K1584" i="1" a="1"/>
  <c r="K1584" i="1" s="1"/>
  <c r="J1437" i="1" a="1"/>
  <c r="J1437" i="1" s="1"/>
  <c r="L1437" i="1"/>
  <c r="K1437" i="1" a="1"/>
  <c r="K1437" i="1" s="1"/>
  <c r="J1417" i="1" a="1"/>
  <c r="J1417" i="1" s="1"/>
  <c r="L1417" i="1"/>
  <c r="K1417" i="1" a="1"/>
  <c r="K1417" i="1" s="1"/>
  <c r="J1397" i="1" a="1"/>
  <c r="J1397" i="1" s="1"/>
  <c r="L1397" i="1"/>
  <c r="K1397" i="1" a="1"/>
  <c r="K1397" i="1" s="1"/>
  <c r="J1377" i="1" a="1"/>
  <c r="J1377" i="1" s="1"/>
  <c r="L1377" i="1"/>
  <c r="K1377" i="1" a="1"/>
  <c r="K1377" i="1" s="1"/>
  <c r="J1357" i="1" a="1"/>
  <c r="J1357" i="1" s="1"/>
  <c r="L1357" i="1"/>
  <c r="K1357" i="1" a="1"/>
  <c r="K1357" i="1" s="1"/>
  <c r="J1337" i="1" a="1"/>
  <c r="J1337" i="1" s="1"/>
  <c r="L1337" i="1"/>
  <c r="K1337" i="1" a="1"/>
  <c r="K1337" i="1" s="1"/>
  <c r="J1317" i="1" a="1"/>
  <c r="J1317" i="1" s="1"/>
  <c r="L1317" i="1"/>
  <c r="K1317" i="1" a="1"/>
  <c r="K1317" i="1" s="1"/>
  <c r="J1297" i="1" a="1"/>
  <c r="J1297" i="1" s="1"/>
  <c r="L1297" i="1"/>
  <c r="K1297" i="1" a="1"/>
  <c r="K1297" i="1" s="1"/>
  <c r="J1277" i="1" a="1"/>
  <c r="J1277" i="1" s="1"/>
  <c r="L1277" i="1"/>
  <c r="K1277" i="1" a="1"/>
  <c r="K1277" i="1" s="1"/>
  <c r="J1257" i="1" a="1"/>
  <c r="J1257" i="1" s="1"/>
  <c r="L1257" i="1"/>
  <c r="K1257" i="1" a="1"/>
  <c r="K1257" i="1" s="1"/>
  <c r="J1237" i="1" a="1"/>
  <c r="J1237" i="1" s="1"/>
  <c r="L1237" i="1"/>
  <c r="K1237" i="1" a="1"/>
  <c r="K1237" i="1" s="1"/>
  <c r="J1217" i="1" a="1"/>
  <c r="J1217" i="1" s="1"/>
  <c r="L1217" i="1"/>
  <c r="K1217" i="1" a="1"/>
  <c r="K1217" i="1" s="1"/>
  <c r="J1197" i="1" a="1"/>
  <c r="J1197" i="1" s="1"/>
  <c r="L1197" i="1"/>
  <c r="K1197" i="1" a="1"/>
  <c r="K1197" i="1" s="1"/>
  <c r="J1177" i="1" a="1"/>
  <c r="J1177" i="1" s="1"/>
  <c r="L1177" i="1"/>
  <c r="K1177" i="1" a="1"/>
  <c r="K1177" i="1" s="1"/>
  <c r="J1157" i="1" a="1"/>
  <c r="J1157" i="1" s="1"/>
  <c r="L1157" i="1"/>
  <c r="K1157" i="1" a="1"/>
  <c r="K1157" i="1" s="1"/>
  <c r="J1137" i="1" a="1"/>
  <c r="J1137" i="1" s="1"/>
  <c r="L1137" i="1"/>
  <c r="K1137" i="1" a="1"/>
  <c r="K1137" i="1" s="1"/>
  <c r="J1117" i="1" a="1"/>
  <c r="J1117" i="1" s="1"/>
  <c r="L1117" i="1"/>
  <c r="K1117" i="1" a="1"/>
  <c r="K1117" i="1" s="1"/>
  <c r="J1097" i="1" a="1"/>
  <c r="J1097" i="1" s="1"/>
  <c r="L1097" i="1"/>
  <c r="K1097" i="1" a="1"/>
  <c r="K1097" i="1" s="1"/>
  <c r="J1077" i="1" a="1"/>
  <c r="J1077" i="1" s="1"/>
  <c r="L1077" i="1"/>
  <c r="K1077" i="1" a="1"/>
  <c r="K1077" i="1" s="1"/>
  <c r="J1057" i="1" a="1"/>
  <c r="J1057" i="1" s="1"/>
  <c r="L1057" i="1"/>
  <c r="K1057" i="1" a="1"/>
  <c r="K1057" i="1" s="1"/>
  <c r="J1037" i="1" a="1"/>
  <c r="J1037" i="1" s="1"/>
  <c r="L1037" i="1"/>
  <c r="K1037" i="1" a="1"/>
  <c r="K1037" i="1" s="1"/>
  <c r="J1017" i="1" a="1"/>
  <c r="J1017" i="1" s="1"/>
  <c r="L1017" i="1"/>
  <c r="K1017" i="1" a="1"/>
  <c r="K1017" i="1" s="1"/>
  <c r="J997" i="1" a="1"/>
  <c r="J997" i="1" s="1"/>
  <c r="L997" i="1"/>
  <c r="K997" i="1" a="1"/>
  <c r="K997" i="1" s="1"/>
  <c r="J977" i="1" a="1"/>
  <c r="J977" i="1" s="1"/>
  <c r="L977" i="1"/>
  <c r="K977" i="1" a="1"/>
  <c r="K977" i="1" s="1"/>
  <c r="J957" i="1" a="1"/>
  <c r="J957" i="1" s="1"/>
  <c r="L957" i="1"/>
  <c r="K957" i="1" a="1"/>
  <c r="K957" i="1" s="1"/>
  <c r="J937" i="1" a="1"/>
  <c r="J937" i="1" s="1"/>
  <c r="L937" i="1"/>
  <c r="K937" i="1" a="1"/>
  <c r="K937" i="1" s="1"/>
  <c r="J917" i="1" a="1"/>
  <c r="J917" i="1" s="1"/>
  <c r="L917" i="1"/>
  <c r="K917" i="1" a="1"/>
  <c r="K917" i="1" s="1"/>
  <c r="J897" i="1" a="1"/>
  <c r="J897" i="1" s="1"/>
  <c r="L897" i="1"/>
  <c r="K897" i="1" a="1"/>
  <c r="K897" i="1" s="1"/>
  <c r="J877" i="1" a="1"/>
  <c r="J877" i="1" s="1"/>
  <c r="L877" i="1"/>
  <c r="K877" i="1" a="1"/>
  <c r="K877" i="1" s="1"/>
  <c r="J857" i="1" a="1"/>
  <c r="J857" i="1" s="1"/>
  <c r="L857" i="1"/>
  <c r="K857" i="1" a="1"/>
  <c r="K857" i="1" s="1"/>
  <c r="J837" i="1" a="1"/>
  <c r="J837" i="1" s="1"/>
  <c r="L837" i="1"/>
  <c r="K837" i="1" a="1"/>
  <c r="K837" i="1" s="1"/>
  <c r="J817" i="1" a="1"/>
  <c r="J817" i="1" s="1"/>
  <c r="L817" i="1"/>
  <c r="K817" i="1" a="1"/>
  <c r="K817" i="1" s="1"/>
  <c r="J797" i="1" a="1"/>
  <c r="J797" i="1" s="1"/>
  <c r="L797" i="1"/>
  <c r="K797" i="1" a="1"/>
  <c r="K797" i="1" s="1"/>
  <c r="J777" i="1" a="1"/>
  <c r="J777" i="1" s="1"/>
  <c r="L777" i="1"/>
  <c r="K777" i="1" a="1"/>
  <c r="K777" i="1" s="1"/>
  <c r="J757" i="1" a="1"/>
  <c r="J757" i="1" s="1"/>
  <c r="L757" i="1"/>
  <c r="K757" i="1" a="1"/>
  <c r="K757" i="1" s="1"/>
  <c r="J737" i="1" a="1"/>
  <c r="J737" i="1" s="1"/>
  <c r="L737" i="1"/>
  <c r="K737" i="1" a="1"/>
  <c r="K737" i="1" s="1"/>
  <c r="J717" i="1" a="1"/>
  <c r="J717" i="1" s="1"/>
  <c r="L717" i="1"/>
  <c r="K717" i="1" a="1"/>
  <c r="K717" i="1" s="1"/>
  <c r="J697" i="1" a="1"/>
  <c r="J697" i="1" s="1"/>
  <c r="L697" i="1"/>
  <c r="K697" i="1" a="1"/>
  <c r="K697" i="1" s="1"/>
  <c r="J677" i="1" a="1"/>
  <c r="J677" i="1" s="1"/>
  <c r="L677" i="1"/>
  <c r="K677" i="1" a="1"/>
  <c r="K677" i="1" s="1"/>
  <c r="J657" i="1" a="1"/>
  <c r="J657" i="1" s="1"/>
  <c r="L657" i="1"/>
  <c r="K657" i="1" a="1"/>
  <c r="K657" i="1" s="1"/>
  <c r="J637" i="1" a="1"/>
  <c r="J637" i="1" s="1"/>
  <c r="L637" i="1"/>
  <c r="K637" i="1" a="1"/>
  <c r="K637" i="1" s="1"/>
  <c r="J617" i="1" a="1"/>
  <c r="J617" i="1" s="1"/>
  <c r="L617" i="1"/>
  <c r="K617" i="1" a="1"/>
  <c r="K617" i="1" s="1"/>
  <c r="J597" i="1" a="1"/>
  <c r="J597" i="1" s="1"/>
  <c r="L597" i="1"/>
  <c r="K597" i="1" a="1"/>
  <c r="K597" i="1" s="1"/>
  <c r="J577" i="1" a="1"/>
  <c r="J577" i="1" s="1"/>
  <c r="L577" i="1"/>
  <c r="K577" i="1" a="1"/>
  <c r="K577" i="1" s="1"/>
  <c r="J557" i="1" a="1"/>
  <c r="J557" i="1" s="1"/>
  <c r="L557" i="1"/>
  <c r="K557" i="1" a="1"/>
  <c r="K557" i="1" s="1"/>
  <c r="J537" i="1" a="1"/>
  <c r="J537" i="1" s="1"/>
  <c r="L537" i="1"/>
  <c r="K537" i="1" a="1"/>
  <c r="K537" i="1" s="1"/>
  <c r="J517" i="1" a="1"/>
  <c r="J517" i="1" s="1"/>
  <c r="L517" i="1"/>
  <c r="K517" i="1" a="1"/>
  <c r="K517" i="1" s="1"/>
  <c r="J497" i="1" a="1"/>
  <c r="J497" i="1" s="1"/>
  <c r="L497" i="1"/>
  <c r="K497" i="1" a="1"/>
  <c r="K497" i="1" s="1"/>
  <c r="J477" i="1" a="1"/>
  <c r="J477" i="1" s="1"/>
  <c r="L477" i="1"/>
  <c r="K477" i="1" a="1"/>
  <c r="K477" i="1" s="1"/>
  <c r="J457" i="1" a="1"/>
  <c r="J457" i="1" s="1"/>
  <c r="L457" i="1"/>
  <c r="K457" i="1" a="1"/>
  <c r="K457" i="1" s="1"/>
  <c r="J437" i="1" a="1"/>
  <c r="J437" i="1" s="1"/>
  <c r="L437" i="1"/>
  <c r="K437" i="1" a="1"/>
  <c r="K437" i="1" s="1"/>
  <c r="J417" i="1" a="1"/>
  <c r="J417" i="1" s="1"/>
  <c r="L417" i="1"/>
  <c r="K417" i="1" a="1"/>
  <c r="K417" i="1" s="1"/>
  <c r="J397" i="1" a="1"/>
  <c r="J397" i="1" s="1"/>
  <c r="L397" i="1"/>
  <c r="K397" i="1" a="1"/>
  <c r="K397" i="1" s="1"/>
  <c r="J377" i="1" a="1"/>
  <c r="J377" i="1" s="1"/>
  <c r="L377" i="1"/>
  <c r="K377" i="1" a="1"/>
  <c r="K377" i="1" s="1"/>
  <c r="J357" i="1" a="1"/>
  <c r="J357" i="1" s="1"/>
  <c r="L357" i="1"/>
  <c r="K357" i="1" a="1"/>
  <c r="K357" i="1" s="1"/>
  <c r="J337" i="1" a="1"/>
  <c r="J337" i="1" s="1"/>
  <c r="L337" i="1"/>
  <c r="K337" i="1" a="1"/>
  <c r="K337" i="1" s="1"/>
  <c r="J317" i="1" a="1"/>
  <c r="J317" i="1" s="1"/>
  <c r="L317" i="1"/>
  <c r="K317" i="1" a="1"/>
  <c r="K317" i="1" s="1"/>
  <c r="J297" i="1" a="1"/>
  <c r="J297" i="1" s="1"/>
  <c r="L297" i="1"/>
  <c r="K297" i="1" a="1"/>
  <c r="K297" i="1" s="1"/>
  <c r="J277" i="1" a="1"/>
  <c r="J277" i="1" s="1"/>
  <c r="L277" i="1"/>
  <c r="K277" i="1" a="1"/>
  <c r="K277" i="1" s="1"/>
  <c r="J257" i="1" a="1"/>
  <c r="J257" i="1" s="1"/>
  <c r="L257" i="1"/>
  <c r="K257" i="1" a="1"/>
  <c r="K257" i="1" s="1"/>
  <c r="J237" i="1" a="1"/>
  <c r="J237" i="1" s="1"/>
  <c r="L237" i="1"/>
  <c r="K237" i="1" a="1"/>
  <c r="K237" i="1" s="1"/>
  <c r="J217" i="1" a="1"/>
  <c r="J217" i="1" s="1"/>
  <c r="L217" i="1"/>
  <c r="K217" i="1" a="1"/>
  <c r="K217" i="1" s="1"/>
  <c r="J197" i="1" a="1"/>
  <c r="J197" i="1" s="1"/>
  <c r="L197" i="1"/>
  <c r="K197" i="1" a="1"/>
  <c r="K197" i="1" s="1"/>
  <c r="J177" i="1" a="1"/>
  <c r="J177" i="1" s="1"/>
  <c r="L177" i="1"/>
  <c r="K177" i="1" a="1"/>
  <c r="K177" i="1" s="1"/>
  <c r="J157" i="1" a="1"/>
  <c r="J157" i="1" s="1"/>
  <c r="L157" i="1"/>
  <c r="K157" i="1" a="1"/>
  <c r="K157" i="1" s="1"/>
  <c r="J137" i="1" a="1"/>
  <c r="J137" i="1" s="1"/>
  <c r="L137" i="1"/>
  <c r="K137" i="1" a="1"/>
  <c r="K137" i="1" s="1"/>
  <c r="J117" i="1" a="1"/>
  <c r="J117" i="1" s="1"/>
  <c r="L117" i="1"/>
  <c r="K117" i="1" a="1"/>
  <c r="K117" i="1" s="1"/>
  <c r="J97" i="1" a="1"/>
  <c r="J97" i="1" s="1"/>
  <c r="L97" i="1"/>
  <c r="K97" i="1" a="1"/>
  <c r="K97" i="1" s="1"/>
  <c r="J77" i="1" a="1"/>
  <c r="J77" i="1" s="1"/>
  <c r="L77" i="1"/>
  <c r="K77" i="1" a="1"/>
  <c r="K77" i="1" s="1"/>
  <c r="J57" i="1" a="1"/>
  <c r="J57" i="1" s="1"/>
  <c r="L57" i="1"/>
  <c r="K57" i="1" a="1"/>
  <c r="K57" i="1" s="1"/>
  <c r="J37" i="1" a="1"/>
  <c r="J37" i="1" s="1"/>
  <c r="L37" i="1"/>
  <c r="K37" i="1" a="1"/>
  <c r="K37" i="1" s="1"/>
  <c r="J17" i="1" a="1"/>
  <c r="J17" i="1" s="1"/>
  <c r="L17" i="1"/>
  <c r="K17" i="1" a="1"/>
  <c r="K17" i="1" s="1"/>
  <c r="J1114" i="1" a="1"/>
  <c r="J1114" i="1" s="1"/>
  <c r="L1114" i="1"/>
  <c r="K1114" i="1" a="1"/>
  <c r="K1114" i="1" s="1"/>
  <c r="J974" i="1" a="1"/>
  <c r="J974" i="1" s="1"/>
  <c r="L974" i="1"/>
  <c r="K974" i="1" a="1"/>
  <c r="K974" i="1" s="1"/>
  <c r="J834" i="1" a="1"/>
  <c r="J834" i="1" s="1"/>
  <c r="L834" i="1"/>
  <c r="K834" i="1" a="1"/>
  <c r="K834" i="1" s="1"/>
  <c r="J714" i="1" a="1"/>
  <c r="J714" i="1" s="1"/>
  <c r="L714" i="1"/>
  <c r="K714" i="1" a="1"/>
  <c r="K714" i="1" s="1"/>
  <c r="J594" i="1" a="1"/>
  <c r="J594" i="1" s="1"/>
  <c r="L594" i="1"/>
  <c r="K594" i="1" a="1"/>
  <c r="K594" i="1" s="1"/>
  <c r="J454" i="1" a="1"/>
  <c r="J454" i="1" s="1"/>
  <c r="L454" i="1"/>
  <c r="K454" i="1" a="1"/>
  <c r="K454" i="1" s="1"/>
  <c r="J334" i="1" a="1"/>
  <c r="J334" i="1" s="1"/>
  <c r="L334" i="1"/>
  <c r="K334" i="1" a="1"/>
  <c r="K334" i="1" s="1"/>
  <c r="J94" i="1" a="1"/>
  <c r="J94" i="1" s="1"/>
  <c r="L94" i="1"/>
  <c r="K94" i="1" a="1"/>
  <c r="K94" i="1" s="1"/>
  <c r="J1760" i="1" a="1"/>
  <c r="J1760" i="1" s="1"/>
  <c r="L1760" i="1"/>
  <c r="K1760" i="1" a="1"/>
  <c r="K1760" i="1" s="1"/>
  <c r="J1580" i="1" a="1"/>
  <c r="J1580" i="1" s="1"/>
  <c r="L1580" i="1"/>
  <c r="K1580" i="1" a="1"/>
  <c r="K1580" i="1" s="1"/>
  <c r="J1313" i="1" a="1"/>
  <c r="J1313" i="1" s="1"/>
  <c r="L1313" i="1"/>
  <c r="K1313" i="1" a="1"/>
  <c r="K1313" i="1" s="1"/>
  <c r="J1173" i="1" a="1"/>
  <c r="J1173" i="1" s="1"/>
  <c r="L1173" i="1"/>
  <c r="K1173" i="1" a="1"/>
  <c r="K1173" i="1" s="1"/>
  <c r="J1033" i="1" a="1"/>
  <c r="J1033" i="1" s="1"/>
  <c r="L1033" i="1"/>
  <c r="K1033" i="1" a="1"/>
  <c r="K1033" i="1" s="1"/>
  <c r="J893" i="1" a="1"/>
  <c r="J893" i="1" s="1"/>
  <c r="L893" i="1"/>
  <c r="K893" i="1" a="1"/>
  <c r="K893" i="1" s="1"/>
  <c r="J753" i="1" a="1"/>
  <c r="J753" i="1" s="1"/>
  <c r="L753" i="1"/>
  <c r="K753" i="1" a="1"/>
  <c r="K753" i="1" s="1"/>
  <c r="J633" i="1" a="1"/>
  <c r="J633" i="1" s="1"/>
  <c r="L633" i="1"/>
  <c r="K633" i="1" a="1"/>
  <c r="K633" i="1" s="1"/>
  <c r="J513" i="1" a="1"/>
  <c r="J513" i="1" s="1"/>
  <c r="L513" i="1"/>
  <c r="K513" i="1" a="1"/>
  <c r="K513" i="1" s="1"/>
  <c r="J353" i="1" a="1"/>
  <c r="J353" i="1" s="1"/>
  <c r="L353" i="1"/>
  <c r="K353" i="1" a="1"/>
  <c r="K353" i="1" s="1"/>
  <c r="J53" i="1" a="1"/>
  <c r="J53" i="1" s="1"/>
  <c r="L53" i="1"/>
  <c r="K53" i="1" a="1"/>
  <c r="K53" i="1" s="1"/>
  <c r="J1779" i="1" a="1"/>
  <c r="J1779" i="1" s="1"/>
  <c r="L1779" i="1"/>
  <c r="K1779" i="1" a="1"/>
  <c r="K1779" i="1" s="1"/>
  <c r="J1639" i="1" a="1"/>
  <c r="J1639" i="1" s="1"/>
  <c r="L1639" i="1"/>
  <c r="K1639" i="1" a="1"/>
  <c r="K1639" i="1" s="1"/>
  <c r="J1352" i="1" a="1"/>
  <c r="J1352" i="1" s="1"/>
  <c r="L1352" i="1"/>
  <c r="K1352" i="1" a="1"/>
  <c r="K1352" i="1" s="1"/>
  <c r="J1192" i="1" a="1"/>
  <c r="J1192" i="1" s="1"/>
  <c r="L1192" i="1"/>
  <c r="K1192" i="1" a="1"/>
  <c r="K1192" i="1" s="1"/>
  <c r="J1032" i="1" a="1"/>
  <c r="J1032" i="1" s="1"/>
  <c r="L1032" i="1"/>
  <c r="K1032" i="1" a="1"/>
  <c r="K1032" i="1" s="1"/>
  <c r="J872" i="1" a="1"/>
  <c r="J872" i="1" s="1"/>
  <c r="L872" i="1"/>
  <c r="K872" i="1" a="1"/>
  <c r="K872" i="1" s="1"/>
  <c r="J732" i="1" a="1"/>
  <c r="J732" i="1" s="1"/>
  <c r="L732" i="1"/>
  <c r="K732" i="1" a="1"/>
  <c r="K732" i="1" s="1"/>
  <c r="J612" i="1" a="1"/>
  <c r="J612" i="1" s="1"/>
  <c r="L612" i="1"/>
  <c r="K612" i="1" a="1"/>
  <c r="K612" i="1" s="1"/>
  <c r="J472" i="1" a="1"/>
  <c r="J472" i="1" s="1"/>
  <c r="L472" i="1"/>
  <c r="K472" i="1" a="1"/>
  <c r="K472" i="1" s="1"/>
  <c r="J332" i="1" a="1"/>
  <c r="J332" i="1" s="1"/>
  <c r="L332" i="1"/>
  <c r="K332" i="1" a="1"/>
  <c r="K332" i="1" s="1"/>
  <c r="J72" i="1" a="1"/>
  <c r="J72" i="1" s="1"/>
  <c r="L72" i="1"/>
  <c r="K72" i="1" a="1"/>
  <c r="K72" i="1" s="1"/>
  <c r="J1778" i="1" a="1"/>
  <c r="J1778" i="1" s="1"/>
  <c r="L1778" i="1"/>
  <c r="K1778" i="1" a="1"/>
  <c r="K1778" i="1" s="1"/>
  <c r="J1638" i="1" a="1"/>
  <c r="J1638" i="1" s="1"/>
  <c r="L1638" i="1"/>
  <c r="K1638" i="1" a="1"/>
  <c r="K1638" i="1" s="1"/>
  <c r="J1351" i="1" a="1"/>
  <c r="J1351" i="1" s="1"/>
  <c r="L1351" i="1"/>
  <c r="K1351" i="1" a="1"/>
  <c r="K1351" i="1" s="1"/>
  <c r="J1211" i="1" a="1"/>
  <c r="J1211" i="1" s="1"/>
  <c r="L1211" i="1"/>
  <c r="K1211" i="1" a="1"/>
  <c r="K1211" i="1" s="1"/>
  <c r="J1091" i="1" a="1"/>
  <c r="J1091" i="1" s="1"/>
  <c r="L1091" i="1"/>
  <c r="K1091" i="1" a="1"/>
  <c r="K1091" i="1" s="1"/>
  <c r="J991" i="1" a="1"/>
  <c r="J991" i="1" s="1"/>
  <c r="L991" i="1"/>
  <c r="K991" i="1" a="1"/>
  <c r="K991" i="1" s="1"/>
  <c r="J871" i="1" a="1"/>
  <c r="J871" i="1" s="1"/>
  <c r="L871" i="1"/>
  <c r="K871" i="1" a="1"/>
  <c r="K871" i="1" s="1"/>
  <c r="J731" i="1" a="1"/>
  <c r="J731" i="1" s="1"/>
  <c r="L731" i="1"/>
  <c r="K731" i="1" a="1"/>
  <c r="K731" i="1" s="1"/>
  <c r="J611" i="1" a="1"/>
  <c r="J611" i="1" s="1"/>
  <c r="L611" i="1"/>
  <c r="K611" i="1" a="1"/>
  <c r="K611" i="1" s="1"/>
  <c r="J511" i="1" a="1"/>
  <c r="J511" i="1" s="1"/>
  <c r="L511" i="1"/>
  <c r="K511" i="1" a="1"/>
  <c r="K511" i="1" s="1"/>
  <c r="J431" i="1" a="1"/>
  <c r="J431" i="1" s="1"/>
  <c r="L431" i="1"/>
  <c r="K431" i="1" a="1"/>
  <c r="K431" i="1" s="1"/>
  <c r="J311" i="1" a="1"/>
  <c r="J311" i="1" s="1"/>
  <c r="L311" i="1"/>
  <c r="K311" i="1" a="1"/>
  <c r="K311" i="1" s="1"/>
  <c r="J91" i="1" a="1"/>
  <c r="J91" i="1" s="1"/>
  <c r="L91" i="1"/>
  <c r="K91" i="1" a="1"/>
  <c r="K91" i="1" s="1"/>
  <c r="J1657" i="1" a="1"/>
  <c r="J1657" i="1" s="1"/>
  <c r="L1657" i="1"/>
  <c r="K1657" i="1" a="1"/>
  <c r="K1657" i="1" s="1"/>
  <c r="J1390" i="1" a="1"/>
  <c r="J1390" i="1" s="1"/>
  <c r="L1390" i="1"/>
  <c r="K1390" i="1" a="1"/>
  <c r="K1390" i="1" s="1"/>
  <c r="J1250" i="1" a="1"/>
  <c r="J1250" i="1" s="1"/>
  <c r="L1250" i="1"/>
  <c r="K1250" i="1" a="1"/>
  <c r="K1250" i="1" s="1"/>
  <c r="J1110" i="1" a="1"/>
  <c r="J1110" i="1" s="1"/>
  <c r="L1110" i="1"/>
  <c r="K1110" i="1" a="1"/>
  <c r="K1110" i="1" s="1"/>
  <c r="J950" i="1" a="1"/>
  <c r="J950" i="1" s="1"/>
  <c r="L950" i="1"/>
  <c r="K950" i="1" a="1"/>
  <c r="K950" i="1" s="1"/>
  <c r="J790" i="1" a="1"/>
  <c r="J790" i="1" s="1"/>
  <c r="L790" i="1"/>
  <c r="K790" i="1" a="1"/>
  <c r="K790" i="1" s="1"/>
  <c r="J610" i="1" a="1"/>
  <c r="J610" i="1" s="1"/>
  <c r="L610" i="1"/>
  <c r="K610" i="1" a="1"/>
  <c r="K610" i="1" s="1"/>
  <c r="J490" i="1" a="1"/>
  <c r="J490" i="1" s="1"/>
  <c r="L490" i="1"/>
  <c r="K490" i="1" a="1"/>
  <c r="K490" i="1" s="1"/>
  <c r="J350" i="1" a="1"/>
  <c r="J350" i="1" s="1"/>
  <c r="L350" i="1"/>
  <c r="K350" i="1" a="1"/>
  <c r="K350" i="1" s="1"/>
  <c r="J30" i="1" a="1"/>
  <c r="J30" i="1" s="1"/>
  <c r="L30" i="1"/>
  <c r="K30" i="1" a="1"/>
  <c r="K30" i="1" s="1"/>
  <c r="J1756" i="1" a="1"/>
  <c r="J1756" i="1" s="1"/>
  <c r="L1756" i="1"/>
  <c r="K1756" i="1" a="1"/>
  <c r="K1756" i="1" s="1"/>
  <c r="J1656" i="1" a="1"/>
  <c r="J1656" i="1" s="1"/>
  <c r="L1656" i="1"/>
  <c r="K1656" i="1" a="1"/>
  <c r="K1656" i="1" s="1"/>
  <c r="J1389" i="1" a="1"/>
  <c r="J1389" i="1" s="1"/>
  <c r="L1389" i="1"/>
  <c r="K1389" i="1" a="1"/>
  <c r="K1389" i="1" s="1"/>
  <c r="J1229" i="1" a="1"/>
  <c r="J1229" i="1" s="1"/>
  <c r="L1229" i="1"/>
  <c r="K1229" i="1" a="1"/>
  <c r="K1229" i="1" s="1"/>
  <c r="J1109" i="1" a="1"/>
  <c r="J1109" i="1" s="1"/>
  <c r="L1109" i="1"/>
  <c r="K1109" i="1" a="1"/>
  <c r="K1109" i="1" s="1"/>
  <c r="J989" i="1" a="1"/>
  <c r="J989" i="1" s="1"/>
  <c r="L989" i="1"/>
  <c r="K989" i="1" a="1"/>
  <c r="K989" i="1" s="1"/>
  <c r="J849" i="1" a="1"/>
  <c r="J849" i="1" s="1"/>
  <c r="L849" i="1"/>
  <c r="K849" i="1" a="1"/>
  <c r="K849" i="1" s="1"/>
  <c r="J709" i="1" a="1"/>
  <c r="J709" i="1" s="1"/>
  <c r="L709" i="1"/>
  <c r="K709" i="1" a="1"/>
  <c r="K709" i="1" s="1"/>
  <c r="J569" i="1" a="1"/>
  <c r="J569" i="1" s="1"/>
  <c r="L569" i="1"/>
  <c r="K569" i="1" a="1"/>
  <c r="K569" i="1" s="1"/>
  <c r="J409" i="1" a="1"/>
  <c r="J409" i="1" s="1"/>
  <c r="L409" i="1"/>
  <c r="K409" i="1" a="1"/>
  <c r="K409" i="1" s="1"/>
  <c r="J89" i="1" a="1"/>
  <c r="J89" i="1" s="1"/>
  <c r="L89" i="1"/>
  <c r="K89" i="1" a="1"/>
  <c r="K89" i="1" s="1"/>
  <c r="J1772" i="1" a="1"/>
  <c r="J1772" i="1" s="1"/>
  <c r="L1772" i="1"/>
  <c r="K1772" i="1" a="1"/>
  <c r="K1772" i="1" s="1"/>
  <c r="J1425" i="1" a="1"/>
  <c r="J1425" i="1" s="1"/>
  <c r="L1425" i="1"/>
  <c r="K1425" i="1" a="1"/>
  <c r="K1425" i="1" s="1"/>
  <c r="J845" i="1" a="1"/>
  <c r="J845" i="1" s="1"/>
  <c r="L845" i="1"/>
  <c r="K845" i="1" a="1"/>
  <c r="K845" i="1" s="1"/>
  <c r="J1823" i="1" a="1"/>
  <c r="J1823" i="1" s="1"/>
  <c r="L1823" i="1"/>
  <c r="K1823" i="1" a="1"/>
  <c r="K1823" i="1" s="1"/>
  <c r="J1803" i="1" a="1"/>
  <c r="J1803" i="1" s="1"/>
  <c r="L1803" i="1"/>
  <c r="K1803" i="1" a="1"/>
  <c r="K1803" i="1" s="1"/>
  <c r="J1783" i="1" a="1"/>
  <c r="J1783" i="1" s="1"/>
  <c r="L1783" i="1"/>
  <c r="K1783" i="1" a="1"/>
  <c r="K1783" i="1" s="1"/>
  <c r="J1763" i="1" a="1"/>
  <c r="J1763" i="1" s="1"/>
  <c r="L1763" i="1"/>
  <c r="K1763" i="1" a="1"/>
  <c r="K1763" i="1" s="1"/>
  <c r="J1743" i="1" a="1"/>
  <c r="J1743" i="1" s="1"/>
  <c r="L1743" i="1"/>
  <c r="K1743" i="1" a="1"/>
  <c r="K1743" i="1" s="1"/>
  <c r="J1723" i="1" a="1"/>
  <c r="J1723" i="1" s="1"/>
  <c r="L1723" i="1"/>
  <c r="K1723" i="1" a="1"/>
  <c r="K1723" i="1" s="1"/>
  <c r="J1703" i="1" a="1"/>
  <c r="J1703" i="1" s="1"/>
  <c r="L1703" i="1"/>
  <c r="K1703" i="1" a="1"/>
  <c r="K1703" i="1" s="1"/>
  <c r="J1683" i="1" a="1"/>
  <c r="J1683" i="1" s="1"/>
  <c r="L1683" i="1"/>
  <c r="K1683" i="1" a="1"/>
  <c r="K1683" i="1" s="1"/>
  <c r="J1663" i="1" a="1"/>
  <c r="J1663" i="1" s="1"/>
  <c r="L1663" i="1"/>
  <c r="K1663" i="1" a="1"/>
  <c r="K1663" i="1" s="1"/>
  <c r="J1643" i="1" a="1"/>
  <c r="J1643" i="1" s="1"/>
  <c r="L1643" i="1"/>
  <c r="K1643" i="1" a="1"/>
  <c r="K1643" i="1" s="1"/>
  <c r="J1623" i="1" a="1"/>
  <c r="J1623" i="1" s="1"/>
  <c r="L1623" i="1"/>
  <c r="K1623" i="1" a="1"/>
  <c r="K1623" i="1" s="1"/>
  <c r="J1603" i="1" a="1"/>
  <c r="J1603" i="1" s="1"/>
  <c r="L1603" i="1"/>
  <c r="K1603" i="1" a="1"/>
  <c r="K1603" i="1" s="1"/>
  <c r="J1583" i="1" a="1"/>
  <c r="J1583" i="1" s="1"/>
  <c r="L1583" i="1"/>
  <c r="K1583" i="1" a="1"/>
  <c r="K1583" i="1" s="1"/>
  <c r="J1436" i="1" a="1"/>
  <c r="J1436" i="1" s="1"/>
  <c r="L1436" i="1"/>
  <c r="K1436" i="1" a="1"/>
  <c r="K1436" i="1" s="1"/>
  <c r="J1416" i="1" a="1"/>
  <c r="J1416" i="1" s="1"/>
  <c r="L1416" i="1"/>
  <c r="K1416" i="1" a="1"/>
  <c r="K1416" i="1" s="1"/>
  <c r="J1396" i="1" a="1"/>
  <c r="J1396" i="1" s="1"/>
  <c r="L1396" i="1"/>
  <c r="K1396" i="1" a="1"/>
  <c r="K1396" i="1" s="1"/>
  <c r="J1376" i="1" a="1"/>
  <c r="J1376" i="1" s="1"/>
  <c r="L1376" i="1"/>
  <c r="K1376" i="1" a="1"/>
  <c r="K1376" i="1" s="1"/>
  <c r="J1356" i="1" a="1"/>
  <c r="J1356" i="1" s="1"/>
  <c r="L1356" i="1"/>
  <c r="K1356" i="1" a="1"/>
  <c r="K1356" i="1" s="1"/>
  <c r="J1336" i="1" a="1"/>
  <c r="J1336" i="1" s="1"/>
  <c r="L1336" i="1"/>
  <c r="K1336" i="1" a="1"/>
  <c r="K1336" i="1" s="1"/>
  <c r="J1316" i="1" a="1"/>
  <c r="J1316" i="1" s="1"/>
  <c r="L1316" i="1"/>
  <c r="K1316" i="1" a="1"/>
  <c r="K1316" i="1" s="1"/>
  <c r="J1296" i="1" a="1"/>
  <c r="J1296" i="1" s="1"/>
  <c r="L1296" i="1"/>
  <c r="K1296" i="1" a="1"/>
  <c r="K1296" i="1" s="1"/>
  <c r="J1276" i="1" a="1"/>
  <c r="J1276" i="1" s="1"/>
  <c r="L1276" i="1"/>
  <c r="K1276" i="1" a="1"/>
  <c r="K1276" i="1" s="1"/>
  <c r="J1256" i="1" a="1"/>
  <c r="J1256" i="1" s="1"/>
  <c r="L1256" i="1"/>
  <c r="K1256" i="1" a="1"/>
  <c r="K1256" i="1" s="1"/>
  <c r="J1236" i="1" a="1"/>
  <c r="J1236" i="1" s="1"/>
  <c r="L1236" i="1"/>
  <c r="K1236" i="1" a="1"/>
  <c r="K1236" i="1" s="1"/>
  <c r="J1216" i="1" a="1"/>
  <c r="J1216" i="1" s="1"/>
  <c r="L1216" i="1"/>
  <c r="K1216" i="1" a="1"/>
  <c r="K1216" i="1" s="1"/>
  <c r="J1196" i="1" a="1"/>
  <c r="J1196" i="1" s="1"/>
  <c r="L1196" i="1"/>
  <c r="K1196" i="1" a="1"/>
  <c r="K1196" i="1" s="1"/>
  <c r="J1176" i="1" a="1"/>
  <c r="J1176" i="1" s="1"/>
  <c r="L1176" i="1"/>
  <c r="K1176" i="1" a="1"/>
  <c r="K1176" i="1" s="1"/>
  <c r="J1156" i="1" a="1"/>
  <c r="J1156" i="1" s="1"/>
  <c r="L1156" i="1"/>
  <c r="K1156" i="1" a="1"/>
  <c r="K1156" i="1" s="1"/>
  <c r="J1136" i="1" a="1"/>
  <c r="J1136" i="1" s="1"/>
  <c r="L1136" i="1"/>
  <c r="K1136" i="1" a="1"/>
  <c r="K1136" i="1" s="1"/>
  <c r="J1116" i="1" a="1"/>
  <c r="J1116" i="1" s="1"/>
  <c r="L1116" i="1"/>
  <c r="K1116" i="1" a="1"/>
  <c r="K1116" i="1" s="1"/>
  <c r="J1096" i="1" a="1"/>
  <c r="J1096" i="1" s="1"/>
  <c r="L1096" i="1"/>
  <c r="K1096" i="1" a="1"/>
  <c r="K1096" i="1" s="1"/>
  <c r="J1076" i="1" a="1"/>
  <c r="J1076" i="1" s="1"/>
  <c r="L1076" i="1"/>
  <c r="K1076" i="1" a="1"/>
  <c r="K1076" i="1" s="1"/>
  <c r="J1056" i="1" a="1"/>
  <c r="J1056" i="1" s="1"/>
  <c r="L1056" i="1"/>
  <c r="K1056" i="1" a="1"/>
  <c r="K1056" i="1" s="1"/>
  <c r="J1036" i="1" a="1"/>
  <c r="J1036" i="1" s="1"/>
  <c r="L1036" i="1"/>
  <c r="K1036" i="1" a="1"/>
  <c r="K1036" i="1" s="1"/>
  <c r="J1016" i="1" a="1"/>
  <c r="J1016" i="1" s="1"/>
  <c r="L1016" i="1"/>
  <c r="K1016" i="1" a="1"/>
  <c r="K1016" i="1" s="1"/>
  <c r="J996" i="1" a="1"/>
  <c r="J996" i="1" s="1"/>
  <c r="L996" i="1"/>
  <c r="K996" i="1" a="1"/>
  <c r="K996" i="1" s="1"/>
  <c r="J976" i="1" a="1"/>
  <c r="J976" i="1" s="1"/>
  <c r="L976" i="1"/>
  <c r="K976" i="1" a="1"/>
  <c r="K976" i="1" s="1"/>
  <c r="J956" i="1" a="1"/>
  <c r="J956" i="1" s="1"/>
  <c r="L956" i="1"/>
  <c r="K956" i="1" a="1"/>
  <c r="K956" i="1" s="1"/>
  <c r="J936" i="1" a="1"/>
  <c r="J936" i="1" s="1"/>
  <c r="L936" i="1"/>
  <c r="K936" i="1" a="1"/>
  <c r="K936" i="1" s="1"/>
  <c r="J916" i="1" a="1"/>
  <c r="J916" i="1" s="1"/>
  <c r="L916" i="1"/>
  <c r="K916" i="1" a="1"/>
  <c r="K916" i="1" s="1"/>
  <c r="J896" i="1" a="1"/>
  <c r="J896" i="1" s="1"/>
  <c r="L896" i="1"/>
  <c r="K896" i="1" a="1"/>
  <c r="K896" i="1" s="1"/>
  <c r="J876" i="1" a="1"/>
  <c r="J876" i="1" s="1"/>
  <c r="L876" i="1"/>
  <c r="K876" i="1" a="1"/>
  <c r="K876" i="1" s="1"/>
  <c r="J856" i="1" a="1"/>
  <c r="J856" i="1" s="1"/>
  <c r="L856" i="1"/>
  <c r="K856" i="1" a="1"/>
  <c r="K856" i="1" s="1"/>
  <c r="J836" i="1" a="1"/>
  <c r="J836" i="1" s="1"/>
  <c r="L836" i="1"/>
  <c r="K836" i="1" a="1"/>
  <c r="K836" i="1" s="1"/>
  <c r="J816" i="1" a="1"/>
  <c r="J816" i="1" s="1"/>
  <c r="L816" i="1"/>
  <c r="K816" i="1" a="1"/>
  <c r="K816" i="1" s="1"/>
  <c r="J796" i="1" a="1"/>
  <c r="J796" i="1" s="1"/>
  <c r="L796" i="1"/>
  <c r="K796" i="1" a="1"/>
  <c r="K796" i="1" s="1"/>
  <c r="J776" i="1" a="1"/>
  <c r="J776" i="1" s="1"/>
  <c r="L776" i="1"/>
  <c r="K776" i="1" a="1"/>
  <c r="K776" i="1" s="1"/>
  <c r="J756" i="1" a="1"/>
  <c r="J756" i="1" s="1"/>
  <c r="L756" i="1"/>
  <c r="K756" i="1" a="1"/>
  <c r="K756" i="1" s="1"/>
  <c r="J736" i="1" a="1"/>
  <c r="J736" i="1" s="1"/>
  <c r="L736" i="1"/>
  <c r="K736" i="1" a="1"/>
  <c r="K736" i="1" s="1"/>
  <c r="J716" i="1" a="1"/>
  <c r="J716" i="1" s="1"/>
  <c r="L716" i="1"/>
  <c r="K716" i="1" a="1"/>
  <c r="K716" i="1" s="1"/>
  <c r="J696" i="1" a="1"/>
  <c r="J696" i="1" s="1"/>
  <c r="L696" i="1"/>
  <c r="K696" i="1" a="1"/>
  <c r="K696" i="1" s="1"/>
  <c r="J676" i="1" a="1"/>
  <c r="J676" i="1" s="1"/>
  <c r="L676" i="1"/>
  <c r="K676" i="1" a="1"/>
  <c r="K676" i="1" s="1"/>
  <c r="J656" i="1" a="1"/>
  <c r="J656" i="1" s="1"/>
  <c r="L656" i="1"/>
  <c r="K656" i="1" a="1"/>
  <c r="K656" i="1" s="1"/>
  <c r="J636" i="1" a="1"/>
  <c r="J636" i="1" s="1"/>
  <c r="L636" i="1"/>
  <c r="K636" i="1" a="1"/>
  <c r="K636" i="1" s="1"/>
  <c r="J616" i="1" a="1"/>
  <c r="J616" i="1" s="1"/>
  <c r="L616" i="1"/>
  <c r="K616" i="1" a="1"/>
  <c r="K616" i="1" s="1"/>
  <c r="J596" i="1" a="1"/>
  <c r="J596" i="1" s="1"/>
  <c r="L596" i="1"/>
  <c r="K596" i="1" a="1"/>
  <c r="K596" i="1" s="1"/>
  <c r="J576" i="1" a="1"/>
  <c r="J576" i="1" s="1"/>
  <c r="L576" i="1"/>
  <c r="K576" i="1" a="1"/>
  <c r="K576" i="1" s="1"/>
  <c r="J556" i="1" a="1"/>
  <c r="J556" i="1" s="1"/>
  <c r="L556" i="1"/>
  <c r="K556" i="1" a="1"/>
  <c r="K556" i="1" s="1"/>
  <c r="J536" i="1" a="1"/>
  <c r="J536" i="1" s="1"/>
  <c r="L536" i="1"/>
  <c r="K536" i="1" a="1"/>
  <c r="K536" i="1" s="1"/>
  <c r="J516" i="1" a="1"/>
  <c r="J516" i="1" s="1"/>
  <c r="L516" i="1"/>
  <c r="K516" i="1" a="1"/>
  <c r="K516" i="1" s="1"/>
  <c r="J496" i="1" a="1"/>
  <c r="J496" i="1" s="1"/>
  <c r="L496" i="1"/>
  <c r="K496" i="1" a="1"/>
  <c r="K496" i="1" s="1"/>
  <c r="J476" i="1" a="1"/>
  <c r="J476" i="1" s="1"/>
  <c r="L476" i="1"/>
  <c r="K476" i="1" a="1"/>
  <c r="K476" i="1" s="1"/>
  <c r="J456" i="1" a="1"/>
  <c r="J456" i="1" s="1"/>
  <c r="L456" i="1"/>
  <c r="K456" i="1" a="1"/>
  <c r="K456" i="1" s="1"/>
  <c r="J436" i="1" a="1"/>
  <c r="J436" i="1" s="1"/>
  <c r="L436" i="1"/>
  <c r="K436" i="1" a="1"/>
  <c r="K436" i="1" s="1"/>
  <c r="J416" i="1" a="1"/>
  <c r="J416" i="1" s="1"/>
  <c r="L416" i="1"/>
  <c r="K416" i="1" a="1"/>
  <c r="K416" i="1" s="1"/>
  <c r="J396" i="1" a="1"/>
  <c r="J396" i="1" s="1"/>
  <c r="L396" i="1"/>
  <c r="K396" i="1" a="1"/>
  <c r="K396" i="1" s="1"/>
  <c r="J376" i="1" a="1"/>
  <c r="J376" i="1" s="1"/>
  <c r="L376" i="1"/>
  <c r="K376" i="1" a="1"/>
  <c r="K376" i="1" s="1"/>
  <c r="J356" i="1" a="1"/>
  <c r="J356" i="1" s="1"/>
  <c r="L356" i="1"/>
  <c r="K356" i="1" a="1"/>
  <c r="K356" i="1" s="1"/>
  <c r="J336" i="1" a="1"/>
  <c r="J336" i="1" s="1"/>
  <c r="L336" i="1"/>
  <c r="K336" i="1" a="1"/>
  <c r="K336" i="1" s="1"/>
  <c r="J316" i="1" a="1"/>
  <c r="J316" i="1" s="1"/>
  <c r="L316" i="1"/>
  <c r="K316" i="1" a="1"/>
  <c r="K316" i="1" s="1"/>
  <c r="J296" i="1" a="1"/>
  <c r="J296" i="1" s="1"/>
  <c r="L296" i="1"/>
  <c r="K296" i="1" a="1"/>
  <c r="K296" i="1" s="1"/>
  <c r="J276" i="1" a="1"/>
  <c r="J276" i="1" s="1"/>
  <c r="L276" i="1"/>
  <c r="K276" i="1" a="1"/>
  <c r="K276" i="1" s="1"/>
  <c r="J256" i="1" a="1"/>
  <c r="J256" i="1" s="1"/>
  <c r="L256" i="1"/>
  <c r="K256" i="1" a="1"/>
  <c r="K256" i="1" s="1"/>
  <c r="J236" i="1" a="1"/>
  <c r="J236" i="1" s="1"/>
  <c r="L236" i="1"/>
  <c r="K236" i="1" a="1"/>
  <c r="K236" i="1" s="1"/>
  <c r="J216" i="1" a="1"/>
  <c r="J216" i="1" s="1"/>
  <c r="L216" i="1"/>
  <c r="K216" i="1" a="1"/>
  <c r="K216" i="1" s="1"/>
  <c r="J196" i="1" a="1"/>
  <c r="J196" i="1" s="1"/>
  <c r="L196" i="1"/>
  <c r="K196" i="1" a="1"/>
  <c r="K196" i="1" s="1"/>
  <c r="J176" i="1" a="1"/>
  <c r="J176" i="1" s="1"/>
  <c r="L176" i="1"/>
  <c r="K176" i="1" a="1"/>
  <c r="K176" i="1" s="1"/>
  <c r="J156" i="1" a="1"/>
  <c r="J156" i="1" s="1"/>
  <c r="L156" i="1"/>
  <c r="K156" i="1" a="1"/>
  <c r="K156" i="1" s="1"/>
  <c r="J136" i="1" a="1"/>
  <c r="J136" i="1" s="1"/>
  <c r="L136" i="1"/>
  <c r="K136" i="1" a="1"/>
  <c r="K136" i="1" s="1"/>
  <c r="J116" i="1" a="1"/>
  <c r="J116" i="1" s="1"/>
  <c r="L116" i="1"/>
  <c r="K116" i="1" a="1"/>
  <c r="K116" i="1" s="1"/>
  <c r="J96" i="1" a="1"/>
  <c r="J96" i="1" s="1"/>
  <c r="L96" i="1"/>
  <c r="K96" i="1" a="1"/>
  <c r="K96" i="1" s="1"/>
  <c r="J76" i="1" a="1"/>
  <c r="J76" i="1" s="1"/>
  <c r="L76" i="1"/>
  <c r="K76" i="1" a="1"/>
  <c r="K76" i="1" s="1"/>
  <c r="J56" i="1" a="1"/>
  <c r="J56" i="1" s="1"/>
  <c r="L56" i="1"/>
  <c r="K56" i="1" a="1"/>
  <c r="K56" i="1" s="1"/>
  <c r="J36" i="1" a="1"/>
  <c r="J36" i="1" s="1"/>
  <c r="L36" i="1"/>
  <c r="K36" i="1" a="1"/>
  <c r="K36" i="1" s="1"/>
  <c r="J16" i="1" a="1"/>
  <c r="J16" i="1" s="1"/>
  <c r="L16" i="1"/>
  <c r="K16" i="1" a="1"/>
  <c r="K16" i="1" s="1"/>
  <c r="A2018" i="1"/>
  <c r="A2017" i="1"/>
  <c r="A1989" i="1"/>
  <c r="A2016" i="1"/>
  <c r="A1999" i="1"/>
  <c r="A1994" i="1"/>
  <c r="A1982" i="1"/>
  <c r="A1977" i="1"/>
  <c r="A1972" i="1"/>
  <c r="A1967" i="1"/>
  <c r="A1962" i="1"/>
  <c r="A1957" i="1"/>
  <c r="A1952" i="1"/>
  <c r="A1947" i="1"/>
  <c r="A1942" i="1"/>
  <c r="A1937" i="1"/>
  <c r="A1932" i="1"/>
  <c r="A1927" i="1"/>
  <c r="A1922" i="1"/>
  <c r="A1917" i="1"/>
  <c r="A1912" i="1"/>
  <c r="A1907" i="1"/>
  <c r="A1902" i="1"/>
  <c r="A1897" i="1"/>
  <c r="A1892" i="1"/>
  <c r="A1887" i="1"/>
  <c r="A1882" i="1"/>
  <c r="A1877" i="1"/>
  <c r="A1872" i="1"/>
  <c r="A1867" i="1"/>
  <c r="A1862" i="1"/>
  <c r="A1857" i="1"/>
  <c r="A1852" i="1"/>
  <c r="A1847" i="1"/>
  <c r="A1842" i="1"/>
  <c r="A1837" i="1"/>
  <c r="A1832" i="1"/>
  <c r="I1827" i="1"/>
  <c r="H1827" i="1" a="1"/>
  <c r="H1827" i="1" s="1"/>
  <c r="G1827" i="1" a="1"/>
  <c r="G1827" i="1" s="1"/>
  <c r="I1822" i="1"/>
  <c r="H1822" i="1" a="1"/>
  <c r="H1822" i="1" s="1"/>
  <c r="G1822" i="1" a="1"/>
  <c r="G1822" i="1" s="1"/>
  <c r="I1817" i="1"/>
  <c r="H1817" i="1" a="1"/>
  <c r="H1817" i="1" s="1"/>
  <c r="G1817" i="1" a="1"/>
  <c r="G1817" i="1" s="1"/>
  <c r="I1812" i="1"/>
  <c r="H1812" i="1" a="1"/>
  <c r="H1812" i="1" s="1"/>
  <c r="G1812" i="1" a="1"/>
  <c r="G1812" i="1" s="1"/>
  <c r="I1807" i="1"/>
  <c r="H1807" i="1" a="1"/>
  <c r="H1807" i="1" s="1"/>
  <c r="G1807" i="1" a="1"/>
  <c r="G1807" i="1" s="1"/>
  <c r="I1802" i="1"/>
  <c r="H1802" i="1" a="1"/>
  <c r="H1802" i="1" s="1"/>
  <c r="G1802" i="1" a="1"/>
  <c r="G1802" i="1" s="1"/>
  <c r="I1797" i="1"/>
  <c r="H1797" i="1" a="1"/>
  <c r="H1797" i="1" s="1"/>
  <c r="G1797" i="1" a="1"/>
  <c r="G1797" i="1" s="1"/>
  <c r="I1792" i="1"/>
  <c r="H1792" i="1" a="1"/>
  <c r="H1792" i="1" s="1"/>
  <c r="G1792" i="1" a="1"/>
  <c r="G1792" i="1" s="1"/>
  <c r="I1787" i="1"/>
  <c r="H1787" i="1" a="1"/>
  <c r="H1787" i="1" s="1"/>
  <c r="G1787" i="1" a="1"/>
  <c r="G1787" i="1" s="1"/>
  <c r="I1782" i="1"/>
  <c r="H1782" i="1" a="1"/>
  <c r="H1782" i="1" s="1"/>
  <c r="G1782" i="1" a="1"/>
  <c r="G1782" i="1" s="1"/>
  <c r="I1777" i="1"/>
  <c r="H1777" i="1" a="1"/>
  <c r="H1777" i="1" s="1"/>
  <c r="G1777" i="1" a="1"/>
  <c r="G1777" i="1" s="1"/>
  <c r="I1772" i="1"/>
  <c r="H1772" i="1" a="1"/>
  <c r="H1772" i="1" s="1"/>
  <c r="G1772" i="1" a="1"/>
  <c r="G1772" i="1" s="1"/>
  <c r="I1767" i="1"/>
  <c r="H1767" i="1" a="1"/>
  <c r="H1767" i="1" s="1"/>
  <c r="G1767" i="1" a="1"/>
  <c r="G1767" i="1" s="1"/>
  <c r="I1762" i="1"/>
  <c r="H1762" i="1" a="1"/>
  <c r="H1762" i="1" s="1"/>
  <c r="G1762" i="1" a="1"/>
  <c r="G1762" i="1" s="1"/>
  <c r="I1757" i="1"/>
  <c r="H1757" i="1" a="1"/>
  <c r="H1757" i="1" s="1"/>
  <c r="G1757" i="1" a="1"/>
  <c r="G1757" i="1" s="1"/>
  <c r="I1752" i="1"/>
  <c r="H1752" i="1" a="1"/>
  <c r="H1752" i="1" s="1"/>
  <c r="G1752" i="1" a="1"/>
  <c r="G1752" i="1" s="1"/>
  <c r="I1747" i="1"/>
  <c r="H1747" i="1" a="1"/>
  <c r="H1747" i="1" s="1"/>
  <c r="G1747" i="1" a="1"/>
  <c r="G1747" i="1" s="1"/>
  <c r="I1742" i="1"/>
  <c r="H1742" i="1" a="1"/>
  <c r="H1742" i="1" s="1"/>
  <c r="G1742" i="1" a="1"/>
  <c r="G1742" i="1" s="1"/>
  <c r="I1737" i="1"/>
  <c r="H1737" i="1" a="1"/>
  <c r="H1737" i="1" s="1"/>
  <c r="G1737" i="1" a="1"/>
  <c r="G1737" i="1" s="1"/>
  <c r="I1732" i="1"/>
  <c r="H1732" i="1" a="1"/>
  <c r="H1732" i="1" s="1"/>
  <c r="G1732" i="1" a="1"/>
  <c r="G1732" i="1" s="1"/>
  <c r="I1727" i="1"/>
  <c r="H1727" i="1" a="1"/>
  <c r="H1727" i="1" s="1"/>
  <c r="G1727" i="1" a="1"/>
  <c r="G1727" i="1" s="1"/>
  <c r="I1722" i="1"/>
  <c r="H1722" i="1" a="1"/>
  <c r="H1722" i="1" s="1"/>
  <c r="G1722" i="1" a="1"/>
  <c r="G1722" i="1" s="1"/>
  <c r="I1717" i="1"/>
  <c r="H1717" i="1" a="1"/>
  <c r="H1717" i="1" s="1"/>
  <c r="G1717" i="1" a="1"/>
  <c r="G1717" i="1" s="1"/>
  <c r="I1712" i="1"/>
  <c r="H1712" i="1" a="1"/>
  <c r="H1712" i="1" s="1"/>
  <c r="G1712" i="1" a="1"/>
  <c r="G1712" i="1" s="1"/>
  <c r="I1707" i="1"/>
  <c r="H1707" i="1" a="1"/>
  <c r="H1707" i="1" s="1"/>
  <c r="G1707" i="1" a="1"/>
  <c r="G1707" i="1" s="1"/>
  <c r="I1702" i="1"/>
  <c r="H1702" i="1" a="1"/>
  <c r="H1702" i="1" s="1"/>
  <c r="G1702" i="1" a="1"/>
  <c r="G1702" i="1" s="1"/>
  <c r="I1697" i="1"/>
  <c r="H1697" i="1" a="1"/>
  <c r="H1697" i="1" s="1"/>
  <c r="G1697" i="1" a="1"/>
  <c r="G1697" i="1" s="1"/>
  <c r="I1692" i="1"/>
  <c r="H1692" i="1" a="1"/>
  <c r="H1692" i="1" s="1"/>
  <c r="G1692" i="1" a="1"/>
  <c r="G1692" i="1" s="1"/>
  <c r="I1687" i="1"/>
  <c r="H1687" i="1" a="1"/>
  <c r="H1687" i="1" s="1"/>
  <c r="G1687" i="1" a="1"/>
  <c r="G1687" i="1" s="1"/>
  <c r="I1682" i="1"/>
  <c r="H1682" i="1" a="1"/>
  <c r="H1682" i="1" s="1"/>
  <c r="G1682" i="1" a="1"/>
  <c r="G1682" i="1" s="1"/>
  <c r="I1677" i="1"/>
  <c r="H1677" i="1" a="1"/>
  <c r="H1677" i="1" s="1"/>
  <c r="G1677" i="1" a="1"/>
  <c r="G1677" i="1" s="1"/>
  <c r="I1672" i="1"/>
  <c r="H1672" i="1" a="1"/>
  <c r="H1672" i="1" s="1"/>
  <c r="G1672" i="1" a="1"/>
  <c r="G1672" i="1" s="1"/>
  <c r="I1667" i="1"/>
  <c r="H1667" i="1" a="1"/>
  <c r="H1667" i="1" s="1"/>
  <c r="G1667" i="1" a="1"/>
  <c r="G1667" i="1" s="1"/>
  <c r="I1662" i="1"/>
  <c r="H1662" i="1" a="1"/>
  <c r="H1662" i="1" s="1"/>
  <c r="G1662" i="1" a="1"/>
  <c r="G1662" i="1" s="1"/>
  <c r="I1657" i="1"/>
  <c r="H1657" i="1" a="1"/>
  <c r="H1657" i="1" s="1"/>
  <c r="G1657" i="1" a="1"/>
  <c r="G1657" i="1" s="1"/>
  <c r="I1652" i="1"/>
  <c r="H1652" i="1" a="1"/>
  <c r="H1652" i="1" s="1"/>
  <c r="G1652" i="1" a="1"/>
  <c r="G1652" i="1" s="1"/>
  <c r="I1647" i="1"/>
  <c r="H1647" i="1" a="1"/>
  <c r="H1647" i="1" s="1"/>
  <c r="G1647" i="1" a="1"/>
  <c r="G1647" i="1" s="1"/>
  <c r="I1642" i="1"/>
  <c r="H1642" i="1" a="1"/>
  <c r="H1642" i="1" s="1"/>
  <c r="G1642" i="1" a="1"/>
  <c r="G1642" i="1" s="1"/>
  <c r="I1637" i="1"/>
  <c r="H1637" i="1" a="1"/>
  <c r="H1637" i="1" s="1"/>
  <c r="G1637" i="1" a="1"/>
  <c r="G1637" i="1" s="1"/>
  <c r="I1632" i="1"/>
  <c r="H1632" i="1" a="1"/>
  <c r="H1632" i="1" s="1"/>
  <c r="G1632" i="1" a="1"/>
  <c r="G1632" i="1" s="1"/>
  <c r="I1627" i="1"/>
  <c r="H1627" i="1" a="1"/>
  <c r="H1627" i="1" s="1"/>
  <c r="G1627" i="1" a="1"/>
  <c r="G1627" i="1" s="1"/>
  <c r="I1622" i="1"/>
  <c r="H1622" i="1" a="1"/>
  <c r="H1622" i="1" s="1"/>
  <c r="G1622" i="1" a="1"/>
  <c r="G1622" i="1" s="1"/>
  <c r="I1617" i="1"/>
  <c r="H1617" i="1" a="1"/>
  <c r="H1617" i="1" s="1"/>
  <c r="G1617" i="1" a="1"/>
  <c r="G1617" i="1" s="1"/>
  <c r="I1612" i="1"/>
  <c r="H1612" i="1" a="1"/>
  <c r="H1612" i="1" s="1"/>
  <c r="G1612" i="1" a="1"/>
  <c r="G1612" i="1" s="1"/>
  <c r="I1607" i="1"/>
  <c r="H1607" i="1" a="1"/>
  <c r="H1607" i="1" s="1"/>
  <c r="G1607" i="1" a="1"/>
  <c r="G1607" i="1" s="1"/>
  <c r="I1602" i="1"/>
  <c r="H1602" i="1" a="1"/>
  <c r="H1602" i="1" s="1"/>
  <c r="G1602" i="1" a="1"/>
  <c r="G1602" i="1" s="1"/>
  <c r="I1597" i="1"/>
  <c r="H1597" i="1" a="1"/>
  <c r="H1597" i="1" s="1"/>
  <c r="G1597" i="1" a="1"/>
  <c r="G1597" i="1" s="1"/>
  <c r="I1592" i="1"/>
  <c r="H1592" i="1" a="1"/>
  <c r="H1592" i="1" s="1"/>
  <c r="G1592" i="1" a="1"/>
  <c r="G1592" i="1" s="1"/>
  <c r="I1587" i="1"/>
  <c r="H1587" i="1" a="1"/>
  <c r="H1587" i="1" s="1"/>
  <c r="G1587" i="1" a="1"/>
  <c r="G1587" i="1" s="1"/>
  <c r="I1582" i="1"/>
  <c r="H1582" i="1" a="1"/>
  <c r="H1582" i="1" s="1"/>
  <c r="G1582" i="1" a="1"/>
  <c r="G1582" i="1" s="1"/>
  <c r="I1577" i="1"/>
  <c r="H1577" i="1" a="1"/>
  <c r="H1577" i="1" s="1"/>
  <c r="G1577" i="1" a="1"/>
  <c r="G1577" i="1" s="1"/>
  <c r="I1572" i="1"/>
  <c r="H1572" i="1" a="1"/>
  <c r="H1572" i="1" s="1"/>
  <c r="G1572" i="1" a="1"/>
  <c r="G1572" i="1" s="1"/>
  <c r="A1567" i="1"/>
  <c r="A1562" i="1"/>
  <c r="A1557" i="1"/>
  <c r="A1552" i="1"/>
  <c r="A1547" i="1"/>
  <c r="A1542" i="1"/>
  <c r="A1537" i="1"/>
  <c r="A1532" i="1"/>
  <c r="A1527" i="1"/>
  <c r="A1522" i="1"/>
  <c r="A1517" i="1"/>
  <c r="A1512" i="1"/>
  <c r="A1507" i="1"/>
  <c r="A1502" i="1"/>
  <c r="A1497" i="1"/>
  <c r="A1492" i="1"/>
  <c r="A1487" i="1"/>
  <c r="A1482" i="1"/>
  <c r="A1477" i="1"/>
  <c r="A1472" i="1"/>
  <c r="A1467" i="1"/>
  <c r="A1462" i="1"/>
  <c r="A1457" i="1"/>
  <c r="A1452" i="1"/>
  <c r="A1447" i="1"/>
  <c r="A1442" i="1"/>
  <c r="I1437" i="1"/>
  <c r="H1437" i="1" a="1"/>
  <c r="H1437" i="1" s="1"/>
  <c r="G1437" i="1" a="1"/>
  <c r="G1437" i="1" s="1"/>
  <c r="I1432" i="1"/>
  <c r="H1432" i="1" a="1"/>
  <c r="H1432" i="1" s="1"/>
  <c r="G1432" i="1" a="1"/>
  <c r="G1432" i="1" s="1"/>
  <c r="I1427" i="1"/>
  <c r="H1427" i="1" a="1"/>
  <c r="H1427" i="1" s="1"/>
  <c r="G1427" i="1" a="1"/>
  <c r="G1427" i="1" s="1"/>
  <c r="I1422" i="1"/>
  <c r="H1422" i="1" a="1"/>
  <c r="H1422" i="1" s="1"/>
  <c r="G1422" i="1" a="1"/>
  <c r="G1422" i="1" s="1"/>
  <c r="I1417" i="1"/>
  <c r="H1417" i="1" a="1"/>
  <c r="H1417" i="1" s="1"/>
  <c r="G1417" i="1" a="1"/>
  <c r="G1417" i="1" s="1"/>
  <c r="I1412" i="1"/>
  <c r="H1412" i="1" a="1"/>
  <c r="H1412" i="1" s="1"/>
  <c r="G1412" i="1" a="1"/>
  <c r="G1412" i="1" s="1"/>
  <c r="I1407" i="1"/>
  <c r="H1407" i="1" a="1"/>
  <c r="H1407" i="1" s="1"/>
  <c r="G1407" i="1" a="1"/>
  <c r="G1407" i="1" s="1"/>
  <c r="I1402" i="1"/>
  <c r="H1402" i="1" a="1"/>
  <c r="H1402" i="1" s="1"/>
  <c r="G1402" i="1" a="1"/>
  <c r="G1402" i="1" s="1"/>
  <c r="I1397" i="1"/>
  <c r="H1397" i="1" a="1"/>
  <c r="H1397" i="1" s="1"/>
  <c r="G1397" i="1" a="1"/>
  <c r="G1397" i="1" s="1"/>
  <c r="I1392" i="1"/>
  <c r="H1392" i="1" a="1"/>
  <c r="H1392" i="1" s="1"/>
  <c r="G1392" i="1" a="1"/>
  <c r="G1392" i="1" s="1"/>
  <c r="I1387" i="1"/>
  <c r="H1387" i="1" a="1"/>
  <c r="H1387" i="1" s="1"/>
  <c r="G1387" i="1" a="1"/>
  <c r="G1387" i="1" s="1"/>
  <c r="I1382" i="1"/>
  <c r="H1382" i="1" a="1"/>
  <c r="H1382" i="1" s="1"/>
  <c r="G1382" i="1" a="1"/>
  <c r="G1382" i="1" s="1"/>
  <c r="I1377" i="1"/>
  <c r="H1377" i="1" a="1"/>
  <c r="H1377" i="1" s="1"/>
  <c r="G1377" i="1" a="1"/>
  <c r="G1377" i="1" s="1"/>
  <c r="I1372" i="1"/>
  <c r="H1372" i="1" a="1"/>
  <c r="H1372" i="1" s="1"/>
  <c r="G1372" i="1" a="1"/>
  <c r="G1372" i="1" s="1"/>
  <c r="I1367" i="1"/>
  <c r="H1367" i="1" a="1"/>
  <c r="H1367" i="1" s="1"/>
  <c r="G1367" i="1" a="1"/>
  <c r="G1367" i="1" s="1"/>
  <c r="I1362" i="1"/>
  <c r="H1362" i="1" a="1"/>
  <c r="H1362" i="1" s="1"/>
  <c r="G1362" i="1" a="1"/>
  <c r="G1362" i="1" s="1"/>
  <c r="I1357" i="1"/>
  <c r="H1357" i="1" a="1"/>
  <c r="H1357" i="1" s="1"/>
  <c r="G1357" i="1" a="1"/>
  <c r="G1357" i="1" s="1"/>
  <c r="I1352" i="1"/>
  <c r="H1352" i="1" a="1"/>
  <c r="H1352" i="1" s="1"/>
  <c r="G1352" i="1" a="1"/>
  <c r="G1352" i="1" s="1"/>
  <c r="I1347" i="1"/>
  <c r="H1347" i="1" a="1"/>
  <c r="H1347" i="1" s="1"/>
  <c r="G1347" i="1" a="1"/>
  <c r="G1347" i="1" s="1"/>
  <c r="I1342" i="1"/>
  <c r="H1342" i="1" a="1"/>
  <c r="H1342" i="1" s="1"/>
  <c r="G1342" i="1" a="1"/>
  <c r="G1342" i="1" s="1"/>
  <c r="I1337" i="1"/>
  <c r="H1337" i="1" a="1"/>
  <c r="H1337" i="1" s="1"/>
  <c r="G1337" i="1" a="1"/>
  <c r="G1337" i="1" s="1"/>
  <c r="I1332" i="1"/>
  <c r="H1332" i="1" a="1"/>
  <c r="H1332" i="1" s="1"/>
  <c r="G1332" i="1" a="1"/>
  <c r="G1332" i="1" s="1"/>
  <c r="I1327" i="1"/>
  <c r="H1327" i="1" a="1"/>
  <c r="H1327" i="1" s="1"/>
  <c r="G1327" i="1" a="1"/>
  <c r="G1327" i="1" s="1"/>
  <c r="I1322" i="1"/>
  <c r="H1322" i="1" a="1"/>
  <c r="H1322" i="1" s="1"/>
  <c r="G1322" i="1" a="1"/>
  <c r="G1322" i="1" s="1"/>
  <c r="I1317" i="1"/>
  <c r="H1317" i="1" a="1"/>
  <c r="H1317" i="1" s="1"/>
  <c r="G1317" i="1" a="1"/>
  <c r="G1317" i="1" s="1"/>
  <c r="I1312" i="1"/>
  <c r="H1312" i="1" a="1"/>
  <c r="H1312" i="1" s="1"/>
  <c r="G1312" i="1" a="1"/>
  <c r="G1312" i="1" s="1"/>
  <c r="I1307" i="1"/>
  <c r="H1307" i="1" a="1"/>
  <c r="H1307" i="1" s="1"/>
  <c r="G1307" i="1" a="1"/>
  <c r="G1307" i="1" s="1"/>
  <c r="I1302" i="1"/>
  <c r="H1302" i="1" a="1"/>
  <c r="H1302" i="1" s="1"/>
  <c r="G1302" i="1" a="1"/>
  <c r="G1302" i="1" s="1"/>
  <c r="I1297" i="1"/>
  <c r="H1297" i="1" a="1"/>
  <c r="H1297" i="1" s="1"/>
  <c r="G1297" i="1" a="1"/>
  <c r="G1297" i="1" s="1"/>
  <c r="I1292" i="1"/>
  <c r="H1292" i="1" a="1"/>
  <c r="H1292" i="1" s="1"/>
  <c r="G1292" i="1" a="1"/>
  <c r="G1292" i="1" s="1"/>
  <c r="I1287" i="1"/>
  <c r="H1287" i="1" a="1"/>
  <c r="H1287" i="1" s="1"/>
  <c r="G1287" i="1" a="1"/>
  <c r="G1287" i="1" s="1"/>
  <c r="I1282" i="1"/>
  <c r="H1282" i="1" a="1"/>
  <c r="H1282" i="1" s="1"/>
  <c r="G1282" i="1" a="1"/>
  <c r="G1282" i="1" s="1"/>
  <c r="I1277" i="1"/>
  <c r="H1277" i="1" a="1"/>
  <c r="H1277" i="1" s="1"/>
  <c r="G1277" i="1" a="1"/>
  <c r="G1277" i="1" s="1"/>
  <c r="I1272" i="1"/>
  <c r="H1272" i="1" a="1"/>
  <c r="H1272" i="1" s="1"/>
  <c r="G1272" i="1" a="1"/>
  <c r="G1272" i="1" s="1"/>
  <c r="I1267" i="1"/>
  <c r="H1267" i="1" a="1"/>
  <c r="H1267" i="1" s="1"/>
  <c r="G1267" i="1" a="1"/>
  <c r="G1267" i="1" s="1"/>
  <c r="I1262" i="1"/>
  <c r="H1262" i="1" a="1"/>
  <c r="H1262" i="1" s="1"/>
  <c r="G1262" i="1" a="1"/>
  <c r="G1262" i="1" s="1"/>
  <c r="I1257" i="1"/>
  <c r="H1257" i="1" a="1"/>
  <c r="H1257" i="1" s="1"/>
  <c r="G1257" i="1" a="1"/>
  <c r="G1257" i="1" s="1"/>
  <c r="I1252" i="1"/>
  <c r="H1252" i="1" a="1"/>
  <c r="H1252" i="1" s="1"/>
  <c r="G1252" i="1" a="1"/>
  <c r="G1252" i="1" s="1"/>
  <c r="I1247" i="1"/>
  <c r="H1247" i="1" a="1"/>
  <c r="H1247" i="1" s="1"/>
  <c r="G1247" i="1" a="1"/>
  <c r="G1247" i="1" s="1"/>
  <c r="I1242" i="1"/>
  <c r="H1242" i="1" a="1"/>
  <c r="H1242" i="1" s="1"/>
  <c r="G1242" i="1" a="1"/>
  <c r="G1242" i="1" s="1"/>
  <c r="I1237" i="1"/>
  <c r="H1237" i="1" a="1"/>
  <c r="H1237" i="1" s="1"/>
  <c r="G1237" i="1" a="1"/>
  <c r="G1237" i="1" s="1"/>
  <c r="I1232" i="1"/>
  <c r="H1232" i="1" a="1"/>
  <c r="H1232" i="1" s="1"/>
  <c r="G1232" i="1" a="1"/>
  <c r="G1232" i="1" s="1"/>
  <c r="A2015" i="1"/>
  <c r="A1987" i="1"/>
  <c r="A1980" i="1"/>
  <c r="A1975" i="1"/>
  <c r="A1970" i="1"/>
  <c r="A1965" i="1"/>
  <c r="A1950" i="1"/>
  <c r="A1945" i="1"/>
  <c r="A1940" i="1"/>
  <c r="A1935" i="1"/>
  <c r="A1930" i="1"/>
  <c r="A1925" i="1"/>
  <c r="A1915" i="1"/>
  <c r="A1910" i="1"/>
  <c r="A1905" i="1"/>
  <c r="A1900" i="1"/>
  <c r="A1895" i="1"/>
  <c r="A1890" i="1"/>
  <c r="A1885" i="1"/>
  <c r="A1880" i="1"/>
  <c r="A1875" i="1"/>
  <c r="A1870" i="1"/>
  <c r="A1865" i="1"/>
  <c r="A1860" i="1"/>
  <c r="A1855" i="1"/>
  <c r="A1850" i="1"/>
  <c r="A1845" i="1"/>
  <c r="A1840" i="1"/>
  <c r="A1835" i="1"/>
  <c r="A1830" i="1"/>
  <c r="I1825" i="1"/>
  <c r="H1825" i="1" a="1"/>
  <c r="H1825" i="1" s="1"/>
  <c r="G1825" i="1" a="1"/>
  <c r="G1825" i="1" s="1"/>
  <c r="I1820" i="1"/>
  <c r="H1820" i="1" a="1"/>
  <c r="H1820" i="1" s="1"/>
  <c r="G1820" i="1" a="1"/>
  <c r="G1820" i="1" s="1"/>
  <c r="I1815" i="1"/>
  <c r="H1815" i="1" a="1"/>
  <c r="H1815" i="1" s="1"/>
  <c r="G1815" i="1" a="1"/>
  <c r="G1815" i="1" s="1"/>
  <c r="I1810" i="1"/>
  <c r="H1810" i="1" a="1"/>
  <c r="H1810" i="1" s="1"/>
  <c r="G1810" i="1" a="1"/>
  <c r="G1810" i="1" s="1"/>
  <c r="I1805" i="1"/>
  <c r="H1805" i="1" a="1"/>
  <c r="H1805" i="1" s="1"/>
  <c r="G1805" i="1" a="1"/>
  <c r="G1805" i="1" s="1"/>
  <c r="I1800" i="1"/>
  <c r="H1800" i="1" a="1"/>
  <c r="H1800" i="1" s="1"/>
  <c r="G1800" i="1" a="1"/>
  <c r="G1800" i="1" s="1"/>
  <c r="I1795" i="1"/>
  <c r="H1795" i="1" a="1"/>
  <c r="H1795" i="1" s="1"/>
  <c r="G1795" i="1" a="1"/>
  <c r="G1795" i="1" s="1"/>
  <c r="I1790" i="1"/>
  <c r="H1790" i="1" a="1"/>
  <c r="H1790" i="1" s="1"/>
  <c r="G1790" i="1" a="1"/>
  <c r="G1790" i="1" s="1"/>
  <c r="I1785" i="1"/>
  <c r="H1785" i="1" a="1"/>
  <c r="H1785" i="1" s="1"/>
  <c r="G1785" i="1" a="1"/>
  <c r="G1785" i="1" s="1"/>
  <c r="I1780" i="1"/>
  <c r="H1780" i="1" a="1"/>
  <c r="H1780" i="1" s="1"/>
  <c r="G1780" i="1" a="1"/>
  <c r="G1780" i="1" s="1"/>
  <c r="I1775" i="1"/>
  <c r="H1775" i="1" a="1"/>
  <c r="H1775" i="1" s="1"/>
  <c r="G1775" i="1" a="1"/>
  <c r="G1775" i="1" s="1"/>
  <c r="I1770" i="1"/>
  <c r="H1770" i="1" a="1"/>
  <c r="H1770" i="1" s="1"/>
  <c r="G1770" i="1" a="1"/>
  <c r="G1770" i="1" s="1"/>
  <c r="I1765" i="1"/>
  <c r="H1765" i="1" a="1"/>
  <c r="H1765" i="1" s="1"/>
  <c r="G1765" i="1" a="1"/>
  <c r="G1765" i="1" s="1"/>
  <c r="I1760" i="1"/>
  <c r="H1760" i="1" a="1"/>
  <c r="H1760" i="1" s="1"/>
  <c r="G1760" i="1" a="1"/>
  <c r="G1760" i="1" s="1"/>
  <c r="I1755" i="1"/>
  <c r="H1755" i="1" a="1"/>
  <c r="H1755" i="1" s="1"/>
  <c r="G1755" i="1" a="1"/>
  <c r="G1755" i="1" s="1"/>
  <c r="I1750" i="1"/>
  <c r="H1750" i="1" a="1"/>
  <c r="H1750" i="1" s="1"/>
  <c r="G1750" i="1" a="1"/>
  <c r="G1750" i="1" s="1"/>
  <c r="I1745" i="1"/>
  <c r="H1745" i="1" a="1"/>
  <c r="H1745" i="1" s="1"/>
  <c r="G1745" i="1" a="1"/>
  <c r="G1745" i="1" s="1"/>
  <c r="I1740" i="1"/>
  <c r="H1740" i="1" a="1"/>
  <c r="H1740" i="1" s="1"/>
  <c r="G1740" i="1" a="1"/>
  <c r="G1740" i="1" s="1"/>
  <c r="I1735" i="1"/>
  <c r="H1735" i="1" a="1"/>
  <c r="H1735" i="1" s="1"/>
  <c r="G1735" i="1" a="1"/>
  <c r="G1735" i="1" s="1"/>
  <c r="I1730" i="1"/>
  <c r="H1730" i="1" a="1"/>
  <c r="H1730" i="1" s="1"/>
  <c r="G1730" i="1" a="1"/>
  <c r="G1730" i="1" s="1"/>
  <c r="I1725" i="1"/>
  <c r="H1725" i="1" a="1"/>
  <c r="H1725" i="1" s="1"/>
  <c r="G1725" i="1" a="1"/>
  <c r="G1725" i="1" s="1"/>
  <c r="I1720" i="1"/>
  <c r="H1720" i="1" a="1"/>
  <c r="H1720" i="1" s="1"/>
  <c r="G1720" i="1" a="1"/>
  <c r="G1720" i="1" s="1"/>
  <c r="I1715" i="1"/>
  <c r="H1715" i="1" a="1"/>
  <c r="H1715" i="1" s="1"/>
  <c r="G1715" i="1" a="1"/>
  <c r="G1715" i="1" s="1"/>
  <c r="I1710" i="1"/>
  <c r="H1710" i="1" a="1"/>
  <c r="H1710" i="1" s="1"/>
  <c r="G1710" i="1" a="1"/>
  <c r="G1710" i="1" s="1"/>
  <c r="I1705" i="1"/>
  <c r="H1705" i="1" a="1"/>
  <c r="H1705" i="1" s="1"/>
  <c r="G1705" i="1" a="1"/>
  <c r="G1705" i="1" s="1"/>
  <c r="I1700" i="1"/>
  <c r="H1700" i="1" a="1"/>
  <c r="H1700" i="1" s="1"/>
  <c r="G1700" i="1" a="1"/>
  <c r="G1700" i="1" s="1"/>
  <c r="I1695" i="1"/>
  <c r="H1695" i="1" a="1"/>
  <c r="H1695" i="1" s="1"/>
  <c r="G1695" i="1" a="1"/>
  <c r="G1695" i="1" s="1"/>
  <c r="I1690" i="1"/>
  <c r="H1690" i="1" a="1"/>
  <c r="H1690" i="1" s="1"/>
  <c r="G1690" i="1" a="1"/>
  <c r="G1690" i="1" s="1"/>
  <c r="I1685" i="1"/>
  <c r="H1685" i="1" a="1"/>
  <c r="H1685" i="1" s="1"/>
  <c r="G1685" i="1" a="1"/>
  <c r="G1685" i="1" s="1"/>
  <c r="I1680" i="1"/>
  <c r="H1680" i="1" a="1"/>
  <c r="H1680" i="1" s="1"/>
  <c r="G1680" i="1" a="1"/>
  <c r="G1680" i="1" s="1"/>
  <c r="I1675" i="1"/>
  <c r="H1675" i="1" a="1"/>
  <c r="H1675" i="1" s="1"/>
  <c r="G1675" i="1" a="1"/>
  <c r="G1675" i="1" s="1"/>
  <c r="I1670" i="1"/>
  <c r="H1670" i="1" a="1"/>
  <c r="H1670" i="1" s="1"/>
  <c r="G1670" i="1" a="1"/>
  <c r="G1670" i="1" s="1"/>
  <c r="I1665" i="1"/>
  <c r="H1665" i="1" a="1"/>
  <c r="H1665" i="1" s="1"/>
  <c r="G1665" i="1" a="1"/>
  <c r="G1665" i="1" s="1"/>
  <c r="I1660" i="1"/>
  <c r="H1660" i="1" a="1"/>
  <c r="H1660" i="1" s="1"/>
  <c r="G1660" i="1" a="1"/>
  <c r="G1660" i="1" s="1"/>
  <c r="I1655" i="1"/>
  <c r="H1655" i="1" a="1"/>
  <c r="H1655" i="1" s="1"/>
  <c r="G1655" i="1" a="1"/>
  <c r="G1655" i="1" s="1"/>
  <c r="I1650" i="1"/>
  <c r="H1650" i="1" a="1"/>
  <c r="H1650" i="1" s="1"/>
  <c r="G1650" i="1" a="1"/>
  <c r="G1650" i="1" s="1"/>
  <c r="I1645" i="1"/>
  <c r="H1645" i="1" a="1"/>
  <c r="H1645" i="1" s="1"/>
  <c r="G1645" i="1" a="1"/>
  <c r="G1645" i="1" s="1"/>
  <c r="I1640" i="1"/>
  <c r="H1640" i="1" a="1"/>
  <c r="H1640" i="1" s="1"/>
  <c r="G1640" i="1" a="1"/>
  <c r="G1640" i="1" s="1"/>
  <c r="I1635" i="1"/>
  <c r="H1635" i="1" a="1"/>
  <c r="H1635" i="1" s="1"/>
  <c r="G1635" i="1" a="1"/>
  <c r="G1635" i="1" s="1"/>
  <c r="I1630" i="1"/>
  <c r="H1630" i="1" a="1"/>
  <c r="H1630" i="1" s="1"/>
  <c r="G1630" i="1" a="1"/>
  <c r="G1630" i="1" s="1"/>
  <c r="I1625" i="1"/>
  <c r="H1625" i="1" a="1"/>
  <c r="H1625" i="1" s="1"/>
  <c r="G1625" i="1" a="1"/>
  <c r="G1625" i="1" s="1"/>
  <c r="I1620" i="1"/>
  <c r="H1620" i="1" a="1"/>
  <c r="H1620" i="1" s="1"/>
  <c r="G1620" i="1" a="1"/>
  <c r="G1620" i="1" s="1"/>
  <c r="I1615" i="1"/>
  <c r="H1615" i="1" a="1"/>
  <c r="H1615" i="1" s="1"/>
  <c r="G1615" i="1" a="1"/>
  <c r="G1615" i="1" s="1"/>
  <c r="I1610" i="1"/>
  <c r="H1610" i="1" a="1"/>
  <c r="H1610" i="1" s="1"/>
  <c r="G1610" i="1" a="1"/>
  <c r="G1610" i="1" s="1"/>
  <c r="I1605" i="1"/>
  <c r="H1605" i="1" a="1"/>
  <c r="H1605" i="1" s="1"/>
  <c r="G1605" i="1" a="1"/>
  <c r="G1605" i="1" s="1"/>
  <c r="I1600" i="1"/>
  <c r="H1600" i="1" a="1"/>
  <c r="H1600" i="1" s="1"/>
  <c r="G1600" i="1" a="1"/>
  <c r="G1600" i="1" s="1"/>
  <c r="I1595" i="1"/>
  <c r="H1595" i="1" a="1"/>
  <c r="H1595" i="1" s="1"/>
  <c r="G1595" i="1" a="1"/>
  <c r="G1595" i="1" s="1"/>
  <c r="I1590" i="1"/>
  <c r="H1590" i="1" a="1"/>
  <c r="H1590" i="1" s="1"/>
  <c r="G1590" i="1" a="1"/>
  <c r="G1590" i="1" s="1"/>
  <c r="I1585" i="1"/>
  <c r="H1585" i="1" a="1"/>
  <c r="H1585" i="1" s="1"/>
  <c r="G1585" i="1" a="1"/>
  <c r="G1585" i="1" s="1"/>
  <c r="I1580" i="1"/>
  <c r="H1580" i="1" a="1"/>
  <c r="H1580" i="1" s="1"/>
  <c r="G1580" i="1" a="1"/>
  <c r="G1580" i="1" s="1"/>
  <c r="I1575" i="1"/>
  <c r="H1575" i="1" a="1"/>
  <c r="H1575" i="1" s="1"/>
  <c r="G1575" i="1" a="1"/>
  <c r="G1575" i="1" s="1"/>
  <c r="I1570" i="1"/>
  <c r="H1570" i="1" a="1"/>
  <c r="H1570" i="1" s="1"/>
  <c r="G1570" i="1" a="1"/>
  <c r="G1570" i="1" s="1"/>
  <c r="A1565" i="1"/>
  <c r="A1560" i="1"/>
  <c r="A1555" i="1"/>
  <c r="A1550" i="1"/>
  <c r="A1545" i="1"/>
  <c r="A1540" i="1"/>
  <c r="A1535" i="1"/>
  <c r="A1530" i="1"/>
  <c r="A1525" i="1"/>
  <c r="A1520" i="1"/>
  <c r="A1515" i="1"/>
  <c r="A1510" i="1"/>
  <c r="A1505" i="1"/>
  <c r="A1500" i="1"/>
  <c r="A1495" i="1"/>
  <c r="A1490" i="1"/>
  <c r="A1485" i="1"/>
  <c r="A1480" i="1"/>
  <c r="A1475" i="1"/>
  <c r="A1470" i="1"/>
  <c r="A1465" i="1"/>
  <c r="A1460" i="1"/>
  <c r="A1455" i="1"/>
  <c r="A1450" i="1"/>
  <c r="A1445" i="1"/>
  <c r="I1440" i="1"/>
  <c r="H1440" i="1" a="1"/>
  <c r="H1440" i="1" s="1"/>
  <c r="G1440" i="1" a="1"/>
  <c r="G1440" i="1" s="1"/>
  <c r="I1435" i="1"/>
  <c r="H1435" i="1" a="1"/>
  <c r="H1435" i="1" s="1"/>
  <c r="G1435" i="1" a="1"/>
  <c r="G1435" i="1" s="1"/>
  <c r="I1430" i="1"/>
  <c r="H1430" i="1" a="1"/>
  <c r="H1430" i="1" s="1"/>
  <c r="G1430" i="1" a="1"/>
  <c r="G1430" i="1" s="1"/>
  <c r="I1425" i="1"/>
  <c r="H1425" i="1" a="1"/>
  <c r="H1425" i="1" s="1"/>
  <c r="G1425" i="1" a="1"/>
  <c r="G1425" i="1" s="1"/>
  <c r="I1420" i="1"/>
  <c r="H1420" i="1" a="1"/>
  <c r="H1420" i="1" s="1"/>
  <c r="G1420" i="1" a="1"/>
  <c r="G1420" i="1" s="1"/>
  <c r="I1415" i="1"/>
  <c r="H1415" i="1" a="1"/>
  <c r="H1415" i="1" s="1"/>
  <c r="G1415" i="1" a="1"/>
  <c r="G1415" i="1" s="1"/>
  <c r="I1410" i="1"/>
  <c r="H1410" i="1" a="1"/>
  <c r="H1410" i="1" s="1"/>
  <c r="G1410" i="1" a="1"/>
  <c r="G1410" i="1" s="1"/>
  <c r="I1405" i="1"/>
  <c r="H1405" i="1" a="1"/>
  <c r="H1405" i="1" s="1"/>
  <c r="G1405" i="1" a="1"/>
  <c r="G1405" i="1" s="1"/>
  <c r="I1400" i="1"/>
  <c r="H1400" i="1" a="1"/>
  <c r="H1400" i="1" s="1"/>
  <c r="G1400" i="1" a="1"/>
  <c r="G1400" i="1" s="1"/>
  <c r="I1395" i="1"/>
  <c r="H1395" i="1" a="1"/>
  <c r="H1395" i="1" s="1"/>
  <c r="G1395" i="1" a="1"/>
  <c r="G1395" i="1" s="1"/>
  <c r="I1390" i="1"/>
  <c r="H1390" i="1" a="1"/>
  <c r="H1390" i="1" s="1"/>
  <c r="G1390" i="1" a="1"/>
  <c r="G1390" i="1" s="1"/>
  <c r="I1385" i="1"/>
  <c r="H1385" i="1" a="1"/>
  <c r="H1385" i="1" s="1"/>
  <c r="G1385" i="1" a="1"/>
  <c r="G1385" i="1" s="1"/>
  <c r="I1380" i="1"/>
  <c r="H1380" i="1" a="1"/>
  <c r="H1380" i="1" s="1"/>
  <c r="G1380" i="1" a="1"/>
  <c r="G1380" i="1" s="1"/>
  <c r="I1375" i="1"/>
  <c r="H1375" i="1" a="1"/>
  <c r="H1375" i="1" s="1"/>
  <c r="G1375" i="1" a="1"/>
  <c r="G1375" i="1" s="1"/>
  <c r="I1370" i="1"/>
  <c r="H1370" i="1" a="1"/>
  <c r="H1370" i="1" s="1"/>
  <c r="G1370" i="1" a="1"/>
  <c r="G1370" i="1" s="1"/>
  <c r="I1365" i="1"/>
  <c r="H1365" i="1" a="1"/>
  <c r="H1365" i="1" s="1"/>
  <c r="G1365" i="1" a="1"/>
  <c r="G1365" i="1" s="1"/>
  <c r="I1360" i="1"/>
  <c r="H1360" i="1" a="1"/>
  <c r="H1360" i="1" s="1"/>
  <c r="G1360" i="1" a="1"/>
  <c r="G1360" i="1" s="1"/>
  <c r="I1355" i="1"/>
  <c r="H1355" i="1" a="1"/>
  <c r="H1355" i="1" s="1"/>
  <c r="G1355" i="1" a="1"/>
  <c r="G1355" i="1" s="1"/>
  <c r="I1350" i="1"/>
  <c r="H1350" i="1" a="1"/>
  <c r="H1350" i="1" s="1"/>
  <c r="G1350" i="1" a="1"/>
  <c r="G1350" i="1" s="1"/>
  <c r="I1345" i="1"/>
  <c r="H1345" i="1" a="1"/>
  <c r="H1345" i="1" s="1"/>
  <c r="G1345" i="1" a="1"/>
  <c r="G1345" i="1" s="1"/>
  <c r="I1340" i="1"/>
  <c r="H1340" i="1" a="1"/>
  <c r="H1340" i="1" s="1"/>
  <c r="G1340" i="1" a="1"/>
  <c r="G1340" i="1" s="1"/>
  <c r="I1335" i="1"/>
  <c r="H1335" i="1" a="1"/>
  <c r="H1335" i="1" s="1"/>
  <c r="G1335" i="1" a="1"/>
  <c r="G1335" i="1" s="1"/>
  <c r="I1330" i="1"/>
  <c r="H1330" i="1" a="1"/>
  <c r="H1330" i="1" s="1"/>
  <c r="G1330" i="1" a="1"/>
  <c r="G1330" i="1" s="1"/>
  <c r="I1325" i="1"/>
  <c r="H1325" i="1" a="1"/>
  <c r="H1325" i="1" s="1"/>
  <c r="G1325" i="1" a="1"/>
  <c r="G1325" i="1" s="1"/>
  <c r="I1320" i="1"/>
  <c r="H1320" i="1" a="1"/>
  <c r="H1320" i="1" s="1"/>
  <c r="G1320" i="1" a="1"/>
  <c r="G1320" i="1" s="1"/>
  <c r="I1315" i="1"/>
  <c r="H1315" i="1" a="1"/>
  <c r="H1315" i="1" s="1"/>
  <c r="G1315" i="1" a="1"/>
  <c r="G1315" i="1" s="1"/>
  <c r="I1310" i="1"/>
  <c r="H1310" i="1" a="1"/>
  <c r="H1310" i="1" s="1"/>
  <c r="G1310" i="1" a="1"/>
  <c r="G1310" i="1" s="1"/>
  <c r="I1305" i="1"/>
  <c r="H1305" i="1" a="1"/>
  <c r="H1305" i="1" s="1"/>
  <c r="G1305" i="1" a="1"/>
  <c r="G1305" i="1" s="1"/>
  <c r="I1300" i="1"/>
  <c r="H1300" i="1" a="1"/>
  <c r="H1300" i="1" s="1"/>
  <c r="G1300" i="1" a="1"/>
  <c r="G1300" i="1" s="1"/>
  <c r="I1295" i="1"/>
  <c r="H1295" i="1" a="1"/>
  <c r="H1295" i="1" s="1"/>
  <c r="G1295" i="1" a="1"/>
  <c r="G1295" i="1" s="1"/>
  <c r="I1290" i="1"/>
  <c r="H1290" i="1" a="1"/>
  <c r="H1290" i="1" s="1"/>
  <c r="G1290" i="1" a="1"/>
  <c r="G1290" i="1" s="1"/>
  <c r="I1285" i="1"/>
  <c r="H1285" i="1" a="1"/>
  <c r="H1285" i="1" s="1"/>
  <c r="G1285" i="1" a="1"/>
  <c r="G1285" i="1" s="1"/>
  <c r="I1280" i="1"/>
  <c r="H1280" i="1" a="1"/>
  <c r="H1280" i="1" s="1"/>
  <c r="G1280" i="1" a="1"/>
  <c r="G1280" i="1" s="1"/>
  <c r="I1275" i="1"/>
  <c r="H1275" i="1" a="1"/>
  <c r="H1275" i="1" s="1"/>
  <c r="G1275" i="1" a="1"/>
  <c r="G1275" i="1" s="1"/>
  <c r="I1270" i="1"/>
  <c r="H1270" i="1" a="1"/>
  <c r="H1270" i="1" s="1"/>
  <c r="G1270" i="1" a="1"/>
  <c r="G1270" i="1" s="1"/>
  <c r="I1265" i="1"/>
  <c r="H1265" i="1" a="1"/>
  <c r="H1265" i="1" s="1"/>
  <c r="G1265" i="1" a="1"/>
  <c r="G1265" i="1" s="1"/>
  <c r="I1260" i="1"/>
  <c r="H1260" i="1" a="1"/>
  <c r="H1260" i="1" s="1"/>
  <c r="G1260" i="1" a="1"/>
  <c r="G1260" i="1" s="1"/>
  <c r="I1255" i="1"/>
  <c r="H1255" i="1" a="1"/>
  <c r="H1255" i="1" s="1"/>
  <c r="G1255" i="1" a="1"/>
  <c r="G1255" i="1" s="1"/>
  <c r="I1250" i="1"/>
  <c r="H1250" i="1" a="1"/>
  <c r="H1250" i="1" s="1"/>
  <c r="G1250" i="1" a="1"/>
  <c r="G1250" i="1" s="1"/>
  <c r="I1245" i="1"/>
  <c r="H1245" i="1" a="1"/>
  <c r="H1245" i="1" s="1"/>
  <c r="G1245" i="1" a="1"/>
  <c r="G1245" i="1" s="1"/>
  <c r="I1240" i="1"/>
  <c r="H1240" i="1" a="1"/>
  <c r="H1240" i="1" s="1"/>
  <c r="G1240" i="1" a="1"/>
  <c r="G1240" i="1" s="1"/>
  <c r="I1235" i="1"/>
  <c r="H1235" i="1" a="1"/>
  <c r="H1235" i="1" s="1"/>
  <c r="G1235" i="1" a="1"/>
  <c r="G1235" i="1" s="1"/>
  <c r="I1230" i="1"/>
  <c r="H1230" i="1" a="1"/>
  <c r="H1230" i="1" s="1"/>
  <c r="G1230" i="1" a="1"/>
  <c r="G1230" i="1" s="1"/>
  <c r="I1225" i="1"/>
  <c r="H1225" i="1" a="1"/>
  <c r="H1225" i="1" s="1"/>
  <c r="G1225" i="1" a="1"/>
  <c r="G1225" i="1" s="1"/>
  <c r="I1220" i="1"/>
  <c r="H1220" i="1" a="1"/>
  <c r="H1220" i="1" s="1"/>
  <c r="G1220" i="1" a="1"/>
  <c r="G1220" i="1" s="1"/>
  <c r="I1215" i="1"/>
  <c r="H1215" i="1" a="1"/>
  <c r="H1215" i="1" s="1"/>
  <c r="G1215" i="1" a="1"/>
  <c r="G1215" i="1" s="1"/>
  <c r="I1210" i="1"/>
  <c r="H1210" i="1" a="1"/>
  <c r="H1210" i="1" s="1"/>
  <c r="G1210" i="1" a="1"/>
  <c r="G1210" i="1" s="1"/>
  <c r="I1205" i="1"/>
  <c r="H1205" i="1" a="1"/>
  <c r="H1205" i="1" s="1"/>
  <c r="G1205" i="1" a="1"/>
  <c r="G1205" i="1" s="1"/>
  <c r="I1200" i="1"/>
  <c r="H1200" i="1" a="1"/>
  <c r="H1200" i="1" s="1"/>
  <c r="G1200" i="1" a="1"/>
  <c r="G1200" i="1" s="1"/>
  <c r="I1195" i="1"/>
  <c r="H1195" i="1" a="1"/>
  <c r="H1195" i="1" s="1"/>
  <c r="G1195" i="1" a="1"/>
  <c r="G1195" i="1" s="1"/>
  <c r="I1190" i="1"/>
  <c r="H1190" i="1" a="1"/>
  <c r="H1190" i="1" s="1"/>
  <c r="G1190" i="1" a="1"/>
  <c r="G1190" i="1" s="1"/>
  <c r="I1185" i="1"/>
  <c r="H1185" i="1" a="1"/>
  <c r="H1185" i="1" s="1"/>
  <c r="G1185" i="1" a="1"/>
  <c r="G1185" i="1" s="1"/>
  <c r="A2002" i="1"/>
  <c r="A1997" i="1"/>
  <c r="A1992" i="1"/>
  <c r="A1985" i="1"/>
  <c r="A1960" i="1"/>
  <c r="A1955" i="1"/>
  <c r="A1920" i="1"/>
  <c r="A2013" i="1"/>
  <c r="A2012" i="1"/>
  <c r="A2000" i="1"/>
  <c r="A1995" i="1"/>
  <c r="A1990" i="1"/>
  <c r="A1983" i="1"/>
  <c r="A1978" i="1"/>
  <c r="A1973" i="1"/>
  <c r="A1968" i="1"/>
  <c r="A1963" i="1"/>
  <c r="A1958" i="1"/>
  <c r="A1953" i="1"/>
  <c r="A1948" i="1"/>
  <c r="A1943" i="1"/>
  <c r="A1938" i="1"/>
  <c r="A1933" i="1"/>
  <c r="A1928" i="1"/>
  <c r="A1923" i="1"/>
  <c r="A1918" i="1"/>
  <c r="A1913" i="1"/>
  <c r="A1908" i="1"/>
  <c r="A1903" i="1"/>
  <c r="A1898" i="1"/>
  <c r="A1893" i="1"/>
  <c r="A1888" i="1"/>
  <c r="A1883" i="1"/>
  <c r="A1878" i="1"/>
  <c r="A1873" i="1"/>
  <c r="A1868" i="1"/>
  <c r="A1863" i="1"/>
  <c r="A1858" i="1"/>
  <c r="A1853" i="1"/>
  <c r="A1848" i="1"/>
  <c r="A1843" i="1"/>
  <c r="A1838" i="1"/>
  <c r="A1833" i="1"/>
  <c r="A1828" i="1"/>
  <c r="I1823" i="1"/>
  <c r="H1823" i="1" a="1"/>
  <c r="H1823" i="1" s="1"/>
  <c r="G1823" i="1" a="1"/>
  <c r="G1823" i="1" s="1"/>
  <c r="I1818" i="1"/>
  <c r="H1818" i="1" a="1"/>
  <c r="H1818" i="1" s="1"/>
  <c r="G1818" i="1" a="1"/>
  <c r="G1818" i="1" s="1"/>
  <c r="I1813" i="1"/>
  <c r="H1813" i="1" a="1"/>
  <c r="H1813" i="1" s="1"/>
  <c r="G1813" i="1" a="1"/>
  <c r="G1813" i="1" s="1"/>
  <c r="I1808" i="1"/>
  <c r="H1808" i="1" a="1"/>
  <c r="H1808" i="1" s="1"/>
  <c r="G1808" i="1" a="1"/>
  <c r="G1808" i="1" s="1"/>
  <c r="I1803" i="1"/>
  <c r="H1803" i="1" a="1"/>
  <c r="H1803" i="1" s="1"/>
  <c r="G1803" i="1" a="1"/>
  <c r="G1803" i="1" s="1"/>
  <c r="I1798" i="1"/>
  <c r="H1798" i="1" a="1"/>
  <c r="H1798" i="1" s="1"/>
  <c r="G1798" i="1" a="1"/>
  <c r="G1798" i="1" s="1"/>
  <c r="I1793" i="1"/>
  <c r="H1793" i="1" a="1"/>
  <c r="H1793" i="1" s="1"/>
  <c r="G1793" i="1" a="1"/>
  <c r="G1793" i="1" s="1"/>
  <c r="I1788" i="1"/>
  <c r="H1788" i="1" a="1"/>
  <c r="H1788" i="1" s="1"/>
  <c r="G1788" i="1" a="1"/>
  <c r="G1788" i="1" s="1"/>
  <c r="I1783" i="1"/>
  <c r="H1783" i="1" a="1"/>
  <c r="H1783" i="1" s="1"/>
  <c r="G1783" i="1" a="1"/>
  <c r="G1783" i="1" s="1"/>
  <c r="I1778" i="1"/>
  <c r="H1778" i="1" a="1"/>
  <c r="H1778" i="1" s="1"/>
  <c r="G1778" i="1" a="1"/>
  <c r="G1778" i="1" s="1"/>
  <c r="I1773" i="1"/>
  <c r="H1773" i="1" a="1"/>
  <c r="H1773" i="1" s="1"/>
  <c r="G1773" i="1" a="1"/>
  <c r="G1773" i="1" s="1"/>
  <c r="I1768" i="1"/>
  <c r="H1768" i="1" a="1"/>
  <c r="H1768" i="1" s="1"/>
  <c r="G1768" i="1" a="1"/>
  <c r="G1768" i="1" s="1"/>
  <c r="I1763" i="1"/>
  <c r="H1763" i="1" a="1"/>
  <c r="H1763" i="1" s="1"/>
  <c r="G1763" i="1" a="1"/>
  <c r="G1763" i="1" s="1"/>
  <c r="I1758" i="1"/>
  <c r="H1758" i="1" a="1"/>
  <c r="H1758" i="1" s="1"/>
  <c r="G1758" i="1" a="1"/>
  <c r="G1758" i="1" s="1"/>
  <c r="I1753" i="1"/>
  <c r="H1753" i="1" a="1"/>
  <c r="H1753" i="1" s="1"/>
  <c r="G1753" i="1" a="1"/>
  <c r="G1753" i="1" s="1"/>
  <c r="I1748" i="1"/>
  <c r="H1748" i="1" a="1"/>
  <c r="H1748" i="1" s="1"/>
  <c r="G1748" i="1" a="1"/>
  <c r="G1748" i="1" s="1"/>
  <c r="I1743" i="1"/>
  <c r="H1743" i="1" a="1"/>
  <c r="H1743" i="1" s="1"/>
  <c r="G1743" i="1" a="1"/>
  <c r="G1743" i="1" s="1"/>
  <c r="I1738" i="1"/>
  <c r="H1738" i="1" a="1"/>
  <c r="H1738" i="1" s="1"/>
  <c r="G1738" i="1" a="1"/>
  <c r="G1738" i="1" s="1"/>
  <c r="I1733" i="1"/>
  <c r="H1733" i="1" a="1"/>
  <c r="H1733" i="1" s="1"/>
  <c r="G1733" i="1" a="1"/>
  <c r="G1733" i="1" s="1"/>
  <c r="I1728" i="1"/>
  <c r="H1728" i="1" a="1"/>
  <c r="H1728" i="1" s="1"/>
  <c r="G1728" i="1" a="1"/>
  <c r="G1728" i="1" s="1"/>
  <c r="I1723" i="1"/>
  <c r="H1723" i="1" a="1"/>
  <c r="H1723" i="1" s="1"/>
  <c r="G1723" i="1" a="1"/>
  <c r="G1723" i="1" s="1"/>
  <c r="I1718" i="1"/>
  <c r="H1718" i="1" a="1"/>
  <c r="H1718" i="1" s="1"/>
  <c r="G1718" i="1" a="1"/>
  <c r="G1718" i="1" s="1"/>
  <c r="I1713" i="1"/>
  <c r="H1713" i="1" a="1"/>
  <c r="H1713" i="1" s="1"/>
  <c r="G1713" i="1" a="1"/>
  <c r="G1713" i="1" s="1"/>
  <c r="I1708" i="1"/>
  <c r="H1708" i="1" a="1"/>
  <c r="H1708" i="1" s="1"/>
  <c r="G1708" i="1" a="1"/>
  <c r="G1708" i="1" s="1"/>
  <c r="A2014" i="1"/>
  <c r="A2010" i="1"/>
  <c r="A1988" i="1"/>
  <c r="A2009" i="1"/>
  <c r="A2004" i="1"/>
  <c r="A1981" i="1"/>
  <c r="A1971" i="1"/>
  <c r="A1931" i="1"/>
  <c r="A1836" i="1"/>
  <c r="I1791" i="1"/>
  <c r="H1791" i="1" a="1"/>
  <c r="H1791" i="1" s="1"/>
  <c r="G1791" i="1" a="1"/>
  <c r="G1791" i="1" s="1"/>
  <c r="I1751" i="1"/>
  <c r="H1751" i="1" a="1"/>
  <c r="H1751" i="1" s="1"/>
  <c r="G1751" i="1" a="1"/>
  <c r="G1751" i="1" s="1"/>
  <c r="I1746" i="1"/>
  <c r="H1746" i="1" a="1"/>
  <c r="H1746" i="1" s="1"/>
  <c r="G1746" i="1" a="1"/>
  <c r="G1746" i="1" s="1"/>
  <c r="I1721" i="1"/>
  <c r="H1721" i="1" a="1"/>
  <c r="H1721" i="1" s="1"/>
  <c r="G1721" i="1" a="1"/>
  <c r="G1721" i="1" s="1"/>
  <c r="I1701" i="1"/>
  <c r="H1701" i="1" a="1"/>
  <c r="H1701" i="1" s="1"/>
  <c r="G1701" i="1" a="1"/>
  <c r="G1701" i="1" s="1"/>
  <c r="I1691" i="1"/>
  <c r="H1691" i="1" a="1"/>
  <c r="H1691" i="1" s="1"/>
  <c r="G1691" i="1" a="1"/>
  <c r="G1691" i="1" s="1"/>
  <c r="I1666" i="1"/>
  <c r="H1666" i="1" a="1"/>
  <c r="H1666" i="1" s="1"/>
  <c r="G1666" i="1" a="1"/>
  <c r="G1666" i="1" s="1"/>
  <c r="I1636" i="1"/>
  <c r="H1636" i="1" a="1"/>
  <c r="H1636" i="1" s="1"/>
  <c r="G1636" i="1" a="1"/>
  <c r="G1636" i="1" s="1"/>
  <c r="A2008" i="1"/>
  <c r="A1998" i="1"/>
  <c r="A1976" i="1"/>
  <c r="A1921" i="1"/>
  <c r="A1871" i="1"/>
  <c r="A1841" i="1"/>
  <c r="I1806" i="1"/>
  <c r="H1806" i="1" a="1"/>
  <c r="H1806" i="1" s="1"/>
  <c r="G1806" i="1" a="1"/>
  <c r="G1806" i="1" s="1"/>
  <c r="I1776" i="1"/>
  <c r="H1776" i="1" a="1"/>
  <c r="H1776" i="1" s="1"/>
  <c r="G1776" i="1" a="1"/>
  <c r="G1776" i="1" s="1"/>
  <c r="I1756" i="1"/>
  <c r="H1756" i="1" a="1"/>
  <c r="H1756" i="1" s="1"/>
  <c r="G1756" i="1" a="1"/>
  <c r="G1756" i="1" s="1"/>
  <c r="I1731" i="1"/>
  <c r="H1731" i="1" a="1"/>
  <c r="H1731" i="1" s="1"/>
  <c r="G1731" i="1" a="1"/>
  <c r="G1731" i="1" s="1"/>
  <c r="I1641" i="1"/>
  <c r="H1641" i="1" a="1"/>
  <c r="H1641" i="1" s="1"/>
  <c r="G1641" i="1" a="1"/>
  <c r="G1641" i="1" s="1"/>
  <c r="I1626" i="1"/>
  <c r="H1626" i="1" a="1"/>
  <c r="H1626" i="1" s="1"/>
  <c r="G1626" i="1" a="1"/>
  <c r="G1626" i="1" s="1"/>
  <c r="I1621" i="1"/>
  <c r="H1621" i="1" a="1"/>
  <c r="H1621" i="1" s="1"/>
  <c r="G1621" i="1" a="1"/>
  <c r="G1621" i="1" s="1"/>
  <c r="I1616" i="1"/>
  <c r="H1616" i="1" a="1"/>
  <c r="H1616" i="1" s="1"/>
  <c r="G1616" i="1" a="1"/>
  <c r="G1616" i="1" s="1"/>
  <c r="I1611" i="1"/>
  <c r="H1611" i="1" a="1"/>
  <c r="H1611" i="1" s="1"/>
  <c r="G1611" i="1" a="1"/>
  <c r="G1611" i="1" s="1"/>
  <c r="I1576" i="1"/>
  <c r="H1576" i="1" a="1"/>
  <c r="H1576" i="1" s="1"/>
  <c r="G1576" i="1" a="1"/>
  <c r="G1576" i="1" s="1"/>
  <c r="I1571" i="1"/>
  <c r="H1571" i="1" a="1"/>
  <c r="H1571" i="1" s="1"/>
  <c r="G1571" i="1" a="1"/>
  <c r="G1571" i="1" s="1"/>
  <c r="A1556" i="1"/>
  <c r="A1541" i="1"/>
  <c r="A1531" i="1"/>
  <c r="A1521" i="1"/>
  <c r="A1491" i="1"/>
  <c r="I1426" i="1"/>
  <c r="H1426" i="1" a="1"/>
  <c r="H1426" i="1" s="1"/>
  <c r="G1426" i="1" a="1"/>
  <c r="G1426" i="1" s="1"/>
  <c r="I1411" i="1"/>
  <c r="H1411" i="1" a="1"/>
  <c r="H1411" i="1" s="1"/>
  <c r="G1411" i="1" a="1"/>
  <c r="G1411" i="1" s="1"/>
  <c r="I1341" i="1"/>
  <c r="H1341" i="1" a="1"/>
  <c r="H1341" i="1" s="1"/>
  <c r="G1341" i="1" a="1"/>
  <c r="G1341" i="1" s="1"/>
  <c r="I1331" i="1"/>
  <c r="H1331" i="1" a="1"/>
  <c r="H1331" i="1" s="1"/>
  <c r="G1331" i="1" a="1"/>
  <c r="G1331" i="1" s="1"/>
  <c r="I1321" i="1"/>
  <c r="H1321" i="1" a="1"/>
  <c r="H1321" i="1" s="1"/>
  <c r="G1321" i="1" a="1"/>
  <c r="G1321" i="1" s="1"/>
  <c r="I1286" i="1"/>
  <c r="H1286" i="1" a="1"/>
  <c r="H1286" i="1" s="1"/>
  <c r="G1286" i="1" a="1"/>
  <c r="G1286" i="1" s="1"/>
  <c r="I1271" i="1"/>
  <c r="H1271" i="1" a="1"/>
  <c r="H1271" i="1" s="1"/>
  <c r="G1271" i="1" a="1"/>
  <c r="G1271" i="1" s="1"/>
  <c r="A2007" i="1"/>
  <c r="A2003" i="1"/>
  <c r="A1936" i="1"/>
  <c r="A1926" i="1"/>
  <c r="A1916" i="1"/>
  <c r="A1876" i="1"/>
  <c r="A1851" i="1"/>
  <c r="I1811" i="1"/>
  <c r="H1811" i="1" a="1"/>
  <c r="H1811" i="1" s="1"/>
  <c r="G1811" i="1" a="1"/>
  <c r="G1811" i="1" s="1"/>
  <c r="I1796" i="1"/>
  <c r="H1796" i="1" a="1"/>
  <c r="H1796" i="1" s="1"/>
  <c r="G1796" i="1" a="1"/>
  <c r="G1796" i="1" s="1"/>
  <c r="I1761" i="1"/>
  <c r="H1761" i="1" a="1"/>
  <c r="H1761" i="1" s="1"/>
  <c r="G1761" i="1" a="1"/>
  <c r="G1761" i="1" s="1"/>
  <c r="I1726" i="1"/>
  <c r="H1726" i="1" a="1"/>
  <c r="H1726" i="1" s="1"/>
  <c r="G1726" i="1" a="1"/>
  <c r="G1726" i="1" s="1"/>
  <c r="I1711" i="1"/>
  <c r="H1711" i="1" a="1"/>
  <c r="H1711" i="1" s="1"/>
  <c r="G1711" i="1" a="1"/>
  <c r="G1711" i="1" s="1"/>
  <c r="I1661" i="1"/>
  <c r="H1661" i="1" a="1"/>
  <c r="H1661" i="1" s="1"/>
  <c r="G1661" i="1" a="1"/>
  <c r="G1661" i="1" s="1"/>
  <c r="I1601" i="1"/>
  <c r="H1601" i="1" a="1"/>
  <c r="H1601" i="1" s="1"/>
  <c r="G1601" i="1" a="1"/>
  <c r="G1601" i="1" s="1"/>
  <c r="A1526" i="1"/>
  <c r="A1476" i="1"/>
  <c r="A1456" i="1"/>
  <c r="A1446" i="1"/>
  <c r="I1381" i="1"/>
  <c r="H1381" i="1" a="1"/>
  <c r="H1381" i="1" s="1"/>
  <c r="G1381" i="1" a="1"/>
  <c r="G1381" i="1" s="1"/>
  <c r="I1376" i="1"/>
  <c r="H1376" i="1" a="1"/>
  <c r="H1376" i="1" s="1"/>
  <c r="G1376" i="1" a="1"/>
  <c r="G1376" i="1" s="1"/>
  <c r="I1371" i="1"/>
  <c r="H1371" i="1" a="1"/>
  <c r="H1371" i="1" s="1"/>
  <c r="G1371" i="1" a="1"/>
  <c r="G1371" i="1" s="1"/>
  <c r="I1366" i="1"/>
  <c r="H1366" i="1" a="1"/>
  <c r="H1366" i="1" s="1"/>
  <c r="G1366" i="1" a="1"/>
  <c r="G1366" i="1" s="1"/>
  <c r="I1361" i="1"/>
  <c r="H1361" i="1" a="1"/>
  <c r="H1361" i="1" s="1"/>
  <c r="G1361" i="1" a="1"/>
  <c r="G1361" i="1" s="1"/>
  <c r="I1346" i="1"/>
  <c r="H1346" i="1" a="1"/>
  <c r="H1346" i="1" s="1"/>
  <c r="G1346" i="1" a="1"/>
  <c r="G1346" i="1" s="1"/>
  <c r="I1316" i="1"/>
  <c r="H1316" i="1" a="1"/>
  <c r="H1316" i="1" s="1"/>
  <c r="G1316" i="1" a="1"/>
  <c r="G1316" i="1" s="1"/>
  <c r="I1281" i="1"/>
  <c r="H1281" i="1" a="1"/>
  <c r="H1281" i="1" s="1"/>
  <c r="G1281" i="1" a="1"/>
  <c r="G1281" i="1" s="1"/>
  <c r="I1251" i="1"/>
  <c r="H1251" i="1" a="1"/>
  <c r="H1251" i="1" s="1"/>
  <c r="G1251" i="1" a="1"/>
  <c r="G1251" i="1" s="1"/>
  <c r="A2006" i="1"/>
  <c r="A1986" i="1"/>
  <c r="A1946" i="1"/>
  <c r="A1906" i="1"/>
  <c r="A1886" i="1"/>
  <c r="A1861" i="1"/>
  <c r="I1771" i="1"/>
  <c r="H1771" i="1" a="1"/>
  <c r="H1771" i="1" s="1"/>
  <c r="G1771" i="1" a="1"/>
  <c r="G1771" i="1" s="1"/>
  <c r="I1741" i="1"/>
  <c r="H1741" i="1" a="1"/>
  <c r="H1741" i="1" s="1"/>
  <c r="G1741" i="1" a="1"/>
  <c r="G1741" i="1" s="1"/>
  <c r="I1681" i="1"/>
  <c r="H1681" i="1" a="1"/>
  <c r="H1681" i="1" s="1"/>
  <c r="G1681" i="1" a="1"/>
  <c r="G1681" i="1" s="1"/>
  <c r="I1676" i="1"/>
  <c r="H1676" i="1" a="1"/>
  <c r="H1676" i="1" s="1"/>
  <c r="G1676" i="1" a="1"/>
  <c r="G1676" i="1" s="1"/>
  <c r="I1671" i="1"/>
  <c r="H1671" i="1" a="1"/>
  <c r="H1671" i="1" s="1"/>
  <c r="G1671" i="1" a="1"/>
  <c r="G1671" i="1" s="1"/>
  <c r="I1631" i="1"/>
  <c r="H1631" i="1" a="1"/>
  <c r="H1631" i="1" s="1"/>
  <c r="G1631" i="1" a="1"/>
  <c r="G1631" i="1" s="1"/>
  <c r="I1591" i="1"/>
  <c r="H1591" i="1" a="1"/>
  <c r="H1591" i="1" s="1"/>
  <c r="G1591" i="1" a="1"/>
  <c r="G1591" i="1" s="1"/>
  <c r="I1586" i="1"/>
  <c r="H1586" i="1" a="1"/>
  <c r="H1586" i="1" s="1"/>
  <c r="G1586" i="1" a="1"/>
  <c r="G1586" i="1" s="1"/>
  <c r="I1581" i="1"/>
  <c r="H1581" i="1" a="1"/>
  <c r="H1581" i="1" s="1"/>
  <c r="G1581" i="1" a="1"/>
  <c r="G1581" i="1" s="1"/>
  <c r="A1566" i="1"/>
  <c r="A1551" i="1"/>
  <c r="A1516" i="1"/>
  <c r="A1506" i="1"/>
  <c r="A1461" i="1"/>
  <c r="A1451" i="1"/>
  <c r="I1356" i="1"/>
  <c r="H1356" i="1" a="1"/>
  <c r="H1356" i="1" s="1"/>
  <c r="G1356" i="1" a="1"/>
  <c r="G1356" i="1" s="1"/>
  <c r="I1311" i="1"/>
  <c r="H1311" i="1" a="1"/>
  <c r="H1311" i="1" s="1"/>
  <c r="G1311" i="1" a="1"/>
  <c r="G1311" i="1" s="1"/>
  <c r="I1306" i="1"/>
  <c r="H1306" i="1" a="1"/>
  <c r="H1306" i="1" s="1"/>
  <c r="G1306" i="1" a="1"/>
  <c r="G1306" i="1" s="1"/>
  <c r="I1256" i="1"/>
  <c r="H1256" i="1" a="1"/>
  <c r="H1256" i="1" s="1"/>
  <c r="G1256" i="1" a="1"/>
  <c r="G1256" i="1" s="1"/>
  <c r="A2005" i="1"/>
  <c r="A2011" i="1"/>
  <c r="A1961" i="1"/>
  <c r="A1951" i="1"/>
  <c r="A1911" i="1"/>
  <c r="A1896" i="1"/>
  <c r="A1881" i="1"/>
  <c r="A1866" i="1"/>
  <c r="I1816" i="1"/>
  <c r="H1816" i="1" a="1"/>
  <c r="H1816" i="1" s="1"/>
  <c r="G1816" i="1" a="1"/>
  <c r="G1816" i="1" s="1"/>
  <c r="I1801" i="1"/>
  <c r="H1801" i="1" a="1"/>
  <c r="H1801" i="1" s="1"/>
  <c r="G1801" i="1" a="1"/>
  <c r="G1801" i="1" s="1"/>
  <c r="I1781" i="1"/>
  <c r="H1781" i="1" a="1"/>
  <c r="H1781" i="1" s="1"/>
  <c r="G1781" i="1" a="1"/>
  <c r="G1781" i="1" s="1"/>
  <c r="I1766" i="1"/>
  <c r="H1766" i="1" a="1"/>
  <c r="H1766" i="1" s="1"/>
  <c r="G1766" i="1" a="1"/>
  <c r="G1766" i="1" s="1"/>
  <c r="I1716" i="1"/>
  <c r="H1716" i="1" a="1"/>
  <c r="H1716" i="1" s="1"/>
  <c r="G1716" i="1" a="1"/>
  <c r="G1716" i="1" s="1"/>
  <c r="I1696" i="1"/>
  <c r="H1696" i="1" a="1"/>
  <c r="H1696" i="1" s="1"/>
  <c r="G1696" i="1" a="1"/>
  <c r="G1696" i="1" s="1"/>
  <c r="I1686" i="1"/>
  <c r="H1686" i="1" a="1"/>
  <c r="H1686" i="1" s="1"/>
  <c r="G1686" i="1" a="1"/>
  <c r="G1686" i="1" s="1"/>
  <c r="I1596" i="1"/>
  <c r="H1596" i="1" a="1"/>
  <c r="H1596" i="1" s="1"/>
  <c r="G1596" i="1" a="1"/>
  <c r="G1596" i="1" s="1"/>
  <c r="A1501" i="1"/>
  <c r="A1496" i="1"/>
  <c r="A1486" i="1"/>
  <c r="A1466" i="1"/>
  <c r="A1441" i="1"/>
  <c r="I1436" i="1"/>
  <c r="H1436" i="1" a="1"/>
  <c r="H1436" i="1" s="1"/>
  <c r="G1436" i="1" a="1"/>
  <c r="G1436" i="1" s="1"/>
  <c r="I1396" i="1"/>
  <c r="H1396" i="1" a="1"/>
  <c r="H1396" i="1" s="1"/>
  <c r="G1396" i="1" a="1"/>
  <c r="G1396" i="1" s="1"/>
  <c r="I1391" i="1"/>
  <c r="H1391" i="1" a="1"/>
  <c r="H1391" i="1" s="1"/>
  <c r="G1391" i="1" a="1"/>
  <c r="G1391" i="1" s="1"/>
  <c r="I1386" i="1"/>
  <c r="H1386" i="1" a="1"/>
  <c r="H1386" i="1" s="1"/>
  <c r="G1386" i="1" a="1"/>
  <c r="G1386" i="1" s="1"/>
  <c r="I1351" i="1"/>
  <c r="H1351" i="1" a="1"/>
  <c r="H1351" i="1" s="1"/>
  <c r="G1351" i="1" a="1"/>
  <c r="G1351" i="1" s="1"/>
  <c r="I1336" i="1"/>
  <c r="H1336" i="1" a="1"/>
  <c r="H1336" i="1" s="1"/>
  <c r="G1336" i="1" a="1"/>
  <c r="G1336" i="1" s="1"/>
  <c r="I1301" i="1"/>
  <c r="H1301" i="1" a="1"/>
  <c r="H1301" i="1" s="1"/>
  <c r="G1301" i="1" a="1"/>
  <c r="G1301" i="1" s="1"/>
  <c r="I1296" i="1"/>
  <c r="H1296" i="1" a="1"/>
  <c r="H1296" i="1" s="1"/>
  <c r="G1296" i="1" a="1"/>
  <c r="G1296" i="1" s="1"/>
  <c r="I1261" i="1"/>
  <c r="H1261" i="1" a="1"/>
  <c r="H1261" i="1" s="1"/>
  <c r="G1261" i="1" a="1"/>
  <c r="G1261" i="1" s="1"/>
  <c r="A2020" i="1"/>
  <c r="A2001" i="1"/>
  <c r="A1996" i="1"/>
  <c r="A1991" i="1"/>
  <c r="A1984" i="1"/>
  <c r="A1979" i="1"/>
  <c r="A1974" i="1"/>
  <c r="A1969" i="1"/>
  <c r="A1964" i="1"/>
  <c r="A1959" i="1"/>
  <c r="A1954" i="1"/>
  <c r="A1949" i="1"/>
  <c r="A1944" i="1"/>
  <c r="A1939" i="1"/>
  <c r="A1934" i="1"/>
  <c r="A1929" i="1"/>
  <c r="A1924" i="1"/>
  <c r="A1919" i="1"/>
  <c r="A1914" i="1"/>
  <c r="A1909" i="1"/>
  <c r="A1904" i="1"/>
  <c r="A1899" i="1"/>
  <c r="A1894" i="1"/>
  <c r="A1889" i="1"/>
  <c r="A1884" i="1"/>
  <c r="A1879" i="1"/>
  <c r="A1874" i="1"/>
  <c r="A1869" i="1"/>
  <c r="A1864" i="1"/>
  <c r="A1859" i="1"/>
  <c r="A1854" i="1"/>
  <c r="A1849" i="1"/>
  <c r="A1844" i="1"/>
  <c r="A1839" i="1"/>
  <c r="A1834" i="1"/>
  <c r="A1829" i="1"/>
  <c r="I1824" i="1"/>
  <c r="H1824" i="1" a="1"/>
  <c r="H1824" i="1" s="1"/>
  <c r="G1824" i="1" a="1"/>
  <c r="G1824" i="1" s="1"/>
  <c r="I1819" i="1"/>
  <c r="H1819" i="1" a="1"/>
  <c r="H1819" i="1" s="1"/>
  <c r="G1819" i="1" a="1"/>
  <c r="G1819" i="1" s="1"/>
  <c r="I1814" i="1"/>
  <c r="H1814" i="1" a="1"/>
  <c r="H1814" i="1" s="1"/>
  <c r="G1814" i="1" a="1"/>
  <c r="G1814" i="1" s="1"/>
  <c r="I1809" i="1"/>
  <c r="H1809" i="1" a="1"/>
  <c r="H1809" i="1" s="1"/>
  <c r="G1809" i="1" a="1"/>
  <c r="G1809" i="1" s="1"/>
  <c r="I1804" i="1"/>
  <c r="H1804" i="1" a="1"/>
  <c r="H1804" i="1" s="1"/>
  <c r="G1804" i="1" a="1"/>
  <c r="G1804" i="1" s="1"/>
  <c r="I1799" i="1"/>
  <c r="H1799" i="1" a="1"/>
  <c r="H1799" i="1" s="1"/>
  <c r="G1799" i="1" a="1"/>
  <c r="G1799" i="1" s="1"/>
  <c r="I1794" i="1"/>
  <c r="H1794" i="1" a="1"/>
  <c r="H1794" i="1" s="1"/>
  <c r="G1794" i="1" a="1"/>
  <c r="G1794" i="1" s="1"/>
  <c r="I1789" i="1"/>
  <c r="H1789" i="1" a="1"/>
  <c r="H1789" i="1" s="1"/>
  <c r="G1789" i="1" a="1"/>
  <c r="G1789" i="1" s="1"/>
  <c r="I1784" i="1"/>
  <c r="H1784" i="1" a="1"/>
  <c r="H1784" i="1" s="1"/>
  <c r="G1784" i="1" a="1"/>
  <c r="G1784" i="1" s="1"/>
  <c r="I1779" i="1"/>
  <c r="H1779" i="1" a="1"/>
  <c r="H1779" i="1" s="1"/>
  <c r="G1779" i="1" a="1"/>
  <c r="G1779" i="1" s="1"/>
  <c r="I1774" i="1"/>
  <c r="H1774" i="1" a="1"/>
  <c r="H1774" i="1" s="1"/>
  <c r="G1774" i="1" a="1"/>
  <c r="G1774" i="1" s="1"/>
  <c r="I1769" i="1"/>
  <c r="H1769" i="1" a="1"/>
  <c r="H1769" i="1" s="1"/>
  <c r="G1769" i="1" a="1"/>
  <c r="G1769" i="1" s="1"/>
  <c r="I1764" i="1"/>
  <c r="H1764" i="1" a="1"/>
  <c r="H1764" i="1" s="1"/>
  <c r="G1764" i="1" a="1"/>
  <c r="G1764" i="1" s="1"/>
  <c r="I1759" i="1"/>
  <c r="H1759" i="1" a="1"/>
  <c r="H1759" i="1" s="1"/>
  <c r="G1759" i="1" a="1"/>
  <c r="G1759" i="1" s="1"/>
  <c r="I1754" i="1"/>
  <c r="H1754" i="1" a="1"/>
  <c r="H1754" i="1" s="1"/>
  <c r="G1754" i="1" a="1"/>
  <c r="G1754" i="1" s="1"/>
  <c r="I1749" i="1"/>
  <c r="H1749" i="1" a="1"/>
  <c r="H1749" i="1" s="1"/>
  <c r="G1749" i="1" a="1"/>
  <c r="G1749" i="1" s="1"/>
  <c r="I1744" i="1"/>
  <c r="H1744" i="1" a="1"/>
  <c r="H1744" i="1" s="1"/>
  <c r="G1744" i="1" a="1"/>
  <c r="G1744" i="1" s="1"/>
  <c r="I1739" i="1"/>
  <c r="H1739" i="1" a="1"/>
  <c r="H1739" i="1" s="1"/>
  <c r="G1739" i="1" a="1"/>
  <c r="G1739" i="1" s="1"/>
  <c r="I1734" i="1"/>
  <c r="H1734" i="1" a="1"/>
  <c r="H1734" i="1" s="1"/>
  <c r="G1734" i="1" a="1"/>
  <c r="G1734" i="1" s="1"/>
  <c r="I1729" i="1"/>
  <c r="H1729" i="1" a="1"/>
  <c r="H1729" i="1" s="1"/>
  <c r="G1729" i="1" a="1"/>
  <c r="G1729" i="1" s="1"/>
  <c r="I1724" i="1"/>
  <c r="H1724" i="1" a="1"/>
  <c r="H1724" i="1" s="1"/>
  <c r="G1724" i="1" a="1"/>
  <c r="G1724" i="1" s="1"/>
  <c r="A1993" i="1"/>
  <c r="A1966" i="1"/>
  <c r="A1956" i="1"/>
  <c r="A1941" i="1"/>
  <c r="A1901" i="1"/>
  <c r="A1891" i="1"/>
  <c r="A1856" i="1"/>
  <c r="A1846" i="1"/>
  <c r="A1831" i="1"/>
  <c r="I1826" i="1"/>
  <c r="H1826" i="1" a="1"/>
  <c r="H1826" i="1" s="1"/>
  <c r="G1826" i="1" a="1"/>
  <c r="G1826" i="1" s="1"/>
  <c r="I1821" i="1"/>
  <c r="H1821" i="1" a="1"/>
  <c r="H1821" i="1" s="1"/>
  <c r="G1821" i="1" a="1"/>
  <c r="G1821" i="1" s="1"/>
  <c r="I1786" i="1"/>
  <c r="H1786" i="1" a="1"/>
  <c r="H1786" i="1" s="1"/>
  <c r="G1786" i="1" a="1"/>
  <c r="G1786" i="1" s="1"/>
  <c r="I1736" i="1"/>
  <c r="H1736" i="1" a="1"/>
  <c r="H1736" i="1" s="1"/>
  <c r="G1736" i="1" a="1"/>
  <c r="G1736" i="1" s="1"/>
  <c r="I1706" i="1"/>
  <c r="H1706" i="1" a="1"/>
  <c r="H1706" i="1" s="1"/>
  <c r="G1706" i="1" a="1"/>
  <c r="G1706" i="1" s="1"/>
  <c r="I1656" i="1"/>
  <c r="H1656" i="1" a="1"/>
  <c r="H1656" i="1" s="1"/>
  <c r="G1656" i="1" a="1"/>
  <c r="G1656" i="1" s="1"/>
  <c r="I1651" i="1"/>
  <c r="H1651" i="1" a="1"/>
  <c r="H1651" i="1" s="1"/>
  <c r="G1651" i="1" a="1"/>
  <c r="G1651" i="1" s="1"/>
  <c r="I1646" i="1"/>
  <c r="H1646" i="1" a="1"/>
  <c r="H1646" i="1" s="1"/>
  <c r="G1646" i="1" a="1"/>
  <c r="G1646" i="1" s="1"/>
  <c r="I1606" i="1"/>
  <c r="H1606" i="1" a="1"/>
  <c r="H1606" i="1" s="1"/>
  <c r="G1606" i="1" a="1"/>
  <c r="G1606" i="1" s="1"/>
  <c r="A1561" i="1"/>
  <c r="A1546" i="1"/>
  <c r="A1536" i="1"/>
  <c r="A1511" i="1"/>
  <c r="A1481" i="1"/>
  <c r="A1471" i="1"/>
  <c r="I1431" i="1"/>
  <c r="H1431" i="1" a="1"/>
  <c r="H1431" i="1" s="1"/>
  <c r="G1431" i="1" a="1"/>
  <c r="G1431" i="1" s="1"/>
  <c r="I1421" i="1"/>
  <c r="H1421" i="1" a="1"/>
  <c r="H1421" i="1" s="1"/>
  <c r="G1421" i="1" a="1"/>
  <c r="G1421" i="1" s="1"/>
  <c r="I1416" i="1"/>
  <c r="H1416" i="1" a="1"/>
  <c r="H1416" i="1" s="1"/>
  <c r="G1416" i="1" a="1"/>
  <c r="G1416" i="1" s="1"/>
  <c r="I1406" i="1"/>
  <c r="H1406" i="1" a="1"/>
  <c r="H1406" i="1" s="1"/>
  <c r="G1406" i="1" a="1"/>
  <c r="G1406" i="1" s="1"/>
  <c r="I1401" i="1"/>
  <c r="H1401" i="1" a="1"/>
  <c r="H1401" i="1" s="1"/>
  <c r="G1401" i="1" a="1"/>
  <c r="G1401" i="1" s="1"/>
  <c r="I1326" i="1"/>
  <c r="H1326" i="1" a="1"/>
  <c r="H1326" i="1" s="1"/>
  <c r="G1326" i="1" a="1"/>
  <c r="G1326" i="1" s="1"/>
  <c r="I1291" i="1"/>
  <c r="H1291" i="1" a="1"/>
  <c r="H1291" i="1" s="1"/>
  <c r="G1291" i="1" a="1"/>
  <c r="G1291" i="1" s="1"/>
  <c r="I1276" i="1"/>
  <c r="H1276" i="1" a="1"/>
  <c r="H1276" i="1" s="1"/>
  <c r="G1276" i="1" a="1"/>
  <c r="G1276" i="1" s="1"/>
  <c r="I1266" i="1"/>
  <c r="H1266" i="1" a="1"/>
  <c r="H1266" i="1" s="1"/>
  <c r="G1266" i="1" a="1"/>
  <c r="G1266" i="1" s="1"/>
  <c r="A2019" i="1"/>
  <c r="I1703" i="1"/>
  <c r="H1703" i="1" a="1"/>
  <c r="H1703" i="1" s="1"/>
  <c r="G1703" i="1" a="1"/>
  <c r="G1703" i="1" s="1"/>
  <c r="I1698" i="1"/>
  <c r="H1698" i="1" a="1"/>
  <c r="H1698" i="1" s="1"/>
  <c r="G1698" i="1" a="1"/>
  <c r="G1698" i="1" s="1"/>
  <c r="I1693" i="1"/>
  <c r="H1693" i="1" a="1"/>
  <c r="H1693" i="1" s="1"/>
  <c r="G1693" i="1" a="1"/>
  <c r="G1693" i="1" s="1"/>
  <c r="I1688" i="1"/>
  <c r="H1688" i="1" a="1"/>
  <c r="H1688" i="1" s="1"/>
  <c r="G1688" i="1" a="1"/>
  <c r="G1688" i="1" s="1"/>
  <c r="I1683" i="1"/>
  <c r="H1683" i="1" a="1"/>
  <c r="H1683" i="1" s="1"/>
  <c r="G1683" i="1" a="1"/>
  <c r="G1683" i="1" s="1"/>
  <c r="I1678" i="1"/>
  <c r="H1678" i="1" a="1"/>
  <c r="H1678" i="1" s="1"/>
  <c r="G1678" i="1" a="1"/>
  <c r="G1678" i="1" s="1"/>
  <c r="I1673" i="1"/>
  <c r="H1673" i="1" a="1"/>
  <c r="H1673" i="1" s="1"/>
  <c r="G1673" i="1" a="1"/>
  <c r="G1673" i="1" s="1"/>
  <c r="I1668" i="1"/>
  <c r="H1668" i="1" a="1"/>
  <c r="H1668" i="1" s="1"/>
  <c r="G1668" i="1" a="1"/>
  <c r="G1668" i="1" s="1"/>
  <c r="I1663" i="1"/>
  <c r="H1663" i="1" a="1"/>
  <c r="H1663" i="1" s="1"/>
  <c r="G1663" i="1" a="1"/>
  <c r="G1663" i="1" s="1"/>
  <c r="I1658" i="1"/>
  <c r="H1658" i="1" a="1"/>
  <c r="H1658" i="1" s="1"/>
  <c r="G1658" i="1" a="1"/>
  <c r="G1658" i="1" s="1"/>
  <c r="I1653" i="1"/>
  <c r="H1653" i="1" a="1"/>
  <c r="H1653" i="1" s="1"/>
  <c r="G1653" i="1" a="1"/>
  <c r="G1653" i="1" s="1"/>
  <c r="I1648" i="1"/>
  <c r="H1648" i="1" a="1"/>
  <c r="H1648" i="1" s="1"/>
  <c r="G1648" i="1" a="1"/>
  <c r="G1648" i="1" s="1"/>
  <c r="I1643" i="1"/>
  <c r="H1643" i="1" a="1"/>
  <c r="H1643" i="1" s="1"/>
  <c r="G1643" i="1" a="1"/>
  <c r="G1643" i="1" s="1"/>
  <c r="I1638" i="1"/>
  <c r="H1638" i="1" a="1"/>
  <c r="H1638" i="1" s="1"/>
  <c r="G1638" i="1" a="1"/>
  <c r="G1638" i="1" s="1"/>
  <c r="I1633" i="1"/>
  <c r="H1633" i="1" a="1"/>
  <c r="H1633" i="1" s="1"/>
  <c r="G1633" i="1" a="1"/>
  <c r="G1633" i="1" s="1"/>
  <c r="I1628" i="1"/>
  <c r="H1628" i="1" a="1"/>
  <c r="H1628" i="1" s="1"/>
  <c r="G1628" i="1" a="1"/>
  <c r="G1628" i="1" s="1"/>
  <c r="I1623" i="1"/>
  <c r="H1623" i="1" a="1"/>
  <c r="H1623" i="1" s="1"/>
  <c r="G1623" i="1" a="1"/>
  <c r="G1623" i="1" s="1"/>
  <c r="I1618" i="1"/>
  <c r="H1618" i="1" a="1"/>
  <c r="H1618" i="1" s="1"/>
  <c r="G1618" i="1" a="1"/>
  <c r="G1618" i="1" s="1"/>
  <c r="I1613" i="1"/>
  <c r="H1613" i="1" a="1"/>
  <c r="H1613" i="1" s="1"/>
  <c r="G1613" i="1" a="1"/>
  <c r="G1613" i="1" s="1"/>
  <c r="I1608" i="1"/>
  <c r="H1608" i="1" a="1"/>
  <c r="H1608" i="1" s="1"/>
  <c r="G1608" i="1" a="1"/>
  <c r="G1608" i="1" s="1"/>
  <c r="I1603" i="1"/>
  <c r="H1603" i="1" a="1"/>
  <c r="H1603" i="1" s="1"/>
  <c r="G1603" i="1" a="1"/>
  <c r="G1603" i="1" s="1"/>
  <c r="I1598" i="1"/>
  <c r="H1598" i="1" a="1"/>
  <c r="H1598" i="1" s="1"/>
  <c r="G1598" i="1" a="1"/>
  <c r="G1598" i="1" s="1"/>
  <c r="I1593" i="1"/>
  <c r="H1593" i="1" a="1"/>
  <c r="H1593" i="1" s="1"/>
  <c r="G1593" i="1" a="1"/>
  <c r="G1593" i="1" s="1"/>
  <c r="I1588" i="1"/>
  <c r="H1588" i="1" a="1"/>
  <c r="H1588" i="1" s="1"/>
  <c r="G1588" i="1" a="1"/>
  <c r="G1588" i="1" s="1"/>
  <c r="I1583" i="1"/>
  <c r="H1583" i="1" a="1"/>
  <c r="H1583" i="1" s="1"/>
  <c r="G1583" i="1" a="1"/>
  <c r="G1583" i="1" s="1"/>
  <c r="I1578" i="1"/>
  <c r="H1578" i="1" a="1"/>
  <c r="H1578" i="1" s="1"/>
  <c r="G1578" i="1" a="1"/>
  <c r="G1578" i="1" s="1"/>
  <c r="I1573" i="1"/>
  <c r="H1573" i="1" a="1"/>
  <c r="H1573" i="1" s="1"/>
  <c r="G1573" i="1" a="1"/>
  <c r="G1573" i="1" s="1"/>
  <c r="I1568" i="1"/>
  <c r="H1568" i="1" a="1"/>
  <c r="H1568" i="1" s="1"/>
  <c r="G1568" i="1" a="1"/>
  <c r="G1568" i="1" s="1"/>
  <c r="A1563" i="1"/>
  <c r="A1558" i="1"/>
  <c r="A1553" i="1"/>
  <c r="A1548" i="1"/>
  <c r="A1543" i="1"/>
  <c r="A1538" i="1"/>
  <c r="A1533" i="1"/>
  <c r="A1528" i="1"/>
  <c r="A1523" i="1"/>
  <c r="A1518" i="1"/>
  <c r="A1513" i="1"/>
  <c r="A1508" i="1"/>
  <c r="A1503" i="1"/>
  <c r="A1498" i="1"/>
  <c r="A1493" i="1"/>
  <c r="A1488" i="1"/>
  <c r="A1483" i="1"/>
  <c r="A1478" i="1"/>
  <c r="A1473" i="1"/>
  <c r="A1468" i="1"/>
  <c r="A1463" i="1"/>
  <c r="A1458" i="1"/>
  <c r="A1453" i="1"/>
  <c r="A1448" i="1"/>
  <c r="A1443" i="1"/>
  <c r="I1438" i="1"/>
  <c r="H1438" i="1" a="1"/>
  <c r="H1438" i="1" s="1"/>
  <c r="G1438" i="1" a="1"/>
  <c r="G1438" i="1" s="1"/>
  <c r="I1433" i="1"/>
  <c r="H1433" i="1" a="1"/>
  <c r="H1433" i="1" s="1"/>
  <c r="G1433" i="1" a="1"/>
  <c r="G1433" i="1" s="1"/>
  <c r="I1428" i="1"/>
  <c r="H1428" i="1" a="1"/>
  <c r="H1428" i="1" s="1"/>
  <c r="G1428" i="1" a="1"/>
  <c r="G1428" i="1" s="1"/>
  <c r="I1423" i="1"/>
  <c r="H1423" i="1" a="1"/>
  <c r="H1423" i="1" s="1"/>
  <c r="G1423" i="1" a="1"/>
  <c r="G1423" i="1" s="1"/>
  <c r="I1418" i="1"/>
  <c r="H1418" i="1" a="1"/>
  <c r="H1418" i="1" s="1"/>
  <c r="G1418" i="1" a="1"/>
  <c r="G1418" i="1" s="1"/>
  <c r="I1413" i="1"/>
  <c r="H1413" i="1" a="1"/>
  <c r="H1413" i="1" s="1"/>
  <c r="G1413" i="1" a="1"/>
  <c r="G1413" i="1" s="1"/>
  <c r="I1408" i="1"/>
  <c r="H1408" i="1" a="1"/>
  <c r="H1408" i="1" s="1"/>
  <c r="G1408" i="1" a="1"/>
  <c r="G1408" i="1" s="1"/>
  <c r="I1403" i="1"/>
  <c r="H1403" i="1" a="1"/>
  <c r="H1403" i="1" s="1"/>
  <c r="G1403" i="1" a="1"/>
  <c r="G1403" i="1" s="1"/>
  <c r="I1398" i="1"/>
  <c r="H1398" i="1" a="1"/>
  <c r="H1398" i="1" s="1"/>
  <c r="G1398" i="1" a="1"/>
  <c r="G1398" i="1" s="1"/>
  <c r="I1393" i="1"/>
  <c r="H1393" i="1" a="1"/>
  <c r="H1393" i="1" s="1"/>
  <c r="G1393" i="1" a="1"/>
  <c r="G1393" i="1" s="1"/>
  <c r="I1388" i="1"/>
  <c r="H1388" i="1" a="1"/>
  <c r="H1388" i="1" s="1"/>
  <c r="G1388" i="1" a="1"/>
  <c r="G1388" i="1" s="1"/>
  <c r="I1383" i="1"/>
  <c r="H1383" i="1" a="1"/>
  <c r="H1383" i="1" s="1"/>
  <c r="G1383" i="1" a="1"/>
  <c r="G1383" i="1" s="1"/>
  <c r="I1378" i="1"/>
  <c r="H1378" i="1" a="1"/>
  <c r="H1378" i="1" s="1"/>
  <c r="G1378" i="1" a="1"/>
  <c r="G1378" i="1" s="1"/>
  <c r="I1373" i="1"/>
  <c r="H1373" i="1" a="1"/>
  <c r="H1373" i="1" s="1"/>
  <c r="G1373" i="1" a="1"/>
  <c r="G1373" i="1" s="1"/>
  <c r="I1368" i="1"/>
  <c r="H1368" i="1" a="1"/>
  <c r="H1368" i="1" s="1"/>
  <c r="G1368" i="1" a="1"/>
  <c r="G1368" i="1" s="1"/>
  <c r="I1363" i="1"/>
  <c r="H1363" i="1" a="1"/>
  <c r="H1363" i="1" s="1"/>
  <c r="G1363" i="1" a="1"/>
  <c r="G1363" i="1" s="1"/>
  <c r="I1358" i="1"/>
  <c r="H1358" i="1" a="1"/>
  <c r="H1358" i="1" s="1"/>
  <c r="G1358" i="1" a="1"/>
  <c r="G1358" i="1" s="1"/>
  <c r="I1353" i="1"/>
  <c r="H1353" i="1" a="1"/>
  <c r="H1353" i="1" s="1"/>
  <c r="G1353" i="1" a="1"/>
  <c r="G1353" i="1" s="1"/>
  <c r="I1348" i="1"/>
  <c r="H1348" i="1" a="1"/>
  <c r="H1348" i="1" s="1"/>
  <c r="G1348" i="1" a="1"/>
  <c r="G1348" i="1" s="1"/>
  <c r="I1343" i="1"/>
  <c r="H1343" i="1" a="1"/>
  <c r="H1343" i="1" s="1"/>
  <c r="G1343" i="1" a="1"/>
  <c r="G1343" i="1" s="1"/>
  <c r="I1338" i="1"/>
  <c r="H1338" i="1" a="1"/>
  <c r="H1338" i="1" s="1"/>
  <c r="G1338" i="1" a="1"/>
  <c r="G1338" i="1" s="1"/>
  <c r="I1333" i="1"/>
  <c r="H1333" i="1" a="1"/>
  <c r="H1333" i="1" s="1"/>
  <c r="G1333" i="1" a="1"/>
  <c r="G1333" i="1" s="1"/>
  <c r="I1328" i="1"/>
  <c r="H1328" i="1" a="1"/>
  <c r="H1328" i="1" s="1"/>
  <c r="G1328" i="1" a="1"/>
  <c r="G1328" i="1" s="1"/>
  <c r="I1323" i="1"/>
  <c r="H1323" i="1" a="1"/>
  <c r="H1323" i="1" s="1"/>
  <c r="G1323" i="1" a="1"/>
  <c r="G1323" i="1" s="1"/>
  <c r="I1318" i="1"/>
  <c r="H1318" i="1" a="1"/>
  <c r="H1318" i="1" s="1"/>
  <c r="G1318" i="1" a="1"/>
  <c r="G1318" i="1" s="1"/>
  <c r="I1313" i="1"/>
  <c r="H1313" i="1" a="1"/>
  <c r="H1313" i="1" s="1"/>
  <c r="G1313" i="1" a="1"/>
  <c r="G1313" i="1" s="1"/>
  <c r="I1308" i="1"/>
  <c r="H1308" i="1" a="1"/>
  <c r="H1308" i="1" s="1"/>
  <c r="G1308" i="1" a="1"/>
  <c r="G1308" i="1" s="1"/>
  <c r="I1303" i="1"/>
  <c r="H1303" i="1" a="1"/>
  <c r="H1303" i="1" s="1"/>
  <c r="G1303" i="1" a="1"/>
  <c r="G1303" i="1" s="1"/>
  <c r="I1298" i="1"/>
  <c r="H1298" i="1" a="1"/>
  <c r="H1298" i="1" s="1"/>
  <c r="G1298" i="1" a="1"/>
  <c r="G1298" i="1" s="1"/>
  <c r="I1293" i="1"/>
  <c r="H1293" i="1" a="1"/>
  <c r="H1293" i="1" s="1"/>
  <c r="G1293" i="1" a="1"/>
  <c r="G1293" i="1" s="1"/>
  <c r="I1288" i="1"/>
  <c r="H1288" i="1" a="1"/>
  <c r="H1288" i="1" s="1"/>
  <c r="G1288" i="1" a="1"/>
  <c r="G1288" i="1" s="1"/>
  <c r="I1283" i="1"/>
  <c r="H1283" i="1" a="1"/>
  <c r="H1283" i="1" s="1"/>
  <c r="G1283" i="1" a="1"/>
  <c r="G1283" i="1" s="1"/>
  <c r="I1278" i="1"/>
  <c r="H1278" i="1" a="1"/>
  <c r="H1278" i="1" s="1"/>
  <c r="G1278" i="1" a="1"/>
  <c r="G1278" i="1" s="1"/>
  <c r="I1273" i="1"/>
  <c r="H1273" i="1" a="1"/>
  <c r="H1273" i="1" s="1"/>
  <c r="G1273" i="1" a="1"/>
  <c r="G1273" i="1" s="1"/>
  <c r="I1268" i="1"/>
  <c r="H1268" i="1" a="1"/>
  <c r="H1268" i="1" s="1"/>
  <c r="G1268" i="1" a="1"/>
  <c r="G1268" i="1" s="1"/>
  <c r="I1263" i="1"/>
  <c r="H1263" i="1" a="1"/>
  <c r="H1263" i="1" s="1"/>
  <c r="G1263" i="1" a="1"/>
  <c r="G1263" i="1" s="1"/>
  <c r="I1258" i="1"/>
  <c r="H1258" i="1" a="1"/>
  <c r="H1258" i="1" s="1"/>
  <c r="G1258" i="1" a="1"/>
  <c r="G1258" i="1" s="1"/>
  <c r="I1253" i="1"/>
  <c r="H1253" i="1" a="1"/>
  <c r="H1253" i="1" s="1"/>
  <c r="G1253" i="1" a="1"/>
  <c r="G1253" i="1" s="1"/>
  <c r="I1248" i="1"/>
  <c r="H1248" i="1" a="1"/>
  <c r="H1248" i="1" s="1"/>
  <c r="G1248" i="1" a="1"/>
  <c r="G1248" i="1" s="1"/>
  <c r="I1243" i="1"/>
  <c r="H1243" i="1" a="1"/>
  <c r="H1243" i="1" s="1"/>
  <c r="G1243" i="1" a="1"/>
  <c r="G1243" i="1" s="1"/>
  <c r="I1238" i="1"/>
  <c r="H1238" i="1" a="1"/>
  <c r="H1238" i="1" s="1"/>
  <c r="G1238" i="1" a="1"/>
  <c r="G1238" i="1" s="1"/>
  <c r="I1233" i="1"/>
  <c r="H1233" i="1" a="1"/>
  <c r="H1233" i="1" s="1"/>
  <c r="G1233" i="1" a="1"/>
  <c r="G1233" i="1" s="1"/>
  <c r="I1228" i="1"/>
  <c r="H1228" i="1" a="1"/>
  <c r="H1228" i="1" s="1"/>
  <c r="G1228" i="1" a="1"/>
  <c r="G1228" i="1" s="1"/>
  <c r="I1223" i="1"/>
  <c r="H1223" i="1" a="1"/>
  <c r="H1223" i="1" s="1"/>
  <c r="G1223" i="1" a="1"/>
  <c r="G1223" i="1" s="1"/>
  <c r="I1218" i="1"/>
  <c r="H1218" i="1" a="1"/>
  <c r="H1218" i="1" s="1"/>
  <c r="G1218" i="1" a="1"/>
  <c r="G1218" i="1" s="1"/>
  <c r="I1213" i="1"/>
  <c r="H1213" i="1" a="1"/>
  <c r="H1213" i="1" s="1"/>
  <c r="G1213" i="1" a="1"/>
  <c r="G1213" i="1" s="1"/>
  <c r="I1208" i="1"/>
  <c r="H1208" i="1" a="1"/>
  <c r="H1208" i="1" s="1"/>
  <c r="G1208" i="1" a="1"/>
  <c r="G1208" i="1" s="1"/>
  <c r="I1203" i="1"/>
  <c r="H1203" i="1" a="1"/>
  <c r="H1203" i="1" s="1"/>
  <c r="G1203" i="1" a="1"/>
  <c r="G1203" i="1" s="1"/>
  <c r="I1198" i="1"/>
  <c r="H1198" i="1" a="1"/>
  <c r="H1198" i="1" s="1"/>
  <c r="G1198" i="1" a="1"/>
  <c r="G1198" i="1" s="1"/>
  <c r="I1193" i="1"/>
  <c r="H1193" i="1" a="1"/>
  <c r="H1193" i="1" s="1"/>
  <c r="G1193" i="1" a="1"/>
  <c r="G1193" i="1" s="1"/>
  <c r="I1188" i="1"/>
  <c r="H1188" i="1" a="1"/>
  <c r="H1188" i="1" s="1"/>
  <c r="G1188" i="1" a="1"/>
  <c r="G1188" i="1" s="1"/>
  <c r="I1183" i="1"/>
  <c r="H1183" i="1" a="1"/>
  <c r="H1183" i="1" s="1"/>
  <c r="G1183" i="1" a="1"/>
  <c r="G1183" i="1" s="1"/>
  <c r="I1178" i="1"/>
  <c r="H1178" i="1" a="1"/>
  <c r="H1178" i="1" s="1"/>
  <c r="G1178" i="1" a="1"/>
  <c r="G1178" i="1" s="1"/>
  <c r="I1246" i="1"/>
  <c r="H1246" i="1" a="1"/>
  <c r="H1246" i="1" s="1"/>
  <c r="G1246" i="1" a="1"/>
  <c r="G1246" i="1" s="1"/>
  <c r="I1241" i="1"/>
  <c r="H1241" i="1" a="1"/>
  <c r="H1241" i="1" s="1"/>
  <c r="G1241" i="1" a="1"/>
  <c r="G1241" i="1" s="1"/>
  <c r="I1236" i="1"/>
  <c r="H1236" i="1" a="1"/>
  <c r="H1236" i="1" s="1"/>
  <c r="G1236" i="1" a="1"/>
  <c r="G1236" i="1" s="1"/>
  <c r="I1231" i="1"/>
  <c r="H1231" i="1" a="1"/>
  <c r="H1231" i="1" s="1"/>
  <c r="G1231" i="1" a="1"/>
  <c r="G1231" i="1" s="1"/>
  <c r="I1226" i="1"/>
  <c r="H1226" i="1" a="1"/>
  <c r="H1226" i="1" s="1"/>
  <c r="G1226" i="1" a="1"/>
  <c r="G1226" i="1" s="1"/>
  <c r="I1221" i="1"/>
  <c r="H1221" i="1" a="1"/>
  <c r="H1221" i="1" s="1"/>
  <c r="G1221" i="1" a="1"/>
  <c r="G1221" i="1" s="1"/>
  <c r="I1216" i="1"/>
  <c r="H1216" i="1" a="1"/>
  <c r="H1216" i="1" s="1"/>
  <c r="G1216" i="1" a="1"/>
  <c r="G1216" i="1" s="1"/>
  <c r="I1211" i="1"/>
  <c r="H1211" i="1" a="1"/>
  <c r="H1211" i="1" s="1"/>
  <c r="G1211" i="1" a="1"/>
  <c r="G1211" i="1" s="1"/>
  <c r="I1206" i="1"/>
  <c r="H1206" i="1" a="1"/>
  <c r="H1206" i="1" s="1"/>
  <c r="G1206" i="1" a="1"/>
  <c r="G1206" i="1" s="1"/>
  <c r="I1201" i="1"/>
  <c r="H1201" i="1" a="1"/>
  <c r="H1201" i="1" s="1"/>
  <c r="G1201" i="1" a="1"/>
  <c r="G1201" i="1" s="1"/>
  <c r="I1196" i="1"/>
  <c r="H1196" i="1" a="1"/>
  <c r="H1196" i="1" s="1"/>
  <c r="G1196" i="1" a="1"/>
  <c r="G1196" i="1" s="1"/>
  <c r="I1191" i="1"/>
  <c r="H1191" i="1" a="1"/>
  <c r="H1191" i="1" s="1"/>
  <c r="G1191" i="1" a="1"/>
  <c r="G1191" i="1" s="1"/>
  <c r="I1186" i="1"/>
  <c r="H1186" i="1" a="1"/>
  <c r="H1186" i="1" s="1"/>
  <c r="G1186" i="1" a="1"/>
  <c r="G1186" i="1" s="1"/>
  <c r="I1181" i="1"/>
  <c r="H1181" i="1" a="1"/>
  <c r="H1181" i="1" s="1"/>
  <c r="G1181" i="1" a="1"/>
  <c r="G1181" i="1" s="1"/>
  <c r="I1176" i="1"/>
  <c r="H1176" i="1" a="1"/>
  <c r="H1176" i="1" s="1"/>
  <c r="G1176" i="1" a="1"/>
  <c r="G1176" i="1" s="1"/>
  <c r="I1171" i="1"/>
  <c r="H1171" i="1" a="1"/>
  <c r="H1171" i="1" s="1"/>
  <c r="G1171" i="1" a="1"/>
  <c r="G1171" i="1" s="1"/>
  <c r="I1166" i="1"/>
  <c r="H1166" i="1" a="1"/>
  <c r="H1166" i="1" s="1"/>
  <c r="G1166" i="1" a="1"/>
  <c r="G1166" i="1" s="1"/>
  <c r="I1161" i="1"/>
  <c r="H1161" i="1" a="1"/>
  <c r="H1161" i="1" s="1"/>
  <c r="G1161" i="1" a="1"/>
  <c r="G1161" i="1" s="1"/>
  <c r="I1156" i="1"/>
  <c r="H1156" i="1" a="1"/>
  <c r="H1156" i="1" s="1"/>
  <c r="G1156" i="1" a="1"/>
  <c r="G1156" i="1" s="1"/>
  <c r="I1151" i="1"/>
  <c r="H1151" i="1" a="1"/>
  <c r="H1151" i="1" s="1"/>
  <c r="G1151" i="1" a="1"/>
  <c r="G1151" i="1" s="1"/>
  <c r="I1146" i="1"/>
  <c r="H1146" i="1" a="1"/>
  <c r="H1146" i="1" s="1"/>
  <c r="G1146" i="1" a="1"/>
  <c r="G1146" i="1" s="1"/>
  <c r="I1141" i="1"/>
  <c r="H1141" i="1" a="1"/>
  <c r="H1141" i="1" s="1"/>
  <c r="G1141" i="1" a="1"/>
  <c r="G1141" i="1" s="1"/>
  <c r="I1136" i="1"/>
  <c r="H1136" i="1" a="1"/>
  <c r="H1136" i="1" s="1"/>
  <c r="G1136" i="1" a="1"/>
  <c r="G1136" i="1" s="1"/>
  <c r="I1131" i="1"/>
  <c r="H1131" i="1" a="1"/>
  <c r="H1131" i="1" s="1"/>
  <c r="G1131" i="1" a="1"/>
  <c r="G1131" i="1" s="1"/>
  <c r="I1126" i="1"/>
  <c r="H1126" i="1" a="1"/>
  <c r="H1126" i="1" s="1"/>
  <c r="G1126" i="1" a="1"/>
  <c r="G1126" i="1" s="1"/>
  <c r="I1121" i="1"/>
  <c r="H1121" i="1" a="1"/>
  <c r="H1121" i="1" s="1"/>
  <c r="G1121" i="1" a="1"/>
  <c r="G1121" i="1" s="1"/>
  <c r="I1116" i="1"/>
  <c r="H1116" i="1" a="1"/>
  <c r="H1116" i="1" s="1"/>
  <c r="G1116" i="1" a="1"/>
  <c r="G1116" i="1" s="1"/>
  <c r="I1111" i="1"/>
  <c r="H1111" i="1" a="1"/>
  <c r="H1111" i="1" s="1"/>
  <c r="G1111" i="1" a="1"/>
  <c r="G1111" i="1" s="1"/>
  <c r="I1106" i="1"/>
  <c r="H1106" i="1" a="1"/>
  <c r="H1106" i="1" s="1"/>
  <c r="G1106" i="1" a="1"/>
  <c r="G1106" i="1" s="1"/>
  <c r="I1101" i="1"/>
  <c r="H1101" i="1" a="1"/>
  <c r="H1101" i="1" s="1"/>
  <c r="G1101" i="1" a="1"/>
  <c r="G1101" i="1" s="1"/>
  <c r="I1096" i="1"/>
  <c r="H1096" i="1" a="1"/>
  <c r="H1096" i="1" s="1"/>
  <c r="G1096" i="1" a="1"/>
  <c r="G1096" i="1" s="1"/>
  <c r="I1091" i="1"/>
  <c r="H1091" i="1" a="1"/>
  <c r="H1091" i="1" s="1"/>
  <c r="G1091" i="1" a="1"/>
  <c r="G1091" i="1" s="1"/>
  <c r="I1086" i="1"/>
  <c r="H1086" i="1" a="1"/>
  <c r="H1086" i="1" s="1"/>
  <c r="G1086" i="1" a="1"/>
  <c r="G1086" i="1" s="1"/>
  <c r="I1081" i="1"/>
  <c r="H1081" i="1" a="1"/>
  <c r="H1081" i="1" s="1"/>
  <c r="G1081" i="1" a="1"/>
  <c r="G1081" i="1" s="1"/>
  <c r="I1076" i="1"/>
  <c r="H1076" i="1" a="1"/>
  <c r="H1076" i="1" s="1"/>
  <c r="G1076" i="1" a="1"/>
  <c r="G1076" i="1" s="1"/>
  <c r="I1071" i="1"/>
  <c r="H1071" i="1" a="1"/>
  <c r="H1071" i="1" s="1"/>
  <c r="G1071" i="1" a="1"/>
  <c r="G1071" i="1" s="1"/>
  <c r="I1066" i="1"/>
  <c r="H1066" i="1" a="1"/>
  <c r="H1066" i="1" s="1"/>
  <c r="G1066" i="1" a="1"/>
  <c r="G1066" i="1" s="1"/>
  <c r="I1061" i="1"/>
  <c r="H1061" i="1" a="1"/>
  <c r="H1061" i="1" s="1"/>
  <c r="G1061" i="1" a="1"/>
  <c r="G1061" i="1" s="1"/>
  <c r="I1056" i="1"/>
  <c r="H1056" i="1" a="1"/>
  <c r="H1056" i="1" s="1"/>
  <c r="G1056" i="1" a="1"/>
  <c r="G1056" i="1" s="1"/>
  <c r="I1051" i="1"/>
  <c r="H1051" i="1" a="1"/>
  <c r="H1051" i="1" s="1"/>
  <c r="G1051" i="1" a="1"/>
  <c r="G1051" i="1" s="1"/>
  <c r="I1046" i="1"/>
  <c r="H1046" i="1" a="1"/>
  <c r="H1046" i="1" s="1"/>
  <c r="G1046" i="1" a="1"/>
  <c r="G1046" i="1" s="1"/>
  <c r="I1041" i="1"/>
  <c r="H1041" i="1" a="1"/>
  <c r="H1041" i="1" s="1"/>
  <c r="G1041" i="1" a="1"/>
  <c r="G1041" i="1" s="1"/>
  <c r="I1036" i="1"/>
  <c r="H1036" i="1" a="1"/>
  <c r="H1036" i="1" s="1"/>
  <c r="G1036" i="1" a="1"/>
  <c r="G1036" i="1" s="1"/>
  <c r="I1031" i="1"/>
  <c r="H1031" i="1" a="1"/>
  <c r="H1031" i="1" s="1"/>
  <c r="G1031" i="1" a="1"/>
  <c r="G1031" i="1" s="1"/>
  <c r="I1026" i="1"/>
  <c r="H1026" i="1" a="1"/>
  <c r="H1026" i="1" s="1"/>
  <c r="G1026" i="1" a="1"/>
  <c r="G1026" i="1" s="1"/>
  <c r="I1021" i="1"/>
  <c r="H1021" i="1" a="1"/>
  <c r="H1021" i="1" s="1"/>
  <c r="G1021" i="1" a="1"/>
  <c r="G1021" i="1" s="1"/>
  <c r="I1016" i="1"/>
  <c r="H1016" i="1" a="1"/>
  <c r="H1016" i="1" s="1"/>
  <c r="G1016" i="1" a="1"/>
  <c r="G1016" i="1" s="1"/>
  <c r="I1011" i="1"/>
  <c r="H1011" i="1" a="1"/>
  <c r="H1011" i="1" s="1"/>
  <c r="G1011" i="1" a="1"/>
  <c r="G1011" i="1" s="1"/>
  <c r="I1006" i="1"/>
  <c r="H1006" i="1" a="1"/>
  <c r="H1006" i="1" s="1"/>
  <c r="G1006" i="1" a="1"/>
  <c r="G1006" i="1" s="1"/>
  <c r="I1001" i="1"/>
  <c r="H1001" i="1" a="1"/>
  <c r="H1001" i="1" s="1"/>
  <c r="G1001" i="1" a="1"/>
  <c r="G1001" i="1" s="1"/>
  <c r="I996" i="1"/>
  <c r="H996" i="1" a="1"/>
  <c r="H996" i="1" s="1"/>
  <c r="G996" i="1" a="1"/>
  <c r="G996" i="1" s="1"/>
  <c r="I991" i="1"/>
  <c r="H991" i="1" a="1"/>
  <c r="H991" i="1" s="1"/>
  <c r="G991" i="1" a="1"/>
  <c r="G991" i="1" s="1"/>
  <c r="I986" i="1"/>
  <c r="H986" i="1" a="1"/>
  <c r="H986" i="1" s="1"/>
  <c r="G986" i="1" a="1"/>
  <c r="G986" i="1" s="1"/>
  <c r="I981" i="1"/>
  <c r="H981" i="1" a="1"/>
  <c r="H981" i="1" s="1"/>
  <c r="G981" i="1" a="1"/>
  <c r="G981" i="1" s="1"/>
  <c r="I976" i="1"/>
  <c r="H976" i="1" a="1"/>
  <c r="H976" i="1" s="1"/>
  <c r="G976" i="1" a="1"/>
  <c r="G976" i="1" s="1"/>
  <c r="I971" i="1"/>
  <c r="H971" i="1" a="1"/>
  <c r="H971" i="1" s="1"/>
  <c r="G971" i="1" a="1"/>
  <c r="G971" i="1" s="1"/>
  <c r="I966" i="1"/>
  <c r="H966" i="1" a="1"/>
  <c r="H966" i="1" s="1"/>
  <c r="G966" i="1" a="1"/>
  <c r="G966" i="1" s="1"/>
  <c r="I961" i="1"/>
  <c r="H961" i="1" a="1"/>
  <c r="H961" i="1" s="1"/>
  <c r="G961" i="1" a="1"/>
  <c r="G961" i="1" s="1"/>
  <c r="I956" i="1"/>
  <c r="H956" i="1" a="1"/>
  <c r="H956" i="1" s="1"/>
  <c r="G956" i="1" a="1"/>
  <c r="G956" i="1" s="1"/>
  <c r="I951" i="1"/>
  <c r="H951" i="1" a="1"/>
  <c r="H951" i="1" s="1"/>
  <c r="G951" i="1" a="1"/>
  <c r="G951" i="1" s="1"/>
  <c r="I946" i="1"/>
  <c r="H946" i="1" a="1"/>
  <c r="H946" i="1" s="1"/>
  <c r="G946" i="1" a="1"/>
  <c r="G946" i="1" s="1"/>
  <c r="I941" i="1"/>
  <c r="H941" i="1" a="1"/>
  <c r="H941" i="1" s="1"/>
  <c r="G941" i="1" a="1"/>
  <c r="G941" i="1" s="1"/>
  <c r="I936" i="1"/>
  <c r="H936" i="1" a="1"/>
  <c r="H936" i="1" s="1"/>
  <c r="G936" i="1" a="1"/>
  <c r="G936" i="1" s="1"/>
  <c r="I931" i="1"/>
  <c r="H931" i="1" a="1"/>
  <c r="H931" i="1" s="1"/>
  <c r="G931" i="1" a="1"/>
  <c r="G931" i="1" s="1"/>
  <c r="I926" i="1"/>
  <c r="H926" i="1" a="1"/>
  <c r="H926" i="1" s="1"/>
  <c r="G926" i="1" a="1"/>
  <c r="G926" i="1" s="1"/>
  <c r="I921" i="1"/>
  <c r="H921" i="1" a="1"/>
  <c r="H921" i="1" s="1"/>
  <c r="G921" i="1" a="1"/>
  <c r="G921" i="1" s="1"/>
  <c r="I916" i="1"/>
  <c r="H916" i="1" a="1"/>
  <c r="H916" i="1" s="1"/>
  <c r="G916" i="1" a="1"/>
  <c r="G916" i="1" s="1"/>
  <c r="I911" i="1"/>
  <c r="H911" i="1" a="1"/>
  <c r="H911" i="1" s="1"/>
  <c r="G911" i="1" a="1"/>
  <c r="G911" i="1" s="1"/>
  <c r="I906" i="1"/>
  <c r="H906" i="1" a="1"/>
  <c r="H906" i="1" s="1"/>
  <c r="G906" i="1" a="1"/>
  <c r="G906" i="1" s="1"/>
  <c r="I901" i="1"/>
  <c r="H901" i="1" a="1"/>
  <c r="H901" i="1" s="1"/>
  <c r="G901" i="1" a="1"/>
  <c r="G901" i="1" s="1"/>
  <c r="I896" i="1"/>
  <c r="H896" i="1" a="1"/>
  <c r="H896" i="1" s="1"/>
  <c r="G896" i="1" a="1"/>
  <c r="G896" i="1" s="1"/>
  <c r="I891" i="1"/>
  <c r="H891" i="1" a="1"/>
  <c r="H891" i="1" s="1"/>
  <c r="G891" i="1" a="1"/>
  <c r="G891" i="1" s="1"/>
  <c r="I886" i="1"/>
  <c r="H886" i="1" a="1"/>
  <c r="H886" i="1" s="1"/>
  <c r="G886" i="1" a="1"/>
  <c r="G886" i="1" s="1"/>
  <c r="I881" i="1"/>
  <c r="H881" i="1" a="1"/>
  <c r="H881" i="1" s="1"/>
  <c r="G881" i="1" a="1"/>
  <c r="G881" i="1" s="1"/>
  <c r="I876" i="1"/>
  <c r="H876" i="1" a="1"/>
  <c r="H876" i="1" s="1"/>
  <c r="G876" i="1" a="1"/>
  <c r="G876" i="1" s="1"/>
  <c r="I871" i="1"/>
  <c r="H871" i="1" a="1"/>
  <c r="H871" i="1" s="1"/>
  <c r="G871" i="1" a="1"/>
  <c r="G871" i="1" s="1"/>
  <c r="I866" i="1"/>
  <c r="H866" i="1" a="1"/>
  <c r="H866" i="1" s="1"/>
  <c r="G866" i="1" a="1"/>
  <c r="G866" i="1" s="1"/>
  <c r="I861" i="1"/>
  <c r="H861" i="1" a="1"/>
  <c r="H861" i="1" s="1"/>
  <c r="G861" i="1" a="1"/>
  <c r="G861" i="1" s="1"/>
  <c r="I856" i="1"/>
  <c r="H856" i="1" a="1"/>
  <c r="H856" i="1" s="1"/>
  <c r="G856" i="1" a="1"/>
  <c r="G856" i="1" s="1"/>
  <c r="I851" i="1"/>
  <c r="H851" i="1" a="1"/>
  <c r="H851" i="1" s="1"/>
  <c r="G851" i="1" a="1"/>
  <c r="G851" i="1" s="1"/>
  <c r="I846" i="1"/>
  <c r="H846" i="1" a="1"/>
  <c r="H846" i="1" s="1"/>
  <c r="G846" i="1" a="1"/>
  <c r="G846" i="1" s="1"/>
  <c r="I841" i="1"/>
  <c r="H841" i="1" a="1"/>
  <c r="H841" i="1" s="1"/>
  <c r="G841" i="1" a="1"/>
  <c r="G841" i="1" s="1"/>
  <c r="I836" i="1"/>
  <c r="H836" i="1" a="1"/>
  <c r="H836" i="1" s="1"/>
  <c r="G836" i="1" a="1"/>
  <c r="G836" i="1" s="1"/>
  <c r="I831" i="1"/>
  <c r="H831" i="1" a="1"/>
  <c r="H831" i="1" s="1"/>
  <c r="G831" i="1" a="1"/>
  <c r="G831" i="1" s="1"/>
  <c r="I826" i="1"/>
  <c r="H826" i="1" a="1"/>
  <c r="H826" i="1" s="1"/>
  <c r="G826" i="1" a="1"/>
  <c r="G826" i="1" s="1"/>
  <c r="I821" i="1"/>
  <c r="H821" i="1" a="1"/>
  <c r="H821" i="1" s="1"/>
  <c r="G821" i="1" a="1"/>
  <c r="G821" i="1" s="1"/>
  <c r="I816" i="1"/>
  <c r="H816" i="1" a="1"/>
  <c r="H816" i="1" s="1"/>
  <c r="G816" i="1" a="1"/>
  <c r="G816" i="1" s="1"/>
  <c r="I811" i="1"/>
  <c r="H811" i="1" a="1"/>
  <c r="H811" i="1" s="1"/>
  <c r="G811" i="1" a="1"/>
  <c r="G811" i="1" s="1"/>
  <c r="I806" i="1"/>
  <c r="H806" i="1" a="1"/>
  <c r="H806" i="1" s="1"/>
  <c r="G806" i="1" a="1"/>
  <c r="G806" i="1" s="1"/>
  <c r="I801" i="1"/>
  <c r="H801" i="1" a="1"/>
  <c r="H801" i="1" s="1"/>
  <c r="G801" i="1" a="1"/>
  <c r="G801" i="1" s="1"/>
  <c r="I796" i="1"/>
  <c r="H796" i="1" a="1"/>
  <c r="H796" i="1" s="1"/>
  <c r="G796" i="1" a="1"/>
  <c r="G796" i="1" s="1"/>
  <c r="I791" i="1"/>
  <c r="H791" i="1" a="1"/>
  <c r="H791" i="1" s="1"/>
  <c r="G791" i="1" a="1"/>
  <c r="G791" i="1" s="1"/>
  <c r="I786" i="1"/>
  <c r="H786" i="1" a="1"/>
  <c r="H786" i="1" s="1"/>
  <c r="G786" i="1" a="1"/>
  <c r="G786" i="1" s="1"/>
  <c r="I781" i="1"/>
  <c r="H781" i="1" a="1"/>
  <c r="H781" i="1" s="1"/>
  <c r="G781" i="1" a="1"/>
  <c r="G781" i="1" s="1"/>
  <c r="I776" i="1"/>
  <c r="H776" i="1" a="1"/>
  <c r="H776" i="1" s="1"/>
  <c r="G776" i="1" a="1"/>
  <c r="G776" i="1" s="1"/>
  <c r="I771" i="1"/>
  <c r="H771" i="1" a="1"/>
  <c r="H771" i="1" s="1"/>
  <c r="G771" i="1" a="1"/>
  <c r="G771" i="1" s="1"/>
  <c r="I766" i="1"/>
  <c r="H766" i="1" a="1"/>
  <c r="H766" i="1" s="1"/>
  <c r="G766" i="1" a="1"/>
  <c r="G766" i="1" s="1"/>
  <c r="I761" i="1"/>
  <c r="H761" i="1" a="1"/>
  <c r="H761" i="1" s="1"/>
  <c r="G761" i="1" a="1"/>
  <c r="G761" i="1" s="1"/>
  <c r="I756" i="1"/>
  <c r="H756" i="1" a="1"/>
  <c r="H756" i="1" s="1"/>
  <c r="G756" i="1" a="1"/>
  <c r="G756" i="1" s="1"/>
  <c r="I751" i="1"/>
  <c r="H751" i="1" a="1"/>
  <c r="H751" i="1" s="1"/>
  <c r="G751" i="1" a="1"/>
  <c r="G751" i="1" s="1"/>
  <c r="I746" i="1"/>
  <c r="H746" i="1" a="1"/>
  <c r="H746" i="1" s="1"/>
  <c r="G746" i="1" a="1"/>
  <c r="G746" i="1" s="1"/>
  <c r="I741" i="1"/>
  <c r="H741" i="1" a="1"/>
  <c r="H741" i="1" s="1"/>
  <c r="G741" i="1" a="1"/>
  <c r="G741" i="1" s="1"/>
  <c r="I736" i="1"/>
  <c r="H736" i="1" a="1"/>
  <c r="H736" i="1" s="1"/>
  <c r="G736" i="1" a="1"/>
  <c r="G736" i="1" s="1"/>
  <c r="I731" i="1"/>
  <c r="H731" i="1" a="1"/>
  <c r="H731" i="1" s="1"/>
  <c r="G731" i="1" a="1"/>
  <c r="G731" i="1" s="1"/>
  <c r="I726" i="1"/>
  <c r="H726" i="1" a="1"/>
  <c r="H726" i="1" s="1"/>
  <c r="G726" i="1" a="1"/>
  <c r="G726" i="1" s="1"/>
  <c r="I721" i="1"/>
  <c r="H721" i="1" a="1"/>
  <c r="H721" i="1" s="1"/>
  <c r="G721" i="1" a="1"/>
  <c r="G721" i="1" s="1"/>
  <c r="I716" i="1"/>
  <c r="H716" i="1" a="1"/>
  <c r="H716" i="1" s="1"/>
  <c r="G716" i="1" a="1"/>
  <c r="G716" i="1" s="1"/>
  <c r="I711" i="1"/>
  <c r="H711" i="1" a="1"/>
  <c r="H711" i="1" s="1"/>
  <c r="G711" i="1" a="1"/>
  <c r="G711" i="1" s="1"/>
  <c r="I706" i="1"/>
  <c r="H706" i="1" a="1"/>
  <c r="H706" i="1" s="1"/>
  <c r="G706" i="1" a="1"/>
  <c r="G706" i="1" s="1"/>
  <c r="I701" i="1"/>
  <c r="H701" i="1" a="1"/>
  <c r="H701" i="1" s="1"/>
  <c r="G701" i="1" a="1"/>
  <c r="G701" i="1" s="1"/>
  <c r="I696" i="1"/>
  <c r="H696" i="1" a="1"/>
  <c r="H696" i="1" s="1"/>
  <c r="G696" i="1" a="1"/>
  <c r="G696" i="1" s="1"/>
  <c r="I691" i="1"/>
  <c r="H691" i="1" a="1"/>
  <c r="H691" i="1" s="1"/>
  <c r="G691" i="1" a="1"/>
  <c r="G691" i="1" s="1"/>
  <c r="I686" i="1"/>
  <c r="H686" i="1" a="1"/>
  <c r="H686" i="1" s="1"/>
  <c r="G686" i="1" a="1"/>
  <c r="G686" i="1" s="1"/>
  <c r="I681" i="1"/>
  <c r="H681" i="1" a="1"/>
  <c r="H681" i="1" s="1"/>
  <c r="G681" i="1" a="1"/>
  <c r="G681" i="1" s="1"/>
  <c r="I676" i="1"/>
  <c r="H676" i="1" a="1"/>
  <c r="H676" i="1" s="1"/>
  <c r="G676" i="1" a="1"/>
  <c r="G676" i="1" s="1"/>
  <c r="I671" i="1"/>
  <c r="H671" i="1" a="1"/>
  <c r="H671" i="1" s="1"/>
  <c r="G671" i="1" a="1"/>
  <c r="G671" i="1" s="1"/>
  <c r="I666" i="1"/>
  <c r="H666" i="1" a="1"/>
  <c r="H666" i="1" s="1"/>
  <c r="G666" i="1" a="1"/>
  <c r="G666" i="1" s="1"/>
  <c r="I661" i="1"/>
  <c r="H661" i="1" a="1"/>
  <c r="H661" i="1" s="1"/>
  <c r="G661" i="1" a="1"/>
  <c r="G661" i="1" s="1"/>
  <c r="I656" i="1"/>
  <c r="H656" i="1" a="1"/>
  <c r="H656" i="1" s="1"/>
  <c r="G656" i="1" a="1"/>
  <c r="G656" i="1" s="1"/>
  <c r="I651" i="1"/>
  <c r="H651" i="1" a="1"/>
  <c r="H651" i="1" s="1"/>
  <c r="G651" i="1" a="1"/>
  <c r="G651" i="1" s="1"/>
  <c r="I646" i="1"/>
  <c r="H646" i="1" a="1"/>
  <c r="H646" i="1" s="1"/>
  <c r="G646" i="1" a="1"/>
  <c r="G646" i="1" s="1"/>
  <c r="I641" i="1"/>
  <c r="H641" i="1" a="1"/>
  <c r="H641" i="1" s="1"/>
  <c r="G641" i="1" a="1"/>
  <c r="G641" i="1" s="1"/>
  <c r="I636" i="1"/>
  <c r="H636" i="1" a="1"/>
  <c r="H636" i="1" s="1"/>
  <c r="G636" i="1" a="1"/>
  <c r="G636" i="1" s="1"/>
  <c r="I631" i="1"/>
  <c r="H631" i="1" a="1"/>
  <c r="H631" i="1" s="1"/>
  <c r="G631" i="1" a="1"/>
  <c r="G631" i="1" s="1"/>
  <c r="I626" i="1"/>
  <c r="H626" i="1" a="1"/>
  <c r="H626" i="1" s="1"/>
  <c r="G626" i="1" a="1"/>
  <c r="G626" i="1" s="1"/>
  <c r="I621" i="1"/>
  <c r="H621" i="1" a="1"/>
  <c r="H621" i="1" s="1"/>
  <c r="G621" i="1" a="1"/>
  <c r="G621" i="1" s="1"/>
  <c r="I616" i="1"/>
  <c r="H616" i="1" a="1"/>
  <c r="H616" i="1" s="1"/>
  <c r="G616" i="1" a="1"/>
  <c r="G616" i="1" s="1"/>
  <c r="I611" i="1"/>
  <c r="H611" i="1" a="1"/>
  <c r="H611" i="1" s="1"/>
  <c r="G611" i="1" a="1"/>
  <c r="G611" i="1" s="1"/>
  <c r="I606" i="1"/>
  <c r="H606" i="1" a="1"/>
  <c r="H606" i="1" s="1"/>
  <c r="G606" i="1" a="1"/>
  <c r="G606" i="1" s="1"/>
  <c r="I601" i="1"/>
  <c r="H601" i="1" a="1"/>
  <c r="H601" i="1" s="1"/>
  <c r="G601" i="1" a="1"/>
  <c r="G601" i="1" s="1"/>
  <c r="I596" i="1"/>
  <c r="H596" i="1" a="1"/>
  <c r="H596" i="1" s="1"/>
  <c r="G596" i="1" a="1"/>
  <c r="G596" i="1" s="1"/>
  <c r="I591" i="1"/>
  <c r="H591" i="1" a="1"/>
  <c r="H591" i="1" s="1"/>
  <c r="G591" i="1" a="1"/>
  <c r="G591" i="1" s="1"/>
  <c r="I586" i="1"/>
  <c r="H586" i="1" a="1"/>
  <c r="H586" i="1" s="1"/>
  <c r="G586" i="1" a="1"/>
  <c r="G586" i="1" s="1"/>
  <c r="I581" i="1"/>
  <c r="H581" i="1" a="1"/>
  <c r="H581" i="1" s="1"/>
  <c r="G581" i="1" a="1"/>
  <c r="G581" i="1" s="1"/>
  <c r="I576" i="1"/>
  <c r="H576" i="1" a="1"/>
  <c r="H576" i="1" s="1"/>
  <c r="G576" i="1" a="1"/>
  <c r="G576" i="1" s="1"/>
  <c r="I571" i="1"/>
  <c r="H571" i="1" a="1"/>
  <c r="H571" i="1" s="1"/>
  <c r="G571" i="1" a="1"/>
  <c r="G571" i="1" s="1"/>
  <c r="I566" i="1"/>
  <c r="H566" i="1" a="1"/>
  <c r="H566" i="1" s="1"/>
  <c r="G566" i="1" a="1"/>
  <c r="G566" i="1" s="1"/>
  <c r="I561" i="1"/>
  <c r="H561" i="1" a="1"/>
  <c r="H561" i="1" s="1"/>
  <c r="G561" i="1" a="1"/>
  <c r="G561" i="1" s="1"/>
  <c r="I556" i="1"/>
  <c r="H556" i="1" a="1"/>
  <c r="H556" i="1" s="1"/>
  <c r="G556" i="1" a="1"/>
  <c r="G556" i="1" s="1"/>
  <c r="I551" i="1"/>
  <c r="H551" i="1" a="1"/>
  <c r="H551" i="1" s="1"/>
  <c r="G551" i="1" a="1"/>
  <c r="G551" i="1" s="1"/>
  <c r="I546" i="1"/>
  <c r="H546" i="1" a="1"/>
  <c r="H546" i="1" s="1"/>
  <c r="G546" i="1" a="1"/>
  <c r="G546" i="1" s="1"/>
  <c r="I541" i="1"/>
  <c r="H541" i="1" a="1"/>
  <c r="H541" i="1" s="1"/>
  <c r="G541" i="1" a="1"/>
  <c r="G541" i="1" s="1"/>
  <c r="I536" i="1"/>
  <c r="H536" i="1" a="1"/>
  <c r="H536" i="1" s="1"/>
  <c r="G536" i="1" a="1"/>
  <c r="G536" i="1" s="1"/>
  <c r="I531" i="1"/>
  <c r="H531" i="1" a="1"/>
  <c r="H531" i="1" s="1"/>
  <c r="G531" i="1" a="1"/>
  <c r="G531" i="1" s="1"/>
  <c r="I526" i="1"/>
  <c r="H526" i="1" a="1"/>
  <c r="H526" i="1" s="1"/>
  <c r="G526" i="1" a="1"/>
  <c r="G526" i="1" s="1"/>
  <c r="I521" i="1"/>
  <c r="H521" i="1" a="1"/>
  <c r="H521" i="1" s="1"/>
  <c r="G521" i="1" a="1"/>
  <c r="G521" i="1" s="1"/>
  <c r="I516" i="1"/>
  <c r="H516" i="1" a="1"/>
  <c r="H516" i="1" s="1"/>
  <c r="G516" i="1" a="1"/>
  <c r="G516" i="1" s="1"/>
  <c r="I511" i="1"/>
  <c r="H511" i="1" a="1"/>
  <c r="H511" i="1" s="1"/>
  <c r="G511" i="1" a="1"/>
  <c r="G511" i="1" s="1"/>
  <c r="I506" i="1"/>
  <c r="H506" i="1" a="1"/>
  <c r="H506" i="1" s="1"/>
  <c r="G506" i="1" a="1"/>
  <c r="G506" i="1" s="1"/>
  <c r="I501" i="1"/>
  <c r="H501" i="1" a="1"/>
  <c r="H501" i="1" s="1"/>
  <c r="G501" i="1" a="1"/>
  <c r="G501" i="1" s="1"/>
  <c r="I496" i="1"/>
  <c r="H496" i="1" a="1"/>
  <c r="H496" i="1" s="1"/>
  <c r="G496" i="1" a="1"/>
  <c r="G496" i="1" s="1"/>
  <c r="I491" i="1"/>
  <c r="H491" i="1" a="1"/>
  <c r="H491" i="1" s="1"/>
  <c r="G491" i="1" a="1"/>
  <c r="G491" i="1" s="1"/>
  <c r="I486" i="1"/>
  <c r="H486" i="1" a="1"/>
  <c r="H486" i="1" s="1"/>
  <c r="G486" i="1" a="1"/>
  <c r="G486" i="1" s="1"/>
  <c r="I481" i="1"/>
  <c r="H481" i="1" a="1"/>
  <c r="H481" i="1" s="1"/>
  <c r="G481" i="1" a="1"/>
  <c r="G481" i="1" s="1"/>
  <c r="I476" i="1"/>
  <c r="H476" i="1" a="1"/>
  <c r="H476" i="1" s="1"/>
  <c r="G476" i="1" a="1"/>
  <c r="G476" i="1" s="1"/>
  <c r="I471" i="1"/>
  <c r="H471" i="1" a="1"/>
  <c r="H471" i="1" s="1"/>
  <c r="G471" i="1" a="1"/>
  <c r="G471" i="1" s="1"/>
  <c r="I466" i="1"/>
  <c r="H466" i="1" a="1"/>
  <c r="H466" i="1" s="1"/>
  <c r="G466" i="1" a="1"/>
  <c r="G466" i="1" s="1"/>
  <c r="I461" i="1"/>
  <c r="H461" i="1" a="1"/>
  <c r="H461" i="1" s="1"/>
  <c r="G461" i="1" a="1"/>
  <c r="G461" i="1" s="1"/>
  <c r="I456" i="1"/>
  <c r="H456" i="1" a="1"/>
  <c r="H456" i="1" s="1"/>
  <c r="G456" i="1" a="1"/>
  <c r="G456" i="1" s="1"/>
  <c r="I451" i="1"/>
  <c r="H451" i="1" a="1"/>
  <c r="H451" i="1" s="1"/>
  <c r="G451" i="1" a="1"/>
  <c r="G451" i="1" s="1"/>
  <c r="I446" i="1"/>
  <c r="H446" i="1" a="1"/>
  <c r="H446" i="1" s="1"/>
  <c r="G446" i="1" a="1"/>
  <c r="G446" i="1" s="1"/>
  <c r="I441" i="1"/>
  <c r="H441" i="1" a="1"/>
  <c r="H441" i="1" s="1"/>
  <c r="G441" i="1" a="1"/>
  <c r="G441" i="1" s="1"/>
  <c r="I436" i="1"/>
  <c r="H436" i="1" a="1"/>
  <c r="H436" i="1" s="1"/>
  <c r="G436" i="1" a="1"/>
  <c r="G436" i="1" s="1"/>
  <c r="I431" i="1"/>
  <c r="H431" i="1" a="1"/>
  <c r="H431" i="1" s="1"/>
  <c r="G431" i="1" a="1"/>
  <c r="G431" i="1" s="1"/>
  <c r="I426" i="1"/>
  <c r="H426" i="1" a="1"/>
  <c r="H426" i="1" s="1"/>
  <c r="G426" i="1" a="1"/>
  <c r="G426" i="1" s="1"/>
  <c r="I421" i="1"/>
  <c r="H421" i="1" a="1"/>
  <c r="H421" i="1" s="1"/>
  <c r="G421" i="1" a="1"/>
  <c r="G421" i="1" s="1"/>
  <c r="I416" i="1"/>
  <c r="H416" i="1" a="1"/>
  <c r="H416" i="1" s="1"/>
  <c r="G416" i="1" a="1"/>
  <c r="G416" i="1" s="1"/>
  <c r="I411" i="1"/>
  <c r="H411" i="1" a="1"/>
  <c r="H411" i="1" s="1"/>
  <c r="G411" i="1" a="1"/>
  <c r="G411" i="1" s="1"/>
  <c r="I406" i="1"/>
  <c r="H406" i="1" a="1"/>
  <c r="H406" i="1" s="1"/>
  <c r="G406" i="1" a="1"/>
  <c r="G406" i="1" s="1"/>
  <c r="I401" i="1"/>
  <c r="H401" i="1" a="1"/>
  <c r="H401" i="1" s="1"/>
  <c r="G401" i="1" a="1"/>
  <c r="G401" i="1" s="1"/>
  <c r="I396" i="1"/>
  <c r="H396" i="1" a="1"/>
  <c r="H396" i="1" s="1"/>
  <c r="G396" i="1" a="1"/>
  <c r="G396" i="1" s="1"/>
  <c r="I391" i="1"/>
  <c r="H391" i="1" a="1"/>
  <c r="H391" i="1" s="1"/>
  <c r="G391" i="1" a="1"/>
  <c r="G391" i="1" s="1"/>
  <c r="I386" i="1"/>
  <c r="H386" i="1" a="1"/>
  <c r="H386" i="1" s="1"/>
  <c r="G386" i="1" a="1"/>
  <c r="G386" i="1" s="1"/>
  <c r="I381" i="1"/>
  <c r="H381" i="1" a="1"/>
  <c r="H381" i="1" s="1"/>
  <c r="G381" i="1" a="1"/>
  <c r="G381" i="1" s="1"/>
  <c r="I376" i="1"/>
  <c r="H376" i="1" a="1"/>
  <c r="H376" i="1" s="1"/>
  <c r="G376" i="1" a="1"/>
  <c r="G376" i="1" s="1"/>
  <c r="I371" i="1"/>
  <c r="H371" i="1" a="1"/>
  <c r="H371" i="1" s="1"/>
  <c r="G371" i="1" a="1"/>
  <c r="G371" i="1" s="1"/>
  <c r="I366" i="1"/>
  <c r="H366" i="1" a="1"/>
  <c r="H366" i="1" s="1"/>
  <c r="G366" i="1" a="1"/>
  <c r="G366" i="1" s="1"/>
  <c r="I361" i="1"/>
  <c r="H361" i="1" a="1"/>
  <c r="H361" i="1" s="1"/>
  <c r="G361" i="1" a="1"/>
  <c r="G361" i="1" s="1"/>
  <c r="I356" i="1"/>
  <c r="H356" i="1" a="1"/>
  <c r="H356" i="1" s="1"/>
  <c r="G356" i="1" a="1"/>
  <c r="G356" i="1" s="1"/>
  <c r="I351" i="1"/>
  <c r="H351" i="1" a="1"/>
  <c r="H351" i="1" s="1"/>
  <c r="G351" i="1" a="1"/>
  <c r="G351" i="1" s="1"/>
  <c r="I346" i="1"/>
  <c r="H346" i="1" a="1"/>
  <c r="H346" i="1" s="1"/>
  <c r="G346" i="1" a="1"/>
  <c r="G346" i="1" s="1"/>
  <c r="I341" i="1"/>
  <c r="H341" i="1" a="1"/>
  <c r="H341" i="1" s="1"/>
  <c r="G341" i="1" a="1"/>
  <c r="G341" i="1" s="1"/>
  <c r="I336" i="1"/>
  <c r="H336" i="1" a="1"/>
  <c r="H336" i="1" s="1"/>
  <c r="G336" i="1" a="1"/>
  <c r="G336" i="1" s="1"/>
  <c r="I331" i="1"/>
  <c r="H331" i="1" a="1"/>
  <c r="H331" i="1" s="1"/>
  <c r="G331" i="1" a="1"/>
  <c r="G331" i="1" s="1"/>
  <c r="I326" i="1"/>
  <c r="H326" i="1" a="1"/>
  <c r="H326" i="1" s="1"/>
  <c r="G326" i="1" a="1"/>
  <c r="G326" i="1" s="1"/>
  <c r="I321" i="1"/>
  <c r="H321" i="1" a="1"/>
  <c r="H321" i="1" s="1"/>
  <c r="G321" i="1" a="1"/>
  <c r="G321" i="1" s="1"/>
  <c r="I316" i="1"/>
  <c r="H316" i="1" a="1"/>
  <c r="H316" i="1" s="1"/>
  <c r="G316" i="1" a="1"/>
  <c r="G316" i="1" s="1"/>
  <c r="I311" i="1"/>
  <c r="H311" i="1" a="1"/>
  <c r="H311" i="1" s="1"/>
  <c r="G311" i="1" a="1"/>
  <c r="G311" i="1" s="1"/>
  <c r="I306" i="1"/>
  <c r="H306" i="1" a="1"/>
  <c r="H306" i="1" s="1"/>
  <c r="G306" i="1" a="1"/>
  <c r="G306" i="1" s="1"/>
  <c r="I301" i="1"/>
  <c r="H301" i="1" a="1"/>
  <c r="H301" i="1" s="1"/>
  <c r="G301" i="1" a="1"/>
  <c r="G301" i="1" s="1"/>
  <c r="I296" i="1"/>
  <c r="H296" i="1" a="1"/>
  <c r="H296" i="1" s="1"/>
  <c r="G296" i="1" a="1"/>
  <c r="G296" i="1" s="1"/>
  <c r="I291" i="1"/>
  <c r="H291" i="1" a="1"/>
  <c r="H291" i="1" s="1"/>
  <c r="G291" i="1" a="1"/>
  <c r="G291" i="1" s="1"/>
  <c r="I286" i="1"/>
  <c r="H286" i="1" a="1"/>
  <c r="H286" i="1" s="1"/>
  <c r="G286" i="1" a="1"/>
  <c r="G286" i="1" s="1"/>
  <c r="I281" i="1"/>
  <c r="H281" i="1" a="1"/>
  <c r="H281" i="1" s="1"/>
  <c r="G281" i="1" a="1"/>
  <c r="G281" i="1" s="1"/>
  <c r="I276" i="1"/>
  <c r="H276" i="1" a="1"/>
  <c r="H276" i="1" s="1"/>
  <c r="G276" i="1" a="1"/>
  <c r="G276" i="1" s="1"/>
  <c r="I271" i="1"/>
  <c r="H271" i="1" a="1"/>
  <c r="H271" i="1" s="1"/>
  <c r="G271" i="1" a="1"/>
  <c r="G271" i="1" s="1"/>
  <c r="I266" i="1"/>
  <c r="H266" i="1" a="1"/>
  <c r="H266" i="1" s="1"/>
  <c r="G266" i="1" a="1"/>
  <c r="G266" i="1" s="1"/>
  <c r="I261" i="1"/>
  <c r="H261" i="1" a="1"/>
  <c r="H261" i="1" s="1"/>
  <c r="G261" i="1" a="1"/>
  <c r="G261" i="1" s="1"/>
  <c r="I256" i="1"/>
  <c r="H256" i="1" a="1"/>
  <c r="H256" i="1" s="1"/>
  <c r="G256" i="1" a="1"/>
  <c r="G256" i="1" s="1"/>
  <c r="I251" i="1"/>
  <c r="H251" i="1" a="1"/>
  <c r="H251" i="1" s="1"/>
  <c r="G251" i="1" a="1"/>
  <c r="G251" i="1" s="1"/>
  <c r="I246" i="1"/>
  <c r="H246" i="1" a="1"/>
  <c r="H246" i="1" s="1"/>
  <c r="G246" i="1" a="1"/>
  <c r="G246" i="1" s="1"/>
  <c r="I241" i="1"/>
  <c r="H241" i="1" a="1"/>
  <c r="H241" i="1" s="1"/>
  <c r="G241" i="1" a="1"/>
  <c r="G241" i="1" s="1"/>
  <c r="I236" i="1"/>
  <c r="H236" i="1" a="1"/>
  <c r="H236" i="1" s="1"/>
  <c r="G236" i="1" a="1"/>
  <c r="G236" i="1" s="1"/>
  <c r="I231" i="1"/>
  <c r="H231" i="1" a="1"/>
  <c r="H231" i="1" s="1"/>
  <c r="G231" i="1" a="1"/>
  <c r="G231" i="1" s="1"/>
  <c r="I226" i="1"/>
  <c r="H226" i="1" a="1"/>
  <c r="H226" i="1" s="1"/>
  <c r="G226" i="1" a="1"/>
  <c r="G226" i="1" s="1"/>
  <c r="I221" i="1"/>
  <c r="H221" i="1" a="1"/>
  <c r="H221" i="1" s="1"/>
  <c r="G221" i="1" a="1"/>
  <c r="G221" i="1" s="1"/>
  <c r="I216" i="1"/>
  <c r="H216" i="1" a="1"/>
  <c r="H216" i="1" s="1"/>
  <c r="G216" i="1" a="1"/>
  <c r="G216" i="1" s="1"/>
  <c r="I211" i="1"/>
  <c r="H211" i="1" a="1"/>
  <c r="H211" i="1" s="1"/>
  <c r="G211" i="1" a="1"/>
  <c r="G211" i="1" s="1"/>
  <c r="I206" i="1"/>
  <c r="H206" i="1" a="1"/>
  <c r="H206" i="1" s="1"/>
  <c r="G206" i="1" a="1"/>
  <c r="G206" i="1" s="1"/>
  <c r="I201" i="1"/>
  <c r="H201" i="1" a="1"/>
  <c r="H201" i="1" s="1"/>
  <c r="G201" i="1" a="1"/>
  <c r="G201" i="1" s="1"/>
  <c r="I196" i="1"/>
  <c r="H196" i="1" a="1"/>
  <c r="H196" i="1" s="1"/>
  <c r="G196" i="1" a="1"/>
  <c r="G196" i="1" s="1"/>
  <c r="I191" i="1"/>
  <c r="H191" i="1" a="1"/>
  <c r="H191" i="1" s="1"/>
  <c r="G191" i="1" a="1"/>
  <c r="G191" i="1" s="1"/>
  <c r="I186" i="1"/>
  <c r="H186" i="1" a="1"/>
  <c r="H186" i="1" s="1"/>
  <c r="G186" i="1" a="1"/>
  <c r="G186" i="1" s="1"/>
  <c r="I181" i="1"/>
  <c r="H181" i="1" a="1"/>
  <c r="H181" i="1" s="1"/>
  <c r="G181" i="1" a="1"/>
  <c r="G181" i="1" s="1"/>
  <c r="I176" i="1"/>
  <c r="H176" i="1" a="1"/>
  <c r="H176" i="1" s="1"/>
  <c r="G176" i="1" a="1"/>
  <c r="G176" i="1" s="1"/>
  <c r="I171" i="1"/>
  <c r="H171" i="1" a="1"/>
  <c r="H171" i="1" s="1"/>
  <c r="G171" i="1" a="1"/>
  <c r="G171" i="1" s="1"/>
  <c r="I166" i="1"/>
  <c r="H166" i="1" a="1"/>
  <c r="H166" i="1" s="1"/>
  <c r="G166" i="1" a="1"/>
  <c r="G166" i="1" s="1"/>
  <c r="I161" i="1"/>
  <c r="H161" i="1" a="1"/>
  <c r="H161" i="1" s="1"/>
  <c r="G161" i="1" a="1"/>
  <c r="G161" i="1" s="1"/>
  <c r="I156" i="1"/>
  <c r="H156" i="1" a="1"/>
  <c r="H156" i="1" s="1"/>
  <c r="G156" i="1" a="1"/>
  <c r="G156" i="1" s="1"/>
  <c r="I151" i="1"/>
  <c r="H151" i="1" a="1"/>
  <c r="H151" i="1" s="1"/>
  <c r="G151" i="1" a="1"/>
  <c r="G151" i="1" s="1"/>
  <c r="I146" i="1"/>
  <c r="H146" i="1" a="1"/>
  <c r="H146" i="1" s="1"/>
  <c r="G146" i="1" a="1"/>
  <c r="G146" i="1" s="1"/>
  <c r="I141" i="1"/>
  <c r="H141" i="1" a="1"/>
  <c r="H141" i="1" s="1"/>
  <c r="G141" i="1" a="1"/>
  <c r="G141" i="1" s="1"/>
  <c r="I136" i="1"/>
  <c r="H136" i="1" a="1"/>
  <c r="H136" i="1" s="1"/>
  <c r="G136" i="1" a="1"/>
  <c r="G136" i="1" s="1"/>
  <c r="I131" i="1"/>
  <c r="H131" i="1" a="1"/>
  <c r="H131" i="1" s="1"/>
  <c r="G131" i="1" a="1"/>
  <c r="G131" i="1" s="1"/>
  <c r="I126" i="1"/>
  <c r="H126" i="1" a="1"/>
  <c r="H126" i="1" s="1"/>
  <c r="G126" i="1" a="1"/>
  <c r="G126" i="1" s="1"/>
  <c r="I121" i="1"/>
  <c r="H121" i="1" a="1"/>
  <c r="H121" i="1" s="1"/>
  <c r="G121" i="1" a="1"/>
  <c r="G121" i="1" s="1"/>
  <c r="I116" i="1"/>
  <c r="H116" i="1" a="1"/>
  <c r="H116" i="1" s="1"/>
  <c r="G116" i="1" a="1"/>
  <c r="G116" i="1" s="1"/>
  <c r="I111" i="1"/>
  <c r="H111" i="1" a="1"/>
  <c r="H111" i="1" s="1"/>
  <c r="G111" i="1" a="1"/>
  <c r="G111" i="1" s="1"/>
  <c r="I106" i="1"/>
  <c r="H106" i="1" a="1"/>
  <c r="H106" i="1" s="1"/>
  <c r="G106" i="1" a="1"/>
  <c r="G106" i="1" s="1"/>
  <c r="I101" i="1"/>
  <c r="H101" i="1" a="1"/>
  <c r="H101" i="1" s="1"/>
  <c r="G101" i="1" a="1"/>
  <c r="G101" i="1" s="1"/>
  <c r="I96" i="1"/>
  <c r="H96" i="1" a="1"/>
  <c r="H96" i="1" s="1"/>
  <c r="G96" i="1" a="1"/>
  <c r="G96" i="1" s="1"/>
  <c r="I91" i="1"/>
  <c r="H91" i="1" a="1"/>
  <c r="H91" i="1" s="1"/>
  <c r="G91" i="1" a="1"/>
  <c r="G91" i="1" s="1"/>
  <c r="I86" i="1"/>
  <c r="H86" i="1" a="1"/>
  <c r="H86" i="1" s="1"/>
  <c r="G86" i="1" a="1"/>
  <c r="G86" i="1" s="1"/>
  <c r="I81" i="1"/>
  <c r="H81" i="1" a="1"/>
  <c r="H81" i="1" s="1"/>
  <c r="G81" i="1" a="1"/>
  <c r="G81" i="1" s="1"/>
  <c r="I76" i="1"/>
  <c r="H76" i="1" a="1"/>
  <c r="H76" i="1" s="1"/>
  <c r="G76" i="1" a="1"/>
  <c r="G76" i="1" s="1"/>
  <c r="I71" i="1"/>
  <c r="H71" i="1" a="1"/>
  <c r="H71" i="1" s="1"/>
  <c r="G71" i="1" a="1"/>
  <c r="G71" i="1" s="1"/>
  <c r="I66" i="1"/>
  <c r="H66" i="1" a="1"/>
  <c r="H66" i="1" s="1"/>
  <c r="G66" i="1" a="1"/>
  <c r="G66" i="1" s="1"/>
  <c r="I61" i="1"/>
  <c r="H61" i="1" a="1"/>
  <c r="H61" i="1" s="1"/>
  <c r="G61" i="1" a="1"/>
  <c r="G61" i="1" s="1"/>
  <c r="I56" i="1"/>
  <c r="H56" i="1" a="1"/>
  <c r="H56" i="1" s="1"/>
  <c r="G56" i="1" a="1"/>
  <c r="G56" i="1" s="1"/>
  <c r="I51" i="1"/>
  <c r="H51" i="1" a="1"/>
  <c r="H51" i="1" s="1"/>
  <c r="G51" i="1" a="1"/>
  <c r="G51" i="1" s="1"/>
  <c r="I46" i="1"/>
  <c r="H46" i="1" a="1"/>
  <c r="H46" i="1" s="1"/>
  <c r="G46" i="1" a="1"/>
  <c r="G46" i="1" s="1"/>
  <c r="I41" i="1"/>
  <c r="H41" i="1" a="1"/>
  <c r="H41" i="1" s="1"/>
  <c r="G41" i="1" a="1"/>
  <c r="G41" i="1" s="1"/>
  <c r="I36" i="1"/>
  <c r="H36" i="1" a="1"/>
  <c r="H36" i="1" s="1"/>
  <c r="G36" i="1" a="1"/>
  <c r="G36" i="1" s="1"/>
  <c r="I31" i="1"/>
  <c r="H31" i="1" a="1"/>
  <c r="H31" i="1" s="1"/>
  <c r="G31" i="1" a="1"/>
  <c r="G31" i="1" s="1"/>
  <c r="I26" i="1"/>
  <c r="H26" i="1" a="1"/>
  <c r="H26" i="1" s="1"/>
  <c r="G26" i="1" a="1"/>
  <c r="G26" i="1" s="1"/>
  <c r="I21" i="1"/>
  <c r="H21" i="1" a="1"/>
  <c r="H21" i="1" s="1"/>
  <c r="G21" i="1" a="1"/>
  <c r="G21" i="1" s="1"/>
  <c r="I16" i="1"/>
  <c r="H16" i="1" a="1"/>
  <c r="H16" i="1" s="1"/>
  <c r="G16" i="1" a="1"/>
  <c r="G16" i="1" s="1"/>
  <c r="I11" i="1"/>
  <c r="H11" i="1" a="1"/>
  <c r="H11" i="1" s="1"/>
  <c r="G11" i="1" a="1"/>
  <c r="G11" i="1" s="1"/>
  <c r="I6" i="1"/>
  <c r="H6" i="1" a="1"/>
  <c r="H6" i="1" s="1"/>
  <c r="G6" i="1" a="1"/>
  <c r="G6" i="1" s="1"/>
  <c r="I1719" i="1"/>
  <c r="H1719" i="1" a="1"/>
  <c r="H1719" i="1" s="1"/>
  <c r="G1719" i="1" a="1"/>
  <c r="G1719" i="1" s="1"/>
  <c r="I1714" i="1"/>
  <c r="H1714" i="1" a="1"/>
  <c r="H1714" i="1" s="1"/>
  <c r="G1714" i="1" a="1"/>
  <c r="G1714" i="1" s="1"/>
  <c r="I1709" i="1"/>
  <c r="H1709" i="1" a="1"/>
  <c r="H1709" i="1" s="1"/>
  <c r="G1709" i="1" a="1"/>
  <c r="G1709" i="1" s="1"/>
  <c r="I1704" i="1"/>
  <c r="H1704" i="1" a="1"/>
  <c r="H1704" i="1" s="1"/>
  <c r="G1704" i="1" a="1"/>
  <c r="G1704" i="1" s="1"/>
  <c r="I1699" i="1"/>
  <c r="H1699" i="1" a="1"/>
  <c r="H1699" i="1" s="1"/>
  <c r="G1699" i="1" a="1"/>
  <c r="G1699" i="1" s="1"/>
  <c r="I1694" i="1"/>
  <c r="H1694" i="1" a="1"/>
  <c r="H1694" i="1" s="1"/>
  <c r="G1694" i="1" a="1"/>
  <c r="G1694" i="1" s="1"/>
  <c r="I1689" i="1"/>
  <c r="H1689" i="1" a="1"/>
  <c r="H1689" i="1" s="1"/>
  <c r="G1689" i="1" a="1"/>
  <c r="G1689" i="1" s="1"/>
  <c r="I1684" i="1"/>
  <c r="H1684" i="1" a="1"/>
  <c r="H1684" i="1" s="1"/>
  <c r="G1684" i="1" a="1"/>
  <c r="G1684" i="1" s="1"/>
  <c r="I1679" i="1"/>
  <c r="H1679" i="1" a="1"/>
  <c r="H1679" i="1" s="1"/>
  <c r="G1679" i="1" a="1"/>
  <c r="G1679" i="1" s="1"/>
  <c r="I1674" i="1"/>
  <c r="H1674" i="1" a="1"/>
  <c r="H1674" i="1" s="1"/>
  <c r="G1674" i="1" a="1"/>
  <c r="G1674" i="1" s="1"/>
  <c r="I1669" i="1"/>
  <c r="H1669" i="1" a="1"/>
  <c r="H1669" i="1" s="1"/>
  <c r="G1669" i="1" a="1"/>
  <c r="G1669" i="1" s="1"/>
  <c r="I1664" i="1"/>
  <c r="H1664" i="1" a="1"/>
  <c r="H1664" i="1" s="1"/>
  <c r="G1664" i="1" a="1"/>
  <c r="G1664" i="1" s="1"/>
  <c r="I1659" i="1"/>
  <c r="H1659" i="1" a="1"/>
  <c r="H1659" i="1" s="1"/>
  <c r="G1659" i="1" a="1"/>
  <c r="G1659" i="1" s="1"/>
  <c r="I1654" i="1"/>
  <c r="H1654" i="1" a="1"/>
  <c r="H1654" i="1" s="1"/>
  <c r="G1654" i="1" a="1"/>
  <c r="G1654" i="1" s="1"/>
  <c r="I1649" i="1"/>
  <c r="H1649" i="1" a="1"/>
  <c r="H1649" i="1" s="1"/>
  <c r="G1649" i="1" a="1"/>
  <c r="G1649" i="1" s="1"/>
  <c r="I1644" i="1"/>
  <c r="H1644" i="1" a="1"/>
  <c r="H1644" i="1" s="1"/>
  <c r="G1644" i="1" a="1"/>
  <c r="G1644" i="1" s="1"/>
  <c r="I1639" i="1"/>
  <c r="H1639" i="1" a="1"/>
  <c r="H1639" i="1" s="1"/>
  <c r="G1639" i="1" a="1"/>
  <c r="G1639" i="1" s="1"/>
  <c r="I1634" i="1"/>
  <c r="H1634" i="1" a="1"/>
  <c r="H1634" i="1" s="1"/>
  <c r="G1634" i="1" a="1"/>
  <c r="G1634" i="1" s="1"/>
  <c r="I1629" i="1"/>
  <c r="H1629" i="1" a="1"/>
  <c r="H1629" i="1" s="1"/>
  <c r="G1629" i="1" a="1"/>
  <c r="G1629" i="1" s="1"/>
  <c r="I1624" i="1"/>
  <c r="H1624" i="1" a="1"/>
  <c r="H1624" i="1" s="1"/>
  <c r="G1624" i="1" a="1"/>
  <c r="G1624" i="1" s="1"/>
  <c r="I1619" i="1"/>
  <c r="H1619" i="1" a="1"/>
  <c r="H1619" i="1" s="1"/>
  <c r="G1619" i="1" a="1"/>
  <c r="G1619" i="1" s="1"/>
  <c r="I1614" i="1"/>
  <c r="H1614" i="1" a="1"/>
  <c r="H1614" i="1" s="1"/>
  <c r="G1614" i="1" a="1"/>
  <c r="G1614" i="1" s="1"/>
  <c r="I1609" i="1"/>
  <c r="H1609" i="1" a="1"/>
  <c r="H1609" i="1" s="1"/>
  <c r="G1609" i="1" a="1"/>
  <c r="G1609" i="1" s="1"/>
  <c r="I1604" i="1"/>
  <c r="H1604" i="1" a="1"/>
  <c r="H1604" i="1" s="1"/>
  <c r="G1604" i="1" a="1"/>
  <c r="G1604" i="1" s="1"/>
  <c r="I1599" i="1"/>
  <c r="H1599" i="1" a="1"/>
  <c r="H1599" i="1" s="1"/>
  <c r="G1599" i="1" a="1"/>
  <c r="G1599" i="1" s="1"/>
  <c r="I1594" i="1"/>
  <c r="H1594" i="1" a="1"/>
  <c r="H1594" i="1" s="1"/>
  <c r="G1594" i="1" a="1"/>
  <c r="G1594" i="1" s="1"/>
  <c r="I1589" i="1"/>
  <c r="H1589" i="1" a="1"/>
  <c r="H1589" i="1" s="1"/>
  <c r="G1589" i="1" a="1"/>
  <c r="G1589" i="1" s="1"/>
  <c r="I1584" i="1"/>
  <c r="H1584" i="1" a="1"/>
  <c r="H1584" i="1" s="1"/>
  <c r="G1584" i="1" a="1"/>
  <c r="G1584" i="1" s="1"/>
  <c r="I1579" i="1"/>
  <c r="H1579" i="1" a="1"/>
  <c r="H1579" i="1" s="1"/>
  <c r="G1579" i="1" a="1"/>
  <c r="G1579" i="1" s="1"/>
  <c r="I1574" i="1"/>
  <c r="H1574" i="1" a="1"/>
  <c r="H1574" i="1" s="1"/>
  <c r="G1574" i="1" a="1"/>
  <c r="G1574" i="1" s="1"/>
  <c r="I1569" i="1"/>
  <c r="H1569" i="1" a="1"/>
  <c r="H1569" i="1" s="1"/>
  <c r="G1569" i="1" a="1"/>
  <c r="G1569" i="1" s="1"/>
  <c r="A1564" i="1"/>
  <c r="A1559" i="1"/>
  <c r="A1554" i="1"/>
  <c r="A1549" i="1"/>
  <c r="A1544" i="1"/>
  <c r="A1539" i="1"/>
  <c r="A1534" i="1"/>
  <c r="A1529" i="1"/>
  <c r="A1524" i="1"/>
  <c r="A1519" i="1"/>
  <c r="A1514" i="1"/>
  <c r="A1509" i="1"/>
  <c r="A1504" i="1"/>
  <c r="A1499" i="1"/>
  <c r="A1494" i="1"/>
  <c r="A1489" i="1"/>
  <c r="A1484" i="1"/>
  <c r="A1479" i="1"/>
  <c r="A1474" i="1"/>
  <c r="A1469" i="1"/>
  <c r="A1464" i="1"/>
  <c r="A1459" i="1"/>
  <c r="A1454" i="1"/>
  <c r="A1449" i="1"/>
  <c r="A1444" i="1"/>
  <c r="I1439" i="1"/>
  <c r="H1439" i="1" a="1"/>
  <c r="H1439" i="1" s="1"/>
  <c r="G1439" i="1" a="1"/>
  <c r="G1439" i="1" s="1"/>
  <c r="I1434" i="1"/>
  <c r="H1434" i="1" a="1"/>
  <c r="H1434" i="1" s="1"/>
  <c r="G1434" i="1" a="1"/>
  <c r="G1434" i="1" s="1"/>
  <c r="I1429" i="1"/>
  <c r="H1429" i="1" a="1"/>
  <c r="H1429" i="1" s="1"/>
  <c r="G1429" i="1" a="1"/>
  <c r="G1429" i="1" s="1"/>
  <c r="I1424" i="1"/>
  <c r="H1424" i="1" a="1"/>
  <c r="H1424" i="1" s="1"/>
  <c r="G1424" i="1" a="1"/>
  <c r="G1424" i="1" s="1"/>
  <c r="I1419" i="1"/>
  <c r="H1419" i="1" a="1"/>
  <c r="H1419" i="1" s="1"/>
  <c r="G1419" i="1" a="1"/>
  <c r="G1419" i="1" s="1"/>
  <c r="I1414" i="1"/>
  <c r="H1414" i="1" a="1"/>
  <c r="H1414" i="1" s="1"/>
  <c r="G1414" i="1" a="1"/>
  <c r="G1414" i="1" s="1"/>
  <c r="I1409" i="1"/>
  <c r="H1409" i="1" a="1"/>
  <c r="H1409" i="1" s="1"/>
  <c r="G1409" i="1" a="1"/>
  <c r="G1409" i="1" s="1"/>
  <c r="I1404" i="1"/>
  <c r="H1404" i="1" a="1"/>
  <c r="H1404" i="1" s="1"/>
  <c r="G1404" i="1" a="1"/>
  <c r="G1404" i="1" s="1"/>
  <c r="I1399" i="1"/>
  <c r="H1399" i="1" a="1"/>
  <c r="H1399" i="1" s="1"/>
  <c r="G1399" i="1" a="1"/>
  <c r="G1399" i="1" s="1"/>
  <c r="I1394" i="1"/>
  <c r="H1394" i="1" a="1"/>
  <c r="H1394" i="1" s="1"/>
  <c r="G1394" i="1" a="1"/>
  <c r="G1394" i="1" s="1"/>
  <c r="I1389" i="1"/>
  <c r="H1389" i="1" a="1"/>
  <c r="H1389" i="1" s="1"/>
  <c r="G1389" i="1" a="1"/>
  <c r="G1389" i="1" s="1"/>
  <c r="I1384" i="1"/>
  <c r="H1384" i="1" a="1"/>
  <c r="H1384" i="1" s="1"/>
  <c r="G1384" i="1" a="1"/>
  <c r="G1384" i="1" s="1"/>
  <c r="I1379" i="1"/>
  <c r="H1379" i="1" a="1"/>
  <c r="H1379" i="1" s="1"/>
  <c r="G1379" i="1" a="1"/>
  <c r="G1379" i="1" s="1"/>
  <c r="I1374" i="1"/>
  <c r="H1374" i="1" a="1"/>
  <c r="H1374" i="1" s="1"/>
  <c r="G1374" i="1" a="1"/>
  <c r="G1374" i="1" s="1"/>
  <c r="I1369" i="1"/>
  <c r="H1369" i="1" a="1"/>
  <c r="H1369" i="1" s="1"/>
  <c r="G1369" i="1" a="1"/>
  <c r="G1369" i="1" s="1"/>
  <c r="I1364" i="1"/>
  <c r="H1364" i="1" a="1"/>
  <c r="H1364" i="1" s="1"/>
  <c r="G1364" i="1" a="1"/>
  <c r="G1364" i="1" s="1"/>
  <c r="I1359" i="1"/>
  <c r="H1359" i="1" a="1"/>
  <c r="H1359" i="1" s="1"/>
  <c r="G1359" i="1" a="1"/>
  <c r="G1359" i="1" s="1"/>
  <c r="I1354" i="1"/>
  <c r="H1354" i="1" a="1"/>
  <c r="H1354" i="1" s="1"/>
  <c r="G1354" i="1" a="1"/>
  <c r="G1354" i="1" s="1"/>
  <c r="I1349" i="1"/>
  <c r="H1349" i="1" a="1"/>
  <c r="H1349" i="1" s="1"/>
  <c r="G1349" i="1" a="1"/>
  <c r="G1349" i="1" s="1"/>
  <c r="I1344" i="1"/>
  <c r="H1344" i="1" a="1"/>
  <c r="H1344" i="1" s="1"/>
  <c r="G1344" i="1" a="1"/>
  <c r="G1344" i="1" s="1"/>
  <c r="I1339" i="1"/>
  <c r="H1339" i="1" a="1"/>
  <c r="H1339" i="1" s="1"/>
  <c r="G1339" i="1" a="1"/>
  <c r="G1339" i="1" s="1"/>
  <c r="I1334" i="1"/>
  <c r="H1334" i="1" a="1"/>
  <c r="H1334" i="1" s="1"/>
  <c r="G1334" i="1" a="1"/>
  <c r="G1334" i="1" s="1"/>
  <c r="I1329" i="1"/>
  <c r="H1329" i="1" a="1"/>
  <c r="H1329" i="1" s="1"/>
  <c r="G1329" i="1" a="1"/>
  <c r="G1329" i="1" s="1"/>
  <c r="I1324" i="1"/>
  <c r="H1324" i="1" a="1"/>
  <c r="H1324" i="1" s="1"/>
  <c r="G1324" i="1" a="1"/>
  <c r="G1324" i="1" s="1"/>
  <c r="I1319" i="1"/>
  <c r="H1319" i="1" a="1"/>
  <c r="H1319" i="1" s="1"/>
  <c r="G1319" i="1" a="1"/>
  <c r="G1319" i="1" s="1"/>
  <c r="I1314" i="1"/>
  <c r="H1314" i="1" a="1"/>
  <c r="H1314" i="1" s="1"/>
  <c r="G1314" i="1" a="1"/>
  <c r="G1314" i="1" s="1"/>
  <c r="I1309" i="1"/>
  <c r="H1309" i="1" a="1"/>
  <c r="H1309" i="1" s="1"/>
  <c r="G1309" i="1" a="1"/>
  <c r="G1309" i="1" s="1"/>
  <c r="I1304" i="1"/>
  <c r="H1304" i="1" a="1"/>
  <c r="H1304" i="1" s="1"/>
  <c r="G1304" i="1" a="1"/>
  <c r="G1304" i="1" s="1"/>
  <c r="I1299" i="1"/>
  <c r="H1299" i="1" a="1"/>
  <c r="H1299" i="1" s="1"/>
  <c r="G1299" i="1" a="1"/>
  <c r="G1299" i="1" s="1"/>
  <c r="I1294" i="1"/>
  <c r="H1294" i="1" a="1"/>
  <c r="H1294" i="1" s="1"/>
  <c r="G1294" i="1" a="1"/>
  <c r="G1294" i="1" s="1"/>
  <c r="I1289" i="1"/>
  <c r="H1289" i="1" a="1"/>
  <c r="H1289" i="1" s="1"/>
  <c r="G1289" i="1" a="1"/>
  <c r="G1289" i="1" s="1"/>
  <c r="I1284" i="1"/>
  <c r="H1284" i="1" a="1"/>
  <c r="H1284" i="1" s="1"/>
  <c r="G1284" i="1" a="1"/>
  <c r="G1284" i="1" s="1"/>
  <c r="I1279" i="1"/>
  <c r="H1279" i="1" a="1"/>
  <c r="H1279" i="1" s="1"/>
  <c r="G1279" i="1" a="1"/>
  <c r="G1279" i="1" s="1"/>
  <c r="I1274" i="1"/>
  <c r="H1274" i="1" a="1"/>
  <c r="H1274" i="1" s="1"/>
  <c r="G1274" i="1" a="1"/>
  <c r="G1274" i="1" s="1"/>
  <c r="I1269" i="1"/>
  <c r="H1269" i="1" a="1"/>
  <c r="H1269" i="1" s="1"/>
  <c r="G1269" i="1" a="1"/>
  <c r="G1269" i="1" s="1"/>
  <c r="I1264" i="1"/>
  <c r="H1264" i="1" a="1"/>
  <c r="H1264" i="1" s="1"/>
  <c r="G1264" i="1" a="1"/>
  <c r="G1264" i="1" s="1"/>
  <c r="I1259" i="1"/>
  <c r="H1259" i="1" a="1"/>
  <c r="H1259" i="1" s="1"/>
  <c r="G1259" i="1" a="1"/>
  <c r="G1259" i="1" s="1"/>
  <c r="I1254" i="1"/>
  <c r="H1254" i="1" a="1"/>
  <c r="H1254" i="1" s="1"/>
  <c r="G1254" i="1" a="1"/>
  <c r="G1254" i="1" s="1"/>
  <c r="I1249" i="1"/>
  <c r="H1249" i="1" a="1"/>
  <c r="H1249" i="1" s="1"/>
  <c r="G1249" i="1" a="1"/>
  <c r="G1249" i="1" s="1"/>
  <c r="I1244" i="1"/>
  <c r="H1244" i="1" a="1"/>
  <c r="H1244" i="1" s="1"/>
  <c r="G1244" i="1" a="1"/>
  <c r="G1244" i="1" s="1"/>
  <c r="I1239" i="1"/>
  <c r="H1239" i="1" a="1"/>
  <c r="H1239" i="1" s="1"/>
  <c r="G1239" i="1" a="1"/>
  <c r="G1239" i="1" s="1"/>
  <c r="I1234" i="1"/>
  <c r="H1234" i="1" a="1"/>
  <c r="H1234" i="1" s="1"/>
  <c r="G1234" i="1" a="1"/>
  <c r="G1234" i="1" s="1"/>
  <c r="I1180" i="1"/>
  <c r="H1180" i="1" a="1"/>
  <c r="H1180" i="1" s="1"/>
  <c r="G1180" i="1" a="1"/>
  <c r="G1180" i="1" s="1"/>
  <c r="I1175" i="1"/>
  <c r="H1175" i="1" a="1"/>
  <c r="H1175" i="1" s="1"/>
  <c r="G1175" i="1" a="1"/>
  <c r="G1175" i="1" s="1"/>
  <c r="I1170" i="1"/>
  <c r="H1170" i="1" a="1"/>
  <c r="H1170" i="1" s="1"/>
  <c r="G1170" i="1" a="1"/>
  <c r="G1170" i="1" s="1"/>
  <c r="I1165" i="1"/>
  <c r="H1165" i="1" a="1"/>
  <c r="H1165" i="1" s="1"/>
  <c r="G1165" i="1" a="1"/>
  <c r="G1165" i="1" s="1"/>
  <c r="I1160" i="1"/>
  <c r="H1160" i="1" a="1"/>
  <c r="H1160" i="1" s="1"/>
  <c r="G1160" i="1" a="1"/>
  <c r="G1160" i="1" s="1"/>
  <c r="I1155" i="1"/>
  <c r="H1155" i="1" a="1"/>
  <c r="H1155" i="1" s="1"/>
  <c r="G1155" i="1" a="1"/>
  <c r="G1155" i="1" s="1"/>
  <c r="I1150" i="1"/>
  <c r="H1150" i="1" a="1"/>
  <c r="H1150" i="1" s="1"/>
  <c r="G1150" i="1" a="1"/>
  <c r="G1150" i="1" s="1"/>
  <c r="I1145" i="1"/>
  <c r="H1145" i="1" a="1"/>
  <c r="H1145" i="1" s="1"/>
  <c r="G1145" i="1" a="1"/>
  <c r="G1145" i="1" s="1"/>
  <c r="I1140" i="1"/>
  <c r="H1140" i="1" a="1"/>
  <c r="H1140" i="1" s="1"/>
  <c r="G1140" i="1" a="1"/>
  <c r="G1140" i="1" s="1"/>
  <c r="I1135" i="1"/>
  <c r="H1135" i="1" a="1"/>
  <c r="H1135" i="1" s="1"/>
  <c r="G1135" i="1" a="1"/>
  <c r="G1135" i="1" s="1"/>
  <c r="I1130" i="1"/>
  <c r="H1130" i="1" a="1"/>
  <c r="H1130" i="1" s="1"/>
  <c r="G1130" i="1" a="1"/>
  <c r="G1130" i="1" s="1"/>
  <c r="I1125" i="1"/>
  <c r="H1125" i="1" a="1"/>
  <c r="H1125" i="1" s="1"/>
  <c r="G1125" i="1" a="1"/>
  <c r="G1125" i="1" s="1"/>
  <c r="I1120" i="1"/>
  <c r="H1120" i="1" a="1"/>
  <c r="H1120" i="1" s="1"/>
  <c r="G1120" i="1" a="1"/>
  <c r="G1120" i="1" s="1"/>
  <c r="I1115" i="1"/>
  <c r="H1115" i="1" a="1"/>
  <c r="H1115" i="1" s="1"/>
  <c r="G1115" i="1" a="1"/>
  <c r="G1115" i="1" s="1"/>
  <c r="I1110" i="1"/>
  <c r="H1110" i="1" a="1"/>
  <c r="H1110" i="1" s="1"/>
  <c r="G1110" i="1" a="1"/>
  <c r="G1110" i="1" s="1"/>
  <c r="I1105" i="1"/>
  <c r="H1105" i="1" a="1"/>
  <c r="H1105" i="1" s="1"/>
  <c r="G1105" i="1" a="1"/>
  <c r="G1105" i="1" s="1"/>
  <c r="I1100" i="1"/>
  <c r="H1100" i="1" a="1"/>
  <c r="H1100" i="1" s="1"/>
  <c r="G1100" i="1" a="1"/>
  <c r="G1100" i="1" s="1"/>
  <c r="I1095" i="1"/>
  <c r="H1095" i="1" a="1"/>
  <c r="H1095" i="1" s="1"/>
  <c r="G1095" i="1" a="1"/>
  <c r="G1095" i="1" s="1"/>
  <c r="I1090" i="1"/>
  <c r="H1090" i="1" a="1"/>
  <c r="H1090" i="1" s="1"/>
  <c r="G1090" i="1" a="1"/>
  <c r="G1090" i="1" s="1"/>
  <c r="I1085" i="1"/>
  <c r="H1085" i="1" a="1"/>
  <c r="H1085" i="1" s="1"/>
  <c r="G1085" i="1" a="1"/>
  <c r="G1085" i="1" s="1"/>
  <c r="I1080" i="1"/>
  <c r="H1080" i="1" a="1"/>
  <c r="H1080" i="1" s="1"/>
  <c r="G1080" i="1" a="1"/>
  <c r="G1080" i="1" s="1"/>
  <c r="I1075" i="1"/>
  <c r="H1075" i="1" a="1"/>
  <c r="H1075" i="1" s="1"/>
  <c r="G1075" i="1" a="1"/>
  <c r="G1075" i="1" s="1"/>
  <c r="I1070" i="1"/>
  <c r="H1070" i="1" a="1"/>
  <c r="H1070" i="1" s="1"/>
  <c r="G1070" i="1" a="1"/>
  <c r="G1070" i="1" s="1"/>
  <c r="I1065" i="1"/>
  <c r="H1065" i="1" a="1"/>
  <c r="H1065" i="1" s="1"/>
  <c r="G1065" i="1" a="1"/>
  <c r="G1065" i="1" s="1"/>
  <c r="I1060" i="1"/>
  <c r="H1060" i="1" a="1"/>
  <c r="H1060" i="1" s="1"/>
  <c r="G1060" i="1" a="1"/>
  <c r="G1060" i="1" s="1"/>
  <c r="I1055" i="1"/>
  <c r="H1055" i="1" a="1"/>
  <c r="H1055" i="1" s="1"/>
  <c r="G1055" i="1" a="1"/>
  <c r="G1055" i="1" s="1"/>
  <c r="I1050" i="1"/>
  <c r="H1050" i="1" a="1"/>
  <c r="H1050" i="1" s="1"/>
  <c r="G1050" i="1" a="1"/>
  <c r="G1050" i="1" s="1"/>
  <c r="I1045" i="1"/>
  <c r="H1045" i="1" a="1"/>
  <c r="H1045" i="1" s="1"/>
  <c r="G1045" i="1" a="1"/>
  <c r="G1045" i="1" s="1"/>
  <c r="I1040" i="1"/>
  <c r="H1040" i="1" a="1"/>
  <c r="H1040" i="1" s="1"/>
  <c r="G1040" i="1" a="1"/>
  <c r="G1040" i="1" s="1"/>
  <c r="I1035" i="1"/>
  <c r="H1035" i="1" a="1"/>
  <c r="H1035" i="1" s="1"/>
  <c r="G1035" i="1" a="1"/>
  <c r="G1035" i="1" s="1"/>
  <c r="I1030" i="1"/>
  <c r="H1030" i="1" a="1"/>
  <c r="H1030" i="1" s="1"/>
  <c r="G1030" i="1" a="1"/>
  <c r="G1030" i="1" s="1"/>
  <c r="I1025" i="1"/>
  <c r="H1025" i="1" a="1"/>
  <c r="H1025" i="1" s="1"/>
  <c r="G1025" i="1" a="1"/>
  <c r="G1025" i="1" s="1"/>
  <c r="I1020" i="1"/>
  <c r="H1020" i="1" a="1"/>
  <c r="H1020" i="1" s="1"/>
  <c r="G1020" i="1" a="1"/>
  <c r="G1020" i="1" s="1"/>
  <c r="I1015" i="1"/>
  <c r="H1015" i="1" a="1"/>
  <c r="H1015" i="1" s="1"/>
  <c r="G1015" i="1" a="1"/>
  <c r="G1015" i="1" s="1"/>
  <c r="I1010" i="1"/>
  <c r="H1010" i="1" a="1"/>
  <c r="H1010" i="1" s="1"/>
  <c r="G1010" i="1" a="1"/>
  <c r="G1010" i="1" s="1"/>
  <c r="I1005" i="1"/>
  <c r="H1005" i="1" a="1"/>
  <c r="H1005" i="1" s="1"/>
  <c r="G1005" i="1" a="1"/>
  <c r="G1005" i="1" s="1"/>
  <c r="I1000" i="1"/>
  <c r="H1000" i="1" a="1"/>
  <c r="H1000" i="1" s="1"/>
  <c r="G1000" i="1" a="1"/>
  <c r="G1000" i="1" s="1"/>
  <c r="I995" i="1"/>
  <c r="H995" i="1" a="1"/>
  <c r="H995" i="1" s="1"/>
  <c r="G995" i="1" a="1"/>
  <c r="G995" i="1" s="1"/>
  <c r="I990" i="1"/>
  <c r="H990" i="1" a="1"/>
  <c r="H990" i="1" s="1"/>
  <c r="G990" i="1" a="1"/>
  <c r="G990" i="1" s="1"/>
  <c r="I985" i="1"/>
  <c r="H985" i="1" a="1"/>
  <c r="H985" i="1" s="1"/>
  <c r="G985" i="1" a="1"/>
  <c r="G985" i="1" s="1"/>
  <c r="I980" i="1"/>
  <c r="H980" i="1" a="1"/>
  <c r="H980" i="1" s="1"/>
  <c r="G980" i="1" a="1"/>
  <c r="G980" i="1" s="1"/>
  <c r="I975" i="1"/>
  <c r="H975" i="1" a="1"/>
  <c r="H975" i="1" s="1"/>
  <c r="G975" i="1" a="1"/>
  <c r="G975" i="1" s="1"/>
  <c r="I970" i="1"/>
  <c r="H970" i="1" a="1"/>
  <c r="H970" i="1" s="1"/>
  <c r="G970" i="1" a="1"/>
  <c r="G970" i="1" s="1"/>
  <c r="I965" i="1"/>
  <c r="H965" i="1" a="1"/>
  <c r="H965" i="1" s="1"/>
  <c r="G965" i="1" a="1"/>
  <c r="G965" i="1" s="1"/>
  <c r="I960" i="1"/>
  <c r="H960" i="1" a="1"/>
  <c r="H960" i="1" s="1"/>
  <c r="G960" i="1" a="1"/>
  <c r="G960" i="1" s="1"/>
  <c r="I955" i="1"/>
  <c r="H955" i="1" a="1"/>
  <c r="H955" i="1" s="1"/>
  <c r="G955" i="1" a="1"/>
  <c r="G955" i="1" s="1"/>
  <c r="I950" i="1"/>
  <c r="H950" i="1" a="1"/>
  <c r="H950" i="1" s="1"/>
  <c r="G950" i="1" a="1"/>
  <c r="G950" i="1" s="1"/>
  <c r="I945" i="1"/>
  <c r="H945" i="1" a="1"/>
  <c r="H945" i="1" s="1"/>
  <c r="G945" i="1" a="1"/>
  <c r="G945" i="1" s="1"/>
  <c r="I940" i="1"/>
  <c r="H940" i="1" a="1"/>
  <c r="H940" i="1" s="1"/>
  <c r="G940" i="1" a="1"/>
  <c r="G940" i="1" s="1"/>
  <c r="I935" i="1"/>
  <c r="H935" i="1" a="1"/>
  <c r="H935" i="1" s="1"/>
  <c r="G935" i="1" a="1"/>
  <c r="G935" i="1" s="1"/>
  <c r="I930" i="1"/>
  <c r="H930" i="1" a="1"/>
  <c r="H930" i="1" s="1"/>
  <c r="G930" i="1" a="1"/>
  <c r="G930" i="1" s="1"/>
  <c r="I925" i="1"/>
  <c r="H925" i="1" a="1"/>
  <c r="H925" i="1" s="1"/>
  <c r="G925" i="1" a="1"/>
  <c r="G925" i="1" s="1"/>
  <c r="I920" i="1"/>
  <c r="H920" i="1" a="1"/>
  <c r="H920" i="1" s="1"/>
  <c r="G920" i="1" a="1"/>
  <c r="G920" i="1" s="1"/>
  <c r="I915" i="1"/>
  <c r="H915" i="1" a="1"/>
  <c r="H915" i="1" s="1"/>
  <c r="G915" i="1" a="1"/>
  <c r="G915" i="1" s="1"/>
  <c r="I910" i="1"/>
  <c r="H910" i="1" a="1"/>
  <c r="H910" i="1" s="1"/>
  <c r="G910" i="1" a="1"/>
  <c r="G910" i="1" s="1"/>
  <c r="I905" i="1"/>
  <c r="H905" i="1" a="1"/>
  <c r="H905" i="1" s="1"/>
  <c r="G905" i="1" a="1"/>
  <c r="G905" i="1" s="1"/>
  <c r="I900" i="1"/>
  <c r="H900" i="1" a="1"/>
  <c r="H900" i="1" s="1"/>
  <c r="G900" i="1" a="1"/>
  <c r="G900" i="1" s="1"/>
  <c r="I895" i="1"/>
  <c r="H895" i="1" a="1"/>
  <c r="H895" i="1" s="1"/>
  <c r="G895" i="1" a="1"/>
  <c r="G895" i="1" s="1"/>
  <c r="I890" i="1"/>
  <c r="H890" i="1" a="1"/>
  <c r="H890" i="1" s="1"/>
  <c r="G890" i="1" a="1"/>
  <c r="G890" i="1" s="1"/>
  <c r="I885" i="1"/>
  <c r="H885" i="1" a="1"/>
  <c r="H885" i="1" s="1"/>
  <c r="G885" i="1" a="1"/>
  <c r="G885" i="1" s="1"/>
  <c r="I880" i="1"/>
  <c r="H880" i="1" a="1"/>
  <c r="H880" i="1" s="1"/>
  <c r="G880" i="1" a="1"/>
  <c r="G880" i="1" s="1"/>
  <c r="I875" i="1"/>
  <c r="H875" i="1" a="1"/>
  <c r="H875" i="1" s="1"/>
  <c r="G875" i="1" a="1"/>
  <c r="G875" i="1" s="1"/>
  <c r="I870" i="1"/>
  <c r="H870" i="1" a="1"/>
  <c r="H870" i="1" s="1"/>
  <c r="G870" i="1" a="1"/>
  <c r="G870" i="1" s="1"/>
  <c r="I865" i="1"/>
  <c r="H865" i="1" a="1"/>
  <c r="H865" i="1" s="1"/>
  <c r="G865" i="1" a="1"/>
  <c r="G865" i="1" s="1"/>
  <c r="I860" i="1"/>
  <c r="H860" i="1" a="1"/>
  <c r="H860" i="1" s="1"/>
  <c r="G860" i="1" a="1"/>
  <c r="G860" i="1" s="1"/>
  <c r="I855" i="1"/>
  <c r="H855" i="1" a="1"/>
  <c r="H855" i="1" s="1"/>
  <c r="G855" i="1" a="1"/>
  <c r="G855" i="1" s="1"/>
  <c r="I850" i="1"/>
  <c r="H850" i="1" a="1"/>
  <c r="H850" i="1" s="1"/>
  <c r="G850" i="1" a="1"/>
  <c r="G850" i="1" s="1"/>
  <c r="I845" i="1"/>
  <c r="H845" i="1" a="1"/>
  <c r="H845" i="1" s="1"/>
  <c r="G845" i="1" a="1"/>
  <c r="G845" i="1" s="1"/>
  <c r="I840" i="1"/>
  <c r="H840" i="1" a="1"/>
  <c r="H840" i="1" s="1"/>
  <c r="G840" i="1" a="1"/>
  <c r="G840" i="1" s="1"/>
  <c r="I835" i="1"/>
  <c r="H835" i="1" a="1"/>
  <c r="H835" i="1" s="1"/>
  <c r="G835" i="1" a="1"/>
  <c r="G835" i="1" s="1"/>
  <c r="I830" i="1"/>
  <c r="H830" i="1" a="1"/>
  <c r="H830" i="1" s="1"/>
  <c r="G830" i="1" a="1"/>
  <c r="G830" i="1" s="1"/>
  <c r="I825" i="1"/>
  <c r="H825" i="1" a="1"/>
  <c r="H825" i="1" s="1"/>
  <c r="G825" i="1" a="1"/>
  <c r="G825" i="1" s="1"/>
  <c r="I820" i="1"/>
  <c r="H820" i="1" a="1"/>
  <c r="H820" i="1" s="1"/>
  <c r="G820" i="1" a="1"/>
  <c r="G820" i="1" s="1"/>
  <c r="I815" i="1"/>
  <c r="H815" i="1" a="1"/>
  <c r="H815" i="1" s="1"/>
  <c r="G815" i="1" a="1"/>
  <c r="G815" i="1" s="1"/>
  <c r="I810" i="1"/>
  <c r="H810" i="1" a="1"/>
  <c r="H810" i="1" s="1"/>
  <c r="G810" i="1" a="1"/>
  <c r="G810" i="1" s="1"/>
  <c r="I805" i="1"/>
  <c r="H805" i="1" a="1"/>
  <c r="H805" i="1" s="1"/>
  <c r="G805" i="1" a="1"/>
  <c r="G805" i="1" s="1"/>
  <c r="I800" i="1"/>
  <c r="H800" i="1" a="1"/>
  <c r="H800" i="1" s="1"/>
  <c r="G800" i="1" a="1"/>
  <c r="G800" i="1" s="1"/>
  <c r="I795" i="1"/>
  <c r="H795" i="1" a="1"/>
  <c r="H795" i="1" s="1"/>
  <c r="G795" i="1" a="1"/>
  <c r="G795" i="1" s="1"/>
  <c r="I790" i="1"/>
  <c r="H790" i="1" a="1"/>
  <c r="H790" i="1" s="1"/>
  <c r="G790" i="1" a="1"/>
  <c r="G790" i="1" s="1"/>
  <c r="I785" i="1"/>
  <c r="H785" i="1" a="1"/>
  <c r="H785" i="1" s="1"/>
  <c r="G785" i="1" a="1"/>
  <c r="G785" i="1" s="1"/>
  <c r="I780" i="1"/>
  <c r="H780" i="1" a="1"/>
  <c r="H780" i="1" s="1"/>
  <c r="G780" i="1" a="1"/>
  <c r="G780" i="1" s="1"/>
  <c r="I775" i="1"/>
  <c r="H775" i="1" a="1"/>
  <c r="H775" i="1" s="1"/>
  <c r="G775" i="1" a="1"/>
  <c r="G775" i="1" s="1"/>
  <c r="I770" i="1"/>
  <c r="H770" i="1" a="1"/>
  <c r="H770" i="1" s="1"/>
  <c r="G770" i="1" a="1"/>
  <c r="G770" i="1" s="1"/>
  <c r="I765" i="1"/>
  <c r="H765" i="1" a="1"/>
  <c r="H765" i="1" s="1"/>
  <c r="G765" i="1" a="1"/>
  <c r="G765" i="1" s="1"/>
  <c r="I760" i="1"/>
  <c r="H760" i="1" a="1"/>
  <c r="H760" i="1" s="1"/>
  <c r="G760" i="1" a="1"/>
  <c r="G760" i="1" s="1"/>
  <c r="I755" i="1"/>
  <c r="H755" i="1" a="1"/>
  <c r="H755" i="1" s="1"/>
  <c r="G755" i="1" a="1"/>
  <c r="G755" i="1" s="1"/>
  <c r="I750" i="1"/>
  <c r="H750" i="1" a="1"/>
  <c r="H750" i="1" s="1"/>
  <c r="G750" i="1" a="1"/>
  <c r="G750" i="1" s="1"/>
  <c r="I745" i="1"/>
  <c r="H745" i="1" a="1"/>
  <c r="H745" i="1" s="1"/>
  <c r="G745" i="1" a="1"/>
  <c r="G745" i="1" s="1"/>
  <c r="I740" i="1"/>
  <c r="H740" i="1" a="1"/>
  <c r="H740" i="1" s="1"/>
  <c r="G740" i="1" a="1"/>
  <c r="G740" i="1" s="1"/>
  <c r="I735" i="1"/>
  <c r="H735" i="1" a="1"/>
  <c r="H735" i="1" s="1"/>
  <c r="G735" i="1" a="1"/>
  <c r="G735" i="1" s="1"/>
  <c r="I730" i="1"/>
  <c r="H730" i="1" a="1"/>
  <c r="H730" i="1" s="1"/>
  <c r="G730" i="1" a="1"/>
  <c r="G730" i="1" s="1"/>
  <c r="I725" i="1"/>
  <c r="H725" i="1" a="1"/>
  <c r="H725" i="1" s="1"/>
  <c r="G725" i="1" a="1"/>
  <c r="G725" i="1" s="1"/>
  <c r="I720" i="1"/>
  <c r="H720" i="1" a="1"/>
  <c r="H720" i="1" s="1"/>
  <c r="G720" i="1" a="1"/>
  <c r="G720" i="1" s="1"/>
  <c r="I715" i="1"/>
  <c r="H715" i="1" a="1"/>
  <c r="H715" i="1" s="1"/>
  <c r="G715" i="1" a="1"/>
  <c r="G715" i="1" s="1"/>
  <c r="I710" i="1"/>
  <c r="H710" i="1" a="1"/>
  <c r="H710" i="1" s="1"/>
  <c r="G710" i="1" a="1"/>
  <c r="G710" i="1" s="1"/>
  <c r="I705" i="1"/>
  <c r="H705" i="1" a="1"/>
  <c r="H705" i="1" s="1"/>
  <c r="G705" i="1" a="1"/>
  <c r="G705" i="1" s="1"/>
  <c r="I700" i="1"/>
  <c r="H700" i="1" a="1"/>
  <c r="H700" i="1" s="1"/>
  <c r="G700" i="1" a="1"/>
  <c r="G700" i="1" s="1"/>
  <c r="I695" i="1"/>
  <c r="H695" i="1" a="1"/>
  <c r="H695" i="1" s="1"/>
  <c r="G695" i="1" a="1"/>
  <c r="G695" i="1" s="1"/>
  <c r="I690" i="1"/>
  <c r="H690" i="1" a="1"/>
  <c r="H690" i="1" s="1"/>
  <c r="G690" i="1" a="1"/>
  <c r="G690" i="1" s="1"/>
  <c r="I685" i="1"/>
  <c r="H685" i="1" a="1"/>
  <c r="H685" i="1" s="1"/>
  <c r="G685" i="1" a="1"/>
  <c r="G685" i="1" s="1"/>
  <c r="I680" i="1"/>
  <c r="H680" i="1" a="1"/>
  <c r="H680" i="1" s="1"/>
  <c r="G680" i="1" a="1"/>
  <c r="G680" i="1" s="1"/>
  <c r="I675" i="1"/>
  <c r="H675" i="1" a="1"/>
  <c r="H675" i="1" s="1"/>
  <c r="G675" i="1" a="1"/>
  <c r="G675" i="1" s="1"/>
  <c r="I670" i="1"/>
  <c r="H670" i="1" a="1"/>
  <c r="H670" i="1" s="1"/>
  <c r="G670" i="1" a="1"/>
  <c r="G670" i="1" s="1"/>
  <c r="I665" i="1"/>
  <c r="H665" i="1" a="1"/>
  <c r="H665" i="1" s="1"/>
  <c r="G665" i="1" a="1"/>
  <c r="G665" i="1" s="1"/>
  <c r="I660" i="1"/>
  <c r="H660" i="1" a="1"/>
  <c r="H660" i="1" s="1"/>
  <c r="G660" i="1" a="1"/>
  <c r="G660" i="1" s="1"/>
  <c r="I655" i="1"/>
  <c r="H655" i="1" a="1"/>
  <c r="H655" i="1" s="1"/>
  <c r="G655" i="1" a="1"/>
  <c r="G655" i="1" s="1"/>
  <c r="I650" i="1"/>
  <c r="H650" i="1" a="1"/>
  <c r="H650" i="1" s="1"/>
  <c r="G650" i="1" a="1"/>
  <c r="G650" i="1" s="1"/>
  <c r="I645" i="1"/>
  <c r="H645" i="1" a="1"/>
  <c r="H645" i="1" s="1"/>
  <c r="G645" i="1" a="1"/>
  <c r="G645" i="1" s="1"/>
  <c r="I640" i="1"/>
  <c r="H640" i="1" a="1"/>
  <c r="H640" i="1" s="1"/>
  <c r="G640" i="1" a="1"/>
  <c r="G640" i="1" s="1"/>
  <c r="I635" i="1"/>
  <c r="H635" i="1" a="1"/>
  <c r="H635" i="1" s="1"/>
  <c r="G635" i="1" a="1"/>
  <c r="G635" i="1" s="1"/>
  <c r="I630" i="1"/>
  <c r="H630" i="1" a="1"/>
  <c r="H630" i="1" s="1"/>
  <c r="G630" i="1" a="1"/>
  <c r="G630" i="1" s="1"/>
  <c r="I625" i="1"/>
  <c r="H625" i="1" a="1"/>
  <c r="H625" i="1" s="1"/>
  <c r="G625" i="1" a="1"/>
  <c r="G625" i="1" s="1"/>
  <c r="I620" i="1"/>
  <c r="H620" i="1" a="1"/>
  <c r="H620" i="1" s="1"/>
  <c r="G620" i="1" a="1"/>
  <c r="G620" i="1" s="1"/>
  <c r="I615" i="1"/>
  <c r="H615" i="1" a="1"/>
  <c r="H615" i="1" s="1"/>
  <c r="G615" i="1" a="1"/>
  <c r="G615" i="1" s="1"/>
  <c r="I610" i="1"/>
  <c r="H610" i="1" a="1"/>
  <c r="H610" i="1" s="1"/>
  <c r="G610" i="1" a="1"/>
  <c r="G610" i="1" s="1"/>
  <c r="I605" i="1"/>
  <c r="H605" i="1" a="1"/>
  <c r="H605" i="1" s="1"/>
  <c r="G605" i="1" a="1"/>
  <c r="G605" i="1" s="1"/>
  <c r="I600" i="1"/>
  <c r="H600" i="1" a="1"/>
  <c r="H600" i="1" s="1"/>
  <c r="G600" i="1" a="1"/>
  <c r="G600" i="1" s="1"/>
  <c r="I595" i="1"/>
  <c r="H595" i="1" a="1"/>
  <c r="H595" i="1" s="1"/>
  <c r="G595" i="1" a="1"/>
  <c r="G595" i="1" s="1"/>
  <c r="I590" i="1"/>
  <c r="H590" i="1" a="1"/>
  <c r="H590" i="1" s="1"/>
  <c r="G590" i="1" a="1"/>
  <c r="G590" i="1" s="1"/>
  <c r="I585" i="1"/>
  <c r="H585" i="1" a="1"/>
  <c r="H585" i="1" s="1"/>
  <c r="G585" i="1" a="1"/>
  <c r="G585" i="1" s="1"/>
  <c r="I580" i="1"/>
  <c r="H580" i="1" a="1"/>
  <c r="H580" i="1" s="1"/>
  <c r="G580" i="1" a="1"/>
  <c r="G580" i="1" s="1"/>
  <c r="I575" i="1"/>
  <c r="H575" i="1" a="1"/>
  <c r="H575" i="1" s="1"/>
  <c r="G575" i="1" a="1"/>
  <c r="G575" i="1" s="1"/>
  <c r="I570" i="1"/>
  <c r="H570" i="1" a="1"/>
  <c r="H570" i="1" s="1"/>
  <c r="G570" i="1" a="1"/>
  <c r="G570" i="1" s="1"/>
  <c r="I565" i="1"/>
  <c r="H565" i="1" a="1"/>
  <c r="H565" i="1" s="1"/>
  <c r="G565" i="1" a="1"/>
  <c r="G565" i="1" s="1"/>
  <c r="I560" i="1"/>
  <c r="H560" i="1" a="1"/>
  <c r="H560" i="1" s="1"/>
  <c r="G560" i="1" a="1"/>
  <c r="G560" i="1" s="1"/>
  <c r="I555" i="1"/>
  <c r="H555" i="1" a="1"/>
  <c r="H555" i="1" s="1"/>
  <c r="G555" i="1" a="1"/>
  <c r="G555" i="1" s="1"/>
  <c r="I550" i="1"/>
  <c r="H550" i="1" a="1"/>
  <c r="H550" i="1" s="1"/>
  <c r="G550" i="1" a="1"/>
  <c r="G550" i="1" s="1"/>
  <c r="I545" i="1"/>
  <c r="H545" i="1" a="1"/>
  <c r="H545" i="1" s="1"/>
  <c r="G545" i="1" a="1"/>
  <c r="G545" i="1" s="1"/>
  <c r="I540" i="1"/>
  <c r="H540" i="1" a="1"/>
  <c r="H540" i="1" s="1"/>
  <c r="G540" i="1" a="1"/>
  <c r="G540" i="1" s="1"/>
  <c r="I535" i="1"/>
  <c r="H535" i="1" a="1"/>
  <c r="H535" i="1" s="1"/>
  <c r="G535" i="1" a="1"/>
  <c r="G535" i="1" s="1"/>
  <c r="I530" i="1"/>
  <c r="H530" i="1" a="1"/>
  <c r="H530" i="1" s="1"/>
  <c r="G530" i="1" a="1"/>
  <c r="G530" i="1" s="1"/>
  <c r="I525" i="1"/>
  <c r="H525" i="1" a="1"/>
  <c r="H525" i="1" s="1"/>
  <c r="G525" i="1" a="1"/>
  <c r="G525" i="1" s="1"/>
  <c r="I520" i="1"/>
  <c r="H520" i="1" a="1"/>
  <c r="H520" i="1" s="1"/>
  <c r="G520" i="1" a="1"/>
  <c r="G520" i="1" s="1"/>
  <c r="I515" i="1"/>
  <c r="H515" i="1" a="1"/>
  <c r="H515" i="1" s="1"/>
  <c r="G515" i="1" a="1"/>
  <c r="G515" i="1" s="1"/>
  <c r="I510" i="1"/>
  <c r="H510" i="1" a="1"/>
  <c r="H510" i="1" s="1"/>
  <c r="G510" i="1" a="1"/>
  <c r="G510" i="1" s="1"/>
  <c r="I505" i="1"/>
  <c r="H505" i="1" a="1"/>
  <c r="H505" i="1" s="1"/>
  <c r="G505" i="1" a="1"/>
  <c r="G505" i="1" s="1"/>
  <c r="I500" i="1"/>
  <c r="H500" i="1" a="1"/>
  <c r="H500" i="1" s="1"/>
  <c r="G500" i="1" a="1"/>
  <c r="G500" i="1" s="1"/>
  <c r="I495" i="1"/>
  <c r="H495" i="1" a="1"/>
  <c r="H495" i="1" s="1"/>
  <c r="G495" i="1" a="1"/>
  <c r="G495" i="1" s="1"/>
  <c r="I490" i="1"/>
  <c r="H490" i="1" a="1"/>
  <c r="H490" i="1" s="1"/>
  <c r="G490" i="1" a="1"/>
  <c r="G490" i="1" s="1"/>
  <c r="I485" i="1"/>
  <c r="H485" i="1" a="1"/>
  <c r="H485" i="1" s="1"/>
  <c r="G485" i="1" a="1"/>
  <c r="G485" i="1" s="1"/>
  <c r="I480" i="1"/>
  <c r="H480" i="1" a="1"/>
  <c r="H480" i="1" s="1"/>
  <c r="G480" i="1" a="1"/>
  <c r="G480" i="1" s="1"/>
  <c r="I475" i="1"/>
  <c r="H475" i="1" a="1"/>
  <c r="H475" i="1" s="1"/>
  <c r="G475" i="1" a="1"/>
  <c r="G475" i="1" s="1"/>
  <c r="I470" i="1"/>
  <c r="H470" i="1" a="1"/>
  <c r="H470" i="1" s="1"/>
  <c r="G470" i="1" a="1"/>
  <c r="G470" i="1" s="1"/>
  <c r="I465" i="1"/>
  <c r="H465" i="1" a="1"/>
  <c r="H465" i="1" s="1"/>
  <c r="G465" i="1" a="1"/>
  <c r="G465" i="1" s="1"/>
  <c r="I460" i="1"/>
  <c r="H460" i="1" a="1"/>
  <c r="H460" i="1" s="1"/>
  <c r="G460" i="1" a="1"/>
  <c r="G460" i="1" s="1"/>
  <c r="I455" i="1"/>
  <c r="H455" i="1" a="1"/>
  <c r="H455" i="1" s="1"/>
  <c r="G455" i="1" a="1"/>
  <c r="G455" i="1" s="1"/>
  <c r="I450" i="1"/>
  <c r="H450" i="1" a="1"/>
  <c r="H450" i="1" s="1"/>
  <c r="G450" i="1" a="1"/>
  <c r="G450" i="1" s="1"/>
  <c r="I445" i="1"/>
  <c r="H445" i="1" a="1"/>
  <c r="H445" i="1" s="1"/>
  <c r="G445" i="1" a="1"/>
  <c r="G445" i="1" s="1"/>
  <c r="I440" i="1"/>
  <c r="H440" i="1" a="1"/>
  <c r="H440" i="1" s="1"/>
  <c r="G440" i="1" a="1"/>
  <c r="G440" i="1" s="1"/>
  <c r="I435" i="1"/>
  <c r="H435" i="1" a="1"/>
  <c r="H435" i="1" s="1"/>
  <c r="G435" i="1" a="1"/>
  <c r="G435" i="1" s="1"/>
  <c r="I430" i="1"/>
  <c r="H430" i="1" a="1"/>
  <c r="H430" i="1" s="1"/>
  <c r="G430" i="1" a="1"/>
  <c r="G430" i="1" s="1"/>
  <c r="I425" i="1"/>
  <c r="H425" i="1" a="1"/>
  <c r="H425" i="1" s="1"/>
  <c r="G425" i="1" a="1"/>
  <c r="G425" i="1" s="1"/>
  <c r="I420" i="1"/>
  <c r="H420" i="1" a="1"/>
  <c r="H420" i="1" s="1"/>
  <c r="G420" i="1" a="1"/>
  <c r="G420" i="1" s="1"/>
  <c r="I415" i="1"/>
  <c r="H415" i="1" a="1"/>
  <c r="H415" i="1" s="1"/>
  <c r="G415" i="1" a="1"/>
  <c r="G415" i="1" s="1"/>
  <c r="I410" i="1"/>
  <c r="H410" i="1" a="1"/>
  <c r="H410" i="1" s="1"/>
  <c r="G410" i="1" a="1"/>
  <c r="G410" i="1" s="1"/>
  <c r="I405" i="1"/>
  <c r="H405" i="1" a="1"/>
  <c r="H405" i="1" s="1"/>
  <c r="G405" i="1" a="1"/>
  <c r="G405" i="1" s="1"/>
  <c r="I400" i="1"/>
  <c r="H400" i="1" a="1"/>
  <c r="H400" i="1" s="1"/>
  <c r="G400" i="1" a="1"/>
  <c r="G400" i="1" s="1"/>
  <c r="I395" i="1"/>
  <c r="H395" i="1" a="1"/>
  <c r="H395" i="1" s="1"/>
  <c r="G395" i="1" a="1"/>
  <c r="G395" i="1" s="1"/>
  <c r="I390" i="1"/>
  <c r="H390" i="1" a="1"/>
  <c r="H390" i="1" s="1"/>
  <c r="G390" i="1" a="1"/>
  <c r="G390" i="1" s="1"/>
  <c r="I385" i="1"/>
  <c r="H385" i="1" a="1"/>
  <c r="H385" i="1" s="1"/>
  <c r="G385" i="1" a="1"/>
  <c r="G385" i="1" s="1"/>
  <c r="I380" i="1"/>
  <c r="H380" i="1" a="1"/>
  <c r="H380" i="1" s="1"/>
  <c r="G380" i="1" a="1"/>
  <c r="G380" i="1" s="1"/>
  <c r="I375" i="1"/>
  <c r="H375" i="1" a="1"/>
  <c r="H375" i="1" s="1"/>
  <c r="G375" i="1" a="1"/>
  <c r="G375" i="1" s="1"/>
  <c r="I370" i="1"/>
  <c r="H370" i="1" a="1"/>
  <c r="H370" i="1" s="1"/>
  <c r="G370" i="1" a="1"/>
  <c r="G370" i="1" s="1"/>
  <c r="I365" i="1"/>
  <c r="H365" i="1" a="1"/>
  <c r="H365" i="1" s="1"/>
  <c r="G365" i="1" a="1"/>
  <c r="G365" i="1" s="1"/>
  <c r="I360" i="1"/>
  <c r="H360" i="1" a="1"/>
  <c r="H360" i="1" s="1"/>
  <c r="G360" i="1" a="1"/>
  <c r="G360" i="1" s="1"/>
  <c r="I355" i="1"/>
  <c r="H355" i="1" a="1"/>
  <c r="H355" i="1" s="1"/>
  <c r="G355" i="1" a="1"/>
  <c r="G355" i="1" s="1"/>
  <c r="I350" i="1"/>
  <c r="H350" i="1" a="1"/>
  <c r="H350" i="1" s="1"/>
  <c r="G350" i="1" a="1"/>
  <c r="G350" i="1" s="1"/>
  <c r="I345" i="1"/>
  <c r="H345" i="1" a="1"/>
  <c r="H345" i="1" s="1"/>
  <c r="G345" i="1" a="1"/>
  <c r="G345" i="1" s="1"/>
  <c r="I340" i="1"/>
  <c r="H340" i="1" a="1"/>
  <c r="H340" i="1" s="1"/>
  <c r="G340" i="1" a="1"/>
  <c r="G340" i="1" s="1"/>
  <c r="I335" i="1"/>
  <c r="H335" i="1" a="1"/>
  <c r="H335" i="1" s="1"/>
  <c r="G335" i="1" a="1"/>
  <c r="G335" i="1" s="1"/>
  <c r="I330" i="1"/>
  <c r="H330" i="1" a="1"/>
  <c r="H330" i="1" s="1"/>
  <c r="G330" i="1" a="1"/>
  <c r="G330" i="1" s="1"/>
  <c r="I325" i="1"/>
  <c r="H325" i="1" a="1"/>
  <c r="H325" i="1" s="1"/>
  <c r="G325" i="1" a="1"/>
  <c r="G325" i="1" s="1"/>
  <c r="I320" i="1"/>
  <c r="H320" i="1" a="1"/>
  <c r="H320" i="1" s="1"/>
  <c r="G320" i="1" a="1"/>
  <c r="G320" i="1" s="1"/>
  <c r="I315" i="1"/>
  <c r="H315" i="1" a="1"/>
  <c r="H315" i="1" s="1"/>
  <c r="G315" i="1" a="1"/>
  <c r="G315" i="1" s="1"/>
  <c r="I310" i="1"/>
  <c r="H310" i="1" a="1"/>
  <c r="H310" i="1" s="1"/>
  <c r="G310" i="1" a="1"/>
  <c r="G310" i="1" s="1"/>
  <c r="I305" i="1"/>
  <c r="H305" i="1" a="1"/>
  <c r="H305" i="1" s="1"/>
  <c r="G305" i="1" a="1"/>
  <c r="G305" i="1" s="1"/>
  <c r="I300" i="1"/>
  <c r="H300" i="1" a="1"/>
  <c r="H300" i="1" s="1"/>
  <c r="G300" i="1" a="1"/>
  <c r="G300" i="1" s="1"/>
  <c r="I295" i="1"/>
  <c r="H295" i="1" a="1"/>
  <c r="H295" i="1" s="1"/>
  <c r="G295" i="1" a="1"/>
  <c r="G295" i="1" s="1"/>
  <c r="I290" i="1"/>
  <c r="H290" i="1" a="1"/>
  <c r="H290" i="1" s="1"/>
  <c r="G290" i="1" a="1"/>
  <c r="G290" i="1" s="1"/>
  <c r="I285" i="1"/>
  <c r="H285" i="1" a="1"/>
  <c r="H285" i="1" s="1"/>
  <c r="G285" i="1" a="1"/>
  <c r="G285" i="1" s="1"/>
  <c r="I280" i="1"/>
  <c r="H280" i="1" a="1"/>
  <c r="H280" i="1" s="1"/>
  <c r="G280" i="1" a="1"/>
  <c r="G280" i="1" s="1"/>
  <c r="I275" i="1"/>
  <c r="H275" i="1" a="1"/>
  <c r="H275" i="1" s="1"/>
  <c r="G275" i="1" a="1"/>
  <c r="G275" i="1" s="1"/>
  <c r="I270" i="1"/>
  <c r="H270" i="1" a="1"/>
  <c r="H270" i="1" s="1"/>
  <c r="G270" i="1" a="1"/>
  <c r="G270" i="1" s="1"/>
  <c r="I265" i="1"/>
  <c r="H265" i="1" a="1"/>
  <c r="H265" i="1" s="1"/>
  <c r="G265" i="1" a="1"/>
  <c r="G265" i="1" s="1"/>
  <c r="I260" i="1"/>
  <c r="H260" i="1" a="1"/>
  <c r="H260" i="1" s="1"/>
  <c r="G260" i="1" a="1"/>
  <c r="G260" i="1" s="1"/>
  <c r="I255" i="1"/>
  <c r="H255" i="1" a="1"/>
  <c r="H255" i="1" s="1"/>
  <c r="G255" i="1" a="1"/>
  <c r="G255" i="1" s="1"/>
  <c r="I250" i="1"/>
  <c r="H250" i="1" a="1"/>
  <c r="H250" i="1" s="1"/>
  <c r="G250" i="1" a="1"/>
  <c r="G250" i="1" s="1"/>
  <c r="I245" i="1"/>
  <c r="H245" i="1" a="1"/>
  <c r="H245" i="1" s="1"/>
  <c r="G245" i="1" a="1"/>
  <c r="G245" i="1" s="1"/>
  <c r="I240" i="1"/>
  <c r="H240" i="1" a="1"/>
  <c r="H240" i="1" s="1"/>
  <c r="G240" i="1" a="1"/>
  <c r="G240" i="1" s="1"/>
  <c r="I235" i="1"/>
  <c r="H235" i="1" a="1"/>
  <c r="H235" i="1" s="1"/>
  <c r="G235" i="1" a="1"/>
  <c r="G235" i="1" s="1"/>
  <c r="I230" i="1"/>
  <c r="H230" i="1" a="1"/>
  <c r="H230" i="1" s="1"/>
  <c r="G230" i="1" a="1"/>
  <c r="G230" i="1" s="1"/>
  <c r="I225" i="1"/>
  <c r="H225" i="1" a="1"/>
  <c r="H225" i="1" s="1"/>
  <c r="G225" i="1" a="1"/>
  <c r="G225" i="1" s="1"/>
  <c r="I220" i="1"/>
  <c r="H220" i="1" a="1"/>
  <c r="H220" i="1" s="1"/>
  <c r="G220" i="1" a="1"/>
  <c r="G220" i="1" s="1"/>
  <c r="I215" i="1"/>
  <c r="H215" i="1" a="1"/>
  <c r="H215" i="1" s="1"/>
  <c r="G215" i="1" a="1"/>
  <c r="G215" i="1" s="1"/>
  <c r="I210" i="1"/>
  <c r="H210" i="1" a="1"/>
  <c r="H210" i="1" s="1"/>
  <c r="G210" i="1" a="1"/>
  <c r="G210" i="1" s="1"/>
  <c r="I205" i="1"/>
  <c r="H205" i="1" a="1"/>
  <c r="H205" i="1" s="1"/>
  <c r="G205" i="1" a="1"/>
  <c r="G205" i="1" s="1"/>
  <c r="I200" i="1"/>
  <c r="H200" i="1" a="1"/>
  <c r="H200" i="1" s="1"/>
  <c r="G200" i="1" a="1"/>
  <c r="G200" i="1" s="1"/>
  <c r="I195" i="1"/>
  <c r="H195" i="1" a="1"/>
  <c r="H195" i="1" s="1"/>
  <c r="G195" i="1" a="1"/>
  <c r="G195" i="1" s="1"/>
  <c r="I190" i="1"/>
  <c r="H190" i="1" a="1"/>
  <c r="H190" i="1" s="1"/>
  <c r="G190" i="1" a="1"/>
  <c r="G190" i="1" s="1"/>
  <c r="I185" i="1"/>
  <c r="H185" i="1" a="1"/>
  <c r="H185" i="1" s="1"/>
  <c r="G185" i="1" a="1"/>
  <c r="G185" i="1" s="1"/>
  <c r="I180" i="1"/>
  <c r="H180" i="1" a="1"/>
  <c r="H180" i="1" s="1"/>
  <c r="G180" i="1" a="1"/>
  <c r="G180" i="1" s="1"/>
  <c r="I175" i="1"/>
  <c r="H175" i="1" a="1"/>
  <c r="H175" i="1" s="1"/>
  <c r="G175" i="1" a="1"/>
  <c r="G175" i="1" s="1"/>
  <c r="I170" i="1"/>
  <c r="H170" i="1" a="1"/>
  <c r="H170" i="1" s="1"/>
  <c r="G170" i="1" a="1"/>
  <c r="G170" i="1" s="1"/>
  <c r="I165" i="1"/>
  <c r="H165" i="1" a="1"/>
  <c r="H165" i="1" s="1"/>
  <c r="G165" i="1" a="1"/>
  <c r="G165" i="1" s="1"/>
  <c r="I160" i="1"/>
  <c r="H160" i="1" a="1"/>
  <c r="H160" i="1" s="1"/>
  <c r="G160" i="1" a="1"/>
  <c r="G160" i="1" s="1"/>
  <c r="I155" i="1"/>
  <c r="H155" i="1" a="1"/>
  <c r="H155" i="1" s="1"/>
  <c r="G155" i="1" a="1"/>
  <c r="G155" i="1" s="1"/>
  <c r="I150" i="1"/>
  <c r="H150" i="1" a="1"/>
  <c r="H150" i="1" s="1"/>
  <c r="G150" i="1" a="1"/>
  <c r="G150" i="1" s="1"/>
  <c r="I145" i="1"/>
  <c r="H145" i="1" a="1"/>
  <c r="H145" i="1" s="1"/>
  <c r="G145" i="1" a="1"/>
  <c r="G145" i="1" s="1"/>
  <c r="I140" i="1"/>
  <c r="H140" i="1" a="1"/>
  <c r="H140" i="1" s="1"/>
  <c r="G140" i="1" a="1"/>
  <c r="G140" i="1" s="1"/>
  <c r="I135" i="1"/>
  <c r="H135" i="1" a="1"/>
  <c r="H135" i="1" s="1"/>
  <c r="G135" i="1" a="1"/>
  <c r="G135" i="1" s="1"/>
  <c r="I130" i="1"/>
  <c r="H130" i="1" a="1"/>
  <c r="H130" i="1" s="1"/>
  <c r="G130" i="1" a="1"/>
  <c r="G130" i="1" s="1"/>
  <c r="I125" i="1"/>
  <c r="H125" i="1" a="1"/>
  <c r="H125" i="1" s="1"/>
  <c r="G125" i="1" a="1"/>
  <c r="G125" i="1" s="1"/>
  <c r="I120" i="1"/>
  <c r="H120" i="1" a="1"/>
  <c r="H120" i="1" s="1"/>
  <c r="G120" i="1" a="1"/>
  <c r="G120" i="1" s="1"/>
  <c r="I115" i="1"/>
  <c r="H115" i="1" a="1"/>
  <c r="H115" i="1" s="1"/>
  <c r="G115" i="1" a="1"/>
  <c r="G115" i="1" s="1"/>
  <c r="I110" i="1"/>
  <c r="H110" i="1" a="1"/>
  <c r="H110" i="1" s="1"/>
  <c r="G110" i="1" a="1"/>
  <c r="G110" i="1" s="1"/>
  <c r="I105" i="1"/>
  <c r="H105" i="1" a="1"/>
  <c r="H105" i="1" s="1"/>
  <c r="G105" i="1" a="1"/>
  <c r="G105" i="1" s="1"/>
  <c r="I100" i="1"/>
  <c r="H100" i="1" a="1"/>
  <c r="H100" i="1" s="1"/>
  <c r="G100" i="1" a="1"/>
  <c r="G100" i="1" s="1"/>
  <c r="I95" i="1"/>
  <c r="H95" i="1" a="1"/>
  <c r="H95" i="1" s="1"/>
  <c r="G95" i="1" a="1"/>
  <c r="G95" i="1" s="1"/>
  <c r="I90" i="1"/>
  <c r="H90" i="1" a="1"/>
  <c r="H90" i="1" s="1"/>
  <c r="G90" i="1" a="1"/>
  <c r="G90" i="1" s="1"/>
  <c r="I85" i="1"/>
  <c r="H85" i="1" a="1"/>
  <c r="H85" i="1" s="1"/>
  <c r="G85" i="1" a="1"/>
  <c r="G85" i="1" s="1"/>
  <c r="I80" i="1"/>
  <c r="H80" i="1" a="1"/>
  <c r="H80" i="1" s="1"/>
  <c r="G80" i="1" a="1"/>
  <c r="G80" i="1" s="1"/>
  <c r="I75" i="1"/>
  <c r="H75" i="1" a="1"/>
  <c r="H75" i="1" s="1"/>
  <c r="G75" i="1" a="1"/>
  <c r="G75" i="1" s="1"/>
  <c r="I70" i="1"/>
  <c r="H70" i="1" a="1"/>
  <c r="H70" i="1" s="1"/>
  <c r="G70" i="1" a="1"/>
  <c r="G70" i="1" s="1"/>
  <c r="I65" i="1"/>
  <c r="H65" i="1" a="1"/>
  <c r="H65" i="1" s="1"/>
  <c r="G65" i="1" a="1"/>
  <c r="G65" i="1" s="1"/>
  <c r="I60" i="1"/>
  <c r="H60" i="1" a="1"/>
  <c r="H60" i="1" s="1"/>
  <c r="G60" i="1" a="1"/>
  <c r="G60" i="1" s="1"/>
  <c r="I55" i="1"/>
  <c r="H55" i="1" a="1"/>
  <c r="H55" i="1" s="1"/>
  <c r="G55" i="1" a="1"/>
  <c r="G55" i="1" s="1"/>
  <c r="I50" i="1"/>
  <c r="H50" i="1" a="1"/>
  <c r="H50" i="1" s="1"/>
  <c r="G50" i="1" a="1"/>
  <c r="G50" i="1" s="1"/>
  <c r="I45" i="1"/>
  <c r="H45" i="1" a="1"/>
  <c r="H45" i="1" s="1"/>
  <c r="G45" i="1" a="1"/>
  <c r="G45" i="1" s="1"/>
  <c r="I40" i="1"/>
  <c r="H40" i="1" a="1"/>
  <c r="H40" i="1" s="1"/>
  <c r="G40" i="1" a="1"/>
  <c r="G40" i="1" s="1"/>
  <c r="I35" i="1"/>
  <c r="H35" i="1" a="1"/>
  <c r="H35" i="1" s="1"/>
  <c r="G35" i="1" a="1"/>
  <c r="G35" i="1" s="1"/>
  <c r="I30" i="1"/>
  <c r="H30" i="1" a="1"/>
  <c r="H30" i="1" s="1"/>
  <c r="G30" i="1" a="1"/>
  <c r="G30" i="1" s="1"/>
  <c r="I25" i="1"/>
  <c r="H25" i="1" a="1"/>
  <c r="H25" i="1" s="1"/>
  <c r="G25" i="1" a="1"/>
  <c r="G25" i="1" s="1"/>
  <c r="I20" i="1"/>
  <c r="H20" i="1" a="1"/>
  <c r="H20" i="1" s="1"/>
  <c r="G20" i="1" a="1"/>
  <c r="G20" i="1" s="1"/>
  <c r="I15" i="1"/>
  <c r="H15" i="1" a="1"/>
  <c r="H15" i="1" s="1"/>
  <c r="G15" i="1" a="1"/>
  <c r="G15" i="1" s="1"/>
  <c r="I10" i="1"/>
  <c r="H10" i="1" a="1"/>
  <c r="H10" i="1" s="1"/>
  <c r="G10" i="1" a="1"/>
  <c r="G10" i="1" s="1"/>
  <c r="I5" i="1"/>
  <c r="H5" i="1" a="1"/>
  <c r="H5" i="1" s="1"/>
  <c r="G5" i="1" a="1"/>
  <c r="G5" i="1" s="1"/>
  <c r="I1173" i="1"/>
  <c r="H1173" i="1" a="1"/>
  <c r="H1173" i="1" s="1"/>
  <c r="G1173" i="1" a="1"/>
  <c r="G1173" i="1" s="1"/>
  <c r="I1168" i="1"/>
  <c r="H1168" i="1" a="1"/>
  <c r="H1168" i="1" s="1"/>
  <c r="G1168" i="1" a="1"/>
  <c r="G1168" i="1" s="1"/>
  <c r="I1163" i="1"/>
  <c r="H1163" i="1" a="1"/>
  <c r="H1163" i="1" s="1"/>
  <c r="G1163" i="1" a="1"/>
  <c r="G1163" i="1" s="1"/>
  <c r="I1158" i="1"/>
  <c r="H1158" i="1" a="1"/>
  <c r="H1158" i="1" s="1"/>
  <c r="G1158" i="1" a="1"/>
  <c r="G1158" i="1" s="1"/>
  <c r="I1153" i="1"/>
  <c r="H1153" i="1" a="1"/>
  <c r="H1153" i="1" s="1"/>
  <c r="G1153" i="1" a="1"/>
  <c r="G1153" i="1" s="1"/>
  <c r="I1148" i="1"/>
  <c r="H1148" i="1" a="1"/>
  <c r="H1148" i="1" s="1"/>
  <c r="G1148" i="1" a="1"/>
  <c r="G1148" i="1" s="1"/>
  <c r="I1143" i="1"/>
  <c r="H1143" i="1" a="1"/>
  <c r="H1143" i="1" s="1"/>
  <c r="G1143" i="1" a="1"/>
  <c r="G1143" i="1" s="1"/>
  <c r="I1138" i="1"/>
  <c r="H1138" i="1" a="1"/>
  <c r="H1138" i="1" s="1"/>
  <c r="G1138" i="1" a="1"/>
  <c r="G1138" i="1" s="1"/>
  <c r="I1133" i="1"/>
  <c r="H1133" i="1" a="1"/>
  <c r="H1133" i="1" s="1"/>
  <c r="G1133" i="1" a="1"/>
  <c r="G1133" i="1" s="1"/>
  <c r="I1128" i="1"/>
  <c r="H1128" i="1" a="1"/>
  <c r="H1128" i="1" s="1"/>
  <c r="G1128" i="1" a="1"/>
  <c r="G1128" i="1" s="1"/>
  <c r="I1123" i="1"/>
  <c r="H1123" i="1" a="1"/>
  <c r="H1123" i="1" s="1"/>
  <c r="G1123" i="1" a="1"/>
  <c r="G1123" i="1" s="1"/>
  <c r="I1118" i="1"/>
  <c r="H1118" i="1" a="1"/>
  <c r="H1118" i="1" s="1"/>
  <c r="G1118" i="1" a="1"/>
  <c r="G1118" i="1" s="1"/>
  <c r="I1113" i="1"/>
  <c r="H1113" i="1" a="1"/>
  <c r="H1113" i="1" s="1"/>
  <c r="G1113" i="1" a="1"/>
  <c r="G1113" i="1" s="1"/>
  <c r="I1108" i="1"/>
  <c r="H1108" i="1" a="1"/>
  <c r="H1108" i="1" s="1"/>
  <c r="G1108" i="1" a="1"/>
  <c r="G1108" i="1" s="1"/>
  <c r="I1103" i="1"/>
  <c r="H1103" i="1" a="1"/>
  <c r="H1103" i="1" s="1"/>
  <c r="G1103" i="1" a="1"/>
  <c r="G1103" i="1" s="1"/>
  <c r="I1098" i="1"/>
  <c r="H1098" i="1" a="1"/>
  <c r="H1098" i="1" s="1"/>
  <c r="G1098" i="1" a="1"/>
  <c r="G1098" i="1" s="1"/>
  <c r="I1093" i="1"/>
  <c r="H1093" i="1" a="1"/>
  <c r="H1093" i="1" s="1"/>
  <c r="G1093" i="1" a="1"/>
  <c r="G1093" i="1" s="1"/>
  <c r="I1088" i="1"/>
  <c r="H1088" i="1" a="1"/>
  <c r="H1088" i="1" s="1"/>
  <c r="G1088" i="1" a="1"/>
  <c r="G1088" i="1" s="1"/>
  <c r="I1083" i="1"/>
  <c r="H1083" i="1" a="1"/>
  <c r="H1083" i="1" s="1"/>
  <c r="G1083" i="1" a="1"/>
  <c r="G1083" i="1" s="1"/>
  <c r="I1078" i="1"/>
  <c r="H1078" i="1" a="1"/>
  <c r="H1078" i="1" s="1"/>
  <c r="G1078" i="1" a="1"/>
  <c r="G1078" i="1" s="1"/>
  <c r="I1073" i="1"/>
  <c r="H1073" i="1" a="1"/>
  <c r="H1073" i="1" s="1"/>
  <c r="G1073" i="1" a="1"/>
  <c r="G1073" i="1" s="1"/>
  <c r="I1068" i="1"/>
  <c r="H1068" i="1" a="1"/>
  <c r="H1068" i="1" s="1"/>
  <c r="G1068" i="1" a="1"/>
  <c r="G1068" i="1" s="1"/>
  <c r="I1063" i="1"/>
  <c r="H1063" i="1" a="1"/>
  <c r="H1063" i="1" s="1"/>
  <c r="G1063" i="1" a="1"/>
  <c r="G1063" i="1" s="1"/>
  <c r="I1058" i="1"/>
  <c r="H1058" i="1" a="1"/>
  <c r="H1058" i="1" s="1"/>
  <c r="G1058" i="1" a="1"/>
  <c r="G1058" i="1" s="1"/>
  <c r="I1053" i="1"/>
  <c r="H1053" i="1" a="1"/>
  <c r="H1053" i="1" s="1"/>
  <c r="G1053" i="1" a="1"/>
  <c r="G1053" i="1" s="1"/>
  <c r="I1048" i="1"/>
  <c r="H1048" i="1" a="1"/>
  <c r="H1048" i="1" s="1"/>
  <c r="G1048" i="1" a="1"/>
  <c r="G1048" i="1" s="1"/>
  <c r="I1043" i="1"/>
  <c r="H1043" i="1" a="1"/>
  <c r="H1043" i="1" s="1"/>
  <c r="G1043" i="1" a="1"/>
  <c r="G1043" i="1" s="1"/>
  <c r="I1038" i="1"/>
  <c r="H1038" i="1" a="1"/>
  <c r="H1038" i="1" s="1"/>
  <c r="G1038" i="1" a="1"/>
  <c r="G1038" i="1" s="1"/>
  <c r="I1033" i="1"/>
  <c r="H1033" i="1" a="1"/>
  <c r="H1033" i="1" s="1"/>
  <c r="G1033" i="1" a="1"/>
  <c r="G1033" i="1" s="1"/>
  <c r="I1028" i="1"/>
  <c r="H1028" i="1" a="1"/>
  <c r="H1028" i="1" s="1"/>
  <c r="G1028" i="1" a="1"/>
  <c r="G1028" i="1" s="1"/>
  <c r="I1023" i="1"/>
  <c r="H1023" i="1" a="1"/>
  <c r="H1023" i="1" s="1"/>
  <c r="G1023" i="1" a="1"/>
  <c r="G1023" i="1" s="1"/>
  <c r="I1018" i="1"/>
  <c r="H1018" i="1" a="1"/>
  <c r="H1018" i="1" s="1"/>
  <c r="G1018" i="1" a="1"/>
  <c r="G1018" i="1" s="1"/>
  <c r="I1013" i="1"/>
  <c r="H1013" i="1" a="1"/>
  <c r="H1013" i="1" s="1"/>
  <c r="G1013" i="1" a="1"/>
  <c r="G1013" i="1" s="1"/>
  <c r="I1008" i="1"/>
  <c r="H1008" i="1" a="1"/>
  <c r="H1008" i="1" s="1"/>
  <c r="G1008" i="1" a="1"/>
  <c r="G1008" i="1" s="1"/>
  <c r="I1003" i="1"/>
  <c r="H1003" i="1" a="1"/>
  <c r="H1003" i="1" s="1"/>
  <c r="G1003" i="1" a="1"/>
  <c r="G1003" i="1" s="1"/>
  <c r="I998" i="1"/>
  <c r="H998" i="1" a="1"/>
  <c r="H998" i="1" s="1"/>
  <c r="G998" i="1" a="1"/>
  <c r="G998" i="1" s="1"/>
  <c r="I993" i="1"/>
  <c r="H993" i="1" a="1"/>
  <c r="H993" i="1" s="1"/>
  <c r="G993" i="1" a="1"/>
  <c r="G993" i="1" s="1"/>
  <c r="I988" i="1"/>
  <c r="H988" i="1" a="1"/>
  <c r="H988" i="1" s="1"/>
  <c r="G988" i="1" a="1"/>
  <c r="G988" i="1" s="1"/>
  <c r="I983" i="1"/>
  <c r="H983" i="1" a="1"/>
  <c r="H983" i="1" s="1"/>
  <c r="G983" i="1" a="1"/>
  <c r="G983" i="1" s="1"/>
  <c r="I978" i="1"/>
  <c r="H978" i="1" a="1"/>
  <c r="H978" i="1" s="1"/>
  <c r="G978" i="1" a="1"/>
  <c r="G978" i="1" s="1"/>
  <c r="I973" i="1"/>
  <c r="H973" i="1" a="1"/>
  <c r="H973" i="1" s="1"/>
  <c r="G973" i="1" a="1"/>
  <c r="G973" i="1" s="1"/>
  <c r="I968" i="1"/>
  <c r="H968" i="1" a="1"/>
  <c r="H968" i="1" s="1"/>
  <c r="G968" i="1" a="1"/>
  <c r="G968" i="1" s="1"/>
  <c r="I963" i="1"/>
  <c r="H963" i="1" a="1"/>
  <c r="H963" i="1" s="1"/>
  <c r="G963" i="1" a="1"/>
  <c r="G963" i="1" s="1"/>
  <c r="I958" i="1"/>
  <c r="H958" i="1" a="1"/>
  <c r="H958" i="1" s="1"/>
  <c r="G958" i="1" a="1"/>
  <c r="G958" i="1" s="1"/>
  <c r="I953" i="1"/>
  <c r="H953" i="1" a="1"/>
  <c r="H953" i="1" s="1"/>
  <c r="G953" i="1" a="1"/>
  <c r="G953" i="1" s="1"/>
  <c r="I948" i="1"/>
  <c r="H948" i="1" a="1"/>
  <c r="H948" i="1" s="1"/>
  <c r="G948" i="1" a="1"/>
  <c r="G948" i="1" s="1"/>
  <c r="I943" i="1"/>
  <c r="H943" i="1" a="1"/>
  <c r="H943" i="1" s="1"/>
  <c r="G943" i="1" a="1"/>
  <c r="G943" i="1" s="1"/>
  <c r="I938" i="1"/>
  <c r="H938" i="1" a="1"/>
  <c r="H938" i="1" s="1"/>
  <c r="G938" i="1" a="1"/>
  <c r="G938" i="1" s="1"/>
  <c r="I933" i="1"/>
  <c r="H933" i="1" a="1"/>
  <c r="H933" i="1" s="1"/>
  <c r="G933" i="1" a="1"/>
  <c r="G933" i="1" s="1"/>
  <c r="I928" i="1"/>
  <c r="H928" i="1" a="1"/>
  <c r="H928" i="1" s="1"/>
  <c r="G928" i="1" a="1"/>
  <c r="G928" i="1" s="1"/>
  <c r="I923" i="1"/>
  <c r="H923" i="1" a="1"/>
  <c r="H923" i="1" s="1"/>
  <c r="G923" i="1" a="1"/>
  <c r="G923" i="1" s="1"/>
  <c r="I918" i="1"/>
  <c r="H918" i="1" a="1"/>
  <c r="H918" i="1" s="1"/>
  <c r="G918" i="1" a="1"/>
  <c r="G918" i="1" s="1"/>
  <c r="I913" i="1"/>
  <c r="H913" i="1" a="1"/>
  <c r="H913" i="1" s="1"/>
  <c r="G913" i="1" a="1"/>
  <c r="G913" i="1" s="1"/>
  <c r="I908" i="1"/>
  <c r="H908" i="1" a="1"/>
  <c r="H908" i="1" s="1"/>
  <c r="G908" i="1" a="1"/>
  <c r="G908" i="1" s="1"/>
  <c r="I903" i="1"/>
  <c r="H903" i="1" a="1"/>
  <c r="H903" i="1" s="1"/>
  <c r="G903" i="1" a="1"/>
  <c r="G903" i="1" s="1"/>
  <c r="I898" i="1"/>
  <c r="H898" i="1" a="1"/>
  <c r="H898" i="1" s="1"/>
  <c r="G898" i="1" a="1"/>
  <c r="G898" i="1" s="1"/>
  <c r="I893" i="1"/>
  <c r="H893" i="1" a="1"/>
  <c r="H893" i="1" s="1"/>
  <c r="G893" i="1" a="1"/>
  <c r="G893" i="1" s="1"/>
  <c r="I888" i="1"/>
  <c r="H888" i="1" a="1"/>
  <c r="H888" i="1" s="1"/>
  <c r="G888" i="1" a="1"/>
  <c r="G888" i="1" s="1"/>
  <c r="I883" i="1"/>
  <c r="H883" i="1" a="1"/>
  <c r="H883" i="1" s="1"/>
  <c r="G883" i="1" a="1"/>
  <c r="G883" i="1" s="1"/>
  <c r="I878" i="1"/>
  <c r="H878" i="1" a="1"/>
  <c r="H878" i="1" s="1"/>
  <c r="G878" i="1" a="1"/>
  <c r="G878" i="1" s="1"/>
  <c r="I873" i="1"/>
  <c r="H873" i="1" a="1"/>
  <c r="H873" i="1" s="1"/>
  <c r="G873" i="1" a="1"/>
  <c r="G873" i="1" s="1"/>
  <c r="I868" i="1"/>
  <c r="H868" i="1" a="1"/>
  <c r="H868" i="1" s="1"/>
  <c r="G868" i="1" a="1"/>
  <c r="G868" i="1" s="1"/>
  <c r="I863" i="1"/>
  <c r="H863" i="1" a="1"/>
  <c r="H863" i="1" s="1"/>
  <c r="G863" i="1" a="1"/>
  <c r="G863" i="1" s="1"/>
  <c r="I858" i="1"/>
  <c r="H858" i="1" a="1"/>
  <c r="H858" i="1" s="1"/>
  <c r="G858" i="1" a="1"/>
  <c r="G858" i="1" s="1"/>
  <c r="I853" i="1"/>
  <c r="H853" i="1" a="1"/>
  <c r="H853" i="1" s="1"/>
  <c r="G853" i="1" a="1"/>
  <c r="G853" i="1" s="1"/>
  <c r="I848" i="1"/>
  <c r="H848" i="1" a="1"/>
  <c r="H848" i="1" s="1"/>
  <c r="G848" i="1" a="1"/>
  <c r="G848" i="1" s="1"/>
  <c r="I843" i="1"/>
  <c r="H843" i="1" a="1"/>
  <c r="H843" i="1" s="1"/>
  <c r="G843" i="1" a="1"/>
  <c r="G843" i="1" s="1"/>
  <c r="I838" i="1"/>
  <c r="H838" i="1" a="1"/>
  <c r="H838" i="1" s="1"/>
  <c r="G838" i="1" a="1"/>
  <c r="G838" i="1" s="1"/>
  <c r="I833" i="1"/>
  <c r="H833" i="1" a="1"/>
  <c r="H833" i="1" s="1"/>
  <c r="G833" i="1" a="1"/>
  <c r="G833" i="1" s="1"/>
  <c r="I828" i="1"/>
  <c r="H828" i="1" a="1"/>
  <c r="H828" i="1" s="1"/>
  <c r="G828" i="1" a="1"/>
  <c r="G828" i="1" s="1"/>
  <c r="I823" i="1"/>
  <c r="H823" i="1" a="1"/>
  <c r="H823" i="1" s="1"/>
  <c r="G823" i="1" a="1"/>
  <c r="G823" i="1" s="1"/>
  <c r="I818" i="1"/>
  <c r="H818" i="1" a="1"/>
  <c r="H818" i="1" s="1"/>
  <c r="G818" i="1" a="1"/>
  <c r="G818" i="1" s="1"/>
  <c r="I813" i="1"/>
  <c r="H813" i="1" a="1"/>
  <c r="H813" i="1" s="1"/>
  <c r="G813" i="1" a="1"/>
  <c r="G813" i="1" s="1"/>
  <c r="I808" i="1"/>
  <c r="H808" i="1" a="1"/>
  <c r="H808" i="1" s="1"/>
  <c r="G808" i="1" a="1"/>
  <c r="G808" i="1" s="1"/>
  <c r="I803" i="1"/>
  <c r="H803" i="1" a="1"/>
  <c r="H803" i="1" s="1"/>
  <c r="G803" i="1" a="1"/>
  <c r="G803" i="1" s="1"/>
  <c r="I798" i="1"/>
  <c r="H798" i="1" a="1"/>
  <c r="H798" i="1" s="1"/>
  <c r="G798" i="1" a="1"/>
  <c r="G798" i="1" s="1"/>
  <c r="I793" i="1"/>
  <c r="H793" i="1" a="1"/>
  <c r="H793" i="1" s="1"/>
  <c r="G793" i="1" a="1"/>
  <c r="G793" i="1" s="1"/>
  <c r="I788" i="1"/>
  <c r="H788" i="1" a="1"/>
  <c r="H788" i="1" s="1"/>
  <c r="G788" i="1" a="1"/>
  <c r="G788" i="1" s="1"/>
  <c r="I783" i="1"/>
  <c r="H783" i="1" a="1"/>
  <c r="H783" i="1" s="1"/>
  <c r="G783" i="1" a="1"/>
  <c r="G783" i="1" s="1"/>
  <c r="I778" i="1"/>
  <c r="H778" i="1" a="1"/>
  <c r="H778" i="1" s="1"/>
  <c r="G778" i="1" a="1"/>
  <c r="G778" i="1" s="1"/>
  <c r="I773" i="1"/>
  <c r="H773" i="1" a="1"/>
  <c r="H773" i="1" s="1"/>
  <c r="G773" i="1" a="1"/>
  <c r="G773" i="1" s="1"/>
  <c r="I768" i="1"/>
  <c r="H768" i="1" a="1"/>
  <c r="H768" i="1" s="1"/>
  <c r="G768" i="1" a="1"/>
  <c r="G768" i="1" s="1"/>
  <c r="I763" i="1"/>
  <c r="H763" i="1" a="1"/>
  <c r="H763" i="1" s="1"/>
  <c r="G763" i="1" a="1"/>
  <c r="G763" i="1" s="1"/>
  <c r="I758" i="1"/>
  <c r="H758" i="1" a="1"/>
  <c r="H758" i="1" s="1"/>
  <c r="G758" i="1" a="1"/>
  <c r="G758" i="1" s="1"/>
  <c r="I753" i="1"/>
  <c r="H753" i="1" a="1"/>
  <c r="H753" i="1" s="1"/>
  <c r="G753" i="1" a="1"/>
  <c r="G753" i="1" s="1"/>
  <c r="I748" i="1"/>
  <c r="H748" i="1" a="1"/>
  <c r="H748" i="1" s="1"/>
  <c r="G748" i="1" a="1"/>
  <c r="G748" i="1" s="1"/>
  <c r="I743" i="1"/>
  <c r="H743" i="1" a="1"/>
  <c r="H743" i="1" s="1"/>
  <c r="G743" i="1" a="1"/>
  <c r="G743" i="1" s="1"/>
  <c r="I738" i="1"/>
  <c r="H738" i="1" a="1"/>
  <c r="H738" i="1" s="1"/>
  <c r="G738" i="1" a="1"/>
  <c r="G738" i="1" s="1"/>
  <c r="I733" i="1"/>
  <c r="H733" i="1" a="1"/>
  <c r="H733" i="1" s="1"/>
  <c r="G733" i="1" a="1"/>
  <c r="G733" i="1" s="1"/>
  <c r="I728" i="1"/>
  <c r="H728" i="1" a="1"/>
  <c r="H728" i="1" s="1"/>
  <c r="G728" i="1" a="1"/>
  <c r="G728" i="1" s="1"/>
  <c r="I723" i="1"/>
  <c r="H723" i="1" a="1"/>
  <c r="H723" i="1" s="1"/>
  <c r="G723" i="1" a="1"/>
  <c r="G723" i="1" s="1"/>
  <c r="I718" i="1"/>
  <c r="H718" i="1" a="1"/>
  <c r="H718" i="1" s="1"/>
  <c r="G718" i="1" a="1"/>
  <c r="G718" i="1" s="1"/>
  <c r="I713" i="1"/>
  <c r="H713" i="1" a="1"/>
  <c r="H713" i="1" s="1"/>
  <c r="G713" i="1" a="1"/>
  <c r="G713" i="1" s="1"/>
  <c r="I708" i="1"/>
  <c r="H708" i="1" a="1"/>
  <c r="H708" i="1" s="1"/>
  <c r="G708" i="1" a="1"/>
  <c r="G708" i="1" s="1"/>
  <c r="I703" i="1"/>
  <c r="H703" i="1" a="1"/>
  <c r="H703" i="1" s="1"/>
  <c r="G703" i="1" a="1"/>
  <c r="G703" i="1" s="1"/>
  <c r="I698" i="1"/>
  <c r="H698" i="1" a="1"/>
  <c r="H698" i="1" s="1"/>
  <c r="G698" i="1" a="1"/>
  <c r="G698" i="1" s="1"/>
  <c r="I693" i="1"/>
  <c r="H693" i="1" a="1"/>
  <c r="H693" i="1" s="1"/>
  <c r="G693" i="1" a="1"/>
  <c r="G693" i="1" s="1"/>
  <c r="I688" i="1"/>
  <c r="H688" i="1" a="1"/>
  <c r="H688" i="1" s="1"/>
  <c r="G688" i="1" a="1"/>
  <c r="G688" i="1" s="1"/>
  <c r="I683" i="1"/>
  <c r="H683" i="1" a="1"/>
  <c r="H683" i="1" s="1"/>
  <c r="G683" i="1" a="1"/>
  <c r="G683" i="1" s="1"/>
  <c r="I678" i="1"/>
  <c r="H678" i="1" a="1"/>
  <c r="H678" i="1" s="1"/>
  <c r="G678" i="1" a="1"/>
  <c r="G678" i="1" s="1"/>
  <c r="I673" i="1"/>
  <c r="H673" i="1" a="1"/>
  <c r="H673" i="1" s="1"/>
  <c r="G673" i="1" a="1"/>
  <c r="G673" i="1" s="1"/>
  <c r="I668" i="1"/>
  <c r="H668" i="1" a="1"/>
  <c r="H668" i="1" s="1"/>
  <c r="G668" i="1" a="1"/>
  <c r="G668" i="1" s="1"/>
  <c r="I663" i="1"/>
  <c r="H663" i="1" a="1"/>
  <c r="H663" i="1" s="1"/>
  <c r="G663" i="1" a="1"/>
  <c r="G663" i="1" s="1"/>
  <c r="I658" i="1"/>
  <c r="H658" i="1" a="1"/>
  <c r="H658" i="1" s="1"/>
  <c r="G658" i="1" a="1"/>
  <c r="G658" i="1" s="1"/>
  <c r="I653" i="1"/>
  <c r="H653" i="1" a="1"/>
  <c r="H653" i="1" s="1"/>
  <c r="G653" i="1" a="1"/>
  <c r="G653" i="1" s="1"/>
  <c r="I648" i="1"/>
  <c r="H648" i="1" a="1"/>
  <c r="H648" i="1" s="1"/>
  <c r="G648" i="1" a="1"/>
  <c r="G648" i="1" s="1"/>
  <c r="I643" i="1"/>
  <c r="H643" i="1" a="1"/>
  <c r="H643" i="1" s="1"/>
  <c r="G643" i="1" a="1"/>
  <c r="G643" i="1" s="1"/>
  <c r="I638" i="1"/>
  <c r="H638" i="1" a="1"/>
  <c r="H638" i="1" s="1"/>
  <c r="G638" i="1" a="1"/>
  <c r="G638" i="1" s="1"/>
  <c r="I633" i="1"/>
  <c r="H633" i="1" a="1"/>
  <c r="H633" i="1" s="1"/>
  <c r="G633" i="1" a="1"/>
  <c r="G633" i="1" s="1"/>
  <c r="I628" i="1"/>
  <c r="H628" i="1" a="1"/>
  <c r="H628" i="1" s="1"/>
  <c r="G628" i="1" a="1"/>
  <c r="G628" i="1" s="1"/>
  <c r="I623" i="1"/>
  <c r="H623" i="1" a="1"/>
  <c r="H623" i="1" s="1"/>
  <c r="G623" i="1" a="1"/>
  <c r="G623" i="1" s="1"/>
  <c r="I618" i="1"/>
  <c r="H618" i="1" a="1"/>
  <c r="H618" i="1" s="1"/>
  <c r="G618" i="1" a="1"/>
  <c r="G618" i="1" s="1"/>
  <c r="I613" i="1"/>
  <c r="H613" i="1" a="1"/>
  <c r="H613" i="1" s="1"/>
  <c r="G613" i="1" a="1"/>
  <c r="G613" i="1" s="1"/>
  <c r="I608" i="1"/>
  <c r="H608" i="1" a="1"/>
  <c r="H608" i="1" s="1"/>
  <c r="G608" i="1" a="1"/>
  <c r="G608" i="1" s="1"/>
  <c r="I603" i="1"/>
  <c r="H603" i="1" a="1"/>
  <c r="H603" i="1" s="1"/>
  <c r="G603" i="1" a="1"/>
  <c r="G603" i="1" s="1"/>
  <c r="I598" i="1"/>
  <c r="H598" i="1" a="1"/>
  <c r="H598" i="1" s="1"/>
  <c r="G598" i="1" a="1"/>
  <c r="G598" i="1" s="1"/>
  <c r="I593" i="1"/>
  <c r="H593" i="1" a="1"/>
  <c r="H593" i="1" s="1"/>
  <c r="G593" i="1" a="1"/>
  <c r="G593" i="1" s="1"/>
  <c r="I588" i="1"/>
  <c r="H588" i="1" a="1"/>
  <c r="H588" i="1" s="1"/>
  <c r="G588" i="1" a="1"/>
  <c r="G588" i="1" s="1"/>
  <c r="I583" i="1"/>
  <c r="H583" i="1" a="1"/>
  <c r="H583" i="1" s="1"/>
  <c r="G583" i="1" a="1"/>
  <c r="G583" i="1" s="1"/>
  <c r="I578" i="1"/>
  <c r="H578" i="1" a="1"/>
  <c r="H578" i="1" s="1"/>
  <c r="G578" i="1" a="1"/>
  <c r="G578" i="1" s="1"/>
  <c r="I573" i="1"/>
  <c r="H573" i="1" a="1"/>
  <c r="H573" i="1" s="1"/>
  <c r="G573" i="1" a="1"/>
  <c r="G573" i="1" s="1"/>
  <c r="I568" i="1"/>
  <c r="H568" i="1" a="1"/>
  <c r="H568" i="1" s="1"/>
  <c r="G568" i="1" a="1"/>
  <c r="G568" i="1" s="1"/>
  <c r="I563" i="1"/>
  <c r="H563" i="1" a="1"/>
  <c r="H563" i="1" s="1"/>
  <c r="G563" i="1" a="1"/>
  <c r="G563" i="1" s="1"/>
  <c r="I558" i="1"/>
  <c r="H558" i="1" a="1"/>
  <c r="H558" i="1" s="1"/>
  <c r="G558" i="1" a="1"/>
  <c r="G558" i="1" s="1"/>
  <c r="I553" i="1"/>
  <c r="H553" i="1" a="1"/>
  <c r="H553" i="1" s="1"/>
  <c r="G553" i="1" a="1"/>
  <c r="G553" i="1" s="1"/>
  <c r="I548" i="1"/>
  <c r="H548" i="1" a="1"/>
  <c r="H548" i="1" s="1"/>
  <c r="G548" i="1" a="1"/>
  <c r="G548" i="1" s="1"/>
  <c r="I543" i="1"/>
  <c r="H543" i="1" a="1"/>
  <c r="H543" i="1" s="1"/>
  <c r="G543" i="1" a="1"/>
  <c r="G543" i="1" s="1"/>
  <c r="I538" i="1"/>
  <c r="H538" i="1" a="1"/>
  <c r="H538" i="1" s="1"/>
  <c r="G538" i="1" a="1"/>
  <c r="G538" i="1" s="1"/>
  <c r="I533" i="1"/>
  <c r="H533" i="1" a="1"/>
  <c r="H533" i="1" s="1"/>
  <c r="G533" i="1" a="1"/>
  <c r="G533" i="1" s="1"/>
  <c r="I528" i="1"/>
  <c r="H528" i="1" a="1"/>
  <c r="H528" i="1" s="1"/>
  <c r="G528" i="1" a="1"/>
  <c r="G528" i="1" s="1"/>
  <c r="I523" i="1"/>
  <c r="H523" i="1" a="1"/>
  <c r="H523" i="1" s="1"/>
  <c r="G523" i="1" a="1"/>
  <c r="G523" i="1" s="1"/>
  <c r="I518" i="1"/>
  <c r="H518" i="1" a="1"/>
  <c r="H518" i="1" s="1"/>
  <c r="G518" i="1" a="1"/>
  <c r="G518" i="1" s="1"/>
  <c r="I513" i="1"/>
  <c r="H513" i="1" a="1"/>
  <c r="H513" i="1" s="1"/>
  <c r="G513" i="1" a="1"/>
  <c r="G513" i="1" s="1"/>
  <c r="I508" i="1"/>
  <c r="H508" i="1" a="1"/>
  <c r="H508" i="1" s="1"/>
  <c r="G508" i="1" a="1"/>
  <c r="G508" i="1" s="1"/>
  <c r="I503" i="1"/>
  <c r="H503" i="1" a="1"/>
  <c r="H503" i="1" s="1"/>
  <c r="G503" i="1" a="1"/>
  <c r="G503" i="1" s="1"/>
  <c r="I498" i="1"/>
  <c r="H498" i="1" a="1"/>
  <c r="H498" i="1" s="1"/>
  <c r="G498" i="1" a="1"/>
  <c r="G498" i="1" s="1"/>
  <c r="I493" i="1"/>
  <c r="H493" i="1" a="1"/>
  <c r="H493" i="1" s="1"/>
  <c r="G493" i="1" a="1"/>
  <c r="G493" i="1" s="1"/>
  <c r="I488" i="1"/>
  <c r="H488" i="1" a="1"/>
  <c r="H488" i="1" s="1"/>
  <c r="G488" i="1" a="1"/>
  <c r="G488" i="1" s="1"/>
  <c r="I483" i="1"/>
  <c r="H483" i="1" a="1"/>
  <c r="H483" i="1" s="1"/>
  <c r="G483" i="1" a="1"/>
  <c r="G483" i="1" s="1"/>
  <c r="I478" i="1"/>
  <c r="H478" i="1" a="1"/>
  <c r="H478" i="1" s="1"/>
  <c r="G478" i="1" a="1"/>
  <c r="G478" i="1" s="1"/>
  <c r="I473" i="1"/>
  <c r="H473" i="1" a="1"/>
  <c r="H473" i="1" s="1"/>
  <c r="G473" i="1" a="1"/>
  <c r="G473" i="1" s="1"/>
  <c r="I468" i="1"/>
  <c r="H468" i="1" a="1"/>
  <c r="H468" i="1" s="1"/>
  <c r="G468" i="1" a="1"/>
  <c r="G468" i="1" s="1"/>
  <c r="I463" i="1"/>
  <c r="H463" i="1" a="1"/>
  <c r="H463" i="1" s="1"/>
  <c r="G463" i="1" a="1"/>
  <c r="G463" i="1" s="1"/>
  <c r="I458" i="1"/>
  <c r="H458" i="1" a="1"/>
  <c r="H458" i="1" s="1"/>
  <c r="G458" i="1" a="1"/>
  <c r="G458" i="1" s="1"/>
  <c r="I453" i="1"/>
  <c r="H453" i="1" a="1"/>
  <c r="H453" i="1" s="1"/>
  <c r="G453" i="1" a="1"/>
  <c r="G453" i="1" s="1"/>
  <c r="I448" i="1"/>
  <c r="H448" i="1" a="1"/>
  <c r="H448" i="1" s="1"/>
  <c r="G448" i="1" a="1"/>
  <c r="G448" i="1" s="1"/>
  <c r="I443" i="1"/>
  <c r="H443" i="1" a="1"/>
  <c r="H443" i="1" s="1"/>
  <c r="G443" i="1" a="1"/>
  <c r="G443" i="1" s="1"/>
  <c r="I438" i="1"/>
  <c r="H438" i="1" a="1"/>
  <c r="H438" i="1" s="1"/>
  <c r="G438" i="1" a="1"/>
  <c r="G438" i="1" s="1"/>
  <c r="I433" i="1"/>
  <c r="H433" i="1" a="1"/>
  <c r="H433" i="1" s="1"/>
  <c r="G433" i="1" a="1"/>
  <c r="G433" i="1" s="1"/>
  <c r="I428" i="1"/>
  <c r="H428" i="1" a="1"/>
  <c r="H428" i="1" s="1"/>
  <c r="G428" i="1" a="1"/>
  <c r="G428" i="1" s="1"/>
  <c r="I423" i="1"/>
  <c r="H423" i="1" a="1"/>
  <c r="H423" i="1" s="1"/>
  <c r="G423" i="1" a="1"/>
  <c r="G423" i="1" s="1"/>
  <c r="I418" i="1"/>
  <c r="H418" i="1" a="1"/>
  <c r="H418" i="1" s="1"/>
  <c r="G418" i="1" a="1"/>
  <c r="G418" i="1" s="1"/>
  <c r="I413" i="1"/>
  <c r="H413" i="1" a="1"/>
  <c r="H413" i="1" s="1"/>
  <c r="G413" i="1" a="1"/>
  <c r="G413" i="1" s="1"/>
  <c r="I408" i="1"/>
  <c r="H408" i="1" a="1"/>
  <c r="H408" i="1" s="1"/>
  <c r="G408" i="1" a="1"/>
  <c r="G408" i="1" s="1"/>
  <c r="I403" i="1"/>
  <c r="H403" i="1" a="1"/>
  <c r="H403" i="1" s="1"/>
  <c r="G403" i="1" a="1"/>
  <c r="G403" i="1" s="1"/>
  <c r="I398" i="1"/>
  <c r="H398" i="1" a="1"/>
  <c r="H398" i="1" s="1"/>
  <c r="G398" i="1" a="1"/>
  <c r="G398" i="1" s="1"/>
  <c r="I393" i="1"/>
  <c r="H393" i="1" a="1"/>
  <c r="H393" i="1" s="1"/>
  <c r="G393" i="1" a="1"/>
  <c r="G393" i="1" s="1"/>
  <c r="I388" i="1"/>
  <c r="H388" i="1" a="1"/>
  <c r="H388" i="1" s="1"/>
  <c r="G388" i="1" a="1"/>
  <c r="G388" i="1" s="1"/>
  <c r="I383" i="1"/>
  <c r="H383" i="1" a="1"/>
  <c r="H383" i="1" s="1"/>
  <c r="G383" i="1" a="1"/>
  <c r="G383" i="1" s="1"/>
  <c r="I378" i="1"/>
  <c r="H378" i="1" a="1"/>
  <c r="H378" i="1" s="1"/>
  <c r="G378" i="1" a="1"/>
  <c r="G378" i="1" s="1"/>
  <c r="I373" i="1"/>
  <c r="H373" i="1" a="1"/>
  <c r="H373" i="1" s="1"/>
  <c r="G373" i="1" a="1"/>
  <c r="G373" i="1" s="1"/>
  <c r="I368" i="1"/>
  <c r="H368" i="1" a="1"/>
  <c r="H368" i="1" s="1"/>
  <c r="G368" i="1" a="1"/>
  <c r="G368" i="1" s="1"/>
  <c r="I363" i="1"/>
  <c r="H363" i="1" a="1"/>
  <c r="H363" i="1" s="1"/>
  <c r="G363" i="1" a="1"/>
  <c r="G363" i="1" s="1"/>
  <c r="I358" i="1"/>
  <c r="H358" i="1" a="1"/>
  <c r="H358" i="1" s="1"/>
  <c r="G358" i="1" a="1"/>
  <c r="G358" i="1" s="1"/>
  <c r="I353" i="1"/>
  <c r="H353" i="1" a="1"/>
  <c r="H353" i="1" s="1"/>
  <c r="G353" i="1" a="1"/>
  <c r="G353" i="1" s="1"/>
  <c r="I348" i="1"/>
  <c r="H348" i="1" a="1"/>
  <c r="H348" i="1" s="1"/>
  <c r="G348" i="1" a="1"/>
  <c r="G348" i="1" s="1"/>
  <c r="I343" i="1"/>
  <c r="H343" i="1" a="1"/>
  <c r="H343" i="1" s="1"/>
  <c r="G343" i="1" a="1"/>
  <c r="G343" i="1" s="1"/>
  <c r="I338" i="1"/>
  <c r="H338" i="1" a="1"/>
  <c r="H338" i="1" s="1"/>
  <c r="G338" i="1" a="1"/>
  <c r="G338" i="1" s="1"/>
  <c r="I333" i="1"/>
  <c r="H333" i="1" a="1"/>
  <c r="H333" i="1" s="1"/>
  <c r="G333" i="1" a="1"/>
  <c r="G333" i="1" s="1"/>
  <c r="I328" i="1"/>
  <c r="H328" i="1" a="1"/>
  <c r="H328" i="1" s="1"/>
  <c r="G328" i="1" a="1"/>
  <c r="G328" i="1" s="1"/>
  <c r="I323" i="1"/>
  <c r="H323" i="1" a="1"/>
  <c r="H323" i="1" s="1"/>
  <c r="G323" i="1" a="1"/>
  <c r="G323" i="1" s="1"/>
  <c r="I318" i="1"/>
  <c r="H318" i="1" a="1"/>
  <c r="H318" i="1" s="1"/>
  <c r="G318" i="1" a="1"/>
  <c r="G318" i="1" s="1"/>
  <c r="I313" i="1"/>
  <c r="H313" i="1" a="1"/>
  <c r="H313" i="1" s="1"/>
  <c r="G313" i="1" a="1"/>
  <c r="G313" i="1" s="1"/>
  <c r="I308" i="1"/>
  <c r="H308" i="1" a="1"/>
  <c r="H308" i="1" s="1"/>
  <c r="G308" i="1" a="1"/>
  <c r="G308" i="1" s="1"/>
  <c r="I303" i="1"/>
  <c r="H303" i="1" a="1"/>
  <c r="H303" i="1" s="1"/>
  <c r="G303" i="1" a="1"/>
  <c r="G303" i="1" s="1"/>
  <c r="I298" i="1"/>
  <c r="H298" i="1" a="1"/>
  <c r="H298" i="1" s="1"/>
  <c r="G298" i="1" a="1"/>
  <c r="G298" i="1" s="1"/>
  <c r="I293" i="1"/>
  <c r="H293" i="1" a="1"/>
  <c r="H293" i="1" s="1"/>
  <c r="G293" i="1" a="1"/>
  <c r="G293" i="1" s="1"/>
  <c r="I288" i="1"/>
  <c r="H288" i="1" a="1"/>
  <c r="H288" i="1" s="1"/>
  <c r="G288" i="1" a="1"/>
  <c r="G288" i="1" s="1"/>
  <c r="I283" i="1"/>
  <c r="H283" i="1" a="1"/>
  <c r="H283" i="1" s="1"/>
  <c r="G283" i="1" a="1"/>
  <c r="G283" i="1" s="1"/>
  <c r="I278" i="1"/>
  <c r="H278" i="1" a="1"/>
  <c r="H278" i="1" s="1"/>
  <c r="G278" i="1" a="1"/>
  <c r="G278" i="1" s="1"/>
  <c r="I273" i="1"/>
  <c r="H273" i="1" a="1"/>
  <c r="H273" i="1" s="1"/>
  <c r="G273" i="1" a="1"/>
  <c r="G273" i="1" s="1"/>
  <c r="I268" i="1"/>
  <c r="H268" i="1" a="1"/>
  <c r="H268" i="1" s="1"/>
  <c r="G268" i="1" a="1"/>
  <c r="G268" i="1" s="1"/>
  <c r="I263" i="1"/>
  <c r="H263" i="1" a="1"/>
  <c r="H263" i="1" s="1"/>
  <c r="G263" i="1" a="1"/>
  <c r="G263" i="1" s="1"/>
  <c r="I258" i="1"/>
  <c r="H258" i="1" a="1"/>
  <c r="H258" i="1" s="1"/>
  <c r="G258" i="1" a="1"/>
  <c r="G258" i="1" s="1"/>
  <c r="I253" i="1"/>
  <c r="H253" i="1" a="1"/>
  <c r="H253" i="1" s="1"/>
  <c r="G253" i="1" a="1"/>
  <c r="G253" i="1" s="1"/>
  <c r="I248" i="1"/>
  <c r="H248" i="1" a="1"/>
  <c r="H248" i="1" s="1"/>
  <c r="G248" i="1" a="1"/>
  <c r="G248" i="1" s="1"/>
  <c r="I243" i="1"/>
  <c r="H243" i="1" a="1"/>
  <c r="H243" i="1" s="1"/>
  <c r="G243" i="1" a="1"/>
  <c r="G243" i="1" s="1"/>
  <c r="I238" i="1"/>
  <c r="H238" i="1" a="1"/>
  <c r="H238" i="1" s="1"/>
  <c r="G238" i="1" a="1"/>
  <c r="G238" i="1" s="1"/>
  <c r="I233" i="1"/>
  <c r="H233" i="1" a="1"/>
  <c r="H233" i="1" s="1"/>
  <c r="G233" i="1" a="1"/>
  <c r="G233" i="1" s="1"/>
  <c r="I228" i="1"/>
  <c r="H228" i="1" a="1"/>
  <c r="H228" i="1" s="1"/>
  <c r="G228" i="1" a="1"/>
  <c r="G228" i="1" s="1"/>
  <c r="I223" i="1"/>
  <c r="H223" i="1" a="1"/>
  <c r="H223" i="1" s="1"/>
  <c r="G223" i="1" a="1"/>
  <c r="G223" i="1" s="1"/>
  <c r="I218" i="1"/>
  <c r="H218" i="1" a="1"/>
  <c r="H218" i="1" s="1"/>
  <c r="G218" i="1" a="1"/>
  <c r="G218" i="1" s="1"/>
  <c r="I213" i="1"/>
  <c r="H213" i="1" a="1"/>
  <c r="H213" i="1" s="1"/>
  <c r="G213" i="1" a="1"/>
  <c r="G213" i="1" s="1"/>
  <c r="I208" i="1"/>
  <c r="H208" i="1" a="1"/>
  <c r="H208" i="1" s="1"/>
  <c r="G208" i="1" a="1"/>
  <c r="G208" i="1" s="1"/>
  <c r="I203" i="1"/>
  <c r="H203" i="1" a="1"/>
  <c r="H203" i="1" s="1"/>
  <c r="G203" i="1" a="1"/>
  <c r="G203" i="1" s="1"/>
  <c r="I198" i="1"/>
  <c r="H198" i="1" a="1"/>
  <c r="H198" i="1" s="1"/>
  <c r="G198" i="1" a="1"/>
  <c r="G198" i="1" s="1"/>
  <c r="I193" i="1"/>
  <c r="H193" i="1" a="1"/>
  <c r="H193" i="1" s="1"/>
  <c r="G193" i="1" a="1"/>
  <c r="G193" i="1" s="1"/>
  <c r="I188" i="1"/>
  <c r="H188" i="1" a="1"/>
  <c r="H188" i="1" s="1"/>
  <c r="G188" i="1" a="1"/>
  <c r="G188" i="1" s="1"/>
  <c r="I183" i="1"/>
  <c r="H183" i="1" a="1"/>
  <c r="H183" i="1" s="1"/>
  <c r="G183" i="1" a="1"/>
  <c r="G183" i="1" s="1"/>
  <c r="I178" i="1"/>
  <c r="H178" i="1" a="1"/>
  <c r="H178" i="1" s="1"/>
  <c r="G178" i="1" a="1"/>
  <c r="G178" i="1" s="1"/>
  <c r="I173" i="1"/>
  <c r="H173" i="1" a="1"/>
  <c r="H173" i="1" s="1"/>
  <c r="G173" i="1" a="1"/>
  <c r="G173" i="1" s="1"/>
  <c r="I168" i="1"/>
  <c r="H168" i="1" a="1"/>
  <c r="H168" i="1" s="1"/>
  <c r="G168" i="1" a="1"/>
  <c r="G168" i="1" s="1"/>
  <c r="I163" i="1"/>
  <c r="H163" i="1" a="1"/>
  <c r="H163" i="1" s="1"/>
  <c r="G163" i="1" a="1"/>
  <c r="G163" i="1" s="1"/>
  <c r="I158" i="1"/>
  <c r="H158" i="1" a="1"/>
  <c r="H158" i="1" s="1"/>
  <c r="G158" i="1" a="1"/>
  <c r="G158" i="1" s="1"/>
  <c r="I153" i="1"/>
  <c r="H153" i="1" a="1"/>
  <c r="H153" i="1" s="1"/>
  <c r="G153" i="1" a="1"/>
  <c r="G153" i="1" s="1"/>
  <c r="I148" i="1"/>
  <c r="H148" i="1" a="1"/>
  <c r="H148" i="1" s="1"/>
  <c r="G148" i="1" a="1"/>
  <c r="G148" i="1" s="1"/>
  <c r="I143" i="1"/>
  <c r="H143" i="1" a="1"/>
  <c r="H143" i="1" s="1"/>
  <c r="G143" i="1" a="1"/>
  <c r="G143" i="1" s="1"/>
  <c r="I138" i="1"/>
  <c r="H138" i="1" a="1"/>
  <c r="H138" i="1" s="1"/>
  <c r="G138" i="1" a="1"/>
  <c r="G138" i="1" s="1"/>
  <c r="I133" i="1"/>
  <c r="H133" i="1" a="1"/>
  <c r="H133" i="1" s="1"/>
  <c r="G133" i="1" a="1"/>
  <c r="G133" i="1" s="1"/>
  <c r="I128" i="1"/>
  <c r="H128" i="1" a="1"/>
  <c r="H128" i="1" s="1"/>
  <c r="G128" i="1" a="1"/>
  <c r="G128" i="1" s="1"/>
  <c r="I123" i="1"/>
  <c r="H123" i="1" a="1"/>
  <c r="H123" i="1" s="1"/>
  <c r="G123" i="1" a="1"/>
  <c r="G123" i="1" s="1"/>
  <c r="I118" i="1"/>
  <c r="H118" i="1" a="1"/>
  <c r="H118" i="1" s="1"/>
  <c r="G118" i="1" a="1"/>
  <c r="G118" i="1" s="1"/>
  <c r="I113" i="1"/>
  <c r="H113" i="1" a="1"/>
  <c r="H113" i="1" s="1"/>
  <c r="G113" i="1" a="1"/>
  <c r="G113" i="1" s="1"/>
  <c r="I108" i="1"/>
  <c r="H108" i="1" a="1"/>
  <c r="H108" i="1" s="1"/>
  <c r="G108" i="1" a="1"/>
  <c r="G108" i="1" s="1"/>
  <c r="I103" i="1"/>
  <c r="H103" i="1" a="1"/>
  <c r="H103" i="1" s="1"/>
  <c r="G103" i="1" a="1"/>
  <c r="G103" i="1" s="1"/>
  <c r="I98" i="1"/>
  <c r="H98" i="1" a="1"/>
  <c r="H98" i="1" s="1"/>
  <c r="G98" i="1" a="1"/>
  <c r="G98" i="1" s="1"/>
  <c r="I93" i="1"/>
  <c r="H93" i="1" a="1"/>
  <c r="H93" i="1" s="1"/>
  <c r="G93" i="1" a="1"/>
  <c r="G93" i="1" s="1"/>
  <c r="I88" i="1"/>
  <c r="H88" i="1" a="1"/>
  <c r="H88" i="1" s="1"/>
  <c r="G88" i="1" a="1"/>
  <c r="G88" i="1" s="1"/>
  <c r="I83" i="1"/>
  <c r="H83" i="1" a="1"/>
  <c r="H83" i="1" s="1"/>
  <c r="G83" i="1" a="1"/>
  <c r="G83" i="1" s="1"/>
  <c r="I78" i="1"/>
  <c r="H78" i="1" a="1"/>
  <c r="H78" i="1" s="1"/>
  <c r="G78" i="1" a="1"/>
  <c r="G78" i="1" s="1"/>
  <c r="I73" i="1"/>
  <c r="H73" i="1" a="1"/>
  <c r="H73" i="1" s="1"/>
  <c r="G73" i="1" a="1"/>
  <c r="G73" i="1" s="1"/>
  <c r="I68" i="1"/>
  <c r="H68" i="1" a="1"/>
  <c r="H68" i="1" s="1"/>
  <c r="G68" i="1" a="1"/>
  <c r="G68" i="1" s="1"/>
  <c r="I63" i="1"/>
  <c r="H63" i="1" a="1"/>
  <c r="H63" i="1" s="1"/>
  <c r="G63" i="1" a="1"/>
  <c r="G63" i="1" s="1"/>
  <c r="I58" i="1"/>
  <c r="H58" i="1" a="1"/>
  <c r="H58" i="1" s="1"/>
  <c r="G58" i="1" a="1"/>
  <c r="G58" i="1" s="1"/>
  <c r="I53" i="1"/>
  <c r="H53" i="1" a="1"/>
  <c r="H53" i="1" s="1"/>
  <c r="G53" i="1" a="1"/>
  <c r="G53" i="1" s="1"/>
  <c r="I48" i="1"/>
  <c r="H48" i="1" a="1"/>
  <c r="H48" i="1" s="1"/>
  <c r="G48" i="1" a="1"/>
  <c r="G48" i="1" s="1"/>
  <c r="I43" i="1"/>
  <c r="H43" i="1" a="1"/>
  <c r="H43" i="1" s="1"/>
  <c r="G43" i="1" a="1"/>
  <c r="G43" i="1" s="1"/>
  <c r="I38" i="1"/>
  <c r="H38" i="1" a="1"/>
  <c r="H38" i="1" s="1"/>
  <c r="G38" i="1" a="1"/>
  <c r="G38" i="1" s="1"/>
  <c r="I33" i="1"/>
  <c r="H33" i="1" a="1"/>
  <c r="H33" i="1" s="1"/>
  <c r="G33" i="1" a="1"/>
  <c r="G33" i="1" s="1"/>
  <c r="I28" i="1"/>
  <c r="H28" i="1" a="1"/>
  <c r="H28" i="1" s="1"/>
  <c r="G28" i="1" a="1"/>
  <c r="G28" i="1" s="1"/>
  <c r="I23" i="1"/>
  <c r="H23" i="1" a="1"/>
  <c r="H23" i="1" s="1"/>
  <c r="G23" i="1" a="1"/>
  <c r="G23" i="1" s="1"/>
  <c r="I18" i="1"/>
  <c r="H18" i="1" a="1"/>
  <c r="H18" i="1" s="1"/>
  <c r="G18" i="1" a="1"/>
  <c r="G18" i="1" s="1"/>
  <c r="I13" i="1"/>
  <c r="H13" i="1" a="1"/>
  <c r="H13" i="1" s="1"/>
  <c r="G13" i="1" a="1"/>
  <c r="G13" i="1" s="1"/>
  <c r="I8" i="1"/>
  <c r="H8" i="1" a="1"/>
  <c r="H8" i="1" s="1"/>
  <c r="G8" i="1" a="1"/>
  <c r="G8" i="1" s="1"/>
  <c r="I3" i="1"/>
  <c r="H3" i="1" a="1"/>
  <c r="H3" i="1" s="1"/>
  <c r="G3" i="1" a="1"/>
  <c r="G3" i="1" s="1"/>
  <c r="I1229" i="1"/>
  <c r="H1229" i="1" a="1"/>
  <c r="H1229" i="1" s="1"/>
  <c r="G1229" i="1" a="1"/>
  <c r="G1229" i="1" s="1"/>
  <c r="I1224" i="1"/>
  <c r="H1224" i="1" a="1"/>
  <c r="H1224" i="1" s="1"/>
  <c r="G1224" i="1" a="1"/>
  <c r="G1224" i="1" s="1"/>
  <c r="I1219" i="1"/>
  <c r="H1219" i="1" a="1"/>
  <c r="H1219" i="1" s="1"/>
  <c r="G1219" i="1" a="1"/>
  <c r="G1219" i="1" s="1"/>
  <c r="I1214" i="1"/>
  <c r="H1214" i="1" a="1"/>
  <c r="H1214" i="1" s="1"/>
  <c r="G1214" i="1" a="1"/>
  <c r="G1214" i="1" s="1"/>
  <c r="I1209" i="1"/>
  <c r="H1209" i="1" a="1"/>
  <c r="H1209" i="1" s="1"/>
  <c r="G1209" i="1" a="1"/>
  <c r="G1209" i="1" s="1"/>
  <c r="I1204" i="1"/>
  <c r="H1204" i="1" a="1"/>
  <c r="H1204" i="1" s="1"/>
  <c r="G1204" i="1" a="1"/>
  <c r="G1204" i="1" s="1"/>
  <c r="I1199" i="1"/>
  <c r="H1199" i="1" a="1"/>
  <c r="H1199" i="1" s="1"/>
  <c r="G1199" i="1" a="1"/>
  <c r="G1199" i="1" s="1"/>
  <c r="I1194" i="1"/>
  <c r="H1194" i="1" a="1"/>
  <c r="H1194" i="1" s="1"/>
  <c r="G1194" i="1" a="1"/>
  <c r="G1194" i="1" s="1"/>
  <c r="I1189" i="1"/>
  <c r="H1189" i="1" a="1"/>
  <c r="H1189" i="1" s="1"/>
  <c r="G1189" i="1" a="1"/>
  <c r="G1189" i="1" s="1"/>
  <c r="I1184" i="1"/>
  <c r="H1184" i="1" a="1"/>
  <c r="H1184" i="1" s="1"/>
  <c r="G1184" i="1" a="1"/>
  <c r="G1184" i="1" s="1"/>
  <c r="I1179" i="1"/>
  <c r="H1179" i="1" a="1"/>
  <c r="H1179" i="1" s="1"/>
  <c r="G1179" i="1" a="1"/>
  <c r="G1179" i="1" s="1"/>
  <c r="I1174" i="1"/>
  <c r="H1174" i="1" a="1"/>
  <c r="H1174" i="1" s="1"/>
  <c r="G1174" i="1" a="1"/>
  <c r="G1174" i="1" s="1"/>
  <c r="I1169" i="1"/>
  <c r="H1169" i="1" a="1"/>
  <c r="H1169" i="1" s="1"/>
  <c r="G1169" i="1" a="1"/>
  <c r="G1169" i="1" s="1"/>
  <c r="I1164" i="1"/>
  <c r="H1164" i="1" a="1"/>
  <c r="H1164" i="1" s="1"/>
  <c r="G1164" i="1" a="1"/>
  <c r="G1164" i="1" s="1"/>
  <c r="I1159" i="1"/>
  <c r="H1159" i="1" a="1"/>
  <c r="H1159" i="1" s="1"/>
  <c r="G1159" i="1" a="1"/>
  <c r="G1159" i="1" s="1"/>
  <c r="I1154" i="1"/>
  <c r="H1154" i="1" a="1"/>
  <c r="H1154" i="1" s="1"/>
  <c r="G1154" i="1" a="1"/>
  <c r="G1154" i="1" s="1"/>
  <c r="I1149" i="1"/>
  <c r="H1149" i="1" a="1"/>
  <c r="H1149" i="1" s="1"/>
  <c r="G1149" i="1" a="1"/>
  <c r="G1149" i="1" s="1"/>
  <c r="I1144" i="1"/>
  <c r="H1144" i="1" a="1"/>
  <c r="H1144" i="1" s="1"/>
  <c r="G1144" i="1" a="1"/>
  <c r="G1144" i="1" s="1"/>
  <c r="I1139" i="1"/>
  <c r="H1139" i="1" a="1"/>
  <c r="H1139" i="1" s="1"/>
  <c r="G1139" i="1" a="1"/>
  <c r="G1139" i="1" s="1"/>
  <c r="I1134" i="1"/>
  <c r="H1134" i="1" a="1"/>
  <c r="H1134" i="1" s="1"/>
  <c r="G1134" i="1" a="1"/>
  <c r="G1134" i="1" s="1"/>
  <c r="I1129" i="1"/>
  <c r="H1129" i="1" a="1"/>
  <c r="H1129" i="1" s="1"/>
  <c r="G1129" i="1" a="1"/>
  <c r="G1129" i="1" s="1"/>
  <c r="I1124" i="1"/>
  <c r="H1124" i="1" a="1"/>
  <c r="H1124" i="1" s="1"/>
  <c r="G1124" i="1" a="1"/>
  <c r="G1124" i="1" s="1"/>
  <c r="I1119" i="1"/>
  <c r="H1119" i="1" a="1"/>
  <c r="H1119" i="1" s="1"/>
  <c r="G1119" i="1" a="1"/>
  <c r="G1119" i="1" s="1"/>
  <c r="I1114" i="1"/>
  <c r="H1114" i="1" a="1"/>
  <c r="H1114" i="1" s="1"/>
  <c r="G1114" i="1" a="1"/>
  <c r="G1114" i="1" s="1"/>
  <c r="I1109" i="1"/>
  <c r="H1109" i="1" a="1"/>
  <c r="H1109" i="1" s="1"/>
  <c r="G1109" i="1" a="1"/>
  <c r="G1109" i="1" s="1"/>
  <c r="I1104" i="1"/>
  <c r="H1104" i="1" a="1"/>
  <c r="H1104" i="1" s="1"/>
  <c r="G1104" i="1" a="1"/>
  <c r="G1104" i="1" s="1"/>
  <c r="I1099" i="1"/>
  <c r="H1099" i="1" a="1"/>
  <c r="H1099" i="1" s="1"/>
  <c r="G1099" i="1" a="1"/>
  <c r="G1099" i="1" s="1"/>
  <c r="I1094" i="1"/>
  <c r="H1094" i="1" a="1"/>
  <c r="H1094" i="1" s="1"/>
  <c r="G1094" i="1" a="1"/>
  <c r="G1094" i="1" s="1"/>
  <c r="I1089" i="1"/>
  <c r="H1089" i="1" a="1"/>
  <c r="H1089" i="1" s="1"/>
  <c r="G1089" i="1" a="1"/>
  <c r="G1089" i="1" s="1"/>
  <c r="I1084" i="1"/>
  <c r="H1084" i="1" a="1"/>
  <c r="H1084" i="1" s="1"/>
  <c r="G1084" i="1" a="1"/>
  <c r="G1084" i="1" s="1"/>
  <c r="I1079" i="1"/>
  <c r="H1079" i="1" a="1"/>
  <c r="H1079" i="1" s="1"/>
  <c r="G1079" i="1" a="1"/>
  <c r="G1079" i="1" s="1"/>
  <c r="I1074" i="1"/>
  <c r="H1074" i="1" a="1"/>
  <c r="H1074" i="1" s="1"/>
  <c r="G1074" i="1" a="1"/>
  <c r="G1074" i="1" s="1"/>
  <c r="I1069" i="1"/>
  <c r="H1069" i="1" a="1"/>
  <c r="H1069" i="1" s="1"/>
  <c r="G1069" i="1" a="1"/>
  <c r="G1069" i="1" s="1"/>
  <c r="I1064" i="1"/>
  <c r="H1064" i="1" a="1"/>
  <c r="H1064" i="1" s="1"/>
  <c r="G1064" i="1" a="1"/>
  <c r="G1064" i="1" s="1"/>
  <c r="I1059" i="1"/>
  <c r="H1059" i="1" a="1"/>
  <c r="H1059" i="1" s="1"/>
  <c r="G1059" i="1" a="1"/>
  <c r="G1059" i="1" s="1"/>
  <c r="I1054" i="1"/>
  <c r="H1054" i="1" a="1"/>
  <c r="H1054" i="1" s="1"/>
  <c r="G1054" i="1" a="1"/>
  <c r="G1054" i="1" s="1"/>
  <c r="I1049" i="1"/>
  <c r="H1049" i="1" a="1"/>
  <c r="H1049" i="1" s="1"/>
  <c r="G1049" i="1" a="1"/>
  <c r="G1049" i="1" s="1"/>
  <c r="I1044" i="1"/>
  <c r="H1044" i="1" a="1"/>
  <c r="H1044" i="1" s="1"/>
  <c r="G1044" i="1" a="1"/>
  <c r="G1044" i="1" s="1"/>
  <c r="I1039" i="1"/>
  <c r="H1039" i="1" a="1"/>
  <c r="H1039" i="1" s="1"/>
  <c r="G1039" i="1" a="1"/>
  <c r="G1039" i="1" s="1"/>
  <c r="I1034" i="1"/>
  <c r="H1034" i="1" a="1"/>
  <c r="H1034" i="1" s="1"/>
  <c r="G1034" i="1" a="1"/>
  <c r="G1034" i="1" s="1"/>
  <c r="I1029" i="1"/>
  <c r="H1029" i="1" a="1"/>
  <c r="H1029" i="1" s="1"/>
  <c r="G1029" i="1" a="1"/>
  <c r="G1029" i="1" s="1"/>
  <c r="I1024" i="1"/>
  <c r="H1024" i="1" a="1"/>
  <c r="H1024" i="1" s="1"/>
  <c r="G1024" i="1" a="1"/>
  <c r="G1024" i="1" s="1"/>
  <c r="I1019" i="1"/>
  <c r="H1019" i="1" a="1"/>
  <c r="H1019" i="1" s="1"/>
  <c r="G1019" i="1" a="1"/>
  <c r="G1019" i="1" s="1"/>
  <c r="I1014" i="1"/>
  <c r="H1014" i="1" a="1"/>
  <c r="H1014" i="1" s="1"/>
  <c r="G1014" i="1" a="1"/>
  <c r="G1014" i="1" s="1"/>
  <c r="I1009" i="1"/>
  <c r="H1009" i="1" a="1"/>
  <c r="H1009" i="1" s="1"/>
  <c r="G1009" i="1" a="1"/>
  <c r="G1009" i="1" s="1"/>
  <c r="I1004" i="1"/>
  <c r="H1004" i="1" a="1"/>
  <c r="H1004" i="1" s="1"/>
  <c r="G1004" i="1" a="1"/>
  <c r="G1004" i="1" s="1"/>
  <c r="I999" i="1"/>
  <c r="H999" i="1" a="1"/>
  <c r="H999" i="1" s="1"/>
  <c r="G999" i="1" a="1"/>
  <c r="G999" i="1" s="1"/>
  <c r="I994" i="1"/>
  <c r="H994" i="1" a="1"/>
  <c r="H994" i="1" s="1"/>
  <c r="G994" i="1" a="1"/>
  <c r="G994" i="1" s="1"/>
  <c r="I989" i="1"/>
  <c r="H989" i="1" a="1"/>
  <c r="H989" i="1" s="1"/>
  <c r="G989" i="1" a="1"/>
  <c r="G989" i="1" s="1"/>
  <c r="I984" i="1"/>
  <c r="H984" i="1" a="1"/>
  <c r="H984" i="1" s="1"/>
  <c r="G984" i="1" a="1"/>
  <c r="G984" i="1" s="1"/>
  <c r="I979" i="1"/>
  <c r="H979" i="1" a="1"/>
  <c r="H979" i="1" s="1"/>
  <c r="G979" i="1" a="1"/>
  <c r="G979" i="1" s="1"/>
  <c r="I974" i="1"/>
  <c r="H974" i="1" a="1"/>
  <c r="H974" i="1" s="1"/>
  <c r="G974" i="1" a="1"/>
  <c r="G974" i="1" s="1"/>
  <c r="I969" i="1"/>
  <c r="H969" i="1" a="1"/>
  <c r="H969" i="1" s="1"/>
  <c r="G969" i="1" a="1"/>
  <c r="G969" i="1" s="1"/>
  <c r="I964" i="1"/>
  <c r="H964" i="1" a="1"/>
  <c r="H964" i="1" s="1"/>
  <c r="G964" i="1" a="1"/>
  <c r="G964" i="1" s="1"/>
  <c r="I959" i="1"/>
  <c r="H959" i="1" a="1"/>
  <c r="H959" i="1" s="1"/>
  <c r="G959" i="1" a="1"/>
  <c r="G959" i="1" s="1"/>
  <c r="I954" i="1"/>
  <c r="H954" i="1" a="1"/>
  <c r="H954" i="1" s="1"/>
  <c r="G954" i="1" a="1"/>
  <c r="G954" i="1" s="1"/>
  <c r="I949" i="1"/>
  <c r="H949" i="1" a="1"/>
  <c r="H949" i="1" s="1"/>
  <c r="G949" i="1" a="1"/>
  <c r="G949" i="1" s="1"/>
  <c r="I944" i="1"/>
  <c r="H944" i="1" a="1"/>
  <c r="H944" i="1" s="1"/>
  <c r="G944" i="1" a="1"/>
  <c r="G944" i="1" s="1"/>
  <c r="I939" i="1"/>
  <c r="H939" i="1" a="1"/>
  <c r="H939" i="1" s="1"/>
  <c r="G939" i="1" a="1"/>
  <c r="G939" i="1" s="1"/>
  <c r="I934" i="1"/>
  <c r="H934" i="1" a="1"/>
  <c r="H934" i="1" s="1"/>
  <c r="G934" i="1" a="1"/>
  <c r="G934" i="1" s="1"/>
  <c r="I929" i="1"/>
  <c r="H929" i="1" a="1"/>
  <c r="H929" i="1" s="1"/>
  <c r="G929" i="1" a="1"/>
  <c r="G929" i="1" s="1"/>
  <c r="I924" i="1"/>
  <c r="H924" i="1" a="1"/>
  <c r="H924" i="1" s="1"/>
  <c r="G924" i="1" a="1"/>
  <c r="G924" i="1" s="1"/>
  <c r="I919" i="1"/>
  <c r="H919" i="1" a="1"/>
  <c r="H919" i="1" s="1"/>
  <c r="G919" i="1" a="1"/>
  <c r="G919" i="1" s="1"/>
  <c r="I914" i="1"/>
  <c r="H914" i="1" a="1"/>
  <c r="H914" i="1" s="1"/>
  <c r="G914" i="1" a="1"/>
  <c r="G914" i="1" s="1"/>
  <c r="I909" i="1"/>
  <c r="H909" i="1" a="1"/>
  <c r="H909" i="1" s="1"/>
  <c r="G909" i="1" a="1"/>
  <c r="G909" i="1" s="1"/>
  <c r="I904" i="1"/>
  <c r="H904" i="1" a="1"/>
  <c r="H904" i="1" s="1"/>
  <c r="G904" i="1" a="1"/>
  <c r="G904" i="1" s="1"/>
  <c r="I899" i="1"/>
  <c r="H899" i="1" a="1"/>
  <c r="H899" i="1" s="1"/>
  <c r="G899" i="1" a="1"/>
  <c r="G899" i="1" s="1"/>
  <c r="I894" i="1"/>
  <c r="H894" i="1" a="1"/>
  <c r="H894" i="1" s="1"/>
  <c r="G894" i="1" a="1"/>
  <c r="G894" i="1" s="1"/>
  <c r="I889" i="1"/>
  <c r="H889" i="1" a="1"/>
  <c r="H889" i="1" s="1"/>
  <c r="G889" i="1" a="1"/>
  <c r="G889" i="1" s="1"/>
  <c r="I884" i="1"/>
  <c r="H884" i="1" a="1"/>
  <c r="H884" i="1" s="1"/>
  <c r="G884" i="1" a="1"/>
  <c r="G884" i="1" s="1"/>
  <c r="I879" i="1"/>
  <c r="H879" i="1" a="1"/>
  <c r="H879" i="1" s="1"/>
  <c r="G879" i="1" a="1"/>
  <c r="G879" i="1" s="1"/>
  <c r="I874" i="1"/>
  <c r="H874" i="1" a="1"/>
  <c r="H874" i="1" s="1"/>
  <c r="G874" i="1" a="1"/>
  <c r="G874" i="1" s="1"/>
  <c r="I869" i="1"/>
  <c r="H869" i="1" a="1"/>
  <c r="H869" i="1" s="1"/>
  <c r="G869" i="1" a="1"/>
  <c r="G869" i="1" s="1"/>
  <c r="I864" i="1"/>
  <c r="H864" i="1" a="1"/>
  <c r="H864" i="1" s="1"/>
  <c r="G864" i="1" a="1"/>
  <c r="G864" i="1" s="1"/>
  <c r="I859" i="1"/>
  <c r="H859" i="1" a="1"/>
  <c r="H859" i="1" s="1"/>
  <c r="G859" i="1" a="1"/>
  <c r="G859" i="1" s="1"/>
  <c r="I854" i="1"/>
  <c r="H854" i="1" a="1"/>
  <c r="H854" i="1" s="1"/>
  <c r="G854" i="1" a="1"/>
  <c r="G854" i="1" s="1"/>
  <c r="I849" i="1"/>
  <c r="H849" i="1" a="1"/>
  <c r="H849" i="1" s="1"/>
  <c r="G849" i="1" a="1"/>
  <c r="G849" i="1" s="1"/>
  <c r="I844" i="1"/>
  <c r="H844" i="1" a="1"/>
  <c r="H844" i="1" s="1"/>
  <c r="G844" i="1" a="1"/>
  <c r="G844" i="1" s="1"/>
  <c r="I839" i="1"/>
  <c r="H839" i="1" a="1"/>
  <c r="H839" i="1" s="1"/>
  <c r="G839" i="1" a="1"/>
  <c r="G839" i="1" s="1"/>
  <c r="I834" i="1"/>
  <c r="H834" i="1" a="1"/>
  <c r="H834" i="1" s="1"/>
  <c r="G834" i="1" a="1"/>
  <c r="G834" i="1" s="1"/>
  <c r="I829" i="1"/>
  <c r="H829" i="1" a="1"/>
  <c r="H829" i="1" s="1"/>
  <c r="G829" i="1" a="1"/>
  <c r="G829" i="1" s="1"/>
  <c r="I824" i="1"/>
  <c r="H824" i="1" a="1"/>
  <c r="H824" i="1" s="1"/>
  <c r="G824" i="1" a="1"/>
  <c r="G824" i="1" s="1"/>
  <c r="I819" i="1"/>
  <c r="H819" i="1" a="1"/>
  <c r="H819" i="1" s="1"/>
  <c r="G819" i="1" a="1"/>
  <c r="G819" i="1" s="1"/>
  <c r="I814" i="1"/>
  <c r="H814" i="1" a="1"/>
  <c r="H814" i="1" s="1"/>
  <c r="G814" i="1" a="1"/>
  <c r="G814" i="1" s="1"/>
  <c r="I809" i="1"/>
  <c r="H809" i="1" a="1"/>
  <c r="H809" i="1" s="1"/>
  <c r="G809" i="1" a="1"/>
  <c r="G809" i="1" s="1"/>
  <c r="I804" i="1"/>
  <c r="H804" i="1" a="1"/>
  <c r="H804" i="1" s="1"/>
  <c r="G804" i="1" a="1"/>
  <c r="G804" i="1" s="1"/>
  <c r="I799" i="1"/>
  <c r="H799" i="1" a="1"/>
  <c r="H799" i="1" s="1"/>
  <c r="G799" i="1" a="1"/>
  <c r="G799" i="1" s="1"/>
  <c r="I794" i="1"/>
  <c r="H794" i="1" a="1"/>
  <c r="H794" i="1" s="1"/>
  <c r="G794" i="1" a="1"/>
  <c r="G794" i="1" s="1"/>
  <c r="I789" i="1"/>
  <c r="H789" i="1" a="1"/>
  <c r="H789" i="1" s="1"/>
  <c r="G789" i="1" a="1"/>
  <c r="G789" i="1" s="1"/>
  <c r="I784" i="1"/>
  <c r="H784" i="1" a="1"/>
  <c r="H784" i="1" s="1"/>
  <c r="G784" i="1" a="1"/>
  <c r="G784" i="1" s="1"/>
  <c r="I779" i="1"/>
  <c r="H779" i="1" a="1"/>
  <c r="H779" i="1" s="1"/>
  <c r="G779" i="1" a="1"/>
  <c r="G779" i="1" s="1"/>
  <c r="I774" i="1"/>
  <c r="H774" i="1" a="1"/>
  <c r="H774" i="1" s="1"/>
  <c r="G774" i="1" a="1"/>
  <c r="G774" i="1" s="1"/>
  <c r="I769" i="1"/>
  <c r="H769" i="1" a="1"/>
  <c r="H769" i="1" s="1"/>
  <c r="G769" i="1" a="1"/>
  <c r="G769" i="1" s="1"/>
  <c r="I764" i="1"/>
  <c r="H764" i="1" a="1"/>
  <c r="H764" i="1" s="1"/>
  <c r="G764" i="1" a="1"/>
  <c r="G764" i="1" s="1"/>
  <c r="I759" i="1"/>
  <c r="H759" i="1" a="1"/>
  <c r="H759" i="1" s="1"/>
  <c r="G759" i="1" a="1"/>
  <c r="G759" i="1" s="1"/>
  <c r="I754" i="1"/>
  <c r="H754" i="1" a="1"/>
  <c r="H754" i="1" s="1"/>
  <c r="G754" i="1" a="1"/>
  <c r="G754" i="1" s="1"/>
  <c r="I749" i="1"/>
  <c r="H749" i="1" a="1"/>
  <c r="H749" i="1" s="1"/>
  <c r="G749" i="1" a="1"/>
  <c r="G749" i="1" s="1"/>
  <c r="I744" i="1"/>
  <c r="H744" i="1" a="1"/>
  <c r="H744" i="1" s="1"/>
  <c r="G744" i="1" a="1"/>
  <c r="G744" i="1" s="1"/>
  <c r="I739" i="1"/>
  <c r="H739" i="1" a="1"/>
  <c r="H739" i="1" s="1"/>
  <c r="G739" i="1" a="1"/>
  <c r="G739" i="1" s="1"/>
  <c r="I734" i="1"/>
  <c r="H734" i="1" a="1"/>
  <c r="H734" i="1" s="1"/>
  <c r="G734" i="1" a="1"/>
  <c r="G734" i="1" s="1"/>
  <c r="I729" i="1"/>
  <c r="H729" i="1" a="1"/>
  <c r="H729" i="1" s="1"/>
  <c r="G729" i="1" a="1"/>
  <c r="G729" i="1" s="1"/>
  <c r="I724" i="1"/>
  <c r="H724" i="1" a="1"/>
  <c r="H724" i="1" s="1"/>
  <c r="G724" i="1" a="1"/>
  <c r="G724" i="1" s="1"/>
  <c r="I719" i="1"/>
  <c r="H719" i="1" a="1"/>
  <c r="H719" i="1" s="1"/>
  <c r="G719" i="1" a="1"/>
  <c r="G719" i="1" s="1"/>
  <c r="I714" i="1"/>
  <c r="H714" i="1" a="1"/>
  <c r="H714" i="1" s="1"/>
  <c r="G714" i="1" a="1"/>
  <c r="G714" i="1" s="1"/>
  <c r="I709" i="1"/>
  <c r="H709" i="1" a="1"/>
  <c r="H709" i="1" s="1"/>
  <c r="G709" i="1" a="1"/>
  <c r="G709" i="1" s="1"/>
  <c r="I704" i="1"/>
  <c r="H704" i="1" a="1"/>
  <c r="H704" i="1" s="1"/>
  <c r="G704" i="1" a="1"/>
  <c r="G704" i="1" s="1"/>
  <c r="I699" i="1"/>
  <c r="H699" i="1" a="1"/>
  <c r="H699" i="1" s="1"/>
  <c r="G699" i="1" a="1"/>
  <c r="G699" i="1" s="1"/>
  <c r="I694" i="1"/>
  <c r="H694" i="1" a="1"/>
  <c r="H694" i="1" s="1"/>
  <c r="G694" i="1" a="1"/>
  <c r="G694" i="1" s="1"/>
  <c r="I689" i="1"/>
  <c r="H689" i="1" a="1"/>
  <c r="H689" i="1" s="1"/>
  <c r="G689" i="1" a="1"/>
  <c r="G689" i="1" s="1"/>
  <c r="I684" i="1"/>
  <c r="H684" i="1" a="1"/>
  <c r="H684" i="1" s="1"/>
  <c r="G684" i="1" a="1"/>
  <c r="G684" i="1" s="1"/>
  <c r="I679" i="1"/>
  <c r="H679" i="1" a="1"/>
  <c r="H679" i="1" s="1"/>
  <c r="G679" i="1" a="1"/>
  <c r="G679" i="1" s="1"/>
  <c r="I674" i="1"/>
  <c r="H674" i="1" a="1"/>
  <c r="H674" i="1" s="1"/>
  <c r="G674" i="1" a="1"/>
  <c r="G674" i="1" s="1"/>
  <c r="I669" i="1"/>
  <c r="H669" i="1" a="1"/>
  <c r="H669" i="1" s="1"/>
  <c r="G669" i="1" a="1"/>
  <c r="G669" i="1" s="1"/>
  <c r="I664" i="1"/>
  <c r="H664" i="1" a="1"/>
  <c r="H664" i="1" s="1"/>
  <c r="G664" i="1" a="1"/>
  <c r="G664" i="1" s="1"/>
  <c r="I659" i="1"/>
  <c r="H659" i="1" a="1"/>
  <c r="H659" i="1" s="1"/>
  <c r="G659" i="1" a="1"/>
  <c r="G659" i="1" s="1"/>
  <c r="I654" i="1"/>
  <c r="H654" i="1" a="1"/>
  <c r="H654" i="1" s="1"/>
  <c r="G654" i="1" a="1"/>
  <c r="G654" i="1" s="1"/>
  <c r="I649" i="1"/>
  <c r="H649" i="1" a="1"/>
  <c r="H649" i="1" s="1"/>
  <c r="G649" i="1" a="1"/>
  <c r="G649" i="1" s="1"/>
  <c r="I644" i="1"/>
  <c r="H644" i="1" a="1"/>
  <c r="H644" i="1" s="1"/>
  <c r="G644" i="1" a="1"/>
  <c r="G644" i="1" s="1"/>
  <c r="I639" i="1"/>
  <c r="H639" i="1" a="1"/>
  <c r="H639" i="1" s="1"/>
  <c r="G639" i="1" a="1"/>
  <c r="G639" i="1" s="1"/>
  <c r="I634" i="1"/>
  <c r="H634" i="1" a="1"/>
  <c r="H634" i="1" s="1"/>
  <c r="G634" i="1" a="1"/>
  <c r="G634" i="1" s="1"/>
  <c r="I629" i="1"/>
  <c r="H629" i="1" a="1"/>
  <c r="H629" i="1" s="1"/>
  <c r="G629" i="1" a="1"/>
  <c r="G629" i="1" s="1"/>
  <c r="I624" i="1"/>
  <c r="H624" i="1" a="1"/>
  <c r="H624" i="1" s="1"/>
  <c r="G624" i="1" a="1"/>
  <c r="G624" i="1" s="1"/>
  <c r="I619" i="1"/>
  <c r="H619" i="1" a="1"/>
  <c r="H619" i="1" s="1"/>
  <c r="G619" i="1" a="1"/>
  <c r="G619" i="1" s="1"/>
  <c r="I614" i="1"/>
  <c r="H614" i="1" a="1"/>
  <c r="H614" i="1" s="1"/>
  <c r="G614" i="1" a="1"/>
  <c r="G614" i="1" s="1"/>
  <c r="I609" i="1"/>
  <c r="H609" i="1" a="1"/>
  <c r="H609" i="1" s="1"/>
  <c r="G609" i="1" a="1"/>
  <c r="G609" i="1" s="1"/>
  <c r="I604" i="1"/>
  <c r="H604" i="1" a="1"/>
  <c r="H604" i="1" s="1"/>
  <c r="G604" i="1" a="1"/>
  <c r="G604" i="1" s="1"/>
  <c r="I599" i="1"/>
  <c r="H599" i="1" a="1"/>
  <c r="H599" i="1" s="1"/>
  <c r="G599" i="1" a="1"/>
  <c r="G599" i="1" s="1"/>
  <c r="I594" i="1"/>
  <c r="H594" i="1" a="1"/>
  <c r="H594" i="1" s="1"/>
  <c r="G594" i="1" a="1"/>
  <c r="G594" i="1" s="1"/>
  <c r="I589" i="1"/>
  <c r="H589" i="1" a="1"/>
  <c r="H589" i="1" s="1"/>
  <c r="G589" i="1" a="1"/>
  <c r="G589" i="1" s="1"/>
  <c r="I584" i="1"/>
  <c r="H584" i="1" a="1"/>
  <c r="H584" i="1" s="1"/>
  <c r="G584" i="1" a="1"/>
  <c r="G584" i="1" s="1"/>
  <c r="I579" i="1"/>
  <c r="H579" i="1" a="1"/>
  <c r="H579" i="1" s="1"/>
  <c r="G579" i="1" a="1"/>
  <c r="G579" i="1" s="1"/>
  <c r="I574" i="1"/>
  <c r="H574" i="1" a="1"/>
  <c r="H574" i="1" s="1"/>
  <c r="G574" i="1" a="1"/>
  <c r="G574" i="1" s="1"/>
  <c r="I569" i="1"/>
  <c r="H569" i="1" a="1"/>
  <c r="H569" i="1" s="1"/>
  <c r="G569" i="1" a="1"/>
  <c r="G569" i="1" s="1"/>
  <c r="I564" i="1"/>
  <c r="H564" i="1" a="1"/>
  <c r="H564" i="1" s="1"/>
  <c r="G564" i="1" a="1"/>
  <c r="G564" i="1" s="1"/>
  <c r="I559" i="1"/>
  <c r="H559" i="1" a="1"/>
  <c r="H559" i="1" s="1"/>
  <c r="G559" i="1" a="1"/>
  <c r="G559" i="1" s="1"/>
  <c r="I554" i="1"/>
  <c r="H554" i="1" a="1"/>
  <c r="H554" i="1" s="1"/>
  <c r="G554" i="1" a="1"/>
  <c r="G554" i="1" s="1"/>
  <c r="I549" i="1"/>
  <c r="H549" i="1" a="1"/>
  <c r="H549" i="1" s="1"/>
  <c r="G549" i="1" a="1"/>
  <c r="G549" i="1" s="1"/>
  <c r="I544" i="1"/>
  <c r="H544" i="1" a="1"/>
  <c r="H544" i="1" s="1"/>
  <c r="G544" i="1" a="1"/>
  <c r="G544" i="1" s="1"/>
  <c r="I539" i="1"/>
  <c r="H539" i="1" a="1"/>
  <c r="H539" i="1" s="1"/>
  <c r="G539" i="1" a="1"/>
  <c r="G539" i="1" s="1"/>
  <c r="I534" i="1"/>
  <c r="H534" i="1" a="1"/>
  <c r="H534" i="1" s="1"/>
  <c r="G534" i="1" a="1"/>
  <c r="G534" i="1" s="1"/>
  <c r="I529" i="1"/>
  <c r="H529" i="1" a="1"/>
  <c r="H529" i="1" s="1"/>
  <c r="G529" i="1" a="1"/>
  <c r="G529" i="1" s="1"/>
  <c r="I524" i="1"/>
  <c r="H524" i="1" a="1"/>
  <c r="H524" i="1" s="1"/>
  <c r="G524" i="1" a="1"/>
  <c r="G524" i="1" s="1"/>
  <c r="I519" i="1"/>
  <c r="H519" i="1" a="1"/>
  <c r="H519" i="1" s="1"/>
  <c r="G519" i="1" a="1"/>
  <c r="G519" i="1" s="1"/>
  <c r="I514" i="1"/>
  <c r="H514" i="1" a="1"/>
  <c r="H514" i="1" s="1"/>
  <c r="G514" i="1" a="1"/>
  <c r="G514" i="1" s="1"/>
  <c r="I509" i="1"/>
  <c r="H509" i="1" a="1"/>
  <c r="H509" i="1" s="1"/>
  <c r="G509" i="1" a="1"/>
  <c r="G509" i="1" s="1"/>
  <c r="I504" i="1"/>
  <c r="H504" i="1" a="1"/>
  <c r="H504" i="1" s="1"/>
  <c r="G504" i="1" a="1"/>
  <c r="G504" i="1" s="1"/>
  <c r="I499" i="1"/>
  <c r="H499" i="1" a="1"/>
  <c r="H499" i="1" s="1"/>
  <c r="G499" i="1" a="1"/>
  <c r="G499" i="1" s="1"/>
  <c r="I494" i="1"/>
  <c r="H494" i="1" a="1"/>
  <c r="H494" i="1" s="1"/>
  <c r="G494" i="1" a="1"/>
  <c r="G494" i="1" s="1"/>
  <c r="I489" i="1"/>
  <c r="H489" i="1" a="1"/>
  <c r="H489" i="1" s="1"/>
  <c r="G489" i="1" a="1"/>
  <c r="G489" i="1" s="1"/>
  <c r="I484" i="1"/>
  <c r="H484" i="1" a="1"/>
  <c r="H484" i="1" s="1"/>
  <c r="G484" i="1" a="1"/>
  <c r="G484" i="1" s="1"/>
  <c r="I479" i="1"/>
  <c r="H479" i="1" a="1"/>
  <c r="H479" i="1" s="1"/>
  <c r="G479" i="1" a="1"/>
  <c r="G479" i="1" s="1"/>
  <c r="I474" i="1"/>
  <c r="H474" i="1" a="1"/>
  <c r="H474" i="1" s="1"/>
  <c r="G474" i="1" a="1"/>
  <c r="G474" i="1" s="1"/>
  <c r="I469" i="1"/>
  <c r="H469" i="1" a="1"/>
  <c r="H469" i="1" s="1"/>
  <c r="G469" i="1" a="1"/>
  <c r="G469" i="1" s="1"/>
  <c r="I464" i="1"/>
  <c r="H464" i="1" a="1"/>
  <c r="H464" i="1" s="1"/>
  <c r="G464" i="1" a="1"/>
  <c r="G464" i="1" s="1"/>
  <c r="I459" i="1"/>
  <c r="H459" i="1" a="1"/>
  <c r="H459" i="1" s="1"/>
  <c r="G459" i="1" a="1"/>
  <c r="G459" i="1" s="1"/>
  <c r="I454" i="1"/>
  <c r="H454" i="1" a="1"/>
  <c r="H454" i="1" s="1"/>
  <c r="G454" i="1" a="1"/>
  <c r="G454" i="1" s="1"/>
  <c r="I449" i="1"/>
  <c r="H449" i="1" a="1"/>
  <c r="H449" i="1" s="1"/>
  <c r="G449" i="1" a="1"/>
  <c r="G449" i="1" s="1"/>
  <c r="I444" i="1"/>
  <c r="H444" i="1" a="1"/>
  <c r="H444" i="1" s="1"/>
  <c r="G444" i="1" a="1"/>
  <c r="G444" i="1" s="1"/>
  <c r="I439" i="1"/>
  <c r="H439" i="1" a="1"/>
  <c r="H439" i="1" s="1"/>
  <c r="G439" i="1" a="1"/>
  <c r="G439" i="1" s="1"/>
  <c r="I434" i="1"/>
  <c r="H434" i="1" a="1"/>
  <c r="H434" i="1" s="1"/>
  <c r="G434" i="1" a="1"/>
  <c r="G434" i="1" s="1"/>
  <c r="I429" i="1"/>
  <c r="H429" i="1" a="1"/>
  <c r="H429" i="1" s="1"/>
  <c r="G429" i="1" a="1"/>
  <c r="G429" i="1" s="1"/>
  <c r="I424" i="1"/>
  <c r="H424" i="1" a="1"/>
  <c r="H424" i="1" s="1"/>
  <c r="G424" i="1" a="1"/>
  <c r="G424" i="1" s="1"/>
  <c r="I419" i="1"/>
  <c r="H419" i="1" a="1"/>
  <c r="H419" i="1" s="1"/>
  <c r="G419" i="1" a="1"/>
  <c r="G419" i="1" s="1"/>
  <c r="I414" i="1"/>
  <c r="H414" i="1" a="1"/>
  <c r="H414" i="1" s="1"/>
  <c r="G414" i="1" a="1"/>
  <c r="G414" i="1" s="1"/>
  <c r="I409" i="1"/>
  <c r="H409" i="1" a="1"/>
  <c r="H409" i="1" s="1"/>
  <c r="G409" i="1" a="1"/>
  <c r="G409" i="1" s="1"/>
  <c r="I404" i="1"/>
  <c r="H404" i="1" a="1"/>
  <c r="H404" i="1" s="1"/>
  <c r="G404" i="1" a="1"/>
  <c r="G404" i="1" s="1"/>
  <c r="I399" i="1"/>
  <c r="H399" i="1" a="1"/>
  <c r="H399" i="1" s="1"/>
  <c r="G399" i="1" a="1"/>
  <c r="G399" i="1" s="1"/>
  <c r="I394" i="1"/>
  <c r="H394" i="1" a="1"/>
  <c r="H394" i="1" s="1"/>
  <c r="G394" i="1" a="1"/>
  <c r="G394" i="1" s="1"/>
  <c r="I389" i="1"/>
  <c r="H389" i="1" a="1"/>
  <c r="H389" i="1" s="1"/>
  <c r="G389" i="1" a="1"/>
  <c r="G389" i="1" s="1"/>
  <c r="I384" i="1"/>
  <c r="H384" i="1" a="1"/>
  <c r="H384" i="1" s="1"/>
  <c r="G384" i="1" a="1"/>
  <c r="G384" i="1" s="1"/>
  <c r="I379" i="1"/>
  <c r="H379" i="1" a="1"/>
  <c r="H379" i="1" s="1"/>
  <c r="G379" i="1" a="1"/>
  <c r="G379" i="1" s="1"/>
  <c r="I374" i="1"/>
  <c r="H374" i="1" a="1"/>
  <c r="H374" i="1" s="1"/>
  <c r="G374" i="1" a="1"/>
  <c r="G374" i="1" s="1"/>
  <c r="I369" i="1"/>
  <c r="H369" i="1" a="1"/>
  <c r="H369" i="1" s="1"/>
  <c r="G369" i="1" a="1"/>
  <c r="G369" i="1" s="1"/>
  <c r="I364" i="1"/>
  <c r="H364" i="1" a="1"/>
  <c r="H364" i="1" s="1"/>
  <c r="G364" i="1" a="1"/>
  <c r="G364" i="1" s="1"/>
  <c r="I359" i="1"/>
  <c r="H359" i="1" a="1"/>
  <c r="H359" i="1" s="1"/>
  <c r="G359" i="1" a="1"/>
  <c r="G359" i="1" s="1"/>
  <c r="I354" i="1"/>
  <c r="H354" i="1" a="1"/>
  <c r="H354" i="1" s="1"/>
  <c r="G354" i="1" a="1"/>
  <c r="G354" i="1" s="1"/>
  <c r="I349" i="1"/>
  <c r="H349" i="1" a="1"/>
  <c r="H349" i="1" s="1"/>
  <c r="G349" i="1" a="1"/>
  <c r="G349" i="1" s="1"/>
  <c r="I344" i="1"/>
  <c r="H344" i="1" a="1"/>
  <c r="H344" i="1" s="1"/>
  <c r="G344" i="1" a="1"/>
  <c r="G344" i="1" s="1"/>
  <c r="I339" i="1"/>
  <c r="H339" i="1" a="1"/>
  <c r="H339" i="1" s="1"/>
  <c r="G339" i="1" a="1"/>
  <c r="G339" i="1" s="1"/>
  <c r="I334" i="1"/>
  <c r="H334" i="1" a="1"/>
  <c r="H334" i="1" s="1"/>
  <c r="G334" i="1" a="1"/>
  <c r="G334" i="1" s="1"/>
  <c r="I329" i="1"/>
  <c r="H329" i="1" a="1"/>
  <c r="H329" i="1" s="1"/>
  <c r="G329" i="1" a="1"/>
  <c r="G329" i="1" s="1"/>
  <c r="I324" i="1"/>
  <c r="H324" i="1" a="1"/>
  <c r="H324" i="1" s="1"/>
  <c r="G324" i="1" a="1"/>
  <c r="G324" i="1" s="1"/>
  <c r="I319" i="1"/>
  <c r="H319" i="1" a="1"/>
  <c r="H319" i="1" s="1"/>
  <c r="G319" i="1" a="1"/>
  <c r="G319" i="1" s="1"/>
  <c r="I314" i="1"/>
  <c r="H314" i="1" a="1"/>
  <c r="H314" i="1" s="1"/>
  <c r="G314" i="1" a="1"/>
  <c r="G314" i="1" s="1"/>
  <c r="I309" i="1"/>
  <c r="H309" i="1" a="1"/>
  <c r="H309" i="1" s="1"/>
  <c r="G309" i="1" a="1"/>
  <c r="G309" i="1" s="1"/>
  <c r="I304" i="1"/>
  <c r="H304" i="1" a="1"/>
  <c r="H304" i="1" s="1"/>
  <c r="G304" i="1" a="1"/>
  <c r="G304" i="1" s="1"/>
  <c r="I299" i="1"/>
  <c r="H299" i="1" a="1"/>
  <c r="H299" i="1" s="1"/>
  <c r="G299" i="1" a="1"/>
  <c r="G299" i="1" s="1"/>
  <c r="I294" i="1"/>
  <c r="H294" i="1" a="1"/>
  <c r="H294" i="1" s="1"/>
  <c r="G294" i="1" a="1"/>
  <c r="G294" i="1" s="1"/>
  <c r="I289" i="1"/>
  <c r="H289" i="1" a="1"/>
  <c r="H289" i="1" s="1"/>
  <c r="G289" i="1" a="1"/>
  <c r="G289" i="1" s="1"/>
  <c r="I284" i="1"/>
  <c r="H284" i="1" a="1"/>
  <c r="H284" i="1" s="1"/>
  <c r="G284" i="1" a="1"/>
  <c r="G284" i="1" s="1"/>
  <c r="I279" i="1"/>
  <c r="H279" i="1" a="1"/>
  <c r="H279" i="1" s="1"/>
  <c r="G279" i="1" a="1"/>
  <c r="G279" i="1" s="1"/>
  <c r="I274" i="1"/>
  <c r="H274" i="1" a="1"/>
  <c r="H274" i="1" s="1"/>
  <c r="G274" i="1" a="1"/>
  <c r="G274" i="1" s="1"/>
  <c r="I269" i="1"/>
  <c r="H269" i="1" a="1"/>
  <c r="H269" i="1" s="1"/>
  <c r="G269" i="1" a="1"/>
  <c r="G269" i="1" s="1"/>
  <c r="I264" i="1"/>
  <c r="H264" i="1" a="1"/>
  <c r="H264" i="1" s="1"/>
  <c r="G264" i="1" a="1"/>
  <c r="G264" i="1" s="1"/>
  <c r="I259" i="1"/>
  <c r="H259" i="1" a="1"/>
  <c r="H259" i="1" s="1"/>
  <c r="G259" i="1" a="1"/>
  <c r="G259" i="1" s="1"/>
  <c r="I254" i="1"/>
  <c r="H254" i="1" a="1"/>
  <c r="H254" i="1" s="1"/>
  <c r="G254" i="1" a="1"/>
  <c r="G254" i="1" s="1"/>
  <c r="I249" i="1"/>
  <c r="H249" i="1" a="1"/>
  <c r="H249" i="1" s="1"/>
  <c r="G249" i="1" a="1"/>
  <c r="G249" i="1" s="1"/>
  <c r="I244" i="1"/>
  <c r="H244" i="1" a="1"/>
  <c r="H244" i="1" s="1"/>
  <c r="G244" i="1" a="1"/>
  <c r="G244" i="1" s="1"/>
  <c r="I239" i="1"/>
  <c r="H239" i="1" a="1"/>
  <c r="H239" i="1" s="1"/>
  <c r="G239" i="1" a="1"/>
  <c r="G239" i="1" s="1"/>
  <c r="I234" i="1"/>
  <c r="H234" i="1" a="1"/>
  <c r="H234" i="1" s="1"/>
  <c r="G234" i="1" a="1"/>
  <c r="G234" i="1" s="1"/>
  <c r="I229" i="1"/>
  <c r="H229" i="1" a="1"/>
  <c r="H229" i="1" s="1"/>
  <c r="G229" i="1" a="1"/>
  <c r="G229" i="1" s="1"/>
  <c r="I224" i="1"/>
  <c r="H224" i="1" a="1"/>
  <c r="H224" i="1" s="1"/>
  <c r="G224" i="1" a="1"/>
  <c r="G224" i="1" s="1"/>
  <c r="I219" i="1"/>
  <c r="H219" i="1" a="1"/>
  <c r="H219" i="1" s="1"/>
  <c r="G219" i="1" a="1"/>
  <c r="G219" i="1" s="1"/>
  <c r="I214" i="1"/>
  <c r="H214" i="1" a="1"/>
  <c r="H214" i="1" s="1"/>
  <c r="G214" i="1" a="1"/>
  <c r="G214" i="1" s="1"/>
  <c r="I209" i="1"/>
  <c r="H209" i="1" a="1"/>
  <c r="H209" i="1" s="1"/>
  <c r="G209" i="1" a="1"/>
  <c r="G209" i="1" s="1"/>
  <c r="I204" i="1"/>
  <c r="H204" i="1" a="1"/>
  <c r="H204" i="1" s="1"/>
  <c r="G204" i="1" a="1"/>
  <c r="G204" i="1" s="1"/>
  <c r="I199" i="1"/>
  <c r="H199" i="1" a="1"/>
  <c r="H199" i="1" s="1"/>
  <c r="G199" i="1" a="1"/>
  <c r="G199" i="1" s="1"/>
  <c r="I194" i="1"/>
  <c r="H194" i="1" a="1"/>
  <c r="H194" i="1" s="1"/>
  <c r="G194" i="1" a="1"/>
  <c r="G194" i="1" s="1"/>
  <c r="I189" i="1"/>
  <c r="H189" i="1" a="1"/>
  <c r="H189" i="1" s="1"/>
  <c r="G189" i="1" a="1"/>
  <c r="G189" i="1" s="1"/>
  <c r="I184" i="1"/>
  <c r="H184" i="1" a="1"/>
  <c r="H184" i="1" s="1"/>
  <c r="G184" i="1" a="1"/>
  <c r="G184" i="1" s="1"/>
  <c r="I179" i="1"/>
  <c r="H179" i="1" a="1"/>
  <c r="H179" i="1" s="1"/>
  <c r="G179" i="1" a="1"/>
  <c r="G179" i="1" s="1"/>
  <c r="I174" i="1"/>
  <c r="H174" i="1" a="1"/>
  <c r="H174" i="1" s="1"/>
  <c r="G174" i="1" a="1"/>
  <c r="G174" i="1" s="1"/>
  <c r="I169" i="1"/>
  <c r="H169" i="1" a="1"/>
  <c r="H169" i="1" s="1"/>
  <c r="G169" i="1" a="1"/>
  <c r="G169" i="1" s="1"/>
  <c r="I164" i="1"/>
  <c r="H164" i="1" a="1"/>
  <c r="H164" i="1" s="1"/>
  <c r="G164" i="1" a="1"/>
  <c r="G164" i="1" s="1"/>
  <c r="I159" i="1"/>
  <c r="H159" i="1" a="1"/>
  <c r="H159" i="1" s="1"/>
  <c r="G159" i="1" a="1"/>
  <c r="G159" i="1" s="1"/>
  <c r="I154" i="1"/>
  <c r="H154" i="1" a="1"/>
  <c r="H154" i="1" s="1"/>
  <c r="G154" i="1" a="1"/>
  <c r="G154" i="1" s="1"/>
  <c r="I149" i="1"/>
  <c r="H149" i="1" a="1"/>
  <c r="H149" i="1" s="1"/>
  <c r="G149" i="1" a="1"/>
  <c r="G149" i="1" s="1"/>
  <c r="I144" i="1"/>
  <c r="H144" i="1" a="1"/>
  <c r="H144" i="1" s="1"/>
  <c r="G144" i="1" a="1"/>
  <c r="G144" i="1" s="1"/>
  <c r="I139" i="1"/>
  <c r="H139" i="1" a="1"/>
  <c r="H139" i="1" s="1"/>
  <c r="G139" i="1" a="1"/>
  <c r="G139" i="1" s="1"/>
  <c r="I134" i="1"/>
  <c r="H134" i="1" a="1"/>
  <c r="H134" i="1" s="1"/>
  <c r="G134" i="1" a="1"/>
  <c r="G134" i="1" s="1"/>
  <c r="I129" i="1"/>
  <c r="H129" i="1" a="1"/>
  <c r="H129" i="1" s="1"/>
  <c r="G129" i="1" a="1"/>
  <c r="G129" i="1" s="1"/>
  <c r="I124" i="1"/>
  <c r="H124" i="1" a="1"/>
  <c r="H124" i="1" s="1"/>
  <c r="G124" i="1" a="1"/>
  <c r="G124" i="1" s="1"/>
  <c r="I119" i="1"/>
  <c r="H119" i="1" a="1"/>
  <c r="H119" i="1" s="1"/>
  <c r="G119" i="1" a="1"/>
  <c r="G119" i="1" s="1"/>
  <c r="I114" i="1"/>
  <c r="H114" i="1" a="1"/>
  <c r="H114" i="1" s="1"/>
  <c r="G114" i="1" a="1"/>
  <c r="G114" i="1" s="1"/>
  <c r="I109" i="1"/>
  <c r="H109" i="1" a="1"/>
  <c r="H109" i="1" s="1"/>
  <c r="G109" i="1" a="1"/>
  <c r="G109" i="1" s="1"/>
  <c r="I104" i="1"/>
  <c r="H104" i="1" a="1"/>
  <c r="H104" i="1" s="1"/>
  <c r="G104" i="1" a="1"/>
  <c r="G104" i="1" s="1"/>
  <c r="I99" i="1"/>
  <c r="H99" i="1" a="1"/>
  <c r="H99" i="1" s="1"/>
  <c r="G99" i="1" a="1"/>
  <c r="G99" i="1" s="1"/>
  <c r="I94" i="1"/>
  <c r="H94" i="1" a="1"/>
  <c r="H94" i="1" s="1"/>
  <c r="G94" i="1" a="1"/>
  <c r="G94" i="1" s="1"/>
  <c r="I89" i="1"/>
  <c r="H89" i="1" a="1"/>
  <c r="H89" i="1" s="1"/>
  <c r="G89" i="1" a="1"/>
  <c r="G89" i="1" s="1"/>
  <c r="I84" i="1"/>
  <c r="H84" i="1" a="1"/>
  <c r="H84" i="1" s="1"/>
  <c r="G84" i="1" a="1"/>
  <c r="G84" i="1" s="1"/>
  <c r="I79" i="1"/>
  <c r="H79" i="1" a="1"/>
  <c r="H79" i="1" s="1"/>
  <c r="G79" i="1" a="1"/>
  <c r="G79" i="1" s="1"/>
  <c r="I74" i="1"/>
  <c r="H74" i="1" a="1"/>
  <c r="H74" i="1" s="1"/>
  <c r="G74" i="1" a="1"/>
  <c r="G74" i="1" s="1"/>
  <c r="I69" i="1"/>
  <c r="H69" i="1" a="1"/>
  <c r="H69" i="1" s="1"/>
  <c r="G69" i="1" a="1"/>
  <c r="G69" i="1" s="1"/>
  <c r="I64" i="1"/>
  <c r="H64" i="1" a="1"/>
  <c r="H64" i="1" s="1"/>
  <c r="G64" i="1" a="1"/>
  <c r="G64" i="1" s="1"/>
  <c r="I59" i="1"/>
  <c r="H59" i="1" a="1"/>
  <c r="H59" i="1" s="1"/>
  <c r="G59" i="1" a="1"/>
  <c r="G59" i="1" s="1"/>
  <c r="I54" i="1"/>
  <c r="H54" i="1" a="1"/>
  <c r="H54" i="1" s="1"/>
  <c r="G54" i="1" a="1"/>
  <c r="G54" i="1" s="1"/>
  <c r="I49" i="1"/>
  <c r="H49" i="1" a="1"/>
  <c r="H49" i="1" s="1"/>
  <c r="G49" i="1" a="1"/>
  <c r="G49" i="1" s="1"/>
  <c r="I44" i="1"/>
  <c r="H44" i="1" a="1"/>
  <c r="H44" i="1" s="1"/>
  <c r="G44" i="1" a="1"/>
  <c r="G44" i="1" s="1"/>
  <c r="I39" i="1"/>
  <c r="H39" i="1" a="1"/>
  <c r="H39" i="1" s="1"/>
  <c r="G39" i="1" a="1"/>
  <c r="G39" i="1" s="1"/>
  <c r="I34" i="1"/>
  <c r="H34" i="1" a="1"/>
  <c r="H34" i="1" s="1"/>
  <c r="G34" i="1" a="1"/>
  <c r="G34" i="1" s="1"/>
  <c r="I29" i="1"/>
  <c r="H29" i="1" a="1"/>
  <c r="H29" i="1" s="1"/>
  <c r="G29" i="1" a="1"/>
  <c r="G29" i="1" s="1"/>
  <c r="I24" i="1"/>
  <c r="H24" i="1" a="1"/>
  <c r="H24" i="1" s="1"/>
  <c r="G24" i="1" a="1"/>
  <c r="G24" i="1" s="1"/>
  <c r="I19" i="1"/>
  <c r="H19" i="1" a="1"/>
  <c r="H19" i="1" s="1"/>
  <c r="G19" i="1" a="1"/>
  <c r="G19" i="1" s="1"/>
  <c r="I14" i="1"/>
  <c r="H14" i="1" a="1"/>
  <c r="H14" i="1" s="1"/>
  <c r="G14" i="1" a="1"/>
  <c r="G14" i="1" s="1"/>
  <c r="I9" i="1"/>
  <c r="H9" i="1" a="1"/>
  <c r="H9" i="1" s="1"/>
  <c r="G9" i="1" a="1"/>
  <c r="G9" i="1" s="1"/>
  <c r="I4" i="1"/>
  <c r="H4" i="1" a="1"/>
  <c r="H4" i="1" s="1"/>
  <c r="G4" i="1" a="1"/>
  <c r="G4" i="1" s="1"/>
  <c r="I1227" i="1"/>
  <c r="H1227" i="1" a="1"/>
  <c r="H1227" i="1" s="1"/>
  <c r="G1227" i="1" a="1"/>
  <c r="G1227" i="1" s="1"/>
  <c r="I1222" i="1"/>
  <c r="H1222" i="1" a="1"/>
  <c r="H1222" i="1" s="1"/>
  <c r="G1222" i="1" a="1"/>
  <c r="G1222" i="1" s="1"/>
  <c r="I1217" i="1"/>
  <c r="H1217" i="1" a="1"/>
  <c r="H1217" i="1" s="1"/>
  <c r="G1217" i="1" a="1"/>
  <c r="G1217" i="1" s="1"/>
  <c r="I1212" i="1"/>
  <c r="H1212" i="1" a="1"/>
  <c r="H1212" i="1" s="1"/>
  <c r="G1212" i="1" a="1"/>
  <c r="G1212" i="1" s="1"/>
  <c r="I1207" i="1"/>
  <c r="H1207" i="1" a="1"/>
  <c r="H1207" i="1" s="1"/>
  <c r="G1207" i="1" a="1"/>
  <c r="G1207" i="1" s="1"/>
  <c r="I1202" i="1"/>
  <c r="H1202" i="1" a="1"/>
  <c r="H1202" i="1" s="1"/>
  <c r="G1202" i="1" a="1"/>
  <c r="G1202" i="1" s="1"/>
  <c r="I1197" i="1"/>
  <c r="H1197" i="1" a="1"/>
  <c r="H1197" i="1" s="1"/>
  <c r="G1197" i="1" a="1"/>
  <c r="G1197" i="1" s="1"/>
  <c r="I1192" i="1"/>
  <c r="H1192" i="1" a="1"/>
  <c r="H1192" i="1" s="1"/>
  <c r="G1192" i="1" a="1"/>
  <c r="G1192" i="1" s="1"/>
  <c r="I1187" i="1"/>
  <c r="H1187" i="1" a="1"/>
  <c r="H1187" i="1" s="1"/>
  <c r="G1187" i="1" a="1"/>
  <c r="G1187" i="1" s="1"/>
  <c r="I1182" i="1"/>
  <c r="H1182" i="1" a="1"/>
  <c r="H1182" i="1" s="1"/>
  <c r="G1182" i="1" a="1"/>
  <c r="G1182" i="1" s="1"/>
  <c r="I1177" i="1"/>
  <c r="H1177" i="1" a="1"/>
  <c r="H1177" i="1" s="1"/>
  <c r="G1177" i="1" a="1"/>
  <c r="G1177" i="1" s="1"/>
  <c r="I1172" i="1"/>
  <c r="H1172" i="1" a="1"/>
  <c r="H1172" i="1" s="1"/>
  <c r="G1172" i="1" a="1"/>
  <c r="G1172" i="1" s="1"/>
  <c r="I1167" i="1"/>
  <c r="H1167" i="1" a="1"/>
  <c r="H1167" i="1" s="1"/>
  <c r="G1167" i="1" a="1"/>
  <c r="G1167" i="1" s="1"/>
  <c r="I1162" i="1"/>
  <c r="H1162" i="1" a="1"/>
  <c r="H1162" i="1" s="1"/>
  <c r="G1162" i="1" a="1"/>
  <c r="G1162" i="1" s="1"/>
  <c r="I1157" i="1"/>
  <c r="H1157" i="1" a="1"/>
  <c r="H1157" i="1" s="1"/>
  <c r="G1157" i="1" a="1"/>
  <c r="G1157" i="1" s="1"/>
  <c r="I1152" i="1"/>
  <c r="H1152" i="1" a="1"/>
  <c r="H1152" i="1" s="1"/>
  <c r="G1152" i="1" a="1"/>
  <c r="G1152" i="1" s="1"/>
  <c r="I1147" i="1"/>
  <c r="H1147" i="1" a="1"/>
  <c r="H1147" i="1" s="1"/>
  <c r="G1147" i="1" a="1"/>
  <c r="G1147" i="1" s="1"/>
  <c r="I1142" i="1"/>
  <c r="H1142" i="1" a="1"/>
  <c r="H1142" i="1" s="1"/>
  <c r="G1142" i="1" a="1"/>
  <c r="G1142" i="1" s="1"/>
  <c r="I1137" i="1"/>
  <c r="H1137" i="1" a="1"/>
  <c r="H1137" i="1" s="1"/>
  <c r="G1137" i="1" a="1"/>
  <c r="G1137" i="1" s="1"/>
  <c r="I1132" i="1"/>
  <c r="H1132" i="1" a="1"/>
  <c r="H1132" i="1" s="1"/>
  <c r="G1132" i="1" a="1"/>
  <c r="G1132" i="1" s="1"/>
  <c r="I1127" i="1"/>
  <c r="H1127" i="1" a="1"/>
  <c r="H1127" i="1" s="1"/>
  <c r="G1127" i="1" a="1"/>
  <c r="G1127" i="1" s="1"/>
  <c r="I1122" i="1"/>
  <c r="H1122" i="1" a="1"/>
  <c r="H1122" i="1" s="1"/>
  <c r="G1122" i="1" a="1"/>
  <c r="G1122" i="1" s="1"/>
  <c r="I1117" i="1"/>
  <c r="H1117" i="1" a="1"/>
  <c r="H1117" i="1" s="1"/>
  <c r="G1117" i="1" a="1"/>
  <c r="G1117" i="1" s="1"/>
  <c r="I1112" i="1"/>
  <c r="H1112" i="1" a="1"/>
  <c r="H1112" i="1" s="1"/>
  <c r="G1112" i="1" a="1"/>
  <c r="G1112" i="1" s="1"/>
  <c r="I1107" i="1"/>
  <c r="H1107" i="1" a="1"/>
  <c r="H1107" i="1" s="1"/>
  <c r="G1107" i="1" a="1"/>
  <c r="G1107" i="1" s="1"/>
  <c r="I1102" i="1"/>
  <c r="H1102" i="1" a="1"/>
  <c r="H1102" i="1" s="1"/>
  <c r="G1102" i="1" a="1"/>
  <c r="G1102" i="1" s="1"/>
  <c r="I1097" i="1"/>
  <c r="H1097" i="1" a="1"/>
  <c r="H1097" i="1" s="1"/>
  <c r="G1097" i="1" a="1"/>
  <c r="G1097" i="1" s="1"/>
  <c r="I1092" i="1"/>
  <c r="H1092" i="1" a="1"/>
  <c r="H1092" i="1" s="1"/>
  <c r="G1092" i="1" a="1"/>
  <c r="G1092" i="1" s="1"/>
  <c r="I1087" i="1"/>
  <c r="H1087" i="1" a="1"/>
  <c r="H1087" i="1" s="1"/>
  <c r="G1087" i="1" a="1"/>
  <c r="G1087" i="1" s="1"/>
  <c r="I1082" i="1"/>
  <c r="H1082" i="1" a="1"/>
  <c r="H1082" i="1" s="1"/>
  <c r="G1082" i="1" a="1"/>
  <c r="G1082" i="1" s="1"/>
  <c r="I1077" i="1"/>
  <c r="H1077" i="1" a="1"/>
  <c r="H1077" i="1" s="1"/>
  <c r="G1077" i="1" a="1"/>
  <c r="G1077" i="1" s="1"/>
  <c r="I1072" i="1"/>
  <c r="H1072" i="1" a="1"/>
  <c r="H1072" i="1" s="1"/>
  <c r="G1072" i="1" a="1"/>
  <c r="G1072" i="1" s="1"/>
  <c r="I1067" i="1"/>
  <c r="H1067" i="1" a="1"/>
  <c r="H1067" i="1" s="1"/>
  <c r="G1067" i="1" a="1"/>
  <c r="G1067" i="1" s="1"/>
  <c r="I1062" i="1"/>
  <c r="H1062" i="1" a="1"/>
  <c r="H1062" i="1" s="1"/>
  <c r="G1062" i="1" a="1"/>
  <c r="G1062" i="1" s="1"/>
  <c r="I1057" i="1"/>
  <c r="H1057" i="1" a="1"/>
  <c r="H1057" i="1" s="1"/>
  <c r="G1057" i="1" a="1"/>
  <c r="G1057" i="1" s="1"/>
  <c r="I1052" i="1"/>
  <c r="H1052" i="1" a="1"/>
  <c r="H1052" i="1" s="1"/>
  <c r="G1052" i="1" a="1"/>
  <c r="G1052" i="1" s="1"/>
  <c r="I1047" i="1"/>
  <c r="H1047" i="1" a="1"/>
  <c r="H1047" i="1" s="1"/>
  <c r="G1047" i="1" a="1"/>
  <c r="G1047" i="1" s="1"/>
  <c r="I1042" i="1"/>
  <c r="H1042" i="1" a="1"/>
  <c r="H1042" i="1" s="1"/>
  <c r="G1042" i="1" a="1"/>
  <c r="G1042" i="1" s="1"/>
  <c r="I1037" i="1"/>
  <c r="H1037" i="1" a="1"/>
  <c r="H1037" i="1" s="1"/>
  <c r="G1037" i="1" a="1"/>
  <c r="G1037" i="1" s="1"/>
  <c r="I1032" i="1"/>
  <c r="H1032" i="1" a="1"/>
  <c r="H1032" i="1" s="1"/>
  <c r="G1032" i="1" a="1"/>
  <c r="G1032" i="1" s="1"/>
  <c r="I1027" i="1"/>
  <c r="H1027" i="1" a="1"/>
  <c r="H1027" i="1" s="1"/>
  <c r="G1027" i="1" a="1"/>
  <c r="G1027" i="1" s="1"/>
  <c r="I1022" i="1"/>
  <c r="H1022" i="1" a="1"/>
  <c r="H1022" i="1" s="1"/>
  <c r="G1022" i="1" a="1"/>
  <c r="G1022" i="1" s="1"/>
  <c r="I1017" i="1"/>
  <c r="H1017" i="1" a="1"/>
  <c r="H1017" i="1" s="1"/>
  <c r="G1017" i="1" a="1"/>
  <c r="G1017" i="1" s="1"/>
  <c r="I1012" i="1"/>
  <c r="H1012" i="1" a="1"/>
  <c r="H1012" i="1" s="1"/>
  <c r="G1012" i="1" a="1"/>
  <c r="G1012" i="1" s="1"/>
  <c r="I1007" i="1"/>
  <c r="H1007" i="1" a="1"/>
  <c r="H1007" i="1" s="1"/>
  <c r="G1007" i="1" a="1"/>
  <c r="G1007" i="1" s="1"/>
  <c r="I1002" i="1"/>
  <c r="H1002" i="1" a="1"/>
  <c r="H1002" i="1" s="1"/>
  <c r="G1002" i="1" a="1"/>
  <c r="G1002" i="1" s="1"/>
  <c r="I997" i="1"/>
  <c r="H997" i="1" a="1"/>
  <c r="H997" i="1" s="1"/>
  <c r="G997" i="1" a="1"/>
  <c r="G997" i="1" s="1"/>
  <c r="I992" i="1"/>
  <c r="H992" i="1" a="1"/>
  <c r="H992" i="1" s="1"/>
  <c r="G992" i="1" a="1"/>
  <c r="G992" i="1" s="1"/>
  <c r="I987" i="1"/>
  <c r="H987" i="1" a="1"/>
  <c r="H987" i="1" s="1"/>
  <c r="G987" i="1" a="1"/>
  <c r="G987" i="1" s="1"/>
  <c r="I982" i="1"/>
  <c r="H982" i="1" a="1"/>
  <c r="H982" i="1" s="1"/>
  <c r="G982" i="1" a="1"/>
  <c r="G982" i="1" s="1"/>
  <c r="I977" i="1"/>
  <c r="H977" i="1" a="1"/>
  <c r="H977" i="1" s="1"/>
  <c r="G977" i="1" a="1"/>
  <c r="G977" i="1" s="1"/>
  <c r="I972" i="1"/>
  <c r="H972" i="1" a="1"/>
  <c r="H972" i="1" s="1"/>
  <c r="G972" i="1" a="1"/>
  <c r="G972" i="1" s="1"/>
  <c r="I967" i="1"/>
  <c r="H967" i="1" a="1"/>
  <c r="H967" i="1" s="1"/>
  <c r="G967" i="1" a="1"/>
  <c r="G967" i="1" s="1"/>
  <c r="I962" i="1"/>
  <c r="H962" i="1" a="1"/>
  <c r="H962" i="1" s="1"/>
  <c r="G962" i="1" a="1"/>
  <c r="G962" i="1" s="1"/>
  <c r="I957" i="1"/>
  <c r="H957" i="1" a="1"/>
  <c r="H957" i="1" s="1"/>
  <c r="G957" i="1" a="1"/>
  <c r="G957" i="1" s="1"/>
  <c r="I952" i="1"/>
  <c r="H952" i="1" a="1"/>
  <c r="H952" i="1" s="1"/>
  <c r="G952" i="1" a="1"/>
  <c r="G952" i="1" s="1"/>
  <c r="I947" i="1"/>
  <c r="H947" i="1" a="1"/>
  <c r="H947" i="1" s="1"/>
  <c r="G947" i="1" a="1"/>
  <c r="G947" i="1" s="1"/>
  <c r="I942" i="1"/>
  <c r="H942" i="1" a="1"/>
  <c r="H942" i="1" s="1"/>
  <c r="G942" i="1" a="1"/>
  <c r="G942" i="1" s="1"/>
  <c r="I937" i="1"/>
  <c r="H937" i="1" a="1"/>
  <c r="H937" i="1" s="1"/>
  <c r="G937" i="1" a="1"/>
  <c r="G937" i="1" s="1"/>
  <c r="I932" i="1"/>
  <c r="H932" i="1" a="1"/>
  <c r="H932" i="1" s="1"/>
  <c r="G932" i="1" a="1"/>
  <c r="G932" i="1" s="1"/>
  <c r="I927" i="1"/>
  <c r="H927" i="1" a="1"/>
  <c r="H927" i="1" s="1"/>
  <c r="G927" i="1" a="1"/>
  <c r="G927" i="1" s="1"/>
  <c r="I922" i="1"/>
  <c r="H922" i="1" a="1"/>
  <c r="H922" i="1" s="1"/>
  <c r="G922" i="1" a="1"/>
  <c r="G922" i="1" s="1"/>
  <c r="I917" i="1"/>
  <c r="H917" i="1" a="1"/>
  <c r="H917" i="1" s="1"/>
  <c r="G917" i="1" a="1"/>
  <c r="G917" i="1" s="1"/>
  <c r="I912" i="1"/>
  <c r="H912" i="1" a="1"/>
  <c r="H912" i="1" s="1"/>
  <c r="G912" i="1" a="1"/>
  <c r="G912" i="1" s="1"/>
  <c r="I907" i="1"/>
  <c r="H907" i="1" a="1"/>
  <c r="H907" i="1" s="1"/>
  <c r="G907" i="1" a="1"/>
  <c r="G907" i="1" s="1"/>
  <c r="I902" i="1"/>
  <c r="H902" i="1" a="1"/>
  <c r="H902" i="1" s="1"/>
  <c r="G902" i="1" a="1"/>
  <c r="G902" i="1" s="1"/>
  <c r="I897" i="1"/>
  <c r="H897" i="1" a="1"/>
  <c r="H897" i="1" s="1"/>
  <c r="G897" i="1" a="1"/>
  <c r="G897" i="1" s="1"/>
  <c r="I892" i="1"/>
  <c r="H892" i="1" a="1"/>
  <c r="H892" i="1" s="1"/>
  <c r="G892" i="1" a="1"/>
  <c r="G892" i="1" s="1"/>
  <c r="I887" i="1"/>
  <c r="H887" i="1" a="1"/>
  <c r="H887" i="1" s="1"/>
  <c r="G887" i="1" a="1"/>
  <c r="G887" i="1" s="1"/>
  <c r="I882" i="1"/>
  <c r="H882" i="1" a="1"/>
  <c r="H882" i="1" s="1"/>
  <c r="G882" i="1" a="1"/>
  <c r="G882" i="1" s="1"/>
  <c r="I877" i="1"/>
  <c r="H877" i="1" a="1"/>
  <c r="H877" i="1" s="1"/>
  <c r="G877" i="1" a="1"/>
  <c r="G877" i="1" s="1"/>
  <c r="I872" i="1"/>
  <c r="H872" i="1" a="1"/>
  <c r="H872" i="1" s="1"/>
  <c r="G872" i="1" a="1"/>
  <c r="G872" i="1" s="1"/>
  <c r="I867" i="1"/>
  <c r="H867" i="1" a="1"/>
  <c r="H867" i="1" s="1"/>
  <c r="G867" i="1" a="1"/>
  <c r="G867" i="1" s="1"/>
  <c r="I862" i="1"/>
  <c r="H862" i="1" a="1"/>
  <c r="H862" i="1" s="1"/>
  <c r="G862" i="1" a="1"/>
  <c r="G862" i="1" s="1"/>
  <c r="I857" i="1"/>
  <c r="H857" i="1" a="1"/>
  <c r="H857" i="1" s="1"/>
  <c r="G857" i="1" a="1"/>
  <c r="G857" i="1" s="1"/>
  <c r="I852" i="1"/>
  <c r="H852" i="1" a="1"/>
  <c r="H852" i="1" s="1"/>
  <c r="G852" i="1" a="1"/>
  <c r="G852" i="1" s="1"/>
  <c r="I847" i="1"/>
  <c r="H847" i="1" a="1"/>
  <c r="H847" i="1" s="1"/>
  <c r="G847" i="1" a="1"/>
  <c r="G847" i="1" s="1"/>
  <c r="I842" i="1"/>
  <c r="H842" i="1" a="1"/>
  <c r="H842" i="1" s="1"/>
  <c r="G842" i="1" a="1"/>
  <c r="G842" i="1" s="1"/>
  <c r="I837" i="1"/>
  <c r="H837" i="1" a="1"/>
  <c r="H837" i="1" s="1"/>
  <c r="G837" i="1" a="1"/>
  <c r="G837" i="1" s="1"/>
  <c r="I832" i="1"/>
  <c r="H832" i="1" a="1"/>
  <c r="H832" i="1" s="1"/>
  <c r="G832" i="1" a="1"/>
  <c r="G832" i="1" s="1"/>
  <c r="I827" i="1"/>
  <c r="H827" i="1" a="1"/>
  <c r="H827" i="1" s="1"/>
  <c r="G827" i="1" a="1"/>
  <c r="G827" i="1" s="1"/>
  <c r="I822" i="1"/>
  <c r="H822" i="1" a="1"/>
  <c r="H822" i="1" s="1"/>
  <c r="G822" i="1" a="1"/>
  <c r="G822" i="1" s="1"/>
  <c r="I817" i="1"/>
  <c r="H817" i="1" a="1"/>
  <c r="H817" i="1" s="1"/>
  <c r="G817" i="1" a="1"/>
  <c r="G817" i="1" s="1"/>
  <c r="I812" i="1"/>
  <c r="H812" i="1" a="1"/>
  <c r="H812" i="1" s="1"/>
  <c r="G812" i="1" a="1"/>
  <c r="G812" i="1" s="1"/>
  <c r="I807" i="1"/>
  <c r="H807" i="1" a="1"/>
  <c r="H807" i="1" s="1"/>
  <c r="G807" i="1" a="1"/>
  <c r="G807" i="1" s="1"/>
  <c r="I802" i="1"/>
  <c r="H802" i="1" a="1"/>
  <c r="H802" i="1" s="1"/>
  <c r="G802" i="1" a="1"/>
  <c r="G802" i="1" s="1"/>
  <c r="I797" i="1"/>
  <c r="H797" i="1" a="1"/>
  <c r="H797" i="1" s="1"/>
  <c r="G797" i="1" a="1"/>
  <c r="G797" i="1" s="1"/>
  <c r="I792" i="1"/>
  <c r="H792" i="1" a="1"/>
  <c r="H792" i="1" s="1"/>
  <c r="G792" i="1" a="1"/>
  <c r="G792" i="1" s="1"/>
  <c r="I787" i="1"/>
  <c r="H787" i="1" a="1"/>
  <c r="H787" i="1" s="1"/>
  <c r="G787" i="1" a="1"/>
  <c r="G787" i="1" s="1"/>
  <c r="I782" i="1"/>
  <c r="H782" i="1" a="1"/>
  <c r="H782" i="1" s="1"/>
  <c r="G782" i="1" a="1"/>
  <c r="G782" i="1" s="1"/>
  <c r="I777" i="1"/>
  <c r="H777" i="1" a="1"/>
  <c r="H777" i="1" s="1"/>
  <c r="G777" i="1" a="1"/>
  <c r="G777" i="1" s="1"/>
  <c r="I772" i="1"/>
  <c r="H772" i="1" a="1"/>
  <c r="H772" i="1" s="1"/>
  <c r="G772" i="1" a="1"/>
  <c r="G772" i="1" s="1"/>
  <c r="I767" i="1"/>
  <c r="H767" i="1" a="1"/>
  <c r="H767" i="1" s="1"/>
  <c r="G767" i="1" a="1"/>
  <c r="G767" i="1" s="1"/>
  <c r="I762" i="1"/>
  <c r="H762" i="1" a="1"/>
  <c r="H762" i="1" s="1"/>
  <c r="G762" i="1" a="1"/>
  <c r="G762" i="1" s="1"/>
  <c r="I757" i="1"/>
  <c r="H757" i="1" a="1"/>
  <c r="H757" i="1" s="1"/>
  <c r="G757" i="1" a="1"/>
  <c r="G757" i="1" s="1"/>
  <c r="I752" i="1"/>
  <c r="H752" i="1" a="1"/>
  <c r="H752" i="1" s="1"/>
  <c r="G752" i="1" a="1"/>
  <c r="G752" i="1" s="1"/>
  <c r="I747" i="1"/>
  <c r="H747" i="1" a="1"/>
  <c r="H747" i="1" s="1"/>
  <c r="G747" i="1" a="1"/>
  <c r="G747" i="1" s="1"/>
  <c r="I742" i="1"/>
  <c r="H742" i="1" a="1"/>
  <c r="H742" i="1" s="1"/>
  <c r="G742" i="1" a="1"/>
  <c r="G742" i="1" s="1"/>
  <c r="I737" i="1"/>
  <c r="H737" i="1" a="1"/>
  <c r="H737" i="1" s="1"/>
  <c r="G737" i="1" a="1"/>
  <c r="G737" i="1" s="1"/>
  <c r="I732" i="1"/>
  <c r="H732" i="1" a="1"/>
  <c r="H732" i="1" s="1"/>
  <c r="G732" i="1" a="1"/>
  <c r="G732" i="1" s="1"/>
  <c r="I727" i="1"/>
  <c r="H727" i="1" a="1"/>
  <c r="H727" i="1" s="1"/>
  <c r="G727" i="1" a="1"/>
  <c r="G727" i="1" s="1"/>
  <c r="I722" i="1"/>
  <c r="H722" i="1" a="1"/>
  <c r="H722" i="1" s="1"/>
  <c r="G722" i="1" a="1"/>
  <c r="G722" i="1" s="1"/>
  <c r="I717" i="1"/>
  <c r="H717" i="1" a="1"/>
  <c r="H717" i="1" s="1"/>
  <c r="G717" i="1" a="1"/>
  <c r="G717" i="1" s="1"/>
  <c r="I712" i="1"/>
  <c r="H712" i="1" a="1"/>
  <c r="H712" i="1" s="1"/>
  <c r="G712" i="1" a="1"/>
  <c r="G712" i="1" s="1"/>
  <c r="I707" i="1"/>
  <c r="H707" i="1" a="1"/>
  <c r="H707" i="1" s="1"/>
  <c r="G707" i="1" a="1"/>
  <c r="G707" i="1" s="1"/>
  <c r="I702" i="1"/>
  <c r="H702" i="1" a="1"/>
  <c r="H702" i="1" s="1"/>
  <c r="G702" i="1" a="1"/>
  <c r="G702" i="1" s="1"/>
  <c r="I697" i="1"/>
  <c r="H697" i="1" a="1"/>
  <c r="H697" i="1" s="1"/>
  <c r="G697" i="1" a="1"/>
  <c r="G697" i="1" s="1"/>
  <c r="I692" i="1"/>
  <c r="H692" i="1" a="1"/>
  <c r="H692" i="1" s="1"/>
  <c r="G692" i="1" a="1"/>
  <c r="G692" i="1" s="1"/>
  <c r="I687" i="1"/>
  <c r="H687" i="1" a="1"/>
  <c r="H687" i="1" s="1"/>
  <c r="G687" i="1" a="1"/>
  <c r="G687" i="1" s="1"/>
  <c r="I682" i="1"/>
  <c r="H682" i="1" a="1"/>
  <c r="H682" i="1" s="1"/>
  <c r="G682" i="1" a="1"/>
  <c r="G682" i="1" s="1"/>
  <c r="I677" i="1"/>
  <c r="H677" i="1" a="1"/>
  <c r="H677" i="1" s="1"/>
  <c r="G677" i="1" a="1"/>
  <c r="G677" i="1" s="1"/>
  <c r="I672" i="1"/>
  <c r="H672" i="1" a="1"/>
  <c r="H672" i="1" s="1"/>
  <c r="G672" i="1" a="1"/>
  <c r="G672" i="1" s="1"/>
  <c r="I667" i="1"/>
  <c r="H667" i="1" a="1"/>
  <c r="H667" i="1" s="1"/>
  <c r="G667" i="1" a="1"/>
  <c r="G667" i="1" s="1"/>
  <c r="I662" i="1"/>
  <c r="H662" i="1" a="1"/>
  <c r="H662" i="1" s="1"/>
  <c r="G662" i="1" a="1"/>
  <c r="G662" i="1" s="1"/>
  <c r="I657" i="1"/>
  <c r="H657" i="1" a="1"/>
  <c r="H657" i="1" s="1"/>
  <c r="G657" i="1" a="1"/>
  <c r="G657" i="1" s="1"/>
  <c r="I652" i="1"/>
  <c r="H652" i="1" a="1"/>
  <c r="H652" i="1" s="1"/>
  <c r="G652" i="1" a="1"/>
  <c r="G652" i="1" s="1"/>
  <c r="I647" i="1"/>
  <c r="H647" i="1" a="1"/>
  <c r="H647" i="1" s="1"/>
  <c r="G647" i="1" a="1"/>
  <c r="G647" i="1" s="1"/>
  <c r="I642" i="1"/>
  <c r="H642" i="1" a="1"/>
  <c r="H642" i="1" s="1"/>
  <c r="G642" i="1" a="1"/>
  <c r="G642" i="1" s="1"/>
  <c r="I637" i="1"/>
  <c r="H637" i="1" a="1"/>
  <c r="H637" i="1" s="1"/>
  <c r="G637" i="1" a="1"/>
  <c r="G637" i="1" s="1"/>
  <c r="I632" i="1"/>
  <c r="H632" i="1" a="1"/>
  <c r="H632" i="1" s="1"/>
  <c r="G632" i="1" a="1"/>
  <c r="G632" i="1" s="1"/>
  <c r="I627" i="1"/>
  <c r="H627" i="1" a="1"/>
  <c r="H627" i="1" s="1"/>
  <c r="G627" i="1" a="1"/>
  <c r="G627" i="1" s="1"/>
  <c r="I622" i="1"/>
  <c r="H622" i="1" a="1"/>
  <c r="H622" i="1" s="1"/>
  <c r="G622" i="1" a="1"/>
  <c r="G622" i="1" s="1"/>
  <c r="I617" i="1"/>
  <c r="H617" i="1" a="1"/>
  <c r="H617" i="1" s="1"/>
  <c r="G617" i="1" a="1"/>
  <c r="G617" i="1" s="1"/>
  <c r="I612" i="1"/>
  <c r="H612" i="1" a="1"/>
  <c r="H612" i="1" s="1"/>
  <c r="G612" i="1" a="1"/>
  <c r="G612" i="1" s="1"/>
  <c r="I607" i="1"/>
  <c r="H607" i="1" a="1"/>
  <c r="H607" i="1" s="1"/>
  <c r="G607" i="1" a="1"/>
  <c r="G607" i="1" s="1"/>
  <c r="I602" i="1"/>
  <c r="H602" i="1" a="1"/>
  <c r="H602" i="1" s="1"/>
  <c r="G602" i="1" a="1"/>
  <c r="G602" i="1" s="1"/>
  <c r="I597" i="1"/>
  <c r="H597" i="1" a="1"/>
  <c r="H597" i="1" s="1"/>
  <c r="G597" i="1" a="1"/>
  <c r="G597" i="1" s="1"/>
  <c r="I592" i="1"/>
  <c r="H592" i="1" a="1"/>
  <c r="H592" i="1" s="1"/>
  <c r="G592" i="1" a="1"/>
  <c r="G592" i="1" s="1"/>
  <c r="I587" i="1"/>
  <c r="H587" i="1" a="1"/>
  <c r="H587" i="1" s="1"/>
  <c r="G587" i="1" a="1"/>
  <c r="G587" i="1" s="1"/>
  <c r="I582" i="1"/>
  <c r="H582" i="1" a="1"/>
  <c r="H582" i="1" s="1"/>
  <c r="G582" i="1" a="1"/>
  <c r="G582" i="1" s="1"/>
  <c r="I577" i="1"/>
  <c r="H577" i="1" a="1"/>
  <c r="H577" i="1" s="1"/>
  <c r="G577" i="1" a="1"/>
  <c r="G577" i="1" s="1"/>
  <c r="I572" i="1"/>
  <c r="H572" i="1" a="1"/>
  <c r="H572" i="1" s="1"/>
  <c r="G572" i="1" a="1"/>
  <c r="G572" i="1" s="1"/>
  <c r="I567" i="1"/>
  <c r="H567" i="1" a="1"/>
  <c r="H567" i="1" s="1"/>
  <c r="G567" i="1" a="1"/>
  <c r="G567" i="1" s="1"/>
  <c r="I562" i="1"/>
  <c r="H562" i="1" a="1"/>
  <c r="H562" i="1" s="1"/>
  <c r="G562" i="1" a="1"/>
  <c r="G562" i="1" s="1"/>
  <c r="I557" i="1"/>
  <c r="H557" i="1" a="1"/>
  <c r="H557" i="1" s="1"/>
  <c r="G557" i="1" a="1"/>
  <c r="G557" i="1" s="1"/>
  <c r="I552" i="1"/>
  <c r="H552" i="1" a="1"/>
  <c r="H552" i="1" s="1"/>
  <c r="G552" i="1" a="1"/>
  <c r="G552" i="1" s="1"/>
  <c r="I547" i="1"/>
  <c r="H547" i="1" a="1"/>
  <c r="H547" i="1" s="1"/>
  <c r="G547" i="1" a="1"/>
  <c r="G547" i="1" s="1"/>
  <c r="I542" i="1"/>
  <c r="H542" i="1" a="1"/>
  <c r="H542" i="1" s="1"/>
  <c r="G542" i="1" a="1"/>
  <c r="G542" i="1" s="1"/>
  <c r="I537" i="1"/>
  <c r="H537" i="1" a="1"/>
  <c r="H537" i="1" s="1"/>
  <c r="G537" i="1" a="1"/>
  <c r="G537" i="1" s="1"/>
  <c r="I532" i="1"/>
  <c r="H532" i="1" a="1"/>
  <c r="H532" i="1" s="1"/>
  <c r="G532" i="1" a="1"/>
  <c r="G532" i="1" s="1"/>
  <c r="I527" i="1"/>
  <c r="H527" i="1" a="1"/>
  <c r="H527" i="1" s="1"/>
  <c r="G527" i="1" a="1"/>
  <c r="G527" i="1" s="1"/>
  <c r="I522" i="1"/>
  <c r="H522" i="1" a="1"/>
  <c r="H522" i="1" s="1"/>
  <c r="G522" i="1" a="1"/>
  <c r="G522" i="1" s="1"/>
  <c r="I517" i="1"/>
  <c r="H517" i="1" a="1"/>
  <c r="H517" i="1" s="1"/>
  <c r="G517" i="1" a="1"/>
  <c r="G517" i="1" s="1"/>
  <c r="I512" i="1"/>
  <c r="H512" i="1" a="1"/>
  <c r="H512" i="1" s="1"/>
  <c r="G512" i="1" a="1"/>
  <c r="G512" i="1" s="1"/>
  <c r="I507" i="1"/>
  <c r="H507" i="1" a="1"/>
  <c r="H507" i="1" s="1"/>
  <c r="G507" i="1" a="1"/>
  <c r="G507" i="1" s="1"/>
  <c r="I502" i="1"/>
  <c r="H502" i="1" a="1"/>
  <c r="H502" i="1" s="1"/>
  <c r="G502" i="1" a="1"/>
  <c r="G502" i="1" s="1"/>
  <c r="I497" i="1"/>
  <c r="H497" i="1" a="1"/>
  <c r="H497" i="1" s="1"/>
  <c r="G497" i="1" a="1"/>
  <c r="G497" i="1" s="1"/>
  <c r="I492" i="1"/>
  <c r="H492" i="1" a="1"/>
  <c r="H492" i="1" s="1"/>
  <c r="G492" i="1" a="1"/>
  <c r="G492" i="1" s="1"/>
  <c r="I487" i="1"/>
  <c r="H487" i="1" a="1"/>
  <c r="H487" i="1" s="1"/>
  <c r="G487" i="1" a="1"/>
  <c r="G487" i="1" s="1"/>
  <c r="I482" i="1"/>
  <c r="H482" i="1" a="1"/>
  <c r="H482" i="1" s="1"/>
  <c r="G482" i="1" a="1"/>
  <c r="G482" i="1" s="1"/>
  <c r="I477" i="1"/>
  <c r="H477" i="1" a="1"/>
  <c r="H477" i="1" s="1"/>
  <c r="G477" i="1" a="1"/>
  <c r="G477" i="1" s="1"/>
  <c r="I472" i="1"/>
  <c r="H472" i="1" a="1"/>
  <c r="H472" i="1" s="1"/>
  <c r="G472" i="1" a="1"/>
  <c r="G472" i="1" s="1"/>
  <c r="I467" i="1"/>
  <c r="H467" i="1" a="1"/>
  <c r="H467" i="1" s="1"/>
  <c r="G467" i="1" a="1"/>
  <c r="G467" i="1" s="1"/>
  <c r="I462" i="1"/>
  <c r="H462" i="1" a="1"/>
  <c r="H462" i="1" s="1"/>
  <c r="G462" i="1" a="1"/>
  <c r="G462" i="1" s="1"/>
  <c r="I457" i="1"/>
  <c r="H457" i="1" a="1"/>
  <c r="H457" i="1" s="1"/>
  <c r="G457" i="1" a="1"/>
  <c r="G457" i="1" s="1"/>
  <c r="I452" i="1"/>
  <c r="H452" i="1" a="1"/>
  <c r="H452" i="1" s="1"/>
  <c r="G452" i="1" a="1"/>
  <c r="G452" i="1" s="1"/>
  <c r="I447" i="1"/>
  <c r="H447" i="1" a="1"/>
  <c r="H447" i="1" s="1"/>
  <c r="G447" i="1" a="1"/>
  <c r="G447" i="1" s="1"/>
  <c r="I442" i="1"/>
  <c r="H442" i="1" a="1"/>
  <c r="H442" i="1" s="1"/>
  <c r="G442" i="1" a="1"/>
  <c r="G442" i="1" s="1"/>
  <c r="I437" i="1"/>
  <c r="H437" i="1" a="1"/>
  <c r="H437" i="1" s="1"/>
  <c r="G437" i="1" a="1"/>
  <c r="G437" i="1" s="1"/>
  <c r="I432" i="1"/>
  <c r="H432" i="1" a="1"/>
  <c r="H432" i="1" s="1"/>
  <c r="G432" i="1" a="1"/>
  <c r="G432" i="1" s="1"/>
  <c r="I427" i="1"/>
  <c r="H427" i="1" a="1"/>
  <c r="H427" i="1" s="1"/>
  <c r="G427" i="1" a="1"/>
  <c r="G427" i="1" s="1"/>
  <c r="I422" i="1"/>
  <c r="H422" i="1" a="1"/>
  <c r="H422" i="1" s="1"/>
  <c r="G422" i="1" a="1"/>
  <c r="G422" i="1" s="1"/>
  <c r="I417" i="1"/>
  <c r="H417" i="1" a="1"/>
  <c r="H417" i="1" s="1"/>
  <c r="G417" i="1" a="1"/>
  <c r="G417" i="1" s="1"/>
  <c r="I412" i="1"/>
  <c r="H412" i="1" a="1"/>
  <c r="H412" i="1" s="1"/>
  <c r="G412" i="1" a="1"/>
  <c r="G412" i="1" s="1"/>
  <c r="I407" i="1"/>
  <c r="H407" i="1" a="1"/>
  <c r="H407" i="1" s="1"/>
  <c r="G407" i="1" a="1"/>
  <c r="G407" i="1" s="1"/>
  <c r="I402" i="1"/>
  <c r="H402" i="1" a="1"/>
  <c r="H402" i="1" s="1"/>
  <c r="G402" i="1" a="1"/>
  <c r="G402" i="1" s="1"/>
  <c r="I397" i="1"/>
  <c r="H397" i="1" a="1"/>
  <c r="H397" i="1" s="1"/>
  <c r="G397" i="1" a="1"/>
  <c r="G397" i="1" s="1"/>
  <c r="I392" i="1"/>
  <c r="H392" i="1" a="1"/>
  <c r="H392" i="1" s="1"/>
  <c r="G392" i="1" a="1"/>
  <c r="G392" i="1" s="1"/>
  <c r="I387" i="1"/>
  <c r="H387" i="1" a="1"/>
  <c r="H387" i="1" s="1"/>
  <c r="G387" i="1" a="1"/>
  <c r="G387" i="1" s="1"/>
  <c r="I382" i="1"/>
  <c r="H382" i="1" a="1"/>
  <c r="H382" i="1" s="1"/>
  <c r="G382" i="1" a="1"/>
  <c r="G382" i="1" s="1"/>
  <c r="I377" i="1"/>
  <c r="H377" i="1" a="1"/>
  <c r="H377" i="1" s="1"/>
  <c r="G377" i="1" a="1"/>
  <c r="G377" i="1" s="1"/>
  <c r="I372" i="1"/>
  <c r="H372" i="1" a="1"/>
  <c r="H372" i="1" s="1"/>
  <c r="G372" i="1" a="1"/>
  <c r="G372" i="1" s="1"/>
  <c r="I367" i="1"/>
  <c r="H367" i="1" a="1"/>
  <c r="H367" i="1" s="1"/>
  <c r="G367" i="1" a="1"/>
  <c r="G367" i="1" s="1"/>
  <c r="I362" i="1"/>
  <c r="H362" i="1" a="1"/>
  <c r="H362" i="1" s="1"/>
  <c r="G362" i="1" a="1"/>
  <c r="G362" i="1" s="1"/>
  <c r="I357" i="1"/>
  <c r="H357" i="1" a="1"/>
  <c r="H357" i="1" s="1"/>
  <c r="G357" i="1" a="1"/>
  <c r="G357" i="1" s="1"/>
  <c r="I352" i="1"/>
  <c r="H352" i="1" a="1"/>
  <c r="H352" i="1" s="1"/>
  <c r="G352" i="1" a="1"/>
  <c r="G352" i="1" s="1"/>
  <c r="I347" i="1"/>
  <c r="H347" i="1" a="1"/>
  <c r="H347" i="1" s="1"/>
  <c r="G347" i="1" a="1"/>
  <c r="G347" i="1" s="1"/>
  <c r="I342" i="1"/>
  <c r="H342" i="1" a="1"/>
  <c r="H342" i="1" s="1"/>
  <c r="G342" i="1" a="1"/>
  <c r="G342" i="1" s="1"/>
  <c r="I337" i="1"/>
  <c r="H337" i="1" a="1"/>
  <c r="H337" i="1" s="1"/>
  <c r="G337" i="1" a="1"/>
  <c r="G337" i="1" s="1"/>
  <c r="I332" i="1"/>
  <c r="H332" i="1" a="1"/>
  <c r="H332" i="1" s="1"/>
  <c r="G332" i="1" a="1"/>
  <c r="G332" i="1" s="1"/>
  <c r="I327" i="1"/>
  <c r="H327" i="1" a="1"/>
  <c r="H327" i="1" s="1"/>
  <c r="G327" i="1" a="1"/>
  <c r="G327" i="1" s="1"/>
  <c r="I322" i="1"/>
  <c r="H322" i="1" a="1"/>
  <c r="H322" i="1" s="1"/>
  <c r="G322" i="1" a="1"/>
  <c r="G322" i="1" s="1"/>
  <c r="I317" i="1"/>
  <c r="H317" i="1" a="1"/>
  <c r="H317" i="1" s="1"/>
  <c r="G317" i="1" a="1"/>
  <c r="G317" i="1" s="1"/>
  <c r="I312" i="1"/>
  <c r="H312" i="1" a="1"/>
  <c r="H312" i="1" s="1"/>
  <c r="G312" i="1" a="1"/>
  <c r="G312" i="1" s="1"/>
  <c r="I307" i="1"/>
  <c r="H307" i="1" a="1"/>
  <c r="H307" i="1" s="1"/>
  <c r="G307" i="1" a="1"/>
  <c r="G307" i="1" s="1"/>
  <c r="I302" i="1"/>
  <c r="H302" i="1" a="1"/>
  <c r="H302" i="1" s="1"/>
  <c r="G302" i="1" a="1"/>
  <c r="G302" i="1" s="1"/>
  <c r="I297" i="1"/>
  <c r="H297" i="1" a="1"/>
  <c r="H297" i="1" s="1"/>
  <c r="G297" i="1" a="1"/>
  <c r="G297" i="1" s="1"/>
  <c r="I292" i="1"/>
  <c r="H292" i="1" a="1"/>
  <c r="H292" i="1" s="1"/>
  <c r="G292" i="1" a="1"/>
  <c r="G292" i="1" s="1"/>
  <c r="I287" i="1"/>
  <c r="H287" i="1" a="1"/>
  <c r="H287" i="1" s="1"/>
  <c r="G287" i="1" a="1"/>
  <c r="G287" i="1" s="1"/>
  <c r="I282" i="1"/>
  <c r="H282" i="1" a="1"/>
  <c r="H282" i="1" s="1"/>
  <c r="G282" i="1" a="1"/>
  <c r="G282" i="1" s="1"/>
  <c r="I277" i="1"/>
  <c r="H277" i="1" a="1"/>
  <c r="H277" i="1" s="1"/>
  <c r="G277" i="1" a="1"/>
  <c r="G277" i="1" s="1"/>
  <c r="I272" i="1"/>
  <c r="H272" i="1" a="1"/>
  <c r="H272" i="1" s="1"/>
  <c r="G272" i="1" a="1"/>
  <c r="G272" i="1" s="1"/>
  <c r="I267" i="1"/>
  <c r="H267" i="1" a="1"/>
  <c r="H267" i="1" s="1"/>
  <c r="G267" i="1" a="1"/>
  <c r="G267" i="1" s="1"/>
  <c r="I262" i="1"/>
  <c r="H262" i="1" a="1"/>
  <c r="H262" i="1" s="1"/>
  <c r="G262" i="1" a="1"/>
  <c r="G262" i="1" s="1"/>
  <c r="I257" i="1"/>
  <c r="H257" i="1" a="1"/>
  <c r="H257" i="1" s="1"/>
  <c r="G257" i="1" a="1"/>
  <c r="G257" i="1" s="1"/>
  <c r="I252" i="1"/>
  <c r="H252" i="1" a="1"/>
  <c r="H252" i="1" s="1"/>
  <c r="G252" i="1" a="1"/>
  <c r="G252" i="1" s="1"/>
  <c r="I247" i="1"/>
  <c r="H247" i="1" a="1"/>
  <c r="H247" i="1" s="1"/>
  <c r="G247" i="1" a="1"/>
  <c r="G247" i="1" s="1"/>
  <c r="I242" i="1"/>
  <c r="H242" i="1" a="1"/>
  <c r="H242" i="1" s="1"/>
  <c r="G242" i="1" a="1"/>
  <c r="G242" i="1" s="1"/>
  <c r="I237" i="1"/>
  <c r="H237" i="1" a="1"/>
  <c r="H237" i="1" s="1"/>
  <c r="G237" i="1" a="1"/>
  <c r="G237" i="1" s="1"/>
  <c r="I232" i="1"/>
  <c r="H232" i="1" a="1"/>
  <c r="H232" i="1" s="1"/>
  <c r="G232" i="1" a="1"/>
  <c r="G232" i="1" s="1"/>
  <c r="I227" i="1"/>
  <c r="H227" i="1" a="1"/>
  <c r="H227" i="1" s="1"/>
  <c r="G227" i="1" a="1"/>
  <c r="G227" i="1" s="1"/>
  <c r="I222" i="1"/>
  <c r="H222" i="1" a="1"/>
  <c r="H222" i="1" s="1"/>
  <c r="G222" i="1" a="1"/>
  <c r="G222" i="1" s="1"/>
  <c r="I217" i="1"/>
  <c r="H217" i="1" a="1"/>
  <c r="H217" i="1" s="1"/>
  <c r="G217" i="1" a="1"/>
  <c r="G217" i="1" s="1"/>
  <c r="I212" i="1"/>
  <c r="H212" i="1" a="1"/>
  <c r="H212" i="1" s="1"/>
  <c r="G212" i="1" a="1"/>
  <c r="G212" i="1" s="1"/>
  <c r="I207" i="1"/>
  <c r="H207" i="1" a="1"/>
  <c r="H207" i="1" s="1"/>
  <c r="G207" i="1" a="1"/>
  <c r="G207" i="1" s="1"/>
  <c r="I202" i="1"/>
  <c r="H202" i="1" a="1"/>
  <c r="H202" i="1" s="1"/>
  <c r="G202" i="1" a="1"/>
  <c r="G202" i="1" s="1"/>
  <c r="I197" i="1"/>
  <c r="H197" i="1" a="1"/>
  <c r="H197" i="1" s="1"/>
  <c r="G197" i="1" a="1"/>
  <c r="G197" i="1" s="1"/>
  <c r="I192" i="1"/>
  <c r="H192" i="1" a="1"/>
  <c r="H192" i="1" s="1"/>
  <c r="G192" i="1" a="1"/>
  <c r="G192" i="1" s="1"/>
  <c r="I187" i="1"/>
  <c r="H187" i="1" a="1"/>
  <c r="H187" i="1" s="1"/>
  <c r="G187" i="1" a="1"/>
  <c r="G187" i="1" s="1"/>
  <c r="I182" i="1"/>
  <c r="H182" i="1" a="1"/>
  <c r="H182" i="1" s="1"/>
  <c r="G182" i="1" a="1"/>
  <c r="G182" i="1" s="1"/>
  <c r="I177" i="1"/>
  <c r="H177" i="1" a="1"/>
  <c r="H177" i="1" s="1"/>
  <c r="G177" i="1" a="1"/>
  <c r="G177" i="1" s="1"/>
  <c r="I172" i="1"/>
  <c r="H172" i="1" a="1"/>
  <c r="H172" i="1" s="1"/>
  <c r="G172" i="1" a="1"/>
  <c r="G172" i="1" s="1"/>
  <c r="I167" i="1"/>
  <c r="H167" i="1" a="1"/>
  <c r="H167" i="1" s="1"/>
  <c r="G167" i="1" a="1"/>
  <c r="G167" i="1" s="1"/>
  <c r="I162" i="1"/>
  <c r="H162" i="1" a="1"/>
  <c r="H162" i="1" s="1"/>
  <c r="G162" i="1" a="1"/>
  <c r="G162" i="1" s="1"/>
  <c r="I157" i="1"/>
  <c r="H157" i="1" a="1"/>
  <c r="H157" i="1" s="1"/>
  <c r="G157" i="1" a="1"/>
  <c r="G157" i="1" s="1"/>
  <c r="I152" i="1"/>
  <c r="H152" i="1" a="1"/>
  <c r="H152" i="1" s="1"/>
  <c r="G152" i="1" a="1"/>
  <c r="G152" i="1" s="1"/>
  <c r="I147" i="1"/>
  <c r="H147" i="1" a="1"/>
  <c r="H147" i="1" s="1"/>
  <c r="G147" i="1" a="1"/>
  <c r="G147" i="1" s="1"/>
  <c r="I142" i="1"/>
  <c r="H142" i="1" a="1"/>
  <c r="H142" i="1" s="1"/>
  <c r="G142" i="1" a="1"/>
  <c r="G142" i="1" s="1"/>
  <c r="I137" i="1"/>
  <c r="H137" i="1" a="1"/>
  <c r="H137" i="1" s="1"/>
  <c r="G137" i="1" a="1"/>
  <c r="G137" i="1" s="1"/>
  <c r="I132" i="1"/>
  <c r="H132" i="1" a="1"/>
  <c r="H132" i="1" s="1"/>
  <c r="G132" i="1" a="1"/>
  <c r="G132" i="1" s="1"/>
  <c r="I127" i="1"/>
  <c r="H127" i="1" a="1"/>
  <c r="H127" i="1" s="1"/>
  <c r="G127" i="1" a="1"/>
  <c r="G127" i="1" s="1"/>
  <c r="I122" i="1"/>
  <c r="H122" i="1" a="1"/>
  <c r="H122" i="1" s="1"/>
  <c r="G122" i="1" a="1"/>
  <c r="G122" i="1" s="1"/>
  <c r="I117" i="1"/>
  <c r="H117" i="1" a="1"/>
  <c r="H117" i="1" s="1"/>
  <c r="G117" i="1" a="1"/>
  <c r="G117" i="1" s="1"/>
  <c r="I112" i="1"/>
  <c r="H112" i="1" a="1"/>
  <c r="H112" i="1" s="1"/>
  <c r="G112" i="1" a="1"/>
  <c r="G112" i="1" s="1"/>
  <c r="I107" i="1"/>
  <c r="H107" i="1" a="1"/>
  <c r="H107" i="1" s="1"/>
  <c r="G107" i="1" a="1"/>
  <c r="G107" i="1" s="1"/>
  <c r="I102" i="1"/>
  <c r="H102" i="1" a="1"/>
  <c r="H102" i="1" s="1"/>
  <c r="G102" i="1" a="1"/>
  <c r="G102" i="1" s="1"/>
  <c r="I97" i="1"/>
  <c r="H97" i="1" a="1"/>
  <c r="H97" i="1" s="1"/>
  <c r="G97" i="1" a="1"/>
  <c r="G97" i="1" s="1"/>
  <c r="I92" i="1"/>
  <c r="H92" i="1" a="1"/>
  <c r="H92" i="1" s="1"/>
  <c r="G92" i="1" a="1"/>
  <c r="G92" i="1" s="1"/>
  <c r="I87" i="1"/>
  <c r="H87" i="1" a="1"/>
  <c r="H87" i="1" s="1"/>
  <c r="G87" i="1" a="1"/>
  <c r="G87" i="1" s="1"/>
  <c r="I82" i="1"/>
  <c r="H82" i="1" a="1"/>
  <c r="H82" i="1" s="1"/>
  <c r="G82" i="1" a="1"/>
  <c r="G82" i="1" s="1"/>
  <c r="I77" i="1"/>
  <c r="H77" i="1" a="1"/>
  <c r="H77" i="1" s="1"/>
  <c r="G77" i="1" a="1"/>
  <c r="G77" i="1" s="1"/>
  <c r="I72" i="1"/>
  <c r="H72" i="1" a="1"/>
  <c r="H72" i="1" s="1"/>
  <c r="G72" i="1" a="1"/>
  <c r="G72" i="1" s="1"/>
  <c r="I67" i="1"/>
  <c r="H67" i="1" a="1"/>
  <c r="H67" i="1" s="1"/>
  <c r="G67" i="1" a="1"/>
  <c r="G67" i="1" s="1"/>
  <c r="I62" i="1"/>
  <c r="H62" i="1" a="1"/>
  <c r="H62" i="1" s="1"/>
  <c r="G62" i="1" a="1"/>
  <c r="G62" i="1" s="1"/>
  <c r="I57" i="1"/>
  <c r="H57" i="1" a="1"/>
  <c r="H57" i="1" s="1"/>
  <c r="G57" i="1" a="1"/>
  <c r="G57" i="1" s="1"/>
  <c r="I52" i="1"/>
  <c r="H52" i="1" a="1"/>
  <c r="H52" i="1" s="1"/>
  <c r="G52" i="1" a="1"/>
  <c r="G52" i="1" s="1"/>
  <c r="I47" i="1"/>
  <c r="H47" i="1" a="1"/>
  <c r="H47" i="1" s="1"/>
  <c r="G47" i="1" a="1"/>
  <c r="G47" i="1" s="1"/>
  <c r="I42" i="1"/>
  <c r="H42" i="1" a="1"/>
  <c r="H42" i="1" s="1"/>
  <c r="G42" i="1" a="1"/>
  <c r="G42" i="1" s="1"/>
  <c r="I37" i="1"/>
  <c r="H37" i="1" a="1"/>
  <c r="H37" i="1" s="1"/>
  <c r="G37" i="1" a="1"/>
  <c r="G37" i="1" s="1"/>
  <c r="I32" i="1"/>
  <c r="H32" i="1" a="1"/>
  <c r="H32" i="1" s="1"/>
  <c r="G32" i="1" a="1"/>
  <c r="G32" i="1" s="1"/>
  <c r="I27" i="1"/>
  <c r="H27" i="1" a="1"/>
  <c r="H27" i="1" s="1"/>
  <c r="G27" i="1" a="1"/>
  <c r="G27" i="1" s="1"/>
  <c r="I22" i="1"/>
  <c r="H22" i="1" a="1"/>
  <c r="H22" i="1" s="1"/>
  <c r="G22" i="1" a="1"/>
  <c r="G22" i="1" s="1"/>
  <c r="I17" i="1"/>
  <c r="H17" i="1" a="1"/>
  <c r="H17" i="1" s="1"/>
  <c r="G17" i="1" a="1"/>
  <c r="G17" i="1" s="1"/>
  <c r="I12" i="1"/>
  <c r="H12" i="1" a="1"/>
  <c r="H12" i="1" s="1"/>
  <c r="G12" i="1" a="1"/>
  <c r="G12" i="1" s="1"/>
  <c r="I7" i="1"/>
  <c r="H7" i="1" a="1"/>
  <c r="H7" i="1" s="1"/>
  <c r="G7" i="1" a="1"/>
  <c r="G7" i="1" s="1"/>
  <c r="I2" i="1"/>
  <c r="H2" i="1" a="1"/>
  <c r="H2" i="1" s="1"/>
  <c r="G2" i="1" a="1"/>
  <c r="G2" i="1" s="1"/>
  <c r="N1449" i="1" l="1" a="1"/>
  <c r="N1449" i="1" s="1"/>
  <c r="M1449" i="1" a="1"/>
  <c r="M1449" i="1" s="1"/>
  <c r="N1549" i="1" a="1"/>
  <c r="N1549" i="1" s="1"/>
  <c r="M1549" i="1" a="1"/>
  <c r="M1549" i="1" s="1"/>
  <c r="N1459" i="1" a="1"/>
  <c r="N1459" i="1" s="1"/>
  <c r="M1459" i="1" a="1"/>
  <c r="M1459" i="1" s="1"/>
  <c r="N1559" i="1" a="1"/>
  <c r="N1559" i="1" s="1"/>
  <c r="M1559" i="1" a="1"/>
  <c r="M1559" i="1" s="1"/>
  <c r="N1469" i="1" a="1"/>
  <c r="N1469" i="1" s="1"/>
  <c r="M1469" i="1" a="1"/>
  <c r="M1469" i="1" s="1"/>
  <c r="N1479" i="1" a="1"/>
  <c r="N1479" i="1" s="1"/>
  <c r="M1479" i="1" a="1"/>
  <c r="M1479" i="1" s="1"/>
  <c r="N1499" i="1" a="1"/>
  <c r="N1499" i="1" s="1"/>
  <c r="M1499" i="1" a="1"/>
  <c r="M1499" i="1" s="1"/>
  <c r="N1509" i="1" a="1"/>
  <c r="N1509" i="1" s="1"/>
  <c r="M1509" i="1" a="1"/>
  <c r="M1509" i="1" s="1"/>
  <c r="N1514" i="1" a="1"/>
  <c r="N1514" i="1" s="1"/>
  <c r="M1514" i="1" a="1"/>
  <c r="M1514" i="1" s="1"/>
  <c r="N1519" i="1" a="1"/>
  <c r="N1519" i="1" s="1"/>
  <c r="M1519" i="1" a="1"/>
  <c r="M1519" i="1" s="1"/>
  <c r="N1539" i="1" a="1"/>
  <c r="N1539" i="1" s="1"/>
  <c r="M1539" i="1" a="1"/>
  <c r="M1539" i="1" s="1"/>
  <c r="N1454" i="1" a="1"/>
  <c r="N1454" i="1" s="1"/>
  <c r="M1454" i="1" a="1"/>
  <c r="M1454" i="1" s="1"/>
  <c r="N1554" i="1" a="1"/>
  <c r="N1554" i="1" s="1"/>
  <c r="M1554" i="1" a="1"/>
  <c r="M1554" i="1" s="1"/>
  <c r="N1464" i="1" a="1"/>
  <c r="N1464" i="1" s="1"/>
  <c r="M1464" i="1" a="1"/>
  <c r="M1464" i="1" s="1"/>
  <c r="N1564" i="1" a="1"/>
  <c r="N1564" i="1" s="1"/>
  <c r="M1564" i="1" a="1"/>
  <c r="M1564" i="1" s="1"/>
  <c r="N1474" i="1" a="1"/>
  <c r="N1474" i="1" s="1"/>
  <c r="M1474" i="1" a="1"/>
  <c r="M1474" i="1" s="1"/>
  <c r="N1484" i="1" a="1"/>
  <c r="N1484" i="1" s="1"/>
  <c r="M1484" i="1" a="1"/>
  <c r="M1484" i="1" s="1"/>
  <c r="N1489" i="1" a="1"/>
  <c r="N1489" i="1" s="1"/>
  <c r="M1489" i="1" a="1"/>
  <c r="M1489" i="1" s="1"/>
  <c r="N1494" i="1" a="1"/>
  <c r="N1494" i="1" s="1"/>
  <c r="M1494" i="1" a="1"/>
  <c r="M1494" i="1" s="1"/>
  <c r="N1504" i="1" a="1"/>
  <c r="N1504" i="1" s="1"/>
  <c r="M1504" i="1" a="1"/>
  <c r="M1504" i="1" s="1"/>
  <c r="N1524" i="1" a="1"/>
  <c r="N1524" i="1" s="1"/>
  <c r="M1524" i="1" a="1"/>
  <c r="M1524" i="1" s="1"/>
  <c r="N1529" i="1" a="1"/>
  <c r="N1529" i="1" s="1"/>
  <c r="M1529" i="1" a="1"/>
  <c r="M1529" i="1" s="1"/>
  <c r="N1534" i="1" a="1"/>
  <c r="N1534" i="1" s="1"/>
  <c r="M1534" i="1" a="1"/>
  <c r="M1534" i="1" s="1"/>
  <c r="N1444" i="1" a="1"/>
  <c r="N1444" i="1" s="1"/>
  <c r="M1444" i="1" a="1"/>
  <c r="M1444" i="1" s="1"/>
  <c r="N1544" i="1" a="1"/>
  <c r="N1544" i="1" s="1"/>
  <c r="M1544" i="1" a="1"/>
  <c r="M1544" i="1" s="1"/>
  <c r="N1528" i="1" a="1"/>
  <c r="N1528" i="1" s="1"/>
  <c r="M1528" i="1" a="1"/>
  <c r="M1528" i="1" s="1"/>
  <c r="N1919" i="1" a="1"/>
  <c r="N1919" i="1" s="1"/>
  <c r="M1919" i="1" a="1"/>
  <c r="M1919" i="1" s="1"/>
  <c r="N1533" i="1" a="1"/>
  <c r="N1533" i="1" s="1"/>
  <c r="M1533" i="1" a="1"/>
  <c r="M1533" i="1" s="1"/>
  <c r="N1538" i="1" a="1"/>
  <c r="N1538" i="1" s="1"/>
  <c r="M1538" i="1" a="1"/>
  <c r="M1538" i="1" s="1"/>
  <c r="N1829" i="1" a="1"/>
  <c r="N1829" i="1" s="1"/>
  <c r="M1829" i="1" a="1"/>
  <c r="M1829" i="1" s="1"/>
  <c r="N1929" i="1" a="1"/>
  <c r="N1929" i="1" s="1"/>
  <c r="M1929" i="1" a="1"/>
  <c r="M1929" i="1" s="1"/>
  <c r="N1443" i="1" a="1"/>
  <c r="N1443" i="1" s="1"/>
  <c r="M1443" i="1" a="1"/>
  <c r="M1443" i="1" s="1"/>
  <c r="N1543" i="1" a="1"/>
  <c r="N1543" i="1" s="1"/>
  <c r="M1543" i="1" a="1"/>
  <c r="M1543" i="1" s="1"/>
  <c r="N1453" i="1" a="1"/>
  <c r="N1453" i="1" s="1"/>
  <c r="M1453" i="1" a="1"/>
  <c r="M1453" i="1" s="1"/>
  <c r="N1553" i="1" a="1"/>
  <c r="N1553" i="1" s="1"/>
  <c r="M1553" i="1" a="1"/>
  <c r="M1553" i="1" s="1"/>
  <c r="N1458" i="1" a="1"/>
  <c r="N1458" i="1" s="1"/>
  <c r="M1458" i="1" a="1"/>
  <c r="M1458" i="1" s="1"/>
  <c r="N1558" i="1" a="1"/>
  <c r="N1558" i="1" s="1"/>
  <c r="M1558" i="1" a="1"/>
  <c r="M1558" i="1" s="1"/>
  <c r="N1463" i="1" a="1"/>
  <c r="N1463" i="1" s="1"/>
  <c r="M1463" i="1" a="1"/>
  <c r="M1463" i="1" s="1"/>
  <c r="N1563" i="1" a="1"/>
  <c r="N1563" i="1" s="1"/>
  <c r="M1563" i="1" a="1"/>
  <c r="M1563" i="1" s="1"/>
  <c r="N1473" i="1" a="1"/>
  <c r="N1473" i="1" s="1"/>
  <c r="M1473" i="1" a="1"/>
  <c r="M1473" i="1" s="1"/>
  <c r="N2019" i="1" a="1"/>
  <c r="N2019" i="1" s="1"/>
  <c r="M2019" i="1" a="1"/>
  <c r="M2019" i="1" s="1"/>
  <c r="N1891" i="1" a="1"/>
  <c r="N1891" i="1" s="1"/>
  <c r="M1891" i="1" a="1"/>
  <c r="M1891" i="1" s="1"/>
  <c r="N1478" i="1" a="1"/>
  <c r="N1478" i="1" s="1"/>
  <c r="M1478" i="1" a="1"/>
  <c r="M1478" i="1" s="1"/>
  <c r="N1483" i="1" a="1"/>
  <c r="N1483" i="1" s="1"/>
  <c r="M1483" i="1" a="1"/>
  <c r="M1483" i="1" s="1"/>
  <c r="N1488" i="1" a="1"/>
  <c r="N1488" i="1" s="1"/>
  <c r="M1488" i="1" a="1"/>
  <c r="M1488" i="1" s="1"/>
  <c r="N1493" i="1" a="1"/>
  <c r="N1493" i="1" s="1"/>
  <c r="M1493" i="1" a="1"/>
  <c r="M1493" i="1" s="1"/>
  <c r="N1966" i="1" a="1"/>
  <c r="N1966" i="1" s="1"/>
  <c r="M1966" i="1" a="1"/>
  <c r="M1966" i="1" s="1"/>
  <c r="N1498" i="1" a="1"/>
  <c r="N1498" i="1" s="1"/>
  <c r="M1498" i="1" a="1"/>
  <c r="M1498" i="1" s="1"/>
  <c r="N1471" i="1" a="1"/>
  <c r="N1471" i="1" s="1"/>
  <c r="M1471" i="1" a="1"/>
  <c r="M1471" i="1" s="1"/>
  <c r="N1889" i="1" a="1"/>
  <c r="N1889" i="1" s="1"/>
  <c r="M1889" i="1" a="1"/>
  <c r="M1889" i="1" s="1"/>
  <c r="N1991" i="1" a="1"/>
  <c r="N1991" i="1" s="1"/>
  <c r="M1991" i="1" a="1"/>
  <c r="M1991" i="1" s="1"/>
  <c r="N1503" i="1" a="1"/>
  <c r="N1503" i="1" s="1"/>
  <c r="M1503" i="1" a="1"/>
  <c r="M1503" i="1" s="1"/>
  <c r="N1481" i="1" a="1"/>
  <c r="N1481" i="1" s="1"/>
  <c r="M1481" i="1" a="1"/>
  <c r="M1481" i="1" s="1"/>
  <c r="N1508" i="1" a="1"/>
  <c r="N1508" i="1" s="1"/>
  <c r="M1508" i="1" a="1"/>
  <c r="M1508" i="1" s="1"/>
  <c r="N1513" i="1" a="1"/>
  <c r="N1513" i="1" s="1"/>
  <c r="M1513" i="1" a="1"/>
  <c r="M1513" i="1" s="1"/>
  <c r="N1518" i="1" a="1"/>
  <c r="N1518" i="1" s="1"/>
  <c r="M1518" i="1" a="1"/>
  <c r="M1518" i="1" s="1"/>
  <c r="N1546" i="1" a="1"/>
  <c r="N1546" i="1" s="1"/>
  <c r="M1546" i="1" a="1"/>
  <c r="M1546" i="1" s="1"/>
  <c r="N1909" i="1" a="1"/>
  <c r="N1909" i="1" s="1"/>
  <c r="M1909" i="1" a="1"/>
  <c r="M1909" i="1" s="1"/>
  <c r="N1523" i="1" a="1"/>
  <c r="N1523" i="1" s="1"/>
  <c r="M1523" i="1" a="1"/>
  <c r="M1523" i="1" s="1"/>
  <c r="N1561" i="1" a="1"/>
  <c r="N1561" i="1" s="1"/>
  <c r="M1561" i="1" a="1"/>
  <c r="M1561" i="1" s="1"/>
  <c r="N1834" i="1" a="1"/>
  <c r="N1834" i="1" s="1"/>
  <c r="M1834" i="1" a="1"/>
  <c r="M1834" i="1" s="1"/>
  <c r="N1934" i="1" a="1"/>
  <c r="N1934" i="1" s="1"/>
  <c r="M1934" i="1" a="1"/>
  <c r="M1934" i="1" s="1"/>
  <c r="N1839" i="1" a="1"/>
  <c r="N1839" i="1" s="1"/>
  <c r="M1839" i="1" a="1"/>
  <c r="M1839" i="1" s="1"/>
  <c r="N1939" i="1" a="1"/>
  <c r="N1939" i="1" s="1"/>
  <c r="M1939" i="1" a="1"/>
  <c r="M1939" i="1" s="1"/>
  <c r="N1831" i="1" a="1"/>
  <c r="N1831" i="1" s="1"/>
  <c r="M1831" i="1" a="1"/>
  <c r="M1831" i="1" s="1"/>
  <c r="N1844" i="1" a="1"/>
  <c r="N1844" i="1" s="1"/>
  <c r="M1844" i="1" a="1"/>
  <c r="M1844" i="1" s="1"/>
  <c r="N1944" i="1" a="1"/>
  <c r="N1944" i="1" s="1"/>
  <c r="M1944" i="1" a="1"/>
  <c r="M1944" i="1" s="1"/>
  <c r="N1466" i="1" a="1"/>
  <c r="N1466" i="1" s="1"/>
  <c r="M1466" i="1" a="1"/>
  <c r="M1466" i="1" s="1"/>
  <c r="N1448" i="1" a="1"/>
  <c r="N1448" i="1" s="1"/>
  <c r="M1448" i="1" a="1"/>
  <c r="M1448" i="1" s="1"/>
  <c r="N1548" i="1" a="1"/>
  <c r="N1548" i="1" s="1"/>
  <c r="M1548" i="1" a="1"/>
  <c r="M1548" i="1" s="1"/>
  <c r="N1846" i="1" a="1"/>
  <c r="N1846" i="1" s="1"/>
  <c r="M1846" i="1" a="1"/>
  <c r="M1846" i="1" s="1"/>
  <c r="N1849" i="1" a="1"/>
  <c r="N1849" i="1" s="1"/>
  <c r="M1849" i="1" a="1"/>
  <c r="M1849" i="1" s="1"/>
  <c r="N1949" i="1" a="1"/>
  <c r="N1949" i="1" s="1"/>
  <c r="M1949" i="1" a="1"/>
  <c r="M1949" i="1" s="1"/>
  <c r="N1486" i="1" a="1"/>
  <c r="N1486" i="1" s="1"/>
  <c r="M1486" i="1" a="1"/>
  <c r="M1486" i="1" s="1"/>
  <c r="N1856" i="1" a="1"/>
  <c r="N1856" i="1" s="1"/>
  <c r="M1856" i="1" a="1"/>
  <c r="M1856" i="1" s="1"/>
  <c r="N1854" i="1" a="1"/>
  <c r="N1854" i="1" s="1"/>
  <c r="M1854" i="1" a="1"/>
  <c r="M1854" i="1" s="1"/>
  <c r="N1954" i="1" a="1"/>
  <c r="N1954" i="1" s="1"/>
  <c r="M1954" i="1" a="1"/>
  <c r="M1954" i="1" s="1"/>
  <c r="N1496" i="1" a="1"/>
  <c r="N1496" i="1" s="1"/>
  <c r="M1496" i="1" a="1"/>
  <c r="M1496" i="1" s="1"/>
  <c r="N1859" i="1" a="1"/>
  <c r="N1859" i="1" s="1"/>
  <c r="M1859" i="1" a="1"/>
  <c r="M1859" i="1" s="1"/>
  <c r="N1959" i="1" a="1"/>
  <c r="N1959" i="1" s="1"/>
  <c r="M1959" i="1" a="1"/>
  <c r="M1959" i="1" s="1"/>
  <c r="N1501" i="1" a="1"/>
  <c r="N1501" i="1" s="1"/>
  <c r="M1501" i="1" a="1"/>
  <c r="M1501" i="1" s="1"/>
  <c r="N1511" i="1" a="1"/>
  <c r="N1511" i="1" s="1"/>
  <c r="M1511" i="1" a="1"/>
  <c r="M1511" i="1" s="1"/>
  <c r="N1901" i="1" a="1"/>
  <c r="N1901" i="1" s="1"/>
  <c r="M1901" i="1" a="1"/>
  <c r="M1901" i="1" s="1"/>
  <c r="N1864" i="1" a="1"/>
  <c r="N1864" i="1" s="1"/>
  <c r="M1864" i="1" a="1"/>
  <c r="M1864" i="1" s="1"/>
  <c r="N1964" i="1" a="1"/>
  <c r="N1964" i="1" s="1"/>
  <c r="M1964" i="1" a="1"/>
  <c r="M1964" i="1" s="1"/>
  <c r="N1866" i="1" a="1"/>
  <c r="N1866" i="1" s="1"/>
  <c r="M1866" i="1" a="1"/>
  <c r="M1866" i="1" s="1"/>
  <c r="N1468" i="1" a="1"/>
  <c r="N1468" i="1" s="1"/>
  <c r="M1468" i="1" a="1"/>
  <c r="M1468" i="1" s="1"/>
  <c r="N1536" i="1" a="1"/>
  <c r="N1536" i="1" s="1"/>
  <c r="M1536" i="1" a="1"/>
  <c r="M1536" i="1" s="1"/>
  <c r="N1941" i="1" a="1"/>
  <c r="N1941" i="1" s="1"/>
  <c r="M1941" i="1" a="1"/>
  <c r="M1941" i="1" s="1"/>
  <c r="N1869" i="1" a="1"/>
  <c r="N1869" i="1" s="1"/>
  <c r="M1869" i="1" a="1"/>
  <c r="M1869" i="1" s="1"/>
  <c r="N1969" i="1" a="1"/>
  <c r="N1969" i="1" s="1"/>
  <c r="M1969" i="1" a="1"/>
  <c r="M1969" i="1" s="1"/>
  <c r="N1881" i="1" a="1"/>
  <c r="N1881" i="1" s="1"/>
  <c r="M1881" i="1" a="1"/>
  <c r="M1881" i="1" s="1"/>
  <c r="N1956" i="1" a="1"/>
  <c r="N1956" i="1" s="1"/>
  <c r="M1956" i="1" a="1"/>
  <c r="M1956" i="1" s="1"/>
  <c r="N1874" i="1" a="1"/>
  <c r="N1874" i="1" s="1"/>
  <c r="M1874" i="1" a="1"/>
  <c r="M1874" i="1" s="1"/>
  <c r="N1974" i="1" a="1"/>
  <c r="N1974" i="1" s="1"/>
  <c r="M1974" i="1" a="1"/>
  <c r="M1974" i="1" s="1"/>
  <c r="N1896" i="1" a="1"/>
  <c r="N1896" i="1" s="1"/>
  <c r="M1896" i="1" a="1"/>
  <c r="M1896" i="1" s="1"/>
  <c r="N1879" i="1" a="1"/>
  <c r="N1879" i="1" s="1"/>
  <c r="M1879" i="1" a="1"/>
  <c r="M1879" i="1" s="1"/>
  <c r="N1979" i="1" a="1"/>
  <c r="N1979" i="1" s="1"/>
  <c r="M1979" i="1" a="1"/>
  <c r="M1979" i="1" s="1"/>
  <c r="N1911" i="1" a="1"/>
  <c r="N1911" i="1" s="1"/>
  <c r="M1911" i="1" a="1"/>
  <c r="M1911" i="1" s="1"/>
  <c r="N1993" i="1" a="1"/>
  <c r="N1993" i="1" s="1"/>
  <c r="M1993" i="1" a="1"/>
  <c r="M1993" i="1" s="1"/>
  <c r="N1884" i="1" a="1"/>
  <c r="N1884" i="1" s="1"/>
  <c r="M1884" i="1" a="1"/>
  <c r="M1884" i="1" s="1"/>
  <c r="N1984" i="1" a="1"/>
  <c r="N1984" i="1" s="1"/>
  <c r="M1984" i="1" a="1"/>
  <c r="M1984" i="1" s="1"/>
  <c r="N1951" i="1" a="1"/>
  <c r="N1951" i="1" s="1"/>
  <c r="M1951" i="1" a="1"/>
  <c r="M1951" i="1" s="1"/>
  <c r="N1961" i="1" a="1"/>
  <c r="N1961" i="1" s="1"/>
  <c r="M1961" i="1" a="1"/>
  <c r="M1961" i="1" s="1"/>
  <c r="N1894" i="1" a="1"/>
  <c r="N1894" i="1" s="1"/>
  <c r="M1894" i="1" a="1"/>
  <c r="M1894" i="1" s="1"/>
  <c r="N1996" i="1" a="1"/>
  <c r="N1996" i="1" s="1"/>
  <c r="M1996" i="1" a="1"/>
  <c r="M1996" i="1" s="1"/>
  <c r="N2011" i="1" a="1"/>
  <c r="N2011" i="1" s="1"/>
  <c r="M2011" i="1" a="1"/>
  <c r="M2011" i="1" s="1"/>
  <c r="N1899" i="1" a="1"/>
  <c r="N1899" i="1" s="1"/>
  <c r="M1899" i="1" a="1"/>
  <c r="M1899" i="1" s="1"/>
  <c r="N2001" i="1" a="1"/>
  <c r="N2001" i="1" s="1"/>
  <c r="M2001" i="1" a="1"/>
  <c r="M2001" i="1" s="1"/>
  <c r="N2005" i="1" a="1"/>
  <c r="N2005" i="1" s="1"/>
  <c r="M2005" i="1" a="1"/>
  <c r="M2005" i="1" s="1"/>
  <c r="N1904" i="1" a="1"/>
  <c r="N1904" i="1" s="1"/>
  <c r="M1904" i="1" a="1"/>
  <c r="M1904" i="1" s="1"/>
  <c r="N2020" i="1" a="1"/>
  <c r="N2020" i="1" s="1"/>
  <c r="M2020" i="1" a="1"/>
  <c r="M2020" i="1" s="1"/>
  <c r="N1914" i="1" a="1"/>
  <c r="N1914" i="1" s="1"/>
  <c r="M1914" i="1" a="1"/>
  <c r="M1914" i="1" s="1"/>
  <c r="N1924" i="1" a="1"/>
  <c r="N1924" i="1" s="1"/>
  <c r="M1924" i="1" a="1"/>
  <c r="M1924" i="1" s="1"/>
  <c r="N1461" i="1" a="1"/>
  <c r="N1461" i="1" s="1"/>
  <c r="M1461" i="1" a="1"/>
  <c r="M1461" i="1" s="1"/>
  <c r="N1451" i="1" a="1"/>
  <c r="N1451" i="1" s="1"/>
  <c r="M1451" i="1" a="1"/>
  <c r="M1451" i="1" s="1"/>
  <c r="N1526" i="1" a="1"/>
  <c r="N1526" i="1" s="1"/>
  <c r="M1526" i="1" a="1"/>
  <c r="M1526" i="1" s="1"/>
  <c r="N1506" i="1" a="1"/>
  <c r="N1506" i="1" s="1"/>
  <c r="M1506" i="1" a="1"/>
  <c r="M1506" i="1" s="1"/>
  <c r="N1551" i="1" a="1"/>
  <c r="N1551" i="1" s="1"/>
  <c r="M1551" i="1" a="1"/>
  <c r="M1551" i="1" s="1"/>
  <c r="N1566" i="1" a="1"/>
  <c r="N1566" i="1" s="1"/>
  <c r="M1566" i="1" a="1"/>
  <c r="M1566" i="1" s="1"/>
  <c r="N1886" i="1" a="1"/>
  <c r="N1886" i="1" s="1"/>
  <c r="M1886" i="1" a="1"/>
  <c r="M1886" i="1" s="1"/>
  <c r="N1476" i="1" a="1"/>
  <c r="N1476" i="1" s="1"/>
  <c r="M1476" i="1" a="1"/>
  <c r="M1476" i="1" s="1"/>
  <c r="N1916" i="1" a="1"/>
  <c r="N1916" i="1" s="1"/>
  <c r="M1916" i="1" a="1"/>
  <c r="M1916" i="1" s="1"/>
  <c r="N1441" i="1" a="1"/>
  <c r="N1441" i="1" s="1"/>
  <c r="M1441" i="1" a="1"/>
  <c r="M1441" i="1" s="1"/>
  <c r="N1986" i="1" a="1"/>
  <c r="N1986" i="1" s="1"/>
  <c r="M1986" i="1" a="1"/>
  <c r="M1986" i="1" s="1"/>
  <c r="N1491" i="1" a="1"/>
  <c r="N1491" i="1" s="1"/>
  <c r="M1491" i="1" a="1"/>
  <c r="M1491" i="1" s="1"/>
  <c r="N1971" i="1" a="1"/>
  <c r="N1971" i="1" s="1"/>
  <c r="M1971" i="1" a="1"/>
  <c r="M1971" i="1" s="1"/>
  <c r="N1926" i="1" a="1"/>
  <c r="N1926" i="1" s="1"/>
  <c r="M1926" i="1" a="1"/>
  <c r="M1926" i="1" s="1"/>
  <c r="N1531" i="1" a="1"/>
  <c r="N1531" i="1" s="1"/>
  <c r="M1531" i="1" a="1"/>
  <c r="M1531" i="1" s="1"/>
  <c r="N2008" i="1" a="1"/>
  <c r="N2008" i="1" s="1"/>
  <c r="M2008" i="1" a="1"/>
  <c r="M2008" i="1" s="1"/>
  <c r="N2007" i="1" a="1"/>
  <c r="N2007" i="1" s="1"/>
  <c r="M2007" i="1" a="1"/>
  <c r="M2007" i="1" s="1"/>
  <c r="N2010" i="1" a="1"/>
  <c r="N2010" i="1" s="1"/>
  <c r="M2010" i="1" a="1"/>
  <c r="M2010" i="1" s="1"/>
  <c r="N1878" i="1" a="1"/>
  <c r="N1878" i="1" s="1"/>
  <c r="M1878" i="1" a="1"/>
  <c r="M1878" i="1" s="1"/>
  <c r="N1978" i="1" a="1"/>
  <c r="N1978" i="1" s="1"/>
  <c r="M1978" i="1" a="1"/>
  <c r="M1978" i="1" s="1"/>
  <c r="N1516" i="1" a="1"/>
  <c r="N1516" i="1" s="1"/>
  <c r="M1516" i="1" a="1"/>
  <c r="M1516" i="1" s="1"/>
  <c r="N1843" i="1" a="1"/>
  <c r="N1843" i="1" s="1"/>
  <c r="M1843" i="1" a="1"/>
  <c r="M1843" i="1" s="1"/>
  <c r="N1943" i="1" a="1"/>
  <c r="N1943" i="1" s="1"/>
  <c r="M1943" i="1" a="1"/>
  <c r="M1943" i="1" s="1"/>
  <c r="N2002" i="1" a="1"/>
  <c r="N2002" i="1" s="1"/>
  <c r="M2002" i="1" a="1"/>
  <c r="M2002" i="1" s="1"/>
  <c r="N1906" i="1" a="1"/>
  <c r="N1906" i="1" s="1"/>
  <c r="M1906" i="1" a="1"/>
  <c r="M1906" i="1" s="1"/>
  <c r="N1946" i="1" a="1"/>
  <c r="N1946" i="1" s="1"/>
  <c r="M1946" i="1" a="1"/>
  <c r="M1946" i="1" s="1"/>
  <c r="N2003" i="1" a="1"/>
  <c r="N2003" i="1" s="1"/>
  <c r="M2003" i="1" a="1"/>
  <c r="M2003" i="1" s="1"/>
  <c r="N1858" i="1" a="1"/>
  <c r="N1858" i="1" s="1"/>
  <c r="M1858" i="1" a="1"/>
  <c r="M1858" i="1" s="1"/>
  <c r="N1958" i="1" a="1"/>
  <c r="N1958" i="1" s="1"/>
  <c r="M1958" i="1" a="1"/>
  <c r="M1958" i="1" s="1"/>
  <c r="N1868" i="1" a="1"/>
  <c r="N1868" i="1" s="1"/>
  <c r="M1868" i="1" a="1"/>
  <c r="M1868" i="1" s="1"/>
  <c r="N1968" i="1" a="1"/>
  <c r="N1968" i="1" s="1"/>
  <c r="M1968" i="1" a="1"/>
  <c r="M1968" i="1" s="1"/>
  <c r="N2009" i="1" a="1"/>
  <c r="N2009" i="1" s="1"/>
  <c r="M2009" i="1" a="1"/>
  <c r="M2009" i="1" s="1"/>
  <c r="N1918" i="1" a="1"/>
  <c r="N1918" i="1" s="1"/>
  <c r="M1918" i="1" a="1"/>
  <c r="M1918" i="1" s="1"/>
  <c r="N1955" i="1" a="1"/>
  <c r="N1955" i="1" s="1"/>
  <c r="M1955" i="1" a="1"/>
  <c r="M1955" i="1" s="1"/>
  <c r="N1851" i="1" a="1"/>
  <c r="N1851" i="1" s="1"/>
  <c r="M1851" i="1" a="1"/>
  <c r="M1851" i="1" s="1"/>
  <c r="N1876" i="1" a="1"/>
  <c r="N1876" i="1" s="1"/>
  <c r="M1876" i="1" a="1"/>
  <c r="M1876" i="1" s="1"/>
  <c r="N1998" i="1" a="1"/>
  <c r="N1998" i="1" s="1"/>
  <c r="M1998" i="1" a="1"/>
  <c r="M1998" i="1" s="1"/>
  <c r="N1981" i="1" a="1"/>
  <c r="N1981" i="1" s="1"/>
  <c r="M1981" i="1" a="1"/>
  <c r="M1981" i="1" s="1"/>
  <c r="N1848" i="1" a="1"/>
  <c r="N1848" i="1" s="1"/>
  <c r="M1848" i="1" a="1"/>
  <c r="M1848" i="1" s="1"/>
  <c r="N1948" i="1" a="1"/>
  <c r="N1948" i="1" s="1"/>
  <c r="M1948" i="1" a="1"/>
  <c r="M1948" i="1" s="1"/>
  <c r="N1485" i="1" a="1"/>
  <c r="N1485" i="1" s="1"/>
  <c r="M1485" i="1" a="1"/>
  <c r="M1485" i="1" s="1"/>
  <c r="N2004" i="1" a="1"/>
  <c r="N2004" i="1" s="1"/>
  <c r="M2004" i="1" a="1"/>
  <c r="M2004" i="1" s="1"/>
  <c r="N1853" i="1" a="1"/>
  <c r="N1853" i="1" s="1"/>
  <c r="M1853" i="1" a="1"/>
  <c r="M1853" i="1" s="1"/>
  <c r="N1953" i="1" a="1"/>
  <c r="N1953" i="1" s="1"/>
  <c r="M1953" i="1" a="1"/>
  <c r="M1953" i="1" s="1"/>
  <c r="N1490" i="1" a="1"/>
  <c r="N1490" i="1" s="1"/>
  <c r="M1490" i="1" a="1"/>
  <c r="M1490" i="1" s="1"/>
  <c r="N1495" i="1" a="1"/>
  <c r="N1495" i="1" s="1"/>
  <c r="M1495" i="1" a="1"/>
  <c r="M1495" i="1" s="1"/>
  <c r="N1446" i="1" a="1"/>
  <c r="N1446" i="1" s="1"/>
  <c r="M1446" i="1" a="1"/>
  <c r="M1446" i="1" s="1"/>
  <c r="N1988" i="1" a="1"/>
  <c r="N1988" i="1" s="1"/>
  <c r="M1988" i="1" a="1"/>
  <c r="M1988" i="1" s="1"/>
  <c r="N1863" i="1" a="1"/>
  <c r="N1863" i="1" s="1"/>
  <c r="M1863" i="1" a="1"/>
  <c r="M1863" i="1" s="1"/>
  <c r="N1963" i="1" a="1"/>
  <c r="N1963" i="1" s="1"/>
  <c r="M1963" i="1" a="1"/>
  <c r="M1963" i="1" s="1"/>
  <c r="N2014" i="1" a="1"/>
  <c r="N2014" i="1" s="1"/>
  <c r="M2014" i="1" a="1"/>
  <c r="M2014" i="1" s="1"/>
  <c r="N1835" i="1" a="1"/>
  <c r="N1835" i="1" s="1"/>
  <c r="M1835" i="1" a="1"/>
  <c r="M1835" i="1" s="1"/>
  <c r="N1940" i="1" a="1"/>
  <c r="N1940" i="1" s="1"/>
  <c r="M1940" i="1" a="1"/>
  <c r="M1940" i="1" s="1"/>
  <c r="N1883" i="1" a="1"/>
  <c r="N1883" i="1" s="1"/>
  <c r="M1883" i="1" a="1"/>
  <c r="M1883" i="1" s="1"/>
  <c r="N1983" i="1" a="1"/>
  <c r="N1983" i="1" s="1"/>
  <c r="M1983" i="1" a="1"/>
  <c r="M1983" i="1" s="1"/>
  <c r="N1520" i="1" a="1"/>
  <c r="N1520" i="1" s="1"/>
  <c r="M1520" i="1" a="1"/>
  <c r="M1520" i="1" s="1"/>
  <c r="N1893" i="1" a="1"/>
  <c r="N1893" i="1" s="1"/>
  <c r="M1893" i="1" a="1"/>
  <c r="M1893" i="1" s="1"/>
  <c r="N1995" i="1" a="1"/>
  <c r="N1995" i="1" s="1"/>
  <c r="M1995" i="1" a="1"/>
  <c r="M1995" i="1" s="1"/>
  <c r="N1530" i="1" a="1"/>
  <c r="N1530" i="1" s="1"/>
  <c r="M1530" i="1" a="1"/>
  <c r="M1530" i="1" s="1"/>
  <c r="N1898" i="1" a="1"/>
  <c r="N1898" i="1" s="1"/>
  <c r="M1898" i="1" a="1"/>
  <c r="M1898" i="1" s="1"/>
  <c r="N2000" i="1" a="1"/>
  <c r="N2000" i="1" s="1"/>
  <c r="M2000" i="1" a="1"/>
  <c r="M2000" i="1" s="1"/>
  <c r="N1861" i="1" a="1"/>
  <c r="N1861" i="1" s="1"/>
  <c r="M1861" i="1" a="1"/>
  <c r="M1861" i="1" s="1"/>
  <c r="N1903" i="1" a="1"/>
  <c r="N1903" i="1" s="1"/>
  <c r="M1903" i="1" a="1"/>
  <c r="M1903" i="1" s="1"/>
  <c r="N2012" i="1" a="1"/>
  <c r="N2012" i="1" s="1"/>
  <c r="M2012" i="1" a="1"/>
  <c r="M2012" i="1" s="1"/>
  <c r="N1455" i="1" a="1"/>
  <c r="N1455" i="1" s="1"/>
  <c r="M1455" i="1" a="1"/>
  <c r="M1455" i="1" s="1"/>
  <c r="N1555" i="1" a="1"/>
  <c r="N1555" i="1" s="1"/>
  <c r="M1555" i="1" a="1"/>
  <c r="M1555" i="1" s="1"/>
  <c r="N1875" i="1" a="1"/>
  <c r="N1875" i="1" s="1"/>
  <c r="M1875" i="1" a="1"/>
  <c r="M1875" i="1" s="1"/>
  <c r="N2015" i="1" a="1"/>
  <c r="N2015" i="1" s="1"/>
  <c r="M2015" i="1" a="1"/>
  <c r="M2015" i="1" s="1"/>
  <c r="N1521" i="1" a="1"/>
  <c r="N1521" i="1" s="1"/>
  <c r="M1521" i="1" a="1"/>
  <c r="M1521" i="1" s="1"/>
  <c r="N1541" i="1" a="1"/>
  <c r="N1541" i="1" s="1"/>
  <c r="M1541" i="1" a="1"/>
  <c r="M1541" i="1" s="1"/>
  <c r="N1871" i="1" a="1"/>
  <c r="N1871" i="1" s="1"/>
  <c r="M1871" i="1" a="1"/>
  <c r="M1871" i="1" s="1"/>
  <c r="N1836" i="1" a="1"/>
  <c r="N1836" i="1" s="1"/>
  <c r="M1836" i="1" a="1"/>
  <c r="M1836" i="1" s="1"/>
  <c r="N1470" i="1" a="1"/>
  <c r="N1470" i="1" s="1"/>
  <c r="M1470" i="1" a="1"/>
  <c r="M1470" i="1" s="1"/>
  <c r="N1921" i="1" a="1"/>
  <c r="N1921" i="1" s="1"/>
  <c r="M1921" i="1" a="1"/>
  <c r="M1921" i="1" s="1"/>
  <c r="N1838" i="1" a="1"/>
  <c r="N1838" i="1" s="1"/>
  <c r="M1838" i="1" a="1"/>
  <c r="M1838" i="1" s="1"/>
  <c r="N1938" i="1" a="1"/>
  <c r="N1938" i="1" s="1"/>
  <c r="M1938" i="1" a="1"/>
  <c r="M1938" i="1" s="1"/>
  <c r="N1997" i="1" a="1"/>
  <c r="N1997" i="1" s="1"/>
  <c r="M1997" i="1" a="1"/>
  <c r="M1997" i="1" s="1"/>
  <c r="N1480" i="1" a="1"/>
  <c r="N1480" i="1" s="1"/>
  <c r="M1480" i="1" a="1"/>
  <c r="M1480" i="1" s="1"/>
  <c r="N1475" i="1" a="1"/>
  <c r="N1475" i="1" s="1"/>
  <c r="M1475" i="1" a="1"/>
  <c r="M1475" i="1" s="1"/>
  <c r="N1830" i="1" a="1"/>
  <c r="N1830" i="1" s="1"/>
  <c r="M1830" i="1" a="1"/>
  <c r="M1830" i="1" s="1"/>
  <c r="N1935" i="1" a="1"/>
  <c r="N1935" i="1" s="1"/>
  <c r="M1935" i="1" a="1"/>
  <c r="M1935" i="1" s="1"/>
  <c r="N1442" i="1" a="1"/>
  <c r="N1442" i="1" s="1"/>
  <c r="M1442" i="1" a="1"/>
  <c r="M1442" i="1" s="1"/>
  <c r="N1542" i="1" a="1"/>
  <c r="N1542" i="1" s="1"/>
  <c r="M1542" i="1" a="1"/>
  <c r="M1542" i="1" s="1"/>
  <c r="N1897" i="1" a="1"/>
  <c r="N1897" i="1" s="1"/>
  <c r="M1897" i="1" a="1"/>
  <c r="M1897" i="1" s="1"/>
  <c r="N2016" i="1" a="1"/>
  <c r="N2016" i="1" s="1"/>
  <c r="M2016" i="1" a="1"/>
  <c r="M2016" i="1" s="1"/>
  <c r="N1840" i="1" a="1"/>
  <c r="N1840" i="1" s="1"/>
  <c r="M1840" i="1" a="1"/>
  <c r="M1840" i="1" s="1"/>
  <c r="N1945" i="1" a="1"/>
  <c r="N1945" i="1" s="1"/>
  <c r="M1945" i="1" a="1"/>
  <c r="M1945" i="1" s="1"/>
  <c r="N1447" i="1" a="1"/>
  <c r="N1447" i="1" s="1"/>
  <c r="M1447" i="1" a="1"/>
  <c r="M1447" i="1" s="1"/>
  <c r="N1547" i="1" a="1"/>
  <c r="N1547" i="1" s="1"/>
  <c r="M1547" i="1" a="1"/>
  <c r="M1547" i="1" s="1"/>
  <c r="N1902" i="1" a="1"/>
  <c r="N1902" i="1" s="1"/>
  <c r="M1902" i="1" a="1"/>
  <c r="M1902" i="1" s="1"/>
  <c r="N1989" i="1" a="1"/>
  <c r="N1989" i="1" s="1"/>
  <c r="M1989" i="1" a="1"/>
  <c r="M1989" i="1" s="1"/>
  <c r="N1845" i="1" a="1"/>
  <c r="N1845" i="1" s="1"/>
  <c r="M1845" i="1" a="1"/>
  <c r="M1845" i="1" s="1"/>
  <c r="N1950" i="1" a="1"/>
  <c r="N1950" i="1" s="1"/>
  <c r="M1950" i="1" a="1"/>
  <c r="M1950" i="1" s="1"/>
  <c r="N1907" i="1" a="1"/>
  <c r="N1907" i="1" s="1"/>
  <c r="M1907" i="1" a="1"/>
  <c r="M1907" i="1" s="1"/>
  <c r="N2017" i="1" a="1"/>
  <c r="N2017" i="1" s="1"/>
  <c r="M2017" i="1" a="1"/>
  <c r="M2017" i="1" s="1"/>
  <c r="N1850" i="1" a="1"/>
  <c r="N1850" i="1" s="1"/>
  <c r="M1850" i="1" a="1"/>
  <c r="M1850" i="1" s="1"/>
  <c r="N1965" i="1" a="1"/>
  <c r="N1965" i="1" s="1"/>
  <c r="M1965" i="1" a="1"/>
  <c r="M1965" i="1" s="1"/>
  <c r="N1457" i="1" a="1"/>
  <c r="N1457" i="1" s="1"/>
  <c r="M1457" i="1" a="1"/>
  <c r="M1457" i="1" s="1"/>
  <c r="N1557" i="1" a="1"/>
  <c r="N1557" i="1" s="1"/>
  <c r="M1557" i="1" a="1"/>
  <c r="M1557" i="1" s="1"/>
  <c r="N1912" i="1" a="1"/>
  <c r="N1912" i="1" s="1"/>
  <c r="M1912" i="1" a="1"/>
  <c r="M1912" i="1" s="1"/>
  <c r="N2018" i="1" a="1"/>
  <c r="N2018" i="1" s="1"/>
  <c r="M2018" i="1" a="1"/>
  <c r="M2018" i="1" s="1"/>
  <c r="N1873" i="1" a="1"/>
  <c r="N1873" i="1" s="1"/>
  <c r="M1873" i="1" a="1"/>
  <c r="M1873" i="1" s="1"/>
  <c r="N1973" i="1" a="1"/>
  <c r="N1973" i="1" s="1"/>
  <c r="M1973" i="1" a="1"/>
  <c r="M1973" i="1" s="1"/>
  <c r="N1500" i="1" a="1"/>
  <c r="N1500" i="1" s="1"/>
  <c r="M1500" i="1" a="1"/>
  <c r="M1500" i="1" s="1"/>
  <c r="N1462" i="1" a="1"/>
  <c r="N1462" i="1" s="1"/>
  <c r="M1462" i="1" a="1"/>
  <c r="M1462" i="1" s="1"/>
  <c r="N1562" i="1" a="1"/>
  <c r="N1562" i="1" s="1"/>
  <c r="M1562" i="1" a="1"/>
  <c r="M1562" i="1" s="1"/>
  <c r="N1860" i="1" a="1"/>
  <c r="N1860" i="1" s="1"/>
  <c r="M1860" i="1" a="1"/>
  <c r="M1860" i="1" s="1"/>
  <c r="N1975" i="1" a="1"/>
  <c r="N1975" i="1" s="1"/>
  <c r="M1975" i="1" a="1"/>
  <c r="M1975" i="1" s="1"/>
  <c r="N1922" i="1" a="1"/>
  <c r="N1922" i="1" s="1"/>
  <c r="M1922" i="1" a="1"/>
  <c r="M1922" i="1" s="1"/>
  <c r="N1510" i="1" a="1"/>
  <c r="N1510" i="1" s="1"/>
  <c r="M1510" i="1" a="1"/>
  <c r="M1510" i="1" s="1"/>
  <c r="N1865" i="1" a="1"/>
  <c r="N1865" i="1" s="1"/>
  <c r="M1865" i="1" a="1"/>
  <c r="M1865" i="1" s="1"/>
  <c r="N1980" i="1" a="1"/>
  <c r="N1980" i="1" s="1"/>
  <c r="M1980" i="1" a="1"/>
  <c r="M1980" i="1" s="1"/>
  <c r="N1927" i="1" a="1"/>
  <c r="N1927" i="1" s="1"/>
  <c r="M1927" i="1" a="1"/>
  <c r="M1927" i="1" s="1"/>
  <c r="N1515" i="1" a="1"/>
  <c r="N1515" i="1" s="1"/>
  <c r="M1515" i="1" a="1"/>
  <c r="M1515" i="1" s="1"/>
  <c r="N1870" i="1" a="1"/>
  <c r="N1870" i="1" s="1"/>
  <c r="M1870" i="1" a="1"/>
  <c r="M1870" i="1" s="1"/>
  <c r="N1987" i="1" a="1"/>
  <c r="N1987" i="1" s="1"/>
  <c r="M1987" i="1" a="1"/>
  <c r="M1987" i="1" s="1"/>
  <c r="N1482" i="1" a="1"/>
  <c r="N1482" i="1" s="1"/>
  <c r="M1482" i="1" a="1"/>
  <c r="M1482" i="1" s="1"/>
  <c r="N1837" i="1" a="1"/>
  <c r="N1837" i="1" s="1"/>
  <c r="M1837" i="1" a="1"/>
  <c r="M1837" i="1" s="1"/>
  <c r="N1937" i="1" a="1"/>
  <c r="N1937" i="1" s="1"/>
  <c r="M1937" i="1" a="1"/>
  <c r="M1937" i="1" s="1"/>
  <c r="N1880" i="1" a="1"/>
  <c r="N1880" i="1" s="1"/>
  <c r="M1880" i="1" a="1"/>
  <c r="M1880" i="1" s="1"/>
  <c r="N1842" i="1" a="1"/>
  <c r="N1842" i="1" s="1"/>
  <c r="M1842" i="1" a="1"/>
  <c r="M1842" i="1" s="1"/>
  <c r="N1942" i="1" a="1"/>
  <c r="N1942" i="1" s="1"/>
  <c r="M1942" i="1" a="1"/>
  <c r="M1942" i="1" s="1"/>
  <c r="N1535" i="1" a="1"/>
  <c r="N1535" i="1" s="1"/>
  <c r="M1535" i="1" a="1"/>
  <c r="M1535" i="1" s="1"/>
  <c r="N1890" i="1" a="1"/>
  <c r="N1890" i="1" s="1"/>
  <c r="M1890" i="1" a="1"/>
  <c r="M1890" i="1" s="1"/>
  <c r="N1497" i="1" a="1"/>
  <c r="N1497" i="1" s="1"/>
  <c r="M1497" i="1" a="1"/>
  <c r="M1497" i="1" s="1"/>
  <c r="N1913" i="1" a="1"/>
  <c r="N1913" i="1" s="1"/>
  <c r="M1913" i="1" a="1"/>
  <c r="M1913" i="1" s="1"/>
  <c r="N1920" i="1" a="1"/>
  <c r="N1920" i="1" s="1"/>
  <c r="M1920" i="1" a="1"/>
  <c r="M1920" i="1" s="1"/>
  <c r="N1540" i="1" a="1"/>
  <c r="N1540" i="1" s="1"/>
  <c r="M1540" i="1" a="1"/>
  <c r="M1540" i="1" s="1"/>
  <c r="N1502" i="1" a="1"/>
  <c r="N1502" i="1" s="1"/>
  <c r="M1502" i="1" a="1"/>
  <c r="M1502" i="1" s="1"/>
  <c r="N1900" i="1" a="1"/>
  <c r="N1900" i="1" s="1"/>
  <c r="M1900" i="1" a="1"/>
  <c r="M1900" i="1" s="1"/>
  <c r="N1862" i="1" a="1"/>
  <c r="N1862" i="1" s="1"/>
  <c r="M1862" i="1" a="1"/>
  <c r="M1862" i="1" s="1"/>
  <c r="N1962" i="1" a="1"/>
  <c r="N1962" i="1" s="1"/>
  <c r="M1962" i="1" a="1"/>
  <c r="M1962" i="1" s="1"/>
  <c r="N1456" i="1" a="1"/>
  <c r="N1456" i="1" s="1"/>
  <c r="M1456" i="1" a="1"/>
  <c r="M1456" i="1" s="1"/>
  <c r="N1936" i="1" a="1"/>
  <c r="N1936" i="1" s="1"/>
  <c r="M1936" i="1" a="1"/>
  <c r="M1936" i="1" s="1"/>
  <c r="N1923" i="1" a="1"/>
  <c r="N1923" i="1" s="1"/>
  <c r="M1923" i="1" a="1"/>
  <c r="M1923" i="1" s="1"/>
  <c r="N1960" i="1" a="1"/>
  <c r="N1960" i="1" s="1"/>
  <c r="M1960" i="1" a="1"/>
  <c r="M1960" i="1" s="1"/>
  <c r="N1450" i="1" a="1"/>
  <c r="N1450" i="1" s="1"/>
  <c r="M1450" i="1" a="1"/>
  <c r="M1450" i="1" s="1"/>
  <c r="N1550" i="1" a="1"/>
  <c r="N1550" i="1" s="1"/>
  <c r="M1550" i="1" a="1"/>
  <c r="M1550" i="1" s="1"/>
  <c r="N1910" i="1" a="1"/>
  <c r="N1910" i="1" s="1"/>
  <c r="M1910" i="1" a="1"/>
  <c r="M1910" i="1" s="1"/>
  <c r="N1517" i="1" a="1"/>
  <c r="N1517" i="1" s="1"/>
  <c r="M1517" i="1" a="1"/>
  <c r="M1517" i="1" s="1"/>
  <c r="N1841" i="1" a="1"/>
  <c r="N1841" i="1" s="1"/>
  <c r="M1841" i="1" a="1"/>
  <c r="M1841" i="1" s="1"/>
  <c r="N1833" i="1" a="1"/>
  <c r="N1833" i="1" s="1"/>
  <c r="M1833" i="1" a="1"/>
  <c r="M1833" i="1" s="1"/>
  <c r="N1933" i="1" a="1"/>
  <c r="N1933" i="1" s="1"/>
  <c r="M1933" i="1" a="1"/>
  <c r="M1933" i="1" s="1"/>
  <c r="N1992" i="1" a="1"/>
  <c r="N1992" i="1" s="1"/>
  <c r="M1992" i="1" a="1"/>
  <c r="M1992" i="1" s="1"/>
  <c r="N1460" i="1" a="1"/>
  <c r="N1460" i="1" s="1"/>
  <c r="M1460" i="1" a="1"/>
  <c r="M1460" i="1" s="1"/>
  <c r="N1560" i="1" a="1"/>
  <c r="N1560" i="1" s="1"/>
  <c r="M1560" i="1" a="1"/>
  <c r="M1560" i="1" s="1"/>
  <c r="N1915" i="1" a="1"/>
  <c r="N1915" i="1" s="1"/>
  <c r="M1915" i="1" a="1"/>
  <c r="M1915" i="1" s="1"/>
  <c r="N1522" i="1" a="1"/>
  <c r="N1522" i="1" s="1"/>
  <c r="M1522" i="1" a="1"/>
  <c r="M1522" i="1" s="1"/>
  <c r="N1465" i="1" a="1"/>
  <c r="N1465" i="1" s="1"/>
  <c r="M1465" i="1" a="1"/>
  <c r="M1465" i="1" s="1"/>
  <c r="N1565" i="1" a="1"/>
  <c r="N1565" i="1" s="1"/>
  <c r="M1565" i="1" a="1"/>
  <c r="M1565" i="1" s="1"/>
  <c r="N1925" i="1" a="1"/>
  <c r="N1925" i="1" s="1"/>
  <c r="M1925" i="1" a="1"/>
  <c r="M1925" i="1" s="1"/>
  <c r="N1527" i="1" a="1"/>
  <c r="N1527" i="1" s="1"/>
  <c r="M1527" i="1" a="1"/>
  <c r="M1527" i="1" s="1"/>
  <c r="N1532" i="1" a="1"/>
  <c r="N1532" i="1" s="1"/>
  <c r="M1532" i="1" a="1"/>
  <c r="M1532" i="1" s="1"/>
  <c r="N1512" i="1" a="1"/>
  <c r="N1512" i="1" s="1"/>
  <c r="M1512" i="1" a="1"/>
  <c r="M1512" i="1" s="1"/>
  <c r="N1892" i="1" a="1"/>
  <c r="N1892" i="1" s="1"/>
  <c r="M1892" i="1" a="1"/>
  <c r="M1892" i="1" s="1"/>
  <c r="N1999" i="1" a="1"/>
  <c r="N1999" i="1" s="1"/>
  <c r="M1999" i="1" a="1"/>
  <c r="M1999" i="1" s="1"/>
  <c r="N1855" i="1" a="1"/>
  <c r="N1855" i="1" s="1"/>
  <c r="M1855" i="1" a="1"/>
  <c r="M1855" i="1" s="1"/>
  <c r="N1970" i="1" a="1"/>
  <c r="N1970" i="1" s="1"/>
  <c r="M1970" i="1" a="1"/>
  <c r="M1970" i="1" s="1"/>
  <c r="N1537" i="1" a="1"/>
  <c r="N1537" i="1" s="1"/>
  <c r="M1537" i="1" a="1"/>
  <c r="M1537" i="1" s="1"/>
  <c r="N1917" i="1" a="1"/>
  <c r="N1917" i="1" s="1"/>
  <c r="M1917" i="1" a="1"/>
  <c r="M1917" i="1" s="1"/>
  <c r="N1452" i="1" a="1"/>
  <c r="N1452" i="1" s="1"/>
  <c r="M1452" i="1" a="1"/>
  <c r="M1452" i="1" s="1"/>
  <c r="N1552" i="1" a="1"/>
  <c r="N1552" i="1" s="1"/>
  <c r="M1552" i="1" a="1"/>
  <c r="M1552" i="1" s="1"/>
  <c r="N1832" i="1" a="1"/>
  <c r="N1832" i="1" s="1"/>
  <c r="M1832" i="1" a="1"/>
  <c r="M1832" i="1" s="1"/>
  <c r="N1932" i="1" a="1"/>
  <c r="N1932" i="1" s="1"/>
  <c r="M1932" i="1" a="1"/>
  <c r="M1932" i="1" s="1"/>
  <c r="N1976" i="1" a="1"/>
  <c r="N1976" i="1" s="1"/>
  <c r="M1976" i="1" a="1"/>
  <c r="M1976" i="1" s="1"/>
  <c r="N1888" i="1" a="1"/>
  <c r="N1888" i="1" s="1"/>
  <c r="M1888" i="1" a="1"/>
  <c r="M1888" i="1" s="1"/>
  <c r="N1990" i="1" a="1"/>
  <c r="N1990" i="1" s="1"/>
  <c r="M1990" i="1" a="1"/>
  <c r="M1990" i="1" s="1"/>
  <c r="N1505" i="1" a="1"/>
  <c r="N1505" i="1" s="1"/>
  <c r="M1505" i="1" a="1"/>
  <c r="M1505" i="1" s="1"/>
  <c r="N1885" i="1" a="1"/>
  <c r="N1885" i="1" s="1"/>
  <c r="M1885" i="1" a="1"/>
  <c r="M1885" i="1" s="1"/>
  <c r="N1467" i="1" a="1"/>
  <c r="N1467" i="1" s="1"/>
  <c r="M1467" i="1" a="1"/>
  <c r="M1467" i="1" s="1"/>
  <c r="N1567" i="1" a="1"/>
  <c r="N1567" i="1" s="1"/>
  <c r="M1567" i="1" a="1"/>
  <c r="M1567" i="1" s="1"/>
  <c r="N1847" i="1" a="1"/>
  <c r="N1847" i="1" s="1"/>
  <c r="M1847" i="1" a="1"/>
  <c r="M1847" i="1" s="1"/>
  <c r="N1947" i="1" a="1"/>
  <c r="N1947" i="1" s="1"/>
  <c r="M1947" i="1" a="1"/>
  <c r="M1947" i="1" s="1"/>
  <c r="N1472" i="1" a="1"/>
  <c r="N1472" i="1" s="1"/>
  <c r="M1472" i="1" a="1"/>
  <c r="M1472" i="1" s="1"/>
  <c r="N1852" i="1" a="1"/>
  <c r="N1852" i="1" s="1"/>
  <c r="M1852" i="1" a="1"/>
  <c r="M1852" i="1" s="1"/>
  <c r="N1952" i="1" a="1"/>
  <c r="N1952" i="1" s="1"/>
  <c r="M1952" i="1" a="1"/>
  <c r="M1952" i="1" s="1"/>
  <c r="N1895" i="1" a="1"/>
  <c r="N1895" i="1" s="1"/>
  <c r="M1895" i="1" a="1"/>
  <c r="M1895" i="1" s="1"/>
  <c r="N1477" i="1" a="1"/>
  <c r="N1477" i="1" s="1"/>
  <c r="M1477" i="1" a="1"/>
  <c r="M1477" i="1" s="1"/>
  <c r="N1857" i="1" a="1"/>
  <c r="N1857" i="1" s="1"/>
  <c r="M1857" i="1" a="1"/>
  <c r="M1857" i="1" s="1"/>
  <c r="N1957" i="1" a="1"/>
  <c r="N1957" i="1" s="1"/>
  <c r="M1957" i="1" a="1"/>
  <c r="M1957" i="1" s="1"/>
  <c r="N1908" i="1" a="1"/>
  <c r="N1908" i="1" s="1"/>
  <c r="M1908" i="1" a="1"/>
  <c r="M1908" i="1" s="1"/>
  <c r="N2013" i="1" a="1"/>
  <c r="N2013" i="1" s="1"/>
  <c r="M2013" i="1" a="1"/>
  <c r="M2013" i="1" s="1"/>
  <c r="N1525" i="1" a="1"/>
  <c r="N1525" i="1" s="1"/>
  <c r="M1525" i="1" a="1"/>
  <c r="M1525" i="1" s="1"/>
  <c r="N1905" i="1" a="1"/>
  <c r="N1905" i="1" s="1"/>
  <c r="M1905" i="1" a="1"/>
  <c r="M1905" i="1" s="1"/>
  <c r="N1487" i="1" a="1"/>
  <c r="N1487" i="1" s="1"/>
  <c r="M1487" i="1" a="1"/>
  <c r="M1487" i="1" s="1"/>
  <c r="N1867" i="1" a="1"/>
  <c r="N1867" i="1" s="1"/>
  <c r="M1867" i="1" a="1"/>
  <c r="M1867" i="1" s="1"/>
  <c r="N1967" i="1" a="1"/>
  <c r="N1967" i="1" s="1"/>
  <c r="M1967" i="1" a="1"/>
  <c r="M1967" i="1" s="1"/>
  <c r="N1492" i="1" a="1"/>
  <c r="N1492" i="1" s="1"/>
  <c r="M1492" i="1" a="1"/>
  <c r="M1492" i="1" s="1"/>
  <c r="N1872" i="1" a="1"/>
  <c r="N1872" i="1" s="1"/>
  <c r="M1872" i="1" a="1"/>
  <c r="M1872" i="1" s="1"/>
  <c r="N1972" i="1" a="1"/>
  <c r="N1972" i="1" s="1"/>
  <c r="M1972" i="1" a="1"/>
  <c r="M1972" i="1" s="1"/>
  <c r="N1877" i="1" a="1"/>
  <c r="N1877" i="1" s="1"/>
  <c r="M1877" i="1" a="1"/>
  <c r="M1877" i="1" s="1"/>
  <c r="N1977" i="1" a="1"/>
  <c r="N1977" i="1" s="1"/>
  <c r="M1977" i="1" a="1"/>
  <c r="M1977" i="1" s="1"/>
  <c r="N1882" i="1" a="1"/>
  <c r="N1882" i="1" s="1"/>
  <c r="M1882" i="1" a="1"/>
  <c r="M1882" i="1" s="1"/>
  <c r="N1982" i="1" a="1"/>
  <c r="N1982" i="1" s="1"/>
  <c r="M1982" i="1" a="1"/>
  <c r="M1982" i="1" s="1"/>
  <c r="N2006" i="1" a="1"/>
  <c r="N2006" i="1" s="1"/>
  <c r="M2006" i="1" a="1"/>
  <c r="M2006" i="1" s="1"/>
  <c r="N1556" i="1" a="1"/>
  <c r="N1556" i="1" s="1"/>
  <c r="M1556" i="1" a="1"/>
  <c r="M1556" i="1" s="1"/>
  <c r="N1931" i="1" a="1"/>
  <c r="N1931" i="1" s="1"/>
  <c r="M1931" i="1" a="1"/>
  <c r="M1931" i="1" s="1"/>
  <c r="N1828" i="1" a="1"/>
  <c r="N1828" i="1" s="1"/>
  <c r="M1828" i="1" a="1"/>
  <c r="M1828" i="1" s="1"/>
  <c r="N1928" i="1" a="1"/>
  <c r="N1928" i="1" s="1"/>
  <c r="M1928" i="1" a="1"/>
  <c r="M1928" i="1" s="1"/>
  <c r="N1985" i="1" a="1"/>
  <c r="N1985" i="1" s="1"/>
  <c r="M1985" i="1" a="1"/>
  <c r="M1985" i="1" s="1"/>
  <c r="N1445" i="1" a="1"/>
  <c r="N1445" i="1" s="1"/>
  <c r="M1445" i="1" a="1"/>
  <c r="M1445" i="1" s="1"/>
  <c r="N1545" i="1" a="1"/>
  <c r="N1545" i="1" s="1"/>
  <c r="M1545" i="1" a="1"/>
  <c r="M1545" i="1" s="1"/>
  <c r="N1930" i="1" a="1"/>
  <c r="N1930" i="1" s="1"/>
  <c r="M1930" i="1" a="1"/>
  <c r="M1930" i="1" s="1"/>
  <c r="N1507" i="1" a="1"/>
  <c r="N1507" i="1" s="1"/>
  <c r="M1507" i="1" a="1"/>
  <c r="M1507" i="1" s="1"/>
  <c r="N1887" i="1" a="1"/>
  <c r="N1887" i="1" s="1"/>
  <c r="M1887" i="1" a="1"/>
  <c r="M1887" i="1" s="1"/>
  <c r="N1994" i="1" a="1"/>
  <c r="N1994" i="1" s="1"/>
  <c r="M1994" i="1" a="1"/>
  <c r="M1994" i="1" s="1"/>
  <c r="J1449" i="1" a="1"/>
  <c r="J1449" i="1" s="1"/>
  <c r="L1449" i="1"/>
  <c r="K1449" i="1" a="1"/>
  <c r="K1449" i="1" s="1"/>
  <c r="J1549" i="1" a="1"/>
  <c r="J1549" i="1" s="1"/>
  <c r="L1549" i="1"/>
  <c r="K1549" i="1" a="1"/>
  <c r="K1549" i="1" s="1"/>
  <c r="J1463" i="1" a="1"/>
  <c r="J1463" i="1" s="1"/>
  <c r="L1463" i="1"/>
  <c r="K1463" i="1" a="1"/>
  <c r="K1463" i="1" s="1"/>
  <c r="J1563" i="1" a="1"/>
  <c r="J1563" i="1" s="1"/>
  <c r="L1563" i="1"/>
  <c r="K1563" i="1" a="1"/>
  <c r="K1563" i="1" s="1"/>
  <c r="J1511" i="1" a="1"/>
  <c r="J1511" i="1" s="1"/>
  <c r="L1511" i="1"/>
  <c r="K1511" i="1" a="1"/>
  <c r="K1511" i="1" s="1"/>
  <c r="J1901" i="1" a="1"/>
  <c r="J1901" i="1" s="1"/>
  <c r="L1901" i="1"/>
  <c r="K1901" i="1" a="1"/>
  <c r="K1901" i="1" s="1"/>
  <c r="J1864" i="1" a="1"/>
  <c r="J1864" i="1" s="1"/>
  <c r="L1864" i="1"/>
  <c r="K1864" i="1" a="1"/>
  <c r="K1864" i="1" s="1"/>
  <c r="J1964" i="1" a="1"/>
  <c r="J1964" i="1" s="1"/>
  <c r="L1964" i="1"/>
  <c r="K1964" i="1" a="1"/>
  <c r="K1964" i="1" s="1"/>
  <c r="J2004" i="1" a="1"/>
  <c r="J2004" i="1" s="1"/>
  <c r="L2004" i="1"/>
  <c r="K2004" i="1" a="1"/>
  <c r="K2004" i="1" s="1"/>
  <c r="J1843" i="1" a="1"/>
  <c r="J1843" i="1" s="1"/>
  <c r="L1843" i="1"/>
  <c r="K1843" i="1" a="1"/>
  <c r="K1843" i="1" s="1"/>
  <c r="J1943" i="1" a="1"/>
  <c r="J1943" i="1" s="1"/>
  <c r="L1943" i="1"/>
  <c r="K1943" i="1" a="1"/>
  <c r="K1943" i="1" s="1"/>
  <c r="J2002" i="1" a="1"/>
  <c r="J2002" i="1" s="1"/>
  <c r="L2002" i="1"/>
  <c r="K2002" i="1" a="1"/>
  <c r="K2002" i="1" s="1"/>
  <c r="J1460" i="1" a="1"/>
  <c r="J1460" i="1" s="1"/>
  <c r="L1460" i="1"/>
  <c r="K1460" i="1" a="1"/>
  <c r="K1460" i="1" s="1"/>
  <c r="J1560" i="1" a="1"/>
  <c r="J1560" i="1" s="1"/>
  <c r="L1560" i="1"/>
  <c r="K1560" i="1" a="1"/>
  <c r="K1560" i="1" s="1"/>
  <c r="J1840" i="1" a="1"/>
  <c r="J1840" i="1" s="1"/>
  <c r="L1840" i="1"/>
  <c r="K1840" i="1" a="1"/>
  <c r="K1840" i="1" s="1"/>
  <c r="J1945" i="1" a="1"/>
  <c r="J1945" i="1" s="1"/>
  <c r="L1945" i="1"/>
  <c r="K1945" i="1" a="1"/>
  <c r="K1945" i="1" s="1"/>
  <c r="J1522" i="1" a="1"/>
  <c r="J1522" i="1" s="1"/>
  <c r="L1522" i="1"/>
  <c r="K1522" i="1" a="1"/>
  <c r="K1522" i="1" s="1"/>
  <c r="J1902" i="1" a="1"/>
  <c r="J1902" i="1" s="1"/>
  <c r="L1902" i="1"/>
  <c r="K1902" i="1" a="1"/>
  <c r="K1902" i="1" s="1"/>
  <c r="J1989" i="1" a="1"/>
  <c r="J1989" i="1" s="1"/>
  <c r="L1989" i="1"/>
  <c r="K1989" i="1" a="1"/>
  <c r="K1989" i="1" s="1"/>
  <c r="J1454" i="1" a="1"/>
  <c r="J1454" i="1" s="1"/>
  <c r="L1454" i="1"/>
  <c r="K1454" i="1" a="1"/>
  <c r="K1454" i="1" s="1"/>
  <c r="J1554" i="1" a="1"/>
  <c r="J1554" i="1" s="1"/>
  <c r="L1554" i="1"/>
  <c r="K1554" i="1" a="1"/>
  <c r="K1554" i="1" s="1"/>
  <c r="J1468" i="1" a="1"/>
  <c r="J1468" i="1" s="1"/>
  <c r="L1468" i="1"/>
  <c r="K1468" i="1" a="1"/>
  <c r="K1468" i="1" s="1"/>
  <c r="J1536" i="1" a="1"/>
  <c r="J1536" i="1" s="1"/>
  <c r="L1536" i="1"/>
  <c r="K1536" i="1" a="1"/>
  <c r="K1536" i="1" s="1"/>
  <c r="J1941" i="1" a="1"/>
  <c r="J1941" i="1" s="1"/>
  <c r="L1941" i="1"/>
  <c r="K1941" i="1" a="1"/>
  <c r="K1941" i="1" s="1"/>
  <c r="J1869" i="1" a="1"/>
  <c r="J1869" i="1" s="1"/>
  <c r="L1869" i="1"/>
  <c r="K1869" i="1" a="1"/>
  <c r="K1869" i="1" s="1"/>
  <c r="J1969" i="1" a="1"/>
  <c r="J1969" i="1" s="1"/>
  <c r="L1969" i="1"/>
  <c r="K1969" i="1" a="1"/>
  <c r="K1969" i="1" s="1"/>
  <c r="J1441" i="1" a="1"/>
  <c r="J1441" i="1" s="1"/>
  <c r="L1441" i="1"/>
  <c r="K1441" i="1" a="1"/>
  <c r="K1441" i="1" s="1"/>
  <c r="J2009" i="1" a="1"/>
  <c r="J2009" i="1" s="1"/>
  <c r="L2009" i="1"/>
  <c r="K2009" i="1" a="1"/>
  <c r="K2009" i="1" s="1"/>
  <c r="J1848" i="1" a="1"/>
  <c r="J1848" i="1" s="1"/>
  <c r="L1848" i="1"/>
  <c r="K1848" i="1" a="1"/>
  <c r="K1848" i="1" s="1"/>
  <c r="J1948" i="1" a="1"/>
  <c r="J1948" i="1" s="1"/>
  <c r="L1948" i="1"/>
  <c r="K1948" i="1" a="1"/>
  <c r="K1948" i="1" s="1"/>
  <c r="J1465" i="1" a="1"/>
  <c r="J1465" i="1" s="1"/>
  <c r="L1465" i="1"/>
  <c r="K1465" i="1" a="1"/>
  <c r="K1465" i="1" s="1"/>
  <c r="J1565" i="1" a="1"/>
  <c r="J1565" i="1" s="1"/>
  <c r="L1565" i="1"/>
  <c r="K1565" i="1" a="1"/>
  <c r="K1565" i="1" s="1"/>
  <c r="J1845" i="1" a="1"/>
  <c r="J1845" i="1" s="1"/>
  <c r="L1845" i="1"/>
  <c r="K1845" i="1" a="1"/>
  <c r="K1845" i="1" s="1"/>
  <c r="J1950" i="1" a="1"/>
  <c r="J1950" i="1" s="1"/>
  <c r="L1950" i="1"/>
  <c r="K1950" i="1" a="1"/>
  <c r="K1950" i="1" s="1"/>
  <c r="J1527" i="1" a="1"/>
  <c r="J1527" i="1" s="1"/>
  <c r="L1527" i="1"/>
  <c r="K1527" i="1" a="1"/>
  <c r="K1527" i="1" s="1"/>
  <c r="J1907" i="1" a="1"/>
  <c r="J1907" i="1" s="1"/>
  <c r="L1907" i="1"/>
  <c r="K1907" i="1" a="1"/>
  <c r="K1907" i="1" s="1"/>
  <c r="J2017" i="1" a="1"/>
  <c r="J2017" i="1" s="1"/>
  <c r="L2017" i="1"/>
  <c r="K2017" i="1" a="1"/>
  <c r="K2017" i="1" s="1"/>
  <c r="J1473" i="1" a="1"/>
  <c r="J1473" i="1" s="1"/>
  <c r="L1473" i="1"/>
  <c r="K1473" i="1" a="1"/>
  <c r="K1473" i="1" s="1"/>
  <c r="J1546" i="1" a="1"/>
  <c r="J1546" i="1" s="1"/>
  <c r="L1546" i="1"/>
  <c r="K1546" i="1" a="1"/>
  <c r="K1546" i="1" s="1"/>
  <c r="J1956" i="1" a="1"/>
  <c r="J1956" i="1" s="1"/>
  <c r="L1956" i="1"/>
  <c r="K1956" i="1" a="1"/>
  <c r="K1956" i="1" s="1"/>
  <c r="J1874" i="1" a="1"/>
  <c r="J1874" i="1" s="1"/>
  <c r="L1874" i="1"/>
  <c r="K1874" i="1" a="1"/>
  <c r="K1874" i="1" s="1"/>
  <c r="J1974" i="1" a="1"/>
  <c r="J1974" i="1" s="1"/>
  <c r="L1974" i="1"/>
  <c r="K1974" i="1" a="1"/>
  <c r="K1974" i="1" s="1"/>
  <c r="J1466" i="1" a="1"/>
  <c r="J1466" i="1" s="1"/>
  <c r="L1466" i="1"/>
  <c r="K1466" i="1" a="1"/>
  <c r="K1466" i="1" s="1"/>
  <c r="J1988" i="1" a="1"/>
  <c r="J1988" i="1" s="1"/>
  <c r="L1988" i="1"/>
  <c r="K1988" i="1" a="1"/>
  <c r="K1988" i="1" s="1"/>
  <c r="J1853" i="1" a="1"/>
  <c r="J1853" i="1" s="1"/>
  <c r="L1853" i="1"/>
  <c r="K1853" i="1" a="1"/>
  <c r="K1853" i="1" s="1"/>
  <c r="J1953" i="1" a="1"/>
  <c r="J1953" i="1" s="1"/>
  <c r="L1953" i="1"/>
  <c r="K1953" i="1" a="1"/>
  <c r="K1953" i="1" s="1"/>
  <c r="J1470" i="1" a="1"/>
  <c r="J1470" i="1" s="1"/>
  <c r="L1470" i="1"/>
  <c r="K1470" i="1" a="1"/>
  <c r="K1470" i="1" s="1"/>
  <c r="J1850" i="1" a="1"/>
  <c r="J1850" i="1" s="1"/>
  <c r="L1850" i="1"/>
  <c r="K1850" i="1" a="1"/>
  <c r="K1850" i="1" s="1"/>
  <c r="J1965" i="1" a="1"/>
  <c r="J1965" i="1" s="1"/>
  <c r="L1965" i="1"/>
  <c r="K1965" i="1" a="1"/>
  <c r="K1965" i="1" s="1"/>
  <c r="J1532" i="1" a="1"/>
  <c r="J1532" i="1" s="1"/>
  <c r="L1532" i="1"/>
  <c r="K1532" i="1" a="1"/>
  <c r="K1532" i="1" s="1"/>
  <c r="J1912" i="1" a="1"/>
  <c r="J1912" i="1" s="1"/>
  <c r="L1912" i="1"/>
  <c r="K1912" i="1" a="1"/>
  <c r="K1912" i="1" s="1"/>
  <c r="J2018" i="1" a="1"/>
  <c r="J2018" i="1" s="1"/>
  <c r="L2018" i="1"/>
  <c r="K2018" i="1" a="1"/>
  <c r="K2018" i="1" s="1"/>
  <c r="J1459" i="1" a="1"/>
  <c r="J1459" i="1" s="1"/>
  <c r="L1459" i="1"/>
  <c r="K1459" i="1" a="1"/>
  <c r="K1459" i="1" s="1"/>
  <c r="J1559" i="1" a="1"/>
  <c r="J1559" i="1" s="1"/>
  <c r="L1559" i="1"/>
  <c r="K1559" i="1" a="1"/>
  <c r="K1559" i="1" s="1"/>
  <c r="J1464" i="1" a="1"/>
  <c r="J1464" i="1" s="1"/>
  <c r="L1464" i="1"/>
  <c r="K1464" i="1" a="1"/>
  <c r="K1464" i="1" s="1"/>
  <c r="J1564" i="1" a="1"/>
  <c r="J1564" i="1" s="1"/>
  <c r="L1564" i="1"/>
  <c r="K1564" i="1" a="1"/>
  <c r="K1564" i="1" s="1"/>
  <c r="J1478" i="1" a="1"/>
  <c r="J1478" i="1" s="1"/>
  <c r="L1478" i="1"/>
  <c r="K1478" i="1" a="1"/>
  <c r="K1478" i="1" s="1"/>
  <c r="J1561" i="1" a="1"/>
  <c r="J1561" i="1" s="1"/>
  <c r="L1561" i="1"/>
  <c r="K1561" i="1" a="1"/>
  <c r="K1561" i="1" s="1"/>
  <c r="J1966" i="1" a="1"/>
  <c r="J1966" i="1" s="1"/>
  <c r="L1966" i="1"/>
  <c r="K1966" i="1" a="1"/>
  <c r="K1966" i="1" s="1"/>
  <c r="J1879" i="1" a="1"/>
  <c r="J1879" i="1" s="1"/>
  <c r="L1879" i="1"/>
  <c r="K1879" i="1" a="1"/>
  <c r="K1879" i="1" s="1"/>
  <c r="J1979" i="1" a="1"/>
  <c r="J1979" i="1" s="1"/>
  <c r="L1979" i="1"/>
  <c r="K1979" i="1" a="1"/>
  <c r="K1979" i="1" s="1"/>
  <c r="J1486" i="1" a="1"/>
  <c r="J1486" i="1" s="1"/>
  <c r="L1486" i="1"/>
  <c r="K1486" i="1" a="1"/>
  <c r="K1486" i="1" s="1"/>
  <c r="J2010" i="1" a="1"/>
  <c r="J2010" i="1" s="1"/>
  <c r="L2010" i="1"/>
  <c r="K2010" i="1" a="1"/>
  <c r="K2010" i="1" s="1"/>
  <c r="J1858" i="1" a="1"/>
  <c r="J1858" i="1" s="1"/>
  <c r="L1858" i="1"/>
  <c r="K1858" i="1" a="1"/>
  <c r="K1858" i="1" s="1"/>
  <c r="J1958" i="1" a="1"/>
  <c r="J1958" i="1" s="1"/>
  <c r="L1958" i="1"/>
  <c r="K1958" i="1" a="1"/>
  <c r="K1958" i="1" s="1"/>
  <c r="J1475" i="1" a="1"/>
  <c r="J1475" i="1" s="1"/>
  <c r="L1475" i="1"/>
  <c r="K1475" i="1" a="1"/>
  <c r="K1475" i="1" s="1"/>
  <c r="J1855" i="1" a="1"/>
  <c r="J1855" i="1" s="1"/>
  <c r="L1855" i="1"/>
  <c r="K1855" i="1" a="1"/>
  <c r="K1855" i="1" s="1"/>
  <c r="J1970" i="1" a="1"/>
  <c r="J1970" i="1" s="1"/>
  <c r="L1970" i="1"/>
  <c r="K1970" i="1" a="1"/>
  <c r="K1970" i="1" s="1"/>
  <c r="J1537" i="1" a="1"/>
  <c r="J1537" i="1" s="1"/>
  <c r="L1537" i="1"/>
  <c r="K1537" i="1" a="1"/>
  <c r="K1537" i="1" s="1"/>
  <c r="J1917" i="1" a="1"/>
  <c r="J1917" i="1" s="1"/>
  <c r="L1917" i="1"/>
  <c r="K1917" i="1" a="1"/>
  <c r="K1917" i="1" s="1"/>
  <c r="J1469" i="1" a="1"/>
  <c r="J1469" i="1" s="1"/>
  <c r="L1469" i="1"/>
  <c r="K1469" i="1" a="1"/>
  <c r="K1469" i="1" s="1"/>
  <c r="J1483" i="1" a="1"/>
  <c r="J1483" i="1" s="1"/>
  <c r="L1483" i="1"/>
  <c r="K1483" i="1" a="1"/>
  <c r="K1483" i="1" s="1"/>
  <c r="J1993" i="1" a="1"/>
  <c r="J1993" i="1" s="1"/>
  <c r="L1993" i="1"/>
  <c r="K1993" i="1" a="1"/>
  <c r="K1993" i="1" s="1"/>
  <c r="J1884" i="1" a="1"/>
  <c r="J1884" i="1" s="1"/>
  <c r="L1884" i="1"/>
  <c r="K1884" i="1" a="1"/>
  <c r="K1884" i="1" s="1"/>
  <c r="J1984" i="1" a="1"/>
  <c r="J1984" i="1" s="1"/>
  <c r="L1984" i="1"/>
  <c r="K1984" i="1" a="1"/>
  <c r="K1984" i="1" s="1"/>
  <c r="J1496" i="1" a="1"/>
  <c r="J1496" i="1" s="1"/>
  <c r="L1496" i="1"/>
  <c r="K1496" i="1" a="1"/>
  <c r="K1496" i="1" s="1"/>
  <c r="J2014" i="1" a="1"/>
  <c r="J2014" i="1" s="1"/>
  <c r="L2014" i="1"/>
  <c r="K2014" i="1" a="1"/>
  <c r="K2014" i="1" s="1"/>
  <c r="J1863" i="1" a="1"/>
  <c r="J1863" i="1" s="1"/>
  <c r="L1863" i="1"/>
  <c r="K1863" i="1" a="1"/>
  <c r="K1863" i="1" s="1"/>
  <c r="J1963" i="1" a="1"/>
  <c r="J1963" i="1" s="1"/>
  <c r="L1963" i="1"/>
  <c r="K1963" i="1" a="1"/>
  <c r="K1963" i="1" s="1"/>
  <c r="J1480" i="1" a="1"/>
  <c r="J1480" i="1" s="1"/>
  <c r="L1480" i="1"/>
  <c r="K1480" i="1" a="1"/>
  <c r="K1480" i="1" s="1"/>
  <c r="J1860" i="1" a="1"/>
  <c r="J1860" i="1" s="1"/>
  <c r="L1860" i="1"/>
  <c r="K1860" i="1" a="1"/>
  <c r="K1860" i="1" s="1"/>
  <c r="J1975" i="1" a="1"/>
  <c r="J1975" i="1" s="1"/>
  <c r="L1975" i="1"/>
  <c r="K1975" i="1" a="1"/>
  <c r="K1975" i="1" s="1"/>
  <c r="J1442" i="1" a="1"/>
  <c r="J1442" i="1" s="1"/>
  <c r="L1442" i="1"/>
  <c r="K1442" i="1" a="1"/>
  <c r="K1442" i="1" s="1"/>
  <c r="J1542" i="1" a="1"/>
  <c r="J1542" i="1" s="1"/>
  <c r="L1542" i="1"/>
  <c r="K1542" i="1" a="1"/>
  <c r="K1542" i="1" s="1"/>
  <c r="J1922" i="1" a="1"/>
  <c r="J1922" i="1" s="1"/>
  <c r="L1922" i="1"/>
  <c r="K1922" i="1" a="1"/>
  <c r="K1922" i="1" s="1"/>
  <c r="J1474" i="1" a="1"/>
  <c r="J1474" i="1" s="1"/>
  <c r="L1474" i="1"/>
  <c r="K1474" i="1" a="1"/>
  <c r="K1474" i="1" s="1"/>
  <c r="J1488" i="1" a="1"/>
  <c r="J1488" i="1" s="1"/>
  <c r="L1488" i="1"/>
  <c r="K1488" i="1" a="1"/>
  <c r="K1488" i="1" s="1"/>
  <c r="J2019" i="1" a="1"/>
  <c r="J2019" i="1" s="1"/>
  <c r="L2019" i="1"/>
  <c r="K2019" i="1" a="1"/>
  <c r="K2019" i="1" s="1"/>
  <c r="J1889" i="1" a="1"/>
  <c r="J1889" i="1" s="1"/>
  <c r="L1889" i="1"/>
  <c r="K1889" i="1" a="1"/>
  <c r="K1889" i="1" s="1"/>
  <c r="J1991" i="1" a="1"/>
  <c r="J1991" i="1" s="1"/>
  <c r="L1991" i="1"/>
  <c r="K1991" i="1" a="1"/>
  <c r="K1991" i="1" s="1"/>
  <c r="J1501" i="1" a="1"/>
  <c r="J1501" i="1" s="1"/>
  <c r="L1501" i="1"/>
  <c r="K1501" i="1" a="1"/>
  <c r="K1501" i="1" s="1"/>
  <c r="J1868" i="1" a="1"/>
  <c r="J1868" i="1" s="1"/>
  <c r="L1868" i="1"/>
  <c r="K1868" i="1" a="1"/>
  <c r="K1868" i="1" s="1"/>
  <c r="J1968" i="1" a="1"/>
  <c r="J1968" i="1" s="1"/>
  <c r="L1968" i="1"/>
  <c r="K1968" i="1" a="1"/>
  <c r="K1968" i="1" s="1"/>
  <c r="J1485" i="1" a="1"/>
  <c r="J1485" i="1" s="1"/>
  <c r="L1485" i="1"/>
  <c r="K1485" i="1" a="1"/>
  <c r="K1485" i="1" s="1"/>
  <c r="J1865" i="1" a="1"/>
  <c r="J1865" i="1" s="1"/>
  <c r="L1865" i="1"/>
  <c r="K1865" i="1" a="1"/>
  <c r="K1865" i="1" s="1"/>
  <c r="J1980" i="1" a="1"/>
  <c r="J1980" i="1" s="1"/>
  <c r="L1980" i="1"/>
  <c r="K1980" i="1" a="1"/>
  <c r="K1980" i="1" s="1"/>
  <c r="J1447" i="1" a="1"/>
  <c r="J1447" i="1" s="1"/>
  <c r="L1447" i="1"/>
  <c r="K1447" i="1" a="1"/>
  <c r="K1447" i="1" s="1"/>
  <c r="J1547" i="1" a="1"/>
  <c r="J1547" i="1" s="1"/>
  <c r="L1547" i="1"/>
  <c r="K1547" i="1" a="1"/>
  <c r="K1547" i="1" s="1"/>
  <c r="J1927" i="1" a="1"/>
  <c r="J1927" i="1" s="1"/>
  <c r="L1927" i="1"/>
  <c r="K1927" i="1" a="1"/>
  <c r="K1927" i="1" s="1"/>
  <c r="J1479" i="1" a="1"/>
  <c r="J1479" i="1" s="1"/>
  <c r="L1479" i="1"/>
  <c r="K1479" i="1" a="1"/>
  <c r="K1479" i="1" s="1"/>
  <c r="J1493" i="1" a="1"/>
  <c r="J1493" i="1" s="1"/>
  <c r="L1493" i="1"/>
  <c r="K1493" i="1" a="1"/>
  <c r="K1493" i="1" s="1"/>
  <c r="J1894" i="1" a="1"/>
  <c r="J1894" i="1" s="1"/>
  <c r="L1894" i="1"/>
  <c r="K1894" i="1" a="1"/>
  <c r="K1894" i="1" s="1"/>
  <c r="J1996" i="1" a="1"/>
  <c r="J1996" i="1" s="1"/>
  <c r="L1996" i="1"/>
  <c r="K1996" i="1" a="1"/>
  <c r="K1996" i="1" s="1"/>
  <c r="J1841" i="1" a="1"/>
  <c r="J1841" i="1" s="1"/>
  <c r="L1841" i="1"/>
  <c r="K1841" i="1" a="1"/>
  <c r="K1841" i="1" s="1"/>
  <c r="J1873" i="1" a="1"/>
  <c r="J1873" i="1" s="1"/>
  <c r="L1873" i="1"/>
  <c r="K1873" i="1" a="1"/>
  <c r="K1873" i="1" s="1"/>
  <c r="J1973" i="1" a="1"/>
  <c r="J1973" i="1" s="1"/>
  <c r="L1973" i="1"/>
  <c r="K1973" i="1" a="1"/>
  <c r="K1973" i="1" s="1"/>
  <c r="J1490" i="1" a="1"/>
  <c r="J1490" i="1" s="1"/>
  <c r="L1490" i="1"/>
  <c r="K1490" i="1" a="1"/>
  <c r="K1490" i="1" s="1"/>
  <c r="J1870" i="1" a="1"/>
  <c r="J1870" i="1" s="1"/>
  <c r="L1870" i="1"/>
  <c r="K1870" i="1" a="1"/>
  <c r="K1870" i="1" s="1"/>
  <c r="J1987" i="1" a="1"/>
  <c r="J1987" i="1" s="1"/>
  <c r="L1987" i="1"/>
  <c r="K1987" i="1" a="1"/>
  <c r="K1987" i="1" s="1"/>
  <c r="J1452" i="1" a="1"/>
  <c r="J1452" i="1" s="1"/>
  <c r="L1452" i="1"/>
  <c r="K1452" i="1" a="1"/>
  <c r="K1452" i="1" s="1"/>
  <c r="J1552" i="1" a="1"/>
  <c r="J1552" i="1" s="1"/>
  <c r="L1552" i="1"/>
  <c r="K1552" i="1" a="1"/>
  <c r="K1552" i="1" s="1"/>
  <c r="J1832" i="1" a="1"/>
  <c r="J1832" i="1" s="1"/>
  <c r="L1832" i="1"/>
  <c r="K1832" i="1" a="1"/>
  <c r="K1832" i="1" s="1"/>
  <c r="J1932" i="1" a="1"/>
  <c r="J1932" i="1" s="1"/>
  <c r="L1932" i="1"/>
  <c r="K1932" i="1" a="1"/>
  <c r="K1932" i="1" s="1"/>
  <c r="J1484" i="1" a="1"/>
  <c r="J1484" i="1" s="1"/>
  <c r="L1484" i="1"/>
  <c r="K1484" i="1" a="1"/>
  <c r="K1484" i="1" s="1"/>
  <c r="J1498" i="1" a="1"/>
  <c r="J1498" i="1" s="1"/>
  <c r="L1498" i="1"/>
  <c r="K1498" i="1" a="1"/>
  <c r="K1498" i="1" s="1"/>
  <c r="J1899" i="1" a="1"/>
  <c r="J1899" i="1" s="1"/>
  <c r="L1899" i="1"/>
  <c r="K1899" i="1" a="1"/>
  <c r="K1899" i="1" s="1"/>
  <c r="J2001" i="1" a="1"/>
  <c r="J2001" i="1" s="1"/>
  <c r="L2001" i="1"/>
  <c r="K2001" i="1" a="1"/>
  <c r="K2001" i="1" s="1"/>
  <c r="J1871" i="1" a="1"/>
  <c r="J1871" i="1" s="1"/>
  <c r="L1871" i="1"/>
  <c r="K1871" i="1" a="1"/>
  <c r="K1871" i="1" s="1"/>
  <c r="J1878" i="1" a="1"/>
  <c r="J1878" i="1" s="1"/>
  <c r="L1878" i="1"/>
  <c r="K1878" i="1" a="1"/>
  <c r="K1878" i="1" s="1"/>
  <c r="J1978" i="1" a="1"/>
  <c r="J1978" i="1" s="1"/>
  <c r="L1978" i="1"/>
  <c r="K1978" i="1" a="1"/>
  <c r="K1978" i="1" s="1"/>
  <c r="J1495" i="1" a="1"/>
  <c r="J1495" i="1" s="1"/>
  <c r="L1495" i="1"/>
  <c r="K1495" i="1" a="1"/>
  <c r="K1495" i="1" s="1"/>
  <c r="J1875" i="1" a="1"/>
  <c r="J1875" i="1" s="1"/>
  <c r="L1875" i="1"/>
  <c r="K1875" i="1" a="1"/>
  <c r="K1875" i="1" s="1"/>
  <c r="J2015" i="1" a="1"/>
  <c r="J2015" i="1" s="1"/>
  <c r="L2015" i="1"/>
  <c r="K2015" i="1" a="1"/>
  <c r="K2015" i="1" s="1"/>
  <c r="J1457" i="1" a="1"/>
  <c r="J1457" i="1" s="1"/>
  <c r="L1457" i="1"/>
  <c r="K1457" i="1" a="1"/>
  <c r="K1457" i="1" s="1"/>
  <c r="J1557" i="1" a="1"/>
  <c r="J1557" i="1" s="1"/>
  <c r="L1557" i="1"/>
  <c r="K1557" i="1" a="1"/>
  <c r="K1557" i="1" s="1"/>
  <c r="J1837" i="1" a="1"/>
  <c r="J1837" i="1" s="1"/>
  <c r="L1837" i="1"/>
  <c r="K1837" i="1" a="1"/>
  <c r="K1837" i="1" s="1"/>
  <c r="J1937" i="1" a="1"/>
  <c r="J1937" i="1" s="1"/>
  <c r="L1937" i="1"/>
  <c r="K1937" i="1" a="1"/>
  <c r="K1937" i="1" s="1"/>
  <c r="J1489" i="1" a="1"/>
  <c r="J1489" i="1" s="1"/>
  <c r="L1489" i="1"/>
  <c r="K1489" i="1" a="1"/>
  <c r="K1489" i="1" s="1"/>
  <c r="J1503" i="1" a="1"/>
  <c r="J1503" i="1" s="1"/>
  <c r="L1503" i="1"/>
  <c r="K1503" i="1" a="1"/>
  <c r="K1503" i="1" s="1"/>
  <c r="J1904" i="1" a="1"/>
  <c r="J1904" i="1" s="1"/>
  <c r="L1904" i="1"/>
  <c r="K1904" i="1" a="1"/>
  <c r="K1904" i="1" s="1"/>
  <c r="J2020" i="1" a="1"/>
  <c r="J2020" i="1" s="1"/>
  <c r="L2020" i="1"/>
  <c r="K2020" i="1" a="1"/>
  <c r="K2020" i="1" s="1"/>
  <c r="J1921" i="1" a="1"/>
  <c r="J1921" i="1" s="1"/>
  <c r="L1921" i="1"/>
  <c r="K1921" i="1" a="1"/>
  <c r="K1921" i="1" s="1"/>
  <c r="J1883" i="1" a="1"/>
  <c r="J1883" i="1" s="1"/>
  <c r="L1883" i="1"/>
  <c r="K1883" i="1" a="1"/>
  <c r="K1883" i="1" s="1"/>
  <c r="J1983" i="1" a="1"/>
  <c r="J1983" i="1" s="1"/>
  <c r="L1983" i="1"/>
  <c r="K1983" i="1" a="1"/>
  <c r="K1983" i="1" s="1"/>
  <c r="J1500" i="1" a="1"/>
  <c r="J1500" i="1" s="1"/>
  <c r="L1500" i="1"/>
  <c r="K1500" i="1" a="1"/>
  <c r="K1500" i="1" s="1"/>
  <c r="J1880" i="1" a="1"/>
  <c r="J1880" i="1" s="1"/>
  <c r="L1880" i="1"/>
  <c r="K1880" i="1" a="1"/>
  <c r="K1880" i="1" s="1"/>
  <c r="J1462" i="1" a="1"/>
  <c r="J1462" i="1" s="1"/>
  <c r="L1462" i="1"/>
  <c r="K1462" i="1" a="1"/>
  <c r="K1462" i="1" s="1"/>
  <c r="J1562" i="1" a="1"/>
  <c r="J1562" i="1" s="1"/>
  <c r="L1562" i="1"/>
  <c r="K1562" i="1" a="1"/>
  <c r="K1562" i="1" s="1"/>
  <c r="J1842" i="1" a="1"/>
  <c r="J1842" i="1" s="1"/>
  <c r="L1842" i="1"/>
  <c r="K1842" i="1" a="1"/>
  <c r="K1842" i="1" s="1"/>
  <c r="J1942" i="1" a="1"/>
  <c r="J1942" i="1" s="1"/>
  <c r="L1942" i="1"/>
  <c r="K1942" i="1" a="1"/>
  <c r="K1942" i="1" s="1"/>
  <c r="J1494" i="1" a="1"/>
  <c r="J1494" i="1" s="1"/>
  <c r="L1494" i="1"/>
  <c r="K1494" i="1" a="1"/>
  <c r="K1494" i="1" s="1"/>
  <c r="J1508" i="1" a="1"/>
  <c r="J1508" i="1" s="1"/>
  <c r="L1508" i="1"/>
  <c r="K1508" i="1" a="1"/>
  <c r="K1508" i="1" s="1"/>
  <c r="J1909" i="1" a="1"/>
  <c r="J1909" i="1" s="1"/>
  <c r="L1909" i="1"/>
  <c r="K1909" i="1" a="1"/>
  <c r="K1909" i="1" s="1"/>
  <c r="J1976" i="1" a="1"/>
  <c r="J1976" i="1" s="1"/>
  <c r="L1976" i="1"/>
  <c r="K1976" i="1" a="1"/>
  <c r="K1976" i="1" s="1"/>
  <c r="J1888" i="1" a="1"/>
  <c r="J1888" i="1" s="1"/>
  <c r="L1888" i="1"/>
  <c r="K1888" i="1" a="1"/>
  <c r="K1888" i="1" s="1"/>
  <c r="J1990" i="1" a="1"/>
  <c r="J1990" i="1" s="1"/>
  <c r="L1990" i="1"/>
  <c r="K1990" i="1" a="1"/>
  <c r="K1990" i="1" s="1"/>
  <c r="J1505" i="1" a="1"/>
  <c r="J1505" i="1" s="1"/>
  <c r="L1505" i="1"/>
  <c r="K1505" i="1" a="1"/>
  <c r="K1505" i="1" s="1"/>
  <c r="J1885" i="1" a="1"/>
  <c r="J1885" i="1" s="1"/>
  <c r="L1885" i="1"/>
  <c r="K1885" i="1" a="1"/>
  <c r="K1885" i="1" s="1"/>
  <c r="J1467" i="1" a="1"/>
  <c r="J1467" i="1" s="1"/>
  <c r="L1467" i="1"/>
  <c r="K1467" i="1" a="1"/>
  <c r="K1467" i="1" s="1"/>
  <c r="J1567" i="1" a="1"/>
  <c r="J1567" i="1" s="1"/>
  <c r="L1567" i="1"/>
  <c r="K1567" i="1" a="1"/>
  <c r="K1567" i="1" s="1"/>
  <c r="J1847" i="1" a="1"/>
  <c r="J1847" i="1" s="1"/>
  <c r="L1847" i="1"/>
  <c r="K1847" i="1" a="1"/>
  <c r="K1847" i="1" s="1"/>
  <c r="J1947" i="1" a="1"/>
  <c r="J1947" i="1" s="1"/>
  <c r="L1947" i="1"/>
  <c r="K1947" i="1" a="1"/>
  <c r="K1947" i="1" s="1"/>
  <c r="J1513" i="1" a="1"/>
  <c r="J1513" i="1" s="1"/>
  <c r="L1513" i="1"/>
  <c r="K1513" i="1" a="1"/>
  <c r="K1513" i="1" s="1"/>
  <c r="J1914" i="1" a="1"/>
  <c r="J1914" i="1" s="1"/>
  <c r="L1914" i="1"/>
  <c r="K1914" i="1" a="1"/>
  <c r="K1914" i="1" s="1"/>
  <c r="J1866" i="1" a="1"/>
  <c r="J1866" i="1" s="1"/>
  <c r="L1866" i="1"/>
  <c r="K1866" i="1" a="1"/>
  <c r="K1866" i="1" s="1"/>
  <c r="J1446" i="1" a="1"/>
  <c r="J1446" i="1" s="1"/>
  <c r="L1446" i="1"/>
  <c r="K1446" i="1" a="1"/>
  <c r="K1446" i="1" s="1"/>
  <c r="J1851" i="1" a="1"/>
  <c r="J1851" i="1" s="1"/>
  <c r="L1851" i="1"/>
  <c r="K1851" i="1" a="1"/>
  <c r="K1851" i="1" s="1"/>
  <c r="J1998" i="1" a="1"/>
  <c r="J1998" i="1" s="1"/>
  <c r="L1998" i="1"/>
  <c r="K1998" i="1" a="1"/>
  <c r="K1998" i="1" s="1"/>
  <c r="J1893" i="1" a="1"/>
  <c r="J1893" i="1" s="1"/>
  <c r="L1893" i="1"/>
  <c r="K1893" i="1" a="1"/>
  <c r="K1893" i="1" s="1"/>
  <c r="J1995" i="1" a="1"/>
  <c r="J1995" i="1" s="1"/>
  <c r="L1995" i="1"/>
  <c r="K1995" i="1" a="1"/>
  <c r="K1995" i="1" s="1"/>
  <c r="J1510" i="1" a="1"/>
  <c r="J1510" i="1" s="1"/>
  <c r="L1510" i="1"/>
  <c r="K1510" i="1" a="1"/>
  <c r="K1510" i="1" s="1"/>
  <c r="J1890" i="1" a="1"/>
  <c r="J1890" i="1" s="1"/>
  <c r="L1890" i="1"/>
  <c r="K1890" i="1" a="1"/>
  <c r="K1890" i="1" s="1"/>
  <c r="J1472" i="1" a="1"/>
  <c r="J1472" i="1" s="1"/>
  <c r="L1472" i="1"/>
  <c r="K1472" i="1" a="1"/>
  <c r="K1472" i="1" s="1"/>
  <c r="J1852" i="1" a="1"/>
  <c r="J1852" i="1" s="1"/>
  <c r="L1852" i="1"/>
  <c r="K1852" i="1" a="1"/>
  <c r="K1852" i="1" s="1"/>
  <c r="J1952" i="1" a="1"/>
  <c r="J1952" i="1" s="1"/>
  <c r="L1952" i="1"/>
  <c r="K1952" i="1" a="1"/>
  <c r="K1952" i="1" s="1"/>
  <c r="J1499" i="1" a="1"/>
  <c r="J1499" i="1" s="1"/>
  <c r="L1499" i="1"/>
  <c r="K1499" i="1" a="1"/>
  <c r="K1499" i="1" s="1"/>
  <c r="J1504" i="1" a="1"/>
  <c r="J1504" i="1" s="1"/>
  <c r="L1504" i="1"/>
  <c r="K1504" i="1" a="1"/>
  <c r="K1504" i="1" s="1"/>
  <c r="J1518" i="1" a="1"/>
  <c r="J1518" i="1" s="1"/>
  <c r="L1518" i="1"/>
  <c r="K1518" i="1" a="1"/>
  <c r="K1518" i="1" s="1"/>
  <c r="J1919" i="1" a="1"/>
  <c r="J1919" i="1" s="1"/>
  <c r="L1919" i="1"/>
  <c r="K1919" i="1" a="1"/>
  <c r="K1919" i="1" s="1"/>
  <c r="J1881" i="1" a="1"/>
  <c r="J1881" i="1" s="1"/>
  <c r="L1881" i="1"/>
  <c r="K1881" i="1" a="1"/>
  <c r="K1881" i="1" s="1"/>
  <c r="J1456" i="1" a="1"/>
  <c r="J1456" i="1" s="1"/>
  <c r="L1456" i="1"/>
  <c r="K1456" i="1" a="1"/>
  <c r="K1456" i="1" s="1"/>
  <c r="J1876" i="1" a="1"/>
  <c r="J1876" i="1" s="1"/>
  <c r="L1876" i="1"/>
  <c r="K1876" i="1" a="1"/>
  <c r="K1876" i="1" s="1"/>
  <c r="J2008" i="1" a="1"/>
  <c r="J2008" i="1" s="1"/>
  <c r="L2008" i="1"/>
  <c r="K2008" i="1" a="1"/>
  <c r="K2008" i="1" s="1"/>
  <c r="J1898" i="1" a="1"/>
  <c r="J1898" i="1" s="1"/>
  <c r="L1898" i="1"/>
  <c r="K1898" i="1" a="1"/>
  <c r="K1898" i="1" s="1"/>
  <c r="J2000" i="1" a="1"/>
  <c r="J2000" i="1" s="1"/>
  <c r="L2000" i="1"/>
  <c r="K2000" i="1" a="1"/>
  <c r="K2000" i="1" s="1"/>
  <c r="J1515" i="1" a="1"/>
  <c r="J1515" i="1" s="1"/>
  <c r="L1515" i="1"/>
  <c r="K1515" i="1" a="1"/>
  <c r="K1515" i="1" s="1"/>
  <c r="J1895" i="1" a="1"/>
  <c r="J1895" i="1" s="1"/>
  <c r="L1895" i="1"/>
  <c r="K1895" i="1" a="1"/>
  <c r="K1895" i="1" s="1"/>
  <c r="J1477" i="1" a="1"/>
  <c r="J1477" i="1" s="1"/>
  <c r="L1477" i="1"/>
  <c r="K1477" i="1" a="1"/>
  <c r="K1477" i="1" s="1"/>
  <c r="J1857" i="1" a="1"/>
  <c r="J1857" i="1" s="1"/>
  <c r="L1857" i="1"/>
  <c r="K1857" i="1" a="1"/>
  <c r="K1857" i="1" s="1"/>
  <c r="J1957" i="1" a="1"/>
  <c r="J1957" i="1" s="1"/>
  <c r="L1957" i="1"/>
  <c r="K1957" i="1" a="1"/>
  <c r="K1957" i="1" s="1"/>
  <c r="J1509" i="1" a="1"/>
  <c r="J1509" i="1" s="1"/>
  <c r="L1509" i="1"/>
  <c r="K1509" i="1" a="1"/>
  <c r="K1509" i="1" s="1"/>
  <c r="J1523" i="1" a="1"/>
  <c r="J1523" i="1" s="1"/>
  <c r="L1523" i="1"/>
  <c r="K1523" i="1" a="1"/>
  <c r="K1523" i="1" s="1"/>
  <c r="J1924" i="1" a="1"/>
  <c r="J1924" i="1" s="1"/>
  <c r="L1924" i="1"/>
  <c r="K1924" i="1" a="1"/>
  <c r="K1924" i="1" s="1"/>
  <c r="J1896" i="1" a="1"/>
  <c r="J1896" i="1" s="1"/>
  <c r="L1896" i="1"/>
  <c r="K1896" i="1" a="1"/>
  <c r="K1896" i="1" s="1"/>
  <c r="J1861" i="1" a="1"/>
  <c r="J1861" i="1" s="1"/>
  <c r="L1861" i="1"/>
  <c r="K1861" i="1" a="1"/>
  <c r="K1861" i="1" s="1"/>
  <c r="J1476" i="1" a="1"/>
  <c r="J1476" i="1" s="1"/>
  <c r="L1476" i="1"/>
  <c r="K1476" i="1" a="1"/>
  <c r="K1476" i="1" s="1"/>
  <c r="J1916" i="1" a="1"/>
  <c r="J1916" i="1" s="1"/>
  <c r="L1916" i="1"/>
  <c r="K1916" i="1" a="1"/>
  <c r="K1916" i="1" s="1"/>
  <c r="J1903" i="1" a="1"/>
  <c r="J1903" i="1" s="1"/>
  <c r="L1903" i="1"/>
  <c r="K1903" i="1" a="1"/>
  <c r="K1903" i="1" s="1"/>
  <c r="J2012" i="1" a="1"/>
  <c r="J2012" i="1" s="1"/>
  <c r="L2012" i="1"/>
  <c r="K2012" i="1" a="1"/>
  <c r="K2012" i="1" s="1"/>
  <c r="J1520" i="1" a="1"/>
  <c r="J1520" i="1" s="1"/>
  <c r="L1520" i="1"/>
  <c r="K1520" i="1" a="1"/>
  <c r="K1520" i="1" s="1"/>
  <c r="J1900" i="1" a="1"/>
  <c r="J1900" i="1" s="1"/>
  <c r="L1900" i="1"/>
  <c r="K1900" i="1" a="1"/>
  <c r="K1900" i="1" s="1"/>
  <c r="J1482" i="1" a="1"/>
  <c r="J1482" i="1" s="1"/>
  <c r="L1482" i="1"/>
  <c r="K1482" i="1" a="1"/>
  <c r="K1482" i="1" s="1"/>
  <c r="J1862" i="1" a="1"/>
  <c r="J1862" i="1" s="1"/>
  <c r="L1862" i="1"/>
  <c r="K1862" i="1" a="1"/>
  <c r="K1862" i="1" s="1"/>
  <c r="J1962" i="1" a="1"/>
  <c r="J1962" i="1" s="1"/>
  <c r="L1962" i="1"/>
  <c r="K1962" i="1" a="1"/>
  <c r="K1962" i="1" s="1"/>
  <c r="J1514" i="1" a="1"/>
  <c r="J1514" i="1" s="1"/>
  <c r="L1514" i="1"/>
  <c r="K1514" i="1" a="1"/>
  <c r="K1514" i="1" s="1"/>
  <c r="J1528" i="1" a="1"/>
  <c r="J1528" i="1" s="1"/>
  <c r="L1528" i="1"/>
  <c r="K1528" i="1" a="1"/>
  <c r="K1528" i="1" s="1"/>
  <c r="J1829" i="1" a="1"/>
  <c r="J1829" i="1" s="1"/>
  <c r="L1829" i="1"/>
  <c r="K1829" i="1" a="1"/>
  <c r="K1829" i="1" s="1"/>
  <c r="J1929" i="1" a="1"/>
  <c r="J1929" i="1" s="1"/>
  <c r="L1929" i="1"/>
  <c r="K1929" i="1" a="1"/>
  <c r="K1929" i="1" s="1"/>
  <c r="J1911" i="1" a="1"/>
  <c r="J1911" i="1" s="1"/>
  <c r="L1911" i="1"/>
  <c r="K1911" i="1" a="1"/>
  <c r="K1911" i="1" s="1"/>
  <c r="J1886" i="1" a="1"/>
  <c r="J1886" i="1" s="1"/>
  <c r="L1886" i="1"/>
  <c r="K1886" i="1" a="1"/>
  <c r="K1886" i="1" s="1"/>
  <c r="J1526" i="1" a="1"/>
  <c r="J1526" i="1" s="1"/>
  <c r="L1526" i="1"/>
  <c r="K1526" i="1" a="1"/>
  <c r="K1526" i="1" s="1"/>
  <c r="J1926" i="1" a="1"/>
  <c r="J1926" i="1" s="1"/>
  <c r="L1926" i="1"/>
  <c r="K1926" i="1" a="1"/>
  <c r="K1926" i="1" s="1"/>
  <c r="J1491" i="1" a="1"/>
  <c r="J1491" i="1" s="1"/>
  <c r="L1491" i="1"/>
  <c r="K1491" i="1" a="1"/>
  <c r="K1491" i="1" s="1"/>
  <c r="J1908" i="1" a="1"/>
  <c r="J1908" i="1" s="1"/>
  <c r="L1908" i="1"/>
  <c r="K1908" i="1" a="1"/>
  <c r="K1908" i="1" s="1"/>
  <c r="J2013" i="1" a="1"/>
  <c r="J2013" i="1" s="1"/>
  <c r="L2013" i="1"/>
  <c r="K2013" i="1" a="1"/>
  <c r="K2013" i="1" s="1"/>
  <c r="J1525" i="1" a="1"/>
  <c r="J1525" i="1" s="1"/>
  <c r="L1525" i="1"/>
  <c r="K1525" i="1" a="1"/>
  <c r="K1525" i="1" s="1"/>
  <c r="J1905" i="1" a="1"/>
  <c r="J1905" i="1" s="1"/>
  <c r="L1905" i="1"/>
  <c r="K1905" i="1" a="1"/>
  <c r="K1905" i="1" s="1"/>
  <c r="J1487" i="1" a="1"/>
  <c r="J1487" i="1" s="1"/>
  <c r="L1487" i="1"/>
  <c r="K1487" i="1" a="1"/>
  <c r="K1487" i="1" s="1"/>
  <c r="J1867" i="1" a="1"/>
  <c r="J1867" i="1" s="1"/>
  <c r="L1867" i="1"/>
  <c r="K1867" i="1" a="1"/>
  <c r="K1867" i="1" s="1"/>
  <c r="J1967" i="1" a="1"/>
  <c r="J1967" i="1" s="1"/>
  <c r="L1967" i="1"/>
  <c r="K1967" i="1" a="1"/>
  <c r="K1967" i="1" s="1"/>
  <c r="J1533" i="1" a="1"/>
  <c r="J1533" i="1" s="1"/>
  <c r="L1533" i="1"/>
  <c r="K1533" i="1" a="1"/>
  <c r="K1533" i="1" s="1"/>
  <c r="J1834" i="1" a="1"/>
  <c r="J1834" i="1" s="1"/>
  <c r="L1834" i="1"/>
  <c r="K1834" i="1" a="1"/>
  <c r="K1834" i="1" s="1"/>
  <c r="J1934" i="1" a="1"/>
  <c r="J1934" i="1" s="1"/>
  <c r="L1934" i="1"/>
  <c r="K1934" i="1" a="1"/>
  <c r="K1934" i="1" s="1"/>
  <c r="J1951" i="1" a="1"/>
  <c r="J1951" i="1" s="1"/>
  <c r="L1951" i="1"/>
  <c r="K1951" i="1" a="1"/>
  <c r="K1951" i="1" s="1"/>
  <c r="J1451" i="1" a="1"/>
  <c r="J1451" i="1" s="1"/>
  <c r="L1451" i="1"/>
  <c r="K1451" i="1" a="1"/>
  <c r="K1451" i="1" s="1"/>
  <c r="J1906" i="1" a="1"/>
  <c r="J1906" i="1" s="1"/>
  <c r="L1906" i="1"/>
  <c r="K1906" i="1" a="1"/>
  <c r="K1906" i="1" s="1"/>
  <c r="J1936" i="1" a="1"/>
  <c r="J1936" i="1" s="1"/>
  <c r="L1936" i="1"/>
  <c r="K1936" i="1" a="1"/>
  <c r="K1936" i="1" s="1"/>
  <c r="J1521" i="1" a="1"/>
  <c r="J1521" i="1" s="1"/>
  <c r="L1521" i="1"/>
  <c r="K1521" i="1" a="1"/>
  <c r="K1521" i="1" s="1"/>
  <c r="J1913" i="1" a="1"/>
  <c r="J1913" i="1" s="1"/>
  <c r="L1913" i="1"/>
  <c r="K1913" i="1" a="1"/>
  <c r="K1913" i="1" s="1"/>
  <c r="J1920" i="1" a="1"/>
  <c r="J1920" i="1" s="1"/>
  <c r="L1920" i="1"/>
  <c r="K1920" i="1" a="1"/>
  <c r="K1920" i="1" s="1"/>
  <c r="J1530" i="1" a="1"/>
  <c r="J1530" i="1" s="1"/>
  <c r="L1530" i="1"/>
  <c r="K1530" i="1" a="1"/>
  <c r="K1530" i="1" s="1"/>
  <c r="J1910" i="1" a="1"/>
  <c r="J1910" i="1" s="1"/>
  <c r="L1910" i="1"/>
  <c r="K1910" i="1" a="1"/>
  <c r="K1910" i="1" s="1"/>
  <c r="J1492" i="1" a="1"/>
  <c r="J1492" i="1" s="1"/>
  <c r="L1492" i="1"/>
  <c r="K1492" i="1" a="1"/>
  <c r="K1492" i="1" s="1"/>
  <c r="J1872" i="1" a="1"/>
  <c r="J1872" i="1" s="1"/>
  <c r="L1872" i="1"/>
  <c r="K1872" i="1" a="1"/>
  <c r="K1872" i="1" s="1"/>
  <c r="J1972" i="1" a="1"/>
  <c r="J1972" i="1" s="1"/>
  <c r="L1972" i="1"/>
  <c r="K1972" i="1" a="1"/>
  <c r="K1972" i="1" s="1"/>
  <c r="J1519" i="1" a="1"/>
  <c r="J1519" i="1" s="1"/>
  <c r="L1519" i="1"/>
  <c r="K1519" i="1" a="1"/>
  <c r="K1519" i="1" s="1"/>
  <c r="J1524" i="1" a="1"/>
  <c r="J1524" i="1" s="1"/>
  <c r="L1524" i="1"/>
  <c r="K1524" i="1" a="1"/>
  <c r="K1524" i="1" s="1"/>
  <c r="J1538" i="1" a="1"/>
  <c r="J1538" i="1" s="1"/>
  <c r="L1538" i="1"/>
  <c r="K1538" i="1" a="1"/>
  <c r="K1538" i="1" s="1"/>
  <c r="J1839" i="1" a="1"/>
  <c r="J1839" i="1" s="1"/>
  <c r="L1839" i="1"/>
  <c r="K1839" i="1" a="1"/>
  <c r="K1839" i="1" s="1"/>
  <c r="J1939" i="1" a="1"/>
  <c r="J1939" i="1" s="1"/>
  <c r="L1939" i="1"/>
  <c r="K1939" i="1" a="1"/>
  <c r="K1939" i="1" s="1"/>
  <c r="J1961" i="1" a="1"/>
  <c r="J1961" i="1" s="1"/>
  <c r="L1961" i="1"/>
  <c r="K1961" i="1" a="1"/>
  <c r="K1961" i="1" s="1"/>
  <c r="J1461" i="1" a="1"/>
  <c r="J1461" i="1" s="1"/>
  <c r="L1461" i="1"/>
  <c r="K1461" i="1" a="1"/>
  <c r="K1461" i="1" s="1"/>
  <c r="J1946" i="1" a="1"/>
  <c r="J1946" i="1" s="1"/>
  <c r="L1946" i="1"/>
  <c r="K1946" i="1" a="1"/>
  <c r="K1946" i="1" s="1"/>
  <c r="J2003" i="1" a="1"/>
  <c r="J2003" i="1" s="1"/>
  <c r="L2003" i="1"/>
  <c r="K2003" i="1" a="1"/>
  <c r="K2003" i="1" s="1"/>
  <c r="J1531" i="1" a="1"/>
  <c r="J1531" i="1" s="1"/>
  <c r="L1531" i="1"/>
  <c r="K1531" i="1" a="1"/>
  <c r="K1531" i="1" s="1"/>
  <c r="J1918" i="1" a="1"/>
  <c r="J1918" i="1" s="1"/>
  <c r="L1918" i="1"/>
  <c r="K1918" i="1" a="1"/>
  <c r="K1918" i="1" s="1"/>
  <c r="J1955" i="1" a="1"/>
  <c r="J1955" i="1" s="1"/>
  <c r="L1955" i="1"/>
  <c r="K1955" i="1" a="1"/>
  <c r="K1955" i="1" s="1"/>
  <c r="J1535" i="1" a="1"/>
  <c r="J1535" i="1" s="1"/>
  <c r="L1535" i="1"/>
  <c r="K1535" i="1" a="1"/>
  <c r="K1535" i="1" s="1"/>
  <c r="J1915" i="1" a="1"/>
  <c r="J1915" i="1" s="1"/>
  <c r="L1915" i="1"/>
  <c r="K1915" i="1" a="1"/>
  <c r="K1915" i="1" s="1"/>
  <c r="J1497" i="1" a="1"/>
  <c r="J1497" i="1" s="1"/>
  <c r="L1497" i="1"/>
  <c r="K1497" i="1" a="1"/>
  <c r="K1497" i="1" s="1"/>
  <c r="J1877" i="1" a="1"/>
  <c r="J1877" i="1" s="1"/>
  <c r="L1877" i="1"/>
  <c r="K1877" i="1" a="1"/>
  <c r="K1877" i="1" s="1"/>
  <c r="J1977" i="1" a="1"/>
  <c r="J1977" i="1" s="1"/>
  <c r="L1977" i="1"/>
  <c r="K1977" i="1" a="1"/>
  <c r="K1977" i="1" s="1"/>
  <c r="J1529" i="1" a="1"/>
  <c r="J1529" i="1" s="1"/>
  <c r="L1529" i="1"/>
  <c r="K1529" i="1" a="1"/>
  <c r="K1529" i="1" s="1"/>
  <c r="J1443" i="1" a="1"/>
  <c r="J1443" i="1" s="1"/>
  <c r="L1443" i="1"/>
  <c r="K1443" i="1" a="1"/>
  <c r="K1443" i="1" s="1"/>
  <c r="J1543" i="1" a="1"/>
  <c r="J1543" i="1" s="1"/>
  <c r="L1543" i="1"/>
  <c r="K1543" i="1" a="1"/>
  <c r="K1543" i="1" s="1"/>
  <c r="J1831" i="1" a="1"/>
  <c r="J1831" i="1" s="1"/>
  <c r="L1831" i="1"/>
  <c r="K1831" i="1" a="1"/>
  <c r="K1831" i="1" s="1"/>
  <c r="J1844" i="1" a="1"/>
  <c r="J1844" i="1" s="1"/>
  <c r="L1844" i="1"/>
  <c r="K1844" i="1" a="1"/>
  <c r="K1844" i="1" s="1"/>
  <c r="J1944" i="1" a="1"/>
  <c r="J1944" i="1" s="1"/>
  <c r="L1944" i="1"/>
  <c r="K1944" i="1" a="1"/>
  <c r="K1944" i="1" s="1"/>
  <c r="J2011" i="1" a="1"/>
  <c r="J2011" i="1" s="1"/>
  <c r="L2011" i="1"/>
  <c r="K2011" i="1" a="1"/>
  <c r="K2011" i="1" s="1"/>
  <c r="J1506" i="1" a="1"/>
  <c r="J1506" i="1" s="1"/>
  <c r="L1506" i="1"/>
  <c r="K1506" i="1" a="1"/>
  <c r="K1506" i="1" s="1"/>
  <c r="J1986" i="1" a="1"/>
  <c r="J1986" i="1" s="1"/>
  <c r="L1986" i="1"/>
  <c r="K1986" i="1" a="1"/>
  <c r="K1986" i="1" s="1"/>
  <c r="J2007" i="1" a="1"/>
  <c r="J2007" i="1" s="1"/>
  <c r="L2007" i="1"/>
  <c r="K2007" i="1" a="1"/>
  <c r="K2007" i="1" s="1"/>
  <c r="J1541" i="1" a="1"/>
  <c r="J1541" i="1" s="1"/>
  <c r="L1541" i="1"/>
  <c r="K1541" i="1" a="1"/>
  <c r="K1541" i="1" s="1"/>
  <c r="J1836" i="1" a="1"/>
  <c r="J1836" i="1" s="1"/>
  <c r="L1836" i="1"/>
  <c r="K1836" i="1" a="1"/>
  <c r="K1836" i="1" s="1"/>
  <c r="J1923" i="1" a="1"/>
  <c r="J1923" i="1" s="1"/>
  <c r="L1923" i="1"/>
  <c r="K1923" i="1" a="1"/>
  <c r="K1923" i="1" s="1"/>
  <c r="J1960" i="1" a="1"/>
  <c r="J1960" i="1" s="1"/>
  <c r="L1960" i="1"/>
  <c r="K1960" i="1" a="1"/>
  <c r="K1960" i="1" s="1"/>
  <c r="J1540" i="1" a="1"/>
  <c r="J1540" i="1" s="1"/>
  <c r="L1540" i="1"/>
  <c r="K1540" i="1" a="1"/>
  <c r="K1540" i="1" s="1"/>
  <c r="J1925" i="1" a="1"/>
  <c r="J1925" i="1" s="1"/>
  <c r="L1925" i="1"/>
  <c r="K1925" i="1" a="1"/>
  <c r="K1925" i="1" s="1"/>
  <c r="J1502" i="1" a="1"/>
  <c r="J1502" i="1" s="1"/>
  <c r="L1502" i="1"/>
  <c r="K1502" i="1" a="1"/>
  <c r="K1502" i="1" s="1"/>
  <c r="J1882" i="1" a="1"/>
  <c r="J1882" i="1" s="1"/>
  <c r="L1882" i="1"/>
  <c r="K1882" i="1" a="1"/>
  <c r="K1882" i="1" s="1"/>
  <c r="J1982" i="1" a="1"/>
  <c r="J1982" i="1" s="1"/>
  <c r="L1982" i="1"/>
  <c r="K1982" i="1" a="1"/>
  <c r="K1982" i="1" s="1"/>
  <c r="J1534" i="1" a="1"/>
  <c r="J1534" i="1" s="1"/>
  <c r="L1534" i="1"/>
  <c r="K1534" i="1" a="1"/>
  <c r="K1534" i="1" s="1"/>
  <c r="J1448" i="1" a="1"/>
  <c r="J1448" i="1" s="1"/>
  <c r="L1448" i="1"/>
  <c r="K1448" i="1" a="1"/>
  <c r="K1448" i="1" s="1"/>
  <c r="J1548" i="1" a="1"/>
  <c r="J1548" i="1" s="1"/>
  <c r="L1548" i="1"/>
  <c r="K1548" i="1" a="1"/>
  <c r="K1548" i="1" s="1"/>
  <c r="J1846" i="1" a="1"/>
  <c r="J1846" i="1" s="1"/>
  <c r="L1846" i="1"/>
  <c r="K1846" i="1" a="1"/>
  <c r="K1846" i="1" s="1"/>
  <c r="J1849" i="1" a="1"/>
  <c r="J1849" i="1" s="1"/>
  <c r="L1849" i="1"/>
  <c r="K1849" i="1" a="1"/>
  <c r="K1849" i="1" s="1"/>
  <c r="J1949" i="1" a="1"/>
  <c r="J1949" i="1" s="1"/>
  <c r="L1949" i="1"/>
  <c r="K1949" i="1" a="1"/>
  <c r="K1949" i="1" s="1"/>
  <c r="J2005" i="1" a="1"/>
  <c r="J2005" i="1" s="1"/>
  <c r="L2005" i="1"/>
  <c r="K2005" i="1" a="1"/>
  <c r="K2005" i="1" s="1"/>
  <c r="J1516" i="1" a="1"/>
  <c r="J1516" i="1" s="1"/>
  <c r="L1516" i="1"/>
  <c r="K1516" i="1" a="1"/>
  <c r="K1516" i="1" s="1"/>
  <c r="J2006" i="1" a="1"/>
  <c r="J2006" i="1" s="1"/>
  <c r="L2006" i="1"/>
  <c r="K2006" i="1" a="1"/>
  <c r="K2006" i="1" s="1"/>
  <c r="J1556" i="1" a="1"/>
  <c r="J1556" i="1" s="1"/>
  <c r="L1556" i="1"/>
  <c r="K1556" i="1" a="1"/>
  <c r="K1556" i="1" s="1"/>
  <c r="J1931" i="1" a="1"/>
  <c r="J1931" i="1" s="1"/>
  <c r="L1931" i="1"/>
  <c r="K1931" i="1" a="1"/>
  <c r="K1931" i="1" s="1"/>
  <c r="J1828" i="1" a="1"/>
  <c r="J1828" i="1" s="1"/>
  <c r="L1828" i="1"/>
  <c r="K1828" i="1" a="1"/>
  <c r="K1828" i="1" s="1"/>
  <c r="J1928" i="1" a="1"/>
  <c r="J1928" i="1" s="1"/>
  <c r="L1928" i="1"/>
  <c r="K1928" i="1" a="1"/>
  <c r="K1928" i="1" s="1"/>
  <c r="J1985" i="1" a="1"/>
  <c r="J1985" i="1" s="1"/>
  <c r="L1985" i="1"/>
  <c r="K1985" i="1" a="1"/>
  <c r="K1985" i="1" s="1"/>
  <c r="J1445" i="1" a="1"/>
  <c r="J1445" i="1" s="1"/>
  <c r="L1445" i="1"/>
  <c r="K1445" i="1" a="1"/>
  <c r="K1445" i="1" s="1"/>
  <c r="J1545" i="1" a="1"/>
  <c r="J1545" i="1" s="1"/>
  <c r="L1545" i="1"/>
  <c r="K1545" i="1" a="1"/>
  <c r="K1545" i="1" s="1"/>
  <c r="J1930" i="1" a="1"/>
  <c r="J1930" i="1" s="1"/>
  <c r="L1930" i="1"/>
  <c r="K1930" i="1" a="1"/>
  <c r="K1930" i="1" s="1"/>
  <c r="J1507" i="1" a="1"/>
  <c r="J1507" i="1" s="1"/>
  <c r="L1507" i="1"/>
  <c r="K1507" i="1" a="1"/>
  <c r="K1507" i="1" s="1"/>
  <c r="J1887" i="1" a="1"/>
  <c r="J1887" i="1" s="1"/>
  <c r="L1887" i="1"/>
  <c r="K1887" i="1" a="1"/>
  <c r="K1887" i="1" s="1"/>
  <c r="J1994" i="1" a="1"/>
  <c r="J1994" i="1" s="1"/>
  <c r="L1994" i="1"/>
  <c r="K1994" i="1" a="1"/>
  <c r="K1994" i="1" s="1"/>
  <c r="J1453" i="1" a="1"/>
  <c r="J1453" i="1" s="1"/>
  <c r="L1453" i="1"/>
  <c r="K1453" i="1" a="1"/>
  <c r="K1453" i="1" s="1"/>
  <c r="J1553" i="1" a="1"/>
  <c r="J1553" i="1" s="1"/>
  <c r="L1553" i="1"/>
  <c r="K1553" i="1" a="1"/>
  <c r="K1553" i="1" s="1"/>
  <c r="J1471" i="1" a="1"/>
  <c r="J1471" i="1" s="1"/>
  <c r="L1471" i="1"/>
  <c r="K1471" i="1" a="1"/>
  <c r="K1471" i="1" s="1"/>
  <c r="J1856" i="1" a="1"/>
  <c r="J1856" i="1" s="1"/>
  <c r="L1856" i="1"/>
  <c r="K1856" i="1" a="1"/>
  <c r="K1856" i="1" s="1"/>
  <c r="J1854" i="1" a="1"/>
  <c r="J1854" i="1" s="1"/>
  <c r="L1854" i="1"/>
  <c r="K1854" i="1" a="1"/>
  <c r="K1854" i="1" s="1"/>
  <c r="J1954" i="1" a="1"/>
  <c r="J1954" i="1" s="1"/>
  <c r="L1954" i="1"/>
  <c r="K1954" i="1" a="1"/>
  <c r="K1954" i="1" s="1"/>
  <c r="J1551" i="1" a="1"/>
  <c r="J1551" i="1" s="1"/>
  <c r="L1551" i="1"/>
  <c r="K1551" i="1" a="1"/>
  <c r="K1551" i="1" s="1"/>
  <c r="J1971" i="1" a="1"/>
  <c r="J1971" i="1" s="1"/>
  <c r="L1971" i="1"/>
  <c r="K1971" i="1" a="1"/>
  <c r="K1971" i="1" s="1"/>
  <c r="J1833" i="1" a="1"/>
  <c r="J1833" i="1" s="1"/>
  <c r="L1833" i="1"/>
  <c r="K1833" i="1" a="1"/>
  <c r="K1833" i="1" s="1"/>
  <c r="J1933" i="1" a="1"/>
  <c r="J1933" i="1" s="1"/>
  <c r="L1933" i="1"/>
  <c r="K1933" i="1" a="1"/>
  <c r="K1933" i="1" s="1"/>
  <c r="J1992" i="1" a="1"/>
  <c r="J1992" i="1" s="1"/>
  <c r="L1992" i="1"/>
  <c r="K1992" i="1" a="1"/>
  <c r="K1992" i="1" s="1"/>
  <c r="J1450" i="1" a="1"/>
  <c r="J1450" i="1" s="1"/>
  <c r="L1450" i="1"/>
  <c r="K1450" i="1" a="1"/>
  <c r="K1450" i="1" s="1"/>
  <c r="J1550" i="1" a="1"/>
  <c r="J1550" i="1" s="1"/>
  <c r="L1550" i="1"/>
  <c r="K1550" i="1" a="1"/>
  <c r="K1550" i="1" s="1"/>
  <c r="J1830" i="1" a="1"/>
  <c r="J1830" i="1" s="1"/>
  <c r="L1830" i="1"/>
  <c r="K1830" i="1" a="1"/>
  <c r="K1830" i="1" s="1"/>
  <c r="J1935" i="1" a="1"/>
  <c r="J1935" i="1" s="1"/>
  <c r="L1935" i="1"/>
  <c r="K1935" i="1" a="1"/>
  <c r="K1935" i="1" s="1"/>
  <c r="J1512" i="1" a="1"/>
  <c r="J1512" i="1" s="1"/>
  <c r="L1512" i="1"/>
  <c r="K1512" i="1" a="1"/>
  <c r="K1512" i="1" s="1"/>
  <c r="J1892" i="1" a="1"/>
  <c r="J1892" i="1" s="1"/>
  <c r="L1892" i="1"/>
  <c r="K1892" i="1" a="1"/>
  <c r="K1892" i="1" s="1"/>
  <c r="J1999" i="1" a="1"/>
  <c r="J1999" i="1" s="1"/>
  <c r="L1999" i="1"/>
  <c r="K1999" i="1" a="1"/>
  <c r="K1999" i="1" s="1"/>
  <c r="J1539" i="1" a="1"/>
  <c r="J1539" i="1" s="1"/>
  <c r="L1539" i="1"/>
  <c r="K1539" i="1" a="1"/>
  <c r="K1539" i="1" s="1"/>
  <c r="J1444" i="1" a="1"/>
  <c r="J1444" i="1" s="1"/>
  <c r="L1444" i="1"/>
  <c r="K1444" i="1" a="1"/>
  <c r="K1444" i="1" s="1"/>
  <c r="J1544" i="1" a="1"/>
  <c r="J1544" i="1" s="1"/>
  <c r="L1544" i="1"/>
  <c r="K1544" i="1" a="1"/>
  <c r="K1544" i="1" s="1"/>
  <c r="J1458" i="1" a="1"/>
  <c r="J1458" i="1" s="1"/>
  <c r="L1458" i="1"/>
  <c r="K1458" i="1" a="1"/>
  <c r="K1458" i="1" s="1"/>
  <c r="J1558" i="1" a="1"/>
  <c r="J1558" i="1" s="1"/>
  <c r="L1558" i="1"/>
  <c r="K1558" i="1" a="1"/>
  <c r="K1558" i="1" s="1"/>
  <c r="J1481" i="1" a="1"/>
  <c r="J1481" i="1" s="1"/>
  <c r="L1481" i="1"/>
  <c r="K1481" i="1" a="1"/>
  <c r="K1481" i="1" s="1"/>
  <c r="J1891" i="1" a="1"/>
  <c r="J1891" i="1" s="1"/>
  <c r="L1891" i="1"/>
  <c r="K1891" i="1" a="1"/>
  <c r="K1891" i="1" s="1"/>
  <c r="J1859" i="1" a="1"/>
  <c r="J1859" i="1" s="1"/>
  <c r="L1859" i="1"/>
  <c r="K1859" i="1" a="1"/>
  <c r="K1859" i="1" s="1"/>
  <c r="J1959" i="1" a="1"/>
  <c r="J1959" i="1" s="1"/>
  <c r="L1959" i="1"/>
  <c r="K1959" i="1" a="1"/>
  <c r="K1959" i="1" s="1"/>
  <c r="J1566" i="1" a="1"/>
  <c r="J1566" i="1" s="1"/>
  <c r="L1566" i="1"/>
  <c r="K1566" i="1" a="1"/>
  <c r="K1566" i="1" s="1"/>
  <c r="J1981" i="1" a="1"/>
  <c r="J1981" i="1" s="1"/>
  <c r="L1981" i="1"/>
  <c r="K1981" i="1" a="1"/>
  <c r="K1981" i="1" s="1"/>
  <c r="J1838" i="1" a="1"/>
  <c r="J1838" i="1" s="1"/>
  <c r="L1838" i="1"/>
  <c r="K1838" i="1" a="1"/>
  <c r="K1838" i="1" s="1"/>
  <c r="J1938" i="1" a="1"/>
  <c r="J1938" i="1" s="1"/>
  <c r="L1938" i="1"/>
  <c r="K1938" i="1" a="1"/>
  <c r="K1938" i="1" s="1"/>
  <c r="J1997" i="1" a="1"/>
  <c r="J1997" i="1" s="1"/>
  <c r="L1997" i="1"/>
  <c r="K1997" i="1" a="1"/>
  <c r="K1997" i="1" s="1"/>
  <c r="J1455" i="1" a="1"/>
  <c r="J1455" i="1" s="1"/>
  <c r="L1455" i="1"/>
  <c r="K1455" i="1" a="1"/>
  <c r="K1455" i="1" s="1"/>
  <c r="J1555" i="1" a="1"/>
  <c r="J1555" i="1" s="1"/>
  <c r="L1555" i="1"/>
  <c r="K1555" i="1" a="1"/>
  <c r="K1555" i="1" s="1"/>
  <c r="J1835" i="1" a="1"/>
  <c r="J1835" i="1" s="1"/>
  <c r="L1835" i="1"/>
  <c r="K1835" i="1" a="1"/>
  <c r="K1835" i="1" s="1"/>
  <c r="J1940" i="1" a="1"/>
  <c r="J1940" i="1" s="1"/>
  <c r="L1940" i="1"/>
  <c r="K1940" i="1" a="1"/>
  <c r="K1940" i="1" s="1"/>
  <c r="J1517" i="1" a="1"/>
  <c r="J1517" i="1" s="1"/>
  <c r="L1517" i="1"/>
  <c r="K1517" i="1" a="1"/>
  <c r="K1517" i="1" s="1"/>
  <c r="J1897" i="1" a="1"/>
  <c r="J1897" i="1" s="1"/>
  <c r="L1897" i="1"/>
  <c r="K1897" i="1" a="1"/>
  <c r="K1897" i="1" s="1"/>
  <c r="J2016" i="1" a="1"/>
  <c r="J2016" i="1" s="1"/>
  <c r="L2016" i="1"/>
  <c r="K2016" i="1" a="1"/>
  <c r="K2016" i="1" s="1"/>
  <c r="I1458" i="1"/>
  <c r="H1458" i="1" a="1"/>
  <c r="H1458" i="1" s="1"/>
  <c r="G1458" i="1" a="1"/>
  <c r="G1458" i="1" s="1"/>
  <c r="I1508" i="1"/>
  <c r="H1508" i="1" a="1"/>
  <c r="H1508" i="1" s="1"/>
  <c r="G1508" i="1" a="1"/>
  <c r="G1508" i="1" s="1"/>
  <c r="I1558" i="1"/>
  <c r="H1558" i="1" a="1"/>
  <c r="H1558" i="1" s="1"/>
  <c r="G1558" i="1" a="1"/>
  <c r="G1558" i="1" s="1"/>
  <c r="I1966" i="1"/>
  <c r="H1966" i="1" a="1"/>
  <c r="H1966" i="1" s="1"/>
  <c r="G1966" i="1" a="1"/>
  <c r="G1966" i="1" s="1"/>
  <c r="I1849" i="1"/>
  <c r="H1849" i="1" a="1"/>
  <c r="H1849" i="1" s="1"/>
  <c r="G1849" i="1" a="1"/>
  <c r="G1849" i="1" s="1"/>
  <c r="I1899" i="1"/>
  <c r="H1899" i="1" a="1"/>
  <c r="H1899" i="1" s="1"/>
  <c r="G1899" i="1" a="1"/>
  <c r="G1899" i="1" s="1"/>
  <c r="I1949" i="1"/>
  <c r="H1949" i="1" a="1"/>
  <c r="H1949" i="1" s="1"/>
  <c r="G1949" i="1" a="1"/>
  <c r="G1949" i="1" s="1"/>
  <c r="I2001" i="1"/>
  <c r="H2001" i="1" a="1"/>
  <c r="H2001" i="1" s="1"/>
  <c r="G2001" i="1" a="1"/>
  <c r="G2001" i="1" s="1"/>
  <c r="I1486" i="1"/>
  <c r="H1486" i="1" a="1"/>
  <c r="H1486" i="1" s="1"/>
  <c r="G1486" i="1" a="1"/>
  <c r="G1486" i="1" s="1"/>
  <c r="I1961" i="1"/>
  <c r="H1961" i="1" a="1"/>
  <c r="H1961" i="1" s="1"/>
  <c r="G1961" i="1" a="1"/>
  <c r="G1961" i="1" s="1"/>
  <c r="I2006" i="1"/>
  <c r="H2006" i="1" a="1"/>
  <c r="H2006" i="1" s="1"/>
  <c r="G2006" i="1" a="1"/>
  <c r="G2006" i="1" s="1"/>
  <c r="I1526" i="1"/>
  <c r="H1526" i="1" a="1"/>
  <c r="H1526" i="1" s="1"/>
  <c r="G1526" i="1" a="1"/>
  <c r="G1526" i="1" s="1"/>
  <c r="I1876" i="1"/>
  <c r="H1876" i="1" a="1"/>
  <c r="H1876" i="1" s="1"/>
  <c r="G1876" i="1" a="1"/>
  <c r="G1876" i="1" s="1"/>
  <c r="I1848" i="1"/>
  <c r="H1848" i="1" a="1"/>
  <c r="H1848" i="1" s="1"/>
  <c r="G1848" i="1" a="1"/>
  <c r="G1848" i="1" s="1"/>
  <c r="I1898" i="1"/>
  <c r="H1898" i="1" a="1"/>
  <c r="H1898" i="1" s="1"/>
  <c r="G1898" i="1" a="1"/>
  <c r="G1898" i="1" s="1"/>
  <c r="I1948" i="1"/>
  <c r="H1948" i="1" a="1"/>
  <c r="H1948" i="1" s="1"/>
  <c r="G1948" i="1" a="1"/>
  <c r="G1948" i="1" s="1"/>
  <c r="I2000" i="1"/>
  <c r="H2000" i="1" a="1"/>
  <c r="H2000" i="1" s="1"/>
  <c r="G2000" i="1" a="1"/>
  <c r="G2000" i="1" s="1"/>
  <c r="I1455" i="1"/>
  <c r="H1455" i="1" a="1"/>
  <c r="H1455" i="1" s="1"/>
  <c r="G1455" i="1" a="1"/>
  <c r="G1455" i="1" s="1"/>
  <c r="I1505" i="1"/>
  <c r="H1505" i="1" a="1"/>
  <c r="H1505" i="1" s="1"/>
  <c r="G1505" i="1" a="1"/>
  <c r="G1505" i="1" s="1"/>
  <c r="I1555" i="1"/>
  <c r="H1555" i="1" a="1"/>
  <c r="H1555" i="1" s="1"/>
  <c r="G1555" i="1" a="1"/>
  <c r="G1555" i="1" s="1"/>
  <c r="I1875" i="1"/>
  <c r="H1875" i="1" a="1"/>
  <c r="H1875" i="1" s="1"/>
  <c r="G1875" i="1" a="1"/>
  <c r="G1875" i="1" s="1"/>
  <c r="I1930" i="1"/>
  <c r="H1930" i="1" a="1"/>
  <c r="H1930" i="1" s="1"/>
  <c r="G1930" i="1" a="1"/>
  <c r="G1930" i="1" s="1"/>
  <c r="I2015" i="1"/>
  <c r="H2015" i="1" a="1"/>
  <c r="H2015" i="1" s="1"/>
  <c r="G2015" i="1" a="1"/>
  <c r="G2015" i="1" s="1"/>
  <c r="I1447" i="1"/>
  <c r="H1447" i="1" a="1"/>
  <c r="H1447" i="1" s="1"/>
  <c r="G1447" i="1" a="1"/>
  <c r="G1447" i="1" s="1"/>
  <c r="I1497" i="1"/>
  <c r="H1497" i="1" a="1"/>
  <c r="H1497" i="1" s="1"/>
  <c r="G1497" i="1" a="1"/>
  <c r="G1497" i="1" s="1"/>
  <c r="I1547" i="1"/>
  <c r="H1547" i="1" a="1"/>
  <c r="H1547" i="1" s="1"/>
  <c r="G1547" i="1" a="1"/>
  <c r="G1547" i="1" s="1"/>
  <c r="I1867" i="1"/>
  <c r="H1867" i="1" a="1"/>
  <c r="H1867" i="1" s="1"/>
  <c r="G1867" i="1" a="1"/>
  <c r="G1867" i="1" s="1"/>
  <c r="I1917" i="1"/>
  <c r="H1917" i="1" a="1"/>
  <c r="H1917" i="1" s="1"/>
  <c r="G1917" i="1" a="1"/>
  <c r="G1917" i="1" s="1"/>
  <c r="I1967" i="1"/>
  <c r="H1967" i="1" a="1"/>
  <c r="H1967" i="1" s="1"/>
  <c r="G1967" i="1" a="1"/>
  <c r="G1967" i="1" s="1"/>
  <c r="I1464" i="1"/>
  <c r="H1464" i="1" a="1"/>
  <c r="H1464" i="1" s="1"/>
  <c r="G1464" i="1" a="1"/>
  <c r="G1464" i="1" s="1"/>
  <c r="I1514" i="1"/>
  <c r="H1514" i="1" a="1"/>
  <c r="H1514" i="1" s="1"/>
  <c r="G1514" i="1" a="1"/>
  <c r="G1514" i="1" s="1"/>
  <c r="I1564" i="1"/>
  <c r="H1564" i="1" a="1"/>
  <c r="H1564" i="1" s="1"/>
  <c r="G1564" i="1" a="1"/>
  <c r="G1564" i="1" s="1"/>
  <c r="I1463" i="1"/>
  <c r="H1463" i="1" a="1"/>
  <c r="H1463" i="1" s="1"/>
  <c r="G1463" i="1" a="1"/>
  <c r="G1463" i="1" s="1"/>
  <c r="I1513" i="1"/>
  <c r="H1513" i="1" a="1"/>
  <c r="H1513" i="1" s="1"/>
  <c r="G1513" i="1" a="1"/>
  <c r="G1513" i="1" s="1"/>
  <c r="I1563" i="1"/>
  <c r="H1563" i="1" a="1"/>
  <c r="H1563" i="1" s="1"/>
  <c r="G1563" i="1" a="1"/>
  <c r="G1563" i="1" s="1"/>
  <c r="I1471" i="1"/>
  <c r="H1471" i="1" a="1"/>
  <c r="H1471" i="1" s="1"/>
  <c r="G1471" i="1" a="1"/>
  <c r="G1471" i="1" s="1"/>
  <c r="I1993" i="1"/>
  <c r="H1993" i="1" a="1"/>
  <c r="H1993" i="1" s="1"/>
  <c r="G1993" i="1" a="1"/>
  <c r="G1993" i="1" s="1"/>
  <c r="I1854" i="1"/>
  <c r="H1854" i="1" a="1"/>
  <c r="H1854" i="1" s="1"/>
  <c r="G1854" i="1" a="1"/>
  <c r="G1854" i="1" s="1"/>
  <c r="I1904" i="1"/>
  <c r="H1904" i="1" a="1"/>
  <c r="H1904" i="1" s="1"/>
  <c r="G1904" i="1" a="1"/>
  <c r="G1904" i="1" s="1"/>
  <c r="I1954" i="1"/>
  <c r="H1954" i="1" a="1"/>
  <c r="H1954" i="1" s="1"/>
  <c r="G1954" i="1" a="1"/>
  <c r="G1954" i="1" s="1"/>
  <c r="I2020" i="1"/>
  <c r="H2020" i="1" a="1"/>
  <c r="H2020" i="1" s="1"/>
  <c r="G2020" i="1" a="1"/>
  <c r="G2020" i="1" s="1"/>
  <c r="I1496" i="1"/>
  <c r="H1496" i="1" a="1"/>
  <c r="H1496" i="1" s="1"/>
  <c r="G1496" i="1" a="1"/>
  <c r="G1496" i="1" s="1"/>
  <c r="I2011" i="1"/>
  <c r="H2011" i="1" a="1"/>
  <c r="H2011" i="1" s="1"/>
  <c r="G2011" i="1" a="1"/>
  <c r="G2011" i="1" s="1"/>
  <c r="I1916" i="1"/>
  <c r="H1916" i="1" a="1"/>
  <c r="H1916" i="1" s="1"/>
  <c r="G1916" i="1" a="1"/>
  <c r="G1916" i="1" s="1"/>
  <c r="I1836" i="1"/>
  <c r="H1836" i="1" a="1"/>
  <c r="H1836" i="1" s="1"/>
  <c r="G1836" i="1" a="1"/>
  <c r="G1836" i="1" s="1"/>
  <c r="I1853" i="1"/>
  <c r="H1853" i="1" a="1"/>
  <c r="H1853" i="1" s="1"/>
  <c r="G1853" i="1" a="1"/>
  <c r="G1853" i="1" s="1"/>
  <c r="I1903" i="1"/>
  <c r="H1903" i="1" a="1"/>
  <c r="H1903" i="1" s="1"/>
  <c r="G1903" i="1" a="1"/>
  <c r="G1903" i="1" s="1"/>
  <c r="I1953" i="1"/>
  <c r="H1953" i="1" a="1"/>
  <c r="H1953" i="1" s="1"/>
  <c r="G1953" i="1" a="1"/>
  <c r="G1953" i="1" s="1"/>
  <c r="I2012" i="1"/>
  <c r="H2012" i="1" a="1"/>
  <c r="H2012" i="1" s="1"/>
  <c r="G2012" i="1" a="1"/>
  <c r="G2012" i="1" s="1"/>
  <c r="I1460" i="1"/>
  <c r="H1460" i="1" a="1"/>
  <c r="H1460" i="1" s="1"/>
  <c r="G1460" i="1" a="1"/>
  <c r="G1460" i="1" s="1"/>
  <c r="I1510" i="1"/>
  <c r="H1510" i="1" a="1"/>
  <c r="H1510" i="1" s="1"/>
  <c r="G1510" i="1" a="1"/>
  <c r="G1510" i="1" s="1"/>
  <c r="I1560" i="1"/>
  <c r="H1560" i="1" a="1"/>
  <c r="H1560" i="1" s="1"/>
  <c r="G1560" i="1" a="1"/>
  <c r="G1560" i="1" s="1"/>
  <c r="I1830" i="1"/>
  <c r="H1830" i="1" a="1"/>
  <c r="H1830" i="1" s="1"/>
  <c r="G1830" i="1" a="1"/>
  <c r="G1830" i="1" s="1"/>
  <c r="I1880" i="1"/>
  <c r="H1880" i="1" a="1"/>
  <c r="H1880" i="1" s="1"/>
  <c r="G1880" i="1" a="1"/>
  <c r="G1880" i="1" s="1"/>
  <c r="I1935" i="1"/>
  <c r="H1935" i="1" a="1"/>
  <c r="H1935" i="1" s="1"/>
  <c r="G1935" i="1" a="1"/>
  <c r="G1935" i="1" s="1"/>
  <c r="I1452" i="1"/>
  <c r="H1452" i="1" a="1"/>
  <c r="H1452" i="1" s="1"/>
  <c r="G1452" i="1" a="1"/>
  <c r="G1452" i="1" s="1"/>
  <c r="I1502" i="1"/>
  <c r="H1502" i="1" a="1"/>
  <c r="H1502" i="1" s="1"/>
  <c r="G1502" i="1" a="1"/>
  <c r="G1502" i="1" s="1"/>
  <c r="I1552" i="1"/>
  <c r="H1552" i="1" a="1"/>
  <c r="H1552" i="1" s="1"/>
  <c r="G1552" i="1" a="1"/>
  <c r="G1552" i="1" s="1"/>
  <c r="I1872" i="1"/>
  <c r="H1872" i="1" a="1"/>
  <c r="H1872" i="1" s="1"/>
  <c r="G1872" i="1" a="1"/>
  <c r="G1872" i="1" s="1"/>
  <c r="I1922" i="1"/>
  <c r="H1922" i="1" a="1"/>
  <c r="H1922" i="1" s="1"/>
  <c r="G1922" i="1" a="1"/>
  <c r="G1922" i="1" s="1"/>
  <c r="I1972" i="1"/>
  <c r="H1972" i="1" a="1"/>
  <c r="H1972" i="1" s="1"/>
  <c r="G1972" i="1" a="1"/>
  <c r="G1972" i="1" s="1"/>
  <c r="I1469" i="1"/>
  <c r="H1469" i="1" a="1"/>
  <c r="H1469" i="1" s="1"/>
  <c r="G1469" i="1" a="1"/>
  <c r="G1469" i="1" s="1"/>
  <c r="I1519" i="1"/>
  <c r="H1519" i="1" a="1"/>
  <c r="H1519" i="1" s="1"/>
  <c r="G1519" i="1" a="1"/>
  <c r="G1519" i="1" s="1"/>
  <c r="I1468" i="1"/>
  <c r="H1468" i="1" a="1"/>
  <c r="H1468" i="1" s="1"/>
  <c r="G1468" i="1" a="1"/>
  <c r="G1468" i="1" s="1"/>
  <c r="I1518" i="1"/>
  <c r="H1518" i="1" a="1"/>
  <c r="H1518" i="1" s="1"/>
  <c r="G1518" i="1" a="1"/>
  <c r="G1518" i="1" s="1"/>
  <c r="I1481" i="1"/>
  <c r="H1481" i="1" a="1"/>
  <c r="H1481" i="1" s="1"/>
  <c r="G1481" i="1" a="1"/>
  <c r="G1481" i="1" s="1"/>
  <c r="I1859" i="1"/>
  <c r="H1859" i="1" a="1"/>
  <c r="H1859" i="1" s="1"/>
  <c r="G1859" i="1" a="1"/>
  <c r="G1859" i="1" s="1"/>
  <c r="I1909" i="1"/>
  <c r="H1909" i="1" a="1"/>
  <c r="H1909" i="1" s="1"/>
  <c r="G1909" i="1" a="1"/>
  <c r="G1909" i="1" s="1"/>
  <c r="I1959" i="1"/>
  <c r="H1959" i="1" a="1"/>
  <c r="H1959" i="1" s="1"/>
  <c r="G1959" i="1" a="1"/>
  <c r="G1959" i="1" s="1"/>
  <c r="I1501" i="1"/>
  <c r="H1501" i="1" a="1"/>
  <c r="H1501" i="1" s="1"/>
  <c r="G1501" i="1" a="1"/>
  <c r="G1501" i="1" s="1"/>
  <c r="I2005" i="1"/>
  <c r="H2005" i="1" a="1"/>
  <c r="H2005" i="1" s="1"/>
  <c r="G2005" i="1" a="1"/>
  <c r="G2005" i="1" s="1"/>
  <c r="I1926" i="1"/>
  <c r="H1926" i="1" a="1"/>
  <c r="H1926" i="1" s="1"/>
  <c r="G1926" i="1" a="1"/>
  <c r="G1926" i="1" s="1"/>
  <c r="I1931" i="1"/>
  <c r="H1931" i="1" a="1"/>
  <c r="H1931" i="1" s="1"/>
  <c r="G1931" i="1" a="1"/>
  <c r="G1931" i="1" s="1"/>
  <c r="I1858" i="1"/>
  <c r="H1858" i="1" a="1"/>
  <c r="H1858" i="1" s="1"/>
  <c r="G1858" i="1" a="1"/>
  <c r="G1858" i="1" s="1"/>
  <c r="I1908" i="1"/>
  <c r="H1908" i="1" a="1"/>
  <c r="H1908" i="1" s="1"/>
  <c r="G1908" i="1" a="1"/>
  <c r="G1908" i="1" s="1"/>
  <c r="I1958" i="1"/>
  <c r="H1958" i="1" a="1"/>
  <c r="H1958" i="1" s="1"/>
  <c r="G1958" i="1" a="1"/>
  <c r="G1958" i="1" s="1"/>
  <c r="I2013" i="1"/>
  <c r="H2013" i="1" a="1"/>
  <c r="H2013" i="1" s="1"/>
  <c r="G2013" i="1" a="1"/>
  <c r="G2013" i="1" s="1"/>
  <c r="I1465" i="1"/>
  <c r="H1465" i="1" a="1"/>
  <c r="H1465" i="1" s="1"/>
  <c r="G1465" i="1" a="1"/>
  <c r="G1465" i="1" s="1"/>
  <c r="I1515" i="1"/>
  <c r="H1515" i="1" a="1"/>
  <c r="H1515" i="1" s="1"/>
  <c r="G1515" i="1" a="1"/>
  <c r="G1515" i="1" s="1"/>
  <c r="I1565" i="1"/>
  <c r="H1565" i="1" a="1"/>
  <c r="H1565" i="1" s="1"/>
  <c r="G1565" i="1" a="1"/>
  <c r="G1565" i="1" s="1"/>
  <c r="I1835" i="1"/>
  <c r="H1835" i="1" a="1"/>
  <c r="H1835" i="1" s="1"/>
  <c r="G1835" i="1" a="1"/>
  <c r="G1835" i="1" s="1"/>
  <c r="I1885" i="1"/>
  <c r="H1885" i="1" a="1"/>
  <c r="H1885" i="1" s="1"/>
  <c r="G1885" i="1" a="1"/>
  <c r="G1885" i="1" s="1"/>
  <c r="I1940" i="1"/>
  <c r="H1940" i="1" a="1"/>
  <c r="H1940" i="1" s="1"/>
  <c r="G1940" i="1" a="1"/>
  <c r="G1940" i="1" s="1"/>
  <c r="I1457" i="1"/>
  <c r="H1457" i="1" a="1"/>
  <c r="H1457" i="1" s="1"/>
  <c r="G1457" i="1" a="1"/>
  <c r="G1457" i="1" s="1"/>
  <c r="I1507" i="1"/>
  <c r="H1507" i="1" a="1"/>
  <c r="H1507" i="1" s="1"/>
  <c r="G1507" i="1" a="1"/>
  <c r="G1507" i="1" s="1"/>
  <c r="I1557" i="1"/>
  <c r="H1557" i="1" a="1"/>
  <c r="H1557" i="1" s="1"/>
  <c r="G1557" i="1" a="1"/>
  <c r="G1557" i="1" s="1"/>
  <c r="I1877" i="1"/>
  <c r="H1877" i="1" a="1"/>
  <c r="H1877" i="1" s="1"/>
  <c r="G1877" i="1" a="1"/>
  <c r="G1877" i="1" s="1"/>
  <c r="I1927" i="1"/>
  <c r="H1927" i="1" a="1"/>
  <c r="H1927" i="1" s="1"/>
  <c r="G1927" i="1" a="1"/>
  <c r="G1927" i="1" s="1"/>
  <c r="I1977" i="1"/>
  <c r="H1977" i="1" a="1"/>
  <c r="H1977" i="1" s="1"/>
  <c r="G1977" i="1" a="1"/>
  <c r="G1977" i="1" s="1"/>
  <c r="I1474" i="1"/>
  <c r="H1474" i="1" a="1"/>
  <c r="H1474" i="1" s="1"/>
  <c r="G1474" i="1" a="1"/>
  <c r="G1474" i="1" s="1"/>
  <c r="I1524" i="1"/>
  <c r="H1524" i="1" a="1"/>
  <c r="H1524" i="1" s="1"/>
  <c r="G1524" i="1" a="1"/>
  <c r="G1524" i="1" s="1"/>
  <c r="I1473" i="1"/>
  <c r="H1473" i="1" a="1"/>
  <c r="H1473" i="1" s="1"/>
  <c r="G1473" i="1" a="1"/>
  <c r="G1473" i="1" s="1"/>
  <c r="I1523" i="1"/>
  <c r="H1523" i="1" a="1"/>
  <c r="H1523" i="1" s="1"/>
  <c r="G1523" i="1" a="1"/>
  <c r="G1523" i="1" s="1"/>
  <c r="I1511" i="1"/>
  <c r="H1511" i="1" a="1"/>
  <c r="H1511" i="1" s="1"/>
  <c r="G1511" i="1" a="1"/>
  <c r="G1511" i="1" s="1"/>
  <c r="I1831" i="1"/>
  <c r="H1831" i="1" a="1"/>
  <c r="H1831" i="1" s="1"/>
  <c r="G1831" i="1" a="1"/>
  <c r="G1831" i="1" s="1"/>
  <c r="I1864" i="1"/>
  <c r="H1864" i="1" a="1"/>
  <c r="H1864" i="1" s="1"/>
  <c r="G1864" i="1" a="1"/>
  <c r="G1864" i="1" s="1"/>
  <c r="I1914" i="1"/>
  <c r="H1914" i="1" a="1"/>
  <c r="H1914" i="1" s="1"/>
  <c r="G1914" i="1" a="1"/>
  <c r="G1914" i="1" s="1"/>
  <c r="I1964" i="1"/>
  <c r="H1964" i="1" a="1"/>
  <c r="H1964" i="1" s="1"/>
  <c r="G1964" i="1" a="1"/>
  <c r="G1964" i="1" s="1"/>
  <c r="I1451" i="1"/>
  <c r="H1451" i="1" a="1"/>
  <c r="H1451" i="1" s="1"/>
  <c r="G1451" i="1" a="1"/>
  <c r="G1451" i="1" s="1"/>
  <c r="I1936" i="1"/>
  <c r="H1936" i="1" a="1"/>
  <c r="H1936" i="1" s="1"/>
  <c r="G1936" i="1" a="1"/>
  <c r="G1936" i="1" s="1"/>
  <c r="I1841" i="1"/>
  <c r="H1841" i="1" a="1"/>
  <c r="H1841" i="1" s="1"/>
  <c r="G1841" i="1" a="1"/>
  <c r="G1841" i="1" s="1"/>
  <c r="I1971" i="1"/>
  <c r="H1971" i="1" a="1"/>
  <c r="H1971" i="1" s="1"/>
  <c r="G1971" i="1" a="1"/>
  <c r="G1971" i="1" s="1"/>
  <c r="I1863" i="1"/>
  <c r="H1863" i="1" a="1"/>
  <c r="H1863" i="1" s="1"/>
  <c r="G1863" i="1" a="1"/>
  <c r="G1863" i="1" s="1"/>
  <c r="I1913" i="1"/>
  <c r="H1913" i="1" a="1"/>
  <c r="H1913" i="1" s="1"/>
  <c r="G1913" i="1" a="1"/>
  <c r="G1913" i="1" s="1"/>
  <c r="I1963" i="1"/>
  <c r="H1963" i="1" a="1"/>
  <c r="H1963" i="1" s="1"/>
  <c r="G1963" i="1" a="1"/>
  <c r="G1963" i="1" s="1"/>
  <c r="I1920" i="1"/>
  <c r="H1920" i="1" a="1"/>
  <c r="H1920" i="1" s="1"/>
  <c r="G1920" i="1" a="1"/>
  <c r="G1920" i="1" s="1"/>
  <c r="I1470" i="1"/>
  <c r="H1470" i="1" a="1"/>
  <c r="H1470" i="1" s="1"/>
  <c r="G1470" i="1" a="1"/>
  <c r="G1470" i="1" s="1"/>
  <c r="I1520" i="1"/>
  <c r="H1520" i="1" a="1"/>
  <c r="H1520" i="1" s="1"/>
  <c r="G1520" i="1" a="1"/>
  <c r="G1520" i="1" s="1"/>
  <c r="I1840" i="1"/>
  <c r="H1840" i="1" a="1"/>
  <c r="H1840" i="1" s="1"/>
  <c r="G1840" i="1" a="1"/>
  <c r="G1840" i="1" s="1"/>
  <c r="I1890" i="1"/>
  <c r="H1890" i="1" a="1"/>
  <c r="H1890" i="1" s="1"/>
  <c r="G1890" i="1" a="1"/>
  <c r="G1890" i="1" s="1"/>
  <c r="I1945" i="1"/>
  <c r="H1945" i="1" a="1"/>
  <c r="H1945" i="1" s="1"/>
  <c r="G1945" i="1" a="1"/>
  <c r="G1945" i="1" s="1"/>
  <c r="I1462" i="1"/>
  <c r="H1462" i="1" a="1"/>
  <c r="H1462" i="1" s="1"/>
  <c r="G1462" i="1" a="1"/>
  <c r="G1462" i="1" s="1"/>
  <c r="I1512" i="1"/>
  <c r="H1512" i="1" a="1"/>
  <c r="H1512" i="1" s="1"/>
  <c r="G1512" i="1" a="1"/>
  <c r="G1512" i="1" s="1"/>
  <c r="I1562" i="1"/>
  <c r="H1562" i="1" a="1"/>
  <c r="H1562" i="1" s="1"/>
  <c r="G1562" i="1" a="1"/>
  <c r="G1562" i="1" s="1"/>
  <c r="I1832" i="1"/>
  <c r="H1832" i="1" a="1"/>
  <c r="H1832" i="1" s="1"/>
  <c r="G1832" i="1" a="1"/>
  <c r="G1832" i="1" s="1"/>
  <c r="I1882" i="1"/>
  <c r="H1882" i="1" a="1"/>
  <c r="H1882" i="1" s="1"/>
  <c r="G1882" i="1" a="1"/>
  <c r="G1882" i="1" s="1"/>
  <c r="I1932" i="1"/>
  <c r="H1932" i="1" a="1"/>
  <c r="H1932" i="1" s="1"/>
  <c r="G1932" i="1" a="1"/>
  <c r="G1932" i="1" s="1"/>
  <c r="I1982" i="1"/>
  <c r="H1982" i="1" a="1"/>
  <c r="H1982" i="1" s="1"/>
  <c r="G1982" i="1" a="1"/>
  <c r="G1982" i="1" s="1"/>
  <c r="I1479" i="1"/>
  <c r="H1479" i="1" a="1"/>
  <c r="H1479" i="1" s="1"/>
  <c r="G1479" i="1" a="1"/>
  <c r="G1479" i="1" s="1"/>
  <c r="I1529" i="1"/>
  <c r="H1529" i="1" a="1"/>
  <c r="H1529" i="1" s="1"/>
  <c r="G1529" i="1" a="1"/>
  <c r="G1529" i="1" s="1"/>
  <c r="I1478" i="1"/>
  <c r="H1478" i="1" a="1"/>
  <c r="H1478" i="1" s="1"/>
  <c r="G1478" i="1" a="1"/>
  <c r="G1478" i="1" s="1"/>
  <c r="I1528" i="1"/>
  <c r="H1528" i="1" a="1"/>
  <c r="H1528" i="1" s="1"/>
  <c r="G1528" i="1" a="1"/>
  <c r="G1528" i="1" s="1"/>
  <c r="I2019" i="1"/>
  <c r="H2019" i="1" a="1"/>
  <c r="H2019" i="1" s="1"/>
  <c r="G2019" i="1" a="1"/>
  <c r="G2019" i="1" s="1"/>
  <c r="I1536" i="1"/>
  <c r="H1536" i="1" a="1"/>
  <c r="H1536" i="1" s="1"/>
  <c r="G1536" i="1" a="1"/>
  <c r="G1536" i="1" s="1"/>
  <c r="I1846" i="1"/>
  <c r="H1846" i="1" a="1"/>
  <c r="H1846" i="1" s="1"/>
  <c r="G1846" i="1" a="1"/>
  <c r="G1846" i="1" s="1"/>
  <c r="I1869" i="1"/>
  <c r="H1869" i="1" a="1"/>
  <c r="H1869" i="1" s="1"/>
  <c r="G1869" i="1" a="1"/>
  <c r="G1869" i="1" s="1"/>
  <c r="I1919" i="1"/>
  <c r="H1919" i="1" a="1"/>
  <c r="H1919" i="1" s="1"/>
  <c r="G1919" i="1" a="1"/>
  <c r="G1919" i="1" s="1"/>
  <c r="I1969" i="1"/>
  <c r="H1969" i="1" a="1"/>
  <c r="H1969" i="1" s="1"/>
  <c r="G1969" i="1" a="1"/>
  <c r="G1969" i="1" s="1"/>
  <c r="I1461" i="1"/>
  <c r="H1461" i="1" a="1"/>
  <c r="H1461" i="1" s="1"/>
  <c r="G1461" i="1" a="1"/>
  <c r="G1461" i="1" s="1"/>
  <c r="I2003" i="1"/>
  <c r="H2003" i="1" a="1"/>
  <c r="H2003" i="1" s="1"/>
  <c r="G2003" i="1" a="1"/>
  <c r="G2003" i="1" s="1"/>
  <c r="I1491" i="1"/>
  <c r="H1491" i="1" a="1"/>
  <c r="H1491" i="1" s="1"/>
  <c r="G1491" i="1" a="1"/>
  <c r="G1491" i="1" s="1"/>
  <c r="I1871" i="1"/>
  <c r="H1871" i="1" a="1"/>
  <c r="H1871" i="1" s="1"/>
  <c r="G1871" i="1" a="1"/>
  <c r="G1871" i="1" s="1"/>
  <c r="I1981" i="1"/>
  <c r="H1981" i="1" a="1"/>
  <c r="H1981" i="1" s="1"/>
  <c r="G1981" i="1" a="1"/>
  <c r="G1981" i="1" s="1"/>
  <c r="I1868" i="1"/>
  <c r="H1868" i="1" a="1"/>
  <c r="H1868" i="1" s="1"/>
  <c r="G1868" i="1" a="1"/>
  <c r="G1868" i="1" s="1"/>
  <c r="I1918" i="1"/>
  <c r="H1918" i="1" a="1"/>
  <c r="H1918" i="1" s="1"/>
  <c r="G1918" i="1" a="1"/>
  <c r="G1918" i="1" s="1"/>
  <c r="I1968" i="1"/>
  <c r="H1968" i="1" a="1"/>
  <c r="H1968" i="1" s="1"/>
  <c r="G1968" i="1" a="1"/>
  <c r="G1968" i="1" s="1"/>
  <c r="I1955" i="1"/>
  <c r="H1955" i="1" a="1"/>
  <c r="H1955" i="1" s="1"/>
  <c r="G1955" i="1" a="1"/>
  <c r="G1955" i="1" s="1"/>
  <c r="I1475" i="1"/>
  <c r="H1475" i="1" a="1"/>
  <c r="H1475" i="1" s="1"/>
  <c r="G1475" i="1" a="1"/>
  <c r="G1475" i="1" s="1"/>
  <c r="I1525" i="1"/>
  <c r="H1525" i="1" a="1"/>
  <c r="H1525" i="1" s="1"/>
  <c r="G1525" i="1" a="1"/>
  <c r="G1525" i="1" s="1"/>
  <c r="I1845" i="1"/>
  <c r="H1845" i="1" a="1"/>
  <c r="H1845" i="1" s="1"/>
  <c r="G1845" i="1" a="1"/>
  <c r="G1845" i="1" s="1"/>
  <c r="I1895" i="1"/>
  <c r="H1895" i="1" a="1"/>
  <c r="H1895" i="1" s="1"/>
  <c r="G1895" i="1" a="1"/>
  <c r="G1895" i="1" s="1"/>
  <c r="I1950" i="1"/>
  <c r="H1950" i="1" a="1"/>
  <c r="H1950" i="1" s="1"/>
  <c r="G1950" i="1" a="1"/>
  <c r="G1950" i="1" s="1"/>
  <c r="I1467" i="1"/>
  <c r="H1467" i="1" a="1"/>
  <c r="H1467" i="1" s="1"/>
  <c r="G1467" i="1" a="1"/>
  <c r="G1467" i="1" s="1"/>
  <c r="I1517" i="1"/>
  <c r="H1517" i="1" a="1"/>
  <c r="H1517" i="1" s="1"/>
  <c r="G1517" i="1" a="1"/>
  <c r="G1517" i="1" s="1"/>
  <c r="I1567" i="1"/>
  <c r="H1567" i="1" a="1"/>
  <c r="H1567" i="1" s="1"/>
  <c r="G1567" i="1" a="1"/>
  <c r="G1567" i="1" s="1"/>
  <c r="I1837" i="1"/>
  <c r="H1837" i="1" a="1"/>
  <c r="H1837" i="1" s="1"/>
  <c r="G1837" i="1" a="1"/>
  <c r="G1837" i="1" s="1"/>
  <c r="I1887" i="1"/>
  <c r="H1887" i="1" a="1"/>
  <c r="H1887" i="1" s="1"/>
  <c r="G1887" i="1" a="1"/>
  <c r="G1887" i="1" s="1"/>
  <c r="I1937" i="1"/>
  <c r="H1937" i="1" a="1"/>
  <c r="H1937" i="1" s="1"/>
  <c r="G1937" i="1" a="1"/>
  <c r="G1937" i="1" s="1"/>
  <c r="I1994" i="1"/>
  <c r="H1994" i="1" a="1"/>
  <c r="H1994" i="1" s="1"/>
  <c r="G1994" i="1" a="1"/>
  <c r="G1994" i="1" s="1"/>
  <c r="I1484" i="1"/>
  <c r="H1484" i="1" a="1"/>
  <c r="H1484" i="1" s="1"/>
  <c r="G1484" i="1" a="1"/>
  <c r="G1484" i="1" s="1"/>
  <c r="I1534" i="1"/>
  <c r="H1534" i="1" a="1"/>
  <c r="H1534" i="1" s="1"/>
  <c r="G1534" i="1" a="1"/>
  <c r="G1534" i="1" s="1"/>
  <c r="I1483" i="1"/>
  <c r="H1483" i="1" a="1"/>
  <c r="H1483" i="1" s="1"/>
  <c r="G1483" i="1" a="1"/>
  <c r="G1483" i="1" s="1"/>
  <c r="I1533" i="1"/>
  <c r="H1533" i="1" a="1"/>
  <c r="H1533" i="1" s="1"/>
  <c r="G1533" i="1" a="1"/>
  <c r="G1533" i="1" s="1"/>
  <c r="I1546" i="1"/>
  <c r="H1546" i="1" a="1"/>
  <c r="H1546" i="1" s="1"/>
  <c r="G1546" i="1" a="1"/>
  <c r="G1546" i="1" s="1"/>
  <c r="I1856" i="1"/>
  <c r="H1856" i="1" a="1"/>
  <c r="H1856" i="1" s="1"/>
  <c r="G1856" i="1" a="1"/>
  <c r="G1856" i="1" s="1"/>
  <c r="I1874" i="1"/>
  <c r="H1874" i="1" a="1"/>
  <c r="H1874" i="1" s="1"/>
  <c r="G1874" i="1" a="1"/>
  <c r="G1874" i="1" s="1"/>
  <c r="I1924" i="1"/>
  <c r="H1924" i="1" a="1"/>
  <c r="H1924" i="1" s="1"/>
  <c r="G1924" i="1" a="1"/>
  <c r="G1924" i="1" s="1"/>
  <c r="I1974" i="1"/>
  <c r="H1974" i="1" a="1"/>
  <c r="H1974" i="1" s="1"/>
  <c r="G1974" i="1" a="1"/>
  <c r="G1974" i="1" s="1"/>
  <c r="I1866" i="1"/>
  <c r="H1866" i="1" a="1"/>
  <c r="H1866" i="1" s="1"/>
  <c r="G1866" i="1" a="1"/>
  <c r="G1866" i="1" s="1"/>
  <c r="I1506" i="1"/>
  <c r="H1506" i="1" a="1"/>
  <c r="H1506" i="1" s="1"/>
  <c r="G1506" i="1" a="1"/>
  <c r="G1506" i="1" s="1"/>
  <c r="I1861" i="1"/>
  <c r="H1861" i="1" a="1"/>
  <c r="H1861" i="1" s="1"/>
  <c r="G1861" i="1" a="1"/>
  <c r="G1861" i="1" s="1"/>
  <c r="I2007" i="1"/>
  <c r="H2007" i="1" a="1"/>
  <c r="H2007" i="1" s="1"/>
  <c r="G2007" i="1" a="1"/>
  <c r="G2007" i="1" s="1"/>
  <c r="I1521" i="1"/>
  <c r="H1521" i="1" a="1"/>
  <c r="H1521" i="1" s="1"/>
  <c r="G1521" i="1" a="1"/>
  <c r="G1521" i="1" s="1"/>
  <c r="I1921" i="1"/>
  <c r="H1921" i="1" a="1"/>
  <c r="H1921" i="1" s="1"/>
  <c r="G1921" i="1" a="1"/>
  <c r="G1921" i="1" s="1"/>
  <c r="I2004" i="1"/>
  <c r="H2004" i="1" a="1"/>
  <c r="H2004" i="1" s="1"/>
  <c r="G2004" i="1" a="1"/>
  <c r="G2004" i="1" s="1"/>
  <c r="I1873" i="1"/>
  <c r="H1873" i="1" a="1"/>
  <c r="H1873" i="1" s="1"/>
  <c r="G1873" i="1" a="1"/>
  <c r="G1873" i="1" s="1"/>
  <c r="I1923" i="1"/>
  <c r="H1923" i="1" a="1"/>
  <c r="H1923" i="1" s="1"/>
  <c r="G1923" i="1" a="1"/>
  <c r="G1923" i="1" s="1"/>
  <c r="I1973" i="1"/>
  <c r="H1973" i="1" a="1"/>
  <c r="H1973" i="1" s="1"/>
  <c r="G1973" i="1" a="1"/>
  <c r="G1973" i="1" s="1"/>
  <c r="I1960" i="1"/>
  <c r="H1960" i="1" a="1"/>
  <c r="H1960" i="1" s="1"/>
  <c r="G1960" i="1" a="1"/>
  <c r="G1960" i="1" s="1"/>
  <c r="I1480" i="1"/>
  <c r="H1480" i="1" a="1"/>
  <c r="H1480" i="1" s="1"/>
  <c r="G1480" i="1" a="1"/>
  <c r="G1480" i="1" s="1"/>
  <c r="I1530" i="1"/>
  <c r="H1530" i="1" a="1"/>
  <c r="H1530" i="1" s="1"/>
  <c r="G1530" i="1" a="1"/>
  <c r="G1530" i="1" s="1"/>
  <c r="I1850" i="1"/>
  <c r="H1850" i="1" a="1"/>
  <c r="H1850" i="1" s="1"/>
  <c r="G1850" i="1" a="1"/>
  <c r="G1850" i="1" s="1"/>
  <c r="I1900" i="1"/>
  <c r="H1900" i="1" a="1"/>
  <c r="H1900" i="1" s="1"/>
  <c r="G1900" i="1" a="1"/>
  <c r="G1900" i="1" s="1"/>
  <c r="I1965" i="1"/>
  <c r="H1965" i="1" a="1"/>
  <c r="H1965" i="1" s="1"/>
  <c r="G1965" i="1" a="1"/>
  <c r="G1965" i="1" s="1"/>
  <c r="I1472" i="1"/>
  <c r="H1472" i="1" a="1"/>
  <c r="H1472" i="1" s="1"/>
  <c r="G1472" i="1" a="1"/>
  <c r="G1472" i="1" s="1"/>
  <c r="I1522" i="1"/>
  <c r="H1522" i="1" a="1"/>
  <c r="H1522" i="1" s="1"/>
  <c r="G1522" i="1" a="1"/>
  <c r="G1522" i="1" s="1"/>
  <c r="I1842" i="1"/>
  <c r="H1842" i="1" a="1"/>
  <c r="H1842" i="1" s="1"/>
  <c r="G1842" i="1" a="1"/>
  <c r="G1842" i="1" s="1"/>
  <c r="I1892" i="1"/>
  <c r="H1892" i="1" a="1"/>
  <c r="H1892" i="1" s="1"/>
  <c r="G1892" i="1" a="1"/>
  <c r="G1892" i="1" s="1"/>
  <c r="I1942" i="1"/>
  <c r="H1942" i="1" a="1"/>
  <c r="H1942" i="1" s="1"/>
  <c r="G1942" i="1" a="1"/>
  <c r="G1942" i="1" s="1"/>
  <c r="I1999" i="1"/>
  <c r="H1999" i="1" a="1"/>
  <c r="H1999" i="1" s="1"/>
  <c r="G1999" i="1" a="1"/>
  <c r="G1999" i="1" s="1"/>
  <c r="I1489" i="1"/>
  <c r="H1489" i="1" a="1"/>
  <c r="H1489" i="1" s="1"/>
  <c r="G1489" i="1" a="1"/>
  <c r="G1489" i="1" s="1"/>
  <c r="I1539" i="1"/>
  <c r="H1539" i="1" a="1"/>
  <c r="H1539" i="1" s="1"/>
  <c r="G1539" i="1" a="1"/>
  <c r="G1539" i="1" s="1"/>
  <c r="I1488" i="1"/>
  <c r="H1488" i="1" a="1"/>
  <c r="H1488" i="1" s="1"/>
  <c r="G1488" i="1" a="1"/>
  <c r="G1488" i="1" s="1"/>
  <c r="I1538" i="1"/>
  <c r="H1538" i="1" a="1"/>
  <c r="H1538" i="1" s="1"/>
  <c r="G1538" i="1" a="1"/>
  <c r="G1538" i="1" s="1"/>
  <c r="I1561" i="1"/>
  <c r="H1561" i="1" a="1"/>
  <c r="H1561" i="1" s="1"/>
  <c r="G1561" i="1" a="1"/>
  <c r="G1561" i="1" s="1"/>
  <c r="I1891" i="1"/>
  <c r="H1891" i="1" a="1"/>
  <c r="H1891" i="1" s="1"/>
  <c r="G1891" i="1" a="1"/>
  <c r="G1891" i="1" s="1"/>
  <c r="I1829" i="1"/>
  <c r="H1829" i="1" a="1"/>
  <c r="H1829" i="1" s="1"/>
  <c r="G1829" i="1" a="1"/>
  <c r="G1829" i="1" s="1"/>
  <c r="I1879" i="1"/>
  <c r="H1879" i="1" a="1"/>
  <c r="H1879" i="1" s="1"/>
  <c r="G1879" i="1" a="1"/>
  <c r="G1879" i="1" s="1"/>
  <c r="I1929" i="1"/>
  <c r="H1929" i="1" a="1"/>
  <c r="H1929" i="1" s="1"/>
  <c r="G1929" i="1" a="1"/>
  <c r="G1929" i="1" s="1"/>
  <c r="I1979" i="1"/>
  <c r="H1979" i="1" a="1"/>
  <c r="H1979" i="1" s="1"/>
  <c r="G1979" i="1" a="1"/>
  <c r="G1979" i="1" s="1"/>
  <c r="I1881" i="1"/>
  <c r="H1881" i="1" a="1"/>
  <c r="H1881" i="1" s="1"/>
  <c r="G1881" i="1" a="1"/>
  <c r="G1881" i="1" s="1"/>
  <c r="I1516" i="1"/>
  <c r="H1516" i="1" a="1"/>
  <c r="H1516" i="1" s="1"/>
  <c r="G1516" i="1" a="1"/>
  <c r="G1516" i="1" s="1"/>
  <c r="I1886" i="1"/>
  <c r="H1886" i="1" a="1"/>
  <c r="H1886" i="1" s="1"/>
  <c r="G1886" i="1" a="1"/>
  <c r="G1886" i="1" s="1"/>
  <c r="I1531" i="1"/>
  <c r="H1531" i="1" a="1"/>
  <c r="H1531" i="1" s="1"/>
  <c r="G1531" i="1" a="1"/>
  <c r="G1531" i="1" s="1"/>
  <c r="I1976" i="1"/>
  <c r="H1976" i="1" a="1"/>
  <c r="H1976" i="1" s="1"/>
  <c r="G1976" i="1" a="1"/>
  <c r="G1976" i="1" s="1"/>
  <c r="I2009" i="1"/>
  <c r="H2009" i="1" a="1"/>
  <c r="H2009" i="1" s="1"/>
  <c r="G2009" i="1" a="1"/>
  <c r="G2009" i="1" s="1"/>
  <c r="I1828" i="1"/>
  <c r="H1828" i="1" a="1"/>
  <c r="H1828" i="1" s="1"/>
  <c r="G1828" i="1" a="1"/>
  <c r="G1828" i="1" s="1"/>
  <c r="I1878" i="1"/>
  <c r="H1878" i="1" a="1"/>
  <c r="H1878" i="1" s="1"/>
  <c r="G1878" i="1" a="1"/>
  <c r="G1878" i="1" s="1"/>
  <c r="I1928" i="1"/>
  <c r="H1928" i="1" a="1"/>
  <c r="H1928" i="1" s="1"/>
  <c r="G1928" i="1" a="1"/>
  <c r="G1928" i="1" s="1"/>
  <c r="I1978" i="1"/>
  <c r="H1978" i="1" a="1"/>
  <c r="H1978" i="1" s="1"/>
  <c r="G1978" i="1" a="1"/>
  <c r="G1978" i="1" s="1"/>
  <c r="I1985" i="1"/>
  <c r="H1985" i="1" a="1"/>
  <c r="H1985" i="1" s="1"/>
  <c r="G1985" i="1" a="1"/>
  <c r="G1985" i="1" s="1"/>
  <c r="I1485" i="1"/>
  <c r="H1485" i="1" a="1"/>
  <c r="H1485" i="1" s="1"/>
  <c r="G1485" i="1" a="1"/>
  <c r="G1485" i="1" s="1"/>
  <c r="I1535" i="1"/>
  <c r="H1535" i="1" a="1"/>
  <c r="H1535" i="1" s="1"/>
  <c r="G1535" i="1" a="1"/>
  <c r="G1535" i="1" s="1"/>
  <c r="I1855" i="1"/>
  <c r="H1855" i="1" a="1"/>
  <c r="H1855" i="1" s="1"/>
  <c r="G1855" i="1" a="1"/>
  <c r="G1855" i="1" s="1"/>
  <c r="I1905" i="1"/>
  <c r="H1905" i="1" a="1"/>
  <c r="H1905" i="1" s="1"/>
  <c r="G1905" i="1" a="1"/>
  <c r="G1905" i="1" s="1"/>
  <c r="I1970" i="1"/>
  <c r="H1970" i="1" a="1"/>
  <c r="H1970" i="1" s="1"/>
  <c r="G1970" i="1" a="1"/>
  <c r="G1970" i="1" s="1"/>
  <c r="I1477" i="1"/>
  <c r="H1477" i="1" a="1"/>
  <c r="H1477" i="1" s="1"/>
  <c r="G1477" i="1" a="1"/>
  <c r="G1477" i="1" s="1"/>
  <c r="I1527" i="1"/>
  <c r="H1527" i="1" a="1"/>
  <c r="H1527" i="1" s="1"/>
  <c r="G1527" i="1" a="1"/>
  <c r="G1527" i="1" s="1"/>
  <c r="I1847" i="1"/>
  <c r="H1847" i="1" a="1"/>
  <c r="H1847" i="1" s="1"/>
  <c r="G1847" i="1" a="1"/>
  <c r="G1847" i="1" s="1"/>
  <c r="I1897" i="1"/>
  <c r="H1897" i="1" a="1"/>
  <c r="H1897" i="1" s="1"/>
  <c r="G1897" i="1" a="1"/>
  <c r="G1897" i="1" s="1"/>
  <c r="I1947" i="1"/>
  <c r="H1947" i="1" a="1"/>
  <c r="H1947" i="1" s="1"/>
  <c r="G1947" i="1" a="1"/>
  <c r="G1947" i="1" s="1"/>
  <c r="I2016" i="1"/>
  <c r="H2016" i="1" a="1"/>
  <c r="H2016" i="1" s="1"/>
  <c r="G2016" i="1" a="1"/>
  <c r="G2016" i="1" s="1"/>
  <c r="I1444" i="1"/>
  <c r="H1444" i="1" a="1"/>
  <c r="H1444" i="1" s="1"/>
  <c r="G1444" i="1" a="1"/>
  <c r="G1444" i="1" s="1"/>
  <c r="I1494" i="1"/>
  <c r="H1494" i="1" a="1"/>
  <c r="H1494" i="1" s="1"/>
  <c r="G1494" i="1" a="1"/>
  <c r="G1494" i="1" s="1"/>
  <c r="I1544" i="1"/>
  <c r="H1544" i="1" a="1"/>
  <c r="H1544" i="1" s="1"/>
  <c r="G1544" i="1" a="1"/>
  <c r="G1544" i="1" s="1"/>
  <c r="I1443" i="1"/>
  <c r="H1443" i="1" a="1"/>
  <c r="H1443" i="1" s="1"/>
  <c r="G1443" i="1" a="1"/>
  <c r="G1443" i="1" s="1"/>
  <c r="I1493" i="1"/>
  <c r="H1493" i="1" a="1"/>
  <c r="H1493" i="1" s="1"/>
  <c r="G1493" i="1" a="1"/>
  <c r="G1493" i="1" s="1"/>
  <c r="I1543" i="1"/>
  <c r="H1543" i="1" a="1"/>
  <c r="H1543" i="1" s="1"/>
  <c r="G1543" i="1" a="1"/>
  <c r="G1543" i="1" s="1"/>
  <c r="I1901" i="1"/>
  <c r="H1901" i="1" a="1"/>
  <c r="H1901" i="1" s="1"/>
  <c r="G1901" i="1" a="1"/>
  <c r="G1901" i="1" s="1"/>
  <c r="I1834" i="1"/>
  <c r="H1834" i="1" a="1"/>
  <c r="H1834" i="1" s="1"/>
  <c r="G1834" i="1" a="1"/>
  <c r="G1834" i="1" s="1"/>
  <c r="I1884" i="1"/>
  <c r="H1884" i="1" a="1"/>
  <c r="H1884" i="1" s="1"/>
  <c r="G1884" i="1" a="1"/>
  <c r="G1884" i="1" s="1"/>
  <c r="I1934" i="1"/>
  <c r="H1934" i="1" a="1"/>
  <c r="H1934" i="1" s="1"/>
  <c r="G1934" i="1" a="1"/>
  <c r="G1934" i="1" s="1"/>
  <c r="I1984" i="1"/>
  <c r="H1984" i="1" a="1"/>
  <c r="H1984" i="1" s="1"/>
  <c r="G1984" i="1" a="1"/>
  <c r="G1984" i="1" s="1"/>
  <c r="I1896" i="1"/>
  <c r="H1896" i="1" a="1"/>
  <c r="H1896" i="1" s="1"/>
  <c r="G1896" i="1" a="1"/>
  <c r="G1896" i="1" s="1"/>
  <c r="I1551" i="1"/>
  <c r="H1551" i="1" a="1"/>
  <c r="H1551" i="1" s="1"/>
  <c r="G1551" i="1" a="1"/>
  <c r="G1551" i="1" s="1"/>
  <c r="I1906" i="1"/>
  <c r="H1906" i="1" a="1"/>
  <c r="H1906" i="1" s="1"/>
  <c r="G1906" i="1" a="1"/>
  <c r="G1906" i="1" s="1"/>
  <c r="I1446" i="1"/>
  <c r="H1446" i="1" a="1"/>
  <c r="H1446" i="1" s="1"/>
  <c r="G1446" i="1" a="1"/>
  <c r="G1446" i="1" s="1"/>
  <c r="I1541" i="1"/>
  <c r="H1541" i="1" a="1"/>
  <c r="H1541" i="1" s="1"/>
  <c r="G1541" i="1" a="1"/>
  <c r="G1541" i="1" s="1"/>
  <c r="I1998" i="1"/>
  <c r="H1998" i="1" a="1"/>
  <c r="H1998" i="1" s="1"/>
  <c r="G1998" i="1" a="1"/>
  <c r="G1998" i="1" s="1"/>
  <c r="I1988" i="1"/>
  <c r="H1988" i="1" a="1"/>
  <c r="H1988" i="1" s="1"/>
  <c r="G1988" i="1" a="1"/>
  <c r="G1988" i="1" s="1"/>
  <c r="I1833" i="1"/>
  <c r="H1833" i="1" a="1"/>
  <c r="H1833" i="1" s="1"/>
  <c r="G1833" i="1" a="1"/>
  <c r="G1833" i="1" s="1"/>
  <c r="I1883" i="1"/>
  <c r="H1883" i="1" a="1"/>
  <c r="H1883" i="1" s="1"/>
  <c r="G1883" i="1" a="1"/>
  <c r="G1883" i="1" s="1"/>
  <c r="I1933" i="1"/>
  <c r="H1933" i="1" a="1"/>
  <c r="H1933" i="1" s="1"/>
  <c r="G1933" i="1" a="1"/>
  <c r="G1933" i="1" s="1"/>
  <c r="I1983" i="1"/>
  <c r="H1983" i="1" a="1"/>
  <c r="H1983" i="1" s="1"/>
  <c r="G1983" i="1" a="1"/>
  <c r="G1983" i="1" s="1"/>
  <c r="I1992" i="1"/>
  <c r="H1992" i="1" a="1"/>
  <c r="H1992" i="1" s="1"/>
  <c r="G1992" i="1" a="1"/>
  <c r="G1992" i="1" s="1"/>
  <c r="I1490" i="1"/>
  <c r="H1490" i="1" a="1"/>
  <c r="H1490" i="1" s="1"/>
  <c r="G1490" i="1" a="1"/>
  <c r="G1490" i="1" s="1"/>
  <c r="I1540" i="1"/>
  <c r="H1540" i="1" a="1"/>
  <c r="H1540" i="1" s="1"/>
  <c r="G1540" i="1" a="1"/>
  <c r="G1540" i="1" s="1"/>
  <c r="I1860" i="1"/>
  <c r="H1860" i="1" a="1"/>
  <c r="H1860" i="1" s="1"/>
  <c r="G1860" i="1" a="1"/>
  <c r="G1860" i="1" s="1"/>
  <c r="I1910" i="1"/>
  <c r="H1910" i="1" a="1"/>
  <c r="H1910" i="1" s="1"/>
  <c r="G1910" i="1" a="1"/>
  <c r="G1910" i="1" s="1"/>
  <c r="I1975" i="1"/>
  <c r="H1975" i="1" a="1"/>
  <c r="H1975" i="1" s="1"/>
  <c r="G1975" i="1" a="1"/>
  <c r="G1975" i="1" s="1"/>
  <c r="I1482" i="1"/>
  <c r="H1482" i="1" a="1"/>
  <c r="H1482" i="1" s="1"/>
  <c r="G1482" i="1" a="1"/>
  <c r="G1482" i="1" s="1"/>
  <c r="I1532" i="1"/>
  <c r="H1532" i="1" a="1"/>
  <c r="H1532" i="1" s="1"/>
  <c r="G1532" i="1" a="1"/>
  <c r="G1532" i="1" s="1"/>
  <c r="I1852" i="1"/>
  <c r="H1852" i="1" a="1"/>
  <c r="H1852" i="1" s="1"/>
  <c r="G1852" i="1" a="1"/>
  <c r="G1852" i="1" s="1"/>
  <c r="I1902" i="1"/>
  <c r="H1902" i="1" a="1"/>
  <c r="H1902" i="1" s="1"/>
  <c r="G1902" i="1" a="1"/>
  <c r="G1902" i="1" s="1"/>
  <c r="I1952" i="1"/>
  <c r="H1952" i="1" a="1"/>
  <c r="H1952" i="1" s="1"/>
  <c r="G1952" i="1" a="1"/>
  <c r="G1952" i="1" s="1"/>
  <c r="I1989" i="1"/>
  <c r="H1989" i="1" a="1"/>
  <c r="H1989" i="1" s="1"/>
  <c r="G1989" i="1" a="1"/>
  <c r="G1989" i="1" s="1"/>
  <c r="I1449" i="1"/>
  <c r="H1449" i="1" a="1"/>
  <c r="H1449" i="1" s="1"/>
  <c r="G1449" i="1" a="1"/>
  <c r="G1449" i="1" s="1"/>
  <c r="I1499" i="1"/>
  <c r="H1499" i="1" a="1"/>
  <c r="H1499" i="1" s="1"/>
  <c r="G1499" i="1" a="1"/>
  <c r="G1499" i="1" s="1"/>
  <c r="I1549" i="1"/>
  <c r="H1549" i="1" a="1"/>
  <c r="H1549" i="1" s="1"/>
  <c r="G1549" i="1" a="1"/>
  <c r="G1549" i="1" s="1"/>
  <c r="I1448" i="1"/>
  <c r="H1448" i="1" a="1"/>
  <c r="H1448" i="1" s="1"/>
  <c r="G1448" i="1" a="1"/>
  <c r="G1448" i="1" s="1"/>
  <c r="I1498" i="1"/>
  <c r="H1498" i="1" a="1"/>
  <c r="H1498" i="1" s="1"/>
  <c r="G1498" i="1" a="1"/>
  <c r="G1498" i="1" s="1"/>
  <c r="I1548" i="1"/>
  <c r="H1548" i="1" a="1"/>
  <c r="H1548" i="1" s="1"/>
  <c r="G1548" i="1" a="1"/>
  <c r="G1548" i="1" s="1"/>
  <c r="I1941" i="1"/>
  <c r="H1941" i="1" a="1"/>
  <c r="H1941" i="1" s="1"/>
  <c r="G1941" i="1" a="1"/>
  <c r="G1941" i="1" s="1"/>
  <c r="I1839" i="1"/>
  <c r="H1839" i="1" a="1"/>
  <c r="H1839" i="1" s="1"/>
  <c r="G1839" i="1" a="1"/>
  <c r="G1839" i="1" s="1"/>
  <c r="I1889" i="1"/>
  <c r="H1889" i="1" a="1"/>
  <c r="H1889" i="1" s="1"/>
  <c r="G1889" i="1" a="1"/>
  <c r="G1889" i="1" s="1"/>
  <c r="I1939" i="1"/>
  <c r="H1939" i="1" a="1"/>
  <c r="H1939" i="1" s="1"/>
  <c r="G1939" i="1" a="1"/>
  <c r="G1939" i="1" s="1"/>
  <c r="I1991" i="1"/>
  <c r="H1991" i="1" a="1"/>
  <c r="H1991" i="1" s="1"/>
  <c r="G1991" i="1" a="1"/>
  <c r="G1991" i="1" s="1"/>
  <c r="I1441" i="1"/>
  <c r="H1441" i="1" a="1"/>
  <c r="H1441" i="1" s="1"/>
  <c r="G1441" i="1" a="1"/>
  <c r="G1441" i="1" s="1"/>
  <c r="I1911" i="1"/>
  <c r="H1911" i="1" a="1"/>
  <c r="H1911" i="1" s="1"/>
  <c r="G1911" i="1" a="1"/>
  <c r="G1911" i="1" s="1"/>
  <c r="I1566" i="1"/>
  <c r="H1566" i="1" a="1"/>
  <c r="H1566" i="1" s="1"/>
  <c r="G1566" i="1" a="1"/>
  <c r="G1566" i="1" s="1"/>
  <c r="I1946" i="1"/>
  <c r="H1946" i="1" a="1"/>
  <c r="H1946" i="1" s="1"/>
  <c r="G1946" i="1" a="1"/>
  <c r="G1946" i="1" s="1"/>
  <c r="I1456" i="1"/>
  <c r="H1456" i="1" a="1"/>
  <c r="H1456" i="1" s="1"/>
  <c r="G1456" i="1" a="1"/>
  <c r="G1456" i="1" s="1"/>
  <c r="I1556" i="1"/>
  <c r="H1556" i="1" a="1"/>
  <c r="H1556" i="1" s="1"/>
  <c r="G1556" i="1" a="1"/>
  <c r="G1556" i="1" s="1"/>
  <c r="I2008" i="1"/>
  <c r="H2008" i="1" a="1"/>
  <c r="H2008" i="1" s="1"/>
  <c r="G2008" i="1" a="1"/>
  <c r="G2008" i="1" s="1"/>
  <c r="I2010" i="1"/>
  <c r="H2010" i="1" a="1"/>
  <c r="H2010" i="1" s="1"/>
  <c r="G2010" i="1" a="1"/>
  <c r="G2010" i="1" s="1"/>
  <c r="I1838" i="1"/>
  <c r="H1838" i="1" a="1"/>
  <c r="H1838" i="1" s="1"/>
  <c r="G1838" i="1" a="1"/>
  <c r="G1838" i="1" s="1"/>
  <c r="I1888" i="1"/>
  <c r="H1888" i="1" a="1"/>
  <c r="H1888" i="1" s="1"/>
  <c r="G1888" i="1" a="1"/>
  <c r="G1888" i="1" s="1"/>
  <c r="I1938" i="1"/>
  <c r="H1938" i="1" a="1"/>
  <c r="H1938" i="1" s="1"/>
  <c r="G1938" i="1" a="1"/>
  <c r="G1938" i="1" s="1"/>
  <c r="I1990" i="1"/>
  <c r="H1990" i="1" a="1"/>
  <c r="H1990" i="1" s="1"/>
  <c r="G1990" i="1" a="1"/>
  <c r="G1990" i="1" s="1"/>
  <c r="I1997" i="1"/>
  <c r="H1997" i="1" a="1"/>
  <c r="H1997" i="1" s="1"/>
  <c r="G1997" i="1" a="1"/>
  <c r="G1997" i="1" s="1"/>
  <c r="I1445" i="1"/>
  <c r="H1445" i="1" a="1"/>
  <c r="H1445" i="1" s="1"/>
  <c r="G1445" i="1" a="1"/>
  <c r="G1445" i="1" s="1"/>
  <c r="I1495" i="1"/>
  <c r="H1495" i="1" a="1"/>
  <c r="H1495" i="1" s="1"/>
  <c r="G1495" i="1" a="1"/>
  <c r="G1495" i="1" s="1"/>
  <c r="I1545" i="1"/>
  <c r="H1545" i="1" a="1"/>
  <c r="H1545" i="1" s="1"/>
  <c r="G1545" i="1" a="1"/>
  <c r="G1545" i="1" s="1"/>
  <c r="I1865" i="1"/>
  <c r="H1865" i="1" a="1"/>
  <c r="H1865" i="1" s="1"/>
  <c r="G1865" i="1" a="1"/>
  <c r="G1865" i="1" s="1"/>
  <c r="I1915" i="1"/>
  <c r="H1915" i="1" a="1"/>
  <c r="H1915" i="1" s="1"/>
  <c r="G1915" i="1" a="1"/>
  <c r="G1915" i="1" s="1"/>
  <c r="I1980" i="1"/>
  <c r="H1980" i="1" a="1"/>
  <c r="H1980" i="1" s="1"/>
  <c r="G1980" i="1" a="1"/>
  <c r="G1980" i="1" s="1"/>
  <c r="I1487" i="1"/>
  <c r="H1487" i="1" a="1"/>
  <c r="H1487" i="1" s="1"/>
  <c r="G1487" i="1" a="1"/>
  <c r="G1487" i="1" s="1"/>
  <c r="I1537" i="1"/>
  <c r="H1537" i="1" a="1"/>
  <c r="H1537" i="1" s="1"/>
  <c r="G1537" i="1" a="1"/>
  <c r="G1537" i="1" s="1"/>
  <c r="I1857" i="1"/>
  <c r="H1857" i="1" a="1"/>
  <c r="H1857" i="1" s="1"/>
  <c r="G1857" i="1" a="1"/>
  <c r="G1857" i="1" s="1"/>
  <c r="I1907" i="1"/>
  <c r="H1907" i="1" a="1"/>
  <c r="H1907" i="1" s="1"/>
  <c r="G1907" i="1" a="1"/>
  <c r="G1907" i="1" s="1"/>
  <c r="I1957" i="1"/>
  <c r="H1957" i="1" a="1"/>
  <c r="H1957" i="1" s="1"/>
  <c r="G1957" i="1" a="1"/>
  <c r="G1957" i="1" s="1"/>
  <c r="I2017" i="1"/>
  <c r="H2017" i="1" a="1"/>
  <c r="H2017" i="1" s="1"/>
  <c r="G2017" i="1" a="1"/>
  <c r="G2017" i="1" s="1"/>
  <c r="I1454" i="1"/>
  <c r="H1454" i="1" a="1"/>
  <c r="H1454" i="1" s="1"/>
  <c r="G1454" i="1" a="1"/>
  <c r="G1454" i="1" s="1"/>
  <c r="I1504" i="1"/>
  <c r="H1504" i="1" a="1"/>
  <c r="H1504" i="1" s="1"/>
  <c r="G1504" i="1" a="1"/>
  <c r="G1504" i="1" s="1"/>
  <c r="I1554" i="1"/>
  <c r="H1554" i="1" a="1"/>
  <c r="H1554" i="1" s="1"/>
  <c r="G1554" i="1" a="1"/>
  <c r="G1554" i="1" s="1"/>
  <c r="I1453" i="1"/>
  <c r="H1453" i="1" a="1"/>
  <c r="H1453" i="1" s="1"/>
  <c r="G1453" i="1" a="1"/>
  <c r="G1453" i="1" s="1"/>
  <c r="I1503" i="1"/>
  <c r="H1503" i="1" a="1"/>
  <c r="H1503" i="1" s="1"/>
  <c r="G1503" i="1" a="1"/>
  <c r="G1503" i="1" s="1"/>
  <c r="I1553" i="1"/>
  <c r="H1553" i="1" a="1"/>
  <c r="H1553" i="1" s="1"/>
  <c r="G1553" i="1" a="1"/>
  <c r="G1553" i="1" s="1"/>
  <c r="I1956" i="1"/>
  <c r="H1956" i="1" a="1"/>
  <c r="H1956" i="1" s="1"/>
  <c r="G1956" i="1" a="1"/>
  <c r="G1956" i="1" s="1"/>
  <c r="I1844" i="1"/>
  <c r="H1844" i="1" a="1"/>
  <c r="H1844" i="1" s="1"/>
  <c r="G1844" i="1" a="1"/>
  <c r="G1844" i="1" s="1"/>
  <c r="I1894" i="1"/>
  <c r="H1894" i="1" a="1"/>
  <c r="H1894" i="1" s="1"/>
  <c r="G1894" i="1" a="1"/>
  <c r="G1894" i="1" s="1"/>
  <c r="I1944" i="1"/>
  <c r="H1944" i="1" a="1"/>
  <c r="H1944" i="1" s="1"/>
  <c r="G1944" i="1" a="1"/>
  <c r="G1944" i="1" s="1"/>
  <c r="I1996" i="1"/>
  <c r="H1996" i="1" a="1"/>
  <c r="H1996" i="1" s="1"/>
  <c r="G1996" i="1" a="1"/>
  <c r="G1996" i="1" s="1"/>
  <c r="I1466" i="1"/>
  <c r="H1466" i="1" a="1"/>
  <c r="H1466" i="1" s="1"/>
  <c r="G1466" i="1" a="1"/>
  <c r="G1466" i="1" s="1"/>
  <c r="I1951" i="1"/>
  <c r="H1951" i="1" a="1"/>
  <c r="H1951" i="1" s="1"/>
  <c r="G1951" i="1" a="1"/>
  <c r="G1951" i="1" s="1"/>
  <c r="I1986" i="1"/>
  <c r="H1986" i="1" a="1"/>
  <c r="H1986" i="1" s="1"/>
  <c r="G1986" i="1" a="1"/>
  <c r="G1986" i="1" s="1"/>
  <c r="I1476" i="1"/>
  <c r="H1476" i="1" a="1"/>
  <c r="H1476" i="1" s="1"/>
  <c r="G1476" i="1" a="1"/>
  <c r="G1476" i="1" s="1"/>
  <c r="I1851" i="1"/>
  <c r="H1851" i="1" a="1"/>
  <c r="H1851" i="1" s="1"/>
  <c r="G1851" i="1" a="1"/>
  <c r="G1851" i="1" s="1"/>
  <c r="I2014" i="1"/>
  <c r="H2014" i="1" a="1"/>
  <c r="H2014" i="1" s="1"/>
  <c r="G2014" i="1" a="1"/>
  <c r="G2014" i="1" s="1"/>
  <c r="I1843" i="1"/>
  <c r="H1843" i="1" a="1"/>
  <c r="H1843" i="1" s="1"/>
  <c r="G1843" i="1" a="1"/>
  <c r="G1843" i="1" s="1"/>
  <c r="I1893" i="1"/>
  <c r="H1893" i="1" a="1"/>
  <c r="H1893" i="1" s="1"/>
  <c r="G1893" i="1" a="1"/>
  <c r="G1893" i="1" s="1"/>
  <c r="I1943" i="1"/>
  <c r="H1943" i="1" a="1"/>
  <c r="H1943" i="1" s="1"/>
  <c r="G1943" i="1" a="1"/>
  <c r="G1943" i="1" s="1"/>
  <c r="I1995" i="1"/>
  <c r="H1995" i="1" a="1"/>
  <c r="H1995" i="1" s="1"/>
  <c r="G1995" i="1" a="1"/>
  <c r="G1995" i="1" s="1"/>
  <c r="I2002" i="1"/>
  <c r="H2002" i="1" a="1"/>
  <c r="H2002" i="1" s="1"/>
  <c r="G2002" i="1" a="1"/>
  <c r="G2002" i="1" s="1"/>
  <c r="I1450" i="1"/>
  <c r="H1450" i="1" a="1"/>
  <c r="H1450" i="1" s="1"/>
  <c r="G1450" i="1" a="1"/>
  <c r="G1450" i="1" s="1"/>
  <c r="I1500" i="1"/>
  <c r="H1500" i="1" a="1"/>
  <c r="H1500" i="1" s="1"/>
  <c r="G1500" i="1" a="1"/>
  <c r="G1500" i="1" s="1"/>
  <c r="I1550" i="1"/>
  <c r="H1550" i="1" a="1"/>
  <c r="H1550" i="1" s="1"/>
  <c r="G1550" i="1" a="1"/>
  <c r="G1550" i="1" s="1"/>
  <c r="I1870" i="1"/>
  <c r="H1870" i="1" a="1"/>
  <c r="H1870" i="1" s="1"/>
  <c r="G1870" i="1" a="1"/>
  <c r="G1870" i="1" s="1"/>
  <c r="I1925" i="1"/>
  <c r="H1925" i="1" a="1"/>
  <c r="H1925" i="1" s="1"/>
  <c r="G1925" i="1" a="1"/>
  <c r="G1925" i="1" s="1"/>
  <c r="I1987" i="1"/>
  <c r="H1987" i="1" a="1"/>
  <c r="H1987" i="1" s="1"/>
  <c r="G1987" i="1" a="1"/>
  <c r="G1987" i="1" s="1"/>
  <c r="I1442" i="1"/>
  <c r="H1442" i="1" a="1"/>
  <c r="H1442" i="1" s="1"/>
  <c r="G1442" i="1" a="1"/>
  <c r="G1442" i="1" s="1"/>
  <c r="I1492" i="1"/>
  <c r="H1492" i="1" a="1"/>
  <c r="H1492" i="1" s="1"/>
  <c r="G1492" i="1" a="1"/>
  <c r="G1492" i="1" s="1"/>
  <c r="I1542" i="1"/>
  <c r="H1542" i="1" a="1"/>
  <c r="H1542" i="1" s="1"/>
  <c r="G1542" i="1" a="1"/>
  <c r="G1542" i="1" s="1"/>
  <c r="I1862" i="1"/>
  <c r="H1862" i="1" a="1"/>
  <c r="H1862" i="1" s="1"/>
  <c r="G1862" i="1" a="1"/>
  <c r="G1862" i="1" s="1"/>
  <c r="I1912" i="1"/>
  <c r="H1912" i="1" a="1"/>
  <c r="H1912" i="1" s="1"/>
  <c r="G1912" i="1" a="1"/>
  <c r="G1912" i="1" s="1"/>
  <c r="I1962" i="1"/>
  <c r="H1962" i="1" a="1"/>
  <c r="H1962" i="1" s="1"/>
  <c r="G1962" i="1" a="1"/>
  <c r="G1962" i="1" s="1"/>
  <c r="I2018" i="1"/>
  <c r="H2018" i="1" a="1"/>
  <c r="H2018" i="1" s="1"/>
  <c r="G2018" i="1" a="1"/>
  <c r="G2018" i="1" s="1"/>
  <c r="I1459" i="1"/>
  <c r="H1459" i="1" a="1"/>
  <c r="H1459" i="1" s="1"/>
  <c r="G1459" i="1" a="1"/>
  <c r="G1459" i="1" s="1"/>
  <c r="I1509" i="1"/>
  <c r="H1509" i="1" a="1"/>
  <c r="H1509" i="1" s="1"/>
  <c r="G1509" i="1" a="1"/>
  <c r="G1509" i="1" s="1"/>
  <c r="I1559" i="1"/>
  <c r="H1559" i="1" a="1"/>
  <c r="H1559" i="1" s="1"/>
  <c r="G1559" i="1" a="1"/>
  <c r="G1559" i="1" s="1"/>
  <c r="B2747" i="1" l="1"/>
  <c r="B1662" i="1"/>
  <c r="C1785" i="1"/>
  <c r="B1827" i="1"/>
  <c r="F1798" i="1"/>
  <c r="D1756" i="1"/>
  <c r="E2256" i="1"/>
  <c r="F1825" i="1"/>
  <c r="E1823" i="1"/>
  <c r="E1800" i="1"/>
  <c r="E1701" i="1"/>
  <c r="D1785" i="1"/>
  <c r="E1360" i="1"/>
  <c r="E1330" i="1"/>
  <c r="C1602" i="1"/>
  <c r="F1762" i="1"/>
  <c r="B1325" i="1"/>
  <c r="F1272" i="1"/>
  <c r="C1818" i="1"/>
  <c r="B2136" i="1"/>
  <c r="C1435" i="1"/>
  <c r="E1281" i="1"/>
  <c r="C2637" i="1"/>
  <c r="B2677" i="1"/>
  <c r="D1347" i="1"/>
  <c r="E1660" i="1"/>
  <c r="B1806" i="1"/>
  <c r="F2456" i="1"/>
  <c r="D1422" i="1"/>
  <c r="C2498" i="1"/>
  <c r="E2671" i="1"/>
  <c r="B1612" i="1"/>
  <c r="D1747" i="1"/>
  <c r="F1641" i="1"/>
  <c r="B1427" i="1"/>
  <c r="B2555" i="1"/>
  <c r="C2537" i="1"/>
  <c r="C1815" i="1"/>
  <c r="B2441" i="1"/>
  <c r="C2315" i="1"/>
  <c r="D2300" i="1"/>
  <c r="F1425" i="1"/>
  <c r="B1742" i="1"/>
  <c r="E1662" i="1"/>
  <c r="B1701" i="1"/>
  <c r="D2680" i="1"/>
  <c r="C1295" i="1"/>
  <c r="D2261" i="1"/>
  <c r="D1310" i="1"/>
  <c r="C1723" i="1"/>
  <c r="B1743" i="1"/>
  <c r="C1752" i="1"/>
  <c r="F2617" i="1"/>
  <c r="B2080" i="1"/>
  <c r="F2542" i="1"/>
  <c r="B1762" i="1"/>
  <c r="C1235" i="1"/>
  <c r="F2607" i="1"/>
  <c r="F1717" i="1"/>
  <c r="D1237" i="1"/>
  <c r="E1297" i="1"/>
  <c r="E2352" i="1"/>
  <c r="C1247" i="1"/>
  <c r="F1190" i="1"/>
  <c r="B1435" i="1"/>
  <c r="E1356" i="1"/>
  <c r="D1800" i="1"/>
  <c r="B1776" i="1"/>
  <c r="E1350" i="1"/>
  <c r="D1362" i="1"/>
  <c r="B2378" i="1"/>
  <c r="C1345" i="1"/>
  <c r="E1287" i="1"/>
  <c r="E1195" i="1"/>
  <c r="D2140" i="1"/>
  <c r="B2503" i="1"/>
  <c r="F2716" i="1"/>
  <c r="F2276" i="1"/>
  <c r="C2360" i="1"/>
  <c r="B2484" i="1"/>
  <c r="F2714" i="1"/>
  <c r="B2506" i="1"/>
  <c r="D2448" i="1"/>
  <c r="E2378" i="1"/>
  <c r="B1195" i="1"/>
  <c r="C2747" i="1"/>
  <c r="B1420" i="1"/>
  <c r="B1335" i="1"/>
  <c r="F1788" i="1"/>
  <c r="F1735" i="1"/>
  <c r="D2689" i="1"/>
  <c r="C2661" i="1"/>
  <c r="B1390" i="1"/>
  <c r="C2604" i="1"/>
  <c r="B1823" i="1"/>
  <c r="F2494" i="1"/>
  <c r="C1425" i="1"/>
  <c r="E1426" i="1"/>
  <c r="C1331" i="1"/>
  <c r="B1582" i="1"/>
  <c r="C1660" i="1"/>
  <c r="B2323" i="1"/>
  <c r="B2517" i="1"/>
  <c r="F1280" i="1"/>
  <c r="C2650" i="1"/>
  <c r="E1718" i="1"/>
  <c r="D1397" i="1"/>
  <c r="E1808" i="1"/>
  <c r="C2351" i="1"/>
  <c r="B1758" i="1"/>
  <c r="F1802" i="1"/>
  <c r="E1712" i="1"/>
  <c r="E2128" i="1"/>
  <c r="C1350" i="1"/>
  <c r="D1767" i="1"/>
  <c r="B1331" i="1"/>
  <c r="D1740" i="1"/>
  <c r="D2552" i="1"/>
  <c r="D1731" i="1"/>
  <c r="F2184" i="1"/>
  <c r="C1257" i="1"/>
  <c r="C1771" i="1"/>
  <c r="F2706" i="1"/>
  <c r="C1282" i="1"/>
  <c r="F2536" i="1"/>
  <c r="C1271" i="1"/>
  <c r="F2462" i="1"/>
  <c r="F1685" i="1"/>
  <c r="E1715" i="1"/>
  <c r="F2513" i="1"/>
  <c r="B1705" i="1"/>
  <c r="E1322" i="1"/>
  <c r="C2475" i="1"/>
  <c r="D2747" i="1"/>
  <c r="C2746" i="1"/>
  <c r="B2437" i="1"/>
  <c r="E1237" i="1"/>
  <c r="B2353" i="1"/>
  <c r="B1800" i="1"/>
  <c r="C2423" i="1"/>
  <c r="E1616" i="1"/>
  <c r="D1697" i="1"/>
  <c r="C1272" i="1"/>
  <c r="C2174" i="1"/>
  <c r="F2745" i="1"/>
  <c r="D1262" i="1"/>
  <c r="C1357" i="1"/>
  <c r="C2081" i="1"/>
  <c r="B1695" i="1"/>
  <c r="F1745" i="1"/>
  <c r="C1761" i="1"/>
  <c r="C2695" i="1"/>
  <c r="E1802" i="1"/>
  <c r="B1622" i="1"/>
  <c r="C1190" i="1"/>
  <c r="B1748" i="1"/>
  <c r="F2505" i="1"/>
  <c r="B2536" i="1"/>
  <c r="B1215" i="1"/>
  <c r="B1657" i="1"/>
  <c r="C2581" i="1"/>
  <c r="F2298" i="1"/>
  <c r="B1317" i="1"/>
  <c r="B1190" i="1"/>
  <c r="F2548" i="1"/>
  <c r="B1745" i="1"/>
  <c r="C1437" i="1"/>
  <c r="F2390" i="1"/>
  <c r="F2316" i="1"/>
  <c r="D1797" i="1"/>
  <c r="C1772" i="1"/>
  <c r="C1765" i="1"/>
  <c r="B1637" i="1"/>
  <c r="C2536" i="1"/>
  <c r="B2734" i="1"/>
  <c r="D1275" i="1"/>
  <c r="D1788" i="1"/>
  <c r="F2205" i="1"/>
  <c r="C1753" i="1"/>
  <c r="F1737" i="1"/>
  <c r="E1582" i="1"/>
  <c r="B2090" i="1"/>
  <c r="D1245" i="1"/>
  <c r="D2532" i="1"/>
  <c r="D1796" i="1"/>
  <c r="D1417" i="1"/>
  <c r="C2653" i="1"/>
  <c r="E1817" i="1"/>
  <c r="E2666" i="1"/>
  <c r="C1692" i="1"/>
  <c r="B2426" i="1"/>
  <c r="D2746" i="1"/>
  <c r="D2440" i="1"/>
  <c r="C1822" i="1"/>
  <c r="F2560" i="1"/>
  <c r="D1806" i="1"/>
  <c r="E1752" i="1"/>
  <c r="C1825" i="1"/>
  <c r="B2403" i="1"/>
  <c r="D2700" i="1"/>
  <c r="B1277" i="1"/>
  <c r="D1382" i="1"/>
  <c r="C1342" i="1"/>
  <c r="F2739" i="1"/>
  <c r="E1770" i="1"/>
  <c r="D1331" i="1"/>
  <c r="C2638" i="1"/>
  <c r="F1822" i="1"/>
  <c r="D2288" i="1"/>
  <c r="F2681" i="1"/>
  <c r="B2358" i="1"/>
  <c r="C2180" i="1"/>
  <c r="F2451" i="1"/>
  <c r="C2085" i="1"/>
  <c r="C2332" i="1"/>
  <c r="D2174" i="1"/>
  <c r="E1247" i="1"/>
  <c r="B2738" i="1"/>
  <c r="E2747" i="1"/>
  <c r="D1322" i="1"/>
  <c r="E2722" i="1"/>
  <c r="C1225" i="1"/>
  <c r="D2578" i="1"/>
  <c r="C2478" i="1"/>
  <c r="F2492" i="1"/>
  <c r="B1230" i="1"/>
  <c r="D1615" i="1"/>
  <c r="C1657" i="1"/>
  <c r="E2261" i="1"/>
  <c r="F1200" i="1"/>
  <c r="D1650" i="1"/>
  <c r="B2508" i="1"/>
  <c r="B2713" i="1"/>
  <c r="C1725" i="1"/>
  <c r="C1372" i="1"/>
  <c r="D1742" i="1"/>
  <c r="B1760" i="1"/>
  <c r="B2065" i="1"/>
  <c r="F1411" i="1"/>
  <c r="E1737" i="1"/>
  <c r="D1632" i="1"/>
  <c r="C1803" i="1"/>
  <c r="E1760" i="1"/>
  <c r="E1411" i="1"/>
  <c r="C1352" i="1"/>
  <c r="C2288" i="1"/>
  <c r="F2517" i="1"/>
  <c r="E2663" i="1"/>
  <c r="B1620" i="1"/>
  <c r="D2238" i="1"/>
  <c r="E1751" i="1"/>
  <c r="E1717" i="1"/>
  <c r="C1712" i="1"/>
  <c r="F1820" i="1"/>
  <c r="F2529" i="1"/>
  <c r="D2458" i="1"/>
  <c r="D1647" i="1"/>
  <c r="C1742" i="1"/>
  <c r="D2407" i="1"/>
  <c r="C1582" i="1"/>
  <c r="F2603" i="1"/>
  <c r="B1675" i="1"/>
  <c r="E2308" i="1"/>
  <c r="D1345" i="1"/>
  <c r="D2276" i="1"/>
  <c r="D1765" i="1"/>
  <c r="E2552" i="1"/>
  <c r="B1235" i="1"/>
  <c r="E1625" i="1"/>
  <c r="E1292" i="1"/>
  <c r="B1225" i="1"/>
  <c r="D2074" i="1"/>
  <c r="C1325" i="1"/>
  <c r="B1707" i="1"/>
  <c r="B1395" i="1"/>
  <c r="E1661" i="1"/>
  <c r="B1337" i="1"/>
  <c r="C2622" i="1"/>
  <c r="B2564" i="1"/>
  <c r="E1755" i="1"/>
  <c r="D1240" i="1"/>
  <c r="D1745" i="1"/>
  <c r="F1427" i="1"/>
  <c r="C2093" i="1"/>
  <c r="F1793" i="1"/>
  <c r="E1705" i="1"/>
  <c r="D2512" i="1"/>
  <c r="C2391" i="1"/>
  <c r="E2384" i="1"/>
  <c r="F1387" i="1"/>
  <c r="C1757" i="1"/>
  <c r="E1775" i="1"/>
  <c r="F2069" i="1"/>
  <c r="B2712" i="1"/>
  <c r="D2344" i="1"/>
  <c r="F2732" i="1"/>
  <c r="B2364" i="1"/>
  <c r="E2496" i="1"/>
  <c r="E1587" i="1"/>
  <c r="C2543" i="1"/>
  <c r="F2524" i="1"/>
  <c r="C1763" i="1"/>
  <c r="C2269" i="1"/>
  <c r="F2747" i="1"/>
  <c r="F1395" i="1"/>
  <c r="B1692" i="1"/>
  <c r="B1820" i="1"/>
  <c r="D1752" i="1"/>
  <c r="B1352" i="1"/>
  <c r="D2713" i="1"/>
  <c r="B2673" i="1"/>
  <c r="B1270" i="1"/>
  <c r="D1332" i="1"/>
  <c r="B1430" i="1"/>
  <c r="E1791" i="1"/>
  <c r="F1636" i="1"/>
  <c r="F1677" i="1"/>
  <c r="D2299" i="1"/>
  <c r="F2340" i="1"/>
  <c r="D2534" i="1"/>
  <c r="D1687" i="1"/>
  <c r="F1715" i="1"/>
  <c r="D2598" i="1"/>
  <c r="E1642" i="1"/>
  <c r="F1770" i="1"/>
  <c r="B1295" i="1"/>
  <c r="D2343" i="1"/>
  <c r="C2300" i="1"/>
  <c r="F1415" i="1"/>
  <c r="F1757" i="1"/>
  <c r="F1320" i="1"/>
  <c r="D1587" i="1"/>
  <c r="D1718" i="1"/>
  <c r="D1626" i="1"/>
  <c r="D1282" i="1"/>
  <c r="D1738" i="1"/>
  <c r="D2201" i="1"/>
  <c r="D1387" i="1"/>
  <c r="E1695" i="1"/>
  <c r="F2220" i="1"/>
  <c r="F1602" i="1"/>
  <c r="D1225" i="1"/>
  <c r="E2709" i="1"/>
  <c r="D1616" i="1"/>
  <c r="C1780" i="1"/>
  <c r="F1657" i="1"/>
  <c r="D1287" i="1"/>
  <c r="F2698" i="1"/>
  <c r="D1407" i="1"/>
  <c r="D2494" i="1"/>
  <c r="F2625" i="1"/>
  <c r="C1817" i="1"/>
  <c r="F1722" i="1"/>
  <c r="F1616" i="1"/>
  <c r="E1357" i="1"/>
  <c r="B2492" i="1"/>
  <c r="B2532" i="1"/>
  <c r="F1605" i="1"/>
  <c r="E2436" i="1"/>
  <c r="F2311" i="1"/>
  <c r="C2294" i="1"/>
  <c r="F1410" i="1"/>
  <c r="D1717" i="1"/>
  <c r="E1267" i="1"/>
  <c r="F1803" i="1"/>
  <c r="F2616" i="1"/>
  <c r="B1280" i="1"/>
  <c r="D2257" i="1"/>
  <c r="D1760" i="1"/>
  <c r="F1708" i="1"/>
  <c r="C1721" i="1"/>
  <c r="D1732" i="1"/>
  <c r="B2483" i="1"/>
  <c r="C2076" i="1"/>
  <c r="E2538" i="1"/>
  <c r="F1742" i="1"/>
  <c r="F1220" i="1"/>
  <c r="C2602" i="1"/>
  <c r="D2198" i="1"/>
  <c r="D2670" i="1"/>
  <c r="B2591" i="1"/>
  <c r="D2396" i="1"/>
  <c r="D2254" i="1"/>
  <c r="C2359" i="1"/>
  <c r="F2043" i="1"/>
  <c r="D2199" i="1"/>
  <c r="F1727" i="1"/>
  <c r="B1660" i="1"/>
  <c r="B2746" i="1"/>
  <c r="E1422" i="1"/>
  <c r="F1575" i="1"/>
  <c r="B2471" i="1"/>
  <c r="B1725" i="1"/>
  <c r="B2386" i="1"/>
  <c r="C1302" i="1"/>
  <c r="D1585" i="1"/>
  <c r="E1720" i="1"/>
  <c r="B2381" i="1"/>
  <c r="B1377" i="1"/>
  <c r="B2485" i="1"/>
  <c r="F2400" i="1"/>
  <c r="D1727" i="1"/>
  <c r="C1672" i="1"/>
  <c r="C1711" i="1"/>
  <c r="F1352" i="1"/>
  <c r="E2636" i="1"/>
  <c r="F1621" i="1"/>
  <c r="D1625" i="1"/>
  <c r="D2428" i="1"/>
  <c r="B2518" i="1"/>
  <c r="E1620" i="1"/>
  <c r="C1380" i="1"/>
  <c r="F1667" i="1"/>
  <c r="C1760" i="1"/>
  <c r="F1611" i="1"/>
  <c r="C2694" i="1"/>
  <c r="B1715" i="1"/>
  <c r="C1605" i="1"/>
  <c r="E1397" i="1"/>
  <c r="D1290" i="1"/>
  <c r="B1251" i="1"/>
  <c r="D1637" i="1"/>
  <c r="E2669" i="1"/>
  <c r="F2425" i="1"/>
  <c r="D2735" i="1"/>
  <c r="D1755" i="1"/>
  <c r="C2149" i="1"/>
  <c r="E1265" i="1"/>
  <c r="B1585" i="1"/>
  <c r="B1635" i="1"/>
  <c r="B1570" i="1"/>
  <c r="C2431" i="1"/>
  <c r="E2376" i="1"/>
  <c r="B1372" i="1"/>
  <c r="C1590" i="1"/>
  <c r="E1325" i="1"/>
  <c r="F1577" i="1"/>
  <c r="D1636" i="1"/>
  <c r="D1708" i="1"/>
  <c r="E1257" i="1"/>
  <c r="C1728" i="1"/>
  <c r="E2197" i="1"/>
  <c r="D1372" i="1"/>
  <c r="B2451" i="1"/>
  <c r="B2715" i="1"/>
  <c r="C1382" i="1"/>
  <c r="E1210" i="1"/>
  <c r="B2674" i="1"/>
  <c r="D1381" i="1"/>
  <c r="C1740" i="1"/>
  <c r="F1632" i="1"/>
  <c r="E1272" i="1"/>
  <c r="E2714" i="1"/>
  <c r="B1392" i="1"/>
  <c r="D2489" i="1"/>
  <c r="D2404" i="1"/>
  <c r="C1762" i="1"/>
  <c r="E1697" i="1"/>
  <c r="C1411" i="1"/>
  <c r="D1342" i="1"/>
  <c r="B1271" i="1"/>
  <c r="F1746" i="1"/>
  <c r="F1585" i="1"/>
  <c r="E2432" i="1"/>
  <c r="B2306" i="1"/>
  <c r="B2291" i="1"/>
  <c r="E2700" i="1"/>
  <c r="F2111" i="1"/>
  <c r="C2176" i="1"/>
  <c r="C2100" i="1"/>
  <c r="C2111" i="1"/>
  <c r="B1247" i="1"/>
  <c r="E2331" i="1"/>
  <c r="F2222" i="1"/>
  <c r="F1818" i="1"/>
  <c r="D1357" i="1"/>
  <c r="D2719" i="1"/>
  <c r="F1385" i="1"/>
  <c r="D2684" i="1"/>
  <c r="F1791" i="1"/>
  <c r="E1707" i="1"/>
  <c r="B1738" i="1"/>
  <c r="B2115" i="1"/>
  <c r="F1812" i="1"/>
  <c r="E1657" i="1"/>
  <c r="F1665" i="1"/>
  <c r="F2669" i="1"/>
  <c r="B2540" i="1"/>
  <c r="F1321" i="1"/>
  <c r="C1577" i="1"/>
  <c r="E1681" i="1"/>
  <c r="B2694" i="1"/>
  <c r="B2649" i="1"/>
  <c r="E1815" i="1"/>
  <c r="E2210" i="1"/>
  <c r="F2746" i="1"/>
  <c r="D2450" i="1"/>
  <c r="D1605" i="1"/>
  <c r="B2572" i="1"/>
  <c r="D2499" i="1"/>
  <c r="D1772" i="1"/>
  <c r="E1783" i="1"/>
  <c r="E1626" i="1"/>
  <c r="C2250" i="1"/>
  <c r="F1810" i="1"/>
  <c r="B1813" i="1"/>
  <c r="E1655" i="1"/>
  <c r="B1621" i="1"/>
  <c r="B1770" i="1"/>
  <c r="E1818" i="1"/>
  <c r="F1295" i="1"/>
  <c r="C2649" i="1"/>
  <c r="B1747" i="1"/>
  <c r="C1290" i="1"/>
  <c r="C1820" i="1"/>
  <c r="D1805" i="1"/>
  <c r="F2131" i="1"/>
  <c r="F1420" i="1"/>
  <c r="F1771" i="1"/>
  <c r="B2710" i="1"/>
  <c r="F2663" i="1"/>
  <c r="C1417" i="1"/>
  <c r="F1225" i="1"/>
  <c r="B1636" i="1"/>
  <c r="D2237" i="1"/>
  <c r="D1672" i="1"/>
  <c r="F2403" i="1"/>
  <c r="E2593" i="1"/>
  <c r="F1725" i="1"/>
  <c r="D1807" i="1"/>
  <c r="C1783" i="1"/>
  <c r="B1290" i="1"/>
  <c r="E2164" i="1"/>
  <c r="E2435" i="1"/>
  <c r="C1405" i="1"/>
  <c r="E2356" i="1"/>
  <c r="F2229" i="1"/>
  <c r="F2207" i="1"/>
  <c r="D1320" i="1"/>
  <c r="E1677" i="1"/>
  <c r="D1690" i="1"/>
  <c r="E2674" i="1"/>
  <c r="B2544" i="1"/>
  <c r="B1411" i="1"/>
  <c r="E2177" i="1"/>
  <c r="E1316" i="1"/>
  <c r="E2703" i="1"/>
  <c r="D2739" i="1"/>
  <c r="B1252" i="1"/>
  <c r="C2729" i="1"/>
  <c r="C1681" i="1"/>
  <c r="F2332" i="1"/>
  <c r="D2576" i="1"/>
  <c r="D2622" i="1"/>
  <c r="D2497" i="1"/>
  <c r="D2561" i="1"/>
  <c r="F2287" i="1"/>
  <c r="E2482" i="1"/>
  <c r="C2463" i="1"/>
  <c r="B2571" i="1"/>
  <c r="B2208" i="1"/>
  <c r="C1607" i="1"/>
  <c r="C2612" i="1"/>
  <c r="C1252" i="1"/>
  <c r="C2523" i="1"/>
  <c r="C1748" i="1"/>
  <c r="E1723" i="1"/>
  <c r="D1370" i="1"/>
  <c r="E2285" i="1"/>
  <c r="E1820" i="1"/>
  <c r="E1200" i="1"/>
  <c r="E2314" i="1"/>
  <c r="D1680" i="1"/>
  <c r="E1377" i="1"/>
  <c r="F1290" i="1"/>
  <c r="E2082" i="1"/>
  <c r="D1355" i="1"/>
  <c r="F1732" i="1"/>
  <c r="D1570" i="1"/>
  <c r="E2461" i="1"/>
  <c r="F1407" i="1"/>
  <c r="C2683" i="1"/>
  <c r="F1670" i="1"/>
  <c r="B2568" i="1"/>
  <c r="E1700" i="1"/>
  <c r="F1723" i="1"/>
  <c r="C1710" i="1"/>
  <c r="C2705" i="1"/>
  <c r="D2621" i="1"/>
  <c r="E1295" i="1"/>
  <c r="D2600" i="1"/>
  <c r="F2483" i="1"/>
  <c r="C2489" i="1"/>
  <c r="D1410" i="1"/>
  <c r="C1341" i="1"/>
  <c r="D1661" i="1"/>
  <c r="C2157" i="1"/>
  <c r="C1620" i="1"/>
  <c r="D2320" i="1"/>
  <c r="E2513" i="1"/>
  <c r="F1790" i="1"/>
  <c r="B1572" i="1"/>
  <c r="B1616" i="1"/>
  <c r="E1342" i="1"/>
  <c r="B1310" i="1"/>
  <c r="E2347" i="1"/>
  <c r="D2714" i="1"/>
  <c r="B1700" i="1"/>
  <c r="F1758" i="1"/>
  <c r="C2040" i="1"/>
  <c r="D1790" i="1"/>
  <c r="F1650" i="1"/>
  <c r="C1376" i="1"/>
  <c r="B2543" i="1"/>
  <c r="E2468" i="1"/>
  <c r="B1687" i="1"/>
  <c r="B1600" i="1"/>
  <c r="E2161" i="1"/>
  <c r="C1617" i="1"/>
  <c r="B2730" i="1"/>
  <c r="B1345" i="1"/>
  <c r="D2438" i="1"/>
  <c r="E2712" i="1"/>
  <c r="E2290" i="1"/>
  <c r="F1232" i="1"/>
  <c r="D1215" i="1"/>
  <c r="D2319" i="1"/>
  <c r="D1705" i="1"/>
  <c r="D1392" i="1"/>
  <c r="B1332" i="1"/>
  <c r="E2085" i="1"/>
  <c r="C1370" i="1"/>
  <c r="E1747" i="1"/>
  <c r="E1590" i="1"/>
  <c r="C2677" i="1"/>
  <c r="E1232" i="1"/>
  <c r="C2477" i="1"/>
  <c r="B1798" i="1"/>
  <c r="D2151" i="1"/>
  <c r="F2568" i="1"/>
  <c r="F2267" i="1"/>
  <c r="C2086" i="1"/>
  <c r="C2595" i="1"/>
  <c r="C2145" i="1"/>
  <c r="E2021" i="1"/>
  <c r="F1286" i="1"/>
  <c r="C1232" i="1"/>
  <c r="C1726" i="1"/>
  <c r="B2368" i="1"/>
  <c r="F1808" i="1"/>
  <c r="C2287" i="1"/>
  <c r="E1380" i="1"/>
  <c r="D2246" i="1"/>
  <c r="C1365" i="1"/>
  <c r="D1787" i="1"/>
  <c r="F1426" i="1"/>
  <c r="D1666" i="1"/>
  <c r="B1647" i="1"/>
  <c r="C1701" i="1"/>
  <c r="F2187" i="1"/>
  <c r="B1282" i="1"/>
  <c r="D1316" i="1"/>
  <c r="B2683" i="1"/>
  <c r="D1352" i="1"/>
  <c r="F1748" i="1"/>
  <c r="B1641" i="1"/>
  <c r="E2466" i="1"/>
  <c r="D1700" i="1"/>
  <c r="F1582" i="1"/>
  <c r="B1256" i="1"/>
  <c r="C1680" i="1"/>
  <c r="C1210" i="1"/>
  <c r="D2573" i="1"/>
  <c r="E2476" i="1"/>
  <c r="D2488" i="1"/>
  <c r="C1215" i="1"/>
  <c r="B1595" i="1"/>
  <c r="D1642" i="1"/>
  <c r="B2255" i="1"/>
  <c r="D1793" i="1"/>
  <c r="C1585" i="1"/>
  <c r="B1412" i="1"/>
  <c r="C2387" i="1"/>
  <c r="E1600" i="1"/>
  <c r="E1317" i="1"/>
  <c r="C1732" i="1"/>
  <c r="B2357" i="1"/>
  <c r="B1610" i="1"/>
  <c r="E1321" i="1"/>
  <c r="F1712" i="1"/>
  <c r="D1577" i="1"/>
  <c r="E1746" i="1"/>
  <c r="F1275" i="1"/>
  <c r="C1320" i="1"/>
  <c r="B1617" i="1"/>
  <c r="E2677" i="1"/>
  <c r="B2422" i="1"/>
  <c r="D2610" i="1"/>
  <c r="C1775" i="1"/>
  <c r="D1571" i="1"/>
  <c r="B1250" i="1"/>
  <c r="D1350" i="1"/>
  <c r="F1595" i="1"/>
  <c r="E2614" i="1"/>
  <c r="E1811" i="1"/>
  <c r="E2372" i="1"/>
  <c r="E1347" i="1"/>
  <c r="D1575" i="1"/>
  <c r="F1255" i="1"/>
  <c r="D1437" i="1"/>
  <c r="B1626" i="1"/>
  <c r="F1721" i="1"/>
  <c r="B1232" i="1"/>
  <c r="B1713" i="1"/>
  <c r="D2193" i="1"/>
  <c r="D1307" i="1"/>
  <c r="F1316" i="1"/>
  <c r="C2631" i="1"/>
  <c r="C1367" i="1"/>
  <c r="C1195" i="1"/>
  <c r="C2220" i="1"/>
  <c r="C1733" i="1"/>
  <c r="B2324" i="1"/>
  <c r="D2697" i="1"/>
  <c r="D2022" i="1"/>
  <c r="E2683" i="1"/>
  <c r="E2568" i="1"/>
  <c r="C2027" i="1"/>
  <c r="F2688" i="1"/>
  <c r="C2628" i="1"/>
  <c r="C2224" i="1"/>
  <c r="D1317" i="1"/>
  <c r="E2627" i="1"/>
  <c r="D1390" i="1"/>
  <c r="D2541" i="1"/>
  <c r="D1230" i="1"/>
  <c r="D2660" i="1"/>
  <c r="E2048" i="1"/>
  <c r="E2303" i="1"/>
  <c r="E1332" i="1"/>
  <c r="B1200" i="1"/>
  <c r="E1621" i="1"/>
  <c r="D2229" i="1"/>
  <c r="F1617" i="1"/>
  <c r="C2394" i="1"/>
  <c r="F2320" i="1"/>
  <c r="D1670" i="1"/>
  <c r="D1782" i="1"/>
  <c r="C1718" i="1"/>
  <c r="B1652" i="1"/>
  <c r="D2543" i="1"/>
  <c r="F2638" i="1"/>
  <c r="F1310" i="1"/>
  <c r="F2348" i="1"/>
  <c r="F2421" i="1"/>
  <c r="D1220" i="1"/>
  <c r="F1805" i="1"/>
  <c r="B1737" i="1"/>
  <c r="C1787" i="1"/>
  <c r="E2704" i="1"/>
  <c r="F2661" i="1"/>
  <c r="B1255" i="1"/>
  <c r="F1317" i="1"/>
  <c r="B1410" i="1"/>
  <c r="D1691" i="1"/>
  <c r="F1776" i="1"/>
  <c r="E1595" i="1"/>
  <c r="C2562" i="1"/>
  <c r="F2337" i="1"/>
  <c r="B2529" i="1"/>
  <c r="C1652" i="1"/>
  <c r="B2064" i="1"/>
  <c r="C1798" i="1"/>
  <c r="F1587" i="1"/>
  <c r="B1755" i="1"/>
  <c r="B1260" i="1"/>
  <c r="E2338" i="1"/>
  <c r="C1795" i="1"/>
  <c r="D1798" i="1"/>
  <c r="B1630" i="1"/>
  <c r="F1305" i="1"/>
  <c r="C1745" i="1"/>
  <c r="B1708" i="1"/>
  <c r="F2682" i="1"/>
  <c r="D2669" i="1"/>
  <c r="C1737" i="1"/>
  <c r="E1240" i="1"/>
  <c r="B1805" i="1"/>
  <c r="B2360" i="1"/>
  <c r="B2621" i="1"/>
  <c r="F1405" i="1"/>
  <c r="B1631" i="1"/>
  <c r="E2698" i="1"/>
  <c r="D2636" i="1"/>
  <c r="E1402" i="1"/>
  <c r="E1215" i="1"/>
  <c r="E1776" i="1"/>
  <c r="F2233" i="1"/>
  <c r="F1652" i="1"/>
  <c r="B2398" i="1"/>
  <c r="E2324" i="1"/>
  <c r="E1685" i="1"/>
  <c r="E1797" i="1"/>
  <c r="D1733" i="1"/>
  <c r="E1275" i="1"/>
  <c r="E2681" i="1"/>
  <c r="E1777" i="1"/>
  <c r="E2036" i="1"/>
  <c r="B2411" i="1"/>
  <c r="D2629" i="1"/>
  <c r="D1242" i="1"/>
  <c r="C2241" i="1"/>
  <c r="F2477" i="1"/>
  <c r="D2581" i="1"/>
  <c r="B2246" i="1"/>
  <c r="F2027" i="1"/>
  <c r="D1400" i="1"/>
  <c r="B1807" i="1"/>
  <c r="B2384" i="1"/>
  <c r="E1570" i="1"/>
  <c r="E1733" i="1"/>
  <c r="F1647" i="1"/>
  <c r="F1571" i="1"/>
  <c r="C2451" i="1"/>
  <c r="D2370" i="1"/>
  <c r="F1375" i="1"/>
  <c r="B1665" i="1"/>
  <c r="C1791" i="1"/>
  <c r="E1362" i="1"/>
  <c r="C1415" i="1"/>
  <c r="E1252" i="1"/>
  <c r="F1260" i="1"/>
  <c r="E1722" i="1"/>
  <c r="C1812" i="1"/>
  <c r="C2052" i="1"/>
  <c r="D2674" i="1"/>
  <c r="E2587" i="1"/>
  <c r="F1240" i="1"/>
  <c r="B2241" i="1"/>
  <c r="E2407" i="1"/>
  <c r="B1670" i="1"/>
  <c r="E1798" i="1"/>
  <c r="F2465" i="1"/>
  <c r="D1425" i="1"/>
  <c r="C2233" i="1"/>
  <c r="D1335" i="1"/>
  <c r="E1220" i="1"/>
  <c r="F2705" i="1"/>
  <c r="C1626" i="1"/>
  <c r="B2719" i="1"/>
  <c r="B1400" i="1"/>
  <c r="D1627" i="1"/>
  <c r="E1440" i="1"/>
  <c r="D1757" i="1"/>
  <c r="C1612" i="1"/>
  <c r="D1660" i="1"/>
  <c r="E2306" i="1"/>
  <c r="D1597" i="1"/>
  <c r="C1305" i="1"/>
  <c r="D1722" i="1"/>
  <c r="B1672" i="1"/>
  <c r="F1257" i="1"/>
  <c r="D2167" i="1"/>
  <c r="E2656" i="1"/>
  <c r="C2392" i="1"/>
  <c r="F2531" i="1"/>
  <c r="D2463" i="1"/>
  <c r="B2048" i="1"/>
  <c r="B2574" i="1"/>
  <c r="C2615" i="1"/>
  <c r="D2375" i="1"/>
  <c r="D2640" i="1"/>
  <c r="D2223" i="1"/>
  <c r="B1327" i="1"/>
  <c r="E2061" i="1"/>
  <c r="F1342" i="1"/>
  <c r="D1365" i="1"/>
  <c r="D2638" i="1"/>
  <c r="F2715" i="1"/>
  <c r="C2514" i="1"/>
  <c r="C2030" i="1"/>
  <c r="E2695" i="1"/>
  <c r="C2739" i="1"/>
  <c r="B1808" i="1"/>
  <c r="E2251" i="1"/>
  <c r="F2742" i="1"/>
  <c r="E2289" i="1"/>
  <c r="B2286" i="1"/>
  <c r="E2405" i="1"/>
  <c r="F2155" i="1"/>
  <c r="C1667" i="1"/>
  <c r="B2185" i="1"/>
  <c r="E2143" i="1"/>
  <c r="E2721" i="1"/>
  <c r="D2643" i="1"/>
  <c r="E2111" i="1"/>
  <c r="E2112" i="1"/>
  <c r="E2521" i="1"/>
  <c r="E1787" i="1"/>
  <c r="B2643" i="1"/>
  <c r="C2411" i="1"/>
  <c r="F2662" i="1"/>
  <c r="E2374" i="1"/>
  <c r="F1640" i="1"/>
  <c r="B1407" i="1"/>
  <c r="D2173" i="1"/>
  <c r="C2268" i="1"/>
  <c r="E2606" i="1"/>
  <c r="E1581" i="1"/>
  <c r="F2658" i="1"/>
  <c r="C2598" i="1"/>
  <c r="F1772" i="1"/>
  <c r="F1751" i="1"/>
  <c r="F2660" i="1"/>
  <c r="B1793" i="1"/>
  <c r="F1681" i="1"/>
  <c r="D1592" i="1"/>
  <c r="B2721" i="1"/>
  <c r="B1756" i="1"/>
  <c r="B2433" i="1"/>
  <c r="F2547" i="1"/>
  <c r="C1587" i="1"/>
  <c r="D2259" i="1"/>
  <c r="C1715" i="1"/>
  <c r="E2044" i="1"/>
  <c r="E1690" i="1"/>
  <c r="E1702" i="1"/>
  <c r="B1697" i="1"/>
  <c r="E1340" i="1"/>
  <c r="C2707" i="1"/>
  <c r="B2443" i="1"/>
  <c r="E2295" i="1"/>
  <c r="E1810" i="1"/>
  <c r="F1392" i="1"/>
  <c r="E1407" i="1"/>
  <c r="C2383" i="1"/>
  <c r="B2314" i="1"/>
  <c r="E1667" i="1"/>
  <c r="C2452" i="1"/>
  <c r="C2424" i="1"/>
  <c r="B2689" i="1"/>
  <c r="B1691" i="1"/>
  <c r="F2029" i="1"/>
  <c r="E2528" i="1"/>
  <c r="E1300" i="1"/>
  <c r="B1580" i="1"/>
  <c r="B1205" i="1"/>
  <c r="D1630" i="1"/>
  <c r="D1405" i="1"/>
  <c r="E2687" i="1"/>
  <c r="B2412" i="1"/>
  <c r="B2600" i="1"/>
  <c r="E2738" i="1"/>
  <c r="E2315" i="1"/>
  <c r="F2549" i="1"/>
  <c r="E2365" i="1"/>
  <c r="B2068" i="1"/>
  <c r="F2290" i="1"/>
  <c r="E2326" i="1"/>
  <c r="D2665" i="1"/>
  <c r="C2592" i="1"/>
  <c r="F1756" i="1"/>
  <c r="E2481" i="1"/>
  <c r="E2430" i="1"/>
  <c r="F2347" i="1"/>
  <c r="D2705" i="1"/>
  <c r="F1347" i="1"/>
  <c r="B2633" i="1"/>
  <c r="E2398" i="1"/>
  <c r="C2336" i="1"/>
  <c r="C2557" i="1"/>
  <c r="C2128" i="1"/>
  <c r="B1740" i="1"/>
  <c r="E1721" i="1"/>
  <c r="B2686" i="1"/>
  <c r="F2695" i="1"/>
  <c r="B2137" i="1"/>
  <c r="C2540" i="1"/>
  <c r="E1302" i="1"/>
  <c r="F2634" i="1"/>
  <c r="F1655" i="1"/>
  <c r="D2615" i="1"/>
  <c r="E2286" i="1"/>
  <c r="D2206" i="1"/>
  <c r="D1611" i="1"/>
  <c r="B2322" i="1"/>
  <c r="C2714" i="1"/>
  <c r="E2448" i="1"/>
  <c r="B1440" i="1"/>
  <c r="F2532" i="1"/>
  <c r="B2216" i="1"/>
  <c r="F2614" i="1"/>
  <c r="F2445" i="1"/>
  <c r="C2077" i="1"/>
  <c r="B1792" i="1"/>
  <c r="D1802" i="1"/>
  <c r="C1675" i="1"/>
  <c r="E1320" i="1"/>
  <c r="C1597" i="1"/>
  <c r="E1185" i="1"/>
  <c r="C1355" i="1"/>
  <c r="F2551" i="1"/>
  <c r="D1682" i="1"/>
  <c r="D1827" i="1"/>
  <c r="C2668" i="1"/>
  <c r="D1753" i="1"/>
  <c r="D1640" i="1"/>
  <c r="C2377" i="1"/>
  <c r="D1763" i="1"/>
  <c r="B2482" i="1"/>
  <c r="D1667" i="1"/>
  <c r="E2450" i="1"/>
  <c r="D1415" i="1"/>
  <c r="E1277" i="1"/>
  <c r="E1757" i="1"/>
  <c r="F1252" i="1"/>
  <c r="E2512" i="1"/>
  <c r="F1797" i="1"/>
  <c r="D2548" i="1"/>
  <c r="D2516" i="1"/>
  <c r="E2556" i="1"/>
  <c r="F1690" i="1"/>
  <c r="E2157" i="1"/>
  <c r="D2646" i="1"/>
  <c r="E1256" i="1"/>
  <c r="B2458" i="1"/>
  <c r="F1215" i="1"/>
  <c r="C2035" i="1"/>
  <c r="D1610" i="1"/>
  <c r="E2477" i="1"/>
  <c r="B1640" i="1"/>
  <c r="E1365" i="1"/>
  <c r="D1665" i="1"/>
  <c r="B2178" i="1"/>
  <c r="B2413" i="1"/>
  <c r="C2384" i="1"/>
  <c r="D2066" i="1"/>
  <c r="B1220" i="1"/>
  <c r="F2325" i="1"/>
  <c r="D1676" i="1"/>
  <c r="C1402" i="1"/>
  <c r="B2615" i="1"/>
  <c r="E2580" i="1"/>
  <c r="D2342" i="1"/>
  <c r="E2710" i="1"/>
  <c r="F2277" i="1"/>
  <c r="C2032" i="1"/>
  <c r="D2588" i="1"/>
  <c r="B2617" i="1"/>
  <c r="D2278" i="1"/>
  <c r="E1691" i="1"/>
  <c r="D1681" i="1"/>
  <c r="E2230" i="1"/>
  <c r="D2104" i="1"/>
  <c r="C2664" i="1"/>
  <c r="E2222" i="1"/>
  <c r="B2329" i="1"/>
  <c r="C2640" i="1"/>
  <c r="D2589" i="1"/>
  <c r="E1711" i="1"/>
  <c r="F2554" i="1"/>
  <c r="E2632" i="1"/>
  <c r="B2154" i="1"/>
  <c r="B1356" i="1"/>
  <c r="D2388" i="1"/>
  <c r="E2427" i="1"/>
  <c r="C1640" i="1"/>
  <c r="C2216" i="1"/>
  <c r="E2301" i="1"/>
  <c r="D1780" i="1"/>
  <c r="E2465" i="1"/>
  <c r="F2315" i="1"/>
  <c r="C2153" i="1"/>
  <c r="D1232" i="1"/>
  <c r="F1195" i="1"/>
  <c r="C1713" i="1"/>
  <c r="E2379" i="1"/>
  <c r="E2503" i="1"/>
  <c r="F2687" i="1"/>
  <c r="C1707" i="1"/>
  <c r="D1685" i="1"/>
  <c r="F1713" i="1"/>
  <c r="C2503" i="1"/>
  <c r="C1747" i="1"/>
  <c r="D1776" i="1"/>
  <c r="B2558" i="1"/>
  <c r="F1811" i="1"/>
  <c r="B1717" i="1"/>
  <c r="F1440" i="1"/>
  <c r="C2591" i="1"/>
  <c r="C2620" i="1"/>
  <c r="C2349" i="1"/>
  <c r="D2418" i="1"/>
  <c r="B1677" i="1"/>
  <c r="F2170" i="1"/>
  <c r="D1247" i="1"/>
  <c r="E2620" i="1"/>
  <c r="E1730" i="1"/>
  <c r="D1260" i="1"/>
  <c r="E1597" i="1"/>
  <c r="B1733" i="1"/>
  <c r="E1260" i="1"/>
  <c r="B2267" i="1"/>
  <c r="C1720" i="1"/>
  <c r="C1635" i="1"/>
  <c r="E2667" i="1"/>
  <c r="F1302" i="1"/>
  <c r="F1682" i="1"/>
  <c r="D1817" i="1"/>
  <c r="D1185" i="1"/>
  <c r="C1315" i="1"/>
  <c r="C1788" i="1"/>
  <c r="C2473" i="1"/>
  <c r="B1627" i="1"/>
  <c r="D2473" i="1"/>
  <c r="D2328" i="1"/>
  <c r="B1347" i="1"/>
  <c r="D1715" i="1"/>
  <c r="E2583" i="1"/>
  <c r="D2479" i="1"/>
  <c r="D2094" i="1"/>
  <c r="C2572" i="1"/>
  <c r="F2468" i="1"/>
  <c r="E2584" i="1"/>
  <c r="B2369" i="1"/>
  <c r="D1803" i="1"/>
  <c r="F2725" i="1"/>
  <c r="E1741" i="1"/>
  <c r="C1677" i="1"/>
  <c r="B2093" i="1"/>
  <c r="C2407" i="1"/>
  <c r="B2557" i="1"/>
  <c r="E2110" i="1"/>
  <c r="E2105" i="1"/>
  <c r="F2540" i="1"/>
  <c r="F2473" i="1"/>
  <c r="E2240" i="1"/>
  <c r="D2474" i="1"/>
  <c r="C1741" i="1"/>
  <c r="F2366" i="1"/>
  <c r="C2455" i="1"/>
  <c r="D2402" i="1"/>
  <c r="C2305" i="1"/>
  <c r="B1417" i="1"/>
  <c r="D2314" i="1"/>
  <c r="B2654" i="1"/>
  <c r="E2364" i="1"/>
  <c r="C2610" i="1"/>
  <c r="E2229" i="1"/>
  <c r="F2583" i="1"/>
  <c r="F2128" i="1"/>
  <c r="B1357" i="1"/>
  <c r="B2446" i="1"/>
  <c r="B2305" i="1"/>
  <c r="E2114" i="1"/>
  <c r="F1760" i="1"/>
  <c r="C2494" i="1"/>
  <c r="F2734" i="1"/>
  <c r="D2623" i="1"/>
  <c r="C1813" i="1"/>
  <c r="F2458" i="1"/>
  <c r="D2544" i="1"/>
  <c r="E2123" i="1"/>
  <c r="F2073" i="1"/>
  <c r="D1321" i="1"/>
  <c r="D1621" i="1"/>
  <c r="E2487" i="1"/>
  <c r="D2647" i="1"/>
  <c r="C1773" i="1"/>
  <c r="D1737" i="1"/>
  <c r="F1570" i="1"/>
  <c r="B2460" i="1"/>
  <c r="B1777" i="1"/>
  <c r="F1592" i="1"/>
  <c r="F1315" i="1"/>
  <c r="E1312" i="1"/>
  <c r="B1780" i="1"/>
  <c r="D2403" i="1"/>
  <c r="F1277" i="1"/>
  <c r="F2164" i="1"/>
  <c r="F1432" i="1"/>
  <c r="B2653" i="1"/>
  <c r="D1813" i="1"/>
  <c r="B1422" i="1"/>
  <c r="E1270" i="1"/>
  <c r="F1297" i="1"/>
  <c r="B1245" i="1"/>
  <c r="E2480" i="1"/>
  <c r="F1701" i="1"/>
  <c r="E2181" i="1"/>
  <c r="D2389" i="1"/>
  <c r="D2525" i="1"/>
  <c r="B2445" i="1"/>
  <c r="E1732" i="1"/>
  <c r="D1778" i="1"/>
  <c r="E1410" i="1"/>
  <c r="F2592" i="1"/>
  <c r="D2687" i="1"/>
  <c r="D1635" i="1"/>
  <c r="C2310" i="1"/>
  <c r="F1376" i="1"/>
  <c r="D1735" i="1"/>
  <c r="B1818" i="1"/>
  <c r="B2658" i="1"/>
  <c r="B1297" i="1"/>
  <c r="E2541" i="1"/>
  <c r="E2558" i="1"/>
  <c r="D2152" i="1"/>
  <c r="C1655" i="1"/>
  <c r="F1356" i="1"/>
  <c r="F1710" i="1"/>
  <c r="F2061" i="1"/>
  <c r="C2441" i="1"/>
  <c r="F2076" i="1"/>
  <c r="D2433" i="1"/>
  <c r="C1316" i="1"/>
  <c r="C1280" i="1"/>
  <c r="B2275" i="1"/>
  <c r="F2645" i="1"/>
  <c r="C1738" i="1"/>
  <c r="D2170" i="1"/>
  <c r="C2236" i="1"/>
  <c r="E2370" i="1"/>
  <c r="F2372" i="1"/>
  <c r="B2497" i="1"/>
  <c r="F1591" i="1"/>
  <c r="C2419" i="1"/>
  <c r="B1766" i="1"/>
  <c r="D2587" i="1"/>
  <c r="B2104" i="1"/>
  <c r="E1675" i="1"/>
  <c r="C2530" i="1"/>
  <c r="B1367" i="1"/>
  <c r="C2221" i="1"/>
  <c r="B2566" i="1"/>
  <c r="E2742" i="1"/>
  <c r="B2394" i="1"/>
  <c r="E2441" i="1"/>
  <c r="E2561" i="1"/>
  <c r="D2247" i="1"/>
  <c r="B2315" i="1"/>
  <c r="C2660" i="1"/>
  <c r="B2134" i="1"/>
  <c r="E1640" i="1"/>
  <c r="B2352" i="1"/>
  <c r="C2736" i="1"/>
  <c r="C2678" i="1"/>
  <c r="C2311" i="1"/>
  <c r="E2592" i="1"/>
  <c r="C1422" i="1"/>
  <c r="F1430" i="1"/>
  <c r="F1435" i="1"/>
  <c r="F1185" i="1"/>
  <c r="B1586" i="1"/>
  <c r="D2205" i="1"/>
  <c r="B1321" i="1"/>
  <c r="D1657" i="1"/>
  <c r="C2685" i="1"/>
  <c r="D1795" i="1"/>
  <c r="E1738" i="1"/>
  <c r="D1270" i="1"/>
  <c r="B1811" i="1"/>
  <c r="F1265" i="1"/>
  <c r="C1627" i="1"/>
  <c r="D2663" i="1"/>
  <c r="B2520" i="1"/>
  <c r="E2394" i="1"/>
  <c r="F1782" i="1"/>
  <c r="F2077" i="1"/>
  <c r="E1812" i="1"/>
  <c r="E1282" i="1"/>
  <c r="D1711" i="1"/>
  <c r="F2690" i="1"/>
  <c r="E2213" i="1"/>
  <c r="D2385" i="1"/>
  <c r="E2736" i="1"/>
  <c r="E1728" i="1"/>
  <c r="E2144" i="1"/>
  <c r="E1571" i="1"/>
  <c r="F1660" i="1"/>
  <c r="B1680" i="1"/>
  <c r="F1412" i="1"/>
  <c r="C1571" i="1"/>
  <c r="E1417" i="1"/>
  <c r="E2547" i="1"/>
  <c r="F1807" i="1"/>
  <c r="E1290" i="1"/>
  <c r="D1791" i="1"/>
  <c r="D2619" i="1"/>
  <c r="D1277" i="1"/>
  <c r="B1632" i="1"/>
  <c r="B2418" i="1"/>
  <c r="C2231" i="1"/>
  <c r="B2264" i="1"/>
  <c r="B2290" i="1"/>
  <c r="C1750" i="1"/>
  <c r="C2517" i="1"/>
  <c r="F2139" i="1"/>
  <c r="E2345" i="1"/>
  <c r="C2091" i="1"/>
  <c r="F2282" i="1"/>
  <c r="D2523" i="1"/>
  <c r="D2034" i="1"/>
  <c r="E2237" i="1"/>
  <c r="D1426" i="1"/>
  <c r="C1300" i="1"/>
  <c r="C1366" i="1"/>
  <c r="B2542" i="1"/>
  <c r="E2108" i="1"/>
  <c r="E2333" i="1"/>
  <c r="D2327" i="1"/>
  <c r="C2117" i="1"/>
  <c r="F1622" i="1"/>
  <c r="C2273" i="1"/>
  <c r="E2276" i="1"/>
  <c r="C1332" i="1"/>
  <c r="F2676" i="1"/>
  <c r="B2282" i="1"/>
  <c r="B1671" i="1"/>
  <c r="C2339" i="1"/>
  <c r="D1692" i="1"/>
  <c r="B1340" i="1"/>
  <c r="C2704" i="1"/>
  <c r="F2502" i="1"/>
  <c r="F2491" i="1"/>
  <c r="E2027" i="1"/>
  <c r="B2743" i="1"/>
  <c r="E2337" i="1"/>
  <c r="B1797" i="1"/>
  <c r="F1365" i="1"/>
  <c r="C1270" i="1"/>
  <c r="E2724" i="1"/>
  <c r="C2158" i="1"/>
  <c r="F1630" i="1"/>
  <c r="E1371" i="1"/>
  <c r="E2672" i="1"/>
  <c r="D2592" i="1"/>
  <c r="D1250" i="1"/>
  <c r="C1356" i="1"/>
  <c r="E2412" i="1"/>
  <c r="D1725" i="1"/>
  <c r="C1185" i="1"/>
  <c r="B2470" i="1"/>
  <c r="F1625" i="1"/>
  <c r="E1617" i="1"/>
  <c r="D1272" i="1"/>
  <c r="F2501" i="1"/>
  <c r="F2729" i="1"/>
  <c r="D2265" i="1"/>
  <c r="F2294" i="1"/>
  <c r="E1807" i="1"/>
  <c r="E2088" i="1"/>
  <c r="B1817" i="1"/>
  <c r="B2611" i="1"/>
  <c r="D1292" i="1"/>
  <c r="D1622" i="1"/>
  <c r="C1205" i="1"/>
  <c r="C1632" i="1"/>
  <c r="D1777" i="1"/>
  <c r="E1692" i="1"/>
  <c r="B2640" i="1"/>
  <c r="B1767" i="1"/>
  <c r="D2743" i="1"/>
  <c r="E1572" i="1"/>
  <c r="F1237" i="1"/>
  <c r="F1738" i="1"/>
  <c r="E1230" i="1"/>
  <c r="B2478" i="1"/>
  <c r="D2605" i="1"/>
  <c r="B2538" i="1"/>
  <c r="C1310" i="1"/>
  <c r="D1380" i="1"/>
  <c r="E1420" i="1"/>
  <c r="B2184" i="1"/>
  <c r="B1625" i="1"/>
  <c r="C2504" i="1"/>
  <c r="B2619" i="1"/>
  <c r="B2145" i="1"/>
  <c r="B2595" i="1"/>
  <c r="B2086" i="1"/>
  <c r="D1210" i="1"/>
  <c r="C2697" i="1"/>
  <c r="E2602" i="1"/>
  <c r="C2385" i="1"/>
  <c r="B2427" i="1"/>
  <c r="D1581" i="1"/>
  <c r="C2201" i="1"/>
  <c r="C2745" i="1"/>
  <c r="C2368" i="1"/>
  <c r="E2494" i="1"/>
  <c r="F2631" i="1"/>
  <c r="B2227" i="1"/>
  <c r="D2255" i="1"/>
  <c r="B2556" i="1"/>
  <c r="C2029" i="1"/>
  <c r="F2476" i="1"/>
  <c r="B2457" i="1"/>
  <c r="D2220" i="1"/>
  <c r="E1758" i="1"/>
  <c r="B1702" i="1"/>
  <c r="C1708" i="1"/>
  <c r="F2370" i="1"/>
  <c r="F1271" i="1"/>
  <c r="C2303" i="1"/>
  <c r="F2457" i="1"/>
  <c r="B2057" i="1"/>
  <c r="D2275" i="1"/>
  <c r="D2584" i="1"/>
  <c r="E2574" i="1"/>
  <c r="C1297" i="1"/>
  <c r="F2507" i="1"/>
  <c r="D2148" i="1"/>
  <c r="E2625" i="1"/>
  <c r="E2559" i="1"/>
  <c r="C1337" i="1"/>
  <c r="B2459" i="1"/>
  <c r="B2116" i="1"/>
  <c r="B2634" i="1"/>
  <c r="B2601" i="1"/>
  <c r="D1412" i="1"/>
  <c r="F1642" i="1"/>
  <c r="F2263" i="1"/>
  <c r="F1740" i="1"/>
  <c r="C2161" i="1"/>
  <c r="C1705" i="1"/>
  <c r="D2726" i="1"/>
  <c r="B1712" i="1"/>
  <c r="F1350" i="1"/>
  <c r="B2648" i="1"/>
  <c r="C1307" i="1"/>
  <c r="E2382" i="1"/>
  <c r="C1440" i="1"/>
  <c r="B1720" i="1"/>
  <c r="D2478" i="1"/>
  <c r="F1707" i="1"/>
  <c r="C1371" i="1"/>
  <c r="E2744" i="1"/>
  <c r="E1585" i="1"/>
  <c r="B2295" i="1"/>
  <c r="B1365" i="1"/>
  <c r="C2264" i="1"/>
  <c r="F2612" i="1"/>
  <c r="E1262" i="1"/>
  <c r="D2731" i="1"/>
  <c r="E1825" i="1"/>
  <c r="E1385" i="1"/>
  <c r="E1310" i="1"/>
  <c r="D1367" i="1"/>
  <c r="B1711" i="1"/>
  <c r="F1285" i="1"/>
  <c r="B1330" i="1"/>
  <c r="B1763" i="1"/>
  <c r="D2161" i="1"/>
  <c r="C1666" i="1"/>
  <c r="F2228" i="1"/>
  <c r="B2448" i="1"/>
  <c r="D1617" i="1"/>
  <c r="B2192" i="1"/>
  <c r="B1825" i="1"/>
  <c r="F2526" i="1"/>
  <c r="E1352" i="1"/>
  <c r="E2670" i="1"/>
  <c r="D2606" i="1"/>
  <c r="C2648" i="1"/>
  <c r="D2244" i="1"/>
  <c r="B1753" i="1"/>
  <c r="E1670" i="1"/>
  <c r="F2636" i="1"/>
  <c r="D2186" i="1"/>
  <c r="F1680" i="1"/>
  <c r="D2510" i="1"/>
  <c r="B1577" i="1"/>
  <c r="B2189" i="1"/>
  <c r="D2518" i="1"/>
  <c r="C2187" i="1"/>
  <c r="C1811" i="1"/>
  <c r="E2396" i="1"/>
  <c r="F1330" i="1"/>
  <c r="E2260" i="1"/>
  <c r="E1750" i="1"/>
  <c r="F2585" i="1"/>
  <c r="B2181" i="1"/>
  <c r="D2023" i="1"/>
  <c r="E2242" i="1"/>
  <c r="C2080" i="1"/>
  <c r="F1635" i="1"/>
  <c r="E2064" i="1"/>
  <c r="D2462" i="1"/>
  <c r="B2095" i="1"/>
  <c r="C2338" i="1"/>
  <c r="F2587" i="1"/>
  <c r="B2069" i="1"/>
  <c r="D2475" i="1"/>
  <c r="B2128" i="1"/>
  <c r="F2333" i="1"/>
  <c r="B1415" i="1"/>
  <c r="C1256" i="1"/>
  <c r="F2689" i="1"/>
  <c r="E2661" i="1"/>
  <c r="B1587" i="1"/>
  <c r="F2144" i="1"/>
  <c r="F2303" i="1"/>
  <c r="D2139" i="1"/>
  <c r="E2676" i="1"/>
  <c r="D1205" i="1"/>
  <c r="D1720" i="1"/>
  <c r="E2383" i="1"/>
  <c r="C1778" i="1"/>
  <c r="F2648" i="1"/>
  <c r="D1702" i="1"/>
  <c r="C1695" i="1"/>
  <c r="E1430" i="1"/>
  <c r="B1292" i="1"/>
  <c r="E1782" i="1"/>
  <c r="D1267" i="1"/>
  <c r="B2610" i="1"/>
  <c r="E1652" i="1"/>
  <c r="E1803" i="1"/>
  <c r="B1602" i="1"/>
  <c r="E2719" i="1"/>
  <c r="E1271" i="1"/>
  <c r="D1256" i="1"/>
  <c r="C2676" i="1"/>
  <c r="F2432" i="1"/>
  <c r="D2445" i="1"/>
  <c r="F1311" i="1"/>
  <c r="C1807" i="1"/>
  <c r="B1286" i="1"/>
  <c r="B1666" i="1"/>
  <c r="C1735" i="1"/>
  <c r="B1341" i="1"/>
  <c r="C1267" i="1"/>
  <c r="B2074" i="1"/>
  <c r="C1427" i="1"/>
  <c r="D1818" i="1"/>
  <c r="D2508" i="1"/>
  <c r="C1637" i="1"/>
  <c r="D1440" i="1"/>
  <c r="D1761" i="1"/>
  <c r="E1331" i="1"/>
  <c r="F1672" i="1"/>
  <c r="F1380" i="1"/>
  <c r="F2680" i="1"/>
  <c r="D2036" i="1"/>
  <c r="E1813" i="1"/>
  <c r="C2096" i="1"/>
  <c r="D2253" i="1"/>
  <c r="E2291" i="1"/>
  <c r="F2083" i="1"/>
  <c r="D2417" i="1"/>
  <c r="F1775" i="1"/>
  <c r="E2509" i="1"/>
  <c r="B2174" i="1"/>
  <c r="F2530" i="1"/>
  <c r="E2607" i="1"/>
  <c r="E2327" i="1"/>
  <c r="B2666" i="1"/>
  <c r="B1272" i="1"/>
  <c r="D2672" i="1"/>
  <c r="E2283" i="1"/>
  <c r="D2459" i="1"/>
  <c r="F2653" i="1"/>
  <c r="E1827" i="1"/>
  <c r="B1375" i="1"/>
  <c r="D2470" i="1"/>
  <c r="F2563" i="1"/>
  <c r="E2100" i="1"/>
  <c r="F2452" i="1"/>
  <c r="C2632" i="1"/>
  <c r="C2350" i="1"/>
  <c r="F1390" i="1"/>
  <c r="F2720" i="1"/>
  <c r="E2023" i="1"/>
  <c r="B2261" i="1"/>
  <c r="D1312" i="1"/>
  <c r="D2272" i="1"/>
  <c r="B2512" i="1"/>
  <c r="B2578" i="1"/>
  <c r="C2352" i="1"/>
  <c r="D2043" i="1"/>
  <c r="B1312" i="1"/>
  <c r="D2225" i="1"/>
  <c r="D2162" i="1"/>
  <c r="E2553" i="1"/>
  <c r="B2260" i="1"/>
  <c r="C1661" i="1"/>
  <c r="F1800" i="1"/>
  <c r="B2452" i="1"/>
  <c r="E1806" i="1"/>
  <c r="E1762" i="1"/>
  <c r="E1740" i="1"/>
  <c r="E1412" i="1"/>
  <c r="E1346" i="1"/>
  <c r="F2392" i="1"/>
  <c r="B2667" i="1"/>
  <c r="C1322" i="1"/>
  <c r="C1600" i="1"/>
  <c r="C1630" i="1"/>
  <c r="E2380" i="1"/>
  <c r="E1630" i="1"/>
  <c r="D1820" i="1"/>
  <c r="F1733" i="1"/>
  <c r="E1355" i="1"/>
  <c r="F1780" i="1"/>
  <c r="B2309" i="1"/>
  <c r="E1307" i="1"/>
  <c r="C2078" i="1"/>
  <c r="B1722" i="1"/>
  <c r="E1761" i="1"/>
  <c r="C2619" i="1"/>
  <c r="D1770" i="1"/>
  <c r="E1636" i="1"/>
  <c r="F1345" i="1"/>
  <c r="E1641" i="1"/>
  <c r="B1360" i="1"/>
  <c r="B1732" i="1"/>
  <c r="D1655" i="1"/>
  <c r="E2288" i="1"/>
  <c r="D1255" i="1"/>
  <c r="C1615" i="1"/>
  <c r="C2724" i="1"/>
  <c r="B1607" i="1"/>
  <c r="C1377" i="1"/>
  <c r="F1795" i="1"/>
  <c r="D1707" i="1"/>
  <c r="B1385" i="1"/>
  <c r="E2629" i="1"/>
  <c r="E2389" i="1"/>
  <c r="B2339" i="1"/>
  <c r="E1427" i="1"/>
  <c r="F2736" i="1"/>
  <c r="D2437" i="1"/>
  <c r="B1296" i="1"/>
  <c r="F1783" i="1"/>
  <c r="E2484" i="1"/>
  <c r="F1763" i="1"/>
  <c r="D2202" i="1"/>
  <c r="F2391" i="1"/>
  <c r="F2203" i="1"/>
  <c r="C2699" i="1"/>
  <c r="C1671" i="1"/>
  <c r="D2348" i="1"/>
  <c r="E2649" i="1"/>
  <c r="B1306" i="1"/>
  <c r="B2672" i="1"/>
  <c r="E1285" i="1"/>
  <c r="E2142" i="1"/>
  <c r="F1752" i="1"/>
  <c r="B2562" i="1"/>
  <c r="E2167" i="1"/>
  <c r="C1346" i="1"/>
  <c r="D2545" i="1"/>
  <c r="B2691" i="1"/>
  <c r="B1257" i="1"/>
  <c r="C2393" i="1"/>
  <c r="E1726" i="1"/>
  <c r="F2674" i="1"/>
  <c r="F2727" i="1"/>
  <c r="F2436" i="1"/>
  <c r="C1810" i="1"/>
  <c r="F2401" i="1"/>
  <c r="C1746" i="1"/>
  <c r="E2104" i="1"/>
  <c r="C2378" i="1"/>
  <c r="C2534" i="1"/>
  <c r="C2301" i="1"/>
  <c r="B2263" i="1"/>
  <c r="F2373" i="1"/>
  <c r="E2577" i="1"/>
  <c r="E2284" i="1"/>
  <c r="E1778" i="1"/>
  <c r="C1396" i="1"/>
  <c r="C2432" i="1"/>
  <c r="F1695" i="1"/>
  <c r="E1337" i="1"/>
  <c r="B1795" i="1"/>
  <c r="E2408" i="1"/>
  <c r="C1292" i="1"/>
  <c r="F2167" i="1"/>
  <c r="D1572" i="1"/>
  <c r="C2684" i="1"/>
  <c r="C1361" i="1"/>
  <c r="D1810" i="1"/>
  <c r="D1325" i="1"/>
  <c r="C1340" i="1"/>
  <c r="C1570" i="1"/>
  <c r="E2567" i="1"/>
  <c r="E1432" i="1"/>
  <c r="C1265" i="1"/>
  <c r="C1727" i="1"/>
  <c r="E2599" i="1"/>
  <c r="B1822" i="1"/>
  <c r="E1305" i="1"/>
  <c r="E2439" i="1"/>
  <c r="D2360" i="1"/>
  <c r="E2211" i="1"/>
  <c r="D1712" i="1"/>
  <c r="D1376" i="1"/>
  <c r="F1292" i="1"/>
  <c r="E1387" i="1"/>
  <c r="B1605" i="1"/>
  <c r="E1637" i="1"/>
  <c r="F1371" i="1"/>
  <c r="F1787" i="1"/>
  <c r="F2598" i="1"/>
  <c r="F1235" i="1"/>
  <c r="E1772" i="1"/>
  <c r="C1230" i="1"/>
  <c r="B1426" i="1"/>
  <c r="D2149" i="1"/>
  <c r="E1335" i="1"/>
  <c r="C2416" i="1"/>
  <c r="F1773" i="1"/>
  <c r="D2655" i="1"/>
  <c r="F1322" i="1"/>
  <c r="D2317" i="1"/>
  <c r="F1270" i="1"/>
  <c r="C2443" i="1"/>
  <c r="F2126" i="1"/>
  <c r="F2103" i="1"/>
  <c r="B2499" i="1"/>
  <c r="C1321" i="1"/>
  <c r="B1355" i="1"/>
  <c r="C2457" i="1"/>
  <c r="F1666" i="1"/>
  <c r="F2422" i="1"/>
  <c r="E2055" i="1"/>
  <c r="C1796" i="1"/>
  <c r="B2599" i="1"/>
  <c r="E2193" i="1"/>
  <c r="C2426" i="1"/>
  <c r="B2537" i="1"/>
  <c r="F2514" i="1"/>
  <c r="F2236" i="1"/>
  <c r="C2734" i="1"/>
  <c r="F2378" i="1"/>
  <c r="B1240" i="1"/>
  <c r="B1773" i="1"/>
  <c r="F2375" i="1"/>
  <c r="D2191" i="1"/>
  <c r="D1743" i="1"/>
  <c r="E2056" i="1"/>
  <c r="D2083" i="1"/>
  <c r="F2497" i="1"/>
  <c r="B1242" i="1"/>
  <c r="B1681" i="1"/>
  <c r="C2194" i="1"/>
  <c r="B2465" i="1"/>
  <c r="B2088" i="1"/>
  <c r="D1723" i="1"/>
  <c r="C1808" i="1"/>
  <c r="B2513" i="1"/>
  <c r="C2249" i="1"/>
  <c r="C2365" i="1"/>
  <c r="C1200" i="1"/>
  <c r="B1597" i="1"/>
  <c r="C2646" i="1"/>
  <c r="E1773" i="1"/>
  <c r="C1242" i="1"/>
  <c r="E1341" i="1"/>
  <c r="F1692" i="1"/>
  <c r="F1823" i="1"/>
  <c r="B2661" i="1"/>
  <c r="C1375" i="1"/>
  <c r="F2677" i="1"/>
  <c r="B1262" i="1"/>
  <c r="E2644" i="1"/>
  <c r="D1337" i="1"/>
  <c r="C2396" i="1"/>
  <c r="E1647" i="1"/>
  <c r="F1327" i="1"/>
  <c r="B1571" i="1"/>
  <c r="B1405" i="1"/>
  <c r="D1580" i="1"/>
  <c r="B1642" i="1"/>
  <c r="D1430" i="1"/>
  <c r="E1245" i="1"/>
  <c r="E2248" i="1"/>
  <c r="E1286" i="1"/>
  <c r="D1386" i="1"/>
  <c r="C2674" i="1"/>
  <c r="D1815" i="1"/>
  <c r="E1748" i="1"/>
  <c r="F1282" i="1"/>
  <c r="D2401" i="1"/>
  <c r="F1702" i="1"/>
  <c r="E2737" i="1"/>
  <c r="C1722" i="1"/>
  <c r="F1750" i="1"/>
  <c r="F2464" i="1"/>
  <c r="C1697" i="1"/>
  <c r="B2285" i="1"/>
  <c r="F2268" i="1"/>
  <c r="F1361" i="1"/>
  <c r="E1745" i="1"/>
  <c r="C2120" i="1"/>
  <c r="E2350" i="1"/>
  <c r="E1376" i="1"/>
  <c r="E2087" i="1"/>
  <c r="D2550" i="1"/>
  <c r="E2369" i="1"/>
  <c r="E2113" i="1"/>
  <c r="C2235" i="1"/>
  <c r="F2148" i="1"/>
  <c r="D2371" i="1"/>
  <c r="B2045" i="1"/>
  <c r="B2131" i="1"/>
  <c r="B2405" i="1"/>
  <c r="B1765" i="1"/>
  <c r="D1775" i="1"/>
  <c r="F1281" i="1"/>
  <c r="E2460" i="1"/>
  <c r="E2292" i="1"/>
  <c r="D2639" i="1"/>
  <c r="F2487" i="1"/>
  <c r="C2112" i="1"/>
  <c r="B2586" i="1"/>
  <c r="C2263" i="1"/>
  <c r="E2293" i="1"/>
  <c r="F2162" i="1"/>
  <c r="E2524" i="1"/>
  <c r="E2253" i="1"/>
  <c r="C2484" i="1"/>
  <c r="D2426" i="1"/>
  <c r="D1602" i="1"/>
  <c r="C1625" i="1"/>
  <c r="C2617" i="1"/>
  <c r="E2453" i="1"/>
  <c r="C2588" i="1"/>
  <c r="D2221" i="1"/>
  <c r="D1371" i="1"/>
  <c r="F2145" i="1"/>
  <c r="E2305" i="1"/>
  <c r="C1572" i="1"/>
  <c r="B1761" i="1"/>
  <c r="F2414" i="1"/>
  <c r="D1721" i="1"/>
  <c r="F2328" i="1"/>
  <c r="F1792" i="1"/>
  <c r="B1650" i="1"/>
  <c r="E2536" i="1"/>
  <c r="B1432" i="1"/>
  <c r="C2659" i="1"/>
  <c r="B1727" i="1"/>
  <c r="E2746" i="1"/>
  <c r="B1590" i="1"/>
  <c r="D1728" i="1"/>
  <c r="C1237" i="1"/>
  <c r="C1390" i="1"/>
  <c r="B1810" i="1"/>
  <c r="D2233" i="1"/>
  <c r="B1757" i="1"/>
  <c r="E1395" i="1"/>
  <c r="E1672" i="1"/>
  <c r="E1687" i="1"/>
  <c r="F2342" i="1"/>
  <c r="E2273" i="1"/>
  <c r="B2171" i="1"/>
  <c r="F2651" i="1"/>
  <c r="D2694" i="1"/>
  <c r="D1677" i="1"/>
  <c r="C1622" i="1"/>
  <c r="D2419" i="1"/>
  <c r="E2180" i="1"/>
  <c r="E2488" i="1"/>
  <c r="C2234" i="1"/>
  <c r="F2628" i="1"/>
  <c r="E2176" i="1"/>
  <c r="D2538" i="1"/>
  <c r="F2313" i="1"/>
  <c r="E2658" i="1"/>
  <c r="D2536" i="1"/>
  <c r="B2631" i="1"/>
  <c r="E2227" i="1"/>
  <c r="F2361" i="1"/>
  <c r="C2616" i="1"/>
  <c r="E2572" i="1"/>
  <c r="C2362" i="1"/>
  <c r="C2698" i="1"/>
  <c r="B1370" i="1"/>
  <c r="F2319" i="1"/>
  <c r="C2546" i="1"/>
  <c r="B2609" i="1"/>
  <c r="F2411" i="1"/>
  <c r="B2380" i="1"/>
  <c r="F2596" i="1"/>
  <c r="D2295" i="1"/>
  <c r="C2412" i="1"/>
  <c r="B1645" i="1"/>
  <c r="B1788" i="1"/>
  <c r="D2315" i="1"/>
  <c r="D2215" i="1"/>
  <c r="F1287" i="1"/>
  <c r="E2685" i="1"/>
  <c r="C2486" i="1"/>
  <c r="C2575" i="1"/>
  <c r="D2641" i="1"/>
  <c r="D1620" i="1"/>
  <c r="D1300" i="1"/>
  <c r="C1397" i="1"/>
  <c r="D2430" i="1"/>
  <c r="E1780" i="1"/>
  <c r="F2737" i="1"/>
  <c r="C1650" i="1"/>
  <c r="C2436" i="1"/>
  <c r="F1397" i="1"/>
  <c r="E1345" i="1"/>
  <c r="E2519" i="1"/>
  <c r="C1430" i="1"/>
  <c r="B2281" i="1"/>
  <c r="B1667" i="1"/>
  <c r="C1665" i="1"/>
  <c r="C1240" i="1"/>
  <c r="D1340" i="1"/>
  <c r="C1410" i="1"/>
  <c r="C1392" i="1"/>
  <c r="C1645" i="1"/>
  <c r="E1255" i="1"/>
  <c r="E1607" i="1"/>
  <c r="E2158" i="1"/>
  <c r="E1370" i="1"/>
  <c r="F2153" i="1"/>
  <c r="D2454" i="1"/>
  <c r="E2531" i="1"/>
  <c r="C1616" i="1"/>
  <c r="C1730" i="1"/>
  <c r="F1612" i="1"/>
  <c r="F2738" i="1"/>
  <c r="B2685" i="1"/>
  <c r="E1576" i="1"/>
  <c r="F1720" i="1"/>
  <c r="D1200" i="1"/>
  <c r="C1580" i="1"/>
  <c r="E1381" i="1"/>
  <c r="D2555" i="1"/>
  <c r="C1676" i="1"/>
  <c r="B2737" i="1"/>
  <c r="F2201" i="1"/>
  <c r="E1632" i="1"/>
  <c r="D2227" i="1"/>
  <c r="B2468" i="1"/>
  <c r="B2545" i="1"/>
  <c r="C2726" i="1"/>
  <c r="D1595" i="1"/>
  <c r="D2452" i="1"/>
  <c r="F2535" i="1"/>
  <c r="B1285" i="1"/>
  <c r="D2688" i="1"/>
  <c r="B2224" i="1"/>
  <c r="B1772" i="1"/>
  <c r="D1341" i="1"/>
  <c r="D2399" i="1"/>
  <c r="D1360" i="1"/>
  <c r="E2034" i="1"/>
  <c r="F1402" i="1"/>
  <c r="B2268" i="1"/>
  <c r="C1792" i="1"/>
  <c r="C1275" i="1"/>
  <c r="D1746" i="1"/>
  <c r="C2225" i="1"/>
  <c r="C2141" i="1"/>
  <c r="C1420" i="1"/>
  <c r="B2410" i="1"/>
  <c r="D2472" i="1"/>
  <c r="B2179" i="1"/>
  <c r="D2414" i="1"/>
  <c r="E2268" i="1"/>
  <c r="B2697" i="1"/>
  <c r="F1731" i="1"/>
  <c r="B2605" i="1"/>
  <c r="B1782" i="1"/>
  <c r="B2376" i="1"/>
  <c r="F2242" i="1"/>
  <c r="F2257" i="1"/>
  <c r="F2254" i="1"/>
  <c r="D2211" i="1"/>
  <c r="C2445" i="1"/>
  <c r="C2702" i="1"/>
  <c r="E2739" i="1"/>
  <c r="D1251" i="1"/>
  <c r="E2564" i="1"/>
  <c r="B2449" i="1"/>
  <c r="D2657" i="1"/>
  <c r="B2118" i="1"/>
  <c r="B2625" i="1"/>
  <c r="F1331" i="1"/>
  <c r="B2067" i="1"/>
  <c r="D2658" i="1"/>
  <c r="B2348" i="1"/>
  <c r="D2346" i="1"/>
  <c r="F2511" i="1"/>
  <c r="F2389" i="1"/>
  <c r="C2291" i="1"/>
  <c r="C2663" i="1"/>
  <c r="C2375" i="1"/>
  <c r="B2495" i="1"/>
  <c r="E2262" i="1"/>
  <c r="E2096" i="1"/>
  <c r="B1315" i="1"/>
  <c r="C2625" i="1"/>
  <c r="C1296" i="1"/>
  <c r="E2202" i="1"/>
  <c r="F2512" i="1"/>
  <c r="F2292" i="1"/>
  <c r="C2730" i="1"/>
  <c r="B1287" i="1"/>
  <c r="F1645" i="1"/>
  <c r="B1726" i="1"/>
  <c r="D2556" i="1"/>
  <c r="F1827" i="1"/>
  <c r="F2733" i="1"/>
  <c r="C1335" i="1"/>
  <c r="B2477" i="1"/>
  <c r="C1756" i="1"/>
  <c r="F1245" i="1"/>
  <c r="C2209" i="1"/>
  <c r="B2669" i="1"/>
  <c r="D2105" i="1"/>
  <c r="D2707" i="1"/>
  <c r="D2745" i="1"/>
  <c r="B1581" i="1"/>
  <c r="C2215" i="1"/>
  <c r="E2031" i="1"/>
  <c r="C2124" i="1"/>
  <c r="B2431" i="1"/>
  <c r="D2490" i="1"/>
  <c r="D1645" i="1"/>
  <c r="D1762" i="1"/>
  <c r="C2132" i="1"/>
  <c r="F1768" i="1"/>
  <c r="D2572" i="1"/>
  <c r="C2634" i="1"/>
  <c r="C2576" i="1"/>
  <c r="F2450" i="1"/>
  <c r="C1776" i="1"/>
  <c r="D2143" i="1"/>
  <c r="C2656" i="1"/>
  <c r="E2651" i="1"/>
  <c r="F2430" i="1"/>
  <c r="B2245" i="1"/>
  <c r="D2575" i="1"/>
  <c r="C2197" i="1"/>
  <c r="B1718" i="1"/>
  <c r="D1773" i="1"/>
  <c r="E2188" i="1"/>
  <c r="F2331" i="1"/>
  <c r="B2662" i="1"/>
  <c r="B1382" i="1"/>
  <c r="E2612" i="1"/>
  <c r="B2119" i="1"/>
  <c r="F1796" i="1"/>
  <c r="F2493" i="1"/>
  <c r="C2733" i="1"/>
  <c r="C2166" i="1"/>
  <c r="F2266" i="1"/>
  <c r="C2066" i="1"/>
  <c r="F2314" i="1"/>
  <c r="D2350" i="1"/>
  <c r="B2385" i="1"/>
  <c r="B736" i="1"/>
  <c r="D2624" i="1"/>
  <c r="B2071" i="1"/>
  <c r="F1362" i="1"/>
  <c r="E1756" i="1"/>
  <c r="E1792" i="1"/>
  <c r="E2504" i="1"/>
  <c r="D1701" i="1"/>
  <c r="E2472" i="1"/>
  <c r="F1312" i="1"/>
  <c r="D2484" i="1"/>
  <c r="C2297" i="1"/>
  <c r="C2060" i="1"/>
  <c r="D2416" i="1"/>
  <c r="B1301" i="1"/>
  <c r="B1803" i="1"/>
  <c r="D2383" i="1"/>
  <c r="B1402" i="1"/>
  <c r="F1367" i="1"/>
  <c r="D1586" i="1"/>
  <c r="F2114" i="1"/>
  <c r="D2424" i="1"/>
  <c r="E2490" i="1"/>
  <c r="C2198" i="1"/>
  <c r="D2504" i="1"/>
  <c r="D1607" i="1"/>
  <c r="B2548" i="1"/>
  <c r="D1252" i="1"/>
  <c r="C2222" i="1"/>
  <c r="F2405" i="1"/>
  <c r="F1743" i="1"/>
  <c r="C2545" i="1"/>
  <c r="C1592" i="1"/>
  <c r="F1360" i="1"/>
  <c r="F2137" i="1"/>
  <c r="E2413" i="1"/>
  <c r="D2679" i="1"/>
  <c r="D2617" i="1"/>
  <c r="D2298" i="1"/>
  <c r="E1771" i="1"/>
  <c r="E2467" i="1"/>
  <c r="C2454" i="1"/>
  <c r="E2690" i="1"/>
  <c r="C2367" i="1"/>
  <c r="F2065" i="1"/>
  <c r="B2289" i="1"/>
  <c r="B2742" i="1"/>
  <c r="D2280" i="1"/>
  <c r="E2269" i="1"/>
  <c r="B2463" i="1"/>
  <c r="D2232" i="1"/>
  <c r="D1436" i="1"/>
  <c r="D2243" i="1"/>
  <c r="F1236" i="1"/>
  <c r="C1318" i="1"/>
  <c r="D2381" i="1"/>
  <c r="E2598" i="1"/>
  <c r="B2193" i="1"/>
  <c r="F1268" i="1"/>
  <c r="B2335" i="1"/>
  <c r="C2298" i="1"/>
  <c r="F2555" i="1"/>
  <c r="D2671" i="1"/>
  <c r="D2431" i="1"/>
  <c r="C2440" i="1"/>
  <c r="C2442" i="1"/>
  <c r="C2172" i="1"/>
  <c r="C2211" i="1"/>
  <c r="F1651" i="1"/>
  <c r="E2501" i="1"/>
  <c r="C2190" i="1"/>
  <c r="D2361" i="1"/>
  <c r="E2678" i="1"/>
  <c r="B2526" i="1"/>
  <c r="F2321" i="1"/>
  <c r="E1367" i="1"/>
  <c r="E2107" i="1"/>
  <c r="D2501" i="1"/>
  <c r="B2397" i="1"/>
  <c r="D2106" i="1"/>
  <c r="C2735" i="1"/>
  <c r="F2744" i="1"/>
  <c r="B2731" i="1"/>
  <c r="D2260" i="1"/>
  <c r="B2043" i="1"/>
  <c r="B2103" i="1"/>
  <c r="E2145" i="1"/>
  <c r="E1821" i="1"/>
  <c r="E1785" i="1"/>
  <c r="E1666" i="1"/>
  <c r="D1295" i="1"/>
  <c r="E2122" i="1"/>
  <c r="B1305" i="1"/>
  <c r="B1752" i="1"/>
  <c r="F1777" i="1"/>
  <c r="D2166" i="1"/>
  <c r="D2509" i="1"/>
  <c r="E2508" i="1"/>
  <c r="F1730" i="1"/>
  <c r="C2449" i="1"/>
  <c r="F2376" i="1"/>
  <c r="F1755" i="1"/>
  <c r="F2125" i="1"/>
  <c r="B2708" i="1"/>
  <c r="F2297" i="1"/>
  <c r="E1742" i="1"/>
  <c r="E2349" i="1"/>
  <c r="F2107" i="1"/>
  <c r="C2435" i="1"/>
  <c r="B2199" i="1"/>
  <c r="E2341" i="1"/>
  <c r="C1823" i="1"/>
  <c r="B1275" i="1"/>
  <c r="D2387" i="1"/>
  <c r="B2420" i="1"/>
  <c r="F2124" i="1"/>
  <c r="B1342" i="1"/>
  <c r="F2133" i="1"/>
  <c r="F2640" i="1"/>
  <c r="D2176" i="1"/>
  <c r="D2596" i="1"/>
  <c r="B1615" i="1"/>
  <c r="F1597" i="1"/>
  <c r="C2563" i="1"/>
  <c r="B2613" i="1"/>
  <c r="B2647" i="1"/>
  <c r="E2139" i="1"/>
  <c r="F2163" i="1"/>
  <c r="B2170" i="1"/>
  <c r="F2522" i="1"/>
  <c r="E1611" i="1"/>
  <c r="F2726" i="1"/>
  <c r="E2414" i="1"/>
  <c r="C2665" i="1"/>
  <c r="E2545" i="1"/>
  <c r="F2204" i="1"/>
  <c r="E2159" i="1"/>
  <c r="B2155" i="1"/>
  <c r="D2208" i="1"/>
  <c r="C2070" i="1"/>
  <c r="E2659" i="1"/>
  <c r="B2114" i="1"/>
  <c r="D2060" i="1"/>
  <c r="F1253" i="1"/>
  <c r="B2271" i="1"/>
  <c r="E2440" i="1"/>
  <c r="B2644" i="1"/>
  <c r="B2456" i="1"/>
  <c r="B1710" i="1"/>
  <c r="E2730" i="1"/>
  <c r="E2386" i="1"/>
  <c r="E2362" i="1"/>
  <c r="F2329" i="1"/>
  <c r="D2582" i="1"/>
  <c r="B2328" i="1"/>
  <c r="E2282" i="1"/>
  <c r="E1768" i="1"/>
  <c r="D2069" i="1"/>
  <c r="D2481" i="1"/>
  <c r="C2675" i="1"/>
  <c r="F2026" i="1"/>
  <c r="D2363" i="1"/>
  <c r="D2216" i="1"/>
  <c r="F1784" i="1"/>
  <c r="F2123" i="1"/>
  <c r="F2130" i="1"/>
  <c r="F2362" i="1"/>
  <c r="E2611" i="1"/>
  <c r="E2279" i="1"/>
  <c r="D2126" i="1"/>
  <c r="D2304" i="1"/>
  <c r="B2618" i="1"/>
  <c r="C2444" i="1"/>
  <c r="F2728" i="1"/>
  <c r="F1422" i="1"/>
  <c r="E1680" i="1"/>
  <c r="E2429" i="1"/>
  <c r="E1763" i="1"/>
  <c r="D1612" i="1"/>
  <c r="B2201" i="1"/>
  <c r="D1435" i="1"/>
  <c r="C2692" i="1"/>
  <c r="C1395" i="1"/>
  <c r="E2357" i="1"/>
  <c r="B2651" i="1"/>
  <c r="D2132" i="1"/>
  <c r="B2092" i="1"/>
  <c r="D2568" i="1"/>
  <c r="D1730" i="1"/>
  <c r="D1280" i="1"/>
  <c r="E2234" i="1"/>
  <c r="E1251" i="1"/>
  <c r="E2354" i="1"/>
  <c r="C2321" i="1"/>
  <c r="B2489" i="1"/>
  <c r="F2655" i="1"/>
  <c r="D2710" i="1"/>
  <c r="C1770" i="1"/>
  <c r="F2718" i="1"/>
  <c r="C2719" i="1"/>
  <c r="D2285" i="1"/>
  <c r="B2326" i="1"/>
  <c r="C2522" i="1"/>
  <c r="B2421" i="1"/>
  <c r="C2662" i="1"/>
  <c r="E2207" i="1"/>
  <c r="E2343" i="1"/>
  <c r="C1286" i="1"/>
  <c r="F1377" i="1"/>
  <c r="F2382" i="1"/>
  <c r="C2518" i="1"/>
  <c r="E2657" i="1"/>
  <c r="F2469" i="1"/>
  <c r="C2467" i="1"/>
  <c r="D1366" i="1"/>
  <c r="C2717" i="1"/>
  <c r="E2098" i="1"/>
  <c r="F1381" i="1"/>
  <c r="D2630" i="1"/>
  <c r="F1610" i="1"/>
  <c r="F2299" i="1"/>
  <c r="C1662" i="1"/>
  <c r="E2215" i="1"/>
  <c r="E1612" i="1"/>
  <c r="B1237" i="1"/>
  <c r="B2680" i="1"/>
  <c r="E1622" i="1"/>
  <c r="B1783" i="1"/>
  <c r="F2302" i="1"/>
  <c r="D1601" i="1"/>
  <c r="E1627" i="1"/>
  <c r="E2353" i="1"/>
  <c r="F2402" i="1"/>
  <c r="B2350" i="1"/>
  <c r="C2693" i="1"/>
  <c r="E2185" i="1"/>
  <c r="E2255" i="1"/>
  <c r="B2229" i="1"/>
  <c r="E2582" i="1"/>
  <c r="D2537" i="1"/>
  <c r="E2489" i="1"/>
  <c r="D1257" i="1"/>
  <c r="F2672" i="1"/>
  <c r="B2183" i="1"/>
  <c r="F2202" i="1"/>
  <c r="E2393" i="1"/>
  <c r="F1761" i="1"/>
  <c r="C2713" i="1"/>
  <c r="D2358" i="1"/>
  <c r="B2414" i="1"/>
  <c r="C2630" i="1"/>
  <c r="F2590" i="1"/>
  <c r="D2123" i="1"/>
  <c r="D2351" i="1"/>
  <c r="F2439" i="1"/>
  <c r="B2356" i="1"/>
  <c r="B2473" i="1"/>
  <c r="F2121" i="1"/>
  <c r="F2488" i="1"/>
  <c r="C1255" i="1"/>
  <c r="C1685" i="1"/>
  <c r="E2527" i="1"/>
  <c r="F2058" i="1"/>
  <c r="F2286" i="1"/>
  <c r="F1576" i="1"/>
  <c r="E2039" i="1"/>
  <c r="F2481" i="1"/>
  <c r="B2304" i="1"/>
  <c r="C1731" i="1"/>
  <c r="C2024" i="1"/>
  <c r="F1370" i="1"/>
  <c r="B1778" i="1"/>
  <c r="C2696" i="1"/>
  <c r="F1417" i="1"/>
  <c r="B2656" i="1"/>
  <c r="C1611" i="1"/>
  <c r="D1305" i="1"/>
  <c r="D1265" i="1"/>
  <c r="C1277" i="1"/>
  <c r="D2441" i="1"/>
  <c r="F2305" i="1"/>
  <c r="E2630" i="1"/>
  <c r="B1387" i="1"/>
  <c r="E1767" i="1"/>
  <c r="C2420" i="1"/>
  <c r="F1806" i="1"/>
  <c r="B2664" i="1"/>
  <c r="B1690" i="1"/>
  <c r="F2210" i="1"/>
  <c r="F2259" i="1"/>
  <c r="D2656" i="1"/>
  <c r="D2675" i="1"/>
  <c r="D2277" i="1"/>
  <c r="E2433" i="1"/>
  <c r="F2097" i="1"/>
  <c r="E2543" i="1"/>
  <c r="F2140" i="1"/>
  <c r="B2523" i="1"/>
  <c r="D2420" i="1"/>
  <c r="F2166" i="1"/>
  <c r="D2310" i="1"/>
  <c r="E2735" i="1"/>
  <c r="C2059" i="1"/>
  <c r="E2431" i="1"/>
  <c r="E2529" i="1"/>
  <c r="B2157" i="1"/>
  <c r="D1315" i="1"/>
  <c r="E2451" i="1"/>
  <c r="E1315" i="1"/>
  <c r="E2514" i="1"/>
  <c r="E2149" i="1"/>
  <c r="C2469" i="1"/>
  <c r="C1631" i="1"/>
  <c r="C1281" i="1"/>
  <c r="F1631" i="1"/>
  <c r="F1581" i="1"/>
  <c r="C2205" i="1"/>
  <c r="F2122" i="1"/>
  <c r="B2279" i="1"/>
  <c r="E2416" i="1"/>
  <c r="D2628" i="1"/>
  <c r="E2058" i="1"/>
  <c r="B2560" i="1"/>
  <c r="C2045" i="1"/>
  <c r="D2095" i="1"/>
  <c r="C2136" i="1"/>
  <c r="D486" i="1"/>
  <c r="F2147" i="1"/>
  <c r="F2578" i="1"/>
  <c r="E2136" i="1"/>
  <c r="E2462" i="1"/>
  <c r="D2096" i="1"/>
  <c r="C2162" i="1"/>
  <c r="E2109" i="1"/>
  <c r="E1235" i="1"/>
  <c r="F2234" i="1"/>
  <c r="F2652" i="1"/>
  <c r="B2231" i="1"/>
  <c r="D2642" i="1"/>
  <c r="D2252" i="1"/>
  <c r="E2638" i="1"/>
  <c r="B2052" i="1"/>
  <c r="F1661" i="1"/>
  <c r="D2154" i="1"/>
  <c r="D2513" i="1"/>
  <c r="B2166" i="1"/>
  <c r="D2586" i="1"/>
  <c r="B2312" i="1"/>
  <c r="B2351" i="1"/>
  <c r="D2505" i="1"/>
  <c r="D2031" i="1"/>
  <c r="B1320" i="1"/>
  <c r="D1600" i="1"/>
  <c r="B1611" i="1"/>
  <c r="B2546" i="1"/>
  <c r="F2408" i="1"/>
  <c r="C1407" i="1"/>
  <c r="E2624" i="1"/>
  <c r="C1755" i="1"/>
  <c r="F1615" i="1"/>
  <c r="F2679" i="1"/>
  <c r="B2491" i="1"/>
  <c r="D2483" i="1"/>
  <c r="C1687" i="1"/>
  <c r="D2603" i="1"/>
  <c r="E2618" i="1"/>
  <c r="B2060" i="1"/>
  <c r="F2386" i="1"/>
  <c r="C1312" i="1"/>
  <c r="F2437" i="1"/>
  <c r="D2044" i="1"/>
  <c r="E2278" i="1"/>
  <c r="E2131" i="1"/>
  <c r="B2627" i="1"/>
  <c r="D2423" i="1"/>
  <c r="D1822" i="1"/>
  <c r="C2232" i="1"/>
  <c r="C2248" i="1"/>
  <c r="D2585" i="1"/>
  <c r="D2529" i="1"/>
  <c r="D2659" i="1"/>
  <c r="E1205" i="1"/>
  <c r="C1690" i="1"/>
  <c r="B1265" i="1"/>
  <c r="F2723" i="1"/>
  <c r="B2238" i="1"/>
  <c r="F2237" i="1"/>
  <c r="B2440" i="1"/>
  <c r="B2535" i="1"/>
  <c r="B2587" i="1"/>
  <c r="C2206" i="1"/>
  <c r="F2605" i="1"/>
  <c r="B2444" i="1"/>
  <c r="B2516" i="1"/>
  <c r="C2255" i="1"/>
  <c r="E2191" i="1"/>
  <c r="E2502" i="1"/>
  <c r="C2633" i="1"/>
  <c r="D2226" i="1"/>
  <c r="C2422" i="1"/>
  <c r="C2718" i="1"/>
  <c r="D2467" i="1"/>
  <c r="E2236" i="1"/>
  <c r="C986" i="1"/>
  <c r="B911" i="1"/>
  <c r="F2200" i="1"/>
  <c r="C2253" i="1"/>
  <c r="E2147" i="1"/>
  <c r="F2354" i="1"/>
  <c r="D2067" i="1"/>
  <c r="C2041" i="1"/>
  <c r="F2175" i="1"/>
  <c r="D2185" i="1"/>
  <c r="D2496" i="1"/>
  <c r="F2352" i="1"/>
  <c r="F2112" i="1"/>
  <c r="B2629" i="1"/>
  <c r="E2474" i="1"/>
  <c r="D1749" i="1"/>
  <c r="B2670" i="1"/>
  <c r="B2608" i="1"/>
  <c r="D2302" i="1"/>
  <c r="C2406" i="1"/>
  <c r="B2639" i="1"/>
  <c r="F2212" i="1"/>
  <c r="B2073" i="1"/>
  <c r="E2028" i="1"/>
  <c r="B2623" i="1"/>
  <c r="E2152" i="1"/>
  <c r="C2703" i="1"/>
  <c r="C2686" i="1"/>
  <c r="E1708" i="1"/>
  <c r="F1753" i="1"/>
  <c r="E1795" i="1"/>
  <c r="F1815" i="1"/>
  <c r="B2632" i="1"/>
  <c r="D1750" i="1"/>
  <c r="E2498" i="1"/>
  <c r="F1662" i="1"/>
  <c r="E2530" i="1"/>
  <c r="F1230" i="1"/>
  <c r="F1590" i="1"/>
  <c r="C1790" i="1"/>
  <c r="E2070" i="1"/>
  <c r="B2455" i="1"/>
  <c r="D2053" i="1"/>
  <c r="E1575" i="1"/>
  <c r="D2737" i="1"/>
  <c r="B2101" i="1"/>
  <c r="D2408" i="1"/>
  <c r="D1395" i="1"/>
  <c r="D2618" i="1"/>
  <c r="B2254" i="1"/>
  <c r="C1311" i="1"/>
  <c r="F2171" i="1"/>
  <c r="B2188" i="1"/>
  <c r="C2715" i="1"/>
  <c r="B2202" i="1"/>
  <c r="F2230" i="1"/>
  <c r="C1432" i="1"/>
  <c r="E2366" i="1"/>
  <c r="F2741" i="1"/>
  <c r="E2569" i="1"/>
  <c r="E1735" i="1"/>
  <c r="F2053" i="1"/>
  <c r="F2518" i="1"/>
  <c r="B2726" i="1"/>
  <c r="C2374" i="1"/>
  <c r="C1245" i="1"/>
  <c r="C1327" i="1"/>
  <c r="E2090" i="1"/>
  <c r="B2745" i="1"/>
  <c r="C1621" i="1"/>
  <c r="B2466" i="1"/>
  <c r="B2515" i="1"/>
  <c r="E2332" i="1"/>
  <c r="F1718" i="1"/>
  <c r="F2418" i="1"/>
  <c r="E2272" i="1"/>
  <c r="D2533" i="1"/>
  <c r="D2637" i="1"/>
  <c r="B2249" i="1"/>
  <c r="E1710" i="1"/>
  <c r="D1759" i="1"/>
  <c r="F2604" i="1"/>
  <c r="C2373" i="1"/>
  <c r="B2311" i="1"/>
  <c r="E2267" i="1"/>
  <c r="F2620" i="1"/>
  <c r="C1793" i="1"/>
  <c r="E1358" i="1"/>
  <c r="B2678" i="1"/>
  <c r="E2134" i="1"/>
  <c r="D2061" i="1"/>
  <c r="E2116" i="1"/>
  <c r="C2403" i="1"/>
  <c r="D2297" i="1"/>
  <c r="C2217" i="1"/>
  <c r="D1318" i="1"/>
  <c r="F2510" i="1"/>
  <c r="E1390" i="1"/>
  <c r="D2160" i="1"/>
  <c r="B2488" i="1"/>
  <c r="F1711" i="1"/>
  <c r="B2253" i="1"/>
  <c r="C2433" i="1"/>
  <c r="C1330" i="1"/>
  <c r="E1596" i="1"/>
  <c r="B2371" i="1"/>
  <c r="D2231" i="1"/>
  <c r="E2526" i="1"/>
  <c r="F2615" i="1"/>
  <c r="D2547" i="1"/>
  <c r="C2464" i="1"/>
  <c r="D2282" i="1"/>
  <c r="B2094" i="1"/>
  <c r="B1397" i="1"/>
  <c r="C1782" i="1"/>
  <c r="D1748" i="1"/>
  <c r="B2365" i="1"/>
  <c r="D1582" i="1"/>
  <c r="B2301" i="1"/>
  <c r="F2048" i="1"/>
  <c r="B1592" i="1"/>
  <c r="E2403" i="1"/>
  <c r="B1371" i="1"/>
  <c r="D1576" i="1"/>
  <c r="E2520" i="1"/>
  <c r="E1753" i="1"/>
  <c r="C2525" i="1"/>
  <c r="E2336" i="1"/>
  <c r="F2413" i="1"/>
  <c r="D1823" i="1"/>
  <c r="F2606" i="1"/>
  <c r="B2084" i="1"/>
  <c r="F1400" i="1"/>
  <c r="C2621" i="1"/>
  <c r="F2564" i="1"/>
  <c r="B2504" i="1"/>
  <c r="D2321" i="1"/>
  <c r="C2670" i="1"/>
  <c r="F2724" i="1"/>
  <c r="F2243" i="1"/>
  <c r="B2272" i="1"/>
  <c r="F1700" i="1"/>
  <c r="D2059" i="1"/>
  <c r="C2160" i="1"/>
  <c r="B2714" i="1"/>
  <c r="E1790" i="1"/>
  <c r="B2582" i="1"/>
  <c r="B2197" i="1"/>
  <c r="F2654" i="1"/>
  <c r="F2395" i="1"/>
  <c r="B2149" i="1"/>
  <c r="C2380" i="1"/>
  <c r="E2224" i="1"/>
  <c r="D1783" i="1"/>
  <c r="D1427" i="1"/>
  <c r="D2718" i="1"/>
  <c r="E2081" i="1"/>
  <c r="B1741" i="1"/>
  <c r="E2198" i="1"/>
  <c r="F2435" i="1"/>
  <c r="C2185" i="1"/>
  <c r="E2169" i="1"/>
  <c r="B2259" i="1"/>
  <c r="C1781" i="1"/>
  <c r="C2492" i="1"/>
  <c r="C1806" i="1"/>
  <c r="E2579" i="1"/>
  <c r="E2025" i="1"/>
  <c r="D1812" i="1"/>
  <c r="B2132" i="1"/>
  <c r="D2698" i="1"/>
  <c r="E2146" i="1"/>
  <c r="D2080" i="1"/>
  <c r="F2074" i="1"/>
  <c r="E2329" i="1"/>
  <c r="D2530" i="1"/>
  <c r="C671" i="1"/>
  <c r="C1802" i="1"/>
  <c r="E2725" i="1"/>
  <c r="E2688" i="1"/>
  <c r="E2388" i="1"/>
  <c r="D2706" i="1"/>
  <c r="D2335" i="1"/>
  <c r="E2421" i="1"/>
  <c r="C2058" i="1"/>
  <c r="B2399" i="1"/>
  <c r="E2175" i="1"/>
  <c r="D2378" i="1"/>
  <c r="D2337" i="1"/>
  <c r="B2429" i="1"/>
  <c r="C2585" i="1"/>
  <c r="B1380" i="1"/>
  <c r="B2524" i="1"/>
  <c r="D2305" i="1"/>
  <c r="B2592" i="1"/>
  <c r="E1805" i="1"/>
  <c r="B1376" i="1"/>
  <c r="F1325" i="1"/>
  <c r="E1580" i="1"/>
  <c r="F1247" i="1"/>
  <c r="E2608" i="1"/>
  <c r="E2645" i="1"/>
  <c r="D2685" i="1"/>
  <c r="F2197" i="1"/>
  <c r="F2285" i="1"/>
  <c r="B2490" i="1"/>
  <c r="F2115" i="1"/>
  <c r="C1262" i="1"/>
  <c r="C2071" i="1"/>
  <c r="E2548" i="1"/>
  <c r="F1382" i="1"/>
  <c r="E2239" i="1"/>
  <c r="E2231" i="1"/>
  <c r="F2323" i="1"/>
  <c r="C2738" i="1"/>
  <c r="F2377" i="1"/>
  <c r="F2443" i="1"/>
  <c r="C1260" i="1"/>
  <c r="B2522" i="1"/>
  <c r="D1297" i="1"/>
  <c r="F2696" i="1"/>
  <c r="C2328" i="1"/>
  <c r="B2210" i="1"/>
  <c r="F1355" i="1"/>
  <c r="E2266" i="1"/>
  <c r="E1822" i="1"/>
  <c r="C2453" i="1"/>
  <c r="F2369" i="1"/>
  <c r="F2673" i="1"/>
  <c r="D2087" i="1"/>
  <c r="D2333" i="1"/>
  <c r="D1825" i="1"/>
  <c r="E2129" i="1"/>
  <c r="C2280" i="1"/>
  <c r="B2308" i="1"/>
  <c r="D2425" i="1"/>
  <c r="F2685" i="1"/>
  <c r="F2569" i="1"/>
  <c r="B2235" i="1"/>
  <c r="C2743" i="1"/>
  <c r="F2708" i="1"/>
  <c r="E1656" i="1"/>
  <c r="B2521" i="1"/>
  <c r="E2093" i="1"/>
  <c r="F2273" i="1"/>
  <c r="D1393" i="1"/>
  <c r="B2395" i="1"/>
  <c r="C2247" i="1"/>
  <c r="D2325" i="1"/>
  <c r="B2280" i="1"/>
  <c r="D2159" i="1"/>
  <c r="B2031" i="1"/>
  <c r="C2043" i="1"/>
  <c r="D2068" i="1"/>
  <c r="F2541" i="1"/>
  <c r="E2387" i="1"/>
  <c r="E2713" i="1"/>
  <c r="F2251" i="1"/>
  <c r="E2205" i="1"/>
  <c r="F2484" i="1"/>
  <c r="C2363" i="1"/>
  <c r="D2435" i="1"/>
  <c r="E1658" i="1"/>
  <c r="E2650" i="1"/>
  <c r="D2711" i="1"/>
  <c r="E2399" i="1"/>
  <c r="C2551" i="1"/>
  <c r="F1346" i="1"/>
  <c r="C2108" i="1"/>
  <c r="F2246" i="1"/>
  <c r="B2144" i="1"/>
  <c r="C2244" i="1"/>
  <c r="B2711" i="1"/>
  <c r="E1425" i="1"/>
  <c r="C1827" i="1"/>
  <c r="D2412" i="1"/>
  <c r="B1787" i="1"/>
  <c r="C2218" i="1"/>
  <c r="F1210" i="1"/>
  <c r="F1262" i="1"/>
  <c r="F1357" i="1"/>
  <c r="D1432" i="1"/>
  <c r="F1307" i="1"/>
  <c r="C2550" i="1"/>
  <c r="D1713" i="1"/>
  <c r="C2427" i="1"/>
  <c r="B2668" i="1"/>
  <c r="E2605" i="1"/>
  <c r="E2616" i="1"/>
  <c r="D2296" i="1"/>
  <c r="F2576" i="1"/>
  <c r="D2668" i="1"/>
  <c r="D2464" i="1"/>
  <c r="B2630" i="1"/>
  <c r="B2464" i="1"/>
  <c r="F1586" i="1"/>
  <c r="B2375" i="1"/>
  <c r="C1805" i="1"/>
  <c r="C2618" i="1"/>
  <c r="C2154" i="1"/>
  <c r="C2229" i="1"/>
  <c r="D2652" i="1"/>
  <c r="C2651" i="1"/>
  <c r="B2509" i="1"/>
  <c r="B2307" i="1"/>
  <c r="C1412" i="1"/>
  <c r="E2395" i="1"/>
  <c r="B2164" i="1"/>
  <c r="D2645" i="1"/>
  <c r="F2094" i="1"/>
  <c r="F2275" i="1"/>
  <c r="B2596" i="1"/>
  <c r="B2650" i="1"/>
  <c r="B2563" i="1"/>
  <c r="E2711" i="1"/>
  <c r="D2524" i="1"/>
  <c r="E2463" i="1"/>
  <c r="D2609" i="1"/>
  <c r="D1330" i="1"/>
  <c r="E2287" i="1"/>
  <c r="B2320" i="1"/>
  <c r="D2150" i="1"/>
  <c r="C2472" i="1"/>
  <c r="B2373" i="1"/>
  <c r="C2569" i="1"/>
  <c r="C2090" i="1"/>
  <c r="C2565" i="1"/>
  <c r="F2557" i="1"/>
  <c r="D2367" i="1"/>
  <c r="B2409" i="1"/>
  <c r="B2511" i="1"/>
  <c r="D2180" i="1"/>
  <c r="F2627" i="1"/>
  <c r="E2447" i="1"/>
  <c r="E2092" i="1"/>
  <c r="F191" i="1"/>
  <c r="E2639" i="1"/>
  <c r="E2095" i="1"/>
  <c r="B2616" i="1"/>
  <c r="F1386" i="1"/>
  <c r="D1784" i="1"/>
  <c r="F1705" i="1"/>
  <c r="E2707" i="1"/>
  <c r="F2731" i="1"/>
  <c r="D846" i="1"/>
  <c r="F2466" i="1"/>
  <c r="F1691" i="1"/>
  <c r="E2633" i="1"/>
  <c r="E1435" i="1"/>
  <c r="C1801" i="1"/>
  <c r="B1311" i="1"/>
  <c r="D2179" i="1"/>
  <c r="D2579" i="1"/>
  <c r="B2110" i="1"/>
  <c r="F1607" i="1"/>
  <c r="C1751" i="1"/>
  <c r="D1591" i="1"/>
  <c r="D2678" i="1"/>
  <c r="C2700" i="1"/>
  <c r="D1302" i="1"/>
  <c r="D2395" i="1"/>
  <c r="B2389" i="1"/>
  <c r="B1750" i="1"/>
  <c r="F1267" i="1"/>
  <c r="F2480" i="1"/>
  <c r="F2346" i="1"/>
  <c r="E2622" i="1"/>
  <c r="F1687" i="1"/>
  <c r="E1635" i="1"/>
  <c r="C2357" i="1"/>
  <c r="B2453" i="1"/>
  <c r="E2360" i="1"/>
  <c r="C2148" i="1"/>
  <c r="C1647" i="1"/>
  <c r="C2722" i="1"/>
  <c r="B2416" i="1"/>
  <c r="F2550" i="1"/>
  <c r="F2182" i="1"/>
  <c r="C2624" i="1"/>
  <c r="B2740" i="1"/>
  <c r="E2340" i="1"/>
  <c r="D1195" i="1"/>
  <c r="B2053" i="1"/>
  <c r="E2575" i="1"/>
  <c r="C2314" i="1"/>
  <c r="B1791" i="1"/>
  <c r="D1808" i="1"/>
  <c r="C2400" i="1"/>
  <c r="F2463" i="1"/>
  <c r="E1650" i="1"/>
  <c r="B1685" i="1"/>
  <c r="E1591" i="1"/>
  <c r="B2172" i="1"/>
  <c r="D1590" i="1"/>
  <c r="E2355" i="1"/>
  <c r="E2069" i="1"/>
  <c r="B2645" i="1"/>
  <c r="F1600" i="1"/>
  <c r="F2271" i="1"/>
  <c r="C2552" i="1"/>
  <c r="F2288" i="1"/>
  <c r="B1643" i="1"/>
  <c r="B2270" i="1"/>
  <c r="E2692" i="1"/>
  <c r="E2321" i="1"/>
  <c r="F2304" i="1"/>
  <c r="B2096" i="1"/>
  <c r="F2534" i="1"/>
  <c r="F2546" i="1"/>
  <c r="E2125" i="1"/>
  <c r="C2496" i="1"/>
  <c r="F736" i="1"/>
  <c r="D411" i="1"/>
  <c r="E2075" i="1"/>
  <c r="C2681" i="1"/>
  <c r="B2575" i="1"/>
  <c r="D2057" i="1"/>
  <c r="C2548" i="1"/>
  <c r="B2486" i="1"/>
  <c r="F1437" i="1"/>
  <c r="D1402" i="1"/>
  <c r="D2021" i="1"/>
  <c r="B1775" i="1"/>
  <c r="F1778" i="1"/>
  <c r="B2642" i="1"/>
  <c r="B1746" i="1"/>
  <c r="C2487" i="1"/>
  <c r="B1350" i="1"/>
  <c r="E1437" i="1"/>
  <c r="D2554" i="1"/>
  <c r="B2077" i="1"/>
  <c r="B2343" i="1"/>
  <c r="F2046" i="1"/>
  <c r="F2602" i="1"/>
  <c r="E2319" i="1"/>
  <c r="B1322" i="1"/>
  <c r="E2099" i="1"/>
  <c r="C2578" i="1"/>
  <c r="E1793" i="1"/>
  <c r="B2056" i="1"/>
  <c r="D2736" i="1"/>
  <c r="B1425" i="1"/>
  <c r="B2230" i="1"/>
  <c r="C2415" i="1"/>
  <c r="F2567" i="1"/>
  <c r="C1700" i="1"/>
  <c r="E2178" i="1"/>
  <c r="B2693" i="1"/>
  <c r="F2686" i="1"/>
  <c r="D2338" i="1"/>
  <c r="B2063" i="1"/>
  <c r="E1280" i="1"/>
  <c r="E2729" i="1"/>
  <c r="D2696" i="1"/>
  <c r="C2506" i="1"/>
  <c r="D1751" i="1"/>
  <c r="B2292" i="1"/>
  <c r="F2623" i="1"/>
  <c r="F2575" i="1"/>
  <c r="C2582" i="1"/>
  <c r="E2581" i="1"/>
  <c r="D1346" i="1"/>
  <c r="E1765" i="1"/>
  <c r="D2119" i="1"/>
  <c r="D2507" i="1"/>
  <c r="C2320" i="1"/>
  <c r="D2084" i="1"/>
  <c r="B2303" i="1"/>
  <c r="F2367" i="1"/>
  <c r="D1613" i="1"/>
  <c r="D2249" i="1"/>
  <c r="F2537" i="1"/>
  <c r="D2114" i="1"/>
  <c r="E2458" i="1"/>
  <c r="F2023" i="1"/>
  <c r="C2731" i="1"/>
  <c r="C2191" i="1"/>
  <c r="C2227" i="1"/>
  <c r="E2294" i="1"/>
  <c r="D1769" i="1"/>
  <c r="E2228" i="1"/>
  <c r="B2370" i="1"/>
  <c r="B2318" i="1"/>
  <c r="C2533" i="1"/>
  <c r="F2486" i="1"/>
  <c r="F2649" i="1"/>
  <c r="B2102" i="1"/>
  <c r="E2220" i="1"/>
  <c r="F2208" i="1"/>
  <c r="C2355" i="1"/>
  <c r="F2057" i="1"/>
  <c r="D2135" i="1"/>
  <c r="D2465" i="1"/>
  <c r="B1613" i="1"/>
  <c r="D2522" i="1"/>
  <c r="C2601" i="1"/>
  <c r="B1307" i="1"/>
  <c r="D1377" i="1"/>
  <c r="E1788" i="1"/>
  <c r="C1387" i="1"/>
  <c r="B2598" i="1"/>
  <c r="E2420" i="1"/>
  <c r="E1645" i="1"/>
  <c r="E1615" i="1"/>
  <c r="D1286" i="1"/>
  <c r="C2243" i="1"/>
  <c r="D2312" i="1"/>
  <c r="D2313" i="1"/>
  <c r="F2599" i="1"/>
  <c r="B2382" i="1"/>
  <c r="C2740" i="1"/>
  <c r="F2608" i="1"/>
  <c r="E1713" i="1"/>
  <c r="B2141" i="1"/>
  <c r="D1235" i="1"/>
  <c r="B2701" i="1"/>
  <c r="C2408" i="1"/>
  <c r="E2077" i="1"/>
  <c r="C1385" i="1"/>
  <c r="F2637" i="1"/>
  <c r="D2728" i="1"/>
  <c r="B1381" i="1"/>
  <c r="E2699" i="1"/>
  <c r="E1602" i="1"/>
  <c r="F2398" i="1"/>
  <c r="F1767" i="1"/>
  <c r="C1362" i="1"/>
  <c r="D1271" i="1"/>
  <c r="B2392" i="1"/>
  <c r="C1642" i="1"/>
  <c r="B1655" i="1"/>
  <c r="E1225" i="1"/>
  <c r="B2475" i="1"/>
  <c r="E1190" i="1"/>
  <c r="F2365" i="1"/>
  <c r="B1575" i="1"/>
  <c r="D2447" i="1"/>
  <c r="B2121" i="1"/>
  <c r="C2061" i="1"/>
  <c r="F2383" i="1"/>
  <c r="C2594" i="1"/>
  <c r="C2116" i="1"/>
  <c r="F2611" i="1"/>
  <c r="F1671" i="1"/>
  <c r="F2441" i="1"/>
  <c r="E1592" i="1"/>
  <c r="E2091" i="1"/>
  <c r="B2606" i="1"/>
  <c r="E1605" i="1"/>
  <c r="D1281" i="1"/>
  <c r="F1697" i="1"/>
  <c r="C1575" i="1"/>
  <c r="D1385" i="1"/>
  <c r="E2596" i="1"/>
  <c r="E1586" i="1"/>
  <c r="E2310" i="1"/>
  <c r="E2179" i="1"/>
  <c r="D1652" i="1"/>
  <c r="B2196" i="1"/>
  <c r="D2158" i="1"/>
  <c r="C2219" i="1"/>
  <c r="D1695" i="1"/>
  <c r="C1670" i="1"/>
  <c r="D2616" i="1"/>
  <c r="B2602" i="1"/>
  <c r="E1725" i="1"/>
  <c r="B2720" i="1"/>
  <c r="D2336" i="1"/>
  <c r="D2632" i="1"/>
  <c r="F2571" i="1"/>
  <c r="F2470" i="1"/>
  <c r="E1391" i="1"/>
  <c r="C2101" i="1"/>
  <c r="B2527" i="1"/>
  <c r="B2038" i="1"/>
  <c r="B2476" i="1"/>
  <c r="D2241" i="1"/>
  <c r="B2251" i="1"/>
  <c r="D1356" i="1"/>
  <c r="F2344" i="1"/>
  <c r="F2168" i="1"/>
  <c r="C1797" i="1"/>
  <c r="B2212" i="1"/>
  <c r="F2459" i="1"/>
  <c r="F2527" i="1"/>
  <c r="E2706" i="1"/>
  <c r="F1620" i="1"/>
  <c r="D2213" i="1"/>
  <c r="D1758" i="1"/>
  <c r="F2049" i="1"/>
  <c r="B2146" i="1"/>
  <c r="F2072" i="1"/>
  <c r="B2590" i="1"/>
  <c r="F2181" i="1"/>
  <c r="B1362" i="1"/>
  <c r="F1706" i="1"/>
  <c r="B2657" i="1"/>
  <c r="F2697" i="1"/>
  <c r="F2032" i="1"/>
  <c r="D2171" i="1"/>
  <c r="E2637" i="1"/>
  <c r="B2042" i="1"/>
  <c r="E2640" i="1"/>
  <c r="E2060" i="1"/>
  <c r="F2339" i="1"/>
  <c r="C1682" i="1"/>
  <c r="D2542" i="1"/>
  <c r="E1682" i="1"/>
  <c r="F2694" i="1"/>
  <c r="F1637" i="1"/>
  <c r="F1626" i="1"/>
  <c r="C2671" i="1"/>
  <c r="B2332" i="1"/>
  <c r="F1205" i="1"/>
  <c r="B1210" i="1"/>
  <c r="D1675" i="1"/>
  <c r="C1777" i="1"/>
  <c r="C2195" i="1"/>
  <c r="F1366" i="1"/>
  <c r="C2259" i="1"/>
  <c r="B2461" i="1"/>
  <c r="B2687" i="1"/>
  <c r="E2153" i="1"/>
  <c r="D2187" i="1"/>
  <c r="B2081" i="1"/>
  <c r="F1726" i="1"/>
  <c r="D2406" i="1"/>
  <c r="F2581" i="1"/>
  <c r="C1743" i="1"/>
  <c r="C1426" i="1"/>
  <c r="C2308" i="1"/>
  <c r="D2136" i="1"/>
  <c r="D2495" i="1"/>
  <c r="D1710" i="1"/>
  <c r="B2584" i="1"/>
  <c r="C2064" i="1"/>
  <c r="D2374" i="1"/>
  <c r="C2524" i="1"/>
  <c r="D2411" i="1"/>
  <c r="D2744" i="1"/>
  <c r="E1372" i="1"/>
  <c r="B1815" i="1"/>
  <c r="B1751" i="1"/>
  <c r="B2614" i="1"/>
  <c r="E2594" i="1"/>
  <c r="F2380" i="1"/>
  <c r="F2041" i="1"/>
  <c r="C2272" i="1"/>
  <c r="F2149" i="1"/>
  <c r="D2577" i="1"/>
  <c r="C2340" i="1"/>
  <c r="B2338" i="1"/>
  <c r="D2269" i="1"/>
  <c r="B2533" i="1"/>
  <c r="F2364" i="1"/>
  <c r="C1285" i="1"/>
  <c r="F1372" i="1"/>
  <c r="D1792" i="1"/>
  <c r="D2324" i="1"/>
  <c r="F1785" i="1"/>
  <c r="E1327" i="1"/>
  <c r="C1636" i="1"/>
  <c r="C2521" i="1"/>
  <c r="D2677" i="1"/>
  <c r="D1671" i="1"/>
  <c r="B1682" i="1"/>
  <c r="B2688" i="1"/>
  <c r="E1375" i="1"/>
  <c r="F2327" i="1"/>
  <c r="B1802" i="1"/>
  <c r="F2427" i="1"/>
  <c r="F2593" i="1"/>
  <c r="C2512" i="1"/>
  <c r="F2064" i="1"/>
  <c r="F2503" i="1"/>
  <c r="B1790" i="1"/>
  <c r="C2313" i="1"/>
  <c r="C1800" i="1"/>
  <c r="D2607" i="1"/>
  <c r="D2070" i="1"/>
  <c r="D2519" i="1"/>
  <c r="D1361" i="1"/>
  <c r="B2480" i="1"/>
  <c r="D2526" i="1"/>
  <c r="F2336" i="1"/>
  <c r="C2589" i="1"/>
  <c r="C2184" i="1"/>
  <c r="D2614" i="1"/>
  <c r="C1758" i="1"/>
  <c r="C2448" i="1"/>
  <c r="F2183" i="1"/>
  <c r="F1337" i="1"/>
  <c r="E2071" i="1"/>
  <c r="F1813" i="1"/>
  <c r="E2500" i="1"/>
  <c r="E2717" i="1"/>
  <c r="D2612" i="1"/>
  <c r="B1728" i="1"/>
  <c r="B1333" i="1"/>
  <c r="C1287" i="1"/>
  <c r="E2726" i="1"/>
  <c r="D1327" i="1"/>
  <c r="F921" i="1"/>
  <c r="E2137" i="1"/>
  <c r="B2723" i="1"/>
  <c r="F1656" i="1"/>
  <c r="D1706" i="1"/>
  <c r="B1676" i="1"/>
  <c r="C2647" i="1"/>
  <c r="D2112" i="1"/>
  <c r="F2084" i="1"/>
  <c r="E2246" i="1"/>
  <c r="E1306" i="1"/>
  <c r="E2442" i="1"/>
  <c r="E2162" i="1"/>
  <c r="F2309" i="1"/>
  <c r="B2728" i="1"/>
  <c r="F2499" i="1"/>
  <c r="B2439" i="1"/>
  <c r="B2567" i="1"/>
  <c r="F2539" i="1"/>
  <c r="B2659" i="1"/>
  <c r="B1796" i="1"/>
  <c r="D2128" i="1"/>
  <c r="D1641" i="1"/>
  <c r="C2169" i="1"/>
  <c r="C2341" i="1"/>
  <c r="D2727" i="1"/>
  <c r="C2605" i="1"/>
  <c r="C2673" i="1"/>
  <c r="E2029" i="1"/>
  <c r="E2554" i="1"/>
  <c r="D2079" i="1"/>
  <c r="B2635" i="1"/>
  <c r="F2312" i="1"/>
  <c r="F2056" i="1"/>
  <c r="D2184" i="1"/>
  <c r="E2249" i="1"/>
  <c r="E2410" i="1"/>
  <c r="E2367" i="1"/>
  <c r="D2398" i="1"/>
  <c r="E2424" i="1"/>
  <c r="B2706" i="1"/>
  <c r="D2627" i="1"/>
  <c r="D2738" i="1"/>
  <c r="B2741" i="1"/>
  <c r="F2335" i="1"/>
  <c r="B2265" i="1"/>
  <c r="E2351" i="1"/>
  <c r="D2256" i="1"/>
  <c r="D1308" i="1"/>
  <c r="B1151" i="1"/>
  <c r="B1050" i="1"/>
  <c r="C2099" i="1"/>
  <c r="C301" i="1"/>
  <c r="B571" i="1"/>
  <c r="B2023" i="1"/>
  <c r="F2363" i="1"/>
  <c r="C2072" i="1"/>
  <c r="B2293" i="1"/>
  <c r="E1363" i="1"/>
  <c r="F405" i="1"/>
  <c r="E2653" i="1"/>
  <c r="E746" i="1"/>
  <c r="F571" i="1"/>
  <c r="D1421" i="1"/>
  <c r="B2675" i="1"/>
  <c r="B2716" i="1"/>
  <c r="B2717" i="1"/>
  <c r="F2142" i="1"/>
  <c r="B2671" i="1"/>
  <c r="F1736" i="1"/>
  <c r="F2317" i="1"/>
  <c r="C2142" i="1"/>
  <c r="D681" i="1"/>
  <c r="D371" i="1"/>
  <c r="C2265" i="1"/>
  <c r="F1171" i="1"/>
  <c r="D2340" i="1"/>
  <c r="C1767" i="1"/>
  <c r="F2117" i="1"/>
  <c r="B2637" i="1"/>
  <c r="B1351" i="1"/>
  <c r="E1727" i="1"/>
  <c r="D2521" i="1"/>
  <c r="E2566" i="1"/>
  <c r="E2415" i="1"/>
  <c r="C2210" i="1"/>
  <c r="C2347" i="1"/>
  <c r="D2468" i="1"/>
  <c r="B961" i="1"/>
  <c r="C2164" i="1"/>
  <c r="F2523" i="1"/>
  <c r="C2682" i="1"/>
  <c r="C2067" i="1"/>
  <c r="C2381" i="1"/>
  <c r="D1588" i="1"/>
  <c r="F2574" i="1"/>
  <c r="C2104" i="1"/>
  <c r="E2377" i="1"/>
  <c r="E2120" i="1"/>
  <c r="F2191" i="1"/>
  <c r="D2366" i="1"/>
  <c r="B2284" i="1"/>
  <c r="C1804" i="1"/>
  <c r="C2711" i="1"/>
  <c r="D2192" i="1"/>
  <c r="F2622" i="1"/>
  <c r="C2732" i="1"/>
  <c r="E2339" i="1"/>
  <c r="D2625" i="1"/>
  <c r="D2594" i="1"/>
  <c r="F2116" i="1"/>
  <c r="D2287" i="1"/>
  <c r="C2401" i="1"/>
  <c r="C2200" i="1"/>
  <c r="C2680" i="1"/>
  <c r="F2703" i="1"/>
  <c r="F2278" i="1"/>
  <c r="F2447" i="1"/>
  <c r="D2593" i="1"/>
  <c r="B1267" i="1"/>
  <c r="F2595" i="1"/>
  <c r="F2293" i="1"/>
  <c r="F2031" i="1"/>
  <c r="D2355" i="1"/>
  <c r="D2635" i="1"/>
  <c r="D2503" i="1"/>
  <c r="E1759" i="1"/>
  <c r="C2083" i="1"/>
  <c r="B2105" i="1"/>
  <c r="F2195" i="1"/>
  <c r="B2576" i="1"/>
  <c r="E2675" i="1"/>
  <c r="D2055" i="1"/>
  <c r="E2299" i="1"/>
  <c r="C2322" i="1"/>
  <c r="D2520" i="1"/>
  <c r="B321" i="1"/>
  <c r="D2155" i="1"/>
  <c r="D2157" i="1"/>
  <c r="D1703" i="1"/>
  <c r="C1263" i="1"/>
  <c r="F2419" i="1"/>
  <c r="C2274" i="1"/>
  <c r="E1781" i="1"/>
  <c r="D2443" i="1"/>
  <c r="C790" i="1"/>
  <c r="C2544" i="1"/>
  <c r="E1648" i="1"/>
  <c r="C556" i="1"/>
  <c r="F126" i="1"/>
  <c r="B2085" i="1"/>
  <c r="D2539" i="1"/>
  <c r="E2155" i="1"/>
  <c r="C546" i="1"/>
  <c r="C1386" i="1"/>
  <c r="D2667" i="1"/>
  <c r="D896" i="1"/>
  <c r="B1343" i="1"/>
  <c r="E1020" i="1"/>
  <c r="C2256" i="1"/>
  <c r="F2387" i="1"/>
  <c r="B791" i="1"/>
  <c r="E2168" i="1"/>
  <c r="D2444" i="1"/>
  <c r="D2597" i="1"/>
  <c r="B1721" i="1"/>
  <c r="E1382" i="1"/>
  <c r="B2569" i="1"/>
  <c r="D2102" i="1"/>
  <c r="D2323" i="1"/>
  <c r="D1351" i="1"/>
  <c r="E2486" i="1"/>
  <c r="E2728" i="1"/>
  <c r="D2062" i="1"/>
  <c r="E2590" i="1"/>
  <c r="C2183" i="1"/>
  <c r="D1786" i="1"/>
  <c r="E2716" i="1"/>
  <c r="B2612" i="1"/>
  <c r="B2258" i="1"/>
  <c r="F2691" i="1"/>
  <c r="C1821" i="1"/>
  <c r="B2213" i="1"/>
  <c r="D2307" i="1"/>
  <c r="E2475" i="1"/>
  <c r="B1769" i="1"/>
  <c r="B2425" i="1"/>
  <c r="F2516" i="1"/>
  <c r="E711" i="1"/>
  <c r="F1258" i="1"/>
  <c r="D2397" i="1"/>
  <c r="E2053" i="1"/>
  <c r="F2423" i="1"/>
  <c r="D1824" i="1"/>
  <c r="E2243" i="1"/>
  <c r="E2241" i="1"/>
  <c r="D1253" i="1"/>
  <c r="D1781" i="1"/>
  <c r="F2075" i="1"/>
  <c r="C2502" i="1"/>
  <c r="E1036" i="1"/>
  <c r="C2476" i="1"/>
  <c r="F2613" i="1"/>
  <c r="F2024" i="1"/>
  <c r="C2559" i="1"/>
  <c r="F2238" i="1"/>
  <c r="D2081" i="1"/>
  <c r="B2160" i="1"/>
  <c r="D1418" i="1"/>
  <c r="B2703" i="1"/>
  <c r="F2226" i="1"/>
  <c r="F2349" i="1"/>
  <c r="F1250" i="1"/>
  <c r="C2382" i="1"/>
  <c r="B2496" i="1"/>
  <c r="E2300" i="1"/>
  <c r="B2321" i="1"/>
  <c r="C2425" i="1"/>
  <c r="D2704" i="1"/>
  <c r="F2374" i="1"/>
  <c r="F1011" i="1"/>
  <c r="D561" i="1"/>
  <c r="E136" i="1"/>
  <c r="B2690" i="1"/>
  <c r="D2364" i="1"/>
  <c r="C2541" i="1"/>
  <c r="D196" i="1"/>
  <c r="B1283" i="1"/>
  <c r="D1278" i="1"/>
  <c r="C1253" i="1"/>
  <c r="E651" i="1"/>
  <c r="F1769" i="1"/>
  <c r="E2546" i="1"/>
  <c r="C276" i="1"/>
  <c r="F491" i="1"/>
  <c r="C275" i="1"/>
  <c r="C1126" i="1"/>
  <c r="B1786" i="1"/>
  <c r="B1368" i="1"/>
  <c r="C1026" i="1"/>
  <c r="E1618" i="1"/>
  <c r="C2285" i="1"/>
  <c r="B681" i="1"/>
  <c r="D316" i="1"/>
  <c r="B2070" i="1"/>
  <c r="D2546" i="1"/>
  <c r="C2364" i="1"/>
  <c r="E1101" i="1"/>
  <c r="F936" i="1"/>
  <c r="D2633" i="1"/>
  <c r="F2700" i="1"/>
  <c r="C2325" i="1"/>
  <c r="E2238" i="1"/>
  <c r="F1341" i="1"/>
  <c r="D2169" i="1"/>
  <c r="C2115" i="1"/>
  <c r="E2652" i="1"/>
  <c r="F2552" i="1"/>
  <c r="E2271" i="1"/>
  <c r="C2284" i="1"/>
  <c r="B2220" i="1"/>
  <c r="E2452" i="1"/>
  <c r="C421" i="1"/>
  <c r="E2342" i="1"/>
  <c r="B2049" i="1"/>
  <c r="B2078" i="1"/>
  <c r="F2247" i="1"/>
  <c r="F2635" i="1"/>
  <c r="C2306" i="1"/>
  <c r="E2154" i="1"/>
  <c r="E2084" i="1"/>
  <c r="D2673" i="1"/>
  <c r="C2608" i="1"/>
  <c r="F2356" i="1"/>
  <c r="C2084" i="1"/>
  <c r="F2310" i="1"/>
  <c r="B2663" i="1"/>
  <c r="B2299" i="1"/>
  <c r="B2161" i="1"/>
  <c r="E2208" i="1"/>
  <c r="C2126" i="1"/>
  <c r="C2583" i="1"/>
  <c r="C2094" i="1"/>
  <c r="B1413" i="1"/>
  <c r="D2631" i="1"/>
  <c r="B2277" i="1"/>
  <c r="E2042" i="1"/>
  <c r="B1111" i="1"/>
  <c r="C2744" i="1"/>
  <c r="D2439" i="1"/>
  <c r="E1415" i="1"/>
  <c r="F2621" i="1"/>
  <c r="E1826" i="1"/>
  <c r="E1731" i="1"/>
  <c r="D1398" i="1"/>
  <c r="C2558" i="1"/>
  <c r="B2106" i="1"/>
  <c r="D2236" i="1"/>
  <c r="C2527" i="1"/>
  <c r="C2679" i="1"/>
  <c r="E2115" i="1"/>
  <c r="F1786" i="1"/>
  <c r="E2307" i="1"/>
  <c r="E2247" i="1"/>
  <c r="D1178" i="1"/>
  <c r="F2198" i="1"/>
  <c r="B1208" i="1"/>
  <c r="E1288" i="1"/>
  <c r="B605" i="1"/>
  <c r="D2583" i="1"/>
  <c r="D2354" i="1"/>
  <c r="C2051" i="1"/>
  <c r="D921" i="1"/>
  <c r="C2163" i="1"/>
  <c r="C2203" i="1"/>
  <c r="E866" i="1"/>
  <c r="D571" i="1"/>
  <c r="E991" i="1"/>
  <c r="E2206" i="1"/>
  <c r="B2402" i="1"/>
  <c r="C1734" i="1"/>
  <c r="B1724" i="1"/>
  <c r="E2063" i="1"/>
  <c r="B616" i="1"/>
  <c r="B341" i="1"/>
  <c r="C296" i="1"/>
  <c r="F1326" i="1"/>
  <c r="D2133" i="1"/>
  <c r="B876" i="1"/>
  <c r="C830" i="1"/>
  <c r="E2615" i="1"/>
  <c r="F2353" i="1"/>
  <c r="E2515" i="1"/>
  <c r="D2651" i="1"/>
  <c r="C1347" i="1"/>
  <c r="E2263" i="1"/>
  <c r="D2359" i="1"/>
  <c r="B1300" i="1"/>
  <c r="E2417" i="1"/>
  <c r="E2250" i="1"/>
  <c r="C2188" i="1"/>
  <c r="C1236" i="1"/>
  <c r="C2307" i="1"/>
  <c r="C1768" i="1"/>
  <c r="F2490" i="1"/>
  <c r="C1438" i="1"/>
  <c r="F2291" i="1"/>
  <c r="F2189" i="1"/>
  <c r="E2437" i="1"/>
  <c r="E1696" i="1"/>
  <c r="E2187" i="1"/>
  <c r="B1686" i="1"/>
  <c r="C2409" i="1"/>
  <c r="D2560" i="1"/>
  <c r="B1814" i="1"/>
  <c r="B1716" i="1"/>
  <c r="B2050" i="1"/>
  <c r="C2089" i="1"/>
  <c r="D2218" i="1"/>
  <c r="C2566" i="1"/>
  <c r="E2684" i="1"/>
  <c r="D2127" i="1"/>
  <c r="B2494" i="1"/>
  <c r="B2581" i="1"/>
  <c r="F376" i="1"/>
  <c r="E2419" i="1"/>
  <c r="B2367" i="1"/>
  <c r="D2703" i="1"/>
  <c r="B2273" i="1"/>
  <c r="F2096" i="1"/>
  <c r="D2063" i="1"/>
  <c r="D2121" i="1"/>
  <c r="E2280" i="1"/>
  <c r="E2217" i="1"/>
  <c r="F2428" i="1"/>
  <c r="B2186" i="1"/>
  <c r="D2380" i="1"/>
  <c r="C2134" i="1"/>
  <c r="D2676" i="1"/>
  <c r="C2538" i="1"/>
  <c r="F1332" i="1"/>
  <c r="F2379" i="1"/>
  <c r="B2173" i="1"/>
  <c r="F2185" i="1"/>
  <c r="C2597" i="1"/>
  <c r="D2362" i="1"/>
  <c r="F611" i="1"/>
  <c r="E2097" i="1"/>
  <c r="F2496" i="1"/>
  <c r="F446" i="1"/>
  <c r="F2082" i="1"/>
  <c r="B1706" i="1"/>
  <c r="B1729" i="1"/>
  <c r="F1025" i="1"/>
  <c r="F2330" i="1"/>
  <c r="C971" i="1"/>
  <c r="D621" i="1"/>
  <c r="D1241" i="1"/>
  <c r="D2251" i="1"/>
  <c r="F2106" i="1"/>
  <c r="F2158" i="1"/>
  <c r="F1580" i="1"/>
  <c r="F1340" i="1"/>
  <c r="C2560" i="1"/>
  <c r="E2325" i="1"/>
  <c r="B2622" i="1"/>
  <c r="C2404" i="1"/>
  <c r="B2510" i="1"/>
  <c r="D1771" i="1"/>
  <c r="C2302" i="1"/>
  <c r="D1375" i="1"/>
  <c r="C2109" i="1"/>
  <c r="C1717" i="1"/>
  <c r="E1801" i="1"/>
  <c r="E2732" i="1"/>
  <c r="F2721" i="1"/>
  <c r="D436" i="1"/>
  <c r="B2228" i="1"/>
  <c r="F2610" i="1"/>
  <c r="C2177" i="1"/>
  <c r="E1698" i="1"/>
  <c r="C2133" i="1"/>
  <c r="D2181" i="1"/>
  <c r="C2261" i="1"/>
  <c r="E1764" i="1"/>
  <c r="E1743" i="1"/>
  <c r="E2033" i="1"/>
  <c r="B2218" i="1"/>
  <c r="D2214" i="1"/>
  <c r="E2317" i="1"/>
  <c r="D2042" i="1"/>
  <c r="C1702" i="1"/>
  <c r="F2038" i="1"/>
  <c r="B2240" i="1"/>
  <c r="F1301" i="1"/>
  <c r="B1735" i="1"/>
  <c r="E2628" i="1"/>
  <c r="E2495" i="1"/>
  <c r="C2123" i="1"/>
  <c r="C2266" i="1"/>
  <c r="B2330" i="1"/>
  <c r="B2310" i="1"/>
  <c r="B2417" i="1"/>
  <c r="E2171" i="1"/>
  <c r="F2740" i="1"/>
  <c r="B2450" i="1"/>
  <c r="B2531" i="1"/>
  <c r="E1601" i="1"/>
  <c r="C2710" i="1"/>
  <c r="E2141" i="1"/>
  <c r="D1768" i="1"/>
  <c r="D2072" i="1"/>
  <c r="F2666" i="1"/>
  <c r="F2664" i="1"/>
  <c r="D2286" i="1"/>
  <c r="E2443" i="1"/>
  <c r="E2578" i="1"/>
  <c r="F2295" i="1"/>
  <c r="C2165" i="1"/>
  <c r="B1801" i="1"/>
  <c r="C2140" i="1"/>
  <c r="C1381" i="1"/>
  <c r="D706" i="1"/>
  <c r="D566" i="1"/>
  <c r="F380" i="1"/>
  <c r="F2209" i="1"/>
  <c r="D2729" i="1"/>
  <c r="F2033" i="1"/>
  <c r="D2701" i="1"/>
  <c r="F546" i="1"/>
  <c r="E2654" i="1"/>
  <c r="C2657" i="1"/>
  <c r="C2417" i="1"/>
  <c r="E2647" i="1"/>
  <c r="F1675" i="1"/>
  <c r="E1766" i="1"/>
  <c r="C2606" i="1"/>
  <c r="C2034" i="1"/>
  <c r="D1741" i="1"/>
  <c r="C2421" i="1"/>
  <c r="B1436" i="1"/>
  <c r="D1190" i="1"/>
  <c r="E2368" i="1"/>
  <c r="D461" i="1"/>
  <c r="D2076" i="1"/>
  <c r="D2120" i="1"/>
  <c r="C2614" i="1"/>
  <c r="F1186" i="1"/>
  <c r="E2478" i="1"/>
  <c r="C2345" i="1"/>
  <c r="E2446" i="1"/>
  <c r="B1211" i="1"/>
  <c r="B2032" i="1"/>
  <c r="B2159" i="1"/>
  <c r="F2713" i="1"/>
  <c r="E2297" i="1"/>
  <c r="E1396" i="1"/>
  <c r="C2701" i="1"/>
  <c r="D2037" i="1"/>
  <c r="E2454" i="1"/>
  <c r="F1242" i="1"/>
  <c r="F2127" i="1"/>
  <c r="C2179" i="1"/>
  <c r="E2540" i="1"/>
  <c r="B1785" i="1"/>
  <c r="D2553" i="1"/>
  <c r="E2664" i="1"/>
  <c r="B2168" i="1"/>
  <c r="D2540" i="1"/>
  <c r="D2712" i="1"/>
  <c r="C1591" i="1"/>
  <c r="D2235" i="1"/>
  <c r="E2277" i="1"/>
  <c r="B2316" i="1"/>
  <c r="D2200" i="1"/>
  <c r="C2644" i="1"/>
  <c r="B2237" i="1"/>
  <c r="E2404" i="1"/>
  <c r="D2482" i="1"/>
  <c r="C2629" i="1"/>
  <c r="E2464" i="1"/>
  <c r="F2735" i="1"/>
  <c r="F1824" i="1"/>
  <c r="B1734" i="1"/>
  <c r="B1826" i="1"/>
  <c r="D2511" i="1"/>
  <c r="B1293" i="1"/>
  <c r="C2258" i="1"/>
  <c r="E1438" i="1"/>
  <c r="D2306" i="1"/>
  <c r="D2028" i="1"/>
  <c r="C926" i="1"/>
  <c r="C511" i="1"/>
  <c r="F800" i="1"/>
  <c r="D936" i="1"/>
  <c r="B1438" i="1"/>
  <c r="C1583" i="1"/>
  <c r="B2167" i="1"/>
  <c r="F1572" i="1"/>
  <c r="F2570" i="1"/>
  <c r="C2369" i="1"/>
  <c r="F1001" i="1"/>
  <c r="C70" i="1"/>
  <c r="B2390" i="1"/>
  <c r="F396" i="1"/>
  <c r="D1651" i="1"/>
  <c r="D976" i="1"/>
  <c r="D2309" i="1"/>
  <c r="E2648" i="1"/>
  <c r="D1789" i="1"/>
  <c r="C1041" i="1"/>
  <c r="C2741" i="1"/>
  <c r="F2059" i="1"/>
  <c r="C2267" i="1"/>
  <c r="B1348" i="1"/>
  <c r="B1302" i="1"/>
  <c r="D2108" i="1"/>
  <c r="B1768" i="1"/>
  <c r="E2731" i="1"/>
  <c r="D2263" i="1"/>
  <c r="B1723" i="1"/>
  <c r="D2480" i="1"/>
  <c r="E1171" i="1"/>
  <c r="E2221" i="1"/>
  <c r="D2056" i="1"/>
  <c r="E1796" i="1"/>
  <c r="D2626" i="1"/>
  <c r="C2138" i="1"/>
  <c r="C2709" i="1"/>
  <c r="B2341" i="1"/>
  <c r="F2244" i="1"/>
  <c r="F2556" i="1"/>
  <c r="C346" i="1"/>
  <c r="F2629" i="1"/>
  <c r="E2225" i="1"/>
  <c r="F2474" i="1"/>
  <c r="C2555" i="1"/>
  <c r="F2509" i="1"/>
  <c r="C2561" i="1"/>
  <c r="F2460" i="1"/>
  <c r="C436" i="1"/>
  <c r="F1373" i="1"/>
  <c r="F2544" i="1"/>
  <c r="C2510" i="1"/>
  <c r="D231" i="1"/>
  <c r="C2271" i="1"/>
  <c r="F2104" i="1"/>
  <c r="B1185" i="1"/>
  <c r="E1253" i="1"/>
  <c r="B1812" i="1"/>
  <c r="E2469" i="1"/>
  <c r="C2278" i="1"/>
  <c r="E836" i="1"/>
  <c r="B586" i="1"/>
  <c r="F2455" i="1"/>
  <c r="B2247" i="1"/>
  <c r="D786" i="1"/>
  <c r="B2679" i="1"/>
  <c r="D2347" i="1"/>
  <c r="F2307" i="1"/>
  <c r="C676" i="1"/>
  <c r="F2572" i="1"/>
  <c r="B1346" i="1"/>
  <c r="F2351" i="1"/>
  <c r="F2289" i="1"/>
  <c r="B2133" i="1"/>
  <c r="F2135" i="1"/>
  <c r="F2434" i="1"/>
  <c r="F2656" i="1"/>
  <c r="E2235" i="1"/>
  <c r="F1596" i="1"/>
  <c r="C2721" i="1"/>
  <c r="C2669" i="1"/>
  <c r="E1183" i="1"/>
  <c r="B621" i="1"/>
  <c r="D2073" i="1"/>
  <c r="C2281" i="1"/>
  <c r="F2712" i="1"/>
  <c r="B821" i="1"/>
  <c r="D2353" i="1"/>
  <c r="D2100" i="1"/>
  <c r="C1191" i="1"/>
  <c r="B871" i="1"/>
  <c r="B2718" i="1"/>
  <c r="B2034" i="1"/>
  <c r="C2106" i="1"/>
  <c r="C2286" i="1"/>
  <c r="B540" i="1"/>
  <c r="E1671" i="1"/>
  <c r="E1181" i="1"/>
  <c r="C1233" i="1"/>
  <c r="E256" i="1"/>
  <c r="F2296" i="1"/>
  <c r="D2082" i="1"/>
  <c r="D2250" i="1"/>
  <c r="E1588" i="1"/>
  <c r="B2514" i="1"/>
  <c r="B2257" i="1"/>
  <c r="F986" i="1"/>
  <c r="D2175" i="1"/>
  <c r="C1595" i="1"/>
  <c r="D2210" i="1"/>
  <c r="D2273" i="1"/>
  <c r="D2195" i="1"/>
  <c r="D2065" i="1"/>
  <c r="C2282" i="1"/>
  <c r="F2641" i="1"/>
  <c r="D2451" i="1"/>
  <c r="B2072" i="1"/>
  <c r="E2588" i="1"/>
  <c r="F2707" i="1"/>
  <c r="F2371" i="1"/>
  <c r="C2230" i="1"/>
  <c r="C2107" i="1"/>
  <c r="C2304" i="1"/>
  <c r="F2498" i="1"/>
  <c r="E2203" i="1"/>
  <c r="B2539" i="1"/>
  <c r="B1601" i="1"/>
  <c r="F1765" i="1"/>
  <c r="D2330" i="1"/>
  <c r="F686" i="1"/>
  <c r="F2597" i="1"/>
  <c r="B2725" i="1"/>
  <c r="B2082" i="1"/>
  <c r="D1726" i="1"/>
  <c r="F2256" i="1"/>
  <c r="D2469" i="1"/>
  <c r="F2120" i="1"/>
  <c r="E1242" i="1"/>
  <c r="E2613" i="1"/>
  <c r="F2343" i="1"/>
  <c r="D2168" i="1"/>
  <c r="F2588" i="1"/>
  <c r="D2318" i="1"/>
  <c r="C2054" i="1"/>
  <c r="E2576" i="1"/>
  <c r="D2648" i="1"/>
  <c r="E2270" i="1"/>
  <c r="E2232" i="1"/>
  <c r="B2075" i="1"/>
  <c r="E2485" i="1"/>
  <c r="E2510" i="1"/>
  <c r="D2599" i="1"/>
  <c r="E2491" i="1"/>
  <c r="D2716" i="1"/>
  <c r="B2256" i="1"/>
  <c r="E1686" i="1"/>
  <c r="D2124" i="1"/>
  <c r="F2504" i="1"/>
  <c r="D2559" i="1"/>
  <c r="F2078" i="1"/>
  <c r="C2399" i="1"/>
  <c r="D2427" i="1"/>
  <c r="C2532" i="1"/>
  <c r="D2725" i="1"/>
  <c r="D2188" i="1"/>
  <c r="C2292" i="1"/>
  <c r="C476" i="1"/>
  <c r="B970" i="1"/>
  <c r="E2068" i="1"/>
  <c r="F1416" i="1"/>
  <c r="D201" i="1"/>
  <c r="E1201" i="1"/>
  <c r="C2520" i="1"/>
  <c r="F2129" i="1"/>
  <c r="D2091" i="1"/>
  <c r="E1577" i="1"/>
  <c r="D2101" i="1"/>
  <c r="C861" i="1"/>
  <c r="C746" i="1"/>
  <c r="C1764" i="1"/>
  <c r="E2733" i="1"/>
  <c r="B2097" i="1"/>
  <c r="C1618" i="1"/>
  <c r="B1379" i="1"/>
  <c r="F1353" i="1"/>
  <c r="C2600" i="1"/>
  <c r="C1391" i="1"/>
  <c r="B2221" i="1"/>
  <c r="F1421" i="1"/>
  <c r="B2559" i="1"/>
  <c r="B1253" i="1"/>
  <c r="D1568" i="1"/>
  <c r="E536" i="1"/>
  <c r="F2262" i="1"/>
  <c r="E2562" i="1"/>
  <c r="C2497" i="1"/>
  <c r="C2430" i="1"/>
  <c r="C2037" i="1"/>
  <c r="E2223" i="1"/>
  <c r="D2339" i="1"/>
  <c r="D2715" i="1"/>
  <c r="B2676" i="1"/>
  <c r="E2720" i="1"/>
  <c r="E2409" i="1"/>
  <c r="F1335" i="1"/>
  <c r="C2103" i="1"/>
  <c r="E1816" i="1"/>
  <c r="C2505" i="1"/>
  <c r="E2591" i="1"/>
  <c r="F2284" i="1"/>
  <c r="D2527" i="1"/>
  <c r="E2062" i="1"/>
  <c r="D2341" i="1"/>
  <c r="F1716" i="1"/>
  <c r="F2566" i="1"/>
  <c r="F2675" i="1"/>
  <c r="F2388" i="1"/>
  <c r="B2692" i="1"/>
  <c r="E1786" i="1"/>
  <c r="B2054" i="1"/>
  <c r="E1734" i="1"/>
  <c r="F1766" i="1"/>
  <c r="E2634" i="1"/>
  <c r="E2473" i="1"/>
  <c r="B2109" i="1"/>
  <c r="B2233" i="1"/>
  <c r="B2467" i="1"/>
  <c r="C2623" i="1"/>
  <c r="C2716" i="1"/>
  <c r="B2100" i="1"/>
  <c r="C1261" i="1"/>
  <c r="E2150" i="1"/>
  <c r="C2570" i="1"/>
  <c r="C2728" i="1"/>
  <c r="B2214" i="1"/>
  <c r="F2214" i="1"/>
  <c r="E2397" i="1"/>
  <c r="E2479" i="1"/>
  <c r="E2346" i="1"/>
  <c r="B2554" i="1"/>
  <c r="C1651" i="1"/>
  <c r="D2413" i="1"/>
  <c r="D2129" i="1"/>
  <c r="F2404" i="1"/>
  <c r="C2667" i="1"/>
  <c r="D2098" i="1"/>
  <c r="E2204" i="1"/>
  <c r="C2327" i="1"/>
  <c r="E2117" i="1"/>
  <c r="F1688" i="1"/>
  <c r="B2641" i="1"/>
  <c r="E2252" i="1"/>
  <c r="C1339" i="1"/>
  <c r="B2222" i="1"/>
  <c r="F781" i="1"/>
  <c r="F1056" i="1"/>
  <c r="B355" i="1"/>
  <c r="E2148" i="1"/>
  <c r="E2609" i="1"/>
  <c r="D2194" i="1"/>
  <c r="D1653" i="1"/>
  <c r="C2666" i="1"/>
  <c r="B2313" i="1"/>
  <c r="D616" i="1"/>
  <c r="F321" i="1"/>
  <c r="C581" i="1"/>
  <c r="D1696" i="1"/>
  <c r="E2200" i="1"/>
  <c r="D1819" i="1"/>
  <c r="D261" i="1"/>
  <c r="C2446" i="1"/>
  <c r="D1111" i="1"/>
  <c r="F1583" i="1"/>
  <c r="C1188" i="1"/>
  <c r="E811" i="1"/>
  <c r="E2621" i="1"/>
  <c r="F1627" i="1"/>
  <c r="E2281" i="1"/>
  <c r="C2319" i="1"/>
  <c r="D2373" i="1"/>
  <c r="D2409" i="1"/>
  <c r="E986" i="1"/>
  <c r="C2491" i="1"/>
  <c r="C1400" i="1"/>
  <c r="B2732" i="1"/>
  <c r="C2178" i="1"/>
  <c r="C2290" i="1"/>
  <c r="F2134" i="1"/>
  <c r="C2429" i="1"/>
  <c r="F2528" i="1"/>
  <c r="C2326" i="1"/>
  <c r="F2678" i="1"/>
  <c r="C2390" i="1"/>
  <c r="F1817" i="1"/>
  <c r="C2212" i="1"/>
  <c r="C2456" i="1"/>
  <c r="E2743" i="1"/>
  <c r="B2346" i="1"/>
  <c r="C2485" i="1"/>
  <c r="D2111" i="1"/>
  <c r="C2073" i="1"/>
  <c r="E1433" i="1"/>
  <c r="B1316" i="1"/>
  <c r="F2639" i="1"/>
  <c r="B2135" i="1"/>
  <c r="F2385" i="1"/>
  <c r="B1576" i="1"/>
  <c r="D2558" i="1"/>
  <c r="B2363" i="1"/>
  <c r="E2052" i="1"/>
  <c r="C2586" i="1"/>
  <c r="D2203" i="1"/>
  <c r="C2062" i="1"/>
  <c r="E2589" i="1"/>
  <c r="B1437" i="1"/>
  <c r="D2721" i="1"/>
  <c r="C2335" i="1"/>
  <c r="D2506" i="1"/>
  <c r="F2730" i="1"/>
  <c r="D2535" i="1"/>
  <c r="F2089" i="1"/>
  <c r="F2030" i="1"/>
  <c r="E2555" i="1"/>
  <c r="F2449" i="1"/>
  <c r="B2234" i="1"/>
  <c r="E2313" i="1"/>
  <c r="E1392" i="1"/>
  <c r="E2679" i="1"/>
  <c r="B2344" i="1"/>
  <c r="E2525" i="1"/>
  <c r="C2366" i="1"/>
  <c r="C2026" i="1"/>
  <c r="C1656" i="1"/>
  <c r="D661" i="1"/>
  <c r="E2065" i="1"/>
  <c r="C1408" i="1"/>
  <c r="D2591" i="1"/>
  <c r="E1178" i="1"/>
  <c r="C1603" i="1"/>
  <c r="B775" i="1"/>
  <c r="E2050" i="1"/>
  <c r="C321" i="1"/>
  <c r="C1786" i="1"/>
  <c r="D451" i="1"/>
  <c r="D2274" i="1"/>
  <c r="B2362" i="1"/>
  <c r="D1431" i="1"/>
  <c r="F966" i="1"/>
  <c r="E146" i="1"/>
  <c r="F1121" i="1"/>
  <c r="E2073" i="1"/>
  <c r="D911" i="1"/>
  <c r="E2565" i="1"/>
  <c r="F2136" i="1"/>
  <c r="B2126" i="1"/>
  <c r="B441" i="1"/>
  <c r="C1378" i="1"/>
  <c r="E2079" i="1"/>
  <c r="D2379" i="1"/>
  <c r="B2079" i="1"/>
  <c r="E2186" i="1"/>
  <c r="B2175" i="1"/>
  <c r="B2300" i="1"/>
  <c r="D2466" i="1"/>
  <c r="F2543" i="1"/>
  <c r="B2702" i="1"/>
  <c r="E2734" i="1"/>
  <c r="F1799" i="1"/>
  <c r="B2337" i="1"/>
  <c r="C2088" i="1"/>
  <c r="C2033" i="1"/>
  <c r="C2720" i="1"/>
  <c r="F2553" i="1"/>
  <c r="F2110" i="1"/>
  <c r="B2099" i="1"/>
  <c r="F2042" i="1"/>
  <c r="E1405" i="1"/>
  <c r="D2384" i="1"/>
  <c r="C2727" i="1"/>
  <c r="F2558" i="1"/>
  <c r="C2207" i="1"/>
  <c r="F2630" i="1"/>
  <c r="F1351" i="1"/>
  <c r="F2093" i="1"/>
  <c r="C2068" i="1"/>
  <c r="C2483" i="1"/>
  <c r="C2410" i="1"/>
  <c r="F2359" i="1"/>
  <c r="F2322" i="1"/>
  <c r="C2447" i="1"/>
  <c r="C2038" i="1"/>
  <c r="D2449" i="1"/>
  <c r="E2201" i="1"/>
  <c r="C2223" i="1"/>
  <c r="D1643" i="1"/>
  <c r="C1360" i="1"/>
  <c r="F2693" i="1"/>
  <c r="E1610" i="1"/>
  <c r="C2516" i="1"/>
  <c r="D2219" i="1"/>
  <c r="C2125" i="1"/>
  <c r="F2265" i="1"/>
  <c r="E2702" i="1"/>
  <c r="E2375" i="1"/>
  <c r="D2692" i="1"/>
  <c r="F1396" i="1"/>
  <c r="E2156" i="1"/>
  <c r="D2026" i="1"/>
  <c r="B2248" i="1"/>
  <c r="D2025" i="1"/>
  <c r="B2573" i="1"/>
  <c r="B2252" i="1"/>
  <c r="E2457" i="1"/>
  <c r="B2124" i="1"/>
  <c r="F2280" i="1"/>
  <c r="F2092" i="1"/>
  <c r="F1804" i="1"/>
  <c r="C2706" i="1"/>
  <c r="B2507" i="1"/>
  <c r="C2277" i="1"/>
  <c r="E2694" i="1"/>
  <c r="C2254" i="1"/>
  <c r="F2217" i="1"/>
  <c r="D2281" i="1"/>
  <c r="E1824" i="1"/>
  <c r="C2450" i="1"/>
  <c r="C2691" i="1"/>
  <c r="E2492" i="1"/>
  <c r="F2393" i="1"/>
  <c r="D2549" i="1"/>
  <c r="B2215" i="1"/>
  <c r="B2243" i="1"/>
  <c r="E2680" i="1"/>
  <c r="F1300" i="1"/>
  <c r="E2127" i="1"/>
  <c r="F1251" i="1"/>
  <c r="C336" i="1"/>
  <c r="F2589" i="1"/>
  <c r="D2113" i="1"/>
  <c r="E2330" i="1"/>
  <c r="B2098" i="1"/>
  <c r="C2654" i="1"/>
  <c r="B2327" i="1"/>
  <c r="D2564" i="1"/>
  <c r="D2604" i="1"/>
  <c r="C2337" i="1"/>
  <c r="D1631" i="1"/>
  <c r="F2150" i="1"/>
  <c r="B2705" i="1"/>
  <c r="F2671" i="1"/>
  <c r="F2431" i="1"/>
  <c r="E2189" i="1"/>
  <c r="D2349" i="1"/>
  <c r="E541" i="1"/>
  <c r="E55" i="1"/>
  <c r="F886" i="1"/>
  <c r="E2194" i="1"/>
  <c r="C1213" i="1"/>
  <c r="E2571" i="1"/>
  <c r="B2430" i="1"/>
  <c r="D116" i="1"/>
  <c r="E1676" i="1"/>
  <c r="D2528" i="1"/>
  <c r="F1613" i="1"/>
  <c r="F1061" i="1"/>
  <c r="D1146" i="1"/>
  <c r="C2312" i="1"/>
  <c r="E2322" i="1"/>
  <c r="D2134" i="1"/>
  <c r="C2708" i="1"/>
  <c r="E501" i="1"/>
  <c r="C576" i="1"/>
  <c r="F2221" i="1"/>
  <c r="B2620" i="1"/>
  <c r="E261" i="1"/>
  <c r="B2704" i="1"/>
  <c r="B1373" i="1"/>
  <c r="E1336" i="1"/>
  <c r="E1408" i="1"/>
  <c r="F720" i="1"/>
  <c r="B1591" i="1"/>
  <c r="D2717" i="1"/>
  <c r="B2438" i="1"/>
  <c r="C2055" i="1"/>
  <c r="D1662" i="1"/>
  <c r="B1779" i="1"/>
  <c r="D2086" i="1"/>
  <c r="B1361" i="1"/>
  <c r="D2453" i="1"/>
  <c r="E2631" i="1"/>
  <c r="F486" i="1"/>
  <c r="F2485" i="1"/>
  <c r="C2723" i="1"/>
  <c r="C2110" i="1"/>
  <c r="B2501" i="1"/>
  <c r="E1665" i="1"/>
  <c r="E2174" i="1"/>
  <c r="E2245" i="1"/>
  <c r="E2275" i="1"/>
  <c r="D2595" i="1"/>
  <c r="F2360" i="1"/>
  <c r="E1631" i="1"/>
  <c r="D1285" i="1"/>
  <c r="F2424" i="1"/>
  <c r="E2740" i="1"/>
  <c r="E2617" i="1"/>
  <c r="F2573" i="1"/>
  <c r="B1730" i="1"/>
  <c r="F2426" i="1"/>
  <c r="D2177" i="1"/>
  <c r="C2458" i="1"/>
  <c r="D2601" i="1"/>
  <c r="D2109" i="1"/>
  <c r="C1794" i="1"/>
  <c r="E1311" i="1"/>
  <c r="E2601" i="1"/>
  <c r="C2573" i="1"/>
  <c r="F1358" i="1"/>
  <c r="C2260" i="1"/>
  <c r="C2468" i="1"/>
  <c r="E2619" i="1"/>
  <c r="B2203" i="1"/>
  <c r="D2434" i="1"/>
  <c r="C2344" i="1"/>
  <c r="E2264" i="1"/>
  <c r="F1729" i="1"/>
  <c r="C1641" i="1"/>
  <c r="E2595" i="1"/>
  <c r="B2699" i="1"/>
  <c r="E2542" i="1"/>
  <c r="D2224" i="1"/>
  <c r="B2151" i="1"/>
  <c r="D2446" i="1"/>
  <c r="C2087" i="1"/>
  <c r="F2417" i="1"/>
  <c r="B2372" i="1"/>
  <c r="E551" i="1"/>
  <c r="F1071" i="1"/>
  <c r="C2742" i="1"/>
  <c r="E2038" i="1"/>
  <c r="C2549" i="1"/>
  <c r="B1663" i="1"/>
  <c r="D221" i="1"/>
  <c r="C655" i="1"/>
  <c r="D1276" i="1"/>
  <c r="C1086" i="1"/>
  <c r="D1196" i="1"/>
  <c r="D401" i="1"/>
  <c r="C2119" i="1"/>
  <c r="B2565" i="1"/>
  <c r="C2493" i="1"/>
  <c r="C2186" i="1"/>
  <c r="F2692" i="1"/>
  <c r="E361" i="1"/>
  <c r="B1799" i="1"/>
  <c r="F761" i="1"/>
  <c r="B2206" i="1"/>
  <c r="C1228" i="1"/>
  <c r="B2736" i="1"/>
  <c r="D1041" i="1"/>
  <c r="D796" i="1"/>
  <c r="C1698" i="1"/>
  <c r="E2518" i="1"/>
  <c r="C2567" i="1"/>
  <c r="B1661" i="1"/>
  <c r="C1317" i="1"/>
  <c r="B2594" i="1"/>
  <c r="B2655" i="1"/>
  <c r="C2283" i="1"/>
  <c r="E2406" i="1"/>
  <c r="C2358" i="1"/>
  <c r="D2118" i="1"/>
  <c r="B2226" i="1"/>
  <c r="B2117" i="1"/>
  <c r="D2088" i="1"/>
  <c r="B1568" i="1"/>
  <c r="E2522" i="1"/>
  <c r="D2732" i="1"/>
  <c r="C2361" i="1"/>
  <c r="D2267" i="1"/>
  <c r="F2132" i="1"/>
  <c r="E2126" i="1"/>
  <c r="E2682" i="1"/>
  <c r="D1811" i="1"/>
  <c r="B2469" i="1"/>
  <c r="F2562" i="1"/>
  <c r="D2050" i="1"/>
  <c r="C2690" i="1"/>
  <c r="B2366" i="1"/>
  <c r="E2741" i="1"/>
  <c r="F2099" i="1"/>
  <c r="C2098" i="1"/>
  <c r="C1250" i="1"/>
  <c r="B2187" i="1"/>
  <c r="D2740" i="1"/>
  <c r="D2248" i="1"/>
  <c r="E2214" i="1"/>
  <c r="D2702" i="1"/>
  <c r="E2244" i="1"/>
  <c r="E2124" i="1"/>
  <c r="C2574" i="1"/>
  <c r="D1306" i="1"/>
  <c r="F1801" i="1"/>
  <c r="E2701" i="1"/>
  <c r="F2308" i="1"/>
  <c r="B2387" i="1"/>
  <c r="D2322" i="1"/>
  <c r="F2022" i="1"/>
  <c r="E2344" i="1"/>
  <c r="F2264" i="1"/>
  <c r="F1728" i="1"/>
  <c r="B2152" i="1"/>
  <c r="B2550" i="1"/>
  <c r="D2032" i="1"/>
  <c r="C2144" i="1"/>
  <c r="F2410" i="1"/>
  <c r="E2172" i="1"/>
  <c r="C2470" i="1"/>
  <c r="B2391" i="1"/>
  <c r="E2209" i="1"/>
  <c r="E1794" i="1"/>
  <c r="B346" i="1"/>
  <c r="C2370" i="1"/>
  <c r="F2192" i="1"/>
  <c r="B1116" i="1"/>
  <c r="D821" i="1"/>
  <c r="D1291" i="1"/>
  <c r="C2607" i="1"/>
  <c r="B2735" i="1"/>
  <c r="D2691" i="1"/>
  <c r="F1178" i="1"/>
  <c r="D2650" i="1"/>
  <c r="C2580" i="1"/>
  <c r="C1610" i="1"/>
  <c r="F1306" i="1"/>
  <c r="E2641" i="1"/>
  <c r="D1764" i="1"/>
  <c r="C2226" i="1"/>
  <c r="E2533" i="1"/>
  <c r="D736" i="1"/>
  <c r="F2105" i="1"/>
  <c r="C2465" i="1"/>
  <c r="F2249" i="1"/>
  <c r="D2429" i="1"/>
  <c r="B2436" i="1"/>
  <c r="C1586" i="1"/>
  <c r="F2586" i="1"/>
  <c r="C2356" i="1"/>
  <c r="B2408" i="1"/>
  <c r="D2097" i="1"/>
  <c r="F2668" i="1"/>
  <c r="C2593" i="1"/>
  <c r="C2113" i="1"/>
  <c r="D2580" i="1"/>
  <c r="C2342" i="1"/>
  <c r="C2529" i="1"/>
  <c r="E2610" i="1"/>
  <c r="B2493" i="1"/>
  <c r="C2318" i="1"/>
  <c r="B1771" i="1"/>
  <c r="D2107" i="1"/>
  <c r="B2333" i="1"/>
  <c r="E2401" i="1"/>
  <c r="D1799" i="1"/>
  <c r="B1696" i="1"/>
  <c r="D2131" i="1"/>
  <c r="B2579" i="1"/>
  <c r="D2421" i="1"/>
  <c r="C2434" i="1"/>
  <c r="E2426" i="1"/>
  <c r="D1233" i="1"/>
  <c r="B1281" i="1"/>
  <c r="F2113" i="1"/>
  <c r="B2190" i="1"/>
  <c r="C2413" i="1"/>
  <c r="C1691" i="1"/>
  <c r="B2140" i="1"/>
  <c r="E1400" i="1"/>
  <c r="D2332" i="1"/>
  <c r="F2037" i="1"/>
  <c r="B2294" i="1"/>
  <c r="B2123" i="1"/>
  <c r="C2428" i="1"/>
  <c r="C2343" i="1"/>
  <c r="F2657" i="1"/>
  <c r="B1744" i="1"/>
  <c r="D2064" i="1"/>
  <c r="F216" i="1"/>
  <c r="F2670" i="1"/>
  <c r="F2215" i="1"/>
  <c r="E2138" i="1"/>
  <c r="D2456" i="1"/>
  <c r="C2289" i="1"/>
  <c r="F2420" i="1"/>
  <c r="E2523" i="1"/>
  <c r="F2156" i="1"/>
  <c r="D876" i="1"/>
  <c r="D2723" i="1"/>
  <c r="B2242" i="1"/>
  <c r="D2311" i="1"/>
  <c r="C626" i="1"/>
  <c r="B2588" i="1"/>
  <c r="B2377" i="1"/>
  <c r="B2349" i="1"/>
  <c r="D2197" i="1"/>
  <c r="B2700" i="1"/>
  <c r="B2244" i="1"/>
  <c r="B2163" i="1"/>
  <c r="F1276" i="1"/>
  <c r="F2429" i="1"/>
  <c r="C2641" i="1"/>
  <c r="B2528" i="1"/>
  <c r="D1211" i="1"/>
  <c r="B2547" i="1"/>
  <c r="C2276" i="1"/>
  <c r="D2268" i="1"/>
  <c r="E2358" i="1"/>
  <c r="C2021" i="1"/>
  <c r="F2521" i="1"/>
  <c r="B2681" i="1"/>
  <c r="D611" i="1"/>
  <c r="B2150" i="1"/>
  <c r="D2142" i="1"/>
  <c r="D2644" i="1"/>
  <c r="E2226" i="1"/>
  <c r="C2146" i="1"/>
  <c r="B946" i="1"/>
  <c r="C2414" i="1"/>
  <c r="B1781" i="1"/>
  <c r="E2673" i="1"/>
  <c r="F1747" i="1"/>
  <c r="B2342" i="1"/>
  <c r="D2681" i="1"/>
  <c r="B2628" i="1"/>
  <c r="F2582" i="1"/>
  <c r="C1729" i="1"/>
  <c r="F2253" i="1"/>
  <c r="D2190" i="1"/>
  <c r="F2270" i="1"/>
  <c r="B2695" i="1"/>
  <c r="D2189" i="1"/>
  <c r="E630" i="1"/>
  <c r="B1393" i="1"/>
  <c r="F776" i="1"/>
  <c r="F1438" i="1"/>
  <c r="D2369" i="1"/>
  <c r="F2045" i="1"/>
  <c r="B1754" i="1"/>
  <c r="B2393" i="1"/>
  <c r="C496" i="1"/>
  <c r="F2644" i="1"/>
  <c r="B2682" i="1"/>
  <c r="D1086" i="1"/>
  <c r="B1423" i="1"/>
  <c r="E471" i="1"/>
  <c r="D2117" i="1"/>
  <c r="C2725" i="1"/>
  <c r="E1216" i="1"/>
  <c r="F1734" i="1"/>
  <c r="C916" i="1"/>
  <c r="C2636" i="1"/>
  <c r="C2121" i="1"/>
  <c r="F1188" i="1"/>
  <c r="B1036" i="1"/>
  <c r="F2594" i="1"/>
  <c r="C2079" i="1"/>
  <c r="B1201" i="1"/>
  <c r="C1131" i="1"/>
  <c r="F636" i="1"/>
  <c r="E1716" i="1"/>
  <c r="B2176" i="1"/>
  <c r="D2051" i="1"/>
  <c r="E2026" i="1"/>
  <c r="D2620" i="1"/>
  <c r="E1051" i="1"/>
  <c r="D531" i="1"/>
  <c r="D251" i="1"/>
  <c r="D2239" i="1"/>
  <c r="B2058" i="1"/>
  <c r="F1343" i="1"/>
  <c r="D2720" i="1"/>
  <c r="F561" i="1"/>
  <c r="C1744" i="1"/>
  <c r="D1343" i="1"/>
  <c r="D2682" i="1"/>
  <c r="C2057" i="1"/>
  <c r="E2199" i="1"/>
  <c r="C2466" i="1"/>
  <c r="C2474" i="1"/>
  <c r="D1051" i="1"/>
  <c r="B1278" i="1"/>
  <c r="F2624" i="1"/>
  <c r="E1406" i="1"/>
  <c r="C1653" i="1"/>
  <c r="F1135" i="1"/>
  <c r="F581" i="1"/>
  <c r="B2302" i="1"/>
  <c r="E2258" i="1"/>
  <c r="E455" i="1"/>
  <c r="E620" i="1"/>
  <c r="E210" i="1"/>
  <c r="C2611" i="1"/>
  <c r="D671" i="1"/>
  <c r="F51" i="1"/>
  <c r="E851" i="1"/>
  <c r="E2390" i="1"/>
  <c r="C1609" i="1"/>
  <c r="C1424" i="1"/>
  <c r="F1141" i="1"/>
  <c r="F451" i="1"/>
  <c r="B1180" i="1"/>
  <c r="F2241" i="1"/>
  <c r="D70" i="1"/>
  <c r="C2202" i="1"/>
  <c r="E2057" i="1"/>
  <c r="D1188" i="1"/>
  <c r="F2258" i="1"/>
  <c r="E2173" i="1"/>
  <c r="D2562" i="1"/>
  <c r="C2131" i="1"/>
  <c r="E1736" i="1"/>
  <c r="D2393" i="1"/>
  <c r="F2306" i="1"/>
  <c r="B2044" i="1"/>
  <c r="E2459" i="1"/>
  <c r="F1764" i="1"/>
  <c r="B2739" i="1"/>
  <c r="D756" i="1"/>
  <c r="E1789" i="1"/>
  <c r="D1261" i="1"/>
  <c r="B2083" i="1"/>
  <c r="C2046" i="1"/>
  <c r="B2707" i="1"/>
  <c r="B2061" i="1"/>
  <c r="D1826" i="1"/>
  <c r="C1633" i="1"/>
  <c r="B861" i="1"/>
  <c r="E511" i="1"/>
  <c r="E2265" i="1"/>
  <c r="B1066" i="1"/>
  <c r="F1593" i="1"/>
  <c r="D2266" i="1"/>
  <c r="E2121" i="1"/>
  <c r="C2031" i="1"/>
  <c r="F476" i="1"/>
  <c r="E1055" i="1"/>
  <c r="E2534" i="1"/>
  <c r="B2345" i="1"/>
  <c r="F791" i="1"/>
  <c r="C666" i="1"/>
  <c r="F1643" i="1"/>
  <c r="F721" i="1"/>
  <c r="C846" i="1"/>
  <c r="E1639" i="1"/>
  <c r="F1308" i="1"/>
  <c r="E1308" i="1"/>
  <c r="B886" i="1"/>
  <c r="F691" i="1"/>
  <c r="C2481" i="1"/>
  <c r="B2107" i="1"/>
  <c r="B2636" i="1"/>
  <c r="C386" i="1"/>
  <c r="D1248" i="1"/>
  <c r="E2040" i="1"/>
  <c r="C2053" i="1"/>
  <c r="C1066" i="1"/>
  <c r="B2120" i="1"/>
  <c r="B2583" i="1"/>
  <c r="C1313" i="1"/>
  <c r="E1246" i="1"/>
  <c r="F1739" i="1"/>
  <c r="B611" i="1"/>
  <c r="B2191" i="1"/>
  <c r="E661" i="1"/>
  <c r="B2278" i="1"/>
  <c r="C2388" i="1"/>
  <c r="E916" i="1"/>
  <c r="B471" i="1"/>
  <c r="B2317" i="1"/>
  <c r="B1276" i="1"/>
  <c r="B631" i="1"/>
  <c r="B653" i="1"/>
  <c r="E801" i="1"/>
  <c r="E1651" i="1"/>
  <c r="B1193" i="1"/>
  <c r="E760" i="1"/>
  <c r="C805" i="1"/>
  <c r="F731" i="1"/>
  <c r="C1201" i="1"/>
  <c r="B511" i="1"/>
  <c r="F820" i="1"/>
  <c r="E1075" i="1"/>
  <c r="C906" i="1"/>
  <c r="E1704" i="1"/>
  <c r="C725" i="1"/>
  <c r="C1220" i="1"/>
  <c r="C2324" i="1"/>
  <c r="D1774" i="1"/>
  <c r="C2386" i="1"/>
  <c r="C2175" i="1"/>
  <c r="D2486" i="1"/>
  <c r="D2294" i="1"/>
  <c r="C2639" i="1"/>
  <c r="C1306" i="1"/>
  <c r="B2500" i="1"/>
  <c r="B2354" i="1"/>
  <c r="F525" i="1"/>
  <c r="E1151" i="1"/>
  <c r="D2365" i="1"/>
  <c r="D2099" i="1"/>
  <c r="D1213" i="1"/>
  <c r="F2063" i="1"/>
  <c r="F1291" i="1"/>
  <c r="E1268" i="1"/>
  <c r="B2626" i="1"/>
  <c r="D2172" i="1"/>
  <c r="D981" i="1"/>
  <c r="B1231" i="1"/>
  <c r="C1254" i="1"/>
  <c r="D2292" i="1"/>
  <c r="D286" i="1"/>
  <c r="E2560" i="1"/>
  <c r="D1438" i="1"/>
  <c r="F1724" i="1"/>
  <c r="C2737" i="1"/>
  <c r="F1741" i="1"/>
  <c r="F1646" i="1"/>
  <c r="F1070" i="1"/>
  <c r="F236" i="1"/>
  <c r="D2557" i="1"/>
  <c r="F1208" i="1"/>
  <c r="C1706" i="1"/>
  <c r="B751" i="1"/>
  <c r="E721" i="1"/>
  <c r="D241" i="1"/>
  <c r="E1774" i="1"/>
  <c r="F341" i="1"/>
  <c r="B2593" i="1"/>
  <c r="C2050" i="1"/>
  <c r="B646" i="1"/>
  <c r="C2500" i="1"/>
  <c r="D2517" i="1"/>
  <c r="B2041" i="1"/>
  <c r="C2323" i="1"/>
  <c r="C2438" i="1"/>
  <c r="C2242" i="1"/>
  <c r="F2489" i="1"/>
  <c r="F2647" i="1"/>
  <c r="B766" i="1"/>
  <c r="D826" i="1"/>
  <c r="C2262" i="1"/>
  <c r="D1416" i="1"/>
  <c r="B581" i="1"/>
  <c r="C2405" i="1"/>
  <c r="D2125" i="1"/>
  <c r="F1130" i="1"/>
  <c r="C1646" i="1"/>
  <c r="E300" i="1"/>
  <c r="E526" i="1"/>
  <c r="C875" i="1"/>
  <c r="E421" i="1"/>
  <c r="E2043" i="1"/>
  <c r="E1421" i="1"/>
  <c r="D875" i="1"/>
  <c r="C1140" i="1"/>
  <c r="B1759" i="1"/>
  <c r="F2381" i="1"/>
  <c r="F2028" i="1"/>
  <c r="F1080" i="1"/>
  <c r="D685" i="1"/>
  <c r="D2485" i="1"/>
  <c r="C1121" i="1"/>
  <c r="B373" i="1"/>
  <c r="F613" i="1"/>
  <c r="F416" i="1"/>
  <c r="E1026" i="1"/>
  <c r="D220" i="1"/>
  <c r="E1176" i="1"/>
  <c r="D2500" i="1"/>
  <c r="D146" i="1"/>
  <c r="E1319" i="1"/>
  <c r="C2309" i="1"/>
  <c r="D2283" i="1"/>
  <c r="C2645" i="1"/>
  <c r="B2454" i="1"/>
  <c r="E2391" i="1"/>
  <c r="B2355" i="1"/>
  <c r="B2481" i="1"/>
  <c r="D2178" i="1"/>
  <c r="E2511" i="1"/>
  <c r="B2180" i="1"/>
  <c r="F2186" i="1"/>
  <c r="B2223" i="1"/>
  <c r="C1703" i="1"/>
  <c r="F1248" i="1"/>
  <c r="F2600" i="1"/>
  <c r="F506" i="1"/>
  <c r="C2584" i="1"/>
  <c r="C716" i="1"/>
  <c r="E1749" i="1"/>
  <c r="D2565" i="1"/>
  <c r="B2217" i="1"/>
  <c r="E546" i="1"/>
  <c r="E2254" i="1"/>
  <c r="E1383" i="1"/>
  <c r="D2030" i="1"/>
  <c r="C2643" i="1"/>
  <c r="E336" i="1"/>
  <c r="C1623" i="1"/>
  <c r="F536" i="1"/>
  <c r="D2405" i="1"/>
  <c r="F2235" i="1"/>
  <c r="C2192" i="1"/>
  <c r="D2377" i="1"/>
  <c r="F675" i="1"/>
  <c r="F2397" i="1"/>
  <c r="D2741" i="1"/>
  <c r="F2667" i="1"/>
  <c r="D2291" i="1"/>
  <c r="F2704" i="1"/>
  <c r="B891" i="1"/>
  <c r="E751" i="1"/>
  <c r="F481" i="1"/>
  <c r="B2021" i="1"/>
  <c r="E596" i="1"/>
  <c r="F1378" i="1"/>
  <c r="C1211" i="1"/>
  <c r="E2094" i="1"/>
  <c r="D811" i="1"/>
  <c r="D1011" i="1"/>
  <c r="C2130" i="1"/>
  <c r="D2724" i="1"/>
  <c r="F2642" i="1"/>
  <c r="F1696" i="1"/>
  <c r="F1055" i="1"/>
  <c r="D126" i="1"/>
  <c r="B2111" i="1"/>
  <c r="B1794" i="1"/>
  <c r="B1226" i="1"/>
  <c r="D2693" i="1"/>
  <c r="D1603" i="1"/>
  <c r="F2545" i="1"/>
  <c r="D636" i="1"/>
  <c r="D855" i="1"/>
  <c r="B360" i="1"/>
  <c r="B813" i="1"/>
  <c r="E776" i="1"/>
  <c r="D2182" i="1"/>
  <c r="C776" i="1"/>
  <c r="F1664" i="1"/>
  <c r="D1254" i="1"/>
  <c r="E1115" i="1"/>
  <c r="F1568" i="1"/>
  <c r="F1304" i="1"/>
  <c r="E1434" i="1"/>
  <c r="D803" i="1"/>
  <c r="F1394" i="1"/>
  <c r="C1283" i="1"/>
  <c r="C1608" i="1"/>
  <c r="B351" i="1"/>
  <c r="F1228" i="1"/>
  <c r="E2049" i="1"/>
  <c r="F1050" i="1"/>
  <c r="F1644" i="1"/>
  <c r="F1794" i="1"/>
  <c r="D150" i="1"/>
  <c r="B1579" i="1"/>
  <c r="C2069" i="1"/>
  <c r="B2462" i="1"/>
  <c r="C2626" i="1"/>
  <c r="B2198" i="1"/>
  <c r="B2404" i="1"/>
  <c r="C2193" i="1"/>
  <c r="C2599" i="1"/>
  <c r="C2490" i="1"/>
  <c r="E2328" i="1"/>
  <c r="B2698" i="1"/>
  <c r="D2476" i="1"/>
  <c r="D1736" i="1"/>
  <c r="E2418" i="1"/>
  <c r="D2649" i="1"/>
  <c r="E1423" i="1"/>
  <c r="C2539" i="1"/>
  <c r="D2502" i="1"/>
  <c r="F2409" i="1"/>
  <c r="F361" i="1"/>
  <c r="E1799" i="1"/>
  <c r="E1298" i="1"/>
  <c r="C256" i="1"/>
  <c r="D2514" i="1"/>
  <c r="B2122" i="1"/>
  <c r="B546" i="1"/>
  <c r="E2517" i="1"/>
  <c r="F2355" i="1"/>
  <c r="C291" i="1"/>
  <c r="C1678" i="1"/>
  <c r="F1606" i="1"/>
  <c r="E1598" i="1"/>
  <c r="C1156" i="1"/>
  <c r="B521" i="1"/>
  <c r="B796" i="1"/>
  <c r="C1076" i="1"/>
  <c r="C2240" i="1"/>
  <c r="F2102" i="1"/>
  <c r="B1121" i="1"/>
  <c r="F2281" i="1"/>
  <c r="D2308" i="1"/>
  <c r="F2577" i="1"/>
  <c r="C1696" i="1"/>
  <c r="D2368" i="1"/>
  <c r="B2211" i="1"/>
  <c r="C136" i="1"/>
  <c r="D431" i="1"/>
  <c r="E2106" i="1"/>
  <c r="E2662" i="1"/>
  <c r="B1583" i="1"/>
  <c r="C1326" i="1"/>
  <c r="D2245" i="1"/>
  <c r="F2218" i="1"/>
  <c r="F1213" i="1"/>
  <c r="D2196" i="1"/>
  <c r="E2359" i="1"/>
  <c r="E1744" i="1"/>
  <c r="E2086" i="1"/>
  <c r="B2177" i="1"/>
  <c r="D2372" i="1"/>
  <c r="C771" i="1"/>
  <c r="C571" i="1"/>
  <c r="F1066" i="1"/>
  <c r="C2507" i="1"/>
  <c r="E1366" i="1"/>
  <c r="C2389" i="1"/>
  <c r="B2040" i="1"/>
  <c r="D1656" i="1"/>
  <c r="C2459" i="1"/>
  <c r="B2551" i="1"/>
  <c r="F2036" i="1"/>
  <c r="C2590" i="1"/>
  <c r="B2087" i="1"/>
  <c r="F2157" i="1"/>
  <c r="E2438" i="1"/>
  <c r="E786" i="1"/>
  <c r="D806" i="1"/>
  <c r="B2400" i="1"/>
  <c r="B371" i="1"/>
  <c r="F1774" i="1"/>
  <c r="E2604" i="1"/>
  <c r="B2066" i="1"/>
  <c r="D166" i="1"/>
  <c r="F2565" i="1"/>
  <c r="B1100" i="1"/>
  <c r="D2708" i="1"/>
  <c r="F2021" i="1"/>
  <c r="B541" i="1"/>
  <c r="C2296" i="1"/>
  <c r="F2702" i="1"/>
  <c r="F2044" i="1"/>
  <c r="B2029" i="1"/>
  <c r="E2184" i="1"/>
  <c r="B2266" i="1"/>
  <c r="F716" i="1"/>
  <c r="C1248" i="1"/>
  <c r="B526" i="1"/>
  <c r="E2445" i="1"/>
  <c r="C2159" i="1"/>
  <c r="D1328" i="1"/>
  <c r="D1683" i="1"/>
  <c r="D2590" i="1"/>
  <c r="F2193" i="1"/>
  <c r="B701" i="1"/>
  <c r="E656" i="1"/>
  <c r="E386" i="1"/>
  <c r="D2686" i="1"/>
  <c r="C2048" i="1"/>
  <c r="E2691" i="1"/>
  <c r="C2528" i="1"/>
  <c r="D2077" i="1"/>
  <c r="B801" i="1"/>
  <c r="D1183" i="1"/>
  <c r="C2105" i="1"/>
  <c r="F2601" i="1"/>
  <c r="B856" i="1"/>
  <c r="E496" i="1"/>
  <c r="C2482" i="1"/>
  <c r="C1573" i="1"/>
  <c r="E736" i="1"/>
  <c r="E2312" i="1"/>
  <c r="D2515" i="1"/>
  <c r="B1678" i="1"/>
  <c r="E1313" i="1"/>
  <c r="D1130" i="1"/>
  <c r="D301" i="1"/>
  <c r="D1126" i="1"/>
  <c r="D521" i="1"/>
  <c r="B291" i="1"/>
  <c r="B1784" i="1"/>
  <c r="F2081" i="1"/>
  <c r="E2233" i="1"/>
  <c r="E2054" i="1"/>
  <c r="F1256" i="1"/>
  <c r="F2100" i="1"/>
  <c r="E2483" i="1"/>
  <c r="C2075" i="1"/>
  <c r="B2374" i="1"/>
  <c r="B536" i="1"/>
  <c r="F1318" i="1"/>
  <c r="C2295" i="1"/>
  <c r="C1601" i="1"/>
  <c r="C2397" i="1"/>
  <c r="B1623" i="1"/>
  <c r="B1126" i="1"/>
  <c r="C2316" i="1"/>
  <c r="C1278" i="1"/>
  <c r="B2046" i="1"/>
  <c r="B1288" i="1"/>
  <c r="C621" i="1"/>
  <c r="D1036" i="1"/>
  <c r="E271" i="1"/>
  <c r="D1311" i="1"/>
  <c r="E2119" i="1"/>
  <c r="F2177" i="1"/>
  <c r="B406" i="1"/>
  <c r="C2173" i="1"/>
  <c r="E1276" i="1"/>
  <c r="E1211" i="1"/>
  <c r="B1081" i="1"/>
  <c r="F2269" i="1"/>
  <c r="D2460" i="1"/>
  <c r="E2059" i="1"/>
  <c r="B1606" i="1"/>
  <c r="D805" i="1"/>
  <c r="B2027" i="1"/>
  <c r="C2147" i="1"/>
  <c r="F291" i="1"/>
  <c r="B1388" i="1"/>
  <c r="D1136" i="1"/>
  <c r="B1266" i="1"/>
  <c r="C596" i="1"/>
  <c r="B301" i="1"/>
  <c r="B2336" i="1"/>
  <c r="E411" i="1"/>
  <c r="D1628" i="1"/>
  <c r="F1166" i="1"/>
  <c r="F2090" i="1"/>
  <c r="F1693" i="1"/>
  <c r="E1706" i="1"/>
  <c r="F1354" i="1"/>
  <c r="D2391" i="1"/>
  <c r="B2055" i="1"/>
  <c r="F1226" i="1"/>
  <c r="D1208" i="1"/>
  <c r="B1656" i="1"/>
  <c r="E2516" i="1"/>
  <c r="D1156" i="1"/>
  <c r="B921" i="1"/>
  <c r="F2415" i="1"/>
  <c r="B326" i="1"/>
  <c r="F1749" i="1"/>
  <c r="E2471" i="1"/>
  <c r="F2442" i="1"/>
  <c r="F1180" i="1"/>
  <c r="D1411" i="1"/>
  <c r="F2213" i="1"/>
  <c r="C2330" i="1"/>
  <c r="B2709" i="1"/>
  <c r="C2471" i="1"/>
  <c r="E1703" i="1"/>
  <c r="C2228" i="1"/>
  <c r="B1573" i="1"/>
  <c r="B2204" i="1"/>
  <c r="B2502" i="1"/>
  <c r="C1423" i="1"/>
  <c r="D2038" i="1"/>
  <c r="E1040" i="1"/>
  <c r="C536" i="1"/>
  <c r="D2137" i="1"/>
  <c r="F1261" i="1"/>
  <c r="B561" i="1"/>
  <c r="D2634" i="1"/>
  <c r="B2505" i="1"/>
  <c r="D2386" i="1"/>
  <c r="E1593" i="1"/>
  <c r="D1266" i="1"/>
  <c r="C2056" i="1"/>
  <c r="C2712" i="1"/>
  <c r="E2697" i="1"/>
  <c r="E486" i="1"/>
  <c r="F996" i="1"/>
  <c r="E856" i="1"/>
  <c r="E185" i="1"/>
  <c r="B2283" i="1"/>
  <c r="F2180" i="1"/>
  <c r="D686" i="1"/>
  <c r="F2461" i="1"/>
  <c r="C1816" i="1"/>
  <c r="F2224" i="1"/>
  <c r="C2251" i="1"/>
  <c r="E820" i="1"/>
  <c r="B1364" i="1"/>
  <c r="C2044" i="1"/>
  <c r="C1258" i="1"/>
  <c r="C1241" i="1"/>
  <c r="E356" i="1"/>
  <c r="C2553" i="1"/>
  <c r="E1583" i="1"/>
  <c r="C1223" i="1"/>
  <c r="B1624" i="1"/>
  <c r="D2204" i="1"/>
  <c r="F2633" i="1"/>
  <c r="E296" i="1"/>
  <c r="D1678" i="1"/>
  <c r="E2723" i="1"/>
  <c r="F2399" i="1"/>
  <c r="D2029" i="1"/>
  <c r="F911" i="1"/>
  <c r="D2742" i="1"/>
  <c r="C2151" i="1"/>
  <c r="F2506" i="1"/>
  <c r="B1378" i="1"/>
  <c r="E1361" i="1"/>
  <c r="E2549" i="1"/>
  <c r="D1396" i="1"/>
  <c r="B2428" i="1"/>
  <c r="C855" i="1"/>
  <c r="F311" i="1"/>
  <c r="B645" i="1"/>
  <c r="E2505" i="1"/>
  <c r="D2040" i="1"/>
  <c r="F1203" i="1"/>
  <c r="C111" i="1"/>
  <c r="C228" i="1"/>
  <c r="F1698" i="1"/>
  <c r="C821" i="1"/>
  <c r="B1401" i="1"/>
  <c r="C460" i="1"/>
  <c r="B750" i="1"/>
  <c r="D1663" i="1"/>
  <c r="C11" i="1"/>
  <c r="D1668" i="1"/>
  <c r="B1279" i="1"/>
  <c r="B825" i="1"/>
  <c r="D41" i="1"/>
  <c r="E451" i="1"/>
  <c r="F300" i="1"/>
  <c r="B2035" i="1"/>
  <c r="D1239" i="1"/>
  <c r="E2745" i="1"/>
  <c r="D2058" i="1"/>
  <c r="D1420" i="1"/>
  <c r="C2199" i="1"/>
  <c r="E2455" i="1"/>
  <c r="C2143" i="1"/>
  <c r="E2597" i="1"/>
  <c r="E2323" i="1"/>
  <c r="E2550" i="1"/>
  <c r="E2371" i="1"/>
  <c r="B956" i="1"/>
  <c r="E2132" i="1"/>
  <c r="B2434" i="1"/>
  <c r="C1006" i="1"/>
  <c r="E1296" i="1"/>
  <c r="D256" i="1"/>
  <c r="F2279" i="1"/>
  <c r="E396" i="1"/>
  <c r="F1211" i="1"/>
  <c r="E706" i="1"/>
  <c r="D1714" i="1"/>
  <c r="C695" i="1"/>
  <c r="C611" i="1"/>
  <c r="D596" i="1"/>
  <c r="E1188" i="1"/>
  <c r="B2033" i="1"/>
  <c r="C391" i="1"/>
  <c r="B1749" i="1"/>
  <c r="E600" i="1"/>
  <c r="B2076" i="1"/>
  <c r="C1383" i="1"/>
  <c r="D1131" i="1"/>
  <c r="C1358" i="1"/>
  <c r="C2509" i="1"/>
  <c r="B2022" i="1"/>
  <c r="C1243" i="1"/>
  <c r="E2544" i="1"/>
  <c r="F1413" i="1"/>
  <c r="E2046" i="1"/>
  <c r="C2181" i="1"/>
  <c r="E2183" i="1"/>
  <c r="D2709" i="1"/>
  <c r="C2171" i="1"/>
  <c r="D641" i="1"/>
  <c r="B501" i="1"/>
  <c r="E1126" i="1"/>
  <c r="F2345" i="1"/>
  <c r="E2635" i="1"/>
  <c r="F1106" i="1"/>
  <c r="F836" i="1"/>
  <c r="C2499" i="1"/>
  <c r="C1061" i="1"/>
  <c r="E586" i="1"/>
  <c r="C1809" i="1"/>
  <c r="F2101" i="1"/>
  <c r="F1819" i="1"/>
  <c r="C2257" i="1"/>
  <c r="F2396" i="1"/>
  <c r="B2169" i="1"/>
  <c r="B361" i="1"/>
  <c r="C1238" i="1"/>
  <c r="D2071" i="1"/>
  <c r="C2097" i="1"/>
  <c r="E1739" i="1"/>
  <c r="E745" i="1"/>
  <c r="F1633" i="1"/>
  <c r="D206" i="1"/>
  <c r="F526" i="1"/>
  <c r="F475" i="1"/>
  <c r="B1106" i="1"/>
  <c r="D2264" i="1"/>
  <c r="B1228" i="1"/>
  <c r="C2376" i="1"/>
  <c r="C31" i="1"/>
  <c r="B1588" i="1"/>
  <c r="B2024" i="1"/>
  <c r="B1161" i="1"/>
  <c r="F640" i="1"/>
  <c r="E1095" i="1"/>
  <c r="B2089" i="1"/>
  <c r="C1759" i="1"/>
  <c r="B1594" i="1"/>
  <c r="D1166" i="1"/>
  <c r="E1283" i="1"/>
  <c r="E2423" i="1"/>
  <c r="E2361" i="1"/>
  <c r="D2569" i="1"/>
  <c r="D2242" i="1"/>
  <c r="F2659" i="1"/>
  <c r="F2091" i="1"/>
  <c r="D2039" i="1"/>
  <c r="C2672" i="1"/>
  <c r="C1824" i="1"/>
  <c r="D2563" i="1"/>
  <c r="B1731" i="1"/>
  <c r="E1393" i="1"/>
  <c r="F2650" i="1"/>
  <c r="E531" i="1"/>
  <c r="F1216" i="1"/>
  <c r="C1598" i="1"/>
  <c r="C2127" i="1"/>
  <c r="C980" i="1"/>
  <c r="C1406" i="1"/>
  <c r="B2541" i="1"/>
  <c r="D1045" i="1"/>
  <c r="F2211" i="1"/>
  <c r="C2156" i="1"/>
  <c r="D2382" i="1"/>
  <c r="C1789" i="1"/>
  <c r="D481" i="1"/>
  <c r="B686" i="1"/>
  <c r="F2533" i="1"/>
  <c r="F2684" i="1"/>
  <c r="C1668" i="1"/>
  <c r="F2619" i="1"/>
  <c r="D2654" i="1"/>
  <c r="E1633" i="1"/>
  <c r="B1181" i="1"/>
  <c r="F2086" i="1"/>
  <c r="D1096" i="1"/>
  <c r="E906" i="1"/>
  <c r="F1779" i="1"/>
  <c r="B1683" i="1"/>
  <c r="B826" i="1"/>
  <c r="B2474" i="1"/>
  <c r="C2333" i="1"/>
  <c r="B671" i="1"/>
  <c r="B2239" i="1"/>
  <c r="F2039" i="1"/>
  <c r="B2424" i="1"/>
  <c r="D2410" i="1"/>
  <c r="D2400" i="1"/>
  <c r="E2600" i="1"/>
  <c r="C1276" i="1"/>
  <c r="B1646" i="1"/>
  <c r="B2432" i="1"/>
  <c r="E1248" i="1"/>
  <c r="C1056" i="1"/>
  <c r="B505" i="1"/>
  <c r="C2170" i="1"/>
  <c r="C1308" i="1"/>
  <c r="D1779" i="1"/>
  <c r="F2454" i="1"/>
  <c r="E2456" i="1"/>
  <c r="B1433" i="1"/>
  <c r="F531" i="1"/>
  <c r="D2103" i="1"/>
  <c r="C1814" i="1"/>
  <c r="B651" i="1"/>
  <c r="D901" i="1"/>
  <c r="F806" i="1"/>
  <c r="C231" i="1"/>
  <c r="F746" i="1"/>
  <c r="C313" i="1"/>
  <c r="D191" i="1"/>
  <c r="B2727" i="1"/>
  <c r="C616" i="1"/>
  <c r="B795" i="1"/>
  <c r="F121" i="1"/>
  <c r="E265" i="1"/>
  <c r="F1288" i="1"/>
  <c r="B305" i="1"/>
  <c r="E1135" i="1"/>
  <c r="F333" i="1"/>
  <c r="C1368" i="1"/>
  <c r="D676" i="1"/>
  <c r="D1608" i="1"/>
  <c r="B1001" i="1"/>
  <c r="B936" i="1"/>
  <c r="B2025" i="1"/>
  <c r="D2567" i="1"/>
  <c r="F1336" i="1"/>
  <c r="D2316" i="1"/>
  <c r="F2453" i="1"/>
  <c r="C2542" i="1"/>
  <c r="E2425" i="1"/>
  <c r="D1794" i="1"/>
  <c r="E2316" i="1"/>
  <c r="D2326" i="1"/>
  <c r="E2497" i="1"/>
  <c r="D2493" i="1"/>
  <c r="B1236" i="1"/>
  <c r="D275" i="1"/>
  <c r="B641" i="1"/>
  <c r="E1116" i="1"/>
  <c r="B1223" i="1"/>
  <c r="F2068" i="1"/>
  <c r="B290" i="1"/>
  <c r="E2102" i="1"/>
  <c r="E1399" i="1"/>
  <c r="B1096" i="1"/>
  <c r="C2687" i="1"/>
  <c r="C2547" i="1"/>
  <c r="D2110" i="1"/>
  <c r="B976" i="1"/>
  <c r="C1716" i="1"/>
  <c r="F2495" i="1"/>
  <c r="B1391" i="1"/>
  <c r="F906" i="1"/>
  <c r="B1136" i="1"/>
  <c r="B2347" i="1"/>
  <c r="C2596" i="1"/>
  <c r="D2258" i="1"/>
  <c r="B2296" i="1"/>
  <c r="C2609" i="1"/>
  <c r="E236" i="1"/>
  <c r="F1031" i="1"/>
  <c r="F1826" i="1"/>
  <c r="B2530" i="1"/>
  <c r="E1208" i="1"/>
  <c r="C946" i="1"/>
  <c r="D1724" i="1"/>
  <c r="D2145" i="1"/>
  <c r="E2449" i="1"/>
  <c r="B1261" i="1"/>
  <c r="E1091" i="1"/>
  <c r="E2573" i="1"/>
  <c r="F2301" i="1"/>
  <c r="F1809" i="1"/>
  <c r="E2296" i="1"/>
  <c r="E2083" i="1"/>
  <c r="D1729" i="1"/>
  <c r="F1403" i="1"/>
  <c r="B1349" i="1"/>
  <c r="F2261" i="1"/>
  <c r="B2359" i="1"/>
  <c r="B1313" i="1"/>
  <c r="B1071" i="1"/>
  <c r="F2227" i="1"/>
  <c r="E616" i="1"/>
  <c r="D1026" i="1"/>
  <c r="D1814" i="1"/>
  <c r="D1686" i="1"/>
  <c r="B2361" i="1"/>
  <c r="F755" i="1"/>
  <c r="C253" i="1"/>
  <c r="E1646" i="1"/>
  <c r="F1136" i="1"/>
  <c r="D195" i="1"/>
  <c r="E345" i="1"/>
  <c r="F646" i="1"/>
  <c r="D861" i="1"/>
  <c r="F910" i="1"/>
  <c r="F1391" i="1"/>
  <c r="B2091" i="1"/>
  <c r="E320" i="1"/>
  <c r="D101" i="1"/>
  <c r="C1085" i="1"/>
  <c r="D716" i="1"/>
  <c r="E961" i="1"/>
  <c r="E871" i="1"/>
  <c r="B375" i="1"/>
  <c r="F1594" i="1"/>
  <c r="E2603" i="1"/>
  <c r="D1353" i="1"/>
  <c r="E2563" i="1"/>
  <c r="E2686" i="1"/>
  <c r="E2373" i="1"/>
  <c r="C2196" i="1"/>
  <c r="D2352" i="1"/>
  <c r="B1366" i="1"/>
  <c r="F2609" i="1"/>
  <c r="E2586" i="1"/>
  <c r="E2626" i="1"/>
  <c r="F2508" i="1"/>
  <c r="D1633" i="1"/>
  <c r="F2626" i="1"/>
  <c r="C2334" i="1"/>
  <c r="D1583" i="1"/>
  <c r="F1279" i="1"/>
  <c r="D1593" i="1"/>
  <c r="B2195" i="1"/>
  <c r="D966" i="1"/>
  <c r="D771" i="1"/>
  <c r="F2188" i="1"/>
  <c r="B1648" i="1"/>
  <c r="B2388" i="1"/>
  <c r="C2028" i="1"/>
  <c r="F1683" i="1"/>
  <c r="E2074" i="1"/>
  <c r="C836" i="1"/>
  <c r="E1266" i="1"/>
  <c r="D1368" i="1"/>
  <c r="C155" i="1"/>
  <c r="B2729" i="1"/>
  <c r="E976" i="1"/>
  <c r="B711" i="1"/>
  <c r="E196" i="1"/>
  <c r="F2743" i="1"/>
  <c r="B2059" i="1"/>
  <c r="D2041" i="1"/>
  <c r="C1428" i="1"/>
  <c r="C555" i="1"/>
  <c r="D2164" i="1"/>
  <c r="C2042" i="1"/>
  <c r="B1403" i="1"/>
  <c r="F926" i="1"/>
  <c r="E636" i="1"/>
  <c r="E1221" i="1"/>
  <c r="D346" i="1"/>
  <c r="D1599" i="1"/>
  <c r="D2024" i="1"/>
  <c r="B1186" i="1"/>
  <c r="E1333" i="1"/>
  <c r="F211" i="1"/>
  <c r="D2230" i="1"/>
  <c r="B2269" i="1"/>
  <c r="E2037" i="1"/>
  <c r="C851" i="1"/>
  <c r="F2138" i="1"/>
  <c r="D2613" i="1"/>
  <c r="C1429" i="1"/>
  <c r="B756" i="1"/>
  <c r="B1703" i="1"/>
  <c r="C1336" i="1"/>
  <c r="B2325" i="1"/>
  <c r="B2130" i="1"/>
  <c r="E921" i="1"/>
  <c r="F1428" i="1"/>
  <c r="E561" i="1"/>
  <c r="C10" i="1"/>
  <c r="F1658" i="1"/>
  <c r="D691" i="1"/>
  <c r="C2331" i="1"/>
  <c r="B1821" i="1"/>
  <c r="D2699" i="1"/>
  <c r="E2318" i="1"/>
  <c r="F2052" i="1"/>
  <c r="C2152" i="1"/>
  <c r="B2156" i="1"/>
  <c r="C2082" i="1"/>
  <c r="E2140" i="1"/>
  <c r="E2218" i="1"/>
  <c r="C2346" i="1"/>
  <c r="D2130" i="1"/>
  <c r="C2139" i="1"/>
  <c r="F551" i="1"/>
  <c r="D1578" i="1"/>
  <c r="B806" i="1"/>
  <c r="C2275" i="1"/>
  <c r="F1404" i="1"/>
  <c r="B1258" i="1"/>
  <c r="F2172" i="1"/>
  <c r="C791" i="1"/>
  <c r="E2557" i="1"/>
  <c r="B836" i="1"/>
  <c r="C1288" i="1"/>
  <c r="E1413" i="1"/>
  <c r="F2067" i="1"/>
  <c r="B566" i="1"/>
  <c r="C1091" i="1"/>
  <c r="E575" i="1"/>
  <c r="D1326" i="1"/>
  <c r="D746" i="1"/>
  <c r="B606" i="1"/>
  <c r="C1136" i="1"/>
  <c r="E2259" i="1"/>
  <c r="B1336" i="1"/>
  <c r="B1358" i="1"/>
  <c r="C2526" i="1"/>
  <c r="D2666" i="1"/>
  <c r="D1296" i="1"/>
  <c r="F1686" i="1"/>
  <c r="B2577" i="1"/>
  <c r="E1065" i="1"/>
  <c r="F2190" i="1"/>
  <c r="E841" i="1"/>
  <c r="F991" i="1"/>
  <c r="B1006" i="1"/>
  <c r="D2602" i="1"/>
  <c r="B1736" i="1"/>
  <c r="F1433" i="1"/>
  <c r="E1005" i="1"/>
  <c r="C1183" i="1"/>
  <c r="D951" i="1"/>
  <c r="E1573" i="1"/>
  <c r="D1648" i="1"/>
  <c r="F2561" i="1"/>
  <c r="B2379" i="1"/>
  <c r="E2024" i="1"/>
  <c r="D1333" i="1"/>
  <c r="F1821" i="1"/>
  <c r="C2418" i="1"/>
  <c r="C1784" i="1"/>
  <c r="E2166" i="1"/>
  <c r="E1244" i="1"/>
  <c r="D325" i="1"/>
  <c r="E873" i="1"/>
  <c r="B1061" i="1"/>
  <c r="B2419" i="1"/>
  <c r="B930" i="1"/>
  <c r="F441" i="1"/>
  <c r="D501" i="1"/>
  <c r="C1421" i="1"/>
  <c r="B1238" i="1"/>
  <c r="F1574" i="1"/>
  <c r="F166" i="1"/>
  <c r="B1824" i="1"/>
  <c r="E1250" i="1"/>
  <c r="B2597" i="1"/>
  <c r="D2284" i="1"/>
  <c r="B2646" i="1"/>
  <c r="E2047" i="1"/>
  <c r="C2155" i="1"/>
  <c r="B926" i="1"/>
  <c r="E2696" i="1"/>
  <c r="D2049" i="1"/>
  <c r="B2396" i="1"/>
  <c r="E1236" i="1"/>
  <c r="F1436" i="1"/>
  <c r="E2348" i="1"/>
  <c r="E525" i="1"/>
  <c r="F2406" i="1"/>
  <c r="D91" i="1"/>
  <c r="B1338" i="1"/>
  <c r="B2638" i="1"/>
  <c r="D2690" i="1"/>
  <c r="F2047" i="1"/>
  <c r="D1766" i="1"/>
  <c r="B2660" i="1"/>
  <c r="B2148" i="1"/>
  <c r="D541" i="1"/>
  <c r="F296" i="1"/>
  <c r="F2240" i="1"/>
  <c r="E955" i="1"/>
  <c r="C1251" i="1"/>
  <c r="C2122" i="1"/>
  <c r="E2643" i="1"/>
  <c r="E1578" i="1"/>
  <c r="E1193" i="1"/>
  <c r="B350" i="1"/>
  <c r="C2501" i="1"/>
  <c r="F1096" i="1"/>
  <c r="D631" i="1"/>
  <c r="D1186" i="1"/>
  <c r="E2135" i="1"/>
  <c r="F1333" i="1"/>
  <c r="B776" i="1"/>
  <c r="F2717" i="1"/>
  <c r="D16" i="1"/>
  <c r="F2520" i="1"/>
  <c r="B2262" i="1"/>
  <c r="D2653" i="1"/>
  <c r="F2710" i="1"/>
  <c r="C2317" i="1"/>
  <c r="E391" i="1"/>
  <c r="F251" i="1"/>
  <c r="D106" i="1"/>
  <c r="D1203" i="1"/>
  <c r="B721" i="1"/>
  <c r="B1198" i="1"/>
  <c r="D455" i="1"/>
  <c r="D1293" i="1"/>
  <c r="F1146" i="1"/>
  <c r="E946" i="1"/>
  <c r="B1673" i="1"/>
  <c r="B2331" i="1"/>
  <c r="D2498" i="1"/>
  <c r="F331" i="1"/>
  <c r="F861" i="1"/>
  <c r="F1684" i="1"/>
  <c r="C1314" i="1"/>
  <c r="F868" i="1"/>
  <c r="C1001" i="1"/>
  <c r="D355" i="1"/>
  <c r="C2658" i="1"/>
  <c r="F395" i="1"/>
  <c r="C2092" i="1"/>
  <c r="C1766" i="1"/>
  <c r="E181" i="1"/>
  <c r="D916" i="1"/>
  <c r="C1239" i="1"/>
  <c r="D2570" i="1"/>
  <c r="C1303" i="1"/>
  <c r="D601" i="1"/>
  <c r="E981" i="1"/>
  <c r="B1173" i="1"/>
  <c r="C981" i="1"/>
  <c r="F1120" i="1"/>
  <c r="F2087" i="1"/>
  <c r="F1601" i="1"/>
  <c r="D2442" i="1"/>
  <c r="F2467" i="1"/>
  <c r="E2051" i="1"/>
  <c r="F2525" i="1"/>
  <c r="C2688" i="1"/>
  <c r="C2571" i="1"/>
  <c r="D2664" i="1"/>
  <c r="D2240" i="1"/>
  <c r="D1336" i="1"/>
  <c r="F2159" i="1"/>
  <c r="F1648" i="1"/>
  <c r="C2022" i="1"/>
  <c r="F1588" i="1"/>
  <c r="C2214" i="1"/>
  <c r="B1809" i="1"/>
  <c r="D2222" i="1"/>
  <c r="D396" i="1"/>
  <c r="B2274" i="1"/>
  <c r="E971" i="1"/>
  <c r="E2551" i="1"/>
  <c r="C891" i="1"/>
  <c r="F616" i="1"/>
  <c r="D2217" i="1"/>
  <c r="D1401" i="1"/>
  <c r="E2165" i="1"/>
  <c r="C1369" i="1"/>
  <c r="D380" i="1"/>
  <c r="B2113" i="1"/>
  <c r="C66" i="1"/>
  <c r="B591" i="1"/>
  <c r="F325" i="1"/>
  <c r="C1221" i="1"/>
  <c r="D496" i="1"/>
  <c r="F356" i="1"/>
  <c r="E1689" i="1"/>
  <c r="C2479" i="1"/>
  <c r="D2331" i="1"/>
  <c r="B996" i="1"/>
  <c r="F2440" i="1"/>
  <c r="F1676" i="1"/>
  <c r="F2357" i="1"/>
  <c r="E2715" i="1"/>
  <c r="B2288" i="1"/>
  <c r="E815" i="1"/>
  <c r="F2231" i="1"/>
  <c r="D341" i="1"/>
  <c r="E741" i="1"/>
  <c r="F31" i="1"/>
  <c r="E2192" i="1"/>
  <c r="C2182" i="1"/>
  <c r="E1081" i="1"/>
  <c r="E671" i="1"/>
  <c r="B2051" i="1"/>
  <c r="C1268" i="1"/>
  <c r="C561" i="1"/>
  <c r="E2304" i="1"/>
  <c r="E2381" i="1"/>
  <c r="B656" i="1"/>
  <c r="F421" i="1"/>
  <c r="B2407" i="1"/>
  <c r="B1156" i="1"/>
  <c r="C1401" i="1"/>
  <c r="E1153" i="1"/>
  <c r="B805" i="1"/>
  <c r="C446" i="1"/>
  <c r="F666" i="1"/>
  <c r="C2114" i="1"/>
  <c r="C1739" i="1"/>
  <c r="C2652" i="1"/>
  <c r="B2553" i="1"/>
  <c r="D2376" i="1"/>
  <c r="C2329" i="1"/>
  <c r="E2311" i="1"/>
  <c r="F2699" i="1"/>
  <c r="F2260" i="1"/>
  <c r="F2326" i="1"/>
  <c r="B716" i="1"/>
  <c r="D2662" i="1"/>
  <c r="C2299" i="1"/>
  <c r="C2167" i="1"/>
  <c r="B1213" i="1"/>
  <c r="C1111" i="1"/>
  <c r="E2072" i="1"/>
  <c r="F2161" i="1"/>
  <c r="F2080" i="1"/>
  <c r="B2435" i="1"/>
  <c r="B1418" i="1"/>
  <c r="E1186" i="1"/>
  <c r="C2293" i="1"/>
  <c r="C2063" i="1"/>
  <c r="F2643" i="1"/>
  <c r="E2727" i="1"/>
  <c r="B2039" i="1"/>
  <c r="D1809" i="1"/>
  <c r="D1175" i="1"/>
  <c r="E1351" i="1"/>
  <c r="F2338" i="1"/>
  <c r="E2392" i="1"/>
  <c r="B2319" i="1"/>
  <c r="D2146" i="1"/>
  <c r="C1141" i="1"/>
  <c r="E1001" i="1"/>
  <c r="B866" i="1"/>
  <c r="C2135" i="1"/>
  <c r="F846" i="1"/>
  <c r="E126" i="1"/>
  <c r="C311" i="1"/>
  <c r="E1809" i="1"/>
  <c r="D1061" i="1"/>
  <c r="F276" i="1"/>
  <c r="C2025" i="1"/>
  <c r="B2684" i="1"/>
  <c r="D2156" i="1"/>
  <c r="E2428" i="1"/>
  <c r="F2579" i="1"/>
  <c r="B2047" i="1"/>
  <c r="C2204" i="1"/>
  <c r="F2095" i="1"/>
  <c r="F566" i="1"/>
  <c r="D1101" i="1"/>
  <c r="E2646" i="1"/>
  <c r="E2708" i="1"/>
  <c r="F2538" i="1"/>
  <c r="F2098" i="1"/>
  <c r="F2118" i="1"/>
  <c r="B2232" i="1"/>
  <c r="D2228" i="1"/>
  <c r="C2379" i="1"/>
  <c r="B2383" i="1"/>
  <c r="F2719" i="1"/>
  <c r="C2519" i="1"/>
  <c r="D266" i="1"/>
  <c r="B1651" i="1"/>
  <c r="C281" i="1"/>
  <c r="C2689" i="1"/>
  <c r="F841" i="1"/>
  <c r="E426" i="1"/>
  <c r="B2182" i="1"/>
  <c r="D1238" i="1"/>
  <c r="B2604" i="1"/>
  <c r="D1821" i="1"/>
  <c r="F2252" i="1"/>
  <c r="C2461" i="1"/>
  <c r="E1804" i="1"/>
  <c r="F2580" i="1"/>
  <c r="B2200" i="1"/>
  <c r="C361" i="1"/>
  <c r="B1598" i="1"/>
  <c r="F896" i="1"/>
  <c r="B1698" i="1"/>
  <c r="F1348" i="1"/>
  <c r="E2130" i="1"/>
  <c r="E1368" i="1"/>
  <c r="E346" i="1"/>
  <c r="F1781" i="1"/>
  <c r="B2472" i="1"/>
  <c r="F2040" i="1"/>
  <c r="F2034" i="1"/>
  <c r="F2479" i="1"/>
  <c r="E2570" i="1"/>
  <c r="E626" i="1"/>
  <c r="F931" i="1"/>
  <c r="D2270" i="1"/>
  <c r="D2356" i="1"/>
  <c r="D406" i="1"/>
  <c r="C521" i="1"/>
  <c r="E1318" i="1"/>
  <c r="E326" i="1"/>
  <c r="F2250" i="1"/>
  <c r="C1779" i="1"/>
  <c r="C1581" i="1"/>
  <c r="B2498" i="1"/>
  <c r="D2122" i="1"/>
  <c r="F2632" i="1"/>
  <c r="C1576" i="1"/>
  <c r="E1291" i="1"/>
  <c r="C1116" i="1"/>
  <c r="E2718" i="1"/>
  <c r="E886" i="1"/>
  <c r="B1146" i="1"/>
  <c r="C1724" i="1"/>
  <c r="B1299" i="1"/>
  <c r="D2571" i="1"/>
  <c r="B2250" i="1"/>
  <c r="E441" i="1"/>
  <c r="F2239" i="1"/>
  <c r="C633" i="1"/>
  <c r="D326" i="1"/>
  <c r="B1421" i="1"/>
  <c r="C351" i="1"/>
  <c r="C765" i="1"/>
  <c r="D2262" i="1"/>
  <c r="E920" i="1"/>
  <c r="C1279" i="1"/>
  <c r="B1353" i="1"/>
  <c r="C225" i="1"/>
  <c r="D25" i="1"/>
  <c r="E220" i="1"/>
  <c r="E2660" i="1"/>
  <c r="D11" i="1"/>
  <c r="F521" i="1"/>
  <c r="D1021" i="1"/>
  <c r="C481" i="1"/>
  <c r="B1399" i="1"/>
  <c r="C425" i="1"/>
  <c r="E911" i="1"/>
  <c r="B1216" i="1"/>
  <c r="F795" i="1"/>
  <c r="D1719" i="1"/>
  <c r="C516" i="1"/>
  <c r="D1301" i="1"/>
  <c r="B1015" i="1"/>
  <c r="C1075" i="1"/>
  <c r="E2411" i="1"/>
  <c r="C2480" i="1"/>
  <c r="B710" i="1"/>
  <c r="F36" i="1"/>
  <c r="C2568" i="1"/>
  <c r="B456" i="1"/>
  <c r="C898" i="1"/>
  <c r="B1191" i="1"/>
  <c r="E618" i="1"/>
  <c r="E1668" i="1"/>
  <c r="F1193" i="1"/>
  <c r="C865" i="1"/>
  <c r="E476" i="1"/>
  <c r="B2030" i="1"/>
  <c r="E2334" i="1"/>
  <c r="F133" i="1"/>
  <c r="F71" i="1"/>
  <c r="F2341" i="1"/>
  <c r="B1658" i="1"/>
  <c r="C888" i="1"/>
  <c r="C1246" i="1"/>
  <c r="E381" i="1"/>
  <c r="D1110" i="1"/>
  <c r="F695" i="1"/>
  <c r="F2206" i="1"/>
  <c r="D2461" i="1"/>
  <c r="C2556" i="1"/>
  <c r="D1283" i="1"/>
  <c r="C2208" i="1"/>
  <c r="B2142" i="1"/>
  <c r="F2199" i="1"/>
  <c r="D781" i="1"/>
  <c r="C2579" i="1"/>
  <c r="B1653" i="1"/>
  <c r="D2722" i="1"/>
  <c r="F696" i="1"/>
  <c r="B726" i="1"/>
  <c r="C1196" i="1"/>
  <c r="D1121" i="1"/>
  <c r="D680" i="1"/>
  <c r="E1125" i="1"/>
  <c r="F2085" i="1"/>
  <c r="D775" i="1"/>
  <c r="E1106" i="1"/>
  <c r="E406" i="1"/>
  <c r="D1123" i="1"/>
  <c r="F2174" i="1"/>
  <c r="D926" i="1"/>
  <c r="E1128" i="1"/>
  <c r="E1819" i="1"/>
  <c r="B696" i="1"/>
  <c r="B1045" i="1"/>
  <c r="C2462" i="1"/>
  <c r="C1025" i="1"/>
  <c r="B2340" i="1"/>
  <c r="F241" i="1"/>
  <c r="E2045" i="1"/>
  <c r="F2232" i="1"/>
  <c r="D51" i="1"/>
  <c r="C1593" i="1"/>
  <c r="C370" i="1"/>
  <c r="C1416" i="1"/>
  <c r="F1328" i="1"/>
  <c r="B1025" i="1"/>
  <c r="B461" i="1"/>
  <c r="D526" i="1"/>
  <c r="F2559" i="1"/>
  <c r="F1085" i="1"/>
  <c r="B411" i="1"/>
  <c r="F2169" i="1"/>
  <c r="B2652" i="1"/>
  <c r="E1238" i="1"/>
  <c r="F1175" i="1"/>
  <c r="E116" i="1"/>
  <c r="C2279" i="1"/>
  <c r="F580" i="1"/>
  <c r="C601" i="1"/>
  <c r="C143" i="1"/>
  <c r="C1031" i="1"/>
  <c r="F766" i="1"/>
  <c r="E2539" i="1"/>
  <c r="E1568" i="1"/>
  <c r="E1263" i="1"/>
  <c r="F1789" i="1"/>
  <c r="D883" i="1"/>
  <c r="E1294" i="1"/>
  <c r="D886" i="1"/>
  <c r="B1026" i="1"/>
  <c r="C995" i="1"/>
  <c r="C1051" i="1"/>
  <c r="C286" i="1"/>
  <c r="F471" i="1"/>
  <c r="E2216" i="1"/>
  <c r="C456" i="1"/>
  <c r="D955" i="1"/>
  <c r="D1218" i="1"/>
  <c r="D1688" i="1"/>
  <c r="B1125" i="1"/>
  <c r="F548" i="1"/>
  <c r="B843" i="1"/>
  <c r="B781" i="1"/>
  <c r="C41" i="1"/>
  <c r="E563" i="1"/>
  <c r="C631" i="1"/>
  <c r="B620" i="1"/>
  <c r="E1229" i="1"/>
  <c r="C1009" i="1"/>
  <c r="E948" i="1"/>
  <c r="C1123" i="1"/>
  <c r="D470" i="1"/>
  <c r="E186" i="1"/>
  <c r="E2274" i="1"/>
  <c r="E2705" i="1"/>
  <c r="E2532" i="1"/>
  <c r="D2392" i="1"/>
  <c r="E1416" i="1"/>
  <c r="B2207" i="1"/>
  <c r="D1076" i="1"/>
  <c r="D1673" i="1"/>
  <c r="F881" i="1"/>
  <c r="B2108" i="1"/>
  <c r="B2401" i="1"/>
  <c r="D595" i="1"/>
  <c r="E425" i="1"/>
  <c r="F1284" i="1"/>
  <c r="F2444" i="1"/>
  <c r="F1668" i="1"/>
  <c r="E806" i="1"/>
  <c r="F426" i="1"/>
  <c r="C1628" i="1"/>
  <c r="B1080" i="1"/>
  <c r="B753" i="1"/>
  <c r="F431" i="1"/>
  <c r="C700" i="1"/>
  <c r="B416" i="1"/>
  <c r="D1429" i="1"/>
  <c r="C1178" i="1"/>
  <c r="B951" i="1"/>
  <c r="D580" i="1"/>
  <c r="E1784" i="1"/>
  <c r="B1206" i="1"/>
  <c r="F1344" i="1"/>
  <c r="C975" i="1"/>
  <c r="D1268" i="1"/>
  <c r="D581" i="1"/>
  <c r="B365" i="1"/>
  <c r="C803" i="1"/>
  <c r="B1131" i="1"/>
  <c r="D520" i="1"/>
  <c r="B1319" i="1"/>
  <c r="C530" i="1"/>
  <c r="D1303" i="1"/>
  <c r="F516" i="1"/>
  <c r="F2194" i="1"/>
  <c r="B413" i="1"/>
  <c r="E216" i="1"/>
  <c r="E591" i="1"/>
  <c r="F415" i="1"/>
  <c r="D1163" i="1"/>
  <c r="E648" i="1"/>
  <c r="F1221" i="1"/>
  <c r="D1428" i="1"/>
  <c r="C525" i="1"/>
  <c r="F1173" i="1"/>
  <c r="C106" i="1"/>
  <c r="F576" i="1"/>
  <c r="E36" i="1"/>
  <c r="E686" i="1"/>
  <c r="B1243" i="1"/>
  <c r="E1599" i="1"/>
  <c r="B1304" i="1"/>
  <c r="C260" i="1"/>
  <c r="D991" i="1"/>
  <c r="E1233" i="1"/>
  <c r="C686" i="1"/>
  <c r="D546" i="1"/>
  <c r="F1246" i="1"/>
  <c r="E1629" i="1"/>
  <c r="F1678" i="1"/>
  <c r="E1278" i="1"/>
  <c r="D1338" i="1"/>
  <c r="B1669" i="1"/>
  <c r="E221" i="1"/>
  <c r="E1164" i="1"/>
  <c r="D524" i="1"/>
  <c r="C420" i="1"/>
  <c r="E1679" i="1"/>
  <c r="D433" i="1"/>
  <c r="E90" i="1"/>
  <c r="B673" i="1"/>
  <c r="B901" i="1"/>
  <c r="B1384" i="1"/>
  <c r="B906" i="1"/>
  <c r="B276" i="1"/>
  <c r="B311" i="1"/>
  <c r="D573" i="1"/>
  <c r="F940" i="1"/>
  <c r="B2415" i="1"/>
  <c r="E2444" i="1"/>
  <c r="F2179" i="1"/>
  <c r="B2744" i="1"/>
  <c r="C1208" i="1"/>
  <c r="B2062" i="1"/>
  <c r="D646" i="1"/>
  <c r="F971" i="1"/>
  <c r="C315" i="1"/>
  <c r="F2384" i="1"/>
  <c r="D1408" i="1"/>
  <c r="C501" i="1"/>
  <c r="E1274" i="1"/>
  <c r="C2508" i="1"/>
  <c r="E1594" i="1"/>
  <c r="F1368" i="1"/>
  <c r="F1155" i="1"/>
  <c r="F375" i="1"/>
  <c r="B2158" i="1"/>
  <c r="B426" i="1"/>
  <c r="C1193" i="1"/>
  <c r="E845" i="1"/>
  <c r="C1244" i="1"/>
  <c r="C681" i="1"/>
  <c r="B1171" i="1"/>
  <c r="D441" i="1"/>
  <c r="E816" i="1"/>
  <c r="F725" i="1"/>
  <c r="C2252" i="1"/>
  <c r="F255" i="1"/>
  <c r="F1233" i="1"/>
  <c r="B1739" i="1"/>
  <c r="F1338" i="1"/>
  <c r="F1634" i="1"/>
  <c r="B208" i="1"/>
  <c r="C448" i="1"/>
  <c r="C1693" i="1"/>
  <c r="F900" i="1"/>
  <c r="D1160" i="1"/>
  <c r="F371" i="1"/>
  <c r="D1181" i="1"/>
  <c r="E1130" i="1"/>
  <c r="D96" i="1"/>
  <c r="B2561" i="1"/>
  <c r="B1268" i="1"/>
  <c r="E1180" i="1"/>
  <c r="E1206" i="1"/>
  <c r="E6" i="1"/>
  <c r="E621" i="1"/>
  <c r="F816" i="1"/>
  <c r="E61" i="1"/>
  <c r="F1035" i="1"/>
  <c r="E813" i="1"/>
  <c r="F1363" i="1"/>
  <c r="C841" i="1"/>
  <c r="D186" i="1"/>
  <c r="B835" i="1"/>
  <c r="B1303" i="1"/>
  <c r="E1243" i="1"/>
  <c r="C1125" i="1"/>
  <c r="B840" i="1"/>
  <c r="C2270" i="1"/>
  <c r="F605" i="1"/>
  <c r="D1090" i="1"/>
  <c r="C2150" i="1"/>
  <c r="D1298" i="1"/>
  <c r="B1774" i="1"/>
  <c r="D1658" i="1"/>
  <c r="E1428" i="1"/>
  <c r="D46" i="1"/>
  <c r="E1334" i="1"/>
  <c r="C498" i="1"/>
  <c r="B1249" i="1"/>
  <c r="E538" i="1"/>
  <c r="B2287" i="1"/>
  <c r="E2535" i="1"/>
  <c r="B691" i="1"/>
  <c r="D2695" i="1"/>
  <c r="E1213" i="1"/>
  <c r="D476" i="1"/>
  <c r="B1076" i="1"/>
  <c r="D2147" i="1"/>
  <c r="E2385" i="1"/>
  <c r="F2334" i="1"/>
  <c r="E1121" i="1"/>
  <c r="D690" i="1"/>
  <c r="C445" i="1"/>
  <c r="E2190" i="1"/>
  <c r="C1093" i="1"/>
  <c r="C760" i="1"/>
  <c r="E430" i="1"/>
  <c r="E965" i="1"/>
  <c r="D456" i="1"/>
  <c r="E1644" i="1"/>
  <c r="B563" i="1"/>
  <c r="D530" i="1"/>
  <c r="C795" i="1"/>
  <c r="B451" i="1"/>
  <c r="D1324" i="1"/>
  <c r="D2730" i="1"/>
  <c r="B1604" i="1"/>
  <c r="F2478" i="1"/>
  <c r="D2153" i="1"/>
  <c r="D1056" i="1"/>
  <c r="F1264" i="1"/>
  <c r="B1386" i="1"/>
  <c r="C705" i="1"/>
  <c r="B270" i="1"/>
  <c r="F1103" i="1"/>
  <c r="D1055" i="1"/>
  <c r="C1694" i="1"/>
  <c r="C2238" i="1"/>
  <c r="F215" i="1"/>
  <c r="E1693" i="1"/>
  <c r="D791" i="1"/>
  <c r="E291" i="1"/>
  <c r="F676" i="1"/>
  <c r="B595" i="1"/>
  <c r="E141" i="1"/>
  <c r="C396" i="1"/>
  <c r="D61" i="1"/>
  <c r="F386" i="1"/>
  <c r="E2067" i="1"/>
  <c r="B980" i="1"/>
  <c r="E166" i="1"/>
  <c r="F635" i="1"/>
  <c r="F965" i="1"/>
  <c r="C1719" i="1"/>
  <c r="C1658" i="1"/>
  <c r="E100" i="1"/>
  <c r="C1186" i="1"/>
  <c r="F1618" i="1"/>
  <c r="B950" i="1"/>
  <c r="D165" i="1"/>
  <c r="D373" i="1"/>
  <c r="B945" i="1"/>
  <c r="C1569" i="1"/>
  <c r="D1579" i="1"/>
  <c r="F850" i="1"/>
  <c r="C440" i="1"/>
  <c r="C1106" i="1"/>
  <c r="D2394" i="1"/>
  <c r="D465" i="1"/>
  <c r="E951" i="1"/>
  <c r="F2709" i="1"/>
  <c r="E700" i="1"/>
  <c r="F905" i="1"/>
  <c r="F1389" i="1"/>
  <c r="E708" i="1"/>
  <c r="D503" i="1"/>
  <c r="D111" i="1"/>
  <c r="D236" i="1"/>
  <c r="B803" i="1"/>
  <c r="E1394" i="1"/>
  <c r="F1319" i="1"/>
  <c r="F65" i="1"/>
  <c r="D140" i="1"/>
  <c r="C2095" i="1"/>
  <c r="D570" i="1"/>
  <c r="F628" i="1"/>
  <c r="C1333" i="1"/>
  <c r="B2138" i="1"/>
  <c r="B2276" i="1"/>
  <c r="B986" i="1"/>
  <c r="C726" i="1"/>
  <c r="F1126" i="1"/>
  <c r="C305" i="1"/>
  <c r="E861" i="1"/>
  <c r="F1296" i="1"/>
  <c r="F1086" i="1"/>
  <c r="C216" i="1"/>
  <c r="D1639" i="1"/>
  <c r="F95" i="1"/>
  <c r="D1406" i="1"/>
  <c r="C1088" i="1"/>
  <c r="B1135" i="1"/>
  <c r="E2363" i="1"/>
  <c r="B565" i="1"/>
  <c r="E781" i="1"/>
  <c r="F223" i="1"/>
  <c r="F35" i="1"/>
  <c r="D915" i="1"/>
  <c r="B516" i="1"/>
  <c r="C1105" i="1"/>
  <c r="B2153" i="1"/>
  <c r="B1263" i="1"/>
  <c r="F283" i="1"/>
  <c r="C191" i="1"/>
  <c r="C1418" i="1"/>
  <c r="F1156" i="1"/>
  <c r="D15" i="1"/>
  <c r="E2160" i="1"/>
  <c r="D1619" i="1"/>
  <c r="E905" i="1"/>
  <c r="F1653" i="1"/>
  <c r="E1070" i="1"/>
  <c r="E1628" i="1"/>
  <c r="F741" i="1"/>
  <c r="C20" i="1"/>
  <c r="C886" i="1"/>
  <c r="F651" i="1"/>
  <c r="C2437" i="1"/>
  <c r="C215" i="1"/>
  <c r="E735" i="1"/>
  <c r="F1278" i="1"/>
  <c r="D2046" i="1"/>
  <c r="E460" i="1"/>
  <c r="C1030" i="1"/>
  <c r="C2354" i="1"/>
  <c r="F1569" i="1"/>
  <c r="E488" i="1"/>
  <c r="B1241" i="1"/>
  <c r="E131" i="1"/>
  <c r="B496" i="1"/>
  <c r="B966" i="1"/>
  <c r="C95" i="1"/>
  <c r="F2324" i="1"/>
  <c r="B480" i="1"/>
  <c r="D1424" i="1"/>
  <c r="F5" i="1"/>
  <c r="D1684" i="1"/>
  <c r="B2603" i="1"/>
  <c r="E1071" i="1"/>
  <c r="F48" i="1"/>
  <c r="E1404" i="1"/>
  <c r="F860" i="1"/>
  <c r="E445" i="1"/>
  <c r="D2303" i="1"/>
  <c r="E2499" i="1"/>
  <c r="D2734" i="1"/>
  <c r="E2163" i="1"/>
  <c r="C1363" i="1"/>
  <c r="B2442" i="1"/>
  <c r="B576" i="1"/>
  <c r="E1431" i="1"/>
  <c r="C2564" i="1"/>
  <c r="D2531" i="1"/>
  <c r="C751" i="1"/>
  <c r="F2584" i="1"/>
  <c r="C1353" i="1"/>
  <c r="D1596" i="1"/>
  <c r="C1404" i="1"/>
  <c r="F2062" i="1"/>
  <c r="D1246" i="1"/>
  <c r="B325" i="1"/>
  <c r="D450" i="1"/>
  <c r="C1128" i="1"/>
  <c r="F748" i="1"/>
  <c r="E2151" i="1"/>
  <c r="F1243" i="1"/>
  <c r="B1060" i="1"/>
  <c r="D2661" i="1"/>
  <c r="D505" i="1"/>
  <c r="F1313" i="1"/>
  <c r="C2036" i="1"/>
  <c r="D21" i="1"/>
  <c r="F770" i="1"/>
  <c r="E26" i="1"/>
  <c r="D586" i="1"/>
  <c r="C1819" i="1"/>
  <c r="C661" i="1"/>
  <c r="E1061" i="1"/>
  <c r="C1060" i="1"/>
  <c r="F2054" i="1"/>
  <c r="D466" i="1"/>
  <c r="B491" i="1"/>
  <c r="D780" i="1"/>
  <c r="E1343" i="1"/>
  <c r="F1231" i="1"/>
  <c r="E2320" i="1"/>
  <c r="F661" i="1"/>
  <c r="E1080" i="1"/>
  <c r="B1101" i="1"/>
  <c r="C1419" i="1"/>
  <c r="B1409" i="1"/>
  <c r="C2613" i="1"/>
  <c r="B1203" i="1"/>
  <c r="F981" i="1"/>
  <c r="C750" i="1"/>
  <c r="E915" i="1"/>
  <c r="D2334" i="1"/>
  <c r="C756" i="1"/>
  <c r="F1283" i="1"/>
  <c r="C2372" i="1"/>
  <c r="C900" i="1"/>
  <c r="B975" i="1"/>
  <c r="F466" i="1"/>
  <c r="E335" i="1"/>
  <c r="B1693" i="1"/>
  <c r="B676" i="1"/>
  <c r="B2665" i="1"/>
  <c r="B271" i="1"/>
  <c r="C176" i="1"/>
  <c r="F1384" i="1"/>
  <c r="B1618" i="1"/>
  <c r="B286" i="1"/>
  <c r="C1264" i="1"/>
  <c r="F1181" i="1"/>
  <c r="E1323" i="1"/>
  <c r="C118" i="1"/>
  <c r="D469" i="1"/>
  <c r="F793" i="1"/>
  <c r="E588" i="1"/>
  <c r="E705" i="1"/>
  <c r="B839" i="1"/>
  <c r="C595" i="1"/>
  <c r="E950" i="1"/>
  <c r="C241" i="1"/>
  <c r="D1403" i="1"/>
  <c r="C35" i="1"/>
  <c r="D2390" i="1"/>
  <c r="B465" i="1"/>
  <c r="E1118" i="1"/>
  <c r="D1801" i="1"/>
  <c r="B2298" i="1"/>
  <c r="C2049" i="1"/>
  <c r="D2491" i="1"/>
  <c r="D1598" i="1"/>
  <c r="C161" i="1"/>
  <c r="F2394" i="1"/>
  <c r="D2163" i="1"/>
  <c r="E1301" i="1"/>
  <c r="B2334" i="1"/>
  <c r="E635" i="1"/>
  <c r="F2701" i="1"/>
  <c r="D1259" i="1"/>
  <c r="D1349" i="1"/>
  <c r="C636" i="1"/>
  <c r="E2182" i="1"/>
  <c r="B683" i="1"/>
  <c r="B1668" i="1"/>
  <c r="E2668" i="1"/>
  <c r="E321" i="1"/>
  <c r="C815" i="1"/>
  <c r="E1638" i="1"/>
  <c r="F856" i="1"/>
  <c r="C2439" i="1"/>
  <c r="B2585" i="1"/>
  <c r="D1383" i="1"/>
  <c r="C356" i="1"/>
  <c r="C2047" i="1"/>
  <c r="D1709" i="1"/>
  <c r="F1419" i="1"/>
  <c r="F411" i="1"/>
  <c r="F2318" i="1"/>
  <c r="C1338" i="1"/>
  <c r="D280" i="1"/>
  <c r="E870" i="1"/>
  <c r="E293" i="1"/>
  <c r="C401" i="1"/>
  <c r="D906" i="1"/>
  <c r="D1201" i="1"/>
  <c r="C116" i="1"/>
  <c r="F176" i="1"/>
  <c r="C270" i="1"/>
  <c r="B670" i="1"/>
  <c r="D1674" i="1"/>
  <c r="B1328" i="1"/>
  <c r="D1273" i="1"/>
  <c r="E1603" i="1"/>
  <c r="F1174" i="1"/>
  <c r="F436" i="1"/>
  <c r="D1313" i="1"/>
  <c r="F1131" i="1"/>
  <c r="D663" i="1"/>
  <c r="C190" i="1"/>
  <c r="B636" i="1"/>
  <c r="B601" i="1"/>
  <c r="F1694" i="1"/>
  <c r="D2033" i="1"/>
  <c r="D311" i="1"/>
  <c r="C381" i="1"/>
  <c r="B1031" i="1"/>
  <c r="C778" i="1"/>
  <c r="F2711" i="1"/>
  <c r="C915" i="1"/>
  <c r="F100" i="1"/>
  <c r="B1789" i="1"/>
  <c r="B991" i="1"/>
  <c r="C1266" i="1"/>
  <c r="B831" i="1"/>
  <c r="C186" i="1"/>
  <c r="B815" i="1"/>
  <c r="E1409" i="1"/>
  <c r="E1364" i="1"/>
  <c r="B648" i="1"/>
  <c r="E230" i="1"/>
  <c r="E954" i="1"/>
  <c r="C901" i="1"/>
  <c r="E305" i="1"/>
  <c r="F420" i="1"/>
  <c r="E1204" i="1"/>
  <c r="C961" i="1"/>
  <c r="E111" i="1"/>
  <c r="D510" i="1"/>
  <c r="B1344" i="1"/>
  <c r="C1434" i="1"/>
  <c r="F2448" i="1"/>
  <c r="E1094" i="1"/>
  <c r="B2236" i="1"/>
  <c r="F2472" i="1"/>
  <c r="D2138" i="1"/>
  <c r="D1198" i="1"/>
  <c r="C2246" i="1"/>
  <c r="E1328" i="1"/>
  <c r="C2577" i="1"/>
  <c r="C166" i="1"/>
  <c r="B331" i="1"/>
  <c r="E2030" i="1"/>
  <c r="F2165" i="1"/>
  <c r="F2475" i="1"/>
  <c r="D1236" i="1"/>
  <c r="E1374" i="1"/>
  <c r="E1191" i="1"/>
  <c r="E2118" i="1"/>
  <c r="C678" i="1"/>
  <c r="E1155" i="1"/>
  <c r="B881" i="1"/>
  <c r="D1193" i="1"/>
  <c r="B2143" i="1"/>
  <c r="B1688" i="1"/>
  <c r="B693" i="1"/>
  <c r="E405" i="1"/>
  <c r="E891" i="1"/>
  <c r="B455" i="1"/>
  <c r="F385" i="1"/>
  <c r="B2194" i="1"/>
  <c r="D2611" i="1"/>
  <c r="F2079" i="1"/>
  <c r="B1040" i="1"/>
  <c r="C931" i="1"/>
  <c r="C131" i="1"/>
  <c r="D421" i="1"/>
  <c r="F425" i="1"/>
  <c r="D2566" i="1"/>
  <c r="E1241" i="1"/>
  <c r="D1000" i="1"/>
  <c r="E831" i="1"/>
  <c r="F1204" i="1"/>
  <c r="C1291" i="1"/>
  <c r="B650" i="1"/>
  <c r="F810" i="1"/>
  <c r="C306" i="1"/>
  <c r="C866" i="1"/>
  <c r="F630" i="1"/>
  <c r="C930" i="1"/>
  <c r="F2665" i="1"/>
  <c r="D2329" i="1"/>
  <c r="F680" i="1"/>
  <c r="C1736" i="1"/>
  <c r="E725" i="1"/>
  <c r="C1568" i="1"/>
  <c r="B401" i="1"/>
  <c r="C46" i="1"/>
  <c r="D1369" i="1"/>
  <c r="D831" i="1"/>
  <c r="E316" i="1"/>
  <c r="E1439" i="1"/>
  <c r="D626" i="1"/>
  <c r="C433" i="1"/>
  <c r="D1739" i="1"/>
  <c r="F901" i="1"/>
  <c r="C475" i="1"/>
  <c r="E2032" i="1"/>
  <c r="C801" i="1"/>
  <c r="B655" i="1"/>
  <c r="B2165" i="1"/>
  <c r="C701" i="1"/>
  <c r="B1431" i="1"/>
  <c r="F750" i="1"/>
  <c r="D1018" i="1"/>
  <c r="B443" i="1"/>
  <c r="D648" i="1"/>
  <c r="C1644" i="1"/>
  <c r="F346" i="1"/>
  <c r="C1686" i="1"/>
  <c r="C1119" i="1"/>
  <c r="E698" i="1"/>
  <c r="F895" i="1"/>
  <c r="D1219" i="1"/>
  <c r="F463" i="1"/>
  <c r="C825" i="1"/>
  <c r="E615" i="1"/>
  <c r="E710" i="1"/>
  <c r="B2209" i="1"/>
  <c r="F2088" i="1"/>
  <c r="D1228" i="1"/>
  <c r="F2368" i="1"/>
  <c r="F336" i="1"/>
  <c r="D2207" i="1"/>
  <c r="C1754" i="1"/>
  <c r="B955" i="1"/>
  <c r="C826" i="1"/>
  <c r="D2047" i="1"/>
  <c r="F811" i="1"/>
  <c r="F1423" i="1"/>
  <c r="F111" i="1"/>
  <c r="E2402" i="1"/>
  <c r="D783" i="1"/>
  <c r="C606" i="1"/>
  <c r="B2406" i="1"/>
  <c r="D295" i="1"/>
  <c r="F1659" i="1"/>
  <c r="C885" i="1"/>
  <c r="F2482" i="1"/>
  <c r="E506" i="1"/>
  <c r="B506" i="1"/>
  <c r="B1396" i="1"/>
  <c r="E756" i="1"/>
  <c r="B1020" i="1"/>
  <c r="F1239" i="1"/>
  <c r="F2446" i="1"/>
  <c r="F1273" i="1"/>
  <c r="D446" i="1"/>
  <c r="B1419" i="1"/>
  <c r="E1011" i="1"/>
  <c r="E135" i="1"/>
  <c r="B765" i="1"/>
  <c r="C2023" i="1"/>
  <c r="C2655" i="1"/>
  <c r="D210" i="1"/>
  <c r="C963" i="1"/>
  <c r="F678" i="1"/>
  <c r="F1314" i="1"/>
  <c r="C1150" i="1"/>
  <c r="D2045" i="1"/>
  <c r="F1244" i="1"/>
  <c r="D2345" i="1"/>
  <c r="B1633" i="1"/>
  <c r="C1584" i="1"/>
  <c r="B811" i="1"/>
  <c r="C1161" i="1"/>
  <c r="B941" i="1"/>
  <c r="D1609" i="1"/>
  <c r="F1364" i="1"/>
  <c r="F1383" i="1"/>
  <c r="F711" i="1"/>
  <c r="C730" i="1"/>
  <c r="E716" i="1"/>
  <c r="B760" i="1"/>
  <c r="B2225" i="1"/>
  <c r="E1699" i="1"/>
  <c r="F181" i="1"/>
  <c r="B668" i="1"/>
  <c r="D741" i="1"/>
  <c r="F106" i="1"/>
  <c r="E1359" i="1"/>
  <c r="F56" i="1"/>
  <c r="F645" i="1"/>
  <c r="D900" i="1"/>
  <c r="F1145" i="1"/>
  <c r="C800" i="1"/>
  <c r="C966" i="1"/>
  <c r="F1349" i="1"/>
  <c r="F945" i="1"/>
  <c r="C25" i="1"/>
  <c r="F719" i="1"/>
  <c r="C984" i="1"/>
  <c r="C508" i="1"/>
  <c r="C98" i="1"/>
  <c r="D585" i="1"/>
  <c r="E926" i="1"/>
  <c r="C1049" i="1"/>
  <c r="F96" i="1"/>
  <c r="B898" i="1"/>
  <c r="F563" i="1"/>
  <c r="F953" i="1"/>
  <c r="F638" i="1"/>
  <c r="B1153" i="1"/>
  <c r="C2353" i="1"/>
  <c r="D816" i="1"/>
  <c r="C896" i="1"/>
  <c r="B2127" i="1"/>
  <c r="E2101" i="1"/>
  <c r="E1156" i="1"/>
  <c r="B1596" i="1"/>
  <c r="D1606" i="1"/>
  <c r="E1386" i="1"/>
  <c r="F1573" i="1"/>
  <c r="C1324" i="1"/>
  <c r="E1273" i="1"/>
  <c r="D516" i="1"/>
  <c r="D851" i="1"/>
  <c r="E1418" i="1"/>
  <c r="C1578" i="1"/>
  <c r="B345" i="1"/>
  <c r="E1254" i="1"/>
  <c r="D381" i="1"/>
  <c r="D460" i="1"/>
  <c r="B1416" i="1"/>
  <c r="C1436" i="1"/>
  <c r="C1011" i="1"/>
  <c r="D2078" i="1"/>
  <c r="F1151" i="1"/>
  <c r="E800" i="1"/>
  <c r="E1161" i="1"/>
  <c r="C471" i="1"/>
  <c r="F305" i="1"/>
  <c r="E1643" i="1"/>
  <c r="F1199" i="1"/>
  <c r="C1596" i="1"/>
  <c r="D2054" i="1"/>
  <c r="C1259" i="1"/>
  <c r="F1639" i="1"/>
  <c r="B2423" i="1"/>
  <c r="F1000" i="1"/>
  <c r="B1274" i="1"/>
  <c r="B481" i="1"/>
  <c r="B1175" i="1"/>
  <c r="E1683" i="1"/>
  <c r="C1273" i="1"/>
  <c r="D1309" i="1"/>
  <c r="E1000" i="1"/>
  <c r="D2492" i="1"/>
  <c r="F2722" i="1"/>
  <c r="C978" i="1"/>
  <c r="F435" i="1"/>
  <c r="F231" i="1"/>
  <c r="E2665" i="1"/>
  <c r="D145" i="1"/>
  <c r="B590" i="1"/>
  <c r="F2683" i="1"/>
  <c r="E1150" i="1"/>
  <c r="E101" i="1"/>
  <c r="B1363" i="1"/>
  <c r="F2196" i="1"/>
  <c r="B475" i="1"/>
  <c r="F490" i="1"/>
  <c r="E456" i="1"/>
  <c r="D2085" i="1"/>
  <c r="E846" i="1"/>
  <c r="C785" i="1"/>
  <c r="D615" i="1"/>
  <c r="B2624" i="1"/>
  <c r="B446" i="1"/>
  <c r="C1120" i="1"/>
  <c r="E1105" i="1"/>
  <c r="B610" i="1"/>
  <c r="F130" i="1"/>
  <c r="F1289" i="1"/>
  <c r="D76" i="1"/>
  <c r="D1374" i="1"/>
  <c r="D2471" i="1"/>
  <c r="C1071" i="1"/>
  <c r="D2422" i="1"/>
  <c r="D1106" i="1"/>
  <c r="E1729" i="1"/>
  <c r="F2245" i="1"/>
  <c r="F2108" i="1"/>
  <c r="E1769" i="1"/>
  <c r="C1431" i="1"/>
  <c r="F2071" i="1"/>
  <c r="E576" i="1"/>
  <c r="C2398" i="1"/>
  <c r="C463" i="1"/>
  <c r="B1804" i="1"/>
  <c r="F1274" i="1"/>
  <c r="E726" i="1"/>
  <c r="C560" i="1"/>
  <c r="C721" i="1"/>
  <c r="B780" i="1"/>
  <c r="C2237" i="1"/>
  <c r="B1046" i="1"/>
  <c r="D306" i="1"/>
  <c r="B635" i="1"/>
  <c r="F2051" i="1"/>
  <c r="F2283" i="1"/>
  <c r="E2035" i="1"/>
  <c r="C51" i="1"/>
  <c r="E1653" i="1"/>
  <c r="B690" i="1"/>
  <c r="C551" i="1"/>
  <c r="B2026" i="1"/>
  <c r="B816" i="1"/>
  <c r="F2412" i="1"/>
  <c r="D1314" i="1"/>
  <c r="E86" i="1"/>
  <c r="F1398" i="1"/>
  <c r="B2519" i="1"/>
  <c r="E1293" i="1"/>
  <c r="B916" i="1"/>
  <c r="C1098" i="1"/>
  <c r="B2722" i="1"/>
  <c r="C1664" i="1"/>
  <c r="C941" i="1"/>
  <c r="E530" i="1"/>
  <c r="E1196" i="1"/>
  <c r="B306" i="1"/>
  <c r="D2551" i="1"/>
  <c r="F246" i="1"/>
  <c r="D2027" i="1"/>
  <c r="C206" i="1"/>
  <c r="C745" i="1"/>
  <c r="B1110" i="1"/>
  <c r="E2022" i="1"/>
  <c r="D351" i="1"/>
  <c r="F1623" i="1"/>
  <c r="C340" i="1"/>
  <c r="B556" i="1"/>
  <c r="B2129" i="1"/>
  <c r="E338" i="1"/>
  <c r="F821" i="1"/>
  <c r="B1188" i="1"/>
  <c r="C400" i="1"/>
  <c r="D225" i="1"/>
  <c r="D121" i="1"/>
  <c r="E2400" i="1"/>
  <c r="F2219" i="1"/>
  <c r="E2066" i="1"/>
  <c r="C2460" i="1"/>
  <c r="D1221" i="1"/>
  <c r="F2152" i="1"/>
  <c r="F2515" i="1"/>
  <c r="C1588" i="1"/>
  <c r="D866" i="1"/>
  <c r="D1638" i="1"/>
  <c r="F16" i="1"/>
  <c r="E1678" i="1"/>
  <c r="F2109" i="1"/>
  <c r="E161" i="1"/>
  <c r="F30" i="1"/>
  <c r="F1266" i="1"/>
  <c r="E730" i="1"/>
  <c r="C461" i="1"/>
  <c r="C1165" i="1"/>
  <c r="F1649" i="1"/>
  <c r="E1203" i="1"/>
  <c r="B755" i="1"/>
  <c r="C710" i="1"/>
  <c r="F2407" i="1"/>
  <c r="F1393" i="1"/>
  <c r="E1041" i="1"/>
  <c r="E431" i="1"/>
  <c r="F880" i="1"/>
  <c r="F2519" i="1"/>
  <c r="F1263" i="1"/>
  <c r="C1198" i="1"/>
  <c r="E1754" i="1"/>
  <c r="C831" i="1"/>
  <c r="D2289" i="1"/>
  <c r="D55" i="1"/>
  <c r="F2119" i="1"/>
  <c r="E881" i="1"/>
  <c r="E1339" i="1"/>
  <c r="F620" i="1"/>
  <c r="E738" i="1"/>
  <c r="D386" i="1"/>
  <c r="C691" i="1"/>
  <c r="C656" i="1"/>
  <c r="B915" i="1"/>
  <c r="D141" i="1"/>
  <c r="F601" i="1"/>
  <c r="E170" i="1"/>
  <c r="D1005" i="1"/>
  <c r="D1231" i="1"/>
  <c r="B1016" i="1"/>
  <c r="E1373" i="1"/>
  <c r="F1015" i="1"/>
  <c r="E1198" i="1"/>
  <c r="E1166" i="1"/>
  <c r="D211" i="1"/>
  <c r="D193" i="1"/>
  <c r="F2416" i="1"/>
  <c r="C936" i="1"/>
  <c r="F210" i="1"/>
  <c r="D610" i="1"/>
  <c r="D2209" i="1"/>
  <c r="B1196" i="1"/>
  <c r="B666" i="1"/>
  <c r="E1324" i="1"/>
  <c r="D2075" i="1"/>
  <c r="B2589" i="1"/>
  <c r="F1714" i="1"/>
  <c r="C1749" i="1"/>
  <c r="E251" i="1"/>
  <c r="E521" i="1"/>
  <c r="E350" i="1"/>
  <c r="D1033" i="1"/>
  <c r="B923" i="1"/>
  <c r="C168" i="1"/>
  <c r="C416" i="1"/>
  <c r="D71" i="1"/>
  <c r="F1259" i="1"/>
  <c r="F2274" i="1"/>
  <c r="B68" i="1"/>
  <c r="C110" i="1"/>
  <c r="C490" i="1"/>
  <c r="E255" i="1"/>
  <c r="C1138" i="1"/>
  <c r="D30" i="1"/>
  <c r="D2290" i="1"/>
  <c r="D2144" i="1"/>
  <c r="D1804" i="1"/>
  <c r="F1814" i="1"/>
  <c r="C2348" i="1"/>
  <c r="C2554" i="1"/>
  <c r="E446" i="1"/>
  <c r="C1403" i="1"/>
  <c r="C1301" i="1"/>
  <c r="C976" i="1"/>
  <c r="D291" i="1"/>
  <c r="E2507" i="1"/>
  <c r="F876" i="1"/>
  <c r="C570" i="1"/>
  <c r="C1224" i="1"/>
  <c r="E601" i="1"/>
  <c r="E795" i="1"/>
  <c r="E2335" i="1"/>
  <c r="B1764" i="1"/>
  <c r="D136" i="1"/>
  <c r="D750" i="1"/>
  <c r="E865" i="1"/>
  <c r="D751" i="1"/>
  <c r="B1383" i="1"/>
  <c r="F555" i="1"/>
  <c r="D1698" i="1"/>
  <c r="F438" i="1"/>
  <c r="F1418" i="1"/>
  <c r="F1401" i="1"/>
  <c r="B578" i="1"/>
  <c r="C450" i="1"/>
  <c r="E1348" i="1"/>
  <c r="F621" i="1"/>
  <c r="D330" i="1"/>
  <c r="E50" i="1"/>
  <c r="F1116" i="1"/>
  <c r="C711" i="1"/>
  <c r="C1021" i="1"/>
  <c r="C620" i="1"/>
  <c r="D1001" i="1"/>
  <c r="F366" i="1"/>
  <c r="F590" i="1"/>
  <c r="F1579" i="1"/>
  <c r="B739" i="1"/>
  <c r="E1338" i="1"/>
  <c r="B400" i="1"/>
  <c r="B485" i="1"/>
  <c r="E1384" i="1"/>
  <c r="B626" i="1"/>
  <c r="B896" i="1"/>
  <c r="D506" i="1"/>
  <c r="E2196" i="1"/>
  <c r="C2511" i="1"/>
  <c r="B1086" i="1"/>
  <c r="C641" i="1"/>
  <c r="B1078" i="1"/>
  <c r="B1041" i="1"/>
  <c r="C1151" i="1"/>
  <c r="B396" i="1"/>
  <c r="E585" i="1"/>
  <c r="C96" i="1"/>
  <c r="D776" i="1"/>
  <c r="F565" i="1"/>
  <c r="D181" i="1"/>
  <c r="B846" i="1"/>
  <c r="F930" i="1"/>
  <c r="E1076" i="1"/>
  <c r="D2165" i="1"/>
  <c r="F1624" i="1"/>
  <c r="B1308" i="1"/>
  <c r="B1628" i="1"/>
  <c r="F988" i="1"/>
  <c r="E1078" i="1"/>
  <c r="B908" i="1"/>
  <c r="E2076" i="1"/>
  <c r="E1574" i="1"/>
  <c r="C833" i="1"/>
  <c r="C600" i="1"/>
  <c r="B469" i="1"/>
  <c r="E495" i="1"/>
  <c r="C953" i="1"/>
  <c r="F728" i="1"/>
  <c r="F639" i="1"/>
  <c r="E701" i="1"/>
  <c r="F2350" i="1"/>
  <c r="B386" i="1"/>
  <c r="D2048" i="1"/>
  <c r="D2092" i="1"/>
  <c r="E96" i="1"/>
  <c r="D656" i="1"/>
  <c r="D551" i="1"/>
  <c r="E2309" i="1"/>
  <c r="D1388" i="1"/>
  <c r="D2487" i="1"/>
  <c r="F1294" i="1"/>
  <c r="B746" i="1"/>
  <c r="C905" i="1"/>
  <c r="C706" i="1"/>
  <c r="E1141" i="1"/>
  <c r="B2549" i="1"/>
  <c r="D815" i="1"/>
  <c r="E2133" i="1"/>
  <c r="D86" i="1"/>
  <c r="F1241" i="1"/>
  <c r="C126" i="1"/>
  <c r="F196" i="1"/>
  <c r="E843" i="1"/>
  <c r="C2535" i="1"/>
  <c r="F1183" i="1"/>
  <c r="F983" i="1"/>
  <c r="B1105" i="1"/>
  <c r="C156" i="1"/>
  <c r="D2477" i="1"/>
  <c r="F410" i="1"/>
  <c r="D1249" i="1"/>
  <c r="C1393" i="1"/>
  <c r="C770" i="1"/>
  <c r="C1323" i="1"/>
  <c r="D1589" i="1"/>
  <c r="C1413" i="1"/>
  <c r="E1353" i="1"/>
  <c r="E2041" i="1"/>
  <c r="F823" i="1"/>
  <c r="E1779" i="1"/>
  <c r="E1403" i="1"/>
  <c r="C840" i="1"/>
  <c r="D370" i="1"/>
  <c r="F170" i="1"/>
  <c r="E1136" i="1"/>
  <c r="B1273" i="1"/>
  <c r="C1374" i="1"/>
  <c r="D735" i="1"/>
  <c r="F591" i="1"/>
  <c r="F66" i="1"/>
  <c r="D36" i="1"/>
  <c r="E540" i="1"/>
  <c r="F266" i="1"/>
  <c r="C266" i="1"/>
  <c r="E821" i="1"/>
  <c r="D390" i="1"/>
  <c r="D1016" i="1"/>
  <c r="B1298" i="1"/>
  <c r="D961" i="1"/>
  <c r="F281" i="1"/>
  <c r="B786" i="1"/>
  <c r="D471" i="1"/>
  <c r="F383" i="1"/>
  <c r="B2036" i="1"/>
  <c r="F586" i="1"/>
  <c r="B1233" i="1"/>
  <c r="E450" i="1"/>
  <c r="B2147" i="1"/>
  <c r="D2271" i="1"/>
  <c r="C2587" i="1"/>
  <c r="B2219" i="1"/>
  <c r="C2189" i="1"/>
  <c r="D2035" i="1"/>
  <c r="F946" i="1"/>
  <c r="F1298" i="1"/>
  <c r="C2515" i="1"/>
  <c r="E2078" i="1"/>
  <c r="B1429" i="1"/>
  <c r="C2513" i="1"/>
  <c r="E1100" i="1"/>
  <c r="F1598" i="1"/>
  <c r="D1125" i="1"/>
  <c r="C226" i="1"/>
  <c r="F1125" i="1"/>
  <c r="E281" i="1"/>
  <c r="B2297" i="1"/>
  <c r="C1826" i="1"/>
  <c r="B273" i="1"/>
  <c r="F1638" i="1"/>
  <c r="B2733" i="1"/>
  <c r="D836" i="1"/>
  <c r="D1269" i="1"/>
  <c r="F1006" i="1"/>
  <c r="B280" i="1"/>
  <c r="F1673" i="1"/>
  <c r="D1170" i="1"/>
  <c r="D1646" i="1"/>
  <c r="F1223" i="1"/>
  <c r="F80" i="1"/>
  <c r="F2060" i="1"/>
  <c r="D1433" i="1"/>
  <c r="F1150" i="1"/>
  <c r="E31" i="1"/>
  <c r="C56" i="1"/>
  <c r="B1021" i="1"/>
  <c r="C1689" i="1"/>
  <c r="E301" i="1"/>
  <c r="F818" i="1"/>
  <c r="E366" i="1"/>
  <c r="B1714" i="1"/>
  <c r="D871" i="1"/>
  <c r="B1155" i="1"/>
  <c r="D696" i="1"/>
  <c r="D1191" i="1"/>
  <c r="E1303" i="1"/>
  <c r="C221" i="1"/>
  <c r="F455" i="1"/>
  <c r="E641" i="1"/>
  <c r="D1176" i="1"/>
  <c r="C1171" i="1"/>
  <c r="E1085" i="1"/>
  <c r="C1639" i="1"/>
  <c r="D1649" i="1"/>
  <c r="B1254" i="1"/>
  <c r="D2733" i="1"/>
  <c r="E771" i="1"/>
  <c r="C1674" i="1"/>
  <c r="F2272" i="1"/>
  <c r="E2642" i="1"/>
  <c r="B2162" i="1"/>
  <c r="F2173" i="1"/>
  <c r="B2479" i="1"/>
  <c r="D2052" i="1"/>
  <c r="F1744" i="1"/>
  <c r="E2302" i="1"/>
  <c r="F2216" i="1"/>
  <c r="B1816" i="1"/>
  <c r="D40" i="1"/>
  <c r="C1673" i="1"/>
  <c r="F1359" i="1"/>
  <c r="F461" i="1"/>
  <c r="B1113" i="1"/>
  <c r="D891" i="1"/>
  <c r="D1664" i="1"/>
  <c r="C1683" i="1"/>
  <c r="D2683" i="1"/>
  <c r="D1329" i="1"/>
  <c r="D1734" i="1"/>
  <c r="D230" i="1"/>
  <c r="B1085" i="1"/>
  <c r="E1228" i="1"/>
  <c r="C665" i="1"/>
  <c r="D271" i="1"/>
  <c r="F851" i="1"/>
  <c r="B880" i="1"/>
  <c r="D131" i="1"/>
  <c r="D276" i="1"/>
  <c r="E1066" i="1"/>
  <c r="D726" i="1"/>
  <c r="E2585" i="1"/>
  <c r="F1599" i="1"/>
  <c r="B1408" i="1"/>
  <c r="F1754" i="1"/>
  <c r="E1634" i="1"/>
  <c r="E205" i="1"/>
  <c r="C1170" i="1"/>
  <c r="F1663" i="1"/>
  <c r="C1684" i="1"/>
  <c r="F401" i="1"/>
  <c r="C1036" i="1"/>
  <c r="C2102" i="1"/>
  <c r="E1279" i="1"/>
  <c r="B741" i="1"/>
  <c r="F1309" i="1"/>
  <c r="F91" i="1"/>
  <c r="F1101" i="1"/>
  <c r="B1011" i="1"/>
  <c r="E855" i="1"/>
  <c r="C2371" i="1"/>
  <c r="D591" i="1"/>
  <c r="D425" i="1"/>
  <c r="D1679" i="1"/>
  <c r="C1614" i="1"/>
  <c r="D1413" i="1"/>
  <c r="F2646" i="1"/>
  <c r="C811" i="1"/>
  <c r="B2552" i="1"/>
  <c r="C2065" i="1"/>
  <c r="E750" i="1"/>
  <c r="B695" i="1"/>
  <c r="D6" i="1"/>
  <c r="E151" i="1"/>
  <c r="F2433" i="1"/>
  <c r="F501" i="1"/>
  <c r="C1274" i="1"/>
  <c r="D800" i="1"/>
  <c r="B660" i="1"/>
  <c r="D1373" i="1"/>
  <c r="C1439" i="1"/>
  <c r="F1699" i="1"/>
  <c r="F271" i="1"/>
  <c r="E650" i="1"/>
  <c r="D308" i="1"/>
  <c r="B1133" i="1"/>
  <c r="F1584" i="1"/>
  <c r="F445" i="1"/>
  <c r="E403" i="1"/>
  <c r="D845" i="1"/>
  <c r="F220" i="1"/>
  <c r="F250" i="1"/>
  <c r="D540" i="1"/>
  <c r="D1145" i="1"/>
  <c r="F1408" i="1"/>
  <c r="F568" i="1"/>
  <c r="E1124" i="1"/>
  <c r="E968" i="1"/>
  <c r="F61" i="1"/>
  <c r="D498" i="1"/>
  <c r="B535" i="1"/>
  <c r="D606" i="1"/>
  <c r="F606" i="1"/>
  <c r="C158" i="1"/>
  <c r="E285" i="1"/>
  <c r="E1613" i="1"/>
  <c r="E1624" i="1"/>
  <c r="F1088" i="1"/>
  <c r="D555" i="1"/>
  <c r="E695" i="1"/>
  <c r="C1384" i="1"/>
  <c r="E878" i="1"/>
  <c r="E1614" i="1"/>
  <c r="C1181" i="1"/>
  <c r="F116" i="1"/>
  <c r="E1239" i="1"/>
  <c r="E945" i="1"/>
  <c r="E1146" i="1"/>
  <c r="B381" i="1"/>
  <c r="F335" i="1"/>
  <c r="F735" i="1"/>
  <c r="E658" i="1"/>
  <c r="E2257" i="1"/>
  <c r="F968" i="1"/>
  <c r="F20" i="1"/>
  <c r="D348" i="1"/>
  <c r="D743" i="1"/>
  <c r="C423" i="1"/>
  <c r="C1000" i="1"/>
  <c r="E46" i="1"/>
  <c r="E1388" i="1"/>
  <c r="C943" i="1"/>
  <c r="C40" i="1"/>
  <c r="E923" i="1"/>
  <c r="C1015" i="1"/>
  <c r="C880" i="1"/>
  <c r="F433" i="1"/>
  <c r="F510" i="1"/>
  <c r="F705" i="1"/>
  <c r="C911" i="1"/>
  <c r="E41" i="1"/>
  <c r="F85" i="1"/>
  <c r="E903" i="1"/>
  <c r="E124" i="1"/>
  <c r="C171" i="1"/>
  <c r="B1289" i="1"/>
  <c r="E328" i="1"/>
  <c r="C88" i="1"/>
  <c r="D1264" i="1"/>
  <c r="B380" i="1"/>
  <c r="C794" i="1"/>
  <c r="E930" i="1"/>
  <c r="C1176" i="1"/>
  <c r="C2642" i="1"/>
  <c r="C2488" i="1"/>
  <c r="D161" i="1"/>
  <c r="E2693" i="1"/>
  <c r="D760" i="1"/>
  <c r="F500" i="1"/>
  <c r="F2358" i="1"/>
  <c r="F261" i="1"/>
  <c r="E555" i="1"/>
  <c r="E2195" i="1"/>
  <c r="E830" i="1"/>
  <c r="C890" i="1"/>
  <c r="D1614" i="1"/>
  <c r="E515" i="1"/>
  <c r="E958" i="1"/>
  <c r="D1048" i="1"/>
  <c r="E2537" i="1"/>
  <c r="B2724" i="1"/>
  <c r="F338" i="1"/>
  <c r="D514" i="1"/>
  <c r="F480" i="1"/>
  <c r="F869" i="1"/>
  <c r="C566" i="1"/>
  <c r="D1038" i="1"/>
  <c r="C569" i="1"/>
  <c r="B748" i="1"/>
  <c r="D1279" i="1"/>
  <c r="F75" i="1"/>
  <c r="E790" i="1"/>
  <c r="E365" i="1"/>
  <c r="C123" i="1"/>
  <c r="F373" i="1"/>
  <c r="C1663" i="1"/>
  <c r="F1816" i="1"/>
  <c r="D243" i="1"/>
  <c r="D560" i="1"/>
  <c r="C115" i="1"/>
  <c r="D545" i="1"/>
  <c r="D156" i="1"/>
  <c r="B543" i="1"/>
  <c r="B278" i="1"/>
  <c r="B1068" i="1"/>
  <c r="D1189" i="1"/>
  <c r="C983" i="1"/>
  <c r="F493" i="1"/>
  <c r="B513" i="1"/>
  <c r="E761" i="1"/>
  <c r="F473" i="1"/>
  <c r="C768" i="1"/>
  <c r="E1579" i="1"/>
  <c r="B2580" i="1"/>
  <c r="B1053" i="1"/>
  <c r="F943" i="1"/>
  <c r="B1629" i="1"/>
  <c r="E115" i="1"/>
  <c r="D260" i="1"/>
  <c r="E893" i="1"/>
  <c r="E1069" i="1"/>
  <c r="E143" i="1"/>
  <c r="F1628" i="1"/>
  <c r="F135" i="1"/>
  <c r="E545" i="1"/>
  <c r="B664" i="1"/>
  <c r="E491" i="1"/>
  <c r="E1123" i="1"/>
  <c r="B1109" i="1"/>
  <c r="B593" i="1"/>
  <c r="B1088" i="1"/>
  <c r="E1108" i="1"/>
  <c r="E1013" i="1"/>
  <c r="B88" i="1"/>
  <c r="D1043" i="1"/>
  <c r="C960" i="1"/>
  <c r="F1020" i="1"/>
  <c r="F976" i="1"/>
  <c r="D405" i="1"/>
  <c r="C1409" i="1"/>
  <c r="F664" i="1"/>
  <c r="F8" i="1"/>
  <c r="D744" i="1"/>
  <c r="C99" i="1"/>
  <c r="B1326" i="1"/>
  <c r="E2655" i="1"/>
  <c r="F2248" i="1"/>
  <c r="C1643" i="1"/>
  <c r="D1216" i="1"/>
  <c r="F1051" i="1"/>
  <c r="D2141" i="1"/>
  <c r="D410" i="1"/>
  <c r="D890" i="1"/>
  <c r="B391" i="1"/>
  <c r="F871" i="1"/>
  <c r="D576" i="1"/>
  <c r="B725" i="1"/>
  <c r="E1258" i="1"/>
  <c r="D950" i="1"/>
  <c r="D1358" i="1"/>
  <c r="F1115" i="1"/>
  <c r="F1629" i="1"/>
  <c r="C1594" i="1"/>
  <c r="E1030" i="1"/>
  <c r="E370" i="1"/>
  <c r="C318" i="1"/>
  <c r="C850" i="1"/>
  <c r="C1714" i="1"/>
  <c r="D321" i="1"/>
  <c r="C380" i="1"/>
  <c r="F175" i="1"/>
  <c r="F726" i="1"/>
  <c r="D331" i="1"/>
  <c r="C515" i="1"/>
  <c r="B990" i="1"/>
  <c r="E660" i="1"/>
  <c r="D1624" i="1"/>
  <c r="C913" i="1"/>
  <c r="D655" i="1"/>
  <c r="E690" i="1"/>
  <c r="D865" i="1"/>
  <c r="F833" i="1"/>
  <c r="E413" i="1"/>
  <c r="C181" i="1"/>
  <c r="B851" i="1"/>
  <c r="D1141" i="1"/>
  <c r="D929" i="1"/>
  <c r="E1160" i="1"/>
  <c r="C908" i="1"/>
  <c r="F928" i="1"/>
  <c r="F909" i="1"/>
  <c r="C91" i="1"/>
  <c r="F585" i="1"/>
  <c r="F609" i="1"/>
  <c r="F440" i="1"/>
  <c r="C1101" i="1"/>
  <c r="F915" i="1"/>
  <c r="B523" i="1"/>
  <c r="D985" i="1"/>
  <c r="E826" i="1"/>
  <c r="B538" i="1"/>
  <c r="E341" i="1"/>
  <c r="B596" i="1"/>
  <c r="D484" i="1"/>
  <c r="C326" i="1"/>
  <c r="D988" i="1"/>
  <c r="F1179" i="1"/>
  <c r="F1063" i="1"/>
  <c r="C128" i="1"/>
  <c r="E1309" i="1"/>
  <c r="D1168" i="1"/>
  <c r="B436" i="1"/>
  <c r="C1289" i="1"/>
  <c r="D946" i="1"/>
  <c r="F123" i="1"/>
  <c r="D880" i="1"/>
  <c r="C2129" i="1"/>
  <c r="D893" i="1"/>
  <c r="E1053" i="1"/>
  <c r="C578" i="1"/>
  <c r="C623" i="1"/>
  <c r="B738" i="1"/>
  <c r="E399" i="1"/>
  <c r="F768" i="1"/>
  <c r="C796" i="1"/>
  <c r="B734" i="1"/>
  <c r="F188" i="1"/>
  <c r="E231" i="1"/>
  <c r="E21" i="1"/>
  <c r="D253" i="1"/>
  <c r="D1744" i="1"/>
  <c r="D491" i="1"/>
  <c r="D85" i="1"/>
  <c r="B2447" i="1"/>
  <c r="E286" i="1"/>
  <c r="B1619" i="1"/>
  <c r="E463" i="1"/>
  <c r="D768" i="1"/>
  <c r="B838" i="1"/>
  <c r="F706" i="1"/>
  <c r="C1218" i="1"/>
  <c r="B1000" i="1"/>
  <c r="D710" i="1"/>
  <c r="C248" i="1"/>
  <c r="D415" i="1"/>
  <c r="E1264" i="1"/>
  <c r="F875" i="1"/>
  <c r="D1138" i="1"/>
  <c r="D878" i="1"/>
  <c r="E483" i="1"/>
  <c r="D625" i="1"/>
  <c r="E1003" i="1"/>
  <c r="C630" i="1"/>
  <c r="F985" i="1"/>
  <c r="F1118" i="1"/>
  <c r="F190" i="1"/>
  <c r="C263" i="1"/>
  <c r="B1120" i="1"/>
  <c r="F1148" i="1"/>
  <c r="B1644" i="1"/>
  <c r="D418" i="1"/>
  <c r="F1431" i="1"/>
  <c r="C393" i="1"/>
  <c r="C330" i="1"/>
  <c r="F708" i="1"/>
  <c r="F1041" i="1"/>
  <c r="D430" i="1"/>
  <c r="B963" i="1"/>
  <c r="C1055" i="1"/>
  <c r="F1073" i="1"/>
  <c r="C1629" i="1"/>
  <c r="B1309" i="1"/>
  <c r="E401" i="1"/>
  <c r="D65" i="1"/>
  <c r="D731" i="1"/>
  <c r="F745" i="1"/>
  <c r="F78" i="1"/>
  <c r="F40" i="1"/>
  <c r="D996" i="1"/>
  <c r="C969" i="1"/>
  <c r="D200" i="1"/>
  <c r="D1348" i="1"/>
  <c r="F1128" i="1"/>
  <c r="C993" i="1"/>
  <c r="B1018" i="1"/>
  <c r="E175" i="1"/>
  <c r="F270" i="1"/>
  <c r="D1634" i="1"/>
  <c r="B810" i="1"/>
  <c r="C1669" i="1"/>
  <c r="D548" i="1"/>
  <c r="C775" i="1"/>
  <c r="D910" i="1"/>
  <c r="F1009" i="1"/>
  <c r="F1008" i="1"/>
  <c r="F1100" i="1"/>
  <c r="F803" i="1"/>
  <c r="D315" i="1"/>
  <c r="B2205" i="1"/>
  <c r="F995" i="1"/>
  <c r="F10" i="1"/>
  <c r="D801" i="1"/>
  <c r="E825" i="1"/>
  <c r="D1035" i="1"/>
  <c r="B183" i="1"/>
  <c r="F908" i="1"/>
  <c r="F88" i="1"/>
  <c r="B293" i="1"/>
  <c r="B1097" i="1"/>
  <c r="C1175" i="1"/>
  <c r="C1679" i="1"/>
  <c r="D968" i="1"/>
  <c r="B463" i="1"/>
  <c r="E663" i="1"/>
  <c r="E798" i="1"/>
  <c r="E76" i="1"/>
  <c r="E311" i="1"/>
  <c r="B551" i="1"/>
  <c r="D1274" i="1"/>
  <c r="B420" i="1"/>
  <c r="D356" i="1"/>
  <c r="B2696" i="1"/>
  <c r="B405" i="1"/>
  <c r="F1016" i="1"/>
  <c r="B1030" i="1"/>
  <c r="C585" i="1"/>
  <c r="E1724" i="1"/>
  <c r="D600" i="1"/>
  <c r="E895" i="1"/>
  <c r="D973" i="1"/>
  <c r="E733" i="1"/>
  <c r="C628" i="1"/>
  <c r="D250" i="1"/>
  <c r="C731" i="1"/>
  <c r="E634" i="1"/>
  <c r="B859" i="1"/>
  <c r="D970" i="1"/>
  <c r="D218" i="1"/>
  <c r="C65" i="1"/>
  <c r="C1148" i="1"/>
  <c r="C21" i="1"/>
  <c r="F275" i="1"/>
  <c r="D1020" i="1"/>
  <c r="B730" i="1"/>
  <c r="F925" i="1"/>
  <c r="C573" i="1"/>
  <c r="D978" i="1"/>
  <c r="F556" i="1"/>
  <c r="B1091" i="1"/>
  <c r="F1030" i="1"/>
  <c r="C509" i="1"/>
  <c r="D310" i="1"/>
  <c r="B2139" i="1"/>
  <c r="D1179" i="1"/>
  <c r="D1573" i="1"/>
  <c r="B1108" i="1"/>
  <c r="B343" i="1"/>
  <c r="D303" i="1"/>
  <c r="E560" i="1"/>
  <c r="D1694" i="1"/>
  <c r="E913" i="1"/>
  <c r="C185" i="1"/>
  <c r="F570" i="1"/>
  <c r="F235" i="1"/>
  <c r="F825" i="1"/>
  <c r="C881" i="1"/>
  <c r="E1326" i="1"/>
  <c r="F2160" i="1"/>
  <c r="C996" i="1"/>
  <c r="E696" i="1"/>
  <c r="D168" i="1"/>
  <c r="C1774" i="1"/>
  <c r="F1143" i="1"/>
  <c r="D205" i="1"/>
  <c r="B303" i="1"/>
  <c r="D533" i="1"/>
  <c r="E248" i="1"/>
  <c r="B1065" i="1"/>
  <c r="E313" i="1"/>
  <c r="D1294" i="1"/>
  <c r="B1398" i="1"/>
  <c r="E1165" i="1"/>
  <c r="C933" i="1"/>
  <c r="F498" i="1"/>
  <c r="C238" i="1"/>
  <c r="B1038" i="1"/>
  <c r="C818" i="1"/>
  <c r="B940" i="1"/>
  <c r="F1168" i="1"/>
  <c r="C428" i="1"/>
  <c r="F963" i="1"/>
  <c r="D48" i="1"/>
  <c r="D934" i="1"/>
  <c r="F432" i="1"/>
  <c r="C612" i="1"/>
  <c r="F2146" i="1"/>
  <c r="D1716" i="1"/>
  <c r="D1354" i="1"/>
  <c r="B2607" i="1"/>
  <c r="C646" i="1"/>
  <c r="F1303" i="1"/>
  <c r="F1021" i="1"/>
  <c r="C1351" i="1"/>
  <c r="B1638" i="1"/>
  <c r="C2603" i="1"/>
  <c r="D1006" i="1"/>
  <c r="E2089" i="1"/>
  <c r="B495" i="1"/>
  <c r="F543" i="1"/>
  <c r="D155" i="1"/>
  <c r="D1025" i="1"/>
  <c r="D693" i="1"/>
  <c r="B1439" i="1"/>
  <c r="C1284" i="1"/>
  <c r="F43" i="1"/>
  <c r="D1008" i="1"/>
  <c r="C379" i="1"/>
  <c r="E195" i="1"/>
  <c r="F1424" i="1"/>
  <c r="D513" i="1"/>
  <c r="E743" i="1"/>
  <c r="B763" i="1"/>
  <c r="B1819" i="1"/>
  <c r="E280" i="1"/>
  <c r="C355" i="1"/>
  <c r="C251" i="1"/>
  <c r="C736" i="1"/>
  <c r="F326" i="1"/>
  <c r="B458" i="1"/>
  <c r="F1036" i="1"/>
  <c r="F363" i="1"/>
  <c r="E1414" i="1"/>
  <c r="E376" i="1"/>
  <c r="F775" i="1"/>
  <c r="C921" i="1"/>
  <c r="C1090" i="1"/>
  <c r="D518" i="1"/>
  <c r="F1189" i="1"/>
  <c r="D1263" i="1"/>
  <c r="F790" i="1"/>
  <c r="F598" i="1"/>
  <c r="C788" i="1"/>
  <c r="B675" i="1"/>
  <c r="D1085" i="1"/>
  <c r="E1145" i="1"/>
  <c r="C350" i="1"/>
  <c r="C1166" i="1"/>
  <c r="E306" i="1"/>
  <c r="F603" i="1"/>
  <c r="B1599" i="1"/>
  <c r="C2531" i="1"/>
  <c r="F46" i="1"/>
  <c r="D2212" i="1"/>
  <c r="D1031" i="1"/>
  <c r="D2415" i="1"/>
  <c r="D730" i="1"/>
  <c r="B415" i="1"/>
  <c r="E2623" i="1"/>
  <c r="C268" i="1"/>
  <c r="D296" i="1"/>
  <c r="F801" i="1"/>
  <c r="D2093" i="1"/>
  <c r="D1243" i="1"/>
  <c r="C761" i="1"/>
  <c r="D2432" i="1"/>
  <c r="E931" i="1"/>
  <c r="E1389" i="1"/>
  <c r="E1329" i="1"/>
  <c r="B770" i="1"/>
  <c r="D755" i="1"/>
  <c r="F308" i="1"/>
  <c r="E410" i="1"/>
  <c r="E1218" i="1"/>
  <c r="F131" i="1"/>
  <c r="C246" i="1"/>
  <c r="E1669" i="1"/>
  <c r="E2506" i="1"/>
  <c r="F2591" i="1"/>
  <c r="D700" i="1"/>
  <c r="F496" i="1"/>
  <c r="B573" i="1"/>
  <c r="C236" i="1"/>
  <c r="E1223" i="1"/>
  <c r="D925" i="1"/>
  <c r="B860" i="1"/>
  <c r="B1578" i="1"/>
  <c r="B661" i="1"/>
  <c r="E796" i="1"/>
  <c r="C1699" i="1"/>
  <c r="C985" i="1"/>
  <c r="C113" i="1"/>
  <c r="D598" i="1"/>
  <c r="D1574" i="1"/>
  <c r="E785" i="1"/>
  <c r="F295" i="1"/>
  <c r="F2255" i="1"/>
  <c r="D1071" i="1"/>
  <c r="E273" i="1"/>
  <c r="C245" i="1"/>
  <c r="D688" i="1"/>
  <c r="C26" i="1"/>
  <c r="E900" i="1"/>
  <c r="F935" i="1"/>
  <c r="E805" i="1"/>
  <c r="F2154" i="1"/>
  <c r="E935" i="1"/>
  <c r="C230" i="1"/>
  <c r="B971" i="1"/>
  <c r="D943" i="1"/>
  <c r="C353" i="1"/>
  <c r="D288" i="1"/>
  <c r="E753" i="1"/>
  <c r="F1374" i="1"/>
  <c r="B295" i="1"/>
  <c r="D2457" i="1"/>
  <c r="E435" i="1"/>
  <c r="B914" i="1"/>
  <c r="C845" i="1"/>
  <c r="D1034" i="1"/>
  <c r="D1439" i="1"/>
  <c r="F1329" i="1"/>
  <c r="F206" i="1"/>
  <c r="F914" i="1"/>
  <c r="B685" i="1"/>
  <c r="C133" i="1"/>
  <c r="D293" i="1"/>
  <c r="F355" i="1"/>
  <c r="C1115" i="1"/>
  <c r="D928" i="1"/>
  <c r="D1083" i="1"/>
  <c r="D2574" i="1"/>
  <c r="E2493" i="1"/>
  <c r="B1166" i="1"/>
  <c r="C848" i="1"/>
  <c r="F1614" i="1"/>
  <c r="B1056" i="1"/>
  <c r="C316" i="1"/>
  <c r="C2627" i="1"/>
  <c r="C486" i="1"/>
  <c r="F805" i="1"/>
  <c r="F956" i="1"/>
  <c r="B395" i="1"/>
  <c r="F171" i="1"/>
  <c r="C1023" i="1"/>
  <c r="E234" i="1"/>
  <c r="F163" i="1"/>
  <c r="D176" i="1"/>
  <c r="D1095" i="1"/>
  <c r="C140" i="1"/>
  <c r="C781" i="1"/>
  <c r="C958" i="1"/>
  <c r="F470" i="1"/>
  <c r="D333" i="1"/>
  <c r="E288" i="1"/>
  <c r="F408" i="1"/>
  <c r="D403" i="1"/>
  <c r="E380" i="1"/>
  <c r="E375" i="1"/>
  <c r="C506" i="1"/>
  <c r="E993" i="1"/>
  <c r="E623" i="1"/>
  <c r="F550" i="1"/>
  <c r="D1171" i="1"/>
  <c r="B454" i="1"/>
  <c r="D758" i="1"/>
  <c r="E1619" i="1"/>
  <c r="F318" i="1"/>
  <c r="C683" i="1"/>
  <c r="E1289" i="1"/>
  <c r="F558" i="1"/>
  <c r="C503" i="1"/>
  <c r="F145" i="1"/>
  <c r="D995" i="1"/>
  <c r="F648" i="1"/>
  <c r="C1389" i="1"/>
  <c r="E1045" i="1"/>
  <c r="C250" i="1"/>
  <c r="B1010" i="1"/>
  <c r="B1389" i="1"/>
  <c r="E788" i="1"/>
  <c r="F178" i="1"/>
  <c r="B643" i="1"/>
  <c r="C956" i="1"/>
  <c r="E1079" i="1"/>
  <c r="F838" i="1"/>
  <c r="D158" i="1"/>
  <c r="F378" i="1"/>
  <c r="C470" i="1"/>
  <c r="B1428" i="1"/>
  <c r="B800" i="1"/>
  <c r="F2070" i="1"/>
  <c r="B1259" i="1"/>
  <c r="E2212" i="1"/>
  <c r="B390" i="1"/>
  <c r="E1231" i="1"/>
  <c r="E1589" i="1"/>
  <c r="D336" i="1"/>
  <c r="C376" i="1"/>
  <c r="B2125" i="1"/>
  <c r="E85" i="1"/>
  <c r="B1075" i="1"/>
  <c r="E1043" i="1"/>
  <c r="F1176" i="1"/>
  <c r="C720" i="1"/>
  <c r="B1163" i="1"/>
  <c r="D759" i="1"/>
  <c r="C1095" i="1"/>
  <c r="E518" i="1"/>
  <c r="C816" i="1"/>
  <c r="F200" i="1"/>
  <c r="C430" i="1"/>
  <c r="C485" i="1"/>
  <c r="B948" i="1"/>
  <c r="E673" i="1"/>
  <c r="C338" i="1"/>
  <c r="C1068" i="1"/>
  <c r="B1593" i="1"/>
  <c r="B1104" i="1"/>
  <c r="C1050" i="1"/>
  <c r="C1035" i="1"/>
  <c r="D1015" i="1"/>
  <c r="E1604" i="1"/>
  <c r="C1649" i="1"/>
  <c r="C991" i="1"/>
  <c r="E1226" i="1"/>
  <c r="D1070" i="1"/>
  <c r="C741" i="1"/>
  <c r="F799" i="1"/>
  <c r="F465" i="1"/>
  <c r="E1436" i="1"/>
  <c r="E258" i="1"/>
  <c r="E1719" i="1"/>
  <c r="B789" i="1"/>
  <c r="B1073" i="1"/>
  <c r="E590" i="1"/>
  <c r="C258" i="1"/>
  <c r="E1584" i="1"/>
  <c r="E1349" i="1"/>
  <c r="B410" i="1"/>
  <c r="F1334" i="1"/>
  <c r="D795" i="1"/>
  <c r="B1608" i="1"/>
  <c r="D1378" i="1"/>
  <c r="C455" i="1"/>
  <c r="E1688" i="1"/>
  <c r="E944" i="1"/>
  <c r="F1161" i="1"/>
  <c r="E295" i="1"/>
  <c r="B1359" i="1"/>
  <c r="E764" i="1"/>
  <c r="D1816" i="1"/>
  <c r="F141" i="1"/>
  <c r="D938" i="1"/>
  <c r="C593" i="1"/>
  <c r="C373" i="1"/>
  <c r="B706" i="1"/>
  <c r="D120" i="1"/>
  <c r="D1059" i="1"/>
  <c r="C580" i="1"/>
  <c r="B1569" i="1"/>
  <c r="C889" i="1"/>
  <c r="E466" i="1"/>
  <c r="E1379" i="1"/>
  <c r="D859" i="1"/>
  <c r="C451" i="1"/>
  <c r="C201" i="1"/>
  <c r="D28" i="1"/>
  <c r="F153" i="1"/>
  <c r="B1014" i="1"/>
  <c r="B459" i="1"/>
  <c r="F1038" i="1"/>
  <c r="D920" i="1"/>
  <c r="D888" i="1"/>
  <c r="B2028" i="1"/>
  <c r="F186" i="1"/>
  <c r="D713" i="1"/>
  <c r="C806" i="1"/>
  <c r="E1709" i="1"/>
  <c r="D2089" i="1"/>
  <c r="F25" i="1"/>
  <c r="E1096" i="1"/>
  <c r="D1391" i="1"/>
  <c r="D965" i="1"/>
  <c r="B715" i="1"/>
  <c r="B531" i="1"/>
  <c r="C80" i="1"/>
  <c r="D1075" i="1"/>
  <c r="D2608" i="1"/>
  <c r="C510" i="1"/>
  <c r="E193" i="1"/>
  <c r="F1196" i="1"/>
  <c r="C1070" i="1"/>
  <c r="F1218" i="1"/>
  <c r="D1423" i="1"/>
  <c r="B920" i="1"/>
  <c r="B143" i="1"/>
  <c r="F855" i="1"/>
  <c r="F201" i="1"/>
  <c r="E23" i="1"/>
  <c r="C135" i="1"/>
  <c r="E171" i="1"/>
  <c r="C935" i="1"/>
  <c r="B470" i="1"/>
  <c r="B460" i="1"/>
  <c r="B1704" i="1"/>
  <c r="E1088" i="1"/>
  <c r="C403" i="1"/>
  <c r="F495" i="1"/>
  <c r="F1083" i="1"/>
  <c r="E640" i="1"/>
  <c r="C868" i="1"/>
  <c r="F670" i="1"/>
  <c r="E45" i="1"/>
  <c r="C103" i="1"/>
  <c r="F488" i="1"/>
  <c r="F2066" i="1"/>
  <c r="C405" i="1"/>
  <c r="C1328" i="1"/>
  <c r="F265" i="1"/>
  <c r="E614" i="1"/>
  <c r="C856" i="1"/>
  <c r="D1339" i="1"/>
  <c r="E1173" i="1"/>
  <c r="F370" i="1"/>
  <c r="C690" i="1"/>
  <c r="C1155" i="1"/>
  <c r="E360" i="1"/>
  <c r="F158" i="1"/>
  <c r="F1191" i="1"/>
  <c r="D695" i="1"/>
  <c r="F545" i="1"/>
  <c r="D798" i="1"/>
  <c r="F2471" i="1"/>
  <c r="C625" i="1"/>
  <c r="C820" i="1"/>
  <c r="C465" i="1"/>
  <c r="B1183" i="1"/>
  <c r="F1689" i="1"/>
  <c r="D828" i="1"/>
  <c r="F831" i="1"/>
  <c r="B819" i="1"/>
  <c r="F660" i="1"/>
  <c r="B953" i="1"/>
  <c r="E218" i="1"/>
  <c r="D588" i="1"/>
  <c r="E348" i="1"/>
  <c r="B488" i="1"/>
  <c r="F2225" i="1"/>
  <c r="D489" i="1"/>
  <c r="F502" i="1"/>
  <c r="D473" i="1"/>
  <c r="C1079" i="1"/>
  <c r="B328" i="1"/>
  <c r="E194" i="1"/>
  <c r="D1124" i="1"/>
  <c r="B362" i="1"/>
  <c r="D720" i="1"/>
  <c r="E1031" i="1"/>
  <c r="E253" i="1"/>
  <c r="F2618" i="1"/>
  <c r="F975" i="1"/>
  <c r="E2434" i="1"/>
  <c r="F1198" i="1"/>
  <c r="C71" i="1"/>
  <c r="E340" i="1"/>
  <c r="B1130" i="1"/>
  <c r="C568" i="1"/>
  <c r="B1239" i="1"/>
  <c r="F1434" i="1"/>
  <c r="C1135" i="1"/>
  <c r="C1433" i="1"/>
  <c r="B445" i="1"/>
  <c r="E2422" i="1"/>
  <c r="F1324" i="1"/>
  <c r="E510" i="1"/>
  <c r="E728" i="1"/>
  <c r="C1045" i="1"/>
  <c r="D903" i="1"/>
  <c r="D645" i="1"/>
  <c r="B731" i="1"/>
  <c r="D273" i="1"/>
  <c r="F786" i="1"/>
  <c r="C685" i="1"/>
  <c r="F1369" i="1"/>
  <c r="F1078" i="1"/>
  <c r="E966" i="1"/>
  <c r="C1206" i="1"/>
  <c r="C50" i="1"/>
  <c r="B1664" i="1"/>
  <c r="E678" i="1"/>
  <c r="D1091" i="1"/>
  <c r="F1299" i="1"/>
  <c r="D770" i="1"/>
  <c r="C45" i="1"/>
  <c r="C411" i="1"/>
  <c r="C345" i="1"/>
  <c r="F478" i="1"/>
  <c r="D2116" i="1"/>
  <c r="B1218" i="1"/>
  <c r="F2500" i="1"/>
  <c r="D940" i="1"/>
  <c r="E1606" i="1"/>
  <c r="F960" i="1"/>
  <c r="C650" i="1"/>
  <c r="D2183" i="1"/>
  <c r="C331" i="1"/>
  <c r="D1226" i="1"/>
  <c r="F316" i="1"/>
  <c r="D366" i="1"/>
  <c r="E791" i="1"/>
  <c r="C1065" i="1"/>
  <c r="E206" i="1"/>
  <c r="D923" i="1"/>
  <c r="D343" i="1"/>
  <c r="F1113" i="1"/>
  <c r="B1138" i="1"/>
  <c r="C1388" i="1"/>
  <c r="F150" i="1"/>
  <c r="F503" i="1"/>
  <c r="F2176" i="1"/>
  <c r="D1128" i="1"/>
  <c r="C545" i="1"/>
  <c r="F663" i="1"/>
  <c r="F6" i="1"/>
  <c r="C1709" i="1"/>
  <c r="E1673" i="1"/>
  <c r="D705" i="1"/>
  <c r="E1009" i="1"/>
  <c r="B785" i="1"/>
  <c r="D1214" i="1"/>
  <c r="C308" i="1"/>
  <c r="E418" i="1"/>
  <c r="D640" i="1"/>
  <c r="F973" i="1"/>
  <c r="F913" i="1"/>
  <c r="C1216" i="1"/>
  <c r="F993" i="1"/>
  <c r="F428" i="1"/>
  <c r="E680" i="1"/>
  <c r="C786" i="1"/>
  <c r="E595" i="1"/>
  <c r="C385" i="1"/>
  <c r="D790" i="1"/>
  <c r="E1046" i="1"/>
  <c r="F1399" i="1"/>
  <c r="E200" i="1"/>
  <c r="D971" i="1"/>
  <c r="C343" i="1"/>
  <c r="E215" i="1"/>
  <c r="F964" i="1"/>
  <c r="C1044" i="1"/>
  <c r="E868" i="1"/>
  <c r="C715" i="1"/>
  <c r="E1058" i="1"/>
  <c r="D578" i="1"/>
  <c r="B378" i="1"/>
  <c r="F1165" i="1"/>
  <c r="D630" i="1"/>
  <c r="C643" i="1"/>
  <c r="C1319" i="1"/>
  <c r="E2103" i="1"/>
  <c r="C1073" i="1"/>
  <c r="F594" i="1"/>
  <c r="E20" i="1"/>
  <c r="F146" i="1"/>
  <c r="C500" i="1"/>
  <c r="B890" i="1"/>
  <c r="C828" i="1"/>
  <c r="E516" i="1"/>
  <c r="C1096" i="1"/>
  <c r="B855" i="1"/>
  <c r="D2301" i="1"/>
  <c r="D2436" i="1"/>
  <c r="E1131" i="1"/>
  <c r="C640" i="1"/>
  <c r="B761" i="1"/>
  <c r="C1589" i="1"/>
  <c r="F2050" i="1"/>
  <c r="C341" i="1"/>
  <c r="E975" i="1"/>
  <c r="D986" i="1"/>
  <c r="D1165" i="1"/>
  <c r="C753" i="1"/>
  <c r="B1369" i="1"/>
  <c r="C1020" i="1"/>
  <c r="B421" i="1"/>
  <c r="B1354" i="1"/>
  <c r="E1608" i="1"/>
  <c r="B370" i="1"/>
  <c r="C810" i="1"/>
  <c r="D675" i="1"/>
  <c r="C591" i="1"/>
  <c r="F866" i="1"/>
  <c r="F1703" i="1"/>
  <c r="C903" i="1"/>
  <c r="D320" i="1"/>
  <c r="B1176" i="1"/>
  <c r="E201" i="1"/>
  <c r="C365" i="1"/>
  <c r="D361" i="1"/>
  <c r="E773" i="1"/>
  <c r="E941" i="1"/>
  <c r="D1050" i="1"/>
  <c r="B894" i="1"/>
  <c r="D1384" i="1"/>
  <c r="F1026" i="1"/>
  <c r="F1406" i="1"/>
  <c r="C738" i="1"/>
  <c r="F2025" i="1"/>
  <c r="D704" i="1"/>
  <c r="F1138" i="1"/>
  <c r="F681" i="1"/>
  <c r="E1093" i="1"/>
  <c r="E713" i="1"/>
  <c r="B798" i="1"/>
  <c r="E1038" i="1"/>
  <c r="B1374" i="1"/>
  <c r="B1160" i="1"/>
  <c r="D20" i="1"/>
  <c r="F625" i="1"/>
  <c r="C955" i="1"/>
  <c r="E500" i="1"/>
  <c r="D1116" i="1"/>
  <c r="E884" i="1"/>
  <c r="E156" i="1"/>
  <c r="F2055" i="1"/>
  <c r="E579" i="1"/>
  <c r="E188" i="1"/>
  <c r="F808" i="1"/>
  <c r="D50" i="1"/>
  <c r="C1094" i="1"/>
  <c r="C1018" i="1"/>
  <c r="F765" i="1"/>
  <c r="F330" i="1"/>
  <c r="B545" i="1"/>
  <c r="F1054" i="1"/>
  <c r="C2118" i="1"/>
  <c r="E789" i="1"/>
  <c r="E325" i="1"/>
  <c r="F403" i="1"/>
  <c r="B1324" i="1"/>
  <c r="F740" i="1"/>
  <c r="B603" i="1"/>
  <c r="B1170" i="1"/>
  <c r="C1110" i="1"/>
  <c r="C398" i="1"/>
  <c r="B902" i="1"/>
  <c r="D104" i="1"/>
  <c r="C33" i="1"/>
  <c r="C198" i="1"/>
  <c r="F74" i="1"/>
  <c r="F529" i="1"/>
  <c r="D983" i="1"/>
  <c r="C1606" i="1"/>
  <c r="F2143" i="1"/>
  <c r="F1249" i="1"/>
  <c r="B771" i="1"/>
  <c r="D2455" i="1"/>
  <c r="B1719" i="1"/>
  <c r="D511" i="1"/>
  <c r="F2300" i="1"/>
  <c r="D701" i="1"/>
  <c r="E1609" i="1"/>
  <c r="F690" i="1"/>
  <c r="B1709" i="1"/>
  <c r="B885" i="1"/>
  <c r="D895" i="1"/>
  <c r="F584" i="1"/>
  <c r="C1613" i="1"/>
  <c r="B1134" i="1"/>
  <c r="C870" i="1"/>
  <c r="C1329" i="1"/>
  <c r="F213" i="1"/>
  <c r="E1098" i="1"/>
  <c r="E485" i="1"/>
  <c r="D1594" i="1"/>
  <c r="E1086" i="1"/>
  <c r="E60" i="1"/>
  <c r="F760" i="1"/>
  <c r="C151" i="1"/>
  <c r="E838" i="1"/>
  <c r="F1105" i="1"/>
  <c r="D483" i="1"/>
  <c r="E264" i="1"/>
  <c r="E268" i="1"/>
  <c r="B1141" i="1"/>
  <c r="F938" i="1"/>
  <c r="F845" i="1"/>
  <c r="B1404" i="1"/>
  <c r="F665" i="1"/>
  <c r="D856" i="1"/>
  <c r="B333" i="1"/>
  <c r="B300" i="1"/>
  <c r="B515" i="1"/>
  <c r="C1299" i="1"/>
  <c r="B984" i="1"/>
  <c r="C478" i="1"/>
  <c r="D1618" i="1"/>
  <c r="D1174" i="1"/>
  <c r="D305" i="1"/>
  <c r="E2219" i="1"/>
  <c r="D1064" i="1"/>
  <c r="B845" i="1"/>
  <c r="E5" i="1"/>
  <c r="F595" i="1"/>
  <c r="E1083" i="1"/>
  <c r="E995" i="1"/>
  <c r="B965" i="1"/>
  <c r="D733" i="1"/>
  <c r="B893" i="1"/>
  <c r="E685" i="1"/>
  <c r="C863" i="1"/>
  <c r="F1323" i="1"/>
  <c r="B630" i="1"/>
  <c r="F826" i="1"/>
  <c r="E901" i="1"/>
  <c r="D748" i="1"/>
  <c r="B1614" i="1"/>
  <c r="D785" i="1"/>
  <c r="E275" i="1"/>
  <c r="F1293" i="1"/>
  <c r="F641" i="1"/>
  <c r="C1399" i="1"/>
  <c r="B875" i="1"/>
  <c r="C883" i="1"/>
  <c r="E1663" i="1"/>
  <c r="B340" i="1"/>
  <c r="F413" i="1"/>
  <c r="F631" i="1"/>
  <c r="C748" i="1"/>
  <c r="D3" i="1"/>
  <c r="E1008" i="1"/>
  <c r="C105" i="1"/>
  <c r="C426" i="1"/>
  <c r="F313" i="1"/>
  <c r="F596" i="1"/>
  <c r="B385" i="1"/>
  <c r="B1318" i="1"/>
  <c r="E980" i="1"/>
  <c r="E1261" i="1"/>
  <c r="E655" i="1"/>
  <c r="E2470" i="1"/>
  <c r="B1221" i="1"/>
  <c r="C755" i="1"/>
  <c r="F1201" i="1"/>
  <c r="C261" i="1"/>
  <c r="D246" i="1"/>
  <c r="C15" i="1"/>
  <c r="E1378" i="1"/>
  <c r="C360" i="1"/>
  <c r="E343" i="1"/>
  <c r="F460" i="1"/>
  <c r="E1014" i="1"/>
  <c r="D908" i="1"/>
  <c r="D5" i="1"/>
  <c r="E628" i="1"/>
  <c r="E720" i="1"/>
  <c r="C491" i="1"/>
  <c r="F650" i="1"/>
  <c r="F693" i="1"/>
  <c r="D990" i="1"/>
  <c r="E829" i="1"/>
  <c r="F990" i="1"/>
  <c r="C610" i="1"/>
  <c r="C793" i="1"/>
  <c r="E938" i="1"/>
  <c r="F610" i="1"/>
  <c r="E810" i="1"/>
  <c r="E864" i="1"/>
  <c r="F2151" i="1"/>
  <c r="F70" i="1"/>
  <c r="D793" i="1"/>
  <c r="E973" i="1"/>
  <c r="B1090" i="1"/>
  <c r="F1140" i="1"/>
  <c r="D1040" i="1"/>
  <c r="D960" i="1"/>
  <c r="D2279" i="1"/>
  <c r="C288" i="1"/>
  <c r="D1120" i="1"/>
  <c r="F671" i="1"/>
  <c r="C526" i="1"/>
  <c r="D905" i="1"/>
  <c r="E121" i="1"/>
  <c r="F653" i="1"/>
  <c r="F45" i="1"/>
  <c r="F2223" i="1"/>
  <c r="B450" i="1"/>
  <c r="E520" i="1"/>
  <c r="E10" i="1"/>
  <c r="E475" i="1"/>
  <c r="B1013" i="1"/>
  <c r="B788" i="1"/>
  <c r="E420" i="1"/>
  <c r="C1298" i="1"/>
  <c r="B1158" i="1"/>
  <c r="C1414" i="1"/>
  <c r="D1419" i="1"/>
  <c r="D376" i="1"/>
  <c r="B560" i="1"/>
  <c r="C410" i="1"/>
  <c r="D440" i="1"/>
  <c r="D81" i="1"/>
  <c r="D1364" i="1"/>
  <c r="D1133" i="1"/>
  <c r="B2525" i="1"/>
  <c r="B1246" i="1"/>
  <c r="E65" i="1"/>
  <c r="C1003" i="1"/>
  <c r="B2037" i="1"/>
  <c r="C2213" i="1"/>
  <c r="C1080" i="1"/>
  <c r="E996" i="1"/>
  <c r="B1294" i="1"/>
  <c r="F11" i="1"/>
  <c r="C441" i="1"/>
  <c r="D1046" i="1"/>
  <c r="B1118" i="1"/>
  <c r="B418" i="1"/>
  <c r="F1608" i="1"/>
  <c r="E918" i="1"/>
  <c r="D1409" i="1"/>
  <c r="F1013" i="1"/>
  <c r="E689" i="1"/>
  <c r="E250" i="1"/>
  <c r="E876" i="1"/>
  <c r="F350" i="1"/>
  <c r="E1398" i="1"/>
  <c r="C2495" i="1"/>
  <c r="C594" i="1"/>
  <c r="D245" i="1"/>
  <c r="C2137" i="1"/>
  <c r="D1288" i="1"/>
  <c r="D56" i="1"/>
  <c r="B820" i="1"/>
  <c r="D956" i="1"/>
  <c r="F578" i="1"/>
  <c r="D216" i="1"/>
  <c r="B1284" i="1"/>
  <c r="B1264" i="1"/>
  <c r="E715" i="1"/>
  <c r="F1234" i="1"/>
  <c r="F840" i="1"/>
  <c r="E266" i="1"/>
  <c r="B1093" i="1"/>
  <c r="C1028" i="1"/>
  <c r="F173" i="1"/>
  <c r="D1223" i="1"/>
  <c r="F583" i="1"/>
  <c r="C1109" i="1"/>
  <c r="D838" i="1"/>
  <c r="E241" i="1"/>
  <c r="F256" i="1"/>
  <c r="B938" i="1"/>
  <c r="F763" i="1"/>
  <c r="D941" i="1"/>
  <c r="C160" i="1"/>
  <c r="E51" i="1"/>
  <c r="C466" i="1"/>
  <c r="D969" i="1"/>
  <c r="C438" i="1"/>
  <c r="E464" i="1"/>
  <c r="D544" i="1"/>
  <c r="E443" i="1"/>
  <c r="F1578" i="1"/>
  <c r="B841" i="1"/>
  <c r="B1244" i="1"/>
  <c r="D2234" i="1"/>
  <c r="C371" i="1"/>
  <c r="B2570" i="1"/>
  <c r="C81" i="1"/>
  <c r="C2074" i="1"/>
  <c r="E780" i="1"/>
  <c r="F756" i="1"/>
  <c r="B1659" i="1"/>
  <c r="D1258" i="1"/>
  <c r="C1005" i="1"/>
  <c r="D1068" i="1"/>
  <c r="C540" i="1"/>
  <c r="B508" i="1"/>
  <c r="F1111" i="1"/>
  <c r="D1754" i="1"/>
  <c r="D78" i="1"/>
  <c r="E681" i="1"/>
  <c r="D1379" i="1"/>
  <c r="D485" i="1"/>
  <c r="E611" i="1"/>
  <c r="C175" i="1"/>
  <c r="E888" i="1"/>
  <c r="B1634" i="1"/>
  <c r="E565" i="1"/>
  <c r="E1120" i="1"/>
  <c r="D1344" i="1"/>
  <c r="C1108" i="1"/>
  <c r="C1359" i="1"/>
  <c r="C395" i="1"/>
  <c r="D1093" i="1"/>
  <c r="B1005" i="1"/>
  <c r="C271" i="1"/>
  <c r="D1060" i="1"/>
  <c r="D448" i="1"/>
  <c r="E240" i="1"/>
  <c r="C1704" i="1"/>
  <c r="F780" i="1"/>
  <c r="F286" i="1"/>
  <c r="F509" i="1"/>
  <c r="D536" i="1"/>
  <c r="D1693" i="1"/>
  <c r="F950" i="1"/>
  <c r="D635" i="1"/>
  <c r="D605" i="1"/>
  <c r="C550" i="1"/>
  <c r="F2438" i="1"/>
  <c r="C635" i="1"/>
  <c r="D975" i="1"/>
  <c r="E606" i="1"/>
  <c r="F381" i="1"/>
  <c r="E2170" i="1"/>
  <c r="B430" i="1"/>
  <c r="C90" i="1"/>
  <c r="E691" i="1"/>
  <c r="B680" i="1"/>
  <c r="D958" i="1"/>
  <c r="D2293" i="1"/>
  <c r="C1146" i="1"/>
  <c r="B425" i="1"/>
  <c r="E885" i="1"/>
  <c r="B864" i="1"/>
  <c r="C30" i="1"/>
  <c r="C1203" i="1"/>
  <c r="C473" i="1"/>
  <c r="D813" i="1"/>
  <c r="E960" i="1"/>
  <c r="C406" i="1"/>
  <c r="E956" i="1"/>
  <c r="D1180" i="1"/>
  <c r="B225" i="1"/>
  <c r="D860" i="1"/>
  <c r="C2395" i="1"/>
  <c r="F1719" i="1"/>
  <c r="E858" i="1"/>
  <c r="F941" i="1"/>
  <c r="B1128" i="1"/>
  <c r="E1028" i="1"/>
  <c r="F739" i="1"/>
  <c r="E1354" i="1"/>
  <c r="E480" i="1"/>
  <c r="F1110" i="1"/>
  <c r="B366" i="1"/>
  <c r="D678" i="1"/>
  <c r="E16" i="1"/>
  <c r="F285" i="1"/>
  <c r="F944" i="1"/>
  <c r="C670" i="1"/>
  <c r="C2239" i="1"/>
  <c r="C1069" i="1"/>
  <c r="E58" i="1"/>
  <c r="F873" i="1"/>
  <c r="F1098" i="1"/>
  <c r="D175" i="1"/>
  <c r="C605" i="1"/>
  <c r="D553" i="1"/>
  <c r="E964" i="1"/>
  <c r="B268" i="1"/>
  <c r="E643" i="1"/>
  <c r="F618" i="1"/>
  <c r="F1206" i="1"/>
  <c r="C1769" i="1"/>
  <c r="E928" i="1"/>
  <c r="E378" i="1"/>
  <c r="B568" i="1"/>
  <c r="D679" i="1"/>
  <c r="C514" i="1"/>
  <c r="E481" i="1"/>
  <c r="D1073" i="1"/>
  <c r="D1689" i="1"/>
  <c r="E398" i="1"/>
  <c r="B269" i="1"/>
  <c r="B1172" i="1"/>
  <c r="D1010" i="1"/>
  <c r="F185" i="1"/>
  <c r="E1219" i="1"/>
  <c r="F69" i="1"/>
  <c r="E605" i="1"/>
  <c r="F890" i="1"/>
  <c r="C325" i="1"/>
  <c r="C244" i="1"/>
  <c r="C434" i="1"/>
  <c r="B1055" i="1"/>
  <c r="E693" i="1"/>
  <c r="D224" i="1"/>
  <c r="D31" i="1"/>
  <c r="B743" i="1"/>
  <c r="E213" i="1"/>
  <c r="B624" i="1"/>
  <c r="F1076" i="1"/>
  <c r="D884" i="1"/>
  <c r="D1074" i="1"/>
  <c r="C114" i="1"/>
  <c r="D395" i="1"/>
  <c r="D1078" i="1"/>
  <c r="C819" i="1"/>
  <c r="B678" i="1"/>
  <c r="C363" i="1"/>
  <c r="B1095" i="1"/>
  <c r="C999" i="1"/>
  <c r="D639" i="1"/>
  <c r="C404" i="1"/>
  <c r="B998" i="1"/>
  <c r="D668" i="1"/>
  <c r="C1089" i="1"/>
  <c r="F384" i="1"/>
  <c r="F1091" i="1"/>
  <c r="F1014" i="1"/>
  <c r="B1314" i="1"/>
  <c r="F310" i="1"/>
  <c r="C951" i="1"/>
  <c r="B575" i="1"/>
  <c r="D935" i="1"/>
  <c r="B1063" i="1"/>
  <c r="D980" i="1"/>
  <c r="D1030" i="1"/>
  <c r="B1207" i="1"/>
  <c r="E1060" i="1"/>
  <c r="B808" i="1"/>
  <c r="E755" i="1"/>
  <c r="B614" i="1"/>
  <c r="F643" i="1"/>
  <c r="B740" i="1"/>
  <c r="E880" i="1"/>
  <c r="E359" i="1"/>
  <c r="E417" i="1"/>
  <c r="B837" i="1"/>
  <c r="B186" i="1"/>
  <c r="D318" i="1"/>
  <c r="D842" i="1"/>
  <c r="D247" i="1"/>
  <c r="B712" i="1"/>
  <c r="B623" i="1"/>
  <c r="C309" i="1"/>
  <c r="E566" i="1"/>
  <c r="D105" i="1"/>
  <c r="F1023" i="1"/>
  <c r="D1669" i="1"/>
  <c r="B2534" i="1"/>
  <c r="D1704" i="1"/>
  <c r="D808" i="1"/>
  <c r="C145" i="1"/>
  <c r="C1398" i="1"/>
  <c r="F865" i="1"/>
  <c r="D1058" i="1"/>
  <c r="D400" i="1"/>
  <c r="D1028" i="1"/>
  <c r="B981" i="1"/>
  <c r="D1053" i="1"/>
  <c r="E729" i="1"/>
  <c r="B684" i="1"/>
  <c r="D258" i="1"/>
  <c r="F951" i="1"/>
  <c r="C789" i="1"/>
  <c r="E890" i="1"/>
  <c r="F1414" i="1"/>
  <c r="E1112" i="1"/>
  <c r="F94" i="1"/>
  <c r="F134" i="1"/>
  <c r="E571" i="1"/>
  <c r="E355" i="1"/>
  <c r="C749" i="1"/>
  <c r="D779" i="1"/>
  <c r="C1008" i="1"/>
  <c r="C195" i="1"/>
  <c r="C979" i="1"/>
  <c r="E929" i="1"/>
  <c r="F1132" i="1"/>
  <c r="E1814" i="1"/>
  <c r="E581" i="1"/>
  <c r="B409" i="1"/>
  <c r="F759" i="1"/>
  <c r="B1234" i="1"/>
  <c r="D369" i="1"/>
  <c r="B979" i="1"/>
  <c r="F893" i="1"/>
  <c r="C1214" i="1"/>
  <c r="D589" i="1"/>
  <c r="E1004" i="1"/>
  <c r="E1113" i="1"/>
  <c r="D416" i="1"/>
  <c r="B934" i="1"/>
  <c r="B1197" i="1"/>
  <c r="D1143" i="1"/>
  <c r="B1150" i="1"/>
  <c r="B1058" i="1"/>
  <c r="D234" i="1"/>
  <c r="C1182" i="1"/>
  <c r="D954" i="1"/>
  <c r="B769" i="1"/>
  <c r="B514" i="1"/>
  <c r="C1072" i="1"/>
  <c r="B873" i="1"/>
  <c r="B289" i="1"/>
  <c r="E899" i="1"/>
  <c r="D378" i="1"/>
  <c r="C388" i="1"/>
  <c r="F430" i="1"/>
  <c r="C178" i="1"/>
  <c r="F423" i="1"/>
  <c r="E645" i="1"/>
  <c r="B1115" i="1"/>
  <c r="C1379" i="1"/>
  <c r="D841" i="1"/>
  <c r="F340" i="1"/>
  <c r="F626" i="1"/>
  <c r="F1704" i="1"/>
  <c r="D1066" i="1"/>
  <c r="D850" i="1"/>
  <c r="B1654" i="1"/>
  <c r="B1434" i="1"/>
  <c r="E310" i="1"/>
  <c r="C1058" i="1"/>
  <c r="D426" i="1"/>
  <c r="C1180" i="1"/>
  <c r="E330" i="1"/>
  <c r="F688" i="1"/>
  <c r="C298" i="1"/>
  <c r="D279" i="1"/>
  <c r="D1122" i="1"/>
  <c r="C36" i="1"/>
  <c r="C489" i="1"/>
  <c r="B435" i="1"/>
  <c r="C180" i="1"/>
  <c r="F394" i="1"/>
  <c r="F1010" i="1"/>
  <c r="F165" i="1"/>
  <c r="B823" i="1"/>
  <c r="F1043" i="1"/>
  <c r="F354" i="1"/>
  <c r="C740" i="1"/>
  <c r="B960" i="1"/>
  <c r="D60" i="1"/>
  <c r="E260" i="1"/>
  <c r="E512" i="1"/>
  <c r="C61" i="1"/>
  <c r="B828" i="1"/>
  <c r="C86" i="1"/>
  <c r="C758" i="1"/>
  <c r="E896" i="1"/>
  <c r="B1145" i="1"/>
  <c r="E354" i="1"/>
  <c r="D818" i="1"/>
  <c r="E1111" i="1"/>
  <c r="E1007" i="1"/>
  <c r="F234" i="1"/>
  <c r="E352" i="1"/>
  <c r="C615" i="1"/>
  <c r="D998" i="1"/>
  <c r="D724" i="1"/>
  <c r="E199" i="1"/>
  <c r="C988" i="1"/>
  <c r="B414" i="1"/>
  <c r="E448" i="1"/>
  <c r="D242" i="1"/>
  <c r="F1439" i="1"/>
  <c r="F980" i="1"/>
  <c r="D69" i="1"/>
  <c r="B279" i="1"/>
  <c r="F602" i="1"/>
  <c r="D881" i="1"/>
  <c r="D263" i="1"/>
  <c r="C544" i="1"/>
  <c r="E1062" i="1"/>
  <c r="F161" i="1"/>
  <c r="C1019" i="1"/>
  <c r="F104" i="1"/>
  <c r="D434" i="1"/>
  <c r="E408" i="1"/>
  <c r="D389" i="1"/>
  <c r="D814" i="1"/>
  <c r="C1038" i="1"/>
  <c r="D45" i="1"/>
  <c r="F1159" i="1"/>
  <c r="D919" i="1"/>
  <c r="D766" i="1"/>
  <c r="F629" i="1"/>
  <c r="F912" i="1"/>
  <c r="F852" i="1"/>
  <c r="B58" i="1"/>
  <c r="E107" i="1"/>
  <c r="D1500" i="1"/>
  <c r="B1159" i="1"/>
  <c r="C743" i="1"/>
  <c r="D2" i="1"/>
  <c r="F897" i="1"/>
  <c r="D1148" i="1"/>
  <c r="B694" i="1"/>
  <c r="C407" i="1"/>
  <c r="C1002" i="1"/>
  <c r="B872" i="1"/>
  <c r="B298" i="1"/>
  <c r="F72" i="1"/>
  <c r="F547" i="1"/>
  <c r="D931" i="1"/>
  <c r="F1018" i="1"/>
  <c r="B735" i="1"/>
  <c r="B363" i="1"/>
  <c r="C2245" i="1"/>
  <c r="B336" i="1"/>
  <c r="D290" i="1"/>
  <c r="E978" i="1"/>
  <c r="D1399" i="1"/>
  <c r="C513" i="1"/>
  <c r="B486" i="1"/>
  <c r="C998" i="1"/>
  <c r="E2689" i="1"/>
  <c r="F1160" i="1"/>
  <c r="E453" i="1"/>
  <c r="C608" i="1"/>
  <c r="D658" i="1"/>
  <c r="F961" i="1"/>
  <c r="B628" i="1"/>
  <c r="E1162" i="1"/>
  <c r="C575" i="1"/>
  <c r="F1609" i="1"/>
  <c r="C125" i="1"/>
  <c r="D143" i="1"/>
  <c r="D784" i="1"/>
  <c r="F933" i="1"/>
  <c r="C2168" i="1"/>
  <c r="C843" i="1"/>
  <c r="B549" i="1"/>
  <c r="E383" i="1"/>
  <c r="F128" i="1"/>
  <c r="D100" i="1"/>
  <c r="B288" i="1"/>
  <c r="B688" i="1"/>
  <c r="B931" i="1"/>
  <c r="C673" i="1"/>
  <c r="D53" i="1"/>
  <c r="B1649" i="1"/>
  <c r="D763" i="1"/>
  <c r="E617" i="1"/>
  <c r="E173" i="1"/>
  <c r="B665" i="1"/>
  <c r="D1217" i="1"/>
  <c r="F538" i="1"/>
  <c r="D1113" i="1"/>
  <c r="C929" i="1"/>
  <c r="C1139" i="1"/>
  <c r="B962" i="1"/>
  <c r="E373" i="1"/>
  <c r="B1609" i="1"/>
  <c r="C948" i="1"/>
  <c r="F1069" i="1"/>
  <c r="B1209" i="1"/>
  <c r="E315" i="1"/>
  <c r="C240" i="1"/>
  <c r="C19" i="1"/>
  <c r="F1048" i="1"/>
  <c r="B440" i="1"/>
  <c r="F918" i="1"/>
  <c r="C384" i="1"/>
  <c r="E1212" i="1"/>
  <c r="C694" i="1"/>
  <c r="F120" i="1"/>
  <c r="C183" i="1"/>
  <c r="E644" i="1"/>
  <c r="C4" i="1"/>
  <c r="B918" i="1"/>
  <c r="B510" i="1"/>
  <c r="C348" i="1"/>
  <c r="D439" i="1"/>
  <c r="D613" i="1"/>
  <c r="C3" i="1"/>
  <c r="E850" i="1"/>
  <c r="D125" i="1"/>
  <c r="E144" i="1"/>
  <c r="F4" i="1"/>
  <c r="F347" i="1"/>
  <c r="D350" i="1"/>
  <c r="C1209" i="1"/>
  <c r="D335" i="1"/>
  <c r="D429" i="1"/>
  <c r="B919" i="1"/>
  <c r="E1512" i="1"/>
  <c r="E123" i="1"/>
  <c r="D1289" i="1"/>
  <c r="E477" i="1"/>
  <c r="E442" i="1"/>
  <c r="F262" i="1"/>
  <c r="D1520" i="1"/>
  <c r="C674" i="1"/>
  <c r="E1553" i="1"/>
  <c r="B1217" i="1"/>
  <c r="B35" i="1"/>
  <c r="D164" i="1"/>
  <c r="F1029" i="1"/>
  <c r="C1078" i="1"/>
  <c r="D824" i="1"/>
  <c r="E936" i="1"/>
  <c r="D1151" i="1"/>
  <c r="E775" i="1"/>
  <c r="E683" i="1"/>
  <c r="E1424" i="1"/>
  <c r="F2035" i="1"/>
  <c r="C2635" i="1"/>
  <c r="F773" i="1"/>
  <c r="E1033" i="1"/>
  <c r="C6" i="1"/>
  <c r="D721" i="1"/>
  <c r="C310" i="1"/>
  <c r="F541" i="1"/>
  <c r="D740" i="1"/>
  <c r="D1065" i="1"/>
  <c r="C1048" i="1"/>
  <c r="C138" i="1"/>
  <c r="B1603" i="1"/>
  <c r="D565" i="1"/>
  <c r="D652" i="1"/>
  <c r="B905" i="1"/>
  <c r="E844" i="1"/>
  <c r="E869" i="1"/>
  <c r="D753" i="1"/>
  <c r="E1054" i="1"/>
  <c r="C368" i="1"/>
  <c r="C1054" i="1"/>
  <c r="C909" i="1"/>
  <c r="B558" i="1"/>
  <c r="D233" i="1"/>
  <c r="B1070" i="1"/>
  <c r="F268" i="1"/>
  <c r="F1119" i="1"/>
  <c r="E238" i="1"/>
  <c r="D556" i="1"/>
  <c r="F655" i="1"/>
  <c r="F84" i="1"/>
  <c r="E2080" i="1"/>
  <c r="E18" i="1"/>
  <c r="C413" i="1"/>
  <c r="D959" i="1"/>
  <c r="F834" i="1"/>
  <c r="D185" i="1"/>
  <c r="F3" i="1"/>
  <c r="B1004" i="1"/>
  <c r="F58" i="1"/>
  <c r="D1304" i="1"/>
  <c r="B728" i="1"/>
  <c r="D799" i="1"/>
  <c r="D698" i="1"/>
  <c r="C924" i="1"/>
  <c r="F162" i="1"/>
  <c r="F853" i="1"/>
  <c r="C663" i="1"/>
  <c r="D80" i="1"/>
  <c r="F530" i="1"/>
  <c r="B913" i="1"/>
  <c r="B989" i="1"/>
  <c r="B285" i="1"/>
  <c r="E369" i="1"/>
  <c r="D687" i="1"/>
  <c r="F1046" i="1"/>
  <c r="D1105" i="1"/>
  <c r="E619" i="1"/>
  <c r="E437" i="1"/>
  <c r="E550" i="1"/>
  <c r="C858" i="1"/>
  <c r="F1123" i="1"/>
  <c r="E457" i="1"/>
  <c r="D590" i="1"/>
  <c r="F55" i="1"/>
  <c r="F794" i="1"/>
  <c r="B703" i="1"/>
  <c r="C13" i="1"/>
  <c r="D752" i="1"/>
  <c r="E270" i="1"/>
  <c r="E787" i="1"/>
  <c r="D1154" i="1"/>
  <c r="E802" i="1"/>
  <c r="B476" i="1"/>
  <c r="D608" i="1"/>
  <c r="E1344" i="1"/>
  <c r="E436" i="1"/>
  <c r="B640" i="1"/>
  <c r="E835" i="1"/>
  <c r="C531" i="1"/>
  <c r="E670" i="1"/>
  <c r="C1349" i="1"/>
  <c r="C528" i="1"/>
  <c r="D1100" i="1"/>
  <c r="B158" i="1"/>
  <c r="D398" i="1"/>
  <c r="E110" i="1"/>
  <c r="B935" i="1"/>
  <c r="F360" i="1"/>
  <c r="F294" i="1"/>
  <c r="E35" i="1"/>
  <c r="D874" i="1"/>
  <c r="D428" i="1"/>
  <c r="F2141" i="1"/>
  <c r="C965" i="1"/>
  <c r="D1199" i="1"/>
  <c r="C9" i="1"/>
  <c r="C719" i="1"/>
  <c r="C375" i="1"/>
  <c r="C1004" i="1"/>
  <c r="D68" i="1"/>
  <c r="B857" i="1"/>
  <c r="F90" i="1"/>
  <c r="E985" i="1"/>
  <c r="E625" i="1"/>
  <c r="E1099" i="1"/>
  <c r="F407" i="1"/>
  <c r="C1168" i="1"/>
  <c r="D110" i="1"/>
  <c r="F694" i="1"/>
  <c r="B1699" i="1"/>
  <c r="F870" i="1"/>
  <c r="C873" i="1"/>
  <c r="D904" i="1"/>
  <c r="D8" i="1"/>
  <c r="F1004" i="1"/>
  <c r="F199" i="1"/>
  <c r="D624" i="1"/>
  <c r="E556" i="1"/>
  <c r="E314" i="1"/>
  <c r="E1184" i="1"/>
  <c r="B1069" i="1"/>
  <c r="D528" i="1"/>
  <c r="B585" i="1"/>
  <c r="F151" i="1"/>
  <c r="C108" i="1"/>
  <c r="C1364" i="1"/>
  <c r="F81" i="1"/>
  <c r="B1094" i="1"/>
  <c r="D304" i="1"/>
  <c r="B569" i="1"/>
  <c r="D858" i="1"/>
  <c r="B632" i="1"/>
  <c r="D298" i="1"/>
  <c r="F1094" i="1"/>
  <c r="C813" i="1"/>
  <c r="F107" i="1"/>
  <c r="E15" i="1"/>
  <c r="F899" i="1"/>
  <c r="E1694" i="1"/>
  <c r="E568" i="1"/>
  <c r="C358" i="1"/>
  <c r="B870" i="1"/>
  <c r="D66" i="1"/>
  <c r="F454" i="1"/>
  <c r="B466" i="1"/>
  <c r="C290" i="1"/>
  <c r="D761" i="1"/>
  <c r="E740" i="1"/>
  <c r="C618" i="1"/>
  <c r="E1659" i="1"/>
  <c r="F1238" i="1"/>
  <c r="C75" i="1"/>
  <c r="E226" i="1"/>
  <c r="E934" i="1"/>
  <c r="E939" i="1"/>
  <c r="D420" i="1"/>
  <c r="F390" i="1"/>
  <c r="C945" i="1"/>
  <c r="B784" i="1"/>
  <c r="C558" i="1"/>
  <c r="E925" i="1"/>
  <c r="C1293" i="1"/>
  <c r="C1599" i="1"/>
  <c r="D1072" i="1"/>
  <c r="F698" i="1"/>
  <c r="C874" i="1"/>
  <c r="F992" i="1"/>
  <c r="E388" i="1"/>
  <c r="D90" i="1"/>
  <c r="B308" i="1"/>
  <c r="C1039" i="1"/>
  <c r="D384" i="1"/>
  <c r="F1079" i="1"/>
  <c r="E1623" i="1"/>
  <c r="C121" i="1"/>
  <c r="C170" i="1"/>
  <c r="B217" i="1"/>
  <c r="B1083" i="1"/>
  <c r="F15" i="1"/>
  <c r="C1619" i="1"/>
  <c r="C759" i="1"/>
  <c r="B1689" i="1"/>
  <c r="D345" i="1"/>
  <c r="B548" i="1"/>
  <c r="E334" i="1"/>
  <c r="F320" i="1"/>
  <c r="D163" i="1"/>
  <c r="D64" i="1"/>
  <c r="E424" i="1"/>
  <c r="E828" i="1"/>
  <c r="E133" i="1"/>
  <c r="F54" i="1"/>
  <c r="E189" i="1"/>
  <c r="C876" i="1"/>
  <c r="B1043" i="1"/>
  <c r="D268" i="1"/>
  <c r="C1099" i="1"/>
  <c r="E1158" i="1"/>
  <c r="F753" i="1"/>
  <c r="D435" i="1"/>
  <c r="E1209" i="1"/>
  <c r="D409" i="1"/>
  <c r="B533" i="1"/>
  <c r="D488" i="1"/>
  <c r="B733" i="1"/>
  <c r="B1182" i="1"/>
  <c r="B330" i="1"/>
  <c r="C220" i="1"/>
  <c r="D618" i="1"/>
  <c r="D1114" i="1"/>
  <c r="B853" i="1"/>
  <c r="E793" i="1"/>
  <c r="C233" i="1"/>
  <c r="D2357" i="1"/>
  <c r="C764" i="1"/>
  <c r="C480" i="1"/>
  <c r="F1075" i="1"/>
  <c r="D1323" i="1"/>
  <c r="C564" i="1"/>
  <c r="C2039" i="1"/>
  <c r="F508" i="1"/>
  <c r="C543" i="1"/>
  <c r="C1373" i="1"/>
  <c r="D1363" i="1"/>
  <c r="F1133" i="1"/>
  <c r="E290" i="1"/>
  <c r="D810" i="1"/>
  <c r="C63" i="1"/>
  <c r="D1404" i="1"/>
  <c r="F829" i="1"/>
  <c r="D525" i="1"/>
  <c r="F254" i="1"/>
  <c r="D804" i="1"/>
  <c r="D385" i="1"/>
  <c r="C718" i="1"/>
  <c r="C1192" i="1"/>
  <c r="D1009" i="1"/>
  <c r="D248" i="1"/>
  <c r="C235" i="1"/>
  <c r="F1012" i="1"/>
  <c r="B1414" i="1"/>
  <c r="B570" i="1"/>
  <c r="E465" i="1"/>
  <c r="D840" i="1"/>
  <c r="D628" i="1"/>
  <c r="C609" i="1"/>
  <c r="B248" i="1"/>
  <c r="E994" i="1"/>
  <c r="E233" i="1"/>
  <c r="D1144" i="1"/>
  <c r="C483" i="1"/>
  <c r="C784" i="1"/>
  <c r="F864" i="1"/>
  <c r="E875" i="1"/>
  <c r="F1108" i="1"/>
  <c r="E599" i="1"/>
  <c r="D723" i="1"/>
  <c r="B503" i="1"/>
  <c r="B316" i="1"/>
  <c r="F757" i="1"/>
  <c r="D634" i="1"/>
  <c r="B190" i="1"/>
  <c r="C878" i="1"/>
  <c r="F1379" i="1"/>
  <c r="F159" i="1"/>
  <c r="F617" i="1"/>
  <c r="E1010" i="1"/>
  <c r="F828" i="1"/>
  <c r="C1034" i="1"/>
  <c r="B687" i="1"/>
  <c r="D1629" i="1"/>
  <c r="D604" i="1"/>
  <c r="E73" i="1"/>
  <c r="C1137" i="1"/>
  <c r="E444" i="1"/>
  <c r="E179" i="1"/>
  <c r="F118" i="1"/>
  <c r="F549" i="1"/>
  <c r="D529" i="1"/>
  <c r="B1140" i="1"/>
  <c r="C274" i="1"/>
  <c r="E794" i="1"/>
  <c r="D1158" i="1"/>
  <c r="C798" i="1"/>
  <c r="E428" i="1"/>
  <c r="C660" i="1"/>
  <c r="C443" i="1"/>
  <c r="B638" i="1"/>
  <c r="C1154" i="1"/>
  <c r="C937" i="1"/>
  <c r="C567" i="1"/>
  <c r="D180" i="1"/>
  <c r="B1028" i="1"/>
  <c r="E804" i="1"/>
  <c r="D1244" i="1"/>
  <c r="D393" i="1"/>
  <c r="D283" i="1"/>
  <c r="D820" i="1"/>
  <c r="E573" i="1"/>
  <c r="C43" i="1"/>
  <c r="E1138" i="1"/>
  <c r="E1175" i="1"/>
  <c r="F1603" i="1"/>
  <c r="E498" i="1"/>
  <c r="C773" i="1"/>
  <c r="D1155" i="1"/>
  <c r="D1164" i="1"/>
  <c r="E30" i="1"/>
  <c r="C2402" i="1"/>
  <c r="E963" i="1"/>
  <c r="C504" i="1"/>
  <c r="D638" i="1"/>
  <c r="F499" i="1"/>
  <c r="E763" i="1"/>
  <c r="D63" i="1"/>
  <c r="D171" i="1"/>
  <c r="F125" i="1"/>
  <c r="C1199" i="1"/>
  <c r="F68" i="1"/>
  <c r="B983" i="1"/>
  <c r="C1040" i="1"/>
  <c r="B689" i="1"/>
  <c r="F414" i="1"/>
  <c r="B490" i="1"/>
  <c r="B633" i="1"/>
  <c r="D75" i="1"/>
  <c r="B1184" i="1"/>
  <c r="E1154" i="1"/>
  <c r="E43" i="1"/>
  <c r="F588" i="1"/>
  <c r="C589" i="1"/>
  <c r="C1143" i="1"/>
  <c r="D1209" i="1"/>
  <c r="D254" i="1"/>
  <c r="D1150" i="1"/>
  <c r="F343" i="1"/>
  <c r="C92" i="1"/>
  <c r="C869" i="1"/>
  <c r="E278" i="1"/>
  <c r="B580" i="1"/>
  <c r="B609" i="1"/>
  <c r="E583" i="1"/>
  <c r="E1144" i="1"/>
  <c r="E665" i="1"/>
  <c r="E613" i="1"/>
  <c r="E724" i="1"/>
  <c r="E304" i="1"/>
  <c r="E1090" i="1"/>
  <c r="E503" i="1"/>
  <c r="F709" i="1"/>
  <c r="E83" i="1"/>
  <c r="E1064" i="1"/>
  <c r="E593" i="1"/>
  <c r="D794" i="1"/>
  <c r="D899" i="1"/>
  <c r="B1584" i="1"/>
  <c r="E1674" i="1"/>
  <c r="C505" i="1"/>
  <c r="B1023" i="1"/>
  <c r="F303" i="1"/>
  <c r="E1249" i="1"/>
  <c r="D673" i="1"/>
  <c r="F73" i="1"/>
  <c r="C586" i="1"/>
  <c r="B884" i="1"/>
  <c r="F685" i="1"/>
  <c r="E276" i="1"/>
  <c r="D490" i="1"/>
  <c r="F891" i="1"/>
  <c r="E940" i="1"/>
  <c r="E1170" i="1"/>
  <c r="D1172" i="1"/>
  <c r="E818" i="1"/>
  <c r="E633" i="1"/>
  <c r="E1134" i="1"/>
  <c r="E1714" i="1"/>
  <c r="E1114" i="1"/>
  <c r="F979" i="1"/>
  <c r="E834" i="1"/>
  <c r="F332" i="1"/>
  <c r="E803" i="1"/>
  <c r="C1081" i="1"/>
  <c r="E1056" i="1"/>
  <c r="F1095" i="1"/>
  <c r="F511" i="1"/>
  <c r="C1130" i="1"/>
  <c r="E1073" i="1"/>
  <c r="B348" i="1"/>
  <c r="C408" i="1"/>
  <c r="D558" i="1"/>
  <c r="E63" i="1"/>
  <c r="D270" i="1"/>
  <c r="B745" i="1"/>
  <c r="D1115" i="1"/>
  <c r="D115" i="1"/>
  <c r="F738" i="1"/>
  <c r="E3" i="1"/>
  <c r="B849" i="1"/>
  <c r="D1103" i="1"/>
  <c r="D1049" i="1"/>
  <c r="F1207" i="1"/>
  <c r="F898" i="1"/>
  <c r="E653" i="1"/>
  <c r="E494" i="1"/>
  <c r="D294" i="1"/>
  <c r="C1037" i="1"/>
  <c r="F180" i="1"/>
  <c r="D98" i="1"/>
  <c r="B907" i="1"/>
  <c r="C139" i="1"/>
  <c r="F844" i="1"/>
  <c r="B2487" i="1"/>
  <c r="B928" i="1"/>
  <c r="D363" i="1"/>
  <c r="F334" i="1"/>
  <c r="B958" i="1"/>
  <c r="D519" i="1"/>
  <c r="E848" i="1"/>
  <c r="C523" i="1"/>
  <c r="D135" i="1"/>
  <c r="C453" i="1"/>
  <c r="F575" i="1"/>
  <c r="F948" i="1"/>
  <c r="E638" i="1"/>
  <c r="B879" i="1"/>
  <c r="B829" i="1"/>
  <c r="F108" i="1"/>
  <c r="F644" i="1"/>
  <c r="D13" i="1"/>
  <c r="C39" i="1"/>
  <c r="E908" i="1"/>
  <c r="D453" i="1"/>
  <c r="D183" i="1"/>
  <c r="D463" i="1"/>
  <c r="D1108" i="1"/>
  <c r="F835" i="1"/>
  <c r="D765" i="1"/>
  <c r="D383" i="1"/>
  <c r="B1114" i="1"/>
  <c r="C563" i="1"/>
  <c r="F86" i="1"/>
  <c r="B1074" i="1"/>
  <c r="D1206" i="1"/>
  <c r="D38" i="1"/>
  <c r="D1334" i="1"/>
  <c r="C708" i="1"/>
  <c r="C1114" i="1"/>
  <c r="E589" i="1"/>
  <c r="E922" i="1"/>
  <c r="E263" i="1"/>
  <c r="C1334" i="1"/>
  <c r="E145" i="1"/>
  <c r="C293" i="1"/>
  <c r="F368" i="1"/>
  <c r="B830" i="1"/>
  <c r="E1182" i="1"/>
  <c r="D924" i="1"/>
  <c r="D1547" i="1"/>
  <c r="E217" i="1"/>
  <c r="F1152" i="1"/>
  <c r="D360" i="1"/>
  <c r="D699" i="1"/>
  <c r="D1569" i="1"/>
  <c r="E169" i="1"/>
  <c r="F877" i="1"/>
  <c r="C964" i="1"/>
  <c r="D412" i="1"/>
  <c r="D232" i="1"/>
  <c r="E62" i="1"/>
  <c r="E259" i="1"/>
  <c r="D1299" i="1"/>
  <c r="F557" i="1"/>
  <c r="B200" i="1"/>
  <c r="E824" i="1"/>
  <c r="D148" i="1"/>
  <c r="F129" i="1"/>
  <c r="B48" i="1"/>
  <c r="E1269" i="1"/>
  <c r="E400" i="1"/>
  <c r="C146" i="1"/>
  <c r="D963" i="1"/>
  <c r="C973" i="1"/>
  <c r="B1098" i="1"/>
  <c r="E1654" i="1"/>
  <c r="F1604" i="1"/>
  <c r="B925" i="1"/>
  <c r="E118" i="1"/>
  <c r="D2090" i="1"/>
  <c r="B758" i="1"/>
  <c r="E688" i="1"/>
  <c r="D948" i="1"/>
  <c r="D1604" i="1"/>
  <c r="E559" i="1"/>
  <c r="F751" i="1"/>
  <c r="D459" i="1"/>
  <c r="F26" i="1"/>
  <c r="B773" i="1"/>
  <c r="C1164" i="1"/>
  <c r="D255" i="1"/>
  <c r="E1369" i="1"/>
  <c r="B258" i="1"/>
  <c r="D708" i="1"/>
  <c r="F701" i="1"/>
  <c r="B1033" i="1"/>
  <c r="E742" i="1"/>
  <c r="F885" i="1"/>
  <c r="B863" i="1"/>
  <c r="F723" i="1"/>
  <c r="E1684" i="1"/>
  <c r="E548" i="1"/>
  <c r="D174" i="1"/>
  <c r="E598" i="1"/>
  <c r="D653" i="1"/>
  <c r="B723" i="1"/>
  <c r="C213" i="1"/>
  <c r="E183" i="1"/>
  <c r="C1046" i="1"/>
  <c r="D739" i="1"/>
  <c r="C675" i="1"/>
  <c r="B530" i="1"/>
  <c r="C829" i="1"/>
  <c r="D922" i="1"/>
  <c r="F730" i="1"/>
  <c r="C696" i="1"/>
  <c r="F859" i="1"/>
  <c r="D354" i="1"/>
  <c r="C654" i="1"/>
  <c r="E1304" i="1"/>
  <c r="B1189" i="1"/>
  <c r="E168" i="1"/>
  <c r="C259" i="1"/>
  <c r="B1035" i="1"/>
  <c r="C150" i="1"/>
  <c r="E8" i="1"/>
  <c r="D113" i="1"/>
  <c r="F513" i="1"/>
  <c r="E990" i="1"/>
  <c r="B388" i="1"/>
  <c r="C479" i="1"/>
  <c r="B1048" i="1"/>
  <c r="D1081" i="1"/>
  <c r="F93" i="1"/>
  <c r="C1112" i="1"/>
  <c r="D404" i="1"/>
  <c r="F1028" i="1"/>
  <c r="B644" i="1"/>
  <c r="C629" i="1"/>
  <c r="B428" i="1"/>
  <c r="B1224" i="1"/>
  <c r="B729" i="1"/>
  <c r="B1024" i="1"/>
  <c r="B1589" i="1"/>
  <c r="B320" i="1"/>
  <c r="B774" i="1"/>
  <c r="E40" i="1"/>
  <c r="D622" i="1"/>
  <c r="C1348" i="1"/>
  <c r="C16" i="1"/>
  <c r="E440" i="1"/>
  <c r="B1269" i="1"/>
  <c r="B2112" i="1"/>
  <c r="F1589" i="1"/>
  <c r="E1025" i="1"/>
  <c r="D475" i="1"/>
  <c r="D665" i="1"/>
  <c r="C1638" i="1"/>
  <c r="E799" i="1"/>
  <c r="E1140" i="1"/>
  <c r="F1164" i="1"/>
  <c r="B539" i="1"/>
  <c r="F573" i="1"/>
  <c r="D1644" i="1"/>
  <c r="F233" i="1"/>
  <c r="D788" i="1"/>
  <c r="F949" i="1"/>
  <c r="F784" i="1"/>
  <c r="E358" i="1"/>
  <c r="E150" i="1"/>
  <c r="C959" i="1"/>
  <c r="C854" i="1"/>
  <c r="D711" i="1"/>
  <c r="F564" i="1"/>
  <c r="C574" i="1"/>
  <c r="E108" i="1"/>
  <c r="C1219" i="1"/>
  <c r="B283" i="1"/>
  <c r="C1234" i="1"/>
  <c r="F884" i="1"/>
  <c r="F744" i="1"/>
  <c r="E1401" i="1"/>
  <c r="D914" i="1"/>
  <c r="B1089" i="1"/>
  <c r="B974" i="1"/>
  <c r="E758" i="1"/>
  <c r="F858" i="1"/>
  <c r="C224" i="1"/>
  <c r="C1226" i="1"/>
  <c r="F140" i="1"/>
  <c r="C1169" i="1"/>
  <c r="E203" i="1"/>
  <c r="F785" i="1"/>
  <c r="C895" i="1"/>
  <c r="B384" i="1"/>
  <c r="D493" i="1"/>
  <c r="C100" i="1"/>
  <c r="C733" i="1"/>
  <c r="B1124" i="1"/>
  <c r="F704" i="1"/>
  <c r="C949" i="1"/>
  <c r="D689" i="1"/>
  <c r="B705" i="1"/>
  <c r="D188" i="1"/>
  <c r="F367" i="1"/>
  <c r="C871" i="1"/>
  <c r="E1664" i="1"/>
  <c r="B783" i="1"/>
  <c r="B264" i="1"/>
  <c r="F391" i="1"/>
  <c r="D1699" i="1"/>
  <c r="E1018" i="1"/>
  <c r="B874" i="1"/>
  <c r="B1127" i="1"/>
  <c r="E371" i="1"/>
  <c r="F353" i="1"/>
  <c r="F114" i="1"/>
  <c r="C295" i="1"/>
  <c r="D88" i="1"/>
  <c r="F1084" i="1"/>
  <c r="D1118" i="1"/>
  <c r="E553" i="1"/>
  <c r="C780" i="1"/>
  <c r="E1057" i="1"/>
  <c r="C249" i="1"/>
  <c r="D1514" i="1"/>
  <c r="C704" i="1"/>
  <c r="B1143" i="1"/>
  <c r="D584" i="1"/>
  <c r="C907" i="1"/>
  <c r="B71" i="1"/>
  <c r="B236" i="1"/>
  <c r="E744" i="1"/>
  <c r="E176" i="1"/>
  <c r="C1343" i="1"/>
  <c r="C1063" i="1"/>
  <c r="B818" i="1"/>
  <c r="E1103" i="1"/>
  <c r="E130" i="1"/>
  <c r="D1319" i="1"/>
  <c r="B698" i="1"/>
  <c r="D300" i="1"/>
  <c r="E631" i="1"/>
  <c r="D660" i="1"/>
  <c r="F2178" i="1"/>
  <c r="D835" i="1"/>
  <c r="F1709" i="1"/>
  <c r="C648" i="1"/>
  <c r="B1064" i="1"/>
  <c r="B534" i="1"/>
  <c r="F560" i="1"/>
  <c r="F98" i="1"/>
  <c r="B544" i="1"/>
  <c r="D1140" i="1"/>
  <c r="D575" i="1"/>
  <c r="B294" i="1"/>
  <c r="D35" i="1"/>
  <c r="D1389" i="1"/>
  <c r="B978" i="1"/>
  <c r="E493" i="1"/>
  <c r="C728" i="1"/>
  <c r="E874" i="1"/>
  <c r="C698" i="1"/>
  <c r="F288" i="1"/>
  <c r="E245" i="1"/>
  <c r="C477" i="1"/>
  <c r="D128" i="1"/>
  <c r="E1569" i="1"/>
  <c r="D749" i="1"/>
  <c r="F954" i="1"/>
  <c r="D285" i="1"/>
  <c r="F365" i="1"/>
  <c r="D19" i="1"/>
  <c r="D340" i="1"/>
  <c r="C78" i="1"/>
  <c r="F967" i="1"/>
  <c r="C188" i="1"/>
  <c r="D1023" i="1"/>
  <c r="E703" i="1"/>
  <c r="F352" i="1"/>
  <c r="B1219" i="1"/>
  <c r="D949" i="1"/>
  <c r="B600" i="1"/>
  <c r="C242" i="1"/>
  <c r="F89" i="1"/>
  <c r="F1005" i="1"/>
  <c r="B625" i="1"/>
  <c r="D1394" i="1"/>
  <c r="E209" i="1"/>
  <c r="B1102" i="1"/>
  <c r="F1194" i="1"/>
  <c r="F658" i="1"/>
  <c r="C173" i="1"/>
  <c r="F351" i="1"/>
  <c r="D391" i="1"/>
  <c r="F1674" i="1"/>
  <c r="D365" i="1"/>
  <c r="D323" i="1"/>
  <c r="C519" i="1"/>
  <c r="B613" i="1"/>
  <c r="D1659" i="1"/>
  <c r="E1419" i="1"/>
  <c r="F520" i="1"/>
  <c r="D725" i="1"/>
  <c r="F1068" i="1"/>
  <c r="C320" i="1"/>
  <c r="E723" i="1"/>
  <c r="C323" i="1"/>
  <c r="B888" i="1"/>
  <c r="D160" i="1"/>
  <c r="E1019" i="1"/>
  <c r="D843" i="1"/>
  <c r="E414" i="1"/>
  <c r="F1269" i="1"/>
  <c r="F1254" i="1"/>
  <c r="D1173" i="1"/>
  <c r="F225" i="1"/>
  <c r="E1059" i="1"/>
  <c r="B1178" i="1"/>
  <c r="E11" i="1"/>
  <c r="E646" i="1"/>
  <c r="B1222" i="1"/>
  <c r="D619" i="1"/>
  <c r="F903" i="1"/>
  <c r="D423" i="1"/>
  <c r="B968" i="1"/>
  <c r="C383" i="1"/>
  <c r="C520" i="1"/>
  <c r="C468" i="1"/>
  <c r="D414" i="1"/>
  <c r="B1639" i="1"/>
  <c r="B985" i="1"/>
  <c r="F1669" i="1"/>
  <c r="C488" i="1"/>
  <c r="C431" i="1"/>
  <c r="B1674" i="1"/>
  <c r="F1167" i="1"/>
  <c r="C954" i="1"/>
  <c r="E1050" i="1"/>
  <c r="E666" i="1"/>
  <c r="E833" i="1"/>
  <c r="E184" i="1"/>
  <c r="D359" i="1"/>
  <c r="E28" i="1"/>
  <c r="D669" i="1"/>
  <c r="C1083" i="1"/>
  <c r="D603" i="1"/>
  <c r="F1081" i="1"/>
  <c r="D508" i="1"/>
  <c r="C541" i="1"/>
  <c r="D445" i="1"/>
  <c r="D848" i="1"/>
  <c r="F245" i="1"/>
  <c r="B319" i="1"/>
  <c r="F253" i="1"/>
  <c r="B310" i="1"/>
  <c r="C814" i="1"/>
  <c r="D10" i="1"/>
  <c r="D1019" i="1"/>
  <c r="B1051" i="1"/>
  <c r="F1124" i="1"/>
  <c r="C1294" i="1"/>
  <c r="D1414" i="1"/>
  <c r="F889" i="1"/>
  <c r="E2298" i="1"/>
  <c r="D1149" i="1"/>
  <c r="B525" i="1"/>
  <c r="E331" i="1"/>
  <c r="C211" i="1"/>
  <c r="C766" i="1"/>
  <c r="D324" i="1"/>
  <c r="E434" i="1"/>
  <c r="B768" i="1"/>
  <c r="F788" i="1"/>
  <c r="E509" i="1"/>
  <c r="D650" i="1"/>
  <c r="B598" i="1"/>
  <c r="D189" i="1"/>
  <c r="B1162" i="1"/>
  <c r="C968" i="1"/>
  <c r="C658" i="1"/>
  <c r="F984" i="1"/>
  <c r="D229" i="1"/>
  <c r="E244" i="1"/>
  <c r="C859" i="1"/>
  <c r="F406" i="1"/>
  <c r="F715" i="1"/>
  <c r="C1144" i="1"/>
  <c r="C925" i="1"/>
  <c r="F315" i="1"/>
  <c r="F1162" i="1"/>
  <c r="B448" i="1"/>
  <c r="C634" i="1"/>
  <c r="E564" i="1"/>
  <c r="D644" i="1"/>
  <c r="D353" i="1"/>
  <c r="D568" i="1"/>
  <c r="C723" i="1"/>
  <c r="D1169" i="1"/>
  <c r="B993" i="1"/>
  <c r="D1135" i="1"/>
  <c r="B1679" i="1"/>
  <c r="D49" i="1"/>
  <c r="D169" i="1"/>
  <c r="B398" i="1"/>
  <c r="B1199" i="1"/>
  <c r="F978" i="1"/>
  <c r="F779" i="1"/>
  <c r="C328" i="1"/>
  <c r="F1093" i="1"/>
  <c r="D773" i="1"/>
  <c r="D1004" i="1"/>
  <c r="C429" i="1"/>
  <c r="C1799" i="1"/>
  <c r="C189" i="1"/>
  <c r="B483" i="1"/>
  <c r="C1159" i="1"/>
  <c r="B1406" i="1"/>
  <c r="B504" i="1"/>
  <c r="E318" i="1"/>
  <c r="F955" i="1"/>
  <c r="E160" i="1"/>
  <c r="F1163" i="1"/>
  <c r="F1114" i="1"/>
  <c r="C1158" i="1"/>
  <c r="F1759" i="1"/>
  <c r="F148" i="1"/>
  <c r="C435" i="1"/>
  <c r="F703" i="1"/>
  <c r="B528" i="1"/>
  <c r="D844" i="1"/>
  <c r="C1118" i="1"/>
  <c r="D877" i="1"/>
  <c r="E957" i="1"/>
  <c r="E853" i="1"/>
  <c r="C1269" i="1"/>
  <c r="F1060" i="1"/>
  <c r="F615" i="1"/>
  <c r="E1035" i="1"/>
  <c r="F388" i="1"/>
  <c r="F278" i="1"/>
  <c r="E56" i="1"/>
  <c r="D1161" i="1"/>
  <c r="F540" i="1"/>
  <c r="D151" i="1"/>
  <c r="F156" i="1"/>
  <c r="B618" i="1"/>
  <c r="F1654" i="1"/>
  <c r="C535" i="1"/>
  <c r="F1388" i="1"/>
  <c r="E246" i="1"/>
  <c r="C234" i="1"/>
  <c r="F843" i="1"/>
  <c r="D338" i="1"/>
  <c r="E458" i="1"/>
  <c r="E983" i="1"/>
  <c r="C1579" i="1"/>
  <c r="B464" i="1"/>
  <c r="C454" i="1"/>
  <c r="D173" i="1"/>
  <c r="E823" i="1"/>
  <c r="E949" i="1"/>
  <c r="D478" i="1"/>
  <c r="D868" i="1"/>
  <c r="B275" i="1"/>
  <c r="C1100" i="1"/>
  <c r="D515" i="1"/>
  <c r="E649" i="1"/>
  <c r="F13" i="1"/>
  <c r="D543" i="1"/>
  <c r="C653" i="1"/>
  <c r="E223" i="1"/>
  <c r="C614" i="1"/>
  <c r="B959" i="1"/>
  <c r="C1177" i="1"/>
  <c r="D670" i="1"/>
  <c r="E1016" i="1"/>
  <c r="F243" i="1"/>
  <c r="C584" i="1"/>
  <c r="D1654" i="1"/>
  <c r="E1143" i="1"/>
  <c r="B249" i="1"/>
  <c r="F422" i="1"/>
  <c r="F226" i="1"/>
  <c r="F248" i="1"/>
  <c r="C73" i="1"/>
  <c r="C319" i="1"/>
  <c r="B329" i="1"/>
  <c r="C1309" i="1"/>
  <c r="C1104" i="1"/>
  <c r="B904" i="1"/>
  <c r="F419" i="1"/>
  <c r="D839" i="1"/>
  <c r="E883" i="1"/>
  <c r="D833" i="1"/>
  <c r="C58" i="1"/>
  <c r="F398" i="1"/>
  <c r="F1045" i="1"/>
  <c r="B588" i="1"/>
  <c r="F839" i="1"/>
  <c r="E235" i="1"/>
  <c r="C205" i="1"/>
  <c r="F854" i="1"/>
  <c r="D1202" i="1"/>
  <c r="F155" i="1"/>
  <c r="B1039" i="1"/>
  <c r="F53" i="1"/>
  <c r="E1048" i="1"/>
  <c r="F758" i="1"/>
  <c r="B658" i="1"/>
  <c r="B109" i="1"/>
  <c r="C366" i="1"/>
  <c r="C645" i="1"/>
  <c r="F505" i="1"/>
  <c r="C910" i="1"/>
  <c r="F848" i="1"/>
  <c r="E953" i="1"/>
  <c r="F1409" i="1"/>
  <c r="D1623" i="1"/>
  <c r="B1149" i="1"/>
  <c r="C101" i="1"/>
  <c r="C970" i="1"/>
  <c r="C920" i="1"/>
  <c r="B790" i="1"/>
  <c r="E461" i="1"/>
  <c r="E675" i="1"/>
  <c r="E433" i="1"/>
  <c r="F958" i="1"/>
  <c r="C518" i="1"/>
  <c r="C735" i="1"/>
  <c r="C832" i="1"/>
  <c r="B615" i="1"/>
  <c r="B478" i="1"/>
  <c r="D1182" i="1"/>
  <c r="D885" i="1"/>
  <c r="F1679" i="1"/>
  <c r="F804" i="1"/>
  <c r="E859" i="1"/>
  <c r="C1204" i="1"/>
  <c r="C1231" i="1"/>
  <c r="E91" i="1"/>
  <c r="B713" i="1"/>
  <c r="B943" i="1"/>
  <c r="D264" i="1"/>
  <c r="F1170" i="1"/>
  <c r="D745" i="1"/>
  <c r="E1314" i="1"/>
  <c r="C392" i="1"/>
  <c r="F194" i="1"/>
  <c r="F299" i="1"/>
  <c r="D1117" i="1"/>
  <c r="D153" i="1"/>
  <c r="F920" i="1"/>
  <c r="D769" i="1"/>
  <c r="D199" i="1"/>
  <c r="F101" i="1"/>
  <c r="B793" i="1"/>
  <c r="E68" i="1"/>
  <c r="E1133" i="1"/>
  <c r="B579" i="1"/>
  <c r="C1133" i="1"/>
  <c r="B889" i="1"/>
  <c r="F1092" i="1"/>
  <c r="D852" i="1"/>
  <c r="C1033" i="1"/>
  <c r="D764" i="1"/>
  <c r="C664" i="1"/>
  <c r="D219" i="1"/>
  <c r="C1634" i="1"/>
  <c r="E505" i="1"/>
  <c r="D523" i="1"/>
  <c r="F929" i="1"/>
  <c r="C5" i="1"/>
  <c r="F923" i="1"/>
  <c r="D774" i="1"/>
  <c r="D569" i="1"/>
  <c r="D26" i="1"/>
  <c r="E66" i="1"/>
  <c r="E570" i="1"/>
  <c r="F484" i="1"/>
  <c r="F916" i="1"/>
  <c r="B550" i="1"/>
  <c r="D1584" i="1"/>
  <c r="F970" i="1"/>
  <c r="F1033" i="1"/>
  <c r="C603" i="1"/>
  <c r="C783" i="1"/>
  <c r="C85" i="1"/>
  <c r="B265" i="1"/>
  <c r="C1654" i="1"/>
  <c r="E1649" i="1"/>
  <c r="E165" i="1"/>
  <c r="B1339" i="1"/>
  <c r="F290" i="1"/>
  <c r="E676" i="1"/>
  <c r="F1053" i="1"/>
  <c r="E229" i="1"/>
  <c r="C23" i="1"/>
  <c r="C285" i="1"/>
  <c r="D108" i="1"/>
  <c r="B994" i="1"/>
  <c r="E1110" i="1"/>
  <c r="B778" i="1"/>
  <c r="E988" i="1"/>
  <c r="C1134" i="1"/>
  <c r="E1084" i="1"/>
  <c r="E351" i="1"/>
  <c r="F977" i="1"/>
  <c r="C1194" i="1"/>
  <c r="F301" i="1"/>
  <c r="B1123" i="1"/>
  <c r="E191" i="1"/>
  <c r="F456" i="1"/>
  <c r="C1153" i="1"/>
  <c r="F771" i="1"/>
  <c r="C1163" i="1"/>
  <c r="D43" i="1"/>
  <c r="D1152" i="1"/>
  <c r="F345" i="1"/>
  <c r="F554" i="1"/>
  <c r="F798" i="1"/>
  <c r="C944" i="1"/>
  <c r="E783" i="1"/>
  <c r="C279" i="1"/>
  <c r="F208" i="1"/>
  <c r="B493" i="1"/>
  <c r="E759" i="1"/>
  <c r="B717" i="1"/>
  <c r="B1684" i="1"/>
  <c r="E211" i="1"/>
  <c r="C1016" i="1"/>
  <c r="C300" i="1"/>
  <c r="D633" i="1"/>
  <c r="D933" i="1"/>
  <c r="F160" i="1"/>
  <c r="C415" i="1"/>
  <c r="F323" i="1"/>
  <c r="F710" i="1"/>
  <c r="D620" i="1"/>
  <c r="D1284" i="1"/>
  <c r="E840" i="1"/>
  <c r="E1039" i="1"/>
  <c r="D226" i="1"/>
  <c r="F1065" i="1"/>
  <c r="D1194" i="1"/>
  <c r="D535" i="1"/>
  <c r="E889" i="1"/>
  <c r="F1058" i="1"/>
  <c r="B584" i="1"/>
  <c r="D374" i="1"/>
  <c r="C680" i="1"/>
  <c r="B669" i="1"/>
  <c r="D73" i="1"/>
  <c r="D458" i="1"/>
  <c r="D825" i="1"/>
  <c r="D281" i="1"/>
  <c r="E1034" i="1"/>
  <c r="D559" i="1"/>
  <c r="F633" i="1"/>
  <c r="F115" i="1"/>
  <c r="E323" i="1"/>
  <c r="B453" i="1"/>
  <c r="E134" i="1"/>
  <c r="B1165" i="1"/>
  <c r="F23" i="1"/>
  <c r="E208" i="1"/>
  <c r="D918" i="1"/>
  <c r="C53" i="1"/>
  <c r="E25" i="1"/>
  <c r="B909" i="1"/>
  <c r="D480" i="1"/>
  <c r="F400" i="1"/>
  <c r="D203" i="1"/>
  <c r="D1159" i="1"/>
  <c r="D289" i="1"/>
  <c r="E180" i="1"/>
  <c r="E13" i="1"/>
  <c r="E239" i="1"/>
  <c r="B1154" i="1"/>
  <c r="F669" i="1"/>
  <c r="C210" i="1"/>
  <c r="D388" i="1"/>
  <c r="C60" i="1"/>
  <c r="B1456" i="1"/>
  <c r="F469" i="1"/>
  <c r="F230" i="1"/>
  <c r="E1520" i="1"/>
  <c r="C772" i="1"/>
  <c r="B903" i="1"/>
  <c r="D982" i="1"/>
  <c r="D287" i="1"/>
  <c r="F1117" i="1"/>
  <c r="E423" i="1"/>
  <c r="D457" i="1"/>
  <c r="E227" i="1"/>
  <c r="E807" i="1"/>
  <c r="E395" i="1"/>
  <c r="B244" i="1"/>
  <c r="D352" i="1"/>
  <c r="F867" i="1"/>
  <c r="E2002" i="1"/>
  <c r="B64" i="1"/>
  <c r="E603" i="1"/>
  <c r="B659" i="1"/>
  <c r="F204" i="1"/>
  <c r="C990" i="1"/>
  <c r="D132" i="1"/>
  <c r="B1694" i="1"/>
  <c r="C579" i="1"/>
  <c r="E507" i="1"/>
  <c r="F1040" i="1"/>
  <c r="B804" i="1"/>
  <c r="E344" i="1"/>
  <c r="D1102" i="1"/>
  <c r="C537" i="1"/>
  <c r="C18" i="1"/>
  <c r="E159" i="1"/>
  <c r="D754" i="1"/>
  <c r="B742" i="1"/>
  <c r="C497" i="1"/>
  <c r="D1942" i="1"/>
  <c r="D1192" i="1"/>
  <c r="C974" i="1"/>
  <c r="F1102" i="1"/>
  <c r="F99" i="1"/>
  <c r="D1921" i="1"/>
  <c r="F329" i="1"/>
  <c r="B324" i="1"/>
  <c r="B357" i="1"/>
  <c r="D209" i="1"/>
  <c r="B1122" i="1"/>
  <c r="B520" i="1"/>
  <c r="F349" i="1"/>
  <c r="B27" i="1"/>
  <c r="B878" i="1"/>
  <c r="B233" i="1"/>
  <c r="C232" i="1"/>
  <c r="D945" i="1"/>
  <c r="F339" i="1"/>
  <c r="B260" i="1"/>
  <c r="E842" i="1"/>
  <c r="C364" i="1"/>
  <c r="E319" i="1"/>
  <c r="E912" i="1"/>
  <c r="F1544" i="1"/>
  <c r="D1850" i="1"/>
  <c r="C97" i="1"/>
  <c r="C1172" i="1"/>
  <c r="F1561" i="1"/>
  <c r="C1973" i="1"/>
  <c r="D1840" i="1"/>
  <c r="D252" i="1"/>
  <c r="C1835" i="1"/>
  <c r="E1457" i="1"/>
  <c r="C1913" i="1"/>
  <c r="D213" i="1"/>
  <c r="F1219" i="1"/>
  <c r="B1910" i="1"/>
  <c r="F1851" i="1"/>
  <c r="B1972" i="1"/>
  <c r="B307" i="1"/>
  <c r="E17" i="1"/>
  <c r="B297" i="1"/>
  <c r="B967" i="1"/>
  <c r="D1029" i="1"/>
  <c r="D550" i="1"/>
  <c r="B700" i="1"/>
  <c r="E684" i="1"/>
  <c r="D957" i="1"/>
  <c r="C34" i="1"/>
  <c r="F600" i="1"/>
  <c r="D178" i="1"/>
  <c r="B869" i="1"/>
  <c r="F474" i="1"/>
  <c r="B240" i="1"/>
  <c r="E402" i="1"/>
  <c r="E572" i="1"/>
  <c r="E694" i="1"/>
  <c r="F41" i="1"/>
  <c r="C972" i="1"/>
  <c r="E762" i="1"/>
  <c r="C267" i="1"/>
  <c r="D643" i="1"/>
  <c r="F427" i="1"/>
  <c r="B277" i="1"/>
  <c r="E174" i="1"/>
  <c r="E1168" i="1"/>
  <c r="F87" i="1"/>
  <c r="B139" i="1"/>
  <c r="C1173" i="1"/>
  <c r="D314" i="1"/>
  <c r="B136" i="1"/>
  <c r="C196" i="1"/>
  <c r="E80" i="1"/>
  <c r="E1169" i="1"/>
  <c r="C299" i="1"/>
  <c r="C472" i="1"/>
  <c r="B858" i="1"/>
  <c r="F195" i="1"/>
  <c r="B193" i="1"/>
  <c r="E19" i="1"/>
  <c r="F272" i="1"/>
  <c r="E120" i="1"/>
  <c r="D142" i="1"/>
  <c r="F982" i="1"/>
  <c r="D534" i="1"/>
  <c r="C492" i="1"/>
  <c r="F714" i="1"/>
  <c r="B242" i="1"/>
  <c r="C1851" i="1"/>
  <c r="D444" i="1"/>
  <c r="E1189" i="1"/>
  <c r="C93" i="1"/>
  <c r="B133" i="1"/>
  <c r="D198" i="1"/>
  <c r="C329" i="1"/>
  <c r="F39" i="1"/>
  <c r="E749" i="1"/>
  <c r="E148" i="1"/>
  <c r="B697" i="1"/>
  <c r="F1047" i="1"/>
  <c r="E438" i="1"/>
  <c r="C84" i="1"/>
  <c r="F827" i="1"/>
  <c r="D994" i="1"/>
  <c r="B1204" i="1"/>
  <c r="B150" i="1"/>
  <c r="B267" i="1"/>
  <c r="D358" i="1"/>
  <c r="D237" i="1"/>
  <c r="E214" i="1"/>
  <c r="D539" i="1"/>
  <c r="C644" i="1"/>
  <c r="B1556" i="1"/>
  <c r="E1511" i="1"/>
  <c r="D1887" i="1"/>
  <c r="C1496" i="1"/>
  <c r="C534" i="1"/>
  <c r="C1474" i="1"/>
  <c r="C1032" i="1"/>
  <c r="C1926" i="1"/>
  <c r="E297" i="1"/>
  <c r="E718" i="1"/>
  <c r="C1152" i="1"/>
  <c r="C1959" i="1"/>
  <c r="D328" i="1"/>
  <c r="D377" i="1"/>
  <c r="D39" i="1"/>
  <c r="D847" i="1"/>
  <c r="F1996" i="1"/>
  <c r="E719" i="1"/>
  <c r="E1068" i="1"/>
  <c r="B1940" i="1"/>
  <c r="D554" i="1"/>
  <c r="D583" i="1"/>
  <c r="B589" i="1"/>
  <c r="E809" i="1"/>
  <c r="D154" i="1"/>
  <c r="D1097" i="1"/>
  <c r="D728" i="1"/>
  <c r="F523" i="1"/>
  <c r="D714" i="1"/>
  <c r="D777" i="1"/>
  <c r="B822" i="1"/>
  <c r="C494" i="1"/>
  <c r="B107" i="1"/>
  <c r="D157" i="1"/>
  <c r="F1209" i="1"/>
  <c r="C857" i="1"/>
  <c r="D677" i="1"/>
  <c r="C27" i="1"/>
  <c r="C553" i="1"/>
  <c r="B1928" i="1"/>
  <c r="F1139" i="1"/>
  <c r="B1059" i="1"/>
  <c r="D1063" i="1"/>
  <c r="F1453" i="1"/>
  <c r="B238" i="1"/>
  <c r="F569" i="1"/>
  <c r="C117" i="1"/>
  <c r="B787" i="1"/>
  <c r="C165" i="1"/>
  <c r="F783" i="1"/>
  <c r="B54" i="1"/>
  <c r="F1007" i="1"/>
  <c r="B212" i="1"/>
  <c r="F110" i="1"/>
  <c r="E739" i="1"/>
  <c r="B182" i="1"/>
  <c r="E207" i="1"/>
  <c r="D917" i="1"/>
  <c r="D83" i="1"/>
  <c r="B207" i="1"/>
  <c r="B59" i="1"/>
  <c r="B542" i="1"/>
  <c r="F599" i="1"/>
  <c r="E543" i="1"/>
  <c r="F677" i="1"/>
  <c r="B999" i="1"/>
  <c r="C147" i="1"/>
  <c r="B607" i="1"/>
  <c r="D809" i="1"/>
  <c r="B562" i="1"/>
  <c r="B987" i="1"/>
  <c r="E257" i="1"/>
  <c r="D194" i="1"/>
  <c r="E1049" i="1"/>
  <c r="C672" i="1"/>
  <c r="F127" i="1"/>
  <c r="B720" i="1"/>
  <c r="F229" i="1"/>
  <c r="E462" i="1"/>
  <c r="E1089" i="1"/>
  <c r="E198" i="1"/>
  <c r="E499" i="1"/>
  <c r="E1299" i="1"/>
  <c r="E254" i="1"/>
  <c r="E609" i="1"/>
  <c r="C1501" i="1"/>
  <c r="C327" i="1"/>
  <c r="D139" i="1"/>
  <c r="B412" i="1"/>
  <c r="F1563" i="1"/>
  <c r="C1468" i="1"/>
  <c r="B1961" i="1"/>
  <c r="B1913" i="1"/>
  <c r="B597" i="1"/>
  <c r="D162" i="1"/>
  <c r="B522" i="1"/>
  <c r="D1493" i="1"/>
  <c r="E770" i="1"/>
  <c r="C762" i="1"/>
  <c r="F1934" i="1"/>
  <c r="C927" i="1"/>
  <c r="B224" i="1"/>
  <c r="E1074" i="1"/>
  <c r="C1534" i="1"/>
  <c r="D1540" i="1"/>
  <c r="D579" i="1"/>
  <c r="C203" i="1"/>
  <c r="E1222" i="1"/>
  <c r="E1829" i="1"/>
  <c r="C583" i="1"/>
  <c r="B1248" i="1"/>
  <c r="D564" i="1"/>
  <c r="F304" i="1"/>
  <c r="C218" i="1"/>
  <c r="F379" i="1"/>
  <c r="F136" i="1"/>
  <c r="C48" i="1"/>
  <c r="D14" i="1"/>
  <c r="B252" i="1"/>
  <c r="F987" i="1"/>
  <c r="D738" i="1"/>
  <c r="E608" i="1"/>
  <c r="E757" i="1"/>
  <c r="D909" i="1"/>
  <c r="E1863" i="1"/>
  <c r="F1184" i="1"/>
  <c r="D729" i="1"/>
  <c r="B79" i="1"/>
  <c r="C209" i="1"/>
  <c r="F552" i="1"/>
  <c r="F319" i="1"/>
  <c r="E1149" i="1"/>
  <c r="F62" i="1"/>
  <c r="D742" i="1"/>
  <c r="E44" i="1"/>
  <c r="E7" i="1"/>
  <c r="E149" i="1"/>
  <c r="F733" i="1"/>
  <c r="D1212" i="1"/>
  <c r="C1394" i="1"/>
  <c r="E972" i="1"/>
  <c r="D664" i="1"/>
  <c r="F656" i="1"/>
  <c r="F269" i="1"/>
  <c r="C449" i="1"/>
  <c r="B1137" i="1"/>
  <c r="E412" i="1"/>
  <c r="B335" i="1"/>
  <c r="E808" i="1"/>
  <c r="B165" i="1"/>
  <c r="D972" i="1"/>
  <c r="D694" i="1"/>
  <c r="F459" i="1"/>
  <c r="B423" i="1"/>
  <c r="D422" i="1"/>
  <c r="B74" i="1"/>
  <c r="B518" i="1"/>
  <c r="E877" i="1"/>
  <c r="D939" i="1"/>
  <c r="D947" i="1"/>
  <c r="B241" i="1"/>
  <c r="C679" i="1"/>
  <c r="D637" i="1"/>
  <c r="D172" i="1"/>
  <c r="E97" i="1"/>
  <c r="D823" i="1"/>
  <c r="D494" i="1"/>
  <c r="B127" i="1"/>
  <c r="F374" i="1"/>
  <c r="C495" i="1"/>
  <c r="C444" i="1"/>
  <c r="E482" i="1"/>
  <c r="E34" i="1"/>
  <c r="D114" i="1"/>
  <c r="D974" i="1"/>
  <c r="D159" i="1"/>
  <c r="C418" i="1"/>
  <c r="B397" i="1"/>
  <c r="B1947" i="1"/>
  <c r="B1164" i="1"/>
  <c r="B404" i="1"/>
  <c r="E1844" i="1"/>
  <c r="F1895" i="1"/>
  <c r="C577" i="1"/>
  <c r="B1960" i="1"/>
  <c r="D1052" i="1"/>
  <c r="B78" i="1"/>
  <c r="D1512" i="1"/>
  <c r="C1864" i="1"/>
  <c r="C412" i="1"/>
  <c r="D1067" i="1"/>
  <c r="C437" i="1"/>
  <c r="D1994" i="1"/>
  <c r="B1841" i="1"/>
  <c r="E577" i="1"/>
  <c r="C129" i="1"/>
  <c r="E342" i="1"/>
  <c r="F1912" i="1"/>
  <c r="E1259" i="1"/>
  <c r="E879" i="1"/>
  <c r="B429" i="1"/>
  <c r="B352" i="1"/>
  <c r="B376" i="1"/>
  <c r="D204" i="1"/>
  <c r="C1659" i="1"/>
  <c r="B1168" i="1"/>
  <c r="E1163" i="1"/>
  <c r="B1052" i="1"/>
  <c r="D1094" i="1"/>
  <c r="B1084" i="1"/>
  <c r="E779" i="1"/>
  <c r="C744" i="1"/>
  <c r="F515" i="1"/>
  <c r="D1162" i="1"/>
  <c r="B612" i="1"/>
  <c r="D29" i="1"/>
  <c r="D1109" i="1"/>
  <c r="E517" i="1"/>
  <c r="C1553" i="1"/>
  <c r="B932" i="1"/>
  <c r="B474" i="1"/>
  <c r="B85" i="1"/>
  <c r="B582" i="1"/>
  <c r="C1129" i="1"/>
  <c r="C467" i="1"/>
  <c r="E272" i="1"/>
  <c r="B654" i="1"/>
  <c r="B499" i="1"/>
  <c r="E508" i="1"/>
  <c r="D307" i="1"/>
  <c r="B337" i="1"/>
  <c r="F874" i="1"/>
  <c r="D827" i="1"/>
  <c r="F492" i="1"/>
  <c r="B81" i="1"/>
  <c r="D1441" i="1"/>
  <c r="E374" i="1"/>
  <c r="C834" i="1"/>
  <c r="C277" i="1"/>
  <c r="B77" i="1"/>
  <c r="B1214" i="1"/>
  <c r="C335" i="1"/>
  <c r="E69" i="1"/>
  <c r="D1082" i="1"/>
  <c r="D334" i="1"/>
  <c r="F244" i="1"/>
  <c r="C303" i="1"/>
  <c r="D562" i="1"/>
  <c r="E1097" i="1"/>
  <c r="B45" i="1"/>
  <c r="D1139" i="1"/>
  <c r="F642" i="1"/>
  <c r="E622" i="1"/>
  <c r="B1449" i="1"/>
  <c r="E368" i="1"/>
  <c r="D1014" i="1"/>
  <c r="D32" i="1"/>
  <c r="F297" i="1"/>
  <c r="B850" i="1"/>
  <c r="D757" i="1"/>
  <c r="C217" i="1"/>
  <c r="B553" i="1"/>
  <c r="E78" i="1"/>
  <c r="C24" i="1"/>
  <c r="E731" i="1"/>
  <c r="E774" i="1"/>
  <c r="F479" i="1"/>
  <c r="E1202" i="1"/>
  <c r="E664" i="1"/>
  <c r="C200" i="1"/>
  <c r="D112" i="1"/>
  <c r="E64" i="1"/>
  <c r="F259" i="1"/>
  <c r="B557" i="1"/>
  <c r="B594" i="1"/>
  <c r="B1103" i="1"/>
  <c r="B922" i="1"/>
  <c r="D1112" i="1"/>
  <c r="B160" i="1"/>
  <c r="C1122" i="1"/>
  <c r="B134" i="1"/>
  <c r="E979" i="1"/>
  <c r="D82" i="1"/>
  <c r="B554" i="1"/>
  <c r="B1077" i="1"/>
  <c r="E267" i="1"/>
  <c r="C1142" i="1"/>
  <c r="B1501" i="1"/>
  <c r="C722" i="1"/>
  <c r="B438" i="1"/>
  <c r="E155" i="1"/>
  <c r="E416" i="1"/>
  <c r="E580" i="1"/>
  <c r="E57" i="1"/>
  <c r="C359" i="1"/>
  <c r="F863" i="1"/>
  <c r="B63" i="1"/>
  <c r="B1869" i="1"/>
  <c r="F1090" i="1"/>
  <c r="E539" i="1"/>
  <c r="C602" i="1"/>
  <c r="B814" i="1"/>
  <c r="D984" i="1"/>
  <c r="C864" i="1"/>
  <c r="E484" i="1"/>
  <c r="E282" i="1"/>
  <c r="B482" i="1"/>
  <c r="C827" i="1"/>
  <c r="F1089" i="1"/>
  <c r="C357" i="1"/>
  <c r="F627" i="1"/>
  <c r="C923" i="1"/>
  <c r="C223" i="1"/>
  <c r="D649" i="1"/>
  <c r="B832" i="1"/>
  <c r="C598" i="1"/>
  <c r="D299" i="1"/>
  <c r="B833" i="1"/>
  <c r="F567" i="1"/>
  <c r="B1187" i="1"/>
  <c r="E37" i="1"/>
  <c r="B1003" i="1"/>
  <c r="F593" i="1"/>
  <c r="B50" i="1"/>
  <c r="E910" i="1"/>
  <c r="D1167" i="1"/>
  <c r="B807" i="1"/>
  <c r="F193" i="1"/>
  <c r="E71" i="1"/>
  <c r="E504" i="1"/>
  <c r="B369" i="1"/>
  <c r="E1284" i="1"/>
  <c r="C659" i="1"/>
  <c r="F878" i="1"/>
  <c r="F559" i="1"/>
  <c r="D1434" i="1"/>
  <c r="D898" i="1"/>
  <c r="E139" i="1"/>
  <c r="B13" i="1"/>
  <c r="C899" i="1"/>
  <c r="B220" i="1"/>
  <c r="E337" i="1"/>
  <c r="E1037" i="1"/>
  <c r="D417" i="1"/>
  <c r="D1929" i="1"/>
  <c r="F17" i="1"/>
  <c r="F393" i="1"/>
  <c r="B744" i="1"/>
  <c r="D734" i="1"/>
  <c r="B492" i="1"/>
  <c r="E852" i="1"/>
  <c r="D1550" i="1"/>
  <c r="C1935" i="1"/>
  <c r="E389" i="1"/>
  <c r="B299" i="1"/>
  <c r="F662" i="1"/>
  <c r="B1079" i="1"/>
  <c r="E404" i="1"/>
  <c r="E489" i="1"/>
  <c r="E574" i="1"/>
  <c r="B29" i="1"/>
  <c r="B604" i="1"/>
  <c r="D58" i="1"/>
  <c r="E112" i="1"/>
  <c r="D1107" i="1"/>
  <c r="D413" i="1"/>
  <c r="C994" i="1"/>
  <c r="F777" i="1"/>
  <c r="E1044" i="1"/>
  <c r="D602" i="1"/>
  <c r="F18" i="1"/>
  <c r="B1157" i="1"/>
  <c r="F692" i="1"/>
  <c r="E1893" i="1"/>
  <c r="D1941" i="1"/>
  <c r="B1099" i="1"/>
  <c r="C120" i="1"/>
  <c r="F817" i="1"/>
  <c r="C79" i="1"/>
  <c r="F1202" i="1"/>
  <c r="C424" i="1"/>
  <c r="C107" i="1"/>
  <c r="B427" i="1"/>
  <c r="B218" i="1"/>
  <c r="F762" i="1"/>
  <c r="D214" i="1"/>
  <c r="C447" i="1"/>
  <c r="B250" i="1"/>
  <c r="C154" i="1"/>
  <c r="D278" i="1"/>
  <c r="B166" i="1"/>
  <c r="F202" i="1"/>
  <c r="E1174" i="1"/>
  <c r="F27" i="1"/>
  <c r="C499" i="1"/>
  <c r="B794" i="1"/>
  <c r="B642" i="1"/>
  <c r="D215" i="1"/>
  <c r="E937" i="1"/>
  <c r="E914" i="1"/>
  <c r="E867" i="1"/>
  <c r="C159" i="1"/>
  <c r="F989" i="1"/>
  <c r="D375" i="1"/>
  <c r="E768" i="1"/>
  <c r="D1022" i="1"/>
  <c r="B777" i="1"/>
  <c r="F1158" i="1"/>
  <c r="D399" i="1"/>
  <c r="C512" i="1"/>
  <c r="D1098" i="1"/>
  <c r="E1485" i="1"/>
  <c r="E363" i="1"/>
  <c r="E897" i="1"/>
  <c r="E904" i="1"/>
  <c r="E537" i="1"/>
  <c r="E377" i="1"/>
  <c r="E727" i="1"/>
  <c r="C378" i="1"/>
  <c r="D979" i="1"/>
  <c r="F1049" i="1"/>
  <c r="E854" i="1"/>
  <c r="B1049" i="1"/>
  <c r="E1534" i="1"/>
  <c r="F589" i="1"/>
  <c r="E225" i="1"/>
  <c r="F124" i="1"/>
  <c r="E164" i="1"/>
  <c r="E1021" i="1"/>
  <c r="F574" i="1"/>
  <c r="E1214" i="1"/>
  <c r="C149" i="1"/>
  <c r="E192" i="1"/>
  <c r="B1008" i="1"/>
  <c r="B359" i="1"/>
  <c r="F37" i="1"/>
  <c r="D192" i="1"/>
  <c r="C1097" i="1"/>
  <c r="E1224" i="1"/>
  <c r="E157" i="1"/>
  <c r="F959" i="1"/>
  <c r="C649" i="1"/>
  <c r="B583" i="1"/>
  <c r="D587" i="1"/>
  <c r="F404" i="1"/>
  <c r="F52" i="1"/>
  <c r="C337" i="1"/>
  <c r="D487" i="1"/>
  <c r="C627" i="1"/>
  <c r="E1159" i="1"/>
  <c r="B447" i="1"/>
  <c r="B57" i="1"/>
  <c r="C104" i="1"/>
  <c r="B368" i="1"/>
  <c r="B245" i="1"/>
  <c r="C1938" i="1"/>
  <c r="C1157" i="1"/>
  <c r="C304" i="1"/>
  <c r="F1122" i="1"/>
  <c r="E224" i="1"/>
  <c r="B592" i="1"/>
  <c r="F1960" i="1"/>
  <c r="B1067" i="1"/>
  <c r="E862" i="1"/>
  <c r="B47" i="1"/>
  <c r="C2018" i="1"/>
  <c r="B73" i="1"/>
  <c r="F1896" i="1"/>
  <c r="F483" i="1"/>
  <c r="B1087" i="1"/>
  <c r="F147" i="1"/>
  <c r="F417" i="1"/>
  <c r="D1831" i="1"/>
  <c r="C72" i="1"/>
  <c r="B657" i="1"/>
  <c r="D997" i="1"/>
  <c r="C1442" i="1"/>
  <c r="D438" i="1"/>
  <c r="F604" i="1"/>
  <c r="B66" i="1"/>
  <c r="C452" i="1"/>
  <c r="C808" i="1"/>
  <c r="B377" i="1"/>
  <c r="B672" i="1"/>
  <c r="F1941" i="1"/>
  <c r="F619" i="1"/>
  <c r="B1009" i="1"/>
  <c r="D709" i="1"/>
  <c r="F358" i="1"/>
  <c r="E969" i="1"/>
  <c r="F364" i="1"/>
  <c r="E984" i="1"/>
  <c r="E490" i="1"/>
  <c r="C1304" i="1"/>
  <c r="F97" i="1"/>
  <c r="D767" i="1"/>
  <c r="D228" i="1"/>
  <c r="C847" i="1"/>
  <c r="C1145" i="1"/>
  <c r="B389" i="1"/>
  <c r="D1024" i="1"/>
  <c r="C887" i="1"/>
  <c r="C934" i="1"/>
  <c r="E274" i="1"/>
  <c r="F572" i="1"/>
  <c r="D567" i="1"/>
  <c r="B149" i="1"/>
  <c r="D1207" i="1"/>
  <c r="D594" i="1"/>
  <c r="E119" i="1"/>
  <c r="B473" i="1"/>
  <c r="F402" i="1"/>
  <c r="F103" i="1"/>
  <c r="B964" i="1"/>
  <c r="E535" i="1"/>
  <c r="F623" i="1"/>
  <c r="E347" i="1"/>
  <c r="F1074" i="1"/>
  <c r="C684" i="1"/>
  <c r="D1080" i="1"/>
  <c r="C669" i="1"/>
  <c r="B1117" i="1"/>
  <c r="C1160" i="1"/>
  <c r="D1032" i="1"/>
  <c r="B779" i="1"/>
  <c r="C557" i="1"/>
  <c r="B942" i="1"/>
  <c r="F443" i="1"/>
  <c r="B94" i="1"/>
  <c r="E1207" i="1"/>
  <c r="D177" i="1"/>
  <c r="F668" i="1"/>
  <c r="F218" i="1"/>
  <c r="D989" i="1"/>
  <c r="B899" i="1"/>
  <c r="F372" i="1"/>
  <c r="E927" i="1"/>
  <c r="F38" i="1"/>
  <c r="B799" i="1"/>
  <c r="B637" i="1"/>
  <c r="C662" i="1"/>
  <c r="D54" i="1"/>
  <c r="E153" i="1"/>
  <c r="D17" i="1"/>
  <c r="D344" i="1"/>
  <c r="F309" i="1"/>
  <c r="F769" i="1"/>
  <c r="E407" i="1"/>
  <c r="D9" i="1"/>
  <c r="E594" i="1"/>
  <c r="E523" i="1"/>
  <c r="E552" i="1"/>
  <c r="F263" i="1"/>
  <c r="D1447" i="1"/>
  <c r="F512" i="1"/>
  <c r="B1907" i="1"/>
  <c r="B667" i="1"/>
  <c r="B847" i="1"/>
  <c r="D927" i="1"/>
  <c r="E522" i="1"/>
  <c r="E1996" i="1"/>
  <c r="D1137" i="1"/>
  <c r="B1908" i="1"/>
  <c r="F2001" i="1"/>
  <c r="C1545" i="1"/>
  <c r="F189" i="1"/>
  <c r="F700" i="1"/>
  <c r="C897" i="1"/>
  <c r="D1544" i="1"/>
  <c r="E1551" i="1"/>
  <c r="C269" i="1"/>
  <c r="F683" i="1"/>
  <c r="D930" i="1"/>
  <c r="E415" i="1"/>
  <c r="E308" i="1"/>
  <c r="C1167" i="1"/>
  <c r="B1002" i="1"/>
  <c r="D95" i="1"/>
  <c r="B1323" i="1"/>
  <c r="D500" i="1"/>
  <c r="B192" i="1"/>
  <c r="F164" i="1"/>
  <c r="F1339" i="1"/>
  <c r="E659" i="1"/>
  <c r="D715" i="1"/>
  <c r="C1217" i="1"/>
  <c r="B877" i="1"/>
  <c r="F449" i="1"/>
  <c r="F1129" i="1"/>
  <c r="B762" i="1"/>
  <c r="F939" i="1"/>
  <c r="F539" i="1"/>
  <c r="E769" i="1"/>
  <c r="D102" i="1"/>
  <c r="D623" i="1"/>
  <c r="B949" i="1"/>
  <c r="B235" i="1"/>
  <c r="B449" i="1"/>
  <c r="F1064" i="1"/>
  <c r="D651" i="1"/>
  <c r="D1099" i="1"/>
  <c r="D762" i="1"/>
  <c r="E967" i="1"/>
  <c r="B519" i="1"/>
  <c r="F399" i="1"/>
  <c r="C14" i="1"/>
  <c r="B229" i="1"/>
  <c r="C374" i="1"/>
  <c r="F577" i="1"/>
  <c r="D492" i="1"/>
  <c r="C1047" i="1"/>
  <c r="B1465" i="1"/>
  <c r="B19" i="1"/>
  <c r="E578" i="1"/>
  <c r="D962" i="1"/>
  <c r="E637" i="1"/>
  <c r="F1229" i="1"/>
  <c r="D1084" i="1"/>
  <c r="B1029" i="1"/>
  <c r="C729" i="1"/>
  <c r="C522" i="1"/>
  <c r="D1847" i="1"/>
  <c r="B764" i="1"/>
  <c r="C187" i="1"/>
  <c r="F734" i="1"/>
  <c r="D834" i="1"/>
  <c r="D707" i="1"/>
  <c r="C29" i="1"/>
  <c r="B254" i="1"/>
  <c r="D272" i="1"/>
  <c r="D657" i="1"/>
  <c r="E349" i="1"/>
  <c r="B40" i="1"/>
  <c r="B10" i="1"/>
  <c r="C1227" i="1"/>
  <c r="E699" i="1"/>
  <c r="C617" i="1"/>
  <c r="B342" i="1"/>
  <c r="E324" i="1"/>
  <c r="F888" i="1"/>
  <c r="E1006" i="1"/>
  <c r="E765" i="1"/>
  <c r="C1604" i="1"/>
  <c r="E75" i="1"/>
  <c r="B274" i="1"/>
  <c r="B383" i="1"/>
  <c r="D479" i="1"/>
  <c r="E162" i="1"/>
  <c r="D674" i="1"/>
  <c r="B1574" i="1"/>
  <c r="F348" i="1"/>
  <c r="C692" i="1"/>
  <c r="E98" i="1"/>
  <c r="D1037" i="1"/>
  <c r="C1017" i="1"/>
  <c r="E472" i="1"/>
  <c r="E582" i="1"/>
  <c r="E704" i="1"/>
  <c r="D654" i="1"/>
  <c r="B247" i="1"/>
  <c r="C474" i="1"/>
  <c r="F252" i="1"/>
  <c r="E748" i="1"/>
  <c r="E549" i="1"/>
  <c r="C284" i="1"/>
  <c r="B1037" i="1"/>
  <c r="D93" i="1"/>
  <c r="B995" i="1"/>
  <c r="C389" i="1"/>
  <c r="D538" i="1"/>
  <c r="E187" i="1"/>
  <c r="B854" i="1"/>
  <c r="B1022" i="1"/>
  <c r="B163" i="1"/>
  <c r="C1491" i="1"/>
  <c r="E284" i="1"/>
  <c r="C588" i="1"/>
  <c r="F737" i="1"/>
  <c r="B1531" i="1"/>
  <c r="F494" i="1"/>
  <c r="B939" i="1"/>
  <c r="B1054" i="1"/>
  <c r="B239" i="1"/>
  <c r="F592" i="1"/>
  <c r="B900" i="1"/>
  <c r="B338" i="1"/>
  <c r="F1024" i="1"/>
  <c r="D407" i="1"/>
  <c r="B954" i="1"/>
  <c r="B704" i="1"/>
  <c r="E140" i="1"/>
  <c r="F292" i="1"/>
  <c r="D1142" i="1"/>
  <c r="B287" i="1"/>
  <c r="B159" i="1"/>
  <c r="C1189" i="1"/>
  <c r="E837" i="1"/>
  <c r="F22" i="1"/>
  <c r="E892" i="1"/>
  <c r="B417" i="1"/>
  <c r="B101" i="1"/>
  <c r="F713" i="1"/>
  <c r="F1182" i="1"/>
  <c r="E977" i="1"/>
  <c r="B895" i="1"/>
  <c r="D1079" i="1"/>
  <c r="D103" i="1"/>
  <c r="B1994" i="1"/>
  <c r="C1906" i="1"/>
  <c r="C1538" i="1"/>
  <c r="D170" i="1"/>
  <c r="E1993" i="1"/>
  <c r="E1480" i="1"/>
  <c r="C1490" i="1"/>
  <c r="E839" i="1"/>
  <c r="B372" i="1"/>
  <c r="D1853" i="1"/>
  <c r="F1872" i="1"/>
  <c r="C1993" i="1"/>
  <c r="B154" i="1"/>
  <c r="D468" i="1"/>
  <c r="D267" i="1"/>
  <c r="E1528" i="1"/>
  <c r="B124" i="1"/>
  <c r="F749" i="1"/>
  <c r="D1442" i="1"/>
  <c r="D1027" i="1"/>
  <c r="E1015" i="1"/>
  <c r="C693" i="1"/>
  <c r="B634" i="1"/>
  <c r="C280" i="1"/>
  <c r="D2115" i="1"/>
  <c r="F203" i="1"/>
  <c r="D993" i="1"/>
  <c r="E766" i="1"/>
  <c r="E106" i="1"/>
  <c r="C562" i="1"/>
  <c r="B1152" i="1"/>
  <c r="F63" i="1"/>
  <c r="E782" i="1"/>
  <c r="D424" i="1"/>
  <c r="C1087" i="1"/>
  <c r="D79" i="1"/>
  <c r="C287" i="1"/>
  <c r="D1234" i="1"/>
  <c r="E989" i="1"/>
  <c r="B527" i="1"/>
  <c r="C362" i="1"/>
  <c r="D1531" i="1"/>
  <c r="C939" i="1"/>
  <c r="E924" i="1"/>
  <c r="D666" i="1"/>
  <c r="C324" i="1"/>
  <c r="C709" i="1"/>
  <c r="D427" i="1"/>
  <c r="B663" i="1"/>
  <c r="C458" i="1"/>
  <c r="C1117" i="1"/>
  <c r="F149" i="1"/>
  <c r="D512" i="1"/>
  <c r="D659" i="1"/>
  <c r="C987" i="1"/>
  <c r="C1249" i="1"/>
  <c r="B944" i="1"/>
  <c r="B754" i="1"/>
  <c r="B1174" i="1"/>
  <c r="F239" i="1"/>
  <c r="E959" i="1"/>
  <c r="E587" i="1"/>
  <c r="B564" i="1"/>
  <c r="E627" i="1"/>
  <c r="B910" i="1"/>
  <c r="E974" i="1"/>
  <c r="C507" i="1"/>
  <c r="C255" i="1"/>
  <c r="E1024" i="1"/>
  <c r="E887" i="1"/>
  <c r="F1227" i="1"/>
  <c r="E177" i="1"/>
  <c r="E1047" i="1"/>
  <c r="E1227" i="1"/>
  <c r="F947" i="1"/>
  <c r="D1002" i="1"/>
  <c r="D1227" i="1"/>
  <c r="C214" i="1"/>
  <c r="B652" i="1"/>
  <c r="B145" i="1"/>
  <c r="B865" i="1"/>
  <c r="E857" i="1"/>
  <c r="D208" i="1"/>
  <c r="F1619" i="1"/>
  <c r="F729" i="1"/>
  <c r="C902" i="1"/>
  <c r="F9" i="1"/>
  <c r="F314" i="1"/>
  <c r="C112" i="1"/>
  <c r="B1462" i="1"/>
  <c r="B1959" i="1"/>
  <c r="F1867" i="1"/>
  <c r="C893" i="1"/>
  <c r="F1919" i="1"/>
  <c r="F1567" i="1"/>
  <c r="D1565" i="1"/>
  <c r="D1119" i="1"/>
  <c r="F634" i="1"/>
  <c r="E1896" i="1"/>
  <c r="C1928" i="1"/>
  <c r="B1334" i="1"/>
  <c r="C524" i="1"/>
  <c r="F21" i="1"/>
  <c r="D1089" i="1"/>
  <c r="D863" i="1"/>
  <c r="C1344" i="1"/>
  <c r="D1054" i="1"/>
  <c r="F205" i="1"/>
  <c r="C184" i="1"/>
  <c r="D59" i="1"/>
  <c r="B198" i="1"/>
  <c r="D239" i="1"/>
  <c r="D597" i="1"/>
  <c r="D297" i="1"/>
  <c r="C204" i="1"/>
  <c r="C844" i="1"/>
  <c r="B323" i="1"/>
  <c r="B1955" i="1"/>
  <c r="C243" i="1"/>
  <c r="D747" i="1"/>
  <c r="D552" i="1"/>
  <c r="E190" i="1"/>
  <c r="C333" i="1"/>
  <c r="B574" i="1"/>
  <c r="C1053" i="1"/>
  <c r="F830" i="1"/>
  <c r="E84" i="1"/>
  <c r="F562" i="1"/>
  <c r="C1174" i="1"/>
  <c r="D609" i="1"/>
  <c r="C950" i="1"/>
  <c r="B322" i="1"/>
  <c r="C1903" i="1"/>
  <c r="C464" i="1"/>
  <c r="E322" i="1"/>
  <c r="E299" i="1"/>
  <c r="B407" i="1"/>
  <c r="E33" i="1"/>
  <c r="D819" i="1"/>
  <c r="E38" i="1"/>
  <c r="F177" i="1"/>
  <c r="C17" i="1"/>
  <c r="F1039" i="1"/>
  <c r="B114" i="1"/>
  <c r="B292" i="1"/>
  <c r="C882" i="1"/>
  <c r="F19" i="1"/>
  <c r="C539" i="1"/>
  <c r="C208" i="1"/>
  <c r="D787" i="1"/>
  <c r="E232" i="1"/>
  <c r="B41" i="1"/>
  <c r="E125" i="1"/>
  <c r="E1119" i="1"/>
  <c r="B129" i="1"/>
  <c r="C427" i="1"/>
  <c r="F514" i="1"/>
  <c r="D202" i="1"/>
  <c r="E362" i="1"/>
  <c r="F1537" i="1"/>
  <c r="E1109" i="1"/>
  <c r="D77" i="1"/>
  <c r="B1057" i="1"/>
  <c r="C651" i="1"/>
  <c r="E393" i="1"/>
  <c r="F183" i="1"/>
  <c r="D778" i="1"/>
  <c r="F306" i="1"/>
  <c r="F1032" i="1"/>
  <c r="F1961" i="1"/>
  <c r="F359" i="1"/>
  <c r="D1495" i="1"/>
  <c r="C647" i="1"/>
  <c r="D1542" i="1"/>
  <c r="D269" i="1"/>
  <c r="F732" i="1"/>
  <c r="F273" i="1"/>
  <c r="C177" i="1"/>
  <c r="D627" i="1"/>
  <c r="B142" i="1"/>
  <c r="F1489" i="1"/>
  <c r="B722" i="1"/>
  <c r="D1485" i="1"/>
  <c r="E409" i="1"/>
  <c r="F796" i="1"/>
  <c r="C938" i="1"/>
  <c r="C638" i="1"/>
  <c r="E998" i="1"/>
  <c r="F608" i="1"/>
  <c r="D147" i="1"/>
  <c r="F528" i="1"/>
  <c r="B1144" i="1"/>
  <c r="D118" i="1"/>
  <c r="F707" i="1"/>
  <c r="F1042" i="1"/>
  <c r="F282" i="1"/>
  <c r="C457" i="1"/>
  <c r="E474" i="1"/>
  <c r="C1102" i="1"/>
  <c r="C812" i="1"/>
  <c r="C1688" i="1"/>
  <c r="F997" i="1"/>
  <c r="E283" i="1"/>
  <c r="B100" i="1"/>
  <c r="E639" i="1"/>
  <c r="B374" i="1"/>
  <c r="C87" i="1"/>
  <c r="E919" i="1"/>
  <c r="C1024" i="1"/>
  <c r="B130" i="1"/>
  <c r="B38" i="1"/>
  <c r="F1222" i="1"/>
  <c r="D854" i="1"/>
  <c r="C1064" i="1"/>
  <c r="F747" i="1"/>
  <c r="D1044" i="1"/>
  <c r="E204" i="1"/>
  <c r="D130" i="1"/>
  <c r="C877" i="1"/>
  <c r="F1067" i="1"/>
  <c r="E53" i="1"/>
  <c r="B708" i="1"/>
  <c r="F1192" i="1"/>
  <c r="F542" i="1"/>
  <c r="D999" i="1"/>
  <c r="D99" i="1"/>
  <c r="D1012" i="1"/>
  <c r="F117" i="1"/>
  <c r="B211" i="1"/>
  <c r="B393" i="1"/>
  <c r="E1429" i="1"/>
  <c r="F1107" i="1"/>
  <c r="E709" i="1"/>
  <c r="D667" i="1"/>
  <c r="B53" i="1"/>
  <c r="E514" i="1"/>
  <c r="F972" i="1"/>
  <c r="E152" i="1"/>
  <c r="E1509" i="1"/>
  <c r="D123" i="1"/>
  <c r="C332" i="1"/>
  <c r="E88" i="1"/>
  <c r="C807" i="1"/>
  <c r="B72" i="1"/>
  <c r="D614" i="1"/>
  <c r="E242" i="1"/>
  <c r="D240" i="1"/>
  <c r="E784" i="1"/>
  <c r="F429" i="1"/>
  <c r="C940" i="1"/>
  <c r="E1104" i="1"/>
  <c r="F1037" i="1"/>
  <c r="B992" i="1"/>
  <c r="D732" i="1"/>
  <c r="D1968" i="1"/>
  <c r="F342" i="1"/>
  <c r="E1199" i="1"/>
  <c r="C717" i="1"/>
  <c r="F482" i="1"/>
  <c r="B32" i="1"/>
  <c r="E427" i="1"/>
  <c r="F1876" i="1"/>
  <c r="D1982" i="1"/>
  <c r="E532" i="1"/>
  <c r="C132" i="1"/>
  <c r="D1984" i="1"/>
  <c r="C1648" i="1"/>
  <c r="B1291" i="1"/>
  <c r="F813" i="1"/>
  <c r="B356" i="1"/>
  <c r="D1013" i="1"/>
  <c r="B649" i="1"/>
  <c r="E932" i="1"/>
  <c r="E970" i="1"/>
  <c r="E1234" i="1"/>
  <c r="E1042" i="1"/>
  <c r="F260" i="1"/>
  <c r="E792" i="1"/>
  <c r="D144" i="1"/>
  <c r="B3" i="1"/>
  <c r="B848" i="1"/>
  <c r="F1022" i="1"/>
  <c r="B862" i="1"/>
  <c r="B281" i="1"/>
  <c r="C484" i="1"/>
  <c r="F109" i="1"/>
  <c r="D1204" i="1"/>
  <c r="C265" i="1"/>
  <c r="B1167" i="1"/>
  <c r="C227" i="1"/>
  <c r="E468" i="1"/>
  <c r="C68" i="1"/>
  <c r="B718" i="1"/>
  <c r="E394" i="1"/>
  <c r="B1148" i="1"/>
  <c r="C699" i="1"/>
  <c r="E558" i="1"/>
  <c r="B403" i="1"/>
  <c r="B952" i="1"/>
  <c r="D1069" i="1"/>
  <c r="E524" i="1"/>
  <c r="C817" i="1"/>
  <c r="C442" i="1"/>
  <c r="B1129" i="1"/>
  <c r="B559" i="1"/>
  <c r="C697" i="1"/>
  <c r="B1017" i="1"/>
  <c r="D122" i="1"/>
  <c r="C1624" i="1"/>
  <c r="F518" i="1"/>
  <c r="F457" i="1"/>
  <c r="E387" i="1"/>
  <c r="F764" i="1"/>
  <c r="C399" i="1"/>
  <c r="E89" i="1"/>
  <c r="D367" i="1"/>
  <c r="F622" i="1"/>
  <c r="D830" i="1"/>
  <c r="D894" i="1"/>
  <c r="B892" i="1"/>
  <c r="D1104" i="1"/>
  <c r="C239" i="1"/>
  <c r="E4" i="1"/>
  <c r="E24" i="1"/>
  <c r="B349" i="1"/>
  <c r="B70" i="1"/>
  <c r="F519" i="1"/>
  <c r="E562" i="1"/>
  <c r="C637" i="1"/>
  <c r="E105" i="1"/>
  <c r="F287" i="1"/>
  <c r="E962" i="1"/>
  <c r="D190" i="1"/>
  <c r="F999" i="1"/>
  <c r="F922" i="1"/>
  <c r="C1127" i="1"/>
  <c r="D1945" i="1"/>
  <c r="E752" i="1"/>
  <c r="E1132" i="1"/>
  <c r="B887" i="1"/>
  <c r="B1861" i="1"/>
  <c r="F1942" i="1"/>
  <c r="B272" i="1"/>
  <c r="B296" i="1"/>
  <c r="C613" i="1"/>
  <c r="E943" i="1"/>
  <c r="B1394" i="1"/>
  <c r="C835" i="1"/>
  <c r="E473" i="1"/>
  <c r="E81" i="1"/>
  <c r="E860" i="1"/>
  <c r="E754" i="1"/>
  <c r="F998" i="1"/>
  <c r="C390" i="1"/>
  <c r="F277" i="1"/>
  <c r="E1217" i="1"/>
  <c r="C839" i="1"/>
  <c r="F934" i="1"/>
  <c r="E9" i="1"/>
  <c r="F924" i="1"/>
  <c r="F809" i="1"/>
  <c r="B408" i="1"/>
  <c r="D992" i="1"/>
  <c r="E379" i="1"/>
  <c r="C1179" i="1"/>
  <c r="B266" i="1"/>
  <c r="F614" i="1"/>
  <c r="F994" i="1"/>
  <c r="C1057" i="1"/>
  <c r="E1052" i="1"/>
  <c r="C1022" i="1"/>
  <c r="E909" i="1"/>
  <c r="C549" i="1"/>
  <c r="F240" i="1"/>
  <c r="C394" i="1"/>
  <c r="F32" i="1"/>
  <c r="C459" i="1"/>
  <c r="F532" i="1"/>
  <c r="E1027" i="1"/>
  <c r="E1129" i="1"/>
  <c r="D563" i="1"/>
  <c r="C599" i="1"/>
  <c r="E533" i="1"/>
  <c r="D1359" i="1"/>
  <c r="E849" i="1"/>
  <c r="B555" i="1"/>
  <c r="C548" i="1"/>
  <c r="E59" i="1"/>
  <c r="D84" i="1"/>
  <c r="E128" i="1"/>
  <c r="B122" i="1"/>
  <c r="B509" i="1"/>
  <c r="E624" i="1"/>
  <c r="F264" i="1"/>
  <c r="E237" i="1"/>
  <c r="E154" i="1"/>
  <c r="C264" i="1"/>
  <c r="B147" i="1"/>
  <c r="B924" i="1"/>
  <c r="C314" i="1"/>
  <c r="C8" i="1"/>
  <c r="C317" i="1"/>
  <c r="C809" i="1"/>
  <c r="E429" i="1"/>
  <c r="B20" i="1"/>
  <c r="E528" i="1"/>
  <c r="F77" i="1"/>
  <c r="F1172" i="1"/>
  <c r="B547" i="1"/>
  <c r="D313" i="1"/>
  <c r="B674" i="1"/>
  <c r="C297" i="1"/>
  <c r="E197" i="1"/>
  <c r="D1460" i="1"/>
  <c r="B1044" i="1"/>
  <c r="D717" i="1"/>
  <c r="B162" i="1"/>
  <c r="B947" i="1"/>
  <c r="D593" i="1"/>
  <c r="C757" i="1"/>
  <c r="D94" i="1"/>
  <c r="F657" i="1"/>
  <c r="D235" i="1"/>
  <c r="D238" i="1"/>
  <c r="B282" i="1"/>
  <c r="C1029" i="1"/>
  <c r="D1222" i="1"/>
  <c r="F59" i="1"/>
  <c r="B1227" i="1"/>
  <c r="D944" i="1"/>
  <c r="D133" i="1"/>
  <c r="C192" i="1"/>
  <c r="F105" i="1"/>
  <c r="D817" i="1"/>
  <c r="E1194" i="1"/>
  <c r="F142" i="1"/>
  <c r="D607" i="1"/>
  <c r="F179" i="1"/>
  <c r="F743" i="1"/>
  <c r="E309" i="1"/>
  <c r="D964" i="1"/>
  <c r="D1088" i="1"/>
  <c r="E778" i="1"/>
  <c r="D138" i="1"/>
  <c r="F34" i="1"/>
  <c r="F1059" i="1"/>
  <c r="C122" i="1"/>
  <c r="C193" i="1"/>
  <c r="B462" i="1"/>
  <c r="F172" i="1"/>
  <c r="F1429" i="1"/>
  <c r="F535" i="1"/>
  <c r="B314" i="1"/>
  <c r="F57" i="1"/>
  <c r="C918" i="1"/>
  <c r="B1202" i="1"/>
  <c r="E569" i="1"/>
  <c r="E353" i="1"/>
  <c r="F450" i="1"/>
  <c r="F344" i="1"/>
  <c r="C1043" i="1"/>
  <c r="F113" i="1"/>
  <c r="B185" i="1"/>
  <c r="B498" i="1"/>
  <c r="E1029" i="1"/>
  <c r="D870" i="1"/>
  <c r="C538" i="1"/>
  <c r="B34" i="1"/>
  <c r="C1010" i="1"/>
  <c r="F293" i="1"/>
  <c r="B431" i="1"/>
  <c r="E70" i="1"/>
  <c r="B36" i="1"/>
  <c r="B97" i="1"/>
  <c r="F1149" i="1"/>
  <c r="C1103" i="1"/>
  <c r="F377" i="1"/>
  <c r="E1172" i="1"/>
  <c r="C860" i="1"/>
  <c r="C1132" i="1"/>
  <c r="B692" i="1"/>
  <c r="F437" i="1"/>
  <c r="D582" i="1"/>
  <c r="F448" i="1"/>
  <c r="B353" i="1"/>
  <c r="C849" i="1"/>
  <c r="E113" i="1"/>
  <c r="E95" i="1"/>
  <c r="C1574" i="1"/>
  <c r="E99" i="1"/>
  <c r="F1134" i="1"/>
  <c r="F778" i="1"/>
  <c r="E933" i="1"/>
  <c r="E1023" i="1"/>
  <c r="B917" i="1"/>
  <c r="B171" i="1"/>
  <c r="B433" i="1"/>
  <c r="F524" i="1"/>
  <c r="F289" i="1"/>
  <c r="C763" i="1"/>
  <c r="D1039" i="1"/>
  <c r="C977" i="1"/>
  <c r="F782" i="1"/>
  <c r="F439" i="1"/>
  <c r="C1149" i="1"/>
  <c r="B532" i="1"/>
  <c r="C724" i="1"/>
  <c r="F579" i="1"/>
  <c r="E1092" i="1"/>
  <c r="D789" i="1"/>
  <c r="B937" i="1"/>
  <c r="C278" i="1"/>
  <c r="B824" i="1"/>
  <c r="C52" i="1"/>
  <c r="C307" i="1"/>
  <c r="D227" i="1"/>
  <c r="C754" i="1"/>
  <c r="B529" i="1"/>
  <c r="D772" i="1"/>
  <c r="F507" i="1"/>
  <c r="F28" i="1"/>
  <c r="B339" i="1"/>
  <c r="D387" i="1"/>
  <c r="F1077" i="1"/>
  <c r="F298" i="1"/>
  <c r="B344" i="1"/>
  <c r="F328" i="1"/>
  <c r="F883" i="1"/>
  <c r="C962" i="1"/>
  <c r="E54" i="1"/>
  <c r="F184" i="1"/>
  <c r="B719" i="1"/>
  <c r="E419" i="1"/>
  <c r="E1022" i="1"/>
  <c r="B419" i="1"/>
  <c r="C153" i="1"/>
  <c r="B817" i="1"/>
  <c r="F312" i="1"/>
  <c r="F1486" i="1"/>
  <c r="B364" i="1"/>
  <c r="F219" i="1"/>
  <c r="D1564" i="1"/>
  <c r="D1959" i="1"/>
  <c r="F1907" i="1"/>
  <c r="D449" i="1"/>
  <c r="C1229" i="1"/>
  <c r="F1922" i="1"/>
  <c r="C339" i="1"/>
  <c r="F697" i="1"/>
  <c r="E1977" i="1"/>
  <c r="B1497" i="1"/>
  <c r="B494" i="1"/>
  <c r="C94" i="1"/>
  <c r="E1834" i="1"/>
  <c r="E1838" i="1"/>
  <c r="B119" i="1"/>
  <c r="F1917" i="1"/>
  <c r="D2019" i="1"/>
  <c r="E22" i="1"/>
  <c r="F1492" i="1"/>
  <c r="F1476" i="1"/>
  <c r="F1487" i="1"/>
  <c r="E1899" i="1"/>
  <c r="B262" i="1"/>
  <c r="E2" i="1"/>
  <c r="F1921" i="1"/>
  <c r="D129" i="1"/>
  <c r="C247" i="1"/>
  <c r="B1147" i="1"/>
  <c r="C867" i="1"/>
  <c r="B214" i="1"/>
  <c r="C1522" i="1"/>
  <c r="E722" i="1"/>
  <c r="B1481" i="1"/>
  <c r="C1947" i="1"/>
  <c r="E1529" i="1"/>
  <c r="E1496" i="1"/>
  <c r="B178" i="1"/>
  <c r="D802" i="1"/>
  <c r="D1466" i="1"/>
  <c r="F464" i="1"/>
  <c r="B213" i="1"/>
  <c r="E544" i="1"/>
  <c r="B152" i="1"/>
  <c r="C1901" i="1"/>
  <c r="D967" i="1"/>
  <c r="D47" i="1"/>
  <c r="D437" i="1"/>
  <c r="C197" i="1"/>
  <c r="E1853" i="1"/>
  <c r="D1184" i="1"/>
  <c r="B897" i="1"/>
  <c r="D1918" i="1"/>
  <c r="B1229" i="1"/>
  <c r="E1870" i="1"/>
  <c r="C1960" i="1"/>
  <c r="E2011" i="1"/>
  <c r="D2005" i="1"/>
  <c r="B933" i="1"/>
  <c r="B1918" i="1"/>
  <c r="F1564" i="1"/>
  <c r="C2008" i="1"/>
  <c r="B1983" i="1"/>
  <c r="D1511" i="1"/>
  <c r="E137" i="1"/>
  <c r="E1929" i="1"/>
  <c r="E1859" i="1"/>
  <c r="B164" i="1"/>
  <c r="F1983" i="1"/>
  <c r="C842" i="1"/>
  <c r="C1480" i="1"/>
  <c r="C928" i="1"/>
  <c r="C219" i="1"/>
  <c r="E2008" i="1"/>
  <c r="C2017" i="1"/>
  <c r="B1879" i="1"/>
  <c r="B1890" i="1"/>
  <c r="F1884" i="1"/>
  <c r="D1877" i="1"/>
  <c r="D1874" i="1"/>
  <c r="D1507" i="1"/>
  <c r="F1479" i="1"/>
  <c r="C914" i="1"/>
  <c r="B1856" i="1"/>
  <c r="E1883" i="1"/>
  <c r="D504" i="1"/>
  <c r="F659" i="1"/>
  <c r="E385" i="1"/>
  <c r="C804" i="1"/>
  <c r="B313" i="1"/>
  <c r="E479" i="1"/>
  <c r="B155" i="1"/>
  <c r="E669" i="1"/>
  <c r="D822" i="1"/>
  <c r="D1841" i="1"/>
  <c r="D812" i="1"/>
  <c r="B11" i="1"/>
  <c r="D339" i="1"/>
  <c r="E1167" i="1"/>
  <c r="C1487" i="1"/>
  <c r="B1454" i="1"/>
  <c r="F1027" i="1"/>
  <c r="B883" i="1"/>
  <c r="C64" i="1"/>
  <c r="D913" i="1"/>
  <c r="F1109" i="1"/>
  <c r="D152" i="1"/>
  <c r="E1464" i="1"/>
  <c r="B1987" i="1"/>
  <c r="F1883" i="1"/>
  <c r="F1460" i="1"/>
  <c r="D879" i="1"/>
  <c r="D1470" i="1"/>
  <c r="E554" i="1"/>
  <c r="F1530" i="1"/>
  <c r="B26" i="1"/>
  <c r="B231" i="1"/>
  <c r="E1484" i="1"/>
  <c r="D1985" i="1"/>
  <c r="C1981" i="1"/>
  <c r="C1966" i="1"/>
  <c r="F258" i="1"/>
  <c r="D1477" i="1"/>
  <c r="B1923" i="1"/>
  <c r="C372" i="1"/>
  <c r="C1062" i="1"/>
  <c r="C774" i="1"/>
  <c r="D382" i="1"/>
  <c r="E1543" i="1"/>
  <c r="E737" i="1"/>
  <c r="B707" i="1"/>
  <c r="E1898" i="1"/>
  <c r="C1876" i="1"/>
  <c r="C1893" i="1"/>
  <c r="D1912" i="1"/>
  <c r="B834" i="1"/>
  <c r="E1874" i="1"/>
  <c r="F1842" i="1"/>
  <c r="B61" i="1"/>
  <c r="F647" i="1"/>
  <c r="E74" i="1"/>
  <c r="C1518" i="1"/>
  <c r="C382" i="1"/>
  <c r="B232" i="1"/>
  <c r="B1997" i="1"/>
  <c r="C1857" i="1"/>
  <c r="C82" i="1"/>
  <c r="F815" i="1"/>
  <c r="B2" i="1"/>
  <c r="B732" i="1"/>
  <c r="F649" i="1"/>
  <c r="B677" i="1"/>
  <c r="E12" i="1"/>
  <c r="B1829" i="1"/>
  <c r="E1937" i="1"/>
  <c r="B89" i="1"/>
  <c r="B180" i="1"/>
  <c r="F2019" i="1"/>
  <c r="E1900" i="1"/>
  <c r="F1969" i="1"/>
  <c r="C2004" i="1"/>
  <c r="D1467" i="1"/>
  <c r="F1962" i="1"/>
  <c r="E492" i="1"/>
  <c r="C1443" i="1"/>
  <c r="F102" i="1"/>
  <c r="B1424" i="1"/>
  <c r="C689" i="1"/>
  <c r="F1928" i="1"/>
  <c r="E734" i="1"/>
  <c r="D869" i="1"/>
  <c r="D1062" i="1"/>
  <c r="D212" i="1"/>
  <c r="B602" i="1"/>
  <c r="E317" i="1"/>
  <c r="F1923" i="1"/>
  <c r="B1112" i="1"/>
  <c r="E1964" i="1"/>
  <c r="B302" i="1"/>
  <c r="C1566" i="1"/>
  <c r="E814" i="1"/>
  <c r="F187" i="1"/>
  <c r="F1535" i="1"/>
  <c r="F143" i="1"/>
  <c r="B14" i="1"/>
  <c r="B512" i="1"/>
  <c r="E459" i="1"/>
  <c r="F724" i="1"/>
  <c r="D1896" i="1"/>
  <c r="F814" i="1"/>
  <c r="B203" i="1"/>
  <c r="F174" i="1"/>
  <c r="B86" i="1"/>
  <c r="D1474" i="1"/>
  <c r="D497" i="1"/>
  <c r="B62" i="1"/>
  <c r="B422" i="1"/>
  <c r="D337" i="1"/>
  <c r="F1471" i="1"/>
  <c r="B587" i="1"/>
  <c r="B312" i="1"/>
  <c r="F907" i="1"/>
  <c r="C502" i="1"/>
  <c r="E1541" i="1"/>
  <c r="D1567" i="1"/>
  <c r="E1869" i="1"/>
  <c r="F489" i="1"/>
  <c r="D952" i="1"/>
  <c r="B1868" i="1"/>
  <c r="F1976" i="1"/>
  <c r="D1991" i="1"/>
  <c r="E72" i="1"/>
  <c r="D1861" i="1"/>
  <c r="E129" i="1"/>
  <c r="D832" i="1"/>
  <c r="B354" i="1"/>
  <c r="C57" i="1"/>
  <c r="D1499" i="1"/>
  <c r="E1918" i="1"/>
  <c r="E1848" i="1"/>
  <c r="B639" i="1"/>
  <c r="D1448" i="1"/>
  <c r="F1457" i="1"/>
  <c r="B842" i="1"/>
  <c r="D953" i="1"/>
  <c r="B1988" i="1"/>
  <c r="C1999" i="1"/>
  <c r="B23" i="1"/>
  <c r="E832" i="1"/>
  <c r="D1545" i="1"/>
  <c r="E567" i="1"/>
  <c r="B120" i="1"/>
  <c r="C2006" i="1"/>
  <c r="C1466" i="1"/>
  <c r="B1563" i="1"/>
  <c r="E1554" i="1"/>
  <c r="B9" i="1"/>
  <c r="E432" i="1"/>
  <c r="B173" i="1"/>
  <c r="D1892" i="1"/>
  <c r="D1928" i="1"/>
  <c r="C1984" i="1"/>
  <c r="E287" i="1"/>
  <c r="F1993" i="1"/>
  <c r="D1908" i="1"/>
  <c r="D1007" i="1"/>
  <c r="B1969" i="1"/>
  <c r="D1891" i="1"/>
  <c r="F1943" i="1"/>
  <c r="F1859" i="1"/>
  <c r="D259" i="1"/>
  <c r="B1992" i="1"/>
  <c r="B2008" i="1"/>
  <c r="E1954" i="1"/>
  <c r="E327" i="1"/>
  <c r="D1530" i="1"/>
  <c r="E1862" i="1"/>
  <c r="B25" i="1"/>
  <c r="D1454" i="1"/>
  <c r="E1912" i="1"/>
  <c r="F1533" i="1"/>
  <c r="D1496" i="1"/>
  <c r="E652" i="1"/>
  <c r="D179" i="1"/>
  <c r="E502" i="1"/>
  <c r="E48" i="1"/>
  <c r="B1169" i="1"/>
  <c r="F1153" i="1"/>
  <c r="D72" i="1"/>
  <c r="C1908" i="1"/>
  <c r="B90" i="1"/>
  <c r="B1132" i="1"/>
  <c r="F1448" i="1"/>
  <c r="B782" i="1"/>
  <c r="C1899" i="1"/>
  <c r="E114" i="1"/>
  <c r="B1853" i="1"/>
  <c r="B988" i="1"/>
  <c r="E1968" i="1"/>
  <c r="B629" i="1"/>
  <c r="B327" i="1"/>
  <c r="E1835" i="1"/>
  <c r="F1869" i="1"/>
  <c r="C1162" i="1"/>
  <c r="D712" i="1"/>
  <c r="D187" i="1"/>
  <c r="C402" i="1"/>
  <c r="E329" i="1"/>
  <c r="C872" i="1"/>
  <c r="D1453" i="1"/>
  <c r="F337" i="1"/>
  <c r="F1144" i="1"/>
  <c r="E1903" i="1"/>
  <c r="B1957" i="1"/>
  <c r="C554" i="1"/>
  <c r="E1122" i="1"/>
  <c r="E1948" i="1"/>
  <c r="B1471" i="1"/>
  <c r="F154" i="1"/>
  <c r="F144" i="1"/>
  <c r="F1926" i="1"/>
  <c r="B1849" i="1"/>
  <c r="D1539" i="1"/>
  <c r="E1032" i="1"/>
  <c r="B752" i="1"/>
  <c r="B1966" i="1"/>
  <c r="E1832" i="1"/>
  <c r="F1920" i="1"/>
  <c r="F447" i="1"/>
  <c r="E117" i="1"/>
  <c r="B1493" i="1"/>
  <c r="E1548" i="1"/>
  <c r="D419" i="1"/>
  <c r="F1837" i="1"/>
  <c r="C1911" i="1"/>
  <c r="B1917" i="1"/>
  <c r="E339" i="1"/>
  <c r="D7" i="1"/>
  <c r="F1958" i="1"/>
  <c r="D1878" i="1"/>
  <c r="F1835" i="1"/>
  <c r="F7" i="1"/>
  <c r="E1535" i="1"/>
  <c r="C1484" i="1"/>
  <c r="E777" i="1"/>
  <c r="E1945" i="1"/>
  <c r="F1860" i="1"/>
  <c r="D1047" i="1"/>
  <c r="D1828" i="1"/>
  <c r="C2005" i="1"/>
  <c r="E1507" i="1"/>
  <c r="C1902" i="1"/>
  <c r="D1963" i="1"/>
  <c r="C1969" i="1"/>
  <c r="F1904" i="1"/>
  <c r="D2018" i="1"/>
  <c r="B1964" i="1"/>
  <c r="F1845" i="1"/>
  <c r="C1978" i="1"/>
  <c r="D1462" i="1"/>
  <c r="E1947" i="1"/>
  <c r="E1560" i="1"/>
  <c r="D697" i="1"/>
  <c r="C1979" i="1"/>
  <c r="E1978" i="1"/>
  <c r="F1548" i="1"/>
  <c r="D1937" i="1"/>
  <c r="B1545" i="1"/>
  <c r="F1980" i="1"/>
  <c r="B1991" i="1"/>
  <c r="D1883" i="1"/>
  <c r="E1477" i="1"/>
  <c r="D24" i="1"/>
  <c r="C1897" i="1"/>
  <c r="C1922" i="1"/>
  <c r="F1072" i="1"/>
  <c r="D1560" i="1"/>
  <c r="E29" i="1"/>
  <c r="E312" i="1"/>
  <c r="F1097" i="1"/>
  <c r="B309" i="1"/>
  <c r="F452" i="1"/>
  <c r="B973" i="1"/>
  <c r="B468" i="1"/>
  <c r="D2002" i="1"/>
  <c r="F1003" i="1"/>
  <c r="F387" i="1"/>
  <c r="B4" i="1"/>
  <c r="F76" i="1"/>
  <c r="F887" i="1"/>
  <c r="C622" i="1"/>
  <c r="F1850" i="1"/>
  <c r="F1964" i="1"/>
  <c r="B1906" i="1"/>
  <c r="E707" i="1"/>
  <c r="E1911" i="1"/>
  <c r="F409" i="1"/>
  <c r="F1517" i="1"/>
  <c r="B161" i="1"/>
  <c r="E597" i="1"/>
  <c r="D1971" i="1"/>
  <c r="C1483" i="1"/>
  <c r="B28" i="1"/>
  <c r="F932" i="1"/>
  <c r="D2016" i="1"/>
  <c r="F1968" i="1"/>
  <c r="F1112" i="1"/>
  <c r="E1546" i="1"/>
  <c r="F1966" i="1"/>
  <c r="F119" i="1"/>
  <c r="B767" i="1"/>
  <c r="C1519" i="1"/>
  <c r="E1561" i="1"/>
  <c r="F952" i="1"/>
  <c r="F192" i="1"/>
  <c r="D1552" i="1"/>
  <c r="B1958" i="1"/>
  <c r="F824" i="1"/>
  <c r="E692" i="1"/>
  <c r="E469" i="1"/>
  <c r="F1187" i="1"/>
  <c r="F1998" i="1"/>
  <c r="D74" i="1"/>
  <c r="C912" i="1"/>
  <c r="C1944" i="1"/>
  <c r="D1996" i="1"/>
  <c r="E1872" i="1"/>
  <c r="C837" i="1"/>
  <c r="B1938" i="1"/>
  <c r="B1511" i="1"/>
  <c r="D1913" i="1"/>
  <c r="C714" i="1"/>
  <c r="B439" i="1"/>
  <c r="B444" i="1"/>
  <c r="C1012" i="1"/>
  <c r="F1147" i="1"/>
  <c r="C1493" i="1"/>
  <c r="E1463" i="1"/>
  <c r="B1832" i="1"/>
  <c r="B1860" i="1"/>
  <c r="D1134" i="1"/>
  <c r="C1872" i="1"/>
  <c r="B263" i="1"/>
  <c r="F712" i="1"/>
  <c r="F1525" i="1"/>
  <c r="D517" i="1"/>
  <c r="B175" i="1"/>
  <c r="C1543" i="1"/>
  <c r="F1137" i="1"/>
  <c r="B204" i="1"/>
  <c r="D902" i="1"/>
  <c r="C1954" i="1"/>
  <c r="C1844" i="1"/>
  <c r="C7" i="1"/>
  <c r="D1486" i="1"/>
  <c r="B2012" i="1"/>
  <c r="E2020" i="1"/>
  <c r="F1937" i="1"/>
  <c r="F2007" i="1"/>
  <c r="B1831" i="1"/>
  <c r="E178" i="1"/>
  <c r="F209" i="1"/>
  <c r="C130" i="1"/>
  <c r="B714" i="1"/>
  <c r="E372" i="1"/>
  <c r="F772" i="1"/>
  <c r="C517" i="1"/>
  <c r="D1187" i="1"/>
  <c r="E104" i="1"/>
  <c r="B1901" i="1"/>
  <c r="B167" i="1"/>
  <c r="B2000" i="1"/>
  <c r="C69" i="1"/>
  <c r="F324" i="1"/>
  <c r="C344" i="1"/>
  <c r="F1918" i="1"/>
  <c r="D2006" i="1"/>
  <c r="F1034" i="1"/>
  <c r="F674" i="1"/>
  <c r="F1987" i="1"/>
  <c r="C322" i="1"/>
  <c r="B113" i="1"/>
  <c r="F1524" i="1"/>
  <c r="F1924" i="1"/>
  <c r="D4" i="1"/>
  <c r="C1933" i="1"/>
  <c r="E1892" i="1"/>
  <c r="E439" i="1"/>
  <c r="D882" i="1"/>
  <c r="F1879" i="1"/>
  <c r="C1533" i="1"/>
  <c r="F138" i="1"/>
  <c r="C1828" i="1"/>
  <c r="F624" i="1"/>
  <c r="B1858" i="1"/>
  <c r="D684" i="1"/>
  <c r="C917" i="1"/>
  <c r="B102" i="1"/>
  <c r="D662" i="1"/>
  <c r="C1560" i="1"/>
  <c r="D52" i="1"/>
  <c r="C657" i="1"/>
  <c r="E478" i="1"/>
  <c r="B39" i="1"/>
  <c r="F1553" i="1"/>
  <c r="B148" i="1"/>
  <c r="C1551" i="1"/>
  <c r="E1127" i="1"/>
  <c r="E1452" i="1"/>
  <c r="C1077" i="1"/>
  <c r="E527" i="1"/>
  <c r="C747" i="1"/>
  <c r="B507" i="1"/>
  <c r="D1153" i="1"/>
  <c r="C702" i="1"/>
  <c r="C369" i="1"/>
  <c r="D672" i="1"/>
  <c r="C1910" i="1"/>
  <c r="F807" i="1"/>
  <c r="D379" i="1"/>
  <c r="D22" i="1"/>
  <c r="B194" i="1"/>
  <c r="D362" i="1"/>
  <c r="F1455" i="1"/>
  <c r="E1518" i="1"/>
  <c r="F362" i="1"/>
  <c r="E1861" i="1"/>
  <c r="C624" i="1"/>
  <c r="B977" i="1"/>
  <c r="F1157" i="1"/>
  <c r="E93" i="1"/>
  <c r="B852" i="1"/>
  <c r="B216" i="1"/>
  <c r="C38" i="1"/>
  <c r="B957" i="1"/>
  <c r="E812" i="1"/>
  <c r="C1514" i="1"/>
  <c r="D1057" i="1"/>
  <c r="E1487" i="1"/>
  <c r="B1107" i="1"/>
  <c r="F1511" i="1"/>
  <c r="F284" i="1"/>
  <c r="F1955" i="1"/>
  <c r="B1944" i="1"/>
  <c r="F849" i="1"/>
  <c r="E82" i="1"/>
  <c r="D1970" i="1"/>
  <c r="D454" i="1"/>
  <c r="B1525" i="1"/>
  <c r="E1563" i="1"/>
  <c r="C1949" i="1"/>
  <c r="D482" i="1"/>
  <c r="F1939" i="1"/>
  <c r="B1859" i="1"/>
  <c r="E584" i="1"/>
  <c r="F274" i="1"/>
  <c r="C1831" i="1"/>
  <c r="F684" i="1"/>
  <c r="D332" i="1"/>
  <c r="C469" i="1"/>
  <c r="B802" i="1"/>
  <c r="C1839" i="1"/>
  <c r="B382" i="1"/>
  <c r="E247" i="1"/>
  <c r="C2016" i="1"/>
  <c r="C1882" i="1"/>
  <c r="B1177" i="1"/>
  <c r="C194" i="1"/>
  <c r="B552" i="1"/>
  <c r="F802" i="1"/>
  <c r="C1512" i="1"/>
  <c r="B599" i="1"/>
  <c r="F717" i="1"/>
  <c r="C1007" i="1"/>
  <c r="E592" i="1"/>
  <c r="C1454" i="1"/>
  <c r="D629" i="1"/>
  <c r="F217" i="1"/>
  <c r="B1866" i="1"/>
  <c r="F1458" i="1"/>
  <c r="D134" i="1"/>
  <c r="B98" i="1"/>
  <c r="C1187" i="1"/>
  <c r="E952" i="1"/>
  <c r="B2014" i="1"/>
  <c r="E702" i="1"/>
  <c r="D702" i="1"/>
  <c r="B1834" i="1"/>
  <c r="B44" i="1"/>
  <c r="F1931" i="1"/>
  <c r="D1519" i="1"/>
  <c r="B572" i="1"/>
  <c r="C1477" i="1"/>
  <c r="C682" i="1"/>
  <c r="B1565" i="1"/>
  <c r="E1536" i="1"/>
  <c r="D2013" i="1"/>
  <c r="F1527" i="1"/>
  <c r="B809" i="1"/>
  <c r="E332" i="1"/>
  <c r="D837" i="1"/>
  <c r="D364" i="1"/>
  <c r="B347" i="1"/>
  <c r="C157" i="1"/>
  <c r="B334" i="1"/>
  <c r="B31" i="1"/>
  <c r="B227" i="1"/>
  <c r="C992" i="1"/>
  <c r="B12" i="1"/>
  <c r="D1969" i="1"/>
  <c r="F137" i="1"/>
  <c r="B1505" i="1"/>
  <c r="C997" i="1"/>
  <c r="E1839" i="1"/>
  <c r="B1450" i="1"/>
  <c r="D1224" i="1"/>
  <c r="F1978" i="1"/>
  <c r="C687" i="1"/>
  <c r="F369" i="1"/>
  <c r="E1999" i="1"/>
  <c r="D1983" i="1"/>
  <c r="D1947" i="1"/>
  <c r="F787" i="1"/>
  <c r="C1520" i="1"/>
  <c r="B727" i="1"/>
  <c r="B608" i="1"/>
  <c r="B737" i="1"/>
  <c r="C47" i="1"/>
  <c r="B117" i="1"/>
  <c r="C739" i="1"/>
  <c r="D67" i="1"/>
  <c r="E1920" i="1"/>
  <c r="F892" i="1"/>
  <c r="E817" i="1"/>
  <c r="E1828" i="1"/>
  <c r="E1933" i="1"/>
  <c r="B1472" i="1"/>
  <c r="D1469" i="1"/>
  <c r="B128" i="1"/>
  <c r="E14" i="1"/>
  <c r="D1899" i="1"/>
  <c r="D1848" i="1"/>
  <c r="D592" i="1"/>
  <c r="F672" i="1"/>
  <c r="E94" i="1"/>
  <c r="F1559" i="1"/>
  <c r="B96" i="1"/>
  <c r="E367" i="1"/>
  <c r="E1931" i="1"/>
  <c r="D1966" i="1"/>
  <c r="B1503" i="1"/>
  <c r="B699" i="1"/>
  <c r="E447" i="1"/>
  <c r="C1889" i="1"/>
  <c r="D1909" i="1"/>
  <c r="B140" i="1"/>
  <c r="F424" i="1"/>
  <c r="B1566" i="1"/>
  <c r="F1499" i="1"/>
  <c r="C533" i="1"/>
  <c r="C1862" i="1"/>
  <c r="C1452" i="1"/>
  <c r="F238" i="1"/>
  <c r="E1557" i="1"/>
  <c r="C127" i="1"/>
  <c r="C1509" i="1"/>
  <c r="E1877" i="1"/>
  <c r="D1513" i="1"/>
  <c r="B157" i="1"/>
  <c r="E1142" i="1"/>
  <c r="E1063" i="1"/>
  <c r="F418" i="1"/>
  <c r="E847" i="1"/>
  <c r="C289" i="1"/>
  <c r="D408" i="1"/>
  <c r="B116" i="1"/>
  <c r="D62" i="1"/>
  <c r="E668" i="1"/>
  <c r="C1530" i="1"/>
  <c r="C957" i="1"/>
  <c r="E1566" i="1"/>
  <c r="D1461" i="1"/>
  <c r="B1989" i="1"/>
  <c r="B500" i="1"/>
  <c r="B424" i="1"/>
  <c r="E2013" i="1"/>
  <c r="D167" i="1"/>
  <c r="B1139" i="1"/>
  <c r="D1518" i="1"/>
  <c r="E1082" i="1"/>
  <c r="F1565" i="1"/>
  <c r="E657" i="1"/>
  <c r="E1072" i="1"/>
  <c r="B972" i="1"/>
  <c r="F472" i="1"/>
  <c r="B1042" i="1"/>
  <c r="C1027" i="1"/>
  <c r="B434" i="1"/>
  <c r="C1460" i="1"/>
  <c r="D1986" i="1"/>
  <c r="B222" i="1"/>
  <c r="B1905" i="1"/>
  <c r="B1480" i="1"/>
  <c r="E1522" i="1"/>
  <c r="C22" i="1"/>
  <c r="B1552" i="1"/>
  <c r="D1858" i="1"/>
  <c r="C1884" i="1"/>
  <c r="D1524" i="1"/>
  <c r="D467" i="1"/>
  <c r="C947" i="1"/>
  <c r="D1481" i="1"/>
  <c r="D1490" i="1"/>
  <c r="B1986" i="1"/>
  <c r="B84" i="1"/>
  <c r="C1485" i="1"/>
  <c r="B1857" i="1"/>
  <c r="F1925" i="1"/>
  <c r="B103" i="1"/>
  <c r="B2004" i="1"/>
  <c r="D1946" i="1"/>
  <c r="F1843" i="1"/>
  <c r="C62" i="1"/>
  <c r="F1994" i="1"/>
  <c r="F50" i="1"/>
  <c r="E557" i="1"/>
  <c r="B92" i="1"/>
  <c r="F327" i="1"/>
  <c r="E182" i="1"/>
  <c r="D432" i="1"/>
  <c r="B997" i="1"/>
  <c r="E610" i="1"/>
  <c r="B215" i="1"/>
  <c r="E1478" i="1"/>
  <c r="B201" i="1"/>
  <c r="E1997" i="1"/>
  <c r="B1880" i="1"/>
  <c r="F64" i="1"/>
  <c r="C884" i="1"/>
  <c r="B1956" i="1"/>
  <c r="F1938" i="1"/>
  <c r="F24" i="1"/>
  <c r="C1558" i="1"/>
  <c r="D1998" i="1"/>
  <c r="E513" i="1"/>
  <c r="C787" i="1"/>
  <c r="E1994" i="1"/>
  <c r="D1003" i="1"/>
  <c r="F47" i="1"/>
  <c r="B1546" i="1"/>
  <c r="E1971" i="1"/>
  <c r="E907" i="1"/>
  <c r="F1444" i="1"/>
  <c r="F1979" i="1"/>
  <c r="E1879" i="1"/>
  <c r="D942" i="1"/>
  <c r="B1963" i="1"/>
  <c r="F1547" i="1"/>
  <c r="B1483" i="1"/>
  <c r="E822" i="1"/>
  <c r="B1520" i="1"/>
  <c r="D1177" i="1"/>
  <c r="F962" i="1"/>
  <c r="D1888" i="1"/>
  <c r="C229" i="1"/>
  <c r="E674" i="1"/>
  <c r="C273" i="1"/>
  <c r="E219" i="1"/>
  <c r="C2013" i="1"/>
  <c r="D37" i="1"/>
  <c r="C1880" i="1"/>
  <c r="F2009" i="1"/>
  <c r="D1484" i="1"/>
  <c r="D792" i="1"/>
  <c r="D2010" i="1"/>
  <c r="B332" i="1"/>
  <c r="B196" i="1"/>
  <c r="B21" i="1"/>
  <c r="D1900" i="1"/>
  <c r="D1489" i="1"/>
  <c r="F2011" i="1"/>
  <c r="C769" i="1"/>
  <c r="B146" i="1"/>
  <c r="F214" i="1"/>
  <c r="E602" i="1"/>
  <c r="F322" i="1"/>
  <c r="C134" i="1"/>
  <c r="B234" i="1"/>
  <c r="B22" i="1"/>
  <c r="B797" i="1"/>
  <c r="E279" i="1"/>
  <c r="D1562" i="1"/>
  <c r="E1846" i="1"/>
  <c r="D1473" i="1"/>
  <c r="F1988" i="1"/>
  <c r="B30" i="1"/>
  <c r="E1486" i="1"/>
  <c r="D1987" i="1"/>
  <c r="C262" i="1"/>
  <c r="D1517" i="1"/>
  <c r="D1927" i="1"/>
  <c r="E1915" i="1"/>
  <c r="E2000" i="1"/>
  <c r="B1897" i="1"/>
  <c r="B1508" i="1"/>
  <c r="C1476" i="1"/>
  <c r="D2015" i="1"/>
  <c r="E1559" i="1"/>
  <c r="B1886" i="1"/>
  <c r="D1890" i="1"/>
  <c r="C148" i="1"/>
  <c r="F168" i="1"/>
  <c r="D1884" i="1"/>
  <c r="D1922" i="1"/>
  <c r="C1974" i="1"/>
  <c r="E1448" i="1"/>
  <c r="E47" i="1"/>
  <c r="D1482" i="1"/>
  <c r="C1834" i="1"/>
  <c r="F132" i="1"/>
  <c r="C42" i="1"/>
  <c r="E1921" i="1"/>
  <c r="F1971" i="1"/>
  <c r="B1447" i="1"/>
  <c r="C32" i="1"/>
  <c r="F60" i="1"/>
  <c r="B682" i="1"/>
  <c r="F1532" i="1"/>
  <c r="E32" i="1"/>
  <c r="B110" i="1"/>
  <c r="D718" i="1"/>
  <c r="C879" i="1"/>
  <c r="E1842" i="1"/>
  <c r="C1458" i="1"/>
  <c r="B759" i="1"/>
  <c r="B304" i="1"/>
  <c r="E827" i="1"/>
  <c r="B141" i="1"/>
  <c r="B1850" i="1"/>
  <c r="E1840" i="1"/>
  <c r="C1059" i="1"/>
  <c r="B1519" i="1"/>
  <c r="E2009" i="1"/>
  <c r="B151" i="1"/>
  <c r="E1889" i="1"/>
  <c r="B358" i="1"/>
  <c r="C367" i="1"/>
  <c r="E467" i="1"/>
  <c r="E1932" i="1"/>
  <c r="E1565" i="1"/>
  <c r="B867" i="1"/>
  <c r="B1872" i="1"/>
  <c r="F1936" i="1"/>
  <c r="D1465" i="1"/>
  <c r="D44" i="1"/>
  <c r="F198" i="1"/>
  <c r="D447" i="1"/>
  <c r="D1898" i="1"/>
  <c r="D1127" i="1"/>
  <c r="B52" i="1"/>
  <c r="C1874" i="1"/>
  <c r="E1965" i="1"/>
  <c r="C565" i="1"/>
  <c r="D329" i="1"/>
  <c r="D862" i="1"/>
  <c r="C732" i="1"/>
  <c r="D857" i="1"/>
  <c r="C1934" i="1"/>
  <c r="F232" i="1"/>
  <c r="C54" i="1"/>
  <c r="F902" i="1"/>
  <c r="D1471" i="1"/>
  <c r="E1137" i="1"/>
  <c r="B432" i="1"/>
  <c r="C1957" i="1"/>
  <c r="B1943" i="1"/>
  <c r="E307" i="1"/>
  <c r="F2008" i="1"/>
  <c r="B221" i="1"/>
  <c r="B206" i="1"/>
  <c r="E132" i="1"/>
  <c r="B622" i="1"/>
  <c r="B662" i="1"/>
  <c r="B1027" i="1"/>
  <c r="D719" i="1"/>
  <c r="E497" i="1"/>
  <c r="E1117" i="1"/>
  <c r="F1861" i="1"/>
  <c r="C272" i="1"/>
  <c r="F182" i="1"/>
  <c r="D703" i="1"/>
  <c r="C619" i="1"/>
  <c r="F267" i="1"/>
  <c r="B467" i="1"/>
  <c r="F1972" i="1"/>
  <c r="E732" i="1"/>
  <c r="B1212" i="1"/>
  <c r="E1453" i="1"/>
  <c r="D495" i="1"/>
  <c r="D2003" i="1"/>
  <c r="C2002" i="1"/>
  <c r="E303" i="1"/>
  <c r="D1989" i="1"/>
  <c r="B65" i="1"/>
  <c r="B69" i="1"/>
  <c r="C179" i="1"/>
  <c r="B15" i="1"/>
  <c r="B317" i="1"/>
  <c r="D889" i="1"/>
  <c r="D1876" i="1"/>
  <c r="E714" i="1"/>
  <c r="B437" i="1"/>
  <c r="D1915" i="1"/>
  <c r="C102" i="1"/>
  <c r="E392" i="1"/>
  <c r="F42" i="1"/>
  <c r="F637" i="1"/>
  <c r="E1875" i="1"/>
  <c r="F279" i="1"/>
  <c r="F412" i="1"/>
  <c r="D647" i="1"/>
  <c r="D1546" i="1"/>
  <c r="B1842" i="1"/>
  <c r="C439" i="1"/>
  <c r="C1354" i="1"/>
  <c r="E947" i="1"/>
  <c r="D2001" i="1"/>
  <c r="E1537" i="1"/>
  <c r="F917" i="1"/>
  <c r="E67" i="1"/>
  <c r="D872" i="1"/>
  <c r="F1446" i="1"/>
  <c r="C737" i="1"/>
  <c r="C932" i="1"/>
  <c r="B1922" i="1"/>
  <c r="E1923" i="1"/>
  <c r="C1445" i="1"/>
  <c r="C667" i="1"/>
  <c r="D402" i="1"/>
  <c r="E1935" i="1"/>
  <c r="F1465" i="1"/>
  <c r="D542" i="1"/>
  <c r="D372" i="1"/>
  <c r="E1556" i="1"/>
  <c r="C1448" i="1"/>
  <c r="D849" i="1"/>
  <c r="F1935" i="1"/>
  <c r="C1486" i="1"/>
  <c r="B479" i="1"/>
  <c r="C1525" i="1"/>
  <c r="E1865" i="1"/>
  <c r="B1893" i="1"/>
  <c r="D349" i="1"/>
  <c r="F1863" i="1"/>
  <c r="B1491" i="1"/>
  <c r="B33" i="1"/>
  <c r="F894" i="1"/>
  <c r="E1963" i="1"/>
  <c r="F2003" i="1"/>
  <c r="D1975" i="1"/>
  <c r="E1482" i="1"/>
  <c r="E1503" i="1"/>
  <c r="B1551" i="1"/>
  <c r="D34" i="1"/>
  <c r="F882" i="1"/>
  <c r="B43" i="1"/>
  <c r="B1839" i="1"/>
  <c r="C199" i="1"/>
  <c r="C141" i="1"/>
  <c r="D1935" i="1"/>
  <c r="F819" i="1"/>
  <c r="B80" i="1"/>
  <c r="C1124" i="1"/>
  <c r="D727" i="1"/>
  <c r="F280" i="1"/>
  <c r="F1889" i="1"/>
  <c r="B1942" i="1"/>
  <c r="B223" i="1"/>
  <c r="D1894" i="1"/>
  <c r="E1950" i="1"/>
  <c r="F1541" i="1"/>
  <c r="D642" i="1"/>
  <c r="C1547" i="1"/>
  <c r="C1479" i="1"/>
  <c r="B202" i="1"/>
  <c r="B1512" i="1"/>
  <c r="B1931" i="1"/>
  <c r="C83" i="1"/>
  <c r="B1062" i="1"/>
  <c r="F1493" i="1"/>
  <c r="C792" i="1"/>
  <c r="D1197" i="1"/>
  <c r="B402" i="1"/>
  <c r="E1192" i="1"/>
  <c r="D309" i="1"/>
  <c r="F937" i="1"/>
  <c r="D452" i="1"/>
  <c r="D327" i="1"/>
  <c r="C919" i="1"/>
  <c r="F1882" i="1"/>
  <c r="C1909" i="1"/>
  <c r="F197" i="1"/>
  <c r="E298" i="1"/>
  <c r="B1838" i="1"/>
  <c r="F1212" i="1"/>
  <c r="B1484" i="1"/>
  <c r="B1012" i="1"/>
  <c r="D27" i="1"/>
  <c r="D1548" i="1"/>
  <c r="B1909" i="1"/>
  <c r="C1451" i="1"/>
  <c r="F1948" i="1"/>
  <c r="F767" i="1"/>
  <c r="E1524" i="1"/>
  <c r="B1451" i="1"/>
  <c r="D397" i="1"/>
  <c r="D509" i="1"/>
  <c r="C1925" i="1"/>
  <c r="C742" i="1"/>
  <c r="B1567" i="1"/>
  <c r="C432" i="1"/>
  <c r="F1855" i="1"/>
  <c r="E1958" i="1"/>
  <c r="C1511" i="1"/>
  <c r="B1329" i="1"/>
  <c r="D1836" i="1"/>
  <c r="F1990" i="1"/>
  <c r="E529" i="1"/>
  <c r="E252" i="1"/>
  <c r="F1543" i="1"/>
  <c r="F904" i="1"/>
  <c r="B168" i="1"/>
  <c r="B1486" i="1"/>
  <c r="F485" i="1"/>
  <c r="D312" i="1"/>
  <c r="F2006" i="1"/>
  <c r="E992" i="1"/>
  <c r="F1852" i="1"/>
  <c r="C2000" i="1"/>
  <c r="C707" i="1"/>
  <c r="E452" i="1"/>
  <c r="C1970" i="1"/>
  <c r="F797" i="1"/>
  <c r="C1937" i="1"/>
  <c r="E677" i="1"/>
  <c r="F1900" i="1"/>
  <c r="D1906" i="1"/>
  <c r="F1445" i="1"/>
  <c r="C1942" i="1"/>
  <c r="F1839" i="1"/>
  <c r="F1560" i="1"/>
  <c r="E2017" i="1"/>
  <c r="B1968" i="1"/>
  <c r="D1566" i="1"/>
  <c r="D1867" i="1"/>
  <c r="D1523" i="1"/>
  <c r="B1888" i="1"/>
  <c r="E1882" i="1"/>
  <c r="B1560" i="1"/>
  <c r="D1555" i="1"/>
  <c r="C302" i="1"/>
  <c r="F1469" i="1"/>
  <c r="E2005" i="1"/>
  <c r="E1974" i="1"/>
  <c r="D319" i="1"/>
  <c r="D527" i="1"/>
  <c r="E449" i="1"/>
  <c r="F652" i="1"/>
  <c r="C76" i="1"/>
  <c r="D617" i="1"/>
  <c r="E712" i="1"/>
  <c r="D265" i="1"/>
  <c r="B1962" i="1"/>
  <c r="D1829" i="1"/>
  <c r="B1496" i="1"/>
  <c r="E2001" i="1"/>
  <c r="D1503" i="1"/>
  <c r="E1905" i="1"/>
  <c r="B112" i="1"/>
  <c r="C74" i="1"/>
  <c r="E898" i="1"/>
  <c r="C527" i="1"/>
  <c r="D1974" i="1"/>
  <c r="C1977" i="1"/>
  <c r="D1017" i="1"/>
  <c r="D1557" i="1"/>
  <c r="C1852" i="1"/>
  <c r="C482" i="1"/>
  <c r="C414" i="1"/>
  <c r="D1862" i="1"/>
  <c r="D1934" i="1"/>
  <c r="E109" i="1"/>
  <c r="E397" i="1"/>
  <c r="E1980" i="1"/>
  <c r="B367" i="1"/>
  <c r="C109" i="1"/>
  <c r="C1517" i="1"/>
  <c r="C1972" i="1"/>
  <c r="D1904" i="1"/>
  <c r="F112" i="1"/>
  <c r="D499" i="1"/>
  <c r="E647" i="1"/>
  <c r="E1876" i="1"/>
  <c r="C989" i="1"/>
  <c r="C752" i="1"/>
  <c r="D1444" i="1"/>
  <c r="C1939" i="1"/>
  <c r="E1468" i="1"/>
  <c r="C354" i="1"/>
  <c r="D472" i="1"/>
  <c r="D2007" i="1"/>
  <c r="E1510" i="1"/>
  <c r="C1988" i="1"/>
  <c r="B237" i="1"/>
  <c r="D257" i="1"/>
  <c r="E982" i="1"/>
  <c r="C1463" i="1"/>
  <c r="E917" i="1"/>
  <c r="B1457" i="1"/>
  <c r="C532" i="1"/>
  <c r="C1527" i="1"/>
  <c r="F122" i="1"/>
  <c r="F1946" i="1"/>
  <c r="E1495" i="1"/>
  <c r="C1014" i="1"/>
  <c r="F468" i="1"/>
  <c r="E1901" i="1"/>
  <c r="F1019" i="1"/>
  <c r="F673" i="1"/>
  <c r="E1476" i="1"/>
  <c r="E1926" i="1"/>
  <c r="B827" i="1"/>
  <c r="F1449" i="1"/>
  <c r="F1911" i="1"/>
  <c r="D1147" i="1"/>
  <c r="E1940" i="1"/>
  <c r="E1975" i="1"/>
  <c r="F534" i="1"/>
  <c r="F1474" i="1"/>
  <c r="E1102" i="1"/>
  <c r="B1007" i="1"/>
  <c r="D1852" i="1"/>
  <c r="F1952" i="1"/>
  <c r="B187" i="1"/>
  <c r="B1532" i="1"/>
  <c r="D1978" i="1"/>
  <c r="E1981" i="1"/>
  <c r="F1484" i="1"/>
  <c r="B1492" i="1"/>
  <c r="E364" i="1"/>
  <c r="E679" i="1"/>
  <c r="F537" i="1"/>
  <c r="E607" i="1"/>
  <c r="B489" i="1"/>
  <c r="E1152" i="1"/>
  <c r="C1207" i="1"/>
  <c r="D274" i="1"/>
  <c r="B1477" i="1"/>
  <c r="E1856" i="1"/>
  <c r="C1552" i="1"/>
  <c r="B1980" i="1"/>
  <c r="C2009" i="1"/>
  <c r="F1846" i="1"/>
  <c r="F1834" i="1"/>
  <c r="B99" i="1"/>
  <c r="F33" i="1"/>
  <c r="E228" i="1"/>
  <c r="C257" i="1"/>
  <c r="B1535" i="1"/>
  <c r="E454" i="1"/>
  <c r="C1924" i="1"/>
  <c r="F1885" i="1"/>
  <c r="B137" i="1"/>
  <c r="D1863" i="1"/>
  <c r="F1866" i="1"/>
  <c r="E1941" i="1"/>
  <c r="F919" i="1"/>
  <c r="E1461" i="1"/>
  <c r="C1084" i="1"/>
  <c r="B1019" i="1"/>
  <c r="D12" i="1"/>
  <c r="D1944" i="1"/>
  <c r="F1902" i="1"/>
  <c r="E1451" i="1"/>
  <c r="C1222" i="1"/>
  <c r="E772" i="1"/>
  <c r="C1921" i="1"/>
  <c r="E1197" i="1"/>
  <c r="E1873" i="1"/>
  <c r="D737" i="1"/>
  <c r="F1498" i="1"/>
  <c r="F1982" i="1"/>
  <c r="D1855" i="1"/>
  <c r="F1104" i="1"/>
  <c r="B1502" i="1"/>
  <c r="E1970" i="1"/>
  <c r="B1542" i="1"/>
  <c r="B1527" i="1"/>
  <c r="B75" i="1"/>
  <c r="E632" i="1"/>
  <c r="F1519" i="1"/>
  <c r="B6" i="1"/>
  <c r="C967" i="1"/>
  <c r="F822" i="1"/>
  <c r="F167" i="1"/>
  <c r="B315" i="1"/>
  <c r="D107" i="1"/>
  <c r="D1456" i="1"/>
  <c r="D23" i="1"/>
  <c r="C1074" i="1"/>
  <c r="C1042" i="1"/>
  <c r="E1107" i="1"/>
  <c r="F879" i="1"/>
  <c r="F44" i="1"/>
  <c r="F727" i="1"/>
  <c r="C1930" i="1"/>
  <c r="D1537" i="1"/>
  <c r="C1843" i="1"/>
  <c r="F792" i="1"/>
  <c r="C59" i="1"/>
  <c r="C349" i="1"/>
  <c r="E654" i="1"/>
  <c r="E1139" i="1"/>
  <c r="C377" i="1"/>
  <c r="C734" i="1"/>
  <c r="D249" i="1"/>
  <c r="F221" i="1"/>
  <c r="B1473" i="1"/>
  <c r="C1455" i="1"/>
  <c r="D1445" i="1"/>
  <c r="E1498" i="1"/>
  <c r="F1836" i="1"/>
  <c r="C1968" i="1"/>
  <c r="D1843" i="1"/>
  <c r="D1834" i="1"/>
  <c r="E289" i="1"/>
  <c r="D97" i="1"/>
  <c r="E1927" i="1"/>
  <c r="D1529" i="1"/>
  <c r="D987" i="1"/>
  <c r="B1985" i="1"/>
  <c r="C1996" i="1"/>
  <c r="F14" i="1"/>
  <c r="E1953" i="1"/>
  <c r="D1528" i="1"/>
  <c r="E1473" i="1"/>
  <c r="E747" i="1"/>
  <c r="E79" i="1"/>
  <c r="C607" i="1"/>
  <c r="D599" i="1"/>
  <c r="C144" i="1"/>
  <c r="E470" i="1"/>
  <c r="F679" i="1"/>
  <c r="F1503" i="1"/>
  <c r="C952" i="1"/>
  <c r="B1441" i="1"/>
  <c r="F1526" i="1"/>
  <c r="E1558" i="1"/>
  <c r="B747" i="1"/>
  <c r="D502" i="1"/>
  <c r="C1964" i="1"/>
  <c r="E202" i="1"/>
  <c r="B55" i="1"/>
  <c r="B108" i="1"/>
  <c r="E249" i="1"/>
  <c r="E1087" i="1"/>
  <c r="E1077" i="1"/>
  <c r="E2003" i="1"/>
  <c r="D1501" i="1"/>
  <c r="E1990" i="1"/>
  <c r="E1906" i="1"/>
  <c r="B1835" i="1"/>
  <c r="B170" i="1"/>
  <c r="B1558" i="1"/>
  <c r="F1546" i="1"/>
  <c r="F227" i="1"/>
  <c r="D692" i="1"/>
  <c r="B2018" i="1"/>
  <c r="B115" i="1"/>
  <c r="C642" i="1"/>
  <c r="C212" i="1"/>
  <c r="D1042" i="1"/>
  <c r="E87" i="1"/>
  <c r="F2" i="1"/>
  <c r="F302" i="1"/>
  <c r="D1132" i="1"/>
  <c r="E1479" i="1"/>
  <c r="C1865" i="1"/>
  <c r="B577" i="1"/>
  <c r="C1920" i="1"/>
  <c r="D2011" i="1"/>
  <c r="C1846" i="1"/>
  <c r="E863" i="1"/>
  <c r="C55" i="1"/>
  <c r="F1214" i="1"/>
  <c r="C688" i="1"/>
  <c r="C799" i="1"/>
  <c r="B524" i="1"/>
  <c r="F1154" i="1"/>
  <c r="C1013" i="1"/>
  <c r="D1872" i="1"/>
  <c r="F169" i="1"/>
  <c r="D2004" i="1"/>
  <c r="C668" i="1"/>
  <c r="E1830" i="1"/>
  <c r="E1450" i="1"/>
  <c r="E1467" i="1"/>
  <c r="B1878" i="1"/>
  <c r="D807" i="1"/>
  <c r="D1157" i="1"/>
  <c r="E1459" i="1"/>
  <c r="E547" i="1"/>
  <c r="B1192" i="1"/>
  <c r="B2001" i="1"/>
  <c r="F139" i="1"/>
  <c r="F1217" i="1"/>
  <c r="D1857" i="1"/>
  <c r="D1455" i="1"/>
  <c r="D1851" i="1"/>
  <c r="B882" i="1"/>
  <c r="B132" i="1"/>
  <c r="C1948" i="1"/>
  <c r="E534" i="1"/>
  <c r="B257" i="1"/>
  <c r="C597" i="1"/>
  <c r="D292" i="1"/>
  <c r="B1937" i="1"/>
  <c r="E672" i="1"/>
  <c r="E1441" i="1"/>
  <c r="F1888" i="1"/>
  <c r="E1445" i="1"/>
  <c r="B502" i="1"/>
  <c r="B169" i="1"/>
  <c r="F517" i="1"/>
  <c r="C1523" i="1"/>
  <c r="C1869" i="1"/>
  <c r="F1142" i="1"/>
  <c r="E1067" i="1"/>
  <c r="F857" i="1"/>
  <c r="B210" i="1"/>
  <c r="D1962" i="1"/>
  <c r="C822" i="1"/>
  <c r="B1924" i="1"/>
  <c r="D1446" i="1"/>
  <c r="F1451" i="1"/>
  <c r="E390" i="1"/>
  <c r="F1496" i="1"/>
  <c r="E1930" i="1"/>
  <c r="B1837" i="1"/>
  <c r="B42" i="1"/>
  <c r="B179" i="1"/>
  <c r="B1544" i="1"/>
  <c r="D184" i="1"/>
  <c r="B927" i="1"/>
  <c r="E1552" i="1"/>
  <c r="C44" i="1"/>
  <c r="B209" i="1"/>
  <c r="E1517" i="1"/>
  <c r="F1082" i="1"/>
  <c r="D572" i="1"/>
  <c r="B969" i="1"/>
  <c r="F249" i="1"/>
  <c r="B619" i="1"/>
  <c r="F842" i="1"/>
  <c r="C1113" i="1"/>
  <c r="C604" i="1"/>
  <c r="D907" i="1"/>
  <c r="F969" i="1"/>
  <c r="B1467" i="1"/>
  <c r="F228" i="1"/>
  <c r="B1953" i="1"/>
  <c r="C342" i="1"/>
  <c r="D1534" i="1"/>
  <c r="D1932" i="1"/>
  <c r="E1187" i="1"/>
  <c r="B219" i="1"/>
  <c r="B1521" i="1"/>
  <c r="D897" i="1"/>
  <c r="B104" i="1"/>
  <c r="F307" i="1"/>
  <c r="C152" i="1"/>
  <c r="D462" i="1"/>
  <c r="C1891" i="1"/>
  <c r="F837" i="1"/>
  <c r="C572" i="1"/>
  <c r="F702" i="1"/>
  <c r="E1952" i="1"/>
  <c r="D1958" i="1"/>
  <c r="D797" i="1"/>
  <c r="B1072" i="1"/>
  <c r="E1982" i="1"/>
  <c r="E1447" i="1"/>
  <c r="F257" i="1"/>
  <c r="F82" i="1"/>
  <c r="C1488" i="1"/>
  <c r="D1869" i="1"/>
  <c r="E1989" i="1"/>
  <c r="F462" i="1"/>
  <c r="E767" i="1"/>
  <c r="F1520" i="1"/>
  <c r="E1458" i="1"/>
  <c r="B191" i="1"/>
  <c r="B567" i="1"/>
  <c r="F1169" i="1"/>
  <c r="E519" i="1"/>
  <c r="B868" i="1"/>
  <c r="F453" i="1"/>
  <c r="C894" i="1"/>
  <c r="C797" i="1"/>
  <c r="C1107" i="1"/>
  <c r="C529" i="1"/>
  <c r="B1865" i="1"/>
  <c r="E138" i="1"/>
  <c r="B1998" i="1"/>
  <c r="E1531" i="1"/>
  <c r="B138" i="1"/>
  <c r="E1880" i="1"/>
  <c r="E1147" i="1"/>
  <c r="D782" i="1"/>
  <c r="E997" i="1"/>
  <c r="E1501" i="1"/>
  <c r="C853" i="1"/>
  <c r="B1847" i="1"/>
  <c r="C1866" i="1"/>
  <c r="E1017" i="1"/>
  <c r="D394" i="1"/>
  <c r="D1092" i="1"/>
  <c r="E1012" i="1"/>
  <c r="B709" i="1"/>
  <c r="E1858" i="1"/>
  <c r="C1888" i="1"/>
  <c r="F152" i="1"/>
  <c r="B1460" i="1"/>
  <c r="E1887" i="1"/>
  <c r="C1457" i="1"/>
  <c r="D262" i="1"/>
  <c r="C37" i="1"/>
  <c r="E158" i="1"/>
  <c r="C1052" i="1"/>
  <c r="E1474" i="1"/>
  <c r="B126" i="1"/>
  <c r="E243" i="1"/>
  <c r="C1868" i="1"/>
  <c r="D829" i="1"/>
  <c r="D1229" i="1"/>
  <c r="E999" i="1"/>
  <c r="C1197" i="1"/>
  <c r="F1515" i="1"/>
  <c r="F1877" i="1"/>
  <c r="E894" i="1"/>
  <c r="C590" i="1"/>
  <c r="F224" i="1"/>
  <c r="E1504" i="1"/>
  <c r="C1958" i="1"/>
  <c r="B2017" i="1"/>
  <c r="D1468" i="1"/>
  <c r="D864" i="1"/>
  <c r="E1460" i="1"/>
  <c r="E1466" i="1"/>
  <c r="F1481" i="1"/>
  <c r="F754" i="1"/>
  <c r="C1940" i="1"/>
  <c r="F1510" i="1"/>
  <c r="C982" i="1"/>
  <c r="D1871" i="1"/>
  <c r="C347" i="1"/>
  <c r="E1907" i="1"/>
  <c r="F2000" i="1"/>
  <c r="D1875" i="1"/>
  <c r="B189" i="1"/>
  <c r="C1515" i="1"/>
  <c r="E2007" i="1"/>
  <c r="B497" i="1"/>
  <c r="C1540" i="1"/>
  <c r="C1917" i="1"/>
  <c r="E1924" i="1"/>
  <c r="B1867" i="1"/>
  <c r="F1870" i="1"/>
  <c r="C1849" i="1"/>
  <c r="D1488" i="1"/>
  <c r="B51" i="1"/>
  <c r="D33" i="1"/>
  <c r="D612" i="1"/>
  <c r="E422" i="1"/>
  <c r="D222" i="1"/>
  <c r="E1860" i="1"/>
  <c r="F389" i="1"/>
  <c r="C1837" i="1"/>
  <c r="D1487" i="1"/>
  <c r="D1533" i="1"/>
  <c r="E172" i="1"/>
  <c r="F1087" i="1"/>
  <c r="E1525" i="1"/>
  <c r="B2010" i="1"/>
  <c r="C1516" i="1"/>
  <c r="B1934" i="1"/>
  <c r="C1896" i="1"/>
  <c r="C1890" i="1"/>
  <c r="B46" i="1"/>
  <c r="E1881" i="1"/>
  <c r="B1547" i="1"/>
  <c r="C1945" i="1"/>
  <c r="B1538" i="1"/>
  <c r="D109" i="1"/>
  <c r="C283" i="1"/>
  <c r="F654" i="1"/>
  <c r="B195" i="1"/>
  <c r="D1895" i="1"/>
  <c r="E1854" i="1"/>
  <c r="E1951" i="1"/>
  <c r="B118" i="1"/>
  <c r="B91" i="1"/>
  <c r="C1990" i="1"/>
  <c r="D1961" i="1"/>
  <c r="B472" i="1"/>
  <c r="B188" i="1"/>
  <c r="E1972" i="1"/>
  <c r="F12" i="1"/>
  <c r="D1479" i="1"/>
  <c r="B153" i="1"/>
  <c r="E1962" i="1"/>
  <c r="C582" i="1"/>
  <c r="D1856" i="1"/>
  <c r="C1983" i="1"/>
  <c r="B1840" i="1"/>
  <c r="C1450" i="1"/>
  <c r="B49" i="1"/>
  <c r="C1467" i="1"/>
  <c r="D1538" i="1"/>
  <c r="C1856" i="1"/>
  <c r="C592" i="1"/>
  <c r="B253" i="1"/>
  <c r="B76" i="1"/>
  <c r="B1549" i="1"/>
  <c r="D1957" i="1"/>
  <c r="B387" i="1"/>
  <c r="C2020" i="1"/>
  <c r="C2001" i="1"/>
  <c r="C1542" i="1"/>
  <c r="E697" i="1"/>
  <c r="D477" i="1"/>
  <c r="D182" i="1"/>
  <c r="C1892" i="1"/>
  <c r="B1948" i="1"/>
  <c r="B82" i="1"/>
  <c r="F1507" i="1"/>
  <c r="C862" i="1"/>
  <c r="D1931" i="1"/>
  <c r="B517" i="1"/>
  <c r="C1548" i="1"/>
  <c r="B1516" i="1"/>
  <c r="D1965" i="1"/>
  <c r="B197" i="1"/>
  <c r="E1864" i="1"/>
  <c r="B1976" i="1"/>
  <c r="E1462" i="1"/>
  <c r="F1477" i="1"/>
  <c r="B1984" i="1"/>
  <c r="B1495" i="1"/>
  <c r="D632" i="1"/>
  <c r="B5" i="1"/>
  <c r="F1518" i="1"/>
  <c r="C1833" i="1"/>
  <c r="F1909" i="1"/>
  <c r="B1459" i="1"/>
  <c r="C782" i="1"/>
  <c r="C222" i="1"/>
  <c r="B1498" i="1"/>
  <c r="E92" i="1"/>
  <c r="B1550" i="1"/>
  <c r="F1224" i="1"/>
  <c r="C1531" i="1"/>
  <c r="C1986" i="1"/>
  <c r="B1442" i="1"/>
  <c r="B67" i="1"/>
  <c r="D1492" i="1"/>
  <c r="B1562" i="1"/>
  <c r="B1995" i="1"/>
  <c r="B1541" i="1"/>
  <c r="B1194" i="1"/>
  <c r="D2014" i="1"/>
  <c r="E882" i="1"/>
  <c r="C1918" i="1"/>
  <c r="D574" i="1"/>
  <c r="B1903" i="1"/>
  <c r="D873" i="1"/>
  <c r="D2009" i="1"/>
  <c r="B111" i="1"/>
  <c r="B487" i="1"/>
  <c r="E52" i="1"/>
  <c r="B1899" i="1"/>
  <c r="E1841" i="1"/>
  <c r="F1554" i="1"/>
  <c r="B1884" i="1"/>
  <c r="C1923" i="1"/>
  <c r="F1528" i="1"/>
  <c r="B1047" i="1"/>
  <c r="C164" i="1"/>
  <c r="D302" i="1"/>
  <c r="B812" i="1"/>
  <c r="D1933" i="1"/>
  <c r="D507" i="1"/>
  <c r="C1567" i="1"/>
  <c r="D1498" i="1"/>
  <c r="B1468" i="1"/>
  <c r="C1829" i="1"/>
  <c r="B1517" i="1"/>
  <c r="D1881" i="1"/>
  <c r="B1540" i="1"/>
  <c r="F1881" i="1"/>
  <c r="B1916" i="1"/>
  <c r="D57" i="1"/>
  <c r="B1833" i="1"/>
  <c r="F1967" i="1"/>
  <c r="E1868" i="1"/>
  <c r="E163" i="1"/>
  <c r="C1502" i="1"/>
  <c r="B1999" i="1"/>
  <c r="E1886" i="1"/>
  <c r="C1931" i="1"/>
  <c r="F1864" i="1"/>
  <c r="C1965" i="1"/>
  <c r="C89" i="1"/>
  <c r="E1446" i="1"/>
  <c r="C1526" i="1"/>
  <c r="B2007" i="1"/>
  <c r="B772" i="1"/>
  <c r="E122" i="1"/>
  <c r="C409" i="1"/>
  <c r="D92" i="1"/>
  <c r="B2009" i="1"/>
  <c r="F212" i="1"/>
  <c r="B1887" i="1"/>
  <c r="D1979" i="1"/>
  <c r="B1469" i="1"/>
  <c r="D1948" i="1"/>
  <c r="E302" i="1"/>
  <c r="C1859" i="1"/>
  <c r="D1868" i="1"/>
  <c r="B261" i="1"/>
  <c r="B1954" i="1"/>
  <c r="B1952" i="1"/>
  <c r="B1490" i="1"/>
  <c r="F2013" i="1"/>
  <c r="F1545" i="1"/>
  <c r="C1907" i="1"/>
  <c r="B1534" i="1"/>
  <c r="B1925" i="1"/>
  <c r="C1982" i="1"/>
  <c r="B1524" i="1"/>
  <c r="B2013" i="1"/>
  <c r="F1491" i="1"/>
  <c r="E1499" i="1"/>
  <c r="C254" i="1"/>
  <c r="E1995" i="1"/>
  <c r="C1507" i="1"/>
  <c r="F1849" i="1"/>
  <c r="D1953" i="1"/>
  <c r="B87" i="1"/>
  <c r="F1951" i="1"/>
  <c r="C1976" i="1"/>
  <c r="B1939" i="1"/>
  <c r="F1945" i="1"/>
  <c r="F1893" i="1"/>
  <c r="C767" i="1"/>
  <c r="E1998" i="1"/>
  <c r="F1858" i="1"/>
  <c r="D1879" i="1"/>
  <c r="F1932" i="1"/>
  <c r="B24" i="1"/>
  <c r="B1485" i="1"/>
  <c r="C1853" i="1"/>
  <c r="D557" i="1"/>
  <c r="C1927" i="1"/>
  <c r="D1930" i="1"/>
  <c r="E1988" i="1"/>
  <c r="C417" i="1"/>
  <c r="E682" i="1"/>
  <c r="F1905" i="1"/>
  <c r="F1462" i="1"/>
  <c r="E39" i="1"/>
  <c r="C1989" i="1"/>
  <c r="E1955" i="1"/>
  <c r="F83" i="1"/>
  <c r="D932" i="1"/>
  <c r="E1885" i="1"/>
  <c r="D443" i="1"/>
  <c r="C712" i="1"/>
  <c r="C163" i="1"/>
  <c r="E1530" i="1"/>
  <c r="B93" i="1"/>
  <c r="D1833" i="1"/>
  <c r="C1067" i="1"/>
  <c r="C1497" i="1"/>
  <c r="F2018" i="1"/>
  <c r="B1444" i="1"/>
  <c r="F1482" i="1"/>
  <c r="E1497" i="1"/>
  <c r="C1841" i="1"/>
  <c r="F1475" i="1"/>
  <c r="F1914" i="1"/>
  <c r="F1473" i="1"/>
  <c r="D1995" i="1"/>
  <c r="B1877" i="1"/>
  <c r="F957" i="1"/>
  <c r="B1561" i="1"/>
  <c r="E1532" i="1"/>
  <c r="D89" i="1"/>
  <c r="C1561" i="1"/>
  <c r="E1984" i="1"/>
  <c r="C1498" i="1"/>
  <c r="F1472" i="1"/>
  <c r="C1946" i="1"/>
  <c r="C1549" i="1"/>
  <c r="F2005" i="1"/>
  <c r="F1450" i="1"/>
  <c r="B1446" i="1"/>
  <c r="D532" i="1"/>
  <c r="D1839" i="1"/>
  <c r="D1943" i="1"/>
  <c r="C1464" i="1"/>
  <c r="F67" i="1"/>
  <c r="F1467" i="1"/>
  <c r="B1941" i="1"/>
  <c r="C1441" i="1"/>
  <c r="D18" i="1"/>
  <c r="C727" i="1"/>
  <c r="D1964" i="1"/>
  <c r="E1986" i="1"/>
  <c r="C1905" i="1"/>
  <c r="E1966" i="1"/>
  <c r="D1480" i="1"/>
  <c r="B1846" i="1"/>
  <c r="B379" i="1"/>
  <c r="C202" i="1"/>
  <c r="E1852" i="1"/>
  <c r="D1905" i="1"/>
  <c r="B259" i="1"/>
  <c r="E1538" i="1"/>
  <c r="E1489" i="1"/>
  <c r="C1953" i="1"/>
  <c r="B1933" i="1"/>
  <c r="D1449" i="1"/>
  <c r="C169" i="1"/>
  <c r="F1442" i="1"/>
  <c r="E1837" i="1"/>
  <c r="F1997" i="1"/>
  <c r="E1849" i="1"/>
  <c r="E294" i="1"/>
  <c r="B1509" i="1"/>
  <c r="C1867" i="1"/>
  <c r="D1936" i="1"/>
  <c r="C1883" i="1"/>
  <c r="C713" i="1"/>
  <c r="D1901" i="1"/>
  <c r="E1878" i="1"/>
  <c r="F504" i="1"/>
  <c r="C282" i="1"/>
  <c r="B1555" i="1"/>
  <c r="C1971" i="1"/>
  <c r="B1881" i="1"/>
  <c r="D537" i="1"/>
  <c r="F2015" i="1"/>
  <c r="E1502" i="1"/>
  <c r="F458" i="1"/>
  <c r="F1480" i="1"/>
  <c r="C1963" i="1"/>
  <c r="D1882" i="1"/>
  <c r="F1973" i="1"/>
  <c r="B617" i="1"/>
  <c r="F1468" i="1"/>
  <c r="B105" i="1"/>
  <c r="C1489" i="1"/>
  <c r="F632" i="1"/>
  <c r="C294" i="1"/>
  <c r="C777" i="1"/>
  <c r="B1482" i="1"/>
  <c r="B1971" i="1"/>
  <c r="B199" i="1"/>
  <c r="D1854" i="1"/>
  <c r="C1184" i="1"/>
  <c r="B1082" i="1"/>
  <c r="E1456" i="1"/>
  <c r="B246" i="1"/>
  <c r="B1092" i="1"/>
  <c r="D1837" i="1"/>
  <c r="E2014" i="1"/>
  <c r="B156" i="1"/>
  <c r="B1488" i="1"/>
  <c r="D1914" i="1"/>
  <c r="F1550" i="1"/>
  <c r="F1521" i="1"/>
  <c r="B1463" i="1"/>
  <c r="B1851" i="1"/>
  <c r="C892" i="1"/>
  <c r="F247" i="1"/>
  <c r="D1844" i="1"/>
  <c r="F1847" i="1"/>
  <c r="C1998" i="1"/>
  <c r="F1828" i="1"/>
  <c r="D1832" i="1"/>
  <c r="E1897" i="1"/>
  <c r="C1836" i="1"/>
  <c r="C142" i="1"/>
  <c r="B1975" i="1"/>
  <c r="E1939" i="1"/>
  <c r="E1845" i="1"/>
  <c r="C2007" i="1"/>
  <c r="C207" i="1"/>
  <c r="D342" i="1"/>
  <c r="C1991" i="1"/>
  <c r="C779" i="1"/>
  <c r="C487" i="1"/>
  <c r="B1559" i="1"/>
  <c r="B1487" i="1"/>
  <c r="B1870" i="1"/>
  <c r="F1999" i="1"/>
  <c r="F1853" i="1"/>
  <c r="E1908" i="1"/>
  <c r="B1489" i="1"/>
  <c r="F1127" i="1"/>
  <c r="E222" i="1"/>
  <c r="C1919" i="1"/>
  <c r="D223" i="1"/>
  <c r="C1494" i="1"/>
  <c r="D1988" i="1"/>
  <c r="C1447" i="1"/>
  <c r="F1873" i="1"/>
  <c r="B1929" i="1"/>
  <c r="D317" i="1"/>
  <c r="F2014" i="1"/>
  <c r="F1501" i="1"/>
  <c r="C852" i="1"/>
  <c r="B1539" i="1"/>
  <c r="C1955" i="1"/>
  <c r="F1862" i="1"/>
  <c r="F49" i="1"/>
  <c r="D1558" i="1"/>
  <c r="B647" i="1"/>
  <c r="B2019" i="1"/>
  <c r="B1836" i="1"/>
  <c r="E1443" i="1"/>
  <c r="D1842" i="1"/>
  <c r="F1099" i="1"/>
  <c r="F1875" i="1"/>
  <c r="D1911" i="1"/>
  <c r="B255" i="1"/>
  <c r="D117" i="1"/>
  <c r="C1453" i="1"/>
  <c r="C1506" i="1"/>
  <c r="F1848" i="1"/>
  <c r="D1452" i="1"/>
  <c r="D1516" i="1"/>
  <c r="D127" i="1"/>
  <c r="F1506" i="1"/>
  <c r="D1897" i="1"/>
  <c r="B1919" i="1"/>
  <c r="D1835" i="1"/>
  <c r="B184" i="1"/>
  <c r="F207" i="1"/>
  <c r="F1915" i="1"/>
  <c r="F1459" i="1"/>
  <c r="C1877" i="1"/>
  <c r="E27" i="1"/>
  <c r="B18" i="1"/>
  <c r="E1562" i="1"/>
  <c r="B679" i="1"/>
  <c r="E1555" i="1"/>
  <c r="F1536" i="1"/>
  <c r="E1526" i="1"/>
  <c r="F1494" i="1"/>
  <c r="C1847" i="1"/>
  <c r="C1967" i="1"/>
  <c r="B1891" i="1"/>
  <c r="F1044" i="1"/>
  <c r="D1907" i="1"/>
  <c r="D1903" i="1"/>
  <c r="C1565" i="1"/>
  <c r="D1992" i="1"/>
  <c r="B1930" i="1"/>
  <c r="E1469" i="1"/>
  <c r="E1442" i="1"/>
  <c r="E1902" i="1"/>
  <c r="D42" i="1"/>
  <c r="E1857" i="1"/>
  <c r="D1491" i="1"/>
  <c r="C1492" i="1"/>
  <c r="B177" i="1"/>
  <c r="E1985" i="1"/>
  <c r="E1992" i="1"/>
  <c r="F927" i="1"/>
  <c r="F832" i="1"/>
  <c r="C1850" i="1"/>
  <c r="D1972" i="1"/>
  <c r="B1996" i="1"/>
  <c r="D1527" i="1"/>
  <c r="F687" i="1"/>
  <c r="D1559" i="1"/>
  <c r="C1524" i="1"/>
  <c r="E2018" i="1"/>
  <c r="E687" i="1"/>
  <c r="C1469" i="1"/>
  <c r="D1510" i="1"/>
  <c r="B1855" i="1"/>
  <c r="B1543" i="1"/>
  <c r="D1556" i="1"/>
  <c r="F1557" i="1"/>
  <c r="F742" i="1"/>
  <c r="E1867" i="1"/>
  <c r="B484" i="1"/>
  <c r="D1949" i="1"/>
  <c r="B1499" i="1"/>
  <c r="C1961" i="1"/>
  <c r="F1838" i="1"/>
  <c r="C2015" i="1"/>
  <c r="D137" i="1"/>
  <c r="B1949" i="1"/>
  <c r="B1911" i="1"/>
  <c r="F1558" i="1"/>
  <c r="F1534" i="1"/>
  <c r="C1994" i="1"/>
  <c r="E1891" i="1"/>
  <c r="C824" i="1"/>
  <c r="C547" i="1"/>
  <c r="B1548" i="1"/>
  <c r="C28" i="1"/>
  <c r="B1982" i="1"/>
  <c r="B284" i="1"/>
  <c r="D1457" i="1"/>
  <c r="E1843" i="1"/>
  <c r="B125" i="1"/>
  <c r="D1464" i="1"/>
  <c r="F1542" i="1"/>
  <c r="C838" i="1"/>
  <c r="F1017" i="1"/>
  <c r="B1926" i="1"/>
  <c r="E1922" i="1"/>
  <c r="E1549" i="1"/>
  <c r="B1557" i="1"/>
  <c r="F1949" i="1"/>
  <c r="E1483" i="1"/>
  <c r="F1970" i="1"/>
  <c r="C419" i="1"/>
  <c r="E1836" i="1"/>
  <c r="E1855" i="1"/>
  <c r="D392" i="1"/>
  <c r="D1459" i="1"/>
  <c r="F544" i="1"/>
  <c r="F222" i="1"/>
  <c r="C1887" i="1"/>
  <c r="B2015" i="1"/>
  <c r="E262" i="1"/>
  <c r="B1915" i="1"/>
  <c r="F1555" i="1"/>
  <c r="F1974" i="1"/>
  <c r="C162" i="1"/>
  <c r="F1947" i="1"/>
  <c r="E1470" i="1"/>
  <c r="B1852" i="1"/>
  <c r="B982" i="1"/>
  <c r="E1157" i="1"/>
  <c r="F582" i="1"/>
  <c r="E1961" i="1"/>
  <c r="E1449" i="1"/>
  <c r="D1950" i="1"/>
  <c r="D1993" i="1"/>
  <c r="E1506" i="1"/>
  <c r="C1894" i="1"/>
  <c r="C1544" i="1"/>
  <c r="B1537" i="1"/>
  <c r="B1900" i="1"/>
  <c r="C1472" i="1"/>
  <c r="E1493" i="1"/>
  <c r="C1915" i="1"/>
  <c r="D149" i="1"/>
  <c r="B1970" i="1"/>
  <c r="F1856" i="1"/>
  <c r="D442" i="1"/>
  <c r="F1505" i="1"/>
  <c r="D2012" i="1"/>
  <c r="C1881" i="1"/>
  <c r="C587" i="1"/>
  <c r="F1523" i="1"/>
  <c r="F607" i="1"/>
  <c r="E1909" i="1"/>
  <c r="F522" i="1"/>
  <c r="E2015" i="1"/>
  <c r="B1119" i="1"/>
  <c r="C1987" i="1"/>
  <c r="B174" i="1"/>
  <c r="D1845" i="1"/>
  <c r="C1482" i="1"/>
  <c r="C904" i="1"/>
  <c r="F1062" i="1"/>
  <c r="F1841" i="1"/>
  <c r="E167" i="1"/>
  <c r="C1446" i="1"/>
  <c r="F1463" i="1"/>
  <c r="F1829" i="1"/>
  <c r="F872" i="1"/>
  <c r="D1494" i="1"/>
  <c r="B1474" i="1"/>
  <c r="E42" i="1"/>
  <c r="F1840" i="1"/>
  <c r="E1904" i="1"/>
  <c r="E1967" i="1"/>
  <c r="D474" i="1"/>
  <c r="D1849" i="1"/>
  <c r="F1953" i="1"/>
  <c r="D1940" i="1"/>
  <c r="B131" i="1"/>
  <c r="D1967" i="1"/>
  <c r="E797" i="1"/>
  <c r="C387" i="1"/>
  <c r="C312" i="1"/>
  <c r="B1528" i="1"/>
  <c r="D1525" i="1"/>
  <c r="B60" i="1"/>
  <c r="B1902" i="1"/>
  <c r="C2012" i="1"/>
  <c r="E542" i="1"/>
  <c r="C1950" i="1"/>
  <c r="D549" i="1"/>
  <c r="E1946" i="1"/>
  <c r="B2005" i="1"/>
  <c r="D853" i="1"/>
  <c r="C1956" i="1"/>
  <c r="E1871" i="1"/>
  <c r="B135" i="1"/>
  <c r="D1880" i="1"/>
  <c r="C124" i="1"/>
  <c r="E1943" i="1"/>
  <c r="D1926" i="1"/>
  <c r="E1488" i="1"/>
  <c r="B205" i="1"/>
  <c r="F442" i="1"/>
  <c r="F1991" i="1"/>
  <c r="E1505" i="1"/>
  <c r="E1973" i="1"/>
  <c r="F1880" i="1"/>
  <c r="D1951" i="1"/>
  <c r="B56" i="1"/>
  <c r="D1532" i="1"/>
  <c r="B1179" i="1"/>
  <c r="D1526" i="1"/>
  <c r="D217" i="1"/>
  <c r="F157" i="1"/>
  <c r="C172" i="1"/>
  <c r="B1533" i="1"/>
  <c r="F1975" i="1"/>
  <c r="C1951" i="1"/>
  <c r="D937" i="1"/>
  <c r="D892" i="1"/>
  <c r="D207" i="1"/>
  <c r="C1461" i="1"/>
  <c r="B1522" i="1"/>
  <c r="C823" i="1"/>
  <c r="E612" i="1"/>
  <c r="F1522" i="1"/>
  <c r="B1932" i="1"/>
  <c r="C2010" i="1"/>
  <c r="E902" i="1"/>
  <c r="F497" i="1"/>
  <c r="F1944" i="1"/>
  <c r="D2017" i="1"/>
  <c r="B1885" i="1"/>
  <c r="D277" i="1"/>
  <c r="B1034" i="1"/>
  <c r="F1488" i="1"/>
  <c r="C1879" i="1"/>
  <c r="F1891" i="1"/>
  <c r="C1873" i="1"/>
  <c r="D1925" i="1"/>
  <c r="D1077" i="1"/>
  <c r="E77" i="1"/>
  <c r="F1177" i="1"/>
  <c r="C1521" i="1"/>
  <c r="D1451" i="1"/>
  <c r="B929" i="1"/>
  <c r="D1886" i="1"/>
  <c r="E1508" i="1"/>
  <c r="B1515" i="1"/>
  <c r="C292" i="1"/>
  <c r="F2020" i="1"/>
  <c r="E2016" i="1"/>
  <c r="B399" i="1"/>
  <c r="F392" i="1"/>
  <c r="F1538" i="1"/>
  <c r="B16" i="1"/>
  <c r="F1833" i="1"/>
  <c r="D522" i="1"/>
  <c r="C1202" i="1"/>
  <c r="B1977" i="1"/>
  <c r="C1504" i="1"/>
  <c r="B1875" i="1"/>
  <c r="B1506" i="1"/>
  <c r="F1002" i="1"/>
  <c r="B1896" i="1"/>
  <c r="F1502" i="1"/>
  <c r="E1564" i="1"/>
  <c r="E1539" i="1"/>
  <c r="E1942" i="1"/>
  <c r="E1519" i="1"/>
  <c r="C1952" i="1"/>
  <c r="E1547" i="1"/>
  <c r="E1928" i="1"/>
  <c r="E384" i="1"/>
  <c r="E1831" i="1"/>
  <c r="B1921" i="1"/>
  <c r="B1862" i="1"/>
  <c r="C1863" i="1"/>
  <c r="F689" i="1"/>
  <c r="C1541" i="1"/>
  <c r="B243" i="1"/>
  <c r="D682" i="1"/>
  <c r="D347" i="1"/>
  <c r="E1944" i="1"/>
  <c r="F1497" i="1"/>
  <c r="C77" i="1"/>
  <c r="F587" i="1"/>
  <c r="F2016" i="1"/>
  <c r="B844" i="1"/>
  <c r="C1092" i="1"/>
  <c r="C1456" i="1"/>
  <c r="E357" i="1"/>
  <c r="C1475" i="1"/>
  <c r="E1969" i="1"/>
  <c r="B172" i="1"/>
  <c r="F1495" i="1"/>
  <c r="B83" i="1"/>
  <c r="E127" i="1"/>
  <c r="D1553" i="1"/>
  <c r="D1129" i="1"/>
  <c r="C1943" i="1"/>
  <c r="B2002" i="1"/>
  <c r="F1874" i="1"/>
  <c r="E1179" i="1"/>
  <c r="C1082" i="1"/>
  <c r="E1919" i="1"/>
  <c r="E269" i="1"/>
  <c r="B1510" i="1"/>
  <c r="D1860" i="1"/>
  <c r="B537" i="1"/>
  <c r="B394" i="1"/>
  <c r="F1052" i="1"/>
  <c r="B1455" i="1"/>
  <c r="C1562" i="1"/>
  <c r="F29" i="1"/>
  <c r="B123" i="1"/>
  <c r="E1177" i="1"/>
  <c r="C1546" i="1"/>
  <c r="B181" i="1"/>
  <c r="B1889" i="1"/>
  <c r="C922" i="1"/>
  <c r="F1868" i="1"/>
  <c r="F1981" i="1"/>
  <c r="D867" i="1"/>
  <c r="F1965" i="1"/>
  <c r="D197" i="1"/>
  <c r="E1550" i="1"/>
  <c r="D357" i="1"/>
  <c r="F1483" i="1"/>
  <c r="F1452" i="1"/>
  <c r="D1976" i="1"/>
  <c r="D1472" i="1"/>
  <c r="F1865" i="1"/>
  <c r="D1443" i="1"/>
  <c r="C652" i="1"/>
  <c r="E1884" i="1"/>
  <c r="D1450" i="1"/>
  <c r="E2010" i="1"/>
  <c r="F812" i="1"/>
  <c r="B2006" i="1"/>
  <c r="F1908" i="1"/>
  <c r="E1833" i="1"/>
  <c r="E629" i="1"/>
  <c r="C1861" i="1"/>
  <c r="B1935" i="1"/>
  <c r="E987" i="1"/>
  <c r="F847" i="1"/>
  <c r="C462" i="1"/>
  <c r="C1830" i="1"/>
  <c r="F1887" i="1"/>
  <c r="E1454" i="1"/>
  <c r="F1531" i="1"/>
  <c r="F1500" i="1"/>
  <c r="F789" i="1"/>
  <c r="B757" i="1"/>
  <c r="E1925" i="1"/>
  <c r="C1500" i="1"/>
  <c r="F477" i="1"/>
  <c r="B627" i="1"/>
  <c r="E1851" i="1"/>
  <c r="F1933" i="1"/>
  <c r="B2011" i="1"/>
  <c r="B176" i="1"/>
  <c r="D1977" i="1"/>
  <c r="C397" i="1"/>
  <c r="F1903" i="1"/>
  <c r="B1494" i="1"/>
  <c r="D1923" i="1"/>
  <c r="F718" i="1"/>
  <c r="B1979" i="1"/>
  <c r="B1448" i="1"/>
  <c r="E1494" i="1"/>
  <c r="F1871" i="1"/>
  <c r="D1980" i="1"/>
  <c r="C1980" i="1"/>
  <c r="D1938" i="1"/>
  <c r="C559" i="1"/>
  <c r="B1871" i="1"/>
  <c r="E1894" i="1"/>
  <c r="E1545" i="1"/>
  <c r="F1956" i="1"/>
  <c r="C1912" i="1"/>
  <c r="E1514" i="1"/>
  <c r="C1528" i="1"/>
  <c r="F1957" i="1"/>
  <c r="C1471" i="1"/>
  <c r="E1455" i="1"/>
  <c r="C1563" i="1"/>
  <c r="F1898" i="1"/>
  <c r="E1515" i="1"/>
  <c r="D1549" i="1"/>
  <c r="C1900" i="1"/>
  <c r="F1443" i="1"/>
  <c r="F1977" i="1"/>
  <c r="B1981" i="1"/>
  <c r="D1504" i="1"/>
  <c r="E1934" i="1"/>
  <c r="B1032" i="1"/>
  <c r="F1886" i="1"/>
  <c r="C1840" i="1"/>
  <c r="F1930" i="1"/>
  <c r="F1913" i="1"/>
  <c r="E1481" i="1"/>
  <c r="F317" i="1"/>
  <c r="C1842" i="1"/>
  <c r="F597" i="1"/>
  <c r="B1876" i="1"/>
  <c r="B1967" i="1"/>
  <c r="B1443" i="1"/>
  <c r="E1492" i="1"/>
  <c r="E212" i="1"/>
  <c r="E1959" i="1"/>
  <c r="C352" i="1"/>
  <c r="F1470" i="1"/>
  <c r="B1830" i="1"/>
  <c r="B2016" i="1"/>
  <c r="D1919" i="1"/>
  <c r="D1924" i="1"/>
  <c r="C1505" i="1"/>
  <c r="D912" i="1"/>
  <c r="E662" i="1"/>
  <c r="F682" i="1"/>
  <c r="B702" i="1"/>
  <c r="D1981" i="1"/>
  <c r="D1889" i="1"/>
  <c r="E1491" i="1"/>
  <c r="F1562" i="1"/>
  <c r="F1513" i="1"/>
  <c r="D1917" i="1"/>
  <c r="D1866" i="1"/>
  <c r="F1490" i="1"/>
  <c r="E942" i="1"/>
  <c r="E642" i="1"/>
  <c r="E333" i="1"/>
  <c r="C1932" i="1"/>
  <c r="F1929" i="1"/>
  <c r="C1854" i="1"/>
  <c r="B1848" i="1"/>
  <c r="B1507" i="1"/>
  <c r="B1854" i="1"/>
  <c r="B1518" i="1"/>
  <c r="D547" i="1"/>
  <c r="F2017" i="1"/>
  <c r="F1854" i="1"/>
  <c r="F1857" i="1"/>
  <c r="C1535" i="1"/>
  <c r="B1466" i="1"/>
  <c r="C1510" i="1"/>
  <c r="D87" i="1"/>
  <c r="B1530" i="1"/>
  <c r="C1870" i="1"/>
  <c r="B1892" i="1"/>
  <c r="D1522" i="1"/>
  <c r="E292" i="1"/>
  <c r="F1539" i="1"/>
  <c r="D1864" i="1"/>
  <c r="B121" i="1"/>
  <c r="B1904" i="1"/>
  <c r="E1910" i="1"/>
  <c r="F1556" i="1"/>
  <c r="F1549" i="1"/>
  <c r="E1521" i="1"/>
  <c r="E2019" i="1"/>
  <c r="E277" i="1"/>
  <c r="E1544" i="1"/>
  <c r="C1848" i="1"/>
  <c r="F1464" i="1"/>
  <c r="C1478" i="1"/>
  <c r="F533" i="1"/>
  <c r="B1453" i="1"/>
  <c r="F1057" i="1"/>
  <c r="D282" i="1"/>
  <c r="F1897" i="1"/>
  <c r="F1995" i="1"/>
  <c r="D1997" i="1"/>
  <c r="D244" i="1"/>
  <c r="F553" i="1"/>
  <c r="B2003" i="1"/>
  <c r="C1885" i="1"/>
  <c r="C1555" i="1"/>
  <c r="C182" i="1"/>
  <c r="E1847" i="1"/>
  <c r="D119" i="1"/>
  <c r="F1456" i="1"/>
  <c r="F444" i="1"/>
  <c r="E1472" i="1"/>
  <c r="C137" i="1"/>
  <c r="C1838" i="1"/>
  <c r="B1951" i="1"/>
  <c r="E1890" i="1"/>
  <c r="B1864" i="1"/>
  <c r="F434" i="1"/>
  <c r="D1859" i="1"/>
  <c r="D1476" i="1"/>
  <c r="F1478" i="1"/>
  <c r="C632" i="1"/>
  <c r="F1890" i="1"/>
  <c r="B1452" i="1"/>
  <c r="E1533" i="1"/>
  <c r="B477" i="1"/>
  <c r="E1540" i="1"/>
  <c r="B1912" i="1"/>
  <c r="C552" i="1"/>
  <c r="C1550" i="1"/>
  <c r="E1002" i="1"/>
  <c r="B749" i="1"/>
  <c r="D284" i="1"/>
  <c r="E1895" i="1"/>
  <c r="C1503" i="1"/>
  <c r="C1532" i="1"/>
  <c r="C1564" i="1"/>
  <c r="F79" i="1"/>
  <c r="E667" i="1"/>
  <c r="B1523" i="1"/>
  <c r="E1979" i="1"/>
  <c r="B7" i="1"/>
  <c r="F2004" i="1"/>
  <c r="E142" i="1"/>
  <c r="D1830" i="1"/>
  <c r="B724" i="1"/>
  <c r="F1899" i="1"/>
  <c r="D1920" i="1"/>
  <c r="D1916" i="1"/>
  <c r="B1883" i="1"/>
  <c r="B1898" i="1"/>
  <c r="C1997" i="1"/>
  <c r="C1975" i="1"/>
  <c r="F612" i="1"/>
  <c r="C1871" i="1"/>
  <c r="F1992" i="1"/>
  <c r="B1990" i="1"/>
  <c r="F357" i="1"/>
  <c r="D1954" i="1"/>
  <c r="B1973" i="1"/>
  <c r="E49" i="1"/>
  <c r="F487" i="1"/>
  <c r="B1874" i="1"/>
  <c r="D1870" i="1"/>
  <c r="C1459" i="1"/>
  <c r="D368" i="1"/>
  <c r="F722" i="1"/>
  <c r="B1564" i="1"/>
  <c r="F1830" i="1"/>
  <c r="C1992" i="1"/>
  <c r="E1916" i="1"/>
  <c r="B228" i="1"/>
  <c r="D2020" i="1"/>
  <c r="B1514" i="1"/>
  <c r="C334" i="1"/>
  <c r="D1873" i="1"/>
  <c r="B1950" i="1"/>
  <c r="C49" i="1"/>
  <c r="B1536" i="1"/>
  <c r="D977" i="1"/>
  <c r="F1940" i="1"/>
  <c r="C639" i="1"/>
  <c r="E1976" i="1"/>
  <c r="F382" i="1"/>
  <c r="E1914" i="1"/>
  <c r="C1495" i="1"/>
  <c r="E1960" i="1"/>
  <c r="B792" i="1"/>
  <c r="F1516" i="1"/>
  <c r="E1567" i="1"/>
  <c r="D1506" i="1"/>
  <c r="B1894" i="1"/>
  <c r="F1529" i="1"/>
  <c r="B106" i="1"/>
  <c r="F862" i="1"/>
  <c r="F1950" i="1"/>
  <c r="D1885" i="1"/>
  <c r="F667" i="1"/>
  <c r="E1490" i="1"/>
  <c r="B1844" i="1"/>
  <c r="E717" i="1"/>
  <c r="C1556" i="1"/>
  <c r="F1894" i="1"/>
  <c r="C542" i="1"/>
  <c r="E1148" i="1"/>
  <c r="E147" i="1"/>
  <c r="D124" i="1"/>
  <c r="C252" i="1"/>
  <c r="C1462" i="1"/>
  <c r="B1895" i="1"/>
  <c r="E2004" i="1"/>
  <c r="B1873" i="1"/>
  <c r="D1561" i="1"/>
  <c r="E604" i="1"/>
  <c r="C942" i="1"/>
  <c r="F1844" i="1"/>
  <c r="D577" i="1"/>
  <c r="B452" i="1"/>
  <c r="D1902" i="1"/>
  <c r="B1936" i="1"/>
  <c r="D1956" i="1"/>
  <c r="E1991" i="1"/>
  <c r="B17" i="1"/>
  <c r="F1454" i="1"/>
  <c r="E1523" i="1"/>
  <c r="E1527" i="1"/>
  <c r="E1444" i="1"/>
  <c r="E487" i="1"/>
  <c r="E2012" i="1"/>
  <c r="B8" i="1"/>
  <c r="F1466" i="1"/>
  <c r="B1513" i="1"/>
  <c r="E102" i="1"/>
  <c r="F1985" i="1"/>
  <c r="F1540" i="1"/>
  <c r="F1906" i="1"/>
  <c r="C1465" i="1"/>
  <c r="F1959" i="1"/>
  <c r="F1831" i="1"/>
  <c r="F1504" i="1"/>
  <c r="C237" i="1"/>
  <c r="E103" i="1"/>
  <c r="D1543" i="1"/>
  <c r="F1508" i="1"/>
  <c r="F1514" i="1"/>
  <c r="C1962" i="1"/>
  <c r="D1960" i="1"/>
  <c r="F942" i="1"/>
  <c r="B1479" i="1"/>
  <c r="D1846" i="1"/>
  <c r="F92" i="1"/>
  <c r="C1875" i="1"/>
  <c r="B1927" i="1"/>
  <c r="D1939" i="1"/>
  <c r="F397" i="1"/>
  <c r="C1536" i="1"/>
  <c r="B1470" i="1"/>
  <c r="C174" i="1"/>
  <c r="B1553" i="1"/>
  <c r="F1984" i="1"/>
  <c r="C1499" i="1"/>
  <c r="C1886" i="1"/>
  <c r="D683" i="1"/>
  <c r="C1537" i="1"/>
  <c r="D1893" i="1"/>
  <c r="C12" i="1"/>
  <c r="D1478" i="1"/>
  <c r="B256" i="1"/>
  <c r="D464" i="1"/>
  <c r="B1863" i="1"/>
  <c r="E1917" i="1"/>
  <c r="C1529" i="1"/>
  <c r="C1147" i="1"/>
  <c r="F237" i="1"/>
  <c r="C1845" i="1"/>
  <c r="C703" i="1"/>
  <c r="B1142" i="1"/>
  <c r="F1509" i="1"/>
  <c r="D1509" i="1"/>
  <c r="B442" i="1"/>
  <c r="E1500" i="1"/>
  <c r="D1999" i="1"/>
  <c r="C1539" i="1"/>
  <c r="F1986" i="1"/>
  <c r="E1957" i="1"/>
  <c r="C493" i="1"/>
  <c r="B1845" i="1"/>
  <c r="F467" i="1"/>
  <c r="F2002" i="1"/>
  <c r="E2006" i="1"/>
  <c r="F699" i="1"/>
  <c r="D1554" i="1"/>
  <c r="B251" i="1"/>
  <c r="D1973" i="1"/>
  <c r="D1508" i="1"/>
  <c r="F1197" i="1"/>
  <c r="B1920" i="1"/>
  <c r="C1898" i="1"/>
  <c r="D887" i="1"/>
  <c r="C2014" i="1"/>
  <c r="F1485" i="1"/>
  <c r="E1936" i="1"/>
  <c r="F1552" i="1"/>
  <c r="B144" i="1"/>
  <c r="E1956" i="1"/>
  <c r="F1989" i="1"/>
  <c r="F752" i="1"/>
  <c r="D1838" i="1"/>
  <c r="C1858" i="1"/>
  <c r="D2000" i="1"/>
  <c r="F1916" i="1"/>
  <c r="B1504" i="1"/>
  <c r="F2010" i="1"/>
  <c r="E1475" i="1"/>
  <c r="B1464" i="1"/>
  <c r="E1888" i="1"/>
  <c r="C2003" i="1"/>
  <c r="E872" i="1"/>
  <c r="E1471" i="1"/>
  <c r="B1978" i="1"/>
  <c r="C2011" i="1"/>
  <c r="C1860" i="1"/>
  <c r="B912" i="1"/>
  <c r="C1481" i="1"/>
  <c r="E1983" i="1"/>
  <c r="D1505" i="1"/>
  <c r="C1916" i="1"/>
  <c r="E1850" i="1"/>
  <c r="C2019" i="1"/>
  <c r="C167" i="1"/>
  <c r="E819" i="1"/>
  <c r="C1449" i="1"/>
  <c r="B457" i="1"/>
  <c r="E1516" i="1"/>
  <c r="C1895" i="1"/>
  <c r="C1212" i="1"/>
  <c r="D1551" i="1"/>
  <c r="D1955" i="1"/>
  <c r="E1938" i="1"/>
  <c r="B1828" i="1"/>
  <c r="B1843" i="1"/>
  <c r="D1502" i="1"/>
  <c r="D1463" i="1"/>
  <c r="C1559" i="1"/>
  <c r="B1529" i="1"/>
  <c r="D1515" i="1"/>
  <c r="C119" i="1"/>
  <c r="B1914" i="1"/>
  <c r="C422" i="1"/>
  <c r="C1878" i="1"/>
  <c r="F1878" i="1"/>
  <c r="D322" i="1"/>
  <c r="F1447" i="1"/>
  <c r="D1497" i="1"/>
  <c r="F1927" i="1"/>
  <c r="C1557" i="1"/>
  <c r="C1470" i="1"/>
  <c r="B1478" i="1"/>
  <c r="D1087" i="1"/>
  <c r="B318" i="1"/>
  <c r="B1993" i="1"/>
  <c r="C1904" i="1"/>
  <c r="B1882" i="1"/>
  <c r="E1913" i="1"/>
  <c r="D1865" i="1"/>
  <c r="D1535" i="1"/>
  <c r="D1536" i="1"/>
  <c r="D1475" i="1"/>
  <c r="B1500" i="1"/>
  <c r="B95" i="1"/>
  <c r="C2" i="1"/>
  <c r="B1946" i="1"/>
  <c r="D1483" i="1"/>
  <c r="C1444" i="1"/>
  <c r="E1542" i="1"/>
  <c r="B1974" i="1"/>
  <c r="B1475" i="1"/>
  <c r="D1541" i="1"/>
  <c r="C1473" i="1"/>
  <c r="D1458" i="1"/>
  <c r="F1901" i="1"/>
  <c r="B226" i="1"/>
  <c r="F527" i="1"/>
  <c r="C1832" i="1"/>
  <c r="C677" i="1"/>
  <c r="F1892" i="1"/>
  <c r="B1965" i="1"/>
  <c r="E1987" i="1"/>
  <c r="F974" i="1"/>
  <c r="E1513" i="1"/>
  <c r="B230" i="1"/>
  <c r="C1855" i="1"/>
  <c r="F2012" i="1"/>
  <c r="F1910" i="1"/>
  <c r="B37" i="1"/>
  <c r="F1566" i="1"/>
  <c r="C1995" i="1"/>
  <c r="F774" i="1"/>
  <c r="B1476" i="1"/>
  <c r="D1563" i="1"/>
  <c r="F1512" i="1"/>
  <c r="E1866" i="1"/>
  <c r="D1910" i="1"/>
  <c r="E1949" i="1"/>
  <c r="C1513" i="1"/>
  <c r="D1990" i="1"/>
  <c r="C802" i="1"/>
  <c r="B1945" i="1"/>
  <c r="F1461" i="1"/>
  <c r="B2020" i="1"/>
  <c r="B1445" i="1"/>
  <c r="B1458" i="1"/>
  <c r="B1526" i="1"/>
  <c r="C1929" i="1"/>
  <c r="C1985" i="1"/>
  <c r="C1936" i="1"/>
  <c r="B1554" i="1"/>
  <c r="F1551" i="1"/>
  <c r="C1914" i="1"/>
  <c r="F1441" i="1"/>
  <c r="C1554" i="1"/>
  <c r="C1941" i="1"/>
  <c r="D1521" i="1"/>
  <c r="D2008" i="1"/>
  <c r="F1832" i="1"/>
  <c r="C1508" i="1"/>
  <c r="F242" i="1"/>
  <c r="C67" i="1"/>
  <c r="B392" i="1"/>
  <c r="B1461" i="1"/>
  <c r="D1952" i="1"/>
  <c r="F1963" i="1"/>
  <c r="E1465" i="1"/>
  <c r="F1954" i="1"/>
  <c r="E382" i="1"/>
  <c r="D72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<sst xmlns="http://schemas.openxmlformats.org/spreadsheetml/2006/main" count="14" uniqueCount="14">
  <si>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>Date</t>
  </si>
  <si>
    <t>Gasoline_Crack</t>
  </si>
  <si>
    <t>Dubai</t>
  </si>
  <si>
    <t>Brent</t>
  </si>
  <si>
    <t>Naphtha</t>
  </si>
  <si>
    <t>Gasoline</t>
  </si>
  <si>
    <t>Refinery Run</t>
  </si>
  <si>
    <t>Gasoline_Inventory</t>
  </si>
  <si>
    <t xml:space="preserve">Singapore 92 RON Timespread M1/M2 </t>
  </si>
  <si>
    <t>Asia Balance</t>
  </si>
  <si>
    <t>Ethanol</t>
  </si>
  <si>
    <t>Seasonal</t>
  </si>
  <si>
    <t>AP Gasoline Demand</t>
  </si>
  <si>
    <t>Utilisation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</si>
</sst>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2" x14ac:knownFonts="1">
    <font>
      <sz val="11"/>
      <color theme="1"/>
      <name val="Aptos Narrow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">
    <xf numFmtId="0" fontId="0" fillId="0" borderId="0" xfId="0"/>
    <xf numFmtId="164" fontId="1" fillId="0" borderId="0" xfId="1" applyNumberFormat="1"/>
  </cellXfs>
  <cellStyles count="2">
    <cellStyle name="Normal" xfId="0" builtinId="0"/>
    <cellStyle name="Normal 2 2" xfId="1" xr:uid="{03D033D6-C994-4D49-8F08-F4EE5167472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IN-FS01\Research$\Database\Arbitrage\Mogas%20Price%20v2.xlsm" TargetMode="External"/><Relationship Id="rId1" Type="http://schemas.openxmlformats.org/officeDocument/2006/relationships/externalLinkPath" Target="file:///\\SIN-FS01\Research$\Database\Arbitrage\Mogas%20Price%20v2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Database\APPM\ASIA%20MASTER.xlsx" TargetMode="External"/><Relationship Id="rId1" Type="http://schemas.openxmlformats.org/officeDocument/2006/relationships/externalLinkPath" Target="file:///\\SIN-FS01\Research$\Database\APPM\ASIA%20MASTER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Lon-fs01\u$\Databases\DB%20100%20Energy-Oil\Stocks\Weekly%20Stocks%20(Global).xlsx" TargetMode="External"/><Relationship Id="rId1" Type="http://schemas.openxmlformats.org/officeDocument/2006/relationships/externalLinkPath" Target="file:///\\Lon-fs01\u$\Databases\DB%20100%20Energy-Oil\Stocks\Weekly%20Stocks%20(Global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ists"/>
      <sheetName val="Global_Spot Prices"/>
      <sheetName val="Monthly"/>
      <sheetName val="ForwardDeriv"/>
      <sheetName val="Charts"/>
      <sheetName val="Cash MOC Name"/>
      <sheetName val="AOM Mogas"/>
      <sheetName val="AOM Mogas Charts"/>
      <sheetName val="Asia Balances"/>
      <sheetName val="Cracks Monthly"/>
      <sheetName val="TS Monthly"/>
      <sheetName val="Stocks"/>
      <sheetName val="Forecast"/>
      <sheetName val="Arbs"/>
      <sheetName val="Monthly Arbs"/>
      <sheetName val="Discussion"/>
      <sheetName val="Price Code Add"/>
    </sheetNames>
    <sheetDataSet>
      <sheetData sheetId="0"/>
      <sheetData sheetId="1">
        <row r="1">
          <cell r="B1">
            <v>1</v>
          </cell>
          <cell r="D1">
            <v>3</v>
          </cell>
          <cell r="E1">
            <v>4</v>
          </cell>
          <cell r="H1">
            <v>7</v>
          </cell>
          <cell r="I1">
            <v>8</v>
          </cell>
          <cell r="BS1">
            <v>70</v>
          </cell>
        </row>
        <row r="3">
          <cell r="B3" t="e">
            <v>#NAME?</v>
          </cell>
          <cell r="D3" t="str">
            <v>Platts Dated Brent [USD/BBL]</v>
          </cell>
          <cell r="E3" t="str">
            <v>Platts Dubai Mo01 (NextGen MOC) [USD/BBL]</v>
          </cell>
          <cell r="H3" t="str">
            <v>Platts Naphtha FOB Spore Cargo $/bbl [USD/BBL]</v>
          </cell>
          <cell r="I3" t="str">
            <v>Platts Gasoline Unl 92 FOB Spore Cargo [USD/BBL]</v>
          </cell>
          <cell r="BS3" t="str">
            <v>Singapore 92 RON Cracks (vs. Dubai) [USD/BBL]</v>
          </cell>
        </row>
        <row r="4">
          <cell r="B4" t="str">
            <v>Date</v>
          </cell>
          <cell r="D4" t="str">
            <v>Close</v>
          </cell>
          <cell r="E4" t="str">
            <v>Close</v>
          </cell>
          <cell r="H4" t="str">
            <v>Close</v>
          </cell>
          <cell r="I4" t="str">
            <v>Close</v>
          </cell>
        </row>
        <row r="5">
          <cell r="B5" t="str">
            <v>d-o-d change</v>
          </cell>
          <cell r="D5">
            <v>-1.9549999999999983</v>
          </cell>
          <cell r="E5">
            <v>-0.54999999999999716</v>
          </cell>
          <cell r="H5">
            <v>-0.82999999999999829</v>
          </cell>
          <cell r="I5">
            <v>-1.0900000000000034</v>
          </cell>
          <cell r="BS5">
            <v>-0.54000000000000625</v>
          </cell>
        </row>
        <row r="6">
          <cell r="B6" t="str">
            <v>w-o-w change</v>
          </cell>
          <cell r="D6">
            <v>-0.55499999999999261</v>
          </cell>
          <cell r="E6">
            <v>1.6400000000000006</v>
          </cell>
          <cell r="H6">
            <v>1.1099999999999994</v>
          </cell>
          <cell r="I6">
            <v>-0.21999999999999886</v>
          </cell>
          <cell r="BS6">
            <v>-1.8599999999999994</v>
          </cell>
        </row>
        <row r="7">
          <cell r="B7">
            <v>40179</v>
          </cell>
          <cell r="D7">
            <v>0</v>
          </cell>
          <cell r="E7">
            <v>0</v>
          </cell>
          <cell r="H7">
            <v>0</v>
          </cell>
          <cell r="I7">
            <v>0</v>
          </cell>
          <cell r="BS7" t="e">
            <v>#N/A</v>
          </cell>
        </row>
        <row r="8">
          <cell r="B8">
            <v>40182</v>
          </cell>
          <cell r="D8">
            <v>78.84</v>
          </cell>
          <cell r="E8">
            <v>78.290000000000006</v>
          </cell>
          <cell r="H8">
            <v>80.69</v>
          </cell>
          <cell r="I8">
            <v>84.3</v>
          </cell>
          <cell r="BS8">
            <v>6.0099999999999909</v>
          </cell>
        </row>
        <row r="9">
          <cell r="B9">
            <v>40183</v>
          </cell>
          <cell r="D9">
            <v>79.34</v>
          </cell>
          <cell r="E9">
            <v>79.739999999999995</v>
          </cell>
          <cell r="H9">
            <v>82.31</v>
          </cell>
          <cell r="I9">
            <v>85.89</v>
          </cell>
          <cell r="BS9">
            <v>6.1500000000000057</v>
          </cell>
        </row>
        <row r="10">
          <cell r="B10">
            <v>40184</v>
          </cell>
          <cell r="D10">
            <v>80.155000000000001</v>
          </cell>
          <cell r="E10">
            <v>79.8</v>
          </cell>
          <cell r="H10">
            <v>82.16</v>
          </cell>
          <cell r="I10">
            <v>85.5</v>
          </cell>
          <cell r="BS10">
            <v>5.7000000000000028</v>
          </cell>
        </row>
        <row r="11">
          <cell r="B11">
            <v>40185</v>
          </cell>
          <cell r="D11">
            <v>80.415000000000006</v>
          </cell>
          <cell r="E11">
            <v>80.680000000000007</v>
          </cell>
          <cell r="H11">
            <v>83.45</v>
          </cell>
          <cell r="I11">
            <v>86.21</v>
          </cell>
          <cell r="BS11">
            <v>5.5299999999999869</v>
          </cell>
        </row>
        <row r="12">
          <cell r="B12">
            <v>40186</v>
          </cell>
          <cell r="D12">
            <v>80.2</v>
          </cell>
          <cell r="E12">
            <v>80.33</v>
          </cell>
          <cell r="H12">
            <v>84.06</v>
          </cell>
          <cell r="I12">
            <v>87.05</v>
          </cell>
          <cell r="BS12">
            <v>6.7199999999999989</v>
          </cell>
        </row>
        <row r="13">
          <cell r="B13">
            <v>40189</v>
          </cell>
          <cell r="D13">
            <v>80</v>
          </cell>
          <cell r="E13">
            <v>81.3</v>
          </cell>
          <cell r="H13">
            <v>85.36</v>
          </cell>
          <cell r="I13">
            <v>89.1</v>
          </cell>
          <cell r="BS13">
            <v>7.7999999999999972</v>
          </cell>
        </row>
        <row r="14">
          <cell r="B14">
            <v>40190</v>
          </cell>
          <cell r="D14">
            <v>79.42</v>
          </cell>
          <cell r="E14">
            <v>80.03</v>
          </cell>
          <cell r="H14">
            <v>84.09</v>
          </cell>
          <cell r="I14">
            <v>87.73</v>
          </cell>
          <cell r="BS14">
            <v>7.7000000000000028</v>
          </cell>
        </row>
        <row r="15">
          <cell r="B15">
            <v>40191</v>
          </cell>
          <cell r="D15">
            <v>77.185000000000002</v>
          </cell>
          <cell r="E15">
            <v>77.95</v>
          </cell>
          <cell r="H15">
            <v>81.47</v>
          </cell>
          <cell r="I15">
            <v>85.21</v>
          </cell>
          <cell r="BS15">
            <v>7.2599999999999909</v>
          </cell>
        </row>
        <row r="16">
          <cell r="B16">
            <v>40192</v>
          </cell>
          <cell r="D16">
            <v>77.844999999999999</v>
          </cell>
          <cell r="E16">
            <v>78.5</v>
          </cell>
          <cell r="H16">
            <v>82.98</v>
          </cell>
          <cell r="I16">
            <v>85.36</v>
          </cell>
          <cell r="BS16">
            <v>6.8599999999999994</v>
          </cell>
        </row>
        <row r="17">
          <cell r="B17">
            <v>40193</v>
          </cell>
          <cell r="D17">
            <v>76.89</v>
          </cell>
          <cell r="E17">
            <v>77.599999999999994</v>
          </cell>
          <cell r="H17">
            <v>82.48</v>
          </cell>
          <cell r="I17">
            <v>84.87</v>
          </cell>
          <cell r="BS17">
            <v>7.2700000000000102</v>
          </cell>
        </row>
        <row r="18">
          <cell r="B18">
            <v>40196</v>
          </cell>
          <cell r="D18">
            <v>75.959999999999994</v>
          </cell>
          <cell r="E18">
            <v>76.459999999999994</v>
          </cell>
          <cell r="H18">
            <v>82.45</v>
          </cell>
          <cell r="I18">
            <v>84.31</v>
          </cell>
          <cell r="BS18">
            <v>7.8500000000000085</v>
          </cell>
        </row>
        <row r="19">
          <cell r="B19">
            <v>40197</v>
          </cell>
          <cell r="D19">
            <v>75.23</v>
          </cell>
          <cell r="E19">
            <v>76.150000000000006</v>
          </cell>
          <cell r="H19">
            <v>81.459999999999994</v>
          </cell>
          <cell r="I19">
            <v>84.6</v>
          </cell>
          <cell r="BS19">
            <v>8.4499999999999886</v>
          </cell>
        </row>
        <row r="20">
          <cell r="B20">
            <v>40198</v>
          </cell>
          <cell r="D20">
            <v>75.045000000000002</v>
          </cell>
          <cell r="E20">
            <v>76.44</v>
          </cell>
          <cell r="H20">
            <v>80.58</v>
          </cell>
          <cell r="I20">
            <v>85.05</v>
          </cell>
          <cell r="BS20">
            <v>8.61</v>
          </cell>
        </row>
        <row r="21">
          <cell r="B21">
            <v>40199</v>
          </cell>
          <cell r="D21">
            <v>74.254999999999995</v>
          </cell>
          <cell r="E21">
            <v>75.900000000000006</v>
          </cell>
          <cell r="H21">
            <v>79.760000000000005</v>
          </cell>
          <cell r="I21">
            <v>85.18</v>
          </cell>
          <cell r="BS21">
            <v>9.2800000000000011</v>
          </cell>
        </row>
        <row r="22">
          <cell r="B22">
            <v>40200</v>
          </cell>
          <cell r="D22">
            <v>72.905000000000001</v>
          </cell>
          <cell r="E22">
            <v>74.36</v>
          </cell>
          <cell r="H22">
            <v>79.06</v>
          </cell>
          <cell r="I22">
            <v>82.53</v>
          </cell>
          <cell r="BS22">
            <v>8.1700000000000017</v>
          </cell>
        </row>
        <row r="23">
          <cell r="B23">
            <v>40203</v>
          </cell>
          <cell r="D23">
            <v>72.63</v>
          </cell>
          <cell r="E23">
            <v>72.27</v>
          </cell>
          <cell r="H23">
            <v>77.23</v>
          </cell>
          <cell r="I23">
            <v>81.92</v>
          </cell>
          <cell r="BS23">
            <v>9.6500000000000057</v>
          </cell>
        </row>
        <row r="24">
          <cell r="B24">
            <v>40204</v>
          </cell>
          <cell r="D24">
            <v>72.465000000000003</v>
          </cell>
          <cell r="E24">
            <v>72.28</v>
          </cell>
          <cell r="H24">
            <v>77.239999999999995</v>
          </cell>
          <cell r="I24">
            <v>83.1</v>
          </cell>
          <cell r="BS24">
            <v>10.819999999999993</v>
          </cell>
        </row>
        <row r="25">
          <cell r="B25">
            <v>40205</v>
          </cell>
          <cell r="D25">
            <v>72.61</v>
          </cell>
          <cell r="E25">
            <v>72.260000000000005</v>
          </cell>
          <cell r="H25">
            <v>76.069999999999993</v>
          </cell>
          <cell r="I25">
            <v>83.1</v>
          </cell>
          <cell r="BS25">
            <v>10.839999999999989</v>
          </cell>
        </row>
        <row r="26">
          <cell r="B26">
            <v>40206</v>
          </cell>
          <cell r="D26">
            <v>70.875</v>
          </cell>
          <cell r="E26">
            <v>72.17</v>
          </cell>
          <cell r="H26">
            <v>75.66</v>
          </cell>
          <cell r="I26">
            <v>83.78</v>
          </cell>
          <cell r="BS26">
            <v>11.61</v>
          </cell>
        </row>
        <row r="27">
          <cell r="B27">
            <v>40207</v>
          </cell>
          <cell r="D27">
            <v>71.52</v>
          </cell>
          <cell r="E27">
            <v>71.290000000000006</v>
          </cell>
          <cell r="H27">
            <v>74.72</v>
          </cell>
          <cell r="I27">
            <v>82.67</v>
          </cell>
          <cell r="BS27">
            <v>11.379999999999995</v>
          </cell>
        </row>
        <row r="28">
          <cell r="B28">
            <v>40210</v>
          </cell>
          <cell r="D28">
            <v>71.545000000000002</v>
          </cell>
          <cell r="E28">
            <v>71.17</v>
          </cell>
          <cell r="H28">
            <v>72.489999999999995</v>
          </cell>
          <cell r="I28">
            <v>82.35</v>
          </cell>
          <cell r="BS28">
            <v>11.179999999999993</v>
          </cell>
        </row>
        <row r="29">
          <cell r="B29">
            <v>40211</v>
          </cell>
          <cell r="D29">
            <v>73.900000000000006</v>
          </cell>
          <cell r="E29">
            <v>72.8</v>
          </cell>
          <cell r="H29">
            <v>73.67</v>
          </cell>
          <cell r="I29">
            <v>84.55</v>
          </cell>
          <cell r="BS29">
            <v>11.75</v>
          </cell>
        </row>
        <row r="30">
          <cell r="B30">
            <v>40212</v>
          </cell>
          <cell r="D30">
            <v>75.784999999999997</v>
          </cell>
          <cell r="E30">
            <v>75.97</v>
          </cell>
          <cell r="H30">
            <v>77.760000000000005</v>
          </cell>
          <cell r="I30">
            <v>86.98</v>
          </cell>
          <cell r="BS30">
            <v>11.010000000000005</v>
          </cell>
        </row>
        <row r="31">
          <cell r="B31">
            <v>40213</v>
          </cell>
          <cell r="D31">
            <v>72.424999999999997</v>
          </cell>
          <cell r="E31">
            <v>74.77</v>
          </cell>
          <cell r="H31">
            <v>78.150000000000006</v>
          </cell>
          <cell r="I31">
            <v>85.6</v>
          </cell>
          <cell r="BS31">
            <v>10.829999999999998</v>
          </cell>
        </row>
        <row r="32">
          <cell r="B32">
            <v>40214</v>
          </cell>
          <cell r="D32">
            <v>70.489999999999995</v>
          </cell>
          <cell r="E32">
            <v>70.61</v>
          </cell>
          <cell r="H32">
            <v>74.5</v>
          </cell>
          <cell r="I32">
            <v>81.38</v>
          </cell>
          <cell r="BS32">
            <v>10.769999999999996</v>
          </cell>
        </row>
        <row r="33">
          <cell r="B33">
            <v>40217</v>
          </cell>
          <cell r="D33">
            <v>69.564999999999998</v>
          </cell>
          <cell r="E33">
            <v>69.400000000000006</v>
          </cell>
          <cell r="H33">
            <v>73.39</v>
          </cell>
          <cell r="I33">
            <v>79.349999999999994</v>
          </cell>
          <cell r="BS33">
            <v>9.9499999999999886</v>
          </cell>
        </row>
        <row r="34">
          <cell r="B34">
            <v>40218</v>
          </cell>
          <cell r="D34">
            <v>69.91</v>
          </cell>
          <cell r="E34">
            <v>69.97</v>
          </cell>
          <cell r="H34">
            <v>73.06</v>
          </cell>
          <cell r="I34">
            <v>79.739999999999995</v>
          </cell>
          <cell r="BS34">
            <v>9.769999999999996</v>
          </cell>
        </row>
        <row r="35">
          <cell r="B35">
            <v>40219</v>
          </cell>
          <cell r="D35">
            <v>70.69</v>
          </cell>
          <cell r="E35">
            <v>71.33</v>
          </cell>
          <cell r="H35">
            <v>73.78</v>
          </cell>
          <cell r="I35">
            <v>80.849999999999994</v>
          </cell>
          <cell r="BS35">
            <v>9.519999999999996</v>
          </cell>
        </row>
        <row r="36">
          <cell r="B36">
            <v>40220</v>
          </cell>
          <cell r="D36">
            <v>72.194999999999993</v>
          </cell>
          <cell r="E36">
            <v>72.239999999999995</v>
          </cell>
          <cell r="H36">
            <v>73.58</v>
          </cell>
          <cell r="I36">
            <v>80.64</v>
          </cell>
          <cell r="BS36">
            <v>8.4000000000000057</v>
          </cell>
        </row>
        <row r="37">
          <cell r="B37">
            <v>40221</v>
          </cell>
          <cell r="D37">
            <v>71.064999999999998</v>
          </cell>
          <cell r="E37">
            <v>72.72</v>
          </cell>
          <cell r="H37">
            <v>73.56</v>
          </cell>
          <cell r="I37">
            <v>80.48</v>
          </cell>
          <cell r="BS37">
            <v>7.7600000000000051</v>
          </cell>
        </row>
        <row r="38">
          <cell r="B38">
            <v>40224</v>
          </cell>
          <cell r="D38">
            <v>71.739999999999995</v>
          </cell>
          <cell r="E38" t="str">
            <v/>
          </cell>
          <cell r="H38">
            <v>0</v>
          </cell>
          <cell r="I38">
            <v>0</v>
          </cell>
          <cell r="BS38" t="e">
            <v>#N/A</v>
          </cell>
        </row>
        <row r="39">
          <cell r="B39">
            <v>40225</v>
          </cell>
          <cell r="D39">
            <v>74.555000000000007</v>
          </cell>
          <cell r="E39" t="str">
            <v/>
          </cell>
          <cell r="H39">
            <v>0</v>
          </cell>
          <cell r="I39">
            <v>0</v>
          </cell>
          <cell r="BS39" t="e">
            <v>#N/A</v>
          </cell>
        </row>
        <row r="40">
          <cell r="B40">
            <v>40226</v>
          </cell>
          <cell r="D40">
            <v>74.75</v>
          </cell>
          <cell r="E40">
            <v>74.97</v>
          </cell>
          <cell r="H40">
            <v>75.400000000000006</v>
          </cell>
          <cell r="I40">
            <v>83.84</v>
          </cell>
          <cell r="BS40">
            <v>8.8700000000000045</v>
          </cell>
        </row>
        <row r="41">
          <cell r="B41">
            <v>40227</v>
          </cell>
          <cell r="D41">
            <v>76.504999999999995</v>
          </cell>
          <cell r="E41">
            <v>73.8</v>
          </cell>
          <cell r="H41">
            <v>74.28</v>
          </cell>
          <cell r="I41">
            <v>83.04</v>
          </cell>
          <cell r="BS41">
            <v>9.2400000000000091</v>
          </cell>
        </row>
        <row r="42">
          <cell r="B42">
            <v>40228</v>
          </cell>
          <cell r="D42">
            <v>76.594999999999999</v>
          </cell>
          <cell r="E42">
            <v>74.7</v>
          </cell>
          <cell r="H42">
            <v>76.069999999999993</v>
          </cell>
          <cell r="I42">
            <v>84.91</v>
          </cell>
          <cell r="BS42">
            <v>10.209999999999994</v>
          </cell>
        </row>
        <row r="43">
          <cell r="B43">
            <v>40231</v>
          </cell>
          <cell r="D43">
            <v>77.14</v>
          </cell>
          <cell r="E43">
            <v>76.38</v>
          </cell>
          <cell r="H43">
            <v>78.14</v>
          </cell>
          <cell r="I43">
            <v>87.03</v>
          </cell>
          <cell r="BS43">
            <v>10.650000000000006</v>
          </cell>
        </row>
        <row r="44">
          <cell r="B44">
            <v>40232</v>
          </cell>
          <cell r="D44">
            <v>76.44</v>
          </cell>
          <cell r="E44">
            <v>76.5</v>
          </cell>
          <cell r="H44">
            <v>79.7</v>
          </cell>
          <cell r="I44">
            <v>86.68</v>
          </cell>
          <cell r="BS44">
            <v>10.180000000000007</v>
          </cell>
        </row>
        <row r="45">
          <cell r="B45">
            <v>40233</v>
          </cell>
          <cell r="D45">
            <v>77.06</v>
          </cell>
          <cell r="E45">
            <v>75.3</v>
          </cell>
          <cell r="H45">
            <v>78.7</v>
          </cell>
          <cell r="I45">
            <v>85.43</v>
          </cell>
          <cell r="BS45">
            <v>10.13000000000001</v>
          </cell>
        </row>
        <row r="46">
          <cell r="B46">
            <v>40234</v>
          </cell>
          <cell r="D46">
            <v>74.084999999999994</v>
          </cell>
          <cell r="E46">
            <v>75.88</v>
          </cell>
          <cell r="H46">
            <v>79.2</v>
          </cell>
          <cell r="I46">
            <v>86.45</v>
          </cell>
          <cell r="BS46">
            <v>10.570000000000007</v>
          </cell>
        </row>
        <row r="47">
          <cell r="B47">
            <v>40235</v>
          </cell>
          <cell r="D47">
            <v>76.224999999999994</v>
          </cell>
          <cell r="E47">
            <v>74.13</v>
          </cell>
          <cell r="H47">
            <v>78.25</v>
          </cell>
          <cell r="I47">
            <v>84.57</v>
          </cell>
          <cell r="BS47">
            <v>10.439999999999998</v>
          </cell>
        </row>
        <row r="48">
          <cell r="B48">
            <v>40238</v>
          </cell>
          <cell r="D48">
            <v>76.875</v>
          </cell>
          <cell r="E48">
            <v>76.48</v>
          </cell>
          <cell r="H48">
            <v>81.56</v>
          </cell>
          <cell r="I48">
            <v>86.6</v>
          </cell>
          <cell r="BS48">
            <v>10.11999999999999</v>
          </cell>
        </row>
        <row r="49">
          <cell r="B49">
            <v>40239</v>
          </cell>
          <cell r="D49">
            <v>77.334999999999994</v>
          </cell>
          <cell r="E49">
            <v>75.150000000000006</v>
          </cell>
          <cell r="H49">
            <v>80.91</v>
          </cell>
          <cell r="I49">
            <v>85.28</v>
          </cell>
          <cell r="BS49">
            <v>10.129999999999995</v>
          </cell>
        </row>
        <row r="50">
          <cell r="B50">
            <v>40240</v>
          </cell>
          <cell r="D50">
            <v>78.709999999999994</v>
          </cell>
          <cell r="E50">
            <v>76.05</v>
          </cell>
          <cell r="H50">
            <v>82.34</v>
          </cell>
          <cell r="I50">
            <v>86.81</v>
          </cell>
          <cell r="BS50">
            <v>10.760000000000005</v>
          </cell>
        </row>
        <row r="51">
          <cell r="B51">
            <v>40241</v>
          </cell>
          <cell r="D51">
            <v>77.91</v>
          </cell>
          <cell r="E51">
            <v>76.52</v>
          </cell>
          <cell r="H51">
            <v>81.739999999999995</v>
          </cell>
          <cell r="I51">
            <v>88.45</v>
          </cell>
          <cell r="BS51">
            <v>11.930000000000007</v>
          </cell>
        </row>
        <row r="52">
          <cell r="B52">
            <v>40242</v>
          </cell>
          <cell r="D52">
            <v>79.265000000000001</v>
          </cell>
          <cell r="E52">
            <v>76.97</v>
          </cell>
          <cell r="H52">
            <v>81.569999999999993</v>
          </cell>
          <cell r="I52">
            <v>88.9</v>
          </cell>
          <cell r="BS52">
            <v>11.930000000000007</v>
          </cell>
        </row>
        <row r="53">
          <cell r="B53">
            <v>40245</v>
          </cell>
          <cell r="D53">
            <v>79.144999999999996</v>
          </cell>
          <cell r="E53">
            <v>78.099999999999994</v>
          </cell>
          <cell r="H53">
            <v>81.510000000000005</v>
          </cell>
          <cell r="I53">
            <v>90.3</v>
          </cell>
          <cell r="BS53">
            <v>12.200000000000003</v>
          </cell>
        </row>
        <row r="54">
          <cell r="B54">
            <v>40246</v>
          </cell>
          <cell r="D54">
            <v>78.875</v>
          </cell>
          <cell r="E54">
            <v>77.55</v>
          </cell>
          <cell r="H54">
            <v>79.72</v>
          </cell>
          <cell r="I54">
            <v>89.41</v>
          </cell>
          <cell r="BS54">
            <v>11.86</v>
          </cell>
        </row>
        <row r="55">
          <cell r="B55">
            <v>40247</v>
          </cell>
          <cell r="D55">
            <v>80.004999999999995</v>
          </cell>
          <cell r="E55">
            <v>77.5</v>
          </cell>
          <cell r="H55">
            <v>80.56</v>
          </cell>
          <cell r="I55">
            <v>88.71</v>
          </cell>
          <cell r="BS55">
            <v>11.209999999999994</v>
          </cell>
        </row>
        <row r="56">
          <cell r="B56">
            <v>40248</v>
          </cell>
          <cell r="D56">
            <v>79.290000000000006</v>
          </cell>
          <cell r="E56">
            <v>77.849999999999994</v>
          </cell>
          <cell r="H56">
            <v>81.86</v>
          </cell>
          <cell r="I56">
            <v>89.33</v>
          </cell>
          <cell r="BS56">
            <v>11.480000000000004</v>
          </cell>
        </row>
        <row r="57">
          <cell r="B57">
            <v>40249</v>
          </cell>
          <cell r="D57">
            <v>79.284999999999997</v>
          </cell>
          <cell r="E57">
            <v>78.3</v>
          </cell>
          <cell r="H57">
            <v>82.31</v>
          </cell>
          <cell r="I57">
            <v>89.92</v>
          </cell>
          <cell r="BS57">
            <v>11.620000000000005</v>
          </cell>
        </row>
        <row r="58">
          <cell r="B58">
            <v>40252</v>
          </cell>
          <cell r="D58">
            <v>77.144999999999996</v>
          </cell>
          <cell r="E58">
            <v>77.400000000000006</v>
          </cell>
          <cell r="H58">
            <v>82.08</v>
          </cell>
          <cell r="I58">
            <v>89.29</v>
          </cell>
          <cell r="BS58">
            <v>11.89</v>
          </cell>
        </row>
        <row r="59">
          <cell r="B59">
            <v>40253</v>
          </cell>
          <cell r="D59">
            <v>79.680000000000007</v>
          </cell>
          <cell r="E59">
            <v>75.900000000000006</v>
          </cell>
          <cell r="H59">
            <v>80.400000000000006</v>
          </cell>
          <cell r="I59">
            <v>87.25</v>
          </cell>
          <cell r="BS59">
            <v>11.349999999999994</v>
          </cell>
        </row>
        <row r="60">
          <cell r="B60">
            <v>40254</v>
          </cell>
          <cell r="D60">
            <v>80.489999999999995</v>
          </cell>
          <cell r="E60">
            <v>78.010000000000005</v>
          </cell>
          <cell r="H60">
            <v>81.819999999999993</v>
          </cell>
          <cell r="I60">
            <v>89.6</v>
          </cell>
          <cell r="BS60">
            <v>11.589999999999989</v>
          </cell>
        </row>
        <row r="61">
          <cell r="B61">
            <v>40255</v>
          </cell>
          <cell r="D61">
            <v>80.13</v>
          </cell>
          <cell r="E61">
            <v>77.66</v>
          </cell>
          <cell r="H61">
            <v>81.44</v>
          </cell>
          <cell r="I61">
            <v>89.45</v>
          </cell>
          <cell r="BS61">
            <v>11.790000000000006</v>
          </cell>
        </row>
        <row r="62">
          <cell r="B62">
            <v>40256</v>
          </cell>
          <cell r="D62">
            <v>77.89</v>
          </cell>
          <cell r="E62">
            <v>78</v>
          </cell>
          <cell r="H62">
            <v>81.17</v>
          </cell>
          <cell r="I62">
            <v>89.85</v>
          </cell>
          <cell r="BS62">
            <v>11.849999999999994</v>
          </cell>
        </row>
        <row r="63">
          <cell r="B63">
            <v>40259</v>
          </cell>
          <cell r="D63">
            <v>78.284999999999997</v>
          </cell>
          <cell r="E63">
            <v>76.650000000000006</v>
          </cell>
          <cell r="H63">
            <v>79.12</v>
          </cell>
          <cell r="I63">
            <v>88.06</v>
          </cell>
          <cell r="BS63">
            <v>11.409999999999997</v>
          </cell>
        </row>
        <row r="64">
          <cell r="B64">
            <v>40260</v>
          </cell>
          <cell r="D64">
            <v>79.349999999999994</v>
          </cell>
          <cell r="E64">
            <v>77.42</v>
          </cell>
          <cell r="H64">
            <v>80.06</v>
          </cell>
          <cell r="I64">
            <v>88.49</v>
          </cell>
          <cell r="BS64">
            <v>11.069999999999993</v>
          </cell>
        </row>
        <row r="65">
          <cell r="B65">
            <v>40261</v>
          </cell>
          <cell r="D65">
            <v>78.125</v>
          </cell>
          <cell r="E65">
            <v>77.39</v>
          </cell>
          <cell r="H65">
            <v>79.400000000000006</v>
          </cell>
          <cell r="I65">
            <v>87.89</v>
          </cell>
          <cell r="BS65">
            <v>10.5</v>
          </cell>
        </row>
        <row r="66">
          <cell r="B66">
            <v>40262</v>
          </cell>
          <cell r="D66">
            <v>79.025000000000006</v>
          </cell>
          <cell r="E66">
            <v>77.22</v>
          </cell>
          <cell r="H66">
            <v>78.62</v>
          </cell>
          <cell r="I66">
            <v>87.41</v>
          </cell>
          <cell r="BS66">
            <v>10.189999999999998</v>
          </cell>
        </row>
        <row r="67">
          <cell r="B67">
            <v>40263</v>
          </cell>
          <cell r="D67">
            <v>77.64</v>
          </cell>
          <cell r="E67">
            <v>77.650000000000006</v>
          </cell>
          <cell r="H67">
            <v>79.63</v>
          </cell>
          <cell r="I67">
            <v>87.69</v>
          </cell>
          <cell r="BS67">
            <v>10.039999999999992</v>
          </cell>
        </row>
        <row r="68">
          <cell r="B68">
            <v>40266</v>
          </cell>
          <cell r="D68">
            <v>80.13</v>
          </cell>
          <cell r="E68">
            <v>77.3</v>
          </cell>
          <cell r="H68">
            <v>79.959999999999994</v>
          </cell>
          <cell r="I68">
            <v>87.42</v>
          </cell>
          <cell r="BS68">
            <v>10.120000000000005</v>
          </cell>
        </row>
        <row r="69">
          <cell r="B69">
            <v>40267</v>
          </cell>
          <cell r="D69">
            <v>79.644999999999996</v>
          </cell>
          <cell r="E69">
            <v>78.459999999999994</v>
          </cell>
          <cell r="H69">
            <v>80.959999999999994</v>
          </cell>
          <cell r="I69">
            <v>89.25</v>
          </cell>
          <cell r="BS69">
            <v>10.790000000000006</v>
          </cell>
        </row>
        <row r="70">
          <cell r="B70">
            <v>40268</v>
          </cell>
          <cell r="D70">
            <v>80.295000000000002</v>
          </cell>
          <cell r="E70">
            <v>78.650000000000006</v>
          </cell>
          <cell r="H70">
            <v>80.62</v>
          </cell>
          <cell r="I70">
            <v>89.64</v>
          </cell>
          <cell r="BS70">
            <v>10.989999999999995</v>
          </cell>
        </row>
        <row r="71">
          <cell r="B71">
            <v>40269</v>
          </cell>
          <cell r="D71">
            <v>82.724999999999994</v>
          </cell>
          <cell r="E71">
            <v>80.27</v>
          </cell>
          <cell r="H71">
            <v>80.930000000000007</v>
          </cell>
          <cell r="I71">
            <v>91.25</v>
          </cell>
          <cell r="BS71">
            <v>10.980000000000004</v>
          </cell>
        </row>
        <row r="72">
          <cell r="B72">
            <v>40270</v>
          </cell>
          <cell r="D72" t="str">
            <v/>
          </cell>
          <cell r="E72" t="str">
            <v/>
          </cell>
          <cell r="H72">
            <v>0</v>
          </cell>
          <cell r="I72">
            <v>0</v>
          </cell>
          <cell r="BS72" t="e">
            <v>#N/A</v>
          </cell>
        </row>
        <row r="73">
          <cell r="B73">
            <v>40273</v>
          </cell>
          <cell r="D73" t="str">
            <v/>
          </cell>
          <cell r="E73">
            <v>82.23</v>
          </cell>
          <cell r="H73">
            <v>81.48</v>
          </cell>
          <cell r="I73">
            <v>92.94</v>
          </cell>
          <cell r="BS73">
            <v>10.709999999999994</v>
          </cell>
        </row>
        <row r="74">
          <cell r="B74">
            <v>40274</v>
          </cell>
          <cell r="D74">
            <v>85.844999999999999</v>
          </cell>
          <cell r="E74">
            <v>83.11</v>
          </cell>
          <cell r="H74">
            <v>82.15</v>
          </cell>
          <cell r="I74">
            <v>92.75</v>
          </cell>
          <cell r="BS74">
            <v>9.64</v>
          </cell>
        </row>
        <row r="75">
          <cell r="B75">
            <v>40275</v>
          </cell>
          <cell r="D75">
            <v>84.905000000000001</v>
          </cell>
          <cell r="E75">
            <v>83.6</v>
          </cell>
          <cell r="H75">
            <v>81.55</v>
          </cell>
          <cell r="I75">
            <v>92.66</v>
          </cell>
          <cell r="BS75">
            <v>9.0600000000000023</v>
          </cell>
        </row>
        <row r="76">
          <cell r="B76">
            <v>40276</v>
          </cell>
          <cell r="D76">
            <v>83.474999999999994</v>
          </cell>
          <cell r="E76">
            <v>82.81</v>
          </cell>
          <cell r="H76">
            <v>81.010000000000005</v>
          </cell>
          <cell r="I76">
            <v>91.15</v>
          </cell>
          <cell r="BS76">
            <v>8.3400000000000034</v>
          </cell>
        </row>
        <row r="77">
          <cell r="B77">
            <v>40277</v>
          </cell>
          <cell r="D77">
            <v>83.474999999999994</v>
          </cell>
          <cell r="E77">
            <v>83.75</v>
          </cell>
          <cell r="H77">
            <v>82.54</v>
          </cell>
          <cell r="I77">
            <v>92.65</v>
          </cell>
          <cell r="BS77">
            <v>8.9000000000000057</v>
          </cell>
        </row>
        <row r="78">
          <cell r="B78">
            <v>40280</v>
          </cell>
          <cell r="D78">
            <v>84.61</v>
          </cell>
          <cell r="E78">
            <v>83.62</v>
          </cell>
          <cell r="H78">
            <v>82.96</v>
          </cell>
          <cell r="I78">
            <v>92.06</v>
          </cell>
          <cell r="BS78">
            <v>8.4399999999999977</v>
          </cell>
        </row>
        <row r="79">
          <cell r="B79">
            <v>40281</v>
          </cell>
          <cell r="D79">
            <v>83.325000000000003</v>
          </cell>
          <cell r="E79">
            <v>82.98</v>
          </cell>
          <cell r="H79">
            <v>82.3</v>
          </cell>
          <cell r="I79">
            <v>91.15</v>
          </cell>
          <cell r="BS79">
            <v>8.1700000000000017</v>
          </cell>
        </row>
        <row r="80">
          <cell r="B80">
            <v>40282</v>
          </cell>
          <cell r="D80">
            <v>85.65</v>
          </cell>
          <cell r="E80">
            <v>83.44</v>
          </cell>
          <cell r="H80">
            <v>82.21</v>
          </cell>
          <cell r="I80">
            <v>91.85</v>
          </cell>
          <cell r="BS80">
            <v>8.4099999999999966</v>
          </cell>
        </row>
        <row r="81">
          <cell r="B81">
            <v>40283</v>
          </cell>
          <cell r="D81">
            <v>86.02</v>
          </cell>
          <cell r="E81">
            <v>84.35</v>
          </cell>
          <cell r="H81">
            <v>83.91</v>
          </cell>
          <cell r="I81">
            <v>92.8</v>
          </cell>
          <cell r="BS81">
            <v>8.4500000000000028</v>
          </cell>
        </row>
        <row r="82">
          <cell r="B82">
            <v>40284</v>
          </cell>
          <cell r="D82">
            <v>84.96</v>
          </cell>
          <cell r="E82">
            <v>84.8</v>
          </cell>
          <cell r="H82">
            <v>83.91</v>
          </cell>
          <cell r="I82">
            <v>92</v>
          </cell>
          <cell r="BS82">
            <v>7.2000000000000028</v>
          </cell>
        </row>
        <row r="83">
          <cell r="B83">
            <v>40287</v>
          </cell>
          <cell r="D83">
            <v>83.19</v>
          </cell>
          <cell r="E83">
            <v>82.4</v>
          </cell>
          <cell r="H83">
            <v>81.69</v>
          </cell>
          <cell r="I83">
            <v>89.16</v>
          </cell>
          <cell r="BS83">
            <v>6.7599999999999909</v>
          </cell>
        </row>
        <row r="84">
          <cell r="B84">
            <v>40288</v>
          </cell>
          <cell r="D84">
            <v>84.734999999999999</v>
          </cell>
          <cell r="E84">
            <v>83.11</v>
          </cell>
          <cell r="H84">
            <v>83.38</v>
          </cell>
          <cell r="I84">
            <v>90.28</v>
          </cell>
          <cell r="BS84">
            <v>7.1700000000000017</v>
          </cell>
        </row>
        <row r="85">
          <cell r="B85">
            <v>40289</v>
          </cell>
          <cell r="D85">
            <v>84.47</v>
          </cell>
          <cell r="E85">
            <v>83.42</v>
          </cell>
          <cell r="H85">
            <v>84.5</v>
          </cell>
          <cell r="I85">
            <v>92.23</v>
          </cell>
          <cell r="BS85">
            <v>8.8100000000000023</v>
          </cell>
        </row>
        <row r="86">
          <cell r="B86">
            <v>40290</v>
          </cell>
          <cell r="D86">
            <v>84.635000000000005</v>
          </cell>
          <cell r="E86">
            <v>84.06</v>
          </cell>
          <cell r="H86">
            <v>83.78</v>
          </cell>
          <cell r="I86">
            <v>91.56</v>
          </cell>
          <cell r="BS86">
            <v>7.5</v>
          </cell>
        </row>
        <row r="87">
          <cell r="B87">
            <v>40291</v>
          </cell>
          <cell r="D87">
            <v>86.484999999999999</v>
          </cell>
          <cell r="E87">
            <v>83.74</v>
          </cell>
          <cell r="H87">
            <v>83.3</v>
          </cell>
          <cell r="I87">
            <v>91.7</v>
          </cell>
          <cell r="BS87">
            <v>7.960000000000008</v>
          </cell>
        </row>
        <row r="88">
          <cell r="B88">
            <v>40294</v>
          </cell>
          <cell r="D88">
            <v>86.784999999999997</v>
          </cell>
          <cell r="E88">
            <v>85.32</v>
          </cell>
          <cell r="H88">
            <v>85.02</v>
          </cell>
          <cell r="I88">
            <v>93.62</v>
          </cell>
          <cell r="BS88">
            <v>8.3000000000000114</v>
          </cell>
        </row>
        <row r="89">
          <cell r="B89">
            <v>40295</v>
          </cell>
          <cell r="D89">
            <v>85.92</v>
          </cell>
          <cell r="E89">
            <v>84.69</v>
          </cell>
          <cell r="H89">
            <v>85.51</v>
          </cell>
          <cell r="I89">
            <v>92.54</v>
          </cell>
          <cell r="BS89">
            <v>7.8500000000000085</v>
          </cell>
        </row>
        <row r="90">
          <cell r="B90">
            <v>40296</v>
          </cell>
          <cell r="D90">
            <v>84.534999999999997</v>
          </cell>
          <cell r="E90">
            <v>83.34</v>
          </cell>
          <cell r="H90">
            <v>83.71</v>
          </cell>
          <cell r="I90">
            <v>91.05</v>
          </cell>
          <cell r="BS90">
            <v>7.7099999999999937</v>
          </cell>
        </row>
        <row r="91">
          <cell r="B91">
            <v>40297</v>
          </cell>
          <cell r="D91">
            <v>86.39</v>
          </cell>
          <cell r="E91">
            <v>84.57</v>
          </cell>
          <cell r="H91">
            <v>84.43</v>
          </cell>
          <cell r="I91">
            <v>91.7</v>
          </cell>
          <cell r="BS91">
            <v>7.1300000000000097</v>
          </cell>
        </row>
        <row r="92">
          <cell r="B92">
            <v>40298</v>
          </cell>
          <cell r="D92">
            <v>85.584999999999994</v>
          </cell>
          <cell r="E92">
            <v>85.77</v>
          </cell>
          <cell r="H92">
            <v>85.45</v>
          </cell>
          <cell r="I92">
            <v>92.94</v>
          </cell>
          <cell r="BS92">
            <v>7.1700000000000017</v>
          </cell>
        </row>
        <row r="93">
          <cell r="B93">
            <v>40301</v>
          </cell>
          <cell r="D93" t="str">
            <v/>
          </cell>
          <cell r="E93">
            <v>86.04</v>
          </cell>
          <cell r="H93">
            <v>86.21</v>
          </cell>
          <cell r="I93">
            <v>93.88</v>
          </cell>
          <cell r="BS93">
            <v>7.8399999999999892</v>
          </cell>
        </row>
        <row r="94">
          <cell r="B94">
            <v>40302</v>
          </cell>
          <cell r="D94">
            <v>84.834999999999994</v>
          </cell>
          <cell r="E94">
            <v>87.36</v>
          </cell>
          <cell r="H94">
            <v>87.14</v>
          </cell>
          <cell r="I94">
            <v>94.8</v>
          </cell>
          <cell r="BS94">
            <v>7.4399999999999977</v>
          </cell>
        </row>
        <row r="95">
          <cell r="B95">
            <v>40303</v>
          </cell>
          <cell r="D95">
            <v>82.125</v>
          </cell>
          <cell r="E95">
            <v>83.97</v>
          </cell>
          <cell r="H95">
            <v>84.67</v>
          </cell>
          <cell r="I95">
            <v>90.7</v>
          </cell>
          <cell r="BS95">
            <v>6.730000000000004</v>
          </cell>
        </row>
        <row r="96">
          <cell r="B96">
            <v>40304</v>
          </cell>
          <cell r="D96">
            <v>79.995000000000005</v>
          </cell>
          <cell r="E96">
            <v>81.37</v>
          </cell>
          <cell r="H96">
            <v>82.99</v>
          </cell>
          <cell r="I96">
            <v>87.45</v>
          </cell>
          <cell r="BS96">
            <v>6.0799999999999983</v>
          </cell>
        </row>
        <row r="97">
          <cell r="B97">
            <v>40305</v>
          </cell>
          <cell r="D97">
            <v>76.704999999999998</v>
          </cell>
          <cell r="E97">
            <v>79.22</v>
          </cell>
          <cell r="H97">
            <v>81.2</v>
          </cell>
          <cell r="I97">
            <v>84.7</v>
          </cell>
          <cell r="BS97">
            <v>5.480000000000004</v>
          </cell>
        </row>
        <row r="98">
          <cell r="B98">
            <v>40308</v>
          </cell>
          <cell r="D98">
            <v>78.245000000000005</v>
          </cell>
          <cell r="E98">
            <v>80.7</v>
          </cell>
          <cell r="H98">
            <v>82.43</v>
          </cell>
          <cell r="I98">
            <v>86.08</v>
          </cell>
          <cell r="BS98">
            <v>5.3799999999999955</v>
          </cell>
        </row>
        <row r="99">
          <cell r="B99">
            <v>40309</v>
          </cell>
          <cell r="D99">
            <v>79.215000000000003</v>
          </cell>
          <cell r="E99">
            <v>79.260000000000005</v>
          </cell>
          <cell r="H99">
            <v>80.03</v>
          </cell>
          <cell r="I99">
            <v>84.09</v>
          </cell>
          <cell r="BS99">
            <v>4.8299999999999983</v>
          </cell>
        </row>
        <row r="100">
          <cell r="B100">
            <v>40310</v>
          </cell>
          <cell r="D100">
            <v>78.795000000000002</v>
          </cell>
          <cell r="E100">
            <v>80.89</v>
          </cell>
          <cell r="H100">
            <v>80.2</v>
          </cell>
          <cell r="I100">
            <v>85.74</v>
          </cell>
          <cell r="BS100">
            <v>4.8499999999999943</v>
          </cell>
        </row>
        <row r="101">
          <cell r="B101">
            <v>40311</v>
          </cell>
          <cell r="D101">
            <v>79.415000000000006</v>
          </cell>
          <cell r="E101">
            <v>81.23</v>
          </cell>
          <cell r="H101">
            <v>81.06</v>
          </cell>
          <cell r="I101">
            <v>86.62</v>
          </cell>
          <cell r="BS101">
            <v>5.3900000000000006</v>
          </cell>
        </row>
        <row r="102">
          <cell r="B102">
            <v>40312</v>
          </cell>
          <cell r="D102">
            <v>76.260000000000005</v>
          </cell>
          <cell r="E102">
            <v>79.13</v>
          </cell>
          <cell r="H102">
            <v>80.78</v>
          </cell>
          <cell r="I102">
            <v>85.4</v>
          </cell>
          <cell r="BS102">
            <v>6.2700000000000102</v>
          </cell>
        </row>
        <row r="103">
          <cell r="B103">
            <v>40315</v>
          </cell>
          <cell r="D103">
            <v>73.454999999999998</v>
          </cell>
          <cell r="E103">
            <v>75.81</v>
          </cell>
          <cell r="H103">
            <v>77.540000000000006</v>
          </cell>
          <cell r="I103">
            <v>81.900000000000006</v>
          </cell>
          <cell r="BS103">
            <v>6.0900000000000034</v>
          </cell>
        </row>
        <row r="104">
          <cell r="B104">
            <v>40316</v>
          </cell>
          <cell r="D104">
            <v>73.95</v>
          </cell>
          <cell r="E104">
            <v>75.11</v>
          </cell>
          <cell r="H104">
            <v>77.19</v>
          </cell>
          <cell r="I104">
            <v>81.33</v>
          </cell>
          <cell r="BS104">
            <v>6.2199999999999989</v>
          </cell>
        </row>
        <row r="105">
          <cell r="B105">
            <v>40317</v>
          </cell>
          <cell r="D105">
            <v>71.655000000000001</v>
          </cell>
          <cell r="E105">
            <v>72.209999999999994</v>
          </cell>
          <cell r="H105">
            <v>74.42</v>
          </cell>
          <cell r="I105">
            <v>79.05</v>
          </cell>
          <cell r="BS105">
            <v>6.8400000000000034</v>
          </cell>
        </row>
        <row r="106">
          <cell r="B106">
            <v>40318</v>
          </cell>
          <cell r="D106">
            <v>69.465000000000003</v>
          </cell>
          <cell r="E106">
            <v>72.12</v>
          </cell>
          <cell r="H106">
            <v>73.569999999999993</v>
          </cell>
          <cell r="I106">
            <v>79.08</v>
          </cell>
          <cell r="BS106">
            <v>6.9599999999999937</v>
          </cell>
        </row>
        <row r="107">
          <cell r="B107">
            <v>40319</v>
          </cell>
          <cell r="D107">
            <v>70.510000000000005</v>
          </cell>
          <cell r="E107">
            <v>69.63</v>
          </cell>
          <cell r="H107">
            <v>69.73</v>
          </cell>
          <cell r="I107">
            <v>76.11</v>
          </cell>
          <cell r="BS107">
            <v>6.480000000000004</v>
          </cell>
        </row>
        <row r="108">
          <cell r="B108">
            <v>40322</v>
          </cell>
          <cell r="D108">
            <v>69.424999999999997</v>
          </cell>
          <cell r="E108">
            <v>70.150000000000006</v>
          </cell>
          <cell r="H108">
            <v>70.45</v>
          </cell>
          <cell r="I108">
            <v>76.599999999999994</v>
          </cell>
          <cell r="BS108">
            <v>6.4499999999999886</v>
          </cell>
        </row>
        <row r="109">
          <cell r="B109">
            <v>40323</v>
          </cell>
          <cell r="D109">
            <v>67.58</v>
          </cell>
          <cell r="E109">
            <v>68.22</v>
          </cell>
          <cell r="H109">
            <v>67.48</v>
          </cell>
          <cell r="I109">
            <v>74.63</v>
          </cell>
          <cell r="BS109">
            <v>6.4099999999999966</v>
          </cell>
        </row>
        <row r="110">
          <cell r="B110">
            <v>40324</v>
          </cell>
          <cell r="D110">
            <v>70.015000000000001</v>
          </cell>
          <cell r="E110">
            <v>69.12</v>
          </cell>
          <cell r="H110">
            <v>68.27</v>
          </cell>
          <cell r="I110">
            <v>75.849999999999994</v>
          </cell>
          <cell r="BS110">
            <v>6.7299999999999898</v>
          </cell>
        </row>
        <row r="111">
          <cell r="B111">
            <v>40325</v>
          </cell>
          <cell r="D111">
            <v>73.155000000000001</v>
          </cell>
          <cell r="E111">
            <v>70.73</v>
          </cell>
          <cell r="H111">
            <v>69.77</v>
          </cell>
          <cell r="I111">
            <v>76.760000000000005</v>
          </cell>
          <cell r="BS111">
            <v>6.0300000000000011</v>
          </cell>
        </row>
        <row r="112">
          <cell r="B112">
            <v>40326</v>
          </cell>
          <cell r="D112">
            <v>73.290000000000006</v>
          </cell>
          <cell r="E112" t="str">
            <v/>
          </cell>
          <cell r="H112">
            <v>0</v>
          </cell>
          <cell r="I112">
            <v>0</v>
          </cell>
          <cell r="BS112" t="e">
            <v>#N/A</v>
          </cell>
        </row>
        <row r="113">
          <cell r="B113">
            <v>40329</v>
          </cell>
          <cell r="D113" t="str">
            <v/>
          </cell>
          <cell r="E113">
            <v>73.31</v>
          </cell>
          <cell r="H113">
            <v>73.38</v>
          </cell>
          <cell r="I113">
            <v>79.959999999999994</v>
          </cell>
          <cell r="BS113">
            <v>6.6499999999999915</v>
          </cell>
        </row>
        <row r="114">
          <cell r="B114">
            <v>40330</v>
          </cell>
          <cell r="D114">
            <v>73.114999999999995</v>
          </cell>
          <cell r="E114">
            <v>72.06</v>
          </cell>
          <cell r="H114">
            <v>71.94</v>
          </cell>
          <cell r="I114">
            <v>78.28</v>
          </cell>
          <cell r="BS114">
            <v>6.2199999999999989</v>
          </cell>
        </row>
        <row r="115">
          <cell r="B115">
            <v>40331</v>
          </cell>
          <cell r="D115">
            <v>73.385000000000005</v>
          </cell>
          <cell r="E115">
            <v>71.819999999999993</v>
          </cell>
          <cell r="H115">
            <v>71.25</v>
          </cell>
          <cell r="I115">
            <v>77.39</v>
          </cell>
          <cell r="BS115">
            <v>5.5700000000000074</v>
          </cell>
        </row>
        <row r="116">
          <cell r="B116">
            <v>40332</v>
          </cell>
          <cell r="D116">
            <v>73.754999999999995</v>
          </cell>
          <cell r="E116">
            <v>74.400000000000006</v>
          </cell>
          <cell r="H116">
            <v>74.040000000000006</v>
          </cell>
          <cell r="I116">
            <v>80.66</v>
          </cell>
          <cell r="BS116">
            <v>6.2599999999999909</v>
          </cell>
        </row>
        <row r="117">
          <cell r="B117">
            <v>40333</v>
          </cell>
          <cell r="D117">
            <v>71.849999999999994</v>
          </cell>
          <cell r="E117">
            <v>75.02</v>
          </cell>
          <cell r="H117">
            <v>73.7</v>
          </cell>
          <cell r="I117">
            <v>81.63</v>
          </cell>
          <cell r="BS117">
            <v>6.6099999999999994</v>
          </cell>
        </row>
        <row r="118">
          <cell r="B118">
            <v>40336</v>
          </cell>
          <cell r="D118">
            <v>70.875</v>
          </cell>
          <cell r="E118">
            <v>70.8</v>
          </cell>
          <cell r="H118">
            <v>69.84</v>
          </cell>
          <cell r="I118">
            <v>77.19</v>
          </cell>
          <cell r="BS118">
            <v>6.3900000000000006</v>
          </cell>
        </row>
        <row r="119">
          <cell r="B119">
            <v>40337</v>
          </cell>
          <cell r="D119">
            <v>71.144999999999996</v>
          </cell>
          <cell r="E119">
            <v>71.75</v>
          </cell>
          <cell r="H119">
            <v>69.84</v>
          </cell>
          <cell r="I119">
            <v>78.86</v>
          </cell>
          <cell r="BS119">
            <v>7.1099999999999994</v>
          </cell>
        </row>
        <row r="120">
          <cell r="B120">
            <v>40338</v>
          </cell>
          <cell r="D120">
            <v>73.739999999999995</v>
          </cell>
          <cell r="E120">
            <v>71.52</v>
          </cell>
          <cell r="H120">
            <v>70.569999999999993</v>
          </cell>
          <cell r="I120">
            <v>78.760000000000005</v>
          </cell>
          <cell r="BS120">
            <v>7.2400000000000091</v>
          </cell>
        </row>
        <row r="121">
          <cell r="B121">
            <v>40339</v>
          </cell>
          <cell r="D121">
            <v>74.2</v>
          </cell>
          <cell r="E121">
            <v>72.88</v>
          </cell>
          <cell r="H121">
            <v>71.45</v>
          </cell>
          <cell r="I121">
            <v>80.41</v>
          </cell>
          <cell r="BS121">
            <v>7.5300000000000011</v>
          </cell>
        </row>
        <row r="122">
          <cell r="B122">
            <v>40340</v>
          </cell>
          <cell r="D122">
            <v>73.135000000000005</v>
          </cell>
          <cell r="E122">
            <v>73.98</v>
          </cell>
          <cell r="H122">
            <v>72.709999999999994</v>
          </cell>
          <cell r="I122">
            <v>81.39</v>
          </cell>
          <cell r="BS122">
            <v>7.4099999999999966</v>
          </cell>
        </row>
        <row r="123">
          <cell r="B123">
            <v>40343</v>
          </cell>
          <cell r="D123">
            <v>75.22</v>
          </cell>
          <cell r="E123">
            <v>74.55</v>
          </cell>
          <cell r="H123">
            <v>72.849999999999994</v>
          </cell>
          <cell r="I123">
            <v>82.02</v>
          </cell>
          <cell r="BS123">
            <v>7.4699999999999989</v>
          </cell>
        </row>
        <row r="124">
          <cell r="B124">
            <v>40344</v>
          </cell>
          <cell r="D124">
            <v>75.14</v>
          </cell>
          <cell r="E124">
            <v>73.8</v>
          </cell>
          <cell r="H124">
            <v>72.13</v>
          </cell>
          <cell r="I124">
            <v>81.86</v>
          </cell>
          <cell r="BS124">
            <v>8.0600000000000023</v>
          </cell>
        </row>
        <row r="125">
          <cell r="B125">
            <v>40345</v>
          </cell>
          <cell r="D125">
            <v>75.760000000000005</v>
          </cell>
          <cell r="E125">
            <v>74.819999999999993</v>
          </cell>
          <cell r="H125">
            <v>72.849999999999994</v>
          </cell>
          <cell r="I125">
            <v>82.93</v>
          </cell>
          <cell r="BS125">
            <v>8.1100000000000136</v>
          </cell>
        </row>
        <row r="126">
          <cell r="B126">
            <v>40346</v>
          </cell>
          <cell r="D126">
            <v>77.62</v>
          </cell>
          <cell r="E126">
            <v>76.12</v>
          </cell>
          <cell r="H126">
            <v>75.22</v>
          </cell>
          <cell r="I126">
            <v>84.62</v>
          </cell>
          <cell r="BS126">
            <v>8.5</v>
          </cell>
        </row>
        <row r="127">
          <cell r="B127">
            <v>40347</v>
          </cell>
          <cell r="D127">
            <v>77.22</v>
          </cell>
          <cell r="E127">
            <v>76.05</v>
          </cell>
          <cell r="H127">
            <v>74.84</v>
          </cell>
          <cell r="I127">
            <v>84.7</v>
          </cell>
          <cell r="BS127">
            <v>8.6500000000000057</v>
          </cell>
        </row>
        <row r="128">
          <cell r="B128">
            <v>40350</v>
          </cell>
          <cell r="D128">
            <v>78.569999999999993</v>
          </cell>
          <cell r="E128">
            <v>76.819999999999993</v>
          </cell>
          <cell r="H128">
            <v>75.099999999999994</v>
          </cell>
          <cell r="I128">
            <v>86.01</v>
          </cell>
          <cell r="BS128">
            <v>9.1900000000000119</v>
          </cell>
        </row>
        <row r="129">
          <cell r="B129">
            <v>40351</v>
          </cell>
          <cell r="D129">
            <v>78.045000000000002</v>
          </cell>
          <cell r="E129">
            <v>75.650000000000006</v>
          </cell>
          <cell r="H129">
            <v>73.22</v>
          </cell>
          <cell r="I129">
            <v>83.82</v>
          </cell>
          <cell r="BS129">
            <v>8.1699999999999875</v>
          </cell>
        </row>
        <row r="130">
          <cell r="B130">
            <v>40352</v>
          </cell>
          <cell r="D130">
            <v>75.894999999999996</v>
          </cell>
          <cell r="E130">
            <v>75.650000000000006</v>
          </cell>
          <cell r="H130">
            <v>72.709999999999994</v>
          </cell>
          <cell r="I130">
            <v>83.95</v>
          </cell>
          <cell r="BS130">
            <v>8.2999999999999972</v>
          </cell>
        </row>
        <row r="131">
          <cell r="B131">
            <v>40353</v>
          </cell>
          <cell r="D131">
            <v>75.275000000000006</v>
          </cell>
          <cell r="E131">
            <v>73.73</v>
          </cell>
          <cell r="H131">
            <v>71.56</v>
          </cell>
          <cell r="I131">
            <v>81.260000000000005</v>
          </cell>
          <cell r="BS131">
            <v>7.5300000000000011</v>
          </cell>
        </row>
        <row r="132">
          <cell r="B132">
            <v>40354</v>
          </cell>
          <cell r="D132">
            <v>76.275000000000006</v>
          </cell>
          <cell r="E132">
            <v>73.95</v>
          </cell>
          <cell r="H132">
            <v>71.92</v>
          </cell>
          <cell r="I132">
            <v>82.06</v>
          </cell>
          <cell r="BS132">
            <v>8.11</v>
          </cell>
        </row>
        <row r="133">
          <cell r="B133">
            <v>40357</v>
          </cell>
          <cell r="D133">
            <v>76.864999999999995</v>
          </cell>
          <cell r="E133">
            <v>75.599999999999994</v>
          </cell>
          <cell r="H133">
            <v>73.67</v>
          </cell>
          <cell r="I133">
            <v>84.06</v>
          </cell>
          <cell r="BS133">
            <v>8.460000000000008</v>
          </cell>
        </row>
        <row r="134">
          <cell r="B134">
            <v>40358</v>
          </cell>
          <cell r="D134">
            <v>74.655000000000001</v>
          </cell>
          <cell r="E134">
            <v>73.5</v>
          </cell>
          <cell r="H134">
            <v>70.91</v>
          </cell>
          <cell r="I134">
            <v>81.31</v>
          </cell>
          <cell r="BS134">
            <v>7.8100000000000023</v>
          </cell>
        </row>
        <row r="135">
          <cell r="B135">
            <v>40359</v>
          </cell>
          <cell r="D135">
            <v>74.965000000000003</v>
          </cell>
          <cell r="E135">
            <v>73.209999999999994</v>
          </cell>
          <cell r="H135">
            <v>70.819999999999993</v>
          </cell>
          <cell r="I135">
            <v>80.61</v>
          </cell>
          <cell r="BS135">
            <v>7.4000000000000057</v>
          </cell>
        </row>
        <row r="136">
          <cell r="B136">
            <v>40360</v>
          </cell>
          <cell r="D136">
            <v>72.075000000000003</v>
          </cell>
          <cell r="E136">
            <v>71.84</v>
          </cell>
          <cell r="H136">
            <v>68.739999999999995</v>
          </cell>
          <cell r="I136">
            <v>79.2</v>
          </cell>
          <cell r="BS136">
            <v>7.3599999999999994</v>
          </cell>
        </row>
        <row r="137">
          <cell r="B137">
            <v>40361</v>
          </cell>
          <cell r="D137">
            <v>72.2</v>
          </cell>
          <cell r="E137">
            <v>70.489999999999995</v>
          </cell>
          <cell r="H137">
            <v>67.5</v>
          </cell>
          <cell r="I137">
            <v>78.03</v>
          </cell>
          <cell r="BS137">
            <v>7.5400000000000063</v>
          </cell>
        </row>
        <row r="138">
          <cell r="B138">
            <v>40364</v>
          </cell>
          <cell r="D138">
            <v>71.239999999999995</v>
          </cell>
          <cell r="E138">
            <v>69.849999999999994</v>
          </cell>
          <cell r="H138">
            <v>67.209999999999994</v>
          </cell>
          <cell r="I138">
            <v>77.67</v>
          </cell>
          <cell r="BS138">
            <v>7.8200000000000074</v>
          </cell>
        </row>
        <row r="139">
          <cell r="B139">
            <v>40365</v>
          </cell>
          <cell r="D139">
            <v>72.930000000000007</v>
          </cell>
          <cell r="E139">
            <v>70.010000000000005</v>
          </cell>
          <cell r="H139">
            <v>67.55</v>
          </cell>
          <cell r="I139">
            <v>77.25</v>
          </cell>
          <cell r="BS139">
            <v>7.2399999999999949</v>
          </cell>
        </row>
        <row r="140">
          <cell r="B140">
            <v>40366</v>
          </cell>
          <cell r="D140">
            <v>72.98</v>
          </cell>
          <cell r="E140">
            <v>69.150000000000006</v>
          </cell>
          <cell r="H140">
            <v>66.38</v>
          </cell>
          <cell r="I140">
            <v>77.150000000000006</v>
          </cell>
          <cell r="BS140">
            <v>8</v>
          </cell>
        </row>
        <row r="141">
          <cell r="B141">
            <v>40367</v>
          </cell>
          <cell r="D141">
            <v>74.36</v>
          </cell>
          <cell r="E141">
            <v>71.97</v>
          </cell>
          <cell r="H141">
            <v>68.239999999999995</v>
          </cell>
          <cell r="I141">
            <v>79.650000000000006</v>
          </cell>
          <cell r="BS141">
            <v>7.6800000000000068</v>
          </cell>
        </row>
        <row r="142">
          <cell r="B142">
            <v>40368</v>
          </cell>
          <cell r="D142">
            <v>75.364999999999995</v>
          </cell>
          <cell r="E142">
            <v>73.05</v>
          </cell>
          <cell r="H142">
            <v>68.349999999999994</v>
          </cell>
          <cell r="I142">
            <v>80.099999999999994</v>
          </cell>
          <cell r="BS142">
            <v>7.0499999999999972</v>
          </cell>
        </row>
        <row r="143">
          <cell r="B143">
            <v>40371</v>
          </cell>
          <cell r="D143">
            <v>74.23</v>
          </cell>
          <cell r="E143">
            <v>72.61</v>
          </cell>
          <cell r="H143">
            <v>67.42</v>
          </cell>
          <cell r="I143">
            <v>80.66</v>
          </cell>
          <cell r="BS143">
            <v>8.0499999999999972</v>
          </cell>
        </row>
        <row r="144">
          <cell r="B144">
            <v>40372</v>
          </cell>
          <cell r="D144">
            <v>76.555000000000007</v>
          </cell>
          <cell r="E144">
            <v>71.56</v>
          </cell>
          <cell r="H144">
            <v>66.72</v>
          </cell>
          <cell r="I144">
            <v>79.66</v>
          </cell>
          <cell r="BS144">
            <v>8.0999999999999943</v>
          </cell>
        </row>
        <row r="145">
          <cell r="B145">
            <v>40373</v>
          </cell>
          <cell r="D145">
            <v>76.995000000000005</v>
          </cell>
          <cell r="E145">
            <v>74.069999999999993</v>
          </cell>
          <cell r="H145">
            <v>68.55</v>
          </cell>
          <cell r="I145">
            <v>81.69</v>
          </cell>
          <cell r="BS145">
            <v>7.6200000000000045</v>
          </cell>
        </row>
        <row r="146">
          <cell r="B146">
            <v>40374</v>
          </cell>
          <cell r="D146">
            <v>75.855000000000004</v>
          </cell>
          <cell r="E146">
            <v>73.55</v>
          </cell>
          <cell r="H146">
            <v>68.010000000000005</v>
          </cell>
          <cell r="I146">
            <v>81.09</v>
          </cell>
          <cell r="BS146">
            <v>7.5400000000000063</v>
          </cell>
        </row>
        <row r="147">
          <cell r="B147">
            <v>40375</v>
          </cell>
          <cell r="D147">
            <v>75.650000000000006</v>
          </cell>
          <cell r="E147">
            <v>73.28</v>
          </cell>
          <cell r="H147">
            <v>67.34</v>
          </cell>
          <cell r="I147">
            <v>80.61</v>
          </cell>
          <cell r="BS147">
            <v>7.3299999999999983</v>
          </cell>
        </row>
        <row r="148">
          <cell r="B148">
            <v>40378</v>
          </cell>
          <cell r="D148">
            <v>76.510000000000005</v>
          </cell>
          <cell r="E148">
            <v>72.62</v>
          </cell>
          <cell r="H148">
            <v>66.41</v>
          </cell>
          <cell r="I148">
            <v>80.510000000000005</v>
          </cell>
          <cell r="BS148">
            <v>7.8900000000000006</v>
          </cell>
        </row>
        <row r="149">
          <cell r="B149">
            <v>40379</v>
          </cell>
          <cell r="D149">
            <v>76.430000000000007</v>
          </cell>
          <cell r="E149">
            <v>73.03</v>
          </cell>
          <cell r="H149">
            <v>67.33</v>
          </cell>
          <cell r="I149">
            <v>80.930000000000007</v>
          </cell>
          <cell r="BS149">
            <v>7.9000000000000057</v>
          </cell>
        </row>
        <row r="150">
          <cell r="B150">
            <v>40380</v>
          </cell>
          <cell r="D150">
            <v>75.849999999999994</v>
          </cell>
          <cell r="E150">
            <v>73.58</v>
          </cell>
          <cell r="H150">
            <v>69.09</v>
          </cell>
          <cell r="I150">
            <v>81.13</v>
          </cell>
          <cell r="BS150">
            <v>7.5499999999999972</v>
          </cell>
        </row>
        <row r="151">
          <cell r="B151">
            <v>40381</v>
          </cell>
          <cell r="D151">
            <v>77.674999999999997</v>
          </cell>
          <cell r="E151">
            <v>72.19</v>
          </cell>
          <cell r="H151">
            <v>69.150000000000006</v>
          </cell>
          <cell r="I151">
            <v>80.45</v>
          </cell>
          <cell r="BS151">
            <v>8.2600000000000051</v>
          </cell>
        </row>
        <row r="152">
          <cell r="B152">
            <v>40382</v>
          </cell>
          <cell r="D152">
            <v>77.31</v>
          </cell>
          <cell r="E152">
            <v>74.25</v>
          </cell>
          <cell r="H152">
            <v>70.86</v>
          </cell>
          <cell r="I152">
            <v>83.7</v>
          </cell>
          <cell r="BS152">
            <v>9.4500000000000028</v>
          </cell>
        </row>
        <row r="153">
          <cell r="B153">
            <v>40385</v>
          </cell>
          <cell r="D153">
            <v>78.245000000000005</v>
          </cell>
          <cell r="E153">
            <v>73.349999999999994</v>
          </cell>
          <cell r="H153">
            <v>70.83</v>
          </cell>
          <cell r="I153">
            <v>82.79</v>
          </cell>
          <cell r="BS153">
            <v>9.4400000000000119</v>
          </cell>
        </row>
        <row r="154">
          <cell r="B154">
            <v>40386</v>
          </cell>
          <cell r="D154">
            <v>76.864999999999995</v>
          </cell>
          <cell r="E154">
            <v>74.12</v>
          </cell>
          <cell r="H154">
            <v>70.540000000000006</v>
          </cell>
          <cell r="I154">
            <v>82.62</v>
          </cell>
          <cell r="BS154">
            <v>8.5</v>
          </cell>
        </row>
        <row r="155">
          <cell r="B155">
            <v>40387</v>
          </cell>
          <cell r="D155">
            <v>76.959999999999994</v>
          </cell>
          <cell r="E155">
            <v>73.144999999999996</v>
          </cell>
          <cell r="H155">
            <v>69.930000000000007</v>
          </cell>
          <cell r="I155">
            <v>80.569999999999993</v>
          </cell>
          <cell r="BS155">
            <v>7.4249999999999972</v>
          </cell>
        </row>
        <row r="156">
          <cell r="B156">
            <v>40388</v>
          </cell>
          <cell r="D156">
            <v>79.069999999999993</v>
          </cell>
          <cell r="E156">
            <v>73.239999999999995</v>
          </cell>
          <cell r="H156">
            <v>71.13</v>
          </cell>
          <cell r="I156">
            <v>81.069999999999993</v>
          </cell>
          <cell r="BS156">
            <v>7.8299999999999983</v>
          </cell>
        </row>
        <row r="157">
          <cell r="B157">
            <v>40389</v>
          </cell>
          <cell r="D157">
            <v>78.674999999999997</v>
          </cell>
          <cell r="E157">
            <v>73.75</v>
          </cell>
          <cell r="H157">
            <v>71.150000000000006</v>
          </cell>
          <cell r="I157">
            <v>81.66</v>
          </cell>
          <cell r="BS157">
            <v>7.9099999999999966</v>
          </cell>
        </row>
        <row r="158">
          <cell r="B158">
            <v>40392</v>
          </cell>
          <cell r="D158">
            <v>82.444999999999993</v>
          </cell>
          <cell r="E158">
            <v>75.78</v>
          </cell>
          <cell r="H158">
            <v>72</v>
          </cell>
          <cell r="I158">
            <v>83.26</v>
          </cell>
          <cell r="BS158">
            <v>7.480000000000004</v>
          </cell>
        </row>
        <row r="159">
          <cell r="B159">
            <v>40393</v>
          </cell>
          <cell r="D159">
            <v>83.84</v>
          </cell>
          <cell r="E159">
            <v>77.03</v>
          </cell>
          <cell r="H159">
            <v>73.2</v>
          </cell>
          <cell r="I159">
            <v>85.06</v>
          </cell>
          <cell r="BS159">
            <v>8.0300000000000011</v>
          </cell>
        </row>
        <row r="160">
          <cell r="B160">
            <v>40394</v>
          </cell>
          <cell r="D160">
            <v>83.68</v>
          </cell>
          <cell r="E160">
            <v>77.95</v>
          </cell>
          <cell r="H160">
            <v>74.33</v>
          </cell>
          <cell r="I160">
            <v>85.26</v>
          </cell>
          <cell r="BS160">
            <v>7.3100000000000023</v>
          </cell>
        </row>
        <row r="161">
          <cell r="B161">
            <v>40395</v>
          </cell>
          <cell r="D161">
            <v>82.36</v>
          </cell>
          <cell r="E161">
            <v>78.28</v>
          </cell>
          <cell r="H161">
            <v>75.58</v>
          </cell>
          <cell r="I161">
            <v>85.17</v>
          </cell>
          <cell r="BS161">
            <v>6.8900000000000006</v>
          </cell>
        </row>
        <row r="162">
          <cell r="B162">
            <v>40396</v>
          </cell>
          <cell r="D162">
            <v>81.38</v>
          </cell>
          <cell r="E162">
            <v>78.25</v>
          </cell>
          <cell r="H162">
            <v>75.36</v>
          </cell>
          <cell r="I162">
            <v>85.15</v>
          </cell>
          <cell r="BS162">
            <v>6.9000000000000057</v>
          </cell>
        </row>
        <row r="163">
          <cell r="B163">
            <v>40399</v>
          </cell>
          <cell r="D163">
            <v>81.334999999999994</v>
          </cell>
          <cell r="E163" t="str">
            <v/>
          </cell>
          <cell r="H163">
            <v>0</v>
          </cell>
          <cell r="I163">
            <v>0</v>
          </cell>
          <cell r="BS163" t="e">
            <v>#N/A</v>
          </cell>
        </row>
        <row r="164">
          <cell r="B164">
            <v>40400</v>
          </cell>
          <cell r="D164">
            <v>79.599999999999994</v>
          </cell>
          <cell r="E164">
            <v>77.03</v>
          </cell>
          <cell r="H164">
            <v>75.67</v>
          </cell>
          <cell r="I164">
            <v>83.19</v>
          </cell>
          <cell r="BS164">
            <v>6.1599999999999966</v>
          </cell>
        </row>
        <row r="165">
          <cell r="B165">
            <v>40401</v>
          </cell>
          <cell r="D165">
            <v>77.515000000000001</v>
          </cell>
          <cell r="E165">
            <v>76.08</v>
          </cell>
          <cell r="H165">
            <v>75.290000000000006</v>
          </cell>
          <cell r="I165">
            <v>83.46</v>
          </cell>
          <cell r="BS165">
            <v>7.3799999999999955</v>
          </cell>
        </row>
        <row r="166">
          <cell r="B166">
            <v>40402</v>
          </cell>
          <cell r="D166">
            <v>76.564999999999998</v>
          </cell>
          <cell r="E166">
            <v>74.2</v>
          </cell>
          <cell r="H166">
            <v>72.819999999999993</v>
          </cell>
          <cell r="I166">
            <v>81.16</v>
          </cell>
          <cell r="BS166">
            <v>6.9599999999999937</v>
          </cell>
        </row>
        <row r="167">
          <cell r="B167">
            <v>40403</v>
          </cell>
          <cell r="D167">
            <v>75.040000000000006</v>
          </cell>
          <cell r="E167">
            <v>73.010000000000005</v>
          </cell>
          <cell r="H167">
            <v>72.239999999999995</v>
          </cell>
          <cell r="I167">
            <v>80.3</v>
          </cell>
          <cell r="BS167">
            <v>7.289999999999992</v>
          </cell>
        </row>
        <row r="168">
          <cell r="B168">
            <v>40406</v>
          </cell>
          <cell r="D168">
            <v>74.64</v>
          </cell>
          <cell r="E168">
            <v>72.56</v>
          </cell>
          <cell r="H168">
            <v>72.349999999999994</v>
          </cell>
          <cell r="I168">
            <v>79.25</v>
          </cell>
          <cell r="BS168">
            <v>6.6899999999999977</v>
          </cell>
        </row>
        <row r="169">
          <cell r="B169">
            <v>40407</v>
          </cell>
          <cell r="D169">
            <v>76.709999999999994</v>
          </cell>
          <cell r="E169">
            <v>72.98</v>
          </cell>
          <cell r="H169">
            <v>72.72</v>
          </cell>
          <cell r="I169">
            <v>79.55</v>
          </cell>
          <cell r="BS169">
            <v>6.5699999999999932</v>
          </cell>
        </row>
        <row r="170">
          <cell r="B170">
            <v>40408</v>
          </cell>
          <cell r="D170">
            <v>75.245000000000005</v>
          </cell>
          <cell r="E170">
            <v>73.5</v>
          </cell>
          <cell r="H170">
            <v>73.989999999999995</v>
          </cell>
          <cell r="I170">
            <v>79.63</v>
          </cell>
          <cell r="BS170">
            <v>6.1299999999999955</v>
          </cell>
        </row>
        <row r="171">
          <cell r="B171">
            <v>40409</v>
          </cell>
          <cell r="D171">
            <v>74.84</v>
          </cell>
          <cell r="E171">
            <v>74</v>
          </cell>
          <cell r="H171">
            <v>74.88</v>
          </cell>
          <cell r="I171">
            <v>80.319999999999993</v>
          </cell>
          <cell r="BS171">
            <v>6.3199999999999932</v>
          </cell>
        </row>
        <row r="172">
          <cell r="B172">
            <v>40410</v>
          </cell>
          <cell r="D172">
            <v>73.53</v>
          </cell>
          <cell r="E172">
            <v>72.7</v>
          </cell>
          <cell r="H172">
            <v>73</v>
          </cell>
          <cell r="I172">
            <v>79.06</v>
          </cell>
          <cell r="BS172">
            <v>6.3599999999999994</v>
          </cell>
        </row>
        <row r="173">
          <cell r="B173">
            <v>40413</v>
          </cell>
          <cell r="D173">
            <v>72.69</v>
          </cell>
          <cell r="E173">
            <v>71.75</v>
          </cell>
          <cell r="H173">
            <v>71.849999999999994</v>
          </cell>
          <cell r="I173">
            <v>78.34</v>
          </cell>
          <cell r="BS173">
            <v>6.5900000000000034</v>
          </cell>
        </row>
        <row r="174">
          <cell r="B174">
            <v>40414</v>
          </cell>
          <cell r="D174">
            <v>71.28</v>
          </cell>
          <cell r="E174">
            <v>70.55</v>
          </cell>
          <cell r="H174">
            <v>71.7</v>
          </cell>
          <cell r="I174">
            <v>77.02</v>
          </cell>
          <cell r="BS174">
            <v>6.4699999999999989</v>
          </cell>
        </row>
        <row r="175">
          <cell r="B175">
            <v>40415</v>
          </cell>
          <cell r="D175">
            <v>71.94</v>
          </cell>
          <cell r="E175">
            <v>70.55</v>
          </cell>
          <cell r="H175">
            <v>71.42</v>
          </cell>
          <cell r="I175">
            <v>76.97</v>
          </cell>
          <cell r="BS175">
            <v>6.4200000000000017</v>
          </cell>
        </row>
        <row r="176">
          <cell r="B176">
            <v>40416</v>
          </cell>
          <cell r="D176">
            <v>74.489999999999995</v>
          </cell>
          <cell r="E176">
            <v>71.38</v>
          </cell>
          <cell r="H176">
            <v>71.95</v>
          </cell>
          <cell r="I176">
            <v>77.89</v>
          </cell>
          <cell r="BS176">
            <v>6.5100000000000051</v>
          </cell>
        </row>
        <row r="177">
          <cell r="B177">
            <v>40417</v>
          </cell>
          <cell r="D177">
            <v>75.344999999999999</v>
          </cell>
          <cell r="E177">
            <v>72.03</v>
          </cell>
          <cell r="H177">
            <v>72.66</v>
          </cell>
          <cell r="I177">
            <v>78.14</v>
          </cell>
          <cell r="BS177">
            <v>6.1099999999999994</v>
          </cell>
        </row>
        <row r="178">
          <cell r="B178">
            <v>40420</v>
          </cell>
          <cell r="D178" t="str">
            <v/>
          </cell>
          <cell r="E178">
            <v>73.400000000000006</v>
          </cell>
          <cell r="H178">
            <v>73.52</v>
          </cell>
          <cell r="I178">
            <v>80.209999999999994</v>
          </cell>
          <cell r="BS178">
            <v>6.8099999999999881</v>
          </cell>
        </row>
        <row r="179">
          <cell r="B179">
            <v>40421</v>
          </cell>
          <cell r="D179">
            <v>75.635000000000005</v>
          </cell>
          <cell r="E179">
            <v>72.8</v>
          </cell>
          <cell r="H179">
            <v>72.88</v>
          </cell>
          <cell r="I179">
            <v>78.959999999999994</v>
          </cell>
          <cell r="BS179">
            <v>6.1599999999999966</v>
          </cell>
        </row>
        <row r="180">
          <cell r="B180">
            <v>40422</v>
          </cell>
          <cell r="D180">
            <v>75.680000000000007</v>
          </cell>
          <cell r="E180">
            <v>72.84</v>
          </cell>
          <cell r="H180">
            <v>72.59</v>
          </cell>
          <cell r="I180">
            <v>78.08</v>
          </cell>
          <cell r="BS180">
            <v>5.2399999999999949</v>
          </cell>
        </row>
        <row r="181">
          <cell r="B181">
            <v>40423</v>
          </cell>
          <cell r="D181">
            <v>75</v>
          </cell>
          <cell r="E181">
            <v>73.67</v>
          </cell>
          <cell r="H181">
            <v>73.72</v>
          </cell>
          <cell r="I181">
            <v>79.400000000000006</v>
          </cell>
          <cell r="BS181">
            <v>5.730000000000004</v>
          </cell>
        </row>
        <row r="182">
          <cell r="B182">
            <v>40424</v>
          </cell>
          <cell r="D182">
            <v>75.06</v>
          </cell>
          <cell r="E182">
            <v>74.08</v>
          </cell>
          <cell r="H182">
            <v>74.16</v>
          </cell>
          <cell r="I182">
            <v>80.11</v>
          </cell>
          <cell r="BS182">
            <v>6.0300000000000011</v>
          </cell>
        </row>
        <row r="183">
          <cell r="B183">
            <v>40427</v>
          </cell>
          <cell r="D183">
            <v>76.23</v>
          </cell>
          <cell r="E183">
            <v>74.23</v>
          </cell>
          <cell r="H183">
            <v>74.13</v>
          </cell>
          <cell r="I183">
            <v>79.739999999999995</v>
          </cell>
          <cell r="BS183">
            <v>5.5099999999999909</v>
          </cell>
        </row>
        <row r="184">
          <cell r="B184">
            <v>40428</v>
          </cell>
          <cell r="D184">
            <v>75.775000000000006</v>
          </cell>
          <cell r="E184">
            <v>73.63</v>
          </cell>
          <cell r="H184">
            <v>73.180000000000007</v>
          </cell>
          <cell r="I184">
            <v>79.040000000000006</v>
          </cell>
          <cell r="BS184">
            <v>5.4100000000000108</v>
          </cell>
        </row>
        <row r="185">
          <cell r="B185">
            <v>40429</v>
          </cell>
          <cell r="D185">
            <v>77.415000000000006</v>
          </cell>
          <cell r="E185">
            <v>74.45</v>
          </cell>
          <cell r="H185">
            <v>74.069999999999993</v>
          </cell>
          <cell r="I185">
            <v>80.180000000000007</v>
          </cell>
          <cell r="BS185">
            <v>5.730000000000004</v>
          </cell>
        </row>
        <row r="186">
          <cell r="B186">
            <v>40430</v>
          </cell>
          <cell r="D186">
            <v>77.819999999999993</v>
          </cell>
          <cell r="E186">
            <v>75.25</v>
          </cell>
          <cell r="H186">
            <v>74.489999999999995</v>
          </cell>
          <cell r="I186">
            <v>80.59</v>
          </cell>
          <cell r="BS186">
            <v>5.3400000000000034</v>
          </cell>
        </row>
        <row r="187">
          <cell r="B187">
            <v>40431</v>
          </cell>
          <cell r="D187">
            <v>77.52</v>
          </cell>
          <cell r="E187" t="str">
            <v/>
          </cell>
          <cell r="H187">
            <v>0</v>
          </cell>
          <cell r="I187">
            <v>0</v>
          </cell>
          <cell r="BS187" t="e">
            <v>#N/A</v>
          </cell>
        </row>
        <row r="188">
          <cell r="B188">
            <v>40434</v>
          </cell>
          <cell r="D188">
            <v>78.474999999999994</v>
          </cell>
          <cell r="E188">
            <v>75.25</v>
          </cell>
          <cell r="H188">
            <v>75.099999999999994</v>
          </cell>
          <cell r="I188">
            <v>81.36</v>
          </cell>
          <cell r="BS188">
            <v>6.1099999999999994</v>
          </cell>
        </row>
        <row r="189">
          <cell r="B189">
            <v>40435</v>
          </cell>
          <cell r="D189">
            <v>79.075000000000003</v>
          </cell>
          <cell r="E189">
            <v>75.760000000000005</v>
          </cell>
          <cell r="H189">
            <v>75.42</v>
          </cell>
          <cell r="I189">
            <v>81.510000000000005</v>
          </cell>
          <cell r="BS189">
            <v>5.75</v>
          </cell>
        </row>
        <row r="190">
          <cell r="B190">
            <v>40436</v>
          </cell>
          <cell r="D190">
            <v>78.67</v>
          </cell>
          <cell r="E190">
            <v>75.95</v>
          </cell>
          <cell r="H190">
            <v>74.22</v>
          </cell>
          <cell r="I190">
            <v>81.010000000000005</v>
          </cell>
          <cell r="BS190">
            <v>5.0600000000000023</v>
          </cell>
        </row>
        <row r="191">
          <cell r="B191">
            <v>40437</v>
          </cell>
          <cell r="D191">
            <v>78.995000000000005</v>
          </cell>
          <cell r="E191">
            <v>76.25</v>
          </cell>
          <cell r="H191">
            <v>73.69</v>
          </cell>
          <cell r="I191">
            <v>81.25</v>
          </cell>
          <cell r="BS191">
            <v>5</v>
          </cell>
        </row>
        <row r="192">
          <cell r="B192">
            <v>40438</v>
          </cell>
          <cell r="D192">
            <v>77.334999999999994</v>
          </cell>
          <cell r="E192">
            <v>76.25</v>
          </cell>
          <cell r="H192">
            <v>74.03</v>
          </cell>
          <cell r="I192">
            <v>81.16</v>
          </cell>
          <cell r="BS192">
            <v>4.9099999999999966</v>
          </cell>
        </row>
        <row r="193">
          <cell r="B193">
            <v>40441</v>
          </cell>
          <cell r="D193">
            <v>79.48</v>
          </cell>
          <cell r="E193">
            <v>75.36</v>
          </cell>
          <cell r="H193">
            <v>73.959999999999994</v>
          </cell>
          <cell r="I193">
            <v>80.459999999999994</v>
          </cell>
          <cell r="BS193">
            <v>5.0999999999999943</v>
          </cell>
        </row>
        <row r="194">
          <cell r="B194">
            <v>40442</v>
          </cell>
          <cell r="D194">
            <v>78.474999999999994</v>
          </cell>
          <cell r="E194">
            <v>76.290000000000006</v>
          </cell>
          <cell r="H194">
            <v>75.31</v>
          </cell>
          <cell r="I194">
            <v>81.55</v>
          </cell>
          <cell r="BS194">
            <v>5.2599999999999909</v>
          </cell>
        </row>
        <row r="195">
          <cell r="B195">
            <v>40443</v>
          </cell>
          <cell r="D195">
            <v>77.290000000000006</v>
          </cell>
          <cell r="E195">
            <v>75.3</v>
          </cell>
          <cell r="H195">
            <v>74.37</v>
          </cell>
          <cell r="I195">
            <v>80.45</v>
          </cell>
          <cell r="BS195">
            <v>5.1500000000000057</v>
          </cell>
        </row>
        <row r="196">
          <cell r="B196">
            <v>40444</v>
          </cell>
          <cell r="D196">
            <v>77.56</v>
          </cell>
          <cell r="E196">
            <v>74.709999999999994</v>
          </cell>
          <cell r="H196">
            <v>73.86</v>
          </cell>
          <cell r="I196">
            <v>79.459999999999994</v>
          </cell>
          <cell r="BS196">
            <v>4.75</v>
          </cell>
        </row>
        <row r="197">
          <cell r="B197">
            <v>40445</v>
          </cell>
          <cell r="D197">
            <v>78.685000000000002</v>
          </cell>
          <cell r="E197">
            <v>74.849999999999994</v>
          </cell>
          <cell r="H197">
            <v>74.03</v>
          </cell>
          <cell r="I197">
            <v>80.209999999999994</v>
          </cell>
          <cell r="BS197">
            <v>5.3599999999999994</v>
          </cell>
        </row>
        <row r="198">
          <cell r="B198">
            <v>40448</v>
          </cell>
          <cell r="D198">
            <v>77.78</v>
          </cell>
          <cell r="E198">
            <v>75.72</v>
          </cell>
          <cell r="H198">
            <v>75.22</v>
          </cell>
          <cell r="I198">
            <v>81.260000000000005</v>
          </cell>
          <cell r="BS198">
            <v>5.5400000000000063</v>
          </cell>
        </row>
        <row r="199">
          <cell r="B199">
            <v>40449</v>
          </cell>
          <cell r="D199">
            <v>79.16</v>
          </cell>
          <cell r="E199">
            <v>74.67</v>
          </cell>
          <cell r="H199">
            <v>75.11</v>
          </cell>
          <cell r="I199">
            <v>80.510000000000005</v>
          </cell>
          <cell r="BS199">
            <v>5.8400000000000034</v>
          </cell>
        </row>
        <row r="200">
          <cell r="B200">
            <v>40450</v>
          </cell>
          <cell r="D200">
            <v>79.03</v>
          </cell>
          <cell r="E200">
            <v>75.75</v>
          </cell>
          <cell r="H200">
            <v>76.94</v>
          </cell>
          <cell r="I200">
            <v>81.66</v>
          </cell>
          <cell r="BS200">
            <v>5.9099999999999966</v>
          </cell>
        </row>
        <row r="201">
          <cell r="B201">
            <v>40451</v>
          </cell>
          <cell r="D201">
            <v>80.959999999999994</v>
          </cell>
          <cell r="E201">
            <v>77.25</v>
          </cell>
          <cell r="H201">
            <v>77.33</v>
          </cell>
          <cell r="I201">
            <v>83.13</v>
          </cell>
          <cell r="BS201">
            <v>5.8799999999999955</v>
          </cell>
        </row>
        <row r="202">
          <cell r="B202">
            <v>40452</v>
          </cell>
          <cell r="D202">
            <v>82.83</v>
          </cell>
          <cell r="E202">
            <v>79.599999999999994</v>
          </cell>
          <cell r="H202">
            <v>79.08</v>
          </cell>
          <cell r="I202">
            <v>85.49</v>
          </cell>
          <cell r="BS202">
            <v>5.8900000000000006</v>
          </cell>
        </row>
        <row r="203">
          <cell r="B203">
            <v>40455</v>
          </cell>
          <cell r="D203">
            <v>83.69</v>
          </cell>
          <cell r="E203">
            <v>79.930000000000007</v>
          </cell>
          <cell r="H203">
            <v>80.37</v>
          </cell>
          <cell r="I203">
            <v>86.11</v>
          </cell>
          <cell r="BS203">
            <v>6.1799999999999926</v>
          </cell>
        </row>
        <row r="204">
          <cell r="B204">
            <v>40456</v>
          </cell>
          <cell r="D204">
            <v>83.62</v>
          </cell>
          <cell r="E204">
            <v>79.98</v>
          </cell>
          <cell r="H204">
            <v>80.540000000000006</v>
          </cell>
          <cell r="I204">
            <v>86.46</v>
          </cell>
          <cell r="BS204">
            <v>6.4799999999999898</v>
          </cell>
        </row>
        <row r="205">
          <cell r="B205">
            <v>40457</v>
          </cell>
          <cell r="D205">
            <v>85.185000000000002</v>
          </cell>
          <cell r="E205">
            <v>81.48</v>
          </cell>
          <cell r="H205">
            <v>81.650000000000006</v>
          </cell>
          <cell r="I205">
            <v>87.64</v>
          </cell>
          <cell r="BS205">
            <v>6.1599999999999966</v>
          </cell>
        </row>
        <row r="206">
          <cell r="B206">
            <v>40458</v>
          </cell>
          <cell r="D206">
            <v>83.665000000000006</v>
          </cell>
          <cell r="E206">
            <v>81.88</v>
          </cell>
          <cell r="H206">
            <v>82.68</v>
          </cell>
          <cell r="I206">
            <v>88.96</v>
          </cell>
          <cell r="BS206">
            <v>7.0799999999999983</v>
          </cell>
        </row>
        <row r="207">
          <cell r="B207">
            <v>40459</v>
          </cell>
          <cell r="D207">
            <v>83.935000000000002</v>
          </cell>
          <cell r="E207">
            <v>79.55</v>
          </cell>
          <cell r="H207">
            <v>80.64</v>
          </cell>
          <cell r="I207">
            <v>86.94</v>
          </cell>
          <cell r="BS207">
            <v>7.3900000000000006</v>
          </cell>
        </row>
        <row r="208">
          <cell r="B208">
            <v>40462</v>
          </cell>
          <cell r="D208">
            <v>83.43</v>
          </cell>
          <cell r="E208">
            <v>80.73</v>
          </cell>
          <cell r="H208">
            <v>83.64</v>
          </cell>
          <cell r="I208">
            <v>89.06</v>
          </cell>
          <cell r="BS208">
            <v>8.3299999999999983</v>
          </cell>
        </row>
        <row r="209">
          <cell r="B209">
            <v>40463</v>
          </cell>
          <cell r="D209">
            <v>82.825000000000003</v>
          </cell>
          <cell r="E209">
            <v>79.72</v>
          </cell>
          <cell r="H209">
            <v>82.9</v>
          </cell>
          <cell r="I209">
            <v>88.26</v>
          </cell>
          <cell r="BS209">
            <v>8.5400000000000063</v>
          </cell>
        </row>
        <row r="210">
          <cell r="B210">
            <v>40464</v>
          </cell>
          <cell r="D210">
            <v>84.084999999999994</v>
          </cell>
          <cell r="E210">
            <v>81.010000000000005</v>
          </cell>
          <cell r="H210">
            <v>83.87</v>
          </cell>
          <cell r="I210">
            <v>88.98</v>
          </cell>
          <cell r="BS210">
            <v>7.9699999999999989</v>
          </cell>
        </row>
        <row r="211">
          <cell r="B211">
            <v>40465</v>
          </cell>
          <cell r="D211">
            <v>83.56</v>
          </cell>
          <cell r="E211">
            <v>81.52</v>
          </cell>
          <cell r="H211">
            <v>84.7</v>
          </cell>
          <cell r="I211">
            <v>90.07</v>
          </cell>
          <cell r="BS211">
            <v>8.5499999999999972</v>
          </cell>
        </row>
        <row r="212">
          <cell r="B212">
            <v>40466</v>
          </cell>
          <cell r="D212">
            <v>81.94</v>
          </cell>
          <cell r="E212">
            <v>80.739999999999995</v>
          </cell>
          <cell r="H212">
            <v>84.45</v>
          </cell>
          <cell r="I212">
            <v>89.12</v>
          </cell>
          <cell r="BS212">
            <v>8.3800000000000097</v>
          </cell>
        </row>
        <row r="213">
          <cell r="B213">
            <v>40469</v>
          </cell>
          <cell r="D213">
            <v>82.234999999999999</v>
          </cell>
          <cell r="E213">
            <v>78.62</v>
          </cell>
          <cell r="H213">
            <v>82.49</v>
          </cell>
          <cell r="I213">
            <v>86.7</v>
          </cell>
          <cell r="BS213">
            <v>8.0799999999999983</v>
          </cell>
        </row>
        <row r="214">
          <cell r="B214">
            <v>40470</v>
          </cell>
          <cell r="D214">
            <v>81.11</v>
          </cell>
          <cell r="E214">
            <v>80.72</v>
          </cell>
          <cell r="H214">
            <v>84.46</v>
          </cell>
          <cell r="I214">
            <v>88.82</v>
          </cell>
          <cell r="BS214">
            <v>8.0999999999999943</v>
          </cell>
        </row>
        <row r="215">
          <cell r="B215">
            <v>40471</v>
          </cell>
          <cell r="D215">
            <v>81.53</v>
          </cell>
          <cell r="E215">
            <v>78.930000000000007</v>
          </cell>
          <cell r="H215">
            <v>82.71</v>
          </cell>
          <cell r="I215">
            <v>86.16</v>
          </cell>
          <cell r="BS215">
            <v>7.2299999999999898</v>
          </cell>
        </row>
        <row r="216">
          <cell r="B216">
            <v>40472</v>
          </cell>
          <cell r="D216">
            <v>81.239999999999995</v>
          </cell>
          <cell r="E216">
            <v>80.430000000000007</v>
          </cell>
          <cell r="H216">
            <v>84.72</v>
          </cell>
          <cell r="I216">
            <v>87.17</v>
          </cell>
          <cell r="BS216">
            <v>6.7399999999999949</v>
          </cell>
        </row>
        <row r="217">
          <cell r="B217">
            <v>40473</v>
          </cell>
          <cell r="D217">
            <v>80.715000000000003</v>
          </cell>
          <cell r="E217">
            <v>79.08</v>
          </cell>
          <cell r="H217">
            <v>83.08</v>
          </cell>
          <cell r="I217">
            <v>86.52</v>
          </cell>
          <cell r="BS217">
            <v>7.4399999999999977</v>
          </cell>
        </row>
        <row r="218">
          <cell r="B218">
            <v>40476</v>
          </cell>
          <cell r="D218">
            <v>82.375</v>
          </cell>
          <cell r="E218">
            <v>80.88</v>
          </cell>
          <cell r="H218">
            <v>84.84</v>
          </cell>
          <cell r="I218">
            <v>88.89</v>
          </cell>
          <cell r="BS218">
            <v>8.0100000000000051</v>
          </cell>
        </row>
        <row r="219">
          <cell r="B219">
            <v>40477</v>
          </cell>
          <cell r="D219">
            <v>82.665000000000006</v>
          </cell>
          <cell r="E219">
            <v>79.930000000000007</v>
          </cell>
          <cell r="H219">
            <v>83.56</v>
          </cell>
          <cell r="I219">
            <v>87.33</v>
          </cell>
          <cell r="BS219">
            <v>7.3999999999999915</v>
          </cell>
        </row>
        <row r="220">
          <cell r="B220">
            <v>40478</v>
          </cell>
          <cell r="D220">
            <v>81.260000000000005</v>
          </cell>
          <cell r="E220">
            <v>79.83</v>
          </cell>
          <cell r="H220">
            <v>83.17</v>
          </cell>
          <cell r="I220">
            <v>86.79</v>
          </cell>
          <cell r="BS220">
            <v>6.960000000000008</v>
          </cell>
        </row>
        <row r="221">
          <cell r="B221">
            <v>40479</v>
          </cell>
          <cell r="D221">
            <v>83.06</v>
          </cell>
          <cell r="E221">
            <v>80.22</v>
          </cell>
          <cell r="H221">
            <v>84.34</v>
          </cell>
          <cell r="I221">
            <v>87.92</v>
          </cell>
          <cell r="BS221">
            <v>7.7000000000000028</v>
          </cell>
        </row>
        <row r="222">
          <cell r="B222">
            <v>40480</v>
          </cell>
          <cell r="D222">
            <v>82.674999999999997</v>
          </cell>
          <cell r="E222">
            <v>79.77</v>
          </cell>
          <cell r="H222">
            <v>84.38</v>
          </cell>
          <cell r="I222">
            <v>87.52</v>
          </cell>
          <cell r="BS222">
            <v>7.75</v>
          </cell>
        </row>
        <row r="223">
          <cell r="B223">
            <v>40483</v>
          </cell>
          <cell r="D223">
            <v>84.2</v>
          </cell>
          <cell r="E223">
            <v>80.48</v>
          </cell>
          <cell r="H223">
            <v>85.66</v>
          </cell>
          <cell r="I223">
            <v>87.33</v>
          </cell>
          <cell r="BS223">
            <v>6.8499999999999943</v>
          </cell>
        </row>
        <row r="224">
          <cell r="B224">
            <v>40484</v>
          </cell>
          <cell r="D224">
            <v>84.84</v>
          </cell>
          <cell r="E224">
            <v>82.35</v>
          </cell>
          <cell r="H224">
            <v>86.47</v>
          </cell>
          <cell r="I224">
            <v>88.52</v>
          </cell>
          <cell r="BS224">
            <v>6.1700000000000017</v>
          </cell>
        </row>
        <row r="225">
          <cell r="B225">
            <v>40485</v>
          </cell>
          <cell r="D225">
            <v>85.284999999999997</v>
          </cell>
          <cell r="E225">
            <v>82.92</v>
          </cell>
          <cell r="H225">
            <v>85.88</v>
          </cell>
          <cell r="I225">
            <v>89.3</v>
          </cell>
          <cell r="BS225">
            <v>6.3799999999999955</v>
          </cell>
        </row>
        <row r="226">
          <cell r="B226">
            <v>40486</v>
          </cell>
          <cell r="D226">
            <v>87.135000000000005</v>
          </cell>
          <cell r="E226">
            <v>84.72</v>
          </cell>
          <cell r="H226">
            <v>87.05</v>
          </cell>
          <cell r="I226">
            <v>91.35</v>
          </cell>
          <cell r="BS226">
            <v>6.6299999999999955</v>
          </cell>
        </row>
        <row r="227">
          <cell r="B227">
            <v>40487</v>
          </cell>
          <cell r="D227">
            <v>86.984999999999999</v>
          </cell>
          <cell r="E227" t="str">
            <v/>
          </cell>
          <cell r="H227">
            <v>0</v>
          </cell>
          <cell r="I227">
            <v>0</v>
          </cell>
          <cell r="BS227" t="e">
            <v>#N/A</v>
          </cell>
        </row>
        <row r="228">
          <cell r="B228">
            <v>40490</v>
          </cell>
          <cell r="D228">
            <v>87.025000000000006</v>
          </cell>
          <cell r="E228">
            <v>85.27</v>
          </cell>
          <cell r="H228">
            <v>87.27</v>
          </cell>
          <cell r="I228">
            <v>92.69</v>
          </cell>
          <cell r="BS228">
            <v>7.4200000000000017</v>
          </cell>
        </row>
        <row r="229">
          <cell r="B229">
            <v>40491</v>
          </cell>
          <cell r="D229">
            <v>87.88</v>
          </cell>
          <cell r="E229">
            <v>85.42</v>
          </cell>
          <cell r="H229">
            <v>87.32</v>
          </cell>
          <cell r="I229">
            <v>91.74</v>
          </cell>
          <cell r="BS229">
            <v>6.3199999999999932</v>
          </cell>
        </row>
        <row r="230">
          <cell r="B230">
            <v>40492</v>
          </cell>
          <cell r="D230">
            <v>87.894999999999996</v>
          </cell>
          <cell r="E230">
            <v>85.8</v>
          </cell>
          <cell r="H230">
            <v>88.29</v>
          </cell>
          <cell r="I230">
            <v>92.74</v>
          </cell>
          <cell r="BS230">
            <v>6.9399999999999977</v>
          </cell>
        </row>
        <row r="231">
          <cell r="B231">
            <v>40493</v>
          </cell>
          <cell r="D231">
            <v>88.055000000000007</v>
          </cell>
          <cell r="E231">
            <v>86.67</v>
          </cell>
          <cell r="H231">
            <v>89.76</v>
          </cell>
          <cell r="I231">
            <v>94.02</v>
          </cell>
          <cell r="BS231">
            <v>7.3499999999999943</v>
          </cell>
        </row>
        <row r="232">
          <cell r="B232">
            <v>40494</v>
          </cell>
          <cell r="D232">
            <v>86.004999999999995</v>
          </cell>
          <cell r="E232">
            <v>84.7</v>
          </cell>
          <cell r="H232">
            <v>87.81</v>
          </cell>
          <cell r="I232">
            <v>91.73</v>
          </cell>
          <cell r="BS232">
            <v>7.0300000000000011</v>
          </cell>
        </row>
        <row r="233">
          <cell r="B233">
            <v>40497</v>
          </cell>
          <cell r="D233">
            <v>85.47</v>
          </cell>
          <cell r="E233">
            <v>84.46</v>
          </cell>
          <cell r="H233">
            <v>87.89</v>
          </cell>
          <cell r="I233">
            <v>91.95</v>
          </cell>
          <cell r="BS233">
            <v>7.4900000000000091</v>
          </cell>
        </row>
        <row r="234">
          <cell r="B234">
            <v>40498</v>
          </cell>
          <cell r="D234">
            <v>83.98</v>
          </cell>
          <cell r="E234">
            <v>84.16</v>
          </cell>
          <cell r="H234">
            <v>87.55</v>
          </cell>
          <cell r="I234">
            <v>91.58</v>
          </cell>
          <cell r="BS234">
            <v>7.4200000000000017</v>
          </cell>
        </row>
        <row r="235">
          <cell r="B235">
            <v>40499</v>
          </cell>
          <cell r="D235">
            <v>83.63</v>
          </cell>
          <cell r="E235" t="str">
            <v/>
          </cell>
          <cell r="H235">
            <v>0</v>
          </cell>
          <cell r="I235">
            <v>0</v>
          </cell>
          <cell r="BS235" t="e">
            <v>#N/A</v>
          </cell>
        </row>
        <row r="236">
          <cell r="B236">
            <v>40500</v>
          </cell>
          <cell r="D236">
            <v>83.89</v>
          </cell>
          <cell r="E236">
            <v>81.87</v>
          </cell>
          <cell r="H236">
            <v>87.02</v>
          </cell>
          <cell r="I236">
            <v>89.98</v>
          </cell>
          <cell r="BS236">
            <v>8.11</v>
          </cell>
        </row>
        <row r="237">
          <cell r="B237">
            <v>40501</v>
          </cell>
          <cell r="D237">
            <v>83.26</v>
          </cell>
          <cell r="E237">
            <v>82.85</v>
          </cell>
          <cell r="H237">
            <v>87.57</v>
          </cell>
          <cell r="I237">
            <v>91.78</v>
          </cell>
          <cell r="BS237">
            <v>8.9300000000000068</v>
          </cell>
        </row>
        <row r="238">
          <cell r="B238">
            <v>40504</v>
          </cell>
          <cell r="D238">
            <v>82.54</v>
          </cell>
          <cell r="E238">
            <v>82.62</v>
          </cell>
          <cell r="H238">
            <v>86.47</v>
          </cell>
          <cell r="I238">
            <v>90.69</v>
          </cell>
          <cell r="BS238">
            <v>8.0699999999999932</v>
          </cell>
        </row>
        <row r="239">
          <cell r="B239">
            <v>40505</v>
          </cell>
          <cell r="D239">
            <v>82.224999999999994</v>
          </cell>
          <cell r="E239">
            <v>81.45</v>
          </cell>
          <cell r="H239">
            <v>84.39</v>
          </cell>
          <cell r="I239">
            <v>88.69</v>
          </cell>
          <cell r="BS239">
            <v>7.2399999999999949</v>
          </cell>
        </row>
        <row r="240">
          <cell r="B240">
            <v>40506</v>
          </cell>
          <cell r="D240">
            <v>84.44</v>
          </cell>
          <cell r="E240">
            <v>81.53</v>
          </cell>
          <cell r="H240">
            <v>85.2</v>
          </cell>
          <cell r="I240">
            <v>88.74</v>
          </cell>
          <cell r="BS240">
            <v>7.2099999999999937</v>
          </cell>
        </row>
        <row r="241">
          <cell r="B241">
            <v>40507</v>
          </cell>
          <cell r="D241">
            <v>85.6</v>
          </cell>
          <cell r="E241">
            <v>83.45</v>
          </cell>
          <cell r="H241">
            <v>87.47</v>
          </cell>
          <cell r="I241">
            <v>91.24</v>
          </cell>
          <cell r="BS241">
            <v>7.789999999999992</v>
          </cell>
        </row>
        <row r="242">
          <cell r="B242">
            <v>40508</v>
          </cell>
          <cell r="D242">
            <v>84.65</v>
          </cell>
          <cell r="E242">
            <v>83.55</v>
          </cell>
          <cell r="H242">
            <v>87.47</v>
          </cell>
          <cell r="I242">
            <v>92.13</v>
          </cell>
          <cell r="BS242">
            <v>8.5799999999999983</v>
          </cell>
        </row>
        <row r="243">
          <cell r="B243">
            <v>40511</v>
          </cell>
          <cell r="D243">
            <v>86.064999999999998</v>
          </cell>
          <cell r="E243">
            <v>84.02</v>
          </cell>
          <cell r="H243">
            <v>89</v>
          </cell>
          <cell r="I243">
            <v>93</v>
          </cell>
          <cell r="BS243">
            <v>8.980000000000004</v>
          </cell>
        </row>
        <row r="244">
          <cell r="B244">
            <v>40512</v>
          </cell>
          <cell r="D244">
            <v>86.114999999999995</v>
          </cell>
          <cell r="E244">
            <v>84.754999999999995</v>
          </cell>
          <cell r="H244">
            <v>89.65</v>
          </cell>
          <cell r="I244">
            <v>93.8</v>
          </cell>
          <cell r="BS244">
            <v>9.0450000000000017</v>
          </cell>
        </row>
        <row r="245">
          <cell r="B245">
            <v>40513</v>
          </cell>
          <cell r="D245">
            <v>87.3</v>
          </cell>
          <cell r="E245">
            <v>84.1</v>
          </cell>
          <cell r="H245">
            <v>89.14</v>
          </cell>
          <cell r="I245">
            <v>93.74</v>
          </cell>
          <cell r="BS245">
            <v>9.64</v>
          </cell>
        </row>
        <row r="246">
          <cell r="B246">
            <v>40514</v>
          </cell>
          <cell r="D246">
            <v>89.49</v>
          </cell>
          <cell r="E246">
            <v>86.26</v>
          </cell>
          <cell r="H246">
            <v>91.63</v>
          </cell>
          <cell r="I246">
            <v>97.28</v>
          </cell>
          <cell r="BS246">
            <v>11.019999999999996</v>
          </cell>
        </row>
        <row r="247">
          <cell r="B247">
            <v>40515</v>
          </cell>
          <cell r="D247">
            <v>90.844999999999999</v>
          </cell>
          <cell r="E247">
            <v>86.95</v>
          </cell>
          <cell r="H247">
            <v>92.08</v>
          </cell>
          <cell r="I247">
            <v>99.06</v>
          </cell>
          <cell r="BS247">
            <v>12.11</v>
          </cell>
        </row>
        <row r="248">
          <cell r="B248">
            <v>40518</v>
          </cell>
          <cell r="D248">
            <v>91.12</v>
          </cell>
          <cell r="E248">
            <v>88.66</v>
          </cell>
          <cell r="H248">
            <v>93.23</v>
          </cell>
          <cell r="I248">
            <v>100.85</v>
          </cell>
          <cell r="BS248">
            <v>12.189999999999998</v>
          </cell>
        </row>
        <row r="249">
          <cell r="B249">
            <v>40519</v>
          </cell>
          <cell r="D249">
            <v>90.88</v>
          </cell>
          <cell r="E249">
            <v>88.56</v>
          </cell>
          <cell r="H249">
            <v>93.36</v>
          </cell>
          <cell r="I249">
            <v>100.05</v>
          </cell>
          <cell r="BS249">
            <v>11.489999999999995</v>
          </cell>
        </row>
        <row r="250">
          <cell r="B250">
            <v>40520</v>
          </cell>
          <cell r="D250">
            <v>89.984999999999999</v>
          </cell>
          <cell r="E250">
            <v>88.254999999999995</v>
          </cell>
          <cell r="H250">
            <v>92.35</v>
          </cell>
          <cell r="I250">
            <v>98.62</v>
          </cell>
          <cell r="BS250">
            <v>10.365000000000009</v>
          </cell>
        </row>
        <row r="251">
          <cell r="B251">
            <v>40521</v>
          </cell>
          <cell r="D251">
            <v>90.025000000000006</v>
          </cell>
          <cell r="E251">
            <v>89.07</v>
          </cell>
          <cell r="H251">
            <v>92.81</v>
          </cell>
          <cell r="I251">
            <v>98.96</v>
          </cell>
          <cell r="BS251">
            <v>9.89</v>
          </cell>
        </row>
        <row r="252">
          <cell r="B252">
            <v>40522</v>
          </cell>
          <cell r="D252">
            <v>89.61</v>
          </cell>
          <cell r="E252">
            <v>88.9</v>
          </cell>
          <cell r="H252">
            <v>92.79</v>
          </cell>
          <cell r="I252">
            <v>99.81</v>
          </cell>
          <cell r="BS252">
            <v>10.909999999999997</v>
          </cell>
        </row>
        <row r="253">
          <cell r="B253">
            <v>40525</v>
          </cell>
          <cell r="D253">
            <v>90.52</v>
          </cell>
          <cell r="E253">
            <v>88.75</v>
          </cell>
          <cell r="H253">
            <v>92.4</v>
          </cell>
          <cell r="I253">
            <v>99.34</v>
          </cell>
          <cell r="BS253">
            <v>10.590000000000003</v>
          </cell>
        </row>
        <row r="254">
          <cell r="B254">
            <v>40526</v>
          </cell>
          <cell r="D254">
            <v>90.814999999999998</v>
          </cell>
          <cell r="E254">
            <v>89.18</v>
          </cell>
          <cell r="H254">
            <v>92.27</v>
          </cell>
          <cell r="I254">
            <v>99.02</v>
          </cell>
          <cell r="BS254">
            <v>9.8399999999999892</v>
          </cell>
        </row>
        <row r="255">
          <cell r="B255">
            <v>40527</v>
          </cell>
          <cell r="D255">
            <v>91.53</v>
          </cell>
          <cell r="E255">
            <v>88.65</v>
          </cell>
          <cell r="H255">
            <v>91.31</v>
          </cell>
          <cell r="I255">
            <v>98.19</v>
          </cell>
          <cell r="BS255">
            <v>9.539999999999992</v>
          </cell>
        </row>
        <row r="256">
          <cell r="B256">
            <v>40528</v>
          </cell>
          <cell r="D256">
            <v>91.405000000000001</v>
          </cell>
          <cell r="E256">
            <v>89.7</v>
          </cell>
          <cell r="H256">
            <v>93.15</v>
          </cell>
          <cell r="I256">
            <v>99.72</v>
          </cell>
          <cell r="BS256">
            <v>10.019999999999996</v>
          </cell>
        </row>
        <row r="257">
          <cell r="B257">
            <v>40529</v>
          </cell>
          <cell r="D257">
            <v>91.16</v>
          </cell>
          <cell r="E257">
            <v>89.93</v>
          </cell>
          <cell r="H257">
            <v>94.18</v>
          </cell>
          <cell r="I257">
            <v>99.64</v>
          </cell>
          <cell r="BS257">
            <v>9.7099999999999937</v>
          </cell>
        </row>
        <row r="258">
          <cell r="B258">
            <v>40532</v>
          </cell>
          <cell r="D258">
            <v>91.21</v>
          </cell>
          <cell r="E258">
            <v>89.48</v>
          </cell>
          <cell r="H258">
            <v>94.08</v>
          </cell>
          <cell r="I258">
            <v>99.39</v>
          </cell>
          <cell r="BS258">
            <v>9.9099999999999966</v>
          </cell>
        </row>
        <row r="259">
          <cell r="B259">
            <v>40533</v>
          </cell>
          <cell r="D259">
            <v>93.1</v>
          </cell>
          <cell r="E259">
            <v>90.11</v>
          </cell>
          <cell r="H259">
            <v>95.46</v>
          </cell>
          <cell r="I259">
            <v>100.87</v>
          </cell>
          <cell r="BS259">
            <v>10.760000000000005</v>
          </cell>
        </row>
        <row r="260">
          <cell r="B260">
            <v>40534</v>
          </cell>
          <cell r="D260">
            <v>93.454999999999998</v>
          </cell>
          <cell r="E260">
            <v>90.66</v>
          </cell>
          <cell r="H260">
            <v>95.26</v>
          </cell>
          <cell r="I260">
            <v>101.85</v>
          </cell>
          <cell r="BS260">
            <v>11.189999999999998</v>
          </cell>
        </row>
        <row r="261">
          <cell r="B261">
            <v>40535</v>
          </cell>
          <cell r="D261">
            <v>93.614999999999995</v>
          </cell>
          <cell r="E261">
            <v>90.57</v>
          </cell>
          <cell r="H261">
            <v>95.51</v>
          </cell>
          <cell r="I261">
            <v>101.84</v>
          </cell>
          <cell r="BS261">
            <v>11.27000000000001</v>
          </cell>
        </row>
        <row r="262">
          <cell r="B262">
            <v>40536</v>
          </cell>
          <cell r="D262">
            <v>93.284999999999997</v>
          </cell>
          <cell r="E262">
            <v>91.83</v>
          </cell>
          <cell r="H262">
            <v>97.41</v>
          </cell>
          <cell r="I262">
            <v>102.79</v>
          </cell>
          <cell r="BS262">
            <v>10.960000000000008</v>
          </cell>
        </row>
        <row r="263">
          <cell r="B263">
            <v>40539</v>
          </cell>
          <cell r="D263" t="str">
            <v/>
          </cell>
          <cell r="E263" t="str">
            <v/>
          </cell>
          <cell r="H263">
            <v>0</v>
          </cell>
          <cell r="I263">
            <v>0</v>
          </cell>
          <cell r="BS263" t="e">
            <v>#N/A</v>
          </cell>
        </row>
        <row r="264">
          <cell r="B264">
            <v>40540</v>
          </cell>
          <cell r="D264" t="str">
            <v/>
          </cell>
          <cell r="E264">
            <v>90.53</v>
          </cell>
          <cell r="H264">
            <v>96.68</v>
          </cell>
          <cell r="I264">
            <v>102.44</v>
          </cell>
          <cell r="BS264">
            <v>11.909999999999997</v>
          </cell>
        </row>
        <row r="265">
          <cell r="B265">
            <v>40541</v>
          </cell>
          <cell r="D265">
            <v>93.995000000000005</v>
          </cell>
          <cell r="E265">
            <v>90.38</v>
          </cell>
          <cell r="H265">
            <v>96.69</v>
          </cell>
          <cell r="I265">
            <v>102.81</v>
          </cell>
          <cell r="BS265">
            <v>12.430000000000007</v>
          </cell>
        </row>
        <row r="266">
          <cell r="B266">
            <v>40542</v>
          </cell>
          <cell r="D266">
            <v>92.59</v>
          </cell>
          <cell r="E266">
            <v>90.03</v>
          </cell>
          <cell r="H266">
            <v>96.6</v>
          </cell>
          <cell r="I266">
            <v>102.59</v>
          </cell>
          <cell r="BS266">
            <v>12.560000000000002</v>
          </cell>
        </row>
        <row r="267">
          <cell r="B267">
            <v>40543</v>
          </cell>
          <cell r="D267">
            <v>92.545000000000002</v>
          </cell>
          <cell r="E267">
            <v>88.504999999999995</v>
          </cell>
          <cell r="H267">
            <v>95.92</v>
          </cell>
          <cell r="I267">
            <v>101.51</v>
          </cell>
          <cell r="BS267">
            <v>13.00500000000001</v>
          </cell>
        </row>
        <row r="268">
          <cell r="B268">
            <v>40546</v>
          </cell>
          <cell r="D268" t="str">
            <v/>
          </cell>
          <cell r="E268" t="str">
            <v/>
          </cell>
          <cell r="H268">
            <v>0</v>
          </cell>
          <cell r="I268">
            <v>0</v>
          </cell>
          <cell r="BS268" t="e">
            <v>#N/A</v>
          </cell>
        </row>
        <row r="269">
          <cell r="B269">
            <v>40547</v>
          </cell>
          <cell r="D269">
            <v>93.694999999999993</v>
          </cell>
          <cell r="E269">
            <v>91.58</v>
          </cell>
          <cell r="H269">
            <v>97.72</v>
          </cell>
          <cell r="I269">
            <v>103.34</v>
          </cell>
          <cell r="BS269">
            <v>11.760000000000005</v>
          </cell>
        </row>
        <row r="270">
          <cell r="B270">
            <v>40548</v>
          </cell>
          <cell r="D270">
            <v>95.144999999999996</v>
          </cell>
          <cell r="E270">
            <v>89.87</v>
          </cell>
          <cell r="H270">
            <v>96.35</v>
          </cell>
          <cell r="I270">
            <v>101.65</v>
          </cell>
          <cell r="BS270">
            <v>11.780000000000001</v>
          </cell>
        </row>
        <row r="271">
          <cell r="B271">
            <v>40549</v>
          </cell>
          <cell r="D271">
            <v>95.045000000000002</v>
          </cell>
          <cell r="E271">
            <v>92.15</v>
          </cell>
          <cell r="H271">
            <v>96.6</v>
          </cell>
          <cell r="I271">
            <v>104.25</v>
          </cell>
          <cell r="BS271">
            <v>12.099999999999994</v>
          </cell>
        </row>
        <row r="272">
          <cell r="B272">
            <v>40550</v>
          </cell>
          <cell r="D272">
            <v>94.03</v>
          </cell>
          <cell r="E272">
            <v>90.62</v>
          </cell>
          <cell r="H272">
            <v>95.07</v>
          </cell>
          <cell r="I272">
            <v>103.2</v>
          </cell>
          <cell r="BS272">
            <v>12.579999999999998</v>
          </cell>
        </row>
        <row r="273">
          <cell r="B273">
            <v>40553</v>
          </cell>
          <cell r="D273">
            <v>95.034999999999997</v>
          </cell>
          <cell r="E273">
            <v>90.5</v>
          </cell>
          <cell r="H273">
            <v>94.56</v>
          </cell>
          <cell r="I273">
            <v>102.87</v>
          </cell>
          <cell r="BS273">
            <v>12.370000000000005</v>
          </cell>
        </row>
        <row r="274">
          <cell r="B274">
            <v>40554</v>
          </cell>
          <cell r="D274">
            <v>96.88</v>
          </cell>
          <cell r="E274">
            <v>92.1</v>
          </cell>
          <cell r="H274">
            <v>94</v>
          </cell>
          <cell r="I274">
            <v>103.74</v>
          </cell>
          <cell r="BS274">
            <v>11.64</v>
          </cell>
        </row>
        <row r="275">
          <cell r="B275">
            <v>40555</v>
          </cell>
          <cell r="D275">
            <v>97.805000000000007</v>
          </cell>
          <cell r="E275">
            <v>93.94</v>
          </cell>
          <cell r="H275">
            <v>94.79</v>
          </cell>
          <cell r="I275">
            <v>105.27</v>
          </cell>
          <cell r="BS275">
            <v>11.329999999999998</v>
          </cell>
        </row>
        <row r="276">
          <cell r="B276">
            <v>40556</v>
          </cell>
          <cell r="D276">
            <v>97.77</v>
          </cell>
          <cell r="E276">
            <v>93.54</v>
          </cell>
          <cell r="H276">
            <v>93.85</v>
          </cell>
          <cell r="I276">
            <v>105.65</v>
          </cell>
          <cell r="BS276">
            <v>12.11</v>
          </cell>
        </row>
        <row r="277">
          <cell r="B277">
            <v>40557</v>
          </cell>
          <cell r="D277">
            <v>98.28</v>
          </cell>
          <cell r="E277">
            <v>93.21</v>
          </cell>
          <cell r="H277">
            <v>95.06</v>
          </cell>
          <cell r="I277">
            <v>105.69</v>
          </cell>
          <cell r="BS277">
            <v>12.480000000000004</v>
          </cell>
        </row>
        <row r="278">
          <cell r="B278">
            <v>40560</v>
          </cell>
          <cell r="D278">
            <v>97.61</v>
          </cell>
          <cell r="E278">
            <v>93.11</v>
          </cell>
          <cell r="H278">
            <v>97.01</v>
          </cell>
          <cell r="I278">
            <v>106.23</v>
          </cell>
          <cell r="BS278">
            <v>13.120000000000005</v>
          </cell>
        </row>
        <row r="279">
          <cell r="B279">
            <v>40561</v>
          </cell>
          <cell r="D279">
            <v>97.8</v>
          </cell>
          <cell r="E279">
            <v>93.22</v>
          </cell>
          <cell r="H279">
            <v>95.95</v>
          </cell>
          <cell r="I279">
            <v>106.18</v>
          </cell>
          <cell r="BS279">
            <v>12.960000000000008</v>
          </cell>
        </row>
        <row r="280">
          <cell r="B280">
            <v>40562</v>
          </cell>
          <cell r="D280">
            <v>98.21</v>
          </cell>
          <cell r="E280">
            <v>93.32</v>
          </cell>
          <cell r="H280">
            <v>96.22</v>
          </cell>
          <cell r="I280">
            <v>106.4</v>
          </cell>
          <cell r="BS280">
            <v>13.080000000000013</v>
          </cell>
        </row>
        <row r="281">
          <cell r="B281">
            <v>40563</v>
          </cell>
          <cell r="D281">
            <v>96.03</v>
          </cell>
          <cell r="E281">
            <v>92.95</v>
          </cell>
          <cell r="H281">
            <v>95.02</v>
          </cell>
          <cell r="I281">
            <v>105.9</v>
          </cell>
          <cell r="BS281">
            <v>12.950000000000003</v>
          </cell>
        </row>
        <row r="282">
          <cell r="B282">
            <v>40564</v>
          </cell>
          <cell r="D282">
            <v>96.7</v>
          </cell>
          <cell r="E282">
            <v>92.5</v>
          </cell>
          <cell r="H282">
            <v>94.54</v>
          </cell>
          <cell r="I282">
            <v>104.63</v>
          </cell>
          <cell r="BS282">
            <v>12.129999999999995</v>
          </cell>
        </row>
        <row r="283">
          <cell r="B283">
            <v>40567</v>
          </cell>
          <cell r="D283">
            <v>96.834999999999994</v>
          </cell>
          <cell r="E283">
            <v>93.04</v>
          </cell>
          <cell r="H283">
            <v>95.52</v>
          </cell>
          <cell r="I283">
            <v>105.5</v>
          </cell>
          <cell r="BS283">
            <v>12.459999999999994</v>
          </cell>
        </row>
        <row r="284">
          <cell r="B284">
            <v>40568</v>
          </cell>
          <cell r="D284">
            <v>94.584999999999994</v>
          </cell>
          <cell r="E284">
            <v>91.91</v>
          </cell>
          <cell r="H284">
            <v>93.63</v>
          </cell>
          <cell r="I284">
            <v>103.49</v>
          </cell>
          <cell r="BS284">
            <v>11.579999999999998</v>
          </cell>
        </row>
        <row r="285">
          <cell r="B285">
            <v>40569</v>
          </cell>
          <cell r="D285">
            <v>96.08</v>
          </cell>
          <cell r="E285">
            <v>91.76</v>
          </cell>
          <cell r="H285">
            <v>93</v>
          </cell>
          <cell r="I285">
            <v>101.48</v>
          </cell>
          <cell r="BS285">
            <v>9.7199999999999989</v>
          </cell>
        </row>
        <row r="286">
          <cell r="B286">
            <v>40570</v>
          </cell>
          <cell r="D286">
            <v>96.674999999999997</v>
          </cell>
          <cell r="E286">
            <v>93.18</v>
          </cell>
          <cell r="H286">
            <v>94.46</v>
          </cell>
          <cell r="I286">
            <v>103.58</v>
          </cell>
          <cell r="BS286">
            <v>10.399999999999991</v>
          </cell>
        </row>
        <row r="287">
          <cell r="B287">
            <v>40571</v>
          </cell>
          <cell r="D287">
            <v>97.435000000000002</v>
          </cell>
          <cell r="E287">
            <v>93.37</v>
          </cell>
          <cell r="H287">
            <v>93.53</v>
          </cell>
          <cell r="I287">
            <v>102.95</v>
          </cell>
          <cell r="BS287">
            <v>9.5799999999999983</v>
          </cell>
        </row>
        <row r="288">
          <cell r="B288">
            <v>40574</v>
          </cell>
          <cell r="D288">
            <v>99.155000000000001</v>
          </cell>
          <cell r="E288">
            <v>94.45</v>
          </cell>
          <cell r="H288">
            <v>96.32</v>
          </cell>
          <cell r="I288">
            <v>104.85</v>
          </cell>
          <cell r="BS288">
            <v>10.399999999999991</v>
          </cell>
        </row>
        <row r="289">
          <cell r="B289">
            <v>40575</v>
          </cell>
          <cell r="D289">
            <v>100.45</v>
          </cell>
          <cell r="E289">
            <v>95.62</v>
          </cell>
          <cell r="H289">
            <v>95.67</v>
          </cell>
          <cell r="I289">
            <v>107.05</v>
          </cell>
          <cell r="BS289">
            <v>11.429999999999993</v>
          </cell>
        </row>
        <row r="290">
          <cell r="B290">
            <v>40576</v>
          </cell>
          <cell r="D290">
            <v>101.285</v>
          </cell>
          <cell r="E290">
            <v>97.14</v>
          </cell>
          <cell r="H290">
            <v>95.89</v>
          </cell>
          <cell r="I290">
            <v>107.96</v>
          </cell>
          <cell r="BS290">
            <v>10.819999999999993</v>
          </cell>
        </row>
        <row r="291">
          <cell r="B291">
            <v>40577</v>
          </cell>
          <cell r="D291">
            <v>101.53</v>
          </cell>
          <cell r="E291" t="str">
            <v/>
          </cell>
          <cell r="H291">
            <v>0</v>
          </cell>
          <cell r="I291">
            <v>0</v>
          </cell>
          <cell r="BS291" t="e">
            <v>#N/A</v>
          </cell>
        </row>
        <row r="292">
          <cell r="B292">
            <v>40578</v>
          </cell>
          <cell r="D292">
            <v>99.31</v>
          </cell>
          <cell r="E292" t="str">
            <v/>
          </cell>
          <cell r="H292">
            <v>0</v>
          </cell>
          <cell r="I292">
            <v>0</v>
          </cell>
          <cell r="BS292" t="e">
            <v>#N/A</v>
          </cell>
        </row>
        <row r="293">
          <cell r="B293">
            <v>40581</v>
          </cell>
          <cell r="D293">
            <v>99.295000000000002</v>
          </cell>
          <cell r="E293">
            <v>95.82</v>
          </cell>
          <cell r="H293">
            <v>94.58</v>
          </cell>
          <cell r="I293">
            <v>104.98</v>
          </cell>
          <cell r="BS293">
            <v>9.1600000000000108</v>
          </cell>
        </row>
        <row r="294">
          <cell r="B294">
            <v>40582</v>
          </cell>
          <cell r="D294">
            <v>99.055000000000007</v>
          </cell>
          <cell r="E294">
            <v>96.06</v>
          </cell>
          <cell r="H294">
            <v>94.59</v>
          </cell>
          <cell r="I294">
            <v>105.49</v>
          </cell>
          <cell r="BS294">
            <v>9.4299999999999926</v>
          </cell>
        </row>
        <row r="295">
          <cell r="B295">
            <v>40583</v>
          </cell>
          <cell r="D295">
            <v>100.26</v>
          </cell>
          <cell r="E295">
            <v>96.62</v>
          </cell>
          <cell r="H295">
            <v>94.88</v>
          </cell>
          <cell r="I295">
            <v>106.76</v>
          </cell>
          <cell r="BS295">
            <v>10.14</v>
          </cell>
        </row>
        <row r="296">
          <cell r="B296">
            <v>40584</v>
          </cell>
          <cell r="D296">
            <v>100.91500000000001</v>
          </cell>
          <cell r="E296">
            <v>97.58</v>
          </cell>
          <cell r="H296">
            <v>95.83</v>
          </cell>
          <cell r="I296">
            <v>106.93</v>
          </cell>
          <cell r="BS296">
            <v>9.3500000000000085</v>
          </cell>
        </row>
        <row r="297">
          <cell r="B297">
            <v>40585</v>
          </cell>
          <cell r="D297">
            <v>100.11499999999999</v>
          </cell>
          <cell r="E297">
            <v>97.54</v>
          </cell>
          <cell r="H297">
            <v>95.26</v>
          </cell>
          <cell r="I297">
            <v>105.83</v>
          </cell>
          <cell r="BS297">
            <v>8.289999999999992</v>
          </cell>
        </row>
        <row r="298">
          <cell r="B298">
            <v>40588</v>
          </cell>
          <cell r="D298">
            <v>103.11499999999999</v>
          </cell>
          <cell r="E298">
            <v>97.12</v>
          </cell>
          <cell r="H298">
            <v>94.4</v>
          </cell>
          <cell r="I298">
            <v>105.9</v>
          </cell>
          <cell r="BS298">
            <v>8.7800000000000011</v>
          </cell>
        </row>
        <row r="299">
          <cell r="B299">
            <v>40589</v>
          </cell>
          <cell r="D299">
            <v>102.55</v>
          </cell>
          <cell r="E299">
            <v>98.99</v>
          </cell>
          <cell r="H299">
            <v>96.27</v>
          </cell>
          <cell r="I299">
            <v>107.61</v>
          </cell>
          <cell r="BS299">
            <v>8.6200000000000045</v>
          </cell>
        </row>
        <row r="300">
          <cell r="B300">
            <v>40590</v>
          </cell>
          <cell r="D300">
            <v>102.73</v>
          </cell>
          <cell r="E300">
            <v>97.94</v>
          </cell>
          <cell r="H300">
            <v>95.26</v>
          </cell>
          <cell r="I300">
            <v>106.31</v>
          </cell>
          <cell r="BS300">
            <v>8.3700000000000045</v>
          </cell>
        </row>
        <row r="301">
          <cell r="B301">
            <v>40591</v>
          </cell>
          <cell r="D301">
            <v>103.54</v>
          </cell>
          <cell r="E301">
            <v>99.5</v>
          </cell>
          <cell r="H301">
            <v>96.01</v>
          </cell>
          <cell r="I301">
            <v>108.9</v>
          </cell>
          <cell r="BS301">
            <v>9.4000000000000057</v>
          </cell>
        </row>
        <row r="302">
          <cell r="B302">
            <v>40592</v>
          </cell>
          <cell r="D302">
            <v>102.095</v>
          </cell>
          <cell r="E302">
            <v>98.82</v>
          </cell>
          <cell r="H302">
            <v>95.35</v>
          </cell>
          <cell r="I302">
            <v>107.71</v>
          </cell>
          <cell r="BS302">
            <v>8.89</v>
          </cell>
        </row>
        <row r="303">
          <cell r="B303">
            <v>40595</v>
          </cell>
          <cell r="D303">
            <v>104.19499999999999</v>
          </cell>
          <cell r="E303">
            <v>100.36</v>
          </cell>
          <cell r="H303">
            <v>97.3</v>
          </cell>
          <cell r="I303">
            <v>109.84</v>
          </cell>
          <cell r="BS303">
            <v>9.480000000000004</v>
          </cell>
        </row>
        <row r="304">
          <cell r="B304">
            <v>40596</v>
          </cell>
          <cell r="D304">
            <v>106.82</v>
          </cell>
          <cell r="E304">
            <v>104</v>
          </cell>
          <cell r="H304">
            <v>101</v>
          </cell>
          <cell r="I304">
            <v>112.79</v>
          </cell>
          <cell r="BS304">
            <v>8.7900000000000063</v>
          </cell>
        </row>
        <row r="305">
          <cell r="B305">
            <v>40597</v>
          </cell>
          <cell r="D305">
            <v>110.23</v>
          </cell>
          <cell r="E305">
            <v>104.61</v>
          </cell>
          <cell r="H305">
            <v>100.39</v>
          </cell>
          <cell r="I305">
            <v>112.4</v>
          </cell>
          <cell r="BS305">
            <v>7.7900000000000063</v>
          </cell>
        </row>
        <row r="306">
          <cell r="B306">
            <v>40598</v>
          </cell>
          <cell r="D306">
            <v>113.34</v>
          </cell>
          <cell r="E306">
            <v>111.59</v>
          </cell>
          <cell r="H306">
            <v>108.22</v>
          </cell>
          <cell r="I306">
            <v>121.65</v>
          </cell>
          <cell r="BS306">
            <v>10.060000000000002</v>
          </cell>
        </row>
        <row r="307">
          <cell r="B307">
            <v>40599</v>
          </cell>
          <cell r="D307">
            <v>111.80500000000001</v>
          </cell>
          <cell r="E307">
            <v>107.5</v>
          </cell>
          <cell r="H307">
            <v>104.05</v>
          </cell>
          <cell r="I307">
            <v>117.04</v>
          </cell>
          <cell r="BS307">
            <v>9.5400000000000063</v>
          </cell>
        </row>
        <row r="308">
          <cell r="B308">
            <v>40602</v>
          </cell>
          <cell r="D308">
            <v>112.55500000000001</v>
          </cell>
          <cell r="E308">
            <v>107.495</v>
          </cell>
          <cell r="H308">
            <v>106.67</v>
          </cell>
          <cell r="I308">
            <v>118.1</v>
          </cell>
          <cell r="BS308">
            <v>10.60499999999999</v>
          </cell>
        </row>
        <row r="309">
          <cell r="B309">
            <v>40603</v>
          </cell>
          <cell r="D309">
            <v>113.22</v>
          </cell>
          <cell r="E309">
            <v>106.52</v>
          </cell>
          <cell r="H309">
            <v>106.69</v>
          </cell>
          <cell r="I309">
            <v>115.81</v>
          </cell>
          <cell r="BS309">
            <v>9.2900000000000063</v>
          </cell>
        </row>
        <row r="310">
          <cell r="B310">
            <v>40604</v>
          </cell>
          <cell r="D310">
            <v>116.45</v>
          </cell>
          <cell r="E310">
            <v>109.12</v>
          </cell>
          <cell r="H310">
            <v>108.59</v>
          </cell>
          <cell r="I310">
            <v>118.94</v>
          </cell>
          <cell r="BS310">
            <v>9.8199999999999932</v>
          </cell>
        </row>
        <row r="311">
          <cell r="B311">
            <v>40605</v>
          </cell>
          <cell r="D311">
            <v>114.495</v>
          </cell>
          <cell r="E311">
            <v>109.94</v>
          </cell>
          <cell r="H311">
            <v>110.19</v>
          </cell>
          <cell r="I311">
            <v>119.6</v>
          </cell>
          <cell r="BS311">
            <v>9.6599999999999966</v>
          </cell>
        </row>
        <row r="312">
          <cell r="B312">
            <v>40606</v>
          </cell>
          <cell r="D312">
            <v>115.44499999999999</v>
          </cell>
          <cell r="E312">
            <v>110.82</v>
          </cell>
          <cell r="H312">
            <v>111.95</v>
          </cell>
          <cell r="I312">
            <v>121.25</v>
          </cell>
          <cell r="BS312">
            <v>10.430000000000007</v>
          </cell>
        </row>
        <row r="313">
          <cell r="B313">
            <v>40609</v>
          </cell>
          <cell r="D313">
            <v>115.955</v>
          </cell>
          <cell r="E313">
            <v>111.63</v>
          </cell>
          <cell r="H313">
            <v>111.33</v>
          </cell>
          <cell r="I313">
            <v>122.48</v>
          </cell>
          <cell r="BS313">
            <v>10.850000000000009</v>
          </cell>
        </row>
        <row r="314">
          <cell r="B314">
            <v>40610</v>
          </cell>
          <cell r="D314">
            <v>112.80500000000001</v>
          </cell>
          <cell r="E314">
            <v>109.39</v>
          </cell>
          <cell r="H314">
            <v>108.54</v>
          </cell>
          <cell r="I314">
            <v>118.95</v>
          </cell>
          <cell r="BS314">
            <v>9.5600000000000023</v>
          </cell>
        </row>
        <row r="315">
          <cell r="B315">
            <v>40611</v>
          </cell>
          <cell r="D315">
            <v>115.255</v>
          </cell>
          <cell r="E315">
            <v>108.68</v>
          </cell>
          <cell r="H315">
            <v>108.49</v>
          </cell>
          <cell r="I315">
            <v>117.43</v>
          </cell>
          <cell r="BS315">
            <v>8.75</v>
          </cell>
        </row>
        <row r="316">
          <cell r="B316">
            <v>40612</v>
          </cell>
          <cell r="D316">
            <v>113.955</v>
          </cell>
          <cell r="E316">
            <v>110.75</v>
          </cell>
          <cell r="H316">
            <v>111.05</v>
          </cell>
          <cell r="I316">
            <v>120.91</v>
          </cell>
          <cell r="BS316">
            <v>10.159999999999997</v>
          </cell>
        </row>
        <row r="317">
          <cell r="B317">
            <v>40613</v>
          </cell>
          <cell r="D317">
            <v>113.955</v>
          </cell>
          <cell r="E317">
            <v>108.42</v>
          </cell>
          <cell r="H317">
            <v>108.31</v>
          </cell>
          <cell r="I317">
            <v>119.06</v>
          </cell>
          <cell r="BS317">
            <v>10.64</v>
          </cell>
        </row>
        <row r="318">
          <cell r="B318">
            <v>40616</v>
          </cell>
          <cell r="D318">
            <v>113.08</v>
          </cell>
          <cell r="E318">
            <v>106.35</v>
          </cell>
          <cell r="H318">
            <v>105.82</v>
          </cell>
          <cell r="I318">
            <v>117.51</v>
          </cell>
          <cell r="BS318">
            <v>11.160000000000011</v>
          </cell>
        </row>
        <row r="319">
          <cell r="B319">
            <v>40617</v>
          </cell>
          <cell r="D319">
            <v>111.125</v>
          </cell>
          <cell r="E319">
            <v>106.35</v>
          </cell>
          <cell r="H319">
            <v>103.1</v>
          </cell>
          <cell r="I319">
            <v>116</v>
          </cell>
          <cell r="BS319">
            <v>9.6500000000000057</v>
          </cell>
        </row>
        <row r="320">
          <cell r="B320">
            <v>40618</v>
          </cell>
          <cell r="D320">
            <v>110.905</v>
          </cell>
          <cell r="E320">
            <v>104.5</v>
          </cell>
          <cell r="H320">
            <v>101.77</v>
          </cell>
          <cell r="I320">
            <v>113.99</v>
          </cell>
          <cell r="BS320">
            <v>9.4899999999999949</v>
          </cell>
        </row>
        <row r="321">
          <cell r="B321">
            <v>40619</v>
          </cell>
          <cell r="D321">
            <v>114.11499999999999</v>
          </cell>
          <cell r="E321">
            <v>105.95</v>
          </cell>
          <cell r="H321">
            <v>103.17</v>
          </cell>
          <cell r="I321">
            <v>114.85</v>
          </cell>
          <cell r="BS321">
            <v>8.8999999999999915</v>
          </cell>
        </row>
        <row r="322">
          <cell r="B322">
            <v>40620</v>
          </cell>
          <cell r="D322">
            <v>114.06</v>
          </cell>
          <cell r="E322">
            <v>110.38</v>
          </cell>
          <cell r="H322">
            <v>108.04</v>
          </cell>
          <cell r="I322">
            <v>119.99</v>
          </cell>
          <cell r="BS322">
            <v>9.61</v>
          </cell>
        </row>
        <row r="323">
          <cell r="B323">
            <v>40623</v>
          </cell>
          <cell r="D323">
            <v>115.095</v>
          </cell>
          <cell r="E323">
            <v>108.77</v>
          </cell>
          <cell r="H323">
            <v>107.42</v>
          </cell>
          <cell r="I323">
            <v>119.05</v>
          </cell>
          <cell r="BS323">
            <v>10.280000000000001</v>
          </cell>
        </row>
        <row r="324">
          <cell r="B324">
            <v>40624</v>
          </cell>
          <cell r="D324">
            <v>115.425</v>
          </cell>
          <cell r="E324">
            <v>108.69</v>
          </cell>
          <cell r="H324">
            <v>107.83</v>
          </cell>
          <cell r="I324">
            <v>118.7</v>
          </cell>
          <cell r="BS324">
            <v>10.010000000000005</v>
          </cell>
        </row>
        <row r="325">
          <cell r="B325">
            <v>40625</v>
          </cell>
          <cell r="D325">
            <v>115.6</v>
          </cell>
          <cell r="E325">
            <v>109.88</v>
          </cell>
          <cell r="H325">
            <v>108.46</v>
          </cell>
          <cell r="I325">
            <v>119.85</v>
          </cell>
          <cell r="BS325">
            <v>9.9699999999999989</v>
          </cell>
        </row>
        <row r="326">
          <cell r="B326">
            <v>40626</v>
          </cell>
          <cell r="D326">
            <v>115.355</v>
          </cell>
          <cell r="E326">
            <v>109.57</v>
          </cell>
          <cell r="H326">
            <v>107.89</v>
          </cell>
          <cell r="I326">
            <v>120.15</v>
          </cell>
          <cell r="BS326">
            <v>10.580000000000013</v>
          </cell>
        </row>
        <row r="327">
          <cell r="B327">
            <v>40627</v>
          </cell>
          <cell r="D327">
            <v>115.63</v>
          </cell>
          <cell r="E327">
            <v>109.58</v>
          </cell>
          <cell r="H327">
            <v>109.29</v>
          </cell>
          <cell r="I327">
            <v>120.45</v>
          </cell>
          <cell r="BS327">
            <v>10.870000000000005</v>
          </cell>
        </row>
        <row r="328">
          <cell r="B328">
            <v>40630</v>
          </cell>
          <cell r="D328">
            <v>116.08499999999999</v>
          </cell>
          <cell r="E328">
            <v>108.74</v>
          </cell>
          <cell r="H328">
            <v>108.29</v>
          </cell>
          <cell r="I328">
            <v>119.34</v>
          </cell>
          <cell r="BS328">
            <v>10.600000000000009</v>
          </cell>
        </row>
        <row r="329">
          <cell r="B329">
            <v>40631</v>
          </cell>
          <cell r="D329">
            <v>115.65</v>
          </cell>
          <cell r="E329">
            <v>107.98</v>
          </cell>
          <cell r="H329">
            <v>106.83</v>
          </cell>
          <cell r="I329">
            <v>118.76</v>
          </cell>
          <cell r="BS329">
            <v>10.780000000000001</v>
          </cell>
        </row>
        <row r="330">
          <cell r="B330">
            <v>40632</v>
          </cell>
          <cell r="D330">
            <v>115.19499999999999</v>
          </cell>
          <cell r="E330">
            <v>108.79</v>
          </cell>
          <cell r="H330">
            <v>107.98</v>
          </cell>
          <cell r="I330">
            <v>119.93</v>
          </cell>
          <cell r="BS330">
            <v>11.14</v>
          </cell>
        </row>
        <row r="331">
          <cell r="B331">
            <v>40633</v>
          </cell>
          <cell r="D331">
            <v>116.94499999999999</v>
          </cell>
          <cell r="E331">
            <v>109.48</v>
          </cell>
          <cell r="H331">
            <v>109.03</v>
          </cell>
          <cell r="I331">
            <v>121</v>
          </cell>
          <cell r="BS331">
            <v>11.519999999999996</v>
          </cell>
        </row>
        <row r="332">
          <cell r="B332">
            <v>40634</v>
          </cell>
          <cell r="D332">
            <v>118.61499999999999</v>
          </cell>
          <cell r="E332">
            <v>111</v>
          </cell>
          <cell r="H332">
            <v>109.56</v>
          </cell>
          <cell r="I332">
            <v>122.73</v>
          </cell>
          <cell r="BS332">
            <v>11.730000000000004</v>
          </cell>
        </row>
        <row r="333">
          <cell r="B333">
            <v>40637</v>
          </cell>
          <cell r="D333">
            <v>120.65</v>
          </cell>
          <cell r="E333">
            <v>112.49</v>
          </cell>
          <cell r="H333">
            <v>110.98</v>
          </cell>
          <cell r="I333">
            <v>124.03</v>
          </cell>
          <cell r="BS333">
            <v>11.540000000000006</v>
          </cell>
        </row>
        <row r="334">
          <cell r="B334">
            <v>40638</v>
          </cell>
          <cell r="D334">
            <v>123.44</v>
          </cell>
          <cell r="E334">
            <v>113.61</v>
          </cell>
          <cell r="H334">
            <v>111.19</v>
          </cell>
          <cell r="I334">
            <v>124.83</v>
          </cell>
          <cell r="BS334">
            <v>11.219999999999999</v>
          </cell>
        </row>
        <row r="335">
          <cell r="B335">
            <v>40639</v>
          </cell>
          <cell r="D335">
            <v>123.46</v>
          </cell>
          <cell r="E335">
            <v>115.3</v>
          </cell>
          <cell r="H335">
            <v>112.07</v>
          </cell>
          <cell r="I335">
            <v>125.79</v>
          </cell>
          <cell r="BS335">
            <v>10.490000000000009</v>
          </cell>
        </row>
        <row r="336">
          <cell r="B336">
            <v>40640</v>
          </cell>
          <cell r="D336">
            <v>122.965</v>
          </cell>
          <cell r="E336">
            <v>115.55500000000001</v>
          </cell>
          <cell r="H336">
            <v>112.8</v>
          </cell>
          <cell r="I336">
            <v>125.82</v>
          </cell>
          <cell r="BS336">
            <v>10.264999999999986</v>
          </cell>
        </row>
        <row r="337">
          <cell r="B337">
            <v>40641</v>
          </cell>
          <cell r="D337">
            <v>126.41500000000001</v>
          </cell>
          <cell r="E337">
            <v>117.21</v>
          </cell>
          <cell r="H337">
            <v>115.19</v>
          </cell>
          <cell r="I337">
            <v>128.13999999999999</v>
          </cell>
          <cell r="BS337">
            <v>10.929999999999993</v>
          </cell>
        </row>
        <row r="338">
          <cell r="B338">
            <v>40644</v>
          </cell>
          <cell r="D338">
            <v>126.64</v>
          </cell>
          <cell r="E338">
            <v>118.36</v>
          </cell>
          <cell r="H338">
            <v>115.94</v>
          </cell>
          <cell r="I338">
            <v>129.19999999999999</v>
          </cell>
          <cell r="BS338">
            <v>10.839999999999989</v>
          </cell>
        </row>
        <row r="339">
          <cell r="B339">
            <v>40645</v>
          </cell>
          <cell r="D339">
            <v>121.4</v>
          </cell>
          <cell r="E339">
            <v>116.59</v>
          </cell>
          <cell r="H339">
            <v>114.37</v>
          </cell>
          <cell r="I339">
            <v>127.31</v>
          </cell>
          <cell r="BS339">
            <v>10.719999999999999</v>
          </cell>
        </row>
        <row r="340">
          <cell r="B340">
            <v>40646</v>
          </cell>
          <cell r="D340">
            <v>123.07</v>
          </cell>
          <cell r="E340">
            <v>114.06</v>
          </cell>
          <cell r="H340">
            <v>113.3</v>
          </cell>
          <cell r="I340">
            <v>125.31</v>
          </cell>
          <cell r="BS340">
            <v>11.25</v>
          </cell>
        </row>
        <row r="341">
          <cell r="B341">
            <v>40647</v>
          </cell>
          <cell r="D341">
            <v>123.27</v>
          </cell>
          <cell r="E341">
            <v>116.02</v>
          </cell>
          <cell r="H341">
            <v>116.09</v>
          </cell>
          <cell r="I341">
            <v>127.59</v>
          </cell>
          <cell r="BS341">
            <v>11.570000000000007</v>
          </cell>
        </row>
        <row r="342">
          <cell r="B342">
            <v>40648</v>
          </cell>
          <cell r="D342">
            <v>124.38500000000001</v>
          </cell>
          <cell r="E342">
            <v>115.12</v>
          </cell>
          <cell r="H342">
            <v>115.74</v>
          </cell>
          <cell r="I342">
            <v>126.2</v>
          </cell>
          <cell r="BS342">
            <v>11.079999999999998</v>
          </cell>
        </row>
        <row r="343">
          <cell r="B343">
            <v>40651</v>
          </cell>
          <cell r="D343">
            <v>121.80500000000001</v>
          </cell>
          <cell r="E343">
            <v>116.02</v>
          </cell>
          <cell r="H343">
            <v>116.43</v>
          </cell>
          <cell r="I343">
            <v>127.63</v>
          </cell>
          <cell r="BS343">
            <v>11.61</v>
          </cell>
        </row>
        <row r="344">
          <cell r="B344">
            <v>40652</v>
          </cell>
          <cell r="D344">
            <v>121.30500000000001</v>
          </cell>
          <cell r="E344">
            <v>114.05</v>
          </cell>
          <cell r="H344">
            <v>113.45</v>
          </cell>
          <cell r="I344">
            <v>124.99</v>
          </cell>
          <cell r="BS344">
            <v>10.939999999999998</v>
          </cell>
        </row>
        <row r="345">
          <cell r="B345">
            <v>40653</v>
          </cell>
          <cell r="D345">
            <v>124.27</v>
          </cell>
          <cell r="E345">
            <v>115.69</v>
          </cell>
          <cell r="H345">
            <v>115.6</v>
          </cell>
          <cell r="I345">
            <v>126.79</v>
          </cell>
          <cell r="BS345">
            <v>11.100000000000009</v>
          </cell>
        </row>
        <row r="346">
          <cell r="B346">
            <v>40654</v>
          </cell>
          <cell r="D346">
            <v>125.065</v>
          </cell>
          <cell r="E346">
            <v>117.78</v>
          </cell>
          <cell r="H346">
            <v>118.22</v>
          </cell>
          <cell r="I346">
            <v>129.51</v>
          </cell>
          <cell r="BS346">
            <v>11.72999999999999</v>
          </cell>
        </row>
        <row r="347">
          <cell r="B347">
            <v>40655</v>
          </cell>
          <cell r="D347" t="str">
            <v/>
          </cell>
          <cell r="E347" t="str">
            <v/>
          </cell>
          <cell r="H347">
            <v>0</v>
          </cell>
          <cell r="I347">
            <v>0</v>
          </cell>
          <cell r="BS347" t="e">
            <v>#N/A</v>
          </cell>
        </row>
        <row r="348">
          <cell r="B348">
            <v>40658</v>
          </cell>
          <cell r="D348" t="str">
            <v/>
          </cell>
          <cell r="E348">
            <v>117.96</v>
          </cell>
          <cell r="H348">
            <v>118.36</v>
          </cell>
          <cell r="I348">
            <v>130.25</v>
          </cell>
          <cell r="BS348">
            <v>12.290000000000006</v>
          </cell>
        </row>
        <row r="349">
          <cell r="B349">
            <v>40659</v>
          </cell>
          <cell r="D349">
            <v>124.6</v>
          </cell>
          <cell r="E349">
            <v>117.39</v>
          </cell>
          <cell r="H349">
            <v>118.85</v>
          </cell>
          <cell r="I349">
            <v>130.74</v>
          </cell>
          <cell r="BS349">
            <v>13.350000000000009</v>
          </cell>
        </row>
        <row r="350">
          <cell r="B350">
            <v>40660</v>
          </cell>
          <cell r="D350">
            <v>124.88500000000001</v>
          </cell>
          <cell r="E350">
            <v>117.69</v>
          </cell>
          <cell r="H350">
            <v>118.56</v>
          </cell>
          <cell r="I350">
            <v>131.51</v>
          </cell>
          <cell r="BS350">
            <v>13.819999999999993</v>
          </cell>
        </row>
        <row r="351">
          <cell r="B351">
            <v>40661</v>
          </cell>
          <cell r="D351">
            <v>126.52500000000001</v>
          </cell>
          <cell r="E351">
            <v>119.61</v>
          </cell>
          <cell r="H351">
            <v>120.57</v>
          </cell>
          <cell r="I351">
            <v>134.81</v>
          </cell>
          <cell r="BS351">
            <v>15.200000000000003</v>
          </cell>
        </row>
        <row r="352">
          <cell r="B352">
            <v>40662</v>
          </cell>
          <cell r="D352" t="str">
            <v/>
          </cell>
          <cell r="E352">
            <v>118.59</v>
          </cell>
          <cell r="H352">
            <v>120.28</v>
          </cell>
          <cell r="I352">
            <v>133.94</v>
          </cell>
          <cell r="BS352">
            <v>15.349999999999994</v>
          </cell>
        </row>
        <row r="353">
          <cell r="B353">
            <v>40665</v>
          </cell>
          <cell r="D353" t="str">
            <v/>
          </cell>
          <cell r="E353" t="str">
            <v/>
          </cell>
          <cell r="H353">
            <v>0</v>
          </cell>
          <cell r="I353">
            <v>0</v>
          </cell>
          <cell r="BS353" t="e">
            <v>#N/A</v>
          </cell>
        </row>
        <row r="354">
          <cell r="B354">
            <v>40666</v>
          </cell>
          <cell r="D354">
            <v>123.91</v>
          </cell>
          <cell r="E354">
            <v>118.14</v>
          </cell>
          <cell r="H354">
            <v>119.56</v>
          </cell>
          <cell r="I354">
            <v>135.33000000000001</v>
          </cell>
          <cell r="BS354">
            <v>17.190000000000012</v>
          </cell>
        </row>
        <row r="355">
          <cell r="B355">
            <v>40667</v>
          </cell>
          <cell r="D355">
            <v>121.62</v>
          </cell>
          <cell r="E355">
            <v>116.27</v>
          </cell>
          <cell r="H355">
            <v>117.69</v>
          </cell>
          <cell r="I355">
            <v>134.5</v>
          </cell>
          <cell r="BS355">
            <v>18.230000000000004</v>
          </cell>
        </row>
        <row r="356">
          <cell r="B356">
            <v>40668</v>
          </cell>
          <cell r="D356">
            <v>114.735</v>
          </cell>
          <cell r="E356">
            <v>114.74</v>
          </cell>
          <cell r="H356">
            <v>115.86</v>
          </cell>
          <cell r="I356">
            <v>133</v>
          </cell>
          <cell r="BS356">
            <v>18.260000000000005</v>
          </cell>
        </row>
        <row r="357">
          <cell r="B357">
            <v>40669</v>
          </cell>
          <cell r="D357">
            <v>113.69499999999999</v>
          </cell>
          <cell r="E357">
            <v>101.25</v>
          </cell>
          <cell r="H357">
            <v>103.92</v>
          </cell>
          <cell r="I357">
            <v>120.05</v>
          </cell>
          <cell r="BS357">
            <v>18.799999999999997</v>
          </cell>
        </row>
        <row r="358">
          <cell r="B358">
            <v>40672</v>
          </cell>
          <cell r="D358">
            <v>113.61</v>
          </cell>
          <cell r="E358">
            <v>105.99</v>
          </cell>
          <cell r="H358">
            <v>108.7</v>
          </cell>
          <cell r="I358">
            <v>123.68</v>
          </cell>
          <cell r="BS358">
            <v>17.690000000000012</v>
          </cell>
        </row>
        <row r="359">
          <cell r="B359">
            <v>40673</v>
          </cell>
          <cell r="D359">
            <v>117.91</v>
          </cell>
          <cell r="E359">
            <v>109.59</v>
          </cell>
          <cell r="H359">
            <v>112.72</v>
          </cell>
          <cell r="I359">
            <v>128.49</v>
          </cell>
          <cell r="BS359">
            <v>18.900000000000006</v>
          </cell>
        </row>
        <row r="360">
          <cell r="B360">
            <v>40674</v>
          </cell>
          <cell r="D360">
            <v>116.08</v>
          </cell>
          <cell r="E360">
            <v>111.38</v>
          </cell>
          <cell r="H360">
            <v>114.4</v>
          </cell>
          <cell r="I360">
            <v>128.44</v>
          </cell>
          <cell r="BS360">
            <v>17.060000000000002</v>
          </cell>
        </row>
        <row r="361">
          <cell r="B361">
            <v>40675</v>
          </cell>
          <cell r="D361">
            <v>113</v>
          </cell>
          <cell r="E361">
            <v>105.5</v>
          </cell>
          <cell r="H361">
            <v>108.41</v>
          </cell>
          <cell r="I361">
            <v>120</v>
          </cell>
          <cell r="BS361">
            <v>14.5</v>
          </cell>
        </row>
        <row r="362">
          <cell r="B362">
            <v>40676</v>
          </cell>
          <cell r="D362">
            <v>113.32</v>
          </cell>
          <cell r="E362">
            <v>108.2</v>
          </cell>
          <cell r="H362">
            <v>108.08</v>
          </cell>
          <cell r="I362">
            <v>120.41</v>
          </cell>
          <cell r="BS362">
            <v>12.209999999999994</v>
          </cell>
        </row>
        <row r="363">
          <cell r="B363">
            <v>40679</v>
          </cell>
          <cell r="D363">
            <v>113.72499999999999</v>
          </cell>
          <cell r="E363">
            <v>106.7</v>
          </cell>
          <cell r="H363">
            <v>107.11</v>
          </cell>
          <cell r="I363">
            <v>118.35</v>
          </cell>
          <cell r="BS363">
            <v>11.649999999999991</v>
          </cell>
        </row>
        <row r="364">
          <cell r="B364">
            <v>40680</v>
          </cell>
          <cell r="D364">
            <v>109.36499999999999</v>
          </cell>
          <cell r="E364" t="str">
            <v/>
          </cell>
          <cell r="H364">
            <v>0</v>
          </cell>
          <cell r="I364">
            <v>0</v>
          </cell>
          <cell r="BS364" t="e">
            <v>#N/A</v>
          </cell>
        </row>
        <row r="365">
          <cell r="B365">
            <v>40681</v>
          </cell>
          <cell r="D365">
            <v>112.745</v>
          </cell>
          <cell r="E365">
            <v>105.99</v>
          </cell>
          <cell r="H365">
            <v>104.62</v>
          </cell>
          <cell r="I365">
            <v>114.58</v>
          </cell>
          <cell r="BS365">
            <v>8.5900000000000034</v>
          </cell>
        </row>
        <row r="366">
          <cell r="B366">
            <v>40682</v>
          </cell>
          <cell r="D366">
            <v>112.995</v>
          </cell>
          <cell r="E366">
            <v>106.75</v>
          </cell>
          <cell r="H366">
            <v>104.99</v>
          </cell>
          <cell r="I366">
            <v>115.85</v>
          </cell>
          <cell r="BS366">
            <v>9.0999999999999943</v>
          </cell>
        </row>
        <row r="367">
          <cell r="B367">
            <v>40683</v>
          </cell>
          <cell r="D367">
            <v>111.03</v>
          </cell>
          <cell r="E367">
            <v>106.49</v>
          </cell>
          <cell r="H367">
            <v>104.1</v>
          </cell>
          <cell r="I367">
            <v>115.8</v>
          </cell>
          <cell r="BS367">
            <v>9.3100000000000023</v>
          </cell>
        </row>
        <row r="368">
          <cell r="B368">
            <v>40686</v>
          </cell>
          <cell r="D368">
            <v>109.75</v>
          </cell>
          <cell r="E368">
            <v>104.32</v>
          </cell>
          <cell r="H368">
            <v>103.09</v>
          </cell>
          <cell r="I368">
            <v>114.28</v>
          </cell>
          <cell r="BS368">
            <v>9.960000000000008</v>
          </cell>
        </row>
        <row r="369">
          <cell r="B369">
            <v>40687</v>
          </cell>
          <cell r="D369">
            <v>112.495</v>
          </cell>
          <cell r="E369">
            <v>105.63</v>
          </cell>
          <cell r="H369">
            <v>104.26</v>
          </cell>
          <cell r="I369">
            <v>116.75</v>
          </cell>
          <cell r="BS369">
            <v>11.120000000000005</v>
          </cell>
        </row>
        <row r="370">
          <cell r="B370">
            <v>40688</v>
          </cell>
          <cell r="D370">
            <v>114.625</v>
          </cell>
          <cell r="E370">
            <v>105.3</v>
          </cell>
          <cell r="H370">
            <v>104.26</v>
          </cell>
          <cell r="I370">
            <v>116.02</v>
          </cell>
          <cell r="BS370">
            <v>10.719999999999999</v>
          </cell>
        </row>
        <row r="371">
          <cell r="B371">
            <v>40689</v>
          </cell>
          <cell r="D371">
            <v>115.02500000000001</v>
          </cell>
          <cell r="E371">
            <v>108.55500000000001</v>
          </cell>
          <cell r="H371">
            <v>106.66</v>
          </cell>
          <cell r="I371">
            <v>119.27</v>
          </cell>
          <cell r="BS371">
            <v>10.714999999999989</v>
          </cell>
        </row>
        <row r="372">
          <cell r="B372">
            <v>40690</v>
          </cell>
          <cell r="D372">
            <v>114.565</v>
          </cell>
          <cell r="E372">
            <v>109.205</v>
          </cell>
          <cell r="H372">
            <v>107.05</v>
          </cell>
          <cell r="I372">
            <v>119.66</v>
          </cell>
          <cell r="BS372">
            <v>10.454999999999998</v>
          </cell>
        </row>
        <row r="373">
          <cell r="B373">
            <v>40693</v>
          </cell>
          <cell r="D373" t="str">
            <v/>
          </cell>
          <cell r="E373">
            <v>108</v>
          </cell>
          <cell r="H373">
            <v>105.22</v>
          </cell>
          <cell r="I373">
            <v>118.67</v>
          </cell>
          <cell r="BS373">
            <v>10.670000000000002</v>
          </cell>
        </row>
        <row r="374">
          <cell r="B374">
            <v>40694</v>
          </cell>
          <cell r="D374">
            <v>116.875</v>
          </cell>
          <cell r="E374">
            <v>109.505</v>
          </cell>
          <cell r="H374">
            <v>106.09</v>
          </cell>
          <cell r="I374">
            <v>120.56</v>
          </cell>
          <cell r="BS374">
            <v>11.055000000000007</v>
          </cell>
        </row>
        <row r="375">
          <cell r="B375">
            <v>40695</v>
          </cell>
          <cell r="D375">
            <v>116.43</v>
          </cell>
          <cell r="E375">
            <v>110.31</v>
          </cell>
          <cell r="H375">
            <v>106.73</v>
          </cell>
          <cell r="I375">
            <v>120.22</v>
          </cell>
          <cell r="BS375">
            <v>9.9099999999999966</v>
          </cell>
        </row>
        <row r="376">
          <cell r="B376">
            <v>40696</v>
          </cell>
          <cell r="D376">
            <v>114.485</v>
          </cell>
          <cell r="E376">
            <v>108.12</v>
          </cell>
          <cell r="H376">
            <v>103.85</v>
          </cell>
          <cell r="I376">
            <v>117.07</v>
          </cell>
          <cell r="BS376">
            <v>8.9499999999999886</v>
          </cell>
        </row>
        <row r="377">
          <cell r="B377">
            <v>40697</v>
          </cell>
          <cell r="D377">
            <v>115.395</v>
          </cell>
          <cell r="E377">
            <v>108.55500000000001</v>
          </cell>
          <cell r="H377">
            <v>103.98</v>
          </cell>
          <cell r="I377">
            <v>117.57</v>
          </cell>
          <cell r="BS377">
            <v>9.0149999999999864</v>
          </cell>
        </row>
        <row r="378">
          <cell r="B378">
            <v>40700</v>
          </cell>
          <cell r="D378">
            <v>115.64</v>
          </cell>
          <cell r="E378">
            <v>108.355</v>
          </cell>
          <cell r="H378">
            <v>104.42</v>
          </cell>
          <cell r="I378">
            <v>117.76</v>
          </cell>
          <cell r="BS378">
            <v>9.4050000000000011</v>
          </cell>
        </row>
        <row r="379">
          <cell r="B379">
            <v>40701</v>
          </cell>
          <cell r="D379">
            <v>116.38</v>
          </cell>
          <cell r="E379">
            <v>108.55500000000001</v>
          </cell>
          <cell r="H379">
            <v>104.09</v>
          </cell>
          <cell r="I379">
            <v>119.22</v>
          </cell>
          <cell r="BS379">
            <v>10.664999999999992</v>
          </cell>
        </row>
        <row r="380">
          <cell r="B380">
            <v>40702</v>
          </cell>
          <cell r="D380">
            <v>118.36</v>
          </cell>
          <cell r="E380">
            <v>109.59</v>
          </cell>
          <cell r="H380">
            <v>103.52</v>
          </cell>
          <cell r="I380">
            <v>120.73</v>
          </cell>
          <cell r="BS380">
            <v>11.14</v>
          </cell>
        </row>
        <row r="381">
          <cell r="B381">
            <v>40703</v>
          </cell>
          <cell r="D381">
            <v>119.68</v>
          </cell>
          <cell r="E381">
            <v>111.34</v>
          </cell>
          <cell r="H381">
            <v>104.63</v>
          </cell>
          <cell r="I381">
            <v>122.17</v>
          </cell>
          <cell r="BS381">
            <v>10.829999999999998</v>
          </cell>
        </row>
        <row r="382">
          <cell r="B382">
            <v>40704</v>
          </cell>
          <cell r="D382">
            <v>118.845</v>
          </cell>
          <cell r="E382">
            <v>112.09</v>
          </cell>
          <cell r="H382">
            <v>105.91</v>
          </cell>
          <cell r="I382">
            <v>122.84</v>
          </cell>
          <cell r="BS382">
            <v>10.75</v>
          </cell>
        </row>
        <row r="383">
          <cell r="B383">
            <v>40707</v>
          </cell>
          <cell r="D383">
            <v>120.80500000000001</v>
          </cell>
          <cell r="E383">
            <v>111.705</v>
          </cell>
          <cell r="H383">
            <v>105.19</v>
          </cell>
          <cell r="I383">
            <v>121.5</v>
          </cell>
          <cell r="BS383">
            <v>9.7950000000000017</v>
          </cell>
        </row>
        <row r="384">
          <cell r="B384">
            <v>40708</v>
          </cell>
          <cell r="D384">
            <v>120.97</v>
          </cell>
          <cell r="E384">
            <v>111.705</v>
          </cell>
          <cell r="H384">
            <v>104.03</v>
          </cell>
          <cell r="I384">
            <v>119.98</v>
          </cell>
          <cell r="BS384">
            <v>8.2750000000000057</v>
          </cell>
        </row>
        <row r="385">
          <cell r="B385">
            <v>40709</v>
          </cell>
          <cell r="D385">
            <v>118.62</v>
          </cell>
          <cell r="E385">
            <v>112.155</v>
          </cell>
          <cell r="H385">
            <v>105.03</v>
          </cell>
          <cell r="I385">
            <v>121.45</v>
          </cell>
          <cell r="BS385">
            <v>9.2950000000000017</v>
          </cell>
        </row>
        <row r="386">
          <cell r="B386">
            <v>40710</v>
          </cell>
          <cell r="D386">
            <v>114.54</v>
          </cell>
          <cell r="E386">
            <v>108.7</v>
          </cell>
          <cell r="H386">
            <v>102.45</v>
          </cell>
          <cell r="I386">
            <v>118.95</v>
          </cell>
          <cell r="BS386">
            <v>10.25</v>
          </cell>
        </row>
        <row r="387">
          <cell r="B387">
            <v>40711</v>
          </cell>
          <cell r="D387">
            <v>113.54</v>
          </cell>
          <cell r="E387">
            <v>105.9</v>
          </cell>
          <cell r="H387">
            <v>99.86</v>
          </cell>
          <cell r="I387">
            <v>115.92</v>
          </cell>
          <cell r="BS387">
            <v>10.019999999999996</v>
          </cell>
        </row>
        <row r="388">
          <cell r="B388">
            <v>40714</v>
          </cell>
          <cell r="D388">
            <v>112.27</v>
          </cell>
          <cell r="E388">
            <v>106.25</v>
          </cell>
          <cell r="H388">
            <v>100.16</v>
          </cell>
          <cell r="I388">
            <v>117.23</v>
          </cell>
          <cell r="BS388">
            <v>10.980000000000004</v>
          </cell>
        </row>
        <row r="389">
          <cell r="B389">
            <v>40715</v>
          </cell>
          <cell r="D389">
            <v>112.105</v>
          </cell>
          <cell r="E389">
            <v>107.15</v>
          </cell>
          <cell r="H389">
            <v>101.45</v>
          </cell>
          <cell r="I389">
            <v>118.73</v>
          </cell>
          <cell r="BS389">
            <v>11.579999999999998</v>
          </cell>
        </row>
        <row r="390">
          <cell r="B390">
            <v>40716</v>
          </cell>
          <cell r="D390">
            <v>113.785</v>
          </cell>
          <cell r="E390">
            <v>105.9</v>
          </cell>
          <cell r="H390">
            <v>100.97</v>
          </cell>
          <cell r="I390">
            <v>116.07</v>
          </cell>
          <cell r="BS390">
            <v>10.169999999999987</v>
          </cell>
        </row>
        <row r="391">
          <cell r="B391">
            <v>40717</v>
          </cell>
          <cell r="D391">
            <v>108.145</v>
          </cell>
          <cell r="E391">
            <v>106.54</v>
          </cell>
          <cell r="H391">
            <v>101.36</v>
          </cell>
          <cell r="I391">
            <v>117.41</v>
          </cell>
          <cell r="BS391">
            <v>10.86999999999999</v>
          </cell>
        </row>
        <row r="392">
          <cell r="B392">
            <v>40718</v>
          </cell>
          <cell r="D392">
            <v>104.9</v>
          </cell>
          <cell r="E392">
            <v>102.73</v>
          </cell>
          <cell r="H392">
            <v>97.36</v>
          </cell>
          <cell r="I392">
            <v>112.04</v>
          </cell>
          <cell r="BS392">
            <v>9.3100000000000023</v>
          </cell>
        </row>
        <row r="393">
          <cell r="B393">
            <v>40721</v>
          </cell>
          <cell r="D393">
            <v>104.185</v>
          </cell>
          <cell r="E393">
            <v>101.11</v>
          </cell>
          <cell r="H393">
            <v>93.11</v>
          </cell>
          <cell r="I393">
            <v>109.99</v>
          </cell>
          <cell r="BS393">
            <v>8.8799999999999955</v>
          </cell>
        </row>
        <row r="394">
          <cell r="B394">
            <v>40722</v>
          </cell>
          <cell r="D394">
            <v>107.14</v>
          </cell>
          <cell r="E394">
            <v>102.59</v>
          </cell>
          <cell r="H394">
            <v>95.3</v>
          </cell>
          <cell r="I394">
            <v>111.49</v>
          </cell>
          <cell r="BS394">
            <v>8.8999999999999915</v>
          </cell>
        </row>
        <row r="395">
          <cell r="B395">
            <v>40723</v>
          </cell>
          <cell r="D395">
            <v>111.1</v>
          </cell>
          <cell r="E395">
            <v>104.69</v>
          </cell>
          <cell r="H395">
            <v>98.17</v>
          </cell>
          <cell r="I395">
            <v>115.04</v>
          </cell>
          <cell r="BS395">
            <v>10.350000000000009</v>
          </cell>
        </row>
        <row r="396">
          <cell r="B396">
            <v>40724</v>
          </cell>
          <cell r="D396">
            <v>111.51</v>
          </cell>
          <cell r="E396">
            <v>106.905</v>
          </cell>
          <cell r="H396">
            <v>100.15</v>
          </cell>
          <cell r="I396">
            <v>117.44</v>
          </cell>
          <cell r="BS396">
            <v>10.534999999999997</v>
          </cell>
        </row>
        <row r="397">
          <cell r="B397">
            <v>40725</v>
          </cell>
          <cell r="D397">
            <v>109.505</v>
          </cell>
          <cell r="E397">
            <v>105.91</v>
          </cell>
          <cell r="H397">
            <v>99.04</v>
          </cell>
          <cell r="I397">
            <v>119.73</v>
          </cell>
          <cell r="BS397">
            <v>13.820000000000007</v>
          </cell>
        </row>
        <row r="398">
          <cell r="B398">
            <v>40728</v>
          </cell>
          <cell r="D398">
            <v>111.075</v>
          </cell>
          <cell r="E398">
            <v>106.04</v>
          </cell>
          <cell r="H398">
            <v>99.85</v>
          </cell>
          <cell r="I398">
            <v>121.48</v>
          </cell>
          <cell r="BS398">
            <v>15.439999999999998</v>
          </cell>
        </row>
        <row r="399">
          <cell r="B399">
            <v>40729</v>
          </cell>
          <cell r="D399">
            <v>113.47499999999999</v>
          </cell>
          <cell r="E399">
            <v>104.97</v>
          </cell>
          <cell r="H399">
            <v>100.67</v>
          </cell>
          <cell r="I399">
            <v>120.38</v>
          </cell>
          <cell r="BS399">
            <v>15.409999999999997</v>
          </cell>
        </row>
        <row r="400">
          <cell r="B400">
            <v>40730</v>
          </cell>
          <cell r="D400">
            <v>113.755</v>
          </cell>
          <cell r="E400">
            <v>106.71</v>
          </cell>
          <cell r="H400">
            <v>102.79</v>
          </cell>
          <cell r="I400">
            <v>121.08</v>
          </cell>
          <cell r="BS400">
            <v>14.370000000000005</v>
          </cell>
        </row>
        <row r="401">
          <cell r="B401">
            <v>40731</v>
          </cell>
          <cell r="D401">
            <v>117.63</v>
          </cell>
          <cell r="E401">
            <v>108.29</v>
          </cell>
          <cell r="H401">
            <v>104.44</v>
          </cell>
          <cell r="I401">
            <v>121.67</v>
          </cell>
          <cell r="BS401">
            <v>13.379999999999995</v>
          </cell>
        </row>
        <row r="402">
          <cell r="B402">
            <v>40732</v>
          </cell>
          <cell r="D402">
            <v>117.795</v>
          </cell>
          <cell r="E402">
            <v>111.58</v>
          </cell>
          <cell r="H402">
            <v>107.12</v>
          </cell>
          <cell r="I402">
            <v>126.27</v>
          </cell>
          <cell r="BS402">
            <v>14.689999999999998</v>
          </cell>
        </row>
        <row r="403">
          <cell r="B403">
            <v>40735</v>
          </cell>
          <cell r="D403">
            <v>116.845</v>
          </cell>
          <cell r="E403">
            <v>110.11</v>
          </cell>
          <cell r="H403">
            <v>104.68</v>
          </cell>
          <cell r="I403">
            <v>124.36</v>
          </cell>
          <cell r="BS403">
            <v>14.25</v>
          </cell>
        </row>
        <row r="404">
          <cell r="B404">
            <v>40736</v>
          </cell>
          <cell r="D404">
            <v>117.735</v>
          </cell>
          <cell r="E404">
            <v>108.89</v>
          </cell>
          <cell r="H404">
            <v>104.08</v>
          </cell>
          <cell r="I404">
            <v>122.84</v>
          </cell>
          <cell r="BS404">
            <v>13.950000000000003</v>
          </cell>
        </row>
        <row r="405">
          <cell r="B405">
            <v>40737</v>
          </cell>
          <cell r="D405">
            <v>119.705</v>
          </cell>
          <cell r="E405">
            <v>111.3</v>
          </cell>
          <cell r="H405">
            <v>105.86</v>
          </cell>
          <cell r="I405">
            <v>124.9</v>
          </cell>
          <cell r="BS405">
            <v>13.600000000000009</v>
          </cell>
        </row>
        <row r="406">
          <cell r="B406">
            <v>40738</v>
          </cell>
          <cell r="D406">
            <v>117.63</v>
          </cell>
          <cell r="E406">
            <v>111.1</v>
          </cell>
          <cell r="H406">
            <v>105.5</v>
          </cell>
          <cell r="I406">
            <v>123.72</v>
          </cell>
          <cell r="BS406">
            <v>12.620000000000005</v>
          </cell>
        </row>
        <row r="407">
          <cell r="B407">
            <v>40739</v>
          </cell>
          <cell r="D407">
            <v>118.345</v>
          </cell>
          <cell r="E407">
            <v>109.65</v>
          </cell>
          <cell r="H407">
            <v>104.28</v>
          </cell>
          <cell r="I407">
            <v>122.32</v>
          </cell>
          <cell r="BS407">
            <v>12.669999999999987</v>
          </cell>
        </row>
        <row r="408">
          <cell r="B408">
            <v>40742</v>
          </cell>
          <cell r="D408">
            <v>117.33499999999999</v>
          </cell>
          <cell r="E408">
            <v>110.51</v>
          </cell>
          <cell r="H408">
            <v>106.13</v>
          </cell>
          <cell r="I408">
            <v>122.74</v>
          </cell>
          <cell r="BS408">
            <v>12.22999999999999</v>
          </cell>
        </row>
        <row r="409">
          <cell r="B409">
            <v>40743</v>
          </cell>
          <cell r="D409">
            <v>118.41500000000001</v>
          </cell>
          <cell r="E409">
            <v>110.67</v>
          </cell>
          <cell r="H409">
            <v>107.52</v>
          </cell>
          <cell r="I409">
            <v>122.86</v>
          </cell>
          <cell r="BS409">
            <v>12.189999999999998</v>
          </cell>
        </row>
        <row r="410">
          <cell r="B410">
            <v>40744</v>
          </cell>
          <cell r="D410">
            <v>118.88500000000001</v>
          </cell>
          <cell r="E410">
            <v>111.81</v>
          </cell>
          <cell r="H410">
            <v>108.59</v>
          </cell>
          <cell r="I410">
            <v>123.63</v>
          </cell>
          <cell r="BS410">
            <v>11.819999999999993</v>
          </cell>
        </row>
        <row r="411">
          <cell r="B411">
            <v>40745</v>
          </cell>
          <cell r="D411">
            <v>119.30500000000001</v>
          </cell>
          <cell r="E411">
            <v>111.36</v>
          </cell>
          <cell r="H411">
            <v>108.29</v>
          </cell>
          <cell r="I411">
            <v>123.8</v>
          </cell>
          <cell r="BS411">
            <v>12.439999999999998</v>
          </cell>
        </row>
        <row r="412">
          <cell r="B412">
            <v>40746</v>
          </cell>
          <cell r="D412">
            <v>119.155</v>
          </cell>
          <cell r="E412">
            <v>112</v>
          </cell>
          <cell r="H412">
            <v>109.8</v>
          </cell>
          <cell r="I412">
            <v>124.87</v>
          </cell>
          <cell r="BS412">
            <v>12.870000000000005</v>
          </cell>
        </row>
        <row r="413">
          <cell r="B413">
            <v>40749</v>
          </cell>
          <cell r="D413">
            <v>118.12</v>
          </cell>
          <cell r="E413">
            <v>111.8</v>
          </cell>
          <cell r="H413">
            <v>109.53</v>
          </cell>
          <cell r="I413">
            <v>124.28</v>
          </cell>
          <cell r="BS413">
            <v>12.480000000000004</v>
          </cell>
        </row>
        <row r="414">
          <cell r="B414">
            <v>40750</v>
          </cell>
          <cell r="D414">
            <v>118.04</v>
          </cell>
          <cell r="E414">
            <v>112.1</v>
          </cell>
          <cell r="H414">
            <v>109.79</v>
          </cell>
          <cell r="I414">
            <v>125.3</v>
          </cell>
          <cell r="BS414">
            <v>13.200000000000003</v>
          </cell>
        </row>
        <row r="415">
          <cell r="B415">
            <v>40751</v>
          </cell>
          <cell r="D415">
            <v>118.02</v>
          </cell>
          <cell r="E415">
            <v>112</v>
          </cell>
          <cell r="H415">
            <v>108.62</v>
          </cell>
          <cell r="I415">
            <v>125.43</v>
          </cell>
          <cell r="BS415">
            <v>13.430000000000007</v>
          </cell>
        </row>
        <row r="416">
          <cell r="B416">
            <v>40752</v>
          </cell>
          <cell r="D416">
            <v>118.02</v>
          </cell>
          <cell r="E416">
            <v>112</v>
          </cell>
          <cell r="H416">
            <v>109.15</v>
          </cell>
          <cell r="I416">
            <v>125.47</v>
          </cell>
          <cell r="BS416">
            <v>13.469999999999999</v>
          </cell>
        </row>
        <row r="417">
          <cell r="B417">
            <v>40753</v>
          </cell>
          <cell r="D417">
            <v>115.755</v>
          </cell>
          <cell r="E417">
            <v>111.05</v>
          </cell>
          <cell r="H417">
            <v>108.59</v>
          </cell>
          <cell r="I417">
            <v>123.88</v>
          </cell>
          <cell r="BS417">
            <v>12.829999999999998</v>
          </cell>
        </row>
        <row r="418">
          <cell r="B418">
            <v>40756</v>
          </cell>
          <cell r="D418">
            <v>115.97</v>
          </cell>
          <cell r="E418">
            <v>112.79</v>
          </cell>
          <cell r="H418">
            <v>110.27</v>
          </cell>
          <cell r="I418">
            <v>126.57</v>
          </cell>
          <cell r="BS418">
            <v>13.779999999999987</v>
          </cell>
        </row>
        <row r="419">
          <cell r="B419">
            <v>40757</v>
          </cell>
          <cell r="D419">
            <v>116.27</v>
          </cell>
          <cell r="E419">
            <v>109.86</v>
          </cell>
          <cell r="H419">
            <v>107.65</v>
          </cell>
          <cell r="I419">
            <v>123.85</v>
          </cell>
          <cell r="BS419">
            <v>13.989999999999995</v>
          </cell>
        </row>
        <row r="420">
          <cell r="B420">
            <v>40758</v>
          </cell>
          <cell r="D420">
            <v>113.58</v>
          </cell>
          <cell r="E420">
            <v>109.56</v>
          </cell>
          <cell r="H420">
            <v>106.94</v>
          </cell>
          <cell r="I420">
            <v>122.34</v>
          </cell>
          <cell r="BS420">
            <v>12.780000000000001</v>
          </cell>
        </row>
        <row r="421">
          <cell r="B421">
            <v>40759</v>
          </cell>
          <cell r="D421">
            <v>110.19499999999999</v>
          </cell>
          <cell r="E421">
            <v>107.19</v>
          </cell>
          <cell r="H421">
            <v>105.11</v>
          </cell>
          <cell r="I421">
            <v>120.26</v>
          </cell>
          <cell r="BS421">
            <v>13.070000000000007</v>
          </cell>
        </row>
        <row r="422">
          <cell r="B422">
            <v>40760</v>
          </cell>
          <cell r="D422">
            <v>106.87</v>
          </cell>
          <cell r="E422">
            <v>101.18</v>
          </cell>
          <cell r="H422">
            <v>98.17</v>
          </cell>
          <cell r="I422">
            <v>113.91</v>
          </cell>
          <cell r="BS422">
            <v>12.72999999999999</v>
          </cell>
        </row>
        <row r="423">
          <cell r="B423">
            <v>40763</v>
          </cell>
          <cell r="D423">
            <v>105.36</v>
          </cell>
          <cell r="E423">
            <v>101.65</v>
          </cell>
          <cell r="H423">
            <v>98.36</v>
          </cell>
          <cell r="I423">
            <v>114.98</v>
          </cell>
          <cell r="BS423">
            <v>13.329999999999998</v>
          </cell>
        </row>
        <row r="424">
          <cell r="B424">
            <v>40764</v>
          </cell>
          <cell r="D424">
            <v>103.935</v>
          </cell>
          <cell r="E424" t="str">
            <v/>
          </cell>
          <cell r="H424">
            <v>0</v>
          </cell>
          <cell r="I424">
            <v>0</v>
          </cell>
          <cell r="BS424" t="e">
            <v>#N/A</v>
          </cell>
        </row>
        <row r="425">
          <cell r="B425">
            <v>40765</v>
          </cell>
          <cell r="D425">
            <v>103.98</v>
          </cell>
          <cell r="E425">
            <v>100.05</v>
          </cell>
          <cell r="H425">
            <v>97.14</v>
          </cell>
          <cell r="I425">
            <v>113.43</v>
          </cell>
          <cell r="BS425">
            <v>13.38000000000001</v>
          </cell>
        </row>
        <row r="426">
          <cell r="B426">
            <v>40766</v>
          </cell>
          <cell r="D426">
            <v>106.31</v>
          </cell>
          <cell r="E426">
            <v>101.95</v>
          </cell>
          <cell r="H426">
            <v>99.75</v>
          </cell>
          <cell r="I426">
            <v>116.98</v>
          </cell>
          <cell r="BS426">
            <v>15.030000000000001</v>
          </cell>
        </row>
        <row r="427">
          <cell r="B427">
            <v>40767</v>
          </cell>
          <cell r="D427">
            <v>108.12</v>
          </cell>
          <cell r="E427">
            <v>102.11</v>
          </cell>
          <cell r="H427">
            <v>99.92</v>
          </cell>
          <cell r="I427">
            <v>117.33</v>
          </cell>
          <cell r="BS427">
            <v>15.219999999999999</v>
          </cell>
        </row>
        <row r="428">
          <cell r="B428">
            <v>40770</v>
          </cell>
          <cell r="D428">
            <v>109.005</v>
          </cell>
          <cell r="E428">
            <v>102.9</v>
          </cell>
          <cell r="H428">
            <v>101.21</v>
          </cell>
          <cell r="I428">
            <v>118.33</v>
          </cell>
          <cell r="BS428">
            <v>15.429999999999993</v>
          </cell>
        </row>
        <row r="429">
          <cell r="B429">
            <v>40771</v>
          </cell>
          <cell r="D429">
            <v>110.28</v>
          </cell>
          <cell r="E429">
            <v>103.53</v>
          </cell>
          <cell r="H429">
            <v>101.47</v>
          </cell>
          <cell r="I429">
            <v>118.63</v>
          </cell>
          <cell r="BS429">
            <v>15.099999999999994</v>
          </cell>
        </row>
        <row r="430">
          <cell r="B430">
            <v>40772</v>
          </cell>
          <cell r="D430">
            <v>111.61499999999999</v>
          </cell>
          <cell r="E430">
            <v>104.96</v>
          </cell>
          <cell r="H430">
            <v>102.99</v>
          </cell>
          <cell r="I430">
            <v>119.7</v>
          </cell>
          <cell r="BS430">
            <v>14.740000000000009</v>
          </cell>
        </row>
        <row r="431">
          <cell r="B431">
            <v>40773</v>
          </cell>
          <cell r="D431">
            <v>108.35</v>
          </cell>
          <cell r="E431">
            <v>105.28</v>
          </cell>
          <cell r="H431">
            <v>103.56</v>
          </cell>
          <cell r="I431">
            <v>120.45</v>
          </cell>
          <cell r="BS431">
            <v>15.170000000000002</v>
          </cell>
        </row>
        <row r="432">
          <cell r="B432">
            <v>40774</v>
          </cell>
          <cell r="D432">
            <v>109.29</v>
          </cell>
          <cell r="E432">
            <v>101.09</v>
          </cell>
          <cell r="H432">
            <v>100.52</v>
          </cell>
          <cell r="I432">
            <v>116.19</v>
          </cell>
          <cell r="BS432">
            <v>15.099999999999994</v>
          </cell>
        </row>
        <row r="433">
          <cell r="B433">
            <v>40777</v>
          </cell>
          <cell r="D433">
            <v>108.795</v>
          </cell>
          <cell r="E433">
            <v>102.08</v>
          </cell>
          <cell r="H433">
            <v>100.74</v>
          </cell>
          <cell r="I433">
            <v>117.54</v>
          </cell>
          <cell r="BS433">
            <v>15.460000000000008</v>
          </cell>
        </row>
        <row r="434">
          <cell r="B434">
            <v>40778</v>
          </cell>
          <cell r="D434">
            <v>110.55</v>
          </cell>
          <cell r="E434">
            <v>104.61</v>
          </cell>
          <cell r="H434">
            <v>103.57</v>
          </cell>
          <cell r="I434">
            <v>119.49</v>
          </cell>
          <cell r="BS434">
            <v>14.879999999999995</v>
          </cell>
        </row>
        <row r="435">
          <cell r="B435">
            <v>40779</v>
          </cell>
          <cell r="D435">
            <v>112.16500000000001</v>
          </cell>
          <cell r="E435">
            <v>104.91</v>
          </cell>
          <cell r="H435">
            <v>103.7</v>
          </cell>
          <cell r="I435">
            <v>120.5</v>
          </cell>
          <cell r="BS435">
            <v>15.590000000000003</v>
          </cell>
        </row>
        <row r="436">
          <cell r="B436">
            <v>40780</v>
          </cell>
          <cell r="D436">
            <v>112.075</v>
          </cell>
          <cell r="E436">
            <v>106.72</v>
          </cell>
          <cell r="H436">
            <v>104.99</v>
          </cell>
          <cell r="I436">
            <v>122.09</v>
          </cell>
          <cell r="BS436">
            <v>15.370000000000005</v>
          </cell>
        </row>
        <row r="437">
          <cell r="B437">
            <v>40781</v>
          </cell>
          <cell r="D437">
            <v>112.30500000000001</v>
          </cell>
          <cell r="E437">
            <v>106.11</v>
          </cell>
          <cell r="H437">
            <v>104.92</v>
          </cell>
          <cell r="I437">
            <v>122.29</v>
          </cell>
          <cell r="BS437">
            <v>16.180000000000007</v>
          </cell>
        </row>
        <row r="438">
          <cell r="B438">
            <v>40784</v>
          </cell>
          <cell r="D438" t="str">
            <v/>
          </cell>
          <cell r="E438">
            <v>107.01</v>
          </cell>
          <cell r="H438">
            <v>105.14</v>
          </cell>
          <cell r="I438">
            <v>122.79</v>
          </cell>
          <cell r="BS438">
            <v>15.780000000000001</v>
          </cell>
        </row>
        <row r="439">
          <cell r="B439">
            <v>40785</v>
          </cell>
          <cell r="D439">
            <v>116.12</v>
          </cell>
          <cell r="E439" t="str">
            <v/>
          </cell>
          <cell r="H439">
            <v>0</v>
          </cell>
          <cell r="I439">
            <v>0</v>
          </cell>
          <cell r="BS439" t="e">
            <v>#N/A</v>
          </cell>
        </row>
        <row r="440">
          <cell r="B440">
            <v>40786</v>
          </cell>
          <cell r="D440">
            <v>116.995</v>
          </cell>
          <cell r="E440">
            <v>109.81</v>
          </cell>
          <cell r="H440">
            <v>106.91</v>
          </cell>
          <cell r="I440">
            <v>127.09</v>
          </cell>
          <cell r="BS440">
            <v>17.28</v>
          </cell>
        </row>
        <row r="441">
          <cell r="B441">
            <v>40787</v>
          </cell>
          <cell r="D441">
            <v>117.44499999999999</v>
          </cell>
          <cell r="E441">
            <v>109.51</v>
          </cell>
          <cell r="H441">
            <v>106.88</v>
          </cell>
          <cell r="I441">
            <v>127.28</v>
          </cell>
          <cell r="BS441">
            <v>17.769999999999996</v>
          </cell>
        </row>
        <row r="442">
          <cell r="B442">
            <v>40788</v>
          </cell>
          <cell r="D442">
            <v>116.07</v>
          </cell>
          <cell r="E442">
            <v>109.21</v>
          </cell>
          <cell r="H442">
            <v>106.44</v>
          </cell>
          <cell r="I442">
            <v>127.88</v>
          </cell>
          <cell r="BS442">
            <v>18.670000000000002</v>
          </cell>
        </row>
        <row r="443">
          <cell r="B443">
            <v>40791</v>
          </cell>
          <cell r="D443">
            <v>113.66500000000001</v>
          </cell>
          <cell r="E443">
            <v>106.95</v>
          </cell>
          <cell r="H443">
            <v>104.55</v>
          </cell>
          <cell r="I443">
            <v>124.88</v>
          </cell>
          <cell r="BS443">
            <v>17.929999999999993</v>
          </cell>
        </row>
        <row r="444">
          <cell r="B444">
            <v>40792</v>
          </cell>
          <cell r="D444">
            <v>113.65</v>
          </cell>
          <cell r="E444">
            <v>106.4</v>
          </cell>
          <cell r="H444">
            <v>103.46</v>
          </cell>
          <cell r="I444">
            <v>122.77</v>
          </cell>
          <cell r="BS444">
            <v>16.36999999999999</v>
          </cell>
        </row>
        <row r="445">
          <cell r="B445">
            <v>40793</v>
          </cell>
          <cell r="D445">
            <v>117.925</v>
          </cell>
          <cell r="E445">
            <v>109.1</v>
          </cell>
          <cell r="H445">
            <v>106.02</v>
          </cell>
          <cell r="I445">
            <v>125.97</v>
          </cell>
          <cell r="BS445">
            <v>16.870000000000005</v>
          </cell>
        </row>
        <row r="446">
          <cell r="B446">
            <v>40794</v>
          </cell>
          <cell r="D446">
            <v>118.55500000000001</v>
          </cell>
          <cell r="E446">
            <v>110.41</v>
          </cell>
          <cell r="H446">
            <v>107.28</v>
          </cell>
          <cell r="I446">
            <v>126.48</v>
          </cell>
          <cell r="BS446">
            <v>16.070000000000007</v>
          </cell>
        </row>
        <row r="447">
          <cell r="B447">
            <v>40795</v>
          </cell>
          <cell r="D447">
            <v>115.035</v>
          </cell>
          <cell r="E447">
            <v>109.39</v>
          </cell>
          <cell r="H447">
            <v>106.74</v>
          </cell>
          <cell r="I447">
            <v>125.62</v>
          </cell>
          <cell r="BS447">
            <v>16.230000000000004</v>
          </cell>
        </row>
        <row r="448">
          <cell r="B448">
            <v>40798</v>
          </cell>
          <cell r="D448">
            <v>115.08499999999999</v>
          </cell>
          <cell r="E448">
            <v>105.2</v>
          </cell>
          <cell r="H448">
            <v>103.38</v>
          </cell>
          <cell r="I448">
            <v>121.39</v>
          </cell>
          <cell r="BS448">
            <v>16.189999999999998</v>
          </cell>
        </row>
        <row r="449">
          <cell r="B449">
            <v>40799</v>
          </cell>
          <cell r="D449">
            <v>114.215</v>
          </cell>
          <cell r="E449">
            <v>106.75</v>
          </cell>
          <cell r="H449">
            <v>104.19</v>
          </cell>
          <cell r="I449">
            <v>122.48</v>
          </cell>
          <cell r="BS449">
            <v>15.730000000000004</v>
          </cell>
        </row>
        <row r="450">
          <cell r="B450">
            <v>40800</v>
          </cell>
          <cell r="D450">
            <v>113.47</v>
          </cell>
          <cell r="E450">
            <v>106.3</v>
          </cell>
          <cell r="H450">
            <v>104.55</v>
          </cell>
          <cell r="I450">
            <v>121.79</v>
          </cell>
          <cell r="BS450">
            <v>15.490000000000009</v>
          </cell>
        </row>
        <row r="451">
          <cell r="B451">
            <v>40801</v>
          </cell>
          <cell r="D451">
            <v>117.44</v>
          </cell>
          <cell r="E451">
            <v>107</v>
          </cell>
          <cell r="H451">
            <v>105.58</v>
          </cell>
          <cell r="I451">
            <v>122.99</v>
          </cell>
          <cell r="BS451">
            <v>15.989999999999995</v>
          </cell>
        </row>
        <row r="452">
          <cell r="B452">
            <v>40802</v>
          </cell>
          <cell r="D452">
            <v>116.11</v>
          </cell>
          <cell r="E452">
            <v>109.65</v>
          </cell>
          <cell r="H452">
            <v>107.63</v>
          </cell>
          <cell r="I452">
            <v>125.39</v>
          </cell>
          <cell r="BS452">
            <v>15.739999999999995</v>
          </cell>
        </row>
        <row r="453">
          <cell r="B453">
            <v>40805</v>
          </cell>
          <cell r="D453">
            <v>113.13500000000001</v>
          </cell>
          <cell r="E453">
            <v>108.41</v>
          </cell>
          <cell r="H453">
            <v>106.03</v>
          </cell>
          <cell r="I453">
            <v>123.95</v>
          </cell>
          <cell r="BS453">
            <v>15.540000000000006</v>
          </cell>
        </row>
        <row r="454">
          <cell r="B454">
            <v>40806</v>
          </cell>
          <cell r="D454">
            <v>114.73</v>
          </cell>
          <cell r="E454">
            <v>106.85</v>
          </cell>
          <cell r="H454">
            <v>104.47</v>
          </cell>
          <cell r="I454">
            <v>121.97</v>
          </cell>
          <cell r="BS454">
            <v>15.120000000000005</v>
          </cell>
        </row>
        <row r="455">
          <cell r="B455">
            <v>40807</v>
          </cell>
          <cell r="D455">
            <v>115.83</v>
          </cell>
          <cell r="E455">
            <v>107.65</v>
          </cell>
          <cell r="H455">
            <v>104.22</v>
          </cell>
          <cell r="I455">
            <v>122.58</v>
          </cell>
          <cell r="BS455">
            <v>14.929999999999993</v>
          </cell>
        </row>
        <row r="456">
          <cell r="B456">
            <v>40808</v>
          </cell>
          <cell r="D456">
            <v>109.76</v>
          </cell>
          <cell r="E456">
            <v>104.86</v>
          </cell>
          <cell r="H456">
            <v>100.44</v>
          </cell>
          <cell r="I456">
            <v>120.03</v>
          </cell>
          <cell r="BS456">
            <v>15.170000000000002</v>
          </cell>
        </row>
        <row r="457">
          <cell r="B457">
            <v>40809</v>
          </cell>
          <cell r="D457">
            <v>108.96</v>
          </cell>
          <cell r="E457">
            <v>104.11</v>
          </cell>
          <cell r="H457">
            <v>99.95</v>
          </cell>
          <cell r="I457">
            <v>118.23</v>
          </cell>
          <cell r="BS457">
            <v>14.120000000000005</v>
          </cell>
        </row>
        <row r="458">
          <cell r="B458">
            <v>40812</v>
          </cell>
          <cell r="D458">
            <v>107.17</v>
          </cell>
          <cell r="E458">
            <v>100.4</v>
          </cell>
          <cell r="H458">
            <v>96.33</v>
          </cell>
          <cell r="I458">
            <v>114.88</v>
          </cell>
          <cell r="BS458">
            <v>14.47999999999999</v>
          </cell>
        </row>
        <row r="459">
          <cell r="B459">
            <v>40813</v>
          </cell>
          <cell r="D459">
            <v>109.3</v>
          </cell>
          <cell r="E459">
            <v>103.54</v>
          </cell>
          <cell r="H459">
            <v>99.51</v>
          </cell>
          <cell r="I459">
            <v>116.98</v>
          </cell>
          <cell r="BS459">
            <v>13.439999999999998</v>
          </cell>
        </row>
        <row r="460">
          <cell r="B460">
            <v>40814</v>
          </cell>
          <cell r="D460">
            <v>108.51</v>
          </cell>
          <cell r="E460">
            <v>103.9</v>
          </cell>
          <cell r="H460">
            <v>100.47</v>
          </cell>
          <cell r="I460">
            <v>117.08</v>
          </cell>
          <cell r="BS460">
            <v>13.179999999999993</v>
          </cell>
        </row>
        <row r="461">
          <cell r="B461">
            <v>40815</v>
          </cell>
          <cell r="D461">
            <v>107.41</v>
          </cell>
          <cell r="E461">
            <v>102.155</v>
          </cell>
          <cell r="H461">
            <v>100.23</v>
          </cell>
          <cell r="I461">
            <v>117.72</v>
          </cell>
          <cell r="BS461">
            <v>15.564999999999998</v>
          </cell>
        </row>
        <row r="462">
          <cell r="B462">
            <v>40816</v>
          </cell>
          <cell r="D462">
            <v>105.245</v>
          </cell>
          <cell r="E462">
            <v>100.96</v>
          </cell>
          <cell r="H462">
            <v>98.33</v>
          </cell>
          <cell r="I462">
            <v>117.05</v>
          </cell>
          <cell r="BS462">
            <v>16.090000000000003</v>
          </cell>
        </row>
        <row r="463">
          <cell r="B463">
            <v>40819</v>
          </cell>
          <cell r="D463">
            <v>104.37</v>
          </cell>
          <cell r="E463">
            <v>97.66</v>
          </cell>
          <cell r="H463">
            <v>95.1</v>
          </cell>
          <cell r="I463">
            <v>114.85</v>
          </cell>
          <cell r="BS463">
            <v>17.189999999999998</v>
          </cell>
        </row>
        <row r="464">
          <cell r="B464">
            <v>40820</v>
          </cell>
          <cell r="D464">
            <v>102.745</v>
          </cell>
          <cell r="E464">
            <v>96.45</v>
          </cell>
          <cell r="H464">
            <v>93.53</v>
          </cell>
          <cell r="I464">
            <v>113.85</v>
          </cell>
          <cell r="BS464">
            <v>17.399999999999991</v>
          </cell>
        </row>
        <row r="465">
          <cell r="B465">
            <v>40821</v>
          </cell>
          <cell r="D465">
            <v>103.44</v>
          </cell>
          <cell r="E465">
            <v>97.41</v>
          </cell>
          <cell r="H465">
            <v>93.38</v>
          </cell>
          <cell r="I465">
            <v>116.25</v>
          </cell>
          <cell r="BS465">
            <v>18.840000000000003</v>
          </cell>
        </row>
        <row r="466">
          <cell r="B466">
            <v>40822</v>
          </cell>
          <cell r="D466">
            <v>104.355</v>
          </cell>
          <cell r="E466">
            <v>99.25</v>
          </cell>
          <cell r="H466">
            <v>94.41</v>
          </cell>
          <cell r="I466">
            <v>118</v>
          </cell>
          <cell r="BS466">
            <v>18.75</v>
          </cell>
        </row>
        <row r="467">
          <cell r="B467">
            <v>40823</v>
          </cell>
          <cell r="D467">
            <v>106.71</v>
          </cell>
          <cell r="E467">
            <v>100.855</v>
          </cell>
          <cell r="H467">
            <v>94.94</v>
          </cell>
          <cell r="I467">
            <v>119.81</v>
          </cell>
          <cell r="BS467">
            <v>18.954999999999998</v>
          </cell>
        </row>
        <row r="468">
          <cell r="B468">
            <v>40826</v>
          </cell>
          <cell r="D468">
            <v>109.545</v>
          </cell>
          <cell r="E468">
            <v>101.44</v>
          </cell>
          <cell r="H468">
            <v>95.01</v>
          </cell>
          <cell r="I468">
            <v>119.78</v>
          </cell>
          <cell r="BS468">
            <v>18.340000000000003</v>
          </cell>
        </row>
        <row r="469">
          <cell r="B469">
            <v>40827</v>
          </cell>
          <cell r="D469">
            <v>110.21</v>
          </cell>
          <cell r="E469">
            <v>102.29</v>
          </cell>
          <cell r="H469">
            <v>94.9</v>
          </cell>
          <cell r="I469">
            <v>121</v>
          </cell>
          <cell r="BS469">
            <v>18.709999999999994</v>
          </cell>
        </row>
        <row r="470">
          <cell r="B470">
            <v>40828</v>
          </cell>
          <cell r="D470">
            <v>112.37</v>
          </cell>
          <cell r="E470">
            <v>104.77</v>
          </cell>
          <cell r="H470">
            <v>98.61</v>
          </cell>
          <cell r="I470">
            <v>123.56</v>
          </cell>
          <cell r="BS470">
            <v>18.790000000000006</v>
          </cell>
        </row>
        <row r="471">
          <cell r="B471">
            <v>40829</v>
          </cell>
          <cell r="D471">
            <v>110.88500000000001</v>
          </cell>
          <cell r="E471">
            <v>104.42</v>
          </cell>
          <cell r="H471">
            <v>98.92</v>
          </cell>
          <cell r="I471">
            <v>122.56</v>
          </cell>
          <cell r="BS471">
            <v>18.14</v>
          </cell>
        </row>
        <row r="472">
          <cell r="B472">
            <v>40830</v>
          </cell>
          <cell r="D472">
            <v>114.035</v>
          </cell>
          <cell r="E472">
            <v>105.77</v>
          </cell>
          <cell r="H472">
            <v>100.15</v>
          </cell>
          <cell r="I472">
            <v>123.92</v>
          </cell>
          <cell r="BS472">
            <v>18.150000000000006</v>
          </cell>
        </row>
        <row r="473">
          <cell r="B473">
            <v>40833</v>
          </cell>
          <cell r="D473">
            <v>112.86</v>
          </cell>
          <cell r="E473">
            <v>108.96</v>
          </cell>
          <cell r="H473">
            <v>101.71</v>
          </cell>
          <cell r="I473">
            <v>126.08</v>
          </cell>
          <cell r="BS473">
            <v>17.120000000000005</v>
          </cell>
        </row>
        <row r="474">
          <cell r="B474">
            <v>40834</v>
          </cell>
          <cell r="D474">
            <v>110.27500000000001</v>
          </cell>
          <cell r="E474">
            <v>105.76</v>
          </cell>
          <cell r="H474">
            <v>98.35</v>
          </cell>
          <cell r="I474">
            <v>122.18</v>
          </cell>
          <cell r="BS474">
            <v>16.420000000000002</v>
          </cell>
        </row>
        <row r="475">
          <cell r="B475">
            <v>40835</v>
          </cell>
          <cell r="D475">
            <v>111.79</v>
          </cell>
          <cell r="E475">
            <v>107.11</v>
          </cell>
          <cell r="H475">
            <v>98.56</v>
          </cell>
          <cell r="I475">
            <v>122.08</v>
          </cell>
          <cell r="BS475">
            <v>14.969999999999999</v>
          </cell>
        </row>
        <row r="476">
          <cell r="B476">
            <v>40836</v>
          </cell>
          <cell r="D476">
            <v>109.17</v>
          </cell>
          <cell r="E476">
            <v>105.21</v>
          </cell>
          <cell r="H476">
            <v>96.03</v>
          </cell>
          <cell r="I476">
            <v>118.4</v>
          </cell>
          <cell r="BS476">
            <v>13.190000000000012</v>
          </cell>
        </row>
        <row r="477">
          <cell r="B477">
            <v>40837</v>
          </cell>
          <cell r="D477">
            <v>111.655</v>
          </cell>
          <cell r="E477">
            <v>106</v>
          </cell>
          <cell r="H477">
            <v>96.23</v>
          </cell>
          <cell r="I477">
            <v>119.84</v>
          </cell>
          <cell r="BS477">
            <v>13.840000000000003</v>
          </cell>
        </row>
        <row r="478">
          <cell r="B478">
            <v>40840</v>
          </cell>
          <cell r="D478">
            <v>111.76</v>
          </cell>
          <cell r="E478">
            <v>106.83</v>
          </cell>
          <cell r="H478">
            <v>95.87</v>
          </cell>
          <cell r="I478">
            <v>120.2</v>
          </cell>
          <cell r="BS478">
            <v>13.370000000000005</v>
          </cell>
        </row>
        <row r="479">
          <cell r="B479">
            <v>40841</v>
          </cell>
          <cell r="D479">
            <v>112.125</v>
          </cell>
          <cell r="E479">
            <v>107.74</v>
          </cell>
          <cell r="H479">
            <v>93.83</v>
          </cell>
          <cell r="I479">
            <v>119.76</v>
          </cell>
          <cell r="BS479">
            <v>12.02000000000001</v>
          </cell>
        </row>
        <row r="480">
          <cell r="B480">
            <v>40842</v>
          </cell>
          <cell r="D480">
            <v>110.33499999999999</v>
          </cell>
          <cell r="E480" t="str">
            <v/>
          </cell>
          <cell r="H480">
            <v>0</v>
          </cell>
          <cell r="I480">
            <v>0</v>
          </cell>
          <cell r="BS480" t="e">
            <v>#N/A</v>
          </cell>
        </row>
        <row r="481">
          <cell r="B481">
            <v>40843</v>
          </cell>
          <cell r="D481">
            <v>111.815</v>
          </cell>
          <cell r="E481">
            <v>107</v>
          </cell>
          <cell r="H481">
            <v>94.16</v>
          </cell>
          <cell r="I481">
            <v>118.83</v>
          </cell>
          <cell r="BS481">
            <v>11.829999999999998</v>
          </cell>
        </row>
        <row r="482">
          <cell r="B482">
            <v>40844</v>
          </cell>
          <cell r="D482">
            <v>109.8</v>
          </cell>
          <cell r="E482">
            <v>108.2</v>
          </cell>
          <cell r="H482">
            <v>94.95</v>
          </cell>
          <cell r="I482">
            <v>120.17</v>
          </cell>
          <cell r="BS482">
            <v>11.969999999999999</v>
          </cell>
        </row>
        <row r="483">
          <cell r="B483">
            <v>40847</v>
          </cell>
          <cell r="D483">
            <v>107.855</v>
          </cell>
          <cell r="E483">
            <v>105.92</v>
          </cell>
          <cell r="H483">
            <v>95.13</v>
          </cell>
          <cell r="I483">
            <v>116.94</v>
          </cell>
          <cell r="BS483">
            <v>11.019999999999996</v>
          </cell>
        </row>
        <row r="484">
          <cell r="B484">
            <v>40848</v>
          </cell>
          <cell r="D484">
            <v>106.66</v>
          </cell>
          <cell r="E484">
            <v>104.61</v>
          </cell>
          <cell r="H484">
            <v>93.94</v>
          </cell>
          <cell r="I484">
            <v>114.04</v>
          </cell>
          <cell r="BS484">
            <v>9.4300000000000068</v>
          </cell>
        </row>
        <row r="485">
          <cell r="B485">
            <v>40849</v>
          </cell>
          <cell r="D485">
            <v>110.83499999999999</v>
          </cell>
          <cell r="E485">
            <v>106.75</v>
          </cell>
          <cell r="H485">
            <v>95.71</v>
          </cell>
          <cell r="I485">
            <v>115.59</v>
          </cell>
          <cell r="BS485">
            <v>8.8400000000000034</v>
          </cell>
        </row>
        <row r="486">
          <cell r="B486">
            <v>40850</v>
          </cell>
          <cell r="D486">
            <v>110.94</v>
          </cell>
          <cell r="E486">
            <v>105.16</v>
          </cell>
          <cell r="H486">
            <v>93.57</v>
          </cell>
          <cell r="I486">
            <v>112.88</v>
          </cell>
          <cell r="BS486">
            <v>7.7199999999999989</v>
          </cell>
        </row>
        <row r="487">
          <cell r="B487">
            <v>40851</v>
          </cell>
          <cell r="D487">
            <v>112.19499999999999</v>
          </cell>
          <cell r="E487">
            <v>107.76</v>
          </cell>
          <cell r="H487">
            <v>95.33</v>
          </cell>
          <cell r="I487">
            <v>114.88</v>
          </cell>
          <cell r="BS487">
            <v>7.1199999999999903</v>
          </cell>
        </row>
        <row r="488">
          <cell r="B488">
            <v>40854</v>
          </cell>
          <cell r="D488">
            <v>115.155</v>
          </cell>
          <cell r="E488" t="str">
            <v/>
          </cell>
          <cell r="H488">
            <v>0</v>
          </cell>
          <cell r="I488">
            <v>0</v>
          </cell>
          <cell r="BS488" t="e">
            <v>#N/A</v>
          </cell>
        </row>
        <row r="489">
          <cell r="B489">
            <v>40855</v>
          </cell>
          <cell r="D489">
            <v>115.8</v>
          </cell>
          <cell r="E489">
            <v>111.86</v>
          </cell>
          <cell r="H489">
            <v>97.68</v>
          </cell>
          <cell r="I489">
            <v>118.39</v>
          </cell>
          <cell r="BS489">
            <v>6.5300000000000011</v>
          </cell>
        </row>
        <row r="490">
          <cell r="B490">
            <v>40856</v>
          </cell>
          <cell r="D490">
            <v>115.23</v>
          </cell>
          <cell r="E490">
            <v>111.6</v>
          </cell>
          <cell r="H490">
            <v>97.84</v>
          </cell>
          <cell r="I490">
            <v>117.55</v>
          </cell>
          <cell r="BS490">
            <v>5.9500000000000028</v>
          </cell>
        </row>
        <row r="491">
          <cell r="B491">
            <v>40857</v>
          </cell>
          <cell r="D491">
            <v>113.43</v>
          </cell>
          <cell r="E491">
            <v>109.6</v>
          </cell>
          <cell r="H491">
            <v>96.37</v>
          </cell>
          <cell r="I491">
            <v>114.45</v>
          </cell>
          <cell r="BS491">
            <v>4.8500000000000085</v>
          </cell>
        </row>
        <row r="492">
          <cell r="B492">
            <v>40858</v>
          </cell>
          <cell r="D492">
            <v>114.345</v>
          </cell>
          <cell r="E492">
            <v>111.47</v>
          </cell>
          <cell r="H492">
            <v>97.02</v>
          </cell>
          <cell r="I492">
            <v>113.65</v>
          </cell>
          <cell r="BS492">
            <v>2.1800000000000068</v>
          </cell>
        </row>
        <row r="493">
          <cell r="B493">
            <v>40861</v>
          </cell>
          <cell r="D493">
            <v>112.76</v>
          </cell>
          <cell r="E493">
            <v>112.15</v>
          </cell>
          <cell r="H493">
            <v>96.18</v>
          </cell>
          <cell r="I493">
            <v>111.8</v>
          </cell>
          <cell r="BS493">
            <v>-0.35000000000000853</v>
          </cell>
        </row>
        <row r="494">
          <cell r="B494">
            <v>40862</v>
          </cell>
          <cell r="D494">
            <v>111.97499999999999</v>
          </cell>
          <cell r="E494">
            <v>111.37</v>
          </cell>
          <cell r="H494">
            <v>94.93</v>
          </cell>
          <cell r="I494">
            <v>109.49</v>
          </cell>
          <cell r="BS494">
            <v>-1.8800000000000097</v>
          </cell>
        </row>
        <row r="495">
          <cell r="B495">
            <v>40863</v>
          </cell>
          <cell r="D495">
            <v>112.33499999999999</v>
          </cell>
          <cell r="E495">
            <v>111.4</v>
          </cell>
          <cell r="H495">
            <v>96.43</v>
          </cell>
          <cell r="I495">
            <v>110.85</v>
          </cell>
          <cell r="BS495">
            <v>-0.55000000000001137</v>
          </cell>
        </row>
        <row r="496">
          <cell r="B496">
            <v>40864</v>
          </cell>
          <cell r="D496">
            <v>109.17</v>
          </cell>
          <cell r="E496">
            <v>110.93</v>
          </cell>
          <cell r="H496">
            <v>97.05</v>
          </cell>
          <cell r="I496">
            <v>111.19</v>
          </cell>
          <cell r="BS496">
            <v>0.25999999999999091</v>
          </cell>
        </row>
        <row r="497">
          <cell r="B497">
            <v>40865</v>
          </cell>
          <cell r="D497">
            <v>107.785</v>
          </cell>
          <cell r="E497">
            <v>108.88</v>
          </cell>
          <cell r="H497">
            <v>94.12</v>
          </cell>
          <cell r="I497">
            <v>107.96</v>
          </cell>
          <cell r="BS497">
            <v>-0.92000000000000171</v>
          </cell>
        </row>
        <row r="498">
          <cell r="B498">
            <v>40868</v>
          </cell>
          <cell r="D498">
            <v>106.02</v>
          </cell>
          <cell r="E498">
            <v>107.8</v>
          </cell>
          <cell r="H498">
            <v>92.38</v>
          </cell>
          <cell r="I498">
            <v>105.7</v>
          </cell>
          <cell r="BS498">
            <v>-2.0999999999999943</v>
          </cell>
        </row>
        <row r="499">
          <cell r="B499">
            <v>40869</v>
          </cell>
          <cell r="D499">
            <v>107.72</v>
          </cell>
          <cell r="E499">
            <v>107.9</v>
          </cell>
          <cell r="H499">
            <v>93.43</v>
          </cell>
          <cell r="I499">
            <v>106.9</v>
          </cell>
          <cell r="BS499">
            <v>-1</v>
          </cell>
        </row>
        <row r="500">
          <cell r="B500">
            <v>40870</v>
          </cell>
          <cell r="D500">
            <v>106.65</v>
          </cell>
          <cell r="E500">
            <v>108.5</v>
          </cell>
          <cell r="H500">
            <v>94.14</v>
          </cell>
          <cell r="I500">
            <v>107.45</v>
          </cell>
          <cell r="BS500">
            <v>-1.0499999999999972</v>
          </cell>
        </row>
        <row r="501">
          <cell r="B501">
            <v>40871</v>
          </cell>
          <cell r="D501">
            <v>107.355</v>
          </cell>
          <cell r="E501">
            <v>107.85</v>
          </cell>
          <cell r="H501">
            <v>94.02</v>
          </cell>
          <cell r="I501">
            <v>107.3</v>
          </cell>
          <cell r="BS501">
            <v>-0.54999999999999716</v>
          </cell>
        </row>
        <row r="502">
          <cell r="B502">
            <v>40872</v>
          </cell>
          <cell r="D502">
            <v>106.715</v>
          </cell>
          <cell r="E502">
            <v>107.6</v>
          </cell>
          <cell r="H502">
            <v>93.88</v>
          </cell>
          <cell r="I502">
            <v>107.8</v>
          </cell>
          <cell r="BS502">
            <v>0.20000000000000284</v>
          </cell>
        </row>
        <row r="503">
          <cell r="B503">
            <v>40875</v>
          </cell>
          <cell r="D503">
            <v>109.215</v>
          </cell>
          <cell r="E503">
            <v>108.1</v>
          </cell>
          <cell r="H503">
            <v>94.61</v>
          </cell>
          <cell r="I503">
            <v>108.35</v>
          </cell>
          <cell r="BS503">
            <v>0.25</v>
          </cell>
        </row>
        <row r="504">
          <cell r="B504">
            <v>40876</v>
          </cell>
          <cell r="D504">
            <v>111.215</v>
          </cell>
          <cell r="E504">
            <v>108.3</v>
          </cell>
          <cell r="H504">
            <v>95.36</v>
          </cell>
          <cell r="I504">
            <v>108.75</v>
          </cell>
          <cell r="BS504">
            <v>0.45000000000000284</v>
          </cell>
        </row>
        <row r="505">
          <cell r="B505">
            <v>40877</v>
          </cell>
          <cell r="D505">
            <v>111.02</v>
          </cell>
          <cell r="E505">
            <v>109.405</v>
          </cell>
          <cell r="H505">
            <v>96.29</v>
          </cell>
          <cell r="I505">
            <v>109.6</v>
          </cell>
          <cell r="BS505">
            <v>0.19499999999999318</v>
          </cell>
        </row>
        <row r="506">
          <cell r="B506">
            <v>40878</v>
          </cell>
          <cell r="D506">
            <v>108.94</v>
          </cell>
          <cell r="E506">
            <v>108.71</v>
          </cell>
          <cell r="H506">
            <v>96.52</v>
          </cell>
          <cell r="I506">
            <v>109.93</v>
          </cell>
          <cell r="BS506">
            <v>1.2200000000000131</v>
          </cell>
        </row>
        <row r="507">
          <cell r="B507">
            <v>40879</v>
          </cell>
          <cell r="D507">
            <v>109.36</v>
          </cell>
          <cell r="E507">
            <v>108.86</v>
          </cell>
          <cell r="H507">
            <v>96.84</v>
          </cell>
          <cell r="I507">
            <v>110.88</v>
          </cell>
          <cell r="BS507">
            <v>2.019999999999996</v>
          </cell>
        </row>
        <row r="508">
          <cell r="B508">
            <v>40882</v>
          </cell>
          <cell r="D508">
            <v>111.16500000000001</v>
          </cell>
          <cell r="E508">
            <v>109.55</v>
          </cell>
          <cell r="H508">
            <v>98.1</v>
          </cell>
          <cell r="I508">
            <v>112.45</v>
          </cell>
          <cell r="BS508">
            <v>2.9000000000000057</v>
          </cell>
        </row>
        <row r="509">
          <cell r="B509">
            <v>40883</v>
          </cell>
          <cell r="D509">
            <v>110.155</v>
          </cell>
          <cell r="E509">
            <v>108.5</v>
          </cell>
          <cell r="H509">
            <v>98.35</v>
          </cell>
          <cell r="I509">
            <v>110.75</v>
          </cell>
          <cell r="BS509">
            <v>2.25</v>
          </cell>
        </row>
        <row r="510">
          <cell r="B510">
            <v>40884</v>
          </cell>
          <cell r="D510">
            <v>109.935</v>
          </cell>
          <cell r="E510">
            <v>109.85</v>
          </cell>
          <cell r="H510">
            <v>100.32</v>
          </cell>
          <cell r="I510">
            <v>112.22</v>
          </cell>
          <cell r="BS510">
            <v>2.3700000000000045</v>
          </cell>
        </row>
        <row r="511">
          <cell r="B511">
            <v>40885</v>
          </cell>
          <cell r="D511">
            <v>108.16500000000001</v>
          </cell>
          <cell r="E511">
            <v>109.18</v>
          </cell>
          <cell r="H511">
            <v>99.18</v>
          </cell>
          <cell r="I511">
            <v>111.1</v>
          </cell>
          <cell r="BS511">
            <v>1.9199999999999875</v>
          </cell>
        </row>
        <row r="512">
          <cell r="B512">
            <v>40886</v>
          </cell>
          <cell r="D512">
            <v>107.705</v>
          </cell>
          <cell r="E512">
            <v>106.65</v>
          </cell>
          <cell r="H512">
            <v>96.64</v>
          </cell>
          <cell r="I512">
            <v>109.4</v>
          </cell>
          <cell r="BS512">
            <v>2.75</v>
          </cell>
        </row>
        <row r="513">
          <cell r="B513">
            <v>40889</v>
          </cell>
          <cell r="D513">
            <v>107.715</v>
          </cell>
          <cell r="E513">
            <v>106.86</v>
          </cell>
          <cell r="H513">
            <v>98.21</v>
          </cell>
          <cell r="I513">
            <v>111.1</v>
          </cell>
          <cell r="BS513">
            <v>4.2399999999999949</v>
          </cell>
        </row>
        <row r="514">
          <cell r="B514">
            <v>40890</v>
          </cell>
          <cell r="D514">
            <v>108.83499999999999</v>
          </cell>
          <cell r="E514">
            <v>106.39</v>
          </cell>
          <cell r="H514">
            <v>98.37</v>
          </cell>
          <cell r="I514">
            <v>111.05</v>
          </cell>
          <cell r="BS514">
            <v>4.6599999999999966</v>
          </cell>
        </row>
        <row r="515">
          <cell r="B515">
            <v>40891</v>
          </cell>
          <cell r="D515">
            <v>105.985</v>
          </cell>
          <cell r="E515">
            <v>107.405</v>
          </cell>
          <cell r="H515">
            <v>99.15</v>
          </cell>
          <cell r="I515">
            <v>112.85</v>
          </cell>
          <cell r="BS515">
            <v>5.4449999999999932</v>
          </cell>
        </row>
        <row r="516">
          <cell r="B516">
            <v>40892</v>
          </cell>
          <cell r="D516">
            <v>105.05500000000001</v>
          </cell>
          <cell r="E516">
            <v>104.095</v>
          </cell>
          <cell r="H516">
            <v>97.26</v>
          </cell>
          <cell r="I516">
            <v>109.92</v>
          </cell>
          <cell r="BS516">
            <v>5.8250000000000028</v>
          </cell>
        </row>
        <row r="517">
          <cell r="B517">
            <v>40893</v>
          </cell>
          <cell r="D517">
            <v>104.575</v>
          </cell>
          <cell r="E517">
            <v>102.65</v>
          </cell>
          <cell r="H517">
            <v>96.18</v>
          </cell>
          <cell r="I517">
            <v>108.98</v>
          </cell>
          <cell r="BS517">
            <v>6.3299999999999983</v>
          </cell>
        </row>
        <row r="518">
          <cell r="B518">
            <v>40896</v>
          </cell>
          <cell r="D518">
            <v>104.935</v>
          </cell>
          <cell r="E518">
            <v>101.45</v>
          </cell>
          <cell r="H518">
            <v>96.21</v>
          </cell>
          <cell r="I518">
            <v>108.14</v>
          </cell>
          <cell r="BS518">
            <v>6.6899999999999977</v>
          </cell>
        </row>
        <row r="519">
          <cell r="B519">
            <v>40897</v>
          </cell>
          <cell r="D519">
            <v>107.855</v>
          </cell>
          <cell r="E519">
            <v>102.82</v>
          </cell>
          <cell r="H519">
            <v>98.25</v>
          </cell>
          <cell r="I519">
            <v>109.33</v>
          </cell>
          <cell r="BS519">
            <v>6.5100000000000051</v>
          </cell>
        </row>
        <row r="520">
          <cell r="B520">
            <v>40898</v>
          </cell>
          <cell r="D520">
            <v>108.31</v>
          </cell>
          <cell r="E520">
            <v>105.68</v>
          </cell>
          <cell r="H520">
            <v>99.43</v>
          </cell>
          <cell r="I520">
            <v>112.37</v>
          </cell>
          <cell r="BS520">
            <v>6.6899999999999977</v>
          </cell>
        </row>
        <row r="521">
          <cell r="B521">
            <v>40899</v>
          </cell>
          <cell r="D521">
            <v>108.99</v>
          </cell>
          <cell r="E521">
            <v>106.2</v>
          </cell>
          <cell r="H521">
            <v>100.18</v>
          </cell>
          <cell r="I521">
            <v>113.09</v>
          </cell>
          <cell r="BS521">
            <v>6.8900000000000006</v>
          </cell>
        </row>
        <row r="522">
          <cell r="B522">
            <v>40900</v>
          </cell>
          <cell r="D522">
            <v>108.375</v>
          </cell>
          <cell r="E522">
            <v>106.67</v>
          </cell>
          <cell r="H522">
            <v>100.9</v>
          </cell>
          <cell r="I522">
            <v>113.26</v>
          </cell>
          <cell r="BS522">
            <v>6.5900000000000034</v>
          </cell>
        </row>
        <row r="523">
          <cell r="B523">
            <v>40903</v>
          </cell>
          <cell r="D523" t="str">
            <v/>
          </cell>
          <cell r="E523" t="str">
            <v/>
          </cell>
          <cell r="H523">
            <v>0</v>
          </cell>
          <cell r="I523">
            <v>0</v>
          </cell>
          <cell r="BS523" t="e">
            <v>#N/A</v>
          </cell>
        </row>
        <row r="524">
          <cell r="B524">
            <v>40904</v>
          </cell>
          <cell r="D524" t="str">
            <v/>
          </cell>
          <cell r="E524">
            <v>106.2</v>
          </cell>
          <cell r="H524">
            <v>100.57</v>
          </cell>
          <cell r="I524">
            <v>113.87</v>
          </cell>
          <cell r="BS524">
            <v>7.6700000000000017</v>
          </cell>
        </row>
        <row r="525">
          <cell r="B525">
            <v>40905</v>
          </cell>
          <cell r="D525">
            <v>107.425</v>
          </cell>
          <cell r="E525">
            <v>106.6</v>
          </cell>
          <cell r="H525">
            <v>100.64</v>
          </cell>
          <cell r="I525">
            <v>113.17</v>
          </cell>
          <cell r="BS525">
            <v>6.5700000000000074</v>
          </cell>
        </row>
        <row r="526">
          <cell r="B526">
            <v>40906</v>
          </cell>
          <cell r="D526">
            <v>106.68</v>
          </cell>
          <cell r="E526">
            <v>105.28</v>
          </cell>
          <cell r="H526">
            <v>99.61</v>
          </cell>
          <cell r="I526">
            <v>113.18</v>
          </cell>
          <cell r="BS526">
            <v>7.9000000000000057</v>
          </cell>
        </row>
        <row r="527">
          <cell r="B527">
            <v>40907</v>
          </cell>
          <cell r="D527">
            <v>106.51</v>
          </cell>
          <cell r="E527">
            <v>105.46</v>
          </cell>
          <cell r="H527">
            <v>100</v>
          </cell>
          <cell r="I527">
            <v>114.38</v>
          </cell>
          <cell r="BS527">
            <v>8.9200000000000017</v>
          </cell>
        </row>
        <row r="528">
          <cell r="B528">
            <v>40910</v>
          </cell>
          <cell r="D528" t="str">
            <v/>
          </cell>
          <cell r="E528" t="str">
            <v/>
          </cell>
          <cell r="H528">
            <v>0</v>
          </cell>
          <cell r="I528">
            <v>0</v>
          </cell>
          <cell r="BS528" t="e">
            <v>#N/A</v>
          </cell>
        </row>
        <row r="529">
          <cell r="B529">
            <v>40911</v>
          </cell>
          <cell r="D529">
            <v>111.145</v>
          </cell>
          <cell r="E529">
            <v>105.6</v>
          </cell>
          <cell r="H529">
            <v>100.63</v>
          </cell>
          <cell r="I529">
            <v>116.24</v>
          </cell>
          <cell r="BS529">
            <v>10.64</v>
          </cell>
        </row>
        <row r="530">
          <cell r="B530">
            <v>40912</v>
          </cell>
          <cell r="D530">
            <v>113.18</v>
          </cell>
          <cell r="E530">
            <v>108.58</v>
          </cell>
          <cell r="H530">
            <v>102.27</v>
          </cell>
          <cell r="I530">
            <v>119.68</v>
          </cell>
          <cell r="BS530">
            <v>11.100000000000009</v>
          </cell>
        </row>
        <row r="531">
          <cell r="B531">
            <v>40913</v>
          </cell>
          <cell r="D531">
            <v>113.80500000000001</v>
          </cell>
          <cell r="E531">
            <v>110.81</v>
          </cell>
          <cell r="H531">
            <v>104.27</v>
          </cell>
          <cell r="I531">
            <v>120.71</v>
          </cell>
          <cell r="BS531">
            <v>9.8999999999999915</v>
          </cell>
        </row>
        <row r="532">
          <cell r="B532">
            <v>40914</v>
          </cell>
          <cell r="D532">
            <v>111.58</v>
          </cell>
          <cell r="E532">
            <v>109.995</v>
          </cell>
          <cell r="H532">
            <v>104.13</v>
          </cell>
          <cell r="I532">
            <v>120.13</v>
          </cell>
          <cell r="BS532">
            <v>10.134999999999991</v>
          </cell>
        </row>
        <row r="533">
          <cell r="B533">
            <v>40917</v>
          </cell>
          <cell r="D533">
            <v>110.84</v>
          </cell>
          <cell r="E533">
            <v>110.895</v>
          </cell>
          <cell r="H533">
            <v>105.91</v>
          </cell>
          <cell r="I533">
            <v>120.21</v>
          </cell>
          <cell r="BS533">
            <v>9.3149999999999977</v>
          </cell>
        </row>
        <row r="534">
          <cell r="B534">
            <v>40918</v>
          </cell>
          <cell r="D534">
            <v>112.66500000000001</v>
          </cell>
          <cell r="E534">
            <v>110.795</v>
          </cell>
          <cell r="H534">
            <v>106.21</v>
          </cell>
          <cell r="I534">
            <v>120.68</v>
          </cell>
          <cell r="BS534">
            <v>9.8850000000000051</v>
          </cell>
        </row>
        <row r="535">
          <cell r="B535">
            <v>40919</v>
          </cell>
          <cell r="D535">
            <v>112.065</v>
          </cell>
          <cell r="E535">
            <v>111.12</v>
          </cell>
          <cell r="H535">
            <v>105.71</v>
          </cell>
          <cell r="I535">
            <v>120.8</v>
          </cell>
          <cell r="BS535">
            <v>9.6799999999999926</v>
          </cell>
        </row>
        <row r="536">
          <cell r="B536">
            <v>40920</v>
          </cell>
          <cell r="D536">
            <v>112.935</v>
          </cell>
          <cell r="E536">
            <v>111.26</v>
          </cell>
          <cell r="H536">
            <v>104.2</v>
          </cell>
          <cell r="I536">
            <v>120.03</v>
          </cell>
          <cell r="BS536">
            <v>8.769999999999996</v>
          </cell>
        </row>
        <row r="537">
          <cell r="B537">
            <v>40921</v>
          </cell>
          <cell r="D537">
            <v>109.88500000000001</v>
          </cell>
          <cell r="E537">
            <v>110.31</v>
          </cell>
          <cell r="H537">
            <v>103.97</v>
          </cell>
          <cell r="I537">
            <v>119.15</v>
          </cell>
          <cell r="BS537">
            <v>8.8400000000000034</v>
          </cell>
        </row>
        <row r="538">
          <cell r="B538">
            <v>40924</v>
          </cell>
          <cell r="D538">
            <v>110.285</v>
          </cell>
          <cell r="E538">
            <v>110.07</v>
          </cell>
          <cell r="H538">
            <v>0</v>
          </cell>
          <cell r="I538">
            <v>0</v>
          </cell>
          <cell r="BS538">
            <v>-110.07</v>
          </cell>
        </row>
        <row r="539">
          <cell r="B539">
            <v>40925</v>
          </cell>
          <cell r="D539">
            <v>109.965</v>
          </cell>
          <cell r="E539">
            <v>110.81</v>
          </cell>
          <cell r="H539">
            <v>0</v>
          </cell>
          <cell r="I539">
            <v>0</v>
          </cell>
          <cell r="BS539">
            <v>-110.81</v>
          </cell>
        </row>
        <row r="540">
          <cell r="B540">
            <v>40926</v>
          </cell>
          <cell r="D540">
            <v>109.495</v>
          </cell>
          <cell r="E540">
            <v>110.11</v>
          </cell>
          <cell r="H540">
            <v>0</v>
          </cell>
          <cell r="I540">
            <v>0</v>
          </cell>
          <cell r="BS540">
            <v>-110.11</v>
          </cell>
        </row>
        <row r="541">
          <cell r="B541">
            <v>40927</v>
          </cell>
          <cell r="D541">
            <v>109.395</v>
          </cell>
          <cell r="E541">
            <v>109.94</v>
          </cell>
          <cell r="H541">
            <v>0</v>
          </cell>
          <cell r="I541">
            <v>0</v>
          </cell>
          <cell r="BS541">
            <v>-109.94</v>
          </cell>
        </row>
        <row r="542">
          <cell r="B542">
            <v>40928</v>
          </cell>
          <cell r="D542">
            <v>108.3</v>
          </cell>
          <cell r="E542">
            <v>110.35</v>
          </cell>
          <cell r="H542">
            <v>0</v>
          </cell>
          <cell r="I542">
            <v>0</v>
          </cell>
          <cell r="BS542">
            <v>-110.35</v>
          </cell>
        </row>
        <row r="543">
          <cell r="B543">
            <v>40931</v>
          </cell>
          <cell r="D543">
            <v>109.36499999999999</v>
          </cell>
          <cell r="E543" t="str">
            <v/>
          </cell>
          <cell r="H543">
            <v>0</v>
          </cell>
          <cell r="I543">
            <v>0</v>
          </cell>
          <cell r="BS543" t="e">
            <v>#N/A</v>
          </cell>
        </row>
        <row r="544">
          <cell r="B544">
            <v>40932</v>
          </cell>
          <cell r="D544">
            <v>108.545</v>
          </cell>
          <cell r="E544" t="str">
            <v/>
          </cell>
          <cell r="H544">
            <v>0</v>
          </cell>
          <cell r="I544">
            <v>0</v>
          </cell>
          <cell r="BS544" t="e">
            <v>#N/A</v>
          </cell>
        </row>
        <row r="545">
          <cell r="B545">
            <v>40933</v>
          </cell>
          <cell r="D545">
            <v>108.545</v>
          </cell>
          <cell r="E545">
            <v>108.91</v>
          </cell>
          <cell r="H545">
            <v>0</v>
          </cell>
          <cell r="I545">
            <v>0</v>
          </cell>
          <cell r="BS545">
            <v>-108.91</v>
          </cell>
        </row>
        <row r="546">
          <cell r="B546">
            <v>40934</v>
          </cell>
          <cell r="D546">
            <v>109.39</v>
          </cell>
          <cell r="E546">
            <v>109.33</v>
          </cell>
          <cell r="H546">
            <v>0</v>
          </cell>
          <cell r="I546">
            <v>0</v>
          </cell>
          <cell r="BS546">
            <v>-109.33</v>
          </cell>
        </row>
        <row r="547">
          <cell r="B547">
            <v>40935</v>
          </cell>
          <cell r="D547">
            <v>110.39</v>
          </cell>
          <cell r="E547">
            <v>108.91</v>
          </cell>
          <cell r="H547">
            <v>0</v>
          </cell>
          <cell r="I547">
            <v>0</v>
          </cell>
          <cell r="BS547">
            <v>-108.91</v>
          </cell>
        </row>
        <row r="548">
          <cell r="B548">
            <v>40938</v>
          </cell>
          <cell r="D548">
            <v>110.13500000000001</v>
          </cell>
          <cell r="E548">
            <v>109.38</v>
          </cell>
          <cell r="H548">
            <v>108.44</v>
          </cell>
          <cell r="I548">
            <v>123.86</v>
          </cell>
          <cell r="BS548">
            <v>14.480000000000004</v>
          </cell>
        </row>
        <row r="549">
          <cell r="B549">
            <v>40939</v>
          </cell>
          <cell r="D549">
            <v>110.265</v>
          </cell>
          <cell r="E549">
            <v>109.1</v>
          </cell>
          <cell r="H549">
            <v>108.04</v>
          </cell>
          <cell r="I549">
            <v>122.83</v>
          </cell>
          <cell r="BS549">
            <v>13.730000000000004</v>
          </cell>
        </row>
        <row r="550">
          <cell r="B550">
            <v>40940</v>
          </cell>
          <cell r="D550">
            <v>111.93</v>
          </cell>
          <cell r="E550">
            <v>109.15</v>
          </cell>
          <cell r="H550">
            <v>108.22</v>
          </cell>
          <cell r="I550">
            <v>123.43</v>
          </cell>
          <cell r="BS550">
            <v>14.280000000000001</v>
          </cell>
        </row>
        <row r="551">
          <cell r="B551">
            <v>40941</v>
          </cell>
          <cell r="D551">
            <v>111.51</v>
          </cell>
          <cell r="E551">
            <v>109.705</v>
          </cell>
          <cell r="H551">
            <v>108.26</v>
          </cell>
          <cell r="I551">
            <v>123.2</v>
          </cell>
          <cell r="BS551">
            <v>13.495000000000005</v>
          </cell>
        </row>
        <row r="552">
          <cell r="B552">
            <v>40942</v>
          </cell>
          <cell r="D552">
            <v>112.215</v>
          </cell>
          <cell r="E552">
            <v>109.705</v>
          </cell>
          <cell r="H552">
            <v>108.17</v>
          </cell>
          <cell r="I552">
            <v>122.58</v>
          </cell>
          <cell r="BS552">
            <v>12.875</v>
          </cell>
        </row>
        <row r="553">
          <cell r="B553">
            <v>40945</v>
          </cell>
          <cell r="D553">
            <v>115.8</v>
          </cell>
          <cell r="E553">
            <v>111.505</v>
          </cell>
          <cell r="H553">
            <v>108.58</v>
          </cell>
          <cell r="I553">
            <v>124.04</v>
          </cell>
          <cell r="BS553">
            <v>12.535000000000011</v>
          </cell>
        </row>
        <row r="554">
          <cell r="B554">
            <v>40946</v>
          </cell>
          <cell r="D554">
            <v>116.675</v>
          </cell>
          <cell r="E554">
            <v>113.205</v>
          </cell>
          <cell r="H554">
            <v>110.39</v>
          </cell>
          <cell r="I554">
            <v>124.9</v>
          </cell>
          <cell r="BS554">
            <v>11.695000000000007</v>
          </cell>
        </row>
        <row r="555">
          <cell r="B555">
            <v>40947</v>
          </cell>
          <cell r="D555">
            <v>116.72</v>
          </cell>
          <cell r="E555">
            <v>113.81</v>
          </cell>
          <cell r="H555">
            <v>110.58</v>
          </cell>
          <cell r="I555">
            <v>126.13</v>
          </cell>
          <cell r="BS555">
            <v>12.319999999999993</v>
          </cell>
        </row>
        <row r="556">
          <cell r="B556">
            <v>40948</v>
          </cell>
          <cell r="D556">
            <v>118.7</v>
          </cell>
          <cell r="E556">
            <v>114.53</v>
          </cell>
          <cell r="H556">
            <v>112.19</v>
          </cell>
          <cell r="I556">
            <v>128.03</v>
          </cell>
          <cell r="BS556">
            <v>13.5</v>
          </cell>
        </row>
        <row r="557">
          <cell r="B557">
            <v>40949</v>
          </cell>
          <cell r="D557">
            <v>118.12</v>
          </cell>
          <cell r="E557">
            <v>115.38</v>
          </cell>
          <cell r="H557">
            <v>113.25</v>
          </cell>
          <cell r="I557">
            <v>128.80000000000001</v>
          </cell>
          <cell r="BS557">
            <v>13.420000000000016</v>
          </cell>
        </row>
        <row r="558">
          <cell r="B558">
            <v>40952</v>
          </cell>
          <cell r="D558">
            <v>119.35</v>
          </cell>
          <cell r="E558">
            <v>115.97</v>
          </cell>
          <cell r="H558">
            <v>114.22</v>
          </cell>
          <cell r="I558">
            <v>129.85</v>
          </cell>
          <cell r="BS558">
            <v>13.879999999999995</v>
          </cell>
        </row>
        <row r="559">
          <cell r="B559">
            <v>40953</v>
          </cell>
          <cell r="D559">
            <v>118.77500000000001</v>
          </cell>
          <cell r="E559">
            <v>115.28</v>
          </cell>
          <cell r="H559">
            <v>114.66</v>
          </cell>
          <cell r="I559">
            <v>128.43</v>
          </cell>
          <cell r="BS559">
            <v>13.150000000000006</v>
          </cell>
        </row>
        <row r="560">
          <cell r="B560">
            <v>40954</v>
          </cell>
          <cell r="D560">
            <v>120.935</v>
          </cell>
          <cell r="E560">
            <v>116.5</v>
          </cell>
          <cell r="H560">
            <v>115.07</v>
          </cell>
          <cell r="I560">
            <v>129.18</v>
          </cell>
          <cell r="BS560">
            <v>12.680000000000007</v>
          </cell>
        </row>
        <row r="561">
          <cell r="B561">
            <v>40955</v>
          </cell>
          <cell r="D561">
            <v>121.13500000000001</v>
          </cell>
          <cell r="E561">
            <v>116.25</v>
          </cell>
          <cell r="H561">
            <v>114.9</v>
          </cell>
          <cell r="I561">
            <v>128.62</v>
          </cell>
          <cell r="BS561">
            <v>12.370000000000005</v>
          </cell>
        </row>
        <row r="562">
          <cell r="B562">
            <v>40956</v>
          </cell>
          <cell r="D562">
            <v>120.31</v>
          </cell>
          <cell r="E562">
            <v>117.32</v>
          </cell>
          <cell r="H562">
            <v>116.53</v>
          </cell>
          <cell r="I562">
            <v>130.66999999999999</v>
          </cell>
          <cell r="BS562">
            <v>13.349999999999994</v>
          </cell>
        </row>
        <row r="563">
          <cell r="B563">
            <v>40959</v>
          </cell>
          <cell r="D563">
            <v>121.55</v>
          </cell>
          <cell r="E563">
            <v>117.9</v>
          </cell>
          <cell r="H563">
            <v>115.93</v>
          </cell>
          <cell r="I563">
            <v>130.02000000000001</v>
          </cell>
          <cell r="BS563">
            <v>12.120000000000005</v>
          </cell>
        </row>
        <row r="564">
          <cell r="B564">
            <v>40960</v>
          </cell>
          <cell r="D564">
            <v>121.42</v>
          </cell>
          <cell r="E564">
            <v>117.78</v>
          </cell>
          <cell r="H564">
            <v>115.89</v>
          </cell>
          <cell r="I564">
            <v>130.08000000000001</v>
          </cell>
          <cell r="BS564">
            <v>12.300000000000011</v>
          </cell>
        </row>
        <row r="565">
          <cell r="B565">
            <v>40961</v>
          </cell>
          <cell r="D565">
            <v>124.01</v>
          </cell>
          <cell r="E565">
            <v>119.41</v>
          </cell>
          <cell r="H565">
            <v>118.02</v>
          </cell>
          <cell r="I565">
            <v>131.35</v>
          </cell>
          <cell r="BS565">
            <v>11.939999999999998</v>
          </cell>
        </row>
        <row r="566">
          <cell r="B566">
            <v>40962</v>
          </cell>
          <cell r="D566">
            <v>124.29</v>
          </cell>
          <cell r="E566">
            <v>120.21</v>
          </cell>
          <cell r="H566">
            <v>118.13</v>
          </cell>
          <cell r="I566">
            <v>131.5</v>
          </cell>
          <cell r="BS566">
            <v>11.290000000000006</v>
          </cell>
        </row>
        <row r="567">
          <cell r="B567">
            <v>40963</v>
          </cell>
          <cell r="D567">
            <v>124.99</v>
          </cell>
          <cell r="E567">
            <v>121.53</v>
          </cell>
          <cell r="H567">
            <v>118.35</v>
          </cell>
          <cell r="I567">
            <v>132.9</v>
          </cell>
          <cell r="BS567">
            <v>11.370000000000005</v>
          </cell>
        </row>
        <row r="568">
          <cell r="B568">
            <v>40966</v>
          </cell>
          <cell r="D568">
            <v>125.11499999999999</v>
          </cell>
          <cell r="E568">
            <v>122.5</v>
          </cell>
          <cell r="H568">
            <v>119.02</v>
          </cell>
          <cell r="I568">
            <v>133.47999999999999</v>
          </cell>
          <cell r="BS568">
            <v>10.97999999999999</v>
          </cell>
        </row>
        <row r="569">
          <cell r="B569">
            <v>40967</v>
          </cell>
          <cell r="D569">
            <v>124.36</v>
          </cell>
          <cell r="E569">
            <v>121.8</v>
          </cell>
          <cell r="H569">
            <v>119.77</v>
          </cell>
          <cell r="I569">
            <v>132.78</v>
          </cell>
          <cell r="BS569">
            <v>10.980000000000004</v>
          </cell>
        </row>
        <row r="570">
          <cell r="B570">
            <v>40968</v>
          </cell>
          <cell r="D570">
            <v>122.72499999999999</v>
          </cell>
          <cell r="E570">
            <v>120.01</v>
          </cell>
          <cell r="H570">
            <v>120.05</v>
          </cell>
          <cell r="I570">
            <v>131.24</v>
          </cell>
          <cell r="BS570">
            <v>11.230000000000004</v>
          </cell>
        </row>
        <row r="571">
          <cell r="B571">
            <v>40969</v>
          </cell>
          <cell r="D571">
            <v>126.39</v>
          </cell>
          <cell r="E571">
            <v>119.81</v>
          </cell>
          <cell r="H571">
            <v>120.5</v>
          </cell>
          <cell r="I571">
            <v>131.91</v>
          </cell>
          <cell r="BS571">
            <v>12.099999999999994</v>
          </cell>
        </row>
        <row r="572">
          <cell r="B572">
            <v>40970</v>
          </cell>
          <cell r="D572">
            <v>126.43</v>
          </cell>
          <cell r="E572">
            <v>122.23</v>
          </cell>
          <cell r="H572">
            <v>121.77</v>
          </cell>
          <cell r="I572">
            <v>134.33000000000001</v>
          </cell>
          <cell r="BS572">
            <v>12.100000000000009</v>
          </cell>
        </row>
        <row r="573">
          <cell r="B573">
            <v>40973</v>
          </cell>
          <cell r="D573">
            <v>126.47</v>
          </cell>
          <cell r="E573">
            <v>121.02</v>
          </cell>
          <cell r="H573">
            <v>119.23</v>
          </cell>
          <cell r="I573">
            <v>132.72999999999999</v>
          </cell>
          <cell r="BS573">
            <v>11.709999999999994</v>
          </cell>
        </row>
        <row r="574">
          <cell r="B574">
            <v>40974</v>
          </cell>
          <cell r="D574">
            <v>124.645</v>
          </cell>
          <cell r="E574">
            <v>121.65</v>
          </cell>
          <cell r="H574">
            <v>117.85</v>
          </cell>
          <cell r="I574">
            <v>132.49</v>
          </cell>
          <cell r="BS574">
            <v>10.840000000000003</v>
          </cell>
        </row>
        <row r="575">
          <cell r="B575">
            <v>40975</v>
          </cell>
          <cell r="D575">
            <v>124.86</v>
          </cell>
          <cell r="E575">
            <v>120.69</v>
          </cell>
          <cell r="H575">
            <v>118.19</v>
          </cell>
          <cell r="I575">
            <v>132.06</v>
          </cell>
          <cell r="BS575">
            <v>11.370000000000005</v>
          </cell>
        </row>
        <row r="576">
          <cell r="B576">
            <v>40976</v>
          </cell>
          <cell r="D576">
            <v>128.16999999999999</v>
          </cell>
          <cell r="E576">
            <v>123.3</v>
          </cell>
          <cell r="H576">
            <v>119.83</v>
          </cell>
          <cell r="I576">
            <v>134.34</v>
          </cell>
          <cell r="BS576">
            <v>11.040000000000006</v>
          </cell>
        </row>
        <row r="577">
          <cell r="B577">
            <v>40977</v>
          </cell>
          <cell r="D577">
            <v>127.54</v>
          </cell>
          <cell r="E577">
            <v>123.63</v>
          </cell>
          <cell r="H577">
            <v>119.92</v>
          </cell>
          <cell r="I577">
            <v>134.66999999999999</v>
          </cell>
          <cell r="BS577">
            <v>11.039999999999992</v>
          </cell>
        </row>
        <row r="578">
          <cell r="B578">
            <v>40980</v>
          </cell>
          <cell r="D578">
            <v>126.825</v>
          </cell>
          <cell r="E578">
            <v>123.58</v>
          </cell>
          <cell r="H578">
            <v>120.42</v>
          </cell>
          <cell r="I578">
            <v>135.22999999999999</v>
          </cell>
          <cell r="BS578">
            <v>11.649999999999991</v>
          </cell>
        </row>
        <row r="579">
          <cell r="B579">
            <v>40981</v>
          </cell>
          <cell r="D579">
            <v>127.62</v>
          </cell>
          <cell r="E579">
            <v>124.2</v>
          </cell>
          <cell r="H579">
            <v>120.7</v>
          </cell>
          <cell r="I579">
            <v>135.66</v>
          </cell>
          <cell r="BS579">
            <v>11.459999999999994</v>
          </cell>
        </row>
        <row r="580">
          <cell r="B580">
            <v>40982</v>
          </cell>
          <cell r="D580">
            <v>126.61499999999999</v>
          </cell>
          <cell r="E580">
            <v>124.16</v>
          </cell>
          <cell r="H580">
            <v>120.59</v>
          </cell>
          <cell r="I580">
            <v>136.4</v>
          </cell>
          <cell r="BS580">
            <v>12.240000000000009</v>
          </cell>
        </row>
        <row r="581">
          <cell r="B581">
            <v>40983</v>
          </cell>
          <cell r="D581">
            <v>123.825</v>
          </cell>
          <cell r="E581">
            <v>123.63</v>
          </cell>
          <cell r="H581">
            <v>120.89</v>
          </cell>
          <cell r="I581">
            <v>136.01</v>
          </cell>
          <cell r="BS581">
            <v>12.379999999999995</v>
          </cell>
        </row>
        <row r="582">
          <cell r="B582">
            <v>40984</v>
          </cell>
          <cell r="D582">
            <v>125.06</v>
          </cell>
          <cell r="E582">
            <v>122.25</v>
          </cell>
          <cell r="H582">
            <v>119.94</v>
          </cell>
          <cell r="I582">
            <v>133.72</v>
          </cell>
          <cell r="BS582">
            <v>11.469999999999999</v>
          </cell>
        </row>
        <row r="583">
          <cell r="B583">
            <v>40987</v>
          </cell>
          <cell r="D583">
            <v>125.69</v>
          </cell>
          <cell r="E583">
            <v>123.86</v>
          </cell>
          <cell r="H583">
            <v>120.75</v>
          </cell>
          <cell r="I583">
            <v>135.35</v>
          </cell>
          <cell r="BS583">
            <v>11.489999999999995</v>
          </cell>
        </row>
        <row r="584">
          <cell r="B584">
            <v>40988</v>
          </cell>
          <cell r="D584">
            <v>123.895</v>
          </cell>
          <cell r="E584">
            <v>123.17</v>
          </cell>
          <cell r="H584">
            <v>119.59</v>
          </cell>
          <cell r="I584">
            <v>134.55000000000001</v>
          </cell>
          <cell r="BS584">
            <v>11.38000000000001</v>
          </cell>
        </row>
        <row r="585">
          <cell r="B585">
            <v>40989</v>
          </cell>
          <cell r="D585">
            <v>123.7</v>
          </cell>
          <cell r="E585">
            <v>123.09</v>
          </cell>
          <cell r="H585">
            <v>119.17</v>
          </cell>
          <cell r="I585">
            <v>134.79</v>
          </cell>
          <cell r="BS585">
            <v>11.699999999999989</v>
          </cell>
        </row>
        <row r="586">
          <cell r="B586">
            <v>40990</v>
          </cell>
          <cell r="D586">
            <v>122.56</v>
          </cell>
          <cell r="E586">
            <v>122</v>
          </cell>
          <cell r="H586">
            <v>117.72</v>
          </cell>
          <cell r="I586">
            <v>133.34</v>
          </cell>
          <cell r="BS586">
            <v>11.340000000000003</v>
          </cell>
        </row>
        <row r="587">
          <cell r="B587">
            <v>40991</v>
          </cell>
          <cell r="D587">
            <v>124.985</v>
          </cell>
          <cell r="E587">
            <v>122.19</v>
          </cell>
          <cell r="H587">
            <v>117.86</v>
          </cell>
          <cell r="I587">
            <v>133.6</v>
          </cell>
          <cell r="BS587">
            <v>11.409999999999997</v>
          </cell>
        </row>
        <row r="588">
          <cell r="B588">
            <v>40994</v>
          </cell>
          <cell r="D588">
            <v>125.85</v>
          </cell>
          <cell r="E588">
            <v>122.8</v>
          </cell>
          <cell r="H588">
            <v>119.07</v>
          </cell>
          <cell r="I588">
            <v>135.5</v>
          </cell>
          <cell r="BS588">
            <v>12.700000000000003</v>
          </cell>
        </row>
        <row r="589">
          <cell r="B589">
            <v>40995</v>
          </cell>
          <cell r="D589">
            <v>125.08</v>
          </cell>
          <cell r="E589">
            <v>123.155</v>
          </cell>
          <cell r="H589">
            <v>118.96</v>
          </cell>
          <cell r="I589">
            <v>136.5</v>
          </cell>
          <cell r="BS589">
            <v>13.344999999999999</v>
          </cell>
        </row>
        <row r="590">
          <cell r="B590">
            <v>40996</v>
          </cell>
          <cell r="D590">
            <v>124.455</v>
          </cell>
          <cell r="E590">
            <v>121.755</v>
          </cell>
          <cell r="H590">
            <v>117.52</v>
          </cell>
          <cell r="I590">
            <v>135</v>
          </cell>
          <cell r="BS590">
            <v>13.245000000000005</v>
          </cell>
        </row>
        <row r="591">
          <cell r="B591">
            <v>40997</v>
          </cell>
          <cell r="D591">
            <v>123.19499999999999</v>
          </cell>
          <cell r="E591">
            <v>121.705</v>
          </cell>
          <cell r="H591">
            <v>118.08</v>
          </cell>
          <cell r="I591">
            <v>135.5</v>
          </cell>
          <cell r="BS591">
            <v>13.795000000000002</v>
          </cell>
        </row>
        <row r="592">
          <cell r="B592">
            <v>40998</v>
          </cell>
          <cell r="D592">
            <v>123.46</v>
          </cell>
          <cell r="E592">
            <v>120.405</v>
          </cell>
          <cell r="H592">
            <v>116.71</v>
          </cell>
          <cell r="I592">
            <v>134.83000000000001</v>
          </cell>
          <cell r="BS592">
            <v>14.425000000000011</v>
          </cell>
        </row>
        <row r="593">
          <cell r="B593">
            <v>41001</v>
          </cell>
          <cell r="D593">
            <v>124.64</v>
          </cell>
          <cell r="E593">
            <v>119.82</v>
          </cell>
          <cell r="H593">
            <v>116.17</v>
          </cell>
          <cell r="I593">
            <v>134.47</v>
          </cell>
          <cell r="BS593">
            <v>14.650000000000006</v>
          </cell>
        </row>
        <row r="594">
          <cell r="B594">
            <v>41002</v>
          </cell>
          <cell r="D594">
            <v>125.61499999999999</v>
          </cell>
          <cell r="E594">
            <v>121.98</v>
          </cell>
          <cell r="H594">
            <v>117.89</v>
          </cell>
          <cell r="I594">
            <v>136.56</v>
          </cell>
          <cell r="BS594">
            <v>14.579999999999998</v>
          </cell>
        </row>
        <row r="595">
          <cell r="B595">
            <v>41003</v>
          </cell>
          <cell r="D595">
            <v>122.935</v>
          </cell>
          <cell r="E595">
            <v>122.02</v>
          </cell>
          <cell r="H595">
            <v>117.9</v>
          </cell>
          <cell r="I595">
            <v>137.56</v>
          </cell>
          <cell r="BS595">
            <v>15.540000000000006</v>
          </cell>
        </row>
        <row r="596">
          <cell r="B596">
            <v>41004</v>
          </cell>
          <cell r="D596">
            <v>123.01</v>
          </cell>
          <cell r="E596">
            <v>120.75</v>
          </cell>
          <cell r="H596">
            <v>116.59</v>
          </cell>
          <cell r="I596">
            <v>134.86000000000001</v>
          </cell>
          <cell r="BS596">
            <v>14.110000000000014</v>
          </cell>
        </row>
        <row r="597">
          <cell r="B597">
            <v>41005</v>
          </cell>
          <cell r="D597" t="str">
            <v/>
          </cell>
          <cell r="E597" t="str">
            <v/>
          </cell>
          <cell r="H597">
            <v>0</v>
          </cell>
          <cell r="I597">
            <v>0</v>
          </cell>
          <cell r="BS597" t="e">
            <v>#N/A</v>
          </cell>
        </row>
        <row r="598">
          <cell r="B598">
            <v>41008</v>
          </cell>
          <cell r="D598" t="str">
            <v/>
          </cell>
          <cell r="E598">
            <v>119.66</v>
          </cell>
          <cell r="H598">
            <v>116.14</v>
          </cell>
          <cell r="I598">
            <v>134.01</v>
          </cell>
          <cell r="BS598">
            <v>14.349999999999994</v>
          </cell>
        </row>
        <row r="599">
          <cell r="B599">
            <v>41009</v>
          </cell>
          <cell r="D599">
            <v>121.27</v>
          </cell>
          <cell r="E599">
            <v>119.13</v>
          </cell>
          <cell r="H599">
            <v>116.03</v>
          </cell>
          <cell r="I599">
            <v>132.77000000000001</v>
          </cell>
          <cell r="BS599">
            <v>13.640000000000015</v>
          </cell>
        </row>
        <row r="600">
          <cell r="B600">
            <v>41010</v>
          </cell>
          <cell r="D600">
            <v>120.07</v>
          </cell>
          <cell r="E600">
            <v>116.75</v>
          </cell>
          <cell r="H600">
            <v>114.01</v>
          </cell>
          <cell r="I600">
            <v>129.77000000000001</v>
          </cell>
          <cell r="BS600">
            <v>13.02000000000001</v>
          </cell>
        </row>
        <row r="601">
          <cell r="B601">
            <v>41011</v>
          </cell>
          <cell r="D601">
            <v>120.43</v>
          </cell>
          <cell r="E601">
            <v>117.6</v>
          </cell>
          <cell r="H601">
            <v>115.36</v>
          </cell>
          <cell r="I601">
            <v>131.4</v>
          </cell>
          <cell r="BS601">
            <v>13.800000000000011</v>
          </cell>
        </row>
        <row r="602">
          <cell r="B602">
            <v>41012</v>
          </cell>
          <cell r="D602">
            <v>120.425</v>
          </cell>
          <cell r="E602">
            <v>118.3</v>
          </cell>
          <cell r="H602">
            <v>116.46</v>
          </cell>
          <cell r="I602">
            <v>133.09</v>
          </cell>
          <cell r="BS602">
            <v>14.790000000000006</v>
          </cell>
        </row>
        <row r="603">
          <cell r="B603">
            <v>41015</v>
          </cell>
          <cell r="D603">
            <v>117.8</v>
          </cell>
          <cell r="E603">
            <v>116.15</v>
          </cell>
          <cell r="H603">
            <v>116.05</v>
          </cell>
          <cell r="I603">
            <v>131.49</v>
          </cell>
          <cell r="BS603">
            <v>15.340000000000003</v>
          </cell>
        </row>
        <row r="604">
          <cell r="B604">
            <v>41016</v>
          </cell>
          <cell r="D604">
            <v>117.2</v>
          </cell>
          <cell r="E604">
            <v>115.25</v>
          </cell>
          <cell r="H604">
            <v>114.44</v>
          </cell>
          <cell r="I604">
            <v>130.1</v>
          </cell>
          <cell r="BS604">
            <v>14.849999999999994</v>
          </cell>
        </row>
        <row r="605">
          <cell r="B605">
            <v>41017</v>
          </cell>
          <cell r="D605">
            <v>115.12</v>
          </cell>
          <cell r="E605">
            <v>115.57</v>
          </cell>
          <cell r="H605">
            <v>114.17</v>
          </cell>
          <cell r="I605">
            <v>129.38</v>
          </cell>
          <cell r="BS605">
            <v>13.810000000000002</v>
          </cell>
        </row>
        <row r="606">
          <cell r="B606">
            <v>41018</v>
          </cell>
          <cell r="D606">
            <v>117.18</v>
          </cell>
          <cell r="E606">
            <v>115.43</v>
          </cell>
          <cell r="H606">
            <v>114.23</v>
          </cell>
          <cell r="I606">
            <v>129.47999999999999</v>
          </cell>
          <cell r="BS606">
            <v>14.049999999999983</v>
          </cell>
        </row>
        <row r="607">
          <cell r="B607">
            <v>41019</v>
          </cell>
          <cell r="D607">
            <v>117.79</v>
          </cell>
          <cell r="E607">
            <v>115.34</v>
          </cell>
          <cell r="H607">
            <v>113.01</v>
          </cell>
          <cell r="I607">
            <v>128.13999999999999</v>
          </cell>
          <cell r="BS607">
            <v>12.799999999999983</v>
          </cell>
        </row>
        <row r="608">
          <cell r="B608">
            <v>41022</v>
          </cell>
          <cell r="D608">
            <v>116.27500000000001</v>
          </cell>
          <cell r="E608">
            <v>114.52</v>
          </cell>
          <cell r="H608">
            <v>111.91</v>
          </cell>
          <cell r="I608">
            <v>127.39</v>
          </cell>
          <cell r="BS608">
            <v>12.870000000000005</v>
          </cell>
        </row>
        <row r="609">
          <cell r="B609">
            <v>41023</v>
          </cell>
          <cell r="D609">
            <v>117.44499999999999</v>
          </cell>
          <cell r="E609">
            <v>114.41</v>
          </cell>
          <cell r="H609">
            <v>112.56</v>
          </cell>
          <cell r="I609">
            <v>129.54</v>
          </cell>
          <cell r="BS609">
            <v>15.129999999999995</v>
          </cell>
        </row>
        <row r="610">
          <cell r="B610">
            <v>41024</v>
          </cell>
          <cell r="D610">
            <v>117.375</v>
          </cell>
          <cell r="E610">
            <v>115.02</v>
          </cell>
          <cell r="H610">
            <v>111.75</v>
          </cell>
          <cell r="I610">
            <v>128.57</v>
          </cell>
          <cell r="BS610">
            <v>13.549999999999997</v>
          </cell>
        </row>
        <row r="611">
          <cell r="B611">
            <v>41025</v>
          </cell>
          <cell r="D611">
            <v>119.27</v>
          </cell>
          <cell r="E611">
            <v>115.76</v>
          </cell>
          <cell r="H611">
            <v>111.78</v>
          </cell>
          <cell r="I611">
            <v>129.24</v>
          </cell>
          <cell r="BS611">
            <v>13.480000000000004</v>
          </cell>
        </row>
        <row r="612">
          <cell r="B612">
            <v>41026</v>
          </cell>
          <cell r="D612">
            <v>118.785</v>
          </cell>
          <cell r="E612">
            <v>116.27</v>
          </cell>
          <cell r="H612">
            <v>111.34</v>
          </cell>
          <cell r="I612">
            <v>129.47999999999999</v>
          </cell>
          <cell r="BS612">
            <v>13.209999999999994</v>
          </cell>
        </row>
        <row r="613">
          <cell r="B613">
            <v>41029</v>
          </cell>
          <cell r="D613">
            <v>118.5</v>
          </cell>
          <cell r="E613">
            <v>116.33</v>
          </cell>
          <cell r="H613">
            <v>111.09</v>
          </cell>
          <cell r="I613">
            <v>129.97999999999999</v>
          </cell>
          <cell r="BS613">
            <v>13.649999999999991</v>
          </cell>
        </row>
        <row r="614">
          <cell r="B614">
            <v>41030</v>
          </cell>
          <cell r="D614">
            <v>119.185</v>
          </cell>
          <cell r="E614" t="str">
            <v/>
          </cell>
          <cell r="H614">
            <v>0</v>
          </cell>
          <cell r="I614">
            <v>0</v>
          </cell>
          <cell r="BS614" t="e">
            <v>#N/A</v>
          </cell>
        </row>
        <row r="615">
          <cell r="B615">
            <v>41031</v>
          </cell>
          <cell r="D615">
            <v>117.53</v>
          </cell>
          <cell r="E615">
            <v>116.6</v>
          </cell>
          <cell r="H615">
            <v>109.35</v>
          </cell>
          <cell r="I615">
            <v>128.18</v>
          </cell>
          <cell r="BS615">
            <v>11.580000000000013</v>
          </cell>
        </row>
        <row r="616">
          <cell r="B616">
            <v>41032</v>
          </cell>
          <cell r="D616">
            <v>115.925</v>
          </cell>
          <cell r="E616">
            <v>115.52</v>
          </cell>
          <cell r="H616">
            <v>108.24</v>
          </cell>
          <cell r="I616">
            <v>126.7</v>
          </cell>
          <cell r="BS616">
            <v>11.180000000000007</v>
          </cell>
        </row>
        <row r="617">
          <cell r="B617">
            <v>41033</v>
          </cell>
          <cell r="D617">
            <v>111.83</v>
          </cell>
          <cell r="E617">
            <v>112.92</v>
          </cell>
          <cell r="H617">
            <v>105.32</v>
          </cell>
          <cell r="I617">
            <v>123.73</v>
          </cell>
          <cell r="BS617">
            <v>10.810000000000002</v>
          </cell>
        </row>
        <row r="618">
          <cell r="B618">
            <v>41036</v>
          </cell>
          <cell r="D618" t="str">
            <v/>
          </cell>
          <cell r="E618">
            <v>109.17</v>
          </cell>
          <cell r="H618">
            <v>102.36</v>
          </cell>
          <cell r="I618">
            <v>122.75</v>
          </cell>
          <cell r="BS618">
            <v>13.579999999999998</v>
          </cell>
        </row>
        <row r="619">
          <cell r="B619">
            <v>41037</v>
          </cell>
          <cell r="D619">
            <v>110.83499999999999</v>
          </cell>
          <cell r="E619">
            <v>108.97</v>
          </cell>
          <cell r="H619">
            <v>102.47</v>
          </cell>
          <cell r="I619">
            <v>121.58</v>
          </cell>
          <cell r="BS619">
            <v>12.61</v>
          </cell>
        </row>
        <row r="620">
          <cell r="B620">
            <v>41038</v>
          </cell>
          <cell r="D620">
            <v>112.18</v>
          </cell>
          <cell r="E620">
            <v>109.07</v>
          </cell>
          <cell r="H620">
            <v>102.5</v>
          </cell>
          <cell r="I620">
            <v>120.82</v>
          </cell>
          <cell r="BS620">
            <v>11.75</v>
          </cell>
        </row>
        <row r="621">
          <cell r="B621">
            <v>41039</v>
          </cell>
          <cell r="D621">
            <v>112.73</v>
          </cell>
          <cell r="E621">
            <v>109.4</v>
          </cell>
          <cell r="H621">
            <v>101.6</v>
          </cell>
          <cell r="I621">
            <v>120.87</v>
          </cell>
          <cell r="BS621">
            <v>11.469999999999999</v>
          </cell>
        </row>
        <row r="622">
          <cell r="B622">
            <v>41040</v>
          </cell>
          <cell r="D622">
            <v>112.63</v>
          </cell>
          <cell r="E622">
            <v>108.45</v>
          </cell>
          <cell r="H622">
            <v>100.68</v>
          </cell>
          <cell r="I622">
            <v>120.12</v>
          </cell>
          <cell r="BS622">
            <v>11.670000000000002</v>
          </cell>
        </row>
        <row r="623">
          <cell r="B623">
            <v>41043</v>
          </cell>
          <cell r="D623">
            <v>110.755</v>
          </cell>
          <cell r="E623">
            <v>107.91</v>
          </cell>
          <cell r="H623">
            <v>100.56</v>
          </cell>
          <cell r="I623">
            <v>119.02</v>
          </cell>
          <cell r="BS623">
            <v>11.11</v>
          </cell>
        </row>
        <row r="624">
          <cell r="B624">
            <v>41044</v>
          </cell>
          <cell r="D624">
            <v>111.2</v>
          </cell>
          <cell r="E624">
            <v>108.64</v>
          </cell>
          <cell r="H624">
            <v>100.12</v>
          </cell>
          <cell r="I624">
            <v>118.75</v>
          </cell>
          <cell r="BS624">
            <v>10.11</v>
          </cell>
        </row>
        <row r="625">
          <cell r="B625">
            <v>41045</v>
          </cell>
          <cell r="D625">
            <v>111.065</v>
          </cell>
          <cell r="E625">
            <v>107.74</v>
          </cell>
          <cell r="H625">
            <v>98.86</v>
          </cell>
          <cell r="I625">
            <v>117.33</v>
          </cell>
          <cell r="BS625">
            <v>9.5900000000000034</v>
          </cell>
        </row>
        <row r="626">
          <cell r="B626">
            <v>41046</v>
          </cell>
          <cell r="D626">
            <v>109.23</v>
          </cell>
          <cell r="E626">
            <v>107.14</v>
          </cell>
          <cell r="H626">
            <v>98.15</v>
          </cell>
          <cell r="I626">
            <v>117.01</v>
          </cell>
          <cell r="BS626">
            <v>9.8700000000000045</v>
          </cell>
        </row>
        <row r="627">
          <cell r="B627">
            <v>41047</v>
          </cell>
          <cell r="D627">
            <v>108.21</v>
          </cell>
          <cell r="E627">
            <v>104.5</v>
          </cell>
          <cell r="H627">
            <v>96.01</v>
          </cell>
          <cell r="I627">
            <v>114.61</v>
          </cell>
          <cell r="BS627">
            <v>10.11</v>
          </cell>
        </row>
        <row r="628">
          <cell r="B628">
            <v>41050</v>
          </cell>
          <cell r="D628">
            <v>108.905</v>
          </cell>
          <cell r="E628">
            <v>105.09</v>
          </cell>
          <cell r="H628">
            <v>94.9</v>
          </cell>
          <cell r="I628">
            <v>115.24</v>
          </cell>
          <cell r="BS628">
            <v>10.149999999999991</v>
          </cell>
        </row>
        <row r="629">
          <cell r="B629">
            <v>41051</v>
          </cell>
          <cell r="D629">
            <v>109.94499999999999</v>
          </cell>
          <cell r="E629">
            <v>105.29</v>
          </cell>
          <cell r="H629">
            <v>94.38</v>
          </cell>
          <cell r="I629">
            <v>115.63</v>
          </cell>
          <cell r="BS629">
            <v>10.339999999999989</v>
          </cell>
        </row>
        <row r="630">
          <cell r="B630">
            <v>41052</v>
          </cell>
          <cell r="D630">
            <v>106.845</v>
          </cell>
          <cell r="E630">
            <v>103.69</v>
          </cell>
          <cell r="H630">
            <v>93.43</v>
          </cell>
          <cell r="I630">
            <v>114.68</v>
          </cell>
          <cell r="BS630">
            <v>10.990000000000009</v>
          </cell>
        </row>
        <row r="631">
          <cell r="B631">
            <v>41053</v>
          </cell>
          <cell r="D631">
            <v>107.4</v>
          </cell>
          <cell r="E631">
            <v>102.3</v>
          </cell>
          <cell r="H631">
            <v>91.04</v>
          </cell>
          <cell r="I631">
            <v>112.5</v>
          </cell>
          <cell r="BS631">
            <v>10.200000000000003</v>
          </cell>
        </row>
        <row r="632">
          <cell r="B632">
            <v>41054</v>
          </cell>
          <cell r="D632">
            <v>107.73</v>
          </cell>
          <cell r="E632">
            <v>103.85</v>
          </cell>
          <cell r="H632">
            <v>93.38</v>
          </cell>
          <cell r="I632">
            <v>114.43</v>
          </cell>
          <cell r="BS632">
            <v>10.580000000000013</v>
          </cell>
        </row>
        <row r="633">
          <cell r="B633">
            <v>41057</v>
          </cell>
          <cell r="D633">
            <v>107.68</v>
          </cell>
          <cell r="E633">
            <v>104.66</v>
          </cell>
          <cell r="H633">
            <v>94.13</v>
          </cell>
          <cell r="I633">
            <v>115.07</v>
          </cell>
          <cell r="BS633">
            <v>10.409999999999997</v>
          </cell>
        </row>
        <row r="634">
          <cell r="B634">
            <v>41058</v>
          </cell>
          <cell r="D634">
            <v>107.345</v>
          </cell>
          <cell r="E634">
            <v>105</v>
          </cell>
          <cell r="H634">
            <v>94.63</v>
          </cell>
          <cell r="I634">
            <v>115.42</v>
          </cell>
          <cell r="BS634">
            <v>10.420000000000002</v>
          </cell>
        </row>
        <row r="635">
          <cell r="B635">
            <v>41059</v>
          </cell>
          <cell r="D635">
            <v>103.535</v>
          </cell>
          <cell r="E635">
            <v>103.4</v>
          </cell>
          <cell r="H635">
            <v>92.72</v>
          </cell>
          <cell r="I635">
            <v>113.8</v>
          </cell>
          <cell r="BS635">
            <v>10.399999999999991</v>
          </cell>
        </row>
        <row r="636">
          <cell r="B636">
            <v>41060</v>
          </cell>
          <cell r="D636">
            <v>101.655</v>
          </cell>
          <cell r="E636">
            <v>101.6</v>
          </cell>
          <cell r="H636">
            <v>89.93</v>
          </cell>
          <cell r="I636">
            <v>111.87</v>
          </cell>
          <cell r="BS636">
            <v>10.27000000000001</v>
          </cell>
        </row>
        <row r="637">
          <cell r="B637">
            <v>41061</v>
          </cell>
          <cell r="D637">
            <v>98.46</v>
          </cell>
          <cell r="E637">
            <v>98.45</v>
          </cell>
          <cell r="H637">
            <v>85.82</v>
          </cell>
          <cell r="I637">
            <v>108.35</v>
          </cell>
          <cell r="BS637">
            <v>9.8999999999999915</v>
          </cell>
        </row>
        <row r="638">
          <cell r="B638">
            <v>41064</v>
          </cell>
          <cell r="D638" t="str">
            <v/>
          </cell>
          <cell r="E638">
            <v>95.05</v>
          </cell>
          <cell r="H638">
            <v>81.94</v>
          </cell>
          <cell r="I638">
            <v>104.91</v>
          </cell>
          <cell r="BS638">
            <v>9.86</v>
          </cell>
        </row>
        <row r="639">
          <cell r="B639">
            <v>41065</v>
          </cell>
          <cell r="D639" t="str">
            <v/>
          </cell>
          <cell r="E639">
            <v>95.94</v>
          </cell>
          <cell r="H639">
            <v>83.7</v>
          </cell>
          <cell r="I639">
            <v>106.81</v>
          </cell>
          <cell r="BS639">
            <v>10.870000000000005</v>
          </cell>
        </row>
        <row r="640">
          <cell r="B640">
            <v>41066</v>
          </cell>
          <cell r="D640">
            <v>101.205</v>
          </cell>
          <cell r="E640">
            <v>97.15</v>
          </cell>
          <cell r="H640">
            <v>84.74</v>
          </cell>
          <cell r="I640">
            <v>107.79</v>
          </cell>
          <cell r="BS640">
            <v>10.64</v>
          </cell>
        </row>
        <row r="641">
          <cell r="B641">
            <v>41067</v>
          </cell>
          <cell r="D641">
            <v>99.93</v>
          </cell>
          <cell r="E641">
            <v>97.5</v>
          </cell>
          <cell r="H641">
            <v>84.69</v>
          </cell>
          <cell r="I641">
            <v>106.53</v>
          </cell>
          <cell r="BS641">
            <v>9.0300000000000011</v>
          </cell>
        </row>
        <row r="642">
          <cell r="B642">
            <v>41068</v>
          </cell>
          <cell r="D642">
            <v>97.355000000000004</v>
          </cell>
          <cell r="E642">
            <v>95.6</v>
          </cell>
          <cell r="H642">
            <v>80.48</v>
          </cell>
          <cell r="I642">
            <v>103.84</v>
          </cell>
          <cell r="BS642">
            <v>8.2400000000000091</v>
          </cell>
        </row>
        <row r="643">
          <cell r="B643">
            <v>41071</v>
          </cell>
          <cell r="D643">
            <v>97.98</v>
          </cell>
          <cell r="E643">
            <v>98.605000000000004</v>
          </cell>
          <cell r="H643">
            <v>83.94</v>
          </cell>
          <cell r="I643">
            <v>106.8</v>
          </cell>
          <cell r="BS643">
            <v>8.1949999999999932</v>
          </cell>
        </row>
        <row r="644">
          <cell r="B644">
            <v>41072</v>
          </cell>
          <cell r="D644">
            <v>96.284999999999997</v>
          </cell>
          <cell r="E644">
            <v>95.4</v>
          </cell>
          <cell r="H644">
            <v>80.11</v>
          </cell>
          <cell r="I644">
            <v>102.6</v>
          </cell>
          <cell r="BS644">
            <v>7.1999999999999886</v>
          </cell>
        </row>
        <row r="645">
          <cell r="B645">
            <v>41073</v>
          </cell>
          <cell r="D645">
            <v>97.32</v>
          </cell>
          <cell r="E645">
            <v>96.09</v>
          </cell>
          <cell r="H645">
            <v>79.39</v>
          </cell>
          <cell r="I645">
            <v>102.6</v>
          </cell>
          <cell r="BS645">
            <v>6.5099999999999909</v>
          </cell>
        </row>
        <row r="646">
          <cell r="B646">
            <v>41074</v>
          </cell>
          <cell r="D646">
            <v>96.62</v>
          </cell>
          <cell r="E646">
            <v>95.6</v>
          </cell>
          <cell r="H646">
            <v>80</v>
          </cell>
          <cell r="I646">
            <v>101.74</v>
          </cell>
          <cell r="BS646">
            <v>6.1400000000000006</v>
          </cell>
        </row>
        <row r="647">
          <cell r="B647">
            <v>41075</v>
          </cell>
          <cell r="D647">
            <v>97.01</v>
          </cell>
          <cell r="E647">
            <v>96.65</v>
          </cell>
          <cell r="H647">
            <v>81.89</v>
          </cell>
          <cell r="I647">
            <v>102.49</v>
          </cell>
          <cell r="BS647">
            <v>5.8399999999999892</v>
          </cell>
        </row>
        <row r="648">
          <cell r="B648">
            <v>41078</v>
          </cell>
          <cell r="D648">
            <v>95.27</v>
          </cell>
          <cell r="E648">
            <v>96.18</v>
          </cell>
          <cell r="H648">
            <v>82.21</v>
          </cell>
          <cell r="I648">
            <v>101.64</v>
          </cell>
          <cell r="BS648">
            <v>5.4599999999999937</v>
          </cell>
        </row>
        <row r="649">
          <cell r="B649">
            <v>41079</v>
          </cell>
          <cell r="D649">
            <v>95.19</v>
          </cell>
          <cell r="E649">
            <v>93.8</v>
          </cell>
          <cell r="H649">
            <v>79.23</v>
          </cell>
          <cell r="I649">
            <v>98.86</v>
          </cell>
          <cell r="BS649">
            <v>5.0600000000000023</v>
          </cell>
        </row>
        <row r="650">
          <cell r="B650">
            <v>41080</v>
          </cell>
          <cell r="D650">
            <v>93.53</v>
          </cell>
          <cell r="E650">
            <v>94.29</v>
          </cell>
          <cell r="H650">
            <v>78.760000000000005</v>
          </cell>
          <cell r="I650">
            <v>99.1</v>
          </cell>
          <cell r="BS650">
            <v>4.8099999999999881</v>
          </cell>
        </row>
        <row r="651">
          <cell r="B651">
            <v>41081</v>
          </cell>
          <cell r="D651">
            <v>89.165000000000006</v>
          </cell>
          <cell r="E651">
            <v>90.67</v>
          </cell>
          <cell r="H651">
            <v>76.28</v>
          </cell>
          <cell r="I651">
            <v>94.64</v>
          </cell>
          <cell r="BS651">
            <v>3.9699999999999989</v>
          </cell>
        </row>
        <row r="652">
          <cell r="B652">
            <v>41082</v>
          </cell>
          <cell r="D652">
            <v>89.364999999999995</v>
          </cell>
          <cell r="E652">
            <v>89.1</v>
          </cell>
          <cell r="H652">
            <v>75.33</v>
          </cell>
          <cell r="I652">
            <v>92.95</v>
          </cell>
          <cell r="BS652">
            <v>3.8500000000000085</v>
          </cell>
        </row>
        <row r="653">
          <cell r="B653">
            <v>41085</v>
          </cell>
          <cell r="D653">
            <v>88.62</v>
          </cell>
          <cell r="E653">
            <v>89.8</v>
          </cell>
          <cell r="H653">
            <v>76.33</v>
          </cell>
          <cell r="I653">
            <v>94.16</v>
          </cell>
          <cell r="BS653">
            <v>4.3599999999999994</v>
          </cell>
        </row>
        <row r="654">
          <cell r="B654">
            <v>41086</v>
          </cell>
          <cell r="D654">
            <v>90.284999999999997</v>
          </cell>
          <cell r="E654">
            <v>91</v>
          </cell>
          <cell r="H654">
            <v>79.150000000000006</v>
          </cell>
          <cell r="I654">
            <v>96.37</v>
          </cell>
          <cell r="BS654">
            <v>5.3700000000000045</v>
          </cell>
        </row>
        <row r="655">
          <cell r="B655">
            <v>41087</v>
          </cell>
          <cell r="D655">
            <v>92.43</v>
          </cell>
          <cell r="E655">
            <v>91.25</v>
          </cell>
          <cell r="H655">
            <v>79.150000000000006</v>
          </cell>
          <cell r="I655">
            <v>97.36</v>
          </cell>
          <cell r="BS655">
            <v>6.1099999999999994</v>
          </cell>
        </row>
        <row r="656">
          <cell r="B656">
            <v>41088</v>
          </cell>
          <cell r="D656">
            <v>91.454999999999998</v>
          </cell>
          <cell r="E656">
            <v>92.21</v>
          </cell>
          <cell r="H656">
            <v>80.650000000000006</v>
          </cell>
          <cell r="I656">
            <v>97</v>
          </cell>
          <cell r="BS656">
            <v>4.7900000000000063</v>
          </cell>
        </row>
        <row r="657">
          <cell r="B657">
            <v>41089</v>
          </cell>
          <cell r="D657">
            <v>94.495000000000005</v>
          </cell>
          <cell r="E657">
            <v>92.91</v>
          </cell>
          <cell r="H657">
            <v>81.319999999999993</v>
          </cell>
          <cell r="I657">
            <v>97.8</v>
          </cell>
          <cell r="BS657">
            <v>4.8900000000000006</v>
          </cell>
        </row>
        <row r="658">
          <cell r="B658">
            <v>41092</v>
          </cell>
          <cell r="D658">
            <v>95.504999999999995</v>
          </cell>
          <cell r="E658">
            <v>94.42</v>
          </cell>
          <cell r="H658">
            <v>83.85</v>
          </cell>
          <cell r="I658">
            <v>101.07</v>
          </cell>
          <cell r="BS658">
            <v>6.6499999999999915</v>
          </cell>
        </row>
        <row r="659">
          <cell r="B659">
            <v>41093</v>
          </cell>
          <cell r="D659">
            <v>100.42</v>
          </cell>
          <cell r="E659">
            <v>95.21</v>
          </cell>
          <cell r="H659">
            <v>86.1</v>
          </cell>
          <cell r="I659">
            <v>102.17</v>
          </cell>
          <cell r="BS659">
            <v>6.960000000000008</v>
          </cell>
        </row>
        <row r="660">
          <cell r="B660">
            <v>41094</v>
          </cell>
          <cell r="D660">
            <v>99.56</v>
          </cell>
          <cell r="E660">
            <v>97.15</v>
          </cell>
          <cell r="H660">
            <v>86.63</v>
          </cell>
          <cell r="I660">
            <v>104.32</v>
          </cell>
          <cell r="BS660">
            <v>7.1699999999999875</v>
          </cell>
        </row>
        <row r="661">
          <cell r="B661">
            <v>41095</v>
          </cell>
          <cell r="D661">
            <v>101.80500000000001</v>
          </cell>
          <cell r="E661">
            <v>98.04</v>
          </cell>
          <cell r="H661">
            <v>88.46</v>
          </cell>
          <cell r="I661">
            <v>105.16</v>
          </cell>
          <cell r="BS661">
            <v>7.1199999999999903</v>
          </cell>
        </row>
        <row r="662">
          <cell r="B662">
            <v>41096</v>
          </cell>
          <cell r="D662">
            <v>98.51</v>
          </cell>
          <cell r="E662">
            <v>97.61</v>
          </cell>
          <cell r="H662">
            <v>89.65</v>
          </cell>
          <cell r="I662">
            <v>106.08</v>
          </cell>
          <cell r="BS662">
            <v>8.4699999999999989</v>
          </cell>
        </row>
        <row r="663">
          <cell r="B663">
            <v>41099</v>
          </cell>
          <cell r="D663">
            <v>99.96</v>
          </cell>
          <cell r="E663">
            <v>96.5</v>
          </cell>
          <cell r="H663">
            <v>89.39</v>
          </cell>
          <cell r="I663">
            <v>105.03</v>
          </cell>
          <cell r="BS663">
            <v>8.5300000000000011</v>
          </cell>
        </row>
        <row r="664">
          <cell r="B664">
            <v>41100</v>
          </cell>
          <cell r="D664">
            <v>99.13</v>
          </cell>
          <cell r="E664">
            <v>96.41</v>
          </cell>
          <cell r="H664">
            <v>88.45</v>
          </cell>
          <cell r="I664">
            <v>106.13</v>
          </cell>
          <cell r="BS664">
            <v>9.7199999999999989</v>
          </cell>
        </row>
        <row r="665">
          <cell r="B665">
            <v>41101</v>
          </cell>
          <cell r="D665">
            <v>99.165000000000006</v>
          </cell>
          <cell r="E665">
            <v>96.45</v>
          </cell>
          <cell r="H665">
            <v>89.56</v>
          </cell>
          <cell r="I665">
            <v>106.37</v>
          </cell>
          <cell r="BS665">
            <v>9.9200000000000017</v>
          </cell>
        </row>
        <row r="666">
          <cell r="B666">
            <v>41102</v>
          </cell>
          <cell r="D666">
            <v>99.57</v>
          </cell>
          <cell r="E666">
            <v>97.05</v>
          </cell>
          <cell r="H666">
            <v>90</v>
          </cell>
          <cell r="I666">
            <v>106.99</v>
          </cell>
          <cell r="BS666">
            <v>9.9399999999999977</v>
          </cell>
        </row>
        <row r="667">
          <cell r="B667">
            <v>41103</v>
          </cell>
          <cell r="D667">
            <v>102.4</v>
          </cell>
          <cell r="E667">
            <v>98.35</v>
          </cell>
          <cell r="H667">
            <v>91.5</v>
          </cell>
          <cell r="I667">
            <v>109.94</v>
          </cell>
          <cell r="BS667">
            <v>11.590000000000003</v>
          </cell>
        </row>
        <row r="668">
          <cell r="B668">
            <v>41106</v>
          </cell>
          <cell r="D668">
            <v>103.51</v>
          </cell>
          <cell r="E668">
            <v>98.79</v>
          </cell>
          <cell r="H668">
            <v>92.24</v>
          </cell>
          <cell r="I668">
            <v>110.78</v>
          </cell>
          <cell r="BS668">
            <v>11.989999999999995</v>
          </cell>
        </row>
        <row r="669">
          <cell r="B669">
            <v>41107</v>
          </cell>
          <cell r="D669">
            <v>104.035</v>
          </cell>
          <cell r="E669">
            <v>100.85</v>
          </cell>
          <cell r="H669">
            <v>95.1</v>
          </cell>
          <cell r="I669">
            <v>112.87</v>
          </cell>
          <cell r="BS669">
            <v>12.02000000000001</v>
          </cell>
        </row>
        <row r="670">
          <cell r="B670">
            <v>41108</v>
          </cell>
          <cell r="D670">
            <v>105.765</v>
          </cell>
          <cell r="E670">
            <v>100.94</v>
          </cell>
          <cell r="H670">
            <v>95.1</v>
          </cell>
          <cell r="I670">
            <v>112.68</v>
          </cell>
          <cell r="BS670">
            <v>11.740000000000009</v>
          </cell>
        </row>
        <row r="671">
          <cell r="B671">
            <v>41109</v>
          </cell>
          <cell r="D671">
            <v>107.81</v>
          </cell>
          <cell r="E671">
            <v>102.79</v>
          </cell>
          <cell r="H671">
            <v>96.27</v>
          </cell>
          <cell r="I671">
            <v>116.28</v>
          </cell>
          <cell r="BS671">
            <v>13.489999999999995</v>
          </cell>
        </row>
        <row r="672">
          <cell r="B672">
            <v>41110</v>
          </cell>
          <cell r="D672">
            <v>106.815</v>
          </cell>
          <cell r="E672">
            <v>103.46</v>
          </cell>
          <cell r="H672">
            <v>96.92</v>
          </cell>
          <cell r="I672">
            <v>117.45</v>
          </cell>
          <cell r="BS672">
            <v>13.990000000000009</v>
          </cell>
        </row>
        <row r="673">
          <cell r="B673">
            <v>41113</v>
          </cell>
          <cell r="D673">
            <v>103.85</v>
          </cell>
          <cell r="E673">
            <v>99.62</v>
          </cell>
          <cell r="H673">
            <v>93.09</v>
          </cell>
          <cell r="I673">
            <v>114.15</v>
          </cell>
          <cell r="BS673">
            <v>14.530000000000001</v>
          </cell>
        </row>
        <row r="674">
          <cell r="B674">
            <v>41114</v>
          </cell>
          <cell r="D674">
            <v>103.51</v>
          </cell>
          <cell r="E674">
            <v>100.41</v>
          </cell>
          <cell r="H674">
            <v>92.39</v>
          </cell>
          <cell r="I674">
            <v>114.2</v>
          </cell>
          <cell r="BS674">
            <v>13.790000000000006</v>
          </cell>
        </row>
        <row r="675">
          <cell r="B675">
            <v>41115</v>
          </cell>
          <cell r="D675">
            <v>102.45</v>
          </cell>
          <cell r="E675">
            <v>100.22</v>
          </cell>
          <cell r="H675">
            <v>91.73</v>
          </cell>
          <cell r="I675">
            <v>113.25</v>
          </cell>
          <cell r="BS675">
            <v>13.030000000000001</v>
          </cell>
        </row>
        <row r="676">
          <cell r="B676">
            <v>41116</v>
          </cell>
          <cell r="D676">
            <v>104.97499999999999</v>
          </cell>
          <cell r="E676">
            <v>100.5</v>
          </cell>
          <cell r="H676">
            <v>90.95</v>
          </cell>
          <cell r="I676">
            <v>113.02</v>
          </cell>
          <cell r="BS676">
            <v>12.519999999999996</v>
          </cell>
        </row>
        <row r="677">
          <cell r="B677">
            <v>41117</v>
          </cell>
          <cell r="D677">
            <v>106.11</v>
          </cell>
          <cell r="E677">
            <v>102.15</v>
          </cell>
          <cell r="H677">
            <v>91.34</v>
          </cell>
          <cell r="I677">
            <v>114.71</v>
          </cell>
          <cell r="BS677">
            <v>12.559999999999988</v>
          </cell>
        </row>
        <row r="678">
          <cell r="B678">
            <v>41120</v>
          </cell>
          <cell r="D678">
            <v>106.30500000000001</v>
          </cell>
          <cell r="E678">
            <v>102.39</v>
          </cell>
          <cell r="H678">
            <v>92.69</v>
          </cell>
          <cell r="I678">
            <v>115.47</v>
          </cell>
          <cell r="BS678">
            <v>13.079999999999998</v>
          </cell>
        </row>
        <row r="679">
          <cell r="B679">
            <v>41121</v>
          </cell>
          <cell r="D679">
            <v>105.765</v>
          </cell>
          <cell r="E679">
            <v>101.89</v>
          </cell>
          <cell r="H679">
            <v>93.47</v>
          </cell>
          <cell r="I679">
            <v>116.14</v>
          </cell>
          <cell r="BS679">
            <v>14.25</v>
          </cell>
        </row>
        <row r="680">
          <cell r="B680">
            <v>41122</v>
          </cell>
          <cell r="D680">
            <v>106.8</v>
          </cell>
          <cell r="E680">
            <v>101</v>
          </cell>
          <cell r="H680">
            <v>94.44</v>
          </cell>
          <cell r="I680">
            <v>116.4</v>
          </cell>
          <cell r="BS680">
            <v>15.400000000000006</v>
          </cell>
        </row>
        <row r="681">
          <cell r="B681">
            <v>41123</v>
          </cell>
          <cell r="D681">
            <v>107.645</v>
          </cell>
          <cell r="E681">
            <v>101.77</v>
          </cell>
          <cell r="H681">
            <v>97.22</v>
          </cell>
          <cell r="I681">
            <v>118.16</v>
          </cell>
          <cell r="BS681">
            <v>16.39</v>
          </cell>
        </row>
        <row r="682">
          <cell r="B682">
            <v>41124</v>
          </cell>
          <cell r="D682">
            <v>109.765</v>
          </cell>
          <cell r="E682">
            <v>102.46</v>
          </cell>
          <cell r="H682">
            <v>97.06</v>
          </cell>
          <cell r="I682">
            <v>119.19</v>
          </cell>
          <cell r="BS682">
            <v>16.730000000000004</v>
          </cell>
        </row>
        <row r="683">
          <cell r="B683">
            <v>41127</v>
          </cell>
          <cell r="D683">
            <v>109.85</v>
          </cell>
          <cell r="E683">
            <v>104.41</v>
          </cell>
          <cell r="H683">
            <v>98.04</v>
          </cell>
          <cell r="I683">
            <v>120.48</v>
          </cell>
          <cell r="BS683">
            <v>16.070000000000007</v>
          </cell>
        </row>
        <row r="684">
          <cell r="B684">
            <v>41128</v>
          </cell>
          <cell r="D684">
            <v>112.58</v>
          </cell>
          <cell r="E684">
            <v>106</v>
          </cell>
          <cell r="H684">
            <v>99.5</v>
          </cell>
          <cell r="I684">
            <v>122.18</v>
          </cell>
          <cell r="BS684">
            <v>16.180000000000007</v>
          </cell>
        </row>
        <row r="685">
          <cell r="B685">
            <v>41129</v>
          </cell>
          <cell r="D685">
            <v>113.81</v>
          </cell>
          <cell r="E685">
            <v>106.85</v>
          </cell>
          <cell r="H685">
            <v>100.45</v>
          </cell>
          <cell r="I685">
            <v>124.68</v>
          </cell>
          <cell r="BS685">
            <v>17.830000000000013</v>
          </cell>
        </row>
        <row r="686">
          <cell r="B686">
            <v>41130</v>
          </cell>
          <cell r="D686">
            <v>113.55</v>
          </cell>
          <cell r="E686" t="str">
            <v/>
          </cell>
          <cell r="H686">
            <v>0</v>
          </cell>
          <cell r="I686">
            <v>0</v>
          </cell>
          <cell r="BS686" t="e">
            <v>#N/A</v>
          </cell>
        </row>
        <row r="687">
          <cell r="B687">
            <v>41131</v>
          </cell>
          <cell r="D687">
            <v>112.965</v>
          </cell>
          <cell r="E687">
            <v>108.27</v>
          </cell>
          <cell r="H687">
            <v>102.67</v>
          </cell>
          <cell r="I687">
            <v>127.63</v>
          </cell>
          <cell r="BS687">
            <v>19.36</v>
          </cell>
        </row>
        <row r="688">
          <cell r="B688">
            <v>41134</v>
          </cell>
          <cell r="D688">
            <v>113.88500000000001</v>
          </cell>
          <cell r="E688">
            <v>108.59</v>
          </cell>
          <cell r="H688">
            <v>103.22</v>
          </cell>
          <cell r="I688">
            <v>128.4</v>
          </cell>
          <cell r="BS688">
            <v>19.810000000000002</v>
          </cell>
        </row>
        <row r="689">
          <cell r="B689">
            <v>41135</v>
          </cell>
          <cell r="D689">
            <v>113.765</v>
          </cell>
          <cell r="E689">
            <v>109.37</v>
          </cell>
          <cell r="H689">
            <v>101.69</v>
          </cell>
          <cell r="I689">
            <v>128.13999999999999</v>
          </cell>
          <cell r="BS689">
            <v>18.769999999999982</v>
          </cell>
        </row>
        <row r="690">
          <cell r="B690">
            <v>41136</v>
          </cell>
          <cell r="D690">
            <v>115.285</v>
          </cell>
          <cell r="E690">
            <v>109.3</v>
          </cell>
          <cell r="H690">
            <v>103.3</v>
          </cell>
          <cell r="I690">
            <v>126.14</v>
          </cell>
          <cell r="BS690">
            <v>16.840000000000003</v>
          </cell>
        </row>
        <row r="691">
          <cell r="B691">
            <v>41137</v>
          </cell>
          <cell r="D691">
            <v>115.995</v>
          </cell>
          <cell r="E691">
            <v>111.28</v>
          </cell>
          <cell r="H691">
            <v>104.57</v>
          </cell>
          <cell r="I691">
            <v>127.81</v>
          </cell>
          <cell r="BS691">
            <v>16.53</v>
          </cell>
        </row>
        <row r="692">
          <cell r="B692">
            <v>41138</v>
          </cell>
          <cell r="D692">
            <v>115.22499999999999</v>
          </cell>
          <cell r="E692">
            <v>111.05</v>
          </cell>
          <cell r="H692">
            <v>104.26</v>
          </cell>
          <cell r="I692">
            <v>127</v>
          </cell>
          <cell r="BS692">
            <v>15.950000000000003</v>
          </cell>
        </row>
        <row r="693">
          <cell r="B693">
            <v>41141</v>
          </cell>
          <cell r="D693">
            <v>115.12</v>
          </cell>
          <cell r="E693" t="str">
            <v/>
          </cell>
          <cell r="H693">
            <v>0</v>
          </cell>
          <cell r="I693">
            <v>0</v>
          </cell>
          <cell r="BS693" t="e">
            <v>#N/A</v>
          </cell>
        </row>
        <row r="694">
          <cell r="B694">
            <v>41142</v>
          </cell>
          <cell r="D694">
            <v>116.07</v>
          </cell>
          <cell r="E694">
            <v>111.65</v>
          </cell>
          <cell r="H694">
            <v>104.1</v>
          </cell>
          <cell r="I694">
            <v>126.51</v>
          </cell>
          <cell r="BS694">
            <v>14.86</v>
          </cell>
        </row>
        <row r="695">
          <cell r="B695">
            <v>41143</v>
          </cell>
          <cell r="D695">
            <v>115.86</v>
          </cell>
          <cell r="E695">
            <v>111.55</v>
          </cell>
          <cell r="H695">
            <v>103.87</v>
          </cell>
          <cell r="I695">
            <v>125.35</v>
          </cell>
          <cell r="BS695">
            <v>13.799999999999997</v>
          </cell>
        </row>
        <row r="696">
          <cell r="B696">
            <v>41144</v>
          </cell>
          <cell r="D696">
            <v>117.53</v>
          </cell>
          <cell r="E696">
            <v>113.29</v>
          </cell>
          <cell r="H696">
            <v>106.23</v>
          </cell>
          <cell r="I696">
            <v>126.88</v>
          </cell>
          <cell r="BS696">
            <v>13.589999999999989</v>
          </cell>
        </row>
        <row r="697">
          <cell r="B697">
            <v>41145</v>
          </cell>
          <cell r="D697">
            <v>115.97499999999999</v>
          </cell>
          <cell r="E697">
            <v>111.51</v>
          </cell>
          <cell r="H697">
            <v>106.84</v>
          </cell>
          <cell r="I697">
            <v>124.77</v>
          </cell>
          <cell r="BS697">
            <v>13.259999999999991</v>
          </cell>
        </row>
        <row r="698">
          <cell r="B698">
            <v>41148</v>
          </cell>
          <cell r="D698" t="str">
            <v/>
          </cell>
          <cell r="E698">
            <v>111.92</v>
          </cell>
          <cell r="H698">
            <v>108.07</v>
          </cell>
          <cell r="I698">
            <v>125.34</v>
          </cell>
          <cell r="BS698">
            <v>13.420000000000002</v>
          </cell>
        </row>
        <row r="699">
          <cell r="B699">
            <v>41149</v>
          </cell>
          <cell r="D699">
            <v>112.595</v>
          </cell>
          <cell r="E699">
            <v>109.99</v>
          </cell>
          <cell r="H699">
            <v>106.09</v>
          </cell>
          <cell r="I699">
            <v>122.98</v>
          </cell>
          <cell r="BS699">
            <v>12.990000000000009</v>
          </cell>
        </row>
        <row r="700">
          <cell r="B700">
            <v>41150</v>
          </cell>
          <cell r="D700">
            <v>112.575</v>
          </cell>
          <cell r="E700">
            <v>109.49</v>
          </cell>
          <cell r="H700">
            <v>104.76</v>
          </cell>
          <cell r="I700">
            <v>121.13</v>
          </cell>
          <cell r="BS700">
            <v>11.64</v>
          </cell>
        </row>
        <row r="701">
          <cell r="B701">
            <v>41151</v>
          </cell>
          <cell r="D701">
            <v>112.81</v>
          </cell>
          <cell r="E701">
            <v>110.25</v>
          </cell>
          <cell r="H701">
            <v>106.98</v>
          </cell>
          <cell r="I701">
            <v>120.93</v>
          </cell>
          <cell r="BS701">
            <v>10.680000000000007</v>
          </cell>
        </row>
        <row r="702">
          <cell r="B702">
            <v>41152</v>
          </cell>
          <cell r="D702">
            <v>114.4</v>
          </cell>
          <cell r="E702">
            <v>110.35</v>
          </cell>
          <cell r="H702">
            <v>107.32</v>
          </cell>
          <cell r="I702">
            <v>119.28</v>
          </cell>
          <cell r="BS702">
            <v>8.9300000000000068</v>
          </cell>
        </row>
        <row r="703">
          <cell r="B703">
            <v>41155</v>
          </cell>
          <cell r="D703">
            <v>115.33499999999999</v>
          </cell>
          <cell r="E703">
            <v>111.92</v>
          </cell>
          <cell r="H703">
            <v>108.97</v>
          </cell>
          <cell r="I703">
            <v>119.79</v>
          </cell>
          <cell r="BS703">
            <v>7.8700000000000045</v>
          </cell>
        </row>
        <row r="704">
          <cell r="B704">
            <v>41156</v>
          </cell>
          <cell r="D704">
            <v>114.64</v>
          </cell>
          <cell r="E704">
            <v>113.51</v>
          </cell>
          <cell r="H704">
            <v>110.52</v>
          </cell>
          <cell r="I704">
            <v>121.3</v>
          </cell>
          <cell r="BS704">
            <v>7.789999999999992</v>
          </cell>
        </row>
        <row r="705">
          <cell r="B705">
            <v>41157</v>
          </cell>
          <cell r="D705">
            <v>113.18</v>
          </cell>
          <cell r="E705">
            <v>111.5</v>
          </cell>
          <cell r="H705">
            <v>108.72</v>
          </cell>
          <cell r="I705">
            <v>118.7</v>
          </cell>
          <cell r="BS705">
            <v>7.2000000000000028</v>
          </cell>
        </row>
        <row r="706">
          <cell r="B706">
            <v>41158</v>
          </cell>
          <cell r="D706">
            <v>114.35</v>
          </cell>
          <cell r="E706">
            <v>112.05</v>
          </cell>
          <cell r="H706">
            <v>109.07</v>
          </cell>
          <cell r="I706">
            <v>120.24</v>
          </cell>
          <cell r="BS706">
            <v>8.1899999999999977</v>
          </cell>
        </row>
        <row r="707">
          <cell r="B707">
            <v>41159</v>
          </cell>
          <cell r="D707">
            <v>113.72499999999999</v>
          </cell>
          <cell r="E707">
            <v>111.81</v>
          </cell>
          <cell r="H707">
            <v>109.24</v>
          </cell>
          <cell r="I707">
            <v>122.39</v>
          </cell>
          <cell r="BS707">
            <v>10.579999999999998</v>
          </cell>
        </row>
        <row r="708">
          <cell r="B708">
            <v>41162</v>
          </cell>
          <cell r="D708">
            <v>114.04</v>
          </cell>
          <cell r="E708">
            <v>112.91</v>
          </cell>
          <cell r="H708">
            <v>110.27</v>
          </cell>
          <cell r="I708">
            <v>124.03</v>
          </cell>
          <cell r="BS708">
            <v>11.120000000000005</v>
          </cell>
        </row>
        <row r="709">
          <cell r="B709">
            <v>41163</v>
          </cell>
          <cell r="D709">
            <v>114.73</v>
          </cell>
          <cell r="E709">
            <v>113.1</v>
          </cell>
          <cell r="H709">
            <v>110.35</v>
          </cell>
          <cell r="I709">
            <v>124</v>
          </cell>
          <cell r="BS709">
            <v>10.900000000000006</v>
          </cell>
        </row>
        <row r="710">
          <cell r="B710">
            <v>41164</v>
          </cell>
          <cell r="D710">
            <v>115.43</v>
          </cell>
          <cell r="E710">
            <v>113.92</v>
          </cell>
          <cell r="H710">
            <v>110.57</v>
          </cell>
          <cell r="I710">
            <v>125.4</v>
          </cell>
          <cell r="BS710">
            <v>11.480000000000004</v>
          </cell>
        </row>
        <row r="711">
          <cell r="B711">
            <v>41165</v>
          </cell>
          <cell r="D711">
            <v>115.95</v>
          </cell>
          <cell r="E711">
            <v>113.7</v>
          </cell>
          <cell r="H711">
            <v>108.54</v>
          </cell>
          <cell r="I711">
            <v>124.71</v>
          </cell>
          <cell r="BS711">
            <v>11.009999999999991</v>
          </cell>
        </row>
        <row r="712">
          <cell r="B712">
            <v>41166</v>
          </cell>
          <cell r="D712">
            <v>117.15</v>
          </cell>
          <cell r="E712">
            <v>115.45</v>
          </cell>
          <cell r="H712">
            <v>109.69</v>
          </cell>
          <cell r="I712">
            <v>126.17</v>
          </cell>
          <cell r="BS712">
            <v>10.719999999999999</v>
          </cell>
        </row>
        <row r="713">
          <cell r="B713">
            <v>41169</v>
          </cell>
          <cell r="D713">
            <v>116.49</v>
          </cell>
          <cell r="E713">
            <v>114.75</v>
          </cell>
          <cell r="H713">
            <v>108.56</v>
          </cell>
          <cell r="I713">
            <v>125.03</v>
          </cell>
          <cell r="BS713">
            <v>10.280000000000001</v>
          </cell>
        </row>
        <row r="714">
          <cell r="B714">
            <v>41170</v>
          </cell>
          <cell r="D714">
            <v>113.125</v>
          </cell>
          <cell r="E714">
            <v>111.855</v>
          </cell>
          <cell r="H714">
            <v>104.92</v>
          </cell>
          <cell r="I714">
            <v>121.87</v>
          </cell>
          <cell r="BS714">
            <v>10.015000000000001</v>
          </cell>
        </row>
        <row r="715">
          <cell r="B715">
            <v>41171</v>
          </cell>
          <cell r="D715">
            <v>108.41500000000001</v>
          </cell>
          <cell r="E715">
            <v>110.8</v>
          </cell>
          <cell r="H715">
            <v>104.34</v>
          </cell>
          <cell r="I715">
            <v>121.13</v>
          </cell>
          <cell r="BS715">
            <v>10.329999999999998</v>
          </cell>
        </row>
        <row r="716">
          <cell r="B716">
            <v>41172</v>
          </cell>
          <cell r="D716">
            <v>108.995</v>
          </cell>
          <cell r="E716">
            <v>105.66</v>
          </cell>
          <cell r="H716">
            <v>99.51</v>
          </cell>
          <cell r="I716">
            <v>118.22</v>
          </cell>
          <cell r="BS716">
            <v>12.560000000000002</v>
          </cell>
        </row>
        <row r="717">
          <cell r="B717">
            <v>41173</v>
          </cell>
          <cell r="D717">
            <v>111.19</v>
          </cell>
          <cell r="E717">
            <v>108.25</v>
          </cell>
          <cell r="H717">
            <v>102.57</v>
          </cell>
          <cell r="I717">
            <v>120.65</v>
          </cell>
          <cell r="BS717">
            <v>12.400000000000006</v>
          </cell>
        </row>
        <row r="718">
          <cell r="B718">
            <v>41176</v>
          </cell>
          <cell r="D718">
            <v>108.88</v>
          </cell>
          <cell r="E718">
            <v>108.19499999999999</v>
          </cell>
          <cell r="H718">
            <v>103.07</v>
          </cell>
          <cell r="I718">
            <v>121.17</v>
          </cell>
          <cell r="BS718">
            <v>12.975000000000009</v>
          </cell>
        </row>
        <row r="719">
          <cell r="B719">
            <v>41177</v>
          </cell>
          <cell r="D719">
            <v>110.46</v>
          </cell>
          <cell r="E719">
            <v>108.6</v>
          </cell>
          <cell r="H719">
            <v>103.51</v>
          </cell>
          <cell r="I719">
            <v>121.54</v>
          </cell>
          <cell r="BS719">
            <v>12.940000000000012</v>
          </cell>
        </row>
        <row r="720">
          <cell r="B720">
            <v>41178</v>
          </cell>
          <cell r="D720">
            <v>108.83</v>
          </cell>
          <cell r="E720">
            <v>107.65</v>
          </cell>
          <cell r="H720">
            <v>103.29</v>
          </cell>
          <cell r="I720">
            <v>120.49</v>
          </cell>
          <cell r="BS720">
            <v>12.839999999999989</v>
          </cell>
        </row>
        <row r="721">
          <cell r="B721">
            <v>41179</v>
          </cell>
          <cell r="D721">
            <v>111.3</v>
          </cell>
          <cell r="E721">
            <v>108.1</v>
          </cell>
          <cell r="H721">
            <v>104.04</v>
          </cell>
          <cell r="I721">
            <v>122.81</v>
          </cell>
          <cell r="BS721">
            <v>14.710000000000008</v>
          </cell>
        </row>
        <row r="722">
          <cell r="B722">
            <v>41180</v>
          </cell>
          <cell r="D722">
            <v>111.03</v>
          </cell>
          <cell r="E722">
            <v>110.61</v>
          </cell>
          <cell r="H722">
            <v>106.37</v>
          </cell>
          <cell r="I722">
            <v>125.3</v>
          </cell>
          <cell r="BS722">
            <v>14.689999999999998</v>
          </cell>
        </row>
        <row r="723">
          <cell r="B723">
            <v>41183</v>
          </cell>
          <cell r="D723">
            <v>112.28</v>
          </cell>
          <cell r="E723">
            <v>109.26</v>
          </cell>
          <cell r="H723">
            <v>106.64</v>
          </cell>
          <cell r="I723">
            <v>124.47</v>
          </cell>
          <cell r="BS723">
            <v>15.209999999999994</v>
          </cell>
        </row>
        <row r="724">
          <cell r="B724">
            <v>41184</v>
          </cell>
          <cell r="D724">
            <v>112.375</v>
          </cell>
          <cell r="E724">
            <v>109.53</v>
          </cell>
          <cell r="H724">
            <v>105.58</v>
          </cell>
          <cell r="I724">
            <v>123.36</v>
          </cell>
          <cell r="BS724">
            <v>13.829999999999998</v>
          </cell>
        </row>
        <row r="725">
          <cell r="B725">
            <v>41185</v>
          </cell>
          <cell r="D725">
            <v>109.325</v>
          </cell>
          <cell r="E725">
            <v>108.23</v>
          </cell>
          <cell r="H725">
            <v>103.28</v>
          </cell>
          <cell r="I725">
            <v>120.7</v>
          </cell>
          <cell r="BS725">
            <v>12.469999999999999</v>
          </cell>
        </row>
        <row r="726">
          <cell r="B726">
            <v>41186</v>
          </cell>
          <cell r="D726">
            <v>110.77</v>
          </cell>
          <cell r="E726">
            <v>106.34</v>
          </cell>
          <cell r="H726">
            <v>101.34</v>
          </cell>
          <cell r="I726">
            <v>119.85</v>
          </cell>
          <cell r="BS726">
            <v>13.509999999999991</v>
          </cell>
        </row>
        <row r="727">
          <cell r="B727">
            <v>41187</v>
          </cell>
          <cell r="D727">
            <v>112.27500000000001</v>
          </cell>
          <cell r="E727">
            <v>109.09</v>
          </cell>
          <cell r="H727">
            <v>104.7</v>
          </cell>
          <cell r="I727">
            <v>124.64</v>
          </cell>
          <cell r="BS727">
            <v>15.549999999999997</v>
          </cell>
        </row>
        <row r="728">
          <cell r="B728">
            <v>41190</v>
          </cell>
          <cell r="D728">
            <v>112.49</v>
          </cell>
          <cell r="E728">
            <v>107.6</v>
          </cell>
          <cell r="H728">
            <v>104.26</v>
          </cell>
          <cell r="I728">
            <v>124.34</v>
          </cell>
          <cell r="BS728">
            <v>16.740000000000009</v>
          </cell>
        </row>
        <row r="729">
          <cell r="B729">
            <v>41191</v>
          </cell>
          <cell r="D729">
            <v>114.515</v>
          </cell>
          <cell r="E729">
            <v>108.9</v>
          </cell>
          <cell r="H729">
            <v>105.09</v>
          </cell>
          <cell r="I729">
            <v>124.85</v>
          </cell>
          <cell r="BS729">
            <v>15.949999999999989</v>
          </cell>
        </row>
        <row r="730">
          <cell r="B730">
            <v>41192</v>
          </cell>
          <cell r="D730">
            <v>115.94</v>
          </cell>
          <cell r="E730">
            <v>110.6</v>
          </cell>
          <cell r="H730">
            <v>107.31</v>
          </cell>
          <cell r="I730">
            <v>126.4</v>
          </cell>
          <cell r="BS730">
            <v>15.800000000000011</v>
          </cell>
        </row>
        <row r="731">
          <cell r="B731">
            <v>41193</v>
          </cell>
          <cell r="D731">
            <v>116.01</v>
          </cell>
          <cell r="E731">
            <v>111</v>
          </cell>
          <cell r="H731">
            <v>107.43</v>
          </cell>
          <cell r="I731">
            <v>126.45</v>
          </cell>
          <cell r="BS731">
            <v>15.450000000000003</v>
          </cell>
        </row>
        <row r="732">
          <cell r="B732">
            <v>41194</v>
          </cell>
          <cell r="D732">
            <v>115.065</v>
          </cell>
          <cell r="E732">
            <v>111.18</v>
          </cell>
          <cell r="H732">
            <v>107.02</v>
          </cell>
          <cell r="I732">
            <v>125.93</v>
          </cell>
          <cell r="BS732">
            <v>14.75</v>
          </cell>
        </row>
        <row r="733">
          <cell r="B733">
            <v>41197</v>
          </cell>
          <cell r="D733">
            <v>114.715</v>
          </cell>
          <cell r="E733">
            <v>110.59</v>
          </cell>
          <cell r="H733">
            <v>105.86</v>
          </cell>
          <cell r="I733">
            <v>124.84</v>
          </cell>
          <cell r="BS733">
            <v>14.25</v>
          </cell>
        </row>
        <row r="734">
          <cell r="B734">
            <v>41198</v>
          </cell>
          <cell r="D734">
            <v>114.80500000000001</v>
          </cell>
          <cell r="E734">
            <v>111.35</v>
          </cell>
          <cell r="H734">
            <v>107.46</v>
          </cell>
          <cell r="I734">
            <v>124.42</v>
          </cell>
          <cell r="BS734">
            <v>13.070000000000007</v>
          </cell>
        </row>
        <row r="735">
          <cell r="B735">
            <v>41199</v>
          </cell>
          <cell r="D735">
            <v>113.605</v>
          </cell>
          <cell r="E735">
            <v>110.95</v>
          </cell>
          <cell r="H735">
            <v>107.46</v>
          </cell>
          <cell r="I735">
            <v>122.13</v>
          </cell>
          <cell r="BS735">
            <v>11.179999999999993</v>
          </cell>
        </row>
        <row r="736">
          <cell r="B736">
            <v>41200</v>
          </cell>
          <cell r="D736">
            <v>112.22499999999999</v>
          </cell>
          <cell r="E736">
            <v>110.8</v>
          </cell>
          <cell r="H736">
            <v>105.93</v>
          </cell>
          <cell r="I736">
            <v>120.92</v>
          </cell>
          <cell r="BS736">
            <v>10.120000000000005</v>
          </cell>
        </row>
        <row r="737">
          <cell r="B737">
            <v>41201</v>
          </cell>
          <cell r="D737">
            <v>111.61499999999999</v>
          </cell>
          <cell r="E737">
            <v>110.15</v>
          </cell>
          <cell r="H737">
            <v>106.35</v>
          </cell>
          <cell r="I737">
            <v>120.38</v>
          </cell>
          <cell r="BS737">
            <v>10.22999999999999</v>
          </cell>
        </row>
        <row r="738">
          <cell r="B738">
            <v>41204</v>
          </cell>
          <cell r="D738">
            <v>109.465</v>
          </cell>
          <cell r="E738">
            <v>108.05</v>
          </cell>
          <cell r="H738">
            <v>103.38</v>
          </cell>
          <cell r="I738">
            <v>116.48</v>
          </cell>
          <cell r="BS738">
            <v>8.4300000000000068</v>
          </cell>
        </row>
        <row r="739">
          <cell r="B739">
            <v>41205</v>
          </cell>
          <cell r="D739">
            <v>107.32</v>
          </cell>
          <cell r="E739">
            <v>107.25</v>
          </cell>
          <cell r="H739">
            <v>102.27</v>
          </cell>
          <cell r="I739">
            <v>114.01</v>
          </cell>
          <cell r="BS739">
            <v>6.7600000000000051</v>
          </cell>
        </row>
        <row r="740">
          <cell r="B740">
            <v>41206</v>
          </cell>
          <cell r="D740">
            <v>107.49</v>
          </cell>
          <cell r="E740">
            <v>106.97</v>
          </cell>
          <cell r="H740">
            <v>102.24</v>
          </cell>
          <cell r="I740">
            <v>113.19</v>
          </cell>
          <cell r="BS740">
            <v>6.2199999999999989</v>
          </cell>
        </row>
        <row r="741">
          <cell r="B741">
            <v>41207</v>
          </cell>
          <cell r="D741">
            <v>107.495</v>
          </cell>
          <cell r="E741">
            <v>107.2</v>
          </cell>
          <cell r="H741">
            <v>102.21</v>
          </cell>
          <cell r="I741">
            <v>111.77</v>
          </cell>
          <cell r="BS741">
            <v>4.5699999999999932</v>
          </cell>
        </row>
        <row r="742">
          <cell r="B742">
            <v>41208</v>
          </cell>
          <cell r="D742">
            <v>108.845</v>
          </cell>
          <cell r="E742" t="str">
            <v/>
          </cell>
          <cell r="H742">
            <v>0</v>
          </cell>
          <cell r="I742">
            <v>0</v>
          </cell>
          <cell r="BS742" t="e">
            <v>#N/A</v>
          </cell>
        </row>
        <row r="743">
          <cell r="B743">
            <v>41211</v>
          </cell>
          <cell r="D743">
            <v>109.265</v>
          </cell>
          <cell r="E743">
            <v>106.35</v>
          </cell>
          <cell r="H743">
            <v>103.63</v>
          </cell>
          <cell r="I743">
            <v>113.05</v>
          </cell>
          <cell r="BS743">
            <v>6.7000000000000028</v>
          </cell>
        </row>
        <row r="744">
          <cell r="B744">
            <v>41212</v>
          </cell>
          <cell r="D744">
            <v>109.26</v>
          </cell>
          <cell r="E744">
            <v>106.88</v>
          </cell>
          <cell r="H744">
            <v>104.42</v>
          </cell>
          <cell r="I744">
            <v>113.7</v>
          </cell>
          <cell r="BS744">
            <v>6.8200000000000074</v>
          </cell>
        </row>
        <row r="745">
          <cell r="B745">
            <v>41213</v>
          </cell>
          <cell r="D745">
            <v>109.72</v>
          </cell>
          <cell r="E745">
            <v>106.88</v>
          </cell>
          <cell r="H745">
            <v>104.15</v>
          </cell>
          <cell r="I745">
            <v>113.46</v>
          </cell>
          <cell r="BS745">
            <v>6.5799999999999983</v>
          </cell>
        </row>
        <row r="746">
          <cell r="B746">
            <v>41214</v>
          </cell>
          <cell r="D746">
            <v>109.05</v>
          </cell>
          <cell r="E746">
            <v>106.8</v>
          </cell>
          <cell r="H746">
            <v>104.55</v>
          </cell>
          <cell r="I746">
            <v>112.78</v>
          </cell>
          <cell r="BS746">
            <v>5.980000000000004</v>
          </cell>
        </row>
        <row r="747">
          <cell r="B747">
            <v>41215</v>
          </cell>
          <cell r="D747">
            <v>106.80500000000001</v>
          </cell>
          <cell r="E747">
            <v>106.05</v>
          </cell>
          <cell r="H747">
            <v>104.53</v>
          </cell>
          <cell r="I747">
            <v>112.44</v>
          </cell>
          <cell r="BS747">
            <v>6.3900000000000006</v>
          </cell>
        </row>
        <row r="748">
          <cell r="B748">
            <v>41218</v>
          </cell>
          <cell r="D748">
            <v>106.045</v>
          </cell>
          <cell r="E748">
            <v>103.35</v>
          </cell>
          <cell r="H748">
            <v>100.87</v>
          </cell>
          <cell r="I748">
            <v>110.2</v>
          </cell>
          <cell r="BS748">
            <v>6.8500000000000085</v>
          </cell>
        </row>
        <row r="749">
          <cell r="B749">
            <v>41219</v>
          </cell>
          <cell r="D749">
            <v>109.425</v>
          </cell>
          <cell r="E749">
            <v>105.1</v>
          </cell>
          <cell r="H749">
            <v>102.24</v>
          </cell>
          <cell r="I749">
            <v>113.3</v>
          </cell>
          <cell r="BS749">
            <v>8.2000000000000028</v>
          </cell>
        </row>
        <row r="750">
          <cell r="B750">
            <v>41220</v>
          </cell>
          <cell r="D750">
            <v>108.455</v>
          </cell>
          <cell r="E750">
            <v>108.32</v>
          </cell>
          <cell r="H750">
            <v>104.79</v>
          </cell>
          <cell r="I750">
            <v>116.67</v>
          </cell>
          <cell r="BS750">
            <v>8.3500000000000085</v>
          </cell>
        </row>
        <row r="751">
          <cell r="B751">
            <v>41221</v>
          </cell>
          <cell r="D751">
            <v>107.33499999999999</v>
          </cell>
          <cell r="E751">
            <v>104.78</v>
          </cell>
          <cell r="H751">
            <v>101.13</v>
          </cell>
          <cell r="I751">
            <v>113.12</v>
          </cell>
          <cell r="BS751">
            <v>8.3400000000000034</v>
          </cell>
        </row>
        <row r="752">
          <cell r="B752">
            <v>41222</v>
          </cell>
          <cell r="D752">
            <v>108.735</v>
          </cell>
          <cell r="E752">
            <v>104.86</v>
          </cell>
          <cell r="H752">
            <v>101.35</v>
          </cell>
          <cell r="I752">
            <v>113.16</v>
          </cell>
          <cell r="BS752">
            <v>8.2999999999999972</v>
          </cell>
        </row>
        <row r="753">
          <cell r="B753">
            <v>41225</v>
          </cell>
          <cell r="D753">
            <v>110.27</v>
          </cell>
          <cell r="E753">
            <v>106.4</v>
          </cell>
          <cell r="H753">
            <v>103.82</v>
          </cell>
          <cell r="I753">
            <v>116.14</v>
          </cell>
          <cell r="BS753">
            <v>9.7399999999999949</v>
          </cell>
        </row>
        <row r="754">
          <cell r="B754">
            <v>41226</v>
          </cell>
          <cell r="D754">
            <v>107.855</v>
          </cell>
          <cell r="E754" t="str">
            <v/>
          </cell>
          <cell r="H754">
            <v>0</v>
          </cell>
          <cell r="I754">
            <v>0</v>
          </cell>
          <cell r="BS754" t="e">
            <v>#N/A</v>
          </cell>
        </row>
        <row r="755">
          <cell r="B755">
            <v>41227</v>
          </cell>
          <cell r="D755">
            <v>108.56</v>
          </cell>
          <cell r="E755">
            <v>105.9</v>
          </cell>
          <cell r="H755">
            <v>102.72</v>
          </cell>
          <cell r="I755">
            <v>115.97</v>
          </cell>
          <cell r="BS755">
            <v>10.069999999999993</v>
          </cell>
        </row>
        <row r="756">
          <cell r="B756">
            <v>41228</v>
          </cell>
          <cell r="D756">
            <v>109.105</v>
          </cell>
          <cell r="E756">
            <v>107.36</v>
          </cell>
          <cell r="H756">
            <v>104.05</v>
          </cell>
          <cell r="I756">
            <v>118.63</v>
          </cell>
          <cell r="BS756">
            <v>11.269999999999996</v>
          </cell>
        </row>
        <row r="757">
          <cell r="B757">
            <v>41229</v>
          </cell>
          <cell r="D757">
            <v>108.16</v>
          </cell>
          <cell r="E757">
            <v>107.25</v>
          </cell>
          <cell r="H757">
            <v>102.96</v>
          </cell>
          <cell r="I757">
            <v>118.16</v>
          </cell>
          <cell r="BS757">
            <v>10.909999999999997</v>
          </cell>
        </row>
        <row r="758">
          <cell r="B758">
            <v>41232</v>
          </cell>
          <cell r="D758">
            <v>111.215</v>
          </cell>
          <cell r="E758">
            <v>108.36</v>
          </cell>
          <cell r="H758">
            <v>103.3</v>
          </cell>
          <cell r="I758">
            <v>119.74</v>
          </cell>
          <cell r="BS758">
            <v>11.379999999999995</v>
          </cell>
        </row>
        <row r="759">
          <cell r="B759">
            <v>41233</v>
          </cell>
          <cell r="D759">
            <v>109.94</v>
          </cell>
          <cell r="E759">
            <v>109.5</v>
          </cell>
          <cell r="H759">
            <v>103.14</v>
          </cell>
          <cell r="I759">
            <v>120.48</v>
          </cell>
          <cell r="BS759">
            <v>10.980000000000004</v>
          </cell>
        </row>
        <row r="760">
          <cell r="B760">
            <v>41234</v>
          </cell>
          <cell r="D760">
            <v>110.3</v>
          </cell>
          <cell r="E760">
            <v>108.55</v>
          </cell>
          <cell r="H760">
            <v>102.23</v>
          </cell>
          <cell r="I760">
            <v>118.07</v>
          </cell>
          <cell r="BS760">
            <v>9.519999999999996</v>
          </cell>
        </row>
        <row r="761">
          <cell r="B761">
            <v>41235</v>
          </cell>
          <cell r="D761">
            <v>110.065</v>
          </cell>
          <cell r="E761">
            <v>108.75</v>
          </cell>
          <cell r="H761">
            <v>101.1</v>
          </cell>
          <cell r="I761">
            <v>119.18</v>
          </cell>
          <cell r="BS761">
            <v>10.430000000000007</v>
          </cell>
        </row>
        <row r="762">
          <cell r="B762">
            <v>41236</v>
          </cell>
          <cell r="D762">
            <v>110.51</v>
          </cell>
          <cell r="E762">
            <v>108.75</v>
          </cell>
          <cell r="H762">
            <v>101.26</v>
          </cell>
          <cell r="I762">
            <v>119.33</v>
          </cell>
          <cell r="BS762">
            <v>10.579999999999998</v>
          </cell>
        </row>
        <row r="763">
          <cell r="B763">
            <v>41239</v>
          </cell>
          <cell r="D763">
            <v>109.88500000000001</v>
          </cell>
          <cell r="E763">
            <v>109.35</v>
          </cell>
          <cell r="H763">
            <v>101.82</v>
          </cell>
          <cell r="I763">
            <v>118.77</v>
          </cell>
          <cell r="BS763">
            <v>9.4200000000000017</v>
          </cell>
        </row>
        <row r="764">
          <cell r="B764">
            <v>41240</v>
          </cell>
          <cell r="D764">
            <v>109.35</v>
          </cell>
          <cell r="E764">
            <v>109.05</v>
          </cell>
          <cell r="H764">
            <v>102.54</v>
          </cell>
          <cell r="I764">
            <v>117.7</v>
          </cell>
          <cell r="BS764">
            <v>8.6500000000000057</v>
          </cell>
        </row>
        <row r="765">
          <cell r="B765">
            <v>41241</v>
          </cell>
          <cell r="D765">
            <v>108.35</v>
          </cell>
          <cell r="E765">
            <v>107.7</v>
          </cell>
          <cell r="H765">
            <v>101.74</v>
          </cell>
          <cell r="I765">
            <v>117.12</v>
          </cell>
          <cell r="BS765">
            <v>9.4200000000000017</v>
          </cell>
        </row>
        <row r="766">
          <cell r="B766">
            <v>41242</v>
          </cell>
          <cell r="D766">
            <v>110.375</v>
          </cell>
          <cell r="E766">
            <v>107.25</v>
          </cell>
          <cell r="H766">
            <v>102.41</v>
          </cell>
          <cell r="I766">
            <v>117.08</v>
          </cell>
          <cell r="BS766">
            <v>9.8299999999999983</v>
          </cell>
        </row>
        <row r="767">
          <cell r="B767">
            <v>41243</v>
          </cell>
          <cell r="D767">
            <v>110.6</v>
          </cell>
          <cell r="E767">
            <v>109</v>
          </cell>
          <cell r="H767">
            <v>102.91</v>
          </cell>
          <cell r="I767">
            <v>117.87</v>
          </cell>
          <cell r="BS767">
            <v>8.8700000000000045</v>
          </cell>
        </row>
        <row r="768">
          <cell r="B768">
            <v>41246</v>
          </cell>
          <cell r="D768">
            <v>111.33499999999999</v>
          </cell>
          <cell r="E768">
            <v>108.27</v>
          </cell>
          <cell r="H768">
            <v>104.53</v>
          </cell>
          <cell r="I768">
            <v>118.08</v>
          </cell>
          <cell r="BS768">
            <v>9.8100000000000023</v>
          </cell>
        </row>
        <row r="769">
          <cell r="B769">
            <v>41247</v>
          </cell>
          <cell r="D769">
            <v>110.105</v>
          </cell>
          <cell r="E769">
            <v>107.91</v>
          </cell>
          <cell r="H769">
            <v>103.89</v>
          </cell>
          <cell r="I769">
            <v>117.02</v>
          </cell>
          <cell r="BS769">
            <v>9.11</v>
          </cell>
        </row>
        <row r="770">
          <cell r="B770">
            <v>41248</v>
          </cell>
          <cell r="D770">
            <v>109.36</v>
          </cell>
          <cell r="E770">
            <v>107.41</v>
          </cell>
          <cell r="H770">
            <v>102.28</v>
          </cell>
          <cell r="I770">
            <v>115.18</v>
          </cell>
          <cell r="BS770">
            <v>7.7700000000000102</v>
          </cell>
        </row>
        <row r="771">
          <cell r="B771">
            <v>41249</v>
          </cell>
          <cell r="D771">
            <v>107.39</v>
          </cell>
          <cell r="E771">
            <v>106.01</v>
          </cell>
          <cell r="H771">
            <v>102.23</v>
          </cell>
          <cell r="I771">
            <v>112.88</v>
          </cell>
          <cell r="BS771">
            <v>6.8699999999999903</v>
          </cell>
        </row>
        <row r="772">
          <cell r="B772">
            <v>41250</v>
          </cell>
          <cell r="D772">
            <v>107.175</v>
          </cell>
          <cell r="E772">
            <v>104.63</v>
          </cell>
          <cell r="H772">
            <v>101.65</v>
          </cell>
          <cell r="I772">
            <v>111.96</v>
          </cell>
          <cell r="BS772">
            <v>7.3299999999999983</v>
          </cell>
        </row>
        <row r="773">
          <cell r="B773">
            <v>41253</v>
          </cell>
          <cell r="D773">
            <v>108.21</v>
          </cell>
          <cell r="E773">
            <v>104.57</v>
          </cell>
          <cell r="H773">
            <v>102.49</v>
          </cell>
          <cell r="I773">
            <v>113.59</v>
          </cell>
          <cell r="BS773">
            <v>9.0200000000000102</v>
          </cell>
        </row>
        <row r="774">
          <cell r="B774">
            <v>41254</v>
          </cell>
          <cell r="D774">
            <v>107.605</v>
          </cell>
          <cell r="E774">
            <v>104.21</v>
          </cell>
          <cell r="H774">
            <v>101.93</v>
          </cell>
          <cell r="I774">
            <v>113.72</v>
          </cell>
          <cell r="BS774">
            <v>9.5100000000000051</v>
          </cell>
        </row>
        <row r="775">
          <cell r="B775">
            <v>41255</v>
          </cell>
          <cell r="D775">
            <v>109.79</v>
          </cell>
          <cell r="E775">
            <v>104.81</v>
          </cell>
          <cell r="H775">
            <v>102.03</v>
          </cell>
          <cell r="I775">
            <v>114.01</v>
          </cell>
          <cell r="BS775">
            <v>9.2000000000000028</v>
          </cell>
        </row>
        <row r="776">
          <cell r="B776">
            <v>41256</v>
          </cell>
          <cell r="D776">
            <v>109.52500000000001</v>
          </cell>
          <cell r="E776">
            <v>105.67</v>
          </cell>
          <cell r="H776">
            <v>101.03</v>
          </cell>
          <cell r="I776">
            <v>114.83</v>
          </cell>
          <cell r="BS776">
            <v>9.1599999999999966</v>
          </cell>
        </row>
        <row r="777">
          <cell r="B777">
            <v>41257</v>
          </cell>
          <cell r="D777">
            <v>109.155</v>
          </cell>
          <cell r="E777">
            <v>105.09</v>
          </cell>
          <cell r="H777">
            <v>101.63</v>
          </cell>
          <cell r="I777">
            <v>113.07</v>
          </cell>
          <cell r="BS777">
            <v>7.9799999999999898</v>
          </cell>
        </row>
        <row r="778">
          <cell r="B778">
            <v>41260</v>
          </cell>
          <cell r="D778">
            <v>109.645</v>
          </cell>
          <cell r="E778">
            <v>105.71</v>
          </cell>
          <cell r="H778">
            <v>102.73</v>
          </cell>
          <cell r="I778">
            <v>114.81</v>
          </cell>
          <cell r="BS778">
            <v>9.1000000000000085</v>
          </cell>
        </row>
        <row r="779">
          <cell r="B779">
            <v>41261</v>
          </cell>
          <cell r="D779">
            <v>110.21</v>
          </cell>
          <cell r="E779">
            <v>105.76</v>
          </cell>
          <cell r="H779">
            <v>103.38</v>
          </cell>
          <cell r="I779">
            <v>115.31</v>
          </cell>
          <cell r="BS779">
            <v>9.5499999999999972</v>
          </cell>
        </row>
        <row r="780">
          <cell r="B780">
            <v>41262</v>
          </cell>
          <cell r="D780">
            <v>111.1</v>
          </cell>
          <cell r="E780">
            <v>106.31</v>
          </cell>
          <cell r="H780">
            <v>103.42</v>
          </cell>
          <cell r="I780">
            <v>115.71</v>
          </cell>
          <cell r="BS780">
            <v>9.3999999999999915</v>
          </cell>
        </row>
        <row r="781">
          <cell r="B781">
            <v>41263</v>
          </cell>
          <cell r="D781">
            <v>110.485</v>
          </cell>
          <cell r="E781">
            <v>106.87</v>
          </cell>
          <cell r="H781">
            <v>103.92</v>
          </cell>
          <cell r="I781">
            <v>116.53</v>
          </cell>
          <cell r="BS781">
            <v>9.6599999999999966</v>
          </cell>
        </row>
        <row r="782">
          <cell r="B782">
            <v>41264</v>
          </cell>
          <cell r="D782">
            <v>108.93</v>
          </cell>
          <cell r="E782">
            <v>106.8</v>
          </cell>
          <cell r="H782">
            <v>103.55</v>
          </cell>
          <cell r="I782">
            <v>116.79</v>
          </cell>
          <cell r="BS782">
            <v>9.9900000000000091</v>
          </cell>
        </row>
        <row r="783">
          <cell r="B783">
            <v>41267</v>
          </cell>
          <cell r="D783">
            <v>108.08</v>
          </cell>
          <cell r="E783">
            <v>106</v>
          </cell>
          <cell r="H783">
            <v>103.58</v>
          </cell>
          <cell r="I783">
            <v>116.77</v>
          </cell>
          <cell r="BS783">
            <v>10.769999999999996</v>
          </cell>
        </row>
        <row r="784">
          <cell r="B784">
            <v>41268</v>
          </cell>
          <cell r="D784" t="str">
            <v/>
          </cell>
          <cell r="E784" t="str">
            <v/>
          </cell>
          <cell r="H784">
            <v>0</v>
          </cell>
          <cell r="I784">
            <v>0</v>
          </cell>
          <cell r="BS784" t="e">
            <v>#N/A</v>
          </cell>
        </row>
        <row r="785">
          <cell r="B785">
            <v>41269</v>
          </cell>
          <cell r="D785" t="str">
            <v/>
          </cell>
          <cell r="E785">
            <v>106.86</v>
          </cell>
          <cell r="H785">
            <v>104.85</v>
          </cell>
          <cell r="I785">
            <v>117.55</v>
          </cell>
          <cell r="BS785">
            <v>10.689999999999998</v>
          </cell>
        </row>
        <row r="786">
          <cell r="B786">
            <v>41270</v>
          </cell>
          <cell r="D786">
            <v>109.92</v>
          </cell>
          <cell r="E786">
            <v>108.15</v>
          </cell>
          <cell r="H786">
            <v>106.47</v>
          </cell>
          <cell r="I786">
            <v>119.73</v>
          </cell>
          <cell r="BS786">
            <v>11.579999999999998</v>
          </cell>
        </row>
        <row r="787">
          <cell r="B787">
            <v>41271</v>
          </cell>
          <cell r="D787">
            <v>109.69499999999999</v>
          </cell>
          <cell r="E787">
            <v>108.01</v>
          </cell>
          <cell r="H787">
            <v>105.01</v>
          </cell>
          <cell r="I787">
            <v>120.18</v>
          </cell>
          <cell r="BS787">
            <v>12.170000000000002</v>
          </cell>
        </row>
        <row r="788">
          <cell r="B788">
            <v>41274</v>
          </cell>
          <cell r="D788">
            <v>109.985</v>
          </cell>
          <cell r="E788">
            <v>107.75</v>
          </cell>
          <cell r="H788">
            <v>103.68</v>
          </cell>
          <cell r="I788">
            <v>120.17</v>
          </cell>
          <cell r="BS788">
            <v>12.420000000000002</v>
          </cell>
        </row>
        <row r="789">
          <cell r="B789">
            <v>41275</v>
          </cell>
          <cell r="D789" t="str">
            <v/>
          </cell>
          <cell r="E789" t="str">
            <v/>
          </cell>
          <cell r="H789">
            <v>0</v>
          </cell>
          <cell r="I789">
            <v>0</v>
          </cell>
          <cell r="BS789" t="e">
            <v>#N/A</v>
          </cell>
        </row>
        <row r="790">
          <cell r="B790">
            <v>41276</v>
          </cell>
          <cell r="D790">
            <v>113.41500000000001</v>
          </cell>
          <cell r="E790">
            <v>107.51</v>
          </cell>
          <cell r="H790">
            <v>105.69</v>
          </cell>
          <cell r="I790">
            <v>120.92</v>
          </cell>
          <cell r="BS790">
            <v>13.409999999999997</v>
          </cell>
        </row>
        <row r="791">
          <cell r="B791">
            <v>41277</v>
          </cell>
          <cell r="D791">
            <v>113.83499999999999</v>
          </cell>
          <cell r="E791">
            <v>107.71</v>
          </cell>
          <cell r="H791">
            <v>105.38</v>
          </cell>
          <cell r="I791">
            <v>120.79</v>
          </cell>
          <cell r="BS791">
            <v>13.080000000000013</v>
          </cell>
        </row>
        <row r="792">
          <cell r="B792">
            <v>41278</v>
          </cell>
          <cell r="D792">
            <v>112.87</v>
          </cell>
          <cell r="E792">
            <v>107.45</v>
          </cell>
          <cell r="H792">
            <v>104.33</v>
          </cell>
          <cell r="I792">
            <v>119.17</v>
          </cell>
          <cell r="BS792">
            <v>11.719999999999999</v>
          </cell>
        </row>
        <row r="793">
          <cell r="B793">
            <v>41281</v>
          </cell>
          <cell r="D793">
            <v>112.565</v>
          </cell>
          <cell r="E793">
            <v>106.6</v>
          </cell>
          <cell r="H793">
            <v>104.05</v>
          </cell>
          <cell r="I793">
            <v>117.99</v>
          </cell>
          <cell r="BS793">
            <v>11.39</v>
          </cell>
        </row>
        <row r="794">
          <cell r="B794">
            <v>41282</v>
          </cell>
          <cell r="D794">
            <v>113.005</v>
          </cell>
          <cell r="E794">
            <v>107.29</v>
          </cell>
          <cell r="H794">
            <v>104.68</v>
          </cell>
          <cell r="I794">
            <v>119.14</v>
          </cell>
          <cell r="BS794">
            <v>11.849999999999994</v>
          </cell>
        </row>
        <row r="795">
          <cell r="B795">
            <v>41283</v>
          </cell>
          <cell r="D795">
            <v>112.87</v>
          </cell>
          <cell r="E795">
            <v>108.02</v>
          </cell>
          <cell r="H795">
            <v>106.07</v>
          </cell>
          <cell r="I795">
            <v>119.77</v>
          </cell>
          <cell r="BS795">
            <v>11.75</v>
          </cell>
        </row>
        <row r="796">
          <cell r="B796">
            <v>41284</v>
          </cell>
          <cell r="D796">
            <v>113.265</v>
          </cell>
          <cell r="E796">
            <v>108.1</v>
          </cell>
          <cell r="H796">
            <v>105.85</v>
          </cell>
          <cell r="I796">
            <v>119.43</v>
          </cell>
          <cell r="BS796">
            <v>11.330000000000013</v>
          </cell>
        </row>
        <row r="797">
          <cell r="B797">
            <v>41285</v>
          </cell>
          <cell r="D797">
            <v>110.31</v>
          </cell>
          <cell r="E797">
            <v>107.84</v>
          </cell>
          <cell r="H797">
            <v>104.5</v>
          </cell>
          <cell r="I797">
            <v>118.35</v>
          </cell>
          <cell r="BS797">
            <v>10.509999999999991</v>
          </cell>
        </row>
        <row r="798">
          <cell r="B798">
            <v>41288</v>
          </cell>
          <cell r="D798">
            <v>111.24</v>
          </cell>
          <cell r="E798">
            <v>106.85</v>
          </cell>
          <cell r="H798">
            <v>102.33</v>
          </cell>
          <cell r="I798">
            <v>116.35</v>
          </cell>
          <cell r="BS798">
            <v>9.5</v>
          </cell>
        </row>
        <row r="799">
          <cell r="B799">
            <v>41289</v>
          </cell>
          <cell r="D799">
            <v>111.69</v>
          </cell>
          <cell r="E799">
            <v>107.4</v>
          </cell>
          <cell r="H799">
            <v>104.55</v>
          </cell>
          <cell r="I799">
            <v>117.89</v>
          </cell>
          <cell r="BS799">
            <v>10.489999999999995</v>
          </cell>
        </row>
        <row r="800">
          <cell r="B800">
            <v>41290</v>
          </cell>
          <cell r="D800">
            <v>110.785</v>
          </cell>
          <cell r="E800">
            <v>106.59</v>
          </cell>
          <cell r="H800">
            <v>102.9</v>
          </cell>
          <cell r="I800">
            <v>116.94</v>
          </cell>
          <cell r="BS800">
            <v>10.349999999999994</v>
          </cell>
        </row>
        <row r="801">
          <cell r="B801">
            <v>41291</v>
          </cell>
          <cell r="D801">
            <v>111.145</v>
          </cell>
          <cell r="E801">
            <v>106.5</v>
          </cell>
          <cell r="H801">
            <v>102.64</v>
          </cell>
          <cell r="I801">
            <v>117.61</v>
          </cell>
          <cell r="BS801">
            <v>11.11</v>
          </cell>
        </row>
        <row r="802">
          <cell r="B802">
            <v>41292</v>
          </cell>
          <cell r="D802">
            <v>111.845</v>
          </cell>
          <cell r="E802">
            <v>107.55</v>
          </cell>
          <cell r="H802">
            <v>104.98</v>
          </cell>
          <cell r="I802">
            <v>118.68</v>
          </cell>
          <cell r="BS802">
            <v>11.13000000000001</v>
          </cell>
        </row>
        <row r="803">
          <cell r="B803">
            <v>41295</v>
          </cell>
          <cell r="D803">
            <v>112.605</v>
          </cell>
          <cell r="E803">
            <v>107.89</v>
          </cell>
          <cell r="H803">
            <v>105.49</v>
          </cell>
          <cell r="I803">
            <v>119.87</v>
          </cell>
          <cell r="BS803">
            <v>11.980000000000004</v>
          </cell>
        </row>
        <row r="804">
          <cell r="B804">
            <v>41296</v>
          </cell>
          <cell r="D804">
            <v>113</v>
          </cell>
          <cell r="E804">
            <v>107.85</v>
          </cell>
          <cell r="H804">
            <v>105.58</v>
          </cell>
          <cell r="I804">
            <v>119.67</v>
          </cell>
          <cell r="BS804">
            <v>11.820000000000007</v>
          </cell>
        </row>
        <row r="805">
          <cell r="B805">
            <v>41297</v>
          </cell>
          <cell r="D805">
            <v>113.74</v>
          </cell>
          <cell r="E805">
            <v>108.2</v>
          </cell>
          <cell r="H805">
            <v>107.52</v>
          </cell>
          <cell r="I805">
            <v>120.88</v>
          </cell>
          <cell r="BS805">
            <v>12.679999999999993</v>
          </cell>
        </row>
        <row r="806">
          <cell r="B806">
            <v>41298</v>
          </cell>
          <cell r="D806">
            <v>114.465</v>
          </cell>
          <cell r="E806">
            <v>108.29</v>
          </cell>
          <cell r="H806">
            <v>107.56</v>
          </cell>
          <cell r="I806">
            <v>120.99</v>
          </cell>
          <cell r="BS806">
            <v>12.699999999999989</v>
          </cell>
        </row>
        <row r="807">
          <cell r="B807">
            <v>41299</v>
          </cell>
          <cell r="D807">
            <v>113.83</v>
          </cell>
          <cell r="E807">
            <v>109.15</v>
          </cell>
          <cell r="H807">
            <v>107.16</v>
          </cell>
          <cell r="I807">
            <v>121.96</v>
          </cell>
          <cell r="BS807">
            <v>12.809999999999988</v>
          </cell>
        </row>
        <row r="808">
          <cell r="B808">
            <v>41302</v>
          </cell>
          <cell r="D808">
            <v>113.66500000000001</v>
          </cell>
          <cell r="E808">
            <v>108.8</v>
          </cell>
          <cell r="H808">
            <v>107.11</v>
          </cell>
          <cell r="I808">
            <v>121.29</v>
          </cell>
          <cell r="BS808">
            <v>12.490000000000009</v>
          </cell>
        </row>
        <row r="809">
          <cell r="B809">
            <v>41303</v>
          </cell>
          <cell r="D809">
            <v>115.08</v>
          </cell>
          <cell r="E809">
            <v>108.55</v>
          </cell>
          <cell r="H809">
            <v>106.83</v>
          </cell>
          <cell r="I809">
            <v>122.7</v>
          </cell>
          <cell r="BS809">
            <v>14.150000000000006</v>
          </cell>
        </row>
        <row r="810">
          <cell r="B810">
            <v>41304</v>
          </cell>
          <cell r="D810">
            <v>115.28</v>
          </cell>
          <cell r="E810">
            <v>109.65</v>
          </cell>
          <cell r="H810">
            <v>108.33</v>
          </cell>
          <cell r="I810">
            <v>125.08</v>
          </cell>
          <cell r="BS810">
            <v>15.429999999999993</v>
          </cell>
        </row>
        <row r="811">
          <cell r="B811">
            <v>41305</v>
          </cell>
          <cell r="D811">
            <v>115.73</v>
          </cell>
          <cell r="E811">
            <v>110.83</v>
          </cell>
          <cell r="H811">
            <v>108.6</v>
          </cell>
          <cell r="I811">
            <v>126.07</v>
          </cell>
          <cell r="BS811">
            <v>15.239999999999995</v>
          </cell>
        </row>
        <row r="812">
          <cell r="B812">
            <v>41306</v>
          </cell>
          <cell r="D812">
            <v>116.88500000000001</v>
          </cell>
          <cell r="E812">
            <v>110.45</v>
          </cell>
          <cell r="H812">
            <v>110.02</v>
          </cell>
          <cell r="I812">
            <v>126.82</v>
          </cell>
          <cell r="BS812">
            <v>16.36999999999999</v>
          </cell>
        </row>
        <row r="813">
          <cell r="B813">
            <v>41309</v>
          </cell>
          <cell r="D813">
            <v>116.44499999999999</v>
          </cell>
          <cell r="E813">
            <v>111.63</v>
          </cell>
          <cell r="H813">
            <v>110.61</v>
          </cell>
          <cell r="I813">
            <v>127.81</v>
          </cell>
          <cell r="BS813">
            <v>16.180000000000007</v>
          </cell>
        </row>
        <row r="814">
          <cell r="B814">
            <v>41310</v>
          </cell>
          <cell r="D814">
            <v>117.005</v>
          </cell>
          <cell r="E814">
            <v>110.59</v>
          </cell>
          <cell r="H814">
            <v>109.68</v>
          </cell>
          <cell r="I814">
            <v>126.6</v>
          </cell>
          <cell r="BS814">
            <v>16.009999999999991</v>
          </cell>
        </row>
        <row r="815">
          <cell r="B815">
            <v>41311</v>
          </cell>
          <cell r="D815">
            <v>116.82</v>
          </cell>
          <cell r="E815">
            <v>111.61</v>
          </cell>
          <cell r="H815">
            <v>110.7</v>
          </cell>
          <cell r="I815">
            <v>129.01</v>
          </cell>
          <cell r="BS815">
            <v>17.399999999999991</v>
          </cell>
        </row>
        <row r="816">
          <cell r="B816">
            <v>41312</v>
          </cell>
          <cell r="D816">
            <v>117.3</v>
          </cell>
          <cell r="E816">
            <v>112.38</v>
          </cell>
          <cell r="H816">
            <v>112.95</v>
          </cell>
          <cell r="I816">
            <v>131.52000000000001</v>
          </cell>
          <cell r="BS816">
            <v>19.140000000000015</v>
          </cell>
        </row>
        <row r="817">
          <cell r="B817">
            <v>41313</v>
          </cell>
          <cell r="D817">
            <v>119.02500000000001</v>
          </cell>
          <cell r="E817">
            <v>112.66</v>
          </cell>
          <cell r="H817">
            <v>114.33</v>
          </cell>
          <cell r="I817">
            <v>131.46</v>
          </cell>
          <cell r="BS817">
            <v>18.800000000000011</v>
          </cell>
        </row>
        <row r="818">
          <cell r="B818">
            <v>41316</v>
          </cell>
          <cell r="D818">
            <v>118.485</v>
          </cell>
          <cell r="E818" t="str">
            <v/>
          </cell>
          <cell r="H818">
            <v>0</v>
          </cell>
          <cell r="I818">
            <v>0</v>
          </cell>
          <cell r="BS818" t="e">
            <v>#N/A</v>
          </cell>
        </row>
        <row r="819">
          <cell r="B819">
            <v>41317</v>
          </cell>
          <cell r="D819">
            <v>118.005</v>
          </cell>
          <cell r="E819" t="str">
            <v/>
          </cell>
          <cell r="H819">
            <v>0</v>
          </cell>
          <cell r="I819">
            <v>0</v>
          </cell>
          <cell r="BS819" t="e">
            <v>#N/A</v>
          </cell>
        </row>
        <row r="820">
          <cell r="B820">
            <v>41318</v>
          </cell>
          <cell r="D820">
            <v>118.465</v>
          </cell>
          <cell r="E820">
            <v>113.65</v>
          </cell>
          <cell r="H820">
            <v>115.13</v>
          </cell>
          <cell r="I820">
            <v>132.80000000000001</v>
          </cell>
          <cell r="BS820">
            <v>19.150000000000006</v>
          </cell>
        </row>
        <row r="821">
          <cell r="B821">
            <v>41319</v>
          </cell>
          <cell r="D821">
            <v>118.325</v>
          </cell>
          <cell r="E821">
            <v>113.27</v>
          </cell>
          <cell r="H821">
            <v>115.48</v>
          </cell>
          <cell r="I821">
            <v>132.38999999999999</v>
          </cell>
          <cell r="BS821">
            <v>19.11999999999999</v>
          </cell>
        </row>
        <row r="822">
          <cell r="B822">
            <v>41320</v>
          </cell>
          <cell r="D822">
            <v>117.47</v>
          </cell>
          <cell r="E822">
            <v>113.1</v>
          </cell>
          <cell r="H822">
            <v>117.29</v>
          </cell>
          <cell r="I822">
            <v>132.86000000000001</v>
          </cell>
          <cell r="BS822">
            <v>19.760000000000019</v>
          </cell>
        </row>
        <row r="823">
          <cell r="B823">
            <v>41323</v>
          </cell>
          <cell r="D823">
            <v>117.51</v>
          </cell>
          <cell r="E823">
            <v>112.94</v>
          </cell>
          <cell r="H823">
            <v>116.01</v>
          </cell>
          <cell r="I823">
            <v>132.47999999999999</v>
          </cell>
          <cell r="BS823">
            <v>19.539999999999992</v>
          </cell>
        </row>
        <row r="824">
          <cell r="B824">
            <v>41324</v>
          </cell>
          <cell r="D824">
            <v>117.18</v>
          </cell>
          <cell r="E824">
            <v>112</v>
          </cell>
          <cell r="H824">
            <v>113.79</v>
          </cell>
          <cell r="I824">
            <v>131.88999999999999</v>
          </cell>
          <cell r="BS824">
            <v>19.889999999999986</v>
          </cell>
        </row>
        <row r="825">
          <cell r="B825">
            <v>41325</v>
          </cell>
          <cell r="D825">
            <v>116.145</v>
          </cell>
          <cell r="E825">
            <v>112.26</v>
          </cell>
          <cell r="H825">
            <v>111.95</v>
          </cell>
          <cell r="I825">
            <v>131.94999999999999</v>
          </cell>
          <cell r="BS825">
            <v>19.689999999999984</v>
          </cell>
        </row>
        <row r="826">
          <cell r="B826">
            <v>41326</v>
          </cell>
          <cell r="D826">
            <v>114.435</v>
          </cell>
          <cell r="E826">
            <v>109.81</v>
          </cell>
          <cell r="H826">
            <v>108.98</v>
          </cell>
          <cell r="I826">
            <v>129.69999999999999</v>
          </cell>
          <cell r="BS826">
            <v>19.889999999999986</v>
          </cell>
        </row>
        <row r="827">
          <cell r="B827">
            <v>41327</v>
          </cell>
          <cell r="D827">
            <v>113.74</v>
          </cell>
          <cell r="E827">
            <v>109.54</v>
          </cell>
          <cell r="H827">
            <v>108.56</v>
          </cell>
          <cell r="I827">
            <v>129.83000000000001</v>
          </cell>
          <cell r="BS827">
            <v>20.290000000000006</v>
          </cell>
        </row>
        <row r="828">
          <cell r="B828">
            <v>41330</v>
          </cell>
          <cell r="D828">
            <v>114.83499999999999</v>
          </cell>
          <cell r="E828">
            <v>109.76</v>
          </cell>
          <cell r="H828">
            <v>109.79</v>
          </cell>
          <cell r="I828">
            <v>129.91999999999999</v>
          </cell>
          <cell r="BS828">
            <v>20.159999999999982</v>
          </cell>
        </row>
        <row r="829">
          <cell r="B829">
            <v>41331</v>
          </cell>
          <cell r="D829">
            <v>113.11</v>
          </cell>
          <cell r="E829">
            <v>108.80500000000001</v>
          </cell>
          <cell r="H829">
            <v>109.82</v>
          </cell>
          <cell r="I829">
            <v>128.02000000000001</v>
          </cell>
          <cell r="BS829">
            <v>19.215000000000003</v>
          </cell>
        </row>
        <row r="830">
          <cell r="B830">
            <v>41332</v>
          </cell>
          <cell r="D830">
            <v>112.405</v>
          </cell>
          <cell r="E830">
            <v>108.5</v>
          </cell>
          <cell r="H830">
            <v>110.54</v>
          </cell>
          <cell r="I830">
            <v>127.35</v>
          </cell>
          <cell r="BS830">
            <v>18.849999999999994</v>
          </cell>
        </row>
        <row r="831">
          <cell r="B831">
            <v>41333</v>
          </cell>
          <cell r="D831">
            <v>112.05500000000001</v>
          </cell>
          <cell r="E831">
            <v>106.75</v>
          </cell>
          <cell r="H831">
            <v>108.37</v>
          </cell>
          <cell r="I831">
            <v>123.54</v>
          </cell>
          <cell r="BS831">
            <v>16.790000000000006</v>
          </cell>
        </row>
        <row r="832">
          <cell r="B832">
            <v>41334</v>
          </cell>
          <cell r="D832">
            <v>110.22499999999999</v>
          </cell>
          <cell r="E832">
            <v>105.65</v>
          </cell>
          <cell r="H832">
            <v>107.55</v>
          </cell>
          <cell r="I832">
            <v>123.41</v>
          </cell>
          <cell r="BS832">
            <v>17.759999999999991</v>
          </cell>
        </row>
        <row r="833">
          <cell r="B833">
            <v>41337</v>
          </cell>
          <cell r="D833">
            <v>109.855</v>
          </cell>
          <cell r="E833">
            <v>104.75</v>
          </cell>
          <cell r="H833">
            <v>104.78</v>
          </cell>
          <cell r="I833">
            <v>123.93</v>
          </cell>
          <cell r="BS833">
            <v>19.180000000000007</v>
          </cell>
        </row>
        <row r="834">
          <cell r="B834">
            <v>41338</v>
          </cell>
          <cell r="D834">
            <v>110.495</v>
          </cell>
          <cell r="E834">
            <v>105.65</v>
          </cell>
          <cell r="H834">
            <v>103.05</v>
          </cell>
          <cell r="I834">
            <v>122.1</v>
          </cell>
          <cell r="BS834">
            <v>16.449999999999989</v>
          </cell>
        </row>
        <row r="835">
          <cell r="B835">
            <v>41339</v>
          </cell>
          <cell r="D835">
            <v>110.405</v>
          </cell>
          <cell r="E835">
            <v>106.85</v>
          </cell>
          <cell r="H835">
            <v>104.83</v>
          </cell>
          <cell r="I835">
            <v>123.66</v>
          </cell>
          <cell r="BS835">
            <v>16.810000000000002</v>
          </cell>
        </row>
        <row r="836">
          <cell r="B836">
            <v>41340</v>
          </cell>
          <cell r="D836">
            <v>110.55</v>
          </cell>
          <cell r="E836">
            <v>106.19</v>
          </cell>
          <cell r="H836">
            <v>103.57</v>
          </cell>
          <cell r="I836">
            <v>121.39</v>
          </cell>
          <cell r="BS836">
            <v>15.200000000000003</v>
          </cell>
        </row>
        <row r="837">
          <cell r="B837">
            <v>41341</v>
          </cell>
          <cell r="D837">
            <v>108.965</v>
          </cell>
          <cell r="E837">
            <v>106.55</v>
          </cell>
          <cell r="H837">
            <v>104.31</v>
          </cell>
          <cell r="I837">
            <v>121.99</v>
          </cell>
          <cell r="BS837">
            <v>15.439999999999998</v>
          </cell>
        </row>
        <row r="838">
          <cell r="B838">
            <v>41344</v>
          </cell>
          <cell r="D838">
            <v>108.855</v>
          </cell>
          <cell r="E838">
            <v>106.41</v>
          </cell>
          <cell r="H838">
            <v>104.25</v>
          </cell>
          <cell r="I838">
            <v>121.99</v>
          </cell>
          <cell r="BS838">
            <v>15.579999999999998</v>
          </cell>
        </row>
        <row r="839">
          <cell r="B839">
            <v>41345</v>
          </cell>
          <cell r="D839">
            <v>108.66</v>
          </cell>
          <cell r="E839">
            <v>105.5</v>
          </cell>
          <cell r="H839">
            <v>102.83</v>
          </cell>
          <cell r="I839">
            <v>120.38</v>
          </cell>
          <cell r="BS839">
            <v>14.879999999999995</v>
          </cell>
        </row>
        <row r="840">
          <cell r="B840">
            <v>41346</v>
          </cell>
          <cell r="D840">
            <v>107.43</v>
          </cell>
          <cell r="E840">
            <v>105.5</v>
          </cell>
          <cell r="H840">
            <v>102.75</v>
          </cell>
          <cell r="I840">
            <v>120.43</v>
          </cell>
          <cell r="BS840">
            <v>14.930000000000007</v>
          </cell>
        </row>
        <row r="841">
          <cell r="B841">
            <v>41347</v>
          </cell>
          <cell r="D841">
            <v>107.97499999999999</v>
          </cell>
          <cell r="E841">
            <v>104.6</v>
          </cell>
          <cell r="H841">
            <v>102.32</v>
          </cell>
          <cell r="I841">
            <v>119.24</v>
          </cell>
          <cell r="BS841">
            <v>14.64</v>
          </cell>
        </row>
        <row r="842">
          <cell r="B842">
            <v>41348</v>
          </cell>
          <cell r="D842">
            <v>109.315</v>
          </cell>
          <cell r="E842">
            <v>105.1</v>
          </cell>
          <cell r="H842">
            <v>101.87</v>
          </cell>
          <cell r="I842">
            <v>119.89</v>
          </cell>
          <cell r="BS842">
            <v>14.790000000000006</v>
          </cell>
        </row>
        <row r="843">
          <cell r="B843">
            <v>41351</v>
          </cell>
          <cell r="D843">
            <v>108.49</v>
          </cell>
          <cell r="E843">
            <v>105.01</v>
          </cell>
          <cell r="H843">
            <v>100.57</v>
          </cell>
          <cell r="I843">
            <v>119.82</v>
          </cell>
          <cell r="BS843">
            <v>14.809999999999988</v>
          </cell>
        </row>
        <row r="844">
          <cell r="B844">
            <v>41352</v>
          </cell>
          <cell r="D844">
            <v>107.6</v>
          </cell>
          <cell r="E844">
            <v>105.85</v>
          </cell>
          <cell r="H844">
            <v>99.76</v>
          </cell>
          <cell r="I844">
            <v>120</v>
          </cell>
          <cell r="BS844">
            <v>14.150000000000006</v>
          </cell>
        </row>
        <row r="845">
          <cell r="B845">
            <v>41353</v>
          </cell>
          <cell r="D845">
            <v>107.09</v>
          </cell>
          <cell r="E845">
            <v>104.75</v>
          </cell>
          <cell r="H845">
            <v>99</v>
          </cell>
          <cell r="I845">
            <v>118.61</v>
          </cell>
          <cell r="BS845">
            <v>13.86</v>
          </cell>
        </row>
        <row r="846">
          <cell r="B846">
            <v>41354</v>
          </cell>
          <cell r="D846">
            <v>106.72499999999999</v>
          </cell>
          <cell r="E846">
            <v>105.1</v>
          </cell>
          <cell r="H846">
            <v>99.92</v>
          </cell>
          <cell r="I846">
            <v>119.5</v>
          </cell>
          <cell r="BS846">
            <v>14.400000000000006</v>
          </cell>
        </row>
        <row r="847">
          <cell r="B847">
            <v>41355</v>
          </cell>
          <cell r="D847">
            <v>106.235</v>
          </cell>
          <cell r="E847">
            <v>104.1</v>
          </cell>
          <cell r="H847">
            <v>98.96</v>
          </cell>
          <cell r="I847">
            <v>118.01</v>
          </cell>
          <cell r="BS847">
            <v>13.910000000000011</v>
          </cell>
        </row>
        <row r="848">
          <cell r="B848">
            <v>41358</v>
          </cell>
          <cell r="D848">
            <v>106.19499999999999</v>
          </cell>
          <cell r="E848">
            <v>105</v>
          </cell>
          <cell r="H848">
            <v>100.09</v>
          </cell>
          <cell r="I848">
            <v>118.78</v>
          </cell>
          <cell r="BS848">
            <v>13.780000000000001</v>
          </cell>
        </row>
        <row r="849">
          <cell r="B849">
            <v>41359</v>
          </cell>
          <cell r="D849">
            <v>106.905</v>
          </cell>
          <cell r="E849">
            <v>105.15</v>
          </cell>
          <cell r="H849">
            <v>99.67</v>
          </cell>
          <cell r="I849">
            <v>119.47</v>
          </cell>
          <cell r="BS849">
            <v>14.319999999999993</v>
          </cell>
        </row>
        <row r="850">
          <cell r="B850">
            <v>41360</v>
          </cell>
          <cell r="D850">
            <v>108.035</v>
          </cell>
          <cell r="E850">
            <v>106.25</v>
          </cell>
          <cell r="H850">
            <v>100.56</v>
          </cell>
          <cell r="I850">
            <v>120.92</v>
          </cell>
          <cell r="BS850">
            <v>14.670000000000002</v>
          </cell>
        </row>
        <row r="851">
          <cell r="B851">
            <v>41361</v>
          </cell>
          <cell r="D851">
            <v>107.38500000000001</v>
          </cell>
          <cell r="E851">
            <v>107.09</v>
          </cell>
          <cell r="H851">
            <v>101.19</v>
          </cell>
          <cell r="I851">
            <v>121.98</v>
          </cell>
          <cell r="BS851">
            <v>14.89</v>
          </cell>
        </row>
        <row r="852">
          <cell r="B852">
            <v>41362</v>
          </cell>
          <cell r="D852" t="str">
            <v/>
          </cell>
          <cell r="E852" t="str">
            <v/>
          </cell>
          <cell r="H852">
            <v>0</v>
          </cell>
          <cell r="I852">
            <v>0</v>
          </cell>
          <cell r="BS852" t="e">
            <v>#N/A</v>
          </cell>
        </row>
        <row r="853">
          <cell r="B853">
            <v>41365</v>
          </cell>
          <cell r="D853" t="str">
            <v/>
          </cell>
          <cell r="E853">
            <v>107.33</v>
          </cell>
          <cell r="H853">
            <v>100.15</v>
          </cell>
          <cell r="I853">
            <v>121.72</v>
          </cell>
          <cell r="BS853">
            <v>14.39</v>
          </cell>
        </row>
        <row r="854">
          <cell r="B854">
            <v>41366</v>
          </cell>
          <cell r="D854">
            <v>109.505</v>
          </cell>
          <cell r="E854">
            <v>108.36</v>
          </cell>
          <cell r="H854">
            <v>99.63</v>
          </cell>
          <cell r="I854">
            <v>122.49</v>
          </cell>
          <cell r="BS854">
            <v>14.129999999999995</v>
          </cell>
        </row>
        <row r="855">
          <cell r="B855">
            <v>41367</v>
          </cell>
          <cell r="D855">
            <v>107.8</v>
          </cell>
          <cell r="E855">
            <v>107.84</v>
          </cell>
          <cell r="H855">
            <v>98.8</v>
          </cell>
          <cell r="I855">
            <v>119.43</v>
          </cell>
          <cell r="BS855">
            <v>11.590000000000003</v>
          </cell>
        </row>
        <row r="856">
          <cell r="B856">
            <v>41368</v>
          </cell>
          <cell r="D856">
            <v>105.16</v>
          </cell>
          <cell r="E856">
            <v>105</v>
          </cell>
          <cell r="H856">
            <v>96.88</v>
          </cell>
          <cell r="I856">
            <v>114.13</v>
          </cell>
          <cell r="BS856">
            <v>9.1299999999999955</v>
          </cell>
        </row>
        <row r="857">
          <cell r="B857">
            <v>41369</v>
          </cell>
          <cell r="D857">
            <v>103.95</v>
          </cell>
          <cell r="E857">
            <v>104.07</v>
          </cell>
          <cell r="H857">
            <v>96.57</v>
          </cell>
          <cell r="I857">
            <v>113.72</v>
          </cell>
          <cell r="BS857">
            <v>9.6500000000000057</v>
          </cell>
        </row>
        <row r="858">
          <cell r="B858">
            <v>41372</v>
          </cell>
          <cell r="D858">
            <v>103.13</v>
          </cell>
          <cell r="E858">
            <v>103.15</v>
          </cell>
          <cell r="H858">
            <v>95.48</v>
          </cell>
          <cell r="I858">
            <v>111.41</v>
          </cell>
          <cell r="BS858">
            <v>8.2599999999999909</v>
          </cell>
        </row>
        <row r="859">
          <cell r="B859">
            <v>41373</v>
          </cell>
          <cell r="D859">
            <v>103.965</v>
          </cell>
          <cell r="E859">
            <v>103.1</v>
          </cell>
          <cell r="H859">
            <v>95.68</v>
          </cell>
          <cell r="I859">
            <v>111.9</v>
          </cell>
          <cell r="BS859">
            <v>8.8000000000000114</v>
          </cell>
        </row>
        <row r="860">
          <cell r="B860">
            <v>41374</v>
          </cell>
          <cell r="D860">
            <v>104.655</v>
          </cell>
          <cell r="E860">
            <v>103.72</v>
          </cell>
          <cell r="H860">
            <v>96.18</v>
          </cell>
          <cell r="I860">
            <v>112.11</v>
          </cell>
          <cell r="BS860">
            <v>8.39</v>
          </cell>
        </row>
        <row r="861">
          <cell r="B861">
            <v>41375</v>
          </cell>
          <cell r="D861">
            <v>103.41500000000001</v>
          </cell>
          <cell r="E861">
            <v>103.05</v>
          </cell>
          <cell r="H861">
            <v>94.04</v>
          </cell>
          <cell r="I861">
            <v>110.02</v>
          </cell>
          <cell r="BS861">
            <v>6.9699999999999989</v>
          </cell>
        </row>
        <row r="862">
          <cell r="B862">
            <v>41376</v>
          </cell>
          <cell r="D862">
            <v>100.72</v>
          </cell>
          <cell r="E862">
            <v>101.64</v>
          </cell>
          <cell r="H862">
            <v>92.43</v>
          </cell>
          <cell r="I862">
            <v>108.44</v>
          </cell>
          <cell r="BS862">
            <v>6.7999999999999972</v>
          </cell>
        </row>
        <row r="863">
          <cell r="B863">
            <v>41379</v>
          </cell>
          <cell r="D863">
            <v>99.265000000000001</v>
          </cell>
          <cell r="E863">
            <v>99.27</v>
          </cell>
          <cell r="H863">
            <v>90.13</v>
          </cell>
          <cell r="I863">
            <v>106.54</v>
          </cell>
          <cell r="BS863">
            <v>7.2700000000000102</v>
          </cell>
        </row>
        <row r="864">
          <cell r="B864">
            <v>41380</v>
          </cell>
          <cell r="D864">
            <v>97.88</v>
          </cell>
          <cell r="E864">
            <v>97.9</v>
          </cell>
          <cell r="H864">
            <v>89.23</v>
          </cell>
          <cell r="I864">
            <v>104.93</v>
          </cell>
          <cell r="BS864">
            <v>7.0300000000000011</v>
          </cell>
        </row>
        <row r="865">
          <cell r="B865">
            <v>41381</v>
          </cell>
          <cell r="D865">
            <v>96.83</v>
          </cell>
          <cell r="E865">
            <v>98.03</v>
          </cell>
          <cell r="H865">
            <v>90.34</v>
          </cell>
          <cell r="I865">
            <v>106.96</v>
          </cell>
          <cell r="BS865">
            <v>8.9299999999999926</v>
          </cell>
        </row>
        <row r="866">
          <cell r="B866">
            <v>41382</v>
          </cell>
          <cell r="D866">
            <v>98.08</v>
          </cell>
          <cell r="E866">
            <v>96.74</v>
          </cell>
          <cell r="H866">
            <v>89.59</v>
          </cell>
          <cell r="I866">
            <v>105.72</v>
          </cell>
          <cell r="BS866">
            <v>8.980000000000004</v>
          </cell>
        </row>
        <row r="867">
          <cell r="B867">
            <v>41383</v>
          </cell>
          <cell r="D867">
            <v>98.734999999999999</v>
          </cell>
          <cell r="E867">
            <v>98.11</v>
          </cell>
          <cell r="H867">
            <v>90.33</v>
          </cell>
          <cell r="I867">
            <v>108.01</v>
          </cell>
          <cell r="BS867">
            <v>9.9000000000000057</v>
          </cell>
        </row>
        <row r="868">
          <cell r="B868">
            <v>41386</v>
          </cell>
          <cell r="D868">
            <v>99.48</v>
          </cell>
          <cell r="E868">
            <v>98.25</v>
          </cell>
          <cell r="H868">
            <v>90.03</v>
          </cell>
          <cell r="I868">
            <v>107.84</v>
          </cell>
          <cell r="BS868">
            <v>9.5900000000000034</v>
          </cell>
        </row>
        <row r="869">
          <cell r="B869">
            <v>41387</v>
          </cell>
          <cell r="D869">
            <v>99.08</v>
          </cell>
          <cell r="E869">
            <v>98.16</v>
          </cell>
          <cell r="H869">
            <v>89.57</v>
          </cell>
          <cell r="I869">
            <v>106.42</v>
          </cell>
          <cell r="BS869">
            <v>8.2600000000000051</v>
          </cell>
        </row>
        <row r="870">
          <cell r="B870">
            <v>41388</v>
          </cell>
          <cell r="D870">
            <v>100.54</v>
          </cell>
          <cell r="E870">
            <v>99.6</v>
          </cell>
          <cell r="H870">
            <v>89.98</v>
          </cell>
          <cell r="I870">
            <v>106.75</v>
          </cell>
          <cell r="BS870">
            <v>7.1500000000000057</v>
          </cell>
        </row>
        <row r="871">
          <cell r="B871">
            <v>41389</v>
          </cell>
          <cell r="D871">
            <v>101.55</v>
          </cell>
          <cell r="E871">
            <v>100.19</v>
          </cell>
          <cell r="H871">
            <v>91.31</v>
          </cell>
          <cell r="I871">
            <v>108.25</v>
          </cell>
          <cell r="BS871">
            <v>8.0600000000000023</v>
          </cell>
        </row>
        <row r="872">
          <cell r="B872">
            <v>41390</v>
          </cell>
          <cell r="D872">
            <v>102.425</v>
          </cell>
          <cell r="E872">
            <v>101.05</v>
          </cell>
          <cell r="H872">
            <v>93.16</v>
          </cell>
          <cell r="I872">
            <v>109.96</v>
          </cell>
          <cell r="BS872">
            <v>8.9099999999999966</v>
          </cell>
        </row>
        <row r="873">
          <cell r="B873">
            <v>41393</v>
          </cell>
          <cell r="D873">
            <v>102.71</v>
          </cell>
          <cell r="E873">
            <v>101.05</v>
          </cell>
          <cell r="H873">
            <v>92.63</v>
          </cell>
          <cell r="I873">
            <v>110.08</v>
          </cell>
          <cell r="BS873">
            <v>9.0300000000000011</v>
          </cell>
        </row>
        <row r="874">
          <cell r="B874">
            <v>41394</v>
          </cell>
          <cell r="D874">
            <v>101.455</v>
          </cell>
          <cell r="E874">
            <v>101.26</v>
          </cell>
          <cell r="H874">
            <v>93.25</v>
          </cell>
          <cell r="I874">
            <v>110.12</v>
          </cell>
          <cell r="BS874">
            <v>8.86</v>
          </cell>
        </row>
        <row r="875">
          <cell r="B875">
            <v>41395</v>
          </cell>
          <cell r="D875">
            <v>98.41</v>
          </cell>
          <cell r="E875" t="str">
            <v/>
          </cell>
          <cell r="H875">
            <v>0</v>
          </cell>
          <cell r="I875">
            <v>0</v>
          </cell>
          <cell r="BS875" t="e">
            <v>#N/A</v>
          </cell>
        </row>
        <row r="876">
          <cell r="B876">
            <v>41396</v>
          </cell>
          <cell r="D876">
            <v>100.29</v>
          </cell>
          <cell r="E876">
            <v>97.91</v>
          </cell>
          <cell r="H876">
            <v>89.62</v>
          </cell>
          <cell r="I876">
            <v>105.84</v>
          </cell>
          <cell r="BS876">
            <v>7.9300000000000068</v>
          </cell>
        </row>
        <row r="877">
          <cell r="B877">
            <v>41397</v>
          </cell>
          <cell r="D877">
            <v>104.715</v>
          </cell>
          <cell r="E877">
            <v>99.92</v>
          </cell>
          <cell r="H877">
            <v>90.46</v>
          </cell>
          <cell r="I877">
            <v>107.24</v>
          </cell>
          <cell r="BS877">
            <v>7.3199999999999932</v>
          </cell>
        </row>
        <row r="878">
          <cell r="B878">
            <v>41400</v>
          </cell>
          <cell r="D878" t="str">
            <v/>
          </cell>
          <cell r="E878">
            <v>101.8</v>
          </cell>
          <cell r="H878">
            <v>92.03</v>
          </cell>
          <cell r="I878">
            <v>109.46</v>
          </cell>
          <cell r="BS878">
            <v>7.6599999999999966</v>
          </cell>
        </row>
        <row r="879">
          <cell r="B879">
            <v>41401</v>
          </cell>
          <cell r="D879">
            <v>105.495</v>
          </cell>
          <cell r="E879">
            <v>101.9</v>
          </cell>
          <cell r="H879">
            <v>93.05</v>
          </cell>
          <cell r="I879">
            <v>110.67</v>
          </cell>
          <cell r="BS879">
            <v>8.769999999999996</v>
          </cell>
        </row>
        <row r="880">
          <cell r="B880">
            <v>41402</v>
          </cell>
          <cell r="D880">
            <v>103.67</v>
          </cell>
          <cell r="E880">
            <v>101.7</v>
          </cell>
          <cell r="H880">
            <v>94.1</v>
          </cell>
          <cell r="I880">
            <v>110.04</v>
          </cell>
          <cell r="BS880">
            <v>8.3400000000000034</v>
          </cell>
        </row>
        <row r="881">
          <cell r="B881">
            <v>41403</v>
          </cell>
          <cell r="D881">
            <v>103.47</v>
          </cell>
          <cell r="E881">
            <v>101.23</v>
          </cell>
          <cell r="H881">
            <v>93.97</v>
          </cell>
          <cell r="I881">
            <v>110.76</v>
          </cell>
          <cell r="BS881">
            <v>9.5300000000000011</v>
          </cell>
        </row>
        <row r="882">
          <cell r="B882">
            <v>41404</v>
          </cell>
          <cell r="D882">
            <v>101.265</v>
          </cell>
          <cell r="E882">
            <v>101.35</v>
          </cell>
          <cell r="H882">
            <v>94.53</v>
          </cell>
          <cell r="I882">
            <v>112.38</v>
          </cell>
          <cell r="BS882">
            <v>11.030000000000001</v>
          </cell>
        </row>
        <row r="883">
          <cell r="B883">
            <v>41407</v>
          </cell>
          <cell r="D883">
            <v>102.1</v>
          </cell>
          <cell r="E883">
            <v>100.2</v>
          </cell>
          <cell r="H883">
            <v>94.01</v>
          </cell>
          <cell r="I883">
            <v>111.97</v>
          </cell>
          <cell r="BS883">
            <v>11.769999999999996</v>
          </cell>
        </row>
        <row r="884">
          <cell r="B884">
            <v>41408</v>
          </cell>
          <cell r="D884">
            <v>102.64</v>
          </cell>
          <cell r="E884">
            <v>99.99</v>
          </cell>
          <cell r="H884">
            <v>94.2</v>
          </cell>
          <cell r="I884">
            <v>111.41</v>
          </cell>
          <cell r="BS884">
            <v>11.420000000000002</v>
          </cell>
        </row>
        <row r="885">
          <cell r="B885">
            <v>41409</v>
          </cell>
          <cell r="D885">
            <v>101.68</v>
          </cell>
          <cell r="E885">
            <v>99.25</v>
          </cell>
          <cell r="H885">
            <v>92.78</v>
          </cell>
          <cell r="I885">
            <v>110.75</v>
          </cell>
          <cell r="BS885">
            <v>11.5</v>
          </cell>
        </row>
        <row r="886">
          <cell r="B886">
            <v>41410</v>
          </cell>
          <cell r="D886">
            <v>104.36</v>
          </cell>
          <cell r="E886">
            <v>100.04</v>
          </cell>
          <cell r="H886">
            <v>92.88</v>
          </cell>
          <cell r="I886">
            <v>111</v>
          </cell>
          <cell r="BS886">
            <v>10.959999999999994</v>
          </cell>
        </row>
        <row r="887">
          <cell r="B887">
            <v>41411</v>
          </cell>
          <cell r="D887">
            <v>104.1</v>
          </cell>
          <cell r="E887">
            <v>100.9</v>
          </cell>
          <cell r="H887">
            <v>94.17</v>
          </cell>
          <cell r="I887">
            <v>111.79</v>
          </cell>
          <cell r="BS887">
            <v>10.89</v>
          </cell>
        </row>
        <row r="888">
          <cell r="B888">
            <v>41414</v>
          </cell>
          <cell r="D888">
            <v>104.495</v>
          </cell>
          <cell r="E888">
            <v>101.5</v>
          </cell>
          <cell r="H888">
            <v>94.92</v>
          </cell>
          <cell r="I888">
            <v>111.97</v>
          </cell>
          <cell r="BS888">
            <v>10.469999999999999</v>
          </cell>
        </row>
        <row r="889">
          <cell r="B889">
            <v>41415</v>
          </cell>
          <cell r="D889">
            <v>103.01</v>
          </cell>
          <cell r="E889">
            <v>101.4</v>
          </cell>
          <cell r="H889">
            <v>95.58</v>
          </cell>
          <cell r="I889">
            <v>112.62</v>
          </cell>
          <cell r="BS889">
            <v>11.219999999999999</v>
          </cell>
        </row>
        <row r="890">
          <cell r="B890">
            <v>41416</v>
          </cell>
          <cell r="D890">
            <v>102.25</v>
          </cell>
          <cell r="E890">
            <v>100.4</v>
          </cell>
          <cell r="H890">
            <v>93.55</v>
          </cell>
          <cell r="I890">
            <v>111.43</v>
          </cell>
          <cell r="BS890">
            <v>11.030000000000001</v>
          </cell>
        </row>
        <row r="891">
          <cell r="B891">
            <v>41417</v>
          </cell>
          <cell r="D891">
            <v>100.55500000000001</v>
          </cell>
          <cell r="E891">
            <v>98.69</v>
          </cell>
          <cell r="H891">
            <v>92.94</v>
          </cell>
          <cell r="I891">
            <v>111.47</v>
          </cell>
          <cell r="BS891">
            <v>12.780000000000001</v>
          </cell>
        </row>
        <row r="892">
          <cell r="B892">
            <v>41418</v>
          </cell>
          <cell r="D892">
            <v>101.21</v>
          </cell>
          <cell r="E892" t="str">
            <v/>
          </cell>
          <cell r="H892">
            <v>0</v>
          </cell>
          <cell r="I892">
            <v>0</v>
          </cell>
          <cell r="BS892" t="e">
            <v>#N/A</v>
          </cell>
        </row>
        <row r="893">
          <cell r="B893">
            <v>41421</v>
          </cell>
          <cell r="D893" t="str">
            <v/>
          </cell>
          <cell r="E893">
            <v>99.4</v>
          </cell>
          <cell r="H893">
            <v>93.94</v>
          </cell>
          <cell r="I893">
            <v>112.13</v>
          </cell>
          <cell r="BS893">
            <v>12.72999999999999</v>
          </cell>
        </row>
        <row r="894">
          <cell r="B894">
            <v>41422</v>
          </cell>
          <cell r="D894">
            <v>103.9</v>
          </cell>
          <cell r="E894">
            <v>100.4</v>
          </cell>
          <cell r="H894">
            <v>95.12</v>
          </cell>
          <cell r="I894">
            <v>113.27</v>
          </cell>
          <cell r="BS894">
            <v>12.86999999999999</v>
          </cell>
        </row>
        <row r="895">
          <cell r="B895">
            <v>41423</v>
          </cell>
          <cell r="D895">
            <v>102.38</v>
          </cell>
          <cell r="E895">
            <v>100.59</v>
          </cell>
          <cell r="H895">
            <v>95.43</v>
          </cell>
          <cell r="I895">
            <v>113.17</v>
          </cell>
          <cell r="BS895">
            <v>12.579999999999998</v>
          </cell>
        </row>
        <row r="896">
          <cell r="B896">
            <v>41424</v>
          </cell>
          <cell r="D896">
            <v>101.825</v>
          </cell>
          <cell r="E896">
            <v>99.49</v>
          </cell>
          <cell r="H896">
            <v>94.05</v>
          </cell>
          <cell r="I896">
            <v>111.4</v>
          </cell>
          <cell r="BS896">
            <v>11.910000000000011</v>
          </cell>
        </row>
        <row r="897">
          <cell r="B897">
            <v>41425</v>
          </cell>
          <cell r="D897">
            <v>100.41</v>
          </cell>
          <cell r="E897">
            <v>98.79</v>
          </cell>
          <cell r="H897">
            <v>93.5</v>
          </cell>
          <cell r="I897">
            <v>111.94</v>
          </cell>
          <cell r="BS897">
            <v>13.149999999999991</v>
          </cell>
        </row>
        <row r="898">
          <cell r="B898">
            <v>41428</v>
          </cell>
          <cell r="D898">
            <v>101.605</v>
          </cell>
          <cell r="E898">
            <v>97.55</v>
          </cell>
          <cell r="H898">
            <v>92.38</v>
          </cell>
          <cell r="I898">
            <v>110.94</v>
          </cell>
          <cell r="BS898">
            <v>13.39</v>
          </cell>
        </row>
        <row r="899">
          <cell r="B899">
            <v>41429</v>
          </cell>
          <cell r="D899">
            <v>102.2</v>
          </cell>
          <cell r="E899">
            <v>98.81</v>
          </cell>
          <cell r="H899">
            <v>94.6</v>
          </cell>
          <cell r="I899">
            <v>112.35</v>
          </cell>
          <cell r="BS899">
            <v>13.539999999999992</v>
          </cell>
        </row>
        <row r="900">
          <cell r="B900">
            <v>41430</v>
          </cell>
          <cell r="D900">
            <v>103.66</v>
          </cell>
          <cell r="E900">
            <v>100.35</v>
          </cell>
          <cell r="H900">
            <v>95.72</v>
          </cell>
          <cell r="I900">
            <v>114.78</v>
          </cell>
          <cell r="BS900">
            <v>14.430000000000007</v>
          </cell>
        </row>
        <row r="901">
          <cell r="B901">
            <v>41431</v>
          </cell>
          <cell r="D901">
            <v>103.295</v>
          </cell>
          <cell r="E901">
            <v>100.11</v>
          </cell>
          <cell r="H901">
            <v>94.86</v>
          </cell>
          <cell r="I901">
            <v>114.31</v>
          </cell>
          <cell r="BS901">
            <v>14.200000000000003</v>
          </cell>
        </row>
        <row r="902">
          <cell r="B902">
            <v>41432</v>
          </cell>
          <cell r="D902">
            <v>104.03</v>
          </cell>
          <cell r="E902">
            <v>100.61</v>
          </cell>
          <cell r="H902">
            <v>95.21</v>
          </cell>
          <cell r="I902">
            <v>115.13</v>
          </cell>
          <cell r="BS902">
            <v>14.519999999999996</v>
          </cell>
        </row>
        <row r="903">
          <cell r="B903">
            <v>41435</v>
          </cell>
          <cell r="D903">
            <v>103.325</v>
          </cell>
          <cell r="E903">
            <v>100.6</v>
          </cell>
          <cell r="H903">
            <v>94.6</v>
          </cell>
          <cell r="I903">
            <v>116.29</v>
          </cell>
          <cell r="BS903">
            <v>15.690000000000012</v>
          </cell>
        </row>
        <row r="904">
          <cell r="B904">
            <v>41436</v>
          </cell>
          <cell r="D904">
            <v>101.515</v>
          </cell>
          <cell r="E904">
            <v>100.43</v>
          </cell>
          <cell r="H904">
            <v>93.96</v>
          </cell>
          <cell r="I904">
            <v>116.15</v>
          </cell>
          <cell r="BS904">
            <v>15.719999999999999</v>
          </cell>
        </row>
        <row r="905">
          <cell r="B905">
            <v>41437</v>
          </cell>
          <cell r="D905">
            <v>103.14</v>
          </cell>
          <cell r="E905">
            <v>99.75</v>
          </cell>
          <cell r="H905">
            <v>93.62</v>
          </cell>
          <cell r="I905">
            <v>115.14</v>
          </cell>
          <cell r="BS905">
            <v>15.39</v>
          </cell>
        </row>
        <row r="906">
          <cell r="B906">
            <v>41438</v>
          </cell>
          <cell r="D906">
            <v>103.38</v>
          </cell>
          <cell r="E906">
            <v>100.12</v>
          </cell>
          <cell r="H906">
            <v>93.4</v>
          </cell>
          <cell r="I906">
            <v>114.44</v>
          </cell>
          <cell r="BS906">
            <v>14.319999999999993</v>
          </cell>
        </row>
        <row r="907">
          <cell r="B907">
            <v>41439</v>
          </cell>
          <cell r="D907">
            <v>105.58</v>
          </cell>
          <cell r="E907">
            <v>102.395</v>
          </cell>
          <cell r="H907">
            <v>95.4</v>
          </cell>
          <cell r="I907">
            <v>116.07</v>
          </cell>
          <cell r="BS907">
            <v>13.674999999999997</v>
          </cell>
        </row>
        <row r="908">
          <cell r="B908">
            <v>41442</v>
          </cell>
          <cell r="D908">
            <v>105.7</v>
          </cell>
          <cell r="E908">
            <v>103.41</v>
          </cell>
          <cell r="H908">
            <v>96.11</v>
          </cell>
          <cell r="I908">
            <v>117.21</v>
          </cell>
          <cell r="BS908">
            <v>13.799999999999997</v>
          </cell>
        </row>
        <row r="909">
          <cell r="B909">
            <v>41443</v>
          </cell>
          <cell r="D909">
            <v>105.08499999999999</v>
          </cell>
          <cell r="E909">
            <v>102.3</v>
          </cell>
          <cell r="H909">
            <v>94.56</v>
          </cell>
          <cell r="I909">
            <v>115.62</v>
          </cell>
          <cell r="BS909">
            <v>13.320000000000007</v>
          </cell>
        </row>
        <row r="910">
          <cell r="B910">
            <v>41444</v>
          </cell>
          <cell r="D910">
            <v>105.52</v>
          </cell>
          <cell r="E910">
            <v>103.3</v>
          </cell>
          <cell r="H910">
            <v>95.69</v>
          </cell>
          <cell r="I910">
            <v>116.35</v>
          </cell>
          <cell r="BS910">
            <v>13.049999999999997</v>
          </cell>
        </row>
        <row r="911">
          <cell r="B911">
            <v>41445</v>
          </cell>
          <cell r="D911">
            <v>102.715</v>
          </cell>
          <cell r="E911">
            <v>101.4</v>
          </cell>
          <cell r="H911">
            <v>94.35</v>
          </cell>
          <cell r="I911">
            <v>115.77</v>
          </cell>
          <cell r="BS911">
            <v>14.36999999999999</v>
          </cell>
        </row>
        <row r="912">
          <cell r="B912">
            <v>41446</v>
          </cell>
          <cell r="D912">
            <v>100.32</v>
          </cell>
          <cell r="E912">
            <v>100</v>
          </cell>
          <cell r="H912">
            <v>94.2</v>
          </cell>
          <cell r="I912">
            <v>115.84</v>
          </cell>
          <cell r="BS912">
            <v>15.840000000000003</v>
          </cell>
        </row>
        <row r="913">
          <cell r="B913">
            <v>41449</v>
          </cell>
          <cell r="D913">
            <v>99.74</v>
          </cell>
          <cell r="E913">
            <v>97.53</v>
          </cell>
          <cell r="H913">
            <v>93.04</v>
          </cell>
          <cell r="I913">
            <v>114.34</v>
          </cell>
          <cell r="BS913">
            <v>16.810000000000002</v>
          </cell>
        </row>
        <row r="914">
          <cell r="B914">
            <v>41450</v>
          </cell>
          <cell r="D914">
            <v>101.575</v>
          </cell>
          <cell r="E914">
            <v>99.2</v>
          </cell>
          <cell r="H914">
            <v>92.52</v>
          </cell>
          <cell r="I914">
            <v>114.29</v>
          </cell>
          <cell r="BS914">
            <v>15.090000000000003</v>
          </cell>
        </row>
        <row r="915">
          <cell r="B915">
            <v>41451</v>
          </cell>
          <cell r="D915">
            <v>100.49</v>
          </cell>
          <cell r="E915">
            <v>98.85</v>
          </cell>
          <cell r="H915">
            <v>92.88</v>
          </cell>
          <cell r="I915">
            <v>112.94</v>
          </cell>
          <cell r="BS915">
            <v>14.090000000000003</v>
          </cell>
        </row>
        <row r="916">
          <cell r="B916">
            <v>41452</v>
          </cell>
          <cell r="D916">
            <v>102.94</v>
          </cell>
          <cell r="E916">
            <v>99.36</v>
          </cell>
          <cell r="H916">
            <v>92.91</v>
          </cell>
          <cell r="I916">
            <v>113.26</v>
          </cell>
          <cell r="BS916">
            <v>13.900000000000006</v>
          </cell>
        </row>
        <row r="917">
          <cell r="B917">
            <v>41453</v>
          </cell>
          <cell r="D917">
            <v>102.455</v>
          </cell>
          <cell r="E917">
            <v>100.4</v>
          </cell>
          <cell r="H917">
            <v>93.21</v>
          </cell>
          <cell r="I917">
            <v>113.83</v>
          </cell>
          <cell r="BS917">
            <v>13.429999999999993</v>
          </cell>
        </row>
        <row r="918">
          <cell r="B918">
            <v>41456</v>
          </cell>
          <cell r="D918">
            <v>103.29</v>
          </cell>
          <cell r="E918">
            <v>99.02</v>
          </cell>
          <cell r="H918">
            <v>92.43</v>
          </cell>
          <cell r="I918">
            <v>113.43</v>
          </cell>
          <cell r="BS918">
            <v>14.410000000000011</v>
          </cell>
        </row>
        <row r="919">
          <cell r="B919">
            <v>41457</v>
          </cell>
          <cell r="D919">
            <v>104.005</v>
          </cell>
          <cell r="E919">
            <v>99.4</v>
          </cell>
          <cell r="H919">
            <v>93.89</v>
          </cell>
          <cell r="I919">
            <v>114.84</v>
          </cell>
          <cell r="BS919">
            <v>15.439999999999998</v>
          </cell>
        </row>
        <row r="920">
          <cell r="B920">
            <v>41458</v>
          </cell>
          <cell r="D920">
            <v>106.205</v>
          </cell>
          <cell r="E920">
            <v>101.05</v>
          </cell>
          <cell r="H920">
            <v>95.41</v>
          </cell>
          <cell r="I920">
            <v>116.69</v>
          </cell>
          <cell r="BS920">
            <v>15.64</v>
          </cell>
        </row>
        <row r="921">
          <cell r="B921">
            <v>41459</v>
          </cell>
          <cell r="D921">
            <v>105.65</v>
          </cell>
          <cell r="E921">
            <v>101.5</v>
          </cell>
          <cell r="H921">
            <v>95.74</v>
          </cell>
          <cell r="I921">
            <v>117.61</v>
          </cell>
          <cell r="BS921">
            <v>16.11</v>
          </cell>
        </row>
        <row r="922">
          <cell r="B922">
            <v>41460</v>
          </cell>
          <cell r="D922">
            <v>107.315</v>
          </cell>
          <cell r="E922">
            <v>101.76</v>
          </cell>
          <cell r="H922">
            <v>96.6</v>
          </cell>
          <cell r="I922">
            <v>117.46</v>
          </cell>
          <cell r="BS922">
            <v>15.699999999999989</v>
          </cell>
        </row>
        <row r="923">
          <cell r="B923">
            <v>41463</v>
          </cell>
          <cell r="D923">
            <v>108.015</v>
          </cell>
          <cell r="E923">
            <v>102.89</v>
          </cell>
          <cell r="H923">
            <v>97.1</v>
          </cell>
          <cell r="I923">
            <v>117.74</v>
          </cell>
          <cell r="BS923">
            <v>14.849999999999994</v>
          </cell>
        </row>
        <row r="924">
          <cell r="B924">
            <v>41464</v>
          </cell>
          <cell r="D924">
            <v>107.92</v>
          </cell>
          <cell r="E924">
            <v>103</v>
          </cell>
          <cell r="H924">
            <v>97.78</v>
          </cell>
          <cell r="I924">
            <v>118.54</v>
          </cell>
          <cell r="BS924">
            <v>15.540000000000006</v>
          </cell>
        </row>
        <row r="925">
          <cell r="B925">
            <v>41465</v>
          </cell>
          <cell r="D925">
            <v>108.47</v>
          </cell>
          <cell r="E925">
            <v>103.7</v>
          </cell>
          <cell r="H925">
            <v>99.17</v>
          </cell>
          <cell r="I925">
            <v>121.51</v>
          </cell>
          <cell r="BS925">
            <v>17.810000000000002</v>
          </cell>
        </row>
        <row r="926">
          <cell r="B926">
            <v>41466</v>
          </cell>
          <cell r="D926">
            <v>108.265</v>
          </cell>
          <cell r="E926">
            <v>104.1</v>
          </cell>
          <cell r="H926">
            <v>99.62</v>
          </cell>
          <cell r="I926">
            <v>124.21</v>
          </cell>
          <cell r="BS926">
            <v>20.11</v>
          </cell>
        </row>
        <row r="927">
          <cell r="B927">
            <v>41467</v>
          </cell>
          <cell r="D927">
            <v>108.995</v>
          </cell>
          <cell r="E927">
            <v>103.495</v>
          </cell>
          <cell r="H927">
            <v>99.19</v>
          </cell>
          <cell r="I927">
            <v>123.97</v>
          </cell>
          <cell r="BS927">
            <v>20.474999999999994</v>
          </cell>
        </row>
        <row r="928">
          <cell r="B928">
            <v>41470</v>
          </cell>
          <cell r="D928">
            <v>109.465</v>
          </cell>
          <cell r="E928">
            <v>104.09</v>
          </cell>
          <cell r="H928">
            <v>99.97</v>
          </cell>
          <cell r="I928">
            <v>124.73</v>
          </cell>
          <cell r="BS928">
            <v>20.64</v>
          </cell>
        </row>
        <row r="929">
          <cell r="B929">
            <v>41471</v>
          </cell>
          <cell r="D929">
            <v>109.44499999999999</v>
          </cell>
          <cell r="E929">
            <v>104.3</v>
          </cell>
          <cell r="H929">
            <v>100.5</v>
          </cell>
          <cell r="I929">
            <v>124.21</v>
          </cell>
          <cell r="BS929">
            <v>19.909999999999997</v>
          </cell>
        </row>
        <row r="930">
          <cell r="B930">
            <v>41472</v>
          </cell>
          <cell r="D930">
            <v>109.77500000000001</v>
          </cell>
          <cell r="E930">
            <v>103.9</v>
          </cell>
          <cell r="H930">
            <v>98.63</v>
          </cell>
          <cell r="I930">
            <v>122.49</v>
          </cell>
          <cell r="BS930">
            <v>18.589999999999989</v>
          </cell>
        </row>
        <row r="931">
          <cell r="B931">
            <v>41473</v>
          </cell>
          <cell r="D931">
            <v>109.69</v>
          </cell>
          <cell r="E931">
            <v>104.95</v>
          </cell>
          <cell r="H931">
            <v>99.03</v>
          </cell>
          <cell r="I931">
            <v>121.88</v>
          </cell>
          <cell r="BS931">
            <v>16.929999999999993</v>
          </cell>
        </row>
        <row r="932">
          <cell r="B932">
            <v>41474</v>
          </cell>
          <cell r="D932">
            <v>109.51</v>
          </cell>
          <cell r="E932">
            <v>105.45</v>
          </cell>
          <cell r="H932">
            <v>100.05</v>
          </cell>
          <cell r="I932">
            <v>122.15</v>
          </cell>
          <cell r="BS932">
            <v>16.700000000000003</v>
          </cell>
        </row>
        <row r="933">
          <cell r="B933">
            <v>41477</v>
          </cell>
          <cell r="D933">
            <v>109.11499999999999</v>
          </cell>
          <cell r="E933">
            <v>105.5</v>
          </cell>
          <cell r="H933">
            <v>98.9</v>
          </cell>
          <cell r="I933">
            <v>120.78</v>
          </cell>
          <cell r="BS933">
            <v>15.280000000000001</v>
          </cell>
        </row>
        <row r="934">
          <cell r="B934">
            <v>41478</v>
          </cell>
          <cell r="D934">
            <v>109.395</v>
          </cell>
          <cell r="E934">
            <v>104.8</v>
          </cell>
          <cell r="H934">
            <v>98.01</v>
          </cell>
          <cell r="I934">
            <v>116.93</v>
          </cell>
          <cell r="BS934">
            <v>12.13000000000001</v>
          </cell>
        </row>
        <row r="935">
          <cell r="B935">
            <v>41479</v>
          </cell>
          <cell r="D935">
            <v>108.31</v>
          </cell>
          <cell r="E935">
            <v>104.85</v>
          </cell>
          <cell r="H935">
            <v>98.14</v>
          </cell>
          <cell r="I935">
            <v>117.1</v>
          </cell>
          <cell r="BS935">
            <v>12.25</v>
          </cell>
        </row>
        <row r="936">
          <cell r="B936">
            <v>41480</v>
          </cell>
          <cell r="D936">
            <v>108.34</v>
          </cell>
          <cell r="E936">
            <v>104.7</v>
          </cell>
          <cell r="H936">
            <v>97.34</v>
          </cell>
          <cell r="I936">
            <v>115.68</v>
          </cell>
          <cell r="BS936">
            <v>10.980000000000004</v>
          </cell>
        </row>
        <row r="937">
          <cell r="B937">
            <v>41481</v>
          </cell>
          <cell r="D937">
            <v>107.88</v>
          </cell>
          <cell r="E937">
            <v>104.8</v>
          </cell>
          <cell r="H937">
            <v>97.72</v>
          </cell>
          <cell r="I937">
            <v>115.15</v>
          </cell>
          <cell r="BS937">
            <v>10.350000000000009</v>
          </cell>
        </row>
        <row r="938">
          <cell r="B938">
            <v>41484</v>
          </cell>
          <cell r="D938">
            <v>108.405</v>
          </cell>
          <cell r="E938">
            <v>104.7</v>
          </cell>
          <cell r="H938">
            <v>97.16</v>
          </cell>
          <cell r="I938">
            <v>115.53</v>
          </cell>
          <cell r="BS938">
            <v>10.829999999999998</v>
          </cell>
        </row>
        <row r="939">
          <cell r="B939">
            <v>41485</v>
          </cell>
          <cell r="D939">
            <v>107.63</v>
          </cell>
          <cell r="E939">
            <v>104.65</v>
          </cell>
          <cell r="H939">
            <v>97.8</v>
          </cell>
          <cell r="I939">
            <v>115.43</v>
          </cell>
          <cell r="BS939">
            <v>10.780000000000001</v>
          </cell>
        </row>
        <row r="940">
          <cell r="B940">
            <v>41486</v>
          </cell>
          <cell r="D940">
            <v>107.825</v>
          </cell>
          <cell r="E940">
            <v>104.4</v>
          </cell>
          <cell r="H940">
            <v>96.86</v>
          </cell>
          <cell r="I940">
            <v>114</v>
          </cell>
          <cell r="BS940">
            <v>9.5999999999999943</v>
          </cell>
        </row>
        <row r="941">
          <cell r="B941">
            <v>41487</v>
          </cell>
          <cell r="D941">
            <v>110.175</v>
          </cell>
          <cell r="E941">
            <v>104.46</v>
          </cell>
          <cell r="H941">
            <v>97.38</v>
          </cell>
          <cell r="I941">
            <v>115</v>
          </cell>
          <cell r="BS941">
            <v>10.540000000000006</v>
          </cell>
        </row>
        <row r="942">
          <cell r="B942">
            <v>41488</v>
          </cell>
          <cell r="D942">
            <v>109.74</v>
          </cell>
          <cell r="E942">
            <v>105.81</v>
          </cell>
          <cell r="H942">
            <v>99.35</v>
          </cell>
          <cell r="I942">
            <v>115.58</v>
          </cell>
          <cell r="BS942">
            <v>9.769999999999996</v>
          </cell>
        </row>
        <row r="943">
          <cell r="B943">
            <v>41491</v>
          </cell>
          <cell r="D943">
            <v>110.015</v>
          </cell>
          <cell r="E943">
            <v>105.44</v>
          </cell>
          <cell r="H943">
            <v>99.32</v>
          </cell>
          <cell r="I943">
            <v>113.87</v>
          </cell>
          <cell r="BS943">
            <v>8.4300000000000068</v>
          </cell>
        </row>
        <row r="944">
          <cell r="B944">
            <v>41492</v>
          </cell>
          <cell r="D944">
            <v>108.89</v>
          </cell>
          <cell r="E944">
            <v>104.46</v>
          </cell>
          <cell r="H944">
            <v>98.68</v>
          </cell>
          <cell r="I944">
            <v>112.19</v>
          </cell>
          <cell r="BS944">
            <v>7.730000000000004</v>
          </cell>
        </row>
        <row r="945">
          <cell r="B945">
            <v>41493</v>
          </cell>
          <cell r="D945">
            <v>108.46</v>
          </cell>
          <cell r="E945">
            <v>103.79</v>
          </cell>
          <cell r="H945">
            <v>98.08</v>
          </cell>
          <cell r="I945">
            <v>112.71</v>
          </cell>
          <cell r="BS945">
            <v>8.9199999999999875</v>
          </cell>
        </row>
        <row r="946">
          <cell r="B946">
            <v>41494</v>
          </cell>
          <cell r="D946">
            <v>107.5</v>
          </cell>
          <cell r="E946" t="str">
            <v/>
          </cell>
          <cell r="H946">
            <v>0</v>
          </cell>
          <cell r="I946">
            <v>0</v>
          </cell>
          <cell r="BS946" t="e">
            <v>#N/A</v>
          </cell>
        </row>
        <row r="947">
          <cell r="B947">
            <v>41495</v>
          </cell>
          <cell r="D947">
            <v>108.55</v>
          </cell>
          <cell r="E947" t="str">
            <v/>
          </cell>
          <cell r="H947">
            <v>0</v>
          </cell>
          <cell r="I947">
            <v>0</v>
          </cell>
          <cell r="BS947" t="e">
            <v>#N/A</v>
          </cell>
        </row>
        <row r="948">
          <cell r="B948">
            <v>41498</v>
          </cell>
          <cell r="D948">
            <v>109.17</v>
          </cell>
          <cell r="E948">
            <v>103.89</v>
          </cell>
          <cell r="H948">
            <v>99</v>
          </cell>
          <cell r="I948">
            <v>112.88</v>
          </cell>
          <cell r="BS948">
            <v>8.9899999999999949</v>
          </cell>
        </row>
        <row r="949">
          <cell r="B949">
            <v>41499</v>
          </cell>
          <cell r="D949">
            <v>110.655</v>
          </cell>
          <cell r="E949">
            <v>105.7</v>
          </cell>
          <cell r="H949">
            <v>100.64</v>
          </cell>
          <cell r="I949">
            <v>114.91</v>
          </cell>
          <cell r="BS949">
            <v>9.2099999999999937</v>
          </cell>
        </row>
        <row r="950">
          <cell r="B950">
            <v>41500</v>
          </cell>
          <cell r="D950">
            <v>110.655</v>
          </cell>
          <cell r="E950">
            <v>105.54</v>
          </cell>
          <cell r="H950">
            <v>100.67</v>
          </cell>
          <cell r="I950">
            <v>114.2</v>
          </cell>
          <cell r="BS950">
            <v>8.6599999999999966</v>
          </cell>
        </row>
        <row r="951">
          <cell r="B951">
            <v>41501</v>
          </cell>
          <cell r="D951">
            <v>111.85</v>
          </cell>
          <cell r="E951">
            <v>107.1</v>
          </cell>
          <cell r="H951">
            <v>101.94</v>
          </cell>
          <cell r="I951">
            <v>114.37</v>
          </cell>
          <cell r="BS951">
            <v>7.2700000000000102</v>
          </cell>
        </row>
        <row r="952">
          <cell r="B952">
            <v>41502</v>
          </cell>
          <cell r="D952">
            <v>112.1</v>
          </cell>
          <cell r="E952">
            <v>106.85</v>
          </cell>
          <cell r="H952">
            <v>101.05</v>
          </cell>
          <cell r="I952">
            <v>114.18</v>
          </cell>
          <cell r="BS952">
            <v>7.3300000000000125</v>
          </cell>
        </row>
        <row r="953">
          <cell r="B953">
            <v>41505</v>
          </cell>
          <cell r="D953">
            <v>111.465</v>
          </cell>
          <cell r="E953">
            <v>107.34</v>
          </cell>
          <cell r="H953">
            <v>101.6</v>
          </cell>
          <cell r="I953">
            <v>114.91</v>
          </cell>
          <cell r="BS953">
            <v>7.5699999999999932</v>
          </cell>
        </row>
        <row r="954">
          <cell r="B954">
            <v>41506</v>
          </cell>
          <cell r="D954">
            <v>111.065</v>
          </cell>
          <cell r="E954">
            <v>106.39</v>
          </cell>
          <cell r="H954">
            <v>99.69</v>
          </cell>
          <cell r="I954">
            <v>112.97</v>
          </cell>
          <cell r="BS954">
            <v>6.5799999999999983</v>
          </cell>
        </row>
        <row r="955">
          <cell r="B955">
            <v>41507</v>
          </cell>
          <cell r="D955">
            <v>110.68</v>
          </cell>
          <cell r="E955">
            <v>106.7</v>
          </cell>
          <cell r="H955">
            <v>100.37</v>
          </cell>
          <cell r="I955">
            <v>113.1</v>
          </cell>
          <cell r="BS955">
            <v>6.3999999999999915</v>
          </cell>
        </row>
        <row r="956">
          <cell r="B956">
            <v>41508</v>
          </cell>
          <cell r="D956">
            <v>110.545</v>
          </cell>
          <cell r="E956">
            <v>107.6</v>
          </cell>
          <cell r="H956">
            <v>100.64</v>
          </cell>
          <cell r="I956">
            <v>112.76</v>
          </cell>
          <cell r="BS956">
            <v>5.1600000000000108</v>
          </cell>
        </row>
        <row r="957">
          <cell r="B957">
            <v>41509</v>
          </cell>
          <cell r="D957">
            <v>111.485</v>
          </cell>
          <cell r="E957">
            <v>108.11</v>
          </cell>
          <cell r="H957">
            <v>101.69</v>
          </cell>
          <cell r="I957">
            <v>113.6</v>
          </cell>
          <cell r="BS957">
            <v>5.4899999999999949</v>
          </cell>
        </row>
        <row r="958">
          <cell r="B958">
            <v>41512</v>
          </cell>
          <cell r="D958" t="str">
            <v/>
          </cell>
          <cell r="E958">
            <v>108.45</v>
          </cell>
          <cell r="H958">
            <v>102.63</v>
          </cell>
          <cell r="I958">
            <v>114.88</v>
          </cell>
          <cell r="BS958">
            <v>6.4299999999999926</v>
          </cell>
        </row>
        <row r="959">
          <cell r="B959">
            <v>41513</v>
          </cell>
          <cell r="D959">
            <v>115.16500000000001</v>
          </cell>
          <cell r="E959">
            <v>107.9</v>
          </cell>
          <cell r="H959">
            <v>102.02</v>
          </cell>
          <cell r="I959">
            <v>114.66</v>
          </cell>
          <cell r="BS959">
            <v>6.7599999999999909</v>
          </cell>
        </row>
        <row r="960">
          <cell r="B960">
            <v>41514</v>
          </cell>
          <cell r="D960">
            <v>116.065</v>
          </cell>
          <cell r="E960">
            <v>112.21</v>
          </cell>
          <cell r="H960">
            <v>105.33</v>
          </cell>
          <cell r="I960">
            <v>118.79</v>
          </cell>
          <cell r="BS960">
            <v>6.5800000000000125</v>
          </cell>
        </row>
        <row r="961">
          <cell r="B961">
            <v>41515</v>
          </cell>
          <cell r="D961">
            <v>116.69499999999999</v>
          </cell>
          <cell r="E961">
            <v>112.91</v>
          </cell>
          <cell r="H961">
            <v>105.58</v>
          </cell>
          <cell r="I961">
            <v>119.21</v>
          </cell>
          <cell r="BS961">
            <v>6.2999999999999972</v>
          </cell>
        </row>
        <row r="962">
          <cell r="B962">
            <v>41516</v>
          </cell>
          <cell r="D962">
            <v>115.375</v>
          </cell>
          <cell r="E962">
            <v>111.5</v>
          </cell>
          <cell r="H962">
            <v>104.45</v>
          </cell>
          <cell r="I962">
            <v>118.62</v>
          </cell>
          <cell r="BS962">
            <v>7.1200000000000045</v>
          </cell>
        </row>
        <row r="963">
          <cell r="B963">
            <v>41519</v>
          </cell>
          <cell r="D963">
            <v>114.605</v>
          </cell>
          <cell r="E963">
            <v>109.01</v>
          </cell>
          <cell r="H963">
            <v>104.4</v>
          </cell>
          <cell r="I963">
            <v>117.59</v>
          </cell>
          <cell r="BS963">
            <v>8.5799999999999983</v>
          </cell>
        </row>
        <row r="964">
          <cell r="B964">
            <v>41520</v>
          </cell>
          <cell r="D964">
            <v>115.57</v>
          </cell>
          <cell r="E964">
            <v>109.8</v>
          </cell>
          <cell r="H964">
            <v>105.49</v>
          </cell>
          <cell r="I964">
            <v>118.79</v>
          </cell>
          <cell r="BS964">
            <v>8.9900000000000091</v>
          </cell>
        </row>
        <row r="965">
          <cell r="B965">
            <v>41521</v>
          </cell>
          <cell r="D965">
            <v>115.72499999999999</v>
          </cell>
          <cell r="E965">
            <v>110.65</v>
          </cell>
          <cell r="H965">
            <v>105.6</v>
          </cell>
          <cell r="I965">
            <v>118.52</v>
          </cell>
          <cell r="BS965">
            <v>7.8699999999999903</v>
          </cell>
        </row>
        <row r="966">
          <cell r="B966">
            <v>41522</v>
          </cell>
          <cell r="D966">
            <v>115.57</v>
          </cell>
          <cell r="E966">
            <v>110.11</v>
          </cell>
          <cell r="H966">
            <v>105.22</v>
          </cell>
          <cell r="I966">
            <v>118.59</v>
          </cell>
          <cell r="BS966">
            <v>8.480000000000004</v>
          </cell>
        </row>
        <row r="967">
          <cell r="B967">
            <v>41523</v>
          </cell>
          <cell r="D967">
            <v>117.12</v>
          </cell>
          <cell r="E967">
            <v>110.4</v>
          </cell>
          <cell r="H967">
            <v>105.66</v>
          </cell>
          <cell r="I967">
            <v>117.83</v>
          </cell>
          <cell r="BS967">
            <v>7.4299999999999926</v>
          </cell>
        </row>
        <row r="968">
          <cell r="B968">
            <v>41526</v>
          </cell>
          <cell r="D968">
            <v>115.43</v>
          </cell>
          <cell r="E968">
            <v>110.7</v>
          </cell>
          <cell r="H968">
            <v>105.89</v>
          </cell>
          <cell r="I968">
            <v>117.57</v>
          </cell>
          <cell r="BS968">
            <v>6.8699999999999903</v>
          </cell>
        </row>
        <row r="969">
          <cell r="B969">
            <v>41527</v>
          </cell>
          <cell r="D969">
            <v>112.14</v>
          </cell>
          <cell r="E969">
            <v>109.15</v>
          </cell>
          <cell r="H969">
            <v>104.11</v>
          </cell>
          <cell r="I969">
            <v>114.39</v>
          </cell>
          <cell r="BS969">
            <v>5.2399999999999949</v>
          </cell>
        </row>
        <row r="970">
          <cell r="B970">
            <v>41528</v>
          </cell>
          <cell r="D970">
            <v>112.45</v>
          </cell>
          <cell r="E970">
            <v>108.85</v>
          </cell>
          <cell r="H970">
            <v>103.85</v>
          </cell>
          <cell r="I970">
            <v>112.87</v>
          </cell>
          <cell r="BS970">
            <v>4.0200000000000102</v>
          </cell>
        </row>
        <row r="971">
          <cell r="B971">
            <v>41529</v>
          </cell>
          <cell r="D971">
            <v>113.045</v>
          </cell>
          <cell r="E971">
            <v>109.21</v>
          </cell>
          <cell r="H971">
            <v>103.41</v>
          </cell>
          <cell r="I971">
            <v>112.36</v>
          </cell>
          <cell r="BS971">
            <v>3.1500000000000057</v>
          </cell>
        </row>
        <row r="972">
          <cell r="B972">
            <v>41530</v>
          </cell>
          <cell r="D972">
            <v>113.04</v>
          </cell>
          <cell r="E972">
            <v>109.41</v>
          </cell>
          <cell r="H972">
            <v>104.08</v>
          </cell>
          <cell r="I972">
            <v>113.77</v>
          </cell>
          <cell r="BS972">
            <v>4.3599999999999994</v>
          </cell>
        </row>
        <row r="973">
          <cell r="B973">
            <v>41533</v>
          </cell>
          <cell r="D973">
            <v>111.76</v>
          </cell>
          <cell r="E973">
            <v>109.21</v>
          </cell>
          <cell r="H973">
            <v>104.77</v>
          </cell>
          <cell r="I973">
            <v>113.61</v>
          </cell>
          <cell r="BS973">
            <v>4.4000000000000057</v>
          </cell>
        </row>
        <row r="974">
          <cell r="B974">
            <v>41534</v>
          </cell>
          <cell r="D974">
            <v>110.105</v>
          </cell>
          <cell r="E974">
            <v>107.91</v>
          </cell>
          <cell r="H974">
            <v>103</v>
          </cell>
          <cell r="I974">
            <v>112.16</v>
          </cell>
          <cell r="BS974">
            <v>4.25</v>
          </cell>
        </row>
        <row r="975">
          <cell r="B975">
            <v>41535</v>
          </cell>
          <cell r="D975">
            <v>109.97499999999999</v>
          </cell>
          <cell r="E975">
            <v>106.7</v>
          </cell>
          <cell r="H975">
            <v>101.52</v>
          </cell>
          <cell r="I975">
            <v>110.06</v>
          </cell>
          <cell r="BS975">
            <v>3.3599999999999994</v>
          </cell>
        </row>
        <row r="976">
          <cell r="B976">
            <v>41536</v>
          </cell>
          <cell r="D976">
            <v>110.86499999999999</v>
          </cell>
          <cell r="E976">
            <v>108.85</v>
          </cell>
          <cell r="H976">
            <v>102.51</v>
          </cell>
          <cell r="I976">
            <v>114.51</v>
          </cell>
          <cell r="BS976">
            <v>5.6600000000000108</v>
          </cell>
        </row>
        <row r="977">
          <cell r="B977">
            <v>41537</v>
          </cell>
          <cell r="D977">
            <v>110.11</v>
          </cell>
          <cell r="E977">
            <v>107.5</v>
          </cell>
          <cell r="H977">
            <v>101.44</v>
          </cell>
          <cell r="I977">
            <v>113.79</v>
          </cell>
          <cell r="BS977">
            <v>6.2900000000000063</v>
          </cell>
        </row>
        <row r="978">
          <cell r="B978">
            <v>41540</v>
          </cell>
          <cell r="D978">
            <v>108.645</v>
          </cell>
          <cell r="E978">
            <v>106.94</v>
          </cell>
          <cell r="H978">
            <v>100.85</v>
          </cell>
          <cell r="I978">
            <v>113.18</v>
          </cell>
          <cell r="BS978">
            <v>6.2400000000000091</v>
          </cell>
        </row>
        <row r="979">
          <cell r="B979">
            <v>41541</v>
          </cell>
          <cell r="D979">
            <v>107.79</v>
          </cell>
          <cell r="E979">
            <v>105.9</v>
          </cell>
          <cell r="H979">
            <v>99.74</v>
          </cell>
          <cell r="I979">
            <v>112.33</v>
          </cell>
          <cell r="BS979">
            <v>6.4299999999999926</v>
          </cell>
        </row>
        <row r="980">
          <cell r="B980">
            <v>41542</v>
          </cell>
          <cell r="D980">
            <v>109.61499999999999</v>
          </cell>
          <cell r="E980">
            <v>106.6</v>
          </cell>
          <cell r="H980">
            <v>99.79</v>
          </cell>
          <cell r="I980">
            <v>112.89</v>
          </cell>
          <cell r="BS980">
            <v>6.2900000000000063</v>
          </cell>
        </row>
        <row r="981">
          <cell r="B981">
            <v>41543</v>
          </cell>
          <cell r="D981">
            <v>108.88</v>
          </cell>
          <cell r="E981">
            <v>106</v>
          </cell>
          <cell r="H981">
            <v>99.29</v>
          </cell>
          <cell r="I981">
            <v>112.29</v>
          </cell>
          <cell r="BS981">
            <v>6.2900000000000063</v>
          </cell>
        </row>
        <row r="982">
          <cell r="B982">
            <v>41544</v>
          </cell>
          <cell r="D982">
            <v>109.245</v>
          </cell>
          <cell r="E982">
            <v>106.1</v>
          </cell>
          <cell r="H982">
            <v>99.42</v>
          </cell>
          <cell r="I982">
            <v>112.34</v>
          </cell>
          <cell r="BS982">
            <v>6.2400000000000091</v>
          </cell>
        </row>
        <row r="983">
          <cell r="B983">
            <v>41547</v>
          </cell>
          <cell r="D983">
            <v>108.08</v>
          </cell>
          <cell r="E983">
            <v>104.8</v>
          </cell>
          <cell r="H983">
            <v>97.93</v>
          </cell>
          <cell r="I983">
            <v>110.36</v>
          </cell>
          <cell r="BS983">
            <v>5.5600000000000023</v>
          </cell>
        </row>
        <row r="984">
          <cell r="B984">
            <v>41548</v>
          </cell>
          <cell r="D984">
            <v>107.44499999999999</v>
          </cell>
          <cell r="E984">
            <v>104.55</v>
          </cell>
          <cell r="H984">
            <v>97.5</v>
          </cell>
          <cell r="I984">
            <v>109.95</v>
          </cell>
          <cell r="BS984">
            <v>5.4000000000000057</v>
          </cell>
        </row>
        <row r="985">
          <cell r="B985">
            <v>41549</v>
          </cell>
          <cell r="D985">
            <v>109.155</v>
          </cell>
          <cell r="E985">
            <v>104.71</v>
          </cell>
          <cell r="H985">
            <v>97.12</v>
          </cell>
          <cell r="I985">
            <v>109.26</v>
          </cell>
          <cell r="BS985">
            <v>4.5500000000000114</v>
          </cell>
        </row>
        <row r="986">
          <cell r="B986">
            <v>41550</v>
          </cell>
          <cell r="D986">
            <v>109.38</v>
          </cell>
          <cell r="E986">
            <v>106.01</v>
          </cell>
          <cell r="H986">
            <v>98.57</v>
          </cell>
          <cell r="I986">
            <v>111.2</v>
          </cell>
          <cell r="BS986">
            <v>5.1899999999999977</v>
          </cell>
        </row>
        <row r="987">
          <cell r="B987">
            <v>41551</v>
          </cell>
          <cell r="D987">
            <v>109.5</v>
          </cell>
          <cell r="E987">
            <v>106.16</v>
          </cell>
          <cell r="H987">
            <v>98.31</v>
          </cell>
          <cell r="I987">
            <v>111.21</v>
          </cell>
          <cell r="BS987">
            <v>5.0499999999999972</v>
          </cell>
        </row>
        <row r="988">
          <cell r="B988">
            <v>41554</v>
          </cell>
          <cell r="D988">
            <v>109.91</v>
          </cell>
          <cell r="E988">
            <v>105.3</v>
          </cell>
          <cell r="H988">
            <v>96.66</v>
          </cell>
          <cell r="I988">
            <v>110.21</v>
          </cell>
          <cell r="BS988">
            <v>4.9099999999999966</v>
          </cell>
        </row>
        <row r="989">
          <cell r="B989">
            <v>41555</v>
          </cell>
          <cell r="D989">
            <v>110.73</v>
          </cell>
          <cell r="E989">
            <v>106.4</v>
          </cell>
          <cell r="H989">
            <v>98.73</v>
          </cell>
          <cell r="I989">
            <v>111.92</v>
          </cell>
          <cell r="BS989">
            <v>5.519999999999996</v>
          </cell>
        </row>
        <row r="990">
          <cell r="B990">
            <v>41556</v>
          </cell>
          <cell r="D990">
            <v>109.075</v>
          </cell>
          <cell r="E990">
            <v>106.81</v>
          </cell>
          <cell r="H990">
            <v>99.03</v>
          </cell>
          <cell r="I990">
            <v>112.3</v>
          </cell>
          <cell r="BS990">
            <v>5.4899999999999949</v>
          </cell>
        </row>
        <row r="991">
          <cell r="B991">
            <v>41557</v>
          </cell>
          <cell r="D991">
            <v>111.52</v>
          </cell>
          <cell r="E991">
            <v>106.9</v>
          </cell>
          <cell r="H991">
            <v>99.7</v>
          </cell>
          <cell r="I991">
            <v>112.32</v>
          </cell>
          <cell r="BS991">
            <v>5.4199999999999875</v>
          </cell>
        </row>
        <row r="992">
          <cell r="B992">
            <v>41558</v>
          </cell>
          <cell r="D992">
            <v>110.65</v>
          </cell>
          <cell r="E992">
            <v>108.13</v>
          </cell>
          <cell r="H992">
            <v>101.3</v>
          </cell>
          <cell r="I992">
            <v>114.09</v>
          </cell>
          <cell r="BS992">
            <v>5.960000000000008</v>
          </cell>
        </row>
        <row r="993">
          <cell r="B993">
            <v>41561</v>
          </cell>
          <cell r="D993">
            <v>110.11</v>
          </cell>
          <cell r="E993">
            <v>108.08</v>
          </cell>
          <cell r="H993">
            <v>101.23</v>
          </cell>
          <cell r="I993">
            <v>113.86</v>
          </cell>
          <cell r="BS993">
            <v>5.7800000000000011</v>
          </cell>
        </row>
        <row r="994">
          <cell r="B994">
            <v>41562</v>
          </cell>
          <cell r="D994">
            <v>110.17</v>
          </cell>
          <cell r="E994" t="str">
            <v/>
          </cell>
          <cell r="H994">
            <v>0</v>
          </cell>
          <cell r="I994">
            <v>0</v>
          </cell>
          <cell r="BS994" t="e">
            <v>#N/A</v>
          </cell>
        </row>
        <row r="995">
          <cell r="B995">
            <v>41563</v>
          </cell>
          <cell r="D995">
            <v>110.72499999999999</v>
          </cell>
          <cell r="E995">
            <v>107</v>
          </cell>
          <cell r="H995">
            <v>101.13</v>
          </cell>
          <cell r="I995">
            <v>112.95</v>
          </cell>
          <cell r="BS995">
            <v>5.9500000000000028</v>
          </cell>
        </row>
        <row r="996">
          <cell r="B996">
            <v>41564</v>
          </cell>
          <cell r="D996">
            <v>109.49</v>
          </cell>
          <cell r="E996">
            <v>107.55</v>
          </cell>
          <cell r="H996">
            <v>102.24</v>
          </cell>
          <cell r="I996">
            <v>113.56</v>
          </cell>
          <cell r="BS996">
            <v>6.0100000000000051</v>
          </cell>
        </row>
        <row r="997">
          <cell r="B997">
            <v>41565</v>
          </cell>
          <cell r="D997">
            <v>109.51</v>
          </cell>
          <cell r="E997">
            <v>106.7</v>
          </cell>
          <cell r="H997">
            <v>101.52</v>
          </cell>
          <cell r="I997">
            <v>111.99</v>
          </cell>
          <cell r="BS997">
            <v>5.289999999999992</v>
          </cell>
        </row>
        <row r="998">
          <cell r="B998">
            <v>41568</v>
          </cell>
          <cell r="D998">
            <v>109.49</v>
          </cell>
          <cell r="E998">
            <v>107.3</v>
          </cell>
          <cell r="H998">
            <v>102.06</v>
          </cell>
          <cell r="I998">
            <v>112.73</v>
          </cell>
          <cell r="BS998">
            <v>5.4300000000000068</v>
          </cell>
        </row>
        <row r="999">
          <cell r="B999">
            <v>41569</v>
          </cell>
          <cell r="D999">
            <v>109.09</v>
          </cell>
          <cell r="E999">
            <v>107.5</v>
          </cell>
          <cell r="H999">
            <v>102.04</v>
          </cell>
          <cell r="I999">
            <v>112.85</v>
          </cell>
          <cell r="BS999">
            <v>5.3499999999999943</v>
          </cell>
        </row>
        <row r="1000">
          <cell r="B1000">
            <v>41570</v>
          </cell>
          <cell r="D1000">
            <v>107.75</v>
          </cell>
          <cell r="E1000">
            <v>107.3</v>
          </cell>
          <cell r="H1000">
            <v>101.06</v>
          </cell>
          <cell r="I1000">
            <v>111.84</v>
          </cell>
          <cell r="BS1000">
            <v>4.5400000000000063</v>
          </cell>
        </row>
        <row r="1001">
          <cell r="B1001">
            <v>41571</v>
          </cell>
          <cell r="D1001">
            <v>106.66</v>
          </cell>
          <cell r="E1001">
            <v>106.5</v>
          </cell>
          <cell r="H1001">
            <v>99.58</v>
          </cell>
          <cell r="I1001">
            <v>110.58</v>
          </cell>
          <cell r="BS1001">
            <v>4.0799999999999983</v>
          </cell>
        </row>
        <row r="1002">
          <cell r="B1002">
            <v>41572</v>
          </cell>
          <cell r="D1002">
            <v>105.83</v>
          </cell>
          <cell r="E1002">
            <v>105.59</v>
          </cell>
          <cell r="H1002">
            <v>99.52</v>
          </cell>
          <cell r="I1002">
            <v>109.55</v>
          </cell>
          <cell r="BS1002">
            <v>3.9599999999999937</v>
          </cell>
        </row>
        <row r="1003">
          <cell r="B1003">
            <v>41575</v>
          </cell>
          <cell r="D1003">
            <v>107.89</v>
          </cell>
          <cell r="E1003">
            <v>105.8</v>
          </cell>
          <cell r="H1003">
            <v>100.16</v>
          </cell>
          <cell r="I1003">
            <v>110.17</v>
          </cell>
          <cell r="BS1003">
            <v>4.3700000000000045</v>
          </cell>
        </row>
        <row r="1004">
          <cell r="B1004">
            <v>41576</v>
          </cell>
          <cell r="D1004">
            <v>108.05</v>
          </cell>
          <cell r="E1004">
            <v>106.89</v>
          </cell>
          <cell r="H1004">
            <v>101.61</v>
          </cell>
          <cell r="I1004">
            <v>111.4</v>
          </cell>
          <cell r="BS1004">
            <v>4.5100000000000051</v>
          </cell>
        </row>
        <row r="1005">
          <cell r="B1005">
            <v>41577</v>
          </cell>
          <cell r="D1005">
            <v>108.41</v>
          </cell>
          <cell r="E1005">
            <v>106.91</v>
          </cell>
          <cell r="H1005">
            <v>101.94</v>
          </cell>
          <cell r="I1005">
            <v>110.39</v>
          </cell>
          <cell r="BS1005">
            <v>3.480000000000004</v>
          </cell>
        </row>
        <row r="1006">
          <cell r="B1006">
            <v>41578</v>
          </cell>
          <cell r="D1006">
            <v>107.465</v>
          </cell>
          <cell r="E1006">
            <v>107.91</v>
          </cell>
          <cell r="H1006">
            <v>103.35</v>
          </cell>
          <cell r="I1006">
            <v>110.92</v>
          </cell>
          <cell r="BS1006">
            <v>3.0100000000000051</v>
          </cell>
        </row>
        <row r="1007">
          <cell r="B1007">
            <v>41579</v>
          </cell>
          <cell r="D1007">
            <v>105.75</v>
          </cell>
          <cell r="E1007">
            <v>107.19</v>
          </cell>
          <cell r="H1007">
            <v>104.71</v>
          </cell>
          <cell r="I1007">
            <v>111.08</v>
          </cell>
          <cell r="BS1007">
            <v>3.8900000000000006</v>
          </cell>
        </row>
        <row r="1008">
          <cell r="B1008">
            <v>41582</v>
          </cell>
          <cell r="D1008">
            <v>105.02</v>
          </cell>
          <cell r="E1008">
            <v>105.35</v>
          </cell>
          <cell r="H1008">
            <v>102.92</v>
          </cell>
          <cell r="I1008">
            <v>108.55</v>
          </cell>
          <cell r="BS1008">
            <v>3.2000000000000028</v>
          </cell>
        </row>
        <row r="1009">
          <cell r="B1009">
            <v>41583</v>
          </cell>
          <cell r="D1009">
            <v>105.16500000000001</v>
          </cell>
          <cell r="E1009">
            <v>104.9</v>
          </cell>
          <cell r="H1009">
            <v>102.31</v>
          </cell>
          <cell r="I1009">
            <v>108.23</v>
          </cell>
          <cell r="BS1009">
            <v>3.3299999999999983</v>
          </cell>
        </row>
        <row r="1010">
          <cell r="B1010">
            <v>41584</v>
          </cell>
          <cell r="D1010">
            <v>105.505</v>
          </cell>
          <cell r="E1010">
            <v>104.6</v>
          </cell>
          <cell r="H1010">
            <v>101.59</v>
          </cell>
          <cell r="I1010">
            <v>108.39</v>
          </cell>
          <cell r="BS1010">
            <v>3.7900000000000063</v>
          </cell>
        </row>
        <row r="1011">
          <cell r="B1011">
            <v>41585</v>
          </cell>
          <cell r="D1011">
            <v>103.185</v>
          </cell>
          <cell r="E1011">
            <v>103.7</v>
          </cell>
          <cell r="H1011">
            <v>100.4</v>
          </cell>
          <cell r="I1011">
            <v>108.5</v>
          </cell>
          <cell r="BS1011">
            <v>4.7999999999999972</v>
          </cell>
        </row>
        <row r="1012">
          <cell r="B1012">
            <v>41586</v>
          </cell>
          <cell r="D1012">
            <v>104.25</v>
          </cell>
          <cell r="E1012">
            <v>102.4</v>
          </cell>
          <cell r="H1012">
            <v>100.15</v>
          </cell>
          <cell r="I1012">
            <v>107.88</v>
          </cell>
          <cell r="BS1012">
            <v>5.4799999999999898</v>
          </cell>
        </row>
        <row r="1013">
          <cell r="B1013">
            <v>41589</v>
          </cell>
          <cell r="D1013">
            <v>105.61</v>
          </cell>
          <cell r="E1013">
            <v>103.55</v>
          </cell>
          <cell r="H1013">
            <v>102.4</v>
          </cell>
          <cell r="I1013">
            <v>109.9</v>
          </cell>
          <cell r="BS1013">
            <v>6.3500000000000085</v>
          </cell>
        </row>
        <row r="1014">
          <cell r="B1014">
            <v>41590</v>
          </cell>
          <cell r="D1014">
            <v>106.21</v>
          </cell>
          <cell r="E1014">
            <v>104.4</v>
          </cell>
          <cell r="H1014">
            <v>102.67</v>
          </cell>
          <cell r="I1014">
            <v>110.98</v>
          </cell>
          <cell r="BS1014">
            <v>6.5799999999999983</v>
          </cell>
        </row>
        <row r="1015">
          <cell r="B1015">
            <v>41591</v>
          </cell>
          <cell r="D1015">
            <v>106.895</v>
          </cell>
          <cell r="E1015">
            <v>104.2</v>
          </cell>
          <cell r="H1015">
            <v>102.68</v>
          </cell>
          <cell r="I1015">
            <v>110.93</v>
          </cell>
          <cell r="BS1015">
            <v>6.730000000000004</v>
          </cell>
        </row>
        <row r="1016">
          <cell r="B1016">
            <v>41592</v>
          </cell>
          <cell r="D1016">
            <v>108.285</v>
          </cell>
          <cell r="E1016">
            <v>105.64</v>
          </cell>
          <cell r="H1016">
            <v>104.32</v>
          </cell>
          <cell r="I1016">
            <v>112.98</v>
          </cell>
          <cell r="BS1016">
            <v>7.3400000000000034</v>
          </cell>
        </row>
        <row r="1017">
          <cell r="B1017">
            <v>41593</v>
          </cell>
          <cell r="D1017">
            <v>108.22499999999999</v>
          </cell>
          <cell r="E1017">
            <v>106.59</v>
          </cell>
          <cell r="H1017">
            <v>104.23</v>
          </cell>
          <cell r="I1017">
            <v>114.15</v>
          </cell>
          <cell r="BS1017">
            <v>7.5600000000000023</v>
          </cell>
        </row>
        <row r="1018">
          <cell r="B1018">
            <v>41596</v>
          </cell>
          <cell r="D1018">
            <v>108.63500000000001</v>
          </cell>
          <cell r="E1018">
            <v>106.02500000000001</v>
          </cell>
          <cell r="H1018">
            <v>103.29</v>
          </cell>
          <cell r="I1018">
            <v>112.86</v>
          </cell>
          <cell r="BS1018">
            <v>6.8349999999999937</v>
          </cell>
        </row>
        <row r="1019">
          <cell r="B1019">
            <v>41597</v>
          </cell>
          <cell r="D1019">
            <v>108.245</v>
          </cell>
          <cell r="E1019">
            <v>106.05</v>
          </cell>
          <cell r="H1019">
            <v>102.9</v>
          </cell>
          <cell r="I1019">
            <v>112.74</v>
          </cell>
          <cell r="BS1019">
            <v>6.6899999999999977</v>
          </cell>
        </row>
        <row r="1020">
          <cell r="B1020">
            <v>41598</v>
          </cell>
          <cell r="D1020">
            <v>108.36</v>
          </cell>
          <cell r="E1020">
            <v>105.15</v>
          </cell>
          <cell r="H1020">
            <v>103.27</v>
          </cell>
          <cell r="I1020">
            <v>111.84</v>
          </cell>
          <cell r="BS1020">
            <v>6.6899999999999977</v>
          </cell>
        </row>
        <row r="1021">
          <cell r="B1021">
            <v>41599</v>
          </cell>
          <cell r="D1021">
            <v>109.875</v>
          </cell>
          <cell r="E1021">
            <v>105.86</v>
          </cell>
          <cell r="H1021">
            <v>104.7</v>
          </cell>
          <cell r="I1021">
            <v>113.06</v>
          </cell>
          <cell r="BS1021">
            <v>7.2000000000000028</v>
          </cell>
        </row>
        <row r="1022">
          <cell r="B1022">
            <v>41600</v>
          </cell>
          <cell r="D1022">
            <v>111.435</v>
          </cell>
          <cell r="E1022">
            <v>107.56</v>
          </cell>
          <cell r="H1022">
            <v>106.37</v>
          </cell>
          <cell r="I1022">
            <v>115.17</v>
          </cell>
          <cell r="BS1022">
            <v>7.6099999999999994</v>
          </cell>
        </row>
        <row r="1023">
          <cell r="B1023">
            <v>41603</v>
          </cell>
          <cell r="D1023">
            <v>111.08</v>
          </cell>
          <cell r="E1023">
            <v>106.81</v>
          </cell>
          <cell r="H1023">
            <v>105.38</v>
          </cell>
          <cell r="I1023">
            <v>114.04</v>
          </cell>
          <cell r="BS1023">
            <v>7.230000000000004</v>
          </cell>
        </row>
        <row r="1024">
          <cell r="B1024">
            <v>41604</v>
          </cell>
          <cell r="D1024">
            <v>112.105</v>
          </cell>
          <cell r="E1024">
            <v>108.55</v>
          </cell>
          <cell r="H1024">
            <v>105.96</v>
          </cell>
          <cell r="I1024">
            <v>115</v>
          </cell>
          <cell r="BS1024">
            <v>6.4500000000000028</v>
          </cell>
        </row>
        <row r="1025">
          <cell r="B1025">
            <v>41605</v>
          </cell>
          <cell r="D1025">
            <v>111.31</v>
          </cell>
          <cell r="E1025">
            <v>108.66</v>
          </cell>
          <cell r="H1025">
            <v>106.08</v>
          </cell>
          <cell r="I1025">
            <v>115.05</v>
          </cell>
          <cell r="BS1025">
            <v>6.3900000000000006</v>
          </cell>
        </row>
        <row r="1026">
          <cell r="B1026">
            <v>41606</v>
          </cell>
          <cell r="D1026">
            <v>111.27500000000001</v>
          </cell>
          <cell r="E1026">
            <v>108.99</v>
          </cell>
          <cell r="H1026">
            <v>105.52</v>
          </cell>
          <cell r="I1026">
            <v>114.94</v>
          </cell>
          <cell r="BS1026">
            <v>5.9500000000000028</v>
          </cell>
        </row>
        <row r="1027">
          <cell r="B1027">
            <v>41607</v>
          </cell>
          <cell r="D1027">
            <v>110.86499999999999</v>
          </cell>
          <cell r="E1027">
            <v>108.7</v>
          </cell>
          <cell r="H1027">
            <v>105.63</v>
          </cell>
          <cell r="I1027">
            <v>114.45</v>
          </cell>
          <cell r="BS1027">
            <v>5.75</v>
          </cell>
        </row>
        <row r="1028">
          <cell r="B1028">
            <v>41610</v>
          </cell>
          <cell r="D1028">
            <v>111.62</v>
          </cell>
          <cell r="E1028">
            <v>107.21</v>
          </cell>
          <cell r="H1028">
            <v>106.05</v>
          </cell>
          <cell r="I1028">
            <v>113.45</v>
          </cell>
          <cell r="BS1028">
            <v>6.2400000000000091</v>
          </cell>
        </row>
        <row r="1029">
          <cell r="B1029">
            <v>41611</v>
          </cell>
          <cell r="D1029">
            <v>113.16500000000001</v>
          </cell>
          <cell r="E1029">
            <v>108.21</v>
          </cell>
          <cell r="H1029">
            <v>107.96</v>
          </cell>
          <cell r="I1029">
            <v>114.23</v>
          </cell>
          <cell r="BS1029">
            <v>6.0200000000000102</v>
          </cell>
        </row>
        <row r="1030">
          <cell r="B1030">
            <v>41612</v>
          </cell>
          <cell r="D1030">
            <v>113.37</v>
          </cell>
          <cell r="E1030">
            <v>109.01</v>
          </cell>
          <cell r="H1030">
            <v>108.77</v>
          </cell>
          <cell r="I1030">
            <v>115.71</v>
          </cell>
          <cell r="BS1030">
            <v>6.6999999999999886</v>
          </cell>
        </row>
        <row r="1031">
          <cell r="B1031">
            <v>41613</v>
          </cell>
          <cell r="D1031">
            <v>112.19</v>
          </cell>
          <cell r="E1031">
            <v>108.36</v>
          </cell>
          <cell r="H1031">
            <v>107.88</v>
          </cell>
          <cell r="I1031">
            <v>114.93</v>
          </cell>
          <cell r="BS1031">
            <v>6.5700000000000074</v>
          </cell>
        </row>
        <row r="1032">
          <cell r="B1032">
            <v>41614</v>
          </cell>
          <cell r="D1032">
            <v>111.76</v>
          </cell>
          <cell r="E1032">
            <v>108.16</v>
          </cell>
          <cell r="H1032">
            <v>107.08</v>
          </cell>
          <cell r="I1032">
            <v>115.85</v>
          </cell>
          <cell r="BS1032">
            <v>7.6899999999999977</v>
          </cell>
        </row>
        <row r="1033">
          <cell r="B1033">
            <v>41617</v>
          </cell>
          <cell r="D1033">
            <v>109.95</v>
          </cell>
          <cell r="E1033">
            <v>108.42</v>
          </cell>
          <cell r="H1033">
            <v>107.13</v>
          </cell>
          <cell r="I1033">
            <v>116.4</v>
          </cell>
          <cell r="BS1033">
            <v>7.980000000000004</v>
          </cell>
        </row>
        <row r="1034">
          <cell r="B1034">
            <v>41618</v>
          </cell>
          <cell r="D1034">
            <v>108.955</v>
          </cell>
          <cell r="E1034">
            <v>107.07</v>
          </cell>
          <cell r="H1034">
            <v>105.6</v>
          </cell>
          <cell r="I1034">
            <v>115.27</v>
          </cell>
          <cell r="BS1034">
            <v>8.2000000000000028</v>
          </cell>
        </row>
        <row r="1035">
          <cell r="B1035">
            <v>41619</v>
          </cell>
          <cell r="D1035">
            <v>109.41500000000001</v>
          </cell>
          <cell r="E1035">
            <v>107.02</v>
          </cell>
          <cell r="H1035">
            <v>105.68</v>
          </cell>
          <cell r="I1035">
            <v>115.25</v>
          </cell>
          <cell r="BS1035">
            <v>8.230000000000004</v>
          </cell>
        </row>
        <row r="1036">
          <cell r="B1036">
            <v>41620</v>
          </cell>
          <cell r="D1036">
            <v>109</v>
          </cell>
          <cell r="E1036">
            <v>107.47</v>
          </cell>
          <cell r="H1036">
            <v>106.51</v>
          </cell>
          <cell r="I1036">
            <v>115.6</v>
          </cell>
          <cell r="BS1036">
            <v>8.1299999999999955</v>
          </cell>
        </row>
        <row r="1037">
          <cell r="B1037">
            <v>41621</v>
          </cell>
          <cell r="D1037">
            <v>108.16500000000001</v>
          </cell>
          <cell r="E1037">
            <v>106.26</v>
          </cell>
          <cell r="H1037">
            <v>106.34</v>
          </cell>
          <cell r="I1037">
            <v>114.35</v>
          </cell>
          <cell r="BS1037">
            <v>8.0899999999999892</v>
          </cell>
        </row>
        <row r="1038">
          <cell r="B1038">
            <v>41624</v>
          </cell>
          <cell r="D1038">
            <v>110.295</v>
          </cell>
          <cell r="E1038">
            <v>106.57</v>
          </cell>
          <cell r="H1038">
            <v>106.5</v>
          </cell>
          <cell r="I1038">
            <v>114.46</v>
          </cell>
          <cell r="BS1038">
            <v>7.8900000000000006</v>
          </cell>
        </row>
        <row r="1039">
          <cell r="B1039">
            <v>41625</v>
          </cell>
          <cell r="D1039">
            <v>108.925</v>
          </cell>
          <cell r="E1039">
            <v>106.64</v>
          </cell>
          <cell r="H1039">
            <v>106.78</v>
          </cell>
          <cell r="I1039">
            <v>114.71</v>
          </cell>
          <cell r="BS1039">
            <v>8.0699999999999932</v>
          </cell>
        </row>
        <row r="1040">
          <cell r="B1040">
            <v>41626</v>
          </cell>
          <cell r="D1040">
            <v>109.88</v>
          </cell>
          <cell r="E1040">
            <v>106.34</v>
          </cell>
          <cell r="H1040">
            <v>106.63</v>
          </cell>
          <cell r="I1040">
            <v>114.11</v>
          </cell>
          <cell r="BS1040">
            <v>7.769999999999996</v>
          </cell>
        </row>
        <row r="1041">
          <cell r="B1041">
            <v>41627</v>
          </cell>
          <cell r="D1041">
            <v>111.06</v>
          </cell>
          <cell r="E1041">
            <v>106.99</v>
          </cell>
          <cell r="H1041">
            <v>107.86</v>
          </cell>
          <cell r="I1041">
            <v>114.42</v>
          </cell>
          <cell r="BS1041">
            <v>7.4300000000000068</v>
          </cell>
        </row>
        <row r="1042">
          <cell r="B1042">
            <v>41628</v>
          </cell>
          <cell r="D1042">
            <v>112.235</v>
          </cell>
          <cell r="E1042">
            <v>107.77</v>
          </cell>
          <cell r="H1042">
            <v>108.33</v>
          </cell>
          <cell r="I1042">
            <v>115.9</v>
          </cell>
          <cell r="BS1042">
            <v>8.1300000000000097</v>
          </cell>
        </row>
        <row r="1043">
          <cell r="B1043">
            <v>41631</v>
          </cell>
          <cell r="D1043">
            <v>111.66</v>
          </cell>
          <cell r="E1043">
            <v>109.04</v>
          </cell>
          <cell r="H1043">
            <v>109.38</v>
          </cell>
          <cell r="I1043">
            <v>117.53</v>
          </cell>
          <cell r="BS1043">
            <v>8.4899999999999949</v>
          </cell>
        </row>
        <row r="1044">
          <cell r="B1044">
            <v>41632</v>
          </cell>
          <cell r="D1044">
            <v>111.4</v>
          </cell>
          <cell r="E1044">
            <v>109.11</v>
          </cell>
          <cell r="H1044">
            <v>108.76</v>
          </cell>
          <cell r="I1044">
            <v>117.3</v>
          </cell>
          <cell r="BS1044">
            <v>8.1899999999999977</v>
          </cell>
        </row>
        <row r="1045">
          <cell r="B1045">
            <v>41633</v>
          </cell>
          <cell r="D1045" t="str">
            <v/>
          </cell>
          <cell r="E1045" t="str">
            <v/>
          </cell>
          <cell r="H1045">
            <v>0</v>
          </cell>
          <cell r="I1045">
            <v>0</v>
          </cell>
          <cell r="BS1045" t="e">
            <v>#N/A</v>
          </cell>
        </row>
        <row r="1046">
          <cell r="B1046">
            <v>41634</v>
          </cell>
          <cell r="D1046" t="str">
            <v/>
          </cell>
          <cell r="E1046">
            <v>109.09</v>
          </cell>
          <cell r="H1046">
            <v>108.89</v>
          </cell>
          <cell r="I1046">
            <v>119.15</v>
          </cell>
          <cell r="BS1046">
            <v>10.060000000000002</v>
          </cell>
        </row>
        <row r="1047">
          <cell r="B1047">
            <v>41635</v>
          </cell>
          <cell r="D1047">
            <v>112.43</v>
          </cell>
          <cell r="E1047">
            <v>109.39</v>
          </cell>
          <cell r="H1047">
            <v>109.18</v>
          </cell>
          <cell r="I1047">
            <v>118.91</v>
          </cell>
          <cell r="BS1047">
            <v>9.519999999999996</v>
          </cell>
        </row>
        <row r="1048">
          <cell r="B1048">
            <v>41638</v>
          </cell>
          <cell r="D1048">
            <v>110.48</v>
          </cell>
          <cell r="E1048">
            <v>108.89</v>
          </cell>
          <cell r="H1048">
            <v>109.74</v>
          </cell>
          <cell r="I1048">
            <v>119.71</v>
          </cell>
          <cell r="BS1048">
            <v>10.819999999999993</v>
          </cell>
        </row>
        <row r="1049">
          <cell r="B1049">
            <v>41639</v>
          </cell>
          <cell r="D1049">
            <v>110.28</v>
          </cell>
          <cell r="E1049">
            <v>108.11</v>
          </cell>
          <cell r="H1049">
            <v>108.43</v>
          </cell>
          <cell r="I1049">
            <v>118.04</v>
          </cell>
          <cell r="BS1049">
            <v>9.9300000000000068</v>
          </cell>
        </row>
        <row r="1050">
          <cell r="B1050">
            <v>41640</v>
          </cell>
          <cell r="D1050" t="str">
            <v/>
          </cell>
          <cell r="E1050" t="str">
            <v/>
          </cell>
          <cell r="H1050">
            <v>0</v>
          </cell>
          <cell r="I1050">
            <v>0</v>
          </cell>
          <cell r="BS1050" t="e">
            <v>#N/A</v>
          </cell>
        </row>
        <row r="1051">
          <cell r="B1051">
            <v>41641</v>
          </cell>
          <cell r="D1051">
            <v>108.02</v>
          </cell>
          <cell r="E1051">
            <v>107.8</v>
          </cell>
          <cell r="H1051">
            <v>108.39</v>
          </cell>
          <cell r="I1051">
            <v>118.63</v>
          </cell>
          <cell r="BS1051">
            <v>10.829999999999998</v>
          </cell>
        </row>
        <row r="1052">
          <cell r="B1052">
            <v>41642</v>
          </cell>
          <cell r="D1052">
            <v>106.605</v>
          </cell>
          <cell r="E1052">
            <v>105.24</v>
          </cell>
          <cell r="H1052">
            <v>106.67</v>
          </cell>
          <cell r="I1052">
            <v>115.93</v>
          </cell>
          <cell r="BS1052">
            <v>10.690000000000012</v>
          </cell>
        </row>
        <row r="1053">
          <cell r="B1053">
            <v>41645</v>
          </cell>
          <cell r="D1053">
            <v>106.57</v>
          </cell>
          <cell r="E1053">
            <v>104.26</v>
          </cell>
          <cell r="H1053">
            <v>105.1</v>
          </cell>
          <cell r="I1053">
            <v>114.3</v>
          </cell>
          <cell r="BS1053">
            <v>10.039999999999992</v>
          </cell>
        </row>
        <row r="1054">
          <cell r="B1054">
            <v>41646</v>
          </cell>
          <cell r="D1054">
            <v>106.935</v>
          </cell>
          <cell r="E1054">
            <v>104.32</v>
          </cell>
          <cell r="H1054">
            <v>105.17</v>
          </cell>
          <cell r="I1054">
            <v>114.48</v>
          </cell>
          <cell r="BS1054">
            <v>10.160000000000011</v>
          </cell>
        </row>
        <row r="1055">
          <cell r="B1055">
            <v>41647</v>
          </cell>
          <cell r="D1055">
            <v>107.355</v>
          </cell>
          <cell r="E1055">
            <v>104.35</v>
          </cell>
          <cell r="H1055">
            <v>105.49</v>
          </cell>
          <cell r="I1055">
            <v>114.7</v>
          </cell>
          <cell r="BS1055">
            <v>10.350000000000009</v>
          </cell>
        </row>
        <row r="1056">
          <cell r="B1056">
            <v>41648</v>
          </cell>
          <cell r="D1056">
            <v>107.33</v>
          </cell>
          <cell r="E1056">
            <v>104.15</v>
          </cell>
          <cell r="H1056">
            <v>105.89</v>
          </cell>
          <cell r="I1056">
            <v>114.08</v>
          </cell>
          <cell r="BS1056">
            <v>9.9299999999999926</v>
          </cell>
        </row>
        <row r="1057">
          <cell r="B1057">
            <v>41649</v>
          </cell>
          <cell r="D1057">
            <v>106.55</v>
          </cell>
          <cell r="E1057">
            <v>104.01</v>
          </cell>
          <cell r="H1057">
            <v>106.45</v>
          </cell>
          <cell r="I1057">
            <v>114.14</v>
          </cell>
          <cell r="BS1057">
            <v>10.129999999999995</v>
          </cell>
        </row>
        <row r="1058">
          <cell r="B1058">
            <v>41652</v>
          </cell>
          <cell r="D1058">
            <v>108.355</v>
          </cell>
          <cell r="E1058">
            <v>103.45</v>
          </cell>
          <cell r="H1058">
            <v>105.96</v>
          </cell>
          <cell r="I1058">
            <v>115.37</v>
          </cell>
          <cell r="BS1058">
            <v>11.920000000000002</v>
          </cell>
        </row>
        <row r="1059">
          <cell r="B1059">
            <v>41653</v>
          </cell>
          <cell r="D1059">
            <v>107.39</v>
          </cell>
          <cell r="E1059">
            <v>103.2</v>
          </cell>
          <cell r="H1059">
            <v>104.1</v>
          </cell>
          <cell r="I1059">
            <v>114.3</v>
          </cell>
          <cell r="BS1059">
            <v>11.099999999999994</v>
          </cell>
        </row>
        <row r="1060">
          <cell r="B1060">
            <v>41654</v>
          </cell>
          <cell r="D1060">
            <v>108.245</v>
          </cell>
          <cell r="E1060">
            <v>102.62</v>
          </cell>
          <cell r="H1060">
            <v>103.19</v>
          </cell>
          <cell r="I1060">
            <v>113.24</v>
          </cell>
          <cell r="BS1060">
            <v>10.61999999999999</v>
          </cell>
        </row>
        <row r="1061">
          <cell r="B1061">
            <v>41655</v>
          </cell>
          <cell r="D1061">
            <v>107.575</v>
          </cell>
          <cell r="E1061">
            <v>103.05</v>
          </cell>
          <cell r="H1061">
            <v>103.25</v>
          </cell>
          <cell r="I1061">
            <v>113.88</v>
          </cell>
          <cell r="BS1061">
            <v>10.829999999999998</v>
          </cell>
        </row>
        <row r="1062">
          <cell r="B1062">
            <v>41656</v>
          </cell>
          <cell r="D1062">
            <v>108.52500000000001</v>
          </cell>
          <cell r="E1062">
            <v>102.8</v>
          </cell>
          <cell r="H1062">
            <v>102.09</v>
          </cell>
          <cell r="I1062">
            <v>113.38</v>
          </cell>
          <cell r="BS1062">
            <v>10.579999999999998</v>
          </cell>
        </row>
        <row r="1063">
          <cell r="B1063">
            <v>41659</v>
          </cell>
          <cell r="D1063">
            <v>108.63</v>
          </cell>
          <cell r="E1063">
            <v>103.2</v>
          </cell>
          <cell r="H1063">
            <v>102.15</v>
          </cell>
          <cell r="I1063">
            <v>113.47</v>
          </cell>
          <cell r="BS1063">
            <v>10.269999999999996</v>
          </cell>
        </row>
        <row r="1064">
          <cell r="B1064">
            <v>41660</v>
          </cell>
          <cell r="D1064">
            <v>109.72</v>
          </cell>
          <cell r="E1064">
            <v>103.69</v>
          </cell>
          <cell r="H1064">
            <v>102.93</v>
          </cell>
          <cell r="I1064">
            <v>114.44</v>
          </cell>
          <cell r="BS1064">
            <v>10.75</v>
          </cell>
        </row>
        <row r="1065">
          <cell r="B1065">
            <v>41661</v>
          </cell>
          <cell r="D1065">
            <v>110.2</v>
          </cell>
          <cell r="E1065">
            <v>103.9</v>
          </cell>
          <cell r="H1065">
            <v>104.11</v>
          </cell>
          <cell r="I1065">
            <v>114.53</v>
          </cell>
          <cell r="BS1065">
            <v>10.629999999999995</v>
          </cell>
        </row>
        <row r="1066">
          <cell r="B1066">
            <v>41662</v>
          </cell>
          <cell r="D1066">
            <v>110.11499999999999</v>
          </cell>
          <cell r="E1066">
            <v>104.59</v>
          </cell>
          <cell r="H1066">
            <v>105.06</v>
          </cell>
          <cell r="I1066">
            <v>115.75</v>
          </cell>
          <cell r="BS1066">
            <v>11.159999999999997</v>
          </cell>
        </row>
        <row r="1067">
          <cell r="B1067">
            <v>41663</v>
          </cell>
          <cell r="D1067">
            <v>109.39</v>
          </cell>
          <cell r="E1067">
            <v>104.3</v>
          </cell>
          <cell r="H1067">
            <v>104.73</v>
          </cell>
          <cell r="I1067">
            <v>114.99</v>
          </cell>
          <cell r="BS1067">
            <v>10.689999999999998</v>
          </cell>
        </row>
        <row r="1068">
          <cell r="B1068">
            <v>41666</v>
          </cell>
          <cell r="D1068">
            <v>108.69</v>
          </cell>
          <cell r="E1068">
            <v>104.21</v>
          </cell>
          <cell r="H1068">
            <v>104.56</v>
          </cell>
          <cell r="I1068">
            <v>114.85</v>
          </cell>
          <cell r="BS1068">
            <v>10.64</v>
          </cell>
        </row>
        <row r="1069">
          <cell r="B1069">
            <v>41667</v>
          </cell>
          <cell r="D1069">
            <v>108.595</v>
          </cell>
          <cell r="E1069">
            <v>103.88</v>
          </cell>
          <cell r="H1069">
            <v>103.12</v>
          </cell>
          <cell r="I1069">
            <v>114.05</v>
          </cell>
          <cell r="BS1069">
            <v>10.170000000000002</v>
          </cell>
        </row>
        <row r="1070">
          <cell r="B1070">
            <v>41668</v>
          </cell>
          <cell r="D1070">
            <v>108.91500000000001</v>
          </cell>
          <cell r="E1070">
            <v>103.69</v>
          </cell>
          <cell r="H1070">
            <v>102.57</v>
          </cell>
          <cell r="I1070">
            <v>114.33</v>
          </cell>
          <cell r="BS1070">
            <v>10.64</v>
          </cell>
        </row>
        <row r="1071">
          <cell r="B1071">
            <v>41669</v>
          </cell>
          <cell r="D1071">
            <v>109.675</v>
          </cell>
          <cell r="E1071">
            <v>103.705</v>
          </cell>
          <cell r="H1071">
            <v>102.96</v>
          </cell>
          <cell r="I1071">
            <v>115.01</v>
          </cell>
          <cell r="BS1071">
            <v>11.305000000000007</v>
          </cell>
        </row>
        <row r="1072">
          <cell r="B1072">
            <v>41670</v>
          </cell>
          <cell r="D1072">
            <v>108.175</v>
          </cell>
          <cell r="E1072" t="str">
            <v/>
          </cell>
          <cell r="H1072">
            <v>0</v>
          </cell>
          <cell r="I1072">
            <v>0</v>
          </cell>
          <cell r="BS1072" t="e">
            <v>#N/A</v>
          </cell>
        </row>
        <row r="1073">
          <cell r="B1073">
            <v>41673</v>
          </cell>
          <cell r="D1073">
            <v>106.82</v>
          </cell>
          <cell r="E1073">
            <v>102.2</v>
          </cell>
          <cell r="H1073">
            <v>102.1</v>
          </cell>
          <cell r="I1073">
            <v>113.06</v>
          </cell>
          <cell r="BS1073">
            <v>10.86</v>
          </cell>
        </row>
        <row r="1074">
          <cell r="B1074">
            <v>41674</v>
          </cell>
          <cell r="D1074">
            <v>107.285</v>
          </cell>
          <cell r="E1074">
            <v>101.99</v>
          </cell>
          <cell r="H1074">
            <v>102.24</v>
          </cell>
          <cell r="I1074">
            <v>112.62</v>
          </cell>
          <cell r="BS1074">
            <v>10.63000000000001</v>
          </cell>
        </row>
        <row r="1075">
          <cell r="B1075">
            <v>41675</v>
          </cell>
          <cell r="D1075">
            <v>107.02</v>
          </cell>
          <cell r="E1075">
            <v>102.2</v>
          </cell>
          <cell r="H1075">
            <v>101.51</v>
          </cell>
          <cell r="I1075">
            <v>112.44</v>
          </cell>
          <cell r="BS1075">
            <v>10.239999999999995</v>
          </cell>
        </row>
        <row r="1076">
          <cell r="B1076">
            <v>41676</v>
          </cell>
          <cell r="D1076">
            <v>108.09</v>
          </cell>
          <cell r="E1076">
            <v>102.59</v>
          </cell>
          <cell r="H1076">
            <v>101.35</v>
          </cell>
          <cell r="I1076">
            <v>112.78</v>
          </cell>
          <cell r="BS1076">
            <v>10.189999999999998</v>
          </cell>
        </row>
        <row r="1077">
          <cell r="B1077">
            <v>41677</v>
          </cell>
          <cell r="D1077">
            <v>109.235</v>
          </cell>
          <cell r="E1077">
            <v>103.35</v>
          </cell>
          <cell r="H1077">
            <v>102.03</v>
          </cell>
          <cell r="I1077">
            <v>114</v>
          </cell>
          <cell r="BS1077">
            <v>10.650000000000006</v>
          </cell>
        </row>
        <row r="1078">
          <cell r="B1078">
            <v>41680</v>
          </cell>
          <cell r="D1078">
            <v>110.235</v>
          </cell>
          <cell r="E1078">
            <v>104.9</v>
          </cell>
          <cell r="H1078">
            <v>102.69</v>
          </cell>
          <cell r="I1078">
            <v>117.12</v>
          </cell>
          <cell r="BS1078">
            <v>12.219999999999999</v>
          </cell>
        </row>
        <row r="1079">
          <cell r="B1079">
            <v>41681</v>
          </cell>
          <cell r="D1079">
            <v>109.405</v>
          </cell>
          <cell r="E1079">
            <v>104.95</v>
          </cell>
          <cell r="H1079">
            <v>101.94</v>
          </cell>
          <cell r="I1079">
            <v>117.34</v>
          </cell>
          <cell r="BS1079">
            <v>12.39</v>
          </cell>
        </row>
        <row r="1080">
          <cell r="B1080">
            <v>41682</v>
          </cell>
          <cell r="D1080">
            <v>108.9</v>
          </cell>
          <cell r="E1080">
            <v>105.2</v>
          </cell>
          <cell r="H1080">
            <v>101.86</v>
          </cell>
          <cell r="I1080">
            <v>118.09</v>
          </cell>
          <cell r="BS1080">
            <v>12.89</v>
          </cell>
        </row>
        <row r="1081">
          <cell r="B1081">
            <v>41683</v>
          </cell>
          <cell r="D1081">
            <v>108.88500000000001</v>
          </cell>
          <cell r="E1081">
            <v>104.85</v>
          </cell>
          <cell r="H1081">
            <v>100.89</v>
          </cell>
          <cell r="I1081">
            <v>117.1</v>
          </cell>
          <cell r="BS1081">
            <v>12.25</v>
          </cell>
        </row>
        <row r="1082">
          <cell r="B1082">
            <v>41684</v>
          </cell>
          <cell r="D1082">
            <v>108.595</v>
          </cell>
          <cell r="E1082">
            <v>105.46</v>
          </cell>
          <cell r="H1082">
            <v>101.34</v>
          </cell>
          <cell r="I1082">
            <v>117.44</v>
          </cell>
          <cell r="BS1082">
            <v>11.980000000000004</v>
          </cell>
        </row>
        <row r="1083">
          <cell r="B1083">
            <v>41687</v>
          </cell>
          <cell r="D1083">
            <v>108.995</v>
          </cell>
          <cell r="E1083">
            <v>106.19</v>
          </cell>
          <cell r="H1083">
            <v>102.3</v>
          </cell>
          <cell r="I1083">
            <v>118.38</v>
          </cell>
          <cell r="BS1083">
            <v>12.189999999999998</v>
          </cell>
        </row>
        <row r="1084">
          <cell r="B1084">
            <v>41688</v>
          </cell>
          <cell r="D1084">
            <v>109.97499999999999</v>
          </cell>
          <cell r="E1084">
            <v>106.06</v>
          </cell>
          <cell r="H1084">
            <v>102.33</v>
          </cell>
          <cell r="I1084">
            <v>117.84</v>
          </cell>
          <cell r="BS1084">
            <v>11.780000000000001</v>
          </cell>
        </row>
        <row r="1085">
          <cell r="B1085">
            <v>41689</v>
          </cell>
          <cell r="D1085">
            <v>110.13500000000001</v>
          </cell>
          <cell r="E1085">
            <v>106.85</v>
          </cell>
          <cell r="H1085">
            <v>102.93</v>
          </cell>
          <cell r="I1085">
            <v>118.22</v>
          </cell>
          <cell r="BS1085">
            <v>11.370000000000005</v>
          </cell>
        </row>
        <row r="1086">
          <cell r="B1086">
            <v>41690</v>
          </cell>
          <cell r="D1086">
            <v>109.38</v>
          </cell>
          <cell r="E1086">
            <v>106.8</v>
          </cell>
          <cell r="H1086">
            <v>102.62</v>
          </cell>
          <cell r="I1086">
            <v>117.87</v>
          </cell>
          <cell r="BS1086">
            <v>11.070000000000007</v>
          </cell>
        </row>
        <row r="1087">
          <cell r="B1087">
            <v>41691</v>
          </cell>
          <cell r="D1087">
            <v>108.88</v>
          </cell>
          <cell r="E1087">
            <v>106.96</v>
          </cell>
          <cell r="H1087">
            <v>102.59</v>
          </cell>
          <cell r="I1087">
            <v>118.36</v>
          </cell>
          <cell r="BS1087">
            <v>11.400000000000006</v>
          </cell>
        </row>
        <row r="1088">
          <cell r="B1088">
            <v>41694</v>
          </cell>
          <cell r="D1088">
            <v>109.62</v>
          </cell>
          <cell r="E1088">
            <v>106.45</v>
          </cell>
          <cell r="H1088">
            <v>103.12</v>
          </cell>
          <cell r="I1088">
            <v>118.58</v>
          </cell>
          <cell r="BS1088">
            <v>12.129999999999995</v>
          </cell>
        </row>
        <row r="1089">
          <cell r="B1089">
            <v>41695</v>
          </cell>
          <cell r="D1089">
            <v>109.1</v>
          </cell>
          <cell r="E1089">
            <v>106.6</v>
          </cell>
          <cell r="H1089">
            <v>104.38</v>
          </cell>
          <cell r="I1089">
            <v>119.08</v>
          </cell>
          <cell r="BS1089">
            <v>12.480000000000004</v>
          </cell>
        </row>
        <row r="1090">
          <cell r="B1090">
            <v>41696</v>
          </cell>
          <cell r="D1090">
            <v>109.4</v>
          </cell>
          <cell r="E1090">
            <v>105.9</v>
          </cell>
          <cell r="H1090">
            <v>103.39</v>
          </cell>
          <cell r="I1090">
            <v>118.09</v>
          </cell>
          <cell r="BS1090">
            <v>12.189999999999998</v>
          </cell>
        </row>
        <row r="1091">
          <cell r="B1091">
            <v>41697</v>
          </cell>
          <cell r="D1091">
            <v>108.52500000000001</v>
          </cell>
          <cell r="E1091">
            <v>105.8</v>
          </cell>
          <cell r="H1091">
            <v>102.95</v>
          </cell>
          <cell r="I1091">
            <v>118.01</v>
          </cell>
          <cell r="BS1091">
            <v>12.210000000000008</v>
          </cell>
        </row>
        <row r="1092">
          <cell r="B1092">
            <v>41698</v>
          </cell>
          <cell r="D1092">
            <v>108.825</v>
          </cell>
          <cell r="E1092">
            <v>105.41</v>
          </cell>
          <cell r="H1092">
            <v>102.79</v>
          </cell>
          <cell r="I1092">
            <v>117.55</v>
          </cell>
          <cell r="BS1092">
            <v>12.14</v>
          </cell>
        </row>
        <row r="1093">
          <cell r="B1093">
            <v>41701</v>
          </cell>
          <cell r="D1093">
            <v>111.30500000000001</v>
          </cell>
          <cell r="E1093">
            <v>107.24</v>
          </cell>
          <cell r="H1093">
            <v>104.72</v>
          </cell>
          <cell r="I1093">
            <v>119.85</v>
          </cell>
          <cell r="BS1093">
            <v>12.61</v>
          </cell>
        </row>
        <row r="1094">
          <cell r="B1094">
            <v>41702</v>
          </cell>
          <cell r="D1094">
            <v>109.19</v>
          </cell>
          <cell r="E1094">
            <v>106.06</v>
          </cell>
          <cell r="H1094">
            <v>103.31</v>
          </cell>
          <cell r="I1094">
            <v>118.33</v>
          </cell>
          <cell r="BS1094">
            <v>12.269999999999996</v>
          </cell>
        </row>
        <row r="1095">
          <cell r="B1095">
            <v>41703</v>
          </cell>
          <cell r="D1095">
            <v>108.505</v>
          </cell>
          <cell r="E1095">
            <v>105.35</v>
          </cell>
          <cell r="H1095">
            <v>102.18</v>
          </cell>
          <cell r="I1095">
            <v>118.18</v>
          </cell>
          <cell r="BS1095">
            <v>12.830000000000013</v>
          </cell>
        </row>
        <row r="1096">
          <cell r="B1096">
            <v>41704</v>
          </cell>
          <cell r="D1096">
            <v>108.08499999999999</v>
          </cell>
          <cell r="E1096">
            <v>103.96</v>
          </cell>
          <cell r="H1096">
            <v>101.16</v>
          </cell>
          <cell r="I1096">
            <v>117.16</v>
          </cell>
          <cell r="BS1096">
            <v>13.200000000000003</v>
          </cell>
        </row>
        <row r="1097">
          <cell r="B1097">
            <v>41705</v>
          </cell>
          <cell r="D1097">
            <v>109.19</v>
          </cell>
          <cell r="E1097">
            <v>104.35</v>
          </cell>
          <cell r="H1097">
            <v>101.11</v>
          </cell>
          <cell r="I1097">
            <v>118.14</v>
          </cell>
          <cell r="BS1097">
            <v>13.790000000000006</v>
          </cell>
        </row>
        <row r="1098">
          <cell r="B1098">
            <v>41708</v>
          </cell>
          <cell r="D1098">
            <v>108.38500000000001</v>
          </cell>
          <cell r="E1098">
            <v>104.2</v>
          </cell>
          <cell r="H1098">
            <v>101.12</v>
          </cell>
          <cell r="I1098">
            <v>118.14</v>
          </cell>
          <cell r="BS1098">
            <v>13.939999999999998</v>
          </cell>
        </row>
        <row r="1099">
          <cell r="B1099">
            <v>41709</v>
          </cell>
          <cell r="D1099">
            <v>108.495</v>
          </cell>
          <cell r="E1099">
            <v>104.21</v>
          </cell>
          <cell r="H1099">
            <v>101.7</v>
          </cell>
          <cell r="I1099">
            <v>118.02</v>
          </cell>
          <cell r="BS1099">
            <v>13.810000000000002</v>
          </cell>
        </row>
        <row r="1100">
          <cell r="B1100">
            <v>41710</v>
          </cell>
          <cell r="D1100">
            <v>107.965</v>
          </cell>
          <cell r="E1100">
            <v>103.8</v>
          </cell>
          <cell r="H1100">
            <v>101.67</v>
          </cell>
          <cell r="I1100">
            <v>117.5</v>
          </cell>
          <cell r="BS1100">
            <v>13.700000000000003</v>
          </cell>
        </row>
        <row r="1101">
          <cell r="B1101">
            <v>41711</v>
          </cell>
          <cell r="D1101">
            <v>107.11499999999999</v>
          </cell>
          <cell r="E1101">
            <v>104.15</v>
          </cell>
          <cell r="H1101">
            <v>102.2</v>
          </cell>
          <cell r="I1101">
            <v>117.33</v>
          </cell>
          <cell r="BS1101">
            <v>13.179999999999993</v>
          </cell>
        </row>
        <row r="1102">
          <cell r="B1102">
            <v>41712</v>
          </cell>
          <cell r="D1102">
            <v>108.145</v>
          </cell>
          <cell r="E1102">
            <v>103.955</v>
          </cell>
          <cell r="H1102">
            <v>102.31</v>
          </cell>
          <cell r="I1102">
            <v>116.78</v>
          </cell>
          <cell r="BS1102">
            <v>12.825000000000003</v>
          </cell>
        </row>
        <row r="1103">
          <cell r="B1103">
            <v>41715</v>
          </cell>
          <cell r="D1103">
            <v>107.14</v>
          </cell>
          <cell r="E1103">
            <v>104.6</v>
          </cell>
          <cell r="H1103">
            <v>102.27</v>
          </cell>
          <cell r="I1103">
            <v>116.75</v>
          </cell>
          <cell r="BS1103">
            <v>12.150000000000006</v>
          </cell>
        </row>
        <row r="1104">
          <cell r="B1104">
            <v>41716</v>
          </cell>
          <cell r="D1104">
            <v>106.85</v>
          </cell>
          <cell r="E1104">
            <v>103.45</v>
          </cell>
          <cell r="H1104">
            <v>100.98</v>
          </cell>
          <cell r="I1104">
            <v>115.08</v>
          </cell>
          <cell r="BS1104">
            <v>11.629999999999995</v>
          </cell>
        </row>
        <row r="1105">
          <cell r="B1105">
            <v>41717</v>
          </cell>
          <cell r="D1105">
            <v>106.05</v>
          </cell>
          <cell r="E1105">
            <v>103.41</v>
          </cell>
          <cell r="H1105">
            <v>101.04</v>
          </cell>
          <cell r="I1105">
            <v>115.17</v>
          </cell>
          <cell r="BS1105">
            <v>11.760000000000005</v>
          </cell>
        </row>
        <row r="1106">
          <cell r="B1106">
            <v>41718</v>
          </cell>
          <cell r="D1106">
            <v>105.715</v>
          </cell>
          <cell r="E1106">
            <v>102.96</v>
          </cell>
          <cell r="H1106">
            <v>101.35</v>
          </cell>
          <cell r="I1106">
            <v>114.29</v>
          </cell>
          <cell r="BS1106">
            <v>11.330000000000013</v>
          </cell>
        </row>
        <row r="1107">
          <cell r="B1107">
            <v>41719</v>
          </cell>
          <cell r="D1107">
            <v>107.285</v>
          </cell>
          <cell r="E1107">
            <v>103.64</v>
          </cell>
          <cell r="H1107">
            <v>101.97</v>
          </cell>
          <cell r="I1107">
            <v>115.41</v>
          </cell>
          <cell r="BS1107">
            <v>11.769999999999996</v>
          </cell>
        </row>
        <row r="1108">
          <cell r="B1108">
            <v>41722</v>
          </cell>
          <cell r="D1108">
            <v>106.655</v>
          </cell>
          <cell r="E1108">
            <v>103.6</v>
          </cell>
          <cell r="H1108">
            <v>102.08</v>
          </cell>
          <cell r="I1108">
            <v>115.01</v>
          </cell>
          <cell r="BS1108">
            <v>11.410000000000011</v>
          </cell>
        </row>
        <row r="1109">
          <cell r="B1109">
            <v>41723</v>
          </cell>
          <cell r="D1109">
            <v>107.02</v>
          </cell>
          <cell r="E1109">
            <v>104</v>
          </cell>
          <cell r="H1109">
            <v>102.5</v>
          </cell>
          <cell r="I1109">
            <v>114.55</v>
          </cell>
          <cell r="BS1109">
            <v>10.549999999999997</v>
          </cell>
        </row>
        <row r="1110">
          <cell r="B1110">
            <v>41724</v>
          </cell>
          <cell r="D1110">
            <v>106.005</v>
          </cell>
          <cell r="E1110">
            <v>104.3</v>
          </cell>
          <cell r="H1110">
            <v>101.97</v>
          </cell>
          <cell r="I1110">
            <v>114.56</v>
          </cell>
          <cell r="BS1110">
            <v>10.260000000000005</v>
          </cell>
        </row>
        <row r="1111">
          <cell r="B1111">
            <v>41725</v>
          </cell>
          <cell r="D1111">
            <v>106.595</v>
          </cell>
          <cell r="E1111">
            <v>104.05</v>
          </cell>
          <cell r="H1111">
            <v>102.04</v>
          </cell>
          <cell r="I1111">
            <v>114.79</v>
          </cell>
          <cell r="BS1111">
            <v>10.740000000000009</v>
          </cell>
        </row>
        <row r="1112">
          <cell r="B1112">
            <v>41726</v>
          </cell>
          <cell r="D1112">
            <v>106.69499999999999</v>
          </cell>
          <cell r="E1112">
            <v>104.6</v>
          </cell>
          <cell r="H1112">
            <v>102.77</v>
          </cell>
          <cell r="I1112">
            <v>116.27</v>
          </cell>
          <cell r="BS1112">
            <v>11.670000000000002</v>
          </cell>
        </row>
        <row r="1113">
          <cell r="B1113">
            <v>41729</v>
          </cell>
          <cell r="D1113">
            <v>106.02500000000001</v>
          </cell>
          <cell r="E1113">
            <v>104.76</v>
          </cell>
          <cell r="H1113">
            <v>103.27</v>
          </cell>
          <cell r="I1113">
            <v>115.79</v>
          </cell>
          <cell r="BS1113">
            <v>11.030000000000001</v>
          </cell>
        </row>
        <row r="1114">
          <cell r="B1114">
            <v>41730</v>
          </cell>
          <cell r="D1114">
            <v>105.735</v>
          </cell>
          <cell r="E1114">
            <v>104.05</v>
          </cell>
          <cell r="H1114">
            <v>104.21</v>
          </cell>
          <cell r="I1114">
            <v>115.43</v>
          </cell>
          <cell r="BS1114">
            <v>11.38000000000001</v>
          </cell>
        </row>
        <row r="1115">
          <cell r="B1115">
            <v>41731</v>
          </cell>
          <cell r="D1115">
            <v>103.22499999999999</v>
          </cell>
          <cell r="E1115">
            <v>102.45</v>
          </cell>
          <cell r="H1115">
            <v>101.52</v>
          </cell>
          <cell r="I1115">
            <v>113.36</v>
          </cell>
          <cell r="BS1115">
            <v>10.909999999999997</v>
          </cell>
        </row>
        <row r="1116">
          <cell r="B1116">
            <v>41732</v>
          </cell>
          <cell r="D1116">
            <v>104.855</v>
          </cell>
          <cell r="E1116">
            <v>101.45</v>
          </cell>
          <cell r="H1116">
            <v>100.66</v>
          </cell>
          <cell r="I1116">
            <v>112.85</v>
          </cell>
          <cell r="BS1116">
            <v>11.399999999999991</v>
          </cell>
        </row>
        <row r="1117">
          <cell r="B1117">
            <v>41733</v>
          </cell>
          <cell r="D1117">
            <v>106.59</v>
          </cell>
          <cell r="E1117">
            <v>103.21</v>
          </cell>
          <cell r="H1117">
            <v>101.94</v>
          </cell>
          <cell r="I1117">
            <v>115.31</v>
          </cell>
          <cell r="BS1117">
            <v>12.100000000000009</v>
          </cell>
        </row>
        <row r="1118">
          <cell r="B1118">
            <v>41736</v>
          </cell>
          <cell r="D1118">
            <v>104.99</v>
          </cell>
          <cell r="E1118">
            <v>102.3</v>
          </cell>
          <cell r="H1118">
            <v>101.17</v>
          </cell>
          <cell r="I1118">
            <v>115.88</v>
          </cell>
          <cell r="BS1118">
            <v>13.579999999999998</v>
          </cell>
        </row>
        <row r="1119">
          <cell r="B1119">
            <v>41737</v>
          </cell>
          <cell r="D1119">
            <v>105.845</v>
          </cell>
          <cell r="E1119">
            <v>103.15</v>
          </cell>
          <cell r="H1119">
            <v>102.4</v>
          </cell>
          <cell r="I1119">
            <v>116.09</v>
          </cell>
          <cell r="BS1119">
            <v>12.939999999999998</v>
          </cell>
        </row>
        <row r="1120">
          <cell r="B1120">
            <v>41738</v>
          </cell>
          <cell r="D1120">
            <v>107.41500000000001</v>
          </cell>
          <cell r="E1120">
            <v>104.1</v>
          </cell>
          <cell r="H1120">
            <v>103.01</v>
          </cell>
          <cell r="I1120">
            <v>117.16</v>
          </cell>
          <cell r="BS1120">
            <v>13.060000000000002</v>
          </cell>
        </row>
        <row r="1121">
          <cell r="B1121">
            <v>41739</v>
          </cell>
          <cell r="D1121">
            <v>107.005</v>
          </cell>
          <cell r="E1121">
            <v>104.6</v>
          </cell>
          <cell r="H1121">
            <v>103.18</v>
          </cell>
          <cell r="I1121">
            <v>117.73</v>
          </cell>
          <cell r="BS1121">
            <v>13.13000000000001</v>
          </cell>
        </row>
        <row r="1122">
          <cell r="B1122">
            <v>41740</v>
          </cell>
          <cell r="D1122">
            <v>107.515</v>
          </cell>
          <cell r="E1122">
            <v>104.15</v>
          </cell>
          <cell r="H1122">
            <v>103.34</v>
          </cell>
          <cell r="I1122">
            <v>117.61</v>
          </cell>
          <cell r="BS1122">
            <v>13.459999999999994</v>
          </cell>
        </row>
        <row r="1123">
          <cell r="B1123">
            <v>41743</v>
          </cell>
          <cell r="D1123">
            <v>107.7</v>
          </cell>
          <cell r="E1123">
            <v>105.11</v>
          </cell>
          <cell r="H1123">
            <v>104.65</v>
          </cell>
          <cell r="I1123">
            <v>119.01</v>
          </cell>
          <cell r="BS1123">
            <v>13.900000000000006</v>
          </cell>
        </row>
        <row r="1124">
          <cell r="B1124">
            <v>41744</v>
          </cell>
          <cell r="D1124">
            <v>109.02500000000001</v>
          </cell>
          <cell r="E1124">
            <v>105.405</v>
          </cell>
          <cell r="H1124">
            <v>104.57</v>
          </cell>
          <cell r="I1124">
            <v>118.87</v>
          </cell>
          <cell r="BS1124">
            <v>13.465000000000003</v>
          </cell>
        </row>
        <row r="1125">
          <cell r="B1125">
            <v>41745</v>
          </cell>
          <cell r="D1125">
            <v>109.855</v>
          </cell>
          <cell r="E1125">
            <v>106.41</v>
          </cell>
          <cell r="H1125">
            <v>105.46</v>
          </cell>
          <cell r="I1125">
            <v>119.79</v>
          </cell>
          <cell r="BS1125">
            <v>13.38000000000001</v>
          </cell>
        </row>
        <row r="1126">
          <cell r="B1126">
            <v>41746</v>
          </cell>
          <cell r="D1126">
            <v>108.92</v>
          </cell>
          <cell r="E1126">
            <v>105.85</v>
          </cell>
          <cell r="H1126">
            <v>104.99</v>
          </cell>
          <cell r="I1126">
            <v>119.85</v>
          </cell>
          <cell r="BS1126">
            <v>14</v>
          </cell>
        </row>
        <row r="1127">
          <cell r="B1127">
            <v>41747</v>
          </cell>
          <cell r="D1127" t="str">
            <v/>
          </cell>
          <cell r="E1127" t="str">
            <v/>
          </cell>
          <cell r="H1127">
            <v>0</v>
          </cell>
          <cell r="I1127">
            <v>0</v>
          </cell>
          <cell r="BS1127" t="e">
            <v>#N/A</v>
          </cell>
        </row>
        <row r="1128">
          <cell r="B1128">
            <v>41750</v>
          </cell>
          <cell r="D1128" t="str">
            <v/>
          </cell>
          <cell r="E1128">
            <v>105.7</v>
          </cell>
          <cell r="H1128">
            <v>103.78</v>
          </cell>
          <cell r="I1128">
            <v>119.85</v>
          </cell>
          <cell r="BS1128">
            <v>14.149999999999991</v>
          </cell>
        </row>
        <row r="1129">
          <cell r="B1129">
            <v>41751</v>
          </cell>
          <cell r="D1129">
            <v>108.47499999999999</v>
          </cell>
          <cell r="E1129">
            <v>106.3</v>
          </cell>
          <cell r="H1129">
            <v>104.89</v>
          </cell>
          <cell r="I1129">
            <v>119.97</v>
          </cell>
          <cell r="BS1129">
            <v>13.670000000000002</v>
          </cell>
        </row>
        <row r="1130">
          <cell r="B1130">
            <v>41752</v>
          </cell>
          <cell r="D1130">
            <v>108.455</v>
          </cell>
          <cell r="E1130">
            <v>105.9</v>
          </cell>
          <cell r="H1130">
            <v>105.85</v>
          </cell>
          <cell r="I1130">
            <v>119.36</v>
          </cell>
          <cell r="BS1130">
            <v>13.459999999999994</v>
          </cell>
        </row>
        <row r="1131">
          <cell r="B1131">
            <v>41753</v>
          </cell>
          <cell r="D1131">
            <v>109.785</v>
          </cell>
          <cell r="E1131">
            <v>105.76</v>
          </cell>
          <cell r="H1131">
            <v>105.96</v>
          </cell>
          <cell r="I1131">
            <v>119.46</v>
          </cell>
          <cell r="BS1131">
            <v>13.699999999999989</v>
          </cell>
        </row>
        <row r="1132">
          <cell r="B1132">
            <v>41754</v>
          </cell>
          <cell r="D1132">
            <v>109.41</v>
          </cell>
          <cell r="E1132">
            <v>106.4</v>
          </cell>
          <cell r="H1132">
            <v>105.87</v>
          </cell>
          <cell r="I1132">
            <v>119.58</v>
          </cell>
          <cell r="BS1132">
            <v>13.179999999999993</v>
          </cell>
        </row>
        <row r="1133">
          <cell r="B1133">
            <v>41757</v>
          </cell>
          <cell r="D1133">
            <v>109.28</v>
          </cell>
          <cell r="E1133">
            <v>106.29</v>
          </cell>
          <cell r="H1133">
            <v>106.31</v>
          </cell>
          <cell r="I1133">
            <v>118.99</v>
          </cell>
          <cell r="BS1133">
            <v>12.699999999999989</v>
          </cell>
        </row>
        <row r="1134">
          <cell r="B1134">
            <v>41758</v>
          </cell>
          <cell r="D1134">
            <v>110</v>
          </cell>
          <cell r="E1134">
            <v>105.25</v>
          </cell>
          <cell r="H1134">
            <v>105.24</v>
          </cell>
          <cell r="I1134">
            <v>117.38</v>
          </cell>
          <cell r="BS1134">
            <v>12.129999999999995</v>
          </cell>
        </row>
        <row r="1135">
          <cell r="B1135">
            <v>41759</v>
          </cell>
          <cell r="D1135">
            <v>108.47499999999999</v>
          </cell>
          <cell r="E1135">
            <v>104.5</v>
          </cell>
          <cell r="H1135">
            <v>104.88</v>
          </cell>
          <cell r="I1135">
            <v>117</v>
          </cell>
          <cell r="BS1135">
            <v>12.5</v>
          </cell>
        </row>
        <row r="1136">
          <cell r="B1136">
            <v>41760</v>
          </cell>
          <cell r="D1136">
            <v>108.30500000000001</v>
          </cell>
          <cell r="E1136" t="str">
            <v/>
          </cell>
          <cell r="H1136">
            <v>0</v>
          </cell>
          <cell r="I1136">
            <v>0</v>
          </cell>
          <cell r="BS1136" t="e">
            <v>#N/A</v>
          </cell>
        </row>
        <row r="1137">
          <cell r="B1137">
            <v>41761</v>
          </cell>
          <cell r="D1137">
            <v>109.645</v>
          </cell>
          <cell r="E1137">
            <v>104.41</v>
          </cell>
          <cell r="H1137">
            <v>104.31</v>
          </cell>
          <cell r="I1137">
            <v>115.58</v>
          </cell>
          <cell r="BS1137">
            <v>11.170000000000002</v>
          </cell>
        </row>
        <row r="1138">
          <cell r="B1138">
            <v>41764</v>
          </cell>
          <cell r="D1138" t="str">
            <v/>
          </cell>
          <cell r="E1138">
            <v>104.69</v>
          </cell>
          <cell r="H1138">
            <v>104.15</v>
          </cell>
          <cell r="I1138">
            <v>115.04</v>
          </cell>
          <cell r="BS1138">
            <v>10.350000000000009</v>
          </cell>
        </row>
        <row r="1139">
          <cell r="B1139">
            <v>41765</v>
          </cell>
          <cell r="D1139">
            <v>108.45</v>
          </cell>
          <cell r="E1139">
            <v>103.91</v>
          </cell>
          <cell r="H1139">
            <v>103.33</v>
          </cell>
          <cell r="I1139">
            <v>113.76</v>
          </cell>
          <cell r="BS1139">
            <v>9.8500000000000085</v>
          </cell>
        </row>
        <row r="1140">
          <cell r="B1140">
            <v>41766</v>
          </cell>
          <cell r="D1140">
            <v>108.28</v>
          </cell>
          <cell r="E1140">
            <v>103.59</v>
          </cell>
          <cell r="H1140">
            <v>103.97</v>
          </cell>
          <cell r="I1140">
            <v>113.38</v>
          </cell>
          <cell r="BS1140">
            <v>9.789999999999992</v>
          </cell>
        </row>
        <row r="1141">
          <cell r="B1141">
            <v>41767</v>
          </cell>
          <cell r="D1141">
            <v>108.375</v>
          </cell>
          <cell r="E1141">
            <v>104.1</v>
          </cell>
          <cell r="H1141">
            <v>105.26</v>
          </cell>
          <cell r="I1141">
            <v>115.54</v>
          </cell>
          <cell r="BS1141">
            <v>11.440000000000012</v>
          </cell>
        </row>
        <row r="1142">
          <cell r="B1142">
            <v>41768</v>
          </cell>
          <cell r="D1142">
            <v>108.28</v>
          </cell>
          <cell r="E1142">
            <v>105.01</v>
          </cell>
          <cell r="H1142">
            <v>105.91</v>
          </cell>
          <cell r="I1142">
            <v>117.07</v>
          </cell>
          <cell r="BS1142">
            <v>12.059999999999988</v>
          </cell>
        </row>
        <row r="1143">
          <cell r="B1143">
            <v>41771</v>
          </cell>
          <cell r="D1143">
            <v>108.11499999999999</v>
          </cell>
          <cell r="E1143">
            <v>104.41</v>
          </cell>
          <cell r="H1143">
            <v>105.11</v>
          </cell>
          <cell r="I1143">
            <v>116.62</v>
          </cell>
          <cell r="BS1143">
            <v>12.210000000000008</v>
          </cell>
        </row>
        <row r="1144">
          <cell r="B1144">
            <v>41772</v>
          </cell>
          <cell r="D1144">
            <v>108.88500000000001</v>
          </cell>
          <cell r="E1144" t="str">
            <v/>
          </cell>
          <cell r="H1144">
            <v>0</v>
          </cell>
          <cell r="I1144">
            <v>0</v>
          </cell>
          <cell r="BS1144" t="e">
            <v>#N/A</v>
          </cell>
        </row>
        <row r="1145">
          <cell r="B1145">
            <v>41773</v>
          </cell>
          <cell r="D1145">
            <v>109.86</v>
          </cell>
          <cell r="E1145">
            <v>105.7</v>
          </cell>
          <cell r="H1145">
            <v>105.69</v>
          </cell>
          <cell r="I1145">
            <v>117.83</v>
          </cell>
          <cell r="BS1145">
            <v>12.129999999999995</v>
          </cell>
        </row>
        <row r="1146">
          <cell r="B1146">
            <v>41774</v>
          </cell>
          <cell r="D1146">
            <v>109.81</v>
          </cell>
          <cell r="E1146">
            <v>105.79</v>
          </cell>
          <cell r="H1146">
            <v>105.53</v>
          </cell>
          <cell r="I1146">
            <v>117.73</v>
          </cell>
          <cell r="BS1146">
            <v>11.939999999999998</v>
          </cell>
        </row>
        <row r="1147">
          <cell r="B1147">
            <v>41775</v>
          </cell>
          <cell r="D1147">
            <v>111.24</v>
          </cell>
          <cell r="E1147">
            <v>105.75</v>
          </cell>
          <cell r="H1147">
            <v>104.44</v>
          </cell>
          <cell r="I1147">
            <v>118.18</v>
          </cell>
          <cell r="BS1147">
            <v>12.430000000000007</v>
          </cell>
        </row>
        <row r="1148">
          <cell r="B1148">
            <v>41778</v>
          </cell>
          <cell r="D1148">
            <v>110.66</v>
          </cell>
          <cell r="E1148">
            <v>106.5</v>
          </cell>
          <cell r="H1148">
            <v>104.59</v>
          </cell>
          <cell r="I1148">
            <v>119.44</v>
          </cell>
          <cell r="BS1148">
            <v>12.939999999999998</v>
          </cell>
        </row>
        <row r="1149">
          <cell r="B1149">
            <v>41779</v>
          </cell>
          <cell r="D1149">
            <v>110.36</v>
          </cell>
          <cell r="E1149">
            <v>106.12</v>
          </cell>
          <cell r="H1149">
            <v>104.37</v>
          </cell>
          <cell r="I1149">
            <v>119.22</v>
          </cell>
          <cell r="BS1149">
            <v>13.099999999999994</v>
          </cell>
        </row>
        <row r="1150">
          <cell r="B1150">
            <v>41780</v>
          </cell>
          <cell r="D1150">
            <v>111.21</v>
          </cell>
          <cell r="E1150">
            <v>106.6</v>
          </cell>
          <cell r="H1150">
            <v>105.47</v>
          </cell>
          <cell r="I1150">
            <v>118.87</v>
          </cell>
          <cell r="BS1150">
            <v>12.27000000000001</v>
          </cell>
        </row>
        <row r="1151">
          <cell r="B1151">
            <v>41781</v>
          </cell>
          <cell r="D1151">
            <v>111.3</v>
          </cell>
          <cell r="E1151">
            <v>106.96</v>
          </cell>
          <cell r="H1151">
            <v>106.27</v>
          </cell>
          <cell r="I1151">
            <v>119.47</v>
          </cell>
          <cell r="BS1151">
            <v>12.510000000000005</v>
          </cell>
        </row>
        <row r="1152">
          <cell r="B1152">
            <v>41782</v>
          </cell>
          <cell r="D1152">
            <v>110.76</v>
          </cell>
          <cell r="E1152">
            <v>106.86</v>
          </cell>
          <cell r="H1152">
            <v>106.27</v>
          </cell>
          <cell r="I1152">
            <v>120.33</v>
          </cell>
          <cell r="BS1152">
            <v>13.469999999999999</v>
          </cell>
        </row>
        <row r="1153">
          <cell r="B1153">
            <v>41785</v>
          </cell>
          <cell r="D1153" t="str">
            <v/>
          </cell>
          <cell r="E1153">
            <v>106.6</v>
          </cell>
          <cell r="H1153">
            <v>106.68</v>
          </cell>
          <cell r="I1153">
            <v>120.23</v>
          </cell>
          <cell r="BS1153">
            <v>13.63000000000001</v>
          </cell>
        </row>
        <row r="1154">
          <cell r="B1154">
            <v>41786</v>
          </cell>
          <cell r="D1154">
            <v>110.095</v>
          </cell>
          <cell r="E1154">
            <v>106.8</v>
          </cell>
          <cell r="H1154">
            <v>106.99</v>
          </cell>
          <cell r="I1154">
            <v>120.54</v>
          </cell>
          <cell r="BS1154">
            <v>13.740000000000009</v>
          </cell>
        </row>
        <row r="1155">
          <cell r="B1155">
            <v>41787</v>
          </cell>
          <cell r="D1155">
            <v>109.405</v>
          </cell>
          <cell r="E1155">
            <v>106.7</v>
          </cell>
          <cell r="H1155">
            <v>106.13</v>
          </cell>
          <cell r="I1155">
            <v>120.53</v>
          </cell>
          <cell r="BS1155">
            <v>13.829999999999998</v>
          </cell>
        </row>
        <row r="1156">
          <cell r="B1156">
            <v>41788</v>
          </cell>
          <cell r="D1156">
            <v>110.15</v>
          </cell>
          <cell r="E1156">
            <v>106.49</v>
          </cell>
          <cell r="H1156">
            <v>105.96</v>
          </cell>
          <cell r="I1156">
            <v>120.25</v>
          </cell>
          <cell r="BS1156">
            <v>13.760000000000005</v>
          </cell>
        </row>
        <row r="1157">
          <cell r="B1157">
            <v>41789</v>
          </cell>
          <cell r="D1157">
            <v>109.095</v>
          </cell>
          <cell r="E1157">
            <v>106.3</v>
          </cell>
          <cell r="H1157">
            <v>105.84</v>
          </cell>
          <cell r="I1157">
            <v>119.51</v>
          </cell>
          <cell r="BS1157">
            <v>13.210000000000008</v>
          </cell>
        </row>
        <row r="1158">
          <cell r="B1158">
            <v>41792</v>
          </cell>
          <cell r="D1158">
            <v>109.09</v>
          </cell>
          <cell r="E1158">
            <v>105.91</v>
          </cell>
          <cell r="H1158">
            <v>104.82</v>
          </cell>
          <cell r="I1158">
            <v>118.38</v>
          </cell>
          <cell r="BS1158">
            <v>12.469999999999999</v>
          </cell>
        </row>
        <row r="1159">
          <cell r="B1159">
            <v>41793</v>
          </cell>
          <cell r="D1159">
            <v>108.785</v>
          </cell>
          <cell r="E1159">
            <v>105.11</v>
          </cell>
          <cell r="H1159">
            <v>103.13</v>
          </cell>
          <cell r="I1159">
            <v>116.88</v>
          </cell>
          <cell r="BS1159">
            <v>11.769999999999996</v>
          </cell>
        </row>
        <row r="1160">
          <cell r="B1160">
            <v>41794</v>
          </cell>
          <cell r="D1160">
            <v>109.185</v>
          </cell>
          <cell r="E1160">
            <v>105.65</v>
          </cell>
          <cell r="H1160">
            <v>103.02</v>
          </cell>
          <cell r="I1160">
            <v>116.87</v>
          </cell>
          <cell r="BS1160">
            <v>11.219999999999999</v>
          </cell>
        </row>
        <row r="1161">
          <cell r="B1161">
            <v>41795</v>
          </cell>
          <cell r="D1161">
            <v>108.33499999999999</v>
          </cell>
          <cell r="E1161">
            <v>104.5</v>
          </cell>
          <cell r="H1161">
            <v>102.8</v>
          </cell>
          <cell r="I1161">
            <v>115.62</v>
          </cell>
          <cell r="BS1161">
            <v>11.120000000000005</v>
          </cell>
        </row>
        <row r="1162">
          <cell r="B1162">
            <v>41796</v>
          </cell>
          <cell r="D1162">
            <v>108.81</v>
          </cell>
          <cell r="E1162">
            <v>105.36</v>
          </cell>
          <cell r="H1162">
            <v>103.82</v>
          </cell>
          <cell r="I1162">
            <v>116.83</v>
          </cell>
          <cell r="BS1162">
            <v>11.469999999999999</v>
          </cell>
        </row>
        <row r="1163">
          <cell r="B1163">
            <v>41799</v>
          </cell>
          <cell r="D1163">
            <v>110.255</v>
          </cell>
          <cell r="E1163">
            <v>105.06</v>
          </cell>
          <cell r="H1163">
            <v>104.05</v>
          </cell>
          <cell r="I1163">
            <v>116.72</v>
          </cell>
          <cell r="BS1163">
            <v>11.659999999999997</v>
          </cell>
        </row>
        <row r="1164">
          <cell r="B1164">
            <v>41800</v>
          </cell>
          <cell r="D1164">
            <v>109.075</v>
          </cell>
          <cell r="E1164">
            <v>105.7</v>
          </cell>
          <cell r="H1164">
            <v>104.8</v>
          </cell>
          <cell r="I1164">
            <v>117.77</v>
          </cell>
          <cell r="BS1164">
            <v>12.069999999999993</v>
          </cell>
        </row>
        <row r="1165">
          <cell r="B1165">
            <v>41801</v>
          </cell>
          <cell r="D1165">
            <v>109.77</v>
          </cell>
          <cell r="E1165">
            <v>105.995</v>
          </cell>
          <cell r="H1165">
            <v>105.13</v>
          </cell>
          <cell r="I1165">
            <v>117.48</v>
          </cell>
          <cell r="BS1165">
            <v>11.484999999999999</v>
          </cell>
        </row>
        <row r="1166">
          <cell r="B1166">
            <v>41802</v>
          </cell>
          <cell r="D1166">
            <v>112.16</v>
          </cell>
          <cell r="E1166">
            <v>106.95</v>
          </cell>
          <cell r="H1166">
            <v>105.57</v>
          </cell>
          <cell r="I1166">
            <v>118.71</v>
          </cell>
          <cell r="BS1166">
            <v>11.759999999999991</v>
          </cell>
        </row>
        <row r="1167">
          <cell r="B1167">
            <v>41803</v>
          </cell>
          <cell r="D1167">
            <v>112.845</v>
          </cell>
          <cell r="E1167">
            <v>109.55</v>
          </cell>
          <cell r="H1167">
            <v>107.74</v>
          </cell>
          <cell r="I1167">
            <v>121.07</v>
          </cell>
          <cell r="BS1167">
            <v>11.519999999999996</v>
          </cell>
        </row>
        <row r="1168">
          <cell r="B1168">
            <v>41806</v>
          </cell>
          <cell r="D1168">
            <v>113.25</v>
          </cell>
          <cell r="E1168">
            <v>109.2</v>
          </cell>
          <cell r="H1168">
            <v>107.29</v>
          </cell>
          <cell r="I1168">
            <v>120.34</v>
          </cell>
          <cell r="BS1168">
            <v>11.14</v>
          </cell>
        </row>
        <row r="1169">
          <cell r="B1169">
            <v>41807</v>
          </cell>
          <cell r="D1169">
            <v>113.935</v>
          </cell>
          <cell r="E1169">
            <v>108.75</v>
          </cell>
          <cell r="H1169">
            <v>106.62</v>
          </cell>
          <cell r="I1169">
            <v>120.45</v>
          </cell>
          <cell r="BS1169">
            <v>11.700000000000003</v>
          </cell>
        </row>
        <row r="1170">
          <cell r="B1170">
            <v>41808</v>
          </cell>
          <cell r="D1170">
            <v>114.26</v>
          </cell>
          <cell r="E1170">
            <v>109.95</v>
          </cell>
          <cell r="H1170">
            <v>107.54</v>
          </cell>
          <cell r="I1170">
            <v>122.15</v>
          </cell>
          <cell r="BS1170">
            <v>12.200000000000003</v>
          </cell>
        </row>
        <row r="1171">
          <cell r="B1171">
            <v>41809</v>
          </cell>
          <cell r="D1171">
            <v>115.315</v>
          </cell>
          <cell r="E1171">
            <v>110.49</v>
          </cell>
          <cell r="H1171">
            <v>107.84</v>
          </cell>
          <cell r="I1171">
            <v>122.96</v>
          </cell>
          <cell r="BS1171">
            <v>12.469999999999999</v>
          </cell>
        </row>
        <row r="1172">
          <cell r="B1172">
            <v>41810</v>
          </cell>
          <cell r="D1172">
            <v>114.52</v>
          </cell>
          <cell r="E1172">
            <v>110.71</v>
          </cell>
          <cell r="H1172">
            <v>108.07</v>
          </cell>
          <cell r="I1172">
            <v>123.84</v>
          </cell>
          <cell r="BS1172">
            <v>13.13000000000001</v>
          </cell>
        </row>
        <row r="1173">
          <cell r="B1173">
            <v>41813</v>
          </cell>
          <cell r="D1173">
            <v>113.13500000000001</v>
          </cell>
          <cell r="E1173">
            <v>111.16</v>
          </cell>
          <cell r="H1173">
            <v>108.61</v>
          </cell>
          <cell r="I1173">
            <v>124.53</v>
          </cell>
          <cell r="BS1173">
            <v>13.370000000000005</v>
          </cell>
        </row>
        <row r="1174">
          <cell r="B1174">
            <v>41814</v>
          </cell>
          <cell r="D1174">
            <v>113.74</v>
          </cell>
          <cell r="E1174">
            <v>109.76</v>
          </cell>
          <cell r="H1174">
            <v>107.49</v>
          </cell>
          <cell r="I1174">
            <v>122.72</v>
          </cell>
          <cell r="BS1174">
            <v>12.959999999999994</v>
          </cell>
        </row>
        <row r="1175">
          <cell r="B1175">
            <v>41815</v>
          </cell>
          <cell r="D1175">
            <v>112.755</v>
          </cell>
          <cell r="E1175">
            <v>110.05</v>
          </cell>
          <cell r="H1175">
            <v>107.74</v>
          </cell>
          <cell r="I1175">
            <v>123.29</v>
          </cell>
          <cell r="BS1175">
            <v>13.240000000000009</v>
          </cell>
        </row>
        <row r="1176">
          <cell r="B1176">
            <v>41816</v>
          </cell>
          <cell r="D1176">
            <v>112.41</v>
          </cell>
          <cell r="E1176">
            <v>109.9</v>
          </cell>
          <cell r="H1176">
            <v>107.61</v>
          </cell>
          <cell r="I1176">
            <v>123.46</v>
          </cell>
          <cell r="BS1176">
            <v>13.559999999999988</v>
          </cell>
        </row>
        <row r="1177">
          <cell r="B1177">
            <v>41817</v>
          </cell>
          <cell r="D1177">
            <v>112.08499999999999</v>
          </cell>
          <cell r="E1177">
            <v>109.7</v>
          </cell>
          <cell r="H1177">
            <v>107.97</v>
          </cell>
          <cell r="I1177">
            <v>124.21</v>
          </cell>
          <cell r="BS1177">
            <v>14.509999999999991</v>
          </cell>
        </row>
        <row r="1178">
          <cell r="B1178">
            <v>41820</v>
          </cell>
          <cell r="D1178">
            <v>111.02</v>
          </cell>
          <cell r="E1178">
            <v>109.21</v>
          </cell>
          <cell r="H1178">
            <v>107.98</v>
          </cell>
          <cell r="I1178">
            <v>125.42</v>
          </cell>
          <cell r="BS1178">
            <v>16.210000000000008</v>
          </cell>
        </row>
        <row r="1179">
          <cell r="B1179">
            <v>41821</v>
          </cell>
          <cell r="D1179">
            <v>110.46</v>
          </cell>
          <cell r="E1179">
            <v>109.16</v>
          </cell>
          <cell r="H1179">
            <v>108.54</v>
          </cell>
          <cell r="I1179">
            <v>126.22</v>
          </cell>
          <cell r="BS1179">
            <v>17.060000000000002</v>
          </cell>
        </row>
        <row r="1180">
          <cell r="B1180">
            <v>41822</v>
          </cell>
          <cell r="D1180">
            <v>109.925</v>
          </cell>
          <cell r="E1180">
            <v>109.16</v>
          </cell>
          <cell r="H1180">
            <v>108.71</v>
          </cell>
          <cell r="I1180">
            <v>124.56</v>
          </cell>
          <cell r="BS1180">
            <v>15.400000000000006</v>
          </cell>
        </row>
        <row r="1181">
          <cell r="B1181">
            <v>41823</v>
          </cell>
          <cell r="D1181">
            <v>109.04</v>
          </cell>
          <cell r="E1181">
            <v>107.71</v>
          </cell>
          <cell r="H1181">
            <v>107.54</v>
          </cell>
          <cell r="I1181">
            <v>122.67</v>
          </cell>
          <cell r="BS1181">
            <v>14.960000000000008</v>
          </cell>
        </row>
        <row r="1182">
          <cell r="B1182">
            <v>41824</v>
          </cell>
          <cell r="D1182">
            <v>109.035</v>
          </cell>
          <cell r="E1182">
            <v>107.99</v>
          </cell>
          <cell r="H1182">
            <v>107.96</v>
          </cell>
          <cell r="I1182">
            <v>124.13</v>
          </cell>
          <cell r="BS1182">
            <v>16.14</v>
          </cell>
        </row>
        <row r="1183">
          <cell r="B1183">
            <v>41827</v>
          </cell>
          <cell r="D1183">
            <v>108.94</v>
          </cell>
          <cell r="E1183">
            <v>107.42</v>
          </cell>
          <cell r="H1183">
            <v>106.74</v>
          </cell>
          <cell r="I1183">
            <v>123.1</v>
          </cell>
          <cell r="BS1183">
            <v>15.679999999999993</v>
          </cell>
        </row>
        <row r="1184">
          <cell r="B1184">
            <v>41828</v>
          </cell>
          <cell r="D1184">
            <v>107.71</v>
          </cell>
          <cell r="E1184">
            <v>106.92</v>
          </cell>
          <cell r="H1184">
            <v>106.24</v>
          </cell>
          <cell r="I1184">
            <v>122.4</v>
          </cell>
          <cell r="BS1184">
            <v>15.480000000000004</v>
          </cell>
        </row>
        <row r="1185">
          <cell r="B1185">
            <v>41829</v>
          </cell>
          <cell r="D1185">
            <v>107.065</v>
          </cell>
          <cell r="E1185">
            <v>106.1</v>
          </cell>
          <cell r="H1185">
            <v>105.8</v>
          </cell>
          <cell r="I1185">
            <v>121.94</v>
          </cell>
          <cell r="BS1185">
            <v>15.840000000000003</v>
          </cell>
        </row>
        <row r="1186">
          <cell r="B1186">
            <v>41830</v>
          </cell>
          <cell r="D1186">
            <v>105.88500000000001</v>
          </cell>
          <cell r="E1186">
            <v>105.71</v>
          </cell>
          <cell r="H1186">
            <v>105.35</v>
          </cell>
          <cell r="I1186">
            <v>121.34</v>
          </cell>
          <cell r="BS1186">
            <v>15.63000000000001</v>
          </cell>
        </row>
        <row r="1187">
          <cell r="B1187">
            <v>41831</v>
          </cell>
          <cell r="D1187">
            <v>105.3</v>
          </cell>
          <cell r="E1187">
            <v>105.94</v>
          </cell>
          <cell r="H1187">
            <v>106.13</v>
          </cell>
          <cell r="I1187">
            <v>122.46</v>
          </cell>
          <cell r="BS1187">
            <v>16.519999999999996</v>
          </cell>
        </row>
        <row r="1188">
          <cell r="B1188">
            <v>41834</v>
          </cell>
          <cell r="D1188">
            <v>104.69</v>
          </cell>
          <cell r="E1188">
            <v>104.72</v>
          </cell>
          <cell r="H1188">
            <v>106.21</v>
          </cell>
          <cell r="I1188">
            <v>121.13</v>
          </cell>
          <cell r="BS1188">
            <v>16.409999999999997</v>
          </cell>
        </row>
        <row r="1189">
          <cell r="B1189">
            <v>41835</v>
          </cell>
          <cell r="D1189">
            <v>103.105</v>
          </cell>
          <cell r="E1189">
            <v>104.7</v>
          </cell>
          <cell r="H1189">
            <v>107.77</v>
          </cell>
          <cell r="I1189">
            <v>121.46</v>
          </cell>
          <cell r="BS1189">
            <v>16.759999999999991</v>
          </cell>
        </row>
        <row r="1190">
          <cell r="B1190">
            <v>41836</v>
          </cell>
          <cell r="D1190">
            <v>105.41500000000001</v>
          </cell>
          <cell r="E1190">
            <v>105</v>
          </cell>
          <cell r="H1190">
            <v>107.1</v>
          </cell>
          <cell r="I1190">
            <v>121.08</v>
          </cell>
          <cell r="BS1190">
            <v>16.079999999999998</v>
          </cell>
        </row>
        <row r="1191">
          <cell r="B1191">
            <v>41837</v>
          </cell>
          <cell r="D1191">
            <v>105.91500000000001</v>
          </cell>
          <cell r="E1191">
            <v>104.95</v>
          </cell>
          <cell r="H1191">
            <v>106</v>
          </cell>
          <cell r="I1191">
            <v>119.37</v>
          </cell>
          <cell r="BS1191">
            <v>14.420000000000002</v>
          </cell>
        </row>
        <row r="1192">
          <cell r="B1192">
            <v>41838</v>
          </cell>
          <cell r="D1192">
            <v>106.34</v>
          </cell>
          <cell r="E1192">
            <v>105.65</v>
          </cell>
          <cell r="H1192">
            <v>106.39</v>
          </cell>
          <cell r="I1192">
            <v>118.99</v>
          </cell>
          <cell r="BS1192">
            <v>13.339999999999989</v>
          </cell>
        </row>
        <row r="1193">
          <cell r="B1193">
            <v>41841</v>
          </cell>
          <cell r="D1193">
            <v>105.25</v>
          </cell>
          <cell r="E1193">
            <v>104.65</v>
          </cell>
          <cell r="H1193">
            <v>105.59</v>
          </cell>
          <cell r="I1193">
            <v>117.02</v>
          </cell>
          <cell r="BS1193">
            <v>12.36999999999999</v>
          </cell>
        </row>
        <row r="1194">
          <cell r="B1194">
            <v>41842</v>
          </cell>
          <cell r="D1194">
            <v>106.08499999999999</v>
          </cell>
          <cell r="E1194">
            <v>105.95</v>
          </cell>
          <cell r="H1194">
            <v>106.85</v>
          </cell>
          <cell r="I1194">
            <v>118.13</v>
          </cell>
          <cell r="BS1194">
            <v>12.179999999999993</v>
          </cell>
        </row>
        <row r="1195">
          <cell r="B1195">
            <v>41843</v>
          </cell>
          <cell r="D1195">
            <v>106.75</v>
          </cell>
          <cell r="E1195">
            <v>105.05</v>
          </cell>
          <cell r="H1195">
            <v>106.12</v>
          </cell>
          <cell r="I1195">
            <v>116.94</v>
          </cell>
          <cell r="BS1195">
            <v>11.89</v>
          </cell>
        </row>
        <row r="1196">
          <cell r="B1196">
            <v>41844</v>
          </cell>
          <cell r="D1196">
            <v>105.88</v>
          </cell>
          <cell r="E1196">
            <v>105.95</v>
          </cell>
          <cell r="H1196">
            <v>106.15</v>
          </cell>
          <cell r="I1196">
            <v>115.6</v>
          </cell>
          <cell r="BS1196">
            <v>9.6499999999999915</v>
          </cell>
        </row>
        <row r="1197">
          <cell r="B1197">
            <v>41845</v>
          </cell>
          <cell r="D1197">
            <v>106.52</v>
          </cell>
          <cell r="E1197">
            <v>105.79</v>
          </cell>
          <cell r="H1197">
            <v>105.54</v>
          </cell>
          <cell r="I1197">
            <v>114.71</v>
          </cell>
          <cell r="BS1197">
            <v>8.9199999999999875</v>
          </cell>
        </row>
        <row r="1198">
          <cell r="B1198">
            <v>41848</v>
          </cell>
          <cell r="D1198">
            <v>106.24</v>
          </cell>
          <cell r="E1198" t="str">
            <v/>
          </cell>
          <cell r="H1198">
            <v>0</v>
          </cell>
          <cell r="I1198">
            <v>0</v>
          </cell>
          <cell r="BS1198" t="e">
            <v>#N/A</v>
          </cell>
        </row>
        <row r="1199">
          <cell r="B1199">
            <v>41849</v>
          </cell>
          <cell r="D1199">
            <v>106.54</v>
          </cell>
          <cell r="E1199">
            <v>106.2</v>
          </cell>
          <cell r="H1199">
            <v>105.68</v>
          </cell>
          <cell r="I1199">
            <v>115.03</v>
          </cell>
          <cell r="BS1199">
            <v>8.8299999999999983</v>
          </cell>
        </row>
        <row r="1200">
          <cell r="B1200">
            <v>41850</v>
          </cell>
          <cell r="D1200">
            <v>106.1</v>
          </cell>
          <cell r="E1200">
            <v>106.1</v>
          </cell>
          <cell r="H1200">
            <v>104.46</v>
          </cell>
          <cell r="I1200">
            <v>114.61</v>
          </cell>
          <cell r="BS1200">
            <v>8.5100000000000051</v>
          </cell>
        </row>
        <row r="1201">
          <cell r="B1201">
            <v>41851</v>
          </cell>
          <cell r="D1201">
            <v>104.425</v>
          </cell>
          <cell r="E1201">
            <v>104.46</v>
          </cell>
          <cell r="H1201">
            <v>102.59</v>
          </cell>
          <cell r="I1201">
            <v>112.31</v>
          </cell>
          <cell r="BS1201">
            <v>7.8500000000000085</v>
          </cell>
        </row>
        <row r="1202">
          <cell r="B1202">
            <v>41852</v>
          </cell>
          <cell r="D1202">
            <v>103.04</v>
          </cell>
          <cell r="E1202">
            <v>104.6</v>
          </cell>
          <cell r="H1202">
            <v>102.7</v>
          </cell>
          <cell r="I1202">
            <v>111.36</v>
          </cell>
          <cell r="BS1202">
            <v>6.7600000000000051</v>
          </cell>
        </row>
        <row r="1203">
          <cell r="B1203">
            <v>41855</v>
          </cell>
          <cell r="D1203">
            <v>103.52</v>
          </cell>
          <cell r="E1203">
            <v>103.68</v>
          </cell>
          <cell r="H1203">
            <v>101.9</v>
          </cell>
          <cell r="I1203">
            <v>109.4</v>
          </cell>
          <cell r="BS1203">
            <v>5.7199999999999989</v>
          </cell>
        </row>
        <row r="1204">
          <cell r="B1204">
            <v>41856</v>
          </cell>
          <cell r="D1204">
            <v>102.795</v>
          </cell>
          <cell r="E1204">
            <v>103.69</v>
          </cell>
          <cell r="H1204">
            <v>100.06</v>
          </cell>
          <cell r="I1204">
            <v>108.91</v>
          </cell>
          <cell r="BS1204">
            <v>5.2199999999999989</v>
          </cell>
        </row>
        <row r="1205">
          <cell r="B1205">
            <v>41857</v>
          </cell>
          <cell r="D1205">
            <v>103.565</v>
          </cell>
          <cell r="E1205">
            <v>103.14</v>
          </cell>
          <cell r="H1205">
            <v>99.09</v>
          </cell>
          <cell r="I1205">
            <v>108.84</v>
          </cell>
          <cell r="BS1205">
            <v>5.7000000000000028</v>
          </cell>
        </row>
        <row r="1206">
          <cell r="B1206">
            <v>41858</v>
          </cell>
          <cell r="D1206">
            <v>103.46</v>
          </cell>
          <cell r="E1206">
            <v>103.3</v>
          </cell>
          <cell r="H1206">
            <v>99.42</v>
          </cell>
          <cell r="I1206">
            <v>109.02</v>
          </cell>
          <cell r="BS1206">
            <v>5.7199999999999989</v>
          </cell>
        </row>
        <row r="1207">
          <cell r="B1207">
            <v>41859</v>
          </cell>
          <cell r="D1207">
            <v>103.315</v>
          </cell>
          <cell r="E1207">
            <v>104.65</v>
          </cell>
          <cell r="H1207">
            <v>100.92</v>
          </cell>
          <cell r="I1207">
            <v>110.81</v>
          </cell>
          <cell r="BS1207">
            <v>6.1599999999999966</v>
          </cell>
        </row>
        <row r="1208">
          <cell r="B1208">
            <v>41862</v>
          </cell>
          <cell r="D1208">
            <v>103.535</v>
          </cell>
          <cell r="E1208">
            <v>103.19</v>
          </cell>
          <cell r="H1208">
            <v>99.53</v>
          </cell>
          <cell r="I1208">
            <v>110.16</v>
          </cell>
          <cell r="BS1208">
            <v>6.9699999999999989</v>
          </cell>
        </row>
        <row r="1209">
          <cell r="B1209">
            <v>41863</v>
          </cell>
          <cell r="D1209">
            <v>101.72499999999999</v>
          </cell>
          <cell r="E1209">
            <v>102.95</v>
          </cell>
          <cell r="H1209">
            <v>99.39</v>
          </cell>
          <cell r="I1209">
            <v>110.28</v>
          </cell>
          <cell r="BS1209">
            <v>7.3299999999999983</v>
          </cell>
        </row>
        <row r="1210">
          <cell r="B1210">
            <v>41864</v>
          </cell>
          <cell r="D1210">
            <v>101.855</v>
          </cell>
          <cell r="E1210">
            <v>101.59</v>
          </cell>
          <cell r="H1210">
            <v>98.11</v>
          </cell>
          <cell r="I1210">
            <v>109.36</v>
          </cell>
          <cell r="BS1210">
            <v>7.769999999999996</v>
          </cell>
        </row>
        <row r="1211">
          <cell r="B1211">
            <v>41865</v>
          </cell>
          <cell r="D1211">
            <v>100.44499999999999</v>
          </cell>
          <cell r="E1211">
            <v>102.6</v>
          </cell>
          <cell r="H1211">
            <v>98.3</v>
          </cell>
          <cell r="I1211">
            <v>109.15</v>
          </cell>
          <cell r="BS1211">
            <v>6.5500000000000114</v>
          </cell>
        </row>
        <row r="1212">
          <cell r="B1212">
            <v>41866</v>
          </cell>
          <cell r="D1212">
            <v>100.77500000000001</v>
          </cell>
          <cell r="E1212">
            <v>100.4</v>
          </cell>
          <cell r="H1212">
            <v>96.56</v>
          </cell>
          <cell r="I1212">
            <v>106.76</v>
          </cell>
          <cell r="BS1212">
            <v>6.3599999999999994</v>
          </cell>
        </row>
        <row r="1213">
          <cell r="B1213">
            <v>41869</v>
          </cell>
          <cell r="D1213">
            <v>98.614999999999995</v>
          </cell>
          <cell r="E1213">
            <v>100.49</v>
          </cell>
          <cell r="H1213">
            <v>96.22</v>
          </cell>
          <cell r="I1213">
            <v>107.21</v>
          </cell>
          <cell r="BS1213">
            <v>6.7199999999999989</v>
          </cell>
        </row>
        <row r="1214">
          <cell r="B1214">
            <v>41870</v>
          </cell>
          <cell r="D1214">
            <v>99.69</v>
          </cell>
          <cell r="E1214">
            <v>99.8</v>
          </cell>
          <cell r="H1214">
            <v>96.68</v>
          </cell>
          <cell r="I1214">
            <v>107.04</v>
          </cell>
          <cell r="BS1214">
            <v>7.2400000000000091</v>
          </cell>
        </row>
        <row r="1215">
          <cell r="B1215">
            <v>41871</v>
          </cell>
          <cell r="D1215">
            <v>100.16500000000001</v>
          </cell>
          <cell r="E1215">
            <v>100.09</v>
          </cell>
          <cell r="H1215">
            <v>98.49</v>
          </cell>
          <cell r="I1215">
            <v>108.14</v>
          </cell>
          <cell r="BS1215">
            <v>8.0499999999999972</v>
          </cell>
        </row>
        <row r="1216">
          <cell r="B1216">
            <v>41872</v>
          </cell>
          <cell r="D1216">
            <v>100.63</v>
          </cell>
          <cell r="E1216">
            <v>99.29</v>
          </cell>
          <cell r="H1216">
            <v>97.49</v>
          </cell>
          <cell r="I1216">
            <v>107.36</v>
          </cell>
          <cell r="BS1216">
            <v>8.0699999999999932</v>
          </cell>
        </row>
        <row r="1217">
          <cell r="B1217">
            <v>41873</v>
          </cell>
          <cell r="D1217">
            <v>100.63500000000001</v>
          </cell>
          <cell r="E1217">
            <v>99.99</v>
          </cell>
          <cell r="H1217">
            <v>98.27</v>
          </cell>
          <cell r="I1217">
            <v>109.35</v>
          </cell>
          <cell r="BS1217">
            <v>9.36</v>
          </cell>
        </row>
        <row r="1218">
          <cell r="B1218">
            <v>41876</v>
          </cell>
          <cell r="D1218" t="str">
            <v/>
          </cell>
          <cell r="E1218">
            <v>100.11</v>
          </cell>
          <cell r="H1218">
            <v>98.1</v>
          </cell>
          <cell r="I1218">
            <v>109.01</v>
          </cell>
          <cell r="BS1218">
            <v>8.9000000000000057</v>
          </cell>
        </row>
        <row r="1219">
          <cell r="B1219">
            <v>41877</v>
          </cell>
          <cell r="D1219">
            <v>101.22</v>
          </cell>
          <cell r="E1219">
            <v>100.76</v>
          </cell>
          <cell r="H1219">
            <v>98.79</v>
          </cell>
          <cell r="I1219">
            <v>109.67</v>
          </cell>
          <cell r="BS1219">
            <v>8.9099999999999966</v>
          </cell>
        </row>
        <row r="1220">
          <cell r="B1220">
            <v>41878</v>
          </cell>
          <cell r="D1220">
            <v>100.83499999999999</v>
          </cell>
          <cell r="E1220">
            <v>101.2</v>
          </cell>
          <cell r="H1220">
            <v>99.18</v>
          </cell>
          <cell r="I1220">
            <v>110.24</v>
          </cell>
          <cell r="BS1220">
            <v>9.039999999999992</v>
          </cell>
        </row>
        <row r="1221">
          <cell r="B1221">
            <v>41879</v>
          </cell>
          <cell r="D1221">
            <v>101.01</v>
          </cell>
          <cell r="E1221">
            <v>100.59</v>
          </cell>
          <cell r="H1221">
            <v>98.82</v>
          </cell>
          <cell r="I1221">
            <v>111.09</v>
          </cell>
          <cell r="BS1221">
            <v>10.5</v>
          </cell>
        </row>
        <row r="1222">
          <cell r="B1222">
            <v>41880</v>
          </cell>
          <cell r="D1222">
            <v>101.315</v>
          </cell>
          <cell r="E1222">
            <v>100.29</v>
          </cell>
          <cell r="H1222">
            <v>98.26</v>
          </cell>
          <cell r="I1222">
            <v>111.26</v>
          </cell>
          <cell r="BS1222">
            <v>10.969999999999999</v>
          </cell>
        </row>
        <row r="1223">
          <cell r="B1223">
            <v>41883</v>
          </cell>
          <cell r="D1223">
            <v>101.43</v>
          </cell>
          <cell r="E1223">
            <v>100.93</v>
          </cell>
          <cell r="H1223">
            <v>98.47</v>
          </cell>
          <cell r="I1223">
            <v>111.14</v>
          </cell>
          <cell r="BS1223">
            <v>10.209999999999994</v>
          </cell>
        </row>
        <row r="1224">
          <cell r="B1224">
            <v>41884</v>
          </cell>
          <cell r="D1224">
            <v>100.145</v>
          </cell>
          <cell r="E1224">
            <v>100.19</v>
          </cell>
          <cell r="H1224">
            <v>98.29</v>
          </cell>
          <cell r="I1224">
            <v>110.55</v>
          </cell>
          <cell r="BS1224">
            <v>10.36</v>
          </cell>
        </row>
        <row r="1225">
          <cell r="B1225">
            <v>41885</v>
          </cell>
          <cell r="D1225">
            <v>100.925</v>
          </cell>
          <cell r="E1225">
            <v>98.91</v>
          </cell>
          <cell r="H1225">
            <v>96.65</v>
          </cell>
          <cell r="I1225">
            <v>109.46</v>
          </cell>
          <cell r="BS1225">
            <v>10.549999999999997</v>
          </cell>
        </row>
        <row r="1226">
          <cell r="B1226">
            <v>41886</v>
          </cell>
          <cell r="D1226">
            <v>101.19499999999999</v>
          </cell>
          <cell r="E1226">
            <v>99.9</v>
          </cell>
          <cell r="H1226">
            <v>98.06</v>
          </cell>
          <cell r="I1226">
            <v>110.76</v>
          </cell>
          <cell r="BS1226">
            <v>10.86</v>
          </cell>
        </row>
        <row r="1227">
          <cell r="B1227">
            <v>41887</v>
          </cell>
          <cell r="D1227">
            <v>99.605000000000004</v>
          </cell>
          <cell r="E1227">
            <v>99.48</v>
          </cell>
          <cell r="H1227">
            <v>97.75</v>
          </cell>
          <cell r="I1227">
            <v>110.86</v>
          </cell>
          <cell r="BS1227">
            <v>11.379999999999995</v>
          </cell>
        </row>
        <row r="1228">
          <cell r="B1228">
            <v>41890</v>
          </cell>
          <cell r="D1228">
            <v>98.38</v>
          </cell>
          <cell r="E1228">
            <v>97.8</v>
          </cell>
          <cell r="H1228">
            <v>95.98</v>
          </cell>
          <cell r="I1228">
            <v>108.91</v>
          </cell>
          <cell r="BS1228">
            <v>11.11</v>
          </cell>
        </row>
        <row r="1229">
          <cell r="B1229">
            <v>41891</v>
          </cell>
          <cell r="D1229">
            <v>98.43</v>
          </cell>
          <cell r="E1229">
            <v>97.79</v>
          </cell>
          <cell r="H1229">
            <v>95.56</v>
          </cell>
          <cell r="I1229">
            <v>108.88</v>
          </cell>
          <cell r="BS1229">
            <v>11.089999999999989</v>
          </cell>
        </row>
        <row r="1230">
          <cell r="B1230">
            <v>41892</v>
          </cell>
          <cell r="D1230">
            <v>96.45</v>
          </cell>
          <cell r="E1230">
            <v>96.99</v>
          </cell>
          <cell r="H1230">
            <v>94.94</v>
          </cell>
          <cell r="I1230">
            <v>109.22</v>
          </cell>
          <cell r="BS1230">
            <v>12.230000000000004</v>
          </cell>
        </row>
        <row r="1231">
          <cell r="B1231">
            <v>41893</v>
          </cell>
          <cell r="D1231">
            <v>96.435000000000002</v>
          </cell>
          <cell r="E1231">
            <v>95.8</v>
          </cell>
          <cell r="H1231">
            <v>93.61</v>
          </cell>
          <cell r="I1231">
            <v>108.34</v>
          </cell>
          <cell r="BS1231">
            <v>12.540000000000006</v>
          </cell>
        </row>
        <row r="1232">
          <cell r="B1232">
            <v>41894</v>
          </cell>
          <cell r="D1232">
            <v>96.29</v>
          </cell>
          <cell r="E1232">
            <v>96.81</v>
          </cell>
          <cell r="H1232">
            <v>94.65</v>
          </cell>
          <cell r="I1232">
            <v>109.47</v>
          </cell>
          <cell r="BS1232">
            <v>12.659999999999997</v>
          </cell>
        </row>
        <row r="1233">
          <cell r="B1233">
            <v>41897</v>
          </cell>
          <cell r="D1233">
            <v>96.36</v>
          </cell>
          <cell r="E1233">
            <v>95.07</v>
          </cell>
          <cell r="H1233">
            <v>93.24</v>
          </cell>
          <cell r="I1233">
            <v>108.2</v>
          </cell>
          <cell r="BS1233">
            <v>13.13000000000001</v>
          </cell>
        </row>
        <row r="1234">
          <cell r="B1234">
            <v>41898</v>
          </cell>
          <cell r="D1234">
            <v>97.495000000000005</v>
          </cell>
          <cell r="E1234">
            <v>95.21</v>
          </cell>
          <cell r="H1234">
            <v>93.6</v>
          </cell>
          <cell r="I1234">
            <v>108.53</v>
          </cell>
          <cell r="BS1234">
            <v>13.320000000000007</v>
          </cell>
        </row>
        <row r="1235">
          <cell r="B1235">
            <v>41899</v>
          </cell>
          <cell r="D1235">
            <v>97.73</v>
          </cell>
          <cell r="E1235">
            <v>96.21</v>
          </cell>
          <cell r="H1235">
            <v>94.47</v>
          </cell>
          <cell r="I1235">
            <v>109.2</v>
          </cell>
          <cell r="BS1235">
            <v>12.990000000000009</v>
          </cell>
        </row>
        <row r="1236">
          <cell r="B1236">
            <v>41900</v>
          </cell>
          <cell r="D1236">
            <v>96.745000000000005</v>
          </cell>
          <cell r="E1236">
            <v>95.8</v>
          </cell>
          <cell r="H1236">
            <v>93.79</v>
          </cell>
          <cell r="I1236">
            <v>108.66</v>
          </cell>
          <cell r="BS1236">
            <v>12.86</v>
          </cell>
        </row>
        <row r="1237">
          <cell r="B1237">
            <v>41901</v>
          </cell>
          <cell r="D1237">
            <v>96.644999999999996</v>
          </cell>
          <cell r="E1237">
            <v>94.6</v>
          </cell>
          <cell r="H1237">
            <v>93.27</v>
          </cell>
          <cell r="I1237">
            <v>107.04</v>
          </cell>
          <cell r="BS1237">
            <v>12.440000000000012</v>
          </cell>
        </row>
        <row r="1238">
          <cell r="B1238">
            <v>41904</v>
          </cell>
          <cell r="D1238">
            <v>95.314999999999998</v>
          </cell>
          <cell r="E1238">
            <v>94.94</v>
          </cell>
          <cell r="H1238">
            <v>93.68</v>
          </cell>
          <cell r="I1238">
            <v>107.13</v>
          </cell>
          <cell r="BS1238">
            <v>12.189999999999998</v>
          </cell>
        </row>
        <row r="1239">
          <cell r="B1239">
            <v>41905</v>
          </cell>
          <cell r="D1239">
            <v>95.064999999999998</v>
          </cell>
          <cell r="E1239">
            <v>94.59</v>
          </cell>
          <cell r="H1239">
            <v>93.02</v>
          </cell>
          <cell r="I1239">
            <v>107.07</v>
          </cell>
          <cell r="BS1239">
            <v>12.47999999999999</v>
          </cell>
        </row>
        <row r="1240">
          <cell r="B1240">
            <v>41906</v>
          </cell>
          <cell r="D1240">
            <v>94.584999999999994</v>
          </cell>
          <cell r="E1240">
            <v>94.39</v>
          </cell>
          <cell r="H1240">
            <v>92.43</v>
          </cell>
          <cell r="I1240">
            <v>107.28</v>
          </cell>
          <cell r="BS1240">
            <v>12.89</v>
          </cell>
        </row>
        <row r="1241">
          <cell r="B1241">
            <v>41907</v>
          </cell>
          <cell r="D1241">
            <v>95.465000000000003</v>
          </cell>
          <cell r="E1241">
            <v>94.29</v>
          </cell>
          <cell r="H1241">
            <v>91.96</v>
          </cell>
          <cell r="I1241">
            <v>107.57</v>
          </cell>
          <cell r="BS1241">
            <v>13.279999999999987</v>
          </cell>
        </row>
        <row r="1242">
          <cell r="B1242">
            <v>41908</v>
          </cell>
          <cell r="D1242">
            <v>95.25</v>
          </cell>
          <cell r="E1242">
            <v>94.09</v>
          </cell>
          <cell r="H1242">
            <v>91.24</v>
          </cell>
          <cell r="I1242">
            <v>107.08</v>
          </cell>
          <cell r="BS1242">
            <v>12.989999999999995</v>
          </cell>
        </row>
        <row r="1243">
          <cell r="B1243">
            <v>41911</v>
          </cell>
          <cell r="D1243">
            <v>95.8</v>
          </cell>
          <cell r="E1243">
            <v>94</v>
          </cell>
          <cell r="H1243">
            <v>91.13</v>
          </cell>
          <cell r="I1243">
            <v>106.01</v>
          </cell>
          <cell r="BS1243">
            <v>12.010000000000005</v>
          </cell>
        </row>
        <row r="1244">
          <cell r="B1244">
            <v>41912</v>
          </cell>
          <cell r="D1244">
            <v>94.8</v>
          </cell>
          <cell r="E1244">
            <v>94.605000000000004</v>
          </cell>
          <cell r="H1244">
            <v>92.02</v>
          </cell>
          <cell r="I1244">
            <v>108.03</v>
          </cell>
          <cell r="BS1244">
            <v>13.424999999999997</v>
          </cell>
        </row>
        <row r="1245">
          <cell r="B1245">
            <v>41913</v>
          </cell>
          <cell r="D1245">
            <v>94.605000000000004</v>
          </cell>
          <cell r="E1245">
            <v>93.5</v>
          </cell>
          <cell r="H1245">
            <v>89.44</v>
          </cell>
          <cell r="I1245">
            <v>105.71</v>
          </cell>
          <cell r="BS1245">
            <v>12.209999999999994</v>
          </cell>
        </row>
        <row r="1246">
          <cell r="B1246">
            <v>41914</v>
          </cell>
          <cell r="D1246">
            <v>91.165000000000006</v>
          </cell>
          <cell r="E1246">
            <v>91.8</v>
          </cell>
          <cell r="H1246">
            <v>88.41</v>
          </cell>
          <cell r="I1246">
            <v>104.83</v>
          </cell>
          <cell r="BS1246">
            <v>13.030000000000001</v>
          </cell>
        </row>
        <row r="1247">
          <cell r="B1247">
            <v>41915</v>
          </cell>
          <cell r="D1247">
            <v>90.63</v>
          </cell>
          <cell r="E1247">
            <v>92.5</v>
          </cell>
          <cell r="H1247">
            <v>88.46</v>
          </cell>
          <cell r="I1247">
            <v>105.43</v>
          </cell>
          <cell r="BS1247">
            <v>12.930000000000007</v>
          </cell>
        </row>
        <row r="1248">
          <cell r="B1248">
            <v>41918</v>
          </cell>
          <cell r="D1248">
            <v>90.63</v>
          </cell>
          <cell r="E1248" t="str">
            <v/>
          </cell>
          <cell r="H1248">
            <v>0</v>
          </cell>
          <cell r="I1248">
            <v>0</v>
          </cell>
          <cell r="BS1248" t="e">
            <v>#N/A</v>
          </cell>
        </row>
        <row r="1249">
          <cell r="B1249">
            <v>41919</v>
          </cell>
          <cell r="D1249">
            <v>90.64</v>
          </cell>
          <cell r="E1249">
            <v>91.15</v>
          </cell>
          <cell r="H1249">
            <v>87.26</v>
          </cell>
          <cell r="I1249">
            <v>104.22</v>
          </cell>
          <cell r="BS1249">
            <v>13.069999999999993</v>
          </cell>
        </row>
        <row r="1250">
          <cell r="B1250">
            <v>41920</v>
          </cell>
          <cell r="D1250">
            <v>90.27</v>
          </cell>
          <cell r="E1250">
            <v>90.1</v>
          </cell>
          <cell r="H1250">
            <v>84.51</v>
          </cell>
          <cell r="I1250">
            <v>102.68</v>
          </cell>
          <cell r="BS1250">
            <v>12.580000000000013</v>
          </cell>
        </row>
        <row r="1251">
          <cell r="B1251">
            <v>41921</v>
          </cell>
          <cell r="D1251">
            <v>90.5</v>
          </cell>
          <cell r="E1251">
            <v>90.5</v>
          </cell>
          <cell r="H1251">
            <v>83.64</v>
          </cell>
          <cell r="I1251">
            <v>102.66</v>
          </cell>
          <cell r="BS1251">
            <v>12.159999999999997</v>
          </cell>
        </row>
        <row r="1252">
          <cell r="B1252">
            <v>41922</v>
          </cell>
          <cell r="D1252">
            <v>88.805000000000007</v>
          </cell>
          <cell r="E1252">
            <v>88</v>
          </cell>
          <cell r="H1252">
            <v>79.02</v>
          </cell>
          <cell r="I1252">
            <v>98.58</v>
          </cell>
          <cell r="BS1252">
            <v>10.579999999999998</v>
          </cell>
        </row>
        <row r="1253">
          <cell r="B1253">
            <v>41925</v>
          </cell>
          <cell r="D1253">
            <v>87.834999999999994</v>
          </cell>
          <cell r="E1253">
            <v>87.7</v>
          </cell>
          <cell r="H1253">
            <v>78.45</v>
          </cell>
          <cell r="I1253">
            <v>97.26</v>
          </cell>
          <cell r="BS1253">
            <v>9.5600000000000023</v>
          </cell>
        </row>
        <row r="1254">
          <cell r="B1254">
            <v>41926</v>
          </cell>
          <cell r="D1254">
            <v>86.465000000000003</v>
          </cell>
          <cell r="E1254">
            <v>87.85</v>
          </cell>
          <cell r="H1254">
            <v>79.98</v>
          </cell>
          <cell r="I1254">
            <v>97.8</v>
          </cell>
          <cell r="BS1254">
            <v>9.9500000000000028</v>
          </cell>
        </row>
        <row r="1255">
          <cell r="B1255">
            <v>41927</v>
          </cell>
          <cell r="D1255">
            <v>84.234999999999999</v>
          </cell>
          <cell r="E1255">
            <v>83.7</v>
          </cell>
          <cell r="H1255">
            <v>76.31</v>
          </cell>
          <cell r="I1255">
            <v>94.55</v>
          </cell>
          <cell r="BS1255">
            <v>10.849999999999994</v>
          </cell>
        </row>
        <row r="1256">
          <cell r="B1256">
            <v>41928</v>
          </cell>
          <cell r="D1256">
            <v>83.415000000000006</v>
          </cell>
          <cell r="E1256">
            <v>82.6</v>
          </cell>
          <cell r="H1256">
            <v>73.83</v>
          </cell>
          <cell r="I1256">
            <v>94.18</v>
          </cell>
          <cell r="BS1256">
            <v>11.580000000000013</v>
          </cell>
        </row>
        <row r="1257">
          <cell r="B1257">
            <v>41929</v>
          </cell>
          <cell r="D1257">
            <v>85.084999999999994</v>
          </cell>
          <cell r="E1257">
            <v>85.05</v>
          </cell>
          <cell r="H1257">
            <v>75.84</v>
          </cell>
          <cell r="I1257">
            <v>96.45</v>
          </cell>
          <cell r="BS1257">
            <v>11.400000000000006</v>
          </cell>
        </row>
        <row r="1258">
          <cell r="B1258">
            <v>41932</v>
          </cell>
          <cell r="D1258">
            <v>84.465000000000003</v>
          </cell>
          <cell r="E1258">
            <v>83.99</v>
          </cell>
          <cell r="H1258">
            <v>77.209999999999994</v>
          </cell>
          <cell r="I1258">
            <v>96.22</v>
          </cell>
          <cell r="BS1258">
            <v>12.230000000000004</v>
          </cell>
        </row>
        <row r="1259">
          <cell r="B1259">
            <v>41933</v>
          </cell>
          <cell r="D1259">
            <v>85.36</v>
          </cell>
          <cell r="E1259">
            <v>83.1</v>
          </cell>
          <cell r="H1259">
            <v>77.61</v>
          </cell>
          <cell r="I1259">
            <v>95.31</v>
          </cell>
          <cell r="BS1259">
            <v>12.210000000000008</v>
          </cell>
        </row>
        <row r="1260">
          <cell r="B1260">
            <v>41934</v>
          </cell>
          <cell r="D1260">
            <v>86.534999999999997</v>
          </cell>
          <cell r="E1260" t="str">
            <v/>
          </cell>
          <cell r="H1260">
            <v>0</v>
          </cell>
          <cell r="I1260">
            <v>0</v>
          </cell>
          <cell r="BS1260" t="e">
            <v>#N/A</v>
          </cell>
        </row>
        <row r="1261">
          <cell r="B1261">
            <v>41935</v>
          </cell>
          <cell r="D1261">
            <v>85.954999999999998</v>
          </cell>
          <cell r="E1261">
            <v>82.7</v>
          </cell>
          <cell r="H1261">
            <v>75.61</v>
          </cell>
          <cell r="I1261">
            <v>93.51</v>
          </cell>
          <cell r="BS1261">
            <v>10.810000000000002</v>
          </cell>
        </row>
        <row r="1262">
          <cell r="B1262">
            <v>41936</v>
          </cell>
          <cell r="D1262">
            <v>85.93</v>
          </cell>
          <cell r="E1262">
            <v>84.3</v>
          </cell>
          <cell r="H1262">
            <v>76.27</v>
          </cell>
          <cell r="I1262">
            <v>94.58</v>
          </cell>
          <cell r="BS1262">
            <v>10.280000000000001</v>
          </cell>
        </row>
        <row r="1263">
          <cell r="B1263">
            <v>41939</v>
          </cell>
          <cell r="D1263">
            <v>85.245000000000005</v>
          </cell>
          <cell r="E1263">
            <v>84.2</v>
          </cell>
          <cell r="H1263">
            <v>76.06</v>
          </cell>
          <cell r="I1263">
            <v>95.03</v>
          </cell>
          <cell r="BS1263">
            <v>10.829999999999998</v>
          </cell>
        </row>
        <row r="1264">
          <cell r="B1264">
            <v>41940</v>
          </cell>
          <cell r="D1264">
            <v>85.69</v>
          </cell>
          <cell r="E1264">
            <v>83.91</v>
          </cell>
          <cell r="H1264">
            <v>75.95</v>
          </cell>
          <cell r="I1264">
            <v>94.12</v>
          </cell>
          <cell r="BS1264">
            <v>10.210000000000008</v>
          </cell>
        </row>
        <row r="1265">
          <cell r="B1265">
            <v>41941</v>
          </cell>
          <cell r="D1265">
            <v>86.805000000000007</v>
          </cell>
          <cell r="E1265">
            <v>84.5</v>
          </cell>
          <cell r="H1265">
            <v>77.400000000000006</v>
          </cell>
          <cell r="I1265">
            <v>95.3</v>
          </cell>
          <cell r="BS1265">
            <v>10.799999999999997</v>
          </cell>
        </row>
        <row r="1266">
          <cell r="B1266">
            <v>41942</v>
          </cell>
          <cell r="D1266">
            <v>85.71</v>
          </cell>
          <cell r="E1266">
            <v>84.4</v>
          </cell>
          <cell r="H1266">
            <v>77.489999999999995</v>
          </cell>
          <cell r="I1266">
            <v>97.08</v>
          </cell>
          <cell r="BS1266">
            <v>12.679999999999993</v>
          </cell>
        </row>
        <row r="1267">
          <cell r="B1267">
            <v>41943</v>
          </cell>
          <cell r="D1267">
            <v>84.284999999999997</v>
          </cell>
          <cell r="E1267">
            <v>83.61</v>
          </cell>
          <cell r="H1267">
            <v>76.930000000000007</v>
          </cell>
          <cell r="I1267">
            <v>96.53</v>
          </cell>
          <cell r="BS1267">
            <v>12.920000000000002</v>
          </cell>
        </row>
        <row r="1268">
          <cell r="B1268">
            <v>41946</v>
          </cell>
          <cell r="D1268">
            <v>84.834999999999994</v>
          </cell>
          <cell r="E1268">
            <v>82.29</v>
          </cell>
          <cell r="H1268">
            <v>76.86</v>
          </cell>
          <cell r="I1268">
            <v>94.68</v>
          </cell>
          <cell r="BS1268">
            <v>12.39</v>
          </cell>
        </row>
        <row r="1269">
          <cell r="B1269">
            <v>41947</v>
          </cell>
          <cell r="D1269">
            <v>82.3</v>
          </cell>
          <cell r="E1269">
            <v>80.290000000000006</v>
          </cell>
          <cell r="H1269">
            <v>75.239999999999995</v>
          </cell>
          <cell r="I1269">
            <v>91.57</v>
          </cell>
          <cell r="BS1269">
            <v>11.279999999999987</v>
          </cell>
        </row>
        <row r="1270">
          <cell r="B1270">
            <v>41948</v>
          </cell>
          <cell r="D1270">
            <v>83</v>
          </cell>
          <cell r="E1270">
            <v>78.7</v>
          </cell>
          <cell r="H1270">
            <v>73.599999999999994</v>
          </cell>
          <cell r="I1270">
            <v>89.73</v>
          </cell>
          <cell r="BS1270">
            <v>11.030000000000001</v>
          </cell>
        </row>
        <row r="1271">
          <cell r="B1271">
            <v>41949</v>
          </cell>
          <cell r="D1271">
            <v>82.08</v>
          </cell>
          <cell r="E1271">
            <v>79.16</v>
          </cell>
          <cell r="H1271">
            <v>73.150000000000006</v>
          </cell>
          <cell r="I1271">
            <v>90.87</v>
          </cell>
          <cell r="BS1271">
            <v>11.710000000000008</v>
          </cell>
        </row>
        <row r="1272">
          <cell r="B1272">
            <v>41950</v>
          </cell>
          <cell r="D1272">
            <v>83.224999999999994</v>
          </cell>
          <cell r="E1272">
            <v>79.180000000000007</v>
          </cell>
          <cell r="H1272">
            <v>73.28</v>
          </cell>
          <cell r="I1272">
            <v>91.58</v>
          </cell>
          <cell r="BS1272">
            <v>12.399999999999991</v>
          </cell>
        </row>
        <row r="1273">
          <cell r="B1273">
            <v>41953</v>
          </cell>
          <cell r="D1273">
            <v>82.555000000000007</v>
          </cell>
          <cell r="E1273">
            <v>80.19</v>
          </cell>
          <cell r="H1273">
            <v>73.05</v>
          </cell>
          <cell r="I1273">
            <v>92.36</v>
          </cell>
          <cell r="BS1273">
            <v>12.170000000000002</v>
          </cell>
        </row>
        <row r="1274">
          <cell r="B1274">
            <v>41954</v>
          </cell>
          <cell r="D1274">
            <v>80.239999999999995</v>
          </cell>
          <cell r="E1274">
            <v>78.09</v>
          </cell>
          <cell r="H1274">
            <v>69.75</v>
          </cell>
          <cell r="I1274">
            <v>89.85</v>
          </cell>
          <cell r="BS1274">
            <v>11.759999999999991</v>
          </cell>
        </row>
        <row r="1275">
          <cell r="B1275">
            <v>41955</v>
          </cell>
          <cell r="D1275">
            <v>80.355000000000004</v>
          </cell>
          <cell r="E1275">
            <v>77.790000000000006</v>
          </cell>
          <cell r="H1275">
            <v>71.2</v>
          </cell>
          <cell r="I1275">
            <v>89.05</v>
          </cell>
          <cell r="BS1275">
            <v>11.259999999999991</v>
          </cell>
        </row>
        <row r="1276">
          <cell r="B1276">
            <v>41956</v>
          </cell>
          <cell r="D1276">
            <v>77.8</v>
          </cell>
          <cell r="E1276">
            <v>76.400000000000006</v>
          </cell>
          <cell r="H1276">
            <v>71.59</v>
          </cell>
          <cell r="I1276">
            <v>88.12</v>
          </cell>
          <cell r="BS1276">
            <v>11.719999999999999</v>
          </cell>
        </row>
        <row r="1277">
          <cell r="B1277">
            <v>41957</v>
          </cell>
          <cell r="D1277">
            <v>76.75</v>
          </cell>
          <cell r="E1277">
            <v>73.39</v>
          </cell>
          <cell r="H1277">
            <v>68.319999999999993</v>
          </cell>
          <cell r="I1277">
            <v>85.21</v>
          </cell>
          <cell r="BS1277">
            <v>11.819999999999993</v>
          </cell>
        </row>
        <row r="1278">
          <cell r="B1278">
            <v>41960</v>
          </cell>
          <cell r="D1278">
            <v>76.954999999999998</v>
          </cell>
          <cell r="E1278">
            <v>74.19</v>
          </cell>
          <cell r="H1278">
            <v>70.02</v>
          </cell>
          <cell r="I1278">
            <v>85.43</v>
          </cell>
          <cell r="BS1278">
            <v>11.240000000000009</v>
          </cell>
        </row>
        <row r="1279">
          <cell r="B1279">
            <v>41961</v>
          </cell>
          <cell r="D1279">
            <v>77.405000000000001</v>
          </cell>
          <cell r="E1279">
            <v>75.099999999999994</v>
          </cell>
          <cell r="H1279">
            <v>71.36</v>
          </cell>
          <cell r="I1279">
            <v>85.87</v>
          </cell>
          <cell r="BS1279">
            <v>10.77000000000001</v>
          </cell>
        </row>
        <row r="1280">
          <cell r="B1280">
            <v>41962</v>
          </cell>
          <cell r="D1280">
            <v>77.325000000000003</v>
          </cell>
          <cell r="E1280">
            <v>74.3</v>
          </cell>
          <cell r="H1280">
            <v>70.709999999999994</v>
          </cell>
          <cell r="I1280">
            <v>85.42</v>
          </cell>
          <cell r="BS1280">
            <v>11.120000000000005</v>
          </cell>
        </row>
        <row r="1281">
          <cell r="B1281">
            <v>41963</v>
          </cell>
          <cell r="D1281">
            <v>77.334999999999994</v>
          </cell>
          <cell r="E1281">
            <v>74.14</v>
          </cell>
          <cell r="H1281">
            <v>71.77</v>
          </cell>
          <cell r="I1281">
            <v>85</v>
          </cell>
          <cell r="BS1281">
            <v>10.86</v>
          </cell>
        </row>
        <row r="1282">
          <cell r="B1282">
            <v>41964</v>
          </cell>
          <cell r="D1282">
            <v>78.984999999999999</v>
          </cell>
          <cell r="E1282">
            <v>75.75</v>
          </cell>
          <cell r="H1282">
            <v>72.8</v>
          </cell>
          <cell r="I1282">
            <v>86.36</v>
          </cell>
          <cell r="BS1282">
            <v>10.61</v>
          </cell>
        </row>
        <row r="1283">
          <cell r="B1283">
            <v>41967</v>
          </cell>
          <cell r="D1283">
            <v>79.34</v>
          </cell>
          <cell r="E1283">
            <v>76.8</v>
          </cell>
          <cell r="H1283">
            <v>73.239999999999995</v>
          </cell>
          <cell r="I1283">
            <v>88.28</v>
          </cell>
          <cell r="BS1283">
            <v>11.480000000000004</v>
          </cell>
        </row>
        <row r="1284">
          <cell r="B1284">
            <v>41968</v>
          </cell>
          <cell r="D1284">
            <v>77.55</v>
          </cell>
          <cell r="E1284">
            <v>75.59</v>
          </cell>
          <cell r="H1284">
            <v>72.11</v>
          </cell>
          <cell r="I1284">
            <v>87.77</v>
          </cell>
          <cell r="BS1284">
            <v>12.179999999999993</v>
          </cell>
        </row>
        <row r="1285">
          <cell r="B1285">
            <v>41969</v>
          </cell>
          <cell r="D1285">
            <v>77.48</v>
          </cell>
          <cell r="E1285">
            <v>74.204999999999998</v>
          </cell>
          <cell r="H1285">
            <v>71.900000000000006</v>
          </cell>
          <cell r="I1285">
            <v>87.03</v>
          </cell>
          <cell r="BS1285">
            <v>12.825000000000003</v>
          </cell>
        </row>
        <row r="1286">
          <cell r="B1286">
            <v>41970</v>
          </cell>
          <cell r="D1286">
            <v>70.69</v>
          </cell>
          <cell r="E1286">
            <v>72.14</v>
          </cell>
          <cell r="H1286">
            <v>70.12</v>
          </cell>
          <cell r="I1286">
            <v>84.53</v>
          </cell>
          <cell r="BS1286">
            <v>12.39</v>
          </cell>
        </row>
        <row r="1287">
          <cell r="B1287">
            <v>41971</v>
          </cell>
          <cell r="D1287">
            <v>71.67</v>
          </cell>
          <cell r="E1287">
            <v>68.91</v>
          </cell>
          <cell r="H1287">
            <v>67.040000000000006</v>
          </cell>
          <cell r="I1287">
            <v>80.16</v>
          </cell>
          <cell r="BS1287">
            <v>11.25</v>
          </cell>
        </row>
        <row r="1288">
          <cell r="B1288">
            <v>41974</v>
          </cell>
          <cell r="D1288">
            <v>70.944999999999993</v>
          </cell>
          <cell r="E1288">
            <v>65.900000000000006</v>
          </cell>
          <cell r="H1288">
            <v>64.680000000000007</v>
          </cell>
          <cell r="I1288">
            <v>76.38</v>
          </cell>
          <cell r="BS1288">
            <v>10.47999999999999</v>
          </cell>
        </row>
        <row r="1289">
          <cell r="B1289">
            <v>41975</v>
          </cell>
          <cell r="D1289">
            <v>71.174999999999997</v>
          </cell>
          <cell r="E1289">
            <v>68.8</v>
          </cell>
          <cell r="H1289">
            <v>67.209999999999994</v>
          </cell>
          <cell r="I1289">
            <v>79.790000000000006</v>
          </cell>
          <cell r="BS1289">
            <v>10.990000000000009</v>
          </cell>
        </row>
        <row r="1290">
          <cell r="B1290">
            <v>41976</v>
          </cell>
          <cell r="D1290">
            <v>70.174999999999997</v>
          </cell>
          <cell r="E1290">
            <v>67.989999999999995</v>
          </cell>
          <cell r="H1290">
            <v>65.430000000000007</v>
          </cell>
          <cell r="I1290">
            <v>77.739999999999995</v>
          </cell>
          <cell r="BS1290">
            <v>9.75</v>
          </cell>
        </row>
        <row r="1291">
          <cell r="B1291">
            <v>41977</v>
          </cell>
          <cell r="D1291">
            <v>68.55</v>
          </cell>
          <cell r="E1291">
            <v>67.099999999999994</v>
          </cell>
          <cell r="H1291">
            <v>64.400000000000006</v>
          </cell>
          <cell r="I1291">
            <v>76.25</v>
          </cell>
          <cell r="BS1291">
            <v>9.1500000000000057</v>
          </cell>
        </row>
        <row r="1292">
          <cell r="B1292">
            <v>41978</v>
          </cell>
          <cell r="D1292">
            <v>67.965000000000003</v>
          </cell>
          <cell r="E1292">
            <v>66.040000000000006</v>
          </cell>
          <cell r="H1292">
            <v>63.3</v>
          </cell>
          <cell r="I1292">
            <v>74.959999999999994</v>
          </cell>
          <cell r="BS1292">
            <v>8.9199999999999875</v>
          </cell>
        </row>
        <row r="1293">
          <cell r="B1293">
            <v>41981</v>
          </cell>
          <cell r="D1293">
            <v>65.7</v>
          </cell>
          <cell r="E1293">
            <v>65.209999999999994</v>
          </cell>
          <cell r="H1293">
            <v>60.31</v>
          </cell>
          <cell r="I1293">
            <v>73.650000000000006</v>
          </cell>
          <cell r="BS1293">
            <v>8.4400000000000119</v>
          </cell>
        </row>
        <row r="1294">
          <cell r="B1294">
            <v>41982</v>
          </cell>
          <cell r="D1294">
            <v>66.099999999999994</v>
          </cell>
          <cell r="E1294">
            <v>62.41</v>
          </cell>
          <cell r="H1294">
            <v>58.27</v>
          </cell>
          <cell r="I1294">
            <v>71.319999999999993</v>
          </cell>
          <cell r="BS1294">
            <v>8.9099999999999966</v>
          </cell>
        </row>
        <row r="1295">
          <cell r="B1295">
            <v>41983</v>
          </cell>
          <cell r="D1295">
            <v>63.17</v>
          </cell>
          <cell r="E1295">
            <v>62.7</v>
          </cell>
          <cell r="H1295">
            <v>58.19</v>
          </cell>
          <cell r="I1295">
            <v>71.39</v>
          </cell>
          <cell r="BS1295">
            <v>8.6899999999999977</v>
          </cell>
        </row>
        <row r="1296">
          <cell r="B1296">
            <v>41984</v>
          </cell>
          <cell r="D1296">
            <v>63.625</v>
          </cell>
          <cell r="E1296">
            <v>61.51</v>
          </cell>
          <cell r="H1296">
            <v>54.8</v>
          </cell>
          <cell r="I1296">
            <v>69.98</v>
          </cell>
          <cell r="BS1296">
            <v>8.470000000000006</v>
          </cell>
        </row>
        <row r="1297">
          <cell r="B1297">
            <v>41985</v>
          </cell>
          <cell r="D1297">
            <v>61.625</v>
          </cell>
          <cell r="E1297">
            <v>59.81</v>
          </cell>
          <cell r="H1297">
            <v>54.6</v>
          </cell>
          <cell r="I1297">
            <v>68.34</v>
          </cell>
          <cell r="BS1297">
            <v>8.5300000000000011</v>
          </cell>
        </row>
        <row r="1298">
          <cell r="B1298">
            <v>41988</v>
          </cell>
          <cell r="D1298">
            <v>61</v>
          </cell>
          <cell r="E1298">
            <v>59.41</v>
          </cell>
          <cell r="H1298">
            <v>54.97</v>
          </cell>
          <cell r="I1298">
            <v>68.13</v>
          </cell>
          <cell r="BS1298">
            <v>8.7199999999999989</v>
          </cell>
        </row>
        <row r="1299">
          <cell r="B1299">
            <v>41989</v>
          </cell>
          <cell r="D1299">
            <v>60.41</v>
          </cell>
          <cell r="E1299">
            <v>56.26</v>
          </cell>
          <cell r="H1299">
            <v>52.36</v>
          </cell>
          <cell r="I1299">
            <v>64.77</v>
          </cell>
          <cell r="BS1299">
            <v>8.509999999999998</v>
          </cell>
        </row>
        <row r="1300">
          <cell r="B1300">
            <v>41990</v>
          </cell>
          <cell r="D1300">
            <v>59.954999999999998</v>
          </cell>
          <cell r="E1300">
            <v>55.8</v>
          </cell>
          <cell r="H1300">
            <v>52.37</v>
          </cell>
          <cell r="I1300">
            <v>64.790000000000006</v>
          </cell>
          <cell r="BS1300">
            <v>8.9900000000000091</v>
          </cell>
        </row>
        <row r="1301">
          <cell r="B1301">
            <v>41991</v>
          </cell>
          <cell r="D1301">
            <v>58.9</v>
          </cell>
          <cell r="E1301">
            <v>57.3</v>
          </cell>
          <cell r="H1301">
            <v>52.59</v>
          </cell>
          <cell r="I1301">
            <v>66.959999999999994</v>
          </cell>
          <cell r="BS1301">
            <v>9.6599999999999966</v>
          </cell>
        </row>
        <row r="1302">
          <cell r="B1302">
            <v>41992</v>
          </cell>
          <cell r="D1302">
            <v>59.19</v>
          </cell>
          <cell r="E1302">
            <v>55.4</v>
          </cell>
          <cell r="H1302">
            <v>51.21</v>
          </cell>
          <cell r="I1302">
            <v>65.17</v>
          </cell>
          <cell r="BS1302">
            <v>9.7700000000000031</v>
          </cell>
        </row>
        <row r="1303">
          <cell r="B1303">
            <v>41995</v>
          </cell>
          <cell r="D1303">
            <v>58.52</v>
          </cell>
          <cell r="E1303">
            <v>58.6</v>
          </cell>
          <cell r="H1303">
            <v>54.76</v>
          </cell>
          <cell r="I1303">
            <v>68.400000000000006</v>
          </cell>
          <cell r="BS1303">
            <v>9.8000000000000043</v>
          </cell>
        </row>
        <row r="1304">
          <cell r="B1304">
            <v>41996</v>
          </cell>
          <cell r="D1304">
            <v>58.994999999999997</v>
          </cell>
          <cell r="E1304">
            <v>56.01</v>
          </cell>
          <cell r="H1304">
            <v>51.96</v>
          </cell>
          <cell r="I1304">
            <v>65.849999999999994</v>
          </cell>
          <cell r="BS1304">
            <v>9.8399999999999963</v>
          </cell>
        </row>
        <row r="1305">
          <cell r="B1305">
            <v>41997</v>
          </cell>
          <cell r="D1305">
            <v>58.57</v>
          </cell>
          <cell r="E1305">
            <v>57.31</v>
          </cell>
          <cell r="H1305">
            <v>53.09</v>
          </cell>
          <cell r="I1305">
            <v>67.319999999999993</v>
          </cell>
          <cell r="BS1305">
            <v>10.009999999999991</v>
          </cell>
        </row>
        <row r="1306">
          <cell r="B1306">
            <v>41998</v>
          </cell>
          <cell r="D1306" t="str">
            <v/>
          </cell>
          <cell r="E1306" t="str">
            <v/>
          </cell>
          <cell r="H1306">
            <v>0</v>
          </cell>
          <cell r="I1306">
            <v>0</v>
          </cell>
          <cell r="BS1306" t="e">
            <v>#N/A</v>
          </cell>
        </row>
        <row r="1307">
          <cell r="B1307">
            <v>41999</v>
          </cell>
          <cell r="D1307" t="str">
            <v/>
          </cell>
          <cell r="E1307" t="str">
            <v/>
          </cell>
          <cell r="H1307">
            <v>0</v>
          </cell>
          <cell r="I1307">
            <v>0</v>
          </cell>
          <cell r="BS1307" t="e">
            <v>#N/A</v>
          </cell>
        </row>
        <row r="1308">
          <cell r="B1308">
            <v>42002</v>
          </cell>
          <cell r="D1308">
            <v>57.68</v>
          </cell>
          <cell r="E1308">
            <v>55.69</v>
          </cell>
          <cell r="H1308">
            <v>51.46</v>
          </cell>
          <cell r="I1308">
            <v>65.680000000000007</v>
          </cell>
          <cell r="BS1308">
            <v>9.9900000000000091</v>
          </cell>
        </row>
        <row r="1309">
          <cell r="B1309">
            <v>42003</v>
          </cell>
          <cell r="D1309">
            <v>55.83</v>
          </cell>
          <cell r="E1309">
            <v>53.005000000000003</v>
          </cell>
          <cell r="H1309">
            <v>48.37</v>
          </cell>
          <cell r="I1309">
            <v>62.15</v>
          </cell>
          <cell r="BS1309">
            <v>9.144999999999996</v>
          </cell>
        </row>
        <row r="1310">
          <cell r="B1310">
            <v>42004</v>
          </cell>
          <cell r="D1310">
            <v>54.975000000000001</v>
          </cell>
          <cell r="E1310">
            <v>52.89</v>
          </cell>
          <cell r="H1310">
            <v>48.55</v>
          </cell>
          <cell r="I1310">
            <v>62.14</v>
          </cell>
          <cell r="BS1310">
            <v>9.25</v>
          </cell>
        </row>
        <row r="1311">
          <cell r="B1311">
            <v>42005</v>
          </cell>
          <cell r="D1311" t="str">
            <v/>
          </cell>
          <cell r="E1311" t="str">
            <v/>
          </cell>
          <cell r="H1311">
            <v>0</v>
          </cell>
          <cell r="I1311">
            <v>0</v>
          </cell>
          <cell r="BS1311" t="e">
            <v>#N/A</v>
          </cell>
        </row>
        <row r="1312">
          <cell r="B1312">
            <v>42006</v>
          </cell>
          <cell r="D1312">
            <v>54.98</v>
          </cell>
          <cell r="E1312">
            <v>54.09</v>
          </cell>
          <cell r="H1312">
            <v>48.88</v>
          </cell>
          <cell r="I1312">
            <v>62.99</v>
          </cell>
          <cell r="BS1312">
            <v>8.8999999999999986</v>
          </cell>
        </row>
        <row r="1313">
          <cell r="B1313">
            <v>42009</v>
          </cell>
          <cell r="D1313">
            <v>51.3</v>
          </cell>
          <cell r="E1313">
            <v>51.4</v>
          </cell>
          <cell r="H1313">
            <v>46.56</v>
          </cell>
          <cell r="I1313">
            <v>60.26</v>
          </cell>
          <cell r="BS1313">
            <v>8.86</v>
          </cell>
        </row>
        <row r="1314">
          <cell r="B1314">
            <v>42010</v>
          </cell>
          <cell r="D1314">
            <v>50.075000000000003</v>
          </cell>
          <cell r="E1314">
            <v>48.7</v>
          </cell>
          <cell r="H1314">
            <v>44.67</v>
          </cell>
          <cell r="I1314">
            <v>57.41</v>
          </cell>
          <cell r="BS1314">
            <v>8.7099999999999937</v>
          </cell>
        </row>
        <row r="1315">
          <cell r="B1315">
            <v>42011</v>
          </cell>
          <cell r="D1315">
            <v>49.07</v>
          </cell>
          <cell r="E1315">
            <v>45.91</v>
          </cell>
          <cell r="H1315">
            <v>42.47</v>
          </cell>
          <cell r="I1315">
            <v>54.95</v>
          </cell>
          <cell r="BS1315">
            <v>9.0400000000000063</v>
          </cell>
        </row>
        <row r="1316">
          <cell r="B1316">
            <v>42012</v>
          </cell>
          <cell r="D1316">
            <v>49.29</v>
          </cell>
          <cell r="E1316">
            <v>47.26</v>
          </cell>
          <cell r="H1316">
            <v>42.84</v>
          </cell>
          <cell r="I1316">
            <v>55.6</v>
          </cell>
          <cell r="BS1316">
            <v>8.3400000000000034</v>
          </cell>
        </row>
        <row r="1317">
          <cell r="B1317">
            <v>42013</v>
          </cell>
          <cell r="D1317">
            <v>47.655000000000001</v>
          </cell>
          <cell r="E1317">
            <v>47.2</v>
          </cell>
          <cell r="H1317">
            <v>43.63</v>
          </cell>
          <cell r="I1317">
            <v>55.47</v>
          </cell>
          <cell r="BS1317">
            <v>8.269999999999996</v>
          </cell>
        </row>
        <row r="1318">
          <cell r="B1318">
            <v>42016</v>
          </cell>
          <cell r="D1318">
            <v>46.805</v>
          </cell>
          <cell r="E1318">
            <v>45.4</v>
          </cell>
          <cell r="H1318">
            <v>43.04</v>
          </cell>
          <cell r="I1318">
            <v>52.98</v>
          </cell>
          <cell r="BS1318">
            <v>7.5799999999999983</v>
          </cell>
        </row>
        <row r="1319">
          <cell r="B1319">
            <v>42017</v>
          </cell>
          <cell r="D1319">
            <v>45.22</v>
          </cell>
          <cell r="E1319">
            <v>42.59</v>
          </cell>
          <cell r="H1319">
            <v>41.76</v>
          </cell>
          <cell r="I1319">
            <v>50.38</v>
          </cell>
          <cell r="BS1319">
            <v>7.7899999999999991</v>
          </cell>
        </row>
        <row r="1320">
          <cell r="B1320">
            <v>42018</v>
          </cell>
          <cell r="D1320">
            <v>45.73</v>
          </cell>
          <cell r="E1320">
            <v>42.05</v>
          </cell>
          <cell r="H1320">
            <v>42.23</v>
          </cell>
          <cell r="I1320">
            <v>50.92</v>
          </cell>
          <cell r="BS1320">
            <v>8.8700000000000045</v>
          </cell>
        </row>
        <row r="1321">
          <cell r="B1321">
            <v>42019</v>
          </cell>
          <cell r="D1321">
            <v>47.65</v>
          </cell>
          <cell r="E1321">
            <v>44</v>
          </cell>
          <cell r="H1321">
            <v>44.06</v>
          </cell>
          <cell r="I1321">
            <v>53.59</v>
          </cell>
          <cell r="BS1321">
            <v>9.5900000000000034</v>
          </cell>
        </row>
        <row r="1322">
          <cell r="B1322">
            <v>42020</v>
          </cell>
          <cell r="D1322">
            <v>47.225000000000001</v>
          </cell>
          <cell r="E1322">
            <v>43.9</v>
          </cell>
          <cell r="H1322">
            <v>45.3</v>
          </cell>
          <cell r="I1322">
            <v>53.71</v>
          </cell>
          <cell r="BS1322">
            <v>9.8100000000000023</v>
          </cell>
        </row>
        <row r="1323">
          <cell r="B1323">
            <v>42023</v>
          </cell>
          <cell r="D1323">
            <v>47.005000000000003</v>
          </cell>
          <cell r="E1323">
            <v>44.8</v>
          </cell>
          <cell r="H1323">
            <v>46.39</v>
          </cell>
          <cell r="I1323">
            <v>54.38</v>
          </cell>
          <cell r="BS1323">
            <v>9.5800000000000054</v>
          </cell>
        </row>
        <row r="1324">
          <cell r="B1324">
            <v>42024</v>
          </cell>
          <cell r="D1324">
            <v>46.865000000000002</v>
          </cell>
          <cell r="E1324">
            <v>44</v>
          </cell>
          <cell r="H1324">
            <v>46.29</v>
          </cell>
          <cell r="I1324">
            <v>53.39</v>
          </cell>
          <cell r="BS1324">
            <v>9.39</v>
          </cell>
        </row>
        <row r="1325">
          <cell r="B1325">
            <v>42025</v>
          </cell>
          <cell r="D1325">
            <v>46.884999999999998</v>
          </cell>
          <cell r="E1325">
            <v>44.15</v>
          </cell>
          <cell r="H1325">
            <v>45.96</v>
          </cell>
          <cell r="I1325">
            <v>53.52</v>
          </cell>
          <cell r="BS1325">
            <v>9.3700000000000045</v>
          </cell>
        </row>
        <row r="1326">
          <cell r="B1326">
            <v>42026</v>
          </cell>
          <cell r="D1326">
            <v>46.6</v>
          </cell>
          <cell r="E1326">
            <v>43.99</v>
          </cell>
          <cell r="H1326">
            <v>45.99</v>
          </cell>
          <cell r="I1326">
            <v>53.12</v>
          </cell>
          <cell r="BS1326">
            <v>9.1299999999999955</v>
          </cell>
        </row>
        <row r="1327">
          <cell r="B1327">
            <v>42027</v>
          </cell>
          <cell r="D1327">
            <v>46.97</v>
          </cell>
          <cell r="E1327">
            <v>45.2</v>
          </cell>
          <cell r="H1327">
            <v>46.24</v>
          </cell>
          <cell r="I1327">
            <v>54.58</v>
          </cell>
          <cell r="BS1327">
            <v>9.3799999999999955</v>
          </cell>
        </row>
        <row r="1328">
          <cell r="B1328">
            <v>42030</v>
          </cell>
          <cell r="D1328">
            <v>46.3</v>
          </cell>
          <cell r="E1328">
            <v>44.01</v>
          </cell>
          <cell r="H1328">
            <v>45.05</v>
          </cell>
          <cell r="I1328">
            <v>53.08</v>
          </cell>
          <cell r="BS1328">
            <v>9.07</v>
          </cell>
        </row>
        <row r="1329">
          <cell r="B1329">
            <v>42031</v>
          </cell>
          <cell r="D1329">
            <v>46.854999999999997</v>
          </cell>
          <cell r="E1329">
            <v>43.71</v>
          </cell>
          <cell r="H1329">
            <v>45.94</v>
          </cell>
          <cell r="I1329">
            <v>52.82</v>
          </cell>
          <cell r="BS1329">
            <v>9.11</v>
          </cell>
        </row>
        <row r="1330">
          <cell r="B1330">
            <v>42032</v>
          </cell>
          <cell r="D1330">
            <v>47.64</v>
          </cell>
          <cell r="E1330">
            <v>44.95</v>
          </cell>
          <cell r="H1330">
            <v>47.47</v>
          </cell>
          <cell r="I1330">
            <v>54.56</v>
          </cell>
          <cell r="BS1330">
            <v>9.61</v>
          </cell>
        </row>
        <row r="1331">
          <cell r="B1331">
            <v>42033</v>
          </cell>
          <cell r="D1331">
            <v>47.06</v>
          </cell>
          <cell r="E1331">
            <v>44.45</v>
          </cell>
          <cell r="H1331">
            <v>47.09</v>
          </cell>
          <cell r="I1331">
            <v>54.68</v>
          </cell>
          <cell r="BS1331">
            <v>10.229999999999997</v>
          </cell>
        </row>
        <row r="1332">
          <cell r="B1332">
            <v>42034</v>
          </cell>
          <cell r="D1332">
            <v>47.854999999999997</v>
          </cell>
          <cell r="E1332">
            <v>45.3</v>
          </cell>
          <cell r="H1332">
            <v>48.06</v>
          </cell>
          <cell r="I1332">
            <v>55.42</v>
          </cell>
          <cell r="BS1332">
            <v>10.120000000000005</v>
          </cell>
        </row>
        <row r="1333">
          <cell r="B1333">
            <v>42037</v>
          </cell>
          <cell r="D1333">
            <v>52.265000000000001</v>
          </cell>
          <cell r="E1333">
            <v>49.11</v>
          </cell>
          <cell r="H1333">
            <v>51.66</v>
          </cell>
          <cell r="I1333">
            <v>58.52</v>
          </cell>
          <cell r="BS1333">
            <v>9.4100000000000037</v>
          </cell>
        </row>
        <row r="1334">
          <cell r="B1334">
            <v>42038</v>
          </cell>
          <cell r="D1334">
            <v>54.81</v>
          </cell>
          <cell r="E1334">
            <v>53.11</v>
          </cell>
          <cell r="H1334">
            <v>55.99</v>
          </cell>
          <cell r="I1334">
            <v>63.57</v>
          </cell>
          <cell r="BS1334">
            <v>10.46</v>
          </cell>
        </row>
        <row r="1335">
          <cell r="B1335">
            <v>42039</v>
          </cell>
          <cell r="D1335">
            <v>54.895000000000003</v>
          </cell>
          <cell r="E1335">
            <v>54.41</v>
          </cell>
          <cell r="H1335">
            <v>56.88</v>
          </cell>
          <cell r="I1335">
            <v>65.22</v>
          </cell>
          <cell r="BS1335">
            <v>10.810000000000002</v>
          </cell>
        </row>
        <row r="1336">
          <cell r="B1336">
            <v>42040</v>
          </cell>
          <cell r="D1336">
            <v>55.99</v>
          </cell>
          <cell r="E1336">
            <v>51.255000000000003</v>
          </cell>
          <cell r="H1336">
            <v>52.87</v>
          </cell>
          <cell r="I1336">
            <v>61.61</v>
          </cell>
          <cell r="BS1336">
            <v>10.354999999999997</v>
          </cell>
        </row>
        <row r="1337">
          <cell r="B1337">
            <v>42041</v>
          </cell>
          <cell r="D1337">
            <v>56.704999999999998</v>
          </cell>
          <cell r="E1337">
            <v>54.7</v>
          </cell>
          <cell r="H1337">
            <v>55.42</v>
          </cell>
          <cell r="I1337">
            <v>64.87</v>
          </cell>
          <cell r="BS1337">
            <v>10.170000000000002</v>
          </cell>
        </row>
        <row r="1338">
          <cell r="B1338">
            <v>42044</v>
          </cell>
          <cell r="D1338">
            <v>57.16</v>
          </cell>
          <cell r="E1338">
            <v>54.825000000000003</v>
          </cell>
          <cell r="H1338">
            <v>57.06</v>
          </cell>
          <cell r="I1338">
            <v>66.569999999999993</v>
          </cell>
          <cell r="BS1338">
            <v>11.74499999999999</v>
          </cell>
        </row>
        <row r="1339">
          <cell r="B1339">
            <v>42045</v>
          </cell>
          <cell r="D1339">
            <v>55.835000000000001</v>
          </cell>
          <cell r="E1339">
            <v>55.2</v>
          </cell>
          <cell r="H1339">
            <v>57.34</v>
          </cell>
          <cell r="I1339">
            <v>66.22</v>
          </cell>
          <cell r="BS1339">
            <v>11.019999999999996</v>
          </cell>
        </row>
        <row r="1340">
          <cell r="B1340">
            <v>42046</v>
          </cell>
          <cell r="D1340">
            <v>54</v>
          </cell>
          <cell r="E1340">
            <v>54.594999999999999</v>
          </cell>
          <cell r="H1340">
            <v>56.69</v>
          </cell>
          <cell r="I1340">
            <v>65.709999999999994</v>
          </cell>
          <cell r="BS1340">
            <v>11.114999999999995</v>
          </cell>
        </row>
        <row r="1341">
          <cell r="B1341">
            <v>42047</v>
          </cell>
          <cell r="D1341">
            <v>56.314999999999998</v>
          </cell>
          <cell r="E1341">
            <v>54.21</v>
          </cell>
          <cell r="H1341">
            <v>56.79</v>
          </cell>
          <cell r="I1341">
            <v>65.349999999999994</v>
          </cell>
          <cell r="BS1341">
            <v>11.139999999999993</v>
          </cell>
        </row>
        <row r="1342">
          <cell r="B1342">
            <v>42048</v>
          </cell>
          <cell r="D1342">
            <v>60.104999999999997</v>
          </cell>
          <cell r="E1342">
            <v>57.21</v>
          </cell>
          <cell r="H1342">
            <v>58.98</v>
          </cell>
          <cell r="I1342">
            <v>68.75</v>
          </cell>
          <cell r="BS1342">
            <v>11.54</v>
          </cell>
        </row>
        <row r="1343">
          <cell r="B1343">
            <v>42051</v>
          </cell>
          <cell r="D1343">
            <v>61.2</v>
          </cell>
          <cell r="E1343">
            <v>57.81</v>
          </cell>
          <cell r="H1343">
            <v>58.76</v>
          </cell>
          <cell r="I1343">
            <v>69.09</v>
          </cell>
          <cell r="BS1343">
            <v>11.280000000000001</v>
          </cell>
        </row>
        <row r="1344">
          <cell r="B1344">
            <v>42052</v>
          </cell>
          <cell r="D1344">
            <v>60.465000000000003</v>
          </cell>
          <cell r="E1344">
            <v>58.51</v>
          </cell>
          <cell r="H1344">
            <v>59.82</v>
          </cell>
          <cell r="I1344">
            <v>70</v>
          </cell>
          <cell r="BS1344">
            <v>11.490000000000002</v>
          </cell>
        </row>
        <row r="1345">
          <cell r="B1345">
            <v>42053</v>
          </cell>
          <cell r="D1345">
            <v>60.66</v>
          </cell>
          <cell r="E1345">
            <v>59.5</v>
          </cell>
          <cell r="H1345">
            <v>60.01</v>
          </cell>
          <cell r="I1345">
            <v>69.94</v>
          </cell>
          <cell r="BS1345">
            <v>10.439999999999998</v>
          </cell>
        </row>
        <row r="1346">
          <cell r="B1346">
            <v>42054</v>
          </cell>
          <cell r="D1346">
            <v>58.59</v>
          </cell>
          <cell r="E1346" t="str">
            <v/>
          </cell>
          <cell r="H1346">
            <v>0</v>
          </cell>
          <cell r="I1346">
            <v>0</v>
          </cell>
          <cell r="BS1346" t="e">
            <v>#N/A</v>
          </cell>
        </row>
        <row r="1347">
          <cell r="B1347">
            <v>42055</v>
          </cell>
          <cell r="D1347">
            <v>60.7</v>
          </cell>
          <cell r="E1347" t="str">
            <v/>
          </cell>
          <cell r="H1347">
            <v>0</v>
          </cell>
          <cell r="I1347">
            <v>0</v>
          </cell>
          <cell r="BS1347" t="e">
            <v>#N/A</v>
          </cell>
        </row>
        <row r="1348">
          <cell r="B1348">
            <v>42058</v>
          </cell>
          <cell r="D1348">
            <v>59.865000000000002</v>
          </cell>
          <cell r="E1348">
            <v>56.21</v>
          </cell>
          <cell r="H1348">
            <v>58.66</v>
          </cell>
          <cell r="I1348">
            <v>68.89</v>
          </cell>
          <cell r="BS1348">
            <v>12.68</v>
          </cell>
        </row>
        <row r="1349">
          <cell r="B1349">
            <v>42059</v>
          </cell>
          <cell r="D1349">
            <v>60.075000000000003</v>
          </cell>
          <cell r="E1349">
            <v>55.3</v>
          </cell>
          <cell r="H1349">
            <v>57.57</v>
          </cell>
          <cell r="I1349">
            <v>67.91</v>
          </cell>
          <cell r="BS1349">
            <v>12.61</v>
          </cell>
        </row>
        <row r="1350">
          <cell r="B1350">
            <v>42060</v>
          </cell>
          <cell r="D1350">
            <v>59.645000000000003</v>
          </cell>
          <cell r="E1350">
            <v>55.29</v>
          </cell>
          <cell r="H1350">
            <v>58.07</v>
          </cell>
          <cell r="I1350">
            <v>68.42</v>
          </cell>
          <cell r="BS1350">
            <v>13.130000000000003</v>
          </cell>
        </row>
        <row r="1351">
          <cell r="B1351">
            <v>42061</v>
          </cell>
          <cell r="D1351">
            <v>61.36</v>
          </cell>
          <cell r="E1351">
            <v>58.1</v>
          </cell>
          <cell r="H1351">
            <v>60.27</v>
          </cell>
          <cell r="I1351">
            <v>73.099999999999994</v>
          </cell>
          <cell r="BS1351">
            <v>14.999999999999993</v>
          </cell>
        </row>
        <row r="1352">
          <cell r="B1352">
            <v>42062</v>
          </cell>
          <cell r="D1352">
            <v>61.99</v>
          </cell>
          <cell r="E1352">
            <v>58.6</v>
          </cell>
          <cell r="H1352">
            <v>60.19</v>
          </cell>
          <cell r="I1352">
            <v>73.41</v>
          </cell>
          <cell r="BS1352">
            <v>14.809999999999995</v>
          </cell>
        </row>
        <row r="1353">
          <cell r="B1353">
            <v>42065</v>
          </cell>
          <cell r="D1353">
            <v>61.075000000000003</v>
          </cell>
          <cell r="E1353">
            <v>59.4</v>
          </cell>
          <cell r="H1353">
            <v>61.04</v>
          </cell>
          <cell r="I1353">
            <v>74.34</v>
          </cell>
          <cell r="BS1353">
            <v>14.940000000000005</v>
          </cell>
        </row>
        <row r="1354">
          <cell r="B1354">
            <v>42066</v>
          </cell>
          <cell r="D1354">
            <v>61.38</v>
          </cell>
          <cell r="E1354">
            <v>57.49</v>
          </cell>
          <cell r="H1354">
            <v>59.47</v>
          </cell>
          <cell r="I1354">
            <v>72.819999999999993</v>
          </cell>
          <cell r="BS1354">
            <v>15.329999999999991</v>
          </cell>
        </row>
        <row r="1355">
          <cell r="B1355">
            <v>42067</v>
          </cell>
          <cell r="D1355">
            <v>59.155000000000001</v>
          </cell>
          <cell r="E1355">
            <v>58.01</v>
          </cell>
          <cell r="H1355">
            <v>60.47</v>
          </cell>
          <cell r="I1355">
            <v>73.88</v>
          </cell>
          <cell r="BS1355">
            <v>15.869999999999997</v>
          </cell>
        </row>
        <row r="1356">
          <cell r="B1356">
            <v>42068</v>
          </cell>
          <cell r="D1356">
            <v>60.314999999999998</v>
          </cell>
          <cell r="E1356">
            <v>57.91</v>
          </cell>
          <cell r="H1356">
            <v>59.96</v>
          </cell>
          <cell r="I1356">
            <v>73.5</v>
          </cell>
          <cell r="BS1356">
            <v>15.590000000000003</v>
          </cell>
        </row>
        <row r="1357">
          <cell r="B1357">
            <v>42069</v>
          </cell>
          <cell r="D1357">
            <v>59.435000000000002</v>
          </cell>
          <cell r="E1357">
            <v>58.3</v>
          </cell>
          <cell r="H1357">
            <v>59.15</v>
          </cell>
          <cell r="I1357">
            <v>73.760000000000005</v>
          </cell>
          <cell r="BS1357">
            <v>15.460000000000008</v>
          </cell>
        </row>
        <row r="1358">
          <cell r="B1358">
            <v>42072</v>
          </cell>
          <cell r="D1358">
            <v>58.465000000000003</v>
          </cell>
          <cell r="E1358">
            <v>56.79</v>
          </cell>
          <cell r="H1358">
            <v>57.66</v>
          </cell>
          <cell r="I1358">
            <v>72.680000000000007</v>
          </cell>
          <cell r="BS1358">
            <v>15.890000000000008</v>
          </cell>
        </row>
        <row r="1359">
          <cell r="B1359">
            <v>42073</v>
          </cell>
          <cell r="D1359">
            <v>55.83</v>
          </cell>
          <cell r="E1359">
            <v>55.64</v>
          </cell>
          <cell r="H1359">
            <v>56.76</v>
          </cell>
          <cell r="I1359">
            <v>72.8</v>
          </cell>
          <cell r="BS1359">
            <v>17.159999999999997</v>
          </cell>
        </row>
        <row r="1360">
          <cell r="B1360">
            <v>42074</v>
          </cell>
          <cell r="D1360">
            <v>56.505000000000003</v>
          </cell>
          <cell r="E1360">
            <v>54.09</v>
          </cell>
          <cell r="H1360">
            <v>55.4</v>
          </cell>
          <cell r="I1360">
            <v>70.510000000000005</v>
          </cell>
          <cell r="BS1360">
            <v>16.420000000000002</v>
          </cell>
        </row>
        <row r="1361">
          <cell r="B1361">
            <v>42075</v>
          </cell>
          <cell r="D1361">
            <v>56.564999999999998</v>
          </cell>
          <cell r="E1361">
            <v>55.55</v>
          </cell>
          <cell r="H1361">
            <v>57.2</v>
          </cell>
          <cell r="I1361">
            <v>71.09</v>
          </cell>
          <cell r="BS1361">
            <v>15.540000000000006</v>
          </cell>
        </row>
        <row r="1362">
          <cell r="B1362">
            <v>42076</v>
          </cell>
          <cell r="D1362">
            <v>54.405000000000001</v>
          </cell>
          <cell r="E1362">
            <v>54.25</v>
          </cell>
          <cell r="H1362">
            <v>56.89</v>
          </cell>
          <cell r="I1362">
            <v>69.83</v>
          </cell>
          <cell r="BS1362">
            <v>15.579999999999998</v>
          </cell>
        </row>
        <row r="1363">
          <cell r="B1363">
            <v>42079</v>
          </cell>
          <cell r="D1363">
            <v>52.045000000000002</v>
          </cell>
          <cell r="E1363">
            <v>51.84</v>
          </cell>
          <cell r="H1363">
            <v>54</v>
          </cell>
          <cell r="I1363">
            <v>67.14</v>
          </cell>
          <cell r="BS1363">
            <v>15.299999999999997</v>
          </cell>
        </row>
        <row r="1364">
          <cell r="B1364">
            <v>42080</v>
          </cell>
          <cell r="D1364">
            <v>51.64</v>
          </cell>
          <cell r="E1364">
            <v>51.19</v>
          </cell>
          <cell r="H1364">
            <v>54.16</v>
          </cell>
          <cell r="I1364">
            <v>65.790000000000006</v>
          </cell>
          <cell r="BS1364">
            <v>14.600000000000009</v>
          </cell>
        </row>
        <row r="1365">
          <cell r="B1365">
            <v>42081</v>
          </cell>
          <cell r="D1365">
            <v>52.65</v>
          </cell>
          <cell r="E1365">
            <v>50.7</v>
          </cell>
          <cell r="H1365">
            <v>53.26</v>
          </cell>
          <cell r="I1365">
            <v>65.489999999999995</v>
          </cell>
          <cell r="BS1365">
            <v>14.789999999999992</v>
          </cell>
        </row>
        <row r="1366">
          <cell r="B1366">
            <v>42082</v>
          </cell>
          <cell r="D1366">
            <v>52.935000000000002</v>
          </cell>
          <cell r="E1366">
            <v>52.5</v>
          </cell>
          <cell r="H1366">
            <v>54.77</v>
          </cell>
          <cell r="I1366">
            <v>67.680000000000007</v>
          </cell>
          <cell r="BS1366">
            <v>15.180000000000007</v>
          </cell>
        </row>
        <row r="1367">
          <cell r="B1367">
            <v>42083</v>
          </cell>
          <cell r="D1367">
            <v>53.875</v>
          </cell>
          <cell r="E1367">
            <v>51.73</v>
          </cell>
          <cell r="H1367">
            <v>54.73</v>
          </cell>
          <cell r="I1367">
            <v>67.84</v>
          </cell>
          <cell r="BS1367">
            <v>16.110000000000007</v>
          </cell>
        </row>
        <row r="1368">
          <cell r="B1368">
            <v>42086</v>
          </cell>
          <cell r="D1368">
            <v>53.87</v>
          </cell>
          <cell r="E1368">
            <v>52.41</v>
          </cell>
          <cell r="H1368">
            <v>55.49</v>
          </cell>
          <cell r="I1368">
            <v>68.209999999999994</v>
          </cell>
          <cell r="BS1368">
            <v>15.799999999999997</v>
          </cell>
        </row>
        <row r="1369">
          <cell r="B1369">
            <v>42087</v>
          </cell>
          <cell r="D1369">
            <v>53.8</v>
          </cell>
          <cell r="E1369">
            <v>53.55</v>
          </cell>
          <cell r="H1369">
            <v>57.68</v>
          </cell>
          <cell r="I1369">
            <v>69.16</v>
          </cell>
          <cell r="BS1369">
            <v>15.61</v>
          </cell>
        </row>
        <row r="1370">
          <cell r="B1370">
            <v>42088</v>
          </cell>
          <cell r="D1370">
            <v>54.255000000000003</v>
          </cell>
          <cell r="E1370">
            <v>52.85</v>
          </cell>
          <cell r="H1370">
            <v>57.71</v>
          </cell>
          <cell r="I1370">
            <v>68.989999999999995</v>
          </cell>
          <cell r="BS1370">
            <v>16.139999999999993</v>
          </cell>
        </row>
        <row r="1371">
          <cell r="B1371">
            <v>42089</v>
          </cell>
          <cell r="D1371">
            <v>57.16</v>
          </cell>
          <cell r="E1371">
            <v>56.89</v>
          </cell>
          <cell r="H1371">
            <v>62.06</v>
          </cell>
          <cell r="I1371">
            <v>73.23</v>
          </cell>
          <cell r="BS1371">
            <v>16.340000000000003</v>
          </cell>
        </row>
        <row r="1372">
          <cell r="B1372">
            <v>42090</v>
          </cell>
          <cell r="D1372">
            <v>56.625</v>
          </cell>
          <cell r="E1372">
            <v>54.79</v>
          </cell>
          <cell r="H1372">
            <v>59.81</v>
          </cell>
          <cell r="I1372">
            <v>71.86</v>
          </cell>
          <cell r="BS1372">
            <v>17.07</v>
          </cell>
        </row>
        <row r="1373">
          <cell r="B1373">
            <v>42093</v>
          </cell>
          <cell r="D1373">
            <v>54.354999999999997</v>
          </cell>
          <cell r="E1373">
            <v>53.19</v>
          </cell>
          <cell r="H1373">
            <v>57.73</v>
          </cell>
          <cell r="I1373">
            <v>69.239999999999995</v>
          </cell>
          <cell r="BS1373">
            <v>16.049999999999997</v>
          </cell>
        </row>
        <row r="1374">
          <cell r="B1374">
            <v>42094</v>
          </cell>
          <cell r="D1374">
            <v>53.984999999999999</v>
          </cell>
          <cell r="E1374">
            <v>53.4</v>
          </cell>
          <cell r="H1374">
            <v>57.06</v>
          </cell>
          <cell r="I1374">
            <v>67.66</v>
          </cell>
          <cell r="BS1374">
            <v>14.259999999999998</v>
          </cell>
        </row>
        <row r="1375">
          <cell r="B1375">
            <v>42095</v>
          </cell>
          <cell r="D1375">
            <v>55.57</v>
          </cell>
          <cell r="E1375">
            <v>53.39</v>
          </cell>
          <cell r="H1375">
            <v>56.2</v>
          </cell>
          <cell r="I1375">
            <v>67.150000000000006</v>
          </cell>
          <cell r="BS1375">
            <v>13.760000000000005</v>
          </cell>
        </row>
        <row r="1376">
          <cell r="B1376">
            <v>42096</v>
          </cell>
          <cell r="D1376">
            <v>54.18</v>
          </cell>
          <cell r="E1376">
            <v>54.9</v>
          </cell>
          <cell r="H1376">
            <v>57.29</v>
          </cell>
          <cell r="I1376">
            <v>68.44</v>
          </cell>
          <cell r="BS1376">
            <v>13.54</v>
          </cell>
        </row>
        <row r="1377">
          <cell r="B1377">
            <v>42097</v>
          </cell>
          <cell r="D1377" t="str">
            <v/>
          </cell>
          <cell r="E1377" t="str">
            <v/>
          </cell>
          <cell r="H1377">
            <v>0</v>
          </cell>
          <cell r="I1377">
            <v>0</v>
          </cell>
          <cell r="BS1377" t="e">
            <v>#N/A</v>
          </cell>
        </row>
        <row r="1378">
          <cell r="B1378">
            <v>42100</v>
          </cell>
          <cell r="D1378" t="str">
            <v/>
          </cell>
          <cell r="E1378">
            <v>54.64</v>
          </cell>
          <cell r="H1378">
            <v>56.04</v>
          </cell>
          <cell r="I1378">
            <v>66.95</v>
          </cell>
          <cell r="BS1378">
            <v>12.310000000000002</v>
          </cell>
        </row>
        <row r="1379">
          <cell r="B1379">
            <v>42101</v>
          </cell>
          <cell r="D1379">
            <v>57.555</v>
          </cell>
          <cell r="E1379">
            <v>55.3</v>
          </cell>
          <cell r="H1379">
            <v>57.43</v>
          </cell>
          <cell r="I1379">
            <v>68.709999999999994</v>
          </cell>
          <cell r="BS1379">
            <v>13.409999999999997</v>
          </cell>
        </row>
        <row r="1380">
          <cell r="B1380">
            <v>42102</v>
          </cell>
          <cell r="D1380">
            <v>56.435000000000002</v>
          </cell>
          <cell r="E1380">
            <v>56.09</v>
          </cell>
          <cell r="H1380">
            <v>57.05</v>
          </cell>
          <cell r="I1380">
            <v>69.540000000000006</v>
          </cell>
          <cell r="BS1380">
            <v>13.450000000000003</v>
          </cell>
        </row>
        <row r="1381">
          <cell r="B1381">
            <v>42103</v>
          </cell>
          <cell r="D1381">
            <v>56.06</v>
          </cell>
          <cell r="E1381">
            <v>54.8</v>
          </cell>
          <cell r="H1381">
            <v>55.63</v>
          </cell>
          <cell r="I1381">
            <v>66.2</v>
          </cell>
          <cell r="BS1381">
            <v>11.400000000000006</v>
          </cell>
        </row>
        <row r="1382">
          <cell r="B1382">
            <v>42104</v>
          </cell>
          <cell r="D1382">
            <v>57.045000000000002</v>
          </cell>
          <cell r="E1382">
            <v>54.8</v>
          </cell>
          <cell r="H1382">
            <v>55.33</v>
          </cell>
          <cell r="I1382">
            <v>67.53</v>
          </cell>
          <cell r="BS1382">
            <v>12.730000000000004</v>
          </cell>
        </row>
        <row r="1383">
          <cell r="B1383">
            <v>42107</v>
          </cell>
          <cell r="D1383">
            <v>57.13</v>
          </cell>
          <cell r="E1383">
            <v>57.7</v>
          </cell>
          <cell r="H1383">
            <v>58.33</v>
          </cell>
          <cell r="I1383">
            <v>70.400000000000006</v>
          </cell>
          <cell r="BS1383">
            <v>12.700000000000003</v>
          </cell>
        </row>
        <row r="1384">
          <cell r="B1384">
            <v>42108</v>
          </cell>
          <cell r="D1384">
            <v>57.54</v>
          </cell>
          <cell r="E1384">
            <v>57.29</v>
          </cell>
          <cell r="H1384">
            <v>58.3</v>
          </cell>
          <cell r="I1384">
            <v>70.75</v>
          </cell>
          <cell r="BS1384">
            <v>13.46</v>
          </cell>
        </row>
        <row r="1385">
          <cell r="B1385">
            <v>42109</v>
          </cell>
          <cell r="D1385">
            <v>58.86</v>
          </cell>
          <cell r="E1385">
            <v>58.14</v>
          </cell>
          <cell r="H1385">
            <v>59.22</v>
          </cell>
          <cell r="I1385">
            <v>72.17</v>
          </cell>
          <cell r="BS1385">
            <v>14.030000000000001</v>
          </cell>
        </row>
        <row r="1386">
          <cell r="B1386">
            <v>42110</v>
          </cell>
          <cell r="D1386">
            <v>60.46</v>
          </cell>
          <cell r="E1386">
            <v>60.1</v>
          </cell>
          <cell r="H1386">
            <v>62.1</v>
          </cell>
          <cell r="I1386">
            <v>75.3</v>
          </cell>
          <cell r="BS1386">
            <v>15.199999999999996</v>
          </cell>
        </row>
        <row r="1387">
          <cell r="B1387">
            <v>42111</v>
          </cell>
          <cell r="D1387">
            <v>61.774999999999999</v>
          </cell>
          <cell r="E1387">
            <v>60.9</v>
          </cell>
          <cell r="H1387">
            <v>62.23</v>
          </cell>
          <cell r="I1387">
            <v>75.67</v>
          </cell>
          <cell r="BS1387">
            <v>14.770000000000003</v>
          </cell>
        </row>
        <row r="1388">
          <cell r="B1388">
            <v>42114</v>
          </cell>
          <cell r="D1388">
            <v>61.16</v>
          </cell>
          <cell r="E1388">
            <v>60.99</v>
          </cell>
          <cell r="H1388">
            <v>61.87</v>
          </cell>
          <cell r="I1388">
            <v>75.819999999999993</v>
          </cell>
          <cell r="BS1388">
            <v>14.829999999999991</v>
          </cell>
        </row>
        <row r="1389">
          <cell r="B1389">
            <v>42115</v>
          </cell>
          <cell r="D1389">
            <v>60.64</v>
          </cell>
          <cell r="E1389">
            <v>60.4</v>
          </cell>
          <cell r="H1389">
            <v>60.22</v>
          </cell>
          <cell r="I1389">
            <v>74.8</v>
          </cell>
          <cell r="BS1389">
            <v>14.399999999999999</v>
          </cell>
        </row>
        <row r="1390">
          <cell r="B1390">
            <v>42116</v>
          </cell>
          <cell r="D1390">
            <v>60.755000000000003</v>
          </cell>
          <cell r="E1390">
            <v>59.15</v>
          </cell>
          <cell r="H1390">
            <v>58.77</v>
          </cell>
          <cell r="I1390">
            <v>73.41</v>
          </cell>
          <cell r="BS1390">
            <v>14.259999999999998</v>
          </cell>
        </row>
        <row r="1391">
          <cell r="B1391">
            <v>42117</v>
          </cell>
          <cell r="D1391">
            <v>62.975000000000001</v>
          </cell>
          <cell r="E1391">
            <v>59.6</v>
          </cell>
          <cell r="H1391">
            <v>60.12</v>
          </cell>
          <cell r="I1391">
            <v>75.459999999999994</v>
          </cell>
          <cell r="BS1391">
            <v>15.859999999999992</v>
          </cell>
        </row>
        <row r="1392">
          <cell r="B1392">
            <v>42118</v>
          </cell>
          <cell r="D1392">
            <v>62.865000000000002</v>
          </cell>
          <cell r="E1392">
            <v>62.5</v>
          </cell>
          <cell r="H1392">
            <v>62.97</v>
          </cell>
          <cell r="I1392">
            <v>79.790000000000006</v>
          </cell>
          <cell r="BS1392">
            <v>17.290000000000006</v>
          </cell>
        </row>
        <row r="1393">
          <cell r="B1393">
            <v>42121</v>
          </cell>
          <cell r="D1393">
            <v>62.98</v>
          </cell>
          <cell r="E1393">
            <v>62.5</v>
          </cell>
          <cell r="H1393">
            <v>63.22</v>
          </cell>
          <cell r="I1393">
            <v>79.83</v>
          </cell>
          <cell r="BS1393">
            <v>17.329999999999998</v>
          </cell>
        </row>
        <row r="1394">
          <cell r="B1394">
            <v>42122</v>
          </cell>
          <cell r="D1394">
            <v>62.8</v>
          </cell>
          <cell r="E1394">
            <v>61.5</v>
          </cell>
          <cell r="H1394">
            <v>62.75</v>
          </cell>
          <cell r="I1394">
            <v>79.09</v>
          </cell>
          <cell r="BS1394">
            <v>17.590000000000003</v>
          </cell>
        </row>
        <row r="1395">
          <cell r="B1395">
            <v>42123</v>
          </cell>
          <cell r="D1395">
            <v>64.05</v>
          </cell>
          <cell r="E1395">
            <v>61.55</v>
          </cell>
          <cell r="H1395">
            <v>62.34</v>
          </cell>
          <cell r="I1395">
            <v>77.91</v>
          </cell>
          <cell r="BS1395">
            <v>16.36</v>
          </cell>
        </row>
        <row r="1396">
          <cell r="B1396">
            <v>42124</v>
          </cell>
          <cell r="D1396">
            <v>64.42</v>
          </cell>
          <cell r="E1396">
            <v>63.3</v>
          </cell>
          <cell r="H1396">
            <v>63.37</v>
          </cell>
          <cell r="I1396">
            <v>79.64</v>
          </cell>
          <cell r="BS1396">
            <v>16.340000000000003</v>
          </cell>
        </row>
        <row r="1397">
          <cell r="B1397">
            <v>42125</v>
          </cell>
          <cell r="D1397">
            <v>64.39</v>
          </cell>
          <cell r="E1397" t="str">
            <v/>
          </cell>
          <cell r="H1397">
            <v>0</v>
          </cell>
          <cell r="I1397">
            <v>0</v>
          </cell>
          <cell r="BS1397" t="e">
            <v>#N/A</v>
          </cell>
        </row>
        <row r="1398">
          <cell r="B1398">
            <v>42128</v>
          </cell>
          <cell r="D1398" t="str">
            <v/>
          </cell>
          <cell r="E1398">
            <v>64.31</v>
          </cell>
          <cell r="H1398">
            <v>63.4</v>
          </cell>
          <cell r="I1398">
            <v>80.89</v>
          </cell>
          <cell r="BS1398">
            <v>16.579999999999998</v>
          </cell>
        </row>
        <row r="1399">
          <cell r="B1399">
            <v>42129</v>
          </cell>
          <cell r="D1399">
            <v>66.114999999999995</v>
          </cell>
          <cell r="E1399">
            <v>64.61</v>
          </cell>
          <cell r="H1399">
            <v>62.61</v>
          </cell>
          <cell r="I1399">
            <v>80.48</v>
          </cell>
          <cell r="BS1399">
            <v>15.870000000000005</v>
          </cell>
        </row>
        <row r="1400">
          <cell r="B1400">
            <v>42130</v>
          </cell>
          <cell r="D1400">
            <v>66.62</v>
          </cell>
          <cell r="E1400">
            <v>66.510000000000005</v>
          </cell>
          <cell r="H1400">
            <v>63.47</v>
          </cell>
          <cell r="I1400">
            <v>81.680000000000007</v>
          </cell>
          <cell r="BS1400">
            <v>15.170000000000002</v>
          </cell>
        </row>
        <row r="1401">
          <cell r="B1401">
            <v>42131</v>
          </cell>
          <cell r="D1401">
            <v>64.84</v>
          </cell>
          <cell r="E1401">
            <v>66.150000000000006</v>
          </cell>
          <cell r="H1401">
            <v>62.57</v>
          </cell>
          <cell r="I1401">
            <v>79.98</v>
          </cell>
          <cell r="BS1401">
            <v>13.829999999999998</v>
          </cell>
        </row>
        <row r="1402">
          <cell r="B1402">
            <v>42132</v>
          </cell>
          <cell r="D1402">
            <v>64.025000000000006</v>
          </cell>
          <cell r="E1402">
            <v>64</v>
          </cell>
          <cell r="H1402">
            <v>61.57</v>
          </cell>
          <cell r="I1402">
            <v>78.48</v>
          </cell>
          <cell r="BS1402">
            <v>14.480000000000004</v>
          </cell>
        </row>
        <row r="1403">
          <cell r="B1403">
            <v>42135</v>
          </cell>
          <cell r="D1403">
            <v>62.954999999999998</v>
          </cell>
          <cell r="E1403">
            <v>63.7</v>
          </cell>
          <cell r="H1403">
            <v>61.9</v>
          </cell>
          <cell r="I1403">
            <v>80.61</v>
          </cell>
          <cell r="BS1403">
            <v>16.909999999999997</v>
          </cell>
        </row>
        <row r="1404">
          <cell r="B1404">
            <v>42136</v>
          </cell>
          <cell r="D1404">
            <v>65.314999999999998</v>
          </cell>
          <cell r="E1404">
            <v>63.41</v>
          </cell>
          <cell r="H1404">
            <v>62.26</v>
          </cell>
          <cell r="I1404">
            <v>80.25</v>
          </cell>
          <cell r="BS1404">
            <v>16.840000000000003</v>
          </cell>
        </row>
        <row r="1405">
          <cell r="B1405">
            <v>42137</v>
          </cell>
          <cell r="D1405">
            <v>66.650000000000006</v>
          </cell>
          <cell r="E1405">
            <v>65.260000000000005</v>
          </cell>
          <cell r="H1405">
            <v>63.87</v>
          </cell>
          <cell r="I1405">
            <v>82.47</v>
          </cell>
          <cell r="BS1405">
            <v>17.209999999999994</v>
          </cell>
        </row>
        <row r="1406">
          <cell r="B1406">
            <v>42138</v>
          </cell>
          <cell r="D1406">
            <v>65.66</v>
          </cell>
          <cell r="E1406">
            <v>64.5</v>
          </cell>
          <cell r="H1406">
            <v>63.45</v>
          </cell>
          <cell r="I1406">
            <v>81.47</v>
          </cell>
          <cell r="BS1406">
            <v>16.97</v>
          </cell>
        </row>
        <row r="1407">
          <cell r="B1407">
            <v>42139</v>
          </cell>
          <cell r="D1407">
            <v>65.17</v>
          </cell>
          <cell r="E1407">
            <v>64.09</v>
          </cell>
          <cell r="H1407">
            <v>63.69</v>
          </cell>
          <cell r="I1407">
            <v>82.68</v>
          </cell>
          <cell r="BS1407">
            <v>18.590000000000003</v>
          </cell>
        </row>
        <row r="1408">
          <cell r="B1408">
            <v>42142</v>
          </cell>
          <cell r="D1408">
            <v>65.22</v>
          </cell>
          <cell r="E1408">
            <v>64.55</v>
          </cell>
          <cell r="H1408">
            <v>64.48</v>
          </cell>
          <cell r="I1408">
            <v>83.97</v>
          </cell>
          <cell r="BS1408">
            <v>19.420000000000002</v>
          </cell>
        </row>
        <row r="1409">
          <cell r="B1409">
            <v>42143</v>
          </cell>
          <cell r="D1409">
            <v>63.524999999999999</v>
          </cell>
          <cell r="E1409">
            <v>62.81</v>
          </cell>
          <cell r="H1409">
            <v>62.43</v>
          </cell>
          <cell r="I1409">
            <v>82.7</v>
          </cell>
          <cell r="BS1409">
            <v>19.89</v>
          </cell>
        </row>
        <row r="1410">
          <cell r="B1410">
            <v>42144</v>
          </cell>
          <cell r="D1410">
            <v>63.59</v>
          </cell>
          <cell r="E1410">
            <v>62.29</v>
          </cell>
          <cell r="H1410">
            <v>61.64</v>
          </cell>
          <cell r="I1410">
            <v>81.77</v>
          </cell>
          <cell r="BS1410">
            <v>19.479999999999997</v>
          </cell>
        </row>
        <row r="1411">
          <cell r="B1411">
            <v>42145</v>
          </cell>
          <cell r="D1411">
            <v>65.650000000000006</v>
          </cell>
          <cell r="E1411">
            <v>62.61</v>
          </cell>
          <cell r="H1411">
            <v>61.48</v>
          </cell>
          <cell r="I1411">
            <v>81.510000000000005</v>
          </cell>
          <cell r="BS1411">
            <v>18.900000000000006</v>
          </cell>
        </row>
        <row r="1412">
          <cell r="B1412">
            <v>42146</v>
          </cell>
          <cell r="D1412">
            <v>64.290000000000006</v>
          </cell>
          <cell r="E1412">
            <v>63.45</v>
          </cell>
          <cell r="H1412">
            <v>61.93</v>
          </cell>
          <cell r="I1412">
            <v>82.83</v>
          </cell>
          <cell r="BS1412">
            <v>19.379999999999995</v>
          </cell>
        </row>
        <row r="1413">
          <cell r="B1413">
            <v>42149</v>
          </cell>
          <cell r="D1413" t="str">
            <v/>
          </cell>
          <cell r="E1413">
            <v>62</v>
          </cell>
          <cell r="H1413">
            <v>59.84</v>
          </cell>
          <cell r="I1413">
            <v>81.69</v>
          </cell>
          <cell r="BS1413">
            <v>19.689999999999998</v>
          </cell>
        </row>
        <row r="1414">
          <cell r="B1414">
            <v>42150</v>
          </cell>
          <cell r="D1414">
            <v>62.055</v>
          </cell>
          <cell r="E1414">
            <v>62.34</v>
          </cell>
          <cell r="H1414">
            <v>60.58</v>
          </cell>
          <cell r="I1414">
            <v>80.97</v>
          </cell>
          <cell r="BS1414">
            <v>18.629999999999995</v>
          </cell>
        </row>
        <row r="1415">
          <cell r="B1415">
            <v>42151</v>
          </cell>
          <cell r="D1415">
            <v>61.755000000000003</v>
          </cell>
          <cell r="E1415">
            <v>62.4</v>
          </cell>
          <cell r="H1415">
            <v>60.47</v>
          </cell>
          <cell r="I1415">
            <v>79.72</v>
          </cell>
          <cell r="BS1415">
            <v>17.32</v>
          </cell>
        </row>
        <row r="1416">
          <cell r="B1416">
            <v>42152</v>
          </cell>
          <cell r="D1416">
            <v>60.725000000000001</v>
          </cell>
          <cell r="E1416">
            <v>60.95</v>
          </cell>
          <cell r="H1416">
            <v>59.06</v>
          </cell>
          <cell r="I1416">
            <v>77.59</v>
          </cell>
          <cell r="BS1416">
            <v>16.64</v>
          </cell>
        </row>
        <row r="1417">
          <cell r="B1417">
            <v>42153</v>
          </cell>
          <cell r="D1417">
            <v>63.49</v>
          </cell>
          <cell r="E1417">
            <v>61.2</v>
          </cell>
          <cell r="H1417">
            <v>60.06</v>
          </cell>
          <cell r="I1417">
            <v>80.319999999999993</v>
          </cell>
          <cell r="BS1417">
            <v>19.11999999999999</v>
          </cell>
        </row>
        <row r="1418">
          <cell r="B1418">
            <v>42156</v>
          </cell>
          <cell r="D1418">
            <v>62.89</v>
          </cell>
          <cell r="E1418" t="str">
            <v/>
          </cell>
          <cell r="H1418">
            <v>0</v>
          </cell>
          <cell r="I1418">
            <v>0</v>
          </cell>
          <cell r="BS1418" t="e">
            <v>#N/A</v>
          </cell>
        </row>
        <row r="1419">
          <cell r="B1419">
            <v>42157</v>
          </cell>
          <cell r="D1419">
            <v>63.55</v>
          </cell>
          <cell r="E1419">
            <v>63.61</v>
          </cell>
          <cell r="H1419">
            <v>62.92</v>
          </cell>
          <cell r="I1419">
            <v>82.52</v>
          </cell>
          <cell r="BS1419">
            <v>18.909999999999997</v>
          </cell>
        </row>
        <row r="1420">
          <cell r="B1420">
            <v>42158</v>
          </cell>
          <cell r="D1420">
            <v>62.524999999999999</v>
          </cell>
          <cell r="E1420">
            <v>63.26</v>
          </cell>
          <cell r="H1420">
            <v>62.34</v>
          </cell>
          <cell r="I1420">
            <v>81.14</v>
          </cell>
          <cell r="BS1420">
            <v>17.880000000000003</v>
          </cell>
        </row>
        <row r="1421">
          <cell r="B1421">
            <v>42159</v>
          </cell>
          <cell r="D1421">
            <v>60.354999999999997</v>
          </cell>
          <cell r="E1421">
            <v>61.4</v>
          </cell>
          <cell r="H1421">
            <v>60.7</v>
          </cell>
          <cell r="I1421">
            <v>80.25</v>
          </cell>
          <cell r="BS1421">
            <v>18.850000000000001</v>
          </cell>
        </row>
        <row r="1422">
          <cell r="B1422">
            <v>42160</v>
          </cell>
          <cell r="D1422">
            <v>60.18</v>
          </cell>
          <cell r="E1422">
            <v>59.65</v>
          </cell>
          <cell r="H1422">
            <v>58.78</v>
          </cell>
          <cell r="I1422">
            <v>78.569999999999993</v>
          </cell>
          <cell r="BS1422">
            <v>18.919999999999995</v>
          </cell>
        </row>
        <row r="1423">
          <cell r="B1423">
            <v>42163</v>
          </cell>
          <cell r="D1423">
            <v>61.155000000000001</v>
          </cell>
          <cell r="E1423">
            <v>60.8</v>
          </cell>
          <cell r="H1423">
            <v>59.89</v>
          </cell>
          <cell r="I1423">
            <v>81.069999999999993</v>
          </cell>
          <cell r="BS1423">
            <v>20.269999999999996</v>
          </cell>
        </row>
        <row r="1424">
          <cell r="B1424">
            <v>42164</v>
          </cell>
          <cell r="D1424">
            <v>63.33</v>
          </cell>
          <cell r="E1424">
            <v>61.01</v>
          </cell>
          <cell r="H1424">
            <v>61.03</v>
          </cell>
          <cell r="I1424">
            <v>81.430000000000007</v>
          </cell>
          <cell r="BS1424">
            <v>20.420000000000009</v>
          </cell>
        </row>
        <row r="1425">
          <cell r="B1425">
            <v>42165</v>
          </cell>
          <cell r="D1425">
            <v>63.87</v>
          </cell>
          <cell r="E1425">
            <v>64.05</v>
          </cell>
          <cell r="H1425">
            <v>64.53</v>
          </cell>
          <cell r="I1425">
            <v>85.02</v>
          </cell>
          <cell r="BS1425">
            <v>20.97</v>
          </cell>
        </row>
        <row r="1426">
          <cell r="B1426">
            <v>42166</v>
          </cell>
          <cell r="D1426">
            <v>63.475000000000001</v>
          </cell>
          <cell r="E1426">
            <v>64.05</v>
          </cell>
          <cell r="H1426">
            <v>64.25</v>
          </cell>
          <cell r="I1426">
            <v>84.96</v>
          </cell>
          <cell r="BS1426">
            <v>20.909999999999997</v>
          </cell>
        </row>
        <row r="1427">
          <cell r="B1427">
            <v>42167</v>
          </cell>
          <cell r="D1427">
            <v>63.05</v>
          </cell>
          <cell r="E1427">
            <v>62.75</v>
          </cell>
          <cell r="H1427">
            <v>63.11</v>
          </cell>
          <cell r="I1427">
            <v>83.08</v>
          </cell>
          <cell r="BS1427">
            <v>20.329999999999998</v>
          </cell>
        </row>
        <row r="1428">
          <cell r="B1428">
            <v>42170</v>
          </cell>
          <cell r="D1428">
            <v>61.59</v>
          </cell>
          <cell r="E1428">
            <v>61.82</v>
          </cell>
          <cell r="H1428">
            <v>62.03</v>
          </cell>
          <cell r="I1428">
            <v>82.45</v>
          </cell>
          <cell r="BS1428">
            <v>20.630000000000003</v>
          </cell>
        </row>
        <row r="1429">
          <cell r="B1429">
            <v>42171</v>
          </cell>
          <cell r="D1429">
            <v>61.465000000000003</v>
          </cell>
          <cell r="E1429">
            <v>61.56</v>
          </cell>
          <cell r="H1429">
            <v>61.14</v>
          </cell>
          <cell r="I1429">
            <v>82.98</v>
          </cell>
          <cell r="BS1429">
            <v>21.42</v>
          </cell>
        </row>
        <row r="1430">
          <cell r="B1430">
            <v>42172</v>
          </cell>
          <cell r="D1430">
            <v>61.35</v>
          </cell>
          <cell r="E1430">
            <v>61.85</v>
          </cell>
          <cell r="H1430">
            <v>61.08</v>
          </cell>
          <cell r="I1430">
            <v>83.78</v>
          </cell>
          <cell r="BS1430">
            <v>21.93</v>
          </cell>
        </row>
        <row r="1431">
          <cell r="B1431">
            <v>42173</v>
          </cell>
          <cell r="D1431">
            <v>61.96</v>
          </cell>
          <cell r="E1431">
            <v>62.01</v>
          </cell>
          <cell r="H1431">
            <v>60.57</v>
          </cell>
          <cell r="I1431">
            <v>83.1</v>
          </cell>
          <cell r="BS1431">
            <v>21.089999999999996</v>
          </cell>
        </row>
        <row r="1432">
          <cell r="B1432">
            <v>42174</v>
          </cell>
          <cell r="D1432">
            <v>60.47</v>
          </cell>
          <cell r="E1432">
            <v>62</v>
          </cell>
          <cell r="H1432">
            <v>60.85</v>
          </cell>
          <cell r="I1432">
            <v>81.37</v>
          </cell>
          <cell r="BS1432">
            <v>19.370000000000005</v>
          </cell>
        </row>
        <row r="1433">
          <cell r="B1433">
            <v>42177</v>
          </cell>
          <cell r="D1433">
            <v>60.204999999999998</v>
          </cell>
          <cell r="E1433">
            <v>61.11</v>
          </cell>
          <cell r="H1433">
            <v>60.25</v>
          </cell>
          <cell r="I1433">
            <v>79.069999999999993</v>
          </cell>
          <cell r="BS1433">
            <v>17.959999999999994</v>
          </cell>
        </row>
        <row r="1434">
          <cell r="B1434">
            <v>42178</v>
          </cell>
          <cell r="D1434">
            <v>61.674999999999997</v>
          </cell>
          <cell r="E1434">
            <v>61.29</v>
          </cell>
          <cell r="H1434">
            <v>59.58</v>
          </cell>
          <cell r="I1434">
            <v>78.36</v>
          </cell>
          <cell r="BS1434">
            <v>17.07</v>
          </cell>
        </row>
        <row r="1435">
          <cell r="B1435">
            <v>42179</v>
          </cell>
          <cell r="D1435">
            <v>61.774999999999999</v>
          </cell>
          <cell r="E1435">
            <v>62.75</v>
          </cell>
          <cell r="H1435">
            <v>60.81</v>
          </cell>
          <cell r="I1435">
            <v>80.260000000000005</v>
          </cell>
          <cell r="BS1435">
            <v>17.510000000000005</v>
          </cell>
        </row>
        <row r="1436">
          <cell r="B1436">
            <v>42180</v>
          </cell>
          <cell r="D1436">
            <v>60.594999999999999</v>
          </cell>
          <cell r="E1436">
            <v>61.7</v>
          </cell>
          <cell r="H1436">
            <v>59.11</v>
          </cell>
          <cell r="I1436">
            <v>79.03</v>
          </cell>
          <cell r="BS1436">
            <v>17.329999999999998</v>
          </cell>
        </row>
        <row r="1437">
          <cell r="B1437">
            <v>42181</v>
          </cell>
          <cell r="D1437">
            <v>60.74</v>
          </cell>
          <cell r="E1437">
            <v>60.69</v>
          </cell>
          <cell r="H1437">
            <v>59</v>
          </cell>
          <cell r="I1437">
            <v>78.180000000000007</v>
          </cell>
          <cell r="BS1437">
            <v>17.490000000000009</v>
          </cell>
        </row>
        <row r="1438">
          <cell r="B1438">
            <v>42184</v>
          </cell>
          <cell r="D1438">
            <v>59.825000000000003</v>
          </cell>
          <cell r="E1438">
            <v>60</v>
          </cell>
          <cell r="H1438">
            <v>58.17</v>
          </cell>
          <cell r="I1438">
            <v>76.959999999999994</v>
          </cell>
          <cell r="BS1438">
            <v>16.959999999999994</v>
          </cell>
        </row>
        <row r="1439">
          <cell r="B1439">
            <v>42185</v>
          </cell>
          <cell r="D1439">
            <v>61.05</v>
          </cell>
          <cell r="E1439">
            <v>60.19</v>
          </cell>
          <cell r="H1439">
            <v>58.52</v>
          </cell>
          <cell r="I1439">
            <v>77.88</v>
          </cell>
          <cell r="BS1439">
            <v>17.689999999999998</v>
          </cell>
        </row>
        <row r="1440">
          <cell r="B1440">
            <v>42186</v>
          </cell>
          <cell r="D1440">
            <v>61.67</v>
          </cell>
          <cell r="E1440">
            <v>61.9</v>
          </cell>
          <cell r="H1440">
            <v>58.52</v>
          </cell>
          <cell r="I1440">
            <v>77.23</v>
          </cell>
          <cell r="BS1440">
            <v>15.330000000000005</v>
          </cell>
        </row>
        <row r="1441">
          <cell r="B1441">
            <v>42187</v>
          </cell>
          <cell r="D1441">
            <v>61.51</v>
          </cell>
          <cell r="E1441">
            <v>61.05</v>
          </cell>
          <cell r="H1441">
            <v>57.98</v>
          </cell>
          <cell r="I1441">
            <v>75.11</v>
          </cell>
          <cell r="BS1441">
            <v>14.060000000000002</v>
          </cell>
        </row>
        <row r="1442">
          <cell r="B1442">
            <v>42188</v>
          </cell>
          <cell r="D1442">
            <v>59.104999999999997</v>
          </cell>
          <cell r="E1442">
            <v>60.4</v>
          </cell>
          <cell r="H1442">
            <v>58.03</v>
          </cell>
          <cell r="I1442">
            <v>75.44</v>
          </cell>
          <cell r="BS1442">
            <v>15.04</v>
          </cell>
        </row>
        <row r="1443">
          <cell r="B1443">
            <v>42191</v>
          </cell>
          <cell r="D1443">
            <v>57.075000000000003</v>
          </cell>
          <cell r="E1443">
            <v>58.19</v>
          </cell>
          <cell r="H1443">
            <v>55.94</v>
          </cell>
          <cell r="I1443">
            <v>74.14</v>
          </cell>
          <cell r="BS1443">
            <v>15.950000000000003</v>
          </cell>
        </row>
        <row r="1444">
          <cell r="B1444">
            <v>42192</v>
          </cell>
          <cell r="D1444">
            <v>54.73</v>
          </cell>
          <cell r="E1444">
            <v>56.5</v>
          </cell>
          <cell r="H1444">
            <v>53.63</v>
          </cell>
          <cell r="I1444">
            <v>72.69</v>
          </cell>
          <cell r="BS1444">
            <v>16.189999999999998</v>
          </cell>
        </row>
        <row r="1445">
          <cell r="B1445">
            <v>42193</v>
          </cell>
          <cell r="D1445">
            <v>55.704999999999998</v>
          </cell>
          <cell r="E1445">
            <v>55.59</v>
          </cell>
          <cell r="H1445">
            <v>52.16</v>
          </cell>
          <cell r="I1445">
            <v>72.56</v>
          </cell>
          <cell r="BS1445">
            <v>16.97</v>
          </cell>
        </row>
        <row r="1446">
          <cell r="B1446">
            <v>42194</v>
          </cell>
          <cell r="D1446">
            <v>58.024999999999999</v>
          </cell>
          <cell r="E1446">
            <v>57.2</v>
          </cell>
          <cell r="H1446">
            <v>52.81</v>
          </cell>
          <cell r="I1446">
            <v>76.13</v>
          </cell>
          <cell r="BS1446">
            <v>18.929999999999993</v>
          </cell>
        </row>
        <row r="1447">
          <cell r="B1447">
            <v>42195</v>
          </cell>
          <cell r="D1447">
            <v>57.454999999999998</v>
          </cell>
          <cell r="E1447">
            <v>58.104999999999997</v>
          </cell>
          <cell r="H1447">
            <v>53.56</v>
          </cell>
          <cell r="I1447">
            <v>76.81</v>
          </cell>
          <cell r="BS1447">
            <v>18.705000000000005</v>
          </cell>
        </row>
        <row r="1448">
          <cell r="B1448">
            <v>42198</v>
          </cell>
          <cell r="D1448">
            <v>57.56</v>
          </cell>
          <cell r="E1448">
            <v>57</v>
          </cell>
          <cell r="H1448">
            <v>52.67</v>
          </cell>
          <cell r="I1448">
            <v>74.86</v>
          </cell>
          <cell r="BS1448">
            <v>17.86</v>
          </cell>
        </row>
        <row r="1449">
          <cell r="B1449">
            <v>42199</v>
          </cell>
          <cell r="D1449">
            <v>57.344999999999999</v>
          </cell>
          <cell r="E1449">
            <v>55.89</v>
          </cell>
          <cell r="H1449">
            <v>51.67</v>
          </cell>
          <cell r="I1449">
            <v>73.39</v>
          </cell>
          <cell r="BS1449">
            <v>17.5</v>
          </cell>
        </row>
        <row r="1450">
          <cell r="B1450">
            <v>42200</v>
          </cell>
          <cell r="D1450">
            <v>57.59</v>
          </cell>
          <cell r="E1450">
            <v>56.86</v>
          </cell>
          <cell r="H1450">
            <v>52.23</v>
          </cell>
          <cell r="I1450">
            <v>73.39</v>
          </cell>
          <cell r="BS1450">
            <v>16.53</v>
          </cell>
        </row>
        <row r="1451">
          <cell r="B1451">
            <v>42201</v>
          </cell>
          <cell r="D1451">
            <v>57.354999999999997</v>
          </cell>
          <cell r="E1451">
            <v>55.85</v>
          </cell>
          <cell r="H1451">
            <v>52.32</v>
          </cell>
          <cell r="I1451">
            <v>72.569999999999993</v>
          </cell>
          <cell r="BS1451">
            <v>16.719999999999992</v>
          </cell>
        </row>
        <row r="1452">
          <cell r="B1452">
            <v>42202</v>
          </cell>
          <cell r="D1452">
            <v>56.475000000000001</v>
          </cell>
          <cell r="E1452" t="str">
            <v/>
          </cell>
          <cell r="H1452">
            <v>0</v>
          </cell>
          <cell r="I1452">
            <v>0</v>
          </cell>
          <cell r="BS1452" t="e">
            <v>#N/A</v>
          </cell>
        </row>
        <row r="1453">
          <cell r="B1453">
            <v>42205</v>
          </cell>
          <cell r="D1453">
            <v>56.41</v>
          </cell>
          <cell r="E1453">
            <v>55.71</v>
          </cell>
          <cell r="H1453">
            <v>53.96</v>
          </cell>
          <cell r="I1453">
            <v>72.88</v>
          </cell>
          <cell r="BS1453">
            <v>17.169999999999995</v>
          </cell>
        </row>
        <row r="1454">
          <cell r="B1454">
            <v>42206</v>
          </cell>
          <cell r="D1454">
            <v>56.05</v>
          </cell>
          <cell r="E1454">
            <v>55.4</v>
          </cell>
          <cell r="H1454">
            <v>53.44</v>
          </cell>
          <cell r="I1454">
            <v>71.680000000000007</v>
          </cell>
          <cell r="BS1454">
            <v>16.280000000000008</v>
          </cell>
        </row>
        <row r="1455">
          <cell r="B1455">
            <v>42207</v>
          </cell>
          <cell r="D1455">
            <v>56.545000000000002</v>
          </cell>
          <cell r="E1455">
            <v>55.49</v>
          </cell>
          <cell r="H1455">
            <v>52.53</v>
          </cell>
          <cell r="I1455">
            <v>70.790000000000006</v>
          </cell>
          <cell r="BS1455">
            <v>15.300000000000004</v>
          </cell>
        </row>
        <row r="1456">
          <cell r="B1456">
            <v>42208</v>
          </cell>
          <cell r="D1456">
            <v>55.965000000000003</v>
          </cell>
          <cell r="E1456">
            <v>55.14</v>
          </cell>
          <cell r="H1456">
            <v>52.25</v>
          </cell>
          <cell r="I1456">
            <v>70</v>
          </cell>
          <cell r="BS1456">
            <v>14.86</v>
          </cell>
        </row>
        <row r="1457">
          <cell r="B1457">
            <v>42209</v>
          </cell>
          <cell r="D1457">
            <v>54.575000000000003</v>
          </cell>
          <cell r="E1457">
            <v>54.29</v>
          </cell>
          <cell r="H1457">
            <v>51.4</v>
          </cell>
          <cell r="I1457">
            <v>70.430000000000007</v>
          </cell>
          <cell r="BS1457">
            <v>16.140000000000008</v>
          </cell>
        </row>
        <row r="1458">
          <cell r="B1458">
            <v>42212</v>
          </cell>
          <cell r="D1458">
            <v>54.13</v>
          </cell>
          <cell r="E1458">
            <v>53.5</v>
          </cell>
          <cell r="H1458">
            <v>50.98</v>
          </cell>
          <cell r="I1458">
            <v>70.23</v>
          </cell>
          <cell r="BS1458">
            <v>16.730000000000004</v>
          </cell>
        </row>
        <row r="1459">
          <cell r="B1459">
            <v>42213</v>
          </cell>
          <cell r="D1459">
            <v>54.424999999999997</v>
          </cell>
          <cell r="E1459">
            <v>52.31</v>
          </cell>
          <cell r="H1459">
            <v>50.54</v>
          </cell>
          <cell r="I1459">
            <v>68.510000000000005</v>
          </cell>
          <cell r="BS1459">
            <v>16.200000000000003</v>
          </cell>
        </row>
        <row r="1460">
          <cell r="B1460">
            <v>42214</v>
          </cell>
          <cell r="D1460">
            <v>54.38</v>
          </cell>
          <cell r="E1460">
            <v>52.61</v>
          </cell>
          <cell r="H1460">
            <v>50.01</v>
          </cell>
          <cell r="I1460">
            <v>67.91</v>
          </cell>
          <cell r="BS1460">
            <v>15.299999999999997</v>
          </cell>
        </row>
        <row r="1461">
          <cell r="B1461">
            <v>42215</v>
          </cell>
          <cell r="D1461">
            <v>53.715000000000003</v>
          </cell>
          <cell r="E1461">
            <v>53.61</v>
          </cell>
          <cell r="H1461">
            <v>51.69</v>
          </cell>
          <cell r="I1461">
            <v>68.98</v>
          </cell>
          <cell r="BS1461">
            <v>15.370000000000005</v>
          </cell>
        </row>
        <row r="1462">
          <cell r="B1462">
            <v>42216</v>
          </cell>
          <cell r="D1462">
            <v>52.53</v>
          </cell>
          <cell r="E1462">
            <v>53.1</v>
          </cell>
          <cell r="H1462">
            <v>50.89</v>
          </cell>
          <cell r="I1462">
            <v>69.78</v>
          </cell>
          <cell r="BS1462">
            <v>16.68</v>
          </cell>
        </row>
        <row r="1463">
          <cell r="B1463">
            <v>42219</v>
          </cell>
          <cell r="D1463">
            <v>49.145000000000003</v>
          </cell>
          <cell r="E1463">
            <v>51.195</v>
          </cell>
          <cell r="H1463">
            <v>49.54</v>
          </cell>
          <cell r="I1463">
            <v>67.61</v>
          </cell>
          <cell r="BS1463">
            <v>16.414999999999999</v>
          </cell>
        </row>
        <row r="1464">
          <cell r="B1464">
            <v>42220</v>
          </cell>
          <cell r="D1464">
            <v>48.86</v>
          </cell>
          <cell r="E1464">
            <v>50.4</v>
          </cell>
          <cell r="H1464">
            <v>49.67</v>
          </cell>
          <cell r="I1464">
            <v>66.319999999999993</v>
          </cell>
          <cell r="BS1464">
            <v>15.919999999999995</v>
          </cell>
        </row>
        <row r="1465">
          <cell r="B1465">
            <v>42221</v>
          </cell>
          <cell r="D1465">
            <v>49.32</v>
          </cell>
          <cell r="E1465">
            <v>50.3</v>
          </cell>
          <cell r="H1465">
            <v>49.78</v>
          </cell>
          <cell r="I1465">
            <v>67.849999999999994</v>
          </cell>
          <cell r="BS1465">
            <v>17.549999999999997</v>
          </cell>
        </row>
        <row r="1466">
          <cell r="B1466">
            <v>42222</v>
          </cell>
          <cell r="D1466">
            <v>47.83</v>
          </cell>
          <cell r="E1466">
            <v>49.6</v>
          </cell>
          <cell r="H1466">
            <v>47.99</v>
          </cell>
          <cell r="I1466">
            <v>67.39</v>
          </cell>
          <cell r="BS1466">
            <v>17.79</v>
          </cell>
        </row>
        <row r="1467">
          <cell r="B1467">
            <v>42223</v>
          </cell>
          <cell r="D1467">
            <v>47.685000000000002</v>
          </cell>
          <cell r="E1467" t="str">
            <v/>
          </cell>
          <cell r="H1467">
            <v>0</v>
          </cell>
          <cell r="I1467">
            <v>0</v>
          </cell>
          <cell r="BS1467" t="e">
            <v>#N/A</v>
          </cell>
        </row>
        <row r="1468">
          <cell r="B1468">
            <v>42226</v>
          </cell>
          <cell r="D1468">
            <v>48.475000000000001</v>
          </cell>
          <cell r="E1468" t="str">
            <v/>
          </cell>
          <cell r="H1468">
            <v>0</v>
          </cell>
          <cell r="I1468">
            <v>0</v>
          </cell>
          <cell r="BS1468" t="e">
            <v>#N/A</v>
          </cell>
        </row>
        <row r="1469">
          <cell r="B1469">
            <v>42227</v>
          </cell>
          <cell r="D1469">
            <v>47.524999999999999</v>
          </cell>
          <cell r="E1469">
            <v>50.67</v>
          </cell>
          <cell r="H1469">
            <v>49.11</v>
          </cell>
          <cell r="I1469">
            <v>66.86</v>
          </cell>
          <cell r="BS1469">
            <v>16.189999999999998</v>
          </cell>
        </row>
        <row r="1470">
          <cell r="B1470">
            <v>42228</v>
          </cell>
          <cell r="D1470">
            <v>48.24</v>
          </cell>
          <cell r="E1470">
            <v>49.5</v>
          </cell>
          <cell r="H1470">
            <v>48.2</v>
          </cell>
          <cell r="I1470">
            <v>65.47</v>
          </cell>
          <cell r="BS1470">
            <v>15.969999999999999</v>
          </cell>
        </row>
        <row r="1471">
          <cell r="B1471">
            <v>42229</v>
          </cell>
          <cell r="D1471">
            <v>48.015000000000001</v>
          </cell>
          <cell r="E1471">
            <v>50.1</v>
          </cell>
          <cell r="H1471">
            <v>48.89</v>
          </cell>
          <cell r="I1471">
            <v>66.260000000000005</v>
          </cell>
          <cell r="BS1471">
            <v>16.160000000000004</v>
          </cell>
        </row>
        <row r="1472">
          <cell r="B1472">
            <v>42230</v>
          </cell>
          <cell r="D1472">
            <v>47.79</v>
          </cell>
          <cell r="E1472">
            <v>49.25</v>
          </cell>
          <cell r="H1472">
            <v>47.53</v>
          </cell>
          <cell r="I1472">
            <v>65.099999999999994</v>
          </cell>
          <cell r="BS1472">
            <v>15.849999999999994</v>
          </cell>
        </row>
        <row r="1473">
          <cell r="B1473">
            <v>42233</v>
          </cell>
          <cell r="D1473">
            <v>47.844999999999999</v>
          </cell>
          <cell r="E1473">
            <v>48.29</v>
          </cell>
          <cell r="H1473">
            <v>46.7</v>
          </cell>
          <cell r="I1473">
            <v>63.24</v>
          </cell>
          <cell r="BS1473">
            <v>14.950000000000003</v>
          </cell>
        </row>
        <row r="1474">
          <cell r="B1474">
            <v>42234</v>
          </cell>
          <cell r="D1474">
            <v>47.274999999999999</v>
          </cell>
          <cell r="E1474">
            <v>48.25</v>
          </cell>
          <cell r="H1474">
            <v>46.42</v>
          </cell>
          <cell r="I1474">
            <v>62.76</v>
          </cell>
          <cell r="BS1474">
            <v>14.509999999999998</v>
          </cell>
        </row>
        <row r="1475">
          <cell r="B1475">
            <v>42235</v>
          </cell>
          <cell r="D1475">
            <v>46.125</v>
          </cell>
          <cell r="E1475">
            <v>48.4</v>
          </cell>
          <cell r="H1475">
            <v>47.14</v>
          </cell>
          <cell r="I1475">
            <v>62.64</v>
          </cell>
          <cell r="BS1475">
            <v>14.240000000000002</v>
          </cell>
        </row>
        <row r="1476">
          <cell r="B1476">
            <v>42236</v>
          </cell>
          <cell r="D1476">
            <v>45.74</v>
          </cell>
          <cell r="E1476">
            <v>46.6</v>
          </cell>
          <cell r="H1476">
            <v>45.19</v>
          </cell>
          <cell r="I1476">
            <v>59.7</v>
          </cell>
          <cell r="BS1476">
            <v>13.100000000000001</v>
          </cell>
        </row>
        <row r="1477">
          <cell r="B1477">
            <v>42237</v>
          </cell>
          <cell r="D1477">
            <v>44.06</v>
          </cell>
          <cell r="E1477">
            <v>45.65</v>
          </cell>
          <cell r="H1477">
            <v>44.17</v>
          </cell>
          <cell r="I1477">
            <v>58.35</v>
          </cell>
          <cell r="BS1477">
            <v>12.700000000000003</v>
          </cell>
        </row>
        <row r="1478">
          <cell r="B1478">
            <v>42240</v>
          </cell>
          <cell r="D1478">
            <v>41.854999999999997</v>
          </cell>
          <cell r="E1478">
            <v>43.4</v>
          </cell>
          <cell r="H1478">
            <v>41.53</v>
          </cell>
          <cell r="I1478">
            <v>56.57</v>
          </cell>
          <cell r="BS1478">
            <v>13.170000000000002</v>
          </cell>
        </row>
        <row r="1479">
          <cell r="B1479">
            <v>42241</v>
          </cell>
          <cell r="D1479">
            <v>42.03</v>
          </cell>
          <cell r="E1479">
            <v>42.81</v>
          </cell>
          <cell r="H1479">
            <v>40.42</v>
          </cell>
          <cell r="I1479">
            <v>55.05</v>
          </cell>
          <cell r="BS1479">
            <v>12.239999999999995</v>
          </cell>
        </row>
        <row r="1480">
          <cell r="B1480">
            <v>42242</v>
          </cell>
          <cell r="D1480">
            <v>42.055</v>
          </cell>
          <cell r="E1480">
            <v>42.85</v>
          </cell>
          <cell r="H1480">
            <v>39.15</v>
          </cell>
          <cell r="I1480">
            <v>54.61</v>
          </cell>
          <cell r="BS1480">
            <v>11.759999999999998</v>
          </cell>
        </row>
        <row r="1481">
          <cell r="B1481">
            <v>42243</v>
          </cell>
          <cell r="D1481">
            <v>44.734999999999999</v>
          </cell>
          <cell r="E1481">
            <v>44.1</v>
          </cell>
          <cell r="H1481">
            <v>40.15</v>
          </cell>
          <cell r="I1481">
            <v>54.62</v>
          </cell>
          <cell r="BS1481">
            <v>10.519999999999996</v>
          </cell>
        </row>
        <row r="1482">
          <cell r="B1482">
            <v>42244</v>
          </cell>
          <cell r="D1482">
            <v>48.27</v>
          </cell>
          <cell r="E1482">
            <v>46.35</v>
          </cell>
          <cell r="H1482">
            <v>42.79</v>
          </cell>
          <cell r="I1482">
            <v>57.56</v>
          </cell>
          <cell r="BS1482">
            <v>11.21</v>
          </cell>
        </row>
        <row r="1483">
          <cell r="B1483">
            <v>42247</v>
          </cell>
          <cell r="D1483" t="str">
            <v/>
          </cell>
          <cell r="E1483">
            <v>48.41</v>
          </cell>
          <cell r="H1483">
            <v>45.15</v>
          </cell>
          <cell r="I1483">
            <v>59.17</v>
          </cell>
          <cell r="BS1483">
            <v>10.760000000000005</v>
          </cell>
        </row>
        <row r="1484">
          <cell r="B1484">
            <v>42248</v>
          </cell>
          <cell r="D1484">
            <v>48.97</v>
          </cell>
          <cell r="E1484">
            <v>49.5</v>
          </cell>
          <cell r="H1484">
            <v>47.76</v>
          </cell>
          <cell r="I1484">
            <v>62.63</v>
          </cell>
          <cell r="BS1484">
            <v>13.130000000000003</v>
          </cell>
        </row>
        <row r="1485">
          <cell r="B1485">
            <v>42249</v>
          </cell>
          <cell r="D1485">
            <v>47.384999999999998</v>
          </cell>
          <cell r="E1485">
            <v>46.34</v>
          </cell>
          <cell r="H1485">
            <v>44.19</v>
          </cell>
          <cell r="I1485">
            <v>60.39</v>
          </cell>
          <cell r="BS1485">
            <v>14.049999999999997</v>
          </cell>
        </row>
        <row r="1486">
          <cell r="B1486">
            <v>42250</v>
          </cell>
          <cell r="D1486">
            <v>50.43</v>
          </cell>
          <cell r="E1486">
            <v>48.01</v>
          </cell>
          <cell r="H1486">
            <v>46.14</v>
          </cell>
          <cell r="I1486">
            <v>62.46</v>
          </cell>
          <cell r="BS1486">
            <v>14.450000000000003</v>
          </cell>
        </row>
        <row r="1487">
          <cell r="B1487">
            <v>42251</v>
          </cell>
          <cell r="D1487">
            <v>48.695</v>
          </cell>
          <cell r="E1487">
            <v>47.95</v>
          </cell>
          <cell r="H1487">
            <v>46.8</v>
          </cell>
          <cell r="I1487">
            <v>62.86</v>
          </cell>
          <cell r="BS1487">
            <v>14.909999999999997</v>
          </cell>
        </row>
        <row r="1488">
          <cell r="B1488">
            <v>42254</v>
          </cell>
          <cell r="D1488">
            <v>46.604999999999997</v>
          </cell>
          <cell r="E1488">
            <v>46.7</v>
          </cell>
          <cell r="H1488">
            <v>46.4</v>
          </cell>
          <cell r="I1488">
            <v>62.11</v>
          </cell>
          <cell r="BS1488">
            <v>15.409999999999997</v>
          </cell>
        </row>
        <row r="1489">
          <cell r="B1489">
            <v>42255</v>
          </cell>
          <cell r="D1489">
            <v>49.01</v>
          </cell>
          <cell r="E1489">
            <v>45.75</v>
          </cell>
          <cell r="H1489">
            <v>45.79</v>
          </cell>
          <cell r="I1489">
            <v>61.17</v>
          </cell>
          <cell r="BS1489">
            <v>15.420000000000002</v>
          </cell>
        </row>
        <row r="1490">
          <cell r="B1490">
            <v>42256</v>
          </cell>
          <cell r="D1490">
            <v>47.99</v>
          </cell>
          <cell r="E1490">
            <v>47.31</v>
          </cell>
          <cell r="H1490">
            <v>47.48</v>
          </cell>
          <cell r="I1490">
            <v>62.29</v>
          </cell>
          <cell r="BS1490">
            <v>14.979999999999997</v>
          </cell>
        </row>
        <row r="1491">
          <cell r="B1491">
            <v>42257</v>
          </cell>
          <cell r="D1491">
            <v>47.625</v>
          </cell>
          <cell r="E1491">
            <v>45.5</v>
          </cell>
          <cell r="H1491">
            <v>45.6</v>
          </cell>
          <cell r="I1491">
            <v>60.5</v>
          </cell>
          <cell r="BS1491">
            <v>15</v>
          </cell>
        </row>
        <row r="1492">
          <cell r="B1492">
            <v>42258</v>
          </cell>
          <cell r="D1492">
            <v>47.045000000000002</v>
          </cell>
          <cell r="E1492" t="str">
            <v/>
          </cell>
          <cell r="H1492">
            <v>0</v>
          </cell>
          <cell r="I1492">
            <v>0</v>
          </cell>
          <cell r="BS1492" t="e">
            <v>#N/A</v>
          </cell>
        </row>
        <row r="1493">
          <cell r="B1493">
            <v>42261</v>
          </cell>
          <cell r="D1493">
            <v>46.034999999999997</v>
          </cell>
          <cell r="E1493">
            <v>44.7</v>
          </cell>
          <cell r="H1493">
            <v>46</v>
          </cell>
          <cell r="I1493">
            <v>60.7</v>
          </cell>
          <cell r="BS1493">
            <v>16</v>
          </cell>
        </row>
        <row r="1494">
          <cell r="B1494">
            <v>42262</v>
          </cell>
          <cell r="D1494">
            <v>45.94</v>
          </cell>
          <cell r="E1494">
            <v>43.4</v>
          </cell>
          <cell r="H1494">
            <v>45.75</v>
          </cell>
          <cell r="I1494">
            <v>59.14</v>
          </cell>
          <cell r="BS1494">
            <v>15.740000000000002</v>
          </cell>
        </row>
        <row r="1495">
          <cell r="B1495">
            <v>42263</v>
          </cell>
          <cell r="D1495">
            <v>48.795000000000002</v>
          </cell>
          <cell r="E1495">
            <v>44.07</v>
          </cell>
          <cell r="H1495">
            <v>47.34</v>
          </cell>
          <cell r="I1495">
            <v>60.53</v>
          </cell>
          <cell r="BS1495">
            <v>16.46</v>
          </cell>
        </row>
        <row r="1496">
          <cell r="B1496">
            <v>42264</v>
          </cell>
          <cell r="D1496">
            <v>48.08</v>
          </cell>
          <cell r="E1496">
            <v>45.45</v>
          </cell>
          <cell r="H1496">
            <v>48.1</v>
          </cell>
          <cell r="I1496">
            <v>61.58</v>
          </cell>
          <cell r="BS1496">
            <v>16.129999999999995</v>
          </cell>
        </row>
        <row r="1497">
          <cell r="B1497">
            <v>42265</v>
          </cell>
          <cell r="D1497">
            <v>46.914999999999999</v>
          </cell>
          <cell r="E1497">
            <v>44.95</v>
          </cell>
          <cell r="H1497">
            <v>47.8</v>
          </cell>
          <cell r="I1497">
            <v>61.27</v>
          </cell>
          <cell r="BS1497">
            <v>16.32</v>
          </cell>
        </row>
        <row r="1498">
          <cell r="B1498">
            <v>42268</v>
          </cell>
          <cell r="D1498">
            <v>47.09</v>
          </cell>
          <cell r="E1498">
            <v>43.8</v>
          </cell>
          <cell r="H1498">
            <v>47.05</v>
          </cell>
          <cell r="I1498">
            <v>60.66</v>
          </cell>
          <cell r="BS1498">
            <v>16.86</v>
          </cell>
        </row>
        <row r="1499">
          <cell r="B1499">
            <v>42269</v>
          </cell>
          <cell r="D1499">
            <v>46.79</v>
          </cell>
          <cell r="E1499">
            <v>44.2</v>
          </cell>
          <cell r="H1499">
            <v>47.62</v>
          </cell>
          <cell r="I1499">
            <v>62.06</v>
          </cell>
          <cell r="BS1499">
            <v>17.86</v>
          </cell>
        </row>
        <row r="1500">
          <cell r="B1500">
            <v>42270</v>
          </cell>
          <cell r="D1500">
            <v>48.25</v>
          </cell>
          <cell r="E1500">
            <v>45.34</v>
          </cell>
          <cell r="H1500">
            <v>48.4</v>
          </cell>
          <cell r="I1500">
            <v>64.069999999999993</v>
          </cell>
          <cell r="BS1500">
            <v>18.72999999999999</v>
          </cell>
        </row>
        <row r="1501">
          <cell r="B1501">
            <v>42271</v>
          </cell>
          <cell r="D1501">
            <v>47.14</v>
          </cell>
          <cell r="E1501" t="str">
            <v/>
          </cell>
          <cell r="H1501">
            <v>0</v>
          </cell>
          <cell r="I1501">
            <v>0</v>
          </cell>
          <cell r="BS1501" t="e">
            <v>#N/A</v>
          </cell>
        </row>
        <row r="1502">
          <cell r="B1502">
            <v>42272</v>
          </cell>
          <cell r="D1502">
            <v>47.234999999999999</v>
          </cell>
          <cell r="E1502">
            <v>43.79</v>
          </cell>
          <cell r="H1502">
            <v>46.93</v>
          </cell>
          <cell r="I1502">
            <v>61.92</v>
          </cell>
          <cell r="BS1502">
            <v>18.130000000000003</v>
          </cell>
        </row>
        <row r="1503">
          <cell r="B1503">
            <v>42275</v>
          </cell>
          <cell r="D1503">
            <v>46.475000000000001</v>
          </cell>
          <cell r="E1503">
            <v>43.89</v>
          </cell>
          <cell r="H1503">
            <v>47.4</v>
          </cell>
          <cell r="I1503">
            <v>62.23</v>
          </cell>
          <cell r="BS1503">
            <v>18.339999999999996</v>
          </cell>
        </row>
        <row r="1504">
          <cell r="B1504">
            <v>42276</v>
          </cell>
          <cell r="D1504">
            <v>47.585000000000001</v>
          </cell>
          <cell r="E1504">
            <v>43.35</v>
          </cell>
          <cell r="H1504">
            <v>46.72</v>
          </cell>
          <cell r="I1504">
            <v>61.46</v>
          </cell>
          <cell r="BS1504">
            <v>18.11</v>
          </cell>
        </row>
        <row r="1505">
          <cell r="B1505">
            <v>42277</v>
          </cell>
          <cell r="D1505">
            <v>47.284999999999997</v>
          </cell>
          <cell r="E1505">
            <v>43.5</v>
          </cell>
          <cell r="H1505">
            <v>46.83</v>
          </cell>
          <cell r="I1505">
            <v>61.71</v>
          </cell>
          <cell r="BS1505">
            <v>18.21</v>
          </cell>
        </row>
        <row r="1506">
          <cell r="B1506">
            <v>42278</v>
          </cell>
          <cell r="D1506">
            <v>47.784999999999997</v>
          </cell>
          <cell r="E1506">
            <v>45.75</v>
          </cell>
          <cell r="H1506">
            <v>48.14</v>
          </cell>
          <cell r="I1506">
            <v>64.67</v>
          </cell>
          <cell r="BS1506">
            <v>18.920000000000002</v>
          </cell>
        </row>
        <row r="1507">
          <cell r="B1507">
            <v>42279</v>
          </cell>
          <cell r="D1507">
            <v>46.505000000000003</v>
          </cell>
          <cell r="E1507">
            <v>45.12</v>
          </cell>
          <cell r="H1507">
            <v>47.54</v>
          </cell>
          <cell r="I1507">
            <v>62.87</v>
          </cell>
          <cell r="BS1507">
            <v>17.75</v>
          </cell>
        </row>
        <row r="1508">
          <cell r="B1508">
            <v>42282</v>
          </cell>
          <cell r="D1508">
            <v>49.32</v>
          </cell>
          <cell r="E1508">
            <v>45.8</v>
          </cell>
          <cell r="H1508">
            <v>47.9</v>
          </cell>
          <cell r="I1508">
            <v>62.97</v>
          </cell>
          <cell r="BS1508">
            <v>17.170000000000002</v>
          </cell>
        </row>
        <row r="1509">
          <cell r="B1509">
            <v>42283</v>
          </cell>
          <cell r="D1509">
            <v>51.24</v>
          </cell>
          <cell r="E1509">
            <v>46.41</v>
          </cell>
          <cell r="H1509">
            <v>48.86</v>
          </cell>
          <cell r="I1509">
            <v>62.74</v>
          </cell>
          <cell r="BS1509">
            <v>16.330000000000005</v>
          </cell>
        </row>
        <row r="1510">
          <cell r="B1510">
            <v>42284</v>
          </cell>
          <cell r="D1510">
            <v>51.45</v>
          </cell>
          <cell r="E1510">
            <v>49.79</v>
          </cell>
          <cell r="H1510">
            <v>51.9</v>
          </cell>
          <cell r="I1510">
            <v>64.5</v>
          </cell>
          <cell r="BS1510">
            <v>14.71</v>
          </cell>
        </row>
        <row r="1511">
          <cell r="B1511">
            <v>42285</v>
          </cell>
          <cell r="D1511">
            <v>51.91</v>
          </cell>
          <cell r="E1511">
            <v>48.82</v>
          </cell>
          <cell r="H1511">
            <v>51.02</v>
          </cell>
          <cell r="I1511">
            <v>62.6</v>
          </cell>
          <cell r="BS1511">
            <v>13.780000000000001</v>
          </cell>
        </row>
        <row r="1512">
          <cell r="B1512">
            <v>42286</v>
          </cell>
          <cell r="D1512">
            <v>51.87</v>
          </cell>
          <cell r="E1512">
            <v>50.05</v>
          </cell>
          <cell r="H1512">
            <v>52.21</v>
          </cell>
          <cell r="I1512">
            <v>62.81</v>
          </cell>
          <cell r="BS1512">
            <v>12.760000000000005</v>
          </cell>
        </row>
        <row r="1513">
          <cell r="B1513">
            <v>42289</v>
          </cell>
          <cell r="D1513">
            <v>51.08</v>
          </cell>
          <cell r="E1513">
            <v>49.66</v>
          </cell>
          <cell r="H1513">
            <v>52.09</v>
          </cell>
          <cell r="I1513">
            <v>63.48</v>
          </cell>
          <cell r="BS1513">
            <v>13.82</v>
          </cell>
        </row>
        <row r="1514">
          <cell r="B1514">
            <v>42290</v>
          </cell>
          <cell r="D1514">
            <v>49.32</v>
          </cell>
          <cell r="E1514">
            <v>47.15</v>
          </cell>
          <cell r="H1514">
            <v>49.85</v>
          </cell>
          <cell r="I1514">
            <v>61.88</v>
          </cell>
          <cell r="BS1514">
            <v>14.730000000000004</v>
          </cell>
        </row>
        <row r="1515">
          <cell r="B1515">
            <v>42291</v>
          </cell>
          <cell r="D1515">
            <v>48.305</v>
          </cell>
          <cell r="E1515">
            <v>46.2</v>
          </cell>
          <cell r="H1515">
            <v>49.11</v>
          </cell>
          <cell r="I1515">
            <v>61.06</v>
          </cell>
          <cell r="BS1515">
            <v>14.86</v>
          </cell>
        </row>
        <row r="1516">
          <cell r="B1516">
            <v>42292</v>
          </cell>
          <cell r="D1516">
            <v>48.034999999999997</v>
          </cell>
          <cell r="E1516">
            <v>46.01</v>
          </cell>
          <cell r="H1516">
            <v>49.17</v>
          </cell>
          <cell r="I1516">
            <v>61.11</v>
          </cell>
          <cell r="BS1516">
            <v>15.100000000000001</v>
          </cell>
        </row>
        <row r="1517">
          <cell r="B1517">
            <v>42293</v>
          </cell>
          <cell r="D1517">
            <v>49.125</v>
          </cell>
          <cell r="E1517">
            <v>46.5</v>
          </cell>
          <cell r="H1517">
            <v>49.59</v>
          </cell>
          <cell r="I1517">
            <v>61.11</v>
          </cell>
          <cell r="BS1517">
            <v>14.61</v>
          </cell>
        </row>
        <row r="1518">
          <cell r="B1518">
            <v>42296</v>
          </cell>
          <cell r="D1518">
            <v>47.33</v>
          </cell>
          <cell r="E1518">
            <v>45.99</v>
          </cell>
          <cell r="H1518">
            <v>48.96</v>
          </cell>
          <cell r="I1518">
            <v>59.5</v>
          </cell>
          <cell r="BS1518">
            <v>13.509999999999998</v>
          </cell>
        </row>
        <row r="1519">
          <cell r="B1519">
            <v>42297</v>
          </cell>
          <cell r="D1519">
            <v>47.185000000000002</v>
          </cell>
          <cell r="E1519">
            <v>44.51</v>
          </cell>
          <cell r="H1519">
            <v>47.38</v>
          </cell>
          <cell r="I1519">
            <v>57.04</v>
          </cell>
          <cell r="BS1519">
            <v>12.530000000000001</v>
          </cell>
        </row>
        <row r="1520">
          <cell r="B1520">
            <v>42298</v>
          </cell>
          <cell r="D1520">
            <v>46.975000000000001</v>
          </cell>
          <cell r="E1520">
            <v>44.51</v>
          </cell>
          <cell r="H1520">
            <v>47.12</v>
          </cell>
          <cell r="I1520">
            <v>56.9</v>
          </cell>
          <cell r="BS1520">
            <v>12.39</v>
          </cell>
        </row>
        <row r="1521">
          <cell r="B1521">
            <v>42299</v>
          </cell>
          <cell r="D1521">
            <v>46.585000000000001</v>
          </cell>
          <cell r="E1521">
            <v>44</v>
          </cell>
          <cell r="H1521">
            <v>47.33</v>
          </cell>
          <cell r="I1521">
            <v>57.7</v>
          </cell>
          <cell r="BS1521">
            <v>13.700000000000003</v>
          </cell>
        </row>
        <row r="1522">
          <cell r="B1522">
            <v>42300</v>
          </cell>
          <cell r="D1522">
            <v>46.65</v>
          </cell>
          <cell r="E1522">
            <v>44.15</v>
          </cell>
          <cell r="H1522">
            <v>47.86</v>
          </cell>
          <cell r="I1522">
            <v>58.24</v>
          </cell>
          <cell r="BS1522">
            <v>14.090000000000003</v>
          </cell>
        </row>
        <row r="1523">
          <cell r="B1523">
            <v>42303</v>
          </cell>
          <cell r="D1523">
            <v>46.954999999999998</v>
          </cell>
          <cell r="E1523">
            <v>43.85</v>
          </cell>
          <cell r="H1523">
            <v>47.87</v>
          </cell>
          <cell r="I1523">
            <v>57.97</v>
          </cell>
          <cell r="BS1523">
            <v>14.119999999999997</v>
          </cell>
        </row>
        <row r="1524">
          <cell r="B1524">
            <v>42304</v>
          </cell>
          <cell r="D1524">
            <v>45.93</v>
          </cell>
          <cell r="E1524">
            <v>43.04</v>
          </cell>
          <cell r="H1524">
            <v>47.01</v>
          </cell>
          <cell r="I1524">
            <v>57.24</v>
          </cell>
          <cell r="BS1524">
            <v>14.200000000000003</v>
          </cell>
        </row>
        <row r="1525">
          <cell r="B1525">
            <v>42305</v>
          </cell>
          <cell r="D1525">
            <v>48.164999999999999</v>
          </cell>
          <cell r="E1525">
            <v>43.05</v>
          </cell>
          <cell r="H1525">
            <v>47.04</v>
          </cell>
          <cell r="I1525">
            <v>57.6</v>
          </cell>
          <cell r="BS1525">
            <v>14.550000000000004</v>
          </cell>
        </row>
        <row r="1526">
          <cell r="B1526">
            <v>42306</v>
          </cell>
          <cell r="D1526">
            <v>48.45</v>
          </cell>
          <cell r="E1526">
            <v>44.8</v>
          </cell>
          <cell r="H1526">
            <v>49.12</v>
          </cell>
          <cell r="I1526">
            <v>59.39</v>
          </cell>
          <cell r="BS1526">
            <v>14.590000000000003</v>
          </cell>
        </row>
        <row r="1527">
          <cell r="B1527">
            <v>42307</v>
          </cell>
          <cell r="D1527">
            <v>48.16</v>
          </cell>
          <cell r="E1527">
            <v>43.29</v>
          </cell>
          <cell r="H1527">
            <v>49.27</v>
          </cell>
          <cell r="I1527">
            <v>58.74</v>
          </cell>
          <cell r="BS1527">
            <v>15.450000000000003</v>
          </cell>
        </row>
        <row r="1528">
          <cell r="B1528">
            <v>42310</v>
          </cell>
          <cell r="D1528">
            <v>47.305</v>
          </cell>
          <cell r="E1528">
            <v>45.75</v>
          </cell>
          <cell r="H1528">
            <v>50.44</v>
          </cell>
          <cell r="I1528">
            <v>58.91</v>
          </cell>
          <cell r="BS1528">
            <v>13.159999999999997</v>
          </cell>
        </row>
        <row r="1529">
          <cell r="B1529">
            <v>42311</v>
          </cell>
          <cell r="D1529">
            <v>47.98</v>
          </cell>
          <cell r="E1529">
            <v>44.99</v>
          </cell>
          <cell r="H1529">
            <v>50.06</v>
          </cell>
          <cell r="I1529">
            <v>57.8</v>
          </cell>
          <cell r="BS1529">
            <v>12.809999999999995</v>
          </cell>
        </row>
        <row r="1530">
          <cell r="B1530">
            <v>42312</v>
          </cell>
          <cell r="D1530">
            <v>47.26</v>
          </cell>
          <cell r="E1530">
            <v>46.38</v>
          </cell>
          <cell r="H1530">
            <v>51.8</v>
          </cell>
          <cell r="I1530">
            <v>59.6</v>
          </cell>
          <cell r="BS1530">
            <v>13.219999999999999</v>
          </cell>
        </row>
        <row r="1531">
          <cell r="B1531">
            <v>42313</v>
          </cell>
          <cell r="D1531">
            <v>47.034999999999997</v>
          </cell>
          <cell r="E1531">
            <v>44.91</v>
          </cell>
          <cell r="H1531">
            <v>50.52</v>
          </cell>
          <cell r="I1531">
            <v>58.3</v>
          </cell>
          <cell r="BS1531">
            <v>13.39</v>
          </cell>
        </row>
        <row r="1532">
          <cell r="B1532">
            <v>42314</v>
          </cell>
          <cell r="D1532">
            <v>46.1</v>
          </cell>
          <cell r="E1532">
            <v>44.45</v>
          </cell>
          <cell r="H1532">
            <v>50.15</v>
          </cell>
          <cell r="I1532">
            <v>58.73</v>
          </cell>
          <cell r="BS1532">
            <v>14.279999999999994</v>
          </cell>
        </row>
        <row r="1533">
          <cell r="B1533">
            <v>42317</v>
          </cell>
          <cell r="D1533">
            <v>45.49</v>
          </cell>
          <cell r="E1533">
            <v>43.85</v>
          </cell>
          <cell r="H1533">
            <v>49.84</v>
          </cell>
          <cell r="I1533">
            <v>57.97</v>
          </cell>
          <cell r="BS1533">
            <v>14.119999999999997</v>
          </cell>
        </row>
        <row r="1534">
          <cell r="B1534">
            <v>42318</v>
          </cell>
          <cell r="D1534">
            <v>45.994999999999997</v>
          </cell>
          <cell r="E1534" t="str">
            <v/>
          </cell>
          <cell r="H1534">
            <v>0</v>
          </cell>
          <cell r="I1534">
            <v>0</v>
          </cell>
          <cell r="BS1534" t="e">
            <v>#N/A</v>
          </cell>
        </row>
        <row r="1535">
          <cell r="B1535">
            <v>42319</v>
          </cell>
          <cell r="D1535">
            <v>44.69</v>
          </cell>
          <cell r="E1535">
            <v>43.3</v>
          </cell>
          <cell r="H1535">
            <v>49.39</v>
          </cell>
          <cell r="I1535">
            <v>57.28</v>
          </cell>
          <cell r="BS1535">
            <v>13.980000000000004</v>
          </cell>
        </row>
        <row r="1536">
          <cell r="B1536">
            <v>42320</v>
          </cell>
          <cell r="D1536">
            <v>43.155000000000001</v>
          </cell>
          <cell r="E1536">
            <v>42.1</v>
          </cell>
          <cell r="H1536">
            <v>48.39</v>
          </cell>
          <cell r="I1536">
            <v>56.9</v>
          </cell>
          <cell r="BS1536">
            <v>14.799999999999997</v>
          </cell>
        </row>
        <row r="1537">
          <cell r="B1537">
            <v>42321</v>
          </cell>
          <cell r="D1537">
            <v>42.27</v>
          </cell>
          <cell r="E1537">
            <v>41</v>
          </cell>
          <cell r="H1537">
            <v>47.6</v>
          </cell>
          <cell r="I1537">
            <v>55.45</v>
          </cell>
          <cell r="BS1537">
            <v>14.450000000000003</v>
          </cell>
        </row>
        <row r="1538">
          <cell r="B1538">
            <v>42324</v>
          </cell>
          <cell r="D1538">
            <v>40.384999999999998</v>
          </cell>
          <cell r="E1538">
            <v>39.61</v>
          </cell>
          <cell r="H1538">
            <v>47.01</v>
          </cell>
          <cell r="I1538">
            <v>54.71</v>
          </cell>
          <cell r="BS1538">
            <v>15.100000000000001</v>
          </cell>
        </row>
        <row r="1539">
          <cell r="B1539">
            <v>42325</v>
          </cell>
          <cell r="D1539">
            <v>41.545000000000002</v>
          </cell>
          <cell r="E1539">
            <v>39.770000000000003</v>
          </cell>
          <cell r="H1539">
            <v>47.54</v>
          </cell>
          <cell r="I1539">
            <v>53.75</v>
          </cell>
          <cell r="BS1539">
            <v>13.979999999999997</v>
          </cell>
        </row>
        <row r="1540">
          <cell r="B1540">
            <v>42326</v>
          </cell>
          <cell r="D1540">
            <v>41.674999999999997</v>
          </cell>
          <cell r="E1540">
            <v>39.21</v>
          </cell>
          <cell r="H1540">
            <v>47.57</v>
          </cell>
          <cell r="I1540">
            <v>54.03</v>
          </cell>
          <cell r="BS1540">
            <v>14.82</v>
          </cell>
        </row>
        <row r="1541">
          <cell r="B1541">
            <v>42327</v>
          </cell>
          <cell r="D1541">
            <v>42.18</v>
          </cell>
          <cell r="E1541">
            <v>39.75</v>
          </cell>
          <cell r="H1541">
            <v>47.82</v>
          </cell>
          <cell r="I1541">
            <v>54.61</v>
          </cell>
          <cell r="BS1541">
            <v>14.86</v>
          </cell>
        </row>
        <row r="1542">
          <cell r="B1542">
            <v>42328</v>
          </cell>
          <cell r="D1542">
            <v>42.67</v>
          </cell>
          <cell r="E1542">
            <v>39.26</v>
          </cell>
          <cell r="H1542">
            <v>47.56</v>
          </cell>
          <cell r="I1542">
            <v>54.42</v>
          </cell>
          <cell r="BS1542">
            <v>15.160000000000004</v>
          </cell>
        </row>
        <row r="1543">
          <cell r="B1543">
            <v>42331</v>
          </cell>
          <cell r="D1543">
            <v>44.005000000000003</v>
          </cell>
          <cell r="E1543">
            <v>38.79</v>
          </cell>
          <cell r="H1543">
            <v>46.82</v>
          </cell>
          <cell r="I1543">
            <v>53.62</v>
          </cell>
          <cell r="BS1543">
            <v>14.829999999999998</v>
          </cell>
        </row>
        <row r="1544">
          <cell r="B1544">
            <v>42332</v>
          </cell>
          <cell r="D1544">
            <v>44.63</v>
          </cell>
          <cell r="E1544">
            <v>40.25</v>
          </cell>
          <cell r="H1544">
            <v>48.61</v>
          </cell>
          <cell r="I1544">
            <v>55.67</v>
          </cell>
          <cell r="BS1544">
            <v>15.420000000000002</v>
          </cell>
        </row>
        <row r="1545">
          <cell r="B1545">
            <v>42333</v>
          </cell>
          <cell r="D1545">
            <v>43.954999999999998</v>
          </cell>
          <cell r="E1545">
            <v>40.805</v>
          </cell>
          <cell r="H1545">
            <v>49.67</v>
          </cell>
          <cell r="I1545">
            <v>57.28</v>
          </cell>
          <cell r="BS1545">
            <v>16.475000000000001</v>
          </cell>
        </row>
        <row r="1546">
          <cell r="B1546">
            <v>42334</v>
          </cell>
          <cell r="D1546">
            <v>43.984999999999999</v>
          </cell>
          <cell r="E1546">
            <v>40.5</v>
          </cell>
          <cell r="H1546">
            <v>49.27</v>
          </cell>
          <cell r="I1546">
            <v>56.71</v>
          </cell>
          <cell r="BS1546">
            <v>16.21</v>
          </cell>
        </row>
        <row r="1547">
          <cell r="B1547">
            <v>42335</v>
          </cell>
          <cell r="D1547">
            <v>43.844999999999999</v>
          </cell>
          <cell r="E1547">
            <v>39.54</v>
          </cell>
          <cell r="H1547">
            <v>49.27</v>
          </cell>
          <cell r="I1547">
            <v>56.23</v>
          </cell>
          <cell r="BS1547">
            <v>16.689999999999998</v>
          </cell>
        </row>
        <row r="1548">
          <cell r="B1548">
            <v>42338</v>
          </cell>
          <cell r="D1548">
            <v>44.02</v>
          </cell>
          <cell r="E1548">
            <v>39.61</v>
          </cell>
          <cell r="H1548">
            <v>49.58</v>
          </cell>
          <cell r="I1548">
            <v>56.33</v>
          </cell>
          <cell r="BS1548">
            <v>16.72</v>
          </cell>
        </row>
        <row r="1549">
          <cell r="B1549">
            <v>42339</v>
          </cell>
          <cell r="D1549">
            <v>43.244999999999997</v>
          </cell>
          <cell r="E1549">
            <v>40.700000000000003</v>
          </cell>
          <cell r="H1549">
            <v>49.59</v>
          </cell>
          <cell r="I1549">
            <v>56.06</v>
          </cell>
          <cell r="BS1549">
            <v>15.36</v>
          </cell>
        </row>
        <row r="1550">
          <cell r="B1550">
            <v>42340</v>
          </cell>
          <cell r="D1550">
            <v>41.71</v>
          </cell>
          <cell r="E1550">
            <v>40.21</v>
          </cell>
          <cell r="H1550">
            <v>50.03</v>
          </cell>
          <cell r="I1550">
            <v>55.71</v>
          </cell>
          <cell r="BS1550">
            <v>15.5</v>
          </cell>
        </row>
        <row r="1551">
          <cell r="B1551">
            <v>42341</v>
          </cell>
          <cell r="D1551">
            <v>41.884999999999998</v>
          </cell>
          <cell r="E1551">
            <v>38.99</v>
          </cell>
          <cell r="H1551">
            <v>48.38</v>
          </cell>
          <cell r="I1551">
            <v>53.88</v>
          </cell>
          <cell r="BS1551">
            <v>14.89</v>
          </cell>
        </row>
        <row r="1552">
          <cell r="B1552">
            <v>42342</v>
          </cell>
          <cell r="D1552">
            <v>41.784999999999997</v>
          </cell>
          <cell r="E1552">
            <v>39.58</v>
          </cell>
          <cell r="H1552">
            <v>48.43</v>
          </cell>
          <cell r="I1552">
            <v>54.54</v>
          </cell>
          <cell r="BS1552">
            <v>14.96</v>
          </cell>
        </row>
        <row r="1553">
          <cell r="B1553">
            <v>42345</v>
          </cell>
          <cell r="D1553">
            <v>39.76</v>
          </cell>
          <cell r="E1553">
            <v>38.15</v>
          </cell>
          <cell r="H1553">
            <v>46.97</v>
          </cell>
          <cell r="I1553">
            <v>53.7</v>
          </cell>
          <cell r="BS1553">
            <v>15.550000000000004</v>
          </cell>
        </row>
        <row r="1554">
          <cell r="B1554">
            <v>42346</v>
          </cell>
          <cell r="D1554">
            <v>39.619999999999997</v>
          </cell>
          <cell r="E1554">
            <v>36.46</v>
          </cell>
          <cell r="H1554">
            <v>45.8</v>
          </cell>
          <cell r="I1554">
            <v>51.76</v>
          </cell>
          <cell r="BS1554">
            <v>15.299999999999997</v>
          </cell>
        </row>
        <row r="1555">
          <cell r="B1555">
            <v>42347</v>
          </cell>
          <cell r="D1555">
            <v>39.104999999999997</v>
          </cell>
          <cell r="E1555">
            <v>35.85</v>
          </cell>
          <cell r="H1555">
            <v>46.02</v>
          </cell>
          <cell r="I1555">
            <v>51.92</v>
          </cell>
          <cell r="BS1555">
            <v>16.07</v>
          </cell>
        </row>
        <row r="1556">
          <cell r="B1556">
            <v>42348</v>
          </cell>
          <cell r="D1556">
            <v>38.61</v>
          </cell>
          <cell r="E1556">
            <v>35.9</v>
          </cell>
          <cell r="H1556">
            <v>46.13</v>
          </cell>
          <cell r="I1556">
            <v>53.31</v>
          </cell>
          <cell r="BS1556">
            <v>17.410000000000004</v>
          </cell>
        </row>
        <row r="1557">
          <cell r="B1557">
            <v>42349</v>
          </cell>
          <cell r="D1557">
            <v>37.125</v>
          </cell>
          <cell r="E1557">
            <v>35.18</v>
          </cell>
          <cell r="H1557">
            <v>46.35</v>
          </cell>
          <cell r="I1557">
            <v>54.71</v>
          </cell>
          <cell r="BS1557">
            <v>19.53</v>
          </cell>
        </row>
        <row r="1558">
          <cell r="B1558">
            <v>42352</v>
          </cell>
          <cell r="D1558">
            <v>36.799999999999997</v>
          </cell>
          <cell r="E1558">
            <v>33.47</v>
          </cell>
          <cell r="H1558">
            <v>45.85</v>
          </cell>
          <cell r="I1558">
            <v>55.25</v>
          </cell>
          <cell r="BS1558">
            <v>21.78</v>
          </cell>
        </row>
        <row r="1559">
          <cell r="B1559">
            <v>42353</v>
          </cell>
          <cell r="D1559">
            <v>38.020000000000003</v>
          </cell>
          <cell r="E1559">
            <v>32.799999999999997</v>
          </cell>
          <cell r="H1559">
            <v>44.49</v>
          </cell>
          <cell r="I1559">
            <v>52.36</v>
          </cell>
          <cell r="BS1559">
            <v>19.560000000000002</v>
          </cell>
        </row>
        <row r="1560">
          <cell r="B1560">
            <v>42354</v>
          </cell>
          <cell r="D1560">
            <v>36.935000000000002</v>
          </cell>
          <cell r="E1560">
            <v>33.15</v>
          </cell>
          <cell r="H1560">
            <v>44.75</v>
          </cell>
          <cell r="I1560">
            <v>52.69</v>
          </cell>
          <cell r="BS1560">
            <v>19.54</v>
          </cell>
        </row>
        <row r="1561">
          <cell r="B1561">
            <v>42355</v>
          </cell>
          <cell r="D1561">
            <v>36.65</v>
          </cell>
          <cell r="E1561">
            <v>32.049999999999997</v>
          </cell>
          <cell r="H1561">
            <v>44.28</v>
          </cell>
          <cell r="I1561">
            <v>52.12</v>
          </cell>
          <cell r="BS1561">
            <v>20.07</v>
          </cell>
        </row>
        <row r="1562">
          <cell r="B1562">
            <v>42356</v>
          </cell>
          <cell r="D1562">
            <v>37.28</v>
          </cell>
          <cell r="E1562">
            <v>32.21</v>
          </cell>
          <cell r="H1562">
            <v>44.59</v>
          </cell>
          <cell r="I1562">
            <v>53.29</v>
          </cell>
          <cell r="BS1562">
            <v>21.08</v>
          </cell>
        </row>
        <row r="1563">
          <cell r="B1563">
            <v>42359</v>
          </cell>
          <cell r="D1563">
            <v>35.76</v>
          </cell>
          <cell r="E1563">
            <v>31.4</v>
          </cell>
          <cell r="H1563">
            <v>44.04</v>
          </cell>
          <cell r="I1563">
            <v>52.06</v>
          </cell>
          <cell r="BS1563">
            <v>20.660000000000004</v>
          </cell>
        </row>
        <row r="1564">
          <cell r="B1564">
            <v>42360</v>
          </cell>
          <cell r="D1564">
            <v>35.634999999999998</v>
          </cell>
          <cell r="E1564">
            <v>31.99</v>
          </cell>
          <cell r="H1564">
            <v>43.86</v>
          </cell>
          <cell r="I1564">
            <v>50.56</v>
          </cell>
          <cell r="BS1564">
            <v>18.570000000000004</v>
          </cell>
        </row>
        <row r="1565">
          <cell r="B1565">
            <v>42361</v>
          </cell>
          <cell r="D1565">
            <v>36.445</v>
          </cell>
          <cell r="E1565">
            <v>31.72</v>
          </cell>
          <cell r="H1565">
            <v>43.36</v>
          </cell>
          <cell r="I1565">
            <v>49.46</v>
          </cell>
          <cell r="BS1565">
            <v>17.740000000000002</v>
          </cell>
        </row>
        <row r="1566">
          <cell r="B1566">
            <v>42362</v>
          </cell>
          <cell r="D1566">
            <v>37.075000000000003</v>
          </cell>
          <cell r="E1566">
            <v>32.840000000000003</v>
          </cell>
          <cell r="H1566">
            <v>45.03</v>
          </cell>
          <cell r="I1566">
            <v>52.48</v>
          </cell>
          <cell r="BS1566">
            <v>19.639999999999993</v>
          </cell>
        </row>
        <row r="1567">
          <cell r="B1567">
            <v>42363</v>
          </cell>
          <cell r="D1567" t="str">
            <v/>
          </cell>
          <cell r="E1567" t="str">
            <v/>
          </cell>
          <cell r="H1567">
            <v>0</v>
          </cell>
          <cell r="I1567">
            <v>0</v>
          </cell>
          <cell r="BS1567" t="e">
            <v>#N/A</v>
          </cell>
        </row>
        <row r="1568">
          <cell r="B1568">
            <v>42366</v>
          </cell>
          <cell r="D1568" t="str">
            <v/>
          </cell>
          <cell r="E1568">
            <v>32.340000000000003</v>
          </cell>
          <cell r="H1568">
            <v>44.56</v>
          </cell>
          <cell r="I1568">
            <v>51.7</v>
          </cell>
          <cell r="BS1568">
            <v>19.36</v>
          </cell>
        </row>
        <row r="1569">
          <cell r="B1569">
            <v>42367</v>
          </cell>
          <cell r="D1569">
            <v>37.134999999999998</v>
          </cell>
          <cell r="E1569">
            <v>31.9</v>
          </cell>
          <cell r="H1569">
            <v>43.95</v>
          </cell>
          <cell r="I1569">
            <v>50.99</v>
          </cell>
          <cell r="BS1569">
            <v>19.090000000000003</v>
          </cell>
        </row>
        <row r="1570">
          <cell r="B1570">
            <v>42368</v>
          </cell>
          <cell r="D1570">
            <v>36.090000000000003</v>
          </cell>
          <cell r="E1570">
            <v>32.31</v>
          </cell>
          <cell r="H1570">
            <v>44.64</v>
          </cell>
          <cell r="I1570">
            <v>51.9</v>
          </cell>
          <cell r="BS1570">
            <v>19.589999999999996</v>
          </cell>
        </row>
        <row r="1571">
          <cell r="B1571">
            <v>42369</v>
          </cell>
          <cell r="D1571">
            <v>35.74</v>
          </cell>
          <cell r="E1571">
            <v>31.81</v>
          </cell>
          <cell r="H1571">
            <v>43.78</v>
          </cell>
          <cell r="I1571">
            <v>51.98</v>
          </cell>
          <cell r="BS1571">
            <v>20.169999999999998</v>
          </cell>
        </row>
        <row r="1572">
          <cell r="B1572">
            <v>42370</v>
          </cell>
          <cell r="D1572" t="str">
            <v/>
          </cell>
          <cell r="E1572" t="str">
            <v/>
          </cell>
          <cell r="H1572">
            <v>0</v>
          </cell>
          <cell r="I1572">
            <v>0</v>
          </cell>
          <cell r="BS1572" t="e">
            <v>#N/A</v>
          </cell>
        </row>
        <row r="1573">
          <cell r="B1573">
            <v>42373</v>
          </cell>
          <cell r="D1573">
            <v>36.53</v>
          </cell>
          <cell r="E1573">
            <v>32.4</v>
          </cell>
          <cell r="H1573">
            <v>44.52</v>
          </cell>
          <cell r="I1573">
            <v>52.63</v>
          </cell>
          <cell r="BS1573">
            <v>20.230000000000004</v>
          </cell>
        </row>
        <row r="1574">
          <cell r="B1574">
            <v>42374</v>
          </cell>
          <cell r="D1574">
            <v>35.524999999999999</v>
          </cell>
          <cell r="E1574">
            <v>31.2</v>
          </cell>
          <cell r="H1574">
            <v>45.41</v>
          </cell>
          <cell r="I1574">
            <v>53.55</v>
          </cell>
          <cell r="BS1574">
            <v>22.349999999999998</v>
          </cell>
        </row>
        <row r="1575">
          <cell r="B1575">
            <v>42375</v>
          </cell>
          <cell r="D1575">
            <v>33.82</v>
          </cell>
          <cell r="E1575">
            <v>30.2</v>
          </cell>
          <cell r="H1575">
            <v>43.92</v>
          </cell>
          <cell r="I1575">
            <v>51.77</v>
          </cell>
          <cell r="BS1575">
            <v>21.570000000000004</v>
          </cell>
        </row>
        <row r="1576">
          <cell r="B1576">
            <v>42376</v>
          </cell>
          <cell r="D1576">
            <v>33.655000000000001</v>
          </cell>
          <cell r="E1576">
            <v>27.35</v>
          </cell>
          <cell r="H1576">
            <v>40.36</v>
          </cell>
          <cell r="I1576">
            <v>48</v>
          </cell>
          <cell r="BS1576">
            <v>20.65</v>
          </cell>
        </row>
        <row r="1577">
          <cell r="B1577">
            <v>42377</v>
          </cell>
          <cell r="D1577">
            <v>31.695</v>
          </cell>
          <cell r="E1577">
            <v>29.2</v>
          </cell>
          <cell r="H1577">
            <v>41.26</v>
          </cell>
          <cell r="I1577">
            <v>49.82</v>
          </cell>
          <cell r="BS1577">
            <v>20.62</v>
          </cell>
        </row>
        <row r="1578">
          <cell r="B1578">
            <v>42380</v>
          </cell>
          <cell r="D1578">
            <v>30.05</v>
          </cell>
          <cell r="E1578">
            <v>28.1</v>
          </cell>
          <cell r="H1578">
            <v>38.700000000000003</v>
          </cell>
          <cell r="I1578">
            <v>47.91</v>
          </cell>
          <cell r="BS1578">
            <v>19.809999999999995</v>
          </cell>
        </row>
        <row r="1579">
          <cell r="B1579">
            <v>42381</v>
          </cell>
          <cell r="D1579">
            <v>29.25</v>
          </cell>
          <cell r="E1579">
            <v>26.5</v>
          </cell>
          <cell r="H1579">
            <v>36.700000000000003</v>
          </cell>
          <cell r="I1579">
            <v>47.91</v>
          </cell>
          <cell r="BS1579">
            <v>21.409999999999997</v>
          </cell>
        </row>
        <row r="1580">
          <cell r="B1580">
            <v>42382</v>
          </cell>
          <cell r="D1580">
            <v>28.885000000000002</v>
          </cell>
          <cell r="E1580">
            <v>26.6</v>
          </cell>
          <cell r="H1580">
            <v>36.5</v>
          </cell>
          <cell r="I1580">
            <v>47.44</v>
          </cell>
          <cell r="BS1580">
            <v>20.839999999999996</v>
          </cell>
        </row>
        <row r="1581">
          <cell r="B1581">
            <v>42383</v>
          </cell>
          <cell r="D1581">
            <v>28.835000000000001</v>
          </cell>
          <cell r="E1581">
            <v>25.3</v>
          </cell>
          <cell r="H1581">
            <v>35</v>
          </cell>
          <cell r="I1581">
            <v>46.46</v>
          </cell>
          <cell r="BS1581">
            <v>21.16</v>
          </cell>
        </row>
        <row r="1582">
          <cell r="B1582">
            <v>42384</v>
          </cell>
          <cell r="D1582">
            <v>28.07</v>
          </cell>
          <cell r="E1582">
            <v>25.55</v>
          </cell>
          <cell r="H1582">
            <v>34.75</v>
          </cell>
          <cell r="I1582">
            <v>45.65</v>
          </cell>
          <cell r="BS1582">
            <v>20.099999999999998</v>
          </cell>
        </row>
        <row r="1583">
          <cell r="B1583">
            <v>42387</v>
          </cell>
          <cell r="D1583">
            <v>27.23</v>
          </cell>
          <cell r="E1583">
            <v>23.69</v>
          </cell>
          <cell r="H1583">
            <v>32.94</v>
          </cell>
          <cell r="I1583">
            <v>43.38</v>
          </cell>
          <cell r="BS1583">
            <v>19.690000000000001</v>
          </cell>
        </row>
        <row r="1584">
          <cell r="B1584">
            <v>42388</v>
          </cell>
          <cell r="D1584">
            <v>28.01</v>
          </cell>
          <cell r="E1584">
            <v>23.8</v>
          </cell>
          <cell r="H1584">
            <v>34.270000000000003</v>
          </cell>
          <cell r="I1584">
            <v>45.05</v>
          </cell>
          <cell r="BS1584">
            <v>21.249999999999996</v>
          </cell>
        </row>
        <row r="1585">
          <cell r="B1585">
            <v>42389</v>
          </cell>
          <cell r="D1585">
            <v>25.984999999999999</v>
          </cell>
          <cell r="E1585">
            <v>22.85</v>
          </cell>
          <cell r="H1585">
            <v>33.58</v>
          </cell>
          <cell r="I1585">
            <v>43.65</v>
          </cell>
          <cell r="BS1585">
            <v>20.799999999999997</v>
          </cell>
        </row>
        <row r="1586">
          <cell r="B1586">
            <v>42390</v>
          </cell>
          <cell r="D1586">
            <v>27.625</v>
          </cell>
          <cell r="E1586">
            <v>22.8</v>
          </cell>
          <cell r="H1586">
            <v>32.49</v>
          </cell>
          <cell r="I1586">
            <v>43.94</v>
          </cell>
          <cell r="BS1586">
            <v>21.139999999999997</v>
          </cell>
        </row>
        <row r="1587">
          <cell r="B1587">
            <v>42391</v>
          </cell>
          <cell r="D1587">
            <v>30.21</v>
          </cell>
          <cell r="E1587">
            <v>25.07</v>
          </cell>
          <cell r="H1587">
            <v>34.57</v>
          </cell>
          <cell r="I1587">
            <v>46.48</v>
          </cell>
          <cell r="BS1587">
            <v>21.409999999999997</v>
          </cell>
        </row>
        <row r="1588">
          <cell r="B1588">
            <v>42394</v>
          </cell>
          <cell r="D1588">
            <v>29.83</v>
          </cell>
          <cell r="E1588">
            <v>26.12</v>
          </cell>
          <cell r="H1588">
            <v>34.35</v>
          </cell>
          <cell r="I1588">
            <v>46.89</v>
          </cell>
          <cell r="BS1588">
            <v>20.77</v>
          </cell>
        </row>
        <row r="1589">
          <cell r="B1589">
            <v>42395</v>
          </cell>
          <cell r="D1589">
            <v>30.99</v>
          </cell>
          <cell r="E1589">
            <v>24.5</v>
          </cell>
          <cell r="H1589">
            <v>30.74</v>
          </cell>
          <cell r="I1589">
            <v>44.18</v>
          </cell>
          <cell r="BS1589">
            <v>19.68</v>
          </cell>
        </row>
        <row r="1590">
          <cell r="B1590">
            <v>42396</v>
          </cell>
          <cell r="D1590">
            <v>31.515000000000001</v>
          </cell>
          <cell r="E1590">
            <v>26.3</v>
          </cell>
          <cell r="H1590">
            <v>31.4</v>
          </cell>
          <cell r="I1590">
            <v>44.49</v>
          </cell>
          <cell r="BS1590">
            <v>18.190000000000001</v>
          </cell>
        </row>
        <row r="1591">
          <cell r="B1591">
            <v>42397</v>
          </cell>
          <cell r="D1591">
            <v>33.064999999999998</v>
          </cell>
          <cell r="E1591">
            <v>28.4</v>
          </cell>
          <cell r="H1591">
            <v>34.08</v>
          </cell>
          <cell r="I1591">
            <v>45.43</v>
          </cell>
          <cell r="BS1591">
            <v>17.03</v>
          </cell>
        </row>
        <row r="1592">
          <cell r="B1592">
            <v>42398</v>
          </cell>
          <cell r="D1592">
            <v>33.11</v>
          </cell>
          <cell r="E1592">
            <v>30.26</v>
          </cell>
          <cell r="H1592">
            <v>36.49</v>
          </cell>
          <cell r="I1592">
            <v>47.27</v>
          </cell>
          <cell r="BS1592">
            <v>17.010000000000002</v>
          </cell>
        </row>
        <row r="1593">
          <cell r="B1593">
            <v>42401</v>
          </cell>
          <cell r="D1593">
            <v>32.74</v>
          </cell>
          <cell r="E1593">
            <v>30.92</v>
          </cell>
          <cell r="H1593">
            <v>36.64</v>
          </cell>
          <cell r="I1593">
            <v>46.39</v>
          </cell>
          <cell r="BS1593">
            <v>15.469999999999999</v>
          </cell>
        </row>
        <row r="1594">
          <cell r="B1594">
            <v>42402</v>
          </cell>
          <cell r="D1594">
            <v>31.34</v>
          </cell>
          <cell r="E1594">
            <v>29.35</v>
          </cell>
          <cell r="H1594">
            <v>35.130000000000003</v>
          </cell>
          <cell r="I1594">
            <v>43.82</v>
          </cell>
          <cell r="BS1594">
            <v>14.469999999999999</v>
          </cell>
        </row>
        <row r="1595">
          <cell r="B1595">
            <v>42403</v>
          </cell>
          <cell r="D1595">
            <v>32.524999999999999</v>
          </cell>
          <cell r="E1595">
            <v>28.8</v>
          </cell>
          <cell r="H1595">
            <v>32.47</v>
          </cell>
          <cell r="I1595">
            <v>39.85</v>
          </cell>
          <cell r="BS1595">
            <v>11.05</v>
          </cell>
        </row>
        <row r="1596">
          <cell r="B1596">
            <v>42404</v>
          </cell>
          <cell r="D1596">
            <v>33.005000000000003</v>
          </cell>
          <cell r="E1596">
            <v>30.8</v>
          </cell>
          <cell r="H1596">
            <v>34.78</v>
          </cell>
          <cell r="I1596">
            <v>42.64</v>
          </cell>
          <cell r="BS1596">
            <v>11.84</v>
          </cell>
        </row>
        <row r="1597">
          <cell r="B1597">
            <v>42405</v>
          </cell>
          <cell r="D1597">
            <v>32.634999999999998</v>
          </cell>
          <cell r="E1597">
            <v>30.1</v>
          </cell>
          <cell r="H1597">
            <v>34.54</v>
          </cell>
          <cell r="I1597">
            <v>42.45</v>
          </cell>
          <cell r="BS1597">
            <v>12.350000000000001</v>
          </cell>
        </row>
        <row r="1598">
          <cell r="B1598">
            <v>42408</v>
          </cell>
          <cell r="D1598">
            <v>32</v>
          </cell>
          <cell r="E1598" t="str">
            <v/>
          </cell>
          <cell r="H1598">
            <v>0</v>
          </cell>
          <cell r="I1598">
            <v>0</v>
          </cell>
          <cell r="BS1598" t="e">
            <v>#N/A</v>
          </cell>
        </row>
        <row r="1599">
          <cell r="B1599">
            <v>42409</v>
          </cell>
          <cell r="D1599">
            <v>30.27</v>
          </cell>
          <cell r="E1599" t="str">
            <v/>
          </cell>
          <cell r="H1599">
            <v>0</v>
          </cell>
          <cell r="I1599">
            <v>0</v>
          </cell>
          <cell r="BS1599" t="e">
            <v>#N/A</v>
          </cell>
        </row>
        <row r="1600">
          <cell r="B1600">
            <v>42410</v>
          </cell>
          <cell r="D1600">
            <v>29.49</v>
          </cell>
          <cell r="E1600">
            <v>26.64</v>
          </cell>
          <cell r="H1600">
            <v>29.82</v>
          </cell>
          <cell r="I1600">
            <v>37.159999999999997</v>
          </cell>
          <cell r="BS1600">
            <v>10.519999999999996</v>
          </cell>
        </row>
        <row r="1601">
          <cell r="B1601">
            <v>42411</v>
          </cell>
          <cell r="D1601">
            <v>28.66</v>
          </cell>
          <cell r="E1601">
            <v>25.85</v>
          </cell>
          <cell r="H1601">
            <v>30.82</v>
          </cell>
          <cell r="I1601">
            <v>37.79</v>
          </cell>
          <cell r="BS1601">
            <v>11.939999999999998</v>
          </cell>
        </row>
        <row r="1602">
          <cell r="B1602">
            <v>42412</v>
          </cell>
          <cell r="D1602">
            <v>31.574999999999999</v>
          </cell>
          <cell r="E1602">
            <v>26.65</v>
          </cell>
          <cell r="H1602">
            <v>32.86</v>
          </cell>
          <cell r="I1602">
            <v>39.68</v>
          </cell>
          <cell r="BS1602">
            <v>13.030000000000001</v>
          </cell>
        </row>
        <row r="1603">
          <cell r="B1603">
            <v>42415</v>
          </cell>
          <cell r="D1603">
            <v>32.68</v>
          </cell>
          <cell r="E1603">
            <v>29.1</v>
          </cell>
          <cell r="H1603">
            <v>35.22</v>
          </cell>
          <cell r="I1603">
            <v>42.45</v>
          </cell>
          <cell r="BS1603">
            <v>13.350000000000001</v>
          </cell>
        </row>
        <row r="1604">
          <cell r="B1604">
            <v>42416</v>
          </cell>
          <cell r="D1604">
            <v>31.375</v>
          </cell>
          <cell r="E1604">
            <v>31.29</v>
          </cell>
          <cell r="H1604">
            <v>35.93</v>
          </cell>
          <cell r="I1604">
            <v>43.35</v>
          </cell>
          <cell r="BS1604">
            <v>12.060000000000002</v>
          </cell>
        </row>
        <row r="1605">
          <cell r="B1605">
            <v>42417</v>
          </cell>
          <cell r="D1605">
            <v>33.715000000000003</v>
          </cell>
          <cell r="E1605">
            <v>28.04</v>
          </cell>
          <cell r="H1605">
            <v>32.44</v>
          </cell>
          <cell r="I1605">
            <v>39.14</v>
          </cell>
          <cell r="BS1605">
            <v>11.100000000000001</v>
          </cell>
        </row>
        <row r="1606">
          <cell r="B1606">
            <v>42418</v>
          </cell>
          <cell r="D1606">
            <v>33.57</v>
          </cell>
          <cell r="E1606">
            <v>30.8</v>
          </cell>
          <cell r="H1606">
            <v>34.229999999999997</v>
          </cell>
          <cell r="I1606">
            <v>40.96</v>
          </cell>
          <cell r="BS1606">
            <v>10.16</v>
          </cell>
        </row>
        <row r="1607">
          <cell r="B1607">
            <v>42419</v>
          </cell>
          <cell r="D1607">
            <v>32.14</v>
          </cell>
          <cell r="E1607">
            <v>30.21</v>
          </cell>
          <cell r="H1607">
            <v>33.47</v>
          </cell>
          <cell r="I1607">
            <v>40.1</v>
          </cell>
          <cell r="BS1607">
            <v>9.89</v>
          </cell>
        </row>
        <row r="1608">
          <cell r="B1608">
            <v>42422</v>
          </cell>
          <cell r="D1608">
            <v>34.35</v>
          </cell>
          <cell r="E1608">
            <v>29.5</v>
          </cell>
          <cell r="H1608">
            <v>33.46</v>
          </cell>
          <cell r="I1608">
            <v>40.43</v>
          </cell>
          <cell r="BS1608">
            <v>10.93</v>
          </cell>
        </row>
        <row r="1609">
          <cell r="B1609">
            <v>42423</v>
          </cell>
          <cell r="D1609">
            <v>32.384999999999998</v>
          </cell>
          <cell r="E1609">
            <v>29.71</v>
          </cell>
          <cell r="H1609">
            <v>33.880000000000003</v>
          </cell>
          <cell r="I1609">
            <v>40.71</v>
          </cell>
          <cell r="BS1609">
            <v>11</v>
          </cell>
        </row>
        <row r="1610">
          <cell r="B1610">
            <v>42424</v>
          </cell>
          <cell r="D1610">
            <v>32.31</v>
          </cell>
          <cell r="E1610">
            <v>28.8</v>
          </cell>
          <cell r="H1610">
            <v>32.64</v>
          </cell>
          <cell r="I1610">
            <v>40.07</v>
          </cell>
          <cell r="BS1610">
            <v>11.27</v>
          </cell>
        </row>
        <row r="1611">
          <cell r="B1611">
            <v>42425</v>
          </cell>
          <cell r="D1611">
            <v>33.369999999999997</v>
          </cell>
          <cell r="E1611">
            <v>29.8</v>
          </cell>
          <cell r="H1611">
            <v>34.590000000000003</v>
          </cell>
          <cell r="I1611">
            <v>42.1</v>
          </cell>
          <cell r="BS1611">
            <v>12.3</v>
          </cell>
        </row>
        <row r="1612">
          <cell r="B1612">
            <v>42426</v>
          </cell>
          <cell r="D1612">
            <v>36.125</v>
          </cell>
          <cell r="E1612">
            <v>30.49</v>
          </cell>
          <cell r="H1612">
            <v>36.06</v>
          </cell>
          <cell r="I1612">
            <v>44.67</v>
          </cell>
          <cell r="BS1612">
            <v>14.180000000000003</v>
          </cell>
        </row>
        <row r="1613">
          <cell r="B1613">
            <v>42429</v>
          </cell>
          <cell r="D1613">
            <v>35.79</v>
          </cell>
          <cell r="E1613">
            <v>29.9</v>
          </cell>
          <cell r="H1613">
            <v>34.700000000000003</v>
          </cell>
          <cell r="I1613">
            <v>42.92</v>
          </cell>
          <cell r="BS1613">
            <v>13.020000000000003</v>
          </cell>
        </row>
        <row r="1614">
          <cell r="B1614">
            <v>42430</v>
          </cell>
          <cell r="D1614">
            <v>35.555</v>
          </cell>
          <cell r="E1614">
            <v>31.9</v>
          </cell>
          <cell r="H1614">
            <v>35.71</v>
          </cell>
          <cell r="I1614">
            <v>44.87</v>
          </cell>
          <cell r="BS1614">
            <v>12.969999999999999</v>
          </cell>
        </row>
        <row r="1615">
          <cell r="B1615">
            <v>42431</v>
          </cell>
          <cell r="D1615">
            <v>36.4</v>
          </cell>
          <cell r="E1615">
            <v>31.89</v>
          </cell>
          <cell r="H1615">
            <v>35.32</v>
          </cell>
          <cell r="I1615">
            <v>44.05</v>
          </cell>
          <cell r="BS1615">
            <v>12.159999999999997</v>
          </cell>
        </row>
        <row r="1616">
          <cell r="B1616">
            <v>42432</v>
          </cell>
          <cell r="D1616">
            <v>35.895000000000003</v>
          </cell>
          <cell r="E1616">
            <v>31.72</v>
          </cell>
          <cell r="H1616">
            <v>35.44</v>
          </cell>
          <cell r="I1616">
            <v>44.57</v>
          </cell>
          <cell r="BS1616">
            <v>12.850000000000001</v>
          </cell>
        </row>
        <row r="1617">
          <cell r="B1617">
            <v>42433</v>
          </cell>
          <cell r="D1617">
            <v>37.270000000000003</v>
          </cell>
          <cell r="E1617">
            <v>32.25</v>
          </cell>
          <cell r="H1617">
            <v>36.21</v>
          </cell>
          <cell r="I1617">
            <v>44.86</v>
          </cell>
          <cell r="BS1617">
            <v>12.61</v>
          </cell>
        </row>
        <row r="1618">
          <cell r="B1618">
            <v>42436</v>
          </cell>
          <cell r="D1618">
            <v>39.020000000000003</v>
          </cell>
          <cell r="E1618">
            <v>34.409999999999997</v>
          </cell>
          <cell r="H1618">
            <v>37.35</v>
          </cell>
          <cell r="I1618">
            <v>47.32</v>
          </cell>
          <cell r="BS1618">
            <v>12.910000000000004</v>
          </cell>
        </row>
        <row r="1619">
          <cell r="B1619">
            <v>42437</v>
          </cell>
          <cell r="D1619">
            <v>39.115000000000002</v>
          </cell>
          <cell r="E1619">
            <v>35.659999999999997</v>
          </cell>
          <cell r="H1619">
            <v>37.380000000000003</v>
          </cell>
          <cell r="I1619">
            <v>48.77</v>
          </cell>
          <cell r="BS1619">
            <v>13.110000000000007</v>
          </cell>
        </row>
        <row r="1620">
          <cell r="B1620">
            <v>42438</v>
          </cell>
          <cell r="D1620">
            <v>39.905000000000001</v>
          </cell>
          <cell r="E1620">
            <v>35.03</v>
          </cell>
          <cell r="H1620">
            <v>36.9</v>
          </cell>
          <cell r="I1620">
            <v>49.02</v>
          </cell>
          <cell r="BS1620">
            <v>13.990000000000002</v>
          </cell>
        </row>
        <row r="1621">
          <cell r="B1621">
            <v>42439</v>
          </cell>
          <cell r="D1621">
            <v>38.585000000000001</v>
          </cell>
          <cell r="E1621">
            <v>35.909999999999997</v>
          </cell>
          <cell r="H1621">
            <v>39.14</v>
          </cell>
          <cell r="I1621">
            <v>51.55</v>
          </cell>
          <cell r="BS1621">
            <v>15.64</v>
          </cell>
        </row>
        <row r="1622">
          <cell r="B1622">
            <v>42440</v>
          </cell>
          <cell r="D1622">
            <v>39.18</v>
          </cell>
          <cell r="E1622">
            <v>36.049999999999997</v>
          </cell>
          <cell r="H1622">
            <v>38.89</v>
          </cell>
          <cell r="I1622">
            <v>51.79</v>
          </cell>
          <cell r="BS1622">
            <v>15.740000000000002</v>
          </cell>
        </row>
        <row r="1623">
          <cell r="B1623">
            <v>42443</v>
          </cell>
          <cell r="D1623">
            <v>37.89</v>
          </cell>
          <cell r="E1623">
            <v>35.29</v>
          </cell>
          <cell r="H1623">
            <v>37.78</v>
          </cell>
          <cell r="I1623">
            <v>50.6</v>
          </cell>
          <cell r="BS1623">
            <v>15.310000000000002</v>
          </cell>
        </row>
        <row r="1624">
          <cell r="B1624">
            <v>42444</v>
          </cell>
          <cell r="D1624">
            <v>37.42</v>
          </cell>
          <cell r="E1624">
            <v>34.159999999999997</v>
          </cell>
          <cell r="H1624">
            <v>37.22</v>
          </cell>
          <cell r="I1624">
            <v>49.1</v>
          </cell>
          <cell r="BS1624">
            <v>14.940000000000005</v>
          </cell>
        </row>
        <row r="1625">
          <cell r="B1625">
            <v>42445</v>
          </cell>
          <cell r="D1625">
            <v>38.704999999999998</v>
          </cell>
          <cell r="E1625">
            <v>34.65</v>
          </cell>
          <cell r="H1625">
            <v>38.06</v>
          </cell>
          <cell r="I1625">
            <v>49.29</v>
          </cell>
          <cell r="BS1625">
            <v>14.64</v>
          </cell>
        </row>
        <row r="1626">
          <cell r="B1626">
            <v>42446</v>
          </cell>
          <cell r="D1626">
            <v>40.034999999999997</v>
          </cell>
          <cell r="E1626">
            <v>36.880000000000003</v>
          </cell>
          <cell r="H1626">
            <v>40.18</v>
          </cell>
          <cell r="I1626">
            <v>50.94</v>
          </cell>
          <cell r="BS1626">
            <v>14.059999999999995</v>
          </cell>
        </row>
        <row r="1627">
          <cell r="B1627">
            <v>42447</v>
          </cell>
          <cell r="D1627">
            <v>40.24</v>
          </cell>
          <cell r="E1627">
            <v>37.65</v>
          </cell>
          <cell r="H1627">
            <v>40.159999999999997</v>
          </cell>
          <cell r="I1627">
            <v>51.11</v>
          </cell>
          <cell r="BS1627">
            <v>13.46</v>
          </cell>
        </row>
        <row r="1628">
          <cell r="B1628">
            <v>42450</v>
          </cell>
          <cell r="D1628">
            <v>40.234999999999999</v>
          </cell>
          <cell r="E1628">
            <v>37</v>
          </cell>
          <cell r="H1628">
            <v>40.409999999999997</v>
          </cell>
          <cell r="I1628">
            <v>50.58</v>
          </cell>
          <cell r="BS1628">
            <v>13.579999999999998</v>
          </cell>
        </row>
        <row r="1629">
          <cell r="B1629">
            <v>42451</v>
          </cell>
          <cell r="D1629">
            <v>40.159999999999997</v>
          </cell>
          <cell r="E1629">
            <v>37.409999999999997</v>
          </cell>
          <cell r="H1629">
            <v>41.16</v>
          </cell>
          <cell r="I1629">
            <v>51.86</v>
          </cell>
          <cell r="BS1629">
            <v>14.450000000000003</v>
          </cell>
        </row>
        <row r="1630">
          <cell r="B1630">
            <v>42452</v>
          </cell>
          <cell r="D1630">
            <v>39.255000000000003</v>
          </cell>
          <cell r="E1630">
            <v>37.15</v>
          </cell>
          <cell r="H1630">
            <v>41.98</v>
          </cell>
          <cell r="I1630">
            <v>53.1</v>
          </cell>
          <cell r="BS1630">
            <v>15.950000000000003</v>
          </cell>
        </row>
        <row r="1631">
          <cell r="B1631">
            <v>42453</v>
          </cell>
          <cell r="D1631">
            <v>38.520000000000003</v>
          </cell>
          <cell r="E1631">
            <v>36.01</v>
          </cell>
          <cell r="H1631">
            <v>41.15</v>
          </cell>
          <cell r="I1631">
            <v>51.69</v>
          </cell>
          <cell r="BS1631">
            <v>15.68</v>
          </cell>
        </row>
        <row r="1632">
          <cell r="B1632">
            <v>42454</v>
          </cell>
          <cell r="D1632" t="str">
            <v/>
          </cell>
          <cell r="E1632" t="str">
            <v/>
          </cell>
          <cell r="H1632">
            <v>0</v>
          </cell>
          <cell r="I1632">
            <v>0</v>
          </cell>
          <cell r="BS1632" t="e">
            <v>#N/A</v>
          </cell>
        </row>
        <row r="1633">
          <cell r="B1633">
            <v>42457</v>
          </cell>
          <cell r="D1633" t="str">
            <v/>
          </cell>
          <cell r="E1633">
            <v>36.4</v>
          </cell>
          <cell r="H1633">
            <v>42.26</v>
          </cell>
          <cell r="I1633">
            <v>52.76</v>
          </cell>
          <cell r="BS1633">
            <v>16.36</v>
          </cell>
        </row>
        <row r="1634">
          <cell r="B1634">
            <v>42458</v>
          </cell>
          <cell r="D1634">
            <v>37.51</v>
          </cell>
          <cell r="E1634">
            <v>35.39</v>
          </cell>
          <cell r="H1634">
            <v>41.62</v>
          </cell>
          <cell r="I1634">
            <v>51.68</v>
          </cell>
          <cell r="BS1634">
            <v>16.29</v>
          </cell>
        </row>
        <row r="1635">
          <cell r="B1635">
            <v>42459</v>
          </cell>
          <cell r="D1635">
            <v>38.700000000000003</v>
          </cell>
          <cell r="E1635">
            <v>35.4</v>
          </cell>
          <cell r="H1635">
            <v>42.27</v>
          </cell>
          <cell r="I1635">
            <v>51.85</v>
          </cell>
          <cell r="BS1635">
            <v>16.450000000000003</v>
          </cell>
        </row>
        <row r="1636">
          <cell r="B1636">
            <v>42460</v>
          </cell>
          <cell r="D1636">
            <v>38.700000000000003</v>
          </cell>
          <cell r="E1636">
            <v>34.909999999999997</v>
          </cell>
          <cell r="H1636">
            <v>41.5</v>
          </cell>
          <cell r="I1636">
            <v>50.36</v>
          </cell>
          <cell r="BS1636">
            <v>15.450000000000003</v>
          </cell>
        </row>
        <row r="1637">
          <cell r="B1637">
            <v>42461</v>
          </cell>
          <cell r="D1637">
            <v>36.494999999999997</v>
          </cell>
          <cell r="E1637">
            <v>36.21</v>
          </cell>
          <cell r="H1637">
            <v>41.85</v>
          </cell>
          <cell r="I1637">
            <v>49.62</v>
          </cell>
          <cell r="BS1637">
            <v>13.409999999999997</v>
          </cell>
        </row>
        <row r="1638">
          <cell r="B1638">
            <v>42464</v>
          </cell>
          <cell r="D1638">
            <v>36.18</v>
          </cell>
          <cell r="E1638">
            <v>34.81</v>
          </cell>
          <cell r="H1638">
            <v>40.19</v>
          </cell>
          <cell r="I1638">
            <v>48.27</v>
          </cell>
          <cell r="BS1638">
            <v>13.46</v>
          </cell>
        </row>
        <row r="1639">
          <cell r="B1639">
            <v>42465</v>
          </cell>
          <cell r="D1639">
            <v>36.06</v>
          </cell>
          <cell r="E1639">
            <v>33.799999999999997</v>
          </cell>
          <cell r="H1639">
            <v>39.43</v>
          </cell>
          <cell r="I1639">
            <v>47.68</v>
          </cell>
          <cell r="BS1639">
            <v>13.880000000000003</v>
          </cell>
        </row>
        <row r="1640">
          <cell r="B1640">
            <v>42466</v>
          </cell>
          <cell r="D1640">
            <v>37.484999999999999</v>
          </cell>
          <cell r="E1640">
            <v>34.71</v>
          </cell>
          <cell r="H1640">
            <v>39.92</v>
          </cell>
          <cell r="I1640">
            <v>48.29</v>
          </cell>
          <cell r="BS1640">
            <v>13.579999999999998</v>
          </cell>
        </row>
        <row r="1641">
          <cell r="B1641">
            <v>42467</v>
          </cell>
          <cell r="D1641">
            <v>37.075000000000003</v>
          </cell>
          <cell r="E1641">
            <v>36.25</v>
          </cell>
          <cell r="H1641">
            <v>40.840000000000003</v>
          </cell>
          <cell r="I1641">
            <v>49.23</v>
          </cell>
          <cell r="BS1641">
            <v>12.979999999999997</v>
          </cell>
        </row>
        <row r="1642">
          <cell r="B1642">
            <v>42468</v>
          </cell>
          <cell r="D1642">
            <v>40.515000000000001</v>
          </cell>
          <cell r="E1642">
            <v>36.61</v>
          </cell>
          <cell r="H1642">
            <v>41.15</v>
          </cell>
          <cell r="I1642">
            <v>50.21</v>
          </cell>
          <cell r="BS1642">
            <v>13.600000000000001</v>
          </cell>
        </row>
        <row r="1643">
          <cell r="B1643">
            <v>42471</v>
          </cell>
          <cell r="D1643">
            <v>41.4</v>
          </cell>
          <cell r="E1643">
            <v>37.71</v>
          </cell>
          <cell r="H1643">
            <v>42.04</v>
          </cell>
          <cell r="I1643">
            <v>51.55</v>
          </cell>
          <cell r="BS1643">
            <v>13.839999999999996</v>
          </cell>
        </row>
        <row r="1644">
          <cell r="B1644">
            <v>42472</v>
          </cell>
          <cell r="D1644">
            <v>42.93</v>
          </cell>
          <cell r="E1644">
            <v>39.51</v>
          </cell>
          <cell r="H1644">
            <v>42.77</v>
          </cell>
          <cell r="I1644">
            <v>53.35</v>
          </cell>
          <cell r="BS1644">
            <v>13.840000000000003</v>
          </cell>
        </row>
        <row r="1645">
          <cell r="B1645">
            <v>42473</v>
          </cell>
          <cell r="D1645">
            <v>42.755000000000003</v>
          </cell>
          <cell r="E1645">
            <v>40.15</v>
          </cell>
          <cell r="H1645">
            <v>43.15</v>
          </cell>
          <cell r="I1645">
            <v>52.71</v>
          </cell>
          <cell r="BS1645">
            <v>12.560000000000002</v>
          </cell>
        </row>
        <row r="1646">
          <cell r="B1646">
            <v>42474</v>
          </cell>
          <cell r="D1646">
            <v>42.814999999999998</v>
          </cell>
          <cell r="E1646">
            <v>39.61</v>
          </cell>
          <cell r="H1646">
            <v>42.35</v>
          </cell>
          <cell r="I1646">
            <v>52.42</v>
          </cell>
          <cell r="BS1646">
            <v>12.810000000000002</v>
          </cell>
        </row>
        <row r="1647">
          <cell r="B1647">
            <v>42475</v>
          </cell>
          <cell r="D1647">
            <v>41.49</v>
          </cell>
          <cell r="E1647">
            <v>39.5</v>
          </cell>
          <cell r="H1647">
            <v>42.4</v>
          </cell>
          <cell r="I1647">
            <v>51.05</v>
          </cell>
          <cell r="BS1647">
            <v>11.549999999999997</v>
          </cell>
        </row>
        <row r="1648">
          <cell r="B1648">
            <v>42478</v>
          </cell>
          <cell r="D1648">
            <v>41.604999999999997</v>
          </cell>
          <cell r="E1648">
            <v>37.549999999999997</v>
          </cell>
          <cell r="H1648">
            <v>40.43</v>
          </cell>
          <cell r="I1648">
            <v>48.31</v>
          </cell>
          <cell r="BS1648">
            <v>10.760000000000005</v>
          </cell>
        </row>
        <row r="1649">
          <cell r="B1649">
            <v>42479</v>
          </cell>
          <cell r="D1649">
            <v>42.454999999999998</v>
          </cell>
          <cell r="E1649">
            <v>39.31</v>
          </cell>
          <cell r="H1649">
            <v>42.34</v>
          </cell>
          <cell r="I1649">
            <v>49.37</v>
          </cell>
          <cell r="BS1649">
            <v>10.059999999999995</v>
          </cell>
        </row>
        <row r="1650">
          <cell r="B1650">
            <v>42480</v>
          </cell>
          <cell r="D1650">
            <v>42.82</v>
          </cell>
          <cell r="E1650">
            <v>39.21</v>
          </cell>
          <cell r="H1650">
            <v>42.09</v>
          </cell>
          <cell r="I1650">
            <v>50.19</v>
          </cell>
          <cell r="BS1650">
            <v>10.979999999999997</v>
          </cell>
        </row>
        <row r="1651">
          <cell r="B1651">
            <v>42481</v>
          </cell>
          <cell r="D1651">
            <v>43.19</v>
          </cell>
          <cell r="E1651">
            <v>41.95</v>
          </cell>
          <cell r="H1651">
            <v>43.51</v>
          </cell>
          <cell r="I1651">
            <v>52.47</v>
          </cell>
          <cell r="BS1651">
            <v>10.519999999999996</v>
          </cell>
        </row>
        <row r="1652">
          <cell r="B1652">
            <v>42482</v>
          </cell>
          <cell r="D1652">
            <v>43.814999999999998</v>
          </cell>
          <cell r="E1652">
            <v>41.05</v>
          </cell>
          <cell r="H1652">
            <v>43.57</v>
          </cell>
          <cell r="I1652">
            <v>52.57</v>
          </cell>
          <cell r="BS1652">
            <v>11.520000000000003</v>
          </cell>
        </row>
        <row r="1653">
          <cell r="B1653">
            <v>42485</v>
          </cell>
          <cell r="D1653">
            <v>43.21</v>
          </cell>
          <cell r="E1653">
            <v>40.76</v>
          </cell>
          <cell r="H1653">
            <v>43.57</v>
          </cell>
          <cell r="I1653">
            <v>52.7</v>
          </cell>
          <cell r="BS1653">
            <v>11.940000000000005</v>
          </cell>
        </row>
        <row r="1654">
          <cell r="B1654">
            <v>42486</v>
          </cell>
          <cell r="D1654">
            <v>43.634999999999998</v>
          </cell>
          <cell r="E1654">
            <v>40.85</v>
          </cell>
          <cell r="H1654">
            <v>43.4</v>
          </cell>
          <cell r="I1654">
            <v>53.48</v>
          </cell>
          <cell r="BS1654">
            <v>12.629999999999995</v>
          </cell>
        </row>
        <row r="1655">
          <cell r="B1655">
            <v>42487</v>
          </cell>
          <cell r="D1655">
            <v>44.1</v>
          </cell>
          <cell r="E1655">
            <v>42.6</v>
          </cell>
          <cell r="H1655">
            <v>45.12</v>
          </cell>
          <cell r="I1655">
            <v>55.85</v>
          </cell>
          <cell r="BS1655">
            <v>13.25</v>
          </cell>
        </row>
        <row r="1656">
          <cell r="B1656">
            <v>42488</v>
          </cell>
          <cell r="D1656">
            <v>45.61</v>
          </cell>
          <cell r="E1656">
            <v>43.19</v>
          </cell>
          <cell r="H1656">
            <v>44.19</v>
          </cell>
          <cell r="I1656">
            <v>55.7</v>
          </cell>
          <cell r="BS1656">
            <v>12.510000000000005</v>
          </cell>
        </row>
        <row r="1657">
          <cell r="B1657">
            <v>42489</v>
          </cell>
          <cell r="D1657">
            <v>45.475000000000001</v>
          </cell>
          <cell r="E1657">
            <v>44.25</v>
          </cell>
          <cell r="H1657">
            <v>45.18</v>
          </cell>
          <cell r="I1657">
            <v>56.56</v>
          </cell>
          <cell r="BS1657">
            <v>12.310000000000002</v>
          </cell>
        </row>
        <row r="1658">
          <cell r="B1658">
            <v>42492</v>
          </cell>
          <cell r="D1658" t="str">
            <v/>
          </cell>
          <cell r="E1658" t="str">
            <v/>
          </cell>
          <cell r="H1658">
            <v>0</v>
          </cell>
          <cell r="I1658">
            <v>0</v>
          </cell>
          <cell r="BS1658" t="e">
            <v>#N/A</v>
          </cell>
        </row>
        <row r="1659">
          <cell r="B1659">
            <v>42493</v>
          </cell>
          <cell r="D1659">
            <v>43.17</v>
          </cell>
          <cell r="E1659">
            <v>43</v>
          </cell>
          <cell r="H1659">
            <v>42.96</v>
          </cell>
          <cell r="I1659">
            <v>54.08</v>
          </cell>
          <cell r="BS1659">
            <v>11.079999999999998</v>
          </cell>
        </row>
        <row r="1660">
          <cell r="B1660">
            <v>42494</v>
          </cell>
          <cell r="D1660">
            <v>43.055</v>
          </cell>
          <cell r="E1660">
            <v>41.95</v>
          </cell>
          <cell r="H1660">
            <v>41.96</v>
          </cell>
          <cell r="I1660">
            <v>52.96</v>
          </cell>
          <cell r="BS1660">
            <v>11.009999999999998</v>
          </cell>
        </row>
        <row r="1661">
          <cell r="B1661">
            <v>42495</v>
          </cell>
          <cell r="D1661">
            <v>44.365000000000002</v>
          </cell>
          <cell r="E1661">
            <v>42.5</v>
          </cell>
          <cell r="H1661">
            <v>41.84</v>
          </cell>
          <cell r="I1661">
            <v>53.32</v>
          </cell>
          <cell r="BS1661">
            <v>10.82</v>
          </cell>
        </row>
        <row r="1662">
          <cell r="B1662">
            <v>42496</v>
          </cell>
          <cell r="D1662">
            <v>44.62</v>
          </cell>
          <cell r="E1662">
            <v>41.61</v>
          </cell>
          <cell r="H1662">
            <v>41.12</v>
          </cell>
          <cell r="I1662">
            <v>52.19</v>
          </cell>
          <cell r="BS1662">
            <v>10.579999999999998</v>
          </cell>
        </row>
        <row r="1663">
          <cell r="B1663">
            <v>42499</v>
          </cell>
          <cell r="D1663">
            <v>42.42</v>
          </cell>
          <cell r="E1663">
            <v>42.75</v>
          </cell>
          <cell r="H1663">
            <v>42.32</v>
          </cell>
          <cell r="I1663">
            <v>53.09</v>
          </cell>
          <cell r="BS1663">
            <v>10.340000000000003</v>
          </cell>
        </row>
        <row r="1664">
          <cell r="B1664">
            <v>42500</v>
          </cell>
          <cell r="D1664">
            <v>44.02</v>
          </cell>
          <cell r="E1664">
            <v>41.1</v>
          </cell>
          <cell r="H1664">
            <v>40.81</v>
          </cell>
          <cell r="I1664">
            <v>51.41</v>
          </cell>
          <cell r="BS1664">
            <v>10.309999999999995</v>
          </cell>
        </row>
        <row r="1665">
          <cell r="B1665">
            <v>42501</v>
          </cell>
          <cell r="D1665">
            <v>46.06</v>
          </cell>
          <cell r="E1665">
            <v>42.05</v>
          </cell>
          <cell r="H1665">
            <v>41.72</v>
          </cell>
          <cell r="I1665">
            <v>52.02</v>
          </cell>
          <cell r="BS1665">
            <v>9.970000000000006</v>
          </cell>
        </row>
        <row r="1666">
          <cell r="B1666">
            <v>42502</v>
          </cell>
          <cell r="D1666">
            <v>46.524999999999999</v>
          </cell>
          <cell r="E1666">
            <v>44.51</v>
          </cell>
          <cell r="H1666">
            <v>44.74</v>
          </cell>
          <cell r="I1666">
            <v>55.8</v>
          </cell>
          <cell r="BS1666">
            <v>11.29</v>
          </cell>
        </row>
        <row r="1667">
          <cell r="B1667">
            <v>42503</v>
          </cell>
          <cell r="D1667">
            <v>47.435000000000002</v>
          </cell>
          <cell r="E1667">
            <v>44.3</v>
          </cell>
          <cell r="H1667">
            <v>44.35</v>
          </cell>
          <cell r="I1667">
            <v>55.75</v>
          </cell>
          <cell r="BS1667">
            <v>11.450000000000003</v>
          </cell>
        </row>
        <row r="1668">
          <cell r="B1668">
            <v>42506</v>
          </cell>
          <cell r="D1668">
            <v>48.6</v>
          </cell>
          <cell r="E1668">
            <v>45.2</v>
          </cell>
          <cell r="H1668">
            <v>45.49</v>
          </cell>
          <cell r="I1668">
            <v>57.28</v>
          </cell>
          <cell r="BS1668">
            <v>12.079999999999998</v>
          </cell>
        </row>
        <row r="1669">
          <cell r="B1669">
            <v>42507</v>
          </cell>
          <cell r="D1669">
            <v>48.954999999999998</v>
          </cell>
          <cell r="E1669">
            <v>45.65</v>
          </cell>
          <cell r="H1669">
            <v>46.02</v>
          </cell>
          <cell r="I1669">
            <v>57.69</v>
          </cell>
          <cell r="BS1669">
            <v>12.04</v>
          </cell>
        </row>
        <row r="1670">
          <cell r="B1670">
            <v>42508</v>
          </cell>
          <cell r="D1670">
            <v>49.25</v>
          </cell>
          <cell r="E1670">
            <v>45.66</v>
          </cell>
          <cell r="H1670">
            <v>45.71</v>
          </cell>
          <cell r="I1670">
            <v>58.05</v>
          </cell>
          <cell r="BS1670">
            <v>12.39</v>
          </cell>
        </row>
        <row r="1671">
          <cell r="B1671">
            <v>42509</v>
          </cell>
          <cell r="D1671">
            <v>47.49</v>
          </cell>
          <cell r="E1671">
            <v>44.75</v>
          </cell>
          <cell r="H1671">
            <v>44.62</v>
          </cell>
          <cell r="I1671">
            <v>57</v>
          </cell>
          <cell r="BS1671">
            <v>12.25</v>
          </cell>
        </row>
        <row r="1672">
          <cell r="B1672">
            <v>42510</v>
          </cell>
          <cell r="D1672">
            <v>48.545000000000002</v>
          </cell>
          <cell r="E1672">
            <v>45.84</v>
          </cell>
          <cell r="H1672">
            <v>45.39</v>
          </cell>
          <cell r="I1672">
            <v>57.87</v>
          </cell>
          <cell r="BS1672">
            <v>12.029999999999994</v>
          </cell>
        </row>
        <row r="1673">
          <cell r="B1673">
            <v>42513</v>
          </cell>
          <cell r="D1673">
            <v>47.91</v>
          </cell>
          <cell r="E1673">
            <v>45.02</v>
          </cell>
          <cell r="H1673">
            <v>44.81</v>
          </cell>
          <cell r="I1673">
            <v>57.36</v>
          </cell>
          <cell r="BS1673">
            <v>12.339999999999996</v>
          </cell>
        </row>
        <row r="1674">
          <cell r="B1674">
            <v>42514</v>
          </cell>
          <cell r="D1674">
            <v>48.48</v>
          </cell>
          <cell r="E1674">
            <v>44.62</v>
          </cell>
          <cell r="H1674">
            <v>45</v>
          </cell>
          <cell r="I1674">
            <v>58.66</v>
          </cell>
          <cell r="BS1674">
            <v>14.04</v>
          </cell>
        </row>
        <row r="1675">
          <cell r="B1675">
            <v>42515</v>
          </cell>
          <cell r="D1675">
            <v>48.77</v>
          </cell>
          <cell r="E1675">
            <v>45.94</v>
          </cell>
          <cell r="H1675">
            <v>45.96</v>
          </cell>
          <cell r="I1675">
            <v>59.22</v>
          </cell>
          <cell r="BS1675">
            <v>13.280000000000001</v>
          </cell>
        </row>
        <row r="1676">
          <cell r="B1676">
            <v>42516</v>
          </cell>
          <cell r="D1676">
            <v>49.51</v>
          </cell>
          <cell r="E1676">
            <v>46.34</v>
          </cell>
          <cell r="H1676">
            <v>45.99</v>
          </cell>
          <cell r="I1676">
            <v>59.02</v>
          </cell>
          <cell r="BS1676">
            <v>12.68</v>
          </cell>
        </row>
        <row r="1677">
          <cell r="B1677">
            <v>42517</v>
          </cell>
          <cell r="D1677">
            <v>49.075000000000003</v>
          </cell>
          <cell r="E1677">
            <v>45.5</v>
          </cell>
          <cell r="H1677">
            <v>44.49</v>
          </cell>
          <cell r="I1677">
            <v>57.62</v>
          </cell>
          <cell r="BS1677">
            <v>12.119999999999997</v>
          </cell>
        </row>
        <row r="1678">
          <cell r="B1678">
            <v>42520</v>
          </cell>
          <cell r="D1678" t="str">
            <v/>
          </cell>
          <cell r="E1678">
            <v>45.55</v>
          </cell>
          <cell r="H1678">
            <v>44.51</v>
          </cell>
          <cell r="I1678">
            <v>58.12</v>
          </cell>
          <cell r="BS1678">
            <v>12.57</v>
          </cell>
        </row>
        <row r="1679">
          <cell r="B1679">
            <v>42521</v>
          </cell>
          <cell r="D1679">
            <v>49.25</v>
          </cell>
          <cell r="E1679">
            <v>45.8</v>
          </cell>
          <cell r="H1679">
            <v>44.96</v>
          </cell>
          <cell r="I1679">
            <v>57.96</v>
          </cell>
          <cell r="BS1679">
            <v>12.160000000000004</v>
          </cell>
        </row>
        <row r="1680">
          <cell r="B1680">
            <v>42522</v>
          </cell>
          <cell r="D1680">
            <v>48.145000000000003</v>
          </cell>
          <cell r="E1680">
            <v>45.61</v>
          </cell>
          <cell r="H1680">
            <v>44.25</v>
          </cell>
          <cell r="I1680">
            <v>57.12</v>
          </cell>
          <cell r="BS1680">
            <v>11.509999999999998</v>
          </cell>
        </row>
        <row r="1681">
          <cell r="B1681">
            <v>42523</v>
          </cell>
          <cell r="D1681">
            <v>48.395000000000003</v>
          </cell>
          <cell r="E1681">
            <v>46.16</v>
          </cell>
          <cell r="H1681">
            <v>45.61</v>
          </cell>
          <cell r="I1681">
            <v>58.18</v>
          </cell>
          <cell r="BS1681">
            <v>12.020000000000003</v>
          </cell>
        </row>
        <row r="1682">
          <cell r="B1682">
            <v>42524</v>
          </cell>
          <cell r="D1682">
            <v>48.164999999999999</v>
          </cell>
          <cell r="E1682">
            <v>46.31</v>
          </cell>
          <cell r="H1682">
            <v>45.9</v>
          </cell>
          <cell r="I1682">
            <v>58.09</v>
          </cell>
          <cell r="BS1682">
            <v>11.780000000000001</v>
          </cell>
        </row>
        <row r="1683">
          <cell r="B1683">
            <v>42527</v>
          </cell>
          <cell r="D1683">
            <v>49.01</v>
          </cell>
          <cell r="E1683">
            <v>46.21</v>
          </cell>
          <cell r="H1683">
            <v>45.64</v>
          </cell>
          <cell r="I1683">
            <v>57.68</v>
          </cell>
          <cell r="BS1683">
            <v>11.469999999999999</v>
          </cell>
        </row>
        <row r="1684">
          <cell r="B1684">
            <v>42528</v>
          </cell>
          <cell r="D1684">
            <v>49.685000000000002</v>
          </cell>
          <cell r="E1684">
            <v>47</v>
          </cell>
          <cell r="H1684">
            <v>45.61</v>
          </cell>
          <cell r="I1684">
            <v>56.84</v>
          </cell>
          <cell r="BS1684">
            <v>9.8400000000000034</v>
          </cell>
        </row>
        <row r="1685">
          <cell r="B1685">
            <v>42529</v>
          </cell>
          <cell r="D1685">
            <v>50.715000000000003</v>
          </cell>
          <cell r="E1685">
            <v>48.13</v>
          </cell>
          <cell r="H1685">
            <v>45.86</v>
          </cell>
          <cell r="I1685">
            <v>56.91</v>
          </cell>
          <cell r="BS1685">
            <v>8.779999999999994</v>
          </cell>
        </row>
        <row r="1686">
          <cell r="B1686">
            <v>42530</v>
          </cell>
          <cell r="D1686">
            <v>50.625</v>
          </cell>
          <cell r="E1686">
            <v>48.81</v>
          </cell>
          <cell r="H1686">
            <v>46.77</v>
          </cell>
          <cell r="I1686">
            <v>58.88</v>
          </cell>
          <cell r="BS1686">
            <v>10.07</v>
          </cell>
        </row>
        <row r="1687">
          <cell r="B1687">
            <v>42531</v>
          </cell>
          <cell r="D1687">
            <v>49.615000000000002</v>
          </cell>
          <cell r="E1687">
            <v>47.85</v>
          </cell>
          <cell r="H1687">
            <v>46.19</v>
          </cell>
          <cell r="I1687">
            <v>58.41</v>
          </cell>
          <cell r="BS1687">
            <v>10.559999999999995</v>
          </cell>
        </row>
        <row r="1688">
          <cell r="B1688">
            <v>42534</v>
          </cell>
          <cell r="D1688">
            <v>49.16</v>
          </cell>
          <cell r="E1688">
            <v>46.71</v>
          </cell>
          <cell r="H1688">
            <v>44.83</v>
          </cell>
          <cell r="I1688">
            <v>56.53</v>
          </cell>
          <cell r="BS1688">
            <v>9.82</v>
          </cell>
        </row>
        <row r="1689">
          <cell r="B1689">
            <v>42535</v>
          </cell>
          <cell r="D1689">
            <v>47.94</v>
          </cell>
          <cell r="E1689">
            <v>46.2</v>
          </cell>
          <cell r="H1689">
            <v>44.7</v>
          </cell>
          <cell r="I1689">
            <v>55.52</v>
          </cell>
          <cell r="BS1689">
            <v>9.32</v>
          </cell>
        </row>
        <row r="1690">
          <cell r="B1690">
            <v>42536</v>
          </cell>
          <cell r="D1690">
            <v>47.62</v>
          </cell>
          <cell r="E1690">
            <v>46.01</v>
          </cell>
          <cell r="H1690">
            <v>44.54</v>
          </cell>
          <cell r="I1690">
            <v>54.75</v>
          </cell>
          <cell r="BS1690">
            <v>8.740000000000002</v>
          </cell>
        </row>
        <row r="1691">
          <cell r="B1691">
            <v>42537</v>
          </cell>
          <cell r="D1691">
            <v>45.94</v>
          </cell>
          <cell r="E1691">
            <v>44.8</v>
          </cell>
          <cell r="H1691">
            <v>44.5</v>
          </cell>
          <cell r="I1691">
            <v>54.62</v>
          </cell>
          <cell r="BS1691">
            <v>9.82</v>
          </cell>
        </row>
        <row r="1692">
          <cell r="B1692">
            <v>42538</v>
          </cell>
          <cell r="D1692">
            <v>46.72</v>
          </cell>
          <cell r="E1692">
            <v>44.44</v>
          </cell>
          <cell r="H1692">
            <v>44.25</v>
          </cell>
          <cell r="I1692">
            <v>54.55</v>
          </cell>
          <cell r="BS1692">
            <v>10.11</v>
          </cell>
        </row>
        <row r="1693">
          <cell r="B1693">
            <v>42541</v>
          </cell>
          <cell r="D1693">
            <v>48.8</v>
          </cell>
          <cell r="E1693">
            <v>46.49</v>
          </cell>
          <cell r="H1693">
            <v>46.05</v>
          </cell>
          <cell r="I1693">
            <v>56.55</v>
          </cell>
          <cell r="BS1693">
            <v>10.059999999999995</v>
          </cell>
        </row>
        <row r="1694">
          <cell r="B1694">
            <v>42542</v>
          </cell>
          <cell r="D1694">
            <v>48.32</v>
          </cell>
          <cell r="E1694">
            <v>46.39</v>
          </cell>
          <cell r="H1694">
            <v>46.19</v>
          </cell>
          <cell r="I1694">
            <v>57.4</v>
          </cell>
          <cell r="BS1694">
            <v>11.009999999999998</v>
          </cell>
        </row>
        <row r="1695">
          <cell r="B1695">
            <v>42543</v>
          </cell>
          <cell r="D1695">
            <v>48.465000000000003</v>
          </cell>
          <cell r="E1695">
            <v>47.03</v>
          </cell>
          <cell r="H1695">
            <v>46.72</v>
          </cell>
          <cell r="I1695">
            <v>58.25</v>
          </cell>
          <cell r="BS1695">
            <v>11.219999999999999</v>
          </cell>
        </row>
        <row r="1696">
          <cell r="B1696">
            <v>42544</v>
          </cell>
          <cell r="D1696">
            <v>48.89</v>
          </cell>
          <cell r="E1696">
            <v>46.45</v>
          </cell>
          <cell r="H1696">
            <v>46.09</v>
          </cell>
          <cell r="I1696">
            <v>57.63</v>
          </cell>
          <cell r="BS1696">
            <v>11.18</v>
          </cell>
        </row>
        <row r="1697">
          <cell r="B1697">
            <v>42545</v>
          </cell>
          <cell r="D1697">
            <v>47.48</v>
          </cell>
          <cell r="E1697">
            <v>45.39</v>
          </cell>
          <cell r="H1697">
            <v>45.11</v>
          </cell>
          <cell r="I1697">
            <v>55.95</v>
          </cell>
          <cell r="BS1697">
            <v>10.560000000000002</v>
          </cell>
        </row>
        <row r="1698">
          <cell r="B1698">
            <v>42548</v>
          </cell>
          <cell r="D1698">
            <v>45.87</v>
          </cell>
          <cell r="E1698">
            <v>45.05</v>
          </cell>
          <cell r="H1698">
            <v>44.64</v>
          </cell>
          <cell r="I1698">
            <v>55.39</v>
          </cell>
          <cell r="BS1698">
            <v>10.340000000000003</v>
          </cell>
        </row>
        <row r="1699">
          <cell r="B1699">
            <v>42549</v>
          </cell>
          <cell r="D1699">
            <v>46.58</v>
          </cell>
          <cell r="E1699">
            <v>44.5</v>
          </cell>
          <cell r="H1699">
            <v>44.42</v>
          </cell>
          <cell r="I1699">
            <v>54.23</v>
          </cell>
          <cell r="BS1699">
            <v>9.7299999999999969</v>
          </cell>
        </row>
        <row r="1700">
          <cell r="B1700">
            <v>42550</v>
          </cell>
          <cell r="D1700">
            <v>48.884999999999998</v>
          </cell>
          <cell r="E1700">
            <v>45.69</v>
          </cell>
          <cell r="H1700">
            <v>45.03</v>
          </cell>
          <cell r="I1700">
            <v>54.79</v>
          </cell>
          <cell r="BS1700">
            <v>9.1000000000000014</v>
          </cell>
        </row>
        <row r="1701">
          <cell r="B1701">
            <v>42551</v>
          </cell>
          <cell r="D1701">
            <v>48.44</v>
          </cell>
          <cell r="E1701">
            <v>46.4</v>
          </cell>
          <cell r="H1701">
            <v>45</v>
          </cell>
          <cell r="I1701">
            <v>55.1</v>
          </cell>
          <cell r="BS1701">
            <v>8.7000000000000028</v>
          </cell>
        </row>
        <row r="1702">
          <cell r="B1702">
            <v>42552</v>
          </cell>
          <cell r="D1702">
            <v>48.06</v>
          </cell>
          <cell r="E1702">
            <v>45.2</v>
          </cell>
          <cell r="H1702">
            <v>44.73</v>
          </cell>
          <cell r="I1702">
            <v>53.41</v>
          </cell>
          <cell r="BS1702">
            <v>8.2099999999999937</v>
          </cell>
        </row>
        <row r="1703">
          <cell r="B1703">
            <v>42555</v>
          </cell>
          <cell r="D1703">
            <v>48.01</v>
          </cell>
          <cell r="E1703">
            <v>46.13</v>
          </cell>
          <cell r="H1703">
            <v>45.83</v>
          </cell>
          <cell r="I1703">
            <v>54.62</v>
          </cell>
          <cell r="BS1703">
            <v>8.4899999999999949</v>
          </cell>
        </row>
        <row r="1704">
          <cell r="B1704">
            <v>42556</v>
          </cell>
          <cell r="D1704">
            <v>45.81</v>
          </cell>
          <cell r="E1704">
            <v>44.72</v>
          </cell>
          <cell r="H1704">
            <v>44.33</v>
          </cell>
          <cell r="I1704">
            <v>53.02</v>
          </cell>
          <cell r="BS1704">
            <v>8.3000000000000043</v>
          </cell>
        </row>
        <row r="1705">
          <cell r="B1705">
            <v>42557</v>
          </cell>
          <cell r="D1705">
            <v>45.454999999999998</v>
          </cell>
          <cell r="E1705" t="str">
            <v/>
          </cell>
          <cell r="H1705">
            <v>0</v>
          </cell>
          <cell r="I1705">
            <v>0</v>
          </cell>
          <cell r="BS1705" t="e">
            <v>#N/A</v>
          </cell>
        </row>
        <row r="1706">
          <cell r="B1706">
            <v>42558</v>
          </cell>
          <cell r="D1706">
            <v>45.86</v>
          </cell>
          <cell r="E1706">
            <v>44.7</v>
          </cell>
          <cell r="H1706">
            <v>44.45</v>
          </cell>
          <cell r="I1706">
            <v>51.4</v>
          </cell>
          <cell r="BS1706">
            <v>6.6999999999999957</v>
          </cell>
        </row>
        <row r="1707">
          <cell r="B1707">
            <v>42559</v>
          </cell>
          <cell r="D1707">
            <v>44.615000000000002</v>
          </cell>
          <cell r="E1707">
            <v>42.49</v>
          </cell>
          <cell r="H1707">
            <v>42.36</v>
          </cell>
          <cell r="I1707">
            <v>48.49</v>
          </cell>
          <cell r="BS1707">
            <v>6</v>
          </cell>
        </row>
        <row r="1708">
          <cell r="B1708">
            <v>42562</v>
          </cell>
          <cell r="D1708">
            <v>44.734999999999999</v>
          </cell>
          <cell r="E1708">
            <v>41.95</v>
          </cell>
          <cell r="H1708">
            <v>41.84</v>
          </cell>
          <cell r="I1708">
            <v>47.84</v>
          </cell>
          <cell r="BS1708">
            <v>5.8900000000000006</v>
          </cell>
        </row>
        <row r="1709">
          <cell r="B1709">
            <v>42563</v>
          </cell>
          <cell r="D1709">
            <v>46.09</v>
          </cell>
          <cell r="E1709">
            <v>42.73</v>
          </cell>
          <cell r="H1709">
            <v>42.27</v>
          </cell>
          <cell r="I1709">
            <v>49.83</v>
          </cell>
          <cell r="BS1709">
            <v>7.1000000000000014</v>
          </cell>
        </row>
        <row r="1710">
          <cell r="B1710">
            <v>42564</v>
          </cell>
          <cell r="D1710">
            <v>44.78</v>
          </cell>
          <cell r="E1710">
            <v>43.35</v>
          </cell>
          <cell r="H1710">
            <v>42.43</v>
          </cell>
          <cell r="I1710">
            <v>49.77</v>
          </cell>
          <cell r="BS1710">
            <v>6.4200000000000017</v>
          </cell>
        </row>
        <row r="1711">
          <cell r="B1711">
            <v>42565</v>
          </cell>
          <cell r="D1711">
            <v>46.11</v>
          </cell>
          <cell r="E1711">
            <v>42.33</v>
          </cell>
          <cell r="H1711">
            <v>41.46</v>
          </cell>
          <cell r="I1711">
            <v>49.65</v>
          </cell>
          <cell r="BS1711">
            <v>7.32</v>
          </cell>
        </row>
        <row r="1712">
          <cell r="B1712">
            <v>42566</v>
          </cell>
          <cell r="D1712">
            <v>46.55</v>
          </cell>
          <cell r="E1712">
            <v>42.6</v>
          </cell>
          <cell r="H1712">
            <v>41.93</v>
          </cell>
          <cell r="I1712">
            <v>50.53</v>
          </cell>
          <cell r="BS1712">
            <v>7.93</v>
          </cell>
        </row>
        <row r="1713">
          <cell r="B1713">
            <v>42569</v>
          </cell>
          <cell r="D1713">
            <v>45.71</v>
          </cell>
          <cell r="E1713">
            <v>43.37</v>
          </cell>
          <cell r="H1713">
            <v>42.91</v>
          </cell>
          <cell r="I1713">
            <v>51.22</v>
          </cell>
          <cell r="BS1713">
            <v>7.8500000000000014</v>
          </cell>
        </row>
        <row r="1714">
          <cell r="B1714">
            <v>42570</v>
          </cell>
          <cell r="D1714">
            <v>45.75</v>
          </cell>
          <cell r="E1714">
            <v>42.24</v>
          </cell>
          <cell r="H1714">
            <v>41.91</v>
          </cell>
          <cell r="I1714">
            <v>49.66</v>
          </cell>
          <cell r="BS1714">
            <v>7.4199999999999946</v>
          </cell>
        </row>
        <row r="1715">
          <cell r="B1715">
            <v>42571</v>
          </cell>
          <cell r="D1715">
            <v>45.98</v>
          </cell>
          <cell r="E1715">
            <v>42.25</v>
          </cell>
          <cell r="H1715">
            <v>41.63</v>
          </cell>
          <cell r="I1715">
            <v>48.57</v>
          </cell>
          <cell r="BS1715">
            <v>6.32</v>
          </cell>
        </row>
        <row r="1716">
          <cell r="B1716">
            <v>42572</v>
          </cell>
          <cell r="D1716">
            <v>45.585000000000001</v>
          </cell>
          <cell r="E1716">
            <v>42.8</v>
          </cell>
          <cell r="H1716">
            <v>41.73</v>
          </cell>
          <cell r="I1716">
            <v>49.26</v>
          </cell>
          <cell r="BS1716">
            <v>6.4600000000000009</v>
          </cell>
        </row>
        <row r="1717">
          <cell r="B1717">
            <v>42573</v>
          </cell>
          <cell r="D1717">
            <v>44.14</v>
          </cell>
          <cell r="E1717">
            <v>41.55</v>
          </cell>
          <cell r="H1717">
            <v>40.06</v>
          </cell>
          <cell r="I1717">
            <v>48.36</v>
          </cell>
          <cell r="BS1717">
            <v>6.8100000000000023</v>
          </cell>
        </row>
        <row r="1718">
          <cell r="B1718">
            <v>42576</v>
          </cell>
          <cell r="D1718">
            <v>43.765000000000001</v>
          </cell>
          <cell r="E1718">
            <v>41.28</v>
          </cell>
          <cell r="H1718">
            <v>40.479999999999997</v>
          </cell>
          <cell r="I1718">
            <v>48.34</v>
          </cell>
          <cell r="BS1718">
            <v>7.0600000000000023</v>
          </cell>
        </row>
        <row r="1719">
          <cell r="B1719">
            <v>42577</v>
          </cell>
          <cell r="D1719">
            <v>43.63</v>
          </cell>
          <cell r="E1719">
            <v>40.4</v>
          </cell>
          <cell r="H1719">
            <v>39.35</v>
          </cell>
          <cell r="I1719">
            <v>46.83</v>
          </cell>
          <cell r="BS1719">
            <v>6.43</v>
          </cell>
        </row>
        <row r="1720">
          <cell r="B1720">
            <v>42578</v>
          </cell>
          <cell r="D1720">
            <v>42.984999999999999</v>
          </cell>
          <cell r="E1720">
            <v>40.6</v>
          </cell>
          <cell r="H1720">
            <v>38.44</v>
          </cell>
          <cell r="I1720">
            <v>47.56</v>
          </cell>
          <cell r="BS1720">
            <v>6.9600000000000009</v>
          </cell>
        </row>
        <row r="1721">
          <cell r="B1721">
            <v>42579</v>
          </cell>
          <cell r="D1721">
            <v>41.89</v>
          </cell>
          <cell r="E1721">
            <v>39.9</v>
          </cell>
          <cell r="H1721">
            <v>37.67</v>
          </cell>
          <cell r="I1721">
            <v>46.29</v>
          </cell>
          <cell r="BS1721">
            <v>6.3900000000000006</v>
          </cell>
        </row>
        <row r="1722">
          <cell r="B1722">
            <v>42580</v>
          </cell>
          <cell r="D1722">
            <v>41.62</v>
          </cell>
          <cell r="E1722">
            <v>38.700000000000003</v>
          </cell>
          <cell r="H1722">
            <v>36.81</v>
          </cell>
          <cell r="I1722">
            <v>44.78</v>
          </cell>
          <cell r="BS1722">
            <v>6.0799999999999983</v>
          </cell>
        </row>
        <row r="1723">
          <cell r="B1723">
            <v>42583</v>
          </cell>
          <cell r="D1723">
            <v>40.26</v>
          </cell>
          <cell r="E1723">
            <v>40.11</v>
          </cell>
          <cell r="H1723">
            <v>37.39</v>
          </cell>
          <cell r="I1723">
            <v>46.07</v>
          </cell>
          <cell r="BS1723">
            <v>5.9600000000000009</v>
          </cell>
        </row>
        <row r="1724">
          <cell r="B1724">
            <v>42584</v>
          </cell>
          <cell r="D1724">
            <v>40.295000000000002</v>
          </cell>
          <cell r="E1724">
            <v>38.909999999999997</v>
          </cell>
          <cell r="H1724">
            <v>36.33</v>
          </cell>
          <cell r="I1724">
            <v>45.75</v>
          </cell>
          <cell r="BS1724">
            <v>6.8400000000000034</v>
          </cell>
        </row>
        <row r="1725">
          <cell r="B1725">
            <v>42585</v>
          </cell>
          <cell r="D1725">
            <v>40.715000000000003</v>
          </cell>
          <cell r="E1725">
            <v>38.6</v>
          </cell>
          <cell r="H1725">
            <v>36.11</v>
          </cell>
          <cell r="I1725">
            <v>45.41</v>
          </cell>
          <cell r="BS1725">
            <v>6.8099999999999952</v>
          </cell>
        </row>
        <row r="1726">
          <cell r="B1726">
            <v>42586</v>
          </cell>
          <cell r="D1726">
            <v>41.69</v>
          </cell>
          <cell r="E1726">
            <v>40.01</v>
          </cell>
          <cell r="H1726">
            <v>37.39</v>
          </cell>
          <cell r="I1726">
            <v>47.16</v>
          </cell>
          <cell r="BS1726">
            <v>7.1499999999999986</v>
          </cell>
        </row>
        <row r="1727">
          <cell r="B1727">
            <v>42587</v>
          </cell>
          <cell r="D1727">
            <v>42.01</v>
          </cell>
          <cell r="E1727">
            <v>40.76</v>
          </cell>
          <cell r="H1727">
            <v>36.72</v>
          </cell>
          <cell r="I1727">
            <v>47.81</v>
          </cell>
          <cell r="BS1727">
            <v>7.0500000000000043</v>
          </cell>
        </row>
        <row r="1728">
          <cell r="B1728">
            <v>42590</v>
          </cell>
          <cell r="D1728">
            <v>43.63</v>
          </cell>
          <cell r="E1728">
            <v>41.61</v>
          </cell>
          <cell r="H1728">
            <v>37.47</v>
          </cell>
          <cell r="I1728">
            <v>48.53</v>
          </cell>
          <cell r="BS1728">
            <v>6.9200000000000017</v>
          </cell>
        </row>
        <row r="1729">
          <cell r="B1729">
            <v>42591</v>
          </cell>
          <cell r="D1729">
            <v>43.655000000000001</v>
          </cell>
          <cell r="E1729" t="str">
            <v/>
          </cell>
          <cell r="H1729">
            <v>0</v>
          </cell>
          <cell r="I1729">
            <v>0</v>
          </cell>
          <cell r="BS1729" t="e">
            <v>#N/A</v>
          </cell>
        </row>
        <row r="1730">
          <cell r="B1730">
            <v>42592</v>
          </cell>
          <cell r="D1730">
            <v>42.69</v>
          </cell>
          <cell r="E1730">
            <v>41.36</v>
          </cell>
          <cell r="H1730">
            <v>37.15</v>
          </cell>
          <cell r="I1730">
            <v>48.16</v>
          </cell>
          <cell r="BS1730">
            <v>6.7999999999999972</v>
          </cell>
        </row>
        <row r="1731">
          <cell r="B1731">
            <v>42593</v>
          </cell>
          <cell r="D1731">
            <v>44.36</v>
          </cell>
          <cell r="E1731">
            <v>40.51</v>
          </cell>
          <cell r="H1731">
            <v>36.869999999999997</v>
          </cell>
          <cell r="I1731">
            <v>46.72</v>
          </cell>
          <cell r="BS1731">
            <v>6.2100000000000009</v>
          </cell>
        </row>
        <row r="1732">
          <cell r="B1732">
            <v>42594</v>
          </cell>
          <cell r="D1732">
            <v>45.484999999999999</v>
          </cell>
          <cell r="E1732">
            <v>42.91</v>
          </cell>
          <cell r="H1732">
            <v>38.54</v>
          </cell>
          <cell r="I1732">
            <v>50.3</v>
          </cell>
          <cell r="BS1732">
            <v>7.3900000000000006</v>
          </cell>
        </row>
        <row r="1733">
          <cell r="B1733">
            <v>42597</v>
          </cell>
          <cell r="D1733">
            <v>47.24</v>
          </cell>
          <cell r="E1733">
            <v>44.4</v>
          </cell>
          <cell r="H1733">
            <v>39.119999999999997</v>
          </cell>
          <cell r="I1733">
            <v>51.53</v>
          </cell>
          <cell r="BS1733">
            <v>7.1300000000000026</v>
          </cell>
        </row>
        <row r="1734">
          <cell r="B1734">
            <v>42598</v>
          </cell>
          <cell r="D1734">
            <v>48.284999999999997</v>
          </cell>
          <cell r="E1734">
            <v>45.76</v>
          </cell>
          <cell r="H1734">
            <v>40.26</v>
          </cell>
          <cell r="I1734">
            <v>53.08</v>
          </cell>
          <cell r="BS1734">
            <v>7.32</v>
          </cell>
        </row>
        <row r="1735">
          <cell r="B1735">
            <v>42599</v>
          </cell>
          <cell r="D1735">
            <v>48.674999999999997</v>
          </cell>
          <cell r="E1735">
            <v>45.91</v>
          </cell>
          <cell r="H1735">
            <v>40.54</v>
          </cell>
          <cell r="I1735">
            <v>52.9</v>
          </cell>
          <cell r="BS1735">
            <v>6.990000000000002</v>
          </cell>
        </row>
        <row r="1736">
          <cell r="B1736">
            <v>42600</v>
          </cell>
          <cell r="D1736">
            <v>49.77</v>
          </cell>
          <cell r="E1736">
            <v>46.7</v>
          </cell>
          <cell r="H1736">
            <v>42.74</v>
          </cell>
          <cell r="I1736">
            <v>54.75</v>
          </cell>
          <cell r="BS1736">
            <v>8.0499999999999972</v>
          </cell>
        </row>
        <row r="1737">
          <cell r="B1737">
            <v>42601</v>
          </cell>
          <cell r="D1737">
            <v>49.7</v>
          </cell>
          <cell r="E1737">
            <v>47.21</v>
          </cell>
          <cell r="H1737">
            <v>42.95</v>
          </cell>
          <cell r="I1737">
            <v>55.02</v>
          </cell>
          <cell r="BS1737">
            <v>7.8100000000000023</v>
          </cell>
        </row>
        <row r="1738">
          <cell r="B1738">
            <v>42604</v>
          </cell>
          <cell r="D1738">
            <v>48.55</v>
          </cell>
          <cell r="E1738">
            <v>46.75</v>
          </cell>
          <cell r="H1738">
            <v>42.74</v>
          </cell>
          <cell r="I1738">
            <v>54.89</v>
          </cell>
          <cell r="BS1738">
            <v>8.14</v>
          </cell>
        </row>
        <row r="1739">
          <cell r="B1739">
            <v>42605</v>
          </cell>
          <cell r="D1739">
            <v>49.24</v>
          </cell>
          <cell r="E1739">
            <v>45.4</v>
          </cell>
          <cell r="H1739">
            <v>42.13</v>
          </cell>
          <cell r="I1739">
            <v>53.65</v>
          </cell>
          <cell r="BS1739">
            <v>8.25</v>
          </cell>
        </row>
        <row r="1740">
          <cell r="B1740">
            <v>42606</v>
          </cell>
          <cell r="D1740">
            <v>48.11</v>
          </cell>
          <cell r="E1740">
            <v>45.95</v>
          </cell>
          <cell r="H1740">
            <v>42.35</v>
          </cell>
          <cell r="I1740">
            <v>54.35</v>
          </cell>
          <cell r="BS1740">
            <v>8.3999999999999986</v>
          </cell>
        </row>
        <row r="1741">
          <cell r="B1741">
            <v>42607</v>
          </cell>
          <cell r="D1741">
            <v>49.125</v>
          </cell>
          <cell r="E1741">
            <v>45.61</v>
          </cell>
          <cell r="H1741">
            <v>42.06</v>
          </cell>
          <cell r="I1741">
            <v>54.85</v>
          </cell>
          <cell r="BS1741">
            <v>9.240000000000002</v>
          </cell>
        </row>
        <row r="1742">
          <cell r="B1742">
            <v>42608</v>
          </cell>
          <cell r="D1742">
            <v>49.54</v>
          </cell>
          <cell r="E1742">
            <v>46.11</v>
          </cell>
          <cell r="H1742">
            <v>42.95</v>
          </cell>
          <cell r="I1742">
            <v>56.25</v>
          </cell>
          <cell r="BS1742">
            <v>10.14</v>
          </cell>
        </row>
        <row r="1743">
          <cell r="B1743">
            <v>42611</v>
          </cell>
          <cell r="D1743" t="str">
            <v/>
          </cell>
          <cell r="E1743">
            <v>45.86</v>
          </cell>
          <cell r="H1743">
            <v>42.11</v>
          </cell>
          <cell r="I1743">
            <v>56.89</v>
          </cell>
          <cell r="BS1743">
            <v>11.030000000000001</v>
          </cell>
        </row>
        <row r="1744">
          <cell r="B1744">
            <v>42612</v>
          </cell>
          <cell r="D1744">
            <v>47.68</v>
          </cell>
          <cell r="E1744">
            <v>46.2</v>
          </cell>
          <cell r="H1744">
            <v>42.49</v>
          </cell>
          <cell r="I1744">
            <v>56.25</v>
          </cell>
          <cell r="BS1744">
            <v>10.049999999999997</v>
          </cell>
        </row>
        <row r="1745">
          <cell r="B1745">
            <v>42613</v>
          </cell>
          <cell r="D1745">
            <v>46.27</v>
          </cell>
          <cell r="E1745">
            <v>44.81</v>
          </cell>
          <cell r="H1745">
            <v>40.46</v>
          </cell>
          <cell r="I1745">
            <v>54.3</v>
          </cell>
          <cell r="BS1745">
            <v>9.4899999999999949</v>
          </cell>
        </row>
        <row r="1746">
          <cell r="B1746">
            <v>42614</v>
          </cell>
          <cell r="D1746">
            <v>44.905000000000001</v>
          </cell>
          <cell r="E1746">
            <v>42.99</v>
          </cell>
          <cell r="H1746">
            <v>39.51</v>
          </cell>
          <cell r="I1746">
            <v>53.7</v>
          </cell>
          <cell r="BS1746">
            <v>10.71</v>
          </cell>
        </row>
        <row r="1747">
          <cell r="B1747">
            <v>42615</v>
          </cell>
          <cell r="D1747">
            <v>45.84</v>
          </cell>
          <cell r="E1747">
            <v>41.7</v>
          </cell>
          <cell r="H1747">
            <v>39.43</v>
          </cell>
          <cell r="I1747">
            <v>52.36</v>
          </cell>
          <cell r="BS1747">
            <v>10.659999999999997</v>
          </cell>
        </row>
        <row r="1748">
          <cell r="B1748">
            <v>42618</v>
          </cell>
          <cell r="D1748">
            <v>46.784999999999997</v>
          </cell>
          <cell r="E1748">
            <v>44.41</v>
          </cell>
          <cell r="H1748">
            <v>42.09</v>
          </cell>
          <cell r="I1748">
            <v>54.95</v>
          </cell>
          <cell r="BS1748">
            <v>10.540000000000006</v>
          </cell>
        </row>
        <row r="1749">
          <cell r="B1749">
            <v>42619</v>
          </cell>
          <cell r="D1749">
            <v>46.204999999999998</v>
          </cell>
          <cell r="E1749">
            <v>43.41</v>
          </cell>
          <cell r="H1749">
            <v>41.3</v>
          </cell>
          <cell r="I1749">
            <v>53.92</v>
          </cell>
          <cell r="BS1749">
            <v>10.510000000000005</v>
          </cell>
        </row>
        <row r="1750">
          <cell r="B1750">
            <v>42620</v>
          </cell>
          <cell r="D1750">
            <v>46.8</v>
          </cell>
          <cell r="E1750">
            <v>43.71</v>
          </cell>
          <cell r="H1750">
            <v>42.03</v>
          </cell>
          <cell r="I1750">
            <v>54.64</v>
          </cell>
          <cell r="BS1750">
            <v>10.93</v>
          </cell>
        </row>
        <row r="1751">
          <cell r="B1751">
            <v>42621</v>
          </cell>
          <cell r="D1751">
            <v>49.32</v>
          </cell>
          <cell r="E1751">
            <v>44.81</v>
          </cell>
          <cell r="H1751">
            <v>43.14</v>
          </cell>
          <cell r="I1751">
            <v>57.1</v>
          </cell>
          <cell r="BS1751">
            <v>12.29</v>
          </cell>
        </row>
        <row r="1752">
          <cell r="B1752">
            <v>42622</v>
          </cell>
          <cell r="D1752">
            <v>48.295000000000002</v>
          </cell>
          <cell r="E1752">
            <v>45.44</v>
          </cell>
          <cell r="H1752">
            <v>43.58</v>
          </cell>
          <cell r="I1752">
            <v>57.76</v>
          </cell>
          <cell r="BS1752">
            <v>12.32</v>
          </cell>
        </row>
        <row r="1753">
          <cell r="B1753">
            <v>42625</v>
          </cell>
          <cell r="D1753">
            <v>47.91</v>
          </cell>
          <cell r="E1753" t="str">
            <v/>
          </cell>
          <cell r="H1753">
            <v>0</v>
          </cell>
          <cell r="I1753">
            <v>0</v>
          </cell>
          <cell r="BS1753" t="e">
            <v>#N/A</v>
          </cell>
        </row>
        <row r="1754">
          <cell r="B1754">
            <v>42626</v>
          </cell>
          <cell r="D1754">
            <v>46.57</v>
          </cell>
          <cell r="E1754">
            <v>43.66</v>
          </cell>
          <cell r="H1754">
            <v>41.94</v>
          </cell>
          <cell r="I1754">
            <v>55.61</v>
          </cell>
          <cell r="BS1754">
            <v>11.950000000000003</v>
          </cell>
        </row>
        <row r="1755">
          <cell r="B1755">
            <v>42627</v>
          </cell>
          <cell r="D1755">
            <v>45.935000000000002</v>
          </cell>
          <cell r="E1755">
            <v>43.61</v>
          </cell>
          <cell r="H1755">
            <v>41.67</v>
          </cell>
          <cell r="I1755">
            <v>55.31</v>
          </cell>
          <cell r="BS1755">
            <v>11.700000000000003</v>
          </cell>
        </row>
        <row r="1756">
          <cell r="B1756">
            <v>42628</v>
          </cell>
          <cell r="D1756">
            <v>46.295000000000002</v>
          </cell>
          <cell r="E1756">
            <v>41.95</v>
          </cell>
          <cell r="H1756">
            <v>40.94</v>
          </cell>
          <cell r="I1756">
            <v>54.67</v>
          </cell>
          <cell r="BS1756">
            <v>12.719999999999999</v>
          </cell>
        </row>
        <row r="1757">
          <cell r="B1757">
            <v>42629</v>
          </cell>
          <cell r="D1757">
            <v>45.805</v>
          </cell>
          <cell r="E1757">
            <v>42.29</v>
          </cell>
          <cell r="H1757">
            <v>42.11</v>
          </cell>
          <cell r="I1757">
            <v>55.71</v>
          </cell>
          <cell r="BS1757">
            <v>13.420000000000002</v>
          </cell>
        </row>
        <row r="1758">
          <cell r="B1758">
            <v>42632</v>
          </cell>
          <cell r="D1758">
            <v>46.564999999999998</v>
          </cell>
          <cell r="E1758">
            <v>42.45</v>
          </cell>
          <cell r="H1758">
            <v>42.67</v>
          </cell>
          <cell r="I1758">
            <v>55.8</v>
          </cell>
          <cell r="BS1758">
            <v>13.349999999999994</v>
          </cell>
        </row>
        <row r="1759">
          <cell r="B1759">
            <v>42633</v>
          </cell>
          <cell r="D1759">
            <v>45.64</v>
          </cell>
          <cell r="E1759">
            <v>42.01</v>
          </cell>
          <cell r="H1759">
            <v>41.82</v>
          </cell>
          <cell r="I1759">
            <v>54.28</v>
          </cell>
          <cell r="BS1759">
            <v>12.270000000000003</v>
          </cell>
        </row>
        <row r="1760">
          <cell r="B1760">
            <v>42634</v>
          </cell>
          <cell r="D1760">
            <v>46.545000000000002</v>
          </cell>
          <cell r="E1760">
            <v>43.06</v>
          </cell>
          <cell r="H1760">
            <v>43.58</v>
          </cell>
          <cell r="I1760">
            <v>55.86</v>
          </cell>
          <cell r="BS1760">
            <v>12.799999999999997</v>
          </cell>
        </row>
        <row r="1761">
          <cell r="B1761">
            <v>42635</v>
          </cell>
          <cell r="D1761">
            <v>47.284999999999997</v>
          </cell>
          <cell r="E1761">
            <v>43.61</v>
          </cell>
          <cell r="H1761">
            <v>44.58</v>
          </cell>
          <cell r="I1761">
            <v>56.31</v>
          </cell>
          <cell r="BS1761">
            <v>12.700000000000003</v>
          </cell>
        </row>
        <row r="1762">
          <cell r="B1762">
            <v>42636</v>
          </cell>
          <cell r="D1762">
            <v>46.86</v>
          </cell>
          <cell r="E1762">
            <v>43.45</v>
          </cell>
          <cell r="H1762">
            <v>44.19</v>
          </cell>
          <cell r="I1762">
            <v>55.95</v>
          </cell>
          <cell r="BS1762">
            <v>12.5</v>
          </cell>
        </row>
        <row r="1763">
          <cell r="B1763">
            <v>42639</v>
          </cell>
          <cell r="D1763">
            <v>46.61</v>
          </cell>
          <cell r="E1763">
            <v>42.2</v>
          </cell>
          <cell r="H1763">
            <v>43.19</v>
          </cell>
          <cell r="I1763">
            <v>54.5</v>
          </cell>
          <cell r="BS1763">
            <v>12.299999999999997</v>
          </cell>
        </row>
        <row r="1764">
          <cell r="B1764">
            <v>42640</v>
          </cell>
          <cell r="D1764">
            <v>44.884999999999998</v>
          </cell>
          <cell r="E1764">
            <v>43.05</v>
          </cell>
          <cell r="H1764">
            <v>43.63</v>
          </cell>
          <cell r="I1764">
            <v>55.6</v>
          </cell>
          <cell r="BS1764">
            <v>12.550000000000004</v>
          </cell>
        </row>
        <row r="1765">
          <cell r="B1765">
            <v>42641</v>
          </cell>
          <cell r="D1765">
            <v>45.2</v>
          </cell>
          <cell r="E1765">
            <v>42.4</v>
          </cell>
          <cell r="H1765">
            <v>42.17</v>
          </cell>
          <cell r="I1765">
            <v>55.5</v>
          </cell>
          <cell r="BS1765">
            <v>13.100000000000001</v>
          </cell>
        </row>
        <row r="1766">
          <cell r="B1766">
            <v>42642</v>
          </cell>
          <cell r="D1766">
            <v>48.354999999999997</v>
          </cell>
          <cell r="E1766">
            <v>44.61</v>
          </cell>
          <cell r="H1766">
            <v>43.75</v>
          </cell>
          <cell r="I1766">
            <v>57.45</v>
          </cell>
          <cell r="BS1766">
            <v>12.840000000000003</v>
          </cell>
        </row>
        <row r="1767">
          <cell r="B1767">
            <v>42643</v>
          </cell>
          <cell r="D1767">
            <v>48.115000000000002</v>
          </cell>
          <cell r="E1767">
            <v>45.1</v>
          </cell>
          <cell r="H1767">
            <v>42.98</v>
          </cell>
          <cell r="I1767">
            <v>57.12</v>
          </cell>
          <cell r="BS1767">
            <v>12.019999999999996</v>
          </cell>
        </row>
        <row r="1768">
          <cell r="B1768">
            <v>42646</v>
          </cell>
          <cell r="D1768">
            <v>48.17</v>
          </cell>
          <cell r="E1768">
            <v>47.95</v>
          </cell>
          <cell r="H1768">
            <v>44.58</v>
          </cell>
          <cell r="I1768">
            <v>57.55</v>
          </cell>
          <cell r="BS1768">
            <v>9.5999999999999943</v>
          </cell>
        </row>
        <row r="1769">
          <cell r="B1769">
            <v>42647</v>
          </cell>
          <cell r="D1769">
            <v>49.04</v>
          </cell>
          <cell r="E1769">
            <v>47.9</v>
          </cell>
          <cell r="H1769">
            <v>44.51</v>
          </cell>
          <cell r="I1769">
            <v>57.83</v>
          </cell>
          <cell r="BS1769">
            <v>9.93</v>
          </cell>
        </row>
        <row r="1770">
          <cell r="B1770">
            <v>42648</v>
          </cell>
          <cell r="D1770">
            <v>49.755000000000003</v>
          </cell>
          <cell r="E1770">
            <v>48.8</v>
          </cell>
          <cell r="H1770">
            <v>46.04</v>
          </cell>
          <cell r="I1770">
            <v>59.54</v>
          </cell>
          <cell r="BS1770">
            <v>10.740000000000002</v>
          </cell>
        </row>
        <row r="1771">
          <cell r="B1771">
            <v>42649</v>
          </cell>
          <cell r="D1771">
            <v>50.225000000000001</v>
          </cell>
          <cell r="E1771">
            <v>48.8</v>
          </cell>
          <cell r="H1771">
            <v>46.29</v>
          </cell>
          <cell r="I1771">
            <v>58.5</v>
          </cell>
          <cell r="BS1771">
            <v>9.7000000000000028</v>
          </cell>
        </row>
        <row r="1772">
          <cell r="B1772">
            <v>42650</v>
          </cell>
          <cell r="D1772">
            <v>50.295000000000002</v>
          </cell>
          <cell r="E1772">
            <v>49.99</v>
          </cell>
          <cell r="H1772">
            <v>47.67</v>
          </cell>
          <cell r="I1772">
            <v>59.86</v>
          </cell>
          <cell r="BS1772">
            <v>9.8699999999999974</v>
          </cell>
        </row>
        <row r="1773">
          <cell r="B1773">
            <v>42653</v>
          </cell>
          <cell r="D1773">
            <v>51.37</v>
          </cell>
          <cell r="E1773">
            <v>48.9</v>
          </cell>
          <cell r="H1773">
            <v>46.48</v>
          </cell>
          <cell r="I1773">
            <v>59.1</v>
          </cell>
          <cell r="BS1773">
            <v>10.200000000000003</v>
          </cell>
        </row>
        <row r="1774">
          <cell r="B1774">
            <v>42654</v>
          </cell>
          <cell r="D1774">
            <v>50.454999999999998</v>
          </cell>
          <cell r="E1774">
            <v>49.99</v>
          </cell>
          <cell r="H1774">
            <v>47.2</v>
          </cell>
          <cell r="I1774">
            <v>60.11</v>
          </cell>
          <cell r="BS1774">
            <v>10.119999999999997</v>
          </cell>
        </row>
        <row r="1775">
          <cell r="B1775">
            <v>42655</v>
          </cell>
          <cell r="D1775">
            <v>49.79</v>
          </cell>
          <cell r="E1775">
            <v>50.03</v>
          </cell>
          <cell r="H1775">
            <v>47.05</v>
          </cell>
          <cell r="I1775">
            <v>60.44</v>
          </cell>
          <cell r="BS1775">
            <v>10.409999999999997</v>
          </cell>
        </row>
        <row r="1776">
          <cell r="B1776">
            <v>42656</v>
          </cell>
          <cell r="D1776">
            <v>49.78</v>
          </cell>
          <cell r="E1776">
            <v>49.11</v>
          </cell>
          <cell r="H1776">
            <v>46.16</v>
          </cell>
          <cell r="I1776">
            <v>59.54</v>
          </cell>
          <cell r="BS1776">
            <v>10.43</v>
          </cell>
        </row>
        <row r="1777">
          <cell r="B1777">
            <v>42657</v>
          </cell>
          <cell r="D1777">
            <v>49.784999999999997</v>
          </cell>
          <cell r="E1777">
            <v>49.87</v>
          </cell>
          <cell r="H1777">
            <v>47.83</v>
          </cell>
          <cell r="I1777">
            <v>60.66</v>
          </cell>
          <cell r="BS1777">
            <v>10.79</v>
          </cell>
        </row>
        <row r="1778">
          <cell r="B1778">
            <v>42660</v>
          </cell>
          <cell r="D1778">
            <v>49.984999999999999</v>
          </cell>
          <cell r="E1778">
            <v>49.195</v>
          </cell>
          <cell r="H1778">
            <v>47.58</v>
          </cell>
          <cell r="I1778">
            <v>60.21</v>
          </cell>
          <cell r="BS1778">
            <v>11.015000000000001</v>
          </cell>
        </row>
        <row r="1779">
          <cell r="B1779">
            <v>42661</v>
          </cell>
          <cell r="D1779">
            <v>50.085000000000001</v>
          </cell>
          <cell r="E1779">
            <v>49.3</v>
          </cell>
          <cell r="H1779">
            <v>47.99</v>
          </cell>
          <cell r="I1779">
            <v>60.64</v>
          </cell>
          <cell r="BS1779">
            <v>11.340000000000003</v>
          </cell>
        </row>
        <row r="1780">
          <cell r="B1780">
            <v>42662</v>
          </cell>
          <cell r="D1780">
            <v>51.615000000000002</v>
          </cell>
          <cell r="E1780">
            <v>49.7</v>
          </cell>
          <cell r="H1780">
            <v>48.5</v>
          </cell>
          <cell r="I1780">
            <v>61.34</v>
          </cell>
          <cell r="BS1780">
            <v>11.64</v>
          </cell>
        </row>
        <row r="1781">
          <cell r="B1781">
            <v>42663</v>
          </cell>
          <cell r="D1781">
            <v>50.064999999999998</v>
          </cell>
          <cell r="E1781">
            <v>49.7</v>
          </cell>
          <cell r="H1781">
            <v>48.49</v>
          </cell>
          <cell r="I1781">
            <v>61.15</v>
          </cell>
          <cell r="BS1781">
            <v>11.449999999999996</v>
          </cell>
        </row>
        <row r="1782">
          <cell r="B1782">
            <v>42664</v>
          </cell>
          <cell r="D1782">
            <v>50.234999999999999</v>
          </cell>
          <cell r="E1782">
            <v>48.9</v>
          </cell>
          <cell r="H1782">
            <v>49.13</v>
          </cell>
          <cell r="I1782">
            <v>60.75</v>
          </cell>
          <cell r="BS1782">
            <v>11.850000000000001</v>
          </cell>
        </row>
        <row r="1783">
          <cell r="B1783">
            <v>42667</v>
          </cell>
          <cell r="D1783">
            <v>49.56</v>
          </cell>
          <cell r="E1783">
            <v>49.45</v>
          </cell>
          <cell r="H1783">
            <v>49.78</v>
          </cell>
          <cell r="I1783">
            <v>61.94</v>
          </cell>
          <cell r="BS1783">
            <v>12.489999999999995</v>
          </cell>
        </row>
        <row r="1784">
          <cell r="B1784">
            <v>42668</v>
          </cell>
          <cell r="D1784">
            <v>49.075000000000003</v>
          </cell>
          <cell r="E1784">
            <v>49.21</v>
          </cell>
          <cell r="H1784">
            <v>49.78</v>
          </cell>
          <cell r="I1784">
            <v>61.53</v>
          </cell>
          <cell r="BS1784">
            <v>12.32</v>
          </cell>
        </row>
        <row r="1785">
          <cell r="B1785">
            <v>42669</v>
          </cell>
          <cell r="D1785">
            <v>48.905000000000001</v>
          </cell>
          <cell r="E1785">
            <v>47.9</v>
          </cell>
          <cell r="H1785">
            <v>48.56</v>
          </cell>
          <cell r="I1785">
            <v>60.11</v>
          </cell>
          <cell r="BS1785">
            <v>12.21</v>
          </cell>
        </row>
        <row r="1786">
          <cell r="B1786">
            <v>42670</v>
          </cell>
          <cell r="D1786">
            <v>49.18</v>
          </cell>
          <cell r="E1786">
            <v>48.15</v>
          </cell>
          <cell r="H1786">
            <v>49.12</v>
          </cell>
          <cell r="I1786">
            <v>60.76</v>
          </cell>
          <cell r="BS1786">
            <v>12.61</v>
          </cell>
        </row>
        <row r="1787">
          <cell r="B1787">
            <v>42671</v>
          </cell>
          <cell r="D1787">
            <v>48.92</v>
          </cell>
          <cell r="E1787">
            <v>48.31</v>
          </cell>
          <cell r="H1787">
            <v>48.28</v>
          </cell>
          <cell r="I1787">
            <v>60.5</v>
          </cell>
          <cell r="BS1787">
            <v>12.189999999999998</v>
          </cell>
        </row>
        <row r="1788">
          <cell r="B1788">
            <v>42674</v>
          </cell>
          <cell r="D1788">
            <v>46.615000000000002</v>
          </cell>
          <cell r="E1788">
            <v>47.52</v>
          </cell>
          <cell r="H1788">
            <v>47.59</v>
          </cell>
          <cell r="I1788">
            <v>59.7</v>
          </cell>
          <cell r="BS1788">
            <v>12.18</v>
          </cell>
        </row>
        <row r="1789">
          <cell r="B1789">
            <v>42675</v>
          </cell>
          <cell r="D1789">
            <v>45.924999999999997</v>
          </cell>
          <cell r="E1789">
            <v>45.5</v>
          </cell>
          <cell r="H1789">
            <v>49.09</v>
          </cell>
          <cell r="I1789">
            <v>60.89</v>
          </cell>
          <cell r="BS1789">
            <v>15.39</v>
          </cell>
        </row>
        <row r="1790">
          <cell r="B1790">
            <v>42676</v>
          </cell>
          <cell r="D1790">
            <v>44.18</v>
          </cell>
          <cell r="E1790">
            <v>44.15</v>
          </cell>
          <cell r="H1790">
            <v>46.87</v>
          </cell>
          <cell r="I1790">
            <v>57.74</v>
          </cell>
          <cell r="BS1790">
            <v>13.590000000000003</v>
          </cell>
        </row>
        <row r="1791">
          <cell r="B1791">
            <v>42677</v>
          </cell>
          <cell r="D1791">
            <v>43.95</v>
          </cell>
          <cell r="E1791">
            <v>43.49</v>
          </cell>
          <cell r="H1791">
            <v>47.04</v>
          </cell>
          <cell r="I1791">
            <v>56.96</v>
          </cell>
          <cell r="BS1791">
            <v>13.469999999999999</v>
          </cell>
        </row>
        <row r="1792">
          <cell r="B1792">
            <v>42678</v>
          </cell>
          <cell r="D1792">
            <v>43.11</v>
          </cell>
          <cell r="E1792">
            <v>42.7</v>
          </cell>
          <cell r="H1792">
            <v>46.02</v>
          </cell>
          <cell r="I1792">
            <v>56.34</v>
          </cell>
          <cell r="BS1792">
            <v>13.64</v>
          </cell>
        </row>
        <row r="1793">
          <cell r="B1793">
            <v>42681</v>
          </cell>
          <cell r="D1793">
            <v>43.14</v>
          </cell>
          <cell r="E1793">
            <v>42.78</v>
          </cell>
          <cell r="H1793">
            <v>45.83</v>
          </cell>
          <cell r="I1793">
            <v>55.37</v>
          </cell>
          <cell r="BS1793">
            <v>12.589999999999996</v>
          </cell>
        </row>
        <row r="1794">
          <cell r="B1794">
            <v>42682</v>
          </cell>
          <cell r="D1794">
            <v>43.74</v>
          </cell>
          <cell r="E1794">
            <v>42.85</v>
          </cell>
          <cell r="H1794">
            <v>45.08</v>
          </cell>
          <cell r="I1794">
            <v>54.92</v>
          </cell>
          <cell r="BS1794">
            <v>12.07</v>
          </cell>
        </row>
        <row r="1795">
          <cell r="B1795">
            <v>42683</v>
          </cell>
          <cell r="D1795">
            <v>43.76</v>
          </cell>
          <cell r="E1795">
            <v>42.51</v>
          </cell>
          <cell r="H1795">
            <v>45.47</v>
          </cell>
          <cell r="I1795">
            <v>54.71</v>
          </cell>
          <cell r="BS1795">
            <v>12.200000000000003</v>
          </cell>
        </row>
        <row r="1796">
          <cell r="B1796">
            <v>42684</v>
          </cell>
          <cell r="D1796">
            <v>43.844999999999999</v>
          </cell>
          <cell r="E1796">
            <v>43.72</v>
          </cell>
          <cell r="H1796">
            <v>46.47</v>
          </cell>
          <cell r="I1796">
            <v>55.81</v>
          </cell>
          <cell r="BS1796">
            <v>12.090000000000003</v>
          </cell>
        </row>
        <row r="1797">
          <cell r="B1797">
            <v>42685</v>
          </cell>
          <cell r="D1797">
            <v>42.46</v>
          </cell>
          <cell r="E1797">
            <v>42.7</v>
          </cell>
          <cell r="H1797">
            <v>46.36</v>
          </cell>
          <cell r="I1797">
            <v>55.25</v>
          </cell>
          <cell r="BS1797">
            <v>12.549999999999997</v>
          </cell>
        </row>
        <row r="1798">
          <cell r="B1798">
            <v>42688</v>
          </cell>
          <cell r="D1798">
            <v>41.91</v>
          </cell>
          <cell r="E1798">
            <v>41.9</v>
          </cell>
          <cell r="H1798">
            <v>45.76</v>
          </cell>
          <cell r="I1798">
            <v>53.73</v>
          </cell>
          <cell r="BS1798">
            <v>11.829999999999998</v>
          </cell>
        </row>
        <row r="1799">
          <cell r="B1799">
            <v>42689</v>
          </cell>
          <cell r="D1799">
            <v>44.405000000000001</v>
          </cell>
          <cell r="E1799">
            <v>42</v>
          </cell>
          <cell r="H1799">
            <v>44.93</v>
          </cell>
          <cell r="I1799">
            <v>53.56</v>
          </cell>
          <cell r="BS1799">
            <v>11.560000000000002</v>
          </cell>
        </row>
        <row r="1800">
          <cell r="B1800">
            <v>42690</v>
          </cell>
          <cell r="D1800">
            <v>45.11</v>
          </cell>
          <cell r="E1800">
            <v>43.5</v>
          </cell>
          <cell r="H1800">
            <v>46.34</v>
          </cell>
          <cell r="I1800">
            <v>55.04</v>
          </cell>
          <cell r="BS1800">
            <v>11.54</v>
          </cell>
        </row>
        <row r="1801">
          <cell r="B1801">
            <v>42691</v>
          </cell>
          <cell r="D1801">
            <v>44.634999999999998</v>
          </cell>
          <cell r="E1801">
            <v>43.49</v>
          </cell>
          <cell r="H1801">
            <v>46.72</v>
          </cell>
          <cell r="I1801">
            <v>55.44</v>
          </cell>
          <cell r="BS1801">
            <v>11.949999999999996</v>
          </cell>
        </row>
        <row r="1802">
          <cell r="B1802">
            <v>42692</v>
          </cell>
          <cell r="D1802">
            <v>44.44</v>
          </cell>
          <cell r="E1802">
            <v>42.78</v>
          </cell>
          <cell r="H1802">
            <v>46.28</v>
          </cell>
          <cell r="I1802">
            <v>55.44</v>
          </cell>
          <cell r="BS1802">
            <v>12.659999999999997</v>
          </cell>
        </row>
        <row r="1803">
          <cell r="B1803">
            <v>42695</v>
          </cell>
          <cell r="D1803">
            <v>47.07</v>
          </cell>
          <cell r="E1803">
            <v>44.56</v>
          </cell>
          <cell r="H1803">
            <v>47.25</v>
          </cell>
          <cell r="I1803">
            <v>57.13</v>
          </cell>
          <cell r="BS1803">
            <v>12.57</v>
          </cell>
        </row>
        <row r="1804">
          <cell r="B1804">
            <v>42696</v>
          </cell>
          <cell r="D1804">
            <v>47.075000000000003</v>
          </cell>
          <cell r="E1804">
            <v>46.07</v>
          </cell>
          <cell r="H1804">
            <v>48.44</v>
          </cell>
          <cell r="I1804">
            <v>58.78</v>
          </cell>
          <cell r="BS1804">
            <v>12.71</v>
          </cell>
        </row>
        <row r="1805">
          <cell r="B1805">
            <v>42697</v>
          </cell>
          <cell r="D1805">
            <v>47.53</v>
          </cell>
          <cell r="E1805">
            <v>45.994999999999997</v>
          </cell>
          <cell r="H1805">
            <v>47.94</v>
          </cell>
          <cell r="I1805">
            <v>58.62</v>
          </cell>
          <cell r="BS1805">
            <v>12.625</v>
          </cell>
        </row>
        <row r="1806">
          <cell r="B1806">
            <v>42698</v>
          </cell>
          <cell r="D1806">
            <v>47.674999999999997</v>
          </cell>
          <cell r="E1806">
            <v>45.69</v>
          </cell>
          <cell r="H1806">
            <v>47.86</v>
          </cell>
          <cell r="I1806">
            <v>58.95</v>
          </cell>
          <cell r="BS1806">
            <v>13.260000000000005</v>
          </cell>
        </row>
        <row r="1807">
          <cell r="B1807">
            <v>42699</v>
          </cell>
          <cell r="D1807">
            <v>46.36</v>
          </cell>
          <cell r="E1807">
            <v>45.92</v>
          </cell>
          <cell r="H1807">
            <v>47.79</v>
          </cell>
          <cell r="I1807">
            <v>58.27</v>
          </cell>
          <cell r="BS1807">
            <v>12.350000000000001</v>
          </cell>
        </row>
        <row r="1808">
          <cell r="B1808">
            <v>42702</v>
          </cell>
          <cell r="D1808">
            <v>47.59</v>
          </cell>
          <cell r="E1808">
            <v>43.905000000000001</v>
          </cell>
          <cell r="H1808">
            <v>45.8</v>
          </cell>
          <cell r="I1808">
            <v>56.07</v>
          </cell>
          <cell r="BS1808">
            <v>12.164999999999999</v>
          </cell>
        </row>
        <row r="1809">
          <cell r="B1809">
            <v>42703</v>
          </cell>
          <cell r="D1809">
            <v>45.784999999999997</v>
          </cell>
          <cell r="E1809">
            <v>44.71</v>
          </cell>
          <cell r="H1809">
            <v>47.02</v>
          </cell>
          <cell r="I1809">
            <v>57.46</v>
          </cell>
          <cell r="BS1809">
            <v>12.75</v>
          </cell>
        </row>
        <row r="1810">
          <cell r="B1810">
            <v>42704</v>
          </cell>
          <cell r="D1810">
            <v>49.08</v>
          </cell>
          <cell r="E1810">
            <v>44.1</v>
          </cell>
          <cell r="H1810">
            <v>46.74</v>
          </cell>
          <cell r="I1810">
            <v>56.4</v>
          </cell>
          <cell r="BS1810">
            <v>12.299999999999997</v>
          </cell>
        </row>
        <row r="1811">
          <cell r="B1811">
            <v>42705</v>
          </cell>
          <cell r="D1811">
            <v>52.435000000000002</v>
          </cell>
          <cell r="E1811">
            <v>49.06</v>
          </cell>
          <cell r="H1811">
            <v>49.56</v>
          </cell>
          <cell r="I1811">
            <v>59.99</v>
          </cell>
          <cell r="BS1811">
            <v>10.93</v>
          </cell>
        </row>
        <row r="1812">
          <cell r="B1812">
            <v>42706</v>
          </cell>
          <cell r="D1812">
            <v>52.52</v>
          </cell>
          <cell r="E1812">
            <v>50.65</v>
          </cell>
          <cell r="H1812">
            <v>50.33</v>
          </cell>
          <cell r="I1812">
            <v>62.19</v>
          </cell>
          <cell r="BS1812">
            <v>11.54</v>
          </cell>
        </row>
        <row r="1813">
          <cell r="B1813">
            <v>42709</v>
          </cell>
          <cell r="D1813">
            <v>53.445</v>
          </cell>
          <cell r="E1813">
            <v>51.7</v>
          </cell>
          <cell r="H1813">
            <v>50.86</v>
          </cell>
          <cell r="I1813">
            <v>63.15</v>
          </cell>
          <cell r="BS1813">
            <v>11.449999999999996</v>
          </cell>
        </row>
        <row r="1814">
          <cell r="B1814">
            <v>42710</v>
          </cell>
          <cell r="D1814">
            <v>52.38</v>
          </cell>
          <cell r="E1814">
            <v>51.7</v>
          </cell>
          <cell r="H1814">
            <v>50.19</v>
          </cell>
          <cell r="I1814">
            <v>63.28</v>
          </cell>
          <cell r="BS1814">
            <v>11.579999999999998</v>
          </cell>
        </row>
        <row r="1815">
          <cell r="B1815">
            <v>42711</v>
          </cell>
          <cell r="D1815">
            <v>51.905000000000001</v>
          </cell>
          <cell r="E1815">
            <v>50.81</v>
          </cell>
          <cell r="H1815">
            <v>49.55</v>
          </cell>
          <cell r="I1815">
            <v>62.48</v>
          </cell>
          <cell r="BS1815">
            <v>11.669999999999995</v>
          </cell>
        </row>
        <row r="1816">
          <cell r="B1816">
            <v>42712</v>
          </cell>
          <cell r="D1816">
            <v>51.95</v>
          </cell>
          <cell r="E1816">
            <v>50.305</v>
          </cell>
          <cell r="H1816">
            <v>49.19</v>
          </cell>
          <cell r="I1816">
            <v>62</v>
          </cell>
          <cell r="BS1816">
            <v>11.695</v>
          </cell>
        </row>
        <row r="1817">
          <cell r="B1817">
            <v>42713</v>
          </cell>
          <cell r="D1817">
            <v>52.44</v>
          </cell>
          <cell r="E1817">
            <v>51.41</v>
          </cell>
          <cell r="H1817">
            <v>49.8</v>
          </cell>
          <cell r="I1817">
            <v>63</v>
          </cell>
          <cell r="BS1817">
            <v>11.590000000000003</v>
          </cell>
        </row>
        <row r="1818">
          <cell r="B1818">
            <v>42716</v>
          </cell>
          <cell r="D1818">
            <v>54.274999999999999</v>
          </cell>
          <cell r="E1818">
            <v>54.195</v>
          </cell>
          <cell r="H1818">
            <v>51.86</v>
          </cell>
          <cell r="I1818">
            <v>65.180000000000007</v>
          </cell>
          <cell r="BS1818">
            <v>10.985000000000007</v>
          </cell>
        </row>
        <row r="1819">
          <cell r="B1819">
            <v>42717</v>
          </cell>
          <cell r="D1819">
            <v>54.08</v>
          </cell>
          <cell r="E1819">
            <v>52.8</v>
          </cell>
          <cell r="H1819">
            <v>50.66</v>
          </cell>
          <cell r="I1819">
            <v>63.84</v>
          </cell>
          <cell r="BS1819">
            <v>11.040000000000006</v>
          </cell>
        </row>
        <row r="1820">
          <cell r="B1820">
            <v>42718</v>
          </cell>
          <cell r="D1820">
            <v>53.645000000000003</v>
          </cell>
          <cell r="E1820">
            <v>52.59</v>
          </cell>
          <cell r="H1820">
            <v>50.82</v>
          </cell>
          <cell r="I1820">
            <v>63.69</v>
          </cell>
          <cell r="BS1820">
            <v>11.099999999999994</v>
          </cell>
        </row>
        <row r="1821">
          <cell r="B1821">
            <v>42719</v>
          </cell>
          <cell r="D1821">
            <v>52.185000000000002</v>
          </cell>
          <cell r="E1821">
            <v>51.7</v>
          </cell>
          <cell r="H1821">
            <v>51.24</v>
          </cell>
          <cell r="I1821">
            <v>63.61</v>
          </cell>
          <cell r="BS1821">
            <v>11.909999999999997</v>
          </cell>
        </row>
        <row r="1822">
          <cell r="B1822">
            <v>42720</v>
          </cell>
          <cell r="D1822">
            <v>53.93</v>
          </cell>
          <cell r="E1822">
            <v>51.41</v>
          </cell>
          <cell r="H1822">
            <v>51.15</v>
          </cell>
          <cell r="I1822">
            <v>62.98</v>
          </cell>
          <cell r="BS1822">
            <v>11.57</v>
          </cell>
        </row>
        <row r="1823">
          <cell r="B1823">
            <v>42723</v>
          </cell>
          <cell r="D1823">
            <v>54.11</v>
          </cell>
          <cell r="E1823">
            <v>52.6</v>
          </cell>
          <cell r="H1823">
            <v>51.66</v>
          </cell>
          <cell r="I1823">
            <v>64.75</v>
          </cell>
          <cell r="BS1823">
            <v>12.149999999999999</v>
          </cell>
        </row>
        <row r="1824">
          <cell r="B1824">
            <v>42724</v>
          </cell>
          <cell r="D1824">
            <v>55.055</v>
          </cell>
          <cell r="E1824">
            <v>51.94</v>
          </cell>
          <cell r="H1824">
            <v>51.12</v>
          </cell>
          <cell r="I1824">
            <v>64</v>
          </cell>
          <cell r="BS1824">
            <v>12.060000000000002</v>
          </cell>
        </row>
        <row r="1825">
          <cell r="B1825">
            <v>42725</v>
          </cell>
          <cell r="D1825">
            <v>54.125</v>
          </cell>
          <cell r="E1825">
            <v>52.9</v>
          </cell>
          <cell r="H1825">
            <v>52.12</v>
          </cell>
          <cell r="I1825">
            <v>65.319999999999993</v>
          </cell>
          <cell r="BS1825">
            <v>12.419999999999995</v>
          </cell>
        </row>
        <row r="1826">
          <cell r="B1826">
            <v>42726</v>
          </cell>
          <cell r="D1826">
            <v>54.19</v>
          </cell>
          <cell r="E1826">
            <v>51.8</v>
          </cell>
          <cell r="H1826">
            <v>51.92</v>
          </cell>
          <cell r="I1826">
            <v>65.61</v>
          </cell>
          <cell r="BS1826">
            <v>13.810000000000002</v>
          </cell>
        </row>
        <row r="1827">
          <cell r="B1827">
            <v>42727</v>
          </cell>
          <cell r="D1827">
            <v>53.64</v>
          </cell>
          <cell r="E1827">
            <v>52.2</v>
          </cell>
          <cell r="H1827">
            <v>52.06</v>
          </cell>
          <cell r="I1827">
            <v>65.760000000000005</v>
          </cell>
          <cell r="BS1827">
            <v>13.560000000000002</v>
          </cell>
        </row>
        <row r="1828">
          <cell r="B1828">
            <v>42730</v>
          </cell>
          <cell r="D1828" t="str">
            <v/>
          </cell>
          <cell r="E1828" t="str">
            <v/>
          </cell>
          <cell r="H1828">
            <v>0</v>
          </cell>
          <cell r="I1828">
            <v>0</v>
          </cell>
          <cell r="BS1828" t="e">
            <v>#N/A</v>
          </cell>
        </row>
        <row r="1829">
          <cell r="B1829">
            <v>42731</v>
          </cell>
          <cell r="D1829" t="str">
            <v/>
          </cell>
          <cell r="E1829">
            <v>52.71</v>
          </cell>
          <cell r="H1829">
            <v>52.56</v>
          </cell>
          <cell r="I1829">
            <v>66.66</v>
          </cell>
          <cell r="BS1829">
            <v>13.949999999999996</v>
          </cell>
        </row>
        <row r="1830">
          <cell r="B1830">
            <v>42732</v>
          </cell>
          <cell r="D1830">
            <v>55.405000000000001</v>
          </cell>
          <cell r="E1830">
            <v>53.79</v>
          </cell>
          <cell r="H1830">
            <v>53.5</v>
          </cell>
          <cell r="I1830">
            <v>67.22</v>
          </cell>
          <cell r="BS1830">
            <v>13.43</v>
          </cell>
        </row>
        <row r="1831">
          <cell r="B1831">
            <v>42733</v>
          </cell>
          <cell r="D1831">
            <v>55.265000000000001</v>
          </cell>
          <cell r="E1831">
            <v>53.93</v>
          </cell>
          <cell r="H1831">
            <v>53.41</v>
          </cell>
          <cell r="I1831">
            <v>68.08</v>
          </cell>
          <cell r="BS1831">
            <v>14.149999999999999</v>
          </cell>
        </row>
        <row r="1832">
          <cell r="B1832">
            <v>42734</v>
          </cell>
          <cell r="D1832">
            <v>54.94</v>
          </cell>
          <cell r="E1832">
            <v>53.85</v>
          </cell>
          <cell r="H1832">
            <v>53.47</v>
          </cell>
          <cell r="I1832">
            <v>68.010000000000005</v>
          </cell>
          <cell r="BS1832">
            <v>14.160000000000004</v>
          </cell>
        </row>
        <row r="1833">
          <cell r="B1833">
            <v>42737</v>
          </cell>
          <cell r="D1833" t="str">
            <v/>
          </cell>
          <cell r="E1833" t="str">
            <v/>
          </cell>
          <cell r="H1833">
            <v>0</v>
          </cell>
          <cell r="I1833">
            <v>0</v>
          </cell>
          <cell r="BS1833" t="e">
            <v>#N/A</v>
          </cell>
        </row>
        <row r="1834">
          <cell r="B1834">
            <v>42738</v>
          </cell>
          <cell r="D1834">
            <v>54.854999999999997</v>
          </cell>
          <cell r="E1834">
            <v>54.72</v>
          </cell>
          <cell r="H1834">
            <v>53.95</v>
          </cell>
          <cell r="I1834">
            <v>68.17</v>
          </cell>
          <cell r="BS1834">
            <v>13.450000000000003</v>
          </cell>
        </row>
        <row r="1835">
          <cell r="B1835">
            <v>42739</v>
          </cell>
          <cell r="D1835">
            <v>54.48</v>
          </cell>
          <cell r="E1835">
            <v>54.01</v>
          </cell>
          <cell r="H1835">
            <v>53.62</v>
          </cell>
          <cell r="I1835">
            <v>67.17</v>
          </cell>
          <cell r="BS1835">
            <v>13.160000000000004</v>
          </cell>
        </row>
        <row r="1836">
          <cell r="B1836">
            <v>42740</v>
          </cell>
          <cell r="D1836">
            <v>54.844999999999999</v>
          </cell>
          <cell r="E1836">
            <v>54.32</v>
          </cell>
          <cell r="H1836">
            <v>54.26</v>
          </cell>
          <cell r="I1836">
            <v>67.489999999999995</v>
          </cell>
          <cell r="BS1836">
            <v>13.169999999999995</v>
          </cell>
        </row>
        <row r="1837">
          <cell r="B1837">
            <v>42741</v>
          </cell>
          <cell r="D1837">
            <v>55.83</v>
          </cell>
          <cell r="E1837">
            <v>54.5</v>
          </cell>
          <cell r="H1837">
            <v>55</v>
          </cell>
          <cell r="I1837">
            <v>67.010000000000005</v>
          </cell>
          <cell r="BS1837">
            <v>12.510000000000005</v>
          </cell>
        </row>
        <row r="1838">
          <cell r="B1838">
            <v>42744</v>
          </cell>
          <cell r="D1838">
            <v>54.22</v>
          </cell>
          <cell r="E1838">
            <v>54.61</v>
          </cell>
          <cell r="H1838">
            <v>55.28</v>
          </cell>
          <cell r="I1838">
            <v>66.63</v>
          </cell>
          <cell r="BS1838">
            <v>12.019999999999996</v>
          </cell>
        </row>
        <row r="1839">
          <cell r="B1839">
            <v>42745</v>
          </cell>
          <cell r="D1839">
            <v>53.21</v>
          </cell>
          <cell r="E1839">
            <v>53.11</v>
          </cell>
          <cell r="H1839">
            <v>54.49</v>
          </cell>
          <cell r="I1839">
            <v>64.87</v>
          </cell>
          <cell r="BS1839">
            <v>11.760000000000005</v>
          </cell>
        </row>
        <row r="1840">
          <cell r="B1840">
            <v>42746</v>
          </cell>
          <cell r="D1840">
            <v>53.814999999999998</v>
          </cell>
          <cell r="E1840">
            <v>51.9</v>
          </cell>
          <cell r="H1840">
            <v>53.71</v>
          </cell>
          <cell r="I1840">
            <v>64.28</v>
          </cell>
          <cell r="BS1840">
            <v>12.380000000000003</v>
          </cell>
        </row>
        <row r="1841">
          <cell r="B1841">
            <v>42747</v>
          </cell>
          <cell r="D1841">
            <v>54.92</v>
          </cell>
          <cell r="E1841">
            <v>53.41</v>
          </cell>
          <cell r="H1841">
            <v>56.65</v>
          </cell>
          <cell r="I1841">
            <v>66.38</v>
          </cell>
          <cell r="BS1841">
            <v>12.969999999999999</v>
          </cell>
        </row>
        <row r="1842">
          <cell r="B1842">
            <v>42748</v>
          </cell>
          <cell r="D1842">
            <v>54.5</v>
          </cell>
          <cell r="E1842">
            <v>54.01</v>
          </cell>
          <cell r="H1842">
            <v>56.59</v>
          </cell>
          <cell r="I1842">
            <v>67.849999999999994</v>
          </cell>
          <cell r="BS1842">
            <v>13.839999999999996</v>
          </cell>
        </row>
        <row r="1843">
          <cell r="B1843">
            <v>42751</v>
          </cell>
          <cell r="D1843">
            <v>54.34</v>
          </cell>
          <cell r="E1843">
            <v>53.36</v>
          </cell>
          <cell r="H1843">
            <v>55.54</v>
          </cell>
          <cell r="I1843">
            <v>66.77</v>
          </cell>
          <cell r="BS1843">
            <v>13.409999999999997</v>
          </cell>
        </row>
        <row r="1844">
          <cell r="B1844">
            <v>42752</v>
          </cell>
          <cell r="D1844">
            <v>54.77</v>
          </cell>
          <cell r="E1844">
            <v>53.91</v>
          </cell>
          <cell r="H1844">
            <v>55.91</v>
          </cell>
          <cell r="I1844">
            <v>67.540000000000006</v>
          </cell>
          <cell r="BS1844">
            <v>13.63000000000001</v>
          </cell>
        </row>
        <row r="1845">
          <cell r="B1845">
            <v>42753</v>
          </cell>
          <cell r="D1845">
            <v>54.2</v>
          </cell>
          <cell r="E1845">
            <v>53.9</v>
          </cell>
          <cell r="H1845">
            <v>56.24</v>
          </cell>
          <cell r="I1845">
            <v>67.790000000000006</v>
          </cell>
          <cell r="BS1845">
            <v>13.890000000000008</v>
          </cell>
        </row>
        <row r="1846">
          <cell r="B1846">
            <v>42754</v>
          </cell>
          <cell r="D1846">
            <v>53.305</v>
          </cell>
          <cell r="E1846">
            <v>53.06</v>
          </cell>
          <cell r="H1846">
            <v>55.28</v>
          </cell>
          <cell r="I1846">
            <v>66.3</v>
          </cell>
          <cell r="BS1846">
            <v>13.239999999999995</v>
          </cell>
        </row>
        <row r="1847">
          <cell r="B1847">
            <v>42755</v>
          </cell>
          <cell r="D1847">
            <v>54.715000000000003</v>
          </cell>
          <cell r="E1847">
            <v>52.9</v>
          </cell>
          <cell r="H1847">
            <v>55.74</v>
          </cell>
          <cell r="I1847">
            <v>66.05</v>
          </cell>
          <cell r="BS1847">
            <v>13.149999999999999</v>
          </cell>
        </row>
        <row r="1848">
          <cell r="B1848">
            <v>42758</v>
          </cell>
          <cell r="D1848">
            <v>54.83</v>
          </cell>
          <cell r="E1848">
            <v>53.5</v>
          </cell>
          <cell r="H1848">
            <v>56.23</v>
          </cell>
          <cell r="I1848">
            <v>66.55</v>
          </cell>
          <cell r="BS1848">
            <v>13.049999999999997</v>
          </cell>
        </row>
        <row r="1849">
          <cell r="B1849">
            <v>42759</v>
          </cell>
          <cell r="D1849">
            <v>55.04</v>
          </cell>
          <cell r="E1849">
            <v>54</v>
          </cell>
          <cell r="H1849">
            <v>56.79</v>
          </cell>
          <cell r="I1849">
            <v>67.31</v>
          </cell>
          <cell r="BS1849">
            <v>13.310000000000002</v>
          </cell>
        </row>
        <row r="1850">
          <cell r="B1850">
            <v>42760</v>
          </cell>
          <cell r="D1850">
            <v>54.85</v>
          </cell>
          <cell r="E1850">
            <v>53.505000000000003</v>
          </cell>
          <cell r="H1850">
            <v>56.29</v>
          </cell>
          <cell r="I1850">
            <v>66.45</v>
          </cell>
          <cell r="BS1850">
            <v>12.945</v>
          </cell>
        </row>
        <row r="1851">
          <cell r="B1851">
            <v>42761</v>
          </cell>
          <cell r="D1851">
            <v>55.884999999999998</v>
          </cell>
          <cell r="E1851">
            <v>53.9</v>
          </cell>
          <cell r="H1851">
            <v>56.23</v>
          </cell>
          <cell r="I1851">
            <v>66.81</v>
          </cell>
          <cell r="BS1851">
            <v>12.910000000000004</v>
          </cell>
        </row>
        <row r="1852">
          <cell r="B1852">
            <v>42762</v>
          </cell>
          <cell r="D1852">
            <v>54.88</v>
          </cell>
          <cell r="E1852">
            <v>54.505000000000003</v>
          </cell>
          <cell r="H1852">
            <v>56.51</v>
          </cell>
          <cell r="I1852">
            <v>67.45</v>
          </cell>
          <cell r="BS1852">
            <v>12.945</v>
          </cell>
        </row>
        <row r="1853">
          <cell r="B1853">
            <v>42765</v>
          </cell>
          <cell r="D1853">
            <v>54.85</v>
          </cell>
          <cell r="E1853" t="str">
            <v/>
          </cell>
          <cell r="H1853">
            <v>0</v>
          </cell>
          <cell r="I1853">
            <v>0</v>
          </cell>
          <cell r="BS1853" t="e">
            <v>#N/A</v>
          </cell>
        </row>
        <row r="1854">
          <cell r="B1854">
            <v>42766</v>
          </cell>
          <cell r="D1854">
            <v>55.744999999999997</v>
          </cell>
          <cell r="E1854">
            <v>53.2</v>
          </cell>
          <cell r="H1854">
            <v>55.93</v>
          </cell>
          <cell r="I1854">
            <v>66.63</v>
          </cell>
          <cell r="BS1854">
            <v>13.429999999999993</v>
          </cell>
        </row>
        <row r="1855">
          <cell r="B1855">
            <v>42767</v>
          </cell>
          <cell r="D1855">
            <v>55.8</v>
          </cell>
          <cell r="E1855">
            <v>53.5</v>
          </cell>
          <cell r="H1855">
            <v>56.61</v>
          </cell>
          <cell r="I1855">
            <v>68.040000000000006</v>
          </cell>
          <cell r="BS1855">
            <v>14.540000000000006</v>
          </cell>
        </row>
        <row r="1856">
          <cell r="B1856">
            <v>42768</v>
          </cell>
          <cell r="D1856">
            <v>56.17</v>
          </cell>
          <cell r="E1856">
            <v>55.005000000000003</v>
          </cell>
          <cell r="H1856">
            <v>57.71</v>
          </cell>
          <cell r="I1856">
            <v>69.19</v>
          </cell>
          <cell r="BS1856">
            <v>14.184999999999995</v>
          </cell>
        </row>
        <row r="1857">
          <cell r="B1857">
            <v>42769</v>
          </cell>
          <cell r="D1857">
            <v>56.164999999999999</v>
          </cell>
          <cell r="E1857">
            <v>55.41</v>
          </cell>
          <cell r="H1857">
            <v>57.59</v>
          </cell>
          <cell r="I1857">
            <v>68.069999999999993</v>
          </cell>
          <cell r="BS1857">
            <v>12.659999999999997</v>
          </cell>
        </row>
        <row r="1858">
          <cell r="B1858">
            <v>42772</v>
          </cell>
          <cell r="D1858">
            <v>55.13</v>
          </cell>
          <cell r="E1858">
            <v>55.29</v>
          </cell>
          <cell r="H1858">
            <v>57.42</v>
          </cell>
          <cell r="I1858">
            <v>68.53</v>
          </cell>
          <cell r="BS1858">
            <v>13.240000000000002</v>
          </cell>
        </row>
        <row r="1859">
          <cell r="B1859">
            <v>42773</v>
          </cell>
          <cell r="D1859">
            <v>54.045000000000002</v>
          </cell>
          <cell r="E1859">
            <v>54.104999999999997</v>
          </cell>
          <cell r="H1859">
            <v>56.7</v>
          </cell>
          <cell r="I1859">
            <v>67.2</v>
          </cell>
          <cell r="BS1859">
            <v>13.095000000000006</v>
          </cell>
        </row>
        <row r="1860">
          <cell r="B1860">
            <v>42774</v>
          </cell>
          <cell r="D1860">
            <v>54.39</v>
          </cell>
          <cell r="E1860">
            <v>53.03</v>
          </cell>
          <cell r="H1860">
            <v>55.57</v>
          </cell>
          <cell r="I1860">
            <v>66.28</v>
          </cell>
          <cell r="BS1860">
            <v>13.25</v>
          </cell>
        </row>
        <row r="1861">
          <cell r="B1861">
            <v>42775</v>
          </cell>
          <cell r="D1861">
            <v>54.34</v>
          </cell>
          <cell r="E1861">
            <v>53.88</v>
          </cell>
          <cell r="H1861">
            <v>56.75</v>
          </cell>
          <cell r="I1861">
            <v>68.42</v>
          </cell>
          <cell r="BS1861">
            <v>14.54</v>
          </cell>
        </row>
        <row r="1862">
          <cell r="B1862">
            <v>42776</v>
          </cell>
          <cell r="D1862">
            <v>55.625</v>
          </cell>
          <cell r="E1862">
            <v>53.99</v>
          </cell>
          <cell r="H1862">
            <v>57.15</v>
          </cell>
          <cell r="I1862">
            <v>68.89</v>
          </cell>
          <cell r="BS1862">
            <v>14.899999999999999</v>
          </cell>
        </row>
        <row r="1863">
          <cell r="B1863">
            <v>42779</v>
          </cell>
          <cell r="D1863">
            <v>54.424999999999997</v>
          </cell>
          <cell r="E1863">
            <v>54.704999999999998</v>
          </cell>
          <cell r="H1863">
            <v>57.98</v>
          </cell>
          <cell r="I1863">
            <v>69.28</v>
          </cell>
          <cell r="BS1863">
            <v>14.575000000000003</v>
          </cell>
        </row>
        <row r="1864">
          <cell r="B1864">
            <v>42780</v>
          </cell>
          <cell r="D1864">
            <v>55.24</v>
          </cell>
          <cell r="E1864">
            <v>54.21</v>
          </cell>
          <cell r="H1864">
            <v>57.82</v>
          </cell>
          <cell r="I1864">
            <v>68.62</v>
          </cell>
          <cell r="BS1864">
            <v>14.410000000000004</v>
          </cell>
        </row>
        <row r="1865">
          <cell r="B1865">
            <v>42781</v>
          </cell>
          <cell r="D1865">
            <v>54.68</v>
          </cell>
          <cell r="E1865">
            <v>54.02</v>
          </cell>
          <cell r="H1865">
            <v>57.4</v>
          </cell>
          <cell r="I1865">
            <v>68.36</v>
          </cell>
          <cell r="BS1865">
            <v>14.339999999999996</v>
          </cell>
        </row>
        <row r="1866">
          <cell r="B1866">
            <v>42782</v>
          </cell>
          <cell r="D1866">
            <v>54.34</v>
          </cell>
          <cell r="E1866">
            <v>54</v>
          </cell>
          <cell r="H1866">
            <v>57.47</v>
          </cell>
          <cell r="I1866">
            <v>68.61</v>
          </cell>
          <cell r="BS1866">
            <v>14.61</v>
          </cell>
        </row>
        <row r="1867">
          <cell r="B1867">
            <v>42783</v>
          </cell>
          <cell r="D1867">
            <v>54.44</v>
          </cell>
          <cell r="E1867">
            <v>54.11</v>
          </cell>
          <cell r="H1867">
            <v>56.24</v>
          </cell>
          <cell r="I1867">
            <v>66.45</v>
          </cell>
          <cell r="BS1867">
            <v>12.340000000000003</v>
          </cell>
        </row>
        <row r="1868">
          <cell r="B1868">
            <v>42786</v>
          </cell>
          <cell r="D1868">
            <v>55.13</v>
          </cell>
          <cell r="E1868">
            <v>54.51</v>
          </cell>
          <cell r="H1868">
            <v>56.17</v>
          </cell>
          <cell r="I1868">
            <v>67.27</v>
          </cell>
          <cell r="BS1868">
            <v>12.759999999999998</v>
          </cell>
        </row>
        <row r="1869">
          <cell r="B1869">
            <v>42787</v>
          </cell>
          <cell r="D1869">
            <v>56.3</v>
          </cell>
          <cell r="E1869">
            <v>54.604999999999997</v>
          </cell>
          <cell r="H1869">
            <v>55.66</v>
          </cell>
          <cell r="I1869">
            <v>67.45</v>
          </cell>
          <cell r="BS1869">
            <v>12.845000000000006</v>
          </cell>
        </row>
        <row r="1870">
          <cell r="B1870">
            <v>42788</v>
          </cell>
          <cell r="D1870">
            <v>55.05</v>
          </cell>
          <cell r="E1870">
            <v>54.65</v>
          </cell>
          <cell r="H1870">
            <v>54.48</v>
          </cell>
          <cell r="I1870">
            <v>65.37</v>
          </cell>
          <cell r="BS1870">
            <v>10.720000000000006</v>
          </cell>
        </row>
        <row r="1871">
          <cell r="B1871">
            <v>42789</v>
          </cell>
          <cell r="D1871">
            <v>56.11</v>
          </cell>
          <cell r="E1871">
            <v>54.844999999999999</v>
          </cell>
          <cell r="H1871">
            <v>55.35</v>
          </cell>
          <cell r="I1871">
            <v>66.540000000000006</v>
          </cell>
          <cell r="BS1871">
            <v>11.695000000000007</v>
          </cell>
        </row>
        <row r="1872">
          <cell r="B1872">
            <v>42790</v>
          </cell>
          <cell r="D1872">
            <v>55.28</v>
          </cell>
          <cell r="E1872">
            <v>54.77</v>
          </cell>
          <cell r="H1872">
            <v>55.15</v>
          </cell>
          <cell r="I1872">
            <v>66.510000000000005</v>
          </cell>
          <cell r="BS1872">
            <v>11.740000000000002</v>
          </cell>
        </row>
        <row r="1873">
          <cell r="B1873">
            <v>42793</v>
          </cell>
          <cell r="D1873">
            <v>55.27</v>
          </cell>
          <cell r="E1873">
            <v>55.204999999999998</v>
          </cell>
          <cell r="H1873">
            <v>55.45</v>
          </cell>
          <cell r="I1873">
            <v>66.819999999999993</v>
          </cell>
          <cell r="BS1873">
            <v>11.614999999999995</v>
          </cell>
        </row>
        <row r="1874">
          <cell r="B1874">
            <v>42794</v>
          </cell>
          <cell r="D1874">
            <v>54.31</v>
          </cell>
          <cell r="E1874">
            <v>54.95</v>
          </cell>
          <cell r="H1874">
            <v>55.21</v>
          </cell>
          <cell r="I1874">
            <v>65.47</v>
          </cell>
          <cell r="BS1874">
            <v>10.519999999999996</v>
          </cell>
        </row>
        <row r="1875">
          <cell r="B1875">
            <v>42795</v>
          </cell>
          <cell r="D1875">
            <v>55.265000000000001</v>
          </cell>
          <cell r="E1875">
            <v>55.1</v>
          </cell>
          <cell r="H1875">
            <v>54.48</v>
          </cell>
          <cell r="I1875">
            <v>64.81</v>
          </cell>
          <cell r="BS1875">
            <v>9.7100000000000009</v>
          </cell>
        </row>
        <row r="1876">
          <cell r="B1876">
            <v>42796</v>
          </cell>
          <cell r="D1876">
            <v>54.055</v>
          </cell>
          <cell r="E1876">
            <v>54.9</v>
          </cell>
          <cell r="H1876">
            <v>52.54</v>
          </cell>
          <cell r="I1876">
            <v>63.46</v>
          </cell>
          <cell r="BS1876">
            <v>8.5600000000000023</v>
          </cell>
        </row>
        <row r="1877">
          <cell r="B1877">
            <v>42797</v>
          </cell>
          <cell r="D1877">
            <v>54.07</v>
          </cell>
          <cell r="E1877">
            <v>53.74</v>
          </cell>
          <cell r="H1877">
            <v>52.49</v>
          </cell>
          <cell r="I1877">
            <v>63.07</v>
          </cell>
          <cell r="BS1877">
            <v>9.3299999999999983</v>
          </cell>
        </row>
        <row r="1878">
          <cell r="B1878">
            <v>42800</v>
          </cell>
          <cell r="D1878">
            <v>54.59</v>
          </cell>
          <cell r="E1878">
            <v>53.895000000000003</v>
          </cell>
          <cell r="H1878">
            <v>52.79</v>
          </cell>
          <cell r="I1878">
            <v>62.83</v>
          </cell>
          <cell r="BS1878">
            <v>8.9349999999999952</v>
          </cell>
        </row>
        <row r="1879">
          <cell r="B1879">
            <v>42801</v>
          </cell>
          <cell r="D1879">
            <v>54.875</v>
          </cell>
          <cell r="E1879">
            <v>54.494999999999997</v>
          </cell>
          <cell r="H1879">
            <v>52.95</v>
          </cell>
          <cell r="I1879">
            <v>64.36</v>
          </cell>
          <cell r="BS1879">
            <v>9.865000000000002</v>
          </cell>
        </row>
        <row r="1880">
          <cell r="B1880">
            <v>42802</v>
          </cell>
          <cell r="D1880">
            <v>53.795000000000002</v>
          </cell>
          <cell r="E1880">
            <v>54.01</v>
          </cell>
          <cell r="H1880">
            <v>52.68</v>
          </cell>
          <cell r="I1880">
            <v>64.7</v>
          </cell>
          <cell r="BS1880">
            <v>10.690000000000005</v>
          </cell>
        </row>
        <row r="1881">
          <cell r="B1881">
            <v>42803</v>
          </cell>
          <cell r="D1881">
            <v>50.76</v>
          </cell>
          <cell r="E1881">
            <v>52.55</v>
          </cell>
          <cell r="H1881">
            <v>51.02</v>
          </cell>
          <cell r="I1881">
            <v>63.43</v>
          </cell>
          <cell r="BS1881">
            <v>10.880000000000003</v>
          </cell>
        </row>
        <row r="1882">
          <cell r="B1882">
            <v>42804</v>
          </cell>
          <cell r="D1882">
            <v>50.674999999999997</v>
          </cell>
          <cell r="E1882">
            <v>51.15</v>
          </cell>
          <cell r="H1882">
            <v>50.02</v>
          </cell>
          <cell r="I1882">
            <v>61.96</v>
          </cell>
          <cell r="BS1882">
            <v>10.810000000000002</v>
          </cell>
        </row>
        <row r="1883">
          <cell r="B1883">
            <v>42807</v>
          </cell>
          <cell r="D1883">
            <v>50.15</v>
          </cell>
          <cell r="E1883">
            <v>49.99</v>
          </cell>
          <cell r="H1883">
            <v>49.27</v>
          </cell>
          <cell r="I1883">
            <v>60.5</v>
          </cell>
          <cell r="BS1883">
            <v>10.509999999999998</v>
          </cell>
        </row>
        <row r="1884">
          <cell r="B1884">
            <v>42808</v>
          </cell>
          <cell r="D1884">
            <v>49.204999999999998</v>
          </cell>
          <cell r="E1884">
            <v>49.8</v>
          </cell>
          <cell r="H1884">
            <v>49.74</v>
          </cell>
          <cell r="I1884">
            <v>60.33</v>
          </cell>
          <cell r="BS1884">
            <v>10.530000000000001</v>
          </cell>
        </row>
        <row r="1885">
          <cell r="B1885">
            <v>42809</v>
          </cell>
          <cell r="D1885">
            <v>50.46</v>
          </cell>
          <cell r="E1885">
            <v>50.04</v>
          </cell>
          <cell r="H1885">
            <v>50.24</v>
          </cell>
          <cell r="I1885">
            <v>60.67</v>
          </cell>
          <cell r="BS1885">
            <v>10.630000000000003</v>
          </cell>
        </row>
        <row r="1886">
          <cell r="B1886">
            <v>42810</v>
          </cell>
          <cell r="D1886">
            <v>50.48</v>
          </cell>
          <cell r="E1886">
            <v>50.65</v>
          </cell>
          <cell r="H1886">
            <v>50.43</v>
          </cell>
          <cell r="I1886">
            <v>61.16</v>
          </cell>
          <cell r="BS1886">
            <v>10.509999999999998</v>
          </cell>
        </row>
        <row r="1887">
          <cell r="B1887">
            <v>42811</v>
          </cell>
          <cell r="D1887">
            <v>50.71</v>
          </cell>
          <cell r="E1887">
            <v>50.1</v>
          </cell>
          <cell r="H1887">
            <v>50.02</v>
          </cell>
          <cell r="I1887">
            <v>60.75</v>
          </cell>
          <cell r="BS1887">
            <v>10.649999999999999</v>
          </cell>
        </row>
        <row r="1888">
          <cell r="B1888">
            <v>42814</v>
          </cell>
          <cell r="D1888">
            <v>50.86</v>
          </cell>
          <cell r="E1888">
            <v>50.01</v>
          </cell>
          <cell r="H1888">
            <v>49.83</v>
          </cell>
          <cell r="I1888">
            <v>60.55</v>
          </cell>
          <cell r="BS1888">
            <v>10.54</v>
          </cell>
        </row>
        <row r="1889">
          <cell r="B1889">
            <v>42815</v>
          </cell>
          <cell r="D1889">
            <v>50.18</v>
          </cell>
          <cell r="E1889">
            <v>50.45</v>
          </cell>
          <cell r="H1889">
            <v>50.21</v>
          </cell>
          <cell r="I1889">
            <v>61.55</v>
          </cell>
          <cell r="BS1889">
            <v>11.099999999999994</v>
          </cell>
        </row>
        <row r="1890">
          <cell r="B1890">
            <v>42816</v>
          </cell>
          <cell r="D1890">
            <v>49.59</v>
          </cell>
          <cell r="E1890">
            <v>49</v>
          </cell>
          <cell r="H1890">
            <v>48.97</v>
          </cell>
          <cell r="I1890">
            <v>60.6</v>
          </cell>
          <cell r="BS1890">
            <v>11.600000000000001</v>
          </cell>
        </row>
        <row r="1891">
          <cell r="B1891">
            <v>42817</v>
          </cell>
          <cell r="D1891">
            <v>49.924999999999997</v>
          </cell>
          <cell r="E1891">
            <v>49.2</v>
          </cell>
          <cell r="H1891">
            <v>48.86</v>
          </cell>
          <cell r="I1891">
            <v>60.95</v>
          </cell>
          <cell r="BS1891">
            <v>11.75</v>
          </cell>
        </row>
        <row r="1892">
          <cell r="B1892">
            <v>42818</v>
          </cell>
          <cell r="D1892">
            <v>49.95</v>
          </cell>
          <cell r="E1892">
            <v>48.95</v>
          </cell>
          <cell r="H1892">
            <v>48.46</v>
          </cell>
          <cell r="I1892">
            <v>60.25</v>
          </cell>
          <cell r="BS1892">
            <v>11.299999999999997</v>
          </cell>
        </row>
        <row r="1893">
          <cell r="B1893">
            <v>42821</v>
          </cell>
          <cell r="D1893">
            <v>50.045000000000002</v>
          </cell>
          <cell r="E1893">
            <v>48.79</v>
          </cell>
          <cell r="H1893">
            <v>48.54</v>
          </cell>
          <cell r="I1893">
            <v>59.98</v>
          </cell>
          <cell r="BS1893">
            <v>11.189999999999998</v>
          </cell>
        </row>
        <row r="1894">
          <cell r="B1894">
            <v>42822</v>
          </cell>
          <cell r="D1894">
            <v>50.784999999999997</v>
          </cell>
          <cell r="E1894">
            <v>49.25</v>
          </cell>
          <cell r="H1894">
            <v>49.34</v>
          </cell>
          <cell r="I1894">
            <v>60.74</v>
          </cell>
          <cell r="BS1894">
            <v>11.490000000000002</v>
          </cell>
        </row>
        <row r="1895">
          <cell r="B1895">
            <v>42823</v>
          </cell>
          <cell r="D1895">
            <v>51.4</v>
          </cell>
          <cell r="E1895">
            <v>50.16</v>
          </cell>
          <cell r="H1895">
            <v>50.24</v>
          </cell>
          <cell r="I1895">
            <v>61.92</v>
          </cell>
          <cell r="BS1895">
            <v>11.760000000000005</v>
          </cell>
        </row>
        <row r="1896">
          <cell r="B1896">
            <v>42824</v>
          </cell>
          <cell r="D1896">
            <v>52.234999999999999</v>
          </cell>
          <cell r="E1896">
            <v>50.7</v>
          </cell>
          <cell r="H1896">
            <v>51.12</v>
          </cell>
          <cell r="I1896">
            <v>62.82</v>
          </cell>
          <cell r="BS1896">
            <v>12.119999999999997</v>
          </cell>
        </row>
        <row r="1897">
          <cell r="B1897">
            <v>42825</v>
          </cell>
          <cell r="D1897">
            <v>51.914999999999999</v>
          </cell>
          <cell r="E1897">
            <v>50.7</v>
          </cell>
          <cell r="H1897">
            <v>50.95</v>
          </cell>
          <cell r="I1897">
            <v>63.27</v>
          </cell>
          <cell r="BS1897">
            <v>12.57</v>
          </cell>
        </row>
        <row r="1898">
          <cell r="B1898">
            <v>42828</v>
          </cell>
          <cell r="D1898">
            <v>52.075000000000003</v>
          </cell>
          <cell r="E1898">
            <v>51.69</v>
          </cell>
          <cell r="H1898">
            <v>52.04</v>
          </cell>
          <cell r="I1898">
            <v>64.19</v>
          </cell>
          <cell r="BS1898">
            <v>12.5</v>
          </cell>
        </row>
        <row r="1899">
          <cell r="B1899">
            <v>42829</v>
          </cell>
          <cell r="D1899">
            <v>53.204999999999998</v>
          </cell>
          <cell r="E1899">
            <v>51.06</v>
          </cell>
          <cell r="H1899">
            <v>51.79</v>
          </cell>
          <cell r="I1899">
            <v>63.94</v>
          </cell>
          <cell r="BS1899">
            <v>12.879999999999995</v>
          </cell>
        </row>
        <row r="1900">
          <cell r="B1900">
            <v>42830</v>
          </cell>
          <cell r="D1900">
            <v>53.475000000000001</v>
          </cell>
          <cell r="E1900">
            <v>53</v>
          </cell>
          <cell r="H1900">
            <v>52.76</v>
          </cell>
          <cell r="I1900">
            <v>65.39</v>
          </cell>
          <cell r="BS1900">
            <v>12.39</v>
          </cell>
        </row>
        <row r="1901">
          <cell r="B1901">
            <v>42831</v>
          </cell>
          <cell r="D1901">
            <v>53.63</v>
          </cell>
          <cell r="E1901">
            <v>52.58</v>
          </cell>
          <cell r="H1901">
            <v>52.17</v>
          </cell>
          <cell r="I1901">
            <v>64.83</v>
          </cell>
          <cell r="BS1901">
            <v>12.25</v>
          </cell>
        </row>
        <row r="1902">
          <cell r="B1902">
            <v>42832</v>
          </cell>
          <cell r="D1902">
            <v>54.12</v>
          </cell>
          <cell r="E1902">
            <v>53.99</v>
          </cell>
          <cell r="H1902">
            <v>53.31</v>
          </cell>
          <cell r="I1902">
            <v>66.08</v>
          </cell>
          <cell r="BS1902">
            <v>12.089999999999996</v>
          </cell>
        </row>
        <row r="1903">
          <cell r="B1903">
            <v>42835</v>
          </cell>
          <cell r="D1903">
            <v>54.975000000000001</v>
          </cell>
          <cell r="E1903">
            <v>53.9</v>
          </cell>
          <cell r="H1903">
            <v>53.65</v>
          </cell>
          <cell r="I1903">
            <v>65.650000000000006</v>
          </cell>
          <cell r="BS1903">
            <v>11.750000000000007</v>
          </cell>
        </row>
        <row r="1904">
          <cell r="B1904">
            <v>42836</v>
          </cell>
          <cell r="D1904">
            <v>54.664999999999999</v>
          </cell>
          <cell r="E1904">
            <v>54.3</v>
          </cell>
          <cell r="H1904">
            <v>53.37</v>
          </cell>
          <cell r="I1904">
            <v>66.34</v>
          </cell>
          <cell r="BS1904">
            <v>12.040000000000006</v>
          </cell>
        </row>
        <row r="1905">
          <cell r="B1905">
            <v>42837</v>
          </cell>
          <cell r="D1905">
            <v>54.844999999999999</v>
          </cell>
          <cell r="E1905">
            <v>54.65</v>
          </cell>
          <cell r="H1905">
            <v>54.06</v>
          </cell>
          <cell r="I1905">
            <v>67.58</v>
          </cell>
          <cell r="BS1905">
            <v>12.93</v>
          </cell>
        </row>
        <row r="1906">
          <cell r="B1906">
            <v>42838</v>
          </cell>
          <cell r="D1906">
            <v>54.935000000000002</v>
          </cell>
          <cell r="E1906">
            <v>54.15</v>
          </cell>
          <cell r="H1906">
            <v>54.01</v>
          </cell>
          <cell r="I1906">
            <v>66.78</v>
          </cell>
          <cell r="BS1906">
            <v>12.630000000000003</v>
          </cell>
        </row>
        <row r="1907">
          <cell r="B1907">
            <v>42839</v>
          </cell>
          <cell r="D1907" t="str">
            <v/>
          </cell>
          <cell r="E1907" t="str">
            <v/>
          </cell>
          <cell r="H1907">
            <v>0</v>
          </cell>
          <cell r="I1907">
            <v>0</v>
          </cell>
          <cell r="BS1907" t="e">
            <v>#N/A</v>
          </cell>
        </row>
        <row r="1908">
          <cell r="B1908">
            <v>42842</v>
          </cell>
          <cell r="D1908" t="str">
            <v/>
          </cell>
          <cell r="E1908">
            <v>53.5</v>
          </cell>
          <cell r="H1908">
            <v>53.36</v>
          </cell>
          <cell r="I1908">
            <v>66.36</v>
          </cell>
          <cell r="BS1908">
            <v>12.86</v>
          </cell>
        </row>
        <row r="1909">
          <cell r="B1909">
            <v>42843</v>
          </cell>
          <cell r="D1909">
            <v>53.5</v>
          </cell>
          <cell r="E1909">
            <v>53.16</v>
          </cell>
          <cell r="H1909">
            <v>53.17</v>
          </cell>
          <cell r="I1909">
            <v>66.23</v>
          </cell>
          <cell r="BS1909">
            <v>13.070000000000007</v>
          </cell>
        </row>
        <row r="1910">
          <cell r="B1910">
            <v>42844</v>
          </cell>
          <cell r="D1910">
            <v>52.905000000000001</v>
          </cell>
          <cell r="E1910">
            <v>53.05</v>
          </cell>
          <cell r="H1910">
            <v>52.83</v>
          </cell>
          <cell r="I1910">
            <v>66.03</v>
          </cell>
          <cell r="BS1910">
            <v>12.980000000000004</v>
          </cell>
        </row>
        <row r="1911">
          <cell r="B1911">
            <v>42845</v>
          </cell>
          <cell r="D1911">
            <v>51.39</v>
          </cell>
          <cell r="E1911">
            <v>51.49</v>
          </cell>
          <cell r="H1911">
            <v>51.34</v>
          </cell>
          <cell r="I1911">
            <v>64.650000000000006</v>
          </cell>
          <cell r="BS1911">
            <v>13.160000000000004</v>
          </cell>
        </row>
        <row r="1912">
          <cell r="B1912">
            <v>42846</v>
          </cell>
          <cell r="D1912">
            <v>50.454999999999998</v>
          </cell>
          <cell r="E1912">
            <v>51.3</v>
          </cell>
          <cell r="H1912">
            <v>51.42</v>
          </cell>
          <cell r="I1912">
            <v>64.849999999999994</v>
          </cell>
          <cell r="BS1912">
            <v>13.549999999999997</v>
          </cell>
        </row>
        <row r="1913">
          <cell r="B1913">
            <v>42849</v>
          </cell>
          <cell r="D1913">
            <v>50.155000000000001</v>
          </cell>
          <cell r="E1913">
            <v>50.99</v>
          </cell>
          <cell r="H1913">
            <v>51</v>
          </cell>
          <cell r="I1913">
            <v>63.92</v>
          </cell>
          <cell r="BS1913">
            <v>12.93</v>
          </cell>
        </row>
        <row r="1914">
          <cell r="B1914">
            <v>42850</v>
          </cell>
          <cell r="D1914">
            <v>50.414999999999999</v>
          </cell>
          <cell r="E1914">
            <v>50.15</v>
          </cell>
          <cell r="H1914">
            <v>50.58</v>
          </cell>
          <cell r="I1914">
            <v>62.93</v>
          </cell>
          <cell r="BS1914">
            <v>12.780000000000001</v>
          </cell>
        </row>
        <row r="1915">
          <cell r="B1915">
            <v>42851</v>
          </cell>
          <cell r="D1915">
            <v>51.005000000000003</v>
          </cell>
          <cell r="E1915">
            <v>50.52</v>
          </cell>
          <cell r="H1915">
            <v>50.85</v>
          </cell>
          <cell r="I1915">
            <v>62.67</v>
          </cell>
          <cell r="BS1915">
            <v>12.149999999999999</v>
          </cell>
        </row>
        <row r="1916">
          <cell r="B1916">
            <v>42852</v>
          </cell>
          <cell r="D1916">
            <v>49.484999999999999</v>
          </cell>
          <cell r="E1916">
            <v>49.9</v>
          </cell>
          <cell r="H1916">
            <v>49.55</v>
          </cell>
          <cell r="I1916">
            <v>61.21</v>
          </cell>
          <cell r="BS1916">
            <v>11.310000000000002</v>
          </cell>
        </row>
        <row r="1917">
          <cell r="B1917">
            <v>42853</v>
          </cell>
          <cell r="D1917">
            <v>50.39</v>
          </cell>
          <cell r="E1917">
            <v>50.18</v>
          </cell>
          <cell r="H1917">
            <v>49.72</v>
          </cell>
          <cell r="I1917">
            <v>61.73</v>
          </cell>
          <cell r="BS1917">
            <v>11.549999999999997</v>
          </cell>
        </row>
        <row r="1918">
          <cell r="B1918">
            <v>42856</v>
          </cell>
          <cell r="D1918" t="str">
            <v/>
          </cell>
          <cell r="E1918" t="str">
            <v/>
          </cell>
          <cell r="H1918">
            <v>0</v>
          </cell>
          <cell r="I1918">
            <v>0</v>
          </cell>
          <cell r="BS1918" t="e">
            <v>#N/A</v>
          </cell>
        </row>
        <row r="1919">
          <cell r="B1919">
            <v>42857</v>
          </cell>
          <cell r="D1919">
            <v>49.69</v>
          </cell>
          <cell r="E1919">
            <v>50.53</v>
          </cell>
          <cell r="H1919">
            <v>48.71</v>
          </cell>
          <cell r="I1919">
            <v>60.6</v>
          </cell>
          <cell r="BS1919">
            <v>10.07</v>
          </cell>
        </row>
        <row r="1920">
          <cell r="B1920">
            <v>42858</v>
          </cell>
          <cell r="D1920">
            <v>48.865000000000002</v>
          </cell>
          <cell r="E1920">
            <v>49.75</v>
          </cell>
          <cell r="H1920">
            <v>47.88</v>
          </cell>
          <cell r="I1920">
            <v>59.94</v>
          </cell>
          <cell r="BS1920">
            <v>10.189999999999998</v>
          </cell>
        </row>
        <row r="1921">
          <cell r="B1921">
            <v>42859</v>
          </cell>
          <cell r="D1921">
            <v>47.47</v>
          </cell>
          <cell r="E1921">
            <v>49.25</v>
          </cell>
          <cell r="H1921">
            <v>47.47</v>
          </cell>
          <cell r="I1921">
            <v>58.97</v>
          </cell>
          <cell r="BS1921">
            <v>9.7199999999999989</v>
          </cell>
        </row>
        <row r="1922">
          <cell r="B1922">
            <v>42860</v>
          </cell>
          <cell r="D1922">
            <v>47.734999999999999</v>
          </cell>
          <cell r="E1922">
            <v>47.8</v>
          </cell>
          <cell r="H1922">
            <v>46.88</v>
          </cell>
          <cell r="I1922">
            <v>57.76</v>
          </cell>
          <cell r="BS1922">
            <v>9.9600000000000009</v>
          </cell>
        </row>
        <row r="1923">
          <cell r="B1923">
            <v>42863</v>
          </cell>
          <cell r="D1923">
            <v>47.064999999999998</v>
          </cell>
          <cell r="E1923">
            <v>48.5</v>
          </cell>
          <cell r="H1923">
            <v>47.44</v>
          </cell>
          <cell r="I1923">
            <v>58.9</v>
          </cell>
          <cell r="BS1923">
            <v>10.399999999999999</v>
          </cell>
        </row>
        <row r="1924">
          <cell r="B1924">
            <v>42864</v>
          </cell>
          <cell r="D1924">
            <v>47.405000000000001</v>
          </cell>
          <cell r="E1924">
            <v>48.4</v>
          </cell>
          <cell r="H1924">
            <v>47.05</v>
          </cell>
          <cell r="I1924">
            <v>59.74</v>
          </cell>
          <cell r="BS1924">
            <v>11.340000000000003</v>
          </cell>
        </row>
        <row r="1925">
          <cell r="B1925">
            <v>42865</v>
          </cell>
          <cell r="D1925">
            <v>48.79</v>
          </cell>
          <cell r="E1925" t="str">
            <v/>
          </cell>
          <cell r="H1925">
            <v>0</v>
          </cell>
          <cell r="I1925">
            <v>0</v>
          </cell>
          <cell r="BS1925" t="e">
            <v>#N/A</v>
          </cell>
        </row>
        <row r="1926">
          <cell r="B1926">
            <v>42866</v>
          </cell>
          <cell r="D1926">
            <v>49.73</v>
          </cell>
          <cell r="E1926">
            <v>49.655000000000001</v>
          </cell>
          <cell r="H1926">
            <v>48.38</v>
          </cell>
          <cell r="I1926">
            <v>61.35</v>
          </cell>
          <cell r="BS1926">
            <v>11.695</v>
          </cell>
        </row>
        <row r="1927">
          <cell r="B1927">
            <v>42867</v>
          </cell>
          <cell r="D1927">
            <v>49.47</v>
          </cell>
          <cell r="E1927">
            <v>49.51</v>
          </cell>
          <cell r="H1927">
            <v>48.08</v>
          </cell>
          <cell r="I1927">
            <v>61.13</v>
          </cell>
          <cell r="BS1927">
            <v>11.620000000000005</v>
          </cell>
        </row>
        <row r="1928">
          <cell r="B1928">
            <v>42870</v>
          </cell>
          <cell r="D1928">
            <v>51.39</v>
          </cell>
          <cell r="E1928">
            <v>50.91</v>
          </cell>
          <cell r="H1928">
            <v>49.6</v>
          </cell>
          <cell r="I1928">
            <v>62.54</v>
          </cell>
          <cell r="BS1928">
            <v>11.630000000000003</v>
          </cell>
        </row>
        <row r="1929">
          <cell r="B1929">
            <v>42871</v>
          </cell>
          <cell r="D1929">
            <v>51.17</v>
          </cell>
          <cell r="E1929">
            <v>51.01</v>
          </cell>
          <cell r="H1929">
            <v>49.32</v>
          </cell>
          <cell r="I1929">
            <v>61.9</v>
          </cell>
          <cell r="BS1929">
            <v>10.89</v>
          </cell>
        </row>
        <row r="1930">
          <cell r="B1930">
            <v>42872</v>
          </cell>
          <cell r="D1930">
            <v>51.585000000000001</v>
          </cell>
          <cell r="E1930">
            <v>50.41</v>
          </cell>
          <cell r="H1930">
            <v>48.65</v>
          </cell>
          <cell r="I1930">
            <v>61.79</v>
          </cell>
          <cell r="BS1930">
            <v>11.380000000000003</v>
          </cell>
        </row>
        <row r="1931">
          <cell r="B1931">
            <v>42873</v>
          </cell>
          <cell r="D1931">
            <v>51.82</v>
          </cell>
          <cell r="E1931">
            <v>51.01</v>
          </cell>
          <cell r="H1931">
            <v>48.55</v>
          </cell>
          <cell r="I1931">
            <v>62.06</v>
          </cell>
          <cell r="BS1931">
            <v>11.050000000000004</v>
          </cell>
        </row>
        <row r="1932">
          <cell r="B1932">
            <v>42874</v>
          </cell>
          <cell r="D1932">
            <v>52.79</v>
          </cell>
          <cell r="E1932">
            <v>52.05</v>
          </cell>
          <cell r="H1932">
            <v>49.56</v>
          </cell>
          <cell r="I1932">
            <v>63.67</v>
          </cell>
          <cell r="BS1932">
            <v>11.620000000000005</v>
          </cell>
        </row>
        <row r="1933">
          <cell r="B1933">
            <v>42877</v>
          </cell>
          <cell r="D1933">
            <v>53.384999999999998</v>
          </cell>
          <cell r="E1933">
            <v>52.78</v>
          </cell>
          <cell r="H1933">
            <v>50.25</v>
          </cell>
          <cell r="I1933">
            <v>64.48</v>
          </cell>
          <cell r="BS1933">
            <v>11.700000000000003</v>
          </cell>
        </row>
        <row r="1934">
          <cell r="B1934">
            <v>42878</v>
          </cell>
          <cell r="D1934">
            <v>53.424999999999997</v>
          </cell>
          <cell r="E1934">
            <v>52.3</v>
          </cell>
          <cell r="H1934">
            <v>49.77</v>
          </cell>
          <cell r="I1934">
            <v>63.61</v>
          </cell>
          <cell r="BS1934">
            <v>11.310000000000002</v>
          </cell>
        </row>
        <row r="1935">
          <cell r="B1935">
            <v>42879</v>
          </cell>
          <cell r="D1935">
            <v>53.524999999999999</v>
          </cell>
          <cell r="E1935">
            <v>53.15</v>
          </cell>
          <cell r="H1935">
            <v>50.22</v>
          </cell>
          <cell r="I1935">
            <v>64.42</v>
          </cell>
          <cell r="BS1935">
            <v>11.270000000000003</v>
          </cell>
        </row>
        <row r="1936">
          <cell r="B1936">
            <v>42880</v>
          </cell>
          <cell r="D1936">
            <v>52.555</v>
          </cell>
          <cell r="E1936">
            <v>52.75</v>
          </cell>
          <cell r="H1936">
            <v>49.86</v>
          </cell>
          <cell r="I1936">
            <v>63.68</v>
          </cell>
          <cell r="BS1936">
            <v>10.93</v>
          </cell>
        </row>
        <row r="1937">
          <cell r="B1937">
            <v>42881</v>
          </cell>
          <cell r="D1937">
            <v>51.21</v>
          </cell>
          <cell r="E1937">
            <v>50.4</v>
          </cell>
          <cell r="H1937">
            <v>47.86</v>
          </cell>
          <cell r="I1937">
            <v>62.03</v>
          </cell>
          <cell r="BS1937">
            <v>11.630000000000003</v>
          </cell>
        </row>
        <row r="1938">
          <cell r="B1938">
            <v>42884</v>
          </cell>
          <cell r="D1938" t="str">
            <v/>
          </cell>
          <cell r="E1938">
            <v>50.61</v>
          </cell>
          <cell r="H1938">
            <v>48.02</v>
          </cell>
          <cell r="I1938">
            <v>62.31</v>
          </cell>
          <cell r="BS1938">
            <v>11.700000000000003</v>
          </cell>
        </row>
        <row r="1939">
          <cell r="B1939">
            <v>42885</v>
          </cell>
          <cell r="D1939">
            <v>50.615000000000002</v>
          </cell>
          <cell r="E1939">
            <v>50.4</v>
          </cell>
          <cell r="H1939">
            <v>48.19</v>
          </cell>
          <cell r="I1939">
            <v>62.23</v>
          </cell>
          <cell r="BS1939">
            <v>11.829999999999998</v>
          </cell>
        </row>
        <row r="1940">
          <cell r="B1940">
            <v>42886</v>
          </cell>
          <cell r="D1940">
            <v>49.26</v>
          </cell>
          <cell r="E1940">
            <v>50.1</v>
          </cell>
          <cell r="H1940">
            <v>47.92</v>
          </cell>
          <cell r="I1940">
            <v>62.03</v>
          </cell>
          <cell r="BS1940">
            <v>11.93</v>
          </cell>
        </row>
        <row r="1941">
          <cell r="B1941">
            <v>42887</v>
          </cell>
          <cell r="D1941">
            <v>50.06</v>
          </cell>
          <cell r="E1941">
            <v>50.19</v>
          </cell>
          <cell r="H1941">
            <v>48.2</v>
          </cell>
          <cell r="I1941">
            <v>62.08</v>
          </cell>
          <cell r="BS1941">
            <v>11.89</v>
          </cell>
        </row>
        <row r="1942">
          <cell r="B1942">
            <v>42888</v>
          </cell>
          <cell r="D1942">
            <v>48.85</v>
          </cell>
          <cell r="E1942">
            <v>48.305</v>
          </cell>
          <cell r="H1942">
            <v>46.48</v>
          </cell>
          <cell r="I1942">
            <v>60.42</v>
          </cell>
          <cell r="BS1942">
            <v>12.115000000000002</v>
          </cell>
        </row>
        <row r="1943">
          <cell r="B1943">
            <v>42891</v>
          </cell>
          <cell r="D1943">
            <v>48.045000000000002</v>
          </cell>
          <cell r="E1943">
            <v>48.75</v>
          </cell>
          <cell r="H1943">
            <v>46.79</v>
          </cell>
          <cell r="I1943">
            <v>60.68</v>
          </cell>
          <cell r="BS1943">
            <v>11.93</v>
          </cell>
        </row>
        <row r="1944">
          <cell r="B1944">
            <v>42892</v>
          </cell>
          <cell r="D1944">
            <v>48.234999999999999</v>
          </cell>
          <cell r="E1944">
            <v>47.9</v>
          </cell>
          <cell r="H1944">
            <v>46.12</v>
          </cell>
          <cell r="I1944">
            <v>59.88</v>
          </cell>
          <cell r="BS1944">
            <v>11.980000000000004</v>
          </cell>
        </row>
        <row r="1945">
          <cell r="B1945">
            <v>42893</v>
          </cell>
          <cell r="D1945">
            <v>47.215000000000003</v>
          </cell>
          <cell r="E1945">
            <v>48.41</v>
          </cell>
          <cell r="H1945">
            <v>45.97</v>
          </cell>
          <cell r="I1945">
            <v>60.03</v>
          </cell>
          <cell r="BS1945">
            <v>11.620000000000005</v>
          </cell>
        </row>
        <row r="1946">
          <cell r="B1946">
            <v>42894</v>
          </cell>
          <cell r="D1946">
            <v>46.585000000000001</v>
          </cell>
          <cell r="E1946">
            <v>47.09</v>
          </cell>
          <cell r="H1946">
            <v>44.83</v>
          </cell>
          <cell r="I1946">
            <v>58.85</v>
          </cell>
          <cell r="BS1946">
            <v>11.759999999999998</v>
          </cell>
        </row>
        <row r="1947">
          <cell r="B1947">
            <v>42895</v>
          </cell>
          <cell r="D1947">
            <v>46.984999999999999</v>
          </cell>
          <cell r="E1947">
            <v>46.45</v>
          </cell>
          <cell r="H1947">
            <v>44.57</v>
          </cell>
          <cell r="I1947">
            <v>58.2</v>
          </cell>
          <cell r="BS1947">
            <v>11.75</v>
          </cell>
        </row>
        <row r="1948">
          <cell r="B1948">
            <v>42898</v>
          </cell>
          <cell r="D1948">
            <v>47.424999999999997</v>
          </cell>
          <cell r="E1948">
            <v>47.04</v>
          </cell>
          <cell r="H1948">
            <v>45.49</v>
          </cell>
          <cell r="I1948">
            <v>58.52</v>
          </cell>
          <cell r="BS1948">
            <v>11.480000000000004</v>
          </cell>
        </row>
        <row r="1949">
          <cell r="B1949">
            <v>42899</v>
          </cell>
          <cell r="D1949">
            <v>46.795000000000002</v>
          </cell>
          <cell r="E1949">
            <v>47.31</v>
          </cell>
          <cell r="H1949">
            <v>45.63</v>
          </cell>
          <cell r="I1949">
            <v>58.14</v>
          </cell>
          <cell r="BS1949">
            <v>10.829999999999998</v>
          </cell>
        </row>
        <row r="1950">
          <cell r="B1950">
            <v>42900</v>
          </cell>
          <cell r="D1950">
            <v>45.62</v>
          </cell>
          <cell r="E1950">
            <v>46.75</v>
          </cell>
          <cell r="H1950">
            <v>45.25</v>
          </cell>
          <cell r="I1950">
            <v>57.28</v>
          </cell>
          <cell r="BS1950">
            <v>10.530000000000001</v>
          </cell>
        </row>
        <row r="1951">
          <cell r="B1951">
            <v>42901</v>
          </cell>
          <cell r="D1951">
            <v>45.805</v>
          </cell>
          <cell r="E1951">
            <v>45.39</v>
          </cell>
          <cell r="H1951">
            <v>44.25</v>
          </cell>
          <cell r="I1951">
            <v>55.42</v>
          </cell>
          <cell r="BS1951">
            <v>10.030000000000001</v>
          </cell>
        </row>
        <row r="1952">
          <cell r="B1952">
            <v>42902</v>
          </cell>
          <cell r="D1952">
            <v>46.015000000000001</v>
          </cell>
          <cell r="E1952">
            <v>45.854999999999997</v>
          </cell>
          <cell r="H1952">
            <v>44.6</v>
          </cell>
          <cell r="I1952">
            <v>56.35</v>
          </cell>
          <cell r="BS1952">
            <v>10.495000000000005</v>
          </cell>
        </row>
        <row r="1953">
          <cell r="B1953">
            <v>42905</v>
          </cell>
          <cell r="D1953">
            <v>46.145000000000003</v>
          </cell>
          <cell r="E1953">
            <v>45.62</v>
          </cell>
          <cell r="H1953">
            <v>44.29</v>
          </cell>
          <cell r="I1953">
            <v>55.94</v>
          </cell>
          <cell r="BS1953">
            <v>10.32</v>
          </cell>
        </row>
        <row r="1954">
          <cell r="B1954">
            <v>42906</v>
          </cell>
          <cell r="D1954">
            <v>44.28</v>
          </cell>
          <cell r="E1954">
            <v>45.66</v>
          </cell>
          <cell r="H1954">
            <v>44.33</v>
          </cell>
          <cell r="I1954">
            <v>56.07</v>
          </cell>
          <cell r="BS1954">
            <v>10.410000000000004</v>
          </cell>
        </row>
        <row r="1955">
          <cell r="B1955">
            <v>42907</v>
          </cell>
          <cell r="D1955">
            <v>44.6</v>
          </cell>
          <cell r="E1955">
            <v>44.32</v>
          </cell>
          <cell r="H1955">
            <v>43.47</v>
          </cell>
          <cell r="I1955">
            <v>54.63</v>
          </cell>
          <cell r="BS1955">
            <v>10.310000000000002</v>
          </cell>
        </row>
        <row r="1956">
          <cell r="B1956">
            <v>42908</v>
          </cell>
          <cell r="D1956">
            <v>44.65</v>
          </cell>
          <cell r="E1956">
            <v>43.5</v>
          </cell>
          <cell r="H1956">
            <v>42.56</v>
          </cell>
          <cell r="I1956">
            <v>54</v>
          </cell>
          <cell r="BS1956">
            <v>10.5</v>
          </cell>
        </row>
        <row r="1957">
          <cell r="B1957">
            <v>42909</v>
          </cell>
          <cell r="D1957">
            <v>44.465000000000003</v>
          </cell>
          <cell r="E1957">
            <v>44.2</v>
          </cell>
          <cell r="H1957">
            <v>42.87</v>
          </cell>
          <cell r="I1957">
            <v>55.41</v>
          </cell>
          <cell r="BS1957">
            <v>11.209999999999994</v>
          </cell>
        </row>
        <row r="1958">
          <cell r="B1958">
            <v>42912</v>
          </cell>
          <cell r="D1958">
            <v>44.62</v>
          </cell>
          <cell r="E1958" t="str">
            <v/>
          </cell>
          <cell r="H1958">
            <v>0</v>
          </cell>
          <cell r="I1958">
            <v>0</v>
          </cell>
          <cell r="BS1958" t="e">
            <v>#N/A</v>
          </cell>
        </row>
        <row r="1959">
          <cell r="B1959">
            <v>42913</v>
          </cell>
          <cell r="D1959">
            <v>46.174999999999997</v>
          </cell>
          <cell r="E1959">
            <v>45.08</v>
          </cell>
          <cell r="H1959">
            <v>43.26</v>
          </cell>
          <cell r="I1959">
            <v>55.42</v>
          </cell>
          <cell r="BS1959">
            <v>10.340000000000003</v>
          </cell>
        </row>
        <row r="1960">
          <cell r="B1960">
            <v>42914</v>
          </cell>
          <cell r="D1960">
            <v>46.465000000000003</v>
          </cell>
          <cell r="E1960">
            <v>45.25</v>
          </cell>
          <cell r="H1960">
            <v>43.26</v>
          </cell>
          <cell r="I1960">
            <v>55.11</v>
          </cell>
          <cell r="BS1960">
            <v>9.86</v>
          </cell>
        </row>
        <row r="1961">
          <cell r="B1961">
            <v>42915</v>
          </cell>
          <cell r="D1961">
            <v>47.075000000000003</v>
          </cell>
          <cell r="E1961">
            <v>46.41</v>
          </cell>
          <cell r="H1961">
            <v>44.17</v>
          </cell>
          <cell r="I1961">
            <v>56.75</v>
          </cell>
          <cell r="BS1961">
            <v>10.340000000000003</v>
          </cell>
        </row>
        <row r="1962">
          <cell r="B1962">
            <v>42916</v>
          </cell>
          <cell r="D1962">
            <v>47.39</v>
          </cell>
          <cell r="E1962">
            <v>46.44</v>
          </cell>
          <cell r="H1962">
            <v>44.34</v>
          </cell>
          <cell r="I1962">
            <v>56.38</v>
          </cell>
          <cell r="BS1962">
            <v>9.9400000000000048</v>
          </cell>
        </row>
        <row r="1963">
          <cell r="B1963">
            <v>42919</v>
          </cell>
          <cell r="D1963">
            <v>48.95</v>
          </cell>
          <cell r="E1963">
            <v>47.7</v>
          </cell>
          <cell r="H1963">
            <v>45.52</v>
          </cell>
          <cell r="I1963">
            <v>57.5</v>
          </cell>
          <cell r="BS1963">
            <v>9.7999999999999972</v>
          </cell>
        </row>
        <row r="1964">
          <cell r="B1964">
            <v>42920</v>
          </cell>
          <cell r="D1964">
            <v>49.284999999999997</v>
          </cell>
          <cell r="E1964">
            <v>48.34</v>
          </cell>
          <cell r="H1964">
            <v>45.64</v>
          </cell>
          <cell r="I1964">
            <v>58.32</v>
          </cell>
          <cell r="BS1964">
            <v>9.9799999999999969</v>
          </cell>
        </row>
        <row r="1965">
          <cell r="B1965">
            <v>42921</v>
          </cell>
          <cell r="D1965">
            <v>47.625</v>
          </cell>
          <cell r="E1965">
            <v>48.31</v>
          </cell>
          <cell r="H1965">
            <v>45.3</v>
          </cell>
          <cell r="I1965">
            <v>58.35</v>
          </cell>
          <cell r="BS1965">
            <v>10.039999999999999</v>
          </cell>
        </row>
        <row r="1966">
          <cell r="B1966">
            <v>42922</v>
          </cell>
          <cell r="D1966">
            <v>48.6</v>
          </cell>
          <cell r="E1966">
            <v>47.145000000000003</v>
          </cell>
          <cell r="H1966">
            <v>44.62</v>
          </cell>
          <cell r="I1966">
            <v>58.09</v>
          </cell>
          <cell r="BS1966">
            <v>10.945</v>
          </cell>
        </row>
        <row r="1967">
          <cell r="B1967">
            <v>42923</v>
          </cell>
          <cell r="D1967">
            <v>46.524999999999999</v>
          </cell>
          <cell r="E1967">
            <v>45.95</v>
          </cell>
          <cell r="H1967">
            <v>43.76</v>
          </cell>
          <cell r="I1967">
            <v>57.39</v>
          </cell>
          <cell r="BS1967">
            <v>11.439999999999998</v>
          </cell>
        </row>
        <row r="1968">
          <cell r="B1968">
            <v>42926</v>
          </cell>
          <cell r="D1968">
            <v>46.78</v>
          </cell>
          <cell r="E1968">
            <v>45.3</v>
          </cell>
          <cell r="H1968">
            <v>43.46</v>
          </cell>
          <cell r="I1968">
            <v>56.72</v>
          </cell>
          <cell r="BS1968">
            <v>11.420000000000002</v>
          </cell>
        </row>
        <row r="1969">
          <cell r="B1969">
            <v>42927</v>
          </cell>
          <cell r="D1969">
            <v>46.524999999999999</v>
          </cell>
          <cell r="E1969">
            <v>45.27</v>
          </cell>
          <cell r="H1969">
            <v>43.51</v>
          </cell>
          <cell r="I1969">
            <v>56.77</v>
          </cell>
          <cell r="BS1969">
            <v>11.5</v>
          </cell>
        </row>
        <row r="1970">
          <cell r="B1970">
            <v>42928</v>
          </cell>
          <cell r="D1970">
            <v>47.005000000000003</v>
          </cell>
          <cell r="E1970">
            <v>46.91</v>
          </cell>
          <cell r="H1970">
            <v>44.62</v>
          </cell>
          <cell r="I1970">
            <v>58.41</v>
          </cell>
          <cell r="BS1970">
            <v>11.5</v>
          </cell>
        </row>
        <row r="1971">
          <cell r="B1971">
            <v>42929</v>
          </cell>
          <cell r="D1971">
            <v>47.895000000000003</v>
          </cell>
          <cell r="E1971">
            <v>46</v>
          </cell>
          <cell r="H1971">
            <v>43.46</v>
          </cell>
          <cell r="I1971">
            <v>56.93</v>
          </cell>
          <cell r="BS1971">
            <v>10.93</v>
          </cell>
        </row>
        <row r="1972">
          <cell r="B1972">
            <v>42930</v>
          </cell>
          <cell r="D1972">
            <v>48.03</v>
          </cell>
          <cell r="E1972">
            <v>47.02</v>
          </cell>
          <cell r="H1972">
            <v>44.15</v>
          </cell>
          <cell r="I1972">
            <v>57.57</v>
          </cell>
          <cell r="BS1972">
            <v>10.549999999999997</v>
          </cell>
        </row>
        <row r="1973">
          <cell r="B1973">
            <v>42933</v>
          </cell>
          <cell r="D1973">
            <v>48.005000000000003</v>
          </cell>
          <cell r="E1973">
            <v>47.7</v>
          </cell>
          <cell r="H1973">
            <v>45.34</v>
          </cell>
          <cell r="I1973">
            <v>58.76</v>
          </cell>
          <cell r="BS1973">
            <v>11.059999999999995</v>
          </cell>
        </row>
        <row r="1974">
          <cell r="B1974">
            <v>42934</v>
          </cell>
          <cell r="D1974">
            <v>47.79</v>
          </cell>
          <cell r="E1974">
            <v>47.19</v>
          </cell>
          <cell r="H1974">
            <v>45.12</v>
          </cell>
          <cell r="I1974">
            <v>58.33</v>
          </cell>
          <cell r="BS1974">
            <v>11.14</v>
          </cell>
        </row>
        <row r="1975">
          <cell r="B1975">
            <v>42935</v>
          </cell>
          <cell r="D1975">
            <v>48.604999999999997</v>
          </cell>
          <cell r="E1975">
            <v>47.39</v>
          </cell>
          <cell r="H1975">
            <v>45.67</v>
          </cell>
          <cell r="I1975">
            <v>59.1</v>
          </cell>
          <cell r="BS1975">
            <v>11.71</v>
          </cell>
        </row>
        <row r="1976">
          <cell r="B1976">
            <v>42936</v>
          </cell>
          <cell r="D1976">
            <v>48.68</v>
          </cell>
          <cell r="E1976">
            <v>48.35</v>
          </cell>
          <cell r="H1976">
            <v>46.48</v>
          </cell>
          <cell r="I1976">
            <v>60.71</v>
          </cell>
          <cell r="BS1976">
            <v>12.36</v>
          </cell>
        </row>
        <row r="1977">
          <cell r="B1977">
            <v>42937</v>
          </cell>
          <cell r="D1977">
            <v>47.91</v>
          </cell>
          <cell r="E1977">
            <v>48.16</v>
          </cell>
          <cell r="H1977">
            <v>46.99</v>
          </cell>
          <cell r="I1977">
            <v>61.23</v>
          </cell>
          <cell r="BS1977">
            <v>13.07</v>
          </cell>
        </row>
        <row r="1978">
          <cell r="B1978">
            <v>42940</v>
          </cell>
          <cell r="D1978">
            <v>47.965000000000003</v>
          </cell>
          <cell r="E1978">
            <v>46.45</v>
          </cell>
          <cell r="H1978">
            <v>45.21</v>
          </cell>
          <cell r="I1978">
            <v>58.66</v>
          </cell>
          <cell r="BS1978">
            <v>12.209999999999994</v>
          </cell>
        </row>
        <row r="1979">
          <cell r="B1979">
            <v>42941</v>
          </cell>
          <cell r="D1979">
            <v>49.354999999999997</v>
          </cell>
          <cell r="E1979">
            <v>47.32</v>
          </cell>
          <cell r="H1979">
            <v>45.65</v>
          </cell>
          <cell r="I1979">
            <v>58.99</v>
          </cell>
          <cell r="BS1979">
            <v>11.670000000000002</v>
          </cell>
        </row>
        <row r="1980">
          <cell r="B1980">
            <v>42942</v>
          </cell>
          <cell r="D1980">
            <v>50.09</v>
          </cell>
          <cell r="E1980">
            <v>49.09</v>
          </cell>
          <cell r="H1980">
            <v>47.21</v>
          </cell>
          <cell r="I1980">
            <v>60.61</v>
          </cell>
          <cell r="BS1980">
            <v>11.519999999999996</v>
          </cell>
        </row>
        <row r="1981">
          <cell r="B1981">
            <v>42943</v>
          </cell>
          <cell r="D1981">
            <v>50.74</v>
          </cell>
          <cell r="E1981">
            <v>49.3</v>
          </cell>
          <cell r="H1981">
            <v>48.26</v>
          </cell>
          <cell r="I1981">
            <v>61.38</v>
          </cell>
          <cell r="BS1981">
            <v>12.080000000000005</v>
          </cell>
        </row>
        <row r="1982">
          <cell r="B1982">
            <v>42944</v>
          </cell>
          <cell r="D1982">
            <v>51.704999999999998</v>
          </cell>
          <cell r="E1982">
            <v>49.7</v>
          </cell>
          <cell r="H1982">
            <v>49.15</v>
          </cell>
          <cell r="I1982">
            <v>62.54</v>
          </cell>
          <cell r="BS1982">
            <v>12.839999999999996</v>
          </cell>
        </row>
        <row r="1983">
          <cell r="B1983">
            <v>42947</v>
          </cell>
          <cell r="D1983">
            <v>51.784999999999997</v>
          </cell>
          <cell r="E1983">
            <v>50.35</v>
          </cell>
          <cell r="H1983">
            <v>50.34</v>
          </cell>
          <cell r="I1983">
            <v>63.54</v>
          </cell>
          <cell r="BS1983">
            <v>13.189999999999998</v>
          </cell>
        </row>
        <row r="1984">
          <cell r="B1984">
            <v>42948</v>
          </cell>
          <cell r="D1984">
            <v>50.914999999999999</v>
          </cell>
          <cell r="E1984">
            <v>51.3</v>
          </cell>
          <cell r="H1984">
            <v>51.46</v>
          </cell>
          <cell r="I1984">
            <v>64.319999999999993</v>
          </cell>
          <cell r="BS1984">
            <v>13.019999999999996</v>
          </cell>
        </row>
        <row r="1985">
          <cell r="B1985">
            <v>42949</v>
          </cell>
          <cell r="D1985">
            <v>52.17</v>
          </cell>
          <cell r="E1985">
            <v>50.255000000000003</v>
          </cell>
          <cell r="H1985">
            <v>49.98</v>
          </cell>
          <cell r="I1985">
            <v>63.22</v>
          </cell>
          <cell r="BS1985">
            <v>12.964999999999996</v>
          </cell>
        </row>
        <row r="1986">
          <cell r="B1986">
            <v>42950</v>
          </cell>
          <cell r="D1986">
            <v>52.905000000000001</v>
          </cell>
          <cell r="E1986">
            <v>50.85</v>
          </cell>
          <cell r="H1986">
            <v>50.59</v>
          </cell>
          <cell r="I1986">
            <v>63.42</v>
          </cell>
          <cell r="BS1986">
            <v>12.57</v>
          </cell>
        </row>
        <row r="1987">
          <cell r="B1987">
            <v>42951</v>
          </cell>
          <cell r="D1987">
            <v>52.46</v>
          </cell>
          <cell r="E1987">
            <v>50.34</v>
          </cell>
          <cell r="H1987">
            <v>50.11</v>
          </cell>
          <cell r="I1987">
            <v>63.36</v>
          </cell>
          <cell r="BS1987">
            <v>13.019999999999996</v>
          </cell>
        </row>
        <row r="1988">
          <cell r="B1988">
            <v>42954</v>
          </cell>
          <cell r="D1988">
            <v>51.454999999999998</v>
          </cell>
          <cell r="E1988">
            <v>50.8</v>
          </cell>
          <cell r="H1988">
            <v>50.5</v>
          </cell>
          <cell r="I1988">
            <v>64.239999999999995</v>
          </cell>
          <cell r="BS1988">
            <v>13.439999999999998</v>
          </cell>
        </row>
        <row r="1989">
          <cell r="B1989">
            <v>42955</v>
          </cell>
          <cell r="D1989">
            <v>52.145000000000003</v>
          </cell>
          <cell r="E1989">
            <v>51.3</v>
          </cell>
          <cell r="H1989">
            <v>50.45</v>
          </cell>
          <cell r="I1989">
            <v>64.760000000000005</v>
          </cell>
          <cell r="BS1989">
            <v>13.460000000000008</v>
          </cell>
        </row>
        <row r="1990">
          <cell r="B1990">
            <v>42956</v>
          </cell>
          <cell r="D1990">
            <v>51.97</v>
          </cell>
          <cell r="E1990" t="str">
            <v/>
          </cell>
          <cell r="H1990">
            <v>0</v>
          </cell>
          <cell r="I1990">
            <v>0</v>
          </cell>
          <cell r="BS1990" t="e">
            <v>#N/A</v>
          </cell>
        </row>
        <row r="1991">
          <cell r="B1991">
            <v>42957</v>
          </cell>
          <cell r="D1991">
            <v>52.384999999999998</v>
          </cell>
          <cell r="E1991">
            <v>51.6</v>
          </cell>
          <cell r="H1991">
            <v>50.88</v>
          </cell>
          <cell r="I1991">
            <v>64.959999999999994</v>
          </cell>
          <cell r="BS1991">
            <v>13.359999999999992</v>
          </cell>
        </row>
        <row r="1992">
          <cell r="B1992">
            <v>42958</v>
          </cell>
          <cell r="D1992">
            <v>51.484999999999999</v>
          </cell>
          <cell r="E1992">
            <v>49.84</v>
          </cell>
          <cell r="H1992">
            <v>49.13</v>
          </cell>
          <cell r="I1992">
            <v>64.099999999999994</v>
          </cell>
          <cell r="BS1992">
            <v>14.259999999999991</v>
          </cell>
        </row>
        <row r="1993">
          <cell r="B1993">
            <v>42961</v>
          </cell>
          <cell r="D1993">
            <v>51.19</v>
          </cell>
          <cell r="E1993">
            <v>50.38</v>
          </cell>
          <cell r="H1993">
            <v>49.91</v>
          </cell>
          <cell r="I1993">
            <v>64.61</v>
          </cell>
          <cell r="BS1993">
            <v>14.229999999999997</v>
          </cell>
        </row>
        <row r="1994">
          <cell r="B1994">
            <v>42962</v>
          </cell>
          <cell r="D1994">
            <v>49.765000000000001</v>
          </cell>
          <cell r="E1994">
            <v>49.25</v>
          </cell>
          <cell r="H1994">
            <v>49.13</v>
          </cell>
          <cell r="I1994">
            <v>63.66</v>
          </cell>
          <cell r="BS1994">
            <v>14.409999999999997</v>
          </cell>
        </row>
        <row r="1995">
          <cell r="B1995">
            <v>42963</v>
          </cell>
          <cell r="D1995">
            <v>50.32</v>
          </cell>
          <cell r="E1995">
            <v>49.56</v>
          </cell>
          <cell r="H1995">
            <v>49.33</v>
          </cell>
          <cell r="I1995">
            <v>64.239999999999995</v>
          </cell>
          <cell r="BS1995">
            <v>14.679999999999993</v>
          </cell>
        </row>
        <row r="1996">
          <cell r="B1996">
            <v>42964</v>
          </cell>
          <cell r="D1996">
            <v>50.13</v>
          </cell>
          <cell r="E1996">
            <v>48.61</v>
          </cell>
          <cell r="H1996">
            <v>48.61</v>
          </cell>
          <cell r="I1996">
            <v>63.16</v>
          </cell>
          <cell r="BS1996">
            <v>14.549999999999997</v>
          </cell>
        </row>
        <row r="1997">
          <cell r="B1997">
            <v>42965</v>
          </cell>
          <cell r="D1997">
            <v>50.914999999999999</v>
          </cell>
          <cell r="E1997">
            <v>49.25</v>
          </cell>
          <cell r="H1997">
            <v>49.72</v>
          </cell>
          <cell r="I1997">
            <v>64.739999999999995</v>
          </cell>
          <cell r="BS1997">
            <v>15.489999999999995</v>
          </cell>
        </row>
        <row r="1998">
          <cell r="B1998">
            <v>42968</v>
          </cell>
          <cell r="D1998">
            <v>51.604999999999997</v>
          </cell>
          <cell r="E1998">
            <v>50.71</v>
          </cell>
          <cell r="H1998">
            <v>50.55</v>
          </cell>
          <cell r="I1998">
            <v>65.66</v>
          </cell>
          <cell r="BS1998">
            <v>14.949999999999996</v>
          </cell>
        </row>
        <row r="1999">
          <cell r="B1999">
            <v>42969</v>
          </cell>
          <cell r="D1999">
            <v>51.89</v>
          </cell>
          <cell r="E1999">
            <v>50</v>
          </cell>
          <cell r="H1999">
            <v>50.13</v>
          </cell>
          <cell r="I1999">
            <v>65.150000000000006</v>
          </cell>
          <cell r="BS1999">
            <v>15.150000000000006</v>
          </cell>
        </row>
        <row r="2000">
          <cell r="B2000">
            <v>42970</v>
          </cell>
          <cell r="D2000">
            <v>52.075000000000003</v>
          </cell>
          <cell r="E2000">
            <v>49.91</v>
          </cell>
          <cell r="H2000">
            <v>49.8</v>
          </cell>
          <cell r="I2000">
            <v>64.2</v>
          </cell>
          <cell r="BS2000">
            <v>14.290000000000006</v>
          </cell>
        </row>
        <row r="2001">
          <cell r="B2001">
            <v>42971</v>
          </cell>
          <cell r="D2001">
            <v>51.91</v>
          </cell>
          <cell r="E2001">
            <v>50.55</v>
          </cell>
          <cell r="H2001">
            <v>50.64</v>
          </cell>
          <cell r="I2001">
            <v>64.92</v>
          </cell>
          <cell r="BS2001">
            <v>14.370000000000005</v>
          </cell>
        </row>
        <row r="2002">
          <cell r="B2002">
            <v>42972</v>
          </cell>
          <cell r="D2002">
            <v>52.075000000000003</v>
          </cell>
          <cell r="E2002">
            <v>50.59</v>
          </cell>
          <cell r="H2002">
            <v>51.1</v>
          </cell>
          <cell r="I2002">
            <v>65.510000000000005</v>
          </cell>
          <cell r="BS2002">
            <v>14.920000000000002</v>
          </cell>
        </row>
        <row r="2003">
          <cell r="B2003">
            <v>42975</v>
          </cell>
          <cell r="D2003" t="str">
            <v/>
          </cell>
          <cell r="E2003">
            <v>50.51</v>
          </cell>
          <cell r="H2003">
            <v>51.38</v>
          </cell>
          <cell r="I2003">
            <v>65.709999999999994</v>
          </cell>
          <cell r="BS2003">
            <v>15.199999999999996</v>
          </cell>
        </row>
        <row r="2004">
          <cell r="B2004">
            <v>42976</v>
          </cell>
          <cell r="D2004">
            <v>51.75</v>
          </cell>
          <cell r="E2004">
            <v>50.1</v>
          </cell>
          <cell r="H2004">
            <v>51.28</v>
          </cell>
          <cell r="I2004">
            <v>65.03</v>
          </cell>
          <cell r="BS2004">
            <v>14.93</v>
          </cell>
        </row>
        <row r="2005">
          <cell r="B2005">
            <v>42977</v>
          </cell>
          <cell r="D2005">
            <v>51.865000000000002</v>
          </cell>
          <cell r="E2005">
            <v>49.9</v>
          </cell>
          <cell r="H2005">
            <v>51.77</v>
          </cell>
          <cell r="I2005">
            <v>67.180000000000007</v>
          </cell>
          <cell r="BS2005">
            <v>17.280000000000008</v>
          </cell>
        </row>
        <row r="2006">
          <cell r="B2006">
            <v>42978</v>
          </cell>
          <cell r="D2006">
            <v>52.734999999999999</v>
          </cell>
          <cell r="E2006">
            <v>49.3</v>
          </cell>
          <cell r="H2006">
            <v>50.71</v>
          </cell>
          <cell r="I2006">
            <v>67.27</v>
          </cell>
          <cell r="BS2006">
            <v>17.97</v>
          </cell>
        </row>
        <row r="2007">
          <cell r="B2007">
            <v>42979</v>
          </cell>
          <cell r="D2007">
            <v>53.015000000000001</v>
          </cell>
          <cell r="E2007" t="str">
            <v/>
          </cell>
          <cell r="H2007">
            <v>0</v>
          </cell>
          <cell r="I2007">
            <v>0</v>
          </cell>
          <cell r="BS2007" t="e">
            <v>#N/A</v>
          </cell>
        </row>
        <row r="2008">
          <cell r="B2008">
            <v>42982</v>
          </cell>
          <cell r="D2008">
            <v>52.66</v>
          </cell>
          <cell r="E2008">
            <v>50.72</v>
          </cell>
          <cell r="H2008">
            <v>51.98</v>
          </cell>
          <cell r="I2008">
            <v>67.64</v>
          </cell>
          <cell r="BS2008">
            <v>16.920000000000002</v>
          </cell>
        </row>
        <row r="2009">
          <cell r="B2009">
            <v>42983</v>
          </cell>
          <cell r="D2009">
            <v>53.835000000000001</v>
          </cell>
          <cell r="E2009">
            <v>51.1</v>
          </cell>
          <cell r="H2009">
            <v>52.07</v>
          </cell>
          <cell r="I2009">
            <v>67.53</v>
          </cell>
          <cell r="BS2009">
            <v>16.43</v>
          </cell>
        </row>
        <row r="2010">
          <cell r="B2010">
            <v>42984</v>
          </cell>
          <cell r="D2010">
            <v>54.695</v>
          </cell>
          <cell r="E2010">
            <v>52.16</v>
          </cell>
          <cell r="H2010">
            <v>53.33</v>
          </cell>
          <cell r="I2010">
            <v>67.73</v>
          </cell>
          <cell r="BS2010">
            <v>15.570000000000007</v>
          </cell>
        </row>
        <row r="2011">
          <cell r="B2011">
            <v>42985</v>
          </cell>
          <cell r="D2011">
            <v>53.965000000000003</v>
          </cell>
          <cell r="E2011">
            <v>53</v>
          </cell>
          <cell r="H2011">
            <v>54.29</v>
          </cell>
          <cell r="I2011">
            <v>67.239999999999995</v>
          </cell>
          <cell r="BS2011">
            <v>14.239999999999995</v>
          </cell>
        </row>
        <row r="2012">
          <cell r="B2012">
            <v>42986</v>
          </cell>
          <cell r="D2012">
            <v>54.43</v>
          </cell>
          <cell r="E2012">
            <v>53.19</v>
          </cell>
          <cell r="H2012">
            <v>54.71</v>
          </cell>
          <cell r="I2012">
            <v>67.849999999999994</v>
          </cell>
          <cell r="BS2012">
            <v>14.659999999999997</v>
          </cell>
        </row>
        <row r="2013">
          <cell r="B2013">
            <v>42989</v>
          </cell>
          <cell r="D2013">
            <v>53.97</v>
          </cell>
          <cell r="E2013">
            <v>52.1</v>
          </cell>
          <cell r="H2013">
            <v>53.69</v>
          </cell>
          <cell r="I2013">
            <v>67.22</v>
          </cell>
          <cell r="BS2013">
            <v>15.119999999999997</v>
          </cell>
        </row>
        <row r="2014">
          <cell r="B2014">
            <v>42990</v>
          </cell>
          <cell r="D2014">
            <v>55.03</v>
          </cell>
          <cell r="E2014">
            <v>52.16</v>
          </cell>
          <cell r="H2014">
            <v>53.8</v>
          </cell>
          <cell r="I2014">
            <v>66.97</v>
          </cell>
          <cell r="BS2014">
            <v>14.810000000000002</v>
          </cell>
        </row>
        <row r="2015">
          <cell r="B2015">
            <v>42991</v>
          </cell>
          <cell r="D2015">
            <v>55.86</v>
          </cell>
          <cell r="E2015">
            <v>52.9</v>
          </cell>
          <cell r="H2015">
            <v>54.25</v>
          </cell>
          <cell r="I2015">
            <v>67.39</v>
          </cell>
          <cell r="BS2015">
            <v>14.490000000000002</v>
          </cell>
        </row>
        <row r="2016">
          <cell r="B2016">
            <v>42992</v>
          </cell>
          <cell r="D2016">
            <v>56.734999999999999</v>
          </cell>
          <cell r="E2016">
            <v>53.55</v>
          </cell>
          <cell r="H2016">
            <v>54.14</v>
          </cell>
          <cell r="I2016">
            <v>67.739999999999995</v>
          </cell>
          <cell r="BS2016">
            <v>14.189999999999998</v>
          </cell>
        </row>
        <row r="2017">
          <cell r="B2017">
            <v>42993</v>
          </cell>
          <cell r="D2017">
            <v>56.594999999999999</v>
          </cell>
          <cell r="E2017">
            <v>53.62</v>
          </cell>
          <cell r="H2017">
            <v>54.25</v>
          </cell>
          <cell r="I2017">
            <v>67.77</v>
          </cell>
          <cell r="BS2017">
            <v>14.149999999999999</v>
          </cell>
        </row>
        <row r="2018">
          <cell r="B2018">
            <v>42996</v>
          </cell>
          <cell r="D2018">
            <v>55.365000000000002</v>
          </cell>
          <cell r="E2018">
            <v>54.26</v>
          </cell>
          <cell r="H2018">
            <v>55.16</v>
          </cell>
          <cell r="I2018">
            <v>68.150000000000006</v>
          </cell>
          <cell r="BS2018">
            <v>13.890000000000008</v>
          </cell>
        </row>
        <row r="2019">
          <cell r="B2019">
            <v>42997</v>
          </cell>
          <cell r="D2019">
            <v>56.075000000000003</v>
          </cell>
          <cell r="E2019">
            <v>54.06</v>
          </cell>
          <cell r="H2019">
            <v>54.93</v>
          </cell>
          <cell r="I2019">
            <v>67.47</v>
          </cell>
          <cell r="BS2019">
            <v>13.409999999999997</v>
          </cell>
        </row>
        <row r="2020">
          <cell r="B2020">
            <v>42998</v>
          </cell>
          <cell r="D2020">
            <v>57.034999999999997</v>
          </cell>
          <cell r="E2020">
            <v>53.95</v>
          </cell>
          <cell r="H2020">
            <v>54.61</v>
          </cell>
          <cell r="I2020">
            <v>66.930000000000007</v>
          </cell>
          <cell r="BS2020">
            <v>12.980000000000004</v>
          </cell>
        </row>
        <row r="2021">
          <cell r="B2021">
            <v>42999</v>
          </cell>
          <cell r="D2021">
            <v>57.23</v>
          </cell>
          <cell r="E2021">
            <v>54.61</v>
          </cell>
          <cell r="H2021">
            <v>55.46</v>
          </cell>
          <cell r="I2021">
            <v>66.63</v>
          </cell>
          <cell r="BS2021">
            <v>12.019999999999996</v>
          </cell>
        </row>
        <row r="2022">
          <cell r="B2022">
            <v>43000</v>
          </cell>
          <cell r="D2022">
            <v>57.66</v>
          </cell>
          <cell r="E2022">
            <v>54.65</v>
          </cell>
          <cell r="H2022">
            <v>55.87</v>
          </cell>
          <cell r="I2022">
            <v>67.12</v>
          </cell>
          <cell r="BS2022">
            <v>12.470000000000006</v>
          </cell>
        </row>
        <row r="2023">
          <cell r="B2023">
            <v>43003</v>
          </cell>
          <cell r="D2023">
            <v>59.27</v>
          </cell>
          <cell r="E2023">
            <v>54.81</v>
          </cell>
          <cell r="H2023">
            <v>56.59</v>
          </cell>
          <cell r="I2023">
            <v>67.650000000000006</v>
          </cell>
          <cell r="BS2023">
            <v>12.840000000000003</v>
          </cell>
        </row>
        <row r="2024">
          <cell r="B2024">
            <v>43004</v>
          </cell>
          <cell r="D2024">
            <v>59.17</v>
          </cell>
          <cell r="E2024">
            <v>56.09</v>
          </cell>
          <cell r="H2024">
            <v>57.79</v>
          </cell>
          <cell r="I2024">
            <v>69.28</v>
          </cell>
          <cell r="BS2024">
            <v>13.189999999999998</v>
          </cell>
        </row>
        <row r="2025">
          <cell r="B2025">
            <v>43005</v>
          </cell>
          <cell r="D2025">
            <v>58.784999999999997</v>
          </cell>
          <cell r="E2025">
            <v>55.65</v>
          </cell>
          <cell r="H2025">
            <v>57.37</v>
          </cell>
          <cell r="I2025">
            <v>68.23</v>
          </cell>
          <cell r="BS2025">
            <v>12.580000000000005</v>
          </cell>
        </row>
        <row r="2026">
          <cell r="B2026">
            <v>43006</v>
          </cell>
          <cell r="D2026">
            <v>58.424999999999997</v>
          </cell>
          <cell r="E2026">
            <v>55.59</v>
          </cell>
          <cell r="H2026">
            <v>56.97</v>
          </cell>
          <cell r="I2026">
            <v>67.239999999999995</v>
          </cell>
          <cell r="BS2026">
            <v>11.649999999999991</v>
          </cell>
        </row>
        <row r="2027">
          <cell r="B2027">
            <v>43007</v>
          </cell>
          <cell r="D2027">
            <v>57.17</v>
          </cell>
          <cell r="E2027">
            <v>55.2</v>
          </cell>
          <cell r="H2027">
            <v>56.97</v>
          </cell>
          <cell r="I2027">
            <v>67.849999999999994</v>
          </cell>
          <cell r="BS2027">
            <v>12.649999999999991</v>
          </cell>
        </row>
        <row r="2028">
          <cell r="B2028">
            <v>43010</v>
          </cell>
          <cell r="D2028">
            <v>55.814999999999998</v>
          </cell>
          <cell r="E2028">
            <v>55.16</v>
          </cell>
          <cell r="H2028">
            <v>56.17</v>
          </cell>
          <cell r="I2028">
            <v>66.45</v>
          </cell>
          <cell r="BS2028">
            <v>11.290000000000006</v>
          </cell>
        </row>
        <row r="2029">
          <cell r="B2029">
            <v>43011</v>
          </cell>
          <cell r="D2029">
            <v>56.325000000000003</v>
          </cell>
          <cell r="E2029">
            <v>54.5</v>
          </cell>
          <cell r="H2029">
            <v>55.13</v>
          </cell>
          <cell r="I2029">
            <v>65.150000000000006</v>
          </cell>
          <cell r="BS2029">
            <v>10.650000000000006</v>
          </cell>
        </row>
        <row r="2030">
          <cell r="B2030">
            <v>43012</v>
          </cell>
          <cell r="D2030">
            <v>56.174999999999997</v>
          </cell>
          <cell r="E2030">
            <v>53.95</v>
          </cell>
          <cell r="H2030">
            <v>54.5</v>
          </cell>
          <cell r="I2030">
            <v>65.010000000000005</v>
          </cell>
          <cell r="BS2030">
            <v>11.060000000000002</v>
          </cell>
        </row>
        <row r="2031">
          <cell r="B2031">
            <v>43013</v>
          </cell>
          <cell r="D2031">
            <v>57.185000000000002</v>
          </cell>
          <cell r="E2031">
            <v>54.41</v>
          </cell>
          <cell r="H2031">
            <v>56</v>
          </cell>
          <cell r="I2031">
            <v>66.78</v>
          </cell>
          <cell r="BS2031">
            <v>12.370000000000005</v>
          </cell>
        </row>
        <row r="2032">
          <cell r="B2032">
            <v>43014</v>
          </cell>
          <cell r="D2032">
            <v>55.185000000000002</v>
          </cell>
          <cell r="E2032">
            <v>55.25</v>
          </cell>
          <cell r="H2032">
            <v>56.98</v>
          </cell>
          <cell r="I2032">
            <v>67.290000000000006</v>
          </cell>
          <cell r="BS2032">
            <v>12.040000000000006</v>
          </cell>
        </row>
        <row r="2033">
          <cell r="B2033">
            <v>43017</v>
          </cell>
          <cell r="D2033">
            <v>55.365000000000002</v>
          </cell>
          <cell r="E2033">
            <v>53.73</v>
          </cell>
          <cell r="H2033">
            <v>55.2</v>
          </cell>
          <cell r="I2033">
            <v>65.19</v>
          </cell>
          <cell r="BS2033">
            <v>11.46</v>
          </cell>
        </row>
        <row r="2034">
          <cell r="B2034">
            <v>43018</v>
          </cell>
          <cell r="D2034">
            <v>56.475000000000001</v>
          </cell>
          <cell r="E2034">
            <v>54.1</v>
          </cell>
          <cell r="H2034">
            <v>55.59</v>
          </cell>
          <cell r="I2034">
            <v>66.11</v>
          </cell>
          <cell r="BS2034">
            <v>12.009999999999998</v>
          </cell>
        </row>
        <row r="2035">
          <cell r="B2035">
            <v>43019</v>
          </cell>
          <cell r="D2035">
            <v>55.78</v>
          </cell>
          <cell r="E2035">
            <v>54.79</v>
          </cell>
          <cell r="H2035">
            <v>56.42</v>
          </cell>
          <cell r="I2035">
            <v>66.41</v>
          </cell>
          <cell r="BS2035">
            <v>11.619999999999997</v>
          </cell>
        </row>
        <row r="2036">
          <cell r="B2036">
            <v>43020</v>
          </cell>
          <cell r="D2036">
            <v>55.344999999999999</v>
          </cell>
          <cell r="E2036">
            <v>54.96</v>
          </cell>
          <cell r="H2036">
            <v>56.92</v>
          </cell>
          <cell r="I2036">
            <v>66.61</v>
          </cell>
          <cell r="BS2036">
            <v>11.649999999999999</v>
          </cell>
        </row>
        <row r="2037">
          <cell r="B2037">
            <v>43021</v>
          </cell>
          <cell r="D2037">
            <v>56.53</v>
          </cell>
          <cell r="E2037">
            <v>55.54</v>
          </cell>
          <cell r="H2037">
            <v>57.14</v>
          </cell>
          <cell r="I2037">
            <v>67.040000000000006</v>
          </cell>
          <cell r="BS2037">
            <v>11.500000000000007</v>
          </cell>
        </row>
        <row r="2038">
          <cell r="B2038">
            <v>43024</v>
          </cell>
          <cell r="D2038">
            <v>57.454999999999998</v>
          </cell>
          <cell r="E2038">
            <v>55.95</v>
          </cell>
          <cell r="H2038">
            <v>57.84</v>
          </cell>
          <cell r="I2038">
            <v>68.319999999999993</v>
          </cell>
          <cell r="BS2038">
            <v>12.36999999999999</v>
          </cell>
        </row>
        <row r="2039">
          <cell r="B2039">
            <v>43025</v>
          </cell>
          <cell r="D2039">
            <v>57.335000000000001</v>
          </cell>
          <cell r="E2039">
            <v>56.3</v>
          </cell>
          <cell r="H2039">
            <v>57.89</v>
          </cell>
          <cell r="I2039">
            <v>68.349999999999994</v>
          </cell>
          <cell r="BS2039">
            <v>12.049999999999997</v>
          </cell>
        </row>
        <row r="2040">
          <cell r="B2040">
            <v>43026</v>
          </cell>
          <cell r="D2040">
            <v>57.68</v>
          </cell>
          <cell r="E2040" t="str">
            <v/>
          </cell>
          <cell r="H2040">
            <v>0</v>
          </cell>
          <cell r="I2040">
            <v>0</v>
          </cell>
          <cell r="BS2040" t="e">
            <v>#N/A</v>
          </cell>
        </row>
        <row r="2041">
          <cell r="B2041">
            <v>43027</v>
          </cell>
          <cell r="D2041">
            <v>57.505000000000003</v>
          </cell>
          <cell r="E2041">
            <v>55.5</v>
          </cell>
          <cell r="H2041">
            <v>57.37</v>
          </cell>
          <cell r="I2041">
            <v>67.73</v>
          </cell>
          <cell r="BS2041">
            <v>12.230000000000004</v>
          </cell>
        </row>
        <row r="2042">
          <cell r="B2042">
            <v>43028</v>
          </cell>
          <cell r="D2042">
            <v>57.594999999999999</v>
          </cell>
          <cell r="E2042">
            <v>55.15</v>
          </cell>
          <cell r="H2042">
            <v>57.28</v>
          </cell>
          <cell r="I2042">
            <v>67.37</v>
          </cell>
          <cell r="BS2042">
            <v>12.220000000000006</v>
          </cell>
        </row>
        <row r="2043">
          <cell r="B2043">
            <v>43031</v>
          </cell>
          <cell r="D2043">
            <v>57.68</v>
          </cell>
          <cell r="E2043">
            <v>55.88</v>
          </cell>
          <cell r="H2043">
            <v>58.47</v>
          </cell>
          <cell r="I2043">
            <v>67.7</v>
          </cell>
          <cell r="BS2043">
            <v>11.82</v>
          </cell>
        </row>
        <row r="2044">
          <cell r="B2044">
            <v>43032</v>
          </cell>
          <cell r="D2044">
            <v>57.79</v>
          </cell>
          <cell r="E2044">
            <v>55.27</v>
          </cell>
          <cell r="H2044">
            <v>58.23</v>
          </cell>
          <cell r="I2044">
            <v>66.86</v>
          </cell>
          <cell r="BS2044">
            <v>11.589999999999996</v>
          </cell>
        </row>
        <row r="2045">
          <cell r="B2045">
            <v>43033</v>
          </cell>
          <cell r="D2045">
            <v>58.305</v>
          </cell>
          <cell r="E2045">
            <v>56.21</v>
          </cell>
          <cell r="H2045">
            <v>59.49</v>
          </cell>
          <cell r="I2045">
            <v>68.55</v>
          </cell>
          <cell r="BS2045">
            <v>12.339999999999996</v>
          </cell>
        </row>
        <row r="2046">
          <cell r="B2046">
            <v>43034</v>
          </cell>
          <cell r="D2046">
            <v>58.805</v>
          </cell>
          <cell r="E2046">
            <v>56.2</v>
          </cell>
          <cell r="H2046">
            <v>59.38</v>
          </cell>
          <cell r="I2046">
            <v>68.599999999999994</v>
          </cell>
          <cell r="BS2046">
            <v>12.399999999999991</v>
          </cell>
        </row>
        <row r="2047">
          <cell r="B2047">
            <v>43035</v>
          </cell>
          <cell r="D2047">
            <v>60.335000000000001</v>
          </cell>
          <cell r="E2047">
            <v>57</v>
          </cell>
          <cell r="H2047">
            <v>60.44</v>
          </cell>
          <cell r="I2047">
            <v>69.319999999999993</v>
          </cell>
          <cell r="BS2047">
            <v>12.319999999999993</v>
          </cell>
        </row>
        <row r="2048">
          <cell r="B2048">
            <v>43038</v>
          </cell>
          <cell r="D2048">
            <v>60.405000000000001</v>
          </cell>
          <cell r="E2048">
            <v>58.36</v>
          </cell>
          <cell r="H2048">
            <v>61.36</v>
          </cell>
          <cell r="I2048">
            <v>70.569999999999993</v>
          </cell>
          <cell r="BS2048">
            <v>12.209999999999994</v>
          </cell>
        </row>
        <row r="2049">
          <cell r="B2049">
            <v>43039</v>
          </cell>
          <cell r="D2049">
            <v>60.93</v>
          </cell>
          <cell r="E2049">
            <v>58.3</v>
          </cell>
          <cell r="H2049">
            <v>61.41</v>
          </cell>
          <cell r="I2049">
            <v>70.05</v>
          </cell>
          <cell r="BS2049">
            <v>11.75</v>
          </cell>
        </row>
        <row r="2050">
          <cell r="B2050">
            <v>43040</v>
          </cell>
          <cell r="D2050">
            <v>60.88</v>
          </cell>
          <cell r="E2050">
            <v>59.66</v>
          </cell>
          <cell r="H2050">
            <v>62.87</v>
          </cell>
          <cell r="I2050">
            <v>71.88</v>
          </cell>
          <cell r="BS2050">
            <v>12.219999999999999</v>
          </cell>
        </row>
        <row r="2051">
          <cell r="B2051">
            <v>43041</v>
          </cell>
          <cell r="D2051">
            <v>60.475000000000001</v>
          </cell>
          <cell r="E2051">
            <v>58.54</v>
          </cell>
          <cell r="H2051">
            <v>62.02</v>
          </cell>
          <cell r="I2051">
            <v>70.91</v>
          </cell>
          <cell r="BS2051">
            <v>12.369999999999997</v>
          </cell>
        </row>
        <row r="2052">
          <cell r="B2052">
            <v>43042</v>
          </cell>
          <cell r="D2052">
            <v>61.314999999999998</v>
          </cell>
          <cell r="E2052">
            <v>58.96</v>
          </cell>
          <cell r="H2052">
            <v>63.03</v>
          </cell>
          <cell r="I2052">
            <v>71.459999999999994</v>
          </cell>
          <cell r="BS2052">
            <v>12.499999999999993</v>
          </cell>
        </row>
        <row r="2053">
          <cell r="B2053">
            <v>43045</v>
          </cell>
          <cell r="D2053">
            <v>64.069999999999993</v>
          </cell>
          <cell r="E2053">
            <v>60.61</v>
          </cell>
          <cell r="H2053">
            <v>64.17</v>
          </cell>
          <cell r="I2053">
            <v>72.94</v>
          </cell>
          <cell r="BS2053">
            <v>12.329999999999998</v>
          </cell>
        </row>
        <row r="2054">
          <cell r="B2054">
            <v>43046</v>
          </cell>
          <cell r="D2054">
            <v>64.045000000000002</v>
          </cell>
          <cell r="E2054">
            <v>62.36</v>
          </cell>
          <cell r="H2054">
            <v>65.98</v>
          </cell>
          <cell r="I2054">
            <v>74.61</v>
          </cell>
          <cell r="BS2054">
            <v>12.25</v>
          </cell>
        </row>
        <row r="2055">
          <cell r="B2055">
            <v>43047</v>
          </cell>
          <cell r="D2055">
            <v>64.040000000000006</v>
          </cell>
          <cell r="E2055">
            <v>61.8</v>
          </cell>
          <cell r="H2055">
            <v>64.84</v>
          </cell>
          <cell r="I2055">
            <v>73.900000000000006</v>
          </cell>
          <cell r="BS2055">
            <v>12.100000000000009</v>
          </cell>
        </row>
        <row r="2056">
          <cell r="B2056">
            <v>43048</v>
          </cell>
          <cell r="D2056">
            <v>64.465000000000003</v>
          </cell>
          <cell r="E2056">
            <v>61.61</v>
          </cell>
          <cell r="H2056">
            <v>64.790000000000006</v>
          </cell>
          <cell r="I2056">
            <v>74.05</v>
          </cell>
          <cell r="BS2056">
            <v>12.439999999999998</v>
          </cell>
        </row>
        <row r="2057">
          <cell r="B2057">
            <v>43049</v>
          </cell>
          <cell r="D2057">
            <v>64.215000000000003</v>
          </cell>
          <cell r="E2057">
            <v>62.06</v>
          </cell>
          <cell r="H2057">
            <v>65.64</v>
          </cell>
          <cell r="I2057">
            <v>74.58</v>
          </cell>
          <cell r="BS2057">
            <v>12.519999999999996</v>
          </cell>
        </row>
        <row r="2058">
          <cell r="B2058">
            <v>43052</v>
          </cell>
          <cell r="D2058">
            <v>63.045000000000002</v>
          </cell>
          <cell r="E2058">
            <v>61.61</v>
          </cell>
          <cell r="H2058">
            <v>65.64</v>
          </cell>
          <cell r="I2058">
            <v>74.48</v>
          </cell>
          <cell r="BS2058">
            <v>12.870000000000005</v>
          </cell>
        </row>
        <row r="2059">
          <cell r="B2059">
            <v>43053</v>
          </cell>
          <cell r="D2059">
            <v>60.98</v>
          </cell>
          <cell r="E2059">
            <v>61.24</v>
          </cell>
          <cell r="H2059">
            <v>65.42</v>
          </cell>
          <cell r="I2059">
            <v>73.7</v>
          </cell>
          <cell r="BS2059">
            <v>12.46</v>
          </cell>
        </row>
        <row r="2060">
          <cell r="B2060">
            <v>43054</v>
          </cell>
          <cell r="D2060">
            <v>61.26</v>
          </cell>
          <cell r="E2060">
            <v>60.01</v>
          </cell>
          <cell r="H2060">
            <v>63.65</v>
          </cell>
          <cell r="I2060">
            <v>71.94</v>
          </cell>
          <cell r="BS2060">
            <v>11.93</v>
          </cell>
        </row>
        <row r="2061">
          <cell r="B2061">
            <v>43055</v>
          </cell>
          <cell r="D2061">
            <v>61.134999999999998</v>
          </cell>
          <cell r="E2061">
            <v>60.35</v>
          </cell>
          <cell r="H2061">
            <v>64.2</v>
          </cell>
          <cell r="I2061">
            <v>72.2</v>
          </cell>
          <cell r="BS2061">
            <v>11.850000000000001</v>
          </cell>
        </row>
        <row r="2062">
          <cell r="B2062">
            <v>43056</v>
          </cell>
          <cell r="D2062">
            <v>61.91</v>
          </cell>
          <cell r="E2062">
            <v>59.65</v>
          </cell>
          <cell r="H2062">
            <v>63.23</v>
          </cell>
          <cell r="I2062">
            <v>71.44</v>
          </cell>
          <cell r="BS2062">
            <v>11.79</v>
          </cell>
        </row>
        <row r="2063">
          <cell r="B2063">
            <v>43059</v>
          </cell>
          <cell r="D2063">
            <v>61.375</v>
          </cell>
          <cell r="E2063">
            <v>60.66</v>
          </cell>
          <cell r="H2063">
            <v>63.89</v>
          </cell>
          <cell r="I2063">
            <v>72.819999999999993</v>
          </cell>
          <cell r="BS2063">
            <v>12.159999999999997</v>
          </cell>
        </row>
        <row r="2064">
          <cell r="B2064">
            <v>43060</v>
          </cell>
          <cell r="D2064">
            <v>62.04</v>
          </cell>
          <cell r="E2064">
            <v>60.51</v>
          </cell>
          <cell r="H2064">
            <v>63.61</v>
          </cell>
          <cell r="I2064">
            <v>72.75</v>
          </cell>
          <cell r="BS2064">
            <v>12.240000000000002</v>
          </cell>
        </row>
        <row r="2065">
          <cell r="B2065">
            <v>43061</v>
          </cell>
          <cell r="D2065">
            <v>62.58</v>
          </cell>
          <cell r="E2065">
            <v>61.15</v>
          </cell>
          <cell r="H2065">
            <v>64.39</v>
          </cell>
          <cell r="I2065">
            <v>73.41</v>
          </cell>
          <cell r="BS2065">
            <v>12.259999999999998</v>
          </cell>
        </row>
        <row r="2066">
          <cell r="B2066">
            <v>43062</v>
          </cell>
          <cell r="D2066">
            <v>62.92</v>
          </cell>
          <cell r="E2066">
            <v>61.055</v>
          </cell>
          <cell r="H2066">
            <v>64.489999999999995</v>
          </cell>
          <cell r="I2066">
            <v>72.91</v>
          </cell>
          <cell r="BS2066">
            <v>11.854999999999997</v>
          </cell>
        </row>
        <row r="2067">
          <cell r="B2067">
            <v>43063</v>
          </cell>
          <cell r="D2067">
            <v>63.435000000000002</v>
          </cell>
          <cell r="E2067">
            <v>61.645000000000003</v>
          </cell>
          <cell r="H2067">
            <v>65.209999999999994</v>
          </cell>
          <cell r="I2067">
            <v>73.739999999999995</v>
          </cell>
          <cell r="BS2067">
            <v>12.094999999999992</v>
          </cell>
        </row>
        <row r="2068">
          <cell r="B2068">
            <v>43066</v>
          </cell>
          <cell r="D2068">
            <v>63.204999999999998</v>
          </cell>
          <cell r="E2068">
            <v>61.45</v>
          </cell>
          <cell r="H2068">
            <v>65.52</v>
          </cell>
          <cell r="I2068">
            <v>73.64</v>
          </cell>
          <cell r="BS2068">
            <v>12.189999999999998</v>
          </cell>
        </row>
        <row r="2069">
          <cell r="B2069">
            <v>43067</v>
          </cell>
          <cell r="D2069">
            <v>63.664999999999999</v>
          </cell>
          <cell r="E2069">
            <v>61.25</v>
          </cell>
          <cell r="H2069">
            <v>65.430000000000007</v>
          </cell>
          <cell r="I2069">
            <v>73.92</v>
          </cell>
          <cell r="BS2069">
            <v>12.670000000000002</v>
          </cell>
        </row>
        <row r="2070">
          <cell r="B2070">
            <v>43068</v>
          </cell>
          <cell r="D2070">
            <v>63.265000000000001</v>
          </cell>
          <cell r="E2070">
            <v>60.96</v>
          </cell>
          <cell r="H2070">
            <v>64.849999999999994</v>
          </cell>
          <cell r="I2070">
            <v>73.319999999999993</v>
          </cell>
          <cell r="BS2070">
            <v>12.359999999999992</v>
          </cell>
        </row>
        <row r="2071">
          <cell r="B2071">
            <v>43069</v>
          </cell>
          <cell r="D2071">
            <v>63.22</v>
          </cell>
          <cell r="E2071">
            <v>60.85</v>
          </cell>
          <cell r="H2071">
            <v>64.319999999999993</v>
          </cell>
          <cell r="I2071">
            <v>73.180000000000007</v>
          </cell>
          <cell r="BS2071">
            <v>12.330000000000005</v>
          </cell>
        </row>
        <row r="2072">
          <cell r="B2072">
            <v>43070</v>
          </cell>
          <cell r="D2072">
            <v>64.515000000000001</v>
          </cell>
          <cell r="E2072">
            <v>60.76</v>
          </cell>
          <cell r="H2072">
            <v>63.88</v>
          </cell>
          <cell r="I2072">
            <v>73.349999999999994</v>
          </cell>
          <cell r="BS2072">
            <v>12.589999999999996</v>
          </cell>
        </row>
        <row r="2073">
          <cell r="B2073">
            <v>43073</v>
          </cell>
          <cell r="D2073">
            <v>63.41</v>
          </cell>
          <cell r="E2073">
            <v>60.99</v>
          </cell>
          <cell r="H2073">
            <v>64.34</v>
          </cell>
          <cell r="I2073">
            <v>73.08</v>
          </cell>
          <cell r="BS2073">
            <v>12.089999999999996</v>
          </cell>
        </row>
        <row r="2074">
          <cell r="B2074">
            <v>43074</v>
          </cell>
          <cell r="D2074">
            <v>63.34</v>
          </cell>
          <cell r="E2074">
            <v>60.05</v>
          </cell>
          <cell r="H2074">
            <v>63.17</v>
          </cell>
          <cell r="I2074">
            <v>72.099999999999994</v>
          </cell>
          <cell r="BS2074">
            <v>12.049999999999997</v>
          </cell>
        </row>
        <row r="2075">
          <cell r="B2075">
            <v>43075</v>
          </cell>
          <cell r="D2075">
            <v>62.125</v>
          </cell>
          <cell r="E2075">
            <v>60.72</v>
          </cell>
          <cell r="H2075">
            <v>64</v>
          </cell>
          <cell r="I2075">
            <v>72.55</v>
          </cell>
          <cell r="BS2075">
            <v>11.829999999999998</v>
          </cell>
        </row>
        <row r="2076">
          <cell r="B2076">
            <v>43076</v>
          </cell>
          <cell r="D2076">
            <v>62.56</v>
          </cell>
          <cell r="E2076">
            <v>59.46</v>
          </cell>
          <cell r="H2076">
            <v>63.51</v>
          </cell>
          <cell r="I2076">
            <v>71.599999999999994</v>
          </cell>
          <cell r="BS2076">
            <v>12.139999999999993</v>
          </cell>
        </row>
        <row r="2077">
          <cell r="B2077">
            <v>43077</v>
          </cell>
          <cell r="D2077">
            <v>63.954999999999998</v>
          </cell>
          <cell r="E2077">
            <v>60.25</v>
          </cell>
          <cell r="H2077">
            <v>64.760000000000005</v>
          </cell>
          <cell r="I2077">
            <v>72.55</v>
          </cell>
          <cell r="BS2077">
            <v>12.299999999999997</v>
          </cell>
        </row>
        <row r="2078">
          <cell r="B2078">
            <v>43080</v>
          </cell>
          <cell r="D2078">
            <v>65.165000000000006</v>
          </cell>
          <cell r="E2078">
            <v>60.905000000000001</v>
          </cell>
          <cell r="H2078">
            <v>65.290000000000006</v>
          </cell>
          <cell r="I2078">
            <v>72.97</v>
          </cell>
          <cell r="BS2078">
            <v>12.064999999999998</v>
          </cell>
        </row>
        <row r="2079">
          <cell r="B2079">
            <v>43081</v>
          </cell>
          <cell r="D2079">
            <v>64.69</v>
          </cell>
          <cell r="E2079">
            <v>62.56</v>
          </cell>
          <cell r="H2079">
            <v>66.34</v>
          </cell>
          <cell r="I2079">
            <v>75.05</v>
          </cell>
          <cell r="BS2079">
            <v>12.489999999999995</v>
          </cell>
        </row>
        <row r="2080">
          <cell r="B2080">
            <v>43082</v>
          </cell>
          <cell r="D2080">
            <v>63.274999999999999</v>
          </cell>
          <cell r="E2080">
            <v>61.34</v>
          </cell>
          <cell r="H2080">
            <v>65.180000000000007</v>
          </cell>
          <cell r="I2080">
            <v>73.78</v>
          </cell>
          <cell r="BS2080">
            <v>12.439999999999998</v>
          </cell>
        </row>
        <row r="2081">
          <cell r="B2081">
            <v>43083</v>
          </cell>
          <cell r="D2081">
            <v>63.645000000000003</v>
          </cell>
          <cell r="E2081">
            <v>60.2</v>
          </cell>
          <cell r="H2081">
            <v>64.180000000000007</v>
          </cell>
          <cell r="I2081">
            <v>72.510000000000005</v>
          </cell>
          <cell r="BS2081">
            <v>12.310000000000002</v>
          </cell>
        </row>
        <row r="2082">
          <cell r="B2082">
            <v>43084</v>
          </cell>
          <cell r="D2082">
            <v>63.734999999999999</v>
          </cell>
          <cell r="E2082">
            <v>61.195</v>
          </cell>
          <cell r="H2082">
            <v>64.73</v>
          </cell>
          <cell r="I2082">
            <v>73.42</v>
          </cell>
          <cell r="BS2082">
            <v>12.225000000000001</v>
          </cell>
        </row>
        <row r="2083">
          <cell r="B2083">
            <v>43087</v>
          </cell>
          <cell r="D2083">
            <v>63.814999999999998</v>
          </cell>
          <cell r="E2083">
            <v>61.3</v>
          </cell>
          <cell r="H2083">
            <v>64.069999999999993</v>
          </cell>
          <cell r="I2083">
            <v>73.069999999999993</v>
          </cell>
          <cell r="BS2083">
            <v>11.769999999999996</v>
          </cell>
        </row>
        <row r="2084">
          <cell r="B2084">
            <v>43088</v>
          </cell>
          <cell r="D2084">
            <v>63.41</v>
          </cell>
          <cell r="E2084">
            <v>61.39</v>
          </cell>
          <cell r="H2084">
            <v>64.19</v>
          </cell>
          <cell r="I2084">
            <v>72.989999999999995</v>
          </cell>
          <cell r="BS2084">
            <v>11.599999999999994</v>
          </cell>
        </row>
        <row r="2085">
          <cell r="B2085">
            <v>43089</v>
          </cell>
          <cell r="D2085">
            <v>64.415000000000006</v>
          </cell>
          <cell r="E2085">
            <v>61.555</v>
          </cell>
          <cell r="H2085">
            <v>64.41</v>
          </cell>
          <cell r="I2085">
            <v>73.02</v>
          </cell>
          <cell r="BS2085">
            <v>11.464999999999996</v>
          </cell>
        </row>
        <row r="2086">
          <cell r="B2086">
            <v>43090</v>
          </cell>
          <cell r="D2086">
            <v>64.545000000000002</v>
          </cell>
          <cell r="E2086">
            <v>62.15</v>
          </cell>
          <cell r="H2086">
            <v>65.05</v>
          </cell>
          <cell r="I2086">
            <v>72.89</v>
          </cell>
          <cell r="BS2086">
            <v>10.740000000000002</v>
          </cell>
        </row>
        <row r="2087">
          <cell r="B2087">
            <v>43091</v>
          </cell>
          <cell r="D2087">
            <v>64.290000000000006</v>
          </cell>
          <cell r="E2087">
            <v>62.36</v>
          </cell>
          <cell r="H2087">
            <v>65.5</v>
          </cell>
          <cell r="I2087">
            <v>73.33</v>
          </cell>
          <cell r="BS2087">
            <v>10.969999999999999</v>
          </cell>
        </row>
        <row r="2088">
          <cell r="B2088">
            <v>43094</v>
          </cell>
          <cell r="D2088" t="str">
            <v/>
          </cell>
          <cell r="E2088" t="str">
            <v/>
          </cell>
          <cell r="H2088">
            <v>0</v>
          </cell>
          <cell r="I2088">
            <v>0</v>
          </cell>
          <cell r="BS2088" t="e">
            <v>#N/A</v>
          </cell>
        </row>
        <row r="2089">
          <cell r="B2089">
            <v>43095</v>
          </cell>
          <cell r="D2089" t="str">
            <v/>
          </cell>
          <cell r="E2089">
            <v>62.6</v>
          </cell>
          <cell r="H2089">
            <v>65.89</v>
          </cell>
          <cell r="I2089">
            <v>73.45</v>
          </cell>
          <cell r="BS2089">
            <v>10.850000000000001</v>
          </cell>
        </row>
        <row r="2090">
          <cell r="B2090">
            <v>43096</v>
          </cell>
          <cell r="D2090">
            <v>66.075000000000003</v>
          </cell>
          <cell r="E2090">
            <v>63.91</v>
          </cell>
          <cell r="H2090">
            <v>67.06</v>
          </cell>
          <cell r="I2090">
            <v>74.45</v>
          </cell>
          <cell r="BS2090">
            <v>10.540000000000006</v>
          </cell>
        </row>
        <row r="2091">
          <cell r="B2091">
            <v>43097</v>
          </cell>
          <cell r="D2091">
            <v>66.14</v>
          </cell>
          <cell r="E2091">
            <v>63.9</v>
          </cell>
          <cell r="H2091">
            <v>67.14</v>
          </cell>
          <cell r="I2091">
            <v>74.36</v>
          </cell>
          <cell r="BS2091">
            <v>10.46</v>
          </cell>
        </row>
        <row r="2092">
          <cell r="B2092">
            <v>43098</v>
          </cell>
          <cell r="D2092">
            <v>66.534999999999997</v>
          </cell>
          <cell r="E2092">
            <v>64.36</v>
          </cell>
          <cell r="H2092">
            <v>67.56</v>
          </cell>
          <cell r="I2092">
            <v>74.61</v>
          </cell>
          <cell r="BS2092">
            <v>10.25</v>
          </cell>
        </row>
        <row r="2093">
          <cell r="B2093">
            <v>43101</v>
          </cell>
          <cell r="D2093" t="str">
            <v/>
          </cell>
          <cell r="E2093" t="str">
            <v/>
          </cell>
          <cell r="H2093">
            <v>0</v>
          </cell>
          <cell r="I2093">
            <v>0</v>
          </cell>
          <cell r="BS2093" t="e">
            <v>#N/A</v>
          </cell>
        </row>
        <row r="2094">
          <cell r="B2094">
            <v>43102</v>
          </cell>
          <cell r="D2094">
            <v>66.599999999999994</v>
          </cell>
          <cell r="E2094">
            <v>64.355000000000004</v>
          </cell>
          <cell r="H2094">
            <v>67.72</v>
          </cell>
          <cell r="I2094">
            <v>74.430000000000007</v>
          </cell>
          <cell r="BS2094">
            <v>10.075000000000003</v>
          </cell>
        </row>
        <row r="2095">
          <cell r="B2095">
            <v>43103</v>
          </cell>
          <cell r="D2095">
            <v>68.064999999999998</v>
          </cell>
          <cell r="E2095">
            <v>64.144999999999996</v>
          </cell>
          <cell r="H2095">
            <v>66.52</v>
          </cell>
          <cell r="I2095">
            <v>73.459999999999994</v>
          </cell>
          <cell r="BS2095">
            <v>9.3149999999999977</v>
          </cell>
        </row>
        <row r="2096">
          <cell r="B2096">
            <v>43104</v>
          </cell>
          <cell r="D2096">
            <v>68.72</v>
          </cell>
          <cell r="E2096">
            <v>65.355000000000004</v>
          </cell>
          <cell r="H2096">
            <v>66.98</v>
          </cell>
          <cell r="I2096">
            <v>74.98</v>
          </cell>
          <cell r="BS2096">
            <v>9.625</v>
          </cell>
        </row>
        <row r="2097">
          <cell r="B2097">
            <v>43105</v>
          </cell>
          <cell r="D2097">
            <v>68.165000000000006</v>
          </cell>
          <cell r="E2097">
            <v>65.3</v>
          </cell>
          <cell r="H2097">
            <v>66.56</v>
          </cell>
          <cell r="I2097">
            <v>74.92</v>
          </cell>
          <cell r="BS2097">
            <v>9.6200000000000045</v>
          </cell>
        </row>
        <row r="2098">
          <cell r="B2098">
            <v>43108</v>
          </cell>
          <cell r="D2098">
            <v>68.344999999999999</v>
          </cell>
          <cell r="E2098">
            <v>65.055000000000007</v>
          </cell>
          <cell r="H2098">
            <v>66.19</v>
          </cell>
          <cell r="I2098">
            <v>74.81</v>
          </cell>
          <cell r="BS2098">
            <v>9.7549999999999955</v>
          </cell>
        </row>
        <row r="2099">
          <cell r="B2099">
            <v>43109</v>
          </cell>
          <cell r="D2099">
            <v>69.114999999999995</v>
          </cell>
          <cell r="E2099">
            <v>65.55</v>
          </cell>
          <cell r="H2099">
            <v>66.91</v>
          </cell>
          <cell r="I2099">
            <v>75.73</v>
          </cell>
          <cell r="BS2099">
            <v>10.180000000000007</v>
          </cell>
        </row>
        <row r="2100">
          <cell r="B2100">
            <v>43110</v>
          </cell>
          <cell r="D2100">
            <v>69.94</v>
          </cell>
          <cell r="E2100">
            <v>66.55</v>
          </cell>
          <cell r="H2100">
            <v>67.58</v>
          </cell>
          <cell r="I2100">
            <v>77.349999999999994</v>
          </cell>
          <cell r="BS2100">
            <v>10.799999999999997</v>
          </cell>
        </row>
        <row r="2101">
          <cell r="B2101">
            <v>43111</v>
          </cell>
          <cell r="D2101">
            <v>70.709999999999994</v>
          </cell>
          <cell r="E2101">
            <v>66.45</v>
          </cell>
          <cell r="H2101">
            <v>66.319999999999993</v>
          </cell>
          <cell r="I2101">
            <v>77.040000000000006</v>
          </cell>
          <cell r="BS2101">
            <v>10.590000000000003</v>
          </cell>
        </row>
        <row r="2102">
          <cell r="B2102">
            <v>43112</v>
          </cell>
          <cell r="D2102">
            <v>69.924999999999997</v>
          </cell>
          <cell r="E2102">
            <v>66.260000000000005</v>
          </cell>
          <cell r="H2102">
            <v>66.12</v>
          </cell>
          <cell r="I2102">
            <v>76.2</v>
          </cell>
          <cell r="BS2102">
            <v>9.9399999999999977</v>
          </cell>
        </row>
        <row r="2103">
          <cell r="B2103">
            <v>43115</v>
          </cell>
          <cell r="D2103">
            <v>70.495000000000005</v>
          </cell>
          <cell r="E2103">
            <v>67.010000000000005</v>
          </cell>
          <cell r="H2103">
            <v>66.77</v>
          </cell>
          <cell r="I2103">
            <v>77.19</v>
          </cell>
          <cell r="BS2103">
            <v>10.179999999999993</v>
          </cell>
        </row>
        <row r="2104">
          <cell r="B2104">
            <v>43116</v>
          </cell>
          <cell r="D2104">
            <v>69.665000000000006</v>
          </cell>
          <cell r="E2104">
            <v>67.055000000000007</v>
          </cell>
          <cell r="H2104">
            <v>66.83</v>
          </cell>
          <cell r="I2104">
            <v>76.989999999999995</v>
          </cell>
          <cell r="BS2104">
            <v>9.9349999999999881</v>
          </cell>
        </row>
        <row r="2105">
          <cell r="B2105">
            <v>43117</v>
          </cell>
          <cell r="D2105">
            <v>69.355000000000004</v>
          </cell>
          <cell r="E2105">
            <v>66.290000000000006</v>
          </cell>
          <cell r="H2105">
            <v>66.16</v>
          </cell>
          <cell r="I2105">
            <v>76.48</v>
          </cell>
          <cell r="BS2105">
            <v>10.189999999999998</v>
          </cell>
        </row>
        <row r="2106">
          <cell r="B2106">
            <v>43118</v>
          </cell>
          <cell r="D2106">
            <v>69.525000000000006</v>
          </cell>
          <cell r="E2106">
            <v>66.41</v>
          </cell>
          <cell r="H2106">
            <v>66.72</v>
          </cell>
          <cell r="I2106">
            <v>76.98</v>
          </cell>
          <cell r="BS2106">
            <v>10.570000000000007</v>
          </cell>
        </row>
        <row r="2107">
          <cell r="B2107">
            <v>43119</v>
          </cell>
          <cell r="D2107">
            <v>68.56</v>
          </cell>
          <cell r="E2107">
            <v>65.900000000000006</v>
          </cell>
          <cell r="H2107">
            <v>66.16</v>
          </cell>
          <cell r="I2107">
            <v>76.55</v>
          </cell>
          <cell r="BS2107">
            <v>10.649999999999991</v>
          </cell>
        </row>
        <row r="2108">
          <cell r="B2108">
            <v>43122</v>
          </cell>
          <cell r="D2108">
            <v>69.53</v>
          </cell>
          <cell r="E2108">
            <v>66.12</v>
          </cell>
          <cell r="H2108">
            <v>65.87</v>
          </cell>
          <cell r="I2108">
            <v>76.97</v>
          </cell>
          <cell r="BS2108">
            <v>10.849999999999994</v>
          </cell>
        </row>
        <row r="2109">
          <cell r="B2109">
            <v>43123</v>
          </cell>
          <cell r="D2109">
            <v>69.989999999999995</v>
          </cell>
          <cell r="E2109">
            <v>66.489999999999995</v>
          </cell>
          <cell r="H2109">
            <v>65.27</v>
          </cell>
          <cell r="I2109">
            <v>77.13</v>
          </cell>
          <cell r="BS2109">
            <v>10.64</v>
          </cell>
        </row>
        <row r="2110">
          <cell r="B2110">
            <v>43124</v>
          </cell>
          <cell r="D2110">
            <v>69.905000000000001</v>
          </cell>
          <cell r="E2110">
            <v>66.8</v>
          </cell>
          <cell r="H2110">
            <v>65.790000000000006</v>
          </cell>
          <cell r="I2110">
            <v>77.62</v>
          </cell>
          <cell r="BS2110">
            <v>10.820000000000007</v>
          </cell>
        </row>
        <row r="2111">
          <cell r="B2111">
            <v>43125</v>
          </cell>
          <cell r="D2111">
            <v>70.58</v>
          </cell>
          <cell r="E2111">
            <v>68.05</v>
          </cell>
          <cell r="H2111">
            <v>66.34</v>
          </cell>
          <cell r="I2111">
            <v>78.790000000000006</v>
          </cell>
          <cell r="BS2111">
            <v>10.740000000000009</v>
          </cell>
        </row>
        <row r="2112">
          <cell r="B2112">
            <v>43126</v>
          </cell>
          <cell r="D2112">
            <v>70.025000000000006</v>
          </cell>
          <cell r="E2112">
            <v>67.349999999999994</v>
          </cell>
          <cell r="H2112">
            <v>65.42</v>
          </cell>
          <cell r="I2112">
            <v>78.47</v>
          </cell>
          <cell r="BS2112">
            <v>11.120000000000005</v>
          </cell>
        </row>
        <row r="2113">
          <cell r="B2113">
            <v>43129</v>
          </cell>
          <cell r="D2113">
            <v>68.59</v>
          </cell>
          <cell r="E2113">
            <v>67.56</v>
          </cell>
          <cell r="H2113">
            <v>65.27</v>
          </cell>
          <cell r="I2113">
            <v>79.31</v>
          </cell>
          <cell r="BS2113">
            <v>11.75</v>
          </cell>
        </row>
        <row r="2114">
          <cell r="B2114">
            <v>43130</v>
          </cell>
          <cell r="D2114">
            <v>67.984999999999999</v>
          </cell>
          <cell r="E2114">
            <v>66.36</v>
          </cell>
          <cell r="H2114">
            <v>63.8</v>
          </cell>
          <cell r="I2114">
            <v>78.11</v>
          </cell>
          <cell r="BS2114">
            <v>11.75</v>
          </cell>
        </row>
        <row r="2115">
          <cell r="B2115">
            <v>43131</v>
          </cell>
          <cell r="D2115">
            <v>68.09</v>
          </cell>
          <cell r="E2115">
            <v>65.75</v>
          </cell>
          <cell r="H2115">
            <v>63.65</v>
          </cell>
          <cell r="I2115">
            <v>77.14</v>
          </cell>
          <cell r="BS2115">
            <v>11.39</v>
          </cell>
        </row>
        <row r="2116">
          <cell r="B2116">
            <v>43132</v>
          </cell>
          <cell r="D2116">
            <v>68.489999999999995</v>
          </cell>
          <cell r="E2116">
            <v>66.155000000000001</v>
          </cell>
          <cell r="H2116">
            <v>65.47</v>
          </cell>
          <cell r="I2116">
            <v>78.489999999999995</v>
          </cell>
          <cell r="BS2116">
            <v>12.334999999999994</v>
          </cell>
        </row>
        <row r="2117">
          <cell r="B2117">
            <v>43133</v>
          </cell>
          <cell r="D2117">
            <v>67.59</v>
          </cell>
          <cell r="E2117">
            <v>67.06</v>
          </cell>
          <cell r="H2117">
            <v>65.680000000000007</v>
          </cell>
          <cell r="I2117">
            <v>79.849999999999994</v>
          </cell>
          <cell r="BS2117">
            <v>12.789999999999992</v>
          </cell>
        </row>
        <row r="2118">
          <cell r="B2118">
            <v>43136</v>
          </cell>
          <cell r="D2118">
            <v>67.855000000000004</v>
          </cell>
          <cell r="E2118">
            <v>65.010000000000005</v>
          </cell>
          <cell r="H2118">
            <v>63.4</v>
          </cell>
          <cell r="I2118">
            <v>77.45</v>
          </cell>
          <cell r="BS2118">
            <v>12.439999999999998</v>
          </cell>
        </row>
        <row r="2119">
          <cell r="B2119">
            <v>43137</v>
          </cell>
          <cell r="D2119">
            <v>66.734999999999999</v>
          </cell>
          <cell r="E2119">
            <v>64.260000000000005</v>
          </cell>
          <cell r="H2119">
            <v>62.37</v>
          </cell>
          <cell r="I2119">
            <v>76.12</v>
          </cell>
          <cell r="BS2119">
            <v>11.86</v>
          </cell>
        </row>
        <row r="2120">
          <cell r="B2120">
            <v>43138</v>
          </cell>
          <cell r="D2120">
            <v>65.655000000000001</v>
          </cell>
          <cell r="E2120">
            <v>64.11</v>
          </cell>
          <cell r="H2120">
            <v>60.86</v>
          </cell>
          <cell r="I2120">
            <v>76</v>
          </cell>
          <cell r="BS2120">
            <v>11.89</v>
          </cell>
        </row>
        <row r="2121">
          <cell r="B2121">
            <v>43139</v>
          </cell>
          <cell r="D2121">
            <v>64.144999999999996</v>
          </cell>
          <cell r="E2121">
            <v>62.2</v>
          </cell>
          <cell r="H2121">
            <v>59.6</v>
          </cell>
          <cell r="I2121">
            <v>73.58</v>
          </cell>
          <cell r="BS2121">
            <v>11.379999999999995</v>
          </cell>
        </row>
        <row r="2122">
          <cell r="B2122">
            <v>43140</v>
          </cell>
          <cell r="D2122">
            <v>62.98</v>
          </cell>
          <cell r="E2122">
            <v>61.09</v>
          </cell>
          <cell r="H2122">
            <v>59.66</v>
          </cell>
          <cell r="I2122">
            <v>73.25</v>
          </cell>
          <cell r="BS2122">
            <v>12.159999999999997</v>
          </cell>
        </row>
        <row r="2123">
          <cell r="B2123">
            <v>43143</v>
          </cell>
          <cell r="D2123">
            <v>62.424999999999997</v>
          </cell>
          <cell r="E2123">
            <v>60.41</v>
          </cell>
          <cell r="H2123">
            <v>58.88</v>
          </cell>
          <cell r="I2123">
            <v>72.38</v>
          </cell>
          <cell r="BS2123">
            <v>11.969999999999999</v>
          </cell>
        </row>
        <row r="2124">
          <cell r="B2124">
            <v>43144</v>
          </cell>
          <cell r="D2124">
            <v>61.52</v>
          </cell>
          <cell r="E2124">
            <v>59.84</v>
          </cell>
          <cell r="H2124">
            <v>58.42</v>
          </cell>
          <cell r="I2124">
            <v>70.86</v>
          </cell>
          <cell r="BS2124">
            <v>11.019999999999996</v>
          </cell>
        </row>
        <row r="2125">
          <cell r="B2125">
            <v>43145</v>
          </cell>
          <cell r="D2125">
            <v>62.47</v>
          </cell>
          <cell r="E2125">
            <v>59.36</v>
          </cell>
          <cell r="H2125">
            <v>58.33</v>
          </cell>
          <cell r="I2125">
            <v>70.09</v>
          </cell>
          <cell r="BS2125">
            <v>10.730000000000004</v>
          </cell>
        </row>
        <row r="2126">
          <cell r="B2126">
            <v>43146</v>
          </cell>
          <cell r="D2126">
            <v>63.02</v>
          </cell>
          <cell r="E2126">
            <v>61.64</v>
          </cell>
          <cell r="H2126">
            <v>60.82</v>
          </cell>
          <cell r="I2126">
            <v>72.260000000000005</v>
          </cell>
          <cell r="BS2126">
            <v>10.620000000000005</v>
          </cell>
        </row>
        <row r="2127">
          <cell r="B2127">
            <v>43147</v>
          </cell>
          <cell r="D2127">
            <v>64.144999999999996</v>
          </cell>
          <cell r="E2127" t="str">
            <v/>
          </cell>
          <cell r="H2127">
            <v>0</v>
          </cell>
          <cell r="I2127">
            <v>0</v>
          </cell>
          <cell r="BS2127" t="e">
            <v>#N/A</v>
          </cell>
        </row>
        <row r="2128">
          <cell r="B2128">
            <v>43150</v>
          </cell>
          <cell r="D2128">
            <v>64.915000000000006</v>
          </cell>
          <cell r="E2128">
            <v>61.74</v>
          </cell>
          <cell r="H2128">
            <v>60.88</v>
          </cell>
          <cell r="I2128">
            <v>72.8</v>
          </cell>
          <cell r="BS2128">
            <v>11.059999999999995</v>
          </cell>
        </row>
        <row r="2129">
          <cell r="B2129">
            <v>43151</v>
          </cell>
          <cell r="D2129">
            <v>64.33</v>
          </cell>
          <cell r="E2129">
            <v>62.01</v>
          </cell>
          <cell r="H2129">
            <v>60.71</v>
          </cell>
          <cell r="I2129">
            <v>73.28</v>
          </cell>
          <cell r="BS2129">
            <v>11.270000000000003</v>
          </cell>
        </row>
        <row r="2130">
          <cell r="B2130">
            <v>43152</v>
          </cell>
          <cell r="D2130">
            <v>64.760000000000005</v>
          </cell>
          <cell r="E2130">
            <v>61.255000000000003</v>
          </cell>
          <cell r="H2130">
            <v>59.79</v>
          </cell>
          <cell r="I2130">
            <v>72</v>
          </cell>
          <cell r="BS2130">
            <v>10.744999999999997</v>
          </cell>
        </row>
        <row r="2131">
          <cell r="B2131">
            <v>43153</v>
          </cell>
          <cell r="D2131">
            <v>65.86</v>
          </cell>
          <cell r="E2131">
            <v>61.61</v>
          </cell>
          <cell r="H2131">
            <v>60</v>
          </cell>
          <cell r="I2131">
            <v>72.41</v>
          </cell>
          <cell r="BS2131">
            <v>10.799999999999997</v>
          </cell>
        </row>
        <row r="2132">
          <cell r="B2132">
            <v>43154</v>
          </cell>
          <cell r="D2132">
            <v>66.375</v>
          </cell>
          <cell r="E2132">
            <v>62.805</v>
          </cell>
          <cell r="H2132">
            <v>61.2</v>
          </cell>
          <cell r="I2132">
            <v>73.39</v>
          </cell>
          <cell r="BS2132">
            <v>10.585000000000001</v>
          </cell>
        </row>
        <row r="2133">
          <cell r="B2133">
            <v>43157</v>
          </cell>
          <cell r="D2133">
            <v>67.64</v>
          </cell>
          <cell r="E2133">
            <v>63.93</v>
          </cell>
          <cell r="H2133">
            <v>62.28</v>
          </cell>
          <cell r="I2133">
            <v>74.760000000000005</v>
          </cell>
          <cell r="BS2133">
            <v>10.830000000000005</v>
          </cell>
        </row>
        <row r="2134">
          <cell r="B2134">
            <v>43158</v>
          </cell>
          <cell r="D2134">
            <v>67.174999999999997</v>
          </cell>
          <cell r="E2134">
            <v>64.010000000000005</v>
          </cell>
          <cell r="H2134">
            <v>62.56</v>
          </cell>
          <cell r="I2134">
            <v>75.06</v>
          </cell>
          <cell r="BS2134">
            <v>11.049999999999997</v>
          </cell>
        </row>
        <row r="2135">
          <cell r="B2135">
            <v>43159</v>
          </cell>
          <cell r="D2135">
            <v>65.73</v>
          </cell>
          <cell r="E2135">
            <v>63.2</v>
          </cell>
          <cell r="H2135">
            <v>62.53</v>
          </cell>
          <cell r="I2135">
            <v>75.010000000000005</v>
          </cell>
          <cell r="BS2135">
            <v>11.810000000000002</v>
          </cell>
        </row>
        <row r="2136">
          <cell r="B2136">
            <v>43160</v>
          </cell>
          <cell r="D2136">
            <v>64.06</v>
          </cell>
          <cell r="E2136">
            <v>61.36</v>
          </cell>
          <cell r="H2136">
            <v>61.6</v>
          </cell>
          <cell r="I2136">
            <v>73.650000000000006</v>
          </cell>
          <cell r="BS2136">
            <v>12.290000000000006</v>
          </cell>
        </row>
        <row r="2137">
          <cell r="B2137">
            <v>43161</v>
          </cell>
          <cell r="D2137">
            <v>64.194999999999993</v>
          </cell>
          <cell r="E2137">
            <v>60.31</v>
          </cell>
          <cell r="H2137">
            <v>60.77</v>
          </cell>
          <cell r="I2137">
            <v>72.430000000000007</v>
          </cell>
          <cell r="BS2137">
            <v>12.120000000000005</v>
          </cell>
        </row>
        <row r="2138">
          <cell r="B2138">
            <v>43164</v>
          </cell>
          <cell r="D2138">
            <v>65.849999999999994</v>
          </cell>
          <cell r="E2138">
            <v>61.375</v>
          </cell>
          <cell r="H2138">
            <v>61.9</v>
          </cell>
          <cell r="I2138">
            <v>73.25</v>
          </cell>
          <cell r="BS2138">
            <v>11.875</v>
          </cell>
        </row>
        <row r="2139">
          <cell r="B2139">
            <v>43165</v>
          </cell>
          <cell r="D2139">
            <v>65.614999999999995</v>
          </cell>
          <cell r="E2139">
            <v>62</v>
          </cell>
          <cell r="H2139">
            <v>61.93</v>
          </cell>
          <cell r="I2139">
            <v>73.55</v>
          </cell>
          <cell r="BS2139">
            <v>11.549999999999997</v>
          </cell>
        </row>
        <row r="2140">
          <cell r="B2140">
            <v>43166</v>
          </cell>
          <cell r="D2140">
            <v>65.25</v>
          </cell>
          <cell r="E2140">
            <v>61.56</v>
          </cell>
          <cell r="H2140">
            <v>61.51</v>
          </cell>
          <cell r="I2140">
            <v>73.17</v>
          </cell>
          <cell r="BS2140">
            <v>11.61</v>
          </cell>
        </row>
        <row r="2141">
          <cell r="B2141">
            <v>43167</v>
          </cell>
          <cell r="D2141">
            <v>64.02</v>
          </cell>
          <cell r="E2141">
            <v>60.86</v>
          </cell>
          <cell r="H2141">
            <v>61.23</v>
          </cell>
          <cell r="I2141">
            <v>72.27</v>
          </cell>
          <cell r="BS2141">
            <v>11.409999999999997</v>
          </cell>
        </row>
        <row r="2142">
          <cell r="B2142">
            <v>43168</v>
          </cell>
          <cell r="D2142">
            <v>65.314999999999998</v>
          </cell>
          <cell r="E2142">
            <v>60.24</v>
          </cell>
          <cell r="H2142">
            <v>60.26</v>
          </cell>
          <cell r="I2142">
            <v>71.53</v>
          </cell>
          <cell r="BS2142">
            <v>11.29</v>
          </cell>
        </row>
        <row r="2143">
          <cell r="B2143">
            <v>43171</v>
          </cell>
          <cell r="D2143">
            <v>64.430000000000007</v>
          </cell>
          <cell r="E2143">
            <v>61.65</v>
          </cell>
          <cell r="H2143">
            <v>61.63</v>
          </cell>
          <cell r="I2143">
            <v>72.599999999999994</v>
          </cell>
          <cell r="BS2143">
            <v>10.949999999999996</v>
          </cell>
        </row>
        <row r="2144">
          <cell r="B2144">
            <v>43172</v>
          </cell>
          <cell r="D2144">
            <v>64.09</v>
          </cell>
          <cell r="E2144">
            <v>61.27</v>
          </cell>
          <cell r="H2144">
            <v>60.65</v>
          </cell>
          <cell r="I2144">
            <v>72.39</v>
          </cell>
          <cell r="BS2144">
            <v>11.119999999999997</v>
          </cell>
        </row>
        <row r="2145">
          <cell r="B2145">
            <v>43173</v>
          </cell>
          <cell r="D2145">
            <v>63.46</v>
          </cell>
          <cell r="E2145">
            <v>61.25</v>
          </cell>
          <cell r="H2145">
            <v>61.38</v>
          </cell>
          <cell r="I2145">
            <v>71.8</v>
          </cell>
          <cell r="BS2145">
            <v>10.549999999999997</v>
          </cell>
        </row>
        <row r="2146">
          <cell r="B2146">
            <v>43174</v>
          </cell>
          <cell r="D2146">
            <v>63.68</v>
          </cell>
          <cell r="E2146">
            <v>61.4</v>
          </cell>
          <cell r="H2146">
            <v>62.06</v>
          </cell>
          <cell r="I2146">
            <v>72.59</v>
          </cell>
          <cell r="BS2146">
            <v>11.190000000000005</v>
          </cell>
        </row>
        <row r="2147">
          <cell r="B2147">
            <v>43175</v>
          </cell>
          <cell r="D2147">
            <v>64.62</v>
          </cell>
          <cell r="E2147">
            <v>61.75</v>
          </cell>
          <cell r="H2147">
            <v>62.2</v>
          </cell>
          <cell r="I2147">
            <v>73.069999999999993</v>
          </cell>
          <cell r="BS2147">
            <v>11.319999999999993</v>
          </cell>
        </row>
        <row r="2148">
          <cell r="B2148">
            <v>43178</v>
          </cell>
          <cell r="D2148">
            <v>65.015000000000001</v>
          </cell>
          <cell r="E2148">
            <v>62.46</v>
          </cell>
          <cell r="H2148">
            <v>62.45</v>
          </cell>
          <cell r="I2148">
            <v>73.819999999999993</v>
          </cell>
          <cell r="BS2148">
            <v>11.359999999999992</v>
          </cell>
        </row>
        <row r="2149">
          <cell r="B2149">
            <v>43179</v>
          </cell>
          <cell r="D2149">
            <v>66.13</v>
          </cell>
          <cell r="E2149">
            <v>63</v>
          </cell>
          <cell r="H2149">
            <v>62.96</v>
          </cell>
          <cell r="I2149">
            <v>74.069999999999993</v>
          </cell>
          <cell r="BS2149">
            <v>11.069999999999993</v>
          </cell>
        </row>
        <row r="2150">
          <cell r="B2150">
            <v>43180</v>
          </cell>
          <cell r="D2150">
            <v>68.314999999999998</v>
          </cell>
          <cell r="E2150">
            <v>63.86</v>
          </cell>
          <cell r="H2150">
            <v>63.66</v>
          </cell>
          <cell r="I2150">
            <v>75.069999999999993</v>
          </cell>
          <cell r="BS2150">
            <v>11.209999999999994</v>
          </cell>
        </row>
        <row r="2151">
          <cell r="B2151">
            <v>43181</v>
          </cell>
          <cell r="D2151">
            <v>68.234999999999999</v>
          </cell>
          <cell r="E2151">
            <v>65.41</v>
          </cell>
          <cell r="H2151">
            <v>64.760000000000005</v>
          </cell>
          <cell r="I2151">
            <v>76.569999999999993</v>
          </cell>
          <cell r="BS2151">
            <v>11.159999999999997</v>
          </cell>
        </row>
        <row r="2152">
          <cell r="B2152">
            <v>43182</v>
          </cell>
          <cell r="D2152">
            <v>68.95</v>
          </cell>
          <cell r="E2152">
            <v>65.400000000000006</v>
          </cell>
          <cell r="H2152">
            <v>65.27</v>
          </cell>
          <cell r="I2152">
            <v>77.08</v>
          </cell>
          <cell r="BS2152">
            <v>11.679999999999993</v>
          </cell>
        </row>
        <row r="2153">
          <cell r="B2153">
            <v>43185</v>
          </cell>
          <cell r="D2153">
            <v>68.655000000000001</v>
          </cell>
          <cell r="E2153">
            <v>65.83</v>
          </cell>
          <cell r="H2153">
            <v>65.849999999999994</v>
          </cell>
          <cell r="I2153">
            <v>77.75</v>
          </cell>
          <cell r="BS2153">
            <v>11.920000000000002</v>
          </cell>
        </row>
        <row r="2154">
          <cell r="B2154">
            <v>43186</v>
          </cell>
          <cell r="D2154">
            <v>68.61</v>
          </cell>
          <cell r="E2154">
            <v>65.849999999999994</v>
          </cell>
          <cell r="H2154">
            <v>65.84</v>
          </cell>
          <cell r="I2154">
            <v>77.72</v>
          </cell>
          <cell r="BS2154">
            <v>11.870000000000005</v>
          </cell>
        </row>
        <row r="2155">
          <cell r="B2155">
            <v>43187</v>
          </cell>
          <cell r="D2155">
            <v>68.144999999999996</v>
          </cell>
          <cell r="E2155">
            <v>65.2</v>
          </cell>
          <cell r="H2155">
            <v>66.099999999999994</v>
          </cell>
          <cell r="I2155">
            <v>77.31</v>
          </cell>
          <cell r="BS2155">
            <v>12.11</v>
          </cell>
        </row>
        <row r="2156">
          <cell r="B2156">
            <v>43188</v>
          </cell>
          <cell r="D2156">
            <v>67.314999999999998</v>
          </cell>
          <cell r="E2156">
            <v>65.400000000000006</v>
          </cell>
          <cell r="H2156">
            <v>66.819999999999993</v>
          </cell>
          <cell r="I2156">
            <v>77.66</v>
          </cell>
          <cell r="BS2156">
            <v>12.259999999999991</v>
          </cell>
        </row>
        <row r="2157">
          <cell r="B2157">
            <v>43189</v>
          </cell>
          <cell r="D2157" t="str">
            <v/>
          </cell>
          <cell r="E2157" t="str">
            <v/>
          </cell>
          <cell r="H2157">
            <v>0</v>
          </cell>
          <cell r="I2157">
            <v>0</v>
          </cell>
          <cell r="BS2157" t="e">
            <v>#N/A</v>
          </cell>
        </row>
        <row r="2158">
          <cell r="B2158">
            <v>43192</v>
          </cell>
          <cell r="D2158" t="str">
            <v/>
          </cell>
          <cell r="E2158">
            <v>66.86</v>
          </cell>
          <cell r="H2158">
            <v>66.819999999999993</v>
          </cell>
          <cell r="I2158">
            <v>78</v>
          </cell>
          <cell r="BS2158">
            <v>11.14</v>
          </cell>
        </row>
        <row r="2159">
          <cell r="B2159">
            <v>43193</v>
          </cell>
          <cell r="D2159">
            <v>67.040000000000006</v>
          </cell>
          <cell r="E2159">
            <v>65.204999999999998</v>
          </cell>
          <cell r="H2159">
            <v>65.42</v>
          </cell>
          <cell r="I2159">
            <v>76.2</v>
          </cell>
          <cell r="BS2159">
            <v>10.995000000000005</v>
          </cell>
        </row>
        <row r="2160">
          <cell r="B2160">
            <v>43194</v>
          </cell>
          <cell r="D2160">
            <v>66.504999999999995</v>
          </cell>
          <cell r="E2160">
            <v>64.69</v>
          </cell>
          <cell r="H2160">
            <v>64.58</v>
          </cell>
          <cell r="I2160">
            <v>75.709999999999994</v>
          </cell>
          <cell r="BS2160">
            <v>11.019999999999996</v>
          </cell>
        </row>
        <row r="2161">
          <cell r="B2161">
            <v>43195</v>
          </cell>
          <cell r="D2161">
            <v>67.165000000000006</v>
          </cell>
          <cell r="E2161">
            <v>65.400000000000006</v>
          </cell>
          <cell r="H2161">
            <v>64.900000000000006</v>
          </cell>
          <cell r="I2161">
            <v>76.400000000000006</v>
          </cell>
          <cell r="BS2161">
            <v>11</v>
          </cell>
        </row>
        <row r="2162">
          <cell r="B2162">
            <v>43196</v>
          </cell>
          <cell r="D2162">
            <v>66.48</v>
          </cell>
          <cell r="E2162">
            <v>65.34</v>
          </cell>
          <cell r="H2162">
            <v>64.19</v>
          </cell>
          <cell r="I2162">
            <v>75.8</v>
          </cell>
          <cell r="BS2162">
            <v>10.459999999999994</v>
          </cell>
        </row>
        <row r="2163">
          <cell r="B2163">
            <v>43199</v>
          </cell>
          <cell r="D2163">
            <v>67.86</v>
          </cell>
          <cell r="E2163">
            <v>64.75</v>
          </cell>
          <cell r="H2163">
            <v>63.8</v>
          </cell>
          <cell r="I2163">
            <v>75.349999999999994</v>
          </cell>
          <cell r="BS2163">
            <v>10.599999999999994</v>
          </cell>
        </row>
        <row r="2164">
          <cell r="B2164">
            <v>43200</v>
          </cell>
          <cell r="D2164">
            <v>70.265000000000001</v>
          </cell>
          <cell r="E2164">
            <v>66.545000000000002</v>
          </cell>
          <cell r="H2164">
            <v>65.290000000000006</v>
          </cell>
          <cell r="I2164">
            <v>77.11</v>
          </cell>
          <cell r="BS2164">
            <v>10.564999999999998</v>
          </cell>
        </row>
        <row r="2165">
          <cell r="B2165">
            <v>43201</v>
          </cell>
          <cell r="D2165">
            <v>72.545000000000002</v>
          </cell>
          <cell r="E2165">
            <v>67.55</v>
          </cell>
          <cell r="H2165">
            <v>66.180000000000007</v>
          </cell>
          <cell r="I2165">
            <v>77.599999999999994</v>
          </cell>
          <cell r="BS2165">
            <v>10.049999999999997</v>
          </cell>
        </row>
        <row r="2166">
          <cell r="B2166">
            <v>43202</v>
          </cell>
          <cell r="D2166">
            <v>71.459999999999994</v>
          </cell>
          <cell r="E2166">
            <v>68.64</v>
          </cell>
          <cell r="H2166">
            <v>66.92</v>
          </cell>
          <cell r="I2166">
            <v>78.650000000000006</v>
          </cell>
          <cell r="BS2166">
            <v>10.010000000000005</v>
          </cell>
        </row>
        <row r="2167">
          <cell r="B2167">
            <v>43203</v>
          </cell>
          <cell r="D2167">
            <v>72.704999999999998</v>
          </cell>
          <cell r="E2167">
            <v>69.09</v>
          </cell>
          <cell r="H2167">
            <v>67.44</v>
          </cell>
          <cell r="I2167">
            <v>78.7</v>
          </cell>
          <cell r="BS2167">
            <v>9.61</v>
          </cell>
        </row>
        <row r="2168">
          <cell r="B2168">
            <v>43206</v>
          </cell>
          <cell r="D2168">
            <v>71.900000000000006</v>
          </cell>
          <cell r="E2168">
            <v>68.14</v>
          </cell>
          <cell r="H2168">
            <v>66.55</v>
          </cell>
          <cell r="I2168">
            <v>77.459999999999994</v>
          </cell>
          <cell r="BS2168">
            <v>9.3199999999999932</v>
          </cell>
        </row>
        <row r="2169">
          <cell r="B2169">
            <v>43207</v>
          </cell>
          <cell r="D2169">
            <v>71.849999999999994</v>
          </cell>
          <cell r="E2169">
            <v>68.19</v>
          </cell>
          <cell r="H2169">
            <v>66.14</v>
          </cell>
          <cell r="I2169">
            <v>77.59</v>
          </cell>
          <cell r="BS2169">
            <v>9.4000000000000057</v>
          </cell>
        </row>
        <row r="2170">
          <cell r="B2170">
            <v>43208</v>
          </cell>
          <cell r="D2170">
            <v>73.415000000000006</v>
          </cell>
          <cell r="E2170">
            <v>68.855000000000004</v>
          </cell>
          <cell r="H2170">
            <v>66.64</v>
          </cell>
          <cell r="I2170">
            <v>78.28</v>
          </cell>
          <cell r="BS2170">
            <v>9.4249999999999972</v>
          </cell>
        </row>
        <row r="2171">
          <cell r="B2171">
            <v>43209</v>
          </cell>
          <cell r="D2171">
            <v>75.03</v>
          </cell>
          <cell r="E2171">
            <v>70.790000000000006</v>
          </cell>
          <cell r="H2171">
            <v>68</v>
          </cell>
          <cell r="I2171">
            <v>79.739999999999995</v>
          </cell>
          <cell r="BS2171">
            <v>8.9499999999999886</v>
          </cell>
        </row>
        <row r="2172">
          <cell r="B2172">
            <v>43210</v>
          </cell>
          <cell r="D2172">
            <v>73.894999999999996</v>
          </cell>
          <cell r="E2172">
            <v>70.349999999999994</v>
          </cell>
          <cell r="H2172">
            <v>67.77</v>
          </cell>
          <cell r="I2172">
            <v>79.319999999999993</v>
          </cell>
          <cell r="BS2172">
            <v>8.9699999999999989</v>
          </cell>
        </row>
        <row r="2173">
          <cell r="B2173">
            <v>43213</v>
          </cell>
          <cell r="D2173">
            <v>74.295000000000002</v>
          </cell>
          <cell r="E2173">
            <v>70.25</v>
          </cell>
          <cell r="H2173">
            <v>67.650000000000006</v>
          </cell>
          <cell r="I2173">
            <v>80.209999999999994</v>
          </cell>
          <cell r="BS2173">
            <v>9.9599999999999937</v>
          </cell>
        </row>
        <row r="2174">
          <cell r="B2174">
            <v>43214</v>
          </cell>
          <cell r="D2174">
            <v>75.254999999999995</v>
          </cell>
          <cell r="E2174">
            <v>71.260000000000005</v>
          </cell>
          <cell r="H2174">
            <v>68.97</v>
          </cell>
          <cell r="I2174">
            <v>81.83</v>
          </cell>
          <cell r="BS2174">
            <v>10.569999999999993</v>
          </cell>
        </row>
        <row r="2175">
          <cell r="B2175">
            <v>43215</v>
          </cell>
          <cell r="D2175">
            <v>73.995000000000005</v>
          </cell>
          <cell r="E2175">
            <v>70.349999999999994</v>
          </cell>
          <cell r="H2175">
            <v>68.84</v>
          </cell>
          <cell r="I2175">
            <v>80.52</v>
          </cell>
          <cell r="BS2175">
            <v>10.170000000000002</v>
          </cell>
        </row>
        <row r="2176">
          <cell r="B2176">
            <v>43216</v>
          </cell>
          <cell r="D2176">
            <v>74.81</v>
          </cell>
          <cell r="E2176">
            <v>70.650000000000006</v>
          </cell>
          <cell r="H2176">
            <v>69.02</v>
          </cell>
          <cell r="I2176">
            <v>80.45</v>
          </cell>
          <cell r="BS2176">
            <v>9.7999999999999972</v>
          </cell>
        </row>
        <row r="2177">
          <cell r="B2177">
            <v>43217</v>
          </cell>
          <cell r="D2177">
            <v>74.444999999999993</v>
          </cell>
          <cell r="E2177">
            <v>70.81</v>
          </cell>
          <cell r="H2177">
            <v>69.680000000000007</v>
          </cell>
          <cell r="I2177">
            <v>81.239999999999995</v>
          </cell>
          <cell r="BS2177">
            <v>10.429999999999993</v>
          </cell>
        </row>
        <row r="2178">
          <cell r="B2178">
            <v>43220</v>
          </cell>
          <cell r="D2178">
            <v>75.105000000000004</v>
          </cell>
          <cell r="E2178">
            <v>69.97</v>
          </cell>
          <cell r="H2178">
            <v>69.489999999999995</v>
          </cell>
          <cell r="I2178">
            <v>80.900000000000006</v>
          </cell>
          <cell r="BS2178">
            <v>10.930000000000007</v>
          </cell>
        </row>
        <row r="2179">
          <cell r="B2179">
            <v>43221</v>
          </cell>
          <cell r="D2179">
            <v>74.37</v>
          </cell>
          <cell r="E2179" t="str">
            <v/>
          </cell>
          <cell r="H2179">
            <v>0</v>
          </cell>
          <cell r="I2179">
            <v>0</v>
          </cell>
          <cell r="BS2179" t="e">
            <v>#N/A</v>
          </cell>
        </row>
        <row r="2180">
          <cell r="B2180">
            <v>43222</v>
          </cell>
          <cell r="D2180">
            <v>73.075000000000003</v>
          </cell>
          <cell r="E2180">
            <v>70.459999999999994</v>
          </cell>
          <cell r="H2180">
            <v>69.87</v>
          </cell>
          <cell r="I2180">
            <v>80.680000000000007</v>
          </cell>
          <cell r="BS2180">
            <v>10.220000000000013</v>
          </cell>
        </row>
        <row r="2181">
          <cell r="B2181">
            <v>43223</v>
          </cell>
          <cell r="D2181">
            <v>73.56</v>
          </cell>
          <cell r="E2181">
            <v>70.56</v>
          </cell>
          <cell r="H2181">
            <v>69.87</v>
          </cell>
          <cell r="I2181">
            <v>80.16</v>
          </cell>
          <cell r="BS2181">
            <v>9.5999999999999943</v>
          </cell>
        </row>
        <row r="2182">
          <cell r="B2182">
            <v>43224</v>
          </cell>
          <cell r="D2182">
            <v>74.55</v>
          </cell>
          <cell r="E2182">
            <v>70.454999999999998</v>
          </cell>
          <cell r="H2182">
            <v>70.05</v>
          </cell>
          <cell r="I2182">
            <v>80.13</v>
          </cell>
          <cell r="BS2182">
            <v>9.6749999999999972</v>
          </cell>
        </row>
        <row r="2183">
          <cell r="B2183">
            <v>43227</v>
          </cell>
          <cell r="D2183" t="str">
            <v/>
          </cell>
          <cell r="E2183">
            <v>72.55</v>
          </cell>
          <cell r="H2183">
            <v>72.069999999999993</v>
          </cell>
          <cell r="I2183">
            <v>81.89</v>
          </cell>
          <cell r="BS2183">
            <v>9.3400000000000034</v>
          </cell>
        </row>
        <row r="2184">
          <cell r="B2184">
            <v>43228</v>
          </cell>
          <cell r="D2184">
            <v>74.305000000000007</v>
          </cell>
          <cell r="E2184">
            <v>72.459999999999994</v>
          </cell>
          <cell r="H2184">
            <v>72.459999999999994</v>
          </cell>
          <cell r="I2184">
            <v>81.59</v>
          </cell>
          <cell r="BS2184">
            <v>9.1300000000000097</v>
          </cell>
        </row>
        <row r="2185">
          <cell r="B2185">
            <v>43229</v>
          </cell>
          <cell r="D2185">
            <v>77.305000000000007</v>
          </cell>
          <cell r="E2185">
            <v>73.900000000000006</v>
          </cell>
          <cell r="H2185">
            <v>74.260000000000005</v>
          </cell>
          <cell r="I2185">
            <v>83.81</v>
          </cell>
          <cell r="BS2185">
            <v>9.9099999999999966</v>
          </cell>
        </row>
        <row r="2186">
          <cell r="B2186">
            <v>43230</v>
          </cell>
          <cell r="D2186">
            <v>77.215000000000003</v>
          </cell>
          <cell r="E2186">
            <v>74.58</v>
          </cell>
          <cell r="H2186">
            <v>74.88</v>
          </cell>
          <cell r="I2186">
            <v>84.78</v>
          </cell>
          <cell r="BS2186">
            <v>10.200000000000003</v>
          </cell>
        </row>
        <row r="2187">
          <cell r="B2187">
            <v>43231</v>
          </cell>
          <cell r="D2187">
            <v>77.3</v>
          </cell>
          <cell r="E2187">
            <v>74.400000000000006</v>
          </cell>
          <cell r="H2187">
            <v>74.819999999999993</v>
          </cell>
          <cell r="I2187">
            <v>85.04</v>
          </cell>
          <cell r="BS2187">
            <v>10.64</v>
          </cell>
        </row>
        <row r="2188">
          <cell r="B2188">
            <v>43234</v>
          </cell>
          <cell r="D2188">
            <v>78.08</v>
          </cell>
          <cell r="E2188">
            <v>73.75</v>
          </cell>
          <cell r="H2188">
            <v>74.55</v>
          </cell>
          <cell r="I2188">
            <v>84.46</v>
          </cell>
          <cell r="BS2188">
            <v>10.709999999999994</v>
          </cell>
        </row>
        <row r="2189">
          <cell r="B2189">
            <v>43235</v>
          </cell>
          <cell r="D2189">
            <v>78.754999999999995</v>
          </cell>
          <cell r="E2189">
            <v>75.349999999999994</v>
          </cell>
          <cell r="H2189">
            <v>75.959999999999994</v>
          </cell>
          <cell r="I2189">
            <v>85.95</v>
          </cell>
          <cell r="BS2189">
            <v>10.600000000000009</v>
          </cell>
        </row>
        <row r="2190">
          <cell r="B2190">
            <v>43236</v>
          </cell>
          <cell r="D2190">
            <v>78.239999999999995</v>
          </cell>
          <cell r="E2190">
            <v>75.06</v>
          </cell>
          <cell r="H2190">
            <v>75.55</v>
          </cell>
          <cell r="I2190">
            <v>86.72</v>
          </cell>
          <cell r="BS2190">
            <v>11.659999999999997</v>
          </cell>
        </row>
        <row r="2191">
          <cell r="B2191">
            <v>43237</v>
          </cell>
          <cell r="D2191">
            <v>80.290000000000006</v>
          </cell>
          <cell r="E2191">
            <v>76.75</v>
          </cell>
          <cell r="H2191">
            <v>77</v>
          </cell>
          <cell r="I2191">
            <v>89.42</v>
          </cell>
          <cell r="BS2191">
            <v>12.670000000000002</v>
          </cell>
        </row>
        <row r="2192">
          <cell r="B2192">
            <v>43238</v>
          </cell>
          <cell r="D2192">
            <v>78.430000000000007</v>
          </cell>
          <cell r="E2192">
            <v>77.05</v>
          </cell>
          <cell r="H2192">
            <v>77.319999999999993</v>
          </cell>
          <cell r="I2192">
            <v>89.26</v>
          </cell>
          <cell r="BS2192">
            <v>12.210000000000008</v>
          </cell>
        </row>
        <row r="2193">
          <cell r="B2193">
            <v>43241</v>
          </cell>
          <cell r="D2193">
            <v>78.59</v>
          </cell>
          <cell r="E2193">
            <v>76.45</v>
          </cell>
          <cell r="H2193">
            <v>76.69</v>
          </cell>
          <cell r="I2193">
            <v>88.73</v>
          </cell>
          <cell r="BS2193">
            <v>12.280000000000001</v>
          </cell>
        </row>
        <row r="2194">
          <cell r="B2194">
            <v>43242</v>
          </cell>
          <cell r="D2194">
            <v>80.224999999999994</v>
          </cell>
          <cell r="E2194">
            <v>77.290000000000006</v>
          </cell>
          <cell r="H2194">
            <v>77.91</v>
          </cell>
          <cell r="I2194">
            <v>89.78</v>
          </cell>
          <cell r="BS2194">
            <v>12.489999999999995</v>
          </cell>
        </row>
        <row r="2195">
          <cell r="B2195">
            <v>43243</v>
          </cell>
          <cell r="D2195">
            <v>78.8</v>
          </cell>
          <cell r="E2195">
            <v>76.599999999999994</v>
          </cell>
          <cell r="H2195">
            <v>77.19</v>
          </cell>
          <cell r="I2195">
            <v>88.64</v>
          </cell>
          <cell r="BS2195">
            <v>12.040000000000006</v>
          </cell>
        </row>
        <row r="2196">
          <cell r="B2196">
            <v>43244</v>
          </cell>
          <cell r="D2196">
            <v>79.034999999999997</v>
          </cell>
          <cell r="E2196">
            <v>77.05</v>
          </cell>
          <cell r="H2196">
            <v>77.47</v>
          </cell>
          <cell r="I2196">
            <v>88.81</v>
          </cell>
          <cell r="BS2196">
            <v>11.760000000000005</v>
          </cell>
        </row>
        <row r="2197">
          <cell r="B2197">
            <v>43245</v>
          </cell>
          <cell r="D2197">
            <v>76.424999999999997</v>
          </cell>
          <cell r="E2197">
            <v>75.75</v>
          </cell>
          <cell r="H2197">
            <v>75.900000000000006</v>
          </cell>
          <cell r="I2197">
            <v>87.6</v>
          </cell>
          <cell r="BS2197">
            <v>11.849999999999994</v>
          </cell>
        </row>
        <row r="2198">
          <cell r="B2198">
            <v>43248</v>
          </cell>
          <cell r="D2198" t="str">
            <v/>
          </cell>
          <cell r="E2198">
            <v>73.2</v>
          </cell>
          <cell r="H2198">
            <v>73.63</v>
          </cell>
          <cell r="I2198">
            <v>84.65</v>
          </cell>
          <cell r="BS2198">
            <v>11.450000000000003</v>
          </cell>
        </row>
        <row r="2199">
          <cell r="B2199">
            <v>43249</v>
          </cell>
          <cell r="D2199">
            <v>74.56</v>
          </cell>
          <cell r="E2199" t="str">
            <v/>
          </cell>
          <cell r="H2199">
            <v>0</v>
          </cell>
          <cell r="I2199">
            <v>0</v>
          </cell>
          <cell r="BS2199" t="e">
            <v>#N/A</v>
          </cell>
        </row>
        <row r="2200">
          <cell r="B2200">
            <v>43250</v>
          </cell>
          <cell r="D2200">
            <v>75.95</v>
          </cell>
          <cell r="E2200">
            <v>73.55</v>
          </cell>
          <cell r="H2200">
            <v>73.38</v>
          </cell>
          <cell r="I2200">
            <v>84.01</v>
          </cell>
          <cell r="BS2200">
            <v>10.460000000000008</v>
          </cell>
        </row>
        <row r="2201">
          <cell r="B2201">
            <v>43251</v>
          </cell>
          <cell r="D2201">
            <v>76.47</v>
          </cell>
          <cell r="E2201">
            <v>75.45</v>
          </cell>
          <cell r="H2201">
            <v>74.09</v>
          </cell>
          <cell r="I2201">
            <v>85.36</v>
          </cell>
          <cell r="BS2201">
            <v>9.9099999999999966</v>
          </cell>
        </row>
        <row r="2202">
          <cell r="B2202">
            <v>43252</v>
          </cell>
          <cell r="D2202">
            <v>74.875</v>
          </cell>
          <cell r="E2202">
            <v>75.06</v>
          </cell>
          <cell r="H2202">
            <v>73.95</v>
          </cell>
          <cell r="I2202">
            <v>85.4</v>
          </cell>
          <cell r="BS2202">
            <v>10.340000000000003</v>
          </cell>
        </row>
        <row r="2203">
          <cell r="B2203">
            <v>43255</v>
          </cell>
          <cell r="D2203">
            <v>73.754999999999995</v>
          </cell>
          <cell r="E2203">
            <v>74.41</v>
          </cell>
          <cell r="H2203">
            <v>73.2</v>
          </cell>
          <cell r="I2203">
            <v>84.24</v>
          </cell>
          <cell r="BS2203">
            <v>9.8299999999999983</v>
          </cell>
        </row>
        <row r="2204">
          <cell r="B2204">
            <v>43256</v>
          </cell>
          <cell r="D2204">
            <v>73.19</v>
          </cell>
          <cell r="E2204">
            <v>73.599999999999994</v>
          </cell>
          <cell r="H2204">
            <v>71.760000000000005</v>
          </cell>
          <cell r="I2204">
            <v>82.92</v>
          </cell>
          <cell r="BS2204">
            <v>9.3200000000000074</v>
          </cell>
        </row>
        <row r="2205">
          <cell r="B2205">
            <v>43257</v>
          </cell>
          <cell r="D2205">
            <v>73.650000000000006</v>
          </cell>
          <cell r="E2205">
            <v>73.75</v>
          </cell>
          <cell r="H2205">
            <v>71.38</v>
          </cell>
          <cell r="I2205">
            <v>83.36</v>
          </cell>
          <cell r="BS2205">
            <v>9.61</v>
          </cell>
        </row>
        <row r="2206">
          <cell r="B2206">
            <v>43258</v>
          </cell>
          <cell r="D2206">
            <v>75.545000000000002</v>
          </cell>
          <cell r="E2206">
            <v>73.56</v>
          </cell>
          <cell r="H2206">
            <v>70.64</v>
          </cell>
          <cell r="I2206">
            <v>82.31</v>
          </cell>
          <cell r="BS2206">
            <v>8.75</v>
          </cell>
        </row>
        <row r="2207">
          <cell r="B2207">
            <v>43259</v>
          </cell>
          <cell r="D2207">
            <v>75.034999999999997</v>
          </cell>
          <cell r="E2207">
            <v>74.81</v>
          </cell>
          <cell r="H2207">
            <v>71.44</v>
          </cell>
          <cell r="I2207">
            <v>83.43</v>
          </cell>
          <cell r="BS2207">
            <v>8.6200000000000045</v>
          </cell>
        </row>
        <row r="2208">
          <cell r="B2208">
            <v>43262</v>
          </cell>
          <cell r="D2208">
            <v>75.034999999999997</v>
          </cell>
          <cell r="E2208">
            <v>74.400000000000006</v>
          </cell>
          <cell r="H2208">
            <v>71.05</v>
          </cell>
          <cell r="I2208">
            <v>83.16</v>
          </cell>
          <cell r="BS2208">
            <v>8.7599999999999909</v>
          </cell>
        </row>
        <row r="2209">
          <cell r="B2209">
            <v>43263</v>
          </cell>
          <cell r="D2209">
            <v>74.915000000000006</v>
          </cell>
          <cell r="E2209">
            <v>74.775000000000006</v>
          </cell>
          <cell r="H2209">
            <v>71.52</v>
          </cell>
          <cell r="I2209">
            <v>83.19</v>
          </cell>
          <cell r="BS2209">
            <v>8.414999999999992</v>
          </cell>
        </row>
        <row r="2210">
          <cell r="B2210">
            <v>43264</v>
          </cell>
          <cell r="D2210">
            <v>74.905000000000001</v>
          </cell>
          <cell r="E2210">
            <v>73.400000000000006</v>
          </cell>
          <cell r="H2210">
            <v>70.91</v>
          </cell>
          <cell r="I2210">
            <v>81.53</v>
          </cell>
          <cell r="BS2210">
            <v>8.1299999999999955</v>
          </cell>
        </row>
        <row r="2211">
          <cell r="B2211">
            <v>43265</v>
          </cell>
          <cell r="D2211">
            <v>74.834999999999994</v>
          </cell>
          <cell r="E2211">
            <v>74.319999999999993</v>
          </cell>
          <cell r="H2211">
            <v>71.89</v>
          </cell>
          <cell r="I2211">
            <v>83.06</v>
          </cell>
          <cell r="BS2211">
            <v>8.7400000000000091</v>
          </cell>
        </row>
        <row r="2212">
          <cell r="B2212">
            <v>43266</v>
          </cell>
          <cell r="D2212">
            <v>72.254999999999995</v>
          </cell>
          <cell r="E2212" t="str">
            <v/>
          </cell>
          <cell r="H2212">
            <v>0</v>
          </cell>
          <cell r="I2212">
            <v>0</v>
          </cell>
          <cell r="BS2212" t="e">
            <v>#N/A</v>
          </cell>
        </row>
        <row r="2213">
          <cell r="B2213">
            <v>43269</v>
          </cell>
          <cell r="D2213">
            <v>73.495000000000005</v>
          </cell>
          <cell r="E2213">
            <v>70.94</v>
          </cell>
          <cell r="H2213">
            <v>68.430000000000007</v>
          </cell>
          <cell r="I2213">
            <v>79.13</v>
          </cell>
          <cell r="BS2213">
            <v>8.1899999999999977</v>
          </cell>
        </row>
        <row r="2214">
          <cell r="B2214">
            <v>43270</v>
          </cell>
          <cell r="D2214">
            <v>73.53</v>
          </cell>
          <cell r="E2214">
            <v>72</v>
          </cell>
          <cell r="H2214">
            <v>69.25</v>
          </cell>
          <cell r="I2214">
            <v>79.34</v>
          </cell>
          <cell r="BS2214">
            <v>7.3400000000000034</v>
          </cell>
        </row>
        <row r="2215">
          <cell r="B2215">
            <v>43271</v>
          </cell>
          <cell r="D2215">
            <v>73.635000000000005</v>
          </cell>
          <cell r="E2215">
            <v>72.7</v>
          </cell>
          <cell r="H2215">
            <v>69.239999999999995</v>
          </cell>
          <cell r="I2215">
            <v>79.540000000000006</v>
          </cell>
          <cell r="BS2215">
            <v>6.8400000000000034</v>
          </cell>
        </row>
        <row r="2216">
          <cell r="B2216">
            <v>43272</v>
          </cell>
          <cell r="D2216">
            <v>72.430000000000007</v>
          </cell>
          <cell r="E2216">
            <v>71.239999999999995</v>
          </cell>
          <cell r="H2216">
            <v>67.8</v>
          </cell>
          <cell r="I2216">
            <v>77.83</v>
          </cell>
          <cell r="BS2216">
            <v>6.5900000000000034</v>
          </cell>
        </row>
        <row r="2217">
          <cell r="B2217">
            <v>43273</v>
          </cell>
          <cell r="D2217">
            <v>73.239999999999995</v>
          </cell>
          <cell r="E2217">
            <v>71.75</v>
          </cell>
          <cell r="H2217">
            <v>68.28</v>
          </cell>
          <cell r="I2217">
            <v>78.66</v>
          </cell>
          <cell r="BS2217">
            <v>6.9099999999999966</v>
          </cell>
        </row>
        <row r="2218">
          <cell r="B2218">
            <v>43276</v>
          </cell>
          <cell r="D2218">
            <v>72.924999999999997</v>
          </cell>
          <cell r="E2218">
            <v>72.754999999999995</v>
          </cell>
          <cell r="H2218">
            <v>69.17</v>
          </cell>
          <cell r="I2218">
            <v>79.75</v>
          </cell>
          <cell r="BS2218">
            <v>6.9950000000000045</v>
          </cell>
        </row>
        <row r="2219">
          <cell r="B2219">
            <v>43277</v>
          </cell>
          <cell r="D2219">
            <v>73.680000000000007</v>
          </cell>
          <cell r="E2219">
            <v>73</v>
          </cell>
          <cell r="H2219">
            <v>69.3</v>
          </cell>
          <cell r="I2219">
            <v>79.61</v>
          </cell>
          <cell r="BS2219">
            <v>6.6099999999999994</v>
          </cell>
        </row>
        <row r="2220">
          <cell r="B2220">
            <v>43278</v>
          </cell>
          <cell r="D2220">
            <v>76.265000000000001</v>
          </cell>
          <cell r="E2220">
            <v>74.36</v>
          </cell>
          <cell r="H2220">
            <v>70.3</v>
          </cell>
          <cell r="I2220">
            <v>80.290000000000006</v>
          </cell>
          <cell r="BS2220">
            <v>5.9300000000000068</v>
          </cell>
        </row>
        <row r="2221">
          <cell r="B2221">
            <v>43279</v>
          </cell>
          <cell r="D2221">
            <v>75.739999999999995</v>
          </cell>
          <cell r="E2221">
            <v>75.150000000000006</v>
          </cell>
          <cell r="H2221">
            <v>71.5</v>
          </cell>
          <cell r="I2221">
            <v>81.62</v>
          </cell>
          <cell r="BS2221">
            <v>6.4699999999999989</v>
          </cell>
        </row>
        <row r="2222">
          <cell r="B2222">
            <v>43280</v>
          </cell>
          <cell r="D2222">
            <v>77.900000000000006</v>
          </cell>
          <cell r="E2222">
            <v>75.849999999999994</v>
          </cell>
          <cell r="H2222">
            <v>72.27</v>
          </cell>
          <cell r="I2222">
            <v>82</v>
          </cell>
          <cell r="BS2222">
            <v>6.1500000000000057</v>
          </cell>
        </row>
        <row r="2223">
          <cell r="B2223">
            <v>43283</v>
          </cell>
          <cell r="D2223">
            <v>76.644999999999996</v>
          </cell>
          <cell r="E2223">
            <v>75.599999999999994</v>
          </cell>
          <cell r="H2223">
            <v>72.62</v>
          </cell>
          <cell r="I2223">
            <v>82.61</v>
          </cell>
          <cell r="BS2223">
            <v>7.0100000000000051</v>
          </cell>
        </row>
        <row r="2224">
          <cell r="B2224">
            <v>43284</v>
          </cell>
          <cell r="D2224">
            <v>75.905000000000001</v>
          </cell>
          <cell r="E2224">
            <v>74.89</v>
          </cell>
          <cell r="H2224">
            <v>72.290000000000006</v>
          </cell>
          <cell r="I2224">
            <v>81.03</v>
          </cell>
          <cell r="BS2224">
            <v>6.1400000000000006</v>
          </cell>
        </row>
        <row r="2225">
          <cell r="B2225">
            <v>43285</v>
          </cell>
          <cell r="D2225">
            <v>77.064999999999998</v>
          </cell>
          <cell r="E2225">
            <v>75.05</v>
          </cell>
          <cell r="H2225">
            <v>73.11</v>
          </cell>
          <cell r="I2225">
            <v>81.58</v>
          </cell>
          <cell r="BS2225">
            <v>6.5300000000000011</v>
          </cell>
        </row>
        <row r="2226">
          <cell r="B2226">
            <v>43286</v>
          </cell>
          <cell r="D2226">
            <v>77.010000000000005</v>
          </cell>
          <cell r="E2226">
            <v>74.849999999999994</v>
          </cell>
          <cell r="H2226">
            <v>73.069999999999993</v>
          </cell>
          <cell r="I2226">
            <v>81.5</v>
          </cell>
          <cell r="BS2226">
            <v>6.6500000000000057</v>
          </cell>
        </row>
        <row r="2227">
          <cell r="B2227">
            <v>43287</v>
          </cell>
          <cell r="D2227">
            <v>75.69</v>
          </cell>
          <cell r="E2227">
            <v>74.19</v>
          </cell>
          <cell r="H2227">
            <v>72.540000000000006</v>
          </cell>
          <cell r="I2227">
            <v>81.64</v>
          </cell>
          <cell r="BS2227">
            <v>7.4500000000000028</v>
          </cell>
        </row>
        <row r="2228">
          <cell r="B2228">
            <v>43290</v>
          </cell>
          <cell r="D2228">
            <v>76.825000000000003</v>
          </cell>
          <cell r="E2228">
            <v>74.75</v>
          </cell>
          <cell r="H2228">
            <v>73.17</v>
          </cell>
          <cell r="I2228">
            <v>82.13</v>
          </cell>
          <cell r="BS2228">
            <v>7.3799999999999955</v>
          </cell>
        </row>
        <row r="2229">
          <cell r="B2229">
            <v>43291</v>
          </cell>
          <cell r="D2229">
            <v>77.67</v>
          </cell>
          <cell r="E2229">
            <v>76.05</v>
          </cell>
          <cell r="H2229">
            <v>74.13</v>
          </cell>
          <cell r="I2229">
            <v>83.87</v>
          </cell>
          <cell r="BS2229">
            <v>7.8200000000000074</v>
          </cell>
        </row>
        <row r="2230">
          <cell r="B2230">
            <v>43292</v>
          </cell>
          <cell r="D2230">
            <v>75.135000000000005</v>
          </cell>
          <cell r="E2230">
            <v>74.709999999999994</v>
          </cell>
          <cell r="H2230">
            <v>73.05</v>
          </cell>
          <cell r="I2230">
            <v>82.61</v>
          </cell>
          <cell r="BS2230">
            <v>7.9000000000000057</v>
          </cell>
        </row>
        <row r="2231">
          <cell r="B2231">
            <v>43293</v>
          </cell>
          <cell r="D2231">
            <v>72.165000000000006</v>
          </cell>
          <cell r="E2231">
            <v>72.555000000000007</v>
          </cell>
          <cell r="H2231">
            <v>71.41</v>
          </cell>
          <cell r="I2231">
            <v>80.569999999999993</v>
          </cell>
          <cell r="BS2231">
            <v>8.0149999999999864</v>
          </cell>
        </row>
        <row r="2232">
          <cell r="B2232">
            <v>43294</v>
          </cell>
          <cell r="D2232">
            <v>74.27</v>
          </cell>
          <cell r="E2232">
            <v>71.55</v>
          </cell>
          <cell r="H2232">
            <v>70.52</v>
          </cell>
          <cell r="I2232">
            <v>79.31</v>
          </cell>
          <cell r="BS2232">
            <v>7.7600000000000051</v>
          </cell>
        </row>
        <row r="2233">
          <cell r="B2233">
            <v>43297</v>
          </cell>
          <cell r="D2233">
            <v>71.165000000000006</v>
          </cell>
          <cell r="E2233">
            <v>73</v>
          </cell>
          <cell r="H2233">
            <v>71.849999999999994</v>
          </cell>
          <cell r="I2233">
            <v>81.34</v>
          </cell>
          <cell r="BS2233">
            <v>8.3400000000000034</v>
          </cell>
        </row>
        <row r="2234">
          <cell r="B2234">
            <v>43298</v>
          </cell>
          <cell r="D2234">
            <v>70.709999999999994</v>
          </cell>
          <cell r="E2234">
            <v>70.430000000000007</v>
          </cell>
          <cell r="H2234">
            <v>69.11</v>
          </cell>
          <cell r="I2234">
            <v>77.78</v>
          </cell>
          <cell r="BS2234">
            <v>7.3499999999999943</v>
          </cell>
        </row>
        <row r="2235">
          <cell r="B2235">
            <v>43299</v>
          </cell>
          <cell r="D2235">
            <v>70.540000000000006</v>
          </cell>
          <cell r="E2235">
            <v>69.605000000000004</v>
          </cell>
          <cell r="H2235">
            <v>68.38</v>
          </cell>
          <cell r="I2235">
            <v>76.97</v>
          </cell>
          <cell r="BS2235">
            <v>7.3649999999999949</v>
          </cell>
        </row>
        <row r="2236">
          <cell r="B2236">
            <v>43300</v>
          </cell>
          <cell r="D2236">
            <v>72.155000000000001</v>
          </cell>
          <cell r="E2236">
            <v>70.41</v>
          </cell>
          <cell r="H2236">
            <v>69.13</v>
          </cell>
          <cell r="I2236">
            <v>78.23</v>
          </cell>
          <cell r="BS2236">
            <v>7.8200000000000074</v>
          </cell>
        </row>
        <row r="2237">
          <cell r="B2237">
            <v>43301</v>
          </cell>
          <cell r="D2237">
            <v>72.155000000000001</v>
          </cell>
          <cell r="E2237">
            <v>71.5</v>
          </cell>
          <cell r="H2237">
            <v>70.739999999999995</v>
          </cell>
          <cell r="I2237">
            <v>79.67</v>
          </cell>
          <cell r="BS2237">
            <v>8.1700000000000017</v>
          </cell>
        </row>
        <row r="2238">
          <cell r="B2238">
            <v>43304</v>
          </cell>
          <cell r="D2238">
            <v>73.614999999999995</v>
          </cell>
          <cell r="E2238">
            <v>71.45</v>
          </cell>
          <cell r="H2238">
            <v>71.12</v>
          </cell>
          <cell r="I2238">
            <v>80.27</v>
          </cell>
          <cell r="BS2238">
            <v>8.8199999999999932</v>
          </cell>
        </row>
        <row r="2239">
          <cell r="B2239">
            <v>43305</v>
          </cell>
          <cell r="D2239">
            <v>73.734999999999999</v>
          </cell>
          <cell r="E2239">
            <v>71.599999999999994</v>
          </cell>
          <cell r="H2239">
            <v>71.81</v>
          </cell>
          <cell r="I2239">
            <v>80.930000000000007</v>
          </cell>
          <cell r="BS2239">
            <v>9.3300000000000125</v>
          </cell>
        </row>
        <row r="2240">
          <cell r="B2240">
            <v>43306</v>
          </cell>
          <cell r="D2240">
            <v>73.98</v>
          </cell>
          <cell r="E2240">
            <v>72.55</v>
          </cell>
          <cell r="H2240">
            <v>72.510000000000005</v>
          </cell>
          <cell r="I2240">
            <v>82.19</v>
          </cell>
          <cell r="BS2240">
            <v>9.64</v>
          </cell>
        </row>
        <row r="2241">
          <cell r="B2241">
            <v>43307</v>
          </cell>
          <cell r="D2241">
            <v>74.709999999999994</v>
          </cell>
          <cell r="E2241">
            <v>73.459999999999994</v>
          </cell>
          <cell r="H2241">
            <v>73.73</v>
          </cell>
          <cell r="I2241">
            <v>82.57</v>
          </cell>
          <cell r="BS2241">
            <v>9.11</v>
          </cell>
        </row>
        <row r="2242">
          <cell r="B2242">
            <v>43308</v>
          </cell>
          <cell r="D2242">
            <v>74.930000000000007</v>
          </cell>
          <cell r="E2242">
            <v>73.400000000000006</v>
          </cell>
          <cell r="H2242">
            <v>73.819999999999993</v>
          </cell>
          <cell r="I2242">
            <v>82.41</v>
          </cell>
          <cell r="BS2242">
            <v>9.0099999999999909</v>
          </cell>
        </row>
        <row r="2243">
          <cell r="B2243">
            <v>43311</v>
          </cell>
          <cell r="D2243">
            <v>75.125</v>
          </cell>
          <cell r="E2243">
            <v>73.400000000000006</v>
          </cell>
          <cell r="H2243">
            <v>73.84</v>
          </cell>
          <cell r="I2243">
            <v>82.63</v>
          </cell>
          <cell r="BS2243">
            <v>9.2299999999999898</v>
          </cell>
        </row>
        <row r="2244">
          <cell r="B2244">
            <v>43312</v>
          </cell>
          <cell r="D2244">
            <v>74.459999999999994</v>
          </cell>
          <cell r="E2244">
            <v>73.650000000000006</v>
          </cell>
          <cell r="H2244">
            <v>73.94</v>
          </cell>
          <cell r="I2244">
            <v>82.78</v>
          </cell>
          <cell r="BS2244">
            <v>9.1299999999999955</v>
          </cell>
        </row>
        <row r="2245">
          <cell r="B2245">
            <v>43313</v>
          </cell>
          <cell r="D2245">
            <v>72.474999999999994</v>
          </cell>
          <cell r="E2245">
            <v>72.349999999999994</v>
          </cell>
          <cell r="H2245">
            <v>73.569999999999993</v>
          </cell>
          <cell r="I2245">
            <v>81.31</v>
          </cell>
          <cell r="BS2245">
            <v>8.960000000000008</v>
          </cell>
        </row>
        <row r="2246">
          <cell r="B2246">
            <v>43314</v>
          </cell>
          <cell r="D2246">
            <v>73.174999999999997</v>
          </cell>
          <cell r="E2246">
            <v>71.2</v>
          </cell>
          <cell r="H2246">
            <v>72.459999999999994</v>
          </cell>
          <cell r="I2246">
            <v>80.02</v>
          </cell>
          <cell r="BS2246">
            <v>8.8199999999999932</v>
          </cell>
        </row>
        <row r="2247">
          <cell r="B2247">
            <v>43315</v>
          </cell>
          <cell r="D2247">
            <v>72.44</v>
          </cell>
          <cell r="E2247">
            <v>71.900000000000006</v>
          </cell>
          <cell r="H2247">
            <v>72.760000000000005</v>
          </cell>
          <cell r="I2247">
            <v>80.760000000000005</v>
          </cell>
          <cell r="BS2247">
            <v>8.86</v>
          </cell>
        </row>
        <row r="2248">
          <cell r="B2248">
            <v>43318</v>
          </cell>
          <cell r="D2248">
            <v>72.625</v>
          </cell>
          <cell r="E2248">
            <v>72.16</v>
          </cell>
          <cell r="H2248">
            <v>72.64</v>
          </cell>
          <cell r="I2248">
            <v>81.19</v>
          </cell>
          <cell r="BS2248">
            <v>9.0300000000000011</v>
          </cell>
        </row>
        <row r="2249">
          <cell r="B2249">
            <v>43319</v>
          </cell>
          <cell r="D2249">
            <v>72.745000000000005</v>
          </cell>
          <cell r="E2249">
            <v>72.650000000000006</v>
          </cell>
          <cell r="H2249">
            <v>71.900000000000006</v>
          </cell>
          <cell r="I2249">
            <v>82.3</v>
          </cell>
          <cell r="BS2249">
            <v>9.6499999999999915</v>
          </cell>
        </row>
        <row r="2250">
          <cell r="B2250">
            <v>43320</v>
          </cell>
          <cell r="D2250">
            <v>70.495000000000005</v>
          </cell>
          <cell r="E2250">
            <v>73.3</v>
          </cell>
          <cell r="H2250">
            <v>72.38</v>
          </cell>
          <cell r="I2250">
            <v>83.32</v>
          </cell>
          <cell r="BS2250">
            <v>10.019999999999996</v>
          </cell>
        </row>
        <row r="2251">
          <cell r="B2251">
            <v>43321</v>
          </cell>
          <cell r="D2251">
            <v>70.625</v>
          </cell>
          <cell r="E2251" t="str">
            <v/>
          </cell>
          <cell r="H2251">
            <v>0</v>
          </cell>
          <cell r="I2251">
            <v>0</v>
          </cell>
          <cell r="BS2251" t="e">
            <v>#N/A</v>
          </cell>
        </row>
        <row r="2252">
          <cell r="B2252">
            <v>43322</v>
          </cell>
          <cell r="D2252">
            <v>71.27</v>
          </cell>
          <cell r="E2252">
            <v>70.489999999999995</v>
          </cell>
          <cell r="H2252">
            <v>69.27</v>
          </cell>
          <cell r="I2252">
            <v>80.489999999999995</v>
          </cell>
          <cell r="BS2252">
            <v>10</v>
          </cell>
        </row>
        <row r="2253">
          <cell r="B2253">
            <v>43325</v>
          </cell>
          <cell r="D2253">
            <v>70.974999999999994</v>
          </cell>
          <cell r="E2253">
            <v>71.25</v>
          </cell>
          <cell r="H2253">
            <v>70.16</v>
          </cell>
          <cell r="I2253">
            <v>81.67</v>
          </cell>
          <cell r="BS2253">
            <v>10.420000000000002</v>
          </cell>
        </row>
        <row r="2254">
          <cell r="B2254">
            <v>43326</v>
          </cell>
          <cell r="D2254">
            <v>71.09</v>
          </cell>
          <cell r="E2254">
            <v>71.8</v>
          </cell>
          <cell r="H2254">
            <v>70.680000000000007</v>
          </cell>
          <cell r="I2254">
            <v>81.89</v>
          </cell>
          <cell r="BS2254">
            <v>10.090000000000003</v>
          </cell>
        </row>
        <row r="2255">
          <cell r="B2255">
            <v>43327</v>
          </cell>
          <cell r="D2255">
            <v>68.864999999999995</v>
          </cell>
          <cell r="E2255">
            <v>70.650000000000006</v>
          </cell>
          <cell r="H2255">
            <v>70.25</v>
          </cell>
          <cell r="I2255">
            <v>83.75</v>
          </cell>
          <cell r="BS2255">
            <v>13.099999999999994</v>
          </cell>
        </row>
        <row r="2256">
          <cell r="B2256">
            <v>43328</v>
          </cell>
          <cell r="D2256">
            <v>69.825000000000003</v>
          </cell>
          <cell r="E2256">
            <v>69.66</v>
          </cell>
          <cell r="H2256">
            <v>69.42</v>
          </cell>
          <cell r="I2256">
            <v>81.5</v>
          </cell>
          <cell r="BS2256">
            <v>11.840000000000003</v>
          </cell>
        </row>
        <row r="2257">
          <cell r="B2257">
            <v>43329</v>
          </cell>
          <cell r="D2257">
            <v>70.625</v>
          </cell>
          <cell r="E2257">
            <v>70.39</v>
          </cell>
          <cell r="H2257">
            <v>69.319999999999993</v>
          </cell>
          <cell r="I2257">
            <v>80.81</v>
          </cell>
          <cell r="BS2257">
            <v>10.420000000000002</v>
          </cell>
        </row>
        <row r="2258">
          <cell r="B2258">
            <v>43332</v>
          </cell>
          <cell r="D2258">
            <v>70.83</v>
          </cell>
          <cell r="E2258">
            <v>70.81</v>
          </cell>
          <cell r="H2258">
            <v>69.540000000000006</v>
          </cell>
          <cell r="I2258">
            <v>80.67</v>
          </cell>
          <cell r="BS2258">
            <v>9.86</v>
          </cell>
        </row>
        <row r="2259">
          <cell r="B2259">
            <v>43333</v>
          </cell>
          <cell r="D2259">
            <v>71.275000000000006</v>
          </cell>
          <cell r="E2259">
            <v>71.099999999999994</v>
          </cell>
          <cell r="H2259">
            <v>70.180000000000007</v>
          </cell>
          <cell r="I2259">
            <v>81.45</v>
          </cell>
          <cell r="BS2259">
            <v>10.350000000000009</v>
          </cell>
        </row>
        <row r="2260">
          <cell r="B2260">
            <v>43334</v>
          </cell>
          <cell r="D2260">
            <v>73.174999999999997</v>
          </cell>
          <cell r="E2260" t="str">
            <v/>
          </cell>
          <cell r="H2260">
            <v>0</v>
          </cell>
          <cell r="I2260">
            <v>0</v>
          </cell>
          <cell r="BS2260" t="e">
            <v>#N/A</v>
          </cell>
        </row>
        <row r="2261">
          <cell r="B2261">
            <v>43335</v>
          </cell>
          <cell r="D2261">
            <v>73.819999999999993</v>
          </cell>
          <cell r="E2261">
            <v>73.14</v>
          </cell>
          <cell r="H2261">
            <v>71.47</v>
          </cell>
          <cell r="I2261">
            <v>82.93</v>
          </cell>
          <cell r="BS2261">
            <v>9.7900000000000063</v>
          </cell>
        </row>
        <row r="2262">
          <cell r="B2262">
            <v>43336</v>
          </cell>
          <cell r="D2262">
            <v>75.06</v>
          </cell>
          <cell r="E2262">
            <v>74.11</v>
          </cell>
          <cell r="H2262">
            <v>71.73</v>
          </cell>
          <cell r="I2262">
            <v>83.68</v>
          </cell>
          <cell r="BS2262">
            <v>9.5700000000000074</v>
          </cell>
        </row>
        <row r="2263">
          <cell r="B2263">
            <v>43339</v>
          </cell>
          <cell r="D2263" t="str">
            <v/>
          </cell>
          <cell r="E2263">
            <v>74.34</v>
          </cell>
          <cell r="H2263">
            <v>71.760000000000005</v>
          </cell>
          <cell r="I2263">
            <v>83.87</v>
          </cell>
          <cell r="BS2263">
            <v>9.5300000000000011</v>
          </cell>
        </row>
        <row r="2264">
          <cell r="B2264">
            <v>43340</v>
          </cell>
          <cell r="D2264">
            <v>75.989999999999995</v>
          </cell>
          <cell r="E2264">
            <v>75.05</v>
          </cell>
          <cell r="H2264">
            <v>72.61</v>
          </cell>
          <cell r="I2264">
            <v>84.4</v>
          </cell>
          <cell r="BS2264">
            <v>9.3500000000000085</v>
          </cell>
        </row>
        <row r="2265">
          <cell r="B2265">
            <v>43341</v>
          </cell>
          <cell r="D2265">
            <v>75.94</v>
          </cell>
          <cell r="E2265">
            <v>74.290000000000006</v>
          </cell>
          <cell r="H2265">
            <v>72.66</v>
          </cell>
          <cell r="I2265">
            <v>83.6</v>
          </cell>
          <cell r="BS2265">
            <v>9.3099999999999881</v>
          </cell>
        </row>
        <row r="2266">
          <cell r="B2266">
            <v>43342</v>
          </cell>
          <cell r="D2266">
            <v>76.885000000000005</v>
          </cell>
          <cell r="E2266">
            <v>75.790000000000006</v>
          </cell>
          <cell r="H2266">
            <v>74.11</v>
          </cell>
          <cell r="I2266">
            <v>85.57</v>
          </cell>
          <cell r="BS2266">
            <v>9.7799999999999869</v>
          </cell>
        </row>
        <row r="2267">
          <cell r="B2267">
            <v>43343</v>
          </cell>
          <cell r="D2267">
            <v>77.459999999999994</v>
          </cell>
          <cell r="E2267">
            <v>75.8</v>
          </cell>
          <cell r="H2267">
            <v>74.16</v>
          </cell>
          <cell r="I2267">
            <v>86.06</v>
          </cell>
          <cell r="BS2267">
            <v>10.260000000000005</v>
          </cell>
        </row>
        <row r="2268">
          <cell r="B2268">
            <v>43346</v>
          </cell>
          <cell r="D2268">
            <v>77.784999999999997</v>
          </cell>
          <cell r="E2268">
            <v>76.25</v>
          </cell>
          <cell r="H2268">
            <v>74.430000000000007</v>
          </cell>
          <cell r="I2268">
            <v>86.55</v>
          </cell>
          <cell r="BS2268">
            <v>10.299999999999997</v>
          </cell>
        </row>
        <row r="2269">
          <cell r="B2269">
            <v>43347</v>
          </cell>
          <cell r="D2269">
            <v>77.525000000000006</v>
          </cell>
          <cell r="E2269">
            <v>76.87</v>
          </cell>
          <cell r="H2269">
            <v>75.760000000000005</v>
          </cell>
          <cell r="I2269">
            <v>87.52</v>
          </cell>
          <cell r="BS2269">
            <v>10.649999999999991</v>
          </cell>
        </row>
        <row r="2270">
          <cell r="B2270">
            <v>43348</v>
          </cell>
          <cell r="D2270">
            <v>76.89</v>
          </cell>
          <cell r="E2270">
            <v>75.8</v>
          </cell>
          <cell r="H2270">
            <v>74.069999999999993</v>
          </cell>
          <cell r="I2270">
            <v>85.87</v>
          </cell>
          <cell r="BS2270">
            <v>10.070000000000007</v>
          </cell>
        </row>
        <row r="2271">
          <cell r="B2271">
            <v>43349</v>
          </cell>
          <cell r="D2271">
            <v>75.59</v>
          </cell>
          <cell r="E2271">
            <v>75.349999999999994</v>
          </cell>
          <cell r="H2271">
            <v>73.2</v>
          </cell>
          <cell r="I2271">
            <v>85.65</v>
          </cell>
          <cell r="BS2271">
            <v>10.300000000000011</v>
          </cell>
        </row>
        <row r="2272">
          <cell r="B2272">
            <v>43350</v>
          </cell>
          <cell r="D2272">
            <v>75.510000000000005</v>
          </cell>
          <cell r="E2272">
            <v>74.75</v>
          </cell>
          <cell r="H2272">
            <v>72.59</v>
          </cell>
          <cell r="I2272">
            <v>85.11</v>
          </cell>
          <cell r="BS2272">
            <v>10.36</v>
          </cell>
        </row>
        <row r="2273">
          <cell r="B2273">
            <v>43353</v>
          </cell>
          <cell r="D2273">
            <v>76.635000000000005</v>
          </cell>
          <cell r="E2273">
            <v>75.905000000000001</v>
          </cell>
          <cell r="H2273">
            <v>73.959999999999994</v>
          </cell>
          <cell r="I2273">
            <v>85.93</v>
          </cell>
          <cell r="BS2273">
            <v>10.025000000000006</v>
          </cell>
        </row>
        <row r="2274">
          <cell r="B2274">
            <v>43354</v>
          </cell>
          <cell r="D2274">
            <v>77.930000000000007</v>
          </cell>
          <cell r="E2274">
            <v>76.260000000000005</v>
          </cell>
          <cell r="H2274">
            <v>73.72</v>
          </cell>
          <cell r="I2274">
            <v>86.51</v>
          </cell>
          <cell r="BS2274">
            <v>10.25</v>
          </cell>
        </row>
        <row r="2275">
          <cell r="B2275">
            <v>43355</v>
          </cell>
          <cell r="D2275">
            <v>79.185000000000002</v>
          </cell>
          <cell r="E2275">
            <v>77.400000000000006</v>
          </cell>
          <cell r="H2275">
            <v>74.52</v>
          </cell>
          <cell r="I2275">
            <v>87.97</v>
          </cell>
          <cell r="BS2275">
            <v>10.569999999999993</v>
          </cell>
        </row>
        <row r="2276">
          <cell r="B2276">
            <v>43356</v>
          </cell>
          <cell r="D2276">
            <v>77.594999999999999</v>
          </cell>
          <cell r="E2276">
            <v>77.099999999999994</v>
          </cell>
          <cell r="H2276">
            <v>74.45</v>
          </cell>
          <cell r="I2276">
            <v>87.55</v>
          </cell>
          <cell r="BS2276">
            <v>10.450000000000003</v>
          </cell>
        </row>
        <row r="2277">
          <cell r="B2277">
            <v>43357</v>
          </cell>
          <cell r="D2277">
            <v>77.795000000000002</v>
          </cell>
          <cell r="E2277">
            <v>76.39</v>
          </cell>
          <cell r="H2277">
            <v>74.040000000000006</v>
          </cell>
          <cell r="I2277">
            <v>87.16</v>
          </cell>
          <cell r="BS2277">
            <v>10.769999999999996</v>
          </cell>
        </row>
        <row r="2278">
          <cell r="B2278">
            <v>43360</v>
          </cell>
          <cell r="D2278">
            <v>78.290000000000006</v>
          </cell>
          <cell r="E2278">
            <v>76.45</v>
          </cell>
          <cell r="H2278">
            <v>74.25</v>
          </cell>
          <cell r="I2278">
            <v>86.98</v>
          </cell>
          <cell r="BS2278">
            <v>10.530000000000001</v>
          </cell>
        </row>
        <row r="2279">
          <cell r="B2279">
            <v>43361</v>
          </cell>
          <cell r="D2279">
            <v>79.094999999999999</v>
          </cell>
          <cell r="E2279">
            <v>75.78</v>
          </cell>
          <cell r="H2279">
            <v>74.27</v>
          </cell>
          <cell r="I2279">
            <v>86.39</v>
          </cell>
          <cell r="BS2279">
            <v>10.61</v>
          </cell>
        </row>
        <row r="2280">
          <cell r="B2280">
            <v>43362</v>
          </cell>
          <cell r="D2280">
            <v>79.22</v>
          </cell>
          <cell r="E2280">
            <v>77.05</v>
          </cell>
          <cell r="H2280">
            <v>75.25</v>
          </cell>
          <cell r="I2280">
            <v>87.63</v>
          </cell>
          <cell r="BS2280">
            <v>10.579999999999998</v>
          </cell>
        </row>
        <row r="2281">
          <cell r="B2281">
            <v>43363</v>
          </cell>
          <cell r="D2281">
            <v>78.754999999999995</v>
          </cell>
          <cell r="E2281">
            <v>77.55</v>
          </cell>
          <cell r="H2281">
            <v>75.569999999999993</v>
          </cell>
          <cell r="I2281">
            <v>88.17</v>
          </cell>
          <cell r="BS2281">
            <v>10.620000000000005</v>
          </cell>
        </row>
        <row r="2282">
          <cell r="B2282">
            <v>43364</v>
          </cell>
          <cell r="D2282">
            <v>78.8</v>
          </cell>
          <cell r="E2282">
            <v>77.400000000000006</v>
          </cell>
          <cell r="H2282">
            <v>75.53</v>
          </cell>
          <cell r="I2282">
            <v>87.92</v>
          </cell>
          <cell r="BS2282">
            <v>10.519999999999996</v>
          </cell>
        </row>
        <row r="2283">
          <cell r="B2283">
            <v>43367</v>
          </cell>
          <cell r="D2283">
            <v>80.905000000000001</v>
          </cell>
          <cell r="E2283">
            <v>78.44</v>
          </cell>
          <cell r="H2283">
            <v>76.42</v>
          </cell>
          <cell r="I2283">
            <v>89.19</v>
          </cell>
          <cell r="BS2283">
            <v>10.75</v>
          </cell>
        </row>
        <row r="2284">
          <cell r="B2284">
            <v>43368</v>
          </cell>
          <cell r="D2284">
            <v>82.36</v>
          </cell>
          <cell r="E2284">
            <v>79.7</v>
          </cell>
          <cell r="H2284">
            <v>77.3</v>
          </cell>
          <cell r="I2284">
            <v>89.72</v>
          </cell>
          <cell r="BS2284">
            <v>10.019999999999996</v>
          </cell>
        </row>
        <row r="2285">
          <cell r="B2285">
            <v>43369</v>
          </cell>
          <cell r="D2285">
            <v>81.72</v>
          </cell>
          <cell r="E2285">
            <v>80.05</v>
          </cell>
          <cell r="H2285">
            <v>78.03</v>
          </cell>
          <cell r="I2285">
            <v>89.3</v>
          </cell>
          <cell r="BS2285">
            <v>9.25</v>
          </cell>
        </row>
        <row r="2286">
          <cell r="B2286">
            <v>43370</v>
          </cell>
          <cell r="D2286">
            <v>81.834999999999994</v>
          </cell>
          <cell r="E2286">
            <v>80.45</v>
          </cell>
          <cell r="H2286">
            <v>78.42</v>
          </cell>
          <cell r="I2286">
            <v>89.93</v>
          </cell>
          <cell r="BS2286">
            <v>9.480000000000004</v>
          </cell>
        </row>
        <row r="2287">
          <cell r="B2287">
            <v>43371</v>
          </cell>
          <cell r="D2287">
            <v>83.644999999999996</v>
          </cell>
          <cell r="E2287">
            <v>80</v>
          </cell>
          <cell r="H2287">
            <v>78.260000000000005</v>
          </cell>
          <cell r="I2287">
            <v>89.52</v>
          </cell>
          <cell r="BS2287">
            <v>9.519999999999996</v>
          </cell>
        </row>
        <row r="2288">
          <cell r="B2288">
            <v>43374</v>
          </cell>
          <cell r="D2288">
            <v>84.685000000000002</v>
          </cell>
          <cell r="E2288">
            <v>80.8</v>
          </cell>
          <cell r="H2288">
            <v>79.819999999999993</v>
          </cell>
          <cell r="I2288">
            <v>90.91</v>
          </cell>
          <cell r="BS2288">
            <v>10.11</v>
          </cell>
        </row>
        <row r="2289">
          <cell r="B2289">
            <v>43375</v>
          </cell>
          <cell r="D2289">
            <v>85.81</v>
          </cell>
          <cell r="E2289">
            <v>82.95</v>
          </cell>
          <cell r="H2289">
            <v>81.39</v>
          </cell>
          <cell r="I2289">
            <v>92.5</v>
          </cell>
          <cell r="BS2289">
            <v>9.5499999999999972</v>
          </cell>
        </row>
        <row r="2290">
          <cell r="B2290">
            <v>43376</v>
          </cell>
          <cell r="D2290">
            <v>85.73</v>
          </cell>
          <cell r="E2290">
            <v>83.35</v>
          </cell>
          <cell r="H2290">
            <v>81.31</v>
          </cell>
          <cell r="I2290">
            <v>92.19</v>
          </cell>
          <cell r="BS2290">
            <v>8.8400000000000034</v>
          </cell>
        </row>
        <row r="2291">
          <cell r="B2291">
            <v>43377</v>
          </cell>
          <cell r="D2291">
            <v>86.155000000000001</v>
          </cell>
          <cell r="E2291">
            <v>84.405000000000001</v>
          </cell>
          <cell r="H2291">
            <v>80.42</v>
          </cell>
          <cell r="I2291">
            <v>91.81</v>
          </cell>
          <cell r="BS2291">
            <v>7.4050000000000011</v>
          </cell>
        </row>
        <row r="2292">
          <cell r="B2292">
            <v>43378</v>
          </cell>
          <cell r="D2292">
            <v>85.155000000000001</v>
          </cell>
          <cell r="E2292">
            <v>83.25</v>
          </cell>
          <cell r="H2292">
            <v>79.42</v>
          </cell>
          <cell r="I2292">
            <v>91</v>
          </cell>
          <cell r="BS2292">
            <v>7.75</v>
          </cell>
        </row>
        <row r="2293">
          <cell r="B2293">
            <v>43381</v>
          </cell>
          <cell r="D2293">
            <v>83.984999999999999</v>
          </cell>
          <cell r="E2293">
            <v>81.59</v>
          </cell>
          <cell r="H2293">
            <v>77.930000000000007</v>
          </cell>
          <cell r="I2293">
            <v>89.8</v>
          </cell>
          <cell r="BS2293">
            <v>8.2099999999999937</v>
          </cell>
        </row>
        <row r="2294">
          <cell r="B2294">
            <v>43382</v>
          </cell>
          <cell r="D2294">
            <v>85.204999999999998</v>
          </cell>
          <cell r="E2294">
            <v>82.85</v>
          </cell>
          <cell r="H2294">
            <v>78.63</v>
          </cell>
          <cell r="I2294">
            <v>91.1</v>
          </cell>
          <cell r="BS2294">
            <v>8.25</v>
          </cell>
        </row>
        <row r="2295">
          <cell r="B2295">
            <v>43383</v>
          </cell>
          <cell r="D2295">
            <v>83.93</v>
          </cell>
          <cell r="E2295">
            <v>82.95</v>
          </cell>
          <cell r="H2295">
            <v>77.86</v>
          </cell>
          <cell r="I2295">
            <v>91.23</v>
          </cell>
          <cell r="BS2295">
            <v>8.2800000000000011</v>
          </cell>
        </row>
        <row r="2296">
          <cell r="B2296">
            <v>43384</v>
          </cell>
          <cell r="D2296">
            <v>81.290000000000006</v>
          </cell>
          <cell r="E2296">
            <v>80.599999999999994</v>
          </cell>
          <cell r="H2296">
            <v>75.8</v>
          </cell>
          <cell r="I2296">
            <v>88.27</v>
          </cell>
          <cell r="BS2296">
            <v>7.6700000000000017</v>
          </cell>
        </row>
        <row r="2297">
          <cell r="B2297">
            <v>43385</v>
          </cell>
          <cell r="D2297">
            <v>80.855000000000004</v>
          </cell>
          <cell r="E2297">
            <v>79.349999999999994</v>
          </cell>
          <cell r="H2297">
            <v>74.75</v>
          </cell>
          <cell r="I2297">
            <v>87.65</v>
          </cell>
          <cell r="BS2297">
            <v>8.3000000000000114</v>
          </cell>
        </row>
        <row r="2298">
          <cell r="B2298">
            <v>43388</v>
          </cell>
          <cell r="D2298">
            <v>81.034999999999997</v>
          </cell>
          <cell r="E2298">
            <v>79.290000000000006</v>
          </cell>
          <cell r="H2298">
            <v>74.819999999999993</v>
          </cell>
          <cell r="I2298">
            <v>86.39</v>
          </cell>
          <cell r="BS2298">
            <v>7.0999999999999943</v>
          </cell>
        </row>
        <row r="2299">
          <cell r="B2299">
            <v>43389</v>
          </cell>
          <cell r="D2299">
            <v>81</v>
          </cell>
          <cell r="E2299">
            <v>78.8</v>
          </cell>
          <cell r="H2299">
            <v>74.44</v>
          </cell>
          <cell r="I2299">
            <v>85.1</v>
          </cell>
          <cell r="BS2299">
            <v>6.2999999999999972</v>
          </cell>
        </row>
        <row r="2300">
          <cell r="B2300">
            <v>43390</v>
          </cell>
          <cell r="D2300">
            <v>80.5</v>
          </cell>
          <cell r="E2300">
            <v>80.2</v>
          </cell>
          <cell r="H2300">
            <v>75.7</v>
          </cell>
          <cell r="I2300">
            <v>85.92</v>
          </cell>
          <cell r="BS2300">
            <v>5.7199999999999989</v>
          </cell>
        </row>
        <row r="2301">
          <cell r="B2301">
            <v>43391</v>
          </cell>
          <cell r="D2301">
            <v>80.209999999999994</v>
          </cell>
          <cell r="E2301">
            <v>78.400000000000006</v>
          </cell>
          <cell r="H2301">
            <v>73.2</v>
          </cell>
          <cell r="I2301">
            <v>82.81</v>
          </cell>
          <cell r="BS2301">
            <v>4.4099999999999966</v>
          </cell>
        </row>
        <row r="2302">
          <cell r="B2302">
            <v>43392</v>
          </cell>
          <cell r="D2302">
            <v>80.635000000000005</v>
          </cell>
          <cell r="E2302">
            <v>77.89</v>
          </cell>
          <cell r="H2302">
            <v>72.53</v>
          </cell>
          <cell r="I2302">
            <v>82.93</v>
          </cell>
          <cell r="BS2302">
            <v>5.0400000000000063</v>
          </cell>
        </row>
        <row r="2303">
          <cell r="B2303">
            <v>43395</v>
          </cell>
          <cell r="D2303">
            <v>80.295000000000002</v>
          </cell>
          <cell r="E2303">
            <v>78.790000000000006</v>
          </cell>
          <cell r="H2303">
            <v>73.33</v>
          </cell>
          <cell r="I2303">
            <v>83.63</v>
          </cell>
          <cell r="BS2303">
            <v>4.8399999999999892</v>
          </cell>
        </row>
        <row r="2304">
          <cell r="B2304">
            <v>43396</v>
          </cell>
          <cell r="D2304">
            <v>78.09</v>
          </cell>
          <cell r="E2304">
            <v>77.84</v>
          </cell>
          <cell r="H2304">
            <v>71.540000000000006</v>
          </cell>
          <cell r="I2304">
            <v>81.63</v>
          </cell>
          <cell r="BS2304">
            <v>3.789999999999992</v>
          </cell>
        </row>
        <row r="2305">
          <cell r="B2305">
            <v>43397</v>
          </cell>
          <cell r="D2305">
            <v>77.555000000000007</v>
          </cell>
          <cell r="E2305">
            <v>74.400000000000006</v>
          </cell>
          <cell r="H2305">
            <v>68.62</v>
          </cell>
          <cell r="I2305">
            <v>79.09</v>
          </cell>
          <cell r="BS2305">
            <v>4.6899999999999977</v>
          </cell>
        </row>
        <row r="2306">
          <cell r="B2306">
            <v>43398</v>
          </cell>
          <cell r="D2306">
            <v>77.61</v>
          </cell>
          <cell r="E2306">
            <v>74.95</v>
          </cell>
          <cell r="H2306">
            <v>69.31</v>
          </cell>
          <cell r="I2306">
            <v>79.23</v>
          </cell>
          <cell r="BS2306">
            <v>4.2800000000000011</v>
          </cell>
        </row>
        <row r="2307">
          <cell r="B2307">
            <v>43399</v>
          </cell>
          <cell r="D2307">
            <v>77.64</v>
          </cell>
          <cell r="E2307">
            <v>75.400000000000006</v>
          </cell>
          <cell r="H2307">
            <v>69.08</v>
          </cell>
          <cell r="I2307">
            <v>78.959999999999994</v>
          </cell>
          <cell r="BS2307">
            <v>3.5599999999999881</v>
          </cell>
        </row>
        <row r="2308">
          <cell r="B2308">
            <v>43402</v>
          </cell>
          <cell r="D2308">
            <v>77.84</v>
          </cell>
          <cell r="E2308">
            <v>76.010000000000005</v>
          </cell>
          <cell r="H2308">
            <v>69.08</v>
          </cell>
          <cell r="I2308">
            <v>78.98</v>
          </cell>
          <cell r="BS2308">
            <v>2.9699999999999989</v>
          </cell>
        </row>
        <row r="2309">
          <cell r="B2309">
            <v>43403</v>
          </cell>
          <cell r="D2309">
            <v>75.834999999999994</v>
          </cell>
          <cell r="E2309">
            <v>76.19</v>
          </cell>
          <cell r="H2309">
            <v>69.52</v>
          </cell>
          <cell r="I2309">
            <v>79.44</v>
          </cell>
          <cell r="BS2309">
            <v>3.25</v>
          </cell>
        </row>
        <row r="2310">
          <cell r="B2310">
            <v>43404</v>
          </cell>
          <cell r="D2310">
            <v>75.495000000000005</v>
          </cell>
          <cell r="E2310">
            <v>75.67</v>
          </cell>
          <cell r="H2310">
            <v>69.239999999999995</v>
          </cell>
          <cell r="I2310">
            <v>79.790000000000006</v>
          </cell>
          <cell r="BS2310">
            <v>4.1200000000000045</v>
          </cell>
        </row>
        <row r="2311">
          <cell r="B2311">
            <v>43405</v>
          </cell>
          <cell r="D2311">
            <v>71.674999999999997</v>
          </cell>
          <cell r="E2311">
            <v>73.394999999999996</v>
          </cell>
          <cell r="H2311">
            <v>65.930000000000007</v>
          </cell>
          <cell r="I2311">
            <v>76.77</v>
          </cell>
          <cell r="BS2311">
            <v>3.375</v>
          </cell>
        </row>
        <row r="2312">
          <cell r="B2312">
            <v>43406</v>
          </cell>
          <cell r="D2312">
            <v>71.44</v>
          </cell>
          <cell r="E2312">
            <v>71.650000000000006</v>
          </cell>
          <cell r="H2312">
            <v>64.040000000000006</v>
          </cell>
          <cell r="I2312">
            <v>74.53</v>
          </cell>
          <cell r="BS2312">
            <v>2.8799999999999955</v>
          </cell>
        </row>
        <row r="2313">
          <cell r="B2313">
            <v>43409</v>
          </cell>
          <cell r="D2313">
            <v>72.325000000000003</v>
          </cell>
          <cell r="E2313">
            <v>71.155000000000001</v>
          </cell>
          <cell r="H2313">
            <v>63.29</v>
          </cell>
          <cell r="I2313">
            <v>73.75</v>
          </cell>
          <cell r="BS2313">
            <v>2.5949999999999989</v>
          </cell>
        </row>
        <row r="2314">
          <cell r="B2314">
            <v>43410</v>
          </cell>
          <cell r="D2314">
            <v>70.239999999999995</v>
          </cell>
          <cell r="E2314" t="str">
            <v/>
          </cell>
          <cell r="H2314">
            <v>0</v>
          </cell>
          <cell r="I2314">
            <v>0</v>
          </cell>
          <cell r="BS2314" t="e">
            <v>#N/A</v>
          </cell>
        </row>
        <row r="2315">
          <cell r="B2315">
            <v>43411</v>
          </cell>
          <cell r="D2315">
            <v>70.215000000000003</v>
          </cell>
          <cell r="E2315">
            <v>70.644999999999996</v>
          </cell>
          <cell r="H2315">
            <v>62.14</v>
          </cell>
          <cell r="I2315">
            <v>72.78</v>
          </cell>
          <cell r="BS2315">
            <v>2.1350000000000051</v>
          </cell>
        </row>
        <row r="2316">
          <cell r="B2316">
            <v>43412</v>
          </cell>
          <cell r="D2316">
            <v>69.594999999999999</v>
          </cell>
          <cell r="E2316">
            <v>71.55</v>
          </cell>
          <cell r="H2316">
            <v>59.89</v>
          </cell>
          <cell r="I2316">
            <v>71.5</v>
          </cell>
          <cell r="BS2316">
            <v>-4.9999999999997158E-2</v>
          </cell>
        </row>
        <row r="2317">
          <cell r="B2317">
            <v>43413</v>
          </cell>
          <cell r="D2317">
            <v>67.954999999999998</v>
          </cell>
          <cell r="E2317">
            <v>69.344999999999999</v>
          </cell>
          <cell r="H2317">
            <v>58.06</v>
          </cell>
          <cell r="I2317">
            <v>69.92</v>
          </cell>
          <cell r="BS2317">
            <v>0.57500000000000284</v>
          </cell>
        </row>
        <row r="2318">
          <cell r="B2318">
            <v>43416</v>
          </cell>
          <cell r="D2318">
            <v>69.02</v>
          </cell>
          <cell r="E2318">
            <v>70.66</v>
          </cell>
          <cell r="H2318">
            <v>58.53</v>
          </cell>
          <cell r="I2318">
            <v>70.86</v>
          </cell>
          <cell r="BS2318">
            <v>0.20000000000000284</v>
          </cell>
        </row>
        <row r="2319">
          <cell r="B2319">
            <v>43417</v>
          </cell>
          <cell r="D2319">
            <v>65.064999999999998</v>
          </cell>
          <cell r="E2319">
            <v>68.459999999999994</v>
          </cell>
          <cell r="H2319">
            <v>57.75</v>
          </cell>
          <cell r="I2319">
            <v>69.75</v>
          </cell>
          <cell r="BS2319">
            <v>1.2900000000000063</v>
          </cell>
        </row>
        <row r="2320">
          <cell r="B2320">
            <v>43418</v>
          </cell>
          <cell r="D2320">
            <v>64.7</v>
          </cell>
          <cell r="E2320">
            <v>64.45</v>
          </cell>
          <cell r="H2320">
            <v>54.78</v>
          </cell>
          <cell r="I2320">
            <v>65.81</v>
          </cell>
          <cell r="BS2320">
            <v>1.3599999999999994</v>
          </cell>
        </row>
        <row r="2321">
          <cell r="B2321">
            <v>43419</v>
          </cell>
          <cell r="D2321">
            <v>65.584999999999994</v>
          </cell>
          <cell r="E2321">
            <v>65.400000000000006</v>
          </cell>
          <cell r="H2321">
            <v>56.08</v>
          </cell>
          <cell r="I2321">
            <v>66.87</v>
          </cell>
          <cell r="BS2321">
            <v>1.4699999999999989</v>
          </cell>
        </row>
        <row r="2322">
          <cell r="B2322">
            <v>43420</v>
          </cell>
          <cell r="D2322">
            <v>65.575000000000003</v>
          </cell>
          <cell r="E2322">
            <v>66.489999999999995</v>
          </cell>
          <cell r="H2322">
            <v>58.27</v>
          </cell>
          <cell r="I2322">
            <v>67.88</v>
          </cell>
          <cell r="BS2322">
            <v>1.3900000000000006</v>
          </cell>
        </row>
        <row r="2323">
          <cell r="B2323">
            <v>43423</v>
          </cell>
          <cell r="D2323">
            <v>64.47</v>
          </cell>
          <cell r="E2323">
            <v>66.16</v>
          </cell>
          <cell r="H2323">
            <v>58.49</v>
          </cell>
          <cell r="I2323">
            <v>68.41</v>
          </cell>
          <cell r="BS2323">
            <v>2.25</v>
          </cell>
        </row>
        <row r="2324">
          <cell r="B2324">
            <v>43424</v>
          </cell>
          <cell r="D2324">
            <v>62.265000000000001</v>
          </cell>
          <cell r="E2324">
            <v>65.5</v>
          </cell>
          <cell r="H2324">
            <v>57.73</v>
          </cell>
          <cell r="I2324">
            <v>67.849999999999994</v>
          </cell>
          <cell r="BS2324">
            <v>2.3499999999999943</v>
          </cell>
        </row>
        <row r="2325">
          <cell r="B2325">
            <v>43425</v>
          </cell>
          <cell r="D2325">
            <v>61.88</v>
          </cell>
          <cell r="E2325">
            <v>62.655000000000001</v>
          </cell>
          <cell r="H2325">
            <v>53.97</v>
          </cell>
          <cell r="I2325">
            <v>64.98</v>
          </cell>
          <cell r="BS2325">
            <v>2.3250000000000028</v>
          </cell>
        </row>
        <row r="2326">
          <cell r="B2326">
            <v>43426</v>
          </cell>
          <cell r="D2326">
            <v>61.424999999999997</v>
          </cell>
          <cell r="E2326">
            <v>62.45</v>
          </cell>
          <cell r="H2326">
            <v>53.44</v>
          </cell>
          <cell r="I2326">
            <v>63.99</v>
          </cell>
          <cell r="BS2326">
            <v>1.5399999999999991</v>
          </cell>
        </row>
        <row r="2327">
          <cell r="B2327">
            <v>43427</v>
          </cell>
          <cell r="D2327">
            <v>57.655000000000001</v>
          </cell>
          <cell r="E2327">
            <v>61.06</v>
          </cell>
          <cell r="H2327">
            <v>52.26</v>
          </cell>
          <cell r="I2327">
            <v>62.31</v>
          </cell>
          <cell r="BS2327">
            <v>1.25</v>
          </cell>
        </row>
        <row r="2328">
          <cell r="B2328">
            <v>43430</v>
          </cell>
          <cell r="D2328">
            <v>59.604999999999997</v>
          </cell>
          <cell r="E2328">
            <v>59.2</v>
          </cell>
          <cell r="H2328">
            <v>50.88</v>
          </cell>
          <cell r="I2328">
            <v>60.15</v>
          </cell>
          <cell r="BS2328">
            <v>0.94999999999999574</v>
          </cell>
        </row>
        <row r="2329">
          <cell r="B2329">
            <v>43431</v>
          </cell>
          <cell r="D2329">
            <v>59.38</v>
          </cell>
          <cell r="E2329">
            <v>59.11</v>
          </cell>
          <cell r="H2329">
            <v>51.63</v>
          </cell>
          <cell r="I2329">
            <v>60.05</v>
          </cell>
          <cell r="BS2329">
            <v>0.93999999999999773</v>
          </cell>
        </row>
        <row r="2330">
          <cell r="B2330">
            <v>43432</v>
          </cell>
          <cell r="D2330">
            <v>58.354999999999997</v>
          </cell>
          <cell r="E2330">
            <v>60.2</v>
          </cell>
          <cell r="H2330">
            <v>52.19</v>
          </cell>
          <cell r="I2330">
            <v>59.92</v>
          </cell>
          <cell r="BS2330">
            <v>-0.28000000000000114</v>
          </cell>
        </row>
        <row r="2331">
          <cell r="B2331">
            <v>43433</v>
          </cell>
          <cell r="D2331">
            <v>58.55</v>
          </cell>
          <cell r="E2331">
            <v>58.25</v>
          </cell>
          <cell r="H2331">
            <v>50.49</v>
          </cell>
          <cell r="I2331">
            <v>57.83</v>
          </cell>
          <cell r="BS2331">
            <v>-0.42000000000000171</v>
          </cell>
        </row>
        <row r="2332">
          <cell r="B2332">
            <v>43434</v>
          </cell>
          <cell r="D2332">
            <v>57.3</v>
          </cell>
          <cell r="E2332">
            <v>58.99</v>
          </cell>
          <cell r="H2332">
            <v>52.16</v>
          </cell>
          <cell r="I2332">
            <v>59.7</v>
          </cell>
          <cell r="BS2332">
            <v>0.71000000000000085</v>
          </cell>
        </row>
        <row r="2333">
          <cell r="B2333">
            <v>43437</v>
          </cell>
          <cell r="D2333">
            <v>60.344999999999999</v>
          </cell>
          <cell r="E2333">
            <v>61.16</v>
          </cell>
          <cell r="H2333">
            <v>54.96</v>
          </cell>
          <cell r="I2333">
            <v>61.82</v>
          </cell>
          <cell r="BS2333">
            <v>0.66000000000000369</v>
          </cell>
        </row>
        <row r="2334">
          <cell r="B2334">
            <v>43438</v>
          </cell>
          <cell r="D2334">
            <v>61.085000000000001</v>
          </cell>
          <cell r="E2334">
            <v>61.5</v>
          </cell>
          <cell r="H2334">
            <v>55.23</v>
          </cell>
          <cell r="I2334">
            <v>61.03</v>
          </cell>
          <cell r="BS2334">
            <v>-0.46999999999999886</v>
          </cell>
        </row>
        <row r="2335">
          <cell r="B2335">
            <v>43439</v>
          </cell>
          <cell r="D2335">
            <v>61.255000000000003</v>
          </cell>
          <cell r="E2335">
            <v>59.79</v>
          </cell>
          <cell r="H2335">
            <v>53</v>
          </cell>
          <cell r="I2335">
            <v>59.4</v>
          </cell>
          <cell r="BS2335">
            <v>-0.39000000000000057</v>
          </cell>
        </row>
        <row r="2336">
          <cell r="B2336">
            <v>43440</v>
          </cell>
          <cell r="D2336">
            <v>57.344999999999999</v>
          </cell>
          <cell r="E2336">
            <v>59.82</v>
          </cell>
          <cell r="H2336">
            <v>52.5</v>
          </cell>
          <cell r="I2336">
            <v>60.02</v>
          </cell>
          <cell r="BS2336">
            <v>0.20000000000000284</v>
          </cell>
        </row>
        <row r="2337">
          <cell r="B2337">
            <v>43441</v>
          </cell>
          <cell r="D2337">
            <v>61.6</v>
          </cell>
          <cell r="E2337">
            <v>58.39</v>
          </cell>
          <cell r="H2337">
            <v>52.3</v>
          </cell>
          <cell r="I2337">
            <v>59.87</v>
          </cell>
          <cell r="BS2337">
            <v>1.4799999999999969</v>
          </cell>
        </row>
        <row r="2338">
          <cell r="B2338">
            <v>43444</v>
          </cell>
          <cell r="D2338">
            <v>60.064999999999998</v>
          </cell>
          <cell r="E2338">
            <v>60.21</v>
          </cell>
          <cell r="H2338">
            <v>53.94</v>
          </cell>
          <cell r="I2338">
            <v>60.96</v>
          </cell>
          <cell r="BS2338">
            <v>0.75</v>
          </cell>
        </row>
        <row r="2339">
          <cell r="B2339">
            <v>43445</v>
          </cell>
          <cell r="D2339">
            <v>59.74</v>
          </cell>
          <cell r="E2339">
            <v>58.34</v>
          </cell>
          <cell r="H2339">
            <v>51.78</v>
          </cell>
          <cell r="I2339">
            <v>58.91</v>
          </cell>
          <cell r="BS2339">
            <v>0.56999999999999318</v>
          </cell>
        </row>
        <row r="2340">
          <cell r="B2340">
            <v>43446</v>
          </cell>
          <cell r="D2340">
            <v>60.23</v>
          </cell>
          <cell r="E2340">
            <v>59.3</v>
          </cell>
          <cell r="H2340">
            <v>52.75</v>
          </cell>
          <cell r="I2340">
            <v>59.78</v>
          </cell>
          <cell r="BS2340">
            <v>0.48000000000000398</v>
          </cell>
        </row>
        <row r="2341">
          <cell r="B2341">
            <v>43447</v>
          </cell>
          <cell r="D2341">
            <v>59.3</v>
          </cell>
          <cell r="E2341">
            <v>58.79</v>
          </cell>
          <cell r="H2341">
            <v>52.36</v>
          </cell>
          <cell r="I2341">
            <v>58.87</v>
          </cell>
          <cell r="BS2341">
            <v>7.9999999999998295E-2</v>
          </cell>
        </row>
        <row r="2342">
          <cell r="B2342">
            <v>43448</v>
          </cell>
          <cell r="D2342">
            <v>59.155000000000001</v>
          </cell>
          <cell r="E2342">
            <v>59.65</v>
          </cell>
          <cell r="H2342">
            <v>54.25</v>
          </cell>
          <cell r="I2342">
            <v>60.46</v>
          </cell>
          <cell r="BS2342">
            <v>0.81000000000000227</v>
          </cell>
        </row>
        <row r="2343">
          <cell r="B2343">
            <v>43451</v>
          </cell>
          <cell r="D2343">
            <v>58.17</v>
          </cell>
          <cell r="E2343">
            <v>58.96</v>
          </cell>
          <cell r="H2343">
            <v>53.48</v>
          </cell>
          <cell r="I2343">
            <v>59.62</v>
          </cell>
          <cell r="BS2343">
            <v>0.65999999999999659</v>
          </cell>
        </row>
        <row r="2344">
          <cell r="B2344">
            <v>43452</v>
          </cell>
          <cell r="D2344">
            <v>55.475000000000001</v>
          </cell>
          <cell r="E2344">
            <v>57.2</v>
          </cell>
          <cell r="H2344">
            <v>51.73</v>
          </cell>
          <cell r="I2344">
            <v>57.95</v>
          </cell>
          <cell r="BS2344">
            <v>0.75</v>
          </cell>
        </row>
        <row r="2345">
          <cell r="B2345">
            <v>43453</v>
          </cell>
          <cell r="D2345">
            <v>55.83</v>
          </cell>
          <cell r="E2345">
            <v>55.15</v>
          </cell>
          <cell r="H2345">
            <v>50.09</v>
          </cell>
          <cell r="I2345">
            <v>55.93</v>
          </cell>
          <cell r="BS2345">
            <v>0.78000000000000114</v>
          </cell>
        </row>
        <row r="2346">
          <cell r="B2346">
            <v>43454</v>
          </cell>
          <cell r="D2346">
            <v>52.965000000000003</v>
          </cell>
          <cell r="E2346">
            <v>54.45</v>
          </cell>
          <cell r="H2346">
            <v>49.71</v>
          </cell>
          <cell r="I2346">
            <v>55.18</v>
          </cell>
          <cell r="BS2346">
            <v>0.72999999999999687</v>
          </cell>
        </row>
        <row r="2347">
          <cell r="B2347">
            <v>43455</v>
          </cell>
          <cell r="D2347">
            <v>51.23</v>
          </cell>
          <cell r="E2347">
            <v>53.56</v>
          </cell>
          <cell r="H2347">
            <v>49.53</v>
          </cell>
          <cell r="I2347">
            <v>54.15</v>
          </cell>
          <cell r="BS2347">
            <v>0.58999999999999631</v>
          </cell>
        </row>
        <row r="2348">
          <cell r="B2348">
            <v>43458</v>
          </cell>
          <cell r="D2348" t="str">
            <v/>
          </cell>
          <cell r="E2348" t="str">
            <v/>
          </cell>
          <cell r="H2348">
            <v>0</v>
          </cell>
          <cell r="I2348">
            <v>0</v>
          </cell>
          <cell r="BS2348" t="e">
            <v>#N/A</v>
          </cell>
        </row>
        <row r="2349">
          <cell r="B2349">
            <v>43459</v>
          </cell>
          <cell r="D2349" t="str">
            <v/>
          </cell>
          <cell r="E2349" t="str">
            <v/>
          </cell>
          <cell r="H2349">
            <v>0</v>
          </cell>
          <cell r="I2349">
            <v>0</v>
          </cell>
          <cell r="BS2349" t="e">
            <v>#N/A</v>
          </cell>
        </row>
        <row r="2350">
          <cell r="B2350">
            <v>43460</v>
          </cell>
          <cell r="D2350" t="str">
            <v/>
          </cell>
          <cell r="E2350">
            <v>49.5</v>
          </cell>
          <cell r="H2350">
            <v>45.86</v>
          </cell>
          <cell r="I2350">
            <v>51.31</v>
          </cell>
          <cell r="BS2350">
            <v>1.8100000000000023</v>
          </cell>
        </row>
        <row r="2351">
          <cell r="B2351">
            <v>43461</v>
          </cell>
          <cell r="D2351">
            <v>51.585000000000001</v>
          </cell>
          <cell r="E2351">
            <v>53.1</v>
          </cell>
          <cell r="H2351">
            <v>48.89</v>
          </cell>
          <cell r="I2351">
            <v>54.19</v>
          </cell>
          <cell r="BS2351">
            <v>1.0899999999999963</v>
          </cell>
        </row>
        <row r="2352">
          <cell r="B2352">
            <v>43462</v>
          </cell>
          <cell r="D2352">
            <v>50.21</v>
          </cell>
          <cell r="E2352">
            <v>52.85</v>
          </cell>
          <cell r="H2352">
            <v>49.28</v>
          </cell>
          <cell r="I2352">
            <v>53.78</v>
          </cell>
          <cell r="BS2352">
            <v>0.92999999999999972</v>
          </cell>
        </row>
        <row r="2353">
          <cell r="B2353">
            <v>43465</v>
          </cell>
          <cell r="D2353" t="str">
            <v/>
          </cell>
          <cell r="E2353" t="str">
            <v/>
          </cell>
          <cell r="H2353">
            <v>0</v>
          </cell>
          <cell r="I2353">
            <v>0</v>
          </cell>
          <cell r="BS2353" t="e">
            <v>#N/A</v>
          </cell>
        </row>
        <row r="2354">
          <cell r="B2354">
            <v>43466</v>
          </cell>
          <cell r="D2354" t="str">
            <v/>
          </cell>
          <cell r="E2354" t="str">
            <v/>
          </cell>
          <cell r="H2354">
            <v>0</v>
          </cell>
          <cell r="I2354">
            <v>0</v>
          </cell>
          <cell r="BS2354" t="e">
            <v>#N/A</v>
          </cell>
        </row>
        <row r="2355">
          <cell r="B2355">
            <v>43467</v>
          </cell>
          <cell r="D2355">
            <v>53.85</v>
          </cell>
          <cell r="E2355">
            <v>51.85</v>
          </cell>
          <cell r="H2355">
            <v>46.86</v>
          </cell>
          <cell r="I2355">
            <v>52.82</v>
          </cell>
          <cell r="BS2355">
            <v>0.96999999999999886</v>
          </cell>
        </row>
        <row r="2356">
          <cell r="B2356">
            <v>43468</v>
          </cell>
          <cell r="D2356">
            <v>53.234999999999999</v>
          </cell>
          <cell r="E2356">
            <v>53.2</v>
          </cell>
          <cell r="H2356">
            <v>47.05</v>
          </cell>
          <cell r="I2356">
            <v>55.36</v>
          </cell>
          <cell r="BS2356">
            <v>2.1599999999999966</v>
          </cell>
        </row>
        <row r="2357">
          <cell r="B2357">
            <v>43469</v>
          </cell>
          <cell r="D2357">
            <v>55.475000000000001</v>
          </cell>
          <cell r="E2357">
            <v>55.6</v>
          </cell>
          <cell r="H2357">
            <v>49.3</v>
          </cell>
          <cell r="I2357">
            <v>58.36</v>
          </cell>
          <cell r="BS2357">
            <v>2.759999999999998</v>
          </cell>
        </row>
        <row r="2358">
          <cell r="B2358">
            <v>43472</v>
          </cell>
          <cell r="D2358">
            <v>57.034999999999997</v>
          </cell>
          <cell r="E2358">
            <v>56.8</v>
          </cell>
          <cell r="H2358">
            <v>50.46</v>
          </cell>
          <cell r="I2358">
            <v>59.94</v>
          </cell>
          <cell r="BS2358">
            <v>3.1400000000000006</v>
          </cell>
        </row>
        <row r="2359">
          <cell r="B2359">
            <v>43473</v>
          </cell>
          <cell r="D2359">
            <v>56.94</v>
          </cell>
          <cell r="E2359">
            <v>56.21</v>
          </cell>
          <cell r="H2359">
            <v>49.43</v>
          </cell>
          <cell r="I2359">
            <v>58</v>
          </cell>
          <cell r="BS2359">
            <v>1.7899999999999991</v>
          </cell>
        </row>
        <row r="2360">
          <cell r="B2360">
            <v>43474</v>
          </cell>
          <cell r="D2360">
            <v>59.56</v>
          </cell>
          <cell r="E2360">
            <v>58.11</v>
          </cell>
          <cell r="H2360">
            <v>50.59</v>
          </cell>
          <cell r="I2360">
            <v>58.92</v>
          </cell>
          <cell r="BS2360">
            <v>0.81000000000000227</v>
          </cell>
        </row>
        <row r="2361">
          <cell r="B2361">
            <v>43475</v>
          </cell>
          <cell r="D2361">
            <v>60.46</v>
          </cell>
          <cell r="E2361">
            <v>59.61</v>
          </cell>
          <cell r="H2361">
            <v>51.78</v>
          </cell>
          <cell r="I2361">
            <v>60.5</v>
          </cell>
          <cell r="BS2361">
            <v>0.89000000000000057</v>
          </cell>
        </row>
        <row r="2362">
          <cell r="B2362">
            <v>43476</v>
          </cell>
          <cell r="D2362">
            <v>59.465000000000003</v>
          </cell>
          <cell r="E2362">
            <v>61.155000000000001</v>
          </cell>
          <cell r="H2362">
            <v>53.55</v>
          </cell>
          <cell r="I2362">
            <v>61.88</v>
          </cell>
          <cell r="BS2362">
            <v>0.72500000000000142</v>
          </cell>
        </row>
        <row r="2363">
          <cell r="B2363">
            <v>43479</v>
          </cell>
          <cell r="D2363">
            <v>59.024999999999999</v>
          </cell>
          <cell r="E2363">
            <v>58.89</v>
          </cell>
          <cell r="H2363">
            <v>52.05</v>
          </cell>
          <cell r="I2363">
            <v>59.97</v>
          </cell>
          <cell r="BS2363">
            <v>1.0799999999999983</v>
          </cell>
        </row>
        <row r="2364">
          <cell r="B2364">
            <v>43480</v>
          </cell>
          <cell r="D2364">
            <v>58.74</v>
          </cell>
          <cell r="E2364">
            <v>58.6</v>
          </cell>
          <cell r="H2364">
            <v>51.47</v>
          </cell>
          <cell r="I2364">
            <v>58.98</v>
          </cell>
          <cell r="BS2364">
            <v>0.37999999999999545</v>
          </cell>
        </row>
        <row r="2365">
          <cell r="B2365">
            <v>43481</v>
          </cell>
          <cell r="D2365">
            <v>59.924999999999997</v>
          </cell>
          <cell r="E2365">
            <v>60.11</v>
          </cell>
          <cell r="H2365">
            <v>53.23</v>
          </cell>
          <cell r="I2365">
            <v>60.53</v>
          </cell>
          <cell r="BS2365">
            <v>0.42000000000000171</v>
          </cell>
        </row>
        <row r="2366">
          <cell r="B2366">
            <v>43482</v>
          </cell>
          <cell r="D2366">
            <v>59.85</v>
          </cell>
          <cell r="E2366">
            <v>60.01</v>
          </cell>
          <cell r="H2366">
            <v>52.87</v>
          </cell>
          <cell r="I2366">
            <v>60.26</v>
          </cell>
          <cell r="BS2366">
            <v>0.25</v>
          </cell>
        </row>
        <row r="2367">
          <cell r="B2367">
            <v>43483</v>
          </cell>
          <cell r="D2367">
            <v>61.99</v>
          </cell>
          <cell r="E2367">
            <v>61.1</v>
          </cell>
          <cell r="H2367">
            <v>53.28</v>
          </cell>
          <cell r="I2367">
            <v>60.84</v>
          </cell>
          <cell r="BS2367">
            <v>-0.25999999999999801</v>
          </cell>
        </row>
        <row r="2368">
          <cell r="B2368">
            <v>43486</v>
          </cell>
          <cell r="D2368">
            <v>62.34</v>
          </cell>
          <cell r="E2368">
            <v>61.85</v>
          </cell>
          <cell r="H2368">
            <v>53.12</v>
          </cell>
          <cell r="I2368">
            <v>61.24</v>
          </cell>
          <cell r="BS2368">
            <v>-0.60999999999999943</v>
          </cell>
        </row>
        <row r="2369">
          <cell r="B2369">
            <v>43487</v>
          </cell>
          <cell r="D2369">
            <v>60.975000000000001</v>
          </cell>
          <cell r="E2369">
            <v>61.41</v>
          </cell>
          <cell r="H2369">
            <v>52.52</v>
          </cell>
          <cell r="I2369">
            <v>60.63</v>
          </cell>
          <cell r="BS2369">
            <v>-0.77999999999999403</v>
          </cell>
        </row>
        <row r="2370">
          <cell r="B2370">
            <v>43488</v>
          </cell>
          <cell r="D2370">
            <v>60.98</v>
          </cell>
          <cell r="E2370">
            <v>61.25</v>
          </cell>
          <cell r="H2370">
            <v>51.81</v>
          </cell>
          <cell r="I2370">
            <v>59.91</v>
          </cell>
          <cell r="BS2370">
            <v>-1.3400000000000034</v>
          </cell>
        </row>
        <row r="2371">
          <cell r="B2371">
            <v>43489</v>
          </cell>
          <cell r="D2371">
            <v>61.115000000000002</v>
          </cell>
          <cell r="E2371">
            <v>60.39</v>
          </cell>
          <cell r="H2371">
            <v>50.95</v>
          </cell>
          <cell r="I2371">
            <v>58.68</v>
          </cell>
          <cell r="BS2371">
            <v>-1.7100000000000009</v>
          </cell>
        </row>
        <row r="2372">
          <cell r="B2372">
            <v>43490</v>
          </cell>
          <cell r="D2372">
            <v>61.494999999999997</v>
          </cell>
          <cell r="E2372">
            <v>61.15</v>
          </cell>
          <cell r="H2372">
            <v>52.83</v>
          </cell>
          <cell r="I2372">
            <v>59.53</v>
          </cell>
          <cell r="BS2372">
            <v>-1.6199999999999974</v>
          </cell>
        </row>
        <row r="2373">
          <cell r="B2373">
            <v>43493</v>
          </cell>
          <cell r="D2373">
            <v>59.704999999999998</v>
          </cell>
          <cell r="E2373">
            <v>60.3</v>
          </cell>
          <cell r="H2373">
            <v>52.55</v>
          </cell>
          <cell r="I2373">
            <v>58.96</v>
          </cell>
          <cell r="BS2373">
            <v>-1.3399999999999963</v>
          </cell>
        </row>
        <row r="2374">
          <cell r="B2374">
            <v>43494</v>
          </cell>
          <cell r="D2374">
            <v>61.4</v>
          </cell>
          <cell r="E2374">
            <v>59.46</v>
          </cell>
          <cell r="H2374">
            <v>51.67</v>
          </cell>
          <cell r="I2374">
            <v>57.35</v>
          </cell>
          <cell r="BS2374">
            <v>-2.1099999999999994</v>
          </cell>
        </row>
        <row r="2375">
          <cell r="B2375">
            <v>43495</v>
          </cell>
          <cell r="D2375">
            <v>62.344999999999999</v>
          </cell>
          <cell r="E2375">
            <v>60.91</v>
          </cell>
          <cell r="H2375">
            <v>53.9</v>
          </cell>
          <cell r="I2375">
            <v>58.48</v>
          </cell>
          <cell r="BS2375">
            <v>-2.4299999999999997</v>
          </cell>
        </row>
        <row r="2376">
          <cell r="B2376">
            <v>43496</v>
          </cell>
          <cell r="D2376">
            <v>62.195</v>
          </cell>
          <cell r="E2376">
            <v>61.8</v>
          </cell>
          <cell r="H2376">
            <v>55.2</v>
          </cell>
          <cell r="I2376">
            <v>59.68</v>
          </cell>
          <cell r="BS2376">
            <v>-2.1199999999999974</v>
          </cell>
        </row>
        <row r="2377">
          <cell r="B2377">
            <v>43497</v>
          </cell>
          <cell r="D2377">
            <v>62.14</v>
          </cell>
          <cell r="E2377">
            <v>60.85</v>
          </cell>
          <cell r="H2377">
            <v>54.38</v>
          </cell>
          <cell r="I2377">
            <v>58.88</v>
          </cell>
          <cell r="BS2377">
            <v>-1.9699999999999989</v>
          </cell>
        </row>
        <row r="2378">
          <cell r="B2378">
            <v>43500</v>
          </cell>
          <cell r="D2378">
            <v>62.295000000000002</v>
          </cell>
          <cell r="E2378">
            <v>62.9</v>
          </cell>
          <cell r="H2378">
            <v>55.5</v>
          </cell>
          <cell r="I2378">
            <v>61.66</v>
          </cell>
          <cell r="BS2378">
            <v>-1.240000000000002</v>
          </cell>
        </row>
        <row r="2379">
          <cell r="B2379">
            <v>43501</v>
          </cell>
          <cell r="D2379">
            <v>61.695</v>
          </cell>
          <cell r="E2379" t="str">
            <v/>
          </cell>
          <cell r="H2379">
            <v>0</v>
          </cell>
          <cell r="I2379">
            <v>0</v>
          </cell>
          <cell r="BS2379" t="e">
            <v>#N/A</v>
          </cell>
        </row>
        <row r="2380">
          <cell r="B2380">
            <v>43502</v>
          </cell>
          <cell r="D2380">
            <v>62.305</v>
          </cell>
          <cell r="E2380" t="str">
            <v/>
          </cell>
          <cell r="H2380">
            <v>0</v>
          </cell>
          <cell r="I2380">
            <v>0</v>
          </cell>
          <cell r="BS2380" t="e">
            <v>#N/A</v>
          </cell>
        </row>
        <row r="2381">
          <cell r="B2381">
            <v>43503</v>
          </cell>
          <cell r="D2381">
            <v>60.965000000000003</v>
          </cell>
          <cell r="E2381">
            <v>62.5</v>
          </cell>
          <cell r="H2381">
            <v>53.96</v>
          </cell>
          <cell r="I2381">
            <v>61.54</v>
          </cell>
          <cell r="BS2381">
            <v>-0.96000000000000085</v>
          </cell>
        </row>
        <row r="2382">
          <cell r="B2382">
            <v>43504</v>
          </cell>
          <cell r="D2382">
            <v>61.96</v>
          </cell>
          <cell r="E2382">
            <v>61.6</v>
          </cell>
          <cell r="H2382">
            <v>52.45</v>
          </cell>
          <cell r="I2382">
            <v>60.85</v>
          </cell>
          <cell r="BS2382">
            <v>-0.75</v>
          </cell>
        </row>
        <row r="2383">
          <cell r="B2383">
            <v>43507</v>
          </cell>
          <cell r="D2383">
            <v>61.31</v>
          </cell>
          <cell r="E2383">
            <v>62</v>
          </cell>
          <cell r="H2383">
            <v>53.73</v>
          </cell>
          <cell r="I2383">
            <v>61.98</v>
          </cell>
          <cell r="BS2383">
            <v>-2.0000000000003126E-2</v>
          </cell>
        </row>
        <row r="2384">
          <cell r="B2384">
            <v>43508</v>
          </cell>
          <cell r="D2384">
            <v>62.57</v>
          </cell>
          <cell r="E2384">
            <v>62.21</v>
          </cell>
          <cell r="H2384">
            <v>54.28</v>
          </cell>
          <cell r="I2384">
            <v>61.45</v>
          </cell>
          <cell r="BS2384">
            <v>-0.75999999999999801</v>
          </cell>
        </row>
        <row r="2385">
          <cell r="B2385">
            <v>43509</v>
          </cell>
          <cell r="D2385">
            <v>63.475000000000001</v>
          </cell>
          <cell r="E2385">
            <v>63.354999999999997</v>
          </cell>
          <cell r="H2385">
            <v>55.02</v>
          </cell>
          <cell r="I2385">
            <v>62.4</v>
          </cell>
          <cell r="BS2385">
            <v>-0.95499999999999829</v>
          </cell>
        </row>
        <row r="2386">
          <cell r="B2386">
            <v>43510</v>
          </cell>
          <cell r="D2386">
            <v>63.895000000000003</v>
          </cell>
          <cell r="E2386">
            <v>65.3</v>
          </cell>
          <cell r="H2386">
            <v>55.89</v>
          </cell>
          <cell r="I2386">
            <v>63.81</v>
          </cell>
          <cell r="BS2386">
            <v>-1.4899999999999949</v>
          </cell>
        </row>
        <row r="2387">
          <cell r="B2387">
            <v>43511</v>
          </cell>
          <cell r="D2387">
            <v>65.784999999999997</v>
          </cell>
          <cell r="E2387">
            <v>65.09</v>
          </cell>
          <cell r="H2387">
            <v>56.39</v>
          </cell>
          <cell r="I2387">
            <v>64.39</v>
          </cell>
          <cell r="BS2387">
            <v>-0.70000000000000284</v>
          </cell>
        </row>
        <row r="2388">
          <cell r="B2388">
            <v>43514</v>
          </cell>
          <cell r="D2388">
            <v>66.430000000000007</v>
          </cell>
          <cell r="E2388">
            <v>66.709999999999994</v>
          </cell>
          <cell r="H2388">
            <v>58.15</v>
          </cell>
          <cell r="I2388">
            <v>66.69</v>
          </cell>
          <cell r="BS2388">
            <v>-1.9999999999996021E-2</v>
          </cell>
        </row>
        <row r="2389">
          <cell r="B2389">
            <v>43515</v>
          </cell>
          <cell r="D2389">
            <v>65.935000000000002</v>
          </cell>
          <cell r="E2389">
            <v>66.459999999999994</v>
          </cell>
          <cell r="H2389">
            <v>57.95</v>
          </cell>
          <cell r="I2389">
            <v>66.37</v>
          </cell>
          <cell r="BS2389">
            <v>-8.99999999999892E-2</v>
          </cell>
        </row>
        <row r="2390">
          <cell r="B2390">
            <v>43516</v>
          </cell>
          <cell r="D2390">
            <v>66.864999999999995</v>
          </cell>
          <cell r="E2390">
            <v>66.349999999999994</v>
          </cell>
          <cell r="H2390">
            <v>58.26</v>
          </cell>
          <cell r="I2390">
            <v>66.2</v>
          </cell>
          <cell r="BS2390">
            <v>-0.14999999999999147</v>
          </cell>
        </row>
        <row r="2391">
          <cell r="B2391">
            <v>43517</v>
          </cell>
          <cell r="D2391">
            <v>66.95</v>
          </cell>
          <cell r="E2391">
            <v>67.11</v>
          </cell>
          <cell r="H2391">
            <v>58.73</v>
          </cell>
          <cell r="I2391">
            <v>67.16</v>
          </cell>
          <cell r="BS2391">
            <v>4.9999999999997158E-2</v>
          </cell>
        </row>
        <row r="2392">
          <cell r="B2392">
            <v>43518</v>
          </cell>
          <cell r="D2392">
            <v>67.064999999999998</v>
          </cell>
          <cell r="E2392">
            <v>67.209999999999994</v>
          </cell>
          <cell r="H2392">
            <v>58.63</v>
          </cell>
          <cell r="I2392">
            <v>67.760000000000005</v>
          </cell>
          <cell r="BS2392">
            <v>0.55000000000001137</v>
          </cell>
        </row>
        <row r="2393">
          <cell r="B2393">
            <v>43521</v>
          </cell>
          <cell r="D2393">
            <v>64.155000000000001</v>
          </cell>
          <cell r="E2393">
            <v>66.86</v>
          </cell>
          <cell r="H2393">
            <v>58.25</v>
          </cell>
          <cell r="I2393">
            <v>67.52</v>
          </cell>
          <cell r="BS2393">
            <v>0.65999999999999659</v>
          </cell>
        </row>
        <row r="2394">
          <cell r="B2394">
            <v>43522</v>
          </cell>
          <cell r="D2394">
            <v>64.405000000000001</v>
          </cell>
          <cell r="E2394">
            <v>64.55</v>
          </cell>
          <cell r="H2394">
            <v>56.53</v>
          </cell>
          <cell r="I2394">
            <v>65.650000000000006</v>
          </cell>
          <cell r="BS2394">
            <v>1.1000000000000085</v>
          </cell>
        </row>
        <row r="2395">
          <cell r="B2395">
            <v>43523</v>
          </cell>
          <cell r="D2395">
            <v>65.375</v>
          </cell>
          <cell r="E2395">
            <v>65.290000000000006</v>
          </cell>
          <cell r="H2395">
            <v>58.06</v>
          </cell>
          <cell r="I2395">
            <v>67.06</v>
          </cell>
          <cell r="BS2395">
            <v>1.769999999999996</v>
          </cell>
        </row>
        <row r="2396">
          <cell r="B2396">
            <v>43524</v>
          </cell>
          <cell r="D2396">
            <v>65.064999999999998</v>
          </cell>
          <cell r="E2396">
            <v>66</v>
          </cell>
          <cell r="H2396">
            <v>58.98</v>
          </cell>
          <cell r="I2396">
            <v>67.47</v>
          </cell>
          <cell r="BS2396">
            <v>1.4699999999999989</v>
          </cell>
        </row>
        <row r="2397">
          <cell r="B2397">
            <v>43525</v>
          </cell>
          <cell r="D2397">
            <v>63.905000000000001</v>
          </cell>
          <cell r="E2397">
            <v>66.599999999999994</v>
          </cell>
          <cell r="H2397">
            <v>59.32</v>
          </cell>
          <cell r="I2397">
            <v>68.349999999999994</v>
          </cell>
          <cell r="BS2397">
            <v>1.75</v>
          </cell>
        </row>
        <row r="2398">
          <cell r="B2398">
            <v>43528</v>
          </cell>
          <cell r="D2398">
            <v>64.59</v>
          </cell>
          <cell r="E2398">
            <v>65.34</v>
          </cell>
          <cell r="H2398">
            <v>58.02</v>
          </cell>
          <cell r="I2398">
            <v>67.77</v>
          </cell>
          <cell r="BS2398">
            <v>2.4299999999999926</v>
          </cell>
        </row>
        <row r="2399">
          <cell r="B2399">
            <v>43529</v>
          </cell>
          <cell r="D2399">
            <v>64.400000000000006</v>
          </cell>
          <cell r="E2399">
            <v>65.709999999999994</v>
          </cell>
          <cell r="H2399">
            <v>57.66</v>
          </cell>
          <cell r="I2399">
            <v>68.38</v>
          </cell>
          <cell r="BS2399">
            <v>2.6700000000000017</v>
          </cell>
        </row>
        <row r="2400">
          <cell r="B2400">
            <v>43530</v>
          </cell>
          <cell r="D2400">
            <v>64.265000000000001</v>
          </cell>
          <cell r="E2400">
            <v>65.81</v>
          </cell>
          <cell r="H2400">
            <v>58.17</v>
          </cell>
          <cell r="I2400">
            <v>69.650000000000006</v>
          </cell>
          <cell r="BS2400">
            <v>3.8400000000000034</v>
          </cell>
        </row>
        <row r="2401">
          <cell r="B2401">
            <v>43531</v>
          </cell>
          <cell r="D2401">
            <v>64.644999999999996</v>
          </cell>
          <cell r="E2401">
            <v>66.5</v>
          </cell>
          <cell r="H2401">
            <v>58.91</v>
          </cell>
          <cell r="I2401">
            <v>71.290000000000006</v>
          </cell>
          <cell r="BS2401">
            <v>4.7900000000000063</v>
          </cell>
        </row>
        <row r="2402">
          <cell r="B2402">
            <v>43532</v>
          </cell>
          <cell r="D2402">
            <v>63.51</v>
          </cell>
          <cell r="E2402">
            <v>65.75</v>
          </cell>
          <cell r="H2402">
            <v>58</v>
          </cell>
          <cell r="I2402">
            <v>70.400000000000006</v>
          </cell>
          <cell r="BS2402">
            <v>4.6500000000000057</v>
          </cell>
        </row>
        <row r="2403">
          <cell r="B2403">
            <v>43535</v>
          </cell>
          <cell r="D2403">
            <v>65.215000000000003</v>
          </cell>
          <cell r="E2403">
            <v>66.790000000000006</v>
          </cell>
          <cell r="H2403">
            <v>58.98</v>
          </cell>
          <cell r="I2403">
            <v>72.11</v>
          </cell>
          <cell r="BS2403">
            <v>5.3199999999999932</v>
          </cell>
        </row>
        <row r="2404">
          <cell r="B2404">
            <v>43536</v>
          </cell>
          <cell r="D2404">
            <v>65.540000000000006</v>
          </cell>
          <cell r="E2404">
            <v>67.14</v>
          </cell>
          <cell r="H2404">
            <v>59.22</v>
          </cell>
          <cell r="I2404">
            <v>72.72</v>
          </cell>
          <cell r="BS2404">
            <v>5.5799999999999983</v>
          </cell>
        </row>
        <row r="2405">
          <cell r="B2405">
            <v>43537</v>
          </cell>
          <cell r="D2405">
            <v>66.125</v>
          </cell>
          <cell r="E2405">
            <v>67.19</v>
          </cell>
          <cell r="H2405">
            <v>59.49</v>
          </cell>
          <cell r="I2405">
            <v>72.58</v>
          </cell>
          <cell r="BS2405">
            <v>5.3900000000000006</v>
          </cell>
        </row>
        <row r="2406">
          <cell r="B2406">
            <v>43538</v>
          </cell>
          <cell r="D2406">
            <v>66.275000000000006</v>
          </cell>
          <cell r="E2406">
            <v>68.150000000000006</v>
          </cell>
          <cell r="H2406">
            <v>61.16</v>
          </cell>
          <cell r="I2406">
            <v>74.55</v>
          </cell>
          <cell r="BS2406">
            <v>6.3999999999999915</v>
          </cell>
        </row>
        <row r="2407">
          <cell r="B2407">
            <v>43539</v>
          </cell>
          <cell r="D2407">
            <v>66.28</v>
          </cell>
          <cell r="E2407">
            <v>67.694999999999993</v>
          </cell>
          <cell r="H2407">
            <v>60.85</v>
          </cell>
          <cell r="I2407">
            <v>73.62</v>
          </cell>
          <cell r="BS2407">
            <v>5.9250000000000114</v>
          </cell>
        </row>
        <row r="2408">
          <cell r="B2408">
            <v>43542</v>
          </cell>
          <cell r="D2408">
            <v>66.86</v>
          </cell>
          <cell r="E2408">
            <v>67.295000000000002</v>
          </cell>
          <cell r="H2408">
            <v>60.36</v>
          </cell>
          <cell r="I2408">
            <v>73.58</v>
          </cell>
          <cell r="BS2408">
            <v>6.2849999999999966</v>
          </cell>
        </row>
        <row r="2409">
          <cell r="B2409">
            <v>43543</v>
          </cell>
          <cell r="D2409">
            <v>67.39</v>
          </cell>
          <cell r="E2409">
            <v>67.650000000000006</v>
          </cell>
          <cell r="H2409">
            <v>61.47</v>
          </cell>
          <cell r="I2409">
            <v>74.73</v>
          </cell>
          <cell r="BS2409">
            <v>7.0799999999999983</v>
          </cell>
        </row>
        <row r="2410">
          <cell r="B2410">
            <v>43544</v>
          </cell>
          <cell r="D2410">
            <v>68.215000000000003</v>
          </cell>
          <cell r="E2410">
            <v>67.644999999999996</v>
          </cell>
          <cell r="H2410">
            <v>61.58</v>
          </cell>
          <cell r="I2410">
            <v>74.83</v>
          </cell>
          <cell r="BS2410">
            <v>7.1850000000000023</v>
          </cell>
        </row>
        <row r="2411">
          <cell r="B2411">
            <v>43545</v>
          </cell>
          <cell r="D2411">
            <v>68.11</v>
          </cell>
          <cell r="E2411">
            <v>68.25</v>
          </cell>
          <cell r="H2411">
            <v>61.79</v>
          </cell>
          <cell r="I2411">
            <v>75.650000000000006</v>
          </cell>
          <cell r="BS2411">
            <v>7.4000000000000057</v>
          </cell>
        </row>
        <row r="2412">
          <cell r="B2412">
            <v>43546</v>
          </cell>
          <cell r="D2412">
            <v>66.31</v>
          </cell>
          <cell r="E2412">
            <v>67.45</v>
          </cell>
          <cell r="H2412">
            <v>61.18</v>
          </cell>
          <cell r="I2412">
            <v>75.3</v>
          </cell>
          <cell r="BS2412">
            <v>7.8499999999999943</v>
          </cell>
        </row>
        <row r="2413">
          <cell r="B2413">
            <v>43549</v>
          </cell>
          <cell r="D2413">
            <v>67.004999999999995</v>
          </cell>
          <cell r="E2413">
            <v>66.36</v>
          </cell>
          <cell r="H2413">
            <v>60.43</v>
          </cell>
          <cell r="I2413">
            <v>74.37</v>
          </cell>
          <cell r="BS2413">
            <v>8.0100000000000051</v>
          </cell>
        </row>
        <row r="2414">
          <cell r="B2414">
            <v>43550</v>
          </cell>
          <cell r="D2414">
            <v>67.73</v>
          </cell>
          <cell r="E2414">
            <v>67.150000000000006</v>
          </cell>
          <cell r="H2414">
            <v>61.54</v>
          </cell>
          <cell r="I2414">
            <v>75.09</v>
          </cell>
          <cell r="BS2414">
            <v>7.9399999999999977</v>
          </cell>
        </row>
        <row r="2415">
          <cell r="B2415">
            <v>43551</v>
          </cell>
          <cell r="D2415">
            <v>67.680000000000007</v>
          </cell>
          <cell r="E2415">
            <v>67.400000000000006</v>
          </cell>
          <cell r="H2415">
            <v>61.49</v>
          </cell>
          <cell r="I2415">
            <v>75.69</v>
          </cell>
          <cell r="BS2415">
            <v>8.289999999999992</v>
          </cell>
        </row>
        <row r="2416">
          <cell r="B2416">
            <v>43552</v>
          </cell>
          <cell r="D2416">
            <v>66.52</v>
          </cell>
          <cell r="E2416">
            <v>66.540000000000006</v>
          </cell>
          <cell r="H2416">
            <v>60.34</v>
          </cell>
          <cell r="I2416">
            <v>73.89</v>
          </cell>
          <cell r="BS2416">
            <v>7.3499999999999943</v>
          </cell>
        </row>
        <row r="2417">
          <cell r="B2417">
            <v>43553</v>
          </cell>
          <cell r="D2417">
            <v>67.989999999999995</v>
          </cell>
          <cell r="E2417">
            <v>67.2</v>
          </cell>
          <cell r="H2417">
            <v>60.76</v>
          </cell>
          <cell r="I2417">
            <v>74.88</v>
          </cell>
          <cell r="BS2417">
            <v>7.6799999999999926</v>
          </cell>
        </row>
        <row r="2418">
          <cell r="B2418">
            <v>43556</v>
          </cell>
          <cell r="D2418">
            <v>69.180000000000007</v>
          </cell>
          <cell r="E2418">
            <v>68.2</v>
          </cell>
          <cell r="H2418">
            <v>61.45</v>
          </cell>
          <cell r="I2418">
            <v>75.989999999999995</v>
          </cell>
          <cell r="BS2418">
            <v>7.789999999999992</v>
          </cell>
        </row>
        <row r="2419">
          <cell r="B2419">
            <v>43557</v>
          </cell>
          <cell r="D2419">
            <v>69.62</v>
          </cell>
          <cell r="E2419">
            <v>68.77</v>
          </cell>
          <cell r="H2419">
            <v>61.2</v>
          </cell>
          <cell r="I2419">
            <v>75.72</v>
          </cell>
          <cell r="BS2419">
            <v>6.9500000000000028</v>
          </cell>
        </row>
        <row r="2420">
          <cell r="B2420">
            <v>43558</v>
          </cell>
          <cell r="D2420">
            <v>69.23</v>
          </cell>
          <cell r="E2420">
            <v>69.405000000000001</v>
          </cell>
          <cell r="H2420">
            <v>61.64</v>
          </cell>
          <cell r="I2420">
            <v>76.02</v>
          </cell>
          <cell r="BS2420">
            <v>6.6149999999999949</v>
          </cell>
        </row>
        <row r="2421">
          <cell r="B2421">
            <v>43559</v>
          </cell>
          <cell r="D2421">
            <v>69.739999999999995</v>
          </cell>
          <cell r="E2421">
            <v>68.650000000000006</v>
          </cell>
          <cell r="H2421">
            <v>60.39</v>
          </cell>
          <cell r="I2421">
            <v>75.739999999999995</v>
          </cell>
          <cell r="BS2421">
            <v>7.0899999999999892</v>
          </cell>
        </row>
        <row r="2422">
          <cell r="B2422">
            <v>43560</v>
          </cell>
          <cell r="D2422">
            <v>70.099999999999994</v>
          </cell>
          <cell r="E2422">
            <v>68.84</v>
          </cell>
          <cell r="H2422">
            <v>60.14</v>
          </cell>
          <cell r="I2422">
            <v>75.5</v>
          </cell>
          <cell r="BS2422">
            <v>6.6599999999999966</v>
          </cell>
        </row>
        <row r="2423">
          <cell r="B2423">
            <v>43563</v>
          </cell>
          <cell r="D2423">
            <v>71.185000000000002</v>
          </cell>
          <cell r="E2423">
            <v>70.31</v>
          </cell>
          <cell r="H2423">
            <v>61.82</v>
          </cell>
          <cell r="I2423">
            <v>77.510000000000005</v>
          </cell>
          <cell r="BS2423">
            <v>7.2000000000000028</v>
          </cell>
        </row>
        <row r="2424">
          <cell r="B2424">
            <v>43564</v>
          </cell>
          <cell r="D2424">
            <v>70.819999999999993</v>
          </cell>
          <cell r="E2424">
            <v>70.545000000000002</v>
          </cell>
          <cell r="H2424">
            <v>61.77</v>
          </cell>
          <cell r="I2424">
            <v>78.11</v>
          </cell>
          <cell r="BS2424">
            <v>7.5649999999999977</v>
          </cell>
        </row>
        <row r="2425">
          <cell r="B2425">
            <v>43565</v>
          </cell>
          <cell r="D2425">
            <v>71.56</v>
          </cell>
          <cell r="E2425">
            <v>70.099999999999994</v>
          </cell>
          <cell r="H2425">
            <v>62.52</v>
          </cell>
          <cell r="I2425">
            <v>78.790000000000006</v>
          </cell>
          <cell r="BS2425">
            <v>8.6900000000000119</v>
          </cell>
        </row>
        <row r="2426">
          <cell r="B2426">
            <v>43566</v>
          </cell>
          <cell r="D2426">
            <v>71.194999999999993</v>
          </cell>
          <cell r="E2426">
            <v>70.5</v>
          </cell>
          <cell r="H2426">
            <v>63.18</v>
          </cell>
          <cell r="I2426">
            <v>80.31</v>
          </cell>
          <cell r="BS2426">
            <v>9.8100000000000023</v>
          </cell>
        </row>
        <row r="2427">
          <cell r="B2427">
            <v>43567</v>
          </cell>
          <cell r="D2427">
            <v>71.584999999999994</v>
          </cell>
          <cell r="E2427">
            <v>70.25</v>
          </cell>
          <cell r="H2427">
            <v>62.99</v>
          </cell>
          <cell r="I2427">
            <v>80.66</v>
          </cell>
          <cell r="BS2427">
            <v>10.409999999999997</v>
          </cell>
        </row>
        <row r="2428">
          <cell r="B2428">
            <v>43570</v>
          </cell>
          <cell r="D2428">
            <v>70.87</v>
          </cell>
          <cell r="E2428">
            <v>70.36</v>
          </cell>
          <cell r="H2428">
            <v>62.96</v>
          </cell>
          <cell r="I2428">
            <v>80.02</v>
          </cell>
          <cell r="BS2428">
            <v>9.6599999999999966</v>
          </cell>
        </row>
        <row r="2429">
          <cell r="B2429">
            <v>43571</v>
          </cell>
          <cell r="D2429">
            <v>70.915000000000006</v>
          </cell>
          <cell r="E2429">
            <v>70.260000000000005</v>
          </cell>
          <cell r="H2429">
            <v>62.28</v>
          </cell>
          <cell r="I2429">
            <v>78.47</v>
          </cell>
          <cell r="BS2429">
            <v>8.2099999999999937</v>
          </cell>
        </row>
        <row r="2430">
          <cell r="B2430">
            <v>43572</v>
          </cell>
          <cell r="D2430">
            <v>71.185000000000002</v>
          </cell>
          <cell r="E2430">
            <v>71.349999999999994</v>
          </cell>
          <cell r="H2430">
            <v>63.45</v>
          </cell>
          <cell r="I2430">
            <v>80.03</v>
          </cell>
          <cell r="BS2430">
            <v>8.6800000000000068</v>
          </cell>
        </row>
        <row r="2431">
          <cell r="B2431">
            <v>43573</v>
          </cell>
          <cell r="D2431">
            <v>71</v>
          </cell>
          <cell r="E2431">
            <v>71.05</v>
          </cell>
          <cell r="H2431">
            <v>63.35</v>
          </cell>
          <cell r="I2431">
            <v>79.52</v>
          </cell>
          <cell r="BS2431">
            <v>8.4699999999999989</v>
          </cell>
        </row>
        <row r="2432">
          <cell r="B2432">
            <v>43574</v>
          </cell>
          <cell r="D2432" t="str">
            <v/>
          </cell>
          <cell r="E2432" t="str">
            <v/>
          </cell>
          <cell r="H2432">
            <v>0</v>
          </cell>
          <cell r="I2432">
            <v>0</v>
          </cell>
          <cell r="BS2432" t="e">
            <v>#N/A</v>
          </cell>
        </row>
        <row r="2433">
          <cell r="B2433">
            <v>43577</v>
          </cell>
          <cell r="D2433" t="str">
            <v/>
          </cell>
          <cell r="E2433">
            <v>73.400000000000006</v>
          </cell>
          <cell r="H2433">
            <v>65.489999999999995</v>
          </cell>
          <cell r="I2433">
            <v>81.430000000000007</v>
          </cell>
          <cell r="BS2433">
            <v>8.0300000000000011</v>
          </cell>
        </row>
        <row r="2434">
          <cell r="B2434">
            <v>43578</v>
          </cell>
          <cell r="D2434">
            <v>73.69</v>
          </cell>
          <cell r="E2434">
            <v>73.75</v>
          </cell>
          <cell r="H2434">
            <v>66.319999999999993</v>
          </cell>
          <cell r="I2434">
            <v>81.19</v>
          </cell>
          <cell r="BS2434">
            <v>7.4399999999999977</v>
          </cell>
        </row>
        <row r="2435">
          <cell r="B2435">
            <v>43579</v>
          </cell>
          <cell r="D2435">
            <v>73.734999999999999</v>
          </cell>
          <cell r="E2435">
            <v>73.64</v>
          </cell>
          <cell r="H2435">
            <v>66.2</v>
          </cell>
          <cell r="I2435">
            <v>80.25</v>
          </cell>
          <cell r="BS2435">
            <v>6.6099999999999994</v>
          </cell>
        </row>
        <row r="2436">
          <cell r="B2436">
            <v>43580</v>
          </cell>
          <cell r="D2436">
            <v>74.31</v>
          </cell>
          <cell r="E2436">
            <v>74.489999999999995</v>
          </cell>
          <cell r="H2436">
            <v>66.989999999999995</v>
          </cell>
          <cell r="I2436">
            <v>81.42</v>
          </cell>
          <cell r="BS2436">
            <v>6.9300000000000068</v>
          </cell>
        </row>
        <row r="2437">
          <cell r="B2437">
            <v>43581</v>
          </cell>
          <cell r="D2437">
            <v>71.2</v>
          </cell>
          <cell r="E2437">
            <v>73.430000000000007</v>
          </cell>
          <cell r="H2437">
            <v>66.02</v>
          </cell>
          <cell r="I2437">
            <v>80.75</v>
          </cell>
          <cell r="BS2437">
            <v>7.3199999999999932</v>
          </cell>
        </row>
        <row r="2438">
          <cell r="B2438">
            <v>43584</v>
          </cell>
          <cell r="D2438">
            <v>71.59</v>
          </cell>
          <cell r="E2438">
            <v>71.06</v>
          </cell>
          <cell r="H2438">
            <v>63.82</v>
          </cell>
          <cell r="I2438">
            <v>79.14</v>
          </cell>
          <cell r="BS2438">
            <v>8.0799999999999983</v>
          </cell>
        </row>
        <row r="2439">
          <cell r="B2439">
            <v>43585</v>
          </cell>
          <cell r="D2439">
            <v>72.45</v>
          </cell>
          <cell r="E2439">
            <v>71.599999999999994</v>
          </cell>
          <cell r="H2439">
            <v>63.64</v>
          </cell>
          <cell r="I2439">
            <v>78.92</v>
          </cell>
          <cell r="BS2439">
            <v>7.3200000000000074</v>
          </cell>
        </row>
        <row r="2440">
          <cell r="B2440">
            <v>43586</v>
          </cell>
          <cell r="D2440">
            <v>71.915000000000006</v>
          </cell>
          <cell r="E2440" t="str">
            <v/>
          </cell>
          <cell r="H2440">
            <v>0</v>
          </cell>
          <cell r="I2440">
            <v>0</v>
          </cell>
          <cell r="BS2440" t="e">
            <v>#N/A</v>
          </cell>
        </row>
        <row r="2441">
          <cell r="B2441">
            <v>43587</v>
          </cell>
          <cell r="D2441">
            <v>70.355000000000004</v>
          </cell>
          <cell r="E2441">
            <v>71.45</v>
          </cell>
          <cell r="H2441">
            <v>62.07</v>
          </cell>
          <cell r="I2441">
            <v>78.64</v>
          </cell>
          <cell r="BS2441">
            <v>7.1899999999999977</v>
          </cell>
        </row>
        <row r="2442">
          <cell r="B2442">
            <v>43588</v>
          </cell>
          <cell r="D2442">
            <v>71.984999999999999</v>
          </cell>
          <cell r="E2442">
            <v>69.959999999999994</v>
          </cell>
          <cell r="H2442">
            <v>61.06</v>
          </cell>
          <cell r="I2442">
            <v>77.150000000000006</v>
          </cell>
          <cell r="BS2442">
            <v>7.1900000000000119</v>
          </cell>
        </row>
        <row r="2443">
          <cell r="B2443">
            <v>43591</v>
          </cell>
          <cell r="D2443" t="str">
            <v/>
          </cell>
          <cell r="E2443">
            <v>69.239999999999995</v>
          </cell>
          <cell r="H2443">
            <v>61.28</v>
          </cell>
          <cell r="I2443">
            <v>75.78</v>
          </cell>
          <cell r="BS2443">
            <v>6.5400000000000063</v>
          </cell>
        </row>
        <row r="2444">
          <cell r="B2444">
            <v>43592</v>
          </cell>
          <cell r="D2444">
            <v>70.819999999999993</v>
          </cell>
          <cell r="E2444">
            <v>70.25</v>
          </cell>
          <cell r="H2444">
            <v>62.31</v>
          </cell>
          <cell r="I2444">
            <v>75.5</v>
          </cell>
          <cell r="BS2444">
            <v>5.25</v>
          </cell>
        </row>
        <row r="2445">
          <cell r="B2445">
            <v>43593</v>
          </cell>
          <cell r="D2445">
            <v>71.075000000000003</v>
          </cell>
          <cell r="E2445">
            <v>69.25</v>
          </cell>
          <cell r="H2445">
            <v>60.6</v>
          </cell>
          <cell r="I2445">
            <v>72.64</v>
          </cell>
          <cell r="BS2445">
            <v>3.3900000000000006</v>
          </cell>
        </row>
        <row r="2446">
          <cell r="B2446">
            <v>43594</v>
          </cell>
          <cell r="D2446">
            <v>70.349999999999994</v>
          </cell>
          <cell r="E2446">
            <v>69.099999999999994</v>
          </cell>
          <cell r="H2446">
            <v>60.74</v>
          </cell>
          <cell r="I2446">
            <v>72.62</v>
          </cell>
          <cell r="BS2446">
            <v>3.5200000000000102</v>
          </cell>
        </row>
        <row r="2447">
          <cell r="B2447">
            <v>43595</v>
          </cell>
          <cell r="D2447">
            <v>71.86</v>
          </cell>
          <cell r="E2447">
            <v>70.09</v>
          </cell>
          <cell r="H2447">
            <v>61.15</v>
          </cell>
          <cell r="I2447">
            <v>75.41</v>
          </cell>
          <cell r="BS2447">
            <v>5.3199999999999932</v>
          </cell>
        </row>
        <row r="2448">
          <cell r="B2448">
            <v>43598</v>
          </cell>
          <cell r="D2448">
            <v>72.33</v>
          </cell>
          <cell r="E2448">
            <v>70.94</v>
          </cell>
          <cell r="H2448">
            <v>61.99</v>
          </cell>
          <cell r="I2448">
            <v>76.52</v>
          </cell>
          <cell r="BS2448">
            <v>5.5799999999999983</v>
          </cell>
        </row>
        <row r="2449">
          <cell r="B2449">
            <v>43599</v>
          </cell>
          <cell r="D2449">
            <v>72.650000000000006</v>
          </cell>
          <cell r="E2449">
            <v>69.67</v>
          </cell>
          <cell r="H2449">
            <v>60.46</v>
          </cell>
          <cell r="I2449">
            <v>74.7</v>
          </cell>
          <cell r="BS2449">
            <v>5.0300000000000011</v>
          </cell>
        </row>
        <row r="2450">
          <cell r="B2450">
            <v>43600</v>
          </cell>
          <cell r="D2450">
            <v>73.489999999999995</v>
          </cell>
          <cell r="E2450">
            <v>70.44</v>
          </cell>
          <cell r="H2450">
            <v>61.02</v>
          </cell>
          <cell r="I2450">
            <v>75.25</v>
          </cell>
          <cell r="BS2450">
            <v>4.8100000000000023</v>
          </cell>
        </row>
        <row r="2451">
          <cell r="B2451">
            <v>43601</v>
          </cell>
          <cell r="D2451">
            <v>74.69</v>
          </cell>
          <cell r="E2451">
            <v>72</v>
          </cell>
          <cell r="H2451">
            <v>62.54</v>
          </cell>
          <cell r="I2451">
            <v>77.23</v>
          </cell>
          <cell r="BS2451">
            <v>5.230000000000004</v>
          </cell>
        </row>
        <row r="2452">
          <cell r="B2452">
            <v>43602</v>
          </cell>
          <cell r="D2452">
            <v>73.819999999999993</v>
          </cell>
          <cell r="E2452">
            <v>72.45</v>
          </cell>
          <cell r="H2452">
            <v>62.58</v>
          </cell>
          <cell r="I2452">
            <v>78.94</v>
          </cell>
          <cell r="BS2452">
            <v>6.4899999999999949</v>
          </cell>
        </row>
        <row r="2453">
          <cell r="B2453">
            <v>43605</v>
          </cell>
          <cell r="D2453">
            <v>73.2</v>
          </cell>
          <cell r="E2453" t="str">
            <v/>
          </cell>
          <cell r="H2453">
            <v>0</v>
          </cell>
          <cell r="I2453">
            <v>0</v>
          </cell>
          <cell r="BS2453" t="e">
            <v>#N/A</v>
          </cell>
        </row>
        <row r="2454">
          <cell r="B2454">
            <v>43606</v>
          </cell>
          <cell r="D2454">
            <v>72.55</v>
          </cell>
          <cell r="E2454">
            <v>71.599999999999994</v>
          </cell>
          <cell r="H2454">
            <v>61.06</v>
          </cell>
          <cell r="I2454">
            <v>76.95</v>
          </cell>
          <cell r="BS2454">
            <v>5.3500000000000085</v>
          </cell>
        </row>
        <row r="2455">
          <cell r="B2455">
            <v>43607</v>
          </cell>
          <cell r="D2455">
            <v>71.825000000000003</v>
          </cell>
          <cell r="E2455">
            <v>71.239999999999995</v>
          </cell>
          <cell r="H2455">
            <v>60.19</v>
          </cell>
          <cell r="I2455">
            <v>76.67</v>
          </cell>
          <cell r="BS2455">
            <v>5.4300000000000068</v>
          </cell>
        </row>
        <row r="2456">
          <cell r="B2456">
            <v>43608</v>
          </cell>
          <cell r="D2456">
            <v>68.489999999999995</v>
          </cell>
          <cell r="E2456">
            <v>69.19</v>
          </cell>
          <cell r="H2456">
            <v>58.83</v>
          </cell>
          <cell r="I2456">
            <v>74.67</v>
          </cell>
          <cell r="BS2456">
            <v>5.480000000000004</v>
          </cell>
        </row>
        <row r="2457">
          <cell r="B2457">
            <v>43609</v>
          </cell>
          <cell r="D2457">
            <v>68.495000000000005</v>
          </cell>
          <cell r="E2457">
            <v>66.739999999999995</v>
          </cell>
          <cell r="H2457">
            <v>56.77</v>
          </cell>
          <cell r="I2457">
            <v>72.7</v>
          </cell>
          <cell r="BS2457">
            <v>5.960000000000008</v>
          </cell>
        </row>
        <row r="2458">
          <cell r="B2458">
            <v>43612</v>
          </cell>
          <cell r="D2458" t="str">
            <v/>
          </cell>
          <cell r="E2458">
            <v>66.849999999999994</v>
          </cell>
          <cell r="H2458">
            <v>57.08</v>
          </cell>
          <cell r="I2458">
            <v>72.11</v>
          </cell>
          <cell r="BS2458">
            <v>5.2600000000000051</v>
          </cell>
        </row>
        <row r="2459">
          <cell r="B2459">
            <v>43613</v>
          </cell>
          <cell r="D2459">
            <v>70.424999999999997</v>
          </cell>
          <cell r="E2459">
            <v>68.3</v>
          </cell>
          <cell r="H2459">
            <v>58.44</v>
          </cell>
          <cell r="I2459">
            <v>72.66</v>
          </cell>
          <cell r="BS2459">
            <v>4.3599999999999994</v>
          </cell>
        </row>
        <row r="2460">
          <cell r="B2460">
            <v>43614</v>
          </cell>
          <cell r="D2460">
            <v>69.38</v>
          </cell>
          <cell r="E2460">
            <v>67.155000000000001</v>
          </cell>
          <cell r="H2460">
            <v>57.44</v>
          </cell>
          <cell r="I2460">
            <v>69.819999999999993</v>
          </cell>
          <cell r="BS2460">
            <v>2.664999999999992</v>
          </cell>
        </row>
        <row r="2461">
          <cell r="B2461">
            <v>43615</v>
          </cell>
          <cell r="D2461">
            <v>68.16</v>
          </cell>
          <cell r="E2461">
            <v>67.150000000000006</v>
          </cell>
          <cell r="H2461">
            <v>57.48</v>
          </cell>
          <cell r="I2461">
            <v>71.47</v>
          </cell>
          <cell r="BS2461">
            <v>4.3199999999999932</v>
          </cell>
        </row>
        <row r="2462">
          <cell r="B2462">
            <v>43616</v>
          </cell>
          <cell r="D2462">
            <v>65.61</v>
          </cell>
          <cell r="E2462">
            <v>63.81</v>
          </cell>
          <cell r="H2462">
            <v>53.69</v>
          </cell>
          <cell r="I2462">
            <v>66.91</v>
          </cell>
          <cell r="BS2462">
            <v>3.0999999999999943</v>
          </cell>
        </row>
        <row r="2463">
          <cell r="B2463">
            <v>43619</v>
          </cell>
          <cell r="D2463">
            <v>63.335000000000001</v>
          </cell>
          <cell r="E2463">
            <v>60.16</v>
          </cell>
          <cell r="H2463">
            <v>49.68</v>
          </cell>
          <cell r="I2463">
            <v>63.21</v>
          </cell>
          <cell r="BS2463">
            <v>3.0500000000000043</v>
          </cell>
        </row>
        <row r="2464">
          <cell r="B2464">
            <v>43620</v>
          </cell>
          <cell r="D2464">
            <v>63.704999999999998</v>
          </cell>
          <cell r="E2464">
            <v>60.05</v>
          </cell>
          <cell r="H2464">
            <v>49.39</v>
          </cell>
          <cell r="I2464">
            <v>63.65</v>
          </cell>
          <cell r="BS2464">
            <v>3.6000000000000014</v>
          </cell>
        </row>
        <row r="2465">
          <cell r="B2465">
            <v>43621</v>
          </cell>
          <cell r="D2465">
            <v>62.104999999999997</v>
          </cell>
          <cell r="E2465" t="str">
            <v/>
          </cell>
          <cell r="H2465">
            <v>0</v>
          </cell>
          <cell r="I2465">
            <v>0</v>
          </cell>
          <cell r="BS2465" t="e">
            <v>#N/A</v>
          </cell>
        </row>
        <row r="2466">
          <cell r="B2466">
            <v>43622</v>
          </cell>
          <cell r="D2466">
            <v>62.44</v>
          </cell>
          <cell r="E2466">
            <v>59.33</v>
          </cell>
          <cell r="H2466">
            <v>48.33</v>
          </cell>
          <cell r="I2466">
            <v>63.17</v>
          </cell>
          <cell r="BS2466">
            <v>3.8400000000000034</v>
          </cell>
        </row>
        <row r="2467">
          <cell r="B2467">
            <v>43623</v>
          </cell>
          <cell r="D2467">
            <v>64.534999999999997</v>
          </cell>
          <cell r="E2467">
            <v>61.19</v>
          </cell>
          <cell r="H2467">
            <v>48.78</v>
          </cell>
          <cell r="I2467">
            <v>65.239999999999995</v>
          </cell>
          <cell r="BS2467">
            <v>4.0499999999999972</v>
          </cell>
        </row>
        <row r="2468">
          <cell r="B2468">
            <v>43626</v>
          </cell>
          <cell r="D2468">
            <v>64.42</v>
          </cell>
          <cell r="E2468">
            <v>61.89</v>
          </cell>
          <cell r="H2468">
            <v>49.92</v>
          </cell>
          <cell r="I2468">
            <v>66.02</v>
          </cell>
          <cell r="BS2468">
            <v>4.1299999999999955</v>
          </cell>
        </row>
        <row r="2469">
          <cell r="B2469">
            <v>43627</v>
          </cell>
          <cell r="D2469">
            <v>64.144999999999996</v>
          </cell>
          <cell r="E2469">
            <v>61.25</v>
          </cell>
          <cell r="H2469">
            <v>49.74</v>
          </cell>
          <cell r="I2469">
            <v>65.25</v>
          </cell>
          <cell r="BS2469">
            <v>4</v>
          </cell>
        </row>
        <row r="2470">
          <cell r="B2470">
            <v>43628</v>
          </cell>
          <cell r="D2470">
            <v>62.354999999999997</v>
          </cell>
          <cell r="E2470">
            <v>59.884999999999998</v>
          </cell>
          <cell r="H2470">
            <v>48.7</v>
          </cell>
          <cell r="I2470">
            <v>64.099999999999994</v>
          </cell>
          <cell r="BS2470">
            <v>4.2149999999999963</v>
          </cell>
        </row>
        <row r="2471">
          <cell r="B2471">
            <v>43629</v>
          </cell>
          <cell r="D2471">
            <v>62.865000000000002</v>
          </cell>
          <cell r="E2471">
            <v>60.3</v>
          </cell>
          <cell r="H2471">
            <v>49.26</v>
          </cell>
          <cell r="I2471">
            <v>64.06</v>
          </cell>
          <cell r="BS2471">
            <v>3.7600000000000051</v>
          </cell>
        </row>
        <row r="2472">
          <cell r="B2472">
            <v>43630</v>
          </cell>
          <cell r="D2472">
            <v>63.094999999999999</v>
          </cell>
          <cell r="E2472">
            <v>59.89</v>
          </cell>
          <cell r="H2472">
            <v>49.31</v>
          </cell>
          <cell r="I2472">
            <v>63.85</v>
          </cell>
          <cell r="BS2472">
            <v>3.9600000000000009</v>
          </cell>
        </row>
        <row r="2473">
          <cell r="B2473">
            <v>43633</v>
          </cell>
          <cell r="D2473">
            <v>62.424999999999997</v>
          </cell>
          <cell r="E2473">
            <v>60.71</v>
          </cell>
          <cell r="H2473">
            <v>50.42</v>
          </cell>
          <cell r="I2473">
            <v>63.8</v>
          </cell>
          <cell r="BS2473">
            <v>3.0899999999999963</v>
          </cell>
        </row>
        <row r="2474">
          <cell r="B2474">
            <v>43634</v>
          </cell>
          <cell r="D2474">
            <v>63.075000000000003</v>
          </cell>
          <cell r="E2474">
            <v>59.89</v>
          </cell>
          <cell r="H2474">
            <v>49.73</v>
          </cell>
          <cell r="I2474">
            <v>62.97</v>
          </cell>
          <cell r="BS2474">
            <v>3.0799999999999983</v>
          </cell>
        </row>
        <row r="2475">
          <cell r="B2475">
            <v>43635</v>
          </cell>
          <cell r="D2475">
            <v>62.594999999999999</v>
          </cell>
          <cell r="E2475">
            <v>61.19</v>
          </cell>
          <cell r="H2475">
            <v>51.89</v>
          </cell>
          <cell r="I2475">
            <v>64.540000000000006</v>
          </cell>
          <cell r="BS2475">
            <v>3.3500000000000085</v>
          </cell>
        </row>
        <row r="2476">
          <cell r="B2476">
            <v>43636</v>
          </cell>
          <cell r="D2476">
            <v>64.97</v>
          </cell>
          <cell r="E2476">
            <v>62.59</v>
          </cell>
          <cell r="H2476">
            <v>53.62</v>
          </cell>
          <cell r="I2476">
            <v>66.36</v>
          </cell>
          <cell r="BS2476">
            <v>3.769999999999996</v>
          </cell>
        </row>
        <row r="2477">
          <cell r="B2477">
            <v>43637</v>
          </cell>
          <cell r="D2477">
            <v>66.025000000000006</v>
          </cell>
          <cell r="E2477">
            <v>64.2</v>
          </cell>
          <cell r="H2477">
            <v>54.94</v>
          </cell>
          <cell r="I2477">
            <v>68.56</v>
          </cell>
          <cell r="BS2477">
            <v>4.3599999999999994</v>
          </cell>
        </row>
        <row r="2478">
          <cell r="B2478">
            <v>43640</v>
          </cell>
          <cell r="D2478">
            <v>64.91</v>
          </cell>
          <cell r="E2478">
            <v>63.994999999999997</v>
          </cell>
          <cell r="H2478">
            <v>55.5</v>
          </cell>
          <cell r="I2478">
            <v>69.39</v>
          </cell>
          <cell r="BS2478">
            <v>5.3950000000000031</v>
          </cell>
        </row>
        <row r="2479">
          <cell r="B2479">
            <v>43641</v>
          </cell>
          <cell r="D2479">
            <v>65.97</v>
          </cell>
          <cell r="E2479">
            <v>63.35</v>
          </cell>
          <cell r="H2479">
            <v>54.33</v>
          </cell>
          <cell r="I2479">
            <v>67.680000000000007</v>
          </cell>
          <cell r="BS2479">
            <v>4.3300000000000054</v>
          </cell>
        </row>
        <row r="2480">
          <cell r="B2480">
            <v>43642</v>
          </cell>
          <cell r="D2480">
            <v>66.685000000000002</v>
          </cell>
          <cell r="E2480">
            <v>64.260000000000005</v>
          </cell>
          <cell r="H2480">
            <v>55.65</v>
          </cell>
          <cell r="I2480">
            <v>69.55</v>
          </cell>
          <cell r="BS2480">
            <v>5.289999999999992</v>
          </cell>
        </row>
        <row r="2481">
          <cell r="B2481">
            <v>43643</v>
          </cell>
          <cell r="D2481">
            <v>66.099999999999994</v>
          </cell>
          <cell r="E2481">
            <v>64.400000000000006</v>
          </cell>
          <cell r="H2481">
            <v>56.49</v>
          </cell>
          <cell r="I2481">
            <v>69.89</v>
          </cell>
          <cell r="BS2481">
            <v>5.4899999999999949</v>
          </cell>
        </row>
        <row r="2482">
          <cell r="B2482">
            <v>43644</v>
          </cell>
          <cell r="D2482">
            <v>66.144999999999996</v>
          </cell>
          <cell r="E2482">
            <v>64.89</v>
          </cell>
          <cell r="H2482">
            <v>55.62</v>
          </cell>
          <cell r="I2482">
            <v>70.150000000000006</v>
          </cell>
          <cell r="BS2482">
            <v>5.2600000000000051</v>
          </cell>
        </row>
        <row r="2483">
          <cell r="B2483">
            <v>43647</v>
          </cell>
          <cell r="D2483">
            <v>64.930000000000007</v>
          </cell>
          <cell r="E2483">
            <v>64.900000000000006</v>
          </cell>
          <cell r="H2483">
            <v>56.76</v>
          </cell>
          <cell r="I2483">
            <v>71.7</v>
          </cell>
          <cell r="BS2483">
            <v>6.7999999999999972</v>
          </cell>
        </row>
        <row r="2484">
          <cell r="B2484">
            <v>43648</v>
          </cell>
          <cell r="D2484">
            <v>62.685000000000002</v>
          </cell>
          <cell r="E2484">
            <v>63.405000000000001</v>
          </cell>
          <cell r="H2484">
            <v>55.31</v>
          </cell>
          <cell r="I2484">
            <v>70.37</v>
          </cell>
          <cell r="BS2484">
            <v>6.9650000000000034</v>
          </cell>
        </row>
        <row r="2485">
          <cell r="B2485">
            <v>43649</v>
          </cell>
          <cell r="D2485">
            <v>63.27</v>
          </cell>
          <cell r="E2485">
            <v>60.645000000000003</v>
          </cell>
          <cell r="H2485">
            <v>53.52</v>
          </cell>
          <cell r="I2485">
            <v>68.400000000000006</v>
          </cell>
          <cell r="BS2485">
            <v>7.7550000000000026</v>
          </cell>
        </row>
        <row r="2486">
          <cell r="B2486">
            <v>43650</v>
          </cell>
          <cell r="D2486">
            <v>63.725000000000001</v>
          </cell>
          <cell r="E2486">
            <v>61.72</v>
          </cell>
          <cell r="H2486">
            <v>55.08</v>
          </cell>
          <cell r="I2486">
            <v>70.08</v>
          </cell>
          <cell r="BS2486">
            <v>8.36</v>
          </cell>
        </row>
        <row r="2487">
          <cell r="B2487">
            <v>43651</v>
          </cell>
          <cell r="D2487">
            <v>64.37</v>
          </cell>
          <cell r="E2487">
            <v>61.6</v>
          </cell>
          <cell r="H2487">
            <v>54.82</v>
          </cell>
          <cell r="I2487">
            <v>70.37</v>
          </cell>
          <cell r="BS2487">
            <v>8.7700000000000031</v>
          </cell>
        </row>
        <row r="2488">
          <cell r="B2488">
            <v>43654</v>
          </cell>
          <cell r="D2488">
            <v>65.064999999999998</v>
          </cell>
          <cell r="E2488">
            <v>63.3</v>
          </cell>
          <cell r="H2488">
            <v>56.24</v>
          </cell>
          <cell r="I2488">
            <v>71.25</v>
          </cell>
          <cell r="BS2488">
            <v>7.9500000000000028</v>
          </cell>
        </row>
        <row r="2489">
          <cell r="B2489">
            <v>43655</v>
          </cell>
          <cell r="D2489">
            <v>64.284999999999997</v>
          </cell>
          <cell r="E2489">
            <v>62.6</v>
          </cell>
          <cell r="H2489">
            <v>55.58</v>
          </cell>
          <cell r="I2489">
            <v>70.319999999999993</v>
          </cell>
          <cell r="BS2489">
            <v>7.7199999999999918</v>
          </cell>
        </row>
        <row r="2490">
          <cell r="B2490">
            <v>43656</v>
          </cell>
          <cell r="D2490">
            <v>66.655000000000001</v>
          </cell>
          <cell r="E2490">
            <v>63.854999999999997</v>
          </cell>
          <cell r="H2490">
            <v>57.08</v>
          </cell>
          <cell r="I2490">
            <v>72.5</v>
          </cell>
          <cell r="BS2490">
            <v>8.6450000000000031</v>
          </cell>
        </row>
        <row r="2491">
          <cell r="B2491">
            <v>43657</v>
          </cell>
          <cell r="D2491">
            <v>67.344999999999999</v>
          </cell>
          <cell r="E2491">
            <v>65.930000000000007</v>
          </cell>
          <cell r="H2491">
            <v>58.96</v>
          </cell>
          <cell r="I2491">
            <v>75.650000000000006</v>
          </cell>
          <cell r="BS2491">
            <v>9.7199999999999989</v>
          </cell>
        </row>
        <row r="2492">
          <cell r="B2492">
            <v>43658</v>
          </cell>
          <cell r="D2492">
            <v>67.09</v>
          </cell>
          <cell r="E2492">
            <v>65.855000000000004</v>
          </cell>
          <cell r="H2492">
            <v>58.2</v>
          </cell>
          <cell r="I2492">
            <v>76.010000000000005</v>
          </cell>
          <cell r="BS2492">
            <v>10.155000000000001</v>
          </cell>
        </row>
        <row r="2493">
          <cell r="B2493">
            <v>43661</v>
          </cell>
          <cell r="D2493">
            <v>66.83</v>
          </cell>
          <cell r="E2493">
            <v>65.19</v>
          </cell>
          <cell r="H2493">
            <v>57.49</v>
          </cell>
          <cell r="I2493">
            <v>74.45</v>
          </cell>
          <cell r="BS2493">
            <v>9.2600000000000051</v>
          </cell>
        </row>
        <row r="2494">
          <cell r="B2494">
            <v>43662</v>
          </cell>
          <cell r="D2494">
            <v>66.02</v>
          </cell>
          <cell r="E2494">
            <v>64.56</v>
          </cell>
          <cell r="H2494">
            <v>56.49</v>
          </cell>
          <cell r="I2494">
            <v>73.8</v>
          </cell>
          <cell r="BS2494">
            <v>9.2399999999999949</v>
          </cell>
        </row>
        <row r="2495">
          <cell r="B2495">
            <v>43663</v>
          </cell>
          <cell r="D2495">
            <v>63.86</v>
          </cell>
          <cell r="E2495">
            <v>63.2</v>
          </cell>
          <cell r="H2495">
            <v>55.33</v>
          </cell>
          <cell r="I2495">
            <v>72.41</v>
          </cell>
          <cell r="BS2495">
            <v>9.2099999999999937</v>
          </cell>
        </row>
        <row r="2496">
          <cell r="B2496">
            <v>43664</v>
          </cell>
          <cell r="D2496">
            <v>61.064999999999998</v>
          </cell>
          <cell r="E2496">
            <v>62.104999999999997</v>
          </cell>
          <cell r="H2496">
            <v>54.56</v>
          </cell>
          <cell r="I2496">
            <v>71.39</v>
          </cell>
          <cell r="BS2496">
            <v>9.2850000000000037</v>
          </cell>
        </row>
        <row r="2497">
          <cell r="B2497">
            <v>43665</v>
          </cell>
          <cell r="D2497">
            <v>61.265000000000001</v>
          </cell>
          <cell r="E2497">
            <v>61.54</v>
          </cell>
          <cell r="H2497">
            <v>54.11</v>
          </cell>
          <cell r="I2497">
            <v>71.11</v>
          </cell>
          <cell r="BS2497">
            <v>9.57</v>
          </cell>
        </row>
        <row r="2498">
          <cell r="B2498">
            <v>43668</v>
          </cell>
          <cell r="D2498">
            <v>62.71</v>
          </cell>
          <cell r="E2498">
            <v>62.71</v>
          </cell>
          <cell r="H2498">
            <v>54.99</v>
          </cell>
          <cell r="I2498">
            <v>71.209999999999994</v>
          </cell>
          <cell r="BS2498">
            <v>8.4999999999999929</v>
          </cell>
        </row>
        <row r="2499">
          <cell r="B2499">
            <v>43669</v>
          </cell>
          <cell r="D2499">
            <v>62.75</v>
          </cell>
          <cell r="E2499">
            <v>62.08</v>
          </cell>
          <cell r="H2499">
            <v>54.15</v>
          </cell>
          <cell r="I2499">
            <v>68.81</v>
          </cell>
          <cell r="BS2499">
            <v>6.730000000000004</v>
          </cell>
        </row>
        <row r="2500">
          <cell r="B2500">
            <v>43670</v>
          </cell>
          <cell r="D2500">
            <v>63.914999999999999</v>
          </cell>
          <cell r="E2500">
            <v>63.17</v>
          </cell>
          <cell r="H2500">
            <v>54.82</v>
          </cell>
          <cell r="I2500">
            <v>68.48</v>
          </cell>
          <cell r="BS2500">
            <v>5.3100000000000023</v>
          </cell>
        </row>
        <row r="2501">
          <cell r="B2501">
            <v>43671</v>
          </cell>
          <cell r="D2501">
            <v>63.424999999999997</v>
          </cell>
          <cell r="E2501">
            <v>63.01</v>
          </cell>
          <cell r="H2501">
            <v>54.3</v>
          </cell>
          <cell r="I2501">
            <v>68.72</v>
          </cell>
          <cell r="BS2501">
            <v>5.7100000000000009</v>
          </cell>
        </row>
        <row r="2502">
          <cell r="B2502">
            <v>43672</v>
          </cell>
          <cell r="D2502">
            <v>62.28</v>
          </cell>
          <cell r="E2502">
            <v>62.81</v>
          </cell>
          <cell r="H2502">
            <v>54.47</v>
          </cell>
          <cell r="I2502">
            <v>68.98</v>
          </cell>
          <cell r="BS2502">
            <v>6.1700000000000017</v>
          </cell>
        </row>
        <row r="2503">
          <cell r="B2503">
            <v>43675</v>
          </cell>
          <cell r="D2503">
            <v>62.454999999999998</v>
          </cell>
          <cell r="E2503">
            <v>62.5</v>
          </cell>
          <cell r="H2503">
            <v>54.17</v>
          </cell>
          <cell r="I2503">
            <v>68.64</v>
          </cell>
          <cell r="BS2503">
            <v>6.1400000000000006</v>
          </cell>
        </row>
        <row r="2504">
          <cell r="B2504">
            <v>43676</v>
          </cell>
          <cell r="D2504">
            <v>63.05</v>
          </cell>
          <cell r="E2504">
            <v>63.6</v>
          </cell>
          <cell r="H2504">
            <v>55.18</v>
          </cell>
          <cell r="I2504">
            <v>69.77</v>
          </cell>
          <cell r="BS2504">
            <v>6.1699999999999946</v>
          </cell>
        </row>
        <row r="2505">
          <cell r="B2505">
            <v>43677</v>
          </cell>
          <cell r="D2505">
            <v>63.91</v>
          </cell>
          <cell r="E2505">
            <v>64.55</v>
          </cell>
          <cell r="H2505">
            <v>56.21</v>
          </cell>
          <cell r="I2505">
            <v>70.790000000000006</v>
          </cell>
          <cell r="BS2505">
            <v>6.2400000000000091</v>
          </cell>
        </row>
        <row r="2506">
          <cell r="B2506">
            <v>43678</v>
          </cell>
          <cell r="D2506">
            <v>62.55</v>
          </cell>
          <cell r="E2506">
            <v>63.01</v>
          </cell>
          <cell r="H2506">
            <v>55.68</v>
          </cell>
          <cell r="I2506">
            <v>69.900000000000006</v>
          </cell>
          <cell r="BS2506">
            <v>6.8900000000000077</v>
          </cell>
        </row>
        <row r="2507">
          <cell r="B2507">
            <v>43679</v>
          </cell>
          <cell r="D2507">
            <v>61.25</v>
          </cell>
          <cell r="E2507">
            <v>60.35</v>
          </cell>
          <cell r="H2507">
            <v>53.33</v>
          </cell>
          <cell r="I2507">
            <v>67.12</v>
          </cell>
          <cell r="BS2507">
            <v>6.7700000000000031</v>
          </cell>
        </row>
        <row r="2508">
          <cell r="B2508">
            <v>43682</v>
          </cell>
          <cell r="D2508">
            <v>59.52</v>
          </cell>
          <cell r="E2508">
            <v>59.65</v>
          </cell>
          <cell r="H2508">
            <v>52.26</v>
          </cell>
          <cell r="I2508">
            <v>67.040000000000006</v>
          </cell>
          <cell r="BS2508">
            <v>7.3900000000000077</v>
          </cell>
        </row>
        <row r="2509">
          <cell r="B2509">
            <v>43683</v>
          </cell>
          <cell r="D2509">
            <v>58.795000000000002</v>
          </cell>
          <cell r="E2509">
            <v>58.71</v>
          </cell>
          <cell r="H2509">
            <v>50.72</v>
          </cell>
          <cell r="I2509">
            <v>66.28</v>
          </cell>
          <cell r="BS2509">
            <v>7.57</v>
          </cell>
        </row>
        <row r="2510">
          <cell r="B2510">
            <v>43684</v>
          </cell>
          <cell r="D2510">
            <v>55.244999999999997</v>
          </cell>
          <cell r="E2510">
            <v>57.87</v>
          </cell>
          <cell r="H2510">
            <v>49.58</v>
          </cell>
          <cell r="I2510">
            <v>66.47</v>
          </cell>
          <cell r="BS2510">
            <v>8.6000000000000014</v>
          </cell>
        </row>
        <row r="2511">
          <cell r="B2511">
            <v>43685</v>
          </cell>
          <cell r="D2511">
            <v>56.515000000000001</v>
          </cell>
          <cell r="E2511">
            <v>56.8</v>
          </cell>
          <cell r="H2511">
            <v>48.36</v>
          </cell>
          <cell r="I2511">
            <v>64.88</v>
          </cell>
          <cell r="BS2511">
            <v>8.0799999999999983</v>
          </cell>
        </row>
        <row r="2512">
          <cell r="B2512">
            <v>43686</v>
          </cell>
          <cell r="D2512">
            <v>57.615000000000002</v>
          </cell>
          <cell r="E2512" t="str">
            <v/>
          </cell>
          <cell r="H2512">
            <v>0</v>
          </cell>
          <cell r="I2512">
            <v>0</v>
          </cell>
          <cell r="BS2512" t="e">
            <v>#N/A</v>
          </cell>
        </row>
        <row r="2513">
          <cell r="B2513">
            <v>43689</v>
          </cell>
          <cell r="D2513">
            <v>57.45</v>
          </cell>
          <cell r="E2513" t="str">
            <v/>
          </cell>
          <cell r="H2513">
            <v>0</v>
          </cell>
          <cell r="I2513">
            <v>0</v>
          </cell>
          <cell r="BS2513" t="e">
            <v>#N/A</v>
          </cell>
        </row>
        <row r="2514">
          <cell r="B2514">
            <v>43690</v>
          </cell>
          <cell r="D2514">
            <v>60.27</v>
          </cell>
          <cell r="E2514">
            <v>57.75</v>
          </cell>
          <cell r="H2514">
            <v>49.04</v>
          </cell>
          <cell r="I2514">
            <v>65.92</v>
          </cell>
          <cell r="BS2514">
            <v>8.1700000000000017</v>
          </cell>
        </row>
        <row r="2515">
          <cell r="B2515">
            <v>43691</v>
          </cell>
          <cell r="D2515">
            <v>57.954999999999998</v>
          </cell>
          <cell r="E2515">
            <v>59.63</v>
          </cell>
          <cell r="H2515">
            <v>51.07</v>
          </cell>
          <cell r="I2515">
            <v>68.150000000000006</v>
          </cell>
          <cell r="BS2515">
            <v>8.5200000000000031</v>
          </cell>
        </row>
        <row r="2516">
          <cell r="B2516">
            <v>43692</v>
          </cell>
          <cell r="D2516">
            <v>57.625</v>
          </cell>
          <cell r="E2516">
            <v>58.31</v>
          </cell>
          <cell r="H2516">
            <v>50</v>
          </cell>
          <cell r="I2516">
            <v>66.930000000000007</v>
          </cell>
          <cell r="BS2516">
            <v>8.6200000000000045</v>
          </cell>
        </row>
        <row r="2517">
          <cell r="B2517">
            <v>43693</v>
          </cell>
          <cell r="D2517">
            <v>58.225000000000001</v>
          </cell>
          <cell r="E2517">
            <v>58.18</v>
          </cell>
          <cell r="H2517">
            <v>49.75</v>
          </cell>
          <cell r="I2517">
            <v>66.37</v>
          </cell>
          <cell r="BS2517">
            <v>8.1900000000000048</v>
          </cell>
        </row>
        <row r="2518">
          <cell r="B2518">
            <v>43696</v>
          </cell>
          <cell r="D2518">
            <v>59.115000000000002</v>
          </cell>
          <cell r="E2518">
            <v>58.38</v>
          </cell>
          <cell r="H2518">
            <v>49.98</v>
          </cell>
          <cell r="I2518">
            <v>65.22</v>
          </cell>
          <cell r="BS2518">
            <v>6.8399999999999963</v>
          </cell>
        </row>
        <row r="2519">
          <cell r="B2519">
            <v>43697</v>
          </cell>
          <cell r="D2519">
            <v>59.274999999999999</v>
          </cell>
          <cell r="E2519">
            <v>59.21</v>
          </cell>
          <cell r="H2519">
            <v>50.5</v>
          </cell>
          <cell r="I2519">
            <v>66.010000000000005</v>
          </cell>
          <cell r="BS2519">
            <v>6.8000000000000043</v>
          </cell>
        </row>
        <row r="2520">
          <cell r="B2520">
            <v>43698</v>
          </cell>
          <cell r="D2520">
            <v>60.64</v>
          </cell>
          <cell r="E2520">
            <v>60.05</v>
          </cell>
          <cell r="H2520">
            <v>50.82</v>
          </cell>
          <cell r="I2520">
            <v>67.39</v>
          </cell>
          <cell r="BS2520">
            <v>7.3400000000000034</v>
          </cell>
        </row>
        <row r="2521">
          <cell r="B2521">
            <v>43699</v>
          </cell>
          <cell r="D2521">
            <v>59.6</v>
          </cell>
          <cell r="E2521">
            <v>60.26</v>
          </cell>
          <cell r="H2521">
            <v>51.07</v>
          </cell>
          <cell r="I2521">
            <v>66.94</v>
          </cell>
          <cell r="BS2521">
            <v>6.68</v>
          </cell>
        </row>
        <row r="2522">
          <cell r="B2522">
            <v>43700</v>
          </cell>
          <cell r="D2522">
            <v>58.744999999999997</v>
          </cell>
          <cell r="E2522">
            <v>59.42</v>
          </cell>
          <cell r="H2522">
            <v>50.37</v>
          </cell>
          <cell r="I2522">
            <v>66.05</v>
          </cell>
          <cell r="BS2522">
            <v>6.6299999999999955</v>
          </cell>
        </row>
        <row r="2523">
          <cell r="B2523">
            <v>43703</v>
          </cell>
          <cell r="D2523" t="str">
            <v/>
          </cell>
          <cell r="E2523">
            <v>58.57</v>
          </cell>
          <cell r="H2523">
            <v>49.76</v>
          </cell>
          <cell r="I2523">
            <v>65.28</v>
          </cell>
          <cell r="BS2523">
            <v>6.7100000000000009</v>
          </cell>
        </row>
        <row r="2524">
          <cell r="B2524">
            <v>43704</v>
          </cell>
          <cell r="D2524">
            <v>58.37</v>
          </cell>
          <cell r="E2524">
            <v>58.06</v>
          </cell>
          <cell r="H2524">
            <v>48.73</v>
          </cell>
          <cell r="I2524">
            <v>64.91</v>
          </cell>
          <cell r="BS2524">
            <v>6.8499999999999943</v>
          </cell>
        </row>
        <row r="2525">
          <cell r="B2525">
            <v>43705</v>
          </cell>
          <cell r="D2525">
            <v>60.454999999999998</v>
          </cell>
          <cell r="E2525">
            <v>59</v>
          </cell>
          <cell r="H2525">
            <v>49.67</v>
          </cell>
          <cell r="I2525">
            <v>66.25</v>
          </cell>
          <cell r="BS2525">
            <v>7.25</v>
          </cell>
        </row>
        <row r="2526">
          <cell r="B2526">
            <v>43706</v>
          </cell>
          <cell r="D2526">
            <v>60.51</v>
          </cell>
          <cell r="E2526">
            <v>59.3</v>
          </cell>
          <cell r="H2526">
            <v>50.14</v>
          </cell>
          <cell r="I2526">
            <v>67.22</v>
          </cell>
          <cell r="BS2526">
            <v>7.9200000000000017</v>
          </cell>
        </row>
        <row r="2527">
          <cell r="B2527">
            <v>43707</v>
          </cell>
          <cell r="D2527">
            <v>59.17</v>
          </cell>
          <cell r="E2527">
            <v>59.6</v>
          </cell>
          <cell r="H2527">
            <v>50</v>
          </cell>
          <cell r="I2527">
            <v>67.19</v>
          </cell>
          <cell r="BS2527">
            <v>7.5899999999999963</v>
          </cell>
        </row>
        <row r="2528">
          <cell r="B2528">
            <v>43710</v>
          </cell>
          <cell r="D2528">
            <v>58.56</v>
          </cell>
          <cell r="E2528">
            <v>57.6</v>
          </cell>
          <cell r="H2528">
            <v>48.69</v>
          </cell>
          <cell r="I2528">
            <v>64.81</v>
          </cell>
          <cell r="BS2528">
            <v>7.2100000000000009</v>
          </cell>
        </row>
        <row r="2529">
          <cell r="B2529">
            <v>43711</v>
          </cell>
          <cell r="D2529">
            <v>58.05</v>
          </cell>
          <cell r="E2529">
            <v>56.45</v>
          </cell>
          <cell r="H2529">
            <v>48.05</v>
          </cell>
          <cell r="I2529">
            <v>62.63</v>
          </cell>
          <cell r="BS2529">
            <v>6.18</v>
          </cell>
        </row>
        <row r="2530">
          <cell r="B2530">
            <v>43712</v>
          </cell>
          <cell r="D2530">
            <v>60.74</v>
          </cell>
          <cell r="E2530">
            <v>56.69</v>
          </cell>
          <cell r="H2530">
            <v>48.74</v>
          </cell>
          <cell r="I2530">
            <v>63.26</v>
          </cell>
          <cell r="BS2530">
            <v>6.57</v>
          </cell>
        </row>
        <row r="2531">
          <cell r="B2531">
            <v>43713</v>
          </cell>
          <cell r="D2531">
            <v>62.61</v>
          </cell>
          <cell r="E2531">
            <v>58.5</v>
          </cell>
          <cell r="H2531">
            <v>50.51</v>
          </cell>
          <cell r="I2531">
            <v>65.37</v>
          </cell>
          <cell r="BS2531">
            <v>6.8700000000000045</v>
          </cell>
        </row>
        <row r="2532">
          <cell r="B2532">
            <v>43714</v>
          </cell>
          <cell r="D2532">
            <v>61.325000000000003</v>
          </cell>
          <cell r="E2532">
            <v>59.244999999999997</v>
          </cell>
          <cell r="H2532">
            <v>51.31</v>
          </cell>
          <cell r="I2532">
            <v>66.680000000000007</v>
          </cell>
          <cell r="BS2532">
            <v>7.4350000000000094</v>
          </cell>
        </row>
        <row r="2533">
          <cell r="B2533">
            <v>43717</v>
          </cell>
          <cell r="D2533">
            <v>63.86</v>
          </cell>
          <cell r="E2533">
            <v>60.1</v>
          </cell>
          <cell r="H2533">
            <v>52.25</v>
          </cell>
          <cell r="I2533">
            <v>67.56</v>
          </cell>
          <cell r="BS2533">
            <v>7.4600000000000009</v>
          </cell>
        </row>
        <row r="2534">
          <cell r="B2534">
            <v>43718</v>
          </cell>
          <cell r="D2534">
            <v>64.575000000000003</v>
          </cell>
          <cell r="E2534">
            <v>60.85</v>
          </cell>
          <cell r="H2534">
            <v>53.04</v>
          </cell>
          <cell r="I2534">
            <v>68.400000000000006</v>
          </cell>
          <cell r="BS2534">
            <v>7.5500000000000043</v>
          </cell>
        </row>
        <row r="2535">
          <cell r="B2535">
            <v>43719</v>
          </cell>
          <cell r="D2535">
            <v>63.07</v>
          </cell>
          <cell r="E2535">
            <v>60.85</v>
          </cell>
          <cell r="H2535">
            <v>53.04</v>
          </cell>
          <cell r="I2535">
            <v>69.89</v>
          </cell>
          <cell r="BS2535">
            <v>9.0399999999999991</v>
          </cell>
        </row>
        <row r="2536">
          <cell r="B2536">
            <v>43720</v>
          </cell>
          <cell r="D2536">
            <v>60.82</v>
          </cell>
          <cell r="E2536">
            <v>59.3</v>
          </cell>
          <cell r="H2536">
            <v>51.51</v>
          </cell>
          <cell r="I2536">
            <v>68.95</v>
          </cell>
          <cell r="BS2536">
            <v>9.6500000000000057</v>
          </cell>
        </row>
        <row r="2537">
          <cell r="B2537">
            <v>43721</v>
          </cell>
          <cell r="D2537">
            <v>61.09</v>
          </cell>
          <cell r="E2537">
            <v>58.33</v>
          </cell>
          <cell r="H2537">
            <v>50.68</v>
          </cell>
          <cell r="I2537">
            <v>67.94</v>
          </cell>
          <cell r="BS2537">
            <v>9.61</v>
          </cell>
        </row>
        <row r="2538">
          <cell r="B2538">
            <v>43724</v>
          </cell>
          <cell r="D2538">
            <v>68.194999999999993</v>
          </cell>
          <cell r="E2538">
            <v>63.854999999999997</v>
          </cell>
          <cell r="H2538">
            <v>56.59</v>
          </cell>
          <cell r="I2538">
            <v>74.319999999999993</v>
          </cell>
          <cell r="BS2538">
            <v>10.464999999999996</v>
          </cell>
        </row>
        <row r="2539">
          <cell r="B2539">
            <v>43725</v>
          </cell>
          <cell r="D2539">
            <v>65.685000000000002</v>
          </cell>
          <cell r="E2539">
            <v>67.55</v>
          </cell>
          <cell r="H2539">
            <v>63.31</v>
          </cell>
          <cell r="I2539">
            <v>78.33</v>
          </cell>
          <cell r="BS2539">
            <v>10.780000000000001</v>
          </cell>
        </row>
        <row r="2540">
          <cell r="B2540">
            <v>43726</v>
          </cell>
          <cell r="D2540">
            <v>64.25</v>
          </cell>
          <cell r="E2540">
            <v>63.32</v>
          </cell>
          <cell r="H2540">
            <v>58.05</v>
          </cell>
          <cell r="I2540">
            <v>72.760000000000005</v>
          </cell>
          <cell r="BS2540">
            <v>9.4400000000000048</v>
          </cell>
        </row>
        <row r="2541">
          <cell r="B2541">
            <v>43727</v>
          </cell>
          <cell r="D2541">
            <v>64.495000000000005</v>
          </cell>
          <cell r="E2541">
            <v>63.204999999999998</v>
          </cell>
          <cell r="H2541">
            <v>56.72</v>
          </cell>
          <cell r="I2541">
            <v>73.489999999999995</v>
          </cell>
          <cell r="BS2541">
            <v>10.284999999999997</v>
          </cell>
        </row>
        <row r="2542">
          <cell r="B2542">
            <v>43728</v>
          </cell>
          <cell r="D2542">
            <v>64.599999999999994</v>
          </cell>
          <cell r="E2542">
            <v>64.31</v>
          </cell>
          <cell r="H2542">
            <v>57.84</v>
          </cell>
          <cell r="I2542">
            <v>74.8</v>
          </cell>
          <cell r="BS2542">
            <v>10.489999999999995</v>
          </cell>
        </row>
        <row r="2543">
          <cell r="B2543">
            <v>43731</v>
          </cell>
          <cell r="D2543">
            <v>64.31</v>
          </cell>
          <cell r="E2543">
            <v>63.56</v>
          </cell>
          <cell r="H2543">
            <v>56.47</v>
          </cell>
          <cell r="I2543">
            <v>72.27</v>
          </cell>
          <cell r="BS2543">
            <v>8.7099999999999937</v>
          </cell>
        </row>
        <row r="2544">
          <cell r="B2544">
            <v>43732</v>
          </cell>
          <cell r="D2544">
            <v>64.03</v>
          </cell>
          <cell r="E2544">
            <v>63.44</v>
          </cell>
          <cell r="H2544">
            <v>56.18</v>
          </cell>
          <cell r="I2544">
            <v>71.760000000000005</v>
          </cell>
          <cell r="BS2544">
            <v>8.3200000000000074</v>
          </cell>
        </row>
        <row r="2545">
          <cell r="B2545">
            <v>43733</v>
          </cell>
          <cell r="D2545">
            <v>62.284999999999997</v>
          </cell>
          <cell r="E2545">
            <v>61.55</v>
          </cell>
          <cell r="H2545">
            <v>54.35</v>
          </cell>
          <cell r="I2545">
            <v>68.97</v>
          </cell>
          <cell r="BS2545">
            <v>7.4200000000000017</v>
          </cell>
        </row>
        <row r="2546">
          <cell r="B2546">
            <v>43734</v>
          </cell>
          <cell r="D2546">
            <v>62.145000000000003</v>
          </cell>
          <cell r="E2546">
            <v>61.75</v>
          </cell>
          <cell r="H2546">
            <v>55.27</v>
          </cell>
          <cell r="I2546">
            <v>68.67</v>
          </cell>
          <cell r="BS2546">
            <v>6.9200000000000017</v>
          </cell>
        </row>
        <row r="2547">
          <cell r="B2547">
            <v>43735</v>
          </cell>
          <cell r="D2547">
            <v>62.575000000000003</v>
          </cell>
          <cell r="E2547">
            <v>62.06</v>
          </cell>
          <cell r="H2547">
            <v>56.4</v>
          </cell>
          <cell r="I2547">
            <v>69.95</v>
          </cell>
          <cell r="BS2547">
            <v>7.8900000000000006</v>
          </cell>
        </row>
        <row r="2548">
          <cell r="B2548">
            <v>43738</v>
          </cell>
          <cell r="D2548">
            <v>60.91</v>
          </cell>
          <cell r="E2548">
            <v>60.9</v>
          </cell>
          <cell r="H2548">
            <v>55.63</v>
          </cell>
          <cell r="I2548">
            <v>68.709999999999994</v>
          </cell>
          <cell r="BS2548">
            <v>7.8099999999999952</v>
          </cell>
        </row>
        <row r="2549">
          <cell r="B2549">
            <v>43739</v>
          </cell>
          <cell r="D2549">
            <v>59.954999999999998</v>
          </cell>
          <cell r="E2549">
            <v>59.2</v>
          </cell>
          <cell r="H2549">
            <v>55.52</v>
          </cell>
          <cell r="I2549">
            <v>68.19</v>
          </cell>
          <cell r="BS2549">
            <v>8.9899999999999949</v>
          </cell>
        </row>
        <row r="2550">
          <cell r="B2550">
            <v>43740</v>
          </cell>
          <cell r="D2550">
            <v>58.05</v>
          </cell>
          <cell r="E2550">
            <v>58.65</v>
          </cell>
          <cell r="H2550">
            <v>55.74</v>
          </cell>
          <cell r="I2550">
            <v>67.88</v>
          </cell>
          <cell r="BS2550">
            <v>9.2299999999999969</v>
          </cell>
        </row>
        <row r="2551">
          <cell r="B2551">
            <v>43741</v>
          </cell>
          <cell r="D2551">
            <v>57.81</v>
          </cell>
          <cell r="E2551">
            <v>57.4</v>
          </cell>
          <cell r="H2551">
            <v>54.16</v>
          </cell>
          <cell r="I2551">
            <v>67.55</v>
          </cell>
          <cell r="BS2551">
            <v>10.149999999999999</v>
          </cell>
        </row>
        <row r="2552">
          <cell r="B2552">
            <v>43742</v>
          </cell>
          <cell r="D2552">
            <v>58.875</v>
          </cell>
          <cell r="E2552">
            <v>57.85</v>
          </cell>
          <cell r="H2552">
            <v>54.4</v>
          </cell>
          <cell r="I2552">
            <v>69.349999999999994</v>
          </cell>
          <cell r="BS2552">
            <v>11.499999999999993</v>
          </cell>
        </row>
        <row r="2553">
          <cell r="B2553">
            <v>43745</v>
          </cell>
          <cell r="D2553">
            <v>60</v>
          </cell>
          <cell r="E2553">
            <v>58.255000000000003</v>
          </cell>
          <cell r="H2553">
            <v>54.47</v>
          </cell>
          <cell r="I2553">
            <v>69.319999999999993</v>
          </cell>
          <cell r="BS2553">
            <v>11.064999999999991</v>
          </cell>
        </row>
        <row r="2554">
          <cell r="B2554">
            <v>43746</v>
          </cell>
          <cell r="D2554">
            <v>58.39</v>
          </cell>
          <cell r="E2554">
            <v>58.01</v>
          </cell>
          <cell r="H2554">
            <v>54.61</v>
          </cell>
          <cell r="I2554">
            <v>69.22</v>
          </cell>
          <cell r="BS2554">
            <v>11.21</v>
          </cell>
        </row>
        <row r="2555">
          <cell r="B2555">
            <v>43747</v>
          </cell>
          <cell r="D2555">
            <v>59.765000000000001</v>
          </cell>
          <cell r="E2555">
            <v>57.7</v>
          </cell>
          <cell r="H2555">
            <v>55.04</v>
          </cell>
          <cell r="I2555">
            <v>68.67</v>
          </cell>
          <cell r="BS2555">
            <v>10.969999999999999</v>
          </cell>
        </row>
        <row r="2556">
          <cell r="B2556">
            <v>43748</v>
          </cell>
          <cell r="D2556">
            <v>59.094999999999999</v>
          </cell>
          <cell r="E2556">
            <v>57.74</v>
          </cell>
          <cell r="H2556">
            <v>56.86</v>
          </cell>
          <cell r="I2556">
            <v>68.25</v>
          </cell>
          <cell r="BS2556">
            <v>10.509999999999998</v>
          </cell>
        </row>
        <row r="2557">
          <cell r="B2557">
            <v>43749</v>
          </cell>
          <cell r="D2557">
            <v>60.914999999999999</v>
          </cell>
          <cell r="E2557">
            <v>60.45</v>
          </cell>
          <cell r="H2557">
            <v>59.86</v>
          </cell>
          <cell r="I2557">
            <v>70.040000000000006</v>
          </cell>
          <cell r="BS2557">
            <v>9.5900000000000034</v>
          </cell>
        </row>
        <row r="2558">
          <cell r="B2558">
            <v>43752</v>
          </cell>
          <cell r="D2558">
            <v>59.09</v>
          </cell>
          <cell r="E2558">
            <v>60</v>
          </cell>
          <cell r="H2558">
            <v>59.73</v>
          </cell>
          <cell r="I2558">
            <v>69.36</v>
          </cell>
          <cell r="BS2558">
            <v>9.36</v>
          </cell>
        </row>
        <row r="2559">
          <cell r="B2559">
            <v>43753</v>
          </cell>
          <cell r="D2559">
            <v>59.42</v>
          </cell>
          <cell r="E2559">
            <v>59.45</v>
          </cell>
          <cell r="H2559">
            <v>58.66</v>
          </cell>
          <cell r="I2559">
            <v>68.790000000000006</v>
          </cell>
          <cell r="BS2559">
            <v>9.3400000000000034</v>
          </cell>
        </row>
        <row r="2560">
          <cell r="B2560">
            <v>43754</v>
          </cell>
          <cell r="D2560">
            <v>59.45</v>
          </cell>
          <cell r="E2560">
            <v>58.755000000000003</v>
          </cell>
          <cell r="H2560">
            <v>57.66</v>
          </cell>
          <cell r="I2560">
            <v>68.39</v>
          </cell>
          <cell r="BS2560">
            <v>9.634999999999998</v>
          </cell>
        </row>
        <row r="2561">
          <cell r="B2561">
            <v>43755</v>
          </cell>
          <cell r="D2561">
            <v>58.98</v>
          </cell>
          <cell r="E2561">
            <v>59.21</v>
          </cell>
          <cell r="H2561">
            <v>56.92</v>
          </cell>
          <cell r="I2561">
            <v>67.91</v>
          </cell>
          <cell r="BS2561">
            <v>8.6999999999999957</v>
          </cell>
        </row>
        <row r="2562">
          <cell r="B2562">
            <v>43756</v>
          </cell>
          <cell r="D2562">
            <v>59.765000000000001</v>
          </cell>
          <cell r="E2562">
            <v>59.71</v>
          </cell>
          <cell r="H2562">
            <v>56.92</v>
          </cell>
          <cell r="I2562">
            <v>67.89</v>
          </cell>
          <cell r="BS2562">
            <v>8.18</v>
          </cell>
        </row>
        <row r="2563">
          <cell r="B2563">
            <v>43759</v>
          </cell>
          <cell r="D2563">
            <v>58.854999999999997</v>
          </cell>
          <cell r="E2563">
            <v>59.41</v>
          </cell>
          <cell r="H2563">
            <v>55.95</v>
          </cell>
          <cell r="I2563">
            <v>67.849999999999994</v>
          </cell>
          <cell r="BS2563">
            <v>8.4399999999999977</v>
          </cell>
        </row>
        <row r="2564">
          <cell r="B2564">
            <v>43760</v>
          </cell>
          <cell r="D2564">
            <v>60.325000000000003</v>
          </cell>
          <cell r="E2564">
            <v>58.9</v>
          </cell>
          <cell r="H2564">
            <v>56.64</v>
          </cell>
          <cell r="I2564">
            <v>66.37</v>
          </cell>
          <cell r="BS2564">
            <v>7.470000000000006</v>
          </cell>
        </row>
        <row r="2565">
          <cell r="B2565">
            <v>43761</v>
          </cell>
          <cell r="D2565">
            <v>60.43</v>
          </cell>
          <cell r="E2565">
            <v>59.61</v>
          </cell>
          <cell r="H2565">
            <v>57.22</v>
          </cell>
          <cell r="I2565">
            <v>66.08</v>
          </cell>
          <cell r="BS2565">
            <v>6.4699999999999989</v>
          </cell>
        </row>
        <row r="2566">
          <cell r="B2566">
            <v>43762</v>
          </cell>
          <cell r="D2566">
            <v>61.59</v>
          </cell>
          <cell r="E2566">
            <v>61.01</v>
          </cell>
          <cell r="H2566">
            <v>57.94</v>
          </cell>
          <cell r="I2566">
            <v>67.36</v>
          </cell>
          <cell r="BS2566">
            <v>6.3500000000000014</v>
          </cell>
        </row>
        <row r="2567">
          <cell r="B2567">
            <v>43763</v>
          </cell>
          <cell r="D2567">
            <v>61.88</v>
          </cell>
          <cell r="E2567">
            <v>61.45</v>
          </cell>
          <cell r="H2567">
            <v>57.79</v>
          </cell>
          <cell r="I2567">
            <v>68.709999999999994</v>
          </cell>
          <cell r="BS2567">
            <v>7.2599999999999909</v>
          </cell>
        </row>
        <row r="2568">
          <cell r="B2568">
            <v>43766</v>
          </cell>
          <cell r="D2568">
            <v>60.524999999999999</v>
          </cell>
          <cell r="E2568" t="str">
            <v/>
          </cell>
          <cell r="H2568">
            <v>0</v>
          </cell>
          <cell r="I2568">
            <v>0</v>
          </cell>
          <cell r="BS2568" t="e">
            <v>#N/A</v>
          </cell>
        </row>
        <row r="2569">
          <cell r="B2569">
            <v>43767</v>
          </cell>
          <cell r="D2569">
            <v>61.094999999999999</v>
          </cell>
          <cell r="E2569">
            <v>60.99</v>
          </cell>
          <cell r="H2569">
            <v>57.62</v>
          </cell>
          <cell r="I2569">
            <v>67.25</v>
          </cell>
          <cell r="BS2569">
            <v>6.259999999999998</v>
          </cell>
        </row>
        <row r="2570">
          <cell r="B2570">
            <v>43768</v>
          </cell>
          <cell r="D2570">
            <v>60.104999999999997</v>
          </cell>
          <cell r="E2570">
            <v>61.31</v>
          </cell>
          <cell r="H2570">
            <v>57.95</v>
          </cell>
          <cell r="I2570">
            <v>67.72</v>
          </cell>
          <cell r="BS2570">
            <v>6.4099999999999966</v>
          </cell>
        </row>
        <row r="2571">
          <cell r="B2571">
            <v>43769</v>
          </cell>
          <cell r="D2571">
            <v>59.22</v>
          </cell>
          <cell r="E2571">
            <v>61.05</v>
          </cell>
          <cell r="H2571">
            <v>58.31</v>
          </cell>
          <cell r="I2571">
            <v>67.010000000000005</v>
          </cell>
          <cell r="BS2571">
            <v>5.960000000000008</v>
          </cell>
        </row>
        <row r="2572">
          <cell r="B2572">
            <v>43770</v>
          </cell>
          <cell r="D2572">
            <v>60.34</v>
          </cell>
          <cell r="E2572">
            <v>58.7</v>
          </cell>
          <cell r="H2572">
            <v>57.37</v>
          </cell>
          <cell r="I2572">
            <v>66.540000000000006</v>
          </cell>
          <cell r="BS2572">
            <v>7.8400000000000034</v>
          </cell>
        </row>
        <row r="2573">
          <cell r="B2573">
            <v>43773</v>
          </cell>
          <cell r="D2573">
            <v>62.515000000000001</v>
          </cell>
          <cell r="E2573">
            <v>60.7</v>
          </cell>
          <cell r="H2573">
            <v>59.27</v>
          </cell>
          <cell r="I2573">
            <v>68.38</v>
          </cell>
          <cell r="BS2573">
            <v>7.6799999999999926</v>
          </cell>
        </row>
        <row r="2574">
          <cell r="B2574">
            <v>43774</v>
          </cell>
          <cell r="D2574">
            <v>62.664999999999999</v>
          </cell>
          <cell r="E2574">
            <v>61.31</v>
          </cell>
          <cell r="H2574">
            <v>58.85</v>
          </cell>
          <cell r="I2574">
            <v>69.849999999999994</v>
          </cell>
          <cell r="BS2574">
            <v>8.539999999999992</v>
          </cell>
        </row>
        <row r="2575">
          <cell r="B2575">
            <v>43775</v>
          </cell>
          <cell r="D2575">
            <v>62.1</v>
          </cell>
          <cell r="E2575">
            <v>61.52</v>
          </cell>
          <cell r="H2575">
            <v>57.71</v>
          </cell>
          <cell r="I2575">
            <v>70.28</v>
          </cell>
          <cell r="BS2575">
            <v>8.759999999999998</v>
          </cell>
        </row>
        <row r="2576">
          <cell r="B2576">
            <v>43776</v>
          </cell>
          <cell r="D2576">
            <v>62.53</v>
          </cell>
          <cell r="E2576">
            <v>61.15</v>
          </cell>
          <cell r="H2576">
            <v>56.46</v>
          </cell>
          <cell r="I2576">
            <v>71.03</v>
          </cell>
          <cell r="BS2576">
            <v>9.8800000000000026</v>
          </cell>
        </row>
        <row r="2577">
          <cell r="B2577">
            <v>43777</v>
          </cell>
          <cell r="D2577">
            <v>61.67</v>
          </cell>
          <cell r="E2577">
            <v>60.85</v>
          </cell>
          <cell r="H2577">
            <v>57.05</v>
          </cell>
          <cell r="I2577">
            <v>71.67</v>
          </cell>
          <cell r="BS2577">
            <v>10.82</v>
          </cell>
        </row>
        <row r="2578">
          <cell r="B2578">
            <v>43780</v>
          </cell>
          <cell r="D2578">
            <v>62.344999999999999</v>
          </cell>
          <cell r="E2578">
            <v>61.12</v>
          </cell>
          <cell r="H2578">
            <v>57.22</v>
          </cell>
          <cell r="I2578">
            <v>72.31</v>
          </cell>
          <cell r="BS2578">
            <v>11.190000000000005</v>
          </cell>
        </row>
        <row r="2579">
          <cell r="B2579">
            <v>43781</v>
          </cell>
          <cell r="D2579">
            <v>62.31</v>
          </cell>
          <cell r="E2579">
            <v>62.11</v>
          </cell>
          <cell r="H2579">
            <v>57.84</v>
          </cell>
          <cell r="I2579">
            <v>72.98</v>
          </cell>
          <cell r="BS2579">
            <v>10.870000000000005</v>
          </cell>
        </row>
        <row r="2580">
          <cell r="B2580">
            <v>43782</v>
          </cell>
          <cell r="D2580">
            <v>62.22</v>
          </cell>
          <cell r="E2580">
            <v>61.45</v>
          </cell>
          <cell r="H2580">
            <v>57.23</v>
          </cell>
          <cell r="I2580">
            <v>72.12</v>
          </cell>
          <cell r="BS2580">
            <v>10.670000000000002</v>
          </cell>
        </row>
        <row r="2581">
          <cell r="B2581">
            <v>43783</v>
          </cell>
          <cell r="D2581">
            <v>62.4</v>
          </cell>
          <cell r="E2581">
            <v>62.51</v>
          </cell>
          <cell r="H2581">
            <v>59.03</v>
          </cell>
          <cell r="I2581">
            <v>72.13</v>
          </cell>
          <cell r="BS2581">
            <v>9.6199999999999974</v>
          </cell>
        </row>
        <row r="2582">
          <cell r="B2582">
            <v>43784</v>
          </cell>
          <cell r="D2582">
            <v>63.185000000000002</v>
          </cell>
          <cell r="E2582">
            <v>61.91</v>
          </cell>
          <cell r="H2582">
            <v>59.12</v>
          </cell>
          <cell r="I2582">
            <v>72.27</v>
          </cell>
          <cell r="BS2582">
            <v>10.36</v>
          </cell>
        </row>
        <row r="2583">
          <cell r="B2583">
            <v>43787</v>
          </cell>
          <cell r="D2583">
            <v>62.405000000000001</v>
          </cell>
          <cell r="E2583">
            <v>62.8</v>
          </cell>
          <cell r="H2583">
            <v>59.46</v>
          </cell>
          <cell r="I2583">
            <v>71.849999999999994</v>
          </cell>
          <cell r="BS2583">
            <v>9.0499999999999972</v>
          </cell>
        </row>
        <row r="2584">
          <cell r="B2584">
            <v>43788</v>
          </cell>
          <cell r="D2584">
            <v>62.024999999999999</v>
          </cell>
          <cell r="E2584">
            <v>61.81</v>
          </cell>
          <cell r="H2584">
            <v>58.77</v>
          </cell>
          <cell r="I2584">
            <v>71.47</v>
          </cell>
          <cell r="BS2584">
            <v>9.6599999999999966</v>
          </cell>
        </row>
        <row r="2585">
          <cell r="B2585">
            <v>43789</v>
          </cell>
          <cell r="D2585">
            <v>63.51</v>
          </cell>
          <cell r="E2585">
            <v>60.41</v>
          </cell>
          <cell r="H2585">
            <v>57.83</v>
          </cell>
          <cell r="I2585">
            <v>69.819999999999993</v>
          </cell>
          <cell r="BS2585">
            <v>9.4099999999999966</v>
          </cell>
        </row>
        <row r="2586">
          <cell r="B2586">
            <v>43790</v>
          </cell>
          <cell r="D2586">
            <v>64.415000000000006</v>
          </cell>
          <cell r="E2586">
            <v>62.1</v>
          </cell>
          <cell r="H2586">
            <v>59.43</v>
          </cell>
          <cell r="I2586">
            <v>71.61</v>
          </cell>
          <cell r="BS2586">
            <v>9.509999999999998</v>
          </cell>
        </row>
        <row r="2587">
          <cell r="B2587">
            <v>43791</v>
          </cell>
          <cell r="D2587">
            <v>64.364999999999995</v>
          </cell>
          <cell r="E2587">
            <v>63.75</v>
          </cell>
          <cell r="H2587">
            <v>61.29</v>
          </cell>
          <cell r="I2587">
            <v>72.459999999999994</v>
          </cell>
          <cell r="BS2587">
            <v>8.7099999999999937</v>
          </cell>
        </row>
        <row r="2588">
          <cell r="B2588">
            <v>43794</v>
          </cell>
          <cell r="D2588">
            <v>64.575000000000003</v>
          </cell>
          <cell r="E2588">
            <v>63.4</v>
          </cell>
          <cell r="H2588">
            <v>61.43</v>
          </cell>
          <cell r="I2588">
            <v>72.02</v>
          </cell>
          <cell r="BS2588">
            <v>8.6199999999999974</v>
          </cell>
        </row>
        <row r="2589">
          <cell r="B2589">
            <v>43795</v>
          </cell>
          <cell r="D2589">
            <v>65.010000000000005</v>
          </cell>
          <cell r="E2589">
            <v>63.06</v>
          </cell>
          <cell r="H2589">
            <v>62.18</v>
          </cell>
          <cell r="I2589">
            <v>72.150000000000006</v>
          </cell>
          <cell r="BS2589">
            <v>9.0900000000000034</v>
          </cell>
        </row>
        <row r="2590">
          <cell r="B2590">
            <v>43796</v>
          </cell>
          <cell r="D2590">
            <v>64.974999999999994</v>
          </cell>
          <cell r="E2590">
            <v>63.64</v>
          </cell>
          <cell r="H2590">
            <v>63.56</v>
          </cell>
          <cell r="I2590">
            <v>73.010000000000005</v>
          </cell>
          <cell r="BS2590">
            <v>9.3700000000000045</v>
          </cell>
        </row>
        <row r="2591">
          <cell r="B2591">
            <v>43797</v>
          </cell>
          <cell r="D2591">
            <v>64.795000000000002</v>
          </cell>
          <cell r="E2591">
            <v>63.31</v>
          </cell>
          <cell r="H2591">
            <v>63.28</v>
          </cell>
          <cell r="I2591">
            <v>71.239999999999995</v>
          </cell>
          <cell r="BS2591">
            <v>7.9299999999999926</v>
          </cell>
        </row>
        <row r="2592">
          <cell r="B2592">
            <v>43798</v>
          </cell>
          <cell r="D2592">
            <v>62.98</v>
          </cell>
          <cell r="E2592">
            <v>63.85</v>
          </cell>
          <cell r="H2592">
            <v>64.44</v>
          </cell>
          <cell r="I2592">
            <v>72.709999999999994</v>
          </cell>
          <cell r="BS2592">
            <v>8.8599999999999923</v>
          </cell>
        </row>
        <row r="2593">
          <cell r="B2593">
            <v>43801</v>
          </cell>
          <cell r="D2593">
            <v>63.575000000000003</v>
          </cell>
          <cell r="E2593">
            <v>60.8</v>
          </cell>
          <cell r="H2593">
            <v>62.43</v>
          </cell>
          <cell r="I2593">
            <v>70.17</v>
          </cell>
          <cell r="BS2593">
            <v>9.3700000000000045</v>
          </cell>
        </row>
        <row r="2594">
          <cell r="B2594">
            <v>43802</v>
          </cell>
          <cell r="D2594">
            <v>63.3</v>
          </cell>
          <cell r="E2594">
            <v>61.005000000000003</v>
          </cell>
          <cell r="H2594">
            <v>61.83</v>
          </cell>
          <cell r="I2594">
            <v>69.540000000000006</v>
          </cell>
          <cell r="BS2594">
            <v>8.5350000000000037</v>
          </cell>
        </row>
        <row r="2595">
          <cell r="B2595">
            <v>43803</v>
          </cell>
          <cell r="D2595">
            <v>65.41</v>
          </cell>
          <cell r="E2595">
            <v>61.094999999999999</v>
          </cell>
          <cell r="H2595">
            <v>60.91</v>
          </cell>
          <cell r="I2595">
            <v>69.39</v>
          </cell>
          <cell r="BS2595">
            <v>8.2950000000000017</v>
          </cell>
        </row>
        <row r="2596">
          <cell r="B2596">
            <v>43804</v>
          </cell>
          <cell r="D2596">
            <v>66.11</v>
          </cell>
          <cell r="E2596">
            <v>62.704999999999998</v>
          </cell>
          <cell r="H2596">
            <v>62.68</v>
          </cell>
          <cell r="I2596">
            <v>71.319999999999993</v>
          </cell>
          <cell r="BS2596">
            <v>8.6149999999999949</v>
          </cell>
        </row>
        <row r="2597">
          <cell r="B2597">
            <v>43805</v>
          </cell>
          <cell r="D2597">
            <v>66.894999999999996</v>
          </cell>
          <cell r="E2597">
            <v>63.01</v>
          </cell>
          <cell r="H2597">
            <v>62.83</v>
          </cell>
          <cell r="I2597">
            <v>72.52</v>
          </cell>
          <cell r="BS2597">
            <v>9.509999999999998</v>
          </cell>
        </row>
        <row r="2598">
          <cell r="B2598">
            <v>43808</v>
          </cell>
          <cell r="D2598">
            <v>66.875</v>
          </cell>
          <cell r="E2598">
            <v>63.7</v>
          </cell>
          <cell r="H2598">
            <v>64.19</v>
          </cell>
          <cell r="I2598">
            <v>71.930000000000007</v>
          </cell>
          <cell r="BS2598">
            <v>8.230000000000004</v>
          </cell>
        </row>
        <row r="2599">
          <cell r="B2599">
            <v>43809</v>
          </cell>
          <cell r="D2599">
            <v>66.56</v>
          </cell>
          <cell r="E2599">
            <v>63.81</v>
          </cell>
          <cell r="H2599">
            <v>64.41</v>
          </cell>
          <cell r="I2599">
            <v>70.72</v>
          </cell>
          <cell r="BS2599">
            <v>6.9099999999999966</v>
          </cell>
        </row>
        <row r="2600">
          <cell r="B2600">
            <v>43810</v>
          </cell>
          <cell r="D2600">
            <v>65.444999999999993</v>
          </cell>
          <cell r="E2600">
            <v>63.74</v>
          </cell>
          <cell r="H2600">
            <v>64.150000000000006</v>
          </cell>
          <cell r="I2600">
            <v>70.849999999999994</v>
          </cell>
          <cell r="BS2600">
            <v>7.1099999999999923</v>
          </cell>
        </row>
        <row r="2601">
          <cell r="B2601">
            <v>43811</v>
          </cell>
          <cell r="D2601">
            <v>66.84</v>
          </cell>
          <cell r="E2601">
            <v>63.96</v>
          </cell>
          <cell r="H2601">
            <v>64.400000000000006</v>
          </cell>
          <cell r="I2601">
            <v>69.88</v>
          </cell>
          <cell r="BS2601">
            <v>5.9199999999999946</v>
          </cell>
        </row>
        <row r="2602">
          <cell r="B2602">
            <v>43812</v>
          </cell>
          <cell r="D2602">
            <v>67.69</v>
          </cell>
          <cell r="E2602">
            <v>64.94</v>
          </cell>
          <cell r="H2602">
            <v>64.47</v>
          </cell>
          <cell r="I2602">
            <v>70.290000000000006</v>
          </cell>
          <cell r="BS2602">
            <v>5.3500000000000085</v>
          </cell>
        </row>
        <row r="2603">
          <cell r="B2603">
            <v>43815</v>
          </cell>
          <cell r="D2603">
            <v>67.954999999999998</v>
          </cell>
          <cell r="E2603">
            <v>65.495000000000005</v>
          </cell>
          <cell r="H2603">
            <v>65.11</v>
          </cell>
          <cell r="I2603">
            <v>70.23</v>
          </cell>
          <cell r="BS2603">
            <v>4.7349999999999994</v>
          </cell>
        </row>
        <row r="2604">
          <cell r="B2604">
            <v>43816</v>
          </cell>
          <cell r="D2604">
            <v>68.36</v>
          </cell>
          <cell r="E2604">
            <v>65.64</v>
          </cell>
          <cell r="H2604">
            <v>64.5</v>
          </cell>
          <cell r="I2604">
            <v>69.900000000000006</v>
          </cell>
          <cell r="BS2604">
            <v>4.2600000000000051</v>
          </cell>
        </row>
        <row r="2605">
          <cell r="B2605">
            <v>43817</v>
          </cell>
          <cell r="D2605">
            <v>68.564999999999998</v>
          </cell>
          <cell r="E2605">
            <v>66.099999999999994</v>
          </cell>
          <cell r="H2605">
            <v>63.42</v>
          </cell>
          <cell r="I2605">
            <v>70.150000000000006</v>
          </cell>
          <cell r="BS2605">
            <v>4.0500000000000114</v>
          </cell>
        </row>
        <row r="2606">
          <cell r="B2606">
            <v>43818</v>
          </cell>
          <cell r="D2606">
            <v>68.47</v>
          </cell>
          <cell r="E2606">
            <v>66.459999999999994</v>
          </cell>
          <cell r="H2606">
            <v>62.54</v>
          </cell>
          <cell r="I2606">
            <v>70.75</v>
          </cell>
          <cell r="BS2606">
            <v>4.2900000000000063</v>
          </cell>
        </row>
        <row r="2607">
          <cell r="B2607">
            <v>43819</v>
          </cell>
          <cell r="D2607">
            <v>67.474999999999994</v>
          </cell>
          <cell r="E2607">
            <v>66.905000000000001</v>
          </cell>
          <cell r="H2607">
            <v>62.99</v>
          </cell>
          <cell r="I2607">
            <v>72.23</v>
          </cell>
          <cell r="BS2607">
            <v>5.3250000000000028</v>
          </cell>
        </row>
        <row r="2608">
          <cell r="B2608">
            <v>43822</v>
          </cell>
          <cell r="D2608">
            <v>67.834999999999994</v>
          </cell>
          <cell r="E2608">
            <v>66.150000000000006</v>
          </cell>
          <cell r="H2608">
            <v>62.23</v>
          </cell>
          <cell r="I2608">
            <v>71.650000000000006</v>
          </cell>
          <cell r="BS2608">
            <v>5.5</v>
          </cell>
        </row>
        <row r="2609">
          <cell r="B2609">
            <v>43823</v>
          </cell>
          <cell r="D2609">
            <v>68.63</v>
          </cell>
          <cell r="E2609">
            <v>66.739999999999995</v>
          </cell>
          <cell r="H2609">
            <v>63.62</v>
          </cell>
          <cell r="I2609">
            <v>72.84</v>
          </cell>
          <cell r="BS2609">
            <v>6.1000000000000085</v>
          </cell>
        </row>
        <row r="2610">
          <cell r="B2610">
            <v>43824</v>
          </cell>
          <cell r="D2610" t="str">
            <v/>
          </cell>
          <cell r="E2610" t="str">
            <v/>
          </cell>
          <cell r="H2610">
            <v>0</v>
          </cell>
          <cell r="I2610">
            <v>0</v>
          </cell>
          <cell r="BS2610" t="e">
            <v>#N/A</v>
          </cell>
        </row>
        <row r="2611">
          <cell r="B2611">
            <v>43825</v>
          </cell>
          <cell r="D2611" t="str">
            <v/>
          </cell>
          <cell r="E2611">
            <v>67.45</v>
          </cell>
          <cell r="H2611">
            <v>64.02</v>
          </cell>
          <cell r="I2611">
            <v>73.040000000000006</v>
          </cell>
          <cell r="BS2611">
            <v>5.5900000000000034</v>
          </cell>
        </row>
        <row r="2612">
          <cell r="B2612">
            <v>43826</v>
          </cell>
          <cell r="D2612">
            <v>69.364999999999995</v>
          </cell>
          <cell r="E2612">
            <v>67.900000000000006</v>
          </cell>
          <cell r="H2612">
            <v>65.099999999999994</v>
          </cell>
          <cell r="I2612">
            <v>74.069999999999993</v>
          </cell>
          <cell r="BS2612">
            <v>6.1699999999999875</v>
          </cell>
        </row>
        <row r="2613">
          <cell r="B2613">
            <v>43829</v>
          </cell>
          <cell r="D2613">
            <v>68.37</v>
          </cell>
          <cell r="E2613">
            <v>67.8</v>
          </cell>
          <cell r="H2613">
            <v>63.87</v>
          </cell>
          <cell r="I2613">
            <v>73.400000000000006</v>
          </cell>
          <cell r="BS2613">
            <v>5.6000000000000085</v>
          </cell>
        </row>
        <row r="2614">
          <cell r="B2614">
            <v>43830</v>
          </cell>
          <cell r="D2614">
            <v>66.765000000000001</v>
          </cell>
          <cell r="E2614">
            <v>67.254999999999995</v>
          </cell>
          <cell r="H2614">
            <v>63.01</v>
          </cell>
          <cell r="I2614">
            <v>72.290000000000006</v>
          </cell>
          <cell r="BS2614">
            <v>5.0350000000000108</v>
          </cell>
        </row>
        <row r="2615">
          <cell r="B2615">
            <v>43831</v>
          </cell>
          <cell r="D2615" t="str">
            <v/>
          </cell>
          <cell r="E2615" t="str">
            <v/>
          </cell>
          <cell r="H2615">
            <v>0</v>
          </cell>
          <cell r="I2615">
            <v>0</v>
          </cell>
          <cell r="BS2615" t="e">
            <v>#N/A</v>
          </cell>
        </row>
        <row r="2616">
          <cell r="B2616">
            <v>43832</v>
          </cell>
          <cell r="D2616">
            <v>66.09</v>
          </cell>
          <cell r="E2616">
            <v>65.66</v>
          </cell>
          <cell r="H2616">
            <v>62.94</v>
          </cell>
          <cell r="I2616">
            <v>71.42</v>
          </cell>
          <cell r="BS2616">
            <v>5.7600000000000051</v>
          </cell>
        </row>
        <row r="2617">
          <cell r="B2617">
            <v>43833</v>
          </cell>
          <cell r="D2617">
            <v>68.34</v>
          </cell>
          <cell r="E2617">
            <v>67.81</v>
          </cell>
          <cell r="H2617">
            <v>64.25</v>
          </cell>
          <cell r="I2617">
            <v>73.7</v>
          </cell>
          <cell r="BS2617">
            <v>5.8900000000000006</v>
          </cell>
        </row>
        <row r="2618">
          <cell r="B2618">
            <v>43836</v>
          </cell>
          <cell r="D2618">
            <v>69.959999999999994</v>
          </cell>
          <cell r="E2618">
            <v>69.599999999999994</v>
          </cell>
          <cell r="H2618">
            <v>63.75</v>
          </cell>
          <cell r="I2618">
            <v>74.97</v>
          </cell>
          <cell r="BS2618">
            <v>5.3700000000000045</v>
          </cell>
        </row>
        <row r="2619">
          <cell r="B2619">
            <v>43837</v>
          </cell>
          <cell r="D2619">
            <v>68.784999999999997</v>
          </cell>
          <cell r="E2619">
            <v>68.3</v>
          </cell>
          <cell r="H2619">
            <v>63.02</v>
          </cell>
          <cell r="I2619">
            <v>73.5</v>
          </cell>
          <cell r="BS2619">
            <v>5.2000000000000028</v>
          </cell>
        </row>
        <row r="2620">
          <cell r="B2620">
            <v>43838</v>
          </cell>
          <cell r="D2620">
            <v>67.510000000000005</v>
          </cell>
          <cell r="E2620">
            <v>69.260000000000005</v>
          </cell>
          <cell r="H2620">
            <v>63.53</v>
          </cell>
          <cell r="I2620">
            <v>72.900000000000006</v>
          </cell>
          <cell r="BS2620">
            <v>3.6400000000000006</v>
          </cell>
        </row>
        <row r="2621">
          <cell r="B2621">
            <v>43839</v>
          </cell>
          <cell r="D2621">
            <v>66.385000000000005</v>
          </cell>
          <cell r="E2621">
            <v>66.209999999999994</v>
          </cell>
          <cell r="H2621">
            <v>61.39</v>
          </cell>
          <cell r="I2621">
            <v>69.790000000000006</v>
          </cell>
          <cell r="BS2621">
            <v>3.5800000000000125</v>
          </cell>
        </row>
        <row r="2622">
          <cell r="B2622">
            <v>43840</v>
          </cell>
          <cell r="D2622">
            <v>66.424999999999997</v>
          </cell>
          <cell r="E2622">
            <v>65.900000000000006</v>
          </cell>
          <cell r="H2622">
            <v>61.31</v>
          </cell>
          <cell r="I2622">
            <v>70.930000000000007</v>
          </cell>
          <cell r="BS2622">
            <v>5.0300000000000011</v>
          </cell>
        </row>
        <row r="2623">
          <cell r="B2623">
            <v>43843</v>
          </cell>
          <cell r="D2623">
            <v>64.155000000000001</v>
          </cell>
          <cell r="E2623">
            <v>65.650000000000006</v>
          </cell>
          <cell r="H2623">
            <v>61.89</v>
          </cell>
          <cell r="I2623">
            <v>70.599999999999994</v>
          </cell>
          <cell r="BS2623">
            <v>4.9499999999999886</v>
          </cell>
        </row>
        <row r="2624">
          <cell r="B2624">
            <v>43844</v>
          </cell>
          <cell r="D2624">
            <v>64.534999999999997</v>
          </cell>
          <cell r="E2624">
            <v>64.75</v>
          </cell>
          <cell r="H2624">
            <v>61.98</v>
          </cell>
          <cell r="I2624">
            <v>69.88</v>
          </cell>
          <cell r="BS2624">
            <v>5.1299999999999955</v>
          </cell>
        </row>
        <row r="2625">
          <cell r="B2625">
            <v>43845</v>
          </cell>
          <cell r="D2625">
            <v>63.43</v>
          </cell>
          <cell r="E2625">
            <v>64.59</v>
          </cell>
          <cell r="H2625">
            <v>62.38</v>
          </cell>
          <cell r="I2625">
            <v>69.400000000000006</v>
          </cell>
          <cell r="BS2625">
            <v>4.8100000000000023</v>
          </cell>
        </row>
        <row r="2626">
          <cell r="B2626">
            <v>43846</v>
          </cell>
          <cell r="D2626">
            <v>64.349999999999994</v>
          </cell>
          <cell r="E2626">
            <v>64.709999999999994</v>
          </cell>
          <cell r="H2626">
            <v>62.21</v>
          </cell>
          <cell r="I2626">
            <v>68.900000000000006</v>
          </cell>
          <cell r="BS2626">
            <v>4.1900000000000119</v>
          </cell>
        </row>
        <row r="2627">
          <cell r="B2627">
            <v>43847</v>
          </cell>
          <cell r="D2627">
            <v>63.914999999999999</v>
          </cell>
          <cell r="E2627">
            <v>64.855000000000004</v>
          </cell>
          <cell r="H2627">
            <v>62.53</v>
          </cell>
          <cell r="I2627">
            <v>69.73</v>
          </cell>
          <cell r="BS2627">
            <v>4.875</v>
          </cell>
        </row>
        <row r="2628">
          <cell r="B2628">
            <v>43850</v>
          </cell>
          <cell r="D2628">
            <v>64.42</v>
          </cell>
          <cell r="E2628">
            <v>65.209999999999994</v>
          </cell>
          <cell r="H2628">
            <v>62.23</v>
          </cell>
          <cell r="I2628">
            <v>69.959999999999994</v>
          </cell>
          <cell r="BS2628">
            <v>4.75</v>
          </cell>
        </row>
        <row r="2629">
          <cell r="B2629">
            <v>43851</v>
          </cell>
          <cell r="D2629">
            <v>63.92</v>
          </cell>
          <cell r="E2629">
            <v>64.25</v>
          </cell>
          <cell r="H2629">
            <v>60.81</v>
          </cell>
          <cell r="I2629">
            <v>68.63</v>
          </cell>
          <cell r="BS2629">
            <v>4.3799999999999955</v>
          </cell>
        </row>
        <row r="2630">
          <cell r="B2630">
            <v>43852</v>
          </cell>
          <cell r="D2630">
            <v>62.3</v>
          </cell>
          <cell r="E2630">
            <v>64.25</v>
          </cell>
          <cell r="H2630">
            <v>60.79</v>
          </cell>
          <cell r="I2630">
            <v>69.040000000000006</v>
          </cell>
          <cell r="BS2630">
            <v>4.7900000000000063</v>
          </cell>
        </row>
        <row r="2631">
          <cell r="B2631">
            <v>43853</v>
          </cell>
          <cell r="D2631">
            <v>61.265000000000001</v>
          </cell>
          <cell r="E2631">
            <v>62.75</v>
          </cell>
          <cell r="H2631">
            <v>58.46</v>
          </cell>
          <cell r="I2631">
            <v>67.099999999999994</v>
          </cell>
          <cell r="BS2631">
            <v>4.3499999999999943</v>
          </cell>
        </row>
        <row r="2632">
          <cell r="B2632">
            <v>43854</v>
          </cell>
          <cell r="D2632">
            <v>59.83</v>
          </cell>
          <cell r="E2632">
            <v>62.2</v>
          </cell>
          <cell r="H2632">
            <v>58.46</v>
          </cell>
          <cell r="I2632">
            <v>67.239999999999995</v>
          </cell>
          <cell r="BS2632">
            <v>5.039999999999992</v>
          </cell>
        </row>
        <row r="2633">
          <cell r="B2633">
            <v>43857</v>
          </cell>
          <cell r="D2633">
            <v>58.35</v>
          </cell>
          <cell r="E2633" t="str">
            <v/>
          </cell>
          <cell r="H2633">
            <v>0</v>
          </cell>
          <cell r="I2633">
            <v>0</v>
          </cell>
          <cell r="BS2633" t="e">
            <v>#N/A</v>
          </cell>
        </row>
        <row r="2634">
          <cell r="B2634">
            <v>43858</v>
          </cell>
          <cell r="D2634">
            <v>59.274999999999999</v>
          </cell>
          <cell r="E2634">
            <v>58.55</v>
          </cell>
          <cell r="H2634">
            <v>55.25</v>
          </cell>
          <cell r="I2634">
            <v>62.02</v>
          </cell>
          <cell r="BS2634">
            <v>3.470000000000006</v>
          </cell>
        </row>
        <row r="2635">
          <cell r="B2635">
            <v>43859</v>
          </cell>
          <cell r="D2635">
            <v>59.43</v>
          </cell>
          <cell r="E2635">
            <v>59.34</v>
          </cell>
          <cell r="H2635">
            <v>57.39</v>
          </cell>
          <cell r="I2635">
            <v>64.040000000000006</v>
          </cell>
          <cell r="BS2635">
            <v>4.7000000000000028</v>
          </cell>
        </row>
        <row r="2636">
          <cell r="B2636">
            <v>43860</v>
          </cell>
          <cell r="D2636">
            <v>57.765000000000001</v>
          </cell>
          <cell r="E2636">
            <v>57.71</v>
          </cell>
          <cell r="H2636">
            <v>57.01</v>
          </cell>
          <cell r="I2636">
            <v>63.29</v>
          </cell>
          <cell r="BS2636">
            <v>5.5799999999999983</v>
          </cell>
        </row>
        <row r="2637">
          <cell r="B2637">
            <v>43861</v>
          </cell>
          <cell r="D2637">
            <v>56.67</v>
          </cell>
          <cell r="E2637">
            <v>58.46</v>
          </cell>
          <cell r="H2637">
            <v>56.78</v>
          </cell>
          <cell r="I2637">
            <v>64.28</v>
          </cell>
          <cell r="BS2637">
            <v>5.82</v>
          </cell>
        </row>
        <row r="2638">
          <cell r="B2638">
            <v>43864</v>
          </cell>
          <cell r="D2638">
            <v>53.52</v>
          </cell>
          <cell r="E2638">
            <v>55.2</v>
          </cell>
          <cell r="H2638">
            <v>54.13</v>
          </cell>
          <cell r="I2638">
            <v>62.74</v>
          </cell>
          <cell r="BS2638">
            <v>7.5399999999999991</v>
          </cell>
        </row>
        <row r="2639">
          <cell r="B2639">
            <v>43865</v>
          </cell>
          <cell r="D2639">
            <v>53.6</v>
          </cell>
          <cell r="E2639">
            <v>53.96</v>
          </cell>
          <cell r="H2639">
            <v>53.06</v>
          </cell>
          <cell r="I2639">
            <v>62.26</v>
          </cell>
          <cell r="BS2639">
            <v>8.2999999999999972</v>
          </cell>
        </row>
        <row r="2640">
          <cell r="B2640">
            <v>43866</v>
          </cell>
          <cell r="D2640">
            <v>54.86</v>
          </cell>
          <cell r="E2640">
            <v>53.6</v>
          </cell>
          <cell r="H2640">
            <v>52.05</v>
          </cell>
          <cell r="I2640">
            <v>60.91</v>
          </cell>
          <cell r="BS2640">
            <v>7.3099999999999952</v>
          </cell>
        </row>
        <row r="2641">
          <cell r="B2641">
            <v>43867</v>
          </cell>
          <cell r="D2641">
            <v>53.97</v>
          </cell>
          <cell r="E2641">
            <v>55.19</v>
          </cell>
          <cell r="H2641">
            <v>53.88</v>
          </cell>
          <cell r="I2641">
            <v>63.06</v>
          </cell>
          <cell r="BS2641">
            <v>7.8700000000000045</v>
          </cell>
        </row>
        <row r="2642">
          <cell r="B2642">
            <v>43868</v>
          </cell>
          <cell r="D2642">
            <v>53.975000000000001</v>
          </cell>
          <cell r="E2642">
            <v>54.34</v>
          </cell>
          <cell r="H2642">
            <v>53.02</v>
          </cell>
          <cell r="I2642">
            <v>63.51</v>
          </cell>
          <cell r="BS2642">
            <v>9.1699999999999946</v>
          </cell>
        </row>
        <row r="2643">
          <cell r="B2643">
            <v>43871</v>
          </cell>
          <cell r="D2643">
            <v>53.115000000000002</v>
          </cell>
          <cell r="E2643">
            <v>53.3</v>
          </cell>
          <cell r="H2643">
            <v>53.05</v>
          </cell>
          <cell r="I2643">
            <v>63.51</v>
          </cell>
          <cell r="BS2643">
            <v>10.210000000000001</v>
          </cell>
        </row>
        <row r="2644">
          <cell r="B2644">
            <v>43872</v>
          </cell>
          <cell r="D2644">
            <v>53.74</v>
          </cell>
          <cell r="E2644">
            <v>53.05</v>
          </cell>
          <cell r="H2644">
            <v>53.35</v>
          </cell>
          <cell r="I2644">
            <v>63.25</v>
          </cell>
          <cell r="BS2644">
            <v>10.200000000000003</v>
          </cell>
        </row>
        <row r="2645">
          <cell r="B2645">
            <v>43873</v>
          </cell>
          <cell r="D2645">
            <v>55.65</v>
          </cell>
          <cell r="E2645">
            <v>54.26</v>
          </cell>
          <cell r="H2645">
            <v>54.05</v>
          </cell>
          <cell r="I2645">
            <v>63.7</v>
          </cell>
          <cell r="BS2645">
            <v>9.4400000000000048</v>
          </cell>
        </row>
        <row r="2646">
          <cell r="B2646">
            <v>43874</v>
          </cell>
          <cell r="D2646">
            <v>56.17</v>
          </cell>
          <cell r="E2646">
            <v>54.51</v>
          </cell>
          <cell r="H2646">
            <v>53.84</v>
          </cell>
          <cell r="I2646">
            <v>63.95</v>
          </cell>
          <cell r="BS2646">
            <v>9.4400000000000048</v>
          </cell>
        </row>
        <row r="2647">
          <cell r="B2647">
            <v>43875</v>
          </cell>
          <cell r="D2647">
            <v>56.96</v>
          </cell>
          <cell r="E2647">
            <v>55.24</v>
          </cell>
          <cell r="H2647">
            <v>53.4</v>
          </cell>
          <cell r="I2647">
            <v>63.81</v>
          </cell>
          <cell r="BS2647">
            <v>8.57</v>
          </cell>
        </row>
        <row r="2648">
          <cell r="B2648">
            <v>43878</v>
          </cell>
          <cell r="D2648">
            <v>57.72</v>
          </cell>
          <cell r="E2648">
            <v>55.96</v>
          </cell>
          <cell r="H2648">
            <v>53.03</v>
          </cell>
          <cell r="I2648">
            <v>64.36</v>
          </cell>
          <cell r="BS2648">
            <v>8.3999999999999986</v>
          </cell>
        </row>
        <row r="2649">
          <cell r="B2649">
            <v>43879</v>
          </cell>
          <cell r="D2649">
            <v>57.31</v>
          </cell>
          <cell r="E2649">
            <v>55.09</v>
          </cell>
          <cell r="H2649">
            <v>51.85</v>
          </cell>
          <cell r="I2649">
            <v>62.98</v>
          </cell>
          <cell r="BS2649">
            <v>7.8899999999999935</v>
          </cell>
        </row>
        <row r="2650">
          <cell r="B2650">
            <v>43880</v>
          </cell>
          <cell r="D2650">
            <v>59.61</v>
          </cell>
          <cell r="E2650">
            <v>56.4</v>
          </cell>
          <cell r="H2650">
            <v>53.51</v>
          </cell>
          <cell r="I2650">
            <v>64.88</v>
          </cell>
          <cell r="BS2650">
            <v>8.4799999999999969</v>
          </cell>
        </row>
        <row r="2651">
          <cell r="B2651">
            <v>43881</v>
          </cell>
          <cell r="D2651">
            <v>60.215000000000003</v>
          </cell>
          <cell r="E2651">
            <v>56.9</v>
          </cell>
          <cell r="H2651">
            <v>54.24</v>
          </cell>
          <cell r="I2651">
            <v>65.819999999999993</v>
          </cell>
          <cell r="BS2651">
            <v>8.9199999999999946</v>
          </cell>
        </row>
        <row r="2652">
          <cell r="B2652">
            <v>43882</v>
          </cell>
          <cell r="D2652">
            <v>58.564999999999998</v>
          </cell>
          <cell r="E2652">
            <v>56.4</v>
          </cell>
          <cell r="H2652">
            <v>53.82</v>
          </cell>
          <cell r="I2652">
            <v>64.650000000000006</v>
          </cell>
          <cell r="BS2652">
            <v>8.2500000000000071</v>
          </cell>
        </row>
        <row r="2653">
          <cell r="B2653">
            <v>43885</v>
          </cell>
          <cell r="D2653">
            <v>55.975000000000001</v>
          </cell>
          <cell r="E2653">
            <v>54.61</v>
          </cell>
          <cell r="H2653">
            <v>51.52</v>
          </cell>
          <cell r="I2653">
            <v>62.75</v>
          </cell>
          <cell r="BS2653">
            <v>8.14</v>
          </cell>
        </row>
        <row r="2654">
          <cell r="B2654">
            <v>43886</v>
          </cell>
          <cell r="D2654">
            <v>56.17</v>
          </cell>
          <cell r="E2654">
            <v>54.45</v>
          </cell>
          <cell r="H2654">
            <v>51.53</v>
          </cell>
          <cell r="I2654">
            <v>63.4</v>
          </cell>
          <cell r="BS2654">
            <v>8.9499999999999957</v>
          </cell>
        </row>
        <row r="2655">
          <cell r="B2655">
            <v>43887</v>
          </cell>
          <cell r="D2655">
            <v>54.945</v>
          </cell>
          <cell r="E2655">
            <v>52.3</v>
          </cell>
          <cell r="H2655">
            <v>49.08</v>
          </cell>
          <cell r="I2655">
            <v>60.04</v>
          </cell>
          <cell r="BS2655">
            <v>7.740000000000002</v>
          </cell>
        </row>
        <row r="2656">
          <cell r="B2656">
            <v>43888</v>
          </cell>
          <cell r="D2656">
            <v>52.265000000000001</v>
          </cell>
          <cell r="E2656">
            <v>50.61</v>
          </cell>
          <cell r="H2656">
            <v>47.35</v>
          </cell>
          <cell r="I2656">
            <v>56.83</v>
          </cell>
          <cell r="BS2656">
            <v>6.2199999999999989</v>
          </cell>
        </row>
        <row r="2657">
          <cell r="B2657">
            <v>43889</v>
          </cell>
          <cell r="D2657">
            <v>50.49</v>
          </cell>
          <cell r="E2657">
            <v>49.01</v>
          </cell>
          <cell r="H2657">
            <v>46.6</v>
          </cell>
          <cell r="I2657">
            <v>54.93</v>
          </cell>
          <cell r="BS2657">
            <v>5.9200000000000017</v>
          </cell>
        </row>
        <row r="2658">
          <cell r="B2658">
            <v>43892</v>
          </cell>
          <cell r="D2658">
            <v>51.674999999999997</v>
          </cell>
          <cell r="E2658">
            <v>50.56</v>
          </cell>
          <cell r="H2658">
            <v>47.79</v>
          </cell>
          <cell r="I2658">
            <v>55.79</v>
          </cell>
          <cell r="BS2658">
            <v>5.2299999999999969</v>
          </cell>
        </row>
        <row r="2659">
          <cell r="B2659">
            <v>43893</v>
          </cell>
          <cell r="D2659">
            <v>52.11</v>
          </cell>
          <cell r="E2659">
            <v>51.75</v>
          </cell>
          <cell r="H2659">
            <v>49.1</v>
          </cell>
          <cell r="I2659">
            <v>57.36</v>
          </cell>
          <cell r="BS2659">
            <v>5.6099999999999994</v>
          </cell>
        </row>
        <row r="2660">
          <cell r="B2660">
            <v>43894</v>
          </cell>
          <cell r="D2660">
            <v>51.72</v>
          </cell>
          <cell r="E2660">
            <v>50.84</v>
          </cell>
          <cell r="H2660">
            <v>45.58</v>
          </cell>
          <cell r="I2660">
            <v>56.4</v>
          </cell>
          <cell r="BS2660">
            <v>5.5599999999999952</v>
          </cell>
        </row>
        <row r="2661">
          <cell r="B2661">
            <v>43895</v>
          </cell>
          <cell r="D2661">
            <v>51.505000000000003</v>
          </cell>
          <cell r="E2661">
            <v>50.8</v>
          </cell>
          <cell r="H2661">
            <v>45.71</v>
          </cell>
          <cell r="I2661">
            <v>56.87</v>
          </cell>
          <cell r="BS2661">
            <v>6.07</v>
          </cell>
        </row>
        <row r="2662">
          <cell r="B2662">
            <v>43896</v>
          </cell>
          <cell r="D2662">
            <v>45.51</v>
          </cell>
          <cell r="E2662">
            <v>48.56</v>
          </cell>
          <cell r="H2662">
            <v>43.69</v>
          </cell>
          <cell r="I2662">
            <v>54.84</v>
          </cell>
          <cell r="BS2662">
            <v>6.2800000000000011</v>
          </cell>
        </row>
        <row r="2663">
          <cell r="B2663">
            <v>43899</v>
          </cell>
          <cell r="D2663">
            <v>35.450000000000003</v>
          </cell>
          <cell r="E2663">
            <v>32.85</v>
          </cell>
          <cell r="H2663">
            <v>32.15</v>
          </cell>
          <cell r="I2663">
            <v>42.65</v>
          </cell>
          <cell r="BS2663">
            <v>9.7999999999999972</v>
          </cell>
        </row>
        <row r="2664">
          <cell r="B2664">
            <v>43900</v>
          </cell>
          <cell r="D2664">
            <v>35.564999999999998</v>
          </cell>
          <cell r="E2664">
            <v>34.159999999999997</v>
          </cell>
          <cell r="H2664">
            <v>33.770000000000003</v>
          </cell>
          <cell r="I2664">
            <v>43.73</v>
          </cell>
          <cell r="BS2664">
            <v>9.57</v>
          </cell>
        </row>
        <row r="2665">
          <cell r="B2665">
            <v>43901</v>
          </cell>
          <cell r="D2665">
            <v>34.875</v>
          </cell>
          <cell r="E2665">
            <v>34.545000000000002</v>
          </cell>
          <cell r="H2665">
            <v>34</v>
          </cell>
          <cell r="I2665">
            <v>42.53</v>
          </cell>
          <cell r="BS2665">
            <v>7.9849999999999994</v>
          </cell>
        </row>
        <row r="2666">
          <cell r="B2666">
            <v>43902</v>
          </cell>
          <cell r="D2666">
            <v>30.805</v>
          </cell>
          <cell r="E2666">
            <v>32.659999999999997</v>
          </cell>
          <cell r="H2666">
            <v>32.15</v>
          </cell>
          <cell r="I2666">
            <v>39.4</v>
          </cell>
          <cell r="BS2666">
            <v>6.740000000000002</v>
          </cell>
        </row>
        <row r="2667">
          <cell r="B2667">
            <v>43903</v>
          </cell>
          <cell r="D2667">
            <v>31.844999999999999</v>
          </cell>
          <cell r="E2667">
            <v>33.950000000000003</v>
          </cell>
          <cell r="H2667">
            <v>32.49</v>
          </cell>
          <cell r="I2667">
            <v>37.35</v>
          </cell>
          <cell r="BS2667">
            <v>3.3999999999999986</v>
          </cell>
        </row>
        <row r="2668">
          <cell r="B2668">
            <v>43906</v>
          </cell>
          <cell r="D2668">
            <v>27.945</v>
          </cell>
          <cell r="E2668">
            <v>31.45</v>
          </cell>
          <cell r="H2668">
            <v>27.73</v>
          </cell>
          <cell r="I2668">
            <v>31.25</v>
          </cell>
          <cell r="BS2668">
            <v>-0.19999999999999929</v>
          </cell>
        </row>
        <row r="2669">
          <cell r="B2669">
            <v>43907</v>
          </cell>
          <cell r="D2669">
            <v>27.8</v>
          </cell>
          <cell r="E2669">
            <v>30.85</v>
          </cell>
          <cell r="H2669">
            <v>27.78</v>
          </cell>
          <cell r="I2669">
            <v>29.98</v>
          </cell>
          <cell r="BS2669">
            <v>-0.87000000000000099</v>
          </cell>
        </row>
        <row r="2670">
          <cell r="B2670">
            <v>43908</v>
          </cell>
          <cell r="D2670">
            <v>22.99</v>
          </cell>
          <cell r="E2670">
            <v>28.29</v>
          </cell>
          <cell r="H2670">
            <v>25.05</v>
          </cell>
          <cell r="I2670">
            <v>27.47</v>
          </cell>
          <cell r="BS2670">
            <v>-0.82000000000000028</v>
          </cell>
        </row>
        <row r="2671">
          <cell r="B2671">
            <v>43909</v>
          </cell>
          <cell r="D2671">
            <v>24.12</v>
          </cell>
          <cell r="E2671">
            <v>25.84</v>
          </cell>
          <cell r="H2671">
            <v>23.42</v>
          </cell>
          <cell r="I2671">
            <v>23.07</v>
          </cell>
          <cell r="BS2671">
            <v>-2.7699999999999996</v>
          </cell>
        </row>
        <row r="2672">
          <cell r="B2672">
            <v>43910</v>
          </cell>
          <cell r="D2672">
            <v>25.38</v>
          </cell>
          <cell r="E2672">
            <v>28.7</v>
          </cell>
          <cell r="H2672">
            <v>26</v>
          </cell>
          <cell r="I2672">
            <v>28.26</v>
          </cell>
          <cell r="BS2672">
            <v>-0.43999999999999773</v>
          </cell>
        </row>
        <row r="2673">
          <cell r="B2673">
            <v>43913</v>
          </cell>
          <cell r="D2673">
            <v>22.195</v>
          </cell>
          <cell r="E2673">
            <v>24.57</v>
          </cell>
          <cell r="H2673">
            <v>19.86</v>
          </cell>
          <cell r="I2673">
            <v>21.53</v>
          </cell>
          <cell r="BS2673">
            <v>-3.0399999999999991</v>
          </cell>
        </row>
        <row r="2674">
          <cell r="B2674">
            <v>43914</v>
          </cell>
          <cell r="D2674">
            <v>24.594999999999999</v>
          </cell>
          <cell r="E2674">
            <v>26.62</v>
          </cell>
          <cell r="H2674">
            <v>19.36</v>
          </cell>
          <cell r="I2674">
            <v>22.02</v>
          </cell>
          <cell r="BS2674">
            <v>-4.6000000000000014</v>
          </cell>
        </row>
        <row r="2675">
          <cell r="B2675">
            <v>43915</v>
          </cell>
          <cell r="D2675">
            <v>24.04</v>
          </cell>
          <cell r="E2675">
            <v>27.01</v>
          </cell>
          <cell r="H2675">
            <v>21.34</v>
          </cell>
          <cell r="I2675">
            <v>20.8</v>
          </cell>
          <cell r="BS2675">
            <v>-6.2100000000000009</v>
          </cell>
        </row>
        <row r="2676">
          <cell r="B2676">
            <v>43916</v>
          </cell>
          <cell r="D2676">
            <v>23.55</v>
          </cell>
          <cell r="E2676">
            <v>25.7</v>
          </cell>
          <cell r="H2676">
            <v>21.85</v>
          </cell>
          <cell r="I2676">
            <v>21.1</v>
          </cell>
          <cell r="BS2676">
            <v>-4.5999999999999979</v>
          </cell>
        </row>
        <row r="2677">
          <cell r="B2677">
            <v>43917</v>
          </cell>
          <cell r="D2677">
            <v>21.1</v>
          </cell>
          <cell r="E2677">
            <v>25.1</v>
          </cell>
          <cell r="H2677">
            <v>19.829999999999998</v>
          </cell>
          <cell r="I2677">
            <v>21.77</v>
          </cell>
          <cell r="BS2677">
            <v>-3.3300000000000018</v>
          </cell>
        </row>
        <row r="2678">
          <cell r="B2678">
            <v>43920</v>
          </cell>
          <cell r="D2678">
            <v>17.79</v>
          </cell>
          <cell r="E2678">
            <v>23.2</v>
          </cell>
          <cell r="H2678">
            <v>18.66</v>
          </cell>
          <cell r="I2678">
            <v>19.02</v>
          </cell>
          <cell r="BS2678">
            <v>-4.18</v>
          </cell>
        </row>
        <row r="2679">
          <cell r="B2679">
            <v>43921</v>
          </cell>
          <cell r="D2679">
            <v>17.675000000000001</v>
          </cell>
          <cell r="E2679">
            <v>23.4</v>
          </cell>
          <cell r="H2679">
            <v>18.690000000000001</v>
          </cell>
          <cell r="I2679">
            <v>21.04</v>
          </cell>
          <cell r="BS2679">
            <v>-2.3599999999999994</v>
          </cell>
        </row>
        <row r="2680">
          <cell r="B2680">
            <v>43922</v>
          </cell>
          <cell r="D2680">
            <v>15.135</v>
          </cell>
          <cell r="E2680">
            <v>21.2</v>
          </cell>
          <cell r="H2680">
            <v>15.54</v>
          </cell>
          <cell r="I2680">
            <v>18.010000000000002</v>
          </cell>
          <cell r="BS2680">
            <v>-3.1899999999999977</v>
          </cell>
        </row>
        <row r="2681">
          <cell r="B2681">
            <v>43923</v>
          </cell>
          <cell r="D2681">
            <v>19.125</v>
          </cell>
          <cell r="E2681">
            <v>21.5</v>
          </cell>
          <cell r="H2681">
            <v>16.690000000000001</v>
          </cell>
          <cell r="I2681">
            <v>20.65</v>
          </cell>
          <cell r="BS2681">
            <v>-0.85000000000000142</v>
          </cell>
        </row>
        <row r="2682">
          <cell r="B2682">
            <v>43924</v>
          </cell>
          <cell r="D2682">
            <v>23.67</v>
          </cell>
          <cell r="E2682">
            <v>24.49</v>
          </cell>
          <cell r="H2682">
            <v>19.760000000000002</v>
          </cell>
          <cell r="I2682">
            <v>21.97</v>
          </cell>
          <cell r="BS2682">
            <v>-2.5199999999999996</v>
          </cell>
        </row>
        <row r="2683">
          <cell r="B2683">
            <v>43927</v>
          </cell>
          <cell r="D2683">
            <v>22.475000000000001</v>
          </cell>
          <cell r="E2683">
            <v>24.89</v>
          </cell>
          <cell r="H2683">
            <v>19.510000000000002</v>
          </cell>
          <cell r="I2683">
            <v>22.52</v>
          </cell>
          <cell r="BS2683">
            <v>-2.370000000000001</v>
          </cell>
        </row>
        <row r="2684">
          <cell r="B2684">
            <v>43928</v>
          </cell>
          <cell r="D2684">
            <v>22.97</v>
          </cell>
          <cell r="E2684">
            <v>24.9</v>
          </cell>
          <cell r="H2684">
            <v>18.649999999999999</v>
          </cell>
          <cell r="I2684">
            <v>22.97</v>
          </cell>
          <cell r="BS2684">
            <v>-1.9299999999999997</v>
          </cell>
        </row>
        <row r="2685">
          <cell r="B2685">
            <v>43929</v>
          </cell>
          <cell r="D2685">
            <v>22.32</v>
          </cell>
          <cell r="E2685">
            <v>23.5</v>
          </cell>
          <cell r="H2685">
            <v>16.829999999999998</v>
          </cell>
          <cell r="I2685">
            <v>19.32</v>
          </cell>
          <cell r="BS2685">
            <v>-4.18</v>
          </cell>
        </row>
        <row r="2686">
          <cell r="B2686">
            <v>43930</v>
          </cell>
          <cell r="D2686">
            <v>23.73</v>
          </cell>
          <cell r="E2686">
            <v>23.35</v>
          </cell>
          <cell r="H2686">
            <v>17.579999999999998</v>
          </cell>
          <cell r="I2686">
            <v>20.29</v>
          </cell>
          <cell r="BS2686">
            <v>-3.0600000000000023</v>
          </cell>
        </row>
        <row r="2687">
          <cell r="B2687">
            <v>43931</v>
          </cell>
          <cell r="D2687" t="str">
            <v/>
          </cell>
          <cell r="E2687" t="str">
            <v/>
          </cell>
          <cell r="H2687">
            <v>0</v>
          </cell>
          <cell r="I2687">
            <v>0</v>
          </cell>
          <cell r="BS2687" t="e">
            <v>#N/A</v>
          </cell>
        </row>
        <row r="2688">
          <cell r="B2688">
            <v>43934</v>
          </cell>
          <cell r="D2688" t="str">
            <v/>
          </cell>
          <cell r="E2688">
            <v>22.34</v>
          </cell>
          <cell r="H2688">
            <v>17.440000000000001</v>
          </cell>
          <cell r="I2688">
            <v>16.97</v>
          </cell>
          <cell r="BS2688">
            <v>-5.370000000000001</v>
          </cell>
        </row>
        <row r="2689">
          <cell r="B2689">
            <v>43935</v>
          </cell>
          <cell r="D2689">
            <v>20.655000000000001</v>
          </cell>
          <cell r="E2689">
            <v>21.64</v>
          </cell>
          <cell r="H2689">
            <v>17.579999999999998</v>
          </cell>
          <cell r="I2689">
            <v>18.239999999999998</v>
          </cell>
          <cell r="BS2689">
            <v>-3.4000000000000021</v>
          </cell>
        </row>
        <row r="2690">
          <cell r="B2690">
            <v>43936</v>
          </cell>
          <cell r="D2690">
            <v>18.074999999999999</v>
          </cell>
          <cell r="E2690">
            <v>19.64</v>
          </cell>
          <cell r="H2690">
            <v>17.43</v>
          </cell>
          <cell r="I2690">
            <v>18.940000000000001</v>
          </cell>
          <cell r="BS2690">
            <v>-0.69999999999999929</v>
          </cell>
        </row>
        <row r="2691">
          <cell r="B2691">
            <v>43937</v>
          </cell>
          <cell r="D2691">
            <v>18.855</v>
          </cell>
          <cell r="E2691">
            <v>19.690000000000001</v>
          </cell>
          <cell r="H2691">
            <v>17.690000000000001</v>
          </cell>
          <cell r="I2691">
            <v>20.83</v>
          </cell>
          <cell r="BS2691">
            <v>1.139999999999997</v>
          </cell>
        </row>
        <row r="2692">
          <cell r="B2692">
            <v>43938</v>
          </cell>
          <cell r="D2692">
            <v>20.14</v>
          </cell>
          <cell r="E2692">
            <v>20.59</v>
          </cell>
          <cell r="H2692">
            <v>18.13</v>
          </cell>
          <cell r="I2692">
            <v>20.28</v>
          </cell>
          <cell r="BS2692">
            <v>-0.30999999999999872</v>
          </cell>
        </row>
        <row r="2693">
          <cell r="B2693">
            <v>43941</v>
          </cell>
          <cell r="D2693">
            <v>19.094999999999999</v>
          </cell>
          <cell r="E2693">
            <v>20.8</v>
          </cell>
          <cell r="H2693">
            <v>19.079999999999998</v>
          </cell>
          <cell r="I2693">
            <v>21.62</v>
          </cell>
          <cell r="BS2693">
            <v>0.82000000000000028</v>
          </cell>
        </row>
        <row r="2694">
          <cell r="B2694">
            <v>43942</v>
          </cell>
          <cell r="D2694">
            <v>13.24</v>
          </cell>
          <cell r="E2694">
            <v>17.399999999999999</v>
          </cell>
          <cell r="H2694">
            <v>17.05</v>
          </cell>
          <cell r="I2694">
            <v>16.37</v>
          </cell>
          <cell r="BS2694">
            <v>-1.0299999999999976</v>
          </cell>
        </row>
        <row r="2695">
          <cell r="B2695">
            <v>43943</v>
          </cell>
          <cell r="D2695">
            <v>14.21</v>
          </cell>
          <cell r="E2695">
            <v>13.55</v>
          </cell>
          <cell r="H2695">
            <v>15.51</v>
          </cell>
          <cell r="I2695">
            <v>14.64</v>
          </cell>
          <cell r="BS2695">
            <v>1.0899999999999999</v>
          </cell>
        </row>
        <row r="2696">
          <cell r="B2696">
            <v>43944</v>
          </cell>
          <cell r="D2696">
            <v>16.295000000000002</v>
          </cell>
          <cell r="E2696">
            <v>18.100000000000001</v>
          </cell>
          <cell r="H2696">
            <v>20.100000000000001</v>
          </cell>
          <cell r="I2696">
            <v>19.66</v>
          </cell>
          <cell r="BS2696">
            <v>1.5599999999999987</v>
          </cell>
        </row>
        <row r="2697">
          <cell r="B2697">
            <v>43945</v>
          </cell>
          <cell r="D2697">
            <v>16.010000000000002</v>
          </cell>
          <cell r="E2697">
            <v>18.149999999999999</v>
          </cell>
          <cell r="H2697">
            <v>17.05</v>
          </cell>
          <cell r="I2697">
            <v>16.600000000000001</v>
          </cell>
          <cell r="BS2697">
            <v>-1.5499999999999972</v>
          </cell>
        </row>
        <row r="2698">
          <cell r="B2698">
            <v>43948</v>
          </cell>
          <cell r="D2698">
            <v>13.615</v>
          </cell>
          <cell r="E2698">
            <v>17.989999999999998</v>
          </cell>
          <cell r="H2698">
            <v>16.489999999999998</v>
          </cell>
          <cell r="I2698">
            <v>19.100000000000001</v>
          </cell>
          <cell r="BS2698">
            <v>1.110000000000003</v>
          </cell>
        </row>
        <row r="2699">
          <cell r="B2699">
            <v>43949</v>
          </cell>
          <cell r="D2699">
            <v>14.675000000000001</v>
          </cell>
          <cell r="E2699">
            <v>16.600000000000001</v>
          </cell>
          <cell r="H2699">
            <v>13.6</v>
          </cell>
          <cell r="I2699">
            <v>17.309999999999999</v>
          </cell>
          <cell r="BS2699">
            <v>0.7099999999999973</v>
          </cell>
        </row>
        <row r="2700">
          <cell r="B2700">
            <v>43950</v>
          </cell>
          <cell r="D2700">
            <v>16.945</v>
          </cell>
          <cell r="E2700">
            <v>17.100000000000001</v>
          </cell>
          <cell r="H2700">
            <v>14.32</v>
          </cell>
          <cell r="I2700">
            <v>19.649999999999999</v>
          </cell>
          <cell r="BS2700">
            <v>2.5499999999999972</v>
          </cell>
        </row>
        <row r="2701">
          <cell r="B2701">
            <v>43951</v>
          </cell>
          <cell r="D2701">
            <v>19.670000000000002</v>
          </cell>
          <cell r="E2701">
            <v>20.7</v>
          </cell>
          <cell r="H2701">
            <v>17.350000000000001</v>
          </cell>
          <cell r="I2701">
            <v>22.33</v>
          </cell>
          <cell r="BS2701">
            <v>1.629999999999999</v>
          </cell>
        </row>
        <row r="2702">
          <cell r="B2702">
            <v>43952</v>
          </cell>
          <cell r="D2702">
            <v>19.36</v>
          </cell>
          <cell r="E2702" t="str">
            <v/>
          </cell>
          <cell r="H2702">
            <v>0</v>
          </cell>
          <cell r="I2702">
            <v>0</v>
          </cell>
          <cell r="BS2702" t="e">
            <v>#N/A</v>
          </cell>
        </row>
        <row r="2703">
          <cell r="B2703">
            <v>43955</v>
          </cell>
          <cell r="D2703">
            <v>19.32</v>
          </cell>
          <cell r="E2703">
            <v>24.3</v>
          </cell>
          <cell r="H2703">
            <v>15.65</v>
          </cell>
          <cell r="I2703">
            <v>21.31</v>
          </cell>
          <cell r="BS2703">
            <v>-2.990000000000002</v>
          </cell>
        </row>
        <row r="2704">
          <cell r="B2704">
            <v>43956</v>
          </cell>
          <cell r="D2704">
            <v>23.835000000000001</v>
          </cell>
          <cell r="E2704">
            <v>25.954999999999998</v>
          </cell>
          <cell r="H2704">
            <v>20.440000000000001</v>
          </cell>
          <cell r="I2704">
            <v>25.09</v>
          </cell>
          <cell r="BS2704">
            <v>-0.86499999999999844</v>
          </cell>
        </row>
        <row r="2705">
          <cell r="B2705">
            <v>43957</v>
          </cell>
          <cell r="D2705">
            <v>23.02</v>
          </cell>
          <cell r="E2705">
            <v>26.85</v>
          </cell>
          <cell r="H2705">
            <v>22.44</v>
          </cell>
          <cell r="I2705">
            <v>27.23</v>
          </cell>
          <cell r="BS2705">
            <v>0.37999999999999901</v>
          </cell>
        </row>
        <row r="2706">
          <cell r="B2706">
            <v>43958</v>
          </cell>
          <cell r="D2706">
            <v>25.094999999999999</v>
          </cell>
          <cell r="E2706" t="str">
            <v/>
          </cell>
          <cell r="H2706">
            <v>0</v>
          </cell>
          <cell r="I2706">
            <v>0</v>
          </cell>
          <cell r="BS2706" t="e">
            <v>#N/A</v>
          </cell>
        </row>
        <row r="2707">
          <cell r="B2707">
            <v>43959</v>
          </cell>
          <cell r="D2707" t="str">
            <v/>
          </cell>
          <cell r="E2707">
            <v>25.9</v>
          </cell>
          <cell r="H2707">
            <v>22.39</v>
          </cell>
          <cell r="I2707">
            <v>27.92</v>
          </cell>
          <cell r="BS2707">
            <v>2.0200000000000031</v>
          </cell>
        </row>
        <row r="2708">
          <cell r="B2708">
            <v>43962</v>
          </cell>
          <cell r="D2708">
            <v>25.465</v>
          </cell>
          <cell r="E2708">
            <v>26.75</v>
          </cell>
          <cell r="H2708">
            <v>22.75</v>
          </cell>
          <cell r="I2708">
            <v>29.87</v>
          </cell>
          <cell r="BS2708">
            <v>3.120000000000001</v>
          </cell>
        </row>
        <row r="2709">
          <cell r="B2709">
            <v>43963</v>
          </cell>
          <cell r="D2709">
            <v>26.445</v>
          </cell>
          <cell r="E2709">
            <v>26.9</v>
          </cell>
          <cell r="H2709">
            <v>22.24</v>
          </cell>
          <cell r="I2709">
            <v>29.07</v>
          </cell>
          <cell r="BS2709">
            <v>2.1700000000000017</v>
          </cell>
        </row>
        <row r="2710">
          <cell r="B2710">
            <v>43964</v>
          </cell>
          <cell r="D2710">
            <v>28</v>
          </cell>
          <cell r="E2710">
            <v>26.86</v>
          </cell>
          <cell r="H2710">
            <v>22.3</v>
          </cell>
          <cell r="I2710">
            <v>27.44</v>
          </cell>
          <cell r="BS2710">
            <v>0.58000000000000185</v>
          </cell>
        </row>
        <row r="2711">
          <cell r="B2711">
            <v>43965</v>
          </cell>
          <cell r="D2711">
            <v>28.335000000000001</v>
          </cell>
          <cell r="E2711">
            <v>29.86</v>
          </cell>
          <cell r="H2711">
            <v>21.76</v>
          </cell>
          <cell r="I2711">
            <v>28.77</v>
          </cell>
          <cell r="BS2711">
            <v>-1.0899999999999999</v>
          </cell>
        </row>
        <row r="2712">
          <cell r="B2712">
            <v>43966</v>
          </cell>
          <cell r="D2712">
            <v>30.184999999999999</v>
          </cell>
          <cell r="E2712">
            <v>31.96</v>
          </cell>
          <cell r="H2712">
            <v>25.41</v>
          </cell>
          <cell r="I2712">
            <v>31.38</v>
          </cell>
          <cell r="BS2712">
            <v>-0.58000000000000185</v>
          </cell>
        </row>
        <row r="2713">
          <cell r="B2713">
            <v>43969</v>
          </cell>
          <cell r="D2713">
            <v>34.064999999999998</v>
          </cell>
          <cell r="E2713">
            <v>32.96</v>
          </cell>
          <cell r="H2713">
            <v>29.37</v>
          </cell>
          <cell r="I2713">
            <v>33.630000000000003</v>
          </cell>
          <cell r="BS2713">
            <v>0.67000000000000171</v>
          </cell>
        </row>
        <row r="2714">
          <cell r="B2714">
            <v>43970</v>
          </cell>
          <cell r="D2714">
            <v>32.695</v>
          </cell>
          <cell r="E2714">
            <v>33.15</v>
          </cell>
          <cell r="H2714">
            <v>29.8</v>
          </cell>
          <cell r="I2714">
            <v>35.1</v>
          </cell>
          <cell r="BS2714">
            <v>1.9500000000000028</v>
          </cell>
        </row>
        <row r="2715">
          <cell r="B2715">
            <v>43971</v>
          </cell>
          <cell r="D2715">
            <v>34.134999999999998</v>
          </cell>
          <cell r="E2715">
            <v>32.94</v>
          </cell>
          <cell r="H2715">
            <v>30.08</v>
          </cell>
          <cell r="I2715">
            <v>35.020000000000003</v>
          </cell>
          <cell r="BS2715">
            <v>2.0800000000000054</v>
          </cell>
        </row>
        <row r="2716">
          <cell r="B2716">
            <v>43972</v>
          </cell>
          <cell r="D2716">
            <v>34.130000000000003</v>
          </cell>
          <cell r="E2716">
            <v>34.049999999999997</v>
          </cell>
          <cell r="H2716">
            <v>31.77</v>
          </cell>
          <cell r="I2716">
            <v>35.51</v>
          </cell>
          <cell r="BS2716">
            <v>1.4600000000000009</v>
          </cell>
        </row>
        <row r="2717">
          <cell r="B2717">
            <v>43973</v>
          </cell>
          <cell r="D2717">
            <v>32.85</v>
          </cell>
          <cell r="E2717">
            <v>32.56</v>
          </cell>
          <cell r="H2717">
            <v>30.23</v>
          </cell>
          <cell r="I2717">
            <v>32.82</v>
          </cell>
          <cell r="BS2717">
            <v>0.25999999999999801</v>
          </cell>
        </row>
        <row r="2718">
          <cell r="B2718">
            <v>43976</v>
          </cell>
          <cell r="D2718" t="str">
            <v/>
          </cell>
          <cell r="E2718" t="str">
            <v/>
          </cell>
          <cell r="H2718">
            <v>0</v>
          </cell>
          <cell r="I2718">
            <v>0</v>
          </cell>
          <cell r="BS2718" t="e">
            <v>#N/A</v>
          </cell>
        </row>
        <row r="2719">
          <cell r="B2719">
            <v>43977</v>
          </cell>
          <cell r="D2719">
            <v>33.4</v>
          </cell>
          <cell r="E2719">
            <v>34.85</v>
          </cell>
          <cell r="H2719">
            <v>32.67</v>
          </cell>
          <cell r="I2719">
            <v>34.74</v>
          </cell>
          <cell r="BS2719">
            <v>-0.10999999999999943</v>
          </cell>
        </row>
        <row r="2720">
          <cell r="B2720">
            <v>43978</v>
          </cell>
          <cell r="D2720">
            <v>32.61</v>
          </cell>
          <cell r="E2720">
            <v>34.5</v>
          </cell>
          <cell r="H2720">
            <v>32.229999999999997</v>
          </cell>
          <cell r="I2720">
            <v>33.65</v>
          </cell>
          <cell r="BS2720">
            <v>-0.85000000000000142</v>
          </cell>
        </row>
        <row r="2721">
          <cell r="B2721">
            <v>43979</v>
          </cell>
          <cell r="D2721">
            <v>33.270000000000003</v>
          </cell>
          <cell r="E2721">
            <v>33.21</v>
          </cell>
          <cell r="H2721">
            <v>30.67</v>
          </cell>
          <cell r="I2721">
            <v>32.54</v>
          </cell>
          <cell r="BS2721">
            <v>-0.67000000000000171</v>
          </cell>
        </row>
        <row r="2722">
          <cell r="B2722">
            <v>43980</v>
          </cell>
          <cell r="D2722">
            <v>34.380000000000003</v>
          </cell>
          <cell r="E2722">
            <v>34.85</v>
          </cell>
          <cell r="H2722">
            <v>31.18</v>
          </cell>
          <cell r="I2722">
            <v>33.94</v>
          </cell>
          <cell r="BS2722">
            <v>-0.91000000000000369</v>
          </cell>
        </row>
        <row r="2723">
          <cell r="B2723">
            <v>43983</v>
          </cell>
          <cell r="D2723">
            <v>35.46</v>
          </cell>
          <cell r="E2723">
            <v>38</v>
          </cell>
          <cell r="H2723">
            <v>34.04</v>
          </cell>
          <cell r="I2723">
            <v>36.36</v>
          </cell>
          <cell r="BS2723">
            <v>-1.6400000000000006</v>
          </cell>
        </row>
        <row r="2724">
          <cell r="B2724">
            <v>43984</v>
          </cell>
          <cell r="D2724">
            <v>37.49</v>
          </cell>
          <cell r="E2724">
            <v>38.96</v>
          </cell>
          <cell r="H2724">
            <v>36.049999999999997</v>
          </cell>
          <cell r="I2724">
            <v>37.67</v>
          </cell>
          <cell r="BS2724">
            <v>-1.2899999999999991</v>
          </cell>
        </row>
        <row r="2725">
          <cell r="B2725">
            <v>43985</v>
          </cell>
          <cell r="D2725">
            <v>37.604999999999997</v>
          </cell>
          <cell r="E2725">
            <v>39.9</v>
          </cell>
          <cell r="H2725">
            <v>36.950000000000003</v>
          </cell>
          <cell r="I2725">
            <v>40.520000000000003</v>
          </cell>
          <cell r="BS2725">
            <v>0.62000000000000455</v>
          </cell>
        </row>
        <row r="2726">
          <cell r="B2726">
            <v>43986</v>
          </cell>
          <cell r="D2726">
            <v>37.71</v>
          </cell>
          <cell r="E2726">
            <v>38.85</v>
          </cell>
          <cell r="H2726">
            <v>36.35</v>
          </cell>
          <cell r="I2726">
            <v>39.92</v>
          </cell>
          <cell r="BS2726">
            <v>1.0700000000000003</v>
          </cell>
        </row>
        <row r="2727">
          <cell r="B2727">
            <v>43987</v>
          </cell>
          <cell r="D2727">
            <v>41</v>
          </cell>
          <cell r="E2727">
            <v>40.65</v>
          </cell>
          <cell r="H2727">
            <v>37.89</v>
          </cell>
          <cell r="I2727">
            <v>41.72</v>
          </cell>
          <cell r="BS2727">
            <v>1.0700000000000003</v>
          </cell>
        </row>
        <row r="2728">
          <cell r="B2728">
            <v>43990</v>
          </cell>
          <cell r="D2728">
            <v>40.270000000000003</v>
          </cell>
          <cell r="E2728">
            <v>42.91</v>
          </cell>
          <cell r="H2728">
            <v>39.83</v>
          </cell>
          <cell r="I2728">
            <v>44.62</v>
          </cell>
          <cell r="BS2728">
            <v>1.7100000000000009</v>
          </cell>
        </row>
        <row r="2729">
          <cell r="B2729">
            <v>43991</v>
          </cell>
          <cell r="D2729">
            <v>39.65</v>
          </cell>
          <cell r="E2729">
            <v>40.81</v>
          </cell>
          <cell r="H2729">
            <v>37.04</v>
          </cell>
          <cell r="I2729">
            <v>42.79</v>
          </cell>
          <cell r="BS2729">
            <v>1.9799999999999969</v>
          </cell>
        </row>
        <row r="2730">
          <cell r="B2730">
            <v>43992</v>
          </cell>
          <cell r="D2730">
            <v>40.07</v>
          </cell>
          <cell r="E2730">
            <v>40.85</v>
          </cell>
          <cell r="H2730">
            <v>37.69</v>
          </cell>
          <cell r="I2730">
            <v>42.93</v>
          </cell>
          <cell r="BS2730">
            <v>2.0799999999999983</v>
          </cell>
        </row>
        <row r="2731">
          <cell r="B2731">
            <v>43993</v>
          </cell>
          <cell r="D2731">
            <v>38.39</v>
          </cell>
          <cell r="E2731">
            <v>40.64</v>
          </cell>
          <cell r="H2731">
            <v>37.72</v>
          </cell>
          <cell r="I2731">
            <v>42.25</v>
          </cell>
          <cell r="BS2731">
            <v>1.6099999999999994</v>
          </cell>
        </row>
        <row r="2732">
          <cell r="B2732">
            <v>43994</v>
          </cell>
          <cell r="D2732">
            <v>38.64</v>
          </cell>
          <cell r="E2732">
            <v>38.450000000000003</v>
          </cell>
          <cell r="H2732">
            <v>35.99</v>
          </cell>
          <cell r="I2732">
            <v>39.68</v>
          </cell>
          <cell r="BS2732">
            <v>1.2299999999999969</v>
          </cell>
        </row>
        <row r="2733">
          <cell r="B2733">
            <v>43997</v>
          </cell>
          <cell r="D2733">
            <v>38.76</v>
          </cell>
          <cell r="E2733">
            <v>38.299999999999997</v>
          </cell>
          <cell r="H2733">
            <v>36.57</v>
          </cell>
          <cell r="I2733">
            <v>40</v>
          </cell>
          <cell r="BS2733">
            <v>1.7000000000000028</v>
          </cell>
        </row>
        <row r="2734">
          <cell r="B2734">
            <v>43998</v>
          </cell>
          <cell r="D2734">
            <v>40.08</v>
          </cell>
          <cell r="E2734">
            <v>40.25</v>
          </cell>
          <cell r="H2734">
            <v>39.24</v>
          </cell>
          <cell r="I2734">
            <v>43.27</v>
          </cell>
          <cell r="BS2734">
            <v>3.0200000000000031</v>
          </cell>
        </row>
        <row r="2735">
          <cell r="B2735">
            <v>43999</v>
          </cell>
          <cell r="D2735">
            <v>40.325000000000003</v>
          </cell>
          <cell r="E2735">
            <v>41.5</v>
          </cell>
          <cell r="H2735">
            <v>39.83</v>
          </cell>
          <cell r="I2735">
            <v>45.42</v>
          </cell>
          <cell r="BS2735">
            <v>3.9200000000000017</v>
          </cell>
        </row>
        <row r="2736">
          <cell r="B2736">
            <v>44000</v>
          </cell>
          <cell r="D2736">
            <v>41.424999999999997</v>
          </cell>
          <cell r="E2736">
            <v>41.05</v>
          </cell>
          <cell r="H2736">
            <v>39.72</v>
          </cell>
          <cell r="I2736">
            <v>45.17</v>
          </cell>
          <cell r="BS2736">
            <v>4.1200000000000045</v>
          </cell>
        </row>
        <row r="2737">
          <cell r="B2737">
            <v>44001</v>
          </cell>
          <cell r="D2737">
            <v>42.695</v>
          </cell>
          <cell r="E2737">
            <v>42.94</v>
          </cell>
          <cell r="H2737">
            <v>42.18</v>
          </cell>
          <cell r="I2737">
            <v>47.27</v>
          </cell>
          <cell r="BS2737">
            <v>4.3300000000000054</v>
          </cell>
        </row>
        <row r="2738">
          <cell r="B2738">
            <v>44004</v>
          </cell>
          <cell r="D2738">
            <v>42.8</v>
          </cell>
          <cell r="E2738">
            <v>42.29</v>
          </cell>
          <cell r="H2738">
            <v>41.79</v>
          </cell>
          <cell r="I2738">
            <v>46.16</v>
          </cell>
          <cell r="BS2738">
            <v>3.8699999999999974</v>
          </cell>
        </row>
        <row r="2739">
          <cell r="B2739">
            <v>44005</v>
          </cell>
          <cell r="D2739">
            <v>43.604999999999997</v>
          </cell>
          <cell r="E2739">
            <v>43.35</v>
          </cell>
          <cell r="H2739">
            <v>43.24</v>
          </cell>
          <cell r="I2739">
            <v>48.34</v>
          </cell>
          <cell r="BS2739">
            <v>4.990000000000002</v>
          </cell>
        </row>
        <row r="2740">
          <cell r="B2740">
            <v>44006</v>
          </cell>
          <cell r="D2740">
            <v>40.454999999999998</v>
          </cell>
          <cell r="E2740">
            <v>42.45</v>
          </cell>
          <cell r="H2740">
            <v>42.74</v>
          </cell>
          <cell r="I2740">
            <v>47.04</v>
          </cell>
          <cell r="BS2740">
            <v>4.5899999999999963</v>
          </cell>
        </row>
        <row r="2741">
          <cell r="B2741">
            <v>44007</v>
          </cell>
          <cell r="D2741">
            <v>41.01</v>
          </cell>
          <cell r="E2741">
            <v>40.549999999999997</v>
          </cell>
          <cell r="H2741">
            <v>39.9</v>
          </cell>
          <cell r="I2741">
            <v>42.4</v>
          </cell>
          <cell r="BS2741">
            <v>1.8500000000000014</v>
          </cell>
        </row>
        <row r="2742">
          <cell r="B2742">
            <v>44008</v>
          </cell>
          <cell r="D2742">
            <v>40.770000000000003</v>
          </cell>
          <cell r="E2742">
            <v>42</v>
          </cell>
          <cell r="H2742">
            <v>41.69</v>
          </cell>
          <cell r="I2742">
            <v>43.62</v>
          </cell>
          <cell r="BS2742">
            <v>1.6199999999999974</v>
          </cell>
        </row>
        <row r="2743">
          <cell r="B2743">
            <v>44011</v>
          </cell>
          <cell r="D2743">
            <v>41.39</v>
          </cell>
          <cell r="E2743">
            <v>40.65</v>
          </cell>
          <cell r="H2743">
            <v>39.229999999999997</v>
          </cell>
          <cell r="I2743">
            <v>40.71</v>
          </cell>
          <cell r="BS2743">
            <v>6.0000000000002274E-2</v>
          </cell>
        </row>
        <row r="2744">
          <cell r="B2744">
            <v>44012</v>
          </cell>
          <cell r="D2744">
            <v>41.83</v>
          </cell>
          <cell r="E2744">
            <v>42.05</v>
          </cell>
          <cell r="H2744">
            <v>41.73</v>
          </cell>
          <cell r="I2744">
            <v>43.54</v>
          </cell>
          <cell r="BS2744">
            <v>1.490000000000002</v>
          </cell>
        </row>
        <row r="2745">
          <cell r="B2745">
            <v>44013</v>
          </cell>
          <cell r="D2745">
            <v>42.56</v>
          </cell>
          <cell r="E2745">
            <v>42.66</v>
          </cell>
          <cell r="H2745">
            <v>43.6</v>
          </cell>
          <cell r="I2745">
            <v>44.64</v>
          </cell>
          <cell r="BS2745">
            <v>1.980000000000004</v>
          </cell>
        </row>
        <row r="2746">
          <cell r="B2746">
            <v>44014</v>
          </cell>
          <cell r="D2746">
            <v>43.12</v>
          </cell>
          <cell r="E2746">
            <v>42.81</v>
          </cell>
          <cell r="H2746">
            <v>43.78</v>
          </cell>
          <cell r="I2746">
            <v>43.91</v>
          </cell>
          <cell r="BS2746">
            <v>1.0999999999999943</v>
          </cell>
        </row>
        <row r="2747">
          <cell r="B2747">
            <v>44015</v>
          </cell>
          <cell r="D2747">
            <v>43.145000000000003</v>
          </cell>
          <cell r="E2747">
            <v>42.7</v>
          </cell>
          <cell r="H2747">
            <v>43.65</v>
          </cell>
          <cell r="I2747">
            <v>44.7</v>
          </cell>
          <cell r="BS2747">
            <v>2</v>
          </cell>
        </row>
        <row r="2748">
          <cell r="B2748">
            <v>44018</v>
          </cell>
          <cell r="D2748">
            <v>43.424999999999997</v>
          </cell>
          <cell r="E2748">
            <v>43.69</v>
          </cell>
          <cell r="H2748">
            <v>45.34</v>
          </cell>
          <cell r="I2748">
            <v>45.85</v>
          </cell>
          <cell r="BS2748">
            <v>2.1600000000000037</v>
          </cell>
        </row>
        <row r="2749">
          <cell r="B2749">
            <v>44019</v>
          </cell>
          <cell r="D2749">
            <v>43.545000000000002</v>
          </cell>
          <cell r="E2749">
            <v>42.86</v>
          </cell>
          <cell r="H2749">
            <v>44.5</v>
          </cell>
          <cell r="I2749">
            <v>44.51</v>
          </cell>
          <cell r="BS2749">
            <v>1.6499999999999986</v>
          </cell>
        </row>
        <row r="2750">
          <cell r="B2750">
            <v>44020</v>
          </cell>
          <cell r="D2750">
            <v>43.225000000000001</v>
          </cell>
          <cell r="E2750">
            <v>43.305</v>
          </cell>
          <cell r="H2750">
            <v>44.52</v>
          </cell>
          <cell r="I2750">
            <v>45.18</v>
          </cell>
          <cell r="BS2750">
            <v>1.875</v>
          </cell>
        </row>
        <row r="2751">
          <cell r="B2751">
            <v>44021</v>
          </cell>
          <cell r="D2751">
            <v>42.625</v>
          </cell>
          <cell r="E2751">
            <v>43.66</v>
          </cell>
          <cell r="H2751">
            <v>45.04</v>
          </cell>
          <cell r="I2751">
            <v>46.05</v>
          </cell>
          <cell r="BS2751">
            <v>2.3900000000000006</v>
          </cell>
        </row>
        <row r="2752">
          <cell r="B2752">
            <v>44022</v>
          </cell>
          <cell r="D2752">
            <v>43.12</v>
          </cell>
          <cell r="E2752" t="str">
            <v/>
          </cell>
          <cell r="H2752">
            <v>0</v>
          </cell>
          <cell r="I2752">
            <v>0</v>
          </cell>
          <cell r="BS2752" t="e">
            <v>#N/A</v>
          </cell>
        </row>
        <row r="2753">
          <cell r="B2753">
            <v>44025</v>
          </cell>
          <cell r="D2753">
            <v>43.64</v>
          </cell>
          <cell r="E2753">
            <v>43.35</v>
          </cell>
          <cell r="H2753">
            <v>43.46</v>
          </cell>
          <cell r="I2753">
            <v>44.78</v>
          </cell>
          <cell r="BS2753">
            <v>1.4299999999999997</v>
          </cell>
        </row>
        <row r="2754">
          <cell r="B2754">
            <v>44026</v>
          </cell>
          <cell r="D2754">
            <v>43.67</v>
          </cell>
          <cell r="E2754">
            <v>42.75</v>
          </cell>
          <cell r="H2754">
            <v>42.18</v>
          </cell>
          <cell r="I2754">
            <v>43.73</v>
          </cell>
          <cell r="BS2754">
            <v>0.97999999999999687</v>
          </cell>
        </row>
        <row r="2755">
          <cell r="B2755">
            <v>44027</v>
          </cell>
          <cell r="D2755">
            <v>44.284999999999997</v>
          </cell>
          <cell r="E2755">
            <v>44.15</v>
          </cell>
          <cell r="H2755">
            <v>43.43</v>
          </cell>
          <cell r="I2755">
            <v>45.7</v>
          </cell>
          <cell r="BS2755">
            <v>1.5500000000000043</v>
          </cell>
        </row>
        <row r="2756">
          <cell r="B2756">
            <v>44028</v>
          </cell>
          <cell r="D2756">
            <v>44.42</v>
          </cell>
          <cell r="E2756">
            <v>43.35</v>
          </cell>
          <cell r="H2756">
            <v>42.68</v>
          </cell>
          <cell r="I2756">
            <v>45.44</v>
          </cell>
          <cell r="BS2756">
            <v>2.0899999999999963</v>
          </cell>
        </row>
        <row r="2757">
          <cell r="B2757">
            <v>44029</v>
          </cell>
          <cell r="D2757">
            <v>43.71</v>
          </cell>
          <cell r="E2757">
            <v>42.84</v>
          </cell>
          <cell r="H2757">
            <v>42.13</v>
          </cell>
          <cell r="I2757">
            <v>44.51</v>
          </cell>
          <cell r="BS2757">
            <v>1.6699999999999946</v>
          </cell>
        </row>
        <row r="2758">
          <cell r="B2758">
            <v>44032</v>
          </cell>
          <cell r="D2758">
            <v>43.145000000000003</v>
          </cell>
          <cell r="E2758">
            <v>42.704999999999998</v>
          </cell>
          <cell r="H2758">
            <v>41.45</v>
          </cell>
          <cell r="I2758">
            <v>43.93</v>
          </cell>
          <cell r="BS2758">
            <v>1.2250000000000014</v>
          </cell>
        </row>
        <row r="2759">
          <cell r="B2759">
            <v>44033</v>
          </cell>
          <cell r="D2759">
            <v>44.734999999999999</v>
          </cell>
          <cell r="E2759">
            <v>43.844999999999999</v>
          </cell>
          <cell r="H2759">
            <v>43.26</v>
          </cell>
          <cell r="I2759">
            <v>44.85</v>
          </cell>
          <cell r="BS2759">
            <v>1.0050000000000026</v>
          </cell>
        </row>
        <row r="2760">
          <cell r="B2760">
            <v>44034</v>
          </cell>
          <cell r="D2760">
            <v>43.465000000000003</v>
          </cell>
          <cell r="E2760">
            <v>44.1</v>
          </cell>
          <cell r="H2760">
            <v>43.2</v>
          </cell>
          <cell r="I2760">
            <v>45.36</v>
          </cell>
          <cell r="BS2760">
            <v>1.259999999999998</v>
          </cell>
        </row>
        <row r="2761">
          <cell r="B2761">
            <v>44035</v>
          </cell>
          <cell r="D2761">
            <v>44.134999999999998</v>
          </cell>
          <cell r="E2761">
            <v>44.39</v>
          </cell>
          <cell r="H2761">
            <v>44.61</v>
          </cell>
          <cell r="I2761">
            <v>45.92</v>
          </cell>
          <cell r="BS2761">
            <v>1.5300000000000011</v>
          </cell>
        </row>
        <row r="2762">
          <cell r="B2762">
            <v>44036</v>
          </cell>
          <cell r="D2762">
            <v>42.895000000000003</v>
          </cell>
          <cell r="E2762">
            <v>43.1</v>
          </cell>
          <cell r="H2762">
            <v>43.64</v>
          </cell>
          <cell r="I2762">
            <v>44.75</v>
          </cell>
          <cell r="BS2762">
            <v>1.6499999999999986</v>
          </cell>
        </row>
        <row r="2763">
          <cell r="B2763">
            <v>44039</v>
          </cell>
          <cell r="D2763">
            <v>42.1</v>
          </cell>
          <cell r="E2763">
            <v>43.1</v>
          </cell>
          <cell r="H2763">
            <v>43.98</v>
          </cell>
          <cell r="I2763">
            <v>44.65</v>
          </cell>
          <cell r="BS2763">
            <v>1.5499999999999972</v>
          </cell>
        </row>
        <row r="2764">
          <cell r="B2764">
            <v>44040</v>
          </cell>
          <cell r="D2764">
            <v>43.115000000000002</v>
          </cell>
          <cell r="E2764">
            <v>43.09</v>
          </cell>
          <cell r="H2764">
            <v>43.87</v>
          </cell>
          <cell r="I2764">
            <v>44.4</v>
          </cell>
          <cell r="BS2764">
            <v>1.3099999999999952</v>
          </cell>
        </row>
        <row r="2765">
          <cell r="B2765">
            <v>44041</v>
          </cell>
          <cell r="D2765">
            <v>43.74</v>
          </cell>
          <cell r="E2765">
            <v>43.29</v>
          </cell>
          <cell r="H2765">
            <v>42.87</v>
          </cell>
          <cell r="I2765">
            <v>44.34</v>
          </cell>
          <cell r="BS2765">
            <v>1.0500000000000043</v>
          </cell>
        </row>
        <row r="2766">
          <cell r="B2766">
            <v>44042</v>
          </cell>
          <cell r="D2766">
            <v>42.454999999999998</v>
          </cell>
          <cell r="E2766">
            <v>43.1</v>
          </cell>
          <cell r="H2766">
            <v>41.67</v>
          </cell>
          <cell r="I2766">
            <v>43.51</v>
          </cell>
          <cell r="BS2766">
            <v>0.40999999999999659</v>
          </cell>
        </row>
        <row r="2767">
          <cell r="B2767">
            <v>44043</v>
          </cell>
          <cell r="D2767">
            <v>42.884999999999998</v>
          </cell>
          <cell r="E2767" t="str">
            <v/>
          </cell>
          <cell r="H2767">
            <v>0</v>
          </cell>
          <cell r="I2767">
            <v>0</v>
          </cell>
          <cell r="BS2767" t="e">
            <v>#N/A</v>
          </cell>
        </row>
        <row r="2768">
          <cell r="B2768">
            <v>44046</v>
          </cell>
          <cell r="D2768">
            <v>44.045000000000002</v>
          </cell>
          <cell r="E2768">
            <v>42.51</v>
          </cell>
          <cell r="H2768">
            <v>40.270000000000003</v>
          </cell>
          <cell r="I2768">
            <v>42.4</v>
          </cell>
          <cell r="BS2768">
            <v>-0.10999999999999943</v>
          </cell>
        </row>
        <row r="2769">
          <cell r="B2769">
            <v>44047</v>
          </cell>
          <cell r="D2769">
            <v>44.17</v>
          </cell>
          <cell r="E2769">
            <v>42.954999999999998</v>
          </cell>
          <cell r="H2769">
            <v>41.73</v>
          </cell>
          <cell r="I2769">
            <v>43.91</v>
          </cell>
          <cell r="BS2769">
            <v>0.95499999999999829</v>
          </cell>
        </row>
        <row r="2770">
          <cell r="B2770">
            <v>44048</v>
          </cell>
          <cell r="D2770">
            <v>45.92</v>
          </cell>
          <cell r="E2770">
            <v>43.74</v>
          </cell>
          <cell r="H2770">
            <v>42.27</v>
          </cell>
          <cell r="I2770">
            <v>45.5</v>
          </cell>
          <cell r="BS2770">
            <v>1.759999999999998</v>
          </cell>
        </row>
        <row r="2771">
          <cell r="B2771">
            <v>44049</v>
          </cell>
          <cell r="D2771">
            <v>45.255000000000003</v>
          </cell>
          <cell r="E2771">
            <v>43.69</v>
          </cell>
          <cell r="H2771">
            <v>42.18</v>
          </cell>
          <cell r="I2771">
            <v>46.09</v>
          </cell>
          <cell r="BS2771">
            <v>2.4000000000000057</v>
          </cell>
        </row>
        <row r="2772">
          <cell r="B2772">
            <v>44050</v>
          </cell>
          <cell r="D2772">
            <v>44.26</v>
          </cell>
          <cell r="E2772">
            <v>43.9</v>
          </cell>
          <cell r="H2772">
            <v>42.03</v>
          </cell>
          <cell r="I2772">
            <v>46.67</v>
          </cell>
          <cell r="BS2772">
            <v>2.7700000000000031</v>
          </cell>
        </row>
        <row r="2773">
          <cell r="B2773">
            <v>44053</v>
          </cell>
          <cell r="D2773">
            <v>44.484999999999999</v>
          </cell>
          <cell r="E2773" t="str">
            <v/>
          </cell>
          <cell r="H2773">
            <v>0</v>
          </cell>
          <cell r="I2773">
            <v>0</v>
          </cell>
          <cell r="BS2773" t="e">
            <v>#N/A</v>
          </cell>
        </row>
        <row r="2774">
          <cell r="B2774">
            <v>44054</v>
          </cell>
          <cell r="D2774">
            <v>44.825000000000003</v>
          </cell>
          <cell r="E2774">
            <v>44.1</v>
          </cell>
          <cell r="H2774">
            <v>42.73</v>
          </cell>
          <cell r="I2774">
            <v>47.13</v>
          </cell>
          <cell r="BS2774">
            <v>3.0300000000000011</v>
          </cell>
        </row>
        <row r="2775">
          <cell r="B2775">
            <v>44055</v>
          </cell>
          <cell r="D2775">
            <v>45.094999999999999</v>
          </cell>
          <cell r="E2775">
            <v>43.65</v>
          </cell>
          <cell r="H2775">
            <v>41.84</v>
          </cell>
          <cell r="I2775">
            <v>46.7</v>
          </cell>
          <cell r="BS2775">
            <v>3.0500000000000043</v>
          </cell>
        </row>
        <row r="2776">
          <cell r="B2776">
            <v>44056</v>
          </cell>
          <cell r="D2776">
            <v>45.06</v>
          </cell>
          <cell r="E2776">
            <v>44.16</v>
          </cell>
          <cell r="H2776">
            <v>42.67</v>
          </cell>
          <cell r="I2776">
            <v>47.05</v>
          </cell>
          <cell r="BS2776">
            <v>2.8900000000000006</v>
          </cell>
        </row>
        <row r="2777">
          <cell r="B2777">
            <v>44057</v>
          </cell>
          <cell r="D2777">
            <v>44.515000000000001</v>
          </cell>
          <cell r="E2777">
            <v>43.405000000000001</v>
          </cell>
          <cell r="H2777">
            <v>42.56</v>
          </cell>
          <cell r="I2777">
            <v>47</v>
          </cell>
          <cell r="BS2777">
            <v>3.5949999999999989</v>
          </cell>
        </row>
        <row r="2778">
          <cell r="B2778">
            <v>44060</v>
          </cell>
          <cell r="D2778">
            <v>44.765000000000001</v>
          </cell>
          <cell r="E2778">
            <v>43.7</v>
          </cell>
          <cell r="H2778">
            <v>42.53</v>
          </cell>
          <cell r="I2778">
            <v>47.31</v>
          </cell>
          <cell r="BS2778">
            <v>3.6099999999999994</v>
          </cell>
        </row>
        <row r="2779">
          <cell r="B2779">
            <v>44061</v>
          </cell>
          <cell r="D2779">
            <v>45.125</v>
          </cell>
          <cell r="E2779">
            <v>44.45</v>
          </cell>
          <cell r="H2779">
            <v>43.04</v>
          </cell>
          <cell r="I2779">
            <v>48.01</v>
          </cell>
          <cell r="BS2779">
            <v>3.5599999999999952</v>
          </cell>
        </row>
        <row r="2780">
          <cell r="B2780">
            <v>44062</v>
          </cell>
          <cell r="D2780">
            <v>45.034999999999997</v>
          </cell>
          <cell r="E2780">
            <v>43.79</v>
          </cell>
          <cell r="H2780">
            <v>42.2</v>
          </cell>
          <cell r="I2780">
            <v>47.5</v>
          </cell>
          <cell r="BS2780">
            <v>3.7100000000000009</v>
          </cell>
        </row>
        <row r="2781">
          <cell r="B2781">
            <v>44063</v>
          </cell>
          <cell r="D2781">
            <v>44.375</v>
          </cell>
          <cell r="E2781">
            <v>43.86</v>
          </cell>
          <cell r="H2781">
            <v>42.84</v>
          </cell>
          <cell r="I2781">
            <v>47.66</v>
          </cell>
          <cell r="BS2781">
            <v>3.7999999999999972</v>
          </cell>
        </row>
        <row r="2782">
          <cell r="B2782">
            <v>44064</v>
          </cell>
          <cell r="D2782">
            <v>43.57</v>
          </cell>
          <cell r="E2782">
            <v>43.95</v>
          </cell>
          <cell r="H2782">
            <v>43.23</v>
          </cell>
          <cell r="I2782">
            <v>47.79</v>
          </cell>
          <cell r="BS2782">
            <v>3.8399999999999963</v>
          </cell>
        </row>
        <row r="2783">
          <cell r="B2783">
            <v>44067</v>
          </cell>
          <cell r="D2783">
            <v>44.805</v>
          </cell>
          <cell r="E2783">
            <v>43.75</v>
          </cell>
          <cell r="H2783">
            <v>43.87</v>
          </cell>
          <cell r="I2783">
            <v>47.76</v>
          </cell>
          <cell r="BS2783">
            <v>4.009999999999998</v>
          </cell>
        </row>
        <row r="2784">
          <cell r="B2784">
            <v>44068</v>
          </cell>
          <cell r="D2784">
            <v>45.984999999999999</v>
          </cell>
          <cell r="E2784">
            <v>44.36</v>
          </cell>
          <cell r="H2784">
            <v>44.62</v>
          </cell>
          <cell r="I2784">
            <v>48.45</v>
          </cell>
          <cell r="BS2784">
            <v>4.0900000000000034</v>
          </cell>
        </row>
        <row r="2785">
          <cell r="B2785">
            <v>44069</v>
          </cell>
          <cell r="D2785">
            <v>45.5</v>
          </cell>
          <cell r="E2785">
            <v>44.805</v>
          </cell>
          <cell r="H2785">
            <v>44.7</v>
          </cell>
          <cell r="I2785">
            <v>48.34</v>
          </cell>
          <cell r="BS2785">
            <v>3.5350000000000037</v>
          </cell>
        </row>
        <row r="2786">
          <cell r="B2786">
            <v>44070</v>
          </cell>
          <cell r="D2786">
            <v>44.814999999999998</v>
          </cell>
          <cell r="E2786">
            <v>44.96</v>
          </cell>
          <cell r="H2786">
            <v>44.54</v>
          </cell>
          <cell r="I2786">
            <v>48.65</v>
          </cell>
          <cell r="BS2786">
            <v>3.6899999999999977</v>
          </cell>
        </row>
        <row r="2787">
          <cell r="B2787">
            <v>44071</v>
          </cell>
          <cell r="D2787">
            <v>44.875</v>
          </cell>
          <cell r="E2787">
            <v>44.1</v>
          </cell>
          <cell r="H2787">
            <v>43.44</v>
          </cell>
          <cell r="I2787">
            <v>46.8</v>
          </cell>
          <cell r="BS2787">
            <v>2.6999999999999957</v>
          </cell>
        </row>
        <row r="2788">
          <cell r="B2788">
            <v>44074</v>
          </cell>
          <cell r="D2788" t="str">
            <v/>
          </cell>
          <cell r="E2788">
            <v>45.91</v>
          </cell>
          <cell r="H2788">
            <v>44.71</v>
          </cell>
          <cell r="I2788">
            <v>48.65</v>
          </cell>
          <cell r="BS2788">
            <v>2.740000000000002</v>
          </cell>
        </row>
        <row r="2789">
          <cell r="B2789">
            <v>44075</v>
          </cell>
          <cell r="D2789">
            <v>44.305</v>
          </cell>
          <cell r="E2789">
            <v>45.094999999999999</v>
          </cell>
          <cell r="H2789">
            <v>44.71</v>
          </cell>
          <cell r="I2789">
            <v>46.63</v>
          </cell>
          <cell r="BS2789">
            <v>1.5350000000000037</v>
          </cell>
        </row>
        <row r="2790">
          <cell r="B2790">
            <v>44076</v>
          </cell>
          <cell r="D2790">
            <v>43.034999999999997</v>
          </cell>
          <cell r="E2790">
            <v>45.29</v>
          </cell>
          <cell r="H2790">
            <v>45.17</v>
          </cell>
          <cell r="I2790">
            <v>47.52</v>
          </cell>
          <cell r="BS2790">
            <v>2.230000000000004</v>
          </cell>
        </row>
        <row r="2791">
          <cell r="B2791">
            <v>44077</v>
          </cell>
          <cell r="D2791">
            <v>41.57</v>
          </cell>
          <cell r="E2791">
            <v>43.405000000000001</v>
          </cell>
          <cell r="H2791">
            <v>43.91</v>
          </cell>
          <cell r="I2791">
            <v>45.6</v>
          </cell>
          <cell r="BS2791">
            <v>2.1950000000000003</v>
          </cell>
        </row>
        <row r="2792">
          <cell r="B2792">
            <v>44078</v>
          </cell>
          <cell r="D2792">
            <v>41.21</v>
          </cell>
          <cell r="E2792">
            <v>43.81</v>
          </cell>
          <cell r="H2792">
            <v>44.43</v>
          </cell>
          <cell r="I2792">
            <v>46.4</v>
          </cell>
          <cell r="BS2792">
            <v>2.5899999999999963</v>
          </cell>
        </row>
        <row r="2793">
          <cell r="B2793">
            <v>44081</v>
          </cell>
          <cell r="D2793">
            <v>40.5</v>
          </cell>
          <cell r="E2793">
            <v>41.45</v>
          </cell>
          <cell r="H2793">
            <v>42.48</v>
          </cell>
          <cell r="I2793">
            <v>45.02</v>
          </cell>
          <cell r="BS2793">
            <v>3.5700000000000003</v>
          </cell>
        </row>
        <row r="2794">
          <cell r="B2794">
            <v>44082</v>
          </cell>
          <cell r="D2794">
            <v>38.505000000000003</v>
          </cell>
          <cell r="E2794">
            <v>40.65</v>
          </cell>
          <cell r="H2794">
            <v>42.44</v>
          </cell>
          <cell r="I2794">
            <v>44.35</v>
          </cell>
          <cell r="BS2794">
            <v>3.7000000000000028</v>
          </cell>
        </row>
        <row r="2795">
          <cell r="B2795">
            <v>44083</v>
          </cell>
          <cell r="D2795">
            <v>39.75</v>
          </cell>
          <cell r="E2795">
            <v>39.46</v>
          </cell>
          <cell r="H2795">
            <v>41.55</v>
          </cell>
          <cell r="I2795">
            <v>42.68</v>
          </cell>
          <cell r="BS2795">
            <v>3.2199999999999989</v>
          </cell>
        </row>
        <row r="2796">
          <cell r="B2796">
            <v>44084</v>
          </cell>
          <cell r="D2796">
            <v>39.435000000000002</v>
          </cell>
          <cell r="E2796">
            <v>39.704999999999998</v>
          </cell>
          <cell r="H2796">
            <v>41.81</v>
          </cell>
          <cell r="I2796">
            <v>43.29</v>
          </cell>
          <cell r="BS2796">
            <v>3.5850000000000009</v>
          </cell>
        </row>
        <row r="2797">
          <cell r="B2797">
            <v>44085</v>
          </cell>
          <cell r="D2797">
            <v>39.045000000000002</v>
          </cell>
          <cell r="E2797">
            <v>39.255000000000003</v>
          </cell>
          <cell r="H2797">
            <v>41.04</v>
          </cell>
          <cell r="I2797">
            <v>43.17</v>
          </cell>
          <cell r="BS2797">
            <v>3.9149999999999991</v>
          </cell>
        </row>
        <row r="2798">
          <cell r="B2798">
            <v>44088</v>
          </cell>
          <cell r="D2798">
            <v>38.395000000000003</v>
          </cell>
          <cell r="E2798">
            <v>38.854999999999997</v>
          </cell>
          <cell r="H2798">
            <v>41.2</v>
          </cell>
          <cell r="I2798">
            <v>43.57</v>
          </cell>
          <cell r="BS2798">
            <v>4.7150000000000034</v>
          </cell>
        </row>
        <row r="2799">
          <cell r="B2799">
            <v>44089</v>
          </cell>
          <cell r="D2799">
            <v>39.119999999999997</v>
          </cell>
          <cell r="E2799">
            <v>39.195</v>
          </cell>
          <cell r="H2799">
            <v>41.37</v>
          </cell>
          <cell r="I2799">
            <v>43.95</v>
          </cell>
          <cell r="BS2799">
            <v>4.7550000000000026</v>
          </cell>
        </row>
        <row r="2800">
          <cell r="B2800">
            <v>44090</v>
          </cell>
          <cell r="D2800">
            <v>40.914999999999999</v>
          </cell>
          <cell r="E2800">
            <v>41.195</v>
          </cell>
          <cell r="H2800">
            <v>43.02</v>
          </cell>
          <cell r="I2800">
            <v>45.5</v>
          </cell>
          <cell r="BS2800">
            <v>4.3049999999999997</v>
          </cell>
        </row>
        <row r="2801">
          <cell r="B2801">
            <v>44091</v>
          </cell>
          <cell r="D2801">
            <v>42.42</v>
          </cell>
          <cell r="E2801">
            <v>41.69</v>
          </cell>
          <cell r="H2801">
            <v>43.72</v>
          </cell>
          <cell r="I2801">
            <v>46.45</v>
          </cell>
          <cell r="BS2801">
            <v>4.7600000000000051</v>
          </cell>
        </row>
        <row r="2802">
          <cell r="B2802">
            <v>44092</v>
          </cell>
          <cell r="D2802">
            <v>42.49</v>
          </cell>
          <cell r="E2802">
            <v>43</v>
          </cell>
          <cell r="H2802">
            <v>44.9</v>
          </cell>
          <cell r="I2802">
            <v>48.53</v>
          </cell>
          <cell r="BS2802">
            <v>5.5300000000000011</v>
          </cell>
        </row>
        <row r="2803">
          <cell r="B2803">
            <v>44095</v>
          </cell>
          <cell r="D2803">
            <v>40.314999999999998</v>
          </cell>
          <cell r="E2803">
            <v>41.59</v>
          </cell>
          <cell r="H2803">
            <v>43.42</v>
          </cell>
          <cell r="I2803">
            <v>46.88</v>
          </cell>
          <cell r="BS2803">
            <v>5.2899999999999991</v>
          </cell>
        </row>
        <row r="2804">
          <cell r="B2804">
            <v>44096</v>
          </cell>
          <cell r="D2804">
            <v>41.064999999999998</v>
          </cell>
          <cell r="E2804">
            <v>41.15</v>
          </cell>
          <cell r="H2804">
            <v>42.82</v>
          </cell>
          <cell r="I2804">
            <v>45.8</v>
          </cell>
          <cell r="BS2804">
            <v>4.6499999999999986</v>
          </cell>
        </row>
        <row r="2805">
          <cell r="B2805">
            <v>44097</v>
          </cell>
          <cell r="D2805">
            <v>41.44</v>
          </cell>
          <cell r="E2805">
            <v>41.36</v>
          </cell>
          <cell r="H2805">
            <v>42.77</v>
          </cell>
          <cell r="I2805">
            <v>46.08</v>
          </cell>
          <cell r="BS2805">
            <v>4.7199999999999989</v>
          </cell>
        </row>
        <row r="2806">
          <cell r="B2806">
            <v>44098</v>
          </cell>
          <cell r="D2806">
            <v>40.865000000000002</v>
          </cell>
          <cell r="E2806">
            <v>41.19</v>
          </cell>
          <cell r="H2806">
            <v>42.69</v>
          </cell>
          <cell r="I2806">
            <v>45.54</v>
          </cell>
          <cell r="BS2806">
            <v>4.3500000000000014</v>
          </cell>
        </row>
        <row r="2807">
          <cell r="B2807">
            <v>44099</v>
          </cell>
          <cell r="D2807">
            <v>41.055</v>
          </cell>
          <cell r="E2807">
            <v>41.994999999999997</v>
          </cell>
          <cell r="H2807">
            <v>43.84</v>
          </cell>
          <cell r="I2807">
            <v>46.94</v>
          </cell>
          <cell r="BS2807">
            <v>4.9450000000000003</v>
          </cell>
        </row>
        <row r="2808">
          <cell r="B2808">
            <v>44102</v>
          </cell>
          <cell r="D2808">
            <v>41.53</v>
          </cell>
          <cell r="E2808">
            <v>41.38</v>
          </cell>
          <cell r="H2808">
            <v>43.48</v>
          </cell>
          <cell r="I2808">
            <v>47.5</v>
          </cell>
          <cell r="BS2808">
            <v>6.1199999999999974</v>
          </cell>
        </row>
        <row r="2809">
          <cell r="B2809">
            <v>44103</v>
          </cell>
          <cell r="D2809">
            <v>40.15</v>
          </cell>
          <cell r="E2809">
            <v>41.844999999999999</v>
          </cell>
          <cell r="H2809">
            <v>43.24</v>
          </cell>
          <cell r="I2809">
            <v>47.62</v>
          </cell>
          <cell r="BS2809">
            <v>5.7749999999999986</v>
          </cell>
        </row>
        <row r="2810">
          <cell r="B2810">
            <v>44104</v>
          </cell>
          <cell r="D2810">
            <v>40.664999999999999</v>
          </cell>
          <cell r="E2810">
            <v>40.33</v>
          </cell>
          <cell r="H2810">
            <v>41.73</v>
          </cell>
          <cell r="I2810">
            <v>45.6</v>
          </cell>
          <cell r="BS2810">
            <v>5.2700000000000031</v>
          </cell>
        </row>
        <row r="2811">
          <cell r="B2811">
            <v>44105</v>
          </cell>
          <cell r="D2811">
            <v>38.914999999999999</v>
          </cell>
          <cell r="E2811">
            <v>41.14</v>
          </cell>
          <cell r="H2811">
            <v>42.75</v>
          </cell>
          <cell r="I2811">
            <v>47.15</v>
          </cell>
          <cell r="BS2811">
            <v>6.009999999999998</v>
          </cell>
        </row>
        <row r="2812">
          <cell r="B2812">
            <v>44106</v>
          </cell>
          <cell r="D2812">
            <v>38.61</v>
          </cell>
          <cell r="E2812">
            <v>38.65</v>
          </cell>
          <cell r="H2812">
            <v>41.43</v>
          </cell>
          <cell r="I2812">
            <v>44.75</v>
          </cell>
          <cell r="BS2812">
            <v>6.1000000000000014</v>
          </cell>
        </row>
        <row r="2813">
          <cell r="B2813">
            <v>44109</v>
          </cell>
          <cell r="D2813">
            <v>39.975000000000001</v>
          </cell>
          <cell r="E2813">
            <v>39.295000000000002</v>
          </cell>
          <cell r="H2813">
            <v>42.31</v>
          </cell>
          <cell r="I2813">
            <v>45.2</v>
          </cell>
          <cell r="BS2813">
            <v>5.9050000000000011</v>
          </cell>
        </row>
        <row r="2814">
          <cell r="B2814">
            <v>44110</v>
          </cell>
          <cell r="D2814">
            <v>41.064999999999998</v>
          </cell>
          <cell r="E2814">
            <v>40.51</v>
          </cell>
          <cell r="H2814">
            <v>43.39</v>
          </cell>
          <cell r="I2814">
            <v>46.22</v>
          </cell>
          <cell r="BS2814">
            <v>5.7100000000000009</v>
          </cell>
        </row>
        <row r="2815">
          <cell r="B2815">
            <v>44111</v>
          </cell>
          <cell r="D2815">
            <v>40.185000000000002</v>
          </cell>
          <cell r="E2815">
            <v>41.21</v>
          </cell>
          <cell r="H2815">
            <v>43.34</v>
          </cell>
          <cell r="I2815">
            <v>46.52</v>
          </cell>
          <cell r="BS2815">
            <v>5.3100000000000023</v>
          </cell>
        </row>
        <row r="2816">
          <cell r="B2816">
            <v>44112</v>
          </cell>
          <cell r="D2816">
            <v>41.555</v>
          </cell>
          <cell r="E2816">
            <v>41.454999999999998</v>
          </cell>
          <cell r="H2816">
            <v>43.8</v>
          </cell>
          <cell r="I2816">
            <v>46.66</v>
          </cell>
          <cell r="BS2816">
            <v>5.2049999999999983</v>
          </cell>
        </row>
        <row r="2817">
          <cell r="B2817">
            <v>44113</v>
          </cell>
          <cell r="D2817">
            <v>41.954999999999998</v>
          </cell>
          <cell r="E2817">
            <v>42.07</v>
          </cell>
          <cell r="H2817">
            <v>44.59</v>
          </cell>
          <cell r="I2817">
            <v>46.52</v>
          </cell>
          <cell r="BS2817">
            <v>4.4500000000000028</v>
          </cell>
        </row>
        <row r="2818">
          <cell r="B2818">
            <v>44116</v>
          </cell>
          <cell r="D2818">
            <v>40.19</v>
          </cell>
          <cell r="E2818">
            <v>41.26</v>
          </cell>
          <cell r="H2818">
            <v>43.59</v>
          </cell>
          <cell r="I2818">
            <v>45.57</v>
          </cell>
          <cell r="BS2818">
            <v>4.3100000000000023</v>
          </cell>
        </row>
        <row r="2819">
          <cell r="B2819">
            <v>44117</v>
          </cell>
          <cell r="D2819">
            <v>41.005000000000003</v>
          </cell>
          <cell r="E2819">
            <v>41.155000000000001</v>
          </cell>
          <cell r="H2819">
            <v>43.45</v>
          </cell>
          <cell r="I2819">
            <v>44.93</v>
          </cell>
          <cell r="BS2819">
            <v>3.7749999999999986</v>
          </cell>
        </row>
        <row r="2820">
          <cell r="B2820">
            <v>44118</v>
          </cell>
          <cell r="D2820">
            <v>41.75</v>
          </cell>
          <cell r="E2820">
            <v>41.59</v>
          </cell>
          <cell r="H2820">
            <v>42.89</v>
          </cell>
          <cell r="I2820">
            <v>44.6</v>
          </cell>
          <cell r="BS2820">
            <v>3.009999999999998</v>
          </cell>
        </row>
        <row r="2821">
          <cell r="B2821">
            <v>44119</v>
          </cell>
          <cell r="D2821">
            <v>41.075000000000003</v>
          </cell>
          <cell r="E2821">
            <v>41.98</v>
          </cell>
          <cell r="H2821">
            <v>42.95</v>
          </cell>
          <cell r="I2821">
            <v>45.43</v>
          </cell>
          <cell r="BS2821">
            <v>3.4500000000000028</v>
          </cell>
        </row>
        <row r="2822">
          <cell r="B2822">
            <v>44120</v>
          </cell>
          <cell r="D2822">
            <v>41.65</v>
          </cell>
          <cell r="E2822">
            <v>41.89</v>
          </cell>
          <cell r="H2822">
            <v>42.48</v>
          </cell>
          <cell r="I2822">
            <v>45.23</v>
          </cell>
          <cell r="BS2822">
            <v>3.3399999999999963</v>
          </cell>
        </row>
        <row r="2823">
          <cell r="B2823">
            <v>44123</v>
          </cell>
          <cell r="D2823">
            <v>41.78</v>
          </cell>
          <cell r="E2823">
            <v>41.75</v>
          </cell>
          <cell r="H2823">
            <v>41.6</v>
          </cell>
          <cell r="I2823">
            <v>44.92</v>
          </cell>
          <cell r="BS2823">
            <v>3.1700000000000017</v>
          </cell>
        </row>
        <row r="2824">
          <cell r="B2824">
            <v>44124</v>
          </cell>
          <cell r="D2824">
            <v>41.14</v>
          </cell>
          <cell r="E2824">
            <v>41.59</v>
          </cell>
          <cell r="H2824">
            <v>41.13</v>
          </cell>
          <cell r="I2824">
            <v>45</v>
          </cell>
          <cell r="BS2824">
            <v>3.4099999999999966</v>
          </cell>
        </row>
        <row r="2825">
          <cell r="B2825">
            <v>44125</v>
          </cell>
          <cell r="D2825">
            <v>40.465000000000003</v>
          </cell>
          <cell r="E2825">
            <v>41.69</v>
          </cell>
          <cell r="H2825">
            <v>42.1</v>
          </cell>
          <cell r="I2825">
            <v>45.69</v>
          </cell>
          <cell r="BS2825">
            <v>4</v>
          </cell>
        </row>
        <row r="2826">
          <cell r="B2826">
            <v>44126</v>
          </cell>
          <cell r="D2826">
            <v>41.515000000000001</v>
          </cell>
          <cell r="E2826">
            <v>41.34</v>
          </cell>
          <cell r="H2826">
            <v>41.11</v>
          </cell>
          <cell r="I2826">
            <v>44.84</v>
          </cell>
          <cell r="BS2826">
            <v>3.5</v>
          </cell>
        </row>
        <row r="2827">
          <cell r="B2827">
            <v>44127</v>
          </cell>
          <cell r="D2827">
            <v>41.234999999999999</v>
          </cell>
          <cell r="E2827">
            <v>41.66</v>
          </cell>
          <cell r="H2827">
            <v>40.81</v>
          </cell>
          <cell r="I2827">
            <v>44.65</v>
          </cell>
          <cell r="BS2827">
            <v>2.990000000000002</v>
          </cell>
        </row>
        <row r="2828">
          <cell r="B2828">
            <v>44130</v>
          </cell>
          <cell r="D2828">
            <v>39.115000000000002</v>
          </cell>
          <cell r="E2828">
            <v>39.81</v>
          </cell>
          <cell r="H2828">
            <v>39.159999999999997</v>
          </cell>
          <cell r="I2828">
            <v>43.41</v>
          </cell>
          <cell r="BS2828">
            <v>3.5999999999999943</v>
          </cell>
        </row>
        <row r="2829">
          <cell r="B2829">
            <v>44131</v>
          </cell>
          <cell r="D2829">
            <v>40.01</v>
          </cell>
          <cell r="E2829">
            <v>39.86</v>
          </cell>
          <cell r="H2829">
            <v>39.71</v>
          </cell>
          <cell r="I2829">
            <v>43.33</v>
          </cell>
          <cell r="BS2829">
            <v>3.4699999999999989</v>
          </cell>
        </row>
        <row r="2830">
          <cell r="B2830">
            <v>44132</v>
          </cell>
          <cell r="D2830">
            <v>37.770000000000003</v>
          </cell>
          <cell r="E2830">
            <v>39.24</v>
          </cell>
          <cell r="H2830">
            <v>39.15</v>
          </cell>
          <cell r="I2830">
            <v>42.61</v>
          </cell>
          <cell r="BS2830">
            <v>3.3699999999999974</v>
          </cell>
        </row>
        <row r="2831">
          <cell r="B2831">
            <v>44133</v>
          </cell>
          <cell r="D2831">
            <v>36.215000000000003</v>
          </cell>
          <cell r="E2831">
            <v>38.25</v>
          </cell>
          <cell r="H2831">
            <v>38.69</v>
          </cell>
          <cell r="I2831">
            <v>41.83</v>
          </cell>
          <cell r="BS2831">
            <v>3.5799999999999983</v>
          </cell>
        </row>
        <row r="2832">
          <cell r="B2832">
            <v>44134</v>
          </cell>
          <cell r="D2832">
            <v>36.204999999999998</v>
          </cell>
          <cell r="E2832">
            <v>37.15</v>
          </cell>
          <cell r="H2832">
            <v>37.630000000000003</v>
          </cell>
          <cell r="I2832">
            <v>41.04</v>
          </cell>
          <cell r="BS2832">
            <v>3.8900000000000006</v>
          </cell>
        </row>
        <row r="2833">
          <cell r="B2833">
            <v>44137</v>
          </cell>
          <cell r="D2833">
            <v>36.524999999999999</v>
          </cell>
          <cell r="E2833">
            <v>36.26</v>
          </cell>
          <cell r="H2833">
            <v>36.47</v>
          </cell>
          <cell r="I2833">
            <v>38.85</v>
          </cell>
          <cell r="BS2833">
            <v>2.5900000000000034</v>
          </cell>
        </row>
        <row r="2834">
          <cell r="B2834">
            <v>44138</v>
          </cell>
          <cell r="D2834">
            <v>38.01</v>
          </cell>
          <cell r="E2834">
            <v>39.46</v>
          </cell>
          <cell r="H2834">
            <v>39.590000000000003</v>
          </cell>
          <cell r="I2834">
            <v>42</v>
          </cell>
          <cell r="BS2834">
            <v>2.5399999999999991</v>
          </cell>
        </row>
        <row r="2835">
          <cell r="B2835">
            <v>44139</v>
          </cell>
          <cell r="D2835">
            <v>39.435000000000002</v>
          </cell>
          <cell r="E2835">
            <v>39.74</v>
          </cell>
          <cell r="H2835">
            <v>39.53</v>
          </cell>
          <cell r="I2835">
            <v>41.94</v>
          </cell>
          <cell r="BS2835">
            <v>2.1999999999999957</v>
          </cell>
        </row>
        <row r="2836">
          <cell r="B2836">
            <v>44140</v>
          </cell>
          <cell r="D2836">
            <v>39.494999999999997</v>
          </cell>
          <cell r="E2836">
            <v>40.71</v>
          </cell>
          <cell r="H2836">
            <v>39.880000000000003</v>
          </cell>
          <cell r="I2836">
            <v>43.25</v>
          </cell>
          <cell r="BS2836">
            <v>2.5399999999999991</v>
          </cell>
        </row>
        <row r="2837">
          <cell r="B2837">
            <v>44141</v>
          </cell>
          <cell r="D2837">
            <v>38.299999999999997</v>
          </cell>
          <cell r="E2837">
            <v>40.56</v>
          </cell>
          <cell r="H2837">
            <v>38.81</v>
          </cell>
          <cell r="I2837">
            <v>43.15</v>
          </cell>
          <cell r="BS2837">
            <v>2.5899999999999963</v>
          </cell>
        </row>
        <row r="2838">
          <cell r="B2838">
            <v>44144</v>
          </cell>
          <cell r="D2838">
            <v>41.31</v>
          </cell>
          <cell r="E2838">
            <v>40.31</v>
          </cell>
          <cell r="H2838">
            <v>38.06</v>
          </cell>
          <cell r="I2838">
            <v>42.83</v>
          </cell>
          <cell r="BS2838">
            <v>2.519999999999996</v>
          </cell>
        </row>
        <row r="2839">
          <cell r="B2839">
            <v>44145</v>
          </cell>
          <cell r="D2839">
            <v>41.715000000000003</v>
          </cell>
          <cell r="E2839">
            <v>42.47</v>
          </cell>
          <cell r="H2839">
            <v>40.049999999999997</v>
          </cell>
          <cell r="I2839">
            <v>45.29</v>
          </cell>
          <cell r="BS2839">
            <v>2.8200000000000003</v>
          </cell>
        </row>
        <row r="2840">
          <cell r="B2840">
            <v>44146</v>
          </cell>
          <cell r="D2840">
            <v>43.195</v>
          </cell>
          <cell r="E2840">
            <v>44.4</v>
          </cell>
          <cell r="H2840">
            <v>41.47</v>
          </cell>
          <cell r="I2840">
            <v>47.55</v>
          </cell>
          <cell r="BS2840">
            <v>3.1499999999999986</v>
          </cell>
        </row>
        <row r="2841">
          <cell r="B2841">
            <v>44147</v>
          </cell>
          <cell r="D2841">
            <v>42.87</v>
          </cell>
          <cell r="E2841">
            <v>43.905000000000001</v>
          </cell>
          <cell r="H2841">
            <v>40.159999999999997</v>
          </cell>
          <cell r="I2841">
            <v>46.16</v>
          </cell>
          <cell r="BS2841">
            <v>2.2549999999999955</v>
          </cell>
        </row>
        <row r="2842">
          <cell r="B2842">
            <v>44148</v>
          </cell>
          <cell r="D2842">
            <v>41.784999999999997</v>
          </cell>
          <cell r="E2842">
            <v>43.104999999999997</v>
          </cell>
          <cell r="H2842">
            <v>39.44</v>
          </cell>
          <cell r="I2842">
            <v>44.95</v>
          </cell>
          <cell r="BS2842">
            <v>1.845000000000006</v>
          </cell>
        </row>
        <row r="2843">
          <cell r="B2843">
            <v>44151</v>
          </cell>
          <cell r="D2843">
            <v>43.115000000000002</v>
          </cell>
          <cell r="E2843">
            <v>43.69</v>
          </cell>
          <cell r="H2843">
            <v>40.159999999999997</v>
          </cell>
          <cell r="I2843">
            <v>45.25</v>
          </cell>
          <cell r="BS2843">
            <v>1.5600000000000023</v>
          </cell>
        </row>
        <row r="2844">
          <cell r="B2844">
            <v>44152</v>
          </cell>
          <cell r="D2844">
            <v>42.045000000000002</v>
          </cell>
          <cell r="E2844">
            <v>43.86</v>
          </cell>
          <cell r="H2844">
            <v>40.49</v>
          </cell>
          <cell r="I2844">
            <v>45.09</v>
          </cell>
          <cell r="BS2844">
            <v>1.230000000000004</v>
          </cell>
        </row>
        <row r="2845">
          <cell r="B2845">
            <v>44153</v>
          </cell>
          <cell r="D2845">
            <v>43.395000000000003</v>
          </cell>
          <cell r="E2845">
            <v>43.8</v>
          </cell>
          <cell r="H2845">
            <v>41.1</v>
          </cell>
          <cell r="I2845">
            <v>45.3</v>
          </cell>
          <cell r="BS2845">
            <v>1.5</v>
          </cell>
        </row>
        <row r="2846">
          <cell r="B2846">
            <v>44154</v>
          </cell>
          <cell r="D2846">
            <v>42.865000000000002</v>
          </cell>
          <cell r="E2846">
            <v>43.97</v>
          </cell>
          <cell r="H2846">
            <v>40.99</v>
          </cell>
          <cell r="I2846">
            <v>45.26</v>
          </cell>
          <cell r="BS2846">
            <v>1.2899999999999991</v>
          </cell>
        </row>
        <row r="2847">
          <cell r="B2847">
            <v>44155</v>
          </cell>
          <cell r="D2847">
            <v>43.435000000000002</v>
          </cell>
          <cell r="E2847">
            <v>44.21</v>
          </cell>
          <cell r="H2847">
            <v>40.869999999999997</v>
          </cell>
          <cell r="I2847">
            <v>45.8</v>
          </cell>
          <cell r="BS2847">
            <v>1.5899999999999963</v>
          </cell>
        </row>
        <row r="2848">
          <cell r="B2848">
            <v>44158</v>
          </cell>
          <cell r="D2848">
            <v>44.94</v>
          </cell>
          <cell r="E2848">
            <v>45.59</v>
          </cell>
          <cell r="H2848">
            <v>42.56</v>
          </cell>
          <cell r="I2848">
            <v>47.01</v>
          </cell>
          <cell r="BS2848">
            <v>1.4199999999999946</v>
          </cell>
        </row>
        <row r="2849">
          <cell r="B2849">
            <v>44159</v>
          </cell>
          <cell r="D2849">
            <v>46.774999999999999</v>
          </cell>
          <cell r="E2849">
            <v>45.83</v>
          </cell>
          <cell r="H2849">
            <v>42.41</v>
          </cell>
          <cell r="I2849">
            <v>47.83</v>
          </cell>
          <cell r="BS2849">
            <v>2</v>
          </cell>
        </row>
        <row r="2850">
          <cell r="B2850">
            <v>44160</v>
          </cell>
          <cell r="D2850">
            <v>46.74</v>
          </cell>
          <cell r="E2850">
            <v>47.84</v>
          </cell>
          <cell r="H2850">
            <v>42.82</v>
          </cell>
          <cell r="I2850">
            <v>49.95</v>
          </cell>
          <cell r="BS2850">
            <v>2.1099999999999994</v>
          </cell>
        </row>
        <row r="2851">
          <cell r="B2851">
            <v>44161</v>
          </cell>
          <cell r="D2851">
            <v>46.57</v>
          </cell>
          <cell r="E2851">
            <v>47.454999999999998</v>
          </cell>
          <cell r="H2851">
            <v>42.24</v>
          </cell>
          <cell r="I2851">
            <v>49.52</v>
          </cell>
          <cell r="BS2851">
            <v>2.0650000000000048</v>
          </cell>
        </row>
        <row r="2852">
          <cell r="B2852">
            <v>44162</v>
          </cell>
          <cell r="D2852">
            <v>47.024999999999999</v>
          </cell>
          <cell r="E2852">
            <v>47.12</v>
          </cell>
          <cell r="H2852">
            <v>42.18</v>
          </cell>
          <cell r="I2852">
            <v>49.75</v>
          </cell>
          <cell r="BS2852">
            <v>2.6300000000000026</v>
          </cell>
        </row>
        <row r="2853">
          <cell r="B2853">
            <v>44165</v>
          </cell>
          <cell r="D2853">
            <v>46.39</v>
          </cell>
          <cell r="E2853">
            <v>46.99</v>
          </cell>
          <cell r="H2853">
            <v>42.21</v>
          </cell>
          <cell r="I2853">
            <v>49.11</v>
          </cell>
          <cell r="BS2853">
            <v>2.1199999999999974</v>
          </cell>
        </row>
        <row r="2854">
          <cell r="B2854">
            <v>44166</v>
          </cell>
          <cell r="D2854">
            <v>47.015000000000001</v>
          </cell>
          <cell r="E2854">
            <v>47.56</v>
          </cell>
          <cell r="H2854">
            <v>42.43</v>
          </cell>
          <cell r="I2854">
            <v>49.38</v>
          </cell>
          <cell r="BS2854">
            <v>1.8200000000000003</v>
          </cell>
        </row>
        <row r="2855">
          <cell r="B2855">
            <v>44167</v>
          </cell>
          <cell r="D2855">
            <v>47.73</v>
          </cell>
          <cell r="E2855">
            <v>47.045000000000002</v>
          </cell>
          <cell r="H2855">
            <v>41.89</v>
          </cell>
          <cell r="I2855">
            <v>48.75</v>
          </cell>
          <cell r="BS2855">
            <v>1.7049999999999983</v>
          </cell>
        </row>
        <row r="2856">
          <cell r="B2856">
            <v>44168</v>
          </cell>
          <cell r="D2856">
            <v>48.41</v>
          </cell>
          <cell r="E2856">
            <v>48.03</v>
          </cell>
          <cell r="H2856">
            <v>43.11</v>
          </cell>
          <cell r="I2856">
            <v>49.56</v>
          </cell>
          <cell r="BS2856">
            <v>1.5300000000000011</v>
          </cell>
        </row>
        <row r="2857">
          <cell r="B2857">
            <v>44169</v>
          </cell>
          <cell r="D2857">
            <v>48.875</v>
          </cell>
          <cell r="E2857">
            <v>49.055</v>
          </cell>
          <cell r="H2857">
            <v>44.69</v>
          </cell>
          <cell r="I2857">
            <v>51.25</v>
          </cell>
          <cell r="BS2857">
            <v>2.1950000000000003</v>
          </cell>
        </row>
        <row r="2858">
          <cell r="B2858">
            <v>44172</v>
          </cell>
          <cell r="D2858">
            <v>48.83</v>
          </cell>
          <cell r="E2858">
            <v>48.255000000000003</v>
          </cell>
          <cell r="H2858">
            <v>44.4</v>
          </cell>
          <cell r="I2858">
            <v>50.16</v>
          </cell>
          <cell r="BS2858">
            <v>1.904999999999994</v>
          </cell>
        </row>
        <row r="2859">
          <cell r="B2859">
            <v>44173</v>
          </cell>
          <cell r="D2859">
            <v>48.685000000000002</v>
          </cell>
          <cell r="E2859">
            <v>48.29</v>
          </cell>
          <cell r="H2859">
            <v>45.12</v>
          </cell>
          <cell r="I2859">
            <v>50.02</v>
          </cell>
          <cell r="BS2859">
            <v>1.730000000000004</v>
          </cell>
        </row>
        <row r="2860">
          <cell r="B2860">
            <v>44174</v>
          </cell>
          <cell r="D2860">
            <v>48.44</v>
          </cell>
          <cell r="E2860">
            <v>49.11</v>
          </cell>
          <cell r="H2860">
            <v>46.04</v>
          </cell>
          <cell r="I2860">
            <v>51.39</v>
          </cell>
          <cell r="BS2860">
            <v>2.2800000000000011</v>
          </cell>
        </row>
        <row r="2861">
          <cell r="B2861">
            <v>44175</v>
          </cell>
          <cell r="D2861">
            <v>50.92</v>
          </cell>
          <cell r="E2861">
            <v>48.994999999999997</v>
          </cell>
          <cell r="H2861">
            <v>46.4</v>
          </cell>
          <cell r="I2861">
            <v>51.32</v>
          </cell>
          <cell r="BS2861">
            <v>2.3250000000000028</v>
          </cell>
        </row>
        <row r="2862">
          <cell r="B2862">
            <v>44176</v>
          </cell>
          <cell r="D2862">
            <v>50.03</v>
          </cell>
          <cell r="E2862">
            <v>50.454999999999998</v>
          </cell>
          <cell r="H2862">
            <v>47.57</v>
          </cell>
          <cell r="I2862">
            <v>53.02</v>
          </cell>
          <cell r="BS2862">
            <v>2.5650000000000048</v>
          </cell>
        </row>
        <row r="2863">
          <cell r="B2863">
            <v>44179</v>
          </cell>
          <cell r="D2863">
            <v>49.59</v>
          </cell>
          <cell r="E2863">
            <v>50.6</v>
          </cell>
          <cell r="H2863">
            <v>47.71</v>
          </cell>
          <cell r="I2863">
            <v>53.4</v>
          </cell>
          <cell r="BS2863">
            <v>2.7999999999999972</v>
          </cell>
        </row>
        <row r="2864">
          <cell r="B2864">
            <v>44180</v>
          </cell>
          <cell r="D2864">
            <v>50.674999999999997</v>
          </cell>
          <cell r="E2864">
            <v>50.155000000000001</v>
          </cell>
          <cell r="H2864">
            <v>47.35</v>
          </cell>
          <cell r="I2864">
            <v>52.43</v>
          </cell>
          <cell r="BS2864">
            <v>2.2749999999999986</v>
          </cell>
        </row>
        <row r="2865">
          <cell r="B2865">
            <v>44181</v>
          </cell>
          <cell r="D2865">
            <v>50.645000000000003</v>
          </cell>
          <cell r="E2865">
            <v>50.8</v>
          </cell>
          <cell r="H2865">
            <v>48.66</v>
          </cell>
          <cell r="I2865">
            <v>52.55</v>
          </cell>
          <cell r="BS2865">
            <v>1.75</v>
          </cell>
        </row>
        <row r="2866">
          <cell r="B2866">
            <v>44182</v>
          </cell>
          <cell r="D2866">
            <v>51.354999999999997</v>
          </cell>
          <cell r="E2866">
            <v>51.44</v>
          </cell>
          <cell r="H2866">
            <v>50.45</v>
          </cell>
          <cell r="I2866">
            <v>54.2</v>
          </cell>
          <cell r="BS2866">
            <v>2.7600000000000051</v>
          </cell>
        </row>
        <row r="2867">
          <cell r="B2867">
            <v>44183</v>
          </cell>
          <cell r="D2867">
            <v>51.97</v>
          </cell>
          <cell r="E2867">
            <v>51.1</v>
          </cell>
          <cell r="H2867">
            <v>50.01</v>
          </cell>
          <cell r="I2867">
            <v>54.6</v>
          </cell>
          <cell r="BS2867">
            <v>3.5</v>
          </cell>
        </row>
        <row r="2868">
          <cell r="B2868">
            <v>44186</v>
          </cell>
          <cell r="D2868">
            <v>50.064999999999998</v>
          </cell>
          <cell r="E2868">
            <v>50.29</v>
          </cell>
          <cell r="H2868">
            <v>49.03</v>
          </cell>
          <cell r="I2868">
            <v>53.15</v>
          </cell>
          <cell r="BS2868">
            <v>2.8599999999999994</v>
          </cell>
        </row>
        <row r="2869">
          <cell r="B2869">
            <v>44187</v>
          </cell>
          <cell r="D2869">
            <v>50.295000000000002</v>
          </cell>
          <cell r="E2869">
            <v>49.79</v>
          </cell>
          <cell r="H2869">
            <v>48.14</v>
          </cell>
          <cell r="I2869">
            <v>52.69</v>
          </cell>
          <cell r="BS2869">
            <v>2.8999999999999986</v>
          </cell>
        </row>
        <row r="2870">
          <cell r="B2870">
            <v>44188</v>
          </cell>
          <cell r="D2870">
            <v>51.27</v>
          </cell>
          <cell r="E2870">
            <v>49.594999999999999</v>
          </cell>
          <cell r="H2870">
            <v>48.7</v>
          </cell>
          <cell r="I2870">
            <v>52.82</v>
          </cell>
          <cell r="BS2870">
            <v>3.2250000000000014</v>
          </cell>
        </row>
        <row r="2871">
          <cell r="B2871">
            <v>44189</v>
          </cell>
          <cell r="D2871">
            <v>50.395000000000003</v>
          </cell>
          <cell r="E2871">
            <v>51.26</v>
          </cell>
          <cell r="H2871">
            <v>50.61</v>
          </cell>
          <cell r="I2871">
            <v>54.74</v>
          </cell>
          <cell r="BS2871">
            <v>3.480000000000004</v>
          </cell>
        </row>
        <row r="2872">
          <cell r="B2872">
            <v>44190</v>
          </cell>
          <cell r="D2872" t="str">
            <v/>
          </cell>
          <cell r="E2872" t="str">
            <v/>
          </cell>
          <cell r="H2872">
            <v>0</v>
          </cell>
          <cell r="I2872">
            <v>0</v>
          </cell>
          <cell r="BS2872" t="e">
            <v>#N/A</v>
          </cell>
        </row>
        <row r="2873">
          <cell r="B2873">
            <v>44193</v>
          </cell>
          <cell r="D2873" t="str">
            <v/>
          </cell>
          <cell r="E2873">
            <v>51.05</v>
          </cell>
          <cell r="H2873">
            <v>50.67</v>
          </cell>
          <cell r="I2873">
            <v>54.03</v>
          </cell>
          <cell r="BS2873">
            <v>2.980000000000004</v>
          </cell>
        </row>
        <row r="2874">
          <cell r="B2874">
            <v>44194</v>
          </cell>
          <cell r="D2874">
            <v>50.66</v>
          </cell>
          <cell r="E2874">
            <v>50.95</v>
          </cell>
          <cell r="H2874">
            <v>50.89</v>
          </cell>
          <cell r="I2874">
            <v>53.96</v>
          </cell>
          <cell r="BS2874">
            <v>3.009999999999998</v>
          </cell>
        </row>
        <row r="2875">
          <cell r="B2875">
            <v>44195</v>
          </cell>
          <cell r="D2875">
            <v>50.765000000000001</v>
          </cell>
          <cell r="E2875">
            <v>51.01</v>
          </cell>
          <cell r="H2875">
            <v>50.86</v>
          </cell>
          <cell r="I2875">
            <v>54.51</v>
          </cell>
          <cell r="BS2875">
            <v>3.5</v>
          </cell>
        </row>
        <row r="2876">
          <cell r="B2876">
            <v>44196</v>
          </cell>
          <cell r="D2876">
            <v>50.484999999999999</v>
          </cell>
          <cell r="E2876">
            <v>51.1</v>
          </cell>
          <cell r="H2876">
            <v>52.25</v>
          </cell>
          <cell r="I2876">
            <v>55.18</v>
          </cell>
          <cell r="BS2876">
            <v>4.0799999999999983</v>
          </cell>
        </row>
        <row r="2877">
          <cell r="B2877">
            <v>44197</v>
          </cell>
          <cell r="D2877" t="str">
            <v/>
          </cell>
          <cell r="E2877" t="str">
            <v/>
          </cell>
          <cell r="H2877">
            <v>0</v>
          </cell>
          <cell r="I2877">
            <v>0</v>
          </cell>
          <cell r="BS2877" t="e">
            <v>#N/A</v>
          </cell>
        </row>
        <row r="2878">
          <cell r="B2878">
            <v>44200</v>
          </cell>
          <cell r="D2878">
            <v>50.335000000000001</v>
          </cell>
          <cell r="E2878">
            <v>52.44</v>
          </cell>
          <cell r="H2878">
            <v>53.39</v>
          </cell>
          <cell r="I2878">
            <v>56.56</v>
          </cell>
          <cell r="BS2878">
            <v>4.1200000000000045</v>
          </cell>
        </row>
        <row r="2879">
          <cell r="B2879">
            <v>44201</v>
          </cell>
          <cell r="D2879">
            <v>52.41</v>
          </cell>
          <cell r="E2879">
            <v>50.45</v>
          </cell>
          <cell r="H2879">
            <v>51.15</v>
          </cell>
          <cell r="I2879">
            <v>54.2</v>
          </cell>
          <cell r="BS2879">
            <v>3.75</v>
          </cell>
        </row>
        <row r="2880">
          <cell r="B2880">
            <v>44202</v>
          </cell>
          <cell r="D2880">
            <v>54.23</v>
          </cell>
          <cell r="E2880">
            <v>53.44</v>
          </cell>
          <cell r="H2880">
            <v>53.38</v>
          </cell>
          <cell r="I2880">
            <v>57.48</v>
          </cell>
          <cell r="BS2880">
            <v>4.0399999999999991</v>
          </cell>
        </row>
        <row r="2881">
          <cell r="B2881">
            <v>44203</v>
          </cell>
          <cell r="D2881">
            <v>54.145000000000003</v>
          </cell>
          <cell r="E2881">
            <v>54.46</v>
          </cell>
          <cell r="H2881">
            <v>54.56</v>
          </cell>
          <cell r="I2881">
            <v>58.24</v>
          </cell>
          <cell r="BS2881">
            <v>3.7800000000000011</v>
          </cell>
        </row>
        <row r="2882">
          <cell r="B2882">
            <v>44204</v>
          </cell>
          <cell r="D2882">
            <v>55.29</v>
          </cell>
          <cell r="E2882">
            <v>54.555</v>
          </cell>
          <cell r="H2882">
            <v>55.34</v>
          </cell>
          <cell r="I2882">
            <v>58.51</v>
          </cell>
          <cell r="BS2882">
            <v>3.9549999999999983</v>
          </cell>
        </row>
        <row r="2883">
          <cell r="B2883">
            <v>44207</v>
          </cell>
          <cell r="D2883">
            <v>54.98</v>
          </cell>
          <cell r="E2883">
            <v>55.255000000000003</v>
          </cell>
          <cell r="H2883">
            <v>55.87</v>
          </cell>
          <cell r="I2883">
            <v>59.03</v>
          </cell>
          <cell r="BS2883">
            <v>3.7749999999999986</v>
          </cell>
        </row>
        <row r="2884">
          <cell r="B2884">
            <v>44208</v>
          </cell>
          <cell r="D2884">
            <v>56.115000000000002</v>
          </cell>
          <cell r="E2884">
            <v>55.65</v>
          </cell>
          <cell r="H2884">
            <v>56.76</v>
          </cell>
          <cell r="I2884">
            <v>59.88</v>
          </cell>
          <cell r="BS2884">
            <v>4.230000000000004</v>
          </cell>
        </row>
        <row r="2885">
          <cell r="B2885">
            <v>44209</v>
          </cell>
          <cell r="D2885">
            <v>55.86</v>
          </cell>
          <cell r="E2885">
            <v>56.38</v>
          </cell>
          <cell r="H2885">
            <v>57.58</v>
          </cell>
          <cell r="I2885">
            <v>60.65</v>
          </cell>
          <cell r="BS2885">
            <v>4.269999999999996</v>
          </cell>
        </row>
        <row r="2886">
          <cell r="B2886">
            <v>44210</v>
          </cell>
          <cell r="D2886">
            <v>55.284999999999997</v>
          </cell>
          <cell r="E2886">
            <v>55.64</v>
          </cell>
          <cell r="H2886">
            <v>57.03</v>
          </cell>
          <cell r="I2886">
            <v>60.1</v>
          </cell>
          <cell r="BS2886">
            <v>4.4600000000000009</v>
          </cell>
        </row>
        <row r="2887">
          <cell r="B2887">
            <v>44211</v>
          </cell>
          <cell r="D2887">
            <v>54.515000000000001</v>
          </cell>
          <cell r="E2887">
            <v>55.34</v>
          </cell>
          <cell r="H2887">
            <v>57.29</v>
          </cell>
          <cell r="I2887">
            <v>59.13</v>
          </cell>
          <cell r="BS2887">
            <v>3.7899999999999991</v>
          </cell>
        </row>
        <row r="2888">
          <cell r="B2888">
            <v>44214</v>
          </cell>
          <cell r="D2888">
            <v>54.62</v>
          </cell>
          <cell r="E2888">
            <v>54.14</v>
          </cell>
          <cell r="H2888">
            <v>56.24</v>
          </cell>
          <cell r="I2888">
            <v>58.23</v>
          </cell>
          <cell r="BS2888">
            <v>4.0899999999999963</v>
          </cell>
        </row>
        <row r="2889">
          <cell r="B2889">
            <v>44215</v>
          </cell>
          <cell r="D2889">
            <v>55.63</v>
          </cell>
          <cell r="E2889">
            <v>55.15</v>
          </cell>
          <cell r="H2889">
            <v>56.68</v>
          </cell>
          <cell r="I2889">
            <v>59</v>
          </cell>
          <cell r="BS2889">
            <v>3.8500000000000014</v>
          </cell>
        </row>
        <row r="2890">
          <cell r="B2890">
            <v>44216</v>
          </cell>
          <cell r="D2890">
            <v>56.125</v>
          </cell>
          <cell r="E2890">
            <v>56.204999999999998</v>
          </cell>
          <cell r="H2890">
            <v>56.7</v>
          </cell>
          <cell r="I2890">
            <v>59.96</v>
          </cell>
          <cell r="BS2890">
            <v>3.7550000000000026</v>
          </cell>
        </row>
        <row r="2891">
          <cell r="B2891">
            <v>44217</v>
          </cell>
          <cell r="D2891">
            <v>55.755000000000003</v>
          </cell>
          <cell r="E2891">
            <v>55.45</v>
          </cell>
          <cell r="H2891">
            <v>55.86</v>
          </cell>
          <cell r="I2891">
            <v>59.34</v>
          </cell>
          <cell r="BS2891">
            <v>3.8900000000000006</v>
          </cell>
        </row>
        <row r="2892">
          <cell r="B2892">
            <v>44218</v>
          </cell>
          <cell r="D2892">
            <v>55.22</v>
          </cell>
          <cell r="E2892">
            <v>55.15</v>
          </cell>
          <cell r="H2892">
            <v>55.09</v>
          </cell>
          <cell r="I2892">
            <v>59.07</v>
          </cell>
          <cell r="BS2892">
            <v>3.9200000000000017</v>
          </cell>
        </row>
        <row r="2893">
          <cell r="B2893">
            <v>44221</v>
          </cell>
          <cell r="D2893">
            <v>54.98</v>
          </cell>
          <cell r="E2893">
            <v>55.344999999999999</v>
          </cell>
          <cell r="H2893">
            <v>55.73</v>
          </cell>
          <cell r="I2893">
            <v>59.61</v>
          </cell>
          <cell r="BS2893">
            <v>4.2650000000000006</v>
          </cell>
        </row>
        <row r="2894">
          <cell r="B2894">
            <v>44222</v>
          </cell>
          <cell r="D2894">
            <v>55.38</v>
          </cell>
          <cell r="E2894">
            <v>55.26</v>
          </cell>
          <cell r="H2894">
            <v>55.57</v>
          </cell>
          <cell r="I2894">
            <v>59.56</v>
          </cell>
          <cell r="BS2894">
            <v>4.3000000000000043</v>
          </cell>
        </row>
        <row r="2895">
          <cell r="B2895">
            <v>44223</v>
          </cell>
          <cell r="D2895">
            <v>55.73</v>
          </cell>
          <cell r="E2895">
            <v>55.7</v>
          </cell>
          <cell r="H2895">
            <v>56.23</v>
          </cell>
          <cell r="I2895">
            <v>60.5</v>
          </cell>
          <cell r="BS2895">
            <v>4.7999999999999972</v>
          </cell>
        </row>
        <row r="2896">
          <cell r="B2896">
            <v>44224</v>
          </cell>
          <cell r="D2896">
            <v>55.134999999999998</v>
          </cell>
          <cell r="E2896">
            <v>54.79</v>
          </cell>
          <cell r="H2896">
            <v>55.73</v>
          </cell>
          <cell r="I2896">
            <v>59.65</v>
          </cell>
          <cell r="BS2896">
            <v>4.8599999999999994</v>
          </cell>
        </row>
        <row r="2897">
          <cell r="B2897">
            <v>44225</v>
          </cell>
          <cell r="D2897">
            <v>55.125</v>
          </cell>
          <cell r="E2897">
            <v>54.64</v>
          </cell>
          <cell r="H2897">
            <v>55.5</v>
          </cell>
          <cell r="I2897">
            <v>59.59</v>
          </cell>
          <cell r="BS2897">
            <v>4.9500000000000028</v>
          </cell>
        </row>
        <row r="2898">
          <cell r="B2898">
            <v>44228</v>
          </cell>
          <cell r="D2898">
            <v>55.814999999999998</v>
          </cell>
          <cell r="E2898">
            <v>54.95</v>
          </cell>
          <cell r="H2898">
            <v>56.26</v>
          </cell>
          <cell r="I2898">
            <v>59.54</v>
          </cell>
          <cell r="BS2898">
            <v>4.5899999999999963</v>
          </cell>
        </row>
        <row r="2899">
          <cell r="B2899">
            <v>44229</v>
          </cell>
          <cell r="D2899">
            <v>57.74</v>
          </cell>
          <cell r="E2899">
            <v>56.704999999999998</v>
          </cell>
          <cell r="H2899">
            <v>58.31</v>
          </cell>
          <cell r="I2899">
            <v>61.02</v>
          </cell>
          <cell r="BS2899">
            <v>4.3150000000000048</v>
          </cell>
        </row>
        <row r="2900">
          <cell r="B2900">
            <v>44230</v>
          </cell>
          <cell r="D2900">
            <v>58.77</v>
          </cell>
          <cell r="E2900">
            <v>57.61</v>
          </cell>
          <cell r="H2900">
            <v>58.89</v>
          </cell>
          <cell r="I2900">
            <v>62.71</v>
          </cell>
          <cell r="BS2900">
            <v>5.1000000000000014</v>
          </cell>
        </row>
        <row r="2901">
          <cell r="B2901">
            <v>44231</v>
          </cell>
          <cell r="D2901">
            <v>58.634999999999998</v>
          </cell>
          <cell r="E2901">
            <v>58.31</v>
          </cell>
          <cell r="H2901">
            <v>59.61</v>
          </cell>
          <cell r="I2901">
            <v>63.71</v>
          </cell>
          <cell r="BS2901">
            <v>5.3999999999999986</v>
          </cell>
        </row>
        <row r="2902">
          <cell r="B2902">
            <v>44232</v>
          </cell>
          <cell r="D2902">
            <v>59.765000000000001</v>
          </cell>
          <cell r="E2902">
            <v>58.91</v>
          </cell>
          <cell r="H2902">
            <v>59.83</v>
          </cell>
          <cell r="I2902">
            <v>64.27</v>
          </cell>
          <cell r="BS2902">
            <v>5.3599999999999994</v>
          </cell>
        </row>
        <row r="2903">
          <cell r="B2903">
            <v>44235</v>
          </cell>
          <cell r="D2903">
            <v>59.905000000000001</v>
          </cell>
          <cell r="E2903">
            <v>59.74</v>
          </cell>
          <cell r="H2903">
            <v>60.56</v>
          </cell>
          <cell r="I2903">
            <v>64.849999999999994</v>
          </cell>
          <cell r="BS2903">
            <v>5.1099999999999923</v>
          </cell>
        </row>
        <row r="2904">
          <cell r="B2904">
            <v>44236</v>
          </cell>
          <cell r="D2904">
            <v>60.594999999999999</v>
          </cell>
          <cell r="E2904">
            <v>60.46</v>
          </cell>
          <cell r="H2904">
            <v>61.24</v>
          </cell>
          <cell r="I2904">
            <v>64.95</v>
          </cell>
          <cell r="BS2904">
            <v>4.490000000000002</v>
          </cell>
        </row>
        <row r="2905">
          <cell r="B2905">
            <v>44237</v>
          </cell>
          <cell r="D2905">
            <v>61.234999999999999</v>
          </cell>
          <cell r="E2905">
            <v>60.35</v>
          </cell>
          <cell r="H2905">
            <v>59.96</v>
          </cell>
          <cell r="I2905">
            <v>64.22</v>
          </cell>
          <cell r="BS2905">
            <v>3.8699999999999974</v>
          </cell>
        </row>
        <row r="2906">
          <cell r="B2906">
            <v>44238</v>
          </cell>
          <cell r="D2906">
            <v>61.314999999999998</v>
          </cell>
          <cell r="E2906">
            <v>60.51</v>
          </cell>
          <cell r="H2906">
            <v>59.74</v>
          </cell>
          <cell r="I2906">
            <v>64.13</v>
          </cell>
          <cell r="BS2906">
            <v>3.6199999999999974</v>
          </cell>
        </row>
        <row r="2907">
          <cell r="B2907">
            <v>44239</v>
          </cell>
          <cell r="D2907">
            <v>62.045000000000002</v>
          </cell>
          <cell r="E2907" t="str">
            <v/>
          </cell>
          <cell r="H2907">
            <v>0</v>
          </cell>
          <cell r="I2907">
            <v>0</v>
          </cell>
          <cell r="BS2907" t="e">
            <v>#N/A</v>
          </cell>
        </row>
        <row r="2908">
          <cell r="B2908">
            <v>44242</v>
          </cell>
          <cell r="D2908">
            <v>64.064999999999998</v>
          </cell>
          <cell r="E2908">
            <v>62.46</v>
          </cell>
          <cell r="H2908">
            <v>61.3</v>
          </cell>
          <cell r="I2908">
            <v>66.709999999999994</v>
          </cell>
          <cell r="BS2908">
            <v>4.2499999999999929</v>
          </cell>
        </row>
        <row r="2909">
          <cell r="B2909">
            <v>44243</v>
          </cell>
          <cell r="D2909">
            <v>63.564999999999998</v>
          </cell>
          <cell r="E2909">
            <v>62.255000000000003</v>
          </cell>
          <cell r="H2909">
            <v>61.67</v>
          </cell>
          <cell r="I2909">
            <v>67.59</v>
          </cell>
          <cell r="BS2909">
            <v>5.3350000000000009</v>
          </cell>
        </row>
        <row r="2910">
          <cell r="B2910">
            <v>44244</v>
          </cell>
          <cell r="D2910">
            <v>64.155000000000001</v>
          </cell>
          <cell r="E2910">
            <v>62.76</v>
          </cell>
          <cell r="H2910">
            <v>62.1</v>
          </cell>
          <cell r="I2910">
            <v>68.06</v>
          </cell>
          <cell r="BS2910">
            <v>5.3000000000000043</v>
          </cell>
        </row>
        <row r="2911">
          <cell r="B2911">
            <v>44245</v>
          </cell>
          <cell r="D2911">
            <v>64.66</v>
          </cell>
          <cell r="E2911">
            <v>63.21</v>
          </cell>
          <cell r="H2911">
            <v>63.42</v>
          </cell>
          <cell r="I2911">
            <v>69.58</v>
          </cell>
          <cell r="BS2911">
            <v>6.3699999999999974</v>
          </cell>
        </row>
        <row r="2912">
          <cell r="B2912">
            <v>44246</v>
          </cell>
          <cell r="D2912">
            <v>63.44</v>
          </cell>
          <cell r="E2912">
            <v>60.795000000000002</v>
          </cell>
          <cell r="H2912">
            <v>62.7</v>
          </cell>
          <cell r="I2912">
            <v>67.72</v>
          </cell>
          <cell r="BS2912">
            <v>6.9249999999999972</v>
          </cell>
        </row>
        <row r="2913">
          <cell r="B2913">
            <v>44249</v>
          </cell>
          <cell r="D2913">
            <v>64.25</v>
          </cell>
          <cell r="E2913">
            <v>61.24</v>
          </cell>
          <cell r="H2913">
            <v>63.04</v>
          </cell>
          <cell r="I2913">
            <v>68.290000000000006</v>
          </cell>
          <cell r="BS2913">
            <v>7.0500000000000043</v>
          </cell>
        </row>
        <row r="2914">
          <cell r="B2914">
            <v>44250</v>
          </cell>
          <cell r="D2914">
            <v>65.08</v>
          </cell>
          <cell r="E2914">
            <v>63.5</v>
          </cell>
          <cell r="H2914">
            <v>65.349999999999994</v>
          </cell>
          <cell r="I2914">
            <v>70.38</v>
          </cell>
          <cell r="BS2914">
            <v>6.8799999999999955</v>
          </cell>
        </row>
        <row r="2915">
          <cell r="B2915">
            <v>44251</v>
          </cell>
          <cell r="D2915">
            <v>66.680000000000007</v>
          </cell>
          <cell r="E2915">
            <v>62.85</v>
          </cell>
          <cell r="H2915">
            <v>64.53</v>
          </cell>
          <cell r="I2915">
            <v>69.77</v>
          </cell>
          <cell r="BS2915">
            <v>6.9199999999999946</v>
          </cell>
        </row>
        <row r="2916">
          <cell r="B2916">
            <v>44252</v>
          </cell>
          <cell r="D2916">
            <v>66.805000000000007</v>
          </cell>
          <cell r="E2916">
            <v>65.349999999999994</v>
          </cell>
          <cell r="H2916">
            <v>66.5</v>
          </cell>
          <cell r="I2916">
            <v>72.010000000000005</v>
          </cell>
          <cell r="BS2916">
            <v>6.6600000000000108</v>
          </cell>
        </row>
        <row r="2917">
          <cell r="B2917">
            <v>44253</v>
          </cell>
          <cell r="D2917">
            <v>65.92</v>
          </cell>
          <cell r="E2917">
            <v>64.28</v>
          </cell>
          <cell r="H2917">
            <v>65.44</v>
          </cell>
          <cell r="I2917">
            <v>71.39</v>
          </cell>
          <cell r="BS2917">
            <v>7.1099999999999994</v>
          </cell>
        </row>
        <row r="2918">
          <cell r="B2918">
            <v>44256</v>
          </cell>
          <cell r="D2918">
            <v>65.625</v>
          </cell>
          <cell r="E2918">
            <v>64.19</v>
          </cell>
          <cell r="H2918">
            <v>66.180000000000007</v>
          </cell>
          <cell r="I2918">
            <v>71.39</v>
          </cell>
          <cell r="BS2918">
            <v>7.2000000000000028</v>
          </cell>
        </row>
        <row r="2919">
          <cell r="B2919">
            <v>44257</v>
          </cell>
          <cell r="D2919">
            <v>64.055000000000007</v>
          </cell>
          <cell r="E2919">
            <v>61.354999999999997</v>
          </cell>
          <cell r="H2919">
            <v>63.59</v>
          </cell>
          <cell r="I2919">
            <v>68.36</v>
          </cell>
          <cell r="BS2919">
            <v>7.0050000000000026</v>
          </cell>
        </row>
        <row r="2920">
          <cell r="B2920">
            <v>44258</v>
          </cell>
          <cell r="D2920">
            <v>64.555000000000007</v>
          </cell>
          <cell r="E2920">
            <v>61.39</v>
          </cell>
          <cell r="H2920">
            <v>63.25</v>
          </cell>
          <cell r="I2920">
            <v>68.44</v>
          </cell>
          <cell r="BS2920">
            <v>7.0499999999999972</v>
          </cell>
        </row>
        <row r="2921">
          <cell r="B2921">
            <v>44259</v>
          </cell>
          <cell r="D2921">
            <v>67.474999999999994</v>
          </cell>
          <cell r="E2921">
            <v>63.04</v>
          </cell>
          <cell r="H2921">
            <v>64.650000000000006</v>
          </cell>
          <cell r="I2921">
            <v>69.959999999999994</v>
          </cell>
          <cell r="BS2921">
            <v>6.9199999999999946</v>
          </cell>
        </row>
        <row r="2922">
          <cell r="B2922">
            <v>44260</v>
          </cell>
          <cell r="D2922">
            <v>69.004999999999995</v>
          </cell>
          <cell r="E2922">
            <v>66.42</v>
          </cell>
          <cell r="H2922">
            <v>67.760000000000005</v>
          </cell>
          <cell r="I2922">
            <v>72.53</v>
          </cell>
          <cell r="BS2922">
            <v>6.1099999999999994</v>
          </cell>
        </row>
        <row r="2923">
          <cell r="B2923">
            <v>44263</v>
          </cell>
          <cell r="D2923">
            <v>68.734999999999999</v>
          </cell>
          <cell r="E2923">
            <v>68.3</v>
          </cell>
          <cell r="H2923">
            <v>69.02</v>
          </cell>
          <cell r="I2923">
            <v>74.56</v>
          </cell>
          <cell r="BS2923">
            <v>6.2600000000000051</v>
          </cell>
        </row>
        <row r="2924">
          <cell r="B2924">
            <v>44264</v>
          </cell>
          <cell r="D2924">
            <v>67.254999999999995</v>
          </cell>
          <cell r="E2924">
            <v>66.36</v>
          </cell>
          <cell r="H2924">
            <v>66.930000000000007</v>
          </cell>
          <cell r="I2924">
            <v>72.39</v>
          </cell>
          <cell r="BS2924">
            <v>6.0300000000000011</v>
          </cell>
        </row>
        <row r="2925">
          <cell r="B2925">
            <v>44265</v>
          </cell>
          <cell r="D2925">
            <v>66.760000000000005</v>
          </cell>
          <cell r="E2925">
            <v>65.25</v>
          </cell>
          <cell r="H2925">
            <v>65.790000000000006</v>
          </cell>
          <cell r="I2925">
            <v>71.97</v>
          </cell>
          <cell r="BS2925">
            <v>6.7199999999999989</v>
          </cell>
        </row>
        <row r="2926">
          <cell r="B2926">
            <v>44266</v>
          </cell>
          <cell r="D2926">
            <v>69.16</v>
          </cell>
          <cell r="E2926">
            <v>66.790000000000006</v>
          </cell>
          <cell r="H2926">
            <v>67.13</v>
          </cell>
          <cell r="I2926">
            <v>73.900000000000006</v>
          </cell>
          <cell r="BS2926">
            <v>7.1099999999999994</v>
          </cell>
        </row>
        <row r="2927">
          <cell r="B2927">
            <v>44267</v>
          </cell>
          <cell r="D2927">
            <v>69.284999999999997</v>
          </cell>
          <cell r="E2927">
            <v>67.894999999999996</v>
          </cell>
          <cell r="H2927">
            <v>67.88</v>
          </cell>
          <cell r="I2927">
            <v>75.260000000000005</v>
          </cell>
          <cell r="BS2927">
            <v>7.3650000000000091</v>
          </cell>
        </row>
        <row r="2928">
          <cell r="B2928">
            <v>44270</v>
          </cell>
          <cell r="D2928">
            <v>68.510000000000005</v>
          </cell>
          <cell r="E2928">
            <v>68.2</v>
          </cell>
          <cell r="H2928">
            <v>68.650000000000006</v>
          </cell>
          <cell r="I2928">
            <v>76.31</v>
          </cell>
          <cell r="BS2928">
            <v>8.11</v>
          </cell>
        </row>
        <row r="2929">
          <cell r="B2929">
            <v>44271</v>
          </cell>
          <cell r="D2929">
            <v>67.965000000000003</v>
          </cell>
          <cell r="E2929">
            <v>66.504999999999995</v>
          </cell>
          <cell r="H2929">
            <v>66.849999999999994</v>
          </cell>
          <cell r="I2929">
            <v>74.040000000000006</v>
          </cell>
          <cell r="BS2929">
            <v>7.5350000000000108</v>
          </cell>
        </row>
        <row r="2930">
          <cell r="B2930">
            <v>44272</v>
          </cell>
          <cell r="D2930">
            <v>67.45</v>
          </cell>
          <cell r="E2930">
            <v>66.599999999999994</v>
          </cell>
          <cell r="H2930">
            <v>66.78</v>
          </cell>
          <cell r="I2930">
            <v>74.680000000000007</v>
          </cell>
          <cell r="BS2930">
            <v>8.0800000000000125</v>
          </cell>
        </row>
        <row r="2931">
          <cell r="B2931">
            <v>44273</v>
          </cell>
          <cell r="D2931">
            <v>64.92</v>
          </cell>
          <cell r="E2931">
            <v>65.25</v>
          </cell>
          <cell r="H2931">
            <v>64.69</v>
          </cell>
          <cell r="I2931">
            <v>72.39</v>
          </cell>
          <cell r="BS2931">
            <v>7.1400000000000006</v>
          </cell>
        </row>
        <row r="2932">
          <cell r="B2932">
            <v>44274</v>
          </cell>
          <cell r="D2932">
            <v>63.72</v>
          </cell>
          <cell r="E2932">
            <v>62.25</v>
          </cell>
          <cell r="H2932">
            <v>62.57</v>
          </cell>
          <cell r="I2932">
            <v>69.650000000000006</v>
          </cell>
          <cell r="BS2932">
            <v>7.4000000000000057</v>
          </cell>
        </row>
        <row r="2933">
          <cell r="B2933">
            <v>44277</v>
          </cell>
          <cell r="D2933">
            <v>63.805</v>
          </cell>
          <cell r="E2933">
            <v>63.16</v>
          </cell>
          <cell r="H2933">
            <v>62.71</v>
          </cell>
          <cell r="I2933">
            <v>69.75</v>
          </cell>
          <cell r="BS2933">
            <v>6.5900000000000034</v>
          </cell>
        </row>
        <row r="2934">
          <cell r="B2934">
            <v>44278</v>
          </cell>
          <cell r="D2934">
            <v>61.884999999999998</v>
          </cell>
          <cell r="E2934">
            <v>62.954999999999998</v>
          </cell>
          <cell r="H2934">
            <v>62.13</v>
          </cell>
          <cell r="I2934">
            <v>69.14</v>
          </cell>
          <cell r="BS2934">
            <v>6.1850000000000023</v>
          </cell>
        </row>
        <row r="2935">
          <cell r="B2935">
            <v>44279</v>
          </cell>
          <cell r="D2935">
            <v>63.634999999999998</v>
          </cell>
          <cell r="E2935">
            <v>60.95</v>
          </cell>
          <cell r="H2935">
            <v>60.77</v>
          </cell>
          <cell r="I2935">
            <v>67.45</v>
          </cell>
          <cell r="BS2935">
            <v>6.5</v>
          </cell>
        </row>
        <row r="2936">
          <cell r="B2936">
            <v>44280</v>
          </cell>
          <cell r="D2936">
            <v>61.255000000000003</v>
          </cell>
          <cell r="E2936">
            <v>62.4</v>
          </cell>
          <cell r="H2936">
            <v>61.93</v>
          </cell>
          <cell r="I2936">
            <v>69.430000000000007</v>
          </cell>
          <cell r="BS2936">
            <v>7.0300000000000082</v>
          </cell>
        </row>
        <row r="2937">
          <cell r="B2937">
            <v>44281</v>
          </cell>
          <cell r="D2937">
            <v>63.8</v>
          </cell>
          <cell r="E2937">
            <v>62.05</v>
          </cell>
          <cell r="H2937">
            <v>62.82</v>
          </cell>
          <cell r="I2937">
            <v>69.17</v>
          </cell>
          <cell r="BS2937">
            <v>7.1200000000000045</v>
          </cell>
        </row>
        <row r="2938">
          <cell r="B2938">
            <v>44284</v>
          </cell>
          <cell r="D2938">
            <v>63.265000000000001</v>
          </cell>
          <cell r="E2938">
            <v>63.05</v>
          </cell>
          <cell r="H2938">
            <v>62.24</v>
          </cell>
          <cell r="I2938">
            <v>70.48</v>
          </cell>
          <cell r="BS2938">
            <v>7.4300000000000068</v>
          </cell>
        </row>
        <row r="2939">
          <cell r="B2939">
            <v>44285</v>
          </cell>
          <cell r="D2939">
            <v>63.534999999999997</v>
          </cell>
          <cell r="E2939">
            <v>63.86</v>
          </cell>
          <cell r="H2939">
            <v>62.71</v>
          </cell>
          <cell r="I2939">
            <v>71.790000000000006</v>
          </cell>
          <cell r="BS2939">
            <v>7.9300000000000068</v>
          </cell>
        </row>
        <row r="2940">
          <cell r="B2940">
            <v>44286</v>
          </cell>
          <cell r="D2940">
            <v>63.744999999999997</v>
          </cell>
          <cell r="E2940">
            <v>63.31</v>
          </cell>
          <cell r="H2940">
            <v>62.54</v>
          </cell>
          <cell r="I2940">
            <v>71.709999999999994</v>
          </cell>
          <cell r="BS2940">
            <v>8.3999999999999915</v>
          </cell>
        </row>
        <row r="2941">
          <cell r="B2941">
            <v>44287</v>
          </cell>
          <cell r="D2941">
            <v>62.19</v>
          </cell>
          <cell r="E2941">
            <v>61.45</v>
          </cell>
          <cell r="H2941">
            <v>61.67</v>
          </cell>
          <cell r="I2941">
            <v>70.209999999999994</v>
          </cell>
          <cell r="BS2941">
            <v>8.7599999999999909</v>
          </cell>
        </row>
        <row r="2942">
          <cell r="B2942">
            <v>44288</v>
          </cell>
          <cell r="D2942" t="str">
            <v/>
          </cell>
          <cell r="E2942" t="str">
            <v/>
          </cell>
          <cell r="H2942">
            <v>0</v>
          </cell>
          <cell r="I2942">
            <v>0</v>
          </cell>
          <cell r="BS2942" t="e">
            <v>#N/A</v>
          </cell>
        </row>
        <row r="2943">
          <cell r="B2943">
            <v>44291</v>
          </cell>
          <cell r="D2943" t="str">
            <v/>
          </cell>
          <cell r="E2943">
            <v>61.95</v>
          </cell>
          <cell r="H2943">
            <v>62.31</v>
          </cell>
          <cell r="I2943">
            <v>70.87</v>
          </cell>
          <cell r="BS2943">
            <v>8.9200000000000017</v>
          </cell>
        </row>
        <row r="2944">
          <cell r="B2944">
            <v>44292</v>
          </cell>
          <cell r="D2944">
            <v>62.365000000000002</v>
          </cell>
          <cell r="E2944">
            <v>61.31</v>
          </cell>
          <cell r="H2944">
            <v>61.7</v>
          </cell>
          <cell r="I2944">
            <v>70.53</v>
          </cell>
          <cell r="BS2944">
            <v>9.2199999999999989</v>
          </cell>
        </row>
        <row r="2945">
          <cell r="B2945">
            <v>44293</v>
          </cell>
          <cell r="D2945">
            <v>61.024999999999999</v>
          </cell>
          <cell r="E2945">
            <v>60.85</v>
          </cell>
          <cell r="H2945">
            <v>60.9</v>
          </cell>
          <cell r="I2945">
            <v>69.510000000000005</v>
          </cell>
          <cell r="BS2945">
            <v>8.6600000000000037</v>
          </cell>
        </row>
        <row r="2946">
          <cell r="B2946">
            <v>44294</v>
          </cell>
          <cell r="D2946">
            <v>62</v>
          </cell>
          <cell r="E2946">
            <v>61.2</v>
          </cell>
          <cell r="H2946">
            <v>61.02</v>
          </cell>
          <cell r="I2946">
            <v>69.5</v>
          </cell>
          <cell r="BS2946">
            <v>8.2999999999999972</v>
          </cell>
        </row>
        <row r="2947">
          <cell r="B2947">
            <v>44295</v>
          </cell>
          <cell r="D2947">
            <v>62.27</v>
          </cell>
          <cell r="E2947">
            <v>60.9</v>
          </cell>
          <cell r="H2947">
            <v>60.67</v>
          </cell>
          <cell r="I2947">
            <v>69.17</v>
          </cell>
          <cell r="BS2947">
            <v>8.2700000000000031</v>
          </cell>
        </row>
        <row r="2948">
          <cell r="B2948">
            <v>44298</v>
          </cell>
          <cell r="D2948">
            <v>62.57</v>
          </cell>
          <cell r="E2948">
            <v>61.055</v>
          </cell>
          <cell r="H2948">
            <v>60.61</v>
          </cell>
          <cell r="I2948">
            <v>69.540000000000006</v>
          </cell>
          <cell r="BS2948">
            <v>8.4850000000000065</v>
          </cell>
        </row>
        <row r="2949">
          <cell r="B2949">
            <v>44299</v>
          </cell>
          <cell r="D2949">
            <v>63.09</v>
          </cell>
          <cell r="E2949">
            <v>61.55</v>
          </cell>
          <cell r="H2949">
            <v>60.58</v>
          </cell>
          <cell r="I2949">
            <v>69.94</v>
          </cell>
          <cell r="BS2949">
            <v>8.39</v>
          </cell>
        </row>
        <row r="2950">
          <cell r="B2950">
            <v>44300</v>
          </cell>
          <cell r="D2950">
            <v>65.665000000000006</v>
          </cell>
          <cell r="E2950">
            <v>62.54</v>
          </cell>
          <cell r="H2950">
            <v>61.28</v>
          </cell>
          <cell r="I2950">
            <v>71.09</v>
          </cell>
          <cell r="BS2950">
            <v>8.5500000000000043</v>
          </cell>
        </row>
        <row r="2951">
          <cell r="B2951">
            <v>44301</v>
          </cell>
          <cell r="D2951">
            <v>65.534999999999997</v>
          </cell>
          <cell r="E2951">
            <v>64.144999999999996</v>
          </cell>
          <cell r="H2951">
            <v>62.72</v>
          </cell>
          <cell r="I2951">
            <v>72.87</v>
          </cell>
          <cell r="BS2951">
            <v>8.7250000000000085</v>
          </cell>
        </row>
        <row r="2952">
          <cell r="B2952">
            <v>44302</v>
          </cell>
          <cell r="D2952">
            <v>65.91</v>
          </cell>
          <cell r="E2952">
            <v>65.11</v>
          </cell>
          <cell r="H2952">
            <v>64.33</v>
          </cell>
          <cell r="I2952">
            <v>73.87</v>
          </cell>
          <cell r="BS2952">
            <v>8.7600000000000051</v>
          </cell>
        </row>
        <row r="2953">
          <cell r="B2953">
            <v>44305</v>
          </cell>
          <cell r="D2953">
            <v>66.254999999999995</v>
          </cell>
          <cell r="E2953">
            <v>64.790000000000006</v>
          </cell>
          <cell r="H2953">
            <v>63.28</v>
          </cell>
          <cell r="I2953">
            <v>73.55</v>
          </cell>
          <cell r="BS2953">
            <v>8.7599999999999909</v>
          </cell>
        </row>
        <row r="2954">
          <cell r="B2954">
            <v>44306</v>
          </cell>
          <cell r="D2954">
            <v>65.064999999999998</v>
          </cell>
          <cell r="E2954">
            <v>65.7</v>
          </cell>
          <cell r="H2954">
            <v>63.41</v>
          </cell>
          <cell r="I2954">
            <v>74.77</v>
          </cell>
          <cell r="BS2954">
            <v>9.0699999999999932</v>
          </cell>
        </row>
        <row r="2955">
          <cell r="B2955">
            <v>44307</v>
          </cell>
          <cell r="D2955">
            <v>65.33</v>
          </cell>
          <cell r="E2955">
            <v>63.69</v>
          </cell>
          <cell r="H2955">
            <v>61.67</v>
          </cell>
          <cell r="I2955">
            <v>72.81</v>
          </cell>
          <cell r="BS2955">
            <v>9.1200000000000045</v>
          </cell>
        </row>
        <row r="2956">
          <cell r="B2956">
            <v>44308</v>
          </cell>
          <cell r="D2956">
            <v>65.165000000000006</v>
          </cell>
          <cell r="E2956">
            <v>62.21</v>
          </cell>
          <cell r="H2956">
            <v>60.58</v>
          </cell>
          <cell r="I2956">
            <v>71.19</v>
          </cell>
          <cell r="BS2956">
            <v>8.9799999999999969</v>
          </cell>
        </row>
        <row r="2957">
          <cell r="B2957">
            <v>44309</v>
          </cell>
          <cell r="D2957">
            <v>65.564999999999998</v>
          </cell>
          <cell r="E2957">
            <v>62.89</v>
          </cell>
          <cell r="H2957">
            <v>61.11</v>
          </cell>
          <cell r="I2957">
            <v>71.91</v>
          </cell>
          <cell r="BS2957">
            <v>9.019999999999996</v>
          </cell>
        </row>
        <row r="2958">
          <cell r="B2958">
            <v>44312</v>
          </cell>
          <cell r="D2958">
            <v>65.56</v>
          </cell>
          <cell r="E2958">
            <v>62.35</v>
          </cell>
          <cell r="H2958">
            <v>61.33</v>
          </cell>
          <cell r="I2958">
            <v>71.11</v>
          </cell>
          <cell r="BS2958">
            <v>8.759999999999998</v>
          </cell>
        </row>
        <row r="2959">
          <cell r="B2959">
            <v>44313</v>
          </cell>
          <cell r="D2959">
            <v>65.680000000000007</v>
          </cell>
          <cell r="E2959">
            <v>63.24</v>
          </cell>
          <cell r="H2959">
            <v>62.89</v>
          </cell>
          <cell r="I2959">
            <v>71.72</v>
          </cell>
          <cell r="BS2959">
            <v>8.4799999999999969</v>
          </cell>
        </row>
        <row r="2960">
          <cell r="B2960">
            <v>44314</v>
          </cell>
          <cell r="D2960">
            <v>67.5</v>
          </cell>
          <cell r="E2960">
            <v>63.54</v>
          </cell>
          <cell r="H2960">
            <v>63.29</v>
          </cell>
          <cell r="I2960">
            <v>72.459999999999994</v>
          </cell>
          <cell r="BS2960">
            <v>8.9199999999999946</v>
          </cell>
        </row>
        <row r="2961">
          <cell r="B2961">
            <v>44315</v>
          </cell>
          <cell r="D2961">
            <v>68.150000000000006</v>
          </cell>
          <cell r="E2961">
            <v>65.05</v>
          </cell>
          <cell r="H2961">
            <v>64.459999999999994</v>
          </cell>
          <cell r="I2961">
            <v>74.2</v>
          </cell>
          <cell r="BS2961">
            <v>9.1500000000000057</v>
          </cell>
        </row>
        <row r="2962">
          <cell r="B2962">
            <v>44316</v>
          </cell>
          <cell r="D2962">
            <v>67.025000000000006</v>
          </cell>
          <cell r="E2962">
            <v>65.260000000000005</v>
          </cell>
          <cell r="H2962">
            <v>65.349999999999994</v>
          </cell>
          <cell r="I2962">
            <v>74.81</v>
          </cell>
          <cell r="BS2962">
            <v>9.5499999999999972</v>
          </cell>
        </row>
        <row r="2963">
          <cell r="B2963">
            <v>44319</v>
          </cell>
          <cell r="D2963" t="str">
            <v/>
          </cell>
          <cell r="E2963">
            <v>64.349999999999994</v>
          </cell>
          <cell r="H2963">
            <v>64.45</v>
          </cell>
          <cell r="I2963">
            <v>73.34</v>
          </cell>
          <cell r="BS2963">
            <v>8.9900000000000091</v>
          </cell>
        </row>
        <row r="2964">
          <cell r="B2964">
            <v>44320</v>
          </cell>
          <cell r="D2964">
            <v>69.234999999999999</v>
          </cell>
          <cell r="E2964">
            <v>65.790000000000006</v>
          </cell>
          <cell r="H2964">
            <v>66.25</v>
          </cell>
          <cell r="I2964">
            <v>75.260000000000005</v>
          </cell>
          <cell r="BS2964">
            <v>9.4699999999999989</v>
          </cell>
        </row>
        <row r="2965">
          <cell r="B2965">
            <v>44321</v>
          </cell>
          <cell r="D2965">
            <v>70.3</v>
          </cell>
          <cell r="E2965">
            <v>67.709999999999994</v>
          </cell>
          <cell r="H2965">
            <v>67.63</v>
          </cell>
          <cell r="I2965">
            <v>76.650000000000006</v>
          </cell>
          <cell r="BS2965">
            <v>8.9400000000000119</v>
          </cell>
        </row>
        <row r="2966">
          <cell r="B2966">
            <v>44322</v>
          </cell>
          <cell r="D2966">
            <v>69.09</v>
          </cell>
          <cell r="E2966">
            <v>67.11</v>
          </cell>
          <cell r="H2966">
            <v>66.42</v>
          </cell>
          <cell r="I2966">
            <v>76.13</v>
          </cell>
          <cell r="BS2966">
            <v>9.019999999999996</v>
          </cell>
        </row>
        <row r="2967">
          <cell r="B2967">
            <v>44323</v>
          </cell>
          <cell r="D2967">
            <v>68.8</v>
          </cell>
          <cell r="E2967">
            <v>65.89</v>
          </cell>
          <cell r="H2967">
            <v>65.33</v>
          </cell>
          <cell r="I2967">
            <v>74.55</v>
          </cell>
          <cell r="BS2967">
            <v>8.6599999999999966</v>
          </cell>
        </row>
        <row r="2968">
          <cell r="B2968">
            <v>44326</v>
          </cell>
          <cell r="D2968">
            <v>68.644999999999996</v>
          </cell>
          <cell r="E2968">
            <v>66.709999999999994</v>
          </cell>
          <cell r="H2968">
            <v>66</v>
          </cell>
          <cell r="I2968">
            <v>75.55</v>
          </cell>
          <cell r="BS2968">
            <v>8.8400000000000034</v>
          </cell>
        </row>
        <row r="2969">
          <cell r="B2969">
            <v>44327</v>
          </cell>
          <cell r="D2969">
            <v>68.905000000000001</v>
          </cell>
          <cell r="E2969">
            <v>65.5</v>
          </cell>
          <cell r="H2969">
            <v>64.45</v>
          </cell>
          <cell r="I2969">
            <v>73.86</v>
          </cell>
          <cell r="BS2969">
            <v>8.36</v>
          </cell>
        </row>
        <row r="2970">
          <cell r="B2970">
            <v>44328</v>
          </cell>
          <cell r="D2970">
            <v>70.209999999999994</v>
          </cell>
          <cell r="E2970">
            <v>66.52</v>
          </cell>
          <cell r="H2970">
            <v>65.900000000000006</v>
          </cell>
          <cell r="I2970">
            <v>75.150000000000006</v>
          </cell>
          <cell r="BS2970">
            <v>8.6300000000000097</v>
          </cell>
        </row>
        <row r="2971">
          <cell r="B2971">
            <v>44329</v>
          </cell>
          <cell r="D2971">
            <v>68.004999999999995</v>
          </cell>
          <cell r="E2971" t="str">
            <v/>
          </cell>
          <cell r="H2971">
            <v>0</v>
          </cell>
          <cell r="I2971">
            <v>0</v>
          </cell>
          <cell r="BS2971" t="e">
            <v>#N/A</v>
          </cell>
        </row>
        <row r="2972">
          <cell r="B2972">
            <v>44330</v>
          </cell>
          <cell r="D2972">
            <v>69.034999999999997</v>
          </cell>
          <cell r="E2972">
            <v>65.290000000000006</v>
          </cell>
          <cell r="H2972">
            <v>64.3</v>
          </cell>
          <cell r="I2972">
            <v>71.61</v>
          </cell>
          <cell r="BS2972">
            <v>6.3199999999999932</v>
          </cell>
        </row>
        <row r="2973">
          <cell r="B2973">
            <v>44333</v>
          </cell>
          <cell r="D2973">
            <v>69.72</v>
          </cell>
          <cell r="E2973">
            <v>67.13</v>
          </cell>
          <cell r="H2973">
            <v>65.5</v>
          </cell>
          <cell r="I2973">
            <v>73.66</v>
          </cell>
          <cell r="BS2973">
            <v>6.5300000000000011</v>
          </cell>
        </row>
        <row r="2974">
          <cell r="B2974">
            <v>44334</v>
          </cell>
          <cell r="D2974">
            <v>69.67</v>
          </cell>
          <cell r="E2974">
            <v>68.38</v>
          </cell>
          <cell r="H2974">
            <v>66.83</v>
          </cell>
          <cell r="I2974">
            <v>75.58</v>
          </cell>
          <cell r="BS2974">
            <v>7.2000000000000028</v>
          </cell>
        </row>
        <row r="2975">
          <cell r="B2975">
            <v>44335</v>
          </cell>
          <cell r="D2975">
            <v>66.44</v>
          </cell>
          <cell r="E2975">
            <v>66.09</v>
          </cell>
          <cell r="H2975">
            <v>64.760000000000005</v>
          </cell>
          <cell r="I2975">
            <v>73.790000000000006</v>
          </cell>
          <cell r="BS2975">
            <v>7.7000000000000028</v>
          </cell>
        </row>
        <row r="2976">
          <cell r="B2976">
            <v>44336</v>
          </cell>
          <cell r="D2976">
            <v>66.599999999999994</v>
          </cell>
          <cell r="E2976">
            <v>65</v>
          </cell>
          <cell r="H2976">
            <v>64.33</v>
          </cell>
          <cell r="I2976">
            <v>73.349999999999994</v>
          </cell>
          <cell r="BS2976">
            <v>8.3499999999999943</v>
          </cell>
        </row>
        <row r="2977">
          <cell r="B2977">
            <v>44337</v>
          </cell>
          <cell r="D2977">
            <v>66.885000000000005</v>
          </cell>
          <cell r="E2977">
            <v>63.2</v>
          </cell>
          <cell r="H2977">
            <v>62.55</v>
          </cell>
          <cell r="I2977">
            <v>71.040000000000006</v>
          </cell>
          <cell r="BS2977">
            <v>7.8400000000000034</v>
          </cell>
        </row>
        <row r="2978">
          <cell r="B2978">
            <v>44340</v>
          </cell>
          <cell r="D2978">
            <v>68.364999999999995</v>
          </cell>
          <cell r="E2978">
            <v>66.22</v>
          </cell>
          <cell r="H2978">
            <v>65.099999999999994</v>
          </cell>
          <cell r="I2978">
            <v>74.16</v>
          </cell>
          <cell r="BS2978">
            <v>7.9399999999999977</v>
          </cell>
        </row>
        <row r="2979">
          <cell r="B2979">
            <v>44341</v>
          </cell>
          <cell r="D2979">
            <v>68.75</v>
          </cell>
          <cell r="E2979">
            <v>67.344999999999999</v>
          </cell>
          <cell r="H2979">
            <v>66.459999999999994</v>
          </cell>
          <cell r="I2979">
            <v>75.25</v>
          </cell>
          <cell r="BS2979">
            <v>7.9050000000000011</v>
          </cell>
        </row>
        <row r="2980">
          <cell r="B2980">
            <v>44342</v>
          </cell>
          <cell r="D2980">
            <v>68.930000000000007</v>
          </cell>
          <cell r="E2980" t="str">
            <v/>
          </cell>
          <cell r="H2980">
            <v>0</v>
          </cell>
          <cell r="I2980">
            <v>0</v>
          </cell>
          <cell r="BS2980" t="e">
            <v>#N/A</v>
          </cell>
        </row>
        <row r="2981">
          <cell r="B2981">
            <v>44343</v>
          </cell>
          <cell r="D2981">
            <v>69.08</v>
          </cell>
          <cell r="E2981">
            <v>66.38</v>
          </cell>
          <cell r="H2981">
            <v>65.959999999999994</v>
          </cell>
          <cell r="I2981">
            <v>74.55</v>
          </cell>
          <cell r="BS2981">
            <v>8.1700000000000017</v>
          </cell>
        </row>
        <row r="2982">
          <cell r="B2982">
            <v>44344</v>
          </cell>
          <cell r="D2982">
            <v>69.504999999999995</v>
          </cell>
          <cell r="E2982">
            <v>67.459999999999994</v>
          </cell>
          <cell r="H2982">
            <v>67.14</v>
          </cell>
          <cell r="I2982">
            <v>75.760000000000005</v>
          </cell>
          <cell r="BS2982">
            <v>8.3000000000000114</v>
          </cell>
        </row>
        <row r="2983">
          <cell r="B2983">
            <v>44347</v>
          </cell>
          <cell r="D2983" t="str">
            <v/>
          </cell>
          <cell r="E2983">
            <v>67.900000000000006</v>
          </cell>
          <cell r="H2983">
            <v>67.66</v>
          </cell>
          <cell r="I2983">
            <v>74.69</v>
          </cell>
          <cell r="BS2983">
            <v>6.789999999999992</v>
          </cell>
        </row>
        <row r="2984">
          <cell r="B2984">
            <v>44348</v>
          </cell>
          <cell r="D2984">
            <v>69.319999999999993</v>
          </cell>
          <cell r="E2984">
            <v>69.06</v>
          </cell>
          <cell r="H2984">
            <v>68.88</v>
          </cell>
          <cell r="I2984">
            <v>75.34</v>
          </cell>
          <cell r="BS2984">
            <v>6.2800000000000011</v>
          </cell>
        </row>
        <row r="2985">
          <cell r="B2985">
            <v>44349</v>
          </cell>
          <cell r="D2985">
            <v>69.87</v>
          </cell>
          <cell r="E2985">
            <v>69.19</v>
          </cell>
          <cell r="H2985">
            <v>68.989999999999995</v>
          </cell>
          <cell r="I2985">
            <v>75.459999999999994</v>
          </cell>
          <cell r="BS2985">
            <v>6.269999999999996</v>
          </cell>
        </row>
        <row r="2986">
          <cell r="B2986">
            <v>44350</v>
          </cell>
          <cell r="D2986">
            <v>69.885000000000005</v>
          </cell>
          <cell r="E2986">
            <v>69.944999999999993</v>
          </cell>
          <cell r="H2986">
            <v>69.55</v>
          </cell>
          <cell r="I2986">
            <v>76.61</v>
          </cell>
          <cell r="BS2986">
            <v>6.6650000000000063</v>
          </cell>
        </row>
        <row r="2987">
          <cell r="B2987">
            <v>44351</v>
          </cell>
          <cell r="D2987">
            <v>70.680000000000007</v>
          </cell>
          <cell r="E2987">
            <v>70.09</v>
          </cell>
          <cell r="H2987">
            <v>69.709999999999994</v>
          </cell>
          <cell r="I2987">
            <v>76.84</v>
          </cell>
          <cell r="BS2987">
            <v>6.75</v>
          </cell>
        </row>
        <row r="2988">
          <cell r="B2988">
            <v>44354</v>
          </cell>
          <cell r="D2988">
            <v>70.515000000000001</v>
          </cell>
          <cell r="E2988">
            <v>70</v>
          </cell>
          <cell r="H2988">
            <v>69.36</v>
          </cell>
          <cell r="I2988">
            <v>76.58</v>
          </cell>
          <cell r="BS2988">
            <v>6.5799999999999983</v>
          </cell>
        </row>
        <row r="2989">
          <cell r="B2989">
            <v>44355</v>
          </cell>
          <cell r="D2989">
            <v>70.92</v>
          </cell>
          <cell r="E2989">
            <v>69.3</v>
          </cell>
          <cell r="H2989">
            <v>68.83</v>
          </cell>
          <cell r="I2989">
            <v>75.77</v>
          </cell>
          <cell r="BS2989">
            <v>6.4699999999999989</v>
          </cell>
        </row>
        <row r="2990">
          <cell r="B2990">
            <v>44356</v>
          </cell>
          <cell r="D2990">
            <v>71.39</v>
          </cell>
          <cell r="E2990">
            <v>71.099999999999994</v>
          </cell>
          <cell r="H2990">
            <v>70.349999999999994</v>
          </cell>
          <cell r="I2990">
            <v>78.400000000000006</v>
          </cell>
          <cell r="BS2990">
            <v>7.3000000000000114</v>
          </cell>
        </row>
        <row r="2991">
          <cell r="B2991">
            <v>44357</v>
          </cell>
          <cell r="D2991">
            <v>71.709999999999994</v>
          </cell>
          <cell r="E2991">
            <v>70.655000000000001</v>
          </cell>
          <cell r="H2991">
            <v>69.75</v>
          </cell>
          <cell r="I2991">
            <v>77.739999999999995</v>
          </cell>
          <cell r="BS2991">
            <v>7.0849999999999937</v>
          </cell>
        </row>
        <row r="2992">
          <cell r="B2992">
            <v>44358</v>
          </cell>
          <cell r="D2992">
            <v>72.045000000000002</v>
          </cell>
          <cell r="E2992">
            <v>71.16</v>
          </cell>
          <cell r="H2992">
            <v>70.260000000000005</v>
          </cell>
          <cell r="I2992">
            <v>78.52</v>
          </cell>
          <cell r="BS2992">
            <v>7.3599999999999994</v>
          </cell>
        </row>
        <row r="2993">
          <cell r="B2993">
            <v>44361</v>
          </cell>
          <cell r="D2993">
            <v>72.534999999999997</v>
          </cell>
          <cell r="E2993">
            <v>72.040000000000006</v>
          </cell>
          <cell r="H2993">
            <v>70.53</v>
          </cell>
          <cell r="I2993">
            <v>79.599999999999994</v>
          </cell>
          <cell r="BS2993">
            <v>7.5599999999999881</v>
          </cell>
        </row>
        <row r="2994">
          <cell r="B2994">
            <v>44362</v>
          </cell>
          <cell r="D2994">
            <v>73.135000000000005</v>
          </cell>
          <cell r="E2994">
            <v>71.754999999999995</v>
          </cell>
          <cell r="H2994">
            <v>69.42</v>
          </cell>
          <cell r="I2994">
            <v>78.37</v>
          </cell>
          <cell r="BS2994">
            <v>6.6150000000000091</v>
          </cell>
        </row>
        <row r="2995">
          <cell r="B2995">
            <v>44363</v>
          </cell>
          <cell r="D2995">
            <v>74.465000000000003</v>
          </cell>
          <cell r="E2995">
            <v>72.739999999999995</v>
          </cell>
          <cell r="H2995">
            <v>70.62</v>
          </cell>
          <cell r="I2995">
            <v>79.260000000000005</v>
          </cell>
          <cell r="BS2995">
            <v>6.5200000000000102</v>
          </cell>
        </row>
        <row r="2996">
          <cell r="B2996">
            <v>44364</v>
          </cell>
          <cell r="D2996">
            <v>72.575000000000003</v>
          </cell>
          <cell r="E2996">
            <v>72.31</v>
          </cell>
          <cell r="H2996">
            <v>70.209999999999994</v>
          </cell>
          <cell r="I2996">
            <v>79.02</v>
          </cell>
          <cell r="BS2996">
            <v>6.7099999999999937</v>
          </cell>
        </row>
        <row r="2997">
          <cell r="B2997">
            <v>44365</v>
          </cell>
          <cell r="D2997">
            <v>73.375</v>
          </cell>
          <cell r="E2997">
            <v>70.95</v>
          </cell>
          <cell r="H2997">
            <v>69.12</v>
          </cell>
          <cell r="I2997">
            <v>77.92</v>
          </cell>
          <cell r="BS2997">
            <v>6.9699999999999989</v>
          </cell>
        </row>
        <row r="2998">
          <cell r="B2998">
            <v>44368</v>
          </cell>
          <cell r="D2998">
            <v>74.284999999999997</v>
          </cell>
          <cell r="E2998">
            <v>71.75</v>
          </cell>
          <cell r="H2998">
            <v>69.900000000000006</v>
          </cell>
          <cell r="I2998">
            <v>79.12</v>
          </cell>
          <cell r="BS2998">
            <v>7.3700000000000045</v>
          </cell>
        </row>
        <row r="2999">
          <cell r="B2999">
            <v>44369</v>
          </cell>
          <cell r="D2999">
            <v>74.844999999999999</v>
          </cell>
          <cell r="E2999">
            <v>72.5</v>
          </cell>
          <cell r="H2999">
            <v>70.5</v>
          </cell>
          <cell r="I2999">
            <v>80.180000000000007</v>
          </cell>
          <cell r="BS2999">
            <v>7.6800000000000068</v>
          </cell>
        </row>
        <row r="3000">
          <cell r="B3000">
            <v>44370</v>
          </cell>
          <cell r="D3000">
            <v>75.87</v>
          </cell>
          <cell r="E3000">
            <v>73.400000000000006</v>
          </cell>
          <cell r="H3000">
            <v>72.08</v>
          </cell>
          <cell r="I3000">
            <v>81.53</v>
          </cell>
          <cell r="BS3000">
            <v>8.1299999999999955</v>
          </cell>
        </row>
        <row r="3001">
          <cell r="B3001">
            <v>44371</v>
          </cell>
          <cell r="D3001">
            <v>75.77</v>
          </cell>
          <cell r="E3001">
            <v>73.7</v>
          </cell>
          <cell r="H3001">
            <v>72.5</v>
          </cell>
          <cell r="I3001">
            <v>82.16</v>
          </cell>
          <cell r="BS3001">
            <v>8.4599999999999937</v>
          </cell>
        </row>
        <row r="3002">
          <cell r="B3002">
            <v>44372</v>
          </cell>
          <cell r="D3002">
            <v>76.435000000000002</v>
          </cell>
          <cell r="E3002">
            <v>73.45</v>
          </cell>
          <cell r="H3002">
            <v>72.87</v>
          </cell>
          <cell r="I3002">
            <v>82.17</v>
          </cell>
          <cell r="BS3002">
            <v>8.7199999999999989</v>
          </cell>
        </row>
        <row r="3003">
          <cell r="B3003">
            <v>44375</v>
          </cell>
          <cell r="D3003">
            <v>75.165000000000006</v>
          </cell>
          <cell r="E3003">
            <v>73.849999999999994</v>
          </cell>
          <cell r="H3003">
            <v>72.7</v>
          </cell>
          <cell r="I3003">
            <v>81.59</v>
          </cell>
          <cell r="BS3003">
            <v>7.7400000000000091</v>
          </cell>
        </row>
        <row r="3004">
          <cell r="B3004">
            <v>44376</v>
          </cell>
          <cell r="D3004">
            <v>75.95</v>
          </cell>
          <cell r="E3004">
            <v>72.81</v>
          </cell>
          <cell r="H3004">
            <v>72.010000000000005</v>
          </cell>
          <cell r="I3004">
            <v>80.790000000000006</v>
          </cell>
          <cell r="BS3004">
            <v>7.980000000000004</v>
          </cell>
        </row>
        <row r="3005">
          <cell r="B3005">
            <v>44377</v>
          </cell>
          <cell r="D3005">
            <v>76.19</v>
          </cell>
          <cell r="E3005">
            <v>72.849999999999994</v>
          </cell>
          <cell r="H3005">
            <v>72.67</v>
          </cell>
          <cell r="I3005">
            <v>81.8</v>
          </cell>
          <cell r="BS3005">
            <v>8.9500000000000028</v>
          </cell>
        </row>
        <row r="3006">
          <cell r="B3006">
            <v>44378</v>
          </cell>
          <cell r="D3006">
            <v>77.254999999999995</v>
          </cell>
          <cell r="E3006">
            <v>73.790000000000006</v>
          </cell>
          <cell r="H3006">
            <v>74.91</v>
          </cell>
          <cell r="I3006">
            <v>83.06</v>
          </cell>
          <cell r="BS3006">
            <v>9.269999999999996</v>
          </cell>
        </row>
        <row r="3007">
          <cell r="B3007">
            <v>44379</v>
          </cell>
          <cell r="D3007">
            <v>77.614999999999995</v>
          </cell>
          <cell r="E3007">
            <v>74.05</v>
          </cell>
          <cell r="H3007">
            <v>75.17</v>
          </cell>
          <cell r="I3007">
            <v>83.82</v>
          </cell>
          <cell r="BS3007">
            <v>9.769999999999996</v>
          </cell>
        </row>
        <row r="3008">
          <cell r="B3008">
            <v>44382</v>
          </cell>
          <cell r="D3008">
            <v>78.385000000000005</v>
          </cell>
          <cell r="E3008">
            <v>74.650000000000006</v>
          </cell>
          <cell r="H3008">
            <v>76.349999999999994</v>
          </cell>
          <cell r="I3008">
            <v>85.41</v>
          </cell>
          <cell r="BS3008">
            <v>10.759999999999991</v>
          </cell>
        </row>
        <row r="3009">
          <cell r="B3009">
            <v>44383</v>
          </cell>
          <cell r="D3009">
            <v>76.114999999999995</v>
          </cell>
          <cell r="E3009">
            <v>75.849999999999994</v>
          </cell>
          <cell r="H3009">
            <v>77.84</v>
          </cell>
          <cell r="I3009">
            <v>87.11</v>
          </cell>
          <cell r="BS3009">
            <v>11.260000000000005</v>
          </cell>
        </row>
        <row r="3010">
          <cell r="B3010">
            <v>44384</v>
          </cell>
          <cell r="D3010">
            <v>74.194999999999993</v>
          </cell>
          <cell r="E3010">
            <v>73.25</v>
          </cell>
          <cell r="H3010">
            <v>74.73</v>
          </cell>
          <cell r="I3010">
            <v>83.82</v>
          </cell>
          <cell r="BS3010">
            <v>10.569999999999993</v>
          </cell>
        </row>
        <row r="3011">
          <cell r="B3011">
            <v>44385</v>
          </cell>
          <cell r="D3011">
            <v>74.885000000000005</v>
          </cell>
          <cell r="E3011">
            <v>70.59</v>
          </cell>
          <cell r="H3011">
            <v>72.59</v>
          </cell>
          <cell r="I3011">
            <v>80.430000000000007</v>
          </cell>
          <cell r="BS3011">
            <v>9.8400000000000034</v>
          </cell>
        </row>
        <row r="3012">
          <cell r="B3012">
            <v>44386</v>
          </cell>
          <cell r="D3012">
            <v>77.010000000000005</v>
          </cell>
          <cell r="E3012">
            <v>73</v>
          </cell>
          <cell r="H3012">
            <v>75.11</v>
          </cell>
          <cell r="I3012">
            <v>83.63</v>
          </cell>
          <cell r="BS3012">
            <v>10.629999999999995</v>
          </cell>
        </row>
        <row r="3013">
          <cell r="B3013">
            <v>44389</v>
          </cell>
          <cell r="D3013">
            <v>76.27</v>
          </cell>
          <cell r="E3013">
            <v>73.5</v>
          </cell>
          <cell r="H3013">
            <v>75.900000000000006</v>
          </cell>
          <cell r="I3013">
            <v>83.93</v>
          </cell>
          <cell r="BS3013">
            <v>10.430000000000007</v>
          </cell>
        </row>
        <row r="3014">
          <cell r="B3014">
            <v>44390</v>
          </cell>
          <cell r="D3014">
            <v>76.78</v>
          </cell>
          <cell r="E3014">
            <v>74.34</v>
          </cell>
          <cell r="H3014">
            <v>76.45</v>
          </cell>
          <cell r="I3014">
            <v>84.37</v>
          </cell>
          <cell r="BS3014">
            <v>10.030000000000001</v>
          </cell>
        </row>
        <row r="3015">
          <cell r="B3015">
            <v>44391</v>
          </cell>
          <cell r="D3015">
            <v>76.97</v>
          </cell>
          <cell r="E3015">
            <v>74.69</v>
          </cell>
          <cell r="H3015">
            <v>76.84</v>
          </cell>
          <cell r="I3015">
            <v>84.54</v>
          </cell>
          <cell r="BS3015">
            <v>9.8500000000000085</v>
          </cell>
        </row>
        <row r="3016">
          <cell r="B3016">
            <v>44392</v>
          </cell>
          <cell r="D3016">
            <v>75.415000000000006</v>
          </cell>
          <cell r="E3016">
            <v>72.2</v>
          </cell>
          <cell r="H3016">
            <v>74.78</v>
          </cell>
          <cell r="I3016">
            <v>82.25</v>
          </cell>
          <cell r="BS3016">
            <v>10.049999999999997</v>
          </cell>
        </row>
        <row r="3017">
          <cell r="B3017">
            <v>44393</v>
          </cell>
          <cell r="D3017">
            <v>74.515000000000001</v>
          </cell>
          <cell r="E3017">
            <v>72.2</v>
          </cell>
          <cell r="H3017">
            <v>75.39</v>
          </cell>
          <cell r="I3017">
            <v>82.2</v>
          </cell>
          <cell r="BS3017">
            <v>10</v>
          </cell>
        </row>
        <row r="3018">
          <cell r="B3018">
            <v>44396</v>
          </cell>
          <cell r="D3018">
            <v>69.75</v>
          </cell>
          <cell r="E3018">
            <v>71.64</v>
          </cell>
          <cell r="H3018">
            <v>75.16</v>
          </cell>
          <cell r="I3018">
            <v>81.180000000000007</v>
          </cell>
          <cell r="BS3018">
            <v>9.5400000000000063</v>
          </cell>
        </row>
        <row r="3019">
          <cell r="B3019">
            <v>44397</v>
          </cell>
          <cell r="D3019">
            <v>69.62</v>
          </cell>
          <cell r="E3019" t="str">
            <v/>
          </cell>
          <cell r="H3019">
            <v>0</v>
          </cell>
          <cell r="I3019">
            <v>0</v>
          </cell>
          <cell r="BS3019" t="e">
            <v>#N/A</v>
          </cell>
        </row>
        <row r="3020">
          <cell r="B3020">
            <v>44398</v>
          </cell>
          <cell r="D3020">
            <v>72.265000000000001</v>
          </cell>
          <cell r="E3020">
            <v>68.64</v>
          </cell>
          <cell r="H3020">
            <v>71.53</v>
          </cell>
          <cell r="I3020">
            <v>77.95</v>
          </cell>
          <cell r="BS3020">
            <v>9.3100000000000023</v>
          </cell>
        </row>
        <row r="3021">
          <cell r="B3021">
            <v>44399</v>
          </cell>
          <cell r="D3021">
            <v>73.2</v>
          </cell>
          <cell r="E3021">
            <v>71.400000000000006</v>
          </cell>
          <cell r="H3021">
            <v>74.22</v>
          </cell>
          <cell r="I3021">
            <v>81.17</v>
          </cell>
          <cell r="BS3021">
            <v>9.769999999999996</v>
          </cell>
        </row>
        <row r="3022">
          <cell r="B3022">
            <v>44400</v>
          </cell>
          <cell r="D3022">
            <v>74.194999999999993</v>
          </cell>
          <cell r="E3022">
            <v>72.239999999999995</v>
          </cell>
          <cell r="H3022">
            <v>75.25</v>
          </cell>
          <cell r="I3022">
            <v>82.25</v>
          </cell>
          <cell r="BS3022">
            <v>10.010000000000005</v>
          </cell>
        </row>
        <row r="3023">
          <cell r="B3023">
            <v>44403</v>
          </cell>
          <cell r="D3023">
            <v>74.66</v>
          </cell>
          <cell r="E3023">
            <v>71.55</v>
          </cell>
          <cell r="H3023">
            <v>74.78</v>
          </cell>
          <cell r="I3023">
            <v>81.900000000000006</v>
          </cell>
          <cell r="BS3023">
            <v>10.350000000000009</v>
          </cell>
        </row>
        <row r="3024">
          <cell r="B3024">
            <v>44404</v>
          </cell>
          <cell r="D3024">
            <v>74.790000000000006</v>
          </cell>
          <cell r="E3024">
            <v>72.989999999999995</v>
          </cell>
          <cell r="H3024">
            <v>76.58</v>
          </cell>
          <cell r="I3024">
            <v>83.51</v>
          </cell>
          <cell r="BS3024">
            <v>10.52000000000001</v>
          </cell>
        </row>
        <row r="3025">
          <cell r="B3025">
            <v>44405</v>
          </cell>
          <cell r="D3025">
            <v>74.83</v>
          </cell>
          <cell r="E3025">
            <v>72.790000000000006</v>
          </cell>
          <cell r="H3025">
            <v>76.540000000000006</v>
          </cell>
          <cell r="I3025">
            <v>83.73</v>
          </cell>
          <cell r="BS3025">
            <v>10.939999999999998</v>
          </cell>
        </row>
        <row r="3026">
          <cell r="B3026">
            <v>44406</v>
          </cell>
          <cell r="D3026">
            <v>75.625</v>
          </cell>
          <cell r="E3026">
            <v>73.7</v>
          </cell>
          <cell r="H3026">
            <v>77.319999999999993</v>
          </cell>
          <cell r="I3026">
            <v>83.99</v>
          </cell>
          <cell r="BS3026">
            <v>10.289999999999992</v>
          </cell>
        </row>
        <row r="3027">
          <cell r="B3027">
            <v>44407</v>
          </cell>
          <cell r="D3027">
            <v>76.305000000000007</v>
          </cell>
          <cell r="E3027">
            <v>73.900000000000006</v>
          </cell>
          <cell r="H3027">
            <v>77.25</v>
          </cell>
          <cell r="I3027">
            <v>84.83</v>
          </cell>
          <cell r="BS3027">
            <v>10.929999999999993</v>
          </cell>
        </row>
        <row r="3028">
          <cell r="B3028">
            <v>44410</v>
          </cell>
          <cell r="D3028">
            <v>73.95</v>
          </cell>
          <cell r="E3028">
            <v>73.245000000000005</v>
          </cell>
          <cell r="H3028">
            <v>75.959999999999994</v>
          </cell>
          <cell r="I3028">
            <v>83.44</v>
          </cell>
          <cell r="BS3028">
            <v>10.194999999999993</v>
          </cell>
        </row>
        <row r="3029">
          <cell r="B3029">
            <v>44411</v>
          </cell>
          <cell r="D3029">
            <v>73.394999999999996</v>
          </cell>
          <cell r="E3029">
            <v>71.849999999999994</v>
          </cell>
          <cell r="H3029">
            <v>74.849999999999994</v>
          </cell>
          <cell r="I3029">
            <v>82.05</v>
          </cell>
          <cell r="BS3029">
            <v>10.200000000000003</v>
          </cell>
        </row>
        <row r="3030">
          <cell r="B3030">
            <v>44412</v>
          </cell>
          <cell r="D3030">
            <v>71.92</v>
          </cell>
          <cell r="E3030">
            <v>71.39</v>
          </cell>
          <cell r="H3030">
            <v>74.56</v>
          </cell>
          <cell r="I3030">
            <v>81.99</v>
          </cell>
          <cell r="BS3030">
            <v>10.599999999999994</v>
          </cell>
        </row>
        <row r="3031">
          <cell r="B3031">
            <v>44413</v>
          </cell>
          <cell r="D3031">
            <v>72.135000000000005</v>
          </cell>
          <cell r="E3031">
            <v>68.81</v>
          </cell>
          <cell r="H3031">
            <v>71.83</v>
          </cell>
          <cell r="I3031">
            <v>79.66</v>
          </cell>
          <cell r="BS3031">
            <v>10.849999999999994</v>
          </cell>
        </row>
        <row r="3032">
          <cell r="B3032">
            <v>44414</v>
          </cell>
          <cell r="D3032">
            <v>71.265000000000001</v>
          </cell>
          <cell r="E3032">
            <v>70.75</v>
          </cell>
          <cell r="H3032">
            <v>73.61</v>
          </cell>
          <cell r="I3032">
            <v>81.27</v>
          </cell>
          <cell r="BS3032">
            <v>10.519999999999996</v>
          </cell>
        </row>
        <row r="3033">
          <cell r="B3033">
            <v>44417</v>
          </cell>
          <cell r="D3033">
            <v>69.605000000000004</v>
          </cell>
          <cell r="E3033" t="str">
            <v/>
          </cell>
          <cell r="H3033">
            <v>0</v>
          </cell>
          <cell r="I3033">
            <v>0</v>
          </cell>
          <cell r="BS3033" t="e">
            <v>#N/A</v>
          </cell>
        </row>
        <row r="3034">
          <cell r="B3034">
            <v>44418</v>
          </cell>
          <cell r="D3034">
            <v>71.69</v>
          </cell>
          <cell r="E3034">
            <v>68.89</v>
          </cell>
          <cell r="H3034">
            <v>72.569999999999993</v>
          </cell>
          <cell r="I3034">
            <v>79.67</v>
          </cell>
          <cell r="BS3034">
            <v>10.780000000000001</v>
          </cell>
        </row>
        <row r="3035">
          <cell r="B3035">
            <v>44419</v>
          </cell>
          <cell r="D3035">
            <v>70.69</v>
          </cell>
          <cell r="E3035">
            <v>69.75</v>
          </cell>
          <cell r="H3035">
            <v>72.7</v>
          </cell>
          <cell r="I3035">
            <v>80.38</v>
          </cell>
          <cell r="BS3035">
            <v>10.629999999999995</v>
          </cell>
        </row>
        <row r="3036">
          <cell r="B3036">
            <v>44420</v>
          </cell>
          <cell r="D3036">
            <v>71.62</v>
          </cell>
          <cell r="E3036">
            <v>70.5</v>
          </cell>
          <cell r="H3036">
            <v>72.760000000000005</v>
          </cell>
          <cell r="I3036">
            <v>80.67</v>
          </cell>
          <cell r="BS3036">
            <v>10.170000000000002</v>
          </cell>
        </row>
        <row r="3037">
          <cell r="B3037">
            <v>44421</v>
          </cell>
          <cell r="D3037">
            <v>71.58</v>
          </cell>
          <cell r="E3037">
            <v>70.02</v>
          </cell>
          <cell r="H3037">
            <v>71.63</v>
          </cell>
          <cell r="I3037">
            <v>79.94</v>
          </cell>
          <cell r="BS3037">
            <v>9.9200000000000017</v>
          </cell>
        </row>
        <row r="3038">
          <cell r="B3038">
            <v>44424</v>
          </cell>
          <cell r="D3038">
            <v>70.150000000000006</v>
          </cell>
          <cell r="E3038">
            <v>68.89</v>
          </cell>
          <cell r="H3038">
            <v>69.650000000000006</v>
          </cell>
          <cell r="I3038">
            <v>78.42</v>
          </cell>
          <cell r="BS3038">
            <v>9.5300000000000011</v>
          </cell>
        </row>
        <row r="3039">
          <cell r="B3039">
            <v>44425</v>
          </cell>
          <cell r="D3039">
            <v>70.375</v>
          </cell>
          <cell r="E3039">
            <v>68.41</v>
          </cell>
          <cell r="H3039">
            <v>68.64</v>
          </cell>
          <cell r="I3039">
            <v>77.31</v>
          </cell>
          <cell r="BS3039">
            <v>8.9000000000000057</v>
          </cell>
        </row>
        <row r="3040">
          <cell r="B3040">
            <v>44426</v>
          </cell>
          <cell r="D3040">
            <v>69.75</v>
          </cell>
          <cell r="E3040">
            <v>68.540000000000006</v>
          </cell>
          <cell r="H3040">
            <v>68.459999999999994</v>
          </cell>
          <cell r="I3040">
            <v>78.319999999999993</v>
          </cell>
          <cell r="BS3040">
            <v>9.7799999999999869</v>
          </cell>
        </row>
        <row r="3041">
          <cell r="B3041">
            <v>44427</v>
          </cell>
          <cell r="D3041">
            <v>66.165000000000006</v>
          </cell>
          <cell r="E3041">
            <v>65.34</v>
          </cell>
          <cell r="H3041">
            <v>65.31</v>
          </cell>
          <cell r="I3041">
            <v>74.72</v>
          </cell>
          <cell r="BS3041">
            <v>9.3799999999999955</v>
          </cell>
        </row>
        <row r="3042">
          <cell r="B3042">
            <v>44428</v>
          </cell>
          <cell r="D3042">
            <v>66.44</v>
          </cell>
          <cell r="E3042">
            <v>65.349999999999994</v>
          </cell>
          <cell r="H3042">
            <v>64.92</v>
          </cell>
          <cell r="I3042">
            <v>74.03</v>
          </cell>
          <cell r="BS3042">
            <v>8.6800000000000068</v>
          </cell>
        </row>
        <row r="3043">
          <cell r="B3043">
            <v>44431</v>
          </cell>
          <cell r="D3043">
            <v>68.94</v>
          </cell>
          <cell r="E3043">
            <v>66.05</v>
          </cell>
          <cell r="H3043">
            <v>65.73</v>
          </cell>
          <cell r="I3043">
            <v>73.87</v>
          </cell>
          <cell r="BS3043">
            <v>7.8200000000000074</v>
          </cell>
        </row>
        <row r="3044">
          <cell r="B3044">
            <v>44432</v>
          </cell>
          <cell r="D3044">
            <v>70.89</v>
          </cell>
          <cell r="E3044">
            <v>68.650000000000006</v>
          </cell>
          <cell r="H3044">
            <v>68.510000000000005</v>
          </cell>
          <cell r="I3044">
            <v>77.14</v>
          </cell>
          <cell r="BS3044">
            <v>8.4899999999999949</v>
          </cell>
        </row>
        <row r="3045">
          <cell r="B3045">
            <v>44433</v>
          </cell>
          <cell r="D3045">
            <v>71.325000000000003</v>
          </cell>
          <cell r="E3045">
            <v>69.650000000000006</v>
          </cell>
          <cell r="H3045">
            <v>69.540000000000006</v>
          </cell>
          <cell r="I3045">
            <v>78.650000000000006</v>
          </cell>
          <cell r="BS3045">
            <v>9</v>
          </cell>
        </row>
        <row r="3046">
          <cell r="B3046">
            <v>44434</v>
          </cell>
          <cell r="D3046">
            <v>70.935000000000002</v>
          </cell>
          <cell r="E3046">
            <v>70.09</v>
          </cell>
          <cell r="H3046">
            <v>70.459999999999994</v>
          </cell>
          <cell r="I3046">
            <v>78.959999999999994</v>
          </cell>
          <cell r="BS3046">
            <v>8.8699999999999903</v>
          </cell>
        </row>
        <row r="3047">
          <cell r="B3047">
            <v>44435</v>
          </cell>
          <cell r="D3047">
            <v>71.805000000000007</v>
          </cell>
          <cell r="E3047">
            <v>70.75</v>
          </cell>
          <cell r="H3047">
            <v>70.959999999999994</v>
          </cell>
          <cell r="I3047">
            <v>79.099999999999994</v>
          </cell>
          <cell r="BS3047">
            <v>8.3499999999999943</v>
          </cell>
        </row>
        <row r="3048">
          <cell r="B3048">
            <v>44438</v>
          </cell>
          <cell r="D3048" t="str">
            <v/>
          </cell>
          <cell r="E3048">
            <v>71.11</v>
          </cell>
          <cell r="H3048">
            <v>71.239999999999995</v>
          </cell>
          <cell r="I3048">
            <v>78.849999999999994</v>
          </cell>
          <cell r="BS3048">
            <v>7.7399999999999949</v>
          </cell>
        </row>
        <row r="3049">
          <cell r="B3049">
            <v>44439</v>
          </cell>
          <cell r="D3049">
            <v>72.405000000000001</v>
          </cell>
          <cell r="E3049">
            <v>71.150000000000006</v>
          </cell>
          <cell r="H3049">
            <v>71.09</v>
          </cell>
          <cell r="I3049">
            <v>78.8</v>
          </cell>
          <cell r="BS3049">
            <v>7.6499999999999915</v>
          </cell>
        </row>
        <row r="3050">
          <cell r="B3050">
            <v>44440</v>
          </cell>
          <cell r="D3050">
            <v>71.36</v>
          </cell>
          <cell r="E3050">
            <v>70.400000000000006</v>
          </cell>
          <cell r="H3050">
            <v>71.16</v>
          </cell>
          <cell r="I3050">
            <v>78.45</v>
          </cell>
          <cell r="BS3050">
            <v>8.0499999999999972</v>
          </cell>
        </row>
        <row r="3051">
          <cell r="B3051">
            <v>44441</v>
          </cell>
          <cell r="D3051">
            <v>73.97</v>
          </cell>
          <cell r="E3051">
            <v>69.709999999999994</v>
          </cell>
          <cell r="H3051">
            <v>70.680000000000007</v>
          </cell>
          <cell r="I3051">
            <v>78.069999999999993</v>
          </cell>
          <cell r="BS3051">
            <v>8.36</v>
          </cell>
        </row>
        <row r="3052">
          <cell r="B3052">
            <v>44442</v>
          </cell>
          <cell r="D3052">
            <v>73.474999999999994</v>
          </cell>
          <cell r="E3052">
            <v>71.3</v>
          </cell>
          <cell r="H3052">
            <v>72.69</v>
          </cell>
          <cell r="I3052">
            <v>80.78</v>
          </cell>
          <cell r="BS3052">
            <v>9.480000000000004</v>
          </cell>
        </row>
        <row r="3053">
          <cell r="B3053">
            <v>44445</v>
          </cell>
          <cell r="D3053">
            <v>72.3</v>
          </cell>
          <cell r="E3053">
            <v>69.959999999999994</v>
          </cell>
          <cell r="H3053">
            <v>72.16</v>
          </cell>
          <cell r="I3053">
            <v>79.61</v>
          </cell>
          <cell r="BS3053">
            <v>9.6500000000000057</v>
          </cell>
        </row>
        <row r="3054">
          <cell r="B3054">
            <v>44446</v>
          </cell>
          <cell r="D3054">
            <v>71.754999999999995</v>
          </cell>
          <cell r="E3054">
            <v>70.31</v>
          </cell>
          <cell r="H3054">
            <v>73.08</v>
          </cell>
          <cell r="I3054">
            <v>79.959999999999994</v>
          </cell>
          <cell r="BS3054">
            <v>9.6499999999999915</v>
          </cell>
        </row>
        <row r="3055">
          <cell r="B3055">
            <v>44447</v>
          </cell>
          <cell r="D3055">
            <v>72.334999999999994</v>
          </cell>
          <cell r="E3055">
            <v>69.75</v>
          </cell>
          <cell r="H3055">
            <v>71.97</v>
          </cell>
          <cell r="I3055">
            <v>78.97</v>
          </cell>
          <cell r="BS3055">
            <v>9.2199999999999989</v>
          </cell>
        </row>
        <row r="3056">
          <cell r="B3056">
            <v>44448</v>
          </cell>
          <cell r="D3056">
            <v>72.504999999999995</v>
          </cell>
          <cell r="E3056">
            <v>70.644999999999996</v>
          </cell>
          <cell r="H3056">
            <v>72.89</v>
          </cell>
          <cell r="I3056">
            <v>79.73</v>
          </cell>
          <cell r="BS3056">
            <v>9.085000000000008</v>
          </cell>
        </row>
        <row r="3057">
          <cell r="B3057">
            <v>44449</v>
          </cell>
          <cell r="D3057">
            <v>72.385000000000005</v>
          </cell>
          <cell r="E3057">
            <v>70.86</v>
          </cell>
          <cell r="H3057">
            <v>73.08</v>
          </cell>
          <cell r="I3057">
            <v>79.81</v>
          </cell>
          <cell r="BS3057">
            <v>8.9500000000000028</v>
          </cell>
        </row>
        <row r="3058">
          <cell r="B3058">
            <v>44452</v>
          </cell>
          <cell r="D3058">
            <v>72.834999999999994</v>
          </cell>
          <cell r="E3058">
            <v>71.69</v>
          </cell>
          <cell r="H3058">
            <v>73.81</v>
          </cell>
          <cell r="I3058">
            <v>80.790000000000006</v>
          </cell>
          <cell r="BS3058">
            <v>9.1000000000000085</v>
          </cell>
        </row>
        <row r="3059">
          <cell r="B3059">
            <v>44453</v>
          </cell>
          <cell r="D3059">
            <v>73.099999999999994</v>
          </cell>
          <cell r="E3059">
            <v>72.260000000000005</v>
          </cell>
          <cell r="H3059">
            <v>74.06</v>
          </cell>
          <cell r="I3059">
            <v>81.760000000000005</v>
          </cell>
          <cell r="BS3059">
            <v>9.5</v>
          </cell>
        </row>
        <row r="3060">
          <cell r="B3060">
            <v>44454</v>
          </cell>
          <cell r="D3060">
            <v>75.17</v>
          </cell>
          <cell r="E3060">
            <v>72.239999999999995</v>
          </cell>
          <cell r="H3060">
            <v>74.64</v>
          </cell>
          <cell r="I3060">
            <v>82.04</v>
          </cell>
          <cell r="BS3060">
            <v>9.8000000000000114</v>
          </cell>
        </row>
        <row r="3061">
          <cell r="B3061">
            <v>44455</v>
          </cell>
          <cell r="D3061">
            <v>74.055000000000007</v>
          </cell>
          <cell r="E3061">
            <v>73.069999999999993</v>
          </cell>
          <cell r="H3061">
            <v>75.81</v>
          </cell>
          <cell r="I3061">
            <v>82.82</v>
          </cell>
          <cell r="BS3061">
            <v>9.75</v>
          </cell>
        </row>
        <row r="3062">
          <cell r="B3062">
            <v>44456</v>
          </cell>
          <cell r="D3062">
            <v>74.245000000000005</v>
          </cell>
          <cell r="E3062">
            <v>73.05</v>
          </cell>
          <cell r="H3062">
            <v>75.959999999999994</v>
          </cell>
          <cell r="I3062">
            <v>82.54</v>
          </cell>
          <cell r="BS3062">
            <v>9.4900000000000091</v>
          </cell>
        </row>
        <row r="3063">
          <cell r="B3063">
            <v>44459</v>
          </cell>
          <cell r="D3063">
            <v>74.105000000000004</v>
          </cell>
          <cell r="E3063">
            <v>72.099999999999994</v>
          </cell>
          <cell r="H3063">
            <v>75.36</v>
          </cell>
          <cell r="I3063">
            <v>81.38</v>
          </cell>
          <cell r="BS3063">
            <v>9.2800000000000011</v>
          </cell>
        </row>
        <row r="3064">
          <cell r="B3064">
            <v>44460</v>
          </cell>
          <cell r="D3064">
            <v>73.185000000000002</v>
          </cell>
          <cell r="E3064">
            <v>72.86</v>
          </cell>
          <cell r="H3064">
            <v>76.150000000000006</v>
          </cell>
          <cell r="I3064">
            <v>82.24</v>
          </cell>
          <cell r="BS3064">
            <v>9.3799999999999955</v>
          </cell>
        </row>
        <row r="3065">
          <cell r="B3065">
            <v>44461</v>
          </cell>
          <cell r="D3065">
            <v>75.02</v>
          </cell>
          <cell r="E3065">
            <v>73.260000000000005</v>
          </cell>
          <cell r="H3065">
            <v>76.37</v>
          </cell>
          <cell r="I3065">
            <v>83.02</v>
          </cell>
          <cell r="BS3065">
            <v>9.7599999999999909</v>
          </cell>
        </row>
        <row r="3066">
          <cell r="B3066">
            <v>44462</v>
          </cell>
          <cell r="D3066">
            <v>76.64</v>
          </cell>
          <cell r="E3066">
            <v>74.09</v>
          </cell>
          <cell r="H3066">
            <v>76.81</v>
          </cell>
          <cell r="I3066">
            <v>83.83</v>
          </cell>
          <cell r="BS3066">
            <v>9.7399999999999949</v>
          </cell>
        </row>
        <row r="3067">
          <cell r="B3067">
            <v>44463</v>
          </cell>
          <cell r="D3067">
            <v>77.334999999999994</v>
          </cell>
          <cell r="E3067">
            <v>74.760000000000005</v>
          </cell>
          <cell r="H3067">
            <v>77.63</v>
          </cell>
          <cell r="I3067">
            <v>84.99</v>
          </cell>
          <cell r="BS3067">
            <v>10.22999999999999</v>
          </cell>
        </row>
        <row r="3068">
          <cell r="B3068">
            <v>44466</v>
          </cell>
          <cell r="D3068">
            <v>79.114999999999995</v>
          </cell>
          <cell r="E3068">
            <v>76.150000000000006</v>
          </cell>
          <cell r="H3068">
            <v>79.069999999999993</v>
          </cell>
          <cell r="I3068">
            <v>86.08</v>
          </cell>
          <cell r="BS3068">
            <v>9.9299999999999926</v>
          </cell>
        </row>
        <row r="3069">
          <cell r="B3069">
            <v>44467</v>
          </cell>
          <cell r="D3069">
            <v>78.545000000000002</v>
          </cell>
          <cell r="E3069">
            <v>77.3</v>
          </cell>
          <cell r="H3069">
            <v>79.53</v>
          </cell>
          <cell r="I3069">
            <v>86.78</v>
          </cell>
          <cell r="BS3069">
            <v>9.480000000000004</v>
          </cell>
        </row>
        <row r="3070">
          <cell r="B3070">
            <v>44468</v>
          </cell>
          <cell r="D3070">
            <v>78.415000000000006</v>
          </cell>
          <cell r="E3070">
            <v>75.66</v>
          </cell>
          <cell r="H3070">
            <v>78.11</v>
          </cell>
          <cell r="I3070">
            <v>85.1</v>
          </cell>
          <cell r="BS3070">
            <v>9.4399999999999977</v>
          </cell>
        </row>
        <row r="3071">
          <cell r="B3071">
            <v>44469</v>
          </cell>
          <cell r="D3071">
            <v>78.814999999999998</v>
          </cell>
          <cell r="E3071">
            <v>75.95</v>
          </cell>
          <cell r="H3071">
            <v>78.83</v>
          </cell>
          <cell r="I3071">
            <v>87.11</v>
          </cell>
          <cell r="BS3071">
            <v>11.159999999999997</v>
          </cell>
        </row>
        <row r="3072">
          <cell r="B3072">
            <v>44470</v>
          </cell>
          <cell r="D3072">
            <v>78.715000000000003</v>
          </cell>
          <cell r="E3072">
            <v>75.650000000000006</v>
          </cell>
          <cell r="H3072">
            <v>78.22</v>
          </cell>
          <cell r="I3072">
            <v>85.8</v>
          </cell>
          <cell r="BS3072">
            <v>10.149999999999991</v>
          </cell>
        </row>
        <row r="3073">
          <cell r="B3073">
            <v>44473</v>
          </cell>
          <cell r="D3073">
            <v>81.765000000000001</v>
          </cell>
          <cell r="E3073">
            <v>77.14</v>
          </cell>
          <cell r="H3073">
            <v>79.13</v>
          </cell>
          <cell r="I3073">
            <v>87.29</v>
          </cell>
          <cell r="BS3073">
            <v>10.150000000000006</v>
          </cell>
        </row>
        <row r="3074">
          <cell r="B3074">
            <v>44474</v>
          </cell>
          <cell r="D3074">
            <v>83.454999999999998</v>
          </cell>
          <cell r="E3074">
            <v>79.540000000000006</v>
          </cell>
          <cell r="H3074">
            <v>81.23</v>
          </cell>
          <cell r="I3074">
            <v>90.08</v>
          </cell>
          <cell r="BS3074">
            <v>10.539999999999992</v>
          </cell>
        </row>
        <row r="3075">
          <cell r="B3075">
            <v>44475</v>
          </cell>
          <cell r="D3075">
            <v>81.41</v>
          </cell>
          <cell r="E3075">
            <v>80.540000000000006</v>
          </cell>
          <cell r="H3075">
            <v>82.23</v>
          </cell>
          <cell r="I3075">
            <v>92.01</v>
          </cell>
          <cell r="BS3075">
            <v>11.469999999999999</v>
          </cell>
        </row>
        <row r="3076">
          <cell r="B3076">
            <v>44476</v>
          </cell>
          <cell r="D3076">
            <v>81.99</v>
          </cell>
          <cell r="E3076">
            <v>77.39</v>
          </cell>
          <cell r="H3076">
            <v>79.33</v>
          </cell>
          <cell r="I3076">
            <v>88.46</v>
          </cell>
          <cell r="BS3076">
            <v>11.069999999999993</v>
          </cell>
        </row>
        <row r="3077">
          <cell r="B3077">
            <v>44477</v>
          </cell>
          <cell r="D3077">
            <v>82.974999999999994</v>
          </cell>
          <cell r="E3077">
            <v>81.194999999999993</v>
          </cell>
          <cell r="H3077">
            <v>83.57</v>
          </cell>
          <cell r="I3077">
            <v>92.85</v>
          </cell>
          <cell r="BS3077">
            <v>11.655000000000001</v>
          </cell>
        </row>
        <row r="3078">
          <cell r="B3078">
            <v>44480</v>
          </cell>
          <cell r="D3078">
            <v>84.43</v>
          </cell>
          <cell r="E3078">
            <v>81.995000000000005</v>
          </cell>
          <cell r="H3078">
            <v>84.48</v>
          </cell>
          <cell r="I3078">
            <v>94.82</v>
          </cell>
          <cell r="BS3078">
            <v>12.824999999999989</v>
          </cell>
        </row>
        <row r="3079">
          <cell r="B3079">
            <v>44481</v>
          </cell>
          <cell r="D3079">
            <v>83.64</v>
          </cell>
          <cell r="E3079">
            <v>82.05</v>
          </cell>
          <cell r="H3079">
            <v>84.35</v>
          </cell>
          <cell r="I3079">
            <v>94.5</v>
          </cell>
          <cell r="BS3079">
            <v>12.450000000000003</v>
          </cell>
        </row>
        <row r="3080">
          <cell r="B3080">
            <v>44482</v>
          </cell>
          <cell r="D3080">
            <v>83.325000000000003</v>
          </cell>
          <cell r="E3080">
            <v>81.400000000000006</v>
          </cell>
          <cell r="H3080">
            <v>83.76</v>
          </cell>
          <cell r="I3080">
            <v>94.02</v>
          </cell>
          <cell r="BS3080">
            <v>12.61999999999999</v>
          </cell>
        </row>
        <row r="3081">
          <cell r="B3081">
            <v>44483</v>
          </cell>
          <cell r="D3081">
            <v>83.334999999999994</v>
          </cell>
          <cell r="E3081">
            <v>82.25</v>
          </cell>
          <cell r="H3081">
            <v>84.93</v>
          </cell>
          <cell r="I3081">
            <v>96.34</v>
          </cell>
          <cell r="BS3081">
            <v>14.090000000000003</v>
          </cell>
        </row>
        <row r="3082">
          <cell r="B3082">
            <v>44484</v>
          </cell>
          <cell r="D3082">
            <v>84.96</v>
          </cell>
          <cell r="E3082">
            <v>82.995000000000005</v>
          </cell>
          <cell r="H3082">
            <v>85.6</v>
          </cell>
          <cell r="I3082">
            <v>97.13</v>
          </cell>
          <cell r="BS3082">
            <v>14.134999999999991</v>
          </cell>
        </row>
        <row r="3083">
          <cell r="B3083">
            <v>44487</v>
          </cell>
          <cell r="D3083">
            <v>84.63</v>
          </cell>
          <cell r="E3083">
            <v>83.86</v>
          </cell>
          <cell r="H3083">
            <v>86.48</v>
          </cell>
          <cell r="I3083">
            <v>98.31</v>
          </cell>
          <cell r="BS3083">
            <v>14.450000000000003</v>
          </cell>
        </row>
        <row r="3084">
          <cell r="B3084">
            <v>44488</v>
          </cell>
          <cell r="D3084">
            <v>85.03</v>
          </cell>
          <cell r="E3084">
            <v>82.99</v>
          </cell>
          <cell r="H3084">
            <v>85.35</v>
          </cell>
          <cell r="I3084">
            <v>97.79</v>
          </cell>
          <cell r="BS3084">
            <v>14.800000000000011</v>
          </cell>
        </row>
        <row r="3085">
          <cell r="B3085">
            <v>44489</v>
          </cell>
          <cell r="D3085">
            <v>85.12</v>
          </cell>
          <cell r="E3085">
            <v>82.54</v>
          </cell>
          <cell r="H3085">
            <v>84.65</v>
          </cell>
          <cell r="I3085">
            <v>96.36</v>
          </cell>
          <cell r="BS3085">
            <v>13.819999999999993</v>
          </cell>
        </row>
        <row r="3086">
          <cell r="B3086">
            <v>44490</v>
          </cell>
          <cell r="D3086">
            <v>83.7</v>
          </cell>
          <cell r="E3086">
            <v>83.1</v>
          </cell>
          <cell r="H3086">
            <v>85.31</v>
          </cell>
          <cell r="I3086">
            <v>99.37</v>
          </cell>
          <cell r="BS3086">
            <v>16.27000000000001</v>
          </cell>
        </row>
        <row r="3087">
          <cell r="B3087">
            <v>44491</v>
          </cell>
          <cell r="D3087">
            <v>84.97</v>
          </cell>
          <cell r="E3087">
            <v>82.55</v>
          </cell>
          <cell r="H3087">
            <v>85.76</v>
          </cell>
          <cell r="I3087">
            <v>99.37</v>
          </cell>
          <cell r="BS3087">
            <v>16.820000000000007</v>
          </cell>
        </row>
        <row r="3088">
          <cell r="B3088">
            <v>44494</v>
          </cell>
          <cell r="D3088">
            <v>86.114999999999995</v>
          </cell>
          <cell r="E3088">
            <v>84.34</v>
          </cell>
          <cell r="H3088">
            <v>87.67</v>
          </cell>
          <cell r="I3088">
            <v>103.03</v>
          </cell>
          <cell r="BS3088">
            <v>18.689999999999998</v>
          </cell>
        </row>
        <row r="3089">
          <cell r="B3089">
            <v>44495</v>
          </cell>
          <cell r="D3089">
            <v>85.844999999999999</v>
          </cell>
          <cell r="E3089">
            <v>83.91</v>
          </cell>
          <cell r="H3089">
            <v>87.76</v>
          </cell>
          <cell r="I3089">
            <v>103.61</v>
          </cell>
          <cell r="BS3089">
            <v>19.700000000000003</v>
          </cell>
        </row>
        <row r="3090">
          <cell r="B3090">
            <v>44496</v>
          </cell>
          <cell r="D3090">
            <v>84.474999999999994</v>
          </cell>
          <cell r="E3090">
            <v>83.44</v>
          </cell>
          <cell r="H3090">
            <v>86.42</v>
          </cell>
          <cell r="I3090">
            <v>102.27</v>
          </cell>
          <cell r="BS3090">
            <v>18.829999999999998</v>
          </cell>
        </row>
        <row r="3091">
          <cell r="B3091">
            <v>44497</v>
          </cell>
          <cell r="D3091">
            <v>83.41</v>
          </cell>
          <cell r="E3091">
            <v>81.87</v>
          </cell>
          <cell r="H3091">
            <v>85.73</v>
          </cell>
          <cell r="I3091">
            <v>98.6</v>
          </cell>
          <cell r="BS3091">
            <v>16.72999999999999</v>
          </cell>
        </row>
        <row r="3092">
          <cell r="B3092">
            <v>44498</v>
          </cell>
          <cell r="D3092">
            <v>83.63</v>
          </cell>
          <cell r="E3092">
            <v>82.55</v>
          </cell>
          <cell r="H3092">
            <v>86.8</v>
          </cell>
          <cell r="I3092">
            <v>99.06</v>
          </cell>
          <cell r="BS3092">
            <v>16.510000000000005</v>
          </cell>
        </row>
        <row r="3093">
          <cell r="B3093">
            <v>44501</v>
          </cell>
          <cell r="D3093">
            <v>84.694999999999993</v>
          </cell>
          <cell r="E3093">
            <v>81.96</v>
          </cell>
          <cell r="H3093">
            <v>87.29</v>
          </cell>
          <cell r="I3093">
            <v>99.28</v>
          </cell>
          <cell r="BS3093">
            <v>17.320000000000007</v>
          </cell>
        </row>
        <row r="3094">
          <cell r="B3094">
            <v>44502</v>
          </cell>
          <cell r="D3094">
            <v>84.52</v>
          </cell>
          <cell r="E3094">
            <v>83.29</v>
          </cell>
          <cell r="H3094">
            <v>88.82</v>
          </cell>
          <cell r="I3094">
            <v>101.11</v>
          </cell>
          <cell r="BS3094">
            <v>17.819999999999993</v>
          </cell>
        </row>
        <row r="3095">
          <cell r="B3095">
            <v>44503</v>
          </cell>
          <cell r="D3095">
            <v>82.215000000000003</v>
          </cell>
          <cell r="E3095">
            <v>81.900000000000006</v>
          </cell>
          <cell r="H3095">
            <v>87.79</v>
          </cell>
          <cell r="I3095">
            <v>98.59</v>
          </cell>
          <cell r="BS3095">
            <v>16.689999999999998</v>
          </cell>
        </row>
        <row r="3096">
          <cell r="B3096">
            <v>44504</v>
          </cell>
          <cell r="D3096">
            <v>81.885000000000005</v>
          </cell>
          <cell r="E3096" t="str">
            <v/>
          </cell>
          <cell r="H3096">
            <v>0</v>
          </cell>
          <cell r="I3096">
            <v>0</v>
          </cell>
          <cell r="BS3096" t="e">
            <v>#N/A</v>
          </cell>
        </row>
        <row r="3097">
          <cell r="B3097">
            <v>44505</v>
          </cell>
          <cell r="D3097">
            <v>82.75</v>
          </cell>
          <cell r="E3097">
            <v>79.45</v>
          </cell>
          <cell r="H3097">
            <v>84.4</v>
          </cell>
          <cell r="I3097">
            <v>94.57</v>
          </cell>
          <cell r="BS3097">
            <v>15.11999999999999</v>
          </cell>
        </row>
        <row r="3098">
          <cell r="B3098">
            <v>44508</v>
          </cell>
          <cell r="D3098">
            <v>84.084999999999994</v>
          </cell>
          <cell r="E3098">
            <v>81.95</v>
          </cell>
          <cell r="H3098">
            <v>86.12</v>
          </cell>
          <cell r="I3098">
            <v>96.78</v>
          </cell>
          <cell r="BS3098">
            <v>14.829999999999998</v>
          </cell>
        </row>
        <row r="3099">
          <cell r="B3099">
            <v>44509</v>
          </cell>
          <cell r="D3099">
            <v>84.564999999999998</v>
          </cell>
          <cell r="E3099">
            <v>82.204999999999998</v>
          </cell>
          <cell r="H3099">
            <v>86.57</v>
          </cell>
          <cell r="I3099">
            <v>96.34</v>
          </cell>
          <cell r="BS3099">
            <v>14.135000000000005</v>
          </cell>
        </row>
        <row r="3100">
          <cell r="B3100">
            <v>44510</v>
          </cell>
          <cell r="D3100">
            <v>84.3</v>
          </cell>
          <cell r="E3100">
            <v>83.944999999999993</v>
          </cell>
          <cell r="H3100">
            <v>88.35</v>
          </cell>
          <cell r="I3100">
            <v>97.22</v>
          </cell>
          <cell r="BS3100">
            <v>13.275000000000006</v>
          </cell>
        </row>
        <row r="3101">
          <cell r="B3101">
            <v>44511</v>
          </cell>
          <cell r="D3101">
            <v>83.02</v>
          </cell>
          <cell r="E3101">
            <v>81.795000000000002</v>
          </cell>
          <cell r="H3101">
            <v>85.79</v>
          </cell>
          <cell r="I3101">
            <v>95.07</v>
          </cell>
          <cell r="BS3101">
            <v>13.274999999999991</v>
          </cell>
        </row>
        <row r="3102">
          <cell r="B3102">
            <v>44512</v>
          </cell>
          <cell r="D3102">
            <v>82.65</v>
          </cell>
          <cell r="E3102">
            <v>81.55</v>
          </cell>
          <cell r="H3102">
            <v>85.82</v>
          </cell>
          <cell r="I3102">
            <v>93.51</v>
          </cell>
          <cell r="BS3102">
            <v>11.960000000000008</v>
          </cell>
        </row>
        <row r="3103">
          <cell r="B3103">
            <v>44515</v>
          </cell>
          <cell r="D3103">
            <v>81.53</v>
          </cell>
          <cell r="E3103">
            <v>80.849999999999994</v>
          </cell>
          <cell r="H3103">
            <v>84.98</v>
          </cell>
          <cell r="I3103">
            <v>92.86</v>
          </cell>
          <cell r="BS3103">
            <v>12.010000000000005</v>
          </cell>
        </row>
        <row r="3104">
          <cell r="B3104">
            <v>44516</v>
          </cell>
          <cell r="D3104">
            <v>82.76</v>
          </cell>
          <cell r="E3104">
            <v>81.95</v>
          </cell>
          <cell r="H3104">
            <v>85.68</v>
          </cell>
          <cell r="I3104">
            <v>94.06</v>
          </cell>
          <cell r="BS3104">
            <v>12.11</v>
          </cell>
        </row>
        <row r="3105">
          <cell r="B3105">
            <v>44517</v>
          </cell>
          <cell r="D3105">
            <v>82.394999999999996</v>
          </cell>
          <cell r="E3105">
            <v>80.989999999999995</v>
          </cell>
          <cell r="H3105">
            <v>84.86</v>
          </cell>
          <cell r="I3105">
            <v>93.11</v>
          </cell>
          <cell r="BS3105">
            <v>12.120000000000005</v>
          </cell>
        </row>
        <row r="3106">
          <cell r="B3106">
            <v>44518</v>
          </cell>
          <cell r="D3106">
            <v>82.15</v>
          </cell>
          <cell r="E3106">
            <v>78.64</v>
          </cell>
          <cell r="H3106">
            <v>81.94</v>
          </cell>
          <cell r="I3106">
            <v>89.56</v>
          </cell>
          <cell r="BS3106">
            <v>10.920000000000002</v>
          </cell>
        </row>
        <row r="3107">
          <cell r="B3107">
            <v>44519</v>
          </cell>
          <cell r="D3107">
            <v>79.694999999999993</v>
          </cell>
          <cell r="E3107">
            <v>80.900000000000006</v>
          </cell>
          <cell r="H3107">
            <v>83.88</v>
          </cell>
          <cell r="I3107">
            <v>91.59</v>
          </cell>
          <cell r="BS3107">
            <v>10.689999999999998</v>
          </cell>
        </row>
        <row r="3108">
          <cell r="B3108">
            <v>44522</v>
          </cell>
          <cell r="D3108">
            <v>81.105000000000004</v>
          </cell>
          <cell r="E3108">
            <v>78.39</v>
          </cell>
          <cell r="H3108">
            <v>80.73</v>
          </cell>
          <cell r="I3108">
            <v>86.98</v>
          </cell>
          <cell r="BS3108">
            <v>8.5900000000000034</v>
          </cell>
        </row>
        <row r="3109">
          <cell r="B3109">
            <v>44523</v>
          </cell>
          <cell r="D3109">
            <v>82.825000000000003</v>
          </cell>
          <cell r="E3109">
            <v>78.45</v>
          </cell>
          <cell r="H3109">
            <v>80.819999999999993</v>
          </cell>
          <cell r="I3109">
            <v>87.37</v>
          </cell>
          <cell r="BS3109">
            <v>8.9200000000000017</v>
          </cell>
        </row>
        <row r="3110">
          <cell r="B3110">
            <v>44524</v>
          </cell>
          <cell r="D3110">
            <v>83.125</v>
          </cell>
          <cell r="E3110">
            <v>81.84</v>
          </cell>
          <cell r="H3110">
            <v>83.54</v>
          </cell>
          <cell r="I3110">
            <v>90.52</v>
          </cell>
          <cell r="BS3110">
            <v>8.6799999999999926</v>
          </cell>
        </row>
        <row r="3111">
          <cell r="B3111">
            <v>44525</v>
          </cell>
          <cell r="D3111">
            <v>82.26</v>
          </cell>
          <cell r="E3111">
            <v>81.400000000000006</v>
          </cell>
          <cell r="H3111">
            <v>83.21</v>
          </cell>
          <cell r="I3111">
            <v>89.86</v>
          </cell>
          <cell r="BS3111">
            <v>8.4599999999999937</v>
          </cell>
        </row>
        <row r="3112">
          <cell r="B3112">
            <v>44526</v>
          </cell>
          <cell r="D3112">
            <v>73.27</v>
          </cell>
          <cell r="E3112">
            <v>77.349999999999994</v>
          </cell>
          <cell r="H3112">
            <v>79.400000000000006</v>
          </cell>
          <cell r="I3112">
            <v>84.63</v>
          </cell>
          <cell r="BS3112">
            <v>7.2800000000000011</v>
          </cell>
        </row>
        <row r="3113">
          <cell r="B3113">
            <v>44529</v>
          </cell>
          <cell r="D3113">
            <v>74.95</v>
          </cell>
          <cell r="E3113">
            <v>75.150000000000006</v>
          </cell>
          <cell r="H3113">
            <v>78.209999999999994</v>
          </cell>
          <cell r="I3113">
            <v>82.71</v>
          </cell>
          <cell r="BS3113">
            <v>7.5599999999999881</v>
          </cell>
        </row>
        <row r="3114">
          <cell r="B3114">
            <v>44530</v>
          </cell>
          <cell r="D3114">
            <v>70.959999999999994</v>
          </cell>
          <cell r="E3114">
            <v>71.849999999999994</v>
          </cell>
          <cell r="H3114">
            <v>75.84</v>
          </cell>
          <cell r="I3114">
            <v>80.150000000000006</v>
          </cell>
          <cell r="BS3114">
            <v>8.3000000000000114</v>
          </cell>
        </row>
        <row r="3115">
          <cell r="B3115">
            <v>44531</v>
          </cell>
          <cell r="D3115">
            <v>71.944999999999993</v>
          </cell>
          <cell r="E3115">
            <v>71.099999999999994</v>
          </cell>
          <cell r="H3115">
            <v>75.150000000000006</v>
          </cell>
          <cell r="I3115">
            <v>79.55</v>
          </cell>
          <cell r="BS3115">
            <v>8.4500000000000028</v>
          </cell>
        </row>
        <row r="3116">
          <cell r="B3116">
            <v>44532</v>
          </cell>
          <cell r="D3116">
            <v>70.704999999999998</v>
          </cell>
          <cell r="E3116">
            <v>69.11</v>
          </cell>
          <cell r="H3116">
            <v>73.459999999999994</v>
          </cell>
          <cell r="I3116">
            <v>78.81</v>
          </cell>
          <cell r="BS3116">
            <v>9.7000000000000028</v>
          </cell>
        </row>
        <row r="3117">
          <cell r="B3117">
            <v>44533</v>
          </cell>
          <cell r="D3117">
            <v>71.92</v>
          </cell>
          <cell r="E3117">
            <v>70.760000000000005</v>
          </cell>
          <cell r="H3117">
            <v>74.33</v>
          </cell>
          <cell r="I3117">
            <v>80.53</v>
          </cell>
          <cell r="BS3117">
            <v>9.769999999999996</v>
          </cell>
        </row>
        <row r="3118">
          <cell r="B3118">
            <v>44536</v>
          </cell>
          <cell r="D3118">
            <v>72.19</v>
          </cell>
          <cell r="E3118">
            <v>70.09</v>
          </cell>
          <cell r="H3118">
            <v>73.11</v>
          </cell>
          <cell r="I3118">
            <v>80.06</v>
          </cell>
          <cell r="BS3118">
            <v>9.9699999999999989</v>
          </cell>
        </row>
        <row r="3119">
          <cell r="B3119">
            <v>44537</v>
          </cell>
          <cell r="D3119">
            <v>75.81</v>
          </cell>
          <cell r="E3119">
            <v>73.19</v>
          </cell>
          <cell r="H3119">
            <v>76.61</v>
          </cell>
          <cell r="I3119">
            <v>83.95</v>
          </cell>
          <cell r="BS3119">
            <v>10.760000000000005</v>
          </cell>
        </row>
        <row r="3120">
          <cell r="B3120">
            <v>44538</v>
          </cell>
          <cell r="D3120">
            <v>75.734999999999999</v>
          </cell>
          <cell r="E3120">
            <v>73.805000000000007</v>
          </cell>
          <cell r="H3120">
            <v>77.61</v>
          </cell>
          <cell r="I3120">
            <v>85.85</v>
          </cell>
          <cell r="BS3120">
            <v>12.044999999999987</v>
          </cell>
        </row>
        <row r="3121">
          <cell r="B3121">
            <v>44539</v>
          </cell>
          <cell r="D3121">
            <v>75.25</v>
          </cell>
          <cell r="E3121">
            <v>74.444999999999993</v>
          </cell>
          <cell r="H3121">
            <v>78.790000000000006</v>
          </cell>
          <cell r="I3121">
            <v>87</v>
          </cell>
          <cell r="BS3121">
            <v>12.555000000000007</v>
          </cell>
        </row>
        <row r="3122">
          <cell r="B3122">
            <v>44540</v>
          </cell>
          <cell r="D3122">
            <v>74.314999999999998</v>
          </cell>
          <cell r="E3122">
            <v>72.69</v>
          </cell>
          <cell r="H3122">
            <v>77.59</v>
          </cell>
          <cell r="I3122">
            <v>86.71</v>
          </cell>
          <cell r="BS3122">
            <v>14.019999999999996</v>
          </cell>
        </row>
        <row r="3123">
          <cell r="B3123">
            <v>44543</v>
          </cell>
          <cell r="D3123">
            <v>74.25</v>
          </cell>
          <cell r="E3123">
            <v>74.09</v>
          </cell>
          <cell r="H3123">
            <v>78.97</v>
          </cell>
          <cell r="I3123">
            <v>88.33</v>
          </cell>
          <cell r="BS3123">
            <v>14.239999999999995</v>
          </cell>
        </row>
        <row r="3124">
          <cell r="B3124">
            <v>44544</v>
          </cell>
          <cell r="D3124">
            <v>73.540000000000006</v>
          </cell>
          <cell r="E3124">
            <v>73.34</v>
          </cell>
          <cell r="H3124">
            <v>78.83</v>
          </cell>
          <cell r="I3124">
            <v>87.49</v>
          </cell>
          <cell r="BS3124">
            <v>14.149999999999991</v>
          </cell>
        </row>
        <row r="3125">
          <cell r="B3125">
            <v>44545</v>
          </cell>
          <cell r="D3125">
            <v>72.83</v>
          </cell>
          <cell r="E3125">
            <v>71.98</v>
          </cell>
          <cell r="H3125">
            <v>77.33</v>
          </cell>
          <cell r="I3125">
            <v>84.81</v>
          </cell>
          <cell r="BS3125">
            <v>12.829999999999998</v>
          </cell>
        </row>
        <row r="3126">
          <cell r="B3126">
            <v>44546</v>
          </cell>
          <cell r="D3126">
            <v>74.760000000000005</v>
          </cell>
          <cell r="E3126">
            <v>73.349999999999994</v>
          </cell>
          <cell r="H3126">
            <v>78.650000000000006</v>
          </cell>
          <cell r="I3126">
            <v>85.12</v>
          </cell>
          <cell r="BS3126">
            <v>11.77000000000001</v>
          </cell>
        </row>
        <row r="3127">
          <cell r="B3127">
            <v>44547</v>
          </cell>
          <cell r="D3127">
            <v>72.995000000000005</v>
          </cell>
          <cell r="E3127">
            <v>73.33</v>
          </cell>
          <cell r="H3127">
            <v>78.53</v>
          </cell>
          <cell r="I3127">
            <v>86</v>
          </cell>
          <cell r="BS3127">
            <v>12.670000000000002</v>
          </cell>
        </row>
        <row r="3128">
          <cell r="B3128">
            <v>44550</v>
          </cell>
          <cell r="D3128">
            <v>69.03</v>
          </cell>
          <cell r="E3128">
            <v>70.09</v>
          </cell>
          <cell r="H3128">
            <v>74.66</v>
          </cell>
          <cell r="I3128">
            <v>82.85</v>
          </cell>
          <cell r="BS3128">
            <v>12.759999999999991</v>
          </cell>
        </row>
        <row r="3129">
          <cell r="B3129">
            <v>44551</v>
          </cell>
          <cell r="D3129">
            <v>72.72</v>
          </cell>
          <cell r="E3129">
            <v>70.540000000000006</v>
          </cell>
          <cell r="H3129">
            <v>74.739999999999995</v>
          </cell>
          <cell r="I3129">
            <v>84.03</v>
          </cell>
          <cell r="BS3129">
            <v>13.489999999999995</v>
          </cell>
        </row>
        <row r="3130">
          <cell r="B3130">
            <v>44552</v>
          </cell>
          <cell r="D3130">
            <v>74.11</v>
          </cell>
          <cell r="E3130">
            <v>72.545000000000002</v>
          </cell>
          <cell r="H3130">
            <v>76.63</v>
          </cell>
          <cell r="I3130">
            <v>86.08</v>
          </cell>
          <cell r="BS3130">
            <v>13.534999999999997</v>
          </cell>
        </row>
        <row r="3131">
          <cell r="B3131">
            <v>44553</v>
          </cell>
          <cell r="D3131">
            <v>75.674999999999997</v>
          </cell>
          <cell r="E3131">
            <v>73.510000000000005</v>
          </cell>
          <cell r="H3131">
            <v>77.81</v>
          </cell>
          <cell r="I3131">
            <v>87.59</v>
          </cell>
          <cell r="BS3131">
            <v>14.079999999999998</v>
          </cell>
        </row>
        <row r="3132">
          <cell r="B3132">
            <v>44554</v>
          </cell>
          <cell r="D3132">
            <v>75.364999999999995</v>
          </cell>
          <cell r="E3132">
            <v>74.349999999999994</v>
          </cell>
          <cell r="H3132">
            <v>78.38</v>
          </cell>
          <cell r="I3132">
            <v>88.46</v>
          </cell>
          <cell r="BS3132">
            <v>14.11</v>
          </cell>
        </row>
        <row r="3133">
          <cell r="B3133">
            <v>44557</v>
          </cell>
          <cell r="D3133" t="str">
            <v/>
          </cell>
          <cell r="E3133" t="str">
            <v/>
          </cell>
          <cell r="H3133">
            <v>0</v>
          </cell>
          <cell r="I3133">
            <v>0</v>
          </cell>
          <cell r="BS3133" t="e">
            <v>#N/A</v>
          </cell>
        </row>
        <row r="3134">
          <cell r="B3134">
            <v>44558</v>
          </cell>
          <cell r="D3134" t="str">
            <v/>
          </cell>
          <cell r="E3134">
            <v>76.45</v>
          </cell>
          <cell r="H3134">
            <v>81.13</v>
          </cell>
          <cell r="I3134">
            <v>89.56</v>
          </cell>
          <cell r="BS3134">
            <v>13.11</v>
          </cell>
        </row>
        <row r="3135">
          <cell r="B3135">
            <v>44559</v>
          </cell>
          <cell r="D3135">
            <v>77.53</v>
          </cell>
          <cell r="E3135">
            <v>76.959999999999994</v>
          </cell>
          <cell r="H3135">
            <v>81.010000000000005</v>
          </cell>
          <cell r="I3135">
            <v>90.34</v>
          </cell>
          <cell r="BS3135">
            <v>13.38000000000001</v>
          </cell>
        </row>
        <row r="3136">
          <cell r="B3136">
            <v>44560</v>
          </cell>
          <cell r="D3136">
            <v>78.314999999999998</v>
          </cell>
          <cell r="E3136">
            <v>77.254999999999995</v>
          </cell>
          <cell r="H3136">
            <v>81.69</v>
          </cell>
          <cell r="I3136">
            <v>90.93</v>
          </cell>
          <cell r="BS3136">
            <v>13.675000000000011</v>
          </cell>
        </row>
        <row r="3137">
          <cell r="B3137">
            <v>44561</v>
          </cell>
          <cell r="D3137">
            <v>77.02</v>
          </cell>
          <cell r="E3137">
            <v>77.099999999999994</v>
          </cell>
          <cell r="H3137">
            <v>82.22</v>
          </cell>
          <cell r="I3137">
            <v>90.67</v>
          </cell>
          <cell r="BS3137">
            <v>13.570000000000007</v>
          </cell>
        </row>
        <row r="3138">
          <cell r="B3138">
            <v>44564</v>
          </cell>
          <cell r="D3138" t="str">
            <v/>
          </cell>
          <cell r="E3138">
            <v>76.849999999999994</v>
          </cell>
          <cell r="H3138">
            <v>81.37</v>
          </cell>
          <cell r="I3138">
            <v>90.67</v>
          </cell>
          <cell r="BS3138">
            <v>13.820000000000007</v>
          </cell>
        </row>
        <row r="3139">
          <cell r="B3139">
            <v>44565</v>
          </cell>
          <cell r="D3139">
            <v>78.989999999999995</v>
          </cell>
          <cell r="E3139">
            <v>77.489999999999995</v>
          </cell>
          <cell r="H3139">
            <v>81</v>
          </cell>
          <cell r="I3139">
            <v>91.33</v>
          </cell>
          <cell r="BS3139">
            <v>13.840000000000003</v>
          </cell>
        </row>
        <row r="3140">
          <cell r="B3140">
            <v>44566</v>
          </cell>
          <cell r="D3140">
            <v>80.900000000000006</v>
          </cell>
          <cell r="E3140">
            <v>78.394999999999996</v>
          </cell>
          <cell r="H3140">
            <v>79.97</v>
          </cell>
          <cell r="I3140">
            <v>91.25</v>
          </cell>
          <cell r="BS3140">
            <v>12.855000000000004</v>
          </cell>
        </row>
        <row r="3141">
          <cell r="B3141">
            <v>44567</v>
          </cell>
          <cell r="D3141">
            <v>82.305000000000007</v>
          </cell>
          <cell r="E3141">
            <v>78.81</v>
          </cell>
          <cell r="H3141">
            <v>79.349999999999994</v>
          </cell>
          <cell r="I3141">
            <v>91.43</v>
          </cell>
          <cell r="BS3141">
            <v>12.620000000000005</v>
          </cell>
        </row>
        <row r="3142">
          <cell r="B3142">
            <v>44568</v>
          </cell>
          <cell r="D3142">
            <v>82.48</v>
          </cell>
          <cell r="E3142">
            <v>80.584999999999994</v>
          </cell>
          <cell r="H3142">
            <v>81.33</v>
          </cell>
          <cell r="I3142">
            <v>92.83</v>
          </cell>
          <cell r="BS3142">
            <v>12.245000000000005</v>
          </cell>
        </row>
        <row r="3143">
          <cell r="B3143">
            <v>44571</v>
          </cell>
          <cell r="D3143">
            <v>82.245000000000005</v>
          </cell>
          <cell r="E3143">
            <v>80.34</v>
          </cell>
          <cell r="H3143">
            <v>81.67</v>
          </cell>
          <cell r="I3143">
            <v>92.73</v>
          </cell>
          <cell r="BS3143">
            <v>12.39</v>
          </cell>
        </row>
        <row r="3144">
          <cell r="B3144">
            <v>44572</v>
          </cell>
          <cell r="D3144">
            <v>84.65</v>
          </cell>
          <cell r="E3144">
            <v>79.98</v>
          </cell>
          <cell r="H3144">
            <v>81.34</v>
          </cell>
          <cell r="I3144">
            <v>91.78</v>
          </cell>
          <cell r="BS3144">
            <v>11.799999999999997</v>
          </cell>
        </row>
        <row r="3145">
          <cell r="B3145">
            <v>44573</v>
          </cell>
          <cell r="D3145">
            <v>86.53</v>
          </cell>
          <cell r="E3145">
            <v>82.21</v>
          </cell>
          <cell r="H3145">
            <v>83.36</v>
          </cell>
          <cell r="I3145">
            <v>94.52</v>
          </cell>
          <cell r="BS3145">
            <v>12.310000000000002</v>
          </cell>
        </row>
        <row r="3146">
          <cell r="B3146">
            <v>44574</v>
          </cell>
          <cell r="D3146">
            <v>86.194999999999993</v>
          </cell>
          <cell r="E3146">
            <v>82.944999999999993</v>
          </cell>
          <cell r="H3146">
            <v>84.09</v>
          </cell>
          <cell r="I3146">
            <v>95.7</v>
          </cell>
          <cell r="BS3146">
            <v>12.75500000000001</v>
          </cell>
        </row>
        <row r="3147">
          <cell r="B3147">
            <v>44575</v>
          </cell>
          <cell r="D3147">
            <v>86.965000000000003</v>
          </cell>
          <cell r="E3147">
            <v>83.74</v>
          </cell>
          <cell r="H3147">
            <v>84.82</v>
          </cell>
          <cell r="I3147">
            <v>95.72</v>
          </cell>
          <cell r="BS3147">
            <v>11.980000000000004</v>
          </cell>
        </row>
        <row r="3148">
          <cell r="B3148">
            <v>44578</v>
          </cell>
          <cell r="D3148">
            <v>87.72</v>
          </cell>
          <cell r="E3148">
            <v>84.9</v>
          </cell>
          <cell r="H3148">
            <v>85.15</v>
          </cell>
          <cell r="I3148">
            <v>97.18</v>
          </cell>
          <cell r="BS3148">
            <v>12.280000000000001</v>
          </cell>
        </row>
        <row r="3149">
          <cell r="B3149">
            <v>44579</v>
          </cell>
          <cell r="D3149">
            <v>88.525000000000006</v>
          </cell>
          <cell r="E3149">
            <v>86.55</v>
          </cell>
          <cell r="H3149">
            <v>85.93</v>
          </cell>
          <cell r="I3149">
            <v>98.7</v>
          </cell>
          <cell r="BS3149">
            <v>12.150000000000006</v>
          </cell>
        </row>
        <row r="3150">
          <cell r="B3150">
            <v>44580</v>
          </cell>
          <cell r="D3150">
            <v>90.51</v>
          </cell>
          <cell r="E3150">
            <v>86.34</v>
          </cell>
          <cell r="H3150">
            <v>85.95</v>
          </cell>
          <cell r="I3150">
            <v>97.74</v>
          </cell>
          <cell r="BS3150">
            <v>11.399999999999991</v>
          </cell>
        </row>
        <row r="3151">
          <cell r="B3151">
            <v>44581</v>
          </cell>
          <cell r="D3151">
            <v>90.915000000000006</v>
          </cell>
          <cell r="E3151">
            <v>86.295000000000002</v>
          </cell>
          <cell r="H3151">
            <v>86.03</v>
          </cell>
          <cell r="I3151">
            <v>97.99</v>
          </cell>
          <cell r="BS3151">
            <v>11.694999999999993</v>
          </cell>
        </row>
        <row r="3152">
          <cell r="B3152">
            <v>44582</v>
          </cell>
          <cell r="D3152">
            <v>89.805000000000007</v>
          </cell>
          <cell r="E3152">
            <v>85.1</v>
          </cell>
          <cell r="H3152">
            <v>85.05</v>
          </cell>
          <cell r="I3152">
            <v>97.26</v>
          </cell>
          <cell r="BS3152">
            <v>12.160000000000011</v>
          </cell>
        </row>
        <row r="3153">
          <cell r="B3153">
            <v>44585</v>
          </cell>
          <cell r="D3153">
            <v>87.52</v>
          </cell>
          <cell r="E3153">
            <v>86.74</v>
          </cell>
          <cell r="H3153">
            <v>86.49</v>
          </cell>
          <cell r="I3153">
            <v>98.97</v>
          </cell>
          <cell r="BS3153">
            <v>12.230000000000004</v>
          </cell>
        </row>
        <row r="3154">
          <cell r="B3154">
            <v>44586</v>
          </cell>
          <cell r="D3154">
            <v>89.45</v>
          </cell>
          <cell r="E3154">
            <v>84.85</v>
          </cell>
          <cell r="H3154">
            <v>85.08</v>
          </cell>
          <cell r="I3154">
            <v>98.01</v>
          </cell>
          <cell r="BS3154">
            <v>13.160000000000011</v>
          </cell>
        </row>
        <row r="3155">
          <cell r="B3155">
            <v>44587</v>
          </cell>
          <cell r="D3155">
            <v>92.015000000000001</v>
          </cell>
          <cell r="E3155">
            <v>86.74</v>
          </cell>
          <cell r="H3155">
            <v>87.32</v>
          </cell>
          <cell r="I3155">
            <v>100.03</v>
          </cell>
          <cell r="BS3155">
            <v>13.290000000000006</v>
          </cell>
        </row>
        <row r="3156">
          <cell r="B3156">
            <v>44588</v>
          </cell>
          <cell r="D3156">
            <v>91.284999999999997</v>
          </cell>
          <cell r="E3156">
            <v>87.77</v>
          </cell>
          <cell r="H3156">
            <v>88.37</v>
          </cell>
          <cell r="I3156">
            <v>101.44</v>
          </cell>
          <cell r="BS3156">
            <v>13.670000000000002</v>
          </cell>
        </row>
        <row r="3157">
          <cell r="B3157">
            <v>44589</v>
          </cell>
          <cell r="D3157">
            <v>92.86</v>
          </cell>
          <cell r="E3157">
            <v>87.56</v>
          </cell>
          <cell r="H3157">
            <v>88.54</v>
          </cell>
          <cell r="I3157">
            <v>101.75</v>
          </cell>
          <cell r="BS3157">
            <v>14.189999999999998</v>
          </cell>
        </row>
        <row r="3158">
          <cell r="B3158">
            <v>44592</v>
          </cell>
          <cell r="D3158">
            <v>92.52</v>
          </cell>
          <cell r="E3158">
            <v>88.37</v>
          </cell>
          <cell r="H3158">
            <v>90.04</v>
          </cell>
          <cell r="I3158">
            <v>102.4</v>
          </cell>
          <cell r="BS3158">
            <v>14.030000000000001</v>
          </cell>
        </row>
        <row r="3159">
          <cell r="B3159">
            <v>44593</v>
          </cell>
          <cell r="D3159">
            <v>93.265000000000001</v>
          </cell>
          <cell r="E3159" t="str">
            <v/>
          </cell>
          <cell r="H3159">
            <v>0</v>
          </cell>
          <cell r="I3159">
            <v>0</v>
          </cell>
          <cell r="BS3159" t="e">
            <v>#N/A</v>
          </cell>
        </row>
        <row r="3160">
          <cell r="B3160">
            <v>44594</v>
          </cell>
          <cell r="D3160">
            <v>91.935000000000002</v>
          </cell>
          <cell r="E3160" t="str">
            <v/>
          </cell>
          <cell r="H3160">
            <v>0</v>
          </cell>
          <cell r="I3160">
            <v>0</v>
          </cell>
          <cell r="BS3160" t="e">
            <v>#N/A</v>
          </cell>
        </row>
        <row r="3161">
          <cell r="B3161">
            <v>44595</v>
          </cell>
          <cell r="D3161">
            <v>93.46</v>
          </cell>
          <cell r="E3161">
            <v>87.444999999999993</v>
          </cell>
          <cell r="H3161">
            <v>90.96</v>
          </cell>
          <cell r="I3161">
            <v>103.29</v>
          </cell>
          <cell r="BS3161">
            <v>15.845000000000013</v>
          </cell>
        </row>
        <row r="3162">
          <cell r="B3162">
            <v>44596</v>
          </cell>
          <cell r="D3162">
            <v>97.66</v>
          </cell>
          <cell r="E3162">
            <v>90.25</v>
          </cell>
          <cell r="H3162">
            <v>92.92</v>
          </cell>
          <cell r="I3162">
            <v>104.96</v>
          </cell>
          <cell r="BS3162">
            <v>14.709999999999994</v>
          </cell>
        </row>
        <row r="3163">
          <cell r="B3163">
            <v>44599</v>
          </cell>
          <cell r="D3163">
            <v>98.2</v>
          </cell>
          <cell r="E3163">
            <v>90.94</v>
          </cell>
          <cell r="H3163">
            <v>93.25</v>
          </cell>
          <cell r="I3163">
            <v>105.3</v>
          </cell>
          <cell r="BS3163">
            <v>14.36</v>
          </cell>
        </row>
        <row r="3164">
          <cell r="B3164">
            <v>44600</v>
          </cell>
          <cell r="D3164">
            <v>95.34</v>
          </cell>
          <cell r="E3164">
            <v>90.405000000000001</v>
          </cell>
          <cell r="H3164">
            <v>92.31</v>
          </cell>
          <cell r="I3164">
            <v>105.4</v>
          </cell>
          <cell r="BS3164">
            <v>14.995000000000005</v>
          </cell>
        </row>
        <row r="3165">
          <cell r="B3165">
            <v>44601</v>
          </cell>
          <cell r="D3165">
            <v>96.745000000000005</v>
          </cell>
          <cell r="E3165">
            <v>89.36</v>
          </cell>
          <cell r="H3165">
            <v>91.45</v>
          </cell>
          <cell r="I3165">
            <v>104.95</v>
          </cell>
          <cell r="BS3165">
            <v>15.590000000000003</v>
          </cell>
        </row>
        <row r="3166">
          <cell r="B3166">
            <v>44602</v>
          </cell>
          <cell r="D3166">
            <v>97.424999999999997</v>
          </cell>
          <cell r="E3166">
            <v>90.555000000000007</v>
          </cell>
          <cell r="H3166">
            <v>93.22</v>
          </cell>
          <cell r="I3166">
            <v>107.69</v>
          </cell>
          <cell r="BS3166">
            <v>17.134999999999991</v>
          </cell>
        </row>
        <row r="3167">
          <cell r="B3167">
            <v>44603</v>
          </cell>
          <cell r="D3167">
            <v>97.834999999999994</v>
          </cell>
          <cell r="E3167">
            <v>90.204999999999998</v>
          </cell>
          <cell r="H3167">
            <v>92.54</v>
          </cell>
          <cell r="I3167">
            <v>107.36</v>
          </cell>
          <cell r="BS3167">
            <v>17.155000000000001</v>
          </cell>
        </row>
        <row r="3168">
          <cell r="B3168">
            <v>44606</v>
          </cell>
          <cell r="D3168">
            <v>99.715000000000003</v>
          </cell>
          <cell r="E3168">
            <v>92.75</v>
          </cell>
          <cell r="H3168">
            <v>95.98</v>
          </cell>
          <cell r="I3168">
            <v>110.29</v>
          </cell>
          <cell r="BS3168">
            <v>17.540000000000006</v>
          </cell>
        </row>
        <row r="3169">
          <cell r="B3169">
            <v>44607</v>
          </cell>
          <cell r="D3169">
            <v>97.655000000000001</v>
          </cell>
          <cell r="E3169">
            <v>93.03</v>
          </cell>
          <cell r="H3169">
            <v>96.09</v>
          </cell>
          <cell r="I3169">
            <v>109.89</v>
          </cell>
          <cell r="BS3169">
            <v>16.86</v>
          </cell>
        </row>
        <row r="3170">
          <cell r="B3170">
            <v>44608</v>
          </cell>
          <cell r="D3170">
            <v>100.795</v>
          </cell>
          <cell r="E3170">
            <v>92.56</v>
          </cell>
          <cell r="H3170">
            <v>95.67</v>
          </cell>
          <cell r="I3170">
            <v>109.04</v>
          </cell>
          <cell r="BS3170">
            <v>16.480000000000004</v>
          </cell>
        </row>
        <row r="3171">
          <cell r="B3171">
            <v>44609</v>
          </cell>
          <cell r="D3171">
            <v>97.305000000000007</v>
          </cell>
          <cell r="E3171">
            <v>91.87</v>
          </cell>
          <cell r="H3171">
            <v>94.87</v>
          </cell>
          <cell r="I3171">
            <v>107.26</v>
          </cell>
          <cell r="BS3171">
            <v>15.39</v>
          </cell>
        </row>
        <row r="3172">
          <cell r="B3172">
            <v>44610</v>
          </cell>
          <cell r="D3172">
            <v>97.35</v>
          </cell>
          <cell r="E3172">
            <v>90.29</v>
          </cell>
          <cell r="H3172">
            <v>92.9</v>
          </cell>
          <cell r="I3172">
            <v>105.73</v>
          </cell>
          <cell r="BS3172">
            <v>15.439999999999998</v>
          </cell>
        </row>
        <row r="3173">
          <cell r="B3173">
            <v>44613</v>
          </cell>
          <cell r="D3173">
            <v>98.98</v>
          </cell>
          <cell r="E3173">
            <v>91.69</v>
          </cell>
          <cell r="H3173">
            <v>94.11</v>
          </cell>
          <cell r="I3173">
            <v>106.83</v>
          </cell>
          <cell r="BS3173">
            <v>15.14</v>
          </cell>
        </row>
        <row r="3174">
          <cell r="B3174">
            <v>44614</v>
          </cell>
          <cell r="D3174">
            <v>100.33499999999999</v>
          </cell>
          <cell r="E3174">
            <v>95.96</v>
          </cell>
          <cell r="H3174">
            <v>98.87</v>
          </cell>
          <cell r="I3174">
            <v>111.69</v>
          </cell>
          <cell r="BS3174">
            <v>15.730000000000004</v>
          </cell>
        </row>
        <row r="3175">
          <cell r="B3175">
            <v>44615</v>
          </cell>
          <cell r="D3175">
            <v>100.485</v>
          </cell>
          <cell r="E3175">
            <v>93.605000000000004</v>
          </cell>
          <cell r="H3175">
            <v>96.65</v>
          </cell>
          <cell r="I3175">
            <v>109.33</v>
          </cell>
          <cell r="BS3175">
            <v>15.724999999999994</v>
          </cell>
        </row>
        <row r="3176">
          <cell r="B3176">
            <v>44616</v>
          </cell>
          <cell r="D3176">
            <v>106.52</v>
          </cell>
          <cell r="E3176">
            <v>98.6</v>
          </cell>
          <cell r="H3176">
            <v>102.67</v>
          </cell>
          <cell r="I3176">
            <v>114.29</v>
          </cell>
          <cell r="BS3176">
            <v>15.690000000000012</v>
          </cell>
        </row>
        <row r="3177">
          <cell r="B3177">
            <v>44617</v>
          </cell>
          <cell r="D3177">
            <v>99.5</v>
          </cell>
          <cell r="E3177">
            <v>95.81</v>
          </cell>
          <cell r="H3177">
            <v>101.37</v>
          </cell>
          <cell r="I3177">
            <v>112.67</v>
          </cell>
          <cell r="BS3177">
            <v>16.86</v>
          </cell>
        </row>
        <row r="3178">
          <cell r="B3178">
            <v>44620</v>
          </cell>
          <cell r="D3178">
            <v>103.2</v>
          </cell>
          <cell r="E3178">
            <v>96.795000000000002</v>
          </cell>
          <cell r="H3178">
            <v>102.33</v>
          </cell>
          <cell r="I3178">
            <v>113.26</v>
          </cell>
          <cell r="BS3178">
            <v>16.465000000000003</v>
          </cell>
        </row>
        <row r="3179">
          <cell r="B3179">
            <v>44621</v>
          </cell>
          <cell r="D3179">
            <v>112.92</v>
          </cell>
          <cell r="E3179">
            <v>98.66</v>
          </cell>
          <cell r="H3179">
            <v>106.87</v>
          </cell>
          <cell r="I3179">
            <v>114.36</v>
          </cell>
          <cell r="BS3179">
            <v>15.700000000000003</v>
          </cell>
        </row>
        <row r="3180">
          <cell r="B3180">
            <v>44622</v>
          </cell>
          <cell r="D3180">
            <v>117.3</v>
          </cell>
          <cell r="E3180">
            <v>110.01</v>
          </cell>
          <cell r="H3180">
            <v>120.45</v>
          </cell>
          <cell r="I3180">
            <v>122.7</v>
          </cell>
          <cell r="BS3180">
            <v>12.689999999999998</v>
          </cell>
        </row>
        <row r="3181">
          <cell r="B3181">
            <v>44623</v>
          </cell>
          <cell r="D3181">
            <v>119.80500000000001</v>
          </cell>
          <cell r="E3181">
            <v>116.59</v>
          </cell>
          <cell r="H3181">
            <v>125.87</v>
          </cell>
          <cell r="I3181">
            <v>130.51</v>
          </cell>
          <cell r="BS3181">
            <v>13.919999999999987</v>
          </cell>
        </row>
        <row r="3182">
          <cell r="B3182">
            <v>44624</v>
          </cell>
          <cell r="D3182">
            <v>120.23</v>
          </cell>
          <cell r="E3182">
            <v>108.8</v>
          </cell>
          <cell r="H3182">
            <v>115.45</v>
          </cell>
          <cell r="I3182">
            <v>123.93</v>
          </cell>
          <cell r="BS3182">
            <v>15.13000000000001</v>
          </cell>
        </row>
        <row r="3183">
          <cell r="B3183">
            <v>44627</v>
          </cell>
          <cell r="D3183">
            <v>130.04499999999999</v>
          </cell>
          <cell r="E3183">
            <v>125.15</v>
          </cell>
          <cell r="H3183">
            <v>128.61000000000001</v>
          </cell>
          <cell r="I3183">
            <v>142.01</v>
          </cell>
          <cell r="BS3183">
            <v>16.859999999999985</v>
          </cell>
        </row>
        <row r="3184">
          <cell r="B3184">
            <v>44628</v>
          </cell>
          <cell r="D3184">
            <v>137.63999999999999</v>
          </cell>
          <cell r="E3184">
            <v>122.95</v>
          </cell>
          <cell r="H3184">
            <v>125.62</v>
          </cell>
          <cell r="I3184">
            <v>140.99</v>
          </cell>
          <cell r="BS3184">
            <v>18.040000000000006</v>
          </cell>
        </row>
        <row r="3185">
          <cell r="B3185">
            <v>44629</v>
          </cell>
          <cell r="D3185">
            <v>129.51499999999999</v>
          </cell>
          <cell r="E3185">
            <v>127.81</v>
          </cell>
          <cell r="H3185">
            <v>129.08000000000001</v>
          </cell>
          <cell r="I3185">
            <v>149.84</v>
          </cell>
          <cell r="BS3185">
            <v>22.03</v>
          </cell>
        </row>
        <row r="3186">
          <cell r="B3186">
            <v>44630</v>
          </cell>
          <cell r="D3186">
            <v>121.105</v>
          </cell>
          <cell r="E3186">
            <v>115.3</v>
          </cell>
          <cell r="H3186">
            <v>117.1</v>
          </cell>
          <cell r="I3186">
            <v>133.66999999999999</v>
          </cell>
          <cell r="BS3186">
            <v>18.36999999999999</v>
          </cell>
        </row>
        <row r="3187">
          <cell r="B3187">
            <v>44631</v>
          </cell>
          <cell r="D3187">
            <v>118.97499999999999</v>
          </cell>
          <cell r="E3187">
            <v>110.505</v>
          </cell>
          <cell r="H3187">
            <v>112.1</v>
          </cell>
          <cell r="I3187">
            <v>125.47</v>
          </cell>
          <cell r="BS3187">
            <v>14.965000000000003</v>
          </cell>
        </row>
        <row r="3188">
          <cell r="B3188">
            <v>44634</v>
          </cell>
          <cell r="D3188">
            <v>111.625</v>
          </cell>
          <cell r="E3188">
            <v>109.845</v>
          </cell>
          <cell r="H3188">
            <v>111.2</v>
          </cell>
          <cell r="I3188">
            <v>125.41</v>
          </cell>
          <cell r="BS3188">
            <v>15.564999999999998</v>
          </cell>
        </row>
        <row r="3189">
          <cell r="B3189">
            <v>44635</v>
          </cell>
          <cell r="D3189">
            <v>107.955</v>
          </cell>
          <cell r="E3189">
            <v>99.73</v>
          </cell>
          <cell r="H3189">
            <v>98.94</v>
          </cell>
          <cell r="I3189">
            <v>115.73</v>
          </cell>
          <cell r="BS3189">
            <v>16</v>
          </cell>
        </row>
        <row r="3190">
          <cell r="B3190">
            <v>44636</v>
          </cell>
          <cell r="D3190">
            <v>106.48</v>
          </cell>
          <cell r="E3190">
            <v>102.45</v>
          </cell>
          <cell r="H3190">
            <v>102.43</v>
          </cell>
          <cell r="I3190">
            <v>119.93</v>
          </cell>
          <cell r="BS3190">
            <v>17.480000000000004</v>
          </cell>
        </row>
        <row r="3191">
          <cell r="B3191">
            <v>44637</v>
          </cell>
          <cell r="D3191">
            <v>113.71</v>
          </cell>
          <cell r="E3191">
            <v>100.8</v>
          </cell>
          <cell r="H3191">
            <v>100.06</v>
          </cell>
          <cell r="I3191">
            <v>119.69</v>
          </cell>
          <cell r="BS3191">
            <v>18.89</v>
          </cell>
        </row>
        <row r="3192">
          <cell r="B3192">
            <v>44638</v>
          </cell>
          <cell r="D3192">
            <v>113.27500000000001</v>
          </cell>
          <cell r="E3192">
            <v>106.605</v>
          </cell>
          <cell r="H3192">
            <v>103.58</v>
          </cell>
          <cell r="I3192">
            <v>125.24</v>
          </cell>
          <cell r="BS3192">
            <v>18.634999999999991</v>
          </cell>
        </row>
        <row r="3193">
          <cell r="B3193">
            <v>44641</v>
          </cell>
          <cell r="D3193">
            <v>120.875</v>
          </cell>
          <cell r="E3193">
            <v>109.75</v>
          </cell>
          <cell r="H3193">
            <v>105.24</v>
          </cell>
          <cell r="I3193">
            <v>129.16999999999999</v>
          </cell>
          <cell r="BS3193">
            <v>19.419999999999987</v>
          </cell>
        </row>
        <row r="3194">
          <cell r="B3194">
            <v>44642</v>
          </cell>
          <cell r="D3194">
            <v>120.33</v>
          </cell>
          <cell r="E3194">
            <v>111.15</v>
          </cell>
          <cell r="H3194">
            <v>105.2</v>
          </cell>
          <cell r="I3194">
            <v>129.27000000000001</v>
          </cell>
          <cell r="BS3194">
            <v>18.120000000000005</v>
          </cell>
        </row>
        <row r="3195">
          <cell r="B3195">
            <v>44643</v>
          </cell>
          <cell r="D3195">
            <v>126.495</v>
          </cell>
          <cell r="E3195">
            <v>111.75</v>
          </cell>
          <cell r="H3195">
            <v>108.02</v>
          </cell>
          <cell r="I3195">
            <v>129.46</v>
          </cell>
          <cell r="BS3195">
            <v>17.710000000000008</v>
          </cell>
        </row>
        <row r="3196">
          <cell r="B3196">
            <v>44644</v>
          </cell>
          <cell r="D3196">
            <v>124.04</v>
          </cell>
          <cell r="E3196">
            <v>115.55</v>
          </cell>
          <cell r="H3196">
            <v>109.68</v>
          </cell>
          <cell r="I3196">
            <v>132.31</v>
          </cell>
          <cell r="BS3196">
            <v>16.760000000000005</v>
          </cell>
        </row>
        <row r="3197">
          <cell r="B3197">
            <v>44645</v>
          </cell>
          <cell r="D3197">
            <v>124.35</v>
          </cell>
          <cell r="E3197">
            <v>111.9</v>
          </cell>
          <cell r="H3197">
            <v>104.28</v>
          </cell>
          <cell r="I3197">
            <v>125.96</v>
          </cell>
          <cell r="BS3197">
            <v>14.059999999999988</v>
          </cell>
        </row>
        <row r="3198">
          <cell r="B3198">
            <v>44648</v>
          </cell>
          <cell r="D3198">
            <v>117.56</v>
          </cell>
          <cell r="E3198">
            <v>110.65</v>
          </cell>
          <cell r="H3198">
            <v>105.13</v>
          </cell>
          <cell r="I3198">
            <v>126.25</v>
          </cell>
          <cell r="BS3198">
            <v>15.599999999999994</v>
          </cell>
        </row>
        <row r="3199">
          <cell r="B3199">
            <v>44649</v>
          </cell>
          <cell r="D3199">
            <v>112.37</v>
          </cell>
          <cell r="E3199">
            <v>108.59</v>
          </cell>
          <cell r="H3199">
            <v>104.55</v>
          </cell>
          <cell r="I3199">
            <v>123.54</v>
          </cell>
          <cell r="BS3199">
            <v>14.950000000000003</v>
          </cell>
        </row>
        <row r="3200">
          <cell r="B3200">
            <v>44650</v>
          </cell>
          <cell r="D3200">
            <v>115.935</v>
          </cell>
          <cell r="E3200">
            <v>108.35</v>
          </cell>
          <cell r="H3200">
            <v>103.31</v>
          </cell>
          <cell r="I3200">
            <v>123.76</v>
          </cell>
          <cell r="BS3200">
            <v>15.410000000000011</v>
          </cell>
        </row>
        <row r="3201">
          <cell r="B3201">
            <v>44651</v>
          </cell>
          <cell r="D3201">
            <v>110.08499999999999</v>
          </cell>
          <cell r="E3201">
            <v>107.66</v>
          </cell>
          <cell r="H3201">
            <v>99.59</v>
          </cell>
          <cell r="I3201">
            <v>121.81</v>
          </cell>
          <cell r="BS3201">
            <v>14.150000000000006</v>
          </cell>
        </row>
        <row r="3202">
          <cell r="B3202">
            <v>44652</v>
          </cell>
          <cell r="D3202">
            <v>107.425</v>
          </cell>
          <cell r="E3202">
            <v>101.6</v>
          </cell>
          <cell r="H3202">
            <v>96.04</v>
          </cell>
          <cell r="I3202">
            <v>117.76</v>
          </cell>
          <cell r="BS3202">
            <v>16.160000000000011</v>
          </cell>
        </row>
        <row r="3203">
          <cell r="B3203">
            <v>44655</v>
          </cell>
          <cell r="D3203">
            <v>108.72499999999999</v>
          </cell>
          <cell r="E3203">
            <v>101.79</v>
          </cell>
          <cell r="H3203">
            <v>96.8</v>
          </cell>
          <cell r="I3203">
            <v>120.11</v>
          </cell>
          <cell r="BS3203">
            <v>18.319999999999993</v>
          </cell>
        </row>
        <row r="3204">
          <cell r="B3204">
            <v>44656</v>
          </cell>
          <cell r="D3204">
            <v>107.675</v>
          </cell>
          <cell r="E3204">
            <v>105.3</v>
          </cell>
          <cell r="H3204">
            <v>98.85</v>
          </cell>
          <cell r="I3204">
            <v>123.47</v>
          </cell>
          <cell r="BS3204">
            <v>18.170000000000002</v>
          </cell>
        </row>
        <row r="3205">
          <cell r="B3205">
            <v>44657</v>
          </cell>
          <cell r="D3205">
            <v>104.515</v>
          </cell>
          <cell r="E3205">
            <v>103.75</v>
          </cell>
          <cell r="H3205">
            <v>98.32</v>
          </cell>
          <cell r="I3205">
            <v>122.5</v>
          </cell>
          <cell r="BS3205">
            <v>18.75</v>
          </cell>
        </row>
        <row r="3206">
          <cell r="B3206">
            <v>44658</v>
          </cell>
          <cell r="D3206">
            <v>98.275000000000006</v>
          </cell>
          <cell r="E3206">
            <v>97.37</v>
          </cell>
          <cell r="H3206">
            <v>93.89</v>
          </cell>
          <cell r="I3206">
            <v>118</v>
          </cell>
          <cell r="BS3206">
            <v>20.629999999999995</v>
          </cell>
        </row>
        <row r="3207">
          <cell r="B3207">
            <v>44659</v>
          </cell>
          <cell r="D3207">
            <v>100.43</v>
          </cell>
          <cell r="E3207">
            <v>98.11</v>
          </cell>
          <cell r="H3207">
            <v>95.78</v>
          </cell>
          <cell r="I3207">
            <v>118.51</v>
          </cell>
          <cell r="BS3207">
            <v>20.400000000000006</v>
          </cell>
        </row>
        <row r="3208">
          <cell r="B3208">
            <v>44662</v>
          </cell>
          <cell r="D3208">
            <v>98.495000000000005</v>
          </cell>
          <cell r="E3208">
            <v>97.6</v>
          </cell>
          <cell r="H3208">
            <v>96.42</v>
          </cell>
          <cell r="I3208">
            <v>117.45</v>
          </cell>
          <cell r="BS3208">
            <v>19.850000000000009</v>
          </cell>
        </row>
        <row r="3209">
          <cell r="B3209">
            <v>44663</v>
          </cell>
          <cell r="D3209">
            <v>105.325</v>
          </cell>
          <cell r="E3209">
            <v>98.1</v>
          </cell>
          <cell r="H3209">
            <v>95.49</v>
          </cell>
          <cell r="I3209">
            <v>116.04</v>
          </cell>
          <cell r="BS3209">
            <v>17.940000000000012</v>
          </cell>
        </row>
        <row r="3210">
          <cell r="B3210">
            <v>44664</v>
          </cell>
          <cell r="D3210">
            <v>106.63500000000001</v>
          </cell>
          <cell r="E3210">
            <v>102.41</v>
          </cell>
          <cell r="H3210">
            <v>99.35</v>
          </cell>
          <cell r="I3210">
            <v>120.84</v>
          </cell>
          <cell r="BS3210">
            <v>18.430000000000007</v>
          </cell>
        </row>
        <row r="3211">
          <cell r="B3211">
            <v>44665</v>
          </cell>
          <cell r="D3211">
            <v>106.57</v>
          </cell>
          <cell r="E3211">
            <v>105.85</v>
          </cell>
          <cell r="H3211">
            <v>101.46</v>
          </cell>
          <cell r="I3211">
            <v>126.34</v>
          </cell>
          <cell r="BS3211">
            <v>20.490000000000009</v>
          </cell>
        </row>
        <row r="3212">
          <cell r="B3212">
            <v>44666</v>
          </cell>
          <cell r="D3212" t="str">
            <v/>
          </cell>
          <cell r="E3212" t="str">
            <v/>
          </cell>
          <cell r="H3212">
            <v>0</v>
          </cell>
          <cell r="I3212">
            <v>0</v>
          </cell>
          <cell r="BS3212" t="e">
            <v>#N/A</v>
          </cell>
        </row>
        <row r="3213">
          <cell r="B3213">
            <v>44669</v>
          </cell>
          <cell r="D3213" t="str">
            <v/>
          </cell>
          <cell r="E3213">
            <v>108.09</v>
          </cell>
          <cell r="H3213">
            <v>103.22</v>
          </cell>
          <cell r="I3213">
            <v>129.16</v>
          </cell>
          <cell r="BS3213">
            <v>21.069999999999993</v>
          </cell>
        </row>
        <row r="3214">
          <cell r="B3214">
            <v>44670</v>
          </cell>
          <cell r="D3214">
            <v>105.65</v>
          </cell>
          <cell r="E3214">
            <v>108.65</v>
          </cell>
          <cell r="H3214">
            <v>101.2</v>
          </cell>
          <cell r="I3214">
            <v>128.79</v>
          </cell>
          <cell r="BS3214">
            <v>20.139999999999986</v>
          </cell>
        </row>
        <row r="3215">
          <cell r="B3215">
            <v>44671</v>
          </cell>
          <cell r="D3215">
            <v>105.51</v>
          </cell>
          <cell r="E3215">
            <v>105.51</v>
          </cell>
          <cell r="H3215">
            <v>97.27</v>
          </cell>
          <cell r="I3215">
            <v>125.69</v>
          </cell>
          <cell r="BS3215">
            <v>20.179999999999993</v>
          </cell>
        </row>
        <row r="3216">
          <cell r="B3216">
            <v>44672</v>
          </cell>
          <cell r="D3216">
            <v>106.23</v>
          </cell>
          <cell r="E3216">
            <v>106.11</v>
          </cell>
          <cell r="H3216">
            <v>97.22</v>
          </cell>
          <cell r="I3216">
            <v>128.11000000000001</v>
          </cell>
          <cell r="BS3216">
            <v>22.000000000000014</v>
          </cell>
        </row>
        <row r="3217">
          <cell r="B3217">
            <v>44673</v>
          </cell>
          <cell r="D3217">
            <v>105.36499999999999</v>
          </cell>
          <cell r="E3217">
            <v>105.05</v>
          </cell>
          <cell r="H3217">
            <v>95.31</v>
          </cell>
          <cell r="I3217">
            <v>127.78</v>
          </cell>
          <cell r="BS3217">
            <v>22.730000000000004</v>
          </cell>
        </row>
        <row r="3218">
          <cell r="B3218">
            <v>44676</v>
          </cell>
          <cell r="D3218">
            <v>97.545000000000002</v>
          </cell>
          <cell r="E3218">
            <v>99.69</v>
          </cell>
          <cell r="H3218">
            <v>89.62</v>
          </cell>
          <cell r="I3218">
            <v>120.95</v>
          </cell>
          <cell r="BS3218">
            <v>21.260000000000005</v>
          </cell>
        </row>
        <row r="3219">
          <cell r="B3219">
            <v>44677</v>
          </cell>
          <cell r="D3219">
            <v>102.23</v>
          </cell>
          <cell r="E3219">
            <v>99.55</v>
          </cell>
          <cell r="H3219">
            <v>90.91</v>
          </cell>
          <cell r="I3219">
            <v>123.23</v>
          </cell>
          <cell r="BS3219">
            <v>23.680000000000007</v>
          </cell>
        </row>
        <row r="3220">
          <cell r="B3220">
            <v>44678</v>
          </cell>
          <cell r="D3220">
            <v>102.9</v>
          </cell>
          <cell r="E3220">
            <v>103</v>
          </cell>
          <cell r="H3220">
            <v>95.25</v>
          </cell>
          <cell r="I3220">
            <v>127.28</v>
          </cell>
          <cell r="BS3220">
            <v>24.28</v>
          </cell>
        </row>
        <row r="3221">
          <cell r="B3221">
            <v>44679</v>
          </cell>
          <cell r="D3221">
            <v>105.73</v>
          </cell>
          <cell r="E3221">
            <v>102.795</v>
          </cell>
          <cell r="H3221">
            <v>93.61</v>
          </cell>
          <cell r="I3221">
            <v>127.56</v>
          </cell>
          <cell r="BS3221">
            <v>24.765000000000001</v>
          </cell>
        </row>
        <row r="3222">
          <cell r="B3222">
            <v>44680</v>
          </cell>
          <cell r="D3222">
            <v>108.16</v>
          </cell>
          <cell r="E3222">
            <v>105.4</v>
          </cell>
          <cell r="H3222">
            <v>94.48</v>
          </cell>
          <cell r="I3222">
            <v>130.47999999999999</v>
          </cell>
          <cell r="BS3222">
            <v>25.079999999999984</v>
          </cell>
        </row>
        <row r="3223">
          <cell r="B3223">
            <v>44683</v>
          </cell>
          <cell r="D3223" t="str">
            <v/>
          </cell>
          <cell r="E3223" t="str">
            <v/>
          </cell>
          <cell r="H3223">
            <v>0</v>
          </cell>
          <cell r="I3223">
            <v>0</v>
          </cell>
          <cell r="BS3223" t="e">
            <v>#N/A</v>
          </cell>
        </row>
        <row r="3224">
          <cell r="B3224">
            <v>44684</v>
          </cell>
          <cell r="D3224">
            <v>106.125</v>
          </cell>
          <cell r="E3224" t="str">
            <v/>
          </cell>
          <cell r="H3224">
            <v>0</v>
          </cell>
          <cell r="I3224">
            <v>0</v>
          </cell>
          <cell r="BS3224" t="e">
            <v>#N/A</v>
          </cell>
        </row>
        <row r="3225">
          <cell r="B3225">
            <v>44685</v>
          </cell>
          <cell r="D3225">
            <v>109.02</v>
          </cell>
          <cell r="E3225">
            <v>104.66</v>
          </cell>
          <cell r="H3225">
            <v>94.25</v>
          </cell>
          <cell r="I3225">
            <v>135.83000000000001</v>
          </cell>
          <cell r="BS3225">
            <v>31.170000000000016</v>
          </cell>
        </row>
        <row r="3226">
          <cell r="B3226">
            <v>44686</v>
          </cell>
          <cell r="D3226">
            <v>112.41</v>
          </cell>
          <cell r="E3226">
            <v>106.605</v>
          </cell>
          <cell r="H3226">
            <v>93.78</v>
          </cell>
          <cell r="I3226">
            <v>138.13</v>
          </cell>
          <cell r="BS3226">
            <v>31.524999999999991</v>
          </cell>
        </row>
        <row r="3227">
          <cell r="B3227">
            <v>44687</v>
          </cell>
          <cell r="D3227">
            <v>114.325</v>
          </cell>
          <cell r="E3227">
            <v>107.8</v>
          </cell>
          <cell r="H3227">
            <v>94.93</v>
          </cell>
          <cell r="I3227">
            <v>138.12</v>
          </cell>
          <cell r="BS3227">
            <v>30.320000000000007</v>
          </cell>
        </row>
        <row r="3228">
          <cell r="B3228">
            <v>44690</v>
          </cell>
          <cell r="D3228">
            <v>106.74</v>
          </cell>
          <cell r="E3228">
            <v>107.95</v>
          </cell>
          <cell r="H3228">
            <v>96.92</v>
          </cell>
          <cell r="I3228">
            <v>138.59</v>
          </cell>
          <cell r="BS3228">
            <v>30.64</v>
          </cell>
        </row>
        <row r="3229">
          <cell r="B3229">
            <v>44691</v>
          </cell>
          <cell r="D3229">
            <v>103.86499999999999</v>
          </cell>
          <cell r="E3229">
            <v>103.1</v>
          </cell>
          <cell r="H3229">
            <v>95.32</v>
          </cell>
          <cell r="I3229">
            <v>134.16999999999999</v>
          </cell>
          <cell r="BS3229">
            <v>31.069999999999993</v>
          </cell>
        </row>
        <row r="3230">
          <cell r="B3230">
            <v>44692</v>
          </cell>
          <cell r="D3230">
            <v>107.48</v>
          </cell>
          <cell r="E3230">
            <v>102.89</v>
          </cell>
          <cell r="H3230">
            <v>96.11</v>
          </cell>
          <cell r="I3230">
            <v>131.41999999999999</v>
          </cell>
          <cell r="BS3230">
            <v>28.529999999999987</v>
          </cell>
        </row>
        <row r="3231">
          <cell r="B3231">
            <v>44693</v>
          </cell>
          <cell r="D3231">
            <v>108.69499999999999</v>
          </cell>
          <cell r="E3231">
            <v>102.84</v>
          </cell>
          <cell r="H3231">
            <v>95.77</v>
          </cell>
          <cell r="I3231">
            <v>132.69</v>
          </cell>
          <cell r="BS3231">
            <v>29.849999999999994</v>
          </cell>
        </row>
        <row r="3232">
          <cell r="B3232">
            <v>44694</v>
          </cell>
          <cell r="D3232">
            <v>111.35</v>
          </cell>
          <cell r="E3232">
            <v>106.64</v>
          </cell>
          <cell r="H3232">
            <v>97.72</v>
          </cell>
          <cell r="I3232">
            <v>139.97999999999999</v>
          </cell>
          <cell r="BS3232">
            <v>33.339999999999989</v>
          </cell>
        </row>
        <row r="3233">
          <cell r="B3233">
            <v>44697</v>
          </cell>
          <cell r="D3233">
            <v>113.13500000000001</v>
          </cell>
          <cell r="E3233" t="str">
            <v/>
          </cell>
          <cell r="H3233">
            <v>0</v>
          </cell>
          <cell r="I3233">
            <v>0</v>
          </cell>
          <cell r="BS3233" t="e">
            <v>#N/A</v>
          </cell>
        </row>
        <row r="3234">
          <cell r="B3234">
            <v>44698</v>
          </cell>
          <cell r="D3234">
            <v>116.51</v>
          </cell>
          <cell r="E3234">
            <v>110.80500000000001</v>
          </cell>
          <cell r="H3234">
            <v>97.11</v>
          </cell>
          <cell r="I3234">
            <v>146.32</v>
          </cell>
          <cell r="BS3234">
            <v>35.514999999999986</v>
          </cell>
        </row>
        <row r="3235">
          <cell r="B3235">
            <v>44699</v>
          </cell>
          <cell r="D3235">
            <v>111.325</v>
          </cell>
          <cell r="E3235">
            <v>109.71</v>
          </cell>
          <cell r="H3235">
            <v>96.59</v>
          </cell>
          <cell r="I3235">
            <v>148.69999999999999</v>
          </cell>
          <cell r="BS3235">
            <v>38.989999999999995</v>
          </cell>
        </row>
        <row r="3236">
          <cell r="B3236">
            <v>44700</v>
          </cell>
          <cell r="D3236">
            <v>111.35</v>
          </cell>
          <cell r="E3236">
            <v>105.58</v>
          </cell>
          <cell r="H3236">
            <v>92.68</v>
          </cell>
          <cell r="I3236">
            <v>141.6</v>
          </cell>
          <cell r="BS3236">
            <v>36.019999999999996</v>
          </cell>
        </row>
        <row r="3237">
          <cell r="B3237">
            <v>44701</v>
          </cell>
          <cell r="D3237">
            <v>113.815</v>
          </cell>
          <cell r="E3237">
            <v>108.04</v>
          </cell>
          <cell r="H3237">
            <v>95.14</v>
          </cell>
          <cell r="I3237">
            <v>148.87</v>
          </cell>
          <cell r="BS3237">
            <v>40.83</v>
          </cell>
        </row>
        <row r="3238">
          <cell r="B3238">
            <v>44704</v>
          </cell>
          <cell r="D3238">
            <v>115.52500000000001</v>
          </cell>
          <cell r="E3238">
            <v>109.39</v>
          </cell>
          <cell r="H3238">
            <v>95.98</v>
          </cell>
          <cell r="I3238">
            <v>141.69999999999999</v>
          </cell>
          <cell r="BS3238">
            <v>32.309999999999988</v>
          </cell>
        </row>
        <row r="3239">
          <cell r="B3239">
            <v>44705</v>
          </cell>
          <cell r="D3239">
            <v>115.815</v>
          </cell>
          <cell r="E3239">
            <v>107.89</v>
          </cell>
          <cell r="H3239">
            <v>93.95</v>
          </cell>
          <cell r="I3239">
            <v>137.69</v>
          </cell>
          <cell r="BS3239">
            <v>29.799999999999997</v>
          </cell>
        </row>
        <row r="3240">
          <cell r="B3240">
            <v>44706</v>
          </cell>
          <cell r="D3240">
            <v>115.74</v>
          </cell>
          <cell r="E3240">
            <v>109.2</v>
          </cell>
          <cell r="H3240">
            <v>92.58</v>
          </cell>
          <cell r="I3240">
            <v>139.12</v>
          </cell>
          <cell r="BS3240">
            <v>29.92</v>
          </cell>
        </row>
        <row r="3241">
          <cell r="B3241">
            <v>44707</v>
          </cell>
          <cell r="D3241">
            <v>118.685</v>
          </cell>
          <cell r="E3241">
            <v>108.91</v>
          </cell>
          <cell r="H3241">
            <v>91.46</v>
          </cell>
          <cell r="I3241">
            <v>142.44</v>
          </cell>
          <cell r="BS3241">
            <v>33.53</v>
          </cell>
        </row>
        <row r="3242">
          <cell r="B3242">
            <v>44708</v>
          </cell>
          <cell r="D3242">
            <v>119.66500000000001</v>
          </cell>
          <cell r="E3242">
            <v>112.355</v>
          </cell>
          <cell r="H3242">
            <v>93.09</v>
          </cell>
          <cell r="I3242">
            <v>146.08000000000001</v>
          </cell>
          <cell r="BS3242">
            <v>33.725000000000009</v>
          </cell>
        </row>
        <row r="3243">
          <cell r="B3243">
            <v>44711</v>
          </cell>
          <cell r="D3243">
            <v>122.33499999999999</v>
          </cell>
          <cell r="E3243">
            <v>113.79</v>
          </cell>
          <cell r="H3243">
            <v>92.06</v>
          </cell>
          <cell r="I3243">
            <v>149.94</v>
          </cell>
          <cell r="BS3243">
            <v>36.149999999999991</v>
          </cell>
        </row>
        <row r="3244">
          <cell r="B3244">
            <v>44712</v>
          </cell>
          <cell r="D3244">
            <v>124.375</v>
          </cell>
          <cell r="E3244">
            <v>116.35</v>
          </cell>
          <cell r="H3244">
            <v>93</v>
          </cell>
          <cell r="I3244">
            <v>151.07</v>
          </cell>
          <cell r="BS3244">
            <v>34.72</v>
          </cell>
        </row>
        <row r="3245">
          <cell r="B3245">
            <v>44713</v>
          </cell>
          <cell r="D3245">
            <v>122.96</v>
          </cell>
          <cell r="E3245">
            <v>112.66</v>
          </cell>
          <cell r="H3245">
            <v>88.48</v>
          </cell>
          <cell r="I3245">
            <v>147</v>
          </cell>
          <cell r="BS3245">
            <v>34.340000000000003</v>
          </cell>
        </row>
        <row r="3246">
          <cell r="B3246">
            <v>44714</v>
          </cell>
          <cell r="D3246" t="str">
            <v/>
          </cell>
          <cell r="E3246">
            <v>108.94</v>
          </cell>
          <cell r="H3246">
            <v>85.33</v>
          </cell>
          <cell r="I3246">
            <v>144.88999999999999</v>
          </cell>
          <cell r="BS3246">
            <v>35.949999999999989</v>
          </cell>
        </row>
        <row r="3247">
          <cell r="B3247">
            <v>44715</v>
          </cell>
          <cell r="D3247" t="str">
            <v/>
          </cell>
          <cell r="E3247">
            <v>112.1</v>
          </cell>
          <cell r="H3247">
            <v>89.44</v>
          </cell>
          <cell r="I3247">
            <v>147.6</v>
          </cell>
          <cell r="BS3247">
            <v>35.5</v>
          </cell>
        </row>
        <row r="3248">
          <cell r="B3248">
            <v>44718</v>
          </cell>
          <cell r="D3248">
            <v>124.68</v>
          </cell>
          <cell r="E3248">
            <v>115.6</v>
          </cell>
          <cell r="H3248">
            <v>90.69</v>
          </cell>
          <cell r="I3248">
            <v>150.5</v>
          </cell>
          <cell r="BS3248">
            <v>34.900000000000006</v>
          </cell>
        </row>
        <row r="3249">
          <cell r="B3249">
            <v>44719</v>
          </cell>
          <cell r="D3249">
            <v>125.795</v>
          </cell>
          <cell r="E3249">
            <v>115.56</v>
          </cell>
          <cell r="H3249">
            <v>88.32</v>
          </cell>
          <cell r="I3249">
            <v>148.36000000000001</v>
          </cell>
          <cell r="BS3249">
            <v>32.800000000000011</v>
          </cell>
        </row>
        <row r="3250">
          <cell r="B3250">
            <v>44720</v>
          </cell>
          <cell r="D3250">
            <v>128.29</v>
          </cell>
          <cell r="E3250">
            <v>116.51</v>
          </cell>
          <cell r="H3250">
            <v>85.14</v>
          </cell>
          <cell r="I3250">
            <v>147.19999999999999</v>
          </cell>
          <cell r="BS3250">
            <v>30.689999999999984</v>
          </cell>
        </row>
        <row r="3251">
          <cell r="B3251">
            <v>44721</v>
          </cell>
          <cell r="D3251">
            <v>128.92500000000001</v>
          </cell>
          <cell r="E3251">
            <v>118.79</v>
          </cell>
          <cell r="H3251">
            <v>86.14</v>
          </cell>
          <cell r="I3251">
            <v>152.94999999999999</v>
          </cell>
          <cell r="BS3251">
            <v>34.159999999999982</v>
          </cell>
        </row>
        <row r="3252">
          <cell r="B3252">
            <v>44722</v>
          </cell>
          <cell r="D3252">
            <v>127.55</v>
          </cell>
          <cell r="E3252">
            <v>118.95</v>
          </cell>
          <cell r="H3252">
            <v>82.51</v>
          </cell>
          <cell r="I3252">
            <v>155.72</v>
          </cell>
          <cell r="BS3252">
            <v>36.769999999999996</v>
          </cell>
        </row>
        <row r="3253">
          <cell r="B3253">
            <v>44725</v>
          </cell>
          <cell r="D3253">
            <v>127.965</v>
          </cell>
          <cell r="E3253">
            <v>115.66</v>
          </cell>
          <cell r="H3253">
            <v>82.75</v>
          </cell>
          <cell r="I3253">
            <v>148.55000000000001</v>
          </cell>
          <cell r="BS3253">
            <v>32.890000000000015</v>
          </cell>
        </row>
        <row r="3254">
          <cell r="B3254">
            <v>44726</v>
          </cell>
          <cell r="D3254">
            <v>132.06</v>
          </cell>
          <cell r="E3254">
            <v>118.61</v>
          </cell>
          <cell r="H3254">
            <v>82.08</v>
          </cell>
          <cell r="I3254">
            <v>151.59</v>
          </cell>
          <cell r="BS3254">
            <v>32.980000000000004</v>
          </cell>
        </row>
        <row r="3255">
          <cell r="B3255">
            <v>44727</v>
          </cell>
          <cell r="D3255">
            <v>128.16</v>
          </cell>
          <cell r="E3255">
            <v>116.3</v>
          </cell>
          <cell r="H3255">
            <v>80.05</v>
          </cell>
          <cell r="I3255">
            <v>151.61000000000001</v>
          </cell>
          <cell r="BS3255">
            <v>35.310000000000016</v>
          </cell>
        </row>
        <row r="3256">
          <cell r="B3256">
            <v>44728</v>
          </cell>
          <cell r="D3256">
            <v>124.27500000000001</v>
          </cell>
          <cell r="E3256">
            <v>114.94</v>
          </cell>
          <cell r="H3256">
            <v>80.430000000000007</v>
          </cell>
          <cell r="I3256">
            <v>150.27000000000001</v>
          </cell>
          <cell r="BS3256">
            <v>35.330000000000013</v>
          </cell>
        </row>
        <row r="3257">
          <cell r="B3257">
            <v>44729</v>
          </cell>
          <cell r="D3257">
            <v>120.575</v>
          </cell>
          <cell r="E3257">
            <v>116.3</v>
          </cell>
          <cell r="H3257">
            <v>85.07</v>
          </cell>
          <cell r="I3257">
            <v>151.55000000000001</v>
          </cell>
          <cell r="BS3257">
            <v>35.250000000000014</v>
          </cell>
        </row>
        <row r="3258">
          <cell r="B3258">
            <v>44732</v>
          </cell>
          <cell r="D3258">
            <v>119.74</v>
          </cell>
          <cell r="E3258">
            <v>108.4</v>
          </cell>
          <cell r="H3258">
            <v>82.29</v>
          </cell>
          <cell r="I3258">
            <v>143.99</v>
          </cell>
          <cell r="BS3258">
            <v>35.590000000000003</v>
          </cell>
        </row>
        <row r="3259">
          <cell r="B3259">
            <v>44733</v>
          </cell>
          <cell r="D3259">
            <v>120.54</v>
          </cell>
          <cell r="E3259">
            <v>111.75</v>
          </cell>
          <cell r="H3259">
            <v>83.06</v>
          </cell>
          <cell r="I3259">
            <v>153.59</v>
          </cell>
          <cell r="BS3259">
            <v>41.84</v>
          </cell>
        </row>
        <row r="3260">
          <cell r="B3260">
            <v>44734</v>
          </cell>
          <cell r="D3260">
            <v>116.59</v>
          </cell>
          <cell r="E3260">
            <v>106.6</v>
          </cell>
          <cell r="H3260">
            <v>77.5</v>
          </cell>
          <cell r="I3260">
            <v>147.99</v>
          </cell>
          <cell r="BS3260">
            <v>41.390000000000015</v>
          </cell>
        </row>
        <row r="3261">
          <cell r="B3261">
            <v>44735</v>
          </cell>
          <cell r="D3261">
            <v>117.325</v>
          </cell>
          <cell r="E3261">
            <v>106.45</v>
          </cell>
          <cell r="H3261">
            <v>80.290000000000006</v>
          </cell>
          <cell r="I3261">
            <v>145.62</v>
          </cell>
          <cell r="BS3261">
            <v>39.17</v>
          </cell>
        </row>
        <row r="3262">
          <cell r="B3262">
            <v>44736</v>
          </cell>
          <cell r="D3262">
            <v>119.94499999999999</v>
          </cell>
          <cell r="E3262">
            <v>106.5</v>
          </cell>
          <cell r="H3262">
            <v>83.01</v>
          </cell>
          <cell r="I3262">
            <v>146.82</v>
          </cell>
          <cell r="BS3262">
            <v>40.319999999999993</v>
          </cell>
        </row>
        <row r="3263">
          <cell r="B3263">
            <v>44739</v>
          </cell>
          <cell r="D3263">
            <v>120.65</v>
          </cell>
          <cell r="E3263">
            <v>110</v>
          </cell>
          <cell r="H3263">
            <v>84.67</v>
          </cell>
          <cell r="I3263">
            <v>148.56</v>
          </cell>
          <cell r="BS3263">
            <v>38.56</v>
          </cell>
        </row>
        <row r="3264">
          <cell r="B3264">
            <v>44740</v>
          </cell>
          <cell r="D3264">
            <v>122.94</v>
          </cell>
          <cell r="E3264">
            <v>113.16</v>
          </cell>
          <cell r="H3264">
            <v>86.04</v>
          </cell>
          <cell r="I3264">
            <v>148.57</v>
          </cell>
          <cell r="BS3264">
            <v>35.409999999999997</v>
          </cell>
        </row>
        <row r="3265">
          <cell r="B3265">
            <v>44741</v>
          </cell>
          <cell r="D3265">
            <v>124.58499999999999</v>
          </cell>
          <cell r="E3265">
            <v>114.19</v>
          </cell>
          <cell r="H3265">
            <v>85.31</v>
          </cell>
          <cell r="I3265">
            <v>148.02000000000001</v>
          </cell>
          <cell r="BS3265">
            <v>33.830000000000013</v>
          </cell>
        </row>
        <row r="3266">
          <cell r="B3266">
            <v>44742</v>
          </cell>
          <cell r="D3266">
            <v>120.485</v>
          </cell>
          <cell r="E3266">
            <v>113.35</v>
          </cell>
          <cell r="H3266">
            <v>86.19</v>
          </cell>
          <cell r="I3266">
            <v>143.04</v>
          </cell>
          <cell r="BS3266">
            <v>29.689999999999998</v>
          </cell>
        </row>
        <row r="3267">
          <cell r="B3267">
            <v>44743</v>
          </cell>
          <cell r="D3267">
            <v>121.54</v>
          </cell>
          <cell r="E3267">
            <v>106.31</v>
          </cell>
          <cell r="H3267">
            <v>86.97</v>
          </cell>
          <cell r="I3267">
            <v>137.47999999999999</v>
          </cell>
          <cell r="BS3267">
            <v>31.169999999999987</v>
          </cell>
        </row>
        <row r="3268">
          <cell r="B3268">
            <v>44746</v>
          </cell>
          <cell r="D3268">
            <v>124.785</v>
          </cell>
          <cell r="E3268">
            <v>108.37</v>
          </cell>
          <cell r="H3268">
            <v>87.52</v>
          </cell>
          <cell r="I3268">
            <v>139.9</v>
          </cell>
          <cell r="BS3268">
            <v>31.53</v>
          </cell>
        </row>
        <row r="3269">
          <cell r="B3269">
            <v>44747</v>
          </cell>
          <cell r="D3269">
            <v>113.15</v>
          </cell>
          <cell r="E3269">
            <v>111.01</v>
          </cell>
          <cell r="H3269">
            <v>89.17</v>
          </cell>
          <cell r="I3269">
            <v>138.38999999999999</v>
          </cell>
          <cell r="BS3269">
            <v>27.379999999999981</v>
          </cell>
        </row>
        <row r="3270">
          <cell r="B3270">
            <v>44748</v>
          </cell>
          <cell r="D3270">
            <v>109.94499999999999</v>
          </cell>
          <cell r="E3270">
            <v>101.69</v>
          </cell>
          <cell r="H3270">
            <v>85.41</v>
          </cell>
          <cell r="I3270">
            <v>120.94</v>
          </cell>
          <cell r="BS3270">
            <v>19.25</v>
          </cell>
        </row>
        <row r="3271">
          <cell r="B3271">
            <v>44749</v>
          </cell>
          <cell r="D3271">
            <v>114.625</v>
          </cell>
          <cell r="E3271">
            <v>98.2</v>
          </cell>
          <cell r="H3271">
            <v>83.64</v>
          </cell>
          <cell r="I3271">
            <v>115.72</v>
          </cell>
          <cell r="BS3271">
            <v>17.519999999999996</v>
          </cell>
        </row>
        <row r="3272">
          <cell r="B3272">
            <v>44750</v>
          </cell>
          <cell r="D3272">
            <v>115.61499999999999</v>
          </cell>
          <cell r="E3272">
            <v>104.05</v>
          </cell>
          <cell r="H3272">
            <v>85.64</v>
          </cell>
          <cell r="I3272">
            <v>119.81</v>
          </cell>
          <cell r="BS3272">
            <v>15.760000000000005</v>
          </cell>
        </row>
        <row r="3273">
          <cell r="B3273">
            <v>44753</v>
          </cell>
          <cell r="D3273">
            <v>114.605</v>
          </cell>
          <cell r="E3273" t="str">
            <v/>
          </cell>
          <cell r="H3273">
            <v>0</v>
          </cell>
          <cell r="I3273">
            <v>0</v>
          </cell>
          <cell r="BS3273" t="e">
            <v>#N/A</v>
          </cell>
        </row>
        <row r="3274">
          <cell r="B3274">
            <v>44754</v>
          </cell>
          <cell r="D3274">
            <v>108.905</v>
          </cell>
          <cell r="E3274">
            <v>102.1</v>
          </cell>
          <cell r="H3274">
            <v>83.15</v>
          </cell>
          <cell r="I3274">
            <v>118.16</v>
          </cell>
          <cell r="BS3274">
            <v>16.060000000000002</v>
          </cell>
        </row>
        <row r="3275">
          <cell r="B3275">
            <v>44755</v>
          </cell>
          <cell r="D3275">
            <v>108.53</v>
          </cell>
          <cell r="E3275">
            <v>98.45</v>
          </cell>
          <cell r="H3275">
            <v>81.28</v>
          </cell>
          <cell r="I3275">
            <v>112.74</v>
          </cell>
          <cell r="BS3275">
            <v>14.289999999999992</v>
          </cell>
        </row>
        <row r="3276">
          <cell r="B3276">
            <v>44756</v>
          </cell>
          <cell r="D3276">
            <v>105.93</v>
          </cell>
          <cell r="E3276">
            <v>97.69</v>
          </cell>
          <cell r="H3276">
            <v>79.84</v>
          </cell>
          <cell r="I3276">
            <v>108.26</v>
          </cell>
          <cell r="BS3276">
            <v>10.570000000000007</v>
          </cell>
        </row>
        <row r="3277">
          <cell r="B3277">
            <v>44757</v>
          </cell>
          <cell r="D3277">
            <v>111.065</v>
          </cell>
          <cell r="E3277">
            <v>98.32</v>
          </cell>
          <cell r="H3277">
            <v>78.09</v>
          </cell>
          <cell r="I3277">
            <v>106.32</v>
          </cell>
          <cell r="BS3277">
            <v>8</v>
          </cell>
        </row>
        <row r="3278">
          <cell r="B3278">
            <v>44760</v>
          </cell>
          <cell r="D3278">
            <v>115.08</v>
          </cell>
          <cell r="E3278">
            <v>102.59</v>
          </cell>
          <cell r="H3278">
            <v>80.09</v>
          </cell>
          <cell r="I3278">
            <v>111.75</v>
          </cell>
          <cell r="BS3278">
            <v>9.1599999999999966</v>
          </cell>
        </row>
        <row r="3279">
          <cell r="B3279">
            <v>44761</v>
          </cell>
          <cell r="D3279">
            <v>113.46</v>
          </cell>
          <cell r="E3279">
            <v>104.80500000000001</v>
          </cell>
          <cell r="H3279">
            <v>80.56</v>
          </cell>
          <cell r="I3279">
            <v>113.99</v>
          </cell>
          <cell r="BS3279">
            <v>9.1849999999999881</v>
          </cell>
        </row>
        <row r="3280">
          <cell r="B3280">
            <v>44762</v>
          </cell>
          <cell r="D3280">
            <v>113.735</v>
          </cell>
          <cell r="E3280">
            <v>104.44</v>
          </cell>
          <cell r="H3280">
            <v>79.94</v>
          </cell>
          <cell r="I3280">
            <v>112.8</v>
          </cell>
          <cell r="BS3280">
            <v>8.36</v>
          </cell>
        </row>
        <row r="3281">
          <cell r="B3281">
            <v>44763</v>
          </cell>
          <cell r="D3281">
            <v>110.62</v>
          </cell>
          <cell r="E3281">
            <v>102</v>
          </cell>
          <cell r="H3281">
            <v>78.03</v>
          </cell>
          <cell r="I3281">
            <v>106.58</v>
          </cell>
          <cell r="BS3281">
            <v>4.5799999999999983</v>
          </cell>
        </row>
        <row r="3282">
          <cell r="B3282">
            <v>44764</v>
          </cell>
          <cell r="D3282">
            <v>110.22</v>
          </cell>
          <cell r="E3282">
            <v>102.69</v>
          </cell>
          <cell r="H3282">
            <v>79.14</v>
          </cell>
          <cell r="I3282">
            <v>103.75</v>
          </cell>
          <cell r="BS3282">
            <v>1.0600000000000023</v>
          </cell>
        </row>
        <row r="3283">
          <cell r="B3283">
            <v>44767</v>
          </cell>
          <cell r="D3283">
            <v>108.605</v>
          </cell>
          <cell r="E3283">
            <v>101.21</v>
          </cell>
          <cell r="H3283">
            <v>78.209999999999994</v>
          </cell>
          <cell r="I3283">
            <v>105.58</v>
          </cell>
          <cell r="BS3283">
            <v>4.3700000000000045</v>
          </cell>
        </row>
        <row r="3284">
          <cell r="B3284">
            <v>44768</v>
          </cell>
          <cell r="D3284">
            <v>109.53</v>
          </cell>
          <cell r="E3284">
            <v>104.9</v>
          </cell>
          <cell r="H3284">
            <v>79.099999999999994</v>
          </cell>
          <cell r="I3284">
            <v>114.62</v>
          </cell>
          <cell r="BS3284">
            <v>9.7199999999999989</v>
          </cell>
        </row>
        <row r="3285">
          <cell r="B3285">
            <v>44769</v>
          </cell>
          <cell r="D3285">
            <v>110.63500000000001</v>
          </cell>
          <cell r="E3285">
            <v>101.4</v>
          </cell>
          <cell r="H3285">
            <v>77.569999999999993</v>
          </cell>
          <cell r="I3285">
            <v>113.07</v>
          </cell>
          <cell r="BS3285">
            <v>11.669999999999987</v>
          </cell>
        </row>
        <row r="3286">
          <cell r="B3286">
            <v>44770</v>
          </cell>
          <cell r="D3286">
            <v>111.89</v>
          </cell>
          <cell r="E3286">
            <v>105</v>
          </cell>
          <cell r="H3286">
            <v>79.989999999999995</v>
          </cell>
          <cell r="I3286">
            <v>115.47</v>
          </cell>
          <cell r="BS3286">
            <v>10.469999999999999</v>
          </cell>
        </row>
        <row r="3287">
          <cell r="B3287">
            <v>44771</v>
          </cell>
          <cell r="D3287">
            <v>114.13500000000001</v>
          </cell>
          <cell r="E3287">
            <v>107.24</v>
          </cell>
          <cell r="H3287">
            <v>78.77</v>
          </cell>
          <cell r="I3287">
            <v>115.35</v>
          </cell>
          <cell r="BS3287">
            <v>8.11</v>
          </cell>
        </row>
        <row r="3288">
          <cell r="B3288">
            <v>44774</v>
          </cell>
          <cell r="D3288">
            <v>107.07</v>
          </cell>
          <cell r="E3288">
            <v>101.5</v>
          </cell>
          <cell r="H3288">
            <v>77.86</v>
          </cell>
          <cell r="I3288">
            <v>112.7</v>
          </cell>
          <cell r="BS3288">
            <v>11.200000000000003</v>
          </cell>
        </row>
        <row r="3289">
          <cell r="B3289">
            <v>44775</v>
          </cell>
          <cell r="D3289">
            <v>106.55500000000001</v>
          </cell>
          <cell r="E3289">
            <v>97.98</v>
          </cell>
          <cell r="H3289">
            <v>76.73</v>
          </cell>
          <cell r="I3289">
            <v>108.16</v>
          </cell>
          <cell r="BS3289">
            <v>10.179999999999993</v>
          </cell>
        </row>
        <row r="3290">
          <cell r="B3290">
            <v>44776</v>
          </cell>
          <cell r="D3290">
            <v>103.15</v>
          </cell>
          <cell r="E3290">
            <v>98.36</v>
          </cell>
          <cell r="H3290">
            <v>77.349999999999994</v>
          </cell>
          <cell r="I3290">
            <v>109.03</v>
          </cell>
          <cell r="BS3290">
            <v>10.670000000000002</v>
          </cell>
        </row>
        <row r="3291">
          <cell r="B3291">
            <v>44777</v>
          </cell>
          <cell r="D3291">
            <v>97.765000000000001</v>
          </cell>
          <cell r="E3291">
            <v>95.7</v>
          </cell>
          <cell r="H3291">
            <v>75.290000000000006</v>
          </cell>
          <cell r="I3291">
            <v>105.03</v>
          </cell>
          <cell r="BS3291">
            <v>9.3299999999999983</v>
          </cell>
        </row>
        <row r="3292">
          <cell r="B3292">
            <v>44778</v>
          </cell>
          <cell r="D3292">
            <v>101.41</v>
          </cell>
          <cell r="E3292">
            <v>93.76</v>
          </cell>
          <cell r="H3292">
            <v>73.010000000000005</v>
          </cell>
          <cell r="I3292">
            <v>100.05</v>
          </cell>
          <cell r="BS3292">
            <v>6.289999999999992</v>
          </cell>
        </row>
        <row r="3293">
          <cell r="B3293">
            <v>44781</v>
          </cell>
          <cell r="D3293">
            <v>103.47</v>
          </cell>
          <cell r="E3293">
            <v>94.26</v>
          </cell>
          <cell r="H3293">
            <v>73.239999999999995</v>
          </cell>
          <cell r="I3293">
            <v>102.48</v>
          </cell>
          <cell r="BS3293">
            <v>8.2199999999999989</v>
          </cell>
        </row>
        <row r="3294">
          <cell r="B3294">
            <v>44782</v>
          </cell>
          <cell r="D3294">
            <v>103.905</v>
          </cell>
          <cell r="E3294" t="str">
            <v/>
          </cell>
          <cell r="H3294">
            <v>0</v>
          </cell>
          <cell r="I3294">
            <v>0</v>
          </cell>
          <cell r="BS3294" t="e">
            <v>#N/A</v>
          </cell>
        </row>
        <row r="3295">
          <cell r="B3295">
            <v>44783</v>
          </cell>
          <cell r="D3295">
            <v>101.44499999999999</v>
          </cell>
          <cell r="E3295">
            <v>94.86</v>
          </cell>
          <cell r="H3295">
            <v>72.53</v>
          </cell>
          <cell r="I3295">
            <v>104.01</v>
          </cell>
          <cell r="BS3295">
            <v>9.1500000000000057</v>
          </cell>
        </row>
        <row r="3296">
          <cell r="B3296">
            <v>44784</v>
          </cell>
          <cell r="D3296">
            <v>104.63</v>
          </cell>
          <cell r="E3296">
            <v>96</v>
          </cell>
          <cell r="H3296">
            <v>74.3</v>
          </cell>
          <cell r="I3296">
            <v>108.86</v>
          </cell>
          <cell r="BS3296">
            <v>12.86</v>
          </cell>
        </row>
        <row r="3297">
          <cell r="B3297">
            <v>44785</v>
          </cell>
          <cell r="D3297">
            <v>102.875</v>
          </cell>
          <cell r="E3297">
            <v>98.28</v>
          </cell>
          <cell r="H3297">
            <v>73.47</v>
          </cell>
          <cell r="I3297">
            <v>110.19</v>
          </cell>
          <cell r="BS3297">
            <v>11.909999999999997</v>
          </cell>
        </row>
        <row r="3298">
          <cell r="B3298">
            <v>44788</v>
          </cell>
          <cell r="D3298">
            <v>97.62</v>
          </cell>
          <cell r="E3298">
            <v>94.56</v>
          </cell>
          <cell r="H3298">
            <v>70.58</v>
          </cell>
          <cell r="I3298">
            <v>107.64</v>
          </cell>
          <cell r="BS3298">
            <v>13.079999999999998</v>
          </cell>
        </row>
        <row r="3299">
          <cell r="B3299">
            <v>44789</v>
          </cell>
          <cell r="D3299">
            <v>96.254999999999995</v>
          </cell>
          <cell r="E3299">
            <v>92.1</v>
          </cell>
          <cell r="H3299">
            <v>67.959999999999994</v>
          </cell>
          <cell r="I3299">
            <v>105.36</v>
          </cell>
          <cell r="BS3299">
            <v>13.260000000000005</v>
          </cell>
        </row>
        <row r="3300">
          <cell r="B3300">
            <v>44790</v>
          </cell>
          <cell r="D3300">
            <v>93.27</v>
          </cell>
          <cell r="E3300">
            <v>90.4</v>
          </cell>
          <cell r="H3300">
            <v>67.78</v>
          </cell>
          <cell r="I3300">
            <v>104.99</v>
          </cell>
          <cell r="BS3300">
            <v>14.589999999999989</v>
          </cell>
        </row>
        <row r="3301">
          <cell r="B3301">
            <v>44791</v>
          </cell>
          <cell r="D3301">
            <v>96.295000000000002</v>
          </cell>
          <cell r="E3301">
            <v>92.8</v>
          </cell>
          <cell r="H3301">
            <v>70.3</v>
          </cell>
          <cell r="I3301">
            <v>107.8</v>
          </cell>
          <cell r="BS3301">
            <v>15</v>
          </cell>
        </row>
        <row r="3302">
          <cell r="B3302">
            <v>44792</v>
          </cell>
          <cell r="D3302">
            <v>97.16</v>
          </cell>
          <cell r="E3302">
            <v>94.35</v>
          </cell>
          <cell r="H3302">
            <v>71.19</v>
          </cell>
          <cell r="I3302">
            <v>108.54</v>
          </cell>
          <cell r="BS3302">
            <v>14.190000000000012</v>
          </cell>
        </row>
        <row r="3303">
          <cell r="B3303">
            <v>44795</v>
          </cell>
          <cell r="D3303">
            <v>93.834999999999994</v>
          </cell>
          <cell r="E3303">
            <v>93.95</v>
          </cell>
          <cell r="H3303">
            <v>70.260000000000005</v>
          </cell>
          <cell r="I3303">
            <v>108.29</v>
          </cell>
          <cell r="BS3303">
            <v>14.340000000000003</v>
          </cell>
        </row>
        <row r="3304">
          <cell r="B3304">
            <v>44796</v>
          </cell>
          <cell r="D3304">
            <v>98.43</v>
          </cell>
          <cell r="E3304">
            <v>96.5</v>
          </cell>
          <cell r="H3304">
            <v>71.36</v>
          </cell>
          <cell r="I3304">
            <v>110.39</v>
          </cell>
          <cell r="BS3304">
            <v>13.89</v>
          </cell>
        </row>
        <row r="3305">
          <cell r="B3305">
            <v>44797</v>
          </cell>
          <cell r="D3305">
            <v>98.89</v>
          </cell>
          <cell r="E3305">
            <v>99.5</v>
          </cell>
          <cell r="H3305">
            <v>72.17</v>
          </cell>
          <cell r="I3305">
            <v>111.94</v>
          </cell>
          <cell r="BS3305">
            <v>12.439999999999998</v>
          </cell>
        </row>
        <row r="3306">
          <cell r="B3306">
            <v>44798</v>
          </cell>
          <cell r="D3306">
            <v>100.035</v>
          </cell>
          <cell r="E3306">
            <v>99.9</v>
          </cell>
          <cell r="H3306">
            <v>71.11</v>
          </cell>
          <cell r="I3306">
            <v>109.84</v>
          </cell>
          <cell r="BS3306">
            <v>9.9399999999999977</v>
          </cell>
        </row>
        <row r="3307">
          <cell r="B3307">
            <v>44799</v>
          </cell>
          <cell r="D3307">
            <v>99.454999999999998</v>
          </cell>
          <cell r="E3307">
            <v>99.65</v>
          </cell>
          <cell r="H3307">
            <v>69.47</v>
          </cell>
          <cell r="I3307">
            <v>108.18</v>
          </cell>
          <cell r="BS3307">
            <v>8.5300000000000011</v>
          </cell>
        </row>
        <row r="3308">
          <cell r="B3308">
            <v>44802</v>
          </cell>
          <cell r="D3308" t="str">
            <v/>
          </cell>
          <cell r="E3308">
            <v>100.16</v>
          </cell>
          <cell r="H3308">
            <v>69.930000000000007</v>
          </cell>
          <cell r="I3308">
            <v>108.18</v>
          </cell>
          <cell r="BS3308">
            <v>8.0200000000000102</v>
          </cell>
        </row>
        <row r="3309">
          <cell r="B3309">
            <v>44803</v>
          </cell>
          <cell r="D3309">
            <v>99.665000000000006</v>
          </cell>
          <cell r="E3309">
            <v>102.8</v>
          </cell>
          <cell r="H3309">
            <v>70.47</v>
          </cell>
          <cell r="I3309">
            <v>108.52</v>
          </cell>
          <cell r="BS3309">
            <v>5.7199999999999989</v>
          </cell>
        </row>
        <row r="3310">
          <cell r="B3310">
            <v>44804</v>
          </cell>
          <cell r="D3310">
            <v>96.674999999999997</v>
          </cell>
          <cell r="E3310">
            <v>97.85</v>
          </cell>
          <cell r="H3310">
            <v>65.58</v>
          </cell>
          <cell r="I3310">
            <v>97.31</v>
          </cell>
          <cell r="BS3310">
            <v>-0.53999999999999204</v>
          </cell>
        </row>
        <row r="3311">
          <cell r="B3311">
            <v>44805</v>
          </cell>
          <cell r="D3311">
            <v>92.58</v>
          </cell>
          <cell r="E3311">
            <v>93.95</v>
          </cell>
          <cell r="H3311">
            <v>66.47</v>
          </cell>
          <cell r="I3311">
            <v>93.33</v>
          </cell>
          <cell r="BS3311">
            <v>-0.62000000000000455</v>
          </cell>
        </row>
        <row r="3312">
          <cell r="B3312">
            <v>44806</v>
          </cell>
          <cell r="D3312">
            <v>94.17</v>
          </cell>
          <cell r="E3312">
            <v>94.75</v>
          </cell>
          <cell r="H3312">
            <v>68.8</v>
          </cell>
          <cell r="I3312">
            <v>98.33</v>
          </cell>
          <cell r="BS3312">
            <v>3.5799999999999983</v>
          </cell>
        </row>
        <row r="3313">
          <cell r="B3313">
            <v>44809</v>
          </cell>
          <cell r="D3313">
            <v>94.784999999999997</v>
          </cell>
          <cell r="E3313">
            <v>95.34</v>
          </cell>
          <cell r="H3313">
            <v>68.37</v>
          </cell>
          <cell r="I3313">
            <v>99.72</v>
          </cell>
          <cell r="BS3313">
            <v>4.3799999999999955</v>
          </cell>
        </row>
        <row r="3314">
          <cell r="B3314">
            <v>44810</v>
          </cell>
          <cell r="D3314">
            <v>92.165000000000006</v>
          </cell>
          <cell r="E3314">
            <v>95.21</v>
          </cell>
          <cell r="H3314">
            <v>68.62</v>
          </cell>
          <cell r="I3314">
            <v>100.9</v>
          </cell>
          <cell r="BS3314">
            <v>5.6900000000000119</v>
          </cell>
        </row>
        <row r="3315">
          <cell r="B3315">
            <v>44811</v>
          </cell>
          <cell r="D3315">
            <v>88.18</v>
          </cell>
          <cell r="E3315">
            <v>92.2</v>
          </cell>
          <cell r="H3315">
            <v>66.77</v>
          </cell>
          <cell r="I3315">
            <v>99.42</v>
          </cell>
          <cell r="BS3315">
            <v>7.2199999999999989</v>
          </cell>
        </row>
        <row r="3316">
          <cell r="B3316">
            <v>44812</v>
          </cell>
          <cell r="D3316">
            <v>87.775000000000006</v>
          </cell>
          <cell r="E3316">
            <v>88</v>
          </cell>
          <cell r="H3316">
            <v>62.62</v>
          </cell>
          <cell r="I3316">
            <v>94.11</v>
          </cell>
          <cell r="BS3316">
            <v>6.1099999999999994</v>
          </cell>
        </row>
        <row r="3317">
          <cell r="B3317">
            <v>44813</v>
          </cell>
          <cell r="D3317">
            <v>90.644999999999996</v>
          </cell>
          <cell r="E3317">
            <v>90.41</v>
          </cell>
          <cell r="H3317">
            <v>64.95</v>
          </cell>
          <cell r="I3317">
            <v>96.95</v>
          </cell>
          <cell r="BS3317">
            <v>6.5400000000000063</v>
          </cell>
        </row>
        <row r="3318">
          <cell r="B3318">
            <v>44816</v>
          </cell>
          <cell r="D3318">
            <v>93.21</v>
          </cell>
          <cell r="E3318">
            <v>92.36</v>
          </cell>
          <cell r="H3318">
            <v>65.86</v>
          </cell>
          <cell r="I3318">
            <v>99.57</v>
          </cell>
          <cell r="BS3318">
            <v>7.2099999999999937</v>
          </cell>
        </row>
        <row r="3319">
          <cell r="B3319">
            <v>44817</v>
          </cell>
          <cell r="D3319">
            <v>91.444999999999993</v>
          </cell>
          <cell r="E3319">
            <v>94.444999999999993</v>
          </cell>
          <cell r="H3319">
            <v>67.47</v>
          </cell>
          <cell r="I3319">
            <v>102.65</v>
          </cell>
          <cell r="BS3319">
            <v>8.2050000000000125</v>
          </cell>
        </row>
        <row r="3320">
          <cell r="B3320">
            <v>44818</v>
          </cell>
          <cell r="D3320">
            <v>93.125</v>
          </cell>
          <cell r="E3320">
            <v>92.704999999999998</v>
          </cell>
          <cell r="H3320">
            <v>68.209999999999994</v>
          </cell>
          <cell r="I3320">
            <v>99.6</v>
          </cell>
          <cell r="BS3320">
            <v>6.894999999999996</v>
          </cell>
        </row>
        <row r="3321">
          <cell r="B3321">
            <v>44819</v>
          </cell>
          <cell r="D3321">
            <v>89.224999999999994</v>
          </cell>
          <cell r="E3321">
            <v>93.61</v>
          </cell>
          <cell r="H3321">
            <v>68.180000000000007</v>
          </cell>
          <cell r="I3321">
            <v>96.83</v>
          </cell>
          <cell r="BS3321">
            <v>3.2199999999999989</v>
          </cell>
        </row>
        <row r="3322">
          <cell r="B3322">
            <v>44820</v>
          </cell>
          <cell r="D3322">
            <v>91.02</v>
          </cell>
          <cell r="E3322">
            <v>91.01</v>
          </cell>
          <cell r="H3322">
            <v>66.63</v>
          </cell>
          <cell r="I3322">
            <v>87.83</v>
          </cell>
          <cell r="BS3322">
            <v>-3.1800000000000068</v>
          </cell>
        </row>
        <row r="3323">
          <cell r="B3323">
            <v>44823</v>
          </cell>
          <cell r="D3323" t="str">
            <v/>
          </cell>
          <cell r="E3323">
            <v>90.34</v>
          </cell>
          <cell r="H3323">
            <v>66.8</v>
          </cell>
          <cell r="I3323">
            <v>87.37</v>
          </cell>
          <cell r="BS3323">
            <v>-2.9699999999999989</v>
          </cell>
        </row>
        <row r="3324">
          <cell r="B3324">
            <v>44824</v>
          </cell>
          <cell r="D3324">
            <v>89.295000000000002</v>
          </cell>
          <cell r="E3324">
            <v>92.55</v>
          </cell>
          <cell r="H3324">
            <v>68.89</v>
          </cell>
          <cell r="I3324">
            <v>93.22</v>
          </cell>
          <cell r="BS3324">
            <v>0.67000000000000171</v>
          </cell>
        </row>
        <row r="3325">
          <cell r="B3325">
            <v>44825</v>
          </cell>
          <cell r="D3325">
            <v>88.12</v>
          </cell>
          <cell r="E3325">
            <v>92.7</v>
          </cell>
          <cell r="H3325">
            <v>68.989999999999995</v>
          </cell>
          <cell r="I3325">
            <v>94.66</v>
          </cell>
          <cell r="BS3325">
            <v>1.9599999999999937</v>
          </cell>
        </row>
        <row r="3326">
          <cell r="B3326">
            <v>44826</v>
          </cell>
          <cell r="D3326">
            <v>89.174999999999997</v>
          </cell>
          <cell r="E3326">
            <v>91.2</v>
          </cell>
          <cell r="H3326">
            <v>68.77</v>
          </cell>
          <cell r="I3326">
            <v>92.05</v>
          </cell>
          <cell r="BS3326">
            <v>0.84999999999999432</v>
          </cell>
        </row>
        <row r="3327">
          <cell r="B3327">
            <v>44827</v>
          </cell>
          <cell r="D3327">
            <v>85.284999999999997</v>
          </cell>
          <cell r="E3327">
            <v>88.8</v>
          </cell>
          <cell r="H3327">
            <v>67.91</v>
          </cell>
          <cell r="I3327">
            <v>87.51</v>
          </cell>
          <cell r="BS3327">
            <v>-1.289999999999992</v>
          </cell>
        </row>
        <row r="3328">
          <cell r="B3328">
            <v>44830</v>
          </cell>
          <cell r="D3328">
            <v>84.625</v>
          </cell>
          <cell r="E3328">
            <v>84.85</v>
          </cell>
          <cell r="H3328">
            <v>65.22</v>
          </cell>
          <cell r="I3328">
            <v>84.58</v>
          </cell>
          <cell r="BS3328">
            <v>-0.26999999999999602</v>
          </cell>
        </row>
        <row r="3329">
          <cell r="B3329">
            <v>44831</v>
          </cell>
          <cell r="D3329">
            <v>86.39</v>
          </cell>
          <cell r="E3329">
            <v>84.2</v>
          </cell>
          <cell r="H3329">
            <v>64.34</v>
          </cell>
          <cell r="I3329">
            <v>86.6</v>
          </cell>
          <cell r="BS3329">
            <v>2.3999999999999915</v>
          </cell>
        </row>
        <row r="3330">
          <cell r="B3330">
            <v>44832</v>
          </cell>
          <cell r="D3330">
            <v>88.27</v>
          </cell>
          <cell r="E3330">
            <v>84.61</v>
          </cell>
          <cell r="H3330">
            <v>65.67</v>
          </cell>
          <cell r="I3330">
            <v>88</v>
          </cell>
          <cell r="BS3330">
            <v>3.3900000000000006</v>
          </cell>
        </row>
        <row r="3331">
          <cell r="B3331">
            <v>44833</v>
          </cell>
          <cell r="D3331">
            <v>89.805000000000007</v>
          </cell>
          <cell r="E3331">
            <v>87.3</v>
          </cell>
          <cell r="H3331">
            <v>67.709999999999994</v>
          </cell>
          <cell r="I3331">
            <v>89.74</v>
          </cell>
          <cell r="BS3331">
            <v>2.4399999999999977</v>
          </cell>
        </row>
        <row r="3332">
          <cell r="B3332">
            <v>44834</v>
          </cell>
          <cell r="D3332">
            <v>87.92</v>
          </cell>
          <cell r="E3332">
            <v>89.5</v>
          </cell>
          <cell r="H3332">
            <v>67.34</v>
          </cell>
          <cell r="I3332">
            <v>90.27</v>
          </cell>
          <cell r="BS3332">
            <v>0.76999999999999602</v>
          </cell>
        </row>
        <row r="3333">
          <cell r="B3333">
            <v>44837</v>
          </cell>
          <cell r="D3333">
            <v>90.09</v>
          </cell>
          <cell r="E3333">
            <v>88.26</v>
          </cell>
          <cell r="H3333">
            <v>68.87</v>
          </cell>
          <cell r="I3333">
            <v>89</v>
          </cell>
          <cell r="BS3333">
            <v>0.73999999999999488</v>
          </cell>
        </row>
        <row r="3334">
          <cell r="B3334">
            <v>44838</v>
          </cell>
          <cell r="D3334">
            <v>93.73</v>
          </cell>
          <cell r="E3334">
            <v>88.8</v>
          </cell>
          <cell r="H3334">
            <v>70.23</v>
          </cell>
          <cell r="I3334">
            <v>86.41</v>
          </cell>
          <cell r="BS3334">
            <v>-2.3900000000000006</v>
          </cell>
        </row>
        <row r="3335">
          <cell r="B3335">
            <v>44839</v>
          </cell>
          <cell r="D3335">
            <v>95.24</v>
          </cell>
          <cell r="E3335">
            <v>91.18</v>
          </cell>
          <cell r="H3335">
            <v>72.98</v>
          </cell>
          <cell r="I3335">
            <v>90.76</v>
          </cell>
          <cell r="BS3335">
            <v>-0.42000000000000171</v>
          </cell>
        </row>
        <row r="3336">
          <cell r="B3336">
            <v>44840</v>
          </cell>
          <cell r="D3336">
            <v>96.055000000000007</v>
          </cell>
          <cell r="E3336">
            <v>93.26</v>
          </cell>
          <cell r="H3336">
            <v>73.510000000000005</v>
          </cell>
          <cell r="I3336">
            <v>92.93</v>
          </cell>
          <cell r="BS3336">
            <v>-0.32999999999999829</v>
          </cell>
        </row>
        <row r="3337">
          <cell r="B3337">
            <v>44841</v>
          </cell>
          <cell r="D3337">
            <v>98.775000000000006</v>
          </cell>
          <cell r="E3337">
            <v>94.35</v>
          </cell>
          <cell r="H3337">
            <v>73.150000000000006</v>
          </cell>
          <cell r="I3337">
            <v>94.37</v>
          </cell>
          <cell r="BS3337">
            <v>2.0000000000010232E-2</v>
          </cell>
        </row>
        <row r="3338">
          <cell r="B3338">
            <v>44844</v>
          </cell>
          <cell r="D3338">
            <v>98.394999999999996</v>
          </cell>
          <cell r="E3338">
            <v>96.54</v>
          </cell>
          <cell r="H3338">
            <v>73.17</v>
          </cell>
          <cell r="I3338">
            <v>94.38</v>
          </cell>
          <cell r="BS3338">
            <v>-2.1600000000000108</v>
          </cell>
        </row>
        <row r="3339">
          <cell r="B3339">
            <v>44845</v>
          </cell>
          <cell r="D3339">
            <v>95.334999999999994</v>
          </cell>
          <cell r="E3339">
            <v>93.7</v>
          </cell>
          <cell r="H3339">
            <v>71.83</v>
          </cell>
          <cell r="I3339">
            <v>90.98</v>
          </cell>
          <cell r="BS3339">
            <v>-2.7199999999999989</v>
          </cell>
        </row>
        <row r="3340">
          <cell r="B3340">
            <v>44846</v>
          </cell>
          <cell r="D3340">
            <v>93.08</v>
          </cell>
          <cell r="E3340">
            <v>92.9</v>
          </cell>
          <cell r="H3340">
            <v>71.09</v>
          </cell>
          <cell r="I3340">
            <v>92.3</v>
          </cell>
          <cell r="BS3340">
            <v>-0.60000000000000853</v>
          </cell>
        </row>
        <row r="3341">
          <cell r="B3341">
            <v>44847</v>
          </cell>
          <cell r="D3341">
            <v>93.98</v>
          </cell>
          <cell r="E3341">
            <v>91.16</v>
          </cell>
          <cell r="H3341">
            <v>69.91</v>
          </cell>
          <cell r="I3341">
            <v>91.2</v>
          </cell>
          <cell r="BS3341">
            <v>4.0000000000006253E-2</v>
          </cell>
        </row>
        <row r="3342">
          <cell r="B3342">
            <v>44848</v>
          </cell>
          <cell r="D3342">
            <v>92.875</v>
          </cell>
          <cell r="E3342">
            <v>92.1</v>
          </cell>
          <cell r="H3342">
            <v>70.13</v>
          </cell>
          <cell r="I3342">
            <v>92.09</v>
          </cell>
          <cell r="BS3342">
            <v>-9.9999999999909051E-3</v>
          </cell>
        </row>
        <row r="3343">
          <cell r="B3343">
            <v>44851</v>
          </cell>
          <cell r="D3343">
            <v>91.444999999999993</v>
          </cell>
          <cell r="E3343">
            <v>89.65</v>
          </cell>
          <cell r="H3343">
            <v>69.319999999999993</v>
          </cell>
          <cell r="I3343">
            <v>90.57</v>
          </cell>
          <cell r="BS3343">
            <v>0.91999999999998749</v>
          </cell>
        </row>
        <row r="3344">
          <cell r="B3344">
            <v>44852</v>
          </cell>
          <cell r="D3344">
            <v>88.24</v>
          </cell>
          <cell r="E3344">
            <v>88.82</v>
          </cell>
          <cell r="H3344">
            <v>69.739999999999995</v>
          </cell>
          <cell r="I3344">
            <v>91.3</v>
          </cell>
          <cell r="BS3344">
            <v>2.480000000000004</v>
          </cell>
        </row>
        <row r="3345">
          <cell r="B3345">
            <v>44853</v>
          </cell>
          <cell r="D3345">
            <v>89.935000000000002</v>
          </cell>
          <cell r="E3345">
            <v>85.75</v>
          </cell>
          <cell r="H3345">
            <v>68.73</v>
          </cell>
          <cell r="I3345">
            <v>89.26</v>
          </cell>
          <cell r="BS3345">
            <v>3.5100000000000051</v>
          </cell>
        </row>
        <row r="3346">
          <cell r="B3346">
            <v>44854</v>
          </cell>
          <cell r="D3346">
            <v>92.685000000000002</v>
          </cell>
          <cell r="E3346">
            <v>89.91</v>
          </cell>
          <cell r="H3346">
            <v>71.040000000000006</v>
          </cell>
          <cell r="I3346">
            <v>92.69</v>
          </cell>
          <cell r="BS3346">
            <v>2.7800000000000011</v>
          </cell>
        </row>
        <row r="3347">
          <cell r="B3347">
            <v>44855</v>
          </cell>
          <cell r="D3347">
            <v>91.444999999999993</v>
          </cell>
          <cell r="E3347">
            <v>90.71</v>
          </cell>
          <cell r="H3347">
            <v>71.13</v>
          </cell>
          <cell r="I3347">
            <v>92.11</v>
          </cell>
          <cell r="BS3347">
            <v>1.4000000000000057</v>
          </cell>
        </row>
        <row r="3348">
          <cell r="B3348">
            <v>44858</v>
          </cell>
          <cell r="D3348">
            <v>91.405000000000001</v>
          </cell>
          <cell r="E3348" t="str">
            <v/>
          </cell>
          <cell r="H3348">
            <v>0</v>
          </cell>
          <cell r="I3348">
            <v>0</v>
          </cell>
          <cell r="BS3348" t="e">
            <v>#N/A</v>
          </cell>
        </row>
        <row r="3349">
          <cell r="B3349">
            <v>44859</v>
          </cell>
          <cell r="D3349">
            <v>91.555000000000007</v>
          </cell>
          <cell r="E3349">
            <v>89.56</v>
          </cell>
          <cell r="H3349">
            <v>71.45</v>
          </cell>
          <cell r="I3349">
            <v>90.91</v>
          </cell>
          <cell r="BS3349">
            <v>1.3499999999999943</v>
          </cell>
        </row>
        <row r="3350">
          <cell r="B3350">
            <v>44860</v>
          </cell>
          <cell r="D3350">
            <v>93.814999999999998</v>
          </cell>
          <cell r="E3350">
            <v>90.35</v>
          </cell>
          <cell r="H3350">
            <v>71.92</v>
          </cell>
          <cell r="I3350">
            <v>88.65</v>
          </cell>
          <cell r="BS3350">
            <v>-1.6999999999999886</v>
          </cell>
        </row>
        <row r="3351">
          <cell r="B3351">
            <v>44861</v>
          </cell>
          <cell r="D3351">
            <v>95.004999999999995</v>
          </cell>
          <cell r="E3351">
            <v>92.35</v>
          </cell>
          <cell r="H3351">
            <v>72.87</v>
          </cell>
          <cell r="I3351">
            <v>91.4</v>
          </cell>
          <cell r="BS3351">
            <v>-0.94999999999998863</v>
          </cell>
        </row>
        <row r="3352">
          <cell r="B3352">
            <v>44862</v>
          </cell>
          <cell r="D3352">
            <v>94.03</v>
          </cell>
          <cell r="E3352">
            <v>92.65</v>
          </cell>
          <cell r="H3352">
            <v>73.430000000000007</v>
          </cell>
          <cell r="I3352">
            <v>93.01</v>
          </cell>
          <cell r="BS3352">
            <v>0.35999999999999943</v>
          </cell>
        </row>
        <row r="3353">
          <cell r="B3353">
            <v>44865</v>
          </cell>
          <cell r="D3353">
            <v>92.85</v>
          </cell>
          <cell r="E3353">
            <v>90.6</v>
          </cell>
          <cell r="H3353">
            <v>72.459999999999994</v>
          </cell>
          <cell r="I3353">
            <v>89.47</v>
          </cell>
          <cell r="BS3353">
            <v>-1.1299999999999955</v>
          </cell>
        </row>
        <row r="3354">
          <cell r="B3354">
            <v>44866</v>
          </cell>
          <cell r="D3354">
            <v>94.93</v>
          </cell>
          <cell r="E3354">
            <v>91.39</v>
          </cell>
          <cell r="H3354">
            <v>74.06</v>
          </cell>
          <cell r="I3354">
            <v>91.14</v>
          </cell>
          <cell r="BS3354">
            <v>-0.25</v>
          </cell>
        </row>
        <row r="3355">
          <cell r="B3355">
            <v>44867</v>
          </cell>
          <cell r="D3355">
            <v>96.995000000000005</v>
          </cell>
          <cell r="E3355">
            <v>90.95</v>
          </cell>
          <cell r="H3355">
            <v>73.69</v>
          </cell>
          <cell r="I3355">
            <v>93.41</v>
          </cell>
          <cell r="BS3355">
            <v>2.4599999999999937</v>
          </cell>
        </row>
        <row r="3356">
          <cell r="B3356">
            <v>44868</v>
          </cell>
          <cell r="D3356">
            <v>95.805000000000007</v>
          </cell>
          <cell r="E3356">
            <v>89.79</v>
          </cell>
          <cell r="H3356">
            <v>73.569999999999993</v>
          </cell>
          <cell r="I3356">
            <v>95.21</v>
          </cell>
          <cell r="BS3356">
            <v>5.4199999999999875</v>
          </cell>
        </row>
        <row r="3357">
          <cell r="B3357">
            <v>44869</v>
          </cell>
          <cell r="D3357">
            <v>98.73</v>
          </cell>
          <cell r="E3357">
            <v>92.29</v>
          </cell>
          <cell r="H3357">
            <v>73.69</v>
          </cell>
          <cell r="I3357">
            <v>99.34</v>
          </cell>
          <cell r="BS3357">
            <v>7.0499999999999972</v>
          </cell>
        </row>
        <row r="3358">
          <cell r="B3358">
            <v>44872</v>
          </cell>
          <cell r="D3358">
            <v>101.715</v>
          </cell>
          <cell r="E3358">
            <v>92.9</v>
          </cell>
          <cell r="H3358">
            <v>74</v>
          </cell>
          <cell r="I3358">
            <v>100.39</v>
          </cell>
          <cell r="BS3358">
            <v>7.4899999999999949</v>
          </cell>
        </row>
        <row r="3359">
          <cell r="B3359">
            <v>44873</v>
          </cell>
          <cell r="D3359">
            <v>98.915000000000006</v>
          </cell>
          <cell r="E3359">
            <v>92.29</v>
          </cell>
          <cell r="H3359">
            <v>74.45</v>
          </cell>
          <cell r="I3359">
            <v>98.3</v>
          </cell>
          <cell r="BS3359">
            <v>6.0099999999999909</v>
          </cell>
        </row>
        <row r="3360">
          <cell r="B3360">
            <v>44874</v>
          </cell>
          <cell r="D3360">
            <v>94.78</v>
          </cell>
          <cell r="E3360">
            <v>89.76</v>
          </cell>
          <cell r="H3360">
            <v>73.33</v>
          </cell>
          <cell r="I3360">
            <v>94.4</v>
          </cell>
          <cell r="BS3360">
            <v>4.6400000000000006</v>
          </cell>
        </row>
        <row r="3361">
          <cell r="B3361">
            <v>44875</v>
          </cell>
          <cell r="D3361">
            <v>94.56</v>
          </cell>
          <cell r="E3361">
            <v>87.14</v>
          </cell>
          <cell r="H3361">
            <v>72.63</v>
          </cell>
          <cell r="I3361">
            <v>92.14</v>
          </cell>
          <cell r="BS3361">
            <v>5</v>
          </cell>
        </row>
        <row r="3362">
          <cell r="B3362">
            <v>44876</v>
          </cell>
          <cell r="D3362">
            <v>96.775000000000006</v>
          </cell>
          <cell r="E3362">
            <v>91.04</v>
          </cell>
          <cell r="H3362">
            <v>75.13</v>
          </cell>
          <cell r="I3362">
            <v>96.25</v>
          </cell>
          <cell r="BS3362">
            <v>5.2099999999999937</v>
          </cell>
        </row>
        <row r="3363">
          <cell r="B3363">
            <v>44879</v>
          </cell>
          <cell r="D3363">
            <v>95.504999999999995</v>
          </cell>
          <cell r="E3363">
            <v>91</v>
          </cell>
          <cell r="H3363">
            <v>76.63</v>
          </cell>
          <cell r="I3363">
            <v>97.26</v>
          </cell>
          <cell r="BS3363">
            <v>6.2600000000000051</v>
          </cell>
        </row>
        <row r="3364">
          <cell r="B3364">
            <v>44880</v>
          </cell>
          <cell r="D3364">
            <v>93.944999999999993</v>
          </cell>
          <cell r="E3364">
            <v>86.795000000000002</v>
          </cell>
          <cell r="H3364">
            <v>75.28</v>
          </cell>
          <cell r="I3364">
            <v>93.76</v>
          </cell>
          <cell r="BS3364">
            <v>6.9650000000000034</v>
          </cell>
        </row>
        <row r="3365">
          <cell r="B3365">
            <v>44881</v>
          </cell>
          <cell r="D3365">
            <v>92.375</v>
          </cell>
          <cell r="E3365">
            <v>88.04</v>
          </cell>
          <cell r="H3365">
            <v>75.760000000000005</v>
          </cell>
          <cell r="I3365">
            <v>95.34</v>
          </cell>
          <cell r="BS3365">
            <v>7.2999999999999972</v>
          </cell>
        </row>
        <row r="3366">
          <cell r="B3366">
            <v>44882</v>
          </cell>
          <cell r="D3366">
            <v>91.364999999999995</v>
          </cell>
          <cell r="E3366">
            <v>87.144999999999996</v>
          </cell>
          <cell r="H3366">
            <v>75.97</v>
          </cell>
          <cell r="I3366">
            <v>94.7</v>
          </cell>
          <cell r="BS3366">
            <v>7.5550000000000068</v>
          </cell>
        </row>
        <row r="3367">
          <cell r="B3367">
            <v>44883</v>
          </cell>
          <cell r="D3367">
            <v>88.41</v>
          </cell>
          <cell r="E3367">
            <v>84.34</v>
          </cell>
          <cell r="H3367">
            <v>75.88</v>
          </cell>
          <cell r="I3367">
            <v>92.64</v>
          </cell>
          <cell r="BS3367">
            <v>8.2999999999999972</v>
          </cell>
        </row>
        <row r="3368">
          <cell r="B3368">
            <v>44886</v>
          </cell>
          <cell r="D3368">
            <v>83.194999999999993</v>
          </cell>
          <cell r="E3368">
            <v>81.25</v>
          </cell>
          <cell r="H3368">
            <v>73.28</v>
          </cell>
          <cell r="I3368">
            <v>91.47</v>
          </cell>
          <cell r="BS3368">
            <v>10.219999999999999</v>
          </cell>
        </row>
        <row r="3369">
          <cell r="B3369">
            <v>44887</v>
          </cell>
          <cell r="D3369">
            <v>89.4</v>
          </cell>
          <cell r="E3369">
            <v>82.3</v>
          </cell>
          <cell r="H3369">
            <v>74.650000000000006</v>
          </cell>
          <cell r="I3369">
            <v>93.15</v>
          </cell>
          <cell r="BS3369">
            <v>10.850000000000009</v>
          </cell>
        </row>
        <row r="3370">
          <cell r="B3370">
            <v>44888</v>
          </cell>
          <cell r="D3370">
            <v>85.314999999999998</v>
          </cell>
          <cell r="E3370">
            <v>81.790000000000006</v>
          </cell>
          <cell r="H3370">
            <v>73.989999999999995</v>
          </cell>
          <cell r="I3370">
            <v>93.33</v>
          </cell>
          <cell r="BS3370">
            <v>11.539999999999992</v>
          </cell>
        </row>
        <row r="3371">
          <cell r="B3371">
            <v>44889</v>
          </cell>
          <cell r="D3371">
            <v>85.484999999999999</v>
          </cell>
          <cell r="E3371">
            <v>77.64</v>
          </cell>
          <cell r="H3371">
            <v>72.09</v>
          </cell>
          <cell r="I3371">
            <v>89.2</v>
          </cell>
          <cell r="BS3371">
            <v>11.560000000000002</v>
          </cell>
        </row>
        <row r="3372">
          <cell r="B3372">
            <v>44890</v>
          </cell>
          <cell r="D3372">
            <v>85.474999999999994</v>
          </cell>
          <cell r="E3372">
            <v>81.06</v>
          </cell>
          <cell r="H3372">
            <v>73.41</v>
          </cell>
          <cell r="I3372">
            <v>89.37</v>
          </cell>
          <cell r="BS3372">
            <v>8.3100000000000023</v>
          </cell>
        </row>
        <row r="3373">
          <cell r="B3373">
            <v>44893</v>
          </cell>
          <cell r="D3373">
            <v>82.65</v>
          </cell>
          <cell r="E3373">
            <v>76.644999999999996</v>
          </cell>
          <cell r="H3373">
            <v>70.13</v>
          </cell>
          <cell r="I3373">
            <v>83.82</v>
          </cell>
          <cell r="BS3373">
            <v>7.1749999999999972</v>
          </cell>
        </row>
        <row r="3374">
          <cell r="B3374">
            <v>44894</v>
          </cell>
          <cell r="D3374">
            <v>83.94</v>
          </cell>
          <cell r="E3374">
            <v>80.94</v>
          </cell>
          <cell r="H3374">
            <v>70.47</v>
          </cell>
          <cell r="I3374">
            <v>87.04</v>
          </cell>
          <cell r="BS3374">
            <v>6.1000000000000085</v>
          </cell>
        </row>
        <row r="3375">
          <cell r="B3375">
            <v>44895</v>
          </cell>
          <cell r="D3375">
            <v>86.54</v>
          </cell>
          <cell r="E3375">
            <v>80.400000000000006</v>
          </cell>
          <cell r="H3375">
            <v>69.709999999999994</v>
          </cell>
          <cell r="I3375">
            <v>87.21</v>
          </cell>
          <cell r="BS3375">
            <v>6.8099999999999881</v>
          </cell>
        </row>
        <row r="3376">
          <cell r="B3376">
            <v>44896</v>
          </cell>
          <cell r="D3376">
            <v>89.08</v>
          </cell>
          <cell r="E3376">
            <v>81.349999999999994</v>
          </cell>
          <cell r="H3376">
            <v>71.33</v>
          </cell>
          <cell r="I3376">
            <v>88.83</v>
          </cell>
          <cell r="BS3376">
            <v>7.480000000000004</v>
          </cell>
        </row>
        <row r="3377">
          <cell r="B3377">
            <v>44897</v>
          </cell>
          <cell r="D3377">
            <v>86.944999999999993</v>
          </cell>
          <cell r="E3377">
            <v>81</v>
          </cell>
          <cell r="H3377">
            <v>69.48</v>
          </cell>
          <cell r="I3377">
            <v>87.24</v>
          </cell>
          <cell r="BS3377">
            <v>6.2399999999999949</v>
          </cell>
        </row>
        <row r="3378">
          <cell r="B3378">
            <v>44900</v>
          </cell>
          <cell r="D3378">
            <v>85.59</v>
          </cell>
          <cell r="E3378">
            <v>80.8</v>
          </cell>
          <cell r="H3378">
            <v>69</v>
          </cell>
          <cell r="I3378">
            <v>87.26</v>
          </cell>
          <cell r="BS3378">
            <v>6.460000000000008</v>
          </cell>
        </row>
        <row r="3379">
          <cell r="B3379">
            <v>44901</v>
          </cell>
          <cell r="D3379">
            <v>80.53</v>
          </cell>
          <cell r="E3379">
            <v>77.95</v>
          </cell>
          <cell r="H3379">
            <v>65.77</v>
          </cell>
          <cell r="I3379">
            <v>84.42</v>
          </cell>
          <cell r="BS3379">
            <v>6.4699999999999989</v>
          </cell>
        </row>
        <row r="3380">
          <cell r="B3380">
            <v>44902</v>
          </cell>
          <cell r="D3380">
            <v>78.56</v>
          </cell>
          <cell r="E3380">
            <v>74.8</v>
          </cell>
          <cell r="H3380">
            <v>63.5</v>
          </cell>
          <cell r="I3380">
            <v>81.81</v>
          </cell>
          <cell r="BS3380">
            <v>7.0100000000000051</v>
          </cell>
        </row>
        <row r="3381">
          <cell r="B3381">
            <v>44903</v>
          </cell>
          <cell r="D3381">
            <v>76.355000000000004</v>
          </cell>
          <cell r="E3381">
            <v>73.05</v>
          </cell>
          <cell r="H3381">
            <v>62.86</v>
          </cell>
          <cell r="I3381">
            <v>79.959999999999994</v>
          </cell>
          <cell r="BS3381">
            <v>6.9099999999999966</v>
          </cell>
        </row>
        <row r="3382">
          <cell r="B3382">
            <v>44904</v>
          </cell>
          <cell r="D3382">
            <v>77.63</v>
          </cell>
          <cell r="E3382">
            <v>72.05</v>
          </cell>
          <cell r="H3382">
            <v>63.67</v>
          </cell>
          <cell r="I3382">
            <v>78.760000000000005</v>
          </cell>
          <cell r="BS3382">
            <v>6.710000000000008</v>
          </cell>
        </row>
        <row r="3383">
          <cell r="B3383">
            <v>44907</v>
          </cell>
          <cell r="D3383">
            <v>78.734999999999999</v>
          </cell>
          <cell r="E3383">
            <v>71.81</v>
          </cell>
          <cell r="H3383">
            <v>63.34</v>
          </cell>
          <cell r="I3383">
            <v>78.27</v>
          </cell>
          <cell r="BS3383">
            <v>6.4599999999999937</v>
          </cell>
        </row>
        <row r="3384">
          <cell r="B3384">
            <v>44908</v>
          </cell>
          <cell r="D3384">
            <v>80.97</v>
          </cell>
          <cell r="E3384">
            <v>75.444999999999993</v>
          </cell>
          <cell r="H3384">
            <v>65.17</v>
          </cell>
          <cell r="I3384">
            <v>83.72</v>
          </cell>
          <cell r="BS3384">
            <v>8.2750000000000057</v>
          </cell>
        </row>
        <row r="3385">
          <cell r="B3385">
            <v>44909</v>
          </cell>
          <cell r="D3385">
            <v>83.605000000000004</v>
          </cell>
          <cell r="E3385">
            <v>76.69</v>
          </cell>
          <cell r="H3385">
            <v>65.459999999999994</v>
          </cell>
          <cell r="I3385">
            <v>85.1</v>
          </cell>
          <cell r="BS3385">
            <v>8.4099999999999966</v>
          </cell>
        </row>
        <row r="3386">
          <cell r="B3386">
            <v>44910</v>
          </cell>
          <cell r="D3386">
            <v>81.83</v>
          </cell>
          <cell r="E3386">
            <v>77.69</v>
          </cell>
          <cell r="H3386">
            <v>65.67</v>
          </cell>
          <cell r="I3386">
            <v>85.63</v>
          </cell>
          <cell r="BS3386">
            <v>7.9399999999999977</v>
          </cell>
        </row>
        <row r="3387">
          <cell r="B3387">
            <v>44911</v>
          </cell>
          <cell r="D3387">
            <v>79.12</v>
          </cell>
          <cell r="E3387">
            <v>76.349999999999994</v>
          </cell>
          <cell r="H3387">
            <v>64.19</v>
          </cell>
          <cell r="I3387">
            <v>83.34</v>
          </cell>
          <cell r="BS3387">
            <v>6.9900000000000091</v>
          </cell>
        </row>
        <row r="3388">
          <cell r="B3388">
            <v>44914</v>
          </cell>
          <cell r="D3388">
            <v>79.650000000000006</v>
          </cell>
          <cell r="E3388">
            <v>75.34</v>
          </cell>
          <cell r="H3388">
            <v>63.31</v>
          </cell>
          <cell r="I3388">
            <v>82.76</v>
          </cell>
          <cell r="BS3388">
            <v>7.4200000000000017</v>
          </cell>
        </row>
        <row r="3389">
          <cell r="B3389">
            <v>44915</v>
          </cell>
          <cell r="D3389">
            <v>78.584999999999994</v>
          </cell>
          <cell r="E3389">
            <v>75.75</v>
          </cell>
          <cell r="H3389">
            <v>63.87</v>
          </cell>
          <cell r="I3389">
            <v>83.67</v>
          </cell>
          <cell r="BS3389">
            <v>7.9200000000000017</v>
          </cell>
        </row>
        <row r="3390">
          <cell r="B3390">
            <v>44916</v>
          </cell>
          <cell r="D3390">
            <v>80.295000000000002</v>
          </cell>
          <cell r="E3390">
            <v>76.7</v>
          </cell>
          <cell r="H3390">
            <v>64.42</v>
          </cell>
          <cell r="I3390">
            <v>85.11</v>
          </cell>
          <cell r="BS3390">
            <v>8.4099999999999966</v>
          </cell>
        </row>
        <row r="3391">
          <cell r="B3391">
            <v>44917</v>
          </cell>
          <cell r="D3391">
            <v>80.790000000000006</v>
          </cell>
          <cell r="E3391">
            <v>78.849999999999994</v>
          </cell>
          <cell r="H3391">
            <v>65.69</v>
          </cell>
          <cell r="I3391">
            <v>87.37</v>
          </cell>
          <cell r="BS3391">
            <v>8.5200000000000102</v>
          </cell>
        </row>
        <row r="3392">
          <cell r="B3392">
            <v>44918</v>
          </cell>
          <cell r="D3392">
            <v>80.885000000000005</v>
          </cell>
          <cell r="E3392">
            <v>78.099999999999994</v>
          </cell>
          <cell r="H3392">
            <v>66</v>
          </cell>
          <cell r="I3392">
            <v>87.69</v>
          </cell>
          <cell r="BS3392">
            <v>9.5900000000000034</v>
          </cell>
        </row>
        <row r="3393">
          <cell r="B3393">
            <v>44921</v>
          </cell>
          <cell r="D3393" t="str">
            <v/>
          </cell>
          <cell r="E3393" t="str">
            <v/>
          </cell>
          <cell r="H3393">
            <v>0</v>
          </cell>
          <cell r="I3393">
            <v>0</v>
          </cell>
          <cell r="BS3393" t="e">
            <v>#N/A</v>
          </cell>
        </row>
        <row r="3394">
          <cell r="B3394">
            <v>44922</v>
          </cell>
          <cell r="D3394" t="str">
            <v/>
          </cell>
          <cell r="E3394">
            <v>80.59</v>
          </cell>
          <cell r="H3394">
            <v>67.28</v>
          </cell>
          <cell r="I3394">
            <v>90.78</v>
          </cell>
          <cell r="BS3394">
            <v>10.189999999999998</v>
          </cell>
        </row>
        <row r="3395">
          <cell r="B3395">
            <v>44923</v>
          </cell>
          <cell r="D3395">
            <v>81.14</v>
          </cell>
          <cell r="E3395">
            <v>79.95</v>
          </cell>
          <cell r="H3395">
            <v>66.63</v>
          </cell>
          <cell r="I3395">
            <v>90.87</v>
          </cell>
          <cell r="BS3395">
            <v>10.920000000000002</v>
          </cell>
        </row>
        <row r="3396">
          <cell r="B3396">
            <v>44924</v>
          </cell>
          <cell r="D3396">
            <v>80.685000000000002</v>
          </cell>
          <cell r="E3396">
            <v>78.11</v>
          </cell>
          <cell r="H3396">
            <v>66.13</v>
          </cell>
          <cell r="I3396">
            <v>89.58</v>
          </cell>
          <cell r="BS3396">
            <v>11.469999999999999</v>
          </cell>
        </row>
        <row r="3397">
          <cell r="B3397">
            <v>44925</v>
          </cell>
          <cell r="D3397">
            <v>81.325000000000003</v>
          </cell>
          <cell r="E3397">
            <v>78.75</v>
          </cell>
          <cell r="H3397">
            <v>66.55</v>
          </cell>
          <cell r="I3397">
            <v>92.37</v>
          </cell>
          <cell r="BS3397">
            <v>13.620000000000005</v>
          </cell>
        </row>
        <row r="3398">
          <cell r="B3398">
            <v>44928</v>
          </cell>
          <cell r="D3398" t="str">
            <v/>
          </cell>
          <cell r="E3398" t="str">
            <v/>
          </cell>
          <cell r="H3398">
            <v>0</v>
          </cell>
          <cell r="I3398">
            <v>0</v>
          </cell>
          <cell r="BS3398" t="e">
            <v>#N/A</v>
          </cell>
        </row>
        <row r="3399">
          <cell r="B3399">
            <v>44929</v>
          </cell>
          <cell r="D3399">
            <v>81.23</v>
          </cell>
          <cell r="E3399">
            <v>82.055000000000007</v>
          </cell>
          <cell r="H3399">
            <v>68.650000000000006</v>
          </cell>
          <cell r="I3399">
            <v>94.18</v>
          </cell>
          <cell r="BS3399">
            <v>12.125</v>
          </cell>
        </row>
        <row r="3400">
          <cell r="B3400">
            <v>44930</v>
          </cell>
          <cell r="D3400">
            <v>75.52</v>
          </cell>
          <cell r="E3400">
            <v>77.055000000000007</v>
          </cell>
          <cell r="H3400">
            <v>65.88</v>
          </cell>
          <cell r="I3400">
            <v>87.81</v>
          </cell>
          <cell r="BS3400">
            <v>10.754999999999995</v>
          </cell>
        </row>
        <row r="3401">
          <cell r="B3401">
            <v>44931</v>
          </cell>
          <cell r="D3401">
            <v>76.89</v>
          </cell>
          <cell r="E3401">
            <v>75.14</v>
          </cell>
          <cell r="H3401">
            <v>65.53</v>
          </cell>
          <cell r="I3401">
            <v>86.17</v>
          </cell>
          <cell r="BS3401">
            <v>11.030000000000001</v>
          </cell>
        </row>
        <row r="3402">
          <cell r="B3402">
            <v>44932</v>
          </cell>
          <cell r="D3402">
            <v>77.385000000000005</v>
          </cell>
          <cell r="E3402">
            <v>75.14</v>
          </cell>
          <cell r="H3402">
            <v>66.64</v>
          </cell>
          <cell r="I3402">
            <v>86.45</v>
          </cell>
          <cell r="BS3402">
            <v>11.310000000000002</v>
          </cell>
        </row>
        <row r="3403">
          <cell r="B3403">
            <v>44935</v>
          </cell>
          <cell r="D3403">
            <v>77.435000000000002</v>
          </cell>
          <cell r="E3403">
            <v>77.05</v>
          </cell>
          <cell r="H3403">
            <v>68.709999999999994</v>
          </cell>
          <cell r="I3403">
            <v>88.91</v>
          </cell>
          <cell r="BS3403">
            <v>11.86</v>
          </cell>
        </row>
        <row r="3404">
          <cell r="B3404">
            <v>44936</v>
          </cell>
          <cell r="D3404">
            <v>77.8</v>
          </cell>
          <cell r="E3404">
            <v>76</v>
          </cell>
          <cell r="H3404">
            <v>68.56</v>
          </cell>
          <cell r="I3404">
            <v>88.2</v>
          </cell>
          <cell r="BS3404">
            <v>12.200000000000003</v>
          </cell>
        </row>
        <row r="3405">
          <cell r="B3405">
            <v>44937</v>
          </cell>
          <cell r="D3405">
            <v>80.435000000000002</v>
          </cell>
          <cell r="E3405">
            <v>76.8</v>
          </cell>
          <cell r="H3405">
            <v>71.069999999999993</v>
          </cell>
          <cell r="I3405">
            <v>90.24</v>
          </cell>
          <cell r="BS3405">
            <v>13.439999999999998</v>
          </cell>
        </row>
        <row r="3406">
          <cell r="B3406">
            <v>44938</v>
          </cell>
          <cell r="D3406">
            <v>82.825000000000003</v>
          </cell>
          <cell r="E3406">
            <v>79.5</v>
          </cell>
          <cell r="H3406">
            <v>71.72</v>
          </cell>
          <cell r="I3406">
            <v>93.41</v>
          </cell>
          <cell r="BS3406">
            <v>13.909999999999997</v>
          </cell>
        </row>
        <row r="3407">
          <cell r="B3407">
            <v>44939</v>
          </cell>
          <cell r="D3407">
            <v>83.325000000000003</v>
          </cell>
          <cell r="E3407">
            <v>81.05</v>
          </cell>
          <cell r="H3407">
            <v>74.83</v>
          </cell>
          <cell r="I3407">
            <v>95.56</v>
          </cell>
          <cell r="BS3407">
            <v>14.510000000000005</v>
          </cell>
        </row>
        <row r="3408">
          <cell r="B3408">
            <v>44942</v>
          </cell>
          <cell r="D3408">
            <v>82.84</v>
          </cell>
          <cell r="E3408">
            <v>81.75</v>
          </cell>
          <cell r="H3408">
            <v>74.84</v>
          </cell>
          <cell r="I3408">
            <v>97.34</v>
          </cell>
          <cell r="BS3408">
            <v>15.590000000000003</v>
          </cell>
        </row>
        <row r="3409">
          <cell r="B3409">
            <v>44943</v>
          </cell>
          <cell r="D3409">
            <v>84.35</v>
          </cell>
          <cell r="E3409">
            <v>82.49</v>
          </cell>
          <cell r="H3409">
            <v>74.69</v>
          </cell>
          <cell r="I3409">
            <v>96.6</v>
          </cell>
          <cell r="BS3409">
            <v>14.11</v>
          </cell>
        </row>
        <row r="3410">
          <cell r="B3410">
            <v>44944</v>
          </cell>
          <cell r="D3410">
            <v>85.924999999999997</v>
          </cell>
          <cell r="E3410">
            <v>83.65</v>
          </cell>
          <cell r="H3410">
            <v>76.05</v>
          </cell>
          <cell r="I3410">
            <v>100.65</v>
          </cell>
          <cell r="BS3410">
            <v>17</v>
          </cell>
        </row>
        <row r="3411">
          <cell r="B3411">
            <v>44945</v>
          </cell>
          <cell r="D3411">
            <v>84.5</v>
          </cell>
          <cell r="E3411">
            <v>81.39</v>
          </cell>
          <cell r="H3411">
            <v>73.709999999999994</v>
          </cell>
          <cell r="I3411">
            <v>98.91</v>
          </cell>
          <cell r="BS3411">
            <v>17.519999999999996</v>
          </cell>
        </row>
        <row r="3412">
          <cell r="B3412">
            <v>44946</v>
          </cell>
          <cell r="D3412">
            <v>85.9</v>
          </cell>
          <cell r="E3412">
            <v>83.84</v>
          </cell>
          <cell r="H3412">
            <v>75.91</v>
          </cell>
          <cell r="I3412">
            <v>104.52</v>
          </cell>
          <cell r="BS3412">
            <v>20.679999999999993</v>
          </cell>
        </row>
        <row r="3413">
          <cell r="B3413">
            <v>44949</v>
          </cell>
          <cell r="D3413">
            <v>88.21</v>
          </cell>
          <cell r="E3413" t="str">
            <v/>
          </cell>
          <cell r="H3413">
            <v>0</v>
          </cell>
          <cell r="I3413">
            <v>0</v>
          </cell>
          <cell r="BS3413" t="e">
            <v>#N/A</v>
          </cell>
        </row>
        <row r="3414">
          <cell r="B3414">
            <v>44950</v>
          </cell>
          <cell r="D3414">
            <v>86.13</v>
          </cell>
          <cell r="E3414" t="str">
            <v/>
          </cell>
          <cell r="H3414">
            <v>0</v>
          </cell>
          <cell r="I3414">
            <v>0</v>
          </cell>
          <cell r="BS3414" t="e">
            <v>#N/A</v>
          </cell>
        </row>
        <row r="3415">
          <cell r="B3415">
            <v>44951</v>
          </cell>
          <cell r="D3415">
            <v>85.885000000000005</v>
          </cell>
          <cell r="E3415">
            <v>83.5</v>
          </cell>
          <cell r="H3415">
            <v>76.75</v>
          </cell>
          <cell r="I3415">
            <v>104.6</v>
          </cell>
          <cell r="BS3415">
            <v>21.099999999999994</v>
          </cell>
        </row>
        <row r="3416">
          <cell r="B3416">
            <v>44952</v>
          </cell>
          <cell r="D3416">
            <v>86.9</v>
          </cell>
          <cell r="E3416">
            <v>83.19</v>
          </cell>
          <cell r="H3416">
            <v>75.22</v>
          </cell>
          <cell r="I3416">
            <v>102.55</v>
          </cell>
          <cell r="BS3416">
            <v>19.36</v>
          </cell>
        </row>
        <row r="3417">
          <cell r="B3417">
            <v>44953</v>
          </cell>
          <cell r="D3417">
            <v>85.984999999999999</v>
          </cell>
          <cell r="E3417">
            <v>84.15</v>
          </cell>
          <cell r="H3417">
            <v>76.599999999999994</v>
          </cell>
          <cell r="I3417">
            <v>103.07</v>
          </cell>
          <cell r="BS3417">
            <v>18.919999999999987</v>
          </cell>
        </row>
        <row r="3418">
          <cell r="B3418">
            <v>44956</v>
          </cell>
          <cell r="D3418">
            <v>84.63</v>
          </cell>
          <cell r="E3418">
            <v>82.6</v>
          </cell>
          <cell r="H3418">
            <v>75.09</v>
          </cell>
          <cell r="I3418">
            <v>99.6</v>
          </cell>
          <cell r="BS3418">
            <v>17</v>
          </cell>
        </row>
        <row r="3419">
          <cell r="B3419">
            <v>44957</v>
          </cell>
          <cell r="D3419">
            <v>84.215000000000003</v>
          </cell>
          <cell r="E3419">
            <v>80.88</v>
          </cell>
          <cell r="H3419">
            <v>73.739999999999995</v>
          </cell>
          <cell r="I3419">
            <v>97.4</v>
          </cell>
          <cell r="BS3419">
            <v>16.52000000000001</v>
          </cell>
        </row>
        <row r="3420">
          <cell r="B3420">
            <v>44958</v>
          </cell>
          <cell r="D3420">
            <v>82.98</v>
          </cell>
          <cell r="E3420">
            <v>83.555000000000007</v>
          </cell>
          <cell r="H3420">
            <v>74.849999999999994</v>
          </cell>
          <cell r="I3420">
            <v>98.95</v>
          </cell>
          <cell r="BS3420">
            <v>15.394999999999996</v>
          </cell>
        </row>
        <row r="3421">
          <cell r="B3421">
            <v>44959</v>
          </cell>
          <cell r="D3421">
            <v>80.739999999999995</v>
          </cell>
          <cell r="E3421">
            <v>80.87</v>
          </cell>
          <cell r="H3421">
            <v>74.19</v>
          </cell>
          <cell r="I3421">
            <v>95.76</v>
          </cell>
          <cell r="BS3421">
            <v>14.89</v>
          </cell>
        </row>
        <row r="3422">
          <cell r="B3422">
            <v>44960</v>
          </cell>
          <cell r="D3422">
            <v>80.62</v>
          </cell>
          <cell r="E3422">
            <v>79.75</v>
          </cell>
          <cell r="H3422">
            <v>74.150000000000006</v>
          </cell>
          <cell r="I3422">
            <v>95.22</v>
          </cell>
          <cell r="BS3422">
            <v>15.469999999999999</v>
          </cell>
        </row>
        <row r="3423">
          <cell r="B3423">
            <v>44963</v>
          </cell>
          <cell r="D3423">
            <v>79.594999999999999</v>
          </cell>
          <cell r="E3423">
            <v>78.3</v>
          </cell>
          <cell r="H3423">
            <v>73.64</v>
          </cell>
          <cell r="I3423">
            <v>92.18</v>
          </cell>
          <cell r="BS3423">
            <v>13.88000000000001</v>
          </cell>
        </row>
        <row r="3424">
          <cell r="B3424">
            <v>44964</v>
          </cell>
          <cell r="D3424">
            <v>82.11</v>
          </cell>
          <cell r="E3424">
            <v>80.41</v>
          </cell>
          <cell r="H3424">
            <v>72.989999999999995</v>
          </cell>
          <cell r="I3424">
            <v>96.64</v>
          </cell>
          <cell r="BS3424">
            <v>16.230000000000004</v>
          </cell>
        </row>
        <row r="3425">
          <cell r="B3425">
            <v>44965</v>
          </cell>
          <cell r="D3425">
            <v>83.144999999999996</v>
          </cell>
          <cell r="E3425">
            <v>81.900000000000006</v>
          </cell>
          <cell r="H3425">
            <v>74.760000000000005</v>
          </cell>
          <cell r="I3425">
            <v>98.66</v>
          </cell>
          <cell r="BS3425">
            <v>16.759999999999991</v>
          </cell>
        </row>
        <row r="3426">
          <cell r="B3426">
            <v>44966</v>
          </cell>
          <cell r="D3426">
            <v>83.224999999999994</v>
          </cell>
          <cell r="E3426">
            <v>83.2</v>
          </cell>
          <cell r="H3426">
            <v>75.599999999999994</v>
          </cell>
          <cell r="I3426">
            <v>98.31</v>
          </cell>
          <cell r="BS3426">
            <v>15.11</v>
          </cell>
        </row>
        <row r="3427">
          <cell r="B3427">
            <v>44967</v>
          </cell>
          <cell r="D3427">
            <v>85.605000000000004</v>
          </cell>
          <cell r="E3427">
            <v>83.56</v>
          </cell>
          <cell r="H3427">
            <v>76.239999999999995</v>
          </cell>
          <cell r="I3427">
            <v>97.39</v>
          </cell>
          <cell r="BS3427">
            <v>13.829999999999998</v>
          </cell>
        </row>
        <row r="3428">
          <cell r="B3428">
            <v>44970</v>
          </cell>
          <cell r="D3428">
            <v>85.49</v>
          </cell>
          <cell r="E3428">
            <v>84.394999999999996</v>
          </cell>
          <cell r="H3428">
            <v>76.989999999999995</v>
          </cell>
          <cell r="I3428">
            <v>98.03</v>
          </cell>
          <cell r="BS3428">
            <v>13.635000000000005</v>
          </cell>
        </row>
        <row r="3429">
          <cell r="B3429">
            <v>44971</v>
          </cell>
          <cell r="D3429">
            <v>84.52</v>
          </cell>
          <cell r="E3429">
            <v>84.875</v>
          </cell>
          <cell r="H3429">
            <v>78.040000000000006</v>
          </cell>
          <cell r="I3429">
            <v>98.82</v>
          </cell>
          <cell r="BS3429">
            <v>13.944999999999993</v>
          </cell>
        </row>
        <row r="3430">
          <cell r="B3430">
            <v>44972</v>
          </cell>
          <cell r="D3430">
            <v>83.49</v>
          </cell>
          <cell r="E3430">
            <v>83.34</v>
          </cell>
          <cell r="H3430">
            <v>77.569999999999993</v>
          </cell>
          <cell r="I3430">
            <v>97.2</v>
          </cell>
          <cell r="BS3430">
            <v>13.86</v>
          </cell>
        </row>
        <row r="3431">
          <cell r="B3431">
            <v>44973</v>
          </cell>
          <cell r="D3431">
            <v>84.14</v>
          </cell>
          <cell r="E3431">
            <v>84.01</v>
          </cell>
          <cell r="H3431">
            <v>78.45</v>
          </cell>
          <cell r="I3431">
            <v>98.25</v>
          </cell>
          <cell r="BS3431">
            <v>14.239999999999995</v>
          </cell>
        </row>
        <row r="3432">
          <cell r="B3432">
            <v>44974</v>
          </cell>
          <cell r="D3432">
            <v>82.075000000000003</v>
          </cell>
          <cell r="E3432">
            <v>82.24</v>
          </cell>
          <cell r="H3432">
            <v>77.77</v>
          </cell>
          <cell r="I3432">
            <v>93.67</v>
          </cell>
          <cell r="BS3432">
            <v>11.430000000000007</v>
          </cell>
        </row>
        <row r="3433">
          <cell r="B3433">
            <v>44977</v>
          </cell>
          <cell r="D3433">
            <v>82.34</v>
          </cell>
          <cell r="E3433">
            <v>82.39</v>
          </cell>
          <cell r="H3433">
            <v>78.02</v>
          </cell>
          <cell r="I3433">
            <v>95.15</v>
          </cell>
          <cell r="BS3433">
            <v>12.760000000000005</v>
          </cell>
        </row>
        <row r="3434">
          <cell r="B3434">
            <v>44978</v>
          </cell>
          <cell r="D3434">
            <v>82</v>
          </cell>
          <cell r="E3434">
            <v>81.94</v>
          </cell>
          <cell r="H3434">
            <v>77.95</v>
          </cell>
          <cell r="I3434">
            <v>96.02</v>
          </cell>
          <cell r="BS3434">
            <v>14.079999999999998</v>
          </cell>
        </row>
        <row r="3435">
          <cell r="B3435">
            <v>44979</v>
          </cell>
          <cell r="D3435">
            <v>80.25</v>
          </cell>
          <cell r="E3435">
            <v>80.8</v>
          </cell>
          <cell r="H3435">
            <v>77.2</v>
          </cell>
          <cell r="I3435">
            <v>94.49</v>
          </cell>
          <cell r="BS3435">
            <v>13.689999999999998</v>
          </cell>
        </row>
        <row r="3436">
          <cell r="B3436">
            <v>44980</v>
          </cell>
          <cell r="D3436">
            <v>80.94</v>
          </cell>
          <cell r="E3436">
            <v>80.05</v>
          </cell>
          <cell r="H3436">
            <v>75.77</v>
          </cell>
          <cell r="I3436">
            <v>92.21</v>
          </cell>
          <cell r="BS3436">
            <v>12.159999999999997</v>
          </cell>
        </row>
        <row r="3437">
          <cell r="B3437">
            <v>44981</v>
          </cell>
          <cell r="D3437">
            <v>81.849999999999994</v>
          </cell>
          <cell r="E3437">
            <v>82.06</v>
          </cell>
          <cell r="H3437">
            <v>77.44</v>
          </cell>
          <cell r="I3437">
            <v>94.6</v>
          </cell>
          <cell r="BS3437">
            <v>12.539999999999992</v>
          </cell>
        </row>
        <row r="3438">
          <cell r="B3438">
            <v>44984</v>
          </cell>
          <cell r="D3438">
            <v>81.47</v>
          </cell>
          <cell r="E3438">
            <v>82.16</v>
          </cell>
          <cell r="H3438">
            <v>78.319999999999993</v>
          </cell>
          <cell r="I3438">
            <v>94.17</v>
          </cell>
          <cell r="BS3438">
            <v>12.010000000000005</v>
          </cell>
        </row>
        <row r="3439">
          <cell r="B3439">
            <v>44985</v>
          </cell>
          <cell r="D3439">
            <v>83.135000000000005</v>
          </cell>
          <cell r="E3439">
            <v>81.900000000000006</v>
          </cell>
          <cell r="H3439">
            <v>78.63</v>
          </cell>
          <cell r="I3439">
            <v>93.6</v>
          </cell>
          <cell r="BS3439">
            <v>11.699999999999989</v>
          </cell>
        </row>
        <row r="3440">
          <cell r="B3440">
            <v>44986</v>
          </cell>
          <cell r="D3440">
            <v>83.5</v>
          </cell>
          <cell r="E3440">
            <v>82.46</v>
          </cell>
          <cell r="H3440">
            <v>79.36</v>
          </cell>
          <cell r="I3440">
            <v>95.48</v>
          </cell>
          <cell r="BS3440">
            <v>13.02000000000001</v>
          </cell>
        </row>
        <row r="3441">
          <cell r="B3441">
            <v>44987</v>
          </cell>
          <cell r="D3441">
            <v>85.075000000000003</v>
          </cell>
          <cell r="E3441">
            <v>82.84</v>
          </cell>
          <cell r="H3441">
            <v>78.92</v>
          </cell>
          <cell r="I3441">
            <v>94.79</v>
          </cell>
          <cell r="BS3441">
            <v>11.950000000000003</v>
          </cell>
        </row>
        <row r="3442">
          <cell r="B3442">
            <v>44988</v>
          </cell>
          <cell r="D3442">
            <v>85.17</v>
          </cell>
          <cell r="E3442">
            <v>83.254999999999995</v>
          </cell>
          <cell r="H3442">
            <v>79.19</v>
          </cell>
          <cell r="I3442">
            <v>95.94</v>
          </cell>
          <cell r="BS3442">
            <v>12.685000000000002</v>
          </cell>
        </row>
        <row r="3443">
          <cell r="B3443">
            <v>44991</v>
          </cell>
          <cell r="D3443">
            <v>85.855000000000004</v>
          </cell>
          <cell r="E3443">
            <v>84.09</v>
          </cell>
          <cell r="H3443">
            <v>80</v>
          </cell>
          <cell r="I3443">
            <v>98.72</v>
          </cell>
          <cell r="BS3443">
            <v>14.629999999999995</v>
          </cell>
        </row>
        <row r="3444">
          <cell r="B3444">
            <v>44992</v>
          </cell>
          <cell r="D3444">
            <v>84.004999999999995</v>
          </cell>
          <cell r="E3444">
            <v>84.56</v>
          </cell>
          <cell r="H3444">
            <v>80.61</v>
          </cell>
          <cell r="I3444">
            <v>99.68</v>
          </cell>
          <cell r="BS3444">
            <v>15.120000000000005</v>
          </cell>
        </row>
        <row r="3445">
          <cell r="B3445">
            <v>44993</v>
          </cell>
          <cell r="D3445">
            <v>82.36</v>
          </cell>
          <cell r="E3445">
            <v>81.96</v>
          </cell>
          <cell r="H3445">
            <v>77.569999999999993</v>
          </cell>
          <cell r="I3445">
            <v>96.08</v>
          </cell>
          <cell r="BS3445">
            <v>14.120000000000005</v>
          </cell>
        </row>
        <row r="3446">
          <cell r="B3446">
            <v>44994</v>
          </cell>
          <cell r="D3446">
            <v>83.07</v>
          </cell>
          <cell r="E3446">
            <v>81.790000000000006</v>
          </cell>
          <cell r="H3446">
            <v>76.86</v>
          </cell>
          <cell r="I3446">
            <v>96.24</v>
          </cell>
          <cell r="BS3446">
            <v>14.449999999999989</v>
          </cell>
        </row>
        <row r="3447">
          <cell r="B3447">
            <v>44995</v>
          </cell>
          <cell r="D3447">
            <v>82.394999999999996</v>
          </cell>
          <cell r="E3447">
            <v>80.204999999999998</v>
          </cell>
          <cell r="H3447">
            <v>74.319999999999993</v>
          </cell>
          <cell r="I3447">
            <v>93.96</v>
          </cell>
          <cell r="BS3447">
            <v>13.754999999999995</v>
          </cell>
        </row>
        <row r="3448">
          <cell r="B3448">
            <v>44998</v>
          </cell>
          <cell r="D3448">
            <v>81.174999999999997</v>
          </cell>
          <cell r="E3448">
            <v>82.305000000000007</v>
          </cell>
          <cell r="H3448">
            <v>74.88</v>
          </cell>
          <cell r="I3448">
            <v>96.55</v>
          </cell>
          <cell r="BS3448">
            <v>14.24499999999999</v>
          </cell>
        </row>
        <row r="3449">
          <cell r="B3449">
            <v>44999</v>
          </cell>
          <cell r="D3449">
            <v>78.84</v>
          </cell>
          <cell r="E3449">
            <v>79.09</v>
          </cell>
          <cell r="H3449">
            <v>73.27</v>
          </cell>
          <cell r="I3449">
            <v>95.23</v>
          </cell>
          <cell r="BS3449">
            <v>16.14</v>
          </cell>
        </row>
        <row r="3450">
          <cell r="B3450">
            <v>45000</v>
          </cell>
          <cell r="D3450">
            <v>71.84</v>
          </cell>
          <cell r="E3450">
            <v>77.84</v>
          </cell>
          <cell r="H3450">
            <v>73.06</v>
          </cell>
          <cell r="I3450">
            <v>96.31</v>
          </cell>
          <cell r="BS3450">
            <v>18.47</v>
          </cell>
        </row>
        <row r="3451">
          <cell r="B3451">
            <v>45001</v>
          </cell>
          <cell r="D3451">
            <v>73.135000000000005</v>
          </cell>
          <cell r="E3451">
            <v>73.98</v>
          </cell>
          <cell r="H3451">
            <v>67.98</v>
          </cell>
          <cell r="I3451">
            <v>88.77</v>
          </cell>
          <cell r="BS3451">
            <v>14.789999999999992</v>
          </cell>
        </row>
        <row r="3452">
          <cell r="B3452">
            <v>45002</v>
          </cell>
          <cell r="D3452">
            <v>72.28</v>
          </cell>
          <cell r="E3452">
            <v>74.849999999999994</v>
          </cell>
          <cell r="H3452">
            <v>69.5</v>
          </cell>
          <cell r="I3452">
            <v>90.24</v>
          </cell>
          <cell r="BS3452">
            <v>15.39</v>
          </cell>
        </row>
        <row r="3453">
          <cell r="B3453">
            <v>45005</v>
          </cell>
          <cell r="D3453">
            <v>71.704999999999998</v>
          </cell>
          <cell r="E3453">
            <v>70.290000000000006</v>
          </cell>
          <cell r="H3453">
            <v>64.2</v>
          </cell>
          <cell r="I3453">
            <v>86.35</v>
          </cell>
          <cell r="BS3453">
            <v>16.059999999999988</v>
          </cell>
        </row>
        <row r="3454">
          <cell r="B3454">
            <v>45006</v>
          </cell>
          <cell r="D3454">
            <v>73.775000000000006</v>
          </cell>
          <cell r="E3454">
            <v>73.7</v>
          </cell>
          <cell r="H3454">
            <v>67.44</v>
          </cell>
          <cell r="I3454">
            <v>90.56</v>
          </cell>
          <cell r="BS3454">
            <v>16.86</v>
          </cell>
        </row>
        <row r="3455">
          <cell r="B3455">
            <v>45007</v>
          </cell>
          <cell r="D3455">
            <v>75.36</v>
          </cell>
          <cell r="E3455">
            <v>74.55</v>
          </cell>
          <cell r="H3455">
            <v>67.180000000000007</v>
          </cell>
          <cell r="I3455">
            <v>91.09</v>
          </cell>
          <cell r="BS3455">
            <v>16.540000000000006</v>
          </cell>
        </row>
        <row r="3456">
          <cell r="B3456">
            <v>45008</v>
          </cell>
          <cell r="D3456">
            <v>75.88</v>
          </cell>
          <cell r="E3456">
            <v>76.09</v>
          </cell>
          <cell r="H3456">
            <v>69.02</v>
          </cell>
          <cell r="I3456">
            <v>93.72</v>
          </cell>
          <cell r="BS3456">
            <v>17.629999999999995</v>
          </cell>
        </row>
        <row r="3457">
          <cell r="B3457">
            <v>45009</v>
          </cell>
          <cell r="D3457">
            <v>73.245000000000005</v>
          </cell>
          <cell r="E3457">
            <v>75.11</v>
          </cell>
          <cell r="H3457">
            <v>69.23</v>
          </cell>
          <cell r="I3457">
            <v>94.83</v>
          </cell>
          <cell r="BS3457">
            <v>19.72</v>
          </cell>
        </row>
        <row r="3458">
          <cell r="B3458">
            <v>45012</v>
          </cell>
          <cell r="D3458">
            <v>75.254999999999995</v>
          </cell>
          <cell r="E3458">
            <v>74.745000000000005</v>
          </cell>
          <cell r="H3458">
            <v>69.260000000000005</v>
          </cell>
          <cell r="I3458">
            <v>93.79</v>
          </cell>
          <cell r="BS3458">
            <v>19.045000000000002</v>
          </cell>
        </row>
        <row r="3459">
          <cell r="B3459">
            <v>45013</v>
          </cell>
          <cell r="D3459">
            <v>77.84</v>
          </cell>
          <cell r="E3459">
            <v>77.844999999999999</v>
          </cell>
          <cell r="H3459">
            <v>71.12</v>
          </cell>
          <cell r="I3459">
            <v>96.12</v>
          </cell>
          <cell r="BS3459">
            <v>18.275000000000006</v>
          </cell>
        </row>
        <row r="3460">
          <cell r="B3460">
            <v>45014</v>
          </cell>
          <cell r="D3460">
            <v>78.03</v>
          </cell>
          <cell r="E3460">
            <v>77.989999999999995</v>
          </cell>
          <cell r="H3460">
            <v>70.87</v>
          </cell>
          <cell r="I3460">
            <v>96.25</v>
          </cell>
          <cell r="BS3460">
            <v>18.260000000000005</v>
          </cell>
        </row>
        <row r="3461">
          <cell r="B3461">
            <v>45015</v>
          </cell>
          <cell r="D3461">
            <v>78.025000000000006</v>
          </cell>
          <cell r="E3461">
            <v>77.75</v>
          </cell>
          <cell r="H3461">
            <v>70.25</v>
          </cell>
          <cell r="I3461">
            <v>94.16</v>
          </cell>
          <cell r="BS3461">
            <v>16.409999999999997</v>
          </cell>
        </row>
        <row r="3462">
          <cell r="B3462">
            <v>45016</v>
          </cell>
          <cell r="D3462">
            <v>79.06</v>
          </cell>
          <cell r="E3462">
            <v>78.05</v>
          </cell>
          <cell r="H3462">
            <v>68.33</v>
          </cell>
          <cell r="I3462">
            <v>93.88</v>
          </cell>
          <cell r="BS3462">
            <v>15.829999999999998</v>
          </cell>
        </row>
        <row r="3463">
          <cell r="B3463">
            <v>45019</v>
          </cell>
          <cell r="D3463">
            <v>85.51</v>
          </cell>
          <cell r="E3463">
            <v>84.05</v>
          </cell>
          <cell r="H3463">
            <v>72.260000000000005</v>
          </cell>
          <cell r="I3463">
            <v>101.65</v>
          </cell>
          <cell r="BS3463">
            <v>17.600000000000009</v>
          </cell>
        </row>
        <row r="3464">
          <cell r="B3464">
            <v>45020</v>
          </cell>
          <cell r="D3464">
            <v>85.325000000000003</v>
          </cell>
          <cell r="E3464">
            <v>85.05</v>
          </cell>
          <cell r="H3464">
            <v>73.069999999999993</v>
          </cell>
          <cell r="I3464">
            <v>102.26</v>
          </cell>
          <cell r="BS3464">
            <v>17.210000000000008</v>
          </cell>
        </row>
        <row r="3465">
          <cell r="B3465">
            <v>45021</v>
          </cell>
          <cell r="D3465">
            <v>85.594999999999999</v>
          </cell>
          <cell r="E3465">
            <v>84.91</v>
          </cell>
          <cell r="H3465">
            <v>72.849999999999994</v>
          </cell>
          <cell r="I3465">
            <v>101.89</v>
          </cell>
          <cell r="BS3465">
            <v>16.980000000000004</v>
          </cell>
        </row>
        <row r="3466">
          <cell r="B3466">
            <v>45022</v>
          </cell>
          <cell r="D3466">
            <v>86.17</v>
          </cell>
          <cell r="E3466">
            <v>84.545000000000002</v>
          </cell>
          <cell r="H3466">
            <v>72.22</v>
          </cell>
          <cell r="I3466">
            <v>101.62</v>
          </cell>
          <cell r="BS3466">
            <v>17.075000000000003</v>
          </cell>
        </row>
        <row r="3467">
          <cell r="B3467">
            <v>45023</v>
          </cell>
          <cell r="D3467" t="str">
            <v/>
          </cell>
          <cell r="E3467" t="str">
            <v/>
          </cell>
          <cell r="H3467">
            <v>0</v>
          </cell>
          <cell r="I3467">
            <v>0</v>
          </cell>
          <cell r="BS3467" t="e">
            <v>#N/A</v>
          </cell>
        </row>
        <row r="3468">
          <cell r="B3468">
            <v>45026</v>
          </cell>
          <cell r="D3468" t="str">
            <v/>
          </cell>
          <cell r="E3468">
            <v>84.73</v>
          </cell>
          <cell r="H3468">
            <v>71.98</v>
          </cell>
          <cell r="I3468">
            <v>100.78</v>
          </cell>
          <cell r="BS3468">
            <v>16.049999999999997</v>
          </cell>
        </row>
        <row r="3469">
          <cell r="B3469">
            <v>45027</v>
          </cell>
          <cell r="D3469">
            <v>86.08</v>
          </cell>
          <cell r="E3469">
            <v>84.5</v>
          </cell>
          <cell r="H3469">
            <v>72.069999999999993</v>
          </cell>
          <cell r="I3469">
            <v>101.38</v>
          </cell>
          <cell r="BS3469">
            <v>16.879999999999995</v>
          </cell>
        </row>
        <row r="3470">
          <cell r="B3470">
            <v>45028</v>
          </cell>
          <cell r="D3470">
            <v>88.204999999999998</v>
          </cell>
          <cell r="E3470">
            <v>85.54</v>
          </cell>
          <cell r="H3470">
            <v>72.56</v>
          </cell>
          <cell r="I3470">
            <v>100.39</v>
          </cell>
          <cell r="BS3470">
            <v>14.849999999999994</v>
          </cell>
        </row>
        <row r="3471">
          <cell r="B3471">
            <v>45029</v>
          </cell>
          <cell r="D3471">
            <v>87.87</v>
          </cell>
          <cell r="E3471">
            <v>87.31</v>
          </cell>
          <cell r="H3471">
            <v>73.150000000000006</v>
          </cell>
          <cell r="I3471">
            <v>100.51</v>
          </cell>
          <cell r="BS3471">
            <v>13.200000000000003</v>
          </cell>
        </row>
        <row r="3472">
          <cell r="B3472">
            <v>45030</v>
          </cell>
          <cell r="D3472">
            <v>87.885000000000005</v>
          </cell>
          <cell r="E3472">
            <v>86.04</v>
          </cell>
          <cell r="H3472">
            <v>72.849999999999994</v>
          </cell>
          <cell r="I3472">
            <v>100.8</v>
          </cell>
          <cell r="BS3472">
            <v>14.759999999999991</v>
          </cell>
        </row>
        <row r="3473">
          <cell r="B3473">
            <v>45033</v>
          </cell>
          <cell r="D3473">
            <v>86.555000000000007</v>
          </cell>
          <cell r="E3473">
            <v>85.9</v>
          </cell>
          <cell r="H3473">
            <v>72.27</v>
          </cell>
          <cell r="I3473">
            <v>97.65</v>
          </cell>
          <cell r="BS3473">
            <v>11.75</v>
          </cell>
        </row>
        <row r="3474">
          <cell r="B3474">
            <v>45034</v>
          </cell>
          <cell r="D3474">
            <v>86.63</v>
          </cell>
          <cell r="E3474">
            <v>84.65</v>
          </cell>
          <cell r="H3474">
            <v>70.760000000000005</v>
          </cell>
          <cell r="I3474">
            <v>96.1</v>
          </cell>
          <cell r="BS3474">
            <v>11.449999999999989</v>
          </cell>
        </row>
        <row r="3475">
          <cell r="B3475">
            <v>45035</v>
          </cell>
          <cell r="D3475">
            <v>85.55</v>
          </cell>
          <cell r="E3475">
            <v>83.54</v>
          </cell>
          <cell r="H3475">
            <v>69.14</v>
          </cell>
          <cell r="I3475">
            <v>95.03</v>
          </cell>
          <cell r="BS3475">
            <v>11.489999999999995</v>
          </cell>
        </row>
        <row r="3476">
          <cell r="B3476">
            <v>45036</v>
          </cell>
          <cell r="D3476">
            <v>83.14</v>
          </cell>
          <cell r="E3476">
            <v>81.709999999999994</v>
          </cell>
          <cell r="H3476">
            <v>69.239999999999995</v>
          </cell>
          <cell r="I3476">
            <v>91.8</v>
          </cell>
          <cell r="BS3476">
            <v>10.090000000000003</v>
          </cell>
        </row>
        <row r="3477">
          <cell r="B3477">
            <v>45037</v>
          </cell>
          <cell r="D3477">
            <v>83.394999999999996</v>
          </cell>
          <cell r="E3477">
            <v>80.75</v>
          </cell>
          <cell r="H3477">
            <v>69.09</v>
          </cell>
          <cell r="I3477">
            <v>91.15</v>
          </cell>
          <cell r="BS3477">
            <v>10.400000000000006</v>
          </cell>
        </row>
        <row r="3478">
          <cell r="B3478">
            <v>45040</v>
          </cell>
          <cell r="D3478">
            <v>84.26</v>
          </cell>
          <cell r="E3478">
            <v>80.900000000000006</v>
          </cell>
          <cell r="H3478">
            <v>69.650000000000006</v>
          </cell>
          <cell r="I3478">
            <v>90.8</v>
          </cell>
          <cell r="BS3478">
            <v>9.8999999999999915</v>
          </cell>
        </row>
        <row r="3479">
          <cell r="B3479">
            <v>45041</v>
          </cell>
          <cell r="D3479">
            <v>82.465000000000003</v>
          </cell>
          <cell r="E3479">
            <v>82.75</v>
          </cell>
          <cell r="H3479">
            <v>70.819999999999993</v>
          </cell>
          <cell r="I3479">
            <v>92.97</v>
          </cell>
          <cell r="BS3479">
            <v>10.219999999999999</v>
          </cell>
        </row>
        <row r="3480">
          <cell r="B3480">
            <v>45042</v>
          </cell>
          <cell r="D3480">
            <v>82.185000000000002</v>
          </cell>
          <cell r="E3480">
            <v>80.239999999999995</v>
          </cell>
          <cell r="H3480">
            <v>68.8</v>
          </cell>
          <cell r="I3480">
            <v>90.64</v>
          </cell>
          <cell r="BS3480">
            <v>10.400000000000006</v>
          </cell>
        </row>
        <row r="3481">
          <cell r="B3481">
            <v>45043</v>
          </cell>
          <cell r="D3481">
            <v>80.010000000000005</v>
          </cell>
          <cell r="E3481">
            <v>77.95</v>
          </cell>
          <cell r="H3481">
            <v>67.02</v>
          </cell>
          <cell r="I3481">
            <v>88.88</v>
          </cell>
          <cell r="BS3481">
            <v>10.929999999999993</v>
          </cell>
        </row>
        <row r="3482">
          <cell r="B3482">
            <v>45044</v>
          </cell>
          <cell r="D3482">
            <v>82.01</v>
          </cell>
          <cell r="E3482">
            <v>79.760000000000005</v>
          </cell>
          <cell r="H3482">
            <v>66.459999999999994</v>
          </cell>
          <cell r="I3482">
            <v>88.04</v>
          </cell>
          <cell r="BS3482">
            <v>8.2800000000000011</v>
          </cell>
        </row>
        <row r="3483">
          <cell r="B3483">
            <v>45047</v>
          </cell>
          <cell r="D3483" t="str">
            <v/>
          </cell>
          <cell r="E3483" t="str">
            <v/>
          </cell>
          <cell r="H3483">
            <v>0</v>
          </cell>
          <cell r="I3483">
            <v>0</v>
          </cell>
          <cell r="BS3483" t="e">
            <v>#N/A</v>
          </cell>
        </row>
        <row r="3484">
          <cell r="B3484">
            <v>45048</v>
          </cell>
          <cell r="D3484">
            <v>77.180000000000007</v>
          </cell>
          <cell r="E3484">
            <v>78.594999999999999</v>
          </cell>
          <cell r="H3484">
            <v>66.64</v>
          </cell>
          <cell r="I3484">
            <v>88.95</v>
          </cell>
          <cell r="BS3484">
            <v>10.355000000000004</v>
          </cell>
        </row>
        <row r="3485">
          <cell r="B3485">
            <v>45049</v>
          </cell>
          <cell r="D3485">
            <v>72.510000000000005</v>
          </cell>
          <cell r="E3485">
            <v>73.63</v>
          </cell>
          <cell r="H3485">
            <v>61.26</v>
          </cell>
          <cell r="I3485">
            <v>83.71</v>
          </cell>
          <cell r="BS3485">
            <v>10.079999999999998</v>
          </cell>
        </row>
        <row r="3486">
          <cell r="B3486">
            <v>45050</v>
          </cell>
          <cell r="D3486">
            <v>73.11</v>
          </cell>
          <cell r="E3486">
            <v>72.94</v>
          </cell>
          <cell r="H3486">
            <v>61.15</v>
          </cell>
          <cell r="I3486">
            <v>81.7</v>
          </cell>
          <cell r="BS3486">
            <v>8.7600000000000051</v>
          </cell>
        </row>
        <row r="3487">
          <cell r="B3487">
            <v>45051</v>
          </cell>
          <cell r="D3487">
            <v>75.78</v>
          </cell>
          <cell r="E3487">
            <v>73.25</v>
          </cell>
          <cell r="H3487">
            <v>61.1</v>
          </cell>
          <cell r="I3487">
            <v>81.92</v>
          </cell>
          <cell r="BS3487">
            <v>8.6700000000000017</v>
          </cell>
        </row>
        <row r="3488">
          <cell r="B3488">
            <v>45054</v>
          </cell>
          <cell r="D3488" t="str">
            <v/>
          </cell>
          <cell r="E3488">
            <v>76.16</v>
          </cell>
          <cell r="H3488">
            <v>63.92</v>
          </cell>
          <cell r="I3488">
            <v>84</v>
          </cell>
          <cell r="BS3488">
            <v>7.8400000000000034</v>
          </cell>
        </row>
        <row r="3489">
          <cell r="B3489">
            <v>45055</v>
          </cell>
          <cell r="D3489">
            <v>75.665000000000006</v>
          </cell>
          <cell r="E3489">
            <v>75.81</v>
          </cell>
          <cell r="H3489">
            <v>63.54</v>
          </cell>
          <cell r="I3489">
            <v>82.99</v>
          </cell>
          <cell r="BS3489">
            <v>7.1799999999999926</v>
          </cell>
        </row>
        <row r="3490">
          <cell r="B3490">
            <v>45056</v>
          </cell>
          <cell r="D3490">
            <v>77.325000000000003</v>
          </cell>
          <cell r="E3490">
            <v>75.72</v>
          </cell>
          <cell r="H3490">
            <v>62.88</v>
          </cell>
          <cell r="I3490">
            <v>84.47</v>
          </cell>
          <cell r="BS3490">
            <v>8.75</v>
          </cell>
        </row>
        <row r="3491">
          <cell r="B3491">
            <v>45057</v>
          </cell>
          <cell r="D3491">
            <v>76.185000000000002</v>
          </cell>
          <cell r="E3491">
            <v>76.19</v>
          </cell>
          <cell r="H3491">
            <v>62.96</v>
          </cell>
          <cell r="I3491">
            <v>85.82</v>
          </cell>
          <cell r="BS3491">
            <v>9.6299999999999955</v>
          </cell>
        </row>
        <row r="3492">
          <cell r="B3492">
            <v>45058</v>
          </cell>
          <cell r="D3492">
            <v>75.31</v>
          </cell>
          <cell r="E3492">
            <v>73.53</v>
          </cell>
          <cell r="H3492">
            <v>61.41</v>
          </cell>
          <cell r="I3492">
            <v>83.6</v>
          </cell>
          <cell r="BS3492">
            <v>10.069999999999993</v>
          </cell>
        </row>
        <row r="3493">
          <cell r="B3493">
            <v>45061</v>
          </cell>
          <cell r="D3493">
            <v>75.44</v>
          </cell>
          <cell r="E3493">
            <v>73.3</v>
          </cell>
          <cell r="H3493">
            <v>60.16</v>
          </cell>
          <cell r="I3493">
            <v>82.86</v>
          </cell>
          <cell r="BS3493">
            <v>9.5600000000000023</v>
          </cell>
        </row>
        <row r="3494">
          <cell r="B3494">
            <v>45062</v>
          </cell>
          <cell r="D3494">
            <v>75.144999999999996</v>
          </cell>
          <cell r="E3494">
            <v>74.55</v>
          </cell>
          <cell r="H3494">
            <v>60.52</v>
          </cell>
          <cell r="I3494">
            <v>83.93</v>
          </cell>
          <cell r="BS3494">
            <v>9.3800000000000097</v>
          </cell>
        </row>
        <row r="3495">
          <cell r="B3495">
            <v>45063</v>
          </cell>
          <cell r="D3495">
            <v>76.33</v>
          </cell>
          <cell r="E3495">
            <v>73.150000000000006</v>
          </cell>
          <cell r="H3495">
            <v>60.12</v>
          </cell>
          <cell r="I3495">
            <v>83.76</v>
          </cell>
          <cell r="BS3495">
            <v>10.61</v>
          </cell>
        </row>
        <row r="3496">
          <cell r="B3496">
            <v>45064</v>
          </cell>
          <cell r="D3496">
            <v>75.95</v>
          </cell>
          <cell r="E3496">
            <v>75.33</v>
          </cell>
          <cell r="H3496">
            <v>61.2</v>
          </cell>
          <cell r="I3496">
            <v>87.52</v>
          </cell>
          <cell r="BS3496">
            <v>12.189999999999998</v>
          </cell>
        </row>
        <row r="3497">
          <cell r="B3497">
            <v>45065</v>
          </cell>
          <cell r="D3497">
            <v>75.930000000000007</v>
          </cell>
          <cell r="E3497">
            <v>75.010000000000005</v>
          </cell>
          <cell r="H3497">
            <v>60.98</v>
          </cell>
          <cell r="I3497">
            <v>88.53</v>
          </cell>
          <cell r="BS3497">
            <v>13.519999999999996</v>
          </cell>
        </row>
        <row r="3498">
          <cell r="B3498">
            <v>45068</v>
          </cell>
          <cell r="D3498">
            <v>75.81</v>
          </cell>
          <cell r="E3498">
            <v>74.224999999999994</v>
          </cell>
          <cell r="H3498">
            <v>60.65</v>
          </cell>
          <cell r="I3498">
            <v>87.34</v>
          </cell>
          <cell r="BS3498">
            <v>13.115000000000009</v>
          </cell>
        </row>
        <row r="3499">
          <cell r="B3499">
            <v>45069</v>
          </cell>
          <cell r="D3499">
            <v>76.900000000000006</v>
          </cell>
          <cell r="E3499">
            <v>74.92</v>
          </cell>
          <cell r="H3499">
            <v>61.15</v>
          </cell>
          <cell r="I3499">
            <v>87.79</v>
          </cell>
          <cell r="BS3499">
            <v>12.870000000000005</v>
          </cell>
        </row>
        <row r="3500">
          <cell r="B3500">
            <v>45070</v>
          </cell>
          <cell r="D3500">
            <v>77.59</v>
          </cell>
          <cell r="E3500">
            <v>76.61</v>
          </cell>
          <cell r="H3500">
            <v>62.65</v>
          </cell>
          <cell r="I3500">
            <v>89.56</v>
          </cell>
          <cell r="BS3500">
            <v>12.950000000000003</v>
          </cell>
        </row>
        <row r="3501">
          <cell r="B3501">
            <v>45071</v>
          </cell>
          <cell r="D3501">
            <v>75.564999999999998</v>
          </cell>
          <cell r="E3501">
            <v>76.7</v>
          </cell>
          <cell r="H3501">
            <v>62.96</v>
          </cell>
          <cell r="I3501">
            <v>89.35</v>
          </cell>
          <cell r="BS3501">
            <v>12.649999999999991</v>
          </cell>
        </row>
        <row r="3502">
          <cell r="B3502">
            <v>45072</v>
          </cell>
          <cell r="D3502">
            <v>76.435000000000002</v>
          </cell>
          <cell r="E3502">
            <v>75.34</v>
          </cell>
          <cell r="H3502">
            <v>61.81</v>
          </cell>
          <cell r="I3502">
            <v>86.98</v>
          </cell>
          <cell r="BS3502">
            <v>11.64</v>
          </cell>
        </row>
        <row r="3503">
          <cell r="B3503">
            <v>45075</v>
          </cell>
          <cell r="D3503" t="str">
            <v/>
          </cell>
          <cell r="E3503">
            <v>76.25</v>
          </cell>
          <cell r="H3503">
            <v>62.64</v>
          </cell>
          <cell r="I3503">
            <v>87.43</v>
          </cell>
          <cell r="BS3503">
            <v>11.180000000000007</v>
          </cell>
        </row>
        <row r="3504">
          <cell r="B3504">
            <v>45076</v>
          </cell>
          <cell r="D3504">
            <v>73.98</v>
          </cell>
          <cell r="E3504">
            <v>74.930000000000007</v>
          </cell>
          <cell r="H3504">
            <v>61.61</v>
          </cell>
          <cell r="I3504">
            <v>86.66</v>
          </cell>
          <cell r="BS3504">
            <v>11.72999999999999</v>
          </cell>
        </row>
        <row r="3505">
          <cell r="B3505">
            <v>45077</v>
          </cell>
          <cell r="D3505">
            <v>72.885000000000005</v>
          </cell>
          <cell r="E3505">
            <v>72.22</v>
          </cell>
          <cell r="H3505">
            <v>59.54</v>
          </cell>
          <cell r="I3505">
            <v>84.39</v>
          </cell>
          <cell r="BS3505">
            <v>12.170000000000002</v>
          </cell>
        </row>
        <row r="3506">
          <cell r="B3506">
            <v>45078</v>
          </cell>
          <cell r="D3506">
            <v>74.605000000000004</v>
          </cell>
          <cell r="E3506">
            <v>71.680000000000007</v>
          </cell>
          <cell r="H3506">
            <v>58.84</v>
          </cell>
          <cell r="I3506">
            <v>84.29</v>
          </cell>
          <cell r="BS3506">
            <v>12.61</v>
          </cell>
        </row>
        <row r="3507">
          <cell r="B3507">
            <v>45079</v>
          </cell>
          <cell r="D3507">
            <v>76.06</v>
          </cell>
          <cell r="E3507" t="str">
            <v/>
          </cell>
          <cell r="H3507">
            <v>0</v>
          </cell>
          <cell r="I3507">
            <v>0</v>
          </cell>
          <cell r="BS3507" t="e">
            <v>#N/A</v>
          </cell>
        </row>
        <row r="3508">
          <cell r="B3508">
            <v>45082</v>
          </cell>
          <cell r="D3508">
            <v>77.305000000000007</v>
          </cell>
          <cell r="E3508">
            <v>76.44</v>
          </cell>
          <cell r="H3508">
            <v>61.91</v>
          </cell>
          <cell r="I3508">
            <v>88.88</v>
          </cell>
          <cell r="BS3508">
            <v>12.439999999999998</v>
          </cell>
        </row>
        <row r="3509">
          <cell r="B3509">
            <v>45083</v>
          </cell>
          <cell r="D3509">
            <v>76.290000000000006</v>
          </cell>
          <cell r="E3509">
            <v>74.3</v>
          </cell>
          <cell r="H3509">
            <v>59.89</v>
          </cell>
          <cell r="I3509">
            <v>86.33</v>
          </cell>
          <cell r="BS3509">
            <v>12.030000000000001</v>
          </cell>
        </row>
        <row r="3510">
          <cell r="B3510">
            <v>45084</v>
          </cell>
          <cell r="D3510">
            <v>76.704999999999998</v>
          </cell>
          <cell r="E3510">
            <v>75.2</v>
          </cell>
          <cell r="H3510">
            <v>59.88</v>
          </cell>
          <cell r="I3510">
            <v>87.67</v>
          </cell>
          <cell r="BS3510">
            <v>12.469999999999999</v>
          </cell>
        </row>
        <row r="3511">
          <cell r="B3511">
            <v>45085</v>
          </cell>
          <cell r="D3511">
            <v>75.650000000000006</v>
          </cell>
          <cell r="E3511">
            <v>76.144999999999996</v>
          </cell>
          <cell r="H3511">
            <v>60.11</v>
          </cell>
          <cell r="I3511">
            <v>90.07</v>
          </cell>
          <cell r="BS3511">
            <v>13.924999999999997</v>
          </cell>
        </row>
        <row r="3512">
          <cell r="B3512">
            <v>45086</v>
          </cell>
          <cell r="D3512">
            <v>75.680000000000007</v>
          </cell>
          <cell r="E3512">
            <v>75.2</v>
          </cell>
          <cell r="H3512">
            <v>58.43</v>
          </cell>
          <cell r="I3512">
            <v>90.18</v>
          </cell>
          <cell r="BS3512">
            <v>14.980000000000004</v>
          </cell>
        </row>
        <row r="3513">
          <cell r="B3513">
            <v>45089</v>
          </cell>
          <cell r="D3513">
            <v>72.459999999999994</v>
          </cell>
          <cell r="E3513">
            <v>72.39</v>
          </cell>
          <cell r="H3513">
            <v>57.13</v>
          </cell>
          <cell r="I3513">
            <v>88.17</v>
          </cell>
          <cell r="BS3513">
            <v>15.780000000000001</v>
          </cell>
        </row>
        <row r="3514">
          <cell r="B3514">
            <v>45090</v>
          </cell>
          <cell r="D3514">
            <v>73.944999999999993</v>
          </cell>
          <cell r="E3514">
            <v>71.959999999999994</v>
          </cell>
          <cell r="H3514">
            <v>56.16</v>
          </cell>
          <cell r="I3514">
            <v>85.93</v>
          </cell>
          <cell r="BS3514">
            <v>13.970000000000013</v>
          </cell>
        </row>
        <row r="3515">
          <cell r="B3515">
            <v>45091</v>
          </cell>
          <cell r="D3515">
            <v>73.864999999999995</v>
          </cell>
          <cell r="E3515">
            <v>74.599999999999994</v>
          </cell>
          <cell r="H3515">
            <v>57.69</v>
          </cell>
          <cell r="I3515">
            <v>87.81</v>
          </cell>
          <cell r="BS3515">
            <v>13.210000000000008</v>
          </cell>
        </row>
        <row r="3516">
          <cell r="B3516">
            <v>45092</v>
          </cell>
          <cell r="D3516">
            <v>74.510000000000005</v>
          </cell>
          <cell r="E3516">
            <v>73.349999999999994</v>
          </cell>
          <cell r="H3516">
            <v>55.98</v>
          </cell>
          <cell r="I3516">
            <v>86.8</v>
          </cell>
          <cell r="BS3516">
            <v>13.450000000000003</v>
          </cell>
        </row>
        <row r="3517">
          <cell r="B3517">
            <v>45093</v>
          </cell>
          <cell r="D3517">
            <v>75.254999999999995</v>
          </cell>
          <cell r="E3517">
            <v>75.45</v>
          </cell>
          <cell r="H3517">
            <v>56.87</v>
          </cell>
          <cell r="I3517">
            <v>89.14</v>
          </cell>
          <cell r="BS3517">
            <v>13.689999999999998</v>
          </cell>
        </row>
        <row r="3518">
          <cell r="B3518">
            <v>45096</v>
          </cell>
          <cell r="D3518">
            <v>75.47</v>
          </cell>
          <cell r="E3518">
            <v>76.290000000000006</v>
          </cell>
          <cell r="H3518">
            <v>55.88</v>
          </cell>
          <cell r="I3518">
            <v>89.63</v>
          </cell>
          <cell r="BS3518">
            <v>13.339999999999989</v>
          </cell>
        </row>
        <row r="3519">
          <cell r="B3519">
            <v>45097</v>
          </cell>
          <cell r="D3519">
            <v>74.495000000000005</v>
          </cell>
          <cell r="E3519">
            <v>77.45</v>
          </cell>
          <cell r="H3519">
            <v>56.43</v>
          </cell>
          <cell r="I3519">
            <v>89.16</v>
          </cell>
          <cell r="BS3519">
            <v>11.709999999999994</v>
          </cell>
        </row>
        <row r="3520">
          <cell r="B3520">
            <v>45098</v>
          </cell>
          <cell r="D3520">
            <v>76.45</v>
          </cell>
          <cell r="E3520">
            <v>76.95</v>
          </cell>
          <cell r="H3520">
            <v>55.91</v>
          </cell>
          <cell r="I3520">
            <v>88.48</v>
          </cell>
          <cell r="BS3520">
            <v>11.530000000000001</v>
          </cell>
        </row>
        <row r="3521">
          <cell r="B3521">
            <v>45099</v>
          </cell>
          <cell r="D3521">
            <v>73.784999999999997</v>
          </cell>
          <cell r="E3521">
            <v>77.45</v>
          </cell>
          <cell r="H3521">
            <v>55.71</v>
          </cell>
          <cell r="I3521">
            <v>88.6</v>
          </cell>
          <cell r="BS3521">
            <v>11.149999999999991</v>
          </cell>
        </row>
        <row r="3522">
          <cell r="B3522">
            <v>45100</v>
          </cell>
          <cell r="D3522">
            <v>73.114999999999995</v>
          </cell>
          <cell r="E3522">
            <v>74.099999999999994</v>
          </cell>
          <cell r="H3522">
            <v>52.51</v>
          </cell>
          <cell r="I3522">
            <v>85.6</v>
          </cell>
          <cell r="BS3522">
            <v>11.5</v>
          </cell>
        </row>
        <row r="3523">
          <cell r="B3523">
            <v>45103</v>
          </cell>
          <cell r="D3523">
            <v>73.55</v>
          </cell>
          <cell r="E3523">
            <v>74.5</v>
          </cell>
          <cell r="H3523">
            <v>53.15</v>
          </cell>
          <cell r="I3523">
            <v>85.45</v>
          </cell>
          <cell r="BS3523">
            <v>10.950000000000003</v>
          </cell>
        </row>
        <row r="3524">
          <cell r="B3524">
            <v>45104</v>
          </cell>
          <cell r="D3524">
            <v>72.790000000000006</v>
          </cell>
          <cell r="E3524">
            <v>75.489999999999995</v>
          </cell>
          <cell r="H3524">
            <v>53.74</v>
          </cell>
          <cell r="I3524">
            <v>86.4</v>
          </cell>
          <cell r="BS3524">
            <v>10.910000000000011</v>
          </cell>
        </row>
        <row r="3525">
          <cell r="B3525">
            <v>45105</v>
          </cell>
          <cell r="D3525">
            <v>73.325000000000003</v>
          </cell>
          <cell r="E3525">
            <v>74.25</v>
          </cell>
          <cell r="H3525">
            <v>54.25</v>
          </cell>
          <cell r="I3525">
            <v>85.4</v>
          </cell>
          <cell r="BS3525">
            <v>11.150000000000006</v>
          </cell>
        </row>
        <row r="3526">
          <cell r="B3526">
            <v>45106</v>
          </cell>
          <cell r="D3526">
            <v>73.034999999999997</v>
          </cell>
          <cell r="E3526" t="str">
            <v/>
          </cell>
          <cell r="H3526">
            <v>0</v>
          </cell>
          <cell r="I3526">
            <v>0</v>
          </cell>
          <cell r="BS3526" t="e">
            <v>#N/A</v>
          </cell>
        </row>
        <row r="3527">
          <cell r="B3527">
            <v>45107</v>
          </cell>
          <cell r="D3527">
            <v>74.965000000000003</v>
          </cell>
          <cell r="E3527">
            <v>76.64</v>
          </cell>
          <cell r="H3527">
            <v>56.8</v>
          </cell>
          <cell r="I3527">
            <v>87.54</v>
          </cell>
          <cell r="BS3527">
            <v>10.900000000000006</v>
          </cell>
        </row>
        <row r="3528">
          <cell r="B3528">
            <v>45110</v>
          </cell>
          <cell r="D3528">
            <v>75.53</v>
          </cell>
          <cell r="E3528">
            <v>75.2</v>
          </cell>
          <cell r="H3528">
            <v>56.8</v>
          </cell>
          <cell r="I3528">
            <v>86.14</v>
          </cell>
          <cell r="BS3528">
            <v>10.939999999999998</v>
          </cell>
        </row>
        <row r="3529">
          <cell r="B3529">
            <v>45111</v>
          </cell>
          <cell r="D3529">
            <v>75.995000000000005</v>
          </cell>
          <cell r="E3529">
            <v>75.194999999999993</v>
          </cell>
          <cell r="H3529">
            <v>56.43</v>
          </cell>
          <cell r="I3529">
            <v>84.26</v>
          </cell>
          <cell r="BS3529">
            <v>9.0650000000000119</v>
          </cell>
        </row>
        <row r="3530">
          <cell r="B3530">
            <v>45112</v>
          </cell>
          <cell r="D3530">
            <v>76.855000000000004</v>
          </cell>
          <cell r="E3530">
            <v>75.430000000000007</v>
          </cell>
          <cell r="H3530">
            <v>56.31</v>
          </cell>
          <cell r="I3530">
            <v>83.76</v>
          </cell>
          <cell r="BS3530">
            <v>8.3299999999999983</v>
          </cell>
        </row>
        <row r="3531">
          <cell r="B3531">
            <v>45113</v>
          </cell>
          <cell r="D3531">
            <v>75.584999999999994</v>
          </cell>
          <cell r="E3531">
            <v>77.3</v>
          </cell>
          <cell r="H3531">
            <v>57.95</v>
          </cell>
          <cell r="I3531">
            <v>85.26</v>
          </cell>
          <cell r="BS3531">
            <v>7.960000000000008</v>
          </cell>
        </row>
        <row r="3532">
          <cell r="B3532">
            <v>45114</v>
          </cell>
          <cell r="D3532">
            <v>77.94</v>
          </cell>
          <cell r="E3532">
            <v>77.849999999999994</v>
          </cell>
          <cell r="H3532">
            <v>58.7</v>
          </cell>
          <cell r="I3532">
            <v>87.57</v>
          </cell>
          <cell r="BS3532">
            <v>9.7199999999999989</v>
          </cell>
        </row>
        <row r="3533">
          <cell r="B3533">
            <v>45117</v>
          </cell>
          <cell r="D3533">
            <v>78.790000000000006</v>
          </cell>
          <cell r="E3533">
            <v>78.27</v>
          </cell>
          <cell r="H3533">
            <v>60.19</v>
          </cell>
          <cell r="I3533">
            <v>87.39</v>
          </cell>
          <cell r="BS3533">
            <v>9.1200000000000045</v>
          </cell>
        </row>
        <row r="3534">
          <cell r="B3534">
            <v>45118</v>
          </cell>
          <cell r="D3534">
            <v>79.53</v>
          </cell>
          <cell r="E3534">
            <v>78.8</v>
          </cell>
          <cell r="H3534">
            <v>61.24</v>
          </cell>
          <cell r="I3534">
            <v>89.4</v>
          </cell>
          <cell r="BS3534">
            <v>10.600000000000009</v>
          </cell>
        </row>
        <row r="3535">
          <cell r="B3535">
            <v>45119</v>
          </cell>
          <cell r="D3535">
            <v>80.25</v>
          </cell>
          <cell r="E3535">
            <v>79.900000000000006</v>
          </cell>
          <cell r="H3535">
            <v>61.8</v>
          </cell>
          <cell r="I3535">
            <v>91.01</v>
          </cell>
          <cell r="BS3535">
            <v>11.11</v>
          </cell>
        </row>
        <row r="3536">
          <cell r="B3536">
            <v>45120</v>
          </cell>
          <cell r="D3536">
            <v>80.37</v>
          </cell>
          <cell r="E3536">
            <v>81.099999999999994</v>
          </cell>
          <cell r="H3536">
            <v>62.83</v>
          </cell>
          <cell r="I3536">
            <v>92.77</v>
          </cell>
          <cell r="BS3536">
            <v>11.670000000000002</v>
          </cell>
        </row>
        <row r="3537">
          <cell r="B3537">
            <v>45121</v>
          </cell>
          <cell r="D3537">
            <v>79.795000000000002</v>
          </cell>
          <cell r="E3537">
            <v>81.94</v>
          </cell>
          <cell r="H3537">
            <v>64.069999999999993</v>
          </cell>
          <cell r="I3537">
            <v>93.85</v>
          </cell>
          <cell r="BS3537">
            <v>11.909999999999997</v>
          </cell>
        </row>
        <row r="3538">
          <cell r="B3538">
            <v>45124</v>
          </cell>
          <cell r="D3538">
            <v>78.635000000000005</v>
          </cell>
          <cell r="E3538">
            <v>79.459999999999994</v>
          </cell>
          <cell r="H3538">
            <v>61.12</v>
          </cell>
          <cell r="I3538">
            <v>92.6</v>
          </cell>
          <cell r="BS3538">
            <v>13.14</v>
          </cell>
        </row>
        <row r="3539">
          <cell r="B3539">
            <v>45125</v>
          </cell>
          <cell r="D3539">
            <v>79.41</v>
          </cell>
          <cell r="E3539">
            <v>79.599999999999994</v>
          </cell>
          <cell r="H3539">
            <v>60.03</v>
          </cell>
          <cell r="I3539">
            <v>94.4</v>
          </cell>
          <cell r="BS3539">
            <v>14.800000000000011</v>
          </cell>
        </row>
        <row r="3540">
          <cell r="B3540">
            <v>45126</v>
          </cell>
          <cell r="D3540">
            <v>80.209999999999994</v>
          </cell>
          <cell r="E3540">
            <v>81</v>
          </cell>
          <cell r="H3540">
            <v>62.15</v>
          </cell>
          <cell r="I3540">
            <v>94.48</v>
          </cell>
          <cell r="BS3540">
            <v>13.480000000000004</v>
          </cell>
        </row>
        <row r="3541">
          <cell r="B3541">
            <v>45127</v>
          </cell>
          <cell r="D3541">
            <v>79.114999999999995</v>
          </cell>
          <cell r="E3541">
            <v>81.05</v>
          </cell>
          <cell r="H3541">
            <v>63.23</v>
          </cell>
          <cell r="I3541">
            <v>96.45</v>
          </cell>
          <cell r="BS3541">
            <v>15.400000000000006</v>
          </cell>
        </row>
        <row r="3542">
          <cell r="B3542">
            <v>45128</v>
          </cell>
          <cell r="D3542">
            <v>80.364999999999995</v>
          </cell>
          <cell r="E3542">
            <v>81.739999999999995</v>
          </cell>
          <cell r="H3542">
            <v>63.53</v>
          </cell>
          <cell r="I3542">
            <v>97.81</v>
          </cell>
          <cell r="BS3542">
            <v>16.070000000000007</v>
          </cell>
        </row>
        <row r="3543">
          <cell r="B3543">
            <v>45131</v>
          </cell>
          <cell r="D3543">
            <v>82.465000000000003</v>
          </cell>
          <cell r="E3543">
            <v>82.51</v>
          </cell>
          <cell r="H3543">
            <v>63.77</v>
          </cell>
          <cell r="I3543">
            <v>99.46</v>
          </cell>
          <cell r="BS3543">
            <v>16.949999999999989</v>
          </cell>
        </row>
        <row r="3544">
          <cell r="B3544">
            <v>45132</v>
          </cell>
          <cell r="D3544">
            <v>82.935000000000002</v>
          </cell>
          <cell r="E3544">
            <v>84.254999999999995</v>
          </cell>
          <cell r="H3544">
            <v>64.39</v>
          </cell>
          <cell r="I3544">
            <v>99.18</v>
          </cell>
          <cell r="BS3544">
            <v>14.925000000000011</v>
          </cell>
        </row>
        <row r="3545">
          <cell r="B3545">
            <v>45133</v>
          </cell>
          <cell r="D3545">
            <v>83.82</v>
          </cell>
          <cell r="E3545">
            <v>84.3</v>
          </cell>
          <cell r="H3545">
            <v>65.12</v>
          </cell>
          <cell r="I3545">
            <v>98.73</v>
          </cell>
          <cell r="BS3545">
            <v>14.430000000000007</v>
          </cell>
        </row>
        <row r="3546">
          <cell r="B3546">
            <v>45134</v>
          </cell>
          <cell r="D3546">
            <v>83.834999999999994</v>
          </cell>
          <cell r="E3546">
            <v>84.1</v>
          </cell>
          <cell r="H3546">
            <v>66.45</v>
          </cell>
          <cell r="I3546">
            <v>100.61</v>
          </cell>
          <cell r="BS3546">
            <v>16.510000000000005</v>
          </cell>
        </row>
        <row r="3547">
          <cell r="B3547">
            <v>45135</v>
          </cell>
          <cell r="D3547">
            <v>83.995000000000005</v>
          </cell>
          <cell r="E3547">
            <v>84.7</v>
          </cell>
          <cell r="H3547">
            <v>67.92</v>
          </cell>
          <cell r="I3547">
            <v>100.82</v>
          </cell>
          <cell r="BS3547">
            <v>16.11999999999999</v>
          </cell>
        </row>
        <row r="3548">
          <cell r="B3548">
            <v>45138</v>
          </cell>
          <cell r="D3548">
            <v>85.655000000000001</v>
          </cell>
          <cell r="E3548">
            <v>85.644999999999996</v>
          </cell>
          <cell r="H3548">
            <v>69.900000000000006</v>
          </cell>
          <cell r="I3548">
            <v>101.21</v>
          </cell>
          <cell r="BS3548">
            <v>15.564999999999998</v>
          </cell>
        </row>
        <row r="3549">
          <cell r="B3549">
            <v>45139</v>
          </cell>
          <cell r="D3549">
            <v>85.275000000000006</v>
          </cell>
          <cell r="E3549">
            <v>85.84</v>
          </cell>
          <cell r="H3549">
            <v>69.650000000000006</v>
          </cell>
          <cell r="I3549">
            <v>102.06</v>
          </cell>
          <cell r="BS3549">
            <v>16.22</v>
          </cell>
        </row>
        <row r="3550">
          <cell r="B3550">
            <v>45140</v>
          </cell>
          <cell r="D3550">
            <v>84.174999999999997</v>
          </cell>
          <cell r="E3550">
            <v>86.305000000000007</v>
          </cell>
          <cell r="H3550">
            <v>70.22</v>
          </cell>
          <cell r="I3550">
            <v>99.62</v>
          </cell>
          <cell r="BS3550">
            <v>13.314999999999998</v>
          </cell>
        </row>
        <row r="3551">
          <cell r="B3551">
            <v>45141</v>
          </cell>
          <cell r="D3551">
            <v>85.8</v>
          </cell>
          <cell r="E3551">
            <v>83.98</v>
          </cell>
          <cell r="H3551">
            <v>68.150000000000006</v>
          </cell>
          <cell r="I3551">
            <v>95.17</v>
          </cell>
          <cell r="BS3551">
            <v>11.189999999999998</v>
          </cell>
        </row>
        <row r="3552">
          <cell r="B3552">
            <v>45142</v>
          </cell>
          <cell r="D3552">
            <v>86.86</v>
          </cell>
          <cell r="E3552">
            <v>87.105000000000004</v>
          </cell>
          <cell r="H3552">
            <v>69.75</v>
          </cell>
          <cell r="I3552">
            <v>97.75</v>
          </cell>
          <cell r="BS3552">
            <v>10.644999999999996</v>
          </cell>
        </row>
        <row r="3553">
          <cell r="B3553">
            <v>45145</v>
          </cell>
          <cell r="D3553">
            <v>86.55</v>
          </cell>
          <cell r="E3553">
            <v>87.74</v>
          </cell>
          <cell r="H3553">
            <v>70.25</v>
          </cell>
          <cell r="I3553">
            <v>98.98</v>
          </cell>
          <cell r="BS3553">
            <v>11.240000000000009</v>
          </cell>
        </row>
        <row r="3554">
          <cell r="B3554">
            <v>45146</v>
          </cell>
          <cell r="D3554">
            <v>86.655000000000001</v>
          </cell>
          <cell r="E3554">
            <v>87.1</v>
          </cell>
          <cell r="H3554">
            <v>70.59</v>
          </cell>
          <cell r="I3554">
            <v>98.9</v>
          </cell>
          <cell r="BS3554">
            <v>11.800000000000011</v>
          </cell>
        </row>
        <row r="3555">
          <cell r="B3555">
            <v>45147</v>
          </cell>
          <cell r="D3555">
            <v>88.454999999999998</v>
          </cell>
          <cell r="E3555" t="str">
            <v/>
          </cell>
          <cell r="H3555">
            <v>0</v>
          </cell>
          <cell r="I3555">
            <v>0</v>
          </cell>
          <cell r="BS3555" t="e">
            <v>#N/A</v>
          </cell>
        </row>
        <row r="3556">
          <cell r="B3556">
            <v>45148</v>
          </cell>
          <cell r="D3556">
            <v>88.27</v>
          </cell>
          <cell r="E3556">
            <v>89.04</v>
          </cell>
          <cell r="H3556">
            <v>72.37</v>
          </cell>
          <cell r="I3556">
            <v>104.97</v>
          </cell>
          <cell r="BS3556">
            <v>15.929999999999993</v>
          </cell>
        </row>
        <row r="3557">
          <cell r="B3557">
            <v>45149</v>
          </cell>
          <cell r="D3557">
            <v>88.424999999999997</v>
          </cell>
          <cell r="E3557">
            <v>87.89</v>
          </cell>
          <cell r="H3557">
            <v>70.72</v>
          </cell>
          <cell r="I3557">
            <v>103.58</v>
          </cell>
          <cell r="BS3557">
            <v>15.689999999999998</v>
          </cell>
        </row>
        <row r="3558">
          <cell r="B3558">
            <v>45152</v>
          </cell>
          <cell r="D3558">
            <v>87.814999999999998</v>
          </cell>
          <cell r="E3558">
            <v>87.6</v>
          </cell>
          <cell r="H3558">
            <v>70.61</v>
          </cell>
          <cell r="I3558">
            <v>104.56</v>
          </cell>
          <cell r="BS3558">
            <v>16.960000000000008</v>
          </cell>
        </row>
        <row r="3559">
          <cell r="B3559">
            <v>45153</v>
          </cell>
          <cell r="D3559">
            <v>86.194999999999993</v>
          </cell>
          <cell r="E3559">
            <v>87.15</v>
          </cell>
          <cell r="H3559">
            <v>69.58</v>
          </cell>
          <cell r="I3559">
            <v>103.49</v>
          </cell>
          <cell r="BS3559">
            <v>16.339999999999989</v>
          </cell>
        </row>
        <row r="3560">
          <cell r="B3560">
            <v>45154</v>
          </cell>
          <cell r="D3560">
            <v>86.11</v>
          </cell>
          <cell r="E3560">
            <v>86.05</v>
          </cell>
          <cell r="H3560">
            <v>68.709999999999994</v>
          </cell>
          <cell r="I3560">
            <v>102.39</v>
          </cell>
          <cell r="BS3560">
            <v>16.340000000000003</v>
          </cell>
        </row>
        <row r="3561">
          <cell r="B3561">
            <v>45155</v>
          </cell>
          <cell r="D3561">
            <v>86.03</v>
          </cell>
          <cell r="E3561">
            <v>84.95</v>
          </cell>
          <cell r="H3561">
            <v>68.5</v>
          </cell>
          <cell r="I3561">
            <v>101.66</v>
          </cell>
          <cell r="BS3561">
            <v>16.709999999999994</v>
          </cell>
        </row>
        <row r="3562">
          <cell r="B3562">
            <v>45156</v>
          </cell>
          <cell r="D3562">
            <v>85.76</v>
          </cell>
          <cell r="E3562">
            <v>85.4</v>
          </cell>
          <cell r="H3562">
            <v>68.89</v>
          </cell>
          <cell r="I3562">
            <v>100.9</v>
          </cell>
          <cell r="BS3562">
            <v>15.5</v>
          </cell>
        </row>
        <row r="3563">
          <cell r="B3563">
            <v>45159</v>
          </cell>
          <cell r="D3563">
            <v>86.4</v>
          </cell>
          <cell r="E3563">
            <v>86.94</v>
          </cell>
          <cell r="H3563">
            <v>70.39</v>
          </cell>
          <cell r="I3563">
            <v>101.81</v>
          </cell>
          <cell r="BS3563">
            <v>14.870000000000005</v>
          </cell>
        </row>
        <row r="3564">
          <cell r="B3564">
            <v>45160</v>
          </cell>
          <cell r="D3564">
            <v>85.32</v>
          </cell>
          <cell r="E3564">
            <v>85.75</v>
          </cell>
          <cell r="H3564">
            <v>69.94</v>
          </cell>
          <cell r="I3564">
            <v>101.6</v>
          </cell>
          <cell r="BS3564">
            <v>15.849999999999994</v>
          </cell>
        </row>
        <row r="3565">
          <cell r="B3565">
            <v>45161</v>
          </cell>
          <cell r="D3565">
            <v>84.14</v>
          </cell>
          <cell r="E3565">
            <v>85.35</v>
          </cell>
          <cell r="H3565">
            <v>69.88</v>
          </cell>
          <cell r="I3565">
            <v>103.29</v>
          </cell>
          <cell r="BS3565">
            <v>17.940000000000012</v>
          </cell>
        </row>
        <row r="3566">
          <cell r="B3566">
            <v>45162</v>
          </cell>
          <cell r="D3566">
            <v>83.974999999999994</v>
          </cell>
          <cell r="E3566">
            <v>85.1</v>
          </cell>
          <cell r="H3566">
            <v>70.650000000000006</v>
          </cell>
          <cell r="I3566">
            <v>103.33</v>
          </cell>
          <cell r="BS3566">
            <v>18.230000000000004</v>
          </cell>
        </row>
        <row r="3567">
          <cell r="B3567">
            <v>45163</v>
          </cell>
          <cell r="D3567">
            <v>85.234999999999999</v>
          </cell>
          <cell r="E3567">
            <v>86.2</v>
          </cell>
          <cell r="H3567">
            <v>71.09</v>
          </cell>
          <cell r="I3567">
            <v>104.98</v>
          </cell>
          <cell r="BS3567">
            <v>18.78</v>
          </cell>
        </row>
        <row r="3568">
          <cell r="B3568">
            <v>45166</v>
          </cell>
          <cell r="D3568" t="str">
            <v/>
          </cell>
          <cell r="E3568">
            <v>86.3</v>
          </cell>
          <cell r="H3568">
            <v>71.290000000000006</v>
          </cell>
          <cell r="I3568">
            <v>104.77</v>
          </cell>
          <cell r="BS3568">
            <v>18.47</v>
          </cell>
        </row>
        <row r="3569">
          <cell r="B3569">
            <v>45167</v>
          </cell>
          <cell r="D3569">
            <v>85.864999999999995</v>
          </cell>
          <cell r="E3569">
            <v>86.1</v>
          </cell>
          <cell r="H3569">
            <v>71.13</v>
          </cell>
          <cell r="I3569">
            <v>103.31</v>
          </cell>
          <cell r="BS3569">
            <v>17.210000000000008</v>
          </cell>
        </row>
        <row r="3570">
          <cell r="B3570">
            <v>45168</v>
          </cell>
          <cell r="D3570">
            <v>86.094999999999999</v>
          </cell>
          <cell r="E3570">
            <v>86.79</v>
          </cell>
          <cell r="H3570">
            <v>71.33</v>
          </cell>
          <cell r="I3570">
            <v>102.94</v>
          </cell>
          <cell r="BS3570">
            <v>16.149999999999991</v>
          </cell>
        </row>
        <row r="3571">
          <cell r="B3571">
            <v>45169</v>
          </cell>
          <cell r="D3571">
            <v>87.36</v>
          </cell>
          <cell r="E3571">
            <v>87.54</v>
          </cell>
          <cell r="H3571">
            <v>71.11</v>
          </cell>
          <cell r="I3571">
            <v>102.29</v>
          </cell>
          <cell r="BS3571">
            <v>14.75</v>
          </cell>
        </row>
        <row r="3572">
          <cell r="B3572">
            <v>45170</v>
          </cell>
          <cell r="D3572">
            <v>89.44</v>
          </cell>
          <cell r="E3572" t="str">
            <v/>
          </cell>
          <cell r="H3572">
            <v>0</v>
          </cell>
          <cell r="I3572">
            <v>0</v>
          </cell>
          <cell r="BS3572" t="e">
            <v>#N/A</v>
          </cell>
        </row>
        <row r="3573">
          <cell r="B3573">
            <v>45173</v>
          </cell>
          <cell r="D3573">
            <v>90.605000000000004</v>
          </cell>
          <cell r="E3573">
            <v>89.48</v>
          </cell>
          <cell r="H3573">
            <v>71.62</v>
          </cell>
          <cell r="I3573">
            <v>104.14</v>
          </cell>
          <cell r="BS3573">
            <v>14.659999999999997</v>
          </cell>
        </row>
        <row r="3574">
          <cell r="B3574">
            <v>45174</v>
          </cell>
          <cell r="D3574">
            <v>91.935000000000002</v>
          </cell>
          <cell r="E3574">
            <v>89.21</v>
          </cell>
          <cell r="H3574">
            <v>70.38</v>
          </cell>
          <cell r="I3574">
            <v>103.36</v>
          </cell>
          <cell r="BS3574">
            <v>14.150000000000006</v>
          </cell>
        </row>
        <row r="3575">
          <cell r="B3575">
            <v>45175</v>
          </cell>
          <cell r="D3575">
            <v>91.41</v>
          </cell>
          <cell r="E3575">
            <v>90.59</v>
          </cell>
          <cell r="H3575">
            <v>71.73</v>
          </cell>
          <cell r="I3575">
            <v>101.91</v>
          </cell>
          <cell r="BS3575">
            <v>11.319999999999993</v>
          </cell>
        </row>
        <row r="3576">
          <cell r="B3576">
            <v>45176</v>
          </cell>
          <cell r="D3576">
            <v>91.9</v>
          </cell>
          <cell r="E3576">
            <v>91.495000000000005</v>
          </cell>
          <cell r="H3576">
            <v>72.599999999999994</v>
          </cell>
          <cell r="I3576">
            <v>103.16</v>
          </cell>
          <cell r="BS3576">
            <v>11.664999999999992</v>
          </cell>
        </row>
        <row r="3577">
          <cell r="B3577">
            <v>45177</v>
          </cell>
          <cell r="D3577">
            <v>92.394999999999996</v>
          </cell>
          <cell r="E3577">
            <v>91.09</v>
          </cell>
          <cell r="H3577">
            <v>72.61</v>
          </cell>
          <cell r="I3577">
            <v>104.16</v>
          </cell>
          <cell r="BS3577">
            <v>13.069999999999993</v>
          </cell>
        </row>
        <row r="3578">
          <cell r="B3578">
            <v>45180</v>
          </cell>
          <cell r="D3578">
            <v>92.02</v>
          </cell>
          <cell r="E3578">
            <v>91.6</v>
          </cell>
          <cell r="H3578">
            <v>73.819999999999993</v>
          </cell>
          <cell r="I3578">
            <v>104.67</v>
          </cell>
          <cell r="BS3578">
            <v>13.070000000000007</v>
          </cell>
        </row>
        <row r="3579">
          <cell r="B3579">
            <v>45181</v>
          </cell>
          <cell r="D3579">
            <v>93.6</v>
          </cell>
          <cell r="E3579">
            <v>92.35</v>
          </cell>
          <cell r="H3579">
            <v>75.260000000000005</v>
          </cell>
          <cell r="I3579">
            <v>106.16</v>
          </cell>
          <cell r="BS3579">
            <v>13.810000000000002</v>
          </cell>
        </row>
        <row r="3580">
          <cell r="B3580">
            <v>45182</v>
          </cell>
          <cell r="D3580">
            <v>93.385000000000005</v>
          </cell>
          <cell r="E3580">
            <v>93.9</v>
          </cell>
          <cell r="H3580">
            <v>75.88</v>
          </cell>
          <cell r="I3580">
            <v>107.2</v>
          </cell>
          <cell r="BS3580">
            <v>13.299999999999997</v>
          </cell>
        </row>
        <row r="3581">
          <cell r="B3581">
            <v>45183</v>
          </cell>
          <cell r="D3581">
            <v>95.105000000000004</v>
          </cell>
          <cell r="E3581">
            <v>93.85</v>
          </cell>
          <cell r="H3581">
            <v>75.180000000000007</v>
          </cell>
          <cell r="I3581">
            <v>108.81</v>
          </cell>
          <cell r="BS3581">
            <v>14.960000000000008</v>
          </cell>
        </row>
        <row r="3582">
          <cell r="B3582">
            <v>45184</v>
          </cell>
          <cell r="D3582">
            <v>95.14</v>
          </cell>
          <cell r="E3582">
            <v>95.55</v>
          </cell>
          <cell r="H3582">
            <v>75.22</v>
          </cell>
          <cell r="I3582">
            <v>111.75</v>
          </cell>
          <cell r="BS3582">
            <v>16.200000000000003</v>
          </cell>
        </row>
        <row r="3583">
          <cell r="B3583">
            <v>45187</v>
          </cell>
          <cell r="D3583">
            <v>96.24</v>
          </cell>
          <cell r="E3583">
            <v>95.21</v>
          </cell>
          <cell r="H3583">
            <v>75.040000000000006</v>
          </cell>
          <cell r="I3583">
            <v>110.42</v>
          </cell>
          <cell r="BS3583">
            <v>15.210000000000008</v>
          </cell>
        </row>
        <row r="3584">
          <cell r="B3584">
            <v>45188</v>
          </cell>
          <cell r="D3584">
            <v>96.864999999999995</v>
          </cell>
          <cell r="E3584">
            <v>95.2</v>
          </cell>
          <cell r="H3584">
            <v>75.650000000000006</v>
          </cell>
          <cell r="I3584">
            <v>108.68</v>
          </cell>
          <cell r="BS3584">
            <v>13.480000000000004</v>
          </cell>
        </row>
        <row r="3585">
          <cell r="B3585">
            <v>45189</v>
          </cell>
          <cell r="D3585">
            <v>95.724999999999994</v>
          </cell>
          <cell r="E3585">
            <v>93.86</v>
          </cell>
          <cell r="H3585">
            <v>74.45</v>
          </cell>
          <cell r="I3585">
            <v>105.91</v>
          </cell>
          <cell r="BS3585">
            <v>12.049999999999997</v>
          </cell>
        </row>
        <row r="3586">
          <cell r="B3586">
            <v>45190</v>
          </cell>
          <cell r="D3586">
            <v>94.5</v>
          </cell>
          <cell r="E3586">
            <v>93.24</v>
          </cell>
          <cell r="H3586">
            <v>74.27</v>
          </cell>
          <cell r="I3586">
            <v>103.74</v>
          </cell>
          <cell r="BS3586">
            <v>10.5</v>
          </cell>
        </row>
        <row r="3587">
          <cell r="B3587">
            <v>45191</v>
          </cell>
          <cell r="D3587">
            <v>94.224999999999994</v>
          </cell>
          <cell r="E3587">
            <v>94.3</v>
          </cell>
          <cell r="H3587">
            <v>75.92</v>
          </cell>
          <cell r="I3587">
            <v>103.78</v>
          </cell>
          <cell r="BS3587">
            <v>9.480000000000004</v>
          </cell>
        </row>
        <row r="3588">
          <cell r="B3588">
            <v>45194</v>
          </cell>
          <cell r="D3588">
            <v>93.4</v>
          </cell>
          <cell r="E3588">
            <v>94.1</v>
          </cell>
          <cell r="H3588">
            <v>75.38</v>
          </cell>
          <cell r="I3588">
            <v>102.09</v>
          </cell>
          <cell r="BS3588">
            <v>7.9900000000000091</v>
          </cell>
        </row>
        <row r="3589">
          <cell r="B3589">
            <v>45195</v>
          </cell>
          <cell r="D3589">
            <v>94.135000000000005</v>
          </cell>
          <cell r="E3589">
            <v>92.84</v>
          </cell>
          <cell r="H3589">
            <v>73.81</v>
          </cell>
          <cell r="I3589">
            <v>100.03</v>
          </cell>
          <cell r="BS3589">
            <v>7.1899999999999977</v>
          </cell>
        </row>
        <row r="3590">
          <cell r="B3590">
            <v>45196</v>
          </cell>
          <cell r="D3590">
            <v>97.915000000000006</v>
          </cell>
          <cell r="E3590">
            <v>95.45</v>
          </cell>
          <cell r="H3590">
            <v>75.23</v>
          </cell>
          <cell r="I3590">
            <v>100.98</v>
          </cell>
          <cell r="BS3590">
            <v>5.5300000000000011</v>
          </cell>
        </row>
        <row r="3591">
          <cell r="B3591">
            <v>45197</v>
          </cell>
          <cell r="D3591">
            <v>97.77</v>
          </cell>
          <cell r="E3591">
            <v>96.77</v>
          </cell>
          <cell r="H3591">
            <v>75</v>
          </cell>
          <cell r="I3591">
            <v>101.51</v>
          </cell>
          <cell r="BS3591">
            <v>4.7400000000000091</v>
          </cell>
        </row>
        <row r="3592">
          <cell r="B3592">
            <v>45198</v>
          </cell>
          <cell r="D3592">
            <v>96.325000000000003</v>
          </cell>
          <cell r="E3592">
            <v>96.12</v>
          </cell>
          <cell r="H3592">
            <v>74</v>
          </cell>
          <cell r="I3592">
            <v>98.33</v>
          </cell>
          <cell r="BS3592">
            <v>2.2099999999999937</v>
          </cell>
        </row>
        <row r="3593">
          <cell r="B3593">
            <v>45201</v>
          </cell>
          <cell r="D3593">
            <v>94.555000000000007</v>
          </cell>
          <cell r="E3593">
            <v>93.11</v>
          </cell>
          <cell r="H3593">
            <v>74.25</v>
          </cell>
          <cell r="I3593">
            <v>95.44</v>
          </cell>
          <cell r="BS3593">
            <v>2.3299999999999983</v>
          </cell>
        </row>
        <row r="3594">
          <cell r="B3594">
            <v>45202</v>
          </cell>
          <cell r="D3594">
            <v>94.68</v>
          </cell>
          <cell r="E3594">
            <v>91.1</v>
          </cell>
          <cell r="H3594">
            <v>72.959999999999994</v>
          </cell>
          <cell r="I3594">
            <v>94.29</v>
          </cell>
          <cell r="BS3594">
            <v>3.1900000000000119</v>
          </cell>
        </row>
        <row r="3595">
          <cell r="B3595">
            <v>45203</v>
          </cell>
          <cell r="D3595">
            <v>91.674999999999997</v>
          </cell>
          <cell r="E3595">
            <v>90.67</v>
          </cell>
          <cell r="H3595">
            <v>71.760000000000005</v>
          </cell>
          <cell r="I3595">
            <v>91.44</v>
          </cell>
          <cell r="BS3595">
            <v>0.76999999999999602</v>
          </cell>
        </row>
        <row r="3596">
          <cell r="B3596">
            <v>45204</v>
          </cell>
          <cell r="D3596">
            <v>88.48</v>
          </cell>
          <cell r="E3596">
            <v>86.3</v>
          </cell>
          <cell r="H3596">
            <v>69.22</v>
          </cell>
          <cell r="I3596">
            <v>88.92</v>
          </cell>
          <cell r="BS3596">
            <v>2.6200000000000045</v>
          </cell>
        </row>
        <row r="3597">
          <cell r="B3597">
            <v>45205</v>
          </cell>
          <cell r="D3597">
            <v>88.2</v>
          </cell>
          <cell r="E3597">
            <v>84.84</v>
          </cell>
          <cell r="H3597">
            <v>67.989999999999995</v>
          </cell>
          <cell r="I3597">
            <v>88.93</v>
          </cell>
          <cell r="BS3597">
            <v>4.0900000000000034</v>
          </cell>
        </row>
        <row r="3598">
          <cell r="B3598">
            <v>45208</v>
          </cell>
          <cell r="D3598">
            <v>91.334999999999994</v>
          </cell>
          <cell r="E3598">
            <v>87.055000000000007</v>
          </cell>
          <cell r="H3598">
            <v>69.63</v>
          </cell>
          <cell r="I3598">
            <v>92.78</v>
          </cell>
          <cell r="BS3598">
            <v>5.7249999999999943</v>
          </cell>
        </row>
        <row r="3599">
          <cell r="B3599">
            <v>45209</v>
          </cell>
          <cell r="D3599">
            <v>90.71</v>
          </cell>
          <cell r="E3599">
            <v>88.495000000000005</v>
          </cell>
          <cell r="H3599">
            <v>69.78</v>
          </cell>
          <cell r="I3599">
            <v>92.48</v>
          </cell>
          <cell r="BS3599">
            <v>3.9849999999999994</v>
          </cell>
        </row>
        <row r="3600">
          <cell r="B3600">
            <v>45210</v>
          </cell>
          <cell r="D3600">
            <v>88.04</v>
          </cell>
          <cell r="E3600">
            <v>88.21</v>
          </cell>
          <cell r="H3600">
            <v>69.599999999999994</v>
          </cell>
          <cell r="I3600">
            <v>93.19</v>
          </cell>
          <cell r="BS3600">
            <v>4.980000000000004</v>
          </cell>
        </row>
        <row r="3601">
          <cell r="B3601">
            <v>45211</v>
          </cell>
          <cell r="D3601">
            <v>89.37</v>
          </cell>
          <cell r="E3601">
            <v>87.28</v>
          </cell>
          <cell r="H3601">
            <v>68.62</v>
          </cell>
          <cell r="I3601">
            <v>92.06</v>
          </cell>
          <cell r="BS3601">
            <v>4.7800000000000011</v>
          </cell>
        </row>
        <row r="3602">
          <cell r="B3602">
            <v>45212</v>
          </cell>
          <cell r="D3602">
            <v>92.734999999999999</v>
          </cell>
          <cell r="E3602">
            <v>88.91</v>
          </cell>
          <cell r="H3602">
            <v>68.930000000000007</v>
          </cell>
          <cell r="I3602">
            <v>92.62</v>
          </cell>
          <cell r="BS3602">
            <v>3.710000000000008</v>
          </cell>
        </row>
        <row r="3603">
          <cell r="B3603">
            <v>45215</v>
          </cell>
          <cell r="D3603">
            <v>93.05</v>
          </cell>
          <cell r="E3603">
            <v>91.14</v>
          </cell>
          <cell r="H3603">
            <v>69.569999999999993</v>
          </cell>
          <cell r="I3603">
            <v>93.52</v>
          </cell>
          <cell r="BS3603">
            <v>2.3799999999999955</v>
          </cell>
        </row>
        <row r="3604">
          <cell r="B3604">
            <v>45216</v>
          </cell>
          <cell r="D3604">
            <v>91.76</v>
          </cell>
          <cell r="E3604">
            <v>90.79</v>
          </cell>
          <cell r="H3604">
            <v>68.92</v>
          </cell>
          <cell r="I3604">
            <v>93.3</v>
          </cell>
          <cell r="BS3604">
            <v>2.5099999999999909</v>
          </cell>
        </row>
        <row r="3605">
          <cell r="B3605">
            <v>45217</v>
          </cell>
          <cell r="D3605">
            <v>93.055000000000007</v>
          </cell>
          <cell r="E3605">
            <v>92.49</v>
          </cell>
          <cell r="H3605">
            <v>71.16</v>
          </cell>
          <cell r="I3605">
            <v>95.78</v>
          </cell>
          <cell r="BS3605">
            <v>3.2900000000000063</v>
          </cell>
        </row>
        <row r="3606">
          <cell r="B3606">
            <v>45218</v>
          </cell>
          <cell r="D3606">
            <v>93.2</v>
          </cell>
          <cell r="E3606">
            <v>91.2</v>
          </cell>
          <cell r="H3606">
            <v>71.08</v>
          </cell>
          <cell r="I3606">
            <v>95.3</v>
          </cell>
          <cell r="BS3606">
            <v>4.0999999999999943</v>
          </cell>
        </row>
        <row r="3607">
          <cell r="B3607">
            <v>45219</v>
          </cell>
          <cell r="D3607">
            <v>95</v>
          </cell>
          <cell r="E3607">
            <v>93.45</v>
          </cell>
          <cell r="H3607">
            <v>72.84</v>
          </cell>
          <cell r="I3607">
            <v>96.39</v>
          </cell>
          <cell r="BS3607">
            <v>2.9399999999999977</v>
          </cell>
        </row>
        <row r="3608">
          <cell r="B3608">
            <v>45222</v>
          </cell>
          <cell r="D3608">
            <v>93.084999999999994</v>
          </cell>
          <cell r="E3608">
            <v>92.35</v>
          </cell>
          <cell r="H3608">
            <v>72.040000000000006</v>
          </cell>
          <cell r="I3608">
            <v>96.9</v>
          </cell>
          <cell r="BS3608">
            <v>4.5500000000000114</v>
          </cell>
        </row>
        <row r="3609">
          <cell r="B3609">
            <v>45223</v>
          </cell>
          <cell r="D3609">
            <v>88.46</v>
          </cell>
          <cell r="E3609">
            <v>90.5</v>
          </cell>
          <cell r="H3609">
            <v>70.7</v>
          </cell>
          <cell r="I3609">
            <v>94.84</v>
          </cell>
          <cell r="BS3609">
            <v>4.3400000000000034</v>
          </cell>
        </row>
        <row r="3610">
          <cell r="B3610">
            <v>45224</v>
          </cell>
          <cell r="D3610">
            <v>89.04</v>
          </cell>
          <cell r="E3610">
            <v>89.04</v>
          </cell>
          <cell r="H3610">
            <v>70.02</v>
          </cell>
          <cell r="I3610">
            <v>94.48</v>
          </cell>
          <cell r="BS3610">
            <v>5.4399999999999977</v>
          </cell>
        </row>
        <row r="3611">
          <cell r="B3611">
            <v>45225</v>
          </cell>
          <cell r="D3611">
            <v>89.694999999999993</v>
          </cell>
          <cell r="E3611">
            <v>90.12</v>
          </cell>
          <cell r="H3611">
            <v>70.400000000000006</v>
          </cell>
          <cell r="I3611">
            <v>95.71</v>
          </cell>
          <cell r="BS3611">
            <v>5.5899999999999892</v>
          </cell>
        </row>
        <row r="3612">
          <cell r="B3612">
            <v>45226</v>
          </cell>
          <cell r="D3612">
            <v>89.23</v>
          </cell>
          <cell r="E3612">
            <v>89.745000000000005</v>
          </cell>
          <cell r="H3612">
            <v>69.84</v>
          </cell>
          <cell r="I3612">
            <v>96.69</v>
          </cell>
          <cell r="BS3612">
            <v>6.9449999999999932</v>
          </cell>
        </row>
        <row r="3613">
          <cell r="B3613">
            <v>45229</v>
          </cell>
          <cell r="D3613">
            <v>89</v>
          </cell>
          <cell r="E3613">
            <v>89.86</v>
          </cell>
          <cell r="H3613">
            <v>68.95</v>
          </cell>
          <cell r="I3613">
            <v>94.78</v>
          </cell>
          <cell r="BS3613">
            <v>4.9200000000000017</v>
          </cell>
        </row>
        <row r="3614">
          <cell r="B3614">
            <v>45230</v>
          </cell>
          <cell r="D3614">
            <v>88.674999999999997</v>
          </cell>
          <cell r="E3614">
            <v>88.06</v>
          </cell>
          <cell r="H3614">
            <v>68.53</v>
          </cell>
          <cell r="I3614">
            <v>93.32</v>
          </cell>
          <cell r="BS3614">
            <v>5.2599999999999909</v>
          </cell>
        </row>
        <row r="3615">
          <cell r="B3615">
            <v>45231</v>
          </cell>
          <cell r="D3615">
            <v>88.614999999999995</v>
          </cell>
          <cell r="E3615">
            <v>86.26</v>
          </cell>
          <cell r="H3615">
            <v>68.180000000000007</v>
          </cell>
          <cell r="I3615">
            <v>93.83</v>
          </cell>
          <cell r="BS3615">
            <v>7.5699999999999932</v>
          </cell>
        </row>
        <row r="3616">
          <cell r="B3616">
            <v>45232</v>
          </cell>
          <cell r="D3616">
            <v>88.525000000000006</v>
          </cell>
          <cell r="E3616">
            <v>86.944999999999993</v>
          </cell>
          <cell r="H3616">
            <v>68.430000000000007</v>
          </cell>
          <cell r="I3616">
            <v>94.32</v>
          </cell>
          <cell r="BS3616">
            <v>7.375</v>
          </cell>
        </row>
        <row r="3617">
          <cell r="B3617">
            <v>45233</v>
          </cell>
          <cell r="D3617">
            <v>88.015000000000001</v>
          </cell>
          <cell r="E3617">
            <v>88.245000000000005</v>
          </cell>
          <cell r="H3617">
            <v>69.849999999999994</v>
          </cell>
          <cell r="I3617">
            <v>96.1</v>
          </cell>
          <cell r="BS3617">
            <v>7.8549999999999898</v>
          </cell>
        </row>
        <row r="3618">
          <cell r="B3618">
            <v>45236</v>
          </cell>
          <cell r="D3618">
            <v>88.094999999999999</v>
          </cell>
          <cell r="E3618">
            <v>86.9</v>
          </cell>
          <cell r="H3618">
            <v>69.48</v>
          </cell>
          <cell r="I3618">
            <v>95.5</v>
          </cell>
          <cell r="BS3618">
            <v>8.5999999999999943</v>
          </cell>
        </row>
        <row r="3619">
          <cell r="B3619">
            <v>45237</v>
          </cell>
          <cell r="D3619">
            <v>84.71</v>
          </cell>
          <cell r="E3619">
            <v>85.045000000000002</v>
          </cell>
          <cell r="H3619">
            <v>68.13</v>
          </cell>
          <cell r="I3619">
            <v>93.65</v>
          </cell>
          <cell r="BS3619">
            <v>8.605000000000004</v>
          </cell>
        </row>
        <row r="3620">
          <cell r="B3620">
            <v>45238</v>
          </cell>
          <cell r="D3620">
            <v>82.31</v>
          </cell>
          <cell r="E3620">
            <v>82.75</v>
          </cell>
          <cell r="H3620">
            <v>67.319999999999993</v>
          </cell>
          <cell r="I3620">
            <v>92.57</v>
          </cell>
          <cell r="BS3620">
            <v>9.8199999999999932</v>
          </cell>
        </row>
        <row r="3621">
          <cell r="B3621">
            <v>45239</v>
          </cell>
          <cell r="D3621">
            <v>82.7</v>
          </cell>
          <cell r="E3621">
            <v>81.3</v>
          </cell>
          <cell r="H3621">
            <v>66.489999999999995</v>
          </cell>
          <cell r="I3621">
            <v>91.32</v>
          </cell>
          <cell r="BS3621">
            <v>10.019999999999996</v>
          </cell>
        </row>
        <row r="3622">
          <cell r="B3622">
            <v>45240</v>
          </cell>
          <cell r="D3622">
            <v>83.58</v>
          </cell>
          <cell r="E3622">
            <v>81.61</v>
          </cell>
          <cell r="H3622">
            <v>67.28</v>
          </cell>
          <cell r="I3622">
            <v>93</v>
          </cell>
          <cell r="BS3622">
            <v>11.39</v>
          </cell>
        </row>
        <row r="3623">
          <cell r="B3623">
            <v>45243</v>
          </cell>
          <cell r="D3623">
            <v>84.465000000000003</v>
          </cell>
          <cell r="E3623" t="str">
            <v/>
          </cell>
          <cell r="H3623">
            <v>0</v>
          </cell>
          <cell r="I3623">
            <v>0</v>
          </cell>
          <cell r="BS3623" t="e">
            <v>#N/A</v>
          </cell>
        </row>
        <row r="3624">
          <cell r="B3624">
            <v>45244</v>
          </cell>
          <cell r="D3624">
            <v>85.185000000000002</v>
          </cell>
          <cell r="E3624">
            <v>83.355000000000004</v>
          </cell>
          <cell r="H3624">
            <v>69.97</v>
          </cell>
          <cell r="I3624">
            <v>94.44</v>
          </cell>
          <cell r="BS3624">
            <v>11.084999999999994</v>
          </cell>
        </row>
        <row r="3625">
          <cell r="B3625">
            <v>45245</v>
          </cell>
          <cell r="D3625">
            <v>82.61</v>
          </cell>
          <cell r="E3625">
            <v>83.24</v>
          </cell>
          <cell r="H3625">
            <v>69.86</v>
          </cell>
          <cell r="I3625">
            <v>92.58</v>
          </cell>
          <cell r="BS3625">
            <v>9.3400000000000034</v>
          </cell>
        </row>
        <row r="3626">
          <cell r="B3626">
            <v>45246</v>
          </cell>
          <cell r="D3626">
            <v>78.144999999999996</v>
          </cell>
          <cell r="E3626">
            <v>81.680000000000007</v>
          </cell>
          <cell r="H3626">
            <v>69.39</v>
          </cell>
          <cell r="I3626">
            <v>90.92</v>
          </cell>
          <cell r="BS3626">
            <v>9.2399999999999949</v>
          </cell>
        </row>
        <row r="3627">
          <cell r="B3627">
            <v>45247</v>
          </cell>
          <cell r="D3627">
            <v>80.08</v>
          </cell>
          <cell r="E3627">
            <v>79.260000000000005</v>
          </cell>
          <cell r="H3627">
            <v>67.47</v>
          </cell>
          <cell r="I3627">
            <v>86.18</v>
          </cell>
          <cell r="BS3627">
            <v>6.9200000000000017</v>
          </cell>
        </row>
        <row r="3628">
          <cell r="B3628">
            <v>45250</v>
          </cell>
          <cell r="D3628">
            <v>83.33</v>
          </cell>
          <cell r="E3628">
            <v>82.8</v>
          </cell>
          <cell r="H3628">
            <v>69.41</v>
          </cell>
          <cell r="I3628">
            <v>90.2</v>
          </cell>
          <cell r="BS3628">
            <v>7.4000000000000057</v>
          </cell>
        </row>
        <row r="3629">
          <cell r="B3629">
            <v>45251</v>
          </cell>
          <cell r="D3629">
            <v>82.2</v>
          </cell>
          <cell r="E3629">
            <v>83.4</v>
          </cell>
          <cell r="H3629">
            <v>69.66</v>
          </cell>
          <cell r="I3629">
            <v>91.3</v>
          </cell>
          <cell r="BS3629">
            <v>7.8999999999999915</v>
          </cell>
        </row>
        <row r="3630">
          <cell r="B3630">
            <v>45252</v>
          </cell>
          <cell r="D3630">
            <v>79.48</v>
          </cell>
          <cell r="E3630">
            <v>84.2</v>
          </cell>
          <cell r="H3630">
            <v>70.77</v>
          </cell>
          <cell r="I3630">
            <v>92.07</v>
          </cell>
          <cell r="BS3630">
            <v>7.8699999999999903</v>
          </cell>
        </row>
        <row r="3631">
          <cell r="B3631">
            <v>45253</v>
          </cell>
          <cell r="D3631">
            <v>80.95</v>
          </cell>
          <cell r="E3631">
            <v>82.7</v>
          </cell>
          <cell r="H3631">
            <v>70.63</v>
          </cell>
          <cell r="I3631">
            <v>91.73</v>
          </cell>
          <cell r="BS3631">
            <v>9.0300000000000011</v>
          </cell>
        </row>
        <row r="3632">
          <cell r="B3632">
            <v>45254</v>
          </cell>
          <cell r="D3632">
            <v>81.91</v>
          </cell>
          <cell r="E3632">
            <v>83.06</v>
          </cell>
          <cell r="H3632">
            <v>70.66</v>
          </cell>
          <cell r="I3632">
            <v>92.04</v>
          </cell>
          <cell r="BS3632">
            <v>8.980000000000004</v>
          </cell>
        </row>
        <row r="3633">
          <cell r="B3633">
            <v>45257</v>
          </cell>
          <cell r="D3633">
            <v>80.135000000000005</v>
          </cell>
          <cell r="E3633">
            <v>81.5</v>
          </cell>
          <cell r="H3633">
            <v>69.48</v>
          </cell>
          <cell r="I3633">
            <v>90.61</v>
          </cell>
          <cell r="BS3633">
            <v>9.11</v>
          </cell>
        </row>
        <row r="3634">
          <cell r="B3634">
            <v>45258</v>
          </cell>
          <cell r="D3634">
            <v>81.99</v>
          </cell>
          <cell r="E3634">
            <v>82.144999999999996</v>
          </cell>
          <cell r="H3634">
            <v>69.709999999999994</v>
          </cell>
          <cell r="I3634">
            <v>92.09</v>
          </cell>
          <cell r="BS3634">
            <v>9.9450000000000074</v>
          </cell>
        </row>
        <row r="3635">
          <cell r="B3635">
            <v>45259</v>
          </cell>
          <cell r="D3635">
            <v>82.28</v>
          </cell>
          <cell r="E3635">
            <v>83</v>
          </cell>
          <cell r="H3635">
            <v>71.42</v>
          </cell>
          <cell r="I3635">
            <v>92.31</v>
          </cell>
          <cell r="BS3635">
            <v>9.3100000000000023</v>
          </cell>
        </row>
        <row r="3636">
          <cell r="B3636">
            <v>45260</v>
          </cell>
          <cell r="D3636">
            <v>80.599999999999994</v>
          </cell>
          <cell r="E3636">
            <v>85.39</v>
          </cell>
          <cell r="H3636">
            <v>72.94</v>
          </cell>
          <cell r="I3636">
            <v>93.86</v>
          </cell>
          <cell r="BS3636">
            <v>8.4699999999999989</v>
          </cell>
        </row>
        <row r="3637">
          <cell r="B3637">
            <v>45261</v>
          </cell>
          <cell r="D3637">
            <v>81.099999999999994</v>
          </cell>
          <cell r="E3637">
            <v>81.3</v>
          </cell>
          <cell r="H3637">
            <v>72.55</v>
          </cell>
          <cell r="I3637">
            <v>89.42</v>
          </cell>
          <cell r="BS3637">
            <v>8.1200000000000045</v>
          </cell>
        </row>
        <row r="3638">
          <cell r="B3638">
            <v>45264</v>
          </cell>
          <cell r="D3638">
            <v>78.25</v>
          </cell>
          <cell r="E3638">
            <v>78.040000000000006</v>
          </cell>
          <cell r="H3638">
            <v>70.900000000000006</v>
          </cell>
          <cell r="I3638">
            <v>86.59</v>
          </cell>
          <cell r="BS3638">
            <v>8.5499999999999972</v>
          </cell>
        </row>
        <row r="3639">
          <cell r="B3639">
            <v>45265</v>
          </cell>
          <cell r="D3639">
            <v>78.125</v>
          </cell>
          <cell r="E3639">
            <v>78.540000000000006</v>
          </cell>
          <cell r="H3639">
            <v>71.400000000000006</v>
          </cell>
          <cell r="I3639">
            <v>88.24</v>
          </cell>
          <cell r="BS3639">
            <v>9.6999999999999886</v>
          </cell>
        </row>
        <row r="3640">
          <cell r="B3640">
            <v>45266</v>
          </cell>
          <cell r="D3640">
            <v>74.66</v>
          </cell>
          <cell r="E3640">
            <v>77.540000000000006</v>
          </cell>
          <cell r="H3640">
            <v>70.239999999999995</v>
          </cell>
          <cell r="I3640">
            <v>87.14</v>
          </cell>
          <cell r="BS3640">
            <v>9.5999999999999943</v>
          </cell>
        </row>
        <row r="3641">
          <cell r="B3641">
            <v>45267</v>
          </cell>
          <cell r="D3641">
            <v>74.295000000000002</v>
          </cell>
          <cell r="E3641">
            <v>75.010000000000005</v>
          </cell>
          <cell r="H3641">
            <v>68.150000000000006</v>
          </cell>
          <cell r="I3641">
            <v>84.6</v>
          </cell>
          <cell r="BS3641">
            <v>9.5899999999999892</v>
          </cell>
        </row>
        <row r="3642">
          <cell r="B3642">
            <v>45268</v>
          </cell>
          <cell r="D3642">
            <v>75.81</v>
          </cell>
          <cell r="E3642">
            <v>76.08</v>
          </cell>
          <cell r="H3642">
            <v>69.02</v>
          </cell>
          <cell r="I3642">
            <v>85.16</v>
          </cell>
          <cell r="BS3642">
            <v>9.0799999999999983</v>
          </cell>
        </row>
        <row r="3643">
          <cell r="B3643">
            <v>45271</v>
          </cell>
          <cell r="D3643">
            <v>75.944999999999993</v>
          </cell>
          <cell r="E3643">
            <v>76.64</v>
          </cell>
          <cell r="H3643">
            <v>69.42</v>
          </cell>
          <cell r="I3643">
            <v>85.25</v>
          </cell>
          <cell r="BS3643">
            <v>8.61</v>
          </cell>
        </row>
        <row r="3644">
          <cell r="B3644">
            <v>45272</v>
          </cell>
          <cell r="D3644">
            <v>73.555000000000007</v>
          </cell>
          <cell r="E3644">
            <v>76.239999999999995</v>
          </cell>
          <cell r="H3644">
            <v>70.03</v>
          </cell>
          <cell r="I3644">
            <v>85.38</v>
          </cell>
          <cell r="BS3644">
            <v>9.14</v>
          </cell>
        </row>
        <row r="3645">
          <cell r="B3645">
            <v>45273</v>
          </cell>
          <cell r="D3645">
            <v>74.09</v>
          </cell>
          <cell r="E3645">
            <v>71.64</v>
          </cell>
          <cell r="H3645">
            <v>68.73</v>
          </cell>
          <cell r="I3645">
            <v>82.33</v>
          </cell>
          <cell r="BS3645">
            <v>10.689999999999998</v>
          </cell>
        </row>
        <row r="3646">
          <cell r="B3646">
            <v>45274</v>
          </cell>
          <cell r="D3646">
            <v>77.275000000000006</v>
          </cell>
          <cell r="E3646">
            <v>74.400000000000006</v>
          </cell>
          <cell r="H3646">
            <v>71.69</v>
          </cell>
          <cell r="I3646">
            <v>85.72</v>
          </cell>
          <cell r="BS3646">
            <v>11.319999999999993</v>
          </cell>
        </row>
        <row r="3647">
          <cell r="B3647">
            <v>45275</v>
          </cell>
          <cell r="D3647">
            <v>77.084999999999994</v>
          </cell>
          <cell r="E3647">
            <v>76.150000000000006</v>
          </cell>
          <cell r="H3647">
            <v>73.98</v>
          </cell>
          <cell r="I3647">
            <v>88.51</v>
          </cell>
          <cell r="BS3647">
            <v>12.36</v>
          </cell>
        </row>
        <row r="3648">
          <cell r="B3648">
            <v>45278</v>
          </cell>
          <cell r="D3648">
            <v>79.180000000000007</v>
          </cell>
          <cell r="E3648">
            <v>76.150000000000006</v>
          </cell>
          <cell r="H3648">
            <v>75.239999999999995</v>
          </cell>
          <cell r="I3648">
            <v>88.22</v>
          </cell>
          <cell r="BS3648">
            <v>12.069999999999993</v>
          </cell>
        </row>
        <row r="3649">
          <cell r="B3649">
            <v>45279</v>
          </cell>
          <cell r="D3649">
            <v>80.165000000000006</v>
          </cell>
          <cell r="E3649">
            <v>76.84</v>
          </cell>
          <cell r="H3649">
            <v>74.5</v>
          </cell>
          <cell r="I3649">
            <v>88.92</v>
          </cell>
          <cell r="BS3649">
            <v>12.079999999999998</v>
          </cell>
        </row>
        <row r="3650">
          <cell r="B3650">
            <v>45280</v>
          </cell>
          <cell r="D3650">
            <v>81.87</v>
          </cell>
          <cell r="E3650">
            <v>79.05</v>
          </cell>
          <cell r="H3650">
            <v>76.010000000000005</v>
          </cell>
          <cell r="I3650">
            <v>90.59</v>
          </cell>
          <cell r="BS3650">
            <v>11.540000000000006</v>
          </cell>
        </row>
        <row r="3651">
          <cell r="B3651">
            <v>45281</v>
          </cell>
          <cell r="D3651">
            <v>80.58</v>
          </cell>
          <cell r="E3651">
            <v>78.849999999999994</v>
          </cell>
          <cell r="H3651">
            <v>73.97</v>
          </cell>
          <cell r="I3651">
            <v>88.13</v>
          </cell>
          <cell r="BS3651">
            <v>9.2800000000000011</v>
          </cell>
        </row>
        <row r="3652">
          <cell r="B3652">
            <v>45282</v>
          </cell>
          <cell r="D3652">
            <v>80.775000000000006</v>
          </cell>
          <cell r="E3652">
            <v>79.099999999999994</v>
          </cell>
          <cell r="H3652">
            <v>73.42</v>
          </cell>
          <cell r="I3652">
            <v>88.01</v>
          </cell>
          <cell r="BS3652">
            <v>8.9100000000000108</v>
          </cell>
        </row>
        <row r="3653">
          <cell r="B3653">
            <v>45285</v>
          </cell>
          <cell r="D3653" t="str">
            <v/>
          </cell>
          <cell r="E3653" t="str">
            <v/>
          </cell>
          <cell r="H3653">
            <v>0</v>
          </cell>
          <cell r="I3653">
            <v>0</v>
          </cell>
          <cell r="BS3653" t="e">
            <v>#N/A</v>
          </cell>
        </row>
        <row r="3654">
          <cell r="B3654">
            <v>45286</v>
          </cell>
          <cell r="D3654" t="str">
            <v/>
          </cell>
          <cell r="E3654">
            <v>78.644999999999996</v>
          </cell>
          <cell r="H3654">
            <v>72.45</v>
          </cell>
          <cell r="I3654">
            <v>87.4</v>
          </cell>
          <cell r="BS3654">
            <v>8.7550000000000097</v>
          </cell>
        </row>
        <row r="3655">
          <cell r="B3655">
            <v>45287</v>
          </cell>
          <cell r="D3655">
            <v>80.844999999999999</v>
          </cell>
          <cell r="E3655">
            <v>80.2</v>
          </cell>
          <cell r="H3655">
            <v>75.8</v>
          </cell>
          <cell r="I3655">
            <v>89.64</v>
          </cell>
          <cell r="BS3655">
            <v>9.4399999999999977</v>
          </cell>
        </row>
        <row r="3656">
          <cell r="B3656">
            <v>45288</v>
          </cell>
          <cell r="D3656">
            <v>79.12</v>
          </cell>
          <cell r="E3656">
            <v>79.099999999999994</v>
          </cell>
          <cell r="H3656">
            <v>75.069999999999993</v>
          </cell>
          <cell r="I3656">
            <v>88.75</v>
          </cell>
          <cell r="BS3656">
            <v>9.6500000000000057</v>
          </cell>
        </row>
        <row r="3657">
          <cell r="B3657">
            <v>45289</v>
          </cell>
          <cell r="D3657">
            <v>77.584999999999994</v>
          </cell>
          <cell r="E3657">
            <v>77.094999999999999</v>
          </cell>
          <cell r="H3657">
            <v>73.239999999999995</v>
          </cell>
          <cell r="I3657">
            <v>87.62</v>
          </cell>
          <cell r="BS3657">
            <v>10.525000000000006</v>
          </cell>
        </row>
        <row r="3658">
          <cell r="B3658">
            <v>45292</v>
          </cell>
          <cell r="D3658" t="str">
            <v/>
          </cell>
          <cell r="E3658" t="str">
            <v/>
          </cell>
          <cell r="H3658">
            <v>0</v>
          </cell>
          <cell r="I3658">
            <v>0</v>
          </cell>
          <cell r="BS3658" t="e">
            <v>#N/A</v>
          </cell>
        </row>
        <row r="3659">
          <cell r="B3659">
            <v>45293</v>
          </cell>
          <cell r="D3659">
            <v>75.7</v>
          </cell>
          <cell r="E3659">
            <v>78.094999999999999</v>
          </cell>
          <cell r="H3659">
            <v>72.64</v>
          </cell>
          <cell r="I3659">
            <v>87.76</v>
          </cell>
          <cell r="BS3659">
            <v>9.6650000000000063</v>
          </cell>
        </row>
        <row r="3660">
          <cell r="B3660">
            <v>45294</v>
          </cell>
          <cell r="D3660">
            <v>77.33</v>
          </cell>
          <cell r="E3660">
            <v>75.290000000000006</v>
          </cell>
          <cell r="H3660">
            <v>70.03</v>
          </cell>
          <cell r="I3660">
            <v>85.71</v>
          </cell>
          <cell r="BS3660">
            <v>10.419999999999987</v>
          </cell>
        </row>
        <row r="3661">
          <cell r="B3661">
            <v>45295</v>
          </cell>
          <cell r="D3661">
            <v>76.015000000000001</v>
          </cell>
          <cell r="E3661">
            <v>78.650000000000006</v>
          </cell>
          <cell r="H3661">
            <v>72.010000000000005</v>
          </cell>
          <cell r="I3661">
            <v>89.28</v>
          </cell>
          <cell r="BS3661">
            <v>10.629999999999995</v>
          </cell>
        </row>
        <row r="3662">
          <cell r="B3662">
            <v>45296</v>
          </cell>
          <cell r="D3662">
            <v>78.75</v>
          </cell>
          <cell r="E3662">
            <v>77.75</v>
          </cell>
          <cell r="H3662">
            <v>69.95</v>
          </cell>
          <cell r="I3662">
            <v>87.25</v>
          </cell>
          <cell r="BS3662">
            <v>9.5</v>
          </cell>
        </row>
        <row r="3663">
          <cell r="B3663">
            <v>45299</v>
          </cell>
          <cell r="D3663">
            <v>75.825000000000003</v>
          </cell>
          <cell r="E3663">
            <v>77.86</v>
          </cell>
          <cell r="H3663">
            <v>69.95</v>
          </cell>
          <cell r="I3663">
            <v>86.69</v>
          </cell>
          <cell r="BS3663">
            <v>8.8299999999999983</v>
          </cell>
        </row>
        <row r="3664">
          <cell r="B3664">
            <v>45300</v>
          </cell>
          <cell r="D3664">
            <v>78.905000000000001</v>
          </cell>
          <cell r="E3664">
            <v>76.849999999999994</v>
          </cell>
          <cell r="H3664">
            <v>69.760000000000005</v>
          </cell>
          <cell r="I3664">
            <v>85.1</v>
          </cell>
          <cell r="BS3664">
            <v>8.25</v>
          </cell>
        </row>
        <row r="3665">
          <cell r="B3665">
            <v>45301</v>
          </cell>
          <cell r="D3665">
            <v>78.739999999999995</v>
          </cell>
          <cell r="E3665">
            <v>78</v>
          </cell>
          <cell r="H3665">
            <v>70.510000000000005</v>
          </cell>
          <cell r="I3665">
            <v>87.36</v>
          </cell>
          <cell r="BS3665">
            <v>9.36</v>
          </cell>
        </row>
        <row r="3666">
          <cell r="B3666">
            <v>45302</v>
          </cell>
          <cell r="D3666">
            <v>80.575000000000003</v>
          </cell>
          <cell r="E3666">
            <v>77.290000000000006</v>
          </cell>
          <cell r="H3666">
            <v>70.23</v>
          </cell>
          <cell r="I3666">
            <v>87.16</v>
          </cell>
          <cell r="BS3666">
            <v>9.8699999999999903</v>
          </cell>
        </row>
        <row r="3667">
          <cell r="B3667">
            <v>45303</v>
          </cell>
          <cell r="D3667">
            <v>80.105000000000004</v>
          </cell>
          <cell r="E3667">
            <v>79.05</v>
          </cell>
          <cell r="H3667">
            <v>71.84</v>
          </cell>
          <cell r="I3667">
            <v>90.36</v>
          </cell>
          <cell r="BS3667">
            <v>11.310000000000002</v>
          </cell>
        </row>
        <row r="3668">
          <cell r="B3668">
            <v>45306</v>
          </cell>
          <cell r="D3668">
            <v>79.55</v>
          </cell>
          <cell r="E3668">
            <v>78</v>
          </cell>
          <cell r="H3668">
            <v>73.510000000000005</v>
          </cell>
          <cell r="I3668">
            <v>88.96</v>
          </cell>
          <cell r="BS3668">
            <v>10.959999999999994</v>
          </cell>
        </row>
        <row r="3669">
          <cell r="B3669">
            <v>45307</v>
          </cell>
          <cell r="D3669">
            <v>79.885000000000005</v>
          </cell>
          <cell r="E3669">
            <v>77.84</v>
          </cell>
          <cell r="H3669">
            <v>74.349999999999994</v>
          </cell>
          <cell r="I3669">
            <v>89.81</v>
          </cell>
          <cell r="BS3669">
            <v>11.969999999999999</v>
          </cell>
        </row>
        <row r="3670">
          <cell r="B3670">
            <v>45308</v>
          </cell>
          <cell r="D3670">
            <v>79.47</v>
          </cell>
          <cell r="E3670">
            <v>76.75</v>
          </cell>
          <cell r="H3670">
            <v>72.430000000000007</v>
          </cell>
          <cell r="I3670">
            <v>88</v>
          </cell>
          <cell r="BS3670">
            <v>11.25</v>
          </cell>
        </row>
        <row r="3671">
          <cell r="B3671">
            <v>45309</v>
          </cell>
          <cell r="D3671">
            <v>80.94</v>
          </cell>
          <cell r="E3671">
            <v>77.55</v>
          </cell>
          <cell r="H3671">
            <v>72.75</v>
          </cell>
          <cell r="I3671">
            <v>90.17</v>
          </cell>
          <cell r="BS3671">
            <v>12.620000000000005</v>
          </cell>
        </row>
        <row r="3672">
          <cell r="B3672">
            <v>45310</v>
          </cell>
          <cell r="D3672">
            <v>81.19</v>
          </cell>
          <cell r="E3672">
            <v>78.894999999999996</v>
          </cell>
          <cell r="H3672">
            <v>72</v>
          </cell>
          <cell r="I3672">
            <v>92.24</v>
          </cell>
          <cell r="BS3672">
            <v>13.344999999999999</v>
          </cell>
        </row>
        <row r="3673">
          <cell r="B3673">
            <v>45313</v>
          </cell>
          <cell r="D3673">
            <v>82.165000000000006</v>
          </cell>
          <cell r="E3673">
            <v>77.75</v>
          </cell>
          <cell r="H3673">
            <v>70.92</v>
          </cell>
          <cell r="I3673">
            <v>91.91</v>
          </cell>
          <cell r="BS3673">
            <v>14.159999999999997</v>
          </cell>
        </row>
        <row r="3674">
          <cell r="B3674">
            <v>45314</v>
          </cell>
          <cell r="D3674">
            <v>82.29</v>
          </cell>
          <cell r="E3674">
            <v>79.900000000000006</v>
          </cell>
          <cell r="H3674">
            <v>73.12</v>
          </cell>
          <cell r="I3674">
            <v>95.39</v>
          </cell>
          <cell r="BS3674">
            <v>15.489999999999995</v>
          </cell>
        </row>
        <row r="3675">
          <cell r="B3675">
            <v>45315</v>
          </cell>
          <cell r="D3675">
            <v>82.13</v>
          </cell>
          <cell r="E3675">
            <v>79.56</v>
          </cell>
          <cell r="H3675">
            <v>72.11</v>
          </cell>
          <cell r="I3675">
            <v>95.05</v>
          </cell>
          <cell r="BS3675">
            <v>15.489999999999995</v>
          </cell>
        </row>
        <row r="3676">
          <cell r="B3676">
            <v>45316</v>
          </cell>
          <cell r="D3676">
            <v>83.18</v>
          </cell>
          <cell r="E3676">
            <v>80.295000000000002</v>
          </cell>
          <cell r="H3676">
            <v>73.33</v>
          </cell>
          <cell r="I3676">
            <v>96.49</v>
          </cell>
          <cell r="BS3676">
            <v>16.194999999999993</v>
          </cell>
        </row>
        <row r="3677">
          <cell r="B3677">
            <v>45317</v>
          </cell>
          <cell r="D3677">
            <v>83.37</v>
          </cell>
          <cell r="E3677">
            <v>81.650000000000006</v>
          </cell>
          <cell r="H3677">
            <v>75.05</v>
          </cell>
          <cell r="I3677">
            <v>97.55</v>
          </cell>
          <cell r="BS3677">
            <v>15.899999999999991</v>
          </cell>
        </row>
        <row r="3678">
          <cell r="B3678">
            <v>45320</v>
          </cell>
          <cell r="D3678">
            <v>83.984999999999999</v>
          </cell>
          <cell r="E3678">
            <v>83.3</v>
          </cell>
          <cell r="H3678">
            <v>78.62</v>
          </cell>
          <cell r="I3678">
            <v>100.3</v>
          </cell>
          <cell r="BS3678">
            <v>17</v>
          </cell>
        </row>
        <row r="3679">
          <cell r="B3679">
            <v>45321</v>
          </cell>
          <cell r="D3679">
            <v>84.105000000000004</v>
          </cell>
          <cell r="E3679">
            <v>81.91</v>
          </cell>
          <cell r="H3679">
            <v>75.14</v>
          </cell>
          <cell r="I3679">
            <v>97.1</v>
          </cell>
          <cell r="BS3679">
            <v>15.189999999999998</v>
          </cell>
        </row>
        <row r="3680">
          <cell r="B3680">
            <v>45322</v>
          </cell>
          <cell r="D3680">
            <v>82.78</v>
          </cell>
          <cell r="E3680">
            <v>82.4</v>
          </cell>
          <cell r="H3680">
            <v>73.95</v>
          </cell>
          <cell r="I3680">
            <v>96.66</v>
          </cell>
          <cell r="BS3680">
            <v>14.259999999999991</v>
          </cell>
        </row>
        <row r="3681">
          <cell r="B3681">
            <v>45323</v>
          </cell>
          <cell r="D3681">
            <v>83.314999999999998</v>
          </cell>
          <cell r="E3681">
            <v>80.3</v>
          </cell>
          <cell r="H3681">
            <v>70.81</v>
          </cell>
          <cell r="I3681">
            <v>95.37</v>
          </cell>
          <cell r="BS3681">
            <v>15.070000000000007</v>
          </cell>
        </row>
        <row r="3682">
          <cell r="B3682">
            <v>45324</v>
          </cell>
          <cell r="D3682">
            <v>79.08</v>
          </cell>
          <cell r="E3682">
            <v>78.95</v>
          </cell>
          <cell r="H3682">
            <v>69.45</v>
          </cell>
          <cell r="I3682">
            <v>93.62</v>
          </cell>
          <cell r="BS3682">
            <v>14.670000000000002</v>
          </cell>
        </row>
        <row r="3683">
          <cell r="B3683">
            <v>45327</v>
          </cell>
          <cell r="D3683">
            <v>79.23</v>
          </cell>
          <cell r="E3683">
            <v>77.41</v>
          </cell>
          <cell r="H3683">
            <v>68.510000000000005</v>
          </cell>
          <cell r="I3683">
            <v>92.17</v>
          </cell>
          <cell r="BS3683">
            <v>14.760000000000005</v>
          </cell>
        </row>
        <row r="3684">
          <cell r="B3684">
            <v>45328</v>
          </cell>
          <cell r="D3684">
            <v>80.905000000000001</v>
          </cell>
          <cell r="E3684">
            <v>78</v>
          </cell>
          <cell r="H3684">
            <v>69.5</v>
          </cell>
          <cell r="I3684">
            <v>93.38</v>
          </cell>
          <cell r="BS3684">
            <v>15.379999999999995</v>
          </cell>
        </row>
        <row r="3685">
          <cell r="B3685">
            <v>45329</v>
          </cell>
          <cell r="D3685">
            <v>81.69</v>
          </cell>
          <cell r="E3685">
            <v>78.5</v>
          </cell>
          <cell r="H3685">
            <v>70.64</v>
          </cell>
          <cell r="I3685">
            <v>93.26</v>
          </cell>
          <cell r="BS3685">
            <v>14.760000000000005</v>
          </cell>
        </row>
        <row r="3686">
          <cell r="B3686">
            <v>45330</v>
          </cell>
          <cell r="D3686">
            <v>84.474999999999994</v>
          </cell>
          <cell r="E3686">
            <v>79.33</v>
          </cell>
          <cell r="H3686">
            <v>71.98</v>
          </cell>
          <cell r="I3686">
            <v>95.45</v>
          </cell>
          <cell r="BS3686">
            <v>16.120000000000005</v>
          </cell>
        </row>
        <row r="3687">
          <cell r="B3687">
            <v>45331</v>
          </cell>
          <cell r="D3687">
            <v>84.75</v>
          </cell>
          <cell r="E3687">
            <v>81.040000000000006</v>
          </cell>
          <cell r="H3687">
            <v>73.16</v>
          </cell>
          <cell r="I3687">
            <v>96.89</v>
          </cell>
          <cell r="BS3687">
            <v>15.849999999999994</v>
          </cell>
        </row>
        <row r="3688">
          <cell r="B3688">
            <v>45334</v>
          </cell>
          <cell r="D3688">
            <v>84.614999999999995</v>
          </cell>
          <cell r="E3688" t="str">
            <v/>
          </cell>
          <cell r="H3688">
            <v>0</v>
          </cell>
          <cell r="I3688">
            <v>0</v>
          </cell>
          <cell r="BS3688" t="e">
            <v>#N/A</v>
          </cell>
        </row>
        <row r="3689">
          <cell r="B3689">
            <v>45335</v>
          </cell>
          <cell r="D3689">
            <v>86</v>
          </cell>
          <cell r="E3689">
            <v>81.91</v>
          </cell>
          <cell r="H3689">
            <v>74.91</v>
          </cell>
          <cell r="I3689">
            <v>98.69</v>
          </cell>
          <cell r="BS3689">
            <v>16.78</v>
          </cell>
        </row>
        <row r="3690">
          <cell r="B3690">
            <v>45336</v>
          </cell>
          <cell r="D3690">
            <v>85.045000000000002</v>
          </cell>
          <cell r="E3690">
            <v>82.44</v>
          </cell>
          <cell r="H3690">
            <v>74.89</v>
          </cell>
          <cell r="I3690">
            <v>99.44</v>
          </cell>
          <cell r="BS3690">
            <v>17</v>
          </cell>
        </row>
        <row r="3691">
          <cell r="B3691">
            <v>45337</v>
          </cell>
          <cell r="D3691">
            <v>85.534999999999997</v>
          </cell>
          <cell r="E3691">
            <v>80.55</v>
          </cell>
          <cell r="H3691">
            <v>72.58</v>
          </cell>
          <cell r="I3691">
            <v>95.56</v>
          </cell>
          <cell r="BS3691">
            <v>15.010000000000005</v>
          </cell>
        </row>
        <row r="3692">
          <cell r="B3692">
            <v>45338</v>
          </cell>
          <cell r="D3692">
            <v>86.12</v>
          </cell>
          <cell r="E3692">
            <v>82.05</v>
          </cell>
          <cell r="H3692">
            <v>73.819999999999993</v>
          </cell>
          <cell r="I3692">
            <v>96.4</v>
          </cell>
          <cell r="BS3692">
            <v>14.350000000000009</v>
          </cell>
        </row>
        <row r="3693">
          <cell r="B3693">
            <v>45341</v>
          </cell>
          <cell r="D3693">
            <v>86.51</v>
          </cell>
          <cell r="E3693">
            <v>82.29</v>
          </cell>
          <cell r="H3693">
            <v>72.09</v>
          </cell>
          <cell r="I3693">
            <v>95.65</v>
          </cell>
          <cell r="BS3693">
            <v>13.36</v>
          </cell>
        </row>
        <row r="3694">
          <cell r="B3694">
            <v>45342</v>
          </cell>
          <cell r="D3694">
            <v>84.89</v>
          </cell>
          <cell r="E3694">
            <v>82.75</v>
          </cell>
          <cell r="H3694">
            <v>71.7</v>
          </cell>
          <cell r="I3694">
            <v>94.35</v>
          </cell>
          <cell r="BS3694">
            <v>11.599999999999994</v>
          </cell>
        </row>
        <row r="3695">
          <cell r="B3695">
            <v>45343</v>
          </cell>
          <cell r="D3695">
            <v>85.444999999999993</v>
          </cell>
          <cell r="E3695">
            <v>81.454999999999998</v>
          </cell>
          <cell r="H3695">
            <v>70.88</v>
          </cell>
          <cell r="I3695">
            <v>93.93</v>
          </cell>
          <cell r="BS3695">
            <v>12.475000000000009</v>
          </cell>
        </row>
        <row r="3696">
          <cell r="B3696">
            <v>45344</v>
          </cell>
          <cell r="D3696">
            <v>85.52</v>
          </cell>
          <cell r="E3696">
            <v>82.6</v>
          </cell>
          <cell r="H3696">
            <v>71.959999999999994</v>
          </cell>
          <cell r="I3696">
            <v>96.11</v>
          </cell>
          <cell r="BS3696">
            <v>13.510000000000005</v>
          </cell>
        </row>
        <row r="3697">
          <cell r="B3697">
            <v>45345</v>
          </cell>
          <cell r="D3697">
            <v>83.715000000000003</v>
          </cell>
          <cell r="E3697">
            <v>82.01</v>
          </cell>
          <cell r="H3697">
            <v>72.06</v>
          </cell>
          <cell r="I3697">
            <v>96.56</v>
          </cell>
          <cell r="BS3697">
            <v>14.549999999999997</v>
          </cell>
        </row>
        <row r="3698">
          <cell r="B3698">
            <v>45348</v>
          </cell>
          <cell r="D3698">
            <v>83.204999999999998</v>
          </cell>
          <cell r="E3698">
            <v>80.39</v>
          </cell>
          <cell r="H3698">
            <v>70.61</v>
          </cell>
          <cell r="I3698">
            <v>94.51</v>
          </cell>
          <cell r="BS3698">
            <v>14.120000000000005</v>
          </cell>
        </row>
        <row r="3699">
          <cell r="B3699">
            <v>45349</v>
          </cell>
          <cell r="D3699">
            <v>84.14</v>
          </cell>
          <cell r="E3699">
            <v>82.05</v>
          </cell>
          <cell r="H3699">
            <v>72.06</v>
          </cell>
          <cell r="I3699">
            <v>96.98</v>
          </cell>
          <cell r="BS3699">
            <v>14.930000000000007</v>
          </cell>
        </row>
        <row r="3700">
          <cell r="B3700">
            <v>45350</v>
          </cell>
          <cell r="D3700">
            <v>83.685000000000002</v>
          </cell>
          <cell r="E3700">
            <v>81.86</v>
          </cell>
          <cell r="H3700">
            <v>72.38</v>
          </cell>
          <cell r="I3700">
            <v>97.37</v>
          </cell>
          <cell r="BS3700">
            <v>15.510000000000005</v>
          </cell>
        </row>
        <row r="3701">
          <cell r="B3701">
            <v>45351</v>
          </cell>
          <cell r="D3701">
            <v>84.6</v>
          </cell>
          <cell r="E3701">
            <v>81.8</v>
          </cell>
          <cell r="H3701">
            <v>73.83</v>
          </cell>
          <cell r="I3701">
            <v>96.13</v>
          </cell>
          <cell r="BS3701">
            <v>14.329999999999998</v>
          </cell>
        </row>
        <row r="3702">
          <cell r="B3702">
            <v>45352</v>
          </cell>
          <cell r="D3702">
            <v>87.495000000000005</v>
          </cell>
          <cell r="E3702">
            <v>81.540000000000006</v>
          </cell>
          <cell r="H3702">
            <v>73.599999999999994</v>
          </cell>
          <cell r="I3702">
            <v>94.59</v>
          </cell>
          <cell r="BS3702">
            <v>13.049999999999997</v>
          </cell>
        </row>
        <row r="3703">
          <cell r="B3703">
            <v>45355</v>
          </cell>
          <cell r="D3703">
            <v>86.265000000000001</v>
          </cell>
          <cell r="E3703">
            <v>83.094999999999999</v>
          </cell>
          <cell r="H3703">
            <v>74.81</v>
          </cell>
          <cell r="I3703">
            <v>93.82</v>
          </cell>
          <cell r="BS3703">
            <v>10.724999999999994</v>
          </cell>
        </row>
        <row r="3704">
          <cell r="B3704">
            <v>45356</v>
          </cell>
          <cell r="D3704">
            <v>85.36</v>
          </cell>
          <cell r="E3704">
            <v>81.784999999999997</v>
          </cell>
          <cell r="H3704">
            <v>73.98</v>
          </cell>
          <cell r="I3704">
            <v>94.5</v>
          </cell>
          <cell r="BS3704">
            <v>12.715000000000003</v>
          </cell>
        </row>
        <row r="3705">
          <cell r="B3705">
            <v>45357</v>
          </cell>
          <cell r="D3705">
            <v>86.405000000000001</v>
          </cell>
          <cell r="E3705">
            <v>82.04</v>
          </cell>
          <cell r="H3705">
            <v>73.349999999999994</v>
          </cell>
          <cell r="I3705">
            <v>93.64</v>
          </cell>
          <cell r="BS3705">
            <v>11.599999999999994</v>
          </cell>
        </row>
        <row r="3706">
          <cell r="B3706">
            <v>45358</v>
          </cell>
          <cell r="D3706">
            <v>84.915000000000006</v>
          </cell>
          <cell r="E3706">
            <v>82.375</v>
          </cell>
          <cell r="H3706">
            <v>74.430000000000007</v>
          </cell>
          <cell r="I3706">
            <v>94.2</v>
          </cell>
          <cell r="BS3706">
            <v>11.825000000000003</v>
          </cell>
        </row>
        <row r="3707">
          <cell r="B3707">
            <v>45359</v>
          </cell>
          <cell r="D3707">
            <v>83.62</v>
          </cell>
          <cell r="E3707">
            <v>83.36</v>
          </cell>
          <cell r="H3707">
            <v>75.56</v>
          </cell>
          <cell r="I3707">
            <v>95.41</v>
          </cell>
          <cell r="BS3707">
            <v>12.049999999999997</v>
          </cell>
        </row>
        <row r="3708">
          <cell r="B3708">
            <v>45362</v>
          </cell>
          <cell r="D3708">
            <v>83.795000000000002</v>
          </cell>
          <cell r="E3708">
            <v>82.105000000000004</v>
          </cell>
          <cell r="H3708">
            <v>75.38</v>
          </cell>
          <cell r="I3708">
            <v>93.78</v>
          </cell>
          <cell r="BS3708">
            <v>11.674999999999997</v>
          </cell>
        </row>
        <row r="3709">
          <cell r="B3709">
            <v>45363</v>
          </cell>
          <cell r="D3709">
            <v>83.23</v>
          </cell>
          <cell r="E3709">
            <v>82.87</v>
          </cell>
          <cell r="H3709">
            <v>75.709999999999994</v>
          </cell>
          <cell r="I3709">
            <v>94.68</v>
          </cell>
          <cell r="BS3709">
            <v>11.810000000000002</v>
          </cell>
        </row>
        <row r="3710">
          <cell r="B3710">
            <v>45364</v>
          </cell>
          <cell r="D3710">
            <v>84.265000000000001</v>
          </cell>
          <cell r="E3710">
            <v>82.21</v>
          </cell>
          <cell r="H3710">
            <v>75.7</v>
          </cell>
          <cell r="I3710">
            <v>94.13</v>
          </cell>
          <cell r="BS3710">
            <v>11.920000000000002</v>
          </cell>
        </row>
        <row r="3711">
          <cell r="B3711">
            <v>45365</v>
          </cell>
          <cell r="D3711">
            <v>85.55</v>
          </cell>
          <cell r="E3711">
            <v>84.11</v>
          </cell>
          <cell r="H3711">
            <v>77.290000000000006</v>
          </cell>
          <cell r="I3711">
            <v>95.93</v>
          </cell>
          <cell r="BS3711">
            <v>11.820000000000007</v>
          </cell>
        </row>
        <row r="3712">
          <cell r="B3712">
            <v>45366</v>
          </cell>
          <cell r="D3712">
            <v>85.364999999999995</v>
          </cell>
          <cell r="E3712">
            <v>84.79</v>
          </cell>
          <cell r="H3712">
            <v>77.489999999999995</v>
          </cell>
          <cell r="I3712">
            <v>97.07</v>
          </cell>
          <cell r="BS3712">
            <v>12.279999999999987</v>
          </cell>
        </row>
        <row r="3713">
          <cell r="B3713">
            <v>45369</v>
          </cell>
          <cell r="D3713">
            <v>86.234999999999999</v>
          </cell>
          <cell r="E3713">
            <v>85.66</v>
          </cell>
          <cell r="H3713">
            <v>78.16</v>
          </cell>
          <cell r="I3713">
            <v>99.21</v>
          </cell>
          <cell r="BS3713">
            <v>13.549999999999997</v>
          </cell>
        </row>
        <row r="3714">
          <cell r="B3714">
            <v>45370</v>
          </cell>
          <cell r="D3714">
            <v>87.234999999999999</v>
          </cell>
          <cell r="E3714">
            <v>86.41</v>
          </cell>
          <cell r="H3714">
            <v>78.19</v>
          </cell>
          <cell r="I3714">
            <v>99.29</v>
          </cell>
          <cell r="BS3714">
            <v>12.88000000000001</v>
          </cell>
        </row>
        <row r="3715">
          <cell r="B3715">
            <v>45371</v>
          </cell>
          <cell r="D3715">
            <v>85.545000000000002</v>
          </cell>
          <cell r="E3715">
            <v>86.49</v>
          </cell>
          <cell r="H3715">
            <v>76.989999999999995</v>
          </cell>
          <cell r="I3715">
            <v>100.2</v>
          </cell>
          <cell r="BS3715">
            <v>13.710000000000008</v>
          </cell>
        </row>
        <row r="3716">
          <cell r="B3716">
            <v>45372</v>
          </cell>
          <cell r="D3716">
            <v>85.174999999999997</v>
          </cell>
          <cell r="E3716">
            <v>86.01</v>
          </cell>
          <cell r="H3716">
            <v>76.75</v>
          </cell>
          <cell r="I3716">
            <v>100.55</v>
          </cell>
          <cell r="BS3716">
            <v>14.539999999999992</v>
          </cell>
        </row>
        <row r="3717">
          <cell r="B3717">
            <v>45373</v>
          </cell>
          <cell r="D3717">
            <v>84.894999999999996</v>
          </cell>
          <cell r="E3717">
            <v>85.144999999999996</v>
          </cell>
          <cell r="H3717">
            <v>75.78</v>
          </cell>
          <cell r="I3717">
            <v>100.94</v>
          </cell>
          <cell r="BS3717">
            <v>15.795000000000002</v>
          </cell>
        </row>
        <row r="3718">
          <cell r="B3718">
            <v>45376</v>
          </cell>
          <cell r="D3718">
            <v>86.364999999999995</v>
          </cell>
          <cell r="E3718">
            <v>85.35</v>
          </cell>
          <cell r="H3718">
            <v>76.36</v>
          </cell>
          <cell r="I3718">
            <v>101.06</v>
          </cell>
          <cell r="BS3718">
            <v>15.710000000000008</v>
          </cell>
        </row>
        <row r="3719">
          <cell r="B3719">
            <v>45377</v>
          </cell>
          <cell r="D3719">
            <v>86</v>
          </cell>
          <cell r="E3719">
            <v>86.194999999999993</v>
          </cell>
          <cell r="H3719">
            <v>76.62</v>
          </cell>
          <cell r="I3719">
            <v>100.58</v>
          </cell>
          <cell r="BS3719">
            <v>14.385000000000005</v>
          </cell>
        </row>
        <row r="3720">
          <cell r="B3720">
            <v>45378</v>
          </cell>
          <cell r="D3720">
            <v>85.09</v>
          </cell>
          <cell r="E3720">
            <v>85.2</v>
          </cell>
          <cell r="H3720">
            <v>75.37</v>
          </cell>
          <cell r="I3720">
            <v>99.29</v>
          </cell>
          <cell r="BS3720">
            <v>14.090000000000003</v>
          </cell>
        </row>
        <row r="3721">
          <cell r="B3721">
            <v>45379</v>
          </cell>
          <cell r="D3721">
            <v>86.885000000000005</v>
          </cell>
          <cell r="E3721">
            <v>86.295000000000002</v>
          </cell>
          <cell r="H3721">
            <v>75.709999999999994</v>
          </cell>
          <cell r="I3721">
            <v>99.97</v>
          </cell>
          <cell r="BS3721">
            <v>13.674999999999997</v>
          </cell>
        </row>
        <row r="3722">
          <cell r="B3722">
            <v>45380</v>
          </cell>
          <cell r="D3722" t="str">
            <v/>
          </cell>
          <cell r="E3722" t="str">
            <v/>
          </cell>
          <cell r="H3722">
            <v>0</v>
          </cell>
          <cell r="I3722">
            <v>0</v>
          </cell>
          <cell r="BS3722" t="e">
            <v>#N/A</v>
          </cell>
        </row>
        <row r="3723">
          <cell r="B3723">
            <v>45383</v>
          </cell>
          <cell r="D3723" t="str">
            <v/>
          </cell>
          <cell r="E3723">
            <v>87.655000000000001</v>
          </cell>
          <cell r="H3723">
            <v>76.400000000000006</v>
          </cell>
          <cell r="I3723">
            <v>103.25</v>
          </cell>
          <cell r="BS3723">
            <v>15.594999999999999</v>
          </cell>
        </row>
        <row r="3724">
          <cell r="B3724">
            <v>45384</v>
          </cell>
          <cell r="D3724">
            <v>89.95</v>
          </cell>
          <cell r="E3724">
            <v>89.06</v>
          </cell>
          <cell r="H3724">
            <v>76.55</v>
          </cell>
          <cell r="I3724">
            <v>102.56</v>
          </cell>
          <cell r="BS3724">
            <v>13.5</v>
          </cell>
        </row>
        <row r="3725">
          <cell r="B3725">
            <v>45385</v>
          </cell>
          <cell r="D3725">
            <v>91.105000000000004</v>
          </cell>
          <cell r="E3725">
            <v>89.47</v>
          </cell>
          <cell r="H3725">
            <v>74.64</v>
          </cell>
          <cell r="I3725">
            <v>102.74</v>
          </cell>
          <cell r="BS3725">
            <v>13.269999999999996</v>
          </cell>
        </row>
        <row r="3726">
          <cell r="B3726">
            <v>45386</v>
          </cell>
          <cell r="D3726">
            <v>90.435000000000002</v>
          </cell>
          <cell r="E3726">
            <v>89.65</v>
          </cell>
          <cell r="H3726">
            <v>73.92</v>
          </cell>
          <cell r="I3726">
            <v>102.01</v>
          </cell>
          <cell r="BS3726">
            <v>12.36</v>
          </cell>
        </row>
        <row r="3727">
          <cell r="B3727">
            <v>45387</v>
          </cell>
          <cell r="D3727">
            <v>93.305000000000007</v>
          </cell>
          <cell r="E3727">
            <v>90.86</v>
          </cell>
          <cell r="H3727">
            <v>75.67</v>
          </cell>
          <cell r="I3727">
            <v>102.67</v>
          </cell>
          <cell r="BS3727">
            <v>11.810000000000002</v>
          </cell>
        </row>
        <row r="3728">
          <cell r="B3728">
            <v>45390</v>
          </cell>
          <cell r="D3728">
            <v>92.2</v>
          </cell>
          <cell r="E3728">
            <v>90.06</v>
          </cell>
          <cell r="H3728">
            <v>74.97</v>
          </cell>
          <cell r="I3728">
            <v>101.92</v>
          </cell>
          <cell r="BS3728">
            <v>11.86</v>
          </cell>
        </row>
        <row r="3729">
          <cell r="B3729">
            <v>45391</v>
          </cell>
          <cell r="D3729">
            <v>91.93</v>
          </cell>
          <cell r="E3729">
            <v>90.75</v>
          </cell>
          <cell r="H3729">
            <v>75.12</v>
          </cell>
          <cell r="I3729">
            <v>101.97</v>
          </cell>
          <cell r="BS3729">
            <v>11.219999999999999</v>
          </cell>
        </row>
        <row r="3730">
          <cell r="B3730">
            <v>45392</v>
          </cell>
          <cell r="D3730">
            <v>91.19</v>
          </cell>
          <cell r="E3730" t="str">
            <v/>
          </cell>
          <cell r="H3730">
            <v>0</v>
          </cell>
          <cell r="I3730">
            <v>0</v>
          </cell>
          <cell r="BS3730" t="e">
            <v>#N/A</v>
          </cell>
        </row>
        <row r="3731">
          <cell r="B3731">
            <v>45393</v>
          </cell>
          <cell r="D3731">
            <v>91.81</v>
          </cell>
          <cell r="E3731">
            <v>90.89</v>
          </cell>
          <cell r="H3731">
            <v>75.39</v>
          </cell>
          <cell r="I3731">
            <v>103.38</v>
          </cell>
          <cell r="BS3731">
            <v>12.489999999999995</v>
          </cell>
        </row>
        <row r="3732">
          <cell r="B3732">
            <v>45394</v>
          </cell>
          <cell r="D3732">
            <v>93.344999999999999</v>
          </cell>
          <cell r="E3732">
            <v>90.51</v>
          </cell>
          <cell r="H3732">
            <v>74.569999999999993</v>
          </cell>
          <cell r="I3732">
            <v>104.21</v>
          </cell>
          <cell r="BS3732">
            <v>13.699999999999989</v>
          </cell>
        </row>
        <row r="3733">
          <cell r="B3733">
            <v>45397</v>
          </cell>
          <cell r="D3733">
            <v>90.525000000000006</v>
          </cell>
          <cell r="E3733">
            <v>89.54</v>
          </cell>
          <cell r="H3733">
            <v>73.739999999999995</v>
          </cell>
          <cell r="I3733">
            <v>103.48</v>
          </cell>
          <cell r="BS3733">
            <v>13.939999999999998</v>
          </cell>
        </row>
        <row r="3734">
          <cell r="B3734">
            <v>45398</v>
          </cell>
          <cell r="D3734">
            <v>91.29</v>
          </cell>
          <cell r="E3734">
            <v>90.25</v>
          </cell>
          <cell r="H3734">
            <v>75.34</v>
          </cell>
          <cell r="I3734">
            <v>104.05</v>
          </cell>
          <cell r="BS3734">
            <v>13.799999999999997</v>
          </cell>
        </row>
        <row r="3735">
          <cell r="B3735">
            <v>45399</v>
          </cell>
          <cell r="D3735">
            <v>89.66</v>
          </cell>
          <cell r="E3735">
            <v>90.05</v>
          </cell>
          <cell r="H3735">
            <v>75.37</v>
          </cell>
          <cell r="I3735">
            <v>104</v>
          </cell>
          <cell r="BS3735">
            <v>13.950000000000003</v>
          </cell>
        </row>
        <row r="3736">
          <cell r="B3736">
            <v>45400</v>
          </cell>
          <cell r="D3736">
            <v>88.09</v>
          </cell>
          <cell r="E3736">
            <v>87.44</v>
          </cell>
          <cell r="H3736">
            <v>73.39</v>
          </cell>
          <cell r="I3736">
            <v>100.91</v>
          </cell>
          <cell r="BS3736">
            <v>13.469999999999999</v>
          </cell>
        </row>
        <row r="3737">
          <cell r="B3737">
            <v>45401</v>
          </cell>
          <cell r="D3737">
            <v>88.02</v>
          </cell>
          <cell r="E3737">
            <v>87.69</v>
          </cell>
          <cell r="H3737">
            <v>73.8</v>
          </cell>
          <cell r="I3737">
            <v>101</v>
          </cell>
          <cell r="BS3737">
            <v>13.310000000000002</v>
          </cell>
        </row>
        <row r="3738">
          <cell r="B3738">
            <v>45404</v>
          </cell>
          <cell r="D3738">
            <v>87.555000000000007</v>
          </cell>
          <cell r="E3738">
            <v>86.394999999999996</v>
          </cell>
          <cell r="H3738">
            <v>73.14</v>
          </cell>
          <cell r="I3738">
            <v>99.95</v>
          </cell>
          <cell r="BS3738">
            <v>13.555000000000007</v>
          </cell>
        </row>
        <row r="3739">
          <cell r="B3739">
            <v>45405</v>
          </cell>
          <cell r="D3739">
            <v>88.73</v>
          </cell>
          <cell r="E3739">
            <v>88.45</v>
          </cell>
          <cell r="H3739">
            <v>75.03</v>
          </cell>
          <cell r="I3739">
            <v>100.53</v>
          </cell>
          <cell r="BS3739">
            <v>12.079999999999998</v>
          </cell>
        </row>
        <row r="3740">
          <cell r="B3740">
            <v>45406</v>
          </cell>
          <cell r="D3740">
            <v>88.9</v>
          </cell>
          <cell r="E3740">
            <v>88.85</v>
          </cell>
          <cell r="H3740">
            <v>75.52</v>
          </cell>
          <cell r="I3740">
            <v>100.64</v>
          </cell>
          <cell r="BS3740">
            <v>11.790000000000006</v>
          </cell>
        </row>
        <row r="3741">
          <cell r="B3741">
            <v>45407</v>
          </cell>
          <cell r="D3741">
            <v>88.35</v>
          </cell>
          <cell r="E3741">
            <v>88.6</v>
          </cell>
          <cell r="H3741">
            <v>75.41</v>
          </cell>
          <cell r="I3741">
            <v>101.15</v>
          </cell>
          <cell r="BS3741">
            <v>12.550000000000011</v>
          </cell>
        </row>
        <row r="3742">
          <cell r="B3742">
            <v>45408</v>
          </cell>
          <cell r="D3742">
            <v>89.935000000000002</v>
          </cell>
          <cell r="E3742">
            <v>88.96</v>
          </cell>
          <cell r="H3742">
            <v>76</v>
          </cell>
          <cell r="I3742">
            <v>101.69</v>
          </cell>
          <cell r="BS3742">
            <v>12.730000000000004</v>
          </cell>
        </row>
        <row r="3743">
          <cell r="B3743">
            <v>45411</v>
          </cell>
          <cell r="D3743">
            <v>88.86</v>
          </cell>
          <cell r="E3743">
            <v>88.89</v>
          </cell>
          <cell r="H3743">
            <v>75.94</v>
          </cell>
          <cell r="I3743">
            <v>101.64</v>
          </cell>
          <cell r="BS3743">
            <v>12.75</v>
          </cell>
        </row>
        <row r="3744">
          <cell r="B3744">
            <v>45412</v>
          </cell>
          <cell r="D3744">
            <v>87.97</v>
          </cell>
          <cell r="E3744">
            <v>88.6</v>
          </cell>
          <cell r="H3744">
            <v>75.95</v>
          </cell>
          <cell r="I3744">
            <v>100.89</v>
          </cell>
          <cell r="BS3744">
            <v>12.290000000000006</v>
          </cell>
        </row>
        <row r="3745">
          <cell r="B3745">
            <v>45413</v>
          </cell>
          <cell r="D3745">
            <v>84.92</v>
          </cell>
          <cell r="E3745" t="str">
            <v/>
          </cell>
          <cell r="H3745">
            <v>0</v>
          </cell>
          <cell r="I3745">
            <v>0</v>
          </cell>
          <cell r="BS3745" t="e">
            <v>#N/A</v>
          </cell>
        </row>
        <row r="3746">
          <cell r="B3746">
            <v>45414</v>
          </cell>
          <cell r="D3746">
            <v>83.93</v>
          </cell>
          <cell r="E3746">
            <v>84.49</v>
          </cell>
          <cell r="H3746">
            <v>73.86</v>
          </cell>
          <cell r="I3746">
            <v>96.1</v>
          </cell>
          <cell r="BS3746">
            <v>11.61</v>
          </cell>
        </row>
        <row r="3747">
          <cell r="B3747">
            <v>45415</v>
          </cell>
          <cell r="D3747">
            <v>83.3</v>
          </cell>
          <cell r="E3747">
            <v>84.09</v>
          </cell>
          <cell r="H3747">
            <v>72.77</v>
          </cell>
          <cell r="I3747">
            <v>95.37</v>
          </cell>
          <cell r="BS3747">
            <v>11.280000000000001</v>
          </cell>
        </row>
        <row r="3748">
          <cell r="B3748">
            <v>45418</v>
          </cell>
          <cell r="D3748" t="str">
            <v/>
          </cell>
          <cell r="E3748">
            <v>84.01</v>
          </cell>
          <cell r="H3748">
            <v>72.400000000000006</v>
          </cell>
          <cell r="I3748">
            <v>94.3</v>
          </cell>
          <cell r="BS3748">
            <v>10.289999999999992</v>
          </cell>
        </row>
        <row r="3749">
          <cell r="B3749">
            <v>45419</v>
          </cell>
          <cell r="D3749">
            <v>82.11</v>
          </cell>
          <cell r="E3749">
            <v>84.14</v>
          </cell>
          <cell r="H3749">
            <v>72.05</v>
          </cell>
          <cell r="I3749">
            <v>93.98</v>
          </cell>
          <cell r="BS3749">
            <v>9.8400000000000034</v>
          </cell>
        </row>
        <row r="3750">
          <cell r="B3750">
            <v>45420</v>
          </cell>
          <cell r="D3750">
            <v>83.32</v>
          </cell>
          <cell r="E3750">
            <v>83</v>
          </cell>
          <cell r="H3750">
            <v>70.86</v>
          </cell>
          <cell r="I3750">
            <v>90.88</v>
          </cell>
          <cell r="BS3750">
            <v>7.8799999999999955</v>
          </cell>
        </row>
        <row r="3751">
          <cell r="B3751">
            <v>45421</v>
          </cell>
          <cell r="D3751">
            <v>83.444999999999993</v>
          </cell>
          <cell r="E3751">
            <v>84.65</v>
          </cell>
          <cell r="H3751">
            <v>72</v>
          </cell>
          <cell r="I3751">
            <v>91.9</v>
          </cell>
          <cell r="BS3751">
            <v>7.25</v>
          </cell>
        </row>
        <row r="3752">
          <cell r="B3752">
            <v>45422</v>
          </cell>
          <cell r="D3752">
            <v>83.075000000000003</v>
          </cell>
          <cell r="E3752">
            <v>84.83</v>
          </cell>
          <cell r="H3752">
            <v>71.790000000000006</v>
          </cell>
          <cell r="I3752">
            <v>92.07</v>
          </cell>
          <cell r="BS3752">
            <v>7.2399999999999949</v>
          </cell>
        </row>
        <row r="3753">
          <cell r="B3753">
            <v>45425</v>
          </cell>
          <cell r="D3753">
            <v>82.114999999999995</v>
          </cell>
          <cell r="E3753">
            <v>83.844999999999999</v>
          </cell>
          <cell r="H3753">
            <v>70.67</v>
          </cell>
          <cell r="I3753">
            <v>91.44</v>
          </cell>
          <cell r="BS3753">
            <v>7.5949999999999989</v>
          </cell>
        </row>
        <row r="3754">
          <cell r="B3754">
            <v>45426</v>
          </cell>
          <cell r="D3754">
            <v>80.56</v>
          </cell>
          <cell r="E3754">
            <v>83.89</v>
          </cell>
          <cell r="H3754">
            <v>70.31</v>
          </cell>
          <cell r="I3754">
            <v>90.53</v>
          </cell>
          <cell r="BS3754">
            <v>6.6400000000000006</v>
          </cell>
        </row>
        <row r="3755">
          <cell r="B3755">
            <v>45427</v>
          </cell>
          <cell r="D3755">
            <v>81.45</v>
          </cell>
          <cell r="E3755">
            <v>83.4</v>
          </cell>
          <cell r="H3755">
            <v>69.13</v>
          </cell>
          <cell r="I3755">
            <v>89.97</v>
          </cell>
          <cell r="BS3755">
            <v>6.5699999999999932</v>
          </cell>
        </row>
        <row r="3756">
          <cell r="B3756">
            <v>45428</v>
          </cell>
          <cell r="D3756">
            <v>81.825000000000003</v>
          </cell>
          <cell r="E3756">
            <v>83.75</v>
          </cell>
          <cell r="H3756">
            <v>70.41</v>
          </cell>
          <cell r="I3756">
            <v>91.42</v>
          </cell>
          <cell r="BS3756">
            <v>7.6700000000000017</v>
          </cell>
        </row>
        <row r="3757">
          <cell r="B3757">
            <v>45429</v>
          </cell>
          <cell r="D3757">
            <v>82.44</v>
          </cell>
          <cell r="E3757">
            <v>84.64</v>
          </cell>
          <cell r="H3757">
            <v>71.56</v>
          </cell>
          <cell r="I3757">
            <v>92.39</v>
          </cell>
          <cell r="BS3757">
            <v>7.75</v>
          </cell>
        </row>
        <row r="3758">
          <cell r="B3758">
            <v>45432</v>
          </cell>
          <cell r="D3758">
            <v>82.33</v>
          </cell>
          <cell r="E3758">
            <v>85.16</v>
          </cell>
          <cell r="H3758">
            <v>72.400000000000006</v>
          </cell>
          <cell r="I3758">
            <v>93.46</v>
          </cell>
          <cell r="BS3758">
            <v>8.2999999999999972</v>
          </cell>
        </row>
        <row r="3759">
          <cell r="B3759">
            <v>45433</v>
          </cell>
          <cell r="D3759">
            <v>81.5</v>
          </cell>
          <cell r="E3759">
            <v>84.19</v>
          </cell>
          <cell r="H3759">
            <v>71.31</v>
          </cell>
          <cell r="I3759">
            <v>91.42</v>
          </cell>
          <cell r="BS3759">
            <v>7.230000000000004</v>
          </cell>
        </row>
        <row r="3760">
          <cell r="B3760">
            <v>45434</v>
          </cell>
          <cell r="D3760">
            <v>80.724999999999994</v>
          </cell>
          <cell r="E3760" t="str">
            <v/>
          </cell>
          <cell r="H3760">
            <v>0</v>
          </cell>
          <cell r="I3760">
            <v>0</v>
          </cell>
          <cell r="BS3760" t="e">
            <v>#N/A</v>
          </cell>
        </row>
        <row r="3761">
          <cell r="B3761">
            <v>45435</v>
          </cell>
          <cell r="D3761">
            <v>79.72</v>
          </cell>
          <cell r="E3761">
            <v>83.24</v>
          </cell>
          <cell r="H3761">
            <v>70.8</v>
          </cell>
          <cell r="I3761">
            <v>90.22</v>
          </cell>
          <cell r="BS3761">
            <v>6.980000000000004</v>
          </cell>
        </row>
        <row r="3762">
          <cell r="B3762">
            <v>45436</v>
          </cell>
          <cell r="D3762">
            <v>80.004999999999995</v>
          </cell>
          <cell r="E3762">
            <v>82.45</v>
          </cell>
          <cell r="H3762">
            <v>70.19</v>
          </cell>
          <cell r="I3762">
            <v>88.81</v>
          </cell>
          <cell r="BS3762">
            <v>6.3599999999999994</v>
          </cell>
        </row>
        <row r="3763">
          <cell r="B3763">
            <v>45439</v>
          </cell>
          <cell r="D3763" t="str">
            <v/>
          </cell>
          <cell r="E3763">
            <v>83.3</v>
          </cell>
          <cell r="H3763">
            <v>71.180000000000007</v>
          </cell>
          <cell r="I3763">
            <v>88.8</v>
          </cell>
          <cell r="BS3763">
            <v>5.5</v>
          </cell>
        </row>
        <row r="3764">
          <cell r="B3764">
            <v>45440</v>
          </cell>
          <cell r="D3764">
            <v>82.52</v>
          </cell>
          <cell r="E3764">
            <v>84.44</v>
          </cell>
          <cell r="H3764">
            <v>72.739999999999995</v>
          </cell>
          <cell r="I3764">
            <v>88.92</v>
          </cell>
          <cell r="BS3764">
            <v>4.480000000000004</v>
          </cell>
        </row>
        <row r="3765">
          <cell r="B3765">
            <v>45441</v>
          </cell>
          <cell r="D3765">
            <v>82.344999999999999</v>
          </cell>
          <cell r="E3765">
            <v>85.474999999999994</v>
          </cell>
          <cell r="H3765">
            <v>73</v>
          </cell>
          <cell r="I3765">
            <v>89.23</v>
          </cell>
          <cell r="BS3765">
            <v>3.7550000000000097</v>
          </cell>
        </row>
        <row r="3766">
          <cell r="B3766">
            <v>45442</v>
          </cell>
          <cell r="D3766">
            <v>81.19</v>
          </cell>
          <cell r="E3766">
            <v>84.3</v>
          </cell>
          <cell r="H3766">
            <v>72.19</v>
          </cell>
          <cell r="I3766">
            <v>86.57</v>
          </cell>
          <cell r="BS3766">
            <v>2.269999999999996</v>
          </cell>
        </row>
        <row r="3767">
          <cell r="B3767">
            <v>45443</v>
          </cell>
          <cell r="D3767">
            <v>80.180000000000007</v>
          </cell>
          <cell r="E3767">
            <v>83.45</v>
          </cell>
          <cell r="H3767">
            <v>71.22</v>
          </cell>
          <cell r="I3767">
            <v>85.96</v>
          </cell>
          <cell r="BS3767">
            <v>2.5099999999999909</v>
          </cell>
        </row>
        <row r="3768">
          <cell r="B3768">
            <v>45446</v>
          </cell>
          <cell r="D3768">
            <v>76.77</v>
          </cell>
          <cell r="E3768">
            <v>81.894999999999996</v>
          </cell>
          <cell r="H3768">
            <v>70.849999999999994</v>
          </cell>
          <cell r="I3768">
            <v>86.43</v>
          </cell>
          <cell r="BS3768">
            <v>4.5350000000000108</v>
          </cell>
        </row>
        <row r="3769">
          <cell r="B3769">
            <v>45447</v>
          </cell>
          <cell r="D3769">
            <v>76.05</v>
          </cell>
          <cell r="E3769">
            <v>77.88</v>
          </cell>
          <cell r="H3769">
            <v>68.03</v>
          </cell>
          <cell r="I3769">
            <v>83.24</v>
          </cell>
          <cell r="BS3769">
            <v>5.3599999999999994</v>
          </cell>
        </row>
        <row r="3770">
          <cell r="B3770">
            <v>45448</v>
          </cell>
          <cell r="D3770">
            <v>75.92</v>
          </cell>
          <cell r="E3770">
            <v>78.209999999999994</v>
          </cell>
          <cell r="H3770">
            <v>67.900000000000006</v>
          </cell>
          <cell r="I3770">
            <v>84.63</v>
          </cell>
          <cell r="BS3770">
            <v>6.4200000000000017</v>
          </cell>
        </row>
        <row r="3771">
          <cell r="B3771">
            <v>45449</v>
          </cell>
          <cell r="D3771">
            <v>78.540000000000006</v>
          </cell>
          <cell r="E3771">
            <v>79.25</v>
          </cell>
          <cell r="H3771">
            <v>67.849999999999994</v>
          </cell>
          <cell r="I3771">
            <v>85.14</v>
          </cell>
          <cell r="BS3771">
            <v>5.8900000000000006</v>
          </cell>
        </row>
        <row r="3772">
          <cell r="B3772">
            <v>45450</v>
          </cell>
          <cell r="D3772">
            <v>78.314999999999998</v>
          </cell>
          <cell r="E3772">
            <v>80.105000000000004</v>
          </cell>
          <cell r="H3772">
            <v>68.06</v>
          </cell>
          <cell r="I3772">
            <v>85.88</v>
          </cell>
          <cell r="BS3772">
            <v>5.7749999999999915</v>
          </cell>
        </row>
        <row r="3773">
          <cell r="B3773">
            <v>45453</v>
          </cell>
          <cell r="D3773">
            <v>80.004999999999995</v>
          </cell>
          <cell r="E3773">
            <v>80.19</v>
          </cell>
          <cell r="H3773">
            <v>68.67</v>
          </cell>
          <cell r="I3773">
            <v>86.43</v>
          </cell>
          <cell r="BS3773">
            <v>6.2400000000000091</v>
          </cell>
        </row>
        <row r="3774">
          <cell r="B3774">
            <v>45454</v>
          </cell>
          <cell r="D3774">
            <v>80.739999999999995</v>
          </cell>
          <cell r="E3774">
            <v>81.86</v>
          </cell>
          <cell r="H3774">
            <v>70.099999999999994</v>
          </cell>
          <cell r="I3774">
            <v>87.38</v>
          </cell>
          <cell r="BS3774">
            <v>5.519999999999996</v>
          </cell>
        </row>
        <row r="3775">
          <cell r="B3775">
            <v>45455</v>
          </cell>
          <cell r="D3775">
            <v>81.245000000000005</v>
          </cell>
          <cell r="E3775">
            <v>82.65</v>
          </cell>
          <cell r="H3775">
            <v>71.099999999999994</v>
          </cell>
          <cell r="I3775">
            <v>86.9</v>
          </cell>
          <cell r="BS3775">
            <v>4.25</v>
          </cell>
        </row>
        <row r="3776">
          <cell r="B3776">
            <v>45456</v>
          </cell>
          <cell r="D3776">
            <v>81.64</v>
          </cell>
          <cell r="E3776">
            <v>82.08</v>
          </cell>
          <cell r="H3776">
            <v>71.37</v>
          </cell>
          <cell r="I3776">
            <v>85.91</v>
          </cell>
          <cell r="BS3776">
            <v>3.8299999999999983</v>
          </cell>
        </row>
        <row r="3777">
          <cell r="B3777">
            <v>45457</v>
          </cell>
          <cell r="D3777">
            <v>81.73</v>
          </cell>
          <cell r="E3777">
            <v>82.325000000000003</v>
          </cell>
          <cell r="H3777">
            <v>71.02</v>
          </cell>
          <cell r="I3777">
            <v>86.54</v>
          </cell>
          <cell r="BS3777">
            <v>4.2150000000000034</v>
          </cell>
        </row>
        <row r="3778">
          <cell r="B3778">
            <v>45460</v>
          </cell>
          <cell r="D3778">
            <v>83.36</v>
          </cell>
          <cell r="E3778" t="str">
            <v/>
          </cell>
          <cell r="H3778">
            <v>0</v>
          </cell>
          <cell r="I3778">
            <v>0</v>
          </cell>
          <cell r="BS3778" t="e">
            <v>#N/A</v>
          </cell>
        </row>
        <row r="3779">
          <cell r="B3779">
            <v>45461</v>
          </cell>
          <cell r="D3779">
            <v>85.28</v>
          </cell>
          <cell r="E3779">
            <v>83.34</v>
          </cell>
          <cell r="H3779">
            <v>71.739999999999995</v>
          </cell>
          <cell r="I3779">
            <v>88.02</v>
          </cell>
          <cell r="BS3779">
            <v>4.6799999999999926</v>
          </cell>
        </row>
        <row r="3780">
          <cell r="B3780">
            <v>45462</v>
          </cell>
          <cell r="D3780">
            <v>86.185000000000002</v>
          </cell>
          <cell r="E3780">
            <v>84.3</v>
          </cell>
          <cell r="H3780">
            <v>73.27</v>
          </cell>
          <cell r="I3780">
            <v>89.28</v>
          </cell>
          <cell r="BS3780">
            <v>4.980000000000004</v>
          </cell>
        </row>
        <row r="3781">
          <cell r="B3781">
            <v>45463</v>
          </cell>
          <cell r="D3781">
            <v>86.114999999999995</v>
          </cell>
          <cell r="E3781">
            <v>84.53</v>
          </cell>
          <cell r="H3781">
            <v>74.05</v>
          </cell>
          <cell r="I3781">
            <v>89.61</v>
          </cell>
          <cell r="BS3781">
            <v>5.0799999999999983</v>
          </cell>
        </row>
        <row r="3782">
          <cell r="B3782">
            <v>45464</v>
          </cell>
          <cell r="D3782">
            <v>87.015000000000001</v>
          </cell>
          <cell r="E3782">
            <v>84.79</v>
          </cell>
          <cell r="H3782">
            <v>74.349999999999994</v>
          </cell>
          <cell r="I3782">
            <v>90.71</v>
          </cell>
          <cell r="BS3782">
            <v>5.9199999999999875</v>
          </cell>
        </row>
        <row r="3783">
          <cell r="B3783">
            <v>45467</v>
          </cell>
          <cell r="D3783">
            <v>87.114999999999995</v>
          </cell>
          <cell r="E3783">
            <v>84.54</v>
          </cell>
          <cell r="H3783">
            <v>74.17</v>
          </cell>
          <cell r="I3783">
            <v>90.28</v>
          </cell>
          <cell r="BS3783">
            <v>5.7399999999999949</v>
          </cell>
        </row>
        <row r="3784">
          <cell r="B3784">
            <v>45468</v>
          </cell>
          <cell r="D3784">
            <v>86.775000000000006</v>
          </cell>
          <cell r="E3784">
            <v>85.29</v>
          </cell>
          <cell r="H3784">
            <v>74.83</v>
          </cell>
          <cell r="I3784">
            <v>90.33</v>
          </cell>
          <cell r="BS3784">
            <v>5.039999999999992</v>
          </cell>
        </row>
        <row r="3785">
          <cell r="B3785">
            <v>45469</v>
          </cell>
          <cell r="D3785">
            <v>85.27</v>
          </cell>
          <cell r="E3785">
            <v>84.5</v>
          </cell>
          <cell r="H3785">
            <v>75.05</v>
          </cell>
          <cell r="I3785">
            <v>90.41</v>
          </cell>
          <cell r="BS3785">
            <v>5.9099999999999966</v>
          </cell>
        </row>
        <row r="3786">
          <cell r="B3786">
            <v>45470</v>
          </cell>
          <cell r="D3786">
            <v>87.254999999999995</v>
          </cell>
          <cell r="E3786">
            <v>84.94</v>
          </cell>
          <cell r="H3786">
            <v>76</v>
          </cell>
          <cell r="I3786">
            <v>91.27</v>
          </cell>
          <cell r="BS3786">
            <v>6.3299999999999983</v>
          </cell>
        </row>
        <row r="3787">
          <cell r="B3787">
            <v>45471</v>
          </cell>
          <cell r="D3787">
            <v>86.83</v>
          </cell>
          <cell r="E3787">
            <v>85.75</v>
          </cell>
          <cell r="H3787">
            <v>76.44</v>
          </cell>
          <cell r="I3787">
            <v>92.37</v>
          </cell>
          <cell r="BS3787">
            <v>6.6200000000000045</v>
          </cell>
        </row>
        <row r="3788">
          <cell r="B3788">
            <v>45474</v>
          </cell>
          <cell r="D3788">
            <v>88.01</v>
          </cell>
          <cell r="E3788">
            <v>85.66</v>
          </cell>
          <cell r="H3788">
            <v>76.81</v>
          </cell>
          <cell r="I3788">
            <v>93.14</v>
          </cell>
          <cell r="BS3788">
            <v>7.480000000000004</v>
          </cell>
        </row>
        <row r="3789">
          <cell r="B3789">
            <v>45475</v>
          </cell>
          <cell r="D3789">
            <v>88.59</v>
          </cell>
          <cell r="E3789">
            <v>87.094999999999999</v>
          </cell>
          <cell r="H3789">
            <v>77.650000000000006</v>
          </cell>
          <cell r="I3789">
            <v>95.23</v>
          </cell>
          <cell r="BS3789">
            <v>8.1350000000000051</v>
          </cell>
        </row>
        <row r="3790">
          <cell r="B3790">
            <v>45476</v>
          </cell>
          <cell r="D3790">
            <v>87.68</v>
          </cell>
          <cell r="E3790">
            <v>86.59</v>
          </cell>
          <cell r="H3790">
            <v>76.790000000000006</v>
          </cell>
          <cell r="I3790">
            <v>94.88</v>
          </cell>
          <cell r="BS3790">
            <v>8.289999999999992</v>
          </cell>
        </row>
        <row r="3791">
          <cell r="B3791">
            <v>45477</v>
          </cell>
          <cell r="D3791">
            <v>88.96</v>
          </cell>
          <cell r="E3791">
            <v>86.77</v>
          </cell>
          <cell r="H3791">
            <v>76.41</v>
          </cell>
          <cell r="I3791">
            <v>94.59</v>
          </cell>
          <cell r="BS3791">
            <v>7.8200000000000074</v>
          </cell>
        </row>
        <row r="3792">
          <cell r="B3792">
            <v>45478</v>
          </cell>
          <cell r="D3792">
            <v>89.094999999999999</v>
          </cell>
          <cell r="E3792">
            <v>87.65</v>
          </cell>
          <cell r="H3792">
            <v>76.94</v>
          </cell>
          <cell r="I3792">
            <v>94.59</v>
          </cell>
          <cell r="BS3792">
            <v>6.9399999999999977</v>
          </cell>
        </row>
        <row r="3793">
          <cell r="B3793">
            <v>45481</v>
          </cell>
          <cell r="D3793">
            <v>87.73</v>
          </cell>
          <cell r="E3793">
            <v>86.19</v>
          </cell>
          <cell r="H3793">
            <v>76.069999999999993</v>
          </cell>
          <cell r="I3793">
            <v>93.75</v>
          </cell>
          <cell r="BS3793">
            <v>7.5600000000000023</v>
          </cell>
        </row>
        <row r="3794">
          <cell r="B3794">
            <v>45482</v>
          </cell>
          <cell r="D3794">
            <v>86.094999999999999</v>
          </cell>
          <cell r="E3794">
            <v>85.62</v>
          </cell>
          <cell r="H3794">
            <v>75.38</v>
          </cell>
          <cell r="I3794">
            <v>92.61</v>
          </cell>
          <cell r="BS3794">
            <v>6.9899999999999949</v>
          </cell>
        </row>
        <row r="3795">
          <cell r="B3795">
            <v>45483</v>
          </cell>
          <cell r="D3795">
            <v>87.075000000000003</v>
          </cell>
          <cell r="E3795">
            <v>84.58</v>
          </cell>
          <cell r="H3795">
            <v>73.61</v>
          </cell>
          <cell r="I3795">
            <v>91.18</v>
          </cell>
          <cell r="BS3795">
            <v>6.6000000000000085</v>
          </cell>
        </row>
        <row r="3796">
          <cell r="B3796">
            <v>45484</v>
          </cell>
          <cell r="D3796">
            <v>87.314999999999998</v>
          </cell>
          <cell r="E3796">
            <v>85.48</v>
          </cell>
          <cell r="H3796">
            <v>74.42</v>
          </cell>
          <cell r="I3796">
            <v>92.06</v>
          </cell>
          <cell r="BS3796">
            <v>6.5799999999999983</v>
          </cell>
        </row>
        <row r="3797">
          <cell r="B3797">
            <v>45485</v>
          </cell>
          <cell r="D3797">
            <v>87.715000000000003</v>
          </cell>
          <cell r="E3797">
            <v>85.64</v>
          </cell>
          <cell r="H3797">
            <v>74.78</v>
          </cell>
          <cell r="I3797">
            <v>94.08</v>
          </cell>
          <cell r="BS3797">
            <v>8.4399999999999977</v>
          </cell>
        </row>
        <row r="3798">
          <cell r="B3798">
            <v>45488</v>
          </cell>
          <cell r="D3798">
            <v>86.67</v>
          </cell>
          <cell r="E3798">
            <v>84.68</v>
          </cell>
          <cell r="H3798">
            <v>74.540000000000006</v>
          </cell>
          <cell r="I3798">
            <v>93.43</v>
          </cell>
          <cell r="BS3798">
            <v>8.75</v>
          </cell>
        </row>
        <row r="3799">
          <cell r="B3799">
            <v>45489</v>
          </cell>
          <cell r="D3799">
            <v>85.63</v>
          </cell>
          <cell r="E3799">
            <v>83.85</v>
          </cell>
          <cell r="H3799">
            <v>74.12</v>
          </cell>
          <cell r="I3799">
            <v>92.13</v>
          </cell>
          <cell r="BS3799">
            <v>8.2800000000000011</v>
          </cell>
        </row>
        <row r="3800">
          <cell r="B3800">
            <v>45490</v>
          </cell>
          <cell r="D3800">
            <v>86.2</v>
          </cell>
          <cell r="E3800">
            <v>83.7</v>
          </cell>
          <cell r="H3800">
            <v>74.25</v>
          </cell>
          <cell r="I3800">
            <v>91.95</v>
          </cell>
          <cell r="BS3800">
            <v>8.25</v>
          </cell>
        </row>
        <row r="3801">
          <cell r="B3801">
            <v>45491</v>
          </cell>
          <cell r="D3801">
            <v>86.49</v>
          </cell>
          <cell r="E3801">
            <v>84.8</v>
          </cell>
          <cell r="H3801">
            <v>75.58</v>
          </cell>
          <cell r="I3801">
            <v>93.22</v>
          </cell>
          <cell r="BS3801">
            <v>8.4200000000000017</v>
          </cell>
        </row>
        <row r="3802">
          <cell r="B3802">
            <v>45492</v>
          </cell>
          <cell r="D3802">
            <v>85.275000000000006</v>
          </cell>
          <cell r="E3802">
            <v>84.5</v>
          </cell>
          <cell r="H3802">
            <v>75.12</v>
          </cell>
          <cell r="I3802">
            <v>92.42</v>
          </cell>
          <cell r="BS3802">
            <v>7.9200000000000017</v>
          </cell>
        </row>
        <row r="3803">
          <cell r="B3803">
            <v>45495</v>
          </cell>
          <cell r="D3803">
            <v>83.064999999999998</v>
          </cell>
          <cell r="E3803">
            <v>82.38</v>
          </cell>
          <cell r="H3803">
            <v>73.5</v>
          </cell>
          <cell r="I3803">
            <v>90.62</v>
          </cell>
          <cell r="BS3803">
            <v>8.2400000000000091</v>
          </cell>
        </row>
        <row r="3804">
          <cell r="B3804">
            <v>45496</v>
          </cell>
          <cell r="D3804">
            <v>82.09</v>
          </cell>
          <cell r="E3804">
            <v>81.95</v>
          </cell>
          <cell r="H3804">
            <v>73.83</v>
          </cell>
          <cell r="I3804">
            <v>90.57</v>
          </cell>
          <cell r="BS3804">
            <v>8.6199999999999903</v>
          </cell>
        </row>
        <row r="3805">
          <cell r="B3805">
            <v>45497</v>
          </cell>
          <cell r="D3805">
            <v>82.995000000000005</v>
          </cell>
          <cell r="E3805">
            <v>80.650000000000006</v>
          </cell>
          <cell r="H3805">
            <v>72.760000000000005</v>
          </cell>
          <cell r="I3805">
            <v>89.09</v>
          </cell>
          <cell r="BS3805">
            <v>8.4399999999999977</v>
          </cell>
        </row>
        <row r="3806">
          <cell r="B3806">
            <v>45498</v>
          </cell>
          <cell r="D3806">
            <v>82.655000000000001</v>
          </cell>
          <cell r="E3806">
            <v>80.66</v>
          </cell>
          <cell r="H3806">
            <v>72.7</v>
          </cell>
          <cell r="I3806">
            <v>89.73</v>
          </cell>
          <cell r="BS3806">
            <v>9.0700000000000074</v>
          </cell>
        </row>
        <row r="3807">
          <cell r="B3807">
            <v>45499</v>
          </cell>
          <cell r="D3807">
            <v>81.245000000000005</v>
          </cell>
          <cell r="E3807">
            <v>81.34</v>
          </cell>
          <cell r="H3807">
            <v>73.27</v>
          </cell>
          <cell r="I3807">
            <v>90.94</v>
          </cell>
          <cell r="BS3807">
            <v>9.5999999999999943</v>
          </cell>
        </row>
        <row r="3808">
          <cell r="B3808">
            <v>45502</v>
          </cell>
          <cell r="D3808">
            <v>80.864999999999995</v>
          </cell>
          <cell r="E3808">
            <v>79.8</v>
          </cell>
          <cell r="H3808">
            <v>72.02</v>
          </cell>
          <cell r="I3808">
            <v>90.69</v>
          </cell>
          <cell r="BS3808">
            <v>10.89</v>
          </cell>
        </row>
        <row r="3809">
          <cell r="B3809">
            <v>45503</v>
          </cell>
          <cell r="D3809">
            <v>79.14</v>
          </cell>
          <cell r="E3809">
            <v>78.95</v>
          </cell>
          <cell r="H3809">
            <v>70.02</v>
          </cell>
          <cell r="I3809">
            <v>88.91</v>
          </cell>
          <cell r="BS3809">
            <v>9.9599999999999937</v>
          </cell>
        </row>
        <row r="3810">
          <cell r="B3810">
            <v>45504</v>
          </cell>
          <cell r="D3810">
            <v>81.45</v>
          </cell>
          <cell r="E3810">
            <v>79.55</v>
          </cell>
          <cell r="H3810">
            <v>70.95</v>
          </cell>
          <cell r="I3810">
            <v>89.28</v>
          </cell>
          <cell r="BS3810">
            <v>9.730000000000004</v>
          </cell>
        </row>
        <row r="3811">
          <cell r="B3811">
            <v>45505</v>
          </cell>
          <cell r="D3811">
            <v>81.825000000000003</v>
          </cell>
          <cell r="E3811">
            <v>80.540000000000006</v>
          </cell>
          <cell r="H3811">
            <v>72.62</v>
          </cell>
          <cell r="I3811">
            <v>89.4</v>
          </cell>
          <cell r="BS3811">
            <v>8.86</v>
          </cell>
        </row>
        <row r="3812">
          <cell r="B3812">
            <v>45506</v>
          </cell>
          <cell r="D3812">
            <v>78.265000000000001</v>
          </cell>
          <cell r="E3812">
            <v>79.23</v>
          </cell>
          <cell r="H3812">
            <v>72.34</v>
          </cell>
          <cell r="I3812">
            <v>87.7</v>
          </cell>
          <cell r="BS3812">
            <v>8.4699999999999989</v>
          </cell>
        </row>
        <row r="3813">
          <cell r="B3813">
            <v>45509</v>
          </cell>
          <cell r="D3813">
            <v>76.7</v>
          </cell>
          <cell r="E3813">
            <v>74.489999999999995</v>
          </cell>
          <cell r="H3813">
            <v>70.63</v>
          </cell>
          <cell r="I3813">
            <v>82.85</v>
          </cell>
          <cell r="BS3813">
            <v>8.36</v>
          </cell>
        </row>
        <row r="3814">
          <cell r="B3814">
            <v>45510</v>
          </cell>
          <cell r="D3814">
            <v>76.275000000000006</v>
          </cell>
          <cell r="E3814">
            <v>75.040000000000006</v>
          </cell>
          <cell r="H3814">
            <v>71.52</v>
          </cell>
          <cell r="I3814">
            <v>83.27</v>
          </cell>
          <cell r="BS3814">
            <v>8.2299999999999898</v>
          </cell>
        </row>
        <row r="3815">
          <cell r="B3815">
            <v>45511</v>
          </cell>
          <cell r="D3815">
            <v>79.91</v>
          </cell>
          <cell r="E3815">
            <v>75.5</v>
          </cell>
          <cell r="H3815">
            <v>71.05</v>
          </cell>
          <cell r="I3815">
            <v>82.76</v>
          </cell>
          <cell r="BS3815">
            <v>7.2600000000000051</v>
          </cell>
        </row>
        <row r="3816">
          <cell r="B3816">
            <v>45512</v>
          </cell>
          <cell r="D3816">
            <v>81.099999999999994</v>
          </cell>
          <cell r="E3816">
            <v>77.14</v>
          </cell>
          <cell r="H3816">
            <v>72.42</v>
          </cell>
          <cell r="I3816">
            <v>85.03</v>
          </cell>
          <cell r="BS3816">
            <v>7.8900000000000006</v>
          </cell>
        </row>
        <row r="3817">
          <cell r="B3817">
            <v>45513</v>
          </cell>
          <cell r="D3817">
            <v>81.614999999999995</v>
          </cell>
          <cell r="E3817" t="str">
            <v/>
          </cell>
          <cell r="H3817">
            <v>0</v>
          </cell>
          <cell r="I3817">
            <v>0</v>
          </cell>
          <cell r="BS3817" t="e">
            <v>#N/A</v>
          </cell>
        </row>
        <row r="3818">
          <cell r="B3818">
            <v>45516</v>
          </cell>
          <cell r="D3818">
            <v>83.31</v>
          </cell>
          <cell r="E3818">
            <v>78.67</v>
          </cell>
          <cell r="H3818">
            <v>72.86</v>
          </cell>
          <cell r="I3818">
            <v>86.89</v>
          </cell>
          <cell r="BS3818">
            <v>8.2199999999999989</v>
          </cell>
        </row>
        <row r="3819">
          <cell r="B3819">
            <v>45517</v>
          </cell>
          <cell r="D3819">
            <v>83.295000000000002</v>
          </cell>
          <cell r="E3819">
            <v>79.989999999999995</v>
          </cell>
          <cell r="H3819">
            <v>74.05</v>
          </cell>
          <cell r="I3819">
            <v>87.5</v>
          </cell>
          <cell r="BS3819">
            <v>7.5100000000000051</v>
          </cell>
        </row>
        <row r="3820">
          <cell r="B3820">
            <v>45518</v>
          </cell>
          <cell r="D3820">
            <v>82.894999999999996</v>
          </cell>
          <cell r="E3820">
            <v>79.209999999999994</v>
          </cell>
          <cell r="H3820">
            <v>73.459999999999994</v>
          </cell>
          <cell r="I3820">
            <v>86.12</v>
          </cell>
          <cell r="BS3820">
            <v>6.9100000000000108</v>
          </cell>
        </row>
        <row r="3821">
          <cell r="B3821">
            <v>45519</v>
          </cell>
          <cell r="D3821">
            <v>84.17</v>
          </cell>
          <cell r="E3821">
            <v>78.67</v>
          </cell>
          <cell r="H3821">
            <v>72.260000000000005</v>
          </cell>
          <cell r="I3821">
            <v>83.84</v>
          </cell>
          <cell r="BS3821">
            <v>5.1700000000000017</v>
          </cell>
        </row>
        <row r="3822">
          <cell r="B3822">
            <v>45520</v>
          </cell>
          <cell r="D3822">
            <v>82.245000000000005</v>
          </cell>
          <cell r="E3822">
            <v>79.040000000000006</v>
          </cell>
          <cell r="H3822">
            <v>72.260000000000005</v>
          </cell>
          <cell r="I3822">
            <v>85.99</v>
          </cell>
          <cell r="BS3822">
            <v>6.9499999999999886</v>
          </cell>
        </row>
        <row r="3823">
          <cell r="B3823">
            <v>45523</v>
          </cell>
          <cell r="D3823">
            <v>81.754999999999995</v>
          </cell>
          <cell r="E3823">
            <v>77.81</v>
          </cell>
          <cell r="H3823">
            <v>71.45</v>
          </cell>
          <cell r="I3823">
            <v>84.63</v>
          </cell>
          <cell r="BS3823">
            <v>6.8199999999999932</v>
          </cell>
        </row>
        <row r="3824">
          <cell r="B3824">
            <v>45524</v>
          </cell>
          <cell r="D3824">
            <v>79.495000000000005</v>
          </cell>
          <cell r="E3824">
            <v>75.680000000000007</v>
          </cell>
          <cell r="H3824">
            <v>70.75</v>
          </cell>
          <cell r="I3824">
            <v>82.86</v>
          </cell>
          <cell r="BS3824">
            <v>7.1799999999999926</v>
          </cell>
        </row>
        <row r="3825">
          <cell r="B3825">
            <v>45525</v>
          </cell>
          <cell r="D3825">
            <v>79.665000000000006</v>
          </cell>
          <cell r="E3825">
            <v>76.150000000000006</v>
          </cell>
          <cell r="H3825">
            <v>71.98</v>
          </cell>
          <cell r="I3825">
            <v>83.5</v>
          </cell>
          <cell r="BS3825">
            <v>7.3499999999999943</v>
          </cell>
        </row>
        <row r="3826">
          <cell r="B3826">
            <v>45526</v>
          </cell>
          <cell r="D3826">
            <v>79.625</v>
          </cell>
          <cell r="E3826">
            <v>75.150000000000006</v>
          </cell>
          <cell r="H3826">
            <v>71.650000000000006</v>
          </cell>
          <cell r="I3826">
            <v>81.819999999999993</v>
          </cell>
          <cell r="BS3826">
            <v>6.6699999999999875</v>
          </cell>
        </row>
        <row r="3827">
          <cell r="B3827">
            <v>45527</v>
          </cell>
          <cell r="D3827">
            <v>81.064999999999998</v>
          </cell>
          <cell r="E3827">
            <v>76.69</v>
          </cell>
          <cell r="H3827">
            <v>72.459999999999994</v>
          </cell>
          <cell r="I3827">
            <v>83.04</v>
          </cell>
          <cell r="BS3827">
            <v>6.3500000000000085</v>
          </cell>
        </row>
        <row r="3828">
          <cell r="B3828">
            <v>45530</v>
          </cell>
          <cell r="D3828" t="str">
            <v/>
          </cell>
          <cell r="E3828">
            <v>78.55</v>
          </cell>
          <cell r="H3828">
            <v>73.58</v>
          </cell>
          <cell r="I3828">
            <v>85.58</v>
          </cell>
          <cell r="BS3828">
            <v>7.0300000000000011</v>
          </cell>
        </row>
        <row r="3829">
          <cell r="B3829">
            <v>45531</v>
          </cell>
          <cell r="D3829">
            <v>82.35</v>
          </cell>
          <cell r="E3829">
            <v>79.19</v>
          </cell>
          <cell r="H3829">
            <v>74.430000000000007</v>
          </cell>
          <cell r="I3829">
            <v>86.1</v>
          </cell>
          <cell r="BS3829">
            <v>6.9099999999999966</v>
          </cell>
        </row>
        <row r="3830">
          <cell r="B3830">
            <v>45532</v>
          </cell>
          <cell r="D3830">
            <v>81.064999999999998</v>
          </cell>
          <cell r="E3830">
            <v>77.7</v>
          </cell>
          <cell r="H3830">
            <v>72.39</v>
          </cell>
          <cell r="I3830">
            <v>83.14</v>
          </cell>
          <cell r="BS3830">
            <v>5.4399999999999977</v>
          </cell>
        </row>
        <row r="3831">
          <cell r="B3831">
            <v>45533</v>
          </cell>
          <cell r="D3831">
            <v>82.424999999999997</v>
          </cell>
          <cell r="E3831">
            <v>76.66</v>
          </cell>
          <cell r="H3831">
            <v>71.77</v>
          </cell>
          <cell r="I3831">
            <v>81.88</v>
          </cell>
          <cell r="BS3831">
            <v>5.2199999999999989</v>
          </cell>
        </row>
        <row r="3832">
          <cell r="B3832">
            <v>45534</v>
          </cell>
          <cell r="D3832">
            <v>79.984999999999999</v>
          </cell>
          <cell r="E3832">
            <v>78.41</v>
          </cell>
          <cell r="H3832">
            <v>73.650000000000006</v>
          </cell>
          <cell r="I3832">
            <v>84.84</v>
          </cell>
          <cell r="BS3832">
            <v>6.4300000000000068</v>
          </cell>
        </row>
        <row r="3833">
          <cell r="B3833">
            <v>45537</v>
          </cell>
          <cell r="D3833">
            <v>79.62</v>
          </cell>
          <cell r="E3833">
            <v>76.489999999999995</v>
          </cell>
          <cell r="H3833">
            <v>71.48</v>
          </cell>
          <cell r="I3833">
            <v>82.4</v>
          </cell>
          <cell r="BS3833">
            <v>5.9100000000000108</v>
          </cell>
        </row>
        <row r="3834">
          <cell r="B3834">
            <v>45538</v>
          </cell>
          <cell r="D3834">
            <v>75.83</v>
          </cell>
          <cell r="E3834">
            <v>76.63</v>
          </cell>
          <cell r="H3834">
            <v>72.19</v>
          </cell>
          <cell r="I3834">
            <v>83.71</v>
          </cell>
          <cell r="BS3834">
            <v>7.0799999999999983</v>
          </cell>
        </row>
        <row r="3835">
          <cell r="B3835">
            <v>45539</v>
          </cell>
          <cell r="D3835">
            <v>75.224999999999994</v>
          </cell>
          <cell r="E3835">
            <v>73.38</v>
          </cell>
          <cell r="H3835">
            <v>70.13</v>
          </cell>
          <cell r="I3835">
            <v>77.790000000000006</v>
          </cell>
          <cell r="BS3835">
            <v>4.4100000000000108</v>
          </cell>
        </row>
        <row r="3836">
          <cell r="B3836">
            <v>45540</v>
          </cell>
          <cell r="D3836">
            <v>75.040000000000006</v>
          </cell>
          <cell r="E3836">
            <v>73.39</v>
          </cell>
          <cell r="H3836">
            <v>69.900000000000006</v>
          </cell>
          <cell r="I3836">
            <v>77.08</v>
          </cell>
          <cell r="BS3836">
            <v>3.6899999999999977</v>
          </cell>
        </row>
        <row r="3837">
          <cell r="B3837">
            <v>45541</v>
          </cell>
          <cell r="D3837">
            <v>73.025000000000006</v>
          </cell>
          <cell r="E3837">
            <v>73.41</v>
          </cell>
          <cell r="H3837">
            <v>69.010000000000005</v>
          </cell>
          <cell r="I3837">
            <v>76.349999999999994</v>
          </cell>
          <cell r="BS3837">
            <v>2.9399999999999977</v>
          </cell>
        </row>
        <row r="3838">
          <cell r="B3838">
            <v>45544</v>
          </cell>
          <cell r="D3838">
            <v>72.125</v>
          </cell>
          <cell r="E3838">
            <v>72.28</v>
          </cell>
          <cell r="H3838">
            <v>68.19</v>
          </cell>
          <cell r="I3838">
            <v>77.16</v>
          </cell>
          <cell r="BS3838">
            <v>4.8799999999999955</v>
          </cell>
        </row>
        <row r="3839">
          <cell r="B3839">
            <v>45545</v>
          </cell>
          <cell r="D3839">
            <v>70.56</v>
          </cell>
          <cell r="E3839">
            <v>71.88</v>
          </cell>
          <cell r="H3839">
            <v>67.81</v>
          </cell>
          <cell r="I3839">
            <v>76.349999999999994</v>
          </cell>
          <cell r="BS3839">
            <v>4.4699999999999989</v>
          </cell>
        </row>
        <row r="3840">
          <cell r="B3840">
            <v>45546</v>
          </cell>
          <cell r="D3840">
            <v>71.075000000000003</v>
          </cell>
          <cell r="E3840">
            <v>70.95</v>
          </cell>
          <cell r="H3840">
            <v>67.349999999999994</v>
          </cell>
          <cell r="I3840">
            <v>75.61</v>
          </cell>
          <cell r="BS3840">
            <v>4.6599999999999966</v>
          </cell>
        </row>
        <row r="3841">
          <cell r="B3841">
            <v>45547</v>
          </cell>
          <cell r="D3841">
            <v>74.55</v>
          </cell>
          <cell r="E3841">
            <v>71.900000000000006</v>
          </cell>
          <cell r="H3841">
            <v>68.63</v>
          </cell>
          <cell r="I3841">
            <v>76.489999999999995</v>
          </cell>
          <cell r="BS3841">
            <v>4.5899999999999892</v>
          </cell>
        </row>
        <row r="3842">
          <cell r="B3842">
            <v>45548</v>
          </cell>
          <cell r="D3842">
            <v>73.995000000000005</v>
          </cell>
          <cell r="E3842">
            <v>72.790000000000006</v>
          </cell>
          <cell r="H3842">
            <v>69.849999999999994</v>
          </cell>
          <cell r="I3842">
            <v>75.89</v>
          </cell>
          <cell r="BS3842">
            <v>3.0999999999999943</v>
          </cell>
        </row>
        <row r="3843">
          <cell r="B3843">
            <v>45551</v>
          </cell>
          <cell r="D3843">
            <v>73.864999999999995</v>
          </cell>
          <cell r="E3843">
            <v>72.454999999999998</v>
          </cell>
          <cell r="H3843">
            <v>70.14</v>
          </cell>
          <cell r="I3843">
            <v>76.040000000000006</v>
          </cell>
          <cell r="BS3843">
            <v>3.585000000000008</v>
          </cell>
        </row>
        <row r="3844">
          <cell r="B3844">
            <v>45552</v>
          </cell>
          <cell r="D3844">
            <v>74.715000000000003</v>
          </cell>
          <cell r="E3844">
            <v>73.3</v>
          </cell>
          <cell r="H3844">
            <v>70.55</v>
          </cell>
          <cell r="I3844">
            <v>77.430000000000007</v>
          </cell>
          <cell r="BS3844">
            <v>4.1300000000000097</v>
          </cell>
        </row>
        <row r="3845">
          <cell r="B3845">
            <v>45553</v>
          </cell>
          <cell r="D3845">
            <v>75.08</v>
          </cell>
          <cell r="E3845">
            <v>73.45</v>
          </cell>
          <cell r="H3845">
            <v>70.56</v>
          </cell>
          <cell r="I3845">
            <v>79.239999999999995</v>
          </cell>
          <cell r="BS3845">
            <v>5.789999999999992</v>
          </cell>
        </row>
        <row r="3846">
          <cell r="B3846">
            <v>45554</v>
          </cell>
          <cell r="D3846">
            <v>76.58</v>
          </cell>
          <cell r="E3846">
            <v>74.844999999999999</v>
          </cell>
          <cell r="H3846">
            <v>71.459999999999994</v>
          </cell>
          <cell r="I3846">
            <v>81.709999999999994</v>
          </cell>
          <cell r="BS3846">
            <v>6.8649999999999949</v>
          </cell>
        </row>
        <row r="3847">
          <cell r="B3847">
            <v>45555</v>
          </cell>
          <cell r="D3847">
            <v>76.010000000000005</v>
          </cell>
          <cell r="E3847">
            <v>74.19</v>
          </cell>
          <cell r="H3847">
            <v>70.7</v>
          </cell>
          <cell r="I3847">
            <v>81.239999999999995</v>
          </cell>
          <cell r="BS3847">
            <v>7.0499999999999972</v>
          </cell>
        </row>
        <row r="3848">
          <cell r="B3848">
            <v>45558</v>
          </cell>
          <cell r="D3848">
            <v>75.17</v>
          </cell>
          <cell r="E3848">
            <v>74.27</v>
          </cell>
          <cell r="H3848">
            <v>70.45</v>
          </cell>
          <cell r="I3848">
            <v>81.16</v>
          </cell>
          <cell r="BS3848">
            <v>6.8900000000000006</v>
          </cell>
        </row>
        <row r="3849">
          <cell r="B3849">
            <v>45559</v>
          </cell>
          <cell r="D3849">
            <v>75.819999999999993</v>
          </cell>
          <cell r="E3849">
            <v>74.849999999999994</v>
          </cell>
          <cell r="H3849">
            <v>71.150000000000006</v>
          </cell>
          <cell r="I3849">
            <v>80.48</v>
          </cell>
          <cell r="BS3849">
            <v>5.6300000000000097</v>
          </cell>
        </row>
        <row r="3850">
          <cell r="B3850">
            <v>45560</v>
          </cell>
          <cell r="D3850">
            <v>75.265000000000001</v>
          </cell>
          <cell r="E3850">
            <v>74.989999999999995</v>
          </cell>
          <cell r="H3850">
            <v>70.94</v>
          </cell>
          <cell r="I3850">
            <v>80.12</v>
          </cell>
          <cell r="BS3850">
            <v>5.1300000000000097</v>
          </cell>
        </row>
        <row r="3851">
          <cell r="B3851">
            <v>45561</v>
          </cell>
          <cell r="D3851">
            <v>72.5</v>
          </cell>
          <cell r="E3851">
            <v>72.295000000000002</v>
          </cell>
          <cell r="H3851">
            <v>69.150000000000006</v>
          </cell>
          <cell r="I3851">
            <v>77.2</v>
          </cell>
          <cell r="BS3851">
            <v>4.9050000000000011</v>
          </cell>
        </row>
        <row r="3852">
          <cell r="B3852">
            <v>45562</v>
          </cell>
          <cell r="D3852">
            <v>71.974999999999994</v>
          </cell>
          <cell r="E3852">
            <v>72.715000000000003</v>
          </cell>
          <cell r="H3852">
            <v>69.38</v>
          </cell>
          <cell r="I3852">
            <v>77.010000000000005</v>
          </cell>
          <cell r="BS3852">
            <v>4.2950000000000017</v>
          </cell>
        </row>
        <row r="3853">
          <cell r="B3853">
            <v>45565</v>
          </cell>
          <cell r="D3853">
            <v>72.894999999999996</v>
          </cell>
          <cell r="E3853">
            <v>73.33</v>
          </cell>
          <cell r="H3853">
            <v>70.680000000000007</v>
          </cell>
          <cell r="I3853">
            <v>76.94</v>
          </cell>
          <cell r="BS3853">
            <v>3.6099999999999994</v>
          </cell>
        </row>
        <row r="3854">
          <cell r="B3854">
            <v>45566</v>
          </cell>
          <cell r="D3854">
            <v>75.38</v>
          </cell>
          <cell r="E3854">
            <v>70.77</v>
          </cell>
          <cell r="H3854">
            <v>69.209999999999994</v>
          </cell>
          <cell r="I3854">
            <v>73.599999999999994</v>
          </cell>
          <cell r="BS3854">
            <v>2.8299999999999983</v>
          </cell>
        </row>
        <row r="3855">
          <cell r="B3855">
            <v>45567</v>
          </cell>
          <cell r="D3855">
            <v>74.775000000000006</v>
          </cell>
          <cell r="E3855">
            <v>75.2</v>
          </cell>
          <cell r="H3855">
            <v>72.8</v>
          </cell>
          <cell r="I3855">
            <v>78.2</v>
          </cell>
          <cell r="BS3855">
            <v>3</v>
          </cell>
        </row>
        <row r="3856">
          <cell r="B3856">
            <v>45568</v>
          </cell>
          <cell r="D3856">
            <v>77.944999999999993</v>
          </cell>
          <cell r="E3856">
            <v>74.44</v>
          </cell>
          <cell r="H3856">
            <v>73.2</v>
          </cell>
          <cell r="I3856">
            <v>78.849999999999994</v>
          </cell>
          <cell r="BS3856">
            <v>4.4099999999999966</v>
          </cell>
        </row>
        <row r="3857">
          <cell r="B3857">
            <v>45569</v>
          </cell>
          <cell r="D3857">
            <v>79.39</v>
          </cell>
          <cell r="E3857">
            <v>77.88</v>
          </cell>
          <cell r="H3857">
            <v>76.33</v>
          </cell>
          <cell r="I3857">
            <v>82.55</v>
          </cell>
          <cell r="BS3857">
            <v>4.6700000000000017</v>
          </cell>
        </row>
        <row r="3858">
          <cell r="B3858">
            <v>45572</v>
          </cell>
          <cell r="D3858">
            <v>81.2</v>
          </cell>
          <cell r="E3858">
            <v>78.144999999999996</v>
          </cell>
          <cell r="H3858">
            <v>76.319999999999993</v>
          </cell>
          <cell r="I3858">
            <v>82.46</v>
          </cell>
          <cell r="BS3858">
            <v>4.3149999999999977</v>
          </cell>
        </row>
        <row r="3859">
          <cell r="B3859">
            <v>45573</v>
          </cell>
          <cell r="D3859">
            <v>77.844999999999999</v>
          </cell>
          <cell r="E3859">
            <v>78.97</v>
          </cell>
          <cell r="H3859">
            <v>75.790000000000006</v>
          </cell>
          <cell r="I3859">
            <v>83.73</v>
          </cell>
          <cell r="BS3859">
            <v>4.7600000000000051</v>
          </cell>
        </row>
        <row r="3860">
          <cell r="B3860">
            <v>45574</v>
          </cell>
          <cell r="D3860">
            <v>77.665000000000006</v>
          </cell>
          <cell r="E3860">
            <v>77.435000000000002</v>
          </cell>
          <cell r="H3860">
            <v>74.45</v>
          </cell>
          <cell r="I3860">
            <v>82.08</v>
          </cell>
          <cell r="BS3860">
            <v>4.644999999999996</v>
          </cell>
        </row>
        <row r="3861">
          <cell r="B3861">
            <v>45575</v>
          </cell>
          <cell r="D3861">
            <v>79.334999999999994</v>
          </cell>
          <cell r="E3861">
            <v>77.14</v>
          </cell>
          <cell r="H3861">
            <v>74.66</v>
          </cell>
          <cell r="I3861">
            <v>81.95</v>
          </cell>
          <cell r="BS3861">
            <v>4.8100000000000023</v>
          </cell>
        </row>
        <row r="3862">
          <cell r="B3862">
            <v>45576</v>
          </cell>
          <cell r="D3862">
            <v>80.144999999999996</v>
          </cell>
          <cell r="E3862">
            <v>78.59</v>
          </cell>
          <cell r="H3862">
            <v>75.66</v>
          </cell>
          <cell r="I3862">
            <v>83.46</v>
          </cell>
          <cell r="BS3862">
            <v>4.8699999999999903</v>
          </cell>
        </row>
        <row r="3863">
          <cell r="B3863">
            <v>45579</v>
          </cell>
          <cell r="D3863">
            <v>77.81</v>
          </cell>
          <cell r="E3863">
            <v>77.64</v>
          </cell>
          <cell r="H3863">
            <v>75.319999999999993</v>
          </cell>
          <cell r="I3863">
            <v>82.75</v>
          </cell>
          <cell r="BS3863">
            <v>5.1099999999999994</v>
          </cell>
        </row>
        <row r="3864">
          <cell r="B3864">
            <v>45580</v>
          </cell>
          <cell r="D3864">
            <v>73.525000000000006</v>
          </cell>
          <cell r="E3864">
            <v>74.290000000000006</v>
          </cell>
          <cell r="H3864">
            <v>72.25</v>
          </cell>
          <cell r="I3864">
            <v>78.39</v>
          </cell>
          <cell r="BS3864">
            <v>4.0999999999999943</v>
          </cell>
        </row>
        <row r="3865">
          <cell r="B3865">
            <v>45581</v>
          </cell>
          <cell r="D3865">
            <v>73.94</v>
          </cell>
          <cell r="E3865">
            <v>73.989999999999995</v>
          </cell>
          <cell r="H3865">
            <v>71.86</v>
          </cell>
          <cell r="I3865">
            <v>78.459999999999994</v>
          </cell>
          <cell r="BS3865">
            <v>4.4699999999999989</v>
          </cell>
        </row>
        <row r="3866">
          <cell r="B3866">
            <v>45582</v>
          </cell>
          <cell r="D3866">
            <v>74.075000000000003</v>
          </cell>
          <cell r="E3866">
            <v>74.069999999999993</v>
          </cell>
          <cell r="H3866">
            <v>71.92</v>
          </cell>
          <cell r="I3866">
            <v>79.489999999999995</v>
          </cell>
          <cell r="BS3866">
            <v>5.4200000000000017</v>
          </cell>
        </row>
        <row r="3867">
          <cell r="B3867">
            <v>45583</v>
          </cell>
          <cell r="D3867">
            <v>72.55</v>
          </cell>
          <cell r="E3867">
            <v>74.19</v>
          </cell>
          <cell r="H3867">
            <v>71.47</v>
          </cell>
          <cell r="I3867">
            <v>80.98</v>
          </cell>
          <cell r="BS3867">
            <v>6.7900000000000063</v>
          </cell>
        </row>
        <row r="3868">
          <cell r="B3868">
            <v>45586</v>
          </cell>
          <cell r="D3868">
            <v>73.569999999999993</v>
          </cell>
          <cell r="E3868">
            <v>73.540000000000006</v>
          </cell>
          <cell r="H3868">
            <v>71.13</v>
          </cell>
          <cell r="I3868">
            <v>79.31</v>
          </cell>
          <cell r="BS3868">
            <v>5.769999999999996</v>
          </cell>
        </row>
        <row r="3869">
          <cell r="B3869">
            <v>45587</v>
          </cell>
          <cell r="D3869">
            <v>75.77</v>
          </cell>
          <cell r="E3869">
            <v>73.55</v>
          </cell>
          <cell r="H3869">
            <v>71.05</v>
          </cell>
          <cell r="I3869">
            <v>79.06</v>
          </cell>
          <cell r="BS3869">
            <v>5.5100000000000051</v>
          </cell>
        </row>
        <row r="3870">
          <cell r="B3870">
            <v>45588</v>
          </cell>
          <cell r="D3870">
            <v>74.739999999999995</v>
          </cell>
          <cell r="E3870">
            <v>75.06</v>
          </cell>
          <cell r="H3870">
            <v>72.8</v>
          </cell>
          <cell r="I3870">
            <v>79.75</v>
          </cell>
          <cell r="BS3870">
            <v>4.6899999999999977</v>
          </cell>
        </row>
        <row r="3871">
          <cell r="B3871">
            <v>45589</v>
          </cell>
          <cell r="D3871">
            <v>74.515000000000001</v>
          </cell>
          <cell r="E3871">
            <v>75.400000000000006</v>
          </cell>
          <cell r="H3871">
            <v>73.69</v>
          </cell>
          <cell r="I3871">
            <v>79.98</v>
          </cell>
          <cell r="BS3871">
            <v>4.5799999999999983</v>
          </cell>
        </row>
        <row r="3872">
          <cell r="B3872">
            <v>45590</v>
          </cell>
          <cell r="D3872">
            <v>75.834999999999994</v>
          </cell>
          <cell r="E3872">
            <v>73.55</v>
          </cell>
          <cell r="H3872">
            <v>72.489999999999995</v>
          </cell>
          <cell r="I3872">
            <v>78.900000000000006</v>
          </cell>
          <cell r="BS3872">
            <v>5.3500000000000085</v>
          </cell>
        </row>
        <row r="3873">
          <cell r="B3873">
            <v>45593</v>
          </cell>
          <cell r="D3873">
            <v>72.2</v>
          </cell>
          <cell r="E3873">
            <v>72</v>
          </cell>
          <cell r="H3873">
            <v>70.81</v>
          </cell>
          <cell r="I3873">
            <v>76.959999999999994</v>
          </cell>
          <cell r="BS3873">
            <v>4.9599999999999937</v>
          </cell>
        </row>
        <row r="3874">
          <cell r="B3874">
            <v>45594</v>
          </cell>
          <cell r="D3874">
            <v>71.400000000000006</v>
          </cell>
          <cell r="E3874">
            <v>70.819999999999993</v>
          </cell>
          <cell r="H3874">
            <v>70.61</v>
          </cell>
          <cell r="I3874">
            <v>76.430000000000007</v>
          </cell>
          <cell r="BS3874">
            <v>5.6100000000000136</v>
          </cell>
        </row>
        <row r="3875">
          <cell r="B3875">
            <v>45595</v>
          </cell>
          <cell r="D3875">
            <v>73.185000000000002</v>
          </cell>
          <cell r="E3875">
            <v>72.010000000000005</v>
          </cell>
          <cell r="H3875">
            <v>71.05</v>
          </cell>
          <cell r="I3875">
            <v>77.260000000000005</v>
          </cell>
          <cell r="BS3875">
            <v>5.25</v>
          </cell>
        </row>
        <row r="3876">
          <cell r="B3876">
            <v>45596</v>
          </cell>
          <cell r="D3876">
            <v>73.355000000000004</v>
          </cell>
          <cell r="E3876" t="str">
            <v/>
          </cell>
          <cell r="H3876">
            <v>0</v>
          </cell>
          <cell r="I3876">
            <v>0</v>
          </cell>
          <cell r="BS3876" t="e">
            <v>#N/A</v>
          </cell>
        </row>
        <row r="3877">
          <cell r="B3877">
            <v>45597</v>
          </cell>
          <cell r="D3877">
            <v>74.165000000000006</v>
          </cell>
          <cell r="E3877">
            <v>73.59</v>
          </cell>
          <cell r="H3877">
            <v>73.36</v>
          </cell>
          <cell r="I3877">
            <v>79.38</v>
          </cell>
          <cell r="BS3877">
            <v>5.789999999999992</v>
          </cell>
        </row>
        <row r="3878">
          <cell r="B3878">
            <v>45600</v>
          </cell>
          <cell r="D3878">
            <v>75.569999999999993</v>
          </cell>
          <cell r="E3878">
            <v>73.52</v>
          </cell>
          <cell r="H3878">
            <v>73.14</v>
          </cell>
          <cell r="I3878">
            <v>80.31</v>
          </cell>
          <cell r="BS3878">
            <v>6.7900000000000063</v>
          </cell>
        </row>
        <row r="3879">
          <cell r="B3879">
            <v>45601</v>
          </cell>
          <cell r="D3879">
            <v>76.94</v>
          </cell>
          <cell r="E3879">
            <v>74.14</v>
          </cell>
          <cell r="H3879">
            <v>73.06</v>
          </cell>
          <cell r="I3879">
            <v>81.2</v>
          </cell>
          <cell r="BS3879">
            <v>7.0600000000000023</v>
          </cell>
        </row>
        <row r="3880">
          <cell r="B3880">
            <v>45602</v>
          </cell>
          <cell r="D3880">
            <v>76.114999999999995</v>
          </cell>
          <cell r="E3880">
            <v>73.295000000000002</v>
          </cell>
          <cell r="H3880">
            <v>72.05</v>
          </cell>
          <cell r="I3880">
            <v>78.989999999999995</v>
          </cell>
          <cell r="BS3880">
            <v>5.6949999999999932</v>
          </cell>
        </row>
        <row r="3881">
          <cell r="B3881">
            <v>45603</v>
          </cell>
          <cell r="D3881">
            <v>75.64</v>
          </cell>
          <cell r="E3881">
            <v>74.010000000000005</v>
          </cell>
          <cell r="H3881">
            <v>72.36</v>
          </cell>
          <cell r="I3881">
            <v>79.66</v>
          </cell>
          <cell r="BS3881">
            <v>5.6499999999999915</v>
          </cell>
        </row>
        <row r="3882">
          <cell r="B3882">
            <v>45604</v>
          </cell>
          <cell r="D3882">
            <v>74.064999999999998</v>
          </cell>
          <cell r="E3882">
            <v>73.849999999999994</v>
          </cell>
          <cell r="H3882">
            <v>71.75</v>
          </cell>
          <cell r="I3882">
            <v>79.849999999999994</v>
          </cell>
          <cell r="BS3882">
            <v>6</v>
          </cell>
        </row>
        <row r="3883">
          <cell r="B3883">
            <v>45607</v>
          </cell>
          <cell r="D3883">
            <v>72.37</v>
          </cell>
          <cell r="E3883">
            <v>73.09</v>
          </cell>
          <cell r="H3883">
            <v>70.97</v>
          </cell>
          <cell r="I3883">
            <v>78.489999999999995</v>
          </cell>
          <cell r="BS3883">
            <v>5.3999999999999915</v>
          </cell>
        </row>
        <row r="3884">
          <cell r="B3884">
            <v>45608</v>
          </cell>
          <cell r="D3884">
            <v>72.915000000000006</v>
          </cell>
          <cell r="E3884">
            <v>71.08</v>
          </cell>
          <cell r="H3884">
            <v>68.97</v>
          </cell>
          <cell r="I3884">
            <v>76.91</v>
          </cell>
          <cell r="BS3884">
            <v>5.8299999999999983</v>
          </cell>
        </row>
        <row r="3885">
          <cell r="B3885">
            <v>45609</v>
          </cell>
          <cell r="D3885">
            <v>73.555000000000007</v>
          </cell>
          <cell r="E3885">
            <v>71.144999999999996</v>
          </cell>
          <cell r="H3885">
            <v>68.55</v>
          </cell>
          <cell r="I3885">
            <v>76.36</v>
          </cell>
          <cell r="BS3885">
            <v>5.2150000000000034</v>
          </cell>
        </row>
        <row r="3886">
          <cell r="B3886">
            <v>45610</v>
          </cell>
          <cell r="D3886">
            <v>73.67</v>
          </cell>
          <cell r="E3886">
            <v>71.42</v>
          </cell>
          <cell r="H3886">
            <v>67.72</v>
          </cell>
          <cell r="I3886">
            <v>76.52</v>
          </cell>
          <cell r="BS3886">
            <v>5.0999999999999943</v>
          </cell>
        </row>
        <row r="3887">
          <cell r="B3887">
            <v>45611</v>
          </cell>
          <cell r="D3887">
            <v>73.489999999999995</v>
          </cell>
          <cell r="E3887">
            <v>70.739999999999995</v>
          </cell>
          <cell r="H3887">
            <v>66.47</v>
          </cell>
          <cell r="I3887">
            <v>76.23</v>
          </cell>
          <cell r="BS3887">
            <v>5.4900000000000091</v>
          </cell>
        </row>
        <row r="3888">
          <cell r="B3888">
            <v>45614</v>
          </cell>
          <cell r="D3888">
            <v>74.534999999999997</v>
          </cell>
          <cell r="E3888">
            <v>70.504999999999995</v>
          </cell>
          <cell r="H3888">
            <v>66.400000000000006</v>
          </cell>
          <cell r="I3888">
            <v>77.28</v>
          </cell>
          <cell r="BS3888">
            <v>6.7750000000000057</v>
          </cell>
        </row>
        <row r="3889">
          <cell r="B3889">
            <v>45615</v>
          </cell>
          <cell r="D3889">
            <v>74.05</v>
          </cell>
          <cell r="E3889">
            <v>72.260000000000005</v>
          </cell>
          <cell r="H3889">
            <v>68.02</v>
          </cell>
          <cell r="I3889">
            <v>78.56</v>
          </cell>
          <cell r="BS3889">
            <v>6.2999999999999972</v>
          </cell>
        </row>
        <row r="3890">
          <cell r="B3890">
            <v>45616</v>
          </cell>
          <cell r="D3890">
            <v>74.52</v>
          </cell>
          <cell r="E3890">
            <v>72.849999999999994</v>
          </cell>
          <cell r="H3890">
            <v>69.150000000000006</v>
          </cell>
          <cell r="I3890">
            <v>79.3</v>
          </cell>
          <cell r="BS3890">
            <v>6.4500000000000028</v>
          </cell>
        </row>
        <row r="3891">
          <cell r="B3891">
            <v>45617</v>
          </cell>
          <cell r="D3891">
            <v>75.209999999999994</v>
          </cell>
          <cell r="E3891">
            <v>72.83</v>
          </cell>
          <cell r="H3891">
            <v>69.59</v>
          </cell>
          <cell r="I3891">
            <v>79.38</v>
          </cell>
          <cell r="BS3891">
            <v>6.5499999999999972</v>
          </cell>
        </row>
        <row r="3892">
          <cell r="B3892">
            <v>45618</v>
          </cell>
          <cell r="D3892">
            <v>76.114999999999995</v>
          </cell>
          <cell r="E3892">
            <v>74.150000000000006</v>
          </cell>
          <cell r="H3892">
            <v>70.28</v>
          </cell>
          <cell r="I3892">
            <v>80.319999999999993</v>
          </cell>
          <cell r="BS3892">
            <v>6.1699999999999875</v>
          </cell>
        </row>
        <row r="3893">
          <cell r="B3893">
            <v>45621</v>
          </cell>
          <cell r="D3893">
            <v>74.290000000000006</v>
          </cell>
          <cell r="E3893">
            <v>73.540000000000006</v>
          </cell>
          <cell r="H3893">
            <v>69.510000000000005</v>
          </cell>
          <cell r="I3893">
            <v>81.55</v>
          </cell>
          <cell r="BS3893">
            <v>8.0099999999999909</v>
          </cell>
        </row>
        <row r="3894">
          <cell r="B3894">
            <v>45622</v>
          </cell>
          <cell r="D3894">
            <v>74.584999999999994</v>
          </cell>
          <cell r="E3894">
            <v>72.510000000000005</v>
          </cell>
          <cell r="H3894">
            <v>68.400000000000006</v>
          </cell>
          <cell r="I3894">
            <v>80.31</v>
          </cell>
          <cell r="BS3894">
            <v>7.7999999999999972</v>
          </cell>
        </row>
        <row r="3895">
          <cell r="B3895">
            <v>45623</v>
          </cell>
          <cell r="D3895">
            <v>73.930000000000007</v>
          </cell>
          <cell r="E3895">
            <v>72.25</v>
          </cell>
          <cell r="H3895">
            <v>67.84</v>
          </cell>
          <cell r="I3895">
            <v>80.239999999999995</v>
          </cell>
          <cell r="BS3895">
            <v>7.9899999999999949</v>
          </cell>
        </row>
        <row r="3896">
          <cell r="B3896">
            <v>45624</v>
          </cell>
          <cell r="D3896">
            <v>73.864999999999995</v>
          </cell>
          <cell r="E3896">
            <v>71.849999999999994</v>
          </cell>
          <cell r="H3896">
            <v>67.67</v>
          </cell>
          <cell r="I3896">
            <v>79.73</v>
          </cell>
          <cell r="BS3896">
            <v>7.8800000000000097</v>
          </cell>
        </row>
        <row r="3897">
          <cell r="B3897">
            <v>45625</v>
          </cell>
          <cell r="D3897">
            <v>74.31</v>
          </cell>
          <cell r="E3897">
            <v>72.349999999999994</v>
          </cell>
          <cell r="H3897">
            <v>68.34</v>
          </cell>
          <cell r="I3897">
            <v>80.27</v>
          </cell>
          <cell r="BS3897">
            <v>7.9200000000000017</v>
          </cell>
        </row>
        <row r="3898">
          <cell r="B3898">
            <v>45628</v>
          </cell>
          <cell r="D3898">
            <v>73.05</v>
          </cell>
          <cell r="E3898">
            <v>72.099999999999994</v>
          </cell>
          <cell r="H3898">
            <v>67.930000000000007</v>
          </cell>
          <cell r="I3898">
            <v>80.44</v>
          </cell>
          <cell r="BS3898">
            <v>8.3400000000000034</v>
          </cell>
        </row>
        <row r="3899">
          <cell r="B3899">
            <v>45629</v>
          </cell>
          <cell r="D3899">
            <v>75.02</v>
          </cell>
          <cell r="E3899">
            <v>71.89</v>
          </cell>
          <cell r="H3899">
            <v>67.349999999999994</v>
          </cell>
          <cell r="I3899">
            <v>80.83</v>
          </cell>
          <cell r="BS3899">
            <v>8.9399999999999977</v>
          </cell>
        </row>
        <row r="3900">
          <cell r="B3900">
            <v>45630</v>
          </cell>
          <cell r="D3900">
            <v>74.94</v>
          </cell>
          <cell r="E3900">
            <v>73.394999999999996</v>
          </cell>
          <cell r="H3900">
            <v>68.19</v>
          </cell>
          <cell r="I3900">
            <v>82.53</v>
          </cell>
          <cell r="BS3900">
            <v>9.1350000000000051</v>
          </cell>
        </row>
        <row r="3901">
          <cell r="B3901">
            <v>45631</v>
          </cell>
          <cell r="D3901">
            <v>73.885000000000005</v>
          </cell>
          <cell r="E3901">
            <v>72.099999999999994</v>
          </cell>
          <cell r="H3901">
            <v>67.25</v>
          </cell>
          <cell r="I3901">
            <v>80.81</v>
          </cell>
          <cell r="BS3901">
            <v>8.710000000000008</v>
          </cell>
        </row>
        <row r="3902">
          <cell r="B3902">
            <v>45632</v>
          </cell>
          <cell r="D3902">
            <v>72.739999999999995</v>
          </cell>
          <cell r="E3902">
            <v>71.709999999999994</v>
          </cell>
          <cell r="H3902">
            <v>67.06</v>
          </cell>
          <cell r="I3902">
            <v>79.849999999999994</v>
          </cell>
          <cell r="BS3902">
            <v>8.14</v>
          </cell>
        </row>
        <row r="3903">
          <cell r="B3903">
            <v>45635</v>
          </cell>
          <cell r="D3903">
            <v>73.760000000000005</v>
          </cell>
          <cell r="E3903">
            <v>71.760000000000005</v>
          </cell>
          <cell r="H3903">
            <v>67.510000000000005</v>
          </cell>
          <cell r="I3903">
            <v>80.06</v>
          </cell>
          <cell r="BS3903">
            <v>8.2999999999999972</v>
          </cell>
        </row>
        <row r="3904">
          <cell r="B3904">
            <v>45636</v>
          </cell>
          <cell r="D3904">
            <v>73.894999999999996</v>
          </cell>
          <cell r="E3904">
            <v>71.67</v>
          </cell>
          <cell r="H3904">
            <v>68.010000000000005</v>
          </cell>
          <cell r="I3904">
            <v>80.959999999999994</v>
          </cell>
          <cell r="BS3904">
            <v>9.289999999999992</v>
          </cell>
        </row>
        <row r="3905">
          <cell r="B3905">
            <v>45637</v>
          </cell>
          <cell r="D3905">
            <v>74.319999999999993</v>
          </cell>
          <cell r="E3905">
            <v>72.224999999999994</v>
          </cell>
          <cell r="H3905">
            <v>68.53</v>
          </cell>
          <cell r="I3905">
            <v>82.07</v>
          </cell>
          <cell r="BS3905">
            <v>9.8449999999999989</v>
          </cell>
        </row>
        <row r="3906">
          <cell r="B3906">
            <v>45638</v>
          </cell>
          <cell r="D3906">
            <v>73.61</v>
          </cell>
          <cell r="E3906">
            <v>73.66</v>
          </cell>
          <cell r="H3906">
            <v>69.98</v>
          </cell>
          <cell r="I3906">
            <v>83.44</v>
          </cell>
          <cell r="BS3906">
            <v>9.7800000000000011</v>
          </cell>
        </row>
        <row r="3907">
          <cell r="B3907">
            <v>45639</v>
          </cell>
          <cell r="D3907">
            <v>75.084999999999994</v>
          </cell>
          <cell r="E3907">
            <v>73.459999999999994</v>
          </cell>
          <cell r="H3907">
            <v>69.650000000000006</v>
          </cell>
          <cell r="I3907">
            <v>83.52</v>
          </cell>
          <cell r="BS3907">
            <v>10.060000000000002</v>
          </cell>
        </row>
        <row r="3908">
          <cell r="B3908">
            <v>45642</v>
          </cell>
          <cell r="D3908">
            <v>74.739999999999995</v>
          </cell>
          <cell r="E3908">
            <v>74.16</v>
          </cell>
          <cell r="H3908">
            <v>70.11</v>
          </cell>
          <cell r="I3908">
            <v>83.13</v>
          </cell>
          <cell r="BS3908">
            <v>8.9699999999999989</v>
          </cell>
        </row>
        <row r="3909">
          <cell r="B3909">
            <v>45643</v>
          </cell>
          <cell r="D3909">
            <v>73.680000000000007</v>
          </cell>
          <cell r="E3909">
            <v>73.55</v>
          </cell>
          <cell r="H3909">
            <v>69.41</v>
          </cell>
          <cell r="I3909">
            <v>82.19</v>
          </cell>
          <cell r="BS3909">
            <v>8.64</v>
          </cell>
        </row>
        <row r="3910">
          <cell r="B3910">
            <v>45644</v>
          </cell>
          <cell r="D3910">
            <v>74.995000000000005</v>
          </cell>
          <cell r="E3910">
            <v>73.599999999999994</v>
          </cell>
          <cell r="H3910">
            <v>69.52</v>
          </cell>
          <cell r="I3910">
            <v>82.05</v>
          </cell>
          <cell r="BS3910">
            <v>8.4500000000000028</v>
          </cell>
        </row>
        <row r="3911">
          <cell r="B3911">
            <v>45645</v>
          </cell>
          <cell r="D3911">
            <v>73.715000000000003</v>
          </cell>
          <cell r="E3911">
            <v>72.86</v>
          </cell>
          <cell r="H3911">
            <v>69.33</v>
          </cell>
          <cell r="I3911">
            <v>80.650000000000006</v>
          </cell>
          <cell r="BS3911">
            <v>7.7900000000000063</v>
          </cell>
        </row>
        <row r="3912">
          <cell r="B3912">
            <v>45646</v>
          </cell>
          <cell r="D3912">
            <v>73.540000000000006</v>
          </cell>
          <cell r="E3912">
            <v>72.644999999999996</v>
          </cell>
          <cell r="H3912">
            <v>68.8</v>
          </cell>
          <cell r="I3912">
            <v>79.709999999999994</v>
          </cell>
          <cell r="BS3912">
            <v>7.0649999999999977</v>
          </cell>
        </row>
        <row r="3913">
          <cell r="B3913">
            <v>45649</v>
          </cell>
          <cell r="D3913">
            <v>71.92</v>
          </cell>
          <cell r="E3913">
            <v>73.34</v>
          </cell>
          <cell r="H3913">
            <v>69.849999999999994</v>
          </cell>
          <cell r="I3913">
            <v>80.510000000000005</v>
          </cell>
          <cell r="BS3913">
            <v>7.1700000000000017</v>
          </cell>
        </row>
        <row r="3914">
          <cell r="B3914">
            <v>45650</v>
          </cell>
          <cell r="D3914">
            <v>73.165000000000006</v>
          </cell>
          <cell r="E3914">
            <v>73.290000000000006</v>
          </cell>
          <cell r="H3914">
            <v>69.790000000000006</v>
          </cell>
          <cell r="I3914">
            <v>80.42</v>
          </cell>
          <cell r="BS3914">
            <v>7.1299999999999955</v>
          </cell>
        </row>
        <row r="3915">
          <cell r="B3915">
            <v>45651</v>
          </cell>
          <cell r="D3915" t="str">
            <v/>
          </cell>
          <cell r="E3915" t="str">
            <v/>
          </cell>
          <cell r="H3915">
            <v>0</v>
          </cell>
          <cell r="I3915">
            <v>0</v>
          </cell>
          <cell r="BS3915" t="e">
            <v>#N/A</v>
          </cell>
        </row>
        <row r="3916">
          <cell r="B3916">
            <v>45652</v>
          </cell>
          <cell r="D3916" t="str">
            <v/>
          </cell>
          <cell r="E3916">
            <v>74.55</v>
          </cell>
          <cell r="H3916">
            <v>70.16</v>
          </cell>
          <cell r="I3916">
            <v>81.11</v>
          </cell>
          <cell r="BS3916">
            <v>6.5600000000000023</v>
          </cell>
        </row>
        <row r="3917">
          <cell r="B3917">
            <v>45653</v>
          </cell>
          <cell r="D3917">
            <v>74.09</v>
          </cell>
          <cell r="E3917">
            <v>74.66</v>
          </cell>
          <cell r="H3917">
            <v>69.69</v>
          </cell>
          <cell r="I3917">
            <v>80.67</v>
          </cell>
          <cell r="BS3917">
            <v>6.0100000000000051</v>
          </cell>
        </row>
        <row r="3918">
          <cell r="B3918">
            <v>45656</v>
          </cell>
          <cell r="D3918">
            <v>74.08</v>
          </cell>
          <cell r="E3918">
            <v>75.34</v>
          </cell>
          <cell r="H3918">
            <v>70.239999999999995</v>
          </cell>
          <cell r="I3918">
            <v>81.290000000000006</v>
          </cell>
          <cell r="BS3918">
            <v>5.9500000000000028</v>
          </cell>
        </row>
        <row r="3919">
          <cell r="B3919">
            <v>45657</v>
          </cell>
          <cell r="D3919">
            <v>74.644999999999996</v>
          </cell>
          <cell r="E3919">
            <v>75.95</v>
          </cell>
          <cell r="H3919">
            <v>71.58</v>
          </cell>
          <cell r="I3919">
            <v>82.15</v>
          </cell>
          <cell r="BS3919">
            <v>6.2000000000000028</v>
          </cell>
        </row>
        <row r="3920">
          <cell r="B3920">
            <v>45658</v>
          </cell>
          <cell r="D3920" t="str">
            <v/>
          </cell>
          <cell r="E3920" t="str">
            <v/>
          </cell>
          <cell r="H3920">
            <v>0</v>
          </cell>
          <cell r="I3920">
            <v>0</v>
          </cell>
          <cell r="BS3920" t="e">
            <v>#N/A</v>
          </cell>
        </row>
        <row r="3921">
          <cell r="B3921">
            <v>45659</v>
          </cell>
          <cell r="D3921">
            <v>76.53</v>
          </cell>
          <cell r="E3921">
            <v>75.2</v>
          </cell>
          <cell r="H3921">
            <v>71.97</v>
          </cell>
          <cell r="I3921">
            <v>82.95</v>
          </cell>
          <cell r="BS3921">
            <v>7.75</v>
          </cell>
        </row>
        <row r="3922">
          <cell r="B3922">
            <v>45660</v>
          </cell>
          <cell r="D3922">
            <v>76.760000000000005</v>
          </cell>
          <cell r="E3922">
            <v>76.52</v>
          </cell>
          <cell r="H3922">
            <v>73.47</v>
          </cell>
          <cell r="I3922">
            <v>83.74</v>
          </cell>
          <cell r="BS3922">
            <v>7.2199999999999989</v>
          </cell>
        </row>
        <row r="3923">
          <cell r="B3923">
            <v>45663</v>
          </cell>
          <cell r="D3923">
            <v>77.569999999999993</v>
          </cell>
          <cell r="E3923">
            <v>76.56</v>
          </cell>
          <cell r="H3923">
            <v>72.12</v>
          </cell>
          <cell r="I3923">
            <v>83.61</v>
          </cell>
          <cell r="BS3923">
            <v>7.0499999999999972</v>
          </cell>
        </row>
        <row r="3924">
          <cell r="B3924">
            <v>45664</v>
          </cell>
          <cell r="D3924">
            <v>77.89</v>
          </cell>
          <cell r="E3924">
            <v>76.319999999999993</v>
          </cell>
          <cell r="H3924">
            <v>71.680000000000007</v>
          </cell>
          <cell r="I3924">
            <v>83.15</v>
          </cell>
          <cell r="BS3924">
            <v>6.8300000000000125</v>
          </cell>
        </row>
        <row r="3925">
          <cell r="B3925">
            <v>45665</v>
          </cell>
          <cell r="D3925">
            <v>77.234999999999999</v>
          </cell>
          <cell r="E3925">
            <v>77.66</v>
          </cell>
          <cell r="H3925">
            <v>72.42</v>
          </cell>
          <cell r="I3925">
            <v>83.35</v>
          </cell>
          <cell r="BS3925">
            <v>5.6899999999999977</v>
          </cell>
        </row>
        <row r="3926">
          <cell r="B3926">
            <v>45666</v>
          </cell>
          <cell r="D3926">
            <v>78.05</v>
          </cell>
          <cell r="E3926">
            <v>76.444999999999993</v>
          </cell>
          <cell r="H3926">
            <v>71.75</v>
          </cell>
          <cell r="I3926">
            <v>82.78</v>
          </cell>
          <cell r="BS3926">
            <v>6.335000000000008</v>
          </cell>
        </row>
        <row r="3927">
          <cell r="B3927">
            <v>45667</v>
          </cell>
          <cell r="D3927">
            <v>80.375</v>
          </cell>
          <cell r="E3927">
            <v>77.94</v>
          </cell>
          <cell r="H3927">
            <v>72.09</v>
          </cell>
          <cell r="I3927">
            <v>84.01</v>
          </cell>
          <cell r="BS3927">
            <v>6.0700000000000074</v>
          </cell>
        </row>
        <row r="3928">
          <cell r="B3928">
            <v>45670</v>
          </cell>
          <cell r="D3928">
            <v>82.974999999999994</v>
          </cell>
          <cell r="E3928">
            <v>82.39</v>
          </cell>
          <cell r="H3928">
            <v>74.09</v>
          </cell>
          <cell r="I3928">
            <v>87.14</v>
          </cell>
          <cell r="BS3928">
            <v>4.75</v>
          </cell>
        </row>
        <row r="3929">
          <cell r="B3929">
            <v>45671</v>
          </cell>
          <cell r="D3929">
            <v>81.894999999999996</v>
          </cell>
          <cell r="E3929">
            <v>82.25</v>
          </cell>
          <cell r="H3929">
            <v>73.819999999999993</v>
          </cell>
          <cell r="I3929">
            <v>86.3</v>
          </cell>
          <cell r="BS3929">
            <v>4.0499999999999972</v>
          </cell>
        </row>
        <row r="3930">
          <cell r="B3930">
            <v>45672</v>
          </cell>
          <cell r="D3930">
            <v>83.06</v>
          </cell>
          <cell r="E3930">
            <v>82.254999999999995</v>
          </cell>
          <cell r="H3930">
            <v>73.599999999999994</v>
          </cell>
          <cell r="I3930">
            <v>86.34</v>
          </cell>
          <cell r="BS3930">
            <v>4.085000000000008</v>
          </cell>
        </row>
        <row r="3931">
          <cell r="B3931">
            <v>45673</v>
          </cell>
          <cell r="D3931">
            <v>82.18</v>
          </cell>
          <cell r="E3931">
            <v>84.55</v>
          </cell>
          <cell r="H3931">
            <v>74.069999999999993</v>
          </cell>
          <cell r="I3931">
            <v>86.78</v>
          </cell>
          <cell r="BS3931">
            <v>2.230000000000004</v>
          </cell>
        </row>
        <row r="3932">
          <cell r="B3932">
            <v>45674</v>
          </cell>
          <cell r="D3932">
            <v>82.254999999999995</v>
          </cell>
          <cell r="E3932">
            <v>84.6</v>
          </cell>
          <cell r="H3932">
            <v>73.8</v>
          </cell>
          <cell r="I3932">
            <v>85.58</v>
          </cell>
          <cell r="BS3932">
            <v>0.98000000000000398</v>
          </cell>
        </row>
        <row r="3933">
          <cell r="B3933">
            <v>45677</v>
          </cell>
          <cell r="D3933">
            <v>80.75</v>
          </cell>
          <cell r="E3933">
            <v>83.55</v>
          </cell>
          <cell r="H3933">
            <v>73.209999999999994</v>
          </cell>
          <cell r="I3933">
            <v>84.54</v>
          </cell>
          <cell r="BS3933">
            <v>0.99000000000000909</v>
          </cell>
        </row>
        <row r="3934">
          <cell r="B3934">
            <v>45678</v>
          </cell>
          <cell r="D3934">
            <v>80.319999999999993</v>
          </cell>
          <cell r="E3934">
            <v>83.07</v>
          </cell>
          <cell r="H3934">
            <v>73.209999999999994</v>
          </cell>
          <cell r="I3934">
            <v>83.43</v>
          </cell>
          <cell r="BS3934">
            <v>0.36000000000001364</v>
          </cell>
        </row>
        <row r="3935">
          <cell r="B3935">
            <v>45679</v>
          </cell>
          <cell r="D3935">
            <v>79.814999999999998</v>
          </cell>
          <cell r="E3935">
            <v>82.2</v>
          </cell>
          <cell r="H3935">
            <v>72.59</v>
          </cell>
          <cell r="I3935">
            <v>83.26</v>
          </cell>
          <cell r="BS3935">
            <v>1.0600000000000023</v>
          </cell>
        </row>
        <row r="3936">
          <cell r="B3936">
            <v>45680</v>
          </cell>
          <cell r="D3936">
            <v>78.78</v>
          </cell>
          <cell r="E3936">
            <v>82.12</v>
          </cell>
          <cell r="H3936">
            <v>72.66</v>
          </cell>
          <cell r="I3936">
            <v>83.9</v>
          </cell>
          <cell r="BS3936">
            <v>1.7800000000000011</v>
          </cell>
        </row>
        <row r="3937">
          <cell r="B3937">
            <v>45681</v>
          </cell>
          <cell r="D3937">
            <v>78.75</v>
          </cell>
          <cell r="E3937">
            <v>81.84</v>
          </cell>
          <cell r="H3937">
            <v>72.89</v>
          </cell>
          <cell r="I3937">
            <v>83.9</v>
          </cell>
          <cell r="BS3937">
            <v>2.0600000000000023</v>
          </cell>
        </row>
        <row r="3938">
          <cell r="B3938">
            <v>45684</v>
          </cell>
          <cell r="D3938">
            <v>77.91</v>
          </cell>
          <cell r="E3938">
            <v>81.58</v>
          </cell>
          <cell r="H3938">
            <v>73.13</v>
          </cell>
          <cell r="I3938">
            <v>85.08</v>
          </cell>
          <cell r="BS3938">
            <v>3.5</v>
          </cell>
        </row>
        <row r="3939">
          <cell r="B3939">
            <v>45685</v>
          </cell>
          <cell r="D3939">
            <v>77.704999999999998</v>
          </cell>
          <cell r="E3939">
            <v>81.25</v>
          </cell>
          <cell r="H3939">
            <v>72.36</v>
          </cell>
          <cell r="I3939">
            <v>84.91</v>
          </cell>
          <cell r="BS3939">
            <v>3.6599999999999966</v>
          </cell>
        </row>
        <row r="3940">
          <cell r="B3940">
            <v>45686</v>
          </cell>
          <cell r="D3940">
            <v>77.825000000000003</v>
          </cell>
          <cell r="E3940" t="str">
            <v/>
          </cell>
          <cell r="H3940">
            <v>0</v>
          </cell>
          <cell r="I3940">
            <v>0</v>
          </cell>
          <cell r="BS3940" t="e">
            <v>#N/A</v>
          </cell>
        </row>
        <row r="3941">
          <cell r="B3941">
            <v>45687</v>
          </cell>
          <cell r="D3941">
            <v>77.474999999999994</v>
          </cell>
          <cell r="E3941" t="str">
            <v/>
          </cell>
          <cell r="H3941">
            <v>0</v>
          </cell>
          <cell r="I3941">
            <v>0</v>
          </cell>
          <cell r="BS3941" t="e">
            <v>#N/A</v>
          </cell>
        </row>
        <row r="3942">
          <cell r="B3942">
            <v>45688</v>
          </cell>
          <cell r="D3942">
            <v>77.05</v>
          </cell>
          <cell r="E3942">
            <v>79.894999999999996</v>
          </cell>
          <cell r="H3942">
            <v>71.91</v>
          </cell>
          <cell r="I3942">
            <v>84.88</v>
          </cell>
          <cell r="BS3942">
            <v>4.9849999999999994</v>
          </cell>
        </row>
        <row r="3943">
          <cell r="B3943">
            <v>45691</v>
          </cell>
          <cell r="D3943">
            <v>76.08</v>
          </cell>
          <cell r="E3943">
            <v>79.06</v>
          </cell>
          <cell r="H3943">
            <v>71.2</v>
          </cell>
          <cell r="I3943">
            <v>86.41</v>
          </cell>
          <cell r="BS3943">
            <v>7.3499999999999943</v>
          </cell>
        </row>
        <row r="3944">
          <cell r="B3944">
            <v>45692</v>
          </cell>
          <cell r="D3944">
            <v>76.364999999999995</v>
          </cell>
          <cell r="E3944">
            <v>77.444999999999993</v>
          </cell>
          <cell r="H3944">
            <v>70.430000000000007</v>
          </cell>
          <cell r="I3944">
            <v>83.3</v>
          </cell>
          <cell r="BS3944">
            <v>5.855000000000004</v>
          </cell>
        </row>
        <row r="3945">
          <cell r="B3945">
            <v>45693</v>
          </cell>
          <cell r="D3945">
            <v>74.83</v>
          </cell>
          <cell r="E3945">
            <v>78.41</v>
          </cell>
          <cell r="H3945">
            <v>71.88</v>
          </cell>
          <cell r="I3945">
            <v>84.06</v>
          </cell>
          <cell r="BS3945">
            <v>5.6500000000000057</v>
          </cell>
        </row>
        <row r="3946">
          <cell r="B3946">
            <v>45694</v>
          </cell>
          <cell r="D3946">
            <v>75.025000000000006</v>
          </cell>
          <cell r="E3946">
            <v>77.44</v>
          </cell>
          <cell r="H3946">
            <v>71.64</v>
          </cell>
          <cell r="I3946">
            <v>83.21</v>
          </cell>
          <cell r="BS3946">
            <v>5.769999999999996</v>
          </cell>
        </row>
        <row r="3947">
          <cell r="B3947">
            <v>45695</v>
          </cell>
          <cell r="D3947">
            <v>74.53</v>
          </cell>
          <cell r="E3947">
            <v>77.790000000000006</v>
          </cell>
          <cell r="H3947">
            <v>72.489999999999995</v>
          </cell>
          <cell r="I3947">
            <v>83.86</v>
          </cell>
          <cell r="BS3947">
            <v>6.0699999999999932</v>
          </cell>
        </row>
        <row r="3948">
          <cell r="B3948">
            <v>45698</v>
          </cell>
          <cell r="D3948">
            <v>76.125</v>
          </cell>
          <cell r="E3948">
            <v>77.989999999999995</v>
          </cell>
          <cell r="H3948">
            <v>72.73</v>
          </cell>
          <cell r="I3948">
            <v>85.04</v>
          </cell>
          <cell r="BS3948">
            <v>7.0500000000000114</v>
          </cell>
        </row>
        <row r="3949">
          <cell r="B3949">
            <v>45699</v>
          </cell>
          <cell r="D3949">
            <v>77.025000000000006</v>
          </cell>
          <cell r="E3949">
            <v>79.290000000000006</v>
          </cell>
          <cell r="H3949">
            <v>73.2</v>
          </cell>
          <cell r="I3949">
            <v>86</v>
          </cell>
          <cell r="BS3949">
            <v>6.7099999999999937</v>
          </cell>
        </row>
        <row r="3950">
          <cell r="B3950">
            <v>45700</v>
          </cell>
          <cell r="D3950">
            <v>75.844999999999999</v>
          </cell>
          <cell r="E3950">
            <v>79.040000000000006</v>
          </cell>
          <cell r="H3950">
            <v>73.31</v>
          </cell>
          <cell r="I3950">
            <v>86.17</v>
          </cell>
          <cell r="BS3950">
            <v>7.1299999999999955</v>
          </cell>
        </row>
        <row r="3951">
          <cell r="B3951">
            <v>45701</v>
          </cell>
          <cell r="D3951">
            <v>75.12</v>
          </cell>
          <cell r="E3951">
            <v>76.989999999999995</v>
          </cell>
          <cell r="H3951">
            <v>71.87</v>
          </cell>
          <cell r="I3951">
            <v>84.59</v>
          </cell>
          <cell r="BS3951">
            <v>7.6000000000000085</v>
          </cell>
        </row>
        <row r="3952">
          <cell r="B3952">
            <v>45702</v>
          </cell>
          <cell r="D3952">
            <v>74.864999999999995</v>
          </cell>
          <cell r="E3952">
            <v>77.75</v>
          </cell>
          <cell r="H3952">
            <v>73.290000000000006</v>
          </cell>
          <cell r="I3952">
            <v>85.55</v>
          </cell>
          <cell r="BS3952">
            <v>7.7999999999999972</v>
          </cell>
        </row>
        <row r="3953">
          <cell r="B3953">
            <v>45705</v>
          </cell>
          <cell r="D3953">
            <v>75.25</v>
          </cell>
          <cell r="E3953">
            <v>77.55</v>
          </cell>
          <cell r="H3953">
            <v>72.849999999999994</v>
          </cell>
          <cell r="I3953">
            <v>86.29</v>
          </cell>
          <cell r="BS3953">
            <v>8.7400000000000091</v>
          </cell>
        </row>
        <row r="3954">
          <cell r="B3954">
            <v>45706</v>
          </cell>
          <cell r="D3954">
            <v>75.709999999999994</v>
          </cell>
          <cell r="E3954">
            <v>77.89</v>
          </cell>
          <cell r="H3954">
            <v>72.27</v>
          </cell>
          <cell r="I3954">
            <v>86.6</v>
          </cell>
          <cell r="BS3954">
            <v>8.7099999999999937</v>
          </cell>
        </row>
        <row r="3955">
          <cell r="B3955">
            <v>45707</v>
          </cell>
          <cell r="D3955">
            <v>76.540000000000006</v>
          </cell>
          <cell r="E3955">
            <v>79.39</v>
          </cell>
          <cell r="H3955">
            <v>72.3</v>
          </cell>
          <cell r="I3955">
            <v>87.04</v>
          </cell>
          <cell r="BS3955">
            <v>7.6500000000000057</v>
          </cell>
        </row>
        <row r="3956">
          <cell r="B3956">
            <v>45708</v>
          </cell>
          <cell r="D3956">
            <v>76.98</v>
          </cell>
          <cell r="E3956">
            <v>78.944999999999993</v>
          </cell>
          <cell r="H3956">
            <v>72.38</v>
          </cell>
          <cell r="I3956">
            <v>86.72</v>
          </cell>
          <cell r="BS3956">
            <v>7.7750000000000057</v>
          </cell>
        </row>
        <row r="3957">
          <cell r="B3957">
            <v>45709</v>
          </cell>
          <cell r="D3957">
            <v>75.015000000000001</v>
          </cell>
          <cell r="E3957">
            <v>78.84</v>
          </cell>
          <cell r="H3957">
            <v>72.239999999999995</v>
          </cell>
          <cell r="I3957">
            <v>85.52</v>
          </cell>
          <cell r="BS3957">
            <v>6.6799999999999926</v>
          </cell>
        </row>
        <row r="3958">
          <cell r="B3958">
            <v>45712</v>
          </cell>
          <cell r="D3958">
            <v>74.564999999999998</v>
          </cell>
          <cell r="E3958">
            <v>77</v>
          </cell>
          <cell r="H3958">
            <v>71.33</v>
          </cell>
          <cell r="I3958">
            <v>84.43</v>
          </cell>
          <cell r="BS3958">
            <v>7.4300000000000068</v>
          </cell>
        </row>
        <row r="3959">
          <cell r="B3959">
            <v>45713</v>
          </cell>
          <cell r="D3959">
            <v>72.900000000000006</v>
          </cell>
          <cell r="E3959">
            <v>77.795000000000002</v>
          </cell>
          <cell r="H3959">
            <v>72.22</v>
          </cell>
          <cell r="I3959">
            <v>84.62</v>
          </cell>
          <cell r="BS3959">
            <v>6.8250000000000028</v>
          </cell>
        </row>
        <row r="3960">
          <cell r="B3960">
            <v>45714</v>
          </cell>
          <cell r="D3960">
            <v>72.86</v>
          </cell>
          <cell r="E3960">
            <v>76.290000000000006</v>
          </cell>
          <cell r="H3960">
            <v>71.599999999999994</v>
          </cell>
          <cell r="I3960">
            <v>82.55</v>
          </cell>
          <cell r="BS3960">
            <v>6.2599999999999909</v>
          </cell>
        </row>
        <row r="3961">
          <cell r="B3961">
            <v>45715</v>
          </cell>
          <cell r="D3961">
            <v>73.995000000000005</v>
          </cell>
          <cell r="E3961">
            <v>76</v>
          </cell>
          <cell r="H3961">
            <v>71.34</v>
          </cell>
          <cell r="I3961">
            <v>81.94</v>
          </cell>
          <cell r="BS3961">
            <v>5.9399999999999977</v>
          </cell>
        </row>
        <row r="3962">
          <cell r="B3962">
            <v>45716</v>
          </cell>
          <cell r="D3962">
            <v>73.474999999999994</v>
          </cell>
          <cell r="E3962">
            <v>77.5</v>
          </cell>
          <cell r="H3962">
            <v>71.61</v>
          </cell>
          <cell r="I3962">
            <v>82.75</v>
          </cell>
          <cell r="BS3962">
            <v>5.25</v>
          </cell>
        </row>
        <row r="3963">
          <cell r="B3963">
            <v>45719</v>
          </cell>
          <cell r="D3963">
            <v>73.92</v>
          </cell>
          <cell r="E3963">
            <v>73.25</v>
          </cell>
          <cell r="H3963">
            <v>70.61</v>
          </cell>
          <cell r="I3963">
            <v>82.2</v>
          </cell>
          <cell r="BS3963">
            <v>8.9500000000000028</v>
          </cell>
        </row>
        <row r="3964">
          <cell r="B3964">
            <v>45720</v>
          </cell>
          <cell r="D3964">
            <v>71.784999999999997</v>
          </cell>
          <cell r="E3964">
            <v>70.45</v>
          </cell>
          <cell r="H3964">
            <v>68.64</v>
          </cell>
          <cell r="I3964">
            <v>78.44</v>
          </cell>
          <cell r="BS3964">
            <v>7.9899999999999949</v>
          </cell>
        </row>
        <row r="3965">
          <cell r="B3965">
            <v>45721</v>
          </cell>
          <cell r="D3965">
            <v>69.83</v>
          </cell>
          <cell r="E3965">
            <v>71.400000000000006</v>
          </cell>
          <cell r="H3965">
            <v>68.33</v>
          </cell>
          <cell r="I3965">
            <v>78.3</v>
          </cell>
          <cell r="BS3965">
            <v>6.8999999999999915</v>
          </cell>
        </row>
        <row r="3966">
          <cell r="B3966">
            <v>45722</v>
          </cell>
          <cell r="D3966">
            <v>70.305000000000007</v>
          </cell>
          <cell r="E3966">
            <v>70.239999999999995</v>
          </cell>
          <cell r="H3966">
            <v>67.5</v>
          </cell>
          <cell r="I3966">
            <v>77.03</v>
          </cell>
          <cell r="BS3966">
            <v>6.7900000000000063</v>
          </cell>
        </row>
        <row r="3967">
          <cell r="B3967">
            <v>45723</v>
          </cell>
          <cell r="D3967">
            <v>72.064999999999998</v>
          </cell>
          <cell r="E3967">
            <v>70.849999999999994</v>
          </cell>
          <cell r="H3967">
            <v>67.099999999999994</v>
          </cell>
          <cell r="I3967">
            <v>76.98</v>
          </cell>
          <cell r="BS3967">
            <v>6.1300000000000097</v>
          </cell>
        </row>
        <row r="3968">
          <cell r="B3968">
            <v>45726</v>
          </cell>
          <cell r="D3968">
            <v>71.034999999999997</v>
          </cell>
          <cell r="E3968">
            <v>71.405000000000001</v>
          </cell>
          <cell r="H3968">
            <v>68.069999999999993</v>
          </cell>
          <cell r="I3968">
            <v>77.31</v>
          </cell>
          <cell r="BS3968">
            <v>5.9050000000000011</v>
          </cell>
        </row>
        <row r="3969">
          <cell r="B3969">
            <v>45727</v>
          </cell>
          <cell r="D3969">
            <v>71.144999999999996</v>
          </cell>
          <cell r="E3969">
            <v>70.510000000000005</v>
          </cell>
          <cell r="H3969">
            <v>68.38</v>
          </cell>
          <cell r="I3969">
            <v>76.64</v>
          </cell>
          <cell r="BS3969">
            <v>6.1299999999999955</v>
          </cell>
        </row>
        <row r="3970">
          <cell r="B3970">
            <v>45728</v>
          </cell>
          <cell r="D3970">
            <v>72.23</v>
          </cell>
          <cell r="E3970">
            <v>70.650000000000006</v>
          </cell>
          <cell r="H3970">
            <v>68.84</v>
          </cell>
          <cell r="I3970">
            <v>77.739999999999995</v>
          </cell>
          <cell r="BS3970">
            <v>7.0899999999999892</v>
          </cell>
        </row>
        <row r="3971">
          <cell r="B3971">
            <v>45729</v>
          </cell>
          <cell r="D3971">
            <v>71.39</v>
          </cell>
          <cell r="E3971">
            <v>72.06</v>
          </cell>
          <cell r="H3971">
            <v>69.52</v>
          </cell>
          <cell r="I3971">
            <v>79.08</v>
          </cell>
          <cell r="BS3971">
            <v>7.019999999999996</v>
          </cell>
        </row>
        <row r="3972">
          <cell r="B3972">
            <v>45730</v>
          </cell>
          <cell r="D3972">
            <v>71.66</v>
          </cell>
          <cell r="E3972">
            <v>71.55</v>
          </cell>
          <cell r="H3972">
            <v>69.7</v>
          </cell>
          <cell r="I3972">
            <v>78.62</v>
          </cell>
          <cell r="BS3972">
            <v>7.0700000000000074</v>
          </cell>
        </row>
        <row r="3973">
          <cell r="B3973">
            <v>45733</v>
          </cell>
          <cell r="D3973">
            <v>72.254999999999995</v>
          </cell>
          <cell r="E3973">
            <v>72.239999999999995</v>
          </cell>
          <cell r="H3973">
            <v>70.510000000000005</v>
          </cell>
          <cell r="I3973">
            <v>79.61</v>
          </cell>
          <cell r="BS3973">
            <v>7.3700000000000045</v>
          </cell>
        </row>
        <row r="3974">
          <cell r="B3974">
            <v>45734</v>
          </cell>
          <cell r="D3974">
            <v>71.73</v>
          </cell>
          <cell r="E3974">
            <v>73.05</v>
          </cell>
          <cell r="H3974">
            <v>70.790000000000006</v>
          </cell>
          <cell r="I3974">
            <v>80.52</v>
          </cell>
          <cell r="BS3974">
            <v>7.4699999999999989</v>
          </cell>
        </row>
        <row r="3975">
          <cell r="B3975">
            <v>45735</v>
          </cell>
          <cell r="D3975">
            <v>71.515000000000001</v>
          </cell>
          <cell r="E3975">
            <v>71.900000000000006</v>
          </cell>
          <cell r="H3975">
            <v>69.45</v>
          </cell>
          <cell r="I3975">
            <v>78.84</v>
          </cell>
          <cell r="BS3975">
            <v>6.9399999999999977</v>
          </cell>
        </row>
        <row r="3976">
          <cell r="B3976">
            <v>45736</v>
          </cell>
          <cell r="D3976">
            <v>72.540000000000006</v>
          </cell>
          <cell r="E3976">
            <v>72.924999999999997</v>
          </cell>
          <cell r="H3976">
            <v>69.69</v>
          </cell>
          <cell r="I3976">
            <v>79.540000000000006</v>
          </cell>
          <cell r="BS3976">
            <v>6.6150000000000091</v>
          </cell>
        </row>
        <row r="3977">
          <cell r="B3977">
            <v>45737</v>
          </cell>
          <cell r="D3977">
            <v>72.55</v>
          </cell>
          <cell r="E3977">
            <v>73.8</v>
          </cell>
          <cell r="H3977">
            <v>69.64</v>
          </cell>
          <cell r="I3977">
            <v>80.56</v>
          </cell>
          <cell r="BS3977">
            <v>6.7600000000000051</v>
          </cell>
        </row>
        <row r="3978">
          <cell r="B3978">
            <v>45740</v>
          </cell>
          <cell r="D3978">
            <v>73.924999999999997</v>
          </cell>
          <cell r="E3978">
            <v>73.45</v>
          </cell>
          <cell r="H3978">
            <v>69.63</v>
          </cell>
          <cell r="I3978">
            <v>80.73</v>
          </cell>
          <cell r="BS3978">
            <v>7.2800000000000011</v>
          </cell>
        </row>
        <row r="3979">
          <cell r="B3979">
            <v>45741</v>
          </cell>
          <cell r="D3979">
            <v>73.62</v>
          </cell>
          <cell r="E3979">
            <v>74.680000000000007</v>
          </cell>
          <cell r="H3979">
            <v>69.78</v>
          </cell>
          <cell r="I3979">
            <v>81.91</v>
          </cell>
          <cell r="BS3979">
            <v>7.2299999999999898</v>
          </cell>
        </row>
        <row r="3980">
          <cell r="B3980">
            <v>45742</v>
          </cell>
          <cell r="D3980">
            <v>74.875</v>
          </cell>
          <cell r="E3980">
            <v>74.680000000000007</v>
          </cell>
          <cell r="H3980">
            <v>69.87</v>
          </cell>
          <cell r="I3980">
            <v>82.34</v>
          </cell>
          <cell r="BS3980">
            <v>7.6599999999999966</v>
          </cell>
        </row>
        <row r="3981">
          <cell r="B3981">
            <v>45743</v>
          </cell>
          <cell r="D3981">
            <v>74.484999999999999</v>
          </cell>
          <cell r="E3981">
            <v>74.81</v>
          </cell>
          <cell r="H3981">
            <v>70.349999999999994</v>
          </cell>
          <cell r="I3981">
            <v>82.36</v>
          </cell>
          <cell r="BS3981">
            <v>7.5499999999999972</v>
          </cell>
        </row>
        <row r="3982">
          <cell r="B3982">
            <v>45744</v>
          </cell>
          <cell r="D3982">
            <v>74.489999999999995</v>
          </cell>
          <cell r="E3982">
            <v>75.849999999999994</v>
          </cell>
          <cell r="H3982">
            <v>70.650000000000006</v>
          </cell>
          <cell r="I3982">
            <v>82.41</v>
          </cell>
          <cell r="BS3982">
            <v>6.5600000000000023</v>
          </cell>
        </row>
        <row r="3983">
          <cell r="B3983">
            <v>45747</v>
          </cell>
          <cell r="D3983">
            <v>77.27</v>
          </cell>
          <cell r="E3983" t="str">
            <v/>
          </cell>
          <cell r="H3983">
            <v>0</v>
          </cell>
          <cell r="I3983">
            <v>0</v>
          </cell>
          <cell r="BS3983" t="e">
            <v>#N/A</v>
          </cell>
        </row>
        <row r="3984">
          <cell r="B3984">
            <v>45748</v>
          </cell>
          <cell r="D3984">
            <v>77.680000000000007</v>
          </cell>
          <cell r="E3984">
            <v>75.95</v>
          </cell>
          <cell r="H3984">
            <v>71.260000000000005</v>
          </cell>
          <cell r="I3984">
            <v>83.69</v>
          </cell>
          <cell r="BS3984">
            <v>7.7399999999999949</v>
          </cell>
        </row>
        <row r="3985">
          <cell r="B3985">
            <v>45749</v>
          </cell>
          <cell r="D3985">
            <v>77.39</v>
          </cell>
          <cell r="E3985">
            <v>76.14</v>
          </cell>
          <cell r="H3985">
            <v>69.540000000000006</v>
          </cell>
          <cell r="I3985">
            <v>84.03</v>
          </cell>
          <cell r="BS3985">
            <v>7.8900000000000006</v>
          </cell>
        </row>
        <row r="3986">
          <cell r="B3986">
            <v>45750</v>
          </cell>
          <cell r="D3986">
            <v>72.489999999999995</v>
          </cell>
          <cell r="E3986">
            <v>75.099999999999994</v>
          </cell>
          <cell r="H3986">
            <v>66.67</v>
          </cell>
          <cell r="I3986">
            <v>81.61</v>
          </cell>
          <cell r="BS3986">
            <v>6.5100000000000051</v>
          </cell>
        </row>
        <row r="3987">
          <cell r="B3987">
            <v>45751</v>
          </cell>
          <cell r="D3987">
            <v>67.894999999999996</v>
          </cell>
          <cell r="E3987">
            <v>70.5</v>
          </cell>
          <cell r="H3987">
            <v>62.8</v>
          </cell>
          <cell r="I3987">
            <v>76.34</v>
          </cell>
          <cell r="BS3987">
            <v>5.8400000000000034</v>
          </cell>
        </row>
        <row r="3988">
          <cell r="B3988">
            <v>45754</v>
          </cell>
          <cell r="D3988">
            <v>66.680000000000007</v>
          </cell>
          <cell r="E3988">
            <v>64.55</v>
          </cell>
          <cell r="H3988">
            <v>56.31</v>
          </cell>
          <cell r="I3988">
            <v>71.39</v>
          </cell>
          <cell r="BS3988">
            <v>6.8400000000000034</v>
          </cell>
        </row>
        <row r="3989">
          <cell r="B3989">
            <v>45755</v>
          </cell>
          <cell r="D3989">
            <v>66.185000000000002</v>
          </cell>
          <cell r="E3989">
            <v>65.2</v>
          </cell>
          <cell r="H3989">
            <v>57.59</v>
          </cell>
          <cell r="I3989">
            <v>72.72</v>
          </cell>
          <cell r="BS3989">
            <v>7.519999999999996</v>
          </cell>
        </row>
        <row r="3990">
          <cell r="B3990">
            <v>45756</v>
          </cell>
          <cell r="D3990">
            <v>62.685000000000002</v>
          </cell>
          <cell r="E3990">
            <v>61.9</v>
          </cell>
          <cell r="H3990">
            <v>55.42</v>
          </cell>
          <cell r="I3990">
            <v>68.86</v>
          </cell>
          <cell r="BS3990">
            <v>6.9600000000000009</v>
          </cell>
        </row>
        <row r="3991">
          <cell r="B3991">
            <v>45757</v>
          </cell>
          <cell r="D3991">
            <v>65.435000000000002</v>
          </cell>
          <cell r="E3991">
            <v>65.400000000000006</v>
          </cell>
          <cell r="H3991">
            <v>58.73</v>
          </cell>
          <cell r="I3991">
            <v>70.959999999999994</v>
          </cell>
          <cell r="BS3991">
            <v>5.5599999999999881</v>
          </cell>
        </row>
        <row r="3992">
          <cell r="B3992">
            <v>45758</v>
          </cell>
          <cell r="D3992">
            <v>65.97</v>
          </cell>
          <cell r="E3992">
            <v>64.900000000000006</v>
          </cell>
          <cell r="H3992">
            <v>58.54</v>
          </cell>
          <cell r="I3992">
            <v>70.37</v>
          </cell>
          <cell r="BS3992">
            <v>5.4699999999999989</v>
          </cell>
        </row>
        <row r="3993">
          <cell r="B3993">
            <v>45761</v>
          </cell>
          <cell r="D3993">
            <v>66.844999999999999</v>
          </cell>
          <cell r="E3993">
            <v>66.23</v>
          </cell>
          <cell r="H3993">
            <v>60.85</v>
          </cell>
          <cell r="I3993">
            <v>72.8</v>
          </cell>
          <cell r="BS3993">
            <v>6.5699999999999932</v>
          </cell>
        </row>
        <row r="3994">
          <cell r="B3994">
            <v>45762</v>
          </cell>
          <cell r="D3994">
            <v>66.415000000000006</v>
          </cell>
          <cell r="E3994">
            <v>66.59</v>
          </cell>
          <cell r="H3994">
            <v>60.64</v>
          </cell>
          <cell r="I3994">
            <v>73.16</v>
          </cell>
          <cell r="BS3994">
            <v>6.5699999999999932</v>
          </cell>
        </row>
        <row r="3995">
          <cell r="B3995">
            <v>45763</v>
          </cell>
          <cell r="D3995">
            <v>67.635000000000005</v>
          </cell>
          <cell r="E3995">
            <v>66.650000000000006</v>
          </cell>
          <cell r="H3995">
            <v>59.87</v>
          </cell>
          <cell r="I3995">
            <v>73.790000000000006</v>
          </cell>
          <cell r="BS3995">
            <v>7.1400000000000006</v>
          </cell>
        </row>
        <row r="3996">
          <cell r="B3996">
            <v>45764</v>
          </cell>
          <cell r="D3996">
            <v>68.45</v>
          </cell>
          <cell r="E3996">
            <v>68.150000000000006</v>
          </cell>
          <cell r="H3996">
            <v>61.44</v>
          </cell>
          <cell r="I3996">
            <v>74.959999999999994</v>
          </cell>
          <cell r="BS3996">
            <v>6.8099999999999881</v>
          </cell>
        </row>
        <row r="3997">
          <cell r="B3997">
            <v>45765</v>
          </cell>
          <cell r="D3997" t="str">
            <v/>
          </cell>
          <cell r="E3997" t="str">
            <v/>
          </cell>
          <cell r="H3997">
            <v>0</v>
          </cell>
          <cell r="I3997">
            <v>0</v>
          </cell>
          <cell r="BS3997" t="e">
            <v>#N/A</v>
          </cell>
        </row>
        <row r="3998">
          <cell r="B3998">
            <v>45768</v>
          </cell>
          <cell r="D3998" t="str">
            <v/>
          </cell>
          <cell r="E3998">
            <v>68.430000000000007</v>
          </cell>
          <cell r="H3998">
            <v>61.84</v>
          </cell>
          <cell r="I3998">
            <v>75.540000000000006</v>
          </cell>
          <cell r="BS3998">
            <v>7.1099999999999994</v>
          </cell>
        </row>
        <row r="3999">
          <cell r="B3999">
            <v>45769</v>
          </cell>
          <cell r="D3999">
            <v>68.989999999999995</v>
          </cell>
          <cell r="E3999">
            <v>68.5</v>
          </cell>
          <cell r="H3999">
            <v>62.34</v>
          </cell>
          <cell r="I3999">
            <v>75.849999999999994</v>
          </cell>
          <cell r="BS3999">
            <v>7.3499999999999943</v>
          </cell>
        </row>
        <row r="4000">
          <cell r="B4000">
            <v>45770</v>
          </cell>
          <cell r="D4000">
            <v>66.94</v>
          </cell>
          <cell r="E4000">
            <v>69.489999999999995</v>
          </cell>
          <cell r="H4000">
            <v>63.79</v>
          </cell>
          <cell r="I4000">
            <v>77.55</v>
          </cell>
          <cell r="BS4000">
            <v>8.0600000000000023</v>
          </cell>
        </row>
        <row r="4001">
          <cell r="B4001">
            <v>45771</v>
          </cell>
          <cell r="D4001">
            <v>67.234999999999999</v>
          </cell>
          <cell r="E4001">
            <v>67.59</v>
          </cell>
          <cell r="H4001">
            <v>63.11</v>
          </cell>
          <cell r="I4001">
            <v>76.19</v>
          </cell>
          <cell r="BS4001">
            <v>8.5999999999999943</v>
          </cell>
        </row>
        <row r="4002">
          <cell r="B4002">
            <v>45772</v>
          </cell>
          <cell r="D4002">
            <v>67.495000000000005</v>
          </cell>
          <cell r="E4002">
            <v>67.2</v>
          </cell>
          <cell r="H4002">
            <v>63.12</v>
          </cell>
          <cell r="I4002">
            <v>76.62</v>
          </cell>
          <cell r="BS4002">
            <v>9.4200000000000017</v>
          </cell>
        </row>
        <row r="4003">
          <cell r="B4003">
            <v>45775</v>
          </cell>
          <cell r="D4003">
            <v>65.674999999999997</v>
          </cell>
          <cell r="E4003">
            <v>66.84</v>
          </cell>
          <cell r="H4003">
            <v>62.71</v>
          </cell>
          <cell r="I4003">
            <v>76.290000000000006</v>
          </cell>
          <cell r="BS4003">
            <v>9.4500000000000028</v>
          </cell>
        </row>
        <row r="4004">
          <cell r="B4004">
            <v>45776</v>
          </cell>
          <cell r="D4004">
            <v>64.349999999999994</v>
          </cell>
          <cell r="E4004">
            <v>64.64</v>
          </cell>
          <cell r="H4004">
            <v>62.18</v>
          </cell>
          <cell r="I4004">
            <v>75.3</v>
          </cell>
          <cell r="BS4004">
            <v>10.659999999999997</v>
          </cell>
        </row>
        <row r="4005">
          <cell r="B4005">
            <v>45777</v>
          </cell>
          <cell r="D4005">
            <v>63.274999999999999</v>
          </cell>
          <cell r="E4005">
            <v>62.545000000000002</v>
          </cell>
          <cell r="H4005">
            <v>61.24</v>
          </cell>
          <cell r="I4005">
            <v>73.34</v>
          </cell>
          <cell r="BS4005">
            <v>10.795000000000002</v>
          </cell>
        </row>
        <row r="4006">
          <cell r="B4006">
            <v>45778</v>
          </cell>
          <cell r="D4006">
            <v>61.534999999999997</v>
          </cell>
          <cell r="E4006" t="str">
            <v/>
          </cell>
          <cell r="H4006">
            <v>0</v>
          </cell>
          <cell r="I4006">
            <v>0</v>
          </cell>
          <cell r="BS4006" t="e">
            <v>#N/A</v>
          </cell>
        </row>
        <row r="4007">
          <cell r="B4007">
            <v>45779</v>
          </cell>
          <cell r="D4007">
            <v>61.405000000000001</v>
          </cell>
          <cell r="E4007">
            <v>62.02</v>
          </cell>
          <cell r="H4007">
            <v>61.06</v>
          </cell>
          <cell r="I4007">
            <v>73.73</v>
          </cell>
          <cell r="BS4007">
            <v>11.71</v>
          </cell>
        </row>
        <row r="4008">
          <cell r="B4008">
            <v>45782</v>
          </cell>
          <cell r="D4008" t="str">
            <v/>
          </cell>
          <cell r="E4008">
            <v>59.55</v>
          </cell>
          <cell r="H4008">
            <v>59.42</v>
          </cell>
          <cell r="I4008">
            <v>71.59</v>
          </cell>
          <cell r="BS4008">
            <v>12.040000000000006</v>
          </cell>
        </row>
        <row r="4009">
          <cell r="B4009">
            <v>45783</v>
          </cell>
          <cell r="D4009">
            <v>62.74</v>
          </cell>
          <cell r="E4009">
            <v>61.69</v>
          </cell>
          <cell r="H4009">
            <v>60.22</v>
          </cell>
          <cell r="I4009">
            <v>73.459999999999994</v>
          </cell>
          <cell r="BS4009">
            <v>11.769999999999996</v>
          </cell>
        </row>
        <row r="4010">
          <cell r="B4010">
            <v>45784</v>
          </cell>
          <cell r="D4010">
            <v>61.09</v>
          </cell>
          <cell r="E4010">
            <v>63.64</v>
          </cell>
          <cell r="H4010">
            <v>61.06</v>
          </cell>
          <cell r="I4010">
            <v>74.790000000000006</v>
          </cell>
          <cell r="BS4010">
            <v>11.150000000000006</v>
          </cell>
        </row>
        <row r="4011">
          <cell r="B4011">
            <v>45785</v>
          </cell>
          <cell r="D4011">
            <v>62.314999999999998</v>
          </cell>
          <cell r="E4011">
            <v>62.15</v>
          </cell>
          <cell r="H4011">
            <v>60.22</v>
          </cell>
          <cell r="I4011">
            <v>73.38</v>
          </cell>
          <cell r="BS4011">
            <v>11.229999999999997</v>
          </cell>
        </row>
        <row r="4012">
          <cell r="B4012">
            <v>45786</v>
          </cell>
          <cell r="D4012">
            <v>63.59</v>
          </cell>
          <cell r="E4012">
            <v>63.89</v>
          </cell>
          <cell r="H4012">
            <v>61.76</v>
          </cell>
          <cell r="I4012">
            <v>75.22</v>
          </cell>
          <cell r="BS4012">
            <v>11.329999999999998</v>
          </cell>
        </row>
        <row r="4013">
          <cell r="B4013">
            <v>45789</v>
          </cell>
          <cell r="D4013">
            <v>65.064999999999998</v>
          </cell>
          <cell r="E4013" t="str">
            <v/>
          </cell>
          <cell r="H4013">
            <v>0</v>
          </cell>
          <cell r="I4013">
            <v>0</v>
          </cell>
          <cell r="BS4013" t="e">
            <v>#N/A</v>
          </cell>
        </row>
        <row r="4014">
          <cell r="B4014">
            <v>45790</v>
          </cell>
          <cell r="D4014">
            <v>66.08</v>
          </cell>
          <cell r="E4014">
            <v>65.25</v>
          </cell>
          <cell r="H4014">
            <v>62.32</v>
          </cell>
          <cell r="I4014">
            <v>76.19</v>
          </cell>
          <cell r="BS4014">
            <v>10.939999999999998</v>
          </cell>
        </row>
        <row r="4015">
          <cell r="B4015">
            <v>45791</v>
          </cell>
          <cell r="D4015">
            <v>65.935000000000002</v>
          </cell>
          <cell r="E4015">
            <v>66</v>
          </cell>
          <cell r="H4015">
            <v>63.93</v>
          </cell>
          <cell r="I4015">
            <v>77.180000000000007</v>
          </cell>
          <cell r="BS4015">
            <v>11.180000000000007</v>
          </cell>
        </row>
        <row r="4016">
          <cell r="B4016">
            <v>45792</v>
          </cell>
          <cell r="D4016">
            <v>64.040000000000006</v>
          </cell>
          <cell r="E4016">
            <v>63.71</v>
          </cell>
          <cell r="H4016">
            <v>61.82</v>
          </cell>
          <cell r="I4016">
            <v>75.069999999999993</v>
          </cell>
          <cell r="BS4016">
            <v>11.359999999999992</v>
          </cell>
        </row>
        <row r="4017">
          <cell r="B4017">
            <v>45793</v>
          </cell>
          <cell r="D4017">
            <v>65.094999999999999</v>
          </cell>
          <cell r="E4017">
            <v>63.79</v>
          </cell>
          <cell r="H4017">
            <v>61.57</v>
          </cell>
          <cell r="I4017">
            <v>75.099999999999994</v>
          </cell>
          <cell r="BS4017">
            <v>11.309999999999995</v>
          </cell>
        </row>
        <row r="4018">
          <cell r="B4018">
            <v>45796</v>
          </cell>
          <cell r="D4018">
            <v>66</v>
          </cell>
          <cell r="E4018">
            <v>64.260000000000005</v>
          </cell>
          <cell r="H4018">
            <v>61.55</v>
          </cell>
          <cell r="I4018">
            <v>75.09</v>
          </cell>
          <cell r="BS4018">
            <v>10.829999999999998</v>
          </cell>
        </row>
        <row r="4019">
          <cell r="B4019">
            <v>45797</v>
          </cell>
          <cell r="D4019">
            <v>65.61</v>
          </cell>
          <cell r="E4019">
            <v>65.010000000000005</v>
          </cell>
          <cell r="H4019">
            <v>61.46</v>
          </cell>
          <cell r="I4019">
            <v>74.8</v>
          </cell>
          <cell r="BS4019">
            <v>9.789999999999992</v>
          </cell>
        </row>
        <row r="4020">
          <cell r="B4020">
            <v>45798</v>
          </cell>
          <cell r="D4020">
            <v>65.364999999999995</v>
          </cell>
          <cell r="E4020">
            <v>66.05</v>
          </cell>
          <cell r="H4020">
            <v>62.11</v>
          </cell>
          <cell r="I4020">
            <v>76.05</v>
          </cell>
          <cell r="BS4020">
            <v>10</v>
          </cell>
        </row>
        <row r="4021">
          <cell r="B4021">
            <v>45799</v>
          </cell>
          <cell r="D4021">
            <v>64.734999999999999</v>
          </cell>
          <cell r="E4021">
            <v>63.72</v>
          </cell>
          <cell r="H4021">
            <v>60.84</v>
          </cell>
          <cell r="I4021">
            <v>75.87</v>
          </cell>
          <cell r="BS4021">
            <v>12.150000000000006</v>
          </cell>
        </row>
        <row r="4022">
          <cell r="B4022">
            <v>45800</v>
          </cell>
          <cell r="D4022">
            <v>65.58</v>
          </cell>
          <cell r="E4022">
            <v>63.2</v>
          </cell>
          <cell r="H4022">
            <v>60.44</v>
          </cell>
          <cell r="I4022">
            <v>75.5</v>
          </cell>
          <cell r="BS4022">
            <v>12.299999999999997</v>
          </cell>
        </row>
        <row r="4023">
          <cell r="B4023">
            <v>45803</v>
          </cell>
          <cell r="D4023" t="str">
            <v/>
          </cell>
          <cell r="E4023">
            <v>63.75</v>
          </cell>
          <cell r="H4023">
            <v>61.11</v>
          </cell>
          <cell r="I4023">
            <v>76.010000000000005</v>
          </cell>
          <cell r="BS4023">
            <v>12.260000000000005</v>
          </cell>
        </row>
        <row r="4024">
          <cell r="B4024">
            <v>45804</v>
          </cell>
          <cell r="D4024">
            <v>64.254999999999995</v>
          </cell>
          <cell r="E4024">
            <v>64.010000000000005</v>
          </cell>
          <cell r="H4024">
            <v>61.3</v>
          </cell>
          <cell r="I4024">
            <v>75.61</v>
          </cell>
          <cell r="BS4024">
            <v>11.599999999999994</v>
          </cell>
        </row>
        <row r="4025">
          <cell r="B4025">
            <v>45805</v>
          </cell>
          <cell r="D4025">
            <v>65.510000000000005</v>
          </cell>
          <cell r="E4025">
            <v>63.79</v>
          </cell>
          <cell r="H4025">
            <v>60.75</v>
          </cell>
          <cell r="I4025">
            <v>75.17</v>
          </cell>
          <cell r="BS4025">
            <v>11.380000000000003</v>
          </cell>
        </row>
        <row r="4026">
          <cell r="B4026">
            <v>45806</v>
          </cell>
          <cell r="D4026">
            <v>64.7</v>
          </cell>
          <cell r="E4026">
            <v>65.33</v>
          </cell>
          <cell r="H4026">
            <v>61.39</v>
          </cell>
          <cell r="I4026">
            <v>76.069999999999993</v>
          </cell>
          <cell r="BS4026">
            <v>10.739999999999995</v>
          </cell>
        </row>
        <row r="4027">
          <cell r="B4027">
            <v>45807</v>
          </cell>
          <cell r="D4027">
            <v>63.83</v>
          </cell>
          <cell r="E4027">
            <v>63.844999999999999</v>
          </cell>
          <cell r="H4027">
            <v>60.17</v>
          </cell>
          <cell r="I4027">
            <v>74.69</v>
          </cell>
          <cell r="BS4027">
            <v>10.844999999999999</v>
          </cell>
        </row>
        <row r="4028">
          <cell r="B4028">
            <v>45810</v>
          </cell>
          <cell r="D4028">
            <v>66.83</v>
          </cell>
          <cell r="E4028">
            <v>63.96</v>
          </cell>
          <cell r="H4028">
            <v>60.83</v>
          </cell>
          <cell r="I4028">
            <v>75.47</v>
          </cell>
          <cell r="BS4028">
            <v>11.509999999999998</v>
          </cell>
        </row>
        <row r="4029">
          <cell r="B4029">
            <v>45811</v>
          </cell>
          <cell r="D4029">
            <v>67.92</v>
          </cell>
          <cell r="E4029">
            <v>64.239999999999995</v>
          </cell>
          <cell r="H4029">
            <v>60.82</v>
          </cell>
          <cell r="I4029">
            <v>75.86</v>
          </cell>
          <cell r="BS4029">
            <v>11.620000000000005</v>
          </cell>
        </row>
        <row r="4030">
          <cell r="B4030">
            <v>45812</v>
          </cell>
          <cell r="D4030">
            <v>66.52</v>
          </cell>
          <cell r="E4030">
            <v>64.64</v>
          </cell>
          <cell r="H4030">
            <v>60.82</v>
          </cell>
          <cell r="I4030">
            <v>76.260000000000005</v>
          </cell>
          <cell r="BS4030">
            <v>11.620000000000005</v>
          </cell>
        </row>
        <row r="4031">
          <cell r="B4031">
            <v>45813</v>
          </cell>
          <cell r="D4031">
            <v>67.234999999999999</v>
          </cell>
          <cell r="E4031">
            <v>64.05</v>
          </cell>
          <cell r="H4031">
            <v>60.1</v>
          </cell>
          <cell r="I4031">
            <v>75.22</v>
          </cell>
          <cell r="BS4031">
            <v>11.170000000000002</v>
          </cell>
        </row>
        <row r="4032">
          <cell r="B4032">
            <v>45814</v>
          </cell>
          <cell r="D4032">
            <v>68.11</v>
          </cell>
          <cell r="E4032">
            <v>64.44</v>
          </cell>
          <cell r="H4032">
            <v>60.32</v>
          </cell>
          <cell r="I4032">
            <v>75.599999999999994</v>
          </cell>
          <cell r="BS4032">
            <v>11.159999999999997</v>
          </cell>
        </row>
        <row r="4033">
          <cell r="B4033">
            <v>45817</v>
          </cell>
          <cell r="D4033">
            <v>68.844999999999999</v>
          </cell>
          <cell r="E4033">
            <v>65.8</v>
          </cell>
          <cell r="H4033">
            <v>61.26</v>
          </cell>
          <cell r="I4033">
            <v>76.849999999999994</v>
          </cell>
          <cell r="BS4033">
            <v>11.049999999999997</v>
          </cell>
        </row>
        <row r="4034">
          <cell r="B4034">
            <v>45818</v>
          </cell>
          <cell r="D4034">
            <v>69.599999999999994</v>
          </cell>
          <cell r="E4034">
            <v>66.849999999999994</v>
          </cell>
          <cell r="H4034">
            <v>61.91</v>
          </cell>
          <cell r="I4034">
            <v>78.180000000000007</v>
          </cell>
          <cell r="BS4034">
            <v>11.330000000000013</v>
          </cell>
        </row>
        <row r="4035">
          <cell r="B4035">
            <v>45819</v>
          </cell>
          <cell r="D4035">
            <v>69.67</v>
          </cell>
          <cell r="E4035">
            <v>66.62</v>
          </cell>
          <cell r="H4035">
            <v>61.66</v>
          </cell>
          <cell r="I4035">
            <v>77.89</v>
          </cell>
          <cell r="BS4035">
            <v>11.269999999999996</v>
          </cell>
        </row>
        <row r="4036">
          <cell r="B4036">
            <v>45820</v>
          </cell>
          <cell r="D4036">
            <v>70.849999999999994</v>
          </cell>
          <cell r="E4036">
            <v>68.59</v>
          </cell>
          <cell r="H4036">
            <v>63.11</v>
          </cell>
          <cell r="I4036">
            <v>79.62</v>
          </cell>
          <cell r="BS4036">
            <v>11.030000000000001</v>
          </cell>
        </row>
        <row r="4037">
          <cell r="B4037">
            <v>45821</v>
          </cell>
          <cell r="D4037">
            <v>75.19</v>
          </cell>
          <cell r="E4037">
            <v>72.5</v>
          </cell>
          <cell r="H4037">
            <v>67.11</v>
          </cell>
          <cell r="I4037">
            <v>83.31</v>
          </cell>
          <cell r="BS4037">
            <v>10.810000000000002</v>
          </cell>
        </row>
        <row r="4038">
          <cell r="B4038">
            <v>45824</v>
          </cell>
          <cell r="D4038">
            <v>73.63</v>
          </cell>
          <cell r="E4038">
            <v>72.89</v>
          </cell>
          <cell r="H4038">
            <v>67.900000000000006</v>
          </cell>
          <cell r="I4038">
            <v>83.01</v>
          </cell>
          <cell r="BS4038">
            <v>10.120000000000005</v>
          </cell>
        </row>
        <row r="4039">
          <cell r="B4039">
            <v>45825</v>
          </cell>
          <cell r="D4039">
            <v>77.47</v>
          </cell>
          <cell r="E4039">
            <v>73.655000000000001</v>
          </cell>
          <cell r="H4039">
            <v>67.97</v>
          </cell>
          <cell r="I4039">
            <v>83.91</v>
          </cell>
          <cell r="BS4039">
            <v>10.254999999999995</v>
          </cell>
        </row>
        <row r="4040">
          <cell r="B4040">
            <v>45826</v>
          </cell>
          <cell r="D4040">
            <v>77.045000000000002</v>
          </cell>
          <cell r="E4040">
            <v>75.52</v>
          </cell>
          <cell r="H4040">
            <v>68.66</v>
          </cell>
          <cell r="I4040">
            <v>85.59</v>
          </cell>
          <cell r="BS4040">
            <v>10.070000000000007</v>
          </cell>
        </row>
        <row r="4041">
          <cell r="B4041">
            <v>45827</v>
          </cell>
          <cell r="D4041">
            <v>80.435000000000002</v>
          </cell>
          <cell r="E4041">
            <v>76.900000000000006</v>
          </cell>
          <cell r="H4041">
            <v>69.52</v>
          </cell>
          <cell r="I4041">
            <v>86.69</v>
          </cell>
          <cell r="BS4041">
            <v>9.789999999999992</v>
          </cell>
        </row>
        <row r="4042">
          <cell r="B4042">
            <v>45828</v>
          </cell>
          <cell r="D4042">
            <v>78.204999999999998</v>
          </cell>
          <cell r="E4042">
            <v>76.849999999999994</v>
          </cell>
          <cell r="H4042">
            <v>69.709999999999994</v>
          </cell>
          <cell r="I4042">
            <v>88</v>
          </cell>
          <cell r="BS4042">
            <v>11.150000000000006</v>
          </cell>
        </row>
        <row r="4043">
          <cell r="B4043">
            <v>45831</v>
          </cell>
          <cell r="D4043">
            <v>77.655000000000001</v>
          </cell>
          <cell r="E4043">
            <v>75.72</v>
          </cell>
          <cell r="H4043">
            <v>69.08</v>
          </cell>
          <cell r="I4043">
            <v>87.46</v>
          </cell>
          <cell r="BS4043">
            <v>11.739999999999995</v>
          </cell>
        </row>
        <row r="4044">
          <cell r="B4044">
            <v>45832</v>
          </cell>
          <cell r="D4044">
            <v>69.12</v>
          </cell>
          <cell r="E4044">
            <v>68.754999999999995</v>
          </cell>
          <cell r="H4044">
            <v>62.91</v>
          </cell>
          <cell r="I4044">
            <v>80.739999999999995</v>
          </cell>
          <cell r="BS4044">
            <v>11.984999999999999</v>
          </cell>
        </row>
        <row r="4045">
          <cell r="B4045">
            <v>45833</v>
          </cell>
          <cell r="D4045">
            <v>69.23</v>
          </cell>
          <cell r="E4045">
            <v>67.81</v>
          </cell>
          <cell r="H4045">
            <v>62.29</v>
          </cell>
          <cell r="I4045">
            <v>79.290000000000006</v>
          </cell>
          <cell r="BS4045">
            <v>11.480000000000004</v>
          </cell>
        </row>
        <row r="4046">
          <cell r="B4046">
            <v>45834</v>
          </cell>
          <cell r="D4046">
            <v>69.849999999999994</v>
          </cell>
          <cell r="E4046">
            <v>67.650000000000006</v>
          </cell>
          <cell r="H4046">
            <v>61.22</v>
          </cell>
          <cell r="I4046">
            <v>78.05</v>
          </cell>
          <cell r="BS4046">
            <v>10.399999999999991</v>
          </cell>
        </row>
        <row r="4047">
          <cell r="B4047">
            <v>45835</v>
          </cell>
          <cell r="D4047">
            <v>69.165000000000006</v>
          </cell>
          <cell r="E4047">
            <v>68.44</v>
          </cell>
          <cell r="H4047">
            <v>61.34</v>
          </cell>
          <cell r="I4047">
            <v>77.78</v>
          </cell>
          <cell r="BS4047">
            <v>9.3400000000000034</v>
          </cell>
        </row>
        <row r="4048">
          <cell r="B4048">
            <v>45838</v>
          </cell>
          <cell r="D4048">
            <v>68.16</v>
          </cell>
          <cell r="E4048">
            <v>68.754999999999995</v>
          </cell>
          <cell r="H4048">
            <v>61.72</v>
          </cell>
          <cell r="I4048">
            <v>77.39</v>
          </cell>
          <cell r="BS4048">
            <v>8.6350000000000051</v>
          </cell>
        </row>
        <row r="4049">
          <cell r="B4049">
            <v>45839</v>
          </cell>
          <cell r="D4049">
            <v>68.709999999999994</v>
          </cell>
          <cell r="E4049">
            <v>68.150000000000006</v>
          </cell>
          <cell r="H4049">
            <v>61.98</v>
          </cell>
          <cell r="I4049">
            <v>77.650000000000006</v>
          </cell>
          <cell r="BS4049">
            <v>9.5</v>
          </cell>
        </row>
        <row r="4050">
          <cell r="B4050">
            <v>45840</v>
          </cell>
          <cell r="D4050">
            <v>69.849999999999994</v>
          </cell>
          <cell r="E4050">
            <v>68.599999999999994</v>
          </cell>
          <cell r="H4050">
            <v>62.02</v>
          </cell>
          <cell r="I4050">
            <v>78.260000000000005</v>
          </cell>
          <cell r="BS4050">
            <v>9.6600000000000108</v>
          </cell>
        </row>
        <row r="4051">
          <cell r="B4051">
            <v>45841</v>
          </cell>
          <cell r="D4051">
            <v>71.14</v>
          </cell>
          <cell r="E4051">
            <v>69.61</v>
          </cell>
          <cell r="H4051">
            <v>62.56</v>
          </cell>
          <cell r="I4051">
            <v>78.83</v>
          </cell>
          <cell r="BS4051">
            <v>9.2199999999999989</v>
          </cell>
        </row>
        <row r="4052">
          <cell r="B4052">
            <v>45842</v>
          </cell>
          <cell r="D4052">
            <v>70.73</v>
          </cell>
          <cell r="E4052">
            <v>69.56</v>
          </cell>
          <cell r="H4052">
            <v>62.53</v>
          </cell>
          <cell r="I4052">
            <v>79.319999999999993</v>
          </cell>
          <cell r="BS4052">
            <v>9.7599999999999909</v>
          </cell>
        </row>
        <row r="4053">
          <cell r="B4053">
            <v>45845</v>
          </cell>
          <cell r="D4053">
            <v>71.3</v>
          </cell>
          <cell r="E4053">
            <v>69.44</v>
          </cell>
          <cell r="H4053">
            <v>62.1</v>
          </cell>
          <cell r="I4053">
            <v>78.42</v>
          </cell>
          <cell r="BS4053">
            <v>8.980000000000004</v>
          </cell>
        </row>
        <row r="4054">
          <cell r="B4054">
            <v>45846</v>
          </cell>
          <cell r="D4054">
            <v>72.045000000000002</v>
          </cell>
          <cell r="E4054">
            <v>70.459999999999994</v>
          </cell>
          <cell r="H4054">
            <v>63.15</v>
          </cell>
          <cell r="I4054">
            <v>78.3</v>
          </cell>
          <cell r="BS4054">
            <v>7.8400000000000034</v>
          </cell>
        </row>
        <row r="4055">
          <cell r="B4055">
            <v>45847</v>
          </cell>
          <cell r="D4055">
            <v>72.540000000000006</v>
          </cell>
          <cell r="E4055">
            <v>71.8</v>
          </cell>
          <cell r="H4055">
            <v>64.5</v>
          </cell>
          <cell r="I4055">
            <v>79.7</v>
          </cell>
          <cell r="BS4055">
            <v>7.9000000000000057</v>
          </cell>
        </row>
        <row r="4056">
          <cell r="B4056">
            <v>45848</v>
          </cell>
          <cell r="D4056">
            <v>70.585000000000008</v>
          </cell>
          <cell r="E4056">
            <v>71.25</v>
          </cell>
          <cell r="H4056">
            <v>63.67</v>
          </cell>
          <cell r="I4056">
            <v>78.61</v>
          </cell>
          <cell r="BS4056">
            <v>7.3599999999999994</v>
          </cell>
        </row>
      </sheetData>
      <sheetData sheetId="2"/>
      <sheetData sheetId="3">
        <row r="1">
          <cell r="AJ1" t="str">
            <v>M1</v>
          </cell>
        </row>
        <row r="2">
          <cell r="D2">
            <v>1</v>
          </cell>
          <cell r="AJ2">
            <v>33</v>
          </cell>
        </row>
        <row r="3">
          <cell r="D3" t="str">
            <v>Date</v>
          </cell>
          <cell r="AJ3" t="str">
            <v xml:space="preserve">Singapore 92 RON Timespread M1/M2 </v>
          </cell>
        </row>
        <row r="4">
          <cell r="D4" t="str">
            <v>d-o-d change</v>
          </cell>
          <cell r="AJ4">
            <v>-0.12999999999999545</v>
          </cell>
        </row>
        <row r="5">
          <cell r="D5" t="str">
            <v>w-o-w change</v>
          </cell>
          <cell r="AJ5">
            <v>-0.24000000000000909</v>
          </cell>
        </row>
        <row r="6">
          <cell r="D6">
            <v>42005</v>
          </cell>
          <cell r="AJ6">
            <v>-0.64999999999999858</v>
          </cell>
        </row>
        <row r="7">
          <cell r="D7">
            <v>42006</v>
          </cell>
          <cell r="AJ7">
            <v>-0.64999999999999858</v>
          </cell>
        </row>
        <row r="8">
          <cell r="D8">
            <v>42009</v>
          </cell>
          <cell r="AJ8">
            <v>-0.79999999999999716</v>
          </cell>
        </row>
        <row r="9">
          <cell r="D9">
            <v>42010</v>
          </cell>
          <cell r="AJ9">
            <v>-0.89999999999999858</v>
          </cell>
        </row>
        <row r="10">
          <cell r="D10">
            <v>42011</v>
          </cell>
          <cell r="AJ10">
            <v>-0.75</v>
          </cell>
        </row>
        <row r="11">
          <cell r="D11">
            <v>42012</v>
          </cell>
          <cell r="AJ11">
            <v>-0.85000000000000142</v>
          </cell>
        </row>
        <row r="12">
          <cell r="D12">
            <v>42013</v>
          </cell>
          <cell r="AJ12">
            <v>-0.89999999999999858</v>
          </cell>
        </row>
        <row r="13">
          <cell r="D13">
            <v>42016</v>
          </cell>
          <cell r="AJ13">
            <v>-1.0499999999999972</v>
          </cell>
        </row>
        <row r="14">
          <cell r="D14">
            <v>42017</v>
          </cell>
          <cell r="AJ14">
            <v>-1.1999999999999957</v>
          </cell>
        </row>
        <row r="15">
          <cell r="D15">
            <v>42018</v>
          </cell>
          <cell r="AJ15">
            <v>-1.0500000000000043</v>
          </cell>
        </row>
        <row r="16">
          <cell r="D16">
            <v>42019</v>
          </cell>
          <cell r="AJ16">
            <v>-0.95000000000000284</v>
          </cell>
        </row>
        <row r="17">
          <cell r="D17">
            <v>42020</v>
          </cell>
          <cell r="AJ17">
            <v>-0.95000000000000284</v>
          </cell>
        </row>
        <row r="18">
          <cell r="D18">
            <v>42023</v>
          </cell>
          <cell r="AJ18">
            <v>-0.89999999999999858</v>
          </cell>
        </row>
        <row r="19">
          <cell r="D19">
            <v>42024</v>
          </cell>
          <cell r="AJ19">
            <v>-0.94999999999999574</v>
          </cell>
        </row>
        <row r="20">
          <cell r="D20">
            <v>42025</v>
          </cell>
          <cell r="AJ20">
            <v>-1</v>
          </cell>
        </row>
        <row r="21">
          <cell r="D21">
            <v>42026</v>
          </cell>
          <cell r="AJ21">
            <v>-1</v>
          </cell>
        </row>
        <row r="22">
          <cell r="D22">
            <v>42027</v>
          </cell>
          <cell r="AJ22">
            <v>-1.0500000000000043</v>
          </cell>
        </row>
        <row r="23">
          <cell r="D23">
            <v>42030</v>
          </cell>
          <cell r="AJ23">
            <v>-1.1000000000000014</v>
          </cell>
        </row>
        <row r="24">
          <cell r="D24">
            <v>42031</v>
          </cell>
          <cell r="AJ24">
            <v>-1.1000000000000014</v>
          </cell>
        </row>
        <row r="25">
          <cell r="D25">
            <v>42032</v>
          </cell>
          <cell r="AJ25">
            <v>-1</v>
          </cell>
        </row>
        <row r="26">
          <cell r="D26">
            <v>42033</v>
          </cell>
          <cell r="AJ26">
            <v>-1</v>
          </cell>
        </row>
        <row r="27">
          <cell r="D27">
            <v>42034</v>
          </cell>
          <cell r="AJ27">
            <v>-1.019999999999996</v>
          </cell>
        </row>
        <row r="28">
          <cell r="D28">
            <v>42037</v>
          </cell>
          <cell r="AJ28">
            <v>-0.95000000000000284</v>
          </cell>
        </row>
        <row r="29">
          <cell r="D29">
            <v>42038</v>
          </cell>
          <cell r="AJ29">
            <v>-0.59999999999999432</v>
          </cell>
        </row>
        <row r="30">
          <cell r="D30">
            <v>42039</v>
          </cell>
          <cell r="AJ30">
            <v>-0.5</v>
          </cell>
        </row>
        <row r="31">
          <cell r="D31">
            <v>42040</v>
          </cell>
          <cell r="AJ31">
            <v>-0.5</v>
          </cell>
        </row>
        <row r="32">
          <cell r="D32">
            <v>42041</v>
          </cell>
          <cell r="AJ32">
            <v>-0.39999999999999147</v>
          </cell>
        </row>
        <row r="33">
          <cell r="D33">
            <v>42044</v>
          </cell>
          <cell r="AJ33">
            <v>0</v>
          </cell>
        </row>
        <row r="34">
          <cell r="D34">
            <v>42045</v>
          </cell>
          <cell r="AJ34">
            <v>-0.12000000000000455</v>
          </cell>
        </row>
        <row r="35">
          <cell r="D35">
            <v>42046</v>
          </cell>
          <cell r="AJ35">
            <v>-0.23000000000000398</v>
          </cell>
        </row>
        <row r="36">
          <cell r="D36">
            <v>42047</v>
          </cell>
          <cell r="AJ36">
            <v>-0.15000000000000568</v>
          </cell>
        </row>
        <row r="37">
          <cell r="D37">
            <v>42048</v>
          </cell>
          <cell r="AJ37">
            <v>-0.12000000000000455</v>
          </cell>
        </row>
        <row r="38">
          <cell r="D38">
            <v>42051</v>
          </cell>
          <cell r="AJ38">
            <v>-0.12000000000000455</v>
          </cell>
        </row>
        <row r="39">
          <cell r="D39">
            <v>42052</v>
          </cell>
          <cell r="AJ39">
            <v>-0.11999999999999034</v>
          </cell>
        </row>
        <row r="40">
          <cell r="D40">
            <v>42053</v>
          </cell>
          <cell r="AJ40">
            <v>-0.22000000000001307</v>
          </cell>
        </row>
        <row r="41">
          <cell r="D41">
            <v>42054</v>
          </cell>
          <cell r="AJ41">
            <v>0.10000000000000853</v>
          </cell>
        </row>
        <row r="42">
          <cell r="D42">
            <v>42055</v>
          </cell>
          <cell r="AJ42">
            <v>0.10000000000000853</v>
          </cell>
        </row>
        <row r="43">
          <cell r="D43">
            <v>42058</v>
          </cell>
          <cell r="AJ43">
            <v>0.10000000000000853</v>
          </cell>
        </row>
        <row r="44">
          <cell r="D44">
            <v>42059</v>
          </cell>
          <cell r="AJ44">
            <v>0.15000000000000568</v>
          </cell>
        </row>
        <row r="45">
          <cell r="D45">
            <v>42060</v>
          </cell>
          <cell r="AJ45">
            <v>0.15000000000000568</v>
          </cell>
        </row>
        <row r="46">
          <cell r="D46">
            <v>42061</v>
          </cell>
          <cell r="AJ46">
            <v>0.59999999999999432</v>
          </cell>
        </row>
        <row r="47">
          <cell r="D47">
            <v>42062</v>
          </cell>
          <cell r="AJ47">
            <v>0.65000000000000568</v>
          </cell>
        </row>
        <row r="48">
          <cell r="D48">
            <v>42065</v>
          </cell>
          <cell r="AJ48">
            <v>0.79999999999999716</v>
          </cell>
        </row>
        <row r="49">
          <cell r="D49">
            <v>42066</v>
          </cell>
          <cell r="AJ49">
            <v>0.89999999999999147</v>
          </cell>
        </row>
        <row r="50">
          <cell r="D50">
            <v>42067</v>
          </cell>
          <cell r="AJ50">
            <v>1.0999999999999943</v>
          </cell>
        </row>
        <row r="51">
          <cell r="D51">
            <v>42068</v>
          </cell>
          <cell r="AJ51">
            <v>1.0499999999999972</v>
          </cell>
        </row>
        <row r="52">
          <cell r="D52">
            <v>42069</v>
          </cell>
          <cell r="AJ52">
            <v>1.0999999999999943</v>
          </cell>
        </row>
        <row r="53">
          <cell r="D53">
            <v>42072</v>
          </cell>
          <cell r="AJ53">
            <v>1.3999999999999915</v>
          </cell>
        </row>
        <row r="54">
          <cell r="D54">
            <v>42073</v>
          </cell>
          <cell r="AJ54">
            <v>1.6000000000000085</v>
          </cell>
        </row>
        <row r="55">
          <cell r="D55">
            <v>42074</v>
          </cell>
          <cell r="AJ55">
            <v>1.5499999999999972</v>
          </cell>
        </row>
        <row r="56">
          <cell r="D56">
            <v>42075</v>
          </cell>
          <cell r="AJ56">
            <v>1.2999999999999972</v>
          </cell>
        </row>
        <row r="57">
          <cell r="D57">
            <v>42076</v>
          </cell>
          <cell r="AJ57">
            <v>1.3999999999999915</v>
          </cell>
        </row>
        <row r="58">
          <cell r="D58">
            <v>42079</v>
          </cell>
          <cell r="AJ58">
            <v>1.3999999999999915</v>
          </cell>
        </row>
        <row r="59">
          <cell r="D59">
            <v>42080</v>
          </cell>
          <cell r="AJ59">
            <v>1.25</v>
          </cell>
        </row>
        <row r="60">
          <cell r="D60">
            <v>42081</v>
          </cell>
          <cell r="AJ60">
            <v>1.25</v>
          </cell>
        </row>
        <row r="61">
          <cell r="D61">
            <v>42082</v>
          </cell>
          <cell r="AJ61">
            <v>1.3799999999999955</v>
          </cell>
        </row>
        <row r="62">
          <cell r="D62">
            <v>42083</v>
          </cell>
          <cell r="AJ62">
            <v>1.5</v>
          </cell>
        </row>
        <row r="63">
          <cell r="D63">
            <v>42086</v>
          </cell>
          <cell r="AJ63">
            <v>1.5499999999999972</v>
          </cell>
        </row>
        <row r="64">
          <cell r="D64">
            <v>42087</v>
          </cell>
          <cell r="AJ64">
            <v>1.5</v>
          </cell>
        </row>
        <row r="65">
          <cell r="D65">
            <v>42088</v>
          </cell>
          <cell r="AJ65">
            <v>1.5499999999999972</v>
          </cell>
        </row>
        <row r="66">
          <cell r="D66">
            <v>42089</v>
          </cell>
          <cell r="AJ66">
            <v>1.75</v>
          </cell>
        </row>
        <row r="67">
          <cell r="D67">
            <v>42090</v>
          </cell>
          <cell r="AJ67">
            <v>1.5999999999999943</v>
          </cell>
        </row>
        <row r="68">
          <cell r="D68">
            <v>42093</v>
          </cell>
          <cell r="AJ68">
            <v>1.480000000000004</v>
          </cell>
        </row>
        <row r="69">
          <cell r="D69">
            <v>42094</v>
          </cell>
          <cell r="AJ69">
            <v>1.3999999999999915</v>
          </cell>
        </row>
        <row r="70">
          <cell r="D70">
            <v>42095</v>
          </cell>
          <cell r="AJ70">
            <v>0.56000000000000227</v>
          </cell>
        </row>
        <row r="71">
          <cell r="D71">
            <v>42096</v>
          </cell>
          <cell r="AJ71">
            <v>0.65000000000000568</v>
          </cell>
        </row>
        <row r="72">
          <cell r="D72">
            <v>42097</v>
          </cell>
          <cell r="AJ72">
            <v>0.65000000000000568</v>
          </cell>
        </row>
        <row r="73">
          <cell r="D73">
            <v>42100</v>
          </cell>
          <cell r="AJ73">
            <v>0.65000000000000568</v>
          </cell>
        </row>
        <row r="74">
          <cell r="D74">
            <v>42101</v>
          </cell>
          <cell r="AJ74">
            <v>0.64999999999999147</v>
          </cell>
        </row>
        <row r="75">
          <cell r="D75">
            <v>42102</v>
          </cell>
          <cell r="AJ75">
            <v>0.59999999999999432</v>
          </cell>
        </row>
        <row r="76">
          <cell r="D76">
            <v>42103</v>
          </cell>
          <cell r="AJ76">
            <v>0.25</v>
          </cell>
        </row>
        <row r="77">
          <cell r="D77">
            <v>42104</v>
          </cell>
          <cell r="AJ77">
            <v>0.40000000000000568</v>
          </cell>
        </row>
        <row r="78">
          <cell r="D78">
            <v>42107</v>
          </cell>
          <cell r="AJ78">
            <v>0.45000000000000284</v>
          </cell>
        </row>
        <row r="79">
          <cell r="D79">
            <v>42108</v>
          </cell>
          <cell r="AJ79">
            <v>0.59999999999999432</v>
          </cell>
        </row>
        <row r="80">
          <cell r="D80">
            <v>42109</v>
          </cell>
          <cell r="AJ80">
            <v>0.75</v>
          </cell>
        </row>
        <row r="81">
          <cell r="D81">
            <v>42110</v>
          </cell>
          <cell r="AJ81">
            <v>0.85000000000000853</v>
          </cell>
        </row>
        <row r="82">
          <cell r="D82">
            <v>42111</v>
          </cell>
          <cell r="AJ82">
            <v>0.90000000000000568</v>
          </cell>
        </row>
        <row r="83">
          <cell r="D83">
            <v>42114</v>
          </cell>
          <cell r="AJ83">
            <v>0.79999999999999716</v>
          </cell>
        </row>
        <row r="84">
          <cell r="D84">
            <v>42115</v>
          </cell>
          <cell r="AJ84">
            <v>0.79999999999999716</v>
          </cell>
        </row>
        <row r="85">
          <cell r="D85">
            <v>42116</v>
          </cell>
          <cell r="AJ85">
            <v>0.90000000000000568</v>
          </cell>
        </row>
        <row r="86">
          <cell r="D86">
            <v>42117</v>
          </cell>
          <cell r="AJ86">
            <v>1.0999999999999943</v>
          </cell>
        </row>
        <row r="87">
          <cell r="D87">
            <v>42118</v>
          </cell>
          <cell r="AJ87">
            <v>1.5</v>
          </cell>
        </row>
        <row r="88">
          <cell r="D88">
            <v>42121</v>
          </cell>
          <cell r="AJ88">
            <v>1.6500000000000057</v>
          </cell>
        </row>
        <row r="89">
          <cell r="D89">
            <v>42122</v>
          </cell>
          <cell r="AJ89">
            <v>1.5499999999999972</v>
          </cell>
        </row>
        <row r="90">
          <cell r="D90">
            <v>42123</v>
          </cell>
          <cell r="AJ90">
            <v>1.4500000000000028</v>
          </cell>
        </row>
        <row r="91">
          <cell r="D91">
            <v>42124</v>
          </cell>
          <cell r="AJ91">
            <v>1.4499999999999886</v>
          </cell>
        </row>
        <row r="92">
          <cell r="D92">
            <v>42125</v>
          </cell>
          <cell r="AJ92">
            <v>1.25</v>
          </cell>
        </row>
        <row r="93">
          <cell r="D93">
            <v>42128</v>
          </cell>
          <cell r="AJ93">
            <v>1.25</v>
          </cell>
        </row>
        <row r="94">
          <cell r="D94">
            <v>42129</v>
          </cell>
          <cell r="AJ94">
            <v>1.2999999999999972</v>
          </cell>
        </row>
        <row r="95">
          <cell r="D95">
            <v>42130</v>
          </cell>
          <cell r="AJ95">
            <v>1.25</v>
          </cell>
        </row>
        <row r="96">
          <cell r="D96">
            <v>42131</v>
          </cell>
          <cell r="AJ96">
            <v>1.0499999999999972</v>
          </cell>
        </row>
        <row r="97">
          <cell r="D97">
            <v>42132</v>
          </cell>
          <cell r="AJ97">
            <v>1.2000000000000028</v>
          </cell>
        </row>
        <row r="98">
          <cell r="D98">
            <v>42135</v>
          </cell>
          <cell r="AJ98">
            <v>1.4500000000000028</v>
          </cell>
        </row>
        <row r="99">
          <cell r="D99">
            <v>42136</v>
          </cell>
          <cell r="AJ99">
            <v>1.5500000000000114</v>
          </cell>
        </row>
        <row r="100">
          <cell r="D100">
            <v>42137</v>
          </cell>
          <cell r="AJ100">
            <v>1.5500000000000114</v>
          </cell>
        </row>
        <row r="101">
          <cell r="D101">
            <v>42138</v>
          </cell>
          <cell r="AJ101">
            <v>1.5999999999999943</v>
          </cell>
        </row>
        <row r="102">
          <cell r="D102">
            <v>42139</v>
          </cell>
          <cell r="AJ102">
            <v>1.9500000000000028</v>
          </cell>
        </row>
        <row r="103">
          <cell r="D103">
            <v>42142</v>
          </cell>
          <cell r="AJ103">
            <v>2.5</v>
          </cell>
        </row>
        <row r="104">
          <cell r="D104">
            <v>42143</v>
          </cell>
          <cell r="AJ104">
            <v>2.5999999999999943</v>
          </cell>
        </row>
        <row r="105">
          <cell r="D105">
            <v>42144</v>
          </cell>
          <cell r="AJ105">
            <v>2.6000000000000085</v>
          </cell>
        </row>
        <row r="106">
          <cell r="D106">
            <v>42145</v>
          </cell>
          <cell r="AJ106">
            <v>2.5499999999999972</v>
          </cell>
        </row>
        <row r="107">
          <cell r="D107">
            <v>42146</v>
          </cell>
          <cell r="AJ107">
            <v>2.6500000000000057</v>
          </cell>
        </row>
        <row r="108">
          <cell r="D108">
            <v>42149</v>
          </cell>
          <cell r="AJ108">
            <v>2.6000000000000085</v>
          </cell>
        </row>
        <row r="109">
          <cell r="D109">
            <v>42150</v>
          </cell>
          <cell r="AJ109">
            <v>2.5</v>
          </cell>
        </row>
        <row r="110">
          <cell r="D110">
            <v>42151</v>
          </cell>
          <cell r="AJ110">
            <v>2.5</v>
          </cell>
        </row>
        <row r="111">
          <cell r="D111">
            <v>42152</v>
          </cell>
          <cell r="AJ111">
            <v>2.5</v>
          </cell>
        </row>
        <row r="112">
          <cell r="D112">
            <v>42153</v>
          </cell>
          <cell r="AJ112">
            <v>2.9500000000000028</v>
          </cell>
        </row>
        <row r="113">
          <cell r="D113">
            <v>42156</v>
          </cell>
          <cell r="AJ113">
            <v>1.75</v>
          </cell>
        </row>
        <row r="114">
          <cell r="D114">
            <v>42157</v>
          </cell>
          <cell r="AJ114">
            <v>1.75</v>
          </cell>
        </row>
        <row r="115">
          <cell r="D115">
            <v>42158</v>
          </cell>
          <cell r="AJ115">
            <v>1.75</v>
          </cell>
        </row>
        <row r="116">
          <cell r="D116">
            <v>42159</v>
          </cell>
          <cell r="AJ116">
            <v>1.75</v>
          </cell>
        </row>
        <row r="117">
          <cell r="D117">
            <v>42160</v>
          </cell>
          <cell r="AJ117">
            <v>1.75</v>
          </cell>
        </row>
        <row r="118">
          <cell r="D118">
            <v>42163</v>
          </cell>
          <cell r="AJ118">
            <v>1.8999999999999915</v>
          </cell>
        </row>
        <row r="119">
          <cell r="D119">
            <v>42164</v>
          </cell>
          <cell r="AJ119">
            <v>2.1500000000000057</v>
          </cell>
        </row>
        <row r="120">
          <cell r="D120">
            <v>42165</v>
          </cell>
          <cell r="AJ120">
            <v>2.4000000000000057</v>
          </cell>
        </row>
        <row r="121">
          <cell r="D121">
            <v>42166</v>
          </cell>
          <cell r="AJ121">
            <v>2.5</v>
          </cell>
        </row>
        <row r="122">
          <cell r="D122">
            <v>42167</v>
          </cell>
          <cell r="AJ122">
            <v>2.5</v>
          </cell>
        </row>
        <row r="123">
          <cell r="D123">
            <v>42170</v>
          </cell>
          <cell r="AJ123">
            <v>2.4500000000000028</v>
          </cell>
        </row>
        <row r="124">
          <cell r="D124">
            <v>42171</v>
          </cell>
          <cell r="AJ124">
            <v>2.5999999999999943</v>
          </cell>
        </row>
        <row r="125">
          <cell r="D125">
            <v>42172</v>
          </cell>
          <cell r="AJ125">
            <v>2.75</v>
          </cell>
        </row>
        <row r="126">
          <cell r="D126">
            <v>42173</v>
          </cell>
          <cell r="AJ126">
            <v>2.5999999999999943</v>
          </cell>
        </row>
        <row r="127">
          <cell r="D127">
            <v>42174</v>
          </cell>
          <cell r="AJ127">
            <v>2.4500000000000028</v>
          </cell>
        </row>
        <row r="128">
          <cell r="D128">
            <v>42177</v>
          </cell>
          <cell r="AJ128">
            <v>2.0500000000000114</v>
          </cell>
        </row>
        <row r="129">
          <cell r="D129">
            <v>42178</v>
          </cell>
          <cell r="AJ129">
            <v>1.9000000000000057</v>
          </cell>
        </row>
        <row r="130">
          <cell r="D130">
            <v>42179</v>
          </cell>
          <cell r="AJ130">
            <v>2.1500000000000057</v>
          </cell>
        </row>
        <row r="131">
          <cell r="D131">
            <v>42180</v>
          </cell>
          <cell r="AJ131">
            <v>2.1500000000000057</v>
          </cell>
        </row>
        <row r="132">
          <cell r="D132">
            <v>42181</v>
          </cell>
          <cell r="AJ132">
            <v>2.1000000000000085</v>
          </cell>
        </row>
        <row r="133">
          <cell r="D133">
            <v>42184</v>
          </cell>
          <cell r="AJ133">
            <v>2.1000000000000085</v>
          </cell>
        </row>
        <row r="134">
          <cell r="D134">
            <v>42185</v>
          </cell>
          <cell r="AJ134">
            <v>2.1499999999999915</v>
          </cell>
        </row>
        <row r="135">
          <cell r="D135">
            <v>42186</v>
          </cell>
          <cell r="AJ135">
            <v>1.3999999999999915</v>
          </cell>
        </row>
        <row r="136">
          <cell r="D136">
            <v>42187</v>
          </cell>
          <cell r="AJ136">
            <v>1.230000000000004</v>
          </cell>
        </row>
        <row r="137">
          <cell r="D137">
            <v>42188</v>
          </cell>
          <cell r="AJ137">
            <v>1.5499999999999972</v>
          </cell>
        </row>
        <row r="138">
          <cell r="D138">
            <v>42191</v>
          </cell>
          <cell r="AJ138">
            <v>1.5500000000000114</v>
          </cell>
        </row>
        <row r="139">
          <cell r="D139">
            <v>42192</v>
          </cell>
          <cell r="AJ139">
            <v>1.7000000000000028</v>
          </cell>
        </row>
        <row r="140">
          <cell r="D140">
            <v>42193</v>
          </cell>
          <cell r="AJ140">
            <v>1.9500000000000028</v>
          </cell>
        </row>
        <row r="141">
          <cell r="D141">
            <v>42194</v>
          </cell>
          <cell r="AJ141">
            <v>2.2000000000000028</v>
          </cell>
        </row>
        <row r="142">
          <cell r="D142">
            <v>42195</v>
          </cell>
          <cell r="AJ142">
            <v>2.6300000000000097</v>
          </cell>
        </row>
        <row r="143">
          <cell r="D143">
            <v>42198</v>
          </cell>
          <cell r="AJ143">
            <v>2.5499999999999972</v>
          </cell>
        </row>
        <row r="144">
          <cell r="D144">
            <v>42199</v>
          </cell>
          <cell r="AJ144">
            <v>2.3999999999999915</v>
          </cell>
        </row>
        <row r="145">
          <cell r="D145">
            <v>42200</v>
          </cell>
          <cell r="AJ145">
            <v>2.25</v>
          </cell>
        </row>
        <row r="146">
          <cell r="D146">
            <v>42201</v>
          </cell>
          <cell r="AJ146">
            <v>2.25</v>
          </cell>
        </row>
        <row r="147">
          <cell r="D147">
            <v>42202</v>
          </cell>
          <cell r="AJ147">
            <v>2.25</v>
          </cell>
        </row>
        <row r="148">
          <cell r="D148">
            <v>42205</v>
          </cell>
          <cell r="AJ148">
            <v>2.25</v>
          </cell>
        </row>
        <row r="149">
          <cell r="D149">
            <v>42206</v>
          </cell>
          <cell r="AJ149">
            <v>2.25</v>
          </cell>
        </row>
        <row r="150">
          <cell r="D150">
            <v>42207</v>
          </cell>
          <cell r="AJ150">
            <v>1.7000000000000028</v>
          </cell>
        </row>
        <row r="151">
          <cell r="D151">
            <v>42208</v>
          </cell>
          <cell r="AJ151">
            <v>1.6500000000000057</v>
          </cell>
        </row>
        <row r="152">
          <cell r="D152">
            <v>42209</v>
          </cell>
          <cell r="AJ152">
            <v>2</v>
          </cell>
        </row>
        <row r="153">
          <cell r="D153">
            <v>42212</v>
          </cell>
          <cell r="AJ153">
            <v>2.2999999999999972</v>
          </cell>
        </row>
        <row r="154">
          <cell r="D154">
            <v>42213</v>
          </cell>
          <cell r="AJ154">
            <v>2.1999999999999886</v>
          </cell>
        </row>
        <row r="155">
          <cell r="D155">
            <v>42214</v>
          </cell>
          <cell r="AJ155">
            <v>1.9499999999999886</v>
          </cell>
        </row>
        <row r="156">
          <cell r="D156">
            <v>42215</v>
          </cell>
          <cell r="AJ156">
            <v>2.0499999999999972</v>
          </cell>
        </row>
        <row r="157">
          <cell r="D157">
            <v>42216</v>
          </cell>
          <cell r="AJ157">
            <v>2.4500000000000028</v>
          </cell>
        </row>
        <row r="158">
          <cell r="D158">
            <v>42219</v>
          </cell>
          <cell r="AJ158">
            <v>1.7000000000000028</v>
          </cell>
        </row>
        <row r="159">
          <cell r="D159">
            <v>42220</v>
          </cell>
          <cell r="AJ159">
            <v>1.6499999999999986</v>
          </cell>
        </row>
        <row r="160">
          <cell r="D160">
            <v>42221</v>
          </cell>
          <cell r="AJ160">
            <v>1.8999999999999986</v>
          </cell>
        </row>
        <row r="161">
          <cell r="D161">
            <v>42222</v>
          </cell>
          <cell r="AJ161">
            <v>1.8500000000000014</v>
          </cell>
        </row>
        <row r="162">
          <cell r="D162">
            <v>42223</v>
          </cell>
          <cell r="AJ162">
            <v>1.75</v>
          </cell>
        </row>
        <row r="163">
          <cell r="D163">
            <v>42226</v>
          </cell>
          <cell r="AJ163">
            <v>1.75</v>
          </cell>
        </row>
        <row r="164">
          <cell r="D164">
            <v>42227</v>
          </cell>
          <cell r="AJ164">
            <v>1.75</v>
          </cell>
        </row>
        <row r="165">
          <cell r="D165">
            <v>42228</v>
          </cell>
          <cell r="AJ165">
            <v>1.7000000000000028</v>
          </cell>
        </row>
        <row r="166">
          <cell r="D166">
            <v>42229</v>
          </cell>
          <cell r="AJ166">
            <v>1.6000000000000085</v>
          </cell>
        </row>
        <row r="167">
          <cell r="D167">
            <v>42230</v>
          </cell>
          <cell r="AJ167">
            <v>1.5999999999999943</v>
          </cell>
        </row>
        <row r="168">
          <cell r="D168">
            <v>42233</v>
          </cell>
          <cell r="AJ168">
            <v>1.3999999999999986</v>
          </cell>
        </row>
        <row r="169">
          <cell r="D169">
            <v>42234</v>
          </cell>
          <cell r="AJ169">
            <v>1.2999999999999972</v>
          </cell>
        </row>
        <row r="170">
          <cell r="D170">
            <v>42235</v>
          </cell>
          <cell r="AJ170">
            <v>1.2000000000000028</v>
          </cell>
        </row>
        <row r="171">
          <cell r="D171">
            <v>42236</v>
          </cell>
          <cell r="AJ171">
            <v>0.95000000000000284</v>
          </cell>
        </row>
        <row r="172">
          <cell r="D172">
            <v>42237</v>
          </cell>
          <cell r="AJ172">
            <v>0.60000000000000142</v>
          </cell>
        </row>
        <row r="173">
          <cell r="D173">
            <v>42240</v>
          </cell>
          <cell r="AJ173">
            <v>0.6699999999999946</v>
          </cell>
        </row>
        <row r="174">
          <cell r="D174">
            <v>42241</v>
          </cell>
          <cell r="AJ174">
            <v>0.69999999999999574</v>
          </cell>
        </row>
        <row r="175">
          <cell r="D175">
            <v>42242</v>
          </cell>
          <cell r="AJ175">
            <v>0.60000000000000142</v>
          </cell>
        </row>
        <row r="176">
          <cell r="D176">
            <v>42243</v>
          </cell>
          <cell r="AJ176">
            <v>0.64999999999999858</v>
          </cell>
        </row>
        <row r="177">
          <cell r="D177">
            <v>42244</v>
          </cell>
          <cell r="AJ177">
            <v>0.75</v>
          </cell>
        </row>
        <row r="178">
          <cell r="D178">
            <v>42247</v>
          </cell>
          <cell r="AJ178">
            <v>0.85000000000000142</v>
          </cell>
        </row>
        <row r="179">
          <cell r="D179">
            <v>42248</v>
          </cell>
          <cell r="AJ179">
            <v>0.89999999999999858</v>
          </cell>
        </row>
        <row r="180">
          <cell r="D180">
            <v>42249</v>
          </cell>
          <cell r="AJ180">
            <v>1</v>
          </cell>
        </row>
        <row r="181">
          <cell r="D181">
            <v>42250</v>
          </cell>
          <cell r="AJ181">
            <v>1.1999999999999957</v>
          </cell>
        </row>
        <row r="182">
          <cell r="D182">
            <v>42251</v>
          </cell>
          <cell r="AJ182">
            <v>1.3000000000000043</v>
          </cell>
        </row>
        <row r="183">
          <cell r="D183">
            <v>42254</v>
          </cell>
          <cell r="AJ183">
            <v>1.2999999999999972</v>
          </cell>
        </row>
        <row r="184">
          <cell r="D184">
            <v>42255</v>
          </cell>
          <cell r="AJ184">
            <v>1.4100000000000037</v>
          </cell>
        </row>
        <row r="185">
          <cell r="D185">
            <v>42256</v>
          </cell>
          <cell r="AJ185">
            <v>1.3599999999999994</v>
          </cell>
        </row>
        <row r="186">
          <cell r="D186">
            <v>42257</v>
          </cell>
          <cell r="AJ186">
            <v>1.4000000000000057</v>
          </cell>
        </row>
        <row r="187">
          <cell r="D187">
            <v>42258</v>
          </cell>
          <cell r="AJ187">
            <v>1.4499999999999957</v>
          </cell>
        </row>
        <row r="188">
          <cell r="D188">
            <v>42261</v>
          </cell>
          <cell r="AJ188">
            <v>1.4499999999999957</v>
          </cell>
        </row>
        <row r="189">
          <cell r="D189">
            <v>42262</v>
          </cell>
          <cell r="AJ189">
            <v>1.279999999999994</v>
          </cell>
        </row>
        <row r="190">
          <cell r="D190">
            <v>42263</v>
          </cell>
          <cell r="AJ190">
            <v>1.4499999999999957</v>
          </cell>
        </row>
        <row r="191">
          <cell r="D191">
            <v>42264</v>
          </cell>
          <cell r="AJ191">
            <v>1.4799999999999969</v>
          </cell>
        </row>
        <row r="192">
          <cell r="D192">
            <v>42265</v>
          </cell>
          <cell r="AJ192">
            <v>1.4500000000000028</v>
          </cell>
        </row>
        <row r="193">
          <cell r="D193">
            <v>42268</v>
          </cell>
          <cell r="AJ193">
            <v>1.5499999999999972</v>
          </cell>
        </row>
        <row r="194">
          <cell r="D194">
            <v>42269</v>
          </cell>
          <cell r="AJ194">
            <v>1.75</v>
          </cell>
        </row>
        <row r="195">
          <cell r="D195">
            <v>42270</v>
          </cell>
          <cell r="AJ195">
            <v>1.75</v>
          </cell>
        </row>
        <row r="196">
          <cell r="D196">
            <v>42271</v>
          </cell>
          <cell r="AJ196">
            <v>1.7999999999999972</v>
          </cell>
        </row>
        <row r="197">
          <cell r="D197">
            <v>42272</v>
          </cell>
          <cell r="AJ197">
            <v>1.7999999999999972</v>
          </cell>
        </row>
        <row r="198">
          <cell r="D198">
            <v>42275</v>
          </cell>
          <cell r="AJ198">
            <v>1.8500000000000014</v>
          </cell>
        </row>
        <row r="199">
          <cell r="D199">
            <v>42276</v>
          </cell>
          <cell r="AJ199">
            <v>1.75</v>
          </cell>
        </row>
        <row r="200">
          <cell r="D200">
            <v>42277</v>
          </cell>
          <cell r="AJ200">
            <v>1.8999999999999986</v>
          </cell>
        </row>
        <row r="201">
          <cell r="D201">
            <v>42278</v>
          </cell>
          <cell r="AJ201">
            <v>0.85000000000000142</v>
          </cell>
        </row>
        <row r="202">
          <cell r="D202">
            <v>42279</v>
          </cell>
          <cell r="AJ202">
            <v>0.70000000000000284</v>
          </cell>
        </row>
        <row r="203">
          <cell r="D203">
            <v>42282</v>
          </cell>
          <cell r="AJ203">
            <v>0.69999999999999574</v>
          </cell>
        </row>
        <row r="204">
          <cell r="D204">
            <v>42283</v>
          </cell>
          <cell r="AJ204">
            <v>0.63000000000000256</v>
          </cell>
        </row>
        <row r="205">
          <cell r="D205">
            <v>42284</v>
          </cell>
          <cell r="AJ205">
            <v>0.53000000000000114</v>
          </cell>
        </row>
        <row r="206">
          <cell r="D206">
            <v>42285</v>
          </cell>
          <cell r="AJ206">
            <v>0.47999999999999687</v>
          </cell>
        </row>
        <row r="207">
          <cell r="D207">
            <v>42286</v>
          </cell>
          <cell r="AJ207">
            <v>0.39999999999999858</v>
          </cell>
        </row>
        <row r="208">
          <cell r="D208">
            <v>42289</v>
          </cell>
          <cell r="AJ208">
            <v>0.40000000000000568</v>
          </cell>
        </row>
        <row r="209">
          <cell r="D209">
            <v>42290</v>
          </cell>
          <cell r="AJ209">
            <v>0.5</v>
          </cell>
        </row>
        <row r="210">
          <cell r="D210">
            <v>42291</v>
          </cell>
          <cell r="AJ210">
            <v>0.5</v>
          </cell>
        </row>
        <row r="211">
          <cell r="D211">
            <v>42292</v>
          </cell>
          <cell r="AJ211">
            <v>0.57999999999999829</v>
          </cell>
        </row>
        <row r="212">
          <cell r="D212">
            <v>42293</v>
          </cell>
          <cell r="AJ212">
            <v>0.5</v>
          </cell>
        </row>
        <row r="213">
          <cell r="D213">
            <v>42296</v>
          </cell>
          <cell r="AJ213">
            <v>0.44999999999999574</v>
          </cell>
        </row>
        <row r="214">
          <cell r="D214">
            <v>42297</v>
          </cell>
          <cell r="AJ214">
            <v>0.25</v>
          </cell>
        </row>
        <row r="215">
          <cell r="D215">
            <v>42298</v>
          </cell>
          <cell r="AJ215">
            <v>0.19999999999999574</v>
          </cell>
        </row>
        <row r="216">
          <cell r="D216">
            <v>42299</v>
          </cell>
          <cell r="AJ216">
            <v>0.20000000000000284</v>
          </cell>
        </row>
        <row r="217">
          <cell r="D217">
            <v>42300</v>
          </cell>
          <cell r="AJ217">
            <v>0.25</v>
          </cell>
        </row>
        <row r="218">
          <cell r="D218">
            <v>42303</v>
          </cell>
          <cell r="AJ218">
            <v>0.35000000000000142</v>
          </cell>
        </row>
        <row r="219">
          <cell r="D219">
            <v>42304</v>
          </cell>
          <cell r="AJ219">
            <v>0.44999999999999574</v>
          </cell>
        </row>
        <row r="220">
          <cell r="D220">
            <v>42305</v>
          </cell>
          <cell r="AJ220">
            <v>0.55000000000000426</v>
          </cell>
        </row>
        <row r="221">
          <cell r="D221">
            <v>42306</v>
          </cell>
          <cell r="AJ221">
            <v>0.60000000000000142</v>
          </cell>
        </row>
        <row r="222">
          <cell r="D222">
            <v>42307</v>
          </cell>
          <cell r="AJ222">
            <v>0.54999999999999716</v>
          </cell>
        </row>
        <row r="223">
          <cell r="D223">
            <v>42310</v>
          </cell>
          <cell r="AJ223">
            <v>-0.65000000000000568</v>
          </cell>
        </row>
        <row r="224">
          <cell r="D224">
            <v>42311</v>
          </cell>
          <cell r="AJ224">
            <v>-0.75</v>
          </cell>
        </row>
        <row r="225">
          <cell r="D225">
            <v>42312</v>
          </cell>
          <cell r="AJ225">
            <v>-0.75</v>
          </cell>
        </row>
        <row r="226">
          <cell r="D226">
            <v>42313</v>
          </cell>
          <cell r="AJ226">
            <v>-0.75</v>
          </cell>
        </row>
        <row r="227">
          <cell r="D227">
            <v>42314</v>
          </cell>
          <cell r="AJ227">
            <v>-0.70000000000000284</v>
          </cell>
        </row>
        <row r="228">
          <cell r="D228">
            <v>42317</v>
          </cell>
          <cell r="AJ228">
            <v>-0.69999999999999574</v>
          </cell>
        </row>
        <row r="229">
          <cell r="D229">
            <v>42318</v>
          </cell>
          <cell r="AJ229">
            <v>-0.65000000000000568</v>
          </cell>
        </row>
        <row r="230">
          <cell r="D230">
            <v>42319</v>
          </cell>
          <cell r="AJ230">
            <v>-0.65000000000000568</v>
          </cell>
        </row>
        <row r="231">
          <cell r="D231">
            <v>42320</v>
          </cell>
          <cell r="AJ231">
            <v>-0.60000000000000142</v>
          </cell>
        </row>
        <row r="232">
          <cell r="D232">
            <v>42321</v>
          </cell>
          <cell r="AJ232">
            <v>-0.54999999999999716</v>
          </cell>
        </row>
        <row r="233">
          <cell r="D233">
            <v>42324</v>
          </cell>
          <cell r="AJ233">
            <v>-0.54999999999999716</v>
          </cell>
        </row>
        <row r="234">
          <cell r="D234">
            <v>42325</v>
          </cell>
          <cell r="AJ234">
            <v>-0.64999999999999858</v>
          </cell>
        </row>
        <row r="235">
          <cell r="D235">
            <v>42326</v>
          </cell>
          <cell r="AJ235">
            <v>-0.64999999999999858</v>
          </cell>
        </row>
        <row r="236">
          <cell r="D236">
            <v>42327</v>
          </cell>
          <cell r="AJ236">
            <v>-0.5</v>
          </cell>
        </row>
        <row r="237">
          <cell r="D237">
            <v>42328</v>
          </cell>
          <cell r="AJ237">
            <v>-0.37999999999999545</v>
          </cell>
        </row>
        <row r="238">
          <cell r="D238">
            <v>42331</v>
          </cell>
          <cell r="AJ238">
            <v>-0.5</v>
          </cell>
        </row>
        <row r="239">
          <cell r="D239">
            <v>42332</v>
          </cell>
          <cell r="AJ239">
            <v>-0.5</v>
          </cell>
        </row>
        <row r="240">
          <cell r="D240">
            <v>42333</v>
          </cell>
          <cell r="AJ240">
            <v>-0.5</v>
          </cell>
        </row>
        <row r="241">
          <cell r="D241">
            <v>42334</v>
          </cell>
          <cell r="AJ241">
            <v>-0.60000000000000142</v>
          </cell>
        </row>
        <row r="242">
          <cell r="D242">
            <v>42335</v>
          </cell>
          <cell r="AJ242">
            <v>-0.54999999999999716</v>
          </cell>
        </row>
        <row r="243">
          <cell r="D243">
            <v>42338</v>
          </cell>
          <cell r="AJ243">
            <v>-0.53000000000000114</v>
          </cell>
        </row>
        <row r="244">
          <cell r="D244">
            <v>42339</v>
          </cell>
          <cell r="AJ244">
            <v>-0.90000000000000568</v>
          </cell>
        </row>
        <row r="245">
          <cell r="D245">
            <v>42340</v>
          </cell>
          <cell r="AJ245">
            <v>-0.89999999999999858</v>
          </cell>
        </row>
        <row r="246">
          <cell r="D246">
            <v>42341</v>
          </cell>
          <cell r="AJ246">
            <v>-0.95000000000000284</v>
          </cell>
        </row>
        <row r="247">
          <cell r="D247">
            <v>42342</v>
          </cell>
          <cell r="AJ247">
            <v>-0.87999999999999545</v>
          </cell>
        </row>
        <row r="248">
          <cell r="D248">
            <v>42345</v>
          </cell>
          <cell r="AJ248">
            <v>-0.89999999999999858</v>
          </cell>
        </row>
        <row r="249">
          <cell r="D249">
            <v>42346</v>
          </cell>
          <cell r="AJ249">
            <v>-0.94999999999999574</v>
          </cell>
        </row>
        <row r="250">
          <cell r="D250">
            <v>42347</v>
          </cell>
          <cell r="AJ250">
            <v>-0.82000000000000028</v>
          </cell>
        </row>
        <row r="251">
          <cell r="D251">
            <v>42348</v>
          </cell>
          <cell r="AJ251">
            <v>-0.75</v>
          </cell>
        </row>
        <row r="252">
          <cell r="D252">
            <v>42349</v>
          </cell>
          <cell r="AJ252">
            <v>-0.60000000000000142</v>
          </cell>
        </row>
        <row r="253">
          <cell r="D253">
            <v>42352</v>
          </cell>
          <cell r="AJ253">
            <v>-0.35000000000000142</v>
          </cell>
        </row>
        <row r="254">
          <cell r="D254">
            <v>42353</v>
          </cell>
          <cell r="AJ254">
            <v>-0.54999999999999716</v>
          </cell>
        </row>
        <row r="255">
          <cell r="D255">
            <v>42354</v>
          </cell>
          <cell r="AJ255">
            <v>-0.60000000000000142</v>
          </cell>
        </row>
        <row r="256">
          <cell r="D256">
            <v>42355</v>
          </cell>
          <cell r="AJ256">
            <v>-0.53000000000000114</v>
          </cell>
        </row>
        <row r="257">
          <cell r="D257">
            <v>42356</v>
          </cell>
          <cell r="AJ257">
            <v>-0.54999999999999716</v>
          </cell>
        </row>
        <row r="258">
          <cell r="D258">
            <v>42359</v>
          </cell>
          <cell r="AJ258">
            <v>-0.5800000000000054</v>
          </cell>
        </row>
        <row r="259">
          <cell r="D259">
            <v>42360</v>
          </cell>
          <cell r="AJ259">
            <v>-0.65000000000000568</v>
          </cell>
        </row>
        <row r="260">
          <cell r="D260">
            <v>42361</v>
          </cell>
          <cell r="AJ260">
            <v>-0.78000000000000114</v>
          </cell>
        </row>
        <row r="261">
          <cell r="D261">
            <v>42362</v>
          </cell>
          <cell r="AJ261">
            <v>-0.55000000000000426</v>
          </cell>
        </row>
        <row r="262">
          <cell r="D262">
            <v>42363</v>
          </cell>
          <cell r="AJ262">
            <v>-0.57999999999999829</v>
          </cell>
        </row>
        <row r="263">
          <cell r="D263">
            <v>42366</v>
          </cell>
          <cell r="AJ263">
            <v>-0.57999999999999829</v>
          </cell>
        </row>
        <row r="264">
          <cell r="D264">
            <v>42367</v>
          </cell>
          <cell r="AJ264">
            <v>-0.5</v>
          </cell>
        </row>
        <row r="265">
          <cell r="D265">
            <v>42368</v>
          </cell>
          <cell r="AJ265">
            <v>-0.51000000000000512</v>
          </cell>
        </row>
        <row r="266">
          <cell r="D266">
            <v>42369</v>
          </cell>
          <cell r="AJ266">
            <v>-0.60000000000000142</v>
          </cell>
        </row>
        <row r="267">
          <cell r="D267">
            <v>42370</v>
          </cell>
          <cell r="AJ267">
            <v>-0.64999999999999858</v>
          </cell>
        </row>
        <row r="268">
          <cell r="D268">
            <v>42373</v>
          </cell>
          <cell r="AJ268">
            <v>-0.64999999999999858</v>
          </cell>
        </row>
        <row r="269">
          <cell r="D269">
            <v>42374</v>
          </cell>
          <cell r="AJ269">
            <v>-0.63000000000000256</v>
          </cell>
        </row>
        <row r="270">
          <cell r="D270">
            <v>42375</v>
          </cell>
          <cell r="AJ270">
            <v>-0.75</v>
          </cell>
        </row>
        <row r="271">
          <cell r="D271">
            <v>42376</v>
          </cell>
          <cell r="AJ271">
            <v>-0.79999999999999716</v>
          </cell>
        </row>
        <row r="272">
          <cell r="D272">
            <v>42377</v>
          </cell>
          <cell r="AJ272">
            <v>-0.79999999999999716</v>
          </cell>
        </row>
        <row r="273">
          <cell r="D273">
            <v>42380</v>
          </cell>
          <cell r="AJ273">
            <v>-0.79999999999999716</v>
          </cell>
        </row>
        <row r="274">
          <cell r="D274">
            <v>42381</v>
          </cell>
          <cell r="AJ274">
            <v>-0.64999999999999858</v>
          </cell>
        </row>
        <row r="275">
          <cell r="D275">
            <v>42382</v>
          </cell>
          <cell r="AJ275">
            <v>-0.70000000000000284</v>
          </cell>
        </row>
        <row r="276">
          <cell r="D276">
            <v>42383</v>
          </cell>
          <cell r="AJ276">
            <v>-0.6699999999999946</v>
          </cell>
        </row>
        <row r="277">
          <cell r="D277">
            <v>42384</v>
          </cell>
          <cell r="AJ277">
            <v>-0.78999999999999915</v>
          </cell>
        </row>
        <row r="278">
          <cell r="D278">
            <v>42387</v>
          </cell>
          <cell r="AJ278">
            <v>-0.78000000000000114</v>
          </cell>
        </row>
        <row r="279">
          <cell r="D279">
            <v>42388</v>
          </cell>
          <cell r="AJ279">
            <v>-0.67000000000000171</v>
          </cell>
        </row>
        <row r="280">
          <cell r="D280">
            <v>42389</v>
          </cell>
          <cell r="AJ280">
            <v>-0.70000000000000284</v>
          </cell>
        </row>
        <row r="281">
          <cell r="D281">
            <v>42390</v>
          </cell>
          <cell r="AJ281">
            <v>-0.72999999999999687</v>
          </cell>
        </row>
        <row r="282">
          <cell r="D282">
            <v>42391</v>
          </cell>
          <cell r="AJ282">
            <v>-0.64999999999999858</v>
          </cell>
        </row>
        <row r="283">
          <cell r="D283">
            <v>42394</v>
          </cell>
          <cell r="AJ283">
            <v>-0.69999999999999574</v>
          </cell>
        </row>
        <row r="284">
          <cell r="D284">
            <v>42395</v>
          </cell>
          <cell r="AJ284">
            <v>-0.75</v>
          </cell>
        </row>
        <row r="285">
          <cell r="D285">
            <v>42396</v>
          </cell>
          <cell r="AJ285">
            <v>-0.84999999999999432</v>
          </cell>
        </row>
        <row r="286">
          <cell r="D286">
            <v>42397</v>
          </cell>
          <cell r="AJ286">
            <v>-0.85000000000000142</v>
          </cell>
        </row>
        <row r="287">
          <cell r="D287">
            <v>42398</v>
          </cell>
          <cell r="AJ287">
            <v>-0.93999999999999773</v>
          </cell>
        </row>
        <row r="288">
          <cell r="D288">
            <v>42401</v>
          </cell>
          <cell r="AJ288">
            <v>-1.0500000000000043</v>
          </cell>
        </row>
        <row r="289">
          <cell r="D289">
            <v>42402</v>
          </cell>
          <cell r="AJ289">
            <v>-1.1500000000000057</v>
          </cell>
        </row>
        <row r="290">
          <cell r="D290">
            <v>42403</v>
          </cell>
          <cell r="AJ290">
            <v>-1.1999999999999957</v>
          </cell>
        </row>
        <row r="291">
          <cell r="D291">
            <v>42404</v>
          </cell>
          <cell r="AJ291">
            <v>-1.0700000000000003</v>
          </cell>
        </row>
        <row r="292">
          <cell r="D292">
            <v>42405</v>
          </cell>
          <cell r="AJ292">
            <v>-1.1000000000000014</v>
          </cell>
        </row>
        <row r="293">
          <cell r="D293">
            <v>42408</v>
          </cell>
          <cell r="AJ293">
            <v>-1.25</v>
          </cell>
        </row>
        <row r="294">
          <cell r="D294">
            <v>42409</v>
          </cell>
          <cell r="AJ294">
            <v>-1.25</v>
          </cell>
        </row>
        <row r="295">
          <cell r="D295">
            <v>42410</v>
          </cell>
          <cell r="AJ295">
            <v>-1.25</v>
          </cell>
        </row>
        <row r="296">
          <cell r="D296">
            <v>42411</v>
          </cell>
          <cell r="AJ296">
            <v>-1.1999999999999957</v>
          </cell>
        </row>
        <row r="297">
          <cell r="D297">
            <v>42412</v>
          </cell>
          <cell r="AJ297">
            <v>-1.1499999999999986</v>
          </cell>
        </row>
        <row r="298">
          <cell r="D298">
            <v>42415</v>
          </cell>
          <cell r="AJ298">
            <v>-0.94000000000000483</v>
          </cell>
        </row>
        <row r="299">
          <cell r="D299">
            <v>42416</v>
          </cell>
          <cell r="AJ299">
            <v>-0.95000000000000284</v>
          </cell>
        </row>
        <row r="300">
          <cell r="D300">
            <v>42417</v>
          </cell>
          <cell r="AJ300">
            <v>-1</v>
          </cell>
        </row>
        <row r="301">
          <cell r="D301">
            <v>42418</v>
          </cell>
          <cell r="AJ301">
            <v>-1.1400000000000006</v>
          </cell>
        </row>
        <row r="302">
          <cell r="D302">
            <v>42419</v>
          </cell>
          <cell r="AJ302">
            <v>-1.1400000000000006</v>
          </cell>
        </row>
        <row r="303">
          <cell r="D303">
            <v>42422</v>
          </cell>
          <cell r="AJ303">
            <v>-0.95000000000000284</v>
          </cell>
        </row>
        <row r="304">
          <cell r="D304">
            <v>42423</v>
          </cell>
          <cell r="AJ304">
            <v>-0.89999999999999858</v>
          </cell>
        </row>
        <row r="305">
          <cell r="D305">
            <v>42424</v>
          </cell>
          <cell r="AJ305">
            <v>-0.89999999999999858</v>
          </cell>
        </row>
        <row r="306">
          <cell r="D306">
            <v>42425</v>
          </cell>
          <cell r="AJ306">
            <v>-0.75</v>
          </cell>
        </row>
        <row r="307">
          <cell r="D307">
            <v>42426</v>
          </cell>
          <cell r="AJ307">
            <v>-0.69999999999999574</v>
          </cell>
        </row>
        <row r="308">
          <cell r="D308">
            <v>42429</v>
          </cell>
          <cell r="AJ308">
            <v>-0.76999999999999602</v>
          </cell>
        </row>
        <row r="309">
          <cell r="D309">
            <v>42430</v>
          </cell>
          <cell r="AJ309">
            <v>-0.78000000000000114</v>
          </cell>
        </row>
        <row r="310">
          <cell r="D310">
            <v>42431</v>
          </cell>
          <cell r="AJ310">
            <v>-0.89999999999999858</v>
          </cell>
        </row>
        <row r="311">
          <cell r="D311">
            <v>42432</v>
          </cell>
          <cell r="AJ311">
            <v>-0.89999999999999858</v>
          </cell>
        </row>
        <row r="312">
          <cell r="D312">
            <v>42433</v>
          </cell>
          <cell r="AJ312">
            <v>-0.94000000000000483</v>
          </cell>
        </row>
        <row r="313">
          <cell r="D313">
            <v>42436</v>
          </cell>
          <cell r="AJ313">
            <v>-0.89999999999999858</v>
          </cell>
        </row>
        <row r="314">
          <cell r="D314">
            <v>42437</v>
          </cell>
          <cell r="AJ314">
            <v>-0.89999999999999858</v>
          </cell>
        </row>
        <row r="315">
          <cell r="D315">
            <v>42438</v>
          </cell>
          <cell r="AJ315">
            <v>-0.89999999999999858</v>
          </cell>
        </row>
        <row r="316">
          <cell r="D316">
            <v>42439</v>
          </cell>
          <cell r="AJ316">
            <v>-0.62000000000000455</v>
          </cell>
        </row>
        <row r="317">
          <cell r="D317">
            <v>42440</v>
          </cell>
          <cell r="AJ317">
            <v>-0.69999999999999574</v>
          </cell>
        </row>
        <row r="318">
          <cell r="D318">
            <v>42443</v>
          </cell>
          <cell r="AJ318">
            <v>-0.70000000000000284</v>
          </cell>
        </row>
        <row r="319">
          <cell r="D319">
            <v>42444</v>
          </cell>
          <cell r="AJ319">
            <v>-0.78000000000000114</v>
          </cell>
        </row>
        <row r="320">
          <cell r="D320">
            <v>42445</v>
          </cell>
          <cell r="AJ320">
            <v>-0.72999999999999687</v>
          </cell>
        </row>
        <row r="321">
          <cell r="D321">
            <v>42446</v>
          </cell>
          <cell r="AJ321">
            <v>-0.82000000000000028</v>
          </cell>
        </row>
        <row r="322">
          <cell r="D322">
            <v>42447</v>
          </cell>
          <cell r="AJ322">
            <v>-0.84999999999999432</v>
          </cell>
        </row>
        <row r="323">
          <cell r="D323">
            <v>42450</v>
          </cell>
          <cell r="AJ323">
            <v>-0.86000000000000654</v>
          </cell>
        </row>
        <row r="324">
          <cell r="D324">
            <v>42451</v>
          </cell>
          <cell r="AJ324">
            <v>-0.82999999999999829</v>
          </cell>
        </row>
        <row r="325">
          <cell r="D325">
            <v>42452</v>
          </cell>
          <cell r="AJ325">
            <v>-0.78999999999999915</v>
          </cell>
        </row>
        <row r="326">
          <cell r="D326">
            <v>42453</v>
          </cell>
          <cell r="AJ326">
            <v>-0.79999999999999716</v>
          </cell>
        </row>
        <row r="327">
          <cell r="D327">
            <v>42454</v>
          </cell>
          <cell r="AJ327">
            <v>-0.74000000000000199</v>
          </cell>
        </row>
        <row r="328">
          <cell r="D328">
            <v>42457</v>
          </cell>
          <cell r="AJ328">
            <v>-0.74000000000000199</v>
          </cell>
        </row>
        <row r="329">
          <cell r="D329">
            <v>42458</v>
          </cell>
          <cell r="AJ329">
            <v>-0.85000000000000142</v>
          </cell>
        </row>
        <row r="330">
          <cell r="D330">
            <v>42459</v>
          </cell>
          <cell r="AJ330">
            <v>-0.87999999999999545</v>
          </cell>
        </row>
        <row r="331">
          <cell r="D331">
            <v>42460</v>
          </cell>
          <cell r="AJ331">
            <v>-0.96999999999999886</v>
          </cell>
        </row>
        <row r="332">
          <cell r="D332">
            <v>42461</v>
          </cell>
          <cell r="AJ332">
            <v>-0.67000000000000171</v>
          </cell>
        </row>
        <row r="333">
          <cell r="D333">
            <v>42464</v>
          </cell>
          <cell r="AJ333">
            <v>-0.64999999999999858</v>
          </cell>
        </row>
        <row r="334">
          <cell r="D334">
            <v>42465</v>
          </cell>
          <cell r="AJ334">
            <v>-0.60000000000000142</v>
          </cell>
        </row>
        <row r="335">
          <cell r="D335">
            <v>42466</v>
          </cell>
          <cell r="AJ335">
            <v>-0.55999999999999517</v>
          </cell>
        </row>
        <row r="336">
          <cell r="D336">
            <v>42467</v>
          </cell>
          <cell r="AJ336">
            <v>-0.59999999999999432</v>
          </cell>
        </row>
        <row r="337">
          <cell r="D337">
            <v>42468</v>
          </cell>
          <cell r="AJ337">
            <v>-0.63999999999999346</v>
          </cell>
        </row>
        <row r="338">
          <cell r="D338">
            <v>42471</v>
          </cell>
          <cell r="AJ338">
            <v>-0.57999999999999829</v>
          </cell>
        </row>
        <row r="339">
          <cell r="D339">
            <v>42472</v>
          </cell>
          <cell r="AJ339">
            <v>-0.5</v>
          </cell>
        </row>
        <row r="340">
          <cell r="D340">
            <v>42473</v>
          </cell>
          <cell r="AJ340">
            <v>-0.67999999999999972</v>
          </cell>
        </row>
        <row r="341">
          <cell r="D341">
            <v>42474</v>
          </cell>
          <cell r="AJ341">
            <v>-0.80000000000000426</v>
          </cell>
        </row>
        <row r="342">
          <cell r="D342">
            <v>42475</v>
          </cell>
          <cell r="AJ342">
            <v>-0.90000000000000568</v>
          </cell>
        </row>
        <row r="343">
          <cell r="D343">
            <v>42478</v>
          </cell>
          <cell r="AJ343">
            <v>-0.89999999999999858</v>
          </cell>
        </row>
        <row r="344">
          <cell r="D344">
            <v>42479</v>
          </cell>
          <cell r="AJ344">
            <v>-0.90000000000000568</v>
          </cell>
        </row>
        <row r="345">
          <cell r="D345">
            <v>42480</v>
          </cell>
          <cell r="AJ345">
            <v>-0.88000000000000256</v>
          </cell>
        </row>
        <row r="346">
          <cell r="D346">
            <v>42481</v>
          </cell>
          <cell r="AJ346">
            <v>-0.92999999999999972</v>
          </cell>
        </row>
        <row r="347">
          <cell r="D347">
            <v>42482</v>
          </cell>
          <cell r="AJ347">
            <v>-0.88000000000000256</v>
          </cell>
        </row>
        <row r="348">
          <cell r="D348">
            <v>42485</v>
          </cell>
          <cell r="AJ348">
            <v>-0.77999999999999403</v>
          </cell>
        </row>
        <row r="349">
          <cell r="D349">
            <v>42486</v>
          </cell>
          <cell r="AJ349">
            <v>-0.71000000000000085</v>
          </cell>
        </row>
        <row r="350">
          <cell r="D350">
            <v>42487</v>
          </cell>
          <cell r="AJ350">
            <v>-0.64999999999999858</v>
          </cell>
        </row>
        <row r="351">
          <cell r="D351">
            <v>42488</v>
          </cell>
          <cell r="AJ351">
            <v>-0.64000000000000057</v>
          </cell>
        </row>
        <row r="352">
          <cell r="D352">
            <v>42489</v>
          </cell>
          <cell r="AJ352">
            <v>-0.60000000000000142</v>
          </cell>
        </row>
        <row r="353">
          <cell r="D353">
            <v>42492</v>
          </cell>
          <cell r="AJ353">
            <v>-0.75</v>
          </cell>
        </row>
        <row r="354">
          <cell r="D354">
            <v>42493</v>
          </cell>
          <cell r="AJ354">
            <v>-0.75</v>
          </cell>
        </row>
        <row r="355">
          <cell r="D355">
            <v>42494</v>
          </cell>
          <cell r="AJ355">
            <v>-0.75</v>
          </cell>
        </row>
        <row r="356">
          <cell r="D356">
            <v>42495</v>
          </cell>
          <cell r="AJ356">
            <v>-0.8300000000000054</v>
          </cell>
        </row>
        <row r="357">
          <cell r="D357">
            <v>42496</v>
          </cell>
          <cell r="AJ357">
            <v>-0.78999999999999915</v>
          </cell>
        </row>
        <row r="358">
          <cell r="D358">
            <v>42499</v>
          </cell>
          <cell r="AJ358">
            <v>-0.80000000000000426</v>
          </cell>
        </row>
        <row r="359">
          <cell r="D359">
            <v>42500</v>
          </cell>
          <cell r="AJ359">
            <v>-0.78000000000000114</v>
          </cell>
        </row>
        <row r="360">
          <cell r="D360">
            <v>42501</v>
          </cell>
          <cell r="AJ360">
            <v>-0.71000000000000085</v>
          </cell>
        </row>
        <row r="361">
          <cell r="D361">
            <v>42502</v>
          </cell>
          <cell r="AJ361">
            <v>-0.54999999999999716</v>
          </cell>
        </row>
        <row r="362">
          <cell r="D362">
            <v>42503</v>
          </cell>
          <cell r="AJ362">
            <v>-0.51999999999999602</v>
          </cell>
        </row>
        <row r="363">
          <cell r="D363">
            <v>42506</v>
          </cell>
          <cell r="AJ363">
            <v>-0.5</v>
          </cell>
        </row>
        <row r="364">
          <cell r="D364">
            <v>42507</v>
          </cell>
          <cell r="AJ364">
            <v>-0.39999999999999858</v>
          </cell>
        </row>
        <row r="365">
          <cell r="D365">
            <v>42508</v>
          </cell>
          <cell r="AJ365">
            <v>-0.36999999999999744</v>
          </cell>
        </row>
        <row r="366">
          <cell r="D366">
            <v>42509</v>
          </cell>
          <cell r="AJ366">
            <v>-0.4199999999999946</v>
          </cell>
        </row>
        <row r="367">
          <cell r="D367">
            <v>42510</v>
          </cell>
          <cell r="AJ367">
            <v>-0.47999999999999687</v>
          </cell>
        </row>
        <row r="368">
          <cell r="D368">
            <v>42513</v>
          </cell>
          <cell r="AJ368">
            <v>-0.46999999999999886</v>
          </cell>
        </row>
        <row r="369">
          <cell r="D369">
            <v>42514</v>
          </cell>
          <cell r="AJ369">
            <v>-0.25</v>
          </cell>
        </row>
        <row r="370">
          <cell r="D370">
            <v>42515</v>
          </cell>
          <cell r="AJ370">
            <v>-0.31000000000000227</v>
          </cell>
        </row>
        <row r="371">
          <cell r="D371">
            <v>42516</v>
          </cell>
          <cell r="AJ371">
            <v>-0.39999999999999858</v>
          </cell>
        </row>
        <row r="372">
          <cell r="D372">
            <v>42517</v>
          </cell>
          <cell r="AJ372">
            <v>-0.39000000000000057</v>
          </cell>
        </row>
        <row r="373">
          <cell r="D373">
            <v>42520</v>
          </cell>
          <cell r="AJ373">
            <v>-0.39000000000000057</v>
          </cell>
        </row>
        <row r="374">
          <cell r="D374">
            <v>42521</v>
          </cell>
          <cell r="AJ374">
            <v>-0.38000000000000256</v>
          </cell>
        </row>
        <row r="375">
          <cell r="D375">
            <v>42522</v>
          </cell>
          <cell r="AJ375">
            <v>0</v>
          </cell>
        </row>
        <row r="376">
          <cell r="D376">
            <v>42523</v>
          </cell>
          <cell r="AJ376">
            <v>0.10000000000000142</v>
          </cell>
        </row>
        <row r="377">
          <cell r="D377">
            <v>42524</v>
          </cell>
          <cell r="AJ377">
            <v>0</v>
          </cell>
        </row>
        <row r="378">
          <cell r="D378">
            <v>42527</v>
          </cell>
          <cell r="AJ378">
            <v>-0.15999999999999659</v>
          </cell>
        </row>
        <row r="379">
          <cell r="D379">
            <v>42528</v>
          </cell>
          <cell r="AJ379">
            <v>-0.37999999999999545</v>
          </cell>
        </row>
        <row r="380">
          <cell r="D380">
            <v>42529</v>
          </cell>
          <cell r="AJ380">
            <v>-0.5</v>
          </cell>
        </row>
        <row r="381">
          <cell r="D381">
            <v>42530</v>
          </cell>
          <cell r="AJ381">
            <v>-0.35000000000000142</v>
          </cell>
        </row>
        <row r="382">
          <cell r="D382">
            <v>42531</v>
          </cell>
          <cell r="AJ382">
            <v>-0.25</v>
          </cell>
        </row>
        <row r="383">
          <cell r="D383">
            <v>42534</v>
          </cell>
          <cell r="AJ383">
            <v>-0.29999999999999716</v>
          </cell>
        </row>
        <row r="384">
          <cell r="D384">
            <v>42535</v>
          </cell>
          <cell r="AJ384">
            <v>-0.32999999999999829</v>
          </cell>
        </row>
        <row r="385">
          <cell r="D385">
            <v>42536</v>
          </cell>
          <cell r="AJ385">
            <v>-0.45000000000000284</v>
          </cell>
        </row>
        <row r="386">
          <cell r="D386">
            <v>42537</v>
          </cell>
          <cell r="AJ386">
            <v>-0.25999999999999801</v>
          </cell>
        </row>
        <row r="387">
          <cell r="D387">
            <v>42538</v>
          </cell>
          <cell r="AJ387">
            <v>-0.25999999999999801</v>
          </cell>
        </row>
        <row r="388">
          <cell r="D388">
            <v>42541</v>
          </cell>
          <cell r="AJ388">
            <v>-0.26999999999999602</v>
          </cell>
        </row>
        <row r="389">
          <cell r="D389">
            <v>42542</v>
          </cell>
          <cell r="AJ389">
            <v>-0.25999999999999801</v>
          </cell>
        </row>
        <row r="390">
          <cell r="D390">
            <v>42543</v>
          </cell>
          <cell r="AJ390">
            <v>-0.17999999999999972</v>
          </cell>
        </row>
        <row r="391">
          <cell r="D391">
            <v>42544</v>
          </cell>
          <cell r="AJ391">
            <v>-4.9999999999997158E-2</v>
          </cell>
        </row>
        <row r="392">
          <cell r="D392">
            <v>42545</v>
          </cell>
          <cell r="AJ392">
            <v>-0.14999999999999858</v>
          </cell>
        </row>
        <row r="393">
          <cell r="D393">
            <v>42548</v>
          </cell>
          <cell r="AJ393">
            <v>-0.18999999999999773</v>
          </cell>
        </row>
        <row r="394">
          <cell r="D394">
            <v>42549</v>
          </cell>
          <cell r="AJ394">
            <v>-0.31000000000000227</v>
          </cell>
        </row>
        <row r="395">
          <cell r="D395">
            <v>42550</v>
          </cell>
          <cell r="AJ395">
            <v>-0.36999999999999744</v>
          </cell>
        </row>
        <row r="396">
          <cell r="D396">
            <v>42551</v>
          </cell>
          <cell r="AJ396">
            <v>-0.39000000000000057</v>
          </cell>
        </row>
        <row r="397">
          <cell r="D397">
            <v>42552</v>
          </cell>
          <cell r="AJ397">
            <v>-0.60000000000000142</v>
          </cell>
        </row>
        <row r="398">
          <cell r="D398">
            <v>42555</v>
          </cell>
          <cell r="AJ398">
            <v>-0.45000000000000284</v>
          </cell>
        </row>
        <row r="399">
          <cell r="D399">
            <v>42556</v>
          </cell>
          <cell r="AJ399">
            <v>-0.50999999999999801</v>
          </cell>
        </row>
        <row r="400">
          <cell r="D400">
            <v>42557</v>
          </cell>
          <cell r="AJ400">
            <v>-0.69999999999999574</v>
          </cell>
        </row>
        <row r="401">
          <cell r="D401">
            <v>42558</v>
          </cell>
          <cell r="AJ401">
            <v>-0.69999999999999574</v>
          </cell>
        </row>
        <row r="402">
          <cell r="D402">
            <v>42559</v>
          </cell>
          <cell r="AJ402">
            <v>-0.75</v>
          </cell>
        </row>
        <row r="403">
          <cell r="D403">
            <v>42562</v>
          </cell>
          <cell r="AJ403">
            <v>-0.73000000000000398</v>
          </cell>
        </row>
        <row r="404">
          <cell r="D404">
            <v>42563</v>
          </cell>
          <cell r="AJ404">
            <v>-0.57999999999999829</v>
          </cell>
        </row>
        <row r="405">
          <cell r="D405">
            <v>42564</v>
          </cell>
          <cell r="AJ405">
            <v>-0.64999999999999858</v>
          </cell>
        </row>
        <row r="406">
          <cell r="D406">
            <v>42565</v>
          </cell>
          <cell r="AJ406">
            <v>-0.63000000000000256</v>
          </cell>
        </row>
        <row r="407">
          <cell r="D407">
            <v>42566</v>
          </cell>
          <cell r="AJ407">
            <v>-0.54999999999999716</v>
          </cell>
        </row>
        <row r="408">
          <cell r="D408">
            <v>42569</v>
          </cell>
          <cell r="AJ408">
            <v>-0.54999999999999716</v>
          </cell>
        </row>
        <row r="409">
          <cell r="D409">
            <v>42570</v>
          </cell>
          <cell r="AJ409">
            <v>-0.64999999999999858</v>
          </cell>
        </row>
        <row r="410">
          <cell r="D410">
            <v>42571</v>
          </cell>
          <cell r="AJ410">
            <v>-0.74000000000000199</v>
          </cell>
        </row>
        <row r="411">
          <cell r="D411">
            <v>42572</v>
          </cell>
          <cell r="AJ411">
            <v>-0.72999999999999687</v>
          </cell>
        </row>
        <row r="412">
          <cell r="D412">
            <v>42573</v>
          </cell>
          <cell r="AJ412">
            <v>-0.69999999999999574</v>
          </cell>
        </row>
        <row r="413">
          <cell r="D413">
            <v>42576</v>
          </cell>
          <cell r="AJ413">
            <v>-0.63000000000000256</v>
          </cell>
        </row>
        <row r="414">
          <cell r="D414">
            <v>42577</v>
          </cell>
          <cell r="AJ414">
            <v>-0.70000000000000284</v>
          </cell>
        </row>
        <row r="415">
          <cell r="D415">
            <v>42578</v>
          </cell>
          <cell r="AJ415">
            <v>-0.57000000000000028</v>
          </cell>
        </row>
        <row r="416">
          <cell r="D416">
            <v>42579</v>
          </cell>
          <cell r="AJ416">
            <v>-0.63000000000000256</v>
          </cell>
        </row>
        <row r="417">
          <cell r="D417">
            <v>42580</v>
          </cell>
          <cell r="AJ417">
            <v>-0.62999999999999545</v>
          </cell>
        </row>
        <row r="418">
          <cell r="D418">
            <v>42583</v>
          </cell>
          <cell r="AJ418">
            <v>-0.64000000000000057</v>
          </cell>
        </row>
        <row r="419">
          <cell r="D419">
            <v>42584</v>
          </cell>
          <cell r="AJ419">
            <v>-0.65999999999999659</v>
          </cell>
        </row>
        <row r="420">
          <cell r="D420">
            <v>42585</v>
          </cell>
          <cell r="AJ420">
            <v>-0.57999999999999829</v>
          </cell>
        </row>
        <row r="421">
          <cell r="D421">
            <v>42586</v>
          </cell>
          <cell r="AJ421">
            <v>-0.52000000000000313</v>
          </cell>
        </row>
        <row r="422">
          <cell r="D422">
            <v>42587</v>
          </cell>
          <cell r="AJ422">
            <v>-0.55000000000000426</v>
          </cell>
        </row>
        <row r="423">
          <cell r="D423">
            <v>42590</v>
          </cell>
          <cell r="AJ423">
            <v>-0.54999999999999716</v>
          </cell>
        </row>
        <row r="424">
          <cell r="D424">
            <v>42591</v>
          </cell>
          <cell r="AJ424">
            <v>-0.54999999999999716</v>
          </cell>
        </row>
        <row r="425">
          <cell r="D425">
            <v>42592</v>
          </cell>
          <cell r="AJ425">
            <v>-0.54999999999999716</v>
          </cell>
        </row>
        <row r="426">
          <cell r="D426">
            <v>42593</v>
          </cell>
          <cell r="AJ426">
            <v>-0.60000000000000142</v>
          </cell>
        </row>
        <row r="427">
          <cell r="D427">
            <v>42594</v>
          </cell>
          <cell r="AJ427">
            <v>-0.54999999999999716</v>
          </cell>
        </row>
        <row r="428">
          <cell r="D428">
            <v>42597</v>
          </cell>
          <cell r="AJ428">
            <v>-0.44999999999999574</v>
          </cell>
        </row>
        <row r="429">
          <cell r="D429">
            <v>42598</v>
          </cell>
          <cell r="AJ429">
            <v>-0.25</v>
          </cell>
        </row>
        <row r="430">
          <cell r="D430">
            <v>42599</v>
          </cell>
          <cell r="AJ430">
            <v>-0.26999999999999602</v>
          </cell>
        </row>
        <row r="431">
          <cell r="D431">
            <v>42600</v>
          </cell>
          <cell r="AJ431">
            <v>-0.25</v>
          </cell>
        </row>
        <row r="432">
          <cell r="D432">
            <v>42601</v>
          </cell>
          <cell r="AJ432">
            <v>-0.32000000000000028</v>
          </cell>
        </row>
        <row r="433">
          <cell r="D433">
            <v>42604</v>
          </cell>
          <cell r="AJ433">
            <v>-0.26999999999999602</v>
          </cell>
        </row>
        <row r="434">
          <cell r="D434">
            <v>42605</v>
          </cell>
          <cell r="AJ434">
            <v>-0.26999999999999602</v>
          </cell>
        </row>
        <row r="435">
          <cell r="D435">
            <v>42606</v>
          </cell>
          <cell r="AJ435">
            <v>-0.27999999999999403</v>
          </cell>
        </row>
        <row r="436">
          <cell r="D436">
            <v>42607</v>
          </cell>
          <cell r="AJ436">
            <v>-7.0000000000000284E-2</v>
          </cell>
        </row>
        <row r="437">
          <cell r="D437">
            <v>42608</v>
          </cell>
          <cell r="AJ437">
            <v>3.0000000000001137E-2</v>
          </cell>
        </row>
        <row r="438">
          <cell r="D438">
            <v>42611</v>
          </cell>
          <cell r="AJ438">
            <v>0.39999999999999858</v>
          </cell>
        </row>
        <row r="439">
          <cell r="D439">
            <v>42612</v>
          </cell>
          <cell r="AJ439">
            <v>0.25</v>
          </cell>
        </row>
        <row r="440">
          <cell r="D440">
            <v>42613</v>
          </cell>
          <cell r="AJ440">
            <v>0.29999999999999716</v>
          </cell>
        </row>
        <row r="441">
          <cell r="D441">
            <v>42614</v>
          </cell>
          <cell r="AJ441">
            <v>0.35000000000000142</v>
          </cell>
        </row>
        <row r="442">
          <cell r="D442">
            <v>42615</v>
          </cell>
          <cell r="AJ442">
            <v>0.39999999999999858</v>
          </cell>
        </row>
        <row r="443">
          <cell r="D443">
            <v>42618</v>
          </cell>
          <cell r="AJ443">
            <v>0.39999999999999858</v>
          </cell>
        </row>
        <row r="444">
          <cell r="D444">
            <v>42619</v>
          </cell>
          <cell r="AJ444">
            <v>0.45000000000000284</v>
          </cell>
        </row>
        <row r="445">
          <cell r="D445">
            <v>42620</v>
          </cell>
          <cell r="AJ445">
            <v>0.5</v>
          </cell>
        </row>
        <row r="446">
          <cell r="D446">
            <v>42621</v>
          </cell>
          <cell r="AJ446">
            <v>0.82000000000000028</v>
          </cell>
        </row>
        <row r="447">
          <cell r="D447">
            <v>42622</v>
          </cell>
          <cell r="AJ447">
            <v>0.79999999999999716</v>
          </cell>
        </row>
        <row r="448">
          <cell r="D448">
            <v>42625</v>
          </cell>
          <cell r="AJ448">
            <v>0.75</v>
          </cell>
        </row>
        <row r="449">
          <cell r="D449">
            <v>42626</v>
          </cell>
          <cell r="AJ449">
            <v>0.75</v>
          </cell>
        </row>
        <row r="450">
          <cell r="D450">
            <v>42627</v>
          </cell>
          <cell r="AJ450">
            <v>0.69999999999999574</v>
          </cell>
        </row>
        <row r="451">
          <cell r="D451">
            <v>42628</v>
          </cell>
          <cell r="AJ451">
            <v>0.75</v>
          </cell>
        </row>
        <row r="452">
          <cell r="D452">
            <v>42629</v>
          </cell>
          <cell r="AJ452">
            <v>1</v>
          </cell>
        </row>
        <row r="453">
          <cell r="D453">
            <v>42632</v>
          </cell>
          <cell r="AJ453">
            <v>0.88000000000000256</v>
          </cell>
        </row>
        <row r="454">
          <cell r="D454">
            <v>42633</v>
          </cell>
          <cell r="AJ454">
            <v>0.69999999999999574</v>
          </cell>
        </row>
        <row r="455">
          <cell r="D455">
            <v>42634</v>
          </cell>
          <cell r="AJ455">
            <v>0.8300000000000054</v>
          </cell>
        </row>
        <row r="456">
          <cell r="D456">
            <v>42635</v>
          </cell>
          <cell r="AJ456">
            <v>0.82000000000000028</v>
          </cell>
        </row>
        <row r="457">
          <cell r="D457">
            <v>42636</v>
          </cell>
          <cell r="AJ457">
            <v>0.78000000000000114</v>
          </cell>
        </row>
        <row r="458">
          <cell r="D458">
            <v>42639</v>
          </cell>
          <cell r="AJ458">
            <v>0.71999999999999886</v>
          </cell>
        </row>
        <row r="459">
          <cell r="D459">
            <v>42640</v>
          </cell>
          <cell r="AJ459">
            <v>0.70000000000000284</v>
          </cell>
        </row>
        <row r="460">
          <cell r="D460">
            <v>42641</v>
          </cell>
          <cell r="AJ460">
            <v>0.89999999999999858</v>
          </cell>
        </row>
        <row r="461">
          <cell r="D461">
            <v>42642</v>
          </cell>
          <cell r="AJ461">
            <v>0.80000000000000426</v>
          </cell>
        </row>
        <row r="462">
          <cell r="D462">
            <v>42643</v>
          </cell>
          <cell r="AJ462">
            <v>0.75</v>
          </cell>
        </row>
        <row r="463">
          <cell r="D463">
            <v>42646</v>
          </cell>
          <cell r="AJ463">
            <v>0.25</v>
          </cell>
        </row>
        <row r="464">
          <cell r="D464">
            <v>42647</v>
          </cell>
          <cell r="AJ464">
            <v>0.10000000000000142</v>
          </cell>
        </row>
        <row r="465">
          <cell r="D465">
            <v>42648</v>
          </cell>
          <cell r="AJ465">
            <v>0.29999999999999716</v>
          </cell>
        </row>
        <row r="466">
          <cell r="D466">
            <v>42649</v>
          </cell>
          <cell r="AJ466">
            <v>0.14999999999999858</v>
          </cell>
        </row>
        <row r="467">
          <cell r="D467">
            <v>42650</v>
          </cell>
          <cell r="AJ467">
            <v>7.0000000000000284E-2</v>
          </cell>
        </row>
        <row r="468">
          <cell r="D468">
            <v>42653</v>
          </cell>
          <cell r="AJ468">
            <v>0.10000000000000142</v>
          </cell>
        </row>
        <row r="469">
          <cell r="D469">
            <v>42654</v>
          </cell>
          <cell r="AJ469">
            <v>0.18999999999999773</v>
          </cell>
        </row>
        <row r="470">
          <cell r="D470">
            <v>42655</v>
          </cell>
          <cell r="AJ470">
            <v>0.17999999999999972</v>
          </cell>
        </row>
        <row r="471">
          <cell r="D471">
            <v>42656</v>
          </cell>
          <cell r="AJ471">
            <v>0.32000000000000028</v>
          </cell>
        </row>
        <row r="472">
          <cell r="D472">
            <v>42657</v>
          </cell>
          <cell r="AJ472">
            <v>0.39000000000000057</v>
          </cell>
        </row>
        <row r="473">
          <cell r="D473">
            <v>42660</v>
          </cell>
          <cell r="AJ473">
            <v>0.39999999999999858</v>
          </cell>
        </row>
        <row r="474">
          <cell r="D474">
            <v>42661</v>
          </cell>
          <cell r="AJ474">
            <v>0.39999999999999858</v>
          </cell>
        </row>
        <row r="475">
          <cell r="D475">
            <v>42662</v>
          </cell>
          <cell r="AJ475">
            <v>0.45000000000000284</v>
          </cell>
        </row>
        <row r="476">
          <cell r="D476">
            <v>42663</v>
          </cell>
          <cell r="AJ476">
            <v>0.37000000000000455</v>
          </cell>
        </row>
        <row r="477">
          <cell r="D477">
            <v>42664</v>
          </cell>
          <cell r="AJ477">
            <v>0.49000000000000199</v>
          </cell>
        </row>
        <row r="478">
          <cell r="D478">
            <v>42667</v>
          </cell>
          <cell r="AJ478">
            <v>0.54999999999999716</v>
          </cell>
        </row>
        <row r="479">
          <cell r="D479">
            <v>42668</v>
          </cell>
          <cell r="AJ479">
            <v>0.60000000000000142</v>
          </cell>
        </row>
        <row r="480">
          <cell r="D480">
            <v>42669</v>
          </cell>
          <cell r="AJ480">
            <v>0.6699999999999946</v>
          </cell>
        </row>
        <row r="481">
          <cell r="D481">
            <v>42670</v>
          </cell>
          <cell r="AJ481">
            <v>0.75</v>
          </cell>
        </row>
        <row r="482">
          <cell r="D482">
            <v>42671</v>
          </cell>
          <cell r="AJ482">
            <v>0.69999999999999574</v>
          </cell>
        </row>
        <row r="483">
          <cell r="D483">
            <v>42674</v>
          </cell>
          <cell r="AJ483">
            <v>0.75</v>
          </cell>
        </row>
        <row r="484">
          <cell r="D484">
            <v>42675</v>
          </cell>
          <cell r="AJ484">
            <v>0.14999999999999858</v>
          </cell>
        </row>
        <row r="485">
          <cell r="D485">
            <v>42676</v>
          </cell>
          <cell r="AJ485">
            <v>6.0000000000002274E-2</v>
          </cell>
        </row>
        <row r="486">
          <cell r="D486">
            <v>42677</v>
          </cell>
          <cell r="AJ486">
            <v>0.12000000000000455</v>
          </cell>
        </row>
        <row r="487">
          <cell r="D487">
            <v>42678</v>
          </cell>
          <cell r="AJ487">
            <v>0.17000000000000171</v>
          </cell>
        </row>
        <row r="488">
          <cell r="D488">
            <v>42681</v>
          </cell>
          <cell r="AJ488">
            <v>-5.0000000000004263E-2</v>
          </cell>
        </row>
        <row r="489">
          <cell r="D489">
            <v>42682</v>
          </cell>
          <cell r="AJ489">
            <v>-0.23000000000000398</v>
          </cell>
        </row>
        <row r="490">
          <cell r="D490">
            <v>42683</v>
          </cell>
          <cell r="AJ490">
            <v>-0.12999999999999545</v>
          </cell>
        </row>
        <row r="491">
          <cell r="D491">
            <v>42684</v>
          </cell>
          <cell r="AJ491">
            <v>-0.14000000000000057</v>
          </cell>
        </row>
        <row r="492">
          <cell r="D492">
            <v>42685</v>
          </cell>
          <cell r="AJ492">
            <v>1.0000000000005116E-2</v>
          </cell>
        </row>
        <row r="493">
          <cell r="D493">
            <v>42688</v>
          </cell>
          <cell r="AJ493">
            <v>3.9999999999999147E-2</v>
          </cell>
        </row>
        <row r="494">
          <cell r="D494">
            <v>42689</v>
          </cell>
          <cell r="AJ494">
            <v>5.9999999999995168E-2</v>
          </cell>
        </row>
        <row r="495">
          <cell r="D495">
            <v>42690</v>
          </cell>
          <cell r="AJ495">
            <v>4.0000000000006253E-2</v>
          </cell>
        </row>
        <row r="496">
          <cell r="D496">
            <v>42691</v>
          </cell>
          <cell r="AJ496">
            <v>0.12000000000000455</v>
          </cell>
        </row>
        <row r="497">
          <cell r="D497">
            <v>42692</v>
          </cell>
          <cell r="AJ497">
            <v>0.17999999999999972</v>
          </cell>
        </row>
        <row r="498">
          <cell r="D498">
            <v>42695</v>
          </cell>
          <cell r="AJ498">
            <v>9.9999999999994316E-2</v>
          </cell>
        </row>
        <row r="499">
          <cell r="D499">
            <v>42696</v>
          </cell>
          <cell r="AJ499">
            <v>0.28999999999999915</v>
          </cell>
        </row>
        <row r="500">
          <cell r="D500">
            <v>42697</v>
          </cell>
          <cell r="AJ500">
            <v>0.24000000000000199</v>
          </cell>
        </row>
        <row r="501">
          <cell r="D501">
            <v>42698</v>
          </cell>
          <cell r="AJ501">
            <v>0.32000000000000028</v>
          </cell>
        </row>
        <row r="502">
          <cell r="D502">
            <v>42699</v>
          </cell>
          <cell r="AJ502">
            <v>0.36999999999999744</v>
          </cell>
        </row>
        <row r="503">
          <cell r="D503">
            <v>42702</v>
          </cell>
          <cell r="AJ503">
            <v>0.30000000000000426</v>
          </cell>
        </row>
        <row r="504">
          <cell r="D504">
            <v>42703</v>
          </cell>
          <cell r="AJ504">
            <v>0.25</v>
          </cell>
        </row>
        <row r="505">
          <cell r="D505">
            <v>42704</v>
          </cell>
          <cell r="AJ505">
            <v>0.20000000000000284</v>
          </cell>
        </row>
        <row r="506">
          <cell r="D506">
            <v>42705</v>
          </cell>
          <cell r="AJ506">
            <v>-0.48000000000000398</v>
          </cell>
        </row>
        <row r="507">
          <cell r="D507">
            <v>42706</v>
          </cell>
          <cell r="AJ507">
            <v>-0.43999999999999773</v>
          </cell>
        </row>
        <row r="508">
          <cell r="D508">
            <v>42709</v>
          </cell>
          <cell r="AJ508">
            <v>-0.45000000000000284</v>
          </cell>
        </row>
        <row r="509">
          <cell r="D509">
            <v>42710</v>
          </cell>
          <cell r="AJ509">
            <v>-0.46000000000000085</v>
          </cell>
        </row>
        <row r="510">
          <cell r="D510">
            <v>42711</v>
          </cell>
          <cell r="AJ510">
            <v>-0.46000000000000085</v>
          </cell>
        </row>
        <row r="511">
          <cell r="D511">
            <v>42712</v>
          </cell>
          <cell r="AJ511">
            <v>-0.45000000000000284</v>
          </cell>
        </row>
        <row r="512">
          <cell r="D512">
            <v>42713</v>
          </cell>
          <cell r="AJ512">
            <v>-0.46999999999999886</v>
          </cell>
        </row>
        <row r="513">
          <cell r="D513">
            <v>42716</v>
          </cell>
          <cell r="AJ513">
            <v>-0.44999999999998863</v>
          </cell>
        </row>
        <row r="514">
          <cell r="D514">
            <v>42717</v>
          </cell>
          <cell r="AJ514">
            <v>-0.42999999999999972</v>
          </cell>
        </row>
        <row r="515">
          <cell r="D515">
            <v>42718</v>
          </cell>
          <cell r="AJ515">
            <v>-0.39999999999999858</v>
          </cell>
        </row>
        <row r="516">
          <cell r="D516">
            <v>42719</v>
          </cell>
          <cell r="AJ516">
            <v>-0.39999999999999858</v>
          </cell>
        </row>
        <row r="517">
          <cell r="D517">
            <v>42720</v>
          </cell>
          <cell r="AJ517">
            <v>-0.39999999999999858</v>
          </cell>
        </row>
        <row r="518">
          <cell r="D518">
            <v>42723</v>
          </cell>
          <cell r="AJ518">
            <v>-0.37999999999999545</v>
          </cell>
        </row>
        <row r="519">
          <cell r="D519">
            <v>42724</v>
          </cell>
          <cell r="AJ519">
            <v>-0.38000000000000256</v>
          </cell>
        </row>
        <row r="520">
          <cell r="D520">
            <v>42725</v>
          </cell>
          <cell r="AJ520">
            <v>-0.35000000000000853</v>
          </cell>
        </row>
        <row r="521">
          <cell r="D521">
            <v>42726</v>
          </cell>
          <cell r="AJ521">
            <v>-0.10000000000000853</v>
          </cell>
        </row>
        <row r="522">
          <cell r="D522">
            <v>42727</v>
          </cell>
          <cell r="AJ522">
            <v>5.0000000000011369E-2</v>
          </cell>
        </row>
        <row r="523">
          <cell r="D523">
            <v>42730</v>
          </cell>
          <cell r="AJ523">
            <v>0.18000000000000682</v>
          </cell>
        </row>
        <row r="524">
          <cell r="D524">
            <v>42731</v>
          </cell>
          <cell r="AJ524">
            <v>0.18000000000000682</v>
          </cell>
        </row>
        <row r="525">
          <cell r="D525">
            <v>42732</v>
          </cell>
          <cell r="AJ525">
            <v>0.27000000000001023</v>
          </cell>
        </row>
        <row r="526">
          <cell r="D526">
            <v>42733</v>
          </cell>
          <cell r="AJ526">
            <v>0.40000000000000568</v>
          </cell>
        </row>
        <row r="527">
          <cell r="D527">
            <v>42734</v>
          </cell>
          <cell r="AJ527">
            <v>0.39000000000000057</v>
          </cell>
        </row>
        <row r="528">
          <cell r="D528">
            <v>42737</v>
          </cell>
          <cell r="AJ528">
            <v>-0.29999999999999716</v>
          </cell>
        </row>
        <row r="529">
          <cell r="D529">
            <v>42738</v>
          </cell>
          <cell r="AJ529">
            <v>-0.29999999999999716</v>
          </cell>
        </row>
        <row r="530">
          <cell r="D530">
            <v>42739</v>
          </cell>
          <cell r="AJ530">
            <v>-0.20000000000000284</v>
          </cell>
        </row>
        <row r="531">
          <cell r="D531">
            <v>42740</v>
          </cell>
          <cell r="AJ531">
            <v>-4.9999999999997158E-2</v>
          </cell>
        </row>
        <row r="532">
          <cell r="D532">
            <v>42741</v>
          </cell>
          <cell r="AJ532">
            <v>-0.17999999999999261</v>
          </cell>
        </row>
        <row r="533">
          <cell r="D533">
            <v>42744</v>
          </cell>
          <cell r="AJ533">
            <v>-0.17000000000000171</v>
          </cell>
        </row>
        <row r="534">
          <cell r="D534">
            <v>42745</v>
          </cell>
          <cell r="AJ534">
            <v>-0.28999999999999204</v>
          </cell>
        </row>
        <row r="535">
          <cell r="D535">
            <v>42746</v>
          </cell>
          <cell r="AJ535">
            <v>-0.12999999999999545</v>
          </cell>
        </row>
        <row r="536">
          <cell r="D536">
            <v>42747</v>
          </cell>
          <cell r="AJ536">
            <v>5.0000000000011369E-2</v>
          </cell>
        </row>
        <row r="537">
          <cell r="D537">
            <v>42748</v>
          </cell>
          <cell r="AJ537">
            <v>0.10999999999999943</v>
          </cell>
        </row>
        <row r="538">
          <cell r="D538">
            <v>42751</v>
          </cell>
          <cell r="AJ538">
            <v>0.12999999999999545</v>
          </cell>
        </row>
        <row r="539">
          <cell r="D539">
            <v>42752</v>
          </cell>
          <cell r="AJ539">
            <v>0.21999999999999886</v>
          </cell>
        </row>
        <row r="540">
          <cell r="D540">
            <v>42753</v>
          </cell>
          <cell r="AJ540">
            <v>0.21999999999999886</v>
          </cell>
        </row>
        <row r="541">
          <cell r="D541">
            <v>42754</v>
          </cell>
          <cell r="AJ541">
            <v>0.12999999999999545</v>
          </cell>
        </row>
        <row r="542">
          <cell r="D542">
            <v>42755</v>
          </cell>
          <cell r="AJ542">
            <v>0.11999999999999034</v>
          </cell>
        </row>
        <row r="543">
          <cell r="D543">
            <v>42758</v>
          </cell>
          <cell r="AJ543">
            <v>0.14000000000000057</v>
          </cell>
        </row>
        <row r="544">
          <cell r="D544">
            <v>42759</v>
          </cell>
          <cell r="AJ544">
            <v>7.000000000000739E-2</v>
          </cell>
        </row>
        <row r="545">
          <cell r="D545">
            <v>42760</v>
          </cell>
          <cell r="AJ545">
            <v>6.9999999999993179E-2</v>
          </cell>
        </row>
        <row r="546">
          <cell r="D546">
            <v>42761</v>
          </cell>
          <cell r="AJ546">
            <v>7.000000000000739E-2</v>
          </cell>
        </row>
        <row r="547">
          <cell r="D547">
            <v>42762</v>
          </cell>
          <cell r="AJ547">
            <v>0.15000000000000568</v>
          </cell>
        </row>
        <row r="548">
          <cell r="D548">
            <v>42765</v>
          </cell>
          <cell r="AJ548">
            <v>0.18000000000000682</v>
          </cell>
        </row>
        <row r="549">
          <cell r="D549">
            <v>42766</v>
          </cell>
          <cell r="AJ549">
            <v>0.18000000000000682</v>
          </cell>
        </row>
        <row r="550">
          <cell r="D550">
            <v>42767</v>
          </cell>
          <cell r="AJ550">
            <v>0.34999999999999432</v>
          </cell>
        </row>
        <row r="551">
          <cell r="D551">
            <v>42768</v>
          </cell>
          <cell r="AJ551">
            <v>0.38000000000000966</v>
          </cell>
        </row>
        <row r="552">
          <cell r="D552">
            <v>42769</v>
          </cell>
          <cell r="AJ552">
            <v>0.31000000000000227</v>
          </cell>
        </row>
        <row r="553">
          <cell r="D553">
            <v>42772</v>
          </cell>
          <cell r="AJ553">
            <v>0.34000000000000341</v>
          </cell>
        </row>
        <row r="554">
          <cell r="D554">
            <v>42773</v>
          </cell>
          <cell r="AJ554">
            <v>0.27000000000001023</v>
          </cell>
        </row>
        <row r="555">
          <cell r="D555">
            <v>42774</v>
          </cell>
          <cell r="AJ555">
            <v>0.26999999999999602</v>
          </cell>
        </row>
        <row r="556">
          <cell r="D556">
            <v>42775</v>
          </cell>
          <cell r="AJ556">
            <v>0.42000000000000171</v>
          </cell>
        </row>
        <row r="557">
          <cell r="D557">
            <v>42776</v>
          </cell>
          <cell r="AJ557">
            <v>0.49000000000000909</v>
          </cell>
        </row>
        <row r="558">
          <cell r="D558">
            <v>42779</v>
          </cell>
          <cell r="AJ558">
            <v>0.46000000000000796</v>
          </cell>
        </row>
        <row r="559">
          <cell r="D559">
            <v>42780</v>
          </cell>
          <cell r="AJ559">
            <v>0.47999999999998977</v>
          </cell>
        </row>
        <row r="560">
          <cell r="D560">
            <v>42781</v>
          </cell>
          <cell r="AJ560">
            <v>0.46999999999999886</v>
          </cell>
        </row>
        <row r="561">
          <cell r="D561">
            <v>42782</v>
          </cell>
          <cell r="AJ561">
            <v>0.35999999999999943</v>
          </cell>
        </row>
        <row r="562">
          <cell r="D562">
            <v>42783</v>
          </cell>
          <cell r="AJ562">
            <v>0.12000000000000455</v>
          </cell>
        </row>
        <row r="563">
          <cell r="D563">
            <v>42786</v>
          </cell>
          <cell r="AJ563">
            <v>0.18000000000000682</v>
          </cell>
        </row>
        <row r="564">
          <cell r="D564">
            <v>42787</v>
          </cell>
          <cell r="AJ564">
            <v>0.20000000000000284</v>
          </cell>
        </row>
        <row r="565">
          <cell r="D565">
            <v>42788</v>
          </cell>
          <cell r="AJ565">
            <v>-5.0000000000011369E-2</v>
          </cell>
        </row>
        <row r="566">
          <cell r="D566">
            <v>42789</v>
          </cell>
          <cell r="AJ566">
            <v>0.12000000000000455</v>
          </cell>
        </row>
        <row r="567">
          <cell r="D567">
            <v>42790</v>
          </cell>
          <cell r="AJ567">
            <v>0.12999999999999545</v>
          </cell>
        </row>
        <row r="568">
          <cell r="D568">
            <v>42793</v>
          </cell>
          <cell r="AJ568">
            <v>7.9999999999998295E-2</v>
          </cell>
        </row>
        <row r="569">
          <cell r="D569">
            <v>42794</v>
          </cell>
          <cell r="AJ569">
            <v>-0.10999999999999943</v>
          </cell>
        </row>
        <row r="570">
          <cell r="D570">
            <v>42795</v>
          </cell>
          <cell r="AJ570">
            <v>9.9999999999994316E-2</v>
          </cell>
        </row>
        <row r="571">
          <cell r="D571">
            <v>42796</v>
          </cell>
          <cell r="AJ571">
            <v>-0.11999999999999034</v>
          </cell>
        </row>
        <row r="572">
          <cell r="D572">
            <v>42797</v>
          </cell>
          <cell r="AJ572">
            <v>-0.15000000000000568</v>
          </cell>
        </row>
        <row r="573">
          <cell r="D573">
            <v>42800</v>
          </cell>
          <cell r="AJ573">
            <v>-0.11999999999999744</v>
          </cell>
        </row>
        <row r="574">
          <cell r="D574">
            <v>42801</v>
          </cell>
          <cell r="AJ574">
            <v>-2.0000000000010232E-2</v>
          </cell>
        </row>
        <row r="575">
          <cell r="D575">
            <v>42802</v>
          </cell>
          <cell r="AJ575">
            <v>0.14000000000000057</v>
          </cell>
        </row>
        <row r="576">
          <cell r="D576">
            <v>42803</v>
          </cell>
          <cell r="AJ576">
            <v>0.11999999999999744</v>
          </cell>
        </row>
        <row r="577">
          <cell r="D577">
            <v>42804</v>
          </cell>
          <cell r="AJ577">
            <v>0.17000000000000171</v>
          </cell>
        </row>
        <row r="578">
          <cell r="D578">
            <v>42807</v>
          </cell>
          <cell r="AJ578">
            <v>5.0000000000004263E-2</v>
          </cell>
        </row>
        <row r="579">
          <cell r="D579">
            <v>42808</v>
          </cell>
          <cell r="AJ579">
            <v>-3.9999999999999147E-2</v>
          </cell>
        </row>
        <row r="580">
          <cell r="D580">
            <v>42809</v>
          </cell>
          <cell r="AJ580">
            <v>-9.9999999999980105E-3</v>
          </cell>
        </row>
        <row r="581">
          <cell r="D581">
            <v>42810</v>
          </cell>
          <cell r="AJ581">
            <v>-3.0000000000001137E-2</v>
          </cell>
        </row>
        <row r="582">
          <cell r="D582">
            <v>42811</v>
          </cell>
          <cell r="AJ582">
            <v>-3.0000000000001137E-2</v>
          </cell>
        </row>
        <row r="583">
          <cell r="D583">
            <v>42814</v>
          </cell>
          <cell r="AJ583">
            <v>-3.0000000000001137E-2</v>
          </cell>
        </row>
        <row r="584">
          <cell r="D584">
            <v>42815</v>
          </cell>
          <cell r="AJ584">
            <v>2.0000000000003126E-2</v>
          </cell>
        </row>
        <row r="585">
          <cell r="D585">
            <v>42816</v>
          </cell>
          <cell r="AJ585">
            <v>4.9999999999997158E-2</v>
          </cell>
        </row>
        <row r="586">
          <cell r="D586">
            <v>42817</v>
          </cell>
          <cell r="AJ586">
            <v>5.0000000000004263E-2</v>
          </cell>
        </row>
        <row r="587">
          <cell r="D587">
            <v>42818</v>
          </cell>
          <cell r="AJ587">
            <v>-2.0000000000003126E-2</v>
          </cell>
        </row>
        <row r="588">
          <cell r="D588">
            <v>42821</v>
          </cell>
          <cell r="AJ588">
            <v>-6.0000000000002274E-2</v>
          </cell>
        </row>
        <row r="589">
          <cell r="D589">
            <v>42822</v>
          </cell>
          <cell r="AJ589">
            <v>-7.9999999999998295E-2</v>
          </cell>
        </row>
        <row r="590">
          <cell r="D590">
            <v>42823</v>
          </cell>
          <cell r="AJ590">
            <v>-3.9999999999999147E-2</v>
          </cell>
        </row>
        <row r="591">
          <cell r="D591">
            <v>42824</v>
          </cell>
          <cell r="AJ591">
            <v>-3.0000000000001137E-2</v>
          </cell>
        </row>
        <row r="592">
          <cell r="D592">
            <v>42825</v>
          </cell>
          <cell r="AJ592">
            <v>0</v>
          </cell>
        </row>
        <row r="593">
          <cell r="D593">
            <v>42828</v>
          </cell>
          <cell r="AJ593">
            <v>0.46999999999999886</v>
          </cell>
        </row>
        <row r="594">
          <cell r="D594">
            <v>42829</v>
          </cell>
          <cell r="AJ594">
            <v>0.53000000000000114</v>
          </cell>
        </row>
        <row r="595">
          <cell r="D595">
            <v>42830</v>
          </cell>
          <cell r="AJ595">
            <v>0.40000000000000568</v>
          </cell>
        </row>
        <row r="596">
          <cell r="D596">
            <v>42831</v>
          </cell>
          <cell r="AJ596">
            <v>0.36999999999999034</v>
          </cell>
        </row>
        <row r="597">
          <cell r="D597">
            <v>42832</v>
          </cell>
          <cell r="AJ597">
            <v>0.31000000000000227</v>
          </cell>
        </row>
        <row r="598">
          <cell r="D598">
            <v>42835</v>
          </cell>
          <cell r="AJ598">
            <v>0.23999999999999488</v>
          </cell>
        </row>
        <row r="599">
          <cell r="D599">
            <v>42836</v>
          </cell>
          <cell r="AJ599">
            <v>0.23000000000000398</v>
          </cell>
        </row>
        <row r="600">
          <cell r="D600">
            <v>42837</v>
          </cell>
          <cell r="AJ600">
            <v>0.25</v>
          </cell>
        </row>
        <row r="601">
          <cell r="D601">
            <v>42838</v>
          </cell>
          <cell r="AJ601">
            <v>0.28000000000000114</v>
          </cell>
        </row>
        <row r="602">
          <cell r="D602">
            <v>42839</v>
          </cell>
          <cell r="AJ602">
            <v>0.28000000000000114</v>
          </cell>
        </row>
        <row r="603">
          <cell r="D603">
            <v>42842</v>
          </cell>
          <cell r="AJ603">
            <v>0.28000000000000114</v>
          </cell>
        </row>
        <row r="604">
          <cell r="D604">
            <v>42843</v>
          </cell>
          <cell r="AJ604">
            <v>0.29000000000000625</v>
          </cell>
        </row>
        <row r="605">
          <cell r="D605">
            <v>42844</v>
          </cell>
          <cell r="AJ605">
            <v>0.37000000000000455</v>
          </cell>
        </row>
        <row r="606">
          <cell r="D606">
            <v>42845</v>
          </cell>
          <cell r="AJ606">
            <v>0.4199999999999946</v>
          </cell>
        </row>
        <row r="607">
          <cell r="D607">
            <v>42846</v>
          </cell>
          <cell r="AJ607">
            <v>0.49000000000000199</v>
          </cell>
        </row>
        <row r="608">
          <cell r="D608">
            <v>42849</v>
          </cell>
          <cell r="AJ608">
            <v>0.39999999999999858</v>
          </cell>
        </row>
        <row r="609">
          <cell r="D609">
            <v>42850</v>
          </cell>
          <cell r="AJ609">
            <v>0.39999999999999858</v>
          </cell>
        </row>
        <row r="610">
          <cell r="D610">
            <v>42851</v>
          </cell>
          <cell r="AJ610">
            <v>0.42000000000000171</v>
          </cell>
        </row>
        <row r="611">
          <cell r="D611">
            <v>42852</v>
          </cell>
          <cell r="AJ611">
            <v>0.39000000000000057</v>
          </cell>
        </row>
        <row r="612">
          <cell r="D612">
            <v>42853</v>
          </cell>
          <cell r="AJ612">
            <v>0.45000000000000284</v>
          </cell>
        </row>
        <row r="613">
          <cell r="D613">
            <v>42856</v>
          </cell>
          <cell r="AJ613">
            <v>0.44999999999999574</v>
          </cell>
        </row>
        <row r="614">
          <cell r="D614">
            <v>42857</v>
          </cell>
          <cell r="AJ614">
            <v>0.44999999999999574</v>
          </cell>
        </row>
        <row r="615">
          <cell r="D615">
            <v>42858</v>
          </cell>
          <cell r="AJ615">
            <v>0.46000000000000085</v>
          </cell>
        </row>
        <row r="616">
          <cell r="D616">
            <v>42859</v>
          </cell>
          <cell r="AJ616">
            <v>0.42000000000000171</v>
          </cell>
        </row>
        <row r="617">
          <cell r="D617">
            <v>42860</v>
          </cell>
          <cell r="AJ617">
            <v>0.37000000000000455</v>
          </cell>
        </row>
        <row r="618">
          <cell r="D618">
            <v>42863</v>
          </cell>
          <cell r="AJ618">
            <v>0.39000000000000057</v>
          </cell>
        </row>
        <row r="619">
          <cell r="D619">
            <v>42864</v>
          </cell>
          <cell r="AJ619">
            <v>0.46999999999999886</v>
          </cell>
        </row>
        <row r="620">
          <cell r="D620">
            <v>42865</v>
          </cell>
          <cell r="AJ620">
            <v>0.64999999999999858</v>
          </cell>
        </row>
        <row r="621">
          <cell r="D621">
            <v>42866</v>
          </cell>
          <cell r="AJ621">
            <v>0.64999999999999858</v>
          </cell>
        </row>
        <row r="622">
          <cell r="D622">
            <v>42867</v>
          </cell>
          <cell r="AJ622">
            <v>0.59999999999999432</v>
          </cell>
        </row>
        <row r="623">
          <cell r="D623">
            <v>42870</v>
          </cell>
          <cell r="AJ623">
            <v>0.58999999999999631</v>
          </cell>
        </row>
        <row r="624">
          <cell r="D624">
            <v>42871</v>
          </cell>
          <cell r="AJ624">
            <v>0.49000000000000199</v>
          </cell>
        </row>
        <row r="625">
          <cell r="D625">
            <v>42872</v>
          </cell>
          <cell r="AJ625">
            <v>0.54999999999999716</v>
          </cell>
        </row>
        <row r="626">
          <cell r="D626">
            <v>42873</v>
          </cell>
          <cell r="AJ626">
            <v>0.53999999999999915</v>
          </cell>
        </row>
        <row r="627">
          <cell r="D627">
            <v>42874</v>
          </cell>
          <cell r="AJ627">
            <v>0.57999999999999829</v>
          </cell>
        </row>
        <row r="628">
          <cell r="D628">
            <v>42877</v>
          </cell>
          <cell r="AJ628">
            <v>0.64999999999999858</v>
          </cell>
        </row>
        <row r="629">
          <cell r="D629">
            <v>42878</v>
          </cell>
          <cell r="AJ629">
            <v>0.60000000000000142</v>
          </cell>
        </row>
        <row r="630">
          <cell r="D630">
            <v>42879</v>
          </cell>
          <cell r="AJ630">
            <v>0.60999999999999943</v>
          </cell>
        </row>
        <row r="631">
          <cell r="D631">
            <v>42880</v>
          </cell>
          <cell r="AJ631">
            <v>0.53999999999999915</v>
          </cell>
        </row>
        <row r="632">
          <cell r="D632">
            <v>42881</v>
          </cell>
          <cell r="AJ632">
            <v>0.60999999999999943</v>
          </cell>
        </row>
        <row r="633">
          <cell r="D633">
            <v>42884</v>
          </cell>
          <cell r="AJ633">
            <v>0.63999999999999346</v>
          </cell>
        </row>
        <row r="634">
          <cell r="D634">
            <v>42885</v>
          </cell>
          <cell r="AJ634">
            <v>0.67000000000000171</v>
          </cell>
        </row>
        <row r="635">
          <cell r="D635">
            <v>42886</v>
          </cell>
          <cell r="AJ635">
            <v>0.64999999999999858</v>
          </cell>
        </row>
        <row r="636">
          <cell r="D636">
            <v>42887</v>
          </cell>
          <cell r="AJ636">
            <v>0.62999999999999545</v>
          </cell>
        </row>
        <row r="637">
          <cell r="D637">
            <v>42888</v>
          </cell>
          <cell r="AJ637">
            <v>0.64999999999999858</v>
          </cell>
        </row>
        <row r="638">
          <cell r="D638">
            <v>42891</v>
          </cell>
          <cell r="AJ638">
            <v>0.61999999999999744</v>
          </cell>
        </row>
        <row r="639">
          <cell r="D639">
            <v>42892</v>
          </cell>
          <cell r="AJ639">
            <v>0.64999999999999858</v>
          </cell>
        </row>
        <row r="640">
          <cell r="D640">
            <v>42893</v>
          </cell>
          <cell r="AJ640">
            <v>0.6699999999999946</v>
          </cell>
        </row>
        <row r="641">
          <cell r="D641">
            <v>42894</v>
          </cell>
          <cell r="AJ641">
            <v>0.64999999999999858</v>
          </cell>
        </row>
        <row r="642">
          <cell r="D642">
            <v>42895</v>
          </cell>
          <cell r="AJ642">
            <v>0.63000000000000256</v>
          </cell>
        </row>
        <row r="643">
          <cell r="D643">
            <v>42898</v>
          </cell>
          <cell r="AJ643">
            <v>0.53999999999999915</v>
          </cell>
        </row>
        <row r="644">
          <cell r="D644">
            <v>42899</v>
          </cell>
          <cell r="AJ644">
            <v>0.48999999999999488</v>
          </cell>
        </row>
        <row r="645">
          <cell r="D645">
            <v>42900</v>
          </cell>
          <cell r="AJ645">
            <v>0.40000000000000568</v>
          </cell>
        </row>
        <row r="646">
          <cell r="D646">
            <v>42901</v>
          </cell>
          <cell r="AJ646">
            <v>0.25</v>
          </cell>
        </row>
        <row r="647">
          <cell r="D647">
            <v>42902</v>
          </cell>
          <cell r="AJ647">
            <v>0.30999999999999517</v>
          </cell>
        </row>
        <row r="648">
          <cell r="D648">
            <v>42905</v>
          </cell>
          <cell r="AJ648">
            <v>0.31000000000000227</v>
          </cell>
        </row>
        <row r="649">
          <cell r="D649">
            <v>42906</v>
          </cell>
          <cell r="AJ649">
            <v>0.35000000000000142</v>
          </cell>
        </row>
        <row r="650">
          <cell r="D650">
            <v>42907</v>
          </cell>
          <cell r="AJ650">
            <v>0.37000000000000455</v>
          </cell>
        </row>
        <row r="651">
          <cell r="D651">
            <v>42908</v>
          </cell>
          <cell r="AJ651">
            <v>0.42999999999999972</v>
          </cell>
        </row>
        <row r="652">
          <cell r="D652">
            <v>42909</v>
          </cell>
          <cell r="AJ652">
            <v>0.5</v>
          </cell>
        </row>
        <row r="653">
          <cell r="D653">
            <v>42912</v>
          </cell>
          <cell r="AJ653">
            <v>0.43999999999999773</v>
          </cell>
        </row>
        <row r="654">
          <cell r="D654">
            <v>42913</v>
          </cell>
          <cell r="AJ654">
            <v>0.43999999999999773</v>
          </cell>
        </row>
        <row r="655">
          <cell r="D655">
            <v>42914</v>
          </cell>
          <cell r="AJ655">
            <v>0.35000000000000142</v>
          </cell>
        </row>
        <row r="656">
          <cell r="D656">
            <v>42915</v>
          </cell>
          <cell r="AJ656">
            <v>0.37000000000000455</v>
          </cell>
        </row>
        <row r="657">
          <cell r="D657">
            <v>42916</v>
          </cell>
          <cell r="AJ657">
            <v>0.29999999999999716</v>
          </cell>
        </row>
        <row r="658">
          <cell r="D658">
            <v>42919</v>
          </cell>
          <cell r="AJ658">
            <v>0.25</v>
          </cell>
        </row>
        <row r="659">
          <cell r="D659">
            <v>42920</v>
          </cell>
          <cell r="AJ659">
            <v>0.33999999999999631</v>
          </cell>
        </row>
        <row r="660">
          <cell r="D660">
            <v>42921</v>
          </cell>
          <cell r="AJ660">
            <v>0.3300000000000054</v>
          </cell>
        </row>
        <row r="661">
          <cell r="D661">
            <v>42922</v>
          </cell>
          <cell r="AJ661">
            <v>0.34999999999999432</v>
          </cell>
        </row>
        <row r="662">
          <cell r="D662">
            <v>42923</v>
          </cell>
          <cell r="AJ662">
            <v>0.49000000000000199</v>
          </cell>
        </row>
        <row r="663">
          <cell r="D663">
            <v>42926</v>
          </cell>
          <cell r="AJ663">
            <v>0.52000000000000313</v>
          </cell>
        </row>
        <row r="664">
          <cell r="D664">
            <v>42927</v>
          </cell>
          <cell r="AJ664">
            <v>0.57999999999999829</v>
          </cell>
        </row>
        <row r="665">
          <cell r="D665">
            <v>42928</v>
          </cell>
          <cell r="AJ665">
            <v>0.53000000000000114</v>
          </cell>
        </row>
        <row r="666">
          <cell r="D666">
            <v>42929</v>
          </cell>
          <cell r="AJ666">
            <v>0.48000000000000398</v>
          </cell>
        </row>
        <row r="667">
          <cell r="D667">
            <v>42930</v>
          </cell>
          <cell r="AJ667">
            <v>0.47999999999999687</v>
          </cell>
        </row>
        <row r="668">
          <cell r="D668">
            <v>42933</v>
          </cell>
          <cell r="AJ668">
            <v>0.51000000000000512</v>
          </cell>
        </row>
        <row r="669">
          <cell r="D669">
            <v>42934</v>
          </cell>
          <cell r="AJ669">
            <v>0.50999999999999801</v>
          </cell>
        </row>
        <row r="670">
          <cell r="D670">
            <v>42935</v>
          </cell>
          <cell r="AJ670">
            <v>0.61999999999999744</v>
          </cell>
        </row>
        <row r="671">
          <cell r="D671">
            <v>42936</v>
          </cell>
          <cell r="AJ671">
            <v>0.64999999999999858</v>
          </cell>
        </row>
        <row r="672">
          <cell r="D672">
            <v>42937</v>
          </cell>
          <cell r="AJ672">
            <v>0.72999999999999687</v>
          </cell>
        </row>
        <row r="673">
          <cell r="D673">
            <v>42940</v>
          </cell>
          <cell r="AJ673">
            <v>0.65999999999999659</v>
          </cell>
        </row>
        <row r="674">
          <cell r="D674">
            <v>42941</v>
          </cell>
          <cell r="AJ674">
            <v>0.60000000000000142</v>
          </cell>
        </row>
        <row r="675">
          <cell r="D675">
            <v>42942</v>
          </cell>
          <cell r="AJ675">
            <v>0.71999999999999886</v>
          </cell>
        </row>
        <row r="676">
          <cell r="D676">
            <v>42943</v>
          </cell>
          <cell r="AJ676">
            <v>0.70000000000000284</v>
          </cell>
        </row>
        <row r="677">
          <cell r="D677">
            <v>42944</v>
          </cell>
          <cell r="AJ677">
            <v>0.80000000000000426</v>
          </cell>
        </row>
        <row r="678">
          <cell r="D678">
            <v>42947</v>
          </cell>
          <cell r="AJ678">
            <v>0.92999999999999972</v>
          </cell>
        </row>
        <row r="679">
          <cell r="D679">
            <v>42948</v>
          </cell>
          <cell r="AJ679">
            <v>0.75</v>
          </cell>
        </row>
        <row r="680">
          <cell r="D680">
            <v>42949</v>
          </cell>
          <cell r="AJ680">
            <v>0.85999999999999943</v>
          </cell>
        </row>
        <row r="681">
          <cell r="D681">
            <v>42950</v>
          </cell>
          <cell r="AJ681">
            <v>0.84999999999999432</v>
          </cell>
        </row>
        <row r="682">
          <cell r="D682">
            <v>42951</v>
          </cell>
          <cell r="AJ682">
            <v>0.92000000000000171</v>
          </cell>
        </row>
        <row r="683">
          <cell r="D683">
            <v>42954</v>
          </cell>
          <cell r="AJ683">
            <v>1.1200000000000045</v>
          </cell>
        </row>
        <row r="684">
          <cell r="D684">
            <v>42955</v>
          </cell>
          <cell r="AJ684">
            <v>1.0799999999999983</v>
          </cell>
        </row>
        <row r="685">
          <cell r="D685">
            <v>42956</v>
          </cell>
          <cell r="AJ685">
            <v>1.1400000000000006</v>
          </cell>
        </row>
        <row r="686">
          <cell r="D686">
            <v>42957</v>
          </cell>
          <cell r="AJ686">
            <v>1.1400000000000006</v>
          </cell>
        </row>
        <row r="687">
          <cell r="D687">
            <v>42958</v>
          </cell>
          <cell r="AJ687">
            <v>1.2800000000000011</v>
          </cell>
        </row>
        <row r="688">
          <cell r="D688">
            <v>42961</v>
          </cell>
          <cell r="AJ688">
            <v>1.2800000000000011</v>
          </cell>
        </row>
        <row r="689">
          <cell r="D689">
            <v>42962</v>
          </cell>
          <cell r="AJ689">
            <v>1.2199999999999989</v>
          </cell>
        </row>
        <row r="690">
          <cell r="D690">
            <v>42963</v>
          </cell>
          <cell r="AJ690">
            <v>1.2999999999999972</v>
          </cell>
        </row>
        <row r="691">
          <cell r="D691">
            <v>42964</v>
          </cell>
          <cell r="AJ691">
            <v>1.3500000000000014</v>
          </cell>
        </row>
        <row r="692">
          <cell r="D692">
            <v>42965</v>
          </cell>
          <cell r="AJ692">
            <v>1.6599999999999966</v>
          </cell>
        </row>
        <row r="693">
          <cell r="D693">
            <v>42968</v>
          </cell>
          <cell r="AJ693">
            <v>1.6699999999999946</v>
          </cell>
        </row>
        <row r="694">
          <cell r="D694">
            <v>42969</v>
          </cell>
          <cell r="AJ694">
            <v>1.6300000000000026</v>
          </cell>
        </row>
        <row r="695">
          <cell r="D695">
            <v>42970</v>
          </cell>
          <cell r="AJ695">
            <v>1.509999999999998</v>
          </cell>
        </row>
        <row r="696">
          <cell r="D696">
            <v>42971</v>
          </cell>
          <cell r="AJ696">
            <v>1.6200000000000045</v>
          </cell>
        </row>
        <row r="697">
          <cell r="D697">
            <v>42972</v>
          </cell>
          <cell r="AJ697">
            <v>1.6899999999999977</v>
          </cell>
        </row>
        <row r="698">
          <cell r="D698">
            <v>42975</v>
          </cell>
          <cell r="AJ698">
            <v>1.8100000000000023</v>
          </cell>
        </row>
        <row r="699">
          <cell r="D699">
            <v>42976</v>
          </cell>
          <cell r="AJ699">
            <v>1.8799999999999955</v>
          </cell>
        </row>
        <row r="700">
          <cell r="D700">
            <v>42977</v>
          </cell>
          <cell r="AJ700">
            <v>2.539999999999992</v>
          </cell>
        </row>
        <row r="701">
          <cell r="D701">
            <v>42978</v>
          </cell>
          <cell r="AJ701">
            <v>2.9499999999999957</v>
          </cell>
        </row>
        <row r="702">
          <cell r="D702">
            <v>42979</v>
          </cell>
          <cell r="AJ702">
            <v>1.7000000000000028</v>
          </cell>
        </row>
        <row r="703">
          <cell r="D703">
            <v>42982</v>
          </cell>
          <cell r="AJ703">
            <v>1.7000000000000028</v>
          </cell>
        </row>
        <row r="704">
          <cell r="D704">
            <v>42983</v>
          </cell>
          <cell r="AJ704">
            <v>1.5300000000000011</v>
          </cell>
        </row>
        <row r="705">
          <cell r="D705">
            <v>42984</v>
          </cell>
          <cell r="AJ705">
            <v>1.279999999999994</v>
          </cell>
        </row>
        <row r="706">
          <cell r="D706">
            <v>42985</v>
          </cell>
          <cell r="AJ706">
            <v>0.96999999999999176</v>
          </cell>
        </row>
        <row r="707">
          <cell r="D707">
            <v>42986</v>
          </cell>
          <cell r="AJ707">
            <v>0.93000000000000682</v>
          </cell>
        </row>
        <row r="708">
          <cell r="D708">
            <v>42989</v>
          </cell>
          <cell r="AJ708">
            <v>1.0000000000000071</v>
          </cell>
        </row>
        <row r="709">
          <cell r="D709">
            <v>42990</v>
          </cell>
          <cell r="AJ709">
            <v>0.92999999999999972</v>
          </cell>
        </row>
        <row r="710">
          <cell r="D710">
            <v>42991</v>
          </cell>
          <cell r="AJ710">
            <v>0.98999999999999488</v>
          </cell>
        </row>
        <row r="711">
          <cell r="D711">
            <v>42992</v>
          </cell>
          <cell r="AJ711">
            <v>0.9100000000000108</v>
          </cell>
        </row>
        <row r="712">
          <cell r="D712">
            <v>42993</v>
          </cell>
          <cell r="AJ712">
            <v>1</v>
          </cell>
        </row>
        <row r="713">
          <cell r="D713">
            <v>42996</v>
          </cell>
          <cell r="AJ713">
            <v>1.0699999999999932</v>
          </cell>
        </row>
        <row r="714">
          <cell r="D714">
            <v>42997</v>
          </cell>
          <cell r="AJ714">
            <v>1.0499999999999972</v>
          </cell>
        </row>
        <row r="715">
          <cell r="D715">
            <v>42998</v>
          </cell>
          <cell r="AJ715">
            <v>0.97999999999998977</v>
          </cell>
        </row>
        <row r="716">
          <cell r="D716">
            <v>42999</v>
          </cell>
          <cell r="AJ716">
            <v>0.73000000000000398</v>
          </cell>
        </row>
        <row r="717">
          <cell r="D717">
            <v>43000</v>
          </cell>
          <cell r="AJ717">
            <v>0.75</v>
          </cell>
        </row>
        <row r="718">
          <cell r="D718">
            <v>43003</v>
          </cell>
          <cell r="AJ718">
            <v>1.0100000000000051</v>
          </cell>
        </row>
        <row r="719">
          <cell r="D719">
            <v>43004</v>
          </cell>
          <cell r="AJ719">
            <v>1.2000000000000028</v>
          </cell>
        </row>
        <row r="720">
          <cell r="D720">
            <v>43005</v>
          </cell>
          <cell r="AJ720">
            <v>1.0099999999999909</v>
          </cell>
        </row>
        <row r="721">
          <cell r="D721">
            <v>43006</v>
          </cell>
          <cell r="AJ721">
            <v>0.89000000000000057</v>
          </cell>
        </row>
        <row r="722">
          <cell r="D722">
            <v>43007</v>
          </cell>
          <cell r="AJ722">
            <v>1.0200000000000102</v>
          </cell>
        </row>
        <row r="723">
          <cell r="D723">
            <v>43010</v>
          </cell>
          <cell r="AJ723">
            <v>0.46000000000000796</v>
          </cell>
        </row>
        <row r="724">
          <cell r="D724">
            <v>43011</v>
          </cell>
          <cell r="AJ724">
            <v>0.42999999999999972</v>
          </cell>
        </row>
        <row r="725">
          <cell r="D725">
            <v>43012</v>
          </cell>
          <cell r="AJ725">
            <v>0.47999999999999687</v>
          </cell>
        </row>
        <row r="726">
          <cell r="D726">
            <v>43013</v>
          </cell>
          <cell r="AJ726">
            <v>0.68999999999999773</v>
          </cell>
        </row>
        <row r="727">
          <cell r="D727">
            <v>43014</v>
          </cell>
          <cell r="AJ727">
            <v>0.81000000000000227</v>
          </cell>
        </row>
        <row r="728">
          <cell r="D728">
            <v>43017</v>
          </cell>
          <cell r="AJ728">
            <v>0.62999999999999545</v>
          </cell>
        </row>
        <row r="729">
          <cell r="D729">
            <v>43018</v>
          </cell>
          <cell r="AJ729">
            <v>0.64000000000000057</v>
          </cell>
        </row>
        <row r="730">
          <cell r="D730">
            <v>43019</v>
          </cell>
          <cell r="AJ730">
            <v>0.67000000000000171</v>
          </cell>
        </row>
        <row r="731">
          <cell r="D731">
            <v>43020</v>
          </cell>
          <cell r="AJ731">
            <v>0.64000000000000057</v>
          </cell>
        </row>
        <row r="732">
          <cell r="D732">
            <v>43021</v>
          </cell>
          <cell r="AJ732">
            <v>0.54999999999999716</v>
          </cell>
        </row>
        <row r="733">
          <cell r="D733">
            <v>43024</v>
          </cell>
          <cell r="AJ733">
            <v>0.70000000000000284</v>
          </cell>
        </row>
        <row r="734">
          <cell r="D734">
            <v>43025</v>
          </cell>
          <cell r="AJ734">
            <v>0.67000000000000171</v>
          </cell>
        </row>
        <row r="735">
          <cell r="D735">
            <v>43026</v>
          </cell>
          <cell r="AJ735">
            <v>0.64999999999999147</v>
          </cell>
        </row>
        <row r="736">
          <cell r="D736">
            <v>43027</v>
          </cell>
          <cell r="AJ736">
            <v>0.64999999999999147</v>
          </cell>
        </row>
        <row r="737">
          <cell r="D737">
            <v>43028</v>
          </cell>
          <cell r="AJ737">
            <v>0.56000000000000227</v>
          </cell>
        </row>
        <row r="738">
          <cell r="D738">
            <v>43031</v>
          </cell>
          <cell r="AJ738">
            <v>0.54999999999999716</v>
          </cell>
        </row>
        <row r="739">
          <cell r="D739">
            <v>43032</v>
          </cell>
          <cell r="AJ739">
            <v>0.55000000000001137</v>
          </cell>
        </row>
        <row r="740">
          <cell r="D740">
            <v>43033</v>
          </cell>
          <cell r="AJ740">
            <v>0.62999999999999545</v>
          </cell>
        </row>
        <row r="741">
          <cell r="D741">
            <v>43034</v>
          </cell>
          <cell r="AJ741">
            <v>0.67000000000000171</v>
          </cell>
        </row>
        <row r="742">
          <cell r="D742">
            <v>43035</v>
          </cell>
          <cell r="AJ742">
            <v>0.76999999999999602</v>
          </cell>
        </row>
        <row r="743">
          <cell r="D743">
            <v>43038</v>
          </cell>
          <cell r="AJ743">
            <v>0.78999999999999204</v>
          </cell>
        </row>
        <row r="744">
          <cell r="D744">
            <v>43039</v>
          </cell>
          <cell r="AJ744">
            <v>0.75999999999999091</v>
          </cell>
        </row>
        <row r="745">
          <cell r="D745">
            <v>43040</v>
          </cell>
          <cell r="AJ745">
            <v>0.27999999999998693</v>
          </cell>
        </row>
        <row r="746">
          <cell r="D746">
            <v>43041</v>
          </cell>
          <cell r="AJ746">
            <v>0.34000000000000341</v>
          </cell>
        </row>
        <row r="747">
          <cell r="D747">
            <v>43042</v>
          </cell>
          <cell r="AJ747">
            <v>0.45000000000000284</v>
          </cell>
        </row>
        <row r="748">
          <cell r="D748">
            <v>43045</v>
          </cell>
          <cell r="AJ748">
            <v>0.46000000000000796</v>
          </cell>
        </row>
        <row r="749">
          <cell r="D749">
            <v>43046</v>
          </cell>
          <cell r="AJ749">
            <v>0.44000000000001194</v>
          </cell>
        </row>
        <row r="750">
          <cell r="D750">
            <v>43047</v>
          </cell>
          <cell r="AJ750">
            <v>0.37000000000000455</v>
          </cell>
        </row>
        <row r="751">
          <cell r="D751">
            <v>43048</v>
          </cell>
          <cell r="AJ751">
            <v>0.39999999999999147</v>
          </cell>
        </row>
        <row r="752">
          <cell r="D752">
            <v>43049</v>
          </cell>
          <cell r="AJ752">
            <v>0.54999999999999716</v>
          </cell>
        </row>
        <row r="753">
          <cell r="D753">
            <v>43052</v>
          </cell>
          <cell r="AJ753">
            <v>0.57000000000000739</v>
          </cell>
        </row>
        <row r="754">
          <cell r="D754">
            <v>43053</v>
          </cell>
          <cell r="AJ754">
            <v>0.45999999999999375</v>
          </cell>
        </row>
        <row r="755">
          <cell r="D755">
            <v>43054</v>
          </cell>
          <cell r="AJ755">
            <v>0.39000000000000057</v>
          </cell>
        </row>
        <row r="756">
          <cell r="D756">
            <v>43055</v>
          </cell>
          <cell r="AJ756">
            <v>0.34999999999999432</v>
          </cell>
        </row>
        <row r="757">
          <cell r="D757">
            <v>43056</v>
          </cell>
          <cell r="AJ757">
            <v>0.35999999999999943</v>
          </cell>
        </row>
        <row r="758">
          <cell r="D758">
            <v>43059</v>
          </cell>
          <cell r="AJ758">
            <v>0.40000000000000568</v>
          </cell>
        </row>
        <row r="759">
          <cell r="D759">
            <v>43060</v>
          </cell>
          <cell r="AJ759">
            <v>0.48999999999999488</v>
          </cell>
        </row>
        <row r="760">
          <cell r="D760">
            <v>43061</v>
          </cell>
          <cell r="AJ760">
            <v>0.56000000000000227</v>
          </cell>
        </row>
        <row r="761">
          <cell r="D761">
            <v>43062</v>
          </cell>
          <cell r="AJ761">
            <v>0.54999999999999716</v>
          </cell>
        </row>
        <row r="762">
          <cell r="D762">
            <v>43063</v>
          </cell>
          <cell r="AJ762">
            <v>0.5899999999999892</v>
          </cell>
        </row>
        <row r="763">
          <cell r="D763">
            <v>43066</v>
          </cell>
          <cell r="AJ763">
            <v>0.68999999999999773</v>
          </cell>
        </row>
        <row r="764">
          <cell r="D764">
            <v>43067</v>
          </cell>
          <cell r="AJ764">
            <v>0.70000000000000284</v>
          </cell>
        </row>
        <row r="765">
          <cell r="D765">
            <v>43068</v>
          </cell>
          <cell r="AJ765">
            <v>0.67000000000000171</v>
          </cell>
        </row>
        <row r="766">
          <cell r="D766">
            <v>43069</v>
          </cell>
          <cell r="AJ766">
            <v>0.76000000000000512</v>
          </cell>
        </row>
        <row r="767">
          <cell r="D767">
            <v>43070</v>
          </cell>
          <cell r="AJ767">
            <v>0.19000000000001194</v>
          </cell>
        </row>
        <row r="768">
          <cell r="D768">
            <v>43073</v>
          </cell>
          <cell r="AJ768">
            <v>0.18000000000000682</v>
          </cell>
        </row>
        <row r="769">
          <cell r="D769">
            <v>43074</v>
          </cell>
          <cell r="AJ769">
            <v>0.14000000000000057</v>
          </cell>
        </row>
        <row r="770">
          <cell r="D770">
            <v>43075</v>
          </cell>
          <cell r="AJ770">
            <v>0.10999999999999943</v>
          </cell>
        </row>
        <row r="771">
          <cell r="D771">
            <v>43076</v>
          </cell>
          <cell r="AJ771">
            <v>0.14000000000000057</v>
          </cell>
        </row>
        <row r="772">
          <cell r="D772">
            <v>43077</v>
          </cell>
          <cell r="AJ772">
            <v>0.19000000000001194</v>
          </cell>
        </row>
        <row r="773">
          <cell r="D773">
            <v>43080</v>
          </cell>
          <cell r="AJ773">
            <v>0.17000000000000171</v>
          </cell>
        </row>
        <row r="774">
          <cell r="D774">
            <v>43081</v>
          </cell>
          <cell r="AJ774">
            <v>0.29999999999999716</v>
          </cell>
        </row>
        <row r="775">
          <cell r="D775">
            <v>43082</v>
          </cell>
          <cell r="AJ775">
            <v>0.37999999999999545</v>
          </cell>
        </row>
        <row r="776">
          <cell r="D776">
            <v>43083</v>
          </cell>
          <cell r="AJ776">
            <v>0.34999999999999432</v>
          </cell>
        </row>
        <row r="777">
          <cell r="D777">
            <v>43084</v>
          </cell>
          <cell r="AJ777">
            <v>0.40999999999999659</v>
          </cell>
        </row>
        <row r="778">
          <cell r="D778">
            <v>43087</v>
          </cell>
          <cell r="AJ778">
            <v>0.37000000000000455</v>
          </cell>
        </row>
        <row r="779">
          <cell r="D779">
            <v>43088</v>
          </cell>
          <cell r="AJ779">
            <v>0.35000000000000853</v>
          </cell>
        </row>
        <row r="780">
          <cell r="D780">
            <v>43089</v>
          </cell>
          <cell r="AJ780">
            <v>0.23000000000000398</v>
          </cell>
        </row>
        <row r="781">
          <cell r="D781">
            <v>43090</v>
          </cell>
          <cell r="AJ781">
            <v>0.12000000000000455</v>
          </cell>
        </row>
        <row r="782">
          <cell r="D782">
            <v>43091</v>
          </cell>
          <cell r="AJ782">
            <v>7.9999999999998295E-2</v>
          </cell>
        </row>
        <row r="783">
          <cell r="D783">
            <v>43094</v>
          </cell>
          <cell r="AJ783">
            <v>3.0000000000001137E-2</v>
          </cell>
        </row>
        <row r="784">
          <cell r="D784">
            <v>43095</v>
          </cell>
          <cell r="AJ784">
            <v>3.0000000000001137E-2</v>
          </cell>
        </row>
        <row r="785">
          <cell r="D785">
            <v>43096</v>
          </cell>
          <cell r="AJ785">
            <v>-3.0000000000001137E-2</v>
          </cell>
        </row>
        <row r="786">
          <cell r="D786">
            <v>43097</v>
          </cell>
          <cell r="AJ786">
            <v>-7.9999999999998295E-2</v>
          </cell>
        </row>
        <row r="787">
          <cell r="D787">
            <v>43098</v>
          </cell>
          <cell r="AJ787">
            <v>-0.10999999999999943</v>
          </cell>
        </row>
        <row r="788">
          <cell r="D788">
            <v>43101</v>
          </cell>
          <cell r="AJ788">
            <v>-0.17999999999999261</v>
          </cell>
        </row>
        <row r="789">
          <cell r="D789">
            <v>43102</v>
          </cell>
          <cell r="AJ789">
            <v>-0.17999999999999261</v>
          </cell>
        </row>
        <row r="790">
          <cell r="D790">
            <v>43103</v>
          </cell>
          <cell r="AJ790">
            <v>-0.28000000000000114</v>
          </cell>
        </row>
        <row r="791">
          <cell r="D791">
            <v>43104</v>
          </cell>
          <cell r="AJ791">
            <v>-0.28000000000000114</v>
          </cell>
        </row>
        <row r="792">
          <cell r="D792">
            <v>43105</v>
          </cell>
          <cell r="AJ792">
            <v>-0.35000000000000853</v>
          </cell>
        </row>
        <row r="793">
          <cell r="D793">
            <v>43108</v>
          </cell>
          <cell r="AJ793">
            <v>-0.40000000000000568</v>
          </cell>
        </row>
        <row r="794">
          <cell r="D794">
            <v>43109</v>
          </cell>
          <cell r="AJ794">
            <v>-0.32999999999999829</v>
          </cell>
        </row>
        <row r="795">
          <cell r="D795">
            <v>43110</v>
          </cell>
          <cell r="AJ795">
            <v>-0.29999999999999716</v>
          </cell>
        </row>
        <row r="796">
          <cell r="D796">
            <v>43111</v>
          </cell>
          <cell r="AJ796">
            <v>-0.40999999999999659</v>
          </cell>
        </row>
        <row r="797">
          <cell r="D797">
            <v>43112</v>
          </cell>
          <cell r="AJ797">
            <v>-0.53000000000000114</v>
          </cell>
        </row>
        <row r="798">
          <cell r="D798">
            <v>43115</v>
          </cell>
          <cell r="AJ798">
            <v>-0.51000000000000512</v>
          </cell>
        </row>
        <row r="799">
          <cell r="D799">
            <v>43116</v>
          </cell>
          <cell r="AJ799">
            <v>-0.48000000000000398</v>
          </cell>
        </row>
        <row r="800">
          <cell r="D800">
            <v>43117</v>
          </cell>
          <cell r="AJ800">
            <v>-0.50000000000001421</v>
          </cell>
        </row>
        <row r="801">
          <cell r="D801">
            <v>43118</v>
          </cell>
          <cell r="AJ801">
            <v>-0.46999999999999886</v>
          </cell>
        </row>
        <row r="802">
          <cell r="D802">
            <v>43119</v>
          </cell>
          <cell r="AJ802">
            <v>-0.35999999999999943</v>
          </cell>
        </row>
        <row r="803">
          <cell r="D803">
            <v>43122</v>
          </cell>
          <cell r="AJ803">
            <v>-0.37000000000000455</v>
          </cell>
        </row>
        <row r="804">
          <cell r="D804">
            <v>43123</v>
          </cell>
          <cell r="AJ804">
            <v>-0.39000000000000057</v>
          </cell>
        </row>
        <row r="805">
          <cell r="D805">
            <v>43124</v>
          </cell>
          <cell r="AJ805">
            <v>-0.45000000000000284</v>
          </cell>
        </row>
        <row r="806">
          <cell r="D806">
            <v>43125</v>
          </cell>
          <cell r="AJ806">
            <v>-0.39000000000000057</v>
          </cell>
        </row>
        <row r="807">
          <cell r="D807">
            <v>43126</v>
          </cell>
          <cell r="AJ807">
            <v>-0.29999999999999716</v>
          </cell>
        </row>
        <row r="808">
          <cell r="D808">
            <v>43129</v>
          </cell>
          <cell r="AJ808">
            <v>-7.9999999999998295E-2</v>
          </cell>
        </row>
        <row r="809">
          <cell r="D809">
            <v>43130</v>
          </cell>
          <cell r="AJ809">
            <v>-0.17000000000000171</v>
          </cell>
        </row>
        <row r="810">
          <cell r="D810">
            <v>43131</v>
          </cell>
          <cell r="AJ810">
            <v>-0.3399999999999892</v>
          </cell>
        </row>
        <row r="811">
          <cell r="D811">
            <v>43132</v>
          </cell>
          <cell r="AJ811">
            <v>0.11999999999999034</v>
          </cell>
        </row>
        <row r="812">
          <cell r="D812">
            <v>43133</v>
          </cell>
          <cell r="AJ812">
            <v>0.30000000000001137</v>
          </cell>
        </row>
        <row r="813">
          <cell r="D813">
            <v>43136</v>
          </cell>
          <cell r="AJ813">
            <v>0.15999999999999659</v>
          </cell>
        </row>
        <row r="814">
          <cell r="D814">
            <v>43137</v>
          </cell>
          <cell r="AJ814">
            <v>4.0000000000006253E-2</v>
          </cell>
        </row>
        <row r="815">
          <cell r="D815">
            <v>43138</v>
          </cell>
          <cell r="AJ815">
            <v>-6.9999999999993179E-2</v>
          </cell>
        </row>
        <row r="816">
          <cell r="D816">
            <v>43139</v>
          </cell>
          <cell r="AJ816">
            <v>-0.18000000000000682</v>
          </cell>
        </row>
        <row r="817">
          <cell r="D817">
            <v>43140</v>
          </cell>
          <cell r="AJ817">
            <v>9.9999999999909051E-3</v>
          </cell>
        </row>
        <row r="818">
          <cell r="D818">
            <v>43143</v>
          </cell>
          <cell r="AJ818">
            <v>-1.0000000000005116E-2</v>
          </cell>
        </row>
        <row r="819">
          <cell r="D819">
            <v>43144</v>
          </cell>
          <cell r="AJ819">
            <v>-0.17000000000000171</v>
          </cell>
        </row>
        <row r="820">
          <cell r="D820">
            <v>43145</v>
          </cell>
          <cell r="AJ820">
            <v>-0.25999999999999091</v>
          </cell>
        </row>
        <row r="821">
          <cell r="D821">
            <v>43146</v>
          </cell>
          <cell r="AJ821">
            <v>-0.21999999999999886</v>
          </cell>
        </row>
        <row r="822">
          <cell r="D822">
            <v>43147</v>
          </cell>
          <cell r="AJ822">
            <v>-0.22999999999998977</v>
          </cell>
        </row>
        <row r="823">
          <cell r="D823">
            <v>43150</v>
          </cell>
          <cell r="AJ823">
            <v>-0.22999999999998977</v>
          </cell>
        </row>
        <row r="824">
          <cell r="D824">
            <v>43151</v>
          </cell>
          <cell r="AJ824">
            <v>-0.26999999999999602</v>
          </cell>
        </row>
        <row r="825">
          <cell r="D825">
            <v>43152</v>
          </cell>
          <cell r="AJ825">
            <v>-0.35999999999999943</v>
          </cell>
        </row>
        <row r="826">
          <cell r="D826">
            <v>43153</v>
          </cell>
          <cell r="AJ826">
            <v>-0.39000000000000057</v>
          </cell>
        </row>
        <row r="827">
          <cell r="D827">
            <v>43154</v>
          </cell>
          <cell r="AJ827">
            <v>-0.40999999999999659</v>
          </cell>
        </row>
        <row r="828">
          <cell r="D828">
            <v>43157</v>
          </cell>
          <cell r="AJ828">
            <v>-0.42000000000000171</v>
          </cell>
        </row>
        <row r="829">
          <cell r="D829">
            <v>43158</v>
          </cell>
          <cell r="AJ829">
            <v>-0.37000000000000455</v>
          </cell>
        </row>
        <row r="830">
          <cell r="D830">
            <v>43159</v>
          </cell>
          <cell r="AJ830">
            <v>-0.25999999999999091</v>
          </cell>
        </row>
        <row r="831">
          <cell r="D831">
            <v>43160</v>
          </cell>
          <cell r="AJ831">
            <v>-1.9999999999996021E-2</v>
          </cell>
        </row>
        <row r="832">
          <cell r="D832">
            <v>43161</v>
          </cell>
          <cell r="AJ832">
            <v>3.0000000000001137E-2</v>
          </cell>
        </row>
        <row r="833">
          <cell r="D833">
            <v>43164</v>
          </cell>
          <cell r="AJ833">
            <v>7.000000000000739E-2</v>
          </cell>
        </row>
        <row r="834">
          <cell r="D834">
            <v>43165</v>
          </cell>
          <cell r="AJ834">
            <v>-1.9999999999996021E-2</v>
          </cell>
        </row>
        <row r="835">
          <cell r="D835">
            <v>43166</v>
          </cell>
          <cell r="AJ835">
            <v>-0.15000000000000568</v>
          </cell>
        </row>
        <row r="836">
          <cell r="D836">
            <v>43167</v>
          </cell>
          <cell r="AJ836">
            <v>-0.28000000000000114</v>
          </cell>
        </row>
        <row r="837">
          <cell r="D837">
            <v>43168</v>
          </cell>
          <cell r="AJ837">
            <v>-0.24000000000000909</v>
          </cell>
        </row>
        <row r="838">
          <cell r="D838">
            <v>43171</v>
          </cell>
          <cell r="AJ838">
            <v>-0.23000000000000398</v>
          </cell>
        </row>
        <row r="839">
          <cell r="D839">
            <v>43172</v>
          </cell>
          <cell r="AJ839">
            <v>-0.17999999999999261</v>
          </cell>
        </row>
        <row r="840">
          <cell r="D840">
            <v>43173</v>
          </cell>
          <cell r="AJ840">
            <v>-0.28000000000000114</v>
          </cell>
        </row>
        <row r="841">
          <cell r="D841">
            <v>43174</v>
          </cell>
          <cell r="AJ841">
            <v>-0.23000000000000398</v>
          </cell>
        </row>
        <row r="842">
          <cell r="D842">
            <v>43175</v>
          </cell>
          <cell r="AJ842">
            <v>-0.10000000000000853</v>
          </cell>
        </row>
        <row r="843">
          <cell r="D843">
            <v>43178</v>
          </cell>
          <cell r="AJ843">
            <v>-0.12000000000000455</v>
          </cell>
        </row>
        <row r="844">
          <cell r="D844">
            <v>43179</v>
          </cell>
          <cell r="AJ844">
            <v>-0.25999999999999091</v>
          </cell>
        </row>
        <row r="845">
          <cell r="D845">
            <v>43180</v>
          </cell>
          <cell r="AJ845">
            <v>-0.21000000000000796</v>
          </cell>
        </row>
        <row r="846">
          <cell r="D846">
            <v>43181</v>
          </cell>
          <cell r="AJ846">
            <v>-0.21000000000000796</v>
          </cell>
        </row>
        <row r="847">
          <cell r="D847">
            <v>43182</v>
          </cell>
          <cell r="AJ847">
            <v>-0.15999999999999659</v>
          </cell>
        </row>
        <row r="848">
          <cell r="D848">
            <v>43185</v>
          </cell>
          <cell r="AJ848">
            <v>-0.18999999999999773</v>
          </cell>
        </row>
        <row r="849">
          <cell r="D849">
            <v>43186</v>
          </cell>
          <cell r="AJ849">
            <v>-0.18999999999999773</v>
          </cell>
        </row>
        <row r="850">
          <cell r="D850">
            <v>43187</v>
          </cell>
          <cell r="AJ850">
            <v>-0.19000000000001194</v>
          </cell>
        </row>
        <row r="851">
          <cell r="D851">
            <v>43188</v>
          </cell>
          <cell r="AJ851">
            <v>-0.17000000000000171</v>
          </cell>
        </row>
        <row r="852">
          <cell r="D852">
            <v>43189</v>
          </cell>
          <cell r="AJ852">
            <v>0.32999999999999829</v>
          </cell>
        </row>
        <row r="853">
          <cell r="D853">
            <v>43192</v>
          </cell>
          <cell r="AJ853">
            <v>0.32999999999999829</v>
          </cell>
        </row>
        <row r="854">
          <cell r="D854">
            <v>43193</v>
          </cell>
          <cell r="AJ854">
            <v>0.25</v>
          </cell>
        </row>
        <row r="855">
          <cell r="D855">
            <v>43194</v>
          </cell>
          <cell r="AJ855">
            <v>0.23000000000000398</v>
          </cell>
        </row>
        <row r="856">
          <cell r="D856">
            <v>43195</v>
          </cell>
          <cell r="AJ856">
            <v>0.23999999999999488</v>
          </cell>
        </row>
        <row r="857">
          <cell r="D857">
            <v>43196</v>
          </cell>
          <cell r="AJ857">
            <v>0.17000000000000171</v>
          </cell>
        </row>
        <row r="858">
          <cell r="D858">
            <v>43199</v>
          </cell>
          <cell r="AJ858">
            <v>0.13000000000000966</v>
          </cell>
        </row>
        <row r="859">
          <cell r="D859">
            <v>43200</v>
          </cell>
          <cell r="AJ859">
            <v>6.9999999999993179E-2</v>
          </cell>
        </row>
        <row r="860">
          <cell r="D860">
            <v>43201</v>
          </cell>
          <cell r="AJ860">
            <v>-3.0000000000001137E-2</v>
          </cell>
        </row>
        <row r="861">
          <cell r="D861">
            <v>43202</v>
          </cell>
          <cell r="AJ861">
            <v>-5.0000000000011369E-2</v>
          </cell>
        </row>
        <row r="862">
          <cell r="D862">
            <v>43203</v>
          </cell>
          <cell r="AJ862">
            <v>-9.0000000000003411E-2</v>
          </cell>
        </row>
        <row r="863">
          <cell r="D863">
            <v>43206</v>
          </cell>
          <cell r="AJ863">
            <v>-0.20000000000000284</v>
          </cell>
        </row>
        <row r="864">
          <cell r="D864">
            <v>43207</v>
          </cell>
          <cell r="AJ864">
            <v>-0.14999999999999147</v>
          </cell>
        </row>
        <row r="865">
          <cell r="D865">
            <v>43208</v>
          </cell>
          <cell r="AJ865">
            <v>-0.11999999999999034</v>
          </cell>
        </row>
        <row r="866">
          <cell r="D866">
            <v>43209</v>
          </cell>
          <cell r="AJ866">
            <v>-0.19000000000001194</v>
          </cell>
        </row>
        <row r="867">
          <cell r="D867">
            <v>43210</v>
          </cell>
          <cell r="AJ867">
            <v>-0.19999999999998863</v>
          </cell>
        </row>
        <row r="868">
          <cell r="D868">
            <v>43213</v>
          </cell>
          <cell r="AJ868">
            <v>-7.000000000000739E-2</v>
          </cell>
        </row>
        <row r="869">
          <cell r="D869">
            <v>43214</v>
          </cell>
          <cell r="AJ869">
            <v>-1.9999999999996021E-2</v>
          </cell>
        </row>
        <row r="870">
          <cell r="D870">
            <v>43215</v>
          </cell>
          <cell r="AJ870">
            <v>-3.0000000000001137E-2</v>
          </cell>
        </row>
        <row r="871">
          <cell r="D871">
            <v>43216</v>
          </cell>
          <cell r="AJ871">
            <v>-0.12000000000000455</v>
          </cell>
        </row>
        <row r="872">
          <cell r="D872">
            <v>43217</v>
          </cell>
          <cell r="AJ872">
            <v>-4.0000000000006253E-2</v>
          </cell>
        </row>
        <row r="873">
          <cell r="D873">
            <v>43220</v>
          </cell>
          <cell r="AJ873">
            <v>6.0000000000002274E-2</v>
          </cell>
        </row>
        <row r="874">
          <cell r="D874">
            <v>43221</v>
          </cell>
          <cell r="AJ874">
            <v>0.35000000000000853</v>
          </cell>
        </row>
        <row r="875">
          <cell r="D875">
            <v>43222</v>
          </cell>
          <cell r="AJ875">
            <v>0.35000000000000853</v>
          </cell>
        </row>
        <row r="876">
          <cell r="D876">
            <v>43223</v>
          </cell>
          <cell r="AJ876">
            <v>0.26999999999999602</v>
          </cell>
        </row>
        <row r="877">
          <cell r="D877">
            <v>43224</v>
          </cell>
          <cell r="AJ877">
            <v>0.27000000000001023</v>
          </cell>
        </row>
        <row r="878">
          <cell r="D878">
            <v>43227</v>
          </cell>
          <cell r="AJ878">
            <v>0.10999999999999943</v>
          </cell>
        </row>
        <row r="879">
          <cell r="D879">
            <v>43228</v>
          </cell>
          <cell r="AJ879">
            <v>8.99999999999892E-2</v>
          </cell>
        </row>
        <row r="880">
          <cell r="D880">
            <v>43229</v>
          </cell>
          <cell r="AJ880">
            <v>0.28999999999999204</v>
          </cell>
        </row>
        <row r="881">
          <cell r="D881">
            <v>43230</v>
          </cell>
          <cell r="AJ881">
            <v>0.30000000000001137</v>
          </cell>
        </row>
        <row r="882">
          <cell r="D882">
            <v>43231</v>
          </cell>
          <cell r="AJ882">
            <v>0.4100000000000108</v>
          </cell>
        </row>
        <row r="883">
          <cell r="D883">
            <v>43234</v>
          </cell>
          <cell r="AJ883">
            <v>0.42999999999999261</v>
          </cell>
        </row>
        <row r="884">
          <cell r="D884">
            <v>43235</v>
          </cell>
          <cell r="AJ884">
            <v>0.36999999999999034</v>
          </cell>
        </row>
        <row r="885">
          <cell r="D885">
            <v>43236</v>
          </cell>
          <cell r="AJ885">
            <v>0.5</v>
          </cell>
        </row>
        <row r="886">
          <cell r="D886">
            <v>43237</v>
          </cell>
          <cell r="AJ886">
            <v>0.67000000000000171</v>
          </cell>
        </row>
        <row r="887">
          <cell r="D887">
            <v>43238</v>
          </cell>
          <cell r="AJ887">
            <v>0.68000000000000682</v>
          </cell>
        </row>
        <row r="888">
          <cell r="D888">
            <v>43241</v>
          </cell>
          <cell r="AJ888">
            <v>0.70999999999999375</v>
          </cell>
        </row>
        <row r="889">
          <cell r="D889">
            <v>43242</v>
          </cell>
          <cell r="AJ889">
            <v>0.82000000000000739</v>
          </cell>
        </row>
        <row r="890">
          <cell r="D890">
            <v>43243</v>
          </cell>
          <cell r="AJ890">
            <v>0.70000000000000284</v>
          </cell>
        </row>
        <row r="891">
          <cell r="D891">
            <v>43244</v>
          </cell>
          <cell r="AJ891">
            <v>0.75</v>
          </cell>
        </row>
        <row r="892">
          <cell r="D892">
            <v>43245</v>
          </cell>
          <cell r="AJ892">
            <v>0.76999999999999602</v>
          </cell>
        </row>
        <row r="893">
          <cell r="D893">
            <v>43248</v>
          </cell>
          <cell r="AJ893">
            <v>0.75</v>
          </cell>
        </row>
        <row r="894">
          <cell r="D894">
            <v>43249</v>
          </cell>
          <cell r="AJ894">
            <v>0.67999999999999261</v>
          </cell>
        </row>
        <row r="895">
          <cell r="D895">
            <v>43250</v>
          </cell>
          <cell r="AJ895">
            <v>0.67999999999999261</v>
          </cell>
        </row>
        <row r="896">
          <cell r="D896">
            <v>43251</v>
          </cell>
          <cell r="AJ896">
            <v>0.65000000000000568</v>
          </cell>
        </row>
        <row r="897">
          <cell r="D897">
            <v>43252</v>
          </cell>
          <cell r="AJ897">
            <v>0.53000000000000114</v>
          </cell>
        </row>
        <row r="898">
          <cell r="D898">
            <v>43255</v>
          </cell>
          <cell r="AJ898">
            <v>0.5</v>
          </cell>
        </row>
        <row r="899">
          <cell r="D899">
            <v>43256</v>
          </cell>
          <cell r="AJ899">
            <v>0.43000000000000682</v>
          </cell>
        </row>
        <row r="900">
          <cell r="D900">
            <v>43257</v>
          </cell>
          <cell r="AJ900">
            <v>0.44999999999998863</v>
          </cell>
        </row>
        <row r="901">
          <cell r="D901">
            <v>43258</v>
          </cell>
          <cell r="AJ901">
            <v>0.42000000000000171</v>
          </cell>
        </row>
        <row r="902">
          <cell r="D902">
            <v>43259</v>
          </cell>
          <cell r="AJ902">
            <v>0.43999999999999773</v>
          </cell>
        </row>
        <row r="903">
          <cell r="D903">
            <v>43262</v>
          </cell>
          <cell r="AJ903">
            <v>0.6600000000000108</v>
          </cell>
        </row>
        <row r="904">
          <cell r="D904">
            <v>43263</v>
          </cell>
          <cell r="AJ904">
            <v>0.53000000000000114</v>
          </cell>
        </row>
        <row r="905">
          <cell r="D905">
            <v>43264</v>
          </cell>
          <cell r="AJ905">
            <v>0.39000000000000057</v>
          </cell>
        </row>
        <row r="906">
          <cell r="D906">
            <v>43265</v>
          </cell>
          <cell r="AJ906">
            <v>0.48000000000000398</v>
          </cell>
        </row>
        <row r="907">
          <cell r="D907">
            <v>43266</v>
          </cell>
          <cell r="AJ907">
            <v>0.48000000000000398</v>
          </cell>
        </row>
        <row r="908">
          <cell r="D908">
            <v>43269</v>
          </cell>
          <cell r="AJ908">
            <v>0.48000000000000398</v>
          </cell>
        </row>
        <row r="909">
          <cell r="D909">
            <v>43270</v>
          </cell>
          <cell r="AJ909">
            <v>0.29999999999999716</v>
          </cell>
        </row>
        <row r="910">
          <cell r="D910">
            <v>43271</v>
          </cell>
          <cell r="AJ910">
            <v>0.31000000000000227</v>
          </cell>
        </row>
        <row r="911">
          <cell r="D911">
            <v>43272</v>
          </cell>
          <cell r="AJ911">
            <v>0.32000000000000739</v>
          </cell>
        </row>
        <row r="912">
          <cell r="D912">
            <v>43273</v>
          </cell>
          <cell r="AJ912">
            <v>0.35999999999999943</v>
          </cell>
        </row>
        <row r="913">
          <cell r="D913">
            <v>43276</v>
          </cell>
          <cell r="AJ913">
            <v>0.35999999999999943</v>
          </cell>
        </row>
        <row r="914">
          <cell r="D914">
            <v>43277</v>
          </cell>
          <cell r="AJ914">
            <v>0.28999999999999204</v>
          </cell>
        </row>
        <row r="915">
          <cell r="D915">
            <v>43278</v>
          </cell>
          <cell r="AJ915">
            <v>0.20000000000000284</v>
          </cell>
        </row>
        <row r="916">
          <cell r="D916">
            <v>43279</v>
          </cell>
          <cell r="AJ916">
            <v>0.18999999999999773</v>
          </cell>
        </row>
        <row r="917">
          <cell r="D917">
            <v>43280</v>
          </cell>
          <cell r="AJ917">
            <v>7.000000000000739E-2</v>
          </cell>
        </row>
        <row r="918">
          <cell r="D918">
            <v>43283</v>
          </cell>
          <cell r="AJ918">
            <v>0.23999999999999488</v>
          </cell>
        </row>
        <row r="919">
          <cell r="D919">
            <v>43284</v>
          </cell>
          <cell r="AJ919">
            <v>0.11999999999999034</v>
          </cell>
        </row>
        <row r="920">
          <cell r="D920">
            <v>43285</v>
          </cell>
          <cell r="AJ920">
            <v>7.9999999999998295E-2</v>
          </cell>
        </row>
        <row r="921">
          <cell r="D921">
            <v>43286</v>
          </cell>
          <cell r="AJ921">
            <v>0.17000000000000171</v>
          </cell>
        </row>
        <row r="922">
          <cell r="D922">
            <v>43287</v>
          </cell>
          <cell r="AJ922">
            <v>0.17999999999999261</v>
          </cell>
        </row>
        <row r="923">
          <cell r="D923">
            <v>43290</v>
          </cell>
          <cell r="AJ923">
            <v>0.20000000000000284</v>
          </cell>
        </row>
        <row r="924">
          <cell r="D924">
            <v>43291</v>
          </cell>
          <cell r="AJ924">
            <v>0.29999999999999716</v>
          </cell>
        </row>
        <row r="925">
          <cell r="D925">
            <v>43292</v>
          </cell>
          <cell r="AJ925">
            <v>0.32999999999999829</v>
          </cell>
        </row>
        <row r="926">
          <cell r="D926">
            <v>43293</v>
          </cell>
          <cell r="AJ926">
            <v>0.34000000000000341</v>
          </cell>
        </row>
        <row r="927">
          <cell r="D927">
            <v>43294</v>
          </cell>
          <cell r="AJ927">
            <v>0.23000000000000398</v>
          </cell>
        </row>
        <row r="928">
          <cell r="D928">
            <v>43297</v>
          </cell>
          <cell r="AJ928">
            <v>0.34000000000000341</v>
          </cell>
        </row>
        <row r="929">
          <cell r="D929">
            <v>43298</v>
          </cell>
          <cell r="AJ929">
            <v>0.29999999999999716</v>
          </cell>
        </row>
        <row r="930">
          <cell r="D930">
            <v>43299</v>
          </cell>
          <cell r="AJ930">
            <v>0.31999999999999318</v>
          </cell>
        </row>
        <row r="931">
          <cell r="D931">
            <v>43300</v>
          </cell>
          <cell r="AJ931">
            <v>0.28000000000000114</v>
          </cell>
        </row>
        <row r="932">
          <cell r="D932">
            <v>43301</v>
          </cell>
          <cell r="AJ932">
            <v>0.35000000000000853</v>
          </cell>
        </row>
        <row r="933">
          <cell r="D933">
            <v>43304</v>
          </cell>
          <cell r="AJ933">
            <v>0.42000000000000171</v>
          </cell>
        </row>
        <row r="934">
          <cell r="D934">
            <v>43305</v>
          </cell>
          <cell r="AJ934">
            <v>0.45000000000000284</v>
          </cell>
        </row>
        <row r="935">
          <cell r="D935">
            <v>43306</v>
          </cell>
          <cell r="AJ935">
            <v>0.53000000000000114</v>
          </cell>
        </row>
        <row r="936">
          <cell r="D936">
            <v>43307</v>
          </cell>
          <cell r="AJ936">
            <v>0.40000000000000568</v>
          </cell>
        </row>
        <row r="937">
          <cell r="D937">
            <v>43308</v>
          </cell>
          <cell r="AJ937">
            <v>0.37999999999999545</v>
          </cell>
        </row>
        <row r="938">
          <cell r="D938">
            <v>43311</v>
          </cell>
          <cell r="AJ938">
            <v>0.28999999999999204</v>
          </cell>
        </row>
        <row r="939">
          <cell r="D939">
            <v>43312</v>
          </cell>
          <cell r="AJ939">
            <v>0.25</v>
          </cell>
        </row>
        <row r="940">
          <cell r="D940">
            <v>43313</v>
          </cell>
          <cell r="AJ940">
            <v>0.40000000000000568</v>
          </cell>
        </row>
        <row r="941">
          <cell r="D941">
            <v>43314</v>
          </cell>
          <cell r="AJ941">
            <v>0.46000000000000796</v>
          </cell>
        </row>
        <row r="942">
          <cell r="D942">
            <v>43315</v>
          </cell>
          <cell r="AJ942">
            <v>0.43999999999999773</v>
          </cell>
        </row>
        <row r="943">
          <cell r="D943">
            <v>43318</v>
          </cell>
          <cell r="AJ943">
            <v>0.48000000000000398</v>
          </cell>
        </row>
        <row r="944">
          <cell r="D944">
            <v>43319</v>
          </cell>
          <cell r="AJ944">
            <v>0.56999999999999318</v>
          </cell>
        </row>
        <row r="945">
          <cell r="D945">
            <v>43320</v>
          </cell>
          <cell r="AJ945">
            <v>0.56000000000000227</v>
          </cell>
        </row>
        <row r="946">
          <cell r="D946">
            <v>43321</v>
          </cell>
          <cell r="AJ946">
            <v>0.62999999999999545</v>
          </cell>
        </row>
        <row r="947">
          <cell r="D947">
            <v>43322</v>
          </cell>
          <cell r="AJ947">
            <v>0.62999999999999545</v>
          </cell>
        </row>
        <row r="948">
          <cell r="D948">
            <v>43325</v>
          </cell>
          <cell r="AJ948">
            <v>0.79999999999999716</v>
          </cell>
        </row>
        <row r="949">
          <cell r="D949">
            <v>43326</v>
          </cell>
          <cell r="AJ949">
            <v>0.78000000000000114</v>
          </cell>
        </row>
        <row r="950">
          <cell r="D950">
            <v>43327</v>
          </cell>
          <cell r="AJ950">
            <v>1.5300000000000011</v>
          </cell>
        </row>
        <row r="951">
          <cell r="D951">
            <v>43328</v>
          </cell>
          <cell r="AJ951">
            <v>1.3100000000000023</v>
          </cell>
        </row>
        <row r="952">
          <cell r="D952">
            <v>43329</v>
          </cell>
          <cell r="AJ952">
            <v>1.0499999999999972</v>
          </cell>
        </row>
        <row r="953">
          <cell r="D953">
            <v>43332</v>
          </cell>
          <cell r="AJ953">
            <v>0.89999999999999147</v>
          </cell>
        </row>
        <row r="954">
          <cell r="D954">
            <v>43333</v>
          </cell>
          <cell r="AJ954">
            <v>1</v>
          </cell>
        </row>
        <row r="955">
          <cell r="D955">
            <v>43334</v>
          </cell>
          <cell r="AJ955">
            <v>0.89000000000000057</v>
          </cell>
        </row>
        <row r="956">
          <cell r="D956">
            <v>43335</v>
          </cell>
          <cell r="AJ956">
            <v>0.89000000000000057</v>
          </cell>
        </row>
        <row r="957">
          <cell r="D957">
            <v>43336</v>
          </cell>
          <cell r="AJ957">
            <v>0.84999999999999432</v>
          </cell>
        </row>
        <row r="958">
          <cell r="D958">
            <v>43339</v>
          </cell>
          <cell r="AJ958">
            <v>0.84000000000000341</v>
          </cell>
        </row>
        <row r="959">
          <cell r="D959">
            <v>43340</v>
          </cell>
          <cell r="AJ959">
            <v>0.84000000000000341</v>
          </cell>
        </row>
        <row r="960">
          <cell r="D960">
            <v>43341</v>
          </cell>
          <cell r="AJ960">
            <v>0.90000000000000568</v>
          </cell>
        </row>
        <row r="961">
          <cell r="D961">
            <v>43342</v>
          </cell>
          <cell r="AJ961">
            <v>1.019999999999996</v>
          </cell>
        </row>
        <row r="962">
          <cell r="D962">
            <v>43343</v>
          </cell>
          <cell r="AJ962">
            <v>1.2000000000000028</v>
          </cell>
        </row>
        <row r="963">
          <cell r="D963">
            <v>43346</v>
          </cell>
          <cell r="AJ963">
            <v>1.1099999999999994</v>
          </cell>
        </row>
        <row r="964">
          <cell r="D964">
            <v>43347</v>
          </cell>
          <cell r="AJ964">
            <v>1.0799999999999983</v>
          </cell>
        </row>
        <row r="965">
          <cell r="D965">
            <v>43348</v>
          </cell>
          <cell r="AJ965">
            <v>0.92000000000000171</v>
          </cell>
        </row>
        <row r="966">
          <cell r="D966">
            <v>43349</v>
          </cell>
          <cell r="AJ966">
            <v>0.90999999999999659</v>
          </cell>
        </row>
        <row r="967">
          <cell r="D967">
            <v>43350</v>
          </cell>
          <cell r="AJ967">
            <v>0.93999999999999773</v>
          </cell>
        </row>
        <row r="968">
          <cell r="D968">
            <v>43353</v>
          </cell>
          <cell r="AJ968">
            <v>0.90000000000000568</v>
          </cell>
        </row>
        <row r="969">
          <cell r="D969">
            <v>43354</v>
          </cell>
          <cell r="AJ969">
            <v>0.90000000000000568</v>
          </cell>
        </row>
        <row r="970">
          <cell r="D970">
            <v>43355</v>
          </cell>
          <cell r="AJ970">
            <v>0.98000000000000398</v>
          </cell>
        </row>
        <row r="971">
          <cell r="D971">
            <v>43356</v>
          </cell>
          <cell r="AJ971">
            <v>1.1400000000000006</v>
          </cell>
        </row>
        <row r="972">
          <cell r="D972">
            <v>43357</v>
          </cell>
          <cell r="AJ972">
            <v>1.2800000000000011</v>
          </cell>
        </row>
        <row r="973">
          <cell r="D973">
            <v>43360</v>
          </cell>
          <cell r="AJ973">
            <v>1.2199999999999989</v>
          </cell>
        </row>
        <row r="974">
          <cell r="D974">
            <v>43361</v>
          </cell>
          <cell r="AJ974">
            <v>1.2800000000000011</v>
          </cell>
        </row>
        <row r="975">
          <cell r="D975">
            <v>43362</v>
          </cell>
          <cell r="AJ975">
            <v>1.3299999999999983</v>
          </cell>
        </row>
        <row r="976">
          <cell r="D976">
            <v>43363</v>
          </cell>
          <cell r="AJ976">
            <v>1.2999999999999972</v>
          </cell>
        </row>
        <row r="977">
          <cell r="D977">
            <v>43364</v>
          </cell>
          <cell r="AJ977">
            <v>1.2600000000000051</v>
          </cell>
        </row>
        <row r="978">
          <cell r="D978">
            <v>43367</v>
          </cell>
          <cell r="AJ978">
            <v>1.3099999999999881</v>
          </cell>
        </row>
        <row r="979">
          <cell r="D979">
            <v>43368</v>
          </cell>
          <cell r="AJ979">
            <v>1.3000000000000114</v>
          </cell>
        </row>
        <row r="980">
          <cell r="D980">
            <v>43369</v>
          </cell>
          <cell r="AJ980">
            <v>1.1899999999999977</v>
          </cell>
        </row>
        <row r="981">
          <cell r="D981">
            <v>43370</v>
          </cell>
          <cell r="AJ981">
            <v>1.269999999999996</v>
          </cell>
        </row>
        <row r="982">
          <cell r="D982">
            <v>43371</v>
          </cell>
          <cell r="AJ982">
            <v>1.25</v>
          </cell>
        </row>
        <row r="983">
          <cell r="D983">
            <v>43374</v>
          </cell>
          <cell r="AJ983">
            <v>0.56999999999999318</v>
          </cell>
        </row>
        <row r="984">
          <cell r="D984">
            <v>43375</v>
          </cell>
          <cell r="AJ984">
            <v>0.45000000000000284</v>
          </cell>
        </row>
        <row r="985">
          <cell r="D985">
            <v>43376</v>
          </cell>
          <cell r="AJ985">
            <v>0.38000000000000966</v>
          </cell>
        </row>
        <row r="986">
          <cell r="D986">
            <v>43377</v>
          </cell>
          <cell r="AJ986">
            <v>0.14000000000000057</v>
          </cell>
        </row>
        <row r="987">
          <cell r="D987">
            <v>43378</v>
          </cell>
          <cell r="AJ987">
            <v>0.20000000000000284</v>
          </cell>
        </row>
        <row r="988">
          <cell r="D988">
            <v>43381</v>
          </cell>
          <cell r="AJ988">
            <v>0.37999999999999545</v>
          </cell>
        </row>
        <row r="989">
          <cell r="D989">
            <v>43382</v>
          </cell>
          <cell r="AJ989">
            <v>0.28000000000000114</v>
          </cell>
        </row>
        <row r="990">
          <cell r="D990">
            <v>43383</v>
          </cell>
          <cell r="AJ990">
            <v>0.37000000000000455</v>
          </cell>
        </row>
        <row r="991">
          <cell r="D991">
            <v>43384</v>
          </cell>
          <cell r="AJ991">
            <v>0.30000000000001137</v>
          </cell>
        </row>
        <row r="992">
          <cell r="D992">
            <v>43385</v>
          </cell>
          <cell r="AJ992">
            <v>0.48000000000000398</v>
          </cell>
        </row>
        <row r="993">
          <cell r="D993">
            <v>43388</v>
          </cell>
          <cell r="AJ993">
            <v>0.40999999999999659</v>
          </cell>
        </row>
        <row r="994">
          <cell r="D994">
            <v>43389</v>
          </cell>
          <cell r="AJ994">
            <v>0.32000000000000739</v>
          </cell>
        </row>
        <row r="995">
          <cell r="D995">
            <v>43390</v>
          </cell>
          <cell r="AJ995">
            <v>0.17000000000000171</v>
          </cell>
        </row>
        <row r="996">
          <cell r="D996">
            <v>43391</v>
          </cell>
          <cell r="AJ996">
            <v>6.9999999999993179E-2</v>
          </cell>
        </row>
        <row r="997">
          <cell r="D997">
            <v>43392</v>
          </cell>
          <cell r="AJ997">
            <v>0.17999999999999261</v>
          </cell>
        </row>
        <row r="998">
          <cell r="D998">
            <v>43395</v>
          </cell>
          <cell r="AJ998">
            <v>0.11999999999999034</v>
          </cell>
        </row>
        <row r="999">
          <cell r="D999">
            <v>43396</v>
          </cell>
          <cell r="AJ999">
            <v>1.0000000000005116E-2</v>
          </cell>
        </row>
        <row r="1000">
          <cell r="D1000">
            <v>43397</v>
          </cell>
          <cell r="AJ1000">
            <v>0.10000000000000853</v>
          </cell>
        </row>
        <row r="1001">
          <cell r="D1001">
            <v>43398</v>
          </cell>
          <cell r="AJ1001">
            <v>0.11999999999999034</v>
          </cell>
        </row>
        <row r="1002">
          <cell r="D1002">
            <v>43399</v>
          </cell>
          <cell r="AJ1002">
            <v>9.0000000000003411E-2</v>
          </cell>
        </row>
        <row r="1003">
          <cell r="D1003">
            <v>43402</v>
          </cell>
          <cell r="AJ1003">
            <v>0.14000000000000057</v>
          </cell>
        </row>
        <row r="1004">
          <cell r="D1004">
            <v>43403</v>
          </cell>
          <cell r="AJ1004">
            <v>0.24000000000000909</v>
          </cell>
        </row>
        <row r="1005">
          <cell r="D1005">
            <v>43404</v>
          </cell>
          <cell r="AJ1005">
            <v>0.26999999999999602</v>
          </cell>
        </row>
        <row r="1006">
          <cell r="D1006">
            <v>43405</v>
          </cell>
          <cell r="AJ1006">
            <v>-0.20999999999999375</v>
          </cell>
        </row>
        <row r="1007">
          <cell r="D1007">
            <v>43406</v>
          </cell>
          <cell r="AJ1007">
            <v>-0.31999999999999318</v>
          </cell>
        </row>
        <row r="1008">
          <cell r="D1008">
            <v>43409</v>
          </cell>
          <cell r="AJ1008">
            <v>-0.32999999999999829</v>
          </cell>
        </row>
        <row r="1009">
          <cell r="D1009">
            <v>43410</v>
          </cell>
          <cell r="AJ1009">
            <v>-0.28999999999999204</v>
          </cell>
        </row>
        <row r="1010">
          <cell r="D1010">
            <v>43411</v>
          </cell>
          <cell r="AJ1010">
            <v>-0.28999999999999204</v>
          </cell>
        </row>
        <row r="1011">
          <cell r="D1011">
            <v>43412</v>
          </cell>
          <cell r="AJ1011">
            <v>-0.37000000000000455</v>
          </cell>
        </row>
        <row r="1012">
          <cell r="D1012">
            <v>43413</v>
          </cell>
          <cell r="AJ1012">
            <v>-0.34000000000000341</v>
          </cell>
        </row>
        <row r="1013">
          <cell r="D1013">
            <v>43416</v>
          </cell>
          <cell r="AJ1013">
            <v>-0.39000000000000057</v>
          </cell>
        </row>
        <row r="1014">
          <cell r="D1014">
            <v>43417</v>
          </cell>
          <cell r="AJ1014">
            <v>-0.28000000000000114</v>
          </cell>
        </row>
        <row r="1015">
          <cell r="D1015">
            <v>43418</v>
          </cell>
          <cell r="AJ1015">
            <v>-0.27000000000001023</v>
          </cell>
        </row>
        <row r="1016">
          <cell r="D1016">
            <v>43419</v>
          </cell>
          <cell r="AJ1016">
            <v>-0.29000000000000625</v>
          </cell>
        </row>
        <row r="1017">
          <cell r="D1017">
            <v>43420</v>
          </cell>
          <cell r="AJ1017">
            <v>-0.26999999999999602</v>
          </cell>
        </row>
        <row r="1018">
          <cell r="D1018">
            <v>43423</v>
          </cell>
          <cell r="AJ1018">
            <v>-0.25</v>
          </cell>
        </row>
        <row r="1019">
          <cell r="D1019">
            <v>43424</v>
          </cell>
          <cell r="AJ1019">
            <v>-0.23000000000000398</v>
          </cell>
        </row>
        <row r="1020">
          <cell r="D1020">
            <v>43425</v>
          </cell>
          <cell r="AJ1020">
            <v>-0.20000000000000284</v>
          </cell>
        </row>
        <row r="1021">
          <cell r="D1021">
            <v>43426</v>
          </cell>
          <cell r="AJ1021">
            <v>-0.29999999999999716</v>
          </cell>
        </row>
        <row r="1022">
          <cell r="D1022">
            <v>43427</v>
          </cell>
          <cell r="AJ1022">
            <v>-0.38000000000000256</v>
          </cell>
        </row>
        <row r="1023">
          <cell r="D1023">
            <v>43430</v>
          </cell>
          <cell r="AJ1023">
            <v>-0.43000000000000682</v>
          </cell>
        </row>
        <row r="1024">
          <cell r="D1024">
            <v>43431</v>
          </cell>
          <cell r="AJ1024">
            <v>-0.53000000000000114</v>
          </cell>
        </row>
        <row r="1025">
          <cell r="D1025">
            <v>43432</v>
          </cell>
          <cell r="AJ1025">
            <v>-0.67999999999999972</v>
          </cell>
        </row>
        <row r="1026">
          <cell r="D1026">
            <v>43433</v>
          </cell>
          <cell r="AJ1026">
            <v>-0.67999999999999972</v>
          </cell>
        </row>
        <row r="1027">
          <cell r="D1027">
            <v>43434</v>
          </cell>
          <cell r="AJ1027">
            <v>-0.68999999999999773</v>
          </cell>
        </row>
        <row r="1028">
          <cell r="D1028">
            <v>43437</v>
          </cell>
          <cell r="AJ1028">
            <v>-0.64000000000000057</v>
          </cell>
        </row>
        <row r="1029">
          <cell r="D1029">
            <v>43438</v>
          </cell>
          <cell r="AJ1029">
            <v>-0.64999999999999858</v>
          </cell>
        </row>
        <row r="1030">
          <cell r="D1030">
            <v>43439</v>
          </cell>
          <cell r="AJ1030">
            <v>-0.65999999999999659</v>
          </cell>
        </row>
        <row r="1031">
          <cell r="D1031">
            <v>43440</v>
          </cell>
          <cell r="AJ1031">
            <v>-0.64999999999999858</v>
          </cell>
        </row>
        <row r="1032">
          <cell r="D1032">
            <v>43441</v>
          </cell>
          <cell r="AJ1032">
            <v>-0.64000000000000057</v>
          </cell>
        </row>
        <row r="1033">
          <cell r="D1033">
            <v>43444</v>
          </cell>
          <cell r="AJ1033">
            <v>-0.66000000000000369</v>
          </cell>
        </row>
        <row r="1034">
          <cell r="D1034">
            <v>43445</v>
          </cell>
          <cell r="AJ1034">
            <v>-0.67999999999999972</v>
          </cell>
        </row>
        <row r="1035">
          <cell r="D1035">
            <v>43446</v>
          </cell>
          <cell r="AJ1035">
            <v>-0.71000000000000085</v>
          </cell>
        </row>
        <row r="1036">
          <cell r="D1036">
            <v>43447</v>
          </cell>
          <cell r="AJ1036">
            <v>-0.68999999999999773</v>
          </cell>
        </row>
        <row r="1037">
          <cell r="D1037">
            <v>43448</v>
          </cell>
          <cell r="AJ1037">
            <v>-0.67999999999999972</v>
          </cell>
        </row>
        <row r="1038">
          <cell r="D1038">
            <v>43451</v>
          </cell>
          <cell r="AJ1038">
            <v>-0.67999999999999972</v>
          </cell>
        </row>
        <row r="1039">
          <cell r="D1039">
            <v>43452</v>
          </cell>
          <cell r="AJ1039">
            <v>-0.68999999999999773</v>
          </cell>
        </row>
        <row r="1040">
          <cell r="D1040">
            <v>43453</v>
          </cell>
          <cell r="AJ1040">
            <v>-0.68999999999999773</v>
          </cell>
        </row>
        <row r="1041">
          <cell r="D1041">
            <v>43454</v>
          </cell>
          <cell r="AJ1041">
            <v>-0.69000000000000483</v>
          </cell>
        </row>
        <row r="1042">
          <cell r="D1042">
            <v>43455</v>
          </cell>
          <cell r="AJ1042">
            <v>-0.68999999999999773</v>
          </cell>
        </row>
        <row r="1043">
          <cell r="D1043">
            <v>43458</v>
          </cell>
          <cell r="AJ1043">
            <v>-0.67999999999999972</v>
          </cell>
        </row>
        <row r="1044">
          <cell r="D1044">
            <v>43459</v>
          </cell>
          <cell r="AJ1044">
            <v>-0.67999999999999972</v>
          </cell>
        </row>
        <row r="1045">
          <cell r="D1045">
            <v>43460</v>
          </cell>
          <cell r="AJ1045">
            <v>-0.67999999999999972</v>
          </cell>
        </row>
        <row r="1046">
          <cell r="D1046">
            <v>43461</v>
          </cell>
          <cell r="AJ1046">
            <v>-0.67000000000000171</v>
          </cell>
        </row>
        <row r="1047">
          <cell r="D1047">
            <v>43462</v>
          </cell>
          <cell r="AJ1047">
            <v>-0.65999999999999659</v>
          </cell>
        </row>
        <row r="1048">
          <cell r="D1048">
            <v>43465</v>
          </cell>
          <cell r="AJ1048">
            <v>-0.67999999999999972</v>
          </cell>
        </row>
        <row r="1049">
          <cell r="D1049">
            <v>43466</v>
          </cell>
          <cell r="AJ1049">
            <v>-0.67999999999999972</v>
          </cell>
        </row>
        <row r="1050">
          <cell r="D1050">
            <v>43467</v>
          </cell>
          <cell r="AJ1050">
            <v>-0.67999999999999972</v>
          </cell>
        </row>
        <row r="1051">
          <cell r="D1051">
            <v>43468</v>
          </cell>
          <cell r="AJ1051">
            <v>-0.49000000000000199</v>
          </cell>
        </row>
        <row r="1052">
          <cell r="D1052">
            <v>43469</v>
          </cell>
          <cell r="AJ1052">
            <v>-0.42000000000000171</v>
          </cell>
        </row>
        <row r="1053">
          <cell r="D1053">
            <v>43472</v>
          </cell>
          <cell r="AJ1053">
            <v>-0.35999999999999943</v>
          </cell>
        </row>
        <row r="1054">
          <cell r="D1054">
            <v>43473</v>
          </cell>
          <cell r="AJ1054">
            <v>-0.46999999999999886</v>
          </cell>
        </row>
        <row r="1055">
          <cell r="D1055">
            <v>43474</v>
          </cell>
          <cell r="AJ1055">
            <v>-0.5</v>
          </cell>
        </row>
        <row r="1056">
          <cell r="D1056">
            <v>43475</v>
          </cell>
          <cell r="AJ1056">
            <v>-0.44999999999999574</v>
          </cell>
        </row>
        <row r="1057">
          <cell r="D1057">
            <v>43476</v>
          </cell>
          <cell r="AJ1057">
            <v>-0.53000000000000114</v>
          </cell>
        </row>
        <row r="1058">
          <cell r="D1058">
            <v>43479</v>
          </cell>
          <cell r="AJ1058">
            <v>-0.48999999999999488</v>
          </cell>
        </row>
        <row r="1059">
          <cell r="D1059">
            <v>43480</v>
          </cell>
          <cell r="AJ1059">
            <v>-0.51999999999999602</v>
          </cell>
        </row>
        <row r="1060">
          <cell r="D1060">
            <v>43481</v>
          </cell>
          <cell r="AJ1060">
            <v>-0.56000000000000227</v>
          </cell>
        </row>
        <row r="1061">
          <cell r="D1061">
            <v>43482</v>
          </cell>
          <cell r="AJ1061">
            <v>-0.52999999999999403</v>
          </cell>
        </row>
        <row r="1062">
          <cell r="D1062">
            <v>43483</v>
          </cell>
          <cell r="AJ1062">
            <v>-0.53999999999999915</v>
          </cell>
        </row>
        <row r="1063">
          <cell r="D1063">
            <v>43486</v>
          </cell>
          <cell r="AJ1063">
            <v>-0.53000000000000114</v>
          </cell>
        </row>
        <row r="1064">
          <cell r="D1064">
            <v>43487</v>
          </cell>
          <cell r="AJ1064">
            <v>-0.55000000000000426</v>
          </cell>
        </row>
        <row r="1065">
          <cell r="D1065">
            <v>43488</v>
          </cell>
          <cell r="AJ1065">
            <v>-0.53999999999999915</v>
          </cell>
        </row>
        <row r="1066">
          <cell r="D1066">
            <v>43489</v>
          </cell>
          <cell r="AJ1066">
            <v>-0.55999999999999517</v>
          </cell>
        </row>
        <row r="1067">
          <cell r="D1067">
            <v>43490</v>
          </cell>
          <cell r="AJ1067">
            <v>-0.53000000000000114</v>
          </cell>
        </row>
        <row r="1068">
          <cell r="D1068">
            <v>43493</v>
          </cell>
          <cell r="AJ1068">
            <v>-0.53000000000000114</v>
          </cell>
        </row>
        <row r="1069">
          <cell r="D1069">
            <v>43494</v>
          </cell>
          <cell r="AJ1069">
            <v>-0.59000000000000341</v>
          </cell>
        </row>
        <row r="1070">
          <cell r="D1070">
            <v>43495</v>
          </cell>
          <cell r="AJ1070">
            <v>-0.62999999999999545</v>
          </cell>
        </row>
        <row r="1071">
          <cell r="D1071">
            <v>43496</v>
          </cell>
          <cell r="AJ1071">
            <v>-0.53999999999999915</v>
          </cell>
        </row>
        <row r="1072">
          <cell r="D1072">
            <v>43497</v>
          </cell>
          <cell r="AJ1072">
            <v>-0.46000000000000085</v>
          </cell>
        </row>
        <row r="1073">
          <cell r="D1073">
            <v>43500</v>
          </cell>
          <cell r="AJ1073">
            <v>-0.36999999999999744</v>
          </cell>
        </row>
        <row r="1074">
          <cell r="D1074">
            <v>43501</v>
          </cell>
          <cell r="AJ1074">
            <v>-0.35000000000000142</v>
          </cell>
        </row>
        <row r="1075">
          <cell r="D1075">
            <v>43502</v>
          </cell>
          <cell r="AJ1075">
            <v>-0.35000000000000142</v>
          </cell>
        </row>
        <row r="1076">
          <cell r="D1076">
            <v>43503</v>
          </cell>
          <cell r="AJ1076">
            <v>-0.35000000000000142</v>
          </cell>
        </row>
        <row r="1077">
          <cell r="D1077">
            <v>43504</v>
          </cell>
          <cell r="AJ1077">
            <v>-0.23000000000000398</v>
          </cell>
        </row>
        <row r="1078">
          <cell r="D1078">
            <v>43507</v>
          </cell>
          <cell r="AJ1078">
            <v>-9.9999999999994316E-2</v>
          </cell>
        </row>
        <row r="1079">
          <cell r="D1079">
            <v>43508</v>
          </cell>
          <cell r="AJ1079">
            <v>-0.21999999999999886</v>
          </cell>
        </row>
        <row r="1080">
          <cell r="D1080">
            <v>43509</v>
          </cell>
          <cell r="AJ1080">
            <v>-0.15999999999999659</v>
          </cell>
        </row>
        <row r="1081">
          <cell r="D1081">
            <v>43510</v>
          </cell>
          <cell r="AJ1081">
            <v>-0.18000000000000682</v>
          </cell>
        </row>
        <row r="1082">
          <cell r="D1082">
            <v>43511</v>
          </cell>
          <cell r="AJ1082">
            <v>-0.14000000000000057</v>
          </cell>
        </row>
        <row r="1083">
          <cell r="D1083">
            <v>43514</v>
          </cell>
          <cell r="AJ1083">
            <v>-0.15999999999999659</v>
          </cell>
        </row>
        <row r="1084">
          <cell r="D1084">
            <v>43515</v>
          </cell>
          <cell r="AJ1084">
            <v>-0.20000000000000284</v>
          </cell>
        </row>
        <row r="1085">
          <cell r="D1085">
            <v>43516</v>
          </cell>
          <cell r="AJ1085">
            <v>-0.25</v>
          </cell>
        </row>
        <row r="1086">
          <cell r="D1086">
            <v>43517</v>
          </cell>
          <cell r="AJ1086">
            <v>-0.23000000000000398</v>
          </cell>
        </row>
        <row r="1087">
          <cell r="D1087">
            <v>43518</v>
          </cell>
          <cell r="AJ1087">
            <v>-0.21999999999999886</v>
          </cell>
        </row>
        <row r="1088">
          <cell r="D1088">
            <v>43521</v>
          </cell>
          <cell r="AJ1088">
            <v>-0.20999999999999375</v>
          </cell>
        </row>
        <row r="1089">
          <cell r="D1089">
            <v>43522</v>
          </cell>
          <cell r="AJ1089">
            <v>-0.14000000000000057</v>
          </cell>
        </row>
        <row r="1090">
          <cell r="D1090">
            <v>43523</v>
          </cell>
          <cell r="AJ1090">
            <v>-4.9999999999997158E-2</v>
          </cell>
        </row>
        <row r="1091">
          <cell r="D1091">
            <v>43524</v>
          </cell>
          <cell r="AJ1091">
            <v>-9.0000000000003411E-2</v>
          </cell>
        </row>
        <row r="1092">
          <cell r="D1092">
            <v>43525</v>
          </cell>
          <cell r="AJ1092">
            <v>1.9999999999996021E-2</v>
          </cell>
        </row>
        <row r="1093">
          <cell r="D1093">
            <v>43528</v>
          </cell>
          <cell r="AJ1093">
            <v>0.21999999999999886</v>
          </cell>
        </row>
        <row r="1094">
          <cell r="D1094">
            <v>43529</v>
          </cell>
          <cell r="AJ1094">
            <v>0.25999999999999091</v>
          </cell>
        </row>
        <row r="1095">
          <cell r="D1095">
            <v>43530</v>
          </cell>
          <cell r="AJ1095">
            <v>0.5</v>
          </cell>
        </row>
        <row r="1096">
          <cell r="D1096">
            <v>43531</v>
          </cell>
          <cell r="AJ1096">
            <v>0.48000000000000398</v>
          </cell>
        </row>
        <row r="1097">
          <cell r="D1097">
            <v>43532</v>
          </cell>
          <cell r="AJ1097">
            <v>0.53000000000000114</v>
          </cell>
        </row>
        <row r="1098">
          <cell r="D1098">
            <v>43535</v>
          </cell>
          <cell r="AJ1098">
            <v>0.63000000000000966</v>
          </cell>
        </row>
        <row r="1099">
          <cell r="D1099">
            <v>43536</v>
          </cell>
          <cell r="AJ1099">
            <v>0.78000000000000114</v>
          </cell>
        </row>
        <row r="1100">
          <cell r="D1100">
            <v>43537</v>
          </cell>
          <cell r="AJ1100">
            <v>0.71000000000000796</v>
          </cell>
        </row>
        <row r="1101">
          <cell r="D1101">
            <v>43538</v>
          </cell>
          <cell r="AJ1101">
            <v>0.87999999999999545</v>
          </cell>
        </row>
        <row r="1102">
          <cell r="D1102">
            <v>43539</v>
          </cell>
          <cell r="AJ1102">
            <v>0.91999999999998749</v>
          </cell>
        </row>
        <row r="1103">
          <cell r="D1103">
            <v>43542</v>
          </cell>
          <cell r="AJ1103">
            <v>1.039999999999992</v>
          </cell>
        </row>
        <row r="1104">
          <cell r="D1104">
            <v>43543</v>
          </cell>
          <cell r="AJ1104">
            <v>1.1599999999999966</v>
          </cell>
        </row>
        <row r="1105">
          <cell r="D1105">
            <v>43544</v>
          </cell>
          <cell r="AJ1105">
            <v>1.0400000000000063</v>
          </cell>
        </row>
        <row r="1106">
          <cell r="D1106">
            <v>43545</v>
          </cell>
          <cell r="AJ1106">
            <v>1.1199999999999903</v>
          </cell>
        </row>
        <row r="1107">
          <cell r="D1107">
            <v>43546</v>
          </cell>
          <cell r="AJ1107">
            <v>1.3299999999999983</v>
          </cell>
        </row>
        <row r="1108">
          <cell r="D1108">
            <v>43549</v>
          </cell>
          <cell r="AJ1108">
            <v>1.25</v>
          </cell>
        </row>
        <row r="1109">
          <cell r="D1109">
            <v>43550</v>
          </cell>
          <cell r="AJ1109">
            <v>1.2999999999999972</v>
          </cell>
        </row>
        <row r="1110">
          <cell r="D1110">
            <v>43551</v>
          </cell>
          <cell r="AJ1110">
            <v>1.4300000000000068</v>
          </cell>
        </row>
        <row r="1111">
          <cell r="D1111">
            <v>43552</v>
          </cell>
          <cell r="AJ1111">
            <v>1.4000000000000057</v>
          </cell>
        </row>
        <row r="1112">
          <cell r="D1112">
            <v>43553</v>
          </cell>
          <cell r="AJ1112">
            <v>1.6200000000000045</v>
          </cell>
        </row>
        <row r="1113">
          <cell r="D1113">
            <v>43556</v>
          </cell>
          <cell r="AJ1113">
            <v>0.92999999999999261</v>
          </cell>
        </row>
        <row r="1114">
          <cell r="D1114">
            <v>43557</v>
          </cell>
          <cell r="AJ1114">
            <v>0.82999999999999829</v>
          </cell>
        </row>
        <row r="1115">
          <cell r="D1115">
            <v>43558</v>
          </cell>
          <cell r="AJ1115">
            <v>0.76000000000000512</v>
          </cell>
        </row>
        <row r="1116">
          <cell r="D1116">
            <v>43559</v>
          </cell>
          <cell r="AJ1116">
            <v>0.75999999999999091</v>
          </cell>
        </row>
        <row r="1117">
          <cell r="D1117">
            <v>43560</v>
          </cell>
          <cell r="AJ1117">
            <v>0.70000000000000284</v>
          </cell>
        </row>
        <row r="1118">
          <cell r="D1118">
            <v>43563</v>
          </cell>
          <cell r="AJ1118">
            <v>0.77000000000001023</v>
          </cell>
        </row>
        <row r="1119">
          <cell r="D1119">
            <v>43564</v>
          </cell>
          <cell r="AJ1119">
            <v>0.79000000000000625</v>
          </cell>
        </row>
        <row r="1120">
          <cell r="D1120">
            <v>43565</v>
          </cell>
          <cell r="AJ1120">
            <v>1.0499999999999972</v>
          </cell>
        </row>
        <row r="1121">
          <cell r="D1121">
            <v>43566</v>
          </cell>
          <cell r="AJ1121">
            <v>1.1299999999999955</v>
          </cell>
        </row>
        <row r="1122">
          <cell r="D1122">
            <v>43567</v>
          </cell>
          <cell r="AJ1122">
            <v>1.3400000000000034</v>
          </cell>
        </row>
        <row r="1123">
          <cell r="D1123">
            <v>43570</v>
          </cell>
          <cell r="AJ1123">
            <v>1.1899999999999977</v>
          </cell>
        </row>
        <row r="1124">
          <cell r="D1124">
            <v>43571</v>
          </cell>
          <cell r="AJ1124">
            <v>1</v>
          </cell>
        </row>
        <row r="1125">
          <cell r="D1125">
            <v>43572</v>
          </cell>
          <cell r="AJ1125">
            <v>1.1800000000000068</v>
          </cell>
        </row>
        <row r="1126">
          <cell r="D1126">
            <v>43573</v>
          </cell>
          <cell r="AJ1126">
            <v>1.1700000000000017</v>
          </cell>
        </row>
        <row r="1127">
          <cell r="D1127">
            <v>43574</v>
          </cell>
          <cell r="AJ1127">
            <v>1.230000000000004</v>
          </cell>
        </row>
        <row r="1128">
          <cell r="D1128">
            <v>43577</v>
          </cell>
          <cell r="AJ1128">
            <v>1.230000000000004</v>
          </cell>
        </row>
        <row r="1129">
          <cell r="D1129">
            <v>43578</v>
          </cell>
          <cell r="AJ1129">
            <v>1.019999999999996</v>
          </cell>
        </row>
        <row r="1130">
          <cell r="D1130">
            <v>43579</v>
          </cell>
          <cell r="AJ1130">
            <v>0.84999999999999432</v>
          </cell>
        </row>
        <row r="1131">
          <cell r="D1131">
            <v>43580</v>
          </cell>
          <cell r="AJ1131">
            <v>0.90000000000000568</v>
          </cell>
        </row>
        <row r="1132">
          <cell r="D1132">
            <v>43581</v>
          </cell>
          <cell r="AJ1132">
            <v>1</v>
          </cell>
        </row>
        <row r="1133">
          <cell r="D1133">
            <v>43584</v>
          </cell>
          <cell r="AJ1133">
            <v>1.1200000000000045</v>
          </cell>
        </row>
        <row r="1134">
          <cell r="D1134">
            <v>43585</v>
          </cell>
          <cell r="AJ1134">
            <v>1.0400000000000063</v>
          </cell>
        </row>
        <row r="1135">
          <cell r="D1135">
            <v>43586</v>
          </cell>
          <cell r="AJ1135">
            <v>0.82000000000000739</v>
          </cell>
        </row>
        <row r="1136">
          <cell r="D1136">
            <v>43587</v>
          </cell>
          <cell r="AJ1136">
            <v>0.82000000000000739</v>
          </cell>
        </row>
        <row r="1137">
          <cell r="D1137">
            <v>43588</v>
          </cell>
          <cell r="AJ1137">
            <v>0.84000000000000341</v>
          </cell>
        </row>
        <row r="1138">
          <cell r="D1138">
            <v>43591</v>
          </cell>
          <cell r="AJ1138">
            <v>0.73000000000000398</v>
          </cell>
        </row>
        <row r="1139">
          <cell r="D1139">
            <v>43592</v>
          </cell>
          <cell r="AJ1139">
            <v>0.57000000000000739</v>
          </cell>
        </row>
        <row r="1140">
          <cell r="D1140">
            <v>43593</v>
          </cell>
          <cell r="AJ1140">
            <v>0.34999999999999432</v>
          </cell>
        </row>
        <row r="1141">
          <cell r="D1141">
            <v>43594</v>
          </cell>
          <cell r="AJ1141">
            <v>0.29999999999999716</v>
          </cell>
        </row>
        <row r="1142">
          <cell r="D1142">
            <v>43595</v>
          </cell>
          <cell r="AJ1142">
            <v>0.61999999999999034</v>
          </cell>
        </row>
        <row r="1143">
          <cell r="D1143">
            <v>43598</v>
          </cell>
          <cell r="AJ1143">
            <v>0.70000000000000284</v>
          </cell>
        </row>
        <row r="1144">
          <cell r="D1144">
            <v>43599</v>
          </cell>
          <cell r="AJ1144">
            <v>0.70000000000000284</v>
          </cell>
        </row>
        <row r="1145">
          <cell r="D1145">
            <v>43600</v>
          </cell>
          <cell r="AJ1145">
            <v>0.67000000000000171</v>
          </cell>
        </row>
        <row r="1146">
          <cell r="D1146">
            <v>43601</v>
          </cell>
          <cell r="AJ1146">
            <v>0.73000000000000398</v>
          </cell>
        </row>
        <row r="1147">
          <cell r="D1147">
            <v>43602</v>
          </cell>
          <cell r="AJ1147">
            <v>1</v>
          </cell>
        </row>
        <row r="1148">
          <cell r="D1148">
            <v>43605</v>
          </cell>
          <cell r="AJ1148">
            <v>0.96000000000000796</v>
          </cell>
        </row>
        <row r="1149">
          <cell r="D1149">
            <v>43606</v>
          </cell>
          <cell r="AJ1149">
            <v>0.96000000000000796</v>
          </cell>
        </row>
        <row r="1150">
          <cell r="D1150">
            <v>43607</v>
          </cell>
          <cell r="AJ1150">
            <v>1.1600000000000108</v>
          </cell>
        </row>
        <row r="1151">
          <cell r="D1151">
            <v>43608</v>
          </cell>
          <cell r="AJ1151">
            <v>0.81999999999999318</v>
          </cell>
        </row>
        <row r="1152">
          <cell r="D1152">
            <v>43609</v>
          </cell>
          <cell r="AJ1152">
            <v>0.85999999999999943</v>
          </cell>
        </row>
        <row r="1153">
          <cell r="D1153">
            <v>43612</v>
          </cell>
          <cell r="AJ1153">
            <v>0.94000000000001194</v>
          </cell>
        </row>
        <row r="1154">
          <cell r="D1154">
            <v>43613</v>
          </cell>
          <cell r="AJ1154">
            <v>0.76000000000000512</v>
          </cell>
        </row>
        <row r="1155">
          <cell r="D1155">
            <v>43614</v>
          </cell>
          <cell r="AJ1155">
            <v>0.45000000000000284</v>
          </cell>
        </row>
        <row r="1156">
          <cell r="D1156">
            <v>43615</v>
          </cell>
          <cell r="AJ1156">
            <v>0.59000000000000341</v>
          </cell>
        </row>
        <row r="1157">
          <cell r="D1157">
            <v>43616</v>
          </cell>
          <cell r="AJ1157">
            <v>0.34999999999999432</v>
          </cell>
        </row>
        <row r="1158">
          <cell r="D1158">
            <v>43619</v>
          </cell>
          <cell r="AJ1158">
            <v>0.24000000000000199</v>
          </cell>
        </row>
        <row r="1159">
          <cell r="D1159">
            <v>43620</v>
          </cell>
          <cell r="AJ1159">
            <v>0.42999999999999972</v>
          </cell>
        </row>
        <row r="1160">
          <cell r="D1160">
            <v>43621</v>
          </cell>
          <cell r="AJ1160">
            <v>0.53000000000000114</v>
          </cell>
        </row>
        <row r="1161">
          <cell r="D1161">
            <v>43622</v>
          </cell>
          <cell r="AJ1161">
            <v>0.53000000000000114</v>
          </cell>
        </row>
        <row r="1162">
          <cell r="D1162">
            <v>43623</v>
          </cell>
          <cell r="AJ1162">
            <v>0.65000000000000568</v>
          </cell>
        </row>
        <row r="1163">
          <cell r="D1163">
            <v>43626</v>
          </cell>
          <cell r="AJ1163">
            <v>0.62999999999999545</v>
          </cell>
        </row>
        <row r="1164">
          <cell r="D1164">
            <v>43627</v>
          </cell>
          <cell r="AJ1164">
            <v>0.54999999999999716</v>
          </cell>
        </row>
        <row r="1165">
          <cell r="D1165">
            <v>43628</v>
          </cell>
          <cell r="AJ1165">
            <v>0.52000000000000313</v>
          </cell>
        </row>
        <row r="1166">
          <cell r="D1166">
            <v>43629</v>
          </cell>
          <cell r="AJ1166">
            <v>0.55999999999999517</v>
          </cell>
        </row>
        <row r="1167">
          <cell r="D1167">
            <v>43630</v>
          </cell>
          <cell r="AJ1167">
            <v>0.58999999999999631</v>
          </cell>
        </row>
        <row r="1168">
          <cell r="D1168">
            <v>43633</v>
          </cell>
          <cell r="AJ1168">
            <v>0.53000000000000114</v>
          </cell>
        </row>
        <row r="1169">
          <cell r="D1169">
            <v>43634</v>
          </cell>
          <cell r="AJ1169">
            <v>0.48000000000000398</v>
          </cell>
        </row>
        <row r="1170">
          <cell r="D1170">
            <v>43635</v>
          </cell>
          <cell r="AJ1170">
            <v>0.48999999999999488</v>
          </cell>
        </row>
        <row r="1171">
          <cell r="D1171">
            <v>43636</v>
          </cell>
          <cell r="AJ1171">
            <v>0.63000000000000966</v>
          </cell>
        </row>
        <row r="1172">
          <cell r="D1172">
            <v>43637</v>
          </cell>
          <cell r="AJ1172">
            <v>0.67999999999999261</v>
          </cell>
        </row>
        <row r="1173">
          <cell r="D1173">
            <v>43640</v>
          </cell>
          <cell r="AJ1173">
            <v>0.79000000000000625</v>
          </cell>
        </row>
        <row r="1174">
          <cell r="D1174">
            <v>43641</v>
          </cell>
          <cell r="AJ1174">
            <v>0.56999999999999318</v>
          </cell>
        </row>
        <row r="1175">
          <cell r="D1175">
            <v>43642</v>
          </cell>
          <cell r="AJ1175">
            <v>0.66999999999998749</v>
          </cell>
        </row>
        <row r="1176">
          <cell r="D1176">
            <v>43643</v>
          </cell>
          <cell r="AJ1176">
            <v>0.71999999999999886</v>
          </cell>
        </row>
        <row r="1177">
          <cell r="D1177">
            <v>43644</v>
          </cell>
          <cell r="AJ1177">
            <v>0.70999999999999375</v>
          </cell>
        </row>
        <row r="1178">
          <cell r="D1178">
            <v>43647</v>
          </cell>
          <cell r="AJ1178">
            <v>0.64000000000000057</v>
          </cell>
        </row>
        <row r="1179">
          <cell r="D1179">
            <v>43648</v>
          </cell>
          <cell r="AJ1179">
            <v>0.70999999999999375</v>
          </cell>
        </row>
        <row r="1180">
          <cell r="D1180">
            <v>43649</v>
          </cell>
          <cell r="AJ1180">
            <v>0.84999999999999432</v>
          </cell>
        </row>
        <row r="1181">
          <cell r="D1181">
            <v>43650</v>
          </cell>
          <cell r="AJ1181">
            <v>0.87999999999999545</v>
          </cell>
        </row>
        <row r="1182">
          <cell r="D1182">
            <v>43651</v>
          </cell>
          <cell r="AJ1182">
            <v>0.92000000000000171</v>
          </cell>
        </row>
        <row r="1183">
          <cell r="D1183">
            <v>43654</v>
          </cell>
          <cell r="AJ1183">
            <v>0.9100000000000108</v>
          </cell>
        </row>
        <row r="1184">
          <cell r="D1184">
            <v>43655</v>
          </cell>
          <cell r="AJ1184">
            <v>0.82999999999999829</v>
          </cell>
        </row>
        <row r="1185">
          <cell r="D1185">
            <v>43656</v>
          </cell>
          <cell r="AJ1185">
            <v>0.95000000000000284</v>
          </cell>
        </row>
        <row r="1186">
          <cell r="D1186">
            <v>43657</v>
          </cell>
          <cell r="AJ1186">
            <v>1.25</v>
          </cell>
        </row>
        <row r="1187">
          <cell r="D1187">
            <v>43658</v>
          </cell>
          <cell r="AJ1187">
            <v>1.2199999999999989</v>
          </cell>
        </row>
        <row r="1188">
          <cell r="D1188">
            <v>43661</v>
          </cell>
          <cell r="AJ1188">
            <v>1.2800000000000011</v>
          </cell>
        </row>
        <row r="1189">
          <cell r="D1189">
            <v>43662</v>
          </cell>
          <cell r="AJ1189">
            <v>1.4500000000000028</v>
          </cell>
        </row>
        <row r="1190">
          <cell r="D1190">
            <v>43663</v>
          </cell>
          <cell r="AJ1190">
            <v>1.3900000000000006</v>
          </cell>
        </row>
        <row r="1191">
          <cell r="D1191">
            <v>43664</v>
          </cell>
          <cell r="AJ1191">
            <v>1.5</v>
          </cell>
        </row>
        <row r="1192">
          <cell r="D1192">
            <v>43665</v>
          </cell>
          <cell r="AJ1192">
            <v>1.5499999999999972</v>
          </cell>
        </row>
        <row r="1193">
          <cell r="D1193">
            <v>43668</v>
          </cell>
          <cell r="AJ1193">
            <v>1.3999999999999915</v>
          </cell>
        </row>
        <row r="1194">
          <cell r="D1194">
            <v>43669</v>
          </cell>
          <cell r="AJ1194">
            <v>0.95000000000000284</v>
          </cell>
        </row>
        <row r="1195">
          <cell r="D1195">
            <v>43670</v>
          </cell>
          <cell r="AJ1195">
            <v>0.84000000000000341</v>
          </cell>
        </row>
        <row r="1196">
          <cell r="D1196">
            <v>43671</v>
          </cell>
          <cell r="AJ1196">
            <v>0.89999999999999147</v>
          </cell>
        </row>
        <row r="1197">
          <cell r="D1197">
            <v>43672</v>
          </cell>
          <cell r="AJ1197">
            <v>0.95999999999999375</v>
          </cell>
        </row>
        <row r="1198">
          <cell r="D1198">
            <v>43675</v>
          </cell>
          <cell r="AJ1198">
            <v>1.1700000000000017</v>
          </cell>
        </row>
        <row r="1199">
          <cell r="D1199">
            <v>43676</v>
          </cell>
          <cell r="AJ1199">
            <v>1.2000000000000028</v>
          </cell>
        </row>
        <row r="1200">
          <cell r="D1200">
            <v>43677</v>
          </cell>
          <cell r="AJ1200">
            <v>1.2700000000000102</v>
          </cell>
        </row>
        <row r="1201">
          <cell r="D1201">
            <v>43678</v>
          </cell>
          <cell r="AJ1201">
            <v>0.90999999999999659</v>
          </cell>
        </row>
        <row r="1202">
          <cell r="D1202">
            <v>43679</v>
          </cell>
          <cell r="AJ1202">
            <v>0.89999999999999147</v>
          </cell>
        </row>
        <row r="1203">
          <cell r="D1203">
            <v>43682</v>
          </cell>
          <cell r="AJ1203">
            <v>0.96999999999999886</v>
          </cell>
        </row>
        <row r="1204">
          <cell r="D1204">
            <v>43683</v>
          </cell>
          <cell r="AJ1204">
            <v>1.0000000000000071</v>
          </cell>
        </row>
        <row r="1205">
          <cell r="D1205">
            <v>43684</v>
          </cell>
          <cell r="AJ1205">
            <v>1.0900000000000034</v>
          </cell>
        </row>
        <row r="1206">
          <cell r="D1206">
            <v>43685</v>
          </cell>
          <cell r="AJ1206">
            <v>1.2399999999999949</v>
          </cell>
        </row>
        <row r="1207">
          <cell r="D1207">
            <v>43686</v>
          </cell>
          <cell r="AJ1207">
            <v>1.2700000000000031</v>
          </cell>
        </row>
        <row r="1208">
          <cell r="D1208">
            <v>43689</v>
          </cell>
          <cell r="AJ1208">
            <v>1.2700000000000031</v>
          </cell>
        </row>
        <row r="1209">
          <cell r="D1209">
            <v>43690</v>
          </cell>
          <cell r="AJ1209">
            <v>1.2700000000000031</v>
          </cell>
        </row>
        <row r="1210">
          <cell r="D1210">
            <v>43691</v>
          </cell>
          <cell r="AJ1210">
            <v>1.4300000000000068</v>
          </cell>
        </row>
        <row r="1211">
          <cell r="D1211">
            <v>43692</v>
          </cell>
          <cell r="AJ1211">
            <v>1.4399999999999977</v>
          </cell>
        </row>
        <row r="1212">
          <cell r="D1212">
            <v>43693</v>
          </cell>
          <cell r="AJ1212">
            <v>1.4399999999999977</v>
          </cell>
        </row>
        <row r="1213">
          <cell r="D1213">
            <v>43696</v>
          </cell>
          <cell r="AJ1213">
            <v>1.1799999999999997</v>
          </cell>
        </row>
        <row r="1214">
          <cell r="D1214">
            <v>43697</v>
          </cell>
          <cell r="AJ1214">
            <v>1.2100000000000009</v>
          </cell>
        </row>
        <row r="1215">
          <cell r="D1215">
            <v>43698</v>
          </cell>
          <cell r="AJ1215">
            <v>1.2299999999999969</v>
          </cell>
        </row>
        <row r="1216">
          <cell r="D1216">
            <v>43699</v>
          </cell>
          <cell r="AJ1216">
            <v>1.2899999999999991</v>
          </cell>
        </row>
        <row r="1217">
          <cell r="D1217">
            <v>43700</v>
          </cell>
          <cell r="AJ1217">
            <v>1.3599999999999923</v>
          </cell>
        </row>
        <row r="1218">
          <cell r="D1218">
            <v>43703</v>
          </cell>
          <cell r="AJ1218">
            <v>1.3999999999999986</v>
          </cell>
        </row>
        <row r="1219">
          <cell r="D1219">
            <v>43704</v>
          </cell>
          <cell r="AJ1219">
            <v>1.2999999999999972</v>
          </cell>
        </row>
        <row r="1220">
          <cell r="D1220">
            <v>43705</v>
          </cell>
          <cell r="AJ1220">
            <v>1.4000000000000057</v>
          </cell>
        </row>
        <row r="1221">
          <cell r="D1221">
            <v>43706</v>
          </cell>
          <cell r="AJ1221">
            <v>1.6500000000000057</v>
          </cell>
        </row>
        <row r="1222">
          <cell r="D1222">
            <v>43707</v>
          </cell>
          <cell r="AJ1222">
            <v>1.6500000000000057</v>
          </cell>
        </row>
        <row r="1223">
          <cell r="D1223">
            <v>43710</v>
          </cell>
          <cell r="AJ1223">
            <v>1.1299999999999955</v>
          </cell>
        </row>
        <row r="1224">
          <cell r="D1224">
            <v>43711</v>
          </cell>
          <cell r="AJ1224">
            <v>0.92999999999999972</v>
          </cell>
        </row>
        <row r="1225">
          <cell r="D1225">
            <v>43712</v>
          </cell>
          <cell r="AJ1225">
            <v>0.88000000000000256</v>
          </cell>
        </row>
        <row r="1226">
          <cell r="D1226">
            <v>43713</v>
          </cell>
          <cell r="AJ1226">
            <v>1.019999999999996</v>
          </cell>
        </row>
        <row r="1227">
          <cell r="D1227">
            <v>43714</v>
          </cell>
          <cell r="AJ1227">
            <v>1.1499999999999986</v>
          </cell>
        </row>
        <row r="1228">
          <cell r="D1228">
            <v>43717</v>
          </cell>
          <cell r="AJ1228">
            <v>1.2999999999999972</v>
          </cell>
        </row>
        <row r="1229">
          <cell r="D1229">
            <v>43718</v>
          </cell>
          <cell r="AJ1229">
            <v>1.2800000000000011</v>
          </cell>
        </row>
        <row r="1230">
          <cell r="D1230">
            <v>43719</v>
          </cell>
          <cell r="AJ1230">
            <v>1.3700000000000045</v>
          </cell>
        </row>
        <row r="1231">
          <cell r="D1231">
            <v>43720</v>
          </cell>
          <cell r="AJ1231">
            <v>1.6199999999999903</v>
          </cell>
        </row>
        <row r="1232">
          <cell r="D1232">
            <v>43721</v>
          </cell>
          <cell r="AJ1232">
            <v>1.730000000000004</v>
          </cell>
        </row>
        <row r="1233">
          <cell r="D1233">
            <v>43724</v>
          </cell>
          <cell r="AJ1233">
            <v>2.5499999999999972</v>
          </cell>
        </row>
        <row r="1234">
          <cell r="D1234">
            <v>43725</v>
          </cell>
          <cell r="AJ1234">
            <v>3.0499999999999972</v>
          </cell>
        </row>
        <row r="1235">
          <cell r="D1235">
            <v>43726</v>
          </cell>
          <cell r="AJ1235">
            <v>2.5</v>
          </cell>
        </row>
        <row r="1236">
          <cell r="D1236">
            <v>43727</v>
          </cell>
          <cell r="AJ1236">
            <v>2.7199999999999989</v>
          </cell>
        </row>
        <row r="1237">
          <cell r="D1237">
            <v>43728</v>
          </cell>
          <cell r="AJ1237">
            <v>2.8800000000000097</v>
          </cell>
        </row>
        <row r="1238">
          <cell r="D1238">
            <v>43731</v>
          </cell>
          <cell r="AJ1238">
            <v>2.4500000000000028</v>
          </cell>
        </row>
        <row r="1239">
          <cell r="D1239">
            <v>43732</v>
          </cell>
          <cell r="AJ1239">
            <v>2.4100000000000108</v>
          </cell>
        </row>
        <row r="1240">
          <cell r="D1240">
            <v>43733</v>
          </cell>
          <cell r="AJ1240">
            <v>2.3499999999999943</v>
          </cell>
        </row>
        <row r="1241">
          <cell r="D1241">
            <v>43734</v>
          </cell>
          <cell r="AJ1241">
            <v>2.1499999999999915</v>
          </cell>
        </row>
        <row r="1242">
          <cell r="D1242">
            <v>43735</v>
          </cell>
          <cell r="AJ1242">
            <v>2.4199999999999875</v>
          </cell>
        </row>
        <row r="1243">
          <cell r="D1243">
            <v>43738</v>
          </cell>
          <cell r="AJ1243">
            <v>2.5999999999999943</v>
          </cell>
        </row>
        <row r="1244">
          <cell r="D1244">
            <v>43739</v>
          </cell>
          <cell r="AJ1244">
            <v>1.6000000000000014</v>
          </cell>
        </row>
        <row r="1245">
          <cell r="D1245">
            <v>43740</v>
          </cell>
          <cell r="AJ1245">
            <v>1.6299999999999955</v>
          </cell>
        </row>
        <row r="1246">
          <cell r="D1246">
            <v>43741</v>
          </cell>
          <cell r="AJ1246">
            <v>1.9500000000000028</v>
          </cell>
        </row>
        <row r="1247">
          <cell r="D1247">
            <v>43742</v>
          </cell>
          <cell r="AJ1247">
            <v>2.0500000000000043</v>
          </cell>
        </row>
        <row r="1248">
          <cell r="D1248">
            <v>43745</v>
          </cell>
          <cell r="AJ1248">
            <v>1.9699999999999989</v>
          </cell>
        </row>
        <row r="1249">
          <cell r="D1249">
            <v>43746</v>
          </cell>
          <cell r="AJ1249">
            <v>2.009999999999998</v>
          </cell>
        </row>
        <row r="1250">
          <cell r="D1250">
            <v>43747</v>
          </cell>
          <cell r="AJ1250">
            <v>2.1199999999999974</v>
          </cell>
        </row>
        <row r="1251">
          <cell r="D1251">
            <v>43748</v>
          </cell>
          <cell r="AJ1251">
            <v>2.1500000000000057</v>
          </cell>
        </row>
        <row r="1252">
          <cell r="D1252">
            <v>43749</v>
          </cell>
          <cell r="AJ1252">
            <v>2.1799999999999926</v>
          </cell>
        </row>
        <row r="1253">
          <cell r="D1253">
            <v>43752</v>
          </cell>
          <cell r="AJ1253">
            <v>1.9499999999999886</v>
          </cell>
        </row>
        <row r="1254">
          <cell r="D1254">
            <v>43753</v>
          </cell>
          <cell r="AJ1254">
            <v>1.8300000000000125</v>
          </cell>
        </row>
        <row r="1255">
          <cell r="D1255">
            <v>43754</v>
          </cell>
          <cell r="AJ1255">
            <v>1.8500000000000085</v>
          </cell>
        </row>
        <row r="1256">
          <cell r="D1256">
            <v>43755</v>
          </cell>
          <cell r="AJ1256">
            <v>1.6300000000000097</v>
          </cell>
        </row>
        <row r="1257">
          <cell r="D1257">
            <v>43756</v>
          </cell>
          <cell r="AJ1257">
            <v>1.3500000000000085</v>
          </cell>
        </row>
        <row r="1258">
          <cell r="D1258">
            <v>43759</v>
          </cell>
          <cell r="AJ1258">
            <v>1.5399999999999991</v>
          </cell>
        </row>
        <row r="1259">
          <cell r="D1259">
            <v>43760</v>
          </cell>
          <cell r="AJ1259">
            <v>1.5000000000000071</v>
          </cell>
        </row>
        <row r="1260">
          <cell r="D1260">
            <v>43761</v>
          </cell>
          <cell r="AJ1260">
            <v>1.3000000000000043</v>
          </cell>
        </row>
        <row r="1261">
          <cell r="D1261">
            <v>43762</v>
          </cell>
          <cell r="AJ1261">
            <v>1.3700000000000045</v>
          </cell>
        </row>
        <row r="1262">
          <cell r="D1262">
            <v>43763</v>
          </cell>
          <cell r="AJ1262">
            <v>1.5</v>
          </cell>
        </row>
        <row r="1263">
          <cell r="D1263">
            <v>43766</v>
          </cell>
          <cell r="AJ1263">
            <v>1.539999999999992</v>
          </cell>
        </row>
        <row r="1264">
          <cell r="D1264">
            <v>43767</v>
          </cell>
          <cell r="AJ1264">
            <v>1.539999999999992</v>
          </cell>
        </row>
        <row r="1265">
          <cell r="D1265">
            <v>43768</v>
          </cell>
          <cell r="AJ1265">
            <v>1.4399999999999977</v>
          </cell>
        </row>
        <row r="1266">
          <cell r="D1266">
            <v>43769</v>
          </cell>
          <cell r="AJ1266">
            <v>1.4699999999999989</v>
          </cell>
        </row>
        <row r="1267">
          <cell r="D1267">
            <v>43770</v>
          </cell>
          <cell r="AJ1267">
            <v>0.38000000000000256</v>
          </cell>
        </row>
        <row r="1268">
          <cell r="D1268">
            <v>43773</v>
          </cell>
          <cell r="AJ1268">
            <v>0.39000000000000057</v>
          </cell>
        </row>
        <row r="1269">
          <cell r="D1269">
            <v>43774</v>
          </cell>
          <cell r="AJ1269">
            <v>0.37999999999999545</v>
          </cell>
        </row>
        <row r="1270">
          <cell r="D1270">
            <v>43775</v>
          </cell>
          <cell r="AJ1270">
            <v>0.46000000000000796</v>
          </cell>
        </row>
        <row r="1271">
          <cell r="D1271">
            <v>43776</v>
          </cell>
          <cell r="AJ1271">
            <v>0.84999999999999432</v>
          </cell>
        </row>
        <row r="1272">
          <cell r="D1272">
            <v>43777</v>
          </cell>
          <cell r="AJ1272">
            <v>0.81000000000000227</v>
          </cell>
        </row>
        <row r="1273">
          <cell r="D1273">
            <v>43780</v>
          </cell>
          <cell r="AJ1273">
            <v>1.0499999999999972</v>
          </cell>
        </row>
        <row r="1274">
          <cell r="D1274">
            <v>43781</v>
          </cell>
          <cell r="AJ1274">
            <v>1.3299999999999983</v>
          </cell>
        </row>
        <row r="1275">
          <cell r="D1275">
            <v>43782</v>
          </cell>
          <cell r="AJ1275">
            <v>1.25</v>
          </cell>
        </row>
        <row r="1276">
          <cell r="D1276">
            <v>43783</v>
          </cell>
          <cell r="AJ1276">
            <v>1.0700000000000074</v>
          </cell>
        </row>
        <row r="1277">
          <cell r="D1277">
            <v>43784</v>
          </cell>
          <cell r="AJ1277">
            <v>0.95000000000000284</v>
          </cell>
        </row>
        <row r="1278">
          <cell r="D1278">
            <v>43787</v>
          </cell>
          <cell r="AJ1278">
            <v>0.92000000000000171</v>
          </cell>
        </row>
        <row r="1279">
          <cell r="D1279">
            <v>43788</v>
          </cell>
          <cell r="AJ1279">
            <v>1.1700000000000017</v>
          </cell>
        </row>
        <row r="1280">
          <cell r="D1280">
            <v>43789</v>
          </cell>
          <cell r="AJ1280">
            <v>1.3999999999999915</v>
          </cell>
        </row>
        <row r="1281">
          <cell r="D1281">
            <v>43790</v>
          </cell>
          <cell r="AJ1281">
            <v>1.3700000000000045</v>
          </cell>
        </row>
        <row r="1282">
          <cell r="D1282">
            <v>43791</v>
          </cell>
          <cell r="AJ1282">
            <v>1.4000000000000057</v>
          </cell>
        </row>
        <row r="1283">
          <cell r="D1283">
            <v>43794</v>
          </cell>
          <cell r="AJ1283">
            <v>1.5600000000000023</v>
          </cell>
        </row>
        <row r="1284">
          <cell r="D1284">
            <v>43795</v>
          </cell>
          <cell r="AJ1284">
            <v>1.6000000000000085</v>
          </cell>
        </row>
        <row r="1285">
          <cell r="D1285">
            <v>43796</v>
          </cell>
          <cell r="AJ1285">
            <v>1.8200000000000074</v>
          </cell>
        </row>
        <row r="1286">
          <cell r="D1286">
            <v>43797</v>
          </cell>
          <cell r="AJ1286">
            <v>1.6400000000000006</v>
          </cell>
        </row>
        <row r="1287">
          <cell r="D1287">
            <v>43798</v>
          </cell>
          <cell r="AJ1287">
            <v>1.9200000000000017</v>
          </cell>
        </row>
        <row r="1288">
          <cell r="D1288">
            <v>43801</v>
          </cell>
          <cell r="AJ1288">
            <v>0.85000000000000853</v>
          </cell>
        </row>
        <row r="1289">
          <cell r="D1289">
            <v>43802</v>
          </cell>
          <cell r="AJ1289">
            <v>0.78000000000000114</v>
          </cell>
        </row>
        <row r="1290">
          <cell r="D1290">
            <v>43803</v>
          </cell>
          <cell r="AJ1290">
            <v>0.75</v>
          </cell>
        </row>
        <row r="1291">
          <cell r="D1291">
            <v>43804</v>
          </cell>
          <cell r="AJ1291">
            <v>0.96000000000000796</v>
          </cell>
        </row>
        <row r="1292">
          <cell r="D1292">
            <v>43805</v>
          </cell>
          <cell r="AJ1292">
            <v>1.1200000000000045</v>
          </cell>
        </row>
        <row r="1293">
          <cell r="D1293">
            <v>43808</v>
          </cell>
          <cell r="AJ1293">
            <v>0.89999999999999147</v>
          </cell>
        </row>
        <row r="1294">
          <cell r="D1294">
            <v>43809</v>
          </cell>
          <cell r="AJ1294">
            <v>0.79999999999999716</v>
          </cell>
        </row>
        <row r="1295">
          <cell r="D1295">
            <v>43810</v>
          </cell>
          <cell r="AJ1295">
            <v>0.79999999999999716</v>
          </cell>
        </row>
        <row r="1296">
          <cell r="D1296">
            <v>43811</v>
          </cell>
          <cell r="AJ1296">
            <v>0.64000000000000057</v>
          </cell>
        </row>
        <row r="1297">
          <cell r="D1297">
            <v>43812</v>
          </cell>
          <cell r="AJ1297">
            <v>0.66999999999998749</v>
          </cell>
        </row>
        <row r="1298">
          <cell r="D1298">
            <v>43815</v>
          </cell>
          <cell r="AJ1298">
            <v>0.59999999999999432</v>
          </cell>
        </row>
        <row r="1299">
          <cell r="D1299">
            <v>43816</v>
          </cell>
          <cell r="AJ1299">
            <v>0.57000000000000739</v>
          </cell>
        </row>
        <row r="1300">
          <cell r="D1300">
            <v>43817</v>
          </cell>
          <cell r="AJ1300">
            <v>0.34999999999999432</v>
          </cell>
        </row>
        <row r="1301">
          <cell r="D1301">
            <v>43818</v>
          </cell>
          <cell r="AJ1301">
            <v>0.29999999999999716</v>
          </cell>
        </row>
        <row r="1302">
          <cell r="D1302">
            <v>43819</v>
          </cell>
          <cell r="AJ1302">
            <v>0.4100000000000108</v>
          </cell>
        </row>
        <row r="1303">
          <cell r="D1303">
            <v>43822</v>
          </cell>
          <cell r="AJ1303">
            <v>0.5</v>
          </cell>
        </row>
        <row r="1304">
          <cell r="D1304">
            <v>43823</v>
          </cell>
          <cell r="AJ1304">
            <v>0.65999999999999659</v>
          </cell>
        </row>
        <row r="1305">
          <cell r="D1305">
            <v>43824</v>
          </cell>
          <cell r="AJ1305">
            <v>0.69999999999998863</v>
          </cell>
        </row>
        <row r="1306">
          <cell r="D1306">
            <v>43825</v>
          </cell>
          <cell r="AJ1306">
            <v>0.69999999999998863</v>
          </cell>
        </row>
        <row r="1307">
          <cell r="D1307">
            <v>43826</v>
          </cell>
          <cell r="AJ1307">
            <v>0.73999999999999488</v>
          </cell>
        </row>
        <row r="1308">
          <cell r="D1308">
            <v>43829</v>
          </cell>
          <cell r="AJ1308">
            <v>0.75</v>
          </cell>
        </row>
        <row r="1309">
          <cell r="D1309">
            <v>43830</v>
          </cell>
          <cell r="AJ1309">
            <v>0.53000000000000114</v>
          </cell>
        </row>
        <row r="1310">
          <cell r="D1310">
            <v>43831</v>
          </cell>
          <cell r="AJ1310">
            <v>0.5</v>
          </cell>
        </row>
        <row r="1311">
          <cell r="D1311">
            <v>43832</v>
          </cell>
          <cell r="AJ1311">
            <v>0.5</v>
          </cell>
        </row>
        <row r="1312">
          <cell r="D1312">
            <v>43833</v>
          </cell>
          <cell r="AJ1312">
            <v>0.60999999999999943</v>
          </cell>
        </row>
        <row r="1313">
          <cell r="D1313">
            <v>43836</v>
          </cell>
          <cell r="AJ1313">
            <v>0.59000000000000341</v>
          </cell>
        </row>
        <row r="1314">
          <cell r="D1314">
            <v>43837</v>
          </cell>
          <cell r="AJ1314">
            <v>0.39000000000000057</v>
          </cell>
        </row>
        <row r="1315">
          <cell r="D1315">
            <v>43838</v>
          </cell>
          <cell r="AJ1315">
            <v>9.9999999999994316E-2</v>
          </cell>
        </row>
        <row r="1316">
          <cell r="D1316">
            <v>43839</v>
          </cell>
          <cell r="AJ1316">
            <v>0.12999999999999545</v>
          </cell>
        </row>
        <row r="1317">
          <cell r="D1317">
            <v>43840</v>
          </cell>
          <cell r="AJ1317">
            <v>0.25</v>
          </cell>
        </row>
        <row r="1318">
          <cell r="D1318">
            <v>43843</v>
          </cell>
          <cell r="AJ1318">
            <v>0.37999999999999545</v>
          </cell>
        </row>
        <row r="1319">
          <cell r="D1319">
            <v>43844</v>
          </cell>
          <cell r="AJ1319">
            <v>0.32999999999999829</v>
          </cell>
        </row>
        <row r="1320">
          <cell r="D1320">
            <v>43845</v>
          </cell>
          <cell r="AJ1320">
            <v>7.9999999999998295E-2</v>
          </cell>
        </row>
        <row r="1321">
          <cell r="D1321">
            <v>43846</v>
          </cell>
          <cell r="AJ1321">
            <v>-6.9999999999993179E-2</v>
          </cell>
        </row>
        <row r="1322">
          <cell r="D1322">
            <v>43847</v>
          </cell>
          <cell r="AJ1322">
            <v>-4.9999999999997158E-2</v>
          </cell>
        </row>
        <row r="1323">
          <cell r="D1323">
            <v>43850</v>
          </cell>
          <cell r="AJ1323">
            <v>-6.0000000000002274E-2</v>
          </cell>
        </row>
        <row r="1324">
          <cell r="D1324">
            <v>43851</v>
          </cell>
          <cell r="AJ1324">
            <v>-0.15000000000000568</v>
          </cell>
        </row>
        <row r="1325">
          <cell r="D1325">
            <v>43852</v>
          </cell>
          <cell r="AJ1325">
            <v>-3.0000000000001137E-2</v>
          </cell>
        </row>
        <row r="1326">
          <cell r="D1326">
            <v>43853</v>
          </cell>
          <cell r="AJ1326">
            <v>4.9999999999997158E-2</v>
          </cell>
        </row>
        <row r="1327">
          <cell r="D1327">
            <v>43854</v>
          </cell>
          <cell r="AJ1327">
            <v>0.18000000000000682</v>
          </cell>
        </row>
        <row r="1328">
          <cell r="D1328">
            <v>43857</v>
          </cell>
          <cell r="AJ1328">
            <v>-3.0000000000001137E-2</v>
          </cell>
        </row>
        <row r="1329">
          <cell r="D1329">
            <v>43858</v>
          </cell>
          <cell r="AJ1329">
            <v>-3.0000000000001137E-2</v>
          </cell>
        </row>
        <row r="1330">
          <cell r="D1330">
            <v>43859</v>
          </cell>
          <cell r="AJ1330">
            <v>7.0000000000000284E-2</v>
          </cell>
        </row>
        <row r="1331">
          <cell r="D1331">
            <v>43860</v>
          </cell>
          <cell r="AJ1331">
            <v>0.10000000000000142</v>
          </cell>
        </row>
        <row r="1332">
          <cell r="D1332">
            <v>43861</v>
          </cell>
          <cell r="AJ1332">
            <v>0.32999999999999119</v>
          </cell>
        </row>
        <row r="1333">
          <cell r="D1333">
            <v>43864</v>
          </cell>
          <cell r="AJ1333">
            <v>0.60000000000000142</v>
          </cell>
        </row>
        <row r="1334">
          <cell r="D1334">
            <v>43865</v>
          </cell>
          <cell r="AJ1334">
            <v>0.5</v>
          </cell>
        </row>
        <row r="1335">
          <cell r="D1335">
            <v>43866</v>
          </cell>
          <cell r="AJ1335">
            <v>0.42999999999999972</v>
          </cell>
        </row>
        <row r="1336">
          <cell r="D1336">
            <v>43867</v>
          </cell>
          <cell r="AJ1336">
            <v>0.61999999999999744</v>
          </cell>
        </row>
        <row r="1337">
          <cell r="D1337">
            <v>43868</v>
          </cell>
          <cell r="AJ1337">
            <v>0.55000000000000426</v>
          </cell>
        </row>
        <row r="1338">
          <cell r="D1338">
            <v>43871</v>
          </cell>
          <cell r="AJ1338">
            <v>0.67999999999999972</v>
          </cell>
        </row>
        <row r="1339">
          <cell r="D1339">
            <v>43872</v>
          </cell>
          <cell r="AJ1339">
            <v>0.69000000000000483</v>
          </cell>
        </row>
        <row r="1340">
          <cell r="D1340">
            <v>43873</v>
          </cell>
          <cell r="AJ1340">
            <v>0.64999999999999858</v>
          </cell>
        </row>
        <row r="1341">
          <cell r="D1341">
            <v>43874</v>
          </cell>
          <cell r="AJ1341">
            <v>0.57999999999999829</v>
          </cell>
        </row>
        <row r="1342">
          <cell r="D1342">
            <v>43875</v>
          </cell>
          <cell r="AJ1342">
            <v>0.47999999999999687</v>
          </cell>
        </row>
        <row r="1343">
          <cell r="D1343">
            <v>43878</v>
          </cell>
          <cell r="AJ1343">
            <v>0.48000000000000398</v>
          </cell>
        </row>
        <row r="1344">
          <cell r="D1344">
            <v>43879</v>
          </cell>
          <cell r="AJ1344">
            <v>0.35999999999999943</v>
          </cell>
        </row>
        <row r="1345">
          <cell r="D1345">
            <v>43880</v>
          </cell>
          <cell r="AJ1345">
            <v>0.54999999999999716</v>
          </cell>
        </row>
        <row r="1346">
          <cell r="D1346">
            <v>43881</v>
          </cell>
          <cell r="AJ1346">
            <v>0.51999999999999602</v>
          </cell>
        </row>
        <row r="1347">
          <cell r="D1347">
            <v>43882</v>
          </cell>
          <cell r="AJ1347">
            <v>0.48000000000000398</v>
          </cell>
        </row>
        <row r="1348">
          <cell r="D1348">
            <v>43885</v>
          </cell>
          <cell r="AJ1348">
            <v>0.45000000000000284</v>
          </cell>
        </row>
        <row r="1349">
          <cell r="D1349">
            <v>43886</v>
          </cell>
          <cell r="AJ1349">
            <v>0.52000000000000313</v>
          </cell>
        </row>
        <row r="1350">
          <cell r="D1350">
            <v>43887</v>
          </cell>
          <cell r="AJ1350">
            <v>0.39999999999999858</v>
          </cell>
        </row>
        <row r="1351">
          <cell r="D1351">
            <v>43888</v>
          </cell>
          <cell r="AJ1351">
            <v>0.32000000000000028</v>
          </cell>
        </row>
        <row r="1352">
          <cell r="D1352">
            <v>43889</v>
          </cell>
          <cell r="AJ1352">
            <v>0.49000000000000199</v>
          </cell>
        </row>
        <row r="1353">
          <cell r="D1353">
            <v>43892</v>
          </cell>
          <cell r="AJ1353">
            <v>0.31000000000000227</v>
          </cell>
        </row>
        <row r="1354">
          <cell r="D1354">
            <v>43893</v>
          </cell>
          <cell r="AJ1354">
            <v>0.37000000000000455</v>
          </cell>
        </row>
        <row r="1355">
          <cell r="D1355">
            <v>43894</v>
          </cell>
          <cell r="AJ1355">
            <v>0.26000000000000512</v>
          </cell>
        </row>
        <row r="1356">
          <cell r="D1356">
            <v>43895</v>
          </cell>
          <cell r="AJ1356">
            <v>0.36999999999999744</v>
          </cell>
        </row>
        <row r="1357">
          <cell r="D1357">
            <v>43896</v>
          </cell>
          <cell r="AJ1357">
            <v>0.38000000000000256</v>
          </cell>
        </row>
        <row r="1358">
          <cell r="D1358">
            <v>43899</v>
          </cell>
          <cell r="AJ1358">
            <v>7.0000000000000284E-2</v>
          </cell>
        </row>
        <row r="1359">
          <cell r="D1359">
            <v>43900</v>
          </cell>
          <cell r="AJ1359">
            <v>7.0000000000000284E-2</v>
          </cell>
        </row>
        <row r="1360">
          <cell r="D1360">
            <v>43901</v>
          </cell>
          <cell r="AJ1360">
            <v>0.10999999999999943</v>
          </cell>
        </row>
        <row r="1361">
          <cell r="D1361">
            <v>43902</v>
          </cell>
          <cell r="AJ1361">
            <v>0</v>
          </cell>
        </row>
        <row r="1362">
          <cell r="D1362">
            <v>43903</v>
          </cell>
          <cell r="AJ1362">
            <v>-7.9999999999998295E-2</v>
          </cell>
        </row>
        <row r="1363">
          <cell r="D1363">
            <v>43906</v>
          </cell>
          <cell r="AJ1363">
            <v>-0.68999999999999773</v>
          </cell>
        </row>
        <row r="1364">
          <cell r="D1364">
            <v>43907</v>
          </cell>
          <cell r="AJ1364">
            <v>-0.75</v>
          </cell>
        </row>
        <row r="1365">
          <cell r="D1365">
            <v>43908</v>
          </cell>
          <cell r="AJ1365">
            <v>-1.0199999999999996</v>
          </cell>
        </row>
        <row r="1366">
          <cell r="D1366">
            <v>43909</v>
          </cell>
          <cell r="AJ1366">
            <v>-1.5</v>
          </cell>
        </row>
        <row r="1367">
          <cell r="D1367">
            <v>43910</v>
          </cell>
          <cell r="AJ1367">
            <v>-0.90000000000000213</v>
          </cell>
        </row>
        <row r="1368">
          <cell r="D1368">
            <v>43913</v>
          </cell>
          <cell r="AJ1368">
            <v>-1.4499999999999993</v>
          </cell>
        </row>
        <row r="1369">
          <cell r="D1369">
            <v>43914</v>
          </cell>
          <cell r="AJ1369">
            <v>-1.3000000000000007</v>
          </cell>
        </row>
        <row r="1370">
          <cell r="D1370">
            <v>43915</v>
          </cell>
          <cell r="AJ1370">
            <v>-1.5599999999999987</v>
          </cell>
        </row>
        <row r="1371">
          <cell r="D1371">
            <v>43916</v>
          </cell>
          <cell r="AJ1371">
            <v>-1.6400000000000006</v>
          </cell>
        </row>
        <row r="1372">
          <cell r="D1372">
            <v>43917</v>
          </cell>
          <cell r="AJ1372">
            <v>-1.3200000000000003</v>
          </cell>
        </row>
        <row r="1373">
          <cell r="D1373">
            <v>43920</v>
          </cell>
          <cell r="AJ1373">
            <v>-1.8999999999999986</v>
          </cell>
        </row>
        <row r="1374">
          <cell r="D1374">
            <v>43921</v>
          </cell>
          <cell r="AJ1374">
            <v>-1.9499999999999993</v>
          </cell>
        </row>
        <row r="1375">
          <cell r="D1375">
            <v>43922</v>
          </cell>
          <cell r="AJ1375">
            <v>-2.3500000000000014</v>
          </cell>
        </row>
        <row r="1376">
          <cell r="D1376">
            <v>43923</v>
          </cell>
          <cell r="AJ1376">
            <v>-2.5</v>
          </cell>
        </row>
        <row r="1377">
          <cell r="D1377">
            <v>43924</v>
          </cell>
          <cell r="AJ1377">
            <v>-2.8200000000000003</v>
          </cell>
        </row>
        <row r="1378">
          <cell r="D1378">
            <v>43927</v>
          </cell>
          <cell r="AJ1378">
            <v>-2.5500000000000007</v>
          </cell>
        </row>
        <row r="1379">
          <cell r="D1379">
            <v>43928</v>
          </cell>
          <cell r="AJ1379">
            <v>-2.5500000000000007</v>
          </cell>
        </row>
        <row r="1380">
          <cell r="D1380">
            <v>43929</v>
          </cell>
          <cell r="AJ1380">
            <v>-3.3000000000000007</v>
          </cell>
        </row>
        <row r="1381">
          <cell r="D1381">
            <v>43930</v>
          </cell>
          <cell r="AJ1381">
            <v>-3.2000000000000028</v>
          </cell>
        </row>
        <row r="1382">
          <cell r="D1382">
            <v>43931</v>
          </cell>
          <cell r="AJ1382">
            <v>-3.6000000000000014</v>
          </cell>
        </row>
        <row r="1383">
          <cell r="D1383">
            <v>43934</v>
          </cell>
          <cell r="AJ1383">
            <v>-3.6000000000000014</v>
          </cell>
        </row>
        <row r="1384">
          <cell r="D1384">
            <v>43935</v>
          </cell>
          <cell r="AJ1384">
            <v>-3.5199999999999996</v>
          </cell>
        </row>
        <row r="1385">
          <cell r="D1385">
            <v>43936</v>
          </cell>
          <cell r="AJ1385">
            <v>-3.3000000000000007</v>
          </cell>
        </row>
        <row r="1386">
          <cell r="D1386">
            <v>43937</v>
          </cell>
          <cell r="AJ1386">
            <v>-2.9400000000000013</v>
          </cell>
        </row>
        <row r="1387">
          <cell r="D1387">
            <v>43938</v>
          </cell>
          <cell r="AJ1387">
            <v>-2.8499999999999979</v>
          </cell>
        </row>
        <row r="1388">
          <cell r="D1388">
            <v>43941</v>
          </cell>
          <cell r="AJ1388">
            <v>-2.3500000000000014</v>
          </cell>
        </row>
        <row r="1389">
          <cell r="D1389">
            <v>43942</v>
          </cell>
          <cell r="AJ1389">
            <v>-2.8499999999999979</v>
          </cell>
        </row>
        <row r="1390">
          <cell r="D1390">
            <v>43943</v>
          </cell>
          <cell r="AJ1390">
            <v>-3.0499999999999989</v>
          </cell>
        </row>
        <row r="1391">
          <cell r="D1391">
            <v>43944</v>
          </cell>
          <cell r="AJ1391">
            <v>-2.4499999999999993</v>
          </cell>
        </row>
        <row r="1392">
          <cell r="D1392">
            <v>43945</v>
          </cell>
          <cell r="AJ1392">
            <v>-3</v>
          </cell>
        </row>
        <row r="1393">
          <cell r="D1393">
            <v>43948</v>
          </cell>
          <cell r="AJ1393">
            <v>-2.4499999999999993</v>
          </cell>
        </row>
        <row r="1394">
          <cell r="D1394">
            <v>43949</v>
          </cell>
          <cell r="AJ1394">
            <v>-2.5</v>
          </cell>
        </row>
        <row r="1395">
          <cell r="D1395">
            <v>43950</v>
          </cell>
          <cell r="AJ1395">
            <v>-2.3599999999999994</v>
          </cell>
        </row>
        <row r="1396">
          <cell r="D1396">
            <v>43951</v>
          </cell>
          <cell r="AJ1396">
            <v>-2.1999999999999993</v>
          </cell>
        </row>
        <row r="1397">
          <cell r="D1397">
            <v>43952</v>
          </cell>
          <cell r="AJ1397">
            <v>-2</v>
          </cell>
        </row>
        <row r="1398">
          <cell r="D1398">
            <v>43955</v>
          </cell>
          <cell r="AJ1398">
            <v>-2</v>
          </cell>
        </row>
        <row r="1399">
          <cell r="D1399">
            <v>43956</v>
          </cell>
          <cell r="AJ1399">
            <v>-1.7000000000000028</v>
          </cell>
        </row>
        <row r="1400">
          <cell r="D1400">
            <v>43957</v>
          </cell>
          <cell r="AJ1400">
            <v>-1.8299999999999983</v>
          </cell>
        </row>
        <row r="1401">
          <cell r="D1401">
            <v>43958</v>
          </cell>
          <cell r="AJ1401">
            <v>-1.5700000000000003</v>
          </cell>
        </row>
        <row r="1402">
          <cell r="D1402">
            <v>43959</v>
          </cell>
          <cell r="AJ1402">
            <v>-1.5700000000000003</v>
          </cell>
        </row>
        <row r="1403">
          <cell r="D1403">
            <v>43962</v>
          </cell>
          <cell r="AJ1403">
            <v>-1.0600000000000023</v>
          </cell>
        </row>
        <row r="1404">
          <cell r="D1404">
            <v>43963</v>
          </cell>
          <cell r="AJ1404">
            <v>-0.96999999999999886</v>
          </cell>
        </row>
        <row r="1405">
          <cell r="D1405">
            <v>43964</v>
          </cell>
          <cell r="AJ1405">
            <v>-1.1499999999999986</v>
          </cell>
        </row>
        <row r="1406">
          <cell r="D1406">
            <v>43965</v>
          </cell>
          <cell r="AJ1406">
            <v>-0.88000000000000256</v>
          </cell>
        </row>
        <row r="1407">
          <cell r="D1407">
            <v>43966</v>
          </cell>
          <cell r="AJ1407">
            <v>-0.79999999999999716</v>
          </cell>
        </row>
        <row r="1408">
          <cell r="D1408">
            <v>43969</v>
          </cell>
          <cell r="AJ1408">
            <v>-0.60000000000000142</v>
          </cell>
        </row>
        <row r="1409">
          <cell r="D1409">
            <v>43970</v>
          </cell>
          <cell r="AJ1409">
            <v>-0.46999999999999886</v>
          </cell>
        </row>
        <row r="1410">
          <cell r="D1410">
            <v>43971</v>
          </cell>
          <cell r="AJ1410">
            <v>-0.53000000000000114</v>
          </cell>
        </row>
        <row r="1411">
          <cell r="D1411">
            <v>43972</v>
          </cell>
          <cell r="AJ1411">
            <v>-0.5800000000000054</v>
          </cell>
        </row>
        <row r="1412">
          <cell r="D1412">
            <v>43973</v>
          </cell>
          <cell r="AJ1412">
            <v>-0.98000000000000398</v>
          </cell>
        </row>
        <row r="1413">
          <cell r="D1413">
            <v>43976</v>
          </cell>
          <cell r="AJ1413">
            <v>-1.1899999999999977</v>
          </cell>
        </row>
        <row r="1414">
          <cell r="D1414">
            <v>43977</v>
          </cell>
          <cell r="AJ1414">
            <v>-1.1899999999999977</v>
          </cell>
        </row>
        <row r="1415">
          <cell r="D1415">
            <v>43978</v>
          </cell>
          <cell r="AJ1415">
            <v>-1.230000000000004</v>
          </cell>
        </row>
        <row r="1416">
          <cell r="D1416">
            <v>43979</v>
          </cell>
          <cell r="AJ1416">
            <v>-1.1899999999999977</v>
          </cell>
        </row>
        <row r="1417">
          <cell r="D1417">
            <v>43980</v>
          </cell>
          <cell r="AJ1417">
            <v>-1</v>
          </cell>
        </row>
        <row r="1418">
          <cell r="D1418">
            <v>43983</v>
          </cell>
          <cell r="AJ1418">
            <v>-0.5800000000000054</v>
          </cell>
        </row>
        <row r="1419">
          <cell r="D1419">
            <v>43984</v>
          </cell>
          <cell r="AJ1419">
            <v>-0.5</v>
          </cell>
        </row>
        <row r="1420">
          <cell r="D1420">
            <v>43985</v>
          </cell>
          <cell r="AJ1420">
            <v>-0.21999999999999886</v>
          </cell>
        </row>
        <row r="1421">
          <cell r="D1421">
            <v>43986</v>
          </cell>
          <cell r="AJ1421">
            <v>-0.25999999999999801</v>
          </cell>
        </row>
        <row r="1422">
          <cell r="D1422">
            <v>43987</v>
          </cell>
          <cell r="AJ1422">
            <v>-0.15000000000000568</v>
          </cell>
        </row>
        <row r="1423">
          <cell r="D1423">
            <v>43990</v>
          </cell>
          <cell r="AJ1423">
            <v>0</v>
          </cell>
        </row>
        <row r="1424">
          <cell r="D1424">
            <v>43991</v>
          </cell>
          <cell r="AJ1424">
            <v>-3.0000000000001137E-2</v>
          </cell>
        </row>
        <row r="1425">
          <cell r="D1425">
            <v>43992</v>
          </cell>
          <cell r="AJ1425">
            <v>-0.11999999999999744</v>
          </cell>
        </row>
        <row r="1426">
          <cell r="D1426">
            <v>43993</v>
          </cell>
          <cell r="AJ1426">
            <v>-0.17999999999999972</v>
          </cell>
        </row>
        <row r="1427">
          <cell r="D1427">
            <v>43994</v>
          </cell>
          <cell r="AJ1427">
            <v>-0.21000000000000085</v>
          </cell>
        </row>
        <row r="1428">
          <cell r="D1428">
            <v>43997</v>
          </cell>
          <cell r="AJ1428">
            <v>-0.14000000000000057</v>
          </cell>
        </row>
        <row r="1429">
          <cell r="D1429">
            <v>43998</v>
          </cell>
          <cell r="AJ1429">
            <v>3.0000000000001137E-2</v>
          </cell>
        </row>
        <row r="1430">
          <cell r="D1430">
            <v>43999</v>
          </cell>
          <cell r="AJ1430">
            <v>0.30999999999999517</v>
          </cell>
        </row>
        <row r="1431">
          <cell r="D1431">
            <v>44000</v>
          </cell>
          <cell r="AJ1431">
            <v>0.39999999999999858</v>
          </cell>
        </row>
        <row r="1432">
          <cell r="D1432">
            <v>44001</v>
          </cell>
          <cell r="AJ1432">
            <v>0.31000000000000227</v>
          </cell>
        </row>
        <row r="1433">
          <cell r="D1433">
            <v>44004</v>
          </cell>
          <cell r="AJ1433">
            <v>0.28000000000000114</v>
          </cell>
        </row>
        <row r="1434">
          <cell r="D1434">
            <v>44005</v>
          </cell>
          <cell r="AJ1434">
            <v>0.33999999999999631</v>
          </cell>
        </row>
        <row r="1435">
          <cell r="D1435">
            <v>44006</v>
          </cell>
          <cell r="AJ1435">
            <v>0.32999999999999829</v>
          </cell>
        </row>
        <row r="1436">
          <cell r="D1436">
            <v>44007</v>
          </cell>
          <cell r="AJ1436">
            <v>4.9999999999997158E-2</v>
          </cell>
        </row>
        <row r="1437">
          <cell r="D1437">
            <v>44008</v>
          </cell>
          <cell r="AJ1437">
            <v>7.9999999999998295E-2</v>
          </cell>
        </row>
        <row r="1438">
          <cell r="D1438">
            <v>44011</v>
          </cell>
          <cell r="AJ1438">
            <v>5.0000000000004263E-2</v>
          </cell>
        </row>
        <row r="1439">
          <cell r="D1439">
            <v>44012</v>
          </cell>
          <cell r="AJ1439">
            <v>0.14999999999999858</v>
          </cell>
        </row>
        <row r="1440">
          <cell r="D1440">
            <v>44013</v>
          </cell>
          <cell r="AJ1440">
            <v>0.35000000000000142</v>
          </cell>
        </row>
        <row r="1441">
          <cell r="D1441">
            <v>44014</v>
          </cell>
          <cell r="AJ1441">
            <v>0.17999999999999972</v>
          </cell>
        </row>
        <row r="1442">
          <cell r="D1442">
            <v>44015</v>
          </cell>
          <cell r="AJ1442">
            <v>0.19000000000000483</v>
          </cell>
        </row>
        <row r="1443">
          <cell r="D1443">
            <v>44018</v>
          </cell>
          <cell r="AJ1443">
            <v>0.18000000000000682</v>
          </cell>
        </row>
        <row r="1444">
          <cell r="D1444">
            <v>44019</v>
          </cell>
          <cell r="AJ1444">
            <v>1.9999999999996021E-2</v>
          </cell>
        </row>
        <row r="1445">
          <cell r="D1445">
            <v>44020</v>
          </cell>
          <cell r="AJ1445">
            <v>9.0000000000003411E-2</v>
          </cell>
        </row>
        <row r="1446">
          <cell r="D1446">
            <v>44021</v>
          </cell>
          <cell r="AJ1446">
            <v>0.14999999999999858</v>
          </cell>
        </row>
        <row r="1447">
          <cell r="D1447">
            <v>44022</v>
          </cell>
          <cell r="AJ1447">
            <v>9.0000000000003411E-2</v>
          </cell>
        </row>
        <row r="1448">
          <cell r="D1448">
            <v>44025</v>
          </cell>
          <cell r="AJ1448">
            <v>9.0000000000003411E-2</v>
          </cell>
        </row>
        <row r="1449">
          <cell r="D1449">
            <v>44026</v>
          </cell>
          <cell r="AJ1449">
            <v>0</v>
          </cell>
        </row>
        <row r="1450">
          <cell r="D1450">
            <v>44027</v>
          </cell>
          <cell r="AJ1450">
            <v>4.9999999999997158E-2</v>
          </cell>
        </row>
        <row r="1451">
          <cell r="D1451">
            <v>44028</v>
          </cell>
          <cell r="AJ1451">
            <v>2.0000000000003126E-2</v>
          </cell>
        </row>
        <row r="1452">
          <cell r="D1452">
            <v>44029</v>
          </cell>
          <cell r="AJ1452">
            <v>-7.0000000000000284E-2</v>
          </cell>
        </row>
        <row r="1453">
          <cell r="D1453">
            <v>44032</v>
          </cell>
          <cell r="AJ1453">
            <v>-0.10000000000000142</v>
          </cell>
        </row>
        <row r="1454">
          <cell r="D1454">
            <v>44033</v>
          </cell>
          <cell r="AJ1454">
            <v>-0.25</v>
          </cell>
        </row>
        <row r="1455">
          <cell r="D1455">
            <v>44034</v>
          </cell>
          <cell r="AJ1455">
            <v>-0.32999999999999829</v>
          </cell>
        </row>
        <row r="1456">
          <cell r="D1456">
            <v>44035</v>
          </cell>
          <cell r="AJ1456">
            <v>-0.34000000000000341</v>
          </cell>
        </row>
        <row r="1457">
          <cell r="D1457">
            <v>44036</v>
          </cell>
          <cell r="AJ1457">
            <v>-0.21000000000000085</v>
          </cell>
        </row>
        <row r="1458">
          <cell r="D1458">
            <v>44039</v>
          </cell>
          <cell r="AJ1458">
            <v>-0.25</v>
          </cell>
        </row>
        <row r="1459">
          <cell r="D1459">
            <v>44040</v>
          </cell>
          <cell r="AJ1459">
            <v>-0.38000000000000256</v>
          </cell>
        </row>
        <row r="1460">
          <cell r="D1460">
            <v>44041</v>
          </cell>
          <cell r="AJ1460">
            <v>-0.32000000000000028</v>
          </cell>
        </row>
        <row r="1461">
          <cell r="D1461">
            <v>44042</v>
          </cell>
          <cell r="AJ1461">
            <v>-0.33999999999999631</v>
          </cell>
        </row>
        <row r="1462">
          <cell r="D1462">
            <v>44043</v>
          </cell>
          <cell r="AJ1462">
            <v>-0.25</v>
          </cell>
        </row>
        <row r="1463">
          <cell r="D1463">
            <v>44046</v>
          </cell>
          <cell r="AJ1463">
            <v>-0.25</v>
          </cell>
        </row>
        <row r="1464">
          <cell r="D1464">
            <v>44047</v>
          </cell>
          <cell r="AJ1464">
            <v>-0.14999999999999858</v>
          </cell>
        </row>
        <row r="1465">
          <cell r="D1465">
            <v>44048</v>
          </cell>
          <cell r="AJ1465">
            <v>-0.11999999999999744</v>
          </cell>
        </row>
        <row r="1466">
          <cell r="D1466">
            <v>44049</v>
          </cell>
          <cell r="AJ1466">
            <v>-4.9999999999997158E-2</v>
          </cell>
        </row>
        <row r="1467">
          <cell r="D1467">
            <v>44050</v>
          </cell>
          <cell r="AJ1467">
            <v>2.0000000000003126E-2</v>
          </cell>
        </row>
        <row r="1468">
          <cell r="D1468">
            <v>44053</v>
          </cell>
          <cell r="AJ1468">
            <v>0</v>
          </cell>
        </row>
        <row r="1469">
          <cell r="D1469">
            <v>44054</v>
          </cell>
          <cell r="AJ1469">
            <v>0</v>
          </cell>
        </row>
        <row r="1470">
          <cell r="D1470">
            <v>44055</v>
          </cell>
          <cell r="AJ1470">
            <v>-7.9999999999998295E-2</v>
          </cell>
        </row>
        <row r="1471">
          <cell r="D1471">
            <v>44056</v>
          </cell>
          <cell r="AJ1471">
            <v>-0.17000000000000171</v>
          </cell>
        </row>
        <row r="1472">
          <cell r="D1472">
            <v>44057</v>
          </cell>
          <cell r="AJ1472">
            <v>-0.10999999999999943</v>
          </cell>
        </row>
        <row r="1473">
          <cell r="D1473">
            <v>44060</v>
          </cell>
          <cell r="AJ1473">
            <v>-0.14000000000000057</v>
          </cell>
        </row>
        <row r="1474">
          <cell r="D1474">
            <v>44061</v>
          </cell>
          <cell r="AJ1474">
            <v>-7.0000000000000284E-2</v>
          </cell>
        </row>
        <row r="1475">
          <cell r="D1475">
            <v>44062</v>
          </cell>
          <cell r="AJ1475">
            <v>-9.9999999999994316E-2</v>
          </cell>
        </row>
        <row r="1476">
          <cell r="D1476">
            <v>44063</v>
          </cell>
          <cell r="AJ1476">
            <v>-9.9999999999994316E-2</v>
          </cell>
        </row>
        <row r="1477">
          <cell r="D1477">
            <v>44064</v>
          </cell>
          <cell r="AJ1477">
            <v>-7.9999999999998295E-2</v>
          </cell>
        </row>
        <row r="1478">
          <cell r="D1478">
            <v>44067</v>
          </cell>
          <cell r="AJ1478">
            <v>-7.0000000000000284E-2</v>
          </cell>
        </row>
        <row r="1479">
          <cell r="D1479">
            <v>44068</v>
          </cell>
          <cell r="AJ1479">
            <v>-0.11000000000000654</v>
          </cell>
        </row>
        <row r="1480">
          <cell r="D1480">
            <v>44069</v>
          </cell>
          <cell r="AJ1480">
            <v>-0.10999999999999943</v>
          </cell>
        </row>
        <row r="1481">
          <cell r="D1481">
            <v>44070</v>
          </cell>
          <cell r="AJ1481">
            <v>-0.10000000000000142</v>
          </cell>
        </row>
        <row r="1482">
          <cell r="D1482">
            <v>44071</v>
          </cell>
          <cell r="AJ1482">
            <v>-0.21000000000000085</v>
          </cell>
        </row>
        <row r="1483">
          <cell r="D1483">
            <v>44074</v>
          </cell>
          <cell r="AJ1483">
            <v>-0.15000000000000568</v>
          </cell>
        </row>
        <row r="1484">
          <cell r="D1484">
            <v>44075</v>
          </cell>
          <cell r="AJ1484">
            <v>-0.39999999999999858</v>
          </cell>
        </row>
        <row r="1485">
          <cell r="D1485">
            <v>44076</v>
          </cell>
          <cell r="AJ1485">
            <v>-0.38999999999999346</v>
          </cell>
        </row>
        <row r="1486">
          <cell r="D1486">
            <v>44077</v>
          </cell>
          <cell r="AJ1486">
            <v>-0.35999999999999943</v>
          </cell>
        </row>
        <row r="1487">
          <cell r="D1487">
            <v>44078</v>
          </cell>
          <cell r="AJ1487">
            <v>-0.39000000000000057</v>
          </cell>
        </row>
        <row r="1488">
          <cell r="D1488">
            <v>44081</v>
          </cell>
          <cell r="AJ1488">
            <v>-0.23999999999999488</v>
          </cell>
        </row>
        <row r="1489">
          <cell r="D1489">
            <v>44082</v>
          </cell>
          <cell r="AJ1489">
            <v>-0.17000000000000171</v>
          </cell>
        </row>
        <row r="1490">
          <cell r="D1490">
            <v>44083</v>
          </cell>
          <cell r="AJ1490">
            <v>-0.18000000000000682</v>
          </cell>
        </row>
        <row r="1491">
          <cell r="D1491">
            <v>44084</v>
          </cell>
          <cell r="AJ1491">
            <v>-0.26999999999999602</v>
          </cell>
        </row>
        <row r="1492">
          <cell r="D1492">
            <v>44085</v>
          </cell>
          <cell r="AJ1492">
            <v>-0.14999999999999858</v>
          </cell>
        </row>
        <row r="1493">
          <cell r="D1493">
            <v>44088</v>
          </cell>
          <cell r="AJ1493">
            <v>-3.0000000000001137E-2</v>
          </cell>
        </row>
        <row r="1494">
          <cell r="D1494">
            <v>44089</v>
          </cell>
          <cell r="AJ1494">
            <v>9.9999999999980105E-3</v>
          </cell>
        </row>
        <row r="1495">
          <cell r="D1495">
            <v>44090</v>
          </cell>
          <cell r="AJ1495">
            <v>1.9999999999996021E-2</v>
          </cell>
        </row>
        <row r="1496">
          <cell r="D1496">
            <v>44091</v>
          </cell>
          <cell r="AJ1496">
            <v>9.9999999999994316E-2</v>
          </cell>
        </row>
        <row r="1497">
          <cell r="D1497">
            <v>44092</v>
          </cell>
          <cell r="AJ1497">
            <v>0.35000000000000142</v>
          </cell>
        </row>
        <row r="1498">
          <cell r="D1498">
            <v>44095</v>
          </cell>
          <cell r="AJ1498">
            <v>0.21000000000000085</v>
          </cell>
        </row>
        <row r="1499">
          <cell r="D1499">
            <v>44096</v>
          </cell>
          <cell r="AJ1499">
            <v>0.17000000000000171</v>
          </cell>
        </row>
        <row r="1500">
          <cell r="D1500">
            <v>44097</v>
          </cell>
          <cell r="AJ1500">
            <v>0.24000000000000199</v>
          </cell>
        </row>
        <row r="1501">
          <cell r="D1501">
            <v>44098</v>
          </cell>
          <cell r="AJ1501">
            <v>0.27000000000000313</v>
          </cell>
        </row>
        <row r="1502">
          <cell r="D1502">
            <v>44099</v>
          </cell>
          <cell r="AJ1502">
            <v>0.35999999999999943</v>
          </cell>
        </row>
        <row r="1503">
          <cell r="D1503">
            <v>44102</v>
          </cell>
          <cell r="AJ1503">
            <v>0.5</v>
          </cell>
        </row>
        <row r="1504">
          <cell r="D1504">
            <v>44103</v>
          </cell>
          <cell r="AJ1504">
            <v>0.47999999999999687</v>
          </cell>
        </row>
        <row r="1505">
          <cell r="D1505">
            <v>44104</v>
          </cell>
          <cell r="AJ1505">
            <v>0.46999999999999886</v>
          </cell>
        </row>
        <row r="1506">
          <cell r="D1506">
            <v>44105</v>
          </cell>
          <cell r="AJ1506">
            <v>0.28000000000000114</v>
          </cell>
        </row>
        <row r="1507">
          <cell r="D1507">
            <v>44106</v>
          </cell>
          <cell r="AJ1507">
            <v>0.19000000000000483</v>
          </cell>
        </row>
        <row r="1508">
          <cell r="D1508">
            <v>44109</v>
          </cell>
          <cell r="AJ1508">
            <v>0.17999999999999972</v>
          </cell>
        </row>
        <row r="1509">
          <cell r="D1509">
            <v>44110</v>
          </cell>
          <cell r="AJ1509">
            <v>6.0000000000002274E-2</v>
          </cell>
        </row>
        <row r="1510">
          <cell r="D1510">
            <v>44111</v>
          </cell>
          <cell r="AJ1510">
            <v>-2.0000000000003126E-2</v>
          </cell>
        </row>
        <row r="1511">
          <cell r="D1511">
            <v>44112</v>
          </cell>
          <cell r="AJ1511">
            <v>-6.0000000000002274E-2</v>
          </cell>
        </row>
        <row r="1512">
          <cell r="D1512">
            <v>44113</v>
          </cell>
          <cell r="AJ1512">
            <v>-0.20000000000000284</v>
          </cell>
        </row>
        <row r="1513">
          <cell r="D1513">
            <v>44116</v>
          </cell>
          <cell r="AJ1513">
            <v>-0.30000000000000426</v>
          </cell>
        </row>
        <row r="1514">
          <cell r="D1514">
            <v>44117</v>
          </cell>
          <cell r="AJ1514">
            <v>-0.32000000000000028</v>
          </cell>
        </row>
        <row r="1515">
          <cell r="D1515">
            <v>44118</v>
          </cell>
          <cell r="AJ1515">
            <v>-0.40999999999999659</v>
          </cell>
        </row>
        <row r="1516">
          <cell r="D1516">
            <v>44119</v>
          </cell>
          <cell r="AJ1516">
            <v>-0.31000000000000227</v>
          </cell>
        </row>
        <row r="1517">
          <cell r="D1517">
            <v>44120</v>
          </cell>
          <cell r="AJ1517">
            <v>-0.29000000000000625</v>
          </cell>
        </row>
        <row r="1518">
          <cell r="D1518">
            <v>44123</v>
          </cell>
          <cell r="AJ1518">
            <v>-0.32000000000000028</v>
          </cell>
        </row>
        <row r="1519">
          <cell r="D1519">
            <v>44124</v>
          </cell>
          <cell r="AJ1519">
            <v>-0.22999999999999687</v>
          </cell>
        </row>
        <row r="1520">
          <cell r="D1520">
            <v>44125</v>
          </cell>
          <cell r="AJ1520">
            <v>-0.15999999999999659</v>
          </cell>
        </row>
        <row r="1521">
          <cell r="D1521">
            <v>44126</v>
          </cell>
          <cell r="AJ1521">
            <v>-0.16000000000000369</v>
          </cell>
        </row>
        <row r="1522">
          <cell r="D1522">
            <v>44127</v>
          </cell>
          <cell r="AJ1522">
            <v>-0.25999999999999801</v>
          </cell>
        </row>
        <row r="1523">
          <cell r="D1523">
            <v>44130</v>
          </cell>
          <cell r="AJ1523">
            <v>-0.19999999999999574</v>
          </cell>
        </row>
        <row r="1524">
          <cell r="D1524">
            <v>44131</v>
          </cell>
          <cell r="AJ1524">
            <v>-0.27000000000000313</v>
          </cell>
        </row>
        <row r="1525">
          <cell r="D1525">
            <v>44132</v>
          </cell>
          <cell r="AJ1525">
            <v>-0.21999999999999886</v>
          </cell>
        </row>
        <row r="1526">
          <cell r="D1526">
            <v>44133</v>
          </cell>
          <cell r="AJ1526">
            <v>-0.14999999999999858</v>
          </cell>
        </row>
        <row r="1527">
          <cell r="D1527">
            <v>44134</v>
          </cell>
          <cell r="AJ1527">
            <v>7.0000000000000284E-2</v>
          </cell>
        </row>
        <row r="1528">
          <cell r="D1528">
            <v>44137</v>
          </cell>
          <cell r="AJ1528">
            <v>-0.29999999999999716</v>
          </cell>
        </row>
        <row r="1529">
          <cell r="D1529">
            <v>44138</v>
          </cell>
          <cell r="AJ1529">
            <v>-0.38999999999999346</v>
          </cell>
        </row>
        <row r="1530">
          <cell r="D1530">
            <v>44139</v>
          </cell>
          <cell r="AJ1530">
            <v>-0.38000000000000256</v>
          </cell>
        </row>
        <row r="1531">
          <cell r="D1531">
            <v>44140</v>
          </cell>
          <cell r="AJ1531">
            <v>-0.38000000000000256</v>
          </cell>
        </row>
        <row r="1532">
          <cell r="D1532">
            <v>44141</v>
          </cell>
          <cell r="AJ1532">
            <v>-0.38000000000000256</v>
          </cell>
        </row>
        <row r="1533">
          <cell r="D1533">
            <v>44144</v>
          </cell>
          <cell r="AJ1533">
            <v>-0.35999999999999943</v>
          </cell>
        </row>
        <row r="1534">
          <cell r="D1534">
            <v>44145</v>
          </cell>
          <cell r="AJ1534">
            <v>-0.34999999999999432</v>
          </cell>
        </row>
        <row r="1535">
          <cell r="D1535">
            <v>44146</v>
          </cell>
          <cell r="AJ1535">
            <v>-0.32999999999999829</v>
          </cell>
        </row>
        <row r="1536">
          <cell r="D1536">
            <v>44147</v>
          </cell>
          <cell r="AJ1536">
            <v>-0.36999999999999744</v>
          </cell>
        </row>
        <row r="1537">
          <cell r="D1537">
            <v>44148</v>
          </cell>
          <cell r="AJ1537">
            <v>-0.39999999999999858</v>
          </cell>
        </row>
        <row r="1538">
          <cell r="D1538">
            <v>44151</v>
          </cell>
          <cell r="AJ1538">
            <v>-0.44000000000000483</v>
          </cell>
        </row>
        <row r="1539">
          <cell r="D1539">
            <v>44152</v>
          </cell>
          <cell r="AJ1539">
            <v>-0.47999999999999687</v>
          </cell>
        </row>
        <row r="1540">
          <cell r="D1540">
            <v>44153</v>
          </cell>
          <cell r="AJ1540">
            <v>-0.5</v>
          </cell>
        </row>
        <row r="1541">
          <cell r="D1541">
            <v>44154</v>
          </cell>
          <cell r="AJ1541">
            <v>-0.46999999999999886</v>
          </cell>
        </row>
        <row r="1542">
          <cell r="D1542">
            <v>44155</v>
          </cell>
          <cell r="AJ1542">
            <v>-0.39999999999999858</v>
          </cell>
        </row>
        <row r="1543">
          <cell r="D1543">
            <v>44158</v>
          </cell>
          <cell r="AJ1543">
            <v>-0.49000000000000199</v>
          </cell>
        </row>
        <row r="1544">
          <cell r="D1544">
            <v>44159</v>
          </cell>
          <cell r="AJ1544">
            <v>-0.44999999999999574</v>
          </cell>
        </row>
        <row r="1545">
          <cell r="D1545">
            <v>44160</v>
          </cell>
          <cell r="AJ1545">
            <v>-0.35000000000000142</v>
          </cell>
        </row>
        <row r="1546">
          <cell r="D1546">
            <v>44161</v>
          </cell>
          <cell r="AJ1546">
            <v>-0.27999999999999403</v>
          </cell>
        </row>
        <row r="1547">
          <cell r="D1547">
            <v>44162</v>
          </cell>
          <cell r="AJ1547">
            <v>-0.25999999999999801</v>
          </cell>
        </row>
        <row r="1548">
          <cell r="D1548">
            <v>44165</v>
          </cell>
          <cell r="AJ1548">
            <v>-0.28999999999999915</v>
          </cell>
        </row>
        <row r="1549">
          <cell r="D1549">
            <v>44166</v>
          </cell>
          <cell r="AJ1549">
            <v>-0.40999999999999659</v>
          </cell>
        </row>
        <row r="1550">
          <cell r="D1550">
            <v>44167</v>
          </cell>
          <cell r="AJ1550">
            <v>-0.37999999999999545</v>
          </cell>
        </row>
        <row r="1551">
          <cell r="D1551">
            <v>44168</v>
          </cell>
          <cell r="AJ1551">
            <v>-0.39999999999999858</v>
          </cell>
        </row>
        <row r="1552">
          <cell r="D1552">
            <v>44169</v>
          </cell>
          <cell r="AJ1552">
            <v>-0.38000000000000256</v>
          </cell>
        </row>
        <row r="1553">
          <cell r="D1553">
            <v>44172</v>
          </cell>
          <cell r="AJ1553">
            <v>-0.37999999999999545</v>
          </cell>
        </row>
        <row r="1554">
          <cell r="D1554">
            <v>44173</v>
          </cell>
          <cell r="AJ1554">
            <v>-0.42999999999999972</v>
          </cell>
        </row>
        <row r="1555">
          <cell r="D1555">
            <v>44174</v>
          </cell>
          <cell r="AJ1555">
            <v>-0.38000000000000256</v>
          </cell>
        </row>
        <row r="1556">
          <cell r="D1556">
            <v>44175</v>
          </cell>
          <cell r="AJ1556">
            <v>-0.32999999999999829</v>
          </cell>
        </row>
        <row r="1557">
          <cell r="D1557">
            <v>44176</v>
          </cell>
          <cell r="AJ1557">
            <v>-0.25</v>
          </cell>
        </row>
        <row r="1558">
          <cell r="D1558">
            <v>44179</v>
          </cell>
          <cell r="AJ1558">
            <v>-0.27000000000000313</v>
          </cell>
        </row>
        <row r="1559">
          <cell r="D1559">
            <v>44180</v>
          </cell>
          <cell r="AJ1559">
            <v>-0.29999999999999716</v>
          </cell>
        </row>
        <row r="1560">
          <cell r="D1560">
            <v>44181</v>
          </cell>
          <cell r="AJ1560">
            <v>-0.37999999999999545</v>
          </cell>
        </row>
        <row r="1561">
          <cell r="D1561">
            <v>44182</v>
          </cell>
          <cell r="AJ1561">
            <v>-0.33999999999999631</v>
          </cell>
        </row>
        <row r="1562">
          <cell r="D1562">
            <v>44183</v>
          </cell>
          <cell r="AJ1562">
            <v>-0.28999999999999915</v>
          </cell>
        </row>
        <row r="1563">
          <cell r="D1563">
            <v>44186</v>
          </cell>
          <cell r="AJ1563">
            <v>-0.35999999999999943</v>
          </cell>
        </row>
        <row r="1564">
          <cell r="D1564">
            <v>44187</v>
          </cell>
          <cell r="AJ1564">
            <v>-0.27000000000000313</v>
          </cell>
        </row>
        <row r="1565">
          <cell r="D1565">
            <v>44188</v>
          </cell>
          <cell r="AJ1565">
            <v>-0.17999999999999972</v>
          </cell>
        </row>
        <row r="1566">
          <cell r="D1566">
            <v>44189</v>
          </cell>
          <cell r="AJ1566">
            <v>-0.1699999999999946</v>
          </cell>
        </row>
        <row r="1567">
          <cell r="D1567">
            <v>44190</v>
          </cell>
          <cell r="AJ1567">
            <v>-0.20000000000000284</v>
          </cell>
        </row>
        <row r="1568">
          <cell r="D1568">
            <v>44193</v>
          </cell>
          <cell r="AJ1568">
            <v>-0.20000000000000284</v>
          </cell>
        </row>
        <row r="1569">
          <cell r="D1569">
            <v>44194</v>
          </cell>
          <cell r="AJ1569">
            <v>-0.24000000000000199</v>
          </cell>
        </row>
        <row r="1570">
          <cell r="D1570">
            <v>44195</v>
          </cell>
          <cell r="AJ1570">
            <v>-0.22000000000000597</v>
          </cell>
        </row>
        <row r="1571">
          <cell r="D1571">
            <v>44196</v>
          </cell>
          <cell r="AJ1571">
            <v>-0.20000000000000284</v>
          </cell>
        </row>
        <row r="1572">
          <cell r="D1572">
            <v>44197</v>
          </cell>
          <cell r="AJ1572">
            <v>-0.14000000000000057</v>
          </cell>
        </row>
        <row r="1573">
          <cell r="D1573">
            <v>44200</v>
          </cell>
          <cell r="AJ1573">
            <v>-0.14000000000000057</v>
          </cell>
        </row>
        <row r="1574">
          <cell r="D1574">
            <v>44201</v>
          </cell>
          <cell r="AJ1574">
            <v>-0.15999999999999659</v>
          </cell>
        </row>
        <row r="1575">
          <cell r="D1575">
            <v>44202</v>
          </cell>
          <cell r="AJ1575">
            <v>-0.13000000000000256</v>
          </cell>
        </row>
        <row r="1576">
          <cell r="D1576">
            <v>44203</v>
          </cell>
          <cell r="AJ1576">
            <v>-7.0000000000000284E-2</v>
          </cell>
        </row>
        <row r="1577">
          <cell r="D1577">
            <v>44204</v>
          </cell>
          <cell r="AJ1577">
            <v>-7.9999999999998295E-2</v>
          </cell>
        </row>
        <row r="1578">
          <cell r="D1578">
            <v>44207</v>
          </cell>
          <cell r="AJ1578">
            <v>-0.14999999999999858</v>
          </cell>
        </row>
        <row r="1579">
          <cell r="D1579">
            <v>44208</v>
          </cell>
          <cell r="AJ1579">
            <v>-0.12999999999999545</v>
          </cell>
        </row>
        <row r="1580">
          <cell r="D1580">
            <v>44209</v>
          </cell>
          <cell r="AJ1580">
            <v>-0.15999999999999659</v>
          </cell>
        </row>
        <row r="1581">
          <cell r="D1581">
            <v>44210</v>
          </cell>
          <cell r="AJ1581">
            <v>-0.22999999999999687</v>
          </cell>
        </row>
        <row r="1582">
          <cell r="D1582">
            <v>44211</v>
          </cell>
          <cell r="AJ1582">
            <v>-0.35000000000000142</v>
          </cell>
        </row>
        <row r="1583">
          <cell r="D1583">
            <v>44214</v>
          </cell>
          <cell r="AJ1583">
            <v>-0.3300000000000054</v>
          </cell>
        </row>
        <row r="1584">
          <cell r="D1584">
            <v>44215</v>
          </cell>
          <cell r="AJ1584">
            <v>-0.25</v>
          </cell>
        </row>
        <row r="1585">
          <cell r="D1585">
            <v>44216</v>
          </cell>
          <cell r="AJ1585">
            <v>-0.20000000000000284</v>
          </cell>
        </row>
        <row r="1586">
          <cell r="D1586">
            <v>44217</v>
          </cell>
          <cell r="AJ1586">
            <v>-0.19000000000000483</v>
          </cell>
        </row>
        <row r="1587">
          <cell r="D1587">
            <v>44218</v>
          </cell>
          <cell r="AJ1587">
            <v>-0.21999999999999886</v>
          </cell>
        </row>
        <row r="1588">
          <cell r="D1588">
            <v>44221</v>
          </cell>
          <cell r="AJ1588">
            <v>-0.17999999999999972</v>
          </cell>
        </row>
        <row r="1589">
          <cell r="D1589">
            <v>44222</v>
          </cell>
          <cell r="AJ1589">
            <v>-0.18999999999999773</v>
          </cell>
        </row>
        <row r="1590">
          <cell r="D1590">
            <v>44223</v>
          </cell>
          <cell r="AJ1590">
            <v>-0.10000000000000142</v>
          </cell>
        </row>
        <row r="1591">
          <cell r="D1591">
            <v>44224</v>
          </cell>
          <cell r="AJ1591">
            <v>-9.0000000000003411E-2</v>
          </cell>
        </row>
        <row r="1592">
          <cell r="D1592">
            <v>44225</v>
          </cell>
          <cell r="AJ1592">
            <v>-0.10999999999999943</v>
          </cell>
        </row>
        <row r="1593">
          <cell r="D1593">
            <v>44228</v>
          </cell>
          <cell r="AJ1593">
            <v>0.10999999999999943</v>
          </cell>
        </row>
        <row r="1594">
          <cell r="D1594">
            <v>44229</v>
          </cell>
          <cell r="AJ1594">
            <v>7.0000000000000284E-2</v>
          </cell>
        </row>
        <row r="1595">
          <cell r="D1595">
            <v>44230</v>
          </cell>
          <cell r="AJ1595">
            <v>0.17000000000000171</v>
          </cell>
        </row>
        <row r="1596">
          <cell r="D1596">
            <v>44231</v>
          </cell>
          <cell r="AJ1596">
            <v>0.17000000000000171</v>
          </cell>
        </row>
        <row r="1597">
          <cell r="D1597">
            <v>44232</v>
          </cell>
          <cell r="AJ1597">
            <v>0.21999999999999886</v>
          </cell>
        </row>
        <row r="1598">
          <cell r="D1598">
            <v>44235</v>
          </cell>
          <cell r="AJ1598">
            <v>0.17000000000000171</v>
          </cell>
        </row>
        <row r="1599">
          <cell r="D1599">
            <v>44236</v>
          </cell>
          <cell r="AJ1599">
            <v>6.0000000000002274E-2</v>
          </cell>
        </row>
        <row r="1600">
          <cell r="D1600">
            <v>44237</v>
          </cell>
          <cell r="AJ1600">
            <v>-3.0000000000001137E-2</v>
          </cell>
        </row>
        <row r="1601">
          <cell r="D1601">
            <v>44238</v>
          </cell>
          <cell r="AJ1601">
            <v>-0.12000000000000455</v>
          </cell>
        </row>
        <row r="1602">
          <cell r="D1602">
            <v>44239</v>
          </cell>
          <cell r="AJ1602">
            <v>-1.9999999999996021E-2</v>
          </cell>
        </row>
        <row r="1603">
          <cell r="D1603">
            <v>44242</v>
          </cell>
          <cell r="AJ1603">
            <v>-1.9999999999996021E-2</v>
          </cell>
        </row>
        <row r="1604">
          <cell r="D1604">
            <v>44243</v>
          </cell>
          <cell r="AJ1604">
            <v>6.0000000000002274E-2</v>
          </cell>
        </row>
        <row r="1605">
          <cell r="D1605">
            <v>44244</v>
          </cell>
          <cell r="AJ1605">
            <v>9.9999999999994316E-2</v>
          </cell>
        </row>
        <row r="1606">
          <cell r="D1606">
            <v>44245</v>
          </cell>
          <cell r="AJ1606">
            <v>0.21000000000000796</v>
          </cell>
        </row>
        <row r="1607">
          <cell r="D1607">
            <v>44246</v>
          </cell>
          <cell r="AJ1607">
            <v>0.25999999999999091</v>
          </cell>
        </row>
        <row r="1608">
          <cell r="D1608">
            <v>44249</v>
          </cell>
          <cell r="AJ1608">
            <v>0.25</v>
          </cell>
        </row>
        <row r="1609">
          <cell r="D1609">
            <v>44250</v>
          </cell>
          <cell r="AJ1609">
            <v>0.25999999999999091</v>
          </cell>
        </row>
        <row r="1610">
          <cell r="D1610">
            <v>44251</v>
          </cell>
          <cell r="AJ1610">
            <v>0.18999999999999773</v>
          </cell>
        </row>
        <row r="1611">
          <cell r="D1611">
            <v>44252</v>
          </cell>
          <cell r="AJ1611">
            <v>0.21999999999999886</v>
          </cell>
        </row>
        <row r="1612">
          <cell r="D1612">
            <v>44253</v>
          </cell>
          <cell r="AJ1612">
            <v>0.21999999999999886</v>
          </cell>
        </row>
        <row r="1613">
          <cell r="D1613">
            <v>44256</v>
          </cell>
          <cell r="AJ1613">
            <v>0.35999999999999943</v>
          </cell>
        </row>
        <row r="1614">
          <cell r="D1614">
            <v>44257</v>
          </cell>
          <cell r="AJ1614">
            <v>0.31999999999999318</v>
          </cell>
        </row>
        <row r="1615">
          <cell r="D1615">
            <v>44258</v>
          </cell>
          <cell r="AJ1615">
            <v>0.21999999999999886</v>
          </cell>
        </row>
        <row r="1616">
          <cell r="D1616">
            <v>44259</v>
          </cell>
          <cell r="AJ1616">
            <v>0.23999999999999488</v>
          </cell>
        </row>
        <row r="1617">
          <cell r="D1617">
            <v>44260</v>
          </cell>
          <cell r="AJ1617">
            <v>0.27000000000001023</v>
          </cell>
        </row>
        <row r="1618">
          <cell r="D1618">
            <v>44263</v>
          </cell>
          <cell r="AJ1618">
            <v>0.29999999999999716</v>
          </cell>
        </row>
        <row r="1619">
          <cell r="D1619">
            <v>44264</v>
          </cell>
          <cell r="AJ1619">
            <v>0.18000000000000682</v>
          </cell>
        </row>
        <row r="1620">
          <cell r="D1620">
            <v>44265</v>
          </cell>
          <cell r="AJ1620">
            <v>0.20999999999999375</v>
          </cell>
        </row>
        <row r="1621">
          <cell r="D1621">
            <v>44266</v>
          </cell>
          <cell r="AJ1621">
            <v>0.25</v>
          </cell>
        </row>
        <row r="1622">
          <cell r="D1622">
            <v>44267</v>
          </cell>
          <cell r="AJ1622">
            <v>0.37000000000000455</v>
          </cell>
        </row>
        <row r="1623">
          <cell r="D1623">
            <v>44270</v>
          </cell>
          <cell r="AJ1623">
            <v>0.40000000000000568</v>
          </cell>
        </row>
        <row r="1624">
          <cell r="D1624">
            <v>44271</v>
          </cell>
          <cell r="AJ1624">
            <v>0.38000000000000966</v>
          </cell>
        </row>
        <row r="1625">
          <cell r="D1625">
            <v>44272</v>
          </cell>
          <cell r="AJ1625">
            <v>0.38000000000000966</v>
          </cell>
        </row>
        <row r="1626">
          <cell r="D1626">
            <v>44273</v>
          </cell>
          <cell r="AJ1626">
            <v>0.26000000000000512</v>
          </cell>
        </row>
        <row r="1627">
          <cell r="D1627">
            <v>44274</v>
          </cell>
          <cell r="AJ1627">
            <v>0.29000000000000625</v>
          </cell>
        </row>
        <row r="1628">
          <cell r="D1628">
            <v>44277</v>
          </cell>
          <cell r="AJ1628">
            <v>0.34000000000000341</v>
          </cell>
        </row>
        <row r="1629">
          <cell r="D1629">
            <v>44278</v>
          </cell>
          <cell r="AJ1629">
            <v>0.32000000000000739</v>
          </cell>
        </row>
        <row r="1630">
          <cell r="D1630">
            <v>44279</v>
          </cell>
          <cell r="AJ1630">
            <v>0.26000000000000512</v>
          </cell>
        </row>
        <row r="1631">
          <cell r="D1631">
            <v>44280</v>
          </cell>
          <cell r="AJ1631">
            <v>0.28000000000000114</v>
          </cell>
        </row>
        <row r="1632">
          <cell r="D1632">
            <v>44281</v>
          </cell>
          <cell r="AJ1632">
            <v>0.28999999999999204</v>
          </cell>
        </row>
        <row r="1633">
          <cell r="D1633">
            <v>44284</v>
          </cell>
          <cell r="AJ1633">
            <v>0.40999999999999659</v>
          </cell>
        </row>
        <row r="1634">
          <cell r="D1634">
            <v>44285</v>
          </cell>
          <cell r="AJ1634">
            <v>0.43000000000000682</v>
          </cell>
        </row>
        <row r="1635">
          <cell r="D1635">
            <v>44286</v>
          </cell>
          <cell r="AJ1635">
            <v>0.45999999999999375</v>
          </cell>
        </row>
        <row r="1636">
          <cell r="D1636">
            <v>44287</v>
          </cell>
          <cell r="AJ1636">
            <v>0.56999999999999318</v>
          </cell>
        </row>
        <row r="1637">
          <cell r="D1637">
            <v>44288</v>
          </cell>
          <cell r="AJ1637">
            <v>0.60999999999999943</v>
          </cell>
        </row>
        <row r="1638">
          <cell r="D1638">
            <v>44291</v>
          </cell>
          <cell r="AJ1638">
            <v>0.60999999999999943</v>
          </cell>
        </row>
        <row r="1639">
          <cell r="D1639">
            <v>44292</v>
          </cell>
          <cell r="AJ1639">
            <v>0.56999999999999318</v>
          </cell>
        </row>
        <row r="1640">
          <cell r="D1640">
            <v>44293</v>
          </cell>
          <cell r="AJ1640">
            <v>0.53999999999999204</v>
          </cell>
        </row>
        <row r="1641">
          <cell r="D1641">
            <v>44294</v>
          </cell>
          <cell r="AJ1641">
            <v>0.55000000000001137</v>
          </cell>
        </row>
        <row r="1642">
          <cell r="D1642">
            <v>44295</v>
          </cell>
          <cell r="AJ1642">
            <v>0.56000000000000227</v>
          </cell>
        </row>
        <row r="1643">
          <cell r="D1643">
            <v>44298</v>
          </cell>
          <cell r="AJ1643">
            <v>0.59000000000000341</v>
          </cell>
        </row>
        <row r="1644">
          <cell r="D1644">
            <v>44299</v>
          </cell>
          <cell r="AJ1644">
            <v>0.57999999999999829</v>
          </cell>
        </row>
        <row r="1645">
          <cell r="D1645">
            <v>44300</v>
          </cell>
          <cell r="AJ1645">
            <v>0.64999999999999147</v>
          </cell>
        </row>
        <row r="1646">
          <cell r="D1646">
            <v>44301</v>
          </cell>
          <cell r="AJ1646">
            <v>0.65000000000000568</v>
          </cell>
        </row>
        <row r="1647">
          <cell r="D1647">
            <v>44302</v>
          </cell>
          <cell r="AJ1647">
            <v>0.62999999999999545</v>
          </cell>
        </row>
        <row r="1648">
          <cell r="D1648">
            <v>44305</v>
          </cell>
          <cell r="AJ1648">
            <v>0.6600000000000108</v>
          </cell>
        </row>
        <row r="1649">
          <cell r="D1649">
            <v>44306</v>
          </cell>
          <cell r="AJ1649">
            <v>0.73000000000000398</v>
          </cell>
        </row>
        <row r="1650">
          <cell r="D1650">
            <v>44307</v>
          </cell>
          <cell r="AJ1650">
            <v>0.68999999999999773</v>
          </cell>
        </row>
        <row r="1651">
          <cell r="D1651">
            <v>44308</v>
          </cell>
          <cell r="AJ1651">
            <v>0.63999999999998636</v>
          </cell>
        </row>
        <row r="1652">
          <cell r="D1652">
            <v>44309</v>
          </cell>
          <cell r="AJ1652">
            <v>0.65000000000000568</v>
          </cell>
        </row>
        <row r="1653">
          <cell r="D1653">
            <v>44312</v>
          </cell>
          <cell r="AJ1653">
            <v>0.51999999999999602</v>
          </cell>
        </row>
        <row r="1654">
          <cell r="D1654">
            <v>44313</v>
          </cell>
          <cell r="AJ1654">
            <v>0.40000000000000568</v>
          </cell>
        </row>
        <row r="1655">
          <cell r="D1655">
            <v>44314</v>
          </cell>
          <cell r="AJ1655">
            <v>0.52000000000001023</v>
          </cell>
        </row>
        <row r="1656">
          <cell r="D1656">
            <v>44315</v>
          </cell>
          <cell r="AJ1656">
            <v>0.57999999999999829</v>
          </cell>
        </row>
        <row r="1657">
          <cell r="D1657">
            <v>44316</v>
          </cell>
          <cell r="AJ1657">
            <v>0.53000000000000114</v>
          </cell>
        </row>
        <row r="1658">
          <cell r="D1658">
            <v>44319</v>
          </cell>
          <cell r="AJ1658">
            <v>0.55999999999998806</v>
          </cell>
        </row>
        <row r="1659">
          <cell r="D1659">
            <v>44320</v>
          </cell>
          <cell r="AJ1659">
            <v>0.54999999999999716</v>
          </cell>
        </row>
        <row r="1660">
          <cell r="D1660">
            <v>44321</v>
          </cell>
          <cell r="AJ1660">
            <v>0.59000000000000341</v>
          </cell>
        </row>
        <row r="1661">
          <cell r="D1661">
            <v>44322</v>
          </cell>
          <cell r="AJ1661">
            <v>0.56000000000000227</v>
          </cell>
        </row>
        <row r="1662">
          <cell r="D1662">
            <v>44323</v>
          </cell>
          <cell r="AJ1662">
            <v>0.5</v>
          </cell>
        </row>
        <row r="1663">
          <cell r="D1663">
            <v>44326</v>
          </cell>
          <cell r="AJ1663">
            <v>0.45000000000000284</v>
          </cell>
        </row>
        <row r="1664">
          <cell r="D1664">
            <v>44327</v>
          </cell>
          <cell r="AJ1664">
            <v>0.32999999999999829</v>
          </cell>
        </row>
        <row r="1665">
          <cell r="D1665">
            <v>44328</v>
          </cell>
          <cell r="AJ1665">
            <v>0.39999999999999147</v>
          </cell>
        </row>
        <row r="1666">
          <cell r="D1666">
            <v>44329</v>
          </cell>
          <cell r="AJ1666">
            <v>0.17999999999999261</v>
          </cell>
        </row>
        <row r="1667">
          <cell r="D1667">
            <v>44330</v>
          </cell>
          <cell r="AJ1667">
            <v>0.17999999999999261</v>
          </cell>
        </row>
        <row r="1668">
          <cell r="D1668">
            <v>44333</v>
          </cell>
          <cell r="AJ1668">
            <v>0.25</v>
          </cell>
        </row>
        <row r="1669">
          <cell r="D1669">
            <v>44334</v>
          </cell>
          <cell r="AJ1669">
            <v>0.37999999999999545</v>
          </cell>
        </row>
        <row r="1670">
          <cell r="D1670">
            <v>44335</v>
          </cell>
          <cell r="AJ1670">
            <v>0.39999999999999147</v>
          </cell>
        </row>
        <row r="1671">
          <cell r="D1671">
            <v>44336</v>
          </cell>
          <cell r="AJ1671">
            <v>0.51000000000000512</v>
          </cell>
        </row>
        <row r="1672">
          <cell r="D1672">
            <v>44337</v>
          </cell>
          <cell r="AJ1672">
            <v>0.39000000000000057</v>
          </cell>
        </row>
        <row r="1673">
          <cell r="D1673">
            <v>44340</v>
          </cell>
          <cell r="AJ1673">
            <v>0.48000000000000398</v>
          </cell>
        </row>
        <row r="1674">
          <cell r="D1674">
            <v>44341</v>
          </cell>
          <cell r="AJ1674">
            <v>0.45000000000000284</v>
          </cell>
        </row>
        <row r="1675">
          <cell r="D1675">
            <v>44342</v>
          </cell>
          <cell r="AJ1675">
            <v>0.45000000000000284</v>
          </cell>
        </row>
        <row r="1676">
          <cell r="D1676">
            <v>44343</v>
          </cell>
          <cell r="AJ1676">
            <v>0.45000000000000284</v>
          </cell>
        </row>
        <row r="1677">
          <cell r="D1677">
            <v>44344</v>
          </cell>
          <cell r="AJ1677">
            <v>0.45999999999999375</v>
          </cell>
        </row>
        <row r="1678">
          <cell r="D1678">
            <v>44347</v>
          </cell>
          <cell r="AJ1678">
            <v>0.29999999999999716</v>
          </cell>
        </row>
        <row r="1679">
          <cell r="D1679">
            <v>44348</v>
          </cell>
          <cell r="AJ1679">
            <v>0.34000000000000341</v>
          </cell>
        </row>
        <row r="1680">
          <cell r="D1680">
            <v>44349</v>
          </cell>
          <cell r="AJ1680">
            <v>0.37000000000000455</v>
          </cell>
        </row>
        <row r="1681">
          <cell r="D1681">
            <v>44350</v>
          </cell>
          <cell r="AJ1681">
            <v>0.37999999999999545</v>
          </cell>
        </row>
        <row r="1682">
          <cell r="D1682">
            <v>44351</v>
          </cell>
          <cell r="AJ1682">
            <v>0.42000000000000171</v>
          </cell>
        </row>
        <row r="1683">
          <cell r="D1683">
            <v>44354</v>
          </cell>
          <cell r="AJ1683">
            <v>0.37000000000000455</v>
          </cell>
        </row>
        <row r="1684">
          <cell r="D1684">
            <v>44355</v>
          </cell>
          <cell r="AJ1684">
            <v>0.26000000000000512</v>
          </cell>
        </row>
        <row r="1685">
          <cell r="D1685">
            <v>44356</v>
          </cell>
          <cell r="AJ1685">
            <v>0.43000000000000682</v>
          </cell>
        </row>
        <row r="1686">
          <cell r="D1686">
            <v>44357</v>
          </cell>
          <cell r="AJ1686">
            <v>0.42000000000000171</v>
          </cell>
        </row>
        <row r="1687">
          <cell r="D1687">
            <v>44358</v>
          </cell>
          <cell r="AJ1687">
            <v>0.46000000000000796</v>
          </cell>
        </row>
        <row r="1688">
          <cell r="D1688">
            <v>44361</v>
          </cell>
          <cell r="AJ1688">
            <v>0.46999999999999886</v>
          </cell>
        </row>
        <row r="1689">
          <cell r="D1689">
            <v>44362</v>
          </cell>
          <cell r="AJ1689">
            <v>0.28999999999999204</v>
          </cell>
        </row>
        <row r="1690">
          <cell r="D1690">
            <v>44363</v>
          </cell>
          <cell r="AJ1690">
            <v>0.18999999999999773</v>
          </cell>
        </row>
        <row r="1691">
          <cell r="D1691">
            <v>44364</v>
          </cell>
          <cell r="AJ1691">
            <v>0.22999999999998977</v>
          </cell>
        </row>
        <row r="1692">
          <cell r="D1692">
            <v>44365</v>
          </cell>
          <cell r="AJ1692">
            <v>0.29000000000000625</v>
          </cell>
        </row>
        <row r="1693">
          <cell r="D1693">
            <v>44368</v>
          </cell>
          <cell r="AJ1693">
            <v>0.31000000000000227</v>
          </cell>
        </row>
        <row r="1694">
          <cell r="D1694">
            <v>44369</v>
          </cell>
          <cell r="AJ1694">
            <v>0.34999999999999432</v>
          </cell>
        </row>
        <row r="1695">
          <cell r="D1695">
            <v>44370</v>
          </cell>
          <cell r="AJ1695">
            <v>0.45999999999999375</v>
          </cell>
        </row>
        <row r="1696">
          <cell r="D1696">
            <v>44371</v>
          </cell>
          <cell r="AJ1696">
            <v>0.48999999999999488</v>
          </cell>
        </row>
        <row r="1697">
          <cell r="D1697">
            <v>44372</v>
          </cell>
          <cell r="AJ1697">
            <v>0.46000000000000796</v>
          </cell>
        </row>
        <row r="1698">
          <cell r="D1698">
            <v>44375</v>
          </cell>
          <cell r="AJ1698">
            <v>0.32999999999999829</v>
          </cell>
        </row>
        <row r="1699">
          <cell r="D1699">
            <v>44376</v>
          </cell>
          <cell r="AJ1699">
            <v>0.34000000000000341</v>
          </cell>
        </row>
        <row r="1700">
          <cell r="D1700">
            <v>44377</v>
          </cell>
          <cell r="AJ1700">
            <v>0.42999999999999261</v>
          </cell>
        </row>
        <row r="1701">
          <cell r="D1701">
            <v>44378</v>
          </cell>
          <cell r="AJ1701">
            <v>1.0300000000000011</v>
          </cell>
        </row>
        <row r="1702">
          <cell r="D1702">
            <v>44379</v>
          </cell>
          <cell r="AJ1702">
            <v>1.1899999999999977</v>
          </cell>
        </row>
        <row r="1703">
          <cell r="D1703">
            <v>44382</v>
          </cell>
          <cell r="AJ1703">
            <v>1.289999999999992</v>
          </cell>
        </row>
        <row r="1704">
          <cell r="D1704">
            <v>44383</v>
          </cell>
          <cell r="AJ1704">
            <v>1.960000000000008</v>
          </cell>
        </row>
        <row r="1705">
          <cell r="D1705">
            <v>44384</v>
          </cell>
          <cell r="AJ1705">
            <v>1.4799999999999898</v>
          </cell>
        </row>
        <row r="1706">
          <cell r="D1706">
            <v>44385</v>
          </cell>
          <cell r="AJ1706">
            <v>1.2700000000000102</v>
          </cell>
        </row>
        <row r="1707">
          <cell r="D1707">
            <v>44386</v>
          </cell>
          <cell r="AJ1707">
            <v>1.4099999999999966</v>
          </cell>
        </row>
        <row r="1708">
          <cell r="D1708">
            <v>44389</v>
          </cell>
          <cell r="AJ1708">
            <v>1.4199999999999875</v>
          </cell>
        </row>
        <row r="1709">
          <cell r="D1709">
            <v>44390</v>
          </cell>
          <cell r="AJ1709">
            <v>1.3499999999999943</v>
          </cell>
        </row>
        <row r="1710">
          <cell r="D1710">
            <v>44391</v>
          </cell>
          <cell r="AJ1710">
            <v>1.2000000000000028</v>
          </cell>
        </row>
        <row r="1711">
          <cell r="D1711">
            <v>44392</v>
          </cell>
          <cell r="AJ1711">
            <v>1.269999999999996</v>
          </cell>
        </row>
        <row r="1712">
          <cell r="D1712">
            <v>44393</v>
          </cell>
          <cell r="AJ1712">
            <v>1.2600000000000051</v>
          </cell>
        </row>
        <row r="1713">
          <cell r="D1713">
            <v>44396</v>
          </cell>
          <cell r="AJ1713">
            <v>1.2000000000000028</v>
          </cell>
        </row>
        <row r="1714">
          <cell r="D1714">
            <v>44397</v>
          </cell>
          <cell r="AJ1714">
            <v>1.1899999999999977</v>
          </cell>
        </row>
        <row r="1715">
          <cell r="D1715">
            <v>44398</v>
          </cell>
          <cell r="AJ1715">
            <v>1.1899999999999977</v>
          </cell>
        </row>
        <row r="1716">
          <cell r="D1716">
            <v>44399</v>
          </cell>
          <cell r="AJ1716">
            <v>1.4500000000000028</v>
          </cell>
        </row>
        <row r="1717">
          <cell r="D1717">
            <v>44400</v>
          </cell>
          <cell r="AJ1717">
            <v>1.519999999999996</v>
          </cell>
        </row>
        <row r="1718">
          <cell r="D1718">
            <v>44403</v>
          </cell>
          <cell r="AJ1718">
            <v>1.5299999999999869</v>
          </cell>
        </row>
        <row r="1719">
          <cell r="D1719">
            <v>44404</v>
          </cell>
          <cell r="AJ1719">
            <v>1.5700000000000074</v>
          </cell>
        </row>
        <row r="1720">
          <cell r="D1720">
            <v>44405</v>
          </cell>
          <cell r="AJ1720">
            <v>1.5299999999999869</v>
          </cell>
        </row>
        <row r="1721">
          <cell r="D1721">
            <v>44406</v>
          </cell>
          <cell r="AJ1721">
            <v>1.460000000000008</v>
          </cell>
        </row>
        <row r="1722">
          <cell r="D1722">
            <v>44407</v>
          </cell>
          <cell r="AJ1722">
            <v>1.6699999999999875</v>
          </cell>
        </row>
        <row r="1723">
          <cell r="D1723">
            <v>44410</v>
          </cell>
          <cell r="AJ1723">
            <v>1.3200000000000074</v>
          </cell>
        </row>
        <row r="1724">
          <cell r="D1724">
            <v>44411</v>
          </cell>
          <cell r="AJ1724">
            <v>1.210000000000008</v>
          </cell>
        </row>
        <row r="1725">
          <cell r="D1725">
            <v>44412</v>
          </cell>
          <cell r="AJ1725">
            <v>1.230000000000004</v>
          </cell>
        </row>
        <row r="1726">
          <cell r="D1726">
            <v>44413</v>
          </cell>
          <cell r="AJ1726">
            <v>1.2000000000000028</v>
          </cell>
        </row>
        <row r="1727">
          <cell r="D1727">
            <v>44414</v>
          </cell>
          <cell r="AJ1727">
            <v>1.1700000000000017</v>
          </cell>
        </row>
        <row r="1728">
          <cell r="D1728">
            <v>44417</v>
          </cell>
          <cell r="AJ1728">
            <v>1.2800000000000011</v>
          </cell>
        </row>
        <row r="1729">
          <cell r="D1729">
            <v>44418</v>
          </cell>
          <cell r="AJ1729">
            <v>1.2800000000000011</v>
          </cell>
        </row>
        <row r="1730">
          <cell r="D1730">
            <v>44419</v>
          </cell>
          <cell r="AJ1730">
            <v>1.2599999999999909</v>
          </cell>
        </row>
        <row r="1731">
          <cell r="D1731">
            <v>44420</v>
          </cell>
          <cell r="AJ1731">
            <v>1.25</v>
          </cell>
        </row>
        <row r="1732">
          <cell r="D1732">
            <v>44421</v>
          </cell>
          <cell r="AJ1732">
            <v>1.2800000000000011</v>
          </cell>
        </row>
        <row r="1733">
          <cell r="D1733">
            <v>44424</v>
          </cell>
          <cell r="AJ1733">
            <v>1.2000000000000028</v>
          </cell>
        </row>
        <row r="1734">
          <cell r="D1734">
            <v>44425</v>
          </cell>
          <cell r="AJ1734">
            <v>1.2399999999999949</v>
          </cell>
        </row>
        <row r="1735">
          <cell r="D1735">
            <v>44426</v>
          </cell>
          <cell r="AJ1735">
            <v>1.3499999999999943</v>
          </cell>
        </row>
        <row r="1736">
          <cell r="D1736">
            <v>44427</v>
          </cell>
          <cell r="AJ1736">
            <v>1.2999999999999972</v>
          </cell>
        </row>
        <row r="1737">
          <cell r="D1737">
            <v>44428</v>
          </cell>
          <cell r="AJ1737">
            <v>1.2800000000000011</v>
          </cell>
        </row>
        <row r="1738">
          <cell r="D1738">
            <v>44431</v>
          </cell>
          <cell r="AJ1738">
            <v>1.2099999999999937</v>
          </cell>
        </row>
        <row r="1739">
          <cell r="D1739">
            <v>44432</v>
          </cell>
          <cell r="AJ1739">
            <v>1.1700000000000017</v>
          </cell>
        </row>
        <row r="1740">
          <cell r="D1740">
            <v>44433</v>
          </cell>
          <cell r="AJ1740">
            <v>1.1600000000000108</v>
          </cell>
        </row>
        <row r="1741">
          <cell r="D1741">
            <v>44434</v>
          </cell>
          <cell r="AJ1741">
            <v>1.1700000000000017</v>
          </cell>
        </row>
        <row r="1742">
          <cell r="D1742">
            <v>44435</v>
          </cell>
          <cell r="AJ1742">
            <v>1.2000000000000028</v>
          </cell>
        </row>
        <row r="1743">
          <cell r="D1743">
            <v>44438</v>
          </cell>
          <cell r="AJ1743">
            <v>1.1599999999999966</v>
          </cell>
        </row>
        <row r="1744">
          <cell r="D1744">
            <v>44439</v>
          </cell>
          <cell r="AJ1744">
            <v>1.0499999999999972</v>
          </cell>
        </row>
        <row r="1745">
          <cell r="D1745">
            <v>44440</v>
          </cell>
          <cell r="AJ1745">
            <v>0.90000000000000568</v>
          </cell>
        </row>
        <row r="1746">
          <cell r="D1746">
            <v>44441</v>
          </cell>
          <cell r="AJ1746">
            <v>0.90000000000000568</v>
          </cell>
        </row>
        <row r="1747">
          <cell r="D1747">
            <v>44442</v>
          </cell>
          <cell r="AJ1747">
            <v>1.1200000000000045</v>
          </cell>
        </row>
        <row r="1748">
          <cell r="D1748">
            <v>44445</v>
          </cell>
          <cell r="AJ1748">
            <v>1.25</v>
          </cell>
        </row>
        <row r="1749">
          <cell r="D1749">
            <v>44446</v>
          </cell>
          <cell r="AJ1749">
            <v>1.1500000000000057</v>
          </cell>
        </row>
        <row r="1750">
          <cell r="D1750">
            <v>44447</v>
          </cell>
          <cell r="AJ1750">
            <v>1.0799999999999983</v>
          </cell>
        </row>
        <row r="1751">
          <cell r="D1751">
            <v>44448</v>
          </cell>
          <cell r="AJ1751">
            <v>1.1400000000000006</v>
          </cell>
        </row>
        <row r="1752">
          <cell r="D1752">
            <v>44449</v>
          </cell>
          <cell r="AJ1752">
            <v>1.0900000000000034</v>
          </cell>
        </row>
        <row r="1753">
          <cell r="D1753">
            <v>44452</v>
          </cell>
          <cell r="AJ1753">
            <v>1.0300000000000011</v>
          </cell>
        </row>
        <row r="1754">
          <cell r="D1754">
            <v>44453</v>
          </cell>
          <cell r="AJ1754">
            <v>1.2599999999999909</v>
          </cell>
        </row>
        <row r="1755">
          <cell r="D1755">
            <v>44454</v>
          </cell>
          <cell r="AJ1755">
            <v>1.2800000000000011</v>
          </cell>
        </row>
        <row r="1756">
          <cell r="D1756">
            <v>44455</v>
          </cell>
          <cell r="AJ1756">
            <v>1.2299999999999898</v>
          </cell>
        </row>
        <row r="1757">
          <cell r="D1757">
            <v>44456</v>
          </cell>
          <cell r="AJ1757">
            <v>1.2399999999999949</v>
          </cell>
        </row>
        <row r="1758">
          <cell r="D1758">
            <v>44459</v>
          </cell>
          <cell r="AJ1758">
            <v>1.1600000000000108</v>
          </cell>
        </row>
        <row r="1759">
          <cell r="D1759">
            <v>44460</v>
          </cell>
          <cell r="AJ1759">
            <v>1.3299999999999983</v>
          </cell>
        </row>
        <row r="1760">
          <cell r="D1760">
            <v>44461</v>
          </cell>
          <cell r="AJ1760">
            <v>1.4300000000000068</v>
          </cell>
        </row>
        <row r="1761">
          <cell r="D1761">
            <v>44462</v>
          </cell>
          <cell r="AJ1761">
            <v>1.2900000000000063</v>
          </cell>
        </row>
        <row r="1762">
          <cell r="D1762">
            <v>44463</v>
          </cell>
          <cell r="AJ1762">
            <v>1.3100000000000023</v>
          </cell>
        </row>
        <row r="1763">
          <cell r="D1763">
            <v>44466</v>
          </cell>
          <cell r="AJ1763">
            <v>1.4000000000000057</v>
          </cell>
        </row>
        <row r="1764">
          <cell r="D1764">
            <v>44467</v>
          </cell>
          <cell r="AJ1764">
            <v>1.3799999999999955</v>
          </cell>
        </row>
        <row r="1765">
          <cell r="D1765">
            <v>44468</v>
          </cell>
          <cell r="AJ1765">
            <v>1.3999999999999915</v>
          </cell>
        </row>
        <row r="1766">
          <cell r="D1766">
            <v>44469</v>
          </cell>
          <cell r="AJ1766">
            <v>1.6900000000000119</v>
          </cell>
        </row>
        <row r="1767">
          <cell r="D1767">
            <v>44470</v>
          </cell>
          <cell r="AJ1767">
            <v>1.3499999999999943</v>
          </cell>
        </row>
        <row r="1768">
          <cell r="D1768">
            <v>44473</v>
          </cell>
          <cell r="AJ1768">
            <v>1.3299999999999983</v>
          </cell>
        </row>
        <row r="1769">
          <cell r="D1769">
            <v>44474</v>
          </cell>
          <cell r="AJ1769">
            <v>1.3200000000000074</v>
          </cell>
        </row>
        <row r="1770">
          <cell r="D1770">
            <v>44475</v>
          </cell>
          <cell r="AJ1770">
            <v>1.4200000000000017</v>
          </cell>
        </row>
        <row r="1771">
          <cell r="D1771">
            <v>44476</v>
          </cell>
          <cell r="AJ1771">
            <v>1.4300000000000068</v>
          </cell>
        </row>
        <row r="1772">
          <cell r="D1772">
            <v>44477</v>
          </cell>
          <cell r="AJ1772">
            <v>1.5799999999999983</v>
          </cell>
        </row>
        <row r="1773">
          <cell r="D1773">
            <v>44480</v>
          </cell>
          <cell r="AJ1773">
            <v>1.8200000000000074</v>
          </cell>
        </row>
        <row r="1774">
          <cell r="D1774">
            <v>44481</v>
          </cell>
          <cell r="AJ1774">
            <v>1.7900000000000063</v>
          </cell>
        </row>
        <row r="1775">
          <cell r="D1775">
            <v>44482</v>
          </cell>
          <cell r="AJ1775">
            <v>1.7599999999999909</v>
          </cell>
        </row>
        <row r="1776">
          <cell r="D1776">
            <v>44483</v>
          </cell>
          <cell r="AJ1776">
            <v>1.8799999999999955</v>
          </cell>
        </row>
        <row r="1777">
          <cell r="D1777">
            <v>44484</v>
          </cell>
          <cell r="AJ1777">
            <v>2</v>
          </cell>
        </row>
        <row r="1778">
          <cell r="D1778">
            <v>44487</v>
          </cell>
          <cell r="AJ1778">
            <v>2.1500000000000057</v>
          </cell>
        </row>
        <row r="1779">
          <cell r="D1779">
            <v>44488</v>
          </cell>
          <cell r="AJ1779">
            <v>2.3200000000000074</v>
          </cell>
        </row>
        <row r="1780">
          <cell r="D1780">
            <v>44489</v>
          </cell>
          <cell r="AJ1780">
            <v>2.2400000000000091</v>
          </cell>
        </row>
        <row r="1781">
          <cell r="D1781">
            <v>44490</v>
          </cell>
          <cell r="AJ1781">
            <v>2.3199999999999932</v>
          </cell>
        </row>
        <row r="1782">
          <cell r="D1782">
            <v>44491</v>
          </cell>
          <cell r="AJ1782">
            <v>2.7599999999999909</v>
          </cell>
        </row>
        <row r="1783">
          <cell r="D1783">
            <v>44494</v>
          </cell>
          <cell r="AJ1783">
            <v>3.3599999999999994</v>
          </cell>
        </row>
        <row r="1784">
          <cell r="D1784">
            <v>44495</v>
          </cell>
          <cell r="AJ1784">
            <v>3.3900000000000006</v>
          </cell>
        </row>
        <row r="1785">
          <cell r="D1785">
            <v>44496</v>
          </cell>
          <cell r="AJ1785">
            <v>3.1200000000000045</v>
          </cell>
        </row>
        <row r="1786">
          <cell r="D1786">
            <v>44497</v>
          </cell>
          <cell r="AJ1786">
            <v>3.3599999999999994</v>
          </cell>
        </row>
        <row r="1787">
          <cell r="D1787">
            <v>44498</v>
          </cell>
          <cell r="AJ1787">
            <v>3.5</v>
          </cell>
        </row>
        <row r="1788">
          <cell r="D1788">
            <v>44501</v>
          </cell>
          <cell r="AJ1788">
            <v>1.769999999999996</v>
          </cell>
        </row>
        <row r="1789">
          <cell r="D1789">
            <v>44502</v>
          </cell>
          <cell r="AJ1789">
            <v>1.9500000000000028</v>
          </cell>
        </row>
        <row r="1790">
          <cell r="D1790">
            <v>44503</v>
          </cell>
          <cell r="AJ1790">
            <v>1.8700000000000045</v>
          </cell>
        </row>
        <row r="1791">
          <cell r="D1791">
            <v>44504</v>
          </cell>
          <cell r="AJ1791">
            <v>1.6700000000000017</v>
          </cell>
        </row>
        <row r="1792">
          <cell r="D1792">
            <v>44505</v>
          </cell>
          <cell r="AJ1792">
            <v>1.6700000000000017</v>
          </cell>
        </row>
        <row r="1793">
          <cell r="D1793">
            <v>44508</v>
          </cell>
          <cell r="AJ1793">
            <v>1.8599999999999994</v>
          </cell>
        </row>
        <row r="1794">
          <cell r="D1794">
            <v>44509</v>
          </cell>
          <cell r="AJ1794">
            <v>1.8199999999999932</v>
          </cell>
        </row>
        <row r="1795">
          <cell r="D1795">
            <v>44510</v>
          </cell>
          <cell r="AJ1795">
            <v>1.6400000000000006</v>
          </cell>
        </row>
        <row r="1796">
          <cell r="D1796">
            <v>44511</v>
          </cell>
          <cell r="AJ1796">
            <v>1.6500000000000057</v>
          </cell>
        </row>
        <row r="1797">
          <cell r="D1797">
            <v>44512</v>
          </cell>
          <cell r="AJ1797">
            <v>1.4100000000000108</v>
          </cell>
        </row>
        <row r="1798">
          <cell r="D1798">
            <v>44515</v>
          </cell>
          <cell r="AJ1798">
            <v>1.2600000000000051</v>
          </cell>
        </row>
        <row r="1799">
          <cell r="D1799">
            <v>44516</v>
          </cell>
          <cell r="AJ1799">
            <v>1.3799999999999955</v>
          </cell>
        </row>
        <row r="1800">
          <cell r="D1800">
            <v>44517</v>
          </cell>
          <cell r="AJ1800">
            <v>1.3100000000000023</v>
          </cell>
        </row>
        <row r="1801">
          <cell r="D1801">
            <v>44518</v>
          </cell>
          <cell r="AJ1801">
            <v>1.0900000000000034</v>
          </cell>
        </row>
        <row r="1802">
          <cell r="D1802">
            <v>44519</v>
          </cell>
          <cell r="AJ1802">
            <v>0.85000000000000853</v>
          </cell>
        </row>
        <row r="1803">
          <cell r="D1803">
            <v>44522</v>
          </cell>
          <cell r="AJ1803">
            <v>0.79999999999999716</v>
          </cell>
        </row>
        <row r="1804">
          <cell r="D1804">
            <v>44523</v>
          </cell>
          <cell r="AJ1804">
            <v>0.85999999999999943</v>
          </cell>
        </row>
        <row r="1805">
          <cell r="D1805">
            <v>44524</v>
          </cell>
          <cell r="AJ1805">
            <v>0.78000000000000114</v>
          </cell>
        </row>
        <row r="1806">
          <cell r="D1806">
            <v>44525</v>
          </cell>
          <cell r="AJ1806">
            <v>0.60000000000000853</v>
          </cell>
        </row>
        <row r="1807">
          <cell r="D1807">
            <v>44526</v>
          </cell>
          <cell r="AJ1807">
            <v>0.45999999999999375</v>
          </cell>
        </row>
        <row r="1808">
          <cell r="D1808">
            <v>44529</v>
          </cell>
          <cell r="AJ1808">
            <v>0.47999999999998977</v>
          </cell>
        </row>
        <row r="1809">
          <cell r="D1809">
            <v>44530</v>
          </cell>
          <cell r="AJ1809">
            <v>0.62999999999999545</v>
          </cell>
        </row>
        <row r="1810">
          <cell r="D1810">
            <v>44531</v>
          </cell>
          <cell r="AJ1810">
            <v>0.42999999999999261</v>
          </cell>
        </row>
        <row r="1811">
          <cell r="D1811">
            <v>44532</v>
          </cell>
          <cell r="AJ1811">
            <v>0.5</v>
          </cell>
        </row>
        <row r="1812">
          <cell r="D1812">
            <v>44533</v>
          </cell>
          <cell r="AJ1812">
            <v>0.54000000000000625</v>
          </cell>
        </row>
        <row r="1813">
          <cell r="D1813">
            <v>44536</v>
          </cell>
          <cell r="AJ1813">
            <v>0.56000000000000227</v>
          </cell>
        </row>
        <row r="1814">
          <cell r="D1814">
            <v>44537</v>
          </cell>
          <cell r="AJ1814">
            <v>0.71999999999999886</v>
          </cell>
        </row>
        <row r="1815">
          <cell r="D1815">
            <v>44538</v>
          </cell>
          <cell r="AJ1815">
            <v>0.79999999999999716</v>
          </cell>
        </row>
        <row r="1816">
          <cell r="D1816">
            <v>44539</v>
          </cell>
          <cell r="AJ1816">
            <v>0.90000000000000568</v>
          </cell>
        </row>
        <row r="1817">
          <cell r="D1817">
            <v>44540</v>
          </cell>
          <cell r="AJ1817">
            <v>1.2199999999999989</v>
          </cell>
        </row>
        <row r="1818">
          <cell r="D1818">
            <v>44543</v>
          </cell>
          <cell r="AJ1818">
            <v>1.4399999999999977</v>
          </cell>
        </row>
        <row r="1819">
          <cell r="D1819">
            <v>44544</v>
          </cell>
          <cell r="AJ1819">
            <v>1.4200000000000017</v>
          </cell>
        </row>
        <row r="1820">
          <cell r="D1820">
            <v>44545</v>
          </cell>
          <cell r="AJ1820">
            <v>1.1400000000000006</v>
          </cell>
        </row>
        <row r="1821">
          <cell r="D1821">
            <v>44546</v>
          </cell>
          <cell r="AJ1821">
            <v>1.1500000000000057</v>
          </cell>
        </row>
        <row r="1822">
          <cell r="D1822">
            <v>44547</v>
          </cell>
          <cell r="AJ1822">
            <v>1.2799999999999869</v>
          </cell>
        </row>
        <row r="1823">
          <cell r="D1823">
            <v>44550</v>
          </cell>
          <cell r="AJ1823">
            <v>1.1799999999999926</v>
          </cell>
        </row>
        <row r="1824">
          <cell r="D1824">
            <v>44551</v>
          </cell>
          <cell r="AJ1824">
            <v>1.269999999999996</v>
          </cell>
        </row>
        <row r="1825">
          <cell r="D1825">
            <v>44552</v>
          </cell>
          <cell r="AJ1825">
            <v>1.4599999999999937</v>
          </cell>
        </row>
        <row r="1826">
          <cell r="D1826">
            <v>44553</v>
          </cell>
          <cell r="AJ1826">
            <v>1.3999999999999915</v>
          </cell>
        </row>
        <row r="1827">
          <cell r="D1827">
            <v>44554</v>
          </cell>
          <cell r="AJ1827">
            <v>1.3900000000000006</v>
          </cell>
        </row>
        <row r="1828">
          <cell r="D1828">
            <v>44557</v>
          </cell>
          <cell r="AJ1828">
            <v>1.2799999999999869</v>
          </cell>
        </row>
        <row r="1829">
          <cell r="D1829">
            <v>44558</v>
          </cell>
          <cell r="AJ1829">
            <v>1.2799999999999869</v>
          </cell>
        </row>
        <row r="1830">
          <cell r="D1830">
            <v>44559</v>
          </cell>
          <cell r="AJ1830">
            <v>1.3299999999999983</v>
          </cell>
        </row>
        <row r="1831">
          <cell r="D1831">
            <v>44560</v>
          </cell>
          <cell r="AJ1831">
            <v>1.3500000000000085</v>
          </cell>
        </row>
        <row r="1832">
          <cell r="D1832">
            <v>44561</v>
          </cell>
          <cell r="AJ1832">
            <v>1.480000000000004</v>
          </cell>
        </row>
        <row r="1833">
          <cell r="D1833">
            <v>44564</v>
          </cell>
          <cell r="AJ1833">
            <v>0.78999999999999204</v>
          </cell>
        </row>
        <row r="1834">
          <cell r="D1834">
            <v>44565</v>
          </cell>
          <cell r="AJ1834">
            <v>1.0300000000000011</v>
          </cell>
        </row>
        <row r="1835">
          <cell r="D1835">
            <v>44566</v>
          </cell>
          <cell r="AJ1835">
            <v>0.76999999999999602</v>
          </cell>
        </row>
        <row r="1836">
          <cell r="D1836">
            <v>44567</v>
          </cell>
          <cell r="AJ1836">
            <v>0.92999999999999261</v>
          </cell>
        </row>
        <row r="1837">
          <cell r="D1837">
            <v>44568</v>
          </cell>
          <cell r="AJ1837">
            <v>0.90999999999999659</v>
          </cell>
        </row>
        <row r="1838">
          <cell r="D1838">
            <v>44571</v>
          </cell>
          <cell r="AJ1838">
            <v>0.82999999999999829</v>
          </cell>
        </row>
        <row r="1839">
          <cell r="D1839">
            <v>44572</v>
          </cell>
          <cell r="AJ1839">
            <v>0.76999999999999602</v>
          </cell>
        </row>
        <row r="1840">
          <cell r="D1840">
            <v>44573</v>
          </cell>
          <cell r="AJ1840">
            <v>0.84000000000000341</v>
          </cell>
        </row>
        <row r="1841">
          <cell r="D1841">
            <v>44574</v>
          </cell>
          <cell r="AJ1841">
            <v>0.92000000000000171</v>
          </cell>
        </row>
        <row r="1842">
          <cell r="D1842">
            <v>44575</v>
          </cell>
          <cell r="AJ1842">
            <v>0.92999999999999261</v>
          </cell>
        </row>
        <row r="1843">
          <cell r="D1843">
            <v>44578</v>
          </cell>
          <cell r="AJ1843">
            <v>0.85999999999999943</v>
          </cell>
        </row>
        <row r="1844">
          <cell r="D1844">
            <v>44579</v>
          </cell>
          <cell r="AJ1844">
            <v>0.85999999999999943</v>
          </cell>
        </row>
        <row r="1845">
          <cell r="D1845">
            <v>44580</v>
          </cell>
          <cell r="AJ1845">
            <v>0.73000000000000398</v>
          </cell>
        </row>
        <row r="1846">
          <cell r="D1846">
            <v>44581</v>
          </cell>
          <cell r="AJ1846">
            <v>0.8399999999999892</v>
          </cell>
        </row>
        <row r="1847">
          <cell r="D1847">
            <v>44582</v>
          </cell>
          <cell r="AJ1847">
            <v>0.82000000000000739</v>
          </cell>
        </row>
        <row r="1848">
          <cell r="D1848">
            <v>44585</v>
          </cell>
          <cell r="AJ1848">
            <v>0.88000000000000966</v>
          </cell>
        </row>
        <row r="1849">
          <cell r="D1849">
            <v>44586</v>
          </cell>
          <cell r="AJ1849">
            <v>1.0799999999999983</v>
          </cell>
        </row>
        <row r="1850">
          <cell r="D1850">
            <v>44587</v>
          </cell>
          <cell r="AJ1850">
            <v>1.2599999999999909</v>
          </cell>
        </row>
        <row r="1851">
          <cell r="D1851">
            <v>44588</v>
          </cell>
          <cell r="AJ1851">
            <v>1.3000000000000114</v>
          </cell>
        </row>
        <row r="1852">
          <cell r="D1852">
            <v>44589</v>
          </cell>
          <cell r="AJ1852">
            <v>1.230000000000004</v>
          </cell>
        </row>
        <row r="1853">
          <cell r="D1853">
            <v>44592</v>
          </cell>
          <cell r="AJ1853">
            <v>1.2000000000000028</v>
          </cell>
        </row>
        <row r="1854">
          <cell r="D1854">
            <v>44593</v>
          </cell>
          <cell r="AJ1854">
            <v>1.4699999999999989</v>
          </cell>
        </row>
        <row r="1855">
          <cell r="D1855">
            <v>44594</v>
          </cell>
          <cell r="AJ1855">
            <v>1.4699999999999989</v>
          </cell>
        </row>
        <row r="1856">
          <cell r="D1856">
            <v>44595</v>
          </cell>
          <cell r="AJ1856">
            <v>1.4699999999999989</v>
          </cell>
        </row>
        <row r="1857">
          <cell r="D1857">
            <v>44596</v>
          </cell>
          <cell r="AJ1857">
            <v>1.3199999999999932</v>
          </cell>
        </row>
        <row r="1858">
          <cell r="D1858">
            <v>44599</v>
          </cell>
          <cell r="AJ1858">
            <v>1.3399999999999892</v>
          </cell>
        </row>
        <row r="1859">
          <cell r="D1859">
            <v>44600</v>
          </cell>
          <cell r="AJ1859">
            <v>1.4699999999999989</v>
          </cell>
        </row>
        <row r="1860">
          <cell r="D1860">
            <v>44601</v>
          </cell>
          <cell r="AJ1860">
            <v>1.5999999999999943</v>
          </cell>
        </row>
        <row r="1861">
          <cell r="D1861">
            <v>44602</v>
          </cell>
          <cell r="AJ1861">
            <v>1.8799999999999955</v>
          </cell>
        </row>
        <row r="1862">
          <cell r="D1862">
            <v>44603</v>
          </cell>
          <cell r="AJ1862">
            <v>1.8299999999999983</v>
          </cell>
        </row>
        <row r="1863">
          <cell r="D1863">
            <v>44606</v>
          </cell>
          <cell r="AJ1863">
            <v>1.9699999999999989</v>
          </cell>
        </row>
        <row r="1864">
          <cell r="D1864">
            <v>44607</v>
          </cell>
          <cell r="AJ1864">
            <v>1.8299999999999983</v>
          </cell>
        </row>
        <row r="1865">
          <cell r="D1865">
            <v>44608</v>
          </cell>
          <cell r="AJ1865">
            <v>1.9299999999999926</v>
          </cell>
        </row>
        <row r="1866">
          <cell r="D1866">
            <v>44609</v>
          </cell>
          <cell r="AJ1866">
            <v>1.8400000000000034</v>
          </cell>
        </row>
        <row r="1867">
          <cell r="D1867">
            <v>44610</v>
          </cell>
          <cell r="AJ1867">
            <v>1.75</v>
          </cell>
        </row>
        <row r="1868">
          <cell r="D1868">
            <v>44613</v>
          </cell>
          <cell r="AJ1868">
            <v>1.8499999999999943</v>
          </cell>
        </row>
        <row r="1869">
          <cell r="D1869">
            <v>44614</v>
          </cell>
          <cell r="AJ1869">
            <v>1.9500000000000028</v>
          </cell>
        </row>
        <row r="1870">
          <cell r="D1870">
            <v>44615</v>
          </cell>
          <cell r="AJ1870">
            <v>1.8599999999999994</v>
          </cell>
        </row>
        <row r="1871">
          <cell r="D1871">
            <v>44616</v>
          </cell>
          <cell r="AJ1871">
            <v>1.9899999999999949</v>
          </cell>
        </row>
        <row r="1872">
          <cell r="D1872">
            <v>44617</v>
          </cell>
          <cell r="AJ1872">
            <v>2.0999999999999943</v>
          </cell>
        </row>
        <row r="1873">
          <cell r="D1873">
            <v>44620</v>
          </cell>
          <cell r="AJ1873">
            <v>2.4500000000000028</v>
          </cell>
        </row>
        <row r="1874">
          <cell r="D1874">
            <v>44621</v>
          </cell>
          <cell r="AJ1874">
            <v>2.4200000000000017</v>
          </cell>
        </row>
        <row r="1875">
          <cell r="D1875">
            <v>44622</v>
          </cell>
          <cell r="AJ1875">
            <v>3.1999999999999886</v>
          </cell>
        </row>
        <row r="1876">
          <cell r="D1876">
            <v>44623</v>
          </cell>
          <cell r="AJ1876">
            <v>3.6400000000000006</v>
          </cell>
        </row>
        <row r="1877">
          <cell r="D1877">
            <v>44624</v>
          </cell>
          <cell r="AJ1877">
            <v>2.75</v>
          </cell>
        </row>
        <row r="1878">
          <cell r="D1878">
            <v>44627</v>
          </cell>
          <cell r="AJ1878">
            <v>4.1699999999999875</v>
          </cell>
        </row>
        <row r="1879">
          <cell r="D1879">
            <v>44628</v>
          </cell>
          <cell r="AJ1879">
            <v>4.75</v>
          </cell>
        </row>
        <row r="1880">
          <cell r="D1880">
            <v>44629</v>
          </cell>
          <cell r="AJ1880">
            <v>7</v>
          </cell>
        </row>
        <row r="1881">
          <cell r="D1881">
            <v>44630</v>
          </cell>
          <cell r="AJ1881">
            <v>5.3200000000000074</v>
          </cell>
        </row>
        <row r="1882">
          <cell r="D1882">
            <v>44631</v>
          </cell>
          <cell r="AJ1882">
            <v>3.9599999999999937</v>
          </cell>
        </row>
        <row r="1883">
          <cell r="D1883">
            <v>44634</v>
          </cell>
          <cell r="AJ1883">
            <v>3.7999999999999972</v>
          </cell>
        </row>
        <row r="1884">
          <cell r="D1884">
            <v>44635</v>
          </cell>
          <cell r="AJ1884">
            <v>3.3999999999999915</v>
          </cell>
        </row>
        <row r="1885">
          <cell r="D1885">
            <v>44636</v>
          </cell>
          <cell r="AJ1885">
            <v>3.9699999999999989</v>
          </cell>
        </row>
        <row r="1886">
          <cell r="D1886">
            <v>44637</v>
          </cell>
          <cell r="AJ1886">
            <v>4.5</v>
          </cell>
        </row>
        <row r="1887">
          <cell r="D1887">
            <v>44638</v>
          </cell>
          <cell r="AJ1887">
            <v>4.6500000000000057</v>
          </cell>
        </row>
        <row r="1888">
          <cell r="D1888">
            <v>44641</v>
          </cell>
          <cell r="AJ1888">
            <v>4.6700000000000017</v>
          </cell>
        </row>
        <row r="1889">
          <cell r="D1889">
            <v>44642</v>
          </cell>
          <cell r="AJ1889">
            <v>4.2999999999999972</v>
          </cell>
        </row>
        <row r="1890">
          <cell r="D1890">
            <v>44643</v>
          </cell>
          <cell r="AJ1890">
            <v>3.7800000000000011</v>
          </cell>
        </row>
        <row r="1891">
          <cell r="D1891">
            <v>44644</v>
          </cell>
          <cell r="AJ1891">
            <v>3.6299999999999812</v>
          </cell>
        </row>
        <row r="1892">
          <cell r="D1892">
            <v>44645</v>
          </cell>
          <cell r="AJ1892">
            <v>2.8999999999999915</v>
          </cell>
        </row>
        <row r="1893">
          <cell r="D1893">
            <v>44648</v>
          </cell>
          <cell r="AJ1893">
            <v>2.9500000000000028</v>
          </cell>
        </row>
        <row r="1894">
          <cell r="D1894">
            <v>44649</v>
          </cell>
          <cell r="AJ1894">
            <v>2.9399999999999977</v>
          </cell>
        </row>
        <row r="1895">
          <cell r="D1895">
            <v>44650</v>
          </cell>
          <cell r="AJ1895">
            <v>3.2599999999999909</v>
          </cell>
        </row>
        <row r="1896">
          <cell r="D1896">
            <v>44651</v>
          </cell>
          <cell r="AJ1896">
            <v>2.8999999999999915</v>
          </cell>
        </row>
        <row r="1897">
          <cell r="D1897">
            <v>44652</v>
          </cell>
          <cell r="AJ1897">
            <v>2.1499999999999915</v>
          </cell>
        </row>
        <row r="1898">
          <cell r="D1898">
            <v>44655</v>
          </cell>
          <cell r="AJ1898">
            <v>2.230000000000004</v>
          </cell>
        </row>
        <row r="1899">
          <cell r="D1899">
            <v>44656</v>
          </cell>
          <cell r="AJ1899">
            <v>2.3700000000000045</v>
          </cell>
        </row>
        <row r="1900">
          <cell r="D1900">
            <v>44657</v>
          </cell>
          <cell r="AJ1900">
            <v>2.3000000000000114</v>
          </cell>
        </row>
        <row r="1901">
          <cell r="D1901">
            <v>44658</v>
          </cell>
          <cell r="AJ1901">
            <v>2.2700000000000102</v>
          </cell>
        </row>
        <row r="1902">
          <cell r="D1902">
            <v>44659</v>
          </cell>
          <cell r="AJ1902">
            <v>2.2000000000000028</v>
          </cell>
        </row>
        <row r="1903">
          <cell r="D1903">
            <v>44662</v>
          </cell>
          <cell r="AJ1903">
            <v>2.2800000000000011</v>
          </cell>
        </row>
        <row r="1904">
          <cell r="D1904">
            <v>44663</v>
          </cell>
          <cell r="AJ1904">
            <v>1.7800000000000011</v>
          </cell>
        </row>
        <row r="1905">
          <cell r="D1905">
            <v>44664</v>
          </cell>
          <cell r="AJ1905">
            <v>1.9699999999999989</v>
          </cell>
        </row>
        <row r="1906">
          <cell r="D1906">
            <v>44665</v>
          </cell>
          <cell r="AJ1906">
            <v>2.6599999999999966</v>
          </cell>
        </row>
        <row r="1907">
          <cell r="D1907">
            <v>44666</v>
          </cell>
          <cell r="AJ1907">
            <v>2.9000000000000057</v>
          </cell>
        </row>
        <row r="1908">
          <cell r="D1908">
            <v>44669</v>
          </cell>
          <cell r="AJ1908">
            <v>2.9000000000000057</v>
          </cell>
        </row>
        <row r="1909">
          <cell r="D1909">
            <v>44670</v>
          </cell>
          <cell r="AJ1909">
            <v>2.7199999999999989</v>
          </cell>
        </row>
        <row r="1910">
          <cell r="D1910">
            <v>44671</v>
          </cell>
          <cell r="AJ1910">
            <v>2.7999999999999972</v>
          </cell>
        </row>
        <row r="1911">
          <cell r="D1911">
            <v>44672</v>
          </cell>
          <cell r="AJ1911">
            <v>3.0600000000000023</v>
          </cell>
        </row>
        <row r="1912">
          <cell r="D1912">
            <v>44673</v>
          </cell>
          <cell r="AJ1912">
            <v>3.2000000000000028</v>
          </cell>
        </row>
        <row r="1913">
          <cell r="D1913">
            <v>44676</v>
          </cell>
          <cell r="AJ1913">
            <v>2.9000000000000057</v>
          </cell>
        </row>
        <row r="1914">
          <cell r="D1914">
            <v>44677</v>
          </cell>
          <cell r="AJ1914">
            <v>3.2099999999999937</v>
          </cell>
        </row>
        <row r="1915">
          <cell r="D1915">
            <v>44678</v>
          </cell>
          <cell r="AJ1915">
            <v>3.5</v>
          </cell>
        </row>
        <row r="1916">
          <cell r="D1916">
            <v>44679</v>
          </cell>
          <cell r="AJ1916">
            <v>3.2200000000000131</v>
          </cell>
        </row>
        <row r="1917">
          <cell r="D1917">
            <v>44680</v>
          </cell>
          <cell r="AJ1917">
            <v>3.1999999999999886</v>
          </cell>
        </row>
        <row r="1918">
          <cell r="D1918">
            <v>44683</v>
          </cell>
          <cell r="AJ1918">
            <v>4.0799999999999983</v>
          </cell>
        </row>
        <row r="1919">
          <cell r="D1919">
            <v>44684</v>
          </cell>
          <cell r="AJ1919">
            <v>4.0799999999999983</v>
          </cell>
        </row>
        <row r="1920">
          <cell r="D1920">
            <v>44685</v>
          </cell>
          <cell r="AJ1920">
            <v>4.0799999999999983</v>
          </cell>
        </row>
        <row r="1921">
          <cell r="D1921">
            <v>44686</v>
          </cell>
          <cell r="AJ1921">
            <v>4.5</v>
          </cell>
        </row>
        <row r="1922">
          <cell r="D1922">
            <v>44687</v>
          </cell>
          <cell r="AJ1922">
            <v>4.25</v>
          </cell>
        </row>
        <row r="1923">
          <cell r="D1923">
            <v>44690</v>
          </cell>
          <cell r="AJ1923">
            <v>4.25</v>
          </cell>
        </row>
        <row r="1924">
          <cell r="D1924">
            <v>44691</v>
          </cell>
          <cell r="AJ1924">
            <v>4.1200000000000045</v>
          </cell>
        </row>
        <row r="1925">
          <cell r="D1925">
            <v>44692</v>
          </cell>
          <cell r="AJ1925">
            <v>3.8499999999999943</v>
          </cell>
        </row>
        <row r="1926">
          <cell r="D1926">
            <v>44693</v>
          </cell>
          <cell r="AJ1926">
            <v>4.2600000000000051</v>
          </cell>
        </row>
        <row r="1927">
          <cell r="D1927">
            <v>44694</v>
          </cell>
          <cell r="AJ1927">
            <v>5.1000000000000227</v>
          </cell>
        </row>
        <row r="1928">
          <cell r="D1928">
            <v>44697</v>
          </cell>
          <cell r="AJ1928">
            <v>6</v>
          </cell>
        </row>
        <row r="1929">
          <cell r="D1929">
            <v>44698</v>
          </cell>
          <cell r="AJ1929">
            <v>6</v>
          </cell>
        </row>
        <row r="1930">
          <cell r="D1930">
            <v>44699</v>
          </cell>
          <cell r="AJ1930">
            <v>6.8999999999999773</v>
          </cell>
        </row>
        <row r="1931">
          <cell r="D1931">
            <v>44700</v>
          </cell>
          <cell r="AJ1931">
            <v>5.9499999999999886</v>
          </cell>
        </row>
        <row r="1932">
          <cell r="D1932">
            <v>44701</v>
          </cell>
          <cell r="AJ1932">
            <v>6.7299999999999898</v>
          </cell>
        </row>
        <row r="1933">
          <cell r="D1933">
            <v>44704</v>
          </cell>
          <cell r="AJ1933">
            <v>5.0999999999999943</v>
          </cell>
        </row>
        <row r="1934">
          <cell r="D1934">
            <v>44705</v>
          </cell>
          <cell r="AJ1934">
            <v>4.7800000000000011</v>
          </cell>
        </row>
        <row r="1935">
          <cell r="D1935">
            <v>44706</v>
          </cell>
          <cell r="AJ1935">
            <v>4.6300000000000239</v>
          </cell>
        </row>
        <row r="1936">
          <cell r="D1936">
            <v>44707</v>
          </cell>
          <cell r="AJ1936">
            <v>5.6500000000000057</v>
          </cell>
        </row>
        <row r="1937">
          <cell r="D1937">
            <v>44708</v>
          </cell>
          <cell r="AJ1937">
            <v>5.8999999999999773</v>
          </cell>
        </row>
        <row r="1938">
          <cell r="D1938">
            <v>44711</v>
          </cell>
          <cell r="AJ1938">
            <v>6.8000000000000114</v>
          </cell>
        </row>
        <row r="1939">
          <cell r="D1939">
            <v>44712</v>
          </cell>
          <cell r="AJ1939">
            <v>6.9099999999999966</v>
          </cell>
        </row>
        <row r="1940">
          <cell r="D1940">
            <v>44713</v>
          </cell>
          <cell r="AJ1940">
            <v>5.3199999999999932</v>
          </cell>
        </row>
        <row r="1941">
          <cell r="D1941">
            <v>44714</v>
          </cell>
          <cell r="AJ1941">
            <v>5.3999999999999773</v>
          </cell>
        </row>
        <row r="1942">
          <cell r="D1942">
            <v>44715</v>
          </cell>
          <cell r="AJ1942">
            <v>5.75</v>
          </cell>
        </row>
        <row r="1943">
          <cell r="D1943">
            <v>44718</v>
          </cell>
          <cell r="AJ1943">
            <v>5.8799999999999955</v>
          </cell>
        </row>
        <row r="1944">
          <cell r="D1944">
            <v>44719</v>
          </cell>
          <cell r="AJ1944">
            <v>4.9799999999999898</v>
          </cell>
        </row>
        <row r="1945">
          <cell r="D1945">
            <v>44720</v>
          </cell>
          <cell r="AJ1945">
            <v>4.8300000000000125</v>
          </cell>
        </row>
        <row r="1946">
          <cell r="D1946">
            <v>44721</v>
          </cell>
          <cell r="AJ1946">
            <v>5.089999999999975</v>
          </cell>
        </row>
        <row r="1947">
          <cell r="D1947">
            <v>44722</v>
          </cell>
          <cell r="AJ1947">
            <v>5.8000000000000114</v>
          </cell>
        </row>
        <row r="1948">
          <cell r="D1948">
            <v>44725</v>
          </cell>
          <cell r="AJ1948">
            <v>5.5500000000000114</v>
          </cell>
        </row>
        <row r="1949">
          <cell r="D1949">
            <v>44726</v>
          </cell>
          <cell r="AJ1949">
            <v>5.1500000000000057</v>
          </cell>
        </row>
        <row r="1950">
          <cell r="D1950">
            <v>44727</v>
          </cell>
          <cell r="AJ1950">
            <v>5.3000000000000114</v>
          </cell>
        </row>
        <row r="1951">
          <cell r="D1951">
            <v>44728</v>
          </cell>
          <cell r="AJ1951">
            <v>5.5</v>
          </cell>
        </row>
        <row r="1952">
          <cell r="D1952">
            <v>44729</v>
          </cell>
          <cell r="AJ1952">
            <v>5.7199999999999989</v>
          </cell>
        </row>
        <row r="1953">
          <cell r="D1953">
            <v>44732</v>
          </cell>
          <cell r="AJ1953">
            <v>5.75</v>
          </cell>
        </row>
        <row r="1954">
          <cell r="D1954">
            <v>44733</v>
          </cell>
          <cell r="AJ1954">
            <v>7.5200000000000102</v>
          </cell>
        </row>
        <row r="1955">
          <cell r="D1955">
            <v>44734</v>
          </cell>
          <cell r="AJ1955">
            <v>7.9900000000000091</v>
          </cell>
        </row>
        <row r="1956">
          <cell r="D1956">
            <v>44735</v>
          </cell>
          <cell r="AJ1956">
            <v>7.0700000000000216</v>
          </cell>
        </row>
        <row r="1957">
          <cell r="D1957">
            <v>44736</v>
          </cell>
          <cell r="AJ1957">
            <v>7.8200000000000216</v>
          </cell>
        </row>
        <row r="1958">
          <cell r="D1958">
            <v>44739</v>
          </cell>
          <cell r="AJ1958">
            <v>7.9000000000000057</v>
          </cell>
        </row>
        <row r="1959">
          <cell r="D1959">
            <v>44740</v>
          </cell>
          <cell r="AJ1959">
            <v>6.8899999999999864</v>
          </cell>
        </row>
        <row r="1960">
          <cell r="D1960">
            <v>44741</v>
          </cell>
          <cell r="AJ1960">
            <v>7.1500000000000057</v>
          </cell>
        </row>
        <row r="1961">
          <cell r="D1961">
            <v>44742</v>
          </cell>
          <cell r="AJ1961">
            <v>6.0999999999999943</v>
          </cell>
        </row>
        <row r="1962">
          <cell r="D1962">
            <v>44743</v>
          </cell>
          <cell r="AJ1962">
            <v>5.4499999999999886</v>
          </cell>
        </row>
        <row r="1963">
          <cell r="D1963">
            <v>44746</v>
          </cell>
          <cell r="AJ1963">
            <v>5.6000000000000085</v>
          </cell>
        </row>
        <row r="1964">
          <cell r="D1964">
            <v>44747</v>
          </cell>
          <cell r="AJ1964">
            <v>4.9499999999999886</v>
          </cell>
        </row>
        <row r="1965">
          <cell r="D1965">
            <v>44748</v>
          </cell>
          <cell r="AJ1965">
            <v>3.75</v>
          </cell>
        </row>
        <row r="1966">
          <cell r="D1966">
            <v>44749</v>
          </cell>
          <cell r="AJ1966">
            <v>3.9500000000000028</v>
          </cell>
        </row>
        <row r="1967">
          <cell r="D1967">
            <v>44750</v>
          </cell>
          <cell r="AJ1967">
            <v>3.8900000000000006</v>
          </cell>
        </row>
        <row r="1968">
          <cell r="D1968">
            <v>44753</v>
          </cell>
          <cell r="AJ1968">
            <v>3.1299999999999955</v>
          </cell>
        </row>
        <row r="1969">
          <cell r="D1969">
            <v>44754</v>
          </cell>
          <cell r="AJ1969">
            <v>3.1299999999999955</v>
          </cell>
        </row>
        <row r="1970">
          <cell r="D1970">
            <v>44755</v>
          </cell>
          <cell r="AJ1970">
            <v>2.4900000000000091</v>
          </cell>
        </row>
        <row r="1971">
          <cell r="D1971">
            <v>44756</v>
          </cell>
          <cell r="AJ1971">
            <v>2.0400000000000063</v>
          </cell>
        </row>
        <row r="1972">
          <cell r="D1972">
            <v>44757</v>
          </cell>
          <cell r="AJ1972">
            <v>2.1099999999999994</v>
          </cell>
        </row>
        <row r="1973">
          <cell r="D1973">
            <v>44760</v>
          </cell>
          <cell r="AJ1973">
            <v>2.0200000000000102</v>
          </cell>
        </row>
        <row r="1974">
          <cell r="D1974">
            <v>44761</v>
          </cell>
          <cell r="AJ1974">
            <v>2</v>
          </cell>
        </row>
        <row r="1975">
          <cell r="D1975">
            <v>44762</v>
          </cell>
          <cell r="AJ1975">
            <v>2</v>
          </cell>
        </row>
        <row r="1976">
          <cell r="D1976">
            <v>44763</v>
          </cell>
          <cell r="AJ1976">
            <v>1.3100000000000023</v>
          </cell>
        </row>
        <row r="1977">
          <cell r="D1977">
            <v>44764</v>
          </cell>
          <cell r="AJ1977">
            <v>1.25</v>
          </cell>
        </row>
        <row r="1978">
          <cell r="D1978">
            <v>44767</v>
          </cell>
          <cell r="AJ1978">
            <v>1.4400000000000119</v>
          </cell>
        </row>
        <row r="1979">
          <cell r="D1979">
            <v>44768</v>
          </cell>
          <cell r="AJ1979">
            <v>2.1099999999999994</v>
          </cell>
        </row>
        <row r="1980">
          <cell r="D1980">
            <v>44769</v>
          </cell>
          <cell r="AJ1980">
            <v>2.25</v>
          </cell>
        </row>
        <row r="1981">
          <cell r="D1981">
            <v>44770</v>
          </cell>
          <cell r="AJ1981">
            <v>2.2000000000000028</v>
          </cell>
        </row>
        <row r="1982">
          <cell r="D1982">
            <v>44771</v>
          </cell>
          <cell r="AJ1982">
            <v>2.7999999999999972</v>
          </cell>
        </row>
        <row r="1983">
          <cell r="D1983">
            <v>44774</v>
          </cell>
          <cell r="AJ1983">
            <v>3.0499999999999972</v>
          </cell>
        </row>
        <row r="1984">
          <cell r="D1984">
            <v>44775</v>
          </cell>
          <cell r="AJ1984">
            <v>2.8700000000000045</v>
          </cell>
        </row>
        <row r="1985">
          <cell r="D1985">
            <v>44776</v>
          </cell>
          <cell r="AJ1985">
            <v>2.7999999999999972</v>
          </cell>
        </row>
        <row r="1986">
          <cell r="D1986">
            <v>44777</v>
          </cell>
          <cell r="AJ1986">
            <v>2</v>
          </cell>
        </row>
        <row r="1987">
          <cell r="D1987">
            <v>44778</v>
          </cell>
          <cell r="AJ1987">
            <v>1.7000000000000028</v>
          </cell>
        </row>
        <row r="1988">
          <cell r="D1988">
            <v>44781</v>
          </cell>
          <cell r="AJ1988">
            <v>2.0799999999999983</v>
          </cell>
        </row>
        <row r="1989">
          <cell r="D1989">
            <v>44782</v>
          </cell>
          <cell r="AJ1989">
            <v>2.1700000000000017</v>
          </cell>
        </row>
        <row r="1990">
          <cell r="D1990">
            <v>44783</v>
          </cell>
          <cell r="AJ1990">
            <v>2.1700000000000017</v>
          </cell>
        </row>
        <row r="1991">
          <cell r="D1991">
            <v>44784</v>
          </cell>
          <cell r="AJ1991">
            <v>2.75</v>
          </cell>
        </row>
        <row r="1992">
          <cell r="D1992">
            <v>44785</v>
          </cell>
          <cell r="AJ1992">
            <v>2.6200000000000045</v>
          </cell>
        </row>
        <row r="1993">
          <cell r="D1993">
            <v>44788</v>
          </cell>
          <cell r="AJ1993">
            <v>2.6700000000000017</v>
          </cell>
        </row>
        <row r="1994">
          <cell r="D1994">
            <v>44789</v>
          </cell>
          <cell r="AJ1994">
            <v>2.6700000000000017</v>
          </cell>
        </row>
        <row r="1995">
          <cell r="D1995">
            <v>44790</v>
          </cell>
          <cell r="AJ1995">
            <v>3.2000000000000028</v>
          </cell>
        </row>
        <row r="1996">
          <cell r="D1996">
            <v>44791</v>
          </cell>
          <cell r="AJ1996">
            <v>3.4699999999999989</v>
          </cell>
        </row>
        <row r="1997">
          <cell r="D1997">
            <v>44792</v>
          </cell>
          <cell r="AJ1997">
            <v>3.2800000000000011</v>
          </cell>
        </row>
        <row r="1998">
          <cell r="D1998">
            <v>44795</v>
          </cell>
          <cell r="AJ1998">
            <v>3.5</v>
          </cell>
        </row>
        <row r="1999">
          <cell r="D1999">
            <v>44796</v>
          </cell>
          <cell r="AJ1999">
            <v>4.0700000000000074</v>
          </cell>
        </row>
        <row r="2000">
          <cell r="D2000">
            <v>44797</v>
          </cell>
          <cell r="AJ2000">
            <v>3.480000000000004</v>
          </cell>
        </row>
        <row r="2001">
          <cell r="D2001">
            <v>44798</v>
          </cell>
          <cell r="AJ2001">
            <v>3.7400000000000091</v>
          </cell>
        </row>
        <row r="2002">
          <cell r="D2002">
            <v>44799</v>
          </cell>
          <cell r="AJ2002">
            <v>3.6800000000000068</v>
          </cell>
        </row>
        <row r="2003">
          <cell r="D2003">
            <v>44802</v>
          </cell>
          <cell r="AJ2003">
            <v>3.730000000000004</v>
          </cell>
        </row>
        <row r="2004">
          <cell r="D2004">
            <v>44803</v>
          </cell>
          <cell r="AJ2004">
            <v>3.2000000000000028</v>
          </cell>
        </row>
        <row r="2005">
          <cell r="D2005">
            <v>44804</v>
          </cell>
          <cell r="AJ2005">
            <v>2.1299999999999955</v>
          </cell>
        </row>
        <row r="2006">
          <cell r="D2006">
            <v>44805</v>
          </cell>
          <cell r="AJ2006">
            <v>0.70000000000000284</v>
          </cell>
        </row>
        <row r="2007">
          <cell r="D2007">
            <v>44806</v>
          </cell>
          <cell r="AJ2007">
            <v>1.6000000000000085</v>
          </cell>
        </row>
        <row r="2008">
          <cell r="D2008">
            <v>44809</v>
          </cell>
          <cell r="AJ2008">
            <v>2.25</v>
          </cell>
        </row>
        <row r="2009">
          <cell r="D2009">
            <v>44810</v>
          </cell>
          <cell r="AJ2009">
            <v>2.9500000000000028</v>
          </cell>
        </row>
        <row r="2010">
          <cell r="D2010">
            <v>44811</v>
          </cell>
          <cell r="AJ2010">
            <v>3.0799999999999983</v>
          </cell>
        </row>
        <row r="2011">
          <cell r="D2011">
            <v>44812</v>
          </cell>
          <cell r="AJ2011">
            <v>2.7700000000000102</v>
          </cell>
        </row>
        <row r="2012">
          <cell r="D2012">
            <v>44813</v>
          </cell>
          <cell r="AJ2012">
            <v>2.9500000000000028</v>
          </cell>
        </row>
        <row r="2013">
          <cell r="D2013">
            <v>44816</v>
          </cell>
          <cell r="AJ2013">
            <v>2.9700000000000131</v>
          </cell>
        </row>
        <row r="2014">
          <cell r="D2014">
            <v>44817</v>
          </cell>
          <cell r="AJ2014">
            <v>2.9500000000000028</v>
          </cell>
        </row>
        <row r="2015">
          <cell r="D2015">
            <v>44818</v>
          </cell>
          <cell r="AJ2015">
            <v>2.2800000000000011</v>
          </cell>
        </row>
        <row r="2016">
          <cell r="D2016">
            <v>44819</v>
          </cell>
          <cell r="AJ2016">
            <v>1.4599999999999937</v>
          </cell>
        </row>
        <row r="2017">
          <cell r="D2017">
            <v>44820</v>
          </cell>
          <cell r="AJ2017">
            <v>0.69999999999998863</v>
          </cell>
        </row>
        <row r="2018">
          <cell r="D2018">
            <v>44823</v>
          </cell>
          <cell r="AJ2018">
            <v>0.85000000000000853</v>
          </cell>
        </row>
        <row r="2019">
          <cell r="D2019">
            <v>44824</v>
          </cell>
          <cell r="AJ2019">
            <v>1.4699999999999989</v>
          </cell>
        </row>
        <row r="2020">
          <cell r="D2020">
            <v>44825</v>
          </cell>
          <cell r="AJ2020">
            <v>1.9699999999999989</v>
          </cell>
        </row>
        <row r="2021">
          <cell r="D2021">
            <v>44826</v>
          </cell>
          <cell r="AJ2021">
            <v>1.6899999999999977</v>
          </cell>
        </row>
        <row r="2022">
          <cell r="D2022">
            <v>44827</v>
          </cell>
          <cell r="AJ2022">
            <v>1.2800000000000011</v>
          </cell>
        </row>
        <row r="2023">
          <cell r="D2023">
            <v>44830</v>
          </cell>
          <cell r="AJ2023">
            <v>1.4299999999999926</v>
          </cell>
        </row>
        <row r="2024">
          <cell r="D2024">
            <v>44831</v>
          </cell>
          <cell r="AJ2024">
            <v>2</v>
          </cell>
        </row>
        <row r="2025">
          <cell r="D2025">
            <v>44832</v>
          </cell>
          <cell r="AJ2025">
            <v>2.2999999999999972</v>
          </cell>
        </row>
        <row r="2026">
          <cell r="D2026">
            <v>44833</v>
          </cell>
          <cell r="AJ2026">
            <v>1.8499999999999943</v>
          </cell>
        </row>
        <row r="2027">
          <cell r="D2027">
            <v>44834</v>
          </cell>
          <cell r="AJ2027">
            <v>1.4099999999999966</v>
          </cell>
        </row>
        <row r="2028">
          <cell r="D2028">
            <v>44837</v>
          </cell>
          <cell r="AJ2028">
            <v>0.54999999999999716</v>
          </cell>
        </row>
        <row r="2029">
          <cell r="D2029">
            <v>44838</v>
          </cell>
          <cell r="AJ2029">
            <v>0</v>
          </cell>
        </row>
        <row r="2030">
          <cell r="D2030">
            <v>44839</v>
          </cell>
          <cell r="AJ2030">
            <v>0.45000000000000284</v>
          </cell>
        </row>
        <row r="2031">
          <cell r="D2031">
            <v>44840</v>
          </cell>
          <cell r="AJ2031">
            <v>0.57999999999999829</v>
          </cell>
        </row>
        <row r="2032">
          <cell r="D2032">
            <v>44841</v>
          </cell>
          <cell r="AJ2032">
            <v>0.75</v>
          </cell>
        </row>
        <row r="2033">
          <cell r="D2033">
            <v>44844</v>
          </cell>
          <cell r="AJ2033">
            <v>0.42999999999999261</v>
          </cell>
        </row>
        <row r="2034">
          <cell r="D2034">
            <v>44845</v>
          </cell>
          <cell r="AJ2034">
            <v>0.46000000000000796</v>
          </cell>
        </row>
        <row r="2035">
          <cell r="D2035">
            <v>44846</v>
          </cell>
          <cell r="AJ2035">
            <v>0.93000000000000682</v>
          </cell>
        </row>
        <row r="2036">
          <cell r="D2036">
            <v>44847</v>
          </cell>
          <cell r="AJ2036">
            <v>1.1200000000000045</v>
          </cell>
        </row>
        <row r="2037">
          <cell r="D2037">
            <v>44848</v>
          </cell>
          <cell r="AJ2037">
            <v>1</v>
          </cell>
        </row>
        <row r="2038">
          <cell r="D2038">
            <v>44851</v>
          </cell>
          <cell r="AJ2038">
            <v>1</v>
          </cell>
        </row>
        <row r="2039">
          <cell r="D2039">
            <v>44852</v>
          </cell>
          <cell r="AJ2039">
            <v>0.95000000000000284</v>
          </cell>
        </row>
        <row r="2040">
          <cell r="D2040">
            <v>44853</v>
          </cell>
          <cell r="AJ2040">
            <v>1</v>
          </cell>
        </row>
        <row r="2041">
          <cell r="D2041">
            <v>44854</v>
          </cell>
          <cell r="AJ2041">
            <v>1.1000000000000085</v>
          </cell>
        </row>
        <row r="2042">
          <cell r="D2042">
            <v>44855</v>
          </cell>
          <cell r="AJ2042">
            <v>1</v>
          </cell>
        </row>
        <row r="2043">
          <cell r="D2043">
            <v>44858</v>
          </cell>
          <cell r="AJ2043">
            <v>0.60999999999999943</v>
          </cell>
        </row>
        <row r="2044">
          <cell r="D2044">
            <v>44859</v>
          </cell>
          <cell r="AJ2044">
            <v>0.60999999999999943</v>
          </cell>
        </row>
        <row r="2045">
          <cell r="D2045">
            <v>44860</v>
          </cell>
          <cell r="AJ2045">
            <v>0.35000000000000853</v>
          </cell>
        </row>
        <row r="2046">
          <cell r="D2046">
            <v>44861</v>
          </cell>
          <cell r="AJ2046">
            <v>0.53000000000000114</v>
          </cell>
        </row>
        <row r="2047">
          <cell r="D2047">
            <v>44862</v>
          </cell>
          <cell r="AJ2047">
            <v>0.99000000000000909</v>
          </cell>
        </row>
        <row r="2048">
          <cell r="D2048">
            <v>44865</v>
          </cell>
          <cell r="AJ2048">
            <v>1.0999999999999943</v>
          </cell>
        </row>
        <row r="2049">
          <cell r="D2049">
            <v>44866</v>
          </cell>
          <cell r="AJ2049">
            <v>-3.0000000000001137E-2</v>
          </cell>
        </row>
        <row r="2050">
          <cell r="D2050">
            <v>44867</v>
          </cell>
          <cell r="AJ2050">
            <v>0.25</v>
          </cell>
        </row>
        <row r="2051">
          <cell r="D2051">
            <v>44868</v>
          </cell>
          <cell r="AJ2051">
            <v>0.5</v>
          </cell>
        </row>
        <row r="2052">
          <cell r="D2052">
            <v>44869</v>
          </cell>
          <cell r="AJ2052">
            <v>0.59999999999999432</v>
          </cell>
        </row>
        <row r="2053">
          <cell r="D2053">
            <v>44872</v>
          </cell>
          <cell r="AJ2053">
            <v>0.93000000000000682</v>
          </cell>
        </row>
        <row r="2054">
          <cell r="D2054">
            <v>44873</v>
          </cell>
          <cell r="AJ2054">
            <v>0.46999999999999886</v>
          </cell>
        </row>
        <row r="2055">
          <cell r="D2055">
            <v>44874</v>
          </cell>
          <cell r="AJ2055">
            <v>0.34999999999999432</v>
          </cell>
        </row>
        <row r="2056">
          <cell r="D2056">
            <v>44875</v>
          </cell>
          <cell r="AJ2056">
            <v>0.45000000000000284</v>
          </cell>
        </row>
        <row r="2057">
          <cell r="D2057">
            <v>44876</v>
          </cell>
          <cell r="AJ2057">
            <v>0.70000000000000284</v>
          </cell>
        </row>
        <row r="2058">
          <cell r="D2058">
            <v>44879</v>
          </cell>
          <cell r="AJ2058">
            <v>0.57999999999999829</v>
          </cell>
        </row>
        <row r="2059">
          <cell r="D2059">
            <v>44880</v>
          </cell>
          <cell r="AJ2059">
            <v>0.57999999999999829</v>
          </cell>
        </row>
        <row r="2060">
          <cell r="D2060">
            <v>44881</v>
          </cell>
          <cell r="AJ2060">
            <v>0.48000000000000398</v>
          </cell>
        </row>
        <row r="2061">
          <cell r="D2061">
            <v>44882</v>
          </cell>
          <cell r="AJ2061">
            <v>0.53000000000000114</v>
          </cell>
        </row>
        <row r="2062">
          <cell r="D2062">
            <v>44883</v>
          </cell>
          <cell r="AJ2062">
            <v>0.58000000000001251</v>
          </cell>
        </row>
        <row r="2063">
          <cell r="D2063">
            <v>44886</v>
          </cell>
          <cell r="AJ2063">
            <v>0.51999999999999602</v>
          </cell>
        </row>
        <row r="2064">
          <cell r="D2064">
            <v>44887</v>
          </cell>
          <cell r="AJ2064">
            <v>0.51000000000000512</v>
          </cell>
        </row>
        <row r="2065">
          <cell r="D2065">
            <v>44888</v>
          </cell>
          <cell r="AJ2065">
            <v>0.54999999999999716</v>
          </cell>
        </row>
        <row r="2066">
          <cell r="D2066">
            <v>44889</v>
          </cell>
          <cell r="AJ2066">
            <v>0.39999999999999147</v>
          </cell>
        </row>
        <row r="2067">
          <cell r="D2067">
            <v>44890</v>
          </cell>
          <cell r="AJ2067">
            <v>0.48000000000000398</v>
          </cell>
        </row>
        <row r="2068">
          <cell r="D2068">
            <v>44893</v>
          </cell>
          <cell r="AJ2068">
            <v>0.46999999999999886</v>
          </cell>
        </row>
        <row r="2069">
          <cell r="D2069">
            <v>44894</v>
          </cell>
          <cell r="AJ2069">
            <v>0.51000000000000512</v>
          </cell>
        </row>
        <row r="2070">
          <cell r="D2070">
            <v>44895</v>
          </cell>
          <cell r="AJ2070">
            <v>0.56000000000000227</v>
          </cell>
        </row>
        <row r="2071">
          <cell r="D2071">
            <v>44896</v>
          </cell>
          <cell r="AJ2071">
            <v>-0.27000000000001023</v>
          </cell>
        </row>
        <row r="2072">
          <cell r="D2072">
            <v>44897</v>
          </cell>
          <cell r="AJ2072">
            <v>-0.39999999999999147</v>
          </cell>
        </row>
        <row r="2073">
          <cell r="D2073">
            <v>44900</v>
          </cell>
          <cell r="AJ2073">
            <v>-0.5</v>
          </cell>
        </row>
        <row r="2074">
          <cell r="D2074">
            <v>44901</v>
          </cell>
          <cell r="AJ2074">
            <v>-0.40000000000000568</v>
          </cell>
        </row>
        <row r="2075">
          <cell r="D2075">
            <v>44902</v>
          </cell>
          <cell r="AJ2075">
            <v>-0.29999999999999716</v>
          </cell>
        </row>
        <row r="2076">
          <cell r="D2076">
            <v>44903</v>
          </cell>
          <cell r="AJ2076">
            <v>-0.20000000000000284</v>
          </cell>
        </row>
        <row r="2077">
          <cell r="D2077">
            <v>44904</v>
          </cell>
          <cell r="AJ2077">
            <v>-0.26999999999999602</v>
          </cell>
        </row>
        <row r="2078">
          <cell r="D2078">
            <v>44907</v>
          </cell>
          <cell r="AJ2078">
            <v>-0.40000000000000568</v>
          </cell>
        </row>
        <row r="2079">
          <cell r="D2079">
            <v>44908</v>
          </cell>
          <cell r="AJ2079">
            <v>-0.23000000000000398</v>
          </cell>
        </row>
        <row r="2080">
          <cell r="D2080">
            <v>44909</v>
          </cell>
          <cell r="AJ2080">
            <v>3.0000000000001137E-2</v>
          </cell>
        </row>
        <row r="2081">
          <cell r="D2081">
            <v>44910</v>
          </cell>
          <cell r="AJ2081">
            <v>3.0000000000001137E-2</v>
          </cell>
        </row>
        <row r="2082">
          <cell r="D2082">
            <v>44911</v>
          </cell>
          <cell r="AJ2082">
            <v>0</v>
          </cell>
        </row>
        <row r="2083">
          <cell r="D2083">
            <v>44914</v>
          </cell>
          <cell r="AJ2083">
            <v>2.0000000000010232E-2</v>
          </cell>
        </row>
        <row r="2084">
          <cell r="D2084">
            <v>44915</v>
          </cell>
          <cell r="AJ2084">
            <v>9.9999999999994316E-2</v>
          </cell>
        </row>
        <row r="2085">
          <cell r="D2085">
            <v>44916</v>
          </cell>
          <cell r="AJ2085">
            <v>0.29999999999999716</v>
          </cell>
        </row>
        <row r="2086">
          <cell r="D2086">
            <v>44917</v>
          </cell>
          <cell r="AJ2086">
            <v>0.26999999999999602</v>
          </cell>
        </row>
        <row r="2087">
          <cell r="D2087">
            <v>44918</v>
          </cell>
          <cell r="AJ2087">
            <v>0.26999999999999602</v>
          </cell>
        </row>
        <row r="2088">
          <cell r="D2088">
            <v>44921</v>
          </cell>
          <cell r="AJ2088">
            <v>0.5</v>
          </cell>
        </row>
        <row r="2089">
          <cell r="D2089">
            <v>44922</v>
          </cell>
          <cell r="AJ2089">
            <v>0.5</v>
          </cell>
        </row>
        <row r="2090">
          <cell r="D2090">
            <v>44923</v>
          </cell>
          <cell r="AJ2090">
            <v>0.73999999999999488</v>
          </cell>
        </row>
        <row r="2091">
          <cell r="D2091">
            <v>44924</v>
          </cell>
          <cell r="AJ2091">
            <v>0.92999999999999261</v>
          </cell>
        </row>
        <row r="2092">
          <cell r="D2092">
            <v>44925</v>
          </cell>
          <cell r="AJ2092">
            <v>1.0999999999999943</v>
          </cell>
        </row>
        <row r="2093">
          <cell r="D2093">
            <v>44928</v>
          </cell>
          <cell r="AJ2093">
            <v>0.75</v>
          </cell>
        </row>
        <row r="2094">
          <cell r="D2094">
            <v>44929</v>
          </cell>
          <cell r="AJ2094">
            <v>0.75</v>
          </cell>
        </row>
        <row r="2095">
          <cell r="D2095">
            <v>44930</v>
          </cell>
          <cell r="AJ2095">
            <v>0.40999999999999659</v>
          </cell>
        </row>
        <row r="2096">
          <cell r="D2096">
            <v>44931</v>
          </cell>
          <cell r="AJ2096">
            <v>0.48000000000000398</v>
          </cell>
        </row>
        <row r="2097">
          <cell r="D2097">
            <v>44932</v>
          </cell>
          <cell r="AJ2097">
            <v>0.42000000000000171</v>
          </cell>
        </row>
        <row r="2098">
          <cell r="D2098">
            <v>44935</v>
          </cell>
          <cell r="AJ2098">
            <v>0.57999999999999829</v>
          </cell>
        </row>
        <row r="2099">
          <cell r="D2099">
            <v>44936</v>
          </cell>
          <cell r="AJ2099">
            <v>0.54999999999999716</v>
          </cell>
        </row>
        <row r="2100">
          <cell r="D2100">
            <v>44937</v>
          </cell>
          <cell r="AJ2100">
            <v>0.76999999999999602</v>
          </cell>
        </row>
        <row r="2101">
          <cell r="D2101">
            <v>44938</v>
          </cell>
          <cell r="AJ2101">
            <v>0.78000000000000114</v>
          </cell>
        </row>
        <row r="2102">
          <cell r="D2102">
            <v>44939</v>
          </cell>
          <cell r="AJ2102">
            <v>0.8399999999999892</v>
          </cell>
        </row>
        <row r="2103">
          <cell r="D2103">
            <v>44942</v>
          </cell>
          <cell r="AJ2103">
            <v>1.1200000000000045</v>
          </cell>
        </row>
        <row r="2104">
          <cell r="D2104">
            <v>44943</v>
          </cell>
          <cell r="AJ2104">
            <v>0.95000000000000284</v>
          </cell>
        </row>
        <row r="2105">
          <cell r="D2105">
            <v>44944</v>
          </cell>
          <cell r="AJ2105">
            <v>1.4499999999999886</v>
          </cell>
        </row>
        <row r="2106">
          <cell r="D2106">
            <v>44945</v>
          </cell>
          <cell r="AJ2106">
            <v>1.4000000000000057</v>
          </cell>
        </row>
        <row r="2107">
          <cell r="D2107">
            <v>44946</v>
          </cell>
          <cell r="AJ2107">
            <v>1.9399999999999977</v>
          </cell>
        </row>
        <row r="2108">
          <cell r="D2108">
            <v>44949</v>
          </cell>
          <cell r="AJ2108">
            <v>1.9099999999999966</v>
          </cell>
        </row>
        <row r="2109">
          <cell r="D2109">
            <v>44950</v>
          </cell>
          <cell r="AJ2109">
            <v>1.9099999999999966</v>
          </cell>
        </row>
        <row r="2110">
          <cell r="D2110">
            <v>44951</v>
          </cell>
          <cell r="AJ2110">
            <v>1.9099999999999966</v>
          </cell>
        </row>
        <row r="2111">
          <cell r="D2111">
            <v>44952</v>
          </cell>
          <cell r="AJ2111">
            <v>1.7800000000000011</v>
          </cell>
        </row>
        <row r="2112">
          <cell r="D2112">
            <v>44953</v>
          </cell>
          <cell r="AJ2112">
            <v>1.75</v>
          </cell>
        </row>
        <row r="2113">
          <cell r="D2113">
            <v>44956</v>
          </cell>
          <cell r="AJ2113">
            <v>1.539999999999992</v>
          </cell>
        </row>
        <row r="2114">
          <cell r="D2114">
            <v>44957</v>
          </cell>
          <cell r="AJ2114">
            <v>1.3900000000000006</v>
          </cell>
        </row>
        <row r="2115">
          <cell r="D2115">
            <v>44958</v>
          </cell>
          <cell r="AJ2115">
            <v>1.6299999999999955</v>
          </cell>
        </row>
        <row r="2116">
          <cell r="D2116">
            <v>44959</v>
          </cell>
          <cell r="AJ2116">
            <v>1.4499999999999886</v>
          </cell>
        </row>
        <row r="2117">
          <cell r="D2117">
            <v>44960</v>
          </cell>
          <cell r="AJ2117">
            <v>1.480000000000004</v>
          </cell>
        </row>
        <row r="2118">
          <cell r="D2118">
            <v>44963</v>
          </cell>
          <cell r="AJ2118">
            <v>1.3000000000000114</v>
          </cell>
        </row>
        <row r="2119">
          <cell r="D2119">
            <v>44964</v>
          </cell>
          <cell r="AJ2119">
            <v>1.5999999999999943</v>
          </cell>
        </row>
        <row r="2120">
          <cell r="D2120">
            <v>44965</v>
          </cell>
          <cell r="AJ2120">
            <v>1.7800000000000011</v>
          </cell>
        </row>
        <row r="2121">
          <cell r="D2121">
            <v>44966</v>
          </cell>
          <cell r="AJ2121">
            <v>1.6199999999999903</v>
          </cell>
        </row>
        <row r="2122">
          <cell r="D2122">
            <v>44967</v>
          </cell>
          <cell r="AJ2122">
            <v>1.4000000000000057</v>
          </cell>
        </row>
        <row r="2123">
          <cell r="D2123">
            <v>44970</v>
          </cell>
          <cell r="AJ2123">
            <v>1.3599999999999994</v>
          </cell>
        </row>
        <row r="2124">
          <cell r="D2124">
            <v>44971</v>
          </cell>
          <cell r="AJ2124">
            <v>1.5</v>
          </cell>
        </row>
        <row r="2125">
          <cell r="D2125">
            <v>44972</v>
          </cell>
          <cell r="AJ2125">
            <v>1.269999999999996</v>
          </cell>
        </row>
        <row r="2126">
          <cell r="D2126">
            <v>44973</v>
          </cell>
          <cell r="AJ2126">
            <v>1.2700000000000102</v>
          </cell>
        </row>
        <row r="2127">
          <cell r="D2127">
            <v>44974</v>
          </cell>
          <cell r="AJ2127">
            <v>0.71999999999999886</v>
          </cell>
        </row>
        <row r="2128">
          <cell r="D2128">
            <v>44977</v>
          </cell>
          <cell r="AJ2128">
            <v>0.87000000000000455</v>
          </cell>
        </row>
        <row r="2129">
          <cell r="D2129">
            <v>44978</v>
          </cell>
          <cell r="AJ2129">
            <v>1.0300000000000011</v>
          </cell>
        </row>
        <row r="2130">
          <cell r="D2130">
            <v>44979</v>
          </cell>
          <cell r="AJ2130">
            <v>1.0300000000000011</v>
          </cell>
        </row>
        <row r="2131">
          <cell r="D2131">
            <v>44980</v>
          </cell>
          <cell r="AJ2131">
            <v>0.79999999999999716</v>
          </cell>
        </row>
        <row r="2132">
          <cell r="D2132">
            <v>44981</v>
          </cell>
          <cell r="AJ2132">
            <v>0.92999999999999261</v>
          </cell>
        </row>
        <row r="2133">
          <cell r="D2133">
            <v>44984</v>
          </cell>
          <cell r="AJ2133">
            <v>0.84999999999999432</v>
          </cell>
        </row>
        <row r="2134">
          <cell r="D2134">
            <v>44985</v>
          </cell>
          <cell r="AJ2134">
            <v>0.79999999999999716</v>
          </cell>
        </row>
        <row r="2135">
          <cell r="D2135">
            <v>44986</v>
          </cell>
          <cell r="AJ2135">
            <v>1.3800000000000097</v>
          </cell>
        </row>
        <row r="2136">
          <cell r="D2136">
            <v>44987</v>
          </cell>
          <cell r="AJ2136">
            <v>1.3500000000000085</v>
          </cell>
        </row>
        <row r="2137">
          <cell r="D2137">
            <v>44988</v>
          </cell>
          <cell r="AJ2137">
            <v>1.3500000000000085</v>
          </cell>
        </row>
        <row r="2138">
          <cell r="D2138">
            <v>44991</v>
          </cell>
          <cell r="AJ2138">
            <v>1.4500000000000028</v>
          </cell>
        </row>
        <row r="2139">
          <cell r="D2139">
            <v>44992</v>
          </cell>
          <cell r="AJ2139">
            <v>1.5999999999999943</v>
          </cell>
        </row>
        <row r="2140">
          <cell r="D2140">
            <v>44993</v>
          </cell>
          <cell r="AJ2140">
            <v>1.4699999999999989</v>
          </cell>
        </row>
        <row r="2141">
          <cell r="D2141">
            <v>44994</v>
          </cell>
          <cell r="AJ2141">
            <v>1.4699999999999989</v>
          </cell>
        </row>
        <row r="2142">
          <cell r="D2142">
            <v>44995</v>
          </cell>
          <cell r="AJ2142">
            <v>1.4699999999999989</v>
          </cell>
        </row>
        <row r="2143">
          <cell r="D2143">
            <v>44998</v>
          </cell>
          <cell r="AJ2143">
            <v>1.6300000000000097</v>
          </cell>
        </row>
        <row r="2144">
          <cell r="D2144">
            <v>44999</v>
          </cell>
          <cell r="AJ2144">
            <v>1.8300000000000125</v>
          </cell>
        </row>
        <row r="2145">
          <cell r="D2145">
            <v>45000</v>
          </cell>
          <cell r="AJ2145">
            <v>2</v>
          </cell>
        </row>
        <row r="2146">
          <cell r="D2146">
            <v>45001</v>
          </cell>
          <cell r="AJ2146">
            <v>1.6899999999999977</v>
          </cell>
        </row>
        <row r="2147">
          <cell r="D2147">
            <v>45002</v>
          </cell>
          <cell r="AJ2147">
            <v>1.7800000000000011</v>
          </cell>
        </row>
        <row r="2148">
          <cell r="D2148">
            <v>45005</v>
          </cell>
          <cell r="AJ2148">
            <v>1.7000000000000028</v>
          </cell>
        </row>
        <row r="2149">
          <cell r="D2149">
            <v>45006</v>
          </cell>
          <cell r="AJ2149">
            <v>1.9000000000000057</v>
          </cell>
        </row>
        <row r="2150">
          <cell r="D2150">
            <v>45007</v>
          </cell>
          <cell r="AJ2150">
            <v>2.0499999999999972</v>
          </cell>
        </row>
        <row r="2151">
          <cell r="D2151">
            <v>45008</v>
          </cell>
          <cell r="AJ2151">
            <v>2.1999999999999886</v>
          </cell>
        </row>
        <row r="2152">
          <cell r="D2152">
            <v>45009</v>
          </cell>
          <cell r="AJ2152">
            <v>2.7999999999999972</v>
          </cell>
        </row>
        <row r="2153">
          <cell r="D2153">
            <v>45012</v>
          </cell>
          <cell r="AJ2153">
            <v>2.3500000000000085</v>
          </cell>
        </row>
        <row r="2154">
          <cell r="D2154">
            <v>45013</v>
          </cell>
          <cell r="AJ2154">
            <v>2.269999999999996</v>
          </cell>
        </row>
        <row r="2155">
          <cell r="D2155">
            <v>45014</v>
          </cell>
          <cell r="AJ2155">
            <v>2.25</v>
          </cell>
        </row>
        <row r="2156">
          <cell r="D2156">
            <v>45015</v>
          </cell>
          <cell r="AJ2156">
            <v>2.0900000000000034</v>
          </cell>
        </row>
        <row r="2157">
          <cell r="D2157">
            <v>45016</v>
          </cell>
          <cell r="AJ2157">
            <v>2.289999999999992</v>
          </cell>
        </row>
        <row r="2158">
          <cell r="D2158">
            <v>45019</v>
          </cell>
          <cell r="AJ2158">
            <v>2.1800000000000068</v>
          </cell>
        </row>
        <row r="2159">
          <cell r="D2159">
            <v>45020</v>
          </cell>
          <cell r="AJ2159">
            <v>1.8100000000000023</v>
          </cell>
        </row>
        <row r="2160">
          <cell r="D2160">
            <v>45021</v>
          </cell>
          <cell r="AJ2160">
            <v>1.9000000000000057</v>
          </cell>
        </row>
        <row r="2161">
          <cell r="D2161">
            <v>45022</v>
          </cell>
          <cell r="AJ2161">
            <v>1.9000000000000057</v>
          </cell>
        </row>
        <row r="2162">
          <cell r="D2162">
            <v>45023</v>
          </cell>
          <cell r="AJ2162">
            <v>1.9099999999999966</v>
          </cell>
        </row>
        <row r="2163">
          <cell r="D2163">
            <v>45026</v>
          </cell>
          <cell r="AJ2163">
            <v>1.9099999999999966</v>
          </cell>
        </row>
        <row r="2164">
          <cell r="D2164">
            <v>45027</v>
          </cell>
          <cell r="AJ2164">
            <v>1.9699999999999989</v>
          </cell>
        </row>
        <row r="2165">
          <cell r="D2165">
            <v>45028</v>
          </cell>
          <cell r="AJ2165">
            <v>1.6099999999999994</v>
          </cell>
        </row>
        <row r="2166">
          <cell r="D2166">
            <v>45029</v>
          </cell>
          <cell r="AJ2166">
            <v>1.4299999999999926</v>
          </cell>
        </row>
        <row r="2167">
          <cell r="D2167">
            <v>45030</v>
          </cell>
          <cell r="AJ2167">
            <v>1.4099999999999966</v>
          </cell>
        </row>
        <row r="2168">
          <cell r="D2168">
            <v>45033</v>
          </cell>
          <cell r="AJ2168">
            <v>1.3100000000000023</v>
          </cell>
        </row>
        <row r="2169">
          <cell r="D2169">
            <v>45034</v>
          </cell>
          <cell r="AJ2169">
            <v>1.0900000000000034</v>
          </cell>
        </row>
        <row r="2170">
          <cell r="D2170">
            <v>45035</v>
          </cell>
          <cell r="AJ2170">
            <v>1.0799999999999983</v>
          </cell>
        </row>
        <row r="2171">
          <cell r="D2171">
            <v>45036</v>
          </cell>
          <cell r="AJ2171">
            <v>0.90000000000000568</v>
          </cell>
        </row>
        <row r="2172">
          <cell r="D2172">
            <v>45037</v>
          </cell>
          <cell r="AJ2172">
            <v>0.81999999999999318</v>
          </cell>
        </row>
        <row r="2173">
          <cell r="D2173">
            <v>45040</v>
          </cell>
          <cell r="AJ2173">
            <v>0.75</v>
          </cell>
        </row>
        <row r="2174">
          <cell r="D2174">
            <v>45041</v>
          </cell>
          <cell r="AJ2174">
            <v>0.75</v>
          </cell>
        </row>
        <row r="2175">
          <cell r="D2175">
            <v>45042</v>
          </cell>
          <cell r="AJ2175">
            <v>0.85999999999999943</v>
          </cell>
        </row>
        <row r="2176">
          <cell r="D2176">
            <v>45043</v>
          </cell>
          <cell r="AJ2176">
            <v>0.87999999999999545</v>
          </cell>
        </row>
        <row r="2177">
          <cell r="D2177">
            <v>45044</v>
          </cell>
          <cell r="AJ2177">
            <v>0.90000000000000568</v>
          </cell>
        </row>
        <row r="2178">
          <cell r="D2178">
            <v>45047</v>
          </cell>
          <cell r="AJ2178">
            <v>1.3199999999999932</v>
          </cell>
        </row>
        <row r="2179">
          <cell r="D2179">
            <v>45048</v>
          </cell>
          <cell r="AJ2179">
            <v>1.3199999999999932</v>
          </cell>
        </row>
        <row r="2180">
          <cell r="D2180">
            <v>45049</v>
          </cell>
          <cell r="AJ2180">
            <v>1.1599999999999966</v>
          </cell>
        </row>
        <row r="2181">
          <cell r="D2181">
            <v>45050</v>
          </cell>
          <cell r="AJ2181">
            <v>1</v>
          </cell>
        </row>
        <row r="2182">
          <cell r="D2182">
            <v>45051</v>
          </cell>
          <cell r="AJ2182">
            <v>1.0100000000000051</v>
          </cell>
        </row>
        <row r="2183">
          <cell r="D2183">
            <v>45054</v>
          </cell>
          <cell r="AJ2183">
            <v>1.0799999999999983</v>
          </cell>
        </row>
        <row r="2184">
          <cell r="D2184">
            <v>45055</v>
          </cell>
          <cell r="AJ2184">
            <v>0.87999999999999545</v>
          </cell>
        </row>
        <row r="2185">
          <cell r="D2185">
            <v>45056</v>
          </cell>
          <cell r="AJ2185">
            <v>0.82999999999999829</v>
          </cell>
        </row>
        <row r="2186">
          <cell r="D2186">
            <v>45057</v>
          </cell>
          <cell r="AJ2186">
            <v>0.81999999999999318</v>
          </cell>
        </row>
        <row r="2187">
          <cell r="D2187">
            <v>45058</v>
          </cell>
          <cell r="AJ2187">
            <v>0.95000000000000284</v>
          </cell>
        </row>
        <row r="2188">
          <cell r="D2188">
            <v>45061</v>
          </cell>
          <cell r="AJ2188">
            <v>0.96999999999999886</v>
          </cell>
        </row>
        <row r="2189">
          <cell r="D2189">
            <v>45062</v>
          </cell>
          <cell r="AJ2189">
            <v>0.82000000000000739</v>
          </cell>
        </row>
        <row r="2190">
          <cell r="D2190">
            <v>45063</v>
          </cell>
          <cell r="AJ2190">
            <v>0.87999999999999545</v>
          </cell>
        </row>
        <row r="2191">
          <cell r="D2191">
            <v>45064</v>
          </cell>
          <cell r="AJ2191">
            <v>1.2999999999999972</v>
          </cell>
        </row>
        <row r="2192">
          <cell r="D2192">
            <v>45065</v>
          </cell>
          <cell r="AJ2192">
            <v>1.5</v>
          </cell>
        </row>
        <row r="2193">
          <cell r="D2193">
            <v>45068</v>
          </cell>
          <cell r="AJ2193">
            <v>1.519999999999996</v>
          </cell>
        </row>
        <row r="2194">
          <cell r="D2194">
            <v>45069</v>
          </cell>
          <cell r="AJ2194">
            <v>1.5499999999999972</v>
          </cell>
        </row>
        <row r="2195">
          <cell r="D2195">
            <v>45070</v>
          </cell>
          <cell r="AJ2195">
            <v>1.7000000000000028</v>
          </cell>
        </row>
        <row r="2196">
          <cell r="D2196">
            <v>45071</v>
          </cell>
          <cell r="AJ2196">
            <v>1.3900000000000006</v>
          </cell>
        </row>
        <row r="2197">
          <cell r="D2197">
            <v>45072</v>
          </cell>
          <cell r="AJ2197">
            <v>1.0499999999999972</v>
          </cell>
        </row>
        <row r="2198">
          <cell r="D2198">
            <v>45075</v>
          </cell>
          <cell r="AJ2198">
            <v>1.1499999999999915</v>
          </cell>
        </row>
        <row r="2199">
          <cell r="D2199">
            <v>45076</v>
          </cell>
          <cell r="AJ2199">
            <v>1.3100000000000023</v>
          </cell>
        </row>
        <row r="2200">
          <cell r="D2200">
            <v>45077</v>
          </cell>
          <cell r="AJ2200">
            <v>1.2999999999999972</v>
          </cell>
        </row>
        <row r="2201">
          <cell r="D2201">
            <v>45078</v>
          </cell>
          <cell r="AJ2201">
            <v>1.4500000000000028</v>
          </cell>
        </row>
        <row r="2202">
          <cell r="D2202">
            <v>45079</v>
          </cell>
          <cell r="AJ2202">
            <v>1.5</v>
          </cell>
        </row>
        <row r="2203">
          <cell r="D2203">
            <v>45082</v>
          </cell>
          <cell r="AJ2203">
            <v>1.5</v>
          </cell>
        </row>
        <row r="2204">
          <cell r="D2204">
            <v>45083</v>
          </cell>
          <cell r="AJ2204">
            <v>1.4899999999999949</v>
          </cell>
        </row>
        <row r="2205">
          <cell r="D2205">
            <v>45084</v>
          </cell>
          <cell r="AJ2205">
            <v>1.6199999999999903</v>
          </cell>
        </row>
        <row r="2206">
          <cell r="D2206">
            <v>45085</v>
          </cell>
          <cell r="AJ2206">
            <v>1.789999999999992</v>
          </cell>
        </row>
        <row r="2207">
          <cell r="D2207">
            <v>45086</v>
          </cell>
          <cell r="AJ2207">
            <v>1.8699999999999903</v>
          </cell>
        </row>
        <row r="2208">
          <cell r="D2208">
            <v>45089</v>
          </cell>
          <cell r="AJ2208">
            <v>1.980000000000004</v>
          </cell>
        </row>
        <row r="2209">
          <cell r="D2209">
            <v>45090</v>
          </cell>
          <cell r="AJ2209">
            <v>1.7399999999999949</v>
          </cell>
        </row>
        <row r="2210">
          <cell r="D2210">
            <v>45091</v>
          </cell>
          <cell r="AJ2210">
            <v>1.8000000000000114</v>
          </cell>
        </row>
        <row r="2211">
          <cell r="D2211">
            <v>45092</v>
          </cell>
          <cell r="AJ2211">
            <v>1.7099999999999937</v>
          </cell>
        </row>
        <row r="2212">
          <cell r="D2212">
            <v>45093</v>
          </cell>
          <cell r="AJ2212">
            <v>1.710000000000008</v>
          </cell>
        </row>
        <row r="2213">
          <cell r="D2213">
            <v>45096</v>
          </cell>
          <cell r="AJ2213">
            <v>1.6499999999999915</v>
          </cell>
        </row>
        <row r="2214">
          <cell r="D2214">
            <v>45097</v>
          </cell>
          <cell r="AJ2214">
            <v>1.6000000000000085</v>
          </cell>
        </row>
        <row r="2215">
          <cell r="D2215">
            <v>45098</v>
          </cell>
          <cell r="AJ2215">
            <v>1.7399999999999949</v>
          </cell>
        </row>
        <row r="2216">
          <cell r="D2216">
            <v>45099</v>
          </cell>
          <cell r="AJ2216">
            <v>1.730000000000004</v>
          </cell>
        </row>
        <row r="2217">
          <cell r="D2217">
            <v>45100</v>
          </cell>
          <cell r="AJ2217">
            <v>1.7900000000000063</v>
          </cell>
        </row>
        <row r="2218">
          <cell r="D2218">
            <v>45103</v>
          </cell>
          <cell r="AJ2218">
            <v>1.7000000000000028</v>
          </cell>
        </row>
        <row r="2219">
          <cell r="D2219">
            <v>45104</v>
          </cell>
          <cell r="AJ2219">
            <v>1.8100000000000023</v>
          </cell>
        </row>
        <row r="2220">
          <cell r="D2220">
            <v>45105</v>
          </cell>
          <cell r="AJ2220">
            <v>1.7399999999999949</v>
          </cell>
        </row>
        <row r="2221">
          <cell r="D2221">
            <v>45106</v>
          </cell>
          <cell r="AJ2221">
            <v>1.7399999999999949</v>
          </cell>
        </row>
        <row r="2222">
          <cell r="D2222">
            <v>45107</v>
          </cell>
          <cell r="AJ2222">
            <v>1.7399999999999949</v>
          </cell>
        </row>
        <row r="2223">
          <cell r="D2223">
            <v>45110</v>
          </cell>
          <cell r="AJ2223">
            <v>1.5799999999999983</v>
          </cell>
        </row>
        <row r="2224">
          <cell r="D2224">
            <v>45111</v>
          </cell>
          <cell r="AJ2224">
            <v>1.4599999999999937</v>
          </cell>
        </row>
        <row r="2225">
          <cell r="D2225">
            <v>45112</v>
          </cell>
          <cell r="AJ2225">
            <v>1.2800000000000011</v>
          </cell>
        </row>
        <row r="2226">
          <cell r="D2226">
            <v>45113</v>
          </cell>
          <cell r="AJ2226">
            <v>1.3700000000000045</v>
          </cell>
        </row>
        <row r="2227">
          <cell r="D2227">
            <v>45114</v>
          </cell>
          <cell r="AJ2227">
            <v>1.6299999999999955</v>
          </cell>
        </row>
        <row r="2228">
          <cell r="D2228">
            <v>45117</v>
          </cell>
          <cell r="AJ2228">
            <v>1.6000000000000085</v>
          </cell>
        </row>
        <row r="2229">
          <cell r="D2229">
            <v>45118</v>
          </cell>
          <cell r="AJ2229">
            <v>1.75</v>
          </cell>
        </row>
        <row r="2230">
          <cell r="D2230">
            <v>45119</v>
          </cell>
          <cell r="AJ2230">
            <v>1.8599999999999994</v>
          </cell>
        </row>
        <row r="2231">
          <cell r="D2231">
            <v>45120</v>
          </cell>
          <cell r="AJ2231">
            <v>1.9899999999999949</v>
          </cell>
        </row>
        <row r="2232">
          <cell r="D2232">
            <v>45121</v>
          </cell>
          <cell r="AJ2232">
            <v>2.1899999999999977</v>
          </cell>
        </row>
        <row r="2233">
          <cell r="D2233">
            <v>45124</v>
          </cell>
          <cell r="AJ2233">
            <v>2.3699999999999903</v>
          </cell>
        </row>
        <row r="2234">
          <cell r="D2234">
            <v>45125</v>
          </cell>
          <cell r="AJ2234">
            <v>2.8799999999999955</v>
          </cell>
        </row>
        <row r="2235">
          <cell r="D2235">
            <v>45126</v>
          </cell>
          <cell r="AJ2235">
            <v>2.519999999999996</v>
          </cell>
        </row>
        <row r="2236">
          <cell r="D2236">
            <v>45127</v>
          </cell>
          <cell r="AJ2236">
            <v>2.8100000000000023</v>
          </cell>
        </row>
        <row r="2237">
          <cell r="D2237">
            <v>45128</v>
          </cell>
          <cell r="AJ2237">
            <v>2.8799999999999955</v>
          </cell>
        </row>
        <row r="2238">
          <cell r="D2238">
            <v>45131</v>
          </cell>
          <cell r="AJ2238">
            <v>3.3200000000000074</v>
          </cell>
        </row>
        <row r="2239">
          <cell r="D2239">
            <v>45132</v>
          </cell>
          <cell r="AJ2239">
            <v>2.9200000000000017</v>
          </cell>
        </row>
        <row r="2240">
          <cell r="D2240">
            <v>45133</v>
          </cell>
          <cell r="AJ2240">
            <v>2.6999999999999886</v>
          </cell>
        </row>
        <row r="2241">
          <cell r="D2241">
            <v>45134</v>
          </cell>
          <cell r="AJ2241">
            <v>3.0999999999999943</v>
          </cell>
        </row>
        <row r="2242">
          <cell r="D2242">
            <v>45135</v>
          </cell>
          <cell r="AJ2242">
            <v>3.0300000000000011</v>
          </cell>
        </row>
        <row r="2243">
          <cell r="D2243">
            <v>45138</v>
          </cell>
          <cell r="AJ2243">
            <v>3.1500000000000057</v>
          </cell>
        </row>
        <row r="2244">
          <cell r="D2244">
            <v>45139</v>
          </cell>
          <cell r="AJ2244">
            <v>2.7999999999999972</v>
          </cell>
        </row>
        <row r="2245">
          <cell r="D2245">
            <v>45140</v>
          </cell>
          <cell r="AJ2245">
            <v>2.3599999999999994</v>
          </cell>
        </row>
        <row r="2246">
          <cell r="D2246">
            <v>45141</v>
          </cell>
          <cell r="AJ2246">
            <v>2.269999999999996</v>
          </cell>
        </row>
        <row r="2247">
          <cell r="D2247">
            <v>45142</v>
          </cell>
          <cell r="AJ2247">
            <v>2.2999999999999972</v>
          </cell>
        </row>
        <row r="2248">
          <cell r="D2248">
            <v>45145</v>
          </cell>
          <cell r="AJ2248">
            <v>2.5799999999999983</v>
          </cell>
        </row>
        <row r="2249">
          <cell r="D2249">
            <v>45146</v>
          </cell>
          <cell r="AJ2249">
            <v>2.8000000000000114</v>
          </cell>
        </row>
        <row r="2250">
          <cell r="D2250">
            <v>45147</v>
          </cell>
          <cell r="AJ2250">
            <v>3.5</v>
          </cell>
        </row>
        <row r="2251">
          <cell r="D2251">
            <v>45148</v>
          </cell>
          <cell r="AJ2251">
            <v>3.5</v>
          </cell>
        </row>
        <row r="2252">
          <cell r="D2252">
            <v>45149</v>
          </cell>
          <cell r="AJ2252">
            <v>3.6499999999999915</v>
          </cell>
        </row>
        <row r="2253">
          <cell r="D2253">
            <v>45152</v>
          </cell>
          <cell r="AJ2253">
            <v>3.5699999999999932</v>
          </cell>
        </row>
        <row r="2254">
          <cell r="D2254">
            <v>45153</v>
          </cell>
          <cell r="AJ2254">
            <v>3.7000000000000028</v>
          </cell>
        </row>
        <row r="2255">
          <cell r="D2255">
            <v>45154</v>
          </cell>
          <cell r="AJ2255">
            <v>3.9399999999999977</v>
          </cell>
        </row>
        <row r="2256">
          <cell r="D2256">
            <v>45155</v>
          </cell>
          <cell r="AJ2256">
            <v>3.8199999999999932</v>
          </cell>
        </row>
        <row r="2257">
          <cell r="D2257">
            <v>45156</v>
          </cell>
          <cell r="AJ2257">
            <v>3.6400000000000006</v>
          </cell>
        </row>
        <row r="2258">
          <cell r="D2258">
            <v>45159</v>
          </cell>
          <cell r="AJ2258">
            <v>3.7000000000000028</v>
          </cell>
        </row>
        <row r="2259">
          <cell r="D2259">
            <v>45160</v>
          </cell>
          <cell r="AJ2259">
            <v>3.75</v>
          </cell>
        </row>
        <row r="2260">
          <cell r="D2260">
            <v>45161</v>
          </cell>
          <cell r="AJ2260">
            <v>4.0700000000000074</v>
          </cell>
        </row>
        <row r="2261">
          <cell r="D2261">
            <v>45162</v>
          </cell>
          <cell r="AJ2261">
            <v>4.1800000000000068</v>
          </cell>
        </row>
        <row r="2262">
          <cell r="D2262">
            <v>45163</v>
          </cell>
          <cell r="AJ2262">
            <v>4.1500000000000057</v>
          </cell>
        </row>
        <row r="2263">
          <cell r="D2263">
            <v>45166</v>
          </cell>
          <cell r="AJ2263">
            <v>4.1899999999999977</v>
          </cell>
        </row>
        <row r="2264">
          <cell r="D2264">
            <v>45167</v>
          </cell>
          <cell r="AJ2264">
            <v>3.960000000000008</v>
          </cell>
        </row>
        <row r="2265">
          <cell r="D2265">
            <v>45168</v>
          </cell>
          <cell r="AJ2265">
            <v>3.7000000000000028</v>
          </cell>
        </row>
        <row r="2266">
          <cell r="D2266">
            <v>45169</v>
          </cell>
          <cell r="AJ2266">
            <v>3.7099999999999937</v>
          </cell>
        </row>
        <row r="2267">
          <cell r="D2267">
            <v>45170</v>
          </cell>
          <cell r="AJ2267">
            <v>2.75</v>
          </cell>
        </row>
        <row r="2268">
          <cell r="D2268">
            <v>45173</v>
          </cell>
          <cell r="AJ2268">
            <v>2.75</v>
          </cell>
        </row>
        <row r="2269">
          <cell r="D2269">
            <v>45174</v>
          </cell>
          <cell r="AJ2269">
            <v>2.6999999999999886</v>
          </cell>
        </row>
        <row r="2270">
          <cell r="D2270">
            <v>45175</v>
          </cell>
          <cell r="AJ2270">
            <v>2.6800000000000068</v>
          </cell>
        </row>
        <row r="2271">
          <cell r="D2271">
            <v>45176</v>
          </cell>
          <cell r="AJ2271">
            <v>2.6499999999999915</v>
          </cell>
        </row>
        <row r="2272">
          <cell r="D2272">
            <v>45177</v>
          </cell>
          <cell r="AJ2272">
            <v>3.1500000000000057</v>
          </cell>
        </row>
        <row r="2273">
          <cell r="D2273">
            <v>45180</v>
          </cell>
          <cell r="AJ2273">
            <v>3.2700000000000102</v>
          </cell>
        </row>
        <row r="2274">
          <cell r="D2274">
            <v>45181</v>
          </cell>
          <cell r="AJ2274">
            <v>3.2999999999999972</v>
          </cell>
        </row>
        <row r="2275">
          <cell r="D2275">
            <v>45182</v>
          </cell>
          <cell r="AJ2275">
            <v>3.1400000000000006</v>
          </cell>
        </row>
        <row r="2276">
          <cell r="D2276">
            <v>45183</v>
          </cell>
          <cell r="AJ2276">
            <v>3.6000000000000085</v>
          </cell>
        </row>
        <row r="2277">
          <cell r="D2277">
            <v>45184</v>
          </cell>
          <cell r="AJ2277">
            <v>3.9200000000000017</v>
          </cell>
        </row>
        <row r="2278">
          <cell r="D2278">
            <v>45187</v>
          </cell>
          <cell r="AJ2278">
            <v>3.75</v>
          </cell>
        </row>
        <row r="2279">
          <cell r="D2279">
            <v>45188</v>
          </cell>
          <cell r="AJ2279">
            <v>3.5500000000000114</v>
          </cell>
        </row>
        <row r="2280">
          <cell r="D2280">
            <v>45189</v>
          </cell>
          <cell r="AJ2280">
            <v>3.1700000000000017</v>
          </cell>
        </row>
        <row r="2281">
          <cell r="D2281">
            <v>45190</v>
          </cell>
          <cell r="AJ2281">
            <v>2.8499999999999943</v>
          </cell>
        </row>
        <row r="2282">
          <cell r="D2282">
            <v>45191</v>
          </cell>
          <cell r="AJ2282">
            <v>2.539999999999992</v>
          </cell>
        </row>
        <row r="2283">
          <cell r="D2283">
            <v>45194</v>
          </cell>
          <cell r="AJ2283">
            <v>2.3100000000000023</v>
          </cell>
        </row>
        <row r="2284">
          <cell r="D2284">
            <v>45195</v>
          </cell>
          <cell r="AJ2284">
            <v>2.480000000000004</v>
          </cell>
        </row>
        <row r="2285">
          <cell r="D2285">
            <v>45196</v>
          </cell>
          <cell r="AJ2285">
            <v>2.2199999999999989</v>
          </cell>
        </row>
        <row r="2286">
          <cell r="D2286">
            <v>45197</v>
          </cell>
          <cell r="AJ2286">
            <v>2.1300000000000097</v>
          </cell>
        </row>
        <row r="2287">
          <cell r="D2287">
            <v>45198</v>
          </cell>
          <cell r="AJ2287">
            <v>1.8999999999999915</v>
          </cell>
        </row>
        <row r="2288">
          <cell r="D2288">
            <v>45201</v>
          </cell>
          <cell r="AJ2288">
            <v>0.81000000000000227</v>
          </cell>
        </row>
        <row r="2289">
          <cell r="D2289">
            <v>45202</v>
          </cell>
          <cell r="AJ2289">
            <v>0.86999999999999034</v>
          </cell>
        </row>
        <row r="2290">
          <cell r="D2290">
            <v>45203</v>
          </cell>
          <cell r="AJ2290">
            <v>0.62999999999999545</v>
          </cell>
        </row>
        <row r="2291">
          <cell r="D2291">
            <v>45204</v>
          </cell>
          <cell r="AJ2291">
            <v>0.75</v>
          </cell>
        </row>
        <row r="2292">
          <cell r="D2292">
            <v>45205</v>
          </cell>
          <cell r="AJ2292">
            <v>1</v>
          </cell>
        </row>
        <row r="2293">
          <cell r="D2293">
            <v>45208</v>
          </cell>
          <cell r="AJ2293">
            <v>1.269999999999996</v>
          </cell>
        </row>
        <row r="2294">
          <cell r="D2294">
            <v>45209</v>
          </cell>
          <cell r="AJ2294">
            <v>1.0499999999999972</v>
          </cell>
        </row>
        <row r="2295">
          <cell r="D2295">
            <v>45210</v>
          </cell>
          <cell r="AJ2295">
            <v>1.1999999999999886</v>
          </cell>
        </row>
        <row r="2296">
          <cell r="D2296">
            <v>45211</v>
          </cell>
          <cell r="AJ2296">
            <v>1.230000000000004</v>
          </cell>
        </row>
        <row r="2297">
          <cell r="D2297">
            <v>45212</v>
          </cell>
          <cell r="AJ2297">
            <v>1.269999999999996</v>
          </cell>
        </row>
        <row r="2298">
          <cell r="D2298">
            <v>45215</v>
          </cell>
          <cell r="AJ2298">
            <v>1.5999999999999943</v>
          </cell>
        </row>
        <row r="2299">
          <cell r="D2299">
            <v>45216</v>
          </cell>
          <cell r="AJ2299">
            <v>1.4500000000000028</v>
          </cell>
        </row>
        <row r="2300">
          <cell r="D2300">
            <v>45217</v>
          </cell>
          <cell r="AJ2300">
            <v>1.5900000000000034</v>
          </cell>
        </row>
        <row r="2301">
          <cell r="D2301">
            <v>45218</v>
          </cell>
          <cell r="AJ2301">
            <v>1.7000000000000028</v>
          </cell>
        </row>
        <row r="2302">
          <cell r="D2302">
            <v>45219</v>
          </cell>
          <cell r="AJ2302">
            <v>1.6899999999999977</v>
          </cell>
        </row>
        <row r="2303">
          <cell r="D2303">
            <v>45222</v>
          </cell>
          <cell r="AJ2303">
            <v>1.6000000000000085</v>
          </cell>
        </row>
        <row r="2304">
          <cell r="D2304">
            <v>45223</v>
          </cell>
          <cell r="AJ2304">
            <v>1.7399999999999949</v>
          </cell>
        </row>
        <row r="2305">
          <cell r="D2305">
            <v>45224</v>
          </cell>
          <cell r="AJ2305">
            <v>1.8800000000000097</v>
          </cell>
        </row>
        <row r="2306">
          <cell r="D2306">
            <v>45225</v>
          </cell>
          <cell r="AJ2306">
            <v>1.9699999999999989</v>
          </cell>
        </row>
        <row r="2307">
          <cell r="D2307">
            <v>45226</v>
          </cell>
          <cell r="AJ2307">
            <v>1.9700000000000131</v>
          </cell>
        </row>
        <row r="2308">
          <cell r="D2308">
            <v>45229</v>
          </cell>
          <cell r="AJ2308">
            <v>2.1200000000000045</v>
          </cell>
        </row>
        <row r="2309">
          <cell r="D2309">
            <v>45230</v>
          </cell>
          <cell r="AJ2309">
            <v>1.8299999999999983</v>
          </cell>
        </row>
        <row r="2310">
          <cell r="D2310">
            <v>45231</v>
          </cell>
          <cell r="AJ2310">
            <v>1.0900000000000034</v>
          </cell>
        </row>
        <row r="2311">
          <cell r="D2311">
            <v>45232</v>
          </cell>
          <cell r="AJ2311">
            <v>1.0699999999999932</v>
          </cell>
        </row>
        <row r="2312">
          <cell r="D2312">
            <v>45233</v>
          </cell>
          <cell r="AJ2312">
            <v>1.2999999999999972</v>
          </cell>
        </row>
        <row r="2313">
          <cell r="D2313">
            <v>45236</v>
          </cell>
          <cell r="AJ2313">
            <v>1.4799999999999898</v>
          </cell>
        </row>
        <row r="2314">
          <cell r="D2314">
            <v>45237</v>
          </cell>
          <cell r="AJ2314">
            <v>1.1599999999999966</v>
          </cell>
        </row>
        <row r="2315">
          <cell r="D2315">
            <v>45238</v>
          </cell>
          <cell r="AJ2315">
            <v>1.1800000000000068</v>
          </cell>
        </row>
        <row r="2316">
          <cell r="D2316">
            <v>45239</v>
          </cell>
          <cell r="AJ2316">
            <v>1.2299999999999898</v>
          </cell>
        </row>
        <row r="2317">
          <cell r="D2317">
            <v>45240</v>
          </cell>
          <cell r="AJ2317">
            <v>1.3100000000000023</v>
          </cell>
        </row>
        <row r="2318">
          <cell r="D2318">
            <v>45243</v>
          </cell>
          <cell r="AJ2318">
            <v>1.3500000000000085</v>
          </cell>
        </row>
        <row r="2319">
          <cell r="D2319">
            <v>45244</v>
          </cell>
          <cell r="AJ2319">
            <v>1.3500000000000085</v>
          </cell>
        </row>
        <row r="2320">
          <cell r="D2320">
            <v>45245</v>
          </cell>
          <cell r="AJ2320">
            <v>1.1000000000000085</v>
          </cell>
        </row>
        <row r="2321">
          <cell r="D2321">
            <v>45246</v>
          </cell>
          <cell r="AJ2321">
            <v>1.0499999999999972</v>
          </cell>
        </row>
        <row r="2322">
          <cell r="D2322">
            <v>45247</v>
          </cell>
          <cell r="AJ2322">
            <v>0.60000000000000853</v>
          </cell>
        </row>
        <row r="2323">
          <cell r="D2323">
            <v>45250</v>
          </cell>
          <cell r="AJ2323">
            <v>0.62000000000000455</v>
          </cell>
        </row>
        <row r="2324">
          <cell r="D2324">
            <v>45251</v>
          </cell>
          <cell r="AJ2324">
            <v>0.80000000000001137</v>
          </cell>
        </row>
        <row r="2325">
          <cell r="D2325">
            <v>45252</v>
          </cell>
          <cell r="AJ2325">
            <v>0.82000000000000739</v>
          </cell>
        </row>
        <row r="2326">
          <cell r="D2326">
            <v>45253</v>
          </cell>
          <cell r="AJ2326">
            <v>0.81999999999999318</v>
          </cell>
        </row>
        <row r="2327">
          <cell r="D2327">
            <v>45254</v>
          </cell>
          <cell r="AJ2327">
            <v>0.70000000000000284</v>
          </cell>
        </row>
        <row r="2328">
          <cell r="D2328">
            <v>45257</v>
          </cell>
          <cell r="AJ2328">
            <v>0.79999999999999716</v>
          </cell>
        </row>
        <row r="2329">
          <cell r="D2329">
            <v>45258</v>
          </cell>
          <cell r="AJ2329">
            <v>0.96999999999999886</v>
          </cell>
        </row>
        <row r="2330">
          <cell r="D2330">
            <v>45259</v>
          </cell>
          <cell r="AJ2330">
            <v>0.87999999999999545</v>
          </cell>
        </row>
        <row r="2331">
          <cell r="D2331">
            <v>45260</v>
          </cell>
          <cell r="AJ2331">
            <v>1.1700000000000017</v>
          </cell>
        </row>
        <row r="2332">
          <cell r="D2332">
            <v>45261</v>
          </cell>
          <cell r="AJ2332">
            <v>0.45000000000000284</v>
          </cell>
        </row>
        <row r="2333">
          <cell r="D2333">
            <v>45264</v>
          </cell>
          <cell r="AJ2333">
            <v>0.39000000000000057</v>
          </cell>
        </row>
        <row r="2334">
          <cell r="D2334">
            <v>45265</v>
          </cell>
          <cell r="AJ2334">
            <v>0.46999999999999886</v>
          </cell>
        </row>
        <row r="2335">
          <cell r="D2335">
            <v>45266</v>
          </cell>
          <cell r="AJ2335">
            <v>0.37999999999999545</v>
          </cell>
        </row>
        <row r="2336">
          <cell r="D2336">
            <v>45267</v>
          </cell>
          <cell r="AJ2336">
            <v>0.28999999999999204</v>
          </cell>
        </row>
        <row r="2337">
          <cell r="D2337">
            <v>45268</v>
          </cell>
          <cell r="AJ2337">
            <v>0.25</v>
          </cell>
        </row>
        <row r="2338">
          <cell r="D2338">
            <v>45271</v>
          </cell>
          <cell r="AJ2338">
            <v>0.14999999999999147</v>
          </cell>
        </row>
        <row r="2339">
          <cell r="D2339">
            <v>45272</v>
          </cell>
          <cell r="AJ2339">
            <v>0.17000000000000171</v>
          </cell>
        </row>
        <row r="2340">
          <cell r="D2340">
            <v>45273</v>
          </cell>
          <cell r="AJ2340">
            <v>0.18999999999999773</v>
          </cell>
        </row>
        <row r="2341">
          <cell r="D2341">
            <v>45274</v>
          </cell>
          <cell r="AJ2341">
            <v>0.34999999999999432</v>
          </cell>
        </row>
        <row r="2342">
          <cell r="D2342">
            <v>45275</v>
          </cell>
          <cell r="AJ2342">
            <v>0.53000000000000114</v>
          </cell>
        </row>
        <row r="2343">
          <cell r="D2343">
            <v>45278</v>
          </cell>
          <cell r="AJ2343">
            <v>0.5</v>
          </cell>
        </row>
        <row r="2344">
          <cell r="D2344">
            <v>45279</v>
          </cell>
          <cell r="AJ2344">
            <v>0.40000000000000568</v>
          </cell>
        </row>
        <row r="2345">
          <cell r="D2345">
            <v>45280</v>
          </cell>
          <cell r="AJ2345">
            <v>0.40000000000000568</v>
          </cell>
        </row>
        <row r="2346">
          <cell r="D2346">
            <v>45281</v>
          </cell>
          <cell r="AJ2346">
            <v>0.18000000000000682</v>
          </cell>
        </row>
        <row r="2347">
          <cell r="D2347">
            <v>45282</v>
          </cell>
          <cell r="AJ2347">
            <v>0.18999999999999773</v>
          </cell>
        </row>
        <row r="2348">
          <cell r="D2348">
            <v>45285</v>
          </cell>
          <cell r="AJ2348">
            <v>0.18999999999999773</v>
          </cell>
        </row>
        <row r="2349">
          <cell r="D2349">
            <v>45286</v>
          </cell>
          <cell r="AJ2349">
            <v>0.18999999999999773</v>
          </cell>
        </row>
        <row r="2350">
          <cell r="D2350">
            <v>45287</v>
          </cell>
          <cell r="AJ2350">
            <v>0.40000000000000568</v>
          </cell>
        </row>
        <row r="2351">
          <cell r="D2351">
            <v>45288</v>
          </cell>
          <cell r="AJ2351">
            <v>0.37999999999999545</v>
          </cell>
        </row>
        <row r="2352">
          <cell r="D2352">
            <v>45289</v>
          </cell>
          <cell r="AJ2352">
            <v>0.49000000000000909</v>
          </cell>
        </row>
        <row r="2353">
          <cell r="D2353">
            <v>45292</v>
          </cell>
          <cell r="AJ2353">
            <v>0.5</v>
          </cell>
        </row>
        <row r="2354">
          <cell r="D2354">
            <v>45293</v>
          </cell>
          <cell r="AJ2354">
            <v>0.5</v>
          </cell>
        </row>
        <row r="2355">
          <cell r="D2355">
            <v>45294</v>
          </cell>
          <cell r="AJ2355">
            <v>0.43999999999999773</v>
          </cell>
        </row>
        <row r="2356">
          <cell r="D2356">
            <v>45295</v>
          </cell>
          <cell r="AJ2356">
            <v>0.48000000000000398</v>
          </cell>
        </row>
        <row r="2357">
          <cell r="D2357">
            <v>45296</v>
          </cell>
          <cell r="AJ2357">
            <v>0.37999999999999545</v>
          </cell>
        </row>
        <row r="2358">
          <cell r="D2358">
            <v>45299</v>
          </cell>
          <cell r="AJ2358">
            <v>0.29999999999999716</v>
          </cell>
        </row>
        <row r="2359">
          <cell r="D2359">
            <v>45300</v>
          </cell>
          <cell r="AJ2359">
            <v>0.26999999999999602</v>
          </cell>
        </row>
        <row r="2360">
          <cell r="D2360">
            <v>45301</v>
          </cell>
          <cell r="AJ2360">
            <v>0.42999999999999261</v>
          </cell>
        </row>
        <row r="2361">
          <cell r="D2361">
            <v>45302</v>
          </cell>
          <cell r="AJ2361">
            <v>0.35999999999999943</v>
          </cell>
        </row>
        <row r="2362">
          <cell r="D2362">
            <v>45303</v>
          </cell>
          <cell r="AJ2362">
            <v>0.56999999999999318</v>
          </cell>
        </row>
        <row r="2363">
          <cell r="D2363">
            <v>45306</v>
          </cell>
          <cell r="AJ2363">
            <v>0.56000000000000227</v>
          </cell>
        </row>
        <row r="2364">
          <cell r="D2364">
            <v>45307</v>
          </cell>
          <cell r="AJ2364">
            <v>0.59000000000000341</v>
          </cell>
        </row>
        <row r="2365">
          <cell r="D2365">
            <v>45308</v>
          </cell>
          <cell r="AJ2365">
            <v>0.53999999999999204</v>
          </cell>
        </row>
        <row r="2366">
          <cell r="D2366">
            <v>45309</v>
          </cell>
          <cell r="AJ2366">
            <v>0.65000000000000568</v>
          </cell>
        </row>
        <row r="2367">
          <cell r="D2367">
            <v>45310</v>
          </cell>
          <cell r="AJ2367">
            <v>0.79999999999999716</v>
          </cell>
        </row>
        <row r="2368">
          <cell r="D2368">
            <v>45313</v>
          </cell>
          <cell r="AJ2368">
            <v>0.93999999999999773</v>
          </cell>
        </row>
        <row r="2369">
          <cell r="D2369">
            <v>45314</v>
          </cell>
          <cell r="AJ2369">
            <v>1.3400000000000034</v>
          </cell>
        </row>
        <row r="2370">
          <cell r="D2370">
            <v>45315</v>
          </cell>
          <cell r="AJ2370">
            <v>1.5599999999999881</v>
          </cell>
        </row>
        <row r="2371">
          <cell r="D2371">
            <v>45316</v>
          </cell>
          <cell r="AJ2371">
            <v>1.7900000000000063</v>
          </cell>
        </row>
        <row r="2372">
          <cell r="D2372">
            <v>45317</v>
          </cell>
          <cell r="AJ2372">
            <v>1.6300000000000097</v>
          </cell>
        </row>
        <row r="2373">
          <cell r="D2373">
            <v>45320</v>
          </cell>
          <cell r="AJ2373">
            <v>1.75</v>
          </cell>
        </row>
        <row r="2374">
          <cell r="D2374">
            <v>45321</v>
          </cell>
          <cell r="AJ2374">
            <v>1.3499999999999943</v>
          </cell>
        </row>
        <row r="2375">
          <cell r="D2375">
            <v>45322</v>
          </cell>
          <cell r="AJ2375">
            <v>1.2900000000000063</v>
          </cell>
        </row>
        <row r="2376">
          <cell r="D2376">
            <v>45323</v>
          </cell>
          <cell r="AJ2376">
            <v>1.3300000000000125</v>
          </cell>
        </row>
        <row r="2377">
          <cell r="D2377">
            <v>45324</v>
          </cell>
          <cell r="AJ2377">
            <v>1.2199999999999989</v>
          </cell>
        </row>
        <row r="2378">
          <cell r="D2378">
            <v>45327</v>
          </cell>
          <cell r="AJ2378">
            <v>1.2000000000000028</v>
          </cell>
        </row>
        <row r="2379">
          <cell r="D2379">
            <v>45328</v>
          </cell>
          <cell r="AJ2379">
            <v>1.25</v>
          </cell>
        </row>
        <row r="2380">
          <cell r="D2380">
            <v>45329</v>
          </cell>
          <cell r="AJ2380">
            <v>1.1800000000000068</v>
          </cell>
        </row>
        <row r="2381">
          <cell r="D2381">
            <v>45330</v>
          </cell>
          <cell r="AJ2381">
            <v>1.4300000000000068</v>
          </cell>
        </row>
        <row r="2382">
          <cell r="D2382">
            <v>45331</v>
          </cell>
          <cell r="AJ2382">
            <v>1.4499999999999886</v>
          </cell>
        </row>
        <row r="2383">
          <cell r="D2383">
            <v>45334</v>
          </cell>
          <cell r="AJ2383">
            <v>1.480000000000004</v>
          </cell>
        </row>
        <row r="2384">
          <cell r="D2384">
            <v>45335</v>
          </cell>
          <cell r="AJ2384">
            <v>1.480000000000004</v>
          </cell>
        </row>
        <row r="2385">
          <cell r="D2385">
            <v>45336</v>
          </cell>
          <cell r="AJ2385">
            <v>1.3999999999999915</v>
          </cell>
        </row>
        <row r="2386">
          <cell r="D2386">
            <v>45337</v>
          </cell>
          <cell r="AJ2386">
            <v>1.1499999999999915</v>
          </cell>
        </row>
        <row r="2387">
          <cell r="D2387">
            <v>45338</v>
          </cell>
          <cell r="AJ2387">
            <v>0.94000000000001194</v>
          </cell>
        </row>
        <row r="2388">
          <cell r="D2388">
            <v>45341</v>
          </cell>
          <cell r="AJ2388">
            <v>0.90000000000000568</v>
          </cell>
        </row>
        <row r="2389">
          <cell r="D2389">
            <v>45342</v>
          </cell>
          <cell r="AJ2389">
            <v>0.68000000000000682</v>
          </cell>
        </row>
        <row r="2390">
          <cell r="D2390">
            <v>45343</v>
          </cell>
          <cell r="AJ2390">
            <v>0.73000000000000398</v>
          </cell>
        </row>
        <row r="2391">
          <cell r="D2391">
            <v>45344</v>
          </cell>
          <cell r="AJ2391">
            <v>0.95999999999999375</v>
          </cell>
        </row>
        <row r="2392">
          <cell r="D2392">
            <v>45345</v>
          </cell>
          <cell r="AJ2392">
            <v>0.98000000000000398</v>
          </cell>
        </row>
        <row r="2393">
          <cell r="D2393">
            <v>45348</v>
          </cell>
          <cell r="AJ2393">
            <v>0.89999999999999147</v>
          </cell>
        </row>
        <row r="2394">
          <cell r="D2394">
            <v>45349</v>
          </cell>
          <cell r="AJ2394">
            <v>0.90999999999999659</v>
          </cell>
        </row>
        <row r="2395">
          <cell r="D2395">
            <v>45350</v>
          </cell>
          <cell r="AJ2395">
            <v>0.85000000000000853</v>
          </cell>
        </row>
        <row r="2396">
          <cell r="D2396">
            <v>45351</v>
          </cell>
          <cell r="AJ2396">
            <v>0.6600000000000108</v>
          </cell>
        </row>
        <row r="2397">
          <cell r="D2397">
            <v>45352</v>
          </cell>
          <cell r="AJ2397">
            <v>1.2000000000000028</v>
          </cell>
        </row>
        <row r="2398">
          <cell r="D2398">
            <v>45355</v>
          </cell>
          <cell r="AJ2398">
            <v>0.79999999999999716</v>
          </cell>
        </row>
        <row r="2399">
          <cell r="D2399">
            <v>45356</v>
          </cell>
          <cell r="AJ2399">
            <v>0.98000000000000398</v>
          </cell>
        </row>
        <row r="2400">
          <cell r="D2400">
            <v>45357</v>
          </cell>
          <cell r="AJ2400">
            <v>0.89999999999999147</v>
          </cell>
        </row>
        <row r="2401">
          <cell r="D2401">
            <v>45358</v>
          </cell>
          <cell r="AJ2401">
            <v>0.85000000000000853</v>
          </cell>
        </row>
        <row r="2402">
          <cell r="D2402">
            <v>45359</v>
          </cell>
          <cell r="AJ2402">
            <v>0.95999999999999375</v>
          </cell>
        </row>
        <row r="2403">
          <cell r="D2403">
            <v>45362</v>
          </cell>
          <cell r="AJ2403">
            <v>0.84999999999999432</v>
          </cell>
        </row>
        <row r="2404">
          <cell r="D2404">
            <v>45363</v>
          </cell>
          <cell r="AJ2404">
            <v>0.78000000000000114</v>
          </cell>
        </row>
        <row r="2405">
          <cell r="D2405">
            <v>45364</v>
          </cell>
          <cell r="AJ2405">
            <v>0.70000000000000284</v>
          </cell>
        </row>
        <row r="2406">
          <cell r="D2406">
            <v>45365</v>
          </cell>
          <cell r="AJ2406">
            <v>0.5</v>
          </cell>
        </row>
        <row r="2407">
          <cell r="D2407">
            <v>45366</v>
          </cell>
          <cell r="AJ2407">
            <v>0.73999999999999488</v>
          </cell>
        </row>
        <row r="2408">
          <cell r="D2408">
            <v>45369</v>
          </cell>
          <cell r="AJ2408">
            <v>0.8399999999999892</v>
          </cell>
        </row>
        <row r="2409">
          <cell r="D2409">
            <v>45370</v>
          </cell>
          <cell r="AJ2409">
            <v>0.86999999999999034</v>
          </cell>
        </row>
        <row r="2410">
          <cell r="D2410">
            <v>45371</v>
          </cell>
          <cell r="AJ2410">
            <v>1.0799999999999983</v>
          </cell>
        </row>
        <row r="2411">
          <cell r="D2411">
            <v>45372</v>
          </cell>
          <cell r="AJ2411">
            <v>1.1599999999999966</v>
          </cell>
        </row>
        <row r="2412">
          <cell r="D2412">
            <v>45373</v>
          </cell>
          <cell r="AJ2412">
            <v>1.4299999999999926</v>
          </cell>
        </row>
        <row r="2413">
          <cell r="D2413">
            <v>45376</v>
          </cell>
          <cell r="AJ2413">
            <v>1.4900000000000091</v>
          </cell>
        </row>
        <row r="2414">
          <cell r="D2414">
            <v>45377</v>
          </cell>
          <cell r="AJ2414">
            <v>1.2900000000000063</v>
          </cell>
        </row>
        <row r="2415">
          <cell r="D2415">
            <v>45378</v>
          </cell>
          <cell r="AJ2415">
            <v>1.2199999999999989</v>
          </cell>
        </row>
        <row r="2416">
          <cell r="D2416">
            <v>45379</v>
          </cell>
          <cell r="AJ2416">
            <v>1.269999999999996</v>
          </cell>
        </row>
        <row r="2417">
          <cell r="D2417">
            <v>45380</v>
          </cell>
          <cell r="AJ2417">
            <v>1.8400000000000034</v>
          </cell>
        </row>
        <row r="2418">
          <cell r="D2418">
            <v>45383</v>
          </cell>
          <cell r="AJ2418">
            <v>1.8400000000000034</v>
          </cell>
        </row>
        <row r="2419">
          <cell r="D2419">
            <v>45384</v>
          </cell>
          <cell r="AJ2419">
            <v>1.7999999999999972</v>
          </cell>
        </row>
        <row r="2420">
          <cell r="D2420">
            <v>45385</v>
          </cell>
          <cell r="AJ2420">
            <v>1.6199999999999903</v>
          </cell>
        </row>
        <row r="2421">
          <cell r="D2421">
            <v>45386</v>
          </cell>
          <cell r="AJ2421">
            <v>1.4299999999999926</v>
          </cell>
        </row>
        <row r="2422">
          <cell r="D2422">
            <v>45387</v>
          </cell>
          <cell r="AJ2422">
            <v>1.3499999999999943</v>
          </cell>
        </row>
        <row r="2423">
          <cell r="D2423">
            <v>45390</v>
          </cell>
          <cell r="AJ2423">
            <v>1.3900000000000006</v>
          </cell>
        </row>
        <row r="2424">
          <cell r="D2424">
            <v>45391</v>
          </cell>
          <cell r="AJ2424">
            <v>1.2800000000000011</v>
          </cell>
        </row>
        <row r="2425">
          <cell r="D2425">
            <v>45392</v>
          </cell>
          <cell r="AJ2425">
            <v>1.480000000000004</v>
          </cell>
        </row>
        <row r="2426">
          <cell r="D2426">
            <v>45393</v>
          </cell>
          <cell r="AJ2426">
            <v>1.480000000000004</v>
          </cell>
        </row>
        <row r="2427">
          <cell r="D2427">
            <v>45394</v>
          </cell>
          <cell r="AJ2427">
            <v>1.6500000000000057</v>
          </cell>
        </row>
        <row r="2428">
          <cell r="D2428">
            <v>45397</v>
          </cell>
          <cell r="AJ2428">
            <v>1.7000000000000028</v>
          </cell>
        </row>
        <row r="2429">
          <cell r="D2429">
            <v>45398</v>
          </cell>
          <cell r="AJ2429">
            <v>1.6999999999999886</v>
          </cell>
        </row>
        <row r="2430">
          <cell r="D2430">
            <v>45399</v>
          </cell>
          <cell r="AJ2430">
            <v>1.6500000000000057</v>
          </cell>
        </row>
        <row r="2431">
          <cell r="D2431">
            <v>45400</v>
          </cell>
          <cell r="AJ2431">
            <v>1.710000000000008</v>
          </cell>
        </row>
        <row r="2432">
          <cell r="D2432">
            <v>45401</v>
          </cell>
          <cell r="AJ2432">
            <v>1.730000000000004</v>
          </cell>
        </row>
        <row r="2433">
          <cell r="D2433">
            <v>45404</v>
          </cell>
          <cell r="AJ2433">
            <v>1.7199999999999989</v>
          </cell>
        </row>
        <row r="2434">
          <cell r="D2434">
            <v>45405</v>
          </cell>
          <cell r="AJ2434">
            <v>1.6799999999999926</v>
          </cell>
        </row>
        <row r="2435">
          <cell r="D2435">
            <v>45406</v>
          </cell>
          <cell r="AJ2435">
            <v>1.6599999999999966</v>
          </cell>
        </row>
        <row r="2436">
          <cell r="D2436">
            <v>45407</v>
          </cell>
          <cell r="AJ2436">
            <v>1.6599999999999966</v>
          </cell>
        </row>
        <row r="2437">
          <cell r="D2437">
            <v>45408</v>
          </cell>
          <cell r="AJ2437">
            <v>1.7399999999999949</v>
          </cell>
        </row>
        <row r="2438">
          <cell r="D2438">
            <v>45411</v>
          </cell>
          <cell r="AJ2438">
            <v>1.6899999999999977</v>
          </cell>
        </row>
        <row r="2439">
          <cell r="D2439">
            <v>45412</v>
          </cell>
          <cell r="AJ2439">
            <v>1.5900000000000034</v>
          </cell>
        </row>
        <row r="2440">
          <cell r="D2440">
            <v>45413</v>
          </cell>
          <cell r="AJ2440">
            <v>1.5200000000000102</v>
          </cell>
        </row>
        <row r="2441">
          <cell r="D2441">
            <v>45414</v>
          </cell>
          <cell r="AJ2441">
            <v>1.5200000000000102</v>
          </cell>
        </row>
        <row r="2442">
          <cell r="D2442">
            <v>45415</v>
          </cell>
          <cell r="AJ2442">
            <v>1.3800000000000097</v>
          </cell>
        </row>
        <row r="2443">
          <cell r="D2443">
            <v>45418</v>
          </cell>
          <cell r="AJ2443">
            <v>1</v>
          </cell>
        </row>
        <row r="2444">
          <cell r="D2444">
            <v>45419</v>
          </cell>
          <cell r="AJ2444">
            <v>0.94000000000001194</v>
          </cell>
        </row>
        <row r="2445">
          <cell r="D2445">
            <v>45420</v>
          </cell>
          <cell r="AJ2445">
            <v>0.66999999999998749</v>
          </cell>
        </row>
        <row r="2446">
          <cell r="D2446">
            <v>45421</v>
          </cell>
          <cell r="AJ2446">
            <v>0.51000000000000512</v>
          </cell>
        </row>
        <row r="2447">
          <cell r="D2447">
            <v>45422</v>
          </cell>
          <cell r="AJ2447">
            <v>0.61999999999999034</v>
          </cell>
        </row>
        <row r="2448">
          <cell r="D2448">
            <v>45425</v>
          </cell>
          <cell r="AJ2448">
            <v>0.70000000000000284</v>
          </cell>
        </row>
        <row r="2449">
          <cell r="D2449">
            <v>45426</v>
          </cell>
          <cell r="AJ2449">
            <v>0.45999999999999375</v>
          </cell>
        </row>
        <row r="2450">
          <cell r="D2450">
            <v>45427</v>
          </cell>
          <cell r="AJ2450">
            <v>0.31999999999999318</v>
          </cell>
        </row>
        <row r="2451">
          <cell r="D2451">
            <v>45428</v>
          </cell>
          <cell r="AJ2451">
            <v>0.5</v>
          </cell>
        </row>
        <row r="2452">
          <cell r="D2452">
            <v>45429</v>
          </cell>
          <cell r="AJ2452">
            <v>0.50999999999999091</v>
          </cell>
        </row>
        <row r="2453">
          <cell r="D2453">
            <v>45432</v>
          </cell>
          <cell r="AJ2453">
            <v>0.56000000000000227</v>
          </cell>
        </row>
        <row r="2454">
          <cell r="D2454">
            <v>45433</v>
          </cell>
          <cell r="AJ2454">
            <v>0.4100000000000108</v>
          </cell>
        </row>
        <row r="2455">
          <cell r="D2455">
            <v>45434</v>
          </cell>
          <cell r="AJ2455">
            <v>0.37999999999999545</v>
          </cell>
        </row>
        <row r="2456">
          <cell r="D2456">
            <v>45435</v>
          </cell>
          <cell r="AJ2456">
            <v>0.37999999999999545</v>
          </cell>
        </row>
        <row r="2457">
          <cell r="D2457">
            <v>45436</v>
          </cell>
          <cell r="AJ2457">
            <v>0.30000000000001137</v>
          </cell>
        </row>
        <row r="2458">
          <cell r="D2458">
            <v>45439</v>
          </cell>
          <cell r="AJ2458">
            <v>1.0000000000005116E-2</v>
          </cell>
        </row>
        <row r="2459">
          <cell r="D2459">
            <v>45440</v>
          </cell>
          <cell r="AJ2459">
            <v>-0.15000000000000568</v>
          </cell>
        </row>
        <row r="2460">
          <cell r="D2460">
            <v>45441</v>
          </cell>
          <cell r="AJ2460">
            <v>-0.25</v>
          </cell>
        </row>
        <row r="2461">
          <cell r="D2461">
            <v>45442</v>
          </cell>
          <cell r="AJ2461">
            <v>-0.43999999999999773</v>
          </cell>
        </row>
        <row r="2462">
          <cell r="D2462">
            <v>45443</v>
          </cell>
          <cell r="AJ2462">
            <v>-0.39999999999999147</v>
          </cell>
        </row>
        <row r="2463">
          <cell r="D2463">
            <v>45446</v>
          </cell>
          <cell r="AJ2463">
            <v>0.12999999999999545</v>
          </cell>
        </row>
        <row r="2464">
          <cell r="D2464">
            <v>45447</v>
          </cell>
          <cell r="AJ2464">
            <v>0.18999999999999773</v>
          </cell>
        </row>
        <row r="2465">
          <cell r="D2465">
            <v>45448</v>
          </cell>
          <cell r="AJ2465">
            <v>0.45000000000000284</v>
          </cell>
        </row>
        <row r="2466">
          <cell r="D2466">
            <v>45449</v>
          </cell>
          <cell r="AJ2466">
            <v>0.40000000000000568</v>
          </cell>
        </row>
        <row r="2467">
          <cell r="D2467">
            <v>45450</v>
          </cell>
          <cell r="AJ2467">
            <v>0.34999999999999432</v>
          </cell>
        </row>
        <row r="2468">
          <cell r="D2468">
            <v>45453</v>
          </cell>
          <cell r="AJ2468">
            <v>0.40999999999999659</v>
          </cell>
        </row>
        <row r="2469">
          <cell r="D2469">
            <v>45454</v>
          </cell>
          <cell r="AJ2469">
            <v>0.14999999999999147</v>
          </cell>
        </row>
        <row r="2470">
          <cell r="D2470">
            <v>45455</v>
          </cell>
          <cell r="AJ2470">
            <v>-0.10999999999999943</v>
          </cell>
        </row>
        <row r="2471">
          <cell r="D2471">
            <v>45456</v>
          </cell>
          <cell r="AJ2471">
            <v>-0.26999999999999602</v>
          </cell>
        </row>
        <row r="2472">
          <cell r="D2472">
            <v>45457</v>
          </cell>
          <cell r="AJ2472">
            <v>3.0000000000001137E-2</v>
          </cell>
        </row>
        <row r="2473">
          <cell r="D2473">
            <v>45460</v>
          </cell>
          <cell r="AJ2473">
            <v>3.0000000000001137E-2</v>
          </cell>
        </row>
        <row r="2474">
          <cell r="D2474">
            <v>45461</v>
          </cell>
          <cell r="AJ2474">
            <v>3.0000000000001137E-2</v>
          </cell>
        </row>
        <row r="2475">
          <cell r="D2475">
            <v>45462</v>
          </cell>
          <cell r="AJ2475">
            <v>0.12999999999999545</v>
          </cell>
        </row>
        <row r="2476">
          <cell r="D2476">
            <v>45463</v>
          </cell>
          <cell r="AJ2476">
            <v>-5.9999999999988063E-2</v>
          </cell>
        </row>
        <row r="2477">
          <cell r="D2477">
            <v>45464</v>
          </cell>
          <cell r="AJ2477">
            <v>0.28000000000000114</v>
          </cell>
        </row>
        <row r="2478">
          <cell r="D2478">
            <v>45467</v>
          </cell>
          <cell r="AJ2478">
            <v>0.14000000000000057</v>
          </cell>
        </row>
        <row r="2479">
          <cell r="D2479">
            <v>45468</v>
          </cell>
          <cell r="AJ2479">
            <v>3.0000000000001137E-2</v>
          </cell>
        </row>
        <row r="2480">
          <cell r="D2480">
            <v>45469</v>
          </cell>
          <cell r="AJ2480">
            <v>1.9999999999996021E-2</v>
          </cell>
        </row>
        <row r="2481">
          <cell r="D2481">
            <v>45470</v>
          </cell>
          <cell r="AJ2481">
            <v>8.0000000000012506E-2</v>
          </cell>
        </row>
        <row r="2482">
          <cell r="D2482">
            <v>45471</v>
          </cell>
          <cell r="AJ2482">
            <v>0.33000000000001251</v>
          </cell>
        </row>
        <row r="2483">
          <cell r="D2483">
            <v>45474</v>
          </cell>
          <cell r="AJ2483">
            <v>0.94999999999998863</v>
          </cell>
        </row>
        <row r="2484">
          <cell r="D2484">
            <v>45475</v>
          </cell>
          <cell r="AJ2484">
            <v>1.1200000000000045</v>
          </cell>
        </row>
        <row r="2485">
          <cell r="D2485">
            <v>45476</v>
          </cell>
          <cell r="AJ2485">
            <v>1.1900000000000119</v>
          </cell>
        </row>
        <row r="2486">
          <cell r="D2486">
            <v>45477</v>
          </cell>
          <cell r="AJ2486">
            <v>1.1599999999999966</v>
          </cell>
        </row>
        <row r="2487">
          <cell r="D2487">
            <v>45478</v>
          </cell>
          <cell r="AJ2487">
            <v>0.93000000000000682</v>
          </cell>
        </row>
        <row r="2488">
          <cell r="D2488">
            <v>45481</v>
          </cell>
          <cell r="AJ2488">
            <v>0.86000000000001364</v>
          </cell>
        </row>
        <row r="2489">
          <cell r="D2489">
            <v>45482</v>
          </cell>
          <cell r="AJ2489">
            <v>0.84000000000000341</v>
          </cell>
        </row>
        <row r="2490">
          <cell r="D2490">
            <v>45483</v>
          </cell>
          <cell r="AJ2490">
            <v>0.79000000000000625</v>
          </cell>
        </row>
        <row r="2491">
          <cell r="D2491">
            <v>45484</v>
          </cell>
          <cell r="AJ2491">
            <v>0.76000000000000512</v>
          </cell>
        </row>
        <row r="2492">
          <cell r="D2492">
            <v>45485</v>
          </cell>
          <cell r="AJ2492">
            <v>1.3400000000000034</v>
          </cell>
        </row>
        <row r="2493">
          <cell r="D2493">
            <v>45488</v>
          </cell>
          <cell r="AJ2493">
            <v>1.25</v>
          </cell>
        </row>
        <row r="2494">
          <cell r="D2494">
            <v>45489</v>
          </cell>
          <cell r="AJ2494">
            <v>1.1200000000000045</v>
          </cell>
        </row>
        <row r="2495">
          <cell r="D2495">
            <v>45490</v>
          </cell>
          <cell r="AJ2495">
            <v>1.0999999999999943</v>
          </cell>
        </row>
        <row r="2496">
          <cell r="D2496">
            <v>45491</v>
          </cell>
          <cell r="AJ2496">
            <v>1.1300000000000097</v>
          </cell>
        </row>
        <row r="2497">
          <cell r="D2497">
            <v>45492</v>
          </cell>
          <cell r="AJ2497">
            <v>1.0700000000000074</v>
          </cell>
        </row>
        <row r="2498">
          <cell r="D2498">
            <v>45495</v>
          </cell>
          <cell r="AJ2498">
            <v>1.1999999999999886</v>
          </cell>
        </row>
        <row r="2499">
          <cell r="D2499">
            <v>45496</v>
          </cell>
          <cell r="AJ2499">
            <v>1.3100000000000023</v>
          </cell>
        </row>
        <row r="2500">
          <cell r="D2500">
            <v>45497</v>
          </cell>
          <cell r="AJ2500">
            <v>1.2600000000000051</v>
          </cell>
        </row>
        <row r="2501">
          <cell r="D2501">
            <v>45498</v>
          </cell>
          <cell r="AJ2501">
            <v>1.3500000000000085</v>
          </cell>
        </row>
        <row r="2502">
          <cell r="D2502">
            <v>45499</v>
          </cell>
          <cell r="AJ2502">
            <v>1.5</v>
          </cell>
        </row>
        <row r="2503">
          <cell r="D2503">
            <v>45502</v>
          </cell>
          <cell r="AJ2503">
            <v>1.7399999999999949</v>
          </cell>
        </row>
        <row r="2504">
          <cell r="D2504">
            <v>45503</v>
          </cell>
          <cell r="AJ2504">
            <v>1.5799999999999983</v>
          </cell>
        </row>
        <row r="2505">
          <cell r="D2505">
            <v>45504</v>
          </cell>
          <cell r="AJ2505">
            <v>1.5499999999999972</v>
          </cell>
        </row>
        <row r="2506">
          <cell r="D2506">
            <v>45505</v>
          </cell>
          <cell r="AJ2506">
            <v>0.92000000000000171</v>
          </cell>
        </row>
        <row r="2507">
          <cell r="D2507">
            <v>45506</v>
          </cell>
          <cell r="AJ2507">
            <v>0.92999999999999261</v>
          </cell>
        </row>
        <row r="2508">
          <cell r="D2508">
            <v>45509</v>
          </cell>
          <cell r="AJ2508">
            <v>0.65000000000000568</v>
          </cell>
        </row>
        <row r="2509">
          <cell r="D2509">
            <v>45510</v>
          </cell>
          <cell r="AJ2509">
            <v>0.59999999999999432</v>
          </cell>
        </row>
        <row r="2510">
          <cell r="D2510">
            <v>45511</v>
          </cell>
          <cell r="AJ2510">
            <v>0.46999999999999886</v>
          </cell>
        </row>
        <row r="2511">
          <cell r="D2511">
            <v>45512</v>
          </cell>
          <cell r="AJ2511">
            <v>0.54999999999999716</v>
          </cell>
        </row>
        <row r="2512">
          <cell r="D2512">
            <v>45513</v>
          </cell>
          <cell r="AJ2512">
            <v>0.71000000000000796</v>
          </cell>
        </row>
        <row r="2513">
          <cell r="D2513">
            <v>45516</v>
          </cell>
          <cell r="AJ2513">
            <v>0.71000000000000796</v>
          </cell>
        </row>
        <row r="2514">
          <cell r="D2514">
            <v>45517</v>
          </cell>
          <cell r="AJ2514">
            <v>0.59000000000000341</v>
          </cell>
        </row>
        <row r="2515">
          <cell r="D2515">
            <v>45518</v>
          </cell>
          <cell r="AJ2515">
            <v>0.51999999999999602</v>
          </cell>
        </row>
        <row r="2516">
          <cell r="D2516">
            <v>45519</v>
          </cell>
          <cell r="AJ2516">
            <v>0.34999999999999432</v>
          </cell>
        </row>
        <row r="2517">
          <cell r="D2517">
            <v>45520</v>
          </cell>
          <cell r="AJ2517">
            <v>0.60000000000000853</v>
          </cell>
        </row>
        <row r="2518">
          <cell r="D2518">
            <v>45523</v>
          </cell>
          <cell r="AJ2518">
            <v>0.70000000000000284</v>
          </cell>
        </row>
        <row r="2519">
          <cell r="D2519">
            <v>45524</v>
          </cell>
          <cell r="AJ2519">
            <v>0.70999999999999375</v>
          </cell>
        </row>
        <row r="2520">
          <cell r="D2520">
            <v>45525</v>
          </cell>
          <cell r="AJ2520">
            <v>0.76999999999999602</v>
          </cell>
        </row>
        <row r="2521">
          <cell r="D2521">
            <v>45526</v>
          </cell>
          <cell r="AJ2521">
            <v>0.75</v>
          </cell>
        </row>
        <row r="2522">
          <cell r="D2522">
            <v>45527</v>
          </cell>
          <cell r="AJ2522">
            <v>0.84000000000000341</v>
          </cell>
        </row>
        <row r="2523">
          <cell r="D2523">
            <v>45530</v>
          </cell>
          <cell r="AJ2523">
            <v>1.1000000000000085</v>
          </cell>
        </row>
        <row r="2524">
          <cell r="D2524">
            <v>45531</v>
          </cell>
          <cell r="AJ2524">
            <v>1.1700000000000017</v>
          </cell>
        </row>
        <row r="2525">
          <cell r="D2525">
            <v>45532</v>
          </cell>
          <cell r="AJ2525">
            <v>0.82000000000000739</v>
          </cell>
        </row>
        <row r="2526">
          <cell r="D2526">
            <v>45533</v>
          </cell>
          <cell r="AJ2526">
            <v>0.66999999999998749</v>
          </cell>
        </row>
        <row r="2527">
          <cell r="D2527">
            <v>45534</v>
          </cell>
          <cell r="AJ2527">
            <v>0.67000000000000171</v>
          </cell>
        </row>
        <row r="2528">
          <cell r="D2528">
            <v>45537</v>
          </cell>
          <cell r="AJ2528">
            <v>0.37999999999999545</v>
          </cell>
        </row>
        <row r="2529">
          <cell r="D2529">
            <v>45538</v>
          </cell>
          <cell r="AJ2529">
            <v>0.75</v>
          </cell>
        </row>
        <row r="2530">
          <cell r="D2530">
            <v>45539</v>
          </cell>
          <cell r="AJ2530">
            <v>0.35000000000000853</v>
          </cell>
        </row>
        <row r="2531">
          <cell r="D2531">
            <v>45540</v>
          </cell>
          <cell r="AJ2531">
            <v>0.23999999999999488</v>
          </cell>
        </row>
        <row r="2532">
          <cell r="D2532">
            <v>45541</v>
          </cell>
          <cell r="AJ2532">
            <v>0.13000000000000966</v>
          </cell>
        </row>
        <row r="2533">
          <cell r="D2533">
            <v>45544</v>
          </cell>
          <cell r="AJ2533">
            <v>0.39000000000000057</v>
          </cell>
        </row>
        <row r="2534">
          <cell r="D2534">
            <v>45545</v>
          </cell>
          <cell r="AJ2534">
            <v>0.35999999999999943</v>
          </cell>
        </row>
        <row r="2535">
          <cell r="D2535">
            <v>45546</v>
          </cell>
          <cell r="AJ2535">
            <v>0.56999999999999318</v>
          </cell>
        </row>
        <row r="2536">
          <cell r="D2536">
            <v>45547</v>
          </cell>
          <cell r="AJ2536">
            <v>0.5</v>
          </cell>
        </row>
        <row r="2537">
          <cell r="D2537">
            <v>45548</v>
          </cell>
          <cell r="AJ2537">
            <v>0.29000000000000625</v>
          </cell>
        </row>
        <row r="2538">
          <cell r="D2538">
            <v>45551</v>
          </cell>
          <cell r="AJ2538">
            <v>0.5</v>
          </cell>
        </row>
        <row r="2539">
          <cell r="D2539">
            <v>45552</v>
          </cell>
          <cell r="AJ2539">
            <v>0.72999999999998977</v>
          </cell>
        </row>
        <row r="2540">
          <cell r="D2540">
            <v>45553</v>
          </cell>
          <cell r="AJ2540">
            <v>1.3499999999999943</v>
          </cell>
        </row>
        <row r="2541">
          <cell r="D2541">
            <v>45554</v>
          </cell>
          <cell r="AJ2541">
            <v>1.5</v>
          </cell>
        </row>
        <row r="2542">
          <cell r="D2542">
            <v>45555</v>
          </cell>
          <cell r="AJ2542">
            <v>1.25</v>
          </cell>
        </row>
        <row r="2543">
          <cell r="D2543">
            <v>45558</v>
          </cell>
          <cell r="AJ2543">
            <v>1.2900000000000063</v>
          </cell>
        </row>
        <row r="2544">
          <cell r="D2544">
            <v>45559</v>
          </cell>
          <cell r="AJ2544">
            <v>1.1099999999999994</v>
          </cell>
        </row>
        <row r="2545">
          <cell r="D2545">
            <v>45560</v>
          </cell>
          <cell r="AJ2545">
            <v>1.039999999999992</v>
          </cell>
        </row>
        <row r="2546">
          <cell r="D2546">
            <v>45561</v>
          </cell>
          <cell r="AJ2546">
            <v>0.79999999999999716</v>
          </cell>
        </row>
        <row r="2547">
          <cell r="D2547">
            <v>45562</v>
          </cell>
          <cell r="AJ2547">
            <v>0.73999999999999488</v>
          </cell>
        </row>
        <row r="2548">
          <cell r="D2548">
            <v>45565</v>
          </cell>
          <cell r="AJ2548">
            <v>0.20000000000000284</v>
          </cell>
        </row>
        <row r="2549">
          <cell r="D2549">
            <v>45566</v>
          </cell>
          <cell r="AJ2549">
            <v>-0.20000000000000284</v>
          </cell>
        </row>
        <row r="2550">
          <cell r="D2550">
            <v>45567</v>
          </cell>
          <cell r="AJ2550">
            <v>-8.0000000000012506E-2</v>
          </cell>
        </row>
        <row r="2551">
          <cell r="D2551">
            <v>45568</v>
          </cell>
          <cell r="AJ2551">
            <v>0.10000000000000853</v>
          </cell>
        </row>
        <row r="2552">
          <cell r="D2552">
            <v>45569</v>
          </cell>
          <cell r="AJ2552">
            <v>0.34999999999999432</v>
          </cell>
        </row>
        <row r="2553">
          <cell r="D2553">
            <v>45572</v>
          </cell>
          <cell r="AJ2553">
            <v>0.17999999999999261</v>
          </cell>
        </row>
        <row r="2554">
          <cell r="D2554">
            <v>45573</v>
          </cell>
          <cell r="AJ2554">
            <v>0.25</v>
          </cell>
        </row>
        <row r="2555">
          <cell r="D2555">
            <v>45574</v>
          </cell>
          <cell r="AJ2555">
            <v>0.32999999999999829</v>
          </cell>
        </row>
        <row r="2556">
          <cell r="D2556">
            <v>45575</v>
          </cell>
          <cell r="AJ2556">
            <v>0.45000000000000284</v>
          </cell>
        </row>
        <row r="2557">
          <cell r="D2557">
            <v>45576</v>
          </cell>
          <cell r="AJ2557">
            <v>0.42000000000000171</v>
          </cell>
        </row>
        <row r="2558">
          <cell r="D2558">
            <v>45579</v>
          </cell>
          <cell r="AJ2558">
            <v>0.32999999999999829</v>
          </cell>
        </row>
        <row r="2559">
          <cell r="D2559">
            <v>45580</v>
          </cell>
          <cell r="AJ2559">
            <v>-5.0000000000011369E-2</v>
          </cell>
        </row>
        <row r="2560">
          <cell r="D2560">
            <v>45581</v>
          </cell>
          <cell r="AJ2560">
            <v>0</v>
          </cell>
        </row>
        <row r="2561">
          <cell r="D2561">
            <v>45582</v>
          </cell>
          <cell r="AJ2561">
            <v>0.15000000000000568</v>
          </cell>
        </row>
        <row r="2562">
          <cell r="D2562">
            <v>45583</v>
          </cell>
          <cell r="AJ2562">
            <v>0.28000000000000114</v>
          </cell>
        </row>
        <row r="2563">
          <cell r="D2563">
            <v>45586</v>
          </cell>
          <cell r="AJ2563">
            <v>0.35999999999999943</v>
          </cell>
        </row>
        <row r="2564">
          <cell r="D2564">
            <v>45587</v>
          </cell>
          <cell r="AJ2564">
            <v>0.13999999999998636</v>
          </cell>
        </row>
        <row r="2565">
          <cell r="D2565">
            <v>45588</v>
          </cell>
          <cell r="AJ2565">
            <v>-0.14000000000000057</v>
          </cell>
        </row>
        <row r="2566">
          <cell r="D2566">
            <v>45589</v>
          </cell>
          <cell r="AJ2566">
            <v>-0.15999999999999659</v>
          </cell>
        </row>
        <row r="2567">
          <cell r="D2567">
            <v>45590</v>
          </cell>
          <cell r="AJ2567">
            <v>-0.15999999999999659</v>
          </cell>
        </row>
        <row r="2568">
          <cell r="D2568">
            <v>45593</v>
          </cell>
          <cell r="AJ2568">
            <v>-0.35999999999999943</v>
          </cell>
        </row>
        <row r="2569">
          <cell r="D2569">
            <v>45594</v>
          </cell>
          <cell r="AJ2569">
            <v>-0.23999999999999488</v>
          </cell>
        </row>
        <row r="2570">
          <cell r="D2570">
            <v>45595</v>
          </cell>
          <cell r="AJ2570">
            <v>-0.15999999999999659</v>
          </cell>
        </row>
        <row r="2571">
          <cell r="D2571">
            <v>45596</v>
          </cell>
          <cell r="AJ2571">
            <v>-9.9999999999994316E-2</v>
          </cell>
        </row>
        <row r="2572">
          <cell r="D2572">
            <v>45597</v>
          </cell>
          <cell r="AJ2572">
            <v>-9.9999999999994316E-2</v>
          </cell>
        </row>
        <row r="2573">
          <cell r="D2573">
            <v>45600</v>
          </cell>
          <cell r="AJ2573">
            <v>0.20999999999999375</v>
          </cell>
        </row>
        <row r="2574">
          <cell r="D2574">
            <v>45601</v>
          </cell>
          <cell r="AJ2574">
            <v>0.34000000000000341</v>
          </cell>
        </row>
        <row r="2575">
          <cell r="D2575">
            <v>45602</v>
          </cell>
          <cell r="AJ2575">
            <v>0.12000000000000455</v>
          </cell>
        </row>
        <row r="2576">
          <cell r="D2576">
            <v>45603</v>
          </cell>
          <cell r="AJ2576">
            <v>6.9999999999993179E-2</v>
          </cell>
        </row>
        <row r="2577">
          <cell r="D2577">
            <v>45604</v>
          </cell>
          <cell r="AJ2577">
            <v>0.17999999999999261</v>
          </cell>
        </row>
        <row r="2578">
          <cell r="D2578">
            <v>45607</v>
          </cell>
          <cell r="AJ2578">
            <v>-4.9999999999997158E-2</v>
          </cell>
        </row>
        <row r="2579">
          <cell r="D2579">
            <v>45608</v>
          </cell>
          <cell r="AJ2579">
            <v>4.9999999999997158E-2</v>
          </cell>
        </row>
        <row r="2580">
          <cell r="D2580">
            <v>45609</v>
          </cell>
          <cell r="AJ2580">
            <v>-7.9999999999998295E-2</v>
          </cell>
        </row>
        <row r="2581">
          <cell r="D2581">
            <v>45610</v>
          </cell>
          <cell r="AJ2581">
            <v>-9.0000000000003411E-2</v>
          </cell>
        </row>
        <row r="2582">
          <cell r="D2582">
            <v>45611</v>
          </cell>
          <cell r="AJ2582">
            <v>-8.0000000000012506E-2</v>
          </cell>
        </row>
        <row r="2583">
          <cell r="D2583">
            <v>45614</v>
          </cell>
          <cell r="AJ2583">
            <v>0.14000000000000057</v>
          </cell>
        </row>
        <row r="2584">
          <cell r="D2584">
            <v>45615</v>
          </cell>
          <cell r="AJ2584">
            <v>1.0000000000005116E-2</v>
          </cell>
        </row>
        <row r="2585">
          <cell r="D2585">
            <v>45616</v>
          </cell>
          <cell r="AJ2585">
            <v>9.0000000000003411E-2</v>
          </cell>
        </row>
        <row r="2586">
          <cell r="D2586">
            <v>45617</v>
          </cell>
          <cell r="AJ2586">
            <v>0</v>
          </cell>
        </row>
        <row r="2587">
          <cell r="D2587">
            <v>45618</v>
          </cell>
          <cell r="AJ2587">
            <v>-3.0000000000001137E-2</v>
          </cell>
        </row>
        <row r="2588">
          <cell r="D2588">
            <v>45621</v>
          </cell>
          <cell r="AJ2588">
            <v>0.10999999999999943</v>
          </cell>
        </row>
        <row r="2589">
          <cell r="D2589">
            <v>45622</v>
          </cell>
          <cell r="AJ2589">
            <v>0.23999999999999488</v>
          </cell>
        </row>
        <row r="2590">
          <cell r="D2590">
            <v>45623</v>
          </cell>
          <cell r="AJ2590">
            <v>0.36999999999999034</v>
          </cell>
        </row>
        <row r="2591">
          <cell r="D2591">
            <v>45624</v>
          </cell>
          <cell r="AJ2591">
            <v>0.32999999999999829</v>
          </cell>
        </row>
        <row r="2592">
          <cell r="D2592">
            <v>45625</v>
          </cell>
          <cell r="AJ2592">
            <v>0.46999999999999886</v>
          </cell>
        </row>
        <row r="2593">
          <cell r="D2593">
            <v>45628</v>
          </cell>
          <cell r="AJ2593">
            <v>0.39000000000000057</v>
          </cell>
        </row>
        <row r="2594">
          <cell r="D2594">
            <v>45629</v>
          </cell>
          <cell r="AJ2594">
            <v>0.46999999999999886</v>
          </cell>
        </row>
        <row r="2595">
          <cell r="D2595">
            <v>45630</v>
          </cell>
          <cell r="AJ2595">
            <v>0.48000000000000398</v>
          </cell>
        </row>
        <row r="2596">
          <cell r="D2596">
            <v>45631</v>
          </cell>
          <cell r="AJ2596">
            <v>0.30000000000001137</v>
          </cell>
        </row>
        <row r="2597">
          <cell r="D2597">
            <v>45632</v>
          </cell>
          <cell r="AJ2597">
            <v>0.29999999999999716</v>
          </cell>
        </row>
        <row r="2598">
          <cell r="D2598">
            <v>45635</v>
          </cell>
          <cell r="AJ2598">
            <v>0.29999999999999716</v>
          </cell>
        </row>
        <row r="2599">
          <cell r="D2599">
            <v>45636</v>
          </cell>
          <cell r="AJ2599">
            <v>0.48999999999999488</v>
          </cell>
        </row>
        <row r="2600">
          <cell r="D2600">
            <v>45637</v>
          </cell>
          <cell r="AJ2600">
            <v>0.53999999999999204</v>
          </cell>
        </row>
        <row r="2601">
          <cell r="D2601">
            <v>45638</v>
          </cell>
          <cell r="AJ2601">
            <v>0.54000000000000625</v>
          </cell>
        </row>
        <row r="2602">
          <cell r="D2602">
            <v>45639</v>
          </cell>
          <cell r="AJ2602">
            <v>0.51000000000000512</v>
          </cell>
        </row>
        <row r="2603">
          <cell r="D2603">
            <v>45642</v>
          </cell>
          <cell r="AJ2603">
            <v>0.37000000000000455</v>
          </cell>
        </row>
        <row r="2604">
          <cell r="D2604">
            <v>45643</v>
          </cell>
          <cell r="AJ2604">
            <v>0.37000000000000455</v>
          </cell>
        </row>
        <row r="2605">
          <cell r="D2605">
            <v>45644</v>
          </cell>
          <cell r="AJ2605">
            <v>0.38000000000000966</v>
          </cell>
        </row>
        <row r="2606">
          <cell r="D2606">
            <v>45645</v>
          </cell>
          <cell r="AJ2606">
            <v>0.31000000000000227</v>
          </cell>
        </row>
        <row r="2607">
          <cell r="D2607">
            <v>45646</v>
          </cell>
          <cell r="AJ2607">
            <v>0.23999999999999488</v>
          </cell>
        </row>
        <row r="2608">
          <cell r="D2608">
            <v>45649</v>
          </cell>
          <cell r="AJ2608">
            <v>0.25999999999999091</v>
          </cell>
        </row>
        <row r="2609">
          <cell r="D2609">
            <v>45650</v>
          </cell>
          <cell r="AJ2609">
            <v>0.25999999999999091</v>
          </cell>
        </row>
        <row r="2610">
          <cell r="D2610">
            <v>45651</v>
          </cell>
          <cell r="AJ2610">
            <v>0.25</v>
          </cell>
        </row>
        <row r="2611">
          <cell r="D2611">
            <v>45652</v>
          </cell>
          <cell r="AJ2611">
            <v>0.25</v>
          </cell>
        </row>
        <row r="2612">
          <cell r="D2612">
            <v>45653</v>
          </cell>
          <cell r="AJ2612">
            <v>0.26999999999999602</v>
          </cell>
        </row>
        <row r="2613">
          <cell r="D2613">
            <v>45656</v>
          </cell>
          <cell r="AJ2613">
            <v>0.31999999999999318</v>
          </cell>
        </row>
        <row r="2614">
          <cell r="D2614">
            <v>45657</v>
          </cell>
          <cell r="AJ2614">
            <v>0.39000000000000057</v>
          </cell>
        </row>
        <row r="2615">
          <cell r="D2615">
            <v>45658</v>
          </cell>
          <cell r="AJ2615">
            <v>0.35999999999999943</v>
          </cell>
        </row>
        <row r="2616">
          <cell r="D2616">
            <v>45659</v>
          </cell>
          <cell r="AJ2616">
            <v>0.35999999999999943</v>
          </cell>
        </row>
        <row r="2617">
          <cell r="D2617">
            <v>45660</v>
          </cell>
          <cell r="AJ2617">
            <v>0.28999999999999204</v>
          </cell>
        </row>
        <row r="2618">
          <cell r="D2618">
            <v>45663</v>
          </cell>
          <cell r="AJ2618">
            <v>0.26999999999999602</v>
          </cell>
        </row>
        <row r="2619">
          <cell r="D2619">
            <v>45664</v>
          </cell>
          <cell r="AJ2619">
            <v>0.21999999999999886</v>
          </cell>
        </row>
        <row r="2620">
          <cell r="D2620">
            <v>45665</v>
          </cell>
          <cell r="AJ2620">
            <v>0.15999999999999659</v>
          </cell>
        </row>
        <row r="2621">
          <cell r="D2621">
            <v>45666</v>
          </cell>
          <cell r="AJ2621">
            <v>0.13000000000000966</v>
          </cell>
        </row>
        <row r="2622">
          <cell r="D2622">
            <v>45667</v>
          </cell>
          <cell r="AJ2622">
            <v>0.17000000000000171</v>
          </cell>
        </row>
        <row r="2623">
          <cell r="D2623">
            <v>45670</v>
          </cell>
          <cell r="AJ2623">
            <v>0.31000000000000227</v>
          </cell>
        </row>
        <row r="2624">
          <cell r="D2624">
            <v>45671</v>
          </cell>
          <cell r="AJ2624">
            <v>0.28000000000000114</v>
          </cell>
        </row>
        <row r="2625">
          <cell r="D2625">
            <v>45672</v>
          </cell>
          <cell r="AJ2625">
            <v>0.25</v>
          </cell>
        </row>
        <row r="2626">
          <cell r="D2626">
            <v>45673</v>
          </cell>
          <cell r="AJ2626">
            <v>0.15000000000000568</v>
          </cell>
        </row>
        <row r="2627">
          <cell r="D2627">
            <v>45674</v>
          </cell>
          <cell r="AJ2627">
            <v>0</v>
          </cell>
        </row>
        <row r="2628">
          <cell r="D2628">
            <v>45677</v>
          </cell>
          <cell r="AJ2628">
            <v>0</v>
          </cell>
        </row>
        <row r="2629">
          <cell r="D2629">
            <v>45678</v>
          </cell>
          <cell r="AJ2629">
            <v>-0.26000000000000512</v>
          </cell>
        </row>
        <row r="2630">
          <cell r="D2630">
            <v>45679</v>
          </cell>
          <cell r="AJ2630">
            <v>-0.31000000000000227</v>
          </cell>
        </row>
        <row r="2631">
          <cell r="D2631">
            <v>45680</v>
          </cell>
          <cell r="AJ2631">
            <v>-0.10999999999999943</v>
          </cell>
        </row>
        <row r="2632">
          <cell r="D2632">
            <v>45681</v>
          </cell>
          <cell r="AJ2632">
            <v>-6.0000000000002274E-2</v>
          </cell>
        </row>
        <row r="2633">
          <cell r="D2633">
            <v>45684</v>
          </cell>
          <cell r="AJ2633">
            <v>0.15999999999999659</v>
          </cell>
        </row>
        <row r="2634">
          <cell r="D2634">
            <v>45685</v>
          </cell>
          <cell r="AJ2634">
            <v>0.28000000000000114</v>
          </cell>
        </row>
        <row r="2635">
          <cell r="D2635">
            <v>45686</v>
          </cell>
          <cell r="AJ2635">
            <v>0.29000000000000625</v>
          </cell>
        </row>
        <row r="2636">
          <cell r="D2636">
            <v>45687</v>
          </cell>
          <cell r="AJ2636">
            <v>0.29000000000000625</v>
          </cell>
        </row>
        <row r="2637">
          <cell r="D2637">
            <v>45688</v>
          </cell>
          <cell r="AJ2637">
            <v>0.29000000000000625</v>
          </cell>
        </row>
        <row r="2638">
          <cell r="D2638">
            <v>45691</v>
          </cell>
          <cell r="AJ2638">
            <v>0.70999999999999375</v>
          </cell>
        </row>
        <row r="2639">
          <cell r="D2639">
            <v>45692</v>
          </cell>
          <cell r="AJ2639">
            <v>0.45999999999999375</v>
          </cell>
        </row>
        <row r="2640">
          <cell r="D2640">
            <v>45693</v>
          </cell>
          <cell r="AJ2640">
            <v>0.43000000000000682</v>
          </cell>
        </row>
        <row r="2641">
          <cell r="D2641">
            <v>45694</v>
          </cell>
          <cell r="AJ2641">
            <v>0.30999999999998806</v>
          </cell>
        </row>
        <row r="2642">
          <cell r="D2642">
            <v>45695</v>
          </cell>
          <cell r="AJ2642">
            <v>0.39999999999999147</v>
          </cell>
        </row>
        <row r="2643">
          <cell r="D2643">
            <v>45698</v>
          </cell>
          <cell r="AJ2643">
            <v>0.45999999999999375</v>
          </cell>
        </row>
        <row r="2644">
          <cell r="D2644">
            <v>45699</v>
          </cell>
          <cell r="AJ2644">
            <v>0.48000000000000398</v>
          </cell>
        </row>
        <row r="2645">
          <cell r="D2645">
            <v>45700</v>
          </cell>
          <cell r="AJ2645">
            <v>0.5</v>
          </cell>
        </row>
        <row r="2646">
          <cell r="D2646">
            <v>45701</v>
          </cell>
          <cell r="AJ2646">
            <v>0.53999999999999204</v>
          </cell>
        </row>
        <row r="2647">
          <cell r="D2647">
            <v>45702</v>
          </cell>
          <cell r="AJ2647">
            <v>0.54999999999999716</v>
          </cell>
        </row>
        <row r="2648">
          <cell r="D2648">
            <v>45705</v>
          </cell>
          <cell r="AJ2648">
            <v>0.68999999999999773</v>
          </cell>
        </row>
        <row r="2649">
          <cell r="D2649">
            <v>45706</v>
          </cell>
          <cell r="AJ2649">
            <v>0.65000000000000568</v>
          </cell>
        </row>
        <row r="2650">
          <cell r="D2650">
            <v>45707</v>
          </cell>
          <cell r="AJ2650">
            <v>0.71999999999999886</v>
          </cell>
        </row>
        <row r="2651">
          <cell r="D2651">
            <v>45708</v>
          </cell>
          <cell r="AJ2651">
            <v>0.67999999999999261</v>
          </cell>
        </row>
        <row r="2652">
          <cell r="D2652">
            <v>45709</v>
          </cell>
          <cell r="AJ2652">
            <v>0.52000000000001023</v>
          </cell>
        </row>
        <row r="2653">
          <cell r="D2653">
            <v>45712</v>
          </cell>
          <cell r="AJ2653">
            <v>0.65999999999999659</v>
          </cell>
        </row>
        <row r="2654">
          <cell r="D2654">
            <v>45713</v>
          </cell>
          <cell r="AJ2654">
            <v>0.63000000000000966</v>
          </cell>
        </row>
        <row r="2655">
          <cell r="D2655">
            <v>45714</v>
          </cell>
          <cell r="AJ2655">
            <v>0.53000000000000114</v>
          </cell>
        </row>
        <row r="2656">
          <cell r="D2656">
            <v>45715</v>
          </cell>
          <cell r="AJ2656">
            <v>0.61999999999999034</v>
          </cell>
        </row>
        <row r="2657">
          <cell r="D2657">
            <v>45716</v>
          </cell>
          <cell r="AJ2657">
            <v>0.6600000000000108</v>
          </cell>
        </row>
        <row r="2658">
          <cell r="D2658">
            <v>45719</v>
          </cell>
          <cell r="AJ2658">
            <v>0.70000000000000284</v>
          </cell>
        </row>
        <row r="2659">
          <cell r="D2659">
            <v>45720</v>
          </cell>
          <cell r="AJ2659">
            <v>0.39000000000000057</v>
          </cell>
        </row>
        <row r="2660">
          <cell r="D2660">
            <v>45721</v>
          </cell>
          <cell r="AJ2660">
            <v>0.32000000000000739</v>
          </cell>
        </row>
        <row r="2661">
          <cell r="D2661">
            <v>45722</v>
          </cell>
          <cell r="AJ2661">
            <v>0.28000000000000114</v>
          </cell>
        </row>
        <row r="2662">
          <cell r="D2662">
            <v>45723</v>
          </cell>
          <cell r="AJ2662">
            <v>0.34999999999999432</v>
          </cell>
        </row>
        <row r="2663">
          <cell r="D2663">
            <v>45726</v>
          </cell>
          <cell r="AJ2663">
            <v>0.37999999999999545</v>
          </cell>
        </row>
        <row r="2664">
          <cell r="D2664">
            <v>45727</v>
          </cell>
          <cell r="AJ2664">
            <v>0.43000000000000682</v>
          </cell>
        </row>
        <row r="2665">
          <cell r="D2665">
            <v>45728</v>
          </cell>
          <cell r="AJ2665">
            <v>0.46000000000000796</v>
          </cell>
        </row>
        <row r="2666">
          <cell r="D2666">
            <v>45729</v>
          </cell>
          <cell r="AJ2666">
            <v>0.46999999999999886</v>
          </cell>
        </row>
        <row r="2667">
          <cell r="D2667">
            <v>45730</v>
          </cell>
          <cell r="AJ2667">
            <v>0.48000000000000398</v>
          </cell>
        </row>
        <row r="2668">
          <cell r="D2668">
            <v>45733</v>
          </cell>
          <cell r="AJ2668">
            <v>0.64000000000000057</v>
          </cell>
        </row>
        <row r="2669">
          <cell r="D2669">
            <v>45734</v>
          </cell>
          <cell r="AJ2669">
            <v>0.5899999999999892</v>
          </cell>
        </row>
        <row r="2670">
          <cell r="D2670">
            <v>45735</v>
          </cell>
          <cell r="AJ2670">
            <v>0.56999999999999318</v>
          </cell>
        </row>
        <row r="2671">
          <cell r="D2671">
            <v>45736</v>
          </cell>
          <cell r="AJ2671">
            <v>0.53000000000000114</v>
          </cell>
        </row>
        <row r="2672">
          <cell r="D2672">
            <v>45737</v>
          </cell>
          <cell r="AJ2672">
            <v>0.57999999999999829</v>
          </cell>
        </row>
        <row r="2673">
          <cell r="D2673">
            <v>45740</v>
          </cell>
          <cell r="AJ2673">
            <v>0.65000000000000568</v>
          </cell>
        </row>
        <row r="2674">
          <cell r="D2674">
            <v>45741</v>
          </cell>
          <cell r="AJ2674">
            <v>0.75</v>
          </cell>
        </row>
        <row r="2675">
          <cell r="D2675">
            <v>45742</v>
          </cell>
          <cell r="AJ2675">
            <v>0.76999999999999602</v>
          </cell>
        </row>
        <row r="2676">
          <cell r="D2676">
            <v>45743</v>
          </cell>
          <cell r="AJ2676">
            <v>0.76000000000000512</v>
          </cell>
        </row>
        <row r="2677">
          <cell r="D2677">
            <v>45744</v>
          </cell>
          <cell r="AJ2677">
            <v>0.65999999999999659</v>
          </cell>
        </row>
        <row r="2678">
          <cell r="D2678">
            <v>45747</v>
          </cell>
          <cell r="AJ2678">
            <v>0.85000000000000853</v>
          </cell>
        </row>
        <row r="2679">
          <cell r="D2679">
            <v>45748</v>
          </cell>
          <cell r="AJ2679">
            <v>0.85000000000000853</v>
          </cell>
        </row>
        <row r="2680">
          <cell r="D2680">
            <v>45749</v>
          </cell>
          <cell r="AJ2680">
            <v>0.87000000000000455</v>
          </cell>
        </row>
        <row r="2681">
          <cell r="D2681">
            <v>45750</v>
          </cell>
          <cell r="AJ2681">
            <v>0.78000000000000114</v>
          </cell>
        </row>
        <row r="2682">
          <cell r="D2682">
            <v>45751</v>
          </cell>
          <cell r="AJ2682">
            <v>0.55000000000001137</v>
          </cell>
        </row>
        <row r="2683">
          <cell r="D2683">
            <v>45754</v>
          </cell>
          <cell r="AJ2683">
            <v>0.45999999999999375</v>
          </cell>
        </row>
        <row r="2684">
          <cell r="D2684">
            <v>45755</v>
          </cell>
          <cell r="AJ2684">
            <v>0.56000000000000227</v>
          </cell>
        </row>
        <row r="2685">
          <cell r="D2685">
            <v>45756</v>
          </cell>
          <cell r="AJ2685">
            <v>0.53000000000000114</v>
          </cell>
        </row>
        <row r="2686">
          <cell r="D2686">
            <v>45757</v>
          </cell>
          <cell r="AJ2686">
            <v>0.51999999999999602</v>
          </cell>
        </row>
        <row r="2687">
          <cell r="D2687">
            <v>45758</v>
          </cell>
          <cell r="AJ2687">
            <v>0.45999999999999375</v>
          </cell>
        </row>
        <row r="2688">
          <cell r="D2688">
            <v>45761</v>
          </cell>
          <cell r="AJ2688">
            <v>0.67000000000000171</v>
          </cell>
        </row>
        <row r="2689">
          <cell r="D2689">
            <v>45762</v>
          </cell>
          <cell r="AJ2689">
            <v>0.68000000000000682</v>
          </cell>
        </row>
        <row r="2690">
          <cell r="D2690">
            <v>45763</v>
          </cell>
          <cell r="AJ2690">
            <v>0.81000000000000227</v>
          </cell>
        </row>
        <row r="2691">
          <cell r="D2691">
            <v>45764</v>
          </cell>
          <cell r="AJ2691">
            <v>0.82000000000000739</v>
          </cell>
        </row>
        <row r="2692">
          <cell r="D2692">
            <v>45765</v>
          </cell>
          <cell r="AJ2692">
            <v>0.85000000000000853</v>
          </cell>
        </row>
        <row r="2693">
          <cell r="D2693">
            <v>45768</v>
          </cell>
          <cell r="AJ2693">
            <v>0.85000000000000853</v>
          </cell>
        </row>
        <row r="2694">
          <cell r="D2694">
            <v>45769</v>
          </cell>
          <cell r="AJ2694">
            <v>0.88000000000000966</v>
          </cell>
        </row>
        <row r="2695">
          <cell r="D2695">
            <v>45770</v>
          </cell>
          <cell r="AJ2695">
            <v>0.96999999999999886</v>
          </cell>
        </row>
        <row r="2696">
          <cell r="D2696">
            <v>45771</v>
          </cell>
          <cell r="AJ2696">
            <v>1.0300000000000011</v>
          </cell>
        </row>
        <row r="2697">
          <cell r="D2697">
            <v>45772</v>
          </cell>
          <cell r="AJ2697">
            <v>1.1200000000000045</v>
          </cell>
        </row>
        <row r="2698">
          <cell r="D2698">
            <v>45775</v>
          </cell>
          <cell r="AJ2698">
            <v>1.019999999999996</v>
          </cell>
        </row>
        <row r="2699">
          <cell r="D2699">
            <v>45776</v>
          </cell>
          <cell r="AJ2699">
            <v>1.0300000000000011</v>
          </cell>
        </row>
        <row r="2700">
          <cell r="D2700">
            <v>45777</v>
          </cell>
          <cell r="AJ2700">
            <v>1.0999999999999943</v>
          </cell>
        </row>
        <row r="2701">
          <cell r="D2701">
            <v>45778</v>
          </cell>
          <cell r="AJ2701">
            <v>1.0900000000000034</v>
          </cell>
        </row>
        <row r="2702">
          <cell r="D2702">
            <v>45779</v>
          </cell>
          <cell r="AJ2702">
            <v>1.0900000000000034</v>
          </cell>
        </row>
        <row r="2703">
          <cell r="D2703">
            <v>45782</v>
          </cell>
          <cell r="AJ2703">
            <v>0.94999999999998863</v>
          </cell>
        </row>
        <row r="2704">
          <cell r="D2704">
            <v>45783</v>
          </cell>
          <cell r="AJ2704">
            <v>1</v>
          </cell>
        </row>
        <row r="2705">
          <cell r="D2705">
            <v>45784</v>
          </cell>
          <cell r="AJ2705">
            <v>1.0499999999999972</v>
          </cell>
        </row>
        <row r="2706">
          <cell r="D2706">
            <v>45785</v>
          </cell>
          <cell r="AJ2706">
            <v>1.019999999999996</v>
          </cell>
        </row>
        <row r="2707">
          <cell r="D2707">
            <v>45786</v>
          </cell>
          <cell r="AJ2707">
            <v>1</v>
          </cell>
        </row>
        <row r="2708">
          <cell r="D2708">
            <v>45789</v>
          </cell>
          <cell r="AJ2708">
            <v>0.95999999999999375</v>
          </cell>
        </row>
        <row r="2709">
          <cell r="D2709">
            <v>45790</v>
          </cell>
          <cell r="AJ2709">
            <v>0.95999999999999375</v>
          </cell>
        </row>
        <row r="2710">
          <cell r="D2710">
            <v>45791</v>
          </cell>
          <cell r="AJ2710">
            <v>0.93000000000000682</v>
          </cell>
        </row>
        <row r="2711">
          <cell r="D2711">
            <v>45792</v>
          </cell>
          <cell r="AJ2711">
            <v>0.89000000000000057</v>
          </cell>
        </row>
        <row r="2712">
          <cell r="D2712">
            <v>45793</v>
          </cell>
          <cell r="AJ2712">
            <v>0.92000000000000171</v>
          </cell>
        </row>
        <row r="2713">
          <cell r="D2713">
            <v>45796</v>
          </cell>
          <cell r="AJ2713">
            <v>0.90999999999999659</v>
          </cell>
        </row>
        <row r="2714">
          <cell r="D2714">
            <v>45797</v>
          </cell>
          <cell r="AJ2714">
            <v>0.93999999999999773</v>
          </cell>
        </row>
        <row r="2715">
          <cell r="D2715">
            <v>45798</v>
          </cell>
          <cell r="AJ2715">
            <v>1.039999999999992</v>
          </cell>
        </row>
        <row r="2716">
          <cell r="D2716">
            <v>45799</v>
          </cell>
          <cell r="AJ2716">
            <v>1.1899999999999977</v>
          </cell>
        </row>
        <row r="2717">
          <cell r="D2717">
            <v>45800</v>
          </cell>
          <cell r="AJ2717">
            <v>1.3400000000000034</v>
          </cell>
        </row>
        <row r="2718">
          <cell r="D2718">
            <v>45803</v>
          </cell>
          <cell r="AJ2718">
            <v>1.3299999999999983</v>
          </cell>
        </row>
        <row r="2719">
          <cell r="D2719">
            <v>45804</v>
          </cell>
          <cell r="AJ2719">
            <v>1.3299999999999983</v>
          </cell>
        </row>
        <row r="2720">
          <cell r="D2720">
            <v>45805</v>
          </cell>
          <cell r="AJ2720">
            <v>1.3300000000000125</v>
          </cell>
        </row>
        <row r="2721">
          <cell r="D2721">
            <v>45806</v>
          </cell>
          <cell r="AJ2721">
            <v>1.3299999999999983</v>
          </cell>
        </row>
        <row r="2722">
          <cell r="D2722">
            <v>45807</v>
          </cell>
          <cell r="AJ2722">
            <v>1.4399999999999977</v>
          </cell>
        </row>
        <row r="2723">
          <cell r="D2723">
            <v>45810</v>
          </cell>
          <cell r="AJ2723">
            <v>1.2900000000000063</v>
          </cell>
        </row>
        <row r="2724">
          <cell r="D2724">
            <v>45811</v>
          </cell>
          <cell r="AJ2724">
            <v>1.2299999999999898</v>
          </cell>
        </row>
        <row r="2725">
          <cell r="D2725">
            <v>45812</v>
          </cell>
          <cell r="AJ2725">
            <v>1.269999999999996</v>
          </cell>
        </row>
        <row r="2726">
          <cell r="D2726">
            <v>45813</v>
          </cell>
          <cell r="AJ2726">
            <v>1.1299999999999955</v>
          </cell>
        </row>
        <row r="2727">
          <cell r="D2727">
            <v>45814</v>
          </cell>
          <cell r="AJ2727">
            <v>1.2099999999999937</v>
          </cell>
        </row>
        <row r="2728">
          <cell r="D2728">
            <v>45817</v>
          </cell>
          <cell r="AJ2728">
            <v>1.2600000000000051</v>
          </cell>
        </row>
        <row r="2729">
          <cell r="D2729">
            <v>45818</v>
          </cell>
          <cell r="AJ2729">
            <v>1.3900000000000006</v>
          </cell>
        </row>
        <row r="2730">
          <cell r="D2730">
            <v>45819</v>
          </cell>
          <cell r="AJ2730">
            <v>1.3999999999999915</v>
          </cell>
        </row>
        <row r="2731">
          <cell r="D2731">
            <v>45820</v>
          </cell>
          <cell r="AJ2731">
            <v>1.4300000000000068</v>
          </cell>
        </row>
        <row r="2732">
          <cell r="D2732">
            <v>45821</v>
          </cell>
          <cell r="AJ2732">
            <v>1.5</v>
          </cell>
        </row>
        <row r="2733">
          <cell r="D2733">
            <v>45824</v>
          </cell>
          <cell r="AJ2733">
            <v>1.5500000000000114</v>
          </cell>
        </row>
        <row r="2734">
          <cell r="D2734">
            <v>45825</v>
          </cell>
          <cell r="AJ2734">
            <v>1.5799999999999983</v>
          </cell>
        </row>
        <row r="2735">
          <cell r="D2735">
            <v>45826</v>
          </cell>
          <cell r="AJ2735">
            <v>1.789999999999992</v>
          </cell>
        </row>
        <row r="2736">
          <cell r="D2736">
            <v>45827</v>
          </cell>
          <cell r="AJ2736">
            <v>1.8299999999999983</v>
          </cell>
        </row>
        <row r="2737">
          <cell r="D2737">
            <v>45828</v>
          </cell>
          <cell r="AJ2737">
            <v>1.9899999999999949</v>
          </cell>
        </row>
        <row r="2738">
          <cell r="D2738">
            <v>45831</v>
          </cell>
          <cell r="AJ2738">
            <v>1.9899999999999949</v>
          </cell>
        </row>
        <row r="2739">
          <cell r="D2739">
            <v>45832</v>
          </cell>
          <cell r="AJ2739">
            <v>1.8400000000000034</v>
          </cell>
        </row>
        <row r="2740">
          <cell r="D2740">
            <v>45833</v>
          </cell>
          <cell r="AJ2740">
            <v>1.6800000000000068</v>
          </cell>
        </row>
        <row r="2741">
          <cell r="D2741">
            <v>45834</v>
          </cell>
          <cell r="AJ2741">
            <v>1.710000000000008</v>
          </cell>
        </row>
        <row r="2742">
          <cell r="D2742">
            <v>45835</v>
          </cell>
          <cell r="AJ2742">
            <v>1.3800000000000097</v>
          </cell>
        </row>
        <row r="2743">
          <cell r="D2743">
            <v>45838</v>
          </cell>
          <cell r="AJ2743">
            <v>1.3900000000000006</v>
          </cell>
        </row>
        <row r="2744">
          <cell r="D2744">
            <v>45839</v>
          </cell>
          <cell r="AJ2744">
            <v>1.2399999999999949</v>
          </cell>
        </row>
        <row r="2745">
          <cell r="D2745">
            <v>45840</v>
          </cell>
          <cell r="AJ2745">
            <v>1.3200000000000074</v>
          </cell>
        </row>
        <row r="2746">
          <cell r="D2746">
            <v>45841</v>
          </cell>
          <cell r="AJ2746">
            <v>1.2900000000000063</v>
          </cell>
        </row>
        <row r="2747">
          <cell r="D2747">
            <v>45842</v>
          </cell>
          <cell r="AJ2747">
            <v>1.3699999999999903</v>
          </cell>
        </row>
        <row r="2748">
          <cell r="D2748">
            <v>45845</v>
          </cell>
          <cell r="AJ2748">
            <v>1.289999999999992</v>
          </cell>
        </row>
        <row r="2749">
          <cell r="D2749">
            <v>45846</v>
          </cell>
          <cell r="AJ2749">
            <v>1.1499999999999915</v>
          </cell>
        </row>
        <row r="2750">
          <cell r="D2750">
            <v>45847</v>
          </cell>
          <cell r="AJ2750">
            <v>1.1799999999999926</v>
          </cell>
        </row>
        <row r="2751">
          <cell r="D2751">
            <v>45848</v>
          </cell>
          <cell r="AJ2751">
            <v>1.0499999999999972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view"/>
      <sheetName val="AUS"/>
      <sheetName val="CHN"/>
      <sheetName val="IND"/>
      <sheetName val="JPN"/>
      <sheetName val="SKR"/>
      <sheetName val="TWN"/>
      <sheetName val="THA"/>
      <sheetName val="PAK"/>
      <sheetName val="MAS"/>
      <sheetName val="INA"/>
      <sheetName val="PHI"/>
      <sheetName val="SIN"/>
      <sheetName val="VIE"/>
      <sheetName val="OTH"/>
      <sheetName val="BRU"/>
      <sheetName val="NZL"/>
      <sheetName val="HKG"/>
      <sheetName val="RUNS"/>
      <sheetName val="SUPPLY"/>
      <sheetName val="BALANCES"/>
      <sheetName val="DEMAND"/>
      <sheetName val="IMPORT"/>
      <sheetName val="EXPORT"/>
      <sheetName val="NET EXPORTS"/>
      <sheetName val="STOCK CHG"/>
      <sheetName val="LPG"/>
      <sheetName val="NAPHTHA"/>
      <sheetName val="GASOLINE"/>
      <sheetName val="KEROJET"/>
      <sheetName val="JET"/>
      <sheetName val="GASOIL"/>
      <sheetName val="MGO"/>
      <sheetName val="FUELOIL"/>
      <sheetName val="VLSFO"/>
      <sheetName val="FOF"/>
      <sheetName val="Comparison"/>
      <sheetName val="APPM Appdx"/>
      <sheetName val="Capaciti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3">
          <cell r="BM3" t="str">
            <v>Utilzation Rate (%)</v>
          </cell>
        </row>
        <row r="5">
          <cell r="B5">
            <v>40179</v>
          </cell>
          <cell r="D5">
            <v>23739.73911463518</v>
          </cell>
        </row>
        <row r="6">
          <cell r="B6">
            <v>40210</v>
          </cell>
          <cell r="D6">
            <v>24330.577374177119</v>
          </cell>
        </row>
        <row r="7">
          <cell r="B7">
            <v>40238</v>
          </cell>
          <cell r="D7">
            <v>23562.646890642325</v>
          </cell>
        </row>
        <row r="8">
          <cell r="B8">
            <v>40269</v>
          </cell>
          <cell r="D8">
            <v>23946.278814812511</v>
          </cell>
        </row>
        <row r="9">
          <cell r="B9">
            <v>40299</v>
          </cell>
          <cell r="D9">
            <v>23749.504890822409</v>
          </cell>
        </row>
        <row r="10">
          <cell r="B10">
            <v>40330</v>
          </cell>
          <cell r="D10">
            <v>23798.759461326816</v>
          </cell>
        </row>
        <row r="11">
          <cell r="B11">
            <v>40360</v>
          </cell>
          <cell r="D11">
            <v>23640.22275008163</v>
          </cell>
        </row>
        <row r="12">
          <cell r="B12">
            <v>40391</v>
          </cell>
          <cell r="D12">
            <v>23825.649121019327</v>
          </cell>
        </row>
        <row r="13">
          <cell r="B13">
            <v>40422</v>
          </cell>
          <cell r="D13">
            <v>23893.820871172633</v>
          </cell>
        </row>
        <row r="14">
          <cell r="B14">
            <v>40452</v>
          </cell>
          <cell r="D14">
            <v>23989.827656177455</v>
          </cell>
        </row>
        <row r="15">
          <cell r="B15">
            <v>40483</v>
          </cell>
          <cell r="D15">
            <v>24725.661829974379</v>
          </cell>
        </row>
        <row r="16">
          <cell r="B16">
            <v>40513</v>
          </cell>
          <cell r="D16">
            <v>25271.108597260198</v>
          </cell>
        </row>
        <row r="17">
          <cell r="B17">
            <v>40544</v>
          </cell>
          <cell r="D17">
            <v>25446.936521557607</v>
          </cell>
          <cell r="BM17"/>
        </row>
        <row r="18">
          <cell r="B18">
            <v>40575</v>
          </cell>
          <cell r="D18">
            <v>25761.509017378125</v>
          </cell>
        </row>
        <row r="19">
          <cell r="B19">
            <v>40603</v>
          </cell>
          <cell r="D19">
            <v>24725.482226011998</v>
          </cell>
        </row>
        <row r="20">
          <cell r="B20">
            <v>40634</v>
          </cell>
          <cell r="D20">
            <v>24486.35427247428</v>
          </cell>
        </row>
        <row r="21">
          <cell r="B21">
            <v>40664</v>
          </cell>
          <cell r="D21">
            <v>24309.370118455976</v>
          </cell>
        </row>
        <row r="22">
          <cell r="B22">
            <v>40695</v>
          </cell>
          <cell r="D22">
            <v>24423.702241801922</v>
          </cell>
        </row>
        <row r="23">
          <cell r="B23">
            <v>40725</v>
          </cell>
          <cell r="D23">
            <v>24381.334984397632</v>
          </cell>
        </row>
        <row r="24">
          <cell r="B24">
            <v>40756</v>
          </cell>
          <cell r="D24">
            <v>24403.244239542353</v>
          </cell>
        </row>
        <row r="25">
          <cell r="B25">
            <v>40787</v>
          </cell>
          <cell r="D25">
            <v>24278.570218359477</v>
          </cell>
        </row>
        <row r="26">
          <cell r="B26">
            <v>40817</v>
          </cell>
          <cell r="D26">
            <v>23790.410302139142</v>
          </cell>
        </row>
        <row r="27">
          <cell r="B27">
            <v>40848</v>
          </cell>
          <cell r="D27">
            <v>25250.402967088892</v>
          </cell>
        </row>
        <row r="28">
          <cell r="B28">
            <v>40878</v>
          </cell>
          <cell r="D28">
            <v>25744.228796892014</v>
          </cell>
        </row>
        <row r="29">
          <cell r="B29">
            <v>40909</v>
          </cell>
          <cell r="D29">
            <v>25619.407802928308</v>
          </cell>
          <cell r="BM29"/>
        </row>
        <row r="30">
          <cell r="B30">
            <v>40940</v>
          </cell>
          <cell r="D30">
            <v>25180.364359108993</v>
          </cell>
        </row>
        <row r="31">
          <cell r="B31">
            <v>40969</v>
          </cell>
          <cell r="D31">
            <v>25451.283798227778</v>
          </cell>
        </row>
        <row r="32">
          <cell r="B32">
            <v>41000</v>
          </cell>
          <cell r="D32">
            <v>24900.604967623742</v>
          </cell>
        </row>
        <row r="33">
          <cell r="B33">
            <v>41030</v>
          </cell>
          <cell r="D33">
            <v>24523.362376233701</v>
          </cell>
        </row>
        <row r="34">
          <cell r="B34">
            <v>41061</v>
          </cell>
          <cell r="D34">
            <v>24192.855325609715</v>
          </cell>
        </row>
        <row r="35">
          <cell r="B35">
            <v>41091</v>
          </cell>
          <cell r="D35">
            <v>24676.177621338345</v>
          </cell>
        </row>
        <row r="36">
          <cell r="B36">
            <v>41122</v>
          </cell>
          <cell r="D36">
            <v>24953.25601432347</v>
          </cell>
        </row>
        <row r="37">
          <cell r="B37">
            <v>41153</v>
          </cell>
          <cell r="D37">
            <v>25320.706816745769</v>
          </cell>
        </row>
        <row r="38">
          <cell r="B38">
            <v>41183</v>
          </cell>
          <cell r="D38">
            <v>25450.425966212137</v>
          </cell>
        </row>
        <row r="39">
          <cell r="B39">
            <v>41214</v>
          </cell>
          <cell r="D39">
            <v>25912.431240289152</v>
          </cell>
        </row>
        <row r="40">
          <cell r="B40">
            <v>41244</v>
          </cell>
          <cell r="D40">
            <v>26573.85307095492</v>
          </cell>
        </row>
        <row r="41">
          <cell r="B41">
            <v>41275</v>
          </cell>
          <cell r="D41">
            <v>25673.704986289751</v>
          </cell>
          <cell r="BM41">
            <v>0.79961457680704096</v>
          </cell>
        </row>
        <row r="42">
          <cell r="B42">
            <v>41306</v>
          </cell>
          <cell r="D42">
            <v>26879.432967695629</v>
          </cell>
          <cell r="BM42">
            <v>0.83426754753984045</v>
          </cell>
        </row>
        <row r="43">
          <cell r="B43">
            <v>41334</v>
          </cell>
          <cell r="D43">
            <v>25313.061820010676</v>
          </cell>
          <cell r="BM43">
            <v>0.78542475821123148</v>
          </cell>
        </row>
        <row r="44">
          <cell r="B44">
            <v>41365</v>
          </cell>
          <cell r="D44">
            <v>24843.180684667001</v>
          </cell>
          <cell r="BM44">
            <v>0.77084508074117619</v>
          </cell>
        </row>
        <row r="45">
          <cell r="B45">
            <v>41395</v>
          </cell>
          <cell r="D45">
            <v>24474.266669996567</v>
          </cell>
          <cell r="BM45">
            <v>0.75133899435739215</v>
          </cell>
        </row>
        <row r="46">
          <cell r="B46">
            <v>41426</v>
          </cell>
          <cell r="D46">
            <v>25285.098500072178</v>
          </cell>
          <cell r="BM46">
            <v>0.77232112367389982</v>
          </cell>
        </row>
        <row r="47">
          <cell r="B47">
            <v>41456</v>
          </cell>
          <cell r="D47">
            <v>25458.18993286369</v>
          </cell>
          <cell r="BM47">
            <v>0.77760811790378126</v>
          </cell>
        </row>
        <row r="48">
          <cell r="B48">
            <v>41487</v>
          </cell>
          <cell r="D48">
            <v>25594.463820912071</v>
          </cell>
          <cell r="BM48">
            <v>0.78053556995727669</v>
          </cell>
        </row>
        <row r="49">
          <cell r="B49">
            <v>41518</v>
          </cell>
          <cell r="D49">
            <v>24948.546025924592</v>
          </cell>
          <cell r="BM49">
            <v>0.76083748924014238</v>
          </cell>
        </row>
        <row r="50">
          <cell r="B50">
            <v>41548</v>
          </cell>
          <cell r="D50">
            <v>25009.690859235478</v>
          </cell>
          <cell r="BM50">
            <v>0.76264635944645609</v>
          </cell>
        </row>
        <row r="51">
          <cell r="B51">
            <v>41579</v>
          </cell>
          <cell r="D51">
            <v>25730.846176800329</v>
          </cell>
          <cell r="BM51">
            <v>0.77284429717334902</v>
          </cell>
        </row>
        <row r="52">
          <cell r="B52">
            <v>41609</v>
          </cell>
          <cell r="D52">
            <v>26208.499751155563</v>
          </cell>
          <cell r="BM52">
            <v>0.78837493272877468</v>
          </cell>
        </row>
        <row r="53">
          <cell r="B53">
            <v>41640</v>
          </cell>
          <cell r="D53">
            <v>25512.628302976984</v>
          </cell>
          <cell r="BM53">
            <v>0.76744250197712605</v>
          </cell>
        </row>
        <row r="54">
          <cell r="B54">
            <v>41671</v>
          </cell>
          <cell r="D54">
            <v>26997.173718377398</v>
          </cell>
          <cell r="BM54">
            <v>0.8096051327854652</v>
          </cell>
        </row>
        <row r="55">
          <cell r="B55">
            <v>41699</v>
          </cell>
          <cell r="D55">
            <v>26059.218218776026</v>
          </cell>
          <cell r="BM55">
            <v>0.78147724078006209</v>
          </cell>
        </row>
        <row r="56">
          <cell r="B56">
            <v>41730</v>
          </cell>
          <cell r="D56">
            <v>25047.78810956459</v>
          </cell>
          <cell r="BM56">
            <v>0.75109414873171088</v>
          </cell>
        </row>
        <row r="57">
          <cell r="B57">
            <v>41760</v>
          </cell>
          <cell r="D57">
            <v>24528.414712894788</v>
          </cell>
          <cell r="BM57">
            <v>0.73270109398162853</v>
          </cell>
        </row>
        <row r="58">
          <cell r="B58">
            <v>41791</v>
          </cell>
          <cell r="D58">
            <v>24821.557194550718</v>
          </cell>
          <cell r="BM58">
            <v>0.73901175123336715</v>
          </cell>
        </row>
        <row r="59">
          <cell r="B59">
            <v>41821</v>
          </cell>
          <cell r="D59">
            <v>25175.363151764261</v>
          </cell>
          <cell r="BM59">
            <v>0.7489658366955021</v>
          </cell>
        </row>
        <row r="60">
          <cell r="B60">
            <v>41852</v>
          </cell>
          <cell r="D60">
            <v>25686.983474902772</v>
          </cell>
          <cell r="BM60">
            <v>0.76298348432129182</v>
          </cell>
        </row>
        <row r="61">
          <cell r="B61">
            <v>41883</v>
          </cell>
          <cell r="D61">
            <v>25849.865274607346</v>
          </cell>
          <cell r="BM61">
            <v>0.76782158153081981</v>
          </cell>
        </row>
        <row r="62">
          <cell r="B62">
            <v>41913</v>
          </cell>
          <cell r="D62">
            <v>25843.647640963161</v>
          </cell>
          <cell r="BM62">
            <v>0.76919280801952361</v>
          </cell>
        </row>
        <row r="63">
          <cell r="B63">
            <v>41944</v>
          </cell>
          <cell r="D63">
            <v>26336.862357545644</v>
          </cell>
          <cell r="BM63">
            <v>0.7799077963808928</v>
          </cell>
        </row>
        <row r="64">
          <cell r="B64">
            <v>41974</v>
          </cell>
          <cell r="D64">
            <v>26762.136952140165</v>
          </cell>
          <cell r="BM64">
            <v>0.79250136077076649</v>
          </cell>
        </row>
        <row r="65">
          <cell r="B65">
            <v>42005</v>
          </cell>
          <cell r="D65">
            <v>26673.579975326891</v>
          </cell>
          <cell r="BM65">
            <v>0.78987894221144983</v>
          </cell>
        </row>
        <row r="66">
          <cell r="B66">
            <v>42036</v>
          </cell>
          <cell r="D66">
            <v>26851.969150256671</v>
          </cell>
          <cell r="BM66">
            <v>0.79304560786125733</v>
          </cell>
        </row>
        <row r="67">
          <cell r="B67">
            <v>42064</v>
          </cell>
          <cell r="D67">
            <v>26676.797058724525</v>
          </cell>
          <cell r="BM67">
            <v>0.78852181874603255</v>
          </cell>
        </row>
        <row r="68">
          <cell r="B68">
            <v>42095</v>
          </cell>
          <cell r="D68">
            <v>26226.237438061486</v>
          </cell>
          <cell r="BM68">
            <v>0.77734087680688724</v>
          </cell>
        </row>
        <row r="69">
          <cell r="B69">
            <v>42125</v>
          </cell>
          <cell r="D69">
            <v>26418.402241571992</v>
          </cell>
          <cell r="BM69">
            <v>0.78240351130206076</v>
          </cell>
        </row>
        <row r="70">
          <cell r="B70">
            <v>42156</v>
          </cell>
          <cell r="D70">
            <v>26599.177434535901</v>
          </cell>
          <cell r="BM70">
            <v>0.78612759406590982</v>
          </cell>
        </row>
        <row r="71">
          <cell r="B71">
            <v>42186</v>
          </cell>
          <cell r="D71">
            <v>26444.225236360056</v>
          </cell>
          <cell r="BM71">
            <v>0.7815480464822675</v>
          </cell>
        </row>
        <row r="72">
          <cell r="B72">
            <v>42217</v>
          </cell>
          <cell r="D72">
            <v>26780.067048242498</v>
          </cell>
          <cell r="BM72">
            <v>0.79541130943271399</v>
          </cell>
        </row>
        <row r="73">
          <cell r="B73">
            <v>42248</v>
          </cell>
          <cell r="D73">
            <v>26046.201334994337</v>
          </cell>
          <cell r="BM73">
            <v>0.78075909050015857</v>
          </cell>
        </row>
        <row r="74">
          <cell r="B74">
            <v>42278</v>
          </cell>
          <cell r="D74">
            <v>25943.607353552408</v>
          </cell>
          <cell r="BM74">
            <v>0.77684774684250835</v>
          </cell>
        </row>
        <row r="75">
          <cell r="B75">
            <v>42309</v>
          </cell>
          <cell r="D75">
            <v>26832.126138173106</v>
          </cell>
          <cell r="BM75">
            <v>0.80153082761053729</v>
          </cell>
        </row>
        <row r="76">
          <cell r="B76">
            <v>42339</v>
          </cell>
          <cell r="D76">
            <v>27555.507550726299</v>
          </cell>
          <cell r="BM76">
            <v>0.82602670787660037</v>
          </cell>
        </row>
        <row r="77">
          <cell r="B77">
            <v>42370</v>
          </cell>
          <cell r="D77">
            <v>27679.266932146005</v>
          </cell>
          <cell r="BM77">
            <v>0.82676257522293028</v>
          </cell>
        </row>
        <row r="78">
          <cell r="B78">
            <v>42401</v>
          </cell>
          <cell r="D78">
            <v>27652.591075534958</v>
          </cell>
          <cell r="BM78">
            <v>0.81913943840248593</v>
          </cell>
        </row>
        <row r="79">
          <cell r="B79">
            <v>42430</v>
          </cell>
          <cell r="D79">
            <v>27518.533521245532</v>
          </cell>
          <cell r="BM79">
            <v>0.81432885373097696</v>
          </cell>
        </row>
        <row r="80">
          <cell r="B80">
            <v>42461</v>
          </cell>
          <cell r="D80">
            <v>27780.464261046498</v>
          </cell>
          <cell r="BM80">
            <v>0.82201909907994863</v>
          </cell>
        </row>
        <row r="81">
          <cell r="B81">
            <v>42491</v>
          </cell>
          <cell r="D81">
            <v>26999.330599038822</v>
          </cell>
          <cell r="BM81">
            <v>0.80118134444645361</v>
          </cell>
        </row>
        <row r="82">
          <cell r="B82">
            <v>42522</v>
          </cell>
          <cell r="D82">
            <v>27604.918235604306</v>
          </cell>
          <cell r="BM82">
            <v>0.82046877975837051</v>
          </cell>
        </row>
        <row r="83">
          <cell r="B83">
            <v>42552</v>
          </cell>
          <cell r="D83">
            <v>27795.801908203499</v>
          </cell>
          <cell r="BM83">
            <v>0.82614219246680809</v>
          </cell>
        </row>
        <row r="84">
          <cell r="B84">
            <v>42583</v>
          </cell>
          <cell r="D84">
            <v>27425.728304335124</v>
          </cell>
          <cell r="BM84">
            <v>0.81514292648111686</v>
          </cell>
        </row>
        <row r="85">
          <cell r="B85">
            <v>42614</v>
          </cell>
          <cell r="D85">
            <v>27297.112851390069</v>
          </cell>
          <cell r="BM85">
            <v>0.81132023942096121</v>
          </cell>
        </row>
        <row r="86">
          <cell r="B86">
            <v>42644</v>
          </cell>
          <cell r="D86">
            <v>27716.409690456814</v>
          </cell>
          <cell r="BM86">
            <v>0.82472869072110055</v>
          </cell>
        </row>
        <row r="87">
          <cell r="B87">
            <v>42675</v>
          </cell>
          <cell r="D87">
            <v>28300.192001378553</v>
          </cell>
          <cell r="BM87">
            <v>0.83735067598235813</v>
          </cell>
        </row>
        <row r="88">
          <cell r="B88">
            <v>42705</v>
          </cell>
          <cell r="D88">
            <v>29074.8224306343</v>
          </cell>
          <cell r="BM88">
            <v>0.86027056689837056</v>
          </cell>
        </row>
        <row r="89">
          <cell r="B89">
            <v>42736</v>
          </cell>
          <cell r="D89">
            <v>28831.163002211582</v>
          </cell>
          <cell r="BM89">
            <v>0.85306113216770507</v>
          </cell>
        </row>
        <row r="90">
          <cell r="B90">
            <v>42767</v>
          </cell>
          <cell r="D90">
            <v>29230.495277474354</v>
          </cell>
          <cell r="BM90">
            <v>0.86487664036696277</v>
          </cell>
        </row>
        <row r="91">
          <cell r="B91">
            <v>42795</v>
          </cell>
          <cell r="D91">
            <v>28290.521223350595</v>
          </cell>
          <cell r="BM91">
            <v>0.84188709050939625</v>
          </cell>
        </row>
        <row r="92">
          <cell r="B92">
            <v>42826</v>
          </cell>
          <cell r="D92">
            <v>27760.886070771867</v>
          </cell>
          <cell r="BM92">
            <v>0.82612587514981595</v>
          </cell>
        </row>
        <row r="93">
          <cell r="B93">
            <v>42856</v>
          </cell>
          <cell r="D93">
            <v>27980.173785979125</v>
          </cell>
          <cell r="BM93">
            <v>0.83258220243045611</v>
          </cell>
        </row>
        <row r="94">
          <cell r="B94">
            <v>42887</v>
          </cell>
          <cell r="D94">
            <v>27722.935451652906</v>
          </cell>
          <cell r="BM94">
            <v>0.82618156342933069</v>
          </cell>
        </row>
        <row r="95">
          <cell r="B95">
            <v>42917</v>
          </cell>
          <cell r="D95">
            <v>27936.329152967792</v>
          </cell>
          <cell r="BM95">
            <v>0.83254098889802841</v>
          </cell>
        </row>
        <row r="96">
          <cell r="B96">
            <v>42948</v>
          </cell>
          <cell r="D96">
            <v>28717.922461208727</v>
          </cell>
          <cell r="BM96">
            <v>0.84515435663293248</v>
          </cell>
        </row>
        <row r="97">
          <cell r="B97">
            <v>42979</v>
          </cell>
          <cell r="D97">
            <v>29303.874010831409</v>
          </cell>
          <cell r="BM97">
            <v>0.85679082187923494</v>
          </cell>
        </row>
        <row r="98">
          <cell r="B98">
            <v>43009</v>
          </cell>
          <cell r="D98">
            <v>29274.791723972456</v>
          </cell>
          <cell r="BM98">
            <v>0.85210624476718499</v>
          </cell>
        </row>
        <row r="99">
          <cell r="B99">
            <v>43040</v>
          </cell>
          <cell r="D99">
            <v>29787.203861804352</v>
          </cell>
          <cell r="BM99">
            <v>0.86040947266605683</v>
          </cell>
        </row>
        <row r="100">
          <cell r="B100">
            <v>43070</v>
          </cell>
          <cell r="D100">
            <v>29580.402396125635</v>
          </cell>
          <cell r="BM100">
            <v>0.85547381256545063</v>
          </cell>
        </row>
        <row r="101">
          <cell r="B101">
            <v>43101</v>
          </cell>
          <cell r="D101">
            <v>29966.12870178328</v>
          </cell>
          <cell r="BM101">
            <v>0.86661158528517102</v>
          </cell>
        </row>
        <row r="102">
          <cell r="B102">
            <v>43132</v>
          </cell>
          <cell r="D102">
            <v>29631.52910432596</v>
          </cell>
          <cell r="BM102">
            <v>0.84990790331472676</v>
          </cell>
        </row>
        <row r="103">
          <cell r="B103">
            <v>43160</v>
          </cell>
          <cell r="D103">
            <v>28961.125068258225</v>
          </cell>
          <cell r="BM103">
            <v>0.83103416313744005</v>
          </cell>
        </row>
        <row r="104">
          <cell r="B104">
            <v>43191</v>
          </cell>
          <cell r="D104">
            <v>29085.182247570345</v>
          </cell>
          <cell r="BM104">
            <v>0.83459396110619488</v>
          </cell>
        </row>
        <row r="105">
          <cell r="B105">
            <v>43221</v>
          </cell>
          <cell r="D105">
            <v>29340.976145068653</v>
          </cell>
          <cell r="BM105">
            <v>0.84193392000082201</v>
          </cell>
        </row>
        <row r="106">
          <cell r="B106">
            <v>43252</v>
          </cell>
          <cell r="D106">
            <v>29178.859379220394</v>
          </cell>
          <cell r="BM106">
            <v>0.83488631823689596</v>
          </cell>
        </row>
        <row r="107">
          <cell r="B107">
            <v>43282</v>
          </cell>
          <cell r="D107">
            <v>29766.033889541421</v>
          </cell>
          <cell r="BM107">
            <v>0.85168697376332769</v>
          </cell>
        </row>
        <row r="108">
          <cell r="B108">
            <v>43313</v>
          </cell>
          <cell r="D108">
            <v>29683.213366537551</v>
          </cell>
          <cell r="BM108">
            <v>0.84909131224577361</v>
          </cell>
        </row>
        <row r="109">
          <cell r="B109">
            <v>43344</v>
          </cell>
          <cell r="D109">
            <v>29978.654745932803</v>
          </cell>
          <cell r="BM109">
            <v>0.85567975778246252</v>
          </cell>
        </row>
        <row r="110">
          <cell r="B110">
            <v>43374</v>
          </cell>
          <cell r="D110">
            <v>29712.622888929614</v>
          </cell>
          <cell r="BM110">
            <v>0.84527806621460977</v>
          </cell>
        </row>
        <row r="111">
          <cell r="B111">
            <v>43405</v>
          </cell>
          <cell r="D111">
            <v>30208.358898324765</v>
          </cell>
          <cell r="BM111">
            <v>0.85938098728424728</v>
          </cell>
        </row>
        <row r="112">
          <cell r="B112">
            <v>43435</v>
          </cell>
          <cell r="D112">
            <v>29775.232701057896</v>
          </cell>
          <cell r="BM112">
            <v>0.84705921832358666</v>
          </cell>
        </row>
        <row r="113">
          <cell r="B113">
            <v>43466</v>
          </cell>
          <cell r="D113">
            <v>30030.345028755233</v>
          </cell>
          <cell r="BM113">
            <v>0.853908656673384</v>
          </cell>
        </row>
        <row r="114">
          <cell r="B114">
            <v>43497</v>
          </cell>
          <cell r="D114">
            <v>30770.522726755164</v>
          </cell>
          <cell r="BM114">
            <v>0.87495550589184989</v>
          </cell>
        </row>
        <row r="115">
          <cell r="B115">
            <v>43525</v>
          </cell>
          <cell r="D115">
            <v>29768.343872584119</v>
          </cell>
          <cell r="BM115">
            <v>0.84544659992229854</v>
          </cell>
        </row>
        <row r="116">
          <cell r="B116">
            <v>43556</v>
          </cell>
          <cell r="D116">
            <v>30200.654848788789</v>
          </cell>
          <cell r="BM116">
            <v>0.8514277979168321</v>
          </cell>
        </row>
        <row r="117">
          <cell r="B117">
            <v>43586</v>
          </cell>
          <cell r="D117">
            <v>29089.152750805766</v>
          </cell>
          <cell r="BM117">
            <v>0.8192327531079302</v>
          </cell>
        </row>
        <row r="118">
          <cell r="B118">
            <v>43617</v>
          </cell>
          <cell r="D118">
            <v>29619.950286115112</v>
          </cell>
          <cell r="BM118">
            <v>0.82502918486074783</v>
          </cell>
        </row>
        <row r="119">
          <cell r="B119">
            <v>43647</v>
          </cell>
          <cell r="D119">
            <v>29318.84755977281</v>
          </cell>
          <cell r="BM119">
            <v>0.81664231943815491</v>
          </cell>
        </row>
        <row r="120">
          <cell r="B120">
            <v>43678</v>
          </cell>
          <cell r="D120">
            <v>29708.438854252308</v>
          </cell>
          <cell r="BM120">
            <v>0.82749393076796651</v>
          </cell>
        </row>
        <row r="121">
          <cell r="B121">
            <v>43709</v>
          </cell>
          <cell r="D121">
            <v>30273.571130683948</v>
          </cell>
          <cell r="BM121">
            <v>0.84314813734658145</v>
          </cell>
        </row>
        <row r="122">
          <cell r="B122">
            <v>43739</v>
          </cell>
          <cell r="D122">
            <v>29415.119573986973</v>
          </cell>
          <cell r="BM122">
            <v>0.81923943401234833</v>
          </cell>
        </row>
        <row r="123">
          <cell r="B123">
            <v>43770</v>
          </cell>
          <cell r="D123">
            <v>30592.037106424777</v>
          </cell>
          <cell r="BM123">
            <v>0.85201772174727974</v>
          </cell>
        </row>
        <row r="124">
          <cell r="B124">
            <v>43800</v>
          </cell>
          <cell r="D124">
            <v>30814.033399929856</v>
          </cell>
          <cell r="BM124">
            <v>0.84922938318161256</v>
          </cell>
        </row>
        <row r="125">
          <cell r="B125">
            <v>43831</v>
          </cell>
          <cell r="D125">
            <v>31304.816181225055</v>
          </cell>
          <cell r="BM125">
            <v>0.85873196545918795</v>
          </cell>
        </row>
        <row r="126">
          <cell r="B126">
            <v>43862</v>
          </cell>
          <cell r="D126">
            <v>27752.487737525367</v>
          </cell>
          <cell r="BM126">
            <v>0.76109070942448509</v>
          </cell>
        </row>
        <row r="127">
          <cell r="B127">
            <v>43891</v>
          </cell>
          <cell r="D127">
            <v>28341.826768721614</v>
          </cell>
          <cell r="BM127">
            <v>0.77700782903424792</v>
          </cell>
        </row>
        <row r="128">
          <cell r="B128">
            <v>43922</v>
          </cell>
          <cell r="D128">
            <v>26677.243484221111</v>
          </cell>
          <cell r="BM128">
            <v>0.73137230050283242</v>
          </cell>
        </row>
        <row r="129">
          <cell r="B129">
            <v>43952</v>
          </cell>
          <cell r="D129">
            <v>26845.419100598894</v>
          </cell>
          <cell r="BM129">
            <v>0.737675666854407</v>
          </cell>
        </row>
        <row r="130">
          <cell r="B130">
            <v>43983</v>
          </cell>
          <cell r="D130">
            <v>28090.906706146743</v>
          </cell>
          <cell r="BM130">
            <v>0.76642429740741247</v>
          </cell>
        </row>
        <row r="131">
          <cell r="B131">
            <v>44013</v>
          </cell>
          <cell r="D131">
            <v>27960.283342449427</v>
          </cell>
          <cell r="BM131">
            <v>0.7628604067578878</v>
          </cell>
        </row>
        <row r="132">
          <cell r="B132">
            <v>44044</v>
          </cell>
          <cell r="D132">
            <v>27600.053704726481</v>
          </cell>
          <cell r="BM132">
            <v>0.7530320039268491</v>
          </cell>
        </row>
        <row r="133">
          <cell r="B133">
            <v>44075</v>
          </cell>
          <cell r="D133">
            <v>27974.368714499051</v>
          </cell>
          <cell r="BM133">
            <v>0.763244708036938</v>
          </cell>
        </row>
        <row r="134">
          <cell r="B134">
            <v>44105</v>
          </cell>
          <cell r="D134">
            <v>28491.811791756532</v>
          </cell>
          <cell r="BM134">
            <v>0.77863712438426347</v>
          </cell>
        </row>
        <row r="135">
          <cell r="B135">
            <v>44136</v>
          </cell>
          <cell r="D135">
            <v>29655.226470247751</v>
          </cell>
          <cell r="BM135">
            <v>0.81001970664830447</v>
          </cell>
        </row>
        <row r="136">
          <cell r="B136">
            <v>44166</v>
          </cell>
          <cell r="D136">
            <v>29877.491178077318</v>
          </cell>
          <cell r="BM136">
            <v>0.81819153473299244</v>
          </cell>
        </row>
        <row r="137">
          <cell r="B137">
            <v>44197</v>
          </cell>
          <cell r="D137">
            <v>29712.239300284047</v>
          </cell>
          <cell r="BM137">
            <v>0.81449587300973547</v>
          </cell>
        </row>
        <row r="138">
          <cell r="B138">
            <v>44228</v>
          </cell>
          <cell r="D138">
            <v>29191.330968813723</v>
          </cell>
          <cell r="BM138">
            <v>0.80021631360288492</v>
          </cell>
        </row>
        <row r="139">
          <cell r="B139">
            <v>44256</v>
          </cell>
          <cell r="D139">
            <v>29157.044074199977</v>
          </cell>
          <cell r="BM139">
            <v>0.7992764135879793</v>
          </cell>
        </row>
        <row r="140">
          <cell r="B140">
            <v>44287</v>
          </cell>
          <cell r="D140">
            <v>29199.40995212871</v>
          </cell>
          <cell r="BM140">
            <v>0.80349057536395019</v>
          </cell>
        </row>
        <row r="141">
          <cell r="B141">
            <v>44317</v>
          </cell>
          <cell r="D141">
            <v>28791.741197661584</v>
          </cell>
          <cell r="BM141">
            <v>0.79227260888374684</v>
          </cell>
        </row>
        <row r="142">
          <cell r="B142">
            <v>44348</v>
          </cell>
          <cell r="D142">
            <v>29531.247736325378</v>
          </cell>
          <cell r="BM142">
            <v>0.81231117207520842</v>
          </cell>
        </row>
        <row r="143">
          <cell r="B143">
            <v>44378</v>
          </cell>
          <cell r="D143">
            <v>28658.658920451613</v>
          </cell>
          <cell r="BM143">
            <v>0.78766336453127195</v>
          </cell>
        </row>
        <row r="144">
          <cell r="B144">
            <v>44409</v>
          </cell>
          <cell r="D144">
            <v>28633.858927501638</v>
          </cell>
          <cell r="BM144">
            <v>0.79301254102315111</v>
          </cell>
        </row>
        <row r="145">
          <cell r="B145">
            <v>44440</v>
          </cell>
          <cell r="D145">
            <v>28398.341369528531</v>
          </cell>
          <cell r="BM145">
            <v>0.78927911177368948</v>
          </cell>
        </row>
        <row r="146">
          <cell r="B146">
            <v>44470</v>
          </cell>
          <cell r="D146">
            <v>29046.347239858362</v>
          </cell>
          <cell r="BM146">
            <v>0.80547814092394432</v>
          </cell>
        </row>
        <row r="147">
          <cell r="B147">
            <v>44501</v>
          </cell>
          <cell r="D147">
            <v>30344.311167558713</v>
          </cell>
          <cell r="BM147">
            <v>0.84147170537585503</v>
          </cell>
        </row>
        <row r="148">
          <cell r="B148">
            <v>44531</v>
          </cell>
          <cell r="D148">
            <v>30146.443822304802</v>
          </cell>
          <cell r="BM148">
            <v>0.83598468767657019</v>
          </cell>
        </row>
        <row r="149">
          <cell r="B149">
            <v>44562</v>
          </cell>
          <cell r="D149">
            <v>30270.59075604301</v>
          </cell>
          <cell r="BM149">
            <v>0.82931080483064812</v>
          </cell>
        </row>
        <row r="150">
          <cell r="B150">
            <v>44593</v>
          </cell>
          <cell r="D150">
            <v>30414.839645350734</v>
          </cell>
          <cell r="BM150">
            <v>0.83326273175046994</v>
          </cell>
        </row>
        <row r="151">
          <cell r="B151">
            <v>44621</v>
          </cell>
          <cell r="D151">
            <v>29960.188821346386</v>
          </cell>
          <cell r="BM151">
            <v>0.82080685192273006</v>
          </cell>
        </row>
        <row r="152">
          <cell r="B152">
            <v>44652</v>
          </cell>
          <cell r="D152">
            <v>28609.211419098294</v>
          </cell>
          <cell r="BM152">
            <v>0.78569753296528078</v>
          </cell>
        </row>
        <row r="153">
          <cell r="B153">
            <v>44682</v>
          </cell>
          <cell r="D153">
            <v>29033.379004835202</v>
          </cell>
          <cell r="BM153">
            <v>0.79683660039947524</v>
          </cell>
        </row>
        <row r="154">
          <cell r="B154">
            <v>44713</v>
          </cell>
          <cell r="D154">
            <v>29350.954480947912</v>
          </cell>
          <cell r="BM154">
            <v>0.80555262903375002</v>
          </cell>
        </row>
        <row r="155">
          <cell r="B155">
            <v>44743</v>
          </cell>
          <cell r="D155">
            <v>28368.607128626983</v>
          </cell>
          <cell r="BM155">
            <v>0.77765674866574686</v>
          </cell>
        </row>
        <row r="156">
          <cell r="B156">
            <v>44774</v>
          </cell>
          <cell r="D156">
            <v>28703.10817664137</v>
          </cell>
          <cell r="BM156">
            <v>0.78682628583211889</v>
          </cell>
        </row>
        <row r="157">
          <cell r="B157">
            <v>44805</v>
          </cell>
          <cell r="D157">
            <v>29654.646235810134</v>
          </cell>
          <cell r="BM157">
            <v>0.81291040021848182</v>
          </cell>
        </row>
        <row r="158">
          <cell r="B158">
            <v>44835</v>
          </cell>
          <cell r="D158">
            <v>29189.282090649525</v>
          </cell>
          <cell r="BM158">
            <v>0.80648302560555452</v>
          </cell>
        </row>
        <row r="159">
          <cell r="B159">
            <v>44866</v>
          </cell>
          <cell r="D159">
            <v>30028.755580230118</v>
          </cell>
          <cell r="BM159">
            <v>0.82240596112184083</v>
          </cell>
        </row>
        <row r="160">
          <cell r="B160">
            <v>44896</v>
          </cell>
          <cell r="D160">
            <v>30420.669529919018</v>
          </cell>
          <cell r="BM160">
            <v>0.83313941851103601</v>
          </cell>
        </row>
        <row r="161">
          <cell r="B161">
            <v>44927</v>
          </cell>
          <cell r="D161">
            <v>30808.01210609989</v>
          </cell>
          <cell r="BM161">
            <v>0.84374767841032938</v>
          </cell>
        </row>
        <row r="162">
          <cell r="B162">
            <v>44958</v>
          </cell>
          <cell r="D162">
            <v>31378.384567185887</v>
          </cell>
          <cell r="BM162">
            <v>0.85936862916213763</v>
          </cell>
        </row>
        <row r="163">
          <cell r="B163">
            <v>44986</v>
          </cell>
          <cell r="D163">
            <v>31114.467013690668</v>
          </cell>
          <cell r="BM163">
            <v>0.84290667628444649</v>
          </cell>
        </row>
        <row r="164">
          <cell r="B164">
            <v>45017</v>
          </cell>
          <cell r="D164">
            <v>31065.991577376124</v>
          </cell>
          <cell r="BM164">
            <v>0.8415934521534546</v>
          </cell>
        </row>
        <row r="165">
          <cell r="B165">
            <v>45047</v>
          </cell>
          <cell r="D165">
            <v>30819.530298182777</v>
          </cell>
          <cell r="BM165">
            <v>0.83210792993616722</v>
          </cell>
        </row>
        <row r="166">
          <cell r="B166">
            <v>45078</v>
          </cell>
          <cell r="D166">
            <v>30322.065488529479</v>
          </cell>
          <cell r="BM166">
            <v>0.81867669302334833</v>
          </cell>
        </row>
        <row r="167">
          <cell r="B167">
            <v>45108</v>
          </cell>
          <cell r="D167">
            <v>30396.512724174532</v>
          </cell>
          <cell r="BM167">
            <v>0.82068672155209998</v>
          </cell>
        </row>
        <row r="168">
          <cell r="B168">
            <v>45139</v>
          </cell>
          <cell r="D168">
            <v>31340.57540883754</v>
          </cell>
          <cell r="BM168">
            <v>0.8461758201420041</v>
          </cell>
        </row>
        <row r="169">
          <cell r="B169">
            <v>45170</v>
          </cell>
          <cell r="D169">
            <v>31006.130183167857</v>
          </cell>
          <cell r="BM169">
            <v>0.83354517817317242</v>
          </cell>
        </row>
        <row r="170">
          <cell r="B170">
            <v>45200</v>
          </cell>
          <cell r="D170">
            <v>30532.937993265459</v>
          </cell>
          <cell r="BM170">
            <v>0.82597577749399997</v>
          </cell>
        </row>
        <row r="171">
          <cell r="B171">
            <v>45231</v>
          </cell>
          <cell r="D171">
            <v>30564.904941040582</v>
          </cell>
          <cell r="BM171">
            <v>0.82684054604488388</v>
          </cell>
        </row>
        <row r="172">
          <cell r="B172">
            <v>45261</v>
          </cell>
          <cell r="D172">
            <v>30594.789873968286</v>
          </cell>
          <cell r="BM172">
            <v>0.82921923232576733</v>
          </cell>
        </row>
        <row r="173">
          <cell r="B173">
            <v>45292</v>
          </cell>
          <cell r="D173">
            <v>30457.757927227103</v>
          </cell>
          <cell r="BM173">
            <v>0.82550521676465671</v>
          </cell>
        </row>
        <row r="174">
          <cell r="B174">
            <v>45323</v>
          </cell>
          <cell r="D174">
            <v>30720.324596555791</v>
          </cell>
          <cell r="BM174">
            <v>0.83262163537292178</v>
          </cell>
        </row>
        <row r="175">
          <cell r="B175">
            <v>45352</v>
          </cell>
          <cell r="D175">
            <v>31134.553598629271</v>
          </cell>
          <cell r="BM175">
            <v>0.84632362723250143</v>
          </cell>
        </row>
        <row r="176">
          <cell r="B176">
            <v>45383</v>
          </cell>
          <cell r="D176">
            <v>30146.126329393966</v>
          </cell>
          <cell r="BM176">
            <v>0.81945542919957493</v>
          </cell>
        </row>
        <row r="177">
          <cell r="B177">
            <v>45413</v>
          </cell>
          <cell r="D177">
            <v>30249.784870476844</v>
          </cell>
          <cell r="BM177">
            <v>0.82019969280867755</v>
          </cell>
        </row>
        <row r="178">
          <cell r="B178">
            <v>45444</v>
          </cell>
          <cell r="D178">
            <v>29951.239089222541</v>
          </cell>
          <cell r="BM178">
            <v>0.81210485315535197</v>
          </cell>
        </row>
        <row r="179">
          <cell r="B179">
            <v>45474</v>
          </cell>
          <cell r="D179">
            <v>29570.229697825045</v>
          </cell>
          <cell r="BM179">
            <v>0.80177407602356332</v>
          </cell>
        </row>
        <row r="180">
          <cell r="B180">
            <v>45505</v>
          </cell>
          <cell r="D180">
            <v>29839.709773750183</v>
          </cell>
          <cell r="BM180">
            <v>0.80908082139177828</v>
          </cell>
        </row>
        <row r="181">
          <cell r="B181">
            <v>45536</v>
          </cell>
          <cell r="D181">
            <v>30123.822819010118</v>
          </cell>
          <cell r="BM181">
            <v>0.81678432848919802</v>
          </cell>
        </row>
        <row r="182">
          <cell r="B182">
            <v>45566</v>
          </cell>
          <cell r="D182">
            <v>29587.31017031167</v>
          </cell>
          <cell r="BM182">
            <v>0.80420185889205387</v>
          </cell>
        </row>
        <row r="183">
          <cell r="B183">
            <v>45597</v>
          </cell>
          <cell r="D183">
            <v>30440.265877433398</v>
          </cell>
          <cell r="BM183">
            <v>0.8273857360769481</v>
          </cell>
        </row>
        <row r="184">
          <cell r="B184">
            <v>45627</v>
          </cell>
          <cell r="D184">
            <v>30626.106830942779</v>
          </cell>
          <cell r="BM184">
            <v>0.83243701107998913</v>
          </cell>
        </row>
        <row r="185">
          <cell r="B185">
            <v>45658</v>
          </cell>
          <cell r="D185">
            <v>31465.176932077946</v>
          </cell>
          <cell r="BM185">
            <v>0.85617432313434338</v>
          </cell>
        </row>
        <row r="186">
          <cell r="B186">
            <v>45689</v>
          </cell>
          <cell r="D186">
            <v>30952.741414964967</v>
          </cell>
          <cell r="BM186">
            <v>0.84223084101246393</v>
          </cell>
        </row>
        <row r="187">
          <cell r="B187">
            <v>45717</v>
          </cell>
          <cell r="D187">
            <v>31075.167049584252</v>
          </cell>
          <cell r="BM187">
            <v>0.84556206921692378</v>
          </cell>
        </row>
        <row r="188">
          <cell r="B188">
            <v>45748</v>
          </cell>
          <cell r="D188">
            <v>30387.620252608445</v>
          </cell>
          <cell r="BM188">
            <v>0.82685377099903512</v>
          </cell>
        </row>
        <row r="189">
          <cell r="B189">
            <v>45778</v>
          </cell>
          <cell r="D189">
            <v>30159.242714510092</v>
          </cell>
          <cell r="BM189">
            <v>0.82063956840540186</v>
          </cell>
        </row>
        <row r="190">
          <cell r="B190">
            <v>45809</v>
          </cell>
          <cell r="D190">
            <v>30667.86276491404</v>
          </cell>
          <cell r="BM190">
            <v>0.83904764779195085</v>
          </cell>
        </row>
        <row r="191">
          <cell r="B191">
            <v>45839</v>
          </cell>
          <cell r="D191">
            <v>30749.773032340388</v>
          </cell>
          <cell r="BM191">
            <v>0.83625293458523942</v>
          </cell>
        </row>
        <row r="192">
          <cell r="B192">
            <v>45870</v>
          </cell>
          <cell r="D192">
            <v>30977.541385657638</v>
          </cell>
          <cell r="BM192">
            <v>0.84244719018728476</v>
          </cell>
        </row>
        <row r="193">
          <cell r="B193">
            <v>45901</v>
          </cell>
          <cell r="D193">
            <v>30649.067639677844</v>
          </cell>
          <cell r="BM193">
            <v>0.82082818163425675</v>
          </cell>
        </row>
        <row r="194">
          <cell r="B194">
            <v>45931</v>
          </cell>
          <cell r="D194">
            <v>30196.546910861165</v>
          </cell>
          <cell r="BM194">
            <v>0.80612045967097878</v>
          </cell>
        </row>
        <row r="195">
          <cell r="B195">
            <v>45962</v>
          </cell>
          <cell r="D195">
            <v>30694.801932553964</v>
          </cell>
          <cell r="BM195">
            <v>0.81942176754257201</v>
          </cell>
        </row>
        <row r="196">
          <cell r="B196">
            <v>45992</v>
          </cell>
          <cell r="D196">
            <v>31461.620603388652</v>
          </cell>
          <cell r="BM196">
            <v>0.84192666044188558</v>
          </cell>
        </row>
        <row r="197">
          <cell r="B197">
            <v>46023</v>
          </cell>
          <cell r="D197">
            <v>31110.654295631077</v>
          </cell>
          <cell r="BM197">
            <v>0.83253464929462362</v>
          </cell>
        </row>
        <row r="198">
          <cell r="B198">
            <v>46054</v>
          </cell>
          <cell r="D198">
            <v>30906.190284817323</v>
          </cell>
          <cell r="BM198">
            <v>0.82581891427411469</v>
          </cell>
        </row>
        <row r="199">
          <cell r="B199">
            <v>46082</v>
          </cell>
          <cell r="D199">
            <v>30730.685945309357</v>
          </cell>
          <cell r="BM199">
            <v>0.81936260039325748</v>
          </cell>
        </row>
        <row r="200">
          <cell r="B200">
            <v>46113</v>
          </cell>
          <cell r="D200">
            <v>30126.132396223566</v>
          </cell>
          <cell r="BM200">
            <v>0.79927974392765411</v>
          </cell>
        </row>
        <row r="201">
          <cell r="B201">
            <v>46143</v>
          </cell>
          <cell r="D201">
            <v>30051.037555168601</v>
          </cell>
          <cell r="BM201">
            <v>0.79728739441065388</v>
          </cell>
        </row>
        <row r="202">
          <cell r="B202">
            <v>46174</v>
          </cell>
          <cell r="D202">
            <v>30429.036027581922</v>
          </cell>
          <cell r="BM202">
            <v>0.80731611360573508</v>
          </cell>
        </row>
        <row r="203">
          <cell r="B203">
            <v>46204</v>
          </cell>
          <cell r="D203">
            <v>30827.766367976765</v>
          </cell>
          <cell r="BM203">
            <v>0.81789487227861823</v>
          </cell>
        </row>
        <row r="204">
          <cell r="B204">
            <v>46235</v>
          </cell>
          <cell r="D204">
            <v>30838.440607587421</v>
          </cell>
          <cell r="BM204">
            <v>0.81817807170795143</v>
          </cell>
        </row>
        <row r="205">
          <cell r="B205">
            <v>46266</v>
          </cell>
          <cell r="D205">
            <v>30939.54294295609</v>
          </cell>
          <cell r="BM205">
            <v>0.8208604289272966</v>
          </cell>
        </row>
        <row r="206">
          <cell r="B206">
            <v>46296</v>
          </cell>
          <cell r="D206">
            <v>30931.977615462289</v>
          </cell>
          <cell r="BM206">
            <v>0.82065971238849744</v>
          </cell>
        </row>
        <row r="207">
          <cell r="B207">
            <v>46327</v>
          </cell>
          <cell r="D207">
            <v>31400.622302022832</v>
          </cell>
          <cell r="BM207">
            <v>0.83309337629665048</v>
          </cell>
        </row>
        <row r="208">
          <cell r="B208">
            <v>46357</v>
          </cell>
          <cell r="D208">
            <v>31559.855586154546</v>
          </cell>
          <cell r="BM208">
            <v>0.83638823820092334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4">
          <cell r="J4" t="str">
            <v>Australia</v>
          </cell>
        </row>
        <row r="5">
          <cell r="B5">
            <v>40179</v>
          </cell>
          <cell r="C5">
            <v>4466.5647702698379</v>
          </cell>
          <cell r="IK5"/>
        </row>
        <row r="6">
          <cell r="B6">
            <v>40210</v>
          </cell>
          <cell r="C6">
            <v>4828.2200654713542</v>
          </cell>
          <cell r="IK6"/>
        </row>
        <row r="7">
          <cell r="B7">
            <v>40238</v>
          </cell>
          <cell r="C7">
            <v>4764.7186668950944</v>
          </cell>
          <cell r="IK7"/>
        </row>
        <row r="8">
          <cell r="B8">
            <v>40269</v>
          </cell>
          <cell r="C8">
            <v>4718.8058198428216</v>
          </cell>
          <cell r="IK8"/>
        </row>
        <row r="9">
          <cell r="B9">
            <v>40299</v>
          </cell>
          <cell r="C9">
            <v>4788.652482253412</v>
          </cell>
          <cell r="IK9"/>
        </row>
        <row r="10">
          <cell r="B10">
            <v>40330</v>
          </cell>
          <cell r="C10">
            <v>4902.8257006451831</v>
          </cell>
          <cell r="IK10"/>
        </row>
        <row r="11">
          <cell r="B11">
            <v>40360</v>
          </cell>
          <cell r="C11">
            <v>4937.780577261803</v>
          </cell>
          <cell r="IK11"/>
        </row>
        <row r="12">
          <cell r="B12">
            <v>40391</v>
          </cell>
          <cell r="C12">
            <v>5014.6748419570449</v>
          </cell>
          <cell r="IK12"/>
        </row>
        <row r="13">
          <cell r="B13">
            <v>40422</v>
          </cell>
          <cell r="C13">
            <v>4979.755699638532</v>
          </cell>
          <cell r="IK13"/>
        </row>
        <row r="14">
          <cell r="B14">
            <v>40452</v>
          </cell>
          <cell r="C14">
            <v>4903.7701418463566</v>
          </cell>
          <cell r="IK14"/>
        </row>
        <row r="15">
          <cell r="B15">
            <v>40483</v>
          </cell>
          <cell r="C15">
            <v>5045.9351926454865</v>
          </cell>
          <cell r="IK15"/>
        </row>
        <row r="16">
          <cell r="B16">
            <v>40513</v>
          </cell>
          <cell r="C16">
            <v>5151.2534866784627</v>
          </cell>
          <cell r="IK16"/>
        </row>
        <row r="17">
          <cell r="B17">
            <v>40544</v>
          </cell>
          <cell r="C17">
            <v>4781.8026487555153</v>
          </cell>
          <cell r="IK17"/>
        </row>
        <row r="18">
          <cell r="B18">
            <v>40575</v>
          </cell>
          <cell r="C18">
            <v>5036.6571849868315</v>
          </cell>
        </row>
        <row r="19">
          <cell r="B19">
            <v>40603</v>
          </cell>
          <cell r="C19">
            <v>4891.3462320555527</v>
          </cell>
        </row>
        <row r="20">
          <cell r="B20">
            <v>40634</v>
          </cell>
          <cell r="C20">
            <v>4866.6465896822629</v>
          </cell>
        </row>
        <row r="21">
          <cell r="B21">
            <v>40664</v>
          </cell>
          <cell r="C21">
            <v>4907.5863343156607</v>
          </cell>
        </row>
        <row r="22">
          <cell r="B22">
            <v>40695</v>
          </cell>
          <cell r="C22">
            <v>4897.5817422301989</v>
          </cell>
          <cell r="IK22"/>
        </row>
        <row r="23">
          <cell r="B23">
            <v>40725</v>
          </cell>
          <cell r="C23">
            <v>5053.2126107292534</v>
          </cell>
        </row>
        <row r="24">
          <cell r="B24">
            <v>40756</v>
          </cell>
          <cell r="C24">
            <v>5298.625473350603</v>
          </cell>
        </row>
        <row r="25">
          <cell r="B25">
            <v>40787</v>
          </cell>
          <cell r="C25">
            <v>5141.7540342634329</v>
          </cell>
        </row>
        <row r="26">
          <cell r="B26">
            <v>40817</v>
          </cell>
          <cell r="C26">
            <v>5097.4721539188831</v>
          </cell>
        </row>
        <row r="27">
          <cell r="B27">
            <v>40848</v>
          </cell>
          <cell r="C27">
            <v>5198.3772351556327</v>
          </cell>
        </row>
        <row r="28">
          <cell r="B28">
            <v>40878</v>
          </cell>
          <cell r="C28">
            <v>5416.9042032450398</v>
          </cell>
        </row>
        <row r="29">
          <cell r="B29">
            <v>40909</v>
          </cell>
          <cell r="C29">
            <v>5131.0168129263657</v>
          </cell>
          <cell r="IK29"/>
        </row>
        <row r="30">
          <cell r="B30">
            <v>40940</v>
          </cell>
          <cell r="C30">
            <v>5346.7771834868263</v>
          </cell>
        </row>
        <row r="31">
          <cell r="B31">
            <v>40969</v>
          </cell>
          <cell r="C31">
            <v>5285.114004316827</v>
          </cell>
        </row>
        <row r="32">
          <cell r="B32">
            <v>41000</v>
          </cell>
          <cell r="C32">
            <v>5128.8811842292007</v>
          </cell>
        </row>
        <row r="33">
          <cell r="B33">
            <v>41030</v>
          </cell>
          <cell r="C33">
            <v>5172.2487552217626</v>
          </cell>
        </row>
        <row r="34">
          <cell r="B34">
            <v>41061</v>
          </cell>
          <cell r="C34">
            <v>5301.2628477426406</v>
          </cell>
        </row>
        <row r="35">
          <cell r="B35">
            <v>41091</v>
          </cell>
          <cell r="C35">
            <v>5464.7754369032182</v>
          </cell>
        </row>
        <row r="36">
          <cell r="B36">
            <v>41122</v>
          </cell>
          <cell r="C36">
            <v>5589.0175599840713</v>
          </cell>
        </row>
        <row r="37">
          <cell r="B37">
            <v>41153</v>
          </cell>
          <cell r="C37">
            <v>5419.3114051664434</v>
          </cell>
        </row>
        <row r="38">
          <cell r="B38">
            <v>41183</v>
          </cell>
          <cell r="C38">
            <v>5446.1776977663558</v>
          </cell>
        </row>
        <row r="39">
          <cell r="B39">
            <v>41214</v>
          </cell>
          <cell r="C39">
            <v>5581.5705422365163</v>
          </cell>
        </row>
        <row r="40">
          <cell r="B40">
            <v>41244</v>
          </cell>
          <cell r="C40">
            <v>5733.0779239923113</v>
          </cell>
        </row>
        <row r="41">
          <cell r="B41">
            <v>41275</v>
          </cell>
          <cell r="C41">
            <v>5606.8226092396662</v>
          </cell>
          <cell r="IK41"/>
        </row>
        <row r="42">
          <cell r="B42">
            <v>41306</v>
          </cell>
          <cell r="C42">
            <v>5767.7729929185052</v>
          </cell>
        </row>
        <row r="43">
          <cell r="B43">
            <v>41334</v>
          </cell>
          <cell r="C43">
            <v>5558.9532423308237</v>
          </cell>
        </row>
        <row r="44">
          <cell r="B44">
            <v>41365</v>
          </cell>
          <cell r="C44">
            <v>5424.4863643081453</v>
          </cell>
        </row>
        <row r="45">
          <cell r="B45">
            <v>41395</v>
          </cell>
          <cell r="C45">
            <v>5624.5136762406237</v>
          </cell>
        </row>
        <row r="46">
          <cell r="B46">
            <v>41426</v>
          </cell>
          <cell r="C46">
            <v>5616.7140943941695</v>
          </cell>
        </row>
        <row r="47">
          <cell r="B47">
            <v>41456</v>
          </cell>
          <cell r="C47">
            <v>5635.0836417456039</v>
          </cell>
        </row>
        <row r="48">
          <cell r="B48">
            <v>41487</v>
          </cell>
          <cell r="C48">
            <v>5760.5895346502612</v>
          </cell>
        </row>
        <row r="49">
          <cell r="B49">
            <v>41518</v>
          </cell>
          <cell r="C49">
            <v>5438.7567996849803</v>
          </cell>
        </row>
        <row r="50">
          <cell r="B50">
            <v>41548</v>
          </cell>
          <cell r="C50">
            <v>5631.4390484853575</v>
          </cell>
        </row>
        <row r="51">
          <cell r="B51">
            <v>41579</v>
          </cell>
          <cell r="C51">
            <v>5802.0261574190527</v>
          </cell>
        </row>
        <row r="52">
          <cell r="B52">
            <v>41609</v>
          </cell>
          <cell r="C52">
            <v>5875.1432181497667</v>
          </cell>
        </row>
        <row r="53">
          <cell r="B53">
            <v>41640</v>
          </cell>
          <cell r="C53">
            <v>5526.7029382366427</v>
          </cell>
          <cell r="IK53"/>
        </row>
        <row r="54">
          <cell r="B54">
            <v>41671</v>
          </cell>
          <cell r="C54">
            <v>6058.9508200536238</v>
          </cell>
        </row>
        <row r="55">
          <cell r="B55">
            <v>41699</v>
          </cell>
          <cell r="C55">
            <v>5935.5564933768401</v>
          </cell>
        </row>
        <row r="56">
          <cell r="B56">
            <v>41730</v>
          </cell>
          <cell r="C56">
            <v>5808.2496234936334</v>
          </cell>
        </row>
        <row r="57">
          <cell r="B57">
            <v>41760</v>
          </cell>
          <cell r="C57">
            <v>5917.1095671400371</v>
          </cell>
        </row>
        <row r="58">
          <cell r="B58">
            <v>41791</v>
          </cell>
          <cell r="C58">
            <v>6056.915060934899</v>
          </cell>
        </row>
        <row r="59">
          <cell r="B59">
            <v>41821</v>
          </cell>
          <cell r="C59">
            <v>5905.6642511834216</v>
          </cell>
        </row>
        <row r="60">
          <cell r="B60">
            <v>41852</v>
          </cell>
          <cell r="C60">
            <v>5965.1947648234918</v>
          </cell>
        </row>
        <row r="61">
          <cell r="B61">
            <v>41883</v>
          </cell>
          <cell r="C61">
            <v>5974.6811009449457</v>
          </cell>
        </row>
        <row r="62">
          <cell r="B62">
            <v>41913</v>
          </cell>
          <cell r="C62">
            <v>5980.1851676631604</v>
          </cell>
        </row>
        <row r="63">
          <cell r="B63">
            <v>41944</v>
          </cell>
          <cell r="C63">
            <v>6016.133852639332</v>
          </cell>
        </row>
        <row r="64">
          <cell r="B64">
            <v>41974</v>
          </cell>
          <cell r="C64">
            <v>6300.020372338191</v>
          </cell>
          <cell r="IR64"/>
        </row>
        <row r="65">
          <cell r="B65">
            <v>42005</v>
          </cell>
          <cell r="C65">
            <v>6004.7152819284374</v>
          </cell>
          <cell r="IK65"/>
          <cell r="IR65">
            <v>162.12990715806416</v>
          </cell>
        </row>
        <row r="66">
          <cell r="B66">
            <v>42036</v>
          </cell>
          <cell r="C66">
            <v>6389.6677209761529</v>
          </cell>
          <cell r="IK66"/>
          <cell r="IR66">
            <v>-6.7549152902415699</v>
          </cell>
        </row>
        <row r="67">
          <cell r="B67">
            <v>42064</v>
          </cell>
          <cell r="C67">
            <v>6228.7395204401164</v>
          </cell>
          <cell r="IK67"/>
          <cell r="IR67">
            <v>-25.161444746970261</v>
          </cell>
        </row>
        <row r="68">
          <cell r="B68">
            <v>42095</v>
          </cell>
          <cell r="C68">
            <v>6378.180781638077</v>
          </cell>
          <cell r="IK68"/>
          <cell r="IR68">
            <v>-82.304223354574418</v>
          </cell>
        </row>
        <row r="69">
          <cell r="B69">
            <v>42125</v>
          </cell>
          <cell r="C69">
            <v>6390.4387440665359</v>
          </cell>
          <cell r="IK69"/>
          <cell r="IR69">
            <v>-89.364887298817592</v>
          </cell>
        </row>
        <row r="70">
          <cell r="B70">
            <v>42156</v>
          </cell>
          <cell r="C70">
            <v>6406.8951214022236</v>
          </cell>
          <cell r="IK70"/>
          <cell r="IR70">
            <v>35.619264763980567</v>
          </cell>
        </row>
        <row r="71">
          <cell r="B71">
            <v>42186</v>
          </cell>
          <cell r="C71">
            <v>6641.2452919937632</v>
          </cell>
          <cell r="IK71"/>
          <cell r="IR71">
            <v>-10.696707740317123</v>
          </cell>
        </row>
        <row r="72">
          <cell r="B72">
            <v>42217</v>
          </cell>
          <cell r="C72">
            <v>6695.2553311998863</v>
          </cell>
          <cell r="IK72"/>
          <cell r="IR72">
            <v>30.082246141691797</v>
          </cell>
        </row>
        <row r="73">
          <cell r="B73">
            <v>42248</v>
          </cell>
          <cell r="C73">
            <v>6531.985522591739</v>
          </cell>
          <cell r="IK73"/>
          <cell r="IR73">
            <v>33.844819503102343</v>
          </cell>
        </row>
        <row r="74">
          <cell r="B74">
            <v>42278</v>
          </cell>
          <cell r="C74">
            <v>6576.9201702008177</v>
          </cell>
          <cell r="IK74"/>
          <cell r="IR74">
            <v>-60.688154632015326</v>
          </cell>
        </row>
        <row r="75">
          <cell r="B75">
            <v>42309</v>
          </cell>
          <cell r="C75">
            <v>6527.1909688050509</v>
          </cell>
          <cell r="IK75"/>
          <cell r="IR75">
            <v>162.42637504387477</v>
          </cell>
        </row>
        <row r="76">
          <cell r="B76">
            <v>42339</v>
          </cell>
          <cell r="C76">
            <v>6498.9161761830665</v>
          </cell>
          <cell r="IK76"/>
          <cell r="IR76">
            <v>219.51403200717144</v>
          </cell>
        </row>
        <row r="77">
          <cell r="B77">
            <v>42370</v>
          </cell>
          <cell r="C77">
            <v>6548.6576018105297</v>
          </cell>
          <cell r="IK77"/>
          <cell r="IR77">
            <v>255.17332852127225</v>
          </cell>
        </row>
        <row r="78">
          <cell r="B78">
            <v>42401</v>
          </cell>
          <cell r="C78">
            <v>6797.3380687659619</v>
          </cell>
          <cell r="IK78"/>
          <cell r="IR78">
            <v>198.53292187036922</v>
          </cell>
        </row>
        <row r="79">
          <cell r="B79">
            <v>42430</v>
          </cell>
          <cell r="C79">
            <v>6992.4462032510883</v>
          </cell>
          <cell r="IK79"/>
          <cell r="IR79">
            <v>101.13198856025218</v>
          </cell>
        </row>
        <row r="80">
          <cell r="B80">
            <v>42461</v>
          </cell>
          <cell r="C80">
            <v>7059.8119791364052</v>
          </cell>
          <cell r="IK80"/>
          <cell r="IR80">
            <v>80.184464124983634</v>
          </cell>
        </row>
        <row r="81">
          <cell r="B81">
            <v>42491</v>
          </cell>
          <cell r="C81">
            <v>6812.5000131837342</v>
          </cell>
          <cell r="IK81"/>
          <cell r="IR81">
            <v>108.00142550664251</v>
          </cell>
        </row>
        <row r="82">
          <cell r="B82">
            <v>42522</v>
          </cell>
          <cell r="C82">
            <v>6711.6585524991324</v>
          </cell>
          <cell r="IK82"/>
          <cell r="IR82">
            <v>195.19134621435211</v>
          </cell>
        </row>
        <row r="83">
          <cell r="B83">
            <v>42552</v>
          </cell>
          <cell r="C83">
            <v>6774.9721053148232</v>
          </cell>
          <cell r="IK83"/>
          <cell r="IR83">
            <v>23.260139605001086</v>
          </cell>
        </row>
        <row r="84">
          <cell r="B84">
            <v>42583</v>
          </cell>
          <cell r="C84">
            <v>7112.858702352406</v>
          </cell>
          <cell r="IK84"/>
          <cell r="IR84">
            <v>-230.34109085140324</v>
          </cell>
        </row>
        <row r="85">
          <cell r="B85">
            <v>42614</v>
          </cell>
          <cell r="C85">
            <v>6676.6204840147666</v>
          </cell>
          <cell r="IK85"/>
          <cell r="IR85">
            <v>7.5559767739518406</v>
          </cell>
        </row>
        <row r="86">
          <cell r="B86">
            <v>42644</v>
          </cell>
          <cell r="C86">
            <v>6939.7490831003024</v>
          </cell>
          <cell r="IK86"/>
          <cell r="IR86">
            <v>-43.136217239470824</v>
          </cell>
        </row>
        <row r="87">
          <cell r="B87">
            <v>42675</v>
          </cell>
          <cell r="C87">
            <v>6783.4492816716265</v>
          </cell>
          <cell r="IK87"/>
          <cell r="IR87">
            <v>-46.96892438523156</v>
          </cell>
        </row>
        <row r="88">
          <cell r="B88">
            <v>42705</v>
          </cell>
          <cell r="C88">
            <v>6819.5693838555808</v>
          </cell>
          <cell r="IK88"/>
          <cell r="IR88">
            <v>118.30112393179644</v>
          </cell>
        </row>
        <row r="89">
          <cell r="B89">
            <v>42736</v>
          </cell>
          <cell r="C89">
            <v>6892.2953337902627</v>
          </cell>
          <cell r="IK89"/>
          <cell r="IR89">
            <v>246.23684163082211</v>
          </cell>
        </row>
        <row r="90">
          <cell r="B90">
            <v>42767</v>
          </cell>
          <cell r="C90">
            <v>7123.4398837227254</v>
          </cell>
          <cell r="IK90"/>
          <cell r="IR90">
            <v>249.18641687294399</v>
          </cell>
        </row>
        <row r="91">
          <cell r="B91">
            <v>42795</v>
          </cell>
          <cell r="C91">
            <v>7051.691975748824</v>
          </cell>
          <cell r="IK91"/>
          <cell r="IR91">
            <v>156.27979924954889</v>
          </cell>
        </row>
        <row r="92">
          <cell r="B92">
            <v>42826</v>
          </cell>
          <cell r="C92">
            <v>7047.5793423574605</v>
          </cell>
          <cell r="IK92"/>
          <cell r="IR92">
            <v>46.173059254233351</v>
          </cell>
        </row>
        <row r="93">
          <cell r="B93">
            <v>42856</v>
          </cell>
          <cell r="C93">
            <v>7141.8968147656142</v>
          </cell>
          <cell r="IK93"/>
          <cell r="IR93">
            <v>-69.667391080251633</v>
          </cell>
        </row>
        <row r="94">
          <cell r="B94">
            <v>42887</v>
          </cell>
          <cell r="C94">
            <v>7079.8966706868969</v>
          </cell>
          <cell r="IK94"/>
          <cell r="IR94">
            <v>-120.28087354168227</v>
          </cell>
        </row>
        <row r="95">
          <cell r="B95">
            <v>42917</v>
          </cell>
          <cell r="C95">
            <v>6994.2014384248814</v>
          </cell>
          <cell r="IK95"/>
          <cell r="IR95">
            <v>-47.029156646021249</v>
          </cell>
        </row>
        <row r="96">
          <cell r="B96">
            <v>42948</v>
          </cell>
          <cell r="C96">
            <v>7183.6319418243129</v>
          </cell>
          <cell r="IK96"/>
          <cell r="IR96">
            <v>-98.892897326526196</v>
          </cell>
        </row>
        <row r="97">
          <cell r="B97">
            <v>42979</v>
          </cell>
          <cell r="C97">
            <v>7308.5370516901448</v>
          </cell>
          <cell r="IK97"/>
          <cell r="IR97">
            <v>-92.267685305237535</v>
          </cell>
        </row>
        <row r="98">
          <cell r="B98">
            <v>43009</v>
          </cell>
          <cell r="C98">
            <v>7003.1548535075272</v>
          </cell>
          <cell r="IK98"/>
          <cell r="IR98">
            <v>30.020642677538717</v>
          </cell>
        </row>
        <row r="99">
          <cell r="B99">
            <v>43040</v>
          </cell>
          <cell r="C99">
            <v>7084.6232008311326</v>
          </cell>
          <cell r="IK99"/>
          <cell r="IR99">
            <v>135.06304284840007</v>
          </cell>
        </row>
        <row r="100">
          <cell r="B100">
            <v>43070</v>
          </cell>
          <cell r="C100">
            <v>7042.60465937361</v>
          </cell>
          <cell r="IK100"/>
          <cell r="IR100">
            <v>198.54444144793791</v>
          </cell>
        </row>
        <row r="101">
          <cell r="B101">
            <v>43101</v>
          </cell>
          <cell r="C101">
            <v>7067.8509216712282</v>
          </cell>
          <cell r="IK101">
            <v>154.32668561733138</v>
          </cell>
          <cell r="IR101">
            <v>308.56259720311084</v>
          </cell>
        </row>
        <row r="102">
          <cell r="B102">
            <v>43132</v>
          </cell>
          <cell r="C102">
            <v>7452.9509863678732</v>
          </cell>
          <cell r="IK102">
            <v>156.55561095262766</v>
          </cell>
          <cell r="IR102">
            <v>138.46339480759127</v>
          </cell>
        </row>
        <row r="103">
          <cell r="B103">
            <v>43160</v>
          </cell>
          <cell r="C103">
            <v>7180.2318080190062</v>
          </cell>
          <cell r="IK103">
            <v>156.39127600319827</v>
          </cell>
          <cell r="IR103">
            <v>177.80389539276916</v>
          </cell>
        </row>
        <row r="104">
          <cell r="B104">
            <v>43191</v>
          </cell>
          <cell r="C104">
            <v>7234.5635573632744</v>
          </cell>
          <cell r="IK104">
            <v>156.35758997881121</v>
          </cell>
          <cell r="IR104">
            <v>75.229554546306474</v>
          </cell>
        </row>
        <row r="105">
          <cell r="B105">
            <v>43221</v>
          </cell>
          <cell r="C105">
            <v>7140.3379239249016</v>
          </cell>
          <cell r="IK105">
            <v>155.50057533865754</v>
          </cell>
          <cell r="IR105">
            <v>215.82833348203491</v>
          </cell>
        </row>
        <row r="106">
          <cell r="B106">
            <v>43252</v>
          </cell>
          <cell r="C106">
            <v>7301.8731729605652</v>
          </cell>
          <cell r="IK106">
            <v>156.99278745815772</v>
          </cell>
          <cell r="IR106">
            <v>-16.369299294238488</v>
          </cell>
        </row>
        <row r="107">
          <cell r="B107">
            <v>43282</v>
          </cell>
          <cell r="C107">
            <v>7422.8135081831406</v>
          </cell>
          <cell r="IK107">
            <v>157.80612735145434</v>
          </cell>
          <cell r="IR107">
            <v>10.728045422435144</v>
          </cell>
        </row>
        <row r="108">
          <cell r="B108">
            <v>43313</v>
          </cell>
          <cell r="C108">
            <v>7401.6643645111299</v>
          </cell>
          <cell r="IK108">
            <v>158.79080848202898</v>
          </cell>
          <cell r="IR108">
            <v>-27.762537631590021</v>
          </cell>
        </row>
        <row r="109">
          <cell r="B109">
            <v>43344</v>
          </cell>
          <cell r="C109">
            <v>7286.0481409502154</v>
          </cell>
          <cell r="IK109">
            <v>155.98793618883138</v>
          </cell>
          <cell r="IR109">
            <v>96.784294243425251</v>
          </cell>
        </row>
        <row r="110">
          <cell r="B110">
            <v>43374</v>
          </cell>
          <cell r="C110">
            <v>7379.4917187578849</v>
          </cell>
          <cell r="IK110">
            <v>156.32254136770814</v>
          </cell>
          <cell r="IR110">
            <v>13.709381914245313</v>
          </cell>
        </row>
        <row r="111">
          <cell r="B111">
            <v>43405</v>
          </cell>
          <cell r="C111">
            <v>7569.3735209167389</v>
          </cell>
          <cell r="IK111">
            <v>157.50520148943099</v>
          </cell>
          <cell r="IR111">
            <v>26.580507391524065</v>
          </cell>
        </row>
        <row r="112">
          <cell r="B112">
            <v>43435</v>
          </cell>
          <cell r="C112">
            <v>7462.6474498080688</v>
          </cell>
          <cell r="IK112">
            <v>160.15768264490899</v>
          </cell>
          <cell r="IR112">
            <v>39.406406969511579</v>
          </cell>
        </row>
        <row r="113">
          <cell r="B113">
            <v>43466</v>
          </cell>
          <cell r="C113">
            <v>7219.4125428402258</v>
          </cell>
          <cell r="IK113">
            <v>168.93532165879964</v>
          </cell>
          <cell r="IR113">
            <v>252.72024868101869</v>
          </cell>
        </row>
        <row r="114">
          <cell r="B114">
            <v>43497</v>
          </cell>
          <cell r="C114">
            <v>7636.1884987337407</v>
          </cell>
          <cell r="IK114">
            <v>171.30555661967617</v>
          </cell>
          <cell r="IR114">
            <v>-43.445880356228344</v>
          </cell>
        </row>
        <row r="115">
          <cell r="B115">
            <v>43525</v>
          </cell>
          <cell r="C115">
            <v>7274.1177415618131</v>
          </cell>
          <cell r="IK115">
            <v>171.32813810265216</v>
          </cell>
          <cell r="IR115">
            <v>98.900319867311339</v>
          </cell>
        </row>
        <row r="116">
          <cell r="B116">
            <v>43556</v>
          </cell>
          <cell r="C116">
            <v>7382.2044505324357</v>
          </cell>
          <cell r="IK116">
            <v>172.41567734606198</v>
          </cell>
          <cell r="IR116">
            <v>-16.281197892082162</v>
          </cell>
        </row>
        <row r="117">
          <cell r="B117">
            <v>43586</v>
          </cell>
          <cell r="C117">
            <v>7266.3354288643923</v>
          </cell>
          <cell r="IK117">
            <v>170.66256619124229</v>
          </cell>
          <cell r="IR117">
            <v>-134.74715685924824</v>
          </cell>
        </row>
        <row r="118">
          <cell r="B118">
            <v>43617</v>
          </cell>
          <cell r="C118">
            <v>7307.9948449545409</v>
          </cell>
          <cell r="IK118">
            <v>171.24501238547114</v>
          </cell>
          <cell r="IR118">
            <v>-197.13472960209555</v>
          </cell>
        </row>
        <row r="119">
          <cell r="B119">
            <v>43647</v>
          </cell>
          <cell r="C119">
            <v>7118.7755977158231</v>
          </cell>
          <cell r="IK119">
            <v>171.621431695502</v>
          </cell>
          <cell r="IR119">
            <v>50.581045850300995</v>
          </cell>
        </row>
        <row r="120">
          <cell r="B120">
            <v>43678</v>
          </cell>
          <cell r="C120">
            <v>7404.0917774406562</v>
          </cell>
          <cell r="IK120">
            <v>173.4010447013888</v>
          </cell>
          <cell r="IR120">
            <v>-289.62245852779188</v>
          </cell>
        </row>
        <row r="121">
          <cell r="B121">
            <v>43709</v>
          </cell>
          <cell r="C121">
            <v>7315.5430619778872</v>
          </cell>
          <cell r="IK121">
            <v>171.73958738399085</v>
          </cell>
          <cell r="IR121">
            <v>73.83495793694749</v>
          </cell>
        </row>
        <row r="122">
          <cell r="B122">
            <v>43739</v>
          </cell>
          <cell r="C122">
            <v>7355.6226273161701</v>
          </cell>
          <cell r="IK122">
            <v>171.08529940707612</v>
          </cell>
          <cell r="IR122">
            <v>-77.691054157079122</v>
          </cell>
        </row>
        <row r="123">
          <cell r="B123">
            <v>43770</v>
          </cell>
          <cell r="C123">
            <v>7271.7408446849477</v>
          </cell>
          <cell r="IK123">
            <v>171.54643055336143</v>
          </cell>
          <cell r="IR123">
            <v>128.98500463479149</v>
          </cell>
        </row>
        <row r="124">
          <cell r="B124">
            <v>43800</v>
          </cell>
          <cell r="C124">
            <v>7325.0059613797739</v>
          </cell>
          <cell r="IK124">
            <v>173.42616526643724</v>
          </cell>
          <cell r="IR124">
            <v>204.66817788907264</v>
          </cell>
        </row>
        <row r="125">
          <cell r="B125">
            <v>43831</v>
          </cell>
          <cell r="C125">
            <v>7176.6862871784497</v>
          </cell>
          <cell r="IK125">
            <v>163.87811718893548</v>
          </cell>
          <cell r="IR125">
            <v>225.9784436296091</v>
          </cell>
        </row>
        <row r="126">
          <cell r="B126">
            <v>43862</v>
          </cell>
          <cell r="C126">
            <v>6247.8185564722753</v>
          </cell>
          <cell r="IK126">
            <v>150.46545219509753</v>
          </cell>
          <cell r="IR126">
            <v>205.06304683049069</v>
          </cell>
        </row>
        <row r="127">
          <cell r="B127">
            <v>43891</v>
          </cell>
          <cell r="C127">
            <v>5962.7695002232595</v>
          </cell>
          <cell r="IK127">
            <v>140.72870274099813</v>
          </cell>
          <cell r="IR127">
            <v>657.68657959165205</v>
          </cell>
        </row>
        <row r="128">
          <cell r="B128">
            <v>43922</v>
          </cell>
          <cell r="C128">
            <v>5338.3592741737684</v>
          </cell>
          <cell r="IK128">
            <v>126.88194083554508</v>
          </cell>
          <cell r="IR128">
            <v>727.93787489924136</v>
          </cell>
        </row>
        <row r="129">
          <cell r="B129">
            <v>43952</v>
          </cell>
          <cell r="C129">
            <v>6533.0436997415527</v>
          </cell>
          <cell r="IK129">
            <v>130.34374965770905</v>
          </cell>
          <cell r="IR129">
            <v>-254.3526170268311</v>
          </cell>
        </row>
        <row r="130">
          <cell r="B130">
            <v>43983</v>
          </cell>
          <cell r="C130">
            <v>7050.2947285372784</v>
          </cell>
          <cell r="IK130">
            <v>147.52023916407794</v>
          </cell>
          <cell r="IR130">
            <v>-389.19244988750734</v>
          </cell>
        </row>
        <row r="131">
          <cell r="B131">
            <v>44013</v>
          </cell>
          <cell r="C131">
            <v>7155.3817379312413</v>
          </cell>
          <cell r="IK131">
            <v>145.40967684550256</v>
          </cell>
          <cell r="IR131">
            <v>-266.4044128701118</v>
          </cell>
        </row>
        <row r="132">
          <cell r="B132">
            <v>44044</v>
          </cell>
          <cell r="C132">
            <v>7244.7581463575407</v>
          </cell>
          <cell r="IK132">
            <v>154.10031653202574</v>
          </cell>
          <cell r="IR132">
            <v>-441.09308750522791</v>
          </cell>
        </row>
        <row r="133">
          <cell r="B133">
            <v>44075</v>
          </cell>
          <cell r="C133">
            <v>7207.7195502677168</v>
          </cell>
          <cell r="IK133">
            <v>153.12583000838427</v>
          </cell>
          <cell r="IR133">
            <v>-348.17998057542007</v>
          </cell>
        </row>
        <row r="134">
          <cell r="B134">
            <v>44105</v>
          </cell>
          <cell r="C134">
            <v>6982.0058355180981</v>
          </cell>
          <cell r="IK134">
            <v>145.29158228863474</v>
          </cell>
          <cell r="IR134">
            <v>18.452188498266764</v>
          </cell>
        </row>
        <row r="135">
          <cell r="B135">
            <v>44136</v>
          </cell>
          <cell r="C135">
            <v>7254.4404202348678</v>
          </cell>
          <cell r="IK135">
            <v>151.80123194363097</v>
          </cell>
          <cell r="IR135">
            <v>-46.215436136665232</v>
          </cell>
        </row>
        <row r="136">
          <cell r="B136">
            <v>44166</v>
          </cell>
          <cell r="C136">
            <v>7185.8206266621028</v>
          </cell>
          <cell r="IK136">
            <v>167.20326521314584</v>
          </cell>
          <cell r="IR136">
            <v>-35.378211063437732</v>
          </cell>
        </row>
        <row r="137">
          <cell r="B137">
            <v>44197</v>
          </cell>
          <cell r="C137">
            <v>6982.2497839871357</v>
          </cell>
          <cell r="IK137">
            <v>174.84409244329524</v>
          </cell>
          <cell r="IR137">
            <v>350.83015728222267</v>
          </cell>
        </row>
        <row r="138">
          <cell r="B138">
            <v>44228</v>
          </cell>
          <cell r="C138">
            <v>6971.4506267471215</v>
          </cell>
          <cell r="IK138">
            <v>190.29077658508757</v>
          </cell>
          <cell r="IR138">
            <v>148.93868804729419</v>
          </cell>
        </row>
        <row r="139">
          <cell r="B139">
            <v>44256</v>
          </cell>
          <cell r="C139">
            <v>7092.5864407828594</v>
          </cell>
          <cell r="IK139">
            <v>194.03489535158312</v>
          </cell>
          <cell r="IR139">
            <v>98.040698537341996</v>
          </cell>
        </row>
        <row r="140">
          <cell r="B140">
            <v>44287</v>
          </cell>
          <cell r="C140">
            <v>6978.0931705184121</v>
          </cell>
          <cell r="IK140">
            <v>180.34868430434818</v>
          </cell>
          <cell r="IR140">
            <v>79.885957928316031</v>
          </cell>
        </row>
        <row r="141">
          <cell r="B141">
            <v>44317</v>
          </cell>
          <cell r="C141">
            <v>6858.2314687409453</v>
          </cell>
          <cell r="IK141">
            <v>169.79792859147545</v>
          </cell>
          <cell r="IR141">
            <v>233.1275595505021</v>
          </cell>
        </row>
        <row r="142">
          <cell r="B142">
            <v>44348</v>
          </cell>
          <cell r="C142">
            <v>7263.9104499851283</v>
          </cell>
          <cell r="IK142">
            <v>185.11206120685122</v>
          </cell>
          <cell r="IR142">
            <v>60.277045065214907</v>
          </cell>
        </row>
        <row r="143">
          <cell r="B143">
            <v>44378</v>
          </cell>
          <cell r="C143">
            <v>7505.0530760403517</v>
          </cell>
          <cell r="IK143">
            <v>184.91734090768301</v>
          </cell>
          <cell r="IR143">
            <v>-58.815130799659329</v>
          </cell>
        </row>
        <row r="144">
          <cell r="B144">
            <v>44409</v>
          </cell>
          <cell r="C144">
            <v>7464.2421545829702</v>
          </cell>
          <cell r="IK144">
            <v>174.82399668503282</v>
          </cell>
          <cell r="IR144">
            <v>-181.97180324111542</v>
          </cell>
        </row>
        <row r="145">
          <cell r="B145">
            <v>44440</v>
          </cell>
          <cell r="C145">
            <v>7322.2868616434471</v>
          </cell>
          <cell r="IK145">
            <v>169.96777874250964</v>
          </cell>
          <cell r="IR145">
            <v>-31.999351993012226</v>
          </cell>
        </row>
        <row r="146">
          <cell r="B146">
            <v>44470</v>
          </cell>
          <cell r="C146">
            <v>7307.948908302219</v>
          </cell>
          <cell r="IK146">
            <v>160.09153708991747</v>
          </cell>
          <cell r="IR146">
            <v>-16.114878308389564</v>
          </cell>
        </row>
        <row r="147">
          <cell r="B147">
            <v>44501</v>
          </cell>
          <cell r="C147">
            <v>7606.402061176228</v>
          </cell>
          <cell r="IK147">
            <v>180.34299614230832</v>
          </cell>
          <cell r="IR147">
            <v>116.22244506314399</v>
          </cell>
        </row>
        <row r="148">
          <cell r="B148">
            <v>44531</v>
          </cell>
          <cell r="C148">
            <v>7607.024566770725</v>
          </cell>
          <cell r="IK148">
            <v>190.85890212466958</v>
          </cell>
          <cell r="IR148">
            <v>74.183131015526499</v>
          </cell>
        </row>
        <row r="149">
          <cell r="B149">
            <v>44562</v>
          </cell>
          <cell r="C149">
            <v>7610.982027012853</v>
          </cell>
          <cell r="IK149">
            <v>183.38081506246203</v>
          </cell>
          <cell r="IR149">
            <v>110.74282671414724</v>
          </cell>
        </row>
        <row r="150">
          <cell r="B150">
            <v>44593</v>
          </cell>
          <cell r="C150">
            <v>7328.0209714517787</v>
          </cell>
          <cell r="IK150">
            <v>200.24389582278721</v>
          </cell>
          <cell r="IR150">
            <v>127.68835648933327</v>
          </cell>
        </row>
        <row r="151">
          <cell r="B151">
            <v>44621</v>
          </cell>
          <cell r="C151">
            <v>7455.1556085184839</v>
          </cell>
          <cell r="IK151">
            <v>205.15239596476988</v>
          </cell>
          <cell r="IR151">
            <v>50.569439136203243</v>
          </cell>
        </row>
        <row r="152">
          <cell r="B152">
            <v>44652</v>
          </cell>
          <cell r="C152">
            <v>6885.1511342344593</v>
          </cell>
          <cell r="IK152">
            <v>206.1263782385783</v>
          </cell>
          <cell r="IR152">
            <v>-119.4962203203338</v>
          </cell>
        </row>
        <row r="153">
          <cell r="B153">
            <v>44682</v>
          </cell>
          <cell r="C153">
            <v>7125.7576535483322</v>
          </cell>
          <cell r="IK153">
            <v>210.21170297410069</v>
          </cell>
          <cell r="IR153">
            <v>-223.72715220807839</v>
          </cell>
        </row>
        <row r="154">
          <cell r="B154">
            <v>44713</v>
          </cell>
          <cell r="C154">
            <v>7253.7858162044349</v>
          </cell>
          <cell r="IK154">
            <v>212.67467701496597</v>
          </cell>
          <cell r="IR154">
            <v>-165.31686607678313</v>
          </cell>
        </row>
        <row r="155">
          <cell r="B155">
            <v>44743</v>
          </cell>
          <cell r="C155">
            <v>7176.5840616344976</v>
          </cell>
          <cell r="IK155">
            <v>203.81278111453318</v>
          </cell>
          <cell r="IR155">
            <v>-246.2272686159275</v>
          </cell>
        </row>
        <row r="156">
          <cell r="B156">
            <v>44774</v>
          </cell>
          <cell r="C156">
            <v>7279.3877160377479</v>
          </cell>
          <cell r="IK156">
            <v>198.66802536037446</v>
          </cell>
          <cell r="IR156">
            <v>-328.93910851739849</v>
          </cell>
        </row>
        <row r="157">
          <cell r="B157">
            <v>44805</v>
          </cell>
          <cell r="C157">
            <v>7340.0965174500834</v>
          </cell>
          <cell r="IK157">
            <v>196.04446180173062</v>
          </cell>
          <cell r="IR157">
            <v>-404.02440981058152</v>
          </cell>
        </row>
        <row r="158">
          <cell r="B158">
            <v>44835</v>
          </cell>
          <cell r="C158">
            <v>7228.3727645065264</v>
          </cell>
          <cell r="IK158">
            <v>167.85117353305785</v>
          </cell>
          <cell r="IR158">
            <v>-288.49545904967988</v>
          </cell>
        </row>
        <row r="159">
          <cell r="B159">
            <v>44866</v>
          </cell>
          <cell r="C159">
            <v>7130.1665237059042</v>
          </cell>
          <cell r="IK159">
            <v>203.80510178022652</v>
          </cell>
          <cell r="IR159">
            <v>-166.16547304848092</v>
          </cell>
        </row>
        <row r="160">
          <cell r="B160">
            <v>44896</v>
          </cell>
          <cell r="C160">
            <v>7061.5845167308698</v>
          </cell>
          <cell r="IK160">
            <v>206.73499623614887</v>
          </cell>
          <cell r="IR160">
            <v>-118.15883259612724</v>
          </cell>
        </row>
        <row r="161">
          <cell r="B161">
            <v>44927</v>
          </cell>
          <cell r="C161">
            <v>7222.2513187308623</v>
          </cell>
          <cell r="IK161">
            <v>209.64497388527556</v>
          </cell>
          <cell r="IR161">
            <v>35.042065161928122</v>
          </cell>
        </row>
        <row r="162">
          <cell r="B162">
            <v>44958</v>
          </cell>
          <cell r="C162">
            <v>7481.5475015822494</v>
          </cell>
          <cell r="IK162">
            <v>221.99001483885769</v>
          </cell>
          <cell r="IR162">
            <v>26.892802507155352</v>
          </cell>
        </row>
        <row r="163">
          <cell r="B163">
            <v>44986</v>
          </cell>
          <cell r="C163">
            <v>7671.7935442026428</v>
          </cell>
          <cell r="IK163">
            <v>223.41664603634064</v>
          </cell>
          <cell r="IR163">
            <v>-279.78314656869929</v>
          </cell>
        </row>
        <row r="164">
          <cell r="B164">
            <v>45017</v>
          </cell>
          <cell r="C164">
            <v>7623.5127374450349</v>
          </cell>
          <cell r="IK164">
            <v>218.91860114763315</v>
          </cell>
          <cell r="IR164">
            <v>-252.19408195514643</v>
          </cell>
        </row>
        <row r="165">
          <cell r="B165">
            <v>45047</v>
          </cell>
          <cell r="C165">
            <v>7586.1811195711934</v>
          </cell>
          <cell r="IK165">
            <v>223.5450718005761</v>
          </cell>
          <cell r="IR165">
            <v>-192.79026773199115</v>
          </cell>
        </row>
        <row r="166">
          <cell r="B166">
            <v>45078</v>
          </cell>
          <cell r="C166">
            <v>7744.8524855376791</v>
          </cell>
          <cell r="IK166">
            <v>239.64038877952879</v>
          </cell>
          <cell r="IR166">
            <v>-402.56413159107746</v>
          </cell>
        </row>
        <row r="167">
          <cell r="B167">
            <v>45108</v>
          </cell>
          <cell r="C167">
            <v>7860.1225127291063</v>
          </cell>
          <cell r="IK167">
            <v>219.84765737179831</v>
          </cell>
          <cell r="IR167">
            <v>-329.85703217356422</v>
          </cell>
        </row>
        <row r="168">
          <cell r="B168">
            <v>45139</v>
          </cell>
          <cell r="C168">
            <v>7968.2808155085277</v>
          </cell>
          <cell r="IK168">
            <v>189.92715140665982</v>
          </cell>
          <cell r="IR168">
            <v>-154.17776536435895</v>
          </cell>
        </row>
        <row r="169">
          <cell r="B169">
            <v>45170</v>
          </cell>
          <cell r="C169">
            <v>7901.3159023700464</v>
          </cell>
          <cell r="IK169">
            <v>226.0484904874686</v>
          </cell>
          <cell r="IR169">
            <v>-195.70591969679407</v>
          </cell>
        </row>
        <row r="170">
          <cell r="B170">
            <v>45200</v>
          </cell>
          <cell r="C170">
            <v>7831.5895927362417</v>
          </cell>
          <cell r="IK170">
            <v>222.77121922767881</v>
          </cell>
          <cell r="IR170">
            <v>-380.7775470100928</v>
          </cell>
        </row>
        <row r="171">
          <cell r="B171">
            <v>45231</v>
          </cell>
          <cell r="C171">
            <v>7556.023872244933</v>
          </cell>
          <cell r="IK171">
            <v>209.93160949159426</v>
          </cell>
          <cell r="IR171">
            <v>-307.87981043249653</v>
          </cell>
        </row>
        <row r="172">
          <cell r="B172">
            <v>45261</v>
          </cell>
          <cell r="C172">
            <v>7512.4057393745679</v>
          </cell>
          <cell r="IK172">
            <v>211.19880283273517</v>
          </cell>
          <cell r="IR172">
            <v>-166.17412808397947</v>
          </cell>
        </row>
        <row r="173">
          <cell r="B173">
            <v>45292</v>
          </cell>
          <cell r="C173">
            <v>7798.0978204065104</v>
          </cell>
          <cell r="IK173">
            <v>228.10986466049698</v>
          </cell>
          <cell r="IR173">
            <v>-268.15764593202715</v>
          </cell>
        </row>
        <row r="174">
          <cell r="B174">
            <v>45323</v>
          </cell>
          <cell r="C174">
            <v>7977.9896435144174</v>
          </cell>
          <cell r="IK174">
            <v>239.25564654428575</v>
          </cell>
          <cell r="IR174">
            <v>-210.5604231592136</v>
          </cell>
        </row>
        <row r="175">
          <cell r="B175">
            <v>45352</v>
          </cell>
          <cell r="C175">
            <v>7965.6554791350645</v>
          </cell>
          <cell r="IK175">
            <v>241.14451846633159</v>
          </cell>
          <cell r="IR175">
            <v>-294.99578326748298</v>
          </cell>
        </row>
        <row r="176">
          <cell r="B176">
            <v>45383</v>
          </cell>
          <cell r="C176">
            <v>7995.8886490712512</v>
          </cell>
          <cell r="IK176">
            <v>241.98049460326041</v>
          </cell>
          <cell r="IR176">
            <v>-576.48696109147033</v>
          </cell>
        </row>
        <row r="177">
          <cell r="B177">
            <v>45413</v>
          </cell>
          <cell r="C177">
            <v>7579.5927599425113</v>
          </cell>
          <cell r="IK177">
            <v>268.06625460908549</v>
          </cell>
          <cell r="IR177">
            <v>-274.64991092254081</v>
          </cell>
        </row>
        <row r="178">
          <cell r="B178">
            <v>45444</v>
          </cell>
          <cell r="C178">
            <v>8051.1603083680666</v>
          </cell>
          <cell r="IK178">
            <v>267.40263858449345</v>
          </cell>
          <cell r="IR178">
            <v>-477.7380565083368</v>
          </cell>
        </row>
        <row r="179">
          <cell r="B179">
            <v>45474</v>
          </cell>
          <cell r="C179">
            <v>8017.974919279909</v>
          </cell>
          <cell r="IK179">
            <v>265.72675218727682</v>
          </cell>
          <cell r="IR179">
            <v>-463.87492243311453</v>
          </cell>
        </row>
        <row r="180">
          <cell r="B180">
            <v>45505</v>
          </cell>
          <cell r="C180">
            <v>8107.4157102785248</v>
          </cell>
          <cell r="IK180">
            <v>270.60798451938888</v>
          </cell>
          <cell r="IR180">
            <v>-480.39413621654433</v>
          </cell>
        </row>
        <row r="181">
          <cell r="B181">
            <v>45536</v>
          </cell>
          <cell r="C181">
            <v>8014.6437949949095</v>
          </cell>
          <cell r="IK181">
            <v>264.54055159898036</v>
          </cell>
          <cell r="IR181">
            <v>-420.00326771257141</v>
          </cell>
        </row>
        <row r="182">
          <cell r="B182">
            <v>45566</v>
          </cell>
          <cell r="C182">
            <v>7862.3667960465318</v>
          </cell>
          <cell r="IK182">
            <v>272.1473428770355</v>
          </cell>
          <cell r="IR182">
            <v>-530.23891656631463</v>
          </cell>
        </row>
        <row r="183">
          <cell r="B183">
            <v>45597</v>
          </cell>
          <cell r="C183">
            <v>7559.2483091684053</v>
          </cell>
          <cell r="IK183">
            <v>269.05299390746575</v>
          </cell>
          <cell r="IR183">
            <v>-284.5426200904393</v>
          </cell>
        </row>
        <row r="184">
          <cell r="B184">
            <v>45627</v>
          </cell>
          <cell r="C184">
            <v>7639.8829777333303</v>
          </cell>
          <cell r="IK184">
            <v>290.71431214472386</v>
          </cell>
          <cell r="IR184">
            <v>-235.88318620556552</v>
          </cell>
        </row>
        <row r="185">
          <cell r="B185">
            <v>45658</v>
          </cell>
          <cell r="C185">
            <v>7905.6245004264811</v>
          </cell>
          <cell r="IK185">
            <v>301.42338841857008</v>
          </cell>
          <cell r="IR185">
            <v>-274.39322248248436</v>
          </cell>
        </row>
        <row r="186">
          <cell r="B186">
            <v>45689</v>
          </cell>
          <cell r="C186">
            <v>8005.1674163946491</v>
          </cell>
          <cell r="IK186">
            <v>315.22611565493514</v>
          </cell>
          <cell r="IR186">
            <v>-487.9261632037846</v>
          </cell>
        </row>
        <row r="187">
          <cell r="B187">
            <v>45717</v>
          </cell>
          <cell r="C187">
            <v>7825.4469950727453</v>
          </cell>
          <cell r="IK187">
            <v>315.90567811073726</v>
          </cell>
          <cell r="IR187">
            <v>-336.15846097684653</v>
          </cell>
        </row>
        <row r="188">
          <cell r="B188">
            <v>45748</v>
          </cell>
          <cell r="C188">
            <v>7706.2808490220759</v>
          </cell>
          <cell r="IK188">
            <v>318.79722934213538</v>
          </cell>
          <cell r="IR188">
            <v>-458.53392458099034</v>
          </cell>
        </row>
        <row r="189">
          <cell r="B189">
            <v>45778</v>
          </cell>
          <cell r="C189">
            <v>7700.5329244147497</v>
          </cell>
          <cell r="IK189">
            <v>330.71781666792504</v>
          </cell>
          <cell r="IR189">
            <v>-492.7089930082393</v>
          </cell>
        </row>
        <row r="190">
          <cell r="B190">
            <v>45809</v>
          </cell>
          <cell r="C190">
            <v>7979.9006160430208</v>
          </cell>
          <cell r="IK190">
            <v>332.66495425764288</v>
          </cell>
          <cell r="IR190">
            <v>-466.86716581852716</v>
          </cell>
        </row>
        <row r="191">
          <cell r="B191">
            <v>45839</v>
          </cell>
          <cell r="C191">
            <v>8022.7668951222167</v>
          </cell>
          <cell r="IK191">
            <v>328.45723596908823</v>
          </cell>
          <cell r="IR191">
            <v>-458.78012714622929</v>
          </cell>
        </row>
        <row r="192">
          <cell r="B192">
            <v>45870</v>
          </cell>
          <cell r="C192">
            <v>8106.1435859194589</v>
          </cell>
          <cell r="IK192">
            <v>323.74339898225111</v>
          </cell>
          <cell r="IR192">
            <v>-367.20817076565578</v>
          </cell>
        </row>
        <row r="193">
          <cell r="B193">
            <v>45901</v>
          </cell>
          <cell r="C193">
            <v>7882.5775308994744</v>
          </cell>
          <cell r="IK193">
            <v>315.59572279560928</v>
          </cell>
          <cell r="IR193">
            <v>-327.55589049834299</v>
          </cell>
        </row>
        <row r="194">
          <cell r="B194">
            <v>45931</v>
          </cell>
          <cell r="C194">
            <v>8014.7416358039673</v>
          </cell>
          <cell r="IK194">
            <v>321.95079755835258</v>
          </cell>
          <cell r="IR194">
            <v>-459.82900464317572</v>
          </cell>
        </row>
        <row r="195">
          <cell r="B195">
            <v>45962</v>
          </cell>
          <cell r="C195">
            <v>7899.8359771845016</v>
          </cell>
          <cell r="IK195">
            <v>330.07164012305395</v>
          </cell>
          <cell r="IR195">
            <v>-389.64184456073792</v>
          </cell>
        </row>
        <row r="196">
          <cell r="B196">
            <v>45992</v>
          </cell>
          <cell r="C196">
            <v>7822.3911552204609</v>
          </cell>
          <cell r="IK196">
            <v>332.47424667604156</v>
          </cell>
          <cell r="IR196">
            <v>-209.33802900108475</v>
          </cell>
        </row>
        <row r="197">
          <cell r="B197">
            <v>46023</v>
          </cell>
          <cell r="C197">
            <v>7722.2976728506055</v>
          </cell>
          <cell r="IK197">
            <v>323.00188972114029</v>
          </cell>
          <cell r="IR197">
            <v>-106.47020442228882</v>
          </cell>
        </row>
        <row r="198">
          <cell r="B198">
            <v>46054</v>
          </cell>
          <cell r="C198">
            <v>8081.6562244221122</v>
          </cell>
          <cell r="IK198">
            <v>345.59942991086984</v>
          </cell>
          <cell r="IR198">
            <v>-316.11105960802411</v>
          </cell>
        </row>
        <row r="199">
          <cell r="B199">
            <v>46082</v>
          </cell>
          <cell r="C199">
            <v>7903.8784623751235</v>
          </cell>
          <cell r="IK199">
            <v>352.9266594710241</v>
          </cell>
          <cell r="IR199">
            <v>-367.19428160532152</v>
          </cell>
        </row>
        <row r="200">
          <cell r="B200">
            <v>46113</v>
          </cell>
          <cell r="C200">
            <v>7932.8372147527107</v>
          </cell>
          <cell r="IK200">
            <v>354.02727752950398</v>
          </cell>
          <cell r="IR200">
            <v>-489.21028622592024</v>
          </cell>
        </row>
        <row r="201">
          <cell r="B201">
            <v>46143</v>
          </cell>
          <cell r="C201">
            <v>7994.1228764817006</v>
          </cell>
          <cell r="IK201">
            <v>355.30196488333252</v>
          </cell>
          <cell r="IR201">
            <v>-503.86141496002597</v>
          </cell>
        </row>
        <row r="202">
          <cell r="B202">
            <v>46174</v>
          </cell>
          <cell r="C202">
            <v>7946.9577428559996</v>
          </cell>
          <cell r="IK202">
            <v>358.70541457596067</v>
          </cell>
          <cell r="IR202">
            <v>-456.9605845997072</v>
          </cell>
        </row>
        <row r="203">
          <cell r="B203">
            <v>46204</v>
          </cell>
          <cell r="C203">
            <v>8083.0009592228116</v>
          </cell>
          <cell r="IK203">
            <v>357.49116372221454</v>
          </cell>
          <cell r="IR203">
            <v>-387.814039664132</v>
          </cell>
        </row>
        <row r="204">
          <cell r="B204">
            <v>46235</v>
          </cell>
          <cell r="C204">
            <v>8229.6534721010212</v>
          </cell>
          <cell r="IK204">
            <v>350.66525083748985</v>
          </cell>
          <cell r="IR204">
            <v>-460.19064587462742</v>
          </cell>
        </row>
        <row r="205">
          <cell r="B205">
            <v>46266</v>
          </cell>
          <cell r="C205">
            <v>8036.7957618006321</v>
          </cell>
          <cell r="IK205">
            <v>345.64742159881069</v>
          </cell>
          <cell r="IR205">
            <v>-392.66976468502662</v>
          </cell>
        </row>
        <row r="206">
          <cell r="B206">
            <v>46296</v>
          </cell>
          <cell r="C206">
            <v>8127.3592488900604</v>
          </cell>
          <cell r="IK206">
            <v>341.4422916050583</v>
          </cell>
          <cell r="IR206">
            <v>-328.53880627024478</v>
          </cell>
        </row>
        <row r="207">
          <cell r="B207">
            <v>46327</v>
          </cell>
          <cell r="C207">
            <v>8019.9576942772355</v>
          </cell>
          <cell r="IK207">
            <v>356.08075215447832</v>
          </cell>
          <cell r="IR207">
            <v>-328.67819867040635</v>
          </cell>
        </row>
        <row r="208">
          <cell r="B208">
            <v>46357</v>
          </cell>
          <cell r="C208">
            <v>7957.6330800239821</v>
          </cell>
          <cell r="IK208">
            <v>369.07156479555869</v>
          </cell>
          <cell r="IR208">
            <v>-271.90686416416429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lobal Weekly Stock (EWSuez"/>
      <sheetName val="Global Weekly Stock Levels"/>
      <sheetName val="Global Weekly Stock (all 5)"/>
      <sheetName val="Report_Table"/>
      <sheetName val="Report_Charts"/>
      <sheetName val="TotWeekStocks"/>
      <sheetName val="MAP"/>
      <sheetName val="Table"/>
      <sheetName val="Sheet3"/>
      <sheetName val="M-o-M-DO NOT USE"/>
      <sheetName val="Crude"/>
      <sheetName val="ARA Independent Storage Stocks"/>
      <sheetName val="Sheet4"/>
      <sheetName val="Singapore Product Stocks"/>
      <sheetName val="Fujairah Weekly Stocks"/>
      <sheetName val="Chart6"/>
      <sheetName val="US Weekly Stocks"/>
      <sheetName val="Japan Weekly Stocks"/>
      <sheetName val="Russia Biweekly Stocks"/>
      <sheetName val="Light Distillates"/>
      <sheetName val="Middle Distillates"/>
      <sheetName val="Fuel Oil"/>
      <sheetName val="Total US"/>
      <sheetName val="Singapore Replacement"/>
      <sheetName val="Macquarie Sheet"/>
      <sheetName val="Gasoline Imports from the US"/>
      <sheetName val="US Gasoline Weekly Days Supply"/>
      <sheetName val="US gasoline days supply"/>
      <sheetName val="Global Weekly Cru Stock Levels"/>
      <sheetName val="Pivot"/>
      <sheetName val="Sheet1"/>
      <sheetName val="MAP y-o-y"/>
      <sheetName val="Comparable total stocks"/>
      <sheetName val="GLD EIA WPSR TABLE"/>
      <sheetName val="GLD EIA WPSR"/>
      <sheetName val="Date_WeekNumber"/>
      <sheetName val="US_Stocks_Data"/>
      <sheetName val="US_Stocks_Labels"/>
      <sheetName val="CandlestickChart"/>
      <sheetName val="OECD_company_stocks"/>
    </sheetNames>
    <sheetDataSet>
      <sheetData sheetId="0">
        <row r="4">
          <cell r="B4">
            <v>32878</v>
          </cell>
          <cell r="E4"/>
        </row>
        <row r="5">
          <cell r="B5">
            <v>32885</v>
          </cell>
          <cell r="E5"/>
        </row>
        <row r="6">
          <cell r="B6">
            <v>32892</v>
          </cell>
          <cell r="E6"/>
        </row>
        <row r="7">
          <cell r="B7">
            <v>32899</v>
          </cell>
          <cell r="E7"/>
        </row>
        <row r="8">
          <cell r="B8">
            <v>32906</v>
          </cell>
          <cell r="E8"/>
        </row>
        <row r="9">
          <cell r="B9">
            <v>32913</v>
          </cell>
          <cell r="E9"/>
        </row>
        <row r="10">
          <cell r="B10">
            <v>32920</v>
          </cell>
          <cell r="E10"/>
        </row>
        <row r="11">
          <cell r="B11">
            <v>32927</v>
          </cell>
          <cell r="E11"/>
        </row>
        <row r="12">
          <cell r="B12">
            <v>32934</v>
          </cell>
          <cell r="E12"/>
        </row>
        <row r="13">
          <cell r="B13">
            <v>32941</v>
          </cell>
          <cell r="E13"/>
        </row>
        <row r="14">
          <cell r="B14">
            <v>32948</v>
          </cell>
          <cell r="E14"/>
        </row>
        <row r="15">
          <cell r="B15">
            <v>32955</v>
          </cell>
          <cell r="E15"/>
        </row>
        <row r="16">
          <cell r="B16">
            <v>32962</v>
          </cell>
          <cell r="E16"/>
        </row>
        <row r="17">
          <cell r="B17">
            <v>32969</v>
          </cell>
          <cell r="E17"/>
        </row>
        <row r="18">
          <cell r="B18">
            <v>32976</v>
          </cell>
          <cell r="E18"/>
        </row>
        <row r="19">
          <cell r="B19">
            <v>32983</v>
          </cell>
          <cell r="E19"/>
        </row>
        <row r="20">
          <cell r="B20">
            <v>32990</v>
          </cell>
          <cell r="E20"/>
        </row>
        <row r="21">
          <cell r="B21">
            <v>32997</v>
          </cell>
          <cell r="E21"/>
        </row>
        <row r="22">
          <cell r="B22">
            <v>33004</v>
          </cell>
          <cell r="E22"/>
        </row>
        <row r="23">
          <cell r="B23">
            <v>33011</v>
          </cell>
          <cell r="E23"/>
        </row>
        <row r="24">
          <cell r="B24">
            <v>33018</v>
          </cell>
          <cell r="E24"/>
        </row>
        <row r="25">
          <cell r="B25">
            <v>33025</v>
          </cell>
          <cell r="E25"/>
        </row>
        <row r="26">
          <cell r="B26">
            <v>33032</v>
          </cell>
          <cell r="E26"/>
        </row>
        <row r="27">
          <cell r="B27">
            <v>33039</v>
          </cell>
          <cell r="E27"/>
        </row>
        <row r="28">
          <cell r="B28">
            <v>33046</v>
          </cell>
          <cell r="E28"/>
        </row>
        <row r="29">
          <cell r="B29">
            <v>33053</v>
          </cell>
          <cell r="E29"/>
        </row>
        <row r="30">
          <cell r="B30">
            <v>33060</v>
          </cell>
          <cell r="E30"/>
        </row>
        <row r="31">
          <cell r="B31">
            <v>33067</v>
          </cell>
          <cell r="E31"/>
        </row>
        <row r="32">
          <cell r="B32">
            <v>33074</v>
          </cell>
          <cell r="E32"/>
        </row>
        <row r="33">
          <cell r="B33">
            <v>33081</v>
          </cell>
          <cell r="E33"/>
        </row>
        <row r="34">
          <cell r="B34">
            <v>33088</v>
          </cell>
          <cell r="E34"/>
        </row>
        <row r="35">
          <cell r="B35">
            <v>33095</v>
          </cell>
          <cell r="E35"/>
        </row>
        <row r="36">
          <cell r="B36">
            <v>33102</v>
          </cell>
          <cell r="E36"/>
        </row>
        <row r="37">
          <cell r="B37">
            <v>33109</v>
          </cell>
          <cell r="E37"/>
        </row>
        <row r="38">
          <cell r="B38">
            <v>33116</v>
          </cell>
          <cell r="E38"/>
        </row>
        <row r="39">
          <cell r="B39">
            <v>33123</v>
          </cell>
          <cell r="E39"/>
        </row>
        <row r="40">
          <cell r="B40">
            <v>33130</v>
          </cell>
          <cell r="E40"/>
        </row>
        <row r="41">
          <cell r="B41">
            <v>33137</v>
          </cell>
          <cell r="E41"/>
        </row>
        <row r="42">
          <cell r="B42">
            <v>33144</v>
          </cell>
          <cell r="E42"/>
        </row>
        <row r="43">
          <cell r="B43">
            <v>33151</v>
          </cell>
          <cell r="E43"/>
        </row>
        <row r="44">
          <cell r="B44">
            <v>33158</v>
          </cell>
          <cell r="E44"/>
        </row>
        <row r="45">
          <cell r="B45">
            <v>33165</v>
          </cell>
          <cell r="E45"/>
        </row>
        <row r="46">
          <cell r="B46">
            <v>33172</v>
          </cell>
          <cell r="E46"/>
        </row>
        <row r="47">
          <cell r="B47">
            <v>33179</v>
          </cell>
          <cell r="E47"/>
        </row>
        <row r="48">
          <cell r="B48">
            <v>33186</v>
          </cell>
          <cell r="E48"/>
        </row>
        <row r="49">
          <cell r="B49">
            <v>33193</v>
          </cell>
          <cell r="E49"/>
        </row>
        <row r="50">
          <cell r="B50">
            <v>33200</v>
          </cell>
          <cell r="E50"/>
        </row>
        <row r="51">
          <cell r="B51">
            <v>33207</v>
          </cell>
          <cell r="E51"/>
        </row>
        <row r="52">
          <cell r="B52">
            <v>33214</v>
          </cell>
          <cell r="E52"/>
        </row>
        <row r="53">
          <cell r="B53">
            <v>33221</v>
          </cell>
          <cell r="E53"/>
        </row>
        <row r="54">
          <cell r="B54">
            <v>33228</v>
          </cell>
          <cell r="E54"/>
        </row>
        <row r="55">
          <cell r="B55">
            <v>33235</v>
          </cell>
          <cell r="E55"/>
        </row>
        <row r="56">
          <cell r="B56">
            <v>33242</v>
          </cell>
          <cell r="E56"/>
        </row>
        <row r="57">
          <cell r="B57">
            <v>33249</v>
          </cell>
          <cell r="E57"/>
        </row>
        <row r="58">
          <cell r="B58">
            <v>33256</v>
          </cell>
          <cell r="E58"/>
        </row>
        <row r="59">
          <cell r="B59">
            <v>33263</v>
          </cell>
          <cell r="E59"/>
        </row>
        <row r="60">
          <cell r="B60">
            <v>33270</v>
          </cell>
          <cell r="E60"/>
        </row>
        <row r="61">
          <cell r="B61">
            <v>33277</v>
          </cell>
          <cell r="E61"/>
        </row>
        <row r="62">
          <cell r="B62">
            <v>33284</v>
          </cell>
          <cell r="E62"/>
        </row>
        <row r="63">
          <cell r="B63">
            <v>33291</v>
          </cell>
          <cell r="E63"/>
        </row>
        <row r="64">
          <cell r="B64">
            <v>33298</v>
          </cell>
          <cell r="E64"/>
        </row>
        <row r="65">
          <cell r="B65">
            <v>33305</v>
          </cell>
          <cell r="E65"/>
        </row>
        <row r="66">
          <cell r="B66">
            <v>33312</v>
          </cell>
          <cell r="E66"/>
        </row>
        <row r="67">
          <cell r="B67">
            <v>33319</v>
          </cell>
          <cell r="E67"/>
        </row>
        <row r="68">
          <cell r="B68">
            <v>33326</v>
          </cell>
          <cell r="E68"/>
        </row>
        <row r="69">
          <cell r="B69">
            <v>33333</v>
          </cell>
          <cell r="E69"/>
        </row>
        <row r="70">
          <cell r="B70">
            <v>33340</v>
          </cell>
          <cell r="E70"/>
        </row>
        <row r="71">
          <cell r="B71">
            <v>33347</v>
          </cell>
          <cell r="E71"/>
        </row>
        <row r="72">
          <cell r="B72">
            <v>33354</v>
          </cell>
          <cell r="E72"/>
        </row>
        <row r="73">
          <cell r="B73">
            <v>33361</v>
          </cell>
          <cell r="E73"/>
        </row>
        <row r="74">
          <cell r="B74">
            <v>33368</v>
          </cell>
          <cell r="E74"/>
        </row>
        <row r="75">
          <cell r="B75">
            <v>33375</v>
          </cell>
          <cell r="E75"/>
        </row>
        <row r="76">
          <cell r="B76">
            <v>33382</v>
          </cell>
          <cell r="E76"/>
        </row>
        <row r="77">
          <cell r="B77">
            <v>33389</v>
          </cell>
          <cell r="E77"/>
        </row>
        <row r="78">
          <cell r="B78">
            <v>33396</v>
          </cell>
          <cell r="E78"/>
        </row>
        <row r="79">
          <cell r="B79">
            <v>33403</v>
          </cell>
          <cell r="E79"/>
        </row>
        <row r="80">
          <cell r="B80">
            <v>33410</v>
          </cell>
          <cell r="E80"/>
        </row>
        <row r="81">
          <cell r="B81">
            <v>33417</v>
          </cell>
          <cell r="E81"/>
        </row>
        <row r="82">
          <cell r="B82">
            <v>33424</v>
          </cell>
          <cell r="E82"/>
        </row>
        <row r="83">
          <cell r="B83">
            <v>33431</v>
          </cell>
          <cell r="E83"/>
        </row>
        <row r="84">
          <cell r="B84">
            <v>33438</v>
          </cell>
          <cell r="E84"/>
        </row>
        <row r="85">
          <cell r="B85">
            <v>33445</v>
          </cell>
          <cell r="E85"/>
        </row>
        <row r="86">
          <cell r="B86">
            <v>33452</v>
          </cell>
          <cell r="E86"/>
        </row>
        <row r="87">
          <cell r="B87">
            <v>33459</v>
          </cell>
          <cell r="E87"/>
        </row>
        <row r="88">
          <cell r="B88">
            <v>33466</v>
          </cell>
          <cell r="E88"/>
        </row>
        <row r="89">
          <cell r="B89">
            <v>33473</v>
          </cell>
          <cell r="E89"/>
        </row>
        <row r="90">
          <cell r="B90">
            <v>33480</v>
          </cell>
          <cell r="E90"/>
        </row>
        <row r="91">
          <cell r="B91">
            <v>33487</v>
          </cell>
          <cell r="E91"/>
        </row>
        <row r="92">
          <cell r="B92">
            <v>33494</v>
          </cell>
          <cell r="E92"/>
        </row>
        <row r="93">
          <cell r="B93">
            <v>33501</v>
          </cell>
          <cell r="E93"/>
        </row>
        <row r="94">
          <cell r="B94">
            <v>33508</v>
          </cell>
          <cell r="E94"/>
        </row>
        <row r="95">
          <cell r="B95">
            <v>33515</v>
          </cell>
          <cell r="E95"/>
        </row>
        <row r="96">
          <cell r="B96">
            <v>33522</v>
          </cell>
          <cell r="E96"/>
        </row>
        <row r="97">
          <cell r="B97">
            <v>33529</v>
          </cell>
          <cell r="E97"/>
        </row>
        <row r="98">
          <cell r="B98">
            <v>33536</v>
          </cell>
          <cell r="E98"/>
        </row>
        <row r="99">
          <cell r="B99">
            <v>33543</v>
          </cell>
          <cell r="E99"/>
        </row>
        <row r="100">
          <cell r="B100">
            <v>33550</v>
          </cell>
          <cell r="E100"/>
        </row>
        <row r="101">
          <cell r="B101">
            <v>33557</v>
          </cell>
          <cell r="E101"/>
        </row>
        <row r="102">
          <cell r="B102">
            <v>33564</v>
          </cell>
          <cell r="E102"/>
        </row>
        <row r="103">
          <cell r="B103">
            <v>33571</v>
          </cell>
          <cell r="E103"/>
        </row>
        <row r="104">
          <cell r="B104">
            <v>33578</v>
          </cell>
          <cell r="E104"/>
        </row>
        <row r="105">
          <cell r="B105">
            <v>33585</v>
          </cell>
          <cell r="E105"/>
        </row>
        <row r="106">
          <cell r="B106">
            <v>33592</v>
          </cell>
          <cell r="E106"/>
        </row>
        <row r="107">
          <cell r="B107">
            <v>33599</v>
          </cell>
          <cell r="E107"/>
        </row>
        <row r="108">
          <cell r="B108">
            <v>33606</v>
          </cell>
          <cell r="E108"/>
        </row>
        <row r="109">
          <cell r="B109">
            <v>33613</v>
          </cell>
          <cell r="E109"/>
        </row>
        <row r="110">
          <cell r="B110">
            <v>33620</v>
          </cell>
          <cell r="E110"/>
        </row>
        <row r="111">
          <cell r="B111">
            <v>33627</v>
          </cell>
          <cell r="E111"/>
        </row>
        <row r="112">
          <cell r="B112">
            <v>33634</v>
          </cell>
          <cell r="E112"/>
        </row>
        <row r="113">
          <cell r="B113">
            <v>33641</v>
          </cell>
          <cell r="E113"/>
        </row>
        <row r="114">
          <cell r="B114">
            <v>33648</v>
          </cell>
          <cell r="E114"/>
        </row>
        <row r="115">
          <cell r="B115">
            <v>33655</v>
          </cell>
          <cell r="E115"/>
        </row>
        <row r="116">
          <cell r="B116">
            <v>33662</v>
          </cell>
          <cell r="E116"/>
        </row>
        <row r="117">
          <cell r="B117">
            <v>33669</v>
          </cell>
          <cell r="E117"/>
        </row>
        <row r="118">
          <cell r="B118">
            <v>33676</v>
          </cell>
          <cell r="E118"/>
        </row>
        <row r="119">
          <cell r="B119">
            <v>33683</v>
          </cell>
          <cell r="E119"/>
        </row>
        <row r="120">
          <cell r="B120">
            <v>33690</v>
          </cell>
          <cell r="E120"/>
        </row>
        <row r="121">
          <cell r="B121">
            <v>33697</v>
          </cell>
          <cell r="E121"/>
        </row>
        <row r="122">
          <cell r="B122">
            <v>33704</v>
          </cell>
          <cell r="E122"/>
        </row>
        <row r="123">
          <cell r="B123">
            <v>33711</v>
          </cell>
          <cell r="E123"/>
        </row>
        <row r="124">
          <cell r="B124">
            <v>33718</v>
          </cell>
          <cell r="E124"/>
        </row>
        <row r="125">
          <cell r="B125">
            <v>33725</v>
          </cell>
          <cell r="E125"/>
        </row>
        <row r="126">
          <cell r="B126">
            <v>33732</v>
          </cell>
          <cell r="E126"/>
        </row>
        <row r="127">
          <cell r="B127">
            <v>33739</v>
          </cell>
          <cell r="E127"/>
        </row>
        <row r="128">
          <cell r="B128">
            <v>33746</v>
          </cell>
          <cell r="E128"/>
        </row>
        <row r="129">
          <cell r="B129">
            <v>33753</v>
          </cell>
          <cell r="E129"/>
        </row>
        <row r="130">
          <cell r="B130">
            <v>33760</v>
          </cell>
          <cell r="E130"/>
        </row>
        <row r="131">
          <cell r="B131">
            <v>33767</v>
          </cell>
          <cell r="E131"/>
        </row>
        <row r="132">
          <cell r="B132">
            <v>33774</v>
          </cell>
          <cell r="E132"/>
        </row>
        <row r="133">
          <cell r="B133">
            <v>33781</v>
          </cell>
          <cell r="E133"/>
        </row>
        <row r="134">
          <cell r="B134">
            <v>33788</v>
          </cell>
          <cell r="E134"/>
        </row>
        <row r="135">
          <cell r="B135">
            <v>33795</v>
          </cell>
          <cell r="E135"/>
        </row>
        <row r="136">
          <cell r="B136">
            <v>33802</v>
          </cell>
          <cell r="E136"/>
        </row>
        <row r="137">
          <cell r="B137">
            <v>33809</v>
          </cell>
          <cell r="E137"/>
        </row>
        <row r="138">
          <cell r="B138">
            <v>33816</v>
          </cell>
          <cell r="E138"/>
        </row>
        <row r="139">
          <cell r="B139">
            <v>33823</v>
          </cell>
          <cell r="E139"/>
        </row>
        <row r="140">
          <cell r="B140">
            <v>33830</v>
          </cell>
          <cell r="E140"/>
        </row>
        <row r="141">
          <cell r="B141">
            <v>33837</v>
          </cell>
          <cell r="E141"/>
        </row>
        <row r="142">
          <cell r="B142">
            <v>33844</v>
          </cell>
          <cell r="E142"/>
        </row>
        <row r="143">
          <cell r="B143">
            <v>33851</v>
          </cell>
          <cell r="E143"/>
        </row>
        <row r="144">
          <cell r="B144">
            <v>33858</v>
          </cell>
          <cell r="E144"/>
        </row>
        <row r="145">
          <cell r="B145">
            <v>33865</v>
          </cell>
          <cell r="E145"/>
        </row>
        <row r="146">
          <cell r="B146">
            <v>33872</v>
          </cell>
          <cell r="E146"/>
        </row>
        <row r="147">
          <cell r="B147">
            <v>33879</v>
          </cell>
          <cell r="E147"/>
        </row>
        <row r="148">
          <cell r="B148">
            <v>33886</v>
          </cell>
          <cell r="E148"/>
        </row>
        <row r="149">
          <cell r="B149">
            <v>33893</v>
          </cell>
          <cell r="E149"/>
        </row>
        <row r="150">
          <cell r="B150">
            <v>33900</v>
          </cell>
          <cell r="E150"/>
        </row>
        <row r="151">
          <cell r="B151">
            <v>33907</v>
          </cell>
          <cell r="E151"/>
        </row>
        <row r="152">
          <cell r="B152">
            <v>33914</v>
          </cell>
          <cell r="E152"/>
        </row>
        <row r="153">
          <cell r="B153">
            <v>33921</v>
          </cell>
          <cell r="E153"/>
        </row>
        <row r="154">
          <cell r="B154">
            <v>33928</v>
          </cell>
          <cell r="E154"/>
        </row>
        <row r="155">
          <cell r="B155">
            <v>33935</v>
          </cell>
          <cell r="E155"/>
        </row>
        <row r="156">
          <cell r="B156">
            <v>33942</v>
          </cell>
          <cell r="E156"/>
        </row>
        <row r="157">
          <cell r="B157">
            <v>33949</v>
          </cell>
          <cell r="E157"/>
        </row>
        <row r="158">
          <cell r="B158">
            <v>33956</v>
          </cell>
          <cell r="E158"/>
        </row>
        <row r="159">
          <cell r="B159">
            <v>33963</v>
          </cell>
          <cell r="E159"/>
        </row>
        <row r="160">
          <cell r="B160">
            <v>33970</v>
          </cell>
          <cell r="E160"/>
        </row>
        <row r="161">
          <cell r="B161">
            <v>33977</v>
          </cell>
          <cell r="E161"/>
        </row>
        <row r="162">
          <cell r="B162">
            <v>33984</v>
          </cell>
          <cell r="E162"/>
        </row>
        <row r="163">
          <cell r="B163">
            <v>33991</v>
          </cell>
          <cell r="E163"/>
        </row>
        <row r="164">
          <cell r="B164">
            <v>33998</v>
          </cell>
          <cell r="E164"/>
        </row>
        <row r="165">
          <cell r="B165">
            <v>34005</v>
          </cell>
          <cell r="E165"/>
        </row>
        <row r="166">
          <cell r="B166">
            <v>34012</v>
          </cell>
          <cell r="E166"/>
        </row>
        <row r="167">
          <cell r="B167">
            <v>34019</v>
          </cell>
          <cell r="E167"/>
        </row>
        <row r="168">
          <cell r="B168">
            <v>34026</v>
          </cell>
          <cell r="E168"/>
        </row>
        <row r="169">
          <cell r="B169">
            <v>34033</v>
          </cell>
          <cell r="E169"/>
        </row>
        <row r="170">
          <cell r="B170">
            <v>34040</v>
          </cell>
          <cell r="E170"/>
        </row>
        <row r="171">
          <cell r="B171">
            <v>34047</v>
          </cell>
          <cell r="E171"/>
        </row>
        <row r="172">
          <cell r="B172">
            <v>34054</v>
          </cell>
          <cell r="E172"/>
        </row>
        <row r="173">
          <cell r="B173">
            <v>34061</v>
          </cell>
          <cell r="E173"/>
        </row>
        <row r="174">
          <cell r="B174">
            <v>34068</v>
          </cell>
          <cell r="E174"/>
        </row>
        <row r="175">
          <cell r="B175">
            <v>34075</v>
          </cell>
          <cell r="E175"/>
        </row>
        <row r="176">
          <cell r="B176">
            <v>34082</v>
          </cell>
          <cell r="E176"/>
        </row>
        <row r="177">
          <cell r="B177">
            <v>34089</v>
          </cell>
          <cell r="E177"/>
        </row>
        <row r="178">
          <cell r="B178">
            <v>34096</v>
          </cell>
          <cell r="E178"/>
        </row>
        <row r="179">
          <cell r="B179">
            <v>34103</v>
          </cell>
          <cell r="E179"/>
        </row>
        <row r="180">
          <cell r="B180">
            <v>34110</v>
          </cell>
          <cell r="E180"/>
        </row>
        <row r="181">
          <cell r="B181">
            <v>34117</v>
          </cell>
          <cell r="E181"/>
        </row>
        <row r="182">
          <cell r="B182">
            <v>34124</v>
          </cell>
          <cell r="E182"/>
        </row>
        <row r="183">
          <cell r="B183">
            <v>34131</v>
          </cell>
          <cell r="E183"/>
        </row>
        <row r="184">
          <cell r="B184">
            <v>34138</v>
          </cell>
          <cell r="E184"/>
        </row>
        <row r="185">
          <cell r="B185">
            <v>34145</v>
          </cell>
          <cell r="E185"/>
        </row>
        <row r="186">
          <cell r="B186">
            <v>34152</v>
          </cell>
          <cell r="E186"/>
        </row>
        <row r="187">
          <cell r="B187">
            <v>34159</v>
          </cell>
          <cell r="E187"/>
        </row>
        <row r="188">
          <cell r="B188">
            <v>34166</v>
          </cell>
          <cell r="E188"/>
        </row>
        <row r="189">
          <cell r="B189">
            <v>34173</v>
          </cell>
          <cell r="E189"/>
        </row>
        <row r="190">
          <cell r="B190">
            <v>34180</v>
          </cell>
          <cell r="E190"/>
        </row>
        <row r="191">
          <cell r="B191">
            <v>34187</v>
          </cell>
          <cell r="E191"/>
        </row>
        <row r="192">
          <cell r="B192">
            <v>34194</v>
          </cell>
          <cell r="E192"/>
        </row>
        <row r="193">
          <cell r="B193">
            <v>34201</v>
          </cell>
          <cell r="E193"/>
        </row>
        <row r="194">
          <cell r="B194">
            <v>34208</v>
          </cell>
          <cell r="E194"/>
        </row>
        <row r="195">
          <cell r="B195">
            <v>34215</v>
          </cell>
          <cell r="E195"/>
        </row>
        <row r="196">
          <cell r="B196">
            <v>34222</v>
          </cell>
          <cell r="E196"/>
        </row>
        <row r="197">
          <cell r="B197">
            <v>34229</v>
          </cell>
          <cell r="E197"/>
        </row>
        <row r="198">
          <cell r="B198">
            <v>34236</v>
          </cell>
          <cell r="E198"/>
        </row>
        <row r="199">
          <cell r="B199">
            <v>34243</v>
          </cell>
          <cell r="E199"/>
        </row>
        <row r="200">
          <cell r="B200">
            <v>34250</v>
          </cell>
          <cell r="E200"/>
        </row>
        <row r="201">
          <cell r="B201">
            <v>34257</v>
          </cell>
          <cell r="E201"/>
        </row>
        <row r="202">
          <cell r="B202">
            <v>34264</v>
          </cell>
          <cell r="E202"/>
        </row>
        <row r="203">
          <cell r="B203">
            <v>34271</v>
          </cell>
          <cell r="E203"/>
        </row>
        <row r="204">
          <cell r="B204">
            <v>34278</v>
          </cell>
          <cell r="E204"/>
        </row>
        <row r="205">
          <cell r="B205">
            <v>34285</v>
          </cell>
          <cell r="E205"/>
        </row>
        <row r="206">
          <cell r="B206">
            <v>34292</v>
          </cell>
          <cell r="E206"/>
        </row>
        <row r="207">
          <cell r="B207">
            <v>34299</v>
          </cell>
          <cell r="E207"/>
        </row>
        <row r="208">
          <cell r="B208">
            <v>34306</v>
          </cell>
          <cell r="E208"/>
        </row>
        <row r="209">
          <cell r="B209">
            <v>34313</v>
          </cell>
          <cell r="E209"/>
        </row>
        <row r="210">
          <cell r="B210">
            <v>34320</v>
          </cell>
          <cell r="E210"/>
        </row>
        <row r="211">
          <cell r="B211">
            <v>34327</v>
          </cell>
          <cell r="E211"/>
        </row>
        <row r="212">
          <cell r="B212">
            <v>34334</v>
          </cell>
          <cell r="E212"/>
        </row>
        <row r="213">
          <cell r="B213">
            <v>34341</v>
          </cell>
          <cell r="E213"/>
        </row>
        <row r="214">
          <cell r="B214">
            <v>34348</v>
          </cell>
          <cell r="E214"/>
        </row>
        <row r="215">
          <cell r="B215">
            <v>34355</v>
          </cell>
          <cell r="E215"/>
        </row>
        <row r="216">
          <cell r="B216">
            <v>34362</v>
          </cell>
          <cell r="E216"/>
        </row>
        <row r="217">
          <cell r="B217">
            <v>34369</v>
          </cell>
          <cell r="E217"/>
        </row>
        <row r="218">
          <cell r="B218">
            <v>34376</v>
          </cell>
          <cell r="E218"/>
        </row>
        <row r="219">
          <cell r="B219">
            <v>34383</v>
          </cell>
          <cell r="E219"/>
        </row>
        <row r="220">
          <cell r="B220">
            <v>34390</v>
          </cell>
          <cell r="E220"/>
        </row>
        <row r="221">
          <cell r="B221">
            <v>34397</v>
          </cell>
          <cell r="E221"/>
        </row>
        <row r="222">
          <cell r="B222">
            <v>34404</v>
          </cell>
          <cell r="E222"/>
        </row>
        <row r="223">
          <cell r="B223">
            <v>34411</v>
          </cell>
          <cell r="E223"/>
        </row>
        <row r="224">
          <cell r="B224">
            <v>34418</v>
          </cell>
          <cell r="E224"/>
        </row>
        <row r="225">
          <cell r="B225">
            <v>34425</v>
          </cell>
          <cell r="E225"/>
        </row>
        <row r="226">
          <cell r="B226">
            <v>34432</v>
          </cell>
          <cell r="E226"/>
        </row>
        <row r="227">
          <cell r="B227">
            <v>34439</v>
          </cell>
          <cell r="E227"/>
        </row>
        <row r="228">
          <cell r="B228">
            <v>34446</v>
          </cell>
          <cell r="E228"/>
        </row>
        <row r="229">
          <cell r="B229">
            <v>34453</v>
          </cell>
          <cell r="E229"/>
        </row>
        <row r="230">
          <cell r="B230">
            <v>34460</v>
          </cell>
          <cell r="E230"/>
        </row>
        <row r="231">
          <cell r="B231">
            <v>34467</v>
          </cell>
          <cell r="E231"/>
        </row>
        <row r="232">
          <cell r="B232">
            <v>34474</v>
          </cell>
          <cell r="E232"/>
        </row>
        <row r="233">
          <cell r="B233">
            <v>34481</v>
          </cell>
          <cell r="E233"/>
        </row>
        <row r="234">
          <cell r="B234">
            <v>34488</v>
          </cell>
          <cell r="E234"/>
        </row>
        <row r="235">
          <cell r="B235">
            <v>34495</v>
          </cell>
          <cell r="E235"/>
        </row>
        <row r="236">
          <cell r="B236">
            <v>34502</v>
          </cell>
          <cell r="E236"/>
        </row>
        <row r="237">
          <cell r="B237">
            <v>34509</v>
          </cell>
          <cell r="E237"/>
        </row>
        <row r="238">
          <cell r="B238">
            <v>34516</v>
          </cell>
          <cell r="E238"/>
        </row>
        <row r="239">
          <cell r="B239">
            <v>34523</v>
          </cell>
          <cell r="E239"/>
        </row>
        <row r="240">
          <cell r="B240">
            <v>34530</v>
          </cell>
          <cell r="E240"/>
        </row>
        <row r="241">
          <cell r="B241">
            <v>34537</v>
          </cell>
          <cell r="E241"/>
        </row>
        <row r="242">
          <cell r="B242">
            <v>34544</v>
          </cell>
          <cell r="E242"/>
        </row>
        <row r="243">
          <cell r="B243">
            <v>34551</v>
          </cell>
          <cell r="E243"/>
        </row>
        <row r="244">
          <cell r="B244">
            <v>34558</v>
          </cell>
          <cell r="E244"/>
        </row>
        <row r="245">
          <cell r="B245">
            <v>34565</v>
          </cell>
          <cell r="E245"/>
        </row>
        <row r="246">
          <cell r="B246">
            <v>34572</v>
          </cell>
          <cell r="E246"/>
        </row>
        <row r="247">
          <cell r="B247">
            <v>34579</v>
          </cell>
          <cell r="E247"/>
        </row>
        <row r="248">
          <cell r="B248">
            <v>34586</v>
          </cell>
          <cell r="E248"/>
        </row>
        <row r="249">
          <cell r="B249">
            <v>34593</v>
          </cell>
          <cell r="E249"/>
        </row>
        <row r="250">
          <cell r="B250">
            <v>34600</v>
          </cell>
          <cell r="E250"/>
        </row>
        <row r="251">
          <cell r="B251">
            <v>34607</v>
          </cell>
          <cell r="E251"/>
        </row>
        <row r="252">
          <cell r="B252">
            <v>34614</v>
          </cell>
          <cell r="E252"/>
        </row>
        <row r="253">
          <cell r="B253">
            <v>34621</v>
          </cell>
          <cell r="E253"/>
        </row>
        <row r="254">
          <cell r="B254">
            <v>34628</v>
          </cell>
          <cell r="E254"/>
        </row>
        <row r="255">
          <cell r="B255">
            <v>34635</v>
          </cell>
          <cell r="E255"/>
        </row>
        <row r="256">
          <cell r="B256">
            <v>34642</v>
          </cell>
          <cell r="E256"/>
        </row>
        <row r="257">
          <cell r="B257">
            <v>34649</v>
          </cell>
          <cell r="E257"/>
        </row>
        <row r="258">
          <cell r="B258">
            <v>34656</v>
          </cell>
          <cell r="E258"/>
        </row>
        <row r="259">
          <cell r="B259">
            <v>34663</v>
          </cell>
          <cell r="E259"/>
        </row>
        <row r="260">
          <cell r="B260">
            <v>34670</v>
          </cell>
          <cell r="E260"/>
        </row>
        <row r="261">
          <cell r="B261">
            <v>34677</v>
          </cell>
          <cell r="E261"/>
        </row>
        <row r="262">
          <cell r="B262">
            <v>34684</v>
          </cell>
          <cell r="E262"/>
        </row>
        <row r="263">
          <cell r="B263">
            <v>34691</v>
          </cell>
          <cell r="E263"/>
        </row>
        <row r="264">
          <cell r="B264">
            <v>34698</v>
          </cell>
          <cell r="E264"/>
        </row>
        <row r="265">
          <cell r="B265">
            <v>34705</v>
          </cell>
          <cell r="E265"/>
        </row>
        <row r="266">
          <cell r="B266">
            <v>34712</v>
          </cell>
          <cell r="E266">
            <v>7158</v>
          </cell>
        </row>
        <row r="267">
          <cell r="B267">
            <v>34719</v>
          </cell>
          <cell r="E267">
            <v>7096</v>
          </cell>
        </row>
        <row r="268">
          <cell r="B268">
            <v>34726</v>
          </cell>
          <cell r="E268">
            <v>6854</v>
          </cell>
        </row>
        <row r="269">
          <cell r="B269">
            <v>34733</v>
          </cell>
          <cell r="E269">
            <v>6767</v>
          </cell>
        </row>
        <row r="270">
          <cell r="B270">
            <v>34740</v>
          </cell>
          <cell r="E270">
            <v>6376</v>
          </cell>
        </row>
        <row r="271">
          <cell r="B271">
            <v>34747</v>
          </cell>
          <cell r="E271">
            <v>6219</v>
          </cell>
        </row>
        <row r="272">
          <cell r="B272">
            <v>34754</v>
          </cell>
          <cell r="E272">
            <v>7080</v>
          </cell>
        </row>
        <row r="273">
          <cell r="B273">
            <v>34761</v>
          </cell>
          <cell r="E273">
            <v>7434</v>
          </cell>
        </row>
        <row r="274">
          <cell r="B274">
            <v>34768</v>
          </cell>
          <cell r="E274">
            <v>6910</v>
          </cell>
        </row>
        <row r="275">
          <cell r="B275">
            <v>34775</v>
          </cell>
          <cell r="E275">
            <v>6530</v>
          </cell>
        </row>
        <row r="276">
          <cell r="B276">
            <v>34782</v>
          </cell>
          <cell r="E276">
            <v>6824</v>
          </cell>
        </row>
        <row r="277">
          <cell r="B277">
            <v>34789</v>
          </cell>
          <cell r="E277">
            <v>6874</v>
          </cell>
        </row>
        <row r="278">
          <cell r="B278">
            <v>34796</v>
          </cell>
          <cell r="E278">
            <v>6930</v>
          </cell>
        </row>
        <row r="279">
          <cell r="B279">
            <v>34803</v>
          </cell>
          <cell r="E279">
            <v>7892</v>
          </cell>
        </row>
        <row r="280">
          <cell r="B280">
            <v>34810</v>
          </cell>
          <cell r="E280">
            <v>7974</v>
          </cell>
        </row>
        <row r="281">
          <cell r="B281">
            <v>34817</v>
          </cell>
          <cell r="E281">
            <v>7761</v>
          </cell>
        </row>
        <row r="282">
          <cell r="B282">
            <v>34824</v>
          </cell>
          <cell r="E282">
            <v>7022</v>
          </cell>
        </row>
        <row r="283">
          <cell r="B283">
            <v>34831</v>
          </cell>
          <cell r="E283">
            <v>6815</v>
          </cell>
        </row>
        <row r="284">
          <cell r="B284">
            <v>34838</v>
          </cell>
          <cell r="E284">
            <v>7377</v>
          </cell>
        </row>
        <row r="285">
          <cell r="B285">
            <v>34845</v>
          </cell>
          <cell r="E285">
            <v>6039</v>
          </cell>
        </row>
        <row r="286">
          <cell r="B286">
            <v>34852</v>
          </cell>
          <cell r="E286">
            <v>6406</v>
          </cell>
        </row>
        <row r="287">
          <cell r="B287">
            <v>34859</v>
          </cell>
          <cell r="E287">
            <v>6505</v>
          </cell>
        </row>
        <row r="288">
          <cell r="B288">
            <v>34866</v>
          </cell>
          <cell r="E288">
            <v>6399</v>
          </cell>
        </row>
        <row r="289">
          <cell r="B289">
            <v>34873</v>
          </cell>
          <cell r="E289">
            <v>5871</v>
          </cell>
        </row>
        <row r="290">
          <cell r="B290">
            <v>34880</v>
          </cell>
          <cell r="E290">
            <v>6025</v>
          </cell>
        </row>
        <row r="291">
          <cell r="B291">
            <v>34887</v>
          </cell>
          <cell r="E291">
            <v>5755</v>
          </cell>
        </row>
        <row r="292">
          <cell r="B292">
            <v>34894</v>
          </cell>
          <cell r="E292">
            <v>5455</v>
          </cell>
        </row>
        <row r="293">
          <cell r="B293">
            <v>34901</v>
          </cell>
          <cell r="E293">
            <v>6404</v>
          </cell>
        </row>
        <row r="294">
          <cell r="B294">
            <v>34908</v>
          </cell>
          <cell r="E294">
            <v>5588</v>
          </cell>
        </row>
        <row r="295">
          <cell r="B295">
            <v>34915</v>
          </cell>
          <cell r="E295">
            <v>5802</v>
          </cell>
        </row>
        <row r="296">
          <cell r="B296">
            <v>34922</v>
          </cell>
          <cell r="E296">
            <v>5654</v>
          </cell>
        </row>
        <row r="297">
          <cell r="B297">
            <v>34929</v>
          </cell>
          <cell r="E297">
            <v>4903</v>
          </cell>
        </row>
        <row r="298">
          <cell r="B298">
            <v>34936</v>
          </cell>
          <cell r="E298">
            <v>5679</v>
          </cell>
        </row>
        <row r="299">
          <cell r="B299">
            <v>34943</v>
          </cell>
          <cell r="E299">
            <v>5247</v>
          </cell>
        </row>
        <row r="300">
          <cell r="B300">
            <v>34950</v>
          </cell>
          <cell r="E300">
            <v>6038</v>
          </cell>
        </row>
        <row r="301">
          <cell r="B301">
            <v>34957</v>
          </cell>
          <cell r="E301">
            <v>6368</v>
          </cell>
        </row>
        <row r="302">
          <cell r="B302">
            <v>34964</v>
          </cell>
          <cell r="E302">
            <v>6260</v>
          </cell>
        </row>
        <row r="303">
          <cell r="B303">
            <v>34971</v>
          </cell>
          <cell r="E303">
            <v>6283</v>
          </cell>
        </row>
        <row r="304">
          <cell r="B304">
            <v>34978</v>
          </cell>
          <cell r="E304">
            <v>5834</v>
          </cell>
        </row>
        <row r="305">
          <cell r="B305">
            <v>34985</v>
          </cell>
          <cell r="E305">
            <v>5570</v>
          </cell>
        </row>
        <row r="306">
          <cell r="B306">
            <v>34992</v>
          </cell>
          <cell r="E306">
            <v>5784</v>
          </cell>
        </row>
        <row r="307">
          <cell r="B307">
            <v>34999</v>
          </cell>
          <cell r="E307">
            <v>6131</v>
          </cell>
        </row>
        <row r="308">
          <cell r="B308">
            <v>35006</v>
          </cell>
          <cell r="E308">
            <v>6032</v>
          </cell>
        </row>
        <row r="309">
          <cell r="B309">
            <v>35013</v>
          </cell>
          <cell r="E309">
            <v>6025</v>
          </cell>
        </row>
        <row r="310">
          <cell r="B310">
            <v>35020</v>
          </cell>
          <cell r="E310">
            <v>6462</v>
          </cell>
        </row>
        <row r="311">
          <cell r="B311">
            <v>35027</v>
          </cell>
          <cell r="E311">
            <v>6020</v>
          </cell>
        </row>
        <row r="312">
          <cell r="B312">
            <v>35034</v>
          </cell>
          <cell r="E312">
            <v>6204</v>
          </cell>
        </row>
        <row r="313">
          <cell r="B313">
            <v>35041</v>
          </cell>
          <cell r="E313">
            <v>5750</v>
          </cell>
        </row>
        <row r="314">
          <cell r="B314">
            <v>35048</v>
          </cell>
          <cell r="E314">
            <v>5184</v>
          </cell>
        </row>
        <row r="315">
          <cell r="B315">
            <v>35055</v>
          </cell>
          <cell r="E315">
            <v>4910</v>
          </cell>
        </row>
        <row r="316">
          <cell r="B316">
            <v>35062</v>
          </cell>
          <cell r="E316">
            <v>4774</v>
          </cell>
        </row>
        <row r="317">
          <cell r="B317">
            <v>35069</v>
          </cell>
          <cell r="E317">
            <v>5111</v>
          </cell>
        </row>
        <row r="318">
          <cell r="B318">
            <v>35076</v>
          </cell>
          <cell r="E318">
            <v>5212</v>
          </cell>
        </row>
        <row r="319">
          <cell r="B319">
            <v>35083</v>
          </cell>
          <cell r="E319">
            <v>5612</v>
          </cell>
        </row>
        <row r="320">
          <cell r="B320">
            <v>35090</v>
          </cell>
          <cell r="E320">
            <v>5915</v>
          </cell>
        </row>
        <row r="321">
          <cell r="B321">
            <v>35097</v>
          </cell>
          <cell r="E321">
            <v>6195</v>
          </cell>
        </row>
        <row r="322">
          <cell r="B322">
            <v>35104</v>
          </cell>
          <cell r="E322">
            <v>6913</v>
          </cell>
        </row>
        <row r="323">
          <cell r="B323">
            <v>35111</v>
          </cell>
          <cell r="E323">
            <v>6269</v>
          </cell>
        </row>
        <row r="324">
          <cell r="B324">
            <v>35118</v>
          </cell>
          <cell r="E324">
            <v>6511</v>
          </cell>
        </row>
        <row r="325">
          <cell r="B325">
            <v>35125</v>
          </cell>
          <cell r="E325">
            <v>5800</v>
          </cell>
        </row>
        <row r="326">
          <cell r="B326">
            <v>35132</v>
          </cell>
          <cell r="E326">
            <v>6071</v>
          </cell>
        </row>
        <row r="327">
          <cell r="B327">
            <v>35139</v>
          </cell>
          <cell r="E327">
            <v>6152</v>
          </cell>
        </row>
        <row r="328">
          <cell r="B328">
            <v>35146</v>
          </cell>
          <cell r="E328">
            <v>6489</v>
          </cell>
        </row>
        <row r="329">
          <cell r="B329">
            <v>35153</v>
          </cell>
          <cell r="E329">
            <v>6472</v>
          </cell>
        </row>
        <row r="330">
          <cell r="B330">
            <v>35160</v>
          </cell>
          <cell r="E330">
            <v>6109</v>
          </cell>
        </row>
        <row r="331">
          <cell r="B331">
            <v>35167</v>
          </cell>
          <cell r="E331">
            <v>4816</v>
          </cell>
        </row>
        <row r="332">
          <cell r="B332">
            <v>35174</v>
          </cell>
          <cell r="E332">
            <v>5170</v>
          </cell>
        </row>
        <row r="333">
          <cell r="B333">
            <v>35181</v>
          </cell>
          <cell r="E333">
            <v>5472</v>
          </cell>
        </row>
        <row r="334">
          <cell r="B334">
            <v>35188</v>
          </cell>
          <cell r="E334">
            <v>4955</v>
          </cell>
        </row>
        <row r="335">
          <cell r="B335">
            <v>35195</v>
          </cell>
          <cell r="E335">
            <v>6332</v>
          </cell>
        </row>
        <row r="336">
          <cell r="B336">
            <v>35202</v>
          </cell>
          <cell r="E336">
            <v>5304</v>
          </cell>
        </row>
        <row r="337">
          <cell r="B337">
            <v>35209</v>
          </cell>
          <cell r="E337">
            <v>5266</v>
          </cell>
        </row>
        <row r="338">
          <cell r="B338">
            <v>35216</v>
          </cell>
          <cell r="E338">
            <v>5281</v>
          </cell>
        </row>
        <row r="339">
          <cell r="B339">
            <v>35223</v>
          </cell>
          <cell r="E339">
            <v>5930</v>
          </cell>
        </row>
        <row r="340">
          <cell r="B340">
            <v>35230</v>
          </cell>
          <cell r="E340">
            <v>6451</v>
          </cell>
        </row>
        <row r="341">
          <cell r="B341">
            <v>35237</v>
          </cell>
          <cell r="E341">
            <v>6381</v>
          </cell>
        </row>
        <row r="342">
          <cell r="B342">
            <v>35244</v>
          </cell>
          <cell r="E342">
            <v>6413</v>
          </cell>
        </row>
        <row r="343">
          <cell r="B343">
            <v>35251</v>
          </cell>
          <cell r="E343">
            <v>6660</v>
          </cell>
        </row>
        <row r="344">
          <cell r="B344">
            <v>35258</v>
          </cell>
          <cell r="E344">
            <v>5874</v>
          </cell>
        </row>
        <row r="345">
          <cell r="B345">
            <v>35265</v>
          </cell>
          <cell r="E345">
            <v>5794</v>
          </cell>
        </row>
        <row r="346">
          <cell r="B346">
            <v>35272</v>
          </cell>
          <cell r="E346">
            <v>6817</v>
          </cell>
        </row>
        <row r="347">
          <cell r="B347">
            <v>35279</v>
          </cell>
          <cell r="E347">
            <v>6305</v>
          </cell>
        </row>
        <row r="348">
          <cell r="B348">
            <v>35286</v>
          </cell>
          <cell r="E348">
            <v>6266</v>
          </cell>
        </row>
        <row r="349">
          <cell r="B349">
            <v>35293</v>
          </cell>
          <cell r="E349">
            <v>5412</v>
          </cell>
        </row>
        <row r="350">
          <cell r="B350">
            <v>35300</v>
          </cell>
          <cell r="E350">
            <v>5668</v>
          </cell>
        </row>
        <row r="351">
          <cell r="B351">
            <v>35307</v>
          </cell>
          <cell r="E351">
            <v>4879</v>
          </cell>
        </row>
        <row r="352">
          <cell r="B352">
            <v>35314</v>
          </cell>
          <cell r="E352">
            <v>4711</v>
          </cell>
        </row>
        <row r="353">
          <cell r="B353">
            <v>35321</v>
          </cell>
          <cell r="E353">
            <v>5234</v>
          </cell>
        </row>
        <row r="354">
          <cell r="B354">
            <v>35328</v>
          </cell>
          <cell r="E354">
            <v>5645</v>
          </cell>
        </row>
        <row r="355">
          <cell r="B355">
            <v>35335</v>
          </cell>
          <cell r="E355">
            <v>5501</v>
          </cell>
        </row>
        <row r="356">
          <cell r="B356">
            <v>35342</v>
          </cell>
          <cell r="E356">
            <v>6084</v>
          </cell>
        </row>
        <row r="357">
          <cell r="B357">
            <v>35349</v>
          </cell>
          <cell r="E357">
            <v>6339</v>
          </cell>
        </row>
        <row r="358">
          <cell r="B358">
            <v>35356</v>
          </cell>
          <cell r="E358">
            <v>5951</v>
          </cell>
        </row>
        <row r="359">
          <cell r="B359">
            <v>35363</v>
          </cell>
          <cell r="E359">
            <v>5407</v>
          </cell>
        </row>
        <row r="360">
          <cell r="B360">
            <v>35370</v>
          </cell>
          <cell r="E360">
            <v>6092</v>
          </cell>
        </row>
        <row r="361">
          <cell r="B361">
            <v>35377</v>
          </cell>
          <cell r="E361">
            <v>5678</v>
          </cell>
        </row>
        <row r="362">
          <cell r="B362">
            <v>35384</v>
          </cell>
          <cell r="E362">
            <v>5793</v>
          </cell>
        </row>
        <row r="363">
          <cell r="B363">
            <v>35391</v>
          </cell>
          <cell r="E363">
            <v>5379</v>
          </cell>
        </row>
        <row r="364">
          <cell r="B364">
            <v>35398</v>
          </cell>
          <cell r="E364">
            <v>5160</v>
          </cell>
        </row>
        <row r="365">
          <cell r="B365">
            <v>35405</v>
          </cell>
          <cell r="E365">
            <v>6624</v>
          </cell>
        </row>
        <row r="366">
          <cell r="B366">
            <v>35412</v>
          </cell>
          <cell r="E366">
            <v>5127</v>
          </cell>
        </row>
        <row r="367">
          <cell r="B367">
            <v>35419</v>
          </cell>
          <cell r="E367">
            <v>4796</v>
          </cell>
        </row>
        <row r="368">
          <cell r="B368">
            <v>35426</v>
          </cell>
          <cell r="E368">
            <v>5419</v>
          </cell>
        </row>
        <row r="369">
          <cell r="B369">
            <v>35433</v>
          </cell>
          <cell r="E369">
            <v>5324</v>
          </cell>
        </row>
        <row r="370">
          <cell r="B370">
            <v>35440</v>
          </cell>
          <cell r="E370">
            <v>5975</v>
          </cell>
        </row>
        <row r="371">
          <cell r="B371">
            <v>35447</v>
          </cell>
          <cell r="E371">
            <v>5836</v>
          </cell>
        </row>
        <row r="372">
          <cell r="B372">
            <v>35454</v>
          </cell>
          <cell r="E372">
            <v>5911</v>
          </cell>
        </row>
        <row r="373">
          <cell r="B373">
            <v>35461</v>
          </cell>
          <cell r="E373">
            <v>5420</v>
          </cell>
        </row>
        <row r="374">
          <cell r="B374">
            <v>35468</v>
          </cell>
          <cell r="E374">
            <v>5187</v>
          </cell>
        </row>
        <row r="375">
          <cell r="B375">
            <v>35475</v>
          </cell>
          <cell r="E375">
            <v>5288</v>
          </cell>
        </row>
        <row r="376">
          <cell r="B376">
            <v>35482</v>
          </cell>
          <cell r="E376">
            <v>5438</v>
          </cell>
        </row>
        <row r="377">
          <cell r="B377">
            <v>35489</v>
          </cell>
          <cell r="E377">
            <v>5916</v>
          </cell>
        </row>
        <row r="378">
          <cell r="B378">
            <v>35496</v>
          </cell>
          <cell r="E378">
            <v>5019</v>
          </cell>
        </row>
        <row r="379">
          <cell r="B379">
            <v>35503</v>
          </cell>
          <cell r="E379">
            <v>5634</v>
          </cell>
        </row>
        <row r="380">
          <cell r="B380">
            <v>35510</v>
          </cell>
          <cell r="E380">
            <v>5180</v>
          </cell>
        </row>
        <row r="381">
          <cell r="B381">
            <v>35517</v>
          </cell>
          <cell r="E381">
            <v>5207</v>
          </cell>
        </row>
        <row r="382">
          <cell r="B382">
            <v>35524</v>
          </cell>
          <cell r="E382">
            <v>6704</v>
          </cell>
        </row>
        <row r="383">
          <cell r="B383">
            <v>35531</v>
          </cell>
          <cell r="E383">
            <v>6382</v>
          </cell>
        </row>
        <row r="384">
          <cell r="B384">
            <v>35538</v>
          </cell>
          <cell r="E384">
            <v>7237</v>
          </cell>
        </row>
        <row r="385">
          <cell r="B385">
            <v>35545</v>
          </cell>
          <cell r="E385">
            <v>7603</v>
          </cell>
        </row>
        <row r="386">
          <cell r="B386">
            <v>35552</v>
          </cell>
          <cell r="E386">
            <v>7543</v>
          </cell>
        </row>
        <row r="387">
          <cell r="B387">
            <v>35559</v>
          </cell>
          <cell r="E387">
            <v>7266</v>
          </cell>
        </row>
        <row r="388">
          <cell r="B388">
            <v>35566</v>
          </cell>
          <cell r="E388">
            <v>7557</v>
          </cell>
        </row>
        <row r="389">
          <cell r="B389">
            <v>35573</v>
          </cell>
          <cell r="E389">
            <v>7632</v>
          </cell>
        </row>
        <row r="390">
          <cell r="B390">
            <v>35580</v>
          </cell>
          <cell r="E390">
            <v>7315</v>
          </cell>
        </row>
        <row r="391">
          <cell r="B391">
            <v>35587</v>
          </cell>
          <cell r="E391">
            <v>6662</v>
          </cell>
        </row>
        <row r="392">
          <cell r="B392">
            <v>35594</v>
          </cell>
          <cell r="E392">
            <v>6756</v>
          </cell>
        </row>
        <row r="393">
          <cell r="B393">
            <v>35601</v>
          </cell>
          <cell r="E393">
            <v>6375</v>
          </cell>
        </row>
        <row r="394">
          <cell r="B394">
            <v>35608</v>
          </cell>
          <cell r="E394">
            <v>6105</v>
          </cell>
        </row>
        <row r="395">
          <cell r="B395">
            <v>35615</v>
          </cell>
          <cell r="E395">
            <v>6058</v>
          </cell>
        </row>
        <row r="396">
          <cell r="B396">
            <v>35622</v>
          </cell>
          <cell r="E396">
            <v>6795</v>
          </cell>
        </row>
        <row r="397">
          <cell r="B397">
            <v>35629</v>
          </cell>
          <cell r="E397">
            <v>6179</v>
          </cell>
        </row>
        <row r="398">
          <cell r="B398">
            <v>35636</v>
          </cell>
          <cell r="E398">
            <v>8016</v>
          </cell>
        </row>
        <row r="399">
          <cell r="B399">
            <v>35643</v>
          </cell>
          <cell r="E399">
            <v>7627</v>
          </cell>
        </row>
        <row r="400">
          <cell r="B400">
            <v>35650</v>
          </cell>
          <cell r="E400">
            <v>7028</v>
          </cell>
        </row>
        <row r="401">
          <cell r="B401">
            <v>35657</v>
          </cell>
          <cell r="E401">
            <v>7081</v>
          </cell>
        </row>
        <row r="402">
          <cell r="B402">
            <v>35664</v>
          </cell>
          <cell r="E402">
            <v>6457</v>
          </cell>
        </row>
        <row r="403">
          <cell r="B403">
            <v>35671</v>
          </cell>
          <cell r="E403">
            <v>6175</v>
          </cell>
        </row>
        <row r="404">
          <cell r="B404">
            <v>35678</v>
          </cell>
          <cell r="E404">
            <v>6539</v>
          </cell>
        </row>
        <row r="405">
          <cell r="B405">
            <v>35685</v>
          </cell>
          <cell r="E405">
            <v>6331</v>
          </cell>
        </row>
        <row r="406">
          <cell r="B406">
            <v>35692</v>
          </cell>
          <cell r="E406">
            <v>5365</v>
          </cell>
        </row>
        <row r="407">
          <cell r="B407">
            <v>35699</v>
          </cell>
          <cell r="E407">
            <v>5692</v>
          </cell>
        </row>
        <row r="408">
          <cell r="B408">
            <v>35706</v>
          </cell>
          <cell r="E408">
            <v>5761</v>
          </cell>
        </row>
        <row r="409">
          <cell r="B409">
            <v>35713</v>
          </cell>
          <cell r="E409">
            <v>6141</v>
          </cell>
        </row>
        <row r="410">
          <cell r="B410">
            <v>35720</v>
          </cell>
          <cell r="E410">
            <v>5944</v>
          </cell>
        </row>
        <row r="411">
          <cell r="B411">
            <v>35727</v>
          </cell>
          <cell r="E411">
            <v>7304</v>
          </cell>
        </row>
        <row r="412">
          <cell r="B412">
            <v>35734</v>
          </cell>
          <cell r="E412">
            <v>5571</v>
          </cell>
        </row>
        <row r="413">
          <cell r="B413">
            <v>35741</v>
          </cell>
          <cell r="E413">
            <v>5427</v>
          </cell>
        </row>
        <row r="414">
          <cell r="B414">
            <v>35748</v>
          </cell>
          <cell r="E414">
            <v>5438</v>
          </cell>
        </row>
        <row r="415">
          <cell r="B415">
            <v>35755</v>
          </cell>
          <cell r="E415">
            <v>5571</v>
          </cell>
        </row>
        <row r="416">
          <cell r="B416">
            <v>35762</v>
          </cell>
          <cell r="E416">
            <v>5864</v>
          </cell>
        </row>
        <row r="417">
          <cell r="B417">
            <v>35769</v>
          </cell>
          <cell r="E417">
            <v>6170</v>
          </cell>
        </row>
        <row r="418">
          <cell r="B418">
            <v>35776</v>
          </cell>
          <cell r="E418">
            <v>6945</v>
          </cell>
        </row>
        <row r="419">
          <cell r="B419">
            <v>35783</v>
          </cell>
          <cell r="E419">
            <v>6873</v>
          </cell>
        </row>
        <row r="420">
          <cell r="B420">
            <v>35790</v>
          </cell>
          <cell r="E420">
            <v>6371</v>
          </cell>
        </row>
        <row r="421">
          <cell r="B421">
            <v>35797</v>
          </cell>
          <cell r="E421">
            <v>6950</v>
          </cell>
        </row>
        <row r="422">
          <cell r="B422">
            <v>35804</v>
          </cell>
          <cell r="E422">
            <v>6930</v>
          </cell>
        </row>
        <row r="423">
          <cell r="B423">
            <v>35811</v>
          </cell>
          <cell r="E423">
            <v>6586</v>
          </cell>
        </row>
        <row r="424">
          <cell r="B424">
            <v>35818</v>
          </cell>
          <cell r="E424">
            <v>6901</v>
          </cell>
        </row>
        <row r="425">
          <cell r="B425">
            <v>35825</v>
          </cell>
          <cell r="E425">
            <v>6622</v>
          </cell>
        </row>
        <row r="426">
          <cell r="B426">
            <v>35832</v>
          </cell>
          <cell r="E426">
            <v>5940</v>
          </cell>
        </row>
        <row r="427">
          <cell r="B427">
            <v>35839</v>
          </cell>
          <cell r="E427">
            <v>6039</v>
          </cell>
        </row>
        <row r="428">
          <cell r="B428">
            <v>35846</v>
          </cell>
          <cell r="E428">
            <v>5491</v>
          </cell>
        </row>
        <row r="429">
          <cell r="B429">
            <v>35853</v>
          </cell>
          <cell r="E429">
            <v>6129</v>
          </cell>
        </row>
        <row r="430">
          <cell r="B430">
            <v>35860</v>
          </cell>
          <cell r="E430">
            <v>7071</v>
          </cell>
        </row>
        <row r="431">
          <cell r="B431">
            <v>35867</v>
          </cell>
          <cell r="E431">
            <v>6232</v>
          </cell>
        </row>
        <row r="432">
          <cell r="B432">
            <v>35874</v>
          </cell>
          <cell r="E432">
            <v>6570</v>
          </cell>
        </row>
        <row r="433">
          <cell r="B433">
            <v>35881</v>
          </cell>
          <cell r="E433">
            <v>6506</v>
          </cell>
        </row>
        <row r="434">
          <cell r="B434">
            <v>35888</v>
          </cell>
          <cell r="E434">
            <v>5929</v>
          </cell>
        </row>
        <row r="435">
          <cell r="B435">
            <v>35895</v>
          </cell>
          <cell r="E435">
            <v>6788</v>
          </cell>
        </row>
        <row r="436">
          <cell r="B436">
            <v>35902</v>
          </cell>
          <cell r="E436">
            <v>6105</v>
          </cell>
        </row>
        <row r="437">
          <cell r="B437">
            <v>35909</v>
          </cell>
          <cell r="E437">
            <v>6309</v>
          </cell>
        </row>
        <row r="438">
          <cell r="B438">
            <v>35916</v>
          </cell>
          <cell r="E438">
            <v>5581</v>
          </cell>
        </row>
        <row r="439">
          <cell r="B439">
            <v>35923</v>
          </cell>
          <cell r="E439">
            <v>5085</v>
          </cell>
        </row>
        <row r="440">
          <cell r="B440">
            <v>35930</v>
          </cell>
          <cell r="E440">
            <v>5634</v>
          </cell>
        </row>
        <row r="441">
          <cell r="B441">
            <v>35937</v>
          </cell>
          <cell r="E441">
            <v>5719</v>
          </cell>
        </row>
        <row r="442">
          <cell r="B442">
            <v>35944</v>
          </cell>
          <cell r="E442">
            <v>5690</v>
          </cell>
        </row>
        <row r="443">
          <cell r="B443">
            <v>35951</v>
          </cell>
          <cell r="E443">
            <v>5868</v>
          </cell>
        </row>
        <row r="444">
          <cell r="B444">
            <v>35958</v>
          </cell>
          <cell r="E444">
            <v>6132</v>
          </cell>
        </row>
        <row r="445">
          <cell r="B445">
            <v>35965</v>
          </cell>
          <cell r="E445">
            <v>6181</v>
          </cell>
        </row>
        <row r="446">
          <cell r="B446">
            <v>35972</v>
          </cell>
          <cell r="E446">
            <v>6120</v>
          </cell>
        </row>
        <row r="447">
          <cell r="B447">
            <v>35979</v>
          </cell>
          <cell r="E447">
            <v>6695</v>
          </cell>
        </row>
        <row r="448">
          <cell r="B448">
            <v>35986</v>
          </cell>
          <cell r="E448">
            <v>6135</v>
          </cell>
        </row>
        <row r="449">
          <cell r="B449">
            <v>35993</v>
          </cell>
          <cell r="E449">
            <v>6151</v>
          </cell>
        </row>
        <row r="450">
          <cell r="B450">
            <v>36000</v>
          </cell>
          <cell r="E450">
            <v>6744</v>
          </cell>
        </row>
        <row r="451">
          <cell r="B451">
            <v>36007</v>
          </cell>
          <cell r="E451">
            <v>6078</v>
          </cell>
        </row>
        <row r="452">
          <cell r="B452">
            <v>36014</v>
          </cell>
          <cell r="E452">
            <v>6332</v>
          </cell>
        </row>
        <row r="453">
          <cell r="B453">
            <v>36021</v>
          </cell>
          <cell r="E453">
            <v>5706</v>
          </cell>
        </row>
        <row r="454">
          <cell r="B454">
            <v>36028</v>
          </cell>
          <cell r="E454">
            <v>6116</v>
          </cell>
        </row>
        <row r="455">
          <cell r="B455">
            <v>36035</v>
          </cell>
          <cell r="E455">
            <v>6136</v>
          </cell>
        </row>
        <row r="456">
          <cell r="B456">
            <v>36042</v>
          </cell>
          <cell r="E456">
            <v>5343</v>
          </cell>
        </row>
        <row r="457">
          <cell r="B457">
            <v>36049</v>
          </cell>
          <cell r="E457">
            <v>5671</v>
          </cell>
        </row>
        <row r="458">
          <cell r="B458">
            <v>36056</v>
          </cell>
          <cell r="E458">
            <v>6564</v>
          </cell>
        </row>
        <row r="459">
          <cell r="B459">
            <v>36063</v>
          </cell>
          <cell r="E459">
            <v>6750</v>
          </cell>
        </row>
        <row r="460">
          <cell r="B460">
            <v>36070</v>
          </cell>
          <cell r="E460">
            <v>5189</v>
          </cell>
        </row>
        <row r="461">
          <cell r="B461">
            <v>36077</v>
          </cell>
          <cell r="E461">
            <v>4948</v>
          </cell>
        </row>
        <row r="462">
          <cell r="B462">
            <v>36084</v>
          </cell>
          <cell r="E462">
            <v>5161</v>
          </cell>
        </row>
        <row r="463">
          <cell r="B463">
            <v>36091</v>
          </cell>
          <cell r="E463">
            <v>5114</v>
          </cell>
        </row>
        <row r="464">
          <cell r="B464">
            <v>36098</v>
          </cell>
          <cell r="E464">
            <v>6005</v>
          </cell>
        </row>
        <row r="465">
          <cell r="B465">
            <v>36105</v>
          </cell>
          <cell r="E465">
            <v>6376</v>
          </cell>
        </row>
        <row r="466">
          <cell r="B466">
            <v>36112</v>
          </cell>
          <cell r="E466">
            <v>6572</v>
          </cell>
        </row>
        <row r="467">
          <cell r="B467">
            <v>36119</v>
          </cell>
          <cell r="E467">
            <v>6562</v>
          </cell>
        </row>
        <row r="468">
          <cell r="B468">
            <v>36126</v>
          </cell>
          <cell r="E468">
            <v>6743</v>
          </cell>
        </row>
        <row r="469">
          <cell r="B469">
            <v>36133</v>
          </cell>
          <cell r="E469">
            <v>6238</v>
          </cell>
        </row>
        <row r="470">
          <cell r="B470">
            <v>36140</v>
          </cell>
          <cell r="E470">
            <v>6532</v>
          </cell>
        </row>
        <row r="471">
          <cell r="B471">
            <v>36147</v>
          </cell>
          <cell r="E471">
            <v>6236</v>
          </cell>
        </row>
        <row r="472">
          <cell r="B472">
            <v>36154</v>
          </cell>
          <cell r="E472">
            <v>5878</v>
          </cell>
        </row>
        <row r="473">
          <cell r="B473">
            <v>36161</v>
          </cell>
          <cell r="E473">
            <v>5995</v>
          </cell>
        </row>
        <row r="474">
          <cell r="B474">
            <v>36168</v>
          </cell>
          <cell r="E474">
            <v>5869</v>
          </cell>
        </row>
        <row r="475">
          <cell r="B475">
            <v>36175</v>
          </cell>
          <cell r="E475">
            <v>5928</v>
          </cell>
        </row>
        <row r="476">
          <cell r="B476">
            <v>36182</v>
          </cell>
          <cell r="E476">
            <v>6033</v>
          </cell>
        </row>
        <row r="477">
          <cell r="B477">
            <v>36189</v>
          </cell>
          <cell r="E477">
            <v>6169</v>
          </cell>
        </row>
        <row r="478">
          <cell r="B478">
            <v>36196</v>
          </cell>
          <cell r="E478">
            <v>5545</v>
          </cell>
        </row>
        <row r="479">
          <cell r="B479">
            <v>36203</v>
          </cell>
          <cell r="E479">
            <v>5928</v>
          </cell>
        </row>
        <row r="480">
          <cell r="B480">
            <v>36210</v>
          </cell>
          <cell r="E480">
            <v>6316</v>
          </cell>
        </row>
        <row r="481">
          <cell r="B481">
            <v>36217</v>
          </cell>
          <cell r="E481">
            <v>6436</v>
          </cell>
        </row>
        <row r="482">
          <cell r="B482">
            <v>36224</v>
          </cell>
          <cell r="E482">
            <v>4833</v>
          </cell>
        </row>
        <row r="483">
          <cell r="B483">
            <v>36231</v>
          </cell>
          <cell r="E483">
            <v>4950</v>
          </cell>
        </row>
        <row r="484">
          <cell r="B484">
            <v>36238</v>
          </cell>
          <cell r="E484">
            <v>5818</v>
          </cell>
        </row>
        <row r="485">
          <cell r="B485">
            <v>36245</v>
          </cell>
          <cell r="E485">
            <v>6361</v>
          </cell>
        </row>
        <row r="486">
          <cell r="B486">
            <v>36252</v>
          </cell>
          <cell r="E486">
            <v>5359</v>
          </cell>
        </row>
        <row r="487">
          <cell r="B487">
            <v>36259</v>
          </cell>
          <cell r="E487">
            <v>5361</v>
          </cell>
        </row>
        <row r="488">
          <cell r="B488">
            <v>36266</v>
          </cell>
          <cell r="E488">
            <v>6289</v>
          </cell>
        </row>
        <row r="489">
          <cell r="B489">
            <v>36273</v>
          </cell>
          <cell r="E489">
            <v>6884</v>
          </cell>
        </row>
        <row r="490">
          <cell r="B490">
            <v>36280</v>
          </cell>
          <cell r="E490">
            <v>6214</v>
          </cell>
        </row>
        <row r="491">
          <cell r="B491">
            <v>36287</v>
          </cell>
          <cell r="E491">
            <v>7200</v>
          </cell>
        </row>
        <row r="492">
          <cell r="B492">
            <v>36294</v>
          </cell>
          <cell r="E492">
            <v>7661</v>
          </cell>
        </row>
        <row r="493">
          <cell r="B493">
            <v>36301</v>
          </cell>
          <cell r="E493">
            <v>6848</v>
          </cell>
        </row>
        <row r="494">
          <cell r="B494">
            <v>36308</v>
          </cell>
          <cell r="E494">
            <v>6765</v>
          </cell>
        </row>
        <row r="495">
          <cell r="B495">
            <v>36315</v>
          </cell>
          <cell r="E495">
            <v>5823</v>
          </cell>
        </row>
        <row r="496">
          <cell r="B496">
            <v>36322</v>
          </cell>
          <cell r="E496">
            <v>6106</v>
          </cell>
        </row>
        <row r="497">
          <cell r="B497">
            <v>36329</v>
          </cell>
          <cell r="E497">
            <v>6307</v>
          </cell>
        </row>
        <row r="498">
          <cell r="B498">
            <v>36336</v>
          </cell>
          <cell r="E498">
            <v>6438</v>
          </cell>
        </row>
        <row r="499">
          <cell r="B499">
            <v>36343</v>
          </cell>
          <cell r="E499">
            <v>6098</v>
          </cell>
        </row>
        <row r="500">
          <cell r="B500">
            <v>36350</v>
          </cell>
          <cell r="E500">
            <v>6615</v>
          </cell>
        </row>
        <row r="501">
          <cell r="B501">
            <v>36357</v>
          </cell>
          <cell r="E501">
            <v>6477</v>
          </cell>
        </row>
        <row r="502">
          <cell r="B502">
            <v>36364</v>
          </cell>
          <cell r="E502">
            <v>6245</v>
          </cell>
        </row>
        <row r="503">
          <cell r="B503">
            <v>36371</v>
          </cell>
          <cell r="E503">
            <v>5713</v>
          </cell>
        </row>
        <row r="504">
          <cell r="B504">
            <v>36378</v>
          </cell>
          <cell r="E504">
            <v>5969</v>
          </cell>
        </row>
        <row r="505">
          <cell r="B505">
            <v>36385</v>
          </cell>
          <cell r="E505">
            <v>6201</v>
          </cell>
        </row>
        <row r="506">
          <cell r="B506">
            <v>36392</v>
          </cell>
          <cell r="E506">
            <v>5737</v>
          </cell>
        </row>
        <row r="507">
          <cell r="B507">
            <v>36399</v>
          </cell>
          <cell r="E507">
            <v>5945</v>
          </cell>
        </row>
        <row r="508">
          <cell r="B508">
            <v>36406</v>
          </cell>
          <cell r="E508">
            <v>7336</v>
          </cell>
        </row>
        <row r="509">
          <cell r="B509">
            <v>36413</v>
          </cell>
          <cell r="E509">
            <v>7104</v>
          </cell>
        </row>
        <row r="510">
          <cell r="B510">
            <v>36420</v>
          </cell>
          <cell r="E510">
            <v>6144</v>
          </cell>
        </row>
        <row r="511">
          <cell r="B511">
            <v>36427</v>
          </cell>
          <cell r="E511">
            <v>6371</v>
          </cell>
        </row>
        <row r="512">
          <cell r="B512">
            <v>36434</v>
          </cell>
          <cell r="E512">
            <v>6647</v>
          </cell>
        </row>
        <row r="513">
          <cell r="B513">
            <v>36441</v>
          </cell>
          <cell r="E513">
            <v>6799</v>
          </cell>
        </row>
        <row r="514">
          <cell r="B514">
            <v>36448</v>
          </cell>
          <cell r="E514">
            <v>6526</v>
          </cell>
        </row>
        <row r="515">
          <cell r="B515">
            <v>36455</v>
          </cell>
          <cell r="E515">
            <v>7235</v>
          </cell>
        </row>
        <row r="516">
          <cell r="B516">
            <v>36462</v>
          </cell>
          <cell r="E516">
            <v>6717</v>
          </cell>
        </row>
        <row r="517">
          <cell r="B517">
            <v>36469</v>
          </cell>
          <cell r="E517">
            <v>6009</v>
          </cell>
        </row>
        <row r="518">
          <cell r="B518">
            <v>36476</v>
          </cell>
          <cell r="E518">
            <v>6910</v>
          </cell>
        </row>
        <row r="519">
          <cell r="B519">
            <v>36483</v>
          </cell>
          <cell r="E519">
            <v>6732</v>
          </cell>
        </row>
        <row r="520">
          <cell r="B520">
            <v>36490</v>
          </cell>
          <cell r="E520">
            <v>6362</v>
          </cell>
        </row>
        <row r="521">
          <cell r="B521">
            <v>36497</v>
          </cell>
          <cell r="E521">
            <v>6718</v>
          </cell>
        </row>
        <row r="522">
          <cell r="B522">
            <v>36504</v>
          </cell>
          <cell r="E522">
            <v>6908</v>
          </cell>
        </row>
        <row r="523">
          <cell r="B523">
            <v>36511</v>
          </cell>
          <cell r="E523">
            <v>6813</v>
          </cell>
        </row>
        <row r="524">
          <cell r="B524">
            <v>36518</v>
          </cell>
          <cell r="E524">
            <v>6314</v>
          </cell>
        </row>
        <row r="525">
          <cell r="B525">
            <v>36525</v>
          </cell>
          <cell r="E525">
            <v>6946</v>
          </cell>
        </row>
        <row r="526">
          <cell r="B526">
            <v>36532</v>
          </cell>
          <cell r="E526">
            <v>6971</v>
          </cell>
        </row>
        <row r="527">
          <cell r="B527">
            <v>36539</v>
          </cell>
          <cell r="E527">
            <v>6499</v>
          </cell>
        </row>
        <row r="528">
          <cell r="B528">
            <v>36546</v>
          </cell>
          <cell r="E528">
            <v>6848</v>
          </cell>
        </row>
        <row r="529">
          <cell r="B529">
            <v>36553</v>
          </cell>
          <cell r="E529">
            <v>6999</v>
          </cell>
        </row>
        <row r="530">
          <cell r="B530">
            <v>36560</v>
          </cell>
          <cell r="E530">
            <v>7285</v>
          </cell>
        </row>
        <row r="531">
          <cell r="B531">
            <v>36567</v>
          </cell>
          <cell r="E531">
            <v>7181</v>
          </cell>
        </row>
        <row r="532">
          <cell r="B532">
            <v>36574</v>
          </cell>
          <cell r="E532">
            <v>7023</v>
          </cell>
        </row>
        <row r="533">
          <cell r="B533">
            <v>36581</v>
          </cell>
          <cell r="E533">
            <v>7051</v>
          </cell>
        </row>
        <row r="534">
          <cell r="B534">
            <v>36588</v>
          </cell>
          <cell r="E534">
            <v>7259</v>
          </cell>
        </row>
        <row r="535">
          <cell r="B535">
            <v>36595</v>
          </cell>
          <cell r="E535">
            <v>7793</v>
          </cell>
        </row>
        <row r="536">
          <cell r="B536">
            <v>36602</v>
          </cell>
          <cell r="E536">
            <v>6953</v>
          </cell>
        </row>
        <row r="537">
          <cell r="B537">
            <v>36609</v>
          </cell>
          <cell r="E537">
            <v>7931</v>
          </cell>
        </row>
        <row r="538">
          <cell r="B538">
            <v>36616</v>
          </cell>
          <cell r="E538">
            <v>7189</v>
          </cell>
        </row>
        <row r="539">
          <cell r="B539">
            <v>36623</v>
          </cell>
          <cell r="E539">
            <v>8266</v>
          </cell>
        </row>
        <row r="540">
          <cell r="B540">
            <v>36630</v>
          </cell>
          <cell r="E540">
            <v>8563</v>
          </cell>
        </row>
        <row r="541">
          <cell r="B541">
            <v>36637</v>
          </cell>
          <cell r="E541">
            <v>8086</v>
          </cell>
        </row>
        <row r="542">
          <cell r="B542">
            <v>36644</v>
          </cell>
          <cell r="E542">
            <v>7899</v>
          </cell>
        </row>
        <row r="543">
          <cell r="B543">
            <v>36651</v>
          </cell>
          <cell r="E543">
            <v>8415</v>
          </cell>
        </row>
        <row r="544">
          <cell r="B544">
            <v>36658</v>
          </cell>
          <cell r="E544">
            <v>7369</v>
          </cell>
        </row>
        <row r="545">
          <cell r="B545">
            <v>36665</v>
          </cell>
          <cell r="E545">
            <v>7298</v>
          </cell>
        </row>
        <row r="546">
          <cell r="B546">
            <v>36672</v>
          </cell>
          <cell r="E546">
            <v>6895</v>
          </cell>
        </row>
        <row r="547">
          <cell r="B547">
            <v>36679</v>
          </cell>
          <cell r="E547">
            <v>7192</v>
          </cell>
        </row>
        <row r="548">
          <cell r="B548">
            <v>36686</v>
          </cell>
          <cell r="E548">
            <v>7205</v>
          </cell>
        </row>
        <row r="549">
          <cell r="B549">
            <v>36693</v>
          </cell>
          <cell r="E549">
            <v>6990</v>
          </cell>
        </row>
        <row r="550">
          <cell r="B550">
            <v>36700</v>
          </cell>
          <cell r="E550">
            <v>7702</v>
          </cell>
        </row>
        <row r="551">
          <cell r="B551">
            <v>36707</v>
          </cell>
          <cell r="E551">
            <v>7632</v>
          </cell>
        </row>
        <row r="552">
          <cell r="B552">
            <v>36714</v>
          </cell>
          <cell r="E552">
            <v>7406</v>
          </cell>
        </row>
        <row r="553">
          <cell r="B553">
            <v>36721</v>
          </cell>
          <cell r="E553">
            <v>8143</v>
          </cell>
        </row>
        <row r="554">
          <cell r="B554">
            <v>36728</v>
          </cell>
          <cell r="E554">
            <v>7331</v>
          </cell>
        </row>
        <row r="555">
          <cell r="B555">
            <v>36735</v>
          </cell>
          <cell r="E555">
            <v>6866</v>
          </cell>
        </row>
        <row r="556">
          <cell r="B556">
            <v>36742</v>
          </cell>
          <cell r="E556">
            <v>6801</v>
          </cell>
        </row>
        <row r="557">
          <cell r="B557">
            <v>36749</v>
          </cell>
          <cell r="E557">
            <v>7068</v>
          </cell>
        </row>
        <row r="558">
          <cell r="B558">
            <v>36756</v>
          </cell>
          <cell r="E558">
            <v>5594</v>
          </cell>
        </row>
        <row r="559">
          <cell r="B559">
            <v>36763</v>
          </cell>
          <cell r="E559">
            <v>6805</v>
          </cell>
        </row>
        <row r="560">
          <cell r="B560">
            <v>36770</v>
          </cell>
          <cell r="E560">
            <v>7055</v>
          </cell>
        </row>
        <row r="561">
          <cell r="B561">
            <v>36777</v>
          </cell>
          <cell r="E561">
            <v>7091</v>
          </cell>
        </row>
        <row r="562">
          <cell r="B562">
            <v>36784</v>
          </cell>
          <cell r="E562">
            <v>7438</v>
          </cell>
        </row>
        <row r="563">
          <cell r="B563">
            <v>36791</v>
          </cell>
          <cell r="E563">
            <v>6879</v>
          </cell>
        </row>
        <row r="564">
          <cell r="B564">
            <v>36798</v>
          </cell>
          <cell r="E564">
            <v>7056</v>
          </cell>
        </row>
        <row r="565">
          <cell r="B565">
            <v>36805</v>
          </cell>
          <cell r="E565">
            <v>7642</v>
          </cell>
        </row>
        <row r="566">
          <cell r="B566">
            <v>36812</v>
          </cell>
          <cell r="E566">
            <v>7596</v>
          </cell>
        </row>
        <row r="567">
          <cell r="B567">
            <v>36819</v>
          </cell>
          <cell r="E567">
            <v>7658</v>
          </cell>
        </row>
        <row r="568">
          <cell r="B568">
            <v>36826</v>
          </cell>
          <cell r="E568">
            <v>7658</v>
          </cell>
        </row>
        <row r="569">
          <cell r="B569">
            <v>36833</v>
          </cell>
          <cell r="E569">
            <v>7493</v>
          </cell>
        </row>
        <row r="570">
          <cell r="B570">
            <v>36840</v>
          </cell>
          <cell r="E570">
            <v>8109</v>
          </cell>
        </row>
        <row r="571">
          <cell r="B571">
            <v>36847</v>
          </cell>
          <cell r="E571">
            <v>7218</v>
          </cell>
        </row>
        <row r="572">
          <cell r="B572">
            <v>36854</v>
          </cell>
          <cell r="E572">
            <v>7373</v>
          </cell>
        </row>
        <row r="573">
          <cell r="B573">
            <v>36861</v>
          </cell>
          <cell r="E573">
            <v>6555</v>
          </cell>
        </row>
        <row r="574">
          <cell r="B574">
            <v>36868</v>
          </cell>
          <cell r="E574">
            <v>8047</v>
          </cell>
        </row>
        <row r="575">
          <cell r="B575">
            <v>36875</v>
          </cell>
          <cell r="E575">
            <v>7106</v>
          </cell>
        </row>
        <row r="576">
          <cell r="B576">
            <v>36882</v>
          </cell>
          <cell r="E576">
            <v>7218</v>
          </cell>
        </row>
        <row r="577">
          <cell r="B577">
            <v>36889</v>
          </cell>
          <cell r="E577">
            <v>6561</v>
          </cell>
        </row>
        <row r="578">
          <cell r="B578">
            <v>36896</v>
          </cell>
          <cell r="E578">
            <v>6703</v>
          </cell>
        </row>
        <row r="579">
          <cell r="B579">
            <v>36903</v>
          </cell>
          <cell r="E579">
            <v>6681</v>
          </cell>
        </row>
        <row r="580">
          <cell r="B580">
            <v>36910</v>
          </cell>
          <cell r="E580">
            <v>6716</v>
          </cell>
        </row>
        <row r="581">
          <cell r="B581">
            <v>36917</v>
          </cell>
          <cell r="E581">
            <v>6403</v>
          </cell>
        </row>
        <row r="582">
          <cell r="B582">
            <v>36924</v>
          </cell>
          <cell r="E582">
            <v>8467</v>
          </cell>
        </row>
        <row r="583">
          <cell r="B583">
            <v>36931</v>
          </cell>
          <cell r="E583">
            <v>7893</v>
          </cell>
        </row>
        <row r="584">
          <cell r="B584">
            <v>36938</v>
          </cell>
          <cell r="E584">
            <v>8131</v>
          </cell>
        </row>
        <row r="585">
          <cell r="B585">
            <v>36945</v>
          </cell>
          <cell r="E585">
            <v>7678</v>
          </cell>
        </row>
        <row r="586">
          <cell r="B586">
            <v>36952</v>
          </cell>
          <cell r="E586">
            <v>8264</v>
          </cell>
        </row>
        <row r="587">
          <cell r="B587">
            <v>36959</v>
          </cell>
          <cell r="E587">
            <v>8503</v>
          </cell>
        </row>
        <row r="588">
          <cell r="B588">
            <v>36966</v>
          </cell>
          <cell r="E588">
            <v>8227</v>
          </cell>
        </row>
        <row r="589">
          <cell r="B589">
            <v>36973</v>
          </cell>
          <cell r="E589">
            <v>7751</v>
          </cell>
        </row>
        <row r="590">
          <cell r="B590">
            <v>36980</v>
          </cell>
          <cell r="E590">
            <v>7929</v>
          </cell>
        </row>
        <row r="591">
          <cell r="B591">
            <v>36987</v>
          </cell>
          <cell r="E591">
            <v>7798</v>
          </cell>
        </row>
        <row r="592">
          <cell r="B592">
            <v>36994</v>
          </cell>
          <cell r="E592">
            <v>7699</v>
          </cell>
        </row>
        <row r="593">
          <cell r="B593">
            <v>37001</v>
          </cell>
          <cell r="E593">
            <v>7302</v>
          </cell>
        </row>
        <row r="594">
          <cell r="B594">
            <v>37008</v>
          </cell>
          <cell r="E594">
            <v>7314</v>
          </cell>
        </row>
        <row r="595">
          <cell r="B595">
            <v>37015</v>
          </cell>
          <cell r="E595">
            <v>7640</v>
          </cell>
        </row>
        <row r="596">
          <cell r="B596">
            <v>37022</v>
          </cell>
          <cell r="E596">
            <v>7688</v>
          </cell>
        </row>
        <row r="597">
          <cell r="B597">
            <v>37029</v>
          </cell>
          <cell r="E597">
            <v>7551</v>
          </cell>
        </row>
        <row r="598">
          <cell r="B598">
            <v>37036</v>
          </cell>
          <cell r="E598">
            <v>7268</v>
          </cell>
        </row>
        <row r="599">
          <cell r="B599">
            <v>37043</v>
          </cell>
          <cell r="E599">
            <v>6833</v>
          </cell>
        </row>
        <row r="600">
          <cell r="B600">
            <v>37050</v>
          </cell>
          <cell r="E600">
            <v>7941</v>
          </cell>
        </row>
        <row r="601">
          <cell r="B601">
            <v>37057</v>
          </cell>
          <cell r="E601">
            <v>8833</v>
          </cell>
        </row>
        <row r="602">
          <cell r="B602">
            <v>37064</v>
          </cell>
          <cell r="E602">
            <v>9364</v>
          </cell>
        </row>
        <row r="603">
          <cell r="B603">
            <v>37071</v>
          </cell>
          <cell r="E603">
            <v>8464</v>
          </cell>
        </row>
        <row r="604">
          <cell r="B604">
            <v>37078</v>
          </cell>
          <cell r="E604">
            <v>8204</v>
          </cell>
        </row>
        <row r="605">
          <cell r="B605">
            <v>37085</v>
          </cell>
          <cell r="E605">
            <v>8395</v>
          </cell>
        </row>
        <row r="606">
          <cell r="B606">
            <v>37092</v>
          </cell>
          <cell r="E606">
            <v>7875</v>
          </cell>
        </row>
        <row r="607">
          <cell r="B607">
            <v>37099</v>
          </cell>
          <cell r="E607">
            <v>7457</v>
          </cell>
        </row>
        <row r="608">
          <cell r="B608">
            <v>37106</v>
          </cell>
          <cell r="E608">
            <v>7944</v>
          </cell>
        </row>
        <row r="609">
          <cell r="B609">
            <v>37113</v>
          </cell>
          <cell r="E609">
            <v>7995</v>
          </cell>
        </row>
        <row r="610">
          <cell r="B610">
            <v>37120</v>
          </cell>
          <cell r="E610">
            <v>7548</v>
          </cell>
        </row>
        <row r="611">
          <cell r="B611">
            <v>37127</v>
          </cell>
          <cell r="E611">
            <v>7833</v>
          </cell>
        </row>
        <row r="612">
          <cell r="B612">
            <v>37134</v>
          </cell>
          <cell r="E612">
            <v>7863</v>
          </cell>
        </row>
        <row r="613">
          <cell r="B613">
            <v>37141</v>
          </cell>
          <cell r="E613">
            <v>7741</v>
          </cell>
        </row>
        <row r="614">
          <cell r="B614">
            <v>37148</v>
          </cell>
          <cell r="E614">
            <v>6986</v>
          </cell>
        </row>
        <row r="615">
          <cell r="B615">
            <v>37155</v>
          </cell>
          <cell r="E615">
            <v>7374</v>
          </cell>
        </row>
        <row r="616">
          <cell r="B616">
            <v>37162</v>
          </cell>
          <cell r="E616">
            <v>7693</v>
          </cell>
        </row>
        <row r="617">
          <cell r="B617">
            <v>37169</v>
          </cell>
          <cell r="E617">
            <v>7341</v>
          </cell>
        </row>
        <row r="618">
          <cell r="B618">
            <v>37176</v>
          </cell>
          <cell r="E618">
            <v>7683</v>
          </cell>
        </row>
        <row r="619">
          <cell r="B619">
            <v>37183</v>
          </cell>
          <cell r="E619">
            <v>7236</v>
          </cell>
        </row>
        <row r="620">
          <cell r="B620">
            <v>37190</v>
          </cell>
          <cell r="E620">
            <v>7335</v>
          </cell>
        </row>
        <row r="621">
          <cell r="B621">
            <v>37197</v>
          </cell>
          <cell r="E621">
            <v>7653</v>
          </cell>
        </row>
        <row r="622">
          <cell r="B622">
            <v>37204</v>
          </cell>
          <cell r="E622">
            <v>7322</v>
          </cell>
        </row>
        <row r="623">
          <cell r="B623">
            <v>37211</v>
          </cell>
          <cell r="E623">
            <v>7647</v>
          </cell>
        </row>
        <row r="624">
          <cell r="B624">
            <v>37218</v>
          </cell>
          <cell r="E624">
            <v>7249</v>
          </cell>
        </row>
        <row r="625">
          <cell r="B625">
            <v>37225</v>
          </cell>
          <cell r="E625">
            <v>7117</v>
          </cell>
        </row>
        <row r="626">
          <cell r="B626">
            <v>37232</v>
          </cell>
          <cell r="E626">
            <v>6658</v>
          </cell>
        </row>
        <row r="627">
          <cell r="B627">
            <v>37239</v>
          </cell>
          <cell r="E627">
            <v>6367</v>
          </cell>
        </row>
        <row r="628">
          <cell r="B628">
            <v>37246</v>
          </cell>
          <cell r="E628">
            <v>5885</v>
          </cell>
        </row>
        <row r="629">
          <cell r="B629">
            <v>37253</v>
          </cell>
          <cell r="E629">
            <v>5674</v>
          </cell>
        </row>
        <row r="630">
          <cell r="B630">
            <v>37260</v>
          </cell>
          <cell r="E630">
            <v>6145</v>
          </cell>
        </row>
        <row r="631">
          <cell r="B631">
            <v>37267</v>
          </cell>
          <cell r="E631">
            <v>6317</v>
          </cell>
        </row>
        <row r="632">
          <cell r="B632">
            <v>37274</v>
          </cell>
          <cell r="E632">
            <v>6758</v>
          </cell>
        </row>
        <row r="633">
          <cell r="B633">
            <v>37281</v>
          </cell>
          <cell r="E633">
            <v>6884</v>
          </cell>
        </row>
        <row r="634">
          <cell r="B634">
            <v>37288</v>
          </cell>
          <cell r="E634">
            <v>7161</v>
          </cell>
        </row>
        <row r="635">
          <cell r="B635">
            <v>37295</v>
          </cell>
          <cell r="E635">
            <v>7184</v>
          </cell>
        </row>
        <row r="636">
          <cell r="B636">
            <v>37302</v>
          </cell>
          <cell r="E636">
            <v>6739</v>
          </cell>
        </row>
        <row r="637">
          <cell r="B637">
            <v>37309</v>
          </cell>
          <cell r="E637">
            <v>7275</v>
          </cell>
        </row>
        <row r="638">
          <cell r="B638">
            <v>37316</v>
          </cell>
          <cell r="E638">
            <v>7542</v>
          </cell>
        </row>
        <row r="639">
          <cell r="B639">
            <v>37323</v>
          </cell>
          <cell r="E639">
            <v>6265</v>
          </cell>
        </row>
        <row r="640">
          <cell r="B640">
            <v>37330</v>
          </cell>
          <cell r="E640">
            <v>7017</v>
          </cell>
        </row>
        <row r="641">
          <cell r="B641">
            <v>37337</v>
          </cell>
          <cell r="E641">
            <v>7089</v>
          </cell>
        </row>
        <row r="642">
          <cell r="B642">
            <v>37344</v>
          </cell>
          <cell r="E642">
            <v>7050</v>
          </cell>
        </row>
        <row r="643">
          <cell r="B643">
            <v>37351</v>
          </cell>
          <cell r="E643">
            <v>7774</v>
          </cell>
        </row>
        <row r="644">
          <cell r="B644">
            <v>37358</v>
          </cell>
          <cell r="E644">
            <v>8391</v>
          </cell>
        </row>
        <row r="645">
          <cell r="B645">
            <v>37365</v>
          </cell>
          <cell r="E645">
            <v>7909</v>
          </cell>
        </row>
        <row r="646">
          <cell r="B646">
            <v>37372</v>
          </cell>
          <cell r="E646">
            <v>8029</v>
          </cell>
        </row>
        <row r="647">
          <cell r="B647">
            <v>37379</v>
          </cell>
          <cell r="E647">
            <v>8128</v>
          </cell>
        </row>
        <row r="648">
          <cell r="B648">
            <v>37386</v>
          </cell>
          <cell r="E648">
            <v>7978</v>
          </cell>
        </row>
        <row r="649">
          <cell r="B649">
            <v>37393</v>
          </cell>
          <cell r="E649">
            <v>7490</v>
          </cell>
        </row>
        <row r="650">
          <cell r="B650">
            <v>37400</v>
          </cell>
          <cell r="E650">
            <v>6823</v>
          </cell>
        </row>
        <row r="651">
          <cell r="B651">
            <v>37407</v>
          </cell>
          <cell r="E651">
            <v>7039</v>
          </cell>
        </row>
        <row r="652">
          <cell r="B652">
            <v>37414</v>
          </cell>
          <cell r="E652">
            <v>7819</v>
          </cell>
        </row>
        <row r="653">
          <cell r="B653">
            <v>37421</v>
          </cell>
          <cell r="E653">
            <v>8194</v>
          </cell>
        </row>
        <row r="654">
          <cell r="B654">
            <v>37428</v>
          </cell>
          <cell r="E654">
            <v>7929</v>
          </cell>
        </row>
        <row r="655">
          <cell r="B655">
            <v>37435</v>
          </cell>
          <cell r="E655">
            <v>7662</v>
          </cell>
        </row>
        <row r="656">
          <cell r="B656">
            <v>37442</v>
          </cell>
          <cell r="E656">
            <v>8228</v>
          </cell>
        </row>
        <row r="657">
          <cell r="B657">
            <v>37449</v>
          </cell>
          <cell r="E657">
            <v>8351</v>
          </cell>
        </row>
        <row r="658">
          <cell r="B658">
            <v>37456</v>
          </cell>
          <cell r="E658">
            <v>8871</v>
          </cell>
        </row>
        <row r="659">
          <cell r="B659">
            <v>37463</v>
          </cell>
          <cell r="E659">
            <v>8543</v>
          </cell>
        </row>
        <row r="660">
          <cell r="B660">
            <v>37470</v>
          </cell>
          <cell r="E660">
            <v>7389</v>
          </cell>
        </row>
        <row r="661">
          <cell r="B661">
            <v>37477</v>
          </cell>
          <cell r="E661">
            <v>7990</v>
          </cell>
        </row>
        <row r="662">
          <cell r="B662">
            <v>37484</v>
          </cell>
          <cell r="E662">
            <v>7395</v>
          </cell>
        </row>
        <row r="663">
          <cell r="B663">
            <v>37491</v>
          </cell>
          <cell r="E663">
            <v>7705</v>
          </cell>
        </row>
        <row r="664">
          <cell r="B664">
            <v>37498</v>
          </cell>
          <cell r="E664">
            <v>8250</v>
          </cell>
        </row>
        <row r="665">
          <cell r="B665">
            <v>37505</v>
          </cell>
          <cell r="E665">
            <v>7755</v>
          </cell>
        </row>
        <row r="666">
          <cell r="B666">
            <v>37512</v>
          </cell>
          <cell r="E666">
            <v>7112</v>
          </cell>
        </row>
        <row r="667">
          <cell r="B667">
            <v>37519</v>
          </cell>
          <cell r="E667">
            <v>8045</v>
          </cell>
        </row>
        <row r="668">
          <cell r="B668">
            <v>37526</v>
          </cell>
          <cell r="E668">
            <v>7319</v>
          </cell>
        </row>
        <row r="669">
          <cell r="B669">
            <v>37533</v>
          </cell>
          <cell r="E669">
            <v>6706</v>
          </cell>
        </row>
        <row r="670">
          <cell r="B670">
            <v>37540</v>
          </cell>
          <cell r="E670">
            <v>8294</v>
          </cell>
        </row>
        <row r="671">
          <cell r="B671">
            <v>37547</v>
          </cell>
          <cell r="E671">
            <v>7727</v>
          </cell>
        </row>
        <row r="672">
          <cell r="B672">
            <v>37554</v>
          </cell>
          <cell r="E672">
            <v>7513</v>
          </cell>
        </row>
        <row r="673">
          <cell r="B673">
            <v>37561</v>
          </cell>
          <cell r="E673">
            <v>7461</v>
          </cell>
        </row>
        <row r="674">
          <cell r="B674">
            <v>37568</v>
          </cell>
          <cell r="E674">
            <v>7148</v>
          </cell>
        </row>
        <row r="675">
          <cell r="B675">
            <v>37575</v>
          </cell>
          <cell r="E675">
            <v>5837</v>
          </cell>
        </row>
        <row r="676">
          <cell r="B676">
            <v>37582</v>
          </cell>
          <cell r="E676">
            <v>6934</v>
          </cell>
        </row>
        <row r="677">
          <cell r="B677">
            <v>37589</v>
          </cell>
          <cell r="E677">
            <v>7491</v>
          </cell>
        </row>
        <row r="678">
          <cell r="B678">
            <v>37596</v>
          </cell>
          <cell r="E678">
            <v>7870</v>
          </cell>
        </row>
        <row r="679">
          <cell r="B679">
            <v>37603</v>
          </cell>
          <cell r="E679">
            <v>8413</v>
          </cell>
        </row>
        <row r="680">
          <cell r="B680">
            <v>37610</v>
          </cell>
          <cell r="E680">
            <v>7564</v>
          </cell>
        </row>
        <row r="681">
          <cell r="B681">
            <v>37617</v>
          </cell>
          <cell r="E681">
            <v>6835</v>
          </cell>
        </row>
        <row r="682">
          <cell r="B682">
            <v>37624</v>
          </cell>
          <cell r="E682">
            <v>7512</v>
          </cell>
        </row>
        <row r="683">
          <cell r="B683">
            <v>37631</v>
          </cell>
          <cell r="E683">
            <v>8395</v>
          </cell>
        </row>
        <row r="684">
          <cell r="B684">
            <v>37638</v>
          </cell>
          <cell r="E684">
            <v>7713</v>
          </cell>
        </row>
        <row r="685">
          <cell r="B685">
            <v>37645</v>
          </cell>
          <cell r="E685">
            <v>7870</v>
          </cell>
        </row>
        <row r="686">
          <cell r="B686">
            <v>37652</v>
          </cell>
          <cell r="E686">
            <v>7224</v>
          </cell>
        </row>
        <row r="687">
          <cell r="B687">
            <v>37659</v>
          </cell>
          <cell r="E687">
            <v>8202</v>
          </cell>
        </row>
        <row r="688">
          <cell r="B688">
            <v>37666</v>
          </cell>
          <cell r="E688">
            <v>7423</v>
          </cell>
        </row>
        <row r="689">
          <cell r="B689">
            <v>37673</v>
          </cell>
          <cell r="E689">
            <v>6664</v>
          </cell>
        </row>
        <row r="690">
          <cell r="B690">
            <v>37680</v>
          </cell>
          <cell r="E690">
            <v>6240</v>
          </cell>
        </row>
        <row r="691">
          <cell r="B691">
            <v>37687</v>
          </cell>
          <cell r="E691">
            <v>7285</v>
          </cell>
        </row>
        <row r="692">
          <cell r="B692">
            <v>37694</v>
          </cell>
          <cell r="E692">
            <v>6620</v>
          </cell>
        </row>
        <row r="693">
          <cell r="B693">
            <v>37701</v>
          </cell>
          <cell r="E693">
            <v>7079</v>
          </cell>
        </row>
        <row r="694">
          <cell r="B694">
            <v>37708</v>
          </cell>
          <cell r="E694">
            <v>7105</v>
          </cell>
        </row>
        <row r="695">
          <cell r="B695">
            <v>37715</v>
          </cell>
          <cell r="E695">
            <v>7656</v>
          </cell>
        </row>
        <row r="696">
          <cell r="B696">
            <v>37722</v>
          </cell>
          <cell r="E696">
            <v>7171</v>
          </cell>
        </row>
        <row r="697">
          <cell r="B697">
            <v>37729</v>
          </cell>
          <cell r="E697">
            <v>7026</v>
          </cell>
        </row>
        <row r="698">
          <cell r="B698">
            <v>37736</v>
          </cell>
          <cell r="E698">
            <v>7381</v>
          </cell>
        </row>
        <row r="699">
          <cell r="B699">
            <v>37743</v>
          </cell>
          <cell r="E699">
            <v>6793</v>
          </cell>
        </row>
        <row r="700">
          <cell r="B700">
            <v>37750</v>
          </cell>
          <cell r="E700">
            <v>6144</v>
          </cell>
        </row>
        <row r="701">
          <cell r="B701">
            <v>37757</v>
          </cell>
          <cell r="E701">
            <v>6353</v>
          </cell>
        </row>
        <row r="702">
          <cell r="B702">
            <v>37764</v>
          </cell>
          <cell r="E702">
            <v>5735</v>
          </cell>
        </row>
        <row r="703">
          <cell r="B703">
            <v>37771</v>
          </cell>
          <cell r="E703">
            <v>5957</v>
          </cell>
        </row>
        <row r="704">
          <cell r="B704">
            <v>37778</v>
          </cell>
          <cell r="E704">
            <v>7151</v>
          </cell>
        </row>
        <row r="705">
          <cell r="B705">
            <v>37785</v>
          </cell>
          <cell r="E705">
            <v>6108</v>
          </cell>
        </row>
        <row r="706">
          <cell r="B706">
            <v>37792</v>
          </cell>
          <cell r="E706">
            <v>6074</v>
          </cell>
        </row>
        <row r="707">
          <cell r="B707">
            <v>37799</v>
          </cell>
          <cell r="E707">
            <v>6949</v>
          </cell>
        </row>
        <row r="708">
          <cell r="B708">
            <v>37806</v>
          </cell>
          <cell r="E708">
            <v>7831</v>
          </cell>
        </row>
        <row r="709">
          <cell r="B709">
            <v>37813</v>
          </cell>
          <cell r="E709">
            <v>7167</v>
          </cell>
        </row>
        <row r="710">
          <cell r="B710">
            <v>37820</v>
          </cell>
          <cell r="E710">
            <v>6834</v>
          </cell>
        </row>
        <row r="711">
          <cell r="B711">
            <v>37827</v>
          </cell>
          <cell r="E711">
            <v>6990</v>
          </cell>
        </row>
        <row r="712">
          <cell r="B712">
            <v>37834</v>
          </cell>
          <cell r="E712">
            <v>6921</v>
          </cell>
        </row>
        <row r="713">
          <cell r="B713">
            <v>37841</v>
          </cell>
          <cell r="E713">
            <v>7046</v>
          </cell>
        </row>
        <row r="714">
          <cell r="B714">
            <v>37848</v>
          </cell>
          <cell r="E714">
            <v>6913</v>
          </cell>
        </row>
        <row r="715">
          <cell r="B715">
            <v>37855</v>
          </cell>
          <cell r="E715">
            <v>6456</v>
          </cell>
        </row>
        <row r="716">
          <cell r="B716">
            <v>37862</v>
          </cell>
          <cell r="E716">
            <v>6861</v>
          </cell>
        </row>
        <row r="717">
          <cell r="B717">
            <v>37869</v>
          </cell>
          <cell r="E717">
            <v>6417</v>
          </cell>
        </row>
        <row r="718">
          <cell r="B718">
            <v>37876</v>
          </cell>
          <cell r="E718">
            <v>6878</v>
          </cell>
        </row>
        <row r="719">
          <cell r="B719">
            <v>37883</v>
          </cell>
          <cell r="E719">
            <v>7005</v>
          </cell>
        </row>
        <row r="720">
          <cell r="B720">
            <v>37890</v>
          </cell>
          <cell r="E720">
            <v>6536</v>
          </cell>
        </row>
        <row r="721">
          <cell r="B721">
            <v>37897</v>
          </cell>
          <cell r="E721">
            <v>6878</v>
          </cell>
        </row>
        <row r="722">
          <cell r="B722">
            <v>37904</v>
          </cell>
          <cell r="E722">
            <v>6414</v>
          </cell>
        </row>
        <row r="723">
          <cell r="B723">
            <v>37911</v>
          </cell>
          <cell r="E723">
            <v>7251</v>
          </cell>
        </row>
        <row r="724">
          <cell r="B724">
            <v>37918</v>
          </cell>
          <cell r="E724">
            <v>6909</v>
          </cell>
        </row>
        <row r="725">
          <cell r="B725">
            <v>37925</v>
          </cell>
          <cell r="E725">
            <v>6197</v>
          </cell>
        </row>
        <row r="726">
          <cell r="B726">
            <v>37932</v>
          </cell>
          <cell r="E726">
            <v>6604</v>
          </cell>
        </row>
        <row r="727">
          <cell r="B727">
            <v>37939</v>
          </cell>
          <cell r="E727">
            <v>5953</v>
          </cell>
        </row>
        <row r="728">
          <cell r="B728">
            <v>37946</v>
          </cell>
          <cell r="E728">
            <v>6618</v>
          </cell>
        </row>
        <row r="729">
          <cell r="B729">
            <v>37953</v>
          </cell>
          <cell r="E729">
            <v>6385</v>
          </cell>
        </row>
        <row r="730">
          <cell r="B730">
            <v>37960</v>
          </cell>
          <cell r="E730">
            <v>5620</v>
          </cell>
        </row>
        <row r="731">
          <cell r="B731">
            <v>37967</v>
          </cell>
          <cell r="E731">
            <v>6335</v>
          </cell>
        </row>
        <row r="732">
          <cell r="B732">
            <v>37974</v>
          </cell>
          <cell r="E732">
            <v>6693</v>
          </cell>
        </row>
        <row r="733">
          <cell r="B733">
            <v>37981</v>
          </cell>
          <cell r="E733">
            <v>6922</v>
          </cell>
        </row>
        <row r="734">
          <cell r="B734">
            <v>37988</v>
          </cell>
          <cell r="E734">
            <v>5876</v>
          </cell>
        </row>
        <row r="735">
          <cell r="B735">
            <v>37995</v>
          </cell>
          <cell r="E735">
            <v>6887</v>
          </cell>
        </row>
        <row r="736">
          <cell r="B736">
            <v>38002</v>
          </cell>
          <cell r="E736">
            <v>6668</v>
          </cell>
        </row>
        <row r="737">
          <cell r="B737">
            <v>38009</v>
          </cell>
          <cell r="E737">
            <v>6753</v>
          </cell>
        </row>
        <row r="738">
          <cell r="B738">
            <v>38016</v>
          </cell>
          <cell r="E738">
            <v>6664</v>
          </cell>
        </row>
        <row r="739">
          <cell r="B739">
            <v>38023</v>
          </cell>
          <cell r="E739">
            <v>6453</v>
          </cell>
        </row>
        <row r="740">
          <cell r="B740">
            <v>38030</v>
          </cell>
          <cell r="E740">
            <v>6404</v>
          </cell>
        </row>
        <row r="741">
          <cell r="B741">
            <v>38037</v>
          </cell>
          <cell r="E741">
            <v>7918</v>
          </cell>
        </row>
        <row r="742">
          <cell r="B742">
            <v>38044</v>
          </cell>
          <cell r="E742">
            <v>8006</v>
          </cell>
        </row>
        <row r="743">
          <cell r="B743">
            <v>38051</v>
          </cell>
          <cell r="E743">
            <v>7753</v>
          </cell>
        </row>
        <row r="744">
          <cell r="B744">
            <v>38058</v>
          </cell>
          <cell r="E744">
            <v>7763</v>
          </cell>
        </row>
        <row r="745">
          <cell r="B745">
            <v>38065</v>
          </cell>
          <cell r="E745">
            <v>7105</v>
          </cell>
        </row>
        <row r="746">
          <cell r="B746">
            <v>38072</v>
          </cell>
          <cell r="E746">
            <v>7665</v>
          </cell>
        </row>
        <row r="747">
          <cell r="B747">
            <v>38079</v>
          </cell>
          <cell r="E747">
            <v>7201</v>
          </cell>
        </row>
        <row r="748">
          <cell r="B748">
            <v>38086</v>
          </cell>
          <cell r="E748">
            <v>7891</v>
          </cell>
        </row>
        <row r="749">
          <cell r="B749">
            <v>38093</v>
          </cell>
          <cell r="E749">
            <v>8344</v>
          </cell>
        </row>
        <row r="750">
          <cell r="B750">
            <v>38100</v>
          </cell>
          <cell r="E750">
            <v>10645</v>
          </cell>
        </row>
        <row r="751">
          <cell r="B751">
            <v>38107</v>
          </cell>
          <cell r="E751">
            <v>7814</v>
          </cell>
        </row>
        <row r="752">
          <cell r="B752">
            <v>38114</v>
          </cell>
          <cell r="E752">
            <v>6229</v>
          </cell>
        </row>
        <row r="753">
          <cell r="B753">
            <v>38121</v>
          </cell>
          <cell r="E753">
            <v>7257</v>
          </cell>
        </row>
        <row r="754">
          <cell r="B754">
            <v>38128</v>
          </cell>
          <cell r="E754">
            <v>7664</v>
          </cell>
        </row>
        <row r="755">
          <cell r="B755">
            <v>38135</v>
          </cell>
          <cell r="E755">
            <v>8150</v>
          </cell>
        </row>
        <row r="756">
          <cell r="B756">
            <v>38142</v>
          </cell>
          <cell r="E756">
            <v>8185</v>
          </cell>
        </row>
        <row r="757">
          <cell r="B757">
            <v>38149</v>
          </cell>
          <cell r="E757">
            <v>8701</v>
          </cell>
        </row>
        <row r="758">
          <cell r="B758">
            <v>38156</v>
          </cell>
          <cell r="E758">
            <v>7751</v>
          </cell>
        </row>
        <row r="759">
          <cell r="B759">
            <v>38163</v>
          </cell>
          <cell r="E759">
            <v>7565</v>
          </cell>
        </row>
        <row r="760">
          <cell r="B760">
            <v>38170</v>
          </cell>
          <cell r="E760">
            <v>8521</v>
          </cell>
        </row>
        <row r="761">
          <cell r="B761">
            <v>38177</v>
          </cell>
          <cell r="E761">
            <v>8351</v>
          </cell>
        </row>
        <row r="762">
          <cell r="B762">
            <v>38184</v>
          </cell>
          <cell r="E762">
            <v>8492</v>
          </cell>
        </row>
        <row r="763">
          <cell r="B763">
            <v>38191</v>
          </cell>
          <cell r="E763">
            <v>9444</v>
          </cell>
        </row>
        <row r="764">
          <cell r="B764">
            <v>38198</v>
          </cell>
          <cell r="E764">
            <v>8505</v>
          </cell>
        </row>
        <row r="765">
          <cell r="B765">
            <v>38205</v>
          </cell>
          <cell r="E765">
            <v>8684</v>
          </cell>
        </row>
        <row r="766">
          <cell r="B766">
            <v>38212</v>
          </cell>
          <cell r="E766">
            <v>8962</v>
          </cell>
        </row>
        <row r="767">
          <cell r="B767">
            <v>38219</v>
          </cell>
          <cell r="E767">
            <v>8386</v>
          </cell>
        </row>
        <row r="768">
          <cell r="B768">
            <v>38226</v>
          </cell>
          <cell r="E768">
            <v>8016</v>
          </cell>
        </row>
        <row r="769">
          <cell r="B769">
            <v>38233</v>
          </cell>
          <cell r="E769">
            <v>8698</v>
          </cell>
        </row>
        <row r="770">
          <cell r="B770">
            <v>38240</v>
          </cell>
          <cell r="E770">
            <v>9132</v>
          </cell>
        </row>
        <row r="771">
          <cell r="B771">
            <v>38247</v>
          </cell>
          <cell r="E771">
            <v>8948</v>
          </cell>
        </row>
        <row r="772">
          <cell r="B772">
            <v>38254</v>
          </cell>
          <cell r="E772">
            <v>9033</v>
          </cell>
        </row>
        <row r="773">
          <cell r="B773">
            <v>38261</v>
          </cell>
          <cell r="E773">
            <v>9524</v>
          </cell>
        </row>
        <row r="774">
          <cell r="B774">
            <v>38268</v>
          </cell>
          <cell r="E774">
            <v>7875</v>
          </cell>
        </row>
        <row r="775">
          <cell r="B775">
            <v>38275</v>
          </cell>
          <cell r="E775">
            <v>8540</v>
          </cell>
        </row>
        <row r="776">
          <cell r="B776">
            <v>38282</v>
          </cell>
          <cell r="E776">
            <v>8535</v>
          </cell>
        </row>
        <row r="777">
          <cell r="B777">
            <v>38289</v>
          </cell>
          <cell r="E777">
            <v>9695</v>
          </cell>
        </row>
        <row r="778">
          <cell r="B778">
            <v>38296</v>
          </cell>
          <cell r="E778">
            <v>10320</v>
          </cell>
        </row>
        <row r="779">
          <cell r="B779">
            <v>38303</v>
          </cell>
          <cell r="E779">
            <v>9710</v>
          </cell>
        </row>
        <row r="780">
          <cell r="B780">
            <v>38310</v>
          </cell>
          <cell r="E780">
            <v>9781</v>
          </cell>
        </row>
        <row r="781">
          <cell r="B781">
            <v>38317</v>
          </cell>
          <cell r="E781">
            <v>9511</v>
          </cell>
        </row>
        <row r="782">
          <cell r="B782">
            <v>38324</v>
          </cell>
          <cell r="E782">
            <v>9426</v>
          </cell>
        </row>
        <row r="783">
          <cell r="B783">
            <v>38331</v>
          </cell>
          <cell r="E783">
            <v>9337</v>
          </cell>
        </row>
        <row r="784">
          <cell r="B784">
            <v>38338</v>
          </cell>
          <cell r="E784">
            <v>8534</v>
          </cell>
        </row>
        <row r="785">
          <cell r="B785">
            <v>38345</v>
          </cell>
          <cell r="E785">
            <v>8554</v>
          </cell>
        </row>
        <row r="786">
          <cell r="B786">
            <v>38352</v>
          </cell>
          <cell r="E786">
            <v>8652</v>
          </cell>
        </row>
        <row r="787">
          <cell r="B787">
            <v>38359</v>
          </cell>
          <cell r="E787">
            <v>8741</v>
          </cell>
        </row>
        <row r="788">
          <cell r="B788">
            <v>38366</v>
          </cell>
          <cell r="E788">
            <v>9837</v>
          </cell>
        </row>
        <row r="789">
          <cell r="B789">
            <v>38373</v>
          </cell>
          <cell r="E789">
            <v>9378</v>
          </cell>
        </row>
        <row r="790">
          <cell r="B790">
            <v>38380</v>
          </cell>
          <cell r="E790">
            <v>8645</v>
          </cell>
        </row>
        <row r="791">
          <cell r="B791">
            <v>38387</v>
          </cell>
          <cell r="E791">
            <v>9238</v>
          </cell>
        </row>
        <row r="792">
          <cell r="B792">
            <v>38394</v>
          </cell>
          <cell r="E792">
            <v>9019</v>
          </cell>
        </row>
        <row r="793">
          <cell r="B793">
            <v>38401</v>
          </cell>
          <cell r="E793">
            <v>8384</v>
          </cell>
        </row>
        <row r="794">
          <cell r="B794">
            <v>38408</v>
          </cell>
          <cell r="E794">
            <v>8364</v>
          </cell>
        </row>
        <row r="795">
          <cell r="B795">
            <v>38415</v>
          </cell>
          <cell r="E795">
            <v>9689</v>
          </cell>
        </row>
        <row r="796">
          <cell r="B796">
            <v>38422</v>
          </cell>
          <cell r="E796">
            <v>8522</v>
          </cell>
        </row>
        <row r="797">
          <cell r="B797">
            <v>38429</v>
          </cell>
          <cell r="E797">
            <v>7952</v>
          </cell>
        </row>
        <row r="798">
          <cell r="B798">
            <v>38436</v>
          </cell>
          <cell r="E798">
            <v>8608</v>
          </cell>
        </row>
        <row r="799">
          <cell r="B799">
            <v>38443</v>
          </cell>
          <cell r="E799">
            <v>8892</v>
          </cell>
        </row>
        <row r="800">
          <cell r="B800">
            <v>38450</v>
          </cell>
          <cell r="E800">
            <v>8003</v>
          </cell>
        </row>
        <row r="801">
          <cell r="B801">
            <v>38457</v>
          </cell>
          <cell r="E801">
            <v>8811</v>
          </cell>
        </row>
        <row r="802">
          <cell r="B802">
            <v>38464</v>
          </cell>
          <cell r="E802">
            <v>8424</v>
          </cell>
        </row>
        <row r="803">
          <cell r="B803">
            <v>38471</v>
          </cell>
          <cell r="E803">
            <v>9087</v>
          </cell>
        </row>
        <row r="804">
          <cell r="B804">
            <v>38478</v>
          </cell>
          <cell r="E804">
            <v>9677</v>
          </cell>
        </row>
        <row r="805">
          <cell r="B805">
            <v>38485</v>
          </cell>
          <cell r="E805">
            <v>8908</v>
          </cell>
        </row>
        <row r="806">
          <cell r="B806">
            <v>38492</v>
          </cell>
          <cell r="E806">
            <v>9012</v>
          </cell>
        </row>
        <row r="807">
          <cell r="B807">
            <v>38499</v>
          </cell>
          <cell r="E807">
            <v>9396</v>
          </cell>
        </row>
        <row r="808">
          <cell r="B808">
            <v>38506</v>
          </cell>
          <cell r="E808">
            <v>8448</v>
          </cell>
        </row>
        <row r="809">
          <cell r="B809">
            <v>38513</v>
          </cell>
          <cell r="E809">
            <v>8930</v>
          </cell>
        </row>
        <row r="810">
          <cell r="B810">
            <v>38520</v>
          </cell>
          <cell r="E810">
            <v>8203</v>
          </cell>
        </row>
        <row r="811">
          <cell r="B811">
            <v>38527</v>
          </cell>
          <cell r="E811">
            <v>8327</v>
          </cell>
        </row>
        <row r="812">
          <cell r="B812">
            <v>38534</v>
          </cell>
          <cell r="E812">
            <v>9400</v>
          </cell>
        </row>
        <row r="813">
          <cell r="B813">
            <v>38541</v>
          </cell>
          <cell r="E813">
            <v>9236</v>
          </cell>
        </row>
        <row r="814">
          <cell r="B814">
            <v>38548</v>
          </cell>
          <cell r="E814">
            <v>9129</v>
          </cell>
        </row>
        <row r="815">
          <cell r="B815">
            <v>38555</v>
          </cell>
          <cell r="E815">
            <v>9254</v>
          </cell>
        </row>
        <row r="816">
          <cell r="B816">
            <v>38562</v>
          </cell>
          <cell r="E816">
            <v>7575</v>
          </cell>
        </row>
        <row r="817">
          <cell r="B817">
            <v>38569</v>
          </cell>
          <cell r="E817">
            <v>6953</v>
          </cell>
        </row>
        <row r="818">
          <cell r="B818">
            <v>38576</v>
          </cell>
          <cell r="E818">
            <v>7932</v>
          </cell>
        </row>
        <row r="819">
          <cell r="B819">
            <v>38583</v>
          </cell>
          <cell r="E819">
            <v>8528</v>
          </cell>
        </row>
        <row r="820">
          <cell r="B820">
            <v>38590</v>
          </cell>
          <cell r="E820">
            <v>7647</v>
          </cell>
        </row>
        <row r="821">
          <cell r="B821">
            <v>38597</v>
          </cell>
          <cell r="E821">
            <v>8210</v>
          </cell>
        </row>
        <row r="822">
          <cell r="B822">
            <v>38604</v>
          </cell>
          <cell r="E822">
            <v>7928</v>
          </cell>
        </row>
        <row r="823">
          <cell r="B823">
            <v>38611</v>
          </cell>
          <cell r="E823">
            <v>8551</v>
          </cell>
        </row>
        <row r="824">
          <cell r="B824">
            <v>38618</v>
          </cell>
          <cell r="E824">
            <v>7855</v>
          </cell>
        </row>
        <row r="825">
          <cell r="B825">
            <v>38625</v>
          </cell>
          <cell r="E825">
            <v>8593</v>
          </cell>
        </row>
        <row r="826">
          <cell r="B826">
            <v>38632</v>
          </cell>
          <cell r="E826">
            <v>8834</v>
          </cell>
        </row>
        <row r="827">
          <cell r="B827">
            <v>38639</v>
          </cell>
          <cell r="E827">
            <v>8328</v>
          </cell>
        </row>
        <row r="828">
          <cell r="B828">
            <v>38646</v>
          </cell>
          <cell r="E828">
            <v>7752</v>
          </cell>
        </row>
        <row r="829">
          <cell r="B829">
            <v>38653</v>
          </cell>
          <cell r="E829">
            <v>8352</v>
          </cell>
        </row>
        <row r="830">
          <cell r="B830">
            <v>38660</v>
          </cell>
          <cell r="E830">
            <v>9216</v>
          </cell>
        </row>
        <row r="831">
          <cell r="B831">
            <v>38667</v>
          </cell>
          <cell r="E831">
            <v>8247</v>
          </cell>
        </row>
        <row r="832">
          <cell r="B832">
            <v>38674</v>
          </cell>
          <cell r="E832">
            <v>8617</v>
          </cell>
        </row>
        <row r="833">
          <cell r="B833">
            <v>38681</v>
          </cell>
          <cell r="E833">
            <v>7901</v>
          </cell>
        </row>
        <row r="834">
          <cell r="B834">
            <v>38688</v>
          </cell>
          <cell r="E834">
            <v>7382</v>
          </cell>
        </row>
        <row r="835">
          <cell r="B835">
            <v>38695</v>
          </cell>
          <cell r="E835">
            <v>7152</v>
          </cell>
        </row>
        <row r="836">
          <cell r="B836">
            <v>38702</v>
          </cell>
          <cell r="E836">
            <v>7856</v>
          </cell>
        </row>
        <row r="837">
          <cell r="B837">
            <v>38709</v>
          </cell>
          <cell r="E837">
            <v>7760</v>
          </cell>
        </row>
        <row r="838">
          <cell r="B838">
            <v>38716</v>
          </cell>
          <cell r="E838">
            <v>8411</v>
          </cell>
        </row>
        <row r="839">
          <cell r="B839">
            <v>38723</v>
          </cell>
          <cell r="E839">
            <v>8629</v>
          </cell>
        </row>
        <row r="840">
          <cell r="B840">
            <v>38730</v>
          </cell>
          <cell r="E840">
            <v>8533</v>
          </cell>
        </row>
        <row r="841">
          <cell r="B841">
            <v>38737</v>
          </cell>
          <cell r="E841">
            <v>9124</v>
          </cell>
        </row>
        <row r="842">
          <cell r="B842">
            <v>38744</v>
          </cell>
          <cell r="E842">
            <v>8653</v>
          </cell>
        </row>
        <row r="843">
          <cell r="B843">
            <v>38751</v>
          </cell>
          <cell r="E843">
            <v>9478</v>
          </cell>
        </row>
        <row r="844">
          <cell r="B844">
            <v>38758</v>
          </cell>
          <cell r="E844">
            <v>8811</v>
          </cell>
        </row>
        <row r="845">
          <cell r="B845">
            <v>38765</v>
          </cell>
          <cell r="E845">
            <v>9782</v>
          </cell>
        </row>
        <row r="846">
          <cell r="B846">
            <v>38772</v>
          </cell>
          <cell r="E846">
            <v>9617</v>
          </cell>
        </row>
        <row r="847">
          <cell r="B847">
            <v>38779</v>
          </cell>
          <cell r="E847">
            <v>9059</v>
          </cell>
        </row>
        <row r="848">
          <cell r="B848">
            <v>38786</v>
          </cell>
          <cell r="E848">
            <v>9000</v>
          </cell>
        </row>
        <row r="849">
          <cell r="B849">
            <v>38793</v>
          </cell>
          <cell r="E849">
            <v>7868</v>
          </cell>
        </row>
        <row r="850">
          <cell r="B850">
            <v>38800</v>
          </cell>
          <cell r="E850">
            <v>7577</v>
          </cell>
        </row>
        <row r="851">
          <cell r="B851">
            <v>38807</v>
          </cell>
          <cell r="E851">
            <v>8354</v>
          </cell>
        </row>
        <row r="852">
          <cell r="B852">
            <v>38814</v>
          </cell>
          <cell r="E852">
            <v>8247</v>
          </cell>
        </row>
        <row r="853">
          <cell r="B853">
            <v>38821</v>
          </cell>
          <cell r="E853">
            <v>8620</v>
          </cell>
        </row>
        <row r="854">
          <cell r="B854">
            <v>38828</v>
          </cell>
          <cell r="E854">
            <v>7797</v>
          </cell>
        </row>
        <row r="855">
          <cell r="B855">
            <v>38835</v>
          </cell>
          <cell r="E855">
            <v>8215</v>
          </cell>
        </row>
        <row r="856">
          <cell r="B856">
            <v>38842</v>
          </cell>
          <cell r="E856">
            <v>7758</v>
          </cell>
        </row>
        <row r="857">
          <cell r="B857">
            <v>38849</v>
          </cell>
          <cell r="E857">
            <v>7075</v>
          </cell>
        </row>
        <row r="858">
          <cell r="B858">
            <v>38856</v>
          </cell>
          <cell r="E858">
            <v>7603</v>
          </cell>
        </row>
        <row r="859">
          <cell r="B859">
            <v>38863</v>
          </cell>
          <cell r="E859">
            <v>7834</v>
          </cell>
        </row>
        <row r="860">
          <cell r="B860">
            <v>38870</v>
          </cell>
          <cell r="E860">
            <v>7078</v>
          </cell>
        </row>
        <row r="861">
          <cell r="B861">
            <v>38877</v>
          </cell>
          <cell r="E861">
            <v>7177</v>
          </cell>
        </row>
        <row r="862">
          <cell r="B862">
            <v>38884</v>
          </cell>
          <cell r="E862">
            <v>7449</v>
          </cell>
        </row>
        <row r="863">
          <cell r="B863">
            <v>38891</v>
          </cell>
          <cell r="E863">
            <v>7146</v>
          </cell>
        </row>
        <row r="864">
          <cell r="B864">
            <v>38898</v>
          </cell>
          <cell r="E864">
            <v>7258</v>
          </cell>
        </row>
        <row r="865">
          <cell r="B865">
            <v>38905</v>
          </cell>
          <cell r="E865">
            <v>7441</v>
          </cell>
        </row>
        <row r="866">
          <cell r="B866">
            <v>38912</v>
          </cell>
          <cell r="E866">
            <v>7306</v>
          </cell>
        </row>
        <row r="867">
          <cell r="B867">
            <v>38919</v>
          </cell>
          <cell r="E867">
            <v>6908</v>
          </cell>
        </row>
        <row r="868">
          <cell r="B868">
            <v>38926</v>
          </cell>
          <cell r="E868">
            <v>7737</v>
          </cell>
        </row>
        <row r="869">
          <cell r="B869">
            <v>38933</v>
          </cell>
          <cell r="E869">
            <v>7717</v>
          </cell>
        </row>
        <row r="870">
          <cell r="B870">
            <v>38940</v>
          </cell>
          <cell r="E870">
            <v>8905</v>
          </cell>
        </row>
        <row r="871">
          <cell r="B871">
            <v>38947</v>
          </cell>
          <cell r="E871">
            <v>7655</v>
          </cell>
        </row>
        <row r="872">
          <cell r="B872">
            <v>38954</v>
          </cell>
          <cell r="E872">
            <v>8164</v>
          </cell>
        </row>
        <row r="873">
          <cell r="B873">
            <v>38961</v>
          </cell>
          <cell r="E873">
            <v>8320</v>
          </cell>
        </row>
        <row r="874">
          <cell r="B874">
            <v>38968</v>
          </cell>
          <cell r="E874">
            <v>6891</v>
          </cell>
        </row>
        <row r="875">
          <cell r="B875">
            <v>38975</v>
          </cell>
          <cell r="E875">
            <v>7601</v>
          </cell>
        </row>
        <row r="876">
          <cell r="B876">
            <v>38982</v>
          </cell>
          <cell r="E876">
            <v>7310</v>
          </cell>
        </row>
        <row r="877">
          <cell r="B877">
            <v>38989</v>
          </cell>
          <cell r="E877">
            <v>8011</v>
          </cell>
        </row>
        <row r="878">
          <cell r="B878">
            <v>38996</v>
          </cell>
          <cell r="E878">
            <v>7240</v>
          </cell>
        </row>
        <row r="879">
          <cell r="B879">
            <v>39003</v>
          </cell>
          <cell r="E879">
            <v>6409</v>
          </cell>
        </row>
        <row r="880">
          <cell r="B880">
            <v>39010</v>
          </cell>
          <cell r="E880">
            <v>6782</v>
          </cell>
        </row>
        <row r="881">
          <cell r="B881">
            <v>39017</v>
          </cell>
          <cell r="E881">
            <v>7358</v>
          </cell>
        </row>
        <row r="882">
          <cell r="B882">
            <v>39024</v>
          </cell>
          <cell r="E882">
            <v>8338</v>
          </cell>
        </row>
        <row r="883">
          <cell r="B883">
            <v>39031</v>
          </cell>
          <cell r="E883">
            <v>7937</v>
          </cell>
        </row>
        <row r="884">
          <cell r="B884">
            <v>39038</v>
          </cell>
          <cell r="E884">
            <v>7679</v>
          </cell>
        </row>
        <row r="885">
          <cell r="B885">
            <v>39045</v>
          </cell>
          <cell r="E885">
            <v>8108</v>
          </cell>
        </row>
        <row r="886">
          <cell r="B886">
            <v>39052</v>
          </cell>
          <cell r="E886">
            <v>8705</v>
          </cell>
        </row>
        <row r="887">
          <cell r="B887">
            <v>39059</v>
          </cell>
          <cell r="E887">
            <v>8232</v>
          </cell>
        </row>
        <row r="888">
          <cell r="B888">
            <v>39066</v>
          </cell>
          <cell r="E888">
            <v>8495</v>
          </cell>
        </row>
        <row r="889">
          <cell r="B889">
            <v>39073</v>
          </cell>
          <cell r="E889">
            <v>7246</v>
          </cell>
        </row>
        <row r="890">
          <cell r="B890">
            <v>39080</v>
          </cell>
          <cell r="E890">
            <v>7536</v>
          </cell>
        </row>
        <row r="891">
          <cell r="B891">
            <v>39087</v>
          </cell>
          <cell r="E891">
            <v>8598</v>
          </cell>
        </row>
        <row r="892">
          <cell r="B892">
            <v>39094</v>
          </cell>
          <cell r="E892">
            <v>7863</v>
          </cell>
        </row>
        <row r="893">
          <cell r="B893">
            <v>39101</v>
          </cell>
          <cell r="E893">
            <v>8610</v>
          </cell>
        </row>
        <row r="894">
          <cell r="B894">
            <v>39108</v>
          </cell>
          <cell r="E894">
            <v>8949</v>
          </cell>
        </row>
        <row r="895">
          <cell r="B895">
            <v>39115</v>
          </cell>
          <cell r="E895">
            <v>9221</v>
          </cell>
        </row>
        <row r="896">
          <cell r="B896">
            <v>39122</v>
          </cell>
          <cell r="E896">
            <v>8736</v>
          </cell>
        </row>
        <row r="897">
          <cell r="B897">
            <v>39129</v>
          </cell>
          <cell r="E897">
            <v>9815</v>
          </cell>
        </row>
        <row r="898">
          <cell r="B898">
            <v>39136</v>
          </cell>
          <cell r="E898">
            <v>9188</v>
          </cell>
        </row>
        <row r="899">
          <cell r="B899">
            <v>39143</v>
          </cell>
          <cell r="E899">
            <v>9713</v>
          </cell>
        </row>
        <row r="900">
          <cell r="B900">
            <v>39150</v>
          </cell>
          <cell r="E900">
            <v>8691</v>
          </cell>
        </row>
        <row r="901">
          <cell r="B901">
            <v>39157</v>
          </cell>
          <cell r="E901">
            <v>8774</v>
          </cell>
        </row>
        <row r="902">
          <cell r="B902">
            <v>39164</v>
          </cell>
          <cell r="E902">
            <v>7882</v>
          </cell>
        </row>
        <row r="903">
          <cell r="B903">
            <v>39171</v>
          </cell>
          <cell r="E903">
            <v>8614</v>
          </cell>
        </row>
        <row r="904">
          <cell r="B904">
            <v>39178</v>
          </cell>
          <cell r="E904">
            <v>9224</v>
          </cell>
        </row>
        <row r="905">
          <cell r="B905">
            <v>39185</v>
          </cell>
          <cell r="E905">
            <v>8746</v>
          </cell>
        </row>
        <row r="906">
          <cell r="B906">
            <v>39192</v>
          </cell>
          <cell r="E906">
            <v>8533</v>
          </cell>
        </row>
        <row r="907">
          <cell r="B907">
            <v>39199</v>
          </cell>
          <cell r="E907">
            <v>9374</v>
          </cell>
        </row>
        <row r="908">
          <cell r="B908">
            <v>39206</v>
          </cell>
          <cell r="E908">
            <v>8357</v>
          </cell>
        </row>
        <row r="909">
          <cell r="B909">
            <v>39213</v>
          </cell>
          <cell r="E909">
            <v>8484</v>
          </cell>
        </row>
        <row r="910">
          <cell r="B910">
            <v>39220</v>
          </cell>
          <cell r="E910">
            <v>8449</v>
          </cell>
        </row>
        <row r="911">
          <cell r="B911">
            <v>39227</v>
          </cell>
          <cell r="E911">
            <v>8092</v>
          </cell>
        </row>
        <row r="912">
          <cell r="B912">
            <v>39234</v>
          </cell>
          <cell r="E912">
            <v>9059</v>
          </cell>
        </row>
        <row r="913">
          <cell r="B913">
            <v>39241</v>
          </cell>
          <cell r="E913">
            <v>9503</v>
          </cell>
        </row>
        <row r="914">
          <cell r="B914">
            <v>39248</v>
          </cell>
          <cell r="E914">
            <v>9111</v>
          </cell>
        </row>
        <row r="915">
          <cell r="B915">
            <v>39255</v>
          </cell>
          <cell r="E915">
            <v>9745</v>
          </cell>
        </row>
        <row r="916">
          <cell r="B916">
            <v>39262</v>
          </cell>
          <cell r="E916">
            <v>10160</v>
          </cell>
        </row>
        <row r="917">
          <cell r="B917">
            <v>39269</v>
          </cell>
          <cell r="E917">
            <v>9340</v>
          </cell>
        </row>
        <row r="918">
          <cell r="B918">
            <v>39276</v>
          </cell>
          <cell r="E918">
            <v>9007</v>
          </cell>
        </row>
        <row r="919">
          <cell r="B919">
            <v>39283</v>
          </cell>
          <cell r="E919">
            <v>9250</v>
          </cell>
        </row>
        <row r="920">
          <cell r="B920">
            <v>39290</v>
          </cell>
          <cell r="E920">
            <v>8909</v>
          </cell>
        </row>
        <row r="921">
          <cell r="B921">
            <v>39297</v>
          </cell>
          <cell r="E921">
            <v>8427</v>
          </cell>
        </row>
        <row r="922">
          <cell r="B922">
            <v>39304</v>
          </cell>
          <cell r="E922">
            <v>8128</v>
          </cell>
        </row>
        <row r="923">
          <cell r="B923">
            <v>39311</v>
          </cell>
          <cell r="E923">
            <v>8017</v>
          </cell>
        </row>
        <row r="924">
          <cell r="B924">
            <v>39318</v>
          </cell>
          <cell r="E924">
            <v>7165</v>
          </cell>
        </row>
        <row r="925">
          <cell r="B925">
            <v>39325</v>
          </cell>
          <cell r="E925">
            <v>8512</v>
          </cell>
        </row>
        <row r="926">
          <cell r="B926">
            <v>39332</v>
          </cell>
          <cell r="E926">
            <v>8989</v>
          </cell>
        </row>
        <row r="927">
          <cell r="B927">
            <v>39339</v>
          </cell>
          <cell r="E927">
            <v>8242</v>
          </cell>
        </row>
        <row r="928">
          <cell r="B928">
            <v>39346</v>
          </cell>
          <cell r="E928">
            <v>8102</v>
          </cell>
        </row>
        <row r="929">
          <cell r="B929">
            <v>39353</v>
          </cell>
          <cell r="E929">
            <v>7755</v>
          </cell>
        </row>
        <row r="930">
          <cell r="B930">
            <v>39360</v>
          </cell>
          <cell r="E930">
            <v>7107</v>
          </cell>
        </row>
        <row r="931">
          <cell r="B931">
            <v>39367</v>
          </cell>
          <cell r="E931">
            <v>6856</v>
          </cell>
        </row>
        <row r="932">
          <cell r="B932">
            <v>39374</v>
          </cell>
          <cell r="E932">
            <v>6656</v>
          </cell>
        </row>
        <row r="933">
          <cell r="B933">
            <v>39381</v>
          </cell>
          <cell r="E933">
            <v>7251</v>
          </cell>
        </row>
        <row r="934">
          <cell r="B934">
            <v>39388</v>
          </cell>
          <cell r="E934">
            <v>7104</v>
          </cell>
        </row>
        <row r="935">
          <cell r="B935">
            <v>39395</v>
          </cell>
          <cell r="E935">
            <v>6572</v>
          </cell>
        </row>
        <row r="936">
          <cell r="B936">
            <v>39402</v>
          </cell>
          <cell r="E936">
            <v>6797</v>
          </cell>
        </row>
        <row r="937">
          <cell r="B937">
            <v>39409</v>
          </cell>
          <cell r="E937">
            <v>6160</v>
          </cell>
        </row>
        <row r="938">
          <cell r="B938">
            <v>39416</v>
          </cell>
          <cell r="E938">
            <v>7290</v>
          </cell>
        </row>
        <row r="939">
          <cell r="B939">
            <v>39423</v>
          </cell>
          <cell r="E939">
            <v>7334</v>
          </cell>
        </row>
        <row r="940">
          <cell r="B940">
            <v>39430</v>
          </cell>
          <cell r="E940">
            <v>7796</v>
          </cell>
        </row>
        <row r="941">
          <cell r="B941">
            <v>39437</v>
          </cell>
          <cell r="E941">
            <v>7236</v>
          </cell>
        </row>
        <row r="942">
          <cell r="B942">
            <v>39444</v>
          </cell>
          <cell r="E942">
            <v>8150</v>
          </cell>
        </row>
        <row r="943">
          <cell r="B943">
            <v>39451</v>
          </cell>
          <cell r="E943">
            <v>7665</v>
          </cell>
        </row>
        <row r="944">
          <cell r="B944">
            <v>39458</v>
          </cell>
          <cell r="E944">
            <v>7881</v>
          </cell>
        </row>
        <row r="945">
          <cell r="B945">
            <v>39465</v>
          </cell>
          <cell r="E945">
            <v>7787</v>
          </cell>
        </row>
        <row r="946">
          <cell r="B946">
            <v>39472</v>
          </cell>
          <cell r="E946">
            <v>8453</v>
          </cell>
        </row>
        <row r="947">
          <cell r="B947">
            <v>39479</v>
          </cell>
          <cell r="E947">
            <v>8300</v>
          </cell>
        </row>
        <row r="948">
          <cell r="B948">
            <v>39486</v>
          </cell>
          <cell r="E948">
            <v>7600</v>
          </cell>
        </row>
        <row r="949">
          <cell r="B949">
            <v>39493</v>
          </cell>
          <cell r="E949">
            <v>7378</v>
          </cell>
        </row>
        <row r="950">
          <cell r="B950">
            <v>39500</v>
          </cell>
          <cell r="E950">
            <v>8794</v>
          </cell>
        </row>
        <row r="951">
          <cell r="B951">
            <v>39507</v>
          </cell>
          <cell r="E951">
            <v>9546</v>
          </cell>
        </row>
        <row r="952">
          <cell r="B952">
            <v>39514</v>
          </cell>
          <cell r="E952">
            <v>10037</v>
          </cell>
        </row>
        <row r="953">
          <cell r="B953">
            <v>39521</v>
          </cell>
          <cell r="E953">
            <v>9297</v>
          </cell>
        </row>
        <row r="954">
          <cell r="B954">
            <v>39528</v>
          </cell>
          <cell r="E954">
            <v>9715</v>
          </cell>
        </row>
        <row r="955">
          <cell r="B955">
            <v>39535</v>
          </cell>
          <cell r="E955">
            <v>11026</v>
          </cell>
        </row>
        <row r="956">
          <cell r="B956">
            <v>39542</v>
          </cell>
          <cell r="E956">
            <v>9396</v>
          </cell>
        </row>
        <row r="957">
          <cell r="B957">
            <v>39549</v>
          </cell>
          <cell r="E957">
            <v>9684</v>
          </cell>
        </row>
        <row r="958">
          <cell r="B958">
            <v>39556</v>
          </cell>
          <cell r="E958">
            <v>8027</v>
          </cell>
        </row>
        <row r="959">
          <cell r="B959">
            <v>39563</v>
          </cell>
          <cell r="E959">
            <v>9534</v>
          </cell>
        </row>
        <row r="960">
          <cell r="B960">
            <v>39570</v>
          </cell>
          <cell r="E960">
            <v>9220</v>
          </cell>
        </row>
        <row r="961">
          <cell r="B961">
            <v>39577</v>
          </cell>
          <cell r="E961">
            <v>8722</v>
          </cell>
        </row>
        <row r="962">
          <cell r="B962">
            <v>39584</v>
          </cell>
          <cell r="E962">
            <v>9988</v>
          </cell>
        </row>
        <row r="963">
          <cell r="B963">
            <v>39591</v>
          </cell>
          <cell r="E963">
            <v>9604</v>
          </cell>
        </row>
        <row r="964">
          <cell r="B964">
            <v>39598</v>
          </cell>
          <cell r="E964">
            <v>9892</v>
          </cell>
        </row>
        <row r="965">
          <cell r="B965">
            <v>39605</v>
          </cell>
          <cell r="E965">
            <v>9152</v>
          </cell>
        </row>
        <row r="966">
          <cell r="B966">
            <v>39612</v>
          </cell>
          <cell r="E966">
            <v>10235</v>
          </cell>
        </row>
        <row r="967">
          <cell r="B967">
            <v>39619</v>
          </cell>
          <cell r="E967">
            <v>9024</v>
          </cell>
        </row>
        <row r="968">
          <cell r="B968">
            <v>39626</v>
          </cell>
          <cell r="E968">
            <v>9240</v>
          </cell>
        </row>
        <row r="969">
          <cell r="B969">
            <v>39633</v>
          </cell>
          <cell r="E969">
            <v>8581</v>
          </cell>
        </row>
        <row r="970">
          <cell r="B970">
            <v>39640</v>
          </cell>
          <cell r="E970">
            <v>9568</v>
          </cell>
        </row>
        <row r="971">
          <cell r="B971">
            <v>39647</v>
          </cell>
          <cell r="E971">
            <v>10573</v>
          </cell>
        </row>
        <row r="972">
          <cell r="B972">
            <v>39654</v>
          </cell>
          <cell r="E972">
            <v>9490</v>
          </cell>
        </row>
        <row r="973">
          <cell r="B973">
            <v>39661</v>
          </cell>
          <cell r="E973">
            <v>10039</v>
          </cell>
        </row>
        <row r="974">
          <cell r="B974">
            <v>39668</v>
          </cell>
          <cell r="E974">
            <v>9948</v>
          </cell>
        </row>
        <row r="975">
          <cell r="B975">
            <v>39675</v>
          </cell>
          <cell r="E975">
            <v>10076</v>
          </cell>
        </row>
        <row r="976">
          <cell r="B976">
            <v>39682</v>
          </cell>
          <cell r="E976">
            <v>10507</v>
          </cell>
        </row>
        <row r="977">
          <cell r="B977">
            <v>39689</v>
          </cell>
          <cell r="E977">
            <v>10039</v>
          </cell>
        </row>
        <row r="978">
          <cell r="B978">
            <v>39696</v>
          </cell>
          <cell r="E978">
            <v>9289</v>
          </cell>
        </row>
        <row r="979">
          <cell r="B979">
            <v>39703</v>
          </cell>
          <cell r="E979">
            <v>8958</v>
          </cell>
        </row>
        <row r="980">
          <cell r="B980">
            <v>39710</v>
          </cell>
          <cell r="E980">
            <v>7798</v>
          </cell>
        </row>
        <row r="981">
          <cell r="B981">
            <v>39717</v>
          </cell>
          <cell r="E981">
            <v>8094</v>
          </cell>
        </row>
        <row r="982">
          <cell r="B982">
            <v>39724</v>
          </cell>
          <cell r="E982">
            <v>8404</v>
          </cell>
        </row>
        <row r="983">
          <cell r="B983">
            <v>39731</v>
          </cell>
          <cell r="E983">
            <v>9045</v>
          </cell>
        </row>
        <row r="984">
          <cell r="B984">
            <v>39738</v>
          </cell>
          <cell r="E984">
            <v>9499</v>
          </cell>
        </row>
        <row r="985">
          <cell r="B985">
            <v>39745</v>
          </cell>
          <cell r="E985">
            <v>9469</v>
          </cell>
        </row>
        <row r="986">
          <cell r="B986">
            <v>39752</v>
          </cell>
          <cell r="E986">
            <v>9568</v>
          </cell>
        </row>
        <row r="987">
          <cell r="B987">
            <v>39759</v>
          </cell>
          <cell r="E987">
            <v>9728</v>
          </cell>
        </row>
        <row r="988">
          <cell r="B988">
            <v>39766</v>
          </cell>
          <cell r="E988">
            <v>9375</v>
          </cell>
        </row>
        <row r="989">
          <cell r="B989">
            <v>39773</v>
          </cell>
          <cell r="E989">
            <v>8157</v>
          </cell>
        </row>
        <row r="990">
          <cell r="B990">
            <v>39780</v>
          </cell>
          <cell r="E990">
            <v>9051</v>
          </cell>
        </row>
        <row r="991">
          <cell r="B991">
            <v>39787</v>
          </cell>
          <cell r="E991">
            <v>8157</v>
          </cell>
        </row>
        <row r="992">
          <cell r="B992">
            <v>39794</v>
          </cell>
          <cell r="E992">
            <v>8455</v>
          </cell>
        </row>
        <row r="993">
          <cell r="B993">
            <v>39801</v>
          </cell>
          <cell r="E993">
            <v>9354</v>
          </cell>
        </row>
        <row r="994">
          <cell r="B994">
            <v>39808</v>
          </cell>
          <cell r="E994">
            <v>7572</v>
          </cell>
        </row>
        <row r="995">
          <cell r="B995">
            <v>39815</v>
          </cell>
          <cell r="E995">
            <v>8149</v>
          </cell>
        </row>
        <row r="996">
          <cell r="B996">
            <v>39822</v>
          </cell>
          <cell r="E996">
            <v>8189</v>
          </cell>
        </row>
        <row r="997">
          <cell r="B997">
            <v>39829</v>
          </cell>
          <cell r="E997">
            <v>9626</v>
          </cell>
        </row>
        <row r="998">
          <cell r="B998">
            <v>39836</v>
          </cell>
          <cell r="E998">
            <v>9187</v>
          </cell>
        </row>
        <row r="999">
          <cell r="B999">
            <v>39843</v>
          </cell>
          <cell r="E999">
            <v>8934</v>
          </cell>
        </row>
        <row r="1000">
          <cell r="B1000">
            <v>39850</v>
          </cell>
          <cell r="E1000">
            <v>7713</v>
          </cell>
        </row>
        <row r="1001">
          <cell r="B1001">
            <v>39857</v>
          </cell>
          <cell r="E1001">
            <v>8614</v>
          </cell>
        </row>
        <row r="1002">
          <cell r="B1002">
            <v>39864</v>
          </cell>
          <cell r="E1002">
            <v>9962</v>
          </cell>
        </row>
        <row r="1003">
          <cell r="B1003">
            <v>39871</v>
          </cell>
          <cell r="E1003">
            <v>8989</v>
          </cell>
        </row>
        <row r="1004">
          <cell r="B1004">
            <v>39878</v>
          </cell>
          <cell r="E1004">
            <v>9598</v>
          </cell>
        </row>
        <row r="1005">
          <cell r="B1005">
            <v>39885</v>
          </cell>
          <cell r="E1005">
            <v>8659</v>
          </cell>
        </row>
        <row r="1006">
          <cell r="B1006">
            <v>39892</v>
          </cell>
          <cell r="E1006">
            <v>8611</v>
          </cell>
        </row>
        <row r="1007">
          <cell r="B1007">
            <v>39899</v>
          </cell>
          <cell r="E1007">
            <v>9037</v>
          </cell>
        </row>
        <row r="1008">
          <cell r="B1008">
            <v>39906</v>
          </cell>
          <cell r="E1008">
            <v>9053</v>
          </cell>
        </row>
        <row r="1009">
          <cell r="B1009">
            <v>39913</v>
          </cell>
          <cell r="E1009">
            <v>8532</v>
          </cell>
        </row>
        <row r="1010">
          <cell r="B1010">
            <v>39920</v>
          </cell>
          <cell r="E1010">
            <v>8625</v>
          </cell>
        </row>
        <row r="1011">
          <cell r="B1011">
            <v>39927</v>
          </cell>
          <cell r="E1011">
            <v>9245</v>
          </cell>
        </row>
        <row r="1012">
          <cell r="B1012">
            <v>39934</v>
          </cell>
          <cell r="E1012">
            <v>8782</v>
          </cell>
        </row>
        <row r="1013">
          <cell r="B1013">
            <v>39941</v>
          </cell>
          <cell r="E1013">
            <v>9699</v>
          </cell>
        </row>
        <row r="1014">
          <cell r="B1014">
            <v>39948</v>
          </cell>
          <cell r="E1014">
            <v>9916</v>
          </cell>
        </row>
        <row r="1015">
          <cell r="B1015">
            <v>39955</v>
          </cell>
          <cell r="E1015">
            <v>9326</v>
          </cell>
        </row>
        <row r="1016">
          <cell r="B1016">
            <v>39962</v>
          </cell>
          <cell r="E1016">
            <v>9672</v>
          </cell>
        </row>
        <row r="1017">
          <cell r="B1017">
            <v>39969</v>
          </cell>
          <cell r="E1017">
            <v>9442</v>
          </cell>
        </row>
        <row r="1018">
          <cell r="B1018">
            <v>39976</v>
          </cell>
          <cell r="E1018">
            <v>9519</v>
          </cell>
        </row>
        <row r="1019">
          <cell r="B1019">
            <v>39983</v>
          </cell>
          <cell r="E1019">
            <v>10072</v>
          </cell>
        </row>
        <row r="1020">
          <cell r="B1020">
            <v>39990</v>
          </cell>
          <cell r="E1020">
            <v>11064</v>
          </cell>
        </row>
        <row r="1021">
          <cell r="B1021">
            <v>39997</v>
          </cell>
          <cell r="E1021">
            <v>9851</v>
          </cell>
        </row>
        <row r="1022">
          <cell r="B1022">
            <v>40004</v>
          </cell>
          <cell r="E1022">
            <v>10081</v>
          </cell>
        </row>
        <row r="1023">
          <cell r="B1023">
            <v>40011</v>
          </cell>
          <cell r="E1023">
            <v>9949</v>
          </cell>
        </row>
        <row r="1024">
          <cell r="B1024">
            <v>40018</v>
          </cell>
          <cell r="E1024">
            <v>11551</v>
          </cell>
        </row>
        <row r="1025">
          <cell r="B1025">
            <v>40025</v>
          </cell>
          <cell r="E1025">
            <v>10116</v>
          </cell>
        </row>
        <row r="1026">
          <cell r="B1026">
            <v>40032</v>
          </cell>
          <cell r="E1026">
            <v>10404</v>
          </cell>
        </row>
        <row r="1027">
          <cell r="B1027">
            <v>40039</v>
          </cell>
          <cell r="E1027">
            <v>10626</v>
          </cell>
        </row>
        <row r="1028">
          <cell r="B1028">
            <v>40046</v>
          </cell>
          <cell r="E1028">
            <v>10393</v>
          </cell>
        </row>
        <row r="1029">
          <cell r="B1029">
            <v>40053</v>
          </cell>
          <cell r="E1029">
            <v>10216</v>
          </cell>
        </row>
        <row r="1030">
          <cell r="B1030">
            <v>40060</v>
          </cell>
          <cell r="E1030">
            <v>9406</v>
          </cell>
        </row>
        <row r="1031">
          <cell r="B1031">
            <v>40067</v>
          </cell>
          <cell r="E1031">
            <v>9077</v>
          </cell>
        </row>
        <row r="1032">
          <cell r="B1032">
            <v>40074</v>
          </cell>
          <cell r="E1032">
            <v>9743</v>
          </cell>
        </row>
        <row r="1033">
          <cell r="B1033">
            <v>40081</v>
          </cell>
          <cell r="E1033">
            <v>10853</v>
          </cell>
        </row>
        <row r="1034">
          <cell r="B1034">
            <v>40088</v>
          </cell>
          <cell r="E1034">
            <v>9376</v>
          </cell>
        </row>
        <row r="1035">
          <cell r="B1035">
            <v>40095</v>
          </cell>
          <cell r="E1035">
            <v>9825</v>
          </cell>
        </row>
        <row r="1036">
          <cell r="B1036">
            <v>40102</v>
          </cell>
          <cell r="E1036">
            <v>10121</v>
          </cell>
        </row>
        <row r="1037">
          <cell r="B1037">
            <v>40109</v>
          </cell>
          <cell r="E1037">
            <v>10772</v>
          </cell>
        </row>
        <row r="1038">
          <cell r="B1038">
            <v>40116</v>
          </cell>
          <cell r="E1038">
            <v>9597</v>
          </cell>
        </row>
        <row r="1039">
          <cell r="B1039">
            <v>40123</v>
          </cell>
          <cell r="E1039">
            <v>9438</v>
          </cell>
        </row>
        <row r="1040">
          <cell r="B1040">
            <v>40130</v>
          </cell>
          <cell r="E1040">
            <v>8685</v>
          </cell>
        </row>
        <row r="1041">
          <cell r="B1041">
            <v>40137</v>
          </cell>
          <cell r="E1041">
            <v>11155</v>
          </cell>
        </row>
        <row r="1042">
          <cell r="B1042">
            <v>40144</v>
          </cell>
          <cell r="E1042">
            <v>10004</v>
          </cell>
        </row>
        <row r="1043">
          <cell r="B1043">
            <v>40151</v>
          </cell>
          <cell r="E1043">
            <v>10140</v>
          </cell>
        </row>
        <row r="1044">
          <cell r="B1044">
            <v>40158</v>
          </cell>
          <cell r="E1044">
            <v>10288</v>
          </cell>
        </row>
        <row r="1045">
          <cell r="B1045">
            <v>40165</v>
          </cell>
          <cell r="E1045">
            <v>10542</v>
          </cell>
        </row>
        <row r="1046">
          <cell r="B1046">
            <v>40172</v>
          </cell>
          <cell r="E1046">
            <v>9454</v>
          </cell>
        </row>
        <row r="1047">
          <cell r="B1047">
            <v>40179</v>
          </cell>
          <cell r="E1047">
            <v>11112</v>
          </cell>
        </row>
        <row r="1048">
          <cell r="B1048">
            <v>40186</v>
          </cell>
          <cell r="E1048">
            <v>10565</v>
          </cell>
        </row>
        <row r="1049">
          <cell r="B1049">
            <v>40193</v>
          </cell>
          <cell r="E1049">
            <v>9833</v>
          </cell>
        </row>
        <row r="1050">
          <cell r="B1050">
            <v>40200</v>
          </cell>
          <cell r="E1050">
            <v>10489</v>
          </cell>
        </row>
        <row r="1051">
          <cell r="B1051">
            <v>40207</v>
          </cell>
          <cell r="E1051">
            <v>9624</v>
          </cell>
        </row>
        <row r="1052">
          <cell r="B1052">
            <v>40214</v>
          </cell>
          <cell r="E1052">
            <v>9104</v>
          </cell>
        </row>
        <row r="1053">
          <cell r="B1053">
            <v>40221</v>
          </cell>
          <cell r="E1053">
            <v>9689</v>
          </cell>
        </row>
        <row r="1054">
          <cell r="B1054">
            <v>40228</v>
          </cell>
          <cell r="E1054">
            <v>9520</v>
          </cell>
        </row>
        <row r="1055">
          <cell r="B1055">
            <v>40235</v>
          </cell>
          <cell r="E1055">
            <v>10627</v>
          </cell>
        </row>
        <row r="1056">
          <cell r="B1056">
            <v>40242</v>
          </cell>
          <cell r="E1056">
            <v>10806</v>
          </cell>
        </row>
        <row r="1057">
          <cell r="B1057">
            <v>40249</v>
          </cell>
          <cell r="E1057">
            <v>9691</v>
          </cell>
        </row>
        <row r="1058">
          <cell r="B1058">
            <v>40256</v>
          </cell>
          <cell r="E1058">
            <v>10467</v>
          </cell>
        </row>
        <row r="1059">
          <cell r="B1059">
            <v>40263</v>
          </cell>
          <cell r="E1059">
            <v>12268</v>
          </cell>
        </row>
        <row r="1060">
          <cell r="B1060">
            <v>40270</v>
          </cell>
          <cell r="E1060">
            <v>12032</v>
          </cell>
        </row>
        <row r="1061">
          <cell r="B1061">
            <v>40277</v>
          </cell>
          <cell r="E1061">
            <v>11453</v>
          </cell>
        </row>
        <row r="1062">
          <cell r="B1062">
            <v>40284</v>
          </cell>
          <cell r="E1062">
            <v>10900</v>
          </cell>
        </row>
        <row r="1063">
          <cell r="B1063">
            <v>40291</v>
          </cell>
          <cell r="E1063">
            <v>11387</v>
          </cell>
        </row>
        <row r="1064">
          <cell r="B1064">
            <v>40298</v>
          </cell>
          <cell r="E1064">
            <v>11675</v>
          </cell>
        </row>
        <row r="1065">
          <cell r="B1065">
            <v>40305</v>
          </cell>
          <cell r="E1065">
            <v>10913</v>
          </cell>
        </row>
        <row r="1066">
          <cell r="B1066">
            <v>40312</v>
          </cell>
          <cell r="E1066">
            <v>10697</v>
          </cell>
        </row>
        <row r="1067">
          <cell r="B1067">
            <v>40319</v>
          </cell>
          <cell r="E1067">
            <v>9471</v>
          </cell>
        </row>
        <row r="1068">
          <cell r="B1068">
            <v>40326</v>
          </cell>
          <cell r="E1068">
            <v>10999</v>
          </cell>
        </row>
        <row r="1069">
          <cell r="B1069">
            <v>40333</v>
          </cell>
          <cell r="E1069">
            <v>10482</v>
          </cell>
        </row>
        <row r="1070">
          <cell r="B1070">
            <v>40340</v>
          </cell>
          <cell r="E1070">
            <v>10713</v>
          </cell>
        </row>
        <row r="1071">
          <cell r="B1071">
            <v>40347</v>
          </cell>
          <cell r="E1071">
            <v>10306</v>
          </cell>
        </row>
        <row r="1072">
          <cell r="B1072">
            <v>40354</v>
          </cell>
          <cell r="E1072">
            <v>11424</v>
          </cell>
        </row>
        <row r="1073">
          <cell r="B1073">
            <v>40361</v>
          </cell>
          <cell r="E1073">
            <v>11483</v>
          </cell>
        </row>
        <row r="1074">
          <cell r="B1074">
            <v>40368</v>
          </cell>
          <cell r="E1074">
            <v>10939</v>
          </cell>
        </row>
        <row r="1075">
          <cell r="B1075">
            <v>40375</v>
          </cell>
          <cell r="E1075">
            <v>11530</v>
          </cell>
        </row>
        <row r="1076">
          <cell r="B1076">
            <v>40382</v>
          </cell>
          <cell r="E1076">
            <v>9861</v>
          </cell>
        </row>
        <row r="1077">
          <cell r="B1077">
            <v>40389</v>
          </cell>
          <cell r="E1077">
            <v>10782</v>
          </cell>
        </row>
        <row r="1078">
          <cell r="B1078">
            <v>40396</v>
          </cell>
          <cell r="E1078">
            <v>11050</v>
          </cell>
        </row>
        <row r="1079">
          <cell r="B1079">
            <v>40403</v>
          </cell>
          <cell r="E1079">
            <v>10670</v>
          </cell>
        </row>
        <row r="1080">
          <cell r="B1080">
            <v>40410</v>
          </cell>
          <cell r="E1080">
            <v>10140</v>
          </cell>
        </row>
        <row r="1081">
          <cell r="B1081">
            <v>40417</v>
          </cell>
          <cell r="E1081">
            <v>11626</v>
          </cell>
        </row>
        <row r="1082">
          <cell r="B1082">
            <v>40424</v>
          </cell>
          <cell r="E1082">
            <v>11862</v>
          </cell>
        </row>
        <row r="1083">
          <cell r="B1083">
            <v>40431</v>
          </cell>
          <cell r="E1083">
            <v>10560</v>
          </cell>
        </row>
        <row r="1084">
          <cell r="B1084">
            <v>40438</v>
          </cell>
          <cell r="E1084">
            <v>9422</v>
          </cell>
        </row>
        <row r="1085">
          <cell r="B1085">
            <v>40445</v>
          </cell>
          <cell r="E1085">
            <v>11355</v>
          </cell>
        </row>
        <row r="1086">
          <cell r="B1086">
            <v>40452</v>
          </cell>
          <cell r="E1086">
            <v>12275</v>
          </cell>
        </row>
        <row r="1087">
          <cell r="B1087">
            <v>40459</v>
          </cell>
          <cell r="E1087">
            <v>11048</v>
          </cell>
        </row>
        <row r="1088">
          <cell r="B1088">
            <v>40466</v>
          </cell>
          <cell r="E1088">
            <v>10401</v>
          </cell>
        </row>
        <row r="1089">
          <cell r="B1089">
            <v>40473</v>
          </cell>
          <cell r="E1089">
            <v>10831</v>
          </cell>
        </row>
        <row r="1090">
          <cell r="B1090">
            <v>40480</v>
          </cell>
          <cell r="E1090">
            <v>9761</v>
          </cell>
        </row>
        <row r="1091">
          <cell r="B1091">
            <v>40487</v>
          </cell>
          <cell r="E1091">
            <v>9110</v>
          </cell>
        </row>
        <row r="1092">
          <cell r="B1092">
            <v>40494</v>
          </cell>
          <cell r="E1092">
            <v>9733</v>
          </cell>
        </row>
        <row r="1093">
          <cell r="B1093">
            <v>40501</v>
          </cell>
          <cell r="E1093">
            <v>10356</v>
          </cell>
        </row>
        <row r="1094">
          <cell r="B1094">
            <v>40508</v>
          </cell>
          <cell r="E1094">
            <v>10407</v>
          </cell>
        </row>
        <row r="1095">
          <cell r="B1095">
            <v>40515</v>
          </cell>
          <cell r="E1095">
            <v>10657</v>
          </cell>
        </row>
        <row r="1096">
          <cell r="B1096">
            <v>40522</v>
          </cell>
          <cell r="E1096">
            <v>10064</v>
          </cell>
        </row>
        <row r="1097">
          <cell r="B1097">
            <v>40529</v>
          </cell>
          <cell r="E1097">
            <v>10594</v>
          </cell>
        </row>
        <row r="1098">
          <cell r="B1098">
            <v>40536</v>
          </cell>
          <cell r="E1098">
            <v>9223</v>
          </cell>
        </row>
        <row r="1099">
          <cell r="B1099">
            <v>40543</v>
          </cell>
          <cell r="E1099">
            <v>9375</v>
          </cell>
        </row>
        <row r="1100">
          <cell r="B1100">
            <v>40550</v>
          </cell>
          <cell r="E1100">
            <v>10592</v>
          </cell>
        </row>
        <row r="1101">
          <cell r="B1101">
            <v>40557</v>
          </cell>
          <cell r="E1101">
            <v>10514</v>
          </cell>
        </row>
        <row r="1102">
          <cell r="B1102">
            <v>40564</v>
          </cell>
          <cell r="E1102">
            <v>9871</v>
          </cell>
        </row>
        <row r="1103">
          <cell r="B1103">
            <v>40571</v>
          </cell>
          <cell r="E1103">
            <v>9405</v>
          </cell>
        </row>
        <row r="1104">
          <cell r="B1104">
            <v>40578</v>
          </cell>
          <cell r="E1104">
            <v>10940</v>
          </cell>
        </row>
        <row r="1105">
          <cell r="B1105">
            <v>40585</v>
          </cell>
          <cell r="E1105">
            <v>10738</v>
          </cell>
        </row>
        <row r="1106">
          <cell r="B1106">
            <v>40592</v>
          </cell>
          <cell r="E1106">
            <v>10170</v>
          </cell>
        </row>
        <row r="1107">
          <cell r="B1107">
            <v>40599</v>
          </cell>
          <cell r="E1107">
            <v>9721</v>
          </cell>
        </row>
        <row r="1108">
          <cell r="B1108">
            <v>40606</v>
          </cell>
          <cell r="E1108">
            <v>10271</v>
          </cell>
        </row>
        <row r="1109">
          <cell r="B1109">
            <v>40613</v>
          </cell>
          <cell r="E1109">
            <v>12342</v>
          </cell>
        </row>
        <row r="1110">
          <cell r="B1110">
            <v>40620</v>
          </cell>
          <cell r="E1110">
            <v>11815</v>
          </cell>
        </row>
        <row r="1111">
          <cell r="B1111">
            <v>40627</v>
          </cell>
          <cell r="E1111">
            <v>12064</v>
          </cell>
        </row>
        <row r="1112">
          <cell r="B1112">
            <v>40634</v>
          </cell>
          <cell r="E1112">
            <v>11981</v>
          </cell>
        </row>
        <row r="1113">
          <cell r="B1113">
            <v>40641</v>
          </cell>
          <cell r="E1113">
            <v>11659</v>
          </cell>
        </row>
        <row r="1114">
          <cell r="B1114">
            <v>40648</v>
          </cell>
          <cell r="E1114">
            <v>12382</v>
          </cell>
        </row>
        <row r="1115">
          <cell r="B1115">
            <v>40655</v>
          </cell>
          <cell r="E1115">
            <v>11368</v>
          </cell>
        </row>
        <row r="1116">
          <cell r="B1116">
            <v>40662</v>
          </cell>
          <cell r="E1116">
            <v>10733</v>
          </cell>
        </row>
        <row r="1117">
          <cell r="B1117">
            <v>40669</v>
          </cell>
          <cell r="E1117">
            <v>10278</v>
          </cell>
        </row>
        <row r="1118">
          <cell r="B1118">
            <v>40676</v>
          </cell>
          <cell r="E1118">
            <v>10100</v>
          </cell>
        </row>
        <row r="1119">
          <cell r="B1119">
            <v>40683</v>
          </cell>
          <cell r="E1119">
            <v>9170</v>
          </cell>
        </row>
        <row r="1120">
          <cell r="B1120">
            <v>40690</v>
          </cell>
          <cell r="E1120">
            <v>10365</v>
          </cell>
        </row>
        <row r="1121">
          <cell r="B1121">
            <v>40697</v>
          </cell>
          <cell r="E1121">
            <v>9463</v>
          </cell>
        </row>
        <row r="1122">
          <cell r="B1122">
            <v>40704</v>
          </cell>
          <cell r="E1122">
            <v>9253</v>
          </cell>
        </row>
        <row r="1123">
          <cell r="B1123">
            <v>40711</v>
          </cell>
          <cell r="E1123">
            <v>9600</v>
          </cell>
        </row>
        <row r="1124">
          <cell r="B1124">
            <v>40718</v>
          </cell>
          <cell r="E1124">
            <v>9844</v>
          </cell>
        </row>
        <row r="1125">
          <cell r="B1125">
            <v>40725</v>
          </cell>
          <cell r="E1125">
            <v>9523</v>
          </cell>
        </row>
        <row r="1126">
          <cell r="B1126">
            <v>40732</v>
          </cell>
          <cell r="E1126">
            <v>9745</v>
          </cell>
        </row>
        <row r="1127">
          <cell r="B1127">
            <v>40739</v>
          </cell>
          <cell r="E1127">
            <v>9428</v>
          </cell>
        </row>
        <row r="1128">
          <cell r="B1128">
            <v>40746</v>
          </cell>
          <cell r="E1128">
            <v>10544</v>
          </cell>
        </row>
        <row r="1129">
          <cell r="B1129">
            <v>40753</v>
          </cell>
          <cell r="E1129">
            <v>9582</v>
          </cell>
        </row>
        <row r="1130">
          <cell r="B1130">
            <v>40760</v>
          </cell>
          <cell r="E1130">
            <v>8929</v>
          </cell>
        </row>
        <row r="1131">
          <cell r="B1131">
            <v>40767</v>
          </cell>
          <cell r="E1131">
            <v>9973</v>
          </cell>
        </row>
        <row r="1132">
          <cell r="B1132">
            <v>40774</v>
          </cell>
          <cell r="E1132">
            <v>9817</v>
          </cell>
        </row>
        <row r="1133">
          <cell r="B1133">
            <v>40781</v>
          </cell>
          <cell r="E1133">
            <v>8780</v>
          </cell>
        </row>
        <row r="1134">
          <cell r="B1134">
            <v>40788</v>
          </cell>
          <cell r="E1134">
            <v>9157</v>
          </cell>
        </row>
        <row r="1135">
          <cell r="B1135">
            <v>40795</v>
          </cell>
          <cell r="E1135">
            <v>8436</v>
          </cell>
        </row>
        <row r="1136">
          <cell r="B1136">
            <v>40802</v>
          </cell>
          <cell r="E1136">
            <v>9061</v>
          </cell>
        </row>
        <row r="1137">
          <cell r="B1137">
            <v>40809</v>
          </cell>
          <cell r="E1137">
            <v>9455</v>
          </cell>
        </row>
        <row r="1138">
          <cell r="B1138">
            <v>40816</v>
          </cell>
          <cell r="E1138">
            <v>10318</v>
          </cell>
        </row>
        <row r="1139">
          <cell r="B1139">
            <v>40823</v>
          </cell>
          <cell r="E1139">
            <v>9010</v>
          </cell>
        </row>
        <row r="1140">
          <cell r="B1140">
            <v>40830</v>
          </cell>
          <cell r="E1140">
            <v>9269</v>
          </cell>
        </row>
        <row r="1141">
          <cell r="B1141">
            <v>40837</v>
          </cell>
          <cell r="E1141">
            <v>9945</v>
          </cell>
        </row>
        <row r="1142">
          <cell r="B1142">
            <v>40844</v>
          </cell>
          <cell r="E1142">
            <v>11677</v>
          </cell>
        </row>
        <row r="1143">
          <cell r="B1143">
            <v>40851</v>
          </cell>
          <cell r="E1143">
            <v>10146</v>
          </cell>
        </row>
        <row r="1144">
          <cell r="B1144">
            <v>40858</v>
          </cell>
          <cell r="E1144">
            <v>9854</v>
          </cell>
        </row>
        <row r="1145">
          <cell r="B1145">
            <v>40865</v>
          </cell>
          <cell r="E1145">
            <v>11643</v>
          </cell>
        </row>
        <row r="1146">
          <cell r="B1146">
            <v>40872</v>
          </cell>
          <cell r="E1146">
            <v>12219</v>
          </cell>
        </row>
        <row r="1147">
          <cell r="B1147">
            <v>40879</v>
          </cell>
          <cell r="E1147">
            <v>11417</v>
          </cell>
        </row>
        <row r="1148">
          <cell r="B1148">
            <v>40886</v>
          </cell>
          <cell r="E1148">
            <v>11984</v>
          </cell>
        </row>
        <row r="1149">
          <cell r="B1149">
            <v>40893</v>
          </cell>
          <cell r="E1149">
            <v>10995</v>
          </cell>
        </row>
        <row r="1150">
          <cell r="B1150">
            <v>40900</v>
          </cell>
          <cell r="E1150">
            <v>10146</v>
          </cell>
        </row>
        <row r="1151">
          <cell r="B1151">
            <v>40907</v>
          </cell>
          <cell r="E1151">
            <v>10720</v>
          </cell>
        </row>
        <row r="1152">
          <cell r="B1152">
            <v>40914</v>
          </cell>
          <cell r="E1152">
            <v>10590</v>
          </cell>
        </row>
        <row r="1153">
          <cell r="B1153">
            <v>40921</v>
          </cell>
          <cell r="E1153">
            <v>11045</v>
          </cell>
        </row>
        <row r="1154">
          <cell r="B1154">
            <v>40928</v>
          </cell>
          <cell r="E1154">
            <v>11054</v>
          </cell>
        </row>
        <row r="1155">
          <cell r="B1155">
            <v>40935</v>
          </cell>
          <cell r="E1155">
            <v>9960</v>
          </cell>
        </row>
        <row r="1156">
          <cell r="B1156">
            <v>40942</v>
          </cell>
          <cell r="E1156">
            <v>12144</v>
          </cell>
        </row>
        <row r="1157">
          <cell r="B1157">
            <v>40949</v>
          </cell>
          <cell r="E1157">
            <v>10544</v>
          </cell>
        </row>
        <row r="1158">
          <cell r="B1158">
            <v>40956</v>
          </cell>
          <cell r="E1158">
            <v>11254</v>
          </cell>
        </row>
        <row r="1159">
          <cell r="B1159">
            <v>40963</v>
          </cell>
          <cell r="E1159">
            <v>11698</v>
          </cell>
        </row>
        <row r="1160">
          <cell r="B1160">
            <v>40970</v>
          </cell>
          <cell r="E1160">
            <v>11079</v>
          </cell>
        </row>
        <row r="1161">
          <cell r="B1161">
            <v>40977</v>
          </cell>
          <cell r="E1161">
            <v>10123</v>
          </cell>
        </row>
        <row r="1162">
          <cell r="B1162">
            <v>40984</v>
          </cell>
          <cell r="E1162">
            <v>10101</v>
          </cell>
        </row>
        <row r="1163">
          <cell r="B1163">
            <v>40991</v>
          </cell>
          <cell r="E1163">
            <v>10100</v>
          </cell>
        </row>
        <row r="1164">
          <cell r="B1164">
            <v>40998</v>
          </cell>
          <cell r="E1164">
            <v>10781</v>
          </cell>
        </row>
        <row r="1165">
          <cell r="B1165">
            <v>41005</v>
          </cell>
          <cell r="E1165">
            <v>10786</v>
          </cell>
        </row>
        <row r="1166">
          <cell r="B1166">
            <v>41012</v>
          </cell>
          <cell r="E1166">
            <v>10724</v>
          </cell>
        </row>
        <row r="1167">
          <cell r="B1167">
            <v>41019</v>
          </cell>
          <cell r="E1167">
            <v>10384</v>
          </cell>
        </row>
        <row r="1168">
          <cell r="B1168">
            <v>41026</v>
          </cell>
          <cell r="E1168">
            <v>10396</v>
          </cell>
        </row>
        <row r="1169">
          <cell r="B1169">
            <v>41033</v>
          </cell>
          <cell r="E1169">
            <v>10208</v>
          </cell>
        </row>
        <row r="1170">
          <cell r="B1170">
            <v>41040</v>
          </cell>
          <cell r="E1170">
            <v>9585</v>
          </cell>
        </row>
        <row r="1171">
          <cell r="B1171">
            <v>41047</v>
          </cell>
          <cell r="E1171">
            <v>8740</v>
          </cell>
        </row>
        <row r="1172">
          <cell r="B1172">
            <v>41054</v>
          </cell>
          <cell r="E1172">
            <v>8749</v>
          </cell>
        </row>
        <row r="1173">
          <cell r="B1173">
            <v>41061</v>
          </cell>
          <cell r="E1173">
            <v>10011</v>
          </cell>
        </row>
        <row r="1174">
          <cell r="B1174">
            <v>41068</v>
          </cell>
          <cell r="E1174">
            <v>11464</v>
          </cell>
        </row>
        <row r="1175">
          <cell r="B1175">
            <v>41075</v>
          </cell>
          <cell r="E1175">
            <v>11241</v>
          </cell>
        </row>
        <row r="1176">
          <cell r="B1176">
            <v>41082</v>
          </cell>
          <cell r="E1176">
            <v>10978</v>
          </cell>
        </row>
        <row r="1177">
          <cell r="B1177">
            <v>41089</v>
          </cell>
          <cell r="E1177">
            <v>11379</v>
          </cell>
        </row>
        <row r="1178">
          <cell r="B1178">
            <v>41096</v>
          </cell>
          <cell r="E1178">
            <v>10213</v>
          </cell>
        </row>
        <row r="1179">
          <cell r="B1179">
            <v>41103</v>
          </cell>
          <cell r="E1179">
            <v>9649</v>
          </cell>
        </row>
        <row r="1180">
          <cell r="B1180">
            <v>41110</v>
          </cell>
          <cell r="E1180">
            <v>9337</v>
          </cell>
        </row>
        <row r="1181">
          <cell r="B1181">
            <v>41117</v>
          </cell>
          <cell r="E1181">
            <v>10318</v>
          </cell>
        </row>
        <row r="1182">
          <cell r="B1182">
            <v>41124</v>
          </cell>
          <cell r="E1182">
            <v>9271</v>
          </cell>
        </row>
        <row r="1183">
          <cell r="B1183">
            <v>41131</v>
          </cell>
          <cell r="E1183">
            <v>9523</v>
          </cell>
        </row>
        <row r="1184">
          <cell r="B1184">
            <v>41138</v>
          </cell>
          <cell r="E1184">
            <v>8324</v>
          </cell>
        </row>
        <row r="1185">
          <cell r="B1185">
            <v>41145</v>
          </cell>
          <cell r="E1185">
            <v>8283</v>
          </cell>
        </row>
        <row r="1186">
          <cell r="B1186">
            <v>41152</v>
          </cell>
          <cell r="E1186">
            <v>9453</v>
          </cell>
        </row>
        <row r="1187">
          <cell r="B1187">
            <v>41159</v>
          </cell>
          <cell r="E1187">
            <v>9522</v>
          </cell>
        </row>
        <row r="1188">
          <cell r="B1188">
            <v>41166</v>
          </cell>
          <cell r="E1188">
            <v>8611</v>
          </cell>
        </row>
        <row r="1189">
          <cell r="B1189">
            <v>41173</v>
          </cell>
          <cell r="E1189">
            <v>9733</v>
          </cell>
        </row>
        <row r="1190">
          <cell r="B1190">
            <v>41180</v>
          </cell>
          <cell r="E1190">
            <v>10444</v>
          </cell>
        </row>
        <row r="1191">
          <cell r="B1191">
            <v>41187</v>
          </cell>
          <cell r="E1191">
            <v>10129</v>
          </cell>
        </row>
        <row r="1192">
          <cell r="B1192">
            <v>41194</v>
          </cell>
          <cell r="E1192">
            <v>11363</v>
          </cell>
        </row>
        <row r="1193">
          <cell r="B1193">
            <v>41201</v>
          </cell>
          <cell r="E1193">
            <v>8986</v>
          </cell>
        </row>
        <row r="1194">
          <cell r="B1194">
            <v>41208</v>
          </cell>
          <cell r="E1194">
            <v>9180</v>
          </cell>
        </row>
        <row r="1195">
          <cell r="B1195">
            <v>41215</v>
          </cell>
          <cell r="E1195">
            <v>9213</v>
          </cell>
        </row>
        <row r="1196">
          <cell r="B1196">
            <v>41222</v>
          </cell>
          <cell r="E1196">
            <v>10146</v>
          </cell>
        </row>
        <row r="1197">
          <cell r="B1197">
            <v>41229</v>
          </cell>
          <cell r="E1197">
            <v>10998</v>
          </cell>
        </row>
        <row r="1198">
          <cell r="B1198">
            <v>41236</v>
          </cell>
          <cell r="E1198">
            <v>9443</v>
          </cell>
        </row>
        <row r="1199">
          <cell r="B1199">
            <v>41243</v>
          </cell>
          <cell r="E1199">
            <v>10077</v>
          </cell>
        </row>
        <row r="1200">
          <cell r="B1200">
            <v>41250</v>
          </cell>
          <cell r="E1200">
            <v>9110</v>
          </cell>
        </row>
        <row r="1201">
          <cell r="B1201">
            <v>41257</v>
          </cell>
          <cell r="E1201">
            <v>9599</v>
          </cell>
        </row>
        <row r="1202">
          <cell r="B1202">
            <v>41264</v>
          </cell>
          <cell r="E1202">
            <v>9369</v>
          </cell>
        </row>
        <row r="1203">
          <cell r="B1203">
            <v>41271</v>
          </cell>
          <cell r="E1203">
            <v>10307</v>
          </cell>
        </row>
        <row r="1204">
          <cell r="B1204">
            <v>41278</v>
          </cell>
          <cell r="E1204">
            <v>11547</v>
          </cell>
        </row>
        <row r="1205">
          <cell r="B1205">
            <v>41285</v>
          </cell>
          <cell r="E1205">
            <v>11055</v>
          </cell>
        </row>
        <row r="1206">
          <cell r="B1206">
            <v>41292</v>
          </cell>
          <cell r="E1206">
            <v>11114</v>
          </cell>
        </row>
        <row r="1207">
          <cell r="B1207">
            <v>41299</v>
          </cell>
          <cell r="E1207">
            <v>10814</v>
          </cell>
        </row>
        <row r="1208">
          <cell r="B1208">
            <v>41306</v>
          </cell>
          <cell r="E1208">
            <v>9696</v>
          </cell>
        </row>
        <row r="1209">
          <cell r="B1209">
            <v>41313</v>
          </cell>
          <cell r="E1209">
            <v>9547</v>
          </cell>
        </row>
        <row r="1210">
          <cell r="B1210">
            <v>41320</v>
          </cell>
          <cell r="E1210">
            <v>10736</v>
          </cell>
        </row>
        <row r="1211">
          <cell r="B1211">
            <v>41327</v>
          </cell>
          <cell r="E1211">
            <v>10636</v>
          </cell>
        </row>
        <row r="1212">
          <cell r="B1212">
            <v>41334</v>
          </cell>
          <cell r="E1212">
            <v>9995</v>
          </cell>
        </row>
        <row r="1213">
          <cell r="B1213">
            <v>41341</v>
          </cell>
          <cell r="E1213">
            <v>9757</v>
          </cell>
        </row>
        <row r="1214">
          <cell r="B1214">
            <v>41348</v>
          </cell>
          <cell r="E1214">
            <v>11081</v>
          </cell>
        </row>
        <row r="1215">
          <cell r="B1215">
            <v>41355</v>
          </cell>
          <cell r="E1215">
            <v>10671</v>
          </cell>
        </row>
        <row r="1216">
          <cell r="B1216">
            <v>41362</v>
          </cell>
          <cell r="E1216">
            <v>11399</v>
          </cell>
        </row>
        <row r="1217">
          <cell r="B1217">
            <v>41369</v>
          </cell>
          <cell r="E1217">
            <v>10198</v>
          </cell>
        </row>
        <row r="1218">
          <cell r="B1218">
            <v>41376</v>
          </cell>
          <cell r="E1218">
            <v>10624</v>
          </cell>
        </row>
        <row r="1219">
          <cell r="B1219">
            <v>41383</v>
          </cell>
          <cell r="E1219">
            <v>11570</v>
          </cell>
        </row>
        <row r="1220">
          <cell r="B1220">
            <v>41390</v>
          </cell>
          <cell r="E1220">
            <v>11703</v>
          </cell>
        </row>
        <row r="1221">
          <cell r="B1221">
            <v>41397</v>
          </cell>
          <cell r="E1221">
            <v>10173</v>
          </cell>
        </row>
        <row r="1222">
          <cell r="B1222">
            <v>41404</v>
          </cell>
          <cell r="E1222">
            <v>9650</v>
          </cell>
        </row>
        <row r="1223">
          <cell r="B1223">
            <v>41411</v>
          </cell>
          <cell r="E1223">
            <v>10450</v>
          </cell>
        </row>
        <row r="1224">
          <cell r="B1224">
            <v>41418</v>
          </cell>
          <cell r="E1224">
            <v>9843</v>
          </cell>
        </row>
        <row r="1225">
          <cell r="B1225">
            <v>41425</v>
          </cell>
          <cell r="E1225">
            <v>10181</v>
          </cell>
        </row>
        <row r="1226">
          <cell r="B1226">
            <v>41432</v>
          </cell>
          <cell r="E1226">
            <v>8349</v>
          </cell>
        </row>
        <row r="1227">
          <cell r="B1227">
            <v>41439</v>
          </cell>
          <cell r="E1227">
            <v>8404</v>
          </cell>
        </row>
        <row r="1228">
          <cell r="B1228">
            <v>41446</v>
          </cell>
          <cell r="E1228">
            <v>8920</v>
          </cell>
        </row>
        <row r="1229">
          <cell r="B1229">
            <v>41453</v>
          </cell>
          <cell r="E1229">
            <v>9228</v>
          </cell>
        </row>
        <row r="1230">
          <cell r="B1230">
            <v>41460</v>
          </cell>
          <cell r="E1230">
            <v>8526</v>
          </cell>
        </row>
        <row r="1231">
          <cell r="B1231">
            <v>41467</v>
          </cell>
          <cell r="E1231">
            <v>8024</v>
          </cell>
        </row>
        <row r="1232">
          <cell r="B1232">
            <v>41474</v>
          </cell>
          <cell r="E1232">
            <v>9096</v>
          </cell>
        </row>
        <row r="1233">
          <cell r="B1233">
            <v>41481</v>
          </cell>
          <cell r="E1233">
            <v>8993</v>
          </cell>
        </row>
        <row r="1234">
          <cell r="B1234">
            <v>41488</v>
          </cell>
          <cell r="E1234">
            <v>8063</v>
          </cell>
        </row>
        <row r="1235">
          <cell r="B1235">
            <v>41495</v>
          </cell>
          <cell r="E1235">
            <v>9295</v>
          </cell>
        </row>
        <row r="1236">
          <cell r="B1236">
            <v>41502</v>
          </cell>
          <cell r="E1236">
            <v>10234</v>
          </cell>
        </row>
        <row r="1237">
          <cell r="B1237">
            <v>41509</v>
          </cell>
          <cell r="E1237">
            <v>10037</v>
          </cell>
        </row>
        <row r="1238">
          <cell r="B1238">
            <v>41516</v>
          </cell>
          <cell r="E1238">
            <v>11261</v>
          </cell>
        </row>
        <row r="1239">
          <cell r="B1239">
            <v>41523</v>
          </cell>
          <cell r="E1239">
            <v>10767</v>
          </cell>
        </row>
        <row r="1240">
          <cell r="B1240">
            <v>41530</v>
          </cell>
          <cell r="E1240">
            <v>11105</v>
          </cell>
        </row>
        <row r="1241">
          <cell r="B1241">
            <v>41537</v>
          </cell>
          <cell r="E1241">
            <v>11234</v>
          </cell>
        </row>
        <row r="1242">
          <cell r="B1242">
            <v>41544</v>
          </cell>
          <cell r="E1242">
            <v>10406</v>
          </cell>
        </row>
        <row r="1243">
          <cell r="B1243">
            <v>41551</v>
          </cell>
          <cell r="E1243">
            <v>11313</v>
          </cell>
        </row>
        <row r="1244">
          <cell r="B1244">
            <v>41558</v>
          </cell>
          <cell r="E1244">
            <v>11666</v>
          </cell>
        </row>
        <row r="1245">
          <cell r="B1245">
            <v>41565</v>
          </cell>
          <cell r="E1245">
            <v>10055</v>
          </cell>
        </row>
        <row r="1246">
          <cell r="B1246">
            <v>41572</v>
          </cell>
          <cell r="E1246">
            <v>10450</v>
          </cell>
        </row>
        <row r="1247">
          <cell r="B1247">
            <v>41579</v>
          </cell>
          <cell r="E1247">
            <v>11077</v>
          </cell>
        </row>
        <row r="1248">
          <cell r="B1248">
            <v>41586</v>
          </cell>
          <cell r="E1248">
            <v>11017</v>
          </cell>
        </row>
        <row r="1249">
          <cell r="B1249">
            <v>41593</v>
          </cell>
          <cell r="E1249">
            <v>10665</v>
          </cell>
        </row>
        <row r="1250">
          <cell r="B1250">
            <v>41600</v>
          </cell>
          <cell r="E1250">
            <v>10619</v>
          </cell>
        </row>
        <row r="1251">
          <cell r="B1251">
            <v>41607</v>
          </cell>
          <cell r="E1251">
            <v>10074</v>
          </cell>
        </row>
        <row r="1252">
          <cell r="B1252">
            <v>41614</v>
          </cell>
          <cell r="E1252">
            <v>9518</v>
          </cell>
        </row>
        <row r="1253">
          <cell r="B1253">
            <v>41621</v>
          </cell>
          <cell r="E1253">
            <v>11048</v>
          </cell>
        </row>
        <row r="1254">
          <cell r="B1254">
            <v>41628</v>
          </cell>
          <cell r="E1254">
            <v>11022</v>
          </cell>
        </row>
        <row r="1255">
          <cell r="B1255">
            <v>41635</v>
          </cell>
          <cell r="E1255">
            <v>10815</v>
          </cell>
        </row>
        <row r="1256">
          <cell r="B1256">
            <v>41642</v>
          </cell>
          <cell r="E1256">
            <v>12776</v>
          </cell>
        </row>
        <row r="1257">
          <cell r="B1257">
            <v>41649</v>
          </cell>
          <cell r="E1257">
            <v>12151</v>
          </cell>
        </row>
        <row r="1258">
          <cell r="B1258">
            <v>41656</v>
          </cell>
          <cell r="E1258">
            <v>11739</v>
          </cell>
        </row>
        <row r="1259">
          <cell r="B1259">
            <v>41663</v>
          </cell>
          <cell r="E1259">
            <v>11113</v>
          </cell>
        </row>
        <row r="1260">
          <cell r="B1260">
            <v>41670</v>
          </cell>
          <cell r="E1260">
            <v>12553</v>
          </cell>
        </row>
        <row r="1261">
          <cell r="B1261">
            <v>41677</v>
          </cell>
          <cell r="E1261">
            <v>12986</v>
          </cell>
        </row>
        <row r="1262">
          <cell r="B1262">
            <v>41684</v>
          </cell>
          <cell r="E1262">
            <v>13172</v>
          </cell>
        </row>
        <row r="1263">
          <cell r="B1263">
            <v>41691</v>
          </cell>
          <cell r="E1263">
            <v>14254</v>
          </cell>
        </row>
        <row r="1264">
          <cell r="B1264">
            <v>41698</v>
          </cell>
          <cell r="E1264">
            <v>13272</v>
          </cell>
        </row>
        <row r="1265">
          <cell r="B1265">
            <v>41705</v>
          </cell>
          <cell r="E1265">
            <v>13079</v>
          </cell>
        </row>
        <row r="1266">
          <cell r="B1266">
            <v>41712</v>
          </cell>
          <cell r="E1266">
            <v>12416</v>
          </cell>
        </row>
        <row r="1267">
          <cell r="B1267">
            <v>41719</v>
          </cell>
          <cell r="E1267">
            <v>12205</v>
          </cell>
        </row>
        <row r="1268">
          <cell r="B1268">
            <v>41726</v>
          </cell>
          <cell r="E1268">
            <v>11439</v>
          </cell>
        </row>
        <row r="1269">
          <cell r="B1269">
            <v>41733</v>
          </cell>
          <cell r="E1269">
            <v>11410</v>
          </cell>
        </row>
        <row r="1270">
          <cell r="B1270">
            <v>41740</v>
          </cell>
          <cell r="E1270">
            <v>12262</v>
          </cell>
        </row>
        <row r="1271">
          <cell r="B1271">
            <v>41747</v>
          </cell>
          <cell r="E1271">
            <v>11551</v>
          </cell>
        </row>
        <row r="1272">
          <cell r="B1272">
            <v>41754</v>
          </cell>
          <cell r="E1272">
            <v>12316</v>
          </cell>
        </row>
        <row r="1273">
          <cell r="B1273">
            <v>41761</v>
          </cell>
          <cell r="E1273">
            <v>13007</v>
          </cell>
        </row>
        <row r="1274">
          <cell r="B1274">
            <v>41768</v>
          </cell>
          <cell r="E1274">
            <v>11998</v>
          </cell>
        </row>
        <row r="1275">
          <cell r="B1275">
            <v>41775</v>
          </cell>
          <cell r="E1275">
            <v>11785</v>
          </cell>
        </row>
        <row r="1276">
          <cell r="B1276">
            <v>41782</v>
          </cell>
          <cell r="E1276">
            <v>11662</v>
          </cell>
        </row>
        <row r="1277">
          <cell r="B1277">
            <v>41789</v>
          </cell>
          <cell r="E1277">
            <v>12018</v>
          </cell>
        </row>
        <row r="1278">
          <cell r="B1278">
            <v>41796</v>
          </cell>
          <cell r="E1278">
            <v>10715</v>
          </cell>
        </row>
        <row r="1279">
          <cell r="B1279">
            <v>41803</v>
          </cell>
          <cell r="E1279">
            <v>10921</v>
          </cell>
        </row>
        <row r="1280">
          <cell r="B1280">
            <v>41810</v>
          </cell>
          <cell r="E1280">
            <v>10126</v>
          </cell>
        </row>
        <row r="1281">
          <cell r="B1281">
            <v>41817</v>
          </cell>
          <cell r="E1281">
            <v>10790</v>
          </cell>
        </row>
        <row r="1282">
          <cell r="B1282">
            <v>41824</v>
          </cell>
          <cell r="E1282">
            <v>9836</v>
          </cell>
        </row>
        <row r="1283">
          <cell r="B1283">
            <v>41831</v>
          </cell>
          <cell r="E1283">
            <v>11027</v>
          </cell>
        </row>
        <row r="1284">
          <cell r="B1284">
            <v>41838</v>
          </cell>
          <cell r="E1284">
            <v>11369</v>
          </cell>
        </row>
        <row r="1285">
          <cell r="B1285">
            <v>41845</v>
          </cell>
          <cell r="E1285">
            <v>9743</v>
          </cell>
        </row>
        <row r="1286">
          <cell r="B1286">
            <v>41852</v>
          </cell>
          <cell r="E1286">
            <v>9047</v>
          </cell>
        </row>
        <row r="1287">
          <cell r="B1287">
            <v>41859</v>
          </cell>
          <cell r="E1287">
            <v>10079</v>
          </cell>
        </row>
        <row r="1288">
          <cell r="B1288">
            <v>41866</v>
          </cell>
          <cell r="E1288">
            <v>10161</v>
          </cell>
        </row>
        <row r="1289">
          <cell r="B1289">
            <v>41873</v>
          </cell>
          <cell r="E1289">
            <v>11188</v>
          </cell>
        </row>
        <row r="1290">
          <cell r="B1290">
            <v>41880</v>
          </cell>
          <cell r="E1290">
            <v>11002</v>
          </cell>
        </row>
        <row r="1291">
          <cell r="B1291">
            <v>41887</v>
          </cell>
          <cell r="E1291">
            <v>11733</v>
          </cell>
        </row>
        <row r="1292">
          <cell r="B1292">
            <v>41894</v>
          </cell>
          <cell r="E1292">
            <v>11979</v>
          </cell>
        </row>
        <row r="1293">
          <cell r="B1293">
            <v>41901</v>
          </cell>
          <cell r="E1293">
            <v>10793</v>
          </cell>
        </row>
        <row r="1294">
          <cell r="B1294">
            <v>41908</v>
          </cell>
          <cell r="E1294">
            <v>10768</v>
          </cell>
        </row>
        <row r="1295">
          <cell r="B1295">
            <v>41915</v>
          </cell>
          <cell r="E1295">
            <v>12112</v>
          </cell>
        </row>
        <row r="1296">
          <cell r="B1296">
            <v>41922</v>
          </cell>
          <cell r="E1296">
            <v>11229</v>
          </cell>
        </row>
        <row r="1297">
          <cell r="B1297">
            <v>41929</v>
          </cell>
          <cell r="E1297">
            <v>11914</v>
          </cell>
        </row>
        <row r="1298">
          <cell r="B1298">
            <v>41936</v>
          </cell>
          <cell r="E1298">
            <v>11330</v>
          </cell>
        </row>
        <row r="1299">
          <cell r="B1299">
            <v>41943</v>
          </cell>
          <cell r="E1299">
            <v>11226</v>
          </cell>
        </row>
        <row r="1300">
          <cell r="B1300">
            <v>41950</v>
          </cell>
          <cell r="E1300">
            <v>11584</v>
          </cell>
        </row>
        <row r="1301">
          <cell r="B1301">
            <v>41957</v>
          </cell>
          <cell r="E1301">
            <v>10653</v>
          </cell>
        </row>
        <row r="1302">
          <cell r="B1302">
            <v>41964</v>
          </cell>
          <cell r="E1302">
            <v>11115</v>
          </cell>
        </row>
        <row r="1303">
          <cell r="B1303">
            <v>41971</v>
          </cell>
          <cell r="E1303">
            <v>11384</v>
          </cell>
        </row>
        <row r="1304">
          <cell r="B1304">
            <v>41978</v>
          </cell>
          <cell r="E1304">
            <v>10849</v>
          </cell>
        </row>
        <row r="1305">
          <cell r="B1305">
            <v>41985</v>
          </cell>
          <cell r="E1305">
            <v>11148</v>
          </cell>
        </row>
        <row r="1306">
          <cell r="B1306">
            <v>41992</v>
          </cell>
          <cell r="E1306">
            <v>11091</v>
          </cell>
        </row>
        <row r="1307">
          <cell r="B1307">
            <v>41999</v>
          </cell>
          <cell r="E1307">
            <v>10823</v>
          </cell>
        </row>
        <row r="1308">
          <cell r="B1308">
            <v>42006</v>
          </cell>
          <cell r="E1308">
            <v>11576</v>
          </cell>
        </row>
        <row r="1309">
          <cell r="B1309">
            <v>42013</v>
          </cell>
          <cell r="E1309">
            <v>13281</v>
          </cell>
        </row>
        <row r="1310">
          <cell r="B1310">
            <v>42020</v>
          </cell>
          <cell r="E1310">
            <v>14076</v>
          </cell>
        </row>
        <row r="1311">
          <cell r="B1311">
            <v>42027</v>
          </cell>
          <cell r="E1311">
            <v>14737</v>
          </cell>
        </row>
        <row r="1312">
          <cell r="B1312">
            <v>42034</v>
          </cell>
          <cell r="E1312">
            <v>14371</v>
          </cell>
        </row>
        <row r="1313">
          <cell r="B1313">
            <v>42041</v>
          </cell>
          <cell r="E1313">
            <v>13356</v>
          </cell>
        </row>
        <row r="1314">
          <cell r="B1314">
            <v>42048</v>
          </cell>
          <cell r="E1314">
            <v>13394</v>
          </cell>
        </row>
        <row r="1315">
          <cell r="B1315">
            <v>42055</v>
          </cell>
          <cell r="E1315">
            <v>13424</v>
          </cell>
        </row>
        <row r="1316">
          <cell r="B1316">
            <v>42062</v>
          </cell>
          <cell r="E1316">
            <v>13185</v>
          </cell>
        </row>
        <row r="1317">
          <cell r="B1317">
            <v>42069</v>
          </cell>
          <cell r="E1317">
            <v>12076</v>
          </cell>
        </row>
        <row r="1318">
          <cell r="B1318">
            <v>42076</v>
          </cell>
          <cell r="E1318">
            <v>12803</v>
          </cell>
        </row>
        <row r="1319">
          <cell r="B1319">
            <v>42083</v>
          </cell>
          <cell r="E1319">
            <v>12192</v>
          </cell>
        </row>
        <row r="1320">
          <cell r="B1320">
            <v>42090</v>
          </cell>
          <cell r="E1320">
            <v>13405</v>
          </cell>
        </row>
        <row r="1321">
          <cell r="B1321">
            <v>42097</v>
          </cell>
          <cell r="E1321">
            <v>13689</v>
          </cell>
        </row>
        <row r="1322">
          <cell r="B1322">
            <v>42104</v>
          </cell>
          <cell r="E1322">
            <v>12575</v>
          </cell>
        </row>
        <row r="1323">
          <cell r="B1323">
            <v>42111</v>
          </cell>
          <cell r="E1323">
            <v>13517</v>
          </cell>
        </row>
        <row r="1324">
          <cell r="B1324">
            <v>42118</v>
          </cell>
          <cell r="E1324">
            <v>12494</v>
          </cell>
        </row>
        <row r="1325">
          <cell r="B1325">
            <v>42125</v>
          </cell>
          <cell r="E1325">
            <v>13015</v>
          </cell>
        </row>
        <row r="1326">
          <cell r="B1326">
            <v>42132</v>
          </cell>
          <cell r="E1326">
            <v>13036</v>
          </cell>
        </row>
        <row r="1327">
          <cell r="B1327">
            <v>42139</v>
          </cell>
          <cell r="E1327">
            <v>11498</v>
          </cell>
        </row>
        <row r="1328">
          <cell r="B1328">
            <v>42146</v>
          </cell>
          <cell r="E1328">
            <v>12799</v>
          </cell>
        </row>
        <row r="1329">
          <cell r="B1329">
            <v>42153</v>
          </cell>
          <cell r="E1329">
            <v>10626</v>
          </cell>
        </row>
        <row r="1330">
          <cell r="B1330">
            <v>42160</v>
          </cell>
          <cell r="E1330">
            <v>10842</v>
          </cell>
        </row>
        <row r="1331">
          <cell r="B1331">
            <v>42167</v>
          </cell>
          <cell r="E1331">
            <v>12677</v>
          </cell>
        </row>
        <row r="1332">
          <cell r="B1332">
            <v>42174</v>
          </cell>
          <cell r="E1332">
            <v>12164</v>
          </cell>
        </row>
        <row r="1333">
          <cell r="B1333">
            <v>42181</v>
          </cell>
          <cell r="E1333">
            <v>10620</v>
          </cell>
        </row>
        <row r="1334">
          <cell r="B1334">
            <v>42188</v>
          </cell>
          <cell r="E1334">
            <v>10678</v>
          </cell>
        </row>
        <row r="1335">
          <cell r="B1335">
            <v>42195</v>
          </cell>
          <cell r="E1335">
            <v>12052</v>
          </cell>
        </row>
        <row r="1336">
          <cell r="B1336">
            <v>42202</v>
          </cell>
          <cell r="E1336">
            <v>12260</v>
          </cell>
        </row>
        <row r="1337">
          <cell r="B1337">
            <v>42209</v>
          </cell>
          <cell r="E1337">
            <v>11620</v>
          </cell>
        </row>
        <row r="1338">
          <cell r="B1338">
            <v>42216</v>
          </cell>
          <cell r="E1338">
            <v>12604</v>
          </cell>
        </row>
        <row r="1339">
          <cell r="B1339">
            <v>42223</v>
          </cell>
          <cell r="E1339">
            <v>11794</v>
          </cell>
        </row>
        <row r="1340">
          <cell r="B1340">
            <v>42230</v>
          </cell>
          <cell r="E1340">
            <v>12981</v>
          </cell>
        </row>
        <row r="1341">
          <cell r="B1341">
            <v>42237</v>
          </cell>
          <cell r="E1341">
            <v>11456</v>
          </cell>
        </row>
        <row r="1342">
          <cell r="B1342">
            <v>42244</v>
          </cell>
          <cell r="E1342">
            <v>12239</v>
          </cell>
        </row>
        <row r="1343">
          <cell r="B1343">
            <v>42251</v>
          </cell>
          <cell r="E1343">
            <v>11450</v>
          </cell>
        </row>
        <row r="1344">
          <cell r="B1344">
            <v>42258</v>
          </cell>
          <cell r="E1344">
            <v>11687</v>
          </cell>
        </row>
        <row r="1345">
          <cell r="B1345">
            <v>42265</v>
          </cell>
          <cell r="E1345">
            <v>11424</v>
          </cell>
        </row>
        <row r="1346">
          <cell r="B1346">
            <v>42272</v>
          </cell>
          <cell r="E1346">
            <v>11444</v>
          </cell>
        </row>
        <row r="1347">
          <cell r="B1347">
            <v>42279</v>
          </cell>
          <cell r="E1347">
            <v>10287</v>
          </cell>
        </row>
        <row r="1348">
          <cell r="B1348">
            <v>42286</v>
          </cell>
          <cell r="E1348">
            <v>11052</v>
          </cell>
        </row>
        <row r="1349">
          <cell r="B1349">
            <v>42293</v>
          </cell>
          <cell r="E1349">
            <v>11602</v>
          </cell>
        </row>
        <row r="1350">
          <cell r="B1350">
            <v>42300</v>
          </cell>
          <cell r="E1350">
            <v>9979</v>
          </cell>
        </row>
        <row r="1351">
          <cell r="B1351">
            <v>42307</v>
          </cell>
          <cell r="E1351">
            <v>10510</v>
          </cell>
        </row>
        <row r="1352">
          <cell r="B1352">
            <v>42314</v>
          </cell>
          <cell r="E1352">
            <v>10630</v>
          </cell>
        </row>
        <row r="1353">
          <cell r="B1353">
            <v>42321</v>
          </cell>
          <cell r="E1353">
            <v>12409</v>
          </cell>
        </row>
        <row r="1354">
          <cell r="B1354">
            <v>42328</v>
          </cell>
          <cell r="E1354">
            <v>13156</v>
          </cell>
        </row>
        <row r="1355">
          <cell r="B1355">
            <v>42335</v>
          </cell>
          <cell r="E1355">
            <v>12558</v>
          </cell>
        </row>
        <row r="1356">
          <cell r="B1356">
            <v>42342</v>
          </cell>
          <cell r="E1356">
            <v>13623</v>
          </cell>
        </row>
        <row r="1357">
          <cell r="B1357">
            <v>42349</v>
          </cell>
          <cell r="E1357">
            <v>12913</v>
          </cell>
        </row>
        <row r="1358">
          <cell r="B1358">
            <v>42356</v>
          </cell>
          <cell r="E1358">
            <v>13486</v>
          </cell>
        </row>
        <row r="1359">
          <cell r="B1359">
            <v>42363</v>
          </cell>
          <cell r="E1359">
            <v>12580</v>
          </cell>
        </row>
        <row r="1360">
          <cell r="B1360">
            <v>42370</v>
          </cell>
          <cell r="E1360">
            <v>13873</v>
          </cell>
        </row>
        <row r="1361">
          <cell r="B1361">
            <v>42377</v>
          </cell>
          <cell r="E1361">
            <v>13741</v>
          </cell>
        </row>
        <row r="1362">
          <cell r="B1362">
            <v>42384</v>
          </cell>
          <cell r="E1362">
            <v>13899</v>
          </cell>
        </row>
        <row r="1363">
          <cell r="B1363">
            <v>42391</v>
          </cell>
          <cell r="E1363">
            <v>13604</v>
          </cell>
        </row>
        <row r="1364">
          <cell r="B1364">
            <v>42398</v>
          </cell>
          <cell r="E1364">
            <v>14662</v>
          </cell>
        </row>
        <row r="1365">
          <cell r="B1365">
            <v>42405</v>
          </cell>
          <cell r="E1365">
            <v>14142</v>
          </cell>
        </row>
        <row r="1366">
          <cell r="B1366">
            <v>42412</v>
          </cell>
          <cell r="E1366">
            <v>14503</v>
          </cell>
        </row>
        <row r="1367">
          <cell r="B1367">
            <v>42419</v>
          </cell>
          <cell r="E1367">
            <v>15133</v>
          </cell>
        </row>
        <row r="1368">
          <cell r="B1368">
            <v>42426</v>
          </cell>
          <cell r="E1368">
            <v>15538</v>
          </cell>
        </row>
        <row r="1369">
          <cell r="B1369">
            <v>42433</v>
          </cell>
          <cell r="E1369">
            <v>14577</v>
          </cell>
        </row>
        <row r="1370">
          <cell r="B1370">
            <v>42440</v>
          </cell>
          <cell r="E1370">
            <v>15117</v>
          </cell>
        </row>
        <row r="1371">
          <cell r="B1371">
            <v>42447</v>
          </cell>
          <cell r="E1371">
            <v>14725</v>
          </cell>
        </row>
        <row r="1372">
          <cell r="B1372">
            <v>42454</v>
          </cell>
          <cell r="E1372">
            <v>14794</v>
          </cell>
        </row>
        <row r="1373">
          <cell r="B1373">
            <v>42461</v>
          </cell>
          <cell r="E1373">
            <v>14687</v>
          </cell>
        </row>
        <row r="1374">
          <cell r="B1374">
            <v>42468</v>
          </cell>
          <cell r="E1374">
            <v>14534</v>
          </cell>
        </row>
        <row r="1375">
          <cell r="B1375">
            <v>42475</v>
          </cell>
          <cell r="E1375">
            <v>14732</v>
          </cell>
        </row>
        <row r="1376">
          <cell r="B1376">
            <v>42482</v>
          </cell>
          <cell r="E1376">
            <v>14539</v>
          </cell>
        </row>
        <row r="1377">
          <cell r="B1377">
            <v>42489</v>
          </cell>
          <cell r="E1377">
            <v>15533</v>
          </cell>
        </row>
        <row r="1378">
          <cell r="B1378">
            <v>42496</v>
          </cell>
          <cell r="E1378">
            <v>14524</v>
          </cell>
        </row>
        <row r="1379">
          <cell r="B1379">
            <v>42503</v>
          </cell>
          <cell r="E1379">
            <v>15336</v>
          </cell>
        </row>
        <row r="1380">
          <cell r="B1380">
            <v>42510</v>
          </cell>
          <cell r="E1380">
            <v>14872</v>
          </cell>
        </row>
        <row r="1381">
          <cell r="B1381">
            <v>42517</v>
          </cell>
          <cell r="E1381">
            <v>15078</v>
          </cell>
        </row>
        <row r="1382">
          <cell r="B1382">
            <v>42524</v>
          </cell>
          <cell r="E1382">
            <v>13013</v>
          </cell>
        </row>
        <row r="1383">
          <cell r="B1383">
            <v>42531</v>
          </cell>
          <cell r="E1383">
            <v>13776</v>
          </cell>
        </row>
        <row r="1384">
          <cell r="B1384">
            <v>42538</v>
          </cell>
          <cell r="E1384">
            <v>12961</v>
          </cell>
        </row>
        <row r="1385">
          <cell r="B1385">
            <v>42545</v>
          </cell>
          <cell r="E1385">
            <v>13182</v>
          </cell>
        </row>
        <row r="1386">
          <cell r="B1386">
            <v>42552</v>
          </cell>
          <cell r="E1386">
            <v>14527</v>
          </cell>
        </row>
        <row r="1387">
          <cell r="B1387">
            <v>42559</v>
          </cell>
          <cell r="E1387">
            <v>13533</v>
          </cell>
        </row>
        <row r="1388">
          <cell r="B1388">
            <v>42566</v>
          </cell>
          <cell r="E1388">
            <v>12923</v>
          </cell>
        </row>
        <row r="1389">
          <cell r="B1389">
            <v>42573</v>
          </cell>
          <cell r="E1389">
            <v>15326</v>
          </cell>
        </row>
        <row r="1390">
          <cell r="B1390">
            <v>42580</v>
          </cell>
          <cell r="E1390">
            <v>15031</v>
          </cell>
        </row>
        <row r="1391">
          <cell r="B1391">
            <v>42587</v>
          </cell>
          <cell r="E1391">
            <v>15048</v>
          </cell>
        </row>
        <row r="1392">
          <cell r="B1392">
            <v>42594</v>
          </cell>
          <cell r="E1392">
            <v>15048</v>
          </cell>
        </row>
        <row r="1393">
          <cell r="B1393">
            <v>42601</v>
          </cell>
          <cell r="E1393">
            <v>13364</v>
          </cell>
        </row>
        <row r="1394">
          <cell r="B1394">
            <v>42608</v>
          </cell>
          <cell r="E1394">
            <v>13639</v>
          </cell>
        </row>
        <row r="1395">
          <cell r="B1395">
            <v>42615</v>
          </cell>
          <cell r="E1395">
            <v>13739</v>
          </cell>
        </row>
        <row r="1396">
          <cell r="B1396">
            <v>42622</v>
          </cell>
          <cell r="E1396">
            <v>11982</v>
          </cell>
        </row>
        <row r="1397">
          <cell r="B1397">
            <v>42629</v>
          </cell>
          <cell r="E1397">
            <v>12665</v>
          </cell>
        </row>
        <row r="1398">
          <cell r="B1398">
            <v>42636</v>
          </cell>
          <cell r="E1398">
            <v>11977</v>
          </cell>
        </row>
        <row r="1399">
          <cell r="B1399">
            <v>42643</v>
          </cell>
          <cell r="E1399">
            <v>12231</v>
          </cell>
        </row>
        <row r="1400">
          <cell r="B1400">
            <v>42650</v>
          </cell>
          <cell r="E1400">
            <v>10322</v>
          </cell>
        </row>
        <row r="1401">
          <cell r="B1401">
            <v>42657</v>
          </cell>
          <cell r="E1401">
            <v>12860</v>
          </cell>
        </row>
        <row r="1402">
          <cell r="B1402">
            <v>42664</v>
          </cell>
          <cell r="E1402">
            <v>12647</v>
          </cell>
        </row>
        <row r="1403">
          <cell r="B1403">
            <v>42671</v>
          </cell>
          <cell r="E1403">
            <v>11246</v>
          </cell>
        </row>
        <row r="1404">
          <cell r="B1404">
            <v>42678</v>
          </cell>
          <cell r="E1404">
            <v>11321</v>
          </cell>
        </row>
        <row r="1405">
          <cell r="B1405">
            <v>42685</v>
          </cell>
          <cell r="E1405">
            <v>11332</v>
          </cell>
        </row>
        <row r="1406">
          <cell r="B1406">
            <v>42692</v>
          </cell>
          <cell r="E1406">
            <v>11704</v>
          </cell>
        </row>
        <row r="1407">
          <cell r="B1407">
            <v>42699</v>
          </cell>
          <cell r="E1407">
            <v>12886</v>
          </cell>
        </row>
        <row r="1408">
          <cell r="B1408">
            <v>42706</v>
          </cell>
          <cell r="E1408">
            <v>12089</v>
          </cell>
        </row>
        <row r="1409">
          <cell r="B1409">
            <v>42713</v>
          </cell>
          <cell r="E1409">
            <v>11983</v>
          </cell>
        </row>
        <row r="1410">
          <cell r="B1410">
            <v>42720</v>
          </cell>
          <cell r="E1410">
            <v>11962</v>
          </cell>
        </row>
        <row r="1411">
          <cell r="B1411">
            <v>42727</v>
          </cell>
          <cell r="E1411">
            <v>12336</v>
          </cell>
        </row>
        <row r="1412">
          <cell r="B1412">
            <v>42734</v>
          </cell>
          <cell r="E1412">
            <v>12385</v>
          </cell>
        </row>
        <row r="1413">
          <cell r="B1413">
            <v>42741</v>
          </cell>
          <cell r="E1413">
            <v>12741</v>
          </cell>
        </row>
        <row r="1414">
          <cell r="B1414">
            <v>42748</v>
          </cell>
          <cell r="E1414">
            <v>13833</v>
          </cell>
        </row>
        <row r="1415">
          <cell r="B1415">
            <v>42755</v>
          </cell>
          <cell r="E1415">
            <v>13717</v>
          </cell>
        </row>
        <row r="1416">
          <cell r="B1416">
            <v>42762</v>
          </cell>
          <cell r="E1416">
            <v>13136</v>
          </cell>
        </row>
        <row r="1417">
          <cell r="B1417">
            <v>42769</v>
          </cell>
          <cell r="E1417">
            <v>14296</v>
          </cell>
        </row>
        <row r="1418">
          <cell r="B1418">
            <v>42776</v>
          </cell>
          <cell r="E1418">
            <v>12761</v>
          </cell>
        </row>
        <row r="1419">
          <cell r="B1419">
            <v>42783</v>
          </cell>
          <cell r="E1419">
            <v>13201</v>
          </cell>
        </row>
        <row r="1420">
          <cell r="B1420">
            <v>42790</v>
          </cell>
          <cell r="E1420">
            <v>12682</v>
          </cell>
        </row>
        <row r="1421">
          <cell r="B1421">
            <v>42797</v>
          </cell>
          <cell r="E1421">
            <v>13931</v>
          </cell>
        </row>
        <row r="1422">
          <cell r="B1422">
            <v>42804</v>
          </cell>
          <cell r="E1422">
            <v>14266</v>
          </cell>
        </row>
        <row r="1423">
          <cell r="B1423">
            <v>42811</v>
          </cell>
          <cell r="E1423">
            <v>13419</v>
          </cell>
        </row>
        <row r="1424">
          <cell r="B1424">
            <v>42818</v>
          </cell>
          <cell r="E1424">
            <v>14186</v>
          </cell>
        </row>
        <row r="1425">
          <cell r="B1425">
            <v>42825</v>
          </cell>
          <cell r="E1425">
            <v>14445</v>
          </cell>
        </row>
        <row r="1426">
          <cell r="B1426">
            <v>42832</v>
          </cell>
          <cell r="E1426">
            <v>14650</v>
          </cell>
        </row>
        <row r="1427">
          <cell r="B1427">
            <v>42839</v>
          </cell>
          <cell r="E1427">
            <v>13701</v>
          </cell>
        </row>
        <row r="1428">
          <cell r="B1428">
            <v>42846</v>
          </cell>
          <cell r="E1428">
            <v>14834</v>
          </cell>
        </row>
        <row r="1429">
          <cell r="B1429">
            <v>42853</v>
          </cell>
          <cell r="E1429">
            <v>13272</v>
          </cell>
        </row>
        <row r="1430">
          <cell r="B1430">
            <v>42860</v>
          </cell>
          <cell r="E1430">
            <v>12159</v>
          </cell>
        </row>
        <row r="1431">
          <cell r="B1431">
            <v>42867</v>
          </cell>
          <cell r="E1431">
            <v>13239</v>
          </cell>
        </row>
        <row r="1432">
          <cell r="B1432">
            <v>42874</v>
          </cell>
          <cell r="E1432">
            <v>12607</v>
          </cell>
        </row>
        <row r="1433">
          <cell r="B1433">
            <v>42881</v>
          </cell>
          <cell r="E1433">
            <v>11885</v>
          </cell>
        </row>
        <row r="1434">
          <cell r="B1434">
            <v>42888</v>
          </cell>
          <cell r="E1434">
            <v>12606</v>
          </cell>
        </row>
        <row r="1435">
          <cell r="B1435">
            <v>42895</v>
          </cell>
          <cell r="E1435">
            <v>11413</v>
          </cell>
        </row>
        <row r="1436">
          <cell r="B1436">
            <v>42902</v>
          </cell>
          <cell r="E1436">
            <v>10470</v>
          </cell>
        </row>
        <row r="1437">
          <cell r="B1437">
            <v>42909</v>
          </cell>
          <cell r="E1437">
            <v>11146</v>
          </cell>
        </row>
        <row r="1438">
          <cell r="B1438">
            <v>42916</v>
          </cell>
          <cell r="E1438">
            <v>10754</v>
          </cell>
        </row>
        <row r="1439">
          <cell r="B1439">
            <v>42923</v>
          </cell>
          <cell r="E1439">
            <v>12647</v>
          </cell>
        </row>
        <row r="1440">
          <cell r="B1440">
            <v>42930</v>
          </cell>
          <cell r="E1440">
            <v>11682</v>
          </cell>
        </row>
        <row r="1441">
          <cell r="B1441">
            <v>42937</v>
          </cell>
          <cell r="E1441">
            <v>14302</v>
          </cell>
        </row>
        <row r="1442">
          <cell r="B1442">
            <v>42944</v>
          </cell>
          <cell r="E1442">
            <v>12815</v>
          </cell>
        </row>
        <row r="1443">
          <cell r="B1443">
            <v>42951</v>
          </cell>
          <cell r="E1443">
            <v>15213</v>
          </cell>
        </row>
        <row r="1444">
          <cell r="B1444">
            <v>42958</v>
          </cell>
          <cell r="E1444">
            <v>15020</v>
          </cell>
        </row>
        <row r="1445">
          <cell r="B1445">
            <v>42965</v>
          </cell>
          <cell r="E1445">
            <v>13464</v>
          </cell>
        </row>
        <row r="1446">
          <cell r="B1446">
            <v>42972</v>
          </cell>
          <cell r="E1446">
            <v>12334</v>
          </cell>
        </row>
        <row r="1447">
          <cell r="B1447">
            <v>42979</v>
          </cell>
          <cell r="E1447">
            <v>11777</v>
          </cell>
        </row>
        <row r="1448">
          <cell r="B1448">
            <v>42986</v>
          </cell>
          <cell r="E1448">
            <v>11275</v>
          </cell>
        </row>
        <row r="1449">
          <cell r="B1449">
            <v>42993</v>
          </cell>
          <cell r="E1449">
            <v>11547</v>
          </cell>
        </row>
        <row r="1450">
          <cell r="B1450">
            <v>43000</v>
          </cell>
          <cell r="E1450">
            <v>10904</v>
          </cell>
        </row>
        <row r="1451">
          <cell r="B1451">
            <v>43007</v>
          </cell>
          <cell r="E1451">
            <v>11891</v>
          </cell>
        </row>
        <row r="1452">
          <cell r="B1452">
            <v>43014</v>
          </cell>
          <cell r="E1452">
            <v>12040</v>
          </cell>
        </row>
        <row r="1453">
          <cell r="B1453">
            <v>43021</v>
          </cell>
          <cell r="E1453">
            <v>11633</v>
          </cell>
        </row>
        <row r="1454">
          <cell r="B1454">
            <v>43028</v>
          </cell>
          <cell r="E1454">
            <v>9975</v>
          </cell>
        </row>
        <row r="1455">
          <cell r="B1455">
            <v>43035</v>
          </cell>
          <cell r="E1455">
            <v>11556</v>
          </cell>
        </row>
        <row r="1456">
          <cell r="B1456">
            <v>43042</v>
          </cell>
          <cell r="E1456">
            <v>10669</v>
          </cell>
        </row>
        <row r="1457">
          <cell r="B1457">
            <v>43049</v>
          </cell>
          <cell r="E1457">
            <v>11614</v>
          </cell>
        </row>
        <row r="1458">
          <cell r="B1458">
            <v>43056</v>
          </cell>
          <cell r="E1458">
            <v>11359</v>
          </cell>
        </row>
        <row r="1459">
          <cell r="B1459">
            <v>43063</v>
          </cell>
          <cell r="E1459">
            <v>11179</v>
          </cell>
        </row>
        <row r="1460">
          <cell r="B1460">
            <v>43070</v>
          </cell>
          <cell r="E1460">
            <v>15133</v>
          </cell>
        </row>
        <row r="1461">
          <cell r="B1461">
            <v>43077</v>
          </cell>
          <cell r="E1461">
            <v>13673</v>
          </cell>
        </row>
        <row r="1462">
          <cell r="B1462">
            <v>43084</v>
          </cell>
          <cell r="E1462">
            <v>13822</v>
          </cell>
        </row>
        <row r="1463">
          <cell r="B1463">
            <v>43091</v>
          </cell>
          <cell r="E1463">
            <v>12991</v>
          </cell>
        </row>
        <row r="1464">
          <cell r="B1464">
            <v>43098</v>
          </cell>
          <cell r="E1464">
            <v>13918</v>
          </cell>
        </row>
        <row r="1465">
          <cell r="B1465">
            <v>43105</v>
          </cell>
          <cell r="E1465">
            <v>13994</v>
          </cell>
        </row>
        <row r="1466">
          <cell r="B1466">
            <v>43112</v>
          </cell>
          <cell r="E1466">
            <v>13552</v>
          </cell>
        </row>
        <row r="1467">
          <cell r="B1467">
            <v>43119</v>
          </cell>
          <cell r="E1467">
            <v>12815</v>
          </cell>
        </row>
        <row r="1468">
          <cell r="B1468">
            <v>43126</v>
          </cell>
          <cell r="E1468">
            <v>12800</v>
          </cell>
        </row>
        <row r="1469">
          <cell r="B1469">
            <v>43133</v>
          </cell>
          <cell r="E1469">
            <v>13978</v>
          </cell>
        </row>
        <row r="1470">
          <cell r="B1470">
            <v>43140</v>
          </cell>
          <cell r="E1470">
            <v>14121</v>
          </cell>
        </row>
        <row r="1471">
          <cell r="B1471">
            <v>43147</v>
          </cell>
          <cell r="E1471">
            <v>13330</v>
          </cell>
        </row>
        <row r="1472">
          <cell r="B1472">
            <v>43154</v>
          </cell>
          <cell r="E1472">
            <v>13033</v>
          </cell>
        </row>
        <row r="1473">
          <cell r="B1473">
            <v>43161</v>
          </cell>
          <cell r="E1473">
            <v>14577</v>
          </cell>
        </row>
        <row r="1474">
          <cell r="B1474">
            <v>43168</v>
          </cell>
          <cell r="E1474">
            <v>14870</v>
          </cell>
        </row>
        <row r="1475">
          <cell r="B1475">
            <v>43175</v>
          </cell>
          <cell r="E1475">
            <v>14586</v>
          </cell>
        </row>
        <row r="1476">
          <cell r="B1476">
            <v>43182</v>
          </cell>
          <cell r="E1476">
            <v>15635</v>
          </cell>
        </row>
        <row r="1477">
          <cell r="B1477">
            <v>43189</v>
          </cell>
          <cell r="E1477">
            <v>14436</v>
          </cell>
        </row>
        <row r="1478">
          <cell r="B1478">
            <v>43196</v>
          </cell>
          <cell r="E1478">
            <v>13747</v>
          </cell>
        </row>
        <row r="1479">
          <cell r="B1479">
            <v>43203</v>
          </cell>
          <cell r="E1479">
            <v>13604</v>
          </cell>
        </row>
        <row r="1480">
          <cell r="B1480">
            <v>43210</v>
          </cell>
          <cell r="E1480">
            <v>13201</v>
          </cell>
        </row>
        <row r="1481">
          <cell r="B1481">
            <v>43217</v>
          </cell>
          <cell r="E1481">
            <v>12509</v>
          </cell>
        </row>
        <row r="1482">
          <cell r="B1482">
            <v>43224</v>
          </cell>
          <cell r="E1482">
            <v>13306</v>
          </cell>
        </row>
        <row r="1483">
          <cell r="B1483">
            <v>43231</v>
          </cell>
          <cell r="E1483">
            <v>14484</v>
          </cell>
        </row>
        <row r="1484">
          <cell r="B1484">
            <v>43238</v>
          </cell>
          <cell r="E1484">
            <v>13876</v>
          </cell>
        </row>
        <row r="1485">
          <cell r="B1485">
            <v>43245</v>
          </cell>
          <cell r="E1485">
            <v>14532</v>
          </cell>
        </row>
        <row r="1486">
          <cell r="B1486">
            <v>43252</v>
          </cell>
          <cell r="E1486">
            <v>14000</v>
          </cell>
        </row>
        <row r="1487">
          <cell r="B1487">
            <v>43259</v>
          </cell>
          <cell r="E1487">
            <v>12628</v>
          </cell>
        </row>
        <row r="1488">
          <cell r="B1488">
            <v>43266</v>
          </cell>
          <cell r="E1488">
            <v>12065</v>
          </cell>
        </row>
        <row r="1489">
          <cell r="B1489">
            <v>43273</v>
          </cell>
          <cell r="E1489">
            <v>12194</v>
          </cell>
        </row>
        <row r="1490">
          <cell r="B1490">
            <v>43280</v>
          </cell>
          <cell r="E1490">
            <v>12061</v>
          </cell>
        </row>
        <row r="1491">
          <cell r="B1491">
            <v>43287</v>
          </cell>
          <cell r="E1491">
            <v>13580</v>
          </cell>
        </row>
        <row r="1492">
          <cell r="B1492">
            <v>43294</v>
          </cell>
          <cell r="E1492">
            <v>13874</v>
          </cell>
        </row>
        <row r="1493">
          <cell r="B1493">
            <v>43301</v>
          </cell>
          <cell r="E1493">
            <v>14676</v>
          </cell>
        </row>
        <row r="1494">
          <cell r="B1494">
            <v>43308</v>
          </cell>
          <cell r="E1494">
            <v>15328</v>
          </cell>
        </row>
        <row r="1495">
          <cell r="B1495">
            <v>43315</v>
          </cell>
          <cell r="E1495">
            <v>14736</v>
          </cell>
        </row>
        <row r="1496">
          <cell r="B1496">
            <v>43322</v>
          </cell>
          <cell r="E1496">
            <v>14243</v>
          </cell>
        </row>
        <row r="1497">
          <cell r="B1497">
            <v>43329</v>
          </cell>
          <cell r="E1497">
            <v>13873</v>
          </cell>
        </row>
        <row r="1498">
          <cell r="B1498">
            <v>43336</v>
          </cell>
          <cell r="E1498">
            <v>13134</v>
          </cell>
        </row>
        <row r="1499">
          <cell r="B1499">
            <v>43343</v>
          </cell>
          <cell r="E1499">
            <v>13004</v>
          </cell>
        </row>
        <row r="1500">
          <cell r="B1500">
            <v>43350</v>
          </cell>
          <cell r="E1500">
            <v>11362</v>
          </cell>
        </row>
        <row r="1501">
          <cell r="B1501">
            <v>43357</v>
          </cell>
          <cell r="E1501">
            <v>12432</v>
          </cell>
        </row>
        <row r="1502">
          <cell r="B1502">
            <v>43364</v>
          </cell>
          <cell r="E1502">
            <v>11842</v>
          </cell>
        </row>
        <row r="1503">
          <cell r="B1503">
            <v>43371</v>
          </cell>
          <cell r="E1503">
            <v>11291</v>
          </cell>
        </row>
        <row r="1504">
          <cell r="B1504">
            <v>43378</v>
          </cell>
          <cell r="E1504">
            <v>10040</v>
          </cell>
        </row>
        <row r="1505">
          <cell r="B1505">
            <v>43385</v>
          </cell>
          <cell r="E1505">
            <v>11116</v>
          </cell>
        </row>
        <row r="1506">
          <cell r="B1506">
            <v>43392</v>
          </cell>
          <cell r="E1506">
            <v>12101</v>
          </cell>
        </row>
        <row r="1507">
          <cell r="B1507">
            <v>43399</v>
          </cell>
          <cell r="E1507">
            <v>12154</v>
          </cell>
        </row>
        <row r="1508">
          <cell r="B1508">
            <v>43406</v>
          </cell>
          <cell r="E1508">
            <v>11941</v>
          </cell>
        </row>
        <row r="1509">
          <cell r="B1509">
            <v>43413</v>
          </cell>
          <cell r="E1509">
            <v>12961</v>
          </cell>
        </row>
        <row r="1510">
          <cell r="B1510">
            <v>43420</v>
          </cell>
          <cell r="E1510">
            <v>13444</v>
          </cell>
        </row>
        <row r="1511">
          <cell r="B1511">
            <v>43427</v>
          </cell>
          <cell r="E1511">
            <v>14375</v>
          </cell>
        </row>
        <row r="1512">
          <cell r="B1512">
            <v>43434</v>
          </cell>
          <cell r="E1512">
            <v>13875</v>
          </cell>
        </row>
        <row r="1513">
          <cell r="B1513">
            <v>43441</v>
          </cell>
          <cell r="E1513">
            <v>13629</v>
          </cell>
        </row>
        <row r="1514">
          <cell r="B1514">
            <v>43448</v>
          </cell>
          <cell r="E1514">
            <v>12454</v>
          </cell>
        </row>
        <row r="1515">
          <cell r="B1515">
            <v>43455</v>
          </cell>
          <cell r="E1515">
            <v>14629</v>
          </cell>
        </row>
        <row r="1516">
          <cell r="B1516">
            <v>43462</v>
          </cell>
          <cell r="E1516">
            <v>16099</v>
          </cell>
        </row>
        <row r="1517">
          <cell r="B1517">
            <v>43469</v>
          </cell>
          <cell r="E1517">
            <v>15428</v>
          </cell>
        </row>
        <row r="1518">
          <cell r="B1518">
            <v>43476</v>
          </cell>
          <cell r="E1518">
            <v>15391</v>
          </cell>
        </row>
        <row r="1519">
          <cell r="B1519">
            <v>43483</v>
          </cell>
          <cell r="E1519">
            <v>15812</v>
          </cell>
        </row>
        <row r="1520">
          <cell r="B1520">
            <v>43490</v>
          </cell>
          <cell r="E1520">
            <v>15652</v>
          </cell>
        </row>
        <row r="1521">
          <cell r="B1521">
            <v>43497</v>
          </cell>
          <cell r="E1521">
            <v>16040</v>
          </cell>
        </row>
        <row r="1522">
          <cell r="B1522">
            <v>43504</v>
          </cell>
          <cell r="E1522">
            <v>16457</v>
          </cell>
        </row>
        <row r="1523">
          <cell r="B1523">
            <v>43511</v>
          </cell>
          <cell r="E1523">
            <v>17297</v>
          </cell>
        </row>
        <row r="1524">
          <cell r="B1524">
            <v>43518</v>
          </cell>
          <cell r="E1524">
            <v>16888</v>
          </cell>
        </row>
        <row r="1525">
          <cell r="B1525">
            <v>43525</v>
          </cell>
          <cell r="E1525">
            <v>15577</v>
          </cell>
        </row>
        <row r="1526">
          <cell r="B1526">
            <v>43532</v>
          </cell>
          <cell r="E1526">
            <v>16512</v>
          </cell>
        </row>
        <row r="1527">
          <cell r="B1527">
            <v>43539</v>
          </cell>
          <cell r="E1527">
            <v>16708</v>
          </cell>
        </row>
        <row r="1528">
          <cell r="B1528">
            <v>43546</v>
          </cell>
          <cell r="E1528">
            <v>15634</v>
          </cell>
        </row>
        <row r="1529">
          <cell r="B1529">
            <v>43553</v>
          </cell>
          <cell r="E1529">
            <v>15878</v>
          </cell>
        </row>
        <row r="1530">
          <cell r="B1530">
            <v>43560</v>
          </cell>
          <cell r="E1530">
            <v>14734</v>
          </cell>
        </row>
        <row r="1531">
          <cell r="B1531">
            <v>43567</v>
          </cell>
          <cell r="E1531">
            <v>14882</v>
          </cell>
        </row>
        <row r="1532">
          <cell r="B1532">
            <v>43574</v>
          </cell>
          <cell r="E1532">
            <v>14443</v>
          </cell>
        </row>
        <row r="1533">
          <cell r="B1533">
            <v>43581</v>
          </cell>
          <cell r="E1533">
            <v>13437</v>
          </cell>
        </row>
        <row r="1534">
          <cell r="B1534">
            <v>43588</v>
          </cell>
          <cell r="E1534">
            <v>12342</v>
          </cell>
        </row>
        <row r="1535">
          <cell r="B1535">
            <v>43595</v>
          </cell>
          <cell r="E1535">
            <v>11163</v>
          </cell>
        </row>
        <row r="1536">
          <cell r="B1536">
            <v>43602</v>
          </cell>
          <cell r="E1536">
            <v>11504</v>
          </cell>
        </row>
        <row r="1537">
          <cell r="B1537">
            <v>43609</v>
          </cell>
          <cell r="E1537">
            <v>11250</v>
          </cell>
        </row>
        <row r="1538">
          <cell r="B1538">
            <v>43616</v>
          </cell>
          <cell r="E1538">
            <v>11467</v>
          </cell>
        </row>
        <row r="1539">
          <cell r="B1539">
            <v>43623</v>
          </cell>
          <cell r="E1539">
            <v>12295</v>
          </cell>
        </row>
        <row r="1540">
          <cell r="B1540">
            <v>43630</v>
          </cell>
          <cell r="E1540">
            <v>12491</v>
          </cell>
        </row>
        <row r="1541">
          <cell r="B1541">
            <v>43637</v>
          </cell>
          <cell r="E1541">
            <v>12236</v>
          </cell>
        </row>
        <row r="1542">
          <cell r="B1542">
            <v>43644</v>
          </cell>
          <cell r="E1542">
            <v>11428</v>
          </cell>
        </row>
        <row r="1543">
          <cell r="B1543">
            <v>43651</v>
          </cell>
          <cell r="E1543">
            <v>11309</v>
          </cell>
        </row>
        <row r="1544">
          <cell r="B1544">
            <v>43658</v>
          </cell>
          <cell r="E1544">
            <v>10163</v>
          </cell>
        </row>
        <row r="1545">
          <cell r="B1545">
            <v>43665</v>
          </cell>
          <cell r="E1545">
            <v>9215</v>
          </cell>
        </row>
        <row r="1546">
          <cell r="B1546">
            <v>43672</v>
          </cell>
          <cell r="E1546">
            <v>9991</v>
          </cell>
        </row>
        <row r="1547">
          <cell r="B1547">
            <v>43679</v>
          </cell>
          <cell r="E1547">
            <v>10279</v>
          </cell>
        </row>
        <row r="1548">
          <cell r="B1548">
            <v>43686</v>
          </cell>
          <cell r="E1548">
            <v>9793</v>
          </cell>
        </row>
        <row r="1549">
          <cell r="B1549">
            <v>43693</v>
          </cell>
          <cell r="E1549">
            <v>10562</v>
          </cell>
        </row>
        <row r="1550">
          <cell r="B1550">
            <v>43700</v>
          </cell>
          <cell r="E1550">
            <v>11272</v>
          </cell>
        </row>
        <row r="1551">
          <cell r="B1551">
            <v>43707</v>
          </cell>
          <cell r="E1551">
            <v>11285</v>
          </cell>
        </row>
        <row r="1552">
          <cell r="B1552">
            <v>43714</v>
          </cell>
          <cell r="E1552">
            <v>11157</v>
          </cell>
        </row>
        <row r="1553">
          <cell r="B1553">
            <v>43721</v>
          </cell>
          <cell r="E1553">
            <v>10000</v>
          </cell>
        </row>
        <row r="1554">
          <cell r="B1554">
            <v>43728</v>
          </cell>
          <cell r="E1554">
            <v>10072</v>
          </cell>
        </row>
        <row r="1555">
          <cell r="B1555">
            <v>43735</v>
          </cell>
          <cell r="E1555">
            <v>10146</v>
          </cell>
        </row>
        <row r="1556">
          <cell r="B1556">
            <v>43742</v>
          </cell>
          <cell r="E1556">
            <v>9764</v>
          </cell>
        </row>
        <row r="1557">
          <cell r="B1557">
            <v>43749</v>
          </cell>
          <cell r="E1557">
            <v>10934</v>
          </cell>
        </row>
        <row r="1558">
          <cell r="B1558">
            <v>43756</v>
          </cell>
          <cell r="E1558">
            <v>11026</v>
          </cell>
        </row>
        <row r="1559">
          <cell r="B1559">
            <v>43763</v>
          </cell>
          <cell r="E1559">
            <v>11738</v>
          </cell>
        </row>
        <row r="1560">
          <cell r="B1560">
            <v>43770</v>
          </cell>
          <cell r="E1560">
            <v>11739</v>
          </cell>
        </row>
        <row r="1561">
          <cell r="B1561">
            <v>43777</v>
          </cell>
          <cell r="E1561">
            <v>10670</v>
          </cell>
        </row>
        <row r="1562">
          <cell r="B1562">
            <v>43784</v>
          </cell>
          <cell r="E1562">
            <v>10839</v>
          </cell>
        </row>
        <row r="1563">
          <cell r="B1563">
            <v>43791</v>
          </cell>
          <cell r="E1563">
            <v>11236</v>
          </cell>
        </row>
        <row r="1564">
          <cell r="B1564">
            <v>43798</v>
          </cell>
          <cell r="E1564">
            <v>11258</v>
          </cell>
        </row>
        <row r="1565">
          <cell r="B1565">
            <v>43805</v>
          </cell>
          <cell r="E1565">
            <v>12924</v>
          </cell>
        </row>
        <row r="1566">
          <cell r="B1566">
            <v>43812</v>
          </cell>
          <cell r="E1566">
            <v>12267</v>
          </cell>
        </row>
        <row r="1567">
          <cell r="B1567">
            <v>43819</v>
          </cell>
          <cell r="E1567">
            <v>12662</v>
          </cell>
        </row>
        <row r="1568">
          <cell r="B1568">
            <v>43826</v>
          </cell>
          <cell r="E1568">
            <v>11596</v>
          </cell>
        </row>
        <row r="1569">
          <cell r="B1569">
            <v>43833</v>
          </cell>
          <cell r="E1569">
            <v>12062</v>
          </cell>
        </row>
        <row r="1570">
          <cell r="B1570">
            <v>43840</v>
          </cell>
          <cell r="E1570">
            <v>13132</v>
          </cell>
        </row>
        <row r="1571">
          <cell r="B1571">
            <v>43847</v>
          </cell>
          <cell r="E1571">
            <v>12972</v>
          </cell>
        </row>
        <row r="1572">
          <cell r="B1572">
            <v>43854</v>
          </cell>
          <cell r="E1572">
            <v>13056</v>
          </cell>
        </row>
        <row r="1573">
          <cell r="B1573">
            <v>43861</v>
          </cell>
          <cell r="E1573">
            <v>13524</v>
          </cell>
        </row>
        <row r="1574">
          <cell r="B1574">
            <v>43868</v>
          </cell>
          <cell r="E1574">
            <v>13166</v>
          </cell>
        </row>
        <row r="1575">
          <cell r="B1575">
            <v>43875</v>
          </cell>
          <cell r="E1575">
            <v>13500</v>
          </cell>
        </row>
        <row r="1576">
          <cell r="B1576">
            <v>43882</v>
          </cell>
          <cell r="E1576">
            <v>12845</v>
          </cell>
        </row>
        <row r="1577">
          <cell r="B1577">
            <v>43889</v>
          </cell>
          <cell r="E1577">
            <v>14237</v>
          </cell>
        </row>
        <row r="1578">
          <cell r="B1578">
            <v>43896</v>
          </cell>
          <cell r="E1578">
            <v>14592</v>
          </cell>
        </row>
        <row r="1579">
          <cell r="B1579">
            <v>43903</v>
          </cell>
          <cell r="E1579">
            <v>14164</v>
          </cell>
        </row>
        <row r="1580">
          <cell r="B1580">
            <v>43910</v>
          </cell>
          <cell r="E1580">
            <v>15245</v>
          </cell>
        </row>
        <row r="1581">
          <cell r="B1581">
            <v>43917</v>
          </cell>
          <cell r="E1581">
            <v>14099</v>
          </cell>
        </row>
        <row r="1582">
          <cell r="B1582">
            <v>43924</v>
          </cell>
          <cell r="E1582">
            <v>14422</v>
          </cell>
        </row>
        <row r="1583">
          <cell r="B1583">
            <v>43931</v>
          </cell>
          <cell r="E1583">
            <v>16476</v>
          </cell>
        </row>
        <row r="1584">
          <cell r="B1584">
            <v>43938</v>
          </cell>
          <cell r="E1584">
            <v>16273</v>
          </cell>
        </row>
        <row r="1585">
          <cell r="B1585">
            <v>43945</v>
          </cell>
          <cell r="E1585">
            <v>15614</v>
          </cell>
        </row>
        <row r="1586">
          <cell r="B1586">
            <v>43952</v>
          </cell>
          <cell r="E1586">
            <v>16341</v>
          </cell>
        </row>
        <row r="1587">
          <cell r="B1587">
            <v>43959</v>
          </cell>
          <cell r="E1587">
            <v>15366</v>
          </cell>
        </row>
        <row r="1588">
          <cell r="B1588">
            <v>43966</v>
          </cell>
          <cell r="E1588">
            <v>15209</v>
          </cell>
        </row>
        <row r="1589">
          <cell r="B1589">
            <v>43973</v>
          </cell>
          <cell r="E1589">
            <v>14191</v>
          </cell>
        </row>
        <row r="1590">
          <cell r="B1590">
            <v>43980</v>
          </cell>
          <cell r="E1590">
            <v>15809</v>
          </cell>
        </row>
        <row r="1591">
          <cell r="B1591">
            <v>43987</v>
          </cell>
          <cell r="E1591">
            <v>15345</v>
          </cell>
        </row>
        <row r="1592">
          <cell r="B1592">
            <v>43994</v>
          </cell>
          <cell r="E1592">
            <v>15242</v>
          </cell>
        </row>
        <row r="1593">
          <cell r="B1593">
            <v>44001</v>
          </cell>
          <cell r="E1593">
            <v>14950</v>
          </cell>
        </row>
        <row r="1594">
          <cell r="B1594">
            <v>44008</v>
          </cell>
          <cell r="E1594">
            <v>15114</v>
          </cell>
        </row>
        <row r="1595">
          <cell r="B1595">
            <v>44015</v>
          </cell>
          <cell r="E1595">
            <v>16557</v>
          </cell>
        </row>
        <row r="1596">
          <cell r="B1596">
            <v>44022</v>
          </cell>
          <cell r="E1596">
            <v>16071</v>
          </cell>
        </row>
        <row r="1597">
          <cell r="B1597">
            <v>44029</v>
          </cell>
          <cell r="E1597">
            <v>16245</v>
          </cell>
        </row>
        <row r="1598">
          <cell r="B1598">
            <v>44036</v>
          </cell>
          <cell r="E1598">
            <v>16530</v>
          </cell>
        </row>
        <row r="1599">
          <cell r="B1599">
            <v>44043</v>
          </cell>
          <cell r="E1599">
            <v>14594</v>
          </cell>
        </row>
        <row r="1600">
          <cell r="B1600">
            <v>44050</v>
          </cell>
          <cell r="E1600">
            <v>15840</v>
          </cell>
        </row>
        <row r="1601">
          <cell r="B1601">
            <v>44057</v>
          </cell>
          <cell r="E1601">
            <v>14830</v>
          </cell>
        </row>
        <row r="1602">
          <cell r="B1602">
            <v>44064</v>
          </cell>
          <cell r="E1602">
            <v>13643</v>
          </cell>
        </row>
        <row r="1603">
          <cell r="B1603">
            <v>44071</v>
          </cell>
          <cell r="E1603">
            <v>14024</v>
          </cell>
        </row>
        <row r="1604">
          <cell r="B1604">
            <v>44078</v>
          </cell>
          <cell r="E1604">
            <v>14761</v>
          </cell>
        </row>
        <row r="1605">
          <cell r="B1605">
            <v>44085</v>
          </cell>
          <cell r="E1605">
            <v>17451</v>
          </cell>
        </row>
        <row r="1606">
          <cell r="B1606">
            <v>44092</v>
          </cell>
          <cell r="E1606">
            <v>14241</v>
          </cell>
        </row>
        <row r="1607">
          <cell r="B1607">
            <v>44099</v>
          </cell>
          <cell r="E1607">
            <v>13566</v>
          </cell>
        </row>
        <row r="1608">
          <cell r="B1608">
            <v>44106</v>
          </cell>
          <cell r="E1608">
            <v>13781</v>
          </cell>
        </row>
        <row r="1609">
          <cell r="B1609">
            <v>44113</v>
          </cell>
          <cell r="E1609">
            <v>13839</v>
          </cell>
        </row>
        <row r="1610">
          <cell r="B1610">
            <v>44120</v>
          </cell>
          <cell r="E1610">
            <v>13299</v>
          </cell>
        </row>
        <row r="1611">
          <cell r="B1611">
            <v>44127</v>
          </cell>
          <cell r="E1611">
            <v>11202</v>
          </cell>
        </row>
        <row r="1612">
          <cell r="B1612">
            <v>44134</v>
          </cell>
          <cell r="E1612">
            <v>12867</v>
          </cell>
        </row>
        <row r="1613">
          <cell r="B1613">
            <v>44141</v>
          </cell>
          <cell r="E1613">
            <v>13352</v>
          </cell>
        </row>
        <row r="1614">
          <cell r="B1614">
            <v>44148</v>
          </cell>
          <cell r="E1614">
            <v>12434</v>
          </cell>
        </row>
        <row r="1615">
          <cell r="B1615">
            <v>44155</v>
          </cell>
          <cell r="E1615">
            <v>12546</v>
          </cell>
        </row>
        <row r="1616">
          <cell r="B1616">
            <v>44162</v>
          </cell>
          <cell r="E1616">
            <v>12210</v>
          </cell>
        </row>
        <row r="1617">
          <cell r="B1617">
            <v>44169</v>
          </cell>
          <cell r="E1617">
            <v>12433</v>
          </cell>
        </row>
        <row r="1618">
          <cell r="B1618">
            <v>44176</v>
          </cell>
          <cell r="E1618">
            <v>12720</v>
          </cell>
        </row>
        <row r="1619">
          <cell r="B1619">
            <v>44183</v>
          </cell>
          <cell r="E1619">
            <v>13511</v>
          </cell>
        </row>
        <row r="1620">
          <cell r="B1620">
            <v>44190</v>
          </cell>
          <cell r="E1620">
            <v>13922</v>
          </cell>
        </row>
        <row r="1621">
          <cell r="B1621">
            <v>44197</v>
          </cell>
          <cell r="E1621">
            <v>13922</v>
          </cell>
        </row>
        <row r="1622">
          <cell r="B1622">
            <v>44204</v>
          </cell>
          <cell r="E1622">
            <v>15614</v>
          </cell>
        </row>
        <row r="1623">
          <cell r="B1623">
            <v>44211</v>
          </cell>
          <cell r="E1623">
            <v>15488</v>
          </cell>
        </row>
        <row r="1624">
          <cell r="B1624">
            <v>44218</v>
          </cell>
          <cell r="E1624">
            <v>13962</v>
          </cell>
        </row>
        <row r="1625">
          <cell r="B1625">
            <v>44225</v>
          </cell>
          <cell r="E1625">
            <v>15964</v>
          </cell>
        </row>
        <row r="1626">
          <cell r="B1626">
            <v>44232</v>
          </cell>
          <cell r="E1626">
            <v>15529</v>
          </cell>
        </row>
        <row r="1627">
          <cell r="B1627">
            <v>44239</v>
          </cell>
          <cell r="E1627">
            <v>15719</v>
          </cell>
        </row>
        <row r="1628">
          <cell r="B1628">
            <v>44246</v>
          </cell>
          <cell r="E1628">
            <v>15488</v>
          </cell>
        </row>
        <row r="1629">
          <cell r="B1629">
            <v>44253</v>
          </cell>
          <cell r="E1629">
            <v>15907</v>
          </cell>
        </row>
        <row r="1630">
          <cell r="B1630">
            <v>44260</v>
          </cell>
          <cell r="E1630">
            <v>15951</v>
          </cell>
        </row>
        <row r="1631">
          <cell r="B1631">
            <v>44267</v>
          </cell>
          <cell r="E1631">
            <v>15505</v>
          </cell>
        </row>
        <row r="1632">
          <cell r="B1632">
            <v>44274</v>
          </cell>
          <cell r="E1632">
            <v>14647</v>
          </cell>
        </row>
        <row r="1633">
          <cell r="B1633">
            <v>44281</v>
          </cell>
          <cell r="E1633">
            <v>14250</v>
          </cell>
        </row>
        <row r="1634">
          <cell r="B1634">
            <v>44288</v>
          </cell>
          <cell r="E1634">
            <v>14594</v>
          </cell>
        </row>
        <row r="1635">
          <cell r="B1635">
            <v>44295</v>
          </cell>
          <cell r="E1635">
            <v>14740</v>
          </cell>
        </row>
        <row r="1636">
          <cell r="B1636">
            <v>44302</v>
          </cell>
          <cell r="E1636">
            <v>13472</v>
          </cell>
        </row>
        <row r="1637">
          <cell r="B1637">
            <v>44309</v>
          </cell>
          <cell r="E1637">
            <v>12385</v>
          </cell>
        </row>
        <row r="1638">
          <cell r="B1638">
            <v>44316</v>
          </cell>
          <cell r="E1638">
            <v>11899</v>
          </cell>
        </row>
        <row r="1639">
          <cell r="B1639">
            <v>44323</v>
          </cell>
          <cell r="E1639">
            <v>12380</v>
          </cell>
        </row>
        <row r="1640">
          <cell r="B1640">
            <v>44330</v>
          </cell>
          <cell r="E1640">
            <v>12561</v>
          </cell>
        </row>
        <row r="1641">
          <cell r="B1641">
            <v>44337</v>
          </cell>
          <cell r="E1641">
            <v>12522</v>
          </cell>
        </row>
        <row r="1642">
          <cell r="B1642">
            <v>44344</v>
          </cell>
          <cell r="E1642">
            <v>13615</v>
          </cell>
        </row>
        <row r="1643">
          <cell r="B1643">
            <v>44351</v>
          </cell>
          <cell r="E1643">
            <v>12105</v>
          </cell>
        </row>
        <row r="1644">
          <cell r="B1644">
            <v>44358</v>
          </cell>
          <cell r="E1644">
            <v>14225</v>
          </cell>
        </row>
        <row r="1645">
          <cell r="B1645">
            <v>44365</v>
          </cell>
          <cell r="E1645">
            <v>13482</v>
          </cell>
        </row>
        <row r="1646">
          <cell r="B1646">
            <v>44372</v>
          </cell>
          <cell r="E1646">
            <v>12758</v>
          </cell>
        </row>
        <row r="1647">
          <cell r="B1647">
            <v>44379</v>
          </cell>
          <cell r="E1647">
            <v>14252</v>
          </cell>
        </row>
        <row r="1648">
          <cell r="B1648">
            <v>44386</v>
          </cell>
          <cell r="E1648">
            <v>14573</v>
          </cell>
        </row>
        <row r="1649">
          <cell r="B1649">
            <v>44393</v>
          </cell>
          <cell r="E1649">
            <v>12292</v>
          </cell>
        </row>
        <row r="1650">
          <cell r="B1650">
            <v>44400</v>
          </cell>
          <cell r="E1650">
            <v>13759</v>
          </cell>
        </row>
        <row r="1651">
          <cell r="B1651">
            <v>44407</v>
          </cell>
          <cell r="E1651">
            <v>13534</v>
          </cell>
        </row>
        <row r="1652">
          <cell r="B1652">
            <v>44414</v>
          </cell>
          <cell r="E1652">
            <v>12872</v>
          </cell>
        </row>
        <row r="1653">
          <cell r="B1653">
            <v>44421</v>
          </cell>
          <cell r="E1653">
            <v>13394</v>
          </cell>
        </row>
        <row r="1654">
          <cell r="B1654">
            <v>44428</v>
          </cell>
          <cell r="E1654">
            <v>13231</v>
          </cell>
        </row>
        <row r="1655">
          <cell r="B1655">
            <v>44435</v>
          </cell>
          <cell r="E1655">
            <v>13181</v>
          </cell>
        </row>
        <row r="1656">
          <cell r="B1656">
            <v>44442</v>
          </cell>
          <cell r="E1656">
            <v>13250</v>
          </cell>
        </row>
        <row r="1657">
          <cell r="B1657">
            <v>44449</v>
          </cell>
          <cell r="E1657">
            <v>13980</v>
          </cell>
        </row>
        <row r="1658">
          <cell r="B1658">
            <v>44456</v>
          </cell>
          <cell r="E1658">
            <v>13056</v>
          </cell>
        </row>
        <row r="1659">
          <cell r="B1659">
            <v>44463</v>
          </cell>
          <cell r="E1659">
            <v>11847</v>
          </cell>
        </row>
        <row r="1660">
          <cell r="B1660">
            <v>44470</v>
          </cell>
          <cell r="E1660">
            <v>11630</v>
          </cell>
        </row>
        <row r="1661">
          <cell r="B1661">
            <v>44477</v>
          </cell>
          <cell r="E1661">
            <v>11548</v>
          </cell>
        </row>
        <row r="1662">
          <cell r="B1662">
            <v>44484</v>
          </cell>
          <cell r="E1662">
            <v>12344</v>
          </cell>
        </row>
        <row r="1663">
          <cell r="B1663">
            <v>44491</v>
          </cell>
          <cell r="E1663">
            <v>12187</v>
          </cell>
        </row>
        <row r="1664">
          <cell r="B1664">
            <v>44498</v>
          </cell>
          <cell r="E1664">
            <v>10368</v>
          </cell>
        </row>
        <row r="1665">
          <cell r="B1665">
            <v>44505</v>
          </cell>
          <cell r="E1665">
            <v>9853</v>
          </cell>
        </row>
        <row r="1666">
          <cell r="B1666">
            <v>44512</v>
          </cell>
          <cell r="E1666">
            <v>11210</v>
          </cell>
        </row>
        <row r="1667">
          <cell r="B1667">
            <v>44519</v>
          </cell>
          <cell r="E1667">
            <v>10985</v>
          </cell>
        </row>
        <row r="1668">
          <cell r="B1668">
            <v>44526</v>
          </cell>
          <cell r="E1668">
            <v>12280</v>
          </cell>
        </row>
        <row r="1669">
          <cell r="B1669">
            <v>44533</v>
          </cell>
          <cell r="E1669">
            <v>11960</v>
          </cell>
        </row>
        <row r="1670">
          <cell r="B1670">
            <v>44540</v>
          </cell>
          <cell r="E1670">
            <v>12073</v>
          </cell>
        </row>
        <row r="1671">
          <cell r="B1671">
            <v>44547</v>
          </cell>
          <cell r="E1671">
            <v>12022</v>
          </cell>
        </row>
        <row r="1672">
          <cell r="B1672">
            <v>44554</v>
          </cell>
          <cell r="E1672">
            <v>11505</v>
          </cell>
        </row>
        <row r="1673">
          <cell r="B1673">
            <v>44561</v>
          </cell>
          <cell r="E1673">
            <v>13062</v>
          </cell>
        </row>
        <row r="1674">
          <cell r="B1674">
            <v>44568</v>
          </cell>
          <cell r="E1674">
            <v>13652</v>
          </cell>
        </row>
        <row r="1675">
          <cell r="B1675">
            <v>44575</v>
          </cell>
          <cell r="E1675">
            <v>13534</v>
          </cell>
        </row>
        <row r="1676">
          <cell r="B1676">
            <v>44582</v>
          </cell>
          <cell r="E1676">
            <v>13975</v>
          </cell>
        </row>
        <row r="1677">
          <cell r="B1677">
            <v>44589</v>
          </cell>
          <cell r="E1677">
            <v>15730</v>
          </cell>
        </row>
        <row r="1678">
          <cell r="B1678">
            <v>44596</v>
          </cell>
          <cell r="E1678">
            <v>14302</v>
          </cell>
        </row>
        <row r="1679">
          <cell r="B1679">
            <v>44603</v>
          </cell>
          <cell r="E1679">
            <v>14150</v>
          </cell>
        </row>
        <row r="1680">
          <cell r="B1680">
            <v>44610</v>
          </cell>
          <cell r="E1680">
            <v>14444</v>
          </cell>
        </row>
        <row r="1681">
          <cell r="B1681">
            <v>44617</v>
          </cell>
          <cell r="E1681">
            <v>13756</v>
          </cell>
        </row>
        <row r="1682">
          <cell r="B1682">
            <v>44624</v>
          </cell>
          <cell r="E1682">
            <v>13717</v>
          </cell>
        </row>
        <row r="1683">
          <cell r="B1683">
            <v>44631</v>
          </cell>
          <cell r="E1683">
            <v>14003</v>
          </cell>
        </row>
        <row r="1684">
          <cell r="B1684">
            <v>44638</v>
          </cell>
          <cell r="E1684">
            <v>14888</v>
          </cell>
        </row>
        <row r="1685">
          <cell r="B1685">
            <v>44645</v>
          </cell>
          <cell r="E1685">
            <v>13794</v>
          </cell>
        </row>
        <row r="1686">
          <cell r="B1686">
            <v>44652</v>
          </cell>
          <cell r="E1686">
            <v>12649</v>
          </cell>
        </row>
        <row r="1687">
          <cell r="B1687">
            <v>44659</v>
          </cell>
          <cell r="E1687">
            <v>11076</v>
          </cell>
        </row>
        <row r="1688">
          <cell r="B1688">
            <v>44666</v>
          </cell>
          <cell r="E1688">
            <v>12998</v>
          </cell>
        </row>
        <row r="1689">
          <cell r="B1689">
            <v>44673</v>
          </cell>
          <cell r="E1689">
            <v>13266</v>
          </cell>
        </row>
        <row r="1690">
          <cell r="B1690">
            <v>44680</v>
          </cell>
          <cell r="E1690">
            <v>14816</v>
          </cell>
        </row>
        <row r="1691">
          <cell r="B1691">
            <v>44687</v>
          </cell>
          <cell r="E1691">
            <v>14559</v>
          </cell>
        </row>
        <row r="1692">
          <cell r="B1692">
            <v>44694</v>
          </cell>
          <cell r="E1692">
            <v>13744</v>
          </cell>
        </row>
        <row r="1693">
          <cell r="B1693">
            <v>44701</v>
          </cell>
          <cell r="E1693">
            <v>15461</v>
          </cell>
        </row>
        <row r="1694">
          <cell r="B1694">
            <v>44708</v>
          </cell>
          <cell r="E1694">
            <v>15260</v>
          </cell>
        </row>
        <row r="1695">
          <cell r="B1695">
            <v>44715</v>
          </cell>
          <cell r="E1695">
            <v>15121</v>
          </cell>
        </row>
        <row r="1696">
          <cell r="B1696">
            <v>44722</v>
          </cell>
          <cell r="E1696">
            <v>15812</v>
          </cell>
        </row>
        <row r="1697">
          <cell r="B1697">
            <v>44729</v>
          </cell>
          <cell r="E1697">
            <v>15212</v>
          </cell>
        </row>
        <row r="1698">
          <cell r="B1698">
            <v>44736</v>
          </cell>
          <cell r="E1698">
            <v>15229</v>
          </cell>
        </row>
        <row r="1699">
          <cell r="B1699">
            <v>44743</v>
          </cell>
          <cell r="E1699">
            <v>16839</v>
          </cell>
        </row>
        <row r="1700">
          <cell r="B1700">
            <v>44750</v>
          </cell>
          <cell r="E1700">
            <v>15158</v>
          </cell>
        </row>
        <row r="1701">
          <cell r="B1701">
            <v>44757</v>
          </cell>
          <cell r="E1701">
            <v>16206</v>
          </cell>
        </row>
        <row r="1702">
          <cell r="B1702">
            <v>44764</v>
          </cell>
          <cell r="E1702">
            <v>18021</v>
          </cell>
        </row>
        <row r="1703">
          <cell r="B1703">
            <v>44771</v>
          </cell>
          <cell r="E1703">
            <v>17417</v>
          </cell>
        </row>
        <row r="1704">
          <cell r="B1704">
            <v>44778</v>
          </cell>
          <cell r="E1704">
            <v>17667</v>
          </cell>
        </row>
        <row r="1705">
          <cell r="B1705">
            <v>44785</v>
          </cell>
          <cell r="E1705">
            <v>16699</v>
          </cell>
        </row>
        <row r="1706">
          <cell r="B1706">
            <v>44792</v>
          </cell>
          <cell r="E1706">
            <v>17349</v>
          </cell>
        </row>
        <row r="1707">
          <cell r="B1707">
            <v>44799</v>
          </cell>
          <cell r="E1707">
            <v>16332</v>
          </cell>
        </row>
        <row r="1708">
          <cell r="B1708">
            <v>44806</v>
          </cell>
          <cell r="E1708">
            <v>15656</v>
          </cell>
        </row>
        <row r="1709">
          <cell r="B1709">
            <v>44813</v>
          </cell>
          <cell r="E1709">
            <v>15589</v>
          </cell>
        </row>
        <row r="1710">
          <cell r="B1710">
            <v>44820</v>
          </cell>
          <cell r="E1710">
            <v>15365</v>
          </cell>
        </row>
        <row r="1711">
          <cell r="B1711">
            <v>44827</v>
          </cell>
          <cell r="E1711">
            <v>15641</v>
          </cell>
        </row>
        <row r="1712">
          <cell r="B1712">
            <v>44834</v>
          </cell>
          <cell r="E1712">
            <v>16202</v>
          </cell>
        </row>
        <row r="1713">
          <cell r="B1713">
            <v>44841</v>
          </cell>
          <cell r="E1713">
            <v>16577</v>
          </cell>
        </row>
        <row r="1714">
          <cell r="B1714">
            <v>44848</v>
          </cell>
          <cell r="E1714">
            <v>15184</v>
          </cell>
        </row>
        <row r="1715">
          <cell r="B1715">
            <v>44855</v>
          </cell>
          <cell r="E1715">
            <v>15027</v>
          </cell>
        </row>
        <row r="1716">
          <cell r="B1716">
            <v>44862</v>
          </cell>
          <cell r="E1716">
            <v>14650</v>
          </cell>
        </row>
        <row r="1717">
          <cell r="B1717">
            <v>44869</v>
          </cell>
          <cell r="E1717">
            <v>13518</v>
          </cell>
        </row>
        <row r="1718">
          <cell r="B1718">
            <v>44876</v>
          </cell>
          <cell r="E1718">
            <v>13166</v>
          </cell>
        </row>
        <row r="1719">
          <cell r="B1719">
            <v>44883</v>
          </cell>
          <cell r="E1719">
            <v>12978</v>
          </cell>
        </row>
        <row r="1720">
          <cell r="B1720">
            <v>44890</v>
          </cell>
          <cell r="E1720">
            <v>14641</v>
          </cell>
        </row>
        <row r="1721">
          <cell r="B1721">
            <v>44897</v>
          </cell>
          <cell r="E1721">
            <v>13388</v>
          </cell>
        </row>
        <row r="1722">
          <cell r="B1722">
            <v>44904</v>
          </cell>
          <cell r="E1722">
            <v>13691</v>
          </cell>
        </row>
        <row r="1723">
          <cell r="B1723">
            <v>44911</v>
          </cell>
          <cell r="E1723">
            <v>15819</v>
          </cell>
        </row>
        <row r="1724">
          <cell r="B1724">
            <v>44918</v>
          </cell>
          <cell r="E1724">
            <v>14452</v>
          </cell>
        </row>
        <row r="1725">
          <cell r="B1725">
            <v>44925</v>
          </cell>
          <cell r="E1725">
            <v>15667</v>
          </cell>
        </row>
        <row r="1726">
          <cell r="B1726">
            <v>44932</v>
          </cell>
          <cell r="E1726">
            <v>16462</v>
          </cell>
        </row>
        <row r="1727">
          <cell r="B1727">
            <v>44939</v>
          </cell>
          <cell r="E1727">
            <v>17089</v>
          </cell>
        </row>
        <row r="1728">
          <cell r="B1728">
            <v>44946</v>
          </cell>
          <cell r="E1728">
            <v>15874</v>
          </cell>
        </row>
        <row r="1729">
          <cell r="B1729">
            <v>44953</v>
          </cell>
          <cell r="E1729">
            <v>17156</v>
          </cell>
        </row>
        <row r="1730">
          <cell r="B1730">
            <v>44960</v>
          </cell>
          <cell r="E1730">
            <v>16766</v>
          </cell>
        </row>
        <row r="1731">
          <cell r="B1731">
            <v>44967</v>
          </cell>
          <cell r="E1731">
            <v>17582</v>
          </cell>
        </row>
        <row r="1732">
          <cell r="B1732">
            <v>44974</v>
          </cell>
          <cell r="E1732">
            <v>15578</v>
          </cell>
        </row>
        <row r="1733">
          <cell r="B1733">
            <v>44981</v>
          </cell>
          <cell r="E1733">
            <v>17145</v>
          </cell>
        </row>
        <row r="1734">
          <cell r="B1734">
            <v>44988</v>
          </cell>
          <cell r="E1734">
            <v>15552</v>
          </cell>
        </row>
        <row r="1735">
          <cell r="B1735">
            <v>44995</v>
          </cell>
          <cell r="E1735">
            <v>16910</v>
          </cell>
        </row>
        <row r="1736">
          <cell r="B1736">
            <v>45002</v>
          </cell>
          <cell r="E1736">
            <v>17129</v>
          </cell>
        </row>
        <row r="1737">
          <cell r="B1737">
            <v>45009</v>
          </cell>
          <cell r="E1737">
            <v>15688</v>
          </cell>
        </row>
        <row r="1738">
          <cell r="B1738">
            <v>45016</v>
          </cell>
          <cell r="E1738">
            <v>14957</v>
          </cell>
        </row>
        <row r="1739">
          <cell r="B1739">
            <v>45023</v>
          </cell>
          <cell r="E1739">
            <v>15939</v>
          </cell>
        </row>
        <row r="1740">
          <cell r="B1740">
            <v>45030</v>
          </cell>
          <cell r="E1740">
            <v>15015</v>
          </cell>
        </row>
        <row r="1741">
          <cell r="B1741">
            <v>45037</v>
          </cell>
          <cell r="E1741">
            <v>15120</v>
          </cell>
        </row>
        <row r="1742">
          <cell r="B1742">
            <v>45044</v>
          </cell>
          <cell r="E1742">
            <v>15552</v>
          </cell>
        </row>
        <row r="1743">
          <cell r="B1743">
            <v>45051</v>
          </cell>
          <cell r="E1743">
            <v>16723</v>
          </cell>
        </row>
        <row r="1744">
          <cell r="B1744">
            <v>45058</v>
          </cell>
          <cell r="E1744">
            <v>15810</v>
          </cell>
        </row>
        <row r="1745">
          <cell r="B1745">
            <v>45065</v>
          </cell>
          <cell r="E1745">
            <v>16091</v>
          </cell>
        </row>
        <row r="1746">
          <cell r="B1746">
            <v>45072</v>
          </cell>
          <cell r="E1746">
            <v>15131</v>
          </cell>
        </row>
        <row r="1747">
          <cell r="B1747">
            <v>45079</v>
          </cell>
          <cell r="E1747">
            <v>16315</v>
          </cell>
        </row>
        <row r="1748">
          <cell r="B1748">
            <v>45086</v>
          </cell>
          <cell r="E1748">
            <v>15338</v>
          </cell>
        </row>
        <row r="1749">
          <cell r="B1749">
            <v>45093</v>
          </cell>
          <cell r="E1749">
            <v>14731</v>
          </cell>
        </row>
        <row r="1750">
          <cell r="B1750">
            <v>45100</v>
          </cell>
          <cell r="E1750">
            <v>14626</v>
          </cell>
        </row>
        <row r="1751">
          <cell r="B1751">
            <v>45107</v>
          </cell>
          <cell r="E1751">
            <v>13580</v>
          </cell>
        </row>
        <row r="1752">
          <cell r="B1752">
            <v>45114</v>
          </cell>
          <cell r="E1752">
            <v>13041</v>
          </cell>
        </row>
        <row r="1753">
          <cell r="B1753">
            <v>45121</v>
          </cell>
          <cell r="E1753">
            <v>12176</v>
          </cell>
        </row>
        <row r="1754">
          <cell r="B1754">
            <v>45128</v>
          </cell>
          <cell r="E1754">
            <v>13516</v>
          </cell>
        </row>
        <row r="1755">
          <cell r="B1755">
            <v>45135</v>
          </cell>
          <cell r="E1755">
            <v>13745</v>
          </cell>
        </row>
        <row r="1756">
          <cell r="B1756">
            <v>45142</v>
          </cell>
          <cell r="E1756">
            <v>13094</v>
          </cell>
        </row>
        <row r="1757">
          <cell r="B1757">
            <v>45149</v>
          </cell>
          <cell r="E1757">
            <v>12899</v>
          </cell>
        </row>
        <row r="1758">
          <cell r="B1758">
            <v>45156</v>
          </cell>
          <cell r="E1758">
            <v>12766</v>
          </cell>
        </row>
        <row r="1759">
          <cell r="B1759">
            <v>45163</v>
          </cell>
          <cell r="E1759">
            <v>12928</v>
          </cell>
        </row>
        <row r="1760">
          <cell r="B1760">
            <v>45170</v>
          </cell>
          <cell r="E1760">
            <v>13839</v>
          </cell>
        </row>
        <row r="1761">
          <cell r="B1761">
            <v>45177</v>
          </cell>
          <cell r="E1761">
            <v>12333</v>
          </cell>
        </row>
        <row r="1762">
          <cell r="B1762">
            <v>45184</v>
          </cell>
          <cell r="E1762">
            <v>13138</v>
          </cell>
        </row>
        <row r="1763">
          <cell r="B1763">
            <v>45191</v>
          </cell>
          <cell r="E1763">
            <v>12893</v>
          </cell>
        </row>
        <row r="1764">
          <cell r="B1764">
            <v>45198</v>
          </cell>
          <cell r="E1764">
            <v>12912</v>
          </cell>
        </row>
        <row r="1765">
          <cell r="B1765">
            <v>45205</v>
          </cell>
          <cell r="E1765">
            <v>12258</v>
          </cell>
        </row>
        <row r="1766">
          <cell r="B1766">
            <v>45212</v>
          </cell>
          <cell r="E1766">
            <v>12938</v>
          </cell>
        </row>
        <row r="1767">
          <cell r="B1767">
            <v>45219</v>
          </cell>
          <cell r="E1767">
            <v>11253</v>
          </cell>
        </row>
        <row r="1768">
          <cell r="B1768">
            <v>45226</v>
          </cell>
          <cell r="E1768">
            <v>12271</v>
          </cell>
        </row>
        <row r="1769">
          <cell r="B1769">
            <v>45233</v>
          </cell>
          <cell r="E1769">
            <v>12147</v>
          </cell>
        </row>
        <row r="1770">
          <cell r="B1770">
            <v>45240</v>
          </cell>
          <cell r="E1770">
            <v>13433</v>
          </cell>
        </row>
        <row r="1771">
          <cell r="B1771">
            <v>45247</v>
          </cell>
          <cell r="E1771">
            <v>11726</v>
          </cell>
        </row>
        <row r="1772">
          <cell r="B1772">
            <v>45254</v>
          </cell>
          <cell r="E1772">
            <v>11797</v>
          </cell>
        </row>
        <row r="1773">
          <cell r="B1773">
            <v>45261</v>
          </cell>
          <cell r="E1773">
            <v>12033</v>
          </cell>
        </row>
        <row r="1774">
          <cell r="B1774">
            <v>45268</v>
          </cell>
          <cell r="E1774">
            <v>11500</v>
          </cell>
        </row>
        <row r="1775">
          <cell r="B1775">
            <v>45275</v>
          </cell>
          <cell r="E1775">
            <v>13300</v>
          </cell>
        </row>
        <row r="1776">
          <cell r="B1776">
            <v>45282</v>
          </cell>
          <cell r="E1776">
            <v>13367</v>
          </cell>
        </row>
        <row r="1777">
          <cell r="B1777">
            <v>45289</v>
          </cell>
          <cell r="E1777">
            <v>12990</v>
          </cell>
        </row>
        <row r="1778">
          <cell r="B1778">
            <v>45296</v>
          </cell>
          <cell r="E1778">
            <v>12274</v>
          </cell>
        </row>
        <row r="1779">
          <cell r="B1779">
            <v>45303</v>
          </cell>
          <cell r="E1779">
            <v>12436</v>
          </cell>
        </row>
        <row r="1780">
          <cell r="B1780">
            <v>45310</v>
          </cell>
          <cell r="E1780">
            <v>13074</v>
          </cell>
        </row>
        <row r="1781">
          <cell r="B1781">
            <v>45317</v>
          </cell>
          <cell r="E1781">
            <v>14221</v>
          </cell>
        </row>
        <row r="1782">
          <cell r="B1782">
            <v>45324</v>
          </cell>
          <cell r="E1782">
            <v>12965</v>
          </cell>
        </row>
        <row r="1783">
          <cell r="B1783">
            <v>45331</v>
          </cell>
          <cell r="E1783">
            <v>12908</v>
          </cell>
        </row>
        <row r="1784">
          <cell r="B1784">
            <v>45338</v>
          </cell>
          <cell r="E1784">
            <v>14302</v>
          </cell>
        </row>
        <row r="1785">
          <cell r="B1785">
            <v>45345</v>
          </cell>
          <cell r="E1785">
            <v>16100</v>
          </cell>
        </row>
        <row r="1786">
          <cell r="B1786">
            <v>45352</v>
          </cell>
          <cell r="E1786">
            <v>14835</v>
          </cell>
        </row>
        <row r="1787">
          <cell r="B1787">
            <v>45359</v>
          </cell>
          <cell r="E1787">
            <v>15873</v>
          </cell>
        </row>
        <row r="1788">
          <cell r="B1788">
            <v>45366</v>
          </cell>
          <cell r="E1788">
            <v>15101</v>
          </cell>
        </row>
        <row r="1789">
          <cell r="B1789">
            <v>45373</v>
          </cell>
          <cell r="E1789">
            <v>15239</v>
          </cell>
        </row>
        <row r="1790">
          <cell r="B1790">
            <v>45380</v>
          </cell>
          <cell r="E1790">
            <v>15207</v>
          </cell>
        </row>
        <row r="1791">
          <cell r="B1791">
            <v>45387</v>
          </cell>
          <cell r="E1791">
            <v>16058</v>
          </cell>
        </row>
        <row r="1792">
          <cell r="B1792">
            <v>45394</v>
          </cell>
          <cell r="E1792">
            <v>13753</v>
          </cell>
        </row>
        <row r="1793">
          <cell r="B1793">
            <v>45401</v>
          </cell>
          <cell r="E1793">
            <v>14037</v>
          </cell>
        </row>
        <row r="1794">
          <cell r="B1794">
            <v>45408</v>
          </cell>
          <cell r="E1794">
            <v>15820</v>
          </cell>
        </row>
        <row r="1795">
          <cell r="B1795">
            <v>45415</v>
          </cell>
          <cell r="E1795">
            <v>15107</v>
          </cell>
        </row>
        <row r="1796">
          <cell r="B1796">
            <v>45422</v>
          </cell>
          <cell r="E1796">
            <v>15256</v>
          </cell>
        </row>
        <row r="1797">
          <cell r="B1797">
            <v>45429</v>
          </cell>
          <cell r="E1797">
            <v>14536</v>
          </cell>
        </row>
        <row r="1798">
          <cell r="B1798">
            <v>45436</v>
          </cell>
          <cell r="E1798">
            <v>14697</v>
          </cell>
        </row>
        <row r="1799">
          <cell r="B1799">
            <v>45443</v>
          </cell>
          <cell r="E1799">
            <v>16215</v>
          </cell>
        </row>
        <row r="1800">
          <cell r="B1800">
            <v>45450</v>
          </cell>
          <cell r="E1800">
            <v>15137</v>
          </cell>
        </row>
        <row r="1801">
          <cell r="B1801">
            <v>45457</v>
          </cell>
          <cell r="E1801">
            <v>14546</v>
          </cell>
        </row>
        <row r="1802">
          <cell r="B1802">
            <v>45464</v>
          </cell>
          <cell r="E1802">
            <v>14807</v>
          </cell>
        </row>
        <row r="1803">
          <cell r="B1803">
            <v>45471</v>
          </cell>
          <cell r="E1803">
            <v>15509</v>
          </cell>
        </row>
        <row r="1804">
          <cell r="B1804">
            <v>45478</v>
          </cell>
          <cell r="E1804">
            <v>13307</v>
          </cell>
        </row>
        <row r="1805">
          <cell r="B1805">
            <v>45485</v>
          </cell>
          <cell r="E1805">
            <v>14513</v>
          </cell>
        </row>
        <row r="1806">
          <cell r="B1806">
            <v>45492</v>
          </cell>
          <cell r="E1806">
            <v>15737</v>
          </cell>
        </row>
        <row r="1807">
          <cell r="B1807">
            <v>45499</v>
          </cell>
          <cell r="E1807">
            <v>14398</v>
          </cell>
        </row>
        <row r="1808">
          <cell r="B1808">
            <v>45506</v>
          </cell>
          <cell r="E1808">
            <v>14071</v>
          </cell>
        </row>
        <row r="1809">
          <cell r="B1809">
            <v>45513</v>
          </cell>
          <cell r="E1809">
            <v>15095</v>
          </cell>
        </row>
        <row r="1810">
          <cell r="B1810">
            <v>45520</v>
          </cell>
          <cell r="E1810">
            <v>15961</v>
          </cell>
        </row>
        <row r="1811">
          <cell r="B1811">
            <v>45527</v>
          </cell>
          <cell r="E1811">
            <v>15632</v>
          </cell>
        </row>
        <row r="1812">
          <cell r="B1812">
            <v>45534</v>
          </cell>
          <cell r="E1812">
            <v>15870</v>
          </cell>
        </row>
        <row r="1813">
          <cell r="B1813">
            <v>45541</v>
          </cell>
          <cell r="E1813">
            <v>15099</v>
          </cell>
        </row>
        <row r="1814">
          <cell r="B1814">
            <v>45548</v>
          </cell>
          <cell r="E1814">
            <v>14085</v>
          </cell>
        </row>
        <row r="1815">
          <cell r="B1815">
            <v>45555</v>
          </cell>
          <cell r="E1815">
            <v>14463</v>
          </cell>
        </row>
        <row r="1816">
          <cell r="B1816">
            <v>45562</v>
          </cell>
          <cell r="E1816">
            <v>15314</v>
          </cell>
        </row>
        <row r="1817">
          <cell r="B1817">
            <v>45569</v>
          </cell>
          <cell r="E1817">
            <v>14189</v>
          </cell>
        </row>
        <row r="1818">
          <cell r="B1818">
            <v>45576</v>
          </cell>
          <cell r="E1818">
            <v>12893</v>
          </cell>
        </row>
        <row r="1819">
          <cell r="B1819">
            <v>45583</v>
          </cell>
          <cell r="E1819">
            <v>12046</v>
          </cell>
        </row>
        <row r="1820">
          <cell r="B1820">
            <v>45590</v>
          </cell>
          <cell r="E1820">
            <v>11744</v>
          </cell>
        </row>
        <row r="1821">
          <cell r="B1821">
            <v>45597</v>
          </cell>
          <cell r="E1821">
            <v>13917</v>
          </cell>
        </row>
        <row r="1822">
          <cell r="B1822">
            <v>45604</v>
          </cell>
          <cell r="E1822">
            <v>14124</v>
          </cell>
        </row>
        <row r="1823">
          <cell r="B1823">
            <v>45611</v>
          </cell>
          <cell r="E1823">
            <v>15165</v>
          </cell>
        </row>
        <row r="1824">
          <cell r="B1824">
            <v>45618</v>
          </cell>
          <cell r="E1824">
            <v>13344</v>
          </cell>
        </row>
        <row r="1825">
          <cell r="B1825">
            <v>45625</v>
          </cell>
          <cell r="E1825">
            <v>14035</v>
          </cell>
        </row>
        <row r="1826">
          <cell r="B1826">
            <v>45632</v>
          </cell>
          <cell r="E1826">
            <v>15392</v>
          </cell>
        </row>
        <row r="1827">
          <cell r="B1827">
            <v>45639</v>
          </cell>
          <cell r="E1827">
            <v>14836</v>
          </cell>
        </row>
        <row r="1828">
          <cell r="B1828">
            <v>45646</v>
          </cell>
          <cell r="E1828">
            <v>15185</v>
          </cell>
        </row>
        <row r="1829">
          <cell r="B1829">
            <v>45653</v>
          </cell>
          <cell r="E1829">
            <v>16048</v>
          </cell>
        </row>
        <row r="1830">
          <cell r="B1830">
            <v>45660</v>
          </cell>
          <cell r="E1830">
            <v>15422</v>
          </cell>
        </row>
        <row r="1831">
          <cell r="B1831">
            <v>45667</v>
          </cell>
          <cell r="E1831">
            <v>14866</v>
          </cell>
        </row>
        <row r="1832">
          <cell r="B1832">
            <v>45674</v>
          </cell>
          <cell r="E1832">
            <v>14550</v>
          </cell>
        </row>
        <row r="1833">
          <cell r="B1833">
            <v>45681</v>
          </cell>
          <cell r="E1833">
            <v>15290</v>
          </cell>
        </row>
        <row r="1834">
          <cell r="B1834">
            <v>45688</v>
          </cell>
          <cell r="E1834">
            <v>16409</v>
          </cell>
        </row>
        <row r="1835">
          <cell r="B1835">
            <v>45695</v>
          </cell>
          <cell r="E1835">
            <v>16315</v>
          </cell>
        </row>
        <row r="1836">
          <cell r="B1836">
            <v>45702</v>
          </cell>
          <cell r="E1836">
            <v>16375</v>
          </cell>
        </row>
        <row r="1837">
          <cell r="B1837">
            <v>45709</v>
          </cell>
          <cell r="E1837">
            <v>16524</v>
          </cell>
        </row>
        <row r="1838">
          <cell r="B1838">
            <v>45716</v>
          </cell>
          <cell r="E1838">
            <v>15277</v>
          </cell>
        </row>
        <row r="1839">
          <cell r="B1839">
            <v>45723</v>
          </cell>
          <cell r="E1839">
            <v>15592</v>
          </cell>
        </row>
        <row r="1840">
          <cell r="B1840">
            <v>45730</v>
          </cell>
          <cell r="E1840">
            <v>16858</v>
          </cell>
        </row>
        <row r="1841">
          <cell r="B1841">
            <v>45737</v>
          </cell>
          <cell r="E1841">
            <v>16013</v>
          </cell>
        </row>
        <row r="1842">
          <cell r="B1842">
            <v>45744</v>
          </cell>
          <cell r="E1842">
            <v>15695</v>
          </cell>
        </row>
        <row r="1843">
          <cell r="B1843">
            <v>45751</v>
          </cell>
          <cell r="E1843">
            <v>15970</v>
          </cell>
        </row>
        <row r="1844">
          <cell r="B1844">
            <v>45758</v>
          </cell>
          <cell r="E1844">
            <v>14492</v>
          </cell>
        </row>
        <row r="1845">
          <cell r="B1845">
            <v>45765</v>
          </cell>
          <cell r="E1845">
            <v>15620</v>
          </cell>
        </row>
        <row r="1846">
          <cell r="B1846">
            <v>45772</v>
          </cell>
          <cell r="E1846">
            <v>13212</v>
          </cell>
        </row>
        <row r="1847">
          <cell r="B1847">
            <v>45779</v>
          </cell>
          <cell r="E1847">
            <v>13428</v>
          </cell>
        </row>
        <row r="1848">
          <cell r="B1848">
            <v>45786</v>
          </cell>
          <cell r="E1848">
            <v>13233</v>
          </cell>
        </row>
        <row r="1849">
          <cell r="B1849">
            <v>45793</v>
          </cell>
          <cell r="E1849">
            <v>13554</v>
          </cell>
        </row>
        <row r="1850">
          <cell r="B1850">
            <v>45800</v>
          </cell>
          <cell r="E1850">
            <v>13021</v>
          </cell>
        </row>
        <row r="1851">
          <cell r="B1851">
            <v>45807</v>
          </cell>
          <cell r="E1851">
            <v>13102</v>
          </cell>
        </row>
        <row r="1852">
          <cell r="B1852">
            <v>45814</v>
          </cell>
          <cell r="E1852">
            <v>13334</v>
          </cell>
        </row>
        <row r="1853">
          <cell r="B1853">
            <v>45821</v>
          </cell>
          <cell r="E1853">
            <v>12614</v>
          </cell>
        </row>
        <row r="1854">
          <cell r="B1854">
            <v>45828</v>
          </cell>
          <cell r="E1854">
            <v>13329</v>
          </cell>
        </row>
        <row r="1855">
          <cell r="B1855">
            <v>45835</v>
          </cell>
          <cell r="E1855">
            <v>12372</v>
          </cell>
        </row>
        <row r="1856">
          <cell r="B1856">
            <v>45842</v>
          </cell>
          <cell r="E1856">
            <v>12004</v>
          </cell>
        </row>
        <row r="1857">
          <cell r="E1857"/>
        </row>
        <row r="1858">
          <cell r="E1858"/>
        </row>
        <row r="1859">
          <cell r="E1859"/>
        </row>
        <row r="1860">
          <cell r="E1860"/>
        </row>
        <row r="1861">
          <cell r="E1861"/>
        </row>
        <row r="1862">
          <cell r="E1862"/>
        </row>
        <row r="1863">
          <cell r="E1863"/>
        </row>
        <row r="1864">
          <cell r="E1864"/>
        </row>
        <row r="1865">
          <cell r="E1865"/>
        </row>
        <row r="1866">
          <cell r="E1866"/>
        </row>
        <row r="1867">
          <cell r="E1867"/>
        </row>
        <row r="1868">
          <cell r="E1868"/>
        </row>
        <row r="1869">
          <cell r="E1869"/>
        </row>
        <row r="1870">
          <cell r="E1870"/>
        </row>
        <row r="1871">
          <cell r="E1871"/>
        </row>
        <row r="1872">
          <cell r="E1872"/>
        </row>
        <row r="1873">
          <cell r="E1873"/>
        </row>
        <row r="1874">
          <cell r="E1874"/>
        </row>
        <row r="1875">
          <cell r="E1875"/>
        </row>
        <row r="1876">
          <cell r="E1876"/>
        </row>
        <row r="1877">
          <cell r="E1877"/>
        </row>
        <row r="1878">
          <cell r="E1878"/>
        </row>
        <row r="1879">
          <cell r="E1879"/>
        </row>
        <row r="1880">
          <cell r="E1880"/>
        </row>
        <row r="1881">
          <cell r="E1881"/>
        </row>
        <row r="1882">
          <cell r="E1882"/>
        </row>
        <row r="1883">
          <cell r="E1883"/>
        </row>
        <row r="1884">
          <cell r="E1884"/>
        </row>
        <row r="1885">
          <cell r="E1885"/>
        </row>
        <row r="1886">
          <cell r="E1886"/>
        </row>
        <row r="1887">
          <cell r="E1887"/>
        </row>
        <row r="1888">
          <cell r="E1888"/>
        </row>
        <row r="1889">
          <cell r="E1889"/>
        </row>
        <row r="1890">
          <cell r="E1890"/>
        </row>
        <row r="1891">
          <cell r="E1891"/>
        </row>
        <row r="1892">
          <cell r="E1892"/>
        </row>
        <row r="1893">
          <cell r="E1893"/>
        </row>
        <row r="1894">
          <cell r="E1894"/>
        </row>
        <row r="1895">
          <cell r="E1895"/>
        </row>
        <row r="1896">
          <cell r="E1896"/>
        </row>
        <row r="1897">
          <cell r="E1897"/>
        </row>
        <row r="1898">
          <cell r="E1898"/>
        </row>
        <row r="1899">
          <cell r="E1899"/>
        </row>
        <row r="1900">
          <cell r="E1900"/>
        </row>
        <row r="1901">
          <cell r="E1901"/>
        </row>
        <row r="1902">
          <cell r="E1902"/>
        </row>
        <row r="1903">
          <cell r="E1903"/>
        </row>
        <row r="1904">
          <cell r="E1904"/>
        </row>
        <row r="1905">
          <cell r="E1905"/>
        </row>
        <row r="1906">
          <cell r="E1906"/>
        </row>
        <row r="1907">
          <cell r="E1907"/>
        </row>
        <row r="1908">
          <cell r="E1908"/>
        </row>
        <row r="1909">
          <cell r="E1909"/>
        </row>
        <row r="1910">
          <cell r="E1910"/>
        </row>
        <row r="1911">
          <cell r="E1911"/>
        </row>
        <row r="1912">
          <cell r="E1912"/>
        </row>
        <row r="1913">
          <cell r="E1913"/>
        </row>
        <row r="1914">
          <cell r="E1914"/>
        </row>
        <row r="1915">
          <cell r="E1915"/>
        </row>
        <row r="1916">
          <cell r="E1916"/>
        </row>
        <row r="1917">
          <cell r="E1917"/>
        </row>
        <row r="1918">
          <cell r="E1918"/>
        </row>
        <row r="1919">
          <cell r="E1919"/>
        </row>
        <row r="1920">
          <cell r="E1920"/>
        </row>
        <row r="1921">
          <cell r="E1921"/>
        </row>
        <row r="1922">
          <cell r="E1922"/>
        </row>
        <row r="1923">
          <cell r="E1923"/>
        </row>
        <row r="1924">
          <cell r="E1924"/>
        </row>
        <row r="1925">
          <cell r="E1925"/>
        </row>
        <row r="1926">
          <cell r="E1926"/>
        </row>
        <row r="1927">
          <cell r="E1927"/>
        </row>
        <row r="1928">
          <cell r="E1928"/>
        </row>
        <row r="1929">
          <cell r="E1929"/>
        </row>
        <row r="1930">
          <cell r="E1930"/>
        </row>
        <row r="1931">
          <cell r="E1931"/>
        </row>
        <row r="1932">
          <cell r="E1932"/>
        </row>
        <row r="1933">
          <cell r="E1933"/>
        </row>
        <row r="1934">
          <cell r="E1934"/>
        </row>
        <row r="1935">
          <cell r="E1935"/>
        </row>
        <row r="1936">
          <cell r="E1936"/>
        </row>
        <row r="1937">
          <cell r="E1937"/>
        </row>
        <row r="1938">
          <cell r="E1938"/>
        </row>
        <row r="1939">
          <cell r="E1939"/>
        </row>
        <row r="1940">
          <cell r="E1940"/>
        </row>
        <row r="1941">
          <cell r="E1941"/>
        </row>
        <row r="1942">
          <cell r="E1942"/>
        </row>
        <row r="1943">
          <cell r="E1943"/>
        </row>
        <row r="1944">
          <cell r="E1944"/>
        </row>
        <row r="1945">
          <cell r="E1945"/>
        </row>
        <row r="1946">
          <cell r="E1946"/>
        </row>
        <row r="1947">
          <cell r="E1947"/>
        </row>
        <row r="1948">
          <cell r="E1948"/>
        </row>
        <row r="1949">
          <cell r="E1949"/>
        </row>
        <row r="1950">
          <cell r="E1950"/>
        </row>
        <row r="1951">
          <cell r="E1951"/>
        </row>
        <row r="1952">
          <cell r="E1952"/>
        </row>
        <row r="1953">
          <cell r="E1953"/>
        </row>
        <row r="1954">
          <cell r="E1954"/>
        </row>
        <row r="1955">
          <cell r="E1955"/>
        </row>
        <row r="1956">
          <cell r="E1956"/>
        </row>
        <row r="1957">
          <cell r="E1957"/>
        </row>
        <row r="1958">
          <cell r="E1958"/>
        </row>
        <row r="1959">
          <cell r="E1959"/>
        </row>
        <row r="1960">
          <cell r="E1960"/>
        </row>
        <row r="1961">
          <cell r="E1961"/>
        </row>
        <row r="1962">
          <cell r="E1962"/>
        </row>
        <row r="1963">
          <cell r="E1963"/>
        </row>
        <row r="1964">
          <cell r="E1964"/>
        </row>
        <row r="1965">
          <cell r="E1965"/>
        </row>
        <row r="1966">
          <cell r="E1966"/>
        </row>
        <row r="1967">
          <cell r="E1967"/>
        </row>
        <row r="1968">
          <cell r="E1968"/>
        </row>
        <row r="1969">
          <cell r="E1969"/>
        </row>
        <row r="1970">
          <cell r="E1970"/>
        </row>
        <row r="1971">
          <cell r="E1971"/>
        </row>
        <row r="1972">
          <cell r="E1972"/>
        </row>
        <row r="1973">
          <cell r="E1973"/>
        </row>
        <row r="1974">
          <cell r="E1974"/>
        </row>
        <row r="1975">
          <cell r="E1975"/>
        </row>
        <row r="1976">
          <cell r="E1976"/>
        </row>
        <row r="1977">
          <cell r="E1977"/>
        </row>
        <row r="1978">
          <cell r="E1978"/>
        </row>
        <row r="1979">
          <cell r="E1979"/>
        </row>
        <row r="1980">
          <cell r="B1980">
            <v>39304</v>
          </cell>
          <cell r="E1980">
            <v>-111</v>
          </cell>
        </row>
        <row r="1981">
          <cell r="B1981">
            <v>39311</v>
          </cell>
          <cell r="E1981">
            <v>-852</v>
          </cell>
        </row>
        <row r="1982">
          <cell r="B1982">
            <v>39318</v>
          </cell>
          <cell r="E1982">
            <v>1347</v>
          </cell>
        </row>
        <row r="1983">
          <cell r="B1983">
            <v>39325</v>
          </cell>
          <cell r="E1983">
            <v>477</v>
          </cell>
        </row>
        <row r="1984">
          <cell r="B1984">
            <v>39332</v>
          </cell>
          <cell r="E1984">
            <v>-747</v>
          </cell>
        </row>
        <row r="1985">
          <cell r="B1985">
            <v>39339</v>
          </cell>
          <cell r="E1985">
            <v>-140</v>
          </cell>
        </row>
        <row r="1986">
          <cell r="B1986">
            <v>39346</v>
          </cell>
          <cell r="E1986">
            <v>-347</v>
          </cell>
        </row>
        <row r="1987">
          <cell r="B1987">
            <v>39353</v>
          </cell>
          <cell r="E1987">
            <v>-648</v>
          </cell>
        </row>
        <row r="1988">
          <cell r="B1988">
            <v>39360</v>
          </cell>
          <cell r="E1988">
            <v>-251</v>
          </cell>
        </row>
        <row r="1989">
          <cell r="B1989">
            <v>39367</v>
          </cell>
          <cell r="E1989">
            <v>-200</v>
          </cell>
        </row>
        <row r="1990">
          <cell r="B1990">
            <v>39374</v>
          </cell>
          <cell r="E1990">
            <v>595</v>
          </cell>
        </row>
        <row r="1991">
          <cell r="B1991">
            <v>39381</v>
          </cell>
          <cell r="E1991">
            <v>-147</v>
          </cell>
        </row>
        <row r="1992">
          <cell r="B1992">
            <v>39388</v>
          </cell>
          <cell r="E1992">
            <v>-532</v>
          </cell>
        </row>
        <row r="1993">
          <cell r="B1993">
            <v>39395</v>
          </cell>
          <cell r="E1993">
            <v>225</v>
          </cell>
        </row>
        <row r="1994">
          <cell r="B1994">
            <v>39402</v>
          </cell>
          <cell r="E1994">
            <v>-637</v>
          </cell>
        </row>
        <row r="1995">
          <cell r="B1995">
            <v>39409</v>
          </cell>
          <cell r="E1995">
            <v>1130</v>
          </cell>
        </row>
        <row r="1996">
          <cell r="B1996">
            <v>39416</v>
          </cell>
          <cell r="E1996">
            <v>44</v>
          </cell>
        </row>
        <row r="1997">
          <cell r="B1997">
            <v>39423</v>
          </cell>
          <cell r="E1997">
            <v>462</v>
          </cell>
        </row>
        <row r="1998">
          <cell r="B1998">
            <v>39430</v>
          </cell>
          <cell r="E1998">
            <v>-560</v>
          </cell>
        </row>
        <row r="1999">
          <cell r="B1999">
            <v>39437</v>
          </cell>
          <cell r="E1999">
            <v>914</v>
          </cell>
        </row>
        <row r="2000">
          <cell r="B2000">
            <v>39444</v>
          </cell>
          <cell r="E2000">
            <v>-485</v>
          </cell>
        </row>
      </sheetData>
      <sheetData sheetId="1"/>
      <sheetData sheetId="2"/>
      <sheetData sheetId="3"/>
      <sheetData sheetId="4">
        <row r="2">
          <cell r="L2">
            <v>1</v>
          </cell>
        </row>
      </sheetData>
      <sheetData sheetId="5"/>
      <sheetData sheetId="6"/>
      <sheetData sheetId="7"/>
      <sheetData sheetId="8"/>
      <sheetData sheetId="9"/>
      <sheetData sheetId="10"/>
      <sheetData sheetId="11">
        <row r="840">
          <cell r="BF840">
            <v>10901.16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58A4C-3858-4C4A-B8C3-0E1ADDDD5BF7}">
  <dimension ref="A1:N2991"/>
  <sheetViews>
    <sheetView tabSelected="1" topLeftCell="A2479" workbookViewId="0">
      <selection activeCell="H2224" sqref="H2224"/>
    </sheetView>
  </sheetViews>
  <sheetFormatPr defaultRowHeight="15" x14ac:dyDescent="0.25"/>
  <cols>
    <col min="1" max="1" width="9.7109375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 s="1">
        <f>'[1]Global_Spot Prices'!$B1311</f>
        <v>42005</v>
      </c>
      <c r="B2" t="e">
        <f>_xlfn.XLOOKUP(A2,'[1]Global_Spot Prices'!$B:$B,'[1]Global_Spot Prices'!$BS:$BS)</f>
        <v>#N/A</v>
      </c>
      <c r="C2" t="str">
        <f>_xlfn.XLOOKUP(A2,'[1]Global_Spot Prices'!$B:$B,'[1]Global_Spot Prices'!$E:$E)</f>
        <v/>
      </c>
      <c r="D2" t="str">
        <f>_xlfn.XLOOKUP(A2,'[1]Global_Spot Prices'!$B:$B,'[1]Global_Spot Prices'!$D:$D)</f>
        <v/>
      </c>
      <c r="E2">
        <f>_xlfn.XLOOKUP(A2,'[1]Global_Spot Prices'!$B:$B,'[1]Global_Spot Prices'!$H:$H)</f>
        <v>0</v>
      </c>
      <c r="F2">
        <f>_xlfn.XLOOKUP(A2,'[1]Global_Spot Prices'!$B:$B,'[1]Global_Spot Prices'!$I:$I)</f>
        <v>0</v>
      </c>
      <c r="G2" cm="1">
        <f t="array" ref="G2">_xlfn.XLOOKUP(TEXT(A2, "mmm-yy"), TEXT([2]RUNS!$B$5:$B$208, "mmm-yy"), [2]RUNS!$D$5:$D$208, "Not Found")</f>
        <v>26673.579975326891</v>
      </c>
      <c r="H2" cm="1">
        <f t="array" ref="H2">SUMPRODUCT(
    --(TEXT('[3]Global Weekly Stock (EWSuez'!$B$4:$B$2000,"mmm-yy")=TEXT(A2,"mmm-yy")),
    '[3]Global Weekly Stock (EWSuez'!$E$4:$E$2000)
/
SUMPRODUCT(
    --(TEXT('[3]Global Weekly Stock (EWSuez'!$B$4:$B$2000,"mmm-yy")=TEXT(A2,"mmm-yy"))
)</f>
        <v>13608.2</v>
      </c>
      <c r="I2">
        <f>_xlfn.XLOOKUP(A2,[1]ForwardDeriv!$D:$D,[1]ForwardDeriv!$AJ:$AJ)</f>
        <v>-0.64999999999999858</v>
      </c>
      <c r="J2" cm="1">
        <f t="array" ref="J2">_xlfn.XLOOKUP(TEXT(A2, "mmm-yy"), TEXT([2]GASOLINE!$B$5:$B$208, "mmm-yy"), [2]GASOLINE!$IR$5:$IR$208, "Not Found")</f>
        <v>162.12990715806416</v>
      </c>
      <c r="K2" cm="1">
        <f t="array" ref="K2">_xlfn.XLOOKUP(TEXT(A2, "mmm-yy"), TEXT([2]GASOLINE!$B$5:$B$208, "mmm-yy"), [2]GASOLINE!$IK$5:$IK$208, "Not Found")</f>
        <v>0</v>
      </c>
      <c r="L2">
        <f>IF(OR(MONTH(A2)=6, MONTH(A2)=7, MONTH(A2)=8, MONTH(A2)=9), 1, 0)</f>
        <v>0</v>
      </c>
      <c r="M2" cm="1">
        <f t="array" ref="M2">_xlfn.XLOOKUP(TEXT(A2, "mmm-yy"), TEXT([2]GASOLINE!$B$5:$B$208, "mmm-yy"), [2]GASOLINE!$C$5:$C$208, "Not Found")</f>
        <v>6004.7152819284374</v>
      </c>
      <c r="N2" cm="1">
        <f t="array" ref="N2">_xlfn.XLOOKUP(TEXT(A2, "mmm-yy"), TEXT([2]RUNS!$B$5:$B$208, "mmm-yy"), [2]RUNS!$BM$5:$BM$208, "Not Found")</f>
        <v>0.78987894221144983</v>
      </c>
    </row>
    <row r="3" spans="1:14" x14ac:dyDescent="0.25">
      <c r="A3" s="1">
        <f>'[1]Global_Spot Prices'!$B1312</f>
        <v>42006</v>
      </c>
      <c r="B3">
        <f>_xlfn.XLOOKUP(A3,'[1]Global_Spot Prices'!$B:$B,'[1]Global_Spot Prices'!$BS:$BS)</f>
        <v>8.8999999999999986</v>
      </c>
      <c r="C3">
        <f>_xlfn.XLOOKUP(A3,'[1]Global_Spot Prices'!$B:$B,'[1]Global_Spot Prices'!$E:$E)</f>
        <v>54.09</v>
      </c>
      <c r="D3">
        <f>_xlfn.XLOOKUP(A3,'[1]Global_Spot Prices'!$B:$B,'[1]Global_Spot Prices'!$D:$D)</f>
        <v>54.98</v>
      </c>
      <c r="E3">
        <f>_xlfn.XLOOKUP(A3,'[1]Global_Spot Prices'!$B:$B,'[1]Global_Spot Prices'!$H:$H)</f>
        <v>48.88</v>
      </c>
      <c r="F3">
        <f>_xlfn.XLOOKUP(A3,'[1]Global_Spot Prices'!$B:$B,'[1]Global_Spot Prices'!$I:$I)</f>
        <v>62.99</v>
      </c>
      <c r="G3" cm="1">
        <f t="array" ref="G3">_xlfn.XLOOKUP(TEXT(A3, "mmm-yy"), TEXT([2]RUNS!$B$5:$B$208, "mmm-yy"), [2]RUNS!$D$5:$D$208, "Not Found")</f>
        <v>26673.579975326891</v>
      </c>
      <c r="H3" cm="1">
        <f t="array" ref="H3">SUMPRODUCT(
    --(TEXT('[3]Global Weekly Stock (EWSuez'!$B$4:$B$2000,"mmm-yy")=TEXT(A3,"mmm-yy")),
    '[3]Global Weekly Stock (EWSuez'!$E$4:$E$2000)
/
SUMPRODUCT(
    --(TEXT('[3]Global Weekly Stock (EWSuez'!$B$4:$B$2000,"mmm-yy")=TEXT(A3,"mmm-yy"))
)</f>
        <v>13608.2</v>
      </c>
      <c r="I3">
        <f>_xlfn.XLOOKUP(A3,[1]ForwardDeriv!$D:$D,[1]ForwardDeriv!$AJ:$AJ)</f>
        <v>-0.64999999999999858</v>
      </c>
      <c r="J3" cm="1">
        <f t="array" ref="J3">_xlfn.XLOOKUP(TEXT(A3, "mmm-yy"), TEXT([2]GASOLINE!$B$5:$B$208, "mmm-yy"), [2]GASOLINE!$IR$5:$IR$208, "Not Found")</f>
        <v>162.12990715806416</v>
      </c>
      <c r="K3" cm="1">
        <f t="array" ref="K3">_xlfn.XLOOKUP(TEXT(A3, "mmm-yy"), TEXT([2]GASOLINE!$B$5:$B$208, "mmm-yy"), [2]GASOLINE!$IK$5:$IK$208, "Not Found")</f>
        <v>0</v>
      </c>
      <c r="L3">
        <f t="shared" ref="L3:L66" si="0">IF(OR(MONTH(A3)=6, MONTH(A3)=7, MONTH(A3)=8, MONTH(A3)=9), 1, 0)</f>
        <v>0</v>
      </c>
      <c r="M3" cm="1">
        <f t="array" ref="M3">_xlfn.XLOOKUP(TEXT(A3, "mmm-yy"), TEXT([2]GASOLINE!$B$5:$B$208, "mmm-yy"), [2]GASOLINE!$C$5:$C$208, "Not Found")</f>
        <v>6004.7152819284374</v>
      </c>
      <c r="N3" cm="1">
        <f t="array" ref="N3">_xlfn.XLOOKUP(TEXT(A3, "mmm-yy"), TEXT([2]RUNS!$B$5:$B$208, "mmm-yy"), [2]RUNS!$BM$5:$BM$208, "Not Found")</f>
        <v>0.78987894221144983</v>
      </c>
    </row>
    <row r="4" spans="1:14" x14ac:dyDescent="0.25">
      <c r="A4" s="1">
        <f>'[1]Global_Spot Prices'!$B1313</f>
        <v>42009</v>
      </c>
      <c r="B4">
        <f>_xlfn.XLOOKUP(A4,'[1]Global_Spot Prices'!$B:$B,'[1]Global_Spot Prices'!$BS:$BS)</f>
        <v>8.86</v>
      </c>
      <c r="C4">
        <f>_xlfn.XLOOKUP(A4,'[1]Global_Spot Prices'!$B:$B,'[1]Global_Spot Prices'!$E:$E)</f>
        <v>51.4</v>
      </c>
      <c r="D4">
        <f>_xlfn.XLOOKUP(A4,'[1]Global_Spot Prices'!$B:$B,'[1]Global_Spot Prices'!$D:$D)</f>
        <v>51.3</v>
      </c>
      <c r="E4">
        <f>_xlfn.XLOOKUP(A4,'[1]Global_Spot Prices'!$B:$B,'[1]Global_Spot Prices'!$H:$H)</f>
        <v>46.56</v>
      </c>
      <c r="F4">
        <f>_xlfn.XLOOKUP(A4,'[1]Global_Spot Prices'!$B:$B,'[1]Global_Spot Prices'!$I:$I)</f>
        <v>60.26</v>
      </c>
      <c r="G4" cm="1">
        <f t="array" ref="G4">_xlfn.XLOOKUP(TEXT(A4, "mmm-yy"), TEXT([2]RUNS!$B$5:$B$208, "mmm-yy"), [2]RUNS!$D$5:$D$208, "Not Found")</f>
        <v>26673.579975326891</v>
      </c>
      <c r="H4" cm="1">
        <f t="array" ref="H4">SUMPRODUCT(
    --(TEXT('[3]Global Weekly Stock (EWSuez'!$B$4:$B$2000,"mmm-yy")=TEXT(A4,"mmm-yy")),
    '[3]Global Weekly Stock (EWSuez'!$E$4:$E$2000)
/
SUMPRODUCT(
    --(TEXT('[3]Global Weekly Stock (EWSuez'!$B$4:$B$2000,"mmm-yy")=TEXT(A4,"mmm-yy"))
)</f>
        <v>13608.2</v>
      </c>
      <c r="I4">
        <f>_xlfn.XLOOKUP(A4,[1]ForwardDeriv!$D:$D,[1]ForwardDeriv!$AJ:$AJ)</f>
        <v>-0.79999999999999716</v>
      </c>
      <c r="J4" cm="1">
        <f t="array" ref="J4">_xlfn.XLOOKUP(TEXT(A4, "mmm-yy"), TEXT([2]GASOLINE!$B$5:$B$208, "mmm-yy"), [2]GASOLINE!$IR$5:$IR$208, "Not Found")</f>
        <v>162.12990715806416</v>
      </c>
      <c r="K4" cm="1">
        <f t="array" ref="K4">_xlfn.XLOOKUP(TEXT(A4, "mmm-yy"), TEXT([2]GASOLINE!$B$5:$B$208, "mmm-yy"), [2]GASOLINE!$IK$5:$IK$208, "Not Found")</f>
        <v>0</v>
      </c>
      <c r="L4">
        <f t="shared" si="0"/>
        <v>0</v>
      </c>
      <c r="M4" cm="1">
        <f t="array" ref="M4">_xlfn.XLOOKUP(TEXT(A4, "mmm-yy"), TEXT([2]GASOLINE!$B$5:$B$208, "mmm-yy"), [2]GASOLINE!$C$5:$C$208, "Not Found")</f>
        <v>6004.7152819284374</v>
      </c>
      <c r="N4" cm="1">
        <f t="array" ref="N4">_xlfn.XLOOKUP(TEXT(A4, "mmm-yy"), TEXT([2]RUNS!$B$5:$B$208, "mmm-yy"), [2]RUNS!$BM$5:$BM$208, "Not Found")</f>
        <v>0.78987894221144983</v>
      </c>
    </row>
    <row r="5" spans="1:14" x14ac:dyDescent="0.25">
      <c r="A5" s="1">
        <f>'[1]Global_Spot Prices'!$B1314</f>
        <v>42010</v>
      </c>
      <c r="B5">
        <f>_xlfn.XLOOKUP(A5,'[1]Global_Spot Prices'!$B:$B,'[1]Global_Spot Prices'!$BS:$BS)</f>
        <v>8.7099999999999937</v>
      </c>
      <c r="C5">
        <f>_xlfn.XLOOKUP(A5,'[1]Global_Spot Prices'!$B:$B,'[1]Global_Spot Prices'!$E:$E)</f>
        <v>48.7</v>
      </c>
      <c r="D5">
        <f>_xlfn.XLOOKUP(A5,'[1]Global_Spot Prices'!$B:$B,'[1]Global_Spot Prices'!$D:$D)</f>
        <v>50.075000000000003</v>
      </c>
      <c r="E5">
        <f>_xlfn.XLOOKUP(A5,'[1]Global_Spot Prices'!$B:$B,'[1]Global_Spot Prices'!$H:$H)</f>
        <v>44.67</v>
      </c>
      <c r="F5">
        <f>_xlfn.XLOOKUP(A5,'[1]Global_Spot Prices'!$B:$B,'[1]Global_Spot Prices'!$I:$I)</f>
        <v>57.41</v>
      </c>
      <c r="G5" cm="1">
        <f t="array" ref="G5">_xlfn.XLOOKUP(TEXT(A5, "mmm-yy"), TEXT([2]RUNS!$B$5:$B$208, "mmm-yy"), [2]RUNS!$D$5:$D$208, "Not Found")</f>
        <v>26673.579975326891</v>
      </c>
      <c r="H5" cm="1">
        <f t="array" ref="H5">SUMPRODUCT(
    --(TEXT('[3]Global Weekly Stock (EWSuez'!$B$4:$B$2000,"mmm-yy")=TEXT(A5,"mmm-yy")),
    '[3]Global Weekly Stock (EWSuez'!$E$4:$E$2000)
/
SUMPRODUCT(
    --(TEXT('[3]Global Weekly Stock (EWSuez'!$B$4:$B$2000,"mmm-yy")=TEXT(A5,"mmm-yy"))
)</f>
        <v>13608.2</v>
      </c>
      <c r="I5">
        <f>_xlfn.XLOOKUP(A5,[1]ForwardDeriv!$D:$D,[1]ForwardDeriv!$AJ:$AJ)</f>
        <v>-0.89999999999999858</v>
      </c>
      <c r="J5" cm="1">
        <f t="array" ref="J5">_xlfn.XLOOKUP(TEXT(A5, "mmm-yy"), TEXT([2]GASOLINE!$B$5:$B$208, "mmm-yy"), [2]GASOLINE!$IR$5:$IR$208, "Not Found")</f>
        <v>162.12990715806416</v>
      </c>
      <c r="K5" cm="1">
        <f t="array" ref="K5">_xlfn.XLOOKUP(TEXT(A5, "mmm-yy"), TEXT([2]GASOLINE!$B$5:$B$208, "mmm-yy"), [2]GASOLINE!$IK$5:$IK$208, "Not Found")</f>
        <v>0</v>
      </c>
      <c r="L5">
        <f t="shared" si="0"/>
        <v>0</v>
      </c>
      <c r="M5" cm="1">
        <f t="array" ref="M5">_xlfn.XLOOKUP(TEXT(A5, "mmm-yy"), TEXT([2]GASOLINE!$B$5:$B$208, "mmm-yy"), [2]GASOLINE!$C$5:$C$208, "Not Found")</f>
        <v>6004.7152819284374</v>
      </c>
      <c r="N5" cm="1">
        <f t="array" ref="N5">_xlfn.XLOOKUP(TEXT(A5, "mmm-yy"), TEXT([2]RUNS!$B$5:$B$208, "mmm-yy"), [2]RUNS!$BM$5:$BM$208, "Not Found")</f>
        <v>0.78987894221144983</v>
      </c>
    </row>
    <row r="6" spans="1:14" x14ac:dyDescent="0.25">
      <c r="A6" s="1">
        <f>'[1]Global_Spot Prices'!$B1315</f>
        <v>42011</v>
      </c>
      <c r="B6">
        <f>_xlfn.XLOOKUP(A6,'[1]Global_Spot Prices'!$B:$B,'[1]Global_Spot Prices'!$BS:$BS)</f>
        <v>9.0400000000000063</v>
      </c>
      <c r="C6">
        <f>_xlfn.XLOOKUP(A6,'[1]Global_Spot Prices'!$B:$B,'[1]Global_Spot Prices'!$E:$E)</f>
        <v>45.91</v>
      </c>
      <c r="D6">
        <f>_xlfn.XLOOKUP(A6,'[1]Global_Spot Prices'!$B:$B,'[1]Global_Spot Prices'!$D:$D)</f>
        <v>49.07</v>
      </c>
      <c r="E6">
        <f>_xlfn.XLOOKUP(A6,'[1]Global_Spot Prices'!$B:$B,'[1]Global_Spot Prices'!$H:$H)</f>
        <v>42.47</v>
      </c>
      <c r="F6">
        <f>_xlfn.XLOOKUP(A6,'[1]Global_Spot Prices'!$B:$B,'[1]Global_Spot Prices'!$I:$I)</f>
        <v>54.95</v>
      </c>
      <c r="G6" cm="1">
        <f t="array" ref="G6">_xlfn.XLOOKUP(TEXT(A6, "mmm-yy"), TEXT([2]RUNS!$B$5:$B$208, "mmm-yy"), [2]RUNS!$D$5:$D$208, "Not Found")</f>
        <v>26673.579975326891</v>
      </c>
      <c r="H6" cm="1">
        <f t="array" ref="H6">SUMPRODUCT(
    --(TEXT('[3]Global Weekly Stock (EWSuez'!$B$4:$B$2000,"mmm-yy")=TEXT(A6,"mmm-yy")),
    '[3]Global Weekly Stock (EWSuez'!$E$4:$E$2000)
/
SUMPRODUCT(
    --(TEXT('[3]Global Weekly Stock (EWSuez'!$B$4:$B$2000,"mmm-yy")=TEXT(A6,"mmm-yy"))
)</f>
        <v>13608.2</v>
      </c>
      <c r="I6">
        <f>_xlfn.XLOOKUP(A6,[1]ForwardDeriv!$D:$D,[1]ForwardDeriv!$AJ:$AJ)</f>
        <v>-0.75</v>
      </c>
      <c r="J6" cm="1">
        <f t="array" ref="J6">_xlfn.XLOOKUP(TEXT(A6, "mmm-yy"), TEXT([2]GASOLINE!$B$5:$B$208, "mmm-yy"), [2]GASOLINE!$IR$5:$IR$208, "Not Found")</f>
        <v>162.12990715806416</v>
      </c>
      <c r="K6" cm="1">
        <f t="array" ref="K6">_xlfn.XLOOKUP(TEXT(A6, "mmm-yy"), TEXT([2]GASOLINE!$B$5:$B$208, "mmm-yy"), [2]GASOLINE!$IK$5:$IK$208, "Not Found")</f>
        <v>0</v>
      </c>
      <c r="L6">
        <f t="shared" si="0"/>
        <v>0</v>
      </c>
      <c r="M6" cm="1">
        <f t="array" ref="M6">_xlfn.XLOOKUP(TEXT(A6, "mmm-yy"), TEXT([2]GASOLINE!$B$5:$B$208, "mmm-yy"), [2]GASOLINE!$C$5:$C$208, "Not Found")</f>
        <v>6004.7152819284374</v>
      </c>
      <c r="N6" cm="1">
        <f t="array" ref="N6">_xlfn.XLOOKUP(TEXT(A6, "mmm-yy"), TEXT([2]RUNS!$B$5:$B$208, "mmm-yy"), [2]RUNS!$BM$5:$BM$208, "Not Found")</f>
        <v>0.78987894221144983</v>
      </c>
    </row>
    <row r="7" spans="1:14" x14ac:dyDescent="0.25">
      <c r="A7" s="1">
        <f>'[1]Global_Spot Prices'!$B1316</f>
        <v>42012</v>
      </c>
      <c r="B7">
        <f>_xlfn.XLOOKUP(A7,'[1]Global_Spot Prices'!$B:$B,'[1]Global_Spot Prices'!$BS:$BS)</f>
        <v>8.3400000000000034</v>
      </c>
      <c r="C7">
        <f>_xlfn.XLOOKUP(A7,'[1]Global_Spot Prices'!$B:$B,'[1]Global_Spot Prices'!$E:$E)</f>
        <v>47.26</v>
      </c>
      <c r="D7">
        <f>_xlfn.XLOOKUP(A7,'[1]Global_Spot Prices'!$B:$B,'[1]Global_Spot Prices'!$D:$D)</f>
        <v>49.29</v>
      </c>
      <c r="E7">
        <f>_xlfn.XLOOKUP(A7,'[1]Global_Spot Prices'!$B:$B,'[1]Global_Spot Prices'!$H:$H)</f>
        <v>42.84</v>
      </c>
      <c r="F7">
        <f>_xlfn.XLOOKUP(A7,'[1]Global_Spot Prices'!$B:$B,'[1]Global_Spot Prices'!$I:$I)</f>
        <v>55.6</v>
      </c>
      <c r="G7" cm="1">
        <f t="array" ref="G7">_xlfn.XLOOKUP(TEXT(A7, "mmm-yy"), TEXT([2]RUNS!$B$5:$B$208, "mmm-yy"), [2]RUNS!$D$5:$D$208, "Not Found")</f>
        <v>26673.579975326891</v>
      </c>
      <c r="H7" cm="1">
        <f t="array" ref="H7">SUMPRODUCT(
    --(TEXT('[3]Global Weekly Stock (EWSuez'!$B$4:$B$2000,"mmm-yy")=TEXT(A7,"mmm-yy")),
    '[3]Global Weekly Stock (EWSuez'!$E$4:$E$2000)
/
SUMPRODUCT(
    --(TEXT('[3]Global Weekly Stock (EWSuez'!$B$4:$B$2000,"mmm-yy")=TEXT(A7,"mmm-yy"))
)</f>
        <v>13608.2</v>
      </c>
      <c r="I7">
        <f>_xlfn.XLOOKUP(A7,[1]ForwardDeriv!$D:$D,[1]ForwardDeriv!$AJ:$AJ)</f>
        <v>-0.85000000000000142</v>
      </c>
      <c r="J7" cm="1">
        <f t="array" ref="J7">_xlfn.XLOOKUP(TEXT(A7, "mmm-yy"), TEXT([2]GASOLINE!$B$5:$B$208, "mmm-yy"), [2]GASOLINE!$IR$5:$IR$208, "Not Found")</f>
        <v>162.12990715806416</v>
      </c>
      <c r="K7" cm="1">
        <f t="array" ref="K7">_xlfn.XLOOKUP(TEXT(A7, "mmm-yy"), TEXT([2]GASOLINE!$B$5:$B$208, "mmm-yy"), [2]GASOLINE!$IK$5:$IK$208, "Not Found")</f>
        <v>0</v>
      </c>
      <c r="L7">
        <f t="shared" si="0"/>
        <v>0</v>
      </c>
      <c r="M7" cm="1">
        <f t="array" ref="M7">_xlfn.XLOOKUP(TEXT(A7, "mmm-yy"), TEXT([2]GASOLINE!$B$5:$B$208, "mmm-yy"), [2]GASOLINE!$C$5:$C$208, "Not Found")</f>
        <v>6004.7152819284374</v>
      </c>
      <c r="N7" cm="1">
        <f t="array" ref="N7">_xlfn.XLOOKUP(TEXT(A7, "mmm-yy"), TEXT([2]RUNS!$B$5:$B$208, "mmm-yy"), [2]RUNS!$BM$5:$BM$208, "Not Found")</f>
        <v>0.78987894221144983</v>
      </c>
    </row>
    <row r="8" spans="1:14" x14ac:dyDescent="0.25">
      <c r="A8" s="1">
        <f>'[1]Global_Spot Prices'!$B1317</f>
        <v>42013</v>
      </c>
      <c r="B8">
        <f>_xlfn.XLOOKUP(A8,'[1]Global_Spot Prices'!$B:$B,'[1]Global_Spot Prices'!$BS:$BS)</f>
        <v>8.269999999999996</v>
      </c>
      <c r="C8">
        <f>_xlfn.XLOOKUP(A8,'[1]Global_Spot Prices'!$B:$B,'[1]Global_Spot Prices'!$E:$E)</f>
        <v>47.2</v>
      </c>
      <c r="D8">
        <f>_xlfn.XLOOKUP(A8,'[1]Global_Spot Prices'!$B:$B,'[1]Global_Spot Prices'!$D:$D)</f>
        <v>47.655000000000001</v>
      </c>
      <c r="E8">
        <f>_xlfn.XLOOKUP(A8,'[1]Global_Spot Prices'!$B:$B,'[1]Global_Spot Prices'!$H:$H)</f>
        <v>43.63</v>
      </c>
      <c r="F8">
        <f>_xlfn.XLOOKUP(A8,'[1]Global_Spot Prices'!$B:$B,'[1]Global_Spot Prices'!$I:$I)</f>
        <v>55.47</v>
      </c>
      <c r="G8" cm="1">
        <f t="array" ref="G8">_xlfn.XLOOKUP(TEXT(A8, "mmm-yy"), TEXT([2]RUNS!$B$5:$B$208, "mmm-yy"), [2]RUNS!$D$5:$D$208, "Not Found")</f>
        <v>26673.579975326891</v>
      </c>
      <c r="H8" cm="1">
        <f t="array" ref="H8">SUMPRODUCT(
    --(TEXT('[3]Global Weekly Stock (EWSuez'!$B$4:$B$2000,"mmm-yy")=TEXT(A8,"mmm-yy")),
    '[3]Global Weekly Stock (EWSuez'!$E$4:$E$2000)
/
SUMPRODUCT(
    --(TEXT('[3]Global Weekly Stock (EWSuez'!$B$4:$B$2000,"mmm-yy")=TEXT(A8,"mmm-yy"))
)</f>
        <v>13608.2</v>
      </c>
      <c r="I8">
        <f>_xlfn.XLOOKUP(A8,[1]ForwardDeriv!$D:$D,[1]ForwardDeriv!$AJ:$AJ)</f>
        <v>-0.89999999999999858</v>
      </c>
      <c r="J8" cm="1">
        <f t="array" ref="J8">_xlfn.XLOOKUP(TEXT(A8, "mmm-yy"), TEXT([2]GASOLINE!$B$5:$B$208, "mmm-yy"), [2]GASOLINE!$IR$5:$IR$208, "Not Found")</f>
        <v>162.12990715806416</v>
      </c>
      <c r="K8" cm="1">
        <f t="array" ref="K8">_xlfn.XLOOKUP(TEXT(A8, "mmm-yy"), TEXT([2]GASOLINE!$B$5:$B$208, "mmm-yy"), [2]GASOLINE!$IK$5:$IK$208, "Not Found")</f>
        <v>0</v>
      </c>
      <c r="L8">
        <f t="shared" si="0"/>
        <v>0</v>
      </c>
      <c r="M8" cm="1">
        <f t="array" ref="M8">_xlfn.XLOOKUP(TEXT(A8, "mmm-yy"), TEXT([2]GASOLINE!$B$5:$B$208, "mmm-yy"), [2]GASOLINE!$C$5:$C$208, "Not Found")</f>
        <v>6004.7152819284374</v>
      </c>
      <c r="N8" cm="1">
        <f t="array" ref="N8">_xlfn.XLOOKUP(TEXT(A8, "mmm-yy"), TEXT([2]RUNS!$B$5:$B$208, "mmm-yy"), [2]RUNS!$BM$5:$BM$208, "Not Found")</f>
        <v>0.78987894221144983</v>
      </c>
    </row>
    <row r="9" spans="1:14" x14ac:dyDescent="0.25">
      <c r="A9" s="1">
        <f>'[1]Global_Spot Prices'!$B1318</f>
        <v>42016</v>
      </c>
      <c r="B9">
        <f>_xlfn.XLOOKUP(A9,'[1]Global_Spot Prices'!$B:$B,'[1]Global_Spot Prices'!$BS:$BS)</f>
        <v>7.5799999999999983</v>
      </c>
      <c r="C9">
        <f>_xlfn.XLOOKUP(A9,'[1]Global_Spot Prices'!$B:$B,'[1]Global_Spot Prices'!$E:$E)</f>
        <v>45.4</v>
      </c>
      <c r="D9">
        <f>_xlfn.XLOOKUP(A9,'[1]Global_Spot Prices'!$B:$B,'[1]Global_Spot Prices'!$D:$D)</f>
        <v>46.805</v>
      </c>
      <c r="E9">
        <f>_xlfn.XLOOKUP(A9,'[1]Global_Spot Prices'!$B:$B,'[1]Global_Spot Prices'!$H:$H)</f>
        <v>43.04</v>
      </c>
      <c r="F9">
        <f>_xlfn.XLOOKUP(A9,'[1]Global_Spot Prices'!$B:$B,'[1]Global_Spot Prices'!$I:$I)</f>
        <v>52.98</v>
      </c>
      <c r="G9" cm="1">
        <f t="array" ref="G9">_xlfn.XLOOKUP(TEXT(A9, "mmm-yy"), TEXT([2]RUNS!$B$5:$B$208, "mmm-yy"), [2]RUNS!$D$5:$D$208, "Not Found")</f>
        <v>26673.579975326891</v>
      </c>
      <c r="H9" cm="1">
        <f t="array" ref="H9">SUMPRODUCT(
    --(TEXT('[3]Global Weekly Stock (EWSuez'!$B$4:$B$2000,"mmm-yy")=TEXT(A9,"mmm-yy")),
    '[3]Global Weekly Stock (EWSuez'!$E$4:$E$2000)
/
SUMPRODUCT(
    --(TEXT('[3]Global Weekly Stock (EWSuez'!$B$4:$B$2000,"mmm-yy")=TEXT(A9,"mmm-yy"))
)</f>
        <v>13608.2</v>
      </c>
      <c r="I9">
        <f>_xlfn.XLOOKUP(A9,[1]ForwardDeriv!$D:$D,[1]ForwardDeriv!$AJ:$AJ)</f>
        <v>-1.0499999999999972</v>
      </c>
      <c r="J9" cm="1">
        <f t="array" ref="J9">_xlfn.XLOOKUP(TEXT(A9, "mmm-yy"), TEXT([2]GASOLINE!$B$5:$B$208, "mmm-yy"), [2]GASOLINE!$IR$5:$IR$208, "Not Found")</f>
        <v>162.12990715806416</v>
      </c>
      <c r="K9" cm="1">
        <f t="array" ref="K9">_xlfn.XLOOKUP(TEXT(A9, "mmm-yy"), TEXT([2]GASOLINE!$B$5:$B$208, "mmm-yy"), [2]GASOLINE!$IK$5:$IK$208, "Not Found")</f>
        <v>0</v>
      </c>
      <c r="L9">
        <f t="shared" si="0"/>
        <v>0</v>
      </c>
      <c r="M9" cm="1">
        <f t="array" ref="M9">_xlfn.XLOOKUP(TEXT(A9, "mmm-yy"), TEXT([2]GASOLINE!$B$5:$B$208, "mmm-yy"), [2]GASOLINE!$C$5:$C$208, "Not Found")</f>
        <v>6004.7152819284374</v>
      </c>
      <c r="N9" cm="1">
        <f t="array" ref="N9">_xlfn.XLOOKUP(TEXT(A9, "mmm-yy"), TEXT([2]RUNS!$B$5:$B$208, "mmm-yy"), [2]RUNS!$BM$5:$BM$208, "Not Found")</f>
        <v>0.78987894221144983</v>
      </c>
    </row>
    <row r="10" spans="1:14" x14ac:dyDescent="0.25">
      <c r="A10" s="1">
        <f>'[1]Global_Spot Prices'!$B1319</f>
        <v>42017</v>
      </c>
      <c r="B10">
        <f>_xlfn.XLOOKUP(A10,'[1]Global_Spot Prices'!$B:$B,'[1]Global_Spot Prices'!$BS:$BS)</f>
        <v>7.7899999999999991</v>
      </c>
      <c r="C10">
        <f>_xlfn.XLOOKUP(A10,'[1]Global_Spot Prices'!$B:$B,'[1]Global_Spot Prices'!$E:$E)</f>
        <v>42.59</v>
      </c>
      <c r="D10">
        <f>_xlfn.XLOOKUP(A10,'[1]Global_Spot Prices'!$B:$B,'[1]Global_Spot Prices'!$D:$D)</f>
        <v>45.22</v>
      </c>
      <c r="E10">
        <f>_xlfn.XLOOKUP(A10,'[1]Global_Spot Prices'!$B:$B,'[1]Global_Spot Prices'!$H:$H)</f>
        <v>41.76</v>
      </c>
      <c r="F10">
        <f>_xlfn.XLOOKUP(A10,'[1]Global_Spot Prices'!$B:$B,'[1]Global_Spot Prices'!$I:$I)</f>
        <v>50.38</v>
      </c>
      <c r="G10" cm="1">
        <f t="array" ref="G10">_xlfn.XLOOKUP(TEXT(A10, "mmm-yy"), TEXT([2]RUNS!$B$5:$B$208, "mmm-yy"), [2]RUNS!$D$5:$D$208, "Not Found")</f>
        <v>26673.579975326891</v>
      </c>
      <c r="H10" cm="1">
        <f t="array" ref="H10">SUMPRODUCT(
    --(TEXT('[3]Global Weekly Stock (EWSuez'!$B$4:$B$2000,"mmm-yy")=TEXT(A10,"mmm-yy")),
    '[3]Global Weekly Stock (EWSuez'!$E$4:$E$2000)
/
SUMPRODUCT(
    --(TEXT('[3]Global Weekly Stock (EWSuez'!$B$4:$B$2000,"mmm-yy")=TEXT(A10,"mmm-yy"))
)</f>
        <v>13608.2</v>
      </c>
      <c r="I10">
        <f>_xlfn.XLOOKUP(A10,[1]ForwardDeriv!$D:$D,[1]ForwardDeriv!$AJ:$AJ)</f>
        <v>-1.1999999999999957</v>
      </c>
      <c r="J10" cm="1">
        <f t="array" ref="J10">_xlfn.XLOOKUP(TEXT(A10, "mmm-yy"), TEXT([2]GASOLINE!$B$5:$B$208, "mmm-yy"), [2]GASOLINE!$IR$5:$IR$208, "Not Found")</f>
        <v>162.12990715806416</v>
      </c>
      <c r="K10" cm="1">
        <f t="array" ref="K10">_xlfn.XLOOKUP(TEXT(A10, "mmm-yy"), TEXT([2]GASOLINE!$B$5:$B$208, "mmm-yy"), [2]GASOLINE!$IK$5:$IK$208, "Not Found")</f>
        <v>0</v>
      </c>
      <c r="L10">
        <f t="shared" si="0"/>
        <v>0</v>
      </c>
      <c r="M10" cm="1">
        <f t="array" ref="M10">_xlfn.XLOOKUP(TEXT(A10, "mmm-yy"), TEXT([2]GASOLINE!$B$5:$B$208, "mmm-yy"), [2]GASOLINE!$C$5:$C$208, "Not Found")</f>
        <v>6004.7152819284374</v>
      </c>
      <c r="N10" cm="1">
        <f t="array" ref="N10">_xlfn.XLOOKUP(TEXT(A10, "mmm-yy"), TEXT([2]RUNS!$B$5:$B$208, "mmm-yy"), [2]RUNS!$BM$5:$BM$208, "Not Found")</f>
        <v>0.78987894221144983</v>
      </c>
    </row>
    <row r="11" spans="1:14" x14ac:dyDescent="0.25">
      <c r="A11" s="1">
        <f>'[1]Global_Spot Prices'!$B1320</f>
        <v>42018</v>
      </c>
      <c r="B11">
        <f>_xlfn.XLOOKUP(A11,'[1]Global_Spot Prices'!$B:$B,'[1]Global_Spot Prices'!$BS:$BS)</f>
        <v>8.8700000000000045</v>
      </c>
      <c r="C11">
        <f>_xlfn.XLOOKUP(A11,'[1]Global_Spot Prices'!$B:$B,'[1]Global_Spot Prices'!$E:$E)</f>
        <v>42.05</v>
      </c>
      <c r="D11">
        <f>_xlfn.XLOOKUP(A11,'[1]Global_Spot Prices'!$B:$B,'[1]Global_Spot Prices'!$D:$D)</f>
        <v>45.73</v>
      </c>
      <c r="E11">
        <f>_xlfn.XLOOKUP(A11,'[1]Global_Spot Prices'!$B:$B,'[1]Global_Spot Prices'!$H:$H)</f>
        <v>42.23</v>
      </c>
      <c r="F11">
        <f>_xlfn.XLOOKUP(A11,'[1]Global_Spot Prices'!$B:$B,'[1]Global_Spot Prices'!$I:$I)</f>
        <v>50.92</v>
      </c>
      <c r="G11" cm="1">
        <f t="array" ref="G11">_xlfn.XLOOKUP(TEXT(A11, "mmm-yy"), TEXT([2]RUNS!$B$5:$B$208, "mmm-yy"), [2]RUNS!$D$5:$D$208, "Not Found")</f>
        <v>26673.579975326891</v>
      </c>
      <c r="H11" cm="1">
        <f t="array" ref="H11">SUMPRODUCT(
    --(TEXT('[3]Global Weekly Stock (EWSuez'!$B$4:$B$2000,"mmm-yy")=TEXT(A11,"mmm-yy")),
    '[3]Global Weekly Stock (EWSuez'!$E$4:$E$2000)
/
SUMPRODUCT(
    --(TEXT('[3]Global Weekly Stock (EWSuez'!$B$4:$B$2000,"mmm-yy")=TEXT(A11,"mmm-yy"))
)</f>
        <v>13608.2</v>
      </c>
      <c r="I11">
        <f>_xlfn.XLOOKUP(A11,[1]ForwardDeriv!$D:$D,[1]ForwardDeriv!$AJ:$AJ)</f>
        <v>-1.0500000000000043</v>
      </c>
      <c r="J11" cm="1">
        <f t="array" ref="J11">_xlfn.XLOOKUP(TEXT(A11, "mmm-yy"), TEXT([2]GASOLINE!$B$5:$B$208, "mmm-yy"), [2]GASOLINE!$IR$5:$IR$208, "Not Found")</f>
        <v>162.12990715806416</v>
      </c>
      <c r="K11" cm="1">
        <f t="array" ref="K11">_xlfn.XLOOKUP(TEXT(A11, "mmm-yy"), TEXT([2]GASOLINE!$B$5:$B$208, "mmm-yy"), [2]GASOLINE!$IK$5:$IK$208, "Not Found")</f>
        <v>0</v>
      </c>
      <c r="L11">
        <f t="shared" si="0"/>
        <v>0</v>
      </c>
      <c r="M11" cm="1">
        <f t="array" ref="M11">_xlfn.XLOOKUP(TEXT(A11, "mmm-yy"), TEXT([2]GASOLINE!$B$5:$B$208, "mmm-yy"), [2]GASOLINE!$C$5:$C$208, "Not Found")</f>
        <v>6004.7152819284374</v>
      </c>
      <c r="N11" cm="1">
        <f t="array" ref="N11">_xlfn.XLOOKUP(TEXT(A11, "mmm-yy"), TEXT([2]RUNS!$B$5:$B$208, "mmm-yy"), [2]RUNS!$BM$5:$BM$208, "Not Found")</f>
        <v>0.78987894221144983</v>
      </c>
    </row>
    <row r="12" spans="1:14" x14ac:dyDescent="0.25">
      <c r="A12" s="1">
        <f>'[1]Global_Spot Prices'!$B1321</f>
        <v>42019</v>
      </c>
      <c r="B12">
        <f>_xlfn.XLOOKUP(A12,'[1]Global_Spot Prices'!$B:$B,'[1]Global_Spot Prices'!$BS:$BS)</f>
        <v>9.5900000000000034</v>
      </c>
      <c r="C12">
        <f>_xlfn.XLOOKUP(A12,'[1]Global_Spot Prices'!$B:$B,'[1]Global_Spot Prices'!$E:$E)</f>
        <v>44</v>
      </c>
      <c r="D12">
        <f>_xlfn.XLOOKUP(A12,'[1]Global_Spot Prices'!$B:$B,'[1]Global_Spot Prices'!$D:$D)</f>
        <v>47.65</v>
      </c>
      <c r="E12">
        <f>_xlfn.XLOOKUP(A12,'[1]Global_Spot Prices'!$B:$B,'[1]Global_Spot Prices'!$H:$H)</f>
        <v>44.06</v>
      </c>
      <c r="F12">
        <f>_xlfn.XLOOKUP(A12,'[1]Global_Spot Prices'!$B:$B,'[1]Global_Spot Prices'!$I:$I)</f>
        <v>53.59</v>
      </c>
      <c r="G12" cm="1">
        <f t="array" ref="G12">_xlfn.XLOOKUP(TEXT(A12, "mmm-yy"), TEXT([2]RUNS!$B$5:$B$208, "mmm-yy"), [2]RUNS!$D$5:$D$208, "Not Found")</f>
        <v>26673.579975326891</v>
      </c>
      <c r="H12" cm="1">
        <f t="array" ref="H12">SUMPRODUCT(
    --(TEXT('[3]Global Weekly Stock (EWSuez'!$B$4:$B$2000,"mmm-yy")=TEXT(A12,"mmm-yy")),
    '[3]Global Weekly Stock (EWSuez'!$E$4:$E$2000)
/
SUMPRODUCT(
    --(TEXT('[3]Global Weekly Stock (EWSuez'!$B$4:$B$2000,"mmm-yy")=TEXT(A12,"mmm-yy"))
)</f>
        <v>13608.2</v>
      </c>
      <c r="I12">
        <f>_xlfn.XLOOKUP(A12,[1]ForwardDeriv!$D:$D,[1]ForwardDeriv!$AJ:$AJ)</f>
        <v>-0.95000000000000284</v>
      </c>
      <c r="J12" cm="1">
        <f t="array" ref="J12">_xlfn.XLOOKUP(TEXT(A12, "mmm-yy"), TEXT([2]GASOLINE!$B$5:$B$208, "mmm-yy"), [2]GASOLINE!$IR$5:$IR$208, "Not Found")</f>
        <v>162.12990715806416</v>
      </c>
      <c r="K12" cm="1">
        <f t="array" ref="K12">_xlfn.XLOOKUP(TEXT(A12, "mmm-yy"), TEXT([2]GASOLINE!$B$5:$B$208, "mmm-yy"), [2]GASOLINE!$IK$5:$IK$208, "Not Found")</f>
        <v>0</v>
      </c>
      <c r="L12">
        <f t="shared" si="0"/>
        <v>0</v>
      </c>
      <c r="M12" cm="1">
        <f t="array" ref="M12">_xlfn.XLOOKUP(TEXT(A12, "mmm-yy"), TEXT([2]GASOLINE!$B$5:$B$208, "mmm-yy"), [2]GASOLINE!$C$5:$C$208, "Not Found")</f>
        <v>6004.7152819284374</v>
      </c>
      <c r="N12" cm="1">
        <f t="array" ref="N12">_xlfn.XLOOKUP(TEXT(A12, "mmm-yy"), TEXT([2]RUNS!$B$5:$B$208, "mmm-yy"), [2]RUNS!$BM$5:$BM$208, "Not Found")</f>
        <v>0.78987894221144983</v>
      </c>
    </row>
    <row r="13" spans="1:14" x14ac:dyDescent="0.25">
      <c r="A13" s="1">
        <f>'[1]Global_Spot Prices'!$B1322</f>
        <v>42020</v>
      </c>
      <c r="B13">
        <f>_xlfn.XLOOKUP(A13,'[1]Global_Spot Prices'!$B:$B,'[1]Global_Spot Prices'!$BS:$BS)</f>
        <v>9.8100000000000023</v>
      </c>
      <c r="C13">
        <f>_xlfn.XLOOKUP(A13,'[1]Global_Spot Prices'!$B:$B,'[1]Global_Spot Prices'!$E:$E)</f>
        <v>43.9</v>
      </c>
      <c r="D13">
        <f>_xlfn.XLOOKUP(A13,'[1]Global_Spot Prices'!$B:$B,'[1]Global_Spot Prices'!$D:$D)</f>
        <v>47.225000000000001</v>
      </c>
      <c r="E13">
        <f>_xlfn.XLOOKUP(A13,'[1]Global_Spot Prices'!$B:$B,'[1]Global_Spot Prices'!$H:$H)</f>
        <v>45.3</v>
      </c>
      <c r="F13">
        <f>_xlfn.XLOOKUP(A13,'[1]Global_Spot Prices'!$B:$B,'[1]Global_Spot Prices'!$I:$I)</f>
        <v>53.71</v>
      </c>
      <c r="G13" cm="1">
        <f t="array" ref="G13">_xlfn.XLOOKUP(TEXT(A13, "mmm-yy"), TEXT([2]RUNS!$B$5:$B$208, "mmm-yy"), [2]RUNS!$D$5:$D$208, "Not Found")</f>
        <v>26673.579975326891</v>
      </c>
      <c r="H13" cm="1">
        <f t="array" ref="H13">SUMPRODUCT(
    --(TEXT('[3]Global Weekly Stock (EWSuez'!$B$4:$B$2000,"mmm-yy")=TEXT(A13,"mmm-yy")),
    '[3]Global Weekly Stock (EWSuez'!$E$4:$E$2000)
/
SUMPRODUCT(
    --(TEXT('[3]Global Weekly Stock (EWSuez'!$B$4:$B$2000,"mmm-yy")=TEXT(A13,"mmm-yy"))
)</f>
        <v>13608.2</v>
      </c>
      <c r="I13">
        <f>_xlfn.XLOOKUP(A13,[1]ForwardDeriv!$D:$D,[1]ForwardDeriv!$AJ:$AJ)</f>
        <v>-0.95000000000000284</v>
      </c>
      <c r="J13" cm="1">
        <f t="array" ref="J13">_xlfn.XLOOKUP(TEXT(A13, "mmm-yy"), TEXT([2]GASOLINE!$B$5:$B$208, "mmm-yy"), [2]GASOLINE!$IR$5:$IR$208, "Not Found")</f>
        <v>162.12990715806416</v>
      </c>
      <c r="K13" cm="1">
        <f t="array" ref="K13">_xlfn.XLOOKUP(TEXT(A13, "mmm-yy"), TEXT([2]GASOLINE!$B$5:$B$208, "mmm-yy"), [2]GASOLINE!$IK$5:$IK$208, "Not Found")</f>
        <v>0</v>
      </c>
      <c r="L13">
        <f t="shared" si="0"/>
        <v>0</v>
      </c>
      <c r="M13" cm="1">
        <f t="array" ref="M13">_xlfn.XLOOKUP(TEXT(A13, "mmm-yy"), TEXT([2]GASOLINE!$B$5:$B$208, "mmm-yy"), [2]GASOLINE!$C$5:$C$208, "Not Found")</f>
        <v>6004.7152819284374</v>
      </c>
      <c r="N13" cm="1">
        <f t="array" ref="N13">_xlfn.XLOOKUP(TEXT(A13, "mmm-yy"), TEXT([2]RUNS!$B$5:$B$208, "mmm-yy"), [2]RUNS!$BM$5:$BM$208, "Not Found")</f>
        <v>0.78987894221144983</v>
      </c>
    </row>
    <row r="14" spans="1:14" x14ac:dyDescent="0.25">
      <c r="A14" s="1">
        <f>'[1]Global_Spot Prices'!$B1323</f>
        <v>42023</v>
      </c>
      <c r="B14">
        <f>_xlfn.XLOOKUP(A14,'[1]Global_Spot Prices'!$B:$B,'[1]Global_Spot Prices'!$BS:$BS)</f>
        <v>9.5800000000000054</v>
      </c>
      <c r="C14">
        <f>_xlfn.XLOOKUP(A14,'[1]Global_Spot Prices'!$B:$B,'[1]Global_Spot Prices'!$E:$E)</f>
        <v>44.8</v>
      </c>
      <c r="D14">
        <f>_xlfn.XLOOKUP(A14,'[1]Global_Spot Prices'!$B:$B,'[1]Global_Spot Prices'!$D:$D)</f>
        <v>47.005000000000003</v>
      </c>
      <c r="E14">
        <f>_xlfn.XLOOKUP(A14,'[1]Global_Spot Prices'!$B:$B,'[1]Global_Spot Prices'!$H:$H)</f>
        <v>46.39</v>
      </c>
      <c r="F14">
        <f>_xlfn.XLOOKUP(A14,'[1]Global_Spot Prices'!$B:$B,'[1]Global_Spot Prices'!$I:$I)</f>
        <v>54.38</v>
      </c>
      <c r="G14" cm="1">
        <f t="array" ref="G14">_xlfn.XLOOKUP(TEXT(A14, "mmm-yy"), TEXT([2]RUNS!$B$5:$B$208, "mmm-yy"), [2]RUNS!$D$5:$D$208, "Not Found")</f>
        <v>26673.579975326891</v>
      </c>
      <c r="H14" cm="1">
        <f t="array" ref="H14">SUMPRODUCT(
    --(TEXT('[3]Global Weekly Stock (EWSuez'!$B$4:$B$2000,"mmm-yy")=TEXT(A14,"mmm-yy")),
    '[3]Global Weekly Stock (EWSuez'!$E$4:$E$2000)
/
SUMPRODUCT(
    --(TEXT('[3]Global Weekly Stock (EWSuez'!$B$4:$B$2000,"mmm-yy")=TEXT(A14,"mmm-yy"))
)</f>
        <v>13608.2</v>
      </c>
      <c r="I14">
        <f>_xlfn.XLOOKUP(A14,[1]ForwardDeriv!$D:$D,[1]ForwardDeriv!$AJ:$AJ)</f>
        <v>-0.89999999999999858</v>
      </c>
      <c r="J14" cm="1">
        <f t="array" ref="J14">_xlfn.XLOOKUP(TEXT(A14, "mmm-yy"), TEXT([2]GASOLINE!$B$5:$B$208, "mmm-yy"), [2]GASOLINE!$IR$5:$IR$208, "Not Found")</f>
        <v>162.12990715806416</v>
      </c>
      <c r="K14" cm="1">
        <f t="array" ref="K14">_xlfn.XLOOKUP(TEXT(A14, "mmm-yy"), TEXT([2]GASOLINE!$B$5:$B$208, "mmm-yy"), [2]GASOLINE!$IK$5:$IK$208, "Not Found")</f>
        <v>0</v>
      </c>
      <c r="L14">
        <f t="shared" si="0"/>
        <v>0</v>
      </c>
      <c r="M14" cm="1">
        <f t="array" ref="M14">_xlfn.XLOOKUP(TEXT(A14, "mmm-yy"), TEXT([2]GASOLINE!$B$5:$B$208, "mmm-yy"), [2]GASOLINE!$C$5:$C$208, "Not Found")</f>
        <v>6004.7152819284374</v>
      </c>
      <c r="N14" cm="1">
        <f t="array" ref="N14">_xlfn.XLOOKUP(TEXT(A14, "mmm-yy"), TEXT([2]RUNS!$B$5:$B$208, "mmm-yy"), [2]RUNS!$BM$5:$BM$208, "Not Found")</f>
        <v>0.78987894221144983</v>
      </c>
    </row>
    <row r="15" spans="1:14" x14ac:dyDescent="0.25">
      <c r="A15" s="1">
        <f>'[1]Global_Spot Prices'!$B1324</f>
        <v>42024</v>
      </c>
      <c r="B15">
        <f>_xlfn.XLOOKUP(A15,'[1]Global_Spot Prices'!$B:$B,'[1]Global_Spot Prices'!$BS:$BS)</f>
        <v>9.39</v>
      </c>
      <c r="C15">
        <f>_xlfn.XLOOKUP(A15,'[1]Global_Spot Prices'!$B:$B,'[1]Global_Spot Prices'!$E:$E)</f>
        <v>44</v>
      </c>
      <c r="D15">
        <f>_xlfn.XLOOKUP(A15,'[1]Global_Spot Prices'!$B:$B,'[1]Global_Spot Prices'!$D:$D)</f>
        <v>46.865000000000002</v>
      </c>
      <c r="E15">
        <f>_xlfn.XLOOKUP(A15,'[1]Global_Spot Prices'!$B:$B,'[1]Global_Spot Prices'!$H:$H)</f>
        <v>46.29</v>
      </c>
      <c r="F15">
        <f>_xlfn.XLOOKUP(A15,'[1]Global_Spot Prices'!$B:$B,'[1]Global_Spot Prices'!$I:$I)</f>
        <v>53.39</v>
      </c>
      <c r="G15" cm="1">
        <f t="array" ref="G15">_xlfn.XLOOKUP(TEXT(A15, "mmm-yy"), TEXT([2]RUNS!$B$5:$B$208, "mmm-yy"), [2]RUNS!$D$5:$D$208, "Not Found")</f>
        <v>26673.579975326891</v>
      </c>
      <c r="H15" cm="1">
        <f t="array" ref="H15">SUMPRODUCT(
    --(TEXT('[3]Global Weekly Stock (EWSuez'!$B$4:$B$2000,"mmm-yy")=TEXT(A15,"mmm-yy")),
    '[3]Global Weekly Stock (EWSuez'!$E$4:$E$2000)
/
SUMPRODUCT(
    --(TEXT('[3]Global Weekly Stock (EWSuez'!$B$4:$B$2000,"mmm-yy")=TEXT(A15,"mmm-yy"))
)</f>
        <v>13608.2</v>
      </c>
      <c r="I15">
        <f>_xlfn.XLOOKUP(A15,[1]ForwardDeriv!$D:$D,[1]ForwardDeriv!$AJ:$AJ)</f>
        <v>-0.94999999999999574</v>
      </c>
      <c r="J15" cm="1">
        <f t="array" ref="J15">_xlfn.XLOOKUP(TEXT(A15, "mmm-yy"), TEXT([2]GASOLINE!$B$5:$B$208, "mmm-yy"), [2]GASOLINE!$IR$5:$IR$208, "Not Found")</f>
        <v>162.12990715806416</v>
      </c>
      <c r="K15" cm="1">
        <f t="array" ref="K15">_xlfn.XLOOKUP(TEXT(A15, "mmm-yy"), TEXT([2]GASOLINE!$B$5:$B$208, "mmm-yy"), [2]GASOLINE!$IK$5:$IK$208, "Not Found")</f>
        <v>0</v>
      </c>
      <c r="L15">
        <f t="shared" si="0"/>
        <v>0</v>
      </c>
      <c r="M15" cm="1">
        <f t="array" ref="M15">_xlfn.XLOOKUP(TEXT(A15, "mmm-yy"), TEXT([2]GASOLINE!$B$5:$B$208, "mmm-yy"), [2]GASOLINE!$C$5:$C$208, "Not Found")</f>
        <v>6004.7152819284374</v>
      </c>
      <c r="N15" cm="1">
        <f t="array" ref="N15">_xlfn.XLOOKUP(TEXT(A15, "mmm-yy"), TEXT([2]RUNS!$B$5:$B$208, "mmm-yy"), [2]RUNS!$BM$5:$BM$208, "Not Found")</f>
        <v>0.78987894221144983</v>
      </c>
    </row>
    <row r="16" spans="1:14" x14ac:dyDescent="0.25">
      <c r="A16" s="1">
        <f>'[1]Global_Spot Prices'!$B1325</f>
        <v>42025</v>
      </c>
      <c r="B16">
        <f>_xlfn.XLOOKUP(A16,'[1]Global_Spot Prices'!$B:$B,'[1]Global_Spot Prices'!$BS:$BS)</f>
        <v>9.3700000000000045</v>
      </c>
      <c r="C16">
        <f>_xlfn.XLOOKUP(A16,'[1]Global_Spot Prices'!$B:$B,'[1]Global_Spot Prices'!$E:$E)</f>
        <v>44.15</v>
      </c>
      <c r="D16">
        <f>_xlfn.XLOOKUP(A16,'[1]Global_Spot Prices'!$B:$B,'[1]Global_Spot Prices'!$D:$D)</f>
        <v>46.884999999999998</v>
      </c>
      <c r="E16">
        <f>_xlfn.XLOOKUP(A16,'[1]Global_Spot Prices'!$B:$B,'[1]Global_Spot Prices'!$H:$H)</f>
        <v>45.96</v>
      </c>
      <c r="F16">
        <f>_xlfn.XLOOKUP(A16,'[1]Global_Spot Prices'!$B:$B,'[1]Global_Spot Prices'!$I:$I)</f>
        <v>53.52</v>
      </c>
      <c r="G16" cm="1">
        <f t="array" ref="G16">_xlfn.XLOOKUP(TEXT(A16, "mmm-yy"), TEXT([2]RUNS!$B$5:$B$208, "mmm-yy"), [2]RUNS!$D$5:$D$208, "Not Found")</f>
        <v>26673.579975326891</v>
      </c>
      <c r="H16" cm="1">
        <f t="array" ref="H16">SUMPRODUCT(
    --(TEXT('[3]Global Weekly Stock (EWSuez'!$B$4:$B$2000,"mmm-yy")=TEXT(A16,"mmm-yy")),
    '[3]Global Weekly Stock (EWSuez'!$E$4:$E$2000)
/
SUMPRODUCT(
    --(TEXT('[3]Global Weekly Stock (EWSuez'!$B$4:$B$2000,"mmm-yy")=TEXT(A16,"mmm-yy"))
)</f>
        <v>13608.2</v>
      </c>
      <c r="I16">
        <f>_xlfn.XLOOKUP(A16,[1]ForwardDeriv!$D:$D,[1]ForwardDeriv!$AJ:$AJ)</f>
        <v>-1</v>
      </c>
      <c r="J16" cm="1">
        <f t="array" ref="J16">_xlfn.XLOOKUP(TEXT(A16, "mmm-yy"), TEXT([2]GASOLINE!$B$5:$B$208, "mmm-yy"), [2]GASOLINE!$IR$5:$IR$208, "Not Found")</f>
        <v>162.12990715806416</v>
      </c>
      <c r="K16" cm="1">
        <f t="array" ref="K16">_xlfn.XLOOKUP(TEXT(A16, "mmm-yy"), TEXT([2]GASOLINE!$B$5:$B$208, "mmm-yy"), [2]GASOLINE!$IK$5:$IK$208, "Not Found")</f>
        <v>0</v>
      </c>
      <c r="L16">
        <f t="shared" si="0"/>
        <v>0</v>
      </c>
      <c r="M16" cm="1">
        <f t="array" ref="M16">_xlfn.XLOOKUP(TEXT(A16, "mmm-yy"), TEXT([2]GASOLINE!$B$5:$B$208, "mmm-yy"), [2]GASOLINE!$C$5:$C$208, "Not Found")</f>
        <v>6004.7152819284374</v>
      </c>
      <c r="N16" cm="1">
        <f t="array" ref="N16">_xlfn.XLOOKUP(TEXT(A16, "mmm-yy"), TEXT([2]RUNS!$B$5:$B$208, "mmm-yy"), [2]RUNS!$BM$5:$BM$208, "Not Found")</f>
        <v>0.78987894221144983</v>
      </c>
    </row>
    <row r="17" spans="1:14" x14ac:dyDescent="0.25">
      <c r="A17" s="1">
        <f>'[1]Global_Spot Prices'!$B1326</f>
        <v>42026</v>
      </c>
      <c r="B17">
        <f>_xlfn.XLOOKUP(A17,'[1]Global_Spot Prices'!$B:$B,'[1]Global_Spot Prices'!$BS:$BS)</f>
        <v>9.1299999999999955</v>
      </c>
      <c r="C17">
        <f>_xlfn.XLOOKUP(A17,'[1]Global_Spot Prices'!$B:$B,'[1]Global_Spot Prices'!$E:$E)</f>
        <v>43.99</v>
      </c>
      <c r="D17">
        <f>_xlfn.XLOOKUP(A17,'[1]Global_Spot Prices'!$B:$B,'[1]Global_Spot Prices'!$D:$D)</f>
        <v>46.6</v>
      </c>
      <c r="E17">
        <f>_xlfn.XLOOKUP(A17,'[1]Global_Spot Prices'!$B:$B,'[1]Global_Spot Prices'!$H:$H)</f>
        <v>45.99</v>
      </c>
      <c r="F17">
        <f>_xlfn.XLOOKUP(A17,'[1]Global_Spot Prices'!$B:$B,'[1]Global_Spot Prices'!$I:$I)</f>
        <v>53.12</v>
      </c>
      <c r="G17" cm="1">
        <f t="array" ref="G17">_xlfn.XLOOKUP(TEXT(A17, "mmm-yy"), TEXT([2]RUNS!$B$5:$B$208, "mmm-yy"), [2]RUNS!$D$5:$D$208, "Not Found")</f>
        <v>26673.579975326891</v>
      </c>
      <c r="H17" cm="1">
        <f t="array" ref="H17">SUMPRODUCT(
    --(TEXT('[3]Global Weekly Stock (EWSuez'!$B$4:$B$2000,"mmm-yy")=TEXT(A17,"mmm-yy")),
    '[3]Global Weekly Stock (EWSuez'!$E$4:$E$2000)
/
SUMPRODUCT(
    --(TEXT('[3]Global Weekly Stock (EWSuez'!$B$4:$B$2000,"mmm-yy")=TEXT(A17,"mmm-yy"))
)</f>
        <v>13608.2</v>
      </c>
      <c r="I17">
        <f>_xlfn.XLOOKUP(A17,[1]ForwardDeriv!$D:$D,[1]ForwardDeriv!$AJ:$AJ)</f>
        <v>-1</v>
      </c>
      <c r="J17" cm="1">
        <f t="array" ref="J17">_xlfn.XLOOKUP(TEXT(A17, "mmm-yy"), TEXT([2]GASOLINE!$B$5:$B$208, "mmm-yy"), [2]GASOLINE!$IR$5:$IR$208, "Not Found")</f>
        <v>162.12990715806416</v>
      </c>
      <c r="K17" cm="1">
        <f t="array" ref="K17">_xlfn.XLOOKUP(TEXT(A17, "mmm-yy"), TEXT([2]GASOLINE!$B$5:$B$208, "mmm-yy"), [2]GASOLINE!$IK$5:$IK$208, "Not Found")</f>
        <v>0</v>
      </c>
      <c r="L17">
        <f t="shared" si="0"/>
        <v>0</v>
      </c>
      <c r="M17" cm="1">
        <f t="array" ref="M17">_xlfn.XLOOKUP(TEXT(A17, "mmm-yy"), TEXT([2]GASOLINE!$B$5:$B$208, "mmm-yy"), [2]GASOLINE!$C$5:$C$208, "Not Found")</f>
        <v>6004.7152819284374</v>
      </c>
      <c r="N17" cm="1">
        <f t="array" ref="N17">_xlfn.XLOOKUP(TEXT(A17, "mmm-yy"), TEXT([2]RUNS!$B$5:$B$208, "mmm-yy"), [2]RUNS!$BM$5:$BM$208, "Not Found")</f>
        <v>0.78987894221144983</v>
      </c>
    </row>
    <row r="18" spans="1:14" x14ac:dyDescent="0.25">
      <c r="A18" s="1">
        <f>'[1]Global_Spot Prices'!$B1327</f>
        <v>42027</v>
      </c>
      <c r="B18">
        <f>_xlfn.XLOOKUP(A18,'[1]Global_Spot Prices'!$B:$B,'[1]Global_Spot Prices'!$BS:$BS)</f>
        <v>9.3799999999999955</v>
      </c>
      <c r="C18">
        <f>_xlfn.XLOOKUP(A18,'[1]Global_Spot Prices'!$B:$B,'[1]Global_Spot Prices'!$E:$E)</f>
        <v>45.2</v>
      </c>
      <c r="D18">
        <f>_xlfn.XLOOKUP(A18,'[1]Global_Spot Prices'!$B:$B,'[1]Global_Spot Prices'!$D:$D)</f>
        <v>46.97</v>
      </c>
      <c r="E18">
        <f>_xlfn.XLOOKUP(A18,'[1]Global_Spot Prices'!$B:$B,'[1]Global_Spot Prices'!$H:$H)</f>
        <v>46.24</v>
      </c>
      <c r="F18">
        <f>_xlfn.XLOOKUP(A18,'[1]Global_Spot Prices'!$B:$B,'[1]Global_Spot Prices'!$I:$I)</f>
        <v>54.58</v>
      </c>
      <c r="G18" cm="1">
        <f t="array" ref="G18">_xlfn.XLOOKUP(TEXT(A18, "mmm-yy"), TEXT([2]RUNS!$B$5:$B$208, "mmm-yy"), [2]RUNS!$D$5:$D$208, "Not Found")</f>
        <v>26673.579975326891</v>
      </c>
      <c r="H18" cm="1">
        <f t="array" ref="H18">SUMPRODUCT(
    --(TEXT('[3]Global Weekly Stock (EWSuez'!$B$4:$B$2000,"mmm-yy")=TEXT(A18,"mmm-yy")),
    '[3]Global Weekly Stock (EWSuez'!$E$4:$E$2000)
/
SUMPRODUCT(
    --(TEXT('[3]Global Weekly Stock (EWSuez'!$B$4:$B$2000,"mmm-yy")=TEXT(A18,"mmm-yy"))
)</f>
        <v>13608.2</v>
      </c>
      <c r="I18">
        <f>_xlfn.XLOOKUP(A18,[1]ForwardDeriv!$D:$D,[1]ForwardDeriv!$AJ:$AJ)</f>
        <v>-1.0500000000000043</v>
      </c>
      <c r="J18" cm="1">
        <f t="array" ref="J18">_xlfn.XLOOKUP(TEXT(A18, "mmm-yy"), TEXT([2]GASOLINE!$B$5:$B$208, "mmm-yy"), [2]GASOLINE!$IR$5:$IR$208, "Not Found")</f>
        <v>162.12990715806416</v>
      </c>
      <c r="K18" cm="1">
        <f t="array" ref="K18">_xlfn.XLOOKUP(TEXT(A18, "mmm-yy"), TEXT([2]GASOLINE!$B$5:$B$208, "mmm-yy"), [2]GASOLINE!$IK$5:$IK$208, "Not Found")</f>
        <v>0</v>
      </c>
      <c r="L18">
        <f t="shared" si="0"/>
        <v>0</v>
      </c>
      <c r="M18" cm="1">
        <f t="array" ref="M18">_xlfn.XLOOKUP(TEXT(A18, "mmm-yy"), TEXT([2]GASOLINE!$B$5:$B$208, "mmm-yy"), [2]GASOLINE!$C$5:$C$208, "Not Found")</f>
        <v>6004.7152819284374</v>
      </c>
      <c r="N18" cm="1">
        <f t="array" ref="N18">_xlfn.XLOOKUP(TEXT(A18, "mmm-yy"), TEXT([2]RUNS!$B$5:$B$208, "mmm-yy"), [2]RUNS!$BM$5:$BM$208, "Not Found")</f>
        <v>0.78987894221144983</v>
      </c>
    </row>
    <row r="19" spans="1:14" x14ac:dyDescent="0.25">
      <c r="A19" s="1">
        <f>'[1]Global_Spot Prices'!$B1328</f>
        <v>42030</v>
      </c>
      <c r="B19">
        <f>_xlfn.XLOOKUP(A19,'[1]Global_Spot Prices'!$B:$B,'[1]Global_Spot Prices'!$BS:$BS)</f>
        <v>9.07</v>
      </c>
      <c r="C19">
        <f>_xlfn.XLOOKUP(A19,'[1]Global_Spot Prices'!$B:$B,'[1]Global_Spot Prices'!$E:$E)</f>
        <v>44.01</v>
      </c>
      <c r="D19">
        <f>_xlfn.XLOOKUP(A19,'[1]Global_Spot Prices'!$B:$B,'[1]Global_Spot Prices'!$D:$D)</f>
        <v>46.3</v>
      </c>
      <c r="E19">
        <f>_xlfn.XLOOKUP(A19,'[1]Global_Spot Prices'!$B:$B,'[1]Global_Spot Prices'!$H:$H)</f>
        <v>45.05</v>
      </c>
      <c r="F19">
        <f>_xlfn.XLOOKUP(A19,'[1]Global_Spot Prices'!$B:$B,'[1]Global_Spot Prices'!$I:$I)</f>
        <v>53.08</v>
      </c>
      <c r="G19" cm="1">
        <f t="array" ref="G19">_xlfn.XLOOKUP(TEXT(A19, "mmm-yy"), TEXT([2]RUNS!$B$5:$B$208, "mmm-yy"), [2]RUNS!$D$5:$D$208, "Not Found")</f>
        <v>26673.579975326891</v>
      </c>
      <c r="H19" cm="1">
        <f t="array" ref="H19">SUMPRODUCT(
    --(TEXT('[3]Global Weekly Stock (EWSuez'!$B$4:$B$2000,"mmm-yy")=TEXT(A19,"mmm-yy")),
    '[3]Global Weekly Stock (EWSuez'!$E$4:$E$2000)
/
SUMPRODUCT(
    --(TEXT('[3]Global Weekly Stock (EWSuez'!$B$4:$B$2000,"mmm-yy")=TEXT(A19,"mmm-yy"))
)</f>
        <v>13608.2</v>
      </c>
      <c r="I19">
        <f>_xlfn.XLOOKUP(A19,[1]ForwardDeriv!$D:$D,[1]ForwardDeriv!$AJ:$AJ)</f>
        <v>-1.1000000000000014</v>
      </c>
      <c r="J19" cm="1">
        <f t="array" ref="J19">_xlfn.XLOOKUP(TEXT(A19, "mmm-yy"), TEXT([2]GASOLINE!$B$5:$B$208, "mmm-yy"), [2]GASOLINE!$IR$5:$IR$208, "Not Found")</f>
        <v>162.12990715806416</v>
      </c>
      <c r="K19" cm="1">
        <f t="array" ref="K19">_xlfn.XLOOKUP(TEXT(A19, "mmm-yy"), TEXT([2]GASOLINE!$B$5:$B$208, "mmm-yy"), [2]GASOLINE!$IK$5:$IK$208, "Not Found")</f>
        <v>0</v>
      </c>
      <c r="L19">
        <f t="shared" si="0"/>
        <v>0</v>
      </c>
      <c r="M19" cm="1">
        <f t="array" ref="M19">_xlfn.XLOOKUP(TEXT(A19, "mmm-yy"), TEXT([2]GASOLINE!$B$5:$B$208, "mmm-yy"), [2]GASOLINE!$C$5:$C$208, "Not Found")</f>
        <v>6004.7152819284374</v>
      </c>
      <c r="N19" cm="1">
        <f t="array" ref="N19">_xlfn.XLOOKUP(TEXT(A19, "mmm-yy"), TEXT([2]RUNS!$B$5:$B$208, "mmm-yy"), [2]RUNS!$BM$5:$BM$208, "Not Found")</f>
        <v>0.78987894221144983</v>
      </c>
    </row>
    <row r="20" spans="1:14" x14ac:dyDescent="0.25">
      <c r="A20" s="1">
        <f>'[1]Global_Spot Prices'!$B1329</f>
        <v>42031</v>
      </c>
      <c r="B20">
        <f>_xlfn.XLOOKUP(A20,'[1]Global_Spot Prices'!$B:$B,'[1]Global_Spot Prices'!$BS:$BS)</f>
        <v>9.11</v>
      </c>
      <c r="C20">
        <f>_xlfn.XLOOKUP(A20,'[1]Global_Spot Prices'!$B:$B,'[1]Global_Spot Prices'!$E:$E)</f>
        <v>43.71</v>
      </c>
      <c r="D20">
        <f>_xlfn.XLOOKUP(A20,'[1]Global_Spot Prices'!$B:$B,'[1]Global_Spot Prices'!$D:$D)</f>
        <v>46.854999999999997</v>
      </c>
      <c r="E20">
        <f>_xlfn.XLOOKUP(A20,'[1]Global_Spot Prices'!$B:$B,'[1]Global_Spot Prices'!$H:$H)</f>
        <v>45.94</v>
      </c>
      <c r="F20">
        <f>_xlfn.XLOOKUP(A20,'[1]Global_Spot Prices'!$B:$B,'[1]Global_Spot Prices'!$I:$I)</f>
        <v>52.82</v>
      </c>
      <c r="G20" cm="1">
        <f t="array" ref="G20">_xlfn.XLOOKUP(TEXT(A20, "mmm-yy"), TEXT([2]RUNS!$B$5:$B$208, "mmm-yy"), [2]RUNS!$D$5:$D$208, "Not Found")</f>
        <v>26673.579975326891</v>
      </c>
      <c r="H20" cm="1">
        <f t="array" ref="H20">SUMPRODUCT(
    --(TEXT('[3]Global Weekly Stock (EWSuez'!$B$4:$B$2000,"mmm-yy")=TEXT(A20,"mmm-yy")),
    '[3]Global Weekly Stock (EWSuez'!$E$4:$E$2000)
/
SUMPRODUCT(
    --(TEXT('[3]Global Weekly Stock (EWSuez'!$B$4:$B$2000,"mmm-yy")=TEXT(A20,"mmm-yy"))
)</f>
        <v>13608.2</v>
      </c>
      <c r="I20">
        <f>_xlfn.XLOOKUP(A20,[1]ForwardDeriv!$D:$D,[1]ForwardDeriv!$AJ:$AJ)</f>
        <v>-1.1000000000000014</v>
      </c>
      <c r="J20" cm="1">
        <f t="array" ref="J20">_xlfn.XLOOKUP(TEXT(A20, "mmm-yy"), TEXT([2]GASOLINE!$B$5:$B$208, "mmm-yy"), [2]GASOLINE!$IR$5:$IR$208, "Not Found")</f>
        <v>162.12990715806416</v>
      </c>
      <c r="K20" cm="1">
        <f t="array" ref="K20">_xlfn.XLOOKUP(TEXT(A20, "mmm-yy"), TEXT([2]GASOLINE!$B$5:$B$208, "mmm-yy"), [2]GASOLINE!$IK$5:$IK$208, "Not Found")</f>
        <v>0</v>
      </c>
      <c r="L20">
        <f t="shared" si="0"/>
        <v>0</v>
      </c>
      <c r="M20" cm="1">
        <f t="array" ref="M20">_xlfn.XLOOKUP(TEXT(A20, "mmm-yy"), TEXT([2]GASOLINE!$B$5:$B$208, "mmm-yy"), [2]GASOLINE!$C$5:$C$208, "Not Found")</f>
        <v>6004.7152819284374</v>
      </c>
      <c r="N20" cm="1">
        <f t="array" ref="N20">_xlfn.XLOOKUP(TEXT(A20, "mmm-yy"), TEXT([2]RUNS!$B$5:$B$208, "mmm-yy"), [2]RUNS!$BM$5:$BM$208, "Not Found")</f>
        <v>0.78987894221144983</v>
      </c>
    </row>
    <row r="21" spans="1:14" x14ac:dyDescent="0.25">
      <c r="A21" s="1">
        <f>'[1]Global_Spot Prices'!$B1330</f>
        <v>42032</v>
      </c>
      <c r="B21">
        <f>_xlfn.XLOOKUP(A21,'[1]Global_Spot Prices'!$B:$B,'[1]Global_Spot Prices'!$BS:$BS)</f>
        <v>9.61</v>
      </c>
      <c r="C21">
        <f>_xlfn.XLOOKUP(A21,'[1]Global_Spot Prices'!$B:$B,'[1]Global_Spot Prices'!$E:$E)</f>
        <v>44.95</v>
      </c>
      <c r="D21">
        <f>_xlfn.XLOOKUP(A21,'[1]Global_Spot Prices'!$B:$B,'[1]Global_Spot Prices'!$D:$D)</f>
        <v>47.64</v>
      </c>
      <c r="E21">
        <f>_xlfn.XLOOKUP(A21,'[1]Global_Spot Prices'!$B:$B,'[1]Global_Spot Prices'!$H:$H)</f>
        <v>47.47</v>
      </c>
      <c r="F21">
        <f>_xlfn.XLOOKUP(A21,'[1]Global_Spot Prices'!$B:$B,'[1]Global_Spot Prices'!$I:$I)</f>
        <v>54.56</v>
      </c>
      <c r="G21" cm="1">
        <f t="array" ref="G21">_xlfn.XLOOKUP(TEXT(A21, "mmm-yy"), TEXT([2]RUNS!$B$5:$B$208, "mmm-yy"), [2]RUNS!$D$5:$D$208, "Not Found")</f>
        <v>26673.579975326891</v>
      </c>
      <c r="H21" cm="1">
        <f t="array" ref="H21">SUMPRODUCT(
    --(TEXT('[3]Global Weekly Stock (EWSuez'!$B$4:$B$2000,"mmm-yy")=TEXT(A21,"mmm-yy")),
    '[3]Global Weekly Stock (EWSuez'!$E$4:$E$2000)
/
SUMPRODUCT(
    --(TEXT('[3]Global Weekly Stock (EWSuez'!$B$4:$B$2000,"mmm-yy")=TEXT(A21,"mmm-yy"))
)</f>
        <v>13608.2</v>
      </c>
      <c r="I21">
        <f>_xlfn.XLOOKUP(A21,[1]ForwardDeriv!$D:$D,[1]ForwardDeriv!$AJ:$AJ)</f>
        <v>-1</v>
      </c>
      <c r="J21" cm="1">
        <f t="array" ref="J21">_xlfn.XLOOKUP(TEXT(A21, "mmm-yy"), TEXT([2]GASOLINE!$B$5:$B$208, "mmm-yy"), [2]GASOLINE!$IR$5:$IR$208, "Not Found")</f>
        <v>162.12990715806416</v>
      </c>
      <c r="K21" cm="1">
        <f t="array" ref="K21">_xlfn.XLOOKUP(TEXT(A21, "mmm-yy"), TEXT([2]GASOLINE!$B$5:$B$208, "mmm-yy"), [2]GASOLINE!$IK$5:$IK$208, "Not Found")</f>
        <v>0</v>
      </c>
      <c r="L21">
        <f t="shared" si="0"/>
        <v>0</v>
      </c>
      <c r="M21" cm="1">
        <f t="array" ref="M21">_xlfn.XLOOKUP(TEXT(A21, "mmm-yy"), TEXT([2]GASOLINE!$B$5:$B$208, "mmm-yy"), [2]GASOLINE!$C$5:$C$208, "Not Found")</f>
        <v>6004.7152819284374</v>
      </c>
      <c r="N21" cm="1">
        <f t="array" ref="N21">_xlfn.XLOOKUP(TEXT(A21, "mmm-yy"), TEXT([2]RUNS!$B$5:$B$208, "mmm-yy"), [2]RUNS!$BM$5:$BM$208, "Not Found")</f>
        <v>0.78987894221144983</v>
      </c>
    </row>
    <row r="22" spans="1:14" x14ac:dyDescent="0.25">
      <c r="A22" s="1">
        <f>'[1]Global_Spot Prices'!$B1331</f>
        <v>42033</v>
      </c>
      <c r="B22">
        <f>_xlfn.XLOOKUP(A22,'[1]Global_Spot Prices'!$B:$B,'[1]Global_Spot Prices'!$BS:$BS)</f>
        <v>10.229999999999997</v>
      </c>
      <c r="C22">
        <f>_xlfn.XLOOKUP(A22,'[1]Global_Spot Prices'!$B:$B,'[1]Global_Spot Prices'!$E:$E)</f>
        <v>44.45</v>
      </c>
      <c r="D22">
        <f>_xlfn.XLOOKUP(A22,'[1]Global_Spot Prices'!$B:$B,'[1]Global_Spot Prices'!$D:$D)</f>
        <v>47.06</v>
      </c>
      <c r="E22">
        <f>_xlfn.XLOOKUP(A22,'[1]Global_Spot Prices'!$B:$B,'[1]Global_Spot Prices'!$H:$H)</f>
        <v>47.09</v>
      </c>
      <c r="F22">
        <f>_xlfn.XLOOKUP(A22,'[1]Global_Spot Prices'!$B:$B,'[1]Global_Spot Prices'!$I:$I)</f>
        <v>54.68</v>
      </c>
      <c r="G22" cm="1">
        <f t="array" ref="G22">_xlfn.XLOOKUP(TEXT(A22, "mmm-yy"), TEXT([2]RUNS!$B$5:$B$208, "mmm-yy"), [2]RUNS!$D$5:$D$208, "Not Found")</f>
        <v>26673.579975326891</v>
      </c>
      <c r="H22" cm="1">
        <f t="array" ref="H22">SUMPRODUCT(
    --(TEXT('[3]Global Weekly Stock (EWSuez'!$B$4:$B$2000,"mmm-yy")=TEXT(A22,"mmm-yy")),
    '[3]Global Weekly Stock (EWSuez'!$E$4:$E$2000)
/
SUMPRODUCT(
    --(TEXT('[3]Global Weekly Stock (EWSuez'!$B$4:$B$2000,"mmm-yy")=TEXT(A22,"mmm-yy"))
)</f>
        <v>13608.2</v>
      </c>
      <c r="I22">
        <f>_xlfn.XLOOKUP(A22,[1]ForwardDeriv!$D:$D,[1]ForwardDeriv!$AJ:$AJ)</f>
        <v>-1</v>
      </c>
      <c r="J22" cm="1">
        <f t="array" ref="J22">_xlfn.XLOOKUP(TEXT(A22, "mmm-yy"), TEXT([2]GASOLINE!$B$5:$B$208, "mmm-yy"), [2]GASOLINE!$IR$5:$IR$208, "Not Found")</f>
        <v>162.12990715806416</v>
      </c>
      <c r="K22" cm="1">
        <f t="array" ref="K22">_xlfn.XLOOKUP(TEXT(A22, "mmm-yy"), TEXT([2]GASOLINE!$B$5:$B$208, "mmm-yy"), [2]GASOLINE!$IK$5:$IK$208, "Not Found")</f>
        <v>0</v>
      </c>
      <c r="L22">
        <f t="shared" si="0"/>
        <v>0</v>
      </c>
      <c r="M22" cm="1">
        <f t="array" ref="M22">_xlfn.XLOOKUP(TEXT(A22, "mmm-yy"), TEXT([2]GASOLINE!$B$5:$B$208, "mmm-yy"), [2]GASOLINE!$C$5:$C$208, "Not Found")</f>
        <v>6004.7152819284374</v>
      </c>
      <c r="N22" cm="1">
        <f t="array" ref="N22">_xlfn.XLOOKUP(TEXT(A22, "mmm-yy"), TEXT([2]RUNS!$B$5:$B$208, "mmm-yy"), [2]RUNS!$BM$5:$BM$208, "Not Found")</f>
        <v>0.78987894221144983</v>
      </c>
    </row>
    <row r="23" spans="1:14" x14ac:dyDescent="0.25">
      <c r="A23" s="1">
        <f>'[1]Global_Spot Prices'!$B1332</f>
        <v>42034</v>
      </c>
      <c r="B23">
        <f>_xlfn.XLOOKUP(A23,'[1]Global_Spot Prices'!$B:$B,'[1]Global_Spot Prices'!$BS:$BS)</f>
        <v>10.120000000000005</v>
      </c>
      <c r="C23">
        <f>_xlfn.XLOOKUP(A23,'[1]Global_Spot Prices'!$B:$B,'[1]Global_Spot Prices'!$E:$E)</f>
        <v>45.3</v>
      </c>
      <c r="D23">
        <f>_xlfn.XLOOKUP(A23,'[1]Global_Spot Prices'!$B:$B,'[1]Global_Spot Prices'!$D:$D)</f>
        <v>47.854999999999997</v>
      </c>
      <c r="E23">
        <f>_xlfn.XLOOKUP(A23,'[1]Global_Spot Prices'!$B:$B,'[1]Global_Spot Prices'!$H:$H)</f>
        <v>48.06</v>
      </c>
      <c r="F23">
        <f>_xlfn.XLOOKUP(A23,'[1]Global_Spot Prices'!$B:$B,'[1]Global_Spot Prices'!$I:$I)</f>
        <v>55.42</v>
      </c>
      <c r="G23" cm="1">
        <f t="array" ref="G23">_xlfn.XLOOKUP(TEXT(A23, "mmm-yy"), TEXT([2]RUNS!$B$5:$B$208, "mmm-yy"), [2]RUNS!$D$5:$D$208, "Not Found")</f>
        <v>26673.579975326891</v>
      </c>
      <c r="H23" cm="1">
        <f t="array" ref="H23">SUMPRODUCT(
    --(TEXT('[3]Global Weekly Stock (EWSuez'!$B$4:$B$2000,"mmm-yy")=TEXT(A23,"mmm-yy")),
    '[3]Global Weekly Stock (EWSuez'!$E$4:$E$2000)
/
SUMPRODUCT(
    --(TEXT('[3]Global Weekly Stock (EWSuez'!$B$4:$B$2000,"mmm-yy")=TEXT(A23,"mmm-yy"))
)</f>
        <v>13608.2</v>
      </c>
      <c r="I23">
        <f>_xlfn.XLOOKUP(A23,[1]ForwardDeriv!$D:$D,[1]ForwardDeriv!$AJ:$AJ)</f>
        <v>-1.019999999999996</v>
      </c>
      <c r="J23" cm="1">
        <f t="array" ref="J23">_xlfn.XLOOKUP(TEXT(A23, "mmm-yy"), TEXT([2]GASOLINE!$B$5:$B$208, "mmm-yy"), [2]GASOLINE!$IR$5:$IR$208, "Not Found")</f>
        <v>162.12990715806416</v>
      </c>
      <c r="K23" cm="1">
        <f t="array" ref="K23">_xlfn.XLOOKUP(TEXT(A23, "mmm-yy"), TEXT([2]GASOLINE!$B$5:$B$208, "mmm-yy"), [2]GASOLINE!$IK$5:$IK$208, "Not Found")</f>
        <v>0</v>
      </c>
      <c r="L23">
        <f t="shared" si="0"/>
        <v>0</v>
      </c>
      <c r="M23" cm="1">
        <f t="array" ref="M23">_xlfn.XLOOKUP(TEXT(A23, "mmm-yy"), TEXT([2]GASOLINE!$B$5:$B$208, "mmm-yy"), [2]GASOLINE!$C$5:$C$208, "Not Found")</f>
        <v>6004.7152819284374</v>
      </c>
      <c r="N23" cm="1">
        <f t="array" ref="N23">_xlfn.XLOOKUP(TEXT(A23, "mmm-yy"), TEXT([2]RUNS!$B$5:$B$208, "mmm-yy"), [2]RUNS!$BM$5:$BM$208, "Not Found")</f>
        <v>0.78987894221144983</v>
      </c>
    </row>
    <row r="24" spans="1:14" x14ac:dyDescent="0.25">
      <c r="A24" s="1">
        <f>'[1]Global_Spot Prices'!$B1333</f>
        <v>42037</v>
      </c>
      <c r="B24">
        <f>_xlfn.XLOOKUP(A24,'[1]Global_Spot Prices'!$B:$B,'[1]Global_Spot Prices'!$BS:$BS)</f>
        <v>9.4100000000000037</v>
      </c>
      <c r="C24">
        <f>_xlfn.XLOOKUP(A24,'[1]Global_Spot Prices'!$B:$B,'[1]Global_Spot Prices'!$E:$E)</f>
        <v>49.11</v>
      </c>
      <c r="D24">
        <f>_xlfn.XLOOKUP(A24,'[1]Global_Spot Prices'!$B:$B,'[1]Global_Spot Prices'!$D:$D)</f>
        <v>52.265000000000001</v>
      </c>
      <c r="E24">
        <f>_xlfn.XLOOKUP(A24,'[1]Global_Spot Prices'!$B:$B,'[1]Global_Spot Prices'!$H:$H)</f>
        <v>51.66</v>
      </c>
      <c r="F24">
        <f>_xlfn.XLOOKUP(A24,'[1]Global_Spot Prices'!$B:$B,'[1]Global_Spot Prices'!$I:$I)</f>
        <v>58.52</v>
      </c>
      <c r="G24" cm="1">
        <f t="array" ref="G24">_xlfn.XLOOKUP(TEXT(A24, "mmm-yy"), TEXT([2]RUNS!$B$5:$B$208, "mmm-yy"), [2]RUNS!$D$5:$D$208, "Not Found")</f>
        <v>26851.969150256671</v>
      </c>
      <c r="H24" cm="1">
        <f t="array" ref="H24">SUMPRODUCT(
    --(TEXT('[3]Global Weekly Stock (EWSuez'!$B$4:$B$2000,"mmm-yy")=TEXT(A24,"mmm-yy")),
    '[3]Global Weekly Stock (EWSuez'!$E$4:$E$2000)
/
SUMPRODUCT(
    --(TEXT('[3]Global Weekly Stock (EWSuez'!$B$4:$B$2000,"mmm-yy")=TEXT(A24,"mmm-yy"))
)</f>
        <v>13339.75</v>
      </c>
      <c r="I24">
        <f>_xlfn.XLOOKUP(A24,[1]ForwardDeriv!$D:$D,[1]ForwardDeriv!$AJ:$AJ)</f>
        <v>-0.95000000000000284</v>
      </c>
      <c r="J24" cm="1">
        <f t="array" ref="J24">_xlfn.XLOOKUP(TEXT(A24, "mmm-yy"), TEXT([2]GASOLINE!$B$5:$B$208, "mmm-yy"), [2]GASOLINE!$IR$5:$IR$208, "Not Found")</f>
        <v>-6.7549152902415699</v>
      </c>
      <c r="K24" cm="1">
        <f t="array" ref="K24">_xlfn.XLOOKUP(TEXT(A24, "mmm-yy"), TEXT([2]GASOLINE!$B$5:$B$208, "mmm-yy"), [2]GASOLINE!$IK$5:$IK$208, "Not Found")</f>
        <v>0</v>
      </c>
      <c r="L24">
        <f t="shared" si="0"/>
        <v>0</v>
      </c>
      <c r="M24" cm="1">
        <f t="array" ref="M24">_xlfn.XLOOKUP(TEXT(A24, "mmm-yy"), TEXT([2]GASOLINE!$B$5:$B$208, "mmm-yy"), [2]GASOLINE!$C$5:$C$208, "Not Found")</f>
        <v>6389.6677209761529</v>
      </c>
      <c r="N24" cm="1">
        <f t="array" ref="N24">_xlfn.XLOOKUP(TEXT(A24, "mmm-yy"), TEXT([2]RUNS!$B$5:$B$208, "mmm-yy"), [2]RUNS!$BM$5:$BM$208, "Not Found")</f>
        <v>0.79304560786125733</v>
      </c>
    </row>
    <row r="25" spans="1:14" x14ac:dyDescent="0.25">
      <c r="A25" s="1">
        <f>'[1]Global_Spot Prices'!$B1334</f>
        <v>42038</v>
      </c>
      <c r="B25">
        <f>_xlfn.XLOOKUP(A25,'[1]Global_Spot Prices'!$B:$B,'[1]Global_Spot Prices'!$BS:$BS)</f>
        <v>10.46</v>
      </c>
      <c r="C25">
        <f>_xlfn.XLOOKUP(A25,'[1]Global_Spot Prices'!$B:$B,'[1]Global_Spot Prices'!$E:$E)</f>
        <v>53.11</v>
      </c>
      <c r="D25">
        <f>_xlfn.XLOOKUP(A25,'[1]Global_Spot Prices'!$B:$B,'[1]Global_Spot Prices'!$D:$D)</f>
        <v>54.81</v>
      </c>
      <c r="E25">
        <f>_xlfn.XLOOKUP(A25,'[1]Global_Spot Prices'!$B:$B,'[1]Global_Spot Prices'!$H:$H)</f>
        <v>55.99</v>
      </c>
      <c r="F25">
        <f>_xlfn.XLOOKUP(A25,'[1]Global_Spot Prices'!$B:$B,'[1]Global_Spot Prices'!$I:$I)</f>
        <v>63.57</v>
      </c>
      <c r="G25" cm="1">
        <f t="array" ref="G25">_xlfn.XLOOKUP(TEXT(A25, "mmm-yy"), TEXT([2]RUNS!$B$5:$B$208, "mmm-yy"), [2]RUNS!$D$5:$D$208, "Not Found")</f>
        <v>26851.969150256671</v>
      </c>
      <c r="H25" cm="1">
        <f t="array" ref="H25">SUMPRODUCT(
    --(TEXT('[3]Global Weekly Stock (EWSuez'!$B$4:$B$2000,"mmm-yy")=TEXT(A25,"mmm-yy")),
    '[3]Global Weekly Stock (EWSuez'!$E$4:$E$2000)
/
SUMPRODUCT(
    --(TEXT('[3]Global Weekly Stock (EWSuez'!$B$4:$B$2000,"mmm-yy")=TEXT(A25,"mmm-yy"))
)</f>
        <v>13339.75</v>
      </c>
      <c r="I25">
        <f>_xlfn.XLOOKUP(A25,[1]ForwardDeriv!$D:$D,[1]ForwardDeriv!$AJ:$AJ)</f>
        <v>-0.59999999999999432</v>
      </c>
      <c r="J25" cm="1">
        <f t="array" ref="J25">_xlfn.XLOOKUP(TEXT(A25, "mmm-yy"), TEXT([2]GASOLINE!$B$5:$B$208, "mmm-yy"), [2]GASOLINE!$IR$5:$IR$208, "Not Found")</f>
        <v>-6.7549152902415699</v>
      </c>
      <c r="K25" cm="1">
        <f t="array" ref="K25">_xlfn.XLOOKUP(TEXT(A25, "mmm-yy"), TEXT([2]GASOLINE!$B$5:$B$208, "mmm-yy"), [2]GASOLINE!$IK$5:$IK$208, "Not Found")</f>
        <v>0</v>
      </c>
      <c r="L25">
        <f t="shared" si="0"/>
        <v>0</v>
      </c>
      <c r="M25" cm="1">
        <f t="array" ref="M25">_xlfn.XLOOKUP(TEXT(A25, "mmm-yy"), TEXT([2]GASOLINE!$B$5:$B$208, "mmm-yy"), [2]GASOLINE!$C$5:$C$208, "Not Found")</f>
        <v>6389.6677209761529</v>
      </c>
      <c r="N25" cm="1">
        <f t="array" ref="N25">_xlfn.XLOOKUP(TEXT(A25, "mmm-yy"), TEXT([2]RUNS!$B$5:$B$208, "mmm-yy"), [2]RUNS!$BM$5:$BM$208, "Not Found")</f>
        <v>0.79304560786125733</v>
      </c>
    </row>
    <row r="26" spans="1:14" x14ac:dyDescent="0.25">
      <c r="A26" s="1">
        <f>'[1]Global_Spot Prices'!$B1335</f>
        <v>42039</v>
      </c>
      <c r="B26">
        <f>_xlfn.XLOOKUP(A26,'[1]Global_Spot Prices'!$B:$B,'[1]Global_Spot Prices'!$BS:$BS)</f>
        <v>10.810000000000002</v>
      </c>
      <c r="C26">
        <f>_xlfn.XLOOKUP(A26,'[1]Global_Spot Prices'!$B:$B,'[1]Global_Spot Prices'!$E:$E)</f>
        <v>54.41</v>
      </c>
      <c r="D26">
        <f>_xlfn.XLOOKUP(A26,'[1]Global_Spot Prices'!$B:$B,'[1]Global_Spot Prices'!$D:$D)</f>
        <v>54.895000000000003</v>
      </c>
      <c r="E26">
        <f>_xlfn.XLOOKUP(A26,'[1]Global_Spot Prices'!$B:$B,'[1]Global_Spot Prices'!$H:$H)</f>
        <v>56.88</v>
      </c>
      <c r="F26">
        <f>_xlfn.XLOOKUP(A26,'[1]Global_Spot Prices'!$B:$B,'[1]Global_Spot Prices'!$I:$I)</f>
        <v>65.22</v>
      </c>
      <c r="G26" cm="1">
        <f t="array" ref="G26">_xlfn.XLOOKUP(TEXT(A26, "mmm-yy"), TEXT([2]RUNS!$B$5:$B$208, "mmm-yy"), [2]RUNS!$D$5:$D$208, "Not Found")</f>
        <v>26851.969150256671</v>
      </c>
      <c r="H26" cm="1">
        <f t="array" ref="H26">SUMPRODUCT(
    --(TEXT('[3]Global Weekly Stock (EWSuez'!$B$4:$B$2000,"mmm-yy")=TEXT(A26,"mmm-yy")),
    '[3]Global Weekly Stock (EWSuez'!$E$4:$E$2000)
/
SUMPRODUCT(
    --(TEXT('[3]Global Weekly Stock (EWSuez'!$B$4:$B$2000,"mmm-yy")=TEXT(A26,"mmm-yy"))
)</f>
        <v>13339.75</v>
      </c>
      <c r="I26">
        <f>_xlfn.XLOOKUP(A26,[1]ForwardDeriv!$D:$D,[1]ForwardDeriv!$AJ:$AJ)</f>
        <v>-0.5</v>
      </c>
      <c r="J26" cm="1">
        <f t="array" ref="J26">_xlfn.XLOOKUP(TEXT(A26, "mmm-yy"), TEXT([2]GASOLINE!$B$5:$B$208, "mmm-yy"), [2]GASOLINE!$IR$5:$IR$208, "Not Found")</f>
        <v>-6.7549152902415699</v>
      </c>
      <c r="K26" cm="1">
        <f t="array" ref="K26">_xlfn.XLOOKUP(TEXT(A26, "mmm-yy"), TEXT([2]GASOLINE!$B$5:$B$208, "mmm-yy"), [2]GASOLINE!$IK$5:$IK$208, "Not Found")</f>
        <v>0</v>
      </c>
      <c r="L26">
        <f t="shared" si="0"/>
        <v>0</v>
      </c>
      <c r="M26" cm="1">
        <f t="array" ref="M26">_xlfn.XLOOKUP(TEXT(A26, "mmm-yy"), TEXT([2]GASOLINE!$B$5:$B$208, "mmm-yy"), [2]GASOLINE!$C$5:$C$208, "Not Found")</f>
        <v>6389.6677209761529</v>
      </c>
      <c r="N26" cm="1">
        <f t="array" ref="N26">_xlfn.XLOOKUP(TEXT(A26, "mmm-yy"), TEXT([2]RUNS!$B$5:$B$208, "mmm-yy"), [2]RUNS!$BM$5:$BM$208, "Not Found")</f>
        <v>0.79304560786125733</v>
      </c>
    </row>
    <row r="27" spans="1:14" x14ac:dyDescent="0.25">
      <c r="A27" s="1">
        <f>'[1]Global_Spot Prices'!$B1336</f>
        <v>42040</v>
      </c>
      <c r="B27">
        <f>_xlfn.XLOOKUP(A27,'[1]Global_Spot Prices'!$B:$B,'[1]Global_Spot Prices'!$BS:$BS)</f>
        <v>10.354999999999997</v>
      </c>
      <c r="C27">
        <f>_xlfn.XLOOKUP(A27,'[1]Global_Spot Prices'!$B:$B,'[1]Global_Spot Prices'!$E:$E)</f>
        <v>51.255000000000003</v>
      </c>
      <c r="D27">
        <f>_xlfn.XLOOKUP(A27,'[1]Global_Spot Prices'!$B:$B,'[1]Global_Spot Prices'!$D:$D)</f>
        <v>55.99</v>
      </c>
      <c r="E27">
        <f>_xlfn.XLOOKUP(A27,'[1]Global_Spot Prices'!$B:$B,'[1]Global_Spot Prices'!$H:$H)</f>
        <v>52.87</v>
      </c>
      <c r="F27">
        <f>_xlfn.XLOOKUP(A27,'[1]Global_Spot Prices'!$B:$B,'[1]Global_Spot Prices'!$I:$I)</f>
        <v>61.61</v>
      </c>
      <c r="G27" cm="1">
        <f t="array" ref="G27">_xlfn.XLOOKUP(TEXT(A27, "mmm-yy"), TEXT([2]RUNS!$B$5:$B$208, "mmm-yy"), [2]RUNS!$D$5:$D$208, "Not Found")</f>
        <v>26851.969150256671</v>
      </c>
      <c r="H27" cm="1">
        <f t="array" ref="H27">SUMPRODUCT(
    --(TEXT('[3]Global Weekly Stock (EWSuez'!$B$4:$B$2000,"mmm-yy")=TEXT(A27,"mmm-yy")),
    '[3]Global Weekly Stock (EWSuez'!$E$4:$E$2000)
/
SUMPRODUCT(
    --(TEXT('[3]Global Weekly Stock (EWSuez'!$B$4:$B$2000,"mmm-yy")=TEXT(A27,"mmm-yy"))
)</f>
        <v>13339.75</v>
      </c>
      <c r="I27">
        <f>_xlfn.XLOOKUP(A27,[1]ForwardDeriv!$D:$D,[1]ForwardDeriv!$AJ:$AJ)</f>
        <v>-0.5</v>
      </c>
      <c r="J27" cm="1">
        <f t="array" ref="J27">_xlfn.XLOOKUP(TEXT(A27, "mmm-yy"), TEXT([2]GASOLINE!$B$5:$B$208, "mmm-yy"), [2]GASOLINE!$IR$5:$IR$208, "Not Found")</f>
        <v>-6.7549152902415699</v>
      </c>
      <c r="K27" cm="1">
        <f t="array" ref="K27">_xlfn.XLOOKUP(TEXT(A27, "mmm-yy"), TEXT([2]GASOLINE!$B$5:$B$208, "mmm-yy"), [2]GASOLINE!$IK$5:$IK$208, "Not Found")</f>
        <v>0</v>
      </c>
      <c r="L27">
        <f t="shared" si="0"/>
        <v>0</v>
      </c>
      <c r="M27" cm="1">
        <f t="array" ref="M27">_xlfn.XLOOKUP(TEXT(A27, "mmm-yy"), TEXT([2]GASOLINE!$B$5:$B$208, "mmm-yy"), [2]GASOLINE!$C$5:$C$208, "Not Found")</f>
        <v>6389.6677209761529</v>
      </c>
      <c r="N27" cm="1">
        <f t="array" ref="N27">_xlfn.XLOOKUP(TEXT(A27, "mmm-yy"), TEXT([2]RUNS!$B$5:$B$208, "mmm-yy"), [2]RUNS!$BM$5:$BM$208, "Not Found")</f>
        <v>0.79304560786125733</v>
      </c>
    </row>
    <row r="28" spans="1:14" x14ac:dyDescent="0.25">
      <c r="A28" s="1">
        <f>'[1]Global_Spot Prices'!$B1337</f>
        <v>42041</v>
      </c>
      <c r="B28">
        <f>_xlfn.XLOOKUP(A28,'[1]Global_Spot Prices'!$B:$B,'[1]Global_Spot Prices'!$BS:$BS)</f>
        <v>10.170000000000002</v>
      </c>
      <c r="C28">
        <f>_xlfn.XLOOKUP(A28,'[1]Global_Spot Prices'!$B:$B,'[1]Global_Spot Prices'!$E:$E)</f>
        <v>54.7</v>
      </c>
      <c r="D28">
        <f>_xlfn.XLOOKUP(A28,'[1]Global_Spot Prices'!$B:$B,'[1]Global_Spot Prices'!$D:$D)</f>
        <v>56.704999999999998</v>
      </c>
      <c r="E28">
        <f>_xlfn.XLOOKUP(A28,'[1]Global_Spot Prices'!$B:$B,'[1]Global_Spot Prices'!$H:$H)</f>
        <v>55.42</v>
      </c>
      <c r="F28">
        <f>_xlfn.XLOOKUP(A28,'[1]Global_Spot Prices'!$B:$B,'[1]Global_Spot Prices'!$I:$I)</f>
        <v>64.87</v>
      </c>
      <c r="G28" cm="1">
        <f t="array" ref="G28">_xlfn.XLOOKUP(TEXT(A28, "mmm-yy"), TEXT([2]RUNS!$B$5:$B$208, "mmm-yy"), [2]RUNS!$D$5:$D$208, "Not Found")</f>
        <v>26851.969150256671</v>
      </c>
      <c r="H28" cm="1">
        <f t="array" ref="H28">SUMPRODUCT(
    --(TEXT('[3]Global Weekly Stock (EWSuez'!$B$4:$B$2000,"mmm-yy")=TEXT(A28,"mmm-yy")),
    '[3]Global Weekly Stock (EWSuez'!$E$4:$E$2000)
/
SUMPRODUCT(
    --(TEXT('[3]Global Weekly Stock (EWSuez'!$B$4:$B$2000,"mmm-yy")=TEXT(A28,"mmm-yy"))
)</f>
        <v>13339.75</v>
      </c>
      <c r="I28">
        <f>_xlfn.XLOOKUP(A28,[1]ForwardDeriv!$D:$D,[1]ForwardDeriv!$AJ:$AJ)</f>
        <v>-0.39999999999999147</v>
      </c>
      <c r="J28" cm="1">
        <f t="array" ref="J28">_xlfn.XLOOKUP(TEXT(A28, "mmm-yy"), TEXT([2]GASOLINE!$B$5:$B$208, "mmm-yy"), [2]GASOLINE!$IR$5:$IR$208, "Not Found")</f>
        <v>-6.7549152902415699</v>
      </c>
      <c r="K28" cm="1">
        <f t="array" ref="K28">_xlfn.XLOOKUP(TEXT(A28, "mmm-yy"), TEXT([2]GASOLINE!$B$5:$B$208, "mmm-yy"), [2]GASOLINE!$IK$5:$IK$208, "Not Found")</f>
        <v>0</v>
      </c>
      <c r="L28">
        <f t="shared" si="0"/>
        <v>0</v>
      </c>
      <c r="M28" cm="1">
        <f t="array" ref="M28">_xlfn.XLOOKUP(TEXT(A28, "mmm-yy"), TEXT([2]GASOLINE!$B$5:$B$208, "mmm-yy"), [2]GASOLINE!$C$5:$C$208, "Not Found")</f>
        <v>6389.6677209761529</v>
      </c>
      <c r="N28" cm="1">
        <f t="array" ref="N28">_xlfn.XLOOKUP(TEXT(A28, "mmm-yy"), TEXT([2]RUNS!$B$5:$B$208, "mmm-yy"), [2]RUNS!$BM$5:$BM$208, "Not Found")</f>
        <v>0.79304560786125733</v>
      </c>
    </row>
    <row r="29" spans="1:14" x14ac:dyDescent="0.25">
      <c r="A29" s="1">
        <f>'[1]Global_Spot Prices'!$B1338</f>
        <v>42044</v>
      </c>
      <c r="B29">
        <f>_xlfn.XLOOKUP(A29,'[1]Global_Spot Prices'!$B:$B,'[1]Global_Spot Prices'!$BS:$BS)</f>
        <v>11.74499999999999</v>
      </c>
      <c r="C29">
        <f>_xlfn.XLOOKUP(A29,'[1]Global_Spot Prices'!$B:$B,'[1]Global_Spot Prices'!$E:$E)</f>
        <v>54.825000000000003</v>
      </c>
      <c r="D29">
        <f>_xlfn.XLOOKUP(A29,'[1]Global_Spot Prices'!$B:$B,'[1]Global_Spot Prices'!$D:$D)</f>
        <v>57.16</v>
      </c>
      <c r="E29">
        <f>_xlfn.XLOOKUP(A29,'[1]Global_Spot Prices'!$B:$B,'[1]Global_Spot Prices'!$H:$H)</f>
        <v>57.06</v>
      </c>
      <c r="F29">
        <f>_xlfn.XLOOKUP(A29,'[1]Global_Spot Prices'!$B:$B,'[1]Global_Spot Prices'!$I:$I)</f>
        <v>66.569999999999993</v>
      </c>
      <c r="G29" cm="1">
        <f t="array" ref="G29">_xlfn.XLOOKUP(TEXT(A29, "mmm-yy"), TEXT([2]RUNS!$B$5:$B$208, "mmm-yy"), [2]RUNS!$D$5:$D$208, "Not Found")</f>
        <v>26851.969150256671</v>
      </c>
      <c r="H29" cm="1">
        <f t="array" ref="H29">SUMPRODUCT(
    --(TEXT('[3]Global Weekly Stock (EWSuez'!$B$4:$B$2000,"mmm-yy")=TEXT(A29,"mmm-yy")),
    '[3]Global Weekly Stock (EWSuez'!$E$4:$E$2000)
/
SUMPRODUCT(
    --(TEXT('[3]Global Weekly Stock (EWSuez'!$B$4:$B$2000,"mmm-yy")=TEXT(A29,"mmm-yy"))
)</f>
        <v>13339.75</v>
      </c>
      <c r="I29">
        <f>_xlfn.XLOOKUP(A29,[1]ForwardDeriv!$D:$D,[1]ForwardDeriv!$AJ:$AJ)</f>
        <v>0</v>
      </c>
      <c r="J29" cm="1">
        <f t="array" ref="J29">_xlfn.XLOOKUP(TEXT(A29, "mmm-yy"), TEXT([2]GASOLINE!$B$5:$B$208, "mmm-yy"), [2]GASOLINE!$IR$5:$IR$208, "Not Found")</f>
        <v>-6.7549152902415699</v>
      </c>
      <c r="K29" cm="1">
        <f t="array" ref="K29">_xlfn.XLOOKUP(TEXT(A29, "mmm-yy"), TEXT([2]GASOLINE!$B$5:$B$208, "mmm-yy"), [2]GASOLINE!$IK$5:$IK$208, "Not Found")</f>
        <v>0</v>
      </c>
      <c r="L29">
        <f t="shared" si="0"/>
        <v>0</v>
      </c>
      <c r="M29" cm="1">
        <f t="array" ref="M29">_xlfn.XLOOKUP(TEXT(A29, "mmm-yy"), TEXT([2]GASOLINE!$B$5:$B$208, "mmm-yy"), [2]GASOLINE!$C$5:$C$208, "Not Found")</f>
        <v>6389.6677209761529</v>
      </c>
      <c r="N29" cm="1">
        <f t="array" ref="N29">_xlfn.XLOOKUP(TEXT(A29, "mmm-yy"), TEXT([2]RUNS!$B$5:$B$208, "mmm-yy"), [2]RUNS!$BM$5:$BM$208, "Not Found")</f>
        <v>0.79304560786125733</v>
      </c>
    </row>
    <row r="30" spans="1:14" x14ac:dyDescent="0.25">
      <c r="A30" s="1">
        <f>'[1]Global_Spot Prices'!$B1339</f>
        <v>42045</v>
      </c>
      <c r="B30">
        <f>_xlfn.XLOOKUP(A30,'[1]Global_Spot Prices'!$B:$B,'[1]Global_Spot Prices'!$BS:$BS)</f>
        <v>11.019999999999996</v>
      </c>
      <c r="C30">
        <f>_xlfn.XLOOKUP(A30,'[1]Global_Spot Prices'!$B:$B,'[1]Global_Spot Prices'!$E:$E)</f>
        <v>55.2</v>
      </c>
      <c r="D30">
        <f>_xlfn.XLOOKUP(A30,'[1]Global_Spot Prices'!$B:$B,'[1]Global_Spot Prices'!$D:$D)</f>
        <v>55.835000000000001</v>
      </c>
      <c r="E30">
        <f>_xlfn.XLOOKUP(A30,'[1]Global_Spot Prices'!$B:$B,'[1]Global_Spot Prices'!$H:$H)</f>
        <v>57.34</v>
      </c>
      <c r="F30">
        <f>_xlfn.XLOOKUP(A30,'[1]Global_Spot Prices'!$B:$B,'[1]Global_Spot Prices'!$I:$I)</f>
        <v>66.22</v>
      </c>
      <c r="G30" cm="1">
        <f t="array" ref="G30">_xlfn.XLOOKUP(TEXT(A30, "mmm-yy"), TEXT([2]RUNS!$B$5:$B$208, "mmm-yy"), [2]RUNS!$D$5:$D$208, "Not Found")</f>
        <v>26851.969150256671</v>
      </c>
      <c r="H30" cm="1">
        <f t="array" ref="H30">SUMPRODUCT(
    --(TEXT('[3]Global Weekly Stock (EWSuez'!$B$4:$B$2000,"mmm-yy")=TEXT(A30,"mmm-yy")),
    '[3]Global Weekly Stock (EWSuez'!$E$4:$E$2000)
/
SUMPRODUCT(
    --(TEXT('[3]Global Weekly Stock (EWSuez'!$B$4:$B$2000,"mmm-yy")=TEXT(A30,"mmm-yy"))
)</f>
        <v>13339.75</v>
      </c>
      <c r="I30">
        <f>_xlfn.XLOOKUP(A30,[1]ForwardDeriv!$D:$D,[1]ForwardDeriv!$AJ:$AJ)</f>
        <v>-0.12000000000000455</v>
      </c>
      <c r="J30" cm="1">
        <f t="array" ref="J30">_xlfn.XLOOKUP(TEXT(A30, "mmm-yy"), TEXT([2]GASOLINE!$B$5:$B$208, "mmm-yy"), [2]GASOLINE!$IR$5:$IR$208, "Not Found")</f>
        <v>-6.7549152902415699</v>
      </c>
      <c r="K30" cm="1">
        <f t="array" ref="K30">_xlfn.XLOOKUP(TEXT(A30, "mmm-yy"), TEXT([2]GASOLINE!$B$5:$B$208, "mmm-yy"), [2]GASOLINE!$IK$5:$IK$208, "Not Found")</f>
        <v>0</v>
      </c>
      <c r="L30">
        <f t="shared" si="0"/>
        <v>0</v>
      </c>
      <c r="M30" cm="1">
        <f t="array" ref="M30">_xlfn.XLOOKUP(TEXT(A30, "mmm-yy"), TEXT([2]GASOLINE!$B$5:$B$208, "mmm-yy"), [2]GASOLINE!$C$5:$C$208, "Not Found")</f>
        <v>6389.6677209761529</v>
      </c>
      <c r="N30" cm="1">
        <f t="array" ref="N30">_xlfn.XLOOKUP(TEXT(A30, "mmm-yy"), TEXT([2]RUNS!$B$5:$B$208, "mmm-yy"), [2]RUNS!$BM$5:$BM$208, "Not Found")</f>
        <v>0.79304560786125733</v>
      </c>
    </row>
    <row r="31" spans="1:14" x14ac:dyDescent="0.25">
      <c r="A31" s="1">
        <f>'[1]Global_Spot Prices'!$B1340</f>
        <v>42046</v>
      </c>
      <c r="B31">
        <f>_xlfn.XLOOKUP(A31,'[1]Global_Spot Prices'!$B:$B,'[1]Global_Spot Prices'!$BS:$BS)</f>
        <v>11.114999999999995</v>
      </c>
      <c r="C31">
        <f>_xlfn.XLOOKUP(A31,'[1]Global_Spot Prices'!$B:$B,'[1]Global_Spot Prices'!$E:$E)</f>
        <v>54.594999999999999</v>
      </c>
      <c r="D31">
        <f>_xlfn.XLOOKUP(A31,'[1]Global_Spot Prices'!$B:$B,'[1]Global_Spot Prices'!$D:$D)</f>
        <v>54</v>
      </c>
      <c r="E31">
        <f>_xlfn.XLOOKUP(A31,'[1]Global_Spot Prices'!$B:$B,'[1]Global_Spot Prices'!$H:$H)</f>
        <v>56.69</v>
      </c>
      <c r="F31">
        <f>_xlfn.XLOOKUP(A31,'[1]Global_Spot Prices'!$B:$B,'[1]Global_Spot Prices'!$I:$I)</f>
        <v>65.709999999999994</v>
      </c>
      <c r="G31" cm="1">
        <f t="array" ref="G31">_xlfn.XLOOKUP(TEXT(A31, "mmm-yy"), TEXT([2]RUNS!$B$5:$B$208, "mmm-yy"), [2]RUNS!$D$5:$D$208, "Not Found")</f>
        <v>26851.969150256671</v>
      </c>
      <c r="H31" cm="1">
        <f t="array" ref="H31">SUMPRODUCT(
    --(TEXT('[3]Global Weekly Stock (EWSuez'!$B$4:$B$2000,"mmm-yy")=TEXT(A31,"mmm-yy")),
    '[3]Global Weekly Stock (EWSuez'!$E$4:$E$2000)
/
SUMPRODUCT(
    --(TEXT('[3]Global Weekly Stock (EWSuez'!$B$4:$B$2000,"mmm-yy")=TEXT(A31,"mmm-yy"))
)</f>
        <v>13339.75</v>
      </c>
      <c r="I31">
        <f>_xlfn.XLOOKUP(A31,[1]ForwardDeriv!$D:$D,[1]ForwardDeriv!$AJ:$AJ)</f>
        <v>-0.23000000000000398</v>
      </c>
      <c r="J31" cm="1">
        <f t="array" ref="J31">_xlfn.XLOOKUP(TEXT(A31, "mmm-yy"), TEXT([2]GASOLINE!$B$5:$B$208, "mmm-yy"), [2]GASOLINE!$IR$5:$IR$208, "Not Found")</f>
        <v>-6.7549152902415699</v>
      </c>
      <c r="K31" cm="1">
        <f t="array" ref="K31">_xlfn.XLOOKUP(TEXT(A31, "mmm-yy"), TEXT([2]GASOLINE!$B$5:$B$208, "mmm-yy"), [2]GASOLINE!$IK$5:$IK$208, "Not Found")</f>
        <v>0</v>
      </c>
      <c r="L31">
        <f t="shared" si="0"/>
        <v>0</v>
      </c>
      <c r="M31" cm="1">
        <f t="array" ref="M31">_xlfn.XLOOKUP(TEXT(A31, "mmm-yy"), TEXT([2]GASOLINE!$B$5:$B$208, "mmm-yy"), [2]GASOLINE!$C$5:$C$208, "Not Found")</f>
        <v>6389.6677209761529</v>
      </c>
      <c r="N31" cm="1">
        <f t="array" ref="N31">_xlfn.XLOOKUP(TEXT(A31, "mmm-yy"), TEXT([2]RUNS!$B$5:$B$208, "mmm-yy"), [2]RUNS!$BM$5:$BM$208, "Not Found")</f>
        <v>0.79304560786125733</v>
      </c>
    </row>
    <row r="32" spans="1:14" x14ac:dyDescent="0.25">
      <c r="A32" s="1">
        <f>'[1]Global_Spot Prices'!$B1341</f>
        <v>42047</v>
      </c>
      <c r="B32">
        <f>_xlfn.XLOOKUP(A32,'[1]Global_Spot Prices'!$B:$B,'[1]Global_Spot Prices'!$BS:$BS)</f>
        <v>11.139999999999993</v>
      </c>
      <c r="C32">
        <f>_xlfn.XLOOKUP(A32,'[1]Global_Spot Prices'!$B:$B,'[1]Global_Spot Prices'!$E:$E)</f>
        <v>54.21</v>
      </c>
      <c r="D32">
        <f>_xlfn.XLOOKUP(A32,'[1]Global_Spot Prices'!$B:$B,'[1]Global_Spot Prices'!$D:$D)</f>
        <v>56.314999999999998</v>
      </c>
      <c r="E32">
        <f>_xlfn.XLOOKUP(A32,'[1]Global_Spot Prices'!$B:$B,'[1]Global_Spot Prices'!$H:$H)</f>
        <v>56.79</v>
      </c>
      <c r="F32">
        <f>_xlfn.XLOOKUP(A32,'[1]Global_Spot Prices'!$B:$B,'[1]Global_Spot Prices'!$I:$I)</f>
        <v>65.349999999999994</v>
      </c>
      <c r="G32" cm="1">
        <f t="array" ref="G32">_xlfn.XLOOKUP(TEXT(A32, "mmm-yy"), TEXT([2]RUNS!$B$5:$B$208, "mmm-yy"), [2]RUNS!$D$5:$D$208, "Not Found")</f>
        <v>26851.969150256671</v>
      </c>
      <c r="H32" cm="1">
        <f t="array" ref="H32">SUMPRODUCT(
    --(TEXT('[3]Global Weekly Stock (EWSuez'!$B$4:$B$2000,"mmm-yy")=TEXT(A32,"mmm-yy")),
    '[3]Global Weekly Stock (EWSuez'!$E$4:$E$2000)
/
SUMPRODUCT(
    --(TEXT('[3]Global Weekly Stock (EWSuez'!$B$4:$B$2000,"mmm-yy")=TEXT(A32,"mmm-yy"))
)</f>
        <v>13339.75</v>
      </c>
      <c r="I32">
        <f>_xlfn.XLOOKUP(A32,[1]ForwardDeriv!$D:$D,[1]ForwardDeriv!$AJ:$AJ)</f>
        <v>-0.15000000000000568</v>
      </c>
      <c r="J32" cm="1">
        <f t="array" ref="J32">_xlfn.XLOOKUP(TEXT(A32, "mmm-yy"), TEXT([2]GASOLINE!$B$5:$B$208, "mmm-yy"), [2]GASOLINE!$IR$5:$IR$208, "Not Found")</f>
        <v>-6.7549152902415699</v>
      </c>
      <c r="K32" cm="1">
        <f t="array" ref="K32">_xlfn.XLOOKUP(TEXT(A32, "mmm-yy"), TEXT([2]GASOLINE!$B$5:$B$208, "mmm-yy"), [2]GASOLINE!$IK$5:$IK$208, "Not Found")</f>
        <v>0</v>
      </c>
      <c r="L32">
        <f t="shared" si="0"/>
        <v>0</v>
      </c>
      <c r="M32" cm="1">
        <f t="array" ref="M32">_xlfn.XLOOKUP(TEXT(A32, "mmm-yy"), TEXT([2]GASOLINE!$B$5:$B$208, "mmm-yy"), [2]GASOLINE!$C$5:$C$208, "Not Found")</f>
        <v>6389.6677209761529</v>
      </c>
      <c r="N32" cm="1">
        <f t="array" ref="N32">_xlfn.XLOOKUP(TEXT(A32, "mmm-yy"), TEXT([2]RUNS!$B$5:$B$208, "mmm-yy"), [2]RUNS!$BM$5:$BM$208, "Not Found")</f>
        <v>0.79304560786125733</v>
      </c>
    </row>
    <row r="33" spans="1:14" x14ac:dyDescent="0.25">
      <c r="A33" s="1">
        <f>'[1]Global_Spot Prices'!$B1342</f>
        <v>42048</v>
      </c>
      <c r="B33">
        <f>_xlfn.XLOOKUP(A33,'[1]Global_Spot Prices'!$B:$B,'[1]Global_Spot Prices'!$BS:$BS)</f>
        <v>11.54</v>
      </c>
      <c r="C33">
        <f>_xlfn.XLOOKUP(A33,'[1]Global_Spot Prices'!$B:$B,'[1]Global_Spot Prices'!$E:$E)</f>
        <v>57.21</v>
      </c>
      <c r="D33">
        <f>_xlfn.XLOOKUP(A33,'[1]Global_Spot Prices'!$B:$B,'[1]Global_Spot Prices'!$D:$D)</f>
        <v>60.104999999999997</v>
      </c>
      <c r="E33">
        <f>_xlfn.XLOOKUP(A33,'[1]Global_Spot Prices'!$B:$B,'[1]Global_Spot Prices'!$H:$H)</f>
        <v>58.98</v>
      </c>
      <c r="F33">
        <f>_xlfn.XLOOKUP(A33,'[1]Global_Spot Prices'!$B:$B,'[1]Global_Spot Prices'!$I:$I)</f>
        <v>68.75</v>
      </c>
      <c r="G33" cm="1">
        <f t="array" ref="G33">_xlfn.XLOOKUP(TEXT(A33, "mmm-yy"), TEXT([2]RUNS!$B$5:$B$208, "mmm-yy"), [2]RUNS!$D$5:$D$208, "Not Found")</f>
        <v>26851.969150256671</v>
      </c>
      <c r="H33" cm="1">
        <f t="array" ref="H33">SUMPRODUCT(
    --(TEXT('[3]Global Weekly Stock (EWSuez'!$B$4:$B$2000,"mmm-yy")=TEXT(A33,"mmm-yy")),
    '[3]Global Weekly Stock (EWSuez'!$E$4:$E$2000)
/
SUMPRODUCT(
    --(TEXT('[3]Global Weekly Stock (EWSuez'!$B$4:$B$2000,"mmm-yy")=TEXT(A33,"mmm-yy"))
)</f>
        <v>13339.75</v>
      </c>
      <c r="I33">
        <f>_xlfn.XLOOKUP(A33,[1]ForwardDeriv!$D:$D,[1]ForwardDeriv!$AJ:$AJ)</f>
        <v>-0.12000000000000455</v>
      </c>
      <c r="J33" cm="1">
        <f t="array" ref="J33">_xlfn.XLOOKUP(TEXT(A33, "mmm-yy"), TEXT([2]GASOLINE!$B$5:$B$208, "mmm-yy"), [2]GASOLINE!$IR$5:$IR$208, "Not Found")</f>
        <v>-6.7549152902415699</v>
      </c>
      <c r="K33" cm="1">
        <f t="array" ref="K33">_xlfn.XLOOKUP(TEXT(A33, "mmm-yy"), TEXT([2]GASOLINE!$B$5:$B$208, "mmm-yy"), [2]GASOLINE!$IK$5:$IK$208, "Not Found")</f>
        <v>0</v>
      </c>
      <c r="L33">
        <f t="shared" si="0"/>
        <v>0</v>
      </c>
      <c r="M33" cm="1">
        <f t="array" ref="M33">_xlfn.XLOOKUP(TEXT(A33, "mmm-yy"), TEXT([2]GASOLINE!$B$5:$B$208, "mmm-yy"), [2]GASOLINE!$C$5:$C$208, "Not Found")</f>
        <v>6389.6677209761529</v>
      </c>
      <c r="N33" cm="1">
        <f t="array" ref="N33">_xlfn.XLOOKUP(TEXT(A33, "mmm-yy"), TEXT([2]RUNS!$B$5:$B$208, "mmm-yy"), [2]RUNS!$BM$5:$BM$208, "Not Found")</f>
        <v>0.79304560786125733</v>
      </c>
    </row>
    <row r="34" spans="1:14" x14ac:dyDescent="0.25">
      <c r="A34" s="1">
        <f>'[1]Global_Spot Prices'!$B1343</f>
        <v>42051</v>
      </c>
      <c r="B34">
        <f>_xlfn.XLOOKUP(A34,'[1]Global_Spot Prices'!$B:$B,'[1]Global_Spot Prices'!$BS:$BS)</f>
        <v>11.280000000000001</v>
      </c>
      <c r="C34">
        <f>_xlfn.XLOOKUP(A34,'[1]Global_Spot Prices'!$B:$B,'[1]Global_Spot Prices'!$E:$E)</f>
        <v>57.81</v>
      </c>
      <c r="D34">
        <f>_xlfn.XLOOKUP(A34,'[1]Global_Spot Prices'!$B:$B,'[1]Global_Spot Prices'!$D:$D)</f>
        <v>61.2</v>
      </c>
      <c r="E34">
        <f>_xlfn.XLOOKUP(A34,'[1]Global_Spot Prices'!$B:$B,'[1]Global_Spot Prices'!$H:$H)</f>
        <v>58.76</v>
      </c>
      <c r="F34">
        <f>_xlfn.XLOOKUP(A34,'[1]Global_Spot Prices'!$B:$B,'[1]Global_Spot Prices'!$I:$I)</f>
        <v>69.09</v>
      </c>
      <c r="G34" cm="1">
        <f t="array" ref="G34">_xlfn.XLOOKUP(TEXT(A34, "mmm-yy"), TEXT([2]RUNS!$B$5:$B$208, "mmm-yy"), [2]RUNS!$D$5:$D$208, "Not Found")</f>
        <v>26851.969150256671</v>
      </c>
      <c r="H34" cm="1">
        <f t="array" ref="H34">SUMPRODUCT(
    --(TEXT('[3]Global Weekly Stock (EWSuez'!$B$4:$B$2000,"mmm-yy")=TEXT(A34,"mmm-yy")),
    '[3]Global Weekly Stock (EWSuez'!$E$4:$E$2000)
/
SUMPRODUCT(
    --(TEXT('[3]Global Weekly Stock (EWSuez'!$B$4:$B$2000,"mmm-yy")=TEXT(A34,"mmm-yy"))
)</f>
        <v>13339.75</v>
      </c>
      <c r="I34">
        <f>_xlfn.XLOOKUP(A34,[1]ForwardDeriv!$D:$D,[1]ForwardDeriv!$AJ:$AJ)</f>
        <v>-0.12000000000000455</v>
      </c>
      <c r="J34" cm="1">
        <f t="array" ref="J34">_xlfn.XLOOKUP(TEXT(A34, "mmm-yy"), TEXT([2]GASOLINE!$B$5:$B$208, "mmm-yy"), [2]GASOLINE!$IR$5:$IR$208, "Not Found")</f>
        <v>-6.7549152902415699</v>
      </c>
      <c r="K34" cm="1">
        <f t="array" ref="K34">_xlfn.XLOOKUP(TEXT(A34, "mmm-yy"), TEXT([2]GASOLINE!$B$5:$B$208, "mmm-yy"), [2]GASOLINE!$IK$5:$IK$208, "Not Found")</f>
        <v>0</v>
      </c>
      <c r="L34">
        <f t="shared" si="0"/>
        <v>0</v>
      </c>
      <c r="M34" cm="1">
        <f t="array" ref="M34">_xlfn.XLOOKUP(TEXT(A34, "mmm-yy"), TEXT([2]GASOLINE!$B$5:$B$208, "mmm-yy"), [2]GASOLINE!$C$5:$C$208, "Not Found")</f>
        <v>6389.6677209761529</v>
      </c>
      <c r="N34" cm="1">
        <f t="array" ref="N34">_xlfn.XLOOKUP(TEXT(A34, "mmm-yy"), TEXT([2]RUNS!$B$5:$B$208, "mmm-yy"), [2]RUNS!$BM$5:$BM$208, "Not Found")</f>
        <v>0.79304560786125733</v>
      </c>
    </row>
    <row r="35" spans="1:14" x14ac:dyDescent="0.25">
      <c r="A35" s="1">
        <f>'[1]Global_Spot Prices'!$B1344</f>
        <v>42052</v>
      </c>
      <c r="B35">
        <f>_xlfn.XLOOKUP(A35,'[1]Global_Spot Prices'!$B:$B,'[1]Global_Spot Prices'!$BS:$BS)</f>
        <v>11.490000000000002</v>
      </c>
      <c r="C35">
        <f>_xlfn.XLOOKUP(A35,'[1]Global_Spot Prices'!$B:$B,'[1]Global_Spot Prices'!$E:$E)</f>
        <v>58.51</v>
      </c>
      <c r="D35">
        <f>_xlfn.XLOOKUP(A35,'[1]Global_Spot Prices'!$B:$B,'[1]Global_Spot Prices'!$D:$D)</f>
        <v>60.465000000000003</v>
      </c>
      <c r="E35">
        <f>_xlfn.XLOOKUP(A35,'[1]Global_Spot Prices'!$B:$B,'[1]Global_Spot Prices'!$H:$H)</f>
        <v>59.82</v>
      </c>
      <c r="F35">
        <f>_xlfn.XLOOKUP(A35,'[1]Global_Spot Prices'!$B:$B,'[1]Global_Spot Prices'!$I:$I)</f>
        <v>70</v>
      </c>
      <c r="G35" cm="1">
        <f t="array" ref="G35">_xlfn.XLOOKUP(TEXT(A35, "mmm-yy"), TEXT([2]RUNS!$B$5:$B$208, "mmm-yy"), [2]RUNS!$D$5:$D$208, "Not Found")</f>
        <v>26851.969150256671</v>
      </c>
      <c r="H35" cm="1">
        <f t="array" ref="H35">SUMPRODUCT(
    --(TEXT('[3]Global Weekly Stock (EWSuez'!$B$4:$B$2000,"mmm-yy")=TEXT(A35,"mmm-yy")),
    '[3]Global Weekly Stock (EWSuez'!$E$4:$E$2000)
/
SUMPRODUCT(
    --(TEXT('[3]Global Weekly Stock (EWSuez'!$B$4:$B$2000,"mmm-yy")=TEXT(A35,"mmm-yy"))
)</f>
        <v>13339.75</v>
      </c>
      <c r="I35">
        <f>_xlfn.XLOOKUP(A35,[1]ForwardDeriv!$D:$D,[1]ForwardDeriv!$AJ:$AJ)</f>
        <v>-0.11999999999999034</v>
      </c>
      <c r="J35" cm="1">
        <f t="array" ref="J35">_xlfn.XLOOKUP(TEXT(A35, "mmm-yy"), TEXT([2]GASOLINE!$B$5:$B$208, "mmm-yy"), [2]GASOLINE!$IR$5:$IR$208, "Not Found")</f>
        <v>-6.7549152902415699</v>
      </c>
      <c r="K35" cm="1">
        <f t="array" ref="K35">_xlfn.XLOOKUP(TEXT(A35, "mmm-yy"), TEXT([2]GASOLINE!$B$5:$B$208, "mmm-yy"), [2]GASOLINE!$IK$5:$IK$208, "Not Found")</f>
        <v>0</v>
      </c>
      <c r="L35">
        <f t="shared" si="0"/>
        <v>0</v>
      </c>
      <c r="M35" cm="1">
        <f t="array" ref="M35">_xlfn.XLOOKUP(TEXT(A35, "mmm-yy"), TEXT([2]GASOLINE!$B$5:$B$208, "mmm-yy"), [2]GASOLINE!$C$5:$C$208, "Not Found")</f>
        <v>6389.6677209761529</v>
      </c>
      <c r="N35" cm="1">
        <f t="array" ref="N35">_xlfn.XLOOKUP(TEXT(A35, "mmm-yy"), TEXT([2]RUNS!$B$5:$B$208, "mmm-yy"), [2]RUNS!$BM$5:$BM$208, "Not Found")</f>
        <v>0.79304560786125733</v>
      </c>
    </row>
    <row r="36" spans="1:14" x14ac:dyDescent="0.25">
      <c r="A36" s="1">
        <f>'[1]Global_Spot Prices'!$B1345</f>
        <v>42053</v>
      </c>
      <c r="B36">
        <f>_xlfn.XLOOKUP(A36,'[1]Global_Spot Prices'!$B:$B,'[1]Global_Spot Prices'!$BS:$BS)</f>
        <v>10.439999999999998</v>
      </c>
      <c r="C36">
        <f>_xlfn.XLOOKUP(A36,'[1]Global_Spot Prices'!$B:$B,'[1]Global_Spot Prices'!$E:$E)</f>
        <v>59.5</v>
      </c>
      <c r="D36">
        <f>_xlfn.XLOOKUP(A36,'[1]Global_Spot Prices'!$B:$B,'[1]Global_Spot Prices'!$D:$D)</f>
        <v>60.66</v>
      </c>
      <c r="E36">
        <f>_xlfn.XLOOKUP(A36,'[1]Global_Spot Prices'!$B:$B,'[1]Global_Spot Prices'!$H:$H)</f>
        <v>60.01</v>
      </c>
      <c r="F36">
        <f>_xlfn.XLOOKUP(A36,'[1]Global_Spot Prices'!$B:$B,'[1]Global_Spot Prices'!$I:$I)</f>
        <v>69.94</v>
      </c>
      <c r="G36" cm="1">
        <f t="array" ref="G36">_xlfn.XLOOKUP(TEXT(A36, "mmm-yy"), TEXT([2]RUNS!$B$5:$B$208, "mmm-yy"), [2]RUNS!$D$5:$D$208, "Not Found")</f>
        <v>26851.969150256671</v>
      </c>
      <c r="H36" cm="1">
        <f t="array" ref="H36">SUMPRODUCT(
    --(TEXT('[3]Global Weekly Stock (EWSuez'!$B$4:$B$2000,"mmm-yy")=TEXT(A36,"mmm-yy")),
    '[3]Global Weekly Stock (EWSuez'!$E$4:$E$2000)
/
SUMPRODUCT(
    --(TEXT('[3]Global Weekly Stock (EWSuez'!$B$4:$B$2000,"mmm-yy")=TEXT(A36,"mmm-yy"))
)</f>
        <v>13339.75</v>
      </c>
      <c r="I36">
        <f>_xlfn.XLOOKUP(A36,[1]ForwardDeriv!$D:$D,[1]ForwardDeriv!$AJ:$AJ)</f>
        <v>-0.22000000000001307</v>
      </c>
      <c r="J36" cm="1">
        <f t="array" ref="J36">_xlfn.XLOOKUP(TEXT(A36, "mmm-yy"), TEXT([2]GASOLINE!$B$5:$B$208, "mmm-yy"), [2]GASOLINE!$IR$5:$IR$208, "Not Found")</f>
        <v>-6.7549152902415699</v>
      </c>
      <c r="K36" cm="1">
        <f t="array" ref="K36">_xlfn.XLOOKUP(TEXT(A36, "mmm-yy"), TEXT([2]GASOLINE!$B$5:$B$208, "mmm-yy"), [2]GASOLINE!$IK$5:$IK$208, "Not Found")</f>
        <v>0</v>
      </c>
      <c r="L36">
        <f t="shared" si="0"/>
        <v>0</v>
      </c>
      <c r="M36" cm="1">
        <f t="array" ref="M36">_xlfn.XLOOKUP(TEXT(A36, "mmm-yy"), TEXT([2]GASOLINE!$B$5:$B$208, "mmm-yy"), [2]GASOLINE!$C$5:$C$208, "Not Found")</f>
        <v>6389.6677209761529</v>
      </c>
      <c r="N36" cm="1">
        <f t="array" ref="N36">_xlfn.XLOOKUP(TEXT(A36, "mmm-yy"), TEXT([2]RUNS!$B$5:$B$208, "mmm-yy"), [2]RUNS!$BM$5:$BM$208, "Not Found")</f>
        <v>0.79304560786125733</v>
      </c>
    </row>
    <row r="37" spans="1:14" x14ac:dyDescent="0.25">
      <c r="A37" s="1">
        <f>'[1]Global_Spot Prices'!$B1346</f>
        <v>42054</v>
      </c>
      <c r="B37" t="e">
        <f>_xlfn.XLOOKUP(A37,'[1]Global_Spot Prices'!$B:$B,'[1]Global_Spot Prices'!$BS:$BS)</f>
        <v>#N/A</v>
      </c>
      <c r="C37" t="str">
        <f>_xlfn.XLOOKUP(A37,'[1]Global_Spot Prices'!$B:$B,'[1]Global_Spot Prices'!$E:$E)</f>
        <v/>
      </c>
      <c r="D37">
        <f>_xlfn.XLOOKUP(A37,'[1]Global_Spot Prices'!$B:$B,'[1]Global_Spot Prices'!$D:$D)</f>
        <v>58.59</v>
      </c>
      <c r="E37">
        <f>_xlfn.XLOOKUP(A37,'[1]Global_Spot Prices'!$B:$B,'[1]Global_Spot Prices'!$H:$H)</f>
        <v>0</v>
      </c>
      <c r="F37">
        <f>_xlfn.XLOOKUP(A37,'[1]Global_Spot Prices'!$B:$B,'[1]Global_Spot Prices'!$I:$I)</f>
        <v>0</v>
      </c>
      <c r="G37" cm="1">
        <f t="array" ref="G37">_xlfn.XLOOKUP(TEXT(A37, "mmm-yy"), TEXT([2]RUNS!$B$5:$B$208, "mmm-yy"), [2]RUNS!$D$5:$D$208, "Not Found")</f>
        <v>26851.969150256671</v>
      </c>
      <c r="H37" cm="1">
        <f t="array" ref="H37">SUMPRODUCT(
    --(TEXT('[3]Global Weekly Stock (EWSuez'!$B$4:$B$2000,"mmm-yy")=TEXT(A37,"mmm-yy")),
    '[3]Global Weekly Stock (EWSuez'!$E$4:$E$2000)
/
SUMPRODUCT(
    --(TEXT('[3]Global Weekly Stock (EWSuez'!$B$4:$B$2000,"mmm-yy")=TEXT(A37,"mmm-yy"))
)</f>
        <v>13339.75</v>
      </c>
      <c r="I37">
        <f>_xlfn.XLOOKUP(A37,[1]ForwardDeriv!$D:$D,[1]ForwardDeriv!$AJ:$AJ)</f>
        <v>0.10000000000000853</v>
      </c>
      <c r="J37" cm="1">
        <f t="array" ref="J37">_xlfn.XLOOKUP(TEXT(A37, "mmm-yy"), TEXT([2]GASOLINE!$B$5:$B$208, "mmm-yy"), [2]GASOLINE!$IR$5:$IR$208, "Not Found")</f>
        <v>-6.7549152902415699</v>
      </c>
      <c r="K37" cm="1">
        <f t="array" ref="K37">_xlfn.XLOOKUP(TEXT(A37, "mmm-yy"), TEXT([2]GASOLINE!$B$5:$B$208, "mmm-yy"), [2]GASOLINE!$IK$5:$IK$208, "Not Found")</f>
        <v>0</v>
      </c>
      <c r="L37">
        <f t="shared" si="0"/>
        <v>0</v>
      </c>
      <c r="M37" cm="1">
        <f t="array" ref="M37">_xlfn.XLOOKUP(TEXT(A37, "mmm-yy"), TEXT([2]GASOLINE!$B$5:$B$208, "mmm-yy"), [2]GASOLINE!$C$5:$C$208, "Not Found")</f>
        <v>6389.6677209761529</v>
      </c>
      <c r="N37" cm="1">
        <f t="array" ref="N37">_xlfn.XLOOKUP(TEXT(A37, "mmm-yy"), TEXT([2]RUNS!$B$5:$B$208, "mmm-yy"), [2]RUNS!$BM$5:$BM$208, "Not Found")</f>
        <v>0.79304560786125733</v>
      </c>
    </row>
    <row r="38" spans="1:14" x14ac:dyDescent="0.25">
      <c r="A38" s="1">
        <f>'[1]Global_Spot Prices'!$B1347</f>
        <v>42055</v>
      </c>
      <c r="B38" t="e">
        <f>_xlfn.XLOOKUP(A38,'[1]Global_Spot Prices'!$B:$B,'[1]Global_Spot Prices'!$BS:$BS)</f>
        <v>#N/A</v>
      </c>
      <c r="C38" t="str">
        <f>_xlfn.XLOOKUP(A38,'[1]Global_Spot Prices'!$B:$B,'[1]Global_Spot Prices'!$E:$E)</f>
        <v/>
      </c>
      <c r="D38">
        <f>_xlfn.XLOOKUP(A38,'[1]Global_Spot Prices'!$B:$B,'[1]Global_Spot Prices'!$D:$D)</f>
        <v>60.7</v>
      </c>
      <c r="E38">
        <f>_xlfn.XLOOKUP(A38,'[1]Global_Spot Prices'!$B:$B,'[1]Global_Spot Prices'!$H:$H)</f>
        <v>0</v>
      </c>
      <c r="F38">
        <f>_xlfn.XLOOKUP(A38,'[1]Global_Spot Prices'!$B:$B,'[1]Global_Spot Prices'!$I:$I)</f>
        <v>0</v>
      </c>
      <c r="G38" cm="1">
        <f t="array" ref="G38">_xlfn.XLOOKUP(TEXT(A38, "mmm-yy"), TEXT([2]RUNS!$B$5:$B$208, "mmm-yy"), [2]RUNS!$D$5:$D$208, "Not Found")</f>
        <v>26851.969150256671</v>
      </c>
      <c r="H38" cm="1">
        <f t="array" ref="H38">SUMPRODUCT(
    --(TEXT('[3]Global Weekly Stock (EWSuez'!$B$4:$B$2000,"mmm-yy")=TEXT(A38,"mmm-yy")),
    '[3]Global Weekly Stock (EWSuez'!$E$4:$E$2000)
/
SUMPRODUCT(
    --(TEXT('[3]Global Weekly Stock (EWSuez'!$B$4:$B$2000,"mmm-yy")=TEXT(A38,"mmm-yy"))
)</f>
        <v>13339.75</v>
      </c>
      <c r="I38">
        <f>_xlfn.XLOOKUP(A38,[1]ForwardDeriv!$D:$D,[1]ForwardDeriv!$AJ:$AJ)</f>
        <v>0.10000000000000853</v>
      </c>
      <c r="J38" cm="1">
        <f t="array" ref="J38">_xlfn.XLOOKUP(TEXT(A38, "mmm-yy"), TEXT([2]GASOLINE!$B$5:$B$208, "mmm-yy"), [2]GASOLINE!$IR$5:$IR$208, "Not Found")</f>
        <v>-6.7549152902415699</v>
      </c>
      <c r="K38" cm="1">
        <f t="array" ref="K38">_xlfn.XLOOKUP(TEXT(A38, "mmm-yy"), TEXT([2]GASOLINE!$B$5:$B$208, "mmm-yy"), [2]GASOLINE!$IK$5:$IK$208, "Not Found")</f>
        <v>0</v>
      </c>
      <c r="L38">
        <f t="shared" si="0"/>
        <v>0</v>
      </c>
      <c r="M38" cm="1">
        <f t="array" ref="M38">_xlfn.XLOOKUP(TEXT(A38, "mmm-yy"), TEXT([2]GASOLINE!$B$5:$B$208, "mmm-yy"), [2]GASOLINE!$C$5:$C$208, "Not Found")</f>
        <v>6389.6677209761529</v>
      </c>
      <c r="N38" cm="1">
        <f t="array" ref="N38">_xlfn.XLOOKUP(TEXT(A38, "mmm-yy"), TEXT([2]RUNS!$B$5:$B$208, "mmm-yy"), [2]RUNS!$BM$5:$BM$208, "Not Found")</f>
        <v>0.79304560786125733</v>
      </c>
    </row>
    <row r="39" spans="1:14" x14ac:dyDescent="0.25">
      <c r="A39" s="1">
        <f>'[1]Global_Spot Prices'!$B1348</f>
        <v>42058</v>
      </c>
      <c r="B39">
        <f>_xlfn.XLOOKUP(A39,'[1]Global_Spot Prices'!$B:$B,'[1]Global_Spot Prices'!$BS:$BS)</f>
        <v>12.68</v>
      </c>
      <c r="C39">
        <f>_xlfn.XLOOKUP(A39,'[1]Global_Spot Prices'!$B:$B,'[1]Global_Spot Prices'!$E:$E)</f>
        <v>56.21</v>
      </c>
      <c r="D39">
        <f>_xlfn.XLOOKUP(A39,'[1]Global_Spot Prices'!$B:$B,'[1]Global_Spot Prices'!$D:$D)</f>
        <v>59.865000000000002</v>
      </c>
      <c r="E39">
        <f>_xlfn.XLOOKUP(A39,'[1]Global_Spot Prices'!$B:$B,'[1]Global_Spot Prices'!$H:$H)</f>
        <v>58.66</v>
      </c>
      <c r="F39">
        <f>_xlfn.XLOOKUP(A39,'[1]Global_Spot Prices'!$B:$B,'[1]Global_Spot Prices'!$I:$I)</f>
        <v>68.89</v>
      </c>
      <c r="G39" cm="1">
        <f t="array" ref="G39">_xlfn.XLOOKUP(TEXT(A39, "mmm-yy"), TEXT([2]RUNS!$B$5:$B$208, "mmm-yy"), [2]RUNS!$D$5:$D$208, "Not Found")</f>
        <v>26851.969150256671</v>
      </c>
      <c r="H39" cm="1">
        <f t="array" ref="H39">SUMPRODUCT(
    --(TEXT('[3]Global Weekly Stock (EWSuez'!$B$4:$B$2000,"mmm-yy")=TEXT(A39,"mmm-yy")),
    '[3]Global Weekly Stock (EWSuez'!$E$4:$E$2000)
/
SUMPRODUCT(
    --(TEXT('[3]Global Weekly Stock (EWSuez'!$B$4:$B$2000,"mmm-yy")=TEXT(A39,"mmm-yy"))
)</f>
        <v>13339.75</v>
      </c>
      <c r="I39">
        <f>_xlfn.XLOOKUP(A39,[1]ForwardDeriv!$D:$D,[1]ForwardDeriv!$AJ:$AJ)</f>
        <v>0.10000000000000853</v>
      </c>
      <c r="J39" cm="1">
        <f t="array" ref="J39">_xlfn.XLOOKUP(TEXT(A39, "mmm-yy"), TEXT([2]GASOLINE!$B$5:$B$208, "mmm-yy"), [2]GASOLINE!$IR$5:$IR$208, "Not Found")</f>
        <v>-6.7549152902415699</v>
      </c>
      <c r="K39" cm="1">
        <f t="array" ref="K39">_xlfn.XLOOKUP(TEXT(A39, "mmm-yy"), TEXT([2]GASOLINE!$B$5:$B$208, "mmm-yy"), [2]GASOLINE!$IK$5:$IK$208, "Not Found")</f>
        <v>0</v>
      </c>
      <c r="L39">
        <f t="shared" si="0"/>
        <v>0</v>
      </c>
      <c r="M39" cm="1">
        <f t="array" ref="M39">_xlfn.XLOOKUP(TEXT(A39, "mmm-yy"), TEXT([2]GASOLINE!$B$5:$B$208, "mmm-yy"), [2]GASOLINE!$C$5:$C$208, "Not Found")</f>
        <v>6389.6677209761529</v>
      </c>
      <c r="N39" cm="1">
        <f t="array" ref="N39">_xlfn.XLOOKUP(TEXT(A39, "mmm-yy"), TEXT([2]RUNS!$B$5:$B$208, "mmm-yy"), [2]RUNS!$BM$5:$BM$208, "Not Found")</f>
        <v>0.79304560786125733</v>
      </c>
    </row>
    <row r="40" spans="1:14" x14ac:dyDescent="0.25">
      <c r="A40" s="1">
        <f>'[1]Global_Spot Prices'!$B1349</f>
        <v>42059</v>
      </c>
      <c r="B40">
        <f>_xlfn.XLOOKUP(A40,'[1]Global_Spot Prices'!$B:$B,'[1]Global_Spot Prices'!$BS:$BS)</f>
        <v>12.61</v>
      </c>
      <c r="C40">
        <f>_xlfn.XLOOKUP(A40,'[1]Global_Spot Prices'!$B:$B,'[1]Global_Spot Prices'!$E:$E)</f>
        <v>55.3</v>
      </c>
      <c r="D40">
        <f>_xlfn.XLOOKUP(A40,'[1]Global_Spot Prices'!$B:$B,'[1]Global_Spot Prices'!$D:$D)</f>
        <v>60.075000000000003</v>
      </c>
      <c r="E40">
        <f>_xlfn.XLOOKUP(A40,'[1]Global_Spot Prices'!$B:$B,'[1]Global_Spot Prices'!$H:$H)</f>
        <v>57.57</v>
      </c>
      <c r="F40">
        <f>_xlfn.XLOOKUP(A40,'[1]Global_Spot Prices'!$B:$B,'[1]Global_Spot Prices'!$I:$I)</f>
        <v>67.91</v>
      </c>
      <c r="G40" cm="1">
        <f t="array" ref="G40">_xlfn.XLOOKUP(TEXT(A40, "mmm-yy"), TEXT([2]RUNS!$B$5:$B$208, "mmm-yy"), [2]RUNS!$D$5:$D$208, "Not Found")</f>
        <v>26851.969150256671</v>
      </c>
      <c r="H40" cm="1">
        <f t="array" ref="H40">SUMPRODUCT(
    --(TEXT('[3]Global Weekly Stock (EWSuez'!$B$4:$B$2000,"mmm-yy")=TEXT(A40,"mmm-yy")),
    '[3]Global Weekly Stock (EWSuez'!$E$4:$E$2000)
/
SUMPRODUCT(
    --(TEXT('[3]Global Weekly Stock (EWSuez'!$B$4:$B$2000,"mmm-yy")=TEXT(A40,"mmm-yy"))
)</f>
        <v>13339.75</v>
      </c>
      <c r="I40">
        <f>_xlfn.XLOOKUP(A40,[1]ForwardDeriv!$D:$D,[1]ForwardDeriv!$AJ:$AJ)</f>
        <v>0.15000000000000568</v>
      </c>
      <c r="J40" cm="1">
        <f t="array" ref="J40">_xlfn.XLOOKUP(TEXT(A40, "mmm-yy"), TEXT([2]GASOLINE!$B$5:$B$208, "mmm-yy"), [2]GASOLINE!$IR$5:$IR$208, "Not Found")</f>
        <v>-6.7549152902415699</v>
      </c>
      <c r="K40" cm="1">
        <f t="array" ref="K40">_xlfn.XLOOKUP(TEXT(A40, "mmm-yy"), TEXT([2]GASOLINE!$B$5:$B$208, "mmm-yy"), [2]GASOLINE!$IK$5:$IK$208, "Not Found")</f>
        <v>0</v>
      </c>
      <c r="L40">
        <f t="shared" si="0"/>
        <v>0</v>
      </c>
      <c r="M40" cm="1">
        <f t="array" ref="M40">_xlfn.XLOOKUP(TEXT(A40, "mmm-yy"), TEXT([2]GASOLINE!$B$5:$B$208, "mmm-yy"), [2]GASOLINE!$C$5:$C$208, "Not Found")</f>
        <v>6389.6677209761529</v>
      </c>
      <c r="N40" cm="1">
        <f t="array" ref="N40">_xlfn.XLOOKUP(TEXT(A40, "mmm-yy"), TEXT([2]RUNS!$B$5:$B$208, "mmm-yy"), [2]RUNS!$BM$5:$BM$208, "Not Found")</f>
        <v>0.79304560786125733</v>
      </c>
    </row>
    <row r="41" spans="1:14" x14ac:dyDescent="0.25">
      <c r="A41" s="1">
        <f>'[1]Global_Spot Prices'!$B1350</f>
        <v>42060</v>
      </c>
      <c r="B41">
        <f>_xlfn.XLOOKUP(A41,'[1]Global_Spot Prices'!$B:$B,'[1]Global_Spot Prices'!$BS:$BS)</f>
        <v>13.130000000000003</v>
      </c>
      <c r="C41">
        <f>_xlfn.XLOOKUP(A41,'[1]Global_Spot Prices'!$B:$B,'[1]Global_Spot Prices'!$E:$E)</f>
        <v>55.29</v>
      </c>
      <c r="D41">
        <f>_xlfn.XLOOKUP(A41,'[1]Global_Spot Prices'!$B:$B,'[1]Global_Spot Prices'!$D:$D)</f>
        <v>59.645000000000003</v>
      </c>
      <c r="E41">
        <f>_xlfn.XLOOKUP(A41,'[1]Global_Spot Prices'!$B:$B,'[1]Global_Spot Prices'!$H:$H)</f>
        <v>58.07</v>
      </c>
      <c r="F41">
        <f>_xlfn.XLOOKUP(A41,'[1]Global_Spot Prices'!$B:$B,'[1]Global_Spot Prices'!$I:$I)</f>
        <v>68.42</v>
      </c>
      <c r="G41" cm="1">
        <f t="array" ref="G41">_xlfn.XLOOKUP(TEXT(A41, "mmm-yy"), TEXT([2]RUNS!$B$5:$B$208, "mmm-yy"), [2]RUNS!$D$5:$D$208, "Not Found")</f>
        <v>26851.969150256671</v>
      </c>
      <c r="H41" cm="1">
        <f t="array" ref="H41">SUMPRODUCT(
    --(TEXT('[3]Global Weekly Stock (EWSuez'!$B$4:$B$2000,"mmm-yy")=TEXT(A41,"mmm-yy")),
    '[3]Global Weekly Stock (EWSuez'!$E$4:$E$2000)
/
SUMPRODUCT(
    --(TEXT('[3]Global Weekly Stock (EWSuez'!$B$4:$B$2000,"mmm-yy")=TEXT(A41,"mmm-yy"))
)</f>
        <v>13339.75</v>
      </c>
      <c r="I41">
        <f>_xlfn.XLOOKUP(A41,[1]ForwardDeriv!$D:$D,[1]ForwardDeriv!$AJ:$AJ)</f>
        <v>0.15000000000000568</v>
      </c>
      <c r="J41" cm="1">
        <f t="array" ref="J41">_xlfn.XLOOKUP(TEXT(A41, "mmm-yy"), TEXT([2]GASOLINE!$B$5:$B$208, "mmm-yy"), [2]GASOLINE!$IR$5:$IR$208, "Not Found")</f>
        <v>-6.7549152902415699</v>
      </c>
      <c r="K41" cm="1">
        <f t="array" ref="K41">_xlfn.XLOOKUP(TEXT(A41, "mmm-yy"), TEXT([2]GASOLINE!$B$5:$B$208, "mmm-yy"), [2]GASOLINE!$IK$5:$IK$208, "Not Found")</f>
        <v>0</v>
      </c>
      <c r="L41">
        <f t="shared" si="0"/>
        <v>0</v>
      </c>
      <c r="M41" cm="1">
        <f t="array" ref="M41">_xlfn.XLOOKUP(TEXT(A41, "mmm-yy"), TEXT([2]GASOLINE!$B$5:$B$208, "mmm-yy"), [2]GASOLINE!$C$5:$C$208, "Not Found")</f>
        <v>6389.6677209761529</v>
      </c>
      <c r="N41" cm="1">
        <f t="array" ref="N41">_xlfn.XLOOKUP(TEXT(A41, "mmm-yy"), TEXT([2]RUNS!$B$5:$B$208, "mmm-yy"), [2]RUNS!$BM$5:$BM$208, "Not Found")</f>
        <v>0.79304560786125733</v>
      </c>
    </row>
    <row r="42" spans="1:14" x14ac:dyDescent="0.25">
      <c r="A42" s="1">
        <f>'[1]Global_Spot Prices'!$B1351</f>
        <v>42061</v>
      </c>
      <c r="B42">
        <f>_xlfn.XLOOKUP(A42,'[1]Global_Spot Prices'!$B:$B,'[1]Global_Spot Prices'!$BS:$BS)</f>
        <v>14.999999999999993</v>
      </c>
      <c r="C42">
        <f>_xlfn.XLOOKUP(A42,'[1]Global_Spot Prices'!$B:$B,'[1]Global_Spot Prices'!$E:$E)</f>
        <v>58.1</v>
      </c>
      <c r="D42">
        <f>_xlfn.XLOOKUP(A42,'[1]Global_Spot Prices'!$B:$B,'[1]Global_Spot Prices'!$D:$D)</f>
        <v>61.36</v>
      </c>
      <c r="E42">
        <f>_xlfn.XLOOKUP(A42,'[1]Global_Spot Prices'!$B:$B,'[1]Global_Spot Prices'!$H:$H)</f>
        <v>60.27</v>
      </c>
      <c r="F42">
        <f>_xlfn.XLOOKUP(A42,'[1]Global_Spot Prices'!$B:$B,'[1]Global_Spot Prices'!$I:$I)</f>
        <v>73.099999999999994</v>
      </c>
      <c r="G42" cm="1">
        <f t="array" ref="G42">_xlfn.XLOOKUP(TEXT(A42, "mmm-yy"), TEXT([2]RUNS!$B$5:$B$208, "mmm-yy"), [2]RUNS!$D$5:$D$208, "Not Found")</f>
        <v>26851.969150256671</v>
      </c>
      <c r="H42" cm="1">
        <f t="array" ref="H42">SUMPRODUCT(
    --(TEXT('[3]Global Weekly Stock (EWSuez'!$B$4:$B$2000,"mmm-yy")=TEXT(A42,"mmm-yy")),
    '[3]Global Weekly Stock (EWSuez'!$E$4:$E$2000)
/
SUMPRODUCT(
    --(TEXT('[3]Global Weekly Stock (EWSuez'!$B$4:$B$2000,"mmm-yy")=TEXT(A42,"mmm-yy"))
)</f>
        <v>13339.75</v>
      </c>
      <c r="I42">
        <f>_xlfn.XLOOKUP(A42,[1]ForwardDeriv!$D:$D,[1]ForwardDeriv!$AJ:$AJ)</f>
        <v>0.59999999999999432</v>
      </c>
      <c r="J42" cm="1">
        <f t="array" ref="J42">_xlfn.XLOOKUP(TEXT(A42, "mmm-yy"), TEXT([2]GASOLINE!$B$5:$B$208, "mmm-yy"), [2]GASOLINE!$IR$5:$IR$208, "Not Found")</f>
        <v>-6.7549152902415699</v>
      </c>
      <c r="K42" cm="1">
        <f t="array" ref="K42">_xlfn.XLOOKUP(TEXT(A42, "mmm-yy"), TEXT([2]GASOLINE!$B$5:$B$208, "mmm-yy"), [2]GASOLINE!$IK$5:$IK$208, "Not Found")</f>
        <v>0</v>
      </c>
      <c r="L42">
        <f t="shared" si="0"/>
        <v>0</v>
      </c>
      <c r="M42" cm="1">
        <f t="array" ref="M42">_xlfn.XLOOKUP(TEXT(A42, "mmm-yy"), TEXT([2]GASOLINE!$B$5:$B$208, "mmm-yy"), [2]GASOLINE!$C$5:$C$208, "Not Found")</f>
        <v>6389.6677209761529</v>
      </c>
      <c r="N42" cm="1">
        <f t="array" ref="N42">_xlfn.XLOOKUP(TEXT(A42, "mmm-yy"), TEXT([2]RUNS!$B$5:$B$208, "mmm-yy"), [2]RUNS!$BM$5:$BM$208, "Not Found")</f>
        <v>0.79304560786125733</v>
      </c>
    </row>
    <row r="43" spans="1:14" x14ac:dyDescent="0.25">
      <c r="A43" s="1">
        <f>'[1]Global_Spot Prices'!$B1352</f>
        <v>42062</v>
      </c>
      <c r="B43">
        <f>_xlfn.XLOOKUP(A43,'[1]Global_Spot Prices'!$B:$B,'[1]Global_Spot Prices'!$BS:$BS)</f>
        <v>14.809999999999995</v>
      </c>
      <c r="C43">
        <f>_xlfn.XLOOKUP(A43,'[1]Global_Spot Prices'!$B:$B,'[1]Global_Spot Prices'!$E:$E)</f>
        <v>58.6</v>
      </c>
      <c r="D43">
        <f>_xlfn.XLOOKUP(A43,'[1]Global_Spot Prices'!$B:$B,'[1]Global_Spot Prices'!$D:$D)</f>
        <v>61.99</v>
      </c>
      <c r="E43">
        <f>_xlfn.XLOOKUP(A43,'[1]Global_Spot Prices'!$B:$B,'[1]Global_Spot Prices'!$H:$H)</f>
        <v>60.19</v>
      </c>
      <c r="F43">
        <f>_xlfn.XLOOKUP(A43,'[1]Global_Spot Prices'!$B:$B,'[1]Global_Spot Prices'!$I:$I)</f>
        <v>73.41</v>
      </c>
      <c r="G43" cm="1">
        <f t="array" ref="G43">_xlfn.XLOOKUP(TEXT(A43, "mmm-yy"), TEXT([2]RUNS!$B$5:$B$208, "mmm-yy"), [2]RUNS!$D$5:$D$208, "Not Found")</f>
        <v>26851.969150256671</v>
      </c>
      <c r="H43" cm="1">
        <f t="array" ref="H43">SUMPRODUCT(
    --(TEXT('[3]Global Weekly Stock (EWSuez'!$B$4:$B$2000,"mmm-yy")=TEXT(A43,"mmm-yy")),
    '[3]Global Weekly Stock (EWSuez'!$E$4:$E$2000)
/
SUMPRODUCT(
    --(TEXT('[3]Global Weekly Stock (EWSuez'!$B$4:$B$2000,"mmm-yy")=TEXT(A43,"mmm-yy"))
)</f>
        <v>13339.75</v>
      </c>
      <c r="I43">
        <f>_xlfn.XLOOKUP(A43,[1]ForwardDeriv!$D:$D,[1]ForwardDeriv!$AJ:$AJ)</f>
        <v>0.65000000000000568</v>
      </c>
      <c r="J43" cm="1">
        <f t="array" ref="J43">_xlfn.XLOOKUP(TEXT(A43, "mmm-yy"), TEXT([2]GASOLINE!$B$5:$B$208, "mmm-yy"), [2]GASOLINE!$IR$5:$IR$208, "Not Found")</f>
        <v>-6.7549152902415699</v>
      </c>
      <c r="K43" cm="1">
        <f t="array" ref="K43">_xlfn.XLOOKUP(TEXT(A43, "mmm-yy"), TEXT([2]GASOLINE!$B$5:$B$208, "mmm-yy"), [2]GASOLINE!$IK$5:$IK$208, "Not Found")</f>
        <v>0</v>
      </c>
      <c r="L43">
        <f t="shared" si="0"/>
        <v>0</v>
      </c>
      <c r="M43" cm="1">
        <f t="array" ref="M43">_xlfn.XLOOKUP(TEXT(A43, "mmm-yy"), TEXT([2]GASOLINE!$B$5:$B$208, "mmm-yy"), [2]GASOLINE!$C$5:$C$208, "Not Found")</f>
        <v>6389.6677209761529</v>
      </c>
      <c r="N43" cm="1">
        <f t="array" ref="N43">_xlfn.XLOOKUP(TEXT(A43, "mmm-yy"), TEXT([2]RUNS!$B$5:$B$208, "mmm-yy"), [2]RUNS!$BM$5:$BM$208, "Not Found")</f>
        <v>0.79304560786125733</v>
      </c>
    </row>
    <row r="44" spans="1:14" x14ac:dyDescent="0.25">
      <c r="A44" s="1">
        <f>'[1]Global_Spot Prices'!$B1353</f>
        <v>42065</v>
      </c>
      <c r="B44">
        <f>_xlfn.XLOOKUP(A44,'[1]Global_Spot Prices'!$B:$B,'[1]Global_Spot Prices'!$BS:$BS)</f>
        <v>14.940000000000005</v>
      </c>
      <c r="C44">
        <f>_xlfn.XLOOKUP(A44,'[1]Global_Spot Prices'!$B:$B,'[1]Global_Spot Prices'!$E:$E)</f>
        <v>59.4</v>
      </c>
      <c r="D44">
        <f>_xlfn.XLOOKUP(A44,'[1]Global_Spot Prices'!$B:$B,'[1]Global_Spot Prices'!$D:$D)</f>
        <v>61.075000000000003</v>
      </c>
      <c r="E44">
        <f>_xlfn.XLOOKUP(A44,'[1]Global_Spot Prices'!$B:$B,'[1]Global_Spot Prices'!$H:$H)</f>
        <v>61.04</v>
      </c>
      <c r="F44">
        <f>_xlfn.XLOOKUP(A44,'[1]Global_Spot Prices'!$B:$B,'[1]Global_Spot Prices'!$I:$I)</f>
        <v>74.34</v>
      </c>
      <c r="G44" cm="1">
        <f t="array" ref="G44">_xlfn.XLOOKUP(TEXT(A44, "mmm-yy"), TEXT([2]RUNS!$B$5:$B$208, "mmm-yy"), [2]RUNS!$D$5:$D$208, "Not Found")</f>
        <v>26676.797058724525</v>
      </c>
      <c r="H44" cm="1">
        <f t="array" ref="H44">SUMPRODUCT(
    --(TEXT('[3]Global Weekly Stock (EWSuez'!$B$4:$B$2000,"mmm-yy")=TEXT(A44,"mmm-yy")),
    '[3]Global Weekly Stock (EWSuez'!$E$4:$E$2000)
/
SUMPRODUCT(
    --(TEXT('[3]Global Weekly Stock (EWSuez'!$B$4:$B$2000,"mmm-yy")=TEXT(A44,"mmm-yy"))
)</f>
        <v>12619</v>
      </c>
      <c r="I44">
        <f>_xlfn.XLOOKUP(A44,[1]ForwardDeriv!$D:$D,[1]ForwardDeriv!$AJ:$AJ)</f>
        <v>0.79999999999999716</v>
      </c>
      <c r="J44" cm="1">
        <f t="array" ref="J44">_xlfn.XLOOKUP(TEXT(A44, "mmm-yy"), TEXT([2]GASOLINE!$B$5:$B$208, "mmm-yy"), [2]GASOLINE!$IR$5:$IR$208, "Not Found")</f>
        <v>-25.161444746970261</v>
      </c>
      <c r="K44" cm="1">
        <f t="array" ref="K44">_xlfn.XLOOKUP(TEXT(A44, "mmm-yy"), TEXT([2]GASOLINE!$B$5:$B$208, "mmm-yy"), [2]GASOLINE!$IK$5:$IK$208, "Not Found")</f>
        <v>0</v>
      </c>
      <c r="L44">
        <f t="shared" si="0"/>
        <v>0</v>
      </c>
      <c r="M44" cm="1">
        <f t="array" ref="M44">_xlfn.XLOOKUP(TEXT(A44, "mmm-yy"), TEXT([2]GASOLINE!$B$5:$B$208, "mmm-yy"), [2]GASOLINE!$C$5:$C$208, "Not Found")</f>
        <v>6228.7395204401164</v>
      </c>
      <c r="N44" cm="1">
        <f t="array" ref="N44">_xlfn.XLOOKUP(TEXT(A44, "mmm-yy"), TEXT([2]RUNS!$B$5:$B$208, "mmm-yy"), [2]RUNS!$BM$5:$BM$208, "Not Found")</f>
        <v>0.78852181874603255</v>
      </c>
    </row>
    <row r="45" spans="1:14" x14ac:dyDescent="0.25">
      <c r="A45" s="1">
        <f>'[1]Global_Spot Prices'!$B1354</f>
        <v>42066</v>
      </c>
      <c r="B45">
        <f>_xlfn.XLOOKUP(A45,'[1]Global_Spot Prices'!$B:$B,'[1]Global_Spot Prices'!$BS:$BS)</f>
        <v>15.329999999999991</v>
      </c>
      <c r="C45">
        <f>_xlfn.XLOOKUP(A45,'[1]Global_Spot Prices'!$B:$B,'[1]Global_Spot Prices'!$E:$E)</f>
        <v>57.49</v>
      </c>
      <c r="D45">
        <f>_xlfn.XLOOKUP(A45,'[1]Global_Spot Prices'!$B:$B,'[1]Global_Spot Prices'!$D:$D)</f>
        <v>61.38</v>
      </c>
      <c r="E45">
        <f>_xlfn.XLOOKUP(A45,'[1]Global_Spot Prices'!$B:$B,'[1]Global_Spot Prices'!$H:$H)</f>
        <v>59.47</v>
      </c>
      <c r="F45">
        <f>_xlfn.XLOOKUP(A45,'[1]Global_Spot Prices'!$B:$B,'[1]Global_Spot Prices'!$I:$I)</f>
        <v>72.819999999999993</v>
      </c>
      <c r="G45" cm="1">
        <f t="array" ref="G45">_xlfn.XLOOKUP(TEXT(A45, "mmm-yy"), TEXT([2]RUNS!$B$5:$B$208, "mmm-yy"), [2]RUNS!$D$5:$D$208, "Not Found")</f>
        <v>26676.797058724525</v>
      </c>
      <c r="H45" cm="1">
        <f t="array" ref="H45">SUMPRODUCT(
    --(TEXT('[3]Global Weekly Stock (EWSuez'!$B$4:$B$2000,"mmm-yy")=TEXT(A45,"mmm-yy")),
    '[3]Global Weekly Stock (EWSuez'!$E$4:$E$2000)
/
SUMPRODUCT(
    --(TEXT('[3]Global Weekly Stock (EWSuez'!$B$4:$B$2000,"mmm-yy")=TEXT(A45,"mmm-yy"))
)</f>
        <v>12619</v>
      </c>
      <c r="I45">
        <f>_xlfn.XLOOKUP(A45,[1]ForwardDeriv!$D:$D,[1]ForwardDeriv!$AJ:$AJ)</f>
        <v>0.89999999999999147</v>
      </c>
      <c r="J45" cm="1">
        <f t="array" ref="J45">_xlfn.XLOOKUP(TEXT(A45, "mmm-yy"), TEXT([2]GASOLINE!$B$5:$B$208, "mmm-yy"), [2]GASOLINE!$IR$5:$IR$208, "Not Found")</f>
        <v>-25.161444746970261</v>
      </c>
      <c r="K45" cm="1">
        <f t="array" ref="K45">_xlfn.XLOOKUP(TEXT(A45, "mmm-yy"), TEXT([2]GASOLINE!$B$5:$B$208, "mmm-yy"), [2]GASOLINE!$IK$5:$IK$208, "Not Found")</f>
        <v>0</v>
      </c>
      <c r="L45">
        <f t="shared" si="0"/>
        <v>0</v>
      </c>
      <c r="M45" cm="1">
        <f t="array" ref="M45">_xlfn.XLOOKUP(TEXT(A45, "mmm-yy"), TEXT([2]GASOLINE!$B$5:$B$208, "mmm-yy"), [2]GASOLINE!$C$5:$C$208, "Not Found")</f>
        <v>6228.7395204401164</v>
      </c>
      <c r="N45" cm="1">
        <f t="array" ref="N45">_xlfn.XLOOKUP(TEXT(A45, "mmm-yy"), TEXT([2]RUNS!$B$5:$B$208, "mmm-yy"), [2]RUNS!$BM$5:$BM$208, "Not Found")</f>
        <v>0.78852181874603255</v>
      </c>
    </row>
    <row r="46" spans="1:14" x14ac:dyDescent="0.25">
      <c r="A46" s="1">
        <f>'[1]Global_Spot Prices'!$B1355</f>
        <v>42067</v>
      </c>
      <c r="B46">
        <f>_xlfn.XLOOKUP(A46,'[1]Global_Spot Prices'!$B:$B,'[1]Global_Spot Prices'!$BS:$BS)</f>
        <v>15.869999999999997</v>
      </c>
      <c r="C46">
        <f>_xlfn.XLOOKUP(A46,'[1]Global_Spot Prices'!$B:$B,'[1]Global_Spot Prices'!$E:$E)</f>
        <v>58.01</v>
      </c>
      <c r="D46">
        <f>_xlfn.XLOOKUP(A46,'[1]Global_Spot Prices'!$B:$B,'[1]Global_Spot Prices'!$D:$D)</f>
        <v>59.155000000000001</v>
      </c>
      <c r="E46">
        <f>_xlfn.XLOOKUP(A46,'[1]Global_Spot Prices'!$B:$B,'[1]Global_Spot Prices'!$H:$H)</f>
        <v>60.47</v>
      </c>
      <c r="F46">
        <f>_xlfn.XLOOKUP(A46,'[1]Global_Spot Prices'!$B:$B,'[1]Global_Spot Prices'!$I:$I)</f>
        <v>73.88</v>
      </c>
      <c r="G46" cm="1">
        <f t="array" ref="G46">_xlfn.XLOOKUP(TEXT(A46, "mmm-yy"), TEXT([2]RUNS!$B$5:$B$208, "mmm-yy"), [2]RUNS!$D$5:$D$208, "Not Found")</f>
        <v>26676.797058724525</v>
      </c>
      <c r="H46" cm="1">
        <f t="array" ref="H46">SUMPRODUCT(
    --(TEXT('[3]Global Weekly Stock (EWSuez'!$B$4:$B$2000,"mmm-yy")=TEXT(A46,"mmm-yy")),
    '[3]Global Weekly Stock (EWSuez'!$E$4:$E$2000)
/
SUMPRODUCT(
    --(TEXT('[3]Global Weekly Stock (EWSuez'!$B$4:$B$2000,"mmm-yy")=TEXT(A46,"mmm-yy"))
)</f>
        <v>12619</v>
      </c>
      <c r="I46">
        <f>_xlfn.XLOOKUP(A46,[1]ForwardDeriv!$D:$D,[1]ForwardDeriv!$AJ:$AJ)</f>
        <v>1.0999999999999943</v>
      </c>
      <c r="J46" cm="1">
        <f t="array" ref="J46">_xlfn.XLOOKUP(TEXT(A46, "mmm-yy"), TEXT([2]GASOLINE!$B$5:$B$208, "mmm-yy"), [2]GASOLINE!$IR$5:$IR$208, "Not Found")</f>
        <v>-25.161444746970261</v>
      </c>
      <c r="K46" cm="1">
        <f t="array" ref="K46">_xlfn.XLOOKUP(TEXT(A46, "mmm-yy"), TEXT([2]GASOLINE!$B$5:$B$208, "mmm-yy"), [2]GASOLINE!$IK$5:$IK$208, "Not Found")</f>
        <v>0</v>
      </c>
      <c r="L46">
        <f t="shared" si="0"/>
        <v>0</v>
      </c>
      <c r="M46" cm="1">
        <f t="array" ref="M46">_xlfn.XLOOKUP(TEXT(A46, "mmm-yy"), TEXT([2]GASOLINE!$B$5:$B$208, "mmm-yy"), [2]GASOLINE!$C$5:$C$208, "Not Found")</f>
        <v>6228.7395204401164</v>
      </c>
      <c r="N46" cm="1">
        <f t="array" ref="N46">_xlfn.XLOOKUP(TEXT(A46, "mmm-yy"), TEXT([2]RUNS!$B$5:$B$208, "mmm-yy"), [2]RUNS!$BM$5:$BM$208, "Not Found")</f>
        <v>0.78852181874603255</v>
      </c>
    </row>
    <row r="47" spans="1:14" x14ac:dyDescent="0.25">
      <c r="A47" s="1">
        <f>'[1]Global_Spot Prices'!$B1356</f>
        <v>42068</v>
      </c>
      <c r="B47">
        <f>_xlfn.XLOOKUP(A47,'[1]Global_Spot Prices'!$B:$B,'[1]Global_Spot Prices'!$BS:$BS)</f>
        <v>15.590000000000003</v>
      </c>
      <c r="C47">
        <f>_xlfn.XLOOKUP(A47,'[1]Global_Spot Prices'!$B:$B,'[1]Global_Spot Prices'!$E:$E)</f>
        <v>57.91</v>
      </c>
      <c r="D47">
        <f>_xlfn.XLOOKUP(A47,'[1]Global_Spot Prices'!$B:$B,'[1]Global_Spot Prices'!$D:$D)</f>
        <v>60.314999999999998</v>
      </c>
      <c r="E47">
        <f>_xlfn.XLOOKUP(A47,'[1]Global_Spot Prices'!$B:$B,'[1]Global_Spot Prices'!$H:$H)</f>
        <v>59.96</v>
      </c>
      <c r="F47">
        <f>_xlfn.XLOOKUP(A47,'[1]Global_Spot Prices'!$B:$B,'[1]Global_Spot Prices'!$I:$I)</f>
        <v>73.5</v>
      </c>
      <c r="G47" cm="1">
        <f t="array" ref="G47">_xlfn.XLOOKUP(TEXT(A47, "mmm-yy"), TEXT([2]RUNS!$B$5:$B$208, "mmm-yy"), [2]RUNS!$D$5:$D$208, "Not Found")</f>
        <v>26676.797058724525</v>
      </c>
      <c r="H47" cm="1">
        <f t="array" ref="H47">SUMPRODUCT(
    --(TEXT('[3]Global Weekly Stock (EWSuez'!$B$4:$B$2000,"mmm-yy")=TEXT(A47,"mmm-yy")),
    '[3]Global Weekly Stock (EWSuez'!$E$4:$E$2000)
/
SUMPRODUCT(
    --(TEXT('[3]Global Weekly Stock (EWSuez'!$B$4:$B$2000,"mmm-yy")=TEXT(A47,"mmm-yy"))
)</f>
        <v>12619</v>
      </c>
      <c r="I47">
        <f>_xlfn.XLOOKUP(A47,[1]ForwardDeriv!$D:$D,[1]ForwardDeriv!$AJ:$AJ)</f>
        <v>1.0499999999999972</v>
      </c>
      <c r="J47" cm="1">
        <f t="array" ref="J47">_xlfn.XLOOKUP(TEXT(A47, "mmm-yy"), TEXT([2]GASOLINE!$B$5:$B$208, "mmm-yy"), [2]GASOLINE!$IR$5:$IR$208, "Not Found")</f>
        <v>-25.161444746970261</v>
      </c>
      <c r="K47" cm="1">
        <f t="array" ref="K47">_xlfn.XLOOKUP(TEXT(A47, "mmm-yy"), TEXT([2]GASOLINE!$B$5:$B$208, "mmm-yy"), [2]GASOLINE!$IK$5:$IK$208, "Not Found")</f>
        <v>0</v>
      </c>
      <c r="L47">
        <f t="shared" si="0"/>
        <v>0</v>
      </c>
      <c r="M47" cm="1">
        <f t="array" ref="M47">_xlfn.XLOOKUP(TEXT(A47, "mmm-yy"), TEXT([2]GASOLINE!$B$5:$B$208, "mmm-yy"), [2]GASOLINE!$C$5:$C$208, "Not Found")</f>
        <v>6228.7395204401164</v>
      </c>
      <c r="N47" cm="1">
        <f t="array" ref="N47">_xlfn.XLOOKUP(TEXT(A47, "mmm-yy"), TEXT([2]RUNS!$B$5:$B$208, "mmm-yy"), [2]RUNS!$BM$5:$BM$208, "Not Found")</f>
        <v>0.78852181874603255</v>
      </c>
    </row>
    <row r="48" spans="1:14" x14ac:dyDescent="0.25">
      <c r="A48" s="1">
        <f>'[1]Global_Spot Prices'!$B1357</f>
        <v>42069</v>
      </c>
      <c r="B48">
        <f>_xlfn.XLOOKUP(A48,'[1]Global_Spot Prices'!$B:$B,'[1]Global_Spot Prices'!$BS:$BS)</f>
        <v>15.460000000000008</v>
      </c>
      <c r="C48">
        <f>_xlfn.XLOOKUP(A48,'[1]Global_Spot Prices'!$B:$B,'[1]Global_Spot Prices'!$E:$E)</f>
        <v>58.3</v>
      </c>
      <c r="D48">
        <f>_xlfn.XLOOKUP(A48,'[1]Global_Spot Prices'!$B:$B,'[1]Global_Spot Prices'!$D:$D)</f>
        <v>59.435000000000002</v>
      </c>
      <c r="E48">
        <f>_xlfn.XLOOKUP(A48,'[1]Global_Spot Prices'!$B:$B,'[1]Global_Spot Prices'!$H:$H)</f>
        <v>59.15</v>
      </c>
      <c r="F48">
        <f>_xlfn.XLOOKUP(A48,'[1]Global_Spot Prices'!$B:$B,'[1]Global_Spot Prices'!$I:$I)</f>
        <v>73.760000000000005</v>
      </c>
      <c r="G48" cm="1">
        <f t="array" ref="G48">_xlfn.XLOOKUP(TEXT(A48, "mmm-yy"), TEXT([2]RUNS!$B$5:$B$208, "mmm-yy"), [2]RUNS!$D$5:$D$208, "Not Found")</f>
        <v>26676.797058724525</v>
      </c>
      <c r="H48" cm="1">
        <f t="array" ref="H48">SUMPRODUCT(
    --(TEXT('[3]Global Weekly Stock (EWSuez'!$B$4:$B$2000,"mmm-yy")=TEXT(A48,"mmm-yy")),
    '[3]Global Weekly Stock (EWSuez'!$E$4:$E$2000)
/
SUMPRODUCT(
    --(TEXT('[3]Global Weekly Stock (EWSuez'!$B$4:$B$2000,"mmm-yy")=TEXT(A48,"mmm-yy"))
)</f>
        <v>12619</v>
      </c>
      <c r="I48">
        <f>_xlfn.XLOOKUP(A48,[1]ForwardDeriv!$D:$D,[1]ForwardDeriv!$AJ:$AJ)</f>
        <v>1.0999999999999943</v>
      </c>
      <c r="J48" cm="1">
        <f t="array" ref="J48">_xlfn.XLOOKUP(TEXT(A48, "mmm-yy"), TEXT([2]GASOLINE!$B$5:$B$208, "mmm-yy"), [2]GASOLINE!$IR$5:$IR$208, "Not Found")</f>
        <v>-25.161444746970261</v>
      </c>
      <c r="K48" cm="1">
        <f t="array" ref="K48">_xlfn.XLOOKUP(TEXT(A48, "mmm-yy"), TEXT([2]GASOLINE!$B$5:$B$208, "mmm-yy"), [2]GASOLINE!$IK$5:$IK$208, "Not Found")</f>
        <v>0</v>
      </c>
      <c r="L48">
        <f t="shared" si="0"/>
        <v>0</v>
      </c>
      <c r="M48" cm="1">
        <f t="array" ref="M48">_xlfn.XLOOKUP(TEXT(A48, "mmm-yy"), TEXT([2]GASOLINE!$B$5:$B$208, "mmm-yy"), [2]GASOLINE!$C$5:$C$208, "Not Found")</f>
        <v>6228.7395204401164</v>
      </c>
      <c r="N48" cm="1">
        <f t="array" ref="N48">_xlfn.XLOOKUP(TEXT(A48, "mmm-yy"), TEXT([2]RUNS!$B$5:$B$208, "mmm-yy"), [2]RUNS!$BM$5:$BM$208, "Not Found")</f>
        <v>0.78852181874603255</v>
      </c>
    </row>
    <row r="49" spans="1:14" x14ac:dyDescent="0.25">
      <c r="A49" s="1">
        <f>'[1]Global_Spot Prices'!$B1358</f>
        <v>42072</v>
      </c>
      <c r="B49">
        <f>_xlfn.XLOOKUP(A49,'[1]Global_Spot Prices'!$B:$B,'[1]Global_Spot Prices'!$BS:$BS)</f>
        <v>15.890000000000008</v>
      </c>
      <c r="C49">
        <f>_xlfn.XLOOKUP(A49,'[1]Global_Spot Prices'!$B:$B,'[1]Global_Spot Prices'!$E:$E)</f>
        <v>56.79</v>
      </c>
      <c r="D49">
        <f>_xlfn.XLOOKUP(A49,'[1]Global_Spot Prices'!$B:$B,'[1]Global_Spot Prices'!$D:$D)</f>
        <v>58.465000000000003</v>
      </c>
      <c r="E49">
        <f>_xlfn.XLOOKUP(A49,'[1]Global_Spot Prices'!$B:$B,'[1]Global_Spot Prices'!$H:$H)</f>
        <v>57.66</v>
      </c>
      <c r="F49">
        <f>_xlfn.XLOOKUP(A49,'[1]Global_Spot Prices'!$B:$B,'[1]Global_Spot Prices'!$I:$I)</f>
        <v>72.680000000000007</v>
      </c>
      <c r="G49" cm="1">
        <f t="array" ref="G49">_xlfn.XLOOKUP(TEXT(A49, "mmm-yy"), TEXT([2]RUNS!$B$5:$B$208, "mmm-yy"), [2]RUNS!$D$5:$D$208, "Not Found")</f>
        <v>26676.797058724525</v>
      </c>
      <c r="H49" cm="1">
        <f t="array" ref="H49">SUMPRODUCT(
    --(TEXT('[3]Global Weekly Stock (EWSuez'!$B$4:$B$2000,"mmm-yy")=TEXT(A49,"mmm-yy")),
    '[3]Global Weekly Stock (EWSuez'!$E$4:$E$2000)
/
SUMPRODUCT(
    --(TEXT('[3]Global Weekly Stock (EWSuez'!$B$4:$B$2000,"mmm-yy")=TEXT(A49,"mmm-yy"))
)</f>
        <v>12619</v>
      </c>
      <c r="I49">
        <f>_xlfn.XLOOKUP(A49,[1]ForwardDeriv!$D:$D,[1]ForwardDeriv!$AJ:$AJ)</f>
        <v>1.3999999999999915</v>
      </c>
      <c r="J49" cm="1">
        <f t="array" ref="J49">_xlfn.XLOOKUP(TEXT(A49, "mmm-yy"), TEXT([2]GASOLINE!$B$5:$B$208, "mmm-yy"), [2]GASOLINE!$IR$5:$IR$208, "Not Found")</f>
        <v>-25.161444746970261</v>
      </c>
      <c r="K49" cm="1">
        <f t="array" ref="K49">_xlfn.XLOOKUP(TEXT(A49, "mmm-yy"), TEXT([2]GASOLINE!$B$5:$B$208, "mmm-yy"), [2]GASOLINE!$IK$5:$IK$208, "Not Found")</f>
        <v>0</v>
      </c>
      <c r="L49">
        <f t="shared" si="0"/>
        <v>0</v>
      </c>
      <c r="M49" cm="1">
        <f t="array" ref="M49">_xlfn.XLOOKUP(TEXT(A49, "mmm-yy"), TEXT([2]GASOLINE!$B$5:$B$208, "mmm-yy"), [2]GASOLINE!$C$5:$C$208, "Not Found")</f>
        <v>6228.7395204401164</v>
      </c>
      <c r="N49" cm="1">
        <f t="array" ref="N49">_xlfn.XLOOKUP(TEXT(A49, "mmm-yy"), TEXT([2]RUNS!$B$5:$B$208, "mmm-yy"), [2]RUNS!$BM$5:$BM$208, "Not Found")</f>
        <v>0.78852181874603255</v>
      </c>
    </row>
    <row r="50" spans="1:14" x14ac:dyDescent="0.25">
      <c r="A50" s="1">
        <f>'[1]Global_Spot Prices'!$B1359</f>
        <v>42073</v>
      </c>
      <c r="B50">
        <f>_xlfn.XLOOKUP(A50,'[1]Global_Spot Prices'!$B:$B,'[1]Global_Spot Prices'!$BS:$BS)</f>
        <v>17.159999999999997</v>
      </c>
      <c r="C50">
        <f>_xlfn.XLOOKUP(A50,'[1]Global_Spot Prices'!$B:$B,'[1]Global_Spot Prices'!$E:$E)</f>
        <v>55.64</v>
      </c>
      <c r="D50">
        <f>_xlfn.XLOOKUP(A50,'[1]Global_Spot Prices'!$B:$B,'[1]Global_Spot Prices'!$D:$D)</f>
        <v>55.83</v>
      </c>
      <c r="E50">
        <f>_xlfn.XLOOKUP(A50,'[1]Global_Spot Prices'!$B:$B,'[1]Global_Spot Prices'!$H:$H)</f>
        <v>56.76</v>
      </c>
      <c r="F50">
        <f>_xlfn.XLOOKUP(A50,'[1]Global_Spot Prices'!$B:$B,'[1]Global_Spot Prices'!$I:$I)</f>
        <v>72.8</v>
      </c>
      <c r="G50" cm="1">
        <f t="array" ref="G50">_xlfn.XLOOKUP(TEXT(A50, "mmm-yy"), TEXT([2]RUNS!$B$5:$B$208, "mmm-yy"), [2]RUNS!$D$5:$D$208, "Not Found")</f>
        <v>26676.797058724525</v>
      </c>
      <c r="H50" cm="1">
        <f t="array" ref="H50">SUMPRODUCT(
    --(TEXT('[3]Global Weekly Stock (EWSuez'!$B$4:$B$2000,"mmm-yy")=TEXT(A50,"mmm-yy")),
    '[3]Global Weekly Stock (EWSuez'!$E$4:$E$2000)
/
SUMPRODUCT(
    --(TEXT('[3]Global Weekly Stock (EWSuez'!$B$4:$B$2000,"mmm-yy")=TEXT(A50,"mmm-yy"))
)</f>
        <v>12619</v>
      </c>
      <c r="I50">
        <f>_xlfn.XLOOKUP(A50,[1]ForwardDeriv!$D:$D,[1]ForwardDeriv!$AJ:$AJ)</f>
        <v>1.6000000000000085</v>
      </c>
      <c r="J50" cm="1">
        <f t="array" ref="J50">_xlfn.XLOOKUP(TEXT(A50, "mmm-yy"), TEXT([2]GASOLINE!$B$5:$B$208, "mmm-yy"), [2]GASOLINE!$IR$5:$IR$208, "Not Found")</f>
        <v>-25.161444746970261</v>
      </c>
      <c r="K50" cm="1">
        <f t="array" ref="K50">_xlfn.XLOOKUP(TEXT(A50, "mmm-yy"), TEXT([2]GASOLINE!$B$5:$B$208, "mmm-yy"), [2]GASOLINE!$IK$5:$IK$208, "Not Found")</f>
        <v>0</v>
      </c>
      <c r="L50">
        <f t="shared" si="0"/>
        <v>0</v>
      </c>
      <c r="M50" cm="1">
        <f t="array" ref="M50">_xlfn.XLOOKUP(TEXT(A50, "mmm-yy"), TEXT([2]GASOLINE!$B$5:$B$208, "mmm-yy"), [2]GASOLINE!$C$5:$C$208, "Not Found")</f>
        <v>6228.7395204401164</v>
      </c>
      <c r="N50" cm="1">
        <f t="array" ref="N50">_xlfn.XLOOKUP(TEXT(A50, "mmm-yy"), TEXT([2]RUNS!$B$5:$B$208, "mmm-yy"), [2]RUNS!$BM$5:$BM$208, "Not Found")</f>
        <v>0.78852181874603255</v>
      </c>
    </row>
    <row r="51" spans="1:14" x14ac:dyDescent="0.25">
      <c r="A51" s="1">
        <f>'[1]Global_Spot Prices'!$B1360</f>
        <v>42074</v>
      </c>
      <c r="B51">
        <f>_xlfn.XLOOKUP(A51,'[1]Global_Spot Prices'!$B:$B,'[1]Global_Spot Prices'!$BS:$BS)</f>
        <v>16.420000000000002</v>
      </c>
      <c r="C51">
        <f>_xlfn.XLOOKUP(A51,'[1]Global_Spot Prices'!$B:$B,'[1]Global_Spot Prices'!$E:$E)</f>
        <v>54.09</v>
      </c>
      <c r="D51">
        <f>_xlfn.XLOOKUP(A51,'[1]Global_Spot Prices'!$B:$B,'[1]Global_Spot Prices'!$D:$D)</f>
        <v>56.505000000000003</v>
      </c>
      <c r="E51">
        <f>_xlfn.XLOOKUP(A51,'[1]Global_Spot Prices'!$B:$B,'[1]Global_Spot Prices'!$H:$H)</f>
        <v>55.4</v>
      </c>
      <c r="F51">
        <f>_xlfn.XLOOKUP(A51,'[1]Global_Spot Prices'!$B:$B,'[1]Global_Spot Prices'!$I:$I)</f>
        <v>70.510000000000005</v>
      </c>
      <c r="G51" cm="1">
        <f t="array" ref="G51">_xlfn.XLOOKUP(TEXT(A51, "mmm-yy"), TEXT([2]RUNS!$B$5:$B$208, "mmm-yy"), [2]RUNS!$D$5:$D$208, "Not Found")</f>
        <v>26676.797058724525</v>
      </c>
      <c r="H51" cm="1">
        <f t="array" ref="H51">SUMPRODUCT(
    --(TEXT('[3]Global Weekly Stock (EWSuez'!$B$4:$B$2000,"mmm-yy")=TEXT(A51,"mmm-yy")),
    '[3]Global Weekly Stock (EWSuez'!$E$4:$E$2000)
/
SUMPRODUCT(
    --(TEXT('[3]Global Weekly Stock (EWSuez'!$B$4:$B$2000,"mmm-yy")=TEXT(A51,"mmm-yy"))
)</f>
        <v>12619</v>
      </c>
      <c r="I51">
        <f>_xlfn.XLOOKUP(A51,[1]ForwardDeriv!$D:$D,[1]ForwardDeriv!$AJ:$AJ)</f>
        <v>1.5499999999999972</v>
      </c>
      <c r="J51" cm="1">
        <f t="array" ref="J51">_xlfn.XLOOKUP(TEXT(A51, "mmm-yy"), TEXT([2]GASOLINE!$B$5:$B$208, "mmm-yy"), [2]GASOLINE!$IR$5:$IR$208, "Not Found")</f>
        <v>-25.161444746970261</v>
      </c>
      <c r="K51" cm="1">
        <f t="array" ref="K51">_xlfn.XLOOKUP(TEXT(A51, "mmm-yy"), TEXT([2]GASOLINE!$B$5:$B$208, "mmm-yy"), [2]GASOLINE!$IK$5:$IK$208, "Not Found")</f>
        <v>0</v>
      </c>
      <c r="L51">
        <f t="shared" si="0"/>
        <v>0</v>
      </c>
      <c r="M51" cm="1">
        <f t="array" ref="M51">_xlfn.XLOOKUP(TEXT(A51, "mmm-yy"), TEXT([2]GASOLINE!$B$5:$B$208, "mmm-yy"), [2]GASOLINE!$C$5:$C$208, "Not Found")</f>
        <v>6228.7395204401164</v>
      </c>
      <c r="N51" cm="1">
        <f t="array" ref="N51">_xlfn.XLOOKUP(TEXT(A51, "mmm-yy"), TEXT([2]RUNS!$B$5:$B$208, "mmm-yy"), [2]RUNS!$BM$5:$BM$208, "Not Found")</f>
        <v>0.78852181874603255</v>
      </c>
    </row>
    <row r="52" spans="1:14" x14ac:dyDescent="0.25">
      <c r="A52" s="1">
        <f>'[1]Global_Spot Prices'!$B1361</f>
        <v>42075</v>
      </c>
      <c r="B52">
        <f>_xlfn.XLOOKUP(A52,'[1]Global_Spot Prices'!$B:$B,'[1]Global_Spot Prices'!$BS:$BS)</f>
        <v>15.540000000000006</v>
      </c>
      <c r="C52">
        <f>_xlfn.XLOOKUP(A52,'[1]Global_Spot Prices'!$B:$B,'[1]Global_Spot Prices'!$E:$E)</f>
        <v>55.55</v>
      </c>
      <c r="D52">
        <f>_xlfn.XLOOKUP(A52,'[1]Global_Spot Prices'!$B:$B,'[1]Global_Spot Prices'!$D:$D)</f>
        <v>56.564999999999998</v>
      </c>
      <c r="E52">
        <f>_xlfn.XLOOKUP(A52,'[1]Global_Spot Prices'!$B:$B,'[1]Global_Spot Prices'!$H:$H)</f>
        <v>57.2</v>
      </c>
      <c r="F52">
        <f>_xlfn.XLOOKUP(A52,'[1]Global_Spot Prices'!$B:$B,'[1]Global_Spot Prices'!$I:$I)</f>
        <v>71.09</v>
      </c>
      <c r="G52" cm="1">
        <f t="array" ref="G52">_xlfn.XLOOKUP(TEXT(A52, "mmm-yy"), TEXT([2]RUNS!$B$5:$B$208, "mmm-yy"), [2]RUNS!$D$5:$D$208, "Not Found")</f>
        <v>26676.797058724525</v>
      </c>
      <c r="H52" cm="1">
        <f t="array" ref="H52">SUMPRODUCT(
    --(TEXT('[3]Global Weekly Stock (EWSuez'!$B$4:$B$2000,"mmm-yy")=TEXT(A52,"mmm-yy")),
    '[3]Global Weekly Stock (EWSuez'!$E$4:$E$2000)
/
SUMPRODUCT(
    --(TEXT('[3]Global Weekly Stock (EWSuez'!$B$4:$B$2000,"mmm-yy")=TEXT(A52,"mmm-yy"))
)</f>
        <v>12619</v>
      </c>
      <c r="I52">
        <f>_xlfn.XLOOKUP(A52,[1]ForwardDeriv!$D:$D,[1]ForwardDeriv!$AJ:$AJ)</f>
        <v>1.2999999999999972</v>
      </c>
      <c r="J52" cm="1">
        <f t="array" ref="J52">_xlfn.XLOOKUP(TEXT(A52, "mmm-yy"), TEXT([2]GASOLINE!$B$5:$B$208, "mmm-yy"), [2]GASOLINE!$IR$5:$IR$208, "Not Found")</f>
        <v>-25.161444746970261</v>
      </c>
      <c r="K52" cm="1">
        <f t="array" ref="K52">_xlfn.XLOOKUP(TEXT(A52, "mmm-yy"), TEXT([2]GASOLINE!$B$5:$B$208, "mmm-yy"), [2]GASOLINE!$IK$5:$IK$208, "Not Found")</f>
        <v>0</v>
      </c>
      <c r="L52">
        <f t="shared" si="0"/>
        <v>0</v>
      </c>
      <c r="M52" cm="1">
        <f t="array" ref="M52">_xlfn.XLOOKUP(TEXT(A52, "mmm-yy"), TEXT([2]GASOLINE!$B$5:$B$208, "mmm-yy"), [2]GASOLINE!$C$5:$C$208, "Not Found")</f>
        <v>6228.7395204401164</v>
      </c>
      <c r="N52" cm="1">
        <f t="array" ref="N52">_xlfn.XLOOKUP(TEXT(A52, "mmm-yy"), TEXT([2]RUNS!$B$5:$B$208, "mmm-yy"), [2]RUNS!$BM$5:$BM$208, "Not Found")</f>
        <v>0.78852181874603255</v>
      </c>
    </row>
    <row r="53" spans="1:14" x14ac:dyDescent="0.25">
      <c r="A53" s="1">
        <f>'[1]Global_Spot Prices'!$B1362</f>
        <v>42076</v>
      </c>
      <c r="B53">
        <f>_xlfn.XLOOKUP(A53,'[1]Global_Spot Prices'!$B:$B,'[1]Global_Spot Prices'!$BS:$BS)</f>
        <v>15.579999999999998</v>
      </c>
      <c r="C53">
        <f>_xlfn.XLOOKUP(A53,'[1]Global_Spot Prices'!$B:$B,'[1]Global_Spot Prices'!$E:$E)</f>
        <v>54.25</v>
      </c>
      <c r="D53">
        <f>_xlfn.XLOOKUP(A53,'[1]Global_Spot Prices'!$B:$B,'[1]Global_Spot Prices'!$D:$D)</f>
        <v>54.405000000000001</v>
      </c>
      <c r="E53">
        <f>_xlfn.XLOOKUP(A53,'[1]Global_Spot Prices'!$B:$B,'[1]Global_Spot Prices'!$H:$H)</f>
        <v>56.89</v>
      </c>
      <c r="F53">
        <f>_xlfn.XLOOKUP(A53,'[1]Global_Spot Prices'!$B:$B,'[1]Global_Spot Prices'!$I:$I)</f>
        <v>69.83</v>
      </c>
      <c r="G53" cm="1">
        <f t="array" ref="G53">_xlfn.XLOOKUP(TEXT(A53, "mmm-yy"), TEXT([2]RUNS!$B$5:$B$208, "mmm-yy"), [2]RUNS!$D$5:$D$208, "Not Found")</f>
        <v>26676.797058724525</v>
      </c>
      <c r="H53" cm="1">
        <f t="array" ref="H53">SUMPRODUCT(
    --(TEXT('[3]Global Weekly Stock (EWSuez'!$B$4:$B$2000,"mmm-yy")=TEXT(A53,"mmm-yy")),
    '[3]Global Weekly Stock (EWSuez'!$E$4:$E$2000)
/
SUMPRODUCT(
    --(TEXT('[3]Global Weekly Stock (EWSuez'!$B$4:$B$2000,"mmm-yy")=TEXT(A53,"mmm-yy"))
)</f>
        <v>12619</v>
      </c>
      <c r="I53">
        <f>_xlfn.XLOOKUP(A53,[1]ForwardDeriv!$D:$D,[1]ForwardDeriv!$AJ:$AJ)</f>
        <v>1.3999999999999915</v>
      </c>
      <c r="J53" cm="1">
        <f t="array" ref="J53">_xlfn.XLOOKUP(TEXT(A53, "mmm-yy"), TEXT([2]GASOLINE!$B$5:$B$208, "mmm-yy"), [2]GASOLINE!$IR$5:$IR$208, "Not Found")</f>
        <v>-25.161444746970261</v>
      </c>
      <c r="K53" cm="1">
        <f t="array" ref="K53">_xlfn.XLOOKUP(TEXT(A53, "mmm-yy"), TEXT([2]GASOLINE!$B$5:$B$208, "mmm-yy"), [2]GASOLINE!$IK$5:$IK$208, "Not Found")</f>
        <v>0</v>
      </c>
      <c r="L53">
        <f t="shared" si="0"/>
        <v>0</v>
      </c>
      <c r="M53" cm="1">
        <f t="array" ref="M53">_xlfn.XLOOKUP(TEXT(A53, "mmm-yy"), TEXT([2]GASOLINE!$B$5:$B$208, "mmm-yy"), [2]GASOLINE!$C$5:$C$208, "Not Found")</f>
        <v>6228.7395204401164</v>
      </c>
      <c r="N53" cm="1">
        <f t="array" ref="N53">_xlfn.XLOOKUP(TEXT(A53, "mmm-yy"), TEXT([2]RUNS!$B$5:$B$208, "mmm-yy"), [2]RUNS!$BM$5:$BM$208, "Not Found")</f>
        <v>0.78852181874603255</v>
      </c>
    </row>
    <row r="54" spans="1:14" x14ac:dyDescent="0.25">
      <c r="A54" s="1">
        <f>'[1]Global_Spot Prices'!$B1363</f>
        <v>42079</v>
      </c>
      <c r="B54">
        <f>_xlfn.XLOOKUP(A54,'[1]Global_Spot Prices'!$B:$B,'[1]Global_Spot Prices'!$BS:$BS)</f>
        <v>15.299999999999997</v>
      </c>
      <c r="C54">
        <f>_xlfn.XLOOKUP(A54,'[1]Global_Spot Prices'!$B:$B,'[1]Global_Spot Prices'!$E:$E)</f>
        <v>51.84</v>
      </c>
      <c r="D54">
        <f>_xlfn.XLOOKUP(A54,'[1]Global_Spot Prices'!$B:$B,'[1]Global_Spot Prices'!$D:$D)</f>
        <v>52.045000000000002</v>
      </c>
      <c r="E54">
        <f>_xlfn.XLOOKUP(A54,'[1]Global_Spot Prices'!$B:$B,'[1]Global_Spot Prices'!$H:$H)</f>
        <v>54</v>
      </c>
      <c r="F54">
        <f>_xlfn.XLOOKUP(A54,'[1]Global_Spot Prices'!$B:$B,'[1]Global_Spot Prices'!$I:$I)</f>
        <v>67.14</v>
      </c>
      <c r="G54" cm="1">
        <f t="array" ref="G54">_xlfn.XLOOKUP(TEXT(A54, "mmm-yy"), TEXT([2]RUNS!$B$5:$B$208, "mmm-yy"), [2]RUNS!$D$5:$D$208, "Not Found")</f>
        <v>26676.797058724525</v>
      </c>
      <c r="H54" cm="1">
        <f t="array" ref="H54">SUMPRODUCT(
    --(TEXT('[3]Global Weekly Stock (EWSuez'!$B$4:$B$2000,"mmm-yy")=TEXT(A54,"mmm-yy")),
    '[3]Global Weekly Stock (EWSuez'!$E$4:$E$2000)
/
SUMPRODUCT(
    --(TEXT('[3]Global Weekly Stock (EWSuez'!$B$4:$B$2000,"mmm-yy")=TEXT(A54,"mmm-yy"))
)</f>
        <v>12619</v>
      </c>
      <c r="I54">
        <f>_xlfn.XLOOKUP(A54,[1]ForwardDeriv!$D:$D,[1]ForwardDeriv!$AJ:$AJ)</f>
        <v>1.3999999999999915</v>
      </c>
      <c r="J54" cm="1">
        <f t="array" ref="J54">_xlfn.XLOOKUP(TEXT(A54, "mmm-yy"), TEXT([2]GASOLINE!$B$5:$B$208, "mmm-yy"), [2]GASOLINE!$IR$5:$IR$208, "Not Found")</f>
        <v>-25.161444746970261</v>
      </c>
      <c r="K54" cm="1">
        <f t="array" ref="K54">_xlfn.XLOOKUP(TEXT(A54, "mmm-yy"), TEXT([2]GASOLINE!$B$5:$B$208, "mmm-yy"), [2]GASOLINE!$IK$5:$IK$208, "Not Found")</f>
        <v>0</v>
      </c>
      <c r="L54">
        <f t="shared" si="0"/>
        <v>0</v>
      </c>
      <c r="M54" cm="1">
        <f t="array" ref="M54">_xlfn.XLOOKUP(TEXT(A54, "mmm-yy"), TEXT([2]GASOLINE!$B$5:$B$208, "mmm-yy"), [2]GASOLINE!$C$5:$C$208, "Not Found")</f>
        <v>6228.7395204401164</v>
      </c>
      <c r="N54" cm="1">
        <f t="array" ref="N54">_xlfn.XLOOKUP(TEXT(A54, "mmm-yy"), TEXT([2]RUNS!$B$5:$B$208, "mmm-yy"), [2]RUNS!$BM$5:$BM$208, "Not Found")</f>
        <v>0.78852181874603255</v>
      </c>
    </row>
    <row r="55" spans="1:14" x14ac:dyDescent="0.25">
      <c r="A55" s="1">
        <f>'[1]Global_Spot Prices'!$B1364</f>
        <v>42080</v>
      </c>
      <c r="B55">
        <f>_xlfn.XLOOKUP(A55,'[1]Global_Spot Prices'!$B:$B,'[1]Global_Spot Prices'!$BS:$BS)</f>
        <v>14.600000000000009</v>
      </c>
      <c r="C55">
        <f>_xlfn.XLOOKUP(A55,'[1]Global_Spot Prices'!$B:$B,'[1]Global_Spot Prices'!$E:$E)</f>
        <v>51.19</v>
      </c>
      <c r="D55">
        <f>_xlfn.XLOOKUP(A55,'[1]Global_Spot Prices'!$B:$B,'[1]Global_Spot Prices'!$D:$D)</f>
        <v>51.64</v>
      </c>
      <c r="E55">
        <f>_xlfn.XLOOKUP(A55,'[1]Global_Spot Prices'!$B:$B,'[1]Global_Spot Prices'!$H:$H)</f>
        <v>54.16</v>
      </c>
      <c r="F55">
        <f>_xlfn.XLOOKUP(A55,'[1]Global_Spot Prices'!$B:$B,'[1]Global_Spot Prices'!$I:$I)</f>
        <v>65.790000000000006</v>
      </c>
      <c r="G55" cm="1">
        <f t="array" ref="G55">_xlfn.XLOOKUP(TEXT(A55, "mmm-yy"), TEXT([2]RUNS!$B$5:$B$208, "mmm-yy"), [2]RUNS!$D$5:$D$208, "Not Found")</f>
        <v>26676.797058724525</v>
      </c>
      <c r="H55" cm="1">
        <f t="array" ref="H55">SUMPRODUCT(
    --(TEXT('[3]Global Weekly Stock (EWSuez'!$B$4:$B$2000,"mmm-yy")=TEXT(A55,"mmm-yy")),
    '[3]Global Weekly Stock (EWSuez'!$E$4:$E$2000)
/
SUMPRODUCT(
    --(TEXT('[3]Global Weekly Stock (EWSuez'!$B$4:$B$2000,"mmm-yy")=TEXT(A55,"mmm-yy"))
)</f>
        <v>12619</v>
      </c>
      <c r="I55">
        <f>_xlfn.XLOOKUP(A55,[1]ForwardDeriv!$D:$D,[1]ForwardDeriv!$AJ:$AJ)</f>
        <v>1.25</v>
      </c>
      <c r="J55" cm="1">
        <f t="array" ref="J55">_xlfn.XLOOKUP(TEXT(A55, "mmm-yy"), TEXT([2]GASOLINE!$B$5:$B$208, "mmm-yy"), [2]GASOLINE!$IR$5:$IR$208, "Not Found")</f>
        <v>-25.161444746970261</v>
      </c>
      <c r="K55" cm="1">
        <f t="array" ref="K55">_xlfn.XLOOKUP(TEXT(A55, "mmm-yy"), TEXT([2]GASOLINE!$B$5:$B$208, "mmm-yy"), [2]GASOLINE!$IK$5:$IK$208, "Not Found")</f>
        <v>0</v>
      </c>
      <c r="L55">
        <f t="shared" si="0"/>
        <v>0</v>
      </c>
      <c r="M55" cm="1">
        <f t="array" ref="M55">_xlfn.XLOOKUP(TEXT(A55, "mmm-yy"), TEXT([2]GASOLINE!$B$5:$B$208, "mmm-yy"), [2]GASOLINE!$C$5:$C$208, "Not Found")</f>
        <v>6228.7395204401164</v>
      </c>
      <c r="N55" cm="1">
        <f t="array" ref="N55">_xlfn.XLOOKUP(TEXT(A55, "mmm-yy"), TEXT([2]RUNS!$B$5:$B$208, "mmm-yy"), [2]RUNS!$BM$5:$BM$208, "Not Found")</f>
        <v>0.78852181874603255</v>
      </c>
    </row>
    <row r="56" spans="1:14" x14ac:dyDescent="0.25">
      <c r="A56" s="1">
        <f>'[1]Global_Spot Prices'!$B1365</f>
        <v>42081</v>
      </c>
      <c r="B56">
        <f>_xlfn.XLOOKUP(A56,'[1]Global_Spot Prices'!$B:$B,'[1]Global_Spot Prices'!$BS:$BS)</f>
        <v>14.789999999999992</v>
      </c>
      <c r="C56">
        <f>_xlfn.XLOOKUP(A56,'[1]Global_Spot Prices'!$B:$B,'[1]Global_Spot Prices'!$E:$E)</f>
        <v>50.7</v>
      </c>
      <c r="D56">
        <f>_xlfn.XLOOKUP(A56,'[1]Global_Spot Prices'!$B:$B,'[1]Global_Spot Prices'!$D:$D)</f>
        <v>52.65</v>
      </c>
      <c r="E56">
        <f>_xlfn.XLOOKUP(A56,'[1]Global_Spot Prices'!$B:$B,'[1]Global_Spot Prices'!$H:$H)</f>
        <v>53.26</v>
      </c>
      <c r="F56">
        <f>_xlfn.XLOOKUP(A56,'[1]Global_Spot Prices'!$B:$B,'[1]Global_Spot Prices'!$I:$I)</f>
        <v>65.489999999999995</v>
      </c>
      <c r="G56" cm="1">
        <f t="array" ref="G56">_xlfn.XLOOKUP(TEXT(A56, "mmm-yy"), TEXT([2]RUNS!$B$5:$B$208, "mmm-yy"), [2]RUNS!$D$5:$D$208, "Not Found")</f>
        <v>26676.797058724525</v>
      </c>
      <c r="H56" cm="1">
        <f t="array" ref="H56">SUMPRODUCT(
    --(TEXT('[3]Global Weekly Stock (EWSuez'!$B$4:$B$2000,"mmm-yy")=TEXT(A56,"mmm-yy")),
    '[3]Global Weekly Stock (EWSuez'!$E$4:$E$2000)
/
SUMPRODUCT(
    --(TEXT('[3]Global Weekly Stock (EWSuez'!$B$4:$B$2000,"mmm-yy")=TEXT(A56,"mmm-yy"))
)</f>
        <v>12619</v>
      </c>
      <c r="I56">
        <f>_xlfn.XLOOKUP(A56,[1]ForwardDeriv!$D:$D,[1]ForwardDeriv!$AJ:$AJ)</f>
        <v>1.25</v>
      </c>
      <c r="J56" cm="1">
        <f t="array" ref="J56">_xlfn.XLOOKUP(TEXT(A56, "mmm-yy"), TEXT([2]GASOLINE!$B$5:$B$208, "mmm-yy"), [2]GASOLINE!$IR$5:$IR$208, "Not Found")</f>
        <v>-25.161444746970261</v>
      </c>
      <c r="K56" cm="1">
        <f t="array" ref="K56">_xlfn.XLOOKUP(TEXT(A56, "mmm-yy"), TEXT([2]GASOLINE!$B$5:$B$208, "mmm-yy"), [2]GASOLINE!$IK$5:$IK$208, "Not Found")</f>
        <v>0</v>
      </c>
      <c r="L56">
        <f t="shared" si="0"/>
        <v>0</v>
      </c>
      <c r="M56" cm="1">
        <f t="array" ref="M56">_xlfn.XLOOKUP(TEXT(A56, "mmm-yy"), TEXT([2]GASOLINE!$B$5:$B$208, "mmm-yy"), [2]GASOLINE!$C$5:$C$208, "Not Found")</f>
        <v>6228.7395204401164</v>
      </c>
      <c r="N56" cm="1">
        <f t="array" ref="N56">_xlfn.XLOOKUP(TEXT(A56, "mmm-yy"), TEXT([2]RUNS!$B$5:$B$208, "mmm-yy"), [2]RUNS!$BM$5:$BM$208, "Not Found")</f>
        <v>0.78852181874603255</v>
      </c>
    </row>
    <row r="57" spans="1:14" x14ac:dyDescent="0.25">
      <c r="A57" s="1">
        <f>'[1]Global_Spot Prices'!$B1366</f>
        <v>42082</v>
      </c>
      <c r="B57">
        <f>_xlfn.XLOOKUP(A57,'[1]Global_Spot Prices'!$B:$B,'[1]Global_Spot Prices'!$BS:$BS)</f>
        <v>15.180000000000007</v>
      </c>
      <c r="C57">
        <f>_xlfn.XLOOKUP(A57,'[1]Global_Spot Prices'!$B:$B,'[1]Global_Spot Prices'!$E:$E)</f>
        <v>52.5</v>
      </c>
      <c r="D57">
        <f>_xlfn.XLOOKUP(A57,'[1]Global_Spot Prices'!$B:$B,'[1]Global_Spot Prices'!$D:$D)</f>
        <v>52.935000000000002</v>
      </c>
      <c r="E57">
        <f>_xlfn.XLOOKUP(A57,'[1]Global_Spot Prices'!$B:$B,'[1]Global_Spot Prices'!$H:$H)</f>
        <v>54.77</v>
      </c>
      <c r="F57">
        <f>_xlfn.XLOOKUP(A57,'[1]Global_Spot Prices'!$B:$B,'[1]Global_Spot Prices'!$I:$I)</f>
        <v>67.680000000000007</v>
      </c>
      <c r="G57" cm="1">
        <f t="array" ref="G57">_xlfn.XLOOKUP(TEXT(A57, "mmm-yy"), TEXT([2]RUNS!$B$5:$B$208, "mmm-yy"), [2]RUNS!$D$5:$D$208, "Not Found")</f>
        <v>26676.797058724525</v>
      </c>
      <c r="H57" cm="1">
        <f t="array" ref="H57">SUMPRODUCT(
    --(TEXT('[3]Global Weekly Stock (EWSuez'!$B$4:$B$2000,"mmm-yy")=TEXT(A57,"mmm-yy")),
    '[3]Global Weekly Stock (EWSuez'!$E$4:$E$2000)
/
SUMPRODUCT(
    --(TEXT('[3]Global Weekly Stock (EWSuez'!$B$4:$B$2000,"mmm-yy")=TEXT(A57,"mmm-yy"))
)</f>
        <v>12619</v>
      </c>
      <c r="I57">
        <f>_xlfn.XLOOKUP(A57,[1]ForwardDeriv!$D:$D,[1]ForwardDeriv!$AJ:$AJ)</f>
        <v>1.3799999999999955</v>
      </c>
      <c r="J57" cm="1">
        <f t="array" ref="J57">_xlfn.XLOOKUP(TEXT(A57, "mmm-yy"), TEXT([2]GASOLINE!$B$5:$B$208, "mmm-yy"), [2]GASOLINE!$IR$5:$IR$208, "Not Found")</f>
        <v>-25.161444746970261</v>
      </c>
      <c r="K57" cm="1">
        <f t="array" ref="K57">_xlfn.XLOOKUP(TEXT(A57, "mmm-yy"), TEXT([2]GASOLINE!$B$5:$B$208, "mmm-yy"), [2]GASOLINE!$IK$5:$IK$208, "Not Found")</f>
        <v>0</v>
      </c>
      <c r="L57">
        <f t="shared" si="0"/>
        <v>0</v>
      </c>
      <c r="M57" cm="1">
        <f t="array" ref="M57">_xlfn.XLOOKUP(TEXT(A57, "mmm-yy"), TEXT([2]GASOLINE!$B$5:$B$208, "mmm-yy"), [2]GASOLINE!$C$5:$C$208, "Not Found")</f>
        <v>6228.7395204401164</v>
      </c>
      <c r="N57" cm="1">
        <f t="array" ref="N57">_xlfn.XLOOKUP(TEXT(A57, "mmm-yy"), TEXT([2]RUNS!$B$5:$B$208, "mmm-yy"), [2]RUNS!$BM$5:$BM$208, "Not Found")</f>
        <v>0.78852181874603255</v>
      </c>
    </row>
    <row r="58" spans="1:14" x14ac:dyDescent="0.25">
      <c r="A58" s="1">
        <f>'[1]Global_Spot Prices'!$B1367</f>
        <v>42083</v>
      </c>
      <c r="B58">
        <f>_xlfn.XLOOKUP(A58,'[1]Global_Spot Prices'!$B:$B,'[1]Global_Spot Prices'!$BS:$BS)</f>
        <v>16.110000000000007</v>
      </c>
      <c r="C58">
        <f>_xlfn.XLOOKUP(A58,'[1]Global_Spot Prices'!$B:$B,'[1]Global_Spot Prices'!$E:$E)</f>
        <v>51.73</v>
      </c>
      <c r="D58">
        <f>_xlfn.XLOOKUP(A58,'[1]Global_Spot Prices'!$B:$B,'[1]Global_Spot Prices'!$D:$D)</f>
        <v>53.875</v>
      </c>
      <c r="E58">
        <f>_xlfn.XLOOKUP(A58,'[1]Global_Spot Prices'!$B:$B,'[1]Global_Spot Prices'!$H:$H)</f>
        <v>54.73</v>
      </c>
      <c r="F58">
        <f>_xlfn.XLOOKUP(A58,'[1]Global_Spot Prices'!$B:$B,'[1]Global_Spot Prices'!$I:$I)</f>
        <v>67.84</v>
      </c>
      <c r="G58" cm="1">
        <f t="array" ref="G58">_xlfn.XLOOKUP(TEXT(A58, "mmm-yy"), TEXT([2]RUNS!$B$5:$B$208, "mmm-yy"), [2]RUNS!$D$5:$D$208, "Not Found")</f>
        <v>26676.797058724525</v>
      </c>
      <c r="H58" cm="1">
        <f t="array" ref="H58">SUMPRODUCT(
    --(TEXT('[3]Global Weekly Stock (EWSuez'!$B$4:$B$2000,"mmm-yy")=TEXT(A58,"mmm-yy")),
    '[3]Global Weekly Stock (EWSuez'!$E$4:$E$2000)
/
SUMPRODUCT(
    --(TEXT('[3]Global Weekly Stock (EWSuez'!$B$4:$B$2000,"mmm-yy")=TEXT(A58,"mmm-yy"))
)</f>
        <v>12619</v>
      </c>
      <c r="I58">
        <f>_xlfn.XLOOKUP(A58,[1]ForwardDeriv!$D:$D,[1]ForwardDeriv!$AJ:$AJ)</f>
        <v>1.5</v>
      </c>
      <c r="J58" cm="1">
        <f t="array" ref="J58">_xlfn.XLOOKUP(TEXT(A58, "mmm-yy"), TEXT([2]GASOLINE!$B$5:$B$208, "mmm-yy"), [2]GASOLINE!$IR$5:$IR$208, "Not Found")</f>
        <v>-25.161444746970261</v>
      </c>
      <c r="K58" cm="1">
        <f t="array" ref="K58">_xlfn.XLOOKUP(TEXT(A58, "mmm-yy"), TEXT([2]GASOLINE!$B$5:$B$208, "mmm-yy"), [2]GASOLINE!$IK$5:$IK$208, "Not Found")</f>
        <v>0</v>
      </c>
      <c r="L58">
        <f t="shared" si="0"/>
        <v>0</v>
      </c>
      <c r="M58" cm="1">
        <f t="array" ref="M58">_xlfn.XLOOKUP(TEXT(A58, "mmm-yy"), TEXT([2]GASOLINE!$B$5:$B$208, "mmm-yy"), [2]GASOLINE!$C$5:$C$208, "Not Found")</f>
        <v>6228.7395204401164</v>
      </c>
      <c r="N58" cm="1">
        <f t="array" ref="N58">_xlfn.XLOOKUP(TEXT(A58, "mmm-yy"), TEXT([2]RUNS!$B$5:$B$208, "mmm-yy"), [2]RUNS!$BM$5:$BM$208, "Not Found")</f>
        <v>0.78852181874603255</v>
      </c>
    </row>
    <row r="59" spans="1:14" x14ac:dyDescent="0.25">
      <c r="A59" s="1">
        <f>'[1]Global_Spot Prices'!$B1368</f>
        <v>42086</v>
      </c>
      <c r="B59">
        <f>_xlfn.XLOOKUP(A59,'[1]Global_Spot Prices'!$B:$B,'[1]Global_Spot Prices'!$BS:$BS)</f>
        <v>15.799999999999997</v>
      </c>
      <c r="C59">
        <f>_xlfn.XLOOKUP(A59,'[1]Global_Spot Prices'!$B:$B,'[1]Global_Spot Prices'!$E:$E)</f>
        <v>52.41</v>
      </c>
      <c r="D59">
        <f>_xlfn.XLOOKUP(A59,'[1]Global_Spot Prices'!$B:$B,'[1]Global_Spot Prices'!$D:$D)</f>
        <v>53.87</v>
      </c>
      <c r="E59">
        <f>_xlfn.XLOOKUP(A59,'[1]Global_Spot Prices'!$B:$B,'[1]Global_Spot Prices'!$H:$H)</f>
        <v>55.49</v>
      </c>
      <c r="F59">
        <f>_xlfn.XLOOKUP(A59,'[1]Global_Spot Prices'!$B:$B,'[1]Global_Spot Prices'!$I:$I)</f>
        <v>68.209999999999994</v>
      </c>
      <c r="G59" cm="1">
        <f t="array" ref="G59">_xlfn.XLOOKUP(TEXT(A59, "mmm-yy"), TEXT([2]RUNS!$B$5:$B$208, "mmm-yy"), [2]RUNS!$D$5:$D$208, "Not Found")</f>
        <v>26676.797058724525</v>
      </c>
      <c r="H59" cm="1">
        <f t="array" ref="H59">SUMPRODUCT(
    --(TEXT('[3]Global Weekly Stock (EWSuez'!$B$4:$B$2000,"mmm-yy")=TEXT(A59,"mmm-yy")),
    '[3]Global Weekly Stock (EWSuez'!$E$4:$E$2000)
/
SUMPRODUCT(
    --(TEXT('[3]Global Weekly Stock (EWSuez'!$B$4:$B$2000,"mmm-yy")=TEXT(A59,"mmm-yy"))
)</f>
        <v>12619</v>
      </c>
      <c r="I59">
        <f>_xlfn.XLOOKUP(A59,[1]ForwardDeriv!$D:$D,[1]ForwardDeriv!$AJ:$AJ)</f>
        <v>1.5499999999999972</v>
      </c>
      <c r="J59" cm="1">
        <f t="array" ref="J59">_xlfn.XLOOKUP(TEXT(A59, "mmm-yy"), TEXT([2]GASOLINE!$B$5:$B$208, "mmm-yy"), [2]GASOLINE!$IR$5:$IR$208, "Not Found")</f>
        <v>-25.161444746970261</v>
      </c>
      <c r="K59" cm="1">
        <f t="array" ref="K59">_xlfn.XLOOKUP(TEXT(A59, "mmm-yy"), TEXT([2]GASOLINE!$B$5:$B$208, "mmm-yy"), [2]GASOLINE!$IK$5:$IK$208, "Not Found")</f>
        <v>0</v>
      </c>
      <c r="L59">
        <f t="shared" si="0"/>
        <v>0</v>
      </c>
      <c r="M59" cm="1">
        <f t="array" ref="M59">_xlfn.XLOOKUP(TEXT(A59, "mmm-yy"), TEXT([2]GASOLINE!$B$5:$B$208, "mmm-yy"), [2]GASOLINE!$C$5:$C$208, "Not Found")</f>
        <v>6228.7395204401164</v>
      </c>
      <c r="N59" cm="1">
        <f t="array" ref="N59">_xlfn.XLOOKUP(TEXT(A59, "mmm-yy"), TEXT([2]RUNS!$B$5:$B$208, "mmm-yy"), [2]RUNS!$BM$5:$BM$208, "Not Found")</f>
        <v>0.78852181874603255</v>
      </c>
    </row>
    <row r="60" spans="1:14" x14ac:dyDescent="0.25">
      <c r="A60" s="1">
        <f>'[1]Global_Spot Prices'!$B1369</f>
        <v>42087</v>
      </c>
      <c r="B60">
        <f>_xlfn.XLOOKUP(A60,'[1]Global_Spot Prices'!$B:$B,'[1]Global_Spot Prices'!$BS:$BS)</f>
        <v>15.61</v>
      </c>
      <c r="C60">
        <f>_xlfn.XLOOKUP(A60,'[1]Global_Spot Prices'!$B:$B,'[1]Global_Spot Prices'!$E:$E)</f>
        <v>53.55</v>
      </c>
      <c r="D60">
        <f>_xlfn.XLOOKUP(A60,'[1]Global_Spot Prices'!$B:$B,'[1]Global_Spot Prices'!$D:$D)</f>
        <v>53.8</v>
      </c>
      <c r="E60">
        <f>_xlfn.XLOOKUP(A60,'[1]Global_Spot Prices'!$B:$B,'[1]Global_Spot Prices'!$H:$H)</f>
        <v>57.68</v>
      </c>
      <c r="F60">
        <f>_xlfn.XLOOKUP(A60,'[1]Global_Spot Prices'!$B:$B,'[1]Global_Spot Prices'!$I:$I)</f>
        <v>69.16</v>
      </c>
      <c r="G60" cm="1">
        <f t="array" ref="G60">_xlfn.XLOOKUP(TEXT(A60, "mmm-yy"), TEXT([2]RUNS!$B$5:$B$208, "mmm-yy"), [2]RUNS!$D$5:$D$208, "Not Found")</f>
        <v>26676.797058724525</v>
      </c>
      <c r="H60" cm="1">
        <f t="array" ref="H60">SUMPRODUCT(
    --(TEXT('[3]Global Weekly Stock (EWSuez'!$B$4:$B$2000,"mmm-yy")=TEXT(A60,"mmm-yy")),
    '[3]Global Weekly Stock (EWSuez'!$E$4:$E$2000)
/
SUMPRODUCT(
    --(TEXT('[3]Global Weekly Stock (EWSuez'!$B$4:$B$2000,"mmm-yy")=TEXT(A60,"mmm-yy"))
)</f>
        <v>12619</v>
      </c>
      <c r="I60">
        <f>_xlfn.XLOOKUP(A60,[1]ForwardDeriv!$D:$D,[1]ForwardDeriv!$AJ:$AJ)</f>
        <v>1.5</v>
      </c>
      <c r="J60" cm="1">
        <f t="array" ref="J60">_xlfn.XLOOKUP(TEXT(A60, "mmm-yy"), TEXT([2]GASOLINE!$B$5:$B$208, "mmm-yy"), [2]GASOLINE!$IR$5:$IR$208, "Not Found")</f>
        <v>-25.161444746970261</v>
      </c>
      <c r="K60" cm="1">
        <f t="array" ref="K60">_xlfn.XLOOKUP(TEXT(A60, "mmm-yy"), TEXT([2]GASOLINE!$B$5:$B$208, "mmm-yy"), [2]GASOLINE!$IK$5:$IK$208, "Not Found")</f>
        <v>0</v>
      </c>
      <c r="L60">
        <f t="shared" si="0"/>
        <v>0</v>
      </c>
      <c r="M60" cm="1">
        <f t="array" ref="M60">_xlfn.XLOOKUP(TEXT(A60, "mmm-yy"), TEXT([2]GASOLINE!$B$5:$B$208, "mmm-yy"), [2]GASOLINE!$C$5:$C$208, "Not Found")</f>
        <v>6228.7395204401164</v>
      </c>
      <c r="N60" cm="1">
        <f t="array" ref="N60">_xlfn.XLOOKUP(TEXT(A60, "mmm-yy"), TEXT([2]RUNS!$B$5:$B$208, "mmm-yy"), [2]RUNS!$BM$5:$BM$208, "Not Found")</f>
        <v>0.78852181874603255</v>
      </c>
    </row>
    <row r="61" spans="1:14" x14ac:dyDescent="0.25">
      <c r="A61" s="1">
        <f>'[1]Global_Spot Prices'!$B1370</f>
        <v>42088</v>
      </c>
      <c r="B61">
        <f>_xlfn.XLOOKUP(A61,'[1]Global_Spot Prices'!$B:$B,'[1]Global_Spot Prices'!$BS:$BS)</f>
        <v>16.139999999999993</v>
      </c>
      <c r="C61">
        <f>_xlfn.XLOOKUP(A61,'[1]Global_Spot Prices'!$B:$B,'[1]Global_Spot Prices'!$E:$E)</f>
        <v>52.85</v>
      </c>
      <c r="D61">
        <f>_xlfn.XLOOKUP(A61,'[1]Global_Spot Prices'!$B:$B,'[1]Global_Spot Prices'!$D:$D)</f>
        <v>54.255000000000003</v>
      </c>
      <c r="E61">
        <f>_xlfn.XLOOKUP(A61,'[1]Global_Spot Prices'!$B:$B,'[1]Global_Spot Prices'!$H:$H)</f>
        <v>57.71</v>
      </c>
      <c r="F61">
        <f>_xlfn.XLOOKUP(A61,'[1]Global_Spot Prices'!$B:$B,'[1]Global_Spot Prices'!$I:$I)</f>
        <v>68.989999999999995</v>
      </c>
      <c r="G61" cm="1">
        <f t="array" ref="G61">_xlfn.XLOOKUP(TEXT(A61, "mmm-yy"), TEXT([2]RUNS!$B$5:$B$208, "mmm-yy"), [2]RUNS!$D$5:$D$208, "Not Found")</f>
        <v>26676.797058724525</v>
      </c>
      <c r="H61" cm="1">
        <f t="array" ref="H61">SUMPRODUCT(
    --(TEXT('[3]Global Weekly Stock (EWSuez'!$B$4:$B$2000,"mmm-yy")=TEXT(A61,"mmm-yy")),
    '[3]Global Weekly Stock (EWSuez'!$E$4:$E$2000)
/
SUMPRODUCT(
    --(TEXT('[3]Global Weekly Stock (EWSuez'!$B$4:$B$2000,"mmm-yy")=TEXT(A61,"mmm-yy"))
)</f>
        <v>12619</v>
      </c>
      <c r="I61">
        <f>_xlfn.XLOOKUP(A61,[1]ForwardDeriv!$D:$D,[1]ForwardDeriv!$AJ:$AJ)</f>
        <v>1.5499999999999972</v>
      </c>
      <c r="J61" cm="1">
        <f t="array" ref="J61">_xlfn.XLOOKUP(TEXT(A61, "mmm-yy"), TEXT([2]GASOLINE!$B$5:$B$208, "mmm-yy"), [2]GASOLINE!$IR$5:$IR$208, "Not Found")</f>
        <v>-25.161444746970261</v>
      </c>
      <c r="K61" cm="1">
        <f t="array" ref="K61">_xlfn.XLOOKUP(TEXT(A61, "mmm-yy"), TEXT([2]GASOLINE!$B$5:$B$208, "mmm-yy"), [2]GASOLINE!$IK$5:$IK$208, "Not Found")</f>
        <v>0</v>
      </c>
      <c r="L61">
        <f t="shared" si="0"/>
        <v>0</v>
      </c>
      <c r="M61" cm="1">
        <f t="array" ref="M61">_xlfn.XLOOKUP(TEXT(A61, "mmm-yy"), TEXT([2]GASOLINE!$B$5:$B$208, "mmm-yy"), [2]GASOLINE!$C$5:$C$208, "Not Found")</f>
        <v>6228.7395204401164</v>
      </c>
      <c r="N61" cm="1">
        <f t="array" ref="N61">_xlfn.XLOOKUP(TEXT(A61, "mmm-yy"), TEXT([2]RUNS!$B$5:$B$208, "mmm-yy"), [2]RUNS!$BM$5:$BM$208, "Not Found")</f>
        <v>0.78852181874603255</v>
      </c>
    </row>
    <row r="62" spans="1:14" x14ac:dyDescent="0.25">
      <c r="A62" s="1">
        <f>'[1]Global_Spot Prices'!$B1371</f>
        <v>42089</v>
      </c>
      <c r="B62">
        <f>_xlfn.XLOOKUP(A62,'[1]Global_Spot Prices'!$B:$B,'[1]Global_Spot Prices'!$BS:$BS)</f>
        <v>16.340000000000003</v>
      </c>
      <c r="C62">
        <f>_xlfn.XLOOKUP(A62,'[1]Global_Spot Prices'!$B:$B,'[1]Global_Spot Prices'!$E:$E)</f>
        <v>56.89</v>
      </c>
      <c r="D62">
        <f>_xlfn.XLOOKUP(A62,'[1]Global_Spot Prices'!$B:$B,'[1]Global_Spot Prices'!$D:$D)</f>
        <v>57.16</v>
      </c>
      <c r="E62">
        <f>_xlfn.XLOOKUP(A62,'[1]Global_Spot Prices'!$B:$B,'[1]Global_Spot Prices'!$H:$H)</f>
        <v>62.06</v>
      </c>
      <c r="F62">
        <f>_xlfn.XLOOKUP(A62,'[1]Global_Spot Prices'!$B:$B,'[1]Global_Spot Prices'!$I:$I)</f>
        <v>73.23</v>
      </c>
      <c r="G62" cm="1">
        <f t="array" ref="G62">_xlfn.XLOOKUP(TEXT(A62, "mmm-yy"), TEXT([2]RUNS!$B$5:$B$208, "mmm-yy"), [2]RUNS!$D$5:$D$208, "Not Found")</f>
        <v>26676.797058724525</v>
      </c>
      <c r="H62" cm="1">
        <f t="array" ref="H62">SUMPRODUCT(
    --(TEXT('[3]Global Weekly Stock (EWSuez'!$B$4:$B$2000,"mmm-yy")=TEXT(A62,"mmm-yy")),
    '[3]Global Weekly Stock (EWSuez'!$E$4:$E$2000)
/
SUMPRODUCT(
    --(TEXT('[3]Global Weekly Stock (EWSuez'!$B$4:$B$2000,"mmm-yy")=TEXT(A62,"mmm-yy"))
)</f>
        <v>12619</v>
      </c>
      <c r="I62">
        <f>_xlfn.XLOOKUP(A62,[1]ForwardDeriv!$D:$D,[1]ForwardDeriv!$AJ:$AJ)</f>
        <v>1.75</v>
      </c>
      <c r="J62" cm="1">
        <f t="array" ref="J62">_xlfn.XLOOKUP(TEXT(A62, "mmm-yy"), TEXT([2]GASOLINE!$B$5:$B$208, "mmm-yy"), [2]GASOLINE!$IR$5:$IR$208, "Not Found")</f>
        <v>-25.161444746970261</v>
      </c>
      <c r="K62" cm="1">
        <f t="array" ref="K62">_xlfn.XLOOKUP(TEXT(A62, "mmm-yy"), TEXT([2]GASOLINE!$B$5:$B$208, "mmm-yy"), [2]GASOLINE!$IK$5:$IK$208, "Not Found")</f>
        <v>0</v>
      </c>
      <c r="L62">
        <f t="shared" si="0"/>
        <v>0</v>
      </c>
      <c r="M62" cm="1">
        <f t="array" ref="M62">_xlfn.XLOOKUP(TEXT(A62, "mmm-yy"), TEXT([2]GASOLINE!$B$5:$B$208, "mmm-yy"), [2]GASOLINE!$C$5:$C$208, "Not Found")</f>
        <v>6228.7395204401164</v>
      </c>
      <c r="N62" cm="1">
        <f t="array" ref="N62">_xlfn.XLOOKUP(TEXT(A62, "mmm-yy"), TEXT([2]RUNS!$B$5:$B$208, "mmm-yy"), [2]RUNS!$BM$5:$BM$208, "Not Found")</f>
        <v>0.78852181874603255</v>
      </c>
    </row>
    <row r="63" spans="1:14" x14ac:dyDescent="0.25">
      <c r="A63" s="1">
        <f>'[1]Global_Spot Prices'!$B1372</f>
        <v>42090</v>
      </c>
      <c r="B63">
        <f>_xlfn.XLOOKUP(A63,'[1]Global_Spot Prices'!$B:$B,'[1]Global_Spot Prices'!$BS:$BS)</f>
        <v>17.07</v>
      </c>
      <c r="C63">
        <f>_xlfn.XLOOKUP(A63,'[1]Global_Spot Prices'!$B:$B,'[1]Global_Spot Prices'!$E:$E)</f>
        <v>54.79</v>
      </c>
      <c r="D63">
        <f>_xlfn.XLOOKUP(A63,'[1]Global_Spot Prices'!$B:$B,'[1]Global_Spot Prices'!$D:$D)</f>
        <v>56.625</v>
      </c>
      <c r="E63">
        <f>_xlfn.XLOOKUP(A63,'[1]Global_Spot Prices'!$B:$B,'[1]Global_Spot Prices'!$H:$H)</f>
        <v>59.81</v>
      </c>
      <c r="F63">
        <f>_xlfn.XLOOKUP(A63,'[1]Global_Spot Prices'!$B:$B,'[1]Global_Spot Prices'!$I:$I)</f>
        <v>71.86</v>
      </c>
      <c r="G63" cm="1">
        <f t="array" ref="G63">_xlfn.XLOOKUP(TEXT(A63, "mmm-yy"), TEXT([2]RUNS!$B$5:$B$208, "mmm-yy"), [2]RUNS!$D$5:$D$208, "Not Found")</f>
        <v>26676.797058724525</v>
      </c>
      <c r="H63" cm="1">
        <f t="array" ref="H63">SUMPRODUCT(
    --(TEXT('[3]Global Weekly Stock (EWSuez'!$B$4:$B$2000,"mmm-yy")=TEXT(A63,"mmm-yy")),
    '[3]Global Weekly Stock (EWSuez'!$E$4:$E$2000)
/
SUMPRODUCT(
    --(TEXT('[3]Global Weekly Stock (EWSuez'!$B$4:$B$2000,"mmm-yy")=TEXT(A63,"mmm-yy"))
)</f>
        <v>12619</v>
      </c>
      <c r="I63">
        <f>_xlfn.XLOOKUP(A63,[1]ForwardDeriv!$D:$D,[1]ForwardDeriv!$AJ:$AJ)</f>
        <v>1.5999999999999943</v>
      </c>
      <c r="J63" cm="1">
        <f t="array" ref="J63">_xlfn.XLOOKUP(TEXT(A63, "mmm-yy"), TEXT([2]GASOLINE!$B$5:$B$208, "mmm-yy"), [2]GASOLINE!$IR$5:$IR$208, "Not Found")</f>
        <v>-25.161444746970261</v>
      </c>
      <c r="K63" cm="1">
        <f t="array" ref="K63">_xlfn.XLOOKUP(TEXT(A63, "mmm-yy"), TEXT([2]GASOLINE!$B$5:$B$208, "mmm-yy"), [2]GASOLINE!$IK$5:$IK$208, "Not Found")</f>
        <v>0</v>
      </c>
      <c r="L63">
        <f t="shared" si="0"/>
        <v>0</v>
      </c>
      <c r="M63" cm="1">
        <f t="array" ref="M63">_xlfn.XLOOKUP(TEXT(A63, "mmm-yy"), TEXT([2]GASOLINE!$B$5:$B$208, "mmm-yy"), [2]GASOLINE!$C$5:$C$208, "Not Found")</f>
        <v>6228.7395204401164</v>
      </c>
      <c r="N63" cm="1">
        <f t="array" ref="N63">_xlfn.XLOOKUP(TEXT(A63, "mmm-yy"), TEXT([2]RUNS!$B$5:$B$208, "mmm-yy"), [2]RUNS!$BM$5:$BM$208, "Not Found")</f>
        <v>0.78852181874603255</v>
      </c>
    </row>
    <row r="64" spans="1:14" x14ac:dyDescent="0.25">
      <c r="A64" s="1">
        <f>'[1]Global_Spot Prices'!$B1373</f>
        <v>42093</v>
      </c>
      <c r="B64">
        <f>_xlfn.XLOOKUP(A64,'[1]Global_Spot Prices'!$B:$B,'[1]Global_Spot Prices'!$BS:$BS)</f>
        <v>16.049999999999997</v>
      </c>
      <c r="C64">
        <f>_xlfn.XLOOKUP(A64,'[1]Global_Spot Prices'!$B:$B,'[1]Global_Spot Prices'!$E:$E)</f>
        <v>53.19</v>
      </c>
      <c r="D64">
        <f>_xlfn.XLOOKUP(A64,'[1]Global_Spot Prices'!$B:$B,'[1]Global_Spot Prices'!$D:$D)</f>
        <v>54.354999999999997</v>
      </c>
      <c r="E64">
        <f>_xlfn.XLOOKUP(A64,'[1]Global_Spot Prices'!$B:$B,'[1]Global_Spot Prices'!$H:$H)</f>
        <v>57.73</v>
      </c>
      <c r="F64">
        <f>_xlfn.XLOOKUP(A64,'[1]Global_Spot Prices'!$B:$B,'[1]Global_Spot Prices'!$I:$I)</f>
        <v>69.239999999999995</v>
      </c>
      <c r="G64" cm="1">
        <f t="array" ref="G64">_xlfn.XLOOKUP(TEXT(A64, "mmm-yy"), TEXT([2]RUNS!$B$5:$B$208, "mmm-yy"), [2]RUNS!$D$5:$D$208, "Not Found")</f>
        <v>26676.797058724525</v>
      </c>
      <c r="H64" cm="1">
        <f t="array" ref="H64">SUMPRODUCT(
    --(TEXT('[3]Global Weekly Stock (EWSuez'!$B$4:$B$2000,"mmm-yy")=TEXT(A64,"mmm-yy")),
    '[3]Global Weekly Stock (EWSuez'!$E$4:$E$2000)
/
SUMPRODUCT(
    --(TEXT('[3]Global Weekly Stock (EWSuez'!$B$4:$B$2000,"mmm-yy")=TEXT(A64,"mmm-yy"))
)</f>
        <v>12619</v>
      </c>
      <c r="I64">
        <f>_xlfn.XLOOKUP(A64,[1]ForwardDeriv!$D:$D,[1]ForwardDeriv!$AJ:$AJ)</f>
        <v>1.480000000000004</v>
      </c>
      <c r="J64" cm="1">
        <f t="array" ref="J64">_xlfn.XLOOKUP(TEXT(A64, "mmm-yy"), TEXT([2]GASOLINE!$B$5:$B$208, "mmm-yy"), [2]GASOLINE!$IR$5:$IR$208, "Not Found")</f>
        <v>-25.161444746970261</v>
      </c>
      <c r="K64" cm="1">
        <f t="array" ref="K64">_xlfn.XLOOKUP(TEXT(A64, "mmm-yy"), TEXT([2]GASOLINE!$B$5:$B$208, "mmm-yy"), [2]GASOLINE!$IK$5:$IK$208, "Not Found")</f>
        <v>0</v>
      </c>
      <c r="L64">
        <f t="shared" si="0"/>
        <v>0</v>
      </c>
      <c r="M64" cm="1">
        <f t="array" ref="M64">_xlfn.XLOOKUP(TEXT(A64, "mmm-yy"), TEXT([2]GASOLINE!$B$5:$B$208, "mmm-yy"), [2]GASOLINE!$C$5:$C$208, "Not Found")</f>
        <v>6228.7395204401164</v>
      </c>
      <c r="N64" cm="1">
        <f t="array" ref="N64">_xlfn.XLOOKUP(TEXT(A64, "mmm-yy"), TEXT([2]RUNS!$B$5:$B$208, "mmm-yy"), [2]RUNS!$BM$5:$BM$208, "Not Found")</f>
        <v>0.78852181874603255</v>
      </c>
    </row>
    <row r="65" spans="1:14" x14ac:dyDescent="0.25">
      <c r="A65" s="1">
        <f>'[1]Global_Spot Prices'!$B1374</f>
        <v>42094</v>
      </c>
      <c r="B65">
        <f>_xlfn.XLOOKUP(A65,'[1]Global_Spot Prices'!$B:$B,'[1]Global_Spot Prices'!$BS:$BS)</f>
        <v>14.259999999999998</v>
      </c>
      <c r="C65">
        <f>_xlfn.XLOOKUP(A65,'[1]Global_Spot Prices'!$B:$B,'[1]Global_Spot Prices'!$E:$E)</f>
        <v>53.4</v>
      </c>
      <c r="D65">
        <f>_xlfn.XLOOKUP(A65,'[1]Global_Spot Prices'!$B:$B,'[1]Global_Spot Prices'!$D:$D)</f>
        <v>53.984999999999999</v>
      </c>
      <c r="E65">
        <f>_xlfn.XLOOKUP(A65,'[1]Global_Spot Prices'!$B:$B,'[1]Global_Spot Prices'!$H:$H)</f>
        <v>57.06</v>
      </c>
      <c r="F65">
        <f>_xlfn.XLOOKUP(A65,'[1]Global_Spot Prices'!$B:$B,'[1]Global_Spot Prices'!$I:$I)</f>
        <v>67.66</v>
      </c>
      <c r="G65" cm="1">
        <f t="array" ref="G65">_xlfn.XLOOKUP(TEXT(A65, "mmm-yy"), TEXT([2]RUNS!$B$5:$B$208, "mmm-yy"), [2]RUNS!$D$5:$D$208, "Not Found")</f>
        <v>26676.797058724525</v>
      </c>
      <c r="H65" cm="1">
        <f t="array" ref="H65">SUMPRODUCT(
    --(TEXT('[3]Global Weekly Stock (EWSuez'!$B$4:$B$2000,"mmm-yy")=TEXT(A65,"mmm-yy")),
    '[3]Global Weekly Stock (EWSuez'!$E$4:$E$2000)
/
SUMPRODUCT(
    --(TEXT('[3]Global Weekly Stock (EWSuez'!$B$4:$B$2000,"mmm-yy")=TEXT(A65,"mmm-yy"))
)</f>
        <v>12619</v>
      </c>
      <c r="I65">
        <f>_xlfn.XLOOKUP(A65,[1]ForwardDeriv!$D:$D,[1]ForwardDeriv!$AJ:$AJ)</f>
        <v>1.3999999999999915</v>
      </c>
      <c r="J65" cm="1">
        <f t="array" ref="J65">_xlfn.XLOOKUP(TEXT(A65, "mmm-yy"), TEXT([2]GASOLINE!$B$5:$B$208, "mmm-yy"), [2]GASOLINE!$IR$5:$IR$208, "Not Found")</f>
        <v>-25.161444746970261</v>
      </c>
      <c r="K65" cm="1">
        <f t="array" ref="K65">_xlfn.XLOOKUP(TEXT(A65, "mmm-yy"), TEXT([2]GASOLINE!$B$5:$B$208, "mmm-yy"), [2]GASOLINE!$IK$5:$IK$208, "Not Found")</f>
        <v>0</v>
      </c>
      <c r="L65">
        <f t="shared" si="0"/>
        <v>0</v>
      </c>
      <c r="M65" cm="1">
        <f t="array" ref="M65">_xlfn.XLOOKUP(TEXT(A65, "mmm-yy"), TEXT([2]GASOLINE!$B$5:$B$208, "mmm-yy"), [2]GASOLINE!$C$5:$C$208, "Not Found")</f>
        <v>6228.7395204401164</v>
      </c>
      <c r="N65" cm="1">
        <f t="array" ref="N65">_xlfn.XLOOKUP(TEXT(A65, "mmm-yy"), TEXT([2]RUNS!$B$5:$B$208, "mmm-yy"), [2]RUNS!$BM$5:$BM$208, "Not Found")</f>
        <v>0.78852181874603255</v>
      </c>
    </row>
    <row r="66" spans="1:14" x14ac:dyDescent="0.25">
      <c r="A66" s="1">
        <f>'[1]Global_Spot Prices'!$B1375</f>
        <v>42095</v>
      </c>
      <c r="B66">
        <f>_xlfn.XLOOKUP(A66,'[1]Global_Spot Prices'!$B:$B,'[1]Global_Spot Prices'!$BS:$BS)</f>
        <v>13.760000000000005</v>
      </c>
      <c r="C66">
        <f>_xlfn.XLOOKUP(A66,'[1]Global_Spot Prices'!$B:$B,'[1]Global_Spot Prices'!$E:$E)</f>
        <v>53.39</v>
      </c>
      <c r="D66">
        <f>_xlfn.XLOOKUP(A66,'[1]Global_Spot Prices'!$B:$B,'[1]Global_Spot Prices'!$D:$D)</f>
        <v>55.57</v>
      </c>
      <c r="E66">
        <f>_xlfn.XLOOKUP(A66,'[1]Global_Spot Prices'!$B:$B,'[1]Global_Spot Prices'!$H:$H)</f>
        <v>56.2</v>
      </c>
      <c r="F66">
        <f>_xlfn.XLOOKUP(A66,'[1]Global_Spot Prices'!$B:$B,'[1]Global_Spot Prices'!$I:$I)</f>
        <v>67.150000000000006</v>
      </c>
      <c r="G66" cm="1">
        <f t="array" ref="G66">_xlfn.XLOOKUP(TEXT(A66, "mmm-yy"), TEXT([2]RUNS!$B$5:$B$208, "mmm-yy"), [2]RUNS!$D$5:$D$208, "Not Found")</f>
        <v>26226.237438061486</v>
      </c>
      <c r="H66" cm="1">
        <f t="array" ref="H66">SUMPRODUCT(
    --(TEXT('[3]Global Weekly Stock (EWSuez'!$B$4:$B$2000,"mmm-yy")=TEXT(A66,"mmm-yy")),
    '[3]Global Weekly Stock (EWSuez'!$E$4:$E$2000)
/
SUMPRODUCT(
    --(TEXT('[3]Global Weekly Stock (EWSuez'!$B$4:$B$2000,"mmm-yy")=TEXT(A66,"mmm-yy"))
)</f>
        <v>13068.75</v>
      </c>
      <c r="I66">
        <f>_xlfn.XLOOKUP(A66,[1]ForwardDeriv!$D:$D,[1]ForwardDeriv!$AJ:$AJ)</f>
        <v>0.56000000000000227</v>
      </c>
      <c r="J66" cm="1">
        <f t="array" ref="J66">_xlfn.XLOOKUP(TEXT(A66, "mmm-yy"), TEXT([2]GASOLINE!$B$5:$B$208, "mmm-yy"), [2]GASOLINE!$IR$5:$IR$208, "Not Found")</f>
        <v>-82.304223354574418</v>
      </c>
      <c r="K66" cm="1">
        <f t="array" ref="K66">_xlfn.XLOOKUP(TEXT(A66, "mmm-yy"), TEXT([2]GASOLINE!$B$5:$B$208, "mmm-yy"), [2]GASOLINE!$IK$5:$IK$208, "Not Found")</f>
        <v>0</v>
      </c>
      <c r="L66">
        <f t="shared" si="0"/>
        <v>0</v>
      </c>
      <c r="M66" cm="1">
        <f t="array" ref="M66">_xlfn.XLOOKUP(TEXT(A66, "mmm-yy"), TEXT([2]GASOLINE!$B$5:$B$208, "mmm-yy"), [2]GASOLINE!$C$5:$C$208, "Not Found")</f>
        <v>6378.180781638077</v>
      </c>
      <c r="N66" cm="1">
        <f t="array" ref="N66">_xlfn.XLOOKUP(TEXT(A66, "mmm-yy"), TEXT([2]RUNS!$B$5:$B$208, "mmm-yy"), [2]RUNS!$BM$5:$BM$208, "Not Found")</f>
        <v>0.77734087680688724</v>
      </c>
    </row>
    <row r="67" spans="1:14" x14ac:dyDescent="0.25">
      <c r="A67" s="1">
        <f>'[1]Global_Spot Prices'!$B1376</f>
        <v>42096</v>
      </c>
      <c r="B67">
        <f>_xlfn.XLOOKUP(A67,'[1]Global_Spot Prices'!$B:$B,'[1]Global_Spot Prices'!$BS:$BS)</f>
        <v>13.54</v>
      </c>
      <c r="C67">
        <f>_xlfn.XLOOKUP(A67,'[1]Global_Spot Prices'!$B:$B,'[1]Global_Spot Prices'!$E:$E)</f>
        <v>54.9</v>
      </c>
      <c r="D67">
        <f>_xlfn.XLOOKUP(A67,'[1]Global_Spot Prices'!$B:$B,'[1]Global_Spot Prices'!$D:$D)</f>
        <v>54.18</v>
      </c>
      <c r="E67">
        <f>_xlfn.XLOOKUP(A67,'[1]Global_Spot Prices'!$B:$B,'[1]Global_Spot Prices'!$H:$H)</f>
        <v>57.29</v>
      </c>
      <c r="F67">
        <f>_xlfn.XLOOKUP(A67,'[1]Global_Spot Prices'!$B:$B,'[1]Global_Spot Prices'!$I:$I)</f>
        <v>68.44</v>
      </c>
      <c r="G67" cm="1">
        <f t="array" ref="G67">_xlfn.XLOOKUP(TEXT(A67, "mmm-yy"), TEXT([2]RUNS!$B$5:$B$208, "mmm-yy"), [2]RUNS!$D$5:$D$208, "Not Found")</f>
        <v>26226.237438061486</v>
      </c>
      <c r="H67" cm="1">
        <f t="array" ref="H67">SUMPRODUCT(
    --(TEXT('[3]Global Weekly Stock (EWSuez'!$B$4:$B$2000,"mmm-yy")=TEXT(A67,"mmm-yy")),
    '[3]Global Weekly Stock (EWSuez'!$E$4:$E$2000)
/
SUMPRODUCT(
    --(TEXT('[3]Global Weekly Stock (EWSuez'!$B$4:$B$2000,"mmm-yy")=TEXT(A67,"mmm-yy"))
)</f>
        <v>13068.75</v>
      </c>
      <c r="I67">
        <f>_xlfn.XLOOKUP(A67,[1]ForwardDeriv!$D:$D,[1]ForwardDeriv!$AJ:$AJ)</f>
        <v>0.65000000000000568</v>
      </c>
      <c r="J67" cm="1">
        <f t="array" ref="J67">_xlfn.XLOOKUP(TEXT(A67, "mmm-yy"), TEXT([2]GASOLINE!$B$5:$B$208, "mmm-yy"), [2]GASOLINE!$IR$5:$IR$208, "Not Found")</f>
        <v>-82.304223354574418</v>
      </c>
      <c r="K67" cm="1">
        <f t="array" ref="K67">_xlfn.XLOOKUP(TEXT(A67, "mmm-yy"), TEXT([2]GASOLINE!$B$5:$B$208, "mmm-yy"), [2]GASOLINE!$IK$5:$IK$208, "Not Found")</f>
        <v>0</v>
      </c>
      <c r="L67">
        <f t="shared" ref="L67:L130" si="1">IF(OR(MONTH(A67)=6, MONTH(A67)=7, MONTH(A67)=8, MONTH(A67)=9), 1, 0)</f>
        <v>0</v>
      </c>
      <c r="M67" cm="1">
        <f t="array" ref="M67">_xlfn.XLOOKUP(TEXT(A67, "mmm-yy"), TEXT([2]GASOLINE!$B$5:$B$208, "mmm-yy"), [2]GASOLINE!$C$5:$C$208, "Not Found")</f>
        <v>6378.180781638077</v>
      </c>
      <c r="N67" cm="1">
        <f t="array" ref="N67">_xlfn.XLOOKUP(TEXT(A67, "mmm-yy"), TEXT([2]RUNS!$B$5:$B$208, "mmm-yy"), [2]RUNS!$BM$5:$BM$208, "Not Found")</f>
        <v>0.77734087680688724</v>
      </c>
    </row>
    <row r="68" spans="1:14" x14ac:dyDescent="0.25">
      <c r="A68" s="1">
        <f>'[1]Global_Spot Prices'!$B1377</f>
        <v>42097</v>
      </c>
      <c r="B68" t="e">
        <f>_xlfn.XLOOKUP(A68,'[1]Global_Spot Prices'!$B:$B,'[1]Global_Spot Prices'!$BS:$BS)</f>
        <v>#N/A</v>
      </c>
      <c r="C68" t="str">
        <f>_xlfn.XLOOKUP(A68,'[1]Global_Spot Prices'!$B:$B,'[1]Global_Spot Prices'!$E:$E)</f>
        <v/>
      </c>
      <c r="D68" t="str">
        <f>_xlfn.XLOOKUP(A68,'[1]Global_Spot Prices'!$B:$B,'[1]Global_Spot Prices'!$D:$D)</f>
        <v/>
      </c>
      <c r="E68">
        <f>_xlfn.XLOOKUP(A68,'[1]Global_Spot Prices'!$B:$B,'[1]Global_Spot Prices'!$H:$H)</f>
        <v>0</v>
      </c>
      <c r="F68">
        <f>_xlfn.XLOOKUP(A68,'[1]Global_Spot Prices'!$B:$B,'[1]Global_Spot Prices'!$I:$I)</f>
        <v>0</v>
      </c>
      <c r="G68" cm="1">
        <f t="array" ref="G68">_xlfn.XLOOKUP(TEXT(A68, "mmm-yy"), TEXT([2]RUNS!$B$5:$B$208, "mmm-yy"), [2]RUNS!$D$5:$D$208, "Not Found")</f>
        <v>26226.237438061486</v>
      </c>
      <c r="H68" cm="1">
        <f t="array" ref="H68">SUMPRODUCT(
    --(TEXT('[3]Global Weekly Stock (EWSuez'!$B$4:$B$2000,"mmm-yy")=TEXT(A68,"mmm-yy")),
    '[3]Global Weekly Stock (EWSuez'!$E$4:$E$2000)
/
SUMPRODUCT(
    --(TEXT('[3]Global Weekly Stock (EWSuez'!$B$4:$B$2000,"mmm-yy")=TEXT(A68,"mmm-yy"))
)</f>
        <v>13068.75</v>
      </c>
      <c r="I68">
        <f>_xlfn.XLOOKUP(A68,[1]ForwardDeriv!$D:$D,[1]ForwardDeriv!$AJ:$AJ)</f>
        <v>0.65000000000000568</v>
      </c>
      <c r="J68" cm="1">
        <f t="array" ref="J68">_xlfn.XLOOKUP(TEXT(A68, "mmm-yy"), TEXT([2]GASOLINE!$B$5:$B$208, "mmm-yy"), [2]GASOLINE!$IR$5:$IR$208, "Not Found")</f>
        <v>-82.304223354574418</v>
      </c>
      <c r="K68" cm="1">
        <f t="array" ref="K68">_xlfn.XLOOKUP(TEXT(A68, "mmm-yy"), TEXT([2]GASOLINE!$B$5:$B$208, "mmm-yy"), [2]GASOLINE!$IK$5:$IK$208, "Not Found")</f>
        <v>0</v>
      </c>
      <c r="L68">
        <f t="shared" si="1"/>
        <v>0</v>
      </c>
      <c r="M68" cm="1">
        <f t="array" ref="M68">_xlfn.XLOOKUP(TEXT(A68, "mmm-yy"), TEXT([2]GASOLINE!$B$5:$B$208, "mmm-yy"), [2]GASOLINE!$C$5:$C$208, "Not Found")</f>
        <v>6378.180781638077</v>
      </c>
      <c r="N68" cm="1">
        <f t="array" ref="N68">_xlfn.XLOOKUP(TEXT(A68, "mmm-yy"), TEXT([2]RUNS!$B$5:$B$208, "mmm-yy"), [2]RUNS!$BM$5:$BM$208, "Not Found")</f>
        <v>0.77734087680688724</v>
      </c>
    </row>
    <row r="69" spans="1:14" x14ac:dyDescent="0.25">
      <c r="A69" s="1">
        <f>'[1]Global_Spot Prices'!$B1378</f>
        <v>42100</v>
      </c>
      <c r="B69">
        <f>_xlfn.XLOOKUP(A69,'[1]Global_Spot Prices'!$B:$B,'[1]Global_Spot Prices'!$BS:$BS)</f>
        <v>12.310000000000002</v>
      </c>
      <c r="C69">
        <f>_xlfn.XLOOKUP(A69,'[1]Global_Spot Prices'!$B:$B,'[1]Global_Spot Prices'!$E:$E)</f>
        <v>54.64</v>
      </c>
      <c r="D69" t="str">
        <f>_xlfn.XLOOKUP(A69,'[1]Global_Spot Prices'!$B:$B,'[1]Global_Spot Prices'!$D:$D)</f>
        <v/>
      </c>
      <c r="E69">
        <f>_xlfn.XLOOKUP(A69,'[1]Global_Spot Prices'!$B:$B,'[1]Global_Spot Prices'!$H:$H)</f>
        <v>56.04</v>
      </c>
      <c r="F69">
        <f>_xlfn.XLOOKUP(A69,'[1]Global_Spot Prices'!$B:$B,'[1]Global_Spot Prices'!$I:$I)</f>
        <v>66.95</v>
      </c>
      <c r="G69" cm="1">
        <f t="array" ref="G69">_xlfn.XLOOKUP(TEXT(A69, "mmm-yy"), TEXT([2]RUNS!$B$5:$B$208, "mmm-yy"), [2]RUNS!$D$5:$D$208, "Not Found")</f>
        <v>26226.237438061486</v>
      </c>
      <c r="H69" cm="1">
        <f t="array" ref="H69">SUMPRODUCT(
    --(TEXT('[3]Global Weekly Stock (EWSuez'!$B$4:$B$2000,"mmm-yy")=TEXT(A69,"mmm-yy")),
    '[3]Global Weekly Stock (EWSuez'!$E$4:$E$2000)
/
SUMPRODUCT(
    --(TEXT('[3]Global Weekly Stock (EWSuez'!$B$4:$B$2000,"mmm-yy")=TEXT(A69,"mmm-yy"))
)</f>
        <v>13068.75</v>
      </c>
      <c r="I69">
        <f>_xlfn.XLOOKUP(A69,[1]ForwardDeriv!$D:$D,[1]ForwardDeriv!$AJ:$AJ)</f>
        <v>0.65000000000000568</v>
      </c>
      <c r="J69" cm="1">
        <f t="array" ref="J69">_xlfn.XLOOKUP(TEXT(A69, "mmm-yy"), TEXT([2]GASOLINE!$B$5:$B$208, "mmm-yy"), [2]GASOLINE!$IR$5:$IR$208, "Not Found")</f>
        <v>-82.304223354574418</v>
      </c>
      <c r="K69" cm="1">
        <f t="array" ref="K69">_xlfn.XLOOKUP(TEXT(A69, "mmm-yy"), TEXT([2]GASOLINE!$B$5:$B$208, "mmm-yy"), [2]GASOLINE!$IK$5:$IK$208, "Not Found")</f>
        <v>0</v>
      </c>
      <c r="L69">
        <f t="shared" si="1"/>
        <v>0</v>
      </c>
      <c r="M69" cm="1">
        <f t="array" ref="M69">_xlfn.XLOOKUP(TEXT(A69, "mmm-yy"), TEXT([2]GASOLINE!$B$5:$B$208, "mmm-yy"), [2]GASOLINE!$C$5:$C$208, "Not Found")</f>
        <v>6378.180781638077</v>
      </c>
      <c r="N69" cm="1">
        <f t="array" ref="N69">_xlfn.XLOOKUP(TEXT(A69, "mmm-yy"), TEXT([2]RUNS!$B$5:$B$208, "mmm-yy"), [2]RUNS!$BM$5:$BM$208, "Not Found")</f>
        <v>0.77734087680688724</v>
      </c>
    </row>
    <row r="70" spans="1:14" x14ac:dyDescent="0.25">
      <c r="A70" s="1">
        <f>'[1]Global_Spot Prices'!$B1379</f>
        <v>42101</v>
      </c>
      <c r="B70">
        <f>_xlfn.XLOOKUP(A70,'[1]Global_Spot Prices'!$B:$B,'[1]Global_Spot Prices'!$BS:$BS)</f>
        <v>13.409999999999997</v>
      </c>
      <c r="C70">
        <f>_xlfn.XLOOKUP(A70,'[1]Global_Spot Prices'!$B:$B,'[1]Global_Spot Prices'!$E:$E)</f>
        <v>55.3</v>
      </c>
      <c r="D70">
        <f>_xlfn.XLOOKUP(A70,'[1]Global_Spot Prices'!$B:$B,'[1]Global_Spot Prices'!$D:$D)</f>
        <v>57.555</v>
      </c>
      <c r="E70">
        <f>_xlfn.XLOOKUP(A70,'[1]Global_Spot Prices'!$B:$B,'[1]Global_Spot Prices'!$H:$H)</f>
        <v>57.43</v>
      </c>
      <c r="F70">
        <f>_xlfn.XLOOKUP(A70,'[1]Global_Spot Prices'!$B:$B,'[1]Global_Spot Prices'!$I:$I)</f>
        <v>68.709999999999994</v>
      </c>
      <c r="G70" cm="1">
        <f t="array" ref="G70">_xlfn.XLOOKUP(TEXT(A70, "mmm-yy"), TEXT([2]RUNS!$B$5:$B$208, "mmm-yy"), [2]RUNS!$D$5:$D$208, "Not Found")</f>
        <v>26226.237438061486</v>
      </c>
      <c r="H70" cm="1">
        <f t="array" ref="H70">SUMPRODUCT(
    --(TEXT('[3]Global Weekly Stock (EWSuez'!$B$4:$B$2000,"mmm-yy")=TEXT(A70,"mmm-yy")),
    '[3]Global Weekly Stock (EWSuez'!$E$4:$E$2000)
/
SUMPRODUCT(
    --(TEXT('[3]Global Weekly Stock (EWSuez'!$B$4:$B$2000,"mmm-yy")=TEXT(A70,"mmm-yy"))
)</f>
        <v>13068.75</v>
      </c>
      <c r="I70">
        <f>_xlfn.XLOOKUP(A70,[1]ForwardDeriv!$D:$D,[1]ForwardDeriv!$AJ:$AJ)</f>
        <v>0.64999999999999147</v>
      </c>
      <c r="J70" cm="1">
        <f t="array" ref="J70">_xlfn.XLOOKUP(TEXT(A70, "mmm-yy"), TEXT([2]GASOLINE!$B$5:$B$208, "mmm-yy"), [2]GASOLINE!$IR$5:$IR$208, "Not Found")</f>
        <v>-82.304223354574418</v>
      </c>
      <c r="K70" cm="1">
        <f t="array" ref="K70">_xlfn.XLOOKUP(TEXT(A70, "mmm-yy"), TEXT([2]GASOLINE!$B$5:$B$208, "mmm-yy"), [2]GASOLINE!$IK$5:$IK$208, "Not Found")</f>
        <v>0</v>
      </c>
      <c r="L70">
        <f t="shared" si="1"/>
        <v>0</v>
      </c>
      <c r="M70" cm="1">
        <f t="array" ref="M70">_xlfn.XLOOKUP(TEXT(A70, "mmm-yy"), TEXT([2]GASOLINE!$B$5:$B$208, "mmm-yy"), [2]GASOLINE!$C$5:$C$208, "Not Found")</f>
        <v>6378.180781638077</v>
      </c>
      <c r="N70" cm="1">
        <f t="array" ref="N70">_xlfn.XLOOKUP(TEXT(A70, "mmm-yy"), TEXT([2]RUNS!$B$5:$B$208, "mmm-yy"), [2]RUNS!$BM$5:$BM$208, "Not Found")</f>
        <v>0.77734087680688724</v>
      </c>
    </row>
    <row r="71" spans="1:14" x14ac:dyDescent="0.25">
      <c r="A71" s="1">
        <f>'[1]Global_Spot Prices'!$B1380</f>
        <v>42102</v>
      </c>
      <c r="B71">
        <f>_xlfn.XLOOKUP(A71,'[1]Global_Spot Prices'!$B:$B,'[1]Global_Spot Prices'!$BS:$BS)</f>
        <v>13.450000000000003</v>
      </c>
      <c r="C71">
        <f>_xlfn.XLOOKUP(A71,'[1]Global_Spot Prices'!$B:$B,'[1]Global_Spot Prices'!$E:$E)</f>
        <v>56.09</v>
      </c>
      <c r="D71">
        <f>_xlfn.XLOOKUP(A71,'[1]Global_Spot Prices'!$B:$B,'[1]Global_Spot Prices'!$D:$D)</f>
        <v>56.435000000000002</v>
      </c>
      <c r="E71">
        <f>_xlfn.XLOOKUP(A71,'[1]Global_Spot Prices'!$B:$B,'[1]Global_Spot Prices'!$H:$H)</f>
        <v>57.05</v>
      </c>
      <c r="F71">
        <f>_xlfn.XLOOKUP(A71,'[1]Global_Spot Prices'!$B:$B,'[1]Global_Spot Prices'!$I:$I)</f>
        <v>69.540000000000006</v>
      </c>
      <c r="G71" cm="1">
        <f t="array" ref="G71">_xlfn.XLOOKUP(TEXT(A71, "mmm-yy"), TEXT([2]RUNS!$B$5:$B$208, "mmm-yy"), [2]RUNS!$D$5:$D$208, "Not Found")</f>
        <v>26226.237438061486</v>
      </c>
      <c r="H71" cm="1">
        <f t="array" ref="H71">SUMPRODUCT(
    --(TEXT('[3]Global Weekly Stock (EWSuez'!$B$4:$B$2000,"mmm-yy")=TEXT(A71,"mmm-yy")),
    '[3]Global Weekly Stock (EWSuez'!$E$4:$E$2000)
/
SUMPRODUCT(
    --(TEXT('[3]Global Weekly Stock (EWSuez'!$B$4:$B$2000,"mmm-yy")=TEXT(A71,"mmm-yy"))
)</f>
        <v>13068.75</v>
      </c>
      <c r="I71">
        <f>_xlfn.XLOOKUP(A71,[1]ForwardDeriv!$D:$D,[1]ForwardDeriv!$AJ:$AJ)</f>
        <v>0.59999999999999432</v>
      </c>
      <c r="J71" cm="1">
        <f t="array" ref="J71">_xlfn.XLOOKUP(TEXT(A71, "mmm-yy"), TEXT([2]GASOLINE!$B$5:$B$208, "mmm-yy"), [2]GASOLINE!$IR$5:$IR$208, "Not Found")</f>
        <v>-82.304223354574418</v>
      </c>
      <c r="K71" cm="1">
        <f t="array" ref="K71">_xlfn.XLOOKUP(TEXT(A71, "mmm-yy"), TEXT([2]GASOLINE!$B$5:$B$208, "mmm-yy"), [2]GASOLINE!$IK$5:$IK$208, "Not Found")</f>
        <v>0</v>
      </c>
      <c r="L71">
        <f t="shared" si="1"/>
        <v>0</v>
      </c>
      <c r="M71" cm="1">
        <f t="array" ref="M71">_xlfn.XLOOKUP(TEXT(A71, "mmm-yy"), TEXT([2]GASOLINE!$B$5:$B$208, "mmm-yy"), [2]GASOLINE!$C$5:$C$208, "Not Found")</f>
        <v>6378.180781638077</v>
      </c>
      <c r="N71" cm="1">
        <f t="array" ref="N71">_xlfn.XLOOKUP(TEXT(A71, "mmm-yy"), TEXT([2]RUNS!$B$5:$B$208, "mmm-yy"), [2]RUNS!$BM$5:$BM$208, "Not Found")</f>
        <v>0.77734087680688724</v>
      </c>
    </row>
    <row r="72" spans="1:14" x14ac:dyDescent="0.25">
      <c r="A72" s="1">
        <f>'[1]Global_Spot Prices'!$B1381</f>
        <v>42103</v>
      </c>
      <c r="B72">
        <f>_xlfn.XLOOKUP(A72,'[1]Global_Spot Prices'!$B:$B,'[1]Global_Spot Prices'!$BS:$BS)</f>
        <v>11.400000000000006</v>
      </c>
      <c r="C72">
        <f>_xlfn.XLOOKUP(A72,'[1]Global_Spot Prices'!$B:$B,'[1]Global_Spot Prices'!$E:$E)</f>
        <v>54.8</v>
      </c>
      <c r="D72">
        <f>_xlfn.XLOOKUP(A72,'[1]Global_Spot Prices'!$B:$B,'[1]Global_Spot Prices'!$D:$D)</f>
        <v>56.06</v>
      </c>
      <c r="E72">
        <f>_xlfn.XLOOKUP(A72,'[1]Global_Spot Prices'!$B:$B,'[1]Global_Spot Prices'!$H:$H)</f>
        <v>55.63</v>
      </c>
      <c r="F72">
        <f>_xlfn.XLOOKUP(A72,'[1]Global_Spot Prices'!$B:$B,'[1]Global_Spot Prices'!$I:$I)</f>
        <v>66.2</v>
      </c>
      <c r="G72" cm="1">
        <f t="array" ref="G72">_xlfn.XLOOKUP(TEXT(A72, "mmm-yy"), TEXT([2]RUNS!$B$5:$B$208, "mmm-yy"), [2]RUNS!$D$5:$D$208, "Not Found")</f>
        <v>26226.237438061486</v>
      </c>
      <c r="H72" cm="1">
        <f t="array" ref="H72">SUMPRODUCT(
    --(TEXT('[3]Global Weekly Stock (EWSuez'!$B$4:$B$2000,"mmm-yy")=TEXT(A72,"mmm-yy")),
    '[3]Global Weekly Stock (EWSuez'!$E$4:$E$2000)
/
SUMPRODUCT(
    --(TEXT('[3]Global Weekly Stock (EWSuez'!$B$4:$B$2000,"mmm-yy")=TEXT(A72,"mmm-yy"))
)</f>
        <v>13068.75</v>
      </c>
      <c r="I72">
        <f>_xlfn.XLOOKUP(A72,[1]ForwardDeriv!$D:$D,[1]ForwardDeriv!$AJ:$AJ)</f>
        <v>0.25</v>
      </c>
      <c r="J72" cm="1">
        <f t="array" ref="J72">_xlfn.XLOOKUP(TEXT(A72, "mmm-yy"), TEXT([2]GASOLINE!$B$5:$B$208, "mmm-yy"), [2]GASOLINE!$IR$5:$IR$208, "Not Found")</f>
        <v>-82.304223354574418</v>
      </c>
      <c r="K72" cm="1">
        <f t="array" ref="K72">_xlfn.XLOOKUP(TEXT(A72, "mmm-yy"), TEXT([2]GASOLINE!$B$5:$B$208, "mmm-yy"), [2]GASOLINE!$IK$5:$IK$208, "Not Found")</f>
        <v>0</v>
      </c>
      <c r="L72">
        <f t="shared" si="1"/>
        <v>0</v>
      </c>
      <c r="M72" cm="1">
        <f t="array" ref="M72">_xlfn.XLOOKUP(TEXT(A72, "mmm-yy"), TEXT([2]GASOLINE!$B$5:$B$208, "mmm-yy"), [2]GASOLINE!$C$5:$C$208, "Not Found")</f>
        <v>6378.180781638077</v>
      </c>
      <c r="N72" cm="1">
        <f t="array" ref="N72">_xlfn.XLOOKUP(TEXT(A72, "mmm-yy"), TEXT([2]RUNS!$B$5:$B$208, "mmm-yy"), [2]RUNS!$BM$5:$BM$208, "Not Found")</f>
        <v>0.77734087680688724</v>
      </c>
    </row>
    <row r="73" spans="1:14" x14ac:dyDescent="0.25">
      <c r="A73" s="1">
        <f>'[1]Global_Spot Prices'!$B1382</f>
        <v>42104</v>
      </c>
      <c r="B73">
        <f>_xlfn.XLOOKUP(A73,'[1]Global_Spot Prices'!$B:$B,'[1]Global_Spot Prices'!$BS:$BS)</f>
        <v>12.730000000000004</v>
      </c>
      <c r="C73">
        <f>_xlfn.XLOOKUP(A73,'[1]Global_Spot Prices'!$B:$B,'[1]Global_Spot Prices'!$E:$E)</f>
        <v>54.8</v>
      </c>
      <c r="D73">
        <f>_xlfn.XLOOKUP(A73,'[1]Global_Spot Prices'!$B:$B,'[1]Global_Spot Prices'!$D:$D)</f>
        <v>57.045000000000002</v>
      </c>
      <c r="E73">
        <f>_xlfn.XLOOKUP(A73,'[1]Global_Spot Prices'!$B:$B,'[1]Global_Spot Prices'!$H:$H)</f>
        <v>55.33</v>
      </c>
      <c r="F73">
        <f>_xlfn.XLOOKUP(A73,'[1]Global_Spot Prices'!$B:$B,'[1]Global_Spot Prices'!$I:$I)</f>
        <v>67.53</v>
      </c>
      <c r="G73" cm="1">
        <f t="array" ref="G73">_xlfn.XLOOKUP(TEXT(A73, "mmm-yy"), TEXT([2]RUNS!$B$5:$B$208, "mmm-yy"), [2]RUNS!$D$5:$D$208, "Not Found")</f>
        <v>26226.237438061486</v>
      </c>
      <c r="H73" cm="1">
        <f t="array" ref="H73">SUMPRODUCT(
    --(TEXT('[3]Global Weekly Stock (EWSuez'!$B$4:$B$2000,"mmm-yy")=TEXT(A73,"mmm-yy")),
    '[3]Global Weekly Stock (EWSuez'!$E$4:$E$2000)
/
SUMPRODUCT(
    --(TEXT('[3]Global Weekly Stock (EWSuez'!$B$4:$B$2000,"mmm-yy")=TEXT(A73,"mmm-yy"))
)</f>
        <v>13068.75</v>
      </c>
      <c r="I73">
        <f>_xlfn.XLOOKUP(A73,[1]ForwardDeriv!$D:$D,[1]ForwardDeriv!$AJ:$AJ)</f>
        <v>0.40000000000000568</v>
      </c>
      <c r="J73" cm="1">
        <f t="array" ref="J73">_xlfn.XLOOKUP(TEXT(A73, "mmm-yy"), TEXT([2]GASOLINE!$B$5:$B$208, "mmm-yy"), [2]GASOLINE!$IR$5:$IR$208, "Not Found")</f>
        <v>-82.304223354574418</v>
      </c>
      <c r="K73" cm="1">
        <f t="array" ref="K73">_xlfn.XLOOKUP(TEXT(A73, "mmm-yy"), TEXT([2]GASOLINE!$B$5:$B$208, "mmm-yy"), [2]GASOLINE!$IK$5:$IK$208, "Not Found")</f>
        <v>0</v>
      </c>
      <c r="L73">
        <f t="shared" si="1"/>
        <v>0</v>
      </c>
      <c r="M73" cm="1">
        <f t="array" ref="M73">_xlfn.XLOOKUP(TEXT(A73, "mmm-yy"), TEXT([2]GASOLINE!$B$5:$B$208, "mmm-yy"), [2]GASOLINE!$C$5:$C$208, "Not Found")</f>
        <v>6378.180781638077</v>
      </c>
      <c r="N73" cm="1">
        <f t="array" ref="N73">_xlfn.XLOOKUP(TEXT(A73, "mmm-yy"), TEXT([2]RUNS!$B$5:$B$208, "mmm-yy"), [2]RUNS!$BM$5:$BM$208, "Not Found")</f>
        <v>0.77734087680688724</v>
      </c>
    </row>
    <row r="74" spans="1:14" x14ac:dyDescent="0.25">
      <c r="A74" s="1">
        <f>'[1]Global_Spot Prices'!$B1383</f>
        <v>42107</v>
      </c>
      <c r="B74">
        <f>_xlfn.XLOOKUP(A74,'[1]Global_Spot Prices'!$B:$B,'[1]Global_Spot Prices'!$BS:$BS)</f>
        <v>12.700000000000003</v>
      </c>
      <c r="C74">
        <f>_xlfn.XLOOKUP(A74,'[1]Global_Spot Prices'!$B:$B,'[1]Global_Spot Prices'!$E:$E)</f>
        <v>57.7</v>
      </c>
      <c r="D74">
        <f>_xlfn.XLOOKUP(A74,'[1]Global_Spot Prices'!$B:$B,'[1]Global_Spot Prices'!$D:$D)</f>
        <v>57.13</v>
      </c>
      <c r="E74">
        <f>_xlfn.XLOOKUP(A74,'[1]Global_Spot Prices'!$B:$B,'[1]Global_Spot Prices'!$H:$H)</f>
        <v>58.33</v>
      </c>
      <c r="F74">
        <f>_xlfn.XLOOKUP(A74,'[1]Global_Spot Prices'!$B:$B,'[1]Global_Spot Prices'!$I:$I)</f>
        <v>70.400000000000006</v>
      </c>
      <c r="G74" cm="1">
        <f t="array" ref="G74">_xlfn.XLOOKUP(TEXT(A74, "mmm-yy"), TEXT([2]RUNS!$B$5:$B$208, "mmm-yy"), [2]RUNS!$D$5:$D$208, "Not Found")</f>
        <v>26226.237438061486</v>
      </c>
      <c r="H74" cm="1">
        <f t="array" ref="H74">SUMPRODUCT(
    --(TEXT('[3]Global Weekly Stock (EWSuez'!$B$4:$B$2000,"mmm-yy")=TEXT(A74,"mmm-yy")),
    '[3]Global Weekly Stock (EWSuez'!$E$4:$E$2000)
/
SUMPRODUCT(
    --(TEXT('[3]Global Weekly Stock (EWSuez'!$B$4:$B$2000,"mmm-yy")=TEXT(A74,"mmm-yy"))
)</f>
        <v>13068.75</v>
      </c>
      <c r="I74">
        <f>_xlfn.XLOOKUP(A74,[1]ForwardDeriv!$D:$D,[1]ForwardDeriv!$AJ:$AJ)</f>
        <v>0.45000000000000284</v>
      </c>
      <c r="J74" cm="1">
        <f t="array" ref="J74">_xlfn.XLOOKUP(TEXT(A74, "mmm-yy"), TEXT([2]GASOLINE!$B$5:$B$208, "mmm-yy"), [2]GASOLINE!$IR$5:$IR$208, "Not Found")</f>
        <v>-82.304223354574418</v>
      </c>
      <c r="K74" cm="1">
        <f t="array" ref="K74">_xlfn.XLOOKUP(TEXT(A74, "mmm-yy"), TEXT([2]GASOLINE!$B$5:$B$208, "mmm-yy"), [2]GASOLINE!$IK$5:$IK$208, "Not Found")</f>
        <v>0</v>
      </c>
      <c r="L74">
        <f t="shared" si="1"/>
        <v>0</v>
      </c>
      <c r="M74" cm="1">
        <f t="array" ref="M74">_xlfn.XLOOKUP(TEXT(A74, "mmm-yy"), TEXT([2]GASOLINE!$B$5:$B$208, "mmm-yy"), [2]GASOLINE!$C$5:$C$208, "Not Found")</f>
        <v>6378.180781638077</v>
      </c>
      <c r="N74" cm="1">
        <f t="array" ref="N74">_xlfn.XLOOKUP(TEXT(A74, "mmm-yy"), TEXT([2]RUNS!$B$5:$B$208, "mmm-yy"), [2]RUNS!$BM$5:$BM$208, "Not Found")</f>
        <v>0.77734087680688724</v>
      </c>
    </row>
    <row r="75" spans="1:14" x14ac:dyDescent="0.25">
      <c r="A75" s="1">
        <f>'[1]Global_Spot Prices'!$B1384</f>
        <v>42108</v>
      </c>
      <c r="B75">
        <f>_xlfn.XLOOKUP(A75,'[1]Global_Spot Prices'!$B:$B,'[1]Global_Spot Prices'!$BS:$BS)</f>
        <v>13.46</v>
      </c>
      <c r="C75">
        <f>_xlfn.XLOOKUP(A75,'[1]Global_Spot Prices'!$B:$B,'[1]Global_Spot Prices'!$E:$E)</f>
        <v>57.29</v>
      </c>
      <c r="D75">
        <f>_xlfn.XLOOKUP(A75,'[1]Global_Spot Prices'!$B:$B,'[1]Global_Spot Prices'!$D:$D)</f>
        <v>57.54</v>
      </c>
      <c r="E75">
        <f>_xlfn.XLOOKUP(A75,'[1]Global_Spot Prices'!$B:$B,'[1]Global_Spot Prices'!$H:$H)</f>
        <v>58.3</v>
      </c>
      <c r="F75">
        <f>_xlfn.XLOOKUP(A75,'[1]Global_Spot Prices'!$B:$B,'[1]Global_Spot Prices'!$I:$I)</f>
        <v>70.75</v>
      </c>
      <c r="G75" cm="1">
        <f t="array" ref="G75">_xlfn.XLOOKUP(TEXT(A75, "mmm-yy"), TEXT([2]RUNS!$B$5:$B$208, "mmm-yy"), [2]RUNS!$D$5:$D$208, "Not Found")</f>
        <v>26226.237438061486</v>
      </c>
      <c r="H75" cm="1">
        <f t="array" ref="H75">SUMPRODUCT(
    --(TEXT('[3]Global Weekly Stock (EWSuez'!$B$4:$B$2000,"mmm-yy")=TEXT(A75,"mmm-yy")),
    '[3]Global Weekly Stock (EWSuez'!$E$4:$E$2000)
/
SUMPRODUCT(
    --(TEXT('[3]Global Weekly Stock (EWSuez'!$B$4:$B$2000,"mmm-yy")=TEXT(A75,"mmm-yy"))
)</f>
        <v>13068.75</v>
      </c>
      <c r="I75">
        <f>_xlfn.XLOOKUP(A75,[1]ForwardDeriv!$D:$D,[1]ForwardDeriv!$AJ:$AJ)</f>
        <v>0.59999999999999432</v>
      </c>
      <c r="J75" cm="1">
        <f t="array" ref="J75">_xlfn.XLOOKUP(TEXT(A75, "mmm-yy"), TEXT([2]GASOLINE!$B$5:$B$208, "mmm-yy"), [2]GASOLINE!$IR$5:$IR$208, "Not Found")</f>
        <v>-82.304223354574418</v>
      </c>
      <c r="K75" cm="1">
        <f t="array" ref="K75">_xlfn.XLOOKUP(TEXT(A75, "mmm-yy"), TEXT([2]GASOLINE!$B$5:$B$208, "mmm-yy"), [2]GASOLINE!$IK$5:$IK$208, "Not Found")</f>
        <v>0</v>
      </c>
      <c r="L75">
        <f t="shared" si="1"/>
        <v>0</v>
      </c>
      <c r="M75" cm="1">
        <f t="array" ref="M75">_xlfn.XLOOKUP(TEXT(A75, "mmm-yy"), TEXT([2]GASOLINE!$B$5:$B$208, "mmm-yy"), [2]GASOLINE!$C$5:$C$208, "Not Found")</f>
        <v>6378.180781638077</v>
      </c>
      <c r="N75" cm="1">
        <f t="array" ref="N75">_xlfn.XLOOKUP(TEXT(A75, "mmm-yy"), TEXT([2]RUNS!$B$5:$B$208, "mmm-yy"), [2]RUNS!$BM$5:$BM$208, "Not Found")</f>
        <v>0.77734087680688724</v>
      </c>
    </row>
    <row r="76" spans="1:14" x14ac:dyDescent="0.25">
      <c r="A76" s="1">
        <f>'[1]Global_Spot Prices'!$B1385</f>
        <v>42109</v>
      </c>
      <c r="B76">
        <f>_xlfn.XLOOKUP(A76,'[1]Global_Spot Prices'!$B:$B,'[1]Global_Spot Prices'!$BS:$BS)</f>
        <v>14.030000000000001</v>
      </c>
      <c r="C76">
        <f>_xlfn.XLOOKUP(A76,'[1]Global_Spot Prices'!$B:$B,'[1]Global_Spot Prices'!$E:$E)</f>
        <v>58.14</v>
      </c>
      <c r="D76">
        <f>_xlfn.XLOOKUP(A76,'[1]Global_Spot Prices'!$B:$B,'[1]Global_Spot Prices'!$D:$D)</f>
        <v>58.86</v>
      </c>
      <c r="E76">
        <f>_xlfn.XLOOKUP(A76,'[1]Global_Spot Prices'!$B:$B,'[1]Global_Spot Prices'!$H:$H)</f>
        <v>59.22</v>
      </c>
      <c r="F76">
        <f>_xlfn.XLOOKUP(A76,'[1]Global_Spot Prices'!$B:$B,'[1]Global_Spot Prices'!$I:$I)</f>
        <v>72.17</v>
      </c>
      <c r="G76" cm="1">
        <f t="array" ref="G76">_xlfn.XLOOKUP(TEXT(A76, "mmm-yy"), TEXT([2]RUNS!$B$5:$B$208, "mmm-yy"), [2]RUNS!$D$5:$D$208, "Not Found")</f>
        <v>26226.237438061486</v>
      </c>
      <c r="H76" cm="1">
        <f t="array" ref="H76">SUMPRODUCT(
    --(TEXT('[3]Global Weekly Stock (EWSuez'!$B$4:$B$2000,"mmm-yy")=TEXT(A76,"mmm-yy")),
    '[3]Global Weekly Stock (EWSuez'!$E$4:$E$2000)
/
SUMPRODUCT(
    --(TEXT('[3]Global Weekly Stock (EWSuez'!$B$4:$B$2000,"mmm-yy")=TEXT(A76,"mmm-yy"))
)</f>
        <v>13068.75</v>
      </c>
      <c r="I76">
        <f>_xlfn.XLOOKUP(A76,[1]ForwardDeriv!$D:$D,[1]ForwardDeriv!$AJ:$AJ)</f>
        <v>0.75</v>
      </c>
      <c r="J76" cm="1">
        <f t="array" ref="J76">_xlfn.XLOOKUP(TEXT(A76, "mmm-yy"), TEXT([2]GASOLINE!$B$5:$B$208, "mmm-yy"), [2]GASOLINE!$IR$5:$IR$208, "Not Found")</f>
        <v>-82.304223354574418</v>
      </c>
      <c r="K76" cm="1">
        <f t="array" ref="K76">_xlfn.XLOOKUP(TEXT(A76, "mmm-yy"), TEXT([2]GASOLINE!$B$5:$B$208, "mmm-yy"), [2]GASOLINE!$IK$5:$IK$208, "Not Found")</f>
        <v>0</v>
      </c>
      <c r="L76">
        <f t="shared" si="1"/>
        <v>0</v>
      </c>
      <c r="M76" cm="1">
        <f t="array" ref="M76">_xlfn.XLOOKUP(TEXT(A76, "mmm-yy"), TEXT([2]GASOLINE!$B$5:$B$208, "mmm-yy"), [2]GASOLINE!$C$5:$C$208, "Not Found")</f>
        <v>6378.180781638077</v>
      </c>
      <c r="N76" cm="1">
        <f t="array" ref="N76">_xlfn.XLOOKUP(TEXT(A76, "mmm-yy"), TEXT([2]RUNS!$B$5:$B$208, "mmm-yy"), [2]RUNS!$BM$5:$BM$208, "Not Found")</f>
        <v>0.77734087680688724</v>
      </c>
    </row>
    <row r="77" spans="1:14" x14ac:dyDescent="0.25">
      <c r="A77" s="1">
        <f>'[1]Global_Spot Prices'!$B1386</f>
        <v>42110</v>
      </c>
      <c r="B77">
        <f>_xlfn.XLOOKUP(A77,'[1]Global_Spot Prices'!$B:$B,'[1]Global_Spot Prices'!$BS:$BS)</f>
        <v>15.199999999999996</v>
      </c>
      <c r="C77">
        <f>_xlfn.XLOOKUP(A77,'[1]Global_Spot Prices'!$B:$B,'[1]Global_Spot Prices'!$E:$E)</f>
        <v>60.1</v>
      </c>
      <c r="D77">
        <f>_xlfn.XLOOKUP(A77,'[1]Global_Spot Prices'!$B:$B,'[1]Global_Spot Prices'!$D:$D)</f>
        <v>60.46</v>
      </c>
      <c r="E77">
        <f>_xlfn.XLOOKUP(A77,'[1]Global_Spot Prices'!$B:$B,'[1]Global_Spot Prices'!$H:$H)</f>
        <v>62.1</v>
      </c>
      <c r="F77">
        <f>_xlfn.XLOOKUP(A77,'[1]Global_Spot Prices'!$B:$B,'[1]Global_Spot Prices'!$I:$I)</f>
        <v>75.3</v>
      </c>
      <c r="G77" cm="1">
        <f t="array" ref="G77">_xlfn.XLOOKUP(TEXT(A77, "mmm-yy"), TEXT([2]RUNS!$B$5:$B$208, "mmm-yy"), [2]RUNS!$D$5:$D$208, "Not Found")</f>
        <v>26226.237438061486</v>
      </c>
      <c r="H77" cm="1">
        <f t="array" ref="H77">SUMPRODUCT(
    --(TEXT('[3]Global Weekly Stock (EWSuez'!$B$4:$B$2000,"mmm-yy")=TEXT(A77,"mmm-yy")),
    '[3]Global Weekly Stock (EWSuez'!$E$4:$E$2000)
/
SUMPRODUCT(
    --(TEXT('[3]Global Weekly Stock (EWSuez'!$B$4:$B$2000,"mmm-yy")=TEXT(A77,"mmm-yy"))
)</f>
        <v>13068.75</v>
      </c>
      <c r="I77">
        <f>_xlfn.XLOOKUP(A77,[1]ForwardDeriv!$D:$D,[1]ForwardDeriv!$AJ:$AJ)</f>
        <v>0.85000000000000853</v>
      </c>
      <c r="J77" cm="1">
        <f t="array" ref="J77">_xlfn.XLOOKUP(TEXT(A77, "mmm-yy"), TEXT([2]GASOLINE!$B$5:$B$208, "mmm-yy"), [2]GASOLINE!$IR$5:$IR$208, "Not Found")</f>
        <v>-82.304223354574418</v>
      </c>
      <c r="K77" cm="1">
        <f t="array" ref="K77">_xlfn.XLOOKUP(TEXT(A77, "mmm-yy"), TEXT([2]GASOLINE!$B$5:$B$208, "mmm-yy"), [2]GASOLINE!$IK$5:$IK$208, "Not Found")</f>
        <v>0</v>
      </c>
      <c r="L77">
        <f t="shared" si="1"/>
        <v>0</v>
      </c>
      <c r="M77" cm="1">
        <f t="array" ref="M77">_xlfn.XLOOKUP(TEXT(A77, "mmm-yy"), TEXT([2]GASOLINE!$B$5:$B$208, "mmm-yy"), [2]GASOLINE!$C$5:$C$208, "Not Found")</f>
        <v>6378.180781638077</v>
      </c>
      <c r="N77" cm="1">
        <f t="array" ref="N77">_xlfn.XLOOKUP(TEXT(A77, "mmm-yy"), TEXT([2]RUNS!$B$5:$B$208, "mmm-yy"), [2]RUNS!$BM$5:$BM$208, "Not Found")</f>
        <v>0.77734087680688724</v>
      </c>
    </row>
    <row r="78" spans="1:14" x14ac:dyDescent="0.25">
      <c r="A78" s="1">
        <f>'[1]Global_Spot Prices'!$B1387</f>
        <v>42111</v>
      </c>
      <c r="B78">
        <f>_xlfn.XLOOKUP(A78,'[1]Global_Spot Prices'!$B:$B,'[1]Global_Spot Prices'!$BS:$BS)</f>
        <v>14.770000000000003</v>
      </c>
      <c r="C78">
        <f>_xlfn.XLOOKUP(A78,'[1]Global_Spot Prices'!$B:$B,'[1]Global_Spot Prices'!$E:$E)</f>
        <v>60.9</v>
      </c>
      <c r="D78">
        <f>_xlfn.XLOOKUP(A78,'[1]Global_Spot Prices'!$B:$B,'[1]Global_Spot Prices'!$D:$D)</f>
        <v>61.774999999999999</v>
      </c>
      <c r="E78">
        <f>_xlfn.XLOOKUP(A78,'[1]Global_Spot Prices'!$B:$B,'[1]Global_Spot Prices'!$H:$H)</f>
        <v>62.23</v>
      </c>
      <c r="F78">
        <f>_xlfn.XLOOKUP(A78,'[1]Global_Spot Prices'!$B:$B,'[1]Global_Spot Prices'!$I:$I)</f>
        <v>75.67</v>
      </c>
      <c r="G78" cm="1">
        <f t="array" ref="G78">_xlfn.XLOOKUP(TEXT(A78, "mmm-yy"), TEXT([2]RUNS!$B$5:$B$208, "mmm-yy"), [2]RUNS!$D$5:$D$208, "Not Found")</f>
        <v>26226.237438061486</v>
      </c>
      <c r="H78" cm="1">
        <f t="array" ref="H78">SUMPRODUCT(
    --(TEXT('[3]Global Weekly Stock (EWSuez'!$B$4:$B$2000,"mmm-yy")=TEXT(A78,"mmm-yy")),
    '[3]Global Weekly Stock (EWSuez'!$E$4:$E$2000)
/
SUMPRODUCT(
    --(TEXT('[3]Global Weekly Stock (EWSuez'!$B$4:$B$2000,"mmm-yy")=TEXT(A78,"mmm-yy"))
)</f>
        <v>13068.75</v>
      </c>
      <c r="I78">
        <f>_xlfn.XLOOKUP(A78,[1]ForwardDeriv!$D:$D,[1]ForwardDeriv!$AJ:$AJ)</f>
        <v>0.90000000000000568</v>
      </c>
      <c r="J78" cm="1">
        <f t="array" ref="J78">_xlfn.XLOOKUP(TEXT(A78, "mmm-yy"), TEXT([2]GASOLINE!$B$5:$B$208, "mmm-yy"), [2]GASOLINE!$IR$5:$IR$208, "Not Found")</f>
        <v>-82.304223354574418</v>
      </c>
      <c r="K78" cm="1">
        <f t="array" ref="K78">_xlfn.XLOOKUP(TEXT(A78, "mmm-yy"), TEXT([2]GASOLINE!$B$5:$B$208, "mmm-yy"), [2]GASOLINE!$IK$5:$IK$208, "Not Found")</f>
        <v>0</v>
      </c>
      <c r="L78">
        <f t="shared" si="1"/>
        <v>0</v>
      </c>
      <c r="M78" cm="1">
        <f t="array" ref="M78">_xlfn.XLOOKUP(TEXT(A78, "mmm-yy"), TEXT([2]GASOLINE!$B$5:$B$208, "mmm-yy"), [2]GASOLINE!$C$5:$C$208, "Not Found")</f>
        <v>6378.180781638077</v>
      </c>
      <c r="N78" cm="1">
        <f t="array" ref="N78">_xlfn.XLOOKUP(TEXT(A78, "mmm-yy"), TEXT([2]RUNS!$B$5:$B$208, "mmm-yy"), [2]RUNS!$BM$5:$BM$208, "Not Found")</f>
        <v>0.77734087680688724</v>
      </c>
    </row>
    <row r="79" spans="1:14" x14ac:dyDescent="0.25">
      <c r="A79" s="1">
        <f>'[1]Global_Spot Prices'!$B1388</f>
        <v>42114</v>
      </c>
      <c r="B79">
        <f>_xlfn.XLOOKUP(A79,'[1]Global_Spot Prices'!$B:$B,'[1]Global_Spot Prices'!$BS:$BS)</f>
        <v>14.829999999999991</v>
      </c>
      <c r="C79">
        <f>_xlfn.XLOOKUP(A79,'[1]Global_Spot Prices'!$B:$B,'[1]Global_Spot Prices'!$E:$E)</f>
        <v>60.99</v>
      </c>
      <c r="D79">
        <f>_xlfn.XLOOKUP(A79,'[1]Global_Spot Prices'!$B:$B,'[1]Global_Spot Prices'!$D:$D)</f>
        <v>61.16</v>
      </c>
      <c r="E79">
        <f>_xlfn.XLOOKUP(A79,'[1]Global_Spot Prices'!$B:$B,'[1]Global_Spot Prices'!$H:$H)</f>
        <v>61.87</v>
      </c>
      <c r="F79">
        <f>_xlfn.XLOOKUP(A79,'[1]Global_Spot Prices'!$B:$B,'[1]Global_Spot Prices'!$I:$I)</f>
        <v>75.819999999999993</v>
      </c>
      <c r="G79" cm="1">
        <f t="array" ref="G79">_xlfn.XLOOKUP(TEXT(A79, "mmm-yy"), TEXT([2]RUNS!$B$5:$B$208, "mmm-yy"), [2]RUNS!$D$5:$D$208, "Not Found")</f>
        <v>26226.237438061486</v>
      </c>
      <c r="H79" cm="1">
        <f t="array" ref="H79">SUMPRODUCT(
    --(TEXT('[3]Global Weekly Stock (EWSuez'!$B$4:$B$2000,"mmm-yy")=TEXT(A79,"mmm-yy")),
    '[3]Global Weekly Stock (EWSuez'!$E$4:$E$2000)
/
SUMPRODUCT(
    --(TEXT('[3]Global Weekly Stock (EWSuez'!$B$4:$B$2000,"mmm-yy")=TEXT(A79,"mmm-yy"))
)</f>
        <v>13068.75</v>
      </c>
      <c r="I79">
        <f>_xlfn.XLOOKUP(A79,[1]ForwardDeriv!$D:$D,[1]ForwardDeriv!$AJ:$AJ)</f>
        <v>0.79999999999999716</v>
      </c>
      <c r="J79" cm="1">
        <f t="array" ref="J79">_xlfn.XLOOKUP(TEXT(A79, "mmm-yy"), TEXT([2]GASOLINE!$B$5:$B$208, "mmm-yy"), [2]GASOLINE!$IR$5:$IR$208, "Not Found")</f>
        <v>-82.304223354574418</v>
      </c>
      <c r="K79" cm="1">
        <f t="array" ref="K79">_xlfn.XLOOKUP(TEXT(A79, "mmm-yy"), TEXT([2]GASOLINE!$B$5:$B$208, "mmm-yy"), [2]GASOLINE!$IK$5:$IK$208, "Not Found")</f>
        <v>0</v>
      </c>
      <c r="L79">
        <f t="shared" si="1"/>
        <v>0</v>
      </c>
      <c r="M79" cm="1">
        <f t="array" ref="M79">_xlfn.XLOOKUP(TEXT(A79, "mmm-yy"), TEXT([2]GASOLINE!$B$5:$B$208, "mmm-yy"), [2]GASOLINE!$C$5:$C$208, "Not Found")</f>
        <v>6378.180781638077</v>
      </c>
      <c r="N79" cm="1">
        <f t="array" ref="N79">_xlfn.XLOOKUP(TEXT(A79, "mmm-yy"), TEXT([2]RUNS!$B$5:$B$208, "mmm-yy"), [2]RUNS!$BM$5:$BM$208, "Not Found")</f>
        <v>0.77734087680688724</v>
      </c>
    </row>
    <row r="80" spans="1:14" x14ac:dyDescent="0.25">
      <c r="A80" s="1">
        <f>'[1]Global_Spot Prices'!$B1389</f>
        <v>42115</v>
      </c>
      <c r="B80">
        <f>_xlfn.XLOOKUP(A80,'[1]Global_Spot Prices'!$B:$B,'[1]Global_Spot Prices'!$BS:$BS)</f>
        <v>14.399999999999999</v>
      </c>
      <c r="C80">
        <f>_xlfn.XLOOKUP(A80,'[1]Global_Spot Prices'!$B:$B,'[1]Global_Spot Prices'!$E:$E)</f>
        <v>60.4</v>
      </c>
      <c r="D80">
        <f>_xlfn.XLOOKUP(A80,'[1]Global_Spot Prices'!$B:$B,'[1]Global_Spot Prices'!$D:$D)</f>
        <v>60.64</v>
      </c>
      <c r="E80">
        <f>_xlfn.XLOOKUP(A80,'[1]Global_Spot Prices'!$B:$B,'[1]Global_Spot Prices'!$H:$H)</f>
        <v>60.22</v>
      </c>
      <c r="F80">
        <f>_xlfn.XLOOKUP(A80,'[1]Global_Spot Prices'!$B:$B,'[1]Global_Spot Prices'!$I:$I)</f>
        <v>74.8</v>
      </c>
      <c r="G80" cm="1">
        <f t="array" ref="G80">_xlfn.XLOOKUP(TEXT(A80, "mmm-yy"), TEXT([2]RUNS!$B$5:$B$208, "mmm-yy"), [2]RUNS!$D$5:$D$208, "Not Found")</f>
        <v>26226.237438061486</v>
      </c>
      <c r="H80" cm="1">
        <f t="array" ref="H80">SUMPRODUCT(
    --(TEXT('[3]Global Weekly Stock (EWSuez'!$B$4:$B$2000,"mmm-yy")=TEXT(A80,"mmm-yy")),
    '[3]Global Weekly Stock (EWSuez'!$E$4:$E$2000)
/
SUMPRODUCT(
    --(TEXT('[3]Global Weekly Stock (EWSuez'!$B$4:$B$2000,"mmm-yy")=TEXT(A80,"mmm-yy"))
)</f>
        <v>13068.75</v>
      </c>
      <c r="I80">
        <f>_xlfn.XLOOKUP(A80,[1]ForwardDeriv!$D:$D,[1]ForwardDeriv!$AJ:$AJ)</f>
        <v>0.79999999999999716</v>
      </c>
      <c r="J80" cm="1">
        <f t="array" ref="J80">_xlfn.XLOOKUP(TEXT(A80, "mmm-yy"), TEXT([2]GASOLINE!$B$5:$B$208, "mmm-yy"), [2]GASOLINE!$IR$5:$IR$208, "Not Found")</f>
        <v>-82.304223354574418</v>
      </c>
      <c r="K80" cm="1">
        <f t="array" ref="K80">_xlfn.XLOOKUP(TEXT(A80, "mmm-yy"), TEXT([2]GASOLINE!$B$5:$B$208, "mmm-yy"), [2]GASOLINE!$IK$5:$IK$208, "Not Found")</f>
        <v>0</v>
      </c>
      <c r="L80">
        <f t="shared" si="1"/>
        <v>0</v>
      </c>
      <c r="M80" cm="1">
        <f t="array" ref="M80">_xlfn.XLOOKUP(TEXT(A80, "mmm-yy"), TEXT([2]GASOLINE!$B$5:$B$208, "mmm-yy"), [2]GASOLINE!$C$5:$C$208, "Not Found")</f>
        <v>6378.180781638077</v>
      </c>
      <c r="N80" cm="1">
        <f t="array" ref="N80">_xlfn.XLOOKUP(TEXT(A80, "mmm-yy"), TEXT([2]RUNS!$B$5:$B$208, "mmm-yy"), [2]RUNS!$BM$5:$BM$208, "Not Found")</f>
        <v>0.77734087680688724</v>
      </c>
    </row>
    <row r="81" spans="1:14" x14ac:dyDescent="0.25">
      <c r="A81" s="1">
        <f>'[1]Global_Spot Prices'!$B1390</f>
        <v>42116</v>
      </c>
      <c r="B81">
        <f>_xlfn.XLOOKUP(A81,'[1]Global_Spot Prices'!$B:$B,'[1]Global_Spot Prices'!$BS:$BS)</f>
        <v>14.259999999999998</v>
      </c>
      <c r="C81">
        <f>_xlfn.XLOOKUP(A81,'[1]Global_Spot Prices'!$B:$B,'[1]Global_Spot Prices'!$E:$E)</f>
        <v>59.15</v>
      </c>
      <c r="D81">
        <f>_xlfn.XLOOKUP(A81,'[1]Global_Spot Prices'!$B:$B,'[1]Global_Spot Prices'!$D:$D)</f>
        <v>60.755000000000003</v>
      </c>
      <c r="E81">
        <f>_xlfn.XLOOKUP(A81,'[1]Global_Spot Prices'!$B:$B,'[1]Global_Spot Prices'!$H:$H)</f>
        <v>58.77</v>
      </c>
      <c r="F81">
        <f>_xlfn.XLOOKUP(A81,'[1]Global_Spot Prices'!$B:$B,'[1]Global_Spot Prices'!$I:$I)</f>
        <v>73.41</v>
      </c>
      <c r="G81" cm="1">
        <f t="array" ref="G81">_xlfn.XLOOKUP(TEXT(A81, "mmm-yy"), TEXT([2]RUNS!$B$5:$B$208, "mmm-yy"), [2]RUNS!$D$5:$D$208, "Not Found")</f>
        <v>26226.237438061486</v>
      </c>
      <c r="H81" cm="1">
        <f t="array" ref="H81">SUMPRODUCT(
    --(TEXT('[3]Global Weekly Stock (EWSuez'!$B$4:$B$2000,"mmm-yy")=TEXT(A81,"mmm-yy")),
    '[3]Global Weekly Stock (EWSuez'!$E$4:$E$2000)
/
SUMPRODUCT(
    --(TEXT('[3]Global Weekly Stock (EWSuez'!$B$4:$B$2000,"mmm-yy")=TEXT(A81,"mmm-yy"))
)</f>
        <v>13068.75</v>
      </c>
      <c r="I81">
        <f>_xlfn.XLOOKUP(A81,[1]ForwardDeriv!$D:$D,[1]ForwardDeriv!$AJ:$AJ)</f>
        <v>0.90000000000000568</v>
      </c>
      <c r="J81" cm="1">
        <f t="array" ref="J81">_xlfn.XLOOKUP(TEXT(A81, "mmm-yy"), TEXT([2]GASOLINE!$B$5:$B$208, "mmm-yy"), [2]GASOLINE!$IR$5:$IR$208, "Not Found")</f>
        <v>-82.304223354574418</v>
      </c>
      <c r="K81" cm="1">
        <f t="array" ref="K81">_xlfn.XLOOKUP(TEXT(A81, "mmm-yy"), TEXT([2]GASOLINE!$B$5:$B$208, "mmm-yy"), [2]GASOLINE!$IK$5:$IK$208, "Not Found")</f>
        <v>0</v>
      </c>
      <c r="L81">
        <f t="shared" si="1"/>
        <v>0</v>
      </c>
      <c r="M81" cm="1">
        <f t="array" ref="M81">_xlfn.XLOOKUP(TEXT(A81, "mmm-yy"), TEXT([2]GASOLINE!$B$5:$B$208, "mmm-yy"), [2]GASOLINE!$C$5:$C$208, "Not Found")</f>
        <v>6378.180781638077</v>
      </c>
      <c r="N81" cm="1">
        <f t="array" ref="N81">_xlfn.XLOOKUP(TEXT(A81, "mmm-yy"), TEXT([2]RUNS!$B$5:$B$208, "mmm-yy"), [2]RUNS!$BM$5:$BM$208, "Not Found")</f>
        <v>0.77734087680688724</v>
      </c>
    </row>
    <row r="82" spans="1:14" x14ac:dyDescent="0.25">
      <c r="A82" s="1">
        <f>'[1]Global_Spot Prices'!$B1391</f>
        <v>42117</v>
      </c>
      <c r="B82">
        <f>_xlfn.XLOOKUP(A82,'[1]Global_Spot Prices'!$B:$B,'[1]Global_Spot Prices'!$BS:$BS)</f>
        <v>15.859999999999992</v>
      </c>
      <c r="C82">
        <f>_xlfn.XLOOKUP(A82,'[1]Global_Spot Prices'!$B:$B,'[1]Global_Spot Prices'!$E:$E)</f>
        <v>59.6</v>
      </c>
      <c r="D82">
        <f>_xlfn.XLOOKUP(A82,'[1]Global_Spot Prices'!$B:$B,'[1]Global_Spot Prices'!$D:$D)</f>
        <v>62.975000000000001</v>
      </c>
      <c r="E82">
        <f>_xlfn.XLOOKUP(A82,'[1]Global_Spot Prices'!$B:$B,'[1]Global_Spot Prices'!$H:$H)</f>
        <v>60.12</v>
      </c>
      <c r="F82">
        <f>_xlfn.XLOOKUP(A82,'[1]Global_Spot Prices'!$B:$B,'[1]Global_Spot Prices'!$I:$I)</f>
        <v>75.459999999999994</v>
      </c>
      <c r="G82" cm="1">
        <f t="array" ref="G82">_xlfn.XLOOKUP(TEXT(A82, "mmm-yy"), TEXT([2]RUNS!$B$5:$B$208, "mmm-yy"), [2]RUNS!$D$5:$D$208, "Not Found")</f>
        <v>26226.237438061486</v>
      </c>
      <c r="H82" cm="1">
        <f t="array" ref="H82">SUMPRODUCT(
    --(TEXT('[3]Global Weekly Stock (EWSuez'!$B$4:$B$2000,"mmm-yy")=TEXT(A82,"mmm-yy")),
    '[3]Global Weekly Stock (EWSuez'!$E$4:$E$2000)
/
SUMPRODUCT(
    --(TEXT('[3]Global Weekly Stock (EWSuez'!$B$4:$B$2000,"mmm-yy")=TEXT(A82,"mmm-yy"))
)</f>
        <v>13068.75</v>
      </c>
      <c r="I82">
        <f>_xlfn.XLOOKUP(A82,[1]ForwardDeriv!$D:$D,[1]ForwardDeriv!$AJ:$AJ)</f>
        <v>1.0999999999999943</v>
      </c>
      <c r="J82" cm="1">
        <f t="array" ref="J82">_xlfn.XLOOKUP(TEXT(A82, "mmm-yy"), TEXT([2]GASOLINE!$B$5:$B$208, "mmm-yy"), [2]GASOLINE!$IR$5:$IR$208, "Not Found")</f>
        <v>-82.304223354574418</v>
      </c>
      <c r="K82" cm="1">
        <f t="array" ref="K82">_xlfn.XLOOKUP(TEXT(A82, "mmm-yy"), TEXT([2]GASOLINE!$B$5:$B$208, "mmm-yy"), [2]GASOLINE!$IK$5:$IK$208, "Not Found")</f>
        <v>0</v>
      </c>
      <c r="L82">
        <f t="shared" si="1"/>
        <v>0</v>
      </c>
      <c r="M82" cm="1">
        <f t="array" ref="M82">_xlfn.XLOOKUP(TEXT(A82, "mmm-yy"), TEXT([2]GASOLINE!$B$5:$B$208, "mmm-yy"), [2]GASOLINE!$C$5:$C$208, "Not Found")</f>
        <v>6378.180781638077</v>
      </c>
      <c r="N82" cm="1">
        <f t="array" ref="N82">_xlfn.XLOOKUP(TEXT(A82, "mmm-yy"), TEXT([2]RUNS!$B$5:$B$208, "mmm-yy"), [2]RUNS!$BM$5:$BM$208, "Not Found")</f>
        <v>0.77734087680688724</v>
      </c>
    </row>
    <row r="83" spans="1:14" x14ac:dyDescent="0.25">
      <c r="A83" s="1">
        <f>'[1]Global_Spot Prices'!$B1392</f>
        <v>42118</v>
      </c>
      <c r="B83">
        <f>_xlfn.XLOOKUP(A83,'[1]Global_Spot Prices'!$B:$B,'[1]Global_Spot Prices'!$BS:$BS)</f>
        <v>17.290000000000006</v>
      </c>
      <c r="C83">
        <f>_xlfn.XLOOKUP(A83,'[1]Global_Spot Prices'!$B:$B,'[1]Global_Spot Prices'!$E:$E)</f>
        <v>62.5</v>
      </c>
      <c r="D83">
        <f>_xlfn.XLOOKUP(A83,'[1]Global_Spot Prices'!$B:$B,'[1]Global_Spot Prices'!$D:$D)</f>
        <v>62.865000000000002</v>
      </c>
      <c r="E83">
        <f>_xlfn.XLOOKUP(A83,'[1]Global_Spot Prices'!$B:$B,'[1]Global_Spot Prices'!$H:$H)</f>
        <v>62.97</v>
      </c>
      <c r="F83">
        <f>_xlfn.XLOOKUP(A83,'[1]Global_Spot Prices'!$B:$B,'[1]Global_Spot Prices'!$I:$I)</f>
        <v>79.790000000000006</v>
      </c>
      <c r="G83" cm="1">
        <f t="array" ref="G83">_xlfn.XLOOKUP(TEXT(A83, "mmm-yy"), TEXT([2]RUNS!$B$5:$B$208, "mmm-yy"), [2]RUNS!$D$5:$D$208, "Not Found")</f>
        <v>26226.237438061486</v>
      </c>
      <c r="H83" cm="1">
        <f t="array" ref="H83">SUMPRODUCT(
    --(TEXT('[3]Global Weekly Stock (EWSuez'!$B$4:$B$2000,"mmm-yy")=TEXT(A83,"mmm-yy")),
    '[3]Global Weekly Stock (EWSuez'!$E$4:$E$2000)
/
SUMPRODUCT(
    --(TEXT('[3]Global Weekly Stock (EWSuez'!$B$4:$B$2000,"mmm-yy")=TEXT(A83,"mmm-yy"))
)</f>
        <v>13068.75</v>
      </c>
      <c r="I83">
        <f>_xlfn.XLOOKUP(A83,[1]ForwardDeriv!$D:$D,[1]ForwardDeriv!$AJ:$AJ)</f>
        <v>1.5</v>
      </c>
      <c r="J83" cm="1">
        <f t="array" ref="J83">_xlfn.XLOOKUP(TEXT(A83, "mmm-yy"), TEXT([2]GASOLINE!$B$5:$B$208, "mmm-yy"), [2]GASOLINE!$IR$5:$IR$208, "Not Found")</f>
        <v>-82.304223354574418</v>
      </c>
      <c r="K83" cm="1">
        <f t="array" ref="K83">_xlfn.XLOOKUP(TEXT(A83, "mmm-yy"), TEXT([2]GASOLINE!$B$5:$B$208, "mmm-yy"), [2]GASOLINE!$IK$5:$IK$208, "Not Found")</f>
        <v>0</v>
      </c>
      <c r="L83">
        <f t="shared" si="1"/>
        <v>0</v>
      </c>
      <c r="M83" cm="1">
        <f t="array" ref="M83">_xlfn.XLOOKUP(TEXT(A83, "mmm-yy"), TEXT([2]GASOLINE!$B$5:$B$208, "mmm-yy"), [2]GASOLINE!$C$5:$C$208, "Not Found")</f>
        <v>6378.180781638077</v>
      </c>
      <c r="N83" cm="1">
        <f t="array" ref="N83">_xlfn.XLOOKUP(TEXT(A83, "mmm-yy"), TEXT([2]RUNS!$B$5:$B$208, "mmm-yy"), [2]RUNS!$BM$5:$BM$208, "Not Found")</f>
        <v>0.77734087680688724</v>
      </c>
    </row>
    <row r="84" spans="1:14" x14ac:dyDescent="0.25">
      <c r="A84" s="1">
        <f>'[1]Global_Spot Prices'!$B1393</f>
        <v>42121</v>
      </c>
      <c r="B84">
        <f>_xlfn.XLOOKUP(A84,'[1]Global_Spot Prices'!$B:$B,'[1]Global_Spot Prices'!$BS:$BS)</f>
        <v>17.329999999999998</v>
      </c>
      <c r="C84">
        <f>_xlfn.XLOOKUP(A84,'[1]Global_Spot Prices'!$B:$B,'[1]Global_Spot Prices'!$E:$E)</f>
        <v>62.5</v>
      </c>
      <c r="D84">
        <f>_xlfn.XLOOKUP(A84,'[1]Global_Spot Prices'!$B:$B,'[1]Global_Spot Prices'!$D:$D)</f>
        <v>62.98</v>
      </c>
      <c r="E84">
        <f>_xlfn.XLOOKUP(A84,'[1]Global_Spot Prices'!$B:$B,'[1]Global_Spot Prices'!$H:$H)</f>
        <v>63.22</v>
      </c>
      <c r="F84">
        <f>_xlfn.XLOOKUP(A84,'[1]Global_Spot Prices'!$B:$B,'[1]Global_Spot Prices'!$I:$I)</f>
        <v>79.83</v>
      </c>
      <c r="G84" cm="1">
        <f t="array" ref="G84">_xlfn.XLOOKUP(TEXT(A84, "mmm-yy"), TEXT([2]RUNS!$B$5:$B$208, "mmm-yy"), [2]RUNS!$D$5:$D$208, "Not Found")</f>
        <v>26226.237438061486</v>
      </c>
      <c r="H84" cm="1">
        <f t="array" ref="H84">SUMPRODUCT(
    --(TEXT('[3]Global Weekly Stock (EWSuez'!$B$4:$B$2000,"mmm-yy")=TEXT(A84,"mmm-yy")),
    '[3]Global Weekly Stock (EWSuez'!$E$4:$E$2000)
/
SUMPRODUCT(
    --(TEXT('[3]Global Weekly Stock (EWSuez'!$B$4:$B$2000,"mmm-yy")=TEXT(A84,"mmm-yy"))
)</f>
        <v>13068.75</v>
      </c>
      <c r="I84">
        <f>_xlfn.XLOOKUP(A84,[1]ForwardDeriv!$D:$D,[1]ForwardDeriv!$AJ:$AJ)</f>
        <v>1.6500000000000057</v>
      </c>
      <c r="J84" cm="1">
        <f t="array" ref="J84">_xlfn.XLOOKUP(TEXT(A84, "mmm-yy"), TEXT([2]GASOLINE!$B$5:$B$208, "mmm-yy"), [2]GASOLINE!$IR$5:$IR$208, "Not Found")</f>
        <v>-82.304223354574418</v>
      </c>
      <c r="K84" cm="1">
        <f t="array" ref="K84">_xlfn.XLOOKUP(TEXT(A84, "mmm-yy"), TEXT([2]GASOLINE!$B$5:$B$208, "mmm-yy"), [2]GASOLINE!$IK$5:$IK$208, "Not Found")</f>
        <v>0</v>
      </c>
      <c r="L84">
        <f t="shared" si="1"/>
        <v>0</v>
      </c>
      <c r="M84" cm="1">
        <f t="array" ref="M84">_xlfn.XLOOKUP(TEXT(A84, "mmm-yy"), TEXT([2]GASOLINE!$B$5:$B$208, "mmm-yy"), [2]GASOLINE!$C$5:$C$208, "Not Found")</f>
        <v>6378.180781638077</v>
      </c>
      <c r="N84" cm="1">
        <f t="array" ref="N84">_xlfn.XLOOKUP(TEXT(A84, "mmm-yy"), TEXT([2]RUNS!$B$5:$B$208, "mmm-yy"), [2]RUNS!$BM$5:$BM$208, "Not Found")</f>
        <v>0.77734087680688724</v>
      </c>
    </row>
    <row r="85" spans="1:14" x14ac:dyDescent="0.25">
      <c r="A85" s="1">
        <f>'[1]Global_Spot Prices'!$B1394</f>
        <v>42122</v>
      </c>
      <c r="B85">
        <f>_xlfn.XLOOKUP(A85,'[1]Global_Spot Prices'!$B:$B,'[1]Global_Spot Prices'!$BS:$BS)</f>
        <v>17.590000000000003</v>
      </c>
      <c r="C85">
        <f>_xlfn.XLOOKUP(A85,'[1]Global_Spot Prices'!$B:$B,'[1]Global_Spot Prices'!$E:$E)</f>
        <v>61.5</v>
      </c>
      <c r="D85">
        <f>_xlfn.XLOOKUP(A85,'[1]Global_Spot Prices'!$B:$B,'[1]Global_Spot Prices'!$D:$D)</f>
        <v>62.8</v>
      </c>
      <c r="E85">
        <f>_xlfn.XLOOKUP(A85,'[1]Global_Spot Prices'!$B:$B,'[1]Global_Spot Prices'!$H:$H)</f>
        <v>62.75</v>
      </c>
      <c r="F85">
        <f>_xlfn.XLOOKUP(A85,'[1]Global_Spot Prices'!$B:$B,'[1]Global_Spot Prices'!$I:$I)</f>
        <v>79.09</v>
      </c>
      <c r="G85" cm="1">
        <f t="array" ref="G85">_xlfn.XLOOKUP(TEXT(A85, "mmm-yy"), TEXT([2]RUNS!$B$5:$B$208, "mmm-yy"), [2]RUNS!$D$5:$D$208, "Not Found")</f>
        <v>26226.237438061486</v>
      </c>
      <c r="H85" cm="1">
        <f t="array" ref="H85">SUMPRODUCT(
    --(TEXT('[3]Global Weekly Stock (EWSuez'!$B$4:$B$2000,"mmm-yy")=TEXT(A85,"mmm-yy")),
    '[3]Global Weekly Stock (EWSuez'!$E$4:$E$2000)
/
SUMPRODUCT(
    --(TEXT('[3]Global Weekly Stock (EWSuez'!$B$4:$B$2000,"mmm-yy")=TEXT(A85,"mmm-yy"))
)</f>
        <v>13068.75</v>
      </c>
      <c r="I85">
        <f>_xlfn.XLOOKUP(A85,[1]ForwardDeriv!$D:$D,[1]ForwardDeriv!$AJ:$AJ)</f>
        <v>1.5499999999999972</v>
      </c>
      <c r="J85" cm="1">
        <f t="array" ref="J85">_xlfn.XLOOKUP(TEXT(A85, "mmm-yy"), TEXT([2]GASOLINE!$B$5:$B$208, "mmm-yy"), [2]GASOLINE!$IR$5:$IR$208, "Not Found")</f>
        <v>-82.304223354574418</v>
      </c>
      <c r="K85" cm="1">
        <f t="array" ref="K85">_xlfn.XLOOKUP(TEXT(A85, "mmm-yy"), TEXT([2]GASOLINE!$B$5:$B$208, "mmm-yy"), [2]GASOLINE!$IK$5:$IK$208, "Not Found")</f>
        <v>0</v>
      </c>
      <c r="L85">
        <f t="shared" si="1"/>
        <v>0</v>
      </c>
      <c r="M85" cm="1">
        <f t="array" ref="M85">_xlfn.XLOOKUP(TEXT(A85, "mmm-yy"), TEXT([2]GASOLINE!$B$5:$B$208, "mmm-yy"), [2]GASOLINE!$C$5:$C$208, "Not Found")</f>
        <v>6378.180781638077</v>
      </c>
      <c r="N85" cm="1">
        <f t="array" ref="N85">_xlfn.XLOOKUP(TEXT(A85, "mmm-yy"), TEXT([2]RUNS!$B$5:$B$208, "mmm-yy"), [2]RUNS!$BM$5:$BM$208, "Not Found")</f>
        <v>0.77734087680688724</v>
      </c>
    </row>
    <row r="86" spans="1:14" x14ac:dyDescent="0.25">
      <c r="A86" s="1">
        <f>'[1]Global_Spot Prices'!$B1395</f>
        <v>42123</v>
      </c>
      <c r="B86">
        <f>_xlfn.XLOOKUP(A86,'[1]Global_Spot Prices'!$B:$B,'[1]Global_Spot Prices'!$BS:$BS)</f>
        <v>16.36</v>
      </c>
      <c r="C86">
        <f>_xlfn.XLOOKUP(A86,'[1]Global_Spot Prices'!$B:$B,'[1]Global_Spot Prices'!$E:$E)</f>
        <v>61.55</v>
      </c>
      <c r="D86">
        <f>_xlfn.XLOOKUP(A86,'[1]Global_Spot Prices'!$B:$B,'[1]Global_Spot Prices'!$D:$D)</f>
        <v>64.05</v>
      </c>
      <c r="E86">
        <f>_xlfn.XLOOKUP(A86,'[1]Global_Spot Prices'!$B:$B,'[1]Global_Spot Prices'!$H:$H)</f>
        <v>62.34</v>
      </c>
      <c r="F86">
        <f>_xlfn.XLOOKUP(A86,'[1]Global_Spot Prices'!$B:$B,'[1]Global_Spot Prices'!$I:$I)</f>
        <v>77.91</v>
      </c>
      <c r="G86" cm="1">
        <f t="array" ref="G86">_xlfn.XLOOKUP(TEXT(A86, "mmm-yy"), TEXT([2]RUNS!$B$5:$B$208, "mmm-yy"), [2]RUNS!$D$5:$D$208, "Not Found")</f>
        <v>26226.237438061486</v>
      </c>
      <c r="H86" cm="1">
        <f t="array" ref="H86">SUMPRODUCT(
    --(TEXT('[3]Global Weekly Stock (EWSuez'!$B$4:$B$2000,"mmm-yy")=TEXT(A86,"mmm-yy")),
    '[3]Global Weekly Stock (EWSuez'!$E$4:$E$2000)
/
SUMPRODUCT(
    --(TEXT('[3]Global Weekly Stock (EWSuez'!$B$4:$B$2000,"mmm-yy")=TEXT(A86,"mmm-yy"))
)</f>
        <v>13068.75</v>
      </c>
      <c r="I86">
        <f>_xlfn.XLOOKUP(A86,[1]ForwardDeriv!$D:$D,[1]ForwardDeriv!$AJ:$AJ)</f>
        <v>1.4500000000000028</v>
      </c>
      <c r="J86" cm="1">
        <f t="array" ref="J86">_xlfn.XLOOKUP(TEXT(A86, "mmm-yy"), TEXT([2]GASOLINE!$B$5:$B$208, "mmm-yy"), [2]GASOLINE!$IR$5:$IR$208, "Not Found")</f>
        <v>-82.304223354574418</v>
      </c>
      <c r="K86" cm="1">
        <f t="array" ref="K86">_xlfn.XLOOKUP(TEXT(A86, "mmm-yy"), TEXT([2]GASOLINE!$B$5:$B$208, "mmm-yy"), [2]GASOLINE!$IK$5:$IK$208, "Not Found")</f>
        <v>0</v>
      </c>
      <c r="L86">
        <f t="shared" si="1"/>
        <v>0</v>
      </c>
      <c r="M86" cm="1">
        <f t="array" ref="M86">_xlfn.XLOOKUP(TEXT(A86, "mmm-yy"), TEXT([2]GASOLINE!$B$5:$B$208, "mmm-yy"), [2]GASOLINE!$C$5:$C$208, "Not Found")</f>
        <v>6378.180781638077</v>
      </c>
      <c r="N86" cm="1">
        <f t="array" ref="N86">_xlfn.XLOOKUP(TEXT(A86, "mmm-yy"), TEXT([2]RUNS!$B$5:$B$208, "mmm-yy"), [2]RUNS!$BM$5:$BM$208, "Not Found")</f>
        <v>0.77734087680688724</v>
      </c>
    </row>
    <row r="87" spans="1:14" x14ac:dyDescent="0.25">
      <c r="A87" s="1">
        <f>'[1]Global_Spot Prices'!$B1396</f>
        <v>42124</v>
      </c>
      <c r="B87">
        <f>_xlfn.XLOOKUP(A87,'[1]Global_Spot Prices'!$B:$B,'[1]Global_Spot Prices'!$BS:$BS)</f>
        <v>16.340000000000003</v>
      </c>
      <c r="C87">
        <f>_xlfn.XLOOKUP(A87,'[1]Global_Spot Prices'!$B:$B,'[1]Global_Spot Prices'!$E:$E)</f>
        <v>63.3</v>
      </c>
      <c r="D87">
        <f>_xlfn.XLOOKUP(A87,'[1]Global_Spot Prices'!$B:$B,'[1]Global_Spot Prices'!$D:$D)</f>
        <v>64.42</v>
      </c>
      <c r="E87">
        <f>_xlfn.XLOOKUP(A87,'[1]Global_Spot Prices'!$B:$B,'[1]Global_Spot Prices'!$H:$H)</f>
        <v>63.37</v>
      </c>
      <c r="F87">
        <f>_xlfn.XLOOKUP(A87,'[1]Global_Spot Prices'!$B:$B,'[1]Global_Spot Prices'!$I:$I)</f>
        <v>79.64</v>
      </c>
      <c r="G87" cm="1">
        <f t="array" ref="G87">_xlfn.XLOOKUP(TEXT(A87, "mmm-yy"), TEXT([2]RUNS!$B$5:$B$208, "mmm-yy"), [2]RUNS!$D$5:$D$208, "Not Found")</f>
        <v>26226.237438061486</v>
      </c>
      <c r="H87" cm="1">
        <f t="array" ref="H87">SUMPRODUCT(
    --(TEXT('[3]Global Weekly Stock (EWSuez'!$B$4:$B$2000,"mmm-yy")=TEXT(A87,"mmm-yy")),
    '[3]Global Weekly Stock (EWSuez'!$E$4:$E$2000)
/
SUMPRODUCT(
    --(TEXT('[3]Global Weekly Stock (EWSuez'!$B$4:$B$2000,"mmm-yy")=TEXT(A87,"mmm-yy"))
)</f>
        <v>13068.75</v>
      </c>
      <c r="I87">
        <f>_xlfn.XLOOKUP(A87,[1]ForwardDeriv!$D:$D,[1]ForwardDeriv!$AJ:$AJ)</f>
        <v>1.4499999999999886</v>
      </c>
      <c r="J87" cm="1">
        <f t="array" ref="J87">_xlfn.XLOOKUP(TEXT(A87, "mmm-yy"), TEXT([2]GASOLINE!$B$5:$B$208, "mmm-yy"), [2]GASOLINE!$IR$5:$IR$208, "Not Found")</f>
        <v>-82.304223354574418</v>
      </c>
      <c r="K87" cm="1">
        <f t="array" ref="K87">_xlfn.XLOOKUP(TEXT(A87, "mmm-yy"), TEXT([2]GASOLINE!$B$5:$B$208, "mmm-yy"), [2]GASOLINE!$IK$5:$IK$208, "Not Found")</f>
        <v>0</v>
      </c>
      <c r="L87">
        <f t="shared" si="1"/>
        <v>0</v>
      </c>
      <c r="M87" cm="1">
        <f t="array" ref="M87">_xlfn.XLOOKUP(TEXT(A87, "mmm-yy"), TEXT([2]GASOLINE!$B$5:$B$208, "mmm-yy"), [2]GASOLINE!$C$5:$C$208, "Not Found")</f>
        <v>6378.180781638077</v>
      </c>
      <c r="N87" cm="1">
        <f t="array" ref="N87">_xlfn.XLOOKUP(TEXT(A87, "mmm-yy"), TEXT([2]RUNS!$B$5:$B$208, "mmm-yy"), [2]RUNS!$BM$5:$BM$208, "Not Found")</f>
        <v>0.77734087680688724</v>
      </c>
    </row>
    <row r="88" spans="1:14" x14ac:dyDescent="0.25">
      <c r="A88" s="1">
        <f>'[1]Global_Spot Prices'!$B1397</f>
        <v>42125</v>
      </c>
      <c r="B88" t="e">
        <f>_xlfn.XLOOKUP(A88,'[1]Global_Spot Prices'!$B:$B,'[1]Global_Spot Prices'!$BS:$BS)</f>
        <v>#N/A</v>
      </c>
      <c r="C88" t="str">
        <f>_xlfn.XLOOKUP(A88,'[1]Global_Spot Prices'!$B:$B,'[1]Global_Spot Prices'!$E:$E)</f>
        <v/>
      </c>
      <c r="D88">
        <f>_xlfn.XLOOKUP(A88,'[1]Global_Spot Prices'!$B:$B,'[1]Global_Spot Prices'!$D:$D)</f>
        <v>64.39</v>
      </c>
      <c r="E88">
        <f>_xlfn.XLOOKUP(A88,'[1]Global_Spot Prices'!$B:$B,'[1]Global_Spot Prices'!$H:$H)</f>
        <v>0</v>
      </c>
      <c r="F88">
        <f>_xlfn.XLOOKUP(A88,'[1]Global_Spot Prices'!$B:$B,'[1]Global_Spot Prices'!$I:$I)</f>
        <v>0</v>
      </c>
      <c r="G88" cm="1">
        <f t="array" ref="G88">_xlfn.XLOOKUP(TEXT(A88, "mmm-yy"), TEXT([2]RUNS!$B$5:$B$208, "mmm-yy"), [2]RUNS!$D$5:$D$208, "Not Found")</f>
        <v>26418.402241571992</v>
      </c>
      <c r="H88" cm="1">
        <f t="array" ref="H88">SUMPRODUCT(
    --(TEXT('[3]Global Weekly Stock (EWSuez'!$B$4:$B$2000,"mmm-yy")=TEXT(A88,"mmm-yy")),
    '[3]Global Weekly Stock (EWSuez'!$E$4:$E$2000)
/
SUMPRODUCT(
    --(TEXT('[3]Global Weekly Stock (EWSuez'!$B$4:$B$2000,"mmm-yy")=TEXT(A88,"mmm-yy"))
)</f>
        <v>12194.8</v>
      </c>
      <c r="I88">
        <f>_xlfn.XLOOKUP(A88,[1]ForwardDeriv!$D:$D,[1]ForwardDeriv!$AJ:$AJ)</f>
        <v>1.25</v>
      </c>
      <c r="J88" cm="1">
        <f t="array" ref="J88">_xlfn.XLOOKUP(TEXT(A88, "mmm-yy"), TEXT([2]GASOLINE!$B$5:$B$208, "mmm-yy"), [2]GASOLINE!$IR$5:$IR$208, "Not Found")</f>
        <v>-89.364887298817592</v>
      </c>
      <c r="K88" cm="1">
        <f t="array" ref="K88">_xlfn.XLOOKUP(TEXT(A88, "mmm-yy"), TEXT([2]GASOLINE!$B$5:$B$208, "mmm-yy"), [2]GASOLINE!$IK$5:$IK$208, "Not Found")</f>
        <v>0</v>
      </c>
      <c r="L88">
        <f t="shared" si="1"/>
        <v>0</v>
      </c>
      <c r="M88" cm="1">
        <f t="array" ref="M88">_xlfn.XLOOKUP(TEXT(A88, "mmm-yy"), TEXT([2]GASOLINE!$B$5:$B$208, "mmm-yy"), [2]GASOLINE!$C$5:$C$208, "Not Found")</f>
        <v>6390.4387440665359</v>
      </c>
      <c r="N88" cm="1">
        <f t="array" ref="N88">_xlfn.XLOOKUP(TEXT(A88, "mmm-yy"), TEXT([2]RUNS!$B$5:$B$208, "mmm-yy"), [2]RUNS!$BM$5:$BM$208, "Not Found")</f>
        <v>0.78240351130206076</v>
      </c>
    </row>
    <row r="89" spans="1:14" x14ac:dyDescent="0.25">
      <c r="A89" s="1">
        <f>'[1]Global_Spot Prices'!$B1398</f>
        <v>42128</v>
      </c>
      <c r="B89">
        <f>_xlfn.XLOOKUP(A89,'[1]Global_Spot Prices'!$B:$B,'[1]Global_Spot Prices'!$BS:$BS)</f>
        <v>16.579999999999998</v>
      </c>
      <c r="C89">
        <f>_xlfn.XLOOKUP(A89,'[1]Global_Spot Prices'!$B:$B,'[1]Global_Spot Prices'!$E:$E)</f>
        <v>64.31</v>
      </c>
      <c r="D89" t="str">
        <f>_xlfn.XLOOKUP(A89,'[1]Global_Spot Prices'!$B:$B,'[1]Global_Spot Prices'!$D:$D)</f>
        <v/>
      </c>
      <c r="E89">
        <f>_xlfn.XLOOKUP(A89,'[1]Global_Spot Prices'!$B:$B,'[1]Global_Spot Prices'!$H:$H)</f>
        <v>63.4</v>
      </c>
      <c r="F89">
        <f>_xlfn.XLOOKUP(A89,'[1]Global_Spot Prices'!$B:$B,'[1]Global_Spot Prices'!$I:$I)</f>
        <v>80.89</v>
      </c>
      <c r="G89" cm="1">
        <f t="array" ref="G89">_xlfn.XLOOKUP(TEXT(A89, "mmm-yy"), TEXT([2]RUNS!$B$5:$B$208, "mmm-yy"), [2]RUNS!$D$5:$D$208, "Not Found")</f>
        <v>26418.402241571992</v>
      </c>
      <c r="H89" cm="1">
        <f t="array" ref="H89">SUMPRODUCT(
    --(TEXT('[3]Global Weekly Stock (EWSuez'!$B$4:$B$2000,"mmm-yy")=TEXT(A89,"mmm-yy")),
    '[3]Global Weekly Stock (EWSuez'!$E$4:$E$2000)
/
SUMPRODUCT(
    --(TEXT('[3]Global Weekly Stock (EWSuez'!$B$4:$B$2000,"mmm-yy")=TEXT(A89,"mmm-yy"))
)</f>
        <v>12194.8</v>
      </c>
      <c r="I89">
        <f>_xlfn.XLOOKUP(A89,[1]ForwardDeriv!$D:$D,[1]ForwardDeriv!$AJ:$AJ)</f>
        <v>1.25</v>
      </c>
      <c r="J89" cm="1">
        <f t="array" ref="J89">_xlfn.XLOOKUP(TEXT(A89, "mmm-yy"), TEXT([2]GASOLINE!$B$5:$B$208, "mmm-yy"), [2]GASOLINE!$IR$5:$IR$208, "Not Found")</f>
        <v>-89.364887298817592</v>
      </c>
      <c r="K89" cm="1">
        <f t="array" ref="K89">_xlfn.XLOOKUP(TEXT(A89, "mmm-yy"), TEXT([2]GASOLINE!$B$5:$B$208, "mmm-yy"), [2]GASOLINE!$IK$5:$IK$208, "Not Found")</f>
        <v>0</v>
      </c>
      <c r="L89">
        <f t="shared" si="1"/>
        <v>0</v>
      </c>
      <c r="M89" cm="1">
        <f t="array" ref="M89">_xlfn.XLOOKUP(TEXT(A89, "mmm-yy"), TEXT([2]GASOLINE!$B$5:$B$208, "mmm-yy"), [2]GASOLINE!$C$5:$C$208, "Not Found")</f>
        <v>6390.4387440665359</v>
      </c>
      <c r="N89" cm="1">
        <f t="array" ref="N89">_xlfn.XLOOKUP(TEXT(A89, "mmm-yy"), TEXT([2]RUNS!$B$5:$B$208, "mmm-yy"), [2]RUNS!$BM$5:$BM$208, "Not Found")</f>
        <v>0.78240351130206076</v>
      </c>
    </row>
    <row r="90" spans="1:14" x14ac:dyDescent="0.25">
      <c r="A90" s="1">
        <f>'[1]Global_Spot Prices'!$B1399</f>
        <v>42129</v>
      </c>
      <c r="B90">
        <f>_xlfn.XLOOKUP(A90,'[1]Global_Spot Prices'!$B:$B,'[1]Global_Spot Prices'!$BS:$BS)</f>
        <v>15.870000000000005</v>
      </c>
      <c r="C90">
        <f>_xlfn.XLOOKUP(A90,'[1]Global_Spot Prices'!$B:$B,'[1]Global_Spot Prices'!$E:$E)</f>
        <v>64.61</v>
      </c>
      <c r="D90">
        <f>_xlfn.XLOOKUP(A90,'[1]Global_Spot Prices'!$B:$B,'[1]Global_Spot Prices'!$D:$D)</f>
        <v>66.114999999999995</v>
      </c>
      <c r="E90">
        <f>_xlfn.XLOOKUP(A90,'[1]Global_Spot Prices'!$B:$B,'[1]Global_Spot Prices'!$H:$H)</f>
        <v>62.61</v>
      </c>
      <c r="F90">
        <f>_xlfn.XLOOKUP(A90,'[1]Global_Spot Prices'!$B:$B,'[1]Global_Spot Prices'!$I:$I)</f>
        <v>80.48</v>
      </c>
      <c r="G90" cm="1">
        <f t="array" ref="G90">_xlfn.XLOOKUP(TEXT(A90, "mmm-yy"), TEXT([2]RUNS!$B$5:$B$208, "mmm-yy"), [2]RUNS!$D$5:$D$208, "Not Found")</f>
        <v>26418.402241571992</v>
      </c>
      <c r="H90" cm="1">
        <f t="array" ref="H90">SUMPRODUCT(
    --(TEXT('[3]Global Weekly Stock (EWSuez'!$B$4:$B$2000,"mmm-yy")=TEXT(A90,"mmm-yy")),
    '[3]Global Weekly Stock (EWSuez'!$E$4:$E$2000)
/
SUMPRODUCT(
    --(TEXT('[3]Global Weekly Stock (EWSuez'!$B$4:$B$2000,"mmm-yy")=TEXT(A90,"mmm-yy"))
)</f>
        <v>12194.8</v>
      </c>
      <c r="I90">
        <f>_xlfn.XLOOKUP(A90,[1]ForwardDeriv!$D:$D,[1]ForwardDeriv!$AJ:$AJ)</f>
        <v>1.2999999999999972</v>
      </c>
      <c r="J90" cm="1">
        <f t="array" ref="J90">_xlfn.XLOOKUP(TEXT(A90, "mmm-yy"), TEXT([2]GASOLINE!$B$5:$B$208, "mmm-yy"), [2]GASOLINE!$IR$5:$IR$208, "Not Found")</f>
        <v>-89.364887298817592</v>
      </c>
      <c r="K90" cm="1">
        <f t="array" ref="K90">_xlfn.XLOOKUP(TEXT(A90, "mmm-yy"), TEXT([2]GASOLINE!$B$5:$B$208, "mmm-yy"), [2]GASOLINE!$IK$5:$IK$208, "Not Found")</f>
        <v>0</v>
      </c>
      <c r="L90">
        <f t="shared" si="1"/>
        <v>0</v>
      </c>
      <c r="M90" cm="1">
        <f t="array" ref="M90">_xlfn.XLOOKUP(TEXT(A90, "mmm-yy"), TEXT([2]GASOLINE!$B$5:$B$208, "mmm-yy"), [2]GASOLINE!$C$5:$C$208, "Not Found")</f>
        <v>6390.4387440665359</v>
      </c>
      <c r="N90" cm="1">
        <f t="array" ref="N90">_xlfn.XLOOKUP(TEXT(A90, "mmm-yy"), TEXT([2]RUNS!$B$5:$B$208, "mmm-yy"), [2]RUNS!$BM$5:$BM$208, "Not Found")</f>
        <v>0.78240351130206076</v>
      </c>
    </row>
    <row r="91" spans="1:14" x14ac:dyDescent="0.25">
      <c r="A91" s="1">
        <f>'[1]Global_Spot Prices'!$B1400</f>
        <v>42130</v>
      </c>
      <c r="B91">
        <f>_xlfn.XLOOKUP(A91,'[1]Global_Spot Prices'!$B:$B,'[1]Global_Spot Prices'!$BS:$BS)</f>
        <v>15.170000000000002</v>
      </c>
      <c r="C91">
        <f>_xlfn.XLOOKUP(A91,'[1]Global_Spot Prices'!$B:$B,'[1]Global_Spot Prices'!$E:$E)</f>
        <v>66.510000000000005</v>
      </c>
      <c r="D91">
        <f>_xlfn.XLOOKUP(A91,'[1]Global_Spot Prices'!$B:$B,'[1]Global_Spot Prices'!$D:$D)</f>
        <v>66.62</v>
      </c>
      <c r="E91">
        <f>_xlfn.XLOOKUP(A91,'[1]Global_Spot Prices'!$B:$B,'[1]Global_Spot Prices'!$H:$H)</f>
        <v>63.47</v>
      </c>
      <c r="F91">
        <f>_xlfn.XLOOKUP(A91,'[1]Global_Spot Prices'!$B:$B,'[1]Global_Spot Prices'!$I:$I)</f>
        <v>81.680000000000007</v>
      </c>
      <c r="G91" cm="1">
        <f t="array" ref="G91">_xlfn.XLOOKUP(TEXT(A91, "mmm-yy"), TEXT([2]RUNS!$B$5:$B$208, "mmm-yy"), [2]RUNS!$D$5:$D$208, "Not Found")</f>
        <v>26418.402241571992</v>
      </c>
      <c r="H91" cm="1">
        <f t="array" ref="H91">SUMPRODUCT(
    --(TEXT('[3]Global Weekly Stock (EWSuez'!$B$4:$B$2000,"mmm-yy")=TEXT(A91,"mmm-yy")),
    '[3]Global Weekly Stock (EWSuez'!$E$4:$E$2000)
/
SUMPRODUCT(
    --(TEXT('[3]Global Weekly Stock (EWSuez'!$B$4:$B$2000,"mmm-yy")=TEXT(A91,"mmm-yy"))
)</f>
        <v>12194.8</v>
      </c>
      <c r="I91">
        <f>_xlfn.XLOOKUP(A91,[1]ForwardDeriv!$D:$D,[1]ForwardDeriv!$AJ:$AJ)</f>
        <v>1.25</v>
      </c>
      <c r="J91" cm="1">
        <f t="array" ref="J91">_xlfn.XLOOKUP(TEXT(A91, "mmm-yy"), TEXT([2]GASOLINE!$B$5:$B$208, "mmm-yy"), [2]GASOLINE!$IR$5:$IR$208, "Not Found")</f>
        <v>-89.364887298817592</v>
      </c>
      <c r="K91" cm="1">
        <f t="array" ref="K91">_xlfn.XLOOKUP(TEXT(A91, "mmm-yy"), TEXT([2]GASOLINE!$B$5:$B$208, "mmm-yy"), [2]GASOLINE!$IK$5:$IK$208, "Not Found")</f>
        <v>0</v>
      </c>
      <c r="L91">
        <f t="shared" si="1"/>
        <v>0</v>
      </c>
      <c r="M91" cm="1">
        <f t="array" ref="M91">_xlfn.XLOOKUP(TEXT(A91, "mmm-yy"), TEXT([2]GASOLINE!$B$5:$B$208, "mmm-yy"), [2]GASOLINE!$C$5:$C$208, "Not Found")</f>
        <v>6390.4387440665359</v>
      </c>
      <c r="N91" cm="1">
        <f t="array" ref="N91">_xlfn.XLOOKUP(TEXT(A91, "mmm-yy"), TEXT([2]RUNS!$B$5:$B$208, "mmm-yy"), [2]RUNS!$BM$5:$BM$208, "Not Found")</f>
        <v>0.78240351130206076</v>
      </c>
    </row>
    <row r="92" spans="1:14" x14ac:dyDescent="0.25">
      <c r="A92" s="1">
        <f>'[1]Global_Spot Prices'!$B1401</f>
        <v>42131</v>
      </c>
      <c r="B92">
        <f>_xlfn.XLOOKUP(A92,'[1]Global_Spot Prices'!$B:$B,'[1]Global_Spot Prices'!$BS:$BS)</f>
        <v>13.829999999999998</v>
      </c>
      <c r="C92">
        <f>_xlfn.XLOOKUP(A92,'[1]Global_Spot Prices'!$B:$B,'[1]Global_Spot Prices'!$E:$E)</f>
        <v>66.150000000000006</v>
      </c>
      <c r="D92">
        <f>_xlfn.XLOOKUP(A92,'[1]Global_Spot Prices'!$B:$B,'[1]Global_Spot Prices'!$D:$D)</f>
        <v>64.84</v>
      </c>
      <c r="E92">
        <f>_xlfn.XLOOKUP(A92,'[1]Global_Spot Prices'!$B:$B,'[1]Global_Spot Prices'!$H:$H)</f>
        <v>62.57</v>
      </c>
      <c r="F92">
        <f>_xlfn.XLOOKUP(A92,'[1]Global_Spot Prices'!$B:$B,'[1]Global_Spot Prices'!$I:$I)</f>
        <v>79.98</v>
      </c>
      <c r="G92" cm="1">
        <f t="array" ref="G92">_xlfn.XLOOKUP(TEXT(A92, "mmm-yy"), TEXT([2]RUNS!$B$5:$B$208, "mmm-yy"), [2]RUNS!$D$5:$D$208, "Not Found")</f>
        <v>26418.402241571992</v>
      </c>
      <c r="H92" cm="1">
        <f t="array" ref="H92">SUMPRODUCT(
    --(TEXT('[3]Global Weekly Stock (EWSuez'!$B$4:$B$2000,"mmm-yy")=TEXT(A92,"mmm-yy")),
    '[3]Global Weekly Stock (EWSuez'!$E$4:$E$2000)
/
SUMPRODUCT(
    --(TEXT('[3]Global Weekly Stock (EWSuez'!$B$4:$B$2000,"mmm-yy")=TEXT(A92,"mmm-yy"))
)</f>
        <v>12194.8</v>
      </c>
      <c r="I92">
        <f>_xlfn.XLOOKUP(A92,[1]ForwardDeriv!$D:$D,[1]ForwardDeriv!$AJ:$AJ)</f>
        <v>1.0499999999999972</v>
      </c>
      <c r="J92" cm="1">
        <f t="array" ref="J92">_xlfn.XLOOKUP(TEXT(A92, "mmm-yy"), TEXT([2]GASOLINE!$B$5:$B$208, "mmm-yy"), [2]GASOLINE!$IR$5:$IR$208, "Not Found")</f>
        <v>-89.364887298817592</v>
      </c>
      <c r="K92" cm="1">
        <f t="array" ref="K92">_xlfn.XLOOKUP(TEXT(A92, "mmm-yy"), TEXT([2]GASOLINE!$B$5:$B$208, "mmm-yy"), [2]GASOLINE!$IK$5:$IK$208, "Not Found")</f>
        <v>0</v>
      </c>
      <c r="L92">
        <f t="shared" si="1"/>
        <v>0</v>
      </c>
      <c r="M92" cm="1">
        <f t="array" ref="M92">_xlfn.XLOOKUP(TEXT(A92, "mmm-yy"), TEXT([2]GASOLINE!$B$5:$B$208, "mmm-yy"), [2]GASOLINE!$C$5:$C$208, "Not Found")</f>
        <v>6390.4387440665359</v>
      </c>
      <c r="N92" cm="1">
        <f t="array" ref="N92">_xlfn.XLOOKUP(TEXT(A92, "mmm-yy"), TEXT([2]RUNS!$B$5:$B$208, "mmm-yy"), [2]RUNS!$BM$5:$BM$208, "Not Found")</f>
        <v>0.78240351130206076</v>
      </c>
    </row>
    <row r="93" spans="1:14" x14ac:dyDescent="0.25">
      <c r="A93" s="1">
        <f>'[1]Global_Spot Prices'!$B1402</f>
        <v>42132</v>
      </c>
      <c r="B93">
        <f>_xlfn.XLOOKUP(A93,'[1]Global_Spot Prices'!$B:$B,'[1]Global_Spot Prices'!$BS:$BS)</f>
        <v>14.480000000000004</v>
      </c>
      <c r="C93">
        <f>_xlfn.XLOOKUP(A93,'[1]Global_Spot Prices'!$B:$B,'[1]Global_Spot Prices'!$E:$E)</f>
        <v>64</v>
      </c>
      <c r="D93">
        <f>_xlfn.XLOOKUP(A93,'[1]Global_Spot Prices'!$B:$B,'[1]Global_Spot Prices'!$D:$D)</f>
        <v>64.025000000000006</v>
      </c>
      <c r="E93">
        <f>_xlfn.XLOOKUP(A93,'[1]Global_Spot Prices'!$B:$B,'[1]Global_Spot Prices'!$H:$H)</f>
        <v>61.57</v>
      </c>
      <c r="F93">
        <f>_xlfn.XLOOKUP(A93,'[1]Global_Spot Prices'!$B:$B,'[1]Global_Spot Prices'!$I:$I)</f>
        <v>78.48</v>
      </c>
      <c r="G93" cm="1">
        <f t="array" ref="G93">_xlfn.XLOOKUP(TEXT(A93, "mmm-yy"), TEXT([2]RUNS!$B$5:$B$208, "mmm-yy"), [2]RUNS!$D$5:$D$208, "Not Found")</f>
        <v>26418.402241571992</v>
      </c>
      <c r="H93" cm="1">
        <f t="array" ref="H93">SUMPRODUCT(
    --(TEXT('[3]Global Weekly Stock (EWSuez'!$B$4:$B$2000,"mmm-yy")=TEXT(A93,"mmm-yy")),
    '[3]Global Weekly Stock (EWSuez'!$E$4:$E$2000)
/
SUMPRODUCT(
    --(TEXT('[3]Global Weekly Stock (EWSuez'!$B$4:$B$2000,"mmm-yy")=TEXT(A93,"mmm-yy"))
)</f>
        <v>12194.8</v>
      </c>
      <c r="I93">
        <f>_xlfn.XLOOKUP(A93,[1]ForwardDeriv!$D:$D,[1]ForwardDeriv!$AJ:$AJ)</f>
        <v>1.2000000000000028</v>
      </c>
      <c r="J93" cm="1">
        <f t="array" ref="J93">_xlfn.XLOOKUP(TEXT(A93, "mmm-yy"), TEXT([2]GASOLINE!$B$5:$B$208, "mmm-yy"), [2]GASOLINE!$IR$5:$IR$208, "Not Found")</f>
        <v>-89.364887298817592</v>
      </c>
      <c r="K93" cm="1">
        <f t="array" ref="K93">_xlfn.XLOOKUP(TEXT(A93, "mmm-yy"), TEXT([2]GASOLINE!$B$5:$B$208, "mmm-yy"), [2]GASOLINE!$IK$5:$IK$208, "Not Found")</f>
        <v>0</v>
      </c>
      <c r="L93">
        <f t="shared" si="1"/>
        <v>0</v>
      </c>
      <c r="M93" cm="1">
        <f t="array" ref="M93">_xlfn.XLOOKUP(TEXT(A93, "mmm-yy"), TEXT([2]GASOLINE!$B$5:$B$208, "mmm-yy"), [2]GASOLINE!$C$5:$C$208, "Not Found")</f>
        <v>6390.4387440665359</v>
      </c>
      <c r="N93" cm="1">
        <f t="array" ref="N93">_xlfn.XLOOKUP(TEXT(A93, "mmm-yy"), TEXT([2]RUNS!$B$5:$B$208, "mmm-yy"), [2]RUNS!$BM$5:$BM$208, "Not Found")</f>
        <v>0.78240351130206076</v>
      </c>
    </row>
    <row r="94" spans="1:14" x14ac:dyDescent="0.25">
      <c r="A94" s="1">
        <f>'[1]Global_Spot Prices'!$B1403</f>
        <v>42135</v>
      </c>
      <c r="B94">
        <f>_xlfn.XLOOKUP(A94,'[1]Global_Spot Prices'!$B:$B,'[1]Global_Spot Prices'!$BS:$BS)</f>
        <v>16.909999999999997</v>
      </c>
      <c r="C94">
        <f>_xlfn.XLOOKUP(A94,'[1]Global_Spot Prices'!$B:$B,'[1]Global_Spot Prices'!$E:$E)</f>
        <v>63.7</v>
      </c>
      <c r="D94">
        <f>_xlfn.XLOOKUP(A94,'[1]Global_Spot Prices'!$B:$B,'[1]Global_Spot Prices'!$D:$D)</f>
        <v>62.954999999999998</v>
      </c>
      <c r="E94">
        <f>_xlfn.XLOOKUP(A94,'[1]Global_Spot Prices'!$B:$B,'[1]Global_Spot Prices'!$H:$H)</f>
        <v>61.9</v>
      </c>
      <c r="F94">
        <f>_xlfn.XLOOKUP(A94,'[1]Global_Spot Prices'!$B:$B,'[1]Global_Spot Prices'!$I:$I)</f>
        <v>80.61</v>
      </c>
      <c r="G94" cm="1">
        <f t="array" ref="G94">_xlfn.XLOOKUP(TEXT(A94, "mmm-yy"), TEXT([2]RUNS!$B$5:$B$208, "mmm-yy"), [2]RUNS!$D$5:$D$208, "Not Found")</f>
        <v>26418.402241571992</v>
      </c>
      <c r="H94" cm="1">
        <f t="array" ref="H94">SUMPRODUCT(
    --(TEXT('[3]Global Weekly Stock (EWSuez'!$B$4:$B$2000,"mmm-yy")=TEXT(A94,"mmm-yy")),
    '[3]Global Weekly Stock (EWSuez'!$E$4:$E$2000)
/
SUMPRODUCT(
    --(TEXT('[3]Global Weekly Stock (EWSuez'!$B$4:$B$2000,"mmm-yy")=TEXT(A94,"mmm-yy"))
)</f>
        <v>12194.8</v>
      </c>
      <c r="I94">
        <f>_xlfn.XLOOKUP(A94,[1]ForwardDeriv!$D:$D,[1]ForwardDeriv!$AJ:$AJ)</f>
        <v>1.4500000000000028</v>
      </c>
      <c r="J94" cm="1">
        <f t="array" ref="J94">_xlfn.XLOOKUP(TEXT(A94, "mmm-yy"), TEXT([2]GASOLINE!$B$5:$B$208, "mmm-yy"), [2]GASOLINE!$IR$5:$IR$208, "Not Found")</f>
        <v>-89.364887298817592</v>
      </c>
      <c r="K94" cm="1">
        <f t="array" ref="K94">_xlfn.XLOOKUP(TEXT(A94, "mmm-yy"), TEXT([2]GASOLINE!$B$5:$B$208, "mmm-yy"), [2]GASOLINE!$IK$5:$IK$208, "Not Found")</f>
        <v>0</v>
      </c>
      <c r="L94">
        <f t="shared" si="1"/>
        <v>0</v>
      </c>
      <c r="M94" cm="1">
        <f t="array" ref="M94">_xlfn.XLOOKUP(TEXT(A94, "mmm-yy"), TEXT([2]GASOLINE!$B$5:$B$208, "mmm-yy"), [2]GASOLINE!$C$5:$C$208, "Not Found")</f>
        <v>6390.4387440665359</v>
      </c>
      <c r="N94" cm="1">
        <f t="array" ref="N94">_xlfn.XLOOKUP(TEXT(A94, "mmm-yy"), TEXT([2]RUNS!$B$5:$B$208, "mmm-yy"), [2]RUNS!$BM$5:$BM$208, "Not Found")</f>
        <v>0.78240351130206076</v>
      </c>
    </row>
    <row r="95" spans="1:14" x14ac:dyDescent="0.25">
      <c r="A95" s="1">
        <f>'[1]Global_Spot Prices'!$B1404</f>
        <v>42136</v>
      </c>
      <c r="B95">
        <f>_xlfn.XLOOKUP(A95,'[1]Global_Spot Prices'!$B:$B,'[1]Global_Spot Prices'!$BS:$BS)</f>
        <v>16.840000000000003</v>
      </c>
      <c r="C95">
        <f>_xlfn.XLOOKUP(A95,'[1]Global_Spot Prices'!$B:$B,'[1]Global_Spot Prices'!$E:$E)</f>
        <v>63.41</v>
      </c>
      <c r="D95">
        <f>_xlfn.XLOOKUP(A95,'[1]Global_Spot Prices'!$B:$B,'[1]Global_Spot Prices'!$D:$D)</f>
        <v>65.314999999999998</v>
      </c>
      <c r="E95">
        <f>_xlfn.XLOOKUP(A95,'[1]Global_Spot Prices'!$B:$B,'[1]Global_Spot Prices'!$H:$H)</f>
        <v>62.26</v>
      </c>
      <c r="F95">
        <f>_xlfn.XLOOKUP(A95,'[1]Global_Spot Prices'!$B:$B,'[1]Global_Spot Prices'!$I:$I)</f>
        <v>80.25</v>
      </c>
      <c r="G95" cm="1">
        <f t="array" ref="G95">_xlfn.XLOOKUP(TEXT(A95, "mmm-yy"), TEXT([2]RUNS!$B$5:$B$208, "mmm-yy"), [2]RUNS!$D$5:$D$208, "Not Found")</f>
        <v>26418.402241571992</v>
      </c>
      <c r="H95" cm="1">
        <f t="array" ref="H95">SUMPRODUCT(
    --(TEXT('[3]Global Weekly Stock (EWSuez'!$B$4:$B$2000,"mmm-yy")=TEXT(A95,"mmm-yy")),
    '[3]Global Weekly Stock (EWSuez'!$E$4:$E$2000)
/
SUMPRODUCT(
    --(TEXT('[3]Global Weekly Stock (EWSuez'!$B$4:$B$2000,"mmm-yy")=TEXT(A95,"mmm-yy"))
)</f>
        <v>12194.8</v>
      </c>
      <c r="I95">
        <f>_xlfn.XLOOKUP(A95,[1]ForwardDeriv!$D:$D,[1]ForwardDeriv!$AJ:$AJ)</f>
        <v>1.5500000000000114</v>
      </c>
      <c r="J95" cm="1">
        <f t="array" ref="J95">_xlfn.XLOOKUP(TEXT(A95, "mmm-yy"), TEXT([2]GASOLINE!$B$5:$B$208, "mmm-yy"), [2]GASOLINE!$IR$5:$IR$208, "Not Found")</f>
        <v>-89.364887298817592</v>
      </c>
      <c r="K95" cm="1">
        <f t="array" ref="K95">_xlfn.XLOOKUP(TEXT(A95, "mmm-yy"), TEXT([2]GASOLINE!$B$5:$B$208, "mmm-yy"), [2]GASOLINE!$IK$5:$IK$208, "Not Found")</f>
        <v>0</v>
      </c>
      <c r="L95">
        <f t="shared" si="1"/>
        <v>0</v>
      </c>
      <c r="M95" cm="1">
        <f t="array" ref="M95">_xlfn.XLOOKUP(TEXT(A95, "mmm-yy"), TEXT([2]GASOLINE!$B$5:$B$208, "mmm-yy"), [2]GASOLINE!$C$5:$C$208, "Not Found")</f>
        <v>6390.4387440665359</v>
      </c>
      <c r="N95" cm="1">
        <f t="array" ref="N95">_xlfn.XLOOKUP(TEXT(A95, "mmm-yy"), TEXT([2]RUNS!$B$5:$B$208, "mmm-yy"), [2]RUNS!$BM$5:$BM$208, "Not Found")</f>
        <v>0.78240351130206076</v>
      </c>
    </row>
    <row r="96" spans="1:14" x14ac:dyDescent="0.25">
      <c r="A96" s="1">
        <f>'[1]Global_Spot Prices'!$B1405</f>
        <v>42137</v>
      </c>
      <c r="B96">
        <f>_xlfn.XLOOKUP(A96,'[1]Global_Spot Prices'!$B:$B,'[1]Global_Spot Prices'!$BS:$BS)</f>
        <v>17.209999999999994</v>
      </c>
      <c r="C96">
        <f>_xlfn.XLOOKUP(A96,'[1]Global_Spot Prices'!$B:$B,'[1]Global_Spot Prices'!$E:$E)</f>
        <v>65.260000000000005</v>
      </c>
      <c r="D96">
        <f>_xlfn.XLOOKUP(A96,'[1]Global_Spot Prices'!$B:$B,'[1]Global_Spot Prices'!$D:$D)</f>
        <v>66.650000000000006</v>
      </c>
      <c r="E96">
        <f>_xlfn.XLOOKUP(A96,'[1]Global_Spot Prices'!$B:$B,'[1]Global_Spot Prices'!$H:$H)</f>
        <v>63.87</v>
      </c>
      <c r="F96">
        <f>_xlfn.XLOOKUP(A96,'[1]Global_Spot Prices'!$B:$B,'[1]Global_Spot Prices'!$I:$I)</f>
        <v>82.47</v>
      </c>
      <c r="G96" cm="1">
        <f t="array" ref="G96">_xlfn.XLOOKUP(TEXT(A96, "mmm-yy"), TEXT([2]RUNS!$B$5:$B$208, "mmm-yy"), [2]RUNS!$D$5:$D$208, "Not Found")</f>
        <v>26418.402241571992</v>
      </c>
      <c r="H96" cm="1">
        <f t="array" ref="H96">SUMPRODUCT(
    --(TEXT('[3]Global Weekly Stock (EWSuez'!$B$4:$B$2000,"mmm-yy")=TEXT(A96,"mmm-yy")),
    '[3]Global Weekly Stock (EWSuez'!$E$4:$E$2000)
/
SUMPRODUCT(
    --(TEXT('[3]Global Weekly Stock (EWSuez'!$B$4:$B$2000,"mmm-yy")=TEXT(A96,"mmm-yy"))
)</f>
        <v>12194.8</v>
      </c>
      <c r="I96">
        <f>_xlfn.XLOOKUP(A96,[1]ForwardDeriv!$D:$D,[1]ForwardDeriv!$AJ:$AJ)</f>
        <v>1.5500000000000114</v>
      </c>
      <c r="J96" cm="1">
        <f t="array" ref="J96">_xlfn.XLOOKUP(TEXT(A96, "mmm-yy"), TEXT([2]GASOLINE!$B$5:$B$208, "mmm-yy"), [2]GASOLINE!$IR$5:$IR$208, "Not Found")</f>
        <v>-89.364887298817592</v>
      </c>
      <c r="K96" cm="1">
        <f t="array" ref="K96">_xlfn.XLOOKUP(TEXT(A96, "mmm-yy"), TEXT([2]GASOLINE!$B$5:$B$208, "mmm-yy"), [2]GASOLINE!$IK$5:$IK$208, "Not Found")</f>
        <v>0</v>
      </c>
      <c r="L96">
        <f t="shared" si="1"/>
        <v>0</v>
      </c>
      <c r="M96" cm="1">
        <f t="array" ref="M96">_xlfn.XLOOKUP(TEXT(A96, "mmm-yy"), TEXT([2]GASOLINE!$B$5:$B$208, "mmm-yy"), [2]GASOLINE!$C$5:$C$208, "Not Found")</f>
        <v>6390.4387440665359</v>
      </c>
      <c r="N96" cm="1">
        <f t="array" ref="N96">_xlfn.XLOOKUP(TEXT(A96, "mmm-yy"), TEXT([2]RUNS!$B$5:$B$208, "mmm-yy"), [2]RUNS!$BM$5:$BM$208, "Not Found")</f>
        <v>0.78240351130206076</v>
      </c>
    </row>
    <row r="97" spans="1:14" x14ac:dyDescent="0.25">
      <c r="A97" s="1">
        <f>'[1]Global_Spot Prices'!$B1406</f>
        <v>42138</v>
      </c>
      <c r="B97">
        <f>_xlfn.XLOOKUP(A97,'[1]Global_Spot Prices'!$B:$B,'[1]Global_Spot Prices'!$BS:$BS)</f>
        <v>16.97</v>
      </c>
      <c r="C97">
        <f>_xlfn.XLOOKUP(A97,'[1]Global_Spot Prices'!$B:$B,'[1]Global_Spot Prices'!$E:$E)</f>
        <v>64.5</v>
      </c>
      <c r="D97">
        <f>_xlfn.XLOOKUP(A97,'[1]Global_Spot Prices'!$B:$B,'[1]Global_Spot Prices'!$D:$D)</f>
        <v>65.66</v>
      </c>
      <c r="E97">
        <f>_xlfn.XLOOKUP(A97,'[1]Global_Spot Prices'!$B:$B,'[1]Global_Spot Prices'!$H:$H)</f>
        <v>63.45</v>
      </c>
      <c r="F97">
        <f>_xlfn.XLOOKUP(A97,'[1]Global_Spot Prices'!$B:$B,'[1]Global_Spot Prices'!$I:$I)</f>
        <v>81.47</v>
      </c>
      <c r="G97" cm="1">
        <f t="array" ref="G97">_xlfn.XLOOKUP(TEXT(A97, "mmm-yy"), TEXT([2]RUNS!$B$5:$B$208, "mmm-yy"), [2]RUNS!$D$5:$D$208, "Not Found")</f>
        <v>26418.402241571992</v>
      </c>
      <c r="H97" cm="1">
        <f t="array" ref="H97">SUMPRODUCT(
    --(TEXT('[3]Global Weekly Stock (EWSuez'!$B$4:$B$2000,"mmm-yy")=TEXT(A97,"mmm-yy")),
    '[3]Global Weekly Stock (EWSuez'!$E$4:$E$2000)
/
SUMPRODUCT(
    --(TEXT('[3]Global Weekly Stock (EWSuez'!$B$4:$B$2000,"mmm-yy")=TEXT(A97,"mmm-yy"))
)</f>
        <v>12194.8</v>
      </c>
      <c r="I97">
        <f>_xlfn.XLOOKUP(A97,[1]ForwardDeriv!$D:$D,[1]ForwardDeriv!$AJ:$AJ)</f>
        <v>1.5999999999999943</v>
      </c>
      <c r="J97" cm="1">
        <f t="array" ref="J97">_xlfn.XLOOKUP(TEXT(A97, "mmm-yy"), TEXT([2]GASOLINE!$B$5:$B$208, "mmm-yy"), [2]GASOLINE!$IR$5:$IR$208, "Not Found")</f>
        <v>-89.364887298817592</v>
      </c>
      <c r="K97" cm="1">
        <f t="array" ref="K97">_xlfn.XLOOKUP(TEXT(A97, "mmm-yy"), TEXT([2]GASOLINE!$B$5:$B$208, "mmm-yy"), [2]GASOLINE!$IK$5:$IK$208, "Not Found")</f>
        <v>0</v>
      </c>
      <c r="L97">
        <f t="shared" si="1"/>
        <v>0</v>
      </c>
      <c r="M97" cm="1">
        <f t="array" ref="M97">_xlfn.XLOOKUP(TEXT(A97, "mmm-yy"), TEXT([2]GASOLINE!$B$5:$B$208, "mmm-yy"), [2]GASOLINE!$C$5:$C$208, "Not Found")</f>
        <v>6390.4387440665359</v>
      </c>
      <c r="N97" cm="1">
        <f t="array" ref="N97">_xlfn.XLOOKUP(TEXT(A97, "mmm-yy"), TEXT([2]RUNS!$B$5:$B$208, "mmm-yy"), [2]RUNS!$BM$5:$BM$208, "Not Found")</f>
        <v>0.78240351130206076</v>
      </c>
    </row>
    <row r="98" spans="1:14" x14ac:dyDescent="0.25">
      <c r="A98" s="1">
        <f>'[1]Global_Spot Prices'!$B1407</f>
        <v>42139</v>
      </c>
      <c r="B98">
        <f>_xlfn.XLOOKUP(A98,'[1]Global_Spot Prices'!$B:$B,'[1]Global_Spot Prices'!$BS:$BS)</f>
        <v>18.590000000000003</v>
      </c>
      <c r="C98">
        <f>_xlfn.XLOOKUP(A98,'[1]Global_Spot Prices'!$B:$B,'[1]Global_Spot Prices'!$E:$E)</f>
        <v>64.09</v>
      </c>
      <c r="D98">
        <f>_xlfn.XLOOKUP(A98,'[1]Global_Spot Prices'!$B:$B,'[1]Global_Spot Prices'!$D:$D)</f>
        <v>65.17</v>
      </c>
      <c r="E98">
        <f>_xlfn.XLOOKUP(A98,'[1]Global_Spot Prices'!$B:$B,'[1]Global_Spot Prices'!$H:$H)</f>
        <v>63.69</v>
      </c>
      <c r="F98">
        <f>_xlfn.XLOOKUP(A98,'[1]Global_Spot Prices'!$B:$B,'[1]Global_Spot Prices'!$I:$I)</f>
        <v>82.68</v>
      </c>
      <c r="G98" cm="1">
        <f t="array" ref="G98">_xlfn.XLOOKUP(TEXT(A98, "mmm-yy"), TEXT([2]RUNS!$B$5:$B$208, "mmm-yy"), [2]RUNS!$D$5:$D$208, "Not Found")</f>
        <v>26418.402241571992</v>
      </c>
      <c r="H98" cm="1">
        <f t="array" ref="H98">SUMPRODUCT(
    --(TEXT('[3]Global Weekly Stock (EWSuez'!$B$4:$B$2000,"mmm-yy")=TEXT(A98,"mmm-yy")),
    '[3]Global Weekly Stock (EWSuez'!$E$4:$E$2000)
/
SUMPRODUCT(
    --(TEXT('[3]Global Weekly Stock (EWSuez'!$B$4:$B$2000,"mmm-yy")=TEXT(A98,"mmm-yy"))
)</f>
        <v>12194.8</v>
      </c>
      <c r="I98">
        <f>_xlfn.XLOOKUP(A98,[1]ForwardDeriv!$D:$D,[1]ForwardDeriv!$AJ:$AJ)</f>
        <v>1.9500000000000028</v>
      </c>
      <c r="J98" cm="1">
        <f t="array" ref="J98">_xlfn.XLOOKUP(TEXT(A98, "mmm-yy"), TEXT([2]GASOLINE!$B$5:$B$208, "mmm-yy"), [2]GASOLINE!$IR$5:$IR$208, "Not Found")</f>
        <v>-89.364887298817592</v>
      </c>
      <c r="K98" cm="1">
        <f t="array" ref="K98">_xlfn.XLOOKUP(TEXT(A98, "mmm-yy"), TEXT([2]GASOLINE!$B$5:$B$208, "mmm-yy"), [2]GASOLINE!$IK$5:$IK$208, "Not Found")</f>
        <v>0</v>
      </c>
      <c r="L98">
        <f t="shared" si="1"/>
        <v>0</v>
      </c>
      <c r="M98" cm="1">
        <f t="array" ref="M98">_xlfn.XLOOKUP(TEXT(A98, "mmm-yy"), TEXT([2]GASOLINE!$B$5:$B$208, "mmm-yy"), [2]GASOLINE!$C$5:$C$208, "Not Found")</f>
        <v>6390.4387440665359</v>
      </c>
      <c r="N98" cm="1">
        <f t="array" ref="N98">_xlfn.XLOOKUP(TEXT(A98, "mmm-yy"), TEXT([2]RUNS!$B$5:$B$208, "mmm-yy"), [2]RUNS!$BM$5:$BM$208, "Not Found")</f>
        <v>0.78240351130206076</v>
      </c>
    </row>
    <row r="99" spans="1:14" x14ac:dyDescent="0.25">
      <c r="A99" s="1">
        <f>'[1]Global_Spot Prices'!$B1408</f>
        <v>42142</v>
      </c>
      <c r="B99">
        <f>_xlfn.XLOOKUP(A99,'[1]Global_Spot Prices'!$B:$B,'[1]Global_Spot Prices'!$BS:$BS)</f>
        <v>19.420000000000002</v>
      </c>
      <c r="C99">
        <f>_xlfn.XLOOKUP(A99,'[1]Global_Spot Prices'!$B:$B,'[1]Global_Spot Prices'!$E:$E)</f>
        <v>64.55</v>
      </c>
      <c r="D99">
        <f>_xlfn.XLOOKUP(A99,'[1]Global_Spot Prices'!$B:$B,'[1]Global_Spot Prices'!$D:$D)</f>
        <v>65.22</v>
      </c>
      <c r="E99">
        <f>_xlfn.XLOOKUP(A99,'[1]Global_Spot Prices'!$B:$B,'[1]Global_Spot Prices'!$H:$H)</f>
        <v>64.48</v>
      </c>
      <c r="F99">
        <f>_xlfn.XLOOKUP(A99,'[1]Global_Spot Prices'!$B:$B,'[1]Global_Spot Prices'!$I:$I)</f>
        <v>83.97</v>
      </c>
      <c r="G99" cm="1">
        <f t="array" ref="G99">_xlfn.XLOOKUP(TEXT(A99, "mmm-yy"), TEXT([2]RUNS!$B$5:$B$208, "mmm-yy"), [2]RUNS!$D$5:$D$208, "Not Found")</f>
        <v>26418.402241571992</v>
      </c>
      <c r="H99" cm="1">
        <f t="array" ref="H99">SUMPRODUCT(
    --(TEXT('[3]Global Weekly Stock (EWSuez'!$B$4:$B$2000,"mmm-yy")=TEXT(A99,"mmm-yy")),
    '[3]Global Weekly Stock (EWSuez'!$E$4:$E$2000)
/
SUMPRODUCT(
    --(TEXT('[3]Global Weekly Stock (EWSuez'!$B$4:$B$2000,"mmm-yy")=TEXT(A99,"mmm-yy"))
)</f>
        <v>12194.8</v>
      </c>
      <c r="I99">
        <f>_xlfn.XLOOKUP(A99,[1]ForwardDeriv!$D:$D,[1]ForwardDeriv!$AJ:$AJ)</f>
        <v>2.5</v>
      </c>
      <c r="J99" cm="1">
        <f t="array" ref="J99">_xlfn.XLOOKUP(TEXT(A99, "mmm-yy"), TEXT([2]GASOLINE!$B$5:$B$208, "mmm-yy"), [2]GASOLINE!$IR$5:$IR$208, "Not Found")</f>
        <v>-89.364887298817592</v>
      </c>
      <c r="K99" cm="1">
        <f t="array" ref="K99">_xlfn.XLOOKUP(TEXT(A99, "mmm-yy"), TEXT([2]GASOLINE!$B$5:$B$208, "mmm-yy"), [2]GASOLINE!$IK$5:$IK$208, "Not Found")</f>
        <v>0</v>
      </c>
      <c r="L99">
        <f t="shared" si="1"/>
        <v>0</v>
      </c>
      <c r="M99" cm="1">
        <f t="array" ref="M99">_xlfn.XLOOKUP(TEXT(A99, "mmm-yy"), TEXT([2]GASOLINE!$B$5:$B$208, "mmm-yy"), [2]GASOLINE!$C$5:$C$208, "Not Found")</f>
        <v>6390.4387440665359</v>
      </c>
      <c r="N99" cm="1">
        <f t="array" ref="N99">_xlfn.XLOOKUP(TEXT(A99, "mmm-yy"), TEXT([2]RUNS!$B$5:$B$208, "mmm-yy"), [2]RUNS!$BM$5:$BM$208, "Not Found")</f>
        <v>0.78240351130206076</v>
      </c>
    </row>
    <row r="100" spans="1:14" x14ac:dyDescent="0.25">
      <c r="A100" s="1">
        <f>'[1]Global_Spot Prices'!$B1409</f>
        <v>42143</v>
      </c>
      <c r="B100">
        <f>_xlfn.XLOOKUP(A100,'[1]Global_Spot Prices'!$B:$B,'[1]Global_Spot Prices'!$BS:$BS)</f>
        <v>19.89</v>
      </c>
      <c r="C100">
        <f>_xlfn.XLOOKUP(A100,'[1]Global_Spot Prices'!$B:$B,'[1]Global_Spot Prices'!$E:$E)</f>
        <v>62.81</v>
      </c>
      <c r="D100">
        <f>_xlfn.XLOOKUP(A100,'[1]Global_Spot Prices'!$B:$B,'[1]Global_Spot Prices'!$D:$D)</f>
        <v>63.524999999999999</v>
      </c>
      <c r="E100">
        <f>_xlfn.XLOOKUP(A100,'[1]Global_Spot Prices'!$B:$B,'[1]Global_Spot Prices'!$H:$H)</f>
        <v>62.43</v>
      </c>
      <c r="F100">
        <f>_xlfn.XLOOKUP(A100,'[1]Global_Spot Prices'!$B:$B,'[1]Global_Spot Prices'!$I:$I)</f>
        <v>82.7</v>
      </c>
      <c r="G100" cm="1">
        <f t="array" ref="G100">_xlfn.XLOOKUP(TEXT(A100, "mmm-yy"), TEXT([2]RUNS!$B$5:$B$208, "mmm-yy"), [2]RUNS!$D$5:$D$208, "Not Found")</f>
        <v>26418.402241571992</v>
      </c>
      <c r="H100" cm="1">
        <f t="array" ref="H100">SUMPRODUCT(
    --(TEXT('[3]Global Weekly Stock (EWSuez'!$B$4:$B$2000,"mmm-yy")=TEXT(A100,"mmm-yy")),
    '[3]Global Weekly Stock (EWSuez'!$E$4:$E$2000)
/
SUMPRODUCT(
    --(TEXT('[3]Global Weekly Stock (EWSuez'!$B$4:$B$2000,"mmm-yy")=TEXT(A100,"mmm-yy"))
)</f>
        <v>12194.8</v>
      </c>
      <c r="I100">
        <f>_xlfn.XLOOKUP(A100,[1]ForwardDeriv!$D:$D,[1]ForwardDeriv!$AJ:$AJ)</f>
        <v>2.5999999999999943</v>
      </c>
      <c r="J100" cm="1">
        <f t="array" ref="J100">_xlfn.XLOOKUP(TEXT(A100, "mmm-yy"), TEXT([2]GASOLINE!$B$5:$B$208, "mmm-yy"), [2]GASOLINE!$IR$5:$IR$208, "Not Found")</f>
        <v>-89.364887298817592</v>
      </c>
      <c r="K100" cm="1">
        <f t="array" ref="K100">_xlfn.XLOOKUP(TEXT(A100, "mmm-yy"), TEXT([2]GASOLINE!$B$5:$B$208, "mmm-yy"), [2]GASOLINE!$IK$5:$IK$208, "Not Found")</f>
        <v>0</v>
      </c>
      <c r="L100">
        <f t="shared" si="1"/>
        <v>0</v>
      </c>
      <c r="M100" cm="1">
        <f t="array" ref="M100">_xlfn.XLOOKUP(TEXT(A100, "mmm-yy"), TEXT([2]GASOLINE!$B$5:$B$208, "mmm-yy"), [2]GASOLINE!$C$5:$C$208, "Not Found")</f>
        <v>6390.4387440665359</v>
      </c>
      <c r="N100" cm="1">
        <f t="array" ref="N100">_xlfn.XLOOKUP(TEXT(A100, "mmm-yy"), TEXT([2]RUNS!$B$5:$B$208, "mmm-yy"), [2]RUNS!$BM$5:$BM$208, "Not Found")</f>
        <v>0.78240351130206076</v>
      </c>
    </row>
    <row r="101" spans="1:14" x14ac:dyDescent="0.25">
      <c r="A101" s="1">
        <f>'[1]Global_Spot Prices'!$B1410</f>
        <v>42144</v>
      </c>
      <c r="B101">
        <f>_xlfn.XLOOKUP(A101,'[1]Global_Spot Prices'!$B:$B,'[1]Global_Spot Prices'!$BS:$BS)</f>
        <v>19.479999999999997</v>
      </c>
      <c r="C101">
        <f>_xlfn.XLOOKUP(A101,'[1]Global_Spot Prices'!$B:$B,'[1]Global_Spot Prices'!$E:$E)</f>
        <v>62.29</v>
      </c>
      <c r="D101">
        <f>_xlfn.XLOOKUP(A101,'[1]Global_Spot Prices'!$B:$B,'[1]Global_Spot Prices'!$D:$D)</f>
        <v>63.59</v>
      </c>
      <c r="E101">
        <f>_xlfn.XLOOKUP(A101,'[1]Global_Spot Prices'!$B:$B,'[1]Global_Spot Prices'!$H:$H)</f>
        <v>61.64</v>
      </c>
      <c r="F101">
        <f>_xlfn.XLOOKUP(A101,'[1]Global_Spot Prices'!$B:$B,'[1]Global_Spot Prices'!$I:$I)</f>
        <v>81.77</v>
      </c>
      <c r="G101" cm="1">
        <f t="array" ref="G101">_xlfn.XLOOKUP(TEXT(A101, "mmm-yy"), TEXT([2]RUNS!$B$5:$B$208, "mmm-yy"), [2]RUNS!$D$5:$D$208, "Not Found")</f>
        <v>26418.402241571992</v>
      </c>
      <c r="H101" cm="1">
        <f t="array" ref="H101">SUMPRODUCT(
    --(TEXT('[3]Global Weekly Stock (EWSuez'!$B$4:$B$2000,"mmm-yy")=TEXT(A101,"mmm-yy")),
    '[3]Global Weekly Stock (EWSuez'!$E$4:$E$2000)
/
SUMPRODUCT(
    --(TEXT('[3]Global Weekly Stock (EWSuez'!$B$4:$B$2000,"mmm-yy")=TEXT(A101,"mmm-yy"))
)</f>
        <v>12194.8</v>
      </c>
      <c r="I101">
        <f>_xlfn.XLOOKUP(A101,[1]ForwardDeriv!$D:$D,[1]ForwardDeriv!$AJ:$AJ)</f>
        <v>2.6000000000000085</v>
      </c>
      <c r="J101" cm="1">
        <f t="array" ref="J101">_xlfn.XLOOKUP(TEXT(A101, "mmm-yy"), TEXT([2]GASOLINE!$B$5:$B$208, "mmm-yy"), [2]GASOLINE!$IR$5:$IR$208, "Not Found")</f>
        <v>-89.364887298817592</v>
      </c>
      <c r="K101" cm="1">
        <f t="array" ref="K101">_xlfn.XLOOKUP(TEXT(A101, "mmm-yy"), TEXT([2]GASOLINE!$B$5:$B$208, "mmm-yy"), [2]GASOLINE!$IK$5:$IK$208, "Not Found")</f>
        <v>0</v>
      </c>
      <c r="L101">
        <f t="shared" si="1"/>
        <v>0</v>
      </c>
      <c r="M101" cm="1">
        <f t="array" ref="M101">_xlfn.XLOOKUP(TEXT(A101, "mmm-yy"), TEXT([2]GASOLINE!$B$5:$B$208, "mmm-yy"), [2]GASOLINE!$C$5:$C$208, "Not Found")</f>
        <v>6390.4387440665359</v>
      </c>
      <c r="N101" cm="1">
        <f t="array" ref="N101">_xlfn.XLOOKUP(TEXT(A101, "mmm-yy"), TEXT([2]RUNS!$B$5:$B$208, "mmm-yy"), [2]RUNS!$BM$5:$BM$208, "Not Found")</f>
        <v>0.78240351130206076</v>
      </c>
    </row>
    <row r="102" spans="1:14" x14ac:dyDescent="0.25">
      <c r="A102" s="1">
        <f>'[1]Global_Spot Prices'!$B1411</f>
        <v>42145</v>
      </c>
      <c r="B102">
        <f>_xlfn.XLOOKUP(A102,'[1]Global_Spot Prices'!$B:$B,'[1]Global_Spot Prices'!$BS:$BS)</f>
        <v>18.900000000000006</v>
      </c>
      <c r="C102">
        <f>_xlfn.XLOOKUP(A102,'[1]Global_Spot Prices'!$B:$B,'[1]Global_Spot Prices'!$E:$E)</f>
        <v>62.61</v>
      </c>
      <c r="D102">
        <f>_xlfn.XLOOKUP(A102,'[1]Global_Spot Prices'!$B:$B,'[1]Global_Spot Prices'!$D:$D)</f>
        <v>65.650000000000006</v>
      </c>
      <c r="E102">
        <f>_xlfn.XLOOKUP(A102,'[1]Global_Spot Prices'!$B:$B,'[1]Global_Spot Prices'!$H:$H)</f>
        <v>61.48</v>
      </c>
      <c r="F102">
        <f>_xlfn.XLOOKUP(A102,'[1]Global_Spot Prices'!$B:$B,'[1]Global_Spot Prices'!$I:$I)</f>
        <v>81.510000000000005</v>
      </c>
      <c r="G102" cm="1">
        <f t="array" ref="G102">_xlfn.XLOOKUP(TEXT(A102, "mmm-yy"), TEXT([2]RUNS!$B$5:$B$208, "mmm-yy"), [2]RUNS!$D$5:$D$208, "Not Found")</f>
        <v>26418.402241571992</v>
      </c>
      <c r="H102" cm="1">
        <f t="array" ref="H102">SUMPRODUCT(
    --(TEXT('[3]Global Weekly Stock (EWSuez'!$B$4:$B$2000,"mmm-yy")=TEXT(A102,"mmm-yy")),
    '[3]Global Weekly Stock (EWSuez'!$E$4:$E$2000)
/
SUMPRODUCT(
    --(TEXT('[3]Global Weekly Stock (EWSuez'!$B$4:$B$2000,"mmm-yy")=TEXT(A102,"mmm-yy"))
)</f>
        <v>12194.8</v>
      </c>
      <c r="I102">
        <f>_xlfn.XLOOKUP(A102,[1]ForwardDeriv!$D:$D,[1]ForwardDeriv!$AJ:$AJ)</f>
        <v>2.5499999999999972</v>
      </c>
      <c r="J102" cm="1">
        <f t="array" ref="J102">_xlfn.XLOOKUP(TEXT(A102, "mmm-yy"), TEXT([2]GASOLINE!$B$5:$B$208, "mmm-yy"), [2]GASOLINE!$IR$5:$IR$208, "Not Found")</f>
        <v>-89.364887298817592</v>
      </c>
      <c r="K102" cm="1">
        <f t="array" ref="K102">_xlfn.XLOOKUP(TEXT(A102, "mmm-yy"), TEXT([2]GASOLINE!$B$5:$B$208, "mmm-yy"), [2]GASOLINE!$IK$5:$IK$208, "Not Found")</f>
        <v>0</v>
      </c>
      <c r="L102">
        <f t="shared" si="1"/>
        <v>0</v>
      </c>
      <c r="M102" cm="1">
        <f t="array" ref="M102">_xlfn.XLOOKUP(TEXT(A102, "mmm-yy"), TEXT([2]GASOLINE!$B$5:$B$208, "mmm-yy"), [2]GASOLINE!$C$5:$C$208, "Not Found")</f>
        <v>6390.4387440665359</v>
      </c>
      <c r="N102" cm="1">
        <f t="array" ref="N102">_xlfn.XLOOKUP(TEXT(A102, "mmm-yy"), TEXT([2]RUNS!$B$5:$B$208, "mmm-yy"), [2]RUNS!$BM$5:$BM$208, "Not Found")</f>
        <v>0.78240351130206076</v>
      </c>
    </row>
    <row r="103" spans="1:14" x14ac:dyDescent="0.25">
      <c r="A103" s="1">
        <f>'[1]Global_Spot Prices'!$B1412</f>
        <v>42146</v>
      </c>
      <c r="B103">
        <f>_xlfn.XLOOKUP(A103,'[1]Global_Spot Prices'!$B:$B,'[1]Global_Spot Prices'!$BS:$BS)</f>
        <v>19.379999999999995</v>
      </c>
      <c r="C103">
        <f>_xlfn.XLOOKUP(A103,'[1]Global_Spot Prices'!$B:$B,'[1]Global_Spot Prices'!$E:$E)</f>
        <v>63.45</v>
      </c>
      <c r="D103">
        <f>_xlfn.XLOOKUP(A103,'[1]Global_Spot Prices'!$B:$B,'[1]Global_Spot Prices'!$D:$D)</f>
        <v>64.290000000000006</v>
      </c>
      <c r="E103">
        <f>_xlfn.XLOOKUP(A103,'[1]Global_Spot Prices'!$B:$B,'[1]Global_Spot Prices'!$H:$H)</f>
        <v>61.93</v>
      </c>
      <c r="F103">
        <f>_xlfn.XLOOKUP(A103,'[1]Global_Spot Prices'!$B:$B,'[1]Global_Spot Prices'!$I:$I)</f>
        <v>82.83</v>
      </c>
      <c r="G103" cm="1">
        <f t="array" ref="G103">_xlfn.XLOOKUP(TEXT(A103, "mmm-yy"), TEXT([2]RUNS!$B$5:$B$208, "mmm-yy"), [2]RUNS!$D$5:$D$208, "Not Found")</f>
        <v>26418.402241571992</v>
      </c>
      <c r="H103" cm="1">
        <f t="array" ref="H103">SUMPRODUCT(
    --(TEXT('[3]Global Weekly Stock (EWSuez'!$B$4:$B$2000,"mmm-yy")=TEXT(A103,"mmm-yy")),
    '[3]Global Weekly Stock (EWSuez'!$E$4:$E$2000)
/
SUMPRODUCT(
    --(TEXT('[3]Global Weekly Stock (EWSuez'!$B$4:$B$2000,"mmm-yy")=TEXT(A103,"mmm-yy"))
)</f>
        <v>12194.8</v>
      </c>
      <c r="I103">
        <f>_xlfn.XLOOKUP(A103,[1]ForwardDeriv!$D:$D,[1]ForwardDeriv!$AJ:$AJ)</f>
        <v>2.6500000000000057</v>
      </c>
      <c r="J103" cm="1">
        <f t="array" ref="J103">_xlfn.XLOOKUP(TEXT(A103, "mmm-yy"), TEXT([2]GASOLINE!$B$5:$B$208, "mmm-yy"), [2]GASOLINE!$IR$5:$IR$208, "Not Found")</f>
        <v>-89.364887298817592</v>
      </c>
      <c r="K103" cm="1">
        <f t="array" ref="K103">_xlfn.XLOOKUP(TEXT(A103, "mmm-yy"), TEXT([2]GASOLINE!$B$5:$B$208, "mmm-yy"), [2]GASOLINE!$IK$5:$IK$208, "Not Found")</f>
        <v>0</v>
      </c>
      <c r="L103">
        <f t="shared" si="1"/>
        <v>0</v>
      </c>
      <c r="M103" cm="1">
        <f t="array" ref="M103">_xlfn.XLOOKUP(TEXT(A103, "mmm-yy"), TEXT([2]GASOLINE!$B$5:$B$208, "mmm-yy"), [2]GASOLINE!$C$5:$C$208, "Not Found")</f>
        <v>6390.4387440665359</v>
      </c>
      <c r="N103" cm="1">
        <f t="array" ref="N103">_xlfn.XLOOKUP(TEXT(A103, "mmm-yy"), TEXT([2]RUNS!$B$5:$B$208, "mmm-yy"), [2]RUNS!$BM$5:$BM$208, "Not Found")</f>
        <v>0.78240351130206076</v>
      </c>
    </row>
    <row r="104" spans="1:14" x14ac:dyDescent="0.25">
      <c r="A104" s="1">
        <f>'[1]Global_Spot Prices'!$B1413</f>
        <v>42149</v>
      </c>
      <c r="B104">
        <f>_xlfn.XLOOKUP(A104,'[1]Global_Spot Prices'!$B:$B,'[1]Global_Spot Prices'!$BS:$BS)</f>
        <v>19.689999999999998</v>
      </c>
      <c r="C104">
        <f>_xlfn.XLOOKUP(A104,'[1]Global_Spot Prices'!$B:$B,'[1]Global_Spot Prices'!$E:$E)</f>
        <v>62</v>
      </c>
      <c r="D104" t="str">
        <f>_xlfn.XLOOKUP(A104,'[1]Global_Spot Prices'!$B:$B,'[1]Global_Spot Prices'!$D:$D)</f>
        <v/>
      </c>
      <c r="E104">
        <f>_xlfn.XLOOKUP(A104,'[1]Global_Spot Prices'!$B:$B,'[1]Global_Spot Prices'!$H:$H)</f>
        <v>59.84</v>
      </c>
      <c r="F104">
        <f>_xlfn.XLOOKUP(A104,'[1]Global_Spot Prices'!$B:$B,'[1]Global_Spot Prices'!$I:$I)</f>
        <v>81.69</v>
      </c>
      <c r="G104" cm="1">
        <f t="array" ref="G104">_xlfn.XLOOKUP(TEXT(A104, "mmm-yy"), TEXT([2]RUNS!$B$5:$B$208, "mmm-yy"), [2]RUNS!$D$5:$D$208, "Not Found")</f>
        <v>26418.402241571992</v>
      </c>
      <c r="H104" cm="1">
        <f t="array" ref="H104">SUMPRODUCT(
    --(TEXT('[3]Global Weekly Stock (EWSuez'!$B$4:$B$2000,"mmm-yy")=TEXT(A104,"mmm-yy")),
    '[3]Global Weekly Stock (EWSuez'!$E$4:$E$2000)
/
SUMPRODUCT(
    --(TEXT('[3]Global Weekly Stock (EWSuez'!$B$4:$B$2000,"mmm-yy")=TEXT(A104,"mmm-yy"))
)</f>
        <v>12194.8</v>
      </c>
      <c r="I104">
        <f>_xlfn.XLOOKUP(A104,[1]ForwardDeriv!$D:$D,[1]ForwardDeriv!$AJ:$AJ)</f>
        <v>2.6000000000000085</v>
      </c>
      <c r="J104" cm="1">
        <f t="array" ref="J104">_xlfn.XLOOKUP(TEXT(A104, "mmm-yy"), TEXT([2]GASOLINE!$B$5:$B$208, "mmm-yy"), [2]GASOLINE!$IR$5:$IR$208, "Not Found")</f>
        <v>-89.364887298817592</v>
      </c>
      <c r="K104" cm="1">
        <f t="array" ref="K104">_xlfn.XLOOKUP(TEXT(A104, "mmm-yy"), TEXT([2]GASOLINE!$B$5:$B$208, "mmm-yy"), [2]GASOLINE!$IK$5:$IK$208, "Not Found")</f>
        <v>0</v>
      </c>
      <c r="L104">
        <f t="shared" si="1"/>
        <v>0</v>
      </c>
      <c r="M104" cm="1">
        <f t="array" ref="M104">_xlfn.XLOOKUP(TEXT(A104, "mmm-yy"), TEXT([2]GASOLINE!$B$5:$B$208, "mmm-yy"), [2]GASOLINE!$C$5:$C$208, "Not Found")</f>
        <v>6390.4387440665359</v>
      </c>
      <c r="N104" cm="1">
        <f t="array" ref="N104">_xlfn.XLOOKUP(TEXT(A104, "mmm-yy"), TEXT([2]RUNS!$B$5:$B$208, "mmm-yy"), [2]RUNS!$BM$5:$BM$208, "Not Found")</f>
        <v>0.78240351130206076</v>
      </c>
    </row>
    <row r="105" spans="1:14" x14ac:dyDescent="0.25">
      <c r="A105" s="1">
        <f>'[1]Global_Spot Prices'!$B1414</f>
        <v>42150</v>
      </c>
      <c r="B105">
        <f>_xlfn.XLOOKUP(A105,'[1]Global_Spot Prices'!$B:$B,'[1]Global_Spot Prices'!$BS:$BS)</f>
        <v>18.629999999999995</v>
      </c>
      <c r="C105">
        <f>_xlfn.XLOOKUP(A105,'[1]Global_Spot Prices'!$B:$B,'[1]Global_Spot Prices'!$E:$E)</f>
        <v>62.34</v>
      </c>
      <c r="D105">
        <f>_xlfn.XLOOKUP(A105,'[1]Global_Spot Prices'!$B:$B,'[1]Global_Spot Prices'!$D:$D)</f>
        <v>62.055</v>
      </c>
      <c r="E105">
        <f>_xlfn.XLOOKUP(A105,'[1]Global_Spot Prices'!$B:$B,'[1]Global_Spot Prices'!$H:$H)</f>
        <v>60.58</v>
      </c>
      <c r="F105">
        <f>_xlfn.XLOOKUP(A105,'[1]Global_Spot Prices'!$B:$B,'[1]Global_Spot Prices'!$I:$I)</f>
        <v>80.97</v>
      </c>
      <c r="G105" cm="1">
        <f t="array" ref="G105">_xlfn.XLOOKUP(TEXT(A105, "mmm-yy"), TEXT([2]RUNS!$B$5:$B$208, "mmm-yy"), [2]RUNS!$D$5:$D$208, "Not Found")</f>
        <v>26418.402241571992</v>
      </c>
      <c r="H105" cm="1">
        <f t="array" ref="H105">SUMPRODUCT(
    --(TEXT('[3]Global Weekly Stock (EWSuez'!$B$4:$B$2000,"mmm-yy")=TEXT(A105,"mmm-yy")),
    '[3]Global Weekly Stock (EWSuez'!$E$4:$E$2000)
/
SUMPRODUCT(
    --(TEXT('[3]Global Weekly Stock (EWSuez'!$B$4:$B$2000,"mmm-yy")=TEXT(A105,"mmm-yy"))
)</f>
        <v>12194.8</v>
      </c>
      <c r="I105">
        <f>_xlfn.XLOOKUP(A105,[1]ForwardDeriv!$D:$D,[1]ForwardDeriv!$AJ:$AJ)</f>
        <v>2.5</v>
      </c>
      <c r="J105" cm="1">
        <f t="array" ref="J105">_xlfn.XLOOKUP(TEXT(A105, "mmm-yy"), TEXT([2]GASOLINE!$B$5:$B$208, "mmm-yy"), [2]GASOLINE!$IR$5:$IR$208, "Not Found")</f>
        <v>-89.364887298817592</v>
      </c>
      <c r="K105" cm="1">
        <f t="array" ref="K105">_xlfn.XLOOKUP(TEXT(A105, "mmm-yy"), TEXT([2]GASOLINE!$B$5:$B$208, "mmm-yy"), [2]GASOLINE!$IK$5:$IK$208, "Not Found")</f>
        <v>0</v>
      </c>
      <c r="L105">
        <f t="shared" si="1"/>
        <v>0</v>
      </c>
      <c r="M105" cm="1">
        <f t="array" ref="M105">_xlfn.XLOOKUP(TEXT(A105, "mmm-yy"), TEXT([2]GASOLINE!$B$5:$B$208, "mmm-yy"), [2]GASOLINE!$C$5:$C$208, "Not Found")</f>
        <v>6390.4387440665359</v>
      </c>
      <c r="N105" cm="1">
        <f t="array" ref="N105">_xlfn.XLOOKUP(TEXT(A105, "mmm-yy"), TEXT([2]RUNS!$B$5:$B$208, "mmm-yy"), [2]RUNS!$BM$5:$BM$208, "Not Found")</f>
        <v>0.78240351130206076</v>
      </c>
    </row>
    <row r="106" spans="1:14" x14ac:dyDescent="0.25">
      <c r="A106" s="1">
        <f>'[1]Global_Spot Prices'!$B1415</f>
        <v>42151</v>
      </c>
      <c r="B106">
        <f>_xlfn.XLOOKUP(A106,'[1]Global_Spot Prices'!$B:$B,'[1]Global_Spot Prices'!$BS:$BS)</f>
        <v>17.32</v>
      </c>
      <c r="C106">
        <f>_xlfn.XLOOKUP(A106,'[1]Global_Spot Prices'!$B:$B,'[1]Global_Spot Prices'!$E:$E)</f>
        <v>62.4</v>
      </c>
      <c r="D106">
        <f>_xlfn.XLOOKUP(A106,'[1]Global_Spot Prices'!$B:$B,'[1]Global_Spot Prices'!$D:$D)</f>
        <v>61.755000000000003</v>
      </c>
      <c r="E106">
        <f>_xlfn.XLOOKUP(A106,'[1]Global_Spot Prices'!$B:$B,'[1]Global_Spot Prices'!$H:$H)</f>
        <v>60.47</v>
      </c>
      <c r="F106">
        <f>_xlfn.XLOOKUP(A106,'[1]Global_Spot Prices'!$B:$B,'[1]Global_Spot Prices'!$I:$I)</f>
        <v>79.72</v>
      </c>
      <c r="G106" cm="1">
        <f t="array" ref="G106">_xlfn.XLOOKUP(TEXT(A106, "mmm-yy"), TEXT([2]RUNS!$B$5:$B$208, "mmm-yy"), [2]RUNS!$D$5:$D$208, "Not Found")</f>
        <v>26418.402241571992</v>
      </c>
      <c r="H106" cm="1">
        <f t="array" ref="H106">SUMPRODUCT(
    --(TEXT('[3]Global Weekly Stock (EWSuez'!$B$4:$B$2000,"mmm-yy")=TEXT(A106,"mmm-yy")),
    '[3]Global Weekly Stock (EWSuez'!$E$4:$E$2000)
/
SUMPRODUCT(
    --(TEXT('[3]Global Weekly Stock (EWSuez'!$B$4:$B$2000,"mmm-yy")=TEXT(A106,"mmm-yy"))
)</f>
        <v>12194.8</v>
      </c>
      <c r="I106">
        <f>_xlfn.XLOOKUP(A106,[1]ForwardDeriv!$D:$D,[1]ForwardDeriv!$AJ:$AJ)</f>
        <v>2.5</v>
      </c>
      <c r="J106" cm="1">
        <f t="array" ref="J106">_xlfn.XLOOKUP(TEXT(A106, "mmm-yy"), TEXT([2]GASOLINE!$B$5:$B$208, "mmm-yy"), [2]GASOLINE!$IR$5:$IR$208, "Not Found")</f>
        <v>-89.364887298817592</v>
      </c>
      <c r="K106" cm="1">
        <f t="array" ref="K106">_xlfn.XLOOKUP(TEXT(A106, "mmm-yy"), TEXT([2]GASOLINE!$B$5:$B$208, "mmm-yy"), [2]GASOLINE!$IK$5:$IK$208, "Not Found")</f>
        <v>0</v>
      </c>
      <c r="L106">
        <f t="shared" si="1"/>
        <v>0</v>
      </c>
      <c r="M106" cm="1">
        <f t="array" ref="M106">_xlfn.XLOOKUP(TEXT(A106, "mmm-yy"), TEXT([2]GASOLINE!$B$5:$B$208, "mmm-yy"), [2]GASOLINE!$C$5:$C$208, "Not Found")</f>
        <v>6390.4387440665359</v>
      </c>
      <c r="N106" cm="1">
        <f t="array" ref="N106">_xlfn.XLOOKUP(TEXT(A106, "mmm-yy"), TEXT([2]RUNS!$B$5:$B$208, "mmm-yy"), [2]RUNS!$BM$5:$BM$208, "Not Found")</f>
        <v>0.78240351130206076</v>
      </c>
    </row>
    <row r="107" spans="1:14" x14ac:dyDescent="0.25">
      <c r="A107" s="1">
        <f>'[1]Global_Spot Prices'!$B1416</f>
        <v>42152</v>
      </c>
      <c r="B107">
        <f>_xlfn.XLOOKUP(A107,'[1]Global_Spot Prices'!$B:$B,'[1]Global_Spot Prices'!$BS:$BS)</f>
        <v>16.64</v>
      </c>
      <c r="C107">
        <f>_xlfn.XLOOKUP(A107,'[1]Global_Spot Prices'!$B:$B,'[1]Global_Spot Prices'!$E:$E)</f>
        <v>60.95</v>
      </c>
      <c r="D107">
        <f>_xlfn.XLOOKUP(A107,'[1]Global_Spot Prices'!$B:$B,'[1]Global_Spot Prices'!$D:$D)</f>
        <v>60.725000000000001</v>
      </c>
      <c r="E107">
        <f>_xlfn.XLOOKUP(A107,'[1]Global_Spot Prices'!$B:$B,'[1]Global_Spot Prices'!$H:$H)</f>
        <v>59.06</v>
      </c>
      <c r="F107">
        <f>_xlfn.XLOOKUP(A107,'[1]Global_Spot Prices'!$B:$B,'[1]Global_Spot Prices'!$I:$I)</f>
        <v>77.59</v>
      </c>
      <c r="G107" cm="1">
        <f t="array" ref="G107">_xlfn.XLOOKUP(TEXT(A107, "mmm-yy"), TEXT([2]RUNS!$B$5:$B$208, "mmm-yy"), [2]RUNS!$D$5:$D$208, "Not Found")</f>
        <v>26418.402241571992</v>
      </c>
      <c r="H107" cm="1">
        <f t="array" ref="H107">SUMPRODUCT(
    --(TEXT('[3]Global Weekly Stock (EWSuez'!$B$4:$B$2000,"mmm-yy")=TEXT(A107,"mmm-yy")),
    '[3]Global Weekly Stock (EWSuez'!$E$4:$E$2000)
/
SUMPRODUCT(
    --(TEXT('[3]Global Weekly Stock (EWSuez'!$B$4:$B$2000,"mmm-yy")=TEXT(A107,"mmm-yy"))
)</f>
        <v>12194.8</v>
      </c>
      <c r="I107">
        <f>_xlfn.XLOOKUP(A107,[1]ForwardDeriv!$D:$D,[1]ForwardDeriv!$AJ:$AJ)</f>
        <v>2.5</v>
      </c>
      <c r="J107" cm="1">
        <f t="array" ref="J107">_xlfn.XLOOKUP(TEXT(A107, "mmm-yy"), TEXT([2]GASOLINE!$B$5:$B$208, "mmm-yy"), [2]GASOLINE!$IR$5:$IR$208, "Not Found")</f>
        <v>-89.364887298817592</v>
      </c>
      <c r="K107" cm="1">
        <f t="array" ref="K107">_xlfn.XLOOKUP(TEXT(A107, "mmm-yy"), TEXT([2]GASOLINE!$B$5:$B$208, "mmm-yy"), [2]GASOLINE!$IK$5:$IK$208, "Not Found")</f>
        <v>0</v>
      </c>
      <c r="L107">
        <f t="shared" si="1"/>
        <v>0</v>
      </c>
      <c r="M107" cm="1">
        <f t="array" ref="M107">_xlfn.XLOOKUP(TEXT(A107, "mmm-yy"), TEXT([2]GASOLINE!$B$5:$B$208, "mmm-yy"), [2]GASOLINE!$C$5:$C$208, "Not Found")</f>
        <v>6390.4387440665359</v>
      </c>
      <c r="N107" cm="1">
        <f t="array" ref="N107">_xlfn.XLOOKUP(TEXT(A107, "mmm-yy"), TEXT([2]RUNS!$B$5:$B$208, "mmm-yy"), [2]RUNS!$BM$5:$BM$208, "Not Found")</f>
        <v>0.78240351130206076</v>
      </c>
    </row>
    <row r="108" spans="1:14" x14ac:dyDescent="0.25">
      <c r="A108" s="1">
        <f>'[1]Global_Spot Prices'!$B1417</f>
        <v>42153</v>
      </c>
      <c r="B108">
        <f>_xlfn.XLOOKUP(A108,'[1]Global_Spot Prices'!$B:$B,'[1]Global_Spot Prices'!$BS:$BS)</f>
        <v>19.11999999999999</v>
      </c>
      <c r="C108">
        <f>_xlfn.XLOOKUP(A108,'[1]Global_Spot Prices'!$B:$B,'[1]Global_Spot Prices'!$E:$E)</f>
        <v>61.2</v>
      </c>
      <c r="D108">
        <f>_xlfn.XLOOKUP(A108,'[1]Global_Spot Prices'!$B:$B,'[1]Global_Spot Prices'!$D:$D)</f>
        <v>63.49</v>
      </c>
      <c r="E108">
        <f>_xlfn.XLOOKUP(A108,'[1]Global_Spot Prices'!$B:$B,'[1]Global_Spot Prices'!$H:$H)</f>
        <v>60.06</v>
      </c>
      <c r="F108">
        <f>_xlfn.XLOOKUP(A108,'[1]Global_Spot Prices'!$B:$B,'[1]Global_Spot Prices'!$I:$I)</f>
        <v>80.319999999999993</v>
      </c>
      <c r="G108" cm="1">
        <f t="array" ref="G108">_xlfn.XLOOKUP(TEXT(A108, "mmm-yy"), TEXT([2]RUNS!$B$5:$B$208, "mmm-yy"), [2]RUNS!$D$5:$D$208, "Not Found")</f>
        <v>26418.402241571992</v>
      </c>
      <c r="H108" cm="1">
        <f t="array" ref="H108">SUMPRODUCT(
    --(TEXT('[3]Global Weekly Stock (EWSuez'!$B$4:$B$2000,"mmm-yy")=TEXT(A108,"mmm-yy")),
    '[3]Global Weekly Stock (EWSuez'!$E$4:$E$2000)
/
SUMPRODUCT(
    --(TEXT('[3]Global Weekly Stock (EWSuez'!$B$4:$B$2000,"mmm-yy")=TEXT(A108,"mmm-yy"))
)</f>
        <v>12194.8</v>
      </c>
      <c r="I108">
        <f>_xlfn.XLOOKUP(A108,[1]ForwardDeriv!$D:$D,[1]ForwardDeriv!$AJ:$AJ)</f>
        <v>2.9500000000000028</v>
      </c>
      <c r="J108" cm="1">
        <f t="array" ref="J108">_xlfn.XLOOKUP(TEXT(A108, "mmm-yy"), TEXT([2]GASOLINE!$B$5:$B$208, "mmm-yy"), [2]GASOLINE!$IR$5:$IR$208, "Not Found")</f>
        <v>-89.364887298817592</v>
      </c>
      <c r="K108" cm="1">
        <f t="array" ref="K108">_xlfn.XLOOKUP(TEXT(A108, "mmm-yy"), TEXT([2]GASOLINE!$B$5:$B$208, "mmm-yy"), [2]GASOLINE!$IK$5:$IK$208, "Not Found")</f>
        <v>0</v>
      </c>
      <c r="L108">
        <f t="shared" si="1"/>
        <v>0</v>
      </c>
      <c r="M108" cm="1">
        <f t="array" ref="M108">_xlfn.XLOOKUP(TEXT(A108, "mmm-yy"), TEXT([2]GASOLINE!$B$5:$B$208, "mmm-yy"), [2]GASOLINE!$C$5:$C$208, "Not Found")</f>
        <v>6390.4387440665359</v>
      </c>
      <c r="N108" cm="1">
        <f t="array" ref="N108">_xlfn.XLOOKUP(TEXT(A108, "mmm-yy"), TEXT([2]RUNS!$B$5:$B$208, "mmm-yy"), [2]RUNS!$BM$5:$BM$208, "Not Found")</f>
        <v>0.78240351130206076</v>
      </c>
    </row>
    <row r="109" spans="1:14" x14ac:dyDescent="0.25">
      <c r="A109" s="1">
        <f>'[1]Global_Spot Prices'!$B1418</f>
        <v>42156</v>
      </c>
      <c r="B109" t="e">
        <f>_xlfn.XLOOKUP(A109,'[1]Global_Spot Prices'!$B:$B,'[1]Global_Spot Prices'!$BS:$BS)</f>
        <v>#N/A</v>
      </c>
      <c r="C109" t="str">
        <f>_xlfn.XLOOKUP(A109,'[1]Global_Spot Prices'!$B:$B,'[1]Global_Spot Prices'!$E:$E)</f>
        <v/>
      </c>
      <c r="D109">
        <f>_xlfn.XLOOKUP(A109,'[1]Global_Spot Prices'!$B:$B,'[1]Global_Spot Prices'!$D:$D)</f>
        <v>62.89</v>
      </c>
      <c r="E109">
        <f>_xlfn.XLOOKUP(A109,'[1]Global_Spot Prices'!$B:$B,'[1]Global_Spot Prices'!$H:$H)</f>
        <v>0</v>
      </c>
      <c r="F109">
        <f>_xlfn.XLOOKUP(A109,'[1]Global_Spot Prices'!$B:$B,'[1]Global_Spot Prices'!$I:$I)</f>
        <v>0</v>
      </c>
      <c r="G109" cm="1">
        <f t="array" ref="G109">_xlfn.XLOOKUP(TEXT(A109, "mmm-yy"), TEXT([2]RUNS!$B$5:$B$208, "mmm-yy"), [2]RUNS!$D$5:$D$208, "Not Found")</f>
        <v>26599.177434535901</v>
      </c>
      <c r="H109" cm="1">
        <f t="array" ref="H109">SUMPRODUCT(
    --(TEXT('[3]Global Weekly Stock (EWSuez'!$B$4:$B$2000,"mmm-yy")=TEXT(A109,"mmm-yy")),
    '[3]Global Weekly Stock (EWSuez'!$E$4:$E$2000)
/
SUMPRODUCT(
    --(TEXT('[3]Global Weekly Stock (EWSuez'!$B$4:$B$2000,"mmm-yy")=TEXT(A109,"mmm-yy"))
)</f>
        <v>11575.75</v>
      </c>
      <c r="I109">
        <f>_xlfn.XLOOKUP(A109,[1]ForwardDeriv!$D:$D,[1]ForwardDeriv!$AJ:$AJ)</f>
        <v>1.75</v>
      </c>
      <c r="J109" cm="1">
        <f t="array" ref="J109">_xlfn.XLOOKUP(TEXT(A109, "mmm-yy"), TEXT([2]GASOLINE!$B$5:$B$208, "mmm-yy"), [2]GASOLINE!$IR$5:$IR$208, "Not Found")</f>
        <v>35.619264763980567</v>
      </c>
      <c r="K109" cm="1">
        <f t="array" ref="K109">_xlfn.XLOOKUP(TEXT(A109, "mmm-yy"), TEXT([2]GASOLINE!$B$5:$B$208, "mmm-yy"), [2]GASOLINE!$IK$5:$IK$208, "Not Found")</f>
        <v>0</v>
      </c>
      <c r="L109">
        <f t="shared" si="1"/>
        <v>1</v>
      </c>
      <c r="M109" cm="1">
        <f t="array" ref="M109">_xlfn.XLOOKUP(TEXT(A109, "mmm-yy"), TEXT([2]GASOLINE!$B$5:$B$208, "mmm-yy"), [2]GASOLINE!$C$5:$C$208, "Not Found")</f>
        <v>6406.8951214022236</v>
      </c>
      <c r="N109" cm="1">
        <f t="array" ref="N109">_xlfn.XLOOKUP(TEXT(A109, "mmm-yy"), TEXT([2]RUNS!$B$5:$B$208, "mmm-yy"), [2]RUNS!$BM$5:$BM$208, "Not Found")</f>
        <v>0.78612759406590982</v>
      </c>
    </row>
    <row r="110" spans="1:14" x14ac:dyDescent="0.25">
      <c r="A110" s="1">
        <f>'[1]Global_Spot Prices'!$B1419</f>
        <v>42157</v>
      </c>
      <c r="B110">
        <f>_xlfn.XLOOKUP(A110,'[1]Global_Spot Prices'!$B:$B,'[1]Global_Spot Prices'!$BS:$BS)</f>
        <v>18.909999999999997</v>
      </c>
      <c r="C110">
        <f>_xlfn.XLOOKUP(A110,'[1]Global_Spot Prices'!$B:$B,'[1]Global_Spot Prices'!$E:$E)</f>
        <v>63.61</v>
      </c>
      <c r="D110">
        <f>_xlfn.XLOOKUP(A110,'[1]Global_Spot Prices'!$B:$B,'[1]Global_Spot Prices'!$D:$D)</f>
        <v>63.55</v>
      </c>
      <c r="E110">
        <f>_xlfn.XLOOKUP(A110,'[1]Global_Spot Prices'!$B:$B,'[1]Global_Spot Prices'!$H:$H)</f>
        <v>62.92</v>
      </c>
      <c r="F110">
        <f>_xlfn.XLOOKUP(A110,'[1]Global_Spot Prices'!$B:$B,'[1]Global_Spot Prices'!$I:$I)</f>
        <v>82.52</v>
      </c>
      <c r="G110" cm="1">
        <f t="array" ref="G110">_xlfn.XLOOKUP(TEXT(A110, "mmm-yy"), TEXT([2]RUNS!$B$5:$B$208, "mmm-yy"), [2]RUNS!$D$5:$D$208, "Not Found")</f>
        <v>26599.177434535901</v>
      </c>
      <c r="H110" cm="1">
        <f t="array" ref="H110">SUMPRODUCT(
    --(TEXT('[3]Global Weekly Stock (EWSuez'!$B$4:$B$2000,"mmm-yy")=TEXT(A110,"mmm-yy")),
    '[3]Global Weekly Stock (EWSuez'!$E$4:$E$2000)
/
SUMPRODUCT(
    --(TEXT('[3]Global Weekly Stock (EWSuez'!$B$4:$B$2000,"mmm-yy")=TEXT(A110,"mmm-yy"))
)</f>
        <v>11575.75</v>
      </c>
      <c r="I110">
        <f>_xlfn.XLOOKUP(A110,[1]ForwardDeriv!$D:$D,[1]ForwardDeriv!$AJ:$AJ)</f>
        <v>1.75</v>
      </c>
      <c r="J110" cm="1">
        <f t="array" ref="J110">_xlfn.XLOOKUP(TEXT(A110, "mmm-yy"), TEXT([2]GASOLINE!$B$5:$B$208, "mmm-yy"), [2]GASOLINE!$IR$5:$IR$208, "Not Found")</f>
        <v>35.619264763980567</v>
      </c>
      <c r="K110" cm="1">
        <f t="array" ref="K110">_xlfn.XLOOKUP(TEXT(A110, "mmm-yy"), TEXT([2]GASOLINE!$B$5:$B$208, "mmm-yy"), [2]GASOLINE!$IK$5:$IK$208, "Not Found")</f>
        <v>0</v>
      </c>
      <c r="L110">
        <f t="shared" si="1"/>
        <v>1</v>
      </c>
      <c r="M110" cm="1">
        <f t="array" ref="M110">_xlfn.XLOOKUP(TEXT(A110, "mmm-yy"), TEXT([2]GASOLINE!$B$5:$B$208, "mmm-yy"), [2]GASOLINE!$C$5:$C$208, "Not Found")</f>
        <v>6406.8951214022236</v>
      </c>
      <c r="N110" cm="1">
        <f t="array" ref="N110">_xlfn.XLOOKUP(TEXT(A110, "mmm-yy"), TEXT([2]RUNS!$B$5:$B$208, "mmm-yy"), [2]RUNS!$BM$5:$BM$208, "Not Found")</f>
        <v>0.78612759406590982</v>
      </c>
    </row>
    <row r="111" spans="1:14" x14ac:dyDescent="0.25">
      <c r="A111" s="1">
        <f>'[1]Global_Spot Prices'!$B1420</f>
        <v>42158</v>
      </c>
      <c r="B111">
        <f>_xlfn.XLOOKUP(A111,'[1]Global_Spot Prices'!$B:$B,'[1]Global_Spot Prices'!$BS:$BS)</f>
        <v>17.880000000000003</v>
      </c>
      <c r="C111">
        <f>_xlfn.XLOOKUP(A111,'[1]Global_Spot Prices'!$B:$B,'[1]Global_Spot Prices'!$E:$E)</f>
        <v>63.26</v>
      </c>
      <c r="D111">
        <f>_xlfn.XLOOKUP(A111,'[1]Global_Spot Prices'!$B:$B,'[1]Global_Spot Prices'!$D:$D)</f>
        <v>62.524999999999999</v>
      </c>
      <c r="E111">
        <f>_xlfn.XLOOKUP(A111,'[1]Global_Spot Prices'!$B:$B,'[1]Global_Spot Prices'!$H:$H)</f>
        <v>62.34</v>
      </c>
      <c r="F111">
        <f>_xlfn.XLOOKUP(A111,'[1]Global_Spot Prices'!$B:$B,'[1]Global_Spot Prices'!$I:$I)</f>
        <v>81.14</v>
      </c>
      <c r="G111" cm="1">
        <f t="array" ref="G111">_xlfn.XLOOKUP(TEXT(A111, "mmm-yy"), TEXT([2]RUNS!$B$5:$B$208, "mmm-yy"), [2]RUNS!$D$5:$D$208, "Not Found")</f>
        <v>26599.177434535901</v>
      </c>
      <c r="H111" cm="1">
        <f t="array" ref="H111">SUMPRODUCT(
    --(TEXT('[3]Global Weekly Stock (EWSuez'!$B$4:$B$2000,"mmm-yy")=TEXT(A111,"mmm-yy")),
    '[3]Global Weekly Stock (EWSuez'!$E$4:$E$2000)
/
SUMPRODUCT(
    --(TEXT('[3]Global Weekly Stock (EWSuez'!$B$4:$B$2000,"mmm-yy")=TEXT(A111,"mmm-yy"))
)</f>
        <v>11575.75</v>
      </c>
      <c r="I111">
        <f>_xlfn.XLOOKUP(A111,[1]ForwardDeriv!$D:$D,[1]ForwardDeriv!$AJ:$AJ)</f>
        <v>1.75</v>
      </c>
      <c r="J111" cm="1">
        <f t="array" ref="J111">_xlfn.XLOOKUP(TEXT(A111, "mmm-yy"), TEXT([2]GASOLINE!$B$5:$B$208, "mmm-yy"), [2]GASOLINE!$IR$5:$IR$208, "Not Found")</f>
        <v>35.619264763980567</v>
      </c>
      <c r="K111" cm="1">
        <f t="array" ref="K111">_xlfn.XLOOKUP(TEXT(A111, "mmm-yy"), TEXT([2]GASOLINE!$B$5:$B$208, "mmm-yy"), [2]GASOLINE!$IK$5:$IK$208, "Not Found")</f>
        <v>0</v>
      </c>
      <c r="L111">
        <f t="shared" si="1"/>
        <v>1</v>
      </c>
      <c r="M111" cm="1">
        <f t="array" ref="M111">_xlfn.XLOOKUP(TEXT(A111, "mmm-yy"), TEXT([2]GASOLINE!$B$5:$B$208, "mmm-yy"), [2]GASOLINE!$C$5:$C$208, "Not Found")</f>
        <v>6406.8951214022236</v>
      </c>
      <c r="N111" cm="1">
        <f t="array" ref="N111">_xlfn.XLOOKUP(TEXT(A111, "mmm-yy"), TEXT([2]RUNS!$B$5:$B$208, "mmm-yy"), [2]RUNS!$BM$5:$BM$208, "Not Found")</f>
        <v>0.78612759406590982</v>
      </c>
    </row>
    <row r="112" spans="1:14" x14ac:dyDescent="0.25">
      <c r="A112" s="1">
        <f>'[1]Global_Spot Prices'!$B1421</f>
        <v>42159</v>
      </c>
      <c r="B112">
        <f>_xlfn.XLOOKUP(A112,'[1]Global_Spot Prices'!$B:$B,'[1]Global_Spot Prices'!$BS:$BS)</f>
        <v>18.850000000000001</v>
      </c>
      <c r="C112">
        <f>_xlfn.XLOOKUP(A112,'[1]Global_Spot Prices'!$B:$B,'[1]Global_Spot Prices'!$E:$E)</f>
        <v>61.4</v>
      </c>
      <c r="D112">
        <f>_xlfn.XLOOKUP(A112,'[1]Global_Spot Prices'!$B:$B,'[1]Global_Spot Prices'!$D:$D)</f>
        <v>60.354999999999997</v>
      </c>
      <c r="E112">
        <f>_xlfn.XLOOKUP(A112,'[1]Global_Spot Prices'!$B:$B,'[1]Global_Spot Prices'!$H:$H)</f>
        <v>60.7</v>
      </c>
      <c r="F112">
        <f>_xlfn.XLOOKUP(A112,'[1]Global_Spot Prices'!$B:$B,'[1]Global_Spot Prices'!$I:$I)</f>
        <v>80.25</v>
      </c>
      <c r="G112" cm="1">
        <f t="array" ref="G112">_xlfn.XLOOKUP(TEXT(A112, "mmm-yy"), TEXT([2]RUNS!$B$5:$B$208, "mmm-yy"), [2]RUNS!$D$5:$D$208, "Not Found")</f>
        <v>26599.177434535901</v>
      </c>
      <c r="H112" cm="1">
        <f t="array" ref="H112">SUMPRODUCT(
    --(TEXT('[3]Global Weekly Stock (EWSuez'!$B$4:$B$2000,"mmm-yy")=TEXT(A112,"mmm-yy")),
    '[3]Global Weekly Stock (EWSuez'!$E$4:$E$2000)
/
SUMPRODUCT(
    --(TEXT('[3]Global Weekly Stock (EWSuez'!$B$4:$B$2000,"mmm-yy")=TEXT(A112,"mmm-yy"))
)</f>
        <v>11575.75</v>
      </c>
      <c r="I112">
        <f>_xlfn.XLOOKUP(A112,[1]ForwardDeriv!$D:$D,[1]ForwardDeriv!$AJ:$AJ)</f>
        <v>1.75</v>
      </c>
      <c r="J112" cm="1">
        <f t="array" ref="J112">_xlfn.XLOOKUP(TEXT(A112, "mmm-yy"), TEXT([2]GASOLINE!$B$5:$B$208, "mmm-yy"), [2]GASOLINE!$IR$5:$IR$208, "Not Found")</f>
        <v>35.619264763980567</v>
      </c>
      <c r="K112" cm="1">
        <f t="array" ref="K112">_xlfn.XLOOKUP(TEXT(A112, "mmm-yy"), TEXT([2]GASOLINE!$B$5:$B$208, "mmm-yy"), [2]GASOLINE!$IK$5:$IK$208, "Not Found")</f>
        <v>0</v>
      </c>
      <c r="L112">
        <f t="shared" si="1"/>
        <v>1</v>
      </c>
      <c r="M112" cm="1">
        <f t="array" ref="M112">_xlfn.XLOOKUP(TEXT(A112, "mmm-yy"), TEXT([2]GASOLINE!$B$5:$B$208, "mmm-yy"), [2]GASOLINE!$C$5:$C$208, "Not Found")</f>
        <v>6406.8951214022236</v>
      </c>
      <c r="N112" cm="1">
        <f t="array" ref="N112">_xlfn.XLOOKUP(TEXT(A112, "mmm-yy"), TEXT([2]RUNS!$B$5:$B$208, "mmm-yy"), [2]RUNS!$BM$5:$BM$208, "Not Found")</f>
        <v>0.78612759406590982</v>
      </c>
    </row>
    <row r="113" spans="1:14" x14ac:dyDescent="0.25">
      <c r="A113" s="1">
        <f>'[1]Global_Spot Prices'!$B1422</f>
        <v>42160</v>
      </c>
      <c r="B113">
        <f>_xlfn.XLOOKUP(A113,'[1]Global_Spot Prices'!$B:$B,'[1]Global_Spot Prices'!$BS:$BS)</f>
        <v>18.919999999999995</v>
      </c>
      <c r="C113">
        <f>_xlfn.XLOOKUP(A113,'[1]Global_Spot Prices'!$B:$B,'[1]Global_Spot Prices'!$E:$E)</f>
        <v>59.65</v>
      </c>
      <c r="D113">
        <f>_xlfn.XLOOKUP(A113,'[1]Global_Spot Prices'!$B:$B,'[1]Global_Spot Prices'!$D:$D)</f>
        <v>60.18</v>
      </c>
      <c r="E113">
        <f>_xlfn.XLOOKUP(A113,'[1]Global_Spot Prices'!$B:$B,'[1]Global_Spot Prices'!$H:$H)</f>
        <v>58.78</v>
      </c>
      <c r="F113">
        <f>_xlfn.XLOOKUP(A113,'[1]Global_Spot Prices'!$B:$B,'[1]Global_Spot Prices'!$I:$I)</f>
        <v>78.569999999999993</v>
      </c>
      <c r="G113" cm="1">
        <f t="array" ref="G113">_xlfn.XLOOKUP(TEXT(A113, "mmm-yy"), TEXT([2]RUNS!$B$5:$B$208, "mmm-yy"), [2]RUNS!$D$5:$D$208, "Not Found")</f>
        <v>26599.177434535901</v>
      </c>
      <c r="H113" cm="1">
        <f t="array" ref="H113">SUMPRODUCT(
    --(TEXT('[3]Global Weekly Stock (EWSuez'!$B$4:$B$2000,"mmm-yy")=TEXT(A113,"mmm-yy")),
    '[3]Global Weekly Stock (EWSuez'!$E$4:$E$2000)
/
SUMPRODUCT(
    --(TEXT('[3]Global Weekly Stock (EWSuez'!$B$4:$B$2000,"mmm-yy")=TEXT(A113,"mmm-yy"))
)</f>
        <v>11575.75</v>
      </c>
      <c r="I113">
        <f>_xlfn.XLOOKUP(A113,[1]ForwardDeriv!$D:$D,[1]ForwardDeriv!$AJ:$AJ)</f>
        <v>1.75</v>
      </c>
      <c r="J113" cm="1">
        <f t="array" ref="J113">_xlfn.XLOOKUP(TEXT(A113, "mmm-yy"), TEXT([2]GASOLINE!$B$5:$B$208, "mmm-yy"), [2]GASOLINE!$IR$5:$IR$208, "Not Found")</f>
        <v>35.619264763980567</v>
      </c>
      <c r="K113" cm="1">
        <f t="array" ref="K113">_xlfn.XLOOKUP(TEXT(A113, "mmm-yy"), TEXT([2]GASOLINE!$B$5:$B$208, "mmm-yy"), [2]GASOLINE!$IK$5:$IK$208, "Not Found")</f>
        <v>0</v>
      </c>
      <c r="L113">
        <f t="shared" si="1"/>
        <v>1</v>
      </c>
      <c r="M113" cm="1">
        <f t="array" ref="M113">_xlfn.XLOOKUP(TEXT(A113, "mmm-yy"), TEXT([2]GASOLINE!$B$5:$B$208, "mmm-yy"), [2]GASOLINE!$C$5:$C$208, "Not Found")</f>
        <v>6406.8951214022236</v>
      </c>
      <c r="N113" cm="1">
        <f t="array" ref="N113">_xlfn.XLOOKUP(TEXT(A113, "mmm-yy"), TEXT([2]RUNS!$B$5:$B$208, "mmm-yy"), [2]RUNS!$BM$5:$BM$208, "Not Found")</f>
        <v>0.78612759406590982</v>
      </c>
    </row>
    <row r="114" spans="1:14" x14ac:dyDescent="0.25">
      <c r="A114" s="1">
        <f>'[1]Global_Spot Prices'!$B1423</f>
        <v>42163</v>
      </c>
      <c r="B114">
        <f>_xlfn.XLOOKUP(A114,'[1]Global_Spot Prices'!$B:$B,'[1]Global_Spot Prices'!$BS:$BS)</f>
        <v>20.269999999999996</v>
      </c>
      <c r="C114">
        <f>_xlfn.XLOOKUP(A114,'[1]Global_Spot Prices'!$B:$B,'[1]Global_Spot Prices'!$E:$E)</f>
        <v>60.8</v>
      </c>
      <c r="D114">
        <f>_xlfn.XLOOKUP(A114,'[1]Global_Spot Prices'!$B:$B,'[1]Global_Spot Prices'!$D:$D)</f>
        <v>61.155000000000001</v>
      </c>
      <c r="E114">
        <f>_xlfn.XLOOKUP(A114,'[1]Global_Spot Prices'!$B:$B,'[1]Global_Spot Prices'!$H:$H)</f>
        <v>59.89</v>
      </c>
      <c r="F114">
        <f>_xlfn.XLOOKUP(A114,'[1]Global_Spot Prices'!$B:$B,'[1]Global_Spot Prices'!$I:$I)</f>
        <v>81.069999999999993</v>
      </c>
      <c r="G114" cm="1">
        <f t="array" ref="G114">_xlfn.XLOOKUP(TEXT(A114, "mmm-yy"), TEXT([2]RUNS!$B$5:$B$208, "mmm-yy"), [2]RUNS!$D$5:$D$208, "Not Found")</f>
        <v>26599.177434535901</v>
      </c>
      <c r="H114" cm="1">
        <f t="array" ref="H114">SUMPRODUCT(
    --(TEXT('[3]Global Weekly Stock (EWSuez'!$B$4:$B$2000,"mmm-yy")=TEXT(A114,"mmm-yy")),
    '[3]Global Weekly Stock (EWSuez'!$E$4:$E$2000)
/
SUMPRODUCT(
    --(TEXT('[3]Global Weekly Stock (EWSuez'!$B$4:$B$2000,"mmm-yy")=TEXT(A114,"mmm-yy"))
)</f>
        <v>11575.75</v>
      </c>
      <c r="I114">
        <f>_xlfn.XLOOKUP(A114,[1]ForwardDeriv!$D:$D,[1]ForwardDeriv!$AJ:$AJ)</f>
        <v>1.8999999999999915</v>
      </c>
      <c r="J114" cm="1">
        <f t="array" ref="J114">_xlfn.XLOOKUP(TEXT(A114, "mmm-yy"), TEXT([2]GASOLINE!$B$5:$B$208, "mmm-yy"), [2]GASOLINE!$IR$5:$IR$208, "Not Found")</f>
        <v>35.619264763980567</v>
      </c>
      <c r="K114" cm="1">
        <f t="array" ref="K114">_xlfn.XLOOKUP(TEXT(A114, "mmm-yy"), TEXT([2]GASOLINE!$B$5:$B$208, "mmm-yy"), [2]GASOLINE!$IK$5:$IK$208, "Not Found")</f>
        <v>0</v>
      </c>
      <c r="L114">
        <f t="shared" si="1"/>
        <v>1</v>
      </c>
      <c r="M114" cm="1">
        <f t="array" ref="M114">_xlfn.XLOOKUP(TEXT(A114, "mmm-yy"), TEXT([2]GASOLINE!$B$5:$B$208, "mmm-yy"), [2]GASOLINE!$C$5:$C$208, "Not Found")</f>
        <v>6406.8951214022236</v>
      </c>
      <c r="N114" cm="1">
        <f t="array" ref="N114">_xlfn.XLOOKUP(TEXT(A114, "mmm-yy"), TEXT([2]RUNS!$B$5:$B$208, "mmm-yy"), [2]RUNS!$BM$5:$BM$208, "Not Found")</f>
        <v>0.78612759406590982</v>
      </c>
    </row>
    <row r="115" spans="1:14" x14ac:dyDescent="0.25">
      <c r="A115" s="1">
        <f>'[1]Global_Spot Prices'!$B1424</f>
        <v>42164</v>
      </c>
      <c r="B115">
        <f>_xlfn.XLOOKUP(A115,'[1]Global_Spot Prices'!$B:$B,'[1]Global_Spot Prices'!$BS:$BS)</f>
        <v>20.420000000000009</v>
      </c>
      <c r="C115">
        <f>_xlfn.XLOOKUP(A115,'[1]Global_Spot Prices'!$B:$B,'[1]Global_Spot Prices'!$E:$E)</f>
        <v>61.01</v>
      </c>
      <c r="D115">
        <f>_xlfn.XLOOKUP(A115,'[1]Global_Spot Prices'!$B:$B,'[1]Global_Spot Prices'!$D:$D)</f>
        <v>63.33</v>
      </c>
      <c r="E115">
        <f>_xlfn.XLOOKUP(A115,'[1]Global_Spot Prices'!$B:$B,'[1]Global_Spot Prices'!$H:$H)</f>
        <v>61.03</v>
      </c>
      <c r="F115">
        <f>_xlfn.XLOOKUP(A115,'[1]Global_Spot Prices'!$B:$B,'[1]Global_Spot Prices'!$I:$I)</f>
        <v>81.430000000000007</v>
      </c>
      <c r="G115" cm="1">
        <f t="array" ref="G115">_xlfn.XLOOKUP(TEXT(A115, "mmm-yy"), TEXT([2]RUNS!$B$5:$B$208, "mmm-yy"), [2]RUNS!$D$5:$D$208, "Not Found")</f>
        <v>26599.177434535901</v>
      </c>
      <c r="H115" cm="1">
        <f t="array" ref="H115">SUMPRODUCT(
    --(TEXT('[3]Global Weekly Stock (EWSuez'!$B$4:$B$2000,"mmm-yy")=TEXT(A115,"mmm-yy")),
    '[3]Global Weekly Stock (EWSuez'!$E$4:$E$2000)
/
SUMPRODUCT(
    --(TEXT('[3]Global Weekly Stock (EWSuez'!$B$4:$B$2000,"mmm-yy")=TEXT(A115,"mmm-yy"))
)</f>
        <v>11575.75</v>
      </c>
      <c r="I115">
        <f>_xlfn.XLOOKUP(A115,[1]ForwardDeriv!$D:$D,[1]ForwardDeriv!$AJ:$AJ)</f>
        <v>2.1500000000000057</v>
      </c>
      <c r="J115" cm="1">
        <f t="array" ref="J115">_xlfn.XLOOKUP(TEXT(A115, "mmm-yy"), TEXT([2]GASOLINE!$B$5:$B$208, "mmm-yy"), [2]GASOLINE!$IR$5:$IR$208, "Not Found")</f>
        <v>35.619264763980567</v>
      </c>
      <c r="K115" cm="1">
        <f t="array" ref="K115">_xlfn.XLOOKUP(TEXT(A115, "mmm-yy"), TEXT([2]GASOLINE!$B$5:$B$208, "mmm-yy"), [2]GASOLINE!$IK$5:$IK$208, "Not Found")</f>
        <v>0</v>
      </c>
      <c r="L115">
        <f t="shared" si="1"/>
        <v>1</v>
      </c>
      <c r="M115" cm="1">
        <f t="array" ref="M115">_xlfn.XLOOKUP(TEXT(A115, "mmm-yy"), TEXT([2]GASOLINE!$B$5:$B$208, "mmm-yy"), [2]GASOLINE!$C$5:$C$208, "Not Found")</f>
        <v>6406.8951214022236</v>
      </c>
      <c r="N115" cm="1">
        <f t="array" ref="N115">_xlfn.XLOOKUP(TEXT(A115, "mmm-yy"), TEXT([2]RUNS!$B$5:$B$208, "mmm-yy"), [2]RUNS!$BM$5:$BM$208, "Not Found")</f>
        <v>0.78612759406590982</v>
      </c>
    </row>
    <row r="116" spans="1:14" x14ac:dyDescent="0.25">
      <c r="A116" s="1">
        <f>'[1]Global_Spot Prices'!$B1425</f>
        <v>42165</v>
      </c>
      <c r="B116">
        <f>_xlfn.XLOOKUP(A116,'[1]Global_Spot Prices'!$B:$B,'[1]Global_Spot Prices'!$BS:$BS)</f>
        <v>20.97</v>
      </c>
      <c r="C116">
        <f>_xlfn.XLOOKUP(A116,'[1]Global_Spot Prices'!$B:$B,'[1]Global_Spot Prices'!$E:$E)</f>
        <v>64.05</v>
      </c>
      <c r="D116">
        <f>_xlfn.XLOOKUP(A116,'[1]Global_Spot Prices'!$B:$B,'[1]Global_Spot Prices'!$D:$D)</f>
        <v>63.87</v>
      </c>
      <c r="E116">
        <f>_xlfn.XLOOKUP(A116,'[1]Global_Spot Prices'!$B:$B,'[1]Global_Spot Prices'!$H:$H)</f>
        <v>64.53</v>
      </c>
      <c r="F116">
        <f>_xlfn.XLOOKUP(A116,'[1]Global_Spot Prices'!$B:$B,'[1]Global_Spot Prices'!$I:$I)</f>
        <v>85.02</v>
      </c>
      <c r="G116" cm="1">
        <f t="array" ref="G116">_xlfn.XLOOKUP(TEXT(A116, "mmm-yy"), TEXT([2]RUNS!$B$5:$B$208, "mmm-yy"), [2]RUNS!$D$5:$D$208, "Not Found")</f>
        <v>26599.177434535901</v>
      </c>
      <c r="H116" cm="1">
        <f t="array" ref="H116">SUMPRODUCT(
    --(TEXT('[3]Global Weekly Stock (EWSuez'!$B$4:$B$2000,"mmm-yy")=TEXT(A116,"mmm-yy")),
    '[3]Global Weekly Stock (EWSuez'!$E$4:$E$2000)
/
SUMPRODUCT(
    --(TEXT('[3]Global Weekly Stock (EWSuez'!$B$4:$B$2000,"mmm-yy")=TEXT(A116,"mmm-yy"))
)</f>
        <v>11575.75</v>
      </c>
      <c r="I116">
        <f>_xlfn.XLOOKUP(A116,[1]ForwardDeriv!$D:$D,[1]ForwardDeriv!$AJ:$AJ)</f>
        <v>2.4000000000000057</v>
      </c>
      <c r="J116" cm="1">
        <f t="array" ref="J116">_xlfn.XLOOKUP(TEXT(A116, "mmm-yy"), TEXT([2]GASOLINE!$B$5:$B$208, "mmm-yy"), [2]GASOLINE!$IR$5:$IR$208, "Not Found")</f>
        <v>35.619264763980567</v>
      </c>
      <c r="K116" cm="1">
        <f t="array" ref="K116">_xlfn.XLOOKUP(TEXT(A116, "mmm-yy"), TEXT([2]GASOLINE!$B$5:$B$208, "mmm-yy"), [2]GASOLINE!$IK$5:$IK$208, "Not Found")</f>
        <v>0</v>
      </c>
      <c r="L116">
        <f t="shared" si="1"/>
        <v>1</v>
      </c>
      <c r="M116" cm="1">
        <f t="array" ref="M116">_xlfn.XLOOKUP(TEXT(A116, "mmm-yy"), TEXT([2]GASOLINE!$B$5:$B$208, "mmm-yy"), [2]GASOLINE!$C$5:$C$208, "Not Found")</f>
        <v>6406.8951214022236</v>
      </c>
      <c r="N116" cm="1">
        <f t="array" ref="N116">_xlfn.XLOOKUP(TEXT(A116, "mmm-yy"), TEXT([2]RUNS!$B$5:$B$208, "mmm-yy"), [2]RUNS!$BM$5:$BM$208, "Not Found")</f>
        <v>0.78612759406590982</v>
      </c>
    </row>
    <row r="117" spans="1:14" x14ac:dyDescent="0.25">
      <c r="A117" s="1">
        <f>'[1]Global_Spot Prices'!$B1426</f>
        <v>42166</v>
      </c>
      <c r="B117">
        <f>_xlfn.XLOOKUP(A117,'[1]Global_Spot Prices'!$B:$B,'[1]Global_Spot Prices'!$BS:$BS)</f>
        <v>20.909999999999997</v>
      </c>
      <c r="C117">
        <f>_xlfn.XLOOKUP(A117,'[1]Global_Spot Prices'!$B:$B,'[1]Global_Spot Prices'!$E:$E)</f>
        <v>64.05</v>
      </c>
      <c r="D117">
        <f>_xlfn.XLOOKUP(A117,'[1]Global_Spot Prices'!$B:$B,'[1]Global_Spot Prices'!$D:$D)</f>
        <v>63.475000000000001</v>
      </c>
      <c r="E117">
        <f>_xlfn.XLOOKUP(A117,'[1]Global_Spot Prices'!$B:$B,'[1]Global_Spot Prices'!$H:$H)</f>
        <v>64.25</v>
      </c>
      <c r="F117">
        <f>_xlfn.XLOOKUP(A117,'[1]Global_Spot Prices'!$B:$B,'[1]Global_Spot Prices'!$I:$I)</f>
        <v>84.96</v>
      </c>
      <c r="G117" cm="1">
        <f t="array" ref="G117">_xlfn.XLOOKUP(TEXT(A117, "mmm-yy"), TEXT([2]RUNS!$B$5:$B$208, "mmm-yy"), [2]RUNS!$D$5:$D$208, "Not Found")</f>
        <v>26599.177434535901</v>
      </c>
      <c r="H117" cm="1">
        <f t="array" ref="H117">SUMPRODUCT(
    --(TEXT('[3]Global Weekly Stock (EWSuez'!$B$4:$B$2000,"mmm-yy")=TEXT(A117,"mmm-yy")),
    '[3]Global Weekly Stock (EWSuez'!$E$4:$E$2000)
/
SUMPRODUCT(
    --(TEXT('[3]Global Weekly Stock (EWSuez'!$B$4:$B$2000,"mmm-yy")=TEXT(A117,"mmm-yy"))
)</f>
        <v>11575.75</v>
      </c>
      <c r="I117">
        <f>_xlfn.XLOOKUP(A117,[1]ForwardDeriv!$D:$D,[1]ForwardDeriv!$AJ:$AJ)</f>
        <v>2.5</v>
      </c>
      <c r="J117" cm="1">
        <f t="array" ref="J117">_xlfn.XLOOKUP(TEXT(A117, "mmm-yy"), TEXT([2]GASOLINE!$B$5:$B$208, "mmm-yy"), [2]GASOLINE!$IR$5:$IR$208, "Not Found")</f>
        <v>35.619264763980567</v>
      </c>
      <c r="K117" cm="1">
        <f t="array" ref="K117">_xlfn.XLOOKUP(TEXT(A117, "mmm-yy"), TEXT([2]GASOLINE!$B$5:$B$208, "mmm-yy"), [2]GASOLINE!$IK$5:$IK$208, "Not Found")</f>
        <v>0</v>
      </c>
      <c r="L117">
        <f t="shared" si="1"/>
        <v>1</v>
      </c>
      <c r="M117" cm="1">
        <f t="array" ref="M117">_xlfn.XLOOKUP(TEXT(A117, "mmm-yy"), TEXT([2]GASOLINE!$B$5:$B$208, "mmm-yy"), [2]GASOLINE!$C$5:$C$208, "Not Found")</f>
        <v>6406.8951214022236</v>
      </c>
      <c r="N117" cm="1">
        <f t="array" ref="N117">_xlfn.XLOOKUP(TEXT(A117, "mmm-yy"), TEXT([2]RUNS!$B$5:$B$208, "mmm-yy"), [2]RUNS!$BM$5:$BM$208, "Not Found")</f>
        <v>0.78612759406590982</v>
      </c>
    </row>
    <row r="118" spans="1:14" x14ac:dyDescent="0.25">
      <c r="A118" s="1">
        <f>'[1]Global_Spot Prices'!$B1427</f>
        <v>42167</v>
      </c>
      <c r="B118">
        <f>_xlfn.XLOOKUP(A118,'[1]Global_Spot Prices'!$B:$B,'[1]Global_Spot Prices'!$BS:$BS)</f>
        <v>20.329999999999998</v>
      </c>
      <c r="C118">
        <f>_xlfn.XLOOKUP(A118,'[1]Global_Spot Prices'!$B:$B,'[1]Global_Spot Prices'!$E:$E)</f>
        <v>62.75</v>
      </c>
      <c r="D118">
        <f>_xlfn.XLOOKUP(A118,'[1]Global_Spot Prices'!$B:$B,'[1]Global_Spot Prices'!$D:$D)</f>
        <v>63.05</v>
      </c>
      <c r="E118">
        <f>_xlfn.XLOOKUP(A118,'[1]Global_Spot Prices'!$B:$B,'[1]Global_Spot Prices'!$H:$H)</f>
        <v>63.11</v>
      </c>
      <c r="F118">
        <f>_xlfn.XLOOKUP(A118,'[1]Global_Spot Prices'!$B:$B,'[1]Global_Spot Prices'!$I:$I)</f>
        <v>83.08</v>
      </c>
      <c r="G118" cm="1">
        <f t="array" ref="G118">_xlfn.XLOOKUP(TEXT(A118, "mmm-yy"), TEXT([2]RUNS!$B$5:$B$208, "mmm-yy"), [2]RUNS!$D$5:$D$208, "Not Found")</f>
        <v>26599.177434535901</v>
      </c>
      <c r="H118" cm="1">
        <f t="array" ref="H118">SUMPRODUCT(
    --(TEXT('[3]Global Weekly Stock (EWSuez'!$B$4:$B$2000,"mmm-yy")=TEXT(A118,"mmm-yy")),
    '[3]Global Weekly Stock (EWSuez'!$E$4:$E$2000)
/
SUMPRODUCT(
    --(TEXT('[3]Global Weekly Stock (EWSuez'!$B$4:$B$2000,"mmm-yy")=TEXT(A118,"mmm-yy"))
)</f>
        <v>11575.75</v>
      </c>
      <c r="I118">
        <f>_xlfn.XLOOKUP(A118,[1]ForwardDeriv!$D:$D,[1]ForwardDeriv!$AJ:$AJ)</f>
        <v>2.5</v>
      </c>
      <c r="J118" cm="1">
        <f t="array" ref="J118">_xlfn.XLOOKUP(TEXT(A118, "mmm-yy"), TEXT([2]GASOLINE!$B$5:$B$208, "mmm-yy"), [2]GASOLINE!$IR$5:$IR$208, "Not Found")</f>
        <v>35.619264763980567</v>
      </c>
      <c r="K118" cm="1">
        <f t="array" ref="K118">_xlfn.XLOOKUP(TEXT(A118, "mmm-yy"), TEXT([2]GASOLINE!$B$5:$B$208, "mmm-yy"), [2]GASOLINE!$IK$5:$IK$208, "Not Found")</f>
        <v>0</v>
      </c>
      <c r="L118">
        <f t="shared" si="1"/>
        <v>1</v>
      </c>
      <c r="M118" cm="1">
        <f t="array" ref="M118">_xlfn.XLOOKUP(TEXT(A118, "mmm-yy"), TEXT([2]GASOLINE!$B$5:$B$208, "mmm-yy"), [2]GASOLINE!$C$5:$C$208, "Not Found")</f>
        <v>6406.8951214022236</v>
      </c>
      <c r="N118" cm="1">
        <f t="array" ref="N118">_xlfn.XLOOKUP(TEXT(A118, "mmm-yy"), TEXT([2]RUNS!$B$5:$B$208, "mmm-yy"), [2]RUNS!$BM$5:$BM$208, "Not Found")</f>
        <v>0.78612759406590982</v>
      </c>
    </row>
    <row r="119" spans="1:14" x14ac:dyDescent="0.25">
      <c r="A119" s="1">
        <f>'[1]Global_Spot Prices'!$B1428</f>
        <v>42170</v>
      </c>
      <c r="B119">
        <f>_xlfn.XLOOKUP(A119,'[1]Global_Spot Prices'!$B:$B,'[1]Global_Spot Prices'!$BS:$BS)</f>
        <v>20.630000000000003</v>
      </c>
      <c r="C119">
        <f>_xlfn.XLOOKUP(A119,'[1]Global_Spot Prices'!$B:$B,'[1]Global_Spot Prices'!$E:$E)</f>
        <v>61.82</v>
      </c>
      <c r="D119">
        <f>_xlfn.XLOOKUP(A119,'[1]Global_Spot Prices'!$B:$B,'[1]Global_Spot Prices'!$D:$D)</f>
        <v>61.59</v>
      </c>
      <c r="E119">
        <f>_xlfn.XLOOKUP(A119,'[1]Global_Spot Prices'!$B:$B,'[1]Global_Spot Prices'!$H:$H)</f>
        <v>62.03</v>
      </c>
      <c r="F119">
        <f>_xlfn.XLOOKUP(A119,'[1]Global_Spot Prices'!$B:$B,'[1]Global_Spot Prices'!$I:$I)</f>
        <v>82.45</v>
      </c>
      <c r="G119" cm="1">
        <f t="array" ref="G119">_xlfn.XLOOKUP(TEXT(A119, "mmm-yy"), TEXT([2]RUNS!$B$5:$B$208, "mmm-yy"), [2]RUNS!$D$5:$D$208, "Not Found")</f>
        <v>26599.177434535901</v>
      </c>
      <c r="H119" cm="1">
        <f t="array" ref="H119">SUMPRODUCT(
    --(TEXT('[3]Global Weekly Stock (EWSuez'!$B$4:$B$2000,"mmm-yy")=TEXT(A119,"mmm-yy")),
    '[3]Global Weekly Stock (EWSuez'!$E$4:$E$2000)
/
SUMPRODUCT(
    --(TEXT('[3]Global Weekly Stock (EWSuez'!$B$4:$B$2000,"mmm-yy")=TEXT(A119,"mmm-yy"))
)</f>
        <v>11575.75</v>
      </c>
      <c r="I119">
        <f>_xlfn.XLOOKUP(A119,[1]ForwardDeriv!$D:$D,[1]ForwardDeriv!$AJ:$AJ)</f>
        <v>2.4500000000000028</v>
      </c>
      <c r="J119" cm="1">
        <f t="array" ref="J119">_xlfn.XLOOKUP(TEXT(A119, "mmm-yy"), TEXT([2]GASOLINE!$B$5:$B$208, "mmm-yy"), [2]GASOLINE!$IR$5:$IR$208, "Not Found")</f>
        <v>35.619264763980567</v>
      </c>
      <c r="K119" cm="1">
        <f t="array" ref="K119">_xlfn.XLOOKUP(TEXT(A119, "mmm-yy"), TEXT([2]GASOLINE!$B$5:$B$208, "mmm-yy"), [2]GASOLINE!$IK$5:$IK$208, "Not Found")</f>
        <v>0</v>
      </c>
      <c r="L119">
        <f t="shared" si="1"/>
        <v>1</v>
      </c>
      <c r="M119" cm="1">
        <f t="array" ref="M119">_xlfn.XLOOKUP(TEXT(A119, "mmm-yy"), TEXT([2]GASOLINE!$B$5:$B$208, "mmm-yy"), [2]GASOLINE!$C$5:$C$208, "Not Found")</f>
        <v>6406.8951214022236</v>
      </c>
      <c r="N119" cm="1">
        <f t="array" ref="N119">_xlfn.XLOOKUP(TEXT(A119, "mmm-yy"), TEXT([2]RUNS!$B$5:$B$208, "mmm-yy"), [2]RUNS!$BM$5:$BM$208, "Not Found")</f>
        <v>0.78612759406590982</v>
      </c>
    </row>
    <row r="120" spans="1:14" x14ac:dyDescent="0.25">
      <c r="A120" s="1">
        <f>'[1]Global_Spot Prices'!$B1429</f>
        <v>42171</v>
      </c>
      <c r="B120">
        <f>_xlfn.XLOOKUP(A120,'[1]Global_Spot Prices'!$B:$B,'[1]Global_Spot Prices'!$BS:$BS)</f>
        <v>21.42</v>
      </c>
      <c r="C120">
        <f>_xlfn.XLOOKUP(A120,'[1]Global_Spot Prices'!$B:$B,'[1]Global_Spot Prices'!$E:$E)</f>
        <v>61.56</v>
      </c>
      <c r="D120">
        <f>_xlfn.XLOOKUP(A120,'[1]Global_Spot Prices'!$B:$B,'[1]Global_Spot Prices'!$D:$D)</f>
        <v>61.465000000000003</v>
      </c>
      <c r="E120">
        <f>_xlfn.XLOOKUP(A120,'[1]Global_Spot Prices'!$B:$B,'[1]Global_Spot Prices'!$H:$H)</f>
        <v>61.14</v>
      </c>
      <c r="F120">
        <f>_xlfn.XLOOKUP(A120,'[1]Global_Spot Prices'!$B:$B,'[1]Global_Spot Prices'!$I:$I)</f>
        <v>82.98</v>
      </c>
      <c r="G120" cm="1">
        <f t="array" ref="G120">_xlfn.XLOOKUP(TEXT(A120, "mmm-yy"), TEXT([2]RUNS!$B$5:$B$208, "mmm-yy"), [2]RUNS!$D$5:$D$208, "Not Found")</f>
        <v>26599.177434535901</v>
      </c>
      <c r="H120" cm="1">
        <f t="array" ref="H120">SUMPRODUCT(
    --(TEXT('[3]Global Weekly Stock (EWSuez'!$B$4:$B$2000,"mmm-yy")=TEXT(A120,"mmm-yy")),
    '[3]Global Weekly Stock (EWSuez'!$E$4:$E$2000)
/
SUMPRODUCT(
    --(TEXT('[3]Global Weekly Stock (EWSuez'!$B$4:$B$2000,"mmm-yy")=TEXT(A120,"mmm-yy"))
)</f>
        <v>11575.75</v>
      </c>
      <c r="I120">
        <f>_xlfn.XLOOKUP(A120,[1]ForwardDeriv!$D:$D,[1]ForwardDeriv!$AJ:$AJ)</f>
        <v>2.5999999999999943</v>
      </c>
      <c r="J120" cm="1">
        <f t="array" ref="J120">_xlfn.XLOOKUP(TEXT(A120, "mmm-yy"), TEXT([2]GASOLINE!$B$5:$B$208, "mmm-yy"), [2]GASOLINE!$IR$5:$IR$208, "Not Found")</f>
        <v>35.619264763980567</v>
      </c>
      <c r="K120" cm="1">
        <f t="array" ref="K120">_xlfn.XLOOKUP(TEXT(A120, "mmm-yy"), TEXT([2]GASOLINE!$B$5:$B$208, "mmm-yy"), [2]GASOLINE!$IK$5:$IK$208, "Not Found")</f>
        <v>0</v>
      </c>
      <c r="L120">
        <f t="shared" si="1"/>
        <v>1</v>
      </c>
      <c r="M120" cm="1">
        <f t="array" ref="M120">_xlfn.XLOOKUP(TEXT(A120, "mmm-yy"), TEXT([2]GASOLINE!$B$5:$B$208, "mmm-yy"), [2]GASOLINE!$C$5:$C$208, "Not Found")</f>
        <v>6406.8951214022236</v>
      </c>
      <c r="N120" cm="1">
        <f t="array" ref="N120">_xlfn.XLOOKUP(TEXT(A120, "mmm-yy"), TEXT([2]RUNS!$B$5:$B$208, "mmm-yy"), [2]RUNS!$BM$5:$BM$208, "Not Found")</f>
        <v>0.78612759406590982</v>
      </c>
    </row>
    <row r="121" spans="1:14" x14ac:dyDescent="0.25">
      <c r="A121" s="1">
        <f>'[1]Global_Spot Prices'!$B1430</f>
        <v>42172</v>
      </c>
      <c r="B121">
        <f>_xlfn.XLOOKUP(A121,'[1]Global_Spot Prices'!$B:$B,'[1]Global_Spot Prices'!$BS:$BS)</f>
        <v>21.93</v>
      </c>
      <c r="C121">
        <f>_xlfn.XLOOKUP(A121,'[1]Global_Spot Prices'!$B:$B,'[1]Global_Spot Prices'!$E:$E)</f>
        <v>61.85</v>
      </c>
      <c r="D121">
        <f>_xlfn.XLOOKUP(A121,'[1]Global_Spot Prices'!$B:$B,'[1]Global_Spot Prices'!$D:$D)</f>
        <v>61.35</v>
      </c>
      <c r="E121">
        <f>_xlfn.XLOOKUP(A121,'[1]Global_Spot Prices'!$B:$B,'[1]Global_Spot Prices'!$H:$H)</f>
        <v>61.08</v>
      </c>
      <c r="F121">
        <f>_xlfn.XLOOKUP(A121,'[1]Global_Spot Prices'!$B:$B,'[1]Global_Spot Prices'!$I:$I)</f>
        <v>83.78</v>
      </c>
      <c r="G121" cm="1">
        <f t="array" ref="G121">_xlfn.XLOOKUP(TEXT(A121, "mmm-yy"), TEXT([2]RUNS!$B$5:$B$208, "mmm-yy"), [2]RUNS!$D$5:$D$208, "Not Found")</f>
        <v>26599.177434535901</v>
      </c>
      <c r="H121" cm="1">
        <f t="array" ref="H121">SUMPRODUCT(
    --(TEXT('[3]Global Weekly Stock (EWSuez'!$B$4:$B$2000,"mmm-yy")=TEXT(A121,"mmm-yy")),
    '[3]Global Weekly Stock (EWSuez'!$E$4:$E$2000)
/
SUMPRODUCT(
    --(TEXT('[3]Global Weekly Stock (EWSuez'!$B$4:$B$2000,"mmm-yy")=TEXT(A121,"mmm-yy"))
)</f>
        <v>11575.75</v>
      </c>
      <c r="I121">
        <f>_xlfn.XLOOKUP(A121,[1]ForwardDeriv!$D:$D,[1]ForwardDeriv!$AJ:$AJ)</f>
        <v>2.75</v>
      </c>
      <c r="J121" cm="1">
        <f t="array" ref="J121">_xlfn.XLOOKUP(TEXT(A121, "mmm-yy"), TEXT([2]GASOLINE!$B$5:$B$208, "mmm-yy"), [2]GASOLINE!$IR$5:$IR$208, "Not Found")</f>
        <v>35.619264763980567</v>
      </c>
      <c r="K121" cm="1">
        <f t="array" ref="K121">_xlfn.XLOOKUP(TEXT(A121, "mmm-yy"), TEXT([2]GASOLINE!$B$5:$B$208, "mmm-yy"), [2]GASOLINE!$IK$5:$IK$208, "Not Found")</f>
        <v>0</v>
      </c>
      <c r="L121">
        <f t="shared" si="1"/>
        <v>1</v>
      </c>
      <c r="M121" cm="1">
        <f t="array" ref="M121">_xlfn.XLOOKUP(TEXT(A121, "mmm-yy"), TEXT([2]GASOLINE!$B$5:$B$208, "mmm-yy"), [2]GASOLINE!$C$5:$C$208, "Not Found")</f>
        <v>6406.8951214022236</v>
      </c>
      <c r="N121" cm="1">
        <f t="array" ref="N121">_xlfn.XLOOKUP(TEXT(A121, "mmm-yy"), TEXT([2]RUNS!$B$5:$B$208, "mmm-yy"), [2]RUNS!$BM$5:$BM$208, "Not Found")</f>
        <v>0.78612759406590982</v>
      </c>
    </row>
    <row r="122" spans="1:14" x14ac:dyDescent="0.25">
      <c r="A122" s="1">
        <f>'[1]Global_Spot Prices'!$B1431</f>
        <v>42173</v>
      </c>
      <c r="B122">
        <f>_xlfn.XLOOKUP(A122,'[1]Global_Spot Prices'!$B:$B,'[1]Global_Spot Prices'!$BS:$BS)</f>
        <v>21.089999999999996</v>
      </c>
      <c r="C122">
        <f>_xlfn.XLOOKUP(A122,'[1]Global_Spot Prices'!$B:$B,'[1]Global_Spot Prices'!$E:$E)</f>
        <v>62.01</v>
      </c>
      <c r="D122">
        <f>_xlfn.XLOOKUP(A122,'[1]Global_Spot Prices'!$B:$B,'[1]Global_Spot Prices'!$D:$D)</f>
        <v>61.96</v>
      </c>
      <c r="E122">
        <f>_xlfn.XLOOKUP(A122,'[1]Global_Spot Prices'!$B:$B,'[1]Global_Spot Prices'!$H:$H)</f>
        <v>60.57</v>
      </c>
      <c r="F122">
        <f>_xlfn.XLOOKUP(A122,'[1]Global_Spot Prices'!$B:$B,'[1]Global_Spot Prices'!$I:$I)</f>
        <v>83.1</v>
      </c>
      <c r="G122" cm="1">
        <f t="array" ref="G122">_xlfn.XLOOKUP(TEXT(A122, "mmm-yy"), TEXT([2]RUNS!$B$5:$B$208, "mmm-yy"), [2]RUNS!$D$5:$D$208, "Not Found")</f>
        <v>26599.177434535901</v>
      </c>
      <c r="H122" cm="1">
        <f t="array" ref="H122">SUMPRODUCT(
    --(TEXT('[3]Global Weekly Stock (EWSuez'!$B$4:$B$2000,"mmm-yy")=TEXT(A122,"mmm-yy")),
    '[3]Global Weekly Stock (EWSuez'!$E$4:$E$2000)
/
SUMPRODUCT(
    --(TEXT('[3]Global Weekly Stock (EWSuez'!$B$4:$B$2000,"mmm-yy")=TEXT(A122,"mmm-yy"))
)</f>
        <v>11575.75</v>
      </c>
      <c r="I122">
        <f>_xlfn.XLOOKUP(A122,[1]ForwardDeriv!$D:$D,[1]ForwardDeriv!$AJ:$AJ)</f>
        <v>2.5999999999999943</v>
      </c>
      <c r="J122" cm="1">
        <f t="array" ref="J122">_xlfn.XLOOKUP(TEXT(A122, "mmm-yy"), TEXT([2]GASOLINE!$B$5:$B$208, "mmm-yy"), [2]GASOLINE!$IR$5:$IR$208, "Not Found")</f>
        <v>35.619264763980567</v>
      </c>
      <c r="K122" cm="1">
        <f t="array" ref="K122">_xlfn.XLOOKUP(TEXT(A122, "mmm-yy"), TEXT([2]GASOLINE!$B$5:$B$208, "mmm-yy"), [2]GASOLINE!$IK$5:$IK$208, "Not Found")</f>
        <v>0</v>
      </c>
      <c r="L122">
        <f t="shared" si="1"/>
        <v>1</v>
      </c>
      <c r="M122" cm="1">
        <f t="array" ref="M122">_xlfn.XLOOKUP(TEXT(A122, "mmm-yy"), TEXT([2]GASOLINE!$B$5:$B$208, "mmm-yy"), [2]GASOLINE!$C$5:$C$208, "Not Found")</f>
        <v>6406.8951214022236</v>
      </c>
      <c r="N122" cm="1">
        <f t="array" ref="N122">_xlfn.XLOOKUP(TEXT(A122, "mmm-yy"), TEXT([2]RUNS!$B$5:$B$208, "mmm-yy"), [2]RUNS!$BM$5:$BM$208, "Not Found")</f>
        <v>0.78612759406590982</v>
      </c>
    </row>
    <row r="123" spans="1:14" x14ac:dyDescent="0.25">
      <c r="A123" s="1">
        <f>'[1]Global_Spot Prices'!$B1432</f>
        <v>42174</v>
      </c>
      <c r="B123">
        <f>_xlfn.XLOOKUP(A123,'[1]Global_Spot Prices'!$B:$B,'[1]Global_Spot Prices'!$BS:$BS)</f>
        <v>19.370000000000005</v>
      </c>
      <c r="C123">
        <f>_xlfn.XLOOKUP(A123,'[1]Global_Spot Prices'!$B:$B,'[1]Global_Spot Prices'!$E:$E)</f>
        <v>62</v>
      </c>
      <c r="D123">
        <f>_xlfn.XLOOKUP(A123,'[1]Global_Spot Prices'!$B:$B,'[1]Global_Spot Prices'!$D:$D)</f>
        <v>60.47</v>
      </c>
      <c r="E123">
        <f>_xlfn.XLOOKUP(A123,'[1]Global_Spot Prices'!$B:$B,'[1]Global_Spot Prices'!$H:$H)</f>
        <v>60.85</v>
      </c>
      <c r="F123">
        <f>_xlfn.XLOOKUP(A123,'[1]Global_Spot Prices'!$B:$B,'[1]Global_Spot Prices'!$I:$I)</f>
        <v>81.37</v>
      </c>
      <c r="G123" cm="1">
        <f t="array" ref="G123">_xlfn.XLOOKUP(TEXT(A123, "mmm-yy"), TEXT([2]RUNS!$B$5:$B$208, "mmm-yy"), [2]RUNS!$D$5:$D$208, "Not Found")</f>
        <v>26599.177434535901</v>
      </c>
      <c r="H123" cm="1">
        <f t="array" ref="H123">SUMPRODUCT(
    --(TEXT('[3]Global Weekly Stock (EWSuez'!$B$4:$B$2000,"mmm-yy")=TEXT(A123,"mmm-yy")),
    '[3]Global Weekly Stock (EWSuez'!$E$4:$E$2000)
/
SUMPRODUCT(
    --(TEXT('[3]Global Weekly Stock (EWSuez'!$B$4:$B$2000,"mmm-yy")=TEXT(A123,"mmm-yy"))
)</f>
        <v>11575.75</v>
      </c>
      <c r="I123">
        <f>_xlfn.XLOOKUP(A123,[1]ForwardDeriv!$D:$D,[1]ForwardDeriv!$AJ:$AJ)</f>
        <v>2.4500000000000028</v>
      </c>
      <c r="J123" cm="1">
        <f t="array" ref="J123">_xlfn.XLOOKUP(TEXT(A123, "mmm-yy"), TEXT([2]GASOLINE!$B$5:$B$208, "mmm-yy"), [2]GASOLINE!$IR$5:$IR$208, "Not Found")</f>
        <v>35.619264763980567</v>
      </c>
      <c r="K123" cm="1">
        <f t="array" ref="K123">_xlfn.XLOOKUP(TEXT(A123, "mmm-yy"), TEXT([2]GASOLINE!$B$5:$B$208, "mmm-yy"), [2]GASOLINE!$IK$5:$IK$208, "Not Found")</f>
        <v>0</v>
      </c>
      <c r="L123">
        <f t="shared" si="1"/>
        <v>1</v>
      </c>
      <c r="M123" cm="1">
        <f t="array" ref="M123">_xlfn.XLOOKUP(TEXT(A123, "mmm-yy"), TEXT([2]GASOLINE!$B$5:$B$208, "mmm-yy"), [2]GASOLINE!$C$5:$C$208, "Not Found")</f>
        <v>6406.8951214022236</v>
      </c>
      <c r="N123" cm="1">
        <f t="array" ref="N123">_xlfn.XLOOKUP(TEXT(A123, "mmm-yy"), TEXT([2]RUNS!$B$5:$B$208, "mmm-yy"), [2]RUNS!$BM$5:$BM$208, "Not Found")</f>
        <v>0.78612759406590982</v>
      </c>
    </row>
    <row r="124" spans="1:14" x14ac:dyDescent="0.25">
      <c r="A124" s="1">
        <f>'[1]Global_Spot Prices'!$B1433</f>
        <v>42177</v>
      </c>
      <c r="B124">
        <f>_xlfn.XLOOKUP(A124,'[1]Global_Spot Prices'!$B:$B,'[1]Global_Spot Prices'!$BS:$BS)</f>
        <v>17.959999999999994</v>
      </c>
      <c r="C124">
        <f>_xlfn.XLOOKUP(A124,'[1]Global_Spot Prices'!$B:$B,'[1]Global_Spot Prices'!$E:$E)</f>
        <v>61.11</v>
      </c>
      <c r="D124">
        <f>_xlfn.XLOOKUP(A124,'[1]Global_Spot Prices'!$B:$B,'[1]Global_Spot Prices'!$D:$D)</f>
        <v>60.204999999999998</v>
      </c>
      <c r="E124">
        <f>_xlfn.XLOOKUP(A124,'[1]Global_Spot Prices'!$B:$B,'[1]Global_Spot Prices'!$H:$H)</f>
        <v>60.25</v>
      </c>
      <c r="F124">
        <f>_xlfn.XLOOKUP(A124,'[1]Global_Spot Prices'!$B:$B,'[1]Global_Spot Prices'!$I:$I)</f>
        <v>79.069999999999993</v>
      </c>
      <c r="G124" cm="1">
        <f t="array" ref="G124">_xlfn.XLOOKUP(TEXT(A124, "mmm-yy"), TEXT([2]RUNS!$B$5:$B$208, "mmm-yy"), [2]RUNS!$D$5:$D$208, "Not Found")</f>
        <v>26599.177434535901</v>
      </c>
      <c r="H124" cm="1">
        <f t="array" ref="H124">SUMPRODUCT(
    --(TEXT('[3]Global Weekly Stock (EWSuez'!$B$4:$B$2000,"mmm-yy")=TEXT(A124,"mmm-yy")),
    '[3]Global Weekly Stock (EWSuez'!$E$4:$E$2000)
/
SUMPRODUCT(
    --(TEXT('[3]Global Weekly Stock (EWSuez'!$B$4:$B$2000,"mmm-yy")=TEXT(A124,"mmm-yy"))
)</f>
        <v>11575.75</v>
      </c>
      <c r="I124">
        <f>_xlfn.XLOOKUP(A124,[1]ForwardDeriv!$D:$D,[1]ForwardDeriv!$AJ:$AJ)</f>
        <v>2.0500000000000114</v>
      </c>
      <c r="J124" cm="1">
        <f t="array" ref="J124">_xlfn.XLOOKUP(TEXT(A124, "mmm-yy"), TEXT([2]GASOLINE!$B$5:$B$208, "mmm-yy"), [2]GASOLINE!$IR$5:$IR$208, "Not Found")</f>
        <v>35.619264763980567</v>
      </c>
      <c r="K124" cm="1">
        <f t="array" ref="K124">_xlfn.XLOOKUP(TEXT(A124, "mmm-yy"), TEXT([2]GASOLINE!$B$5:$B$208, "mmm-yy"), [2]GASOLINE!$IK$5:$IK$208, "Not Found")</f>
        <v>0</v>
      </c>
      <c r="L124">
        <f t="shared" si="1"/>
        <v>1</v>
      </c>
      <c r="M124" cm="1">
        <f t="array" ref="M124">_xlfn.XLOOKUP(TEXT(A124, "mmm-yy"), TEXT([2]GASOLINE!$B$5:$B$208, "mmm-yy"), [2]GASOLINE!$C$5:$C$208, "Not Found")</f>
        <v>6406.8951214022236</v>
      </c>
      <c r="N124" cm="1">
        <f t="array" ref="N124">_xlfn.XLOOKUP(TEXT(A124, "mmm-yy"), TEXT([2]RUNS!$B$5:$B$208, "mmm-yy"), [2]RUNS!$BM$5:$BM$208, "Not Found")</f>
        <v>0.78612759406590982</v>
      </c>
    </row>
    <row r="125" spans="1:14" x14ac:dyDescent="0.25">
      <c r="A125" s="1">
        <f>'[1]Global_Spot Prices'!$B1434</f>
        <v>42178</v>
      </c>
      <c r="B125">
        <f>_xlfn.XLOOKUP(A125,'[1]Global_Spot Prices'!$B:$B,'[1]Global_Spot Prices'!$BS:$BS)</f>
        <v>17.07</v>
      </c>
      <c r="C125">
        <f>_xlfn.XLOOKUP(A125,'[1]Global_Spot Prices'!$B:$B,'[1]Global_Spot Prices'!$E:$E)</f>
        <v>61.29</v>
      </c>
      <c r="D125">
        <f>_xlfn.XLOOKUP(A125,'[1]Global_Spot Prices'!$B:$B,'[1]Global_Spot Prices'!$D:$D)</f>
        <v>61.674999999999997</v>
      </c>
      <c r="E125">
        <f>_xlfn.XLOOKUP(A125,'[1]Global_Spot Prices'!$B:$B,'[1]Global_Spot Prices'!$H:$H)</f>
        <v>59.58</v>
      </c>
      <c r="F125">
        <f>_xlfn.XLOOKUP(A125,'[1]Global_Spot Prices'!$B:$B,'[1]Global_Spot Prices'!$I:$I)</f>
        <v>78.36</v>
      </c>
      <c r="G125" cm="1">
        <f t="array" ref="G125">_xlfn.XLOOKUP(TEXT(A125, "mmm-yy"), TEXT([2]RUNS!$B$5:$B$208, "mmm-yy"), [2]RUNS!$D$5:$D$208, "Not Found")</f>
        <v>26599.177434535901</v>
      </c>
      <c r="H125" cm="1">
        <f t="array" ref="H125">SUMPRODUCT(
    --(TEXT('[3]Global Weekly Stock (EWSuez'!$B$4:$B$2000,"mmm-yy")=TEXT(A125,"mmm-yy")),
    '[3]Global Weekly Stock (EWSuez'!$E$4:$E$2000)
/
SUMPRODUCT(
    --(TEXT('[3]Global Weekly Stock (EWSuez'!$B$4:$B$2000,"mmm-yy")=TEXT(A125,"mmm-yy"))
)</f>
        <v>11575.75</v>
      </c>
      <c r="I125">
        <f>_xlfn.XLOOKUP(A125,[1]ForwardDeriv!$D:$D,[1]ForwardDeriv!$AJ:$AJ)</f>
        <v>1.9000000000000057</v>
      </c>
      <c r="J125" cm="1">
        <f t="array" ref="J125">_xlfn.XLOOKUP(TEXT(A125, "mmm-yy"), TEXT([2]GASOLINE!$B$5:$B$208, "mmm-yy"), [2]GASOLINE!$IR$5:$IR$208, "Not Found")</f>
        <v>35.619264763980567</v>
      </c>
      <c r="K125" cm="1">
        <f t="array" ref="K125">_xlfn.XLOOKUP(TEXT(A125, "mmm-yy"), TEXT([2]GASOLINE!$B$5:$B$208, "mmm-yy"), [2]GASOLINE!$IK$5:$IK$208, "Not Found")</f>
        <v>0</v>
      </c>
      <c r="L125">
        <f t="shared" si="1"/>
        <v>1</v>
      </c>
      <c r="M125" cm="1">
        <f t="array" ref="M125">_xlfn.XLOOKUP(TEXT(A125, "mmm-yy"), TEXT([2]GASOLINE!$B$5:$B$208, "mmm-yy"), [2]GASOLINE!$C$5:$C$208, "Not Found")</f>
        <v>6406.8951214022236</v>
      </c>
      <c r="N125" cm="1">
        <f t="array" ref="N125">_xlfn.XLOOKUP(TEXT(A125, "mmm-yy"), TEXT([2]RUNS!$B$5:$B$208, "mmm-yy"), [2]RUNS!$BM$5:$BM$208, "Not Found")</f>
        <v>0.78612759406590982</v>
      </c>
    </row>
    <row r="126" spans="1:14" x14ac:dyDescent="0.25">
      <c r="A126" s="1">
        <f>'[1]Global_Spot Prices'!$B1435</f>
        <v>42179</v>
      </c>
      <c r="B126">
        <f>_xlfn.XLOOKUP(A126,'[1]Global_Spot Prices'!$B:$B,'[1]Global_Spot Prices'!$BS:$BS)</f>
        <v>17.510000000000005</v>
      </c>
      <c r="C126">
        <f>_xlfn.XLOOKUP(A126,'[1]Global_Spot Prices'!$B:$B,'[1]Global_Spot Prices'!$E:$E)</f>
        <v>62.75</v>
      </c>
      <c r="D126">
        <f>_xlfn.XLOOKUP(A126,'[1]Global_Spot Prices'!$B:$B,'[1]Global_Spot Prices'!$D:$D)</f>
        <v>61.774999999999999</v>
      </c>
      <c r="E126">
        <f>_xlfn.XLOOKUP(A126,'[1]Global_Spot Prices'!$B:$B,'[1]Global_Spot Prices'!$H:$H)</f>
        <v>60.81</v>
      </c>
      <c r="F126">
        <f>_xlfn.XLOOKUP(A126,'[1]Global_Spot Prices'!$B:$B,'[1]Global_Spot Prices'!$I:$I)</f>
        <v>80.260000000000005</v>
      </c>
      <c r="G126" cm="1">
        <f t="array" ref="G126">_xlfn.XLOOKUP(TEXT(A126, "mmm-yy"), TEXT([2]RUNS!$B$5:$B$208, "mmm-yy"), [2]RUNS!$D$5:$D$208, "Not Found")</f>
        <v>26599.177434535901</v>
      </c>
      <c r="H126" cm="1">
        <f t="array" ref="H126">SUMPRODUCT(
    --(TEXT('[3]Global Weekly Stock (EWSuez'!$B$4:$B$2000,"mmm-yy")=TEXT(A126,"mmm-yy")),
    '[3]Global Weekly Stock (EWSuez'!$E$4:$E$2000)
/
SUMPRODUCT(
    --(TEXT('[3]Global Weekly Stock (EWSuez'!$B$4:$B$2000,"mmm-yy")=TEXT(A126,"mmm-yy"))
)</f>
        <v>11575.75</v>
      </c>
      <c r="I126">
        <f>_xlfn.XLOOKUP(A126,[1]ForwardDeriv!$D:$D,[1]ForwardDeriv!$AJ:$AJ)</f>
        <v>2.1500000000000057</v>
      </c>
      <c r="J126" cm="1">
        <f t="array" ref="J126">_xlfn.XLOOKUP(TEXT(A126, "mmm-yy"), TEXT([2]GASOLINE!$B$5:$B$208, "mmm-yy"), [2]GASOLINE!$IR$5:$IR$208, "Not Found")</f>
        <v>35.619264763980567</v>
      </c>
      <c r="K126" cm="1">
        <f t="array" ref="K126">_xlfn.XLOOKUP(TEXT(A126, "mmm-yy"), TEXT([2]GASOLINE!$B$5:$B$208, "mmm-yy"), [2]GASOLINE!$IK$5:$IK$208, "Not Found")</f>
        <v>0</v>
      </c>
      <c r="L126">
        <f t="shared" si="1"/>
        <v>1</v>
      </c>
      <c r="M126" cm="1">
        <f t="array" ref="M126">_xlfn.XLOOKUP(TEXT(A126, "mmm-yy"), TEXT([2]GASOLINE!$B$5:$B$208, "mmm-yy"), [2]GASOLINE!$C$5:$C$208, "Not Found")</f>
        <v>6406.8951214022236</v>
      </c>
      <c r="N126" cm="1">
        <f t="array" ref="N126">_xlfn.XLOOKUP(TEXT(A126, "mmm-yy"), TEXT([2]RUNS!$B$5:$B$208, "mmm-yy"), [2]RUNS!$BM$5:$BM$208, "Not Found")</f>
        <v>0.78612759406590982</v>
      </c>
    </row>
    <row r="127" spans="1:14" x14ac:dyDescent="0.25">
      <c r="A127" s="1">
        <f>'[1]Global_Spot Prices'!$B1436</f>
        <v>42180</v>
      </c>
      <c r="B127">
        <f>_xlfn.XLOOKUP(A127,'[1]Global_Spot Prices'!$B:$B,'[1]Global_Spot Prices'!$BS:$BS)</f>
        <v>17.329999999999998</v>
      </c>
      <c r="C127">
        <f>_xlfn.XLOOKUP(A127,'[1]Global_Spot Prices'!$B:$B,'[1]Global_Spot Prices'!$E:$E)</f>
        <v>61.7</v>
      </c>
      <c r="D127">
        <f>_xlfn.XLOOKUP(A127,'[1]Global_Spot Prices'!$B:$B,'[1]Global_Spot Prices'!$D:$D)</f>
        <v>60.594999999999999</v>
      </c>
      <c r="E127">
        <f>_xlfn.XLOOKUP(A127,'[1]Global_Spot Prices'!$B:$B,'[1]Global_Spot Prices'!$H:$H)</f>
        <v>59.11</v>
      </c>
      <c r="F127">
        <f>_xlfn.XLOOKUP(A127,'[1]Global_Spot Prices'!$B:$B,'[1]Global_Spot Prices'!$I:$I)</f>
        <v>79.03</v>
      </c>
      <c r="G127" cm="1">
        <f t="array" ref="G127">_xlfn.XLOOKUP(TEXT(A127, "mmm-yy"), TEXT([2]RUNS!$B$5:$B$208, "mmm-yy"), [2]RUNS!$D$5:$D$208, "Not Found")</f>
        <v>26599.177434535901</v>
      </c>
      <c r="H127" cm="1">
        <f t="array" ref="H127">SUMPRODUCT(
    --(TEXT('[3]Global Weekly Stock (EWSuez'!$B$4:$B$2000,"mmm-yy")=TEXT(A127,"mmm-yy")),
    '[3]Global Weekly Stock (EWSuez'!$E$4:$E$2000)
/
SUMPRODUCT(
    --(TEXT('[3]Global Weekly Stock (EWSuez'!$B$4:$B$2000,"mmm-yy")=TEXT(A127,"mmm-yy"))
)</f>
        <v>11575.75</v>
      </c>
      <c r="I127">
        <f>_xlfn.XLOOKUP(A127,[1]ForwardDeriv!$D:$D,[1]ForwardDeriv!$AJ:$AJ)</f>
        <v>2.1500000000000057</v>
      </c>
      <c r="J127" cm="1">
        <f t="array" ref="J127">_xlfn.XLOOKUP(TEXT(A127, "mmm-yy"), TEXT([2]GASOLINE!$B$5:$B$208, "mmm-yy"), [2]GASOLINE!$IR$5:$IR$208, "Not Found")</f>
        <v>35.619264763980567</v>
      </c>
      <c r="K127" cm="1">
        <f t="array" ref="K127">_xlfn.XLOOKUP(TEXT(A127, "mmm-yy"), TEXT([2]GASOLINE!$B$5:$B$208, "mmm-yy"), [2]GASOLINE!$IK$5:$IK$208, "Not Found")</f>
        <v>0</v>
      </c>
      <c r="L127">
        <f t="shared" si="1"/>
        <v>1</v>
      </c>
      <c r="M127" cm="1">
        <f t="array" ref="M127">_xlfn.XLOOKUP(TEXT(A127, "mmm-yy"), TEXT([2]GASOLINE!$B$5:$B$208, "mmm-yy"), [2]GASOLINE!$C$5:$C$208, "Not Found")</f>
        <v>6406.8951214022236</v>
      </c>
      <c r="N127" cm="1">
        <f t="array" ref="N127">_xlfn.XLOOKUP(TEXT(A127, "mmm-yy"), TEXT([2]RUNS!$B$5:$B$208, "mmm-yy"), [2]RUNS!$BM$5:$BM$208, "Not Found")</f>
        <v>0.78612759406590982</v>
      </c>
    </row>
    <row r="128" spans="1:14" x14ac:dyDescent="0.25">
      <c r="A128" s="1">
        <f>'[1]Global_Spot Prices'!$B1437</f>
        <v>42181</v>
      </c>
      <c r="B128">
        <f>_xlfn.XLOOKUP(A128,'[1]Global_Spot Prices'!$B:$B,'[1]Global_Spot Prices'!$BS:$BS)</f>
        <v>17.490000000000009</v>
      </c>
      <c r="C128">
        <f>_xlfn.XLOOKUP(A128,'[1]Global_Spot Prices'!$B:$B,'[1]Global_Spot Prices'!$E:$E)</f>
        <v>60.69</v>
      </c>
      <c r="D128">
        <f>_xlfn.XLOOKUP(A128,'[1]Global_Spot Prices'!$B:$B,'[1]Global_Spot Prices'!$D:$D)</f>
        <v>60.74</v>
      </c>
      <c r="E128">
        <f>_xlfn.XLOOKUP(A128,'[1]Global_Spot Prices'!$B:$B,'[1]Global_Spot Prices'!$H:$H)</f>
        <v>59</v>
      </c>
      <c r="F128">
        <f>_xlfn.XLOOKUP(A128,'[1]Global_Spot Prices'!$B:$B,'[1]Global_Spot Prices'!$I:$I)</f>
        <v>78.180000000000007</v>
      </c>
      <c r="G128" cm="1">
        <f t="array" ref="G128">_xlfn.XLOOKUP(TEXT(A128, "mmm-yy"), TEXT([2]RUNS!$B$5:$B$208, "mmm-yy"), [2]RUNS!$D$5:$D$208, "Not Found")</f>
        <v>26599.177434535901</v>
      </c>
      <c r="H128" cm="1">
        <f t="array" ref="H128">SUMPRODUCT(
    --(TEXT('[3]Global Weekly Stock (EWSuez'!$B$4:$B$2000,"mmm-yy")=TEXT(A128,"mmm-yy")),
    '[3]Global Weekly Stock (EWSuez'!$E$4:$E$2000)
/
SUMPRODUCT(
    --(TEXT('[3]Global Weekly Stock (EWSuez'!$B$4:$B$2000,"mmm-yy")=TEXT(A128,"mmm-yy"))
)</f>
        <v>11575.75</v>
      </c>
      <c r="I128">
        <f>_xlfn.XLOOKUP(A128,[1]ForwardDeriv!$D:$D,[1]ForwardDeriv!$AJ:$AJ)</f>
        <v>2.1000000000000085</v>
      </c>
      <c r="J128" cm="1">
        <f t="array" ref="J128">_xlfn.XLOOKUP(TEXT(A128, "mmm-yy"), TEXT([2]GASOLINE!$B$5:$B$208, "mmm-yy"), [2]GASOLINE!$IR$5:$IR$208, "Not Found")</f>
        <v>35.619264763980567</v>
      </c>
      <c r="K128" cm="1">
        <f t="array" ref="K128">_xlfn.XLOOKUP(TEXT(A128, "mmm-yy"), TEXT([2]GASOLINE!$B$5:$B$208, "mmm-yy"), [2]GASOLINE!$IK$5:$IK$208, "Not Found")</f>
        <v>0</v>
      </c>
      <c r="L128">
        <f t="shared" si="1"/>
        <v>1</v>
      </c>
      <c r="M128" cm="1">
        <f t="array" ref="M128">_xlfn.XLOOKUP(TEXT(A128, "mmm-yy"), TEXT([2]GASOLINE!$B$5:$B$208, "mmm-yy"), [2]GASOLINE!$C$5:$C$208, "Not Found")</f>
        <v>6406.8951214022236</v>
      </c>
      <c r="N128" cm="1">
        <f t="array" ref="N128">_xlfn.XLOOKUP(TEXT(A128, "mmm-yy"), TEXT([2]RUNS!$B$5:$B$208, "mmm-yy"), [2]RUNS!$BM$5:$BM$208, "Not Found")</f>
        <v>0.78612759406590982</v>
      </c>
    </row>
    <row r="129" spans="1:14" x14ac:dyDescent="0.25">
      <c r="A129" s="1">
        <f>'[1]Global_Spot Prices'!$B1438</f>
        <v>42184</v>
      </c>
      <c r="B129">
        <f>_xlfn.XLOOKUP(A129,'[1]Global_Spot Prices'!$B:$B,'[1]Global_Spot Prices'!$BS:$BS)</f>
        <v>16.959999999999994</v>
      </c>
      <c r="C129">
        <f>_xlfn.XLOOKUP(A129,'[1]Global_Spot Prices'!$B:$B,'[1]Global_Spot Prices'!$E:$E)</f>
        <v>60</v>
      </c>
      <c r="D129">
        <f>_xlfn.XLOOKUP(A129,'[1]Global_Spot Prices'!$B:$B,'[1]Global_Spot Prices'!$D:$D)</f>
        <v>59.825000000000003</v>
      </c>
      <c r="E129">
        <f>_xlfn.XLOOKUP(A129,'[1]Global_Spot Prices'!$B:$B,'[1]Global_Spot Prices'!$H:$H)</f>
        <v>58.17</v>
      </c>
      <c r="F129">
        <f>_xlfn.XLOOKUP(A129,'[1]Global_Spot Prices'!$B:$B,'[1]Global_Spot Prices'!$I:$I)</f>
        <v>76.959999999999994</v>
      </c>
      <c r="G129" cm="1">
        <f t="array" ref="G129">_xlfn.XLOOKUP(TEXT(A129, "mmm-yy"), TEXT([2]RUNS!$B$5:$B$208, "mmm-yy"), [2]RUNS!$D$5:$D$208, "Not Found")</f>
        <v>26599.177434535901</v>
      </c>
      <c r="H129" cm="1">
        <f t="array" ref="H129">SUMPRODUCT(
    --(TEXT('[3]Global Weekly Stock (EWSuez'!$B$4:$B$2000,"mmm-yy")=TEXT(A129,"mmm-yy")),
    '[3]Global Weekly Stock (EWSuez'!$E$4:$E$2000)
/
SUMPRODUCT(
    --(TEXT('[3]Global Weekly Stock (EWSuez'!$B$4:$B$2000,"mmm-yy")=TEXT(A129,"mmm-yy"))
)</f>
        <v>11575.75</v>
      </c>
      <c r="I129">
        <f>_xlfn.XLOOKUP(A129,[1]ForwardDeriv!$D:$D,[1]ForwardDeriv!$AJ:$AJ)</f>
        <v>2.1000000000000085</v>
      </c>
      <c r="J129" cm="1">
        <f t="array" ref="J129">_xlfn.XLOOKUP(TEXT(A129, "mmm-yy"), TEXT([2]GASOLINE!$B$5:$B$208, "mmm-yy"), [2]GASOLINE!$IR$5:$IR$208, "Not Found")</f>
        <v>35.619264763980567</v>
      </c>
      <c r="K129" cm="1">
        <f t="array" ref="K129">_xlfn.XLOOKUP(TEXT(A129, "mmm-yy"), TEXT([2]GASOLINE!$B$5:$B$208, "mmm-yy"), [2]GASOLINE!$IK$5:$IK$208, "Not Found")</f>
        <v>0</v>
      </c>
      <c r="L129">
        <f t="shared" si="1"/>
        <v>1</v>
      </c>
      <c r="M129" cm="1">
        <f t="array" ref="M129">_xlfn.XLOOKUP(TEXT(A129, "mmm-yy"), TEXT([2]GASOLINE!$B$5:$B$208, "mmm-yy"), [2]GASOLINE!$C$5:$C$208, "Not Found")</f>
        <v>6406.8951214022236</v>
      </c>
      <c r="N129" cm="1">
        <f t="array" ref="N129">_xlfn.XLOOKUP(TEXT(A129, "mmm-yy"), TEXT([2]RUNS!$B$5:$B$208, "mmm-yy"), [2]RUNS!$BM$5:$BM$208, "Not Found")</f>
        <v>0.78612759406590982</v>
      </c>
    </row>
    <row r="130" spans="1:14" x14ac:dyDescent="0.25">
      <c r="A130" s="1">
        <f>'[1]Global_Spot Prices'!$B1439</f>
        <v>42185</v>
      </c>
      <c r="B130">
        <f>_xlfn.XLOOKUP(A130,'[1]Global_Spot Prices'!$B:$B,'[1]Global_Spot Prices'!$BS:$BS)</f>
        <v>17.689999999999998</v>
      </c>
      <c r="C130">
        <f>_xlfn.XLOOKUP(A130,'[1]Global_Spot Prices'!$B:$B,'[1]Global_Spot Prices'!$E:$E)</f>
        <v>60.19</v>
      </c>
      <c r="D130">
        <f>_xlfn.XLOOKUP(A130,'[1]Global_Spot Prices'!$B:$B,'[1]Global_Spot Prices'!$D:$D)</f>
        <v>61.05</v>
      </c>
      <c r="E130">
        <f>_xlfn.XLOOKUP(A130,'[1]Global_Spot Prices'!$B:$B,'[1]Global_Spot Prices'!$H:$H)</f>
        <v>58.52</v>
      </c>
      <c r="F130">
        <f>_xlfn.XLOOKUP(A130,'[1]Global_Spot Prices'!$B:$B,'[1]Global_Spot Prices'!$I:$I)</f>
        <v>77.88</v>
      </c>
      <c r="G130" cm="1">
        <f t="array" ref="G130">_xlfn.XLOOKUP(TEXT(A130, "mmm-yy"), TEXT([2]RUNS!$B$5:$B$208, "mmm-yy"), [2]RUNS!$D$5:$D$208, "Not Found")</f>
        <v>26599.177434535901</v>
      </c>
      <c r="H130" cm="1">
        <f t="array" ref="H130">SUMPRODUCT(
    --(TEXT('[3]Global Weekly Stock (EWSuez'!$B$4:$B$2000,"mmm-yy")=TEXT(A130,"mmm-yy")),
    '[3]Global Weekly Stock (EWSuez'!$E$4:$E$2000)
/
SUMPRODUCT(
    --(TEXT('[3]Global Weekly Stock (EWSuez'!$B$4:$B$2000,"mmm-yy")=TEXT(A130,"mmm-yy"))
)</f>
        <v>11575.75</v>
      </c>
      <c r="I130">
        <f>_xlfn.XLOOKUP(A130,[1]ForwardDeriv!$D:$D,[1]ForwardDeriv!$AJ:$AJ)</f>
        <v>2.1499999999999915</v>
      </c>
      <c r="J130" cm="1">
        <f t="array" ref="J130">_xlfn.XLOOKUP(TEXT(A130, "mmm-yy"), TEXT([2]GASOLINE!$B$5:$B$208, "mmm-yy"), [2]GASOLINE!$IR$5:$IR$208, "Not Found")</f>
        <v>35.619264763980567</v>
      </c>
      <c r="K130" cm="1">
        <f t="array" ref="K130">_xlfn.XLOOKUP(TEXT(A130, "mmm-yy"), TEXT([2]GASOLINE!$B$5:$B$208, "mmm-yy"), [2]GASOLINE!$IK$5:$IK$208, "Not Found")</f>
        <v>0</v>
      </c>
      <c r="L130">
        <f t="shared" si="1"/>
        <v>1</v>
      </c>
      <c r="M130" cm="1">
        <f t="array" ref="M130">_xlfn.XLOOKUP(TEXT(A130, "mmm-yy"), TEXT([2]GASOLINE!$B$5:$B$208, "mmm-yy"), [2]GASOLINE!$C$5:$C$208, "Not Found")</f>
        <v>6406.8951214022236</v>
      </c>
      <c r="N130" cm="1">
        <f t="array" ref="N130">_xlfn.XLOOKUP(TEXT(A130, "mmm-yy"), TEXT([2]RUNS!$B$5:$B$208, "mmm-yy"), [2]RUNS!$BM$5:$BM$208, "Not Found")</f>
        <v>0.78612759406590982</v>
      </c>
    </row>
    <row r="131" spans="1:14" x14ac:dyDescent="0.25">
      <c r="A131" s="1">
        <f>'[1]Global_Spot Prices'!$B1440</f>
        <v>42186</v>
      </c>
      <c r="B131">
        <f>_xlfn.XLOOKUP(A131,'[1]Global_Spot Prices'!$B:$B,'[1]Global_Spot Prices'!$BS:$BS)</f>
        <v>15.330000000000005</v>
      </c>
      <c r="C131">
        <f>_xlfn.XLOOKUP(A131,'[1]Global_Spot Prices'!$B:$B,'[1]Global_Spot Prices'!$E:$E)</f>
        <v>61.9</v>
      </c>
      <c r="D131">
        <f>_xlfn.XLOOKUP(A131,'[1]Global_Spot Prices'!$B:$B,'[1]Global_Spot Prices'!$D:$D)</f>
        <v>61.67</v>
      </c>
      <c r="E131">
        <f>_xlfn.XLOOKUP(A131,'[1]Global_Spot Prices'!$B:$B,'[1]Global_Spot Prices'!$H:$H)</f>
        <v>58.52</v>
      </c>
      <c r="F131">
        <f>_xlfn.XLOOKUP(A131,'[1]Global_Spot Prices'!$B:$B,'[1]Global_Spot Prices'!$I:$I)</f>
        <v>77.23</v>
      </c>
      <c r="G131" cm="1">
        <f t="array" ref="G131">_xlfn.XLOOKUP(TEXT(A131, "mmm-yy"), TEXT([2]RUNS!$B$5:$B$208, "mmm-yy"), [2]RUNS!$D$5:$D$208, "Not Found")</f>
        <v>26444.225236360056</v>
      </c>
      <c r="H131" cm="1">
        <f t="array" ref="H131">SUMPRODUCT(
    --(TEXT('[3]Global Weekly Stock (EWSuez'!$B$4:$B$2000,"mmm-yy")=TEXT(A131,"mmm-yy")),
    '[3]Global Weekly Stock (EWSuez'!$E$4:$E$2000)
/
SUMPRODUCT(
    --(TEXT('[3]Global Weekly Stock (EWSuez'!$B$4:$B$2000,"mmm-yy")=TEXT(A131,"mmm-yy"))
)</f>
        <v>11842.8</v>
      </c>
      <c r="I131">
        <f>_xlfn.XLOOKUP(A131,[1]ForwardDeriv!$D:$D,[1]ForwardDeriv!$AJ:$AJ)</f>
        <v>1.3999999999999915</v>
      </c>
      <c r="J131" cm="1">
        <f t="array" ref="J131">_xlfn.XLOOKUP(TEXT(A131, "mmm-yy"), TEXT([2]GASOLINE!$B$5:$B$208, "mmm-yy"), [2]GASOLINE!$IR$5:$IR$208, "Not Found")</f>
        <v>-10.696707740317123</v>
      </c>
      <c r="K131" cm="1">
        <f t="array" ref="K131">_xlfn.XLOOKUP(TEXT(A131, "mmm-yy"), TEXT([2]GASOLINE!$B$5:$B$208, "mmm-yy"), [2]GASOLINE!$IK$5:$IK$208, "Not Found")</f>
        <v>0</v>
      </c>
      <c r="L131">
        <f t="shared" ref="L131:L194" si="2">IF(OR(MONTH(A131)=6, MONTH(A131)=7, MONTH(A131)=8, MONTH(A131)=9), 1, 0)</f>
        <v>1</v>
      </c>
      <c r="M131" cm="1">
        <f t="array" ref="M131">_xlfn.XLOOKUP(TEXT(A131, "mmm-yy"), TEXT([2]GASOLINE!$B$5:$B$208, "mmm-yy"), [2]GASOLINE!$C$5:$C$208, "Not Found")</f>
        <v>6641.2452919937632</v>
      </c>
      <c r="N131" cm="1">
        <f t="array" ref="N131">_xlfn.XLOOKUP(TEXT(A131, "mmm-yy"), TEXT([2]RUNS!$B$5:$B$208, "mmm-yy"), [2]RUNS!$BM$5:$BM$208, "Not Found")</f>
        <v>0.7815480464822675</v>
      </c>
    </row>
    <row r="132" spans="1:14" x14ac:dyDescent="0.25">
      <c r="A132" s="1">
        <f>'[1]Global_Spot Prices'!$B1441</f>
        <v>42187</v>
      </c>
      <c r="B132">
        <f>_xlfn.XLOOKUP(A132,'[1]Global_Spot Prices'!$B:$B,'[1]Global_Spot Prices'!$BS:$BS)</f>
        <v>14.060000000000002</v>
      </c>
      <c r="C132">
        <f>_xlfn.XLOOKUP(A132,'[1]Global_Spot Prices'!$B:$B,'[1]Global_Spot Prices'!$E:$E)</f>
        <v>61.05</v>
      </c>
      <c r="D132">
        <f>_xlfn.XLOOKUP(A132,'[1]Global_Spot Prices'!$B:$B,'[1]Global_Spot Prices'!$D:$D)</f>
        <v>61.51</v>
      </c>
      <c r="E132">
        <f>_xlfn.XLOOKUP(A132,'[1]Global_Spot Prices'!$B:$B,'[1]Global_Spot Prices'!$H:$H)</f>
        <v>57.98</v>
      </c>
      <c r="F132">
        <f>_xlfn.XLOOKUP(A132,'[1]Global_Spot Prices'!$B:$B,'[1]Global_Spot Prices'!$I:$I)</f>
        <v>75.11</v>
      </c>
      <c r="G132" cm="1">
        <f t="array" ref="G132">_xlfn.XLOOKUP(TEXT(A132, "mmm-yy"), TEXT([2]RUNS!$B$5:$B$208, "mmm-yy"), [2]RUNS!$D$5:$D$208, "Not Found")</f>
        <v>26444.225236360056</v>
      </c>
      <c r="H132" cm="1">
        <f t="array" ref="H132">SUMPRODUCT(
    --(TEXT('[3]Global Weekly Stock (EWSuez'!$B$4:$B$2000,"mmm-yy")=TEXT(A132,"mmm-yy")),
    '[3]Global Weekly Stock (EWSuez'!$E$4:$E$2000)
/
SUMPRODUCT(
    --(TEXT('[3]Global Weekly Stock (EWSuez'!$B$4:$B$2000,"mmm-yy")=TEXT(A132,"mmm-yy"))
)</f>
        <v>11842.8</v>
      </c>
      <c r="I132">
        <f>_xlfn.XLOOKUP(A132,[1]ForwardDeriv!$D:$D,[1]ForwardDeriv!$AJ:$AJ)</f>
        <v>1.230000000000004</v>
      </c>
      <c r="J132" cm="1">
        <f t="array" ref="J132">_xlfn.XLOOKUP(TEXT(A132, "mmm-yy"), TEXT([2]GASOLINE!$B$5:$B$208, "mmm-yy"), [2]GASOLINE!$IR$5:$IR$208, "Not Found")</f>
        <v>-10.696707740317123</v>
      </c>
      <c r="K132" cm="1">
        <f t="array" ref="K132">_xlfn.XLOOKUP(TEXT(A132, "mmm-yy"), TEXT([2]GASOLINE!$B$5:$B$208, "mmm-yy"), [2]GASOLINE!$IK$5:$IK$208, "Not Found")</f>
        <v>0</v>
      </c>
      <c r="L132">
        <f t="shared" si="2"/>
        <v>1</v>
      </c>
      <c r="M132" cm="1">
        <f t="array" ref="M132">_xlfn.XLOOKUP(TEXT(A132, "mmm-yy"), TEXT([2]GASOLINE!$B$5:$B$208, "mmm-yy"), [2]GASOLINE!$C$5:$C$208, "Not Found")</f>
        <v>6641.2452919937632</v>
      </c>
      <c r="N132" cm="1">
        <f t="array" ref="N132">_xlfn.XLOOKUP(TEXT(A132, "mmm-yy"), TEXT([2]RUNS!$B$5:$B$208, "mmm-yy"), [2]RUNS!$BM$5:$BM$208, "Not Found")</f>
        <v>0.7815480464822675</v>
      </c>
    </row>
    <row r="133" spans="1:14" x14ac:dyDescent="0.25">
      <c r="A133" s="1">
        <f>'[1]Global_Spot Prices'!$B1442</f>
        <v>42188</v>
      </c>
      <c r="B133">
        <f>_xlfn.XLOOKUP(A133,'[1]Global_Spot Prices'!$B:$B,'[1]Global_Spot Prices'!$BS:$BS)</f>
        <v>15.04</v>
      </c>
      <c r="C133">
        <f>_xlfn.XLOOKUP(A133,'[1]Global_Spot Prices'!$B:$B,'[1]Global_Spot Prices'!$E:$E)</f>
        <v>60.4</v>
      </c>
      <c r="D133">
        <f>_xlfn.XLOOKUP(A133,'[1]Global_Spot Prices'!$B:$B,'[1]Global_Spot Prices'!$D:$D)</f>
        <v>59.104999999999997</v>
      </c>
      <c r="E133">
        <f>_xlfn.XLOOKUP(A133,'[1]Global_Spot Prices'!$B:$B,'[1]Global_Spot Prices'!$H:$H)</f>
        <v>58.03</v>
      </c>
      <c r="F133">
        <f>_xlfn.XLOOKUP(A133,'[1]Global_Spot Prices'!$B:$B,'[1]Global_Spot Prices'!$I:$I)</f>
        <v>75.44</v>
      </c>
      <c r="G133" cm="1">
        <f t="array" ref="G133">_xlfn.XLOOKUP(TEXT(A133, "mmm-yy"), TEXT([2]RUNS!$B$5:$B$208, "mmm-yy"), [2]RUNS!$D$5:$D$208, "Not Found")</f>
        <v>26444.225236360056</v>
      </c>
      <c r="H133" cm="1">
        <f t="array" ref="H133">SUMPRODUCT(
    --(TEXT('[3]Global Weekly Stock (EWSuez'!$B$4:$B$2000,"mmm-yy")=TEXT(A133,"mmm-yy")),
    '[3]Global Weekly Stock (EWSuez'!$E$4:$E$2000)
/
SUMPRODUCT(
    --(TEXT('[3]Global Weekly Stock (EWSuez'!$B$4:$B$2000,"mmm-yy")=TEXT(A133,"mmm-yy"))
)</f>
        <v>11842.8</v>
      </c>
      <c r="I133">
        <f>_xlfn.XLOOKUP(A133,[1]ForwardDeriv!$D:$D,[1]ForwardDeriv!$AJ:$AJ)</f>
        <v>1.5499999999999972</v>
      </c>
      <c r="J133" cm="1">
        <f t="array" ref="J133">_xlfn.XLOOKUP(TEXT(A133, "mmm-yy"), TEXT([2]GASOLINE!$B$5:$B$208, "mmm-yy"), [2]GASOLINE!$IR$5:$IR$208, "Not Found")</f>
        <v>-10.696707740317123</v>
      </c>
      <c r="K133" cm="1">
        <f t="array" ref="K133">_xlfn.XLOOKUP(TEXT(A133, "mmm-yy"), TEXT([2]GASOLINE!$B$5:$B$208, "mmm-yy"), [2]GASOLINE!$IK$5:$IK$208, "Not Found")</f>
        <v>0</v>
      </c>
      <c r="L133">
        <f t="shared" si="2"/>
        <v>1</v>
      </c>
      <c r="M133" cm="1">
        <f t="array" ref="M133">_xlfn.XLOOKUP(TEXT(A133, "mmm-yy"), TEXT([2]GASOLINE!$B$5:$B$208, "mmm-yy"), [2]GASOLINE!$C$5:$C$208, "Not Found")</f>
        <v>6641.2452919937632</v>
      </c>
      <c r="N133" cm="1">
        <f t="array" ref="N133">_xlfn.XLOOKUP(TEXT(A133, "mmm-yy"), TEXT([2]RUNS!$B$5:$B$208, "mmm-yy"), [2]RUNS!$BM$5:$BM$208, "Not Found")</f>
        <v>0.7815480464822675</v>
      </c>
    </row>
    <row r="134" spans="1:14" x14ac:dyDescent="0.25">
      <c r="A134" s="1">
        <f>'[1]Global_Spot Prices'!$B1443</f>
        <v>42191</v>
      </c>
      <c r="B134">
        <f>_xlfn.XLOOKUP(A134,'[1]Global_Spot Prices'!$B:$B,'[1]Global_Spot Prices'!$BS:$BS)</f>
        <v>15.950000000000003</v>
      </c>
      <c r="C134">
        <f>_xlfn.XLOOKUP(A134,'[1]Global_Spot Prices'!$B:$B,'[1]Global_Spot Prices'!$E:$E)</f>
        <v>58.19</v>
      </c>
      <c r="D134">
        <f>_xlfn.XLOOKUP(A134,'[1]Global_Spot Prices'!$B:$B,'[1]Global_Spot Prices'!$D:$D)</f>
        <v>57.075000000000003</v>
      </c>
      <c r="E134">
        <f>_xlfn.XLOOKUP(A134,'[1]Global_Spot Prices'!$B:$B,'[1]Global_Spot Prices'!$H:$H)</f>
        <v>55.94</v>
      </c>
      <c r="F134">
        <f>_xlfn.XLOOKUP(A134,'[1]Global_Spot Prices'!$B:$B,'[1]Global_Spot Prices'!$I:$I)</f>
        <v>74.14</v>
      </c>
      <c r="G134" cm="1">
        <f t="array" ref="G134">_xlfn.XLOOKUP(TEXT(A134, "mmm-yy"), TEXT([2]RUNS!$B$5:$B$208, "mmm-yy"), [2]RUNS!$D$5:$D$208, "Not Found")</f>
        <v>26444.225236360056</v>
      </c>
      <c r="H134" cm="1">
        <f t="array" ref="H134">SUMPRODUCT(
    --(TEXT('[3]Global Weekly Stock (EWSuez'!$B$4:$B$2000,"mmm-yy")=TEXT(A134,"mmm-yy")),
    '[3]Global Weekly Stock (EWSuez'!$E$4:$E$2000)
/
SUMPRODUCT(
    --(TEXT('[3]Global Weekly Stock (EWSuez'!$B$4:$B$2000,"mmm-yy")=TEXT(A134,"mmm-yy"))
)</f>
        <v>11842.8</v>
      </c>
      <c r="I134">
        <f>_xlfn.XLOOKUP(A134,[1]ForwardDeriv!$D:$D,[1]ForwardDeriv!$AJ:$AJ)</f>
        <v>1.5500000000000114</v>
      </c>
      <c r="J134" cm="1">
        <f t="array" ref="J134">_xlfn.XLOOKUP(TEXT(A134, "mmm-yy"), TEXT([2]GASOLINE!$B$5:$B$208, "mmm-yy"), [2]GASOLINE!$IR$5:$IR$208, "Not Found")</f>
        <v>-10.696707740317123</v>
      </c>
      <c r="K134" cm="1">
        <f t="array" ref="K134">_xlfn.XLOOKUP(TEXT(A134, "mmm-yy"), TEXT([2]GASOLINE!$B$5:$B$208, "mmm-yy"), [2]GASOLINE!$IK$5:$IK$208, "Not Found")</f>
        <v>0</v>
      </c>
      <c r="L134">
        <f t="shared" si="2"/>
        <v>1</v>
      </c>
      <c r="M134" cm="1">
        <f t="array" ref="M134">_xlfn.XLOOKUP(TEXT(A134, "mmm-yy"), TEXT([2]GASOLINE!$B$5:$B$208, "mmm-yy"), [2]GASOLINE!$C$5:$C$208, "Not Found")</f>
        <v>6641.2452919937632</v>
      </c>
      <c r="N134" cm="1">
        <f t="array" ref="N134">_xlfn.XLOOKUP(TEXT(A134, "mmm-yy"), TEXT([2]RUNS!$B$5:$B$208, "mmm-yy"), [2]RUNS!$BM$5:$BM$208, "Not Found")</f>
        <v>0.7815480464822675</v>
      </c>
    </row>
    <row r="135" spans="1:14" x14ac:dyDescent="0.25">
      <c r="A135" s="1">
        <f>'[1]Global_Spot Prices'!$B1444</f>
        <v>42192</v>
      </c>
      <c r="B135">
        <f>_xlfn.XLOOKUP(A135,'[1]Global_Spot Prices'!$B:$B,'[1]Global_Spot Prices'!$BS:$BS)</f>
        <v>16.189999999999998</v>
      </c>
      <c r="C135">
        <f>_xlfn.XLOOKUP(A135,'[1]Global_Spot Prices'!$B:$B,'[1]Global_Spot Prices'!$E:$E)</f>
        <v>56.5</v>
      </c>
      <c r="D135">
        <f>_xlfn.XLOOKUP(A135,'[1]Global_Spot Prices'!$B:$B,'[1]Global_Spot Prices'!$D:$D)</f>
        <v>54.73</v>
      </c>
      <c r="E135">
        <f>_xlfn.XLOOKUP(A135,'[1]Global_Spot Prices'!$B:$B,'[1]Global_Spot Prices'!$H:$H)</f>
        <v>53.63</v>
      </c>
      <c r="F135">
        <f>_xlfn.XLOOKUP(A135,'[1]Global_Spot Prices'!$B:$B,'[1]Global_Spot Prices'!$I:$I)</f>
        <v>72.69</v>
      </c>
      <c r="G135" cm="1">
        <f t="array" ref="G135">_xlfn.XLOOKUP(TEXT(A135, "mmm-yy"), TEXT([2]RUNS!$B$5:$B$208, "mmm-yy"), [2]RUNS!$D$5:$D$208, "Not Found")</f>
        <v>26444.225236360056</v>
      </c>
      <c r="H135" cm="1">
        <f t="array" ref="H135">SUMPRODUCT(
    --(TEXT('[3]Global Weekly Stock (EWSuez'!$B$4:$B$2000,"mmm-yy")=TEXT(A135,"mmm-yy")),
    '[3]Global Weekly Stock (EWSuez'!$E$4:$E$2000)
/
SUMPRODUCT(
    --(TEXT('[3]Global Weekly Stock (EWSuez'!$B$4:$B$2000,"mmm-yy")=TEXT(A135,"mmm-yy"))
)</f>
        <v>11842.8</v>
      </c>
      <c r="I135">
        <f>_xlfn.XLOOKUP(A135,[1]ForwardDeriv!$D:$D,[1]ForwardDeriv!$AJ:$AJ)</f>
        <v>1.7000000000000028</v>
      </c>
      <c r="J135" cm="1">
        <f t="array" ref="J135">_xlfn.XLOOKUP(TEXT(A135, "mmm-yy"), TEXT([2]GASOLINE!$B$5:$B$208, "mmm-yy"), [2]GASOLINE!$IR$5:$IR$208, "Not Found")</f>
        <v>-10.696707740317123</v>
      </c>
      <c r="K135" cm="1">
        <f t="array" ref="K135">_xlfn.XLOOKUP(TEXT(A135, "mmm-yy"), TEXT([2]GASOLINE!$B$5:$B$208, "mmm-yy"), [2]GASOLINE!$IK$5:$IK$208, "Not Found")</f>
        <v>0</v>
      </c>
      <c r="L135">
        <f t="shared" si="2"/>
        <v>1</v>
      </c>
      <c r="M135" cm="1">
        <f t="array" ref="M135">_xlfn.XLOOKUP(TEXT(A135, "mmm-yy"), TEXT([2]GASOLINE!$B$5:$B$208, "mmm-yy"), [2]GASOLINE!$C$5:$C$208, "Not Found")</f>
        <v>6641.2452919937632</v>
      </c>
      <c r="N135" cm="1">
        <f t="array" ref="N135">_xlfn.XLOOKUP(TEXT(A135, "mmm-yy"), TEXT([2]RUNS!$B$5:$B$208, "mmm-yy"), [2]RUNS!$BM$5:$BM$208, "Not Found")</f>
        <v>0.7815480464822675</v>
      </c>
    </row>
    <row r="136" spans="1:14" x14ac:dyDescent="0.25">
      <c r="A136" s="1">
        <f>'[1]Global_Spot Prices'!$B1445</f>
        <v>42193</v>
      </c>
      <c r="B136">
        <f>_xlfn.XLOOKUP(A136,'[1]Global_Spot Prices'!$B:$B,'[1]Global_Spot Prices'!$BS:$BS)</f>
        <v>16.97</v>
      </c>
      <c r="C136">
        <f>_xlfn.XLOOKUP(A136,'[1]Global_Spot Prices'!$B:$B,'[1]Global_Spot Prices'!$E:$E)</f>
        <v>55.59</v>
      </c>
      <c r="D136">
        <f>_xlfn.XLOOKUP(A136,'[1]Global_Spot Prices'!$B:$B,'[1]Global_Spot Prices'!$D:$D)</f>
        <v>55.704999999999998</v>
      </c>
      <c r="E136">
        <f>_xlfn.XLOOKUP(A136,'[1]Global_Spot Prices'!$B:$B,'[1]Global_Spot Prices'!$H:$H)</f>
        <v>52.16</v>
      </c>
      <c r="F136">
        <f>_xlfn.XLOOKUP(A136,'[1]Global_Spot Prices'!$B:$B,'[1]Global_Spot Prices'!$I:$I)</f>
        <v>72.56</v>
      </c>
      <c r="G136" cm="1">
        <f t="array" ref="G136">_xlfn.XLOOKUP(TEXT(A136, "mmm-yy"), TEXT([2]RUNS!$B$5:$B$208, "mmm-yy"), [2]RUNS!$D$5:$D$208, "Not Found")</f>
        <v>26444.225236360056</v>
      </c>
      <c r="H136" cm="1">
        <f t="array" ref="H136">SUMPRODUCT(
    --(TEXT('[3]Global Weekly Stock (EWSuez'!$B$4:$B$2000,"mmm-yy")=TEXT(A136,"mmm-yy")),
    '[3]Global Weekly Stock (EWSuez'!$E$4:$E$2000)
/
SUMPRODUCT(
    --(TEXT('[3]Global Weekly Stock (EWSuez'!$B$4:$B$2000,"mmm-yy")=TEXT(A136,"mmm-yy"))
)</f>
        <v>11842.8</v>
      </c>
      <c r="I136">
        <f>_xlfn.XLOOKUP(A136,[1]ForwardDeriv!$D:$D,[1]ForwardDeriv!$AJ:$AJ)</f>
        <v>1.9500000000000028</v>
      </c>
      <c r="J136" cm="1">
        <f t="array" ref="J136">_xlfn.XLOOKUP(TEXT(A136, "mmm-yy"), TEXT([2]GASOLINE!$B$5:$B$208, "mmm-yy"), [2]GASOLINE!$IR$5:$IR$208, "Not Found")</f>
        <v>-10.696707740317123</v>
      </c>
      <c r="K136" cm="1">
        <f t="array" ref="K136">_xlfn.XLOOKUP(TEXT(A136, "mmm-yy"), TEXT([2]GASOLINE!$B$5:$B$208, "mmm-yy"), [2]GASOLINE!$IK$5:$IK$208, "Not Found")</f>
        <v>0</v>
      </c>
      <c r="L136">
        <f t="shared" si="2"/>
        <v>1</v>
      </c>
      <c r="M136" cm="1">
        <f t="array" ref="M136">_xlfn.XLOOKUP(TEXT(A136, "mmm-yy"), TEXT([2]GASOLINE!$B$5:$B$208, "mmm-yy"), [2]GASOLINE!$C$5:$C$208, "Not Found")</f>
        <v>6641.2452919937632</v>
      </c>
      <c r="N136" cm="1">
        <f t="array" ref="N136">_xlfn.XLOOKUP(TEXT(A136, "mmm-yy"), TEXT([2]RUNS!$B$5:$B$208, "mmm-yy"), [2]RUNS!$BM$5:$BM$208, "Not Found")</f>
        <v>0.7815480464822675</v>
      </c>
    </row>
    <row r="137" spans="1:14" x14ac:dyDescent="0.25">
      <c r="A137" s="1">
        <f>'[1]Global_Spot Prices'!$B1446</f>
        <v>42194</v>
      </c>
      <c r="B137">
        <f>_xlfn.XLOOKUP(A137,'[1]Global_Spot Prices'!$B:$B,'[1]Global_Spot Prices'!$BS:$BS)</f>
        <v>18.929999999999993</v>
      </c>
      <c r="C137">
        <f>_xlfn.XLOOKUP(A137,'[1]Global_Spot Prices'!$B:$B,'[1]Global_Spot Prices'!$E:$E)</f>
        <v>57.2</v>
      </c>
      <c r="D137">
        <f>_xlfn.XLOOKUP(A137,'[1]Global_Spot Prices'!$B:$B,'[1]Global_Spot Prices'!$D:$D)</f>
        <v>58.024999999999999</v>
      </c>
      <c r="E137">
        <f>_xlfn.XLOOKUP(A137,'[1]Global_Spot Prices'!$B:$B,'[1]Global_Spot Prices'!$H:$H)</f>
        <v>52.81</v>
      </c>
      <c r="F137">
        <f>_xlfn.XLOOKUP(A137,'[1]Global_Spot Prices'!$B:$B,'[1]Global_Spot Prices'!$I:$I)</f>
        <v>76.13</v>
      </c>
      <c r="G137" cm="1">
        <f t="array" ref="G137">_xlfn.XLOOKUP(TEXT(A137, "mmm-yy"), TEXT([2]RUNS!$B$5:$B$208, "mmm-yy"), [2]RUNS!$D$5:$D$208, "Not Found")</f>
        <v>26444.225236360056</v>
      </c>
      <c r="H137" cm="1">
        <f t="array" ref="H137">SUMPRODUCT(
    --(TEXT('[3]Global Weekly Stock (EWSuez'!$B$4:$B$2000,"mmm-yy")=TEXT(A137,"mmm-yy")),
    '[3]Global Weekly Stock (EWSuez'!$E$4:$E$2000)
/
SUMPRODUCT(
    --(TEXT('[3]Global Weekly Stock (EWSuez'!$B$4:$B$2000,"mmm-yy")=TEXT(A137,"mmm-yy"))
)</f>
        <v>11842.8</v>
      </c>
      <c r="I137">
        <f>_xlfn.XLOOKUP(A137,[1]ForwardDeriv!$D:$D,[1]ForwardDeriv!$AJ:$AJ)</f>
        <v>2.2000000000000028</v>
      </c>
      <c r="J137" cm="1">
        <f t="array" ref="J137">_xlfn.XLOOKUP(TEXT(A137, "mmm-yy"), TEXT([2]GASOLINE!$B$5:$B$208, "mmm-yy"), [2]GASOLINE!$IR$5:$IR$208, "Not Found")</f>
        <v>-10.696707740317123</v>
      </c>
      <c r="K137" cm="1">
        <f t="array" ref="K137">_xlfn.XLOOKUP(TEXT(A137, "mmm-yy"), TEXT([2]GASOLINE!$B$5:$B$208, "mmm-yy"), [2]GASOLINE!$IK$5:$IK$208, "Not Found")</f>
        <v>0</v>
      </c>
      <c r="L137">
        <f t="shared" si="2"/>
        <v>1</v>
      </c>
      <c r="M137" cm="1">
        <f t="array" ref="M137">_xlfn.XLOOKUP(TEXT(A137, "mmm-yy"), TEXT([2]GASOLINE!$B$5:$B$208, "mmm-yy"), [2]GASOLINE!$C$5:$C$208, "Not Found")</f>
        <v>6641.2452919937632</v>
      </c>
      <c r="N137" cm="1">
        <f t="array" ref="N137">_xlfn.XLOOKUP(TEXT(A137, "mmm-yy"), TEXT([2]RUNS!$B$5:$B$208, "mmm-yy"), [2]RUNS!$BM$5:$BM$208, "Not Found")</f>
        <v>0.7815480464822675</v>
      </c>
    </row>
    <row r="138" spans="1:14" x14ac:dyDescent="0.25">
      <c r="A138" s="1">
        <f>'[1]Global_Spot Prices'!$B1447</f>
        <v>42195</v>
      </c>
      <c r="B138">
        <f>_xlfn.XLOOKUP(A138,'[1]Global_Spot Prices'!$B:$B,'[1]Global_Spot Prices'!$BS:$BS)</f>
        <v>18.705000000000005</v>
      </c>
      <c r="C138">
        <f>_xlfn.XLOOKUP(A138,'[1]Global_Spot Prices'!$B:$B,'[1]Global_Spot Prices'!$E:$E)</f>
        <v>58.104999999999997</v>
      </c>
      <c r="D138">
        <f>_xlfn.XLOOKUP(A138,'[1]Global_Spot Prices'!$B:$B,'[1]Global_Spot Prices'!$D:$D)</f>
        <v>57.454999999999998</v>
      </c>
      <c r="E138">
        <f>_xlfn.XLOOKUP(A138,'[1]Global_Spot Prices'!$B:$B,'[1]Global_Spot Prices'!$H:$H)</f>
        <v>53.56</v>
      </c>
      <c r="F138">
        <f>_xlfn.XLOOKUP(A138,'[1]Global_Spot Prices'!$B:$B,'[1]Global_Spot Prices'!$I:$I)</f>
        <v>76.81</v>
      </c>
      <c r="G138" cm="1">
        <f t="array" ref="G138">_xlfn.XLOOKUP(TEXT(A138, "mmm-yy"), TEXT([2]RUNS!$B$5:$B$208, "mmm-yy"), [2]RUNS!$D$5:$D$208, "Not Found")</f>
        <v>26444.225236360056</v>
      </c>
      <c r="H138" cm="1">
        <f t="array" ref="H138">SUMPRODUCT(
    --(TEXT('[3]Global Weekly Stock (EWSuez'!$B$4:$B$2000,"mmm-yy")=TEXT(A138,"mmm-yy")),
    '[3]Global Weekly Stock (EWSuez'!$E$4:$E$2000)
/
SUMPRODUCT(
    --(TEXT('[3]Global Weekly Stock (EWSuez'!$B$4:$B$2000,"mmm-yy")=TEXT(A138,"mmm-yy"))
)</f>
        <v>11842.8</v>
      </c>
      <c r="I138">
        <f>_xlfn.XLOOKUP(A138,[1]ForwardDeriv!$D:$D,[1]ForwardDeriv!$AJ:$AJ)</f>
        <v>2.6300000000000097</v>
      </c>
      <c r="J138" cm="1">
        <f t="array" ref="J138">_xlfn.XLOOKUP(TEXT(A138, "mmm-yy"), TEXT([2]GASOLINE!$B$5:$B$208, "mmm-yy"), [2]GASOLINE!$IR$5:$IR$208, "Not Found")</f>
        <v>-10.696707740317123</v>
      </c>
      <c r="K138" cm="1">
        <f t="array" ref="K138">_xlfn.XLOOKUP(TEXT(A138, "mmm-yy"), TEXT([2]GASOLINE!$B$5:$B$208, "mmm-yy"), [2]GASOLINE!$IK$5:$IK$208, "Not Found")</f>
        <v>0</v>
      </c>
      <c r="L138">
        <f t="shared" si="2"/>
        <v>1</v>
      </c>
      <c r="M138" cm="1">
        <f t="array" ref="M138">_xlfn.XLOOKUP(TEXT(A138, "mmm-yy"), TEXT([2]GASOLINE!$B$5:$B$208, "mmm-yy"), [2]GASOLINE!$C$5:$C$208, "Not Found")</f>
        <v>6641.2452919937632</v>
      </c>
      <c r="N138" cm="1">
        <f t="array" ref="N138">_xlfn.XLOOKUP(TEXT(A138, "mmm-yy"), TEXT([2]RUNS!$B$5:$B$208, "mmm-yy"), [2]RUNS!$BM$5:$BM$208, "Not Found")</f>
        <v>0.7815480464822675</v>
      </c>
    </row>
    <row r="139" spans="1:14" x14ac:dyDescent="0.25">
      <c r="A139" s="1">
        <f>'[1]Global_Spot Prices'!$B1448</f>
        <v>42198</v>
      </c>
      <c r="B139">
        <f>_xlfn.XLOOKUP(A139,'[1]Global_Spot Prices'!$B:$B,'[1]Global_Spot Prices'!$BS:$BS)</f>
        <v>17.86</v>
      </c>
      <c r="C139">
        <f>_xlfn.XLOOKUP(A139,'[1]Global_Spot Prices'!$B:$B,'[1]Global_Spot Prices'!$E:$E)</f>
        <v>57</v>
      </c>
      <c r="D139">
        <f>_xlfn.XLOOKUP(A139,'[1]Global_Spot Prices'!$B:$B,'[1]Global_Spot Prices'!$D:$D)</f>
        <v>57.56</v>
      </c>
      <c r="E139">
        <f>_xlfn.XLOOKUP(A139,'[1]Global_Spot Prices'!$B:$B,'[1]Global_Spot Prices'!$H:$H)</f>
        <v>52.67</v>
      </c>
      <c r="F139">
        <f>_xlfn.XLOOKUP(A139,'[1]Global_Spot Prices'!$B:$B,'[1]Global_Spot Prices'!$I:$I)</f>
        <v>74.86</v>
      </c>
      <c r="G139" cm="1">
        <f t="array" ref="G139">_xlfn.XLOOKUP(TEXT(A139, "mmm-yy"), TEXT([2]RUNS!$B$5:$B$208, "mmm-yy"), [2]RUNS!$D$5:$D$208, "Not Found")</f>
        <v>26444.225236360056</v>
      </c>
      <c r="H139" cm="1">
        <f t="array" ref="H139">SUMPRODUCT(
    --(TEXT('[3]Global Weekly Stock (EWSuez'!$B$4:$B$2000,"mmm-yy")=TEXT(A139,"mmm-yy")),
    '[3]Global Weekly Stock (EWSuez'!$E$4:$E$2000)
/
SUMPRODUCT(
    --(TEXT('[3]Global Weekly Stock (EWSuez'!$B$4:$B$2000,"mmm-yy")=TEXT(A139,"mmm-yy"))
)</f>
        <v>11842.8</v>
      </c>
      <c r="I139">
        <f>_xlfn.XLOOKUP(A139,[1]ForwardDeriv!$D:$D,[1]ForwardDeriv!$AJ:$AJ)</f>
        <v>2.5499999999999972</v>
      </c>
      <c r="J139" cm="1">
        <f t="array" ref="J139">_xlfn.XLOOKUP(TEXT(A139, "mmm-yy"), TEXT([2]GASOLINE!$B$5:$B$208, "mmm-yy"), [2]GASOLINE!$IR$5:$IR$208, "Not Found")</f>
        <v>-10.696707740317123</v>
      </c>
      <c r="K139" cm="1">
        <f t="array" ref="K139">_xlfn.XLOOKUP(TEXT(A139, "mmm-yy"), TEXT([2]GASOLINE!$B$5:$B$208, "mmm-yy"), [2]GASOLINE!$IK$5:$IK$208, "Not Found")</f>
        <v>0</v>
      </c>
      <c r="L139">
        <f t="shared" si="2"/>
        <v>1</v>
      </c>
      <c r="M139" cm="1">
        <f t="array" ref="M139">_xlfn.XLOOKUP(TEXT(A139, "mmm-yy"), TEXT([2]GASOLINE!$B$5:$B$208, "mmm-yy"), [2]GASOLINE!$C$5:$C$208, "Not Found")</f>
        <v>6641.2452919937632</v>
      </c>
      <c r="N139" cm="1">
        <f t="array" ref="N139">_xlfn.XLOOKUP(TEXT(A139, "mmm-yy"), TEXT([2]RUNS!$B$5:$B$208, "mmm-yy"), [2]RUNS!$BM$5:$BM$208, "Not Found")</f>
        <v>0.7815480464822675</v>
      </c>
    </row>
    <row r="140" spans="1:14" x14ac:dyDescent="0.25">
      <c r="A140" s="1">
        <f>'[1]Global_Spot Prices'!$B1449</f>
        <v>42199</v>
      </c>
      <c r="B140">
        <f>_xlfn.XLOOKUP(A140,'[1]Global_Spot Prices'!$B:$B,'[1]Global_Spot Prices'!$BS:$BS)</f>
        <v>17.5</v>
      </c>
      <c r="C140">
        <f>_xlfn.XLOOKUP(A140,'[1]Global_Spot Prices'!$B:$B,'[1]Global_Spot Prices'!$E:$E)</f>
        <v>55.89</v>
      </c>
      <c r="D140">
        <f>_xlfn.XLOOKUP(A140,'[1]Global_Spot Prices'!$B:$B,'[1]Global_Spot Prices'!$D:$D)</f>
        <v>57.344999999999999</v>
      </c>
      <c r="E140">
        <f>_xlfn.XLOOKUP(A140,'[1]Global_Spot Prices'!$B:$B,'[1]Global_Spot Prices'!$H:$H)</f>
        <v>51.67</v>
      </c>
      <c r="F140">
        <f>_xlfn.XLOOKUP(A140,'[1]Global_Spot Prices'!$B:$B,'[1]Global_Spot Prices'!$I:$I)</f>
        <v>73.39</v>
      </c>
      <c r="G140" cm="1">
        <f t="array" ref="G140">_xlfn.XLOOKUP(TEXT(A140, "mmm-yy"), TEXT([2]RUNS!$B$5:$B$208, "mmm-yy"), [2]RUNS!$D$5:$D$208, "Not Found")</f>
        <v>26444.225236360056</v>
      </c>
      <c r="H140" cm="1">
        <f t="array" ref="H140">SUMPRODUCT(
    --(TEXT('[3]Global Weekly Stock (EWSuez'!$B$4:$B$2000,"mmm-yy")=TEXT(A140,"mmm-yy")),
    '[3]Global Weekly Stock (EWSuez'!$E$4:$E$2000)
/
SUMPRODUCT(
    --(TEXT('[3]Global Weekly Stock (EWSuez'!$B$4:$B$2000,"mmm-yy")=TEXT(A140,"mmm-yy"))
)</f>
        <v>11842.8</v>
      </c>
      <c r="I140">
        <f>_xlfn.XLOOKUP(A140,[1]ForwardDeriv!$D:$D,[1]ForwardDeriv!$AJ:$AJ)</f>
        <v>2.3999999999999915</v>
      </c>
      <c r="J140" cm="1">
        <f t="array" ref="J140">_xlfn.XLOOKUP(TEXT(A140, "mmm-yy"), TEXT([2]GASOLINE!$B$5:$B$208, "mmm-yy"), [2]GASOLINE!$IR$5:$IR$208, "Not Found")</f>
        <v>-10.696707740317123</v>
      </c>
      <c r="K140" cm="1">
        <f t="array" ref="K140">_xlfn.XLOOKUP(TEXT(A140, "mmm-yy"), TEXT([2]GASOLINE!$B$5:$B$208, "mmm-yy"), [2]GASOLINE!$IK$5:$IK$208, "Not Found")</f>
        <v>0</v>
      </c>
      <c r="L140">
        <f t="shared" si="2"/>
        <v>1</v>
      </c>
      <c r="M140" cm="1">
        <f t="array" ref="M140">_xlfn.XLOOKUP(TEXT(A140, "mmm-yy"), TEXT([2]GASOLINE!$B$5:$B$208, "mmm-yy"), [2]GASOLINE!$C$5:$C$208, "Not Found")</f>
        <v>6641.2452919937632</v>
      </c>
      <c r="N140" cm="1">
        <f t="array" ref="N140">_xlfn.XLOOKUP(TEXT(A140, "mmm-yy"), TEXT([2]RUNS!$B$5:$B$208, "mmm-yy"), [2]RUNS!$BM$5:$BM$208, "Not Found")</f>
        <v>0.7815480464822675</v>
      </c>
    </row>
    <row r="141" spans="1:14" x14ac:dyDescent="0.25">
      <c r="A141" s="1">
        <f>'[1]Global_Spot Prices'!$B1450</f>
        <v>42200</v>
      </c>
      <c r="B141">
        <f>_xlfn.XLOOKUP(A141,'[1]Global_Spot Prices'!$B:$B,'[1]Global_Spot Prices'!$BS:$BS)</f>
        <v>16.53</v>
      </c>
      <c r="C141">
        <f>_xlfn.XLOOKUP(A141,'[1]Global_Spot Prices'!$B:$B,'[1]Global_Spot Prices'!$E:$E)</f>
        <v>56.86</v>
      </c>
      <c r="D141">
        <f>_xlfn.XLOOKUP(A141,'[1]Global_Spot Prices'!$B:$B,'[1]Global_Spot Prices'!$D:$D)</f>
        <v>57.59</v>
      </c>
      <c r="E141">
        <f>_xlfn.XLOOKUP(A141,'[1]Global_Spot Prices'!$B:$B,'[1]Global_Spot Prices'!$H:$H)</f>
        <v>52.23</v>
      </c>
      <c r="F141">
        <f>_xlfn.XLOOKUP(A141,'[1]Global_Spot Prices'!$B:$B,'[1]Global_Spot Prices'!$I:$I)</f>
        <v>73.39</v>
      </c>
      <c r="G141" cm="1">
        <f t="array" ref="G141">_xlfn.XLOOKUP(TEXT(A141, "mmm-yy"), TEXT([2]RUNS!$B$5:$B$208, "mmm-yy"), [2]RUNS!$D$5:$D$208, "Not Found")</f>
        <v>26444.225236360056</v>
      </c>
      <c r="H141" cm="1">
        <f t="array" ref="H141">SUMPRODUCT(
    --(TEXT('[3]Global Weekly Stock (EWSuez'!$B$4:$B$2000,"mmm-yy")=TEXT(A141,"mmm-yy")),
    '[3]Global Weekly Stock (EWSuez'!$E$4:$E$2000)
/
SUMPRODUCT(
    --(TEXT('[3]Global Weekly Stock (EWSuez'!$B$4:$B$2000,"mmm-yy")=TEXT(A141,"mmm-yy"))
)</f>
        <v>11842.8</v>
      </c>
      <c r="I141">
        <f>_xlfn.XLOOKUP(A141,[1]ForwardDeriv!$D:$D,[1]ForwardDeriv!$AJ:$AJ)</f>
        <v>2.25</v>
      </c>
      <c r="J141" cm="1">
        <f t="array" ref="J141">_xlfn.XLOOKUP(TEXT(A141, "mmm-yy"), TEXT([2]GASOLINE!$B$5:$B$208, "mmm-yy"), [2]GASOLINE!$IR$5:$IR$208, "Not Found")</f>
        <v>-10.696707740317123</v>
      </c>
      <c r="K141" cm="1">
        <f t="array" ref="K141">_xlfn.XLOOKUP(TEXT(A141, "mmm-yy"), TEXT([2]GASOLINE!$B$5:$B$208, "mmm-yy"), [2]GASOLINE!$IK$5:$IK$208, "Not Found")</f>
        <v>0</v>
      </c>
      <c r="L141">
        <f t="shared" si="2"/>
        <v>1</v>
      </c>
      <c r="M141" cm="1">
        <f t="array" ref="M141">_xlfn.XLOOKUP(TEXT(A141, "mmm-yy"), TEXT([2]GASOLINE!$B$5:$B$208, "mmm-yy"), [2]GASOLINE!$C$5:$C$208, "Not Found")</f>
        <v>6641.2452919937632</v>
      </c>
      <c r="N141" cm="1">
        <f t="array" ref="N141">_xlfn.XLOOKUP(TEXT(A141, "mmm-yy"), TEXT([2]RUNS!$B$5:$B$208, "mmm-yy"), [2]RUNS!$BM$5:$BM$208, "Not Found")</f>
        <v>0.7815480464822675</v>
      </c>
    </row>
    <row r="142" spans="1:14" x14ac:dyDescent="0.25">
      <c r="A142" s="1">
        <f>'[1]Global_Spot Prices'!$B1451</f>
        <v>42201</v>
      </c>
      <c r="B142">
        <f>_xlfn.XLOOKUP(A142,'[1]Global_Spot Prices'!$B:$B,'[1]Global_Spot Prices'!$BS:$BS)</f>
        <v>16.719999999999992</v>
      </c>
      <c r="C142">
        <f>_xlfn.XLOOKUP(A142,'[1]Global_Spot Prices'!$B:$B,'[1]Global_Spot Prices'!$E:$E)</f>
        <v>55.85</v>
      </c>
      <c r="D142">
        <f>_xlfn.XLOOKUP(A142,'[1]Global_Spot Prices'!$B:$B,'[1]Global_Spot Prices'!$D:$D)</f>
        <v>57.354999999999997</v>
      </c>
      <c r="E142">
        <f>_xlfn.XLOOKUP(A142,'[1]Global_Spot Prices'!$B:$B,'[1]Global_Spot Prices'!$H:$H)</f>
        <v>52.32</v>
      </c>
      <c r="F142">
        <f>_xlfn.XLOOKUP(A142,'[1]Global_Spot Prices'!$B:$B,'[1]Global_Spot Prices'!$I:$I)</f>
        <v>72.569999999999993</v>
      </c>
      <c r="G142" cm="1">
        <f t="array" ref="G142">_xlfn.XLOOKUP(TEXT(A142, "mmm-yy"), TEXT([2]RUNS!$B$5:$B$208, "mmm-yy"), [2]RUNS!$D$5:$D$208, "Not Found")</f>
        <v>26444.225236360056</v>
      </c>
      <c r="H142" cm="1">
        <f t="array" ref="H142">SUMPRODUCT(
    --(TEXT('[3]Global Weekly Stock (EWSuez'!$B$4:$B$2000,"mmm-yy")=TEXT(A142,"mmm-yy")),
    '[3]Global Weekly Stock (EWSuez'!$E$4:$E$2000)
/
SUMPRODUCT(
    --(TEXT('[3]Global Weekly Stock (EWSuez'!$B$4:$B$2000,"mmm-yy")=TEXT(A142,"mmm-yy"))
)</f>
        <v>11842.8</v>
      </c>
      <c r="I142">
        <f>_xlfn.XLOOKUP(A142,[1]ForwardDeriv!$D:$D,[1]ForwardDeriv!$AJ:$AJ)</f>
        <v>2.25</v>
      </c>
      <c r="J142" cm="1">
        <f t="array" ref="J142">_xlfn.XLOOKUP(TEXT(A142, "mmm-yy"), TEXT([2]GASOLINE!$B$5:$B$208, "mmm-yy"), [2]GASOLINE!$IR$5:$IR$208, "Not Found")</f>
        <v>-10.696707740317123</v>
      </c>
      <c r="K142" cm="1">
        <f t="array" ref="K142">_xlfn.XLOOKUP(TEXT(A142, "mmm-yy"), TEXT([2]GASOLINE!$B$5:$B$208, "mmm-yy"), [2]GASOLINE!$IK$5:$IK$208, "Not Found")</f>
        <v>0</v>
      </c>
      <c r="L142">
        <f t="shared" si="2"/>
        <v>1</v>
      </c>
      <c r="M142" cm="1">
        <f t="array" ref="M142">_xlfn.XLOOKUP(TEXT(A142, "mmm-yy"), TEXT([2]GASOLINE!$B$5:$B$208, "mmm-yy"), [2]GASOLINE!$C$5:$C$208, "Not Found")</f>
        <v>6641.2452919937632</v>
      </c>
      <c r="N142" cm="1">
        <f t="array" ref="N142">_xlfn.XLOOKUP(TEXT(A142, "mmm-yy"), TEXT([2]RUNS!$B$5:$B$208, "mmm-yy"), [2]RUNS!$BM$5:$BM$208, "Not Found")</f>
        <v>0.7815480464822675</v>
      </c>
    </row>
    <row r="143" spans="1:14" x14ac:dyDescent="0.25">
      <c r="A143" s="1">
        <f>'[1]Global_Spot Prices'!$B1452</f>
        <v>42202</v>
      </c>
      <c r="B143" t="e">
        <f>_xlfn.XLOOKUP(A143,'[1]Global_Spot Prices'!$B:$B,'[1]Global_Spot Prices'!$BS:$BS)</f>
        <v>#N/A</v>
      </c>
      <c r="C143" t="str">
        <f>_xlfn.XLOOKUP(A143,'[1]Global_Spot Prices'!$B:$B,'[1]Global_Spot Prices'!$E:$E)</f>
        <v/>
      </c>
      <c r="D143">
        <f>_xlfn.XLOOKUP(A143,'[1]Global_Spot Prices'!$B:$B,'[1]Global_Spot Prices'!$D:$D)</f>
        <v>56.475000000000001</v>
      </c>
      <c r="E143">
        <f>_xlfn.XLOOKUP(A143,'[1]Global_Spot Prices'!$B:$B,'[1]Global_Spot Prices'!$H:$H)</f>
        <v>0</v>
      </c>
      <c r="F143">
        <f>_xlfn.XLOOKUP(A143,'[1]Global_Spot Prices'!$B:$B,'[1]Global_Spot Prices'!$I:$I)</f>
        <v>0</v>
      </c>
      <c r="G143" cm="1">
        <f t="array" ref="G143">_xlfn.XLOOKUP(TEXT(A143, "mmm-yy"), TEXT([2]RUNS!$B$5:$B$208, "mmm-yy"), [2]RUNS!$D$5:$D$208, "Not Found")</f>
        <v>26444.225236360056</v>
      </c>
      <c r="H143" cm="1">
        <f t="array" ref="H143">SUMPRODUCT(
    --(TEXT('[3]Global Weekly Stock (EWSuez'!$B$4:$B$2000,"mmm-yy")=TEXT(A143,"mmm-yy")),
    '[3]Global Weekly Stock (EWSuez'!$E$4:$E$2000)
/
SUMPRODUCT(
    --(TEXT('[3]Global Weekly Stock (EWSuez'!$B$4:$B$2000,"mmm-yy")=TEXT(A143,"mmm-yy"))
)</f>
        <v>11842.8</v>
      </c>
      <c r="I143">
        <f>_xlfn.XLOOKUP(A143,[1]ForwardDeriv!$D:$D,[1]ForwardDeriv!$AJ:$AJ)</f>
        <v>2.25</v>
      </c>
      <c r="J143" cm="1">
        <f t="array" ref="J143">_xlfn.XLOOKUP(TEXT(A143, "mmm-yy"), TEXT([2]GASOLINE!$B$5:$B$208, "mmm-yy"), [2]GASOLINE!$IR$5:$IR$208, "Not Found")</f>
        <v>-10.696707740317123</v>
      </c>
      <c r="K143" cm="1">
        <f t="array" ref="K143">_xlfn.XLOOKUP(TEXT(A143, "mmm-yy"), TEXT([2]GASOLINE!$B$5:$B$208, "mmm-yy"), [2]GASOLINE!$IK$5:$IK$208, "Not Found")</f>
        <v>0</v>
      </c>
      <c r="L143">
        <f t="shared" si="2"/>
        <v>1</v>
      </c>
      <c r="M143" cm="1">
        <f t="array" ref="M143">_xlfn.XLOOKUP(TEXT(A143, "mmm-yy"), TEXT([2]GASOLINE!$B$5:$B$208, "mmm-yy"), [2]GASOLINE!$C$5:$C$208, "Not Found")</f>
        <v>6641.2452919937632</v>
      </c>
      <c r="N143" cm="1">
        <f t="array" ref="N143">_xlfn.XLOOKUP(TEXT(A143, "mmm-yy"), TEXT([2]RUNS!$B$5:$B$208, "mmm-yy"), [2]RUNS!$BM$5:$BM$208, "Not Found")</f>
        <v>0.7815480464822675</v>
      </c>
    </row>
    <row r="144" spans="1:14" x14ac:dyDescent="0.25">
      <c r="A144" s="1">
        <f>'[1]Global_Spot Prices'!$B1453</f>
        <v>42205</v>
      </c>
      <c r="B144">
        <f>_xlfn.XLOOKUP(A144,'[1]Global_Spot Prices'!$B:$B,'[1]Global_Spot Prices'!$BS:$BS)</f>
        <v>17.169999999999995</v>
      </c>
      <c r="C144">
        <f>_xlfn.XLOOKUP(A144,'[1]Global_Spot Prices'!$B:$B,'[1]Global_Spot Prices'!$E:$E)</f>
        <v>55.71</v>
      </c>
      <c r="D144">
        <f>_xlfn.XLOOKUP(A144,'[1]Global_Spot Prices'!$B:$B,'[1]Global_Spot Prices'!$D:$D)</f>
        <v>56.41</v>
      </c>
      <c r="E144">
        <f>_xlfn.XLOOKUP(A144,'[1]Global_Spot Prices'!$B:$B,'[1]Global_Spot Prices'!$H:$H)</f>
        <v>53.96</v>
      </c>
      <c r="F144">
        <f>_xlfn.XLOOKUP(A144,'[1]Global_Spot Prices'!$B:$B,'[1]Global_Spot Prices'!$I:$I)</f>
        <v>72.88</v>
      </c>
      <c r="G144" cm="1">
        <f t="array" ref="G144">_xlfn.XLOOKUP(TEXT(A144, "mmm-yy"), TEXT([2]RUNS!$B$5:$B$208, "mmm-yy"), [2]RUNS!$D$5:$D$208, "Not Found")</f>
        <v>26444.225236360056</v>
      </c>
      <c r="H144" cm="1">
        <f t="array" ref="H144">SUMPRODUCT(
    --(TEXT('[3]Global Weekly Stock (EWSuez'!$B$4:$B$2000,"mmm-yy")=TEXT(A144,"mmm-yy")),
    '[3]Global Weekly Stock (EWSuez'!$E$4:$E$2000)
/
SUMPRODUCT(
    --(TEXT('[3]Global Weekly Stock (EWSuez'!$B$4:$B$2000,"mmm-yy")=TEXT(A144,"mmm-yy"))
)</f>
        <v>11842.8</v>
      </c>
      <c r="I144">
        <f>_xlfn.XLOOKUP(A144,[1]ForwardDeriv!$D:$D,[1]ForwardDeriv!$AJ:$AJ)</f>
        <v>2.25</v>
      </c>
      <c r="J144" cm="1">
        <f t="array" ref="J144">_xlfn.XLOOKUP(TEXT(A144, "mmm-yy"), TEXT([2]GASOLINE!$B$5:$B$208, "mmm-yy"), [2]GASOLINE!$IR$5:$IR$208, "Not Found")</f>
        <v>-10.696707740317123</v>
      </c>
      <c r="K144" cm="1">
        <f t="array" ref="K144">_xlfn.XLOOKUP(TEXT(A144, "mmm-yy"), TEXT([2]GASOLINE!$B$5:$B$208, "mmm-yy"), [2]GASOLINE!$IK$5:$IK$208, "Not Found")</f>
        <v>0</v>
      </c>
      <c r="L144">
        <f t="shared" si="2"/>
        <v>1</v>
      </c>
      <c r="M144" cm="1">
        <f t="array" ref="M144">_xlfn.XLOOKUP(TEXT(A144, "mmm-yy"), TEXT([2]GASOLINE!$B$5:$B$208, "mmm-yy"), [2]GASOLINE!$C$5:$C$208, "Not Found")</f>
        <v>6641.2452919937632</v>
      </c>
      <c r="N144" cm="1">
        <f t="array" ref="N144">_xlfn.XLOOKUP(TEXT(A144, "mmm-yy"), TEXT([2]RUNS!$B$5:$B$208, "mmm-yy"), [2]RUNS!$BM$5:$BM$208, "Not Found")</f>
        <v>0.7815480464822675</v>
      </c>
    </row>
    <row r="145" spans="1:14" x14ac:dyDescent="0.25">
      <c r="A145" s="1">
        <f>'[1]Global_Spot Prices'!$B1454</f>
        <v>42206</v>
      </c>
      <c r="B145">
        <f>_xlfn.XLOOKUP(A145,'[1]Global_Spot Prices'!$B:$B,'[1]Global_Spot Prices'!$BS:$BS)</f>
        <v>16.280000000000008</v>
      </c>
      <c r="C145">
        <f>_xlfn.XLOOKUP(A145,'[1]Global_Spot Prices'!$B:$B,'[1]Global_Spot Prices'!$E:$E)</f>
        <v>55.4</v>
      </c>
      <c r="D145">
        <f>_xlfn.XLOOKUP(A145,'[1]Global_Spot Prices'!$B:$B,'[1]Global_Spot Prices'!$D:$D)</f>
        <v>56.05</v>
      </c>
      <c r="E145">
        <f>_xlfn.XLOOKUP(A145,'[1]Global_Spot Prices'!$B:$B,'[1]Global_Spot Prices'!$H:$H)</f>
        <v>53.44</v>
      </c>
      <c r="F145">
        <f>_xlfn.XLOOKUP(A145,'[1]Global_Spot Prices'!$B:$B,'[1]Global_Spot Prices'!$I:$I)</f>
        <v>71.680000000000007</v>
      </c>
      <c r="G145" cm="1">
        <f t="array" ref="G145">_xlfn.XLOOKUP(TEXT(A145, "mmm-yy"), TEXT([2]RUNS!$B$5:$B$208, "mmm-yy"), [2]RUNS!$D$5:$D$208, "Not Found")</f>
        <v>26444.225236360056</v>
      </c>
      <c r="H145" cm="1">
        <f t="array" ref="H145">SUMPRODUCT(
    --(TEXT('[3]Global Weekly Stock (EWSuez'!$B$4:$B$2000,"mmm-yy")=TEXT(A145,"mmm-yy")),
    '[3]Global Weekly Stock (EWSuez'!$E$4:$E$2000)
/
SUMPRODUCT(
    --(TEXT('[3]Global Weekly Stock (EWSuez'!$B$4:$B$2000,"mmm-yy")=TEXT(A145,"mmm-yy"))
)</f>
        <v>11842.8</v>
      </c>
      <c r="I145">
        <f>_xlfn.XLOOKUP(A145,[1]ForwardDeriv!$D:$D,[1]ForwardDeriv!$AJ:$AJ)</f>
        <v>2.25</v>
      </c>
      <c r="J145" cm="1">
        <f t="array" ref="J145">_xlfn.XLOOKUP(TEXT(A145, "mmm-yy"), TEXT([2]GASOLINE!$B$5:$B$208, "mmm-yy"), [2]GASOLINE!$IR$5:$IR$208, "Not Found")</f>
        <v>-10.696707740317123</v>
      </c>
      <c r="K145" cm="1">
        <f t="array" ref="K145">_xlfn.XLOOKUP(TEXT(A145, "mmm-yy"), TEXT([2]GASOLINE!$B$5:$B$208, "mmm-yy"), [2]GASOLINE!$IK$5:$IK$208, "Not Found")</f>
        <v>0</v>
      </c>
      <c r="L145">
        <f t="shared" si="2"/>
        <v>1</v>
      </c>
      <c r="M145" cm="1">
        <f t="array" ref="M145">_xlfn.XLOOKUP(TEXT(A145, "mmm-yy"), TEXT([2]GASOLINE!$B$5:$B$208, "mmm-yy"), [2]GASOLINE!$C$5:$C$208, "Not Found")</f>
        <v>6641.2452919937632</v>
      </c>
      <c r="N145" cm="1">
        <f t="array" ref="N145">_xlfn.XLOOKUP(TEXT(A145, "mmm-yy"), TEXT([2]RUNS!$B$5:$B$208, "mmm-yy"), [2]RUNS!$BM$5:$BM$208, "Not Found")</f>
        <v>0.7815480464822675</v>
      </c>
    </row>
    <row r="146" spans="1:14" x14ac:dyDescent="0.25">
      <c r="A146" s="1">
        <f>'[1]Global_Spot Prices'!$B1455</f>
        <v>42207</v>
      </c>
      <c r="B146">
        <f>_xlfn.XLOOKUP(A146,'[1]Global_Spot Prices'!$B:$B,'[1]Global_Spot Prices'!$BS:$BS)</f>
        <v>15.300000000000004</v>
      </c>
      <c r="C146">
        <f>_xlfn.XLOOKUP(A146,'[1]Global_Spot Prices'!$B:$B,'[1]Global_Spot Prices'!$E:$E)</f>
        <v>55.49</v>
      </c>
      <c r="D146">
        <f>_xlfn.XLOOKUP(A146,'[1]Global_Spot Prices'!$B:$B,'[1]Global_Spot Prices'!$D:$D)</f>
        <v>56.545000000000002</v>
      </c>
      <c r="E146">
        <f>_xlfn.XLOOKUP(A146,'[1]Global_Spot Prices'!$B:$B,'[1]Global_Spot Prices'!$H:$H)</f>
        <v>52.53</v>
      </c>
      <c r="F146">
        <f>_xlfn.XLOOKUP(A146,'[1]Global_Spot Prices'!$B:$B,'[1]Global_Spot Prices'!$I:$I)</f>
        <v>70.790000000000006</v>
      </c>
      <c r="G146" cm="1">
        <f t="array" ref="G146">_xlfn.XLOOKUP(TEXT(A146, "mmm-yy"), TEXT([2]RUNS!$B$5:$B$208, "mmm-yy"), [2]RUNS!$D$5:$D$208, "Not Found")</f>
        <v>26444.225236360056</v>
      </c>
      <c r="H146" cm="1">
        <f t="array" ref="H146">SUMPRODUCT(
    --(TEXT('[3]Global Weekly Stock (EWSuez'!$B$4:$B$2000,"mmm-yy")=TEXT(A146,"mmm-yy")),
    '[3]Global Weekly Stock (EWSuez'!$E$4:$E$2000)
/
SUMPRODUCT(
    --(TEXT('[3]Global Weekly Stock (EWSuez'!$B$4:$B$2000,"mmm-yy")=TEXT(A146,"mmm-yy"))
)</f>
        <v>11842.8</v>
      </c>
      <c r="I146">
        <f>_xlfn.XLOOKUP(A146,[1]ForwardDeriv!$D:$D,[1]ForwardDeriv!$AJ:$AJ)</f>
        <v>1.7000000000000028</v>
      </c>
      <c r="J146" cm="1">
        <f t="array" ref="J146">_xlfn.XLOOKUP(TEXT(A146, "mmm-yy"), TEXT([2]GASOLINE!$B$5:$B$208, "mmm-yy"), [2]GASOLINE!$IR$5:$IR$208, "Not Found")</f>
        <v>-10.696707740317123</v>
      </c>
      <c r="K146" cm="1">
        <f t="array" ref="K146">_xlfn.XLOOKUP(TEXT(A146, "mmm-yy"), TEXT([2]GASOLINE!$B$5:$B$208, "mmm-yy"), [2]GASOLINE!$IK$5:$IK$208, "Not Found")</f>
        <v>0</v>
      </c>
      <c r="L146">
        <f t="shared" si="2"/>
        <v>1</v>
      </c>
      <c r="M146" cm="1">
        <f t="array" ref="M146">_xlfn.XLOOKUP(TEXT(A146, "mmm-yy"), TEXT([2]GASOLINE!$B$5:$B$208, "mmm-yy"), [2]GASOLINE!$C$5:$C$208, "Not Found")</f>
        <v>6641.2452919937632</v>
      </c>
      <c r="N146" cm="1">
        <f t="array" ref="N146">_xlfn.XLOOKUP(TEXT(A146, "mmm-yy"), TEXT([2]RUNS!$B$5:$B$208, "mmm-yy"), [2]RUNS!$BM$5:$BM$208, "Not Found")</f>
        <v>0.7815480464822675</v>
      </c>
    </row>
    <row r="147" spans="1:14" x14ac:dyDescent="0.25">
      <c r="A147" s="1">
        <f>'[1]Global_Spot Prices'!$B1456</f>
        <v>42208</v>
      </c>
      <c r="B147">
        <f>_xlfn.XLOOKUP(A147,'[1]Global_Spot Prices'!$B:$B,'[1]Global_Spot Prices'!$BS:$BS)</f>
        <v>14.86</v>
      </c>
      <c r="C147">
        <f>_xlfn.XLOOKUP(A147,'[1]Global_Spot Prices'!$B:$B,'[1]Global_Spot Prices'!$E:$E)</f>
        <v>55.14</v>
      </c>
      <c r="D147">
        <f>_xlfn.XLOOKUP(A147,'[1]Global_Spot Prices'!$B:$B,'[1]Global_Spot Prices'!$D:$D)</f>
        <v>55.965000000000003</v>
      </c>
      <c r="E147">
        <f>_xlfn.XLOOKUP(A147,'[1]Global_Spot Prices'!$B:$B,'[1]Global_Spot Prices'!$H:$H)</f>
        <v>52.25</v>
      </c>
      <c r="F147">
        <f>_xlfn.XLOOKUP(A147,'[1]Global_Spot Prices'!$B:$B,'[1]Global_Spot Prices'!$I:$I)</f>
        <v>70</v>
      </c>
      <c r="G147" cm="1">
        <f t="array" ref="G147">_xlfn.XLOOKUP(TEXT(A147, "mmm-yy"), TEXT([2]RUNS!$B$5:$B$208, "mmm-yy"), [2]RUNS!$D$5:$D$208, "Not Found")</f>
        <v>26444.225236360056</v>
      </c>
      <c r="H147" cm="1">
        <f t="array" ref="H147">SUMPRODUCT(
    --(TEXT('[3]Global Weekly Stock (EWSuez'!$B$4:$B$2000,"mmm-yy")=TEXT(A147,"mmm-yy")),
    '[3]Global Weekly Stock (EWSuez'!$E$4:$E$2000)
/
SUMPRODUCT(
    --(TEXT('[3]Global Weekly Stock (EWSuez'!$B$4:$B$2000,"mmm-yy")=TEXT(A147,"mmm-yy"))
)</f>
        <v>11842.8</v>
      </c>
      <c r="I147">
        <f>_xlfn.XLOOKUP(A147,[1]ForwardDeriv!$D:$D,[1]ForwardDeriv!$AJ:$AJ)</f>
        <v>1.6500000000000057</v>
      </c>
      <c r="J147" cm="1">
        <f t="array" ref="J147">_xlfn.XLOOKUP(TEXT(A147, "mmm-yy"), TEXT([2]GASOLINE!$B$5:$B$208, "mmm-yy"), [2]GASOLINE!$IR$5:$IR$208, "Not Found")</f>
        <v>-10.696707740317123</v>
      </c>
      <c r="K147" cm="1">
        <f t="array" ref="K147">_xlfn.XLOOKUP(TEXT(A147, "mmm-yy"), TEXT([2]GASOLINE!$B$5:$B$208, "mmm-yy"), [2]GASOLINE!$IK$5:$IK$208, "Not Found")</f>
        <v>0</v>
      </c>
      <c r="L147">
        <f t="shared" si="2"/>
        <v>1</v>
      </c>
      <c r="M147" cm="1">
        <f t="array" ref="M147">_xlfn.XLOOKUP(TEXT(A147, "mmm-yy"), TEXT([2]GASOLINE!$B$5:$B$208, "mmm-yy"), [2]GASOLINE!$C$5:$C$208, "Not Found")</f>
        <v>6641.2452919937632</v>
      </c>
      <c r="N147" cm="1">
        <f t="array" ref="N147">_xlfn.XLOOKUP(TEXT(A147, "mmm-yy"), TEXT([2]RUNS!$B$5:$B$208, "mmm-yy"), [2]RUNS!$BM$5:$BM$208, "Not Found")</f>
        <v>0.7815480464822675</v>
      </c>
    </row>
    <row r="148" spans="1:14" x14ac:dyDescent="0.25">
      <c r="A148" s="1">
        <f>'[1]Global_Spot Prices'!$B1457</f>
        <v>42209</v>
      </c>
      <c r="B148">
        <f>_xlfn.XLOOKUP(A148,'[1]Global_Spot Prices'!$B:$B,'[1]Global_Spot Prices'!$BS:$BS)</f>
        <v>16.140000000000008</v>
      </c>
      <c r="C148">
        <f>_xlfn.XLOOKUP(A148,'[1]Global_Spot Prices'!$B:$B,'[1]Global_Spot Prices'!$E:$E)</f>
        <v>54.29</v>
      </c>
      <c r="D148">
        <f>_xlfn.XLOOKUP(A148,'[1]Global_Spot Prices'!$B:$B,'[1]Global_Spot Prices'!$D:$D)</f>
        <v>54.575000000000003</v>
      </c>
      <c r="E148">
        <f>_xlfn.XLOOKUP(A148,'[1]Global_Spot Prices'!$B:$B,'[1]Global_Spot Prices'!$H:$H)</f>
        <v>51.4</v>
      </c>
      <c r="F148">
        <f>_xlfn.XLOOKUP(A148,'[1]Global_Spot Prices'!$B:$B,'[1]Global_Spot Prices'!$I:$I)</f>
        <v>70.430000000000007</v>
      </c>
      <c r="G148" cm="1">
        <f t="array" ref="G148">_xlfn.XLOOKUP(TEXT(A148, "mmm-yy"), TEXT([2]RUNS!$B$5:$B$208, "mmm-yy"), [2]RUNS!$D$5:$D$208, "Not Found")</f>
        <v>26444.225236360056</v>
      </c>
      <c r="H148" cm="1">
        <f t="array" ref="H148">SUMPRODUCT(
    --(TEXT('[3]Global Weekly Stock (EWSuez'!$B$4:$B$2000,"mmm-yy")=TEXT(A148,"mmm-yy")),
    '[3]Global Weekly Stock (EWSuez'!$E$4:$E$2000)
/
SUMPRODUCT(
    --(TEXT('[3]Global Weekly Stock (EWSuez'!$B$4:$B$2000,"mmm-yy")=TEXT(A148,"mmm-yy"))
)</f>
        <v>11842.8</v>
      </c>
      <c r="I148">
        <f>_xlfn.XLOOKUP(A148,[1]ForwardDeriv!$D:$D,[1]ForwardDeriv!$AJ:$AJ)</f>
        <v>2</v>
      </c>
      <c r="J148" cm="1">
        <f t="array" ref="J148">_xlfn.XLOOKUP(TEXT(A148, "mmm-yy"), TEXT([2]GASOLINE!$B$5:$B$208, "mmm-yy"), [2]GASOLINE!$IR$5:$IR$208, "Not Found")</f>
        <v>-10.696707740317123</v>
      </c>
      <c r="K148" cm="1">
        <f t="array" ref="K148">_xlfn.XLOOKUP(TEXT(A148, "mmm-yy"), TEXT([2]GASOLINE!$B$5:$B$208, "mmm-yy"), [2]GASOLINE!$IK$5:$IK$208, "Not Found")</f>
        <v>0</v>
      </c>
      <c r="L148">
        <f t="shared" si="2"/>
        <v>1</v>
      </c>
      <c r="M148" cm="1">
        <f t="array" ref="M148">_xlfn.XLOOKUP(TEXT(A148, "mmm-yy"), TEXT([2]GASOLINE!$B$5:$B$208, "mmm-yy"), [2]GASOLINE!$C$5:$C$208, "Not Found")</f>
        <v>6641.2452919937632</v>
      </c>
      <c r="N148" cm="1">
        <f t="array" ref="N148">_xlfn.XLOOKUP(TEXT(A148, "mmm-yy"), TEXT([2]RUNS!$B$5:$B$208, "mmm-yy"), [2]RUNS!$BM$5:$BM$208, "Not Found")</f>
        <v>0.7815480464822675</v>
      </c>
    </row>
    <row r="149" spans="1:14" x14ac:dyDescent="0.25">
      <c r="A149" s="1">
        <f>'[1]Global_Spot Prices'!$B1458</f>
        <v>42212</v>
      </c>
      <c r="B149">
        <f>_xlfn.XLOOKUP(A149,'[1]Global_Spot Prices'!$B:$B,'[1]Global_Spot Prices'!$BS:$BS)</f>
        <v>16.730000000000004</v>
      </c>
      <c r="C149">
        <f>_xlfn.XLOOKUP(A149,'[1]Global_Spot Prices'!$B:$B,'[1]Global_Spot Prices'!$E:$E)</f>
        <v>53.5</v>
      </c>
      <c r="D149">
        <f>_xlfn.XLOOKUP(A149,'[1]Global_Spot Prices'!$B:$B,'[1]Global_Spot Prices'!$D:$D)</f>
        <v>54.13</v>
      </c>
      <c r="E149">
        <f>_xlfn.XLOOKUP(A149,'[1]Global_Spot Prices'!$B:$B,'[1]Global_Spot Prices'!$H:$H)</f>
        <v>50.98</v>
      </c>
      <c r="F149">
        <f>_xlfn.XLOOKUP(A149,'[1]Global_Spot Prices'!$B:$B,'[1]Global_Spot Prices'!$I:$I)</f>
        <v>70.23</v>
      </c>
      <c r="G149" cm="1">
        <f t="array" ref="G149">_xlfn.XLOOKUP(TEXT(A149, "mmm-yy"), TEXT([2]RUNS!$B$5:$B$208, "mmm-yy"), [2]RUNS!$D$5:$D$208, "Not Found")</f>
        <v>26444.225236360056</v>
      </c>
      <c r="H149" cm="1">
        <f t="array" ref="H149">SUMPRODUCT(
    --(TEXT('[3]Global Weekly Stock (EWSuez'!$B$4:$B$2000,"mmm-yy")=TEXT(A149,"mmm-yy")),
    '[3]Global Weekly Stock (EWSuez'!$E$4:$E$2000)
/
SUMPRODUCT(
    --(TEXT('[3]Global Weekly Stock (EWSuez'!$B$4:$B$2000,"mmm-yy")=TEXT(A149,"mmm-yy"))
)</f>
        <v>11842.8</v>
      </c>
      <c r="I149">
        <f>_xlfn.XLOOKUP(A149,[1]ForwardDeriv!$D:$D,[1]ForwardDeriv!$AJ:$AJ)</f>
        <v>2.2999999999999972</v>
      </c>
      <c r="J149" cm="1">
        <f t="array" ref="J149">_xlfn.XLOOKUP(TEXT(A149, "mmm-yy"), TEXT([2]GASOLINE!$B$5:$B$208, "mmm-yy"), [2]GASOLINE!$IR$5:$IR$208, "Not Found")</f>
        <v>-10.696707740317123</v>
      </c>
      <c r="K149" cm="1">
        <f t="array" ref="K149">_xlfn.XLOOKUP(TEXT(A149, "mmm-yy"), TEXT([2]GASOLINE!$B$5:$B$208, "mmm-yy"), [2]GASOLINE!$IK$5:$IK$208, "Not Found")</f>
        <v>0</v>
      </c>
      <c r="L149">
        <f t="shared" si="2"/>
        <v>1</v>
      </c>
      <c r="M149" cm="1">
        <f t="array" ref="M149">_xlfn.XLOOKUP(TEXT(A149, "mmm-yy"), TEXT([2]GASOLINE!$B$5:$B$208, "mmm-yy"), [2]GASOLINE!$C$5:$C$208, "Not Found")</f>
        <v>6641.2452919937632</v>
      </c>
      <c r="N149" cm="1">
        <f t="array" ref="N149">_xlfn.XLOOKUP(TEXT(A149, "mmm-yy"), TEXT([2]RUNS!$B$5:$B$208, "mmm-yy"), [2]RUNS!$BM$5:$BM$208, "Not Found")</f>
        <v>0.7815480464822675</v>
      </c>
    </row>
    <row r="150" spans="1:14" x14ac:dyDescent="0.25">
      <c r="A150" s="1">
        <f>'[1]Global_Spot Prices'!$B1459</f>
        <v>42213</v>
      </c>
      <c r="B150">
        <f>_xlfn.XLOOKUP(A150,'[1]Global_Spot Prices'!$B:$B,'[1]Global_Spot Prices'!$BS:$BS)</f>
        <v>16.200000000000003</v>
      </c>
      <c r="C150">
        <f>_xlfn.XLOOKUP(A150,'[1]Global_Spot Prices'!$B:$B,'[1]Global_Spot Prices'!$E:$E)</f>
        <v>52.31</v>
      </c>
      <c r="D150">
        <f>_xlfn.XLOOKUP(A150,'[1]Global_Spot Prices'!$B:$B,'[1]Global_Spot Prices'!$D:$D)</f>
        <v>54.424999999999997</v>
      </c>
      <c r="E150">
        <f>_xlfn.XLOOKUP(A150,'[1]Global_Spot Prices'!$B:$B,'[1]Global_Spot Prices'!$H:$H)</f>
        <v>50.54</v>
      </c>
      <c r="F150">
        <f>_xlfn.XLOOKUP(A150,'[1]Global_Spot Prices'!$B:$B,'[1]Global_Spot Prices'!$I:$I)</f>
        <v>68.510000000000005</v>
      </c>
      <c r="G150" cm="1">
        <f t="array" ref="G150">_xlfn.XLOOKUP(TEXT(A150, "mmm-yy"), TEXT([2]RUNS!$B$5:$B$208, "mmm-yy"), [2]RUNS!$D$5:$D$208, "Not Found")</f>
        <v>26444.225236360056</v>
      </c>
      <c r="H150" cm="1">
        <f t="array" ref="H150">SUMPRODUCT(
    --(TEXT('[3]Global Weekly Stock (EWSuez'!$B$4:$B$2000,"mmm-yy")=TEXT(A150,"mmm-yy")),
    '[3]Global Weekly Stock (EWSuez'!$E$4:$E$2000)
/
SUMPRODUCT(
    --(TEXT('[3]Global Weekly Stock (EWSuez'!$B$4:$B$2000,"mmm-yy")=TEXT(A150,"mmm-yy"))
)</f>
        <v>11842.8</v>
      </c>
      <c r="I150">
        <f>_xlfn.XLOOKUP(A150,[1]ForwardDeriv!$D:$D,[1]ForwardDeriv!$AJ:$AJ)</f>
        <v>2.1999999999999886</v>
      </c>
      <c r="J150" cm="1">
        <f t="array" ref="J150">_xlfn.XLOOKUP(TEXT(A150, "mmm-yy"), TEXT([2]GASOLINE!$B$5:$B$208, "mmm-yy"), [2]GASOLINE!$IR$5:$IR$208, "Not Found")</f>
        <v>-10.696707740317123</v>
      </c>
      <c r="K150" cm="1">
        <f t="array" ref="K150">_xlfn.XLOOKUP(TEXT(A150, "mmm-yy"), TEXT([2]GASOLINE!$B$5:$B$208, "mmm-yy"), [2]GASOLINE!$IK$5:$IK$208, "Not Found")</f>
        <v>0</v>
      </c>
      <c r="L150">
        <f t="shared" si="2"/>
        <v>1</v>
      </c>
      <c r="M150" cm="1">
        <f t="array" ref="M150">_xlfn.XLOOKUP(TEXT(A150, "mmm-yy"), TEXT([2]GASOLINE!$B$5:$B$208, "mmm-yy"), [2]GASOLINE!$C$5:$C$208, "Not Found")</f>
        <v>6641.2452919937632</v>
      </c>
      <c r="N150" cm="1">
        <f t="array" ref="N150">_xlfn.XLOOKUP(TEXT(A150, "mmm-yy"), TEXT([2]RUNS!$B$5:$B$208, "mmm-yy"), [2]RUNS!$BM$5:$BM$208, "Not Found")</f>
        <v>0.7815480464822675</v>
      </c>
    </row>
    <row r="151" spans="1:14" x14ac:dyDescent="0.25">
      <c r="A151" s="1">
        <f>'[1]Global_Spot Prices'!$B1460</f>
        <v>42214</v>
      </c>
      <c r="B151">
        <f>_xlfn.XLOOKUP(A151,'[1]Global_Spot Prices'!$B:$B,'[1]Global_Spot Prices'!$BS:$BS)</f>
        <v>15.299999999999997</v>
      </c>
      <c r="C151">
        <f>_xlfn.XLOOKUP(A151,'[1]Global_Spot Prices'!$B:$B,'[1]Global_Spot Prices'!$E:$E)</f>
        <v>52.61</v>
      </c>
      <c r="D151">
        <f>_xlfn.XLOOKUP(A151,'[1]Global_Spot Prices'!$B:$B,'[1]Global_Spot Prices'!$D:$D)</f>
        <v>54.38</v>
      </c>
      <c r="E151">
        <f>_xlfn.XLOOKUP(A151,'[1]Global_Spot Prices'!$B:$B,'[1]Global_Spot Prices'!$H:$H)</f>
        <v>50.01</v>
      </c>
      <c r="F151">
        <f>_xlfn.XLOOKUP(A151,'[1]Global_Spot Prices'!$B:$B,'[1]Global_Spot Prices'!$I:$I)</f>
        <v>67.91</v>
      </c>
      <c r="G151" cm="1">
        <f t="array" ref="G151">_xlfn.XLOOKUP(TEXT(A151, "mmm-yy"), TEXT([2]RUNS!$B$5:$B$208, "mmm-yy"), [2]RUNS!$D$5:$D$208, "Not Found")</f>
        <v>26444.225236360056</v>
      </c>
      <c r="H151" cm="1">
        <f t="array" ref="H151">SUMPRODUCT(
    --(TEXT('[3]Global Weekly Stock (EWSuez'!$B$4:$B$2000,"mmm-yy")=TEXT(A151,"mmm-yy")),
    '[3]Global Weekly Stock (EWSuez'!$E$4:$E$2000)
/
SUMPRODUCT(
    --(TEXT('[3]Global Weekly Stock (EWSuez'!$B$4:$B$2000,"mmm-yy")=TEXT(A151,"mmm-yy"))
)</f>
        <v>11842.8</v>
      </c>
      <c r="I151">
        <f>_xlfn.XLOOKUP(A151,[1]ForwardDeriv!$D:$D,[1]ForwardDeriv!$AJ:$AJ)</f>
        <v>1.9499999999999886</v>
      </c>
      <c r="J151" cm="1">
        <f t="array" ref="J151">_xlfn.XLOOKUP(TEXT(A151, "mmm-yy"), TEXT([2]GASOLINE!$B$5:$B$208, "mmm-yy"), [2]GASOLINE!$IR$5:$IR$208, "Not Found")</f>
        <v>-10.696707740317123</v>
      </c>
      <c r="K151" cm="1">
        <f t="array" ref="K151">_xlfn.XLOOKUP(TEXT(A151, "mmm-yy"), TEXT([2]GASOLINE!$B$5:$B$208, "mmm-yy"), [2]GASOLINE!$IK$5:$IK$208, "Not Found")</f>
        <v>0</v>
      </c>
      <c r="L151">
        <f t="shared" si="2"/>
        <v>1</v>
      </c>
      <c r="M151" cm="1">
        <f t="array" ref="M151">_xlfn.XLOOKUP(TEXT(A151, "mmm-yy"), TEXT([2]GASOLINE!$B$5:$B$208, "mmm-yy"), [2]GASOLINE!$C$5:$C$208, "Not Found")</f>
        <v>6641.2452919937632</v>
      </c>
      <c r="N151" cm="1">
        <f t="array" ref="N151">_xlfn.XLOOKUP(TEXT(A151, "mmm-yy"), TEXT([2]RUNS!$B$5:$B$208, "mmm-yy"), [2]RUNS!$BM$5:$BM$208, "Not Found")</f>
        <v>0.7815480464822675</v>
      </c>
    </row>
    <row r="152" spans="1:14" x14ac:dyDescent="0.25">
      <c r="A152" s="1">
        <f>'[1]Global_Spot Prices'!$B1461</f>
        <v>42215</v>
      </c>
      <c r="B152">
        <f>_xlfn.XLOOKUP(A152,'[1]Global_Spot Prices'!$B:$B,'[1]Global_Spot Prices'!$BS:$BS)</f>
        <v>15.370000000000005</v>
      </c>
      <c r="C152">
        <f>_xlfn.XLOOKUP(A152,'[1]Global_Spot Prices'!$B:$B,'[1]Global_Spot Prices'!$E:$E)</f>
        <v>53.61</v>
      </c>
      <c r="D152">
        <f>_xlfn.XLOOKUP(A152,'[1]Global_Spot Prices'!$B:$B,'[1]Global_Spot Prices'!$D:$D)</f>
        <v>53.715000000000003</v>
      </c>
      <c r="E152">
        <f>_xlfn.XLOOKUP(A152,'[1]Global_Spot Prices'!$B:$B,'[1]Global_Spot Prices'!$H:$H)</f>
        <v>51.69</v>
      </c>
      <c r="F152">
        <f>_xlfn.XLOOKUP(A152,'[1]Global_Spot Prices'!$B:$B,'[1]Global_Spot Prices'!$I:$I)</f>
        <v>68.98</v>
      </c>
      <c r="G152" cm="1">
        <f t="array" ref="G152">_xlfn.XLOOKUP(TEXT(A152, "mmm-yy"), TEXT([2]RUNS!$B$5:$B$208, "mmm-yy"), [2]RUNS!$D$5:$D$208, "Not Found")</f>
        <v>26444.225236360056</v>
      </c>
      <c r="H152" cm="1">
        <f t="array" ref="H152">SUMPRODUCT(
    --(TEXT('[3]Global Weekly Stock (EWSuez'!$B$4:$B$2000,"mmm-yy")=TEXT(A152,"mmm-yy")),
    '[3]Global Weekly Stock (EWSuez'!$E$4:$E$2000)
/
SUMPRODUCT(
    --(TEXT('[3]Global Weekly Stock (EWSuez'!$B$4:$B$2000,"mmm-yy")=TEXT(A152,"mmm-yy"))
)</f>
        <v>11842.8</v>
      </c>
      <c r="I152">
        <f>_xlfn.XLOOKUP(A152,[1]ForwardDeriv!$D:$D,[1]ForwardDeriv!$AJ:$AJ)</f>
        <v>2.0499999999999972</v>
      </c>
      <c r="J152" cm="1">
        <f t="array" ref="J152">_xlfn.XLOOKUP(TEXT(A152, "mmm-yy"), TEXT([2]GASOLINE!$B$5:$B$208, "mmm-yy"), [2]GASOLINE!$IR$5:$IR$208, "Not Found")</f>
        <v>-10.696707740317123</v>
      </c>
      <c r="K152" cm="1">
        <f t="array" ref="K152">_xlfn.XLOOKUP(TEXT(A152, "mmm-yy"), TEXT([2]GASOLINE!$B$5:$B$208, "mmm-yy"), [2]GASOLINE!$IK$5:$IK$208, "Not Found")</f>
        <v>0</v>
      </c>
      <c r="L152">
        <f t="shared" si="2"/>
        <v>1</v>
      </c>
      <c r="M152" cm="1">
        <f t="array" ref="M152">_xlfn.XLOOKUP(TEXT(A152, "mmm-yy"), TEXT([2]GASOLINE!$B$5:$B$208, "mmm-yy"), [2]GASOLINE!$C$5:$C$208, "Not Found")</f>
        <v>6641.2452919937632</v>
      </c>
      <c r="N152" cm="1">
        <f t="array" ref="N152">_xlfn.XLOOKUP(TEXT(A152, "mmm-yy"), TEXT([2]RUNS!$B$5:$B$208, "mmm-yy"), [2]RUNS!$BM$5:$BM$208, "Not Found")</f>
        <v>0.7815480464822675</v>
      </c>
    </row>
    <row r="153" spans="1:14" x14ac:dyDescent="0.25">
      <c r="A153" s="1">
        <f>'[1]Global_Spot Prices'!$B1462</f>
        <v>42216</v>
      </c>
      <c r="B153">
        <f>_xlfn.XLOOKUP(A153,'[1]Global_Spot Prices'!$B:$B,'[1]Global_Spot Prices'!$BS:$BS)</f>
        <v>16.68</v>
      </c>
      <c r="C153">
        <f>_xlfn.XLOOKUP(A153,'[1]Global_Spot Prices'!$B:$B,'[1]Global_Spot Prices'!$E:$E)</f>
        <v>53.1</v>
      </c>
      <c r="D153">
        <f>_xlfn.XLOOKUP(A153,'[1]Global_Spot Prices'!$B:$B,'[1]Global_Spot Prices'!$D:$D)</f>
        <v>52.53</v>
      </c>
      <c r="E153">
        <f>_xlfn.XLOOKUP(A153,'[1]Global_Spot Prices'!$B:$B,'[1]Global_Spot Prices'!$H:$H)</f>
        <v>50.89</v>
      </c>
      <c r="F153">
        <f>_xlfn.XLOOKUP(A153,'[1]Global_Spot Prices'!$B:$B,'[1]Global_Spot Prices'!$I:$I)</f>
        <v>69.78</v>
      </c>
      <c r="G153" cm="1">
        <f t="array" ref="G153">_xlfn.XLOOKUP(TEXT(A153, "mmm-yy"), TEXT([2]RUNS!$B$5:$B$208, "mmm-yy"), [2]RUNS!$D$5:$D$208, "Not Found")</f>
        <v>26444.225236360056</v>
      </c>
      <c r="H153" cm="1">
        <f t="array" ref="H153">SUMPRODUCT(
    --(TEXT('[3]Global Weekly Stock (EWSuez'!$B$4:$B$2000,"mmm-yy")=TEXT(A153,"mmm-yy")),
    '[3]Global Weekly Stock (EWSuez'!$E$4:$E$2000)
/
SUMPRODUCT(
    --(TEXT('[3]Global Weekly Stock (EWSuez'!$B$4:$B$2000,"mmm-yy")=TEXT(A153,"mmm-yy"))
)</f>
        <v>11842.8</v>
      </c>
      <c r="I153">
        <f>_xlfn.XLOOKUP(A153,[1]ForwardDeriv!$D:$D,[1]ForwardDeriv!$AJ:$AJ)</f>
        <v>2.4500000000000028</v>
      </c>
      <c r="J153" cm="1">
        <f t="array" ref="J153">_xlfn.XLOOKUP(TEXT(A153, "mmm-yy"), TEXT([2]GASOLINE!$B$5:$B$208, "mmm-yy"), [2]GASOLINE!$IR$5:$IR$208, "Not Found")</f>
        <v>-10.696707740317123</v>
      </c>
      <c r="K153" cm="1">
        <f t="array" ref="K153">_xlfn.XLOOKUP(TEXT(A153, "mmm-yy"), TEXT([2]GASOLINE!$B$5:$B$208, "mmm-yy"), [2]GASOLINE!$IK$5:$IK$208, "Not Found")</f>
        <v>0</v>
      </c>
      <c r="L153">
        <f t="shared" si="2"/>
        <v>1</v>
      </c>
      <c r="M153" cm="1">
        <f t="array" ref="M153">_xlfn.XLOOKUP(TEXT(A153, "mmm-yy"), TEXT([2]GASOLINE!$B$5:$B$208, "mmm-yy"), [2]GASOLINE!$C$5:$C$208, "Not Found")</f>
        <v>6641.2452919937632</v>
      </c>
      <c r="N153" cm="1">
        <f t="array" ref="N153">_xlfn.XLOOKUP(TEXT(A153, "mmm-yy"), TEXT([2]RUNS!$B$5:$B$208, "mmm-yy"), [2]RUNS!$BM$5:$BM$208, "Not Found")</f>
        <v>0.7815480464822675</v>
      </c>
    </row>
    <row r="154" spans="1:14" x14ac:dyDescent="0.25">
      <c r="A154" s="1">
        <f>'[1]Global_Spot Prices'!$B1463</f>
        <v>42219</v>
      </c>
      <c r="B154">
        <f>_xlfn.XLOOKUP(A154,'[1]Global_Spot Prices'!$B:$B,'[1]Global_Spot Prices'!$BS:$BS)</f>
        <v>16.414999999999999</v>
      </c>
      <c r="C154">
        <f>_xlfn.XLOOKUP(A154,'[1]Global_Spot Prices'!$B:$B,'[1]Global_Spot Prices'!$E:$E)</f>
        <v>51.195</v>
      </c>
      <c r="D154">
        <f>_xlfn.XLOOKUP(A154,'[1]Global_Spot Prices'!$B:$B,'[1]Global_Spot Prices'!$D:$D)</f>
        <v>49.145000000000003</v>
      </c>
      <c r="E154">
        <f>_xlfn.XLOOKUP(A154,'[1]Global_Spot Prices'!$B:$B,'[1]Global_Spot Prices'!$H:$H)</f>
        <v>49.54</v>
      </c>
      <c r="F154">
        <f>_xlfn.XLOOKUP(A154,'[1]Global_Spot Prices'!$B:$B,'[1]Global_Spot Prices'!$I:$I)</f>
        <v>67.61</v>
      </c>
      <c r="G154" cm="1">
        <f t="array" ref="G154">_xlfn.XLOOKUP(TEXT(A154, "mmm-yy"), TEXT([2]RUNS!$B$5:$B$208, "mmm-yy"), [2]RUNS!$D$5:$D$208, "Not Found")</f>
        <v>26780.067048242498</v>
      </c>
      <c r="H154" cm="1">
        <f t="array" ref="H154">SUMPRODUCT(
    --(TEXT('[3]Global Weekly Stock (EWSuez'!$B$4:$B$2000,"mmm-yy")=TEXT(A154,"mmm-yy")),
    '[3]Global Weekly Stock (EWSuez'!$E$4:$E$2000)
/
SUMPRODUCT(
    --(TEXT('[3]Global Weekly Stock (EWSuez'!$B$4:$B$2000,"mmm-yy")=TEXT(A154,"mmm-yy"))
)</f>
        <v>12117.5</v>
      </c>
      <c r="I154">
        <f>_xlfn.XLOOKUP(A154,[1]ForwardDeriv!$D:$D,[1]ForwardDeriv!$AJ:$AJ)</f>
        <v>1.7000000000000028</v>
      </c>
      <c r="J154" cm="1">
        <f t="array" ref="J154">_xlfn.XLOOKUP(TEXT(A154, "mmm-yy"), TEXT([2]GASOLINE!$B$5:$B$208, "mmm-yy"), [2]GASOLINE!$IR$5:$IR$208, "Not Found")</f>
        <v>30.082246141691797</v>
      </c>
      <c r="K154" cm="1">
        <f t="array" ref="K154">_xlfn.XLOOKUP(TEXT(A154, "mmm-yy"), TEXT([2]GASOLINE!$B$5:$B$208, "mmm-yy"), [2]GASOLINE!$IK$5:$IK$208, "Not Found")</f>
        <v>0</v>
      </c>
      <c r="L154">
        <f t="shared" si="2"/>
        <v>1</v>
      </c>
      <c r="M154" cm="1">
        <f t="array" ref="M154">_xlfn.XLOOKUP(TEXT(A154, "mmm-yy"), TEXT([2]GASOLINE!$B$5:$B$208, "mmm-yy"), [2]GASOLINE!$C$5:$C$208, "Not Found")</f>
        <v>6695.2553311998863</v>
      </c>
      <c r="N154" cm="1">
        <f t="array" ref="N154">_xlfn.XLOOKUP(TEXT(A154, "mmm-yy"), TEXT([2]RUNS!$B$5:$B$208, "mmm-yy"), [2]RUNS!$BM$5:$BM$208, "Not Found")</f>
        <v>0.79541130943271399</v>
      </c>
    </row>
    <row r="155" spans="1:14" x14ac:dyDescent="0.25">
      <c r="A155" s="1">
        <f>'[1]Global_Spot Prices'!$B1464</f>
        <v>42220</v>
      </c>
      <c r="B155">
        <f>_xlfn.XLOOKUP(A155,'[1]Global_Spot Prices'!$B:$B,'[1]Global_Spot Prices'!$BS:$BS)</f>
        <v>15.919999999999995</v>
      </c>
      <c r="C155">
        <f>_xlfn.XLOOKUP(A155,'[1]Global_Spot Prices'!$B:$B,'[1]Global_Spot Prices'!$E:$E)</f>
        <v>50.4</v>
      </c>
      <c r="D155">
        <f>_xlfn.XLOOKUP(A155,'[1]Global_Spot Prices'!$B:$B,'[1]Global_Spot Prices'!$D:$D)</f>
        <v>48.86</v>
      </c>
      <c r="E155">
        <f>_xlfn.XLOOKUP(A155,'[1]Global_Spot Prices'!$B:$B,'[1]Global_Spot Prices'!$H:$H)</f>
        <v>49.67</v>
      </c>
      <c r="F155">
        <f>_xlfn.XLOOKUP(A155,'[1]Global_Spot Prices'!$B:$B,'[1]Global_Spot Prices'!$I:$I)</f>
        <v>66.319999999999993</v>
      </c>
      <c r="G155" cm="1">
        <f t="array" ref="G155">_xlfn.XLOOKUP(TEXT(A155, "mmm-yy"), TEXT([2]RUNS!$B$5:$B$208, "mmm-yy"), [2]RUNS!$D$5:$D$208, "Not Found")</f>
        <v>26780.067048242498</v>
      </c>
      <c r="H155" cm="1">
        <f t="array" ref="H155">SUMPRODUCT(
    --(TEXT('[3]Global Weekly Stock (EWSuez'!$B$4:$B$2000,"mmm-yy")=TEXT(A155,"mmm-yy")),
    '[3]Global Weekly Stock (EWSuez'!$E$4:$E$2000)
/
SUMPRODUCT(
    --(TEXT('[3]Global Weekly Stock (EWSuez'!$B$4:$B$2000,"mmm-yy")=TEXT(A155,"mmm-yy"))
)</f>
        <v>12117.5</v>
      </c>
      <c r="I155">
        <f>_xlfn.XLOOKUP(A155,[1]ForwardDeriv!$D:$D,[1]ForwardDeriv!$AJ:$AJ)</f>
        <v>1.6499999999999986</v>
      </c>
      <c r="J155" cm="1">
        <f t="array" ref="J155">_xlfn.XLOOKUP(TEXT(A155, "mmm-yy"), TEXT([2]GASOLINE!$B$5:$B$208, "mmm-yy"), [2]GASOLINE!$IR$5:$IR$208, "Not Found")</f>
        <v>30.082246141691797</v>
      </c>
      <c r="K155" cm="1">
        <f t="array" ref="K155">_xlfn.XLOOKUP(TEXT(A155, "mmm-yy"), TEXT([2]GASOLINE!$B$5:$B$208, "mmm-yy"), [2]GASOLINE!$IK$5:$IK$208, "Not Found")</f>
        <v>0</v>
      </c>
      <c r="L155">
        <f t="shared" si="2"/>
        <v>1</v>
      </c>
      <c r="M155" cm="1">
        <f t="array" ref="M155">_xlfn.XLOOKUP(TEXT(A155, "mmm-yy"), TEXT([2]GASOLINE!$B$5:$B$208, "mmm-yy"), [2]GASOLINE!$C$5:$C$208, "Not Found")</f>
        <v>6695.2553311998863</v>
      </c>
      <c r="N155" cm="1">
        <f t="array" ref="N155">_xlfn.XLOOKUP(TEXT(A155, "mmm-yy"), TEXT([2]RUNS!$B$5:$B$208, "mmm-yy"), [2]RUNS!$BM$5:$BM$208, "Not Found")</f>
        <v>0.79541130943271399</v>
      </c>
    </row>
    <row r="156" spans="1:14" x14ac:dyDescent="0.25">
      <c r="A156" s="1">
        <f>'[1]Global_Spot Prices'!$B1465</f>
        <v>42221</v>
      </c>
      <c r="B156">
        <f>_xlfn.XLOOKUP(A156,'[1]Global_Spot Prices'!$B:$B,'[1]Global_Spot Prices'!$BS:$BS)</f>
        <v>17.549999999999997</v>
      </c>
      <c r="C156">
        <f>_xlfn.XLOOKUP(A156,'[1]Global_Spot Prices'!$B:$B,'[1]Global_Spot Prices'!$E:$E)</f>
        <v>50.3</v>
      </c>
      <c r="D156">
        <f>_xlfn.XLOOKUP(A156,'[1]Global_Spot Prices'!$B:$B,'[1]Global_Spot Prices'!$D:$D)</f>
        <v>49.32</v>
      </c>
      <c r="E156">
        <f>_xlfn.XLOOKUP(A156,'[1]Global_Spot Prices'!$B:$B,'[1]Global_Spot Prices'!$H:$H)</f>
        <v>49.78</v>
      </c>
      <c r="F156">
        <f>_xlfn.XLOOKUP(A156,'[1]Global_Spot Prices'!$B:$B,'[1]Global_Spot Prices'!$I:$I)</f>
        <v>67.849999999999994</v>
      </c>
      <c r="G156" cm="1">
        <f t="array" ref="G156">_xlfn.XLOOKUP(TEXT(A156, "mmm-yy"), TEXT([2]RUNS!$B$5:$B$208, "mmm-yy"), [2]RUNS!$D$5:$D$208, "Not Found")</f>
        <v>26780.067048242498</v>
      </c>
      <c r="H156" cm="1">
        <f t="array" ref="H156">SUMPRODUCT(
    --(TEXT('[3]Global Weekly Stock (EWSuez'!$B$4:$B$2000,"mmm-yy")=TEXT(A156,"mmm-yy")),
    '[3]Global Weekly Stock (EWSuez'!$E$4:$E$2000)
/
SUMPRODUCT(
    --(TEXT('[3]Global Weekly Stock (EWSuez'!$B$4:$B$2000,"mmm-yy")=TEXT(A156,"mmm-yy"))
)</f>
        <v>12117.5</v>
      </c>
      <c r="I156">
        <f>_xlfn.XLOOKUP(A156,[1]ForwardDeriv!$D:$D,[1]ForwardDeriv!$AJ:$AJ)</f>
        <v>1.8999999999999986</v>
      </c>
      <c r="J156" cm="1">
        <f t="array" ref="J156">_xlfn.XLOOKUP(TEXT(A156, "mmm-yy"), TEXT([2]GASOLINE!$B$5:$B$208, "mmm-yy"), [2]GASOLINE!$IR$5:$IR$208, "Not Found")</f>
        <v>30.082246141691797</v>
      </c>
      <c r="K156" cm="1">
        <f t="array" ref="K156">_xlfn.XLOOKUP(TEXT(A156, "mmm-yy"), TEXT([2]GASOLINE!$B$5:$B$208, "mmm-yy"), [2]GASOLINE!$IK$5:$IK$208, "Not Found")</f>
        <v>0</v>
      </c>
      <c r="L156">
        <f t="shared" si="2"/>
        <v>1</v>
      </c>
      <c r="M156" cm="1">
        <f t="array" ref="M156">_xlfn.XLOOKUP(TEXT(A156, "mmm-yy"), TEXT([2]GASOLINE!$B$5:$B$208, "mmm-yy"), [2]GASOLINE!$C$5:$C$208, "Not Found")</f>
        <v>6695.2553311998863</v>
      </c>
      <c r="N156" cm="1">
        <f t="array" ref="N156">_xlfn.XLOOKUP(TEXT(A156, "mmm-yy"), TEXT([2]RUNS!$B$5:$B$208, "mmm-yy"), [2]RUNS!$BM$5:$BM$208, "Not Found")</f>
        <v>0.79541130943271399</v>
      </c>
    </row>
    <row r="157" spans="1:14" x14ac:dyDescent="0.25">
      <c r="A157" s="1">
        <f>'[1]Global_Spot Prices'!$B1466</f>
        <v>42222</v>
      </c>
      <c r="B157">
        <f>_xlfn.XLOOKUP(A157,'[1]Global_Spot Prices'!$B:$B,'[1]Global_Spot Prices'!$BS:$BS)</f>
        <v>17.79</v>
      </c>
      <c r="C157">
        <f>_xlfn.XLOOKUP(A157,'[1]Global_Spot Prices'!$B:$B,'[1]Global_Spot Prices'!$E:$E)</f>
        <v>49.6</v>
      </c>
      <c r="D157">
        <f>_xlfn.XLOOKUP(A157,'[1]Global_Spot Prices'!$B:$B,'[1]Global_Spot Prices'!$D:$D)</f>
        <v>47.83</v>
      </c>
      <c r="E157">
        <f>_xlfn.XLOOKUP(A157,'[1]Global_Spot Prices'!$B:$B,'[1]Global_Spot Prices'!$H:$H)</f>
        <v>47.99</v>
      </c>
      <c r="F157">
        <f>_xlfn.XLOOKUP(A157,'[1]Global_Spot Prices'!$B:$B,'[1]Global_Spot Prices'!$I:$I)</f>
        <v>67.39</v>
      </c>
      <c r="G157" cm="1">
        <f t="array" ref="G157">_xlfn.XLOOKUP(TEXT(A157, "mmm-yy"), TEXT([2]RUNS!$B$5:$B$208, "mmm-yy"), [2]RUNS!$D$5:$D$208, "Not Found")</f>
        <v>26780.067048242498</v>
      </c>
      <c r="H157" cm="1">
        <f t="array" ref="H157">SUMPRODUCT(
    --(TEXT('[3]Global Weekly Stock (EWSuez'!$B$4:$B$2000,"mmm-yy")=TEXT(A157,"mmm-yy")),
    '[3]Global Weekly Stock (EWSuez'!$E$4:$E$2000)
/
SUMPRODUCT(
    --(TEXT('[3]Global Weekly Stock (EWSuez'!$B$4:$B$2000,"mmm-yy")=TEXT(A157,"mmm-yy"))
)</f>
        <v>12117.5</v>
      </c>
      <c r="I157">
        <f>_xlfn.XLOOKUP(A157,[1]ForwardDeriv!$D:$D,[1]ForwardDeriv!$AJ:$AJ)</f>
        <v>1.8500000000000014</v>
      </c>
      <c r="J157" cm="1">
        <f t="array" ref="J157">_xlfn.XLOOKUP(TEXT(A157, "mmm-yy"), TEXT([2]GASOLINE!$B$5:$B$208, "mmm-yy"), [2]GASOLINE!$IR$5:$IR$208, "Not Found")</f>
        <v>30.082246141691797</v>
      </c>
      <c r="K157" cm="1">
        <f t="array" ref="K157">_xlfn.XLOOKUP(TEXT(A157, "mmm-yy"), TEXT([2]GASOLINE!$B$5:$B$208, "mmm-yy"), [2]GASOLINE!$IK$5:$IK$208, "Not Found")</f>
        <v>0</v>
      </c>
      <c r="L157">
        <f t="shared" si="2"/>
        <v>1</v>
      </c>
      <c r="M157" cm="1">
        <f t="array" ref="M157">_xlfn.XLOOKUP(TEXT(A157, "mmm-yy"), TEXT([2]GASOLINE!$B$5:$B$208, "mmm-yy"), [2]GASOLINE!$C$5:$C$208, "Not Found")</f>
        <v>6695.2553311998863</v>
      </c>
      <c r="N157" cm="1">
        <f t="array" ref="N157">_xlfn.XLOOKUP(TEXT(A157, "mmm-yy"), TEXT([2]RUNS!$B$5:$B$208, "mmm-yy"), [2]RUNS!$BM$5:$BM$208, "Not Found")</f>
        <v>0.79541130943271399</v>
      </c>
    </row>
    <row r="158" spans="1:14" x14ac:dyDescent="0.25">
      <c r="A158" s="1">
        <f>'[1]Global_Spot Prices'!$B1467</f>
        <v>42223</v>
      </c>
      <c r="B158" t="e">
        <f>_xlfn.XLOOKUP(A158,'[1]Global_Spot Prices'!$B:$B,'[1]Global_Spot Prices'!$BS:$BS)</f>
        <v>#N/A</v>
      </c>
      <c r="C158" t="str">
        <f>_xlfn.XLOOKUP(A158,'[1]Global_Spot Prices'!$B:$B,'[1]Global_Spot Prices'!$E:$E)</f>
        <v/>
      </c>
      <c r="D158">
        <f>_xlfn.XLOOKUP(A158,'[1]Global_Spot Prices'!$B:$B,'[1]Global_Spot Prices'!$D:$D)</f>
        <v>47.685000000000002</v>
      </c>
      <c r="E158">
        <f>_xlfn.XLOOKUP(A158,'[1]Global_Spot Prices'!$B:$B,'[1]Global_Spot Prices'!$H:$H)</f>
        <v>0</v>
      </c>
      <c r="F158">
        <f>_xlfn.XLOOKUP(A158,'[1]Global_Spot Prices'!$B:$B,'[1]Global_Spot Prices'!$I:$I)</f>
        <v>0</v>
      </c>
      <c r="G158" cm="1">
        <f t="array" ref="G158">_xlfn.XLOOKUP(TEXT(A158, "mmm-yy"), TEXT([2]RUNS!$B$5:$B$208, "mmm-yy"), [2]RUNS!$D$5:$D$208, "Not Found")</f>
        <v>26780.067048242498</v>
      </c>
      <c r="H158" cm="1">
        <f t="array" ref="H158">SUMPRODUCT(
    --(TEXT('[3]Global Weekly Stock (EWSuez'!$B$4:$B$2000,"mmm-yy")=TEXT(A158,"mmm-yy")),
    '[3]Global Weekly Stock (EWSuez'!$E$4:$E$2000)
/
SUMPRODUCT(
    --(TEXT('[3]Global Weekly Stock (EWSuez'!$B$4:$B$2000,"mmm-yy")=TEXT(A158,"mmm-yy"))
)</f>
        <v>12117.5</v>
      </c>
      <c r="I158">
        <f>_xlfn.XLOOKUP(A158,[1]ForwardDeriv!$D:$D,[1]ForwardDeriv!$AJ:$AJ)</f>
        <v>1.75</v>
      </c>
      <c r="J158" cm="1">
        <f t="array" ref="J158">_xlfn.XLOOKUP(TEXT(A158, "mmm-yy"), TEXT([2]GASOLINE!$B$5:$B$208, "mmm-yy"), [2]GASOLINE!$IR$5:$IR$208, "Not Found")</f>
        <v>30.082246141691797</v>
      </c>
      <c r="K158" cm="1">
        <f t="array" ref="K158">_xlfn.XLOOKUP(TEXT(A158, "mmm-yy"), TEXT([2]GASOLINE!$B$5:$B$208, "mmm-yy"), [2]GASOLINE!$IK$5:$IK$208, "Not Found")</f>
        <v>0</v>
      </c>
      <c r="L158">
        <f t="shared" si="2"/>
        <v>1</v>
      </c>
      <c r="M158" cm="1">
        <f t="array" ref="M158">_xlfn.XLOOKUP(TEXT(A158, "mmm-yy"), TEXT([2]GASOLINE!$B$5:$B$208, "mmm-yy"), [2]GASOLINE!$C$5:$C$208, "Not Found")</f>
        <v>6695.2553311998863</v>
      </c>
      <c r="N158" cm="1">
        <f t="array" ref="N158">_xlfn.XLOOKUP(TEXT(A158, "mmm-yy"), TEXT([2]RUNS!$B$5:$B$208, "mmm-yy"), [2]RUNS!$BM$5:$BM$208, "Not Found")</f>
        <v>0.79541130943271399</v>
      </c>
    </row>
    <row r="159" spans="1:14" x14ac:dyDescent="0.25">
      <c r="A159" s="1">
        <f>'[1]Global_Spot Prices'!$B1468</f>
        <v>42226</v>
      </c>
      <c r="B159" t="e">
        <f>_xlfn.XLOOKUP(A159,'[1]Global_Spot Prices'!$B:$B,'[1]Global_Spot Prices'!$BS:$BS)</f>
        <v>#N/A</v>
      </c>
      <c r="C159" t="str">
        <f>_xlfn.XLOOKUP(A159,'[1]Global_Spot Prices'!$B:$B,'[1]Global_Spot Prices'!$E:$E)</f>
        <v/>
      </c>
      <c r="D159">
        <f>_xlfn.XLOOKUP(A159,'[1]Global_Spot Prices'!$B:$B,'[1]Global_Spot Prices'!$D:$D)</f>
        <v>48.475000000000001</v>
      </c>
      <c r="E159">
        <f>_xlfn.XLOOKUP(A159,'[1]Global_Spot Prices'!$B:$B,'[1]Global_Spot Prices'!$H:$H)</f>
        <v>0</v>
      </c>
      <c r="F159">
        <f>_xlfn.XLOOKUP(A159,'[1]Global_Spot Prices'!$B:$B,'[1]Global_Spot Prices'!$I:$I)</f>
        <v>0</v>
      </c>
      <c r="G159" cm="1">
        <f t="array" ref="G159">_xlfn.XLOOKUP(TEXT(A159, "mmm-yy"), TEXT([2]RUNS!$B$5:$B$208, "mmm-yy"), [2]RUNS!$D$5:$D$208, "Not Found")</f>
        <v>26780.067048242498</v>
      </c>
      <c r="H159" cm="1">
        <f t="array" ref="H159">SUMPRODUCT(
    --(TEXT('[3]Global Weekly Stock (EWSuez'!$B$4:$B$2000,"mmm-yy")=TEXT(A159,"mmm-yy")),
    '[3]Global Weekly Stock (EWSuez'!$E$4:$E$2000)
/
SUMPRODUCT(
    --(TEXT('[3]Global Weekly Stock (EWSuez'!$B$4:$B$2000,"mmm-yy")=TEXT(A159,"mmm-yy"))
)</f>
        <v>12117.5</v>
      </c>
      <c r="I159">
        <f>_xlfn.XLOOKUP(A159,[1]ForwardDeriv!$D:$D,[1]ForwardDeriv!$AJ:$AJ)</f>
        <v>1.75</v>
      </c>
      <c r="J159" cm="1">
        <f t="array" ref="J159">_xlfn.XLOOKUP(TEXT(A159, "mmm-yy"), TEXT([2]GASOLINE!$B$5:$B$208, "mmm-yy"), [2]GASOLINE!$IR$5:$IR$208, "Not Found")</f>
        <v>30.082246141691797</v>
      </c>
      <c r="K159" cm="1">
        <f t="array" ref="K159">_xlfn.XLOOKUP(TEXT(A159, "mmm-yy"), TEXT([2]GASOLINE!$B$5:$B$208, "mmm-yy"), [2]GASOLINE!$IK$5:$IK$208, "Not Found")</f>
        <v>0</v>
      </c>
      <c r="L159">
        <f t="shared" si="2"/>
        <v>1</v>
      </c>
      <c r="M159" cm="1">
        <f t="array" ref="M159">_xlfn.XLOOKUP(TEXT(A159, "mmm-yy"), TEXT([2]GASOLINE!$B$5:$B$208, "mmm-yy"), [2]GASOLINE!$C$5:$C$208, "Not Found")</f>
        <v>6695.2553311998863</v>
      </c>
      <c r="N159" cm="1">
        <f t="array" ref="N159">_xlfn.XLOOKUP(TEXT(A159, "mmm-yy"), TEXT([2]RUNS!$B$5:$B$208, "mmm-yy"), [2]RUNS!$BM$5:$BM$208, "Not Found")</f>
        <v>0.79541130943271399</v>
      </c>
    </row>
    <row r="160" spans="1:14" x14ac:dyDescent="0.25">
      <c r="A160" s="1">
        <f>'[1]Global_Spot Prices'!$B1469</f>
        <v>42227</v>
      </c>
      <c r="B160">
        <f>_xlfn.XLOOKUP(A160,'[1]Global_Spot Prices'!$B:$B,'[1]Global_Spot Prices'!$BS:$BS)</f>
        <v>16.189999999999998</v>
      </c>
      <c r="C160">
        <f>_xlfn.XLOOKUP(A160,'[1]Global_Spot Prices'!$B:$B,'[1]Global_Spot Prices'!$E:$E)</f>
        <v>50.67</v>
      </c>
      <c r="D160">
        <f>_xlfn.XLOOKUP(A160,'[1]Global_Spot Prices'!$B:$B,'[1]Global_Spot Prices'!$D:$D)</f>
        <v>47.524999999999999</v>
      </c>
      <c r="E160">
        <f>_xlfn.XLOOKUP(A160,'[1]Global_Spot Prices'!$B:$B,'[1]Global_Spot Prices'!$H:$H)</f>
        <v>49.11</v>
      </c>
      <c r="F160">
        <f>_xlfn.XLOOKUP(A160,'[1]Global_Spot Prices'!$B:$B,'[1]Global_Spot Prices'!$I:$I)</f>
        <v>66.86</v>
      </c>
      <c r="G160" cm="1">
        <f t="array" ref="G160">_xlfn.XLOOKUP(TEXT(A160, "mmm-yy"), TEXT([2]RUNS!$B$5:$B$208, "mmm-yy"), [2]RUNS!$D$5:$D$208, "Not Found")</f>
        <v>26780.067048242498</v>
      </c>
      <c r="H160" cm="1">
        <f t="array" ref="H160">SUMPRODUCT(
    --(TEXT('[3]Global Weekly Stock (EWSuez'!$B$4:$B$2000,"mmm-yy")=TEXT(A160,"mmm-yy")),
    '[3]Global Weekly Stock (EWSuez'!$E$4:$E$2000)
/
SUMPRODUCT(
    --(TEXT('[3]Global Weekly Stock (EWSuez'!$B$4:$B$2000,"mmm-yy")=TEXT(A160,"mmm-yy"))
)</f>
        <v>12117.5</v>
      </c>
      <c r="I160">
        <f>_xlfn.XLOOKUP(A160,[1]ForwardDeriv!$D:$D,[1]ForwardDeriv!$AJ:$AJ)</f>
        <v>1.75</v>
      </c>
      <c r="J160" cm="1">
        <f t="array" ref="J160">_xlfn.XLOOKUP(TEXT(A160, "mmm-yy"), TEXT([2]GASOLINE!$B$5:$B$208, "mmm-yy"), [2]GASOLINE!$IR$5:$IR$208, "Not Found")</f>
        <v>30.082246141691797</v>
      </c>
      <c r="K160" cm="1">
        <f t="array" ref="K160">_xlfn.XLOOKUP(TEXT(A160, "mmm-yy"), TEXT([2]GASOLINE!$B$5:$B$208, "mmm-yy"), [2]GASOLINE!$IK$5:$IK$208, "Not Found")</f>
        <v>0</v>
      </c>
      <c r="L160">
        <f t="shared" si="2"/>
        <v>1</v>
      </c>
      <c r="M160" cm="1">
        <f t="array" ref="M160">_xlfn.XLOOKUP(TEXT(A160, "mmm-yy"), TEXT([2]GASOLINE!$B$5:$B$208, "mmm-yy"), [2]GASOLINE!$C$5:$C$208, "Not Found")</f>
        <v>6695.2553311998863</v>
      </c>
      <c r="N160" cm="1">
        <f t="array" ref="N160">_xlfn.XLOOKUP(TEXT(A160, "mmm-yy"), TEXT([2]RUNS!$B$5:$B$208, "mmm-yy"), [2]RUNS!$BM$5:$BM$208, "Not Found")</f>
        <v>0.79541130943271399</v>
      </c>
    </row>
    <row r="161" spans="1:14" x14ac:dyDescent="0.25">
      <c r="A161" s="1">
        <f>'[1]Global_Spot Prices'!$B1470</f>
        <v>42228</v>
      </c>
      <c r="B161">
        <f>_xlfn.XLOOKUP(A161,'[1]Global_Spot Prices'!$B:$B,'[1]Global_Spot Prices'!$BS:$BS)</f>
        <v>15.969999999999999</v>
      </c>
      <c r="C161">
        <f>_xlfn.XLOOKUP(A161,'[1]Global_Spot Prices'!$B:$B,'[1]Global_Spot Prices'!$E:$E)</f>
        <v>49.5</v>
      </c>
      <c r="D161">
        <f>_xlfn.XLOOKUP(A161,'[1]Global_Spot Prices'!$B:$B,'[1]Global_Spot Prices'!$D:$D)</f>
        <v>48.24</v>
      </c>
      <c r="E161">
        <f>_xlfn.XLOOKUP(A161,'[1]Global_Spot Prices'!$B:$B,'[1]Global_Spot Prices'!$H:$H)</f>
        <v>48.2</v>
      </c>
      <c r="F161">
        <f>_xlfn.XLOOKUP(A161,'[1]Global_Spot Prices'!$B:$B,'[1]Global_Spot Prices'!$I:$I)</f>
        <v>65.47</v>
      </c>
      <c r="G161" cm="1">
        <f t="array" ref="G161">_xlfn.XLOOKUP(TEXT(A161, "mmm-yy"), TEXT([2]RUNS!$B$5:$B$208, "mmm-yy"), [2]RUNS!$D$5:$D$208, "Not Found")</f>
        <v>26780.067048242498</v>
      </c>
      <c r="H161" cm="1">
        <f t="array" ref="H161">SUMPRODUCT(
    --(TEXT('[3]Global Weekly Stock (EWSuez'!$B$4:$B$2000,"mmm-yy")=TEXT(A161,"mmm-yy")),
    '[3]Global Weekly Stock (EWSuez'!$E$4:$E$2000)
/
SUMPRODUCT(
    --(TEXT('[3]Global Weekly Stock (EWSuez'!$B$4:$B$2000,"mmm-yy")=TEXT(A161,"mmm-yy"))
)</f>
        <v>12117.5</v>
      </c>
      <c r="I161">
        <f>_xlfn.XLOOKUP(A161,[1]ForwardDeriv!$D:$D,[1]ForwardDeriv!$AJ:$AJ)</f>
        <v>1.7000000000000028</v>
      </c>
      <c r="J161" cm="1">
        <f t="array" ref="J161">_xlfn.XLOOKUP(TEXT(A161, "mmm-yy"), TEXT([2]GASOLINE!$B$5:$B$208, "mmm-yy"), [2]GASOLINE!$IR$5:$IR$208, "Not Found")</f>
        <v>30.082246141691797</v>
      </c>
      <c r="K161" cm="1">
        <f t="array" ref="K161">_xlfn.XLOOKUP(TEXT(A161, "mmm-yy"), TEXT([2]GASOLINE!$B$5:$B$208, "mmm-yy"), [2]GASOLINE!$IK$5:$IK$208, "Not Found")</f>
        <v>0</v>
      </c>
      <c r="L161">
        <f t="shared" si="2"/>
        <v>1</v>
      </c>
      <c r="M161" cm="1">
        <f t="array" ref="M161">_xlfn.XLOOKUP(TEXT(A161, "mmm-yy"), TEXT([2]GASOLINE!$B$5:$B$208, "mmm-yy"), [2]GASOLINE!$C$5:$C$208, "Not Found")</f>
        <v>6695.2553311998863</v>
      </c>
      <c r="N161" cm="1">
        <f t="array" ref="N161">_xlfn.XLOOKUP(TEXT(A161, "mmm-yy"), TEXT([2]RUNS!$B$5:$B$208, "mmm-yy"), [2]RUNS!$BM$5:$BM$208, "Not Found")</f>
        <v>0.79541130943271399</v>
      </c>
    </row>
    <row r="162" spans="1:14" x14ac:dyDescent="0.25">
      <c r="A162" s="1">
        <f>'[1]Global_Spot Prices'!$B1471</f>
        <v>42229</v>
      </c>
      <c r="B162">
        <f>_xlfn.XLOOKUP(A162,'[1]Global_Spot Prices'!$B:$B,'[1]Global_Spot Prices'!$BS:$BS)</f>
        <v>16.160000000000004</v>
      </c>
      <c r="C162">
        <f>_xlfn.XLOOKUP(A162,'[1]Global_Spot Prices'!$B:$B,'[1]Global_Spot Prices'!$E:$E)</f>
        <v>50.1</v>
      </c>
      <c r="D162">
        <f>_xlfn.XLOOKUP(A162,'[1]Global_Spot Prices'!$B:$B,'[1]Global_Spot Prices'!$D:$D)</f>
        <v>48.015000000000001</v>
      </c>
      <c r="E162">
        <f>_xlfn.XLOOKUP(A162,'[1]Global_Spot Prices'!$B:$B,'[1]Global_Spot Prices'!$H:$H)</f>
        <v>48.89</v>
      </c>
      <c r="F162">
        <f>_xlfn.XLOOKUP(A162,'[1]Global_Spot Prices'!$B:$B,'[1]Global_Spot Prices'!$I:$I)</f>
        <v>66.260000000000005</v>
      </c>
      <c r="G162" cm="1">
        <f t="array" ref="G162">_xlfn.XLOOKUP(TEXT(A162, "mmm-yy"), TEXT([2]RUNS!$B$5:$B$208, "mmm-yy"), [2]RUNS!$D$5:$D$208, "Not Found")</f>
        <v>26780.067048242498</v>
      </c>
      <c r="H162" cm="1">
        <f t="array" ref="H162">SUMPRODUCT(
    --(TEXT('[3]Global Weekly Stock (EWSuez'!$B$4:$B$2000,"mmm-yy")=TEXT(A162,"mmm-yy")),
    '[3]Global Weekly Stock (EWSuez'!$E$4:$E$2000)
/
SUMPRODUCT(
    --(TEXT('[3]Global Weekly Stock (EWSuez'!$B$4:$B$2000,"mmm-yy")=TEXT(A162,"mmm-yy"))
)</f>
        <v>12117.5</v>
      </c>
      <c r="I162">
        <f>_xlfn.XLOOKUP(A162,[1]ForwardDeriv!$D:$D,[1]ForwardDeriv!$AJ:$AJ)</f>
        <v>1.6000000000000085</v>
      </c>
      <c r="J162" cm="1">
        <f t="array" ref="J162">_xlfn.XLOOKUP(TEXT(A162, "mmm-yy"), TEXT([2]GASOLINE!$B$5:$B$208, "mmm-yy"), [2]GASOLINE!$IR$5:$IR$208, "Not Found")</f>
        <v>30.082246141691797</v>
      </c>
      <c r="K162" cm="1">
        <f t="array" ref="K162">_xlfn.XLOOKUP(TEXT(A162, "mmm-yy"), TEXT([2]GASOLINE!$B$5:$B$208, "mmm-yy"), [2]GASOLINE!$IK$5:$IK$208, "Not Found")</f>
        <v>0</v>
      </c>
      <c r="L162">
        <f t="shared" si="2"/>
        <v>1</v>
      </c>
      <c r="M162" cm="1">
        <f t="array" ref="M162">_xlfn.XLOOKUP(TEXT(A162, "mmm-yy"), TEXT([2]GASOLINE!$B$5:$B$208, "mmm-yy"), [2]GASOLINE!$C$5:$C$208, "Not Found")</f>
        <v>6695.2553311998863</v>
      </c>
      <c r="N162" cm="1">
        <f t="array" ref="N162">_xlfn.XLOOKUP(TEXT(A162, "mmm-yy"), TEXT([2]RUNS!$B$5:$B$208, "mmm-yy"), [2]RUNS!$BM$5:$BM$208, "Not Found")</f>
        <v>0.79541130943271399</v>
      </c>
    </row>
    <row r="163" spans="1:14" x14ac:dyDescent="0.25">
      <c r="A163" s="1">
        <f>'[1]Global_Spot Prices'!$B1472</f>
        <v>42230</v>
      </c>
      <c r="B163">
        <f>_xlfn.XLOOKUP(A163,'[1]Global_Spot Prices'!$B:$B,'[1]Global_Spot Prices'!$BS:$BS)</f>
        <v>15.849999999999994</v>
      </c>
      <c r="C163">
        <f>_xlfn.XLOOKUP(A163,'[1]Global_Spot Prices'!$B:$B,'[1]Global_Spot Prices'!$E:$E)</f>
        <v>49.25</v>
      </c>
      <c r="D163">
        <f>_xlfn.XLOOKUP(A163,'[1]Global_Spot Prices'!$B:$B,'[1]Global_Spot Prices'!$D:$D)</f>
        <v>47.79</v>
      </c>
      <c r="E163">
        <f>_xlfn.XLOOKUP(A163,'[1]Global_Spot Prices'!$B:$B,'[1]Global_Spot Prices'!$H:$H)</f>
        <v>47.53</v>
      </c>
      <c r="F163">
        <f>_xlfn.XLOOKUP(A163,'[1]Global_Spot Prices'!$B:$B,'[1]Global_Spot Prices'!$I:$I)</f>
        <v>65.099999999999994</v>
      </c>
      <c r="G163" cm="1">
        <f t="array" ref="G163">_xlfn.XLOOKUP(TEXT(A163, "mmm-yy"), TEXT([2]RUNS!$B$5:$B$208, "mmm-yy"), [2]RUNS!$D$5:$D$208, "Not Found")</f>
        <v>26780.067048242498</v>
      </c>
      <c r="H163" cm="1">
        <f t="array" ref="H163">SUMPRODUCT(
    --(TEXT('[3]Global Weekly Stock (EWSuez'!$B$4:$B$2000,"mmm-yy")=TEXT(A163,"mmm-yy")),
    '[3]Global Weekly Stock (EWSuez'!$E$4:$E$2000)
/
SUMPRODUCT(
    --(TEXT('[3]Global Weekly Stock (EWSuez'!$B$4:$B$2000,"mmm-yy")=TEXT(A163,"mmm-yy"))
)</f>
        <v>12117.5</v>
      </c>
      <c r="I163">
        <f>_xlfn.XLOOKUP(A163,[1]ForwardDeriv!$D:$D,[1]ForwardDeriv!$AJ:$AJ)</f>
        <v>1.5999999999999943</v>
      </c>
      <c r="J163" cm="1">
        <f t="array" ref="J163">_xlfn.XLOOKUP(TEXT(A163, "mmm-yy"), TEXT([2]GASOLINE!$B$5:$B$208, "mmm-yy"), [2]GASOLINE!$IR$5:$IR$208, "Not Found")</f>
        <v>30.082246141691797</v>
      </c>
      <c r="K163" cm="1">
        <f t="array" ref="K163">_xlfn.XLOOKUP(TEXT(A163, "mmm-yy"), TEXT([2]GASOLINE!$B$5:$B$208, "mmm-yy"), [2]GASOLINE!$IK$5:$IK$208, "Not Found")</f>
        <v>0</v>
      </c>
      <c r="L163">
        <f t="shared" si="2"/>
        <v>1</v>
      </c>
      <c r="M163" cm="1">
        <f t="array" ref="M163">_xlfn.XLOOKUP(TEXT(A163, "mmm-yy"), TEXT([2]GASOLINE!$B$5:$B$208, "mmm-yy"), [2]GASOLINE!$C$5:$C$208, "Not Found")</f>
        <v>6695.2553311998863</v>
      </c>
      <c r="N163" cm="1">
        <f t="array" ref="N163">_xlfn.XLOOKUP(TEXT(A163, "mmm-yy"), TEXT([2]RUNS!$B$5:$B$208, "mmm-yy"), [2]RUNS!$BM$5:$BM$208, "Not Found")</f>
        <v>0.79541130943271399</v>
      </c>
    </row>
    <row r="164" spans="1:14" x14ac:dyDescent="0.25">
      <c r="A164" s="1">
        <f>'[1]Global_Spot Prices'!$B1473</f>
        <v>42233</v>
      </c>
      <c r="B164">
        <f>_xlfn.XLOOKUP(A164,'[1]Global_Spot Prices'!$B:$B,'[1]Global_Spot Prices'!$BS:$BS)</f>
        <v>14.950000000000003</v>
      </c>
      <c r="C164">
        <f>_xlfn.XLOOKUP(A164,'[1]Global_Spot Prices'!$B:$B,'[1]Global_Spot Prices'!$E:$E)</f>
        <v>48.29</v>
      </c>
      <c r="D164">
        <f>_xlfn.XLOOKUP(A164,'[1]Global_Spot Prices'!$B:$B,'[1]Global_Spot Prices'!$D:$D)</f>
        <v>47.844999999999999</v>
      </c>
      <c r="E164">
        <f>_xlfn.XLOOKUP(A164,'[1]Global_Spot Prices'!$B:$B,'[1]Global_Spot Prices'!$H:$H)</f>
        <v>46.7</v>
      </c>
      <c r="F164">
        <f>_xlfn.XLOOKUP(A164,'[1]Global_Spot Prices'!$B:$B,'[1]Global_Spot Prices'!$I:$I)</f>
        <v>63.24</v>
      </c>
      <c r="G164" cm="1">
        <f t="array" ref="G164">_xlfn.XLOOKUP(TEXT(A164, "mmm-yy"), TEXT([2]RUNS!$B$5:$B$208, "mmm-yy"), [2]RUNS!$D$5:$D$208, "Not Found")</f>
        <v>26780.067048242498</v>
      </c>
      <c r="H164" cm="1">
        <f t="array" ref="H164">SUMPRODUCT(
    --(TEXT('[3]Global Weekly Stock (EWSuez'!$B$4:$B$2000,"mmm-yy")=TEXT(A164,"mmm-yy")),
    '[3]Global Weekly Stock (EWSuez'!$E$4:$E$2000)
/
SUMPRODUCT(
    --(TEXT('[3]Global Weekly Stock (EWSuez'!$B$4:$B$2000,"mmm-yy")=TEXT(A164,"mmm-yy"))
)</f>
        <v>12117.5</v>
      </c>
      <c r="I164">
        <f>_xlfn.XLOOKUP(A164,[1]ForwardDeriv!$D:$D,[1]ForwardDeriv!$AJ:$AJ)</f>
        <v>1.3999999999999986</v>
      </c>
      <c r="J164" cm="1">
        <f t="array" ref="J164">_xlfn.XLOOKUP(TEXT(A164, "mmm-yy"), TEXT([2]GASOLINE!$B$5:$B$208, "mmm-yy"), [2]GASOLINE!$IR$5:$IR$208, "Not Found")</f>
        <v>30.082246141691797</v>
      </c>
      <c r="K164" cm="1">
        <f t="array" ref="K164">_xlfn.XLOOKUP(TEXT(A164, "mmm-yy"), TEXT([2]GASOLINE!$B$5:$B$208, "mmm-yy"), [2]GASOLINE!$IK$5:$IK$208, "Not Found")</f>
        <v>0</v>
      </c>
      <c r="L164">
        <f t="shared" si="2"/>
        <v>1</v>
      </c>
      <c r="M164" cm="1">
        <f t="array" ref="M164">_xlfn.XLOOKUP(TEXT(A164, "mmm-yy"), TEXT([2]GASOLINE!$B$5:$B$208, "mmm-yy"), [2]GASOLINE!$C$5:$C$208, "Not Found")</f>
        <v>6695.2553311998863</v>
      </c>
      <c r="N164" cm="1">
        <f t="array" ref="N164">_xlfn.XLOOKUP(TEXT(A164, "mmm-yy"), TEXT([2]RUNS!$B$5:$B$208, "mmm-yy"), [2]RUNS!$BM$5:$BM$208, "Not Found")</f>
        <v>0.79541130943271399</v>
      </c>
    </row>
    <row r="165" spans="1:14" x14ac:dyDescent="0.25">
      <c r="A165" s="1">
        <f>'[1]Global_Spot Prices'!$B1474</f>
        <v>42234</v>
      </c>
      <c r="B165">
        <f>_xlfn.XLOOKUP(A165,'[1]Global_Spot Prices'!$B:$B,'[1]Global_Spot Prices'!$BS:$BS)</f>
        <v>14.509999999999998</v>
      </c>
      <c r="C165">
        <f>_xlfn.XLOOKUP(A165,'[1]Global_Spot Prices'!$B:$B,'[1]Global_Spot Prices'!$E:$E)</f>
        <v>48.25</v>
      </c>
      <c r="D165">
        <f>_xlfn.XLOOKUP(A165,'[1]Global_Spot Prices'!$B:$B,'[1]Global_Spot Prices'!$D:$D)</f>
        <v>47.274999999999999</v>
      </c>
      <c r="E165">
        <f>_xlfn.XLOOKUP(A165,'[1]Global_Spot Prices'!$B:$B,'[1]Global_Spot Prices'!$H:$H)</f>
        <v>46.42</v>
      </c>
      <c r="F165">
        <f>_xlfn.XLOOKUP(A165,'[1]Global_Spot Prices'!$B:$B,'[1]Global_Spot Prices'!$I:$I)</f>
        <v>62.76</v>
      </c>
      <c r="G165" cm="1">
        <f t="array" ref="G165">_xlfn.XLOOKUP(TEXT(A165, "mmm-yy"), TEXT([2]RUNS!$B$5:$B$208, "mmm-yy"), [2]RUNS!$D$5:$D$208, "Not Found")</f>
        <v>26780.067048242498</v>
      </c>
      <c r="H165" cm="1">
        <f t="array" ref="H165">SUMPRODUCT(
    --(TEXT('[3]Global Weekly Stock (EWSuez'!$B$4:$B$2000,"mmm-yy")=TEXT(A165,"mmm-yy")),
    '[3]Global Weekly Stock (EWSuez'!$E$4:$E$2000)
/
SUMPRODUCT(
    --(TEXT('[3]Global Weekly Stock (EWSuez'!$B$4:$B$2000,"mmm-yy")=TEXT(A165,"mmm-yy"))
)</f>
        <v>12117.5</v>
      </c>
      <c r="I165">
        <f>_xlfn.XLOOKUP(A165,[1]ForwardDeriv!$D:$D,[1]ForwardDeriv!$AJ:$AJ)</f>
        <v>1.2999999999999972</v>
      </c>
      <c r="J165" cm="1">
        <f t="array" ref="J165">_xlfn.XLOOKUP(TEXT(A165, "mmm-yy"), TEXT([2]GASOLINE!$B$5:$B$208, "mmm-yy"), [2]GASOLINE!$IR$5:$IR$208, "Not Found")</f>
        <v>30.082246141691797</v>
      </c>
      <c r="K165" cm="1">
        <f t="array" ref="K165">_xlfn.XLOOKUP(TEXT(A165, "mmm-yy"), TEXT([2]GASOLINE!$B$5:$B$208, "mmm-yy"), [2]GASOLINE!$IK$5:$IK$208, "Not Found")</f>
        <v>0</v>
      </c>
      <c r="L165">
        <f t="shared" si="2"/>
        <v>1</v>
      </c>
      <c r="M165" cm="1">
        <f t="array" ref="M165">_xlfn.XLOOKUP(TEXT(A165, "mmm-yy"), TEXT([2]GASOLINE!$B$5:$B$208, "mmm-yy"), [2]GASOLINE!$C$5:$C$208, "Not Found")</f>
        <v>6695.2553311998863</v>
      </c>
      <c r="N165" cm="1">
        <f t="array" ref="N165">_xlfn.XLOOKUP(TEXT(A165, "mmm-yy"), TEXT([2]RUNS!$B$5:$B$208, "mmm-yy"), [2]RUNS!$BM$5:$BM$208, "Not Found")</f>
        <v>0.79541130943271399</v>
      </c>
    </row>
    <row r="166" spans="1:14" x14ac:dyDescent="0.25">
      <c r="A166" s="1">
        <f>'[1]Global_Spot Prices'!$B1475</f>
        <v>42235</v>
      </c>
      <c r="B166">
        <f>_xlfn.XLOOKUP(A166,'[1]Global_Spot Prices'!$B:$B,'[1]Global_Spot Prices'!$BS:$BS)</f>
        <v>14.240000000000002</v>
      </c>
      <c r="C166">
        <f>_xlfn.XLOOKUP(A166,'[1]Global_Spot Prices'!$B:$B,'[1]Global_Spot Prices'!$E:$E)</f>
        <v>48.4</v>
      </c>
      <c r="D166">
        <f>_xlfn.XLOOKUP(A166,'[1]Global_Spot Prices'!$B:$B,'[1]Global_Spot Prices'!$D:$D)</f>
        <v>46.125</v>
      </c>
      <c r="E166">
        <f>_xlfn.XLOOKUP(A166,'[1]Global_Spot Prices'!$B:$B,'[1]Global_Spot Prices'!$H:$H)</f>
        <v>47.14</v>
      </c>
      <c r="F166">
        <f>_xlfn.XLOOKUP(A166,'[1]Global_Spot Prices'!$B:$B,'[1]Global_Spot Prices'!$I:$I)</f>
        <v>62.64</v>
      </c>
      <c r="G166" cm="1">
        <f t="array" ref="G166">_xlfn.XLOOKUP(TEXT(A166, "mmm-yy"), TEXT([2]RUNS!$B$5:$B$208, "mmm-yy"), [2]RUNS!$D$5:$D$208, "Not Found")</f>
        <v>26780.067048242498</v>
      </c>
      <c r="H166" cm="1">
        <f t="array" ref="H166">SUMPRODUCT(
    --(TEXT('[3]Global Weekly Stock (EWSuez'!$B$4:$B$2000,"mmm-yy")=TEXT(A166,"mmm-yy")),
    '[3]Global Weekly Stock (EWSuez'!$E$4:$E$2000)
/
SUMPRODUCT(
    --(TEXT('[3]Global Weekly Stock (EWSuez'!$B$4:$B$2000,"mmm-yy")=TEXT(A166,"mmm-yy"))
)</f>
        <v>12117.5</v>
      </c>
      <c r="I166">
        <f>_xlfn.XLOOKUP(A166,[1]ForwardDeriv!$D:$D,[1]ForwardDeriv!$AJ:$AJ)</f>
        <v>1.2000000000000028</v>
      </c>
      <c r="J166" cm="1">
        <f t="array" ref="J166">_xlfn.XLOOKUP(TEXT(A166, "mmm-yy"), TEXT([2]GASOLINE!$B$5:$B$208, "mmm-yy"), [2]GASOLINE!$IR$5:$IR$208, "Not Found")</f>
        <v>30.082246141691797</v>
      </c>
      <c r="K166" cm="1">
        <f t="array" ref="K166">_xlfn.XLOOKUP(TEXT(A166, "mmm-yy"), TEXT([2]GASOLINE!$B$5:$B$208, "mmm-yy"), [2]GASOLINE!$IK$5:$IK$208, "Not Found")</f>
        <v>0</v>
      </c>
      <c r="L166">
        <f t="shared" si="2"/>
        <v>1</v>
      </c>
      <c r="M166" cm="1">
        <f t="array" ref="M166">_xlfn.XLOOKUP(TEXT(A166, "mmm-yy"), TEXT([2]GASOLINE!$B$5:$B$208, "mmm-yy"), [2]GASOLINE!$C$5:$C$208, "Not Found")</f>
        <v>6695.2553311998863</v>
      </c>
      <c r="N166" cm="1">
        <f t="array" ref="N166">_xlfn.XLOOKUP(TEXT(A166, "mmm-yy"), TEXT([2]RUNS!$B$5:$B$208, "mmm-yy"), [2]RUNS!$BM$5:$BM$208, "Not Found")</f>
        <v>0.79541130943271399</v>
      </c>
    </row>
    <row r="167" spans="1:14" x14ac:dyDescent="0.25">
      <c r="A167" s="1">
        <f>'[1]Global_Spot Prices'!$B1476</f>
        <v>42236</v>
      </c>
      <c r="B167">
        <f>_xlfn.XLOOKUP(A167,'[1]Global_Spot Prices'!$B:$B,'[1]Global_Spot Prices'!$BS:$BS)</f>
        <v>13.100000000000001</v>
      </c>
      <c r="C167">
        <f>_xlfn.XLOOKUP(A167,'[1]Global_Spot Prices'!$B:$B,'[1]Global_Spot Prices'!$E:$E)</f>
        <v>46.6</v>
      </c>
      <c r="D167">
        <f>_xlfn.XLOOKUP(A167,'[1]Global_Spot Prices'!$B:$B,'[1]Global_Spot Prices'!$D:$D)</f>
        <v>45.74</v>
      </c>
      <c r="E167">
        <f>_xlfn.XLOOKUP(A167,'[1]Global_Spot Prices'!$B:$B,'[1]Global_Spot Prices'!$H:$H)</f>
        <v>45.19</v>
      </c>
      <c r="F167">
        <f>_xlfn.XLOOKUP(A167,'[1]Global_Spot Prices'!$B:$B,'[1]Global_Spot Prices'!$I:$I)</f>
        <v>59.7</v>
      </c>
      <c r="G167" cm="1">
        <f t="array" ref="G167">_xlfn.XLOOKUP(TEXT(A167, "mmm-yy"), TEXT([2]RUNS!$B$5:$B$208, "mmm-yy"), [2]RUNS!$D$5:$D$208, "Not Found")</f>
        <v>26780.067048242498</v>
      </c>
      <c r="H167" cm="1">
        <f t="array" ref="H167">SUMPRODUCT(
    --(TEXT('[3]Global Weekly Stock (EWSuez'!$B$4:$B$2000,"mmm-yy")=TEXT(A167,"mmm-yy")),
    '[3]Global Weekly Stock (EWSuez'!$E$4:$E$2000)
/
SUMPRODUCT(
    --(TEXT('[3]Global Weekly Stock (EWSuez'!$B$4:$B$2000,"mmm-yy")=TEXT(A167,"mmm-yy"))
)</f>
        <v>12117.5</v>
      </c>
      <c r="I167">
        <f>_xlfn.XLOOKUP(A167,[1]ForwardDeriv!$D:$D,[1]ForwardDeriv!$AJ:$AJ)</f>
        <v>0.95000000000000284</v>
      </c>
      <c r="J167" cm="1">
        <f t="array" ref="J167">_xlfn.XLOOKUP(TEXT(A167, "mmm-yy"), TEXT([2]GASOLINE!$B$5:$B$208, "mmm-yy"), [2]GASOLINE!$IR$5:$IR$208, "Not Found")</f>
        <v>30.082246141691797</v>
      </c>
      <c r="K167" cm="1">
        <f t="array" ref="K167">_xlfn.XLOOKUP(TEXT(A167, "mmm-yy"), TEXT([2]GASOLINE!$B$5:$B$208, "mmm-yy"), [2]GASOLINE!$IK$5:$IK$208, "Not Found")</f>
        <v>0</v>
      </c>
      <c r="L167">
        <f t="shared" si="2"/>
        <v>1</v>
      </c>
      <c r="M167" cm="1">
        <f t="array" ref="M167">_xlfn.XLOOKUP(TEXT(A167, "mmm-yy"), TEXT([2]GASOLINE!$B$5:$B$208, "mmm-yy"), [2]GASOLINE!$C$5:$C$208, "Not Found")</f>
        <v>6695.2553311998863</v>
      </c>
      <c r="N167" cm="1">
        <f t="array" ref="N167">_xlfn.XLOOKUP(TEXT(A167, "mmm-yy"), TEXT([2]RUNS!$B$5:$B$208, "mmm-yy"), [2]RUNS!$BM$5:$BM$208, "Not Found")</f>
        <v>0.79541130943271399</v>
      </c>
    </row>
    <row r="168" spans="1:14" x14ac:dyDescent="0.25">
      <c r="A168" s="1">
        <f>'[1]Global_Spot Prices'!$B1477</f>
        <v>42237</v>
      </c>
      <c r="B168">
        <f>_xlfn.XLOOKUP(A168,'[1]Global_Spot Prices'!$B:$B,'[1]Global_Spot Prices'!$BS:$BS)</f>
        <v>12.700000000000003</v>
      </c>
      <c r="C168">
        <f>_xlfn.XLOOKUP(A168,'[1]Global_Spot Prices'!$B:$B,'[1]Global_Spot Prices'!$E:$E)</f>
        <v>45.65</v>
      </c>
      <c r="D168">
        <f>_xlfn.XLOOKUP(A168,'[1]Global_Spot Prices'!$B:$B,'[1]Global_Spot Prices'!$D:$D)</f>
        <v>44.06</v>
      </c>
      <c r="E168">
        <f>_xlfn.XLOOKUP(A168,'[1]Global_Spot Prices'!$B:$B,'[1]Global_Spot Prices'!$H:$H)</f>
        <v>44.17</v>
      </c>
      <c r="F168">
        <f>_xlfn.XLOOKUP(A168,'[1]Global_Spot Prices'!$B:$B,'[1]Global_Spot Prices'!$I:$I)</f>
        <v>58.35</v>
      </c>
      <c r="G168" cm="1">
        <f t="array" ref="G168">_xlfn.XLOOKUP(TEXT(A168, "mmm-yy"), TEXT([2]RUNS!$B$5:$B$208, "mmm-yy"), [2]RUNS!$D$5:$D$208, "Not Found")</f>
        <v>26780.067048242498</v>
      </c>
      <c r="H168" cm="1">
        <f t="array" ref="H168">SUMPRODUCT(
    --(TEXT('[3]Global Weekly Stock (EWSuez'!$B$4:$B$2000,"mmm-yy")=TEXT(A168,"mmm-yy")),
    '[3]Global Weekly Stock (EWSuez'!$E$4:$E$2000)
/
SUMPRODUCT(
    --(TEXT('[3]Global Weekly Stock (EWSuez'!$B$4:$B$2000,"mmm-yy")=TEXT(A168,"mmm-yy"))
)</f>
        <v>12117.5</v>
      </c>
      <c r="I168">
        <f>_xlfn.XLOOKUP(A168,[1]ForwardDeriv!$D:$D,[1]ForwardDeriv!$AJ:$AJ)</f>
        <v>0.60000000000000142</v>
      </c>
      <c r="J168" cm="1">
        <f t="array" ref="J168">_xlfn.XLOOKUP(TEXT(A168, "mmm-yy"), TEXT([2]GASOLINE!$B$5:$B$208, "mmm-yy"), [2]GASOLINE!$IR$5:$IR$208, "Not Found")</f>
        <v>30.082246141691797</v>
      </c>
      <c r="K168" cm="1">
        <f t="array" ref="K168">_xlfn.XLOOKUP(TEXT(A168, "mmm-yy"), TEXT([2]GASOLINE!$B$5:$B$208, "mmm-yy"), [2]GASOLINE!$IK$5:$IK$208, "Not Found")</f>
        <v>0</v>
      </c>
      <c r="L168">
        <f t="shared" si="2"/>
        <v>1</v>
      </c>
      <c r="M168" cm="1">
        <f t="array" ref="M168">_xlfn.XLOOKUP(TEXT(A168, "mmm-yy"), TEXT([2]GASOLINE!$B$5:$B$208, "mmm-yy"), [2]GASOLINE!$C$5:$C$208, "Not Found")</f>
        <v>6695.2553311998863</v>
      </c>
      <c r="N168" cm="1">
        <f t="array" ref="N168">_xlfn.XLOOKUP(TEXT(A168, "mmm-yy"), TEXT([2]RUNS!$B$5:$B$208, "mmm-yy"), [2]RUNS!$BM$5:$BM$208, "Not Found")</f>
        <v>0.79541130943271399</v>
      </c>
    </row>
    <row r="169" spans="1:14" x14ac:dyDescent="0.25">
      <c r="A169" s="1">
        <f>'[1]Global_Spot Prices'!$B1478</f>
        <v>42240</v>
      </c>
      <c r="B169">
        <f>_xlfn.XLOOKUP(A169,'[1]Global_Spot Prices'!$B:$B,'[1]Global_Spot Prices'!$BS:$BS)</f>
        <v>13.170000000000002</v>
      </c>
      <c r="C169">
        <f>_xlfn.XLOOKUP(A169,'[1]Global_Spot Prices'!$B:$B,'[1]Global_Spot Prices'!$E:$E)</f>
        <v>43.4</v>
      </c>
      <c r="D169">
        <f>_xlfn.XLOOKUP(A169,'[1]Global_Spot Prices'!$B:$B,'[1]Global_Spot Prices'!$D:$D)</f>
        <v>41.854999999999997</v>
      </c>
      <c r="E169">
        <f>_xlfn.XLOOKUP(A169,'[1]Global_Spot Prices'!$B:$B,'[1]Global_Spot Prices'!$H:$H)</f>
        <v>41.53</v>
      </c>
      <c r="F169">
        <f>_xlfn.XLOOKUP(A169,'[1]Global_Spot Prices'!$B:$B,'[1]Global_Spot Prices'!$I:$I)</f>
        <v>56.57</v>
      </c>
      <c r="G169" cm="1">
        <f t="array" ref="G169">_xlfn.XLOOKUP(TEXT(A169, "mmm-yy"), TEXT([2]RUNS!$B$5:$B$208, "mmm-yy"), [2]RUNS!$D$5:$D$208, "Not Found")</f>
        <v>26780.067048242498</v>
      </c>
      <c r="H169" cm="1">
        <f t="array" ref="H169">SUMPRODUCT(
    --(TEXT('[3]Global Weekly Stock (EWSuez'!$B$4:$B$2000,"mmm-yy")=TEXT(A169,"mmm-yy")),
    '[3]Global Weekly Stock (EWSuez'!$E$4:$E$2000)
/
SUMPRODUCT(
    --(TEXT('[3]Global Weekly Stock (EWSuez'!$B$4:$B$2000,"mmm-yy")=TEXT(A169,"mmm-yy"))
)</f>
        <v>12117.5</v>
      </c>
      <c r="I169">
        <f>_xlfn.XLOOKUP(A169,[1]ForwardDeriv!$D:$D,[1]ForwardDeriv!$AJ:$AJ)</f>
        <v>0.6699999999999946</v>
      </c>
      <c r="J169" cm="1">
        <f t="array" ref="J169">_xlfn.XLOOKUP(TEXT(A169, "mmm-yy"), TEXT([2]GASOLINE!$B$5:$B$208, "mmm-yy"), [2]GASOLINE!$IR$5:$IR$208, "Not Found")</f>
        <v>30.082246141691797</v>
      </c>
      <c r="K169" cm="1">
        <f t="array" ref="K169">_xlfn.XLOOKUP(TEXT(A169, "mmm-yy"), TEXT([2]GASOLINE!$B$5:$B$208, "mmm-yy"), [2]GASOLINE!$IK$5:$IK$208, "Not Found")</f>
        <v>0</v>
      </c>
      <c r="L169">
        <f t="shared" si="2"/>
        <v>1</v>
      </c>
      <c r="M169" cm="1">
        <f t="array" ref="M169">_xlfn.XLOOKUP(TEXT(A169, "mmm-yy"), TEXT([2]GASOLINE!$B$5:$B$208, "mmm-yy"), [2]GASOLINE!$C$5:$C$208, "Not Found")</f>
        <v>6695.2553311998863</v>
      </c>
      <c r="N169" cm="1">
        <f t="array" ref="N169">_xlfn.XLOOKUP(TEXT(A169, "mmm-yy"), TEXT([2]RUNS!$B$5:$B$208, "mmm-yy"), [2]RUNS!$BM$5:$BM$208, "Not Found")</f>
        <v>0.79541130943271399</v>
      </c>
    </row>
    <row r="170" spans="1:14" x14ac:dyDescent="0.25">
      <c r="A170" s="1">
        <f>'[1]Global_Spot Prices'!$B1479</f>
        <v>42241</v>
      </c>
      <c r="B170">
        <f>_xlfn.XLOOKUP(A170,'[1]Global_Spot Prices'!$B:$B,'[1]Global_Spot Prices'!$BS:$BS)</f>
        <v>12.239999999999995</v>
      </c>
      <c r="C170">
        <f>_xlfn.XLOOKUP(A170,'[1]Global_Spot Prices'!$B:$B,'[1]Global_Spot Prices'!$E:$E)</f>
        <v>42.81</v>
      </c>
      <c r="D170">
        <f>_xlfn.XLOOKUP(A170,'[1]Global_Spot Prices'!$B:$B,'[1]Global_Spot Prices'!$D:$D)</f>
        <v>42.03</v>
      </c>
      <c r="E170">
        <f>_xlfn.XLOOKUP(A170,'[1]Global_Spot Prices'!$B:$B,'[1]Global_Spot Prices'!$H:$H)</f>
        <v>40.42</v>
      </c>
      <c r="F170">
        <f>_xlfn.XLOOKUP(A170,'[1]Global_Spot Prices'!$B:$B,'[1]Global_Spot Prices'!$I:$I)</f>
        <v>55.05</v>
      </c>
      <c r="G170" cm="1">
        <f t="array" ref="G170">_xlfn.XLOOKUP(TEXT(A170, "mmm-yy"), TEXT([2]RUNS!$B$5:$B$208, "mmm-yy"), [2]RUNS!$D$5:$D$208, "Not Found")</f>
        <v>26780.067048242498</v>
      </c>
      <c r="H170" cm="1">
        <f t="array" ref="H170">SUMPRODUCT(
    --(TEXT('[3]Global Weekly Stock (EWSuez'!$B$4:$B$2000,"mmm-yy")=TEXT(A170,"mmm-yy")),
    '[3]Global Weekly Stock (EWSuez'!$E$4:$E$2000)
/
SUMPRODUCT(
    --(TEXT('[3]Global Weekly Stock (EWSuez'!$B$4:$B$2000,"mmm-yy")=TEXT(A170,"mmm-yy"))
)</f>
        <v>12117.5</v>
      </c>
      <c r="I170">
        <f>_xlfn.XLOOKUP(A170,[1]ForwardDeriv!$D:$D,[1]ForwardDeriv!$AJ:$AJ)</f>
        <v>0.69999999999999574</v>
      </c>
      <c r="J170" cm="1">
        <f t="array" ref="J170">_xlfn.XLOOKUP(TEXT(A170, "mmm-yy"), TEXT([2]GASOLINE!$B$5:$B$208, "mmm-yy"), [2]GASOLINE!$IR$5:$IR$208, "Not Found")</f>
        <v>30.082246141691797</v>
      </c>
      <c r="K170" cm="1">
        <f t="array" ref="K170">_xlfn.XLOOKUP(TEXT(A170, "mmm-yy"), TEXT([2]GASOLINE!$B$5:$B$208, "mmm-yy"), [2]GASOLINE!$IK$5:$IK$208, "Not Found")</f>
        <v>0</v>
      </c>
      <c r="L170">
        <f t="shared" si="2"/>
        <v>1</v>
      </c>
      <c r="M170" cm="1">
        <f t="array" ref="M170">_xlfn.XLOOKUP(TEXT(A170, "mmm-yy"), TEXT([2]GASOLINE!$B$5:$B$208, "mmm-yy"), [2]GASOLINE!$C$5:$C$208, "Not Found")</f>
        <v>6695.2553311998863</v>
      </c>
      <c r="N170" cm="1">
        <f t="array" ref="N170">_xlfn.XLOOKUP(TEXT(A170, "mmm-yy"), TEXT([2]RUNS!$B$5:$B$208, "mmm-yy"), [2]RUNS!$BM$5:$BM$208, "Not Found")</f>
        <v>0.79541130943271399</v>
      </c>
    </row>
    <row r="171" spans="1:14" x14ac:dyDescent="0.25">
      <c r="A171" s="1">
        <f>'[1]Global_Spot Prices'!$B1480</f>
        <v>42242</v>
      </c>
      <c r="B171">
        <f>_xlfn.XLOOKUP(A171,'[1]Global_Spot Prices'!$B:$B,'[1]Global_Spot Prices'!$BS:$BS)</f>
        <v>11.759999999999998</v>
      </c>
      <c r="C171">
        <f>_xlfn.XLOOKUP(A171,'[1]Global_Spot Prices'!$B:$B,'[1]Global_Spot Prices'!$E:$E)</f>
        <v>42.85</v>
      </c>
      <c r="D171">
        <f>_xlfn.XLOOKUP(A171,'[1]Global_Spot Prices'!$B:$B,'[1]Global_Spot Prices'!$D:$D)</f>
        <v>42.055</v>
      </c>
      <c r="E171">
        <f>_xlfn.XLOOKUP(A171,'[1]Global_Spot Prices'!$B:$B,'[1]Global_Spot Prices'!$H:$H)</f>
        <v>39.15</v>
      </c>
      <c r="F171">
        <f>_xlfn.XLOOKUP(A171,'[1]Global_Spot Prices'!$B:$B,'[1]Global_Spot Prices'!$I:$I)</f>
        <v>54.61</v>
      </c>
      <c r="G171" cm="1">
        <f t="array" ref="G171">_xlfn.XLOOKUP(TEXT(A171, "mmm-yy"), TEXT([2]RUNS!$B$5:$B$208, "mmm-yy"), [2]RUNS!$D$5:$D$208, "Not Found")</f>
        <v>26780.067048242498</v>
      </c>
      <c r="H171" cm="1">
        <f t="array" ref="H171">SUMPRODUCT(
    --(TEXT('[3]Global Weekly Stock (EWSuez'!$B$4:$B$2000,"mmm-yy")=TEXT(A171,"mmm-yy")),
    '[3]Global Weekly Stock (EWSuez'!$E$4:$E$2000)
/
SUMPRODUCT(
    --(TEXT('[3]Global Weekly Stock (EWSuez'!$B$4:$B$2000,"mmm-yy")=TEXT(A171,"mmm-yy"))
)</f>
        <v>12117.5</v>
      </c>
      <c r="I171">
        <f>_xlfn.XLOOKUP(A171,[1]ForwardDeriv!$D:$D,[1]ForwardDeriv!$AJ:$AJ)</f>
        <v>0.60000000000000142</v>
      </c>
      <c r="J171" cm="1">
        <f t="array" ref="J171">_xlfn.XLOOKUP(TEXT(A171, "mmm-yy"), TEXT([2]GASOLINE!$B$5:$B$208, "mmm-yy"), [2]GASOLINE!$IR$5:$IR$208, "Not Found")</f>
        <v>30.082246141691797</v>
      </c>
      <c r="K171" cm="1">
        <f t="array" ref="K171">_xlfn.XLOOKUP(TEXT(A171, "mmm-yy"), TEXT([2]GASOLINE!$B$5:$B$208, "mmm-yy"), [2]GASOLINE!$IK$5:$IK$208, "Not Found")</f>
        <v>0</v>
      </c>
      <c r="L171">
        <f t="shared" si="2"/>
        <v>1</v>
      </c>
      <c r="M171" cm="1">
        <f t="array" ref="M171">_xlfn.XLOOKUP(TEXT(A171, "mmm-yy"), TEXT([2]GASOLINE!$B$5:$B$208, "mmm-yy"), [2]GASOLINE!$C$5:$C$208, "Not Found")</f>
        <v>6695.2553311998863</v>
      </c>
      <c r="N171" cm="1">
        <f t="array" ref="N171">_xlfn.XLOOKUP(TEXT(A171, "mmm-yy"), TEXT([2]RUNS!$B$5:$B$208, "mmm-yy"), [2]RUNS!$BM$5:$BM$208, "Not Found")</f>
        <v>0.79541130943271399</v>
      </c>
    </row>
    <row r="172" spans="1:14" x14ac:dyDescent="0.25">
      <c r="A172" s="1">
        <f>'[1]Global_Spot Prices'!$B1481</f>
        <v>42243</v>
      </c>
      <c r="B172">
        <f>_xlfn.XLOOKUP(A172,'[1]Global_Spot Prices'!$B:$B,'[1]Global_Spot Prices'!$BS:$BS)</f>
        <v>10.519999999999996</v>
      </c>
      <c r="C172">
        <f>_xlfn.XLOOKUP(A172,'[1]Global_Spot Prices'!$B:$B,'[1]Global_Spot Prices'!$E:$E)</f>
        <v>44.1</v>
      </c>
      <c r="D172">
        <f>_xlfn.XLOOKUP(A172,'[1]Global_Spot Prices'!$B:$B,'[1]Global_Spot Prices'!$D:$D)</f>
        <v>44.734999999999999</v>
      </c>
      <c r="E172">
        <f>_xlfn.XLOOKUP(A172,'[1]Global_Spot Prices'!$B:$B,'[1]Global_Spot Prices'!$H:$H)</f>
        <v>40.15</v>
      </c>
      <c r="F172">
        <f>_xlfn.XLOOKUP(A172,'[1]Global_Spot Prices'!$B:$B,'[1]Global_Spot Prices'!$I:$I)</f>
        <v>54.62</v>
      </c>
      <c r="G172" cm="1">
        <f t="array" ref="G172">_xlfn.XLOOKUP(TEXT(A172, "mmm-yy"), TEXT([2]RUNS!$B$5:$B$208, "mmm-yy"), [2]RUNS!$D$5:$D$208, "Not Found")</f>
        <v>26780.067048242498</v>
      </c>
      <c r="H172" cm="1">
        <f t="array" ref="H172">SUMPRODUCT(
    --(TEXT('[3]Global Weekly Stock (EWSuez'!$B$4:$B$2000,"mmm-yy")=TEXT(A172,"mmm-yy")),
    '[3]Global Weekly Stock (EWSuez'!$E$4:$E$2000)
/
SUMPRODUCT(
    --(TEXT('[3]Global Weekly Stock (EWSuez'!$B$4:$B$2000,"mmm-yy")=TEXT(A172,"mmm-yy"))
)</f>
        <v>12117.5</v>
      </c>
      <c r="I172">
        <f>_xlfn.XLOOKUP(A172,[1]ForwardDeriv!$D:$D,[1]ForwardDeriv!$AJ:$AJ)</f>
        <v>0.64999999999999858</v>
      </c>
      <c r="J172" cm="1">
        <f t="array" ref="J172">_xlfn.XLOOKUP(TEXT(A172, "mmm-yy"), TEXT([2]GASOLINE!$B$5:$B$208, "mmm-yy"), [2]GASOLINE!$IR$5:$IR$208, "Not Found")</f>
        <v>30.082246141691797</v>
      </c>
      <c r="K172" cm="1">
        <f t="array" ref="K172">_xlfn.XLOOKUP(TEXT(A172, "mmm-yy"), TEXT([2]GASOLINE!$B$5:$B$208, "mmm-yy"), [2]GASOLINE!$IK$5:$IK$208, "Not Found")</f>
        <v>0</v>
      </c>
      <c r="L172">
        <f t="shared" si="2"/>
        <v>1</v>
      </c>
      <c r="M172" cm="1">
        <f t="array" ref="M172">_xlfn.XLOOKUP(TEXT(A172, "mmm-yy"), TEXT([2]GASOLINE!$B$5:$B$208, "mmm-yy"), [2]GASOLINE!$C$5:$C$208, "Not Found")</f>
        <v>6695.2553311998863</v>
      </c>
      <c r="N172" cm="1">
        <f t="array" ref="N172">_xlfn.XLOOKUP(TEXT(A172, "mmm-yy"), TEXT([2]RUNS!$B$5:$B$208, "mmm-yy"), [2]RUNS!$BM$5:$BM$208, "Not Found")</f>
        <v>0.79541130943271399</v>
      </c>
    </row>
    <row r="173" spans="1:14" x14ac:dyDescent="0.25">
      <c r="A173" s="1">
        <f>'[1]Global_Spot Prices'!$B1482</f>
        <v>42244</v>
      </c>
      <c r="B173">
        <f>_xlfn.XLOOKUP(A173,'[1]Global_Spot Prices'!$B:$B,'[1]Global_Spot Prices'!$BS:$BS)</f>
        <v>11.21</v>
      </c>
      <c r="C173">
        <f>_xlfn.XLOOKUP(A173,'[1]Global_Spot Prices'!$B:$B,'[1]Global_Spot Prices'!$E:$E)</f>
        <v>46.35</v>
      </c>
      <c r="D173">
        <f>_xlfn.XLOOKUP(A173,'[1]Global_Spot Prices'!$B:$B,'[1]Global_Spot Prices'!$D:$D)</f>
        <v>48.27</v>
      </c>
      <c r="E173">
        <f>_xlfn.XLOOKUP(A173,'[1]Global_Spot Prices'!$B:$B,'[1]Global_Spot Prices'!$H:$H)</f>
        <v>42.79</v>
      </c>
      <c r="F173">
        <f>_xlfn.XLOOKUP(A173,'[1]Global_Spot Prices'!$B:$B,'[1]Global_Spot Prices'!$I:$I)</f>
        <v>57.56</v>
      </c>
      <c r="G173" cm="1">
        <f t="array" ref="G173">_xlfn.XLOOKUP(TEXT(A173, "mmm-yy"), TEXT([2]RUNS!$B$5:$B$208, "mmm-yy"), [2]RUNS!$D$5:$D$208, "Not Found")</f>
        <v>26780.067048242498</v>
      </c>
      <c r="H173" cm="1">
        <f t="array" ref="H173">SUMPRODUCT(
    --(TEXT('[3]Global Weekly Stock (EWSuez'!$B$4:$B$2000,"mmm-yy")=TEXT(A173,"mmm-yy")),
    '[3]Global Weekly Stock (EWSuez'!$E$4:$E$2000)
/
SUMPRODUCT(
    --(TEXT('[3]Global Weekly Stock (EWSuez'!$B$4:$B$2000,"mmm-yy")=TEXT(A173,"mmm-yy"))
)</f>
        <v>12117.5</v>
      </c>
      <c r="I173">
        <f>_xlfn.XLOOKUP(A173,[1]ForwardDeriv!$D:$D,[1]ForwardDeriv!$AJ:$AJ)</f>
        <v>0.75</v>
      </c>
      <c r="J173" cm="1">
        <f t="array" ref="J173">_xlfn.XLOOKUP(TEXT(A173, "mmm-yy"), TEXT([2]GASOLINE!$B$5:$B$208, "mmm-yy"), [2]GASOLINE!$IR$5:$IR$208, "Not Found")</f>
        <v>30.082246141691797</v>
      </c>
      <c r="K173" cm="1">
        <f t="array" ref="K173">_xlfn.XLOOKUP(TEXT(A173, "mmm-yy"), TEXT([2]GASOLINE!$B$5:$B$208, "mmm-yy"), [2]GASOLINE!$IK$5:$IK$208, "Not Found")</f>
        <v>0</v>
      </c>
      <c r="L173">
        <f t="shared" si="2"/>
        <v>1</v>
      </c>
      <c r="M173" cm="1">
        <f t="array" ref="M173">_xlfn.XLOOKUP(TEXT(A173, "mmm-yy"), TEXT([2]GASOLINE!$B$5:$B$208, "mmm-yy"), [2]GASOLINE!$C$5:$C$208, "Not Found")</f>
        <v>6695.2553311998863</v>
      </c>
      <c r="N173" cm="1">
        <f t="array" ref="N173">_xlfn.XLOOKUP(TEXT(A173, "mmm-yy"), TEXT([2]RUNS!$B$5:$B$208, "mmm-yy"), [2]RUNS!$BM$5:$BM$208, "Not Found")</f>
        <v>0.79541130943271399</v>
      </c>
    </row>
    <row r="174" spans="1:14" x14ac:dyDescent="0.25">
      <c r="A174" s="1">
        <f>'[1]Global_Spot Prices'!$B1483</f>
        <v>42247</v>
      </c>
      <c r="B174">
        <f>_xlfn.XLOOKUP(A174,'[1]Global_Spot Prices'!$B:$B,'[1]Global_Spot Prices'!$BS:$BS)</f>
        <v>10.760000000000005</v>
      </c>
      <c r="C174">
        <f>_xlfn.XLOOKUP(A174,'[1]Global_Spot Prices'!$B:$B,'[1]Global_Spot Prices'!$E:$E)</f>
        <v>48.41</v>
      </c>
      <c r="D174" t="str">
        <f>_xlfn.XLOOKUP(A174,'[1]Global_Spot Prices'!$B:$B,'[1]Global_Spot Prices'!$D:$D)</f>
        <v/>
      </c>
      <c r="E174">
        <f>_xlfn.XLOOKUP(A174,'[1]Global_Spot Prices'!$B:$B,'[1]Global_Spot Prices'!$H:$H)</f>
        <v>45.15</v>
      </c>
      <c r="F174">
        <f>_xlfn.XLOOKUP(A174,'[1]Global_Spot Prices'!$B:$B,'[1]Global_Spot Prices'!$I:$I)</f>
        <v>59.17</v>
      </c>
      <c r="G174" cm="1">
        <f t="array" ref="G174">_xlfn.XLOOKUP(TEXT(A174, "mmm-yy"), TEXT([2]RUNS!$B$5:$B$208, "mmm-yy"), [2]RUNS!$D$5:$D$208, "Not Found")</f>
        <v>26780.067048242498</v>
      </c>
      <c r="H174" cm="1">
        <f t="array" ref="H174">SUMPRODUCT(
    --(TEXT('[3]Global Weekly Stock (EWSuez'!$B$4:$B$2000,"mmm-yy")=TEXT(A174,"mmm-yy")),
    '[3]Global Weekly Stock (EWSuez'!$E$4:$E$2000)
/
SUMPRODUCT(
    --(TEXT('[3]Global Weekly Stock (EWSuez'!$B$4:$B$2000,"mmm-yy")=TEXT(A174,"mmm-yy"))
)</f>
        <v>12117.5</v>
      </c>
      <c r="I174">
        <f>_xlfn.XLOOKUP(A174,[1]ForwardDeriv!$D:$D,[1]ForwardDeriv!$AJ:$AJ)</f>
        <v>0.85000000000000142</v>
      </c>
      <c r="J174" cm="1">
        <f t="array" ref="J174">_xlfn.XLOOKUP(TEXT(A174, "mmm-yy"), TEXT([2]GASOLINE!$B$5:$B$208, "mmm-yy"), [2]GASOLINE!$IR$5:$IR$208, "Not Found")</f>
        <v>30.082246141691797</v>
      </c>
      <c r="K174" cm="1">
        <f t="array" ref="K174">_xlfn.XLOOKUP(TEXT(A174, "mmm-yy"), TEXT([2]GASOLINE!$B$5:$B$208, "mmm-yy"), [2]GASOLINE!$IK$5:$IK$208, "Not Found")</f>
        <v>0</v>
      </c>
      <c r="L174">
        <f t="shared" si="2"/>
        <v>1</v>
      </c>
      <c r="M174" cm="1">
        <f t="array" ref="M174">_xlfn.XLOOKUP(TEXT(A174, "mmm-yy"), TEXT([2]GASOLINE!$B$5:$B$208, "mmm-yy"), [2]GASOLINE!$C$5:$C$208, "Not Found")</f>
        <v>6695.2553311998863</v>
      </c>
      <c r="N174" cm="1">
        <f t="array" ref="N174">_xlfn.XLOOKUP(TEXT(A174, "mmm-yy"), TEXT([2]RUNS!$B$5:$B$208, "mmm-yy"), [2]RUNS!$BM$5:$BM$208, "Not Found")</f>
        <v>0.79541130943271399</v>
      </c>
    </row>
    <row r="175" spans="1:14" x14ac:dyDescent="0.25">
      <c r="A175" s="1">
        <f>'[1]Global_Spot Prices'!$B1484</f>
        <v>42248</v>
      </c>
      <c r="B175">
        <f>_xlfn.XLOOKUP(A175,'[1]Global_Spot Prices'!$B:$B,'[1]Global_Spot Prices'!$BS:$BS)</f>
        <v>13.130000000000003</v>
      </c>
      <c r="C175">
        <f>_xlfn.XLOOKUP(A175,'[1]Global_Spot Prices'!$B:$B,'[1]Global_Spot Prices'!$E:$E)</f>
        <v>49.5</v>
      </c>
      <c r="D175">
        <f>_xlfn.XLOOKUP(A175,'[1]Global_Spot Prices'!$B:$B,'[1]Global_Spot Prices'!$D:$D)</f>
        <v>48.97</v>
      </c>
      <c r="E175">
        <f>_xlfn.XLOOKUP(A175,'[1]Global_Spot Prices'!$B:$B,'[1]Global_Spot Prices'!$H:$H)</f>
        <v>47.76</v>
      </c>
      <c r="F175">
        <f>_xlfn.XLOOKUP(A175,'[1]Global_Spot Prices'!$B:$B,'[1]Global_Spot Prices'!$I:$I)</f>
        <v>62.63</v>
      </c>
      <c r="G175" cm="1">
        <f t="array" ref="G175">_xlfn.XLOOKUP(TEXT(A175, "mmm-yy"), TEXT([2]RUNS!$B$5:$B$208, "mmm-yy"), [2]RUNS!$D$5:$D$208, "Not Found")</f>
        <v>26046.201334994337</v>
      </c>
      <c r="H175" cm="1">
        <f t="array" ref="H175">SUMPRODUCT(
    --(TEXT('[3]Global Weekly Stock (EWSuez'!$B$4:$B$2000,"mmm-yy")=TEXT(A175,"mmm-yy")),
    '[3]Global Weekly Stock (EWSuez'!$E$4:$E$2000)
/
SUMPRODUCT(
    --(TEXT('[3]Global Weekly Stock (EWSuez'!$B$4:$B$2000,"mmm-yy")=TEXT(A175,"mmm-yy"))
)</f>
        <v>11501.25</v>
      </c>
      <c r="I175">
        <f>_xlfn.XLOOKUP(A175,[1]ForwardDeriv!$D:$D,[1]ForwardDeriv!$AJ:$AJ)</f>
        <v>0.89999999999999858</v>
      </c>
      <c r="J175" cm="1">
        <f t="array" ref="J175">_xlfn.XLOOKUP(TEXT(A175, "mmm-yy"), TEXT([2]GASOLINE!$B$5:$B$208, "mmm-yy"), [2]GASOLINE!$IR$5:$IR$208, "Not Found")</f>
        <v>33.844819503102343</v>
      </c>
      <c r="K175" cm="1">
        <f t="array" ref="K175">_xlfn.XLOOKUP(TEXT(A175, "mmm-yy"), TEXT([2]GASOLINE!$B$5:$B$208, "mmm-yy"), [2]GASOLINE!$IK$5:$IK$208, "Not Found")</f>
        <v>0</v>
      </c>
      <c r="L175">
        <f t="shared" si="2"/>
        <v>1</v>
      </c>
      <c r="M175" cm="1">
        <f t="array" ref="M175">_xlfn.XLOOKUP(TEXT(A175, "mmm-yy"), TEXT([2]GASOLINE!$B$5:$B$208, "mmm-yy"), [2]GASOLINE!$C$5:$C$208, "Not Found")</f>
        <v>6531.985522591739</v>
      </c>
      <c r="N175" cm="1">
        <f t="array" ref="N175">_xlfn.XLOOKUP(TEXT(A175, "mmm-yy"), TEXT([2]RUNS!$B$5:$B$208, "mmm-yy"), [2]RUNS!$BM$5:$BM$208, "Not Found")</f>
        <v>0.78075909050015857</v>
      </c>
    </row>
    <row r="176" spans="1:14" x14ac:dyDescent="0.25">
      <c r="A176" s="1">
        <f>'[1]Global_Spot Prices'!$B1485</f>
        <v>42249</v>
      </c>
      <c r="B176">
        <f>_xlfn.XLOOKUP(A176,'[1]Global_Spot Prices'!$B:$B,'[1]Global_Spot Prices'!$BS:$BS)</f>
        <v>14.049999999999997</v>
      </c>
      <c r="C176">
        <f>_xlfn.XLOOKUP(A176,'[1]Global_Spot Prices'!$B:$B,'[1]Global_Spot Prices'!$E:$E)</f>
        <v>46.34</v>
      </c>
      <c r="D176">
        <f>_xlfn.XLOOKUP(A176,'[1]Global_Spot Prices'!$B:$B,'[1]Global_Spot Prices'!$D:$D)</f>
        <v>47.384999999999998</v>
      </c>
      <c r="E176">
        <f>_xlfn.XLOOKUP(A176,'[1]Global_Spot Prices'!$B:$B,'[1]Global_Spot Prices'!$H:$H)</f>
        <v>44.19</v>
      </c>
      <c r="F176">
        <f>_xlfn.XLOOKUP(A176,'[1]Global_Spot Prices'!$B:$B,'[1]Global_Spot Prices'!$I:$I)</f>
        <v>60.39</v>
      </c>
      <c r="G176" cm="1">
        <f t="array" ref="G176">_xlfn.XLOOKUP(TEXT(A176, "mmm-yy"), TEXT([2]RUNS!$B$5:$B$208, "mmm-yy"), [2]RUNS!$D$5:$D$208, "Not Found")</f>
        <v>26046.201334994337</v>
      </c>
      <c r="H176" cm="1">
        <f t="array" ref="H176">SUMPRODUCT(
    --(TEXT('[3]Global Weekly Stock (EWSuez'!$B$4:$B$2000,"mmm-yy")=TEXT(A176,"mmm-yy")),
    '[3]Global Weekly Stock (EWSuez'!$E$4:$E$2000)
/
SUMPRODUCT(
    --(TEXT('[3]Global Weekly Stock (EWSuez'!$B$4:$B$2000,"mmm-yy")=TEXT(A176,"mmm-yy"))
)</f>
        <v>11501.25</v>
      </c>
      <c r="I176">
        <f>_xlfn.XLOOKUP(A176,[1]ForwardDeriv!$D:$D,[1]ForwardDeriv!$AJ:$AJ)</f>
        <v>1</v>
      </c>
      <c r="J176" cm="1">
        <f t="array" ref="J176">_xlfn.XLOOKUP(TEXT(A176, "mmm-yy"), TEXT([2]GASOLINE!$B$5:$B$208, "mmm-yy"), [2]GASOLINE!$IR$5:$IR$208, "Not Found")</f>
        <v>33.844819503102343</v>
      </c>
      <c r="K176" cm="1">
        <f t="array" ref="K176">_xlfn.XLOOKUP(TEXT(A176, "mmm-yy"), TEXT([2]GASOLINE!$B$5:$B$208, "mmm-yy"), [2]GASOLINE!$IK$5:$IK$208, "Not Found")</f>
        <v>0</v>
      </c>
      <c r="L176">
        <f t="shared" si="2"/>
        <v>1</v>
      </c>
      <c r="M176" cm="1">
        <f t="array" ref="M176">_xlfn.XLOOKUP(TEXT(A176, "mmm-yy"), TEXT([2]GASOLINE!$B$5:$B$208, "mmm-yy"), [2]GASOLINE!$C$5:$C$208, "Not Found")</f>
        <v>6531.985522591739</v>
      </c>
      <c r="N176" cm="1">
        <f t="array" ref="N176">_xlfn.XLOOKUP(TEXT(A176, "mmm-yy"), TEXT([2]RUNS!$B$5:$B$208, "mmm-yy"), [2]RUNS!$BM$5:$BM$208, "Not Found")</f>
        <v>0.78075909050015857</v>
      </c>
    </row>
    <row r="177" spans="1:14" x14ac:dyDescent="0.25">
      <c r="A177" s="1">
        <f>'[1]Global_Spot Prices'!$B1486</f>
        <v>42250</v>
      </c>
      <c r="B177">
        <f>_xlfn.XLOOKUP(A177,'[1]Global_Spot Prices'!$B:$B,'[1]Global_Spot Prices'!$BS:$BS)</f>
        <v>14.450000000000003</v>
      </c>
      <c r="C177">
        <f>_xlfn.XLOOKUP(A177,'[1]Global_Spot Prices'!$B:$B,'[1]Global_Spot Prices'!$E:$E)</f>
        <v>48.01</v>
      </c>
      <c r="D177">
        <f>_xlfn.XLOOKUP(A177,'[1]Global_Spot Prices'!$B:$B,'[1]Global_Spot Prices'!$D:$D)</f>
        <v>50.43</v>
      </c>
      <c r="E177">
        <f>_xlfn.XLOOKUP(A177,'[1]Global_Spot Prices'!$B:$B,'[1]Global_Spot Prices'!$H:$H)</f>
        <v>46.14</v>
      </c>
      <c r="F177">
        <f>_xlfn.XLOOKUP(A177,'[1]Global_Spot Prices'!$B:$B,'[1]Global_Spot Prices'!$I:$I)</f>
        <v>62.46</v>
      </c>
      <c r="G177" cm="1">
        <f t="array" ref="G177">_xlfn.XLOOKUP(TEXT(A177, "mmm-yy"), TEXT([2]RUNS!$B$5:$B$208, "mmm-yy"), [2]RUNS!$D$5:$D$208, "Not Found")</f>
        <v>26046.201334994337</v>
      </c>
      <c r="H177" cm="1">
        <f t="array" ref="H177">SUMPRODUCT(
    --(TEXT('[3]Global Weekly Stock (EWSuez'!$B$4:$B$2000,"mmm-yy")=TEXT(A177,"mmm-yy")),
    '[3]Global Weekly Stock (EWSuez'!$E$4:$E$2000)
/
SUMPRODUCT(
    --(TEXT('[3]Global Weekly Stock (EWSuez'!$B$4:$B$2000,"mmm-yy")=TEXT(A177,"mmm-yy"))
)</f>
        <v>11501.25</v>
      </c>
      <c r="I177">
        <f>_xlfn.XLOOKUP(A177,[1]ForwardDeriv!$D:$D,[1]ForwardDeriv!$AJ:$AJ)</f>
        <v>1.1999999999999957</v>
      </c>
      <c r="J177" cm="1">
        <f t="array" ref="J177">_xlfn.XLOOKUP(TEXT(A177, "mmm-yy"), TEXT([2]GASOLINE!$B$5:$B$208, "mmm-yy"), [2]GASOLINE!$IR$5:$IR$208, "Not Found")</f>
        <v>33.844819503102343</v>
      </c>
      <c r="K177" cm="1">
        <f t="array" ref="K177">_xlfn.XLOOKUP(TEXT(A177, "mmm-yy"), TEXT([2]GASOLINE!$B$5:$B$208, "mmm-yy"), [2]GASOLINE!$IK$5:$IK$208, "Not Found")</f>
        <v>0</v>
      </c>
      <c r="L177">
        <f t="shared" si="2"/>
        <v>1</v>
      </c>
      <c r="M177" cm="1">
        <f t="array" ref="M177">_xlfn.XLOOKUP(TEXT(A177, "mmm-yy"), TEXT([2]GASOLINE!$B$5:$B$208, "mmm-yy"), [2]GASOLINE!$C$5:$C$208, "Not Found")</f>
        <v>6531.985522591739</v>
      </c>
      <c r="N177" cm="1">
        <f t="array" ref="N177">_xlfn.XLOOKUP(TEXT(A177, "mmm-yy"), TEXT([2]RUNS!$B$5:$B$208, "mmm-yy"), [2]RUNS!$BM$5:$BM$208, "Not Found")</f>
        <v>0.78075909050015857</v>
      </c>
    </row>
    <row r="178" spans="1:14" x14ac:dyDescent="0.25">
      <c r="A178" s="1">
        <f>'[1]Global_Spot Prices'!$B1487</f>
        <v>42251</v>
      </c>
      <c r="B178">
        <f>_xlfn.XLOOKUP(A178,'[1]Global_Spot Prices'!$B:$B,'[1]Global_Spot Prices'!$BS:$BS)</f>
        <v>14.909999999999997</v>
      </c>
      <c r="C178">
        <f>_xlfn.XLOOKUP(A178,'[1]Global_Spot Prices'!$B:$B,'[1]Global_Spot Prices'!$E:$E)</f>
        <v>47.95</v>
      </c>
      <c r="D178">
        <f>_xlfn.XLOOKUP(A178,'[1]Global_Spot Prices'!$B:$B,'[1]Global_Spot Prices'!$D:$D)</f>
        <v>48.695</v>
      </c>
      <c r="E178">
        <f>_xlfn.XLOOKUP(A178,'[1]Global_Spot Prices'!$B:$B,'[1]Global_Spot Prices'!$H:$H)</f>
        <v>46.8</v>
      </c>
      <c r="F178">
        <f>_xlfn.XLOOKUP(A178,'[1]Global_Spot Prices'!$B:$B,'[1]Global_Spot Prices'!$I:$I)</f>
        <v>62.86</v>
      </c>
      <c r="G178" cm="1">
        <f t="array" ref="G178">_xlfn.XLOOKUP(TEXT(A178, "mmm-yy"), TEXT([2]RUNS!$B$5:$B$208, "mmm-yy"), [2]RUNS!$D$5:$D$208, "Not Found")</f>
        <v>26046.201334994337</v>
      </c>
      <c r="H178" cm="1">
        <f t="array" ref="H178">SUMPRODUCT(
    --(TEXT('[3]Global Weekly Stock (EWSuez'!$B$4:$B$2000,"mmm-yy")=TEXT(A178,"mmm-yy")),
    '[3]Global Weekly Stock (EWSuez'!$E$4:$E$2000)
/
SUMPRODUCT(
    --(TEXT('[3]Global Weekly Stock (EWSuez'!$B$4:$B$2000,"mmm-yy")=TEXT(A178,"mmm-yy"))
)</f>
        <v>11501.25</v>
      </c>
      <c r="I178">
        <f>_xlfn.XLOOKUP(A178,[1]ForwardDeriv!$D:$D,[1]ForwardDeriv!$AJ:$AJ)</f>
        <v>1.3000000000000043</v>
      </c>
      <c r="J178" cm="1">
        <f t="array" ref="J178">_xlfn.XLOOKUP(TEXT(A178, "mmm-yy"), TEXT([2]GASOLINE!$B$5:$B$208, "mmm-yy"), [2]GASOLINE!$IR$5:$IR$208, "Not Found")</f>
        <v>33.844819503102343</v>
      </c>
      <c r="K178" cm="1">
        <f t="array" ref="K178">_xlfn.XLOOKUP(TEXT(A178, "mmm-yy"), TEXT([2]GASOLINE!$B$5:$B$208, "mmm-yy"), [2]GASOLINE!$IK$5:$IK$208, "Not Found")</f>
        <v>0</v>
      </c>
      <c r="L178">
        <f t="shared" si="2"/>
        <v>1</v>
      </c>
      <c r="M178" cm="1">
        <f t="array" ref="M178">_xlfn.XLOOKUP(TEXT(A178, "mmm-yy"), TEXT([2]GASOLINE!$B$5:$B$208, "mmm-yy"), [2]GASOLINE!$C$5:$C$208, "Not Found")</f>
        <v>6531.985522591739</v>
      </c>
      <c r="N178" cm="1">
        <f t="array" ref="N178">_xlfn.XLOOKUP(TEXT(A178, "mmm-yy"), TEXT([2]RUNS!$B$5:$B$208, "mmm-yy"), [2]RUNS!$BM$5:$BM$208, "Not Found")</f>
        <v>0.78075909050015857</v>
      </c>
    </row>
    <row r="179" spans="1:14" x14ac:dyDescent="0.25">
      <c r="A179" s="1">
        <f>'[1]Global_Spot Prices'!$B1488</f>
        <v>42254</v>
      </c>
      <c r="B179">
        <f>_xlfn.XLOOKUP(A179,'[1]Global_Spot Prices'!$B:$B,'[1]Global_Spot Prices'!$BS:$BS)</f>
        <v>15.409999999999997</v>
      </c>
      <c r="C179">
        <f>_xlfn.XLOOKUP(A179,'[1]Global_Spot Prices'!$B:$B,'[1]Global_Spot Prices'!$E:$E)</f>
        <v>46.7</v>
      </c>
      <c r="D179">
        <f>_xlfn.XLOOKUP(A179,'[1]Global_Spot Prices'!$B:$B,'[1]Global_Spot Prices'!$D:$D)</f>
        <v>46.604999999999997</v>
      </c>
      <c r="E179">
        <f>_xlfn.XLOOKUP(A179,'[1]Global_Spot Prices'!$B:$B,'[1]Global_Spot Prices'!$H:$H)</f>
        <v>46.4</v>
      </c>
      <c r="F179">
        <f>_xlfn.XLOOKUP(A179,'[1]Global_Spot Prices'!$B:$B,'[1]Global_Spot Prices'!$I:$I)</f>
        <v>62.11</v>
      </c>
      <c r="G179" cm="1">
        <f t="array" ref="G179">_xlfn.XLOOKUP(TEXT(A179, "mmm-yy"), TEXT([2]RUNS!$B$5:$B$208, "mmm-yy"), [2]RUNS!$D$5:$D$208, "Not Found")</f>
        <v>26046.201334994337</v>
      </c>
      <c r="H179" cm="1">
        <f t="array" ref="H179">SUMPRODUCT(
    --(TEXT('[3]Global Weekly Stock (EWSuez'!$B$4:$B$2000,"mmm-yy")=TEXT(A179,"mmm-yy")),
    '[3]Global Weekly Stock (EWSuez'!$E$4:$E$2000)
/
SUMPRODUCT(
    --(TEXT('[3]Global Weekly Stock (EWSuez'!$B$4:$B$2000,"mmm-yy")=TEXT(A179,"mmm-yy"))
)</f>
        <v>11501.25</v>
      </c>
      <c r="I179">
        <f>_xlfn.XLOOKUP(A179,[1]ForwardDeriv!$D:$D,[1]ForwardDeriv!$AJ:$AJ)</f>
        <v>1.2999999999999972</v>
      </c>
      <c r="J179" cm="1">
        <f t="array" ref="J179">_xlfn.XLOOKUP(TEXT(A179, "mmm-yy"), TEXT([2]GASOLINE!$B$5:$B$208, "mmm-yy"), [2]GASOLINE!$IR$5:$IR$208, "Not Found")</f>
        <v>33.844819503102343</v>
      </c>
      <c r="K179" cm="1">
        <f t="array" ref="K179">_xlfn.XLOOKUP(TEXT(A179, "mmm-yy"), TEXT([2]GASOLINE!$B$5:$B$208, "mmm-yy"), [2]GASOLINE!$IK$5:$IK$208, "Not Found")</f>
        <v>0</v>
      </c>
      <c r="L179">
        <f t="shared" si="2"/>
        <v>1</v>
      </c>
      <c r="M179" cm="1">
        <f t="array" ref="M179">_xlfn.XLOOKUP(TEXT(A179, "mmm-yy"), TEXT([2]GASOLINE!$B$5:$B$208, "mmm-yy"), [2]GASOLINE!$C$5:$C$208, "Not Found")</f>
        <v>6531.985522591739</v>
      </c>
      <c r="N179" cm="1">
        <f t="array" ref="N179">_xlfn.XLOOKUP(TEXT(A179, "mmm-yy"), TEXT([2]RUNS!$B$5:$B$208, "mmm-yy"), [2]RUNS!$BM$5:$BM$208, "Not Found")</f>
        <v>0.78075909050015857</v>
      </c>
    </row>
    <row r="180" spans="1:14" x14ac:dyDescent="0.25">
      <c r="A180" s="1">
        <f>'[1]Global_Spot Prices'!$B1489</f>
        <v>42255</v>
      </c>
      <c r="B180">
        <f>_xlfn.XLOOKUP(A180,'[1]Global_Spot Prices'!$B:$B,'[1]Global_Spot Prices'!$BS:$BS)</f>
        <v>15.420000000000002</v>
      </c>
      <c r="C180">
        <f>_xlfn.XLOOKUP(A180,'[1]Global_Spot Prices'!$B:$B,'[1]Global_Spot Prices'!$E:$E)</f>
        <v>45.75</v>
      </c>
      <c r="D180">
        <f>_xlfn.XLOOKUP(A180,'[1]Global_Spot Prices'!$B:$B,'[1]Global_Spot Prices'!$D:$D)</f>
        <v>49.01</v>
      </c>
      <c r="E180">
        <f>_xlfn.XLOOKUP(A180,'[1]Global_Spot Prices'!$B:$B,'[1]Global_Spot Prices'!$H:$H)</f>
        <v>45.79</v>
      </c>
      <c r="F180">
        <f>_xlfn.XLOOKUP(A180,'[1]Global_Spot Prices'!$B:$B,'[1]Global_Spot Prices'!$I:$I)</f>
        <v>61.17</v>
      </c>
      <c r="G180" cm="1">
        <f t="array" ref="G180">_xlfn.XLOOKUP(TEXT(A180, "mmm-yy"), TEXT([2]RUNS!$B$5:$B$208, "mmm-yy"), [2]RUNS!$D$5:$D$208, "Not Found")</f>
        <v>26046.201334994337</v>
      </c>
      <c r="H180" cm="1">
        <f t="array" ref="H180">SUMPRODUCT(
    --(TEXT('[3]Global Weekly Stock (EWSuez'!$B$4:$B$2000,"mmm-yy")=TEXT(A180,"mmm-yy")),
    '[3]Global Weekly Stock (EWSuez'!$E$4:$E$2000)
/
SUMPRODUCT(
    --(TEXT('[3]Global Weekly Stock (EWSuez'!$B$4:$B$2000,"mmm-yy")=TEXT(A180,"mmm-yy"))
)</f>
        <v>11501.25</v>
      </c>
      <c r="I180">
        <f>_xlfn.XLOOKUP(A180,[1]ForwardDeriv!$D:$D,[1]ForwardDeriv!$AJ:$AJ)</f>
        <v>1.4100000000000037</v>
      </c>
      <c r="J180" cm="1">
        <f t="array" ref="J180">_xlfn.XLOOKUP(TEXT(A180, "mmm-yy"), TEXT([2]GASOLINE!$B$5:$B$208, "mmm-yy"), [2]GASOLINE!$IR$5:$IR$208, "Not Found")</f>
        <v>33.844819503102343</v>
      </c>
      <c r="K180" cm="1">
        <f t="array" ref="K180">_xlfn.XLOOKUP(TEXT(A180, "mmm-yy"), TEXT([2]GASOLINE!$B$5:$B$208, "mmm-yy"), [2]GASOLINE!$IK$5:$IK$208, "Not Found")</f>
        <v>0</v>
      </c>
      <c r="L180">
        <f t="shared" si="2"/>
        <v>1</v>
      </c>
      <c r="M180" cm="1">
        <f t="array" ref="M180">_xlfn.XLOOKUP(TEXT(A180, "mmm-yy"), TEXT([2]GASOLINE!$B$5:$B$208, "mmm-yy"), [2]GASOLINE!$C$5:$C$208, "Not Found")</f>
        <v>6531.985522591739</v>
      </c>
      <c r="N180" cm="1">
        <f t="array" ref="N180">_xlfn.XLOOKUP(TEXT(A180, "mmm-yy"), TEXT([2]RUNS!$B$5:$B$208, "mmm-yy"), [2]RUNS!$BM$5:$BM$208, "Not Found")</f>
        <v>0.78075909050015857</v>
      </c>
    </row>
    <row r="181" spans="1:14" x14ac:dyDescent="0.25">
      <c r="A181" s="1">
        <f>'[1]Global_Spot Prices'!$B1490</f>
        <v>42256</v>
      </c>
      <c r="B181">
        <f>_xlfn.XLOOKUP(A181,'[1]Global_Spot Prices'!$B:$B,'[1]Global_Spot Prices'!$BS:$BS)</f>
        <v>14.979999999999997</v>
      </c>
      <c r="C181">
        <f>_xlfn.XLOOKUP(A181,'[1]Global_Spot Prices'!$B:$B,'[1]Global_Spot Prices'!$E:$E)</f>
        <v>47.31</v>
      </c>
      <c r="D181">
        <f>_xlfn.XLOOKUP(A181,'[1]Global_Spot Prices'!$B:$B,'[1]Global_Spot Prices'!$D:$D)</f>
        <v>47.99</v>
      </c>
      <c r="E181">
        <f>_xlfn.XLOOKUP(A181,'[1]Global_Spot Prices'!$B:$B,'[1]Global_Spot Prices'!$H:$H)</f>
        <v>47.48</v>
      </c>
      <c r="F181">
        <f>_xlfn.XLOOKUP(A181,'[1]Global_Spot Prices'!$B:$B,'[1]Global_Spot Prices'!$I:$I)</f>
        <v>62.29</v>
      </c>
      <c r="G181" cm="1">
        <f t="array" ref="G181">_xlfn.XLOOKUP(TEXT(A181, "mmm-yy"), TEXT([2]RUNS!$B$5:$B$208, "mmm-yy"), [2]RUNS!$D$5:$D$208, "Not Found")</f>
        <v>26046.201334994337</v>
      </c>
      <c r="H181" cm="1">
        <f t="array" ref="H181">SUMPRODUCT(
    --(TEXT('[3]Global Weekly Stock (EWSuez'!$B$4:$B$2000,"mmm-yy")=TEXT(A181,"mmm-yy")),
    '[3]Global Weekly Stock (EWSuez'!$E$4:$E$2000)
/
SUMPRODUCT(
    --(TEXT('[3]Global Weekly Stock (EWSuez'!$B$4:$B$2000,"mmm-yy")=TEXT(A181,"mmm-yy"))
)</f>
        <v>11501.25</v>
      </c>
      <c r="I181">
        <f>_xlfn.XLOOKUP(A181,[1]ForwardDeriv!$D:$D,[1]ForwardDeriv!$AJ:$AJ)</f>
        <v>1.3599999999999994</v>
      </c>
      <c r="J181" cm="1">
        <f t="array" ref="J181">_xlfn.XLOOKUP(TEXT(A181, "mmm-yy"), TEXT([2]GASOLINE!$B$5:$B$208, "mmm-yy"), [2]GASOLINE!$IR$5:$IR$208, "Not Found")</f>
        <v>33.844819503102343</v>
      </c>
      <c r="K181" cm="1">
        <f t="array" ref="K181">_xlfn.XLOOKUP(TEXT(A181, "mmm-yy"), TEXT([2]GASOLINE!$B$5:$B$208, "mmm-yy"), [2]GASOLINE!$IK$5:$IK$208, "Not Found")</f>
        <v>0</v>
      </c>
      <c r="L181">
        <f t="shared" si="2"/>
        <v>1</v>
      </c>
      <c r="M181" cm="1">
        <f t="array" ref="M181">_xlfn.XLOOKUP(TEXT(A181, "mmm-yy"), TEXT([2]GASOLINE!$B$5:$B$208, "mmm-yy"), [2]GASOLINE!$C$5:$C$208, "Not Found")</f>
        <v>6531.985522591739</v>
      </c>
      <c r="N181" cm="1">
        <f t="array" ref="N181">_xlfn.XLOOKUP(TEXT(A181, "mmm-yy"), TEXT([2]RUNS!$B$5:$B$208, "mmm-yy"), [2]RUNS!$BM$5:$BM$208, "Not Found")</f>
        <v>0.78075909050015857</v>
      </c>
    </row>
    <row r="182" spans="1:14" x14ac:dyDescent="0.25">
      <c r="A182" s="1">
        <f>'[1]Global_Spot Prices'!$B1491</f>
        <v>42257</v>
      </c>
      <c r="B182">
        <f>_xlfn.XLOOKUP(A182,'[1]Global_Spot Prices'!$B:$B,'[1]Global_Spot Prices'!$BS:$BS)</f>
        <v>15</v>
      </c>
      <c r="C182">
        <f>_xlfn.XLOOKUP(A182,'[1]Global_Spot Prices'!$B:$B,'[1]Global_Spot Prices'!$E:$E)</f>
        <v>45.5</v>
      </c>
      <c r="D182">
        <f>_xlfn.XLOOKUP(A182,'[1]Global_Spot Prices'!$B:$B,'[1]Global_Spot Prices'!$D:$D)</f>
        <v>47.625</v>
      </c>
      <c r="E182">
        <f>_xlfn.XLOOKUP(A182,'[1]Global_Spot Prices'!$B:$B,'[1]Global_Spot Prices'!$H:$H)</f>
        <v>45.6</v>
      </c>
      <c r="F182">
        <f>_xlfn.XLOOKUP(A182,'[1]Global_Spot Prices'!$B:$B,'[1]Global_Spot Prices'!$I:$I)</f>
        <v>60.5</v>
      </c>
      <c r="G182" cm="1">
        <f t="array" ref="G182">_xlfn.XLOOKUP(TEXT(A182, "mmm-yy"), TEXT([2]RUNS!$B$5:$B$208, "mmm-yy"), [2]RUNS!$D$5:$D$208, "Not Found")</f>
        <v>26046.201334994337</v>
      </c>
      <c r="H182" cm="1">
        <f t="array" ref="H182">SUMPRODUCT(
    --(TEXT('[3]Global Weekly Stock (EWSuez'!$B$4:$B$2000,"mmm-yy")=TEXT(A182,"mmm-yy")),
    '[3]Global Weekly Stock (EWSuez'!$E$4:$E$2000)
/
SUMPRODUCT(
    --(TEXT('[3]Global Weekly Stock (EWSuez'!$B$4:$B$2000,"mmm-yy")=TEXT(A182,"mmm-yy"))
)</f>
        <v>11501.25</v>
      </c>
      <c r="I182">
        <f>_xlfn.XLOOKUP(A182,[1]ForwardDeriv!$D:$D,[1]ForwardDeriv!$AJ:$AJ)</f>
        <v>1.4000000000000057</v>
      </c>
      <c r="J182" cm="1">
        <f t="array" ref="J182">_xlfn.XLOOKUP(TEXT(A182, "mmm-yy"), TEXT([2]GASOLINE!$B$5:$B$208, "mmm-yy"), [2]GASOLINE!$IR$5:$IR$208, "Not Found")</f>
        <v>33.844819503102343</v>
      </c>
      <c r="K182" cm="1">
        <f t="array" ref="K182">_xlfn.XLOOKUP(TEXT(A182, "mmm-yy"), TEXT([2]GASOLINE!$B$5:$B$208, "mmm-yy"), [2]GASOLINE!$IK$5:$IK$208, "Not Found")</f>
        <v>0</v>
      </c>
      <c r="L182">
        <f t="shared" si="2"/>
        <v>1</v>
      </c>
      <c r="M182" cm="1">
        <f t="array" ref="M182">_xlfn.XLOOKUP(TEXT(A182, "mmm-yy"), TEXT([2]GASOLINE!$B$5:$B$208, "mmm-yy"), [2]GASOLINE!$C$5:$C$208, "Not Found")</f>
        <v>6531.985522591739</v>
      </c>
      <c r="N182" cm="1">
        <f t="array" ref="N182">_xlfn.XLOOKUP(TEXT(A182, "mmm-yy"), TEXT([2]RUNS!$B$5:$B$208, "mmm-yy"), [2]RUNS!$BM$5:$BM$208, "Not Found")</f>
        <v>0.78075909050015857</v>
      </c>
    </row>
    <row r="183" spans="1:14" x14ac:dyDescent="0.25">
      <c r="A183" s="1">
        <f>'[1]Global_Spot Prices'!$B1492</f>
        <v>42258</v>
      </c>
      <c r="B183" t="e">
        <f>_xlfn.XLOOKUP(A183,'[1]Global_Spot Prices'!$B:$B,'[1]Global_Spot Prices'!$BS:$BS)</f>
        <v>#N/A</v>
      </c>
      <c r="C183" t="str">
        <f>_xlfn.XLOOKUP(A183,'[1]Global_Spot Prices'!$B:$B,'[1]Global_Spot Prices'!$E:$E)</f>
        <v/>
      </c>
      <c r="D183">
        <f>_xlfn.XLOOKUP(A183,'[1]Global_Spot Prices'!$B:$B,'[1]Global_Spot Prices'!$D:$D)</f>
        <v>47.045000000000002</v>
      </c>
      <c r="E183">
        <f>_xlfn.XLOOKUP(A183,'[1]Global_Spot Prices'!$B:$B,'[1]Global_Spot Prices'!$H:$H)</f>
        <v>0</v>
      </c>
      <c r="F183">
        <f>_xlfn.XLOOKUP(A183,'[1]Global_Spot Prices'!$B:$B,'[1]Global_Spot Prices'!$I:$I)</f>
        <v>0</v>
      </c>
      <c r="G183" cm="1">
        <f t="array" ref="G183">_xlfn.XLOOKUP(TEXT(A183, "mmm-yy"), TEXT([2]RUNS!$B$5:$B$208, "mmm-yy"), [2]RUNS!$D$5:$D$208, "Not Found")</f>
        <v>26046.201334994337</v>
      </c>
      <c r="H183" cm="1">
        <f t="array" ref="H183">SUMPRODUCT(
    --(TEXT('[3]Global Weekly Stock (EWSuez'!$B$4:$B$2000,"mmm-yy")=TEXT(A183,"mmm-yy")),
    '[3]Global Weekly Stock (EWSuez'!$E$4:$E$2000)
/
SUMPRODUCT(
    --(TEXT('[3]Global Weekly Stock (EWSuez'!$B$4:$B$2000,"mmm-yy")=TEXT(A183,"mmm-yy"))
)</f>
        <v>11501.25</v>
      </c>
      <c r="I183">
        <f>_xlfn.XLOOKUP(A183,[1]ForwardDeriv!$D:$D,[1]ForwardDeriv!$AJ:$AJ)</f>
        <v>1.4499999999999957</v>
      </c>
      <c r="J183" cm="1">
        <f t="array" ref="J183">_xlfn.XLOOKUP(TEXT(A183, "mmm-yy"), TEXT([2]GASOLINE!$B$5:$B$208, "mmm-yy"), [2]GASOLINE!$IR$5:$IR$208, "Not Found")</f>
        <v>33.844819503102343</v>
      </c>
      <c r="K183" cm="1">
        <f t="array" ref="K183">_xlfn.XLOOKUP(TEXT(A183, "mmm-yy"), TEXT([2]GASOLINE!$B$5:$B$208, "mmm-yy"), [2]GASOLINE!$IK$5:$IK$208, "Not Found")</f>
        <v>0</v>
      </c>
      <c r="L183">
        <f t="shared" si="2"/>
        <v>1</v>
      </c>
      <c r="M183" cm="1">
        <f t="array" ref="M183">_xlfn.XLOOKUP(TEXT(A183, "mmm-yy"), TEXT([2]GASOLINE!$B$5:$B$208, "mmm-yy"), [2]GASOLINE!$C$5:$C$208, "Not Found")</f>
        <v>6531.985522591739</v>
      </c>
      <c r="N183" cm="1">
        <f t="array" ref="N183">_xlfn.XLOOKUP(TEXT(A183, "mmm-yy"), TEXT([2]RUNS!$B$5:$B$208, "mmm-yy"), [2]RUNS!$BM$5:$BM$208, "Not Found")</f>
        <v>0.78075909050015857</v>
      </c>
    </row>
    <row r="184" spans="1:14" x14ac:dyDescent="0.25">
      <c r="A184" s="1">
        <f>'[1]Global_Spot Prices'!$B1493</f>
        <v>42261</v>
      </c>
      <c r="B184">
        <f>_xlfn.XLOOKUP(A184,'[1]Global_Spot Prices'!$B:$B,'[1]Global_Spot Prices'!$BS:$BS)</f>
        <v>16</v>
      </c>
      <c r="C184">
        <f>_xlfn.XLOOKUP(A184,'[1]Global_Spot Prices'!$B:$B,'[1]Global_Spot Prices'!$E:$E)</f>
        <v>44.7</v>
      </c>
      <c r="D184">
        <f>_xlfn.XLOOKUP(A184,'[1]Global_Spot Prices'!$B:$B,'[1]Global_Spot Prices'!$D:$D)</f>
        <v>46.034999999999997</v>
      </c>
      <c r="E184">
        <f>_xlfn.XLOOKUP(A184,'[1]Global_Spot Prices'!$B:$B,'[1]Global_Spot Prices'!$H:$H)</f>
        <v>46</v>
      </c>
      <c r="F184">
        <f>_xlfn.XLOOKUP(A184,'[1]Global_Spot Prices'!$B:$B,'[1]Global_Spot Prices'!$I:$I)</f>
        <v>60.7</v>
      </c>
      <c r="G184" cm="1">
        <f t="array" ref="G184">_xlfn.XLOOKUP(TEXT(A184, "mmm-yy"), TEXT([2]RUNS!$B$5:$B$208, "mmm-yy"), [2]RUNS!$D$5:$D$208, "Not Found")</f>
        <v>26046.201334994337</v>
      </c>
      <c r="H184" cm="1">
        <f t="array" ref="H184">SUMPRODUCT(
    --(TEXT('[3]Global Weekly Stock (EWSuez'!$B$4:$B$2000,"mmm-yy")=TEXT(A184,"mmm-yy")),
    '[3]Global Weekly Stock (EWSuez'!$E$4:$E$2000)
/
SUMPRODUCT(
    --(TEXT('[3]Global Weekly Stock (EWSuez'!$B$4:$B$2000,"mmm-yy")=TEXT(A184,"mmm-yy"))
)</f>
        <v>11501.25</v>
      </c>
      <c r="I184">
        <f>_xlfn.XLOOKUP(A184,[1]ForwardDeriv!$D:$D,[1]ForwardDeriv!$AJ:$AJ)</f>
        <v>1.4499999999999957</v>
      </c>
      <c r="J184" cm="1">
        <f t="array" ref="J184">_xlfn.XLOOKUP(TEXT(A184, "mmm-yy"), TEXT([2]GASOLINE!$B$5:$B$208, "mmm-yy"), [2]GASOLINE!$IR$5:$IR$208, "Not Found")</f>
        <v>33.844819503102343</v>
      </c>
      <c r="K184" cm="1">
        <f t="array" ref="K184">_xlfn.XLOOKUP(TEXT(A184, "mmm-yy"), TEXT([2]GASOLINE!$B$5:$B$208, "mmm-yy"), [2]GASOLINE!$IK$5:$IK$208, "Not Found")</f>
        <v>0</v>
      </c>
      <c r="L184">
        <f t="shared" si="2"/>
        <v>1</v>
      </c>
      <c r="M184" cm="1">
        <f t="array" ref="M184">_xlfn.XLOOKUP(TEXT(A184, "mmm-yy"), TEXT([2]GASOLINE!$B$5:$B$208, "mmm-yy"), [2]GASOLINE!$C$5:$C$208, "Not Found")</f>
        <v>6531.985522591739</v>
      </c>
      <c r="N184" cm="1">
        <f t="array" ref="N184">_xlfn.XLOOKUP(TEXT(A184, "mmm-yy"), TEXT([2]RUNS!$B$5:$B$208, "mmm-yy"), [2]RUNS!$BM$5:$BM$208, "Not Found")</f>
        <v>0.78075909050015857</v>
      </c>
    </row>
    <row r="185" spans="1:14" x14ac:dyDescent="0.25">
      <c r="A185" s="1">
        <f>'[1]Global_Spot Prices'!$B1494</f>
        <v>42262</v>
      </c>
      <c r="B185">
        <f>_xlfn.XLOOKUP(A185,'[1]Global_Spot Prices'!$B:$B,'[1]Global_Spot Prices'!$BS:$BS)</f>
        <v>15.740000000000002</v>
      </c>
      <c r="C185">
        <f>_xlfn.XLOOKUP(A185,'[1]Global_Spot Prices'!$B:$B,'[1]Global_Spot Prices'!$E:$E)</f>
        <v>43.4</v>
      </c>
      <c r="D185">
        <f>_xlfn.XLOOKUP(A185,'[1]Global_Spot Prices'!$B:$B,'[1]Global_Spot Prices'!$D:$D)</f>
        <v>45.94</v>
      </c>
      <c r="E185">
        <f>_xlfn.XLOOKUP(A185,'[1]Global_Spot Prices'!$B:$B,'[1]Global_Spot Prices'!$H:$H)</f>
        <v>45.75</v>
      </c>
      <c r="F185">
        <f>_xlfn.XLOOKUP(A185,'[1]Global_Spot Prices'!$B:$B,'[1]Global_Spot Prices'!$I:$I)</f>
        <v>59.14</v>
      </c>
      <c r="G185" cm="1">
        <f t="array" ref="G185">_xlfn.XLOOKUP(TEXT(A185, "mmm-yy"), TEXT([2]RUNS!$B$5:$B$208, "mmm-yy"), [2]RUNS!$D$5:$D$208, "Not Found")</f>
        <v>26046.201334994337</v>
      </c>
      <c r="H185" cm="1">
        <f t="array" ref="H185">SUMPRODUCT(
    --(TEXT('[3]Global Weekly Stock (EWSuez'!$B$4:$B$2000,"mmm-yy")=TEXT(A185,"mmm-yy")),
    '[3]Global Weekly Stock (EWSuez'!$E$4:$E$2000)
/
SUMPRODUCT(
    --(TEXT('[3]Global Weekly Stock (EWSuez'!$B$4:$B$2000,"mmm-yy")=TEXT(A185,"mmm-yy"))
)</f>
        <v>11501.25</v>
      </c>
      <c r="I185">
        <f>_xlfn.XLOOKUP(A185,[1]ForwardDeriv!$D:$D,[1]ForwardDeriv!$AJ:$AJ)</f>
        <v>1.279999999999994</v>
      </c>
      <c r="J185" cm="1">
        <f t="array" ref="J185">_xlfn.XLOOKUP(TEXT(A185, "mmm-yy"), TEXT([2]GASOLINE!$B$5:$B$208, "mmm-yy"), [2]GASOLINE!$IR$5:$IR$208, "Not Found")</f>
        <v>33.844819503102343</v>
      </c>
      <c r="K185" cm="1">
        <f t="array" ref="K185">_xlfn.XLOOKUP(TEXT(A185, "mmm-yy"), TEXT([2]GASOLINE!$B$5:$B$208, "mmm-yy"), [2]GASOLINE!$IK$5:$IK$208, "Not Found")</f>
        <v>0</v>
      </c>
      <c r="L185">
        <f t="shared" si="2"/>
        <v>1</v>
      </c>
      <c r="M185" cm="1">
        <f t="array" ref="M185">_xlfn.XLOOKUP(TEXT(A185, "mmm-yy"), TEXT([2]GASOLINE!$B$5:$B$208, "mmm-yy"), [2]GASOLINE!$C$5:$C$208, "Not Found")</f>
        <v>6531.985522591739</v>
      </c>
      <c r="N185" cm="1">
        <f t="array" ref="N185">_xlfn.XLOOKUP(TEXT(A185, "mmm-yy"), TEXT([2]RUNS!$B$5:$B$208, "mmm-yy"), [2]RUNS!$BM$5:$BM$208, "Not Found")</f>
        <v>0.78075909050015857</v>
      </c>
    </row>
    <row r="186" spans="1:14" x14ac:dyDescent="0.25">
      <c r="A186" s="1">
        <f>'[1]Global_Spot Prices'!$B1495</f>
        <v>42263</v>
      </c>
      <c r="B186">
        <f>_xlfn.XLOOKUP(A186,'[1]Global_Spot Prices'!$B:$B,'[1]Global_Spot Prices'!$BS:$BS)</f>
        <v>16.46</v>
      </c>
      <c r="C186">
        <f>_xlfn.XLOOKUP(A186,'[1]Global_Spot Prices'!$B:$B,'[1]Global_Spot Prices'!$E:$E)</f>
        <v>44.07</v>
      </c>
      <c r="D186">
        <f>_xlfn.XLOOKUP(A186,'[1]Global_Spot Prices'!$B:$B,'[1]Global_Spot Prices'!$D:$D)</f>
        <v>48.795000000000002</v>
      </c>
      <c r="E186">
        <f>_xlfn.XLOOKUP(A186,'[1]Global_Spot Prices'!$B:$B,'[1]Global_Spot Prices'!$H:$H)</f>
        <v>47.34</v>
      </c>
      <c r="F186">
        <f>_xlfn.XLOOKUP(A186,'[1]Global_Spot Prices'!$B:$B,'[1]Global_Spot Prices'!$I:$I)</f>
        <v>60.53</v>
      </c>
      <c r="G186" cm="1">
        <f t="array" ref="G186">_xlfn.XLOOKUP(TEXT(A186, "mmm-yy"), TEXT([2]RUNS!$B$5:$B$208, "mmm-yy"), [2]RUNS!$D$5:$D$208, "Not Found")</f>
        <v>26046.201334994337</v>
      </c>
      <c r="H186" cm="1">
        <f t="array" ref="H186">SUMPRODUCT(
    --(TEXT('[3]Global Weekly Stock (EWSuez'!$B$4:$B$2000,"mmm-yy")=TEXT(A186,"mmm-yy")),
    '[3]Global Weekly Stock (EWSuez'!$E$4:$E$2000)
/
SUMPRODUCT(
    --(TEXT('[3]Global Weekly Stock (EWSuez'!$B$4:$B$2000,"mmm-yy")=TEXT(A186,"mmm-yy"))
)</f>
        <v>11501.25</v>
      </c>
      <c r="I186">
        <f>_xlfn.XLOOKUP(A186,[1]ForwardDeriv!$D:$D,[1]ForwardDeriv!$AJ:$AJ)</f>
        <v>1.4499999999999957</v>
      </c>
      <c r="J186" cm="1">
        <f t="array" ref="J186">_xlfn.XLOOKUP(TEXT(A186, "mmm-yy"), TEXT([2]GASOLINE!$B$5:$B$208, "mmm-yy"), [2]GASOLINE!$IR$5:$IR$208, "Not Found")</f>
        <v>33.844819503102343</v>
      </c>
      <c r="K186" cm="1">
        <f t="array" ref="K186">_xlfn.XLOOKUP(TEXT(A186, "mmm-yy"), TEXT([2]GASOLINE!$B$5:$B$208, "mmm-yy"), [2]GASOLINE!$IK$5:$IK$208, "Not Found")</f>
        <v>0</v>
      </c>
      <c r="L186">
        <f t="shared" si="2"/>
        <v>1</v>
      </c>
      <c r="M186" cm="1">
        <f t="array" ref="M186">_xlfn.XLOOKUP(TEXT(A186, "mmm-yy"), TEXT([2]GASOLINE!$B$5:$B$208, "mmm-yy"), [2]GASOLINE!$C$5:$C$208, "Not Found")</f>
        <v>6531.985522591739</v>
      </c>
      <c r="N186" cm="1">
        <f t="array" ref="N186">_xlfn.XLOOKUP(TEXT(A186, "mmm-yy"), TEXT([2]RUNS!$B$5:$B$208, "mmm-yy"), [2]RUNS!$BM$5:$BM$208, "Not Found")</f>
        <v>0.78075909050015857</v>
      </c>
    </row>
    <row r="187" spans="1:14" x14ac:dyDescent="0.25">
      <c r="A187" s="1">
        <f>'[1]Global_Spot Prices'!$B1496</f>
        <v>42264</v>
      </c>
      <c r="B187">
        <f>_xlfn.XLOOKUP(A187,'[1]Global_Spot Prices'!$B:$B,'[1]Global_Spot Prices'!$BS:$BS)</f>
        <v>16.129999999999995</v>
      </c>
      <c r="C187">
        <f>_xlfn.XLOOKUP(A187,'[1]Global_Spot Prices'!$B:$B,'[1]Global_Spot Prices'!$E:$E)</f>
        <v>45.45</v>
      </c>
      <c r="D187">
        <f>_xlfn.XLOOKUP(A187,'[1]Global_Spot Prices'!$B:$B,'[1]Global_Spot Prices'!$D:$D)</f>
        <v>48.08</v>
      </c>
      <c r="E187">
        <f>_xlfn.XLOOKUP(A187,'[1]Global_Spot Prices'!$B:$B,'[1]Global_Spot Prices'!$H:$H)</f>
        <v>48.1</v>
      </c>
      <c r="F187">
        <f>_xlfn.XLOOKUP(A187,'[1]Global_Spot Prices'!$B:$B,'[1]Global_Spot Prices'!$I:$I)</f>
        <v>61.58</v>
      </c>
      <c r="G187" cm="1">
        <f t="array" ref="G187">_xlfn.XLOOKUP(TEXT(A187, "mmm-yy"), TEXT([2]RUNS!$B$5:$B$208, "mmm-yy"), [2]RUNS!$D$5:$D$208, "Not Found")</f>
        <v>26046.201334994337</v>
      </c>
      <c r="H187" cm="1">
        <f t="array" ref="H187">SUMPRODUCT(
    --(TEXT('[3]Global Weekly Stock (EWSuez'!$B$4:$B$2000,"mmm-yy")=TEXT(A187,"mmm-yy")),
    '[3]Global Weekly Stock (EWSuez'!$E$4:$E$2000)
/
SUMPRODUCT(
    --(TEXT('[3]Global Weekly Stock (EWSuez'!$B$4:$B$2000,"mmm-yy")=TEXT(A187,"mmm-yy"))
)</f>
        <v>11501.25</v>
      </c>
      <c r="I187">
        <f>_xlfn.XLOOKUP(A187,[1]ForwardDeriv!$D:$D,[1]ForwardDeriv!$AJ:$AJ)</f>
        <v>1.4799999999999969</v>
      </c>
      <c r="J187" cm="1">
        <f t="array" ref="J187">_xlfn.XLOOKUP(TEXT(A187, "mmm-yy"), TEXT([2]GASOLINE!$B$5:$B$208, "mmm-yy"), [2]GASOLINE!$IR$5:$IR$208, "Not Found")</f>
        <v>33.844819503102343</v>
      </c>
      <c r="K187" cm="1">
        <f t="array" ref="K187">_xlfn.XLOOKUP(TEXT(A187, "mmm-yy"), TEXT([2]GASOLINE!$B$5:$B$208, "mmm-yy"), [2]GASOLINE!$IK$5:$IK$208, "Not Found")</f>
        <v>0</v>
      </c>
      <c r="L187">
        <f t="shared" si="2"/>
        <v>1</v>
      </c>
      <c r="M187" cm="1">
        <f t="array" ref="M187">_xlfn.XLOOKUP(TEXT(A187, "mmm-yy"), TEXT([2]GASOLINE!$B$5:$B$208, "mmm-yy"), [2]GASOLINE!$C$5:$C$208, "Not Found")</f>
        <v>6531.985522591739</v>
      </c>
      <c r="N187" cm="1">
        <f t="array" ref="N187">_xlfn.XLOOKUP(TEXT(A187, "mmm-yy"), TEXT([2]RUNS!$B$5:$B$208, "mmm-yy"), [2]RUNS!$BM$5:$BM$208, "Not Found")</f>
        <v>0.78075909050015857</v>
      </c>
    </row>
    <row r="188" spans="1:14" x14ac:dyDescent="0.25">
      <c r="A188" s="1">
        <f>'[1]Global_Spot Prices'!$B1497</f>
        <v>42265</v>
      </c>
      <c r="B188">
        <f>_xlfn.XLOOKUP(A188,'[1]Global_Spot Prices'!$B:$B,'[1]Global_Spot Prices'!$BS:$BS)</f>
        <v>16.32</v>
      </c>
      <c r="C188">
        <f>_xlfn.XLOOKUP(A188,'[1]Global_Spot Prices'!$B:$B,'[1]Global_Spot Prices'!$E:$E)</f>
        <v>44.95</v>
      </c>
      <c r="D188">
        <f>_xlfn.XLOOKUP(A188,'[1]Global_Spot Prices'!$B:$B,'[1]Global_Spot Prices'!$D:$D)</f>
        <v>46.914999999999999</v>
      </c>
      <c r="E188">
        <f>_xlfn.XLOOKUP(A188,'[1]Global_Spot Prices'!$B:$B,'[1]Global_Spot Prices'!$H:$H)</f>
        <v>47.8</v>
      </c>
      <c r="F188">
        <f>_xlfn.XLOOKUP(A188,'[1]Global_Spot Prices'!$B:$B,'[1]Global_Spot Prices'!$I:$I)</f>
        <v>61.27</v>
      </c>
      <c r="G188" cm="1">
        <f t="array" ref="G188">_xlfn.XLOOKUP(TEXT(A188, "mmm-yy"), TEXT([2]RUNS!$B$5:$B$208, "mmm-yy"), [2]RUNS!$D$5:$D$208, "Not Found")</f>
        <v>26046.201334994337</v>
      </c>
      <c r="H188" cm="1">
        <f t="array" ref="H188">SUMPRODUCT(
    --(TEXT('[3]Global Weekly Stock (EWSuez'!$B$4:$B$2000,"mmm-yy")=TEXT(A188,"mmm-yy")),
    '[3]Global Weekly Stock (EWSuez'!$E$4:$E$2000)
/
SUMPRODUCT(
    --(TEXT('[3]Global Weekly Stock (EWSuez'!$B$4:$B$2000,"mmm-yy")=TEXT(A188,"mmm-yy"))
)</f>
        <v>11501.25</v>
      </c>
      <c r="I188">
        <f>_xlfn.XLOOKUP(A188,[1]ForwardDeriv!$D:$D,[1]ForwardDeriv!$AJ:$AJ)</f>
        <v>1.4500000000000028</v>
      </c>
      <c r="J188" cm="1">
        <f t="array" ref="J188">_xlfn.XLOOKUP(TEXT(A188, "mmm-yy"), TEXT([2]GASOLINE!$B$5:$B$208, "mmm-yy"), [2]GASOLINE!$IR$5:$IR$208, "Not Found")</f>
        <v>33.844819503102343</v>
      </c>
      <c r="K188" cm="1">
        <f t="array" ref="K188">_xlfn.XLOOKUP(TEXT(A188, "mmm-yy"), TEXT([2]GASOLINE!$B$5:$B$208, "mmm-yy"), [2]GASOLINE!$IK$5:$IK$208, "Not Found")</f>
        <v>0</v>
      </c>
      <c r="L188">
        <f t="shared" si="2"/>
        <v>1</v>
      </c>
      <c r="M188" cm="1">
        <f t="array" ref="M188">_xlfn.XLOOKUP(TEXT(A188, "mmm-yy"), TEXT([2]GASOLINE!$B$5:$B$208, "mmm-yy"), [2]GASOLINE!$C$5:$C$208, "Not Found")</f>
        <v>6531.985522591739</v>
      </c>
      <c r="N188" cm="1">
        <f t="array" ref="N188">_xlfn.XLOOKUP(TEXT(A188, "mmm-yy"), TEXT([2]RUNS!$B$5:$B$208, "mmm-yy"), [2]RUNS!$BM$5:$BM$208, "Not Found")</f>
        <v>0.78075909050015857</v>
      </c>
    </row>
    <row r="189" spans="1:14" x14ac:dyDescent="0.25">
      <c r="A189" s="1">
        <f>'[1]Global_Spot Prices'!$B1498</f>
        <v>42268</v>
      </c>
      <c r="B189">
        <f>_xlfn.XLOOKUP(A189,'[1]Global_Spot Prices'!$B:$B,'[1]Global_Spot Prices'!$BS:$BS)</f>
        <v>16.86</v>
      </c>
      <c r="C189">
        <f>_xlfn.XLOOKUP(A189,'[1]Global_Spot Prices'!$B:$B,'[1]Global_Spot Prices'!$E:$E)</f>
        <v>43.8</v>
      </c>
      <c r="D189">
        <f>_xlfn.XLOOKUP(A189,'[1]Global_Spot Prices'!$B:$B,'[1]Global_Spot Prices'!$D:$D)</f>
        <v>47.09</v>
      </c>
      <c r="E189">
        <f>_xlfn.XLOOKUP(A189,'[1]Global_Spot Prices'!$B:$B,'[1]Global_Spot Prices'!$H:$H)</f>
        <v>47.05</v>
      </c>
      <c r="F189">
        <f>_xlfn.XLOOKUP(A189,'[1]Global_Spot Prices'!$B:$B,'[1]Global_Spot Prices'!$I:$I)</f>
        <v>60.66</v>
      </c>
      <c r="G189" cm="1">
        <f t="array" ref="G189">_xlfn.XLOOKUP(TEXT(A189, "mmm-yy"), TEXT([2]RUNS!$B$5:$B$208, "mmm-yy"), [2]RUNS!$D$5:$D$208, "Not Found")</f>
        <v>26046.201334994337</v>
      </c>
      <c r="H189" cm="1">
        <f t="array" ref="H189">SUMPRODUCT(
    --(TEXT('[3]Global Weekly Stock (EWSuez'!$B$4:$B$2000,"mmm-yy")=TEXT(A189,"mmm-yy")),
    '[3]Global Weekly Stock (EWSuez'!$E$4:$E$2000)
/
SUMPRODUCT(
    --(TEXT('[3]Global Weekly Stock (EWSuez'!$B$4:$B$2000,"mmm-yy")=TEXT(A189,"mmm-yy"))
)</f>
        <v>11501.25</v>
      </c>
      <c r="I189">
        <f>_xlfn.XLOOKUP(A189,[1]ForwardDeriv!$D:$D,[1]ForwardDeriv!$AJ:$AJ)</f>
        <v>1.5499999999999972</v>
      </c>
      <c r="J189" cm="1">
        <f t="array" ref="J189">_xlfn.XLOOKUP(TEXT(A189, "mmm-yy"), TEXT([2]GASOLINE!$B$5:$B$208, "mmm-yy"), [2]GASOLINE!$IR$5:$IR$208, "Not Found")</f>
        <v>33.844819503102343</v>
      </c>
      <c r="K189" cm="1">
        <f t="array" ref="K189">_xlfn.XLOOKUP(TEXT(A189, "mmm-yy"), TEXT([2]GASOLINE!$B$5:$B$208, "mmm-yy"), [2]GASOLINE!$IK$5:$IK$208, "Not Found")</f>
        <v>0</v>
      </c>
      <c r="L189">
        <f t="shared" si="2"/>
        <v>1</v>
      </c>
      <c r="M189" cm="1">
        <f t="array" ref="M189">_xlfn.XLOOKUP(TEXT(A189, "mmm-yy"), TEXT([2]GASOLINE!$B$5:$B$208, "mmm-yy"), [2]GASOLINE!$C$5:$C$208, "Not Found")</f>
        <v>6531.985522591739</v>
      </c>
      <c r="N189" cm="1">
        <f t="array" ref="N189">_xlfn.XLOOKUP(TEXT(A189, "mmm-yy"), TEXT([2]RUNS!$B$5:$B$208, "mmm-yy"), [2]RUNS!$BM$5:$BM$208, "Not Found")</f>
        <v>0.78075909050015857</v>
      </c>
    </row>
    <row r="190" spans="1:14" x14ac:dyDescent="0.25">
      <c r="A190" s="1">
        <f>'[1]Global_Spot Prices'!$B1499</f>
        <v>42269</v>
      </c>
      <c r="B190">
        <f>_xlfn.XLOOKUP(A190,'[1]Global_Spot Prices'!$B:$B,'[1]Global_Spot Prices'!$BS:$BS)</f>
        <v>17.86</v>
      </c>
      <c r="C190">
        <f>_xlfn.XLOOKUP(A190,'[1]Global_Spot Prices'!$B:$B,'[1]Global_Spot Prices'!$E:$E)</f>
        <v>44.2</v>
      </c>
      <c r="D190">
        <f>_xlfn.XLOOKUP(A190,'[1]Global_Spot Prices'!$B:$B,'[1]Global_Spot Prices'!$D:$D)</f>
        <v>46.79</v>
      </c>
      <c r="E190">
        <f>_xlfn.XLOOKUP(A190,'[1]Global_Spot Prices'!$B:$B,'[1]Global_Spot Prices'!$H:$H)</f>
        <v>47.62</v>
      </c>
      <c r="F190">
        <f>_xlfn.XLOOKUP(A190,'[1]Global_Spot Prices'!$B:$B,'[1]Global_Spot Prices'!$I:$I)</f>
        <v>62.06</v>
      </c>
      <c r="G190" cm="1">
        <f t="array" ref="G190">_xlfn.XLOOKUP(TEXT(A190, "mmm-yy"), TEXT([2]RUNS!$B$5:$B$208, "mmm-yy"), [2]RUNS!$D$5:$D$208, "Not Found")</f>
        <v>26046.201334994337</v>
      </c>
      <c r="H190" cm="1">
        <f t="array" ref="H190">SUMPRODUCT(
    --(TEXT('[3]Global Weekly Stock (EWSuez'!$B$4:$B$2000,"mmm-yy")=TEXT(A190,"mmm-yy")),
    '[3]Global Weekly Stock (EWSuez'!$E$4:$E$2000)
/
SUMPRODUCT(
    --(TEXT('[3]Global Weekly Stock (EWSuez'!$B$4:$B$2000,"mmm-yy")=TEXT(A190,"mmm-yy"))
)</f>
        <v>11501.25</v>
      </c>
      <c r="I190">
        <f>_xlfn.XLOOKUP(A190,[1]ForwardDeriv!$D:$D,[1]ForwardDeriv!$AJ:$AJ)</f>
        <v>1.75</v>
      </c>
      <c r="J190" cm="1">
        <f t="array" ref="J190">_xlfn.XLOOKUP(TEXT(A190, "mmm-yy"), TEXT([2]GASOLINE!$B$5:$B$208, "mmm-yy"), [2]GASOLINE!$IR$5:$IR$208, "Not Found")</f>
        <v>33.844819503102343</v>
      </c>
      <c r="K190" cm="1">
        <f t="array" ref="K190">_xlfn.XLOOKUP(TEXT(A190, "mmm-yy"), TEXT([2]GASOLINE!$B$5:$B$208, "mmm-yy"), [2]GASOLINE!$IK$5:$IK$208, "Not Found")</f>
        <v>0</v>
      </c>
      <c r="L190">
        <f t="shared" si="2"/>
        <v>1</v>
      </c>
      <c r="M190" cm="1">
        <f t="array" ref="M190">_xlfn.XLOOKUP(TEXT(A190, "mmm-yy"), TEXT([2]GASOLINE!$B$5:$B$208, "mmm-yy"), [2]GASOLINE!$C$5:$C$208, "Not Found")</f>
        <v>6531.985522591739</v>
      </c>
      <c r="N190" cm="1">
        <f t="array" ref="N190">_xlfn.XLOOKUP(TEXT(A190, "mmm-yy"), TEXT([2]RUNS!$B$5:$B$208, "mmm-yy"), [2]RUNS!$BM$5:$BM$208, "Not Found")</f>
        <v>0.78075909050015857</v>
      </c>
    </row>
    <row r="191" spans="1:14" x14ac:dyDescent="0.25">
      <c r="A191" s="1">
        <f>'[1]Global_Spot Prices'!$B1500</f>
        <v>42270</v>
      </c>
      <c r="B191">
        <f>_xlfn.XLOOKUP(A191,'[1]Global_Spot Prices'!$B:$B,'[1]Global_Spot Prices'!$BS:$BS)</f>
        <v>18.72999999999999</v>
      </c>
      <c r="C191">
        <f>_xlfn.XLOOKUP(A191,'[1]Global_Spot Prices'!$B:$B,'[1]Global_Spot Prices'!$E:$E)</f>
        <v>45.34</v>
      </c>
      <c r="D191">
        <f>_xlfn.XLOOKUP(A191,'[1]Global_Spot Prices'!$B:$B,'[1]Global_Spot Prices'!$D:$D)</f>
        <v>48.25</v>
      </c>
      <c r="E191">
        <f>_xlfn.XLOOKUP(A191,'[1]Global_Spot Prices'!$B:$B,'[1]Global_Spot Prices'!$H:$H)</f>
        <v>48.4</v>
      </c>
      <c r="F191">
        <f>_xlfn.XLOOKUP(A191,'[1]Global_Spot Prices'!$B:$B,'[1]Global_Spot Prices'!$I:$I)</f>
        <v>64.069999999999993</v>
      </c>
      <c r="G191" cm="1">
        <f t="array" ref="G191">_xlfn.XLOOKUP(TEXT(A191, "mmm-yy"), TEXT([2]RUNS!$B$5:$B$208, "mmm-yy"), [2]RUNS!$D$5:$D$208, "Not Found")</f>
        <v>26046.201334994337</v>
      </c>
      <c r="H191" cm="1">
        <f t="array" ref="H191">SUMPRODUCT(
    --(TEXT('[3]Global Weekly Stock (EWSuez'!$B$4:$B$2000,"mmm-yy")=TEXT(A191,"mmm-yy")),
    '[3]Global Weekly Stock (EWSuez'!$E$4:$E$2000)
/
SUMPRODUCT(
    --(TEXT('[3]Global Weekly Stock (EWSuez'!$B$4:$B$2000,"mmm-yy")=TEXT(A191,"mmm-yy"))
)</f>
        <v>11501.25</v>
      </c>
      <c r="I191">
        <f>_xlfn.XLOOKUP(A191,[1]ForwardDeriv!$D:$D,[1]ForwardDeriv!$AJ:$AJ)</f>
        <v>1.75</v>
      </c>
      <c r="J191" cm="1">
        <f t="array" ref="J191">_xlfn.XLOOKUP(TEXT(A191, "mmm-yy"), TEXT([2]GASOLINE!$B$5:$B$208, "mmm-yy"), [2]GASOLINE!$IR$5:$IR$208, "Not Found")</f>
        <v>33.844819503102343</v>
      </c>
      <c r="K191" cm="1">
        <f t="array" ref="K191">_xlfn.XLOOKUP(TEXT(A191, "mmm-yy"), TEXT([2]GASOLINE!$B$5:$B$208, "mmm-yy"), [2]GASOLINE!$IK$5:$IK$208, "Not Found")</f>
        <v>0</v>
      </c>
      <c r="L191">
        <f t="shared" si="2"/>
        <v>1</v>
      </c>
      <c r="M191" cm="1">
        <f t="array" ref="M191">_xlfn.XLOOKUP(TEXT(A191, "mmm-yy"), TEXT([2]GASOLINE!$B$5:$B$208, "mmm-yy"), [2]GASOLINE!$C$5:$C$208, "Not Found")</f>
        <v>6531.985522591739</v>
      </c>
      <c r="N191" cm="1">
        <f t="array" ref="N191">_xlfn.XLOOKUP(TEXT(A191, "mmm-yy"), TEXT([2]RUNS!$B$5:$B$208, "mmm-yy"), [2]RUNS!$BM$5:$BM$208, "Not Found")</f>
        <v>0.78075909050015857</v>
      </c>
    </row>
    <row r="192" spans="1:14" x14ac:dyDescent="0.25">
      <c r="A192" s="1">
        <f>'[1]Global_Spot Prices'!$B1501</f>
        <v>42271</v>
      </c>
      <c r="B192" t="e">
        <f>_xlfn.XLOOKUP(A192,'[1]Global_Spot Prices'!$B:$B,'[1]Global_Spot Prices'!$BS:$BS)</f>
        <v>#N/A</v>
      </c>
      <c r="C192" t="str">
        <f>_xlfn.XLOOKUP(A192,'[1]Global_Spot Prices'!$B:$B,'[1]Global_Spot Prices'!$E:$E)</f>
        <v/>
      </c>
      <c r="D192">
        <f>_xlfn.XLOOKUP(A192,'[1]Global_Spot Prices'!$B:$B,'[1]Global_Spot Prices'!$D:$D)</f>
        <v>47.14</v>
      </c>
      <c r="E192">
        <f>_xlfn.XLOOKUP(A192,'[1]Global_Spot Prices'!$B:$B,'[1]Global_Spot Prices'!$H:$H)</f>
        <v>0</v>
      </c>
      <c r="F192">
        <f>_xlfn.XLOOKUP(A192,'[1]Global_Spot Prices'!$B:$B,'[1]Global_Spot Prices'!$I:$I)</f>
        <v>0</v>
      </c>
      <c r="G192" cm="1">
        <f t="array" ref="G192">_xlfn.XLOOKUP(TEXT(A192, "mmm-yy"), TEXT([2]RUNS!$B$5:$B$208, "mmm-yy"), [2]RUNS!$D$5:$D$208, "Not Found")</f>
        <v>26046.201334994337</v>
      </c>
      <c r="H192" cm="1">
        <f t="array" ref="H192">SUMPRODUCT(
    --(TEXT('[3]Global Weekly Stock (EWSuez'!$B$4:$B$2000,"mmm-yy")=TEXT(A192,"mmm-yy")),
    '[3]Global Weekly Stock (EWSuez'!$E$4:$E$2000)
/
SUMPRODUCT(
    --(TEXT('[3]Global Weekly Stock (EWSuez'!$B$4:$B$2000,"mmm-yy")=TEXT(A192,"mmm-yy"))
)</f>
        <v>11501.25</v>
      </c>
      <c r="I192">
        <f>_xlfn.XLOOKUP(A192,[1]ForwardDeriv!$D:$D,[1]ForwardDeriv!$AJ:$AJ)</f>
        <v>1.7999999999999972</v>
      </c>
      <c r="J192" cm="1">
        <f t="array" ref="J192">_xlfn.XLOOKUP(TEXT(A192, "mmm-yy"), TEXT([2]GASOLINE!$B$5:$B$208, "mmm-yy"), [2]GASOLINE!$IR$5:$IR$208, "Not Found")</f>
        <v>33.844819503102343</v>
      </c>
      <c r="K192" cm="1">
        <f t="array" ref="K192">_xlfn.XLOOKUP(TEXT(A192, "mmm-yy"), TEXT([2]GASOLINE!$B$5:$B$208, "mmm-yy"), [2]GASOLINE!$IK$5:$IK$208, "Not Found")</f>
        <v>0</v>
      </c>
      <c r="L192">
        <f t="shared" si="2"/>
        <v>1</v>
      </c>
      <c r="M192" cm="1">
        <f t="array" ref="M192">_xlfn.XLOOKUP(TEXT(A192, "mmm-yy"), TEXT([2]GASOLINE!$B$5:$B$208, "mmm-yy"), [2]GASOLINE!$C$5:$C$208, "Not Found")</f>
        <v>6531.985522591739</v>
      </c>
      <c r="N192" cm="1">
        <f t="array" ref="N192">_xlfn.XLOOKUP(TEXT(A192, "mmm-yy"), TEXT([2]RUNS!$B$5:$B$208, "mmm-yy"), [2]RUNS!$BM$5:$BM$208, "Not Found")</f>
        <v>0.78075909050015857</v>
      </c>
    </row>
    <row r="193" spans="1:14" x14ac:dyDescent="0.25">
      <c r="A193" s="1">
        <f>'[1]Global_Spot Prices'!$B1502</f>
        <v>42272</v>
      </c>
      <c r="B193">
        <f>_xlfn.XLOOKUP(A193,'[1]Global_Spot Prices'!$B:$B,'[1]Global_Spot Prices'!$BS:$BS)</f>
        <v>18.130000000000003</v>
      </c>
      <c r="C193">
        <f>_xlfn.XLOOKUP(A193,'[1]Global_Spot Prices'!$B:$B,'[1]Global_Spot Prices'!$E:$E)</f>
        <v>43.79</v>
      </c>
      <c r="D193">
        <f>_xlfn.XLOOKUP(A193,'[1]Global_Spot Prices'!$B:$B,'[1]Global_Spot Prices'!$D:$D)</f>
        <v>47.234999999999999</v>
      </c>
      <c r="E193">
        <f>_xlfn.XLOOKUP(A193,'[1]Global_Spot Prices'!$B:$B,'[1]Global_Spot Prices'!$H:$H)</f>
        <v>46.93</v>
      </c>
      <c r="F193">
        <f>_xlfn.XLOOKUP(A193,'[1]Global_Spot Prices'!$B:$B,'[1]Global_Spot Prices'!$I:$I)</f>
        <v>61.92</v>
      </c>
      <c r="G193" cm="1">
        <f t="array" ref="G193">_xlfn.XLOOKUP(TEXT(A193, "mmm-yy"), TEXT([2]RUNS!$B$5:$B$208, "mmm-yy"), [2]RUNS!$D$5:$D$208, "Not Found")</f>
        <v>26046.201334994337</v>
      </c>
      <c r="H193" cm="1">
        <f t="array" ref="H193">SUMPRODUCT(
    --(TEXT('[3]Global Weekly Stock (EWSuez'!$B$4:$B$2000,"mmm-yy")=TEXT(A193,"mmm-yy")),
    '[3]Global Weekly Stock (EWSuez'!$E$4:$E$2000)
/
SUMPRODUCT(
    --(TEXT('[3]Global Weekly Stock (EWSuez'!$B$4:$B$2000,"mmm-yy")=TEXT(A193,"mmm-yy"))
)</f>
        <v>11501.25</v>
      </c>
      <c r="I193">
        <f>_xlfn.XLOOKUP(A193,[1]ForwardDeriv!$D:$D,[1]ForwardDeriv!$AJ:$AJ)</f>
        <v>1.7999999999999972</v>
      </c>
      <c r="J193" cm="1">
        <f t="array" ref="J193">_xlfn.XLOOKUP(TEXT(A193, "mmm-yy"), TEXT([2]GASOLINE!$B$5:$B$208, "mmm-yy"), [2]GASOLINE!$IR$5:$IR$208, "Not Found")</f>
        <v>33.844819503102343</v>
      </c>
      <c r="K193" cm="1">
        <f t="array" ref="K193">_xlfn.XLOOKUP(TEXT(A193, "mmm-yy"), TEXT([2]GASOLINE!$B$5:$B$208, "mmm-yy"), [2]GASOLINE!$IK$5:$IK$208, "Not Found")</f>
        <v>0</v>
      </c>
      <c r="L193">
        <f t="shared" si="2"/>
        <v>1</v>
      </c>
      <c r="M193" cm="1">
        <f t="array" ref="M193">_xlfn.XLOOKUP(TEXT(A193, "mmm-yy"), TEXT([2]GASOLINE!$B$5:$B$208, "mmm-yy"), [2]GASOLINE!$C$5:$C$208, "Not Found")</f>
        <v>6531.985522591739</v>
      </c>
      <c r="N193" cm="1">
        <f t="array" ref="N193">_xlfn.XLOOKUP(TEXT(A193, "mmm-yy"), TEXT([2]RUNS!$B$5:$B$208, "mmm-yy"), [2]RUNS!$BM$5:$BM$208, "Not Found")</f>
        <v>0.78075909050015857</v>
      </c>
    </row>
    <row r="194" spans="1:14" x14ac:dyDescent="0.25">
      <c r="A194" s="1">
        <f>'[1]Global_Spot Prices'!$B1503</f>
        <v>42275</v>
      </c>
      <c r="B194">
        <f>_xlfn.XLOOKUP(A194,'[1]Global_Spot Prices'!$B:$B,'[1]Global_Spot Prices'!$BS:$BS)</f>
        <v>18.339999999999996</v>
      </c>
      <c r="C194">
        <f>_xlfn.XLOOKUP(A194,'[1]Global_Spot Prices'!$B:$B,'[1]Global_Spot Prices'!$E:$E)</f>
        <v>43.89</v>
      </c>
      <c r="D194">
        <f>_xlfn.XLOOKUP(A194,'[1]Global_Spot Prices'!$B:$B,'[1]Global_Spot Prices'!$D:$D)</f>
        <v>46.475000000000001</v>
      </c>
      <c r="E194">
        <f>_xlfn.XLOOKUP(A194,'[1]Global_Spot Prices'!$B:$B,'[1]Global_Spot Prices'!$H:$H)</f>
        <v>47.4</v>
      </c>
      <c r="F194">
        <f>_xlfn.XLOOKUP(A194,'[1]Global_Spot Prices'!$B:$B,'[1]Global_Spot Prices'!$I:$I)</f>
        <v>62.23</v>
      </c>
      <c r="G194" cm="1">
        <f t="array" ref="G194">_xlfn.XLOOKUP(TEXT(A194, "mmm-yy"), TEXT([2]RUNS!$B$5:$B$208, "mmm-yy"), [2]RUNS!$D$5:$D$208, "Not Found")</f>
        <v>26046.201334994337</v>
      </c>
      <c r="H194" cm="1">
        <f t="array" ref="H194">SUMPRODUCT(
    --(TEXT('[3]Global Weekly Stock (EWSuez'!$B$4:$B$2000,"mmm-yy")=TEXT(A194,"mmm-yy")),
    '[3]Global Weekly Stock (EWSuez'!$E$4:$E$2000)
/
SUMPRODUCT(
    --(TEXT('[3]Global Weekly Stock (EWSuez'!$B$4:$B$2000,"mmm-yy")=TEXT(A194,"mmm-yy"))
)</f>
        <v>11501.25</v>
      </c>
      <c r="I194">
        <f>_xlfn.XLOOKUP(A194,[1]ForwardDeriv!$D:$D,[1]ForwardDeriv!$AJ:$AJ)</f>
        <v>1.8500000000000014</v>
      </c>
      <c r="J194" cm="1">
        <f t="array" ref="J194">_xlfn.XLOOKUP(TEXT(A194, "mmm-yy"), TEXT([2]GASOLINE!$B$5:$B$208, "mmm-yy"), [2]GASOLINE!$IR$5:$IR$208, "Not Found")</f>
        <v>33.844819503102343</v>
      </c>
      <c r="K194" cm="1">
        <f t="array" ref="K194">_xlfn.XLOOKUP(TEXT(A194, "mmm-yy"), TEXT([2]GASOLINE!$B$5:$B$208, "mmm-yy"), [2]GASOLINE!$IK$5:$IK$208, "Not Found")</f>
        <v>0</v>
      </c>
      <c r="L194">
        <f t="shared" si="2"/>
        <v>1</v>
      </c>
      <c r="M194" cm="1">
        <f t="array" ref="M194">_xlfn.XLOOKUP(TEXT(A194, "mmm-yy"), TEXT([2]GASOLINE!$B$5:$B$208, "mmm-yy"), [2]GASOLINE!$C$5:$C$208, "Not Found")</f>
        <v>6531.985522591739</v>
      </c>
      <c r="N194" cm="1">
        <f t="array" ref="N194">_xlfn.XLOOKUP(TEXT(A194, "mmm-yy"), TEXT([2]RUNS!$B$5:$B$208, "mmm-yy"), [2]RUNS!$BM$5:$BM$208, "Not Found")</f>
        <v>0.78075909050015857</v>
      </c>
    </row>
    <row r="195" spans="1:14" x14ac:dyDescent="0.25">
      <c r="A195" s="1">
        <f>'[1]Global_Spot Prices'!$B1504</f>
        <v>42276</v>
      </c>
      <c r="B195">
        <f>_xlfn.XLOOKUP(A195,'[1]Global_Spot Prices'!$B:$B,'[1]Global_Spot Prices'!$BS:$BS)</f>
        <v>18.11</v>
      </c>
      <c r="C195">
        <f>_xlfn.XLOOKUP(A195,'[1]Global_Spot Prices'!$B:$B,'[1]Global_Spot Prices'!$E:$E)</f>
        <v>43.35</v>
      </c>
      <c r="D195">
        <f>_xlfn.XLOOKUP(A195,'[1]Global_Spot Prices'!$B:$B,'[1]Global_Spot Prices'!$D:$D)</f>
        <v>47.585000000000001</v>
      </c>
      <c r="E195">
        <f>_xlfn.XLOOKUP(A195,'[1]Global_Spot Prices'!$B:$B,'[1]Global_Spot Prices'!$H:$H)</f>
        <v>46.72</v>
      </c>
      <c r="F195">
        <f>_xlfn.XLOOKUP(A195,'[1]Global_Spot Prices'!$B:$B,'[1]Global_Spot Prices'!$I:$I)</f>
        <v>61.46</v>
      </c>
      <c r="G195" cm="1">
        <f t="array" ref="G195">_xlfn.XLOOKUP(TEXT(A195, "mmm-yy"), TEXT([2]RUNS!$B$5:$B$208, "mmm-yy"), [2]RUNS!$D$5:$D$208, "Not Found")</f>
        <v>26046.201334994337</v>
      </c>
      <c r="H195" cm="1">
        <f t="array" ref="H195">SUMPRODUCT(
    --(TEXT('[3]Global Weekly Stock (EWSuez'!$B$4:$B$2000,"mmm-yy")=TEXT(A195,"mmm-yy")),
    '[3]Global Weekly Stock (EWSuez'!$E$4:$E$2000)
/
SUMPRODUCT(
    --(TEXT('[3]Global Weekly Stock (EWSuez'!$B$4:$B$2000,"mmm-yy")=TEXT(A195,"mmm-yy"))
)</f>
        <v>11501.25</v>
      </c>
      <c r="I195">
        <f>_xlfn.XLOOKUP(A195,[1]ForwardDeriv!$D:$D,[1]ForwardDeriv!$AJ:$AJ)</f>
        <v>1.75</v>
      </c>
      <c r="J195" cm="1">
        <f t="array" ref="J195">_xlfn.XLOOKUP(TEXT(A195, "mmm-yy"), TEXT([2]GASOLINE!$B$5:$B$208, "mmm-yy"), [2]GASOLINE!$IR$5:$IR$208, "Not Found")</f>
        <v>33.844819503102343</v>
      </c>
      <c r="K195" cm="1">
        <f t="array" ref="K195">_xlfn.XLOOKUP(TEXT(A195, "mmm-yy"), TEXT([2]GASOLINE!$B$5:$B$208, "mmm-yy"), [2]GASOLINE!$IK$5:$IK$208, "Not Found")</f>
        <v>0</v>
      </c>
      <c r="L195">
        <f t="shared" ref="L195:L258" si="3">IF(OR(MONTH(A195)=6, MONTH(A195)=7, MONTH(A195)=8, MONTH(A195)=9), 1, 0)</f>
        <v>1</v>
      </c>
      <c r="M195" cm="1">
        <f t="array" ref="M195">_xlfn.XLOOKUP(TEXT(A195, "mmm-yy"), TEXT([2]GASOLINE!$B$5:$B$208, "mmm-yy"), [2]GASOLINE!$C$5:$C$208, "Not Found")</f>
        <v>6531.985522591739</v>
      </c>
      <c r="N195" cm="1">
        <f t="array" ref="N195">_xlfn.XLOOKUP(TEXT(A195, "mmm-yy"), TEXT([2]RUNS!$B$5:$B$208, "mmm-yy"), [2]RUNS!$BM$5:$BM$208, "Not Found")</f>
        <v>0.78075909050015857</v>
      </c>
    </row>
    <row r="196" spans="1:14" x14ac:dyDescent="0.25">
      <c r="A196" s="1">
        <f>'[1]Global_Spot Prices'!$B1505</f>
        <v>42277</v>
      </c>
      <c r="B196">
        <f>_xlfn.XLOOKUP(A196,'[1]Global_Spot Prices'!$B:$B,'[1]Global_Spot Prices'!$BS:$BS)</f>
        <v>18.21</v>
      </c>
      <c r="C196">
        <f>_xlfn.XLOOKUP(A196,'[1]Global_Spot Prices'!$B:$B,'[1]Global_Spot Prices'!$E:$E)</f>
        <v>43.5</v>
      </c>
      <c r="D196">
        <f>_xlfn.XLOOKUP(A196,'[1]Global_Spot Prices'!$B:$B,'[1]Global_Spot Prices'!$D:$D)</f>
        <v>47.284999999999997</v>
      </c>
      <c r="E196">
        <f>_xlfn.XLOOKUP(A196,'[1]Global_Spot Prices'!$B:$B,'[1]Global_Spot Prices'!$H:$H)</f>
        <v>46.83</v>
      </c>
      <c r="F196">
        <f>_xlfn.XLOOKUP(A196,'[1]Global_Spot Prices'!$B:$B,'[1]Global_Spot Prices'!$I:$I)</f>
        <v>61.71</v>
      </c>
      <c r="G196" cm="1">
        <f t="array" ref="G196">_xlfn.XLOOKUP(TEXT(A196, "mmm-yy"), TEXT([2]RUNS!$B$5:$B$208, "mmm-yy"), [2]RUNS!$D$5:$D$208, "Not Found")</f>
        <v>26046.201334994337</v>
      </c>
      <c r="H196" cm="1">
        <f t="array" ref="H196">SUMPRODUCT(
    --(TEXT('[3]Global Weekly Stock (EWSuez'!$B$4:$B$2000,"mmm-yy")=TEXT(A196,"mmm-yy")),
    '[3]Global Weekly Stock (EWSuez'!$E$4:$E$2000)
/
SUMPRODUCT(
    --(TEXT('[3]Global Weekly Stock (EWSuez'!$B$4:$B$2000,"mmm-yy")=TEXT(A196,"mmm-yy"))
)</f>
        <v>11501.25</v>
      </c>
      <c r="I196">
        <f>_xlfn.XLOOKUP(A196,[1]ForwardDeriv!$D:$D,[1]ForwardDeriv!$AJ:$AJ)</f>
        <v>1.8999999999999986</v>
      </c>
      <c r="J196" cm="1">
        <f t="array" ref="J196">_xlfn.XLOOKUP(TEXT(A196, "mmm-yy"), TEXT([2]GASOLINE!$B$5:$B$208, "mmm-yy"), [2]GASOLINE!$IR$5:$IR$208, "Not Found")</f>
        <v>33.844819503102343</v>
      </c>
      <c r="K196" cm="1">
        <f t="array" ref="K196">_xlfn.XLOOKUP(TEXT(A196, "mmm-yy"), TEXT([2]GASOLINE!$B$5:$B$208, "mmm-yy"), [2]GASOLINE!$IK$5:$IK$208, "Not Found")</f>
        <v>0</v>
      </c>
      <c r="L196">
        <f t="shared" si="3"/>
        <v>1</v>
      </c>
      <c r="M196" cm="1">
        <f t="array" ref="M196">_xlfn.XLOOKUP(TEXT(A196, "mmm-yy"), TEXT([2]GASOLINE!$B$5:$B$208, "mmm-yy"), [2]GASOLINE!$C$5:$C$208, "Not Found")</f>
        <v>6531.985522591739</v>
      </c>
      <c r="N196" cm="1">
        <f t="array" ref="N196">_xlfn.XLOOKUP(TEXT(A196, "mmm-yy"), TEXT([2]RUNS!$B$5:$B$208, "mmm-yy"), [2]RUNS!$BM$5:$BM$208, "Not Found")</f>
        <v>0.78075909050015857</v>
      </c>
    </row>
    <row r="197" spans="1:14" x14ac:dyDescent="0.25">
      <c r="A197" s="1">
        <f>'[1]Global_Spot Prices'!$B1506</f>
        <v>42278</v>
      </c>
      <c r="B197">
        <f>_xlfn.XLOOKUP(A197,'[1]Global_Spot Prices'!$B:$B,'[1]Global_Spot Prices'!$BS:$BS)</f>
        <v>18.920000000000002</v>
      </c>
      <c r="C197">
        <f>_xlfn.XLOOKUP(A197,'[1]Global_Spot Prices'!$B:$B,'[1]Global_Spot Prices'!$E:$E)</f>
        <v>45.75</v>
      </c>
      <c r="D197">
        <f>_xlfn.XLOOKUP(A197,'[1]Global_Spot Prices'!$B:$B,'[1]Global_Spot Prices'!$D:$D)</f>
        <v>47.784999999999997</v>
      </c>
      <c r="E197">
        <f>_xlfn.XLOOKUP(A197,'[1]Global_Spot Prices'!$B:$B,'[1]Global_Spot Prices'!$H:$H)</f>
        <v>48.14</v>
      </c>
      <c r="F197">
        <f>_xlfn.XLOOKUP(A197,'[1]Global_Spot Prices'!$B:$B,'[1]Global_Spot Prices'!$I:$I)</f>
        <v>64.67</v>
      </c>
      <c r="G197" cm="1">
        <f t="array" ref="G197">_xlfn.XLOOKUP(TEXT(A197, "mmm-yy"), TEXT([2]RUNS!$B$5:$B$208, "mmm-yy"), [2]RUNS!$D$5:$D$208, "Not Found")</f>
        <v>25943.607353552408</v>
      </c>
      <c r="H197" cm="1">
        <f t="array" ref="H197">SUMPRODUCT(
    --(TEXT('[3]Global Weekly Stock (EWSuez'!$B$4:$B$2000,"mmm-yy")=TEXT(A197,"mmm-yy")),
    '[3]Global Weekly Stock (EWSuez'!$E$4:$E$2000)
/
SUMPRODUCT(
    --(TEXT('[3]Global Weekly Stock (EWSuez'!$B$4:$B$2000,"mmm-yy")=TEXT(A197,"mmm-yy"))
)</f>
        <v>10686</v>
      </c>
      <c r="I197">
        <f>_xlfn.XLOOKUP(A197,[1]ForwardDeriv!$D:$D,[1]ForwardDeriv!$AJ:$AJ)</f>
        <v>0.85000000000000142</v>
      </c>
      <c r="J197" cm="1">
        <f t="array" ref="J197">_xlfn.XLOOKUP(TEXT(A197, "mmm-yy"), TEXT([2]GASOLINE!$B$5:$B$208, "mmm-yy"), [2]GASOLINE!$IR$5:$IR$208, "Not Found")</f>
        <v>-60.688154632015326</v>
      </c>
      <c r="K197" cm="1">
        <f t="array" ref="K197">_xlfn.XLOOKUP(TEXT(A197, "mmm-yy"), TEXT([2]GASOLINE!$B$5:$B$208, "mmm-yy"), [2]GASOLINE!$IK$5:$IK$208, "Not Found")</f>
        <v>0</v>
      </c>
      <c r="L197">
        <f t="shared" si="3"/>
        <v>0</v>
      </c>
      <c r="M197" cm="1">
        <f t="array" ref="M197">_xlfn.XLOOKUP(TEXT(A197, "mmm-yy"), TEXT([2]GASOLINE!$B$5:$B$208, "mmm-yy"), [2]GASOLINE!$C$5:$C$208, "Not Found")</f>
        <v>6576.9201702008177</v>
      </c>
      <c r="N197" cm="1">
        <f t="array" ref="N197">_xlfn.XLOOKUP(TEXT(A197, "mmm-yy"), TEXT([2]RUNS!$B$5:$B$208, "mmm-yy"), [2]RUNS!$BM$5:$BM$208, "Not Found")</f>
        <v>0.77684774684250835</v>
      </c>
    </row>
    <row r="198" spans="1:14" x14ac:dyDescent="0.25">
      <c r="A198" s="1">
        <f>'[1]Global_Spot Prices'!$B1507</f>
        <v>42279</v>
      </c>
      <c r="B198">
        <f>_xlfn.XLOOKUP(A198,'[1]Global_Spot Prices'!$B:$B,'[1]Global_Spot Prices'!$BS:$BS)</f>
        <v>17.75</v>
      </c>
      <c r="C198">
        <f>_xlfn.XLOOKUP(A198,'[1]Global_Spot Prices'!$B:$B,'[1]Global_Spot Prices'!$E:$E)</f>
        <v>45.12</v>
      </c>
      <c r="D198">
        <f>_xlfn.XLOOKUP(A198,'[1]Global_Spot Prices'!$B:$B,'[1]Global_Spot Prices'!$D:$D)</f>
        <v>46.505000000000003</v>
      </c>
      <c r="E198">
        <f>_xlfn.XLOOKUP(A198,'[1]Global_Spot Prices'!$B:$B,'[1]Global_Spot Prices'!$H:$H)</f>
        <v>47.54</v>
      </c>
      <c r="F198">
        <f>_xlfn.XLOOKUP(A198,'[1]Global_Spot Prices'!$B:$B,'[1]Global_Spot Prices'!$I:$I)</f>
        <v>62.87</v>
      </c>
      <c r="G198" cm="1">
        <f t="array" ref="G198">_xlfn.XLOOKUP(TEXT(A198, "mmm-yy"), TEXT([2]RUNS!$B$5:$B$208, "mmm-yy"), [2]RUNS!$D$5:$D$208, "Not Found")</f>
        <v>25943.607353552408</v>
      </c>
      <c r="H198" cm="1">
        <f t="array" ref="H198">SUMPRODUCT(
    --(TEXT('[3]Global Weekly Stock (EWSuez'!$B$4:$B$2000,"mmm-yy")=TEXT(A198,"mmm-yy")),
    '[3]Global Weekly Stock (EWSuez'!$E$4:$E$2000)
/
SUMPRODUCT(
    --(TEXT('[3]Global Weekly Stock (EWSuez'!$B$4:$B$2000,"mmm-yy")=TEXT(A198,"mmm-yy"))
)</f>
        <v>10686</v>
      </c>
      <c r="I198">
        <f>_xlfn.XLOOKUP(A198,[1]ForwardDeriv!$D:$D,[1]ForwardDeriv!$AJ:$AJ)</f>
        <v>0.70000000000000284</v>
      </c>
      <c r="J198" cm="1">
        <f t="array" ref="J198">_xlfn.XLOOKUP(TEXT(A198, "mmm-yy"), TEXT([2]GASOLINE!$B$5:$B$208, "mmm-yy"), [2]GASOLINE!$IR$5:$IR$208, "Not Found")</f>
        <v>-60.688154632015326</v>
      </c>
      <c r="K198" cm="1">
        <f t="array" ref="K198">_xlfn.XLOOKUP(TEXT(A198, "mmm-yy"), TEXT([2]GASOLINE!$B$5:$B$208, "mmm-yy"), [2]GASOLINE!$IK$5:$IK$208, "Not Found")</f>
        <v>0</v>
      </c>
      <c r="L198">
        <f t="shared" si="3"/>
        <v>0</v>
      </c>
      <c r="M198" cm="1">
        <f t="array" ref="M198">_xlfn.XLOOKUP(TEXT(A198, "mmm-yy"), TEXT([2]GASOLINE!$B$5:$B$208, "mmm-yy"), [2]GASOLINE!$C$5:$C$208, "Not Found")</f>
        <v>6576.9201702008177</v>
      </c>
      <c r="N198" cm="1">
        <f t="array" ref="N198">_xlfn.XLOOKUP(TEXT(A198, "mmm-yy"), TEXT([2]RUNS!$B$5:$B$208, "mmm-yy"), [2]RUNS!$BM$5:$BM$208, "Not Found")</f>
        <v>0.77684774684250835</v>
      </c>
    </row>
    <row r="199" spans="1:14" x14ac:dyDescent="0.25">
      <c r="A199" s="1">
        <f>'[1]Global_Spot Prices'!$B1508</f>
        <v>42282</v>
      </c>
      <c r="B199">
        <f>_xlfn.XLOOKUP(A199,'[1]Global_Spot Prices'!$B:$B,'[1]Global_Spot Prices'!$BS:$BS)</f>
        <v>17.170000000000002</v>
      </c>
      <c r="C199">
        <f>_xlfn.XLOOKUP(A199,'[1]Global_Spot Prices'!$B:$B,'[1]Global_Spot Prices'!$E:$E)</f>
        <v>45.8</v>
      </c>
      <c r="D199">
        <f>_xlfn.XLOOKUP(A199,'[1]Global_Spot Prices'!$B:$B,'[1]Global_Spot Prices'!$D:$D)</f>
        <v>49.32</v>
      </c>
      <c r="E199">
        <f>_xlfn.XLOOKUP(A199,'[1]Global_Spot Prices'!$B:$B,'[1]Global_Spot Prices'!$H:$H)</f>
        <v>47.9</v>
      </c>
      <c r="F199">
        <f>_xlfn.XLOOKUP(A199,'[1]Global_Spot Prices'!$B:$B,'[1]Global_Spot Prices'!$I:$I)</f>
        <v>62.97</v>
      </c>
      <c r="G199" cm="1">
        <f t="array" ref="G199">_xlfn.XLOOKUP(TEXT(A199, "mmm-yy"), TEXT([2]RUNS!$B$5:$B$208, "mmm-yy"), [2]RUNS!$D$5:$D$208, "Not Found")</f>
        <v>25943.607353552408</v>
      </c>
      <c r="H199" cm="1">
        <f t="array" ref="H199">SUMPRODUCT(
    --(TEXT('[3]Global Weekly Stock (EWSuez'!$B$4:$B$2000,"mmm-yy")=TEXT(A199,"mmm-yy")),
    '[3]Global Weekly Stock (EWSuez'!$E$4:$E$2000)
/
SUMPRODUCT(
    --(TEXT('[3]Global Weekly Stock (EWSuez'!$B$4:$B$2000,"mmm-yy")=TEXT(A199,"mmm-yy"))
)</f>
        <v>10686</v>
      </c>
      <c r="I199">
        <f>_xlfn.XLOOKUP(A199,[1]ForwardDeriv!$D:$D,[1]ForwardDeriv!$AJ:$AJ)</f>
        <v>0.69999999999999574</v>
      </c>
      <c r="J199" cm="1">
        <f t="array" ref="J199">_xlfn.XLOOKUP(TEXT(A199, "mmm-yy"), TEXT([2]GASOLINE!$B$5:$B$208, "mmm-yy"), [2]GASOLINE!$IR$5:$IR$208, "Not Found")</f>
        <v>-60.688154632015326</v>
      </c>
      <c r="K199" cm="1">
        <f t="array" ref="K199">_xlfn.XLOOKUP(TEXT(A199, "mmm-yy"), TEXT([2]GASOLINE!$B$5:$B$208, "mmm-yy"), [2]GASOLINE!$IK$5:$IK$208, "Not Found")</f>
        <v>0</v>
      </c>
      <c r="L199">
        <f t="shared" si="3"/>
        <v>0</v>
      </c>
      <c r="M199" cm="1">
        <f t="array" ref="M199">_xlfn.XLOOKUP(TEXT(A199, "mmm-yy"), TEXT([2]GASOLINE!$B$5:$B$208, "mmm-yy"), [2]GASOLINE!$C$5:$C$208, "Not Found")</f>
        <v>6576.9201702008177</v>
      </c>
      <c r="N199" cm="1">
        <f t="array" ref="N199">_xlfn.XLOOKUP(TEXT(A199, "mmm-yy"), TEXT([2]RUNS!$B$5:$B$208, "mmm-yy"), [2]RUNS!$BM$5:$BM$208, "Not Found")</f>
        <v>0.77684774684250835</v>
      </c>
    </row>
    <row r="200" spans="1:14" x14ac:dyDescent="0.25">
      <c r="A200" s="1">
        <f>'[1]Global_Spot Prices'!$B1509</f>
        <v>42283</v>
      </c>
      <c r="B200">
        <f>_xlfn.XLOOKUP(A200,'[1]Global_Spot Prices'!$B:$B,'[1]Global_Spot Prices'!$BS:$BS)</f>
        <v>16.330000000000005</v>
      </c>
      <c r="C200">
        <f>_xlfn.XLOOKUP(A200,'[1]Global_Spot Prices'!$B:$B,'[1]Global_Spot Prices'!$E:$E)</f>
        <v>46.41</v>
      </c>
      <c r="D200">
        <f>_xlfn.XLOOKUP(A200,'[1]Global_Spot Prices'!$B:$B,'[1]Global_Spot Prices'!$D:$D)</f>
        <v>51.24</v>
      </c>
      <c r="E200">
        <f>_xlfn.XLOOKUP(A200,'[1]Global_Spot Prices'!$B:$B,'[1]Global_Spot Prices'!$H:$H)</f>
        <v>48.86</v>
      </c>
      <c r="F200">
        <f>_xlfn.XLOOKUP(A200,'[1]Global_Spot Prices'!$B:$B,'[1]Global_Spot Prices'!$I:$I)</f>
        <v>62.74</v>
      </c>
      <c r="G200" cm="1">
        <f t="array" ref="G200">_xlfn.XLOOKUP(TEXT(A200, "mmm-yy"), TEXT([2]RUNS!$B$5:$B$208, "mmm-yy"), [2]RUNS!$D$5:$D$208, "Not Found")</f>
        <v>25943.607353552408</v>
      </c>
      <c r="H200" cm="1">
        <f t="array" ref="H200">SUMPRODUCT(
    --(TEXT('[3]Global Weekly Stock (EWSuez'!$B$4:$B$2000,"mmm-yy")=TEXT(A200,"mmm-yy")),
    '[3]Global Weekly Stock (EWSuez'!$E$4:$E$2000)
/
SUMPRODUCT(
    --(TEXT('[3]Global Weekly Stock (EWSuez'!$B$4:$B$2000,"mmm-yy")=TEXT(A200,"mmm-yy"))
)</f>
        <v>10686</v>
      </c>
      <c r="I200">
        <f>_xlfn.XLOOKUP(A200,[1]ForwardDeriv!$D:$D,[1]ForwardDeriv!$AJ:$AJ)</f>
        <v>0.63000000000000256</v>
      </c>
      <c r="J200" cm="1">
        <f t="array" ref="J200">_xlfn.XLOOKUP(TEXT(A200, "mmm-yy"), TEXT([2]GASOLINE!$B$5:$B$208, "mmm-yy"), [2]GASOLINE!$IR$5:$IR$208, "Not Found")</f>
        <v>-60.688154632015326</v>
      </c>
      <c r="K200" cm="1">
        <f t="array" ref="K200">_xlfn.XLOOKUP(TEXT(A200, "mmm-yy"), TEXT([2]GASOLINE!$B$5:$B$208, "mmm-yy"), [2]GASOLINE!$IK$5:$IK$208, "Not Found")</f>
        <v>0</v>
      </c>
      <c r="L200">
        <f t="shared" si="3"/>
        <v>0</v>
      </c>
      <c r="M200" cm="1">
        <f t="array" ref="M200">_xlfn.XLOOKUP(TEXT(A200, "mmm-yy"), TEXT([2]GASOLINE!$B$5:$B$208, "mmm-yy"), [2]GASOLINE!$C$5:$C$208, "Not Found")</f>
        <v>6576.9201702008177</v>
      </c>
      <c r="N200" cm="1">
        <f t="array" ref="N200">_xlfn.XLOOKUP(TEXT(A200, "mmm-yy"), TEXT([2]RUNS!$B$5:$B$208, "mmm-yy"), [2]RUNS!$BM$5:$BM$208, "Not Found")</f>
        <v>0.77684774684250835</v>
      </c>
    </row>
    <row r="201" spans="1:14" x14ac:dyDescent="0.25">
      <c r="A201" s="1">
        <f>'[1]Global_Spot Prices'!$B1510</f>
        <v>42284</v>
      </c>
      <c r="B201">
        <f>_xlfn.XLOOKUP(A201,'[1]Global_Spot Prices'!$B:$B,'[1]Global_Spot Prices'!$BS:$BS)</f>
        <v>14.71</v>
      </c>
      <c r="C201">
        <f>_xlfn.XLOOKUP(A201,'[1]Global_Spot Prices'!$B:$B,'[1]Global_Spot Prices'!$E:$E)</f>
        <v>49.79</v>
      </c>
      <c r="D201">
        <f>_xlfn.XLOOKUP(A201,'[1]Global_Spot Prices'!$B:$B,'[1]Global_Spot Prices'!$D:$D)</f>
        <v>51.45</v>
      </c>
      <c r="E201">
        <f>_xlfn.XLOOKUP(A201,'[1]Global_Spot Prices'!$B:$B,'[1]Global_Spot Prices'!$H:$H)</f>
        <v>51.9</v>
      </c>
      <c r="F201">
        <f>_xlfn.XLOOKUP(A201,'[1]Global_Spot Prices'!$B:$B,'[1]Global_Spot Prices'!$I:$I)</f>
        <v>64.5</v>
      </c>
      <c r="G201" cm="1">
        <f t="array" ref="G201">_xlfn.XLOOKUP(TEXT(A201, "mmm-yy"), TEXT([2]RUNS!$B$5:$B$208, "mmm-yy"), [2]RUNS!$D$5:$D$208, "Not Found")</f>
        <v>25943.607353552408</v>
      </c>
      <c r="H201" cm="1">
        <f t="array" ref="H201">SUMPRODUCT(
    --(TEXT('[3]Global Weekly Stock (EWSuez'!$B$4:$B$2000,"mmm-yy")=TEXT(A201,"mmm-yy")),
    '[3]Global Weekly Stock (EWSuez'!$E$4:$E$2000)
/
SUMPRODUCT(
    --(TEXT('[3]Global Weekly Stock (EWSuez'!$B$4:$B$2000,"mmm-yy")=TEXT(A201,"mmm-yy"))
)</f>
        <v>10686</v>
      </c>
      <c r="I201">
        <f>_xlfn.XLOOKUP(A201,[1]ForwardDeriv!$D:$D,[1]ForwardDeriv!$AJ:$AJ)</f>
        <v>0.53000000000000114</v>
      </c>
      <c r="J201" cm="1">
        <f t="array" ref="J201">_xlfn.XLOOKUP(TEXT(A201, "mmm-yy"), TEXT([2]GASOLINE!$B$5:$B$208, "mmm-yy"), [2]GASOLINE!$IR$5:$IR$208, "Not Found")</f>
        <v>-60.688154632015326</v>
      </c>
      <c r="K201" cm="1">
        <f t="array" ref="K201">_xlfn.XLOOKUP(TEXT(A201, "mmm-yy"), TEXT([2]GASOLINE!$B$5:$B$208, "mmm-yy"), [2]GASOLINE!$IK$5:$IK$208, "Not Found")</f>
        <v>0</v>
      </c>
      <c r="L201">
        <f t="shared" si="3"/>
        <v>0</v>
      </c>
      <c r="M201" cm="1">
        <f t="array" ref="M201">_xlfn.XLOOKUP(TEXT(A201, "mmm-yy"), TEXT([2]GASOLINE!$B$5:$B$208, "mmm-yy"), [2]GASOLINE!$C$5:$C$208, "Not Found")</f>
        <v>6576.9201702008177</v>
      </c>
      <c r="N201" cm="1">
        <f t="array" ref="N201">_xlfn.XLOOKUP(TEXT(A201, "mmm-yy"), TEXT([2]RUNS!$B$5:$B$208, "mmm-yy"), [2]RUNS!$BM$5:$BM$208, "Not Found")</f>
        <v>0.77684774684250835</v>
      </c>
    </row>
    <row r="202" spans="1:14" x14ac:dyDescent="0.25">
      <c r="A202" s="1">
        <f>'[1]Global_Spot Prices'!$B1511</f>
        <v>42285</v>
      </c>
      <c r="B202">
        <f>_xlfn.XLOOKUP(A202,'[1]Global_Spot Prices'!$B:$B,'[1]Global_Spot Prices'!$BS:$BS)</f>
        <v>13.780000000000001</v>
      </c>
      <c r="C202">
        <f>_xlfn.XLOOKUP(A202,'[1]Global_Spot Prices'!$B:$B,'[1]Global_Spot Prices'!$E:$E)</f>
        <v>48.82</v>
      </c>
      <c r="D202">
        <f>_xlfn.XLOOKUP(A202,'[1]Global_Spot Prices'!$B:$B,'[1]Global_Spot Prices'!$D:$D)</f>
        <v>51.91</v>
      </c>
      <c r="E202">
        <f>_xlfn.XLOOKUP(A202,'[1]Global_Spot Prices'!$B:$B,'[1]Global_Spot Prices'!$H:$H)</f>
        <v>51.02</v>
      </c>
      <c r="F202">
        <f>_xlfn.XLOOKUP(A202,'[1]Global_Spot Prices'!$B:$B,'[1]Global_Spot Prices'!$I:$I)</f>
        <v>62.6</v>
      </c>
      <c r="G202" cm="1">
        <f t="array" ref="G202">_xlfn.XLOOKUP(TEXT(A202, "mmm-yy"), TEXT([2]RUNS!$B$5:$B$208, "mmm-yy"), [2]RUNS!$D$5:$D$208, "Not Found")</f>
        <v>25943.607353552408</v>
      </c>
      <c r="H202" cm="1">
        <f t="array" ref="H202">SUMPRODUCT(
    --(TEXT('[3]Global Weekly Stock (EWSuez'!$B$4:$B$2000,"mmm-yy")=TEXT(A202,"mmm-yy")),
    '[3]Global Weekly Stock (EWSuez'!$E$4:$E$2000)
/
SUMPRODUCT(
    --(TEXT('[3]Global Weekly Stock (EWSuez'!$B$4:$B$2000,"mmm-yy")=TEXT(A202,"mmm-yy"))
)</f>
        <v>10686</v>
      </c>
      <c r="I202">
        <f>_xlfn.XLOOKUP(A202,[1]ForwardDeriv!$D:$D,[1]ForwardDeriv!$AJ:$AJ)</f>
        <v>0.47999999999999687</v>
      </c>
      <c r="J202" cm="1">
        <f t="array" ref="J202">_xlfn.XLOOKUP(TEXT(A202, "mmm-yy"), TEXT([2]GASOLINE!$B$5:$B$208, "mmm-yy"), [2]GASOLINE!$IR$5:$IR$208, "Not Found")</f>
        <v>-60.688154632015326</v>
      </c>
      <c r="K202" cm="1">
        <f t="array" ref="K202">_xlfn.XLOOKUP(TEXT(A202, "mmm-yy"), TEXT([2]GASOLINE!$B$5:$B$208, "mmm-yy"), [2]GASOLINE!$IK$5:$IK$208, "Not Found")</f>
        <v>0</v>
      </c>
      <c r="L202">
        <f t="shared" si="3"/>
        <v>0</v>
      </c>
      <c r="M202" cm="1">
        <f t="array" ref="M202">_xlfn.XLOOKUP(TEXT(A202, "mmm-yy"), TEXT([2]GASOLINE!$B$5:$B$208, "mmm-yy"), [2]GASOLINE!$C$5:$C$208, "Not Found")</f>
        <v>6576.9201702008177</v>
      </c>
      <c r="N202" cm="1">
        <f t="array" ref="N202">_xlfn.XLOOKUP(TEXT(A202, "mmm-yy"), TEXT([2]RUNS!$B$5:$B$208, "mmm-yy"), [2]RUNS!$BM$5:$BM$208, "Not Found")</f>
        <v>0.77684774684250835</v>
      </c>
    </row>
    <row r="203" spans="1:14" x14ac:dyDescent="0.25">
      <c r="A203" s="1">
        <f>'[1]Global_Spot Prices'!$B1512</f>
        <v>42286</v>
      </c>
      <c r="B203">
        <f>_xlfn.XLOOKUP(A203,'[1]Global_Spot Prices'!$B:$B,'[1]Global_Spot Prices'!$BS:$BS)</f>
        <v>12.760000000000005</v>
      </c>
      <c r="C203">
        <f>_xlfn.XLOOKUP(A203,'[1]Global_Spot Prices'!$B:$B,'[1]Global_Spot Prices'!$E:$E)</f>
        <v>50.05</v>
      </c>
      <c r="D203">
        <f>_xlfn.XLOOKUP(A203,'[1]Global_Spot Prices'!$B:$B,'[1]Global_Spot Prices'!$D:$D)</f>
        <v>51.87</v>
      </c>
      <c r="E203">
        <f>_xlfn.XLOOKUP(A203,'[1]Global_Spot Prices'!$B:$B,'[1]Global_Spot Prices'!$H:$H)</f>
        <v>52.21</v>
      </c>
      <c r="F203">
        <f>_xlfn.XLOOKUP(A203,'[1]Global_Spot Prices'!$B:$B,'[1]Global_Spot Prices'!$I:$I)</f>
        <v>62.81</v>
      </c>
      <c r="G203" cm="1">
        <f t="array" ref="G203">_xlfn.XLOOKUP(TEXT(A203, "mmm-yy"), TEXT([2]RUNS!$B$5:$B$208, "mmm-yy"), [2]RUNS!$D$5:$D$208, "Not Found")</f>
        <v>25943.607353552408</v>
      </c>
      <c r="H203" cm="1">
        <f t="array" ref="H203">SUMPRODUCT(
    --(TEXT('[3]Global Weekly Stock (EWSuez'!$B$4:$B$2000,"mmm-yy")=TEXT(A203,"mmm-yy")),
    '[3]Global Weekly Stock (EWSuez'!$E$4:$E$2000)
/
SUMPRODUCT(
    --(TEXT('[3]Global Weekly Stock (EWSuez'!$B$4:$B$2000,"mmm-yy")=TEXT(A203,"mmm-yy"))
)</f>
        <v>10686</v>
      </c>
      <c r="I203">
        <f>_xlfn.XLOOKUP(A203,[1]ForwardDeriv!$D:$D,[1]ForwardDeriv!$AJ:$AJ)</f>
        <v>0.39999999999999858</v>
      </c>
      <c r="J203" cm="1">
        <f t="array" ref="J203">_xlfn.XLOOKUP(TEXT(A203, "mmm-yy"), TEXT([2]GASOLINE!$B$5:$B$208, "mmm-yy"), [2]GASOLINE!$IR$5:$IR$208, "Not Found")</f>
        <v>-60.688154632015326</v>
      </c>
      <c r="K203" cm="1">
        <f t="array" ref="K203">_xlfn.XLOOKUP(TEXT(A203, "mmm-yy"), TEXT([2]GASOLINE!$B$5:$B$208, "mmm-yy"), [2]GASOLINE!$IK$5:$IK$208, "Not Found")</f>
        <v>0</v>
      </c>
      <c r="L203">
        <f t="shared" si="3"/>
        <v>0</v>
      </c>
      <c r="M203" cm="1">
        <f t="array" ref="M203">_xlfn.XLOOKUP(TEXT(A203, "mmm-yy"), TEXT([2]GASOLINE!$B$5:$B$208, "mmm-yy"), [2]GASOLINE!$C$5:$C$208, "Not Found")</f>
        <v>6576.9201702008177</v>
      </c>
      <c r="N203" cm="1">
        <f t="array" ref="N203">_xlfn.XLOOKUP(TEXT(A203, "mmm-yy"), TEXT([2]RUNS!$B$5:$B$208, "mmm-yy"), [2]RUNS!$BM$5:$BM$208, "Not Found")</f>
        <v>0.77684774684250835</v>
      </c>
    </row>
    <row r="204" spans="1:14" x14ac:dyDescent="0.25">
      <c r="A204" s="1">
        <f>'[1]Global_Spot Prices'!$B1513</f>
        <v>42289</v>
      </c>
      <c r="B204">
        <f>_xlfn.XLOOKUP(A204,'[1]Global_Spot Prices'!$B:$B,'[1]Global_Spot Prices'!$BS:$BS)</f>
        <v>13.82</v>
      </c>
      <c r="C204">
        <f>_xlfn.XLOOKUP(A204,'[1]Global_Spot Prices'!$B:$B,'[1]Global_Spot Prices'!$E:$E)</f>
        <v>49.66</v>
      </c>
      <c r="D204">
        <f>_xlfn.XLOOKUP(A204,'[1]Global_Spot Prices'!$B:$B,'[1]Global_Spot Prices'!$D:$D)</f>
        <v>51.08</v>
      </c>
      <c r="E204">
        <f>_xlfn.XLOOKUP(A204,'[1]Global_Spot Prices'!$B:$B,'[1]Global_Spot Prices'!$H:$H)</f>
        <v>52.09</v>
      </c>
      <c r="F204">
        <f>_xlfn.XLOOKUP(A204,'[1]Global_Spot Prices'!$B:$B,'[1]Global_Spot Prices'!$I:$I)</f>
        <v>63.48</v>
      </c>
      <c r="G204" cm="1">
        <f t="array" ref="G204">_xlfn.XLOOKUP(TEXT(A204, "mmm-yy"), TEXT([2]RUNS!$B$5:$B$208, "mmm-yy"), [2]RUNS!$D$5:$D$208, "Not Found")</f>
        <v>25943.607353552408</v>
      </c>
      <c r="H204" cm="1">
        <f t="array" ref="H204">SUMPRODUCT(
    --(TEXT('[3]Global Weekly Stock (EWSuez'!$B$4:$B$2000,"mmm-yy")=TEXT(A204,"mmm-yy")),
    '[3]Global Weekly Stock (EWSuez'!$E$4:$E$2000)
/
SUMPRODUCT(
    --(TEXT('[3]Global Weekly Stock (EWSuez'!$B$4:$B$2000,"mmm-yy")=TEXT(A204,"mmm-yy"))
)</f>
        <v>10686</v>
      </c>
      <c r="I204">
        <f>_xlfn.XLOOKUP(A204,[1]ForwardDeriv!$D:$D,[1]ForwardDeriv!$AJ:$AJ)</f>
        <v>0.40000000000000568</v>
      </c>
      <c r="J204" cm="1">
        <f t="array" ref="J204">_xlfn.XLOOKUP(TEXT(A204, "mmm-yy"), TEXT([2]GASOLINE!$B$5:$B$208, "mmm-yy"), [2]GASOLINE!$IR$5:$IR$208, "Not Found")</f>
        <v>-60.688154632015326</v>
      </c>
      <c r="K204" cm="1">
        <f t="array" ref="K204">_xlfn.XLOOKUP(TEXT(A204, "mmm-yy"), TEXT([2]GASOLINE!$B$5:$B$208, "mmm-yy"), [2]GASOLINE!$IK$5:$IK$208, "Not Found")</f>
        <v>0</v>
      </c>
      <c r="L204">
        <f t="shared" si="3"/>
        <v>0</v>
      </c>
      <c r="M204" cm="1">
        <f t="array" ref="M204">_xlfn.XLOOKUP(TEXT(A204, "mmm-yy"), TEXT([2]GASOLINE!$B$5:$B$208, "mmm-yy"), [2]GASOLINE!$C$5:$C$208, "Not Found")</f>
        <v>6576.9201702008177</v>
      </c>
      <c r="N204" cm="1">
        <f t="array" ref="N204">_xlfn.XLOOKUP(TEXT(A204, "mmm-yy"), TEXT([2]RUNS!$B$5:$B$208, "mmm-yy"), [2]RUNS!$BM$5:$BM$208, "Not Found")</f>
        <v>0.77684774684250835</v>
      </c>
    </row>
    <row r="205" spans="1:14" x14ac:dyDescent="0.25">
      <c r="A205" s="1">
        <f>'[1]Global_Spot Prices'!$B1514</f>
        <v>42290</v>
      </c>
      <c r="B205">
        <f>_xlfn.XLOOKUP(A205,'[1]Global_Spot Prices'!$B:$B,'[1]Global_Spot Prices'!$BS:$BS)</f>
        <v>14.730000000000004</v>
      </c>
      <c r="C205">
        <f>_xlfn.XLOOKUP(A205,'[1]Global_Spot Prices'!$B:$B,'[1]Global_Spot Prices'!$E:$E)</f>
        <v>47.15</v>
      </c>
      <c r="D205">
        <f>_xlfn.XLOOKUP(A205,'[1]Global_Spot Prices'!$B:$B,'[1]Global_Spot Prices'!$D:$D)</f>
        <v>49.32</v>
      </c>
      <c r="E205">
        <f>_xlfn.XLOOKUP(A205,'[1]Global_Spot Prices'!$B:$B,'[1]Global_Spot Prices'!$H:$H)</f>
        <v>49.85</v>
      </c>
      <c r="F205">
        <f>_xlfn.XLOOKUP(A205,'[1]Global_Spot Prices'!$B:$B,'[1]Global_Spot Prices'!$I:$I)</f>
        <v>61.88</v>
      </c>
      <c r="G205" cm="1">
        <f t="array" ref="G205">_xlfn.XLOOKUP(TEXT(A205, "mmm-yy"), TEXT([2]RUNS!$B$5:$B$208, "mmm-yy"), [2]RUNS!$D$5:$D$208, "Not Found")</f>
        <v>25943.607353552408</v>
      </c>
      <c r="H205" cm="1">
        <f t="array" ref="H205">SUMPRODUCT(
    --(TEXT('[3]Global Weekly Stock (EWSuez'!$B$4:$B$2000,"mmm-yy")=TEXT(A205,"mmm-yy")),
    '[3]Global Weekly Stock (EWSuez'!$E$4:$E$2000)
/
SUMPRODUCT(
    --(TEXT('[3]Global Weekly Stock (EWSuez'!$B$4:$B$2000,"mmm-yy")=TEXT(A205,"mmm-yy"))
)</f>
        <v>10686</v>
      </c>
      <c r="I205">
        <f>_xlfn.XLOOKUP(A205,[1]ForwardDeriv!$D:$D,[1]ForwardDeriv!$AJ:$AJ)</f>
        <v>0.5</v>
      </c>
      <c r="J205" cm="1">
        <f t="array" ref="J205">_xlfn.XLOOKUP(TEXT(A205, "mmm-yy"), TEXT([2]GASOLINE!$B$5:$B$208, "mmm-yy"), [2]GASOLINE!$IR$5:$IR$208, "Not Found")</f>
        <v>-60.688154632015326</v>
      </c>
      <c r="K205" cm="1">
        <f t="array" ref="K205">_xlfn.XLOOKUP(TEXT(A205, "mmm-yy"), TEXT([2]GASOLINE!$B$5:$B$208, "mmm-yy"), [2]GASOLINE!$IK$5:$IK$208, "Not Found")</f>
        <v>0</v>
      </c>
      <c r="L205">
        <f t="shared" si="3"/>
        <v>0</v>
      </c>
      <c r="M205" cm="1">
        <f t="array" ref="M205">_xlfn.XLOOKUP(TEXT(A205, "mmm-yy"), TEXT([2]GASOLINE!$B$5:$B$208, "mmm-yy"), [2]GASOLINE!$C$5:$C$208, "Not Found")</f>
        <v>6576.9201702008177</v>
      </c>
      <c r="N205" cm="1">
        <f t="array" ref="N205">_xlfn.XLOOKUP(TEXT(A205, "mmm-yy"), TEXT([2]RUNS!$B$5:$B$208, "mmm-yy"), [2]RUNS!$BM$5:$BM$208, "Not Found")</f>
        <v>0.77684774684250835</v>
      </c>
    </row>
    <row r="206" spans="1:14" x14ac:dyDescent="0.25">
      <c r="A206" s="1">
        <f>'[1]Global_Spot Prices'!$B1515</f>
        <v>42291</v>
      </c>
      <c r="B206">
        <f>_xlfn.XLOOKUP(A206,'[1]Global_Spot Prices'!$B:$B,'[1]Global_Spot Prices'!$BS:$BS)</f>
        <v>14.86</v>
      </c>
      <c r="C206">
        <f>_xlfn.XLOOKUP(A206,'[1]Global_Spot Prices'!$B:$B,'[1]Global_Spot Prices'!$E:$E)</f>
        <v>46.2</v>
      </c>
      <c r="D206">
        <f>_xlfn.XLOOKUP(A206,'[1]Global_Spot Prices'!$B:$B,'[1]Global_Spot Prices'!$D:$D)</f>
        <v>48.305</v>
      </c>
      <c r="E206">
        <f>_xlfn.XLOOKUP(A206,'[1]Global_Spot Prices'!$B:$B,'[1]Global_Spot Prices'!$H:$H)</f>
        <v>49.11</v>
      </c>
      <c r="F206">
        <f>_xlfn.XLOOKUP(A206,'[1]Global_Spot Prices'!$B:$B,'[1]Global_Spot Prices'!$I:$I)</f>
        <v>61.06</v>
      </c>
      <c r="G206" cm="1">
        <f t="array" ref="G206">_xlfn.XLOOKUP(TEXT(A206, "mmm-yy"), TEXT([2]RUNS!$B$5:$B$208, "mmm-yy"), [2]RUNS!$D$5:$D$208, "Not Found")</f>
        <v>25943.607353552408</v>
      </c>
      <c r="H206" cm="1">
        <f t="array" ref="H206">SUMPRODUCT(
    --(TEXT('[3]Global Weekly Stock (EWSuez'!$B$4:$B$2000,"mmm-yy")=TEXT(A206,"mmm-yy")),
    '[3]Global Weekly Stock (EWSuez'!$E$4:$E$2000)
/
SUMPRODUCT(
    --(TEXT('[3]Global Weekly Stock (EWSuez'!$B$4:$B$2000,"mmm-yy")=TEXT(A206,"mmm-yy"))
)</f>
        <v>10686</v>
      </c>
      <c r="I206">
        <f>_xlfn.XLOOKUP(A206,[1]ForwardDeriv!$D:$D,[1]ForwardDeriv!$AJ:$AJ)</f>
        <v>0.5</v>
      </c>
      <c r="J206" cm="1">
        <f t="array" ref="J206">_xlfn.XLOOKUP(TEXT(A206, "mmm-yy"), TEXT([2]GASOLINE!$B$5:$B$208, "mmm-yy"), [2]GASOLINE!$IR$5:$IR$208, "Not Found")</f>
        <v>-60.688154632015326</v>
      </c>
      <c r="K206" cm="1">
        <f t="array" ref="K206">_xlfn.XLOOKUP(TEXT(A206, "mmm-yy"), TEXT([2]GASOLINE!$B$5:$B$208, "mmm-yy"), [2]GASOLINE!$IK$5:$IK$208, "Not Found")</f>
        <v>0</v>
      </c>
      <c r="L206">
        <f t="shared" si="3"/>
        <v>0</v>
      </c>
      <c r="M206" cm="1">
        <f t="array" ref="M206">_xlfn.XLOOKUP(TEXT(A206, "mmm-yy"), TEXT([2]GASOLINE!$B$5:$B$208, "mmm-yy"), [2]GASOLINE!$C$5:$C$208, "Not Found")</f>
        <v>6576.9201702008177</v>
      </c>
      <c r="N206" cm="1">
        <f t="array" ref="N206">_xlfn.XLOOKUP(TEXT(A206, "mmm-yy"), TEXT([2]RUNS!$B$5:$B$208, "mmm-yy"), [2]RUNS!$BM$5:$BM$208, "Not Found")</f>
        <v>0.77684774684250835</v>
      </c>
    </row>
    <row r="207" spans="1:14" x14ac:dyDescent="0.25">
      <c r="A207" s="1">
        <f>'[1]Global_Spot Prices'!$B1516</f>
        <v>42292</v>
      </c>
      <c r="B207">
        <f>_xlfn.XLOOKUP(A207,'[1]Global_Spot Prices'!$B:$B,'[1]Global_Spot Prices'!$BS:$BS)</f>
        <v>15.100000000000001</v>
      </c>
      <c r="C207">
        <f>_xlfn.XLOOKUP(A207,'[1]Global_Spot Prices'!$B:$B,'[1]Global_Spot Prices'!$E:$E)</f>
        <v>46.01</v>
      </c>
      <c r="D207">
        <f>_xlfn.XLOOKUP(A207,'[1]Global_Spot Prices'!$B:$B,'[1]Global_Spot Prices'!$D:$D)</f>
        <v>48.034999999999997</v>
      </c>
      <c r="E207">
        <f>_xlfn.XLOOKUP(A207,'[1]Global_Spot Prices'!$B:$B,'[1]Global_Spot Prices'!$H:$H)</f>
        <v>49.17</v>
      </c>
      <c r="F207">
        <f>_xlfn.XLOOKUP(A207,'[1]Global_Spot Prices'!$B:$B,'[1]Global_Spot Prices'!$I:$I)</f>
        <v>61.11</v>
      </c>
      <c r="G207" cm="1">
        <f t="array" ref="G207">_xlfn.XLOOKUP(TEXT(A207, "mmm-yy"), TEXT([2]RUNS!$B$5:$B$208, "mmm-yy"), [2]RUNS!$D$5:$D$208, "Not Found")</f>
        <v>25943.607353552408</v>
      </c>
      <c r="H207" cm="1">
        <f t="array" ref="H207">SUMPRODUCT(
    --(TEXT('[3]Global Weekly Stock (EWSuez'!$B$4:$B$2000,"mmm-yy")=TEXT(A207,"mmm-yy")),
    '[3]Global Weekly Stock (EWSuez'!$E$4:$E$2000)
/
SUMPRODUCT(
    --(TEXT('[3]Global Weekly Stock (EWSuez'!$B$4:$B$2000,"mmm-yy")=TEXT(A207,"mmm-yy"))
)</f>
        <v>10686</v>
      </c>
      <c r="I207">
        <f>_xlfn.XLOOKUP(A207,[1]ForwardDeriv!$D:$D,[1]ForwardDeriv!$AJ:$AJ)</f>
        <v>0.57999999999999829</v>
      </c>
      <c r="J207" cm="1">
        <f t="array" ref="J207">_xlfn.XLOOKUP(TEXT(A207, "mmm-yy"), TEXT([2]GASOLINE!$B$5:$B$208, "mmm-yy"), [2]GASOLINE!$IR$5:$IR$208, "Not Found")</f>
        <v>-60.688154632015326</v>
      </c>
      <c r="K207" cm="1">
        <f t="array" ref="K207">_xlfn.XLOOKUP(TEXT(A207, "mmm-yy"), TEXT([2]GASOLINE!$B$5:$B$208, "mmm-yy"), [2]GASOLINE!$IK$5:$IK$208, "Not Found")</f>
        <v>0</v>
      </c>
      <c r="L207">
        <f t="shared" si="3"/>
        <v>0</v>
      </c>
      <c r="M207" cm="1">
        <f t="array" ref="M207">_xlfn.XLOOKUP(TEXT(A207, "mmm-yy"), TEXT([2]GASOLINE!$B$5:$B$208, "mmm-yy"), [2]GASOLINE!$C$5:$C$208, "Not Found")</f>
        <v>6576.9201702008177</v>
      </c>
      <c r="N207" cm="1">
        <f t="array" ref="N207">_xlfn.XLOOKUP(TEXT(A207, "mmm-yy"), TEXT([2]RUNS!$B$5:$B$208, "mmm-yy"), [2]RUNS!$BM$5:$BM$208, "Not Found")</f>
        <v>0.77684774684250835</v>
      </c>
    </row>
    <row r="208" spans="1:14" x14ac:dyDescent="0.25">
      <c r="A208" s="1">
        <f>'[1]Global_Spot Prices'!$B1517</f>
        <v>42293</v>
      </c>
      <c r="B208">
        <f>_xlfn.XLOOKUP(A208,'[1]Global_Spot Prices'!$B:$B,'[1]Global_Spot Prices'!$BS:$BS)</f>
        <v>14.61</v>
      </c>
      <c r="C208">
        <f>_xlfn.XLOOKUP(A208,'[1]Global_Spot Prices'!$B:$B,'[1]Global_Spot Prices'!$E:$E)</f>
        <v>46.5</v>
      </c>
      <c r="D208">
        <f>_xlfn.XLOOKUP(A208,'[1]Global_Spot Prices'!$B:$B,'[1]Global_Spot Prices'!$D:$D)</f>
        <v>49.125</v>
      </c>
      <c r="E208">
        <f>_xlfn.XLOOKUP(A208,'[1]Global_Spot Prices'!$B:$B,'[1]Global_Spot Prices'!$H:$H)</f>
        <v>49.59</v>
      </c>
      <c r="F208">
        <f>_xlfn.XLOOKUP(A208,'[1]Global_Spot Prices'!$B:$B,'[1]Global_Spot Prices'!$I:$I)</f>
        <v>61.11</v>
      </c>
      <c r="G208" cm="1">
        <f t="array" ref="G208">_xlfn.XLOOKUP(TEXT(A208, "mmm-yy"), TEXT([2]RUNS!$B$5:$B$208, "mmm-yy"), [2]RUNS!$D$5:$D$208, "Not Found")</f>
        <v>25943.607353552408</v>
      </c>
      <c r="H208" cm="1">
        <f t="array" ref="H208">SUMPRODUCT(
    --(TEXT('[3]Global Weekly Stock (EWSuez'!$B$4:$B$2000,"mmm-yy")=TEXT(A208,"mmm-yy")),
    '[3]Global Weekly Stock (EWSuez'!$E$4:$E$2000)
/
SUMPRODUCT(
    --(TEXT('[3]Global Weekly Stock (EWSuez'!$B$4:$B$2000,"mmm-yy")=TEXT(A208,"mmm-yy"))
)</f>
        <v>10686</v>
      </c>
      <c r="I208">
        <f>_xlfn.XLOOKUP(A208,[1]ForwardDeriv!$D:$D,[1]ForwardDeriv!$AJ:$AJ)</f>
        <v>0.5</v>
      </c>
      <c r="J208" cm="1">
        <f t="array" ref="J208">_xlfn.XLOOKUP(TEXT(A208, "mmm-yy"), TEXT([2]GASOLINE!$B$5:$B$208, "mmm-yy"), [2]GASOLINE!$IR$5:$IR$208, "Not Found")</f>
        <v>-60.688154632015326</v>
      </c>
      <c r="K208" cm="1">
        <f t="array" ref="K208">_xlfn.XLOOKUP(TEXT(A208, "mmm-yy"), TEXT([2]GASOLINE!$B$5:$B$208, "mmm-yy"), [2]GASOLINE!$IK$5:$IK$208, "Not Found")</f>
        <v>0</v>
      </c>
      <c r="L208">
        <f t="shared" si="3"/>
        <v>0</v>
      </c>
      <c r="M208" cm="1">
        <f t="array" ref="M208">_xlfn.XLOOKUP(TEXT(A208, "mmm-yy"), TEXT([2]GASOLINE!$B$5:$B$208, "mmm-yy"), [2]GASOLINE!$C$5:$C$208, "Not Found")</f>
        <v>6576.9201702008177</v>
      </c>
      <c r="N208" cm="1">
        <f t="array" ref="N208">_xlfn.XLOOKUP(TEXT(A208, "mmm-yy"), TEXT([2]RUNS!$B$5:$B$208, "mmm-yy"), [2]RUNS!$BM$5:$BM$208, "Not Found")</f>
        <v>0.77684774684250835</v>
      </c>
    </row>
    <row r="209" spans="1:14" x14ac:dyDescent="0.25">
      <c r="A209" s="1">
        <f>'[1]Global_Spot Prices'!$B1518</f>
        <v>42296</v>
      </c>
      <c r="B209">
        <f>_xlfn.XLOOKUP(A209,'[1]Global_Spot Prices'!$B:$B,'[1]Global_Spot Prices'!$BS:$BS)</f>
        <v>13.509999999999998</v>
      </c>
      <c r="C209">
        <f>_xlfn.XLOOKUP(A209,'[1]Global_Spot Prices'!$B:$B,'[1]Global_Spot Prices'!$E:$E)</f>
        <v>45.99</v>
      </c>
      <c r="D209">
        <f>_xlfn.XLOOKUP(A209,'[1]Global_Spot Prices'!$B:$B,'[1]Global_Spot Prices'!$D:$D)</f>
        <v>47.33</v>
      </c>
      <c r="E209">
        <f>_xlfn.XLOOKUP(A209,'[1]Global_Spot Prices'!$B:$B,'[1]Global_Spot Prices'!$H:$H)</f>
        <v>48.96</v>
      </c>
      <c r="F209">
        <f>_xlfn.XLOOKUP(A209,'[1]Global_Spot Prices'!$B:$B,'[1]Global_Spot Prices'!$I:$I)</f>
        <v>59.5</v>
      </c>
      <c r="G209" cm="1">
        <f t="array" ref="G209">_xlfn.XLOOKUP(TEXT(A209, "mmm-yy"), TEXT([2]RUNS!$B$5:$B$208, "mmm-yy"), [2]RUNS!$D$5:$D$208, "Not Found")</f>
        <v>25943.607353552408</v>
      </c>
      <c r="H209" cm="1">
        <f t="array" ref="H209">SUMPRODUCT(
    --(TEXT('[3]Global Weekly Stock (EWSuez'!$B$4:$B$2000,"mmm-yy")=TEXT(A209,"mmm-yy")),
    '[3]Global Weekly Stock (EWSuez'!$E$4:$E$2000)
/
SUMPRODUCT(
    --(TEXT('[3]Global Weekly Stock (EWSuez'!$B$4:$B$2000,"mmm-yy")=TEXT(A209,"mmm-yy"))
)</f>
        <v>10686</v>
      </c>
      <c r="I209">
        <f>_xlfn.XLOOKUP(A209,[1]ForwardDeriv!$D:$D,[1]ForwardDeriv!$AJ:$AJ)</f>
        <v>0.44999999999999574</v>
      </c>
      <c r="J209" cm="1">
        <f t="array" ref="J209">_xlfn.XLOOKUP(TEXT(A209, "mmm-yy"), TEXT([2]GASOLINE!$B$5:$B$208, "mmm-yy"), [2]GASOLINE!$IR$5:$IR$208, "Not Found")</f>
        <v>-60.688154632015326</v>
      </c>
      <c r="K209" cm="1">
        <f t="array" ref="K209">_xlfn.XLOOKUP(TEXT(A209, "mmm-yy"), TEXT([2]GASOLINE!$B$5:$B$208, "mmm-yy"), [2]GASOLINE!$IK$5:$IK$208, "Not Found")</f>
        <v>0</v>
      </c>
      <c r="L209">
        <f t="shared" si="3"/>
        <v>0</v>
      </c>
      <c r="M209" cm="1">
        <f t="array" ref="M209">_xlfn.XLOOKUP(TEXT(A209, "mmm-yy"), TEXT([2]GASOLINE!$B$5:$B$208, "mmm-yy"), [2]GASOLINE!$C$5:$C$208, "Not Found")</f>
        <v>6576.9201702008177</v>
      </c>
      <c r="N209" cm="1">
        <f t="array" ref="N209">_xlfn.XLOOKUP(TEXT(A209, "mmm-yy"), TEXT([2]RUNS!$B$5:$B$208, "mmm-yy"), [2]RUNS!$BM$5:$BM$208, "Not Found")</f>
        <v>0.77684774684250835</v>
      </c>
    </row>
    <row r="210" spans="1:14" x14ac:dyDescent="0.25">
      <c r="A210" s="1">
        <f>'[1]Global_Spot Prices'!$B1519</f>
        <v>42297</v>
      </c>
      <c r="B210">
        <f>_xlfn.XLOOKUP(A210,'[1]Global_Spot Prices'!$B:$B,'[1]Global_Spot Prices'!$BS:$BS)</f>
        <v>12.530000000000001</v>
      </c>
      <c r="C210">
        <f>_xlfn.XLOOKUP(A210,'[1]Global_Spot Prices'!$B:$B,'[1]Global_Spot Prices'!$E:$E)</f>
        <v>44.51</v>
      </c>
      <c r="D210">
        <f>_xlfn.XLOOKUP(A210,'[1]Global_Spot Prices'!$B:$B,'[1]Global_Spot Prices'!$D:$D)</f>
        <v>47.185000000000002</v>
      </c>
      <c r="E210">
        <f>_xlfn.XLOOKUP(A210,'[1]Global_Spot Prices'!$B:$B,'[1]Global_Spot Prices'!$H:$H)</f>
        <v>47.38</v>
      </c>
      <c r="F210">
        <f>_xlfn.XLOOKUP(A210,'[1]Global_Spot Prices'!$B:$B,'[1]Global_Spot Prices'!$I:$I)</f>
        <v>57.04</v>
      </c>
      <c r="G210" cm="1">
        <f t="array" ref="G210">_xlfn.XLOOKUP(TEXT(A210, "mmm-yy"), TEXT([2]RUNS!$B$5:$B$208, "mmm-yy"), [2]RUNS!$D$5:$D$208, "Not Found")</f>
        <v>25943.607353552408</v>
      </c>
      <c r="H210" cm="1">
        <f t="array" ref="H210">SUMPRODUCT(
    --(TEXT('[3]Global Weekly Stock (EWSuez'!$B$4:$B$2000,"mmm-yy")=TEXT(A210,"mmm-yy")),
    '[3]Global Weekly Stock (EWSuez'!$E$4:$E$2000)
/
SUMPRODUCT(
    --(TEXT('[3]Global Weekly Stock (EWSuez'!$B$4:$B$2000,"mmm-yy")=TEXT(A210,"mmm-yy"))
)</f>
        <v>10686</v>
      </c>
      <c r="I210">
        <f>_xlfn.XLOOKUP(A210,[1]ForwardDeriv!$D:$D,[1]ForwardDeriv!$AJ:$AJ)</f>
        <v>0.25</v>
      </c>
      <c r="J210" cm="1">
        <f t="array" ref="J210">_xlfn.XLOOKUP(TEXT(A210, "mmm-yy"), TEXT([2]GASOLINE!$B$5:$B$208, "mmm-yy"), [2]GASOLINE!$IR$5:$IR$208, "Not Found")</f>
        <v>-60.688154632015326</v>
      </c>
      <c r="K210" cm="1">
        <f t="array" ref="K210">_xlfn.XLOOKUP(TEXT(A210, "mmm-yy"), TEXT([2]GASOLINE!$B$5:$B$208, "mmm-yy"), [2]GASOLINE!$IK$5:$IK$208, "Not Found")</f>
        <v>0</v>
      </c>
      <c r="L210">
        <f t="shared" si="3"/>
        <v>0</v>
      </c>
      <c r="M210" cm="1">
        <f t="array" ref="M210">_xlfn.XLOOKUP(TEXT(A210, "mmm-yy"), TEXT([2]GASOLINE!$B$5:$B$208, "mmm-yy"), [2]GASOLINE!$C$5:$C$208, "Not Found")</f>
        <v>6576.9201702008177</v>
      </c>
      <c r="N210" cm="1">
        <f t="array" ref="N210">_xlfn.XLOOKUP(TEXT(A210, "mmm-yy"), TEXT([2]RUNS!$B$5:$B$208, "mmm-yy"), [2]RUNS!$BM$5:$BM$208, "Not Found")</f>
        <v>0.77684774684250835</v>
      </c>
    </row>
    <row r="211" spans="1:14" x14ac:dyDescent="0.25">
      <c r="A211" s="1">
        <f>'[1]Global_Spot Prices'!$B1520</f>
        <v>42298</v>
      </c>
      <c r="B211">
        <f>_xlfn.XLOOKUP(A211,'[1]Global_Spot Prices'!$B:$B,'[1]Global_Spot Prices'!$BS:$BS)</f>
        <v>12.39</v>
      </c>
      <c r="C211">
        <f>_xlfn.XLOOKUP(A211,'[1]Global_Spot Prices'!$B:$B,'[1]Global_Spot Prices'!$E:$E)</f>
        <v>44.51</v>
      </c>
      <c r="D211">
        <f>_xlfn.XLOOKUP(A211,'[1]Global_Spot Prices'!$B:$B,'[1]Global_Spot Prices'!$D:$D)</f>
        <v>46.975000000000001</v>
      </c>
      <c r="E211">
        <f>_xlfn.XLOOKUP(A211,'[1]Global_Spot Prices'!$B:$B,'[1]Global_Spot Prices'!$H:$H)</f>
        <v>47.12</v>
      </c>
      <c r="F211">
        <f>_xlfn.XLOOKUP(A211,'[1]Global_Spot Prices'!$B:$B,'[1]Global_Spot Prices'!$I:$I)</f>
        <v>56.9</v>
      </c>
      <c r="G211" cm="1">
        <f t="array" ref="G211">_xlfn.XLOOKUP(TEXT(A211, "mmm-yy"), TEXT([2]RUNS!$B$5:$B$208, "mmm-yy"), [2]RUNS!$D$5:$D$208, "Not Found")</f>
        <v>25943.607353552408</v>
      </c>
      <c r="H211" cm="1">
        <f t="array" ref="H211">SUMPRODUCT(
    --(TEXT('[3]Global Weekly Stock (EWSuez'!$B$4:$B$2000,"mmm-yy")=TEXT(A211,"mmm-yy")),
    '[3]Global Weekly Stock (EWSuez'!$E$4:$E$2000)
/
SUMPRODUCT(
    --(TEXT('[3]Global Weekly Stock (EWSuez'!$B$4:$B$2000,"mmm-yy")=TEXT(A211,"mmm-yy"))
)</f>
        <v>10686</v>
      </c>
      <c r="I211">
        <f>_xlfn.XLOOKUP(A211,[1]ForwardDeriv!$D:$D,[1]ForwardDeriv!$AJ:$AJ)</f>
        <v>0.19999999999999574</v>
      </c>
      <c r="J211" cm="1">
        <f t="array" ref="J211">_xlfn.XLOOKUP(TEXT(A211, "mmm-yy"), TEXT([2]GASOLINE!$B$5:$B$208, "mmm-yy"), [2]GASOLINE!$IR$5:$IR$208, "Not Found")</f>
        <v>-60.688154632015326</v>
      </c>
      <c r="K211" cm="1">
        <f t="array" ref="K211">_xlfn.XLOOKUP(TEXT(A211, "mmm-yy"), TEXT([2]GASOLINE!$B$5:$B$208, "mmm-yy"), [2]GASOLINE!$IK$5:$IK$208, "Not Found")</f>
        <v>0</v>
      </c>
      <c r="L211">
        <f t="shared" si="3"/>
        <v>0</v>
      </c>
      <c r="M211" cm="1">
        <f t="array" ref="M211">_xlfn.XLOOKUP(TEXT(A211, "mmm-yy"), TEXT([2]GASOLINE!$B$5:$B$208, "mmm-yy"), [2]GASOLINE!$C$5:$C$208, "Not Found")</f>
        <v>6576.9201702008177</v>
      </c>
      <c r="N211" cm="1">
        <f t="array" ref="N211">_xlfn.XLOOKUP(TEXT(A211, "mmm-yy"), TEXT([2]RUNS!$B$5:$B$208, "mmm-yy"), [2]RUNS!$BM$5:$BM$208, "Not Found")</f>
        <v>0.77684774684250835</v>
      </c>
    </row>
    <row r="212" spans="1:14" x14ac:dyDescent="0.25">
      <c r="A212" s="1">
        <f>'[1]Global_Spot Prices'!$B1521</f>
        <v>42299</v>
      </c>
      <c r="B212">
        <f>_xlfn.XLOOKUP(A212,'[1]Global_Spot Prices'!$B:$B,'[1]Global_Spot Prices'!$BS:$BS)</f>
        <v>13.700000000000003</v>
      </c>
      <c r="C212">
        <f>_xlfn.XLOOKUP(A212,'[1]Global_Spot Prices'!$B:$B,'[1]Global_Spot Prices'!$E:$E)</f>
        <v>44</v>
      </c>
      <c r="D212">
        <f>_xlfn.XLOOKUP(A212,'[1]Global_Spot Prices'!$B:$B,'[1]Global_Spot Prices'!$D:$D)</f>
        <v>46.585000000000001</v>
      </c>
      <c r="E212">
        <f>_xlfn.XLOOKUP(A212,'[1]Global_Spot Prices'!$B:$B,'[1]Global_Spot Prices'!$H:$H)</f>
        <v>47.33</v>
      </c>
      <c r="F212">
        <f>_xlfn.XLOOKUP(A212,'[1]Global_Spot Prices'!$B:$B,'[1]Global_Spot Prices'!$I:$I)</f>
        <v>57.7</v>
      </c>
      <c r="G212" cm="1">
        <f t="array" ref="G212">_xlfn.XLOOKUP(TEXT(A212, "mmm-yy"), TEXT([2]RUNS!$B$5:$B$208, "mmm-yy"), [2]RUNS!$D$5:$D$208, "Not Found")</f>
        <v>25943.607353552408</v>
      </c>
      <c r="H212" cm="1">
        <f t="array" ref="H212">SUMPRODUCT(
    --(TEXT('[3]Global Weekly Stock (EWSuez'!$B$4:$B$2000,"mmm-yy")=TEXT(A212,"mmm-yy")),
    '[3]Global Weekly Stock (EWSuez'!$E$4:$E$2000)
/
SUMPRODUCT(
    --(TEXT('[3]Global Weekly Stock (EWSuez'!$B$4:$B$2000,"mmm-yy")=TEXT(A212,"mmm-yy"))
)</f>
        <v>10686</v>
      </c>
      <c r="I212">
        <f>_xlfn.XLOOKUP(A212,[1]ForwardDeriv!$D:$D,[1]ForwardDeriv!$AJ:$AJ)</f>
        <v>0.20000000000000284</v>
      </c>
      <c r="J212" cm="1">
        <f t="array" ref="J212">_xlfn.XLOOKUP(TEXT(A212, "mmm-yy"), TEXT([2]GASOLINE!$B$5:$B$208, "mmm-yy"), [2]GASOLINE!$IR$5:$IR$208, "Not Found")</f>
        <v>-60.688154632015326</v>
      </c>
      <c r="K212" cm="1">
        <f t="array" ref="K212">_xlfn.XLOOKUP(TEXT(A212, "mmm-yy"), TEXT([2]GASOLINE!$B$5:$B$208, "mmm-yy"), [2]GASOLINE!$IK$5:$IK$208, "Not Found")</f>
        <v>0</v>
      </c>
      <c r="L212">
        <f t="shared" si="3"/>
        <v>0</v>
      </c>
      <c r="M212" cm="1">
        <f t="array" ref="M212">_xlfn.XLOOKUP(TEXT(A212, "mmm-yy"), TEXT([2]GASOLINE!$B$5:$B$208, "mmm-yy"), [2]GASOLINE!$C$5:$C$208, "Not Found")</f>
        <v>6576.9201702008177</v>
      </c>
      <c r="N212" cm="1">
        <f t="array" ref="N212">_xlfn.XLOOKUP(TEXT(A212, "mmm-yy"), TEXT([2]RUNS!$B$5:$B$208, "mmm-yy"), [2]RUNS!$BM$5:$BM$208, "Not Found")</f>
        <v>0.77684774684250835</v>
      </c>
    </row>
    <row r="213" spans="1:14" x14ac:dyDescent="0.25">
      <c r="A213" s="1">
        <f>'[1]Global_Spot Prices'!$B1522</f>
        <v>42300</v>
      </c>
      <c r="B213">
        <f>_xlfn.XLOOKUP(A213,'[1]Global_Spot Prices'!$B:$B,'[1]Global_Spot Prices'!$BS:$BS)</f>
        <v>14.090000000000003</v>
      </c>
      <c r="C213">
        <f>_xlfn.XLOOKUP(A213,'[1]Global_Spot Prices'!$B:$B,'[1]Global_Spot Prices'!$E:$E)</f>
        <v>44.15</v>
      </c>
      <c r="D213">
        <f>_xlfn.XLOOKUP(A213,'[1]Global_Spot Prices'!$B:$B,'[1]Global_Spot Prices'!$D:$D)</f>
        <v>46.65</v>
      </c>
      <c r="E213">
        <f>_xlfn.XLOOKUP(A213,'[1]Global_Spot Prices'!$B:$B,'[1]Global_Spot Prices'!$H:$H)</f>
        <v>47.86</v>
      </c>
      <c r="F213">
        <f>_xlfn.XLOOKUP(A213,'[1]Global_Spot Prices'!$B:$B,'[1]Global_Spot Prices'!$I:$I)</f>
        <v>58.24</v>
      </c>
      <c r="G213" cm="1">
        <f t="array" ref="G213">_xlfn.XLOOKUP(TEXT(A213, "mmm-yy"), TEXT([2]RUNS!$B$5:$B$208, "mmm-yy"), [2]RUNS!$D$5:$D$208, "Not Found")</f>
        <v>25943.607353552408</v>
      </c>
      <c r="H213" cm="1">
        <f t="array" ref="H213">SUMPRODUCT(
    --(TEXT('[3]Global Weekly Stock (EWSuez'!$B$4:$B$2000,"mmm-yy")=TEXT(A213,"mmm-yy")),
    '[3]Global Weekly Stock (EWSuez'!$E$4:$E$2000)
/
SUMPRODUCT(
    --(TEXT('[3]Global Weekly Stock (EWSuez'!$B$4:$B$2000,"mmm-yy")=TEXT(A213,"mmm-yy"))
)</f>
        <v>10686</v>
      </c>
      <c r="I213">
        <f>_xlfn.XLOOKUP(A213,[1]ForwardDeriv!$D:$D,[1]ForwardDeriv!$AJ:$AJ)</f>
        <v>0.25</v>
      </c>
      <c r="J213" cm="1">
        <f t="array" ref="J213">_xlfn.XLOOKUP(TEXT(A213, "mmm-yy"), TEXT([2]GASOLINE!$B$5:$B$208, "mmm-yy"), [2]GASOLINE!$IR$5:$IR$208, "Not Found")</f>
        <v>-60.688154632015326</v>
      </c>
      <c r="K213" cm="1">
        <f t="array" ref="K213">_xlfn.XLOOKUP(TEXT(A213, "mmm-yy"), TEXT([2]GASOLINE!$B$5:$B$208, "mmm-yy"), [2]GASOLINE!$IK$5:$IK$208, "Not Found")</f>
        <v>0</v>
      </c>
      <c r="L213">
        <f t="shared" si="3"/>
        <v>0</v>
      </c>
      <c r="M213" cm="1">
        <f t="array" ref="M213">_xlfn.XLOOKUP(TEXT(A213, "mmm-yy"), TEXT([2]GASOLINE!$B$5:$B$208, "mmm-yy"), [2]GASOLINE!$C$5:$C$208, "Not Found")</f>
        <v>6576.9201702008177</v>
      </c>
      <c r="N213" cm="1">
        <f t="array" ref="N213">_xlfn.XLOOKUP(TEXT(A213, "mmm-yy"), TEXT([2]RUNS!$B$5:$B$208, "mmm-yy"), [2]RUNS!$BM$5:$BM$208, "Not Found")</f>
        <v>0.77684774684250835</v>
      </c>
    </row>
    <row r="214" spans="1:14" x14ac:dyDescent="0.25">
      <c r="A214" s="1">
        <f>'[1]Global_Spot Prices'!$B1523</f>
        <v>42303</v>
      </c>
      <c r="B214">
        <f>_xlfn.XLOOKUP(A214,'[1]Global_Spot Prices'!$B:$B,'[1]Global_Spot Prices'!$BS:$BS)</f>
        <v>14.119999999999997</v>
      </c>
      <c r="C214">
        <f>_xlfn.XLOOKUP(A214,'[1]Global_Spot Prices'!$B:$B,'[1]Global_Spot Prices'!$E:$E)</f>
        <v>43.85</v>
      </c>
      <c r="D214">
        <f>_xlfn.XLOOKUP(A214,'[1]Global_Spot Prices'!$B:$B,'[1]Global_Spot Prices'!$D:$D)</f>
        <v>46.954999999999998</v>
      </c>
      <c r="E214">
        <f>_xlfn.XLOOKUP(A214,'[1]Global_Spot Prices'!$B:$B,'[1]Global_Spot Prices'!$H:$H)</f>
        <v>47.87</v>
      </c>
      <c r="F214">
        <f>_xlfn.XLOOKUP(A214,'[1]Global_Spot Prices'!$B:$B,'[1]Global_Spot Prices'!$I:$I)</f>
        <v>57.97</v>
      </c>
      <c r="G214" cm="1">
        <f t="array" ref="G214">_xlfn.XLOOKUP(TEXT(A214, "mmm-yy"), TEXT([2]RUNS!$B$5:$B$208, "mmm-yy"), [2]RUNS!$D$5:$D$208, "Not Found")</f>
        <v>25943.607353552408</v>
      </c>
      <c r="H214" cm="1">
        <f t="array" ref="H214">SUMPRODUCT(
    --(TEXT('[3]Global Weekly Stock (EWSuez'!$B$4:$B$2000,"mmm-yy")=TEXT(A214,"mmm-yy")),
    '[3]Global Weekly Stock (EWSuez'!$E$4:$E$2000)
/
SUMPRODUCT(
    --(TEXT('[3]Global Weekly Stock (EWSuez'!$B$4:$B$2000,"mmm-yy")=TEXT(A214,"mmm-yy"))
)</f>
        <v>10686</v>
      </c>
      <c r="I214">
        <f>_xlfn.XLOOKUP(A214,[1]ForwardDeriv!$D:$D,[1]ForwardDeriv!$AJ:$AJ)</f>
        <v>0.35000000000000142</v>
      </c>
      <c r="J214" cm="1">
        <f t="array" ref="J214">_xlfn.XLOOKUP(TEXT(A214, "mmm-yy"), TEXT([2]GASOLINE!$B$5:$B$208, "mmm-yy"), [2]GASOLINE!$IR$5:$IR$208, "Not Found")</f>
        <v>-60.688154632015326</v>
      </c>
      <c r="K214" cm="1">
        <f t="array" ref="K214">_xlfn.XLOOKUP(TEXT(A214, "mmm-yy"), TEXT([2]GASOLINE!$B$5:$B$208, "mmm-yy"), [2]GASOLINE!$IK$5:$IK$208, "Not Found")</f>
        <v>0</v>
      </c>
      <c r="L214">
        <f t="shared" si="3"/>
        <v>0</v>
      </c>
      <c r="M214" cm="1">
        <f t="array" ref="M214">_xlfn.XLOOKUP(TEXT(A214, "mmm-yy"), TEXT([2]GASOLINE!$B$5:$B$208, "mmm-yy"), [2]GASOLINE!$C$5:$C$208, "Not Found")</f>
        <v>6576.9201702008177</v>
      </c>
      <c r="N214" cm="1">
        <f t="array" ref="N214">_xlfn.XLOOKUP(TEXT(A214, "mmm-yy"), TEXT([2]RUNS!$B$5:$B$208, "mmm-yy"), [2]RUNS!$BM$5:$BM$208, "Not Found")</f>
        <v>0.77684774684250835</v>
      </c>
    </row>
    <row r="215" spans="1:14" x14ac:dyDescent="0.25">
      <c r="A215" s="1">
        <f>'[1]Global_Spot Prices'!$B1524</f>
        <v>42304</v>
      </c>
      <c r="B215">
        <f>_xlfn.XLOOKUP(A215,'[1]Global_Spot Prices'!$B:$B,'[1]Global_Spot Prices'!$BS:$BS)</f>
        <v>14.200000000000003</v>
      </c>
      <c r="C215">
        <f>_xlfn.XLOOKUP(A215,'[1]Global_Spot Prices'!$B:$B,'[1]Global_Spot Prices'!$E:$E)</f>
        <v>43.04</v>
      </c>
      <c r="D215">
        <f>_xlfn.XLOOKUP(A215,'[1]Global_Spot Prices'!$B:$B,'[1]Global_Spot Prices'!$D:$D)</f>
        <v>45.93</v>
      </c>
      <c r="E215">
        <f>_xlfn.XLOOKUP(A215,'[1]Global_Spot Prices'!$B:$B,'[1]Global_Spot Prices'!$H:$H)</f>
        <v>47.01</v>
      </c>
      <c r="F215">
        <f>_xlfn.XLOOKUP(A215,'[1]Global_Spot Prices'!$B:$B,'[1]Global_Spot Prices'!$I:$I)</f>
        <v>57.24</v>
      </c>
      <c r="G215" cm="1">
        <f t="array" ref="G215">_xlfn.XLOOKUP(TEXT(A215, "mmm-yy"), TEXT([2]RUNS!$B$5:$B$208, "mmm-yy"), [2]RUNS!$D$5:$D$208, "Not Found")</f>
        <v>25943.607353552408</v>
      </c>
      <c r="H215" cm="1">
        <f t="array" ref="H215">SUMPRODUCT(
    --(TEXT('[3]Global Weekly Stock (EWSuez'!$B$4:$B$2000,"mmm-yy")=TEXT(A215,"mmm-yy")),
    '[3]Global Weekly Stock (EWSuez'!$E$4:$E$2000)
/
SUMPRODUCT(
    --(TEXT('[3]Global Weekly Stock (EWSuez'!$B$4:$B$2000,"mmm-yy")=TEXT(A215,"mmm-yy"))
)</f>
        <v>10686</v>
      </c>
      <c r="I215">
        <f>_xlfn.XLOOKUP(A215,[1]ForwardDeriv!$D:$D,[1]ForwardDeriv!$AJ:$AJ)</f>
        <v>0.44999999999999574</v>
      </c>
      <c r="J215" cm="1">
        <f t="array" ref="J215">_xlfn.XLOOKUP(TEXT(A215, "mmm-yy"), TEXT([2]GASOLINE!$B$5:$B$208, "mmm-yy"), [2]GASOLINE!$IR$5:$IR$208, "Not Found")</f>
        <v>-60.688154632015326</v>
      </c>
      <c r="K215" cm="1">
        <f t="array" ref="K215">_xlfn.XLOOKUP(TEXT(A215, "mmm-yy"), TEXT([2]GASOLINE!$B$5:$B$208, "mmm-yy"), [2]GASOLINE!$IK$5:$IK$208, "Not Found")</f>
        <v>0</v>
      </c>
      <c r="L215">
        <f t="shared" si="3"/>
        <v>0</v>
      </c>
      <c r="M215" cm="1">
        <f t="array" ref="M215">_xlfn.XLOOKUP(TEXT(A215, "mmm-yy"), TEXT([2]GASOLINE!$B$5:$B$208, "mmm-yy"), [2]GASOLINE!$C$5:$C$208, "Not Found")</f>
        <v>6576.9201702008177</v>
      </c>
      <c r="N215" cm="1">
        <f t="array" ref="N215">_xlfn.XLOOKUP(TEXT(A215, "mmm-yy"), TEXT([2]RUNS!$B$5:$B$208, "mmm-yy"), [2]RUNS!$BM$5:$BM$208, "Not Found")</f>
        <v>0.77684774684250835</v>
      </c>
    </row>
    <row r="216" spans="1:14" x14ac:dyDescent="0.25">
      <c r="A216" s="1">
        <f>'[1]Global_Spot Prices'!$B1525</f>
        <v>42305</v>
      </c>
      <c r="B216">
        <f>_xlfn.XLOOKUP(A216,'[1]Global_Spot Prices'!$B:$B,'[1]Global_Spot Prices'!$BS:$BS)</f>
        <v>14.550000000000004</v>
      </c>
      <c r="C216">
        <f>_xlfn.XLOOKUP(A216,'[1]Global_Spot Prices'!$B:$B,'[1]Global_Spot Prices'!$E:$E)</f>
        <v>43.05</v>
      </c>
      <c r="D216">
        <f>_xlfn.XLOOKUP(A216,'[1]Global_Spot Prices'!$B:$B,'[1]Global_Spot Prices'!$D:$D)</f>
        <v>48.164999999999999</v>
      </c>
      <c r="E216">
        <f>_xlfn.XLOOKUP(A216,'[1]Global_Spot Prices'!$B:$B,'[1]Global_Spot Prices'!$H:$H)</f>
        <v>47.04</v>
      </c>
      <c r="F216">
        <f>_xlfn.XLOOKUP(A216,'[1]Global_Spot Prices'!$B:$B,'[1]Global_Spot Prices'!$I:$I)</f>
        <v>57.6</v>
      </c>
      <c r="G216" cm="1">
        <f t="array" ref="G216">_xlfn.XLOOKUP(TEXT(A216, "mmm-yy"), TEXT([2]RUNS!$B$5:$B$208, "mmm-yy"), [2]RUNS!$D$5:$D$208, "Not Found")</f>
        <v>25943.607353552408</v>
      </c>
      <c r="H216" cm="1">
        <f t="array" ref="H216">SUMPRODUCT(
    --(TEXT('[3]Global Weekly Stock (EWSuez'!$B$4:$B$2000,"mmm-yy")=TEXT(A216,"mmm-yy")),
    '[3]Global Weekly Stock (EWSuez'!$E$4:$E$2000)
/
SUMPRODUCT(
    --(TEXT('[3]Global Weekly Stock (EWSuez'!$B$4:$B$2000,"mmm-yy")=TEXT(A216,"mmm-yy"))
)</f>
        <v>10686</v>
      </c>
      <c r="I216">
        <f>_xlfn.XLOOKUP(A216,[1]ForwardDeriv!$D:$D,[1]ForwardDeriv!$AJ:$AJ)</f>
        <v>0.55000000000000426</v>
      </c>
      <c r="J216" cm="1">
        <f t="array" ref="J216">_xlfn.XLOOKUP(TEXT(A216, "mmm-yy"), TEXT([2]GASOLINE!$B$5:$B$208, "mmm-yy"), [2]GASOLINE!$IR$5:$IR$208, "Not Found")</f>
        <v>-60.688154632015326</v>
      </c>
      <c r="K216" cm="1">
        <f t="array" ref="K216">_xlfn.XLOOKUP(TEXT(A216, "mmm-yy"), TEXT([2]GASOLINE!$B$5:$B$208, "mmm-yy"), [2]GASOLINE!$IK$5:$IK$208, "Not Found")</f>
        <v>0</v>
      </c>
      <c r="L216">
        <f t="shared" si="3"/>
        <v>0</v>
      </c>
      <c r="M216" cm="1">
        <f t="array" ref="M216">_xlfn.XLOOKUP(TEXT(A216, "mmm-yy"), TEXT([2]GASOLINE!$B$5:$B$208, "mmm-yy"), [2]GASOLINE!$C$5:$C$208, "Not Found")</f>
        <v>6576.9201702008177</v>
      </c>
      <c r="N216" cm="1">
        <f t="array" ref="N216">_xlfn.XLOOKUP(TEXT(A216, "mmm-yy"), TEXT([2]RUNS!$B$5:$B$208, "mmm-yy"), [2]RUNS!$BM$5:$BM$208, "Not Found")</f>
        <v>0.77684774684250835</v>
      </c>
    </row>
    <row r="217" spans="1:14" x14ac:dyDescent="0.25">
      <c r="A217" s="1">
        <f>'[1]Global_Spot Prices'!$B1526</f>
        <v>42306</v>
      </c>
      <c r="B217">
        <f>_xlfn.XLOOKUP(A217,'[1]Global_Spot Prices'!$B:$B,'[1]Global_Spot Prices'!$BS:$BS)</f>
        <v>14.590000000000003</v>
      </c>
      <c r="C217">
        <f>_xlfn.XLOOKUP(A217,'[1]Global_Spot Prices'!$B:$B,'[1]Global_Spot Prices'!$E:$E)</f>
        <v>44.8</v>
      </c>
      <c r="D217">
        <f>_xlfn.XLOOKUP(A217,'[1]Global_Spot Prices'!$B:$B,'[1]Global_Spot Prices'!$D:$D)</f>
        <v>48.45</v>
      </c>
      <c r="E217">
        <f>_xlfn.XLOOKUP(A217,'[1]Global_Spot Prices'!$B:$B,'[1]Global_Spot Prices'!$H:$H)</f>
        <v>49.12</v>
      </c>
      <c r="F217">
        <f>_xlfn.XLOOKUP(A217,'[1]Global_Spot Prices'!$B:$B,'[1]Global_Spot Prices'!$I:$I)</f>
        <v>59.39</v>
      </c>
      <c r="G217" cm="1">
        <f t="array" ref="G217">_xlfn.XLOOKUP(TEXT(A217, "mmm-yy"), TEXT([2]RUNS!$B$5:$B$208, "mmm-yy"), [2]RUNS!$D$5:$D$208, "Not Found")</f>
        <v>25943.607353552408</v>
      </c>
      <c r="H217" cm="1">
        <f t="array" ref="H217">SUMPRODUCT(
    --(TEXT('[3]Global Weekly Stock (EWSuez'!$B$4:$B$2000,"mmm-yy")=TEXT(A217,"mmm-yy")),
    '[3]Global Weekly Stock (EWSuez'!$E$4:$E$2000)
/
SUMPRODUCT(
    --(TEXT('[3]Global Weekly Stock (EWSuez'!$B$4:$B$2000,"mmm-yy")=TEXT(A217,"mmm-yy"))
)</f>
        <v>10686</v>
      </c>
      <c r="I217">
        <f>_xlfn.XLOOKUP(A217,[1]ForwardDeriv!$D:$D,[1]ForwardDeriv!$AJ:$AJ)</f>
        <v>0.60000000000000142</v>
      </c>
      <c r="J217" cm="1">
        <f t="array" ref="J217">_xlfn.XLOOKUP(TEXT(A217, "mmm-yy"), TEXT([2]GASOLINE!$B$5:$B$208, "mmm-yy"), [2]GASOLINE!$IR$5:$IR$208, "Not Found")</f>
        <v>-60.688154632015326</v>
      </c>
      <c r="K217" cm="1">
        <f t="array" ref="K217">_xlfn.XLOOKUP(TEXT(A217, "mmm-yy"), TEXT([2]GASOLINE!$B$5:$B$208, "mmm-yy"), [2]GASOLINE!$IK$5:$IK$208, "Not Found")</f>
        <v>0</v>
      </c>
      <c r="L217">
        <f t="shared" si="3"/>
        <v>0</v>
      </c>
      <c r="M217" cm="1">
        <f t="array" ref="M217">_xlfn.XLOOKUP(TEXT(A217, "mmm-yy"), TEXT([2]GASOLINE!$B$5:$B$208, "mmm-yy"), [2]GASOLINE!$C$5:$C$208, "Not Found")</f>
        <v>6576.9201702008177</v>
      </c>
      <c r="N217" cm="1">
        <f t="array" ref="N217">_xlfn.XLOOKUP(TEXT(A217, "mmm-yy"), TEXT([2]RUNS!$B$5:$B$208, "mmm-yy"), [2]RUNS!$BM$5:$BM$208, "Not Found")</f>
        <v>0.77684774684250835</v>
      </c>
    </row>
    <row r="218" spans="1:14" x14ac:dyDescent="0.25">
      <c r="A218" s="1">
        <f>'[1]Global_Spot Prices'!$B1527</f>
        <v>42307</v>
      </c>
      <c r="B218">
        <f>_xlfn.XLOOKUP(A218,'[1]Global_Spot Prices'!$B:$B,'[1]Global_Spot Prices'!$BS:$BS)</f>
        <v>15.450000000000003</v>
      </c>
      <c r="C218">
        <f>_xlfn.XLOOKUP(A218,'[1]Global_Spot Prices'!$B:$B,'[1]Global_Spot Prices'!$E:$E)</f>
        <v>43.29</v>
      </c>
      <c r="D218">
        <f>_xlfn.XLOOKUP(A218,'[1]Global_Spot Prices'!$B:$B,'[1]Global_Spot Prices'!$D:$D)</f>
        <v>48.16</v>
      </c>
      <c r="E218">
        <f>_xlfn.XLOOKUP(A218,'[1]Global_Spot Prices'!$B:$B,'[1]Global_Spot Prices'!$H:$H)</f>
        <v>49.27</v>
      </c>
      <c r="F218">
        <f>_xlfn.XLOOKUP(A218,'[1]Global_Spot Prices'!$B:$B,'[1]Global_Spot Prices'!$I:$I)</f>
        <v>58.74</v>
      </c>
      <c r="G218" cm="1">
        <f t="array" ref="G218">_xlfn.XLOOKUP(TEXT(A218, "mmm-yy"), TEXT([2]RUNS!$B$5:$B$208, "mmm-yy"), [2]RUNS!$D$5:$D$208, "Not Found")</f>
        <v>25943.607353552408</v>
      </c>
      <c r="H218" cm="1">
        <f t="array" ref="H218">SUMPRODUCT(
    --(TEXT('[3]Global Weekly Stock (EWSuez'!$B$4:$B$2000,"mmm-yy")=TEXT(A218,"mmm-yy")),
    '[3]Global Weekly Stock (EWSuez'!$E$4:$E$2000)
/
SUMPRODUCT(
    --(TEXT('[3]Global Weekly Stock (EWSuez'!$B$4:$B$2000,"mmm-yy")=TEXT(A218,"mmm-yy"))
)</f>
        <v>10686</v>
      </c>
      <c r="I218">
        <f>_xlfn.XLOOKUP(A218,[1]ForwardDeriv!$D:$D,[1]ForwardDeriv!$AJ:$AJ)</f>
        <v>0.54999999999999716</v>
      </c>
      <c r="J218" cm="1">
        <f t="array" ref="J218">_xlfn.XLOOKUP(TEXT(A218, "mmm-yy"), TEXT([2]GASOLINE!$B$5:$B$208, "mmm-yy"), [2]GASOLINE!$IR$5:$IR$208, "Not Found")</f>
        <v>-60.688154632015326</v>
      </c>
      <c r="K218" cm="1">
        <f t="array" ref="K218">_xlfn.XLOOKUP(TEXT(A218, "mmm-yy"), TEXT([2]GASOLINE!$B$5:$B$208, "mmm-yy"), [2]GASOLINE!$IK$5:$IK$208, "Not Found")</f>
        <v>0</v>
      </c>
      <c r="L218">
        <f t="shared" si="3"/>
        <v>0</v>
      </c>
      <c r="M218" cm="1">
        <f t="array" ref="M218">_xlfn.XLOOKUP(TEXT(A218, "mmm-yy"), TEXT([2]GASOLINE!$B$5:$B$208, "mmm-yy"), [2]GASOLINE!$C$5:$C$208, "Not Found")</f>
        <v>6576.9201702008177</v>
      </c>
      <c r="N218" cm="1">
        <f t="array" ref="N218">_xlfn.XLOOKUP(TEXT(A218, "mmm-yy"), TEXT([2]RUNS!$B$5:$B$208, "mmm-yy"), [2]RUNS!$BM$5:$BM$208, "Not Found")</f>
        <v>0.77684774684250835</v>
      </c>
    </row>
    <row r="219" spans="1:14" x14ac:dyDescent="0.25">
      <c r="A219" s="1">
        <f>'[1]Global_Spot Prices'!$B1528</f>
        <v>42310</v>
      </c>
      <c r="B219">
        <f>_xlfn.XLOOKUP(A219,'[1]Global_Spot Prices'!$B:$B,'[1]Global_Spot Prices'!$BS:$BS)</f>
        <v>13.159999999999997</v>
      </c>
      <c r="C219">
        <f>_xlfn.XLOOKUP(A219,'[1]Global_Spot Prices'!$B:$B,'[1]Global_Spot Prices'!$E:$E)</f>
        <v>45.75</v>
      </c>
      <c r="D219">
        <f>_xlfn.XLOOKUP(A219,'[1]Global_Spot Prices'!$B:$B,'[1]Global_Spot Prices'!$D:$D)</f>
        <v>47.305</v>
      </c>
      <c r="E219">
        <f>_xlfn.XLOOKUP(A219,'[1]Global_Spot Prices'!$B:$B,'[1]Global_Spot Prices'!$H:$H)</f>
        <v>50.44</v>
      </c>
      <c r="F219">
        <f>_xlfn.XLOOKUP(A219,'[1]Global_Spot Prices'!$B:$B,'[1]Global_Spot Prices'!$I:$I)</f>
        <v>58.91</v>
      </c>
      <c r="G219" cm="1">
        <f t="array" ref="G219">_xlfn.XLOOKUP(TEXT(A219, "mmm-yy"), TEXT([2]RUNS!$B$5:$B$208, "mmm-yy"), [2]RUNS!$D$5:$D$208, "Not Found")</f>
        <v>26832.126138173106</v>
      </c>
      <c r="H219" cm="1">
        <f t="array" ref="H219">SUMPRODUCT(
    --(TEXT('[3]Global Weekly Stock (EWSuez'!$B$4:$B$2000,"mmm-yy")=TEXT(A219,"mmm-yy")),
    '[3]Global Weekly Stock (EWSuez'!$E$4:$E$2000)
/
SUMPRODUCT(
    --(TEXT('[3]Global Weekly Stock (EWSuez'!$B$4:$B$2000,"mmm-yy")=TEXT(A219,"mmm-yy"))
)</f>
        <v>12188.25</v>
      </c>
      <c r="I219">
        <f>_xlfn.XLOOKUP(A219,[1]ForwardDeriv!$D:$D,[1]ForwardDeriv!$AJ:$AJ)</f>
        <v>-0.65000000000000568</v>
      </c>
      <c r="J219" cm="1">
        <f t="array" ref="J219">_xlfn.XLOOKUP(TEXT(A219, "mmm-yy"), TEXT([2]GASOLINE!$B$5:$B$208, "mmm-yy"), [2]GASOLINE!$IR$5:$IR$208, "Not Found")</f>
        <v>162.42637504387477</v>
      </c>
      <c r="K219" cm="1">
        <f t="array" ref="K219">_xlfn.XLOOKUP(TEXT(A219, "mmm-yy"), TEXT([2]GASOLINE!$B$5:$B$208, "mmm-yy"), [2]GASOLINE!$IK$5:$IK$208, "Not Found")</f>
        <v>0</v>
      </c>
      <c r="L219">
        <f t="shared" si="3"/>
        <v>0</v>
      </c>
      <c r="M219" cm="1">
        <f t="array" ref="M219">_xlfn.XLOOKUP(TEXT(A219, "mmm-yy"), TEXT([2]GASOLINE!$B$5:$B$208, "mmm-yy"), [2]GASOLINE!$C$5:$C$208, "Not Found")</f>
        <v>6527.1909688050509</v>
      </c>
      <c r="N219" cm="1">
        <f t="array" ref="N219">_xlfn.XLOOKUP(TEXT(A219, "mmm-yy"), TEXT([2]RUNS!$B$5:$B$208, "mmm-yy"), [2]RUNS!$BM$5:$BM$208, "Not Found")</f>
        <v>0.80153082761053729</v>
      </c>
    </row>
    <row r="220" spans="1:14" x14ac:dyDescent="0.25">
      <c r="A220" s="1">
        <f>'[1]Global_Spot Prices'!$B1529</f>
        <v>42311</v>
      </c>
      <c r="B220">
        <f>_xlfn.XLOOKUP(A220,'[1]Global_Spot Prices'!$B:$B,'[1]Global_Spot Prices'!$BS:$BS)</f>
        <v>12.809999999999995</v>
      </c>
      <c r="C220">
        <f>_xlfn.XLOOKUP(A220,'[1]Global_Spot Prices'!$B:$B,'[1]Global_Spot Prices'!$E:$E)</f>
        <v>44.99</v>
      </c>
      <c r="D220">
        <f>_xlfn.XLOOKUP(A220,'[1]Global_Spot Prices'!$B:$B,'[1]Global_Spot Prices'!$D:$D)</f>
        <v>47.98</v>
      </c>
      <c r="E220">
        <f>_xlfn.XLOOKUP(A220,'[1]Global_Spot Prices'!$B:$B,'[1]Global_Spot Prices'!$H:$H)</f>
        <v>50.06</v>
      </c>
      <c r="F220">
        <f>_xlfn.XLOOKUP(A220,'[1]Global_Spot Prices'!$B:$B,'[1]Global_Spot Prices'!$I:$I)</f>
        <v>57.8</v>
      </c>
      <c r="G220" cm="1">
        <f t="array" ref="G220">_xlfn.XLOOKUP(TEXT(A220, "mmm-yy"), TEXT([2]RUNS!$B$5:$B$208, "mmm-yy"), [2]RUNS!$D$5:$D$208, "Not Found")</f>
        <v>26832.126138173106</v>
      </c>
      <c r="H220" cm="1">
        <f t="array" ref="H220">SUMPRODUCT(
    --(TEXT('[3]Global Weekly Stock (EWSuez'!$B$4:$B$2000,"mmm-yy")=TEXT(A220,"mmm-yy")),
    '[3]Global Weekly Stock (EWSuez'!$E$4:$E$2000)
/
SUMPRODUCT(
    --(TEXT('[3]Global Weekly Stock (EWSuez'!$B$4:$B$2000,"mmm-yy")=TEXT(A220,"mmm-yy"))
)</f>
        <v>12188.25</v>
      </c>
      <c r="I220">
        <f>_xlfn.XLOOKUP(A220,[1]ForwardDeriv!$D:$D,[1]ForwardDeriv!$AJ:$AJ)</f>
        <v>-0.75</v>
      </c>
      <c r="J220" cm="1">
        <f t="array" ref="J220">_xlfn.XLOOKUP(TEXT(A220, "mmm-yy"), TEXT([2]GASOLINE!$B$5:$B$208, "mmm-yy"), [2]GASOLINE!$IR$5:$IR$208, "Not Found")</f>
        <v>162.42637504387477</v>
      </c>
      <c r="K220" cm="1">
        <f t="array" ref="K220">_xlfn.XLOOKUP(TEXT(A220, "mmm-yy"), TEXT([2]GASOLINE!$B$5:$B$208, "mmm-yy"), [2]GASOLINE!$IK$5:$IK$208, "Not Found")</f>
        <v>0</v>
      </c>
      <c r="L220">
        <f t="shared" si="3"/>
        <v>0</v>
      </c>
      <c r="M220" cm="1">
        <f t="array" ref="M220">_xlfn.XLOOKUP(TEXT(A220, "mmm-yy"), TEXT([2]GASOLINE!$B$5:$B$208, "mmm-yy"), [2]GASOLINE!$C$5:$C$208, "Not Found")</f>
        <v>6527.1909688050509</v>
      </c>
      <c r="N220" cm="1">
        <f t="array" ref="N220">_xlfn.XLOOKUP(TEXT(A220, "mmm-yy"), TEXT([2]RUNS!$B$5:$B$208, "mmm-yy"), [2]RUNS!$BM$5:$BM$208, "Not Found")</f>
        <v>0.80153082761053729</v>
      </c>
    </row>
    <row r="221" spans="1:14" x14ac:dyDescent="0.25">
      <c r="A221" s="1">
        <f>'[1]Global_Spot Prices'!$B1530</f>
        <v>42312</v>
      </c>
      <c r="B221">
        <f>_xlfn.XLOOKUP(A221,'[1]Global_Spot Prices'!$B:$B,'[1]Global_Spot Prices'!$BS:$BS)</f>
        <v>13.219999999999999</v>
      </c>
      <c r="C221">
        <f>_xlfn.XLOOKUP(A221,'[1]Global_Spot Prices'!$B:$B,'[1]Global_Spot Prices'!$E:$E)</f>
        <v>46.38</v>
      </c>
      <c r="D221">
        <f>_xlfn.XLOOKUP(A221,'[1]Global_Spot Prices'!$B:$B,'[1]Global_Spot Prices'!$D:$D)</f>
        <v>47.26</v>
      </c>
      <c r="E221">
        <f>_xlfn.XLOOKUP(A221,'[1]Global_Spot Prices'!$B:$B,'[1]Global_Spot Prices'!$H:$H)</f>
        <v>51.8</v>
      </c>
      <c r="F221">
        <f>_xlfn.XLOOKUP(A221,'[1]Global_Spot Prices'!$B:$B,'[1]Global_Spot Prices'!$I:$I)</f>
        <v>59.6</v>
      </c>
      <c r="G221" cm="1">
        <f t="array" ref="G221">_xlfn.XLOOKUP(TEXT(A221, "mmm-yy"), TEXT([2]RUNS!$B$5:$B$208, "mmm-yy"), [2]RUNS!$D$5:$D$208, "Not Found")</f>
        <v>26832.126138173106</v>
      </c>
      <c r="H221" cm="1">
        <f t="array" ref="H221">SUMPRODUCT(
    --(TEXT('[3]Global Weekly Stock (EWSuez'!$B$4:$B$2000,"mmm-yy")=TEXT(A221,"mmm-yy")),
    '[3]Global Weekly Stock (EWSuez'!$E$4:$E$2000)
/
SUMPRODUCT(
    --(TEXT('[3]Global Weekly Stock (EWSuez'!$B$4:$B$2000,"mmm-yy")=TEXT(A221,"mmm-yy"))
)</f>
        <v>12188.25</v>
      </c>
      <c r="I221">
        <f>_xlfn.XLOOKUP(A221,[1]ForwardDeriv!$D:$D,[1]ForwardDeriv!$AJ:$AJ)</f>
        <v>-0.75</v>
      </c>
      <c r="J221" cm="1">
        <f t="array" ref="J221">_xlfn.XLOOKUP(TEXT(A221, "mmm-yy"), TEXT([2]GASOLINE!$B$5:$B$208, "mmm-yy"), [2]GASOLINE!$IR$5:$IR$208, "Not Found")</f>
        <v>162.42637504387477</v>
      </c>
      <c r="K221" cm="1">
        <f t="array" ref="K221">_xlfn.XLOOKUP(TEXT(A221, "mmm-yy"), TEXT([2]GASOLINE!$B$5:$B$208, "mmm-yy"), [2]GASOLINE!$IK$5:$IK$208, "Not Found")</f>
        <v>0</v>
      </c>
      <c r="L221">
        <f t="shared" si="3"/>
        <v>0</v>
      </c>
      <c r="M221" cm="1">
        <f t="array" ref="M221">_xlfn.XLOOKUP(TEXT(A221, "mmm-yy"), TEXT([2]GASOLINE!$B$5:$B$208, "mmm-yy"), [2]GASOLINE!$C$5:$C$208, "Not Found")</f>
        <v>6527.1909688050509</v>
      </c>
      <c r="N221" cm="1">
        <f t="array" ref="N221">_xlfn.XLOOKUP(TEXT(A221, "mmm-yy"), TEXT([2]RUNS!$B$5:$B$208, "mmm-yy"), [2]RUNS!$BM$5:$BM$208, "Not Found")</f>
        <v>0.80153082761053729</v>
      </c>
    </row>
    <row r="222" spans="1:14" x14ac:dyDescent="0.25">
      <c r="A222" s="1">
        <f>'[1]Global_Spot Prices'!$B1531</f>
        <v>42313</v>
      </c>
      <c r="B222">
        <f>_xlfn.XLOOKUP(A222,'[1]Global_Spot Prices'!$B:$B,'[1]Global_Spot Prices'!$BS:$BS)</f>
        <v>13.39</v>
      </c>
      <c r="C222">
        <f>_xlfn.XLOOKUP(A222,'[1]Global_Spot Prices'!$B:$B,'[1]Global_Spot Prices'!$E:$E)</f>
        <v>44.91</v>
      </c>
      <c r="D222">
        <f>_xlfn.XLOOKUP(A222,'[1]Global_Spot Prices'!$B:$B,'[1]Global_Spot Prices'!$D:$D)</f>
        <v>47.034999999999997</v>
      </c>
      <c r="E222">
        <f>_xlfn.XLOOKUP(A222,'[1]Global_Spot Prices'!$B:$B,'[1]Global_Spot Prices'!$H:$H)</f>
        <v>50.52</v>
      </c>
      <c r="F222">
        <f>_xlfn.XLOOKUP(A222,'[1]Global_Spot Prices'!$B:$B,'[1]Global_Spot Prices'!$I:$I)</f>
        <v>58.3</v>
      </c>
      <c r="G222" cm="1">
        <f t="array" ref="G222">_xlfn.XLOOKUP(TEXT(A222, "mmm-yy"), TEXT([2]RUNS!$B$5:$B$208, "mmm-yy"), [2]RUNS!$D$5:$D$208, "Not Found")</f>
        <v>26832.126138173106</v>
      </c>
      <c r="H222" cm="1">
        <f t="array" ref="H222">SUMPRODUCT(
    --(TEXT('[3]Global Weekly Stock (EWSuez'!$B$4:$B$2000,"mmm-yy")=TEXT(A222,"mmm-yy")),
    '[3]Global Weekly Stock (EWSuez'!$E$4:$E$2000)
/
SUMPRODUCT(
    --(TEXT('[3]Global Weekly Stock (EWSuez'!$B$4:$B$2000,"mmm-yy")=TEXT(A222,"mmm-yy"))
)</f>
        <v>12188.25</v>
      </c>
      <c r="I222">
        <f>_xlfn.XLOOKUP(A222,[1]ForwardDeriv!$D:$D,[1]ForwardDeriv!$AJ:$AJ)</f>
        <v>-0.75</v>
      </c>
      <c r="J222" cm="1">
        <f t="array" ref="J222">_xlfn.XLOOKUP(TEXT(A222, "mmm-yy"), TEXT([2]GASOLINE!$B$5:$B$208, "mmm-yy"), [2]GASOLINE!$IR$5:$IR$208, "Not Found")</f>
        <v>162.42637504387477</v>
      </c>
      <c r="K222" cm="1">
        <f t="array" ref="K222">_xlfn.XLOOKUP(TEXT(A222, "mmm-yy"), TEXT([2]GASOLINE!$B$5:$B$208, "mmm-yy"), [2]GASOLINE!$IK$5:$IK$208, "Not Found")</f>
        <v>0</v>
      </c>
      <c r="L222">
        <f t="shared" si="3"/>
        <v>0</v>
      </c>
      <c r="M222" cm="1">
        <f t="array" ref="M222">_xlfn.XLOOKUP(TEXT(A222, "mmm-yy"), TEXT([2]GASOLINE!$B$5:$B$208, "mmm-yy"), [2]GASOLINE!$C$5:$C$208, "Not Found")</f>
        <v>6527.1909688050509</v>
      </c>
      <c r="N222" cm="1">
        <f t="array" ref="N222">_xlfn.XLOOKUP(TEXT(A222, "mmm-yy"), TEXT([2]RUNS!$B$5:$B$208, "mmm-yy"), [2]RUNS!$BM$5:$BM$208, "Not Found")</f>
        <v>0.80153082761053729</v>
      </c>
    </row>
    <row r="223" spans="1:14" x14ac:dyDescent="0.25">
      <c r="A223" s="1">
        <f>'[1]Global_Spot Prices'!$B1532</f>
        <v>42314</v>
      </c>
      <c r="B223">
        <f>_xlfn.XLOOKUP(A223,'[1]Global_Spot Prices'!$B:$B,'[1]Global_Spot Prices'!$BS:$BS)</f>
        <v>14.279999999999994</v>
      </c>
      <c r="C223">
        <f>_xlfn.XLOOKUP(A223,'[1]Global_Spot Prices'!$B:$B,'[1]Global_Spot Prices'!$E:$E)</f>
        <v>44.45</v>
      </c>
      <c r="D223">
        <f>_xlfn.XLOOKUP(A223,'[1]Global_Spot Prices'!$B:$B,'[1]Global_Spot Prices'!$D:$D)</f>
        <v>46.1</v>
      </c>
      <c r="E223">
        <f>_xlfn.XLOOKUP(A223,'[1]Global_Spot Prices'!$B:$B,'[1]Global_Spot Prices'!$H:$H)</f>
        <v>50.15</v>
      </c>
      <c r="F223">
        <f>_xlfn.XLOOKUP(A223,'[1]Global_Spot Prices'!$B:$B,'[1]Global_Spot Prices'!$I:$I)</f>
        <v>58.73</v>
      </c>
      <c r="G223" cm="1">
        <f t="array" ref="G223">_xlfn.XLOOKUP(TEXT(A223, "mmm-yy"), TEXT([2]RUNS!$B$5:$B$208, "mmm-yy"), [2]RUNS!$D$5:$D$208, "Not Found")</f>
        <v>26832.126138173106</v>
      </c>
      <c r="H223" cm="1">
        <f t="array" ref="H223">SUMPRODUCT(
    --(TEXT('[3]Global Weekly Stock (EWSuez'!$B$4:$B$2000,"mmm-yy")=TEXT(A223,"mmm-yy")),
    '[3]Global Weekly Stock (EWSuez'!$E$4:$E$2000)
/
SUMPRODUCT(
    --(TEXT('[3]Global Weekly Stock (EWSuez'!$B$4:$B$2000,"mmm-yy")=TEXT(A223,"mmm-yy"))
)</f>
        <v>12188.25</v>
      </c>
      <c r="I223">
        <f>_xlfn.XLOOKUP(A223,[1]ForwardDeriv!$D:$D,[1]ForwardDeriv!$AJ:$AJ)</f>
        <v>-0.70000000000000284</v>
      </c>
      <c r="J223" cm="1">
        <f t="array" ref="J223">_xlfn.XLOOKUP(TEXT(A223, "mmm-yy"), TEXT([2]GASOLINE!$B$5:$B$208, "mmm-yy"), [2]GASOLINE!$IR$5:$IR$208, "Not Found")</f>
        <v>162.42637504387477</v>
      </c>
      <c r="K223" cm="1">
        <f t="array" ref="K223">_xlfn.XLOOKUP(TEXT(A223, "mmm-yy"), TEXT([2]GASOLINE!$B$5:$B$208, "mmm-yy"), [2]GASOLINE!$IK$5:$IK$208, "Not Found")</f>
        <v>0</v>
      </c>
      <c r="L223">
        <f t="shared" si="3"/>
        <v>0</v>
      </c>
      <c r="M223" cm="1">
        <f t="array" ref="M223">_xlfn.XLOOKUP(TEXT(A223, "mmm-yy"), TEXT([2]GASOLINE!$B$5:$B$208, "mmm-yy"), [2]GASOLINE!$C$5:$C$208, "Not Found")</f>
        <v>6527.1909688050509</v>
      </c>
      <c r="N223" cm="1">
        <f t="array" ref="N223">_xlfn.XLOOKUP(TEXT(A223, "mmm-yy"), TEXT([2]RUNS!$B$5:$B$208, "mmm-yy"), [2]RUNS!$BM$5:$BM$208, "Not Found")</f>
        <v>0.80153082761053729</v>
      </c>
    </row>
    <row r="224" spans="1:14" x14ac:dyDescent="0.25">
      <c r="A224" s="1">
        <f>'[1]Global_Spot Prices'!$B1533</f>
        <v>42317</v>
      </c>
      <c r="B224">
        <f>_xlfn.XLOOKUP(A224,'[1]Global_Spot Prices'!$B:$B,'[1]Global_Spot Prices'!$BS:$BS)</f>
        <v>14.119999999999997</v>
      </c>
      <c r="C224">
        <f>_xlfn.XLOOKUP(A224,'[1]Global_Spot Prices'!$B:$B,'[1]Global_Spot Prices'!$E:$E)</f>
        <v>43.85</v>
      </c>
      <c r="D224">
        <f>_xlfn.XLOOKUP(A224,'[1]Global_Spot Prices'!$B:$B,'[1]Global_Spot Prices'!$D:$D)</f>
        <v>45.49</v>
      </c>
      <c r="E224">
        <f>_xlfn.XLOOKUP(A224,'[1]Global_Spot Prices'!$B:$B,'[1]Global_Spot Prices'!$H:$H)</f>
        <v>49.84</v>
      </c>
      <c r="F224">
        <f>_xlfn.XLOOKUP(A224,'[1]Global_Spot Prices'!$B:$B,'[1]Global_Spot Prices'!$I:$I)</f>
        <v>57.97</v>
      </c>
      <c r="G224" cm="1">
        <f t="array" ref="G224">_xlfn.XLOOKUP(TEXT(A224, "mmm-yy"), TEXT([2]RUNS!$B$5:$B$208, "mmm-yy"), [2]RUNS!$D$5:$D$208, "Not Found")</f>
        <v>26832.126138173106</v>
      </c>
      <c r="H224" cm="1">
        <f t="array" ref="H224">SUMPRODUCT(
    --(TEXT('[3]Global Weekly Stock (EWSuez'!$B$4:$B$2000,"mmm-yy")=TEXT(A224,"mmm-yy")),
    '[3]Global Weekly Stock (EWSuez'!$E$4:$E$2000)
/
SUMPRODUCT(
    --(TEXT('[3]Global Weekly Stock (EWSuez'!$B$4:$B$2000,"mmm-yy")=TEXT(A224,"mmm-yy"))
)</f>
        <v>12188.25</v>
      </c>
      <c r="I224">
        <f>_xlfn.XLOOKUP(A224,[1]ForwardDeriv!$D:$D,[1]ForwardDeriv!$AJ:$AJ)</f>
        <v>-0.69999999999999574</v>
      </c>
      <c r="J224" cm="1">
        <f t="array" ref="J224">_xlfn.XLOOKUP(TEXT(A224, "mmm-yy"), TEXT([2]GASOLINE!$B$5:$B$208, "mmm-yy"), [2]GASOLINE!$IR$5:$IR$208, "Not Found")</f>
        <v>162.42637504387477</v>
      </c>
      <c r="K224" cm="1">
        <f t="array" ref="K224">_xlfn.XLOOKUP(TEXT(A224, "mmm-yy"), TEXT([2]GASOLINE!$B$5:$B$208, "mmm-yy"), [2]GASOLINE!$IK$5:$IK$208, "Not Found")</f>
        <v>0</v>
      </c>
      <c r="L224">
        <f t="shared" si="3"/>
        <v>0</v>
      </c>
      <c r="M224" cm="1">
        <f t="array" ref="M224">_xlfn.XLOOKUP(TEXT(A224, "mmm-yy"), TEXT([2]GASOLINE!$B$5:$B$208, "mmm-yy"), [2]GASOLINE!$C$5:$C$208, "Not Found")</f>
        <v>6527.1909688050509</v>
      </c>
      <c r="N224" cm="1">
        <f t="array" ref="N224">_xlfn.XLOOKUP(TEXT(A224, "mmm-yy"), TEXT([2]RUNS!$B$5:$B$208, "mmm-yy"), [2]RUNS!$BM$5:$BM$208, "Not Found")</f>
        <v>0.80153082761053729</v>
      </c>
    </row>
    <row r="225" spans="1:14" x14ac:dyDescent="0.25">
      <c r="A225" s="1">
        <f>'[1]Global_Spot Prices'!$B1534</f>
        <v>42318</v>
      </c>
      <c r="B225" t="e">
        <f>_xlfn.XLOOKUP(A225,'[1]Global_Spot Prices'!$B:$B,'[1]Global_Spot Prices'!$BS:$BS)</f>
        <v>#N/A</v>
      </c>
      <c r="C225" t="str">
        <f>_xlfn.XLOOKUP(A225,'[1]Global_Spot Prices'!$B:$B,'[1]Global_Spot Prices'!$E:$E)</f>
        <v/>
      </c>
      <c r="D225">
        <f>_xlfn.XLOOKUP(A225,'[1]Global_Spot Prices'!$B:$B,'[1]Global_Spot Prices'!$D:$D)</f>
        <v>45.994999999999997</v>
      </c>
      <c r="E225">
        <f>_xlfn.XLOOKUP(A225,'[1]Global_Spot Prices'!$B:$B,'[1]Global_Spot Prices'!$H:$H)</f>
        <v>0</v>
      </c>
      <c r="F225">
        <f>_xlfn.XLOOKUP(A225,'[1]Global_Spot Prices'!$B:$B,'[1]Global_Spot Prices'!$I:$I)</f>
        <v>0</v>
      </c>
      <c r="G225" cm="1">
        <f t="array" ref="G225">_xlfn.XLOOKUP(TEXT(A225, "mmm-yy"), TEXT([2]RUNS!$B$5:$B$208, "mmm-yy"), [2]RUNS!$D$5:$D$208, "Not Found")</f>
        <v>26832.126138173106</v>
      </c>
      <c r="H225" cm="1">
        <f t="array" ref="H225">SUMPRODUCT(
    --(TEXT('[3]Global Weekly Stock (EWSuez'!$B$4:$B$2000,"mmm-yy")=TEXT(A225,"mmm-yy")),
    '[3]Global Weekly Stock (EWSuez'!$E$4:$E$2000)
/
SUMPRODUCT(
    --(TEXT('[3]Global Weekly Stock (EWSuez'!$B$4:$B$2000,"mmm-yy")=TEXT(A225,"mmm-yy"))
)</f>
        <v>12188.25</v>
      </c>
      <c r="I225">
        <f>_xlfn.XLOOKUP(A225,[1]ForwardDeriv!$D:$D,[1]ForwardDeriv!$AJ:$AJ)</f>
        <v>-0.65000000000000568</v>
      </c>
      <c r="J225" cm="1">
        <f t="array" ref="J225">_xlfn.XLOOKUP(TEXT(A225, "mmm-yy"), TEXT([2]GASOLINE!$B$5:$B$208, "mmm-yy"), [2]GASOLINE!$IR$5:$IR$208, "Not Found")</f>
        <v>162.42637504387477</v>
      </c>
      <c r="K225" cm="1">
        <f t="array" ref="K225">_xlfn.XLOOKUP(TEXT(A225, "mmm-yy"), TEXT([2]GASOLINE!$B$5:$B$208, "mmm-yy"), [2]GASOLINE!$IK$5:$IK$208, "Not Found")</f>
        <v>0</v>
      </c>
      <c r="L225">
        <f t="shared" si="3"/>
        <v>0</v>
      </c>
      <c r="M225" cm="1">
        <f t="array" ref="M225">_xlfn.XLOOKUP(TEXT(A225, "mmm-yy"), TEXT([2]GASOLINE!$B$5:$B$208, "mmm-yy"), [2]GASOLINE!$C$5:$C$208, "Not Found")</f>
        <v>6527.1909688050509</v>
      </c>
      <c r="N225" cm="1">
        <f t="array" ref="N225">_xlfn.XLOOKUP(TEXT(A225, "mmm-yy"), TEXT([2]RUNS!$B$5:$B$208, "mmm-yy"), [2]RUNS!$BM$5:$BM$208, "Not Found")</f>
        <v>0.80153082761053729</v>
      </c>
    </row>
    <row r="226" spans="1:14" x14ac:dyDescent="0.25">
      <c r="A226" s="1">
        <f>'[1]Global_Spot Prices'!$B1535</f>
        <v>42319</v>
      </c>
      <c r="B226">
        <f>_xlfn.XLOOKUP(A226,'[1]Global_Spot Prices'!$B:$B,'[1]Global_Spot Prices'!$BS:$BS)</f>
        <v>13.980000000000004</v>
      </c>
      <c r="C226">
        <f>_xlfn.XLOOKUP(A226,'[1]Global_Spot Prices'!$B:$B,'[1]Global_Spot Prices'!$E:$E)</f>
        <v>43.3</v>
      </c>
      <c r="D226">
        <f>_xlfn.XLOOKUP(A226,'[1]Global_Spot Prices'!$B:$B,'[1]Global_Spot Prices'!$D:$D)</f>
        <v>44.69</v>
      </c>
      <c r="E226">
        <f>_xlfn.XLOOKUP(A226,'[1]Global_Spot Prices'!$B:$B,'[1]Global_Spot Prices'!$H:$H)</f>
        <v>49.39</v>
      </c>
      <c r="F226">
        <f>_xlfn.XLOOKUP(A226,'[1]Global_Spot Prices'!$B:$B,'[1]Global_Spot Prices'!$I:$I)</f>
        <v>57.28</v>
      </c>
      <c r="G226" cm="1">
        <f t="array" ref="G226">_xlfn.XLOOKUP(TEXT(A226, "mmm-yy"), TEXT([2]RUNS!$B$5:$B$208, "mmm-yy"), [2]RUNS!$D$5:$D$208, "Not Found")</f>
        <v>26832.126138173106</v>
      </c>
      <c r="H226" cm="1">
        <f t="array" ref="H226">SUMPRODUCT(
    --(TEXT('[3]Global Weekly Stock (EWSuez'!$B$4:$B$2000,"mmm-yy")=TEXT(A226,"mmm-yy")),
    '[3]Global Weekly Stock (EWSuez'!$E$4:$E$2000)
/
SUMPRODUCT(
    --(TEXT('[3]Global Weekly Stock (EWSuez'!$B$4:$B$2000,"mmm-yy")=TEXT(A226,"mmm-yy"))
)</f>
        <v>12188.25</v>
      </c>
      <c r="I226">
        <f>_xlfn.XLOOKUP(A226,[1]ForwardDeriv!$D:$D,[1]ForwardDeriv!$AJ:$AJ)</f>
        <v>-0.65000000000000568</v>
      </c>
      <c r="J226" cm="1">
        <f t="array" ref="J226">_xlfn.XLOOKUP(TEXT(A226, "mmm-yy"), TEXT([2]GASOLINE!$B$5:$B$208, "mmm-yy"), [2]GASOLINE!$IR$5:$IR$208, "Not Found")</f>
        <v>162.42637504387477</v>
      </c>
      <c r="K226" cm="1">
        <f t="array" ref="K226">_xlfn.XLOOKUP(TEXT(A226, "mmm-yy"), TEXT([2]GASOLINE!$B$5:$B$208, "mmm-yy"), [2]GASOLINE!$IK$5:$IK$208, "Not Found")</f>
        <v>0</v>
      </c>
      <c r="L226">
        <f t="shared" si="3"/>
        <v>0</v>
      </c>
      <c r="M226" cm="1">
        <f t="array" ref="M226">_xlfn.XLOOKUP(TEXT(A226, "mmm-yy"), TEXT([2]GASOLINE!$B$5:$B$208, "mmm-yy"), [2]GASOLINE!$C$5:$C$208, "Not Found")</f>
        <v>6527.1909688050509</v>
      </c>
      <c r="N226" cm="1">
        <f t="array" ref="N226">_xlfn.XLOOKUP(TEXT(A226, "mmm-yy"), TEXT([2]RUNS!$B$5:$B$208, "mmm-yy"), [2]RUNS!$BM$5:$BM$208, "Not Found")</f>
        <v>0.80153082761053729</v>
      </c>
    </row>
    <row r="227" spans="1:14" x14ac:dyDescent="0.25">
      <c r="A227" s="1">
        <f>'[1]Global_Spot Prices'!$B1536</f>
        <v>42320</v>
      </c>
      <c r="B227">
        <f>_xlfn.XLOOKUP(A227,'[1]Global_Spot Prices'!$B:$B,'[1]Global_Spot Prices'!$BS:$BS)</f>
        <v>14.799999999999997</v>
      </c>
      <c r="C227">
        <f>_xlfn.XLOOKUP(A227,'[1]Global_Spot Prices'!$B:$B,'[1]Global_Spot Prices'!$E:$E)</f>
        <v>42.1</v>
      </c>
      <c r="D227">
        <f>_xlfn.XLOOKUP(A227,'[1]Global_Spot Prices'!$B:$B,'[1]Global_Spot Prices'!$D:$D)</f>
        <v>43.155000000000001</v>
      </c>
      <c r="E227">
        <f>_xlfn.XLOOKUP(A227,'[1]Global_Spot Prices'!$B:$B,'[1]Global_Spot Prices'!$H:$H)</f>
        <v>48.39</v>
      </c>
      <c r="F227">
        <f>_xlfn.XLOOKUP(A227,'[1]Global_Spot Prices'!$B:$B,'[1]Global_Spot Prices'!$I:$I)</f>
        <v>56.9</v>
      </c>
      <c r="G227" cm="1">
        <f t="array" ref="G227">_xlfn.XLOOKUP(TEXT(A227, "mmm-yy"), TEXT([2]RUNS!$B$5:$B$208, "mmm-yy"), [2]RUNS!$D$5:$D$208, "Not Found")</f>
        <v>26832.126138173106</v>
      </c>
      <c r="H227" cm="1">
        <f t="array" ref="H227">SUMPRODUCT(
    --(TEXT('[3]Global Weekly Stock (EWSuez'!$B$4:$B$2000,"mmm-yy")=TEXT(A227,"mmm-yy")),
    '[3]Global Weekly Stock (EWSuez'!$E$4:$E$2000)
/
SUMPRODUCT(
    --(TEXT('[3]Global Weekly Stock (EWSuez'!$B$4:$B$2000,"mmm-yy")=TEXT(A227,"mmm-yy"))
)</f>
        <v>12188.25</v>
      </c>
      <c r="I227">
        <f>_xlfn.XLOOKUP(A227,[1]ForwardDeriv!$D:$D,[1]ForwardDeriv!$AJ:$AJ)</f>
        <v>-0.60000000000000142</v>
      </c>
      <c r="J227" cm="1">
        <f t="array" ref="J227">_xlfn.XLOOKUP(TEXT(A227, "mmm-yy"), TEXT([2]GASOLINE!$B$5:$B$208, "mmm-yy"), [2]GASOLINE!$IR$5:$IR$208, "Not Found")</f>
        <v>162.42637504387477</v>
      </c>
      <c r="K227" cm="1">
        <f t="array" ref="K227">_xlfn.XLOOKUP(TEXT(A227, "mmm-yy"), TEXT([2]GASOLINE!$B$5:$B$208, "mmm-yy"), [2]GASOLINE!$IK$5:$IK$208, "Not Found")</f>
        <v>0</v>
      </c>
      <c r="L227">
        <f t="shared" si="3"/>
        <v>0</v>
      </c>
      <c r="M227" cm="1">
        <f t="array" ref="M227">_xlfn.XLOOKUP(TEXT(A227, "mmm-yy"), TEXT([2]GASOLINE!$B$5:$B$208, "mmm-yy"), [2]GASOLINE!$C$5:$C$208, "Not Found")</f>
        <v>6527.1909688050509</v>
      </c>
      <c r="N227" cm="1">
        <f t="array" ref="N227">_xlfn.XLOOKUP(TEXT(A227, "mmm-yy"), TEXT([2]RUNS!$B$5:$B$208, "mmm-yy"), [2]RUNS!$BM$5:$BM$208, "Not Found")</f>
        <v>0.80153082761053729</v>
      </c>
    </row>
    <row r="228" spans="1:14" x14ac:dyDescent="0.25">
      <c r="A228" s="1">
        <f>'[1]Global_Spot Prices'!$B1537</f>
        <v>42321</v>
      </c>
      <c r="B228">
        <f>_xlfn.XLOOKUP(A228,'[1]Global_Spot Prices'!$B:$B,'[1]Global_Spot Prices'!$BS:$BS)</f>
        <v>14.450000000000003</v>
      </c>
      <c r="C228">
        <f>_xlfn.XLOOKUP(A228,'[1]Global_Spot Prices'!$B:$B,'[1]Global_Spot Prices'!$E:$E)</f>
        <v>41</v>
      </c>
      <c r="D228">
        <f>_xlfn.XLOOKUP(A228,'[1]Global_Spot Prices'!$B:$B,'[1]Global_Spot Prices'!$D:$D)</f>
        <v>42.27</v>
      </c>
      <c r="E228">
        <f>_xlfn.XLOOKUP(A228,'[1]Global_Spot Prices'!$B:$B,'[1]Global_Spot Prices'!$H:$H)</f>
        <v>47.6</v>
      </c>
      <c r="F228">
        <f>_xlfn.XLOOKUP(A228,'[1]Global_Spot Prices'!$B:$B,'[1]Global_Spot Prices'!$I:$I)</f>
        <v>55.45</v>
      </c>
      <c r="G228" cm="1">
        <f t="array" ref="G228">_xlfn.XLOOKUP(TEXT(A228, "mmm-yy"), TEXT([2]RUNS!$B$5:$B$208, "mmm-yy"), [2]RUNS!$D$5:$D$208, "Not Found")</f>
        <v>26832.126138173106</v>
      </c>
      <c r="H228" cm="1">
        <f t="array" ref="H228">SUMPRODUCT(
    --(TEXT('[3]Global Weekly Stock (EWSuez'!$B$4:$B$2000,"mmm-yy")=TEXT(A228,"mmm-yy")),
    '[3]Global Weekly Stock (EWSuez'!$E$4:$E$2000)
/
SUMPRODUCT(
    --(TEXT('[3]Global Weekly Stock (EWSuez'!$B$4:$B$2000,"mmm-yy")=TEXT(A228,"mmm-yy"))
)</f>
        <v>12188.25</v>
      </c>
      <c r="I228">
        <f>_xlfn.XLOOKUP(A228,[1]ForwardDeriv!$D:$D,[1]ForwardDeriv!$AJ:$AJ)</f>
        <v>-0.54999999999999716</v>
      </c>
      <c r="J228" cm="1">
        <f t="array" ref="J228">_xlfn.XLOOKUP(TEXT(A228, "mmm-yy"), TEXT([2]GASOLINE!$B$5:$B$208, "mmm-yy"), [2]GASOLINE!$IR$5:$IR$208, "Not Found")</f>
        <v>162.42637504387477</v>
      </c>
      <c r="K228" cm="1">
        <f t="array" ref="K228">_xlfn.XLOOKUP(TEXT(A228, "mmm-yy"), TEXT([2]GASOLINE!$B$5:$B$208, "mmm-yy"), [2]GASOLINE!$IK$5:$IK$208, "Not Found")</f>
        <v>0</v>
      </c>
      <c r="L228">
        <f t="shared" si="3"/>
        <v>0</v>
      </c>
      <c r="M228" cm="1">
        <f t="array" ref="M228">_xlfn.XLOOKUP(TEXT(A228, "mmm-yy"), TEXT([2]GASOLINE!$B$5:$B$208, "mmm-yy"), [2]GASOLINE!$C$5:$C$208, "Not Found")</f>
        <v>6527.1909688050509</v>
      </c>
      <c r="N228" cm="1">
        <f t="array" ref="N228">_xlfn.XLOOKUP(TEXT(A228, "mmm-yy"), TEXT([2]RUNS!$B$5:$B$208, "mmm-yy"), [2]RUNS!$BM$5:$BM$208, "Not Found")</f>
        <v>0.80153082761053729</v>
      </c>
    </row>
    <row r="229" spans="1:14" x14ac:dyDescent="0.25">
      <c r="A229" s="1">
        <f>'[1]Global_Spot Prices'!$B1538</f>
        <v>42324</v>
      </c>
      <c r="B229">
        <f>_xlfn.XLOOKUP(A229,'[1]Global_Spot Prices'!$B:$B,'[1]Global_Spot Prices'!$BS:$BS)</f>
        <v>15.100000000000001</v>
      </c>
      <c r="C229">
        <f>_xlfn.XLOOKUP(A229,'[1]Global_Spot Prices'!$B:$B,'[1]Global_Spot Prices'!$E:$E)</f>
        <v>39.61</v>
      </c>
      <c r="D229">
        <f>_xlfn.XLOOKUP(A229,'[1]Global_Spot Prices'!$B:$B,'[1]Global_Spot Prices'!$D:$D)</f>
        <v>40.384999999999998</v>
      </c>
      <c r="E229">
        <f>_xlfn.XLOOKUP(A229,'[1]Global_Spot Prices'!$B:$B,'[1]Global_Spot Prices'!$H:$H)</f>
        <v>47.01</v>
      </c>
      <c r="F229">
        <f>_xlfn.XLOOKUP(A229,'[1]Global_Spot Prices'!$B:$B,'[1]Global_Spot Prices'!$I:$I)</f>
        <v>54.71</v>
      </c>
      <c r="G229" cm="1">
        <f t="array" ref="G229">_xlfn.XLOOKUP(TEXT(A229, "mmm-yy"), TEXT([2]RUNS!$B$5:$B$208, "mmm-yy"), [2]RUNS!$D$5:$D$208, "Not Found")</f>
        <v>26832.126138173106</v>
      </c>
      <c r="H229" cm="1">
        <f t="array" ref="H229">SUMPRODUCT(
    --(TEXT('[3]Global Weekly Stock (EWSuez'!$B$4:$B$2000,"mmm-yy")=TEXT(A229,"mmm-yy")),
    '[3]Global Weekly Stock (EWSuez'!$E$4:$E$2000)
/
SUMPRODUCT(
    --(TEXT('[3]Global Weekly Stock (EWSuez'!$B$4:$B$2000,"mmm-yy")=TEXT(A229,"mmm-yy"))
)</f>
        <v>12188.25</v>
      </c>
      <c r="I229">
        <f>_xlfn.XLOOKUP(A229,[1]ForwardDeriv!$D:$D,[1]ForwardDeriv!$AJ:$AJ)</f>
        <v>-0.54999999999999716</v>
      </c>
      <c r="J229" cm="1">
        <f t="array" ref="J229">_xlfn.XLOOKUP(TEXT(A229, "mmm-yy"), TEXT([2]GASOLINE!$B$5:$B$208, "mmm-yy"), [2]GASOLINE!$IR$5:$IR$208, "Not Found")</f>
        <v>162.42637504387477</v>
      </c>
      <c r="K229" cm="1">
        <f t="array" ref="K229">_xlfn.XLOOKUP(TEXT(A229, "mmm-yy"), TEXT([2]GASOLINE!$B$5:$B$208, "mmm-yy"), [2]GASOLINE!$IK$5:$IK$208, "Not Found")</f>
        <v>0</v>
      </c>
      <c r="L229">
        <f t="shared" si="3"/>
        <v>0</v>
      </c>
      <c r="M229" cm="1">
        <f t="array" ref="M229">_xlfn.XLOOKUP(TEXT(A229, "mmm-yy"), TEXT([2]GASOLINE!$B$5:$B$208, "mmm-yy"), [2]GASOLINE!$C$5:$C$208, "Not Found")</f>
        <v>6527.1909688050509</v>
      </c>
      <c r="N229" cm="1">
        <f t="array" ref="N229">_xlfn.XLOOKUP(TEXT(A229, "mmm-yy"), TEXT([2]RUNS!$B$5:$B$208, "mmm-yy"), [2]RUNS!$BM$5:$BM$208, "Not Found")</f>
        <v>0.80153082761053729</v>
      </c>
    </row>
    <row r="230" spans="1:14" x14ac:dyDescent="0.25">
      <c r="A230" s="1">
        <f>'[1]Global_Spot Prices'!$B1539</f>
        <v>42325</v>
      </c>
      <c r="B230">
        <f>_xlfn.XLOOKUP(A230,'[1]Global_Spot Prices'!$B:$B,'[1]Global_Spot Prices'!$BS:$BS)</f>
        <v>13.979999999999997</v>
      </c>
      <c r="C230">
        <f>_xlfn.XLOOKUP(A230,'[1]Global_Spot Prices'!$B:$B,'[1]Global_Spot Prices'!$E:$E)</f>
        <v>39.770000000000003</v>
      </c>
      <c r="D230">
        <f>_xlfn.XLOOKUP(A230,'[1]Global_Spot Prices'!$B:$B,'[1]Global_Spot Prices'!$D:$D)</f>
        <v>41.545000000000002</v>
      </c>
      <c r="E230">
        <f>_xlfn.XLOOKUP(A230,'[1]Global_Spot Prices'!$B:$B,'[1]Global_Spot Prices'!$H:$H)</f>
        <v>47.54</v>
      </c>
      <c r="F230">
        <f>_xlfn.XLOOKUP(A230,'[1]Global_Spot Prices'!$B:$B,'[1]Global_Spot Prices'!$I:$I)</f>
        <v>53.75</v>
      </c>
      <c r="G230" cm="1">
        <f t="array" ref="G230">_xlfn.XLOOKUP(TEXT(A230, "mmm-yy"), TEXT([2]RUNS!$B$5:$B$208, "mmm-yy"), [2]RUNS!$D$5:$D$208, "Not Found")</f>
        <v>26832.126138173106</v>
      </c>
      <c r="H230" cm="1">
        <f t="array" ref="H230">SUMPRODUCT(
    --(TEXT('[3]Global Weekly Stock (EWSuez'!$B$4:$B$2000,"mmm-yy")=TEXT(A230,"mmm-yy")),
    '[3]Global Weekly Stock (EWSuez'!$E$4:$E$2000)
/
SUMPRODUCT(
    --(TEXT('[3]Global Weekly Stock (EWSuez'!$B$4:$B$2000,"mmm-yy")=TEXT(A230,"mmm-yy"))
)</f>
        <v>12188.25</v>
      </c>
      <c r="I230">
        <f>_xlfn.XLOOKUP(A230,[1]ForwardDeriv!$D:$D,[1]ForwardDeriv!$AJ:$AJ)</f>
        <v>-0.64999999999999858</v>
      </c>
      <c r="J230" cm="1">
        <f t="array" ref="J230">_xlfn.XLOOKUP(TEXT(A230, "mmm-yy"), TEXT([2]GASOLINE!$B$5:$B$208, "mmm-yy"), [2]GASOLINE!$IR$5:$IR$208, "Not Found")</f>
        <v>162.42637504387477</v>
      </c>
      <c r="K230" cm="1">
        <f t="array" ref="K230">_xlfn.XLOOKUP(TEXT(A230, "mmm-yy"), TEXT([2]GASOLINE!$B$5:$B$208, "mmm-yy"), [2]GASOLINE!$IK$5:$IK$208, "Not Found")</f>
        <v>0</v>
      </c>
      <c r="L230">
        <f t="shared" si="3"/>
        <v>0</v>
      </c>
      <c r="M230" cm="1">
        <f t="array" ref="M230">_xlfn.XLOOKUP(TEXT(A230, "mmm-yy"), TEXT([2]GASOLINE!$B$5:$B$208, "mmm-yy"), [2]GASOLINE!$C$5:$C$208, "Not Found")</f>
        <v>6527.1909688050509</v>
      </c>
      <c r="N230" cm="1">
        <f t="array" ref="N230">_xlfn.XLOOKUP(TEXT(A230, "mmm-yy"), TEXT([2]RUNS!$B$5:$B$208, "mmm-yy"), [2]RUNS!$BM$5:$BM$208, "Not Found")</f>
        <v>0.80153082761053729</v>
      </c>
    </row>
    <row r="231" spans="1:14" x14ac:dyDescent="0.25">
      <c r="A231" s="1">
        <f>'[1]Global_Spot Prices'!$B1540</f>
        <v>42326</v>
      </c>
      <c r="B231">
        <f>_xlfn.XLOOKUP(A231,'[1]Global_Spot Prices'!$B:$B,'[1]Global_Spot Prices'!$BS:$BS)</f>
        <v>14.82</v>
      </c>
      <c r="C231">
        <f>_xlfn.XLOOKUP(A231,'[1]Global_Spot Prices'!$B:$B,'[1]Global_Spot Prices'!$E:$E)</f>
        <v>39.21</v>
      </c>
      <c r="D231">
        <f>_xlfn.XLOOKUP(A231,'[1]Global_Spot Prices'!$B:$B,'[1]Global_Spot Prices'!$D:$D)</f>
        <v>41.674999999999997</v>
      </c>
      <c r="E231">
        <f>_xlfn.XLOOKUP(A231,'[1]Global_Spot Prices'!$B:$B,'[1]Global_Spot Prices'!$H:$H)</f>
        <v>47.57</v>
      </c>
      <c r="F231">
        <f>_xlfn.XLOOKUP(A231,'[1]Global_Spot Prices'!$B:$B,'[1]Global_Spot Prices'!$I:$I)</f>
        <v>54.03</v>
      </c>
      <c r="G231" cm="1">
        <f t="array" ref="G231">_xlfn.XLOOKUP(TEXT(A231, "mmm-yy"), TEXT([2]RUNS!$B$5:$B$208, "mmm-yy"), [2]RUNS!$D$5:$D$208, "Not Found")</f>
        <v>26832.126138173106</v>
      </c>
      <c r="H231" cm="1">
        <f t="array" ref="H231">SUMPRODUCT(
    --(TEXT('[3]Global Weekly Stock (EWSuez'!$B$4:$B$2000,"mmm-yy")=TEXT(A231,"mmm-yy")),
    '[3]Global Weekly Stock (EWSuez'!$E$4:$E$2000)
/
SUMPRODUCT(
    --(TEXT('[3]Global Weekly Stock (EWSuez'!$B$4:$B$2000,"mmm-yy")=TEXT(A231,"mmm-yy"))
)</f>
        <v>12188.25</v>
      </c>
      <c r="I231">
        <f>_xlfn.XLOOKUP(A231,[1]ForwardDeriv!$D:$D,[1]ForwardDeriv!$AJ:$AJ)</f>
        <v>-0.64999999999999858</v>
      </c>
      <c r="J231" cm="1">
        <f t="array" ref="J231">_xlfn.XLOOKUP(TEXT(A231, "mmm-yy"), TEXT([2]GASOLINE!$B$5:$B$208, "mmm-yy"), [2]GASOLINE!$IR$5:$IR$208, "Not Found")</f>
        <v>162.42637504387477</v>
      </c>
      <c r="K231" cm="1">
        <f t="array" ref="K231">_xlfn.XLOOKUP(TEXT(A231, "mmm-yy"), TEXT([2]GASOLINE!$B$5:$B$208, "mmm-yy"), [2]GASOLINE!$IK$5:$IK$208, "Not Found")</f>
        <v>0</v>
      </c>
      <c r="L231">
        <f t="shared" si="3"/>
        <v>0</v>
      </c>
      <c r="M231" cm="1">
        <f t="array" ref="M231">_xlfn.XLOOKUP(TEXT(A231, "mmm-yy"), TEXT([2]GASOLINE!$B$5:$B$208, "mmm-yy"), [2]GASOLINE!$C$5:$C$208, "Not Found")</f>
        <v>6527.1909688050509</v>
      </c>
      <c r="N231" cm="1">
        <f t="array" ref="N231">_xlfn.XLOOKUP(TEXT(A231, "mmm-yy"), TEXT([2]RUNS!$B$5:$B$208, "mmm-yy"), [2]RUNS!$BM$5:$BM$208, "Not Found")</f>
        <v>0.80153082761053729</v>
      </c>
    </row>
    <row r="232" spans="1:14" x14ac:dyDescent="0.25">
      <c r="A232" s="1">
        <f>'[1]Global_Spot Prices'!$B1541</f>
        <v>42327</v>
      </c>
      <c r="B232">
        <f>_xlfn.XLOOKUP(A232,'[1]Global_Spot Prices'!$B:$B,'[1]Global_Spot Prices'!$BS:$BS)</f>
        <v>14.86</v>
      </c>
      <c r="C232">
        <f>_xlfn.XLOOKUP(A232,'[1]Global_Spot Prices'!$B:$B,'[1]Global_Spot Prices'!$E:$E)</f>
        <v>39.75</v>
      </c>
      <c r="D232">
        <f>_xlfn.XLOOKUP(A232,'[1]Global_Spot Prices'!$B:$B,'[1]Global_Spot Prices'!$D:$D)</f>
        <v>42.18</v>
      </c>
      <c r="E232">
        <f>_xlfn.XLOOKUP(A232,'[1]Global_Spot Prices'!$B:$B,'[1]Global_Spot Prices'!$H:$H)</f>
        <v>47.82</v>
      </c>
      <c r="F232">
        <f>_xlfn.XLOOKUP(A232,'[1]Global_Spot Prices'!$B:$B,'[1]Global_Spot Prices'!$I:$I)</f>
        <v>54.61</v>
      </c>
      <c r="G232" cm="1">
        <f t="array" ref="G232">_xlfn.XLOOKUP(TEXT(A232, "mmm-yy"), TEXT([2]RUNS!$B$5:$B$208, "mmm-yy"), [2]RUNS!$D$5:$D$208, "Not Found")</f>
        <v>26832.126138173106</v>
      </c>
      <c r="H232" cm="1">
        <f t="array" ref="H232">SUMPRODUCT(
    --(TEXT('[3]Global Weekly Stock (EWSuez'!$B$4:$B$2000,"mmm-yy")=TEXT(A232,"mmm-yy")),
    '[3]Global Weekly Stock (EWSuez'!$E$4:$E$2000)
/
SUMPRODUCT(
    --(TEXT('[3]Global Weekly Stock (EWSuez'!$B$4:$B$2000,"mmm-yy")=TEXT(A232,"mmm-yy"))
)</f>
        <v>12188.25</v>
      </c>
      <c r="I232">
        <f>_xlfn.XLOOKUP(A232,[1]ForwardDeriv!$D:$D,[1]ForwardDeriv!$AJ:$AJ)</f>
        <v>-0.5</v>
      </c>
      <c r="J232" cm="1">
        <f t="array" ref="J232">_xlfn.XLOOKUP(TEXT(A232, "mmm-yy"), TEXT([2]GASOLINE!$B$5:$B$208, "mmm-yy"), [2]GASOLINE!$IR$5:$IR$208, "Not Found")</f>
        <v>162.42637504387477</v>
      </c>
      <c r="K232" cm="1">
        <f t="array" ref="K232">_xlfn.XLOOKUP(TEXT(A232, "mmm-yy"), TEXT([2]GASOLINE!$B$5:$B$208, "mmm-yy"), [2]GASOLINE!$IK$5:$IK$208, "Not Found")</f>
        <v>0</v>
      </c>
      <c r="L232">
        <f t="shared" si="3"/>
        <v>0</v>
      </c>
      <c r="M232" cm="1">
        <f t="array" ref="M232">_xlfn.XLOOKUP(TEXT(A232, "mmm-yy"), TEXT([2]GASOLINE!$B$5:$B$208, "mmm-yy"), [2]GASOLINE!$C$5:$C$208, "Not Found")</f>
        <v>6527.1909688050509</v>
      </c>
      <c r="N232" cm="1">
        <f t="array" ref="N232">_xlfn.XLOOKUP(TEXT(A232, "mmm-yy"), TEXT([2]RUNS!$B$5:$B$208, "mmm-yy"), [2]RUNS!$BM$5:$BM$208, "Not Found")</f>
        <v>0.80153082761053729</v>
      </c>
    </row>
    <row r="233" spans="1:14" x14ac:dyDescent="0.25">
      <c r="A233" s="1">
        <f>'[1]Global_Spot Prices'!$B1542</f>
        <v>42328</v>
      </c>
      <c r="B233">
        <f>_xlfn.XLOOKUP(A233,'[1]Global_Spot Prices'!$B:$B,'[1]Global_Spot Prices'!$BS:$BS)</f>
        <v>15.160000000000004</v>
      </c>
      <c r="C233">
        <f>_xlfn.XLOOKUP(A233,'[1]Global_Spot Prices'!$B:$B,'[1]Global_Spot Prices'!$E:$E)</f>
        <v>39.26</v>
      </c>
      <c r="D233">
        <f>_xlfn.XLOOKUP(A233,'[1]Global_Spot Prices'!$B:$B,'[1]Global_Spot Prices'!$D:$D)</f>
        <v>42.67</v>
      </c>
      <c r="E233">
        <f>_xlfn.XLOOKUP(A233,'[1]Global_Spot Prices'!$B:$B,'[1]Global_Spot Prices'!$H:$H)</f>
        <v>47.56</v>
      </c>
      <c r="F233">
        <f>_xlfn.XLOOKUP(A233,'[1]Global_Spot Prices'!$B:$B,'[1]Global_Spot Prices'!$I:$I)</f>
        <v>54.42</v>
      </c>
      <c r="G233" cm="1">
        <f t="array" ref="G233">_xlfn.XLOOKUP(TEXT(A233, "mmm-yy"), TEXT([2]RUNS!$B$5:$B$208, "mmm-yy"), [2]RUNS!$D$5:$D$208, "Not Found")</f>
        <v>26832.126138173106</v>
      </c>
      <c r="H233" cm="1">
        <f t="array" ref="H233">SUMPRODUCT(
    --(TEXT('[3]Global Weekly Stock (EWSuez'!$B$4:$B$2000,"mmm-yy")=TEXT(A233,"mmm-yy")),
    '[3]Global Weekly Stock (EWSuez'!$E$4:$E$2000)
/
SUMPRODUCT(
    --(TEXT('[3]Global Weekly Stock (EWSuez'!$B$4:$B$2000,"mmm-yy")=TEXT(A233,"mmm-yy"))
)</f>
        <v>12188.25</v>
      </c>
      <c r="I233">
        <f>_xlfn.XLOOKUP(A233,[1]ForwardDeriv!$D:$D,[1]ForwardDeriv!$AJ:$AJ)</f>
        <v>-0.37999999999999545</v>
      </c>
      <c r="J233" cm="1">
        <f t="array" ref="J233">_xlfn.XLOOKUP(TEXT(A233, "mmm-yy"), TEXT([2]GASOLINE!$B$5:$B$208, "mmm-yy"), [2]GASOLINE!$IR$5:$IR$208, "Not Found")</f>
        <v>162.42637504387477</v>
      </c>
      <c r="K233" cm="1">
        <f t="array" ref="K233">_xlfn.XLOOKUP(TEXT(A233, "mmm-yy"), TEXT([2]GASOLINE!$B$5:$B$208, "mmm-yy"), [2]GASOLINE!$IK$5:$IK$208, "Not Found")</f>
        <v>0</v>
      </c>
      <c r="L233">
        <f t="shared" si="3"/>
        <v>0</v>
      </c>
      <c r="M233" cm="1">
        <f t="array" ref="M233">_xlfn.XLOOKUP(TEXT(A233, "mmm-yy"), TEXT([2]GASOLINE!$B$5:$B$208, "mmm-yy"), [2]GASOLINE!$C$5:$C$208, "Not Found")</f>
        <v>6527.1909688050509</v>
      </c>
      <c r="N233" cm="1">
        <f t="array" ref="N233">_xlfn.XLOOKUP(TEXT(A233, "mmm-yy"), TEXT([2]RUNS!$B$5:$B$208, "mmm-yy"), [2]RUNS!$BM$5:$BM$208, "Not Found")</f>
        <v>0.80153082761053729</v>
      </c>
    </row>
    <row r="234" spans="1:14" x14ac:dyDescent="0.25">
      <c r="A234" s="1">
        <f>'[1]Global_Spot Prices'!$B1543</f>
        <v>42331</v>
      </c>
      <c r="B234">
        <f>_xlfn.XLOOKUP(A234,'[1]Global_Spot Prices'!$B:$B,'[1]Global_Spot Prices'!$BS:$BS)</f>
        <v>14.829999999999998</v>
      </c>
      <c r="C234">
        <f>_xlfn.XLOOKUP(A234,'[1]Global_Spot Prices'!$B:$B,'[1]Global_Spot Prices'!$E:$E)</f>
        <v>38.79</v>
      </c>
      <c r="D234">
        <f>_xlfn.XLOOKUP(A234,'[1]Global_Spot Prices'!$B:$B,'[1]Global_Spot Prices'!$D:$D)</f>
        <v>44.005000000000003</v>
      </c>
      <c r="E234">
        <f>_xlfn.XLOOKUP(A234,'[1]Global_Spot Prices'!$B:$B,'[1]Global_Spot Prices'!$H:$H)</f>
        <v>46.82</v>
      </c>
      <c r="F234">
        <f>_xlfn.XLOOKUP(A234,'[1]Global_Spot Prices'!$B:$B,'[1]Global_Spot Prices'!$I:$I)</f>
        <v>53.62</v>
      </c>
      <c r="G234" cm="1">
        <f t="array" ref="G234">_xlfn.XLOOKUP(TEXT(A234, "mmm-yy"), TEXT([2]RUNS!$B$5:$B$208, "mmm-yy"), [2]RUNS!$D$5:$D$208, "Not Found")</f>
        <v>26832.126138173106</v>
      </c>
      <c r="H234" cm="1">
        <f t="array" ref="H234">SUMPRODUCT(
    --(TEXT('[3]Global Weekly Stock (EWSuez'!$B$4:$B$2000,"mmm-yy")=TEXT(A234,"mmm-yy")),
    '[3]Global Weekly Stock (EWSuez'!$E$4:$E$2000)
/
SUMPRODUCT(
    --(TEXT('[3]Global Weekly Stock (EWSuez'!$B$4:$B$2000,"mmm-yy")=TEXT(A234,"mmm-yy"))
)</f>
        <v>12188.25</v>
      </c>
      <c r="I234">
        <f>_xlfn.XLOOKUP(A234,[1]ForwardDeriv!$D:$D,[1]ForwardDeriv!$AJ:$AJ)</f>
        <v>-0.5</v>
      </c>
      <c r="J234" cm="1">
        <f t="array" ref="J234">_xlfn.XLOOKUP(TEXT(A234, "mmm-yy"), TEXT([2]GASOLINE!$B$5:$B$208, "mmm-yy"), [2]GASOLINE!$IR$5:$IR$208, "Not Found")</f>
        <v>162.42637504387477</v>
      </c>
      <c r="K234" cm="1">
        <f t="array" ref="K234">_xlfn.XLOOKUP(TEXT(A234, "mmm-yy"), TEXT([2]GASOLINE!$B$5:$B$208, "mmm-yy"), [2]GASOLINE!$IK$5:$IK$208, "Not Found")</f>
        <v>0</v>
      </c>
      <c r="L234">
        <f t="shared" si="3"/>
        <v>0</v>
      </c>
      <c r="M234" cm="1">
        <f t="array" ref="M234">_xlfn.XLOOKUP(TEXT(A234, "mmm-yy"), TEXT([2]GASOLINE!$B$5:$B$208, "mmm-yy"), [2]GASOLINE!$C$5:$C$208, "Not Found")</f>
        <v>6527.1909688050509</v>
      </c>
      <c r="N234" cm="1">
        <f t="array" ref="N234">_xlfn.XLOOKUP(TEXT(A234, "mmm-yy"), TEXT([2]RUNS!$B$5:$B$208, "mmm-yy"), [2]RUNS!$BM$5:$BM$208, "Not Found")</f>
        <v>0.80153082761053729</v>
      </c>
    </row>
    <row r="235" spans="1:14" x14ac:dyDescent="0.25">
      <c r="A235" s="1">
        <f>'[1]Global_Spot Prices'!$B1544</f>
        <v>42332</v>
      </c>
      <c r="B235">
        <f>_xlfn.XLOOKUP(A235,'[1]Global_Spot Prices'!$B:$B,'[1]Global_Spot Prices'!$BS:$BS)</f>
        <v>15.420000000000002</v>
      </c>
      <c r="C235">
        <f>_xlfn.XLOOKUP(A235,'[1]Global_Spot Prices'!$B:$B,'[1]Global_Spot Prices'!$E:$E)</f>
        <v>40.25</v>
      </c>
      <c r="D235">
        <f>_xlfn.XLOOKUP(A235,'[1]Global_Spot Prices'!$B:$B,'[1]Global_Spot Prices'!$D:$D)</f>
        <v>44.63</v>
      </c>
      <c r="E235">
        <f>_xlfn.XLOOKUP(A235,'[1]Global_Spot Prices'!$B:$B,'[1]Global_Spot Prices'!$H:$H)</f>
        <v>48.61</v>
      </c>
      <c r="F235">
        <f>_xlfn.XLOOKUP(A235,'[1]Global_Spot Prices'!$B:$B,'[1]Global_Spot Prices'!$I:$I)</f>
        <v>55.67</v>
      </c>
      <c r="G235" cm="1">
        <f t="array" ref="G235">_xlfn.XLOOKUP(TEXT(A235, "mmm-yy"), TEXT([2]RUNS!$B$5:$B$208, "mmm-yy"), [2]RUNS!$D$5:$D$208, "Not Found")</f>
        <v>26832.126138173106</v>
      </c>
      <c r="H235" cm="1">
        <f t="array" ref="H235">SUMPRODUCT(
    --(TEXT('[3]Global Weekly Stock (EWSuez'!$B$4:$B$2000,"mmm-yy")=TEXT(A235,"mmm-yy")),
    '[3]Global Weekly Stock (EWSuez'!$E$4:$E$2000)
/
SUMPRODUCT(
    --(TEXT('[3]Global Weekly Stock (EWSuez'!$B$4:$B$2000,"mmm-yy")=TEXT(A235,"mmm-yy"))
)</f>
        <v>12188.25</v>
      </c>
      <c r="I235">
        <f>_xlfn.XLOOKUP(A235,[1]ForwardDeriv!$D:$D,[1]ForwardDeriv!$AJ:$AJ)</f>
        <v>-0.5</v>
      </c>
      <c r="J235" cm="1">
        <f t="array" ref="J235">_xlfn.XLOOKUP(TEXT(A235, "mmm-yy"), TEXT([2]GASOLINE!$B$5:$B$208, "mmm-yy"), [2]GASOLINE!$IR$5:$IR$208, "Not Found")</f>
        <v>162.42637504387477</v>
      </c>
      <c r="K235" cm="1">
        <f t="array" ref="K235">_xlfn.XLOOKUP(TEXT(A235, "mmm-yy"), TEXT([2]GASOLINE!$B$5:$B$208, "mmm-yy"), [2]GASOLINE!$IK$5:$IK$208, "Not Found")</f>
        <v>0</v>
      </c>
      <c r="L235">
        <f t="shared" si="3"/>
        <v>0</v>
      </c>
      <c r="M235" cm="1">
        <f t="array" ref="M235">_xlfn.XLOOKUP(TEXT(A235, "mmm-yy"), TEXT([2]GASOLINE!$B$5:$B$208, "mmm-yy"), [2]GASOLINE!$C$5:$C$208, "Not Found")</f>
        <v>6527.1909688050509</v>
      </c>
      <c r="N235" cm="1">
        <f t="array" ref="N235">_xlfn.XLOOKUP(TEXT(A235, "mmm-yy"), TEXT([2]RUNS!$B$5:$B$208, "mmm-yy"), [2]RUNS!$BM$5:$BM$208, "Not Found")</f>
        <v>0.80153082761053729</v>
      </c>
    </row>
    <row r="236" spans="1:14" x14ac:dyDescent="0.25">
      <c r="A236" s="1">
        <f>'[1]Global_Spot Prices'!$B1545</f>
        <v>42333</v>
      </c>
      <c r="B236">
        <f>_xlfn.XLOOKUP(A236,'[1]Global_Spot Prices'!$B:$B,'[1]Global_Spot Prices'!$BS:$BS)</f>
        <v>16.475000000000001</v>
      </c>
      <c r="C236">
        <f>_xlfn.XLOOKUP(A236,'[1]Global_Spot Prices'!$B:$B,'[1]Global_Spot Prices'!$E:$E)</f>
        <v>40.805</v>
      </c>
      <c r="D236">
        <f>_xlfn.XLOOKUP(A236,'[1]Global_Spot Prices'!$B:$B,'[1]Global_Spot Prices'!$D:$D)</f>
        <v>43.954999999999998</v>
      </c>
      <c r="E236">
        <f>_xlfn.XLOOKUP(A236,'[1]Global_Spot Prices'!$B:$B,'[1]Global_Spot Prices'!$H:$H)</f>
        <v>49.67</v>
      </c>
      <c r="F236">
        <f>_xlfn.XLOOKUP(A236,'[1]Global_Spot Prices'!$B:$B,'[1]Global_Spot Prices'!$I:$I)</f>
        <v>57.28</v>
      </c>
      <c r="G236" cm="1">
        <f t="array" ref="G236">_xlfn.XLOOKUP(TEXT(A236, "mmm-yy"), TEXT([2]RUNS!$B$5:$B$208, "mmm-yy"), [2]RUNS!$D$5:$D$208, "Not Found")</f>
        <v>26832.126138173106</v>
      </c>
      <c r="H236" cm="1">
        <f t="array" ref="H236">SUMPRODUCT(
    --(TEXT('[3]Global Weekly Stock (EWSuez'!$B$4:$B$2000,"mmm-yy")=TEXT(A236,"mmm-yy")),
    '[3]Global Weekly Stock (EWSuez'!$E$4:$E$2000)
/
SUMPRODUCT(
    --(TEXT('[3]Global Weekly Stock (EWSuez'!$B$4:$B$2000,"mmm-yy")=TEXT(A236,"mmm-yy"))
)</f>
        <v>12188.25</v>
      </c>
      <c r="I236">
        <f>_xlfn.XLOOKUP(A236,[1]ForwardDeriv!$D:$D,[1]ForwardDeriv!$AJ:$AJ)</f>
        <v>-0.5</v>
      </c>
      <c r="J236" cm="1">
        <f t="array" ref="J236">_xlfn.XLOOKUP(TEXT(A236, "mmm-yy"), TEXT([2]GASOLINE!$B$5:$B$208, "mmm-yy"), [2]GASOLINE!$IR$5:$IR$208, "Not Found")</f>
        <v>162.42637504387477</v>
      </c>
      <c r="K236" cm="1">
        <f t="array" ref="K236">_xlfn.XLOOKUP(TEXT(A236, "mmm-yy"), TEXT([2]GASOLINE!$B$5:$B$208, "mmm-yy"), [2]GASOLINE!$IK$5:$IK$208, "Not Found")</f>
        <v>0</v>
      </c>
      <c r="L236">
        <f t="shared" si="3"/>
        <v>0</v>
      </c>
      <c r="M236" cm="1">
        <f t="array" ref="M236">_xlfn.XLOOKUP(TEXT(A236, "mmm-yy"), TEXT([2]GASOLINE!$B$5:$B$208, "mmm-yy"), [2]GASOLINE!$C$5:$C$208, "Not Found")</f>
        <v>6527.1909688050509</v>
      </c>
      <c r="N236" cm="1">
        <f t="array" ref="N236">_xlfn.XLOOKUP(TEXT(A236, "mmm-yy"), TEXT([2]RUNS!$B$5:$B$208, "mmm-yy"), [2]RUNS!$BM$5:$BM$208, "Not Found")</f>
        <v>0.80153082761053729</v>
      </c>
    </row>
    <row r="237" spans="1:14" x14ac:dyDescent="0.25">
      <c r="A237" s="1">
        <f>'[1]Global_Spot Prices'!$B1546</f>
        <v>42334</v>
      </c>
      <c r="B237">
        <f>_xlfn.XLOOKUP(A237,'[1]Global_Spot Prices'!$B:$B,'[1]Global_Spot Prices'!$BS:$BS)</f>
        <v>16.21</v>
      </c>
      <c r="C237">
        <f>_xlfn.XLOOKUP(A237,'[1]Global_Spot Prices'!$B:$B,'[1]Global_Spot Prices'!$E:$E)</f>
        <v>40.5</v>
      </c>
      <c r="D237">
        <f>_xlfn.XLOOKUP(A237,'[1]Global_Spot Prices'!$B:$B,'[1]Global_Spot Prices'!$D:$D)</f>
        <v>43.984999999999999</v>
      </c>
      <c r="E237">
        <f>_xlfn.XLOOKUP(A237,'[1]Global_Spot Prices'!$B:$B,'[1]Global_Spot Prices'!$H:$H)</f>
        <v>49.27</v>
      </c>
      <c r="F237">
        <f>_xlfn.XLOOKUP(A237,'[1]Global_Spot Prices'!$B:$B,'[1]Global_Spot Prices'!$I:$I)</f>
        <v>56.71</v>
      </c>
      <c r="G237" cm="1">
        <f t="array" ref="G237">_xlfn.XLOOKUP(TEXT(A237, "mmm-yy"), TEXT([2]RUNS!$B$5:$B$208, "mmm-yy"), [2]RUNS!$D$5:$D$208, "Not Found")</f>
        <v>26832.126138173106</v>
      </c>
      <c r="H237" cm="1">
        <f t="array" ref="H237">SUMPRODUCT(
    --(TEXT('[3]Global Weekly Stock (EWSuez'!$B$4:$B$2000,"mmm-yy")=TEXT(A237,"mmm-yy")),
    '[3]Global Weekly Stock (EWSuez'!$E$4:$E$2000)
/
SUMPRODUCT(
    --(TEXT('[3]Global Weekly Stock (EWSuez'!$B$4:$B$2000,"mmm-yy")=TEXT(A237,"mmm-yy"))
)</f>
        <v>12188.25</v>
      </c>
      <c r="I237">
        <f>_xlfn.XLOOKUP(A237,[1]ForwardDeriv!$D:$D,[1]ForwardDeriv!$AJ:$AJ)</f>
        <v>-0.60000000000000142</v>
      </c>
      <c r="J237" cm="1">
        <f t="array" ref="J237">_xlfn.XLOOKUP(TEXT(A237, "mmm-yy"), TEXT([2]GASOLINE!$B$5:$B$208, "mmm-yy"), [2]GASOLINE!$IR$5:$IR$208, "Not Found")</f>
        <v>162.42637504387477</v>
      </c>
      <c r="K237" cm="1">
        <f t="array" ref="K237">_xlfn.XLOOKUP(TEXT(A237, "mmm-yy"), TEXT([2]GASOLINE!$B$5:$B$208, "mmm-yy"), [2]GASOLINE!$IK$5:$IK$208, "Not Found")</f>
        <v>0</v>
      </c>
      <c r="L237">
        <f t="shared" si="3"/>
        <v>0</v>
      </c>
      <c r="M237" cm="1">
        <f t="array" ref="M237">_xlfn.XLOOKUP(TEXT(A237, "mmm-yy"), TEXT([2]GASOLINE!$B$5:$B$208, "mmm-yy"), [2]GASOLINE!$C$5:$C$208, "Not Found")</f>
        <v>6527.1909688050509</v>
      </c>
      <c r="N237" cm="1">
        <f t="array" ref="N237">_xlfn.XLOOKUP(TEXT(A237, "mmm-yy"), TEXT([2]RUNS!$B$5:$B$208, "mmm-yy"), [2]RUNS!$BM$5:$BM$208, "Not Found")</f>
        <v>0.80153082761053729</v>
      </c>
    </row>
    <row r="238" spans="1:14" x14ac:dyDescent="0.25">
      <c r="A238" s="1">
        <f>'[1]Global_Spot Prices'!$B1547</f>
        <v>42335</v>
      </c>
      <c r="B238">
        <f>_xlfn.XLOOKUP(A238,'[1]Global_Spot Prices'!$B:$B,'[1]Global_Spot Prices'!$BS:$BS)</f>
        <v>16.689999999999998</v>
      </c>
      <c r="C238">
        <f>_xlfn.XLOOKUP(A238,'[1]Global_Spot Prices'!$B:$B,'[1]Global_Spot Prices'!$E:$E)</f>
        <v>39.54</v>
      </c>
      <c r="D238">
        <f>_xlfn.XLOOKUP(A238,'[1]Global_Spot Prices'!$B:$B,'[1]Global_Spot Prices'!$D:$D)</f>
        <v>43.844999999999999</v>
      </c>
      <c r="E238">
        <f>_xlfn.XLOOKUP(A238,'[1]Global_Spot Prices'!$B:$B,'[1]Global_Spot Prices'!$H:$H)</f>
        <v>49.27</v>
      </c>
      <c r="F238">
        <f>_xlfn.XLOOKUP(A238,'[1]Global_Spot Prices'!$B:$B,'[1]Global_Spot Prices'!$I:$I)</f>
        <v>56.23</v>
      </c>
      <c r="G238" cm="1">
        <f t="array" ref="G238">_xlfn.XLOOKUP(TEXT(A238, "mmm-yy"), TEXT([2]RUNS!$B$5:$B$208, "mmm-yy"), [2]RUNS!$D$5:$D$208, "Not Found")</f>
        <v>26832.126138173106</v>
      </c>
      <c r="H238" cm="1">
        <f t="array" ref="H238">SUMPRODUCT(
    --(TEXT('[3]Global Weekly Stock (EWSuez'!$B$4:$B$2000,"mmm-yy")=TEXT(A238,"mmm-yy")),
    '[3]Global Weekly Stock (EWSuez'!$E$4:$E$2000)
/
SUMPRODUCT(
    --(TEXT('[3]Global Weekly Stock (EWSuez'!$B$4:$B$2000,"mmm-yy")=TEXT(A238,"mmm-yy"))
)</f>
        <v>12188.25</v>
      </c>
      <c r="I238">
        <f>_xlfn.XLOOKUP(A238,[1]ForwardDeriv!$D:$D,[1]ForwardDeriv!$AJ:$AJ)</f>
        <v>-0.54999999999999716</v>
      </c>
      <c r="J238" cm="1">
        <f t="array" ref="J238">_xlfn.XLOOKUP(TEXT(A238, "mmm-yy"), TEXT([2]GASOLINE!$B$5:$B$208, "mmm-yy"), [2]GASOLINE!$IR$5:$IR$208, "Not Found")</f>
        <v>162.42637504387477</v>
      </c>
      <c r="K238" cm="1">
        <f t="array" ref="K238">_xlfn.XLOOKUP(TEXT(A238, "mmm-yy"), TEXT([2]GASOLINE!$B$5:$B$208, "mmm-yy"), [2]GASOLINE!$IK$5:$IK$208, "Not Found")</f>
        <v>0</v>
      </c>
      <c r="L238">
        <f t="shared" si="3"/>
        <v>0</v>
      </c>
      <c r="M238" cm="1">
        <f t="array" ref="M238">_xlfn.XLOOKUP(TEXT(A238, "mmm-yy"), TEXT([2]GASOLINE!$B$5:$B$208, "mmm-yy"), [2]GASOLINE!$C$5:$C$208, "Not Found")</f>
        <v>6527.1909688050509</v>
      </c>
      <c r="N238" cm="1">
        <f t="array" ref="N238">_xlfn.XLOOKUP(TEXT(A238, "mmm-yy"), TEXT([2]RUNS!$B$5:$B$208, "mmm-yy"), [2]RUNS!$BM$5:$BM$208, "Not Found")</f>
        <v>0.80153082761053729</v>
      </c>
    </row>
    <row r="239" spans="1:14" x14ac:dyDescent="0.25">
      <c r="A239" s="1">
        <f>'[1]Global_Spot Prices'!$B1548</f>
        <v>42338</v>
      </c>
      <c r="B239">
        <f>_xlfn.XLOOKUP(A239,'[1]Global_Spot Prices'!$B:$B,'[1]Global_Spot Prices'!$BS:$BS)</f>
        <v>16.72</v>
      </c>
      <c r="C239">
        <f>_xlfn.XLOOKUP(A239,'[1]Global_Spot Prices'!$B:$B,'[1]Global_Spot Prices'!$E:$E)</f>
        <v>39.61</v>
      </c>
      <c r="D239">
        <f>_xlfn.XLOOKUP(A239,'[1]Global_Spot Prices'!$B:$B,'[1]Global_Spot Prices'!$D:$D)</f>
        <v>44.02</v>
      </c>
      <c r="E239">
        <f>_xlfn.XLOOKUP(A239,'[1]Global_Spot Prices'!$B:$B,'[1]Global_Spot Prices'!$H:$H)</f>
        <v>49.58</v>
      </c>
      <c r="F239">
        <f>_xlfn.XLOOKUP(A239,'[1]Global_Spot Prices'!$B:$B,'[1]Global_Spot Prices'!$I:$I)</f>
        <v>56.33</v>
      </c>
      <c r="G239" cm="1">
        <f t="array" ref="G239">_xlfn.XLOOKUP(TEXT(A239, "mmm-yy"), TEXT([2]RUNS!$B$5:$B$208, "mmm-yy"), [2]RUNS!$D$5:$D$208, "Not Found")</f>
        <v>26832.126138173106</v>
      </c>
      <c r="H239" cm="1">
        <f t="array" ref="H239">SUMPRODUCT(
    --(TEXT('[3]Global Weekly Stock (EWSuez'!$B$4:$B$2000,"mmm-yy")=TEXT(A239,"mmm-yy")),
    '[3]Global Weekly Stock (EWSuez'!$E$4:$E$2000)
/
SUMPRODUCT(
    --(TEXT('[3]Global Weekly Stock (EWSuez'!$B$4:$B$2000,"mmm-yy")=TEXT(A239,"mmm-yy"))
)</f>
        <v>12188.25</v>
      </c>
      <c r="I239">
        <f>_xlfn.XLOOKUP(A239,[1]ForwardDeriv!$D:$D,[1]ForwardDeriv!$AJ:$AJ)</f>
        <v>-0.53000000000000114</v>
      </c>
      <c r="J239" cm="1">
        <f t="array" ref="J239">_xlfn.XLOOKUP(TEXT(A239, "mmm-yy"), TEXT([2]GASOLINE!$B$5:$B$208, "mmm-yy"), [2]GASOLINE!$IR$5:$IR$208, "Not Found")</f>
        <v>162.42637504387477</v>
      </c>
      <c r="K239" cm="1">
        <f t="array" ref="K239">_xlfn.XLOOKUP(TEXT(A239, "mmm-yy"), TEXT([2]GASOLINE!$B$5:$B$208, "mmm-yy"), [2]GASOLINE!$IK$5:$IK$208, "Not Found")</f>
        <v>0</v>
      </c>
      <c r="L239">
        <f t="shared" si="3"/>
        <v>0</v>
      </c>
      <c r="M239" cm="1">
        <f t="array" ref="M239">_xlfn.XLOOKUP(TEXT(A239, "mmm-yy"), TEXT([2]GASOLINE!$B$5:$B$208, "mmm-yy"), [2]GASOLINE!$C$5:$C$208, "Not Found")</f>
        <v>6527.1909688050509</v>
      </c>
      <c r="N239" cm="1">
        <f t="array" ref="N239">_xlfn.XLOOKUP(TEXT(A239, "mmm-yy"), TEXT([2]RUNS!$B$5:$B$208, "mmm-yy"), [2]RUNS!$BM$5:$BM$208, "Not Found")</f>
        <v>0.80153082761053729</v>
      </c>
    </row>
    <row r="240" spans="1:14" x14ac:dyDescent="0.25">
      <c r="A240" s="1">
        <f>'[1]Global_Spot Prices'!$B1549</f>
        <v>42339</v>
      </c>
      <c r="B240">
        <f>_xlfn.XLOOKUP(A240,'[1]Global_Spot Prices'!$B:$B,'[1]Global_Spot Prices'!$BS:$BS)</f>
        <v>15.36</v>
      </c>
      <c r="C240">
        <f>_xlfn.XLOOKUP(A240,'[1]Global_Spot Prices'!$B:$B,'[1]Global_Spot Prices'!$E:$E)</f>
        <v>40.700000000000003</v>
      </c>
      <c r="D240">
        <f>_xlfn.XLOOKUP(A240,'[1]Global_Spot Prices'!$B:$B,'[1]Global_Spot Prices'!$D:$D)</f>
        <v>43.244999999999997</v>
      </c>
      <c r="E240">
        <f>_xlfn.XLOOKUP(A240,'[1]Global_Spot Prices'!$B:$B,'[1]Global_Spot Prices'!$H:$H)</f>
        <v>49.59</v>
      </c>
      <c r="F240">
        <f>_xlfn.XLOOKUP(A240,'[1]Global_Spot Prices'!$B:$B,'[1]Global_Spot Prices'!$I:$I)</f>
        <v>56.06</v>
      </c>
      <c r="G240" cm="1">
        <f t="array" ref="G240">_xlfn.XLOOKUP(TEXT(A240, "mmm-yy"), TEXT([2]RUNS!$B$5:$B$208, "mmm-yy"), [2]RUNS!$D$5:$D$208, "Not Found")</f>
        <v>27555.507550726299</v>
      </c>
      <c r="H240" cm="1">
        <f t="array" ref="H240">SUMPRODUCT(
    --(TEXT('[3]Global Weekly Stock (EWSuez'!$B$4:$B$2000,"mmm-yy")=TEXT(A240,"mmm-yy")),
    '[3]Global Weekly Stock (EWSuez'!$E$4:$E$2000)
/
SUMPRODUCT(
    --(TEXT('[3]Global Weekly Stock (EWSuez'!$B$4:$B$2000,"mmm-yy")=TEXT(A240,"mmm-yy"))
)</f>
        <v>13150.5</v>
      </c>
      <c r="I240">
        <f>_xlfn.XLOOKUP(A240,[1]ForwardDeriv!$D:$D,[1]ForwardDeriv!$AJ:$AJ)</f>
        <v>-0.90000000000000568</v>
      </c>
      <c r="J240" cm="1">
        <f t="array" ref="J240">_xlfn.XLOOKUP(TEXT(A240, "mmm-yy"), TEXT([2]GASOLINE!$B$5:$B$208, "mmm-yy"), [2]GASOLINE!$IR$5:$IR$208, "Not Found")</f>
        <v>219.51403200717144</v>
      </c>
      <c r="K240" cm="1">
        <f t="array" ref="K240">_xlfn.XLOOKUP(TEXT(A240, "mmm-yy"), TEXT([2]GASOLINE!$B$5:$B$208, "mmm-yy"), [2]GASOLINE!$IK$5:$IK$208, "Not Found")</f>
        <v>0</v>
      </c>
      <c r="L240">
        <f t="shared" si="3"/>
        <v>0</v>
      </c>
      <c r="M240" cm="1">
        <f t="array" ref="M240">_xlfn.XLOOKUP(TEXT(A240, "mmm-yy"), TEXT([2]GASOLINE!$B$5:$B$208, "mmm-yy"), [2]GASOLINE!$C$5:$C$208, "Not Found")</f>
        <v>6498.9161761830665</v>
      </c>
      <c r="N240" cm="1">
        <f t="array" ref="N240">_xlfn.XLOOKUP(TEXT(A240, "mmm-yy"), TEXT([2]RUNS!$B$5:$B$208, "mmm-yy"), [2]RUNS!$BM$5:$BM$208, "Not Found")</f>
        <v>0.82602670787660037</v>
      </c>
    </row>
    <row r="241" spans="1:14" x14ac:dyDescent="0.25">
      <c r="A241" s="1">
        <f>'[1]Global_Spot Prices'!$B1550</f>
        <v>42340</v>
      </c>
      <c r="B241">
        <f>_xlfn.XLOOKUP(A241,'[1]Global_Spot Prices'!$B:$B,'[1]Global_Spot Prices'!$BS:$BS)</f>
        <v>15.5</v>
      </c>
      <c r="C241">
        <f>_xlfn.XLOOKUP(A241,'[1]Global_Spot Prices'!$B:$B,'[1]Global_Spot Prices'!$E:$E)</f>
        <v>40.21</v>
      </c>
      <c r="D241">
        <f>_xlfn.XLOOKUP(A241,'[1]Global_Spot Prices'!$B:$B,'[1]Global_Spot Prices'!$D:$D)</f>
        <v>41.71</v>
      </c>
      <c r="E241">
        <f>_xlfn.XLOOKUP(A241,'[1]Global_Spot Prices'!$B:$B,'[1]Global_Spot Prices'!$H:$H)</f>
        <v>50.03</v>
      </c>
      <c r="F241">
        <f>_xlfn.XLOOKUP(A241,'[1]Global_Spot Prices'!$B:$B,'[1]Global_Spot Prices'!$I:$I)</f>
        <v>55.71</v>
      </c>
      <c r="G241" cm="1">
        <f t="array" ref="G241">_xlfn.XLOOKUP(TEXT(A241, "mmm-yy"), TEXT([2]RUNS!$B$5:$B$208, "mmm-yy"), [2]RUNS!$D$5:$D$208, "Not Found")</f>
        <v>27555.507550726299</v>
      </c>
      <c r="H241" cm="1">
        <f t="array" ref="H241">SUMPRODUCT(
    --(TEXT('[3]Global Weekly Stock (EWSuez'!$B$4:$B$2000,"mmm-yy")=TEXT(A241,"mmm-yy")),
    '[3]Global Weekly Stock (EWSuez'!$E$4:$E$2000)
/
SUMPRODUCT(
    --(TEXT('[3]Global Weekly Stock (EWSuez'!$B$4:$B$2000,"mmm-yy")=TEXT(A241,"mmm-yy"))
)</f>
        <v>13150.5</v>
      </c>
      <c r="I241">
        <f>_xlfn.XLOOKUP(A241,[1]ForwardDeriv!$D:$D,[1]ForwardDeriv!$AJ:$AJ)</f>
        <v>-0.89999999999999858</v>
      </c>
      <c r="J241" cm="1">
        <f t="array" ref="J241">_xlfn.XLOOKUP(TEXT(A241, "mmm-yy"), TEXT([2]GASOLINE!$B$5:$B$208, "mmm-yy"), [2]GASOLINE!$IR$5:$IR$208, "Not Found")</f>
        <v>219.51403200717144</v>
      </c>
      <c r="K241" cm="1">
        <f t="array" ref="K241">_xlfn.XLOOKUP(TEXT(A241, "mmm-yy"), TEXT([2]GASOLINE!$B$5:$B$208, "mmm-yy"), [2]GASOLINE!$IK$5:$IK$208, "Not Found")</f>
        <v>0</v>
      </c>
      <c r="L241">
        <f t="shared" si="3"/>
        <v>0</v>
      </c>
      <c r="M241" cm="1">
        <f t="array" ref="M241">_xlfn.XLOOKUP(TEXT(A241, "mmm-yy"), TEXT([2]GASOLINE!$B$5:$B$208, "mmm-yy"), [2]GASOLINE!$C$5:$C$208, "Not Found")</f>
        <v>6498.9161761830665</v>
      </c>
      <c r="N241" cm="1">
        <f t="array" ref="N241">_xlfn.XLOOKUP(TEXT(A241, "mmm-yy"), TEXT([2]RUNS!$B$5:$B$208, "mmm-yy"), [2]RUNS!$BM$5:$BM$208, "Not Found")</f>
        <v>0.82602670787660037</v>
      </c>
    </row>
    <row r="242" spans="1:14" x14ac:dyDescent="0.25">
      <c r="A242" s="1">
        <f>'[1]Global_Spot Prices'!$B1551</f>
        <v>42341</v>
      </c>
      <c r="B242">
        <f>_xlfn.XLOOKUP(A242,'[1]Global_Spot Prices'!$B:$B,'[1]Global_Spot Prices'!$BS:$BS)</f>
        <v>14.89</v>
      </c>
      <c r="C242">
        <f>_xlfn.XLOOKUP(A242,'[1]Global_Spot Prices'!$B:$B,'[1]Global_Spot Prices'!$E:$E)</f>
        <v>38.99</v>
      </c>
      <c r="D242">
        <f>_xlfn.XLOOKUP(A242,'[1]Global_Spot Prices'!$B:$B,'[1]Global_Spot Prices'!$D:$D)</f>
        <v>41.884999999999998</v>
      </c>
      <c r="E242">
        <f>_xlfn.XLOOKUP(A242,'[1]Global_Spot Prices'!$B:$B,'[1]Global_Spot Prices'!$H:$H)</f>
        <v>48.38</v>
      </c>
      <c r="F242">
        <f>_xlfn.XLOOKUP(A242,'[1]Global_Spot Prices'!$B:$B,'[1]Global_Spot Prices'!$I:$I)</f>
        <v>53.88</v>
      </c>
      <c r="G242" cm="1">
        <f t="array" ref="G242">_xlfn.XLOOKUP(TEXT(A242, "mmm-yy"), TEXT([2]RUNS!$B$5:$B$208, "mmm-yy"), [2]RUNS!$D$5:$D$208, "Not Found")</f>
        <v>27555.507550726299</v>
      </c>
      <c r="H242" cm="1">
        <f t="array" ref="H242">SUMPRODUCT(
    --(TEXT('[3]Global Weekly Stock (EWSuez'!$B$4:$B$2000,"mmm-yy")=TEXT(A242,"mmm-yy")),
    '[3]Global Weekly Stock (EWSuez'!$E$4:$E$2000)
/
SUMPRODUCT(
    --(TEXT('[3]Global Weekly Stock (EWSuez'!$B$4:$B$2000,"mmm-yy")=TEXT(A242,"mmm-yy"))
)</f>
        <v>13150.5</v>
      </c>
      <c r="I242">
        <f>_xlfn.XLOOKUP(A242,[1]ForwardDeriv!$D:$D,[1]ForwardDeriv!$AJ:$AJ)</f>
        <v>-0.95000000000000284</v>
      </c>
      <c r="J242" cm="1">
        <f t="array" ref="J242">_xlfn.XLOOKUP(TEXT(A242, "mmm-yy"), TEXT([2]GASOLINE!$B$5:$B$208, "mmm-yy"), [2]GASOLINE!$IR$5:$IR$208, "Not Found")</f>
        <v>219.51403200717144</v>
      </c>
      <c r="K242" cm="1">
        <f t="array" ref="K242">_xlfn.XLOOKUP(TEXT(A242, "mmm-yy"), TEXT([2]GASOLINE!$B$5:$B$208, "mmm-yy"), [2]GASOLINE!$IK$5:$IK$208, "Not Found")</f>
        <v>0</v>
      </c>
      <c r="L242">
        <f t="shared" si="3"/>
        <v>0</v>
      </c>
      <c r="M242" cm="1">
        <f t="array" ref="M242">_xlfn.XLOOKUP(TEXT(A242, "mmm-yy"), TEXT([2]GASOLINE!$B$5:$B$208, "mmm-yy"), [2]GASOLINE!$C$5:$C$208, "Not Found")</f>
        <v>6498.9161761830665</v>
      </c>
      <c r="N242" cm="1">
        <f t="array" ref="N242">_xlfn.XLOOKUP(TEXT(A242, "mmm-yy"), TEXT([2]RUNS!$B$5:$B$208, "mmm-yy"), [2]RUNS!$BM$5:$BM$208, "Not Found")</f>
        <v>0.82602670787660037</v>
      </c>
    </row>
    <row r="243" spans="1:14" x14ac:dyDescent="0.25">
      <c r="A243" s="1">
        <f>'[1]Global_Spot Prices'!$B1552</f>
        <v>42342</v>
      </c>
      <c r="B243">
        <f>_xlfn.XLOOKUP(A243,'[1]Global_Spot Prices'!$B:$B,'[1]Global_Spot Prices'!$BS:$BS)</f>
        <v>14.96</v>
      </c>
      <c r="C243">
        <f>_xlfn.XLOOKUP(A243,'[1]Global_Spot Prices'!$B:$B,'[1]Global_Spot Prices'!$E:$E)</f>
        <v>39.58</v>
      </c>
      <c r="D243">
        <f>_xlfn.XLOOKUP(A243,'[1]Global_Spot Prices'!$B:$B,'[1]Global_Spot Prices'!$D:$D)</f>
        <v>41.784999999999997</v>
      </c>
      <c r="E243">
        <f>_xlfn.XLOOKUP(A243,'[1]Global_Spot Prices'!$B:$B,'[1]Global_Spot Prices'!$H:$H)</f>
        <v>48.43</v>
      </c>
      <c r="F243">
        <f>_xlfn.XLOOKUP(A243,'[1]Global_Spot Prices'!$B:$B,'[1]Global_Spot Prices'!$I:$I)</f>
        <v>54.54</v>
      </c>
      <c r="G243" cm="1">
        <f t="array" ref="G243">_xlfn.XLOOKUP(TEXT(A243, "mmm-yy"), TEXT([2]RUNS!$B$5:$B$208, "mmm-yy"), [2]RUNS!$D$5:$D$208, "Not Found")</f>
        <v>27555.507550726299</v>
      </c>
      <c r="H243" cm="1">
        <f t="array" ref="H243">SUMPRODUCT(
    --(TEXT('[3]Global Weekly Stock (EWSuez'!$B$4:$B$2000,"mmm-yy")=TEXT(A243,"mmm-yy")),
    '[3]Global Weekly Stock (EWSuez'!$E$4:$E$2000)
/
SUMPRODUCT(
    --(TEXT('[3]Global Weekly Stock (EWSuez'!$B$4:$B$2000,"mmm-yy")=TEXT(A243,"mmm-yy"))
)</f>
        <v>13150.5</v>
      </c>
      <c r="I243">
        <f>_xlfn.XLOOKUP(A243,[1]ForwardDeriv!$D:$D,[1]ForwardDeriv!$AJ:$AJ)</f>
        <v>-0.87999999999999545</v>
      </c>
      <c r="J243" cm="1">
        <f t="array" ref="J243">_xlfn.XLOOKUP(TEXT(A243, "mmm-yy"), TEXT([2]GASOLINE!$B$5:$B$208, "mmm-yy"), [2]GASOLINE!$IR$5:$IR$208, "Not Found")</f>
        <v>219.51403200717144</v>
      </c>
      <c r="K243" cm="1">
        <f t="array" ref="K243">_xlfn.XLOOKUP(TEXT(A243, "mmm-yy"), TEXT([2]GASOLINE!$B$5:$B$208, "mmm-yy"), [2]GASOLINE!$IK$5:$IK$208, "Not Found")</f>
        <v>0</v>
      </c>
      <c r="L243">
        <f t="shared" si="3"/>
        <v>0</v>
      </c>
      <c r="M243" cm="1">
        <f t="array" ref="M243">_xlfn.XLOOKUP(TEXT(A243, "mmm-yy"), TEXT([2]GASOLINE!$B$5:$B$208, "mmm-yy"), [2]GASOLINE!$C$5:$C$208, "Not Found")</f>
        <v>6498.9161761830665</v>
      </c>
      <c r="N243" cm="1">
        <f t="array" ref="N243">_xlfn.XLOOKUP(TEXT(A243, "mmm-yy"), TEXT([2]RUNS!$B$5:$B$208, "mmm-yy"), [2]RUNS!$BM$5:$BM$208, "Not Found")</f>
        <v>0.82602670787660037</v>
      </c>
    </row>
    <row r="244" spans="1:14" x14ac:dyDescent="0.25">
      <c r="A244" s="1">
        <f>'[1]Global_Spot Prices'!$B1553</f>
        <v>42345</v>
      </c>
      <c r="B244">
        <f>_xlfn.XLOOKUP(A244,'[1]Global_Spot Prices'!$B:$B,'[1]Global_Spot Prices'!$BS:$BS)</f>
        <v>15.550000000000004</v>
      </c>
      <c r="C244">
        <f>_xlfn.XLOOKUP(A244,'[1]Global_Spot Prices'!$B:$B,'[1]Global_Spot Prices'!$E:$E)</f>
        <v>38.15</v>
      </c>
      <c r="D244">
        <f>_xlfn.XLOOKUP(A244,'[1]Global_Spot Prices'!$B:$B,'[1]Global_Spot Prices'!$D:$D)</f>
        <v>39.76</v>
      </c>
      <c r="E244">
        <f>_xlfn.XLOOKUP(A244,'[1]Global_Spot Prices'!$B:$B,'[1]Global_Spot Prices'!$H:$H)</f>
        <v>46.97</v>
      </c>
      <c r="F244">
        <f>_xlfn.XLOOKUP(A244,'[1]Global_Spot Prices'!$B:$B,'[1]Global_Spot Prices'!$I:$I)</f>
        <v>53.7</v>
      </c>
      <c r="G244" cm="1">
        <f t="array" ref="G244">_xlfn.XLOOKUP(TEXT(A244, "mmm-yy"), TEXT([2]RUNS!$B$5:$B$208, "mmm-yy"), [2]RUNS!$D$5:$D$208, "Not Found")</f>
        <v>27555.507550726299</v>
      </c>
      <c r="H244" cm="1">
        <f t="array" ref="H244">SUMPRODUCT(
    --(TEXT('[3]Global Weekly Stock (EWSuez'!$B$4:$B$2000,"mmm-yy")=TEXT(A244,"mmm-yy")),
    '[3]Global Weekly Stock (EWSuez'!$E$4:$E$2000)
/
SUMPRODUCT(
    --(TEXT('[3]Global Weekly Stock (EWSuez'!$B$4:$B$2000,"mmm-yy")=TEXT(A244,"mmm-yy"))
)</f>
        <v>13150.5</v>
      </c>
      <c r="I244">
        <f>_xlfn.XLOOKUP(A244,[1]ForwardDeriv!$D:$D,[1]ForwardDeriv!$AJ:$AJ)</f>
        <v>-0.89999999999999858</v>
      </c>
      <c r="J244" cm="1">
        <f t="array" ref="J244">_xlfn.XLOOKUP(TEXT(A244, "mmm-yy"), TEXT([2]GASOLINE!$B$5:$B$208, "mmm-yy"), [2]GASOLINE!$IR$5:$IR$208, "Not Found")</f>
        <v>219.51403200717144</v>
      </c>
      <c r="K244" cm="1">
        <f t="array" ref="K244">_xlfn.XLOOKUP(TEXT(A244, "mmm-yy"), TEXT([2]GASOLINE!$B$5:$B$208, "mmm-yy"), [2]GASOLINE!$IK$5:$IK$208, "Not Found")</f>
        <v>0</v>
      </c>
      <c r="L244">
        <f t="shared" si="3"/>
        <v>0</v>
      </c>
      <c r="M244" cm="1">
        <f t="array" ref="M244">_xlfn.XLOOKUP(TEXT(A244, "mmm-yy"), TEXT([2]GASOLINE!$B$5:$B$208, "mmm-yy"), [2]GASOLINE!$C$5:$C$208, "Not Found")</f>
        <v>6498.9161761830665</v>
      </c>
      <c r="N244" cm="1">
        <f t="array" ref="N244">_xlfn.XLOOKUP(TEXT(A244, "mmm-yy"), TEXT([2]RUNS!$B$5:$B$208, "mmm-yy"), [2]RUNS!$BM$5:$BM$208, "Not Found")</f>
        <v>0.82602670787660037</v>
      </c>
    </row>
    <row r="245" spans="1:14" x14ac:dyDescent="0.25">
      <c r="A245" s="1">
        <f>'[1]Global_Spot Prices'!$B1554</f>
        <v>42346</v>
      </c>
      <c r="B245">
        <f>_xlfn.XLOOKUP(A245,'[1]Global_Spot Prices'!$B:$B,'[1]Global_Spot Prices'!$BS:$BS)</f>
        <v>15.299999999999997</v>
      </c>
      <c r="C245">
        <f>_xlfn.XLOOKUP(A245,'[1]Global_Spot Prices'!$B:$B,'[1]Global_Spot Prices'!$E:$E)</f>
        <v>36.46</v>
      </c>
      <c r="D245">
        <f>_xlfn.XLOOKUP(A245,'[1]Global_Spot Prices'!$B:$B,'[1]Global_Spot Prices'!$D:$D)</f>
        <v>39.619999999999997</v>
      </c>
      <c r="E245">
        <f>_xlfn.XLOOKUP(A245,'[1]Global_Spot Prices'!$B:$B,'[1]Global_Spot Prices'!$H:$H)</f>
        <v>45.8</v>
      </c>
      <c r="F245">
        <f>_xlfn.XLOOKUP(A245,'[1]Global_Spot Prices'!$B:$B,'[1]Global_Spot Prices'!$I:$I)</f>
        <v>51.76</v>
      </c>
      <c r="G245" cm="1">
        <f t="array" ref="G245">_xlfn.XLOOKUP(TEXT(A245, "mmm-yy"), TEXT([2]RUNS!$B$5:$B$208, "mmm-yy"), [2]RUNS!$D$5:$D$208, "Not Found")</f>
        <v>27555.507550726299</v>
      </c>
      <c r="H245" cm="1">
        <f t="array" ref="H245">SUMPRODUCT(
    --(TEXT('[3]Global Weekly Stock (EWSuez'!$B$4:$B$2000,"mmm-yy")=TEXT(A245,"mmm-yy")),
    '[3]Global Weekly Stock (EWSuez'!$E$4:$E$2000)
/
SUMPRODUCT(
    --(TEXT('[3]Global Weekly Stock (EWSuez'!$B$4:$B$2000,"mmm-yy")=TEXT(A245,"mmm-yy"))
)</f>
        <v>13150.5</v>
      </c>
      <c r="I245">
        <f>_xlfn.XLOOKUP(A245,[1]ForwardDeriv!$D:$D,[1]ForwardDeriv!$AJ:$AJ)</f>
        <v>-0.94999999999999574</v>
      </c>
      <c r="J245" cm="1">
        <f t="array" ref="J245">_xlfn.XLOOKUP(TEXT(A245, "mmm-yy"), TEXT([2]GASOLINE!$B$5:$B$208, "mmm-yy"), [2]GASOLINE!$IR$5:$IR$208, "Not Found")</f>
        <v>219.51403200717144</v>
      </c>
      <c r="K245" cm="1">
        <f t="array" ref="K245">_xlfn.XLOOKUP(TEXT(A245, "mmm-yy"), TEXT([2]GASOLINE!$B$5:$B$208, "mmm-yy"), [2]GASOLINE!$IK$5:$IK$208, "Not Found")</f>
        <v>0</v>
      </c>
      <c r="L245">
        <f t="shared" si="3"/>
        <v>0</v>
      </c>
      <c r="M245" cm="1">
        <f t="array" ref="M245">_xlfn.XLOOKUP(TEXT(A245, "mmm-yy"), TEXT([2]GASOLINE!$B$5:$B$208, "mmm-yy"), [2]GASOLINE!$C$5:$C$208, "Not Found")</f>
        <v>6498.9161761830665</v>
      </c>
      <c r="N245" cm="1">
        <f t="array" ref="N245">_xlfn.XLOOKUP(TEXT(A245, "mmm-yy"), TEXT([2]RUNS!$B$5:$B$208, "mmm-yy"), [2]RUNS!$BM$5:$BM$208, "Not Found")</f>
        <v>0.82602670787660037</v>
      </c>
    </row>
    <row r="246" spans="1:14" x14ac:dyDescent="0.25">
      <c r="A246" s="1">
        <f>'[1]Global_Spot Prices'!$B1555</f>
        <v>42347</v>
      </c>
      <c r="B246">
        <f>_xlfn.XLOOKUP(A246,'[1]Global_Spot Prices'!$B:$B,'[1]Global_Spot Prices'!$BS:$BS)</f>
        <v>16.07</v>
      </c>
      <c r="C246">
        <f>_xlfn.XLOOKUP(A246,'[1]Global_Spot Prices'!$B:$B,'[1]Global_Spot Prices'!$E:$E)</f>
        <v>35.85</v>
      </c>
      <c r="D246">
        <f>_xlfn.XLOOKUP(A246,'[1]Global_Spot Prices'!$B:$B,'[1]Global_Spot Prices'!$D:$D)</f>
        <v>39.104999999999997</v>
      </c>
      <c r="E246">
        <f>_xlfn.XLOOKUP(A246,'[1]Global_Spot Prices'!$B:$B,'[1]Global_Spot Prices'!$H:$H)</f>
        <v>46.02</v>
      </c>
      <c r="F246">
        <f>_xlfn.XLOOKUP(A246,'[1]Global_Spot Prices'!$B:$B,'[1]Global_Spot Prices'!$I:$I)</f>
        <v>51.92</v>
      </c>
      <c r="G246" cm="1">
        <f t="array" ref="G246">_xlfn.XLOOKUP(TEXT(A246, "mmm-yy"), TEXT([2]RUNS!$B$5:$B$208, "mmm-yy"), [2]RUNS!$D$5:$D$208, "Not Found")</f>
        <v>27555.507550726299</v>
      </c>
      <c r="H246" cm="1">
        <f t="array" ref="H246">SUMPRODUCT(
    --(TEXT('[3]Global Weekly Stock (EWSuez'!$B$4:$B$2000,"mmm-yy")=TEXT(A246,"mmm-yy")),
    '[3]Global Weekly Stock (EWSuez'!$E$4:$E$2000)
/
SUMPRODUCT(
    --(TEXT('[3]Global Weekly Stock (EWSuez'!$B$4:$B$2000,"mmm-yy")=TEXT(A246,"mmm-yy"))
)</f>
        <v>13150.5</v>
      </c>
      <c r="I246">
        <f>_xlfn.XLOOKUP(A246,[1]ForwardDeriv!$D:$D,[1]ForwardDeriv!$AJ:$AJ)</f>
        <v>-0.82000000000000028</v>
      </c>
      <c r="J246" cm="1">
        <f t="array" ref="J246">_xlfn.XLOOKUP(TEXT(A246, "mmm-yy"), TEXT([2]GASOLINE!$B$5:$B$208, "mmm-yy"), [2]GASOLINE!$IR$5:$IR$208, "Not Found")</f>
        <v>219.51403200717144</v>
      </c>
      <c r="K246" cm="1">
        <f t="array" ref="K246">_xlfn.XLOOKUP(TEXT(A246, "mmm-yy"), TEXT([2]GASOLINE!$B$5:$B$208, "mmm-yy"), [2]GASOLINE!$IK$5:$IK$208, "Not Found")</f>
        <v>0</v>
      </c>
      <c r="L246">
        <f t="shared" si="3"/>
        <v>0</v>
      </c>
      <c r="M246" cm="1">
        <f t="array" ref="M246">_xlfn.XLOOKUP(TEXT(A246, "mmm-yy"), TEXT([2]GASOLINE!$B$5:$B$208, "mmm-yy"), [2]GASOLINE!$C$5:$C$208, "Not Found")</f>
        <v>6498.9161761830665</v>
      </c>
      <c r="N246" cm="1">
        <f t="array" ref="N246">_xlfn.XLOOKUP(TEXT(A246, "mmm-yy"), TEXT([2]RUNS!$B$5:$B$208, "mmm-yy"), [2]RUNS!$BM$5:$BM$208, "Not Found")</f>
        <v>0.82602670787660037</v>
      </c>
    </row>
    <row r="247" spans="1:14" x14ac:dyDescent="0.25">
      <c r="A247" s="1">
        <f>'[1]Global_Spot Prices'!$B1556</f>
        <v>42348</v>
      </c>
      <c r="B247">
        <f>_xlfn.XLOOKUP(A247,'[1]Global_Spot Prices'!$B:$B,'[1]Global_Spot Prices'!$BS:$BS)</f>
        <v>17.410000000000004</v>
      </c>
      <c r="C247">
        <f>_xlfn.XLOOKUP(A247,'[1]Global_Spot Prices'!$B:$B,'[1]Global_Spot Prices'!$E:$E)</f>
        <v>35.9</v>
      </c>
      <c r="D247">
        <f>_xlfn.XLOOKUP(A247,'[1]Global_Spot Prices'!$B:$B,'[1]Global_Spot Prices'!$D:$D)</f>
        <v>38.61</v>
      </c>
      <c r="E247">
        <f>_xlfn.XLOOKUP(A247,'[1]Global_Spot Prices'!$B:$B,'[1]Global_Spot Prices'!$H:$H)</f>
        <v>46.13</v>
      </c>
      <c r="F247">
        <f>_xlfn.XLOOKUP(A247,'[1]Global_Spot Prices'!$B:$B,'[1]Global_Spot Prices'!$I:$I)</f>
        <v>53.31</v>
      </c>
      <c r="G247" cm="1">
        <f t="array" ref="G247">_xlfn.XLOOKUP(TEXT(A247, "mmm-yy"), TEXT([2]RUNS!$B$5:$B$208, "mmm-yy"), [2]RUNS!$D$5:$D$208, "Not Found")</f>
        <v>27555.507550726299</v>
      </c>
      <c r="H247" cm="1">
        <f t="array" ref="H247">SUMPRODUCT(
    --(TEXT('[3]Global Weekly Stock (EWSuez'!$B$4:$B$2000,"mmm-yy")=TEXT(A247,"mmm-yy")),
    '[3]Global Weekly Stock (EWSuez'!$E$4:$E$2000)
/
SUMPRODUCT(
    --(TEXT('[3]Global Weekly Stock (EWSuez'!$B$4:$B$2000,"mmm-yy")=TEXT(A247,"mmm-yy"))
)</f>
        <v>13150.5</v>
      </c>
      <c r="I247">
        <f>_xlfn.XLOOKUP(A247,[1]ForwardDeriv!$D:$D,[1]ForwardDeriv!$AJ:$AJ)</f>
        <v>-0.75</v>
      </c>
      <c r="J247" cm="1">
        <f t="array" ref="J247">_xlfn.XLOOKUP(TEXT(A247, "mmm-yy"), TEXT([2]GASOLINE!$B$5:$B$208, "mmm-yy"), [2]GASOLINE!$IR$5:$IR$208, "Not Found")</f>
        <v>219.51403200717144</v>
      </c>
      <c r="K247" cm="1">
        <f t="array" ref="K247">_xlfn.XLOOKUP(TEXT(A247, "mmm-yy"), TEXT([2]GASOLINE!$B$5:$B$208, "mmm-yy"), [2]GASOLINE!$IK$5:$IK$208, "Not Found")</f>
        <v>0</v>
      </c>
      <c r="L247">
        <f t="shared" si="3"/>
        <v>0</v>
      </c>
      <c r="M247" cm="1">
        <f t="array" ref="M247">_xlfn.XLOOKUP(TEXT(A247, "mmm-yy"), TEXT([2]GASOLINE!$B$5:$B$208, "mmm-yy"), [2]GASOLINE!$C$5:$C$208, "Not Found")</f>
        <v>6498.9161761830665</v>
      </c>
      <c r="N247" cm="1">
        <f t="array" ref="N247">_xlfn.XLOOKUP(TEXT(A247, "mmm-yy"), TEXT([2]RUNS!$B$5:$B$208, "mmm-yy"), [2]RUNS!$BM$5:$BM$208, "Not Found")</f>
        <v>0.82602670787660037</v>
      </c>
    </row>
    <row r="248" spans="1:14" x14ac:dyDescent="0.25">
      <c r="A248" s="1">
        <f>'[1]Global_Spot Prices'!$B1557</f>
        <v>42349</v>
      </c>
      <c r="B248">
        <f>_xlfn.XLOOKUP(A248,'[1]Global_Spot Prices'!$B:$B,'[1]Global_Spot Prices'!$BS:$BS)</f>
        <v>19.53</v>
      </c>
      <c r="C248">
        <f>_xlfn.XLOOKUP(A248,'[1]Global_Spot Prices'!$B:$B,'[1]Global_Spot Prices'!$E:$E)</f>
        <v>35.18</v>
      </c>
      <c r="D248">
        <f>_xlfn.XLOOKUP(A248,'[1]Global_Spot Prices'!$B:$B,'[1]Global_Spot Prices'!$D:$D)</f>
        <v>37.125</v>
      </c>
      <c r="E248">
        <f>_xlfn.XLOOKUP(A248,'[1]Global_Spot Prices'!$B:$B,'[1]Global_Spot Prices'!$H:$H)</f>
        <v>46.35</v>
      </c>
      <c r="F248">
        <f>_xlfn.XLOOKUP(A248,'[1]Global_Spot Prices'!$B:$B,'[1]Global_Spot Prices'!$I:$I)</f>
        <v>54.71</v>
      </c>
      <c r="G248" cm="1">
        <f t="array" ref="G248">_xlfn.XLOOKUP(TEXT(A248, "mmm-yy"), TEXT([2]RUNS!$B$5:$B$208, "mmm-yy"), [2]RUNS!$D$5:$D$208, "Not Found")</f>
        <v>27555.507550726299</v>
      </c>
      <c r="H248" cm="1">
        <f t="array" ref="H248">SUMPRODUCT(
    --(TEXT('[3]Global Weekly Stock (EWSuez'!$B$4:$B$2000,"mmm-yy")=TEXT(A248,"mmm-yy")),
    '[3]Global Weekly Stock (EWSuez'!$E$4:$E$2000)
/
SUMPRODUCT(
    --(TEXT('[3]Global Weekly Stock (EWSuez'!$B$4:$B$2000,"mmm-yy")=TEXT(A248,"mmm-yy"))
)</f>
        <v>13150.5</v>
      </c>
      <c r="I248">
        <f>_xlfn.XLOOKUP(A248,[1]ForwardDeriv!$D:$D,[1]ForwardDeriv!$AJ:$AJ)</f>
        <v>-0.60000000000000142</v>
      </c>
      <c r="J248" cm="1">
        <f t="array" ref="J248">_xlfn.XLOOKUP(TEXT(A248, "mmm-yy"), TEXT([2]GASOLINE!$B$5:$B$208, "mmm-yy"), [2]GASOLINE!$IR$5:$IR$208, "Not Found")</f>
        <v>219.51403200717144</v>
      </c>
      <c r="K248" cm="1">
        <f t="array" ref="K248">_xlfn.XLOOKUP(TEXT(A248, "mmm-yy"), TEXT([2]GASOLINE!$B$5:$B$208, "mmm-yy"), [2]GASOLINE!$IK$5:$IK$208, "Not Found")</f>
        <v>0</v>
      </c>
      <c r="L248">
        <f t="shared" si="3"/>
        <v>0</v>
      </c>
      <c r="M248" cm="1">
        <f t="array" ref="M248">_xlfn.XLOOKUP(TEXT(A248, "mmm-yy"), TEXT([2]GASOLINE!$B$5:$B$208, "mmm-yy"), [2]GASOLINE!$C$5:$C$208, "Not Found")</f>
        <v>6498.9161761830665</v>
      </c>
      <c r="N248" cm="1">
        <f t="array" ref="N248">_xlfn.XLOOKUP(TEXT(A248, "mmm-yy"), TEXT([2]RUNS!$B$5:$B$208, "mmm-yy"), [2]RUNS!$BM$5:$BM$208, "Not Found")</f>
        <v>0.82602670787660037</v>
      </c>
    </row>
    <row r="249" spans="1:14" x14ac:dyDescent="0.25">
      <c r="A249" s="1">
        <f>'[1]Global_Spot Prices'!$B1558</f>
        <v>42352</v>
      </c>
      <c r="B249">
        <f>_xlfn.XLOOKUP(A249,'[1]Global_Spot Prices'!$B:$B,'[1]Global_Spot Prices'!$BS:$BS)</f>
        <v>21.78</v>
      </c>
      <c r="C249">
        <f>_xlfn.XLOOKUP(A249,'[1]Global_Spot Prices'!$B:$B,'[1]Global_Spot Prices'!$E:$E)</f>
        <v>33.47</v>
      </c>
      <c r="D249">
        <f>_xlfn.XLOOKUP(A249,'[1]Global_Spot Prices'!$B:$B,'[1]Global_Spot Prices'!$D:$D)</f>
        <v>36.799999999999997</v>
      </c>
      <c r="E249">
        <f>_xlfn.XLOOKUP(A249,'[1]Global_Spot Prices'!$B:$B,'[1]Global_Spot Prices'!$H:$H)</f>
        <v>45.85</v>
      </c>
      <c r="F249">
        <f>_xlfn.XLOOKUP(A249,'[1]Global_Spot Prices'!$B:$B,'[1]Global_Spot Prices'!$I:$I)</f>
        <v>55.25</v>
      </c>
      <c r="G249" cm="1">
        <f t="array" ref="G249">_xlfn.XLOOKUP(TEXT(A249, "mmm-yy"), TEXT([2]RUNS!$B$5:$B$208, "mmm-yy"), [2]RUNS!$D$5:$D$208, "Not Found")</f>
        <v>27555.507550726299</v>
      </c>
      <c r="H249" cm="1">
        <f t="array" ref="H249">SUMPRODUCT(
    --(TEXT('[3]Global Weekly Stock (EWSuez'!$B$4:$B$2000,"mmm-yy")=TEXT(A249,"mmm-yy")),
    '[3]Global Weekly Stock (EWSuez'!$E$4:$E$2000)
/
SUMPRODUCT(
    --(TEXT('[3]Global Weekly Stock (EWSuez'!$B$4:$B$2000,"mmm-yy")=TEXT(A249,"mmm-yy"))
)</f>
        <v>13150.5</v>
      </c>
      <c r="I249">
        <f>_xlfn.XLOOKUP(A249,[1]ForwardDeriv!$D:$D,[1]ForwardDeriv!$AJ:$AJ)</f>
        <v>-0.35000000000000142</v>
      </c>
      <c r="J249" cm="1">
        <f t="array" ref="J249">_xlfn.XLOOKUP(TEXT(A249, "mmm-yy"), TEXT([2]GASOLINE!$B$5:$B$208, "mmm-yy"), [2]GASOLINE!$IR$5:$IR$208, "Not Found")</f>
        <v>219.51403200717144</v>
      </c>
      <c r="K249" cm="1">
        <f t="array" ref="K249">_xlfn.XLOOKUP(TEXT(A249, "mmm-yy"), TEXT([2]GASOLINE!$B$5:$B$208, "mmm-yy"), [2]GASOLINE!$IK$5:$IK$208, "Not Found")</f>
        <v>0</v>
      </c>
      <c r="L249">
        <f t="shared" si="3"/>
        <v>0</v>
      </c>
      <c r="M249" cm="1">
        <f t="array" ref="M249">_xlfn.XLOOKUP(TEXT(A249, "mmm-yy"), TEXT([2]GASOLINE!$B$5:$B$208, "mmm-yy"), [2]GASOLINE!$C$5:$C$208, "Not Found")</f>
        <v>6498.9161761830665</v>
      </c>
      <c r="N249" cm="1">
        <f t="array" ref="N249">_xlfn.XLOOKUP(TEXT(A249, "mmm-yy"), TEXT([2]RUNS!$B$5:$B$208, "mmm-yy"), [2]RUNS!$BM$5:$BM$208, "Not Found")</f>
        <v>0.82602670787660037</v>
      </c>
    </row>
    <row r="250" spans="1:14" x14ac:dyDescent="0.25">
      <c r="A250" s="1">
        <f>'[1]Global_Spot Prices'!$B1559</f>
        <v>42353</v>
      </c>
      <c r="B250">
        <f>_xlfn.XLOOKUP(A250,'[1]Global_Spot Prices'!$B:$B,'[1]Global_Spot Prices'!$BS:$BS)</f>
        <v>19.560000000000002</v>
      </c>
      <c r="C250">
        <f>_xlfn.XLOOKUP(A250,'[1]Global_Spot Prices'!$B:$B,'[1]Global_Spot Prices'!$E:$E)</f>
        <v>32.799999999999997</v>
      </c>
      <c r="D250">
        <f>_xlfn.XLOOKUP(A250,'[1]Global_Spot Prices'!$B:$B,'[1]Global_Spot Prices'!$D:$D)</f>
        <v>38.020000000000003</v>
      </c>
      <c r="E250">
        <f>_xlfn.XLOOKUP(A250,'[1]Global_Spot Prices'!$B:$B,'[1]Global_Spot Prices'!$H:$H)</f>
        <v>44.49</v>
      </c>
      <c r="F250">
        <f>_xlfn.XLOOKUP(A250,'[1]Global_Spot Prices'!$B:$B,'[1]Global_Spot Prices'!$I:$I)</f>
        <v>52.36</v>
      </c>
      <c r="G250" cm="1">
        <f t="array" ref="G250">_xlfn.XLOOKUP(TEXT(A250, "mmm-yy"), TEXT([2]RUNS!$B$5:$B$208, "mmm-yy"), [2]RUNS!$D$5:$D$208, "Not Found")</f>
        <v>27555.507550726299</v>
      </c>
      <c r="H250" cm="1">
        <f t="array" ref="H250">SUMPRODUCT(
    --(TEXT('[3]Global Weekly Stock (EWSuez'!$B$4:$B$2000,"mmm-yy")=TEXT(A250,"mmm-yy")),
    '[3]Global Weekly Stock (EWSuez'!$E$4:$E$2000)
/
SUMPRODUCT(
    --(TEXT('[3]Global Weekly Stock (EWSuez'!$B$4:$B$2000,"mmm-yy")=TEXT(A250,"mmm-yy"))
)</f>
        <v>13150.5</v>
      </c>
      <c r="I250">
        <f>_xlfn.XLOOKUP(A250,[1]ForwardDeriv!$D:$D,[1]ForwardDeriv!$AJ:$AJ)</f>
        <v>-0.54999999999999716</v>
      </c>
      <c r="J250" cm="1">
        <f t="array" ref="J250">_xlfn.XLOOKUP(TEXT(A250, "mmm-yy"), TEXT([2]GASOLINE!$B$5:$B$208, "mmm-yy"), [2]GASOLINE!$IR$5:$IR$208, "Not Found")</f>
        <v>219.51403200717144</v>
      </c>
      <c r="K250" cm="1">
        <f t="array" ref="K250">_xlfn.XLOOKUP(TEXT(A250, "mmm-yy"), TEXT([2]GASOLINE!$B$5:$B$208, "mmm-yy"), [2]GASOLINE!$IK$5:$IK$208, "Not Found")</f>
        <v>0</v>
      </c>
      <c r="L250">
        <f t="shared" si="3"/>
        <v>0</v>
      </c>
      <c r="M250" cm="1">
        <f t="array" ref="M250">_xlfn.XLOOKUP(TEXT(A250, "mmm-yy"), TEXT([2]GASOLINE!$B$5:$B$208, "mmm-yy"), [2]GASOLINE!$C$5:$C$208, "Not Found")</f>
        <v>6498.9161761830665</v>
      </c>
      <c r="N250" cm="1">
        <f t="array" ref="N250">_xlfn.XLOOKUP(TEXT(A250, "mmm-yy"), TEXT([2]RUNS!$B$5:$B$208, "mmm-yy"), [2]RUNS!$BM$5:$BM$208, "Not Found")</f>
        <v>0.82602670787660037</v>
      </c>
    </row>
    <row r="251" spans="1:14" x14ac:dyDescent="0.25">
      <c r="A251" s="1">
        <f>'[1]Global_Spot Prices'!$B1560</f>
        <v>42354</v>
      </c>
      <c r="B251">
        <f>_xlfn.XLOOKUP(A251,'[1]Global_Spot Prices'!$B:$B,'[1]Global_Spot Prices'!$BS:$BS)</f>
        <v>19.54</v>
      </c>
      <c r="C251">
        <f>_xlfn.XLOOKUP(A251,'[1]Global_Spot Prices'!$B:$B,'[1]Global_Spot Prices'!$E:$E)</f>
        <v>33.15</v>
      </c>
      <c r="D251">
        <f>_xlfn.XLOOKUP(A251,'[1]Global_Spot Prices'!$B:$B,'[1]Global_Spot Prices'!$D:$D)</f>
        <v>36.935000000000002</v>
      </c>
      <c r="E251">
        <f>_xlfn.XLOOKUP(A251,'[1]Global_Spot Prices'!$B:$B,'[1]Global_Spot Prices'!$H:$H)</f>
        <v>44.75</v>
      </c>
      <c r="F251">
        <f>_xlfn.XLOOKUP(A251,'[1]Global_Spot Prices'!$B:$B,'[1]Global_Spot Prices'!$I:$I)</f>
        <v>52.69</v>
      </c>
      <c r="G251" cm="1">
        <f t="array" ref="G251">_xlfn.XLOOKUP(TEXT(A251, "mmm-yy"), TEXT([2]RUNS!$B$5:$B$208, "mmm-yy"), [2]RUNS!$D$5:$D$208, "Not Found")</f>
        <v>27555.507550726299</v>
      </c>
      <c r="H251" cm="1">
        <f t="array" ref="H251">SUMPRODUCT(
    --(TEXT('[3]Global Weekly Stock (EWSuez'!$B$4:$B$2000,"mmm-yy")=TEXT(A251,"mmm-yy")),
    '[3]Global Weekly Stock (EWSuez'!$E$4:$E$2000)
/
SUMPRODUCT(
    --(TEXT('[3]Global Weekly Stock (EWSuez'!$B$4:$B$2000,"mmm-yy")=TEXT(A251,"mmm-yy"))
)</f>
        <v>13150.5</v>
      </c>
      <c r="I251">
        <f>_xlfn.XLOOKUP(A251,[1]ForwardDeriv!$D:$D,[1]ForwardDeriv!$AJ:$AJ)</f>
        <v>-0.60000000000000142</v>
      </c>
      <c r="J251" cm="1">
        <f t="array" ref="J251">_xlfn.XLOOKUP(TEXT(A251, "mmm-yy"), TEXT([2]GASOLINE!$B$5:$B$208, "mmm-yy"), [2]GASOLINE!$IR$5:$IR$208, "Not Found")</f>
        <v>219.51403200717144</v>
      </c>
      <c r="K251" cm="1">
        <f t="array" ref="K251">_xlfn.XLOOKUP(TEXT(A251, "mmm-yy"), TEXT([2]GASOLINE!$B$5:$B$208, "mmm-yy"), [2]GASOLINE!$IK$5:$IK$208, "Not Found")</f>
        <v>0</v>
      </c>
      <c r="L251">
        <f t="shared" si="3"/>
        <v>0</v>
      </c>
      <c r="M251" cm="1">
        <f t="array" ref="M251">_xlfn.XLOOKUP(TEXT(A251, "mmm-yy"), TEXT([2]GASOLINE!$B$5:$B$208, "mmm-yy"), [2]GASOLINE!$C$5:$C$208, "Not Found")</f>
        <v>6498.9161761830665</v>
      </c>
      <c r="N251" cm="1">
        <f t="array" ref="N251">_xlfn.XLOOKUP(TEXT(A251, "mmm-yy"), TEXT([2]RUNS!$B$5:$B$208, "mmm-yy"), [2]RUNS!$BM$5:$BM$208, "Not Found")</f>
        <v>0.82602670787660037</v>
      </c>
    </row>
    <row r="252" spans="1:14" x14ac:dyDescent="0.25">
      <c r="A252" s="1">
        <f>'[1]Global_Spot Prices'!$B1561</f>
        <v>42355</v>
      </c>
      <c r="B252">
        <f>_xlfn.XLOOKUP(A252,'[1]Global_Spot Prices'!$B:$B,'[1]Global_Spot Prices'!$BS:$BS)</f>
        <v>20.07</v>
      </c>
      <c r="C252">
        <f>_xlfn.XLOOKUP(A252,'[1]Global_Spot Prices'!$B:$B,'[1]Global_Spot Prices'!$E:$E)</f>
        <v>32.049999999999997</v>
      </c>
      <c r="D252">
        <f>_xlfn.XLOOKUP(A252,'[1]Global_Spot Prices'!$B:$B,'[1]Global_Spot Prices'!$D:$D)</f>
        <v>36.65</v>
      </c>
      <c r="E252">
        <f>_xlfn.XLOOKUP(A252,'[1]Global_Spot Prices'!$B:$B,'[1]Global_Spot Prices'!$H:$H)</f>
        <v>44.28</v>
      </c>
      <c r="F252">
        <f>_xlfn.XLOOKUP(A252,'[1]Global_Spot Prices'!$B:$B,'[1]Global_Spot Prices'!$I:$I)</f>
        <v>52.12</v>
      </c>
      <c r="G252" cm="1">
        <f t="array" ref="G252">_xlfn.XLOOKUP(TEXT(A252, "mmm-yy"), TEXT([2]RUNS!$B$5:$B$208, "mmm-yy"), [2]RUNS!$D$5:$D$208, "Not Found")</f>
        <v>27555.507550726299</v>
      </c>
      <c r="H252" cm="1">
        <f t="array" ref="H252">SUMPRODUCT(
    --(TEXT('[3]Global Weekly Stock (EWSuez'!$B$4:$B$2000,"mmm-yy")=TEXT(A252,"mmm-yy")),
    '[3]Global Weekly Stock (EWSuez'!$E$4:$E$2000)
/
SUMPRODUCT(
    --(TEXT('[3]Global Weekly Stock (EWSuez'!$B$4:$B$2000,"mmm-yy")=TEXT(A252,"mmm-yy"))
)</f>
        <v>13150.5</v>
      </c>
      <c r="I252">
        <f>_xlfn.XLOOKUP(A252,[1]ForwardDeriv!$D:$D,[1]ForwardDeriv!$AJ:$AJ)</f>
        <v>-0.53000000000000114</v>
      </c>
      <c r="J252" cm="1">
        <f t="array" ref="J252">_xlfn.XLOOKUP(TEXT(A252, "mmm-yy"), TEXT([2]GASOLINE!$B$5:$B$208, "mmm-yy"), [2]GASOLINE!$IR$5:$IR$208, "Not Found")</f>
        <v>219.51403200717144</v>
      </c>
      <c r="K252" cm="1">
        <f t="array" ref="K252">_xlfn.XLOOKUP(TEXT(A252, "mmm-yy"), TEXT([2]GASOLINE!$B$5:$B$208, "mmm-yy"), [2]GASOLINE!$IK$5:$IK$208, "Not Found")</f>
        <v>0</v>
      </c>
      <c r="L252">
        <f t="shared" si="3"/>
        <v>0</v>
      </c>
      <c r="M252" cm="1">
        <f t="array" ref="M252">_xlfn.XLOOKUP(TEXT(A252, "mmm-yy"), TEXT([2]GASOLINE!$B$5:$B$208, "mmm-yy"), [2]GASOLINE!$C$5:$C$208, "Not Found")</f>
        <v>6498.9161761830665</v>
      </c>
      <c r="N252" cm="1">
        <f t="array" ref="N252">_xlfn.XLOOKUP(TEXT(A252, "mmm-yy"), TEXT([2]RUNS!$B$5:$B$208, "mmm-yy"), [2]RUNS!$BM$5:$BM$208, "Not Found")</f>
        <v>0.82602670787660037</v>
      </c>
    </row>
    <row r="253" spans="1:14" x14ac:dyDescent="0.25">
      <c r="A253" s="1">
        <f>'[1]Global_Spot Prices'!$B1562</f>
        <v>42356</v>
      </c>
      <c r="B253">
        <f>_xlfn.XLOOKUP(A253,'[1]Global_Spot Prices'!$B:$B,'[1]Global_Spot Prices'!$BS:$BS)</f>
        <v>21.08</v>
      </c>
      <c r="C253">
        <f>_xlfn.XLOOKUP(A253,'[1]Global_Spot Prices'!$B:$B,'[1]Global_Spot Prices'!$E:$E)</f>
        <v>32.21</v>
      </c>
      <c r="D253">
        <f>_xlfn.XLOOKUP(A253,'[1]Global_Spot Prices'!$B:$B,'[1]Global_Spot Prices'!$D:$D)</f>
        <v>37.28</v>
      </c>
      <c r="E253">
        <f>_xlfn.XLOOKUP(A253,'[1]Global_Spot Prices'!$B:$B,'[1]Global_Spot Prices'!$H:$H)</f>
        <v>44.59</v>
      </c>
      <c r="F253">
        <f>_xlfn.XLOOKUP(A253,'[1]Global_Spot Prices'!$B:$B,'[1]Global_Spot Prices'!$I:$I)</f>
        <v>53.29</v>
      </c>
      <c r="G253" cm="1">
        <f t="array" ref="G253">_xlfn.XLOOKUP(TEXT(A253, "mmm-yy"), TEXT([2]RUNS!$B$5:$B$208, "mmm-yy"), [2]RUNS!$D$5:$D$208, "Not Found")</f>
        <v>27555.507550726299</v>
      </c>
      <c r="H253" cm="1">
        <f t="array" ref="H253">SUMPRODUCT(
    --(TEXT('[3]Global Weekly Stock (EWSuez'!$B$4:$B$2000,"mmm-yy")=TEXT(A253,"mmm-yy")),
    '[3]Global Weekly Stock (EWSuez'!$E$4:$E$2000)
/
SUMPRODUCT(
    --(TEXT('[3]Global Weekly Stock (EWSuez'!$B$4:$B$2000,"mmm-yy")=TEXT(A253,"mmm-yy"))
)</f>
        <v>13150.5</v>
      </c>
      <c r="I253">
        <f>_xlfn.XLOOKUP(A253,[1]ForwardDeriv!$D:$D,[1]ForwardDeriv!$AJ:$AJ)</f>
        <v>-0.54999999999999716</v>
      </c>
      <c r="J253" cm="1">
        <f t="array" ref="J253">_xlfn.XLOOKUP(TEXT(A253, "mmm-yy"), TEXT([2]GASOLINE!$B$5:$B$208, "mmm-yy"), [2]GASOLINE!$IR$5:$IR$208, "Not Found")</f>
        <v>219.51403200717144</v>
      </c>
      <c r="K253" cm="1">
        <f t="array" ref="K253">_xlfn.XLOOKUP(TEXT(A253, "mmm-yy"), TEXT([2]GASOLINE!$B$5:$B$208, "mmm-yy"), [2]GASOLINE!$IK$5:$IK$208, "Not Found")</f>
        <v>0</v>
      </c>
      <c r="L253">
        <f t="shared" si="3"/>
        <v>0</v>
      </c>
      <c r="M253" cm="1">
        <f t="array" ref="M253">_xlfn.XLOOKUP(TEXT(A253, "mmm-yy"), TEXT([2]GASOLINE!$B$5:$B$208, "mmm-yy"), [2]GASOLINE!$C$5:$C$208, "Not Found")</f>
        <v>6498.9161761830665</v>
      </c>
      <c r="N253" cm="1">
        <f t="array" ref="N253">_xlfn.XLOOKUP(TEXT(A253, "mmm-yy"), TEXT([2]RUNS!$B$5:$B$208, "mmm-yy"), [2]RUNS!$BM$5:$BM$208, "Not Found")</f>
        <v>0.82602670787660037</v>
      </c>
    </row>
    <row r="254" spans="1:14" x14ac:dyDescent="0.25">
      <c r="A254" s="1">
        <f>'[1]Global_Spot Prices'!$B1563</f>
        <v>42359</v>
      </c>
      <c r="B254">
        <f>_xlfn.XLOOKUP(A254,'[1]Global_Spot Prices'!$B:$B,'[1]Global_Spot Prices'!$BS:$BS)</f>
        <v>20.660000000000004</v>
      </c>
      <c r="C254">
        <f>_xlfn.XLOOKUP(A254,'[1]Global_Spot Prices'!$B:$B,'[1]Global_Spot Prices'!$E:$E)</f>
        <v>31.4</v>
      </c>
      <c r="D254">
        <f>_xlfn.XLOOKUP(A254,'[1]Global_Spot Prices'!$B:$B,'[1]Global_Spot Prices'!$D:$D)</f>
        <v>35.76</v>
      </c>
      <c r="E254">
        <f>_xlfn.XLOOKUP(A254,'[1]Global_Spot Prices'!$B:$B,'[1]Global_Spot Prices'!$H:$H)</f>
        <v>44.04</v>
      </c>
      <c r="F254">
        <f>_xlfn.XLOOKUP(A254,'[1]Global_Spot Prices'!$B:$B,'[1]Global_Spot Prices'!$I:$I)</f>
        <v>52.06</v>
      </c>
      <c r="G254" cm="1">
        <f t="array" ref="G254">_xlfn.XLOOKUP(TEXT(A254, "mmm-yy"), TEXT([2]RUNS!$B$5:$B$208, "mmm-yy"), [2]RUNS!$D$5:$D$208, "Not Found")</f>
        <v>27555.507550726299</v>
      </c>
      <c r="H254" cm="1">
        <f t="array" ref="H254">SUMPRODUCT(
    --(TEXT('[3]Global Weekly Stock (EWSuez'!$B$4:$B$2000,"mmm-yy")=TEXT(A254,"mmm-yy")),
    '[3]Global Weekly Stock (EWSuez'!$E$4:$E$2000)
/
SUMPRODUCT(
    --(TEXT('[3]Global Weekly Stock (EWSuez'!$B$4:$B$2000,"mmm-yy")=TEXT(A254,"mmm-yy"))
)</f>
        <v>13150.5</v>
      </c>
      <c r="I254">
        <f>_xlfn.XLOOKUP(A254,[1]ForwardDeriv!$D:$D,[1]ForwardDeriv!$AJ:$AJ)</f>
        <v>-0.5800000000000054</v>
      </c>
      <c r="J254" cm="1">
        <f t="array" ref="J254">_xlfn.XLOOKUP(TEXT(A254, "mmm-yy"), TEXT([2]GASOLINE!$B$5:$B$208, "mmm-yy"), [2]GASOLINE!$IR$5:$IR$208, "Not Found")</f>
        <v>219.51403200717144</v>
      </c>
      <c r="K254" cm="1">
        <f t="array" ref="K254">_xlfn.XLOOKUP(TEXT(A254, "mmm-yy"), TEXT([2]GASOLINE!$B$5:$B$208, "mmm-yy"), [2]GASOLINE!$IK$5:$IK$208, "Not Found")</f>
        <v>0</v>
      </c>
      <c r="L254">
        <f t="shared" si="3"/>
        <v>0</v>
      </c>
      <c r="M254" cm="1">
        <f t="array" ref="M254">_xlfn.XLOOKUP(TEXT(A254, "mmm-yy"), TEXT([2]GASOLINE!$B$5:$B$208, "mmm-yy"), [2]GASOLINE!$C$5:$C$208, "Not Found")</f>
        <v>6498.9161761830665</v>
      </c>
      <c r="N254" cm="1">
        <f t="array" ref="N254">_xlfn.XLOOKUP(TEXT(A254, "mmm-yy"), TEXT([2]RUNS!$B$5:$B$208, "mmm-yy"), [2]RUNS!$BM$5:$BM$208, "Not Found")</f>
        <v>0.82602670787660037</v>
      </c>
    </row>
    <row r="255" spans="1:14" x14ac:dyDescent="0.25">
      <c r="A255" s="1">
        <f>'[1]Global_Spot Prices'!$B1564</f>
        <v>42360</v>
      </c>
      <c r="B255">
        <f>_xlfn.XLOOKUP(A255,'[1]Global_Spot Prices'!$B:$B,'[1]Global_Spot Prices'!$BS:$BS)</f>
        <v>18.570000000000004</v>
      </c>
      <c r="C255">
        <f>_xlfn.XLOOKUP(A255,'[1]Global_Spot Prices'!$B:$B,'[1]Global_Spot Prices'!$E:$E)</f>
        <v>31.99</v>
      </c>
      <c r="D255">
        <f>_xlfn.XLOOKUP(A255,'[1]Global_Spot Prices'!$B:$B,'[1]Global_Spot Prices'!$D:$D)</f>
        <v>35.634999999999998</v>
      </c>
      <c r="E255">
        <f>_xlfn.XLOOKUP(A255,'[1]Global_Spot Prices'!$B:$B,'[1]Global_Spot Prices'!$H:$H)</f>
        <v>43.86</v>
      </c>
      <c r="F255">
        <f>_xlfn.XLOOKUP(A255,'[1]Global_Spot Prices'!$B:$B,'[1]Global_Spot Prices'!$I:$I)</f>
        <v>50.56</v>
      </c>
      <c r="G255" cm="1">
        <f t="array" ref="G255">_xlfn.XLOOKUP(TEXT(A255, "mmm-yy"), TEXT([2]RUNS!$B$5:$B$208, "mmm-yy"), [2]RUNS!$D$5:$D$208, "Not Found")</f>
        <v>27555.507550726299</v>
      </c>
      <c r="H255" cm="1">
        <f t="array" ref="H255">SUMPRODUCT(
    --(TEXT('[3]Global Weekly Stock (EWSuez'!$B$4:$B$2000,"mmm-yy")=TEXT(A255,"mmm-yy")),
    '[3]Global Weekly Stock (EWSuez'!$E$4:$E$2000)
/
SUMPRODUCT(
    --(TEXT('[3]Global Weekly Stock (EWSuez'!$B$4:$B$2000,"mmm-yy")=TEXT(A255,"mmm-yy"))
)</f>
        <v>13150.5</v>
      </c>
      <c r="I255">
        <f>_xlfn.XLOOKUP(A255,[1]ForwardDeriv!$D:$D,[1]ForwardDeriv!$AJ:$AJ)</f>
        <v>-0.65000000000000568</v>
      </c>
      <c r="J255" cm="1">
        <f t="array" ref="J255">_xlfn.XLOOKUP(TEXT(A255, "mmm-yy"), TEXT([2]GASOLINE!$B$5:$B$208, "mmm-yy"), [2]GASOLINE!$IR$5:$IR$208, "Not Found")</f>
        <v>219.51403200717144</v>
      </c>
      <c r="K255" cm="1">
        <f t="array" ref="K255">_xlfn.XLOOKUP(TEXT(A255, "mmm-yy"), TEXT([2]GASOLINE!$B$5:$B$208, "mmm-yy"), [2]GASOLINE!$IK$5:$IK$208, "Not Found")</f>
        <v>0</v>
      </c>
      <c r="L255">
        <f t="shared" si="3"/>
        <v>0</v>
      </c>
      <c r="M255" cm="1">
        <f t="array" ref="M255">_xlfn.XLOOKUP(TEXT(A255, "mmm-yy"), TEXT([2]GASOLINE!$B$5:$B$208, "mmm-yy"), [2]GASOLINE!$C$5:$C$208, "Not Found")</f>
        <v>6498.9161761830665</v>
      </c>
      <c r="N255" cm="1">
        <f t="array" ref="N255">_xlfn.XLOOKUP(TEXT(A255, "mmm-yy"), TEXT([2]RUNS!$B$5:$B$208, "mmm-yy"), [2]RUNS!$BM$5:$BM$208, "Not Found")</f>
        <v>0.82602670787660037</v>
      </c>
    </row>
    <row r="256" spans="1:14" x14ac:dyDescent="0.25">
      <c r="A256" s="1">
        <f>'[1]Global_Spot Prices'!$B1565</f>
        <v>42361</v>
      </c>
      <c r="B256">
        <f>_xlfn.XLOOKUP(A256,'[1]Global_Spot Prices'!$B:$B,'[1]Global_Spot Prices'!$BS:$BS)</f>
        <v>17.740000000000002</v>
      </c>
      <c r="C256">
        <f>_xlfn.XLOOKUP(A256,'[1]Global_Spot Prices'!$B:$B,'[1]Global_Spot Prices'!$E:$E)</f>
        <v>31.72</v>
      </c>
      <c r="D256">
        <f>_xlfn.XLOOKUP(A256,'[1]Global_Spot Prices'!$B:$B,'[1]Global_Spot Prices'!$D:$D)</f>
        <v>36.445</v>
      </c>
      <c r="E256">
        <f>_xlfn.XLOOKUP(A256,'[1]Global_Spot Prices'!$B:$B,'[1]Global_Spot Prices'!$H:$H)</f>
        <v>43.36</v>
      </c>
      <c r="F256">
        <f>_xlfn.XLOOKUP(A256,'[1]Global_Spot Prices'!$B:$B,'[1]Global_Spot Prices'!$I:$I)</f>
        <v>49.46</v>
      </c>
      <c r="G256" cm="1">
        <f t="array" ref="G256">_xlfn.XLOOKUP(TEXT(A256, "mmm-yy"), TEXT([2]RUNS!$B$5:$B$208, "mmm-yy"), [2]RUNS!$D$5:$D$208, "Not Found")</f>
        <v>27555.507550726299</v>
      </c>
      <c r="H256" cm="1">
        <f t="array" ref="H256">SUMPRODUCT(
    --(TEXT('[3]Global Weekly Stock (EWSuez'!$B$4:$B$2000,"mmm-yy")=TEXT(A256,"mmm-yy")),
    '[3]Global Weekly Stock (EWSuez'!$E$4:$E$2000)
/
SUMPRODUCT(
    --(TEXT('[3]Global Weekly Stock (EWSuez'!$B$4:$B$2000,"mmm-yy")=TEXT(A256,"mmm-yy"))
)</f>
        <v>13150.5</v>
      </c>
      <c r="I256">
        <f>_xlfn.XLOOKUP(A256,[1]ForwardDeriv!$D:$D,[1]ForwardDeriv!$AJ:$AJ)</f>
        <v>-0.78000000000000114</v>
      </c>
      <c r="J256" cm="1">
        <f t="array" ref="J256">_xlfn.XLOOKUP(TEXT(A256, "mmm-yy"), TEXT([2]GASOLINE!$B$5:$B$208, "mmm-yy"), [2]GASOLINE!$IR$5:$IR$208, "Not Found")</f>
        <v>219.51403200717144</v>
      </c>
      <c r="K256" cm="1">
        <f t="array" ref="K256">_xlfn.XLOOKUP(TEXT(A256, "mmm-yy"), TEXT([2]GASOLINE!$B$5:$B$208, "mmm-yy"), [2]GASOLINE!$IK$5:$IK$208, "Not Found")</f>
        <v>0</v>
      </c>
      <c r="L256">
        <f t="shared" si="3"/>
        <v>0</v>
      </c>
      <c r="M256" cm="1">
        <f t="array" ref="M256">_xlfn.XLOOKUP(TEXT(A256, "mmm-yy"), TEXT([2]GASOLINE!$B$5:$B$208, "mmm-yy"), [2]GASOLINE!$C$5:$C$208, "Not Found")</f>
        <v>6498.9161761830665</v>
      </c>
      <c r="N256" cm="1">
        <f t="array" ref="N256">_xlfn.XLOOKUP(TEXT(A256, "mmm-yy"), TEXT([2]RUNS!$B$5:$B$208, "mmm-yy"), [2]RUNS!$BM$5:$BM$208, "Not Found")</f>
        <v>0.82602670787660037</v>
      </c>
    </row>
    <row r="257" spans="1:14" x14ac:dyDescent="0.25">
      <c r="A257" s="1">
        <f>'[1]Global_Spot Prices'!$B1566</f>
        <v>42362</v>
      </c>
      <c r="B257">
        <f>_xlfn.XLOOKUP(A257,'[1]Global_Spot Prices'!$B:$B,'[1]Global_Spot Prices'!$BS:$BS)</f>
        <v>19.639999999999993</v>
      </c>
      <c r="C257">
        <f>_xlfn.XLOOKUP(A257,'[1]Global_Spot Prices'!$B:$B,'[1]Global_Spot Prices'!$E:$E)</f>
        <v>32.840000000000003</v>
      </c>
      <c r="D257">
        <f>_xlfn.XLOOKUP(A257,'[1]Global_Spot Prices'!$B:$B,'[1]Global_Spot Prices'!$D:$D)</f>
        <v>37.075000000000003</v>
      </c>
      <c r="E257">
        <f>_xlfn.XLOOKUP(A257,'[1]Global_Spot Prices'!$B:$B,'[1]Global_Spot Prices'!$H:$H)</f>
        <v>45.03</v>
      </c>
      <c r="F257">
        <f>_xlfn.XLOOKUP(A257,'[1]Global_Spot Prices'!$B:$B,'[1]Global_Spot Prices'!$I:$I)</f>
        <v>52.48</v>
      </c>
      <c r="G257" cm="1">
        <f t="array" ref="G257">_xlfn.XLOOKUP(TEXT(A257, "mmm-yy"), TEXT([2]RUNS!$B$5:$B$208, "mmm-yy"), [2]RUNS!$D$5:$D$208, "Not Found")</f>
        <v>27555.507550726299</v>
      </c>
      <c r="H257" cm="1">
        <f t="array" ref="H257">SUMPRODUCT(
    --(TEXT('[3]Global Weekly Stock (EWSuez'!$B$4:$B$2000,"mmm-yy")=TEXT(A257,"mmm-yy")),
    '[3]Global Weekly Stock (EWSuez'!$E$4:$E$2000)
/
SUMPRODUCT(
    --(TEXT('[3]Global Weekly Stock (EWSuez'!$B$4:$B$2000,"mmm-yy")=TEXT(A257,"mmm-yy"))
)</f>
        <v>13150.5</v>
      </c>
      <c r="I257">
        <f>_xlfn.XLOOKUP(A257,[1]ForwardDeriv!$D:$D,[1]ForwardDeriv!$AJ:$AJ)</f>
        <v>-0.55000000000000426</v>
      </c>
      <c r="J257" cm="1">
        <f t="array" ref="J257">_xlfn.XLOOKUP(TEXT(A257, "mmm-yy"), TEXT([2]GASOLINE!$B$5:$B$208, "mmm-yy"), [2]GASOLINE!$IR$5:$IR$208, "Not Found")</f>
        <v>219.51403200717144</v>
      </c>
      <c r="K257" cm="1">
        <f t="array" ref="K257">_xlfn.XLOOKUP(TEXT(A257, "mmm-yy"), TEXT([2]GASOLINE!$B$5:$B$208, "mmm-yy"), [2]GASOLINE!$IK$5:$IK$208, "Not Found")</f>
        <v>0</v>
      </c>
      <c r="L257">
        <f t="shared" si="3"/>
        <v>0</v>
      </c>
      <c r="M257" cm="1">
        <f t="array" ref="M257">_xlfn.XLOOKUP(TEXT(A257, "mmm-yy"), TEXT([2]GASOLINE!$B$5:$B$208, "mmm-yy"), [2]GASOLINE!$C$5:$C$208, "Not Found")</f>
        <v>6498.9161761830665</v>
      </c>
      <c r="N257" cm="1">
        <f t="array" ref="N257">_xlfn.XLOOKUP(TEXT(A257, "mmm-yy"), TEXT([2]RUNS!$B$5:$B$208, "mmm-yy"), [2]RUNS!$BM$5:$BM$208, "Not Found")</f>
        <v>0.82602670787660037</v>
      </c>
    </row>
    <row r="258" spans="1:14" x14ac:dyDescent="0.25">
      <c r="A258" s="1">
        <f>'[1]Global_Spot Prices'!$B1567</f>
        <v>42363</v>
      </c>
      <c r="B258" t="e">
        <f>_xlfn.XLOOKUP(A258,'[1]Global_Spot Prices'!$B:$B,'[1]Global_Spot Prices'!$BS:$BS)</f>
        <v>#N/A</v>
      </c>
      <c r="C258" t="str">
        <f>_xlfn.XLOOKUP(A258,'[1]Global_Spot Prices'!$B:$B,'[1]Global_Spot Prices'!$E:$E)</f>
        <v/>
      </c>
      <c r="D258" t="str">
        <f>_xlfn.XLOOKUP(A258,'[1]Global_Spot Prices'!$B:$B,'[1]Global_Spot Prices'!$D:$D)</f>
        <v/>
      </c>
      <c r="E258">
        <f>_xlfn.XLOOKUP(A258,'[1]Global_Spot Prices'!$B:$B,'[1]Global_Spot Prices'!$H:$H)</f>
        <v>0</v>
      </c>
      <c r="F258">
        <f>_xlfn.XLOOKUP(A258,'[1]Global_Spot Prices'!$B:$B,'[1]Global_Spot Prices'!$I:$I)</f>
        <v>0</v>
      </c>
      <c r="G258" cm="1">
        <f t="array" ref="G258">_xlfn.XLOOKUP(TEXT(A258, "mmm-yy"), TEXT([2]RUNS!$B$5:$B$208, "mmm-yy"), [2]RUNS!$D$5:$D$208, "Not Found")</f>
        <v>27555.507550726299</v>
      </c>
      <c r="H258" cm="1">
        <f t="array" ref="H258">SUMPRODUCT(
    --(TEXT('[3]Global Weekly Stock (EWSuez'!$B$4:$B$2000,"mmm-yy")=TEXT(A258,"mmm-yy")),
    '[3]Global Weekly Stock (EWSuez'!$E$4:$E$2000)
/
SUMPRODUCT(
    --(TEXT('[3]Global Weekly Stock (EWSuez'!$B$4:$B$2000,"mmm-yy")=TEXT(A258,"mmm-yy"))
)</f>
        <v>13150.5</v>
      </c>
      <c r="I258">
        <f>_xlfn.XLOOKUP(A258,[1]ForwardDeriv!$D:$D,[1]ForwardDeriv!$AJ:$AJ)</f>
        <v>-0.57999999999999829</v>
      </c>
      <c r="J258" cm="1">
        <f t="array" ref="J258">_xlfn.XLOOKUP(TEXT(A258, "mmm-yy"), TEXT([2]GASOLINE!$B$5:$B$208, "mmm-yy"), [2]GASOLINE!$IR$5:$IR$208, "Not Found")</f>
        <v>219.51403200717144</v>
      </c>
      <c r="K258" cm="1">
        <f t="array" ref="K258">_xlfn.XLOOKUP(TEXT(A258, "mmm-yy"), TEXT([2]GASOLINE!$B$5:$B$208, "mmm-yy"), [2]GASOLINE!$IK$5:$IK$208, "Not Found")</f>
        <v>0</v>
      </c>
      <c r="L258">
        <f t="shared" si="3"/>
        <v>0</v>
      </c>
      <c r="M258" cm="1">
        <f t="array" ref="M258">_xlfn.XLOOKUP(TEXT(A258, "mmm-yy"), TEXT([2]GASOLINE!$B$5:$B$208, "mmm-yy"), [2]GASOLINE!$C$5:$C$208, "Not Found")</f>
        <v>6498.9161761830665</v>
      </c>
      <c r="N258" cm="1">
        <f t="array" ref="N258">_xlfn.XLOOKUP(TEXT(A258, "mmm-yy"), TEXT([2]RUNS!$B$5:$B$208, "mmm-yy"), [2]RUNS!$BM$5:$BM$208, "Not Found")</f>
        <v>0.82602670787660037</v>
      </c>
    </row>
    <row r="259" spans="1:14" x14ac:dyDescent="0.25">
      <c r="A259" s="1">
        <f>'[1]Global_Spot Prices'!$B1568</f>
        <v>42366</v>
      </c>
      <c r="B259">
        <f>_xlfn.XLOOKUP(A259,'[1]Global_Spot Prices'!$B:$B,'[1]Global_Spot Prices'!$BS:$BS)</f>
        <v>19.36</v>
      </c>
      <c r="C259">
        <f>_xlfn.XLOOKUP(A259,'[1]Global_Spot Prices'!$B:$B,'[1]Global_Spot Prices'!$E:$E)</f>
        <v>32.340000000000003</v>
      </c>
      <c r="D259" t="str">
        <f>_xlfn.XLOOKUP(A259,'[1]Global_Spot Prices'!$B:$B,'[1]Global_Spot Prices'!$D:$D)</f>
        <v/>
      </c>
      <c r="E259">
        <f>_xlfn.XLOOKUP(A259,'[1]Global_Spot Prices'!$B:$B,'[1]Global_Spot Prices'!$H:$H)</f>
        <v>44.56</v>
      </c>
      <c r="F259">
        <f>_xlfn.XLOOKUP(A259,'[1]Global_Spot Prices'!$B:$B,'[1]Global_Spot Prices'!$I:$I)</f>
        <v>51.7</v>
      </c>
      <c r="G259" cm="1">
        <f t="array" ref="G259">_xlfn.XLOOKUP(TEXT(A259, "mmm-yy"), TEXT([2]RUNS!$B$5:$B$208, "mmm-yy"), [2]RUNS!$D$5:$D$208, "Not Found")</f>
        <v>27555.507550726299</v>
      </c>
      <c r="H259" cm="1">
        <f t="array" ref="H259">SUMPRODUCT(
    --(TEXT('[3]Global Weekly Stock (EWSuez'!$B$4:$B$2000,"mmm-yy")=TEXT(A259,"mmm-yy")),
    '[3]Global Weekly Stock (EWSuez'!$E$4:$E$2000)
/
SUMPRODUCT(
    --(TEXT('[3]Global Weekly Stock (EWSuez'!$B$4:$B$2000,"mmm-yy")=TEXT(A259,"mmm-yy"))
)</f>
        <v>13150.5</v>
      </c>
      <c r="I259">
        <f>_xlfn.XLOOKUP(A259,[1]ForwardDeriv!$D:$D,[1]ForwardDeriv!$AJ:$AJ)</f>
        <v>-0.57999999999999829</v>
      </c>
      <c r="J259" cm="1">
        <f t="array" ref="J259">_xlfn.XLOOKUP(TEXT(A259, "mmm-yy"), TEXT([2]GASOLINE!$B$5:$B$208, "mmm-yy"), [2]GASOLINE!$IR$5:$IR$208, "Not Found")</f>
        <v>219.51403200717144</v>
      </c>
      <c r="K259" cm="1">
        <f t="array" ref="K259">_xlfn.XLOOKUP(TEXT(A259, "mmm-yy"), TEXT([2]GASOLINE!$B$5:$B$208, "mmm-yy"), [2]GASOLINE!$IK$5:$IK$208, "Not Found")</f>
        <v>0</v>
      </c>
      <c r="L259">
        <f t="shared" ref="L259:L322" si="4">IF(OR(MONTH(A259)=6, MONTH(A259)=7, MONTH(A259)=8, MONTH(A259)=9), 1, 0)</f>
        <v>0</v>
      </c>
      <c r="M259" cm="1">
        <f t="array" ref="M259">_xlfn.XLOOKUP(TEXT(A259, "mmm-yy"), TEXT([2]GASOLINE!$B$5:$B$208, "mmm-yy"), [2]GASOLINE!$C$5:$C$208, "Not Found")</f>
        <v>6498.9161761830665</v>
      </c>
      <c r="N259" cm="1">
        <f t="array" ref="N259">_xlfn.XLOOKUP(TEXT(A259, "mmm-yy"), TEXT([2]RUNS!$B$5:$B$208, "mmm-yy"), [2]RUNS!$BM$5:$BM$208, "Not Found")</f>
        <v>0.82602670787660037</v>
      </c>
    </row>
    <row r="260" spans="1:14" x14ac:dyDescent="0.25">
      <c r="A260" s="1">
        <f>'[1]Global_Spot Prices'!$B1569</f>
        <v>42367</v>
      </c>
      <c r="B260">
        <f>_xlfn.XLOOKUP(A260,'[1]Global_Spot Prices'!$B:$B,'[1]Global_Spot Prices'!$BS:$BS)</f>
        <v>19.090000000000003</v>
      </c>
      <c r="C260">
        <f>_xlfn.XLOOKUP(A260,'[1]Global_Spot Prices'!$B:$B,'[1]Global_Spot Prices'!$E:$E)</f>
        <v>31.9</v>
      </c>
      <c r="D260">
        <f>_xlfn.XLOOKUP(A260,'[1]Global_Spot Prices'!$B:$B,'[1]Global_Spot Prices'!$D:$D)</f>
        <v>37.134999999999998</v>
      </c>
      <c r="E260">
        <f>_xlfn.XLOOKUP(A260,'[1]Global_Spot Prices'!$B:$B,'[1]Global_Spot Prices'!$H:$H)</f>
        <v>43.95</v>
      </c>
      <c r="F260">
        <f>_xlfn.XLOOKUP(A260,'[1]Global_Spot Prices'!$B:$B,'[1]Global_Spot Prices'!$I:$I)</f>
        <v>50.99</v>
      </c>
      <c r="G260" cm="1">
        <f t="array" ref="G260">_xlfn.XLOOKUP(TEXT(A260, "mmm-yy"), TEXT([2]RUNS!$B$5:$B$208, "mmm-yy"), [2]RUNS!$D$5:$D$208, "Not Found")</f>
        <v>27555.507550726299</v>
      </c>
      <c r="H260" cm="1">
        <f t="array" ref="H260">SUMPRODUCT(
    --(TEXT('[3]Global Weekly Stock (EWSuez'!$B$4:$B$2000,"mmm-yy")=TEXT(A260,"mmm-yy")),
    '[3]Global Weekly Stock (EWSuez'!$E$4:$E$2000)
/
SUMPRODUCT(
    --(TEXT('[3]Global Weekly Stock (EWSuez'!$B$4:$B$2000,"mmm-yy")=TEXT(A260,"mmm-yy"))
)</f>
        <v>13150.5</v>
      </c>
      <c r="I260">
        <f>_xlfn.XLOOKUP(A260,[1]ForwardDeriv!$D:$D,[1]ForwardDeriv!$AJ:$AJ)</f>
        <v>-0.5</v>
      </c>
      <c r="J260" cm="1">
        <f t="array" ref="J260">_xlfn.XLOOKUP(TEXT(A260, "mmm-yy"), TEXT([2]GASOLINE!$B$5:$B$208, "mmm-yy"), [2]GASOLINE!$IR$5:$IR$208, "Not Found")</f>
        <v>219.51403200717144</v>
      </c>
      <c r="K260" cm="1">
        <f t="array" ref="K260">_xlfn.XLOOKUP(TEXT(A260, "mmm-yy"), TEXT([2]GASOLINE!$B$5:$B$208, "mmm-yy"), [2]GASOLINE!$IK$5:$IK$208, "Not Found")</f>
        <v>0</v>
      </c>
      <c r="L260">
        <f t="shared" si="4"/>
        <v>0</v>
      </c>
      <c r="M260" cm="1">
        <f t="array" ref="M260">_xlfn.XLOOKUP(TEXT(A260, "mmm-yy"), TEXT([2]GASOLINE!$B$5:$B$208, "mmm-yy"), [2]GASOLINE!$C$5:$C$208, "Not Found")</f>
        <v>6498.9161761830665</v>
      </c>
      <c r="N260" cm="1">
        <f t="array" ref="N260">_xlfn.XLOOKUP(TEXT(A260, "mmm-yy"), TEXT([2]RUNS!$B$5:$B$208, "mmm-yy"), [2]RUNS!$BM$5:$BM$208, "Not Found")</f>
        <v>0.82602670787660037</v>
      </c>
    </row>
    <row r="261" spans="1:14" x14ac:dyDescent="0.25">
      <c r="A261" s="1">
        <f>'[1]Global_Spot Prices'!$B1570</f>
        <v>42368</v>
      </c>
      <c r="B261">
        <f>_xlfn.XLOOKUP(A261,'[1]Global_Spot Prices'!$B:$B,'[1]Global_Spot Prices'!$BS:$BS)</f>
        <v>19.589999999999996</v>
      </c>
      <c r="C261">
        <f>_xlfn.XLOOKUP(A261,'[1]Global_Spot Prices'!$B:$B,'[1]Global_Spot Prices'!$E:$E)</f>
        <v>32.31</v>
      </c>
      <c r="D261">
        <f>_xlfn.XLOOKUP(A261,'[1]Global_Spot Prices'!$B:$B,'[1]Global_Spot Prices'!$D:$D)</f>
        <v>36.090000000000003</v>
      </c>
      <c r="E261">
        <f>_xlfn.XLOOKUP(A261,'[1]Global_Spot Prices'!$B:$B,'[1]Global_Spot Prices'!$H:$H)</f>
        <v>44.64</v>
      </c>
      <c r="F261">
        <f>_xlfn.XLOOKUP(A261,'[1]Global_Spot Prices'!$B:$B,'[1]Global_Spot Prices'!$I:$I)</f>
        <v>51.9</v>
      </c>
      <c r="G261" cm="1">
        <f t="array" ref="G261">_xlfn.XLOOKUP(TEXT(A261, "mmm-yy"), TEXT([2]RUNS!$B$5:$B$208, "mmm-yy"), [2]RUNS!$D$5:$D$208, "Not Found")</f>
        <v>27555.507550726299</v>
      </c>
      <c r="H261" cm="1">
        <f t="array" ref="H261">SUMPRODUCT(
    --(TEXT('[3]Global Weekly Stock (EWSuez'!$B$4:$B$2000,"mmm-yy")=TEXT(A261,"mmm-yy")),
    '[3]Global Weekly Stock (EWSuez'!$E$4:$E$2000)
/
SUMPRODUCT(
    --(TEXT('[3]Global Weekly Stock (EWSuez'!$B$4:$B$2000,"mmm-yy")=TEXT(A261,"mmm-yy"))
)</f>
        <v>13150.5</v>
      </c>
      <c r="I261">
        <f>_xlfn.XLOOKUP(A261,[1]ForwardDeriv!$D:$D,[1]ForwardDeriv!$AJ:$AJ)</f>
        <v>-0.51000000000000512</v>
      </c>
      <c r="J261" cm="1">
        <f t="array" ref="J261">_xlfn.XLOOKUP(TEXT(A261, "mmm-yy"), TEXT([2]GASOLINE!$B$5:$B$208, "mmm-yy"), [2]GASOLINE!$IR$5:$IR$208, "Not Found")</f>
        <v>219.51403200717144</v>
      </c>
      <c r="K261" cm="1">
        <f t="array" ref="K261">_xlfn.XLOOKUP(TEXT(A261, "mmm-yy"), TEXT([2]GASOLINE!$B$5:$B$208, "mmm-yy"), [2]GASOLINE!$IK$5:$IK$208, "Not Found")</f>
        <v>0</v>
      </c>
      <c r="L261">
        <f t="shared" si="4"/>
        <v>0</v>
      </c>
      <c r="M261" cm="1">
        <f t="array" ref="M261">_xlfn.XLOOKUP(TEXT(A261, "mmm-yy"), TEXT([2]GASOLINE!$B$5:$B$208, "mmm-yy"), [2]GASOLINE!$C$5:$C$208, "Not Found")</f>
        <v>6498.9161761830665</v>
      </c>
      <c r="N261" cm="1">
        <f t="array" ref="N261">_xlfn.XLOOKUP(TEXT(A261, "mmm-yy"), TEXT([2]RUNS!$B$5:$B$208, "mmm-yy"), [2]RUNS!$BM$5:$BM$208, "Not Found")</f>
        <v>0.82602670787660037</v>
      </c>
    </row>
    <row r="262" spans="1:14" x14ac:dyDescent="0.25">
      <c r="A262" s="1">
        <f>'[1]Global_Spot Prices'!$B1571</f>
        <v>42369</v>
      </c>
      <c r="B262">
        <f>_xlfn.XLOOKUP(A262,'[1]Global_Spot Prices'!$B:$B,'[1]Global_Spot Prices'!$BS:$BS)</f>
        <v>20.169999999999998</v>
      </c>
      <c r="C262">
        <f>_xlfn.XLOOKUP(A262,'[1]Global_Spot Prices'!$B:$B,'[1]Global_Spot Prices'!$E:$E)</f>
        <v>31.81</v>
      </c>
      <c r="D262">
        <f>_xlfn.XLOOKUP(A262,'[1]Global_Spot Prices'!$B:$B,'[1]Global_Spot Prices'!$D:$D)</f>
        <v>35.74</v>
      </c>
      <c r="E262">
        <f>_xlfn.XLOOKUP(A262,'[1]Global_Spot Prices'!$B:$B,'[1]Global_Spot Prices'!$H:$H)</f>
        <v>43.78</v>
      </c>
      <c r="F262">
        <f>_xlfn.XLOOKUP(A262,'[1]Global_Spot Prices'!$B:$B,'[1]Global_Spot Prices'!$I:$I)</f>
        <v>51.98</v>
      </c>
      <c r="G262" cm="1">
        <f t="array" ref="G262">_xlfn.XLOOKUP(TEXT(A262, "mmm-yy"), TEXT([2]RUNS!$B$5:$B$208, "mmm-yy"), [2]RUNS!$D$5:$D$208, "Not Found")</f>
        <v>27555.507550726299</v>
      </c>
      <c r="H262" cm="1">
        <f t="array" ref="H262">SUMPRODUCT(
    --(TEXT('[3]Global Weekly Stock (EWSuez'!$B$4:$B$2000,"mmm-yy")=TEXT(A262,"mmm-yy")),
    '[3]Global Weekly Stock (EWSuez'!$E$4:$E$2000)
/
SUMPRODUCT(
    --(TEXT('[3]Global Weekly Stock (EWSuez'!$B$4:$B$2000,"mmm-yy")=TEXT(A262,"mmm-yy"))
)</f>
        <v>13150.5</v>
      </c>
      <c r="I262">
        <f>_xlfn.XLOOKUP(A262,[1]ForwardDeriv!$D:$D,[1]ForwardDeriv!$AJ:$AJ)</f>
        <v>-0.60000000000000142</v>
      </c>
      <c r="J262" cm="1">
        <f t="array" ref="J262">_xlfn.XLOOKUP(TEXT(A262, "mmm-yy"), TEXT([2]GASOLINE!$B$5:$B$208, "mmm-yy"), [2]GASOLINE!$IR$5:$IR$208, "Not Found")</f>
        <v>219.51403200717144</v>
      </c>
      <c r="K262" cm="1">
        <f t="array" ref="K262">_xlfn.XLOOKUP(TEXT(A262, "mmm-yy"), TEXT([2]GASOLINE!$B$5:$B$208, "mmm-yy"), [2]GASOLINE!$IK$5:$IK$208, "Not Found")</f>
        <v>0</v>
      </c>
      <c r="L262">
        <f t="shared" si="4"/>
        <v>0</v>
      </c>
      <c r="M262" cm="1">
        <f t="array" ref="M262">_xlfn.XLOOKUP(TEXT(A262, "mmm-yy"), TEXT([2]GASOLINE!$B$5:$B$208, "mmm-yy"), [2]GASOLINE!$C$5:$C$208, "Not Found")</f>
        <v>6498.9161761830665</v>
      </c>
      <c r="N262" cm="1">
        <f t="array" ref="N262">_xlfn.XLOOKUP(TEXT(A262, "mmm-yy"), TEXT([2]RUNS!$B$5:$B$208, "mmm-yy"), [2]RUNS!$BM$5:$BM$208, "Not Found")</f>
        <v>0.82602670787660037</v>
      </c>
    </row>
    <row r="263" spans="1:14" x14ac:dyDescent="0.25">
      <c r="A263" s="1">
        <f>'[1]Global_Spot Prices'!$B1572</f>
        <v>42370</v>
      </c>
      <c r="B263" t="e">
        <f>_xlfn.XLOOKUP(A263,'[1]Global_Spot Prices'!$B:$B,'[1]Global_Spot Prices'!$BS:$BS)</f>
        <v>#N/A</v>
      </c>
      <c r="C263" t="str">
        <f>_xlfn.XLOOKUP(A263,'[1]Global_Spot Prices'!$B:$B,'[1]Global_Spot Prices'!$E:$E)</f>
        <v/>
      </c>
      <c r="D263" t="str">
        <f>_xlfn.XLOOKUP(A263,'[1]Global_Spot Prices'!$B:$B,'[1]Global_Spot Prices'!$D:$D)</f>
        <v/>
      </c>
      <c r="E263">
        <f>_xlfn.XLOOKUP(A263,'[1]Global_Spot Prices'!$B:$B,'[1]Global_Spot Prices'!$H:$H)</f>
        <v>0</v>
      </c>
      <c r="F263">
        <f>_xlfn.XLOOKUP(A263,'[1]Global_Spot Prices'!$B:$B,'[1]Global_Spot Prices'!$I:$I)</f>
        <v>0</v>
      </c>
      <c r="G263" cm="1">
        <f t="array" ref="G263">_xlfn.XLOOKUP(TEXT(A263, "mmm-yy"), TEXT([2]RUNS!$B$5:$B$208, "mmm-yy"), [2]RUNS!$D$5:$D$208, "Not Found")</f>
        <v>27679.266932146005</v>
      </c>
      <c r="H263" cm="1">
        <f t="array" ref="H263">SUMPRODUCT(
    --(TEXT('[3]Global Weekly Stock (EWSuez'!$B$4:$B$2000,"mmm-yy")=TEXT(A263,"mmm-yy")),
    '[3]Global Weekly Stock (EWSuez'!$E$4:$E$2000)
/
SUMPRODUCT(
    --(TEXT('[3]Global Weekly Stock (EWSuez'!$B$4:$B$2000,"mmm-yy")=TEXT(A263,"mmm-yy"))
)</f>
        <v>13955.8</v>
      </c>
      <c r="I263">
        <f>_xlfn.XLOOKUP(A263,[1]ForwardDeriv!$D:$D,[1]ForwardDeriv!$AJ:$AJ)</f>
        <v>-0.64999999999999858</v>
      </c>
      <c r="J263" cm="1">
        <f t="array" ref="J263">_xlfn.XLOOKUP(TEXT(A263, "mmm-yy"), TEXT([2]GASOLINE!$B$5:$B$208, "mmm-yy"), [2]GASOLINE!$IR$5:$IR$208, "Not Found")</f>
        <v>255.17332852127225</v>
      </c>
      <c r="K263" cm="1">
        <f t="array" ref="K263">_xlfn.XLOOKUP(TEXT(A263, "mmm-yy"), TEXT([2]GASOLINE!$B$5:$B$208, "mmm-yy"), [2]GASOLINE!$IK$5:$IK$208, "Not Found")</f>
        <v>0</v>
      </c>
      <c r="L263">
        <f t="shared" si="4"/>
        <v>0</v>
      </c>
      <c r="M263" cm="1">
        <f t="array" ref="M263">_xlfn.XLOOKUP(TEXT(A263, "mmm-yy"), TEXT([2]GASOLINE!$B$5:$B$208, "mmm-yy"), [2]GASOLINE!$C$5:$C$208, "Not Found")</f>
        <v>6548.6576018105297</v>
      </c>
      <c r="N263" cm="1">
        <f t="array" ref="N263">_xlfn.XLOOKUP(TEXT(A263, "mmm-yy"), TEXT([2]RUNS!$B$5:$B$208, "mmm-yy"), [2]RUNS!$BM$5:$BM$208, "Not Found")</f>
        <v>0.82676257522293028</v>
      </c>
    </row>
    <row r="264" spans="1:14" x14ac:dyDescent="0.25">
      <c r="A264" s="1">
        <f>'[1]Global_Spot Prices'!$B1573</f>
        <v>42373</v>
      </c>
      <c r="B264">
        <f>_xlfn.XLOOKUP(A264,'[1]Global_Spot Prices'!$B:$B,'[1]Global_Spot Prices'!$BS:$BS)</f>
        <v>20.230000000000004</v>
      </c>
      <c r="C264">
        <f>_xlfn.XLOOKUP(A264,'[1]Global_Spot Prices'!$B:$B,'[1]Global_Spot Prices'!$E:$E)</f>
        <v>32.4</v>
      </c>
      <c r="D264">
        <f>_xlfn.XLOOKUP(A264,'[1]Global_Spot Prices'!$B:$B,'[1]Global_Spot Prices'!$D:$D)</f>
        <v>36.53</v>
      </c>
      <c r="E264">
        <f>_xlfn.XLOOKUP(A264,'[1]Global_Spot Prices'!$B:$B,'[1]Global_Spot Prices'!$H:$H)</f>
        <v>44.52</v>
      </c>
      <c r="F264">
        <f>_xlfn.XLOOKUP(A264,'[1]Global_Spot Prices'!$B:$B,'[1]Global_Spot Prices'!$I:$I)</f>
        <v>52.63</v>
      </c>
      <c r="G264" cm="1">
        <f t="array" ref="G264">_xlfn.XLOOKUP(TEXT(A264, "mmm-yy"), TEXT([2]RUNS!$B$5:$B$208, "mmm-yy"), [2]RUNS!$D$5:$D$208, "Not Found")</f>
        <v>27679.266932146005</v>
      </c>
      <c r="H264" cm="1">
        <f t="array" ref="H264">SUMPRODUCT(
    --(TEXT('[3]Global Weekly Stock (EWSuez'!$B$4:$B$2000,"mmm-yy")=TEXT(A264,"mmm-yy")),
    '[3]Global Weekly Stock (EWSuez'!$E$4:$E$2000)
/
SUMPRODUCT(
    --(TEXT('[3]Global Weekly Stock (EWSuez'!$B$4:$B$2000,"mmm-yy")=TEXT(A264,"mmm-yy"))
)</f>
        <v>13955.8</v>
      </c>
      <c r="I264">
        <f>_xlfn.XLOOKUP(A264,[1]ForwardDeriv!$D:$D,[1]ForwardDeriv!$AJ:$AJ)</f>
        <v>-0.64999999999999858</v>
      </c>
      <c r="J264" cm="1">
        <f t="array" ref="J264">_xlfn.XLOOKUP(TEXT(A264, "mmm-yy"), TEXT([2]GASOLINE!$B$5:$B$208, "mmm-yy"), [2]GASOLINE!$IR$5:$IR$208, "Not Found")</f>
        <v>255.17332852127225</v>
      </c>
      <c r="K264" cm="1">
        <f t="array" ref="K264">_xlfn.XLOOKUP(TEXT(A264, "mmm-yy"), TEXT([2]GASOLINE!$B$5:$B$208, "mmm-yy"), [2]GASOLINE!$IK$5:$IK$208, "Not Found")</f>
        <v>0</v>
      </c>
      <c r="L264">
        <f t="shared" si="4"/>
        <v>0</v>
      </c>
      <c r="M264" cm="1">
        <f t="array" ref="M264">_xlfn.XLOOKUP(TEXT(A264, "mmm-yy"), TEXT([2]GASOLINE!$B$5:$B$208, "mmm-yy"), [2]GASOLINE!$C$5:$C$208, "Not Found")</f>
        <v>6548.6576018105297</v>
      </c>
      <c r="N264" cm="1">
        <f t="array" ref="N264">_xlfn.XLOOKUP(TEXT(A264, "mmm-yy"), TEXT([2]RUNS!$B$5:$B$208, "mmm-yy"), [2]RUNS!$BM$5:$BM$208, "Not Found")</f>
        <v>0.82676257522293028</v>
      </c>
    </row>
    <row r="265" spans="1:14" x14ac:dyDescent="0.25">
      <c r="A265" s="1">
        <f>'[1]Global_Spot Prices'!$B1574</f>
        <v>42374</v>
      </c>
      <c r="B265">
        <f>_xlfn.XLOOKUP(A265,'[1]Global_Spot Prices'!$B:$B,'[1]Global_Spot Prices'!$BS:$BS)</f>
        <v>22.349999999999998</v>
      </c>
      <c r="C265">
        <f>_xlfn.XLOOKUP(A265,'[1]Global_Spot Prices'!$B:$B,'[1]Global_Spot Prices'!$E:$E)</f>
        <v>31.2</v>
      </c>
      <c r="D265">
        <f>_xlfn.XLOOKUP(A265,'[1]Global_Spot Prices'!$B:$B,'[1]Global_Spot Prices'!$D:$D)</f>
        <v>35.524999999999999</v>
      </c>
      <c r="E265">
        <f>_xlfn.XLOOKUP(A265,'[1]Global_Spot Prices'!$B:$B,'[1]Global_Spot Prices'!$H:$H)</f>
        <v>45.41</v>
      </c>
      <c r="F265">
        <f>_xlfn.XLOOKUP(A265,'[1]Global_Spot Prices'!$B:$B,'[1]Global_Spot Prices'!$I:$I)</f>
        <v>53.55</v>
      </c>
      <c r="G265" cm="1">
        <f t="array" ref="G265">_xlfn.XLOOKUP(TEXT(A265, "mmm-yy"), TEXT([2]RUNS!$B$5:$B$208, "mmm-yy"), [2]RUNS!$D$5:$D$208, "Not Found")</f>
        <v>27679.266932146005</v>
      </c>
      <c r="H265" cm="1">
        <f t="array" ref="H265">SUMPRODUCT(
    --(TEXT('[3]Global Weekly Stock (EWSuez'!$B$4:$B$2000,"mmm-yy")=TEXT(A265,"mmm-yy")),
    '[3]Global Weekly Stock (EWSuez'!$E$4:$E$2000)
/
SUMPRODUCT(
    --(TEXT('[3]Global Weekly Stock (EWSuez'!$B$4:$B$2000,"mmm-yy")=TEXT(A265,"mmm-yy"))
)</f>
        <v>13955.8</v>
      </c>
      <c r="I265">
        <f>_xlfn.XLOOKUP(A265,[1]ForwardDeriv!$D:$D,[1]ForwardDeriv!$AJ:$AJ)</f>
        <v>-0.63000000000000256</v>
      </c>
      <c r="J265" cm="1">
        <f t="array" ref="J265">_xlfn.XLOOKUP(TEXT(A265, "mmm-yy"), TEXT([2]GASOLINE!$B$5:$B$208, "mmm-yy"), [2]GASOLINE!$IR$5:$IR$208, "Not Found")</f>
        <v>255.17332852127225</v>
      </c>
      <c r="K265" cm="1">
        <f t="array" ref="K265">_xlfn.XLOOKUP(TEXT(A265, "mmm-yy"), TEXT([2]GASOLINE!$B$5:$B$208, "mmm-yy"), [2]GASOLINE!$IK$5:$IK$208, "Not Found")</f>
        <v>0</v>
      </c>
      <c r="L265">
        <f t="shared" si="4"/>
        <v>0</v>
      </c>
      <c r="M265" cm="1">
        <f t="array" ref="M265">_xlfn.XLOOKUP(TEXT(A265, "mmm-yy"), TEXT([2]GASOLINE!$B$5:$B$208, "mmm-yy"), [2]GASOLINE!$C$5:$C$208, "Not Found")</f>
        <v>6548.6576018105297</v>
      </c>
      <c r="N265" cm="1">
        <f t="array" ref="N265">_xlfn.XLOOKUP(TEXT(A265, "mmm-yy"), TEXT([2]RUNS!$B$5:$B$208, "mmm-yy"), [2]RUNS!$BM$5:$BM$208, "Not Found")</f>
        <v>0.82676257522293028</v>
      </c>
    </row>
    <row r="266" spans="1:14" x14ac:dyDescent="0.25">
      <c r="A266" s="1">
        <f>'[1]Global_Spot Prices'!$B1575</f>
        <v>42375</v>
      </c>
      <c r="B266">
        <f>_xlfn.XLOOKUP(A266,'[1]Global_Spot Prices'!$B:$B,'[1]Global_Spot Prices'!$BS:$BS)</f>
        <v>21.570000000000004</v>
      </c>
      <c r="C266">
        <f>_xlfn.XLOOKUP(A266,'[1]Global_Spot Prices'!$B:$B,'[1]Global_Spot Prices'!$E:$E)</f>
        <v>30.2</v>
      </c>
      <c r="D266">
        <f>_xlfn.XLOOKUP(A266,'[1]Global_Spot Prices'!$B:$B,'[1]Global_Spot Prices'!$D:$D)</f>
        <v>33.82</v>
      </c>
      <c r="E266">
        <f>_xlfn.XLOOKUP(A266,'[1]Global_Spot Prices'!$B:$B,'[1]Global_Spot Prices'!$H:$H)</f>
        <v>43.92</v>
      </c>
      <c r="F266">
        <f>_xlfn.XLOOKUP(A266,'[1]Global_Spot Prices'!$B:$B,'[1]Global_Spot Prices'!$I:$I)</f>
        <v>51.77</v>
      </c>
      <c r="G266" cm="1">
        <f t="array" ref="G266">_xlfn.XLOOKUP(TEXT(A266, "mmm-yy"), TEXT([2]RUNS!$B$5:$B$208, "mmm-yy"), [2]RUNS!$D$5:$D$208, "Not Found")</f>
        <v>27679.266932146005</v>
      </c>
      <c r="H266" cm="1">
        <f t="array" ref="H266">SUMPRODUCT(
    --(TEXT('[3]Global Weekly Stock (EWSuez'!$B$4:$B$2000,"mmm-yy")=TEXT(A266,"mmm-yy")),
    '[3]Global Weekly Stock (EWSuez'!$E$4:$E$2000)
/
SUMPRODUCT(
    --(TEXT('[3]Global Weekly Stock (EWSuez'!$B$4:$B$2000,"mmm-yy")=TEXT(A266,"mmm-yy"))
)</f>
        <v>13955.8</v>
      </c>
      <c r="I266">
        <f>_xlfn.XLOOKUP(A266,[1]ForwardDeriv!$D:$D,[1]ForwardDeriv!$AJ:$AJ)</f>
        <v>-0.75</v>
      </c>
      <c r="J266" cm="1">
        <f t="array" ref="J266">_xlfn.XLOOKUP(TEXT(A266, "mmm-yy"), TEXT([2]GASOLINE!$B$5:$B$208, "mmm-yy"), [2]GASOLINE!$IR$5:$IR$208, "Not Found")</f>
        <v>255.17332852127225</v>
      </c>
      <c r="K266" cm="1">
        <f t="array" ref="K266">_xlfn.XLOOKUP(TEXT(A266, "mmm-yy"), TEXT([2]GASOLINE!$B$5:$B$208, "mmm-yy"), [2]GASOLINE!$IK$5:$IK$208, "Not Found")</f>
        <v>0</v>
      </c>
      <c r="L266">
        <f t="shared" si="4"/>
        <v>0</v>
      </c>
      <c r="M266" cm="1">
        <f t="array" ref="M266">_xlfn.XLOOKUP(TEXT(A266, "mmm-yy"), TEXT([2]GASOLINE!$B$5:$B$208, "mmm-yy"), [2]GASOLINE!$C$5:$C$208, "Not Found")</f>
        <v>6548.6576018105297</v>
      </c>
      <c r="N266" cm="1">
        <f t="array" ref="N266">_xlfn.XLOOKUP(TEXT(A266, "mmm-yy"), TEXT([2]RUNS!$B$5:$B$208, "mmm-yy"), [2]RUNS!$BM$5:$BM$208, "Not Found")</f>
        <v>0.82676257522293028</v>
      </c>
    </row>
    <row r="267" spans="1:14" x14ac:dyDescent="0.25">
      <c r="A267" s="1">
        <f>'[1]Global_Spot Prices'!$B1576</f>
        <v>42376</v>
      </c>
      <c r="B267">
        <f>_xlfn.XLOOKUP(A267,'[1]Global_Spot Prices'!$B:$B,'[1]Global_Spot Prices'!$BS:$BS)</f>
        <v>20.65</v>
      </c>
      <c r="C267">
        <f>_xlfn.XLOOKUP(A267,'[1]Global_Spot Prices'!$B:$B,'[1]Global_Spot Prices'!$E:$E)</f>
        <v>27.35</v>
      </c>
      <c r="D267">
        <f>_xlfn.XLOOKUP(A267,'[1]Global_Spot Prices'!$B:$B,'[1]Global_Spot Prices'!$D:$D)</f>
        <v>33.655000000000001</v>
      </c>
      <c r="E267">
        <f>_xlfn.XLOOKUP(A267,'[1]Global_Spot Prices'!$B:$B,'[1]Global_Spot Prices'!$H:$H)</f>
        <v>40.36</v>
      </c>
      <c r="F267">
        <f>_xlfn.XLOOKUP(A267,'[1]Global_Spot Prices'!$B:$B,'[1]Global_Spot Prices'!$I:$I)</f>
        <v>48</v>
      </c>
      <c r="G267" cm="1">
        <f t="array" ref="G267">_xlfn.XLOOKUP(TEXT(A267, "mmm-yy"), TEXT([2]RUNS!$B$5:$B$208, "mmm-yy"), [2]RUNS!$D$5:$D$208, "Not Found")</f>
        <v>27679.266932146005</v>
      </c>
      <c r="H267" cm="1">
        <f t="array" ref="H267">SUMPRODUCT(
    --(TEXT('[3]Global Weekly Stock (EWSuez'!$B$4:$B$2000,"mmm-yy")=TEXT(A267,"mmm-yy")),
    '[3]Global Weekly Stock (EWSuez'!$E$4:$E$2000)
/
SUMPRODUCT(
    --(TEXT('[3]Global Weekly Stock (EWSuez'!$B$4:$B$2000,"mmm-yy")=TEXT(A267,"mmm-yy"))
)</f>
        <v>13955.8</v>
      </c>
      <c r="I267">
        <f>_xlfn.XLOOKUP(A267,[1]ForwardDeriv!$D:$D,[1]ForwardDeriv!$AJ:$AJ)</f>
        <v>-0.79999999999999716</v>
      </c>
      <c r="J267" cm="1">
        <f t="array" ref="J267">_xlfn.XLOOKUP(TEXT(A267, "mmm-yy"), TEXT([2]GASOLINE!$B$5:$B$208, "mmm-yy"), [2]GASOLINE!$IR$5:$IR$208, "Not Found")</f>
        <v>255.17332852127225</v>
      </c>
      <c r="K267" cm="1">
        <f t="array" ref="K267">_xlfn.XLOOKUP(TEXT(A267, "mmm-yy"), TEXT([2]GASOLINE!$B$5:$B$208, "mmm-yy"), [2]GASOLINE!$IK$5:$IK$208, "Not Found")</f>
        <v>0</v>
      </c>
      <c r="L267">
        <f t="shared" si="4"/>
        <v>0</v>
      </c>
      <c r="M267" cm="1">
        <f t="array" ref="M267">_xlfn.XLOOKUP(TEXT(A267, "mmm-yy"), TEXT([2]GASOLINE!$B$5:$B$208, "mmm-yy"), [2]GASOLINE!$C$5:$C$208, "Not Found")</f>
        <v>6548.6576018105297</v>
      </c>
      <c r="N267" cm="1">
        <f t="array" ref="N267">_xlfn.XLOOKUP(TEXT(A267, "mmm-yy"), TEXT([2]RUNS!$B$5:$B$208, "mmm-yy"), [2]RUNS!$BM$5:$BM$208, "Not Found")</f>
        <v>0.82676257522293028</v>
      </c>
    </row>
    <row r="268" spans="1:14" x14ac:dyDescent="0.25">
      <c r="A268" s="1">
        <f>'[1]Global_Spot Prices'!$B1577</f>
        <v>42377</v>
      </c>
      <c r="B268">
        <f>_xlfn.XLOOKUP(A268,'[1]Global_Spot Prices'!$B:$B,'[1]Global_Spot Prices'!$BS:$BS)</f>
        <v>20.62</v>
      </c>
      <c r="C268">
        <f>_xlfn.XLOOKUP(A268,'[1]Global_Spot Prices'!$B:$B,'[1]Global_Spot Prices'!$E:$E)</f>
        <v>29.2</v>
      </c>
      <c r="D268">
        <f>_xlfn.XLOOKUP(A268,'[1]Global_Spot Prices'!$B:$B,'[1]Global_Spot Prices'!$D:$D)</f>
        <v>31.695</v>
      </c>
      <c r="E268">
        <f>_xlfn.XLOOKUP(A268,'[1]Global_Spot Prices'!$B:$B,'[1]Global_Spot Prices'!$H:$H)</f>
        <v>41.26</v>
      </c>
      <c r="F268">
        <f>_xlfn.XLOOKUP(A268,'[1]Global_Spot Prices'!$B:$B,'[1]Global_Spot Prices'!$I:$I)</f>
        <v>49.82</v>
      </c>
      <c r="G268" cm="1">
        <f t="array" ref="G268">_xlfn.XLOOKUP(TEXT(A268, "mmm-yy"), TEXT([2]RUNS!$B$5:$B$208, "mmm-yy"), [2]RUNS!$D$5:$D$208, "Not Found")</f>
        <v>27679.266932146005</v>
      </c>
      <c r="H268" cm="1">
        <f t="array" ref="H268">SUMPRODUCT(
    --(TEXT('[3]Global Weekly Stock (EWSuez'!$B$4:$B$2000,"mmm-yy")=TEXT(A268,"mmm-yy")),
    '[3]Global Weekly Stock (EWSuez'!$E$4:$E$2000)
/
SUMPRODUCT(
    --(TEXT('[3]Global Weekly Stock (EWSuez'!$B$4:$B$2000,"mmm-yy")=TEXT(A268,"mmm-yy"))
)</f>
        <v>13955.8</v>
      </c>
      <c r="I268">
        <f>_xlfn.XLOOKUP(A268,[1]ForwardDeriv!$D:$D,[1]ForwardDeriv!$AJ:$AJ)</f>
        <v>-0.79999999999999716</v>
      </c>
      <c r="J268" cm="1">
        <f t="array" ref="J268">_xlfn.XLOOKUP(TEXT(A268, "mmm-yy"), TEXT([2]GASOLINE!$B$5:$B$208, "mmm-yy"), [2]GASOLINE!$IR$5:$IR$208, "Not Found")</f>
        <v>255.17332852127225</v>
      </c>
      <c r="K268" cm="1">
        <f t="array" ref="K268">_xlfn.XLOOKUP(TEXT(A268, "mmm-yy"), TEXT([2]GASOLINE!$B$5:$B$208, "mmm-yy"), [2]GASOLINE!$IK$5:$IK$208, "Not Found")</f>
        <v>0</v>
      </c>
      <c r="L268">
        <f t="shared" si="4"/>
        <v>0</v>
      </c>
      <c r="M268" cm="1">
        <f t="array" ref="M268">_xlfn.XLOOKUP(TEXT(A268, "mmm-yy"), TEXT([2]GASOLINE!$B$5:$B$208, "mmm-yy"), [2]GASOLINE!$C$5:$C$208, "Not Found")</f>
        <v>6548.6576018105297</v>
      </c>
      <c r="N268" cm="1">
        <f t="array" ref="N268">_xlfn.XLOOKUP(TEXT(A268, "mmm-yy"), TEXT([2]RUNS!$B$5:$B$208, "mmm-yy"), [2]RUNS!$BM$5:$BM$208, "Not Found")</f>
        <v>0.82676257522293028</v>
      </c>
    </row>
    <row r="269" spans="1:14" x14ac:dyDescent="0.25">
      <c r="A269" s="1">
        <f>'[1]Global_Spot Prices'!$B1578</f>
        <v>42380</v>
      </c>
      <c r="B269">
        <f>_xlfn.XLOOKUP(A269,'[1]Global_Spot Prices'!$B:$B,'[1]Global_Spot Prices'!$BS:$BS)</f>
        <v>19.809999999999995</v>
      </c>
      <c r="C269">
        <f>_xlfn.XLOOKUP(A269,'[1]Global_Spot Prices'!$B:$B,'[1]Global_Spot Prices'!$E:$E)</f>
        <v>28.1</v>
      </c>
      <c r="D269">
        <f>_xlfn.XLOOKUP(A269,'[1]Global_Spot Prices'!$B:$B,'[1]Global_Spot Prices'!$D:$D)</f>
        <v>30.05</v>
      </c>
      <c r="E269">
        <f>_xlfn.XLOOKUP(A269,'[1]Global_Spot Prices'!$B:$B,'[1]Global_Spot Prices'!$H:$H)</f>
        <v>38.700000000000003</v>
      </c>
      <c r="F269">
        <f>_xlfn.XLOOKUP(A269,'[1]Global_Spot Prices'!$B:$B,'[1]Global_Spot Prices'!$I:$I)</f>
        <v>47.91</v>
      </c>
      <c r="G269" cm="1">
        <f t="array" ref="G269">_xlfn.XLOOKUP(TEXT(A269, "mmm-yy"), TEXT([2]RUNS!$B$5:$B$208, "mmm-yy"), [2]RUNS!$D$5:$D$208, "Not Found")</f>
        <v>27679.266932146005</v>
      </c>
      <c r="H269" cm="1">
        <f t="array" ref="H269">SUMPRODUCT(
    --(TEXT('[3]Global Weekly Stock (EWSuez'!$B$4:$B$2000,"mmm-yy")=TEXT(A269,"mmm-yy")),
    '[3]Global Weekly Stock (EWSuez'!$E$4:$E$2000)
/
SUMPRODUCT(
    --(TEXT('[3]Global Weekly Stock (EWSuez'!$B$4:$B$2000,"mmm-yy")=TEXT(A269,"mmm-yy"))
)</f>
        <v>13955.8</v>
      </c>
      <c r="I269">
        <f>_xlfn.XLOOKUP(A269,[1]ForwardDeriv!$D:$D,[1]ForwardDeriv!$AJ:$AJ)</f>
        <v>-0.79999999999999716</v>
      </c>
      <c r="J269" cm="1">
        <f t="array" ref="J269">_xlfn.XLOOKUP(TEXT(A269, "mmm-yy"), TEXT([2]GASOLINE!$B$5:$B$208, "mmm-yy"), [2]GASOLINE!$IR$5:$IR$208, "Not Found")</f>
        <v>255.17332852127225</v>
      </c>
      <c r="K269" cm="1">
        <f t="array" ref="K269">_xlfn.XLOOKUP(TEXT(A269, "mmm-yy"), TEXT([2]GASOLINE!$B$5:$B$208, "mmm-yy"), [2]GASOLINE!$IK$5:$IK$208, "Not Found")</f>
        <v>0</v>
      </c>
      <c r="L269">
        <f t="shared" si="4"/>
        <v>0</v>
      </c>
      <c r="M269" cm="1">
        <f t="array" ref="M269">_xlfn.XLOOKUP(TEXT(A269, "mmm-yy"), TEXT([2]GASOLINE!$B$5:$B$208, "mmm-yy"), [2]GASOLINE!$C$5:$C$208, "Not Found")</f>
        <v>6548.6576018105297</v>
      </c>
      <c r="N269" cm="1">
        <f t="array" ref="N269">_xlfn.XLOOKUP(TEXT(A269, "mmm-yy"), TEXT([2]RUNS!$B$5:$B$208, "mmm-yy"), [2]RUNS!$BM$5:$BM$208, "Not Found")</f>
        <v>0.82676257522293028</v>
      </c>
    </row>
    <row r="270" spans="1:14" x14ac:dyDescent="0.25">
      <c r="A270" s="1">
        <f>'[1]Global_Spot Prices'!$B1579</f>
        <v>42381</v>
      </c>
      <c r="B270">
        <f>_xlfn.XLOOKUP(A270,'[1]Global_Spot Prices'!$B:$B,'[1]Global_Spot Prices'!$BS:$BS)</f>
        <v>21.409999999999997</v>
      </c>
      <c r="C270">
        <f>_xlfn.XLOOKUP(A270,'[1]Global_Spot Prices'!$B:$B,'[1]Global_Spot Prices'!$E:$E)</f>
        <v>26.5</v>
      </c>
      <c r="D270">
        <f>_xlfn.XLOOKUP(A270,'[1]Global_Spot Prices'!$B:$B,'[1]Global_Spot Prices'!$D:$D)</f>
        <v>29.25</v>
      </c>
      <c r="E270">
        <f>_xlfn.XLOOKUP(A270,'[1]Global_Spot Prices'!$B:$B,'[1]Global_Spot Prices'!$H:$H)</f>
        <v>36.700000000000003</v>
      </c>
      <c r="F270">
        <f>_xlfn.XLOOKUP(A270,'[1]Global_Spot Prices'!$B:$B,'[1]Global_Spot Prices'!$I:$I)</f>
        <v>47.91</v>
      </c>
      <c r="G270" cm="1">
        <f t="array" ref="G270">_xlfn.XLOOKUP(TEXT(A270, "mmm-yy"), TEXT([2]RUNS!$B$5:$B$208, "mmm-yy"), [2]RUNS!$D$5:$D$208, "Not Found")</f>
        <v>27679.266932146005</v>
      </c>
      <c r="H270" cm="1">
        <f t="array" ref="H270">SUMPRODUCT(
    --(TEXT('[3]Global Weekly Stock (EWSuez'!$B$4:$B$2000,"mmm-yy")=TEXT(A270,"mmm-yy")),
    '[3]Global Weekly Stock (EWSuez'!$E$4:$E$2000)
/
SUMPRODUCT(
    --(TEXT('[3]Global Weekly Stock (EWSuez'!$B$4:$B$2000,"mmm-yy")=TEXT(A270,"mmm-yy"))
)</f>
        <v>13955.8</v>
      </c>
      <c r="I270">
        <f>_xlfn.XLOOKUP(A270,[1]ForwardDeriv!$D:$D,[1]ForwardDeriv!$AJ:$AJ)</f>
        <v>-0.64999999999999858</v>
      </c>
      <c r="J270" cm="1">
        <f t="array" ref="J270">_xlfn.XLOOKUP(TEXT(A270, "mmm-yy"), TEXT([2]GASOLINE!$B$5:$B$208, "mmm-yy"), [2]GASOLINE!$IR$5:$IR$208, "Not Found")</f>
        <v>255.17332852127225</v>
      </c>
      <c r="K270" cm="1">
        <f t="array" ref="K270">_xlfn.XLOOKUP(TEXT(A270, "mmm-yy"), TEXT([2]GASOLINE!$B$5:$B$208, "mmm-yy"), [2]GASOLINE!$IK$5:$IK$208, "Not Found")</f>
        <v>0</v>
      </c>
      <c r="L270">
        <f t="shared" si="4"/>
        <v>0</v>
      </c>
      <c r="M270" cm="1">
        <f t="array" ref="M270">_xlfn.XLOOKUP(TEXT(A270, "mmm-yy"), TEXT([2]GASOLINE!$B$5:$B$208, "mmm-yy"), [2]GASOLINE!$C$5:$C$208, "Not Found")</f>
        <v>6548.6576018105297</v>
      </c>
      <c r="N270" cm="1">
        <f t="array" ref="N270">_xlfn.XLOOKUP(TEXT(A270, "mmm-yy"), TEXT([2]RUNS!$B$5:$B$208, "mmm-yy"), [2]RUNS!$BM$5:$BM$208, "Not Found")</f>
        <v>0.82676257522293028</v>
      </c>
    </row>
    <row r="271" spans="1:14" x14ac:dyDescent="0.25">
      <c r="A271" s="1">
        <f>'[1]Global_Spot Prices'!$B1580</f>
        <v>42382</v>
      </c>
      <c r="B271">
        <f>_xlfn.XLOOKUP(A271,'[1]Global_Spot Prices'!$B:$B,'[1]Global_Spot Prices'!$BS:$BS)</f>
        <v>20.839999999999996</v>
      </c>
      <c r="C271">
        <f>_xlfn.XLOOKUP(A271,'[1]Global_Spot Prices'!$B:$B,'[1]Global_Spot Prices'!$E:$E)</f>
        <v>26.6</v>
      </c>
      <c r="D271">
        <f>_xlfn.XLOOKUP(A271,'[1]Global_Spot Prices'!$B:$B,'[1]Global_Spot Prices'!$D:$D)</f>
        <v>28.885000000000002</v>
      </c>
      <c r="E271">
        <f>_xlfn.XLOOKUP(A271,'[1]Global_Spot Prices'!$B:$B,'[1]Global_Spot Prices'!$H:$H)</f>
        <v>36.5</v>
      </c>
      <c r="F271">
        <f>_xlfn.XLOOKUP(A271,'[1]Global_Spot Prices'!$B:$B,'[1]Global_Spot Prices'!$I:$I)</f>
        <v>47.44</v>
      </c>
      <c r="G271" cm="1">
        <f t="array" ref="G271">_xlfn.XLOOKUP(TEXT(A271, "mmm-yy"), TEXT([2]RUNS!$B$5:$B$208, "mmm-yy"), [2]RUNS!$D$5:$D$208, "Not Found")</f>
        <v>27679.266932146005</v>
      </c>
      <c r="H271" cm="1">
        <f t="array" ref="H271">SUMPRODUCT(
    --(TEXT('[3]Global Weekly Stock (EWSuez'!$B$4:$B$2000,"mmm-yy")=TEXT(A271,"mmm-yy")),
    '[3]Global Weekly Stock (EWSuez'!$E$4:$E$2000)
/
SUMPRODUCT(
    --(TEXT('[3]Global Weekly Stock (EWSuez'!$B$4:$B$2000,"mmm-yy")=TEXT(A271,"mmm-yy"))
)</f>
        <v>13955.8</v>
      </c>
      <c r="I271">
        <f>_xlfn.XLOOKUP(A271,[1]ForwardDeriv!$D:$D,[1]ForwardDeriv!$AJ:$AJ)</f>
        <v>-0.70000000000000284</v>
      </c>
      <c r="J271" cm="1">
        <f t="array" ref="J271">_xlfn.XLOOKUP(TEXT(A271, "mmm-yy"), TEXT([2]GASOLINE!$B$5:$B$208, "mmm-yy"), [2]GASOLINE!$IR$5:$IR$208, "Not Found")</f>
        <v>255.17332852127225</v>
      </c>
      <c r="K271" cm="1">
        <f t="array" ref="K271">_xlfn.XLOOKUP(TEXT(A271, "mmm-yy"), TEXT([2]GASOLINE!$B$5:$B$208, "mmm-yy"), [2]GASOLINE!$IK$5:$IK$208, "Not Found")</f>
        <v>0</v>
      </c>
      <c r="L271">
        <f t="shared" si="4"/>
        <v>0</v>
      </c>
      <c r="M271" cm="1">
        <f t="array" ref="M271">_xlfn.XLOOKUP(TEXT(A271, "mmm-yy"), TEXT([2]GASOLINE!$B$5:$B$208, "mmm-yy"), [2]GASOLINE!$C$5:$C$208, "Not Found")</f>
        <v>6548.6576018105297</v>
      </c>
      <c r="N271" cm="1">
        <f t="array" ref="N271">_xlfn.XLOOKUP(TEXT(A271, "mmm-yy"), TEXT([2]RUNS!$B$5:$B$208, "mmm-yy"), [2]RUNS!$BM$5:$BM$208, "Not Found")</f>
        <v>0.82676257522293028</v>
      </c>
    </row>
    <row r="272" spans="1:14" x14ac:dyDescent="0.25">
      <c r="A272" s="1">
        <f>'[1]Global_Spot Prices'!$B1581</f>
        <v>42383</v>
      </c>
      <c r="B272">
        <f>_xlfn.XLOOKUP(A272,'[1]Global_Spot Prices'!$B:$B,'[1]Global_Spot Prices'!$BS:$BS)</f>
        <v>21.16</v>
      </c>
      <c r="C272">
        <f>_xlfn.XLOOKUP(A272,'[1]Global_Spot Prices'!$B:$B,'[1]Global_Spot Prices'!$E:$E)</f>
        <v>25.3</v>
      </c>
      <c r="D272">
        <f>_xlfn.XLOOKUP(A272,'[1]Global_Spot Prices'!$B:$B,'[1]Global_Spot Prices'!$D:$D)</f>
        <v>28.835000000000001</v>
      </c>
      <c r="E272">
        <f>_xlfn.XLOOKUP(A272,'[1]Global_Spot Prices'!$B:$B,'[1]Global_Spot Prices'!$H:$H)</f>
        <v>35</v>
      </c>
      <c r="F272">
        <f>_xlfn.XLOOKUP(A272,'[1]Global_Spot Prices'!$B:$B,'[1]Global_Spot Prices'!$I:$I)</f>
        <v>46.46</v>
      </c>
      <c r="G272" cm="1">
        <f t="array" ref="G272">_xlfn.XLOOKUP(TEXT(A272, "mmm-yy"), TEXT([2]RUNS!$B$5:$B$208, "mmm-yy"), [2]RUNS!$D$5:$D$208, "Not Found")</f>
        <v>27679.266932146005</v>
      </c>
      <c r="H272" cm="1">
        <f t="array" ref="H272">SUMPRODUCT(
    --(TEXT('[3]Global Weekly Stock (EWSuez'!$B$4:$B$2000,"mmm-yy")=TEXT(A272,"mmm-yy")),
    '[3]Global Weekly Stock (EWSuez'!$E$4:$E$2000)
/
SUMPRODUCT(
    --(TEXT('[3]Global Weekly Stock (EWSuez'!$B$4:$B$2000,"mmm-yy")=TEXT(A272,"mmm-yy"))
)</f>
        <v>13955.8</v>
      </c>
      <c r="I272">
        <f>_xlfn.XLOOKUP(A272,[1]ForwardDeriv!$D:$D,[1]ForwardDeriv!$AJ:$AJ)</f>
        <v>-0.6699999999999946</v>
      </c>
      <c r="J272" cm="1">
        <f t="array" ref="J272">_xlfn.XLOOKUP(TEXT(A272, "mmm-yy"), TEXT([2]GASOLINE!$B$5:$B$208, "mmm-yy"), [2]GASOLINE!$IR$5:$IR$208, "Not Found")</f>
        <v>255.17332852127225</v>
      </c>
      <c r="K272" cm="1">
        <f t="array" ref="K272">_xlfn.XLOOKUP(TEXT(A272, "mmm-yy"), TEXT([2]GASOLINE!$B$5:$B$208, "mmm-yy"), [2]GASOLINE!$IK$5:$IK$208, "Not Found")</f>
        <v>0</v>
      </c>
      <c r="L272">
        <f t="shared" si="4"/>
        <v>0</v>
      </c>
      <c r="M272" cm="1">
        <f t="array" ref="M272">_xlfn.XLOOKUP(TEXT(A272, "mmm-yy"), TEXT([2]GASOLINE!$B$5:$B$208, "mmm-yy"), [2]GASOLINE!$C$5:$C$208, "Not Found")</f>
        <v>6548.6576018105297</v>
      </c>
      <c r="N272" cm="1">
        <f t="array" ref="N272">_xlfn.XLOOKUP(TEXT(A272, "mmm-yy"), TEXT([2]RUNS!$B$5:$B$208, "mmm-yy"), [2]RUNS!$BM$5:$BM$208, "Not Found")</f>
        <v>0.82676257522293028</v>
      </c>
    </row>
    <row r="273" spans="1:14" x14ac:dyDescent="0.25">
      <c r="A273" s="1">
        <f>'[1]Global_Spot Prices'!$B1582</f>
        <v>42384</v>
      </c>
      <c r="B273">
        <f>_xlfn.XLOOKUP(A273,'[1]Global_Spot Prices'!$B:$B,'[1]Global_Spot Prices'!$BS:$BS)</f>
        <v>20.099999999999998</v>
      </c>
      <c r="C273">
        <f>_xlfn.XLOOKUP(A273,'[1]Global_Spot Prices'!$B:$B,'[1]Global_Spot Prices'!$E:$E)</f>
        <v>25.55</v>
      </c>
      <c r="D273">
        <f>_xlfn.XLOOKUP(A273,'[1]Global_Spot Prices'!$B:$B,'[1]Global_Spot Prices'!$D:$D)</f>
        <v>28.07</v>
      </c>
      <c r="E273">
        <f>_xlfn.XLOOKUP(A273,'[1]Global_Spot Prices'!$B:$B,'[1]Global_Spot Prices'!$H:$H)</f>
        <v>34.75</v>
      </c>
      <c r="F273">
        <f>_xlfn.XLOOKUP(A273,'[1]Global_Spot Prices'!$B:$B,'[1]Global_Spot Prices'!$I:$I)</f>
        <v>45.65</v>
      </c>
      <c r="G273" cm="1">
        <f t="array" ref="G273">_xlfn.XLOOKUP(TEXT(A273, "mmm-yy"), TEXT([2]RUNS!$B$5:$B$208, "mmm-yy"), [2]RUNS!$D$5:$D$208, "Not Found")</f>
        <v>27679.266932146005</v>
      </c>
      <c r="H273" cm="1">
        <f t="array" ref="H273">SUMPRODUCT(
    --(TEXT('[3]Global Weekly Stock (EWSuez'!$B$4:$B$2000,"mmm-yy")=TEXT(A273,"mmm-yy")),
    '[3]Global Weekly Stock (EWSuez'!$E$4:$E$2000)
/
SUMPRODUCT(
    --(TEXT('[3]Global Weekly Stock (EWSuez'!$B$4:$B$2000,"mmm-yy")=TEXT(A273,"mmm-yy"))
)</f>
        <v>13955.8</v>
      </c>
      <c r="I273">
        <f>_xlfn.XLOOKUP(A273,[1]ForwardDeriv!$D:$D,[1]ForwardDeriv!$AJ:$AJ)</f>
        <v>-0.78999999999999915</v>
      </c>
      <c r="J273" cm="1">
        <f t="array" ref="J273">_xlfn.XLOOKUP(TEXT(A273, "mmm-yy"), TEXT([2]GASOLINE!$B$5:$B$208, "mmm-yy"), [2]GASOLINE!$IR$5:$IR$208, "Not Found")</f>
        <v>255.17332852127225</v>
      </c>
      <c r="K273" cm="1">
        <f t="array" ref="K273">_xlfn.XLOOKUP(TEXT(A273, "mmm-yy"), TEXT([2]GASOLINE!$B$5:$B$208, "mmm-yy"), [2]GASOLINE!$IK$5:$IK$208, "Not Found")</f>
        <v>0</v>
      </c>
      <c r="L273">
        <f t="shared" si="4"/>
        <v>0</v>
      </c>
      <c r="M273" cm="1">
        <f t="array" ref="M273">_xlfn.XLOOKUP(TEXT(A273, "mmm-yy"), TEXT([2]GASOLINE!$B$5:$B$208, "mmm-yy"), [2]GASOLINE!$C$5:$C$208, "Not Found")</f>
        <v>6548.6576018105297</v>
      </c>
      <c r="N273" cm="1">
        <f t="array" ref="N273">_xlfn.XLOOKUP(TEXT(A273, "mmm-yy"), TEXT([2]RUNS!$B$5:$B$208, "mmm-yy"), [2]RUNS!$BM$5:$BM$208, "Not Found")</f>
        <v>0.82676257522293028</v>
      </c>
    </row>
    <row r="274" spans="1:14" x14ac:dyDescent="0.25">
      <c r="A274" s="1">
        <f>'[1]Global_Spot Prices'!$B1583</f>
        <v>42387</v>
      </c>
      <c r="B274">
        <f>_xlfn.XLOOKUP(A274,'[1]Global_Spot Prices'!$B:$B,'[1]Global_Spot Prices'!$BS:$BS)</f>
        <v>19.690000000000001</v>
      </c>
      <c r="C274">
        <f>_xlfn.XLOOKUP(A274,'[1]Global_Spot Prices'!$B:$B,'[1]Global_Spot Prices'!$E:$E)</f>
        <v>23.69</v>
      </c>
      <c r="D274">
        <f>_xlfn.XLOOKUP(A274,'[1]Global_Spot Prices'!$B:$B,'[1]Global_Spot Prices'!$D:$D)</f>
        <v>27.23</v>
      </c>
      <c r="E274">
        <f>_xlfn.XLOOKUP(A274,'[1]Global_Spot Prices'!$B:$B,'[1]Global_Spot Prices'!$H:$H)</f>
        <v>32.94</v>
      </c>
      <c r="F274">
        <f>_xlfn.XLOOKUP(A274,'[1]Global_Spot Prices'!$B:$B,'[1]Global_Spot Prices'!$I:$I)</f>
        <v>43.38</v>
      </c>
      <c r="G274" cm="1">
        <f t="array" ref="G274">_xlfn.XLOOKUP(TEXT(A274, "mmm-yy"), TEXT([2]RUNS!$B$5:$B$208, "mmm-yy"), [2]RUNS!$D$5:$D$208, "Not Found")</f>
        <v>27679.266932146005</v>
      </c>
      <c r="H274" cm="1">
        <f t="array" ref="H274">SUMPRODUCT(
    --(TEXT('[3]Global Weekly Stock (EWSuez'!$B$4:$B$2000,"mmm-yy")=TEXT(A274,"mmm-yy")),
    '[3]Global Weekly Stock (EWSuez'!$E$4:$E$2000)
/
SUMPRODUCT(
    --(TEXT('[3]Global Weekly Stock (EWSuez'!$B$4:$B$2000,"mmm-yy")=TEXT(A274,"mmm-yy"))
)</f>
        <v>13955.8</v>
      </c>
      <c r="I274">
        <f>_xlfn.XLOOKUP(A274,[1]ForwardDeriv!$D:$D,[1]ForwardDeriv!$AJ:$AJ)</f>
        <v>-0.78000000000000114</v>
      </c>
      <c r="J274" cm="1">
        <f t="array" ref="J274">_xlfn.XLOOKUP(TEXT(A274, "mmm-yy"), TEXT([2]GASOLINE!$B$5:$B$208, "mmm-yy"), [2]GASOLINE!$IR$5:$IR$208, "Not Found")</f>
        <v>255.17332852127225</v>
      </c>
      <c r="K274" cm="1">
        <f t="array" ref="K274">_xlfn.XLOOKUP(TEXT(A274, "mmm-yy"), TEXT([2]GASOLINE!$B$5:$B$208, "mmm-yy"), [2]GASOLINE!$IK$5:$IK$208, "Not Found")</f>
        <v>0</v>
      </c>
      <c r="L274">
        <f t="shared" si="4"/>
        <v>0</v>
      </c>
      <c r="M274" cm="1">
        <f t="array" ref="M274">_xlfn.XLOOKUP(TEXT(A274, "mmm-yy"), TEXT([2]GASOLINE!$B$5:$B$208, "mmm-yy"), [2]GASOLINE!$C$5:$C$208, "Not Found")</f>
        <v>6548.6576018105297</v>
      </c>
      <c r="N274" cm="1">
        <f t="array" ref="N274">_xlfn.XLOOKUP(TEXT(A274, "mmm-yy"), TEXT([2]RUNS!$B$5:$B$208, "mmm-yy"), [2]RUNS!$BM$5:$BM$208, "Not Found")</f>
        <v>0.82676257522293028</v>
      </c>
    </row>
    <row r="275" spans="1:14" x14ac:dyDescent="0.25">
      <c r="A275" s="1">
        <f>'[1]Global_Spot Prices'!$B1584</f>
        <v>42388</v>
      </c>
      <c r="B275">
        <f>_xlfn.XLOOKUP(A275,'[1]Global_Spot Prices'!$B:$B,'[1]Global_Spot Prices'!$BS:$BS)</f>
        <v>21.249999999999996</v>
      </c>
      <c r="C275">
        <f>_xlfn.XLOOKUP(A275,'[1]Global_Spot Prices'!$B:$B,'[1]Global_Spot Prices'!$E:$E)</f>
        <v>23.8</v>
      </c>
      <c r="D275">
        <f>_xlfn.XLOOKUP(A275,'[1]Global_Spot Prices'!$B:$B,'[1]Global_Spot Prices'!$D:$D)</f>
        <v>28.01</v>
      </c>
      <c r="E275">
        <f>_xlfn.XLOOKUP(A275,'[1]Global_Spot Prices'!$B:$B,'[1]Global_Spot Prices'!$H:$H)</f>
        <v>34.270000000000003</v>
      </c>
      <c r="F275">
        <f>_xlfn.XLOOKUP(A275,'[1]Global_Spot Prices'!$B:$B,'[1]Global_Spot Prices'!$I:$I)</f>
        <v>45.05</v>
      </c>
      <c r="G275" cm="1">
        <f t="array" ref="G275">_xlfn.XLOOKUP(TEXT(A275, "mmm-yy"), TEXT([2]RUNS!$B$5:$B$208, "mmm-yy"), [2]RUNS!$D$5:$D$208, "Not Found")</f>
        <v>27679.266932146005</v>
      </c>
      <c r="H275" cm="1">
        <f t="array" ref="H275">SUMPRODUCT(
    --(TEXT('[3]Global Weekly Stock (EWSuez'!$B$4:$B$2000,"mmm-yy")=TEXT(A275,"mmm-yy")),
    '[3]Global Weekly Stock (EWSuez'!$E$4:$E$2000)
/
SUMPRODUCT(
    --(TEXT('[3]Global Weekly Stock (EWSuez'!$B$4:$B$2000,"mmm-yy")=TEXT(A275,"mmm-yy"))
)</f>
        <v>13955.8</v>
      </c>
      <c r="I275">
        <f>_xlfn.XLOOKUP(A275,[1]ForwardDeriv!$D:$D,[1]ForwardDeriv!$AJ:$AJ)</f>
        <v>-0.67000000000000171</v>
      </c>
      <c r="J275" cm="1">
        <f t="array" ref="J275">_xlfn.XLOOKUP(TEXT(A275, "mmm-yy"), TEXT([2]GASOLINE!$B$5:$B$208, "mmm-yy"), [2]GASOLINE!$IR$5:$IR$208, "Not Found")</f>
        <v>255.17332852127225</v>
      </c>
      <c r="K275" cm="1">
        <f t="array" ref="K275">_xlfn.XLOOKUP(TEXT(A275, "mmm-yy"), TEXT([2]GASOLINE!$B$5:$B$208, "mmm-yy"), [2]GASOLINE!$IK$5:$IK$208, "Not Found")</f>
        <v>0</v>
      </c>
      <c r="L275">
        <f t="shared" si="4"/>
        <v>0</v>
      </c>
      <c r="M275" cm="1">
        <f t="array" ref="M275">_xlfn.XLOOKUP(TEXT(A275, "mmm-yy"), TEXT([2]GASOLINE!$B$5:$B$208, "mmm-yy"), [2]GASOLINE!$C$5:$C$208, "Not Found")</f>
        <v>6548.6576018105297</v>
      </c>
      <c r="N275" cm="1">
        <f t="array" ref="N275">_xlfn.XLOOKUP(TEXT(A275, "mmm-yy"), TEXT([2]RUNS!$B$5:$B$208, "mmm-yy"), [2]RUNS!$BM$5:$BM$208, "Not Found")</f>
        <v>0.82676257522293028</v>
      </c>
    </row>
    <row r="276" spans="1:14" x14ac:dyDescent="0.25">
      <c r="A276" s="1">
        <f>'[1]Global_Spot Prices'!$B1585</f>
        <v>42389</v>
      </c>
      <c r="B276">
        <f>_xlfn.XLOOKUP(A276,'[1]Global_Spot Prices'!$B:$B,'[1]Global_Spot Prices'!$BS:$BS)</f>
        <v>20.799999999999997</v>
      </c>
      <c r="C276">
        <f>_xlfn.XLOOKUP(A276,'[1]Global_Spot Prices'!$B:$B,'[1]Global_Spot Prices'!$E:$E)</f>
        <v>22.85</v>
      </c>
      <c r="D276">
        <f>_xlfn.XLOOKUP(A276,'[1]Global_Spot Prices'!$B:$B,'[1]Global_Spot Prices'!$D:$D)</f>
        <v>25.984999999999999</v>
      </c>
      <c r="E276">
        <f>_xlfn.XLOOKUP(A276,'[1]Global_Spot Prices'!$B:$B,'[1]Global_Spot Prices'!$H:$H)</f>
        <v>33.58</v>
      </c>
      <c r="F276">
        <f>_xlfn.XLOOKUP(A276,'[1]Global_Spot Prices'!$B:$B,'[1]Global_Spot Prices'!$I:$I)</f>
        <v>43.65</v>
      </c>
      <c r="G276" cm="1">
        <f t="array" ref="G276">_xlfn.XLOOKUP(TEXT(A276, "mmm-yy"), TEXT([2]RUNS!$B$5:$B$208, "mmm-yy"), [2]RUNS!$D$5:$D$208, "Not Found")</f>
        <v>27679.266932146005</v>
      </c>
      <c r="H276" cm="1">
        <f t="array" ref="H276">SUMPRODUCT(
    --(TEXT('[3]Global Weekly Stock (EWSuez'!$B$4:$B$2000,"mmm-yy")=TEXT(A276,"mmm-yy")),
    '[3]Global Weekly Stock (EWSuez'!$E$4:$E$2000)
/
SUMPRODUCT(
    --(TEXT('[3]Global Weekly Stock (EWSuez'!$B$4:$B$2000,"mmm-yy")=TEXT(A276,"mmm-yy"))
)</f>
        <v>13955.8</v>
      </c>
      <c r="I276">
        <f>_xlfn.XLOOKUP(A276,[1]ForwardDeriv!$D:$D,[1]ForwardDeriv!$AJ:$AJ)</f>
        <v>-0.70000000000000284</v>
      </c>
      <c r="J276" cm="1">
        <f t="array" ref="J276">_xlfn.XLOOKUP(TEXT(A276, "mmm-yy"), TEXT([2]GASOLINE!$B$5:$B$208, "mmm-yy"), [2]GASOLINE!$IR$5:$IR$208, "Not Found")</f>
        <v>255.17332852127225</v>
      </c>
      <c r="K276" cm="1">
        <f t="array" ref="K276">_xlfn.XLOOKUP(TEXT(A276, "mmm-yy"), TEXT([2]GASOLINE!$B$5:$B$208, "mmm-yy"), [2]GASOLINE!$IK$5:$IK$208, "Not Found")</f>
        <v>0</v>
      </c>
      <c r="L276">
        <f t="shared" si="4"/>
        <v>0</v>
      </c>
      <c r="M276" cm="1">
        <f t="array" ref="M276">_xlfn.XLOOKUP(TEXT(A276, "mmm-yy"), TEXT([2]GASOLINE!$B$5:$B$208, "mmm-yy"), [2]GASOLINE!$C$5:$C$208, "Not Found")</f>
        <v>6548.6576018105297</v>
      </c>
      <c r="N276" cm="1">
        <f t="array" ref="N276">_xlfn.XLOOKUP(TEXT(A276, "mmm-yy"), TEXT([2]RUNS!$B$5:$B$208, "mmm-yy"), [2]RUNS!$BM$5:$BM$208, "Not Found")</f>
        <v>0.82676257522293028</v>
      </c>
    </row>
    <row r="277" spans="1:14" x14ac:dyDescent="0.25">
      <c r="A277" s="1">
        <f>'[1]Global_Spot Prices'!$B1586</f>
        <v>42390</v>
      </c>
      <c r="B277">
        <f>_xlfn.XLOOKUP(A277,'[1]Global_Spot Prices'!$B:$B,'[1]Global_Spot Prices'!$BS:$BS)</f>
        <v>21.139999999999997</v>
      </c>
      <c r="C277">
        <f>_xlfn.XLOOKUP(A277,'[1]Global_Spot Prices'!$B:$B,'[1]Global_Spot Prices'!$E:$E)</f>
        <v>22.8</v>
      </c>
      <c r="D277">
        <f>_xlfn.XLOOKUP(A277,'[1]Global_Spot Prices'!$B:$B,'[1]Global_Spot Prices'!$D:$D)</f>
        <v>27.625</v>
      </c>
      <c r="E277">
        <f>_xlfn.XLOOKUP(A277,'[1]Global_Spot Prices'!$B:$B,'[1]Global_Spot Prices'!$H:$H)</f>
        <v>32.49</v>
      </c>
      <c r="F277">
        <f>_xlfn.XLOOKUP(A277,'[1]Global_Spot Prices'!$B:$B,'[1]Global_Spot Prices'!$I:$I)</f>
        <v>43.94</v>
      </c>
      <c r="G277" cm="1">
        <f t="array" ref="G277">_xlfn.XLOOKUP(TEXT(A277, "mmm-yy"), TEXT([2]RUNS!$B$5:$B$208, "mmm-yy"), [2]RUNS!$D$5:$D$208, "Not Found")</f>
        <v>27679.266932146005</v>
      </c>
      <c r="H277" cm="1">
        <f t="array" ref="H277">SUMPRODUCT(
    --(TEXT('[3]Global Weekly Stock (EWSuez'!$B$4:$B$2000,"mmm-yy")=TEXT(A277,"mmm-yy")),
    '[3]Global Weekly Stock (EWSuez'!$E$4:$E$2000)
/
SUMPRODUCT(
    --(TEXT('[3]Global Weekly Stock (EWSuez'!$B$4:$B$2000,"mmm-yy")=TEXT(A277,"mmm-yy"))
)</f>
        <v>13955.8</v>
      </c>
      <c r="I277">
        <f>_xlfn.XLOOKUP(A277,[1]ForwardDeriv!$D:$D,[1]ForwardDeriv!$AJ:$AJ)</f>
        <v>-0.72999999999999687</v>
      </c>
      <c r="J277" cm="1">
        <f t="array" ref="J277">_xlfn.XLOOKUP(TEXT(A277, "mmm-yy"), TEXT([2]GASOLINE!$B$5:$B$208, "mmm-yy"), [2]GASOLINE!$IR$5:$IR$208, "Not Found")</f>
        <v>255.17332852127225</v>
      </c>
      <c r="K277" cm="1">
        <f t="array" ref="K277">_xlfn.XLOOKUP(TEXT(A277, "mmm-yy"), TEXT([2]GASOLINE!$B$5:$B$208, "mmm-yy"), [2]GASOLINE!$IK$5:$IK$208, "Not Found")</f>
        <v>0</v>
      </c>
      <c r="L277">
        <f t="shared" si="4"/>
        <v>0</v>
      </c>
      <c r="M277" cm="1">
        <f t="array" ref="M277">_xlfn.XLOOKUP(TEXT(A277, "mmm-yy"), TEXT([2]GASOLINE!$B$5:$B$208, "mmm-yy"), [2]GASOLINE!$C$5:$C$208, "Not Found")</f>
        <v>6548.6576018105297</v>
      </c>
      <c r="N277" cm="1">
        <f t="array" ref="N277">_xlfn.XLOOKUP(TEXT(A277, "mmm-yy"), TEXT([2]RUNS!$B$5:$B$208, "mmm-yy"), [2]RUNS!$BM$5:$BM$208, "Not Found")</f>
        <v>0.82676257522293028</v>
      </c>
    </row>
    <row r="278" spans="1:14" x14ac:dyDescent="0.25">
      <c r="A278" s="1">
        <f>'[1]Global_Spot Prices'!$B1587</f>
        <v>42391</v>
      </c>
      <c r="B278">
        <f>_xlfn.XLOOKUP(A278,'[1]Global_Spot Prices'!$B:$B,'[1]Global_Spot Prices'!$BS:$BS)</f>
        <v>21.409999999999997</v>
      </c>
      <c r="C278">
        <f>_xlfn.XLOOKUP(A278,'[1]Global_Spot Prices'!$B:$B,'[1]Global_Spot Prices'!$E:$E)</f>
        <v>25.07</v>
      </c>
      <c r="D278">
        <f>_xlfn.XLOOKUP(A278,'[1]Global_Spot Prices'!$B:$B,'[1]Global_Spot Prices'!$D:$D)</f>
        <v>30.21</v>
      </c>
      <c r="E278">
        <f>_xlfn.XLOOKUP(A278,'[1]Global_Spot Prices'!$B:$B,'[1]Global_Spot Prices'!$H:$H)</f>
        <v>34.57</v>
      </c>
      <c r="F278">
        <f>_xlfn.XLOOKUP(A278,'[1]Global_Spot Prices'!$B:$B,'[1]Global_Spot Prices'!$I:$I)</f>
        <v>46.48</v>
      </c>
      <c r="G278" cm="1">
        <f t="array" ref="G278">_xlfn.XLOOKUP(TEXT(A278, "mmm-yy"), TEXT([2]RUNS!$B$5:$B$208, "mmm-yy"), [2]RUNS!$D$5:$D$208, "Not Found")</f>
        <v>27679.266932146005</v>
      </c>
      <c r="H278" cm="1">
        <f t="array" ref="H278">SUMPRODUCT(
    --(TEXT('[3]Global Weekly Stock (EWSuez'!$B$4:$B$2000,"mmm-yy")=TEXT(A278,"mmm-yy")),
    '[3]Global Weekly Stock (EWSuez'!$E$4:$E$2000)
/
SUMPRODUCT(
    --(TEXT('[3]Global Weekly Stock (EWSuez'!$B$4:$B$2000,"mmm-yy")=TEXT(A278,"mmm-yy"))
)</f>
        <v>13955.8</v>
      </c>
      <c r="I278">
        <f>_xlfn.XLOOKUP(A278,[1]ForwardDeriv!$D:$D,[1]ForwardDeriv!$AJ:$AJ)</f>
        <v>-0.64999999999999858</v>
      </c>
      <c r="J278" cm="1">
        <f t="array" ref="J278">_xlfn.XLOOKUP(TEXT(A278, "mmm-yy"), TEXT([2]GASOLINE!$B$5:$B$208, "mmm-yy"), [2]GASOLINE!$IR$5:$IR$208, "Not Found")</f>
        <v>255.17332852127225</v>
      </c>
      <c r="K278" cm="1">
        <f t="array" ref="K278">_xlfn.XLOOKUP(TEXT(A278, "mmm-yy"), TEXT([2]GASOLINE!$B$5:$B$208, "mmm-yy"), [2]GASOLINE!$IK$5:$IK$208, "Not Found")</f>
        <v>0</v>
      </c>
      <c r="L278">
        <f t="shared" si="4"/>
        <v>0</v>
      </c>
      <c r="M278" cm="1">
        <f t="array" ref="M278">_xlfn.XLOOKUP(TEXT(A278, "mmm-yy"), TEXT([2]GASOLINE!$B$5:$B$208, "mmm-yy"), [2]GASOLINE!$C$5:$C$208, "Not Found")</f>
        <v>6548.6576018105297</v>
      </c>
      <c r="N278" cm="1">
        <f t="array" ref="N278">_xlfn.XLOOKUP(TEXT(A278, "mmm-yy"), TEXT([2]RUNS!$B$5:$B$208, "mmm-yy"), [2]RUNS!$BM$5:$BM$208, "Not Found")</f>
        <v>0.82676257522293028</v>
      </c>
    </row>
    <row r="279" spans="1:14" x14ac:dyDescent="0.25">
      <c r="A279" s="1">
        <f>'[1]Global_Spot Prices'!$B1588</f>
        <v>42394</v>
      </c>
      <c r="B279">
        <f>_xlfn.XLOOKUP(A279,'[1]Global_Spot Prices'!$B:$B,'[1]Global_Spot Prices'!$BS:$BS)</f>
        <v>20.77</v>
      </c>
      <c r="C279">
        <f>_xlfn.XLOOKUP(A279,'[1]Global_Spot Prices'!$B:$B,'[1]Global_Spot Prices'!$E:$E)</f>
        <v>26.12</v>
      </c>
      <c r="D279">
        <f>_xlfn.XLOOKUP(A279,'[1]Global_Spot Prices'!$B:$B,'[1]Global_Spot Prices'!$D:$D)</f>
        <v>29.83</v>
      </c>
      <c r="E279">
        <f>_xlfn.XLOOKUP(A279,'[1]Global_Spot Prices'!$B:$B,'[1]Global_Spot Prices'!$H:$H)</f>
        <v>34.35</v>
      </c>
      <c r="F279">
        <f>_xlfn.XLOOKUP(A279,'[1]Global_Spot Prices'!$B:$B,'[1]Global_Spot Prices'!$I:$I)</f>
        <v>46.89</v>
      </c>
      <c r="G279" cm="1">
        <f t="array" ref="G279">_xlfn.XLOOKUP(TEXT(A279, "mmm-yy"), TEXT([2]RUNS!$B$5:$B$208, "mmm-yy"), [2]RUNS!$D$5:$D$208, "Not Found")</f>
        <v>27679.266932146005</v>
      </c>
      <c r="H279" cm="1">
        <f t="array" ref="H279">SUMPRODUCT(
    --(TEXT('[3]Global Weekly Stock (EWSuez'!$B$4:$B$2000,"mmm-yy")=TEXT(A279,"mmm-yy")),
    '[3]Global Weekly Stock (EWSuez'!$E$4:$E$2000)
/
SUMPRODUCT(
    --(TEXT('[3]Global Weekly Stock (EWSuez'!$B$4:$B$2000,"mmm-yy")=TEXT(A279,"mmm-yy"))
)</f>
        <v>13955.8</v>
      </c>
      <c r="I279">
        <f>_xlfn.XLOOKUP(A279,[1]ForwardDeriv!$D:$D,[1]ForwardDeriv!$AJ:$AJ)</f>
        <v>-0.69999999999999574</v>
      </c>
      <c r="J279" cm="1">
        <f t="array" ref="J279">_xlfn.XLOOKUP(TEXT(A279, "mmm-yy"), TEXT([2]GASOLINE!$B$5:$B$208, "mmm-yy"), [2]GASOLINE!$IR$5:$IR$208, "Not Found")</f>
        <v>255.17332852127225</v>
      </c>
      <c r="K279" cm="1">
        <f t="array" ref="K279">_xlfn.XLOOKUP(TEXT(A279, "mmm-yy"), TEXT([2]GASOLINE!$B$5:$B$208, "mmm-yy"), [2]GASOLINE!$IK$5:$IK$208, "Not Found")</f>
        <v>0</v>
      </c>
      <c r="L279">
        <f t="shared" si="4"/>
        <v>0</v>
      </c>
      <c r="M279" cm="1">
        <f t="array" ref="M279">_xlfn.XLOOKUP(TEXT(A279, "mmm-yy"), TEXT([2]GASOLINE!$B$5:$B$208, "mmm-yy"), [2]GASOLINE!$C$5:$C$208, "Not Found")</f>
        <v>6548.6576018105297</v>
      </c>
      <c r="N279" cm="1">
        <f t="array" ref="N279">_xlfn.XLOOKUP(TEXT(A279, "mmm-yy"), TEXT([2]RUNS!$B$5:$B$208, "mmm-yy"), [2]RUNS!$BM$5:$BM$208, "Not Found")</f>
        <v>0.82676257522293028</v>
      </c>
    </row>
    <row r="280" spans="1:14" x14ac:dyDescent="0.25">
      <c r="A280" s="1">
        <f>'[1]Global_Spot Prices'!$B1589</f>
        <v>42395</v>
      </c>
      <c r="B280">
        <f>_xlfn.XLOOKUP(A280,'[1]Global_Spot Prices'!$B:$B,'[1]Global_Spot Prices'!$BS:$BS)</f>
        <v>19.68</v>
      </c>
      <c r="C280">
        <f>_xlfn.XLOOKUP(A280,'[1]Global_Spot Prices'!$B:$B,'[1]Global_Spot Prices'!$E:$E)</f>
        <v>24.5</v>
      </c>
      <c r="D280">
        <f>_xlfn.XLOOKUP(A280,'[1]Global_Spot Prices'!$B:$B,'[1]Global_Spot Prices'!$D:$D)</f>
        <v>30.99</v>
      </c>
      <c r="E280">
        <f>_xlfn.XLOOKUP(A280,'[1]Global_Spot Prices'!$B:$B,'[1]Global_Spot Prices'!$H:$H)</f>
        <v>30.74</v>
      </c>
      <c r="F280">
        <f>_xlfn.XLOOKUP(A280,'[1]Global_Spot Prices'!$B:$B,'[1]Global_Spot Prices'!$I:$I)</f>
        <v>44.18</v>
      </c>
      <c r="G280" cm="1">
        <f t="array" ref="G280">_xlfn.XLOOKUP(TEXT(A280, "mmm-yy"), TEXT([2]RUNS!$B$5:$B$208, "mmm-yy"), [2]RUNS!$D$5:$D$208, "Not Found")</f>
        <v>27679.266932146005</v>
      </c>
      <c r="H280" cm="1">
        <f t="array" ref="H280">SUMPRODUCT(
    --(TEXT('[3]Global Weekly Stock (EWSuez'!$B$4:$B$2000,"mmm-yy")=TEXT(A280,"mmm-yy")),
    '[3]Global Weekly Stock (EWSuez'!$E$4:$E$2000)
/
SUMPRODUCT(
    --(TEXT('[3]Global Weekly Stock (EWSuez'!$B$4:$B$2000,"mmm-yy")=TEXT(A280,"mmm-yy"))
)</f>
        <v>13955.8</v>
      </c>
      <c r="I280">
        <f>_xlfn.XLOOKUP(A280,[1]ForwardDeriv!$D:$D,[1]ForwardDeriv!$AJ:$AJ)</f>
        <v>-0.75</v>
      </c>
      <c r="J280" cm="1">
        <f t="array" ref="J280">_xlfn.XLOOKUP(TEXT(A280, "mmm-yy"), TEXT([2]GASOLINE!$B$5:$B$208, "mmm-yy"), [2]GASOLINE!$IR$5:$IR$208, "Not Found")</f>
        <v>255.17332852127225</v>
      </c>
      <c r="K280" cm="1">
        <f t="array" ref="K280">_xlfn.XLOOKUP(TEXT(A280, "mmm-yy"), TEXT([2]GASOLINE!$B$5:$B$208, "mmm-yy"), [2]GASOLINE!$IK$5:$IK$208, "Not Found")</f>
        <v>0</v>
      </c>
      <c r="L280">
        <f t="shared" si="4"/>
        <v>0</v>
      </c>
      <c r="M280" cm="1">
        <f t="array" ref="M280">_xlfn.XLOOKUP(TEXT(A280, "mmm-yy"), TEXT([2]GASOLINE!$B$5:$B$208, "mmm-yy"), [2]GASOLINE!$C$5:$C$208, "Not Found")</f>
        <v>6548.6576018105297</v>
      </c>
      <c r="N280" cm="1">
        <f t="array" ref="N280">_xlfn.XLOOKUP(TEXT(A280, "mmm-yy"), TEXT([2]RUNS!$B$5:$B$208, "mmm-yy"), [2]RUNS!$BM$5:$BM$208, "Not Found")</f>
        <v>0.82676257522293028</v>
      </c>
    </row>
    <row r="281" spans="1:14" x14ac:dyDescent="0.25">
      <c r="A281" s="1">
        <f>'[1]Global_Spot Prices'!$B1590</f>
        <v>42396</v>
      </c>
      <c r="B281">
        <f>_xlfn.XLOOKUP(A281,'[1]Global_Spot Prices'!$B:$B,'[1]Global_Spot Prices'!$BS:$BS)</f>
        <v>18.190000000000001</v>
      </c>
      <c r="C281">
        <f>_xlfn.XLOOKUP(A281,'[1]Global_Spot Prices'!$B:$B,'[1]Global_Spot Prices'!$E:$E)</f>
        <v>26.3</v>
      </c>
      <c r="D281">
        <f>_xlfn.XLOOKUP(A281,'[1]Global_Spot Prices'!$B:$B,'[1]Global_Spot Prices'!$D:$D)</f>
        <v>31.515000000000001</v>
      </c>
      <c r="E281">
        <f>_xlfn.XLOOKUP(A281,'[1]Global_Spot Prices'!$B:$B,'[1]Global_Spot Prices'!$H:$H)</f>
        <v>31.4</v>
      </c>
      <c r="F281">
        <f>_xlfn.XLOOKUP(A281,'[1]Global_Spot Prices'!$B:$B,'[1]Global_Spot Prices'!$I:$I)</f>
        <v>44.49</v>
      </c>
      <c r="G281" cm="1">
        <f t="array" ref="G281">_xlfn.XLOOKUP(TEXT(A281, "mmm-yy"), TEXT([2]RUNS!$B$5:$B$208, "mmm-yy"), [2]RUNS!$D$5:$D$208, "Not Found")</f>
        <v>27679.266932146005</v>
      </c>
      <c r="H281" cm="1">
        <f t="array" ref="H281">SUMPRODUCT(
    --(TEXT('[3]Global Weekly Stock (EWSuez'!$B$4:$B$2000,"mmm-yy")=TEXT(A281,"mmm-yy")),
    '[3]Global Weekly Stock (EWSuez'!$E$4:$E$2000)
/
SUMPRODUCT(
    --(TEXT('[3]Global Weekly Stock (EWSuez'!$B$4:$B$2000,"mmm-yy")=TEXT(A281,"mmm-yy"))
)</f>
        <v>13955.8</v>
      </c>
      <c r="I281">
        <f>_xlfn.XLOOKUP(A281,[1]ForwardDeriv!$D:$D,[1]ForwardDeriv!$AJ:$AJ)</f>
        <v>-0.84999999999999432</v>
      </c>
      <c r="J281" cm="1">
        <f t="array" ref="J281">_xlfn.XLOOKUP(TEXT(A281, "mmm-yy"), TEXT([2]GASOLINE!$B$5:$B$208, "mmm-yy"), [2]GASOLINE!$IR$5:$IR$208, "Not Found")</f>
        <v>255.17332852127225</v>
      </c>
      <c r="K281" cm="1">
        <f t="array" ref="K281">_xlfn.XLOOKUP(TEXT(A281, "mmm-yy"), TEXT([2]GASOLINE!$B$5:$B$208, "mmm-yy"), [2]GASOLINE!$IK$5:$IK$208, "Not Found")</f>
        <v>0</v>
      </c>
      <c r="L281">
        <f t="shared" si="4"/>
        <v>0</v>
      </c>
      <c r="M281" cm="1">
        <f t="array" ref="M281">_xlfn.XLOOKUP(TEXT(A281, "mmm-yy"), TEXT([2]GASOLINE!$B$5:$B$208, "mmm-yy"), [2]GASOLINE!$C$5:$C$208, "Not Found")</f>
        <v>6548.6576018105297</v>
      </c>
      <c r="N281" cm="1">
        <f t="array" ref="N281">_xlfn.XLOOKUP(TEXT(A281, "mmm-yy"), TEXT([2]RUNS!$B$5:$B$208, "mmm-yy"), [2]RUNS!$BM$5:$BM$208, "Not Found")</f>
        <v>0.82676257522293028</v>
      </c>
    </row>
    <row r="282" spans="1:14" x14ac:dyDescent="0.25">
      <c r="A282" s="1">
        <f>'[1]Global_Spot Prices'!$B1591</f>
        <v>42397</v>
      </c>
      <c r="B282">
        <f>_xlfn.XLOOKUP(A282,'[1]Global_Spot Prices'!$B:$B,'[1]Global_Spot Prices'!$BS:$BS)</f>
        <v>17.03</v>
      </c>
      <c r="C282">
        <f>_xlfn.XLOOKUP(A282,'[1]Global_Spot Prices'!$B:$B,'[1]Global_Spot Prices'!$E:$E)</f>
        <v>28.4</v>
      </c>
      <c r="D282">
        <f>_xlfn.XLOOKUP(A282,'[1]Global_Spot Prices'!$B:$B,'[1]Global_Spot Prices'!$D:$D)</f>
        <v>33.064999999999998</v>
      </c>
      <c r="E282">
        <f>_xlfn.XLOOKUP(A282,'[1]Global_Spot Prices'!$B:$B,'[1]Global_Spot Prices'!$H:$H)</f>
        <v>34.08</v>
      </c>
      <c r="F282">
        <f>_xlfn.XLOOKUP(A282,'[1]Global_Spot Prices'!$B:$B,'[1]Global_Spot Prices'!$I:$I)</f>
        <v>45.43</v>
      </c>
      <c r="G282" cm="1">
        <f t="array" ref="G282">_xlfn.XLOOKUP(TEXT(A282, "mmm-yy"), TEXT([2]RUNS!$B$5:$B$208, "mmm-yy"), [2]RUNS!$D$5:$D$208, "Not Found")</f>
        <v>27679.266932146005</v>
      </c>
      <c r="H282" cm="1">
        <f t="array" ref="H282">SUMPRODUCT(
    --(TEXT('[3]Global Weekly Stock (EWSuez'!$B$4:$B$2000,"mmm-yy")=TEXT(A282,"mmm-yy")),
    '[3]Global Weekly Stock (EWSuez'!$E$4:$E$2000)
/
SUMPRODUCT(
    --(TEXT('[3]Global Weekly Stock (EWSuez'!$B$4:$B$2000,"mmm-yy")=TEXT(A282,"mmm-yy"))
)</f>
        <v>13955.8</v>
      </c>
      <c r="I282">
        <f>_xlfn.XLOOKUP(A282,[1]ForwardDeriv!$D:$D,[1]ForwardDeriv!$AJ:$AJ)</f>
        <v>-0.85000000000000142</v>
      </c>
      <c r="J282" cm="1">
        <f t="array" ref="J282">_xlfn.XLOOKUP(TEXT(A282, "mmm-yy"), TEXT([2]GASOLINE!$B$5:$B$208, "mmm-yy"), [2]GASOLINE!$IR$5:$IR$208, "Not Found")</f>
        <v>255.17332852127225</v>
      </c>
      <c r="K282" cm="1">
        <f t="array" ref="K282">_xlfn.XLOOKUP(TEXT(A282, "mmm-yy"), TEXT([2]GASOLINE!$B$5:$B$208, "mmm-yy"), [2]GASOLINE!$IK$5:$IK$208, "Not Found")</f>
        <v>0</v>
      </c>
      <c r="L282">
        <f t="shared" si="4"/>
        <v>0</v>
      </c>
      <c r="M282" cm="1">
        <f t="array" ref="M282">_xlfn.XLOOKUP(TEXT(A282, "mmm-yy"), TEXT([2]GASOLINE!$B$5:$B$208, "mmm-yy"), [2]GASOLINE!$C$5:$C$208, "Not Found")</f>
        <v>6548.6576018105297</v>
      </c>
      <c r="N282" cm="1">
        <f t="array" ref="N282">_xlfn.XLOOKUP(TEXT(A282, "mmm-yy"), TEXT([2]RUNS!$B$5:$B$208, "mmm-yy"), [2]RUNS!$BM$5:$BM$208, "Not Found")</f>
        <v>0.82676257522293028</v>
      </c>
    </row>
    <row r="283" spans="1:14" x14ac:dyDescent="0.25">
      <c r="A283" s="1">
        <f>'[1]Global_Spot Prices'!$B1592</f>
        <v>42398</v>
      </c>
      <c r="B283">
        <f>_xlfn.XLOOKUP(A283,'[1]Global_Spot Prices'!$B:$B,'[1]Global_Spot Prices'!$BS:$BS)</f>
        <v>17.010000000000002</v>
      </c>
      <c r="C283">
        <f>_xlfn.XLOOKUP(A283,'[1]Global_Spot Prices'!$B:$B,'[1]Global_Spot Prices'!$E:$E)</f>
        <v>30.26</v>
      </c>
      <c r="D283">
        <f>_xlfn.XLOOKUP(A283,'[1]Global_Spot Prices'!$B:$B,'[1]Global_Spot Prices'!$D:$D)</f>
        <v>33.11</v>
      </c>
      <c r="E283">
        <f>_xlfn.XLOOKUP(A283,'[1]Global_Spot Prices'!$B:$B,'[1]Global_Spot Prices'!$H:$H)</f>
        <v>36.49</v>
      </c>
      <c r="F283">
        <f>_xlfn.XLOOKUP(A283,'[1]Global_Spot Prices'!$B:$B,'[1]Global_Spot Prices'!$I:$I)</f>
        <v>47.27</v>
      </c>
      <c r="G283" cm="1">
        <f t="array" ref="G283">_xlfn.XLOOKUP(TEXT(A283, "mmm-yy"), TEXT([2]RUNS!$B$5:$B$208, "mmm-yy"), [2]RUNS!$D$5:$D$208, "Not Found")</f>
        <v>27679.266932146005</v>
      </c>
      <c r="H283" cm="1">
        <f t="array" ref="H283">SUMPRODUCT(
    --(TEXT('[3]Global Weekly Stock (EWSuez'!$B$4:$B$2000,"mmm-yy")=TEXT(A283,"mmm-yy")),
    '[3]Global Weekly Stock (EWSuez'!$E$4:$E$2000)
/
SUMPRODUCT(
    --(TEXT('[3]Global Weekly Stock (EWSuez'!$B$4:$B$2000,"mmm-yy")=TEXT(A283,"mmm-yy"))
)</f>
        <v>13955.8</v>
      </c>
      <c r="I283">
        <f>_xlfn.XLOOKUP(A283,[1]ForwardDeriv!$D:$D,[1]ForwardDeriv!$AJ:$AJ)</f>
        <v>-0.93999999999999773</v>
      </c>
      <c r="J283" cm="1">
        <f t="array" ref="J283">_xlfn.XLOOKUP(TEXT(A283, "mmm-yy"), TEXT([2]GASOLINE!$B$5:$B$208, "mmm-yy"), [2]GASOLINE!$IR$5:$IR$208, "Not Found")</f>
        <v>255.17332852127225</v>
      </c>
      <c r="K283" cm="1">
        <f t="array" ref="K283">_xlfn.XLOOKUP(TEXT(A283, "mmm-yy"), TEXT([2]GASOLINE!$B$5:$B$208, "mmm-yy"), [2]GASOLINE!$IK$5:$IK$208, "Not Found")</f>
        <v>0</v>
      </c>
      <c r="L283">
        <f t="shared" si="4"/>
        <v>0</v>
      </c>
      <c r="M283" cm="1">
        <f t="array" ref="M283">_xlfn.XLOOKUP(TEXT(A283, "mmm-yy"), TEXT([2]GASOLINE!$B$5:$B$208, "mmm-yy"), [2]GASOLINE!$C$5:$C$208, "Not Found")</f>
        <v>6548.6576018105297</v>
      </c>
      <c r="N283" cm="1">
        <f t="array" ref="N283">_xlfn.XLOOKUP(TEXT(A283, "mmm-yy"), TEXT([2]RUNS!$B$5:$B$208, "mmm-yy"), [2]RUNS!$BM$5:$BM$208, "Not Found")</f>
        <v>0.82676257522293028</v>
      </c>
    </row>
    <row r="284" spans="1:14" x14ac:dyDescent="0.25">
      <c r="A284" s="1">
        <f>'[1]Global_Spot Prices'!$B1593</f>
        <v>42401</v>
      </c>
      <c r="B284">
        <f>_xlfn.XLOOKUP(A284,'[1]Global_Spot Prices'!$B:$B,'[1]Global_Spot Prices'!$BS:$BS)</f>
        <v>15.469999999999999</v>
      </c>
      <c r="C284">
        <f>_xlfn.XLOOKUP(A284,'[1]Global_Spot Prices'!$B:$B,'[1]Global_Spot Prices'!$E:$E)</f>
        <v>30.92</v>
      </c>
      <c r="D284">
        <f>_xlfn.XLOOKUP(A284,'[1]Global_Spot Prices'!$B:$B,'[1]Global_Spot Prices'!$D:$D)</f>
        <v>32.74</v>
      </c>
      <c r="E284">
        <f>_xlfn.XLOOKUP(A284,'[1]Global_Spot Prices'!$B:$B,'[1]Global_Spot Prices'!$H:$H)</f>
        <v>36.64</v>
      </c>
      <c r="F284">
        <f>_xlfn.XLOOKUP(A284,'[1]Global_Spot Prices'!$B:$B,'[1]Global_Spot Prices'!$I:$I)</f>
        <v>46.39</v>
      </c>
      <c r="G284" cm="1">
        <f t="array" ref="G284">_xlfn.XLOOKUP(TEXT(A284, "mmm-yy"), TEXT([2]RUNS!$B$5:$B$208, "mmm-yy"), [2]RUNS!$D$5:$D$208, "Not Found")</f>
        <v>27652.591075534958</v>
      </c>
      <c r="H284" cm="1">
        <f t="array" ref="H284">SUMPRODUCT(
    --(TEXT('[3]Global Weekly Stock (EWSuez'!$B$4:$B$2000,"mmm-yy")=TEXT(A284,"mmm-yy")),
    '[3]Global Weekly Stock (EWSuez'!$E$4:$E$2000)
/
SUMPRODUCT(
    --(TEXT('[3]Global Weekly Stock (EWSuez'!$B$4:$B$2000,"mmm-yy")=TEXT(A284,"mmm-yy"))
)</f>
        <v>14829</v>
      </c>
      <c r="I284">
        <f>_xlfn.XLOOKUP(A284,[1]ForwardDeriv!$D:$D,[1]ForwardDeriv!$AJ:$AJ)</f>
        <v>-1.0500000000000043</v>
      </c>
      <c r="J284" cm="1">
        <f t="array" ref="J284">_xlfn.XLOOKUP(TEXT(A284, "mmm-yy"), TEXT([2]GASOLINE!$B$5:$B$208, "mmm-yy"), [2]GASOLINE!$IR$5:$IR$208, "Not Found")</f>
        <v>198.53292187036922</v>
      </c>
      <c r="K284" cm="1">
        <f t="array" ref="K284">_xlfn.XLOOKUP(TEXT(A284, "mmm-yy"), TEXT([2]GASOLINE!$B$5:$B$208, "mmm-yy"), [2]GASOLINE!$IK$5:$IK$208, "Not Found")</f>
        <v>0</v>
      </c>
      <c r="L284">
        <f t="shared" si="4"/>
        <v>0</v>
      </c>
      <c r="M284" cm="1">
        <f t="array" ref="M284">_xlfn.XLOOKUP(TEXT(A284, "mmm-yy"), TEXT([2]GASOLINE!$B$5:$B$208, "mmm-yy"), [2]GASOLINE!$C$5:$C$208, "Not Found")</f>
        <v>6797.3380687659619</v>
      </c>
      <c r="N284" cm="1">
        <f t="array" ref="N284">_xlfn.XLOOKUP(TEXT(A284, "mmm-yy"), TEXT([2]RUNS!$B$5:$B$208, "mmm-yy"), [2]RUNS!$BM$5:$BM$208, "Not Found")</f>
        <v>0.81913943840248593</v>
      </c>
    </row>
    <row r="285" spans="1:14" x14ac:dyDescent="0.25">
      <c r="A285" s="1">
        <f>'[1]Global_Spot Prices'!$B1594</f>
        <v>42402</v>
      </c>
      <c r="B285">
        <f>_xlfn.XLOOKUP(A285,'[1]Global_Spot Prices'!$B:$B,'[1]Global_Spot Prices'!$BS:$BS)</f>
        <v>14.469999999999999</v>
      </c>
      <c r="C285">
        <f>_xlfn.XLOOKUP(A285,'[1]Global_Spot Prices'!$B:$B,'[1]Global_Spot Prices'!$E:$E)</f>
        <v>29.35</v>
      </c>
      <c r="D285">
        <f>_xlfn.XLOOKUP(A285,'[1]Global_Spot Prices'!$B:$B,'[1]Global_Spot Prices'!$D:$D)</f>
        <v>31.34</v>
      </c>
      <c r="E285">
        <f>_xlfn.XLOOKUP(A285,'[1]Global_Spot Prices'!$B:$B,'[1]Global_Spot Prices'!$H:$H)</f>
        <v>35.130000000000003</v>
      </c>
      <c r="F285">
        <f>_xlfn.XLOOKUP(A285,'[1]Global_Spot Prices'!$B:$B,'[1]Global_Spot Prices'!$I:$I)</f>
        <v>43.82</v>
      </c>
      <c r="G285" cm="1">
        <f t="array" ref="G285">_xlfn.XLOOKUP(TEXT(A285, "mmm-yy"), TEXT([2]RUNS!$B$5:$B$208, "mmm-yy"), [2]RUNS!$D$5:$D$208, "Not Found")</f>
        <v>27652.591075534958</v>
      </c>
      <c r="H285" cm="1">
        <f t="array" ref="H285">SUMPRODUCT(
    --(TEXT('[3]Global Weekly Stock (EWSuez'!$B$4:$B$2000,"mmm-yy")=TEXT(A285,"mmm-yy")),
    '[3]Global Weekly Stock (EWSuez'!$E$4:$E$2000)
/
SUMPRODUCT(
    --(TEXT('[3]Global Weekly Stock (EWSuez'!$B$4:$B$2000,"mmm-yy")=TEXT(A285,"mmm-yy"))
)</f>
        <v>14829</v>
      </c>
      <c r="I285">
        <f>_xlfn.XLOOKUP(A285,[1]ForwardDeriv!$D:$D,[1]ForwardDeriv!$AJ:$AJ)</f>
        <v>-1.1500000000000057</v>
      </c>
      <c r="J285" cm="1">
        <f t="array" ref="J285">_xlfn.XLOOKUP(TEXT(A285, "mmm-yy"), TEXT([2]GASOLINE!$B$5:$B$208, "mmm-yy"), [2]GASOLINE!$IR$5:$IR$208, "Not Found")</f>
        <v>198.53292187036922</v>
      </c>
      <c r="K285" cm="1">
        <f t="array" ref="K285">_xlfn.XLOOKUP(TEXT(A285, "mmm-yy"), TEXT([2]GASOLINE!$B$5:$B$208, "mmm-yy"), [2]GASOLINE!$IK$5:$IK$208, "Not Found")</f>
        <v>0</v>
      </c>
      <c r="L285">
        <f t="shared" si="4"/>
        <v>0</v>
      </c>
      <c r="M285" cm="1">
        <f t="array" ref="M285">_xlfn.XLOOKUP(TEXT(A285, "mmm-yy"), TEXT([2]GASOLINE!$B$5:$B$208, "mmm-yy"), [2]GASOLINE!$C$5:$C$208, "Not Found")</f>
        <v>6797.3380687659619</v>
      </c>
      <c r="N285" cm="1">
        <f t="array" ref="N285">_xlfn.XLOOKUP(TEXT(A285, "mmm-yy"), TEXT([2]RUNS!$B$5:$B$208, "mmm-yy"), [2]RUNS!$BM$5:$BM$208, "Not Found")</f>
        <v>0.81913943840248593</v>
      </c>
    </row>
    <row r="286" spans="1:14" x14ac:dyDescent="0.25">
      <c r="A286" s="1">
        <f>'[1]Global_Spot Prices'!$B1595</f>
        <v>42403</v>
      </c>
      <c r="B286">
        <f>_xlfn.XLOOKUP(A286,'[1]Global_Spot Prices'!$B:$B,'[1]Global_Spot Prices'!$BS:$BS)</f>
        <v>11.05</v>
      </c>
      <c r="C286">
        <f>_xlfn.XLOOKUP(A286,'[1]Global_Spot Prices'!$B:$B,'[1]Global_Spot Prices'!$E:$E)</f>
        <v>28.8</v>
      </c>
      <c r="D286">
        <f>_xlfn.XLOOKUP(A286,'[1]Global_Spot Prices'!$B:$B,'[1]Global_Spot Prices'!$D:$D)</f>
        <v>32.524999999999999</v>
      </c>
      <c r="E286">
        <f>_xlfn.XLOOKUP(A286,'[1]Global_Spot Prices'!$B:$B,'[1]Global_Spot Prices'!$H:$H)</f>
        <v>32.47</v>
      </c>
      <c r="F286">
        <f>_xlfn.XLOOKUP(A286,'[1]Global_Spot Prices'!$B:$B,'[1]Global_Spot Prices'!$I:$I)</f>
        <v>39.85</v>
      </c>
      <c r="G286" cm="1">
        <f t="array" ref="G286">_xlfn.XLOOKUP(TEXT(A286, "mmm-yy"), TEXT([2]RUNS!$B$5:$B$208, "mmm-yy"), [2]RUNS!$D$5:$D$208, "Not Found")</f>
        <v>27652.591075534958</v>
      </c>
      <c r="H286" cm="1">
        <f t="array" ref="H286">SUMPRODUCT(
    --(TEXT('[3]Global Weekly Stock (EWSuez'!$B$4:$B$2000,"mmm-yy")=TEXT(A286,"mmm-yy")),
    '[3]Global Weekly Stock (EWSuez'!$E$4:$E$2000)
/
SUMPRODUCT(
    --(TEXT('[3]Global Weekly Stock (EWSuez'!$B$4:$B$2000,"mmm-yy")=TEXT(A286,"mmm-yy"))
)</f>
        <v>14829</v>
      </c>
      <c r="I286">
        <f>_xlfn.XLOOKUP(A286,[1]ForwardDeriv!$D:$D,[1]ForwardDeriv!$AJ:$AJ)</f>
        <v>-1.1999999999999957</v>
      </c>
      <c r="J286" cm="1">
        <f t="array" ref="J286">_xlfn.XLOOKUP(TEXT(A286, "mmm-yy"), TEXT([2]GASOLINE!$B$5:$B$208, "mmm-yy"), [2]GASOLINE!$IR$5:$IR$208, "Not Found")</f>
        <v>198.53292187036922</v>
      </c>
      <c r="K286" cm="1">
        <f t="array" ref="K286">_xlfn.XLOOKUP(TEXT(A286, "mmm-yy"), TEXT([2]GASOLINE!$B$5:$B$208, "mmm-yy"), [2]GASOLINE!$IK$5:$IK$208, "Not Found")</f>
        <v>0</v>
      </c>
      <c r="L286">
        <f t="shared" si="4"/>
        <v>0</v>
      </c>
      <c r="M286" cm="1">
        <f t="array" ref="M286">_xlfn.XLOOKUP(TEXT(A286, "mmm-yy"), TEXT([2]GASOLINE!$B$5:$B$208, "mmm-yy"), [2]GASOLINE!$C$5:$C$208, "Not Found")</f>
        <v>6797.3380687659619</v>
      </c>
      <c r="N286" cm="1">
        <f t="array" ref="N286">_xlfn.XLOOKUP(TEXT(A286, "mmm-yy"), TEXT([2]RUNS!$B$5:$B$208, "mmm-yy"), [2]RUNS!$BM$5:$BM$208, "Not Found")</f>
        <v>0.81913943840248593</v>
      </c>
    </row>
    <row r="287" spans="1:14" x14ac:dyDescent="0.25">
      <c r="A287" s="1">
        <f>'[1]Global_Spot Prices'!$B1596</f>
        <v>42404</v>
      </c>
      <c r="B287">
        <f>_xlfn.XLOOKUP(A287,'[1]Global_Spot Prices'!$B:$B,'[1]Global_Spot Prices'!$BS:$BS)</f>
        <v>11.84</v>
      </c>
      <c r="C287">
        <f>_xlfn.XLOOKUP(A287,'[1]Global_Spot Prices'!$B:$B,'[1]Global_Spot Prices'!$E:$E)</f>
        <v>30.8</v>
      </c>
      <c r="D287">
        <f>_xlfn.XLOOKUP(A287,'[1]Global_Spot Prices'!$B:$B,'[1]Global_Spot Prices'!$D:$D)</f>
        <v>33.005000000000003</v>
      </c>
      <c r="E287">
        <f>_xlfn.XLOOKUP(A287,'[1]Global_Spot Prices'!$B:$B,'[1]Global_Spot Prices'!$H:$H)</f>
        <v>34.78</v>
      </c>
      <c r="F287">
        <f>_xlfn.XLOOKUP(A287,'[1]Global_Spot Prices'!$B:$B,'[1]Global_Spot Prices'!$I:$I)</f>
        <v>42.64</v>
      </c>
      <c r="G287" cm="1">
        <f t="array" ref="G287">_xlfn.XLOOKUP(TEXT(A287, "mmm-yy"), TEXT([2]RUNS!$B$5:$B$208, "mmm-yy"), [2]RUNS!$D$5:$D$208, "Not Found")</f>
        <v>27652.591075534958</v>
      </c>
      <c r="H287" cm="1">
        <f t="array" ref="H287">SUMPRODUCT(
    --(TEXT('[3]Global Weekly Stock (EWSuez'!$B$4:$B$2000,"mmm-yy")=TEXT(A287,"mmm-yy")),
    '[3]Global Weekly Stock (EWSuez'!$E$4:$E$2000)
/
SUMPRODUCT(
    --(TEXT('[3]Global Weekly Stock (EWSuez'!$B$4:$B$2000,"mmm-yy")=TEXT(A287,"mmm-yy"))
)</f>
        <v>14829</v>
      </c>
      <c r="I287">
        <f>_xlfn.XLOOKUP(A287,[1]ForwardDeriv!$D:$D,[1]ForwardDeriv!$AJ:$AJ)</f>
        <v>-1.0700000000000003</v>
      </c>
      <c r="J287" cm="1">
        <f t="array" ref="J287">_xlfn.XLOOKUP(TEXT(A287, "mmm-yy"), TEXT([2]GASOLINE!$B$5:$B$208, "mmm-yy"), [2]GASOLINE!$IR$5:$IR$208, "Not Found")</f>
        <v>198.53292187036922</v>
      </c>
      <c r="K287" cm="1">
        <f t="array" ref="K287">_xlfn.XLOOKUP(TEXT(A287, "mmm-yy"), TEXT([2]GASOLINE!$B$5:$B$208, "mmm-yy"), [2]GASOLINE!$IK$5:$IK$208, "Not Found")</f>
        <v>0</v>
      </c>
      <c r="L287">
        <f t="shared" si="4"/>
        <v>0</v>
      </c>
      <c r="M287" cm="1">
        <f t="array" ref="M287">_xlfn.XLOOKUP(TEXT(A287, "mmm-yy"), TEXT([2]GASOLINE!$B$5:$B$208, "mmm-yy"), [2]GASOLINE!$C$5:$C$208, "Not Found")</f>
        <v>6797.3380687659619</v>
      </c>
      <c r="N287" cm="1">
        <f t="array" ref="N287">_xlfn.XLOOKUP(TEXT(A287, "mmm-yy"), TEXT([2]RUNS!$B$5:$B$208, "mmm-yy"), [2]RUNS!$BM$5:$BM$208, "Not Found")</f>
        <v>0.81913943840248593</v>
      </c>
    </row>
    <row r="288" spans="1:14" x14ac:dyDescent="0.25">
      <c r="A288" s="1">
        <f>'[1]Global_Spot Prices'!$B1597</f>
        <v>42405</v>
      </c>
      <c r="B288">
        <f>_xlfn.XLOOKUP(A288,'[1]Global_Spot Prices'!$B:$B,'[1]Global_Spot Prices'!$BS:$BS)</f>
        <v>12.350000000000001</v>
      </c>
      <c r="C288">
        <f>_xlfn.XLOOKUP(A288,'[1]Global_Spot Prices'!$B:$B,'[1]Global_Spot Prices'!$E:$E)</f>
        <v>30.1</v>
      </c>
      <c r="D288">
        <f>_xlfn.XLOOKUP(A288,'[1]Global_Spot Prices'!$B:$B,'[1]Global_Spot Prices'!$D:$D)</f>
        <v>32.634999999999998</v>
      </c>
      <c r="E288">
        <f>_xlfn.XLOOKUP(A288,'[1]Global_Spot Prices'!$B:$B,'[1]Global_Spot Prices'!$H:$H)</f>
        <v>34.54</v>
      </c>
      <c r="F288">
        <f>_xlfn.XLOOKUP(A288,'[1]Global_Spot Prices'!$B:$B,'[1]Global_Spot Prices'!$I:$I)</f>
        <v>42.45</v>
      </c>
      <c r="G288" cm="1">
        <f t="array" ref="G288">_xlfn.XLOOKUP(TEXT(A288, "mmm-yy"), TEXT([2]RUNS!$B$5:$B$208, "mmm-yy"), [2]RUNS!$D$5:$D$208, "Not Found")</f>
        <v>27652.591075534958</v>
      </c>
      <c r="H288" cm="1">
        <f t="array" ref="H288">SUMPRODUCT(
    --(TEXT('[3]Global Weekly Stock (EWSuez'!$B$4:$B$2000,"mmm-yy")=TEXT(A288,"mmm-yy")),
    '[3]Global Weekly Stock (EWSuez'!$E$4:$E$2000)
/
SUMPRODUCT(
    --(TEXT('[3]Global Weekly Stock (EWSuez'!$B$4:$B$2000,"mmm-yy")=TEXT(A288,"mmm-yy"))
)</f>
        <v>14829</v>
      </c>
      <c r="I288">
        <f>_xlfn.XLOOKUP(A288,[1]ForwardDeriv!$D:$D,[1]ForwardDeriv!$AJ:$AJ)</f>
        <v>-1.1000000000000014</v>
      </c>
      <c r="J288" cm="1">
        <f t="array" ref="J288">_xlfn.XLOOKUP(TEXT(A288, "mmm-yy"), TEXT([2]GASOLINE!$B$5:$B$208, "mmm-yy"), [2]GASOLINE!$IR$5:$IR$208, "Not Found")</f>
        <v>198.53292187036922</v>
      </c>
      <c r="K288" cm="1">
        <f t="array" ref="K288">_xlfn.XLOOKUP(TEXT(A288, "mmm-yy"), TEXT([2]GASOLINE!$B$5:$B$208, "mmm-yy"), [2]GASOLINE!$IK$5:$IK$208, "Not Found")</f>
        <v>0</v>
      </c>
      <c r="L288">
        <f t="shared" si="4"/>
        <v>0</v>
      </c>
      <c r="M288" cm="1">
        <f t="array" ref="M288">_xlfn.XLOOKUP(TEXT(A288, "mmm-yy"), TEXT([2]GASOLINE!$B$5:$B$208, "mmm-yy"), [2]GASOLINE!$C$5:$C$208, "Not Found")</f>
        <v>6797.3380687659619</v>
      </c>
      <c r="N288" cm="1">
        <f t="array" ref="N288">_xlfn.XLOOKUP(TEXT(A288, "mmm-yy"), TEXT([2]RUNS!$B$5:$B$208, "mmm-yy"), [2]RUNS!$BM$5:$BM$208, "Not Found")</f>
        <v>0.81913943840248593</v>
      </c>
    </row>
    <row r="289" spans="1:14" x14ac:dyDescent="0.25">
      <c r="A289" s="1">
        <f>'[1]Global_Spot Prices'!$B1598</f>
        <v>42408</v>
      </c>
      <c r="B289" t="e">
        <f>_xlfn.XLOOKUP(A289,'[1]Global_Spot Prices'!$B:$B,'[1]Global_Spot Prices'!$BS:$BS)</f>
        <v>#N/A</v>
      </c>
      <c r="C289" t="str">
        <f>_xlfn.XLOOKUP(A289,'[1]Global_Spot Prices'!$B:$B,'[1]Global_Spot Prices'!$E:$E)</f>
        <v/>
      </c>
      <c r="D289">
        <f>_xlfn.XLOOKUP(A289,'[1]Global_Spot Prices'!$B:$B,'[1]Global_Spot Prices'!$D:$D)</f>
        <v>32</v>
      </c>
      <c r="E289">
        <f>_xlfn.XLOOKUP(A289,'[1]Global_Spot Prices'!$B:$B,'[1]Global_Spot Prices'!$H:$H)</f>
        <v>0</v>
      </c>
      <c r="F289">
        <f>_xlfn.XLOOKUP(A289,'[1]Global_Spot Prices'!$B:$B,'[1]Global_Spot Prices'!$I:$I)</f>
        <v>0</v>
      </c>
      <c r="G289" cm="1">
        <f t="array" ref="G289">_xlfn.XLOOKUP(TEXT(A289, "mmm-yy"), TEXT([2]RUNS!$B$5:$B$208, "mmm-yy"), [2]RUNS!$D$5:$D$208, "Not Found")</f>
        <v>27652.591075534958</v>
      </c>
      <c r="H289" cm="1">
        <f t="array" ref="H289">SUMPRODUCT(
    --(TEXT('[3]Global Weekly Stock (EWSuez'!$B$4:$B$2000,"mmm-yy")=TEXT(A289,"mmm-yy")),
    '[3]Global Weekly Stock (EWSuez'!$E$4:$E$2000)
/
SUMPRODUCT(
    --(TEXT('[3]Global Weekly Stock (EWSuez'!$B$4:$B$2000,"mmm-yy")=TEXT(A289,"mmm-yy"))
)</f>
        <v>14829</v>
      </c>
      <c r="I289">
        <f>_xlfn.XLOOKUP(A289,[1]ForwardDeriv!$D:$D,[1]ForwardDeriv!$AJ:$AJ)</f>
        <v>-1.25</v>
      </c>
      <c r="J289" cm="1">
        <f t="array" ref="J289">_xlfn.XLOOKUP(TEXT(A289, "mmm-yy"), TEXT([2]GASOLINE!$B$5:$B$208, "mmm-yy"), [2]GASOLINE!$IR$5:$IR$208, "Not Found")</f>
        <v>198.53292187036922</v>
      </c>
      <c r="K289" cm="1">
        <f t="array" ref="K289">_xlfn.XLOOKUP(TEXT(A289, "mmm-yy"), TEXT([2]GASOLINE!$B$5:$B$208, "mmm-yy"), [2]GASOLINE!$IK$5:$IK$208, "Not Found")</f>
        <v>0</v>
      </c>
      <c r="L289">
        <f t="shared" si="4"/>
        <v>0</v>
      </c>
      <c r="M289" cm="1">
        <f t="array" ref="M289">_xlfn.XLOOKUP(TEXT(A289, "mmm-yy"), TEXT([2]GASOLINE!$B$5:$B$208, "mmm-yy"), [2]GASOLINE!$C$5:$C$208, "Not Found")</f>
        <v>6797.3380687659619</v>
      </c>
      <c r="N289" cm="1">
        <f t="array" ref="N289">_xlfn.XLOOKUP(TEXT(A289, "mmm-yy"), TEXT([2]RUNS!$B$5:$B$208, "mmm-yy"), [2]RUNS!$BM$5:$BM$208, "Not Found")</f>
        <v>0.81913943840248593</v>
      </c>
    </row>
    <row r="290" spans="1:14" x14ac:dyDescent="0.25">
      <c r="A290" s="1">
        <f>'[1]Global_Spot Prices'!$B1599</f>
        <v>42409</v>
      </c>
      <c r="B290" t="e">
        <f>_xlfn.XLOOKUP(A290,'[1]Global_Spot Prices'!$B:$B,'[1]Global_Spot Prices'!$BS:$BS)</f>
        <v>#N/A</v>
      </c>
      <c r="C290" t="str">
        <f>_xlfn.XLOOKUP(A290,'[1]Global_Spot Prices'!$B:$B,'[1]Global_Spot Prices'!$E:$E)</f>
        <v/>
      </c>
      <c r="D290">
        <f>_xlfn.XLOOKUP(A290,'[1]Global_Spot Prices'!$B:$B,'[1]Global_Spot Prices'!$D:$D)</f>
        <v>30.27</v>
      </c>
      <c r="E290">
        <f>_xlfn.XLOOKUP(A290,'[1]Global_Spot Prices'!$B:$B,'[1]Global_Spot Prices'!$H:$H)</f>
        <v>0</v>
      </c>
      <c r="F290">
        <f>_xlfn.XLOOKUP(A290,'[1]Global_Spot Prices'!$B:$B,'[1]Global_Spot Prices'!$I:$I)</f>
        <v>0</v>
      </c>
      <c r="G290" cm="1">
        <f t="array" ref="G290">_xlfn.XLOOKUP(TEXT(A290, "mmm-yy"), TEXT([2]RUNS!$B$5:$B$208, "mmm-yy"), [2]RUNS!$D$5:$D$208, "Not Found")</f>
        <v>27652.591075534958</v>
      </c>
      <c r="H290" cm="1">
        <f t="array" ref="H290">SUMPRODUCT(
    --(TEXT('[3]Global Weekly Stock (EWSuez'!$B$4:$B$2000,"mmm-yy")=TEXT(A290,"mmm-yy")),
    '[3]Global Weekly Stock (EWSuez'!$E$4:$E$2000)
/
SUMPRODUCT(
    --(TEXT('[3]Global Weekly Stock (EWSuez'!$B$4:$B$2000,"mmm-yy")=TEXT(A290,"mmm-yy"))
)</f>
        <v>14829</v>
      </c>
      <c r="I290">
        <f>_xlfn.XLOOKUP(A290,[1]ForwardDeriv!$D:$D,[1]ForwardDeriv!$AJ:$AJ)</f>
        <v>-1.25</v>
      </c>
      <c r="J290" cm="1">
        <f t="array" ref="J290">_xlfn.XLOOKUP(TEXT(A290, "mmm-yy"), TEXT([2]GASOLINE!$B$5:$B$208, "mmm-yy"), [2]GASOLINE!$IR$5:$IR$208, "Not Found")</f>
        <v>198.53292187036922</v>
      </c>
      <c r="K290" cm="1">
        <f t="array" ref="K290">_xlfn.XLOOKUP(TEXT(A290, "mmm-yy"), TEXT([2]GASOLINE!$B$5:$B$208, "mmm-yy"), [2]GASOLINE!$IK$5:$IK$208, "Not Found")</f>
        <v>0</v>
      </c>
      <c r="L290">
        <f t="shared" si="4"/>
        <v>0</v>
      </c>
      <c r="M290" cm="1">
        <f t="array" ref="M290">_xlfn.XLOOKUP(TEXT(A290, "mmm-yy"), TEXT([2]GASOLINE!$B$5:$B$208, "mmm-yy"), [2]GASOLINE!$C$5:$C$208, "Not Found")</f>
        <v>6797.3380687659619</v>
      </c>
      <c r="N290" cm="1">
        <f t="array" ref="N290">_xlfn.XLOOKUP(TEXT(A290, "mmm-yy"), TEXT([2]RUNS!$B$5:$B$208, "mmm-yy"), [2]RUNS!$BM$5:$BM$208, "Not Found")</f>
        <v>0.81913943840248593</v>
      </c>
    </row>
    <row r="291" spans="1:14" x14ac:dyDescent="0.25">
      <c r="A291" s="1">
        <f>'[1]Global_Spot Prices'!$B1600</f>
        <v>42410</v>
      </c>
      <c r="B291">
        <f>_xlfn.XLOOKUP(A291,'[1]Global_Spot Prices'!$B:$B,'[1]Global_Spot Prices'!$BS:$BS)</f>
        <v>10.519999999999996</v>
      </c>
      <c r="C291">
        <f>_xlfn.XLOOKUP(A291,'[1]Global_Spot Prices'!$B:$B,'[1]Global_Spot Prices'!$E:$E)</f>
        <v>26.64</v>
      </c>
      <c r="D291">
        <f>_xlfn.XLOOKUP(A291,'[1]Global_Spot Prices'!$B:$B,'[1]Global_Spot Prices'!$D:$D)</f>
        <v>29.49</v>
      </c>
      <c r="E291">
        <f>_xlfn.XLOOKUP(A291,'[1]Global_Spot Prices'!$B:$B,'[1]Global_Spot Prices'!$H:$H)</f>
        <v>29.82</v>
      </c>
      <c r="F291">
        <f>_xlfn.XLOOKUP(A291,'[1]Global_Spot Prices'!$B:$B,'[1]Global_Spot Prices'!$I:$I)</f>
        <v>37.159999999999997</v>
      </c>
      <c r="G291" cm="1">
        <f t="array" ref="G291">_xlfn.XLOOKUP(TEXT(A291, "mmm-yy"), TEXT([2]RUNS!$B$5:$B$208, "mmm-yy"), [2]RUNS!$D$5:$D$208, "Not Found")</f>
        <v>27652.591075534958</v>
      </c>
      <c r="H291" cm="1">
        <f t="array" ref="H291">SUMPRODUCT(
    --(TEXT('[3]Global Weekly Stock (EWSuez'!$B$4:$B$2000,"mmm-yy")=TEXT(A291,"mmm-yy")),
    '[3]Global Weekly Stock (EWSuez'!$E$4:$E$2000)
/
SUMPRODUCT(
    --(TEXT('[3]Global Weekly Stock (EWSuez'!$B$4:$B$2000,"mmm-yy")=TEXT(A291,"mmm-yy"))
)</f>
        <v>14829</v>
      </c>
      <c r="I291">
        <f>_xlfn.XLOOKUP(A291,[1]ForwardDeriv!$D:$D,[1]ForwardDeriv!$AJ:$AJ)</f>
        <v>-1.25</v>
      </c>
      <c r="J291" cm="1">
        <f t="array" ref="J291">_xlfn.XLOOKUP(TEXT(A291, "mmm-yy"), TEXT([2]GASOLINE!$B$5:$B$208, "mmm-yy"), [2]GASOLINE!$IR$5:$IR$208, "Not Found")</f>
        <v>198.53292187036922</v>
      </c>
      <c r="K291" cm="1">
        <f t="array" ref="K291">_xlfn.XLOOKUP(TEXT(A291, "mmm-yy"), TEXT([2]GASOLINE!$B$5:$B$208, "mmm-yy"), [2]GASOLINE!$IK$5:$IK$208, "Not Found")</f>
        <v>0</v>
      </c>
      <c r="L291">
        <f t="shared" si="4"/>
        <v>0</v>
      </c>
      <c r="M291" cm="1">
        <f t="array" ref="M291">_xlfn.XLOOKUP(TEXT(A291, "mmm-yy"), TEXT([2]GASOLINE!$B$5:$B$208, "mmm-yy"), [2]GASOLINE!$C$5:$C$208, "Not Found")</f>
        <v>6797.3380687659619</v>
      </c>
      <c r="N291" cm="1">
        <f t="array" ref="N291">_xlfn.XLOOKUP(TEXT(A291, "mmm-yy"), TEXT([2]RUNS!$B$5:$B$208, "mmm-yy"), [2]RUNS!$BM$5:$BM$208, "Not Found")</f>
        <v>0.81913943840248593</v>
      </c>
    </row>
    <row r="292" spans="1:14" x14ac:dyDescent="0.25">
      <c r="A292" s="1">
        <f>'[1]Global_Spot Prices'!$B1601</f>
        <v>42411</v>
      </c>
      <c r="B292">
        <f>_xlfn.XLOOKUP(A292,'[1]Global_Spot Prices'!$B:$B,'[1]Global_Spot Prices'!$BS:$BS)</f>
        <v>11.939999999999998</v>
      </c>
      <c r="C292">
        <f>_xlfn.XLOOKUP(A292,'[1]Global_Spot Prices'!$B:$B,'[1]Global_Spot Prices'!$E:$E)</f>
        <v>25.85</v>
      </c>
      <c r="D292">
        <f>_xlfn.XLOOKUP(A292,'[1]Global_Spot Prices'!$B:$B,'[1]Global_Spot Prices'!$D:$D)</f>
        <v>28.66</v>
      </c>
      <c r="E292">
        <f>_xlfn.XLOOKUP(A292,'[1]Global_Spot Prices'!$B:$B,'[1]Global_Spot Prices'!$H:$H)</f>
        <v>30.82</v>
      </c>
      <c r="F292">
        <f>_xlfn.XLOOKUP(A292,'[1]Global_Spot Prices'!$B:$B,'[1]Global_Spot Prices'!$I:$I)</f>
        <v>37.79</v>
      </c>
      <c r="G292" cm="1">
        <f t="array" ref="G292">_xlfn.XLOOKUP(TEXT(A292, "mmm-yy"), TEXT([2]RUNS!$B$5:$B$208, "mmm-yy"), [2]RUNS!$D$5:$D$208, "Not Found")</f>
        <v>27652.591075534958</v>
      </c>
      <c r="H292" cm="1">
        <f t="array" ref="H292">SUMPRODUCT(
    --(TEXT('[3]Global Weekly Stock (EWSuez'!$B$4:$B$2000,"mmm-yy")=TEXT(A292,"mmm-yy")),
    '[3]Global Weekly Stock (EWSuez'!$E$4:$E$2000)
/
SUMPRODUCT(
    --(TEXT('[3]Global Weekly Stock (EWSuez'!$B$4:$B$2000,"mmm-yy")=TEXT(A292,"mmm-yy"))
)</f>
        <v>14829</v>
      </c>
      <c r="I292">
        <f>_xlfn.XLOOKUP(A292,[1]ForwardDeriv!$D:$D,[1]ForwardDeriv!$AJ:$AJ)</f>
        <v>-1.1999999999999957</v>
      </c>
      <c r="J292" cm="1">
        <f t="array" ref="J292">_xlfn.XLOOKUP(TEXT(A292, "mmm-yy"), TEXT([2]GASOLINE!$B$5:$B$208, "mmm-yy"), [2]GASOLINE!$IR$5:$IR$208, "Not Found")</f>
        <v>198.53292187036922</v>
      </c>
      <c r="K292" cm="1">
        <f t="array" ref="K292">_xlfn.XLOOKUP(TEXT(A292, "mmm-yy"), TEXT([2]GASOLINE!$B$5:$B$208, "mmm-yy"), [2]GASOLINE!$IK$5:$IK$208, "Not Found")</f>
        <v>0</v>
      </c>
      <c r="L292">
        <f t="shared" si="4"/>
        <v>0</v>
      </c>
      <c r="M292" cm="1">
        <f t="array" ref="M292">_xlfn.XLOOKUP(TEXT(A292, "mmm-yy"), TEXT([2]GASOLINE!$B$5:$B$208, "mmm-yy"), [2]GASOLINE!$C$5:$C$208, "Not Found")</f>
        <v>6797.3380687659619</v>
      </c>
      <c r="N292" cm="1">
        <f t="array" ref="N292">_xlfn.XLOOKUP(TEXT(A292, "mmm-yy"), TEXT([2]RUNS!$B$5:$B$208, "mmm-yy"), [2]RUNS!$BM$5:$BM$208, "Not Found")</f>
        <v>0.81913943840248593</v>
      </c>
    </row>
    <row r="293" spans="1:14" x14ac:dyDescent="0.25">
      <c r="A293" s="1">
        <f>'[1]Global_Spot Prices'!$B1602</f>
        <v>42412</v>
      </c>
      <c r="B293">
        <f>_xlfn.XLOOKUP(A293,'[1]Global_Spot Prices'!$B:$B,'[1]Global_Spot Prices'!$BS:$BS)</f>
        <v>13.030000000000001</v>
      </c>
      <c r="C293">
        <f>_xlfn.XLOOKUP(A293,'[1]Global_Spot Prices'!$B:$B,'[1]Global_Spot Prices'!$E:$E)</f>
        <v>26.65</v>
      </c>
      <c r="D293">
        <f>_xlfn.XLOOKUP(A293,'[1]Global_Spot Prices'!$B:$B,'[1]Global_Spot Prices'!$D:$D)</f>
        <v>31.574999999999999</v>
      </c>
      <c r="E293">
        <f>_xlfn.XLOOKUP(A293,'[1]Global_Spot Prices'!$B:$B,'[1]Global_Spot Prices'!$H:$H)</f>
        <v>32.86</v>
      </c>
      <c r="F293">
        <f>_xlfn.XLOOKUP(A293,'[1]Global_Spot Prices'!$B:$B,'[1]Global_Spot Prices'!$I:$I)</f>
        <v>39.68</v>
      </c>
      <c r="G293" cm="1">
        <f t="array" ref="G293">_xlfn.XLOOKUP(TEXT(A293, "mmm-yy"), TEXT([2]RUNS!$B$5:$B$208, "mmm-yy"), [2]RUNS!$D$5:$D$208, "Not Found")</f>
        <v>27652.591075534958</v>
      </c>
      <c r="H293" cm="1">
        <f t="array" ref="H293">SUMPRODUCT(
    --(TEXT('[3]Global Weekly Stock (EWSuez'!$B$4:$B$2000,"mmm-yy")=TEXT(A293,"mmm-yy")),
    '[3]Global Weekly Stock (EWSuez'!$E$4:$E$2000)
/
SUMPRODUCT(
    --(TEXT('[3]Global Weekly Stock (EWSuez'!$B$4:$B$2000,"mmm-yy")=TEXT(A293,"mmm-yy"))
)</f>
        <v>14829</v>
      </c>
      <c r="I293">
        <f>_xlfn.XLOOKUP(A293,[1]ForwardDeriv!$D:$D,[1]ForwardDeriv!$AJ:$AJ)</f>
        <v>-1.1499999999999986</v>
      </c>
      <c r="J293" cm="1">
        <f t="array" ref="J293">_xlfn.XLOOKUP(TEXT(A293, "mmm-yy"), TEXT([2]GASOLINE!$B$5:$B$208, "mmm-yy"), [2]GASOLINE!$IR$5:$IR$208, "Not Found")</f>
        <v>198.53292187036922</v>
      </c>
      <c r="K293" cm="1">
        <f t="array" ref="K293">_xlfn.XLOOKUP(TEXT(A293, "mmm-yy"), TEXT([2]GASOLINE!$B$5:$B$208, "mmm-yy"), [2]GASOLINE!$IK$5:$IK$208, "Not Found")</f>
        <v>0</v>
      </c>
      <c r="L293">
        <f t="shared" si="4"/>
        <v>0</v>
      </c>
      <c r="M293" cm="1">
        <f t="array" ref="M293">_xlfn.XLOOKUP(TEXT(A293, "mmm-yy"), TEXT([2]GASOLINE!$B$5:$B$208, "mmm-yy"), [2]GASOLINE!$C$5:$C$208, "Not Found")</f>
        <v>6797.3380687659619</v>
      </c>
      <c r="N293" cm="1">
        <f t="array" ref="N293">_xlfn.XLOOKUP(TEXT(A293, "mmm-yy"), TEXT([2]RUNS!$B$5:$B$208, "mmm-yy"), [2]RUNS!$BM$5:$BM$208, "Not Found")</f>
        <v>0.81913943840248593</v>
      </c>
    </row>
    <row r="294" spans="1:14" x14ac:dyDescent="0.25">
      <c r="A294" s="1">
        <f>'[1]Global_Spot Prices'!$B1603</f>
        <v>42415</v>
      </c>
      <c r="B294">
        <f>_xlfn.XLOOKUP(A294,'[1]Global_Spot Prices'!$B:$B,'[1]Global_Spot Prices'!$BS:$BS)</f>
        <v>13.350000000000001</v>
      </c>
      <c r="C294">
        <f>_xlfn.XLOOKUP(A294,'[1]Global_Spot Prices'!$B:$B,'[1]Global_Spot Prices'!$E:$E)</f>
        <v>29.1</v>
      </c>
      <c r="D294">
        <f>_xlfn.XLOOKUP(A294,'[1]Global_Spot Prices'!$B:$B,'[1]Global_Spot Prices'!$D:$D)</f>
        <v>32.68</v>
      </c>
      <c r="E294">
        <f>_xlfn.XLOOKUP(A294,'[1]Global_Spot Prices'!$B:$B,'[1]Global_Spot Prices'!$H:$H)</f>
        <v>35.22</v>
      </c>
      <c r="F294">
        <f>_xlfn.XLOOKUP(A294,'[1]Global_Spot Prices'!$B:$B,'[1]Global_Spot Prices'!$I:$I)</f>
        <v>42.45</v>
      </c>
      <c r="G294" cm="1">
        <f t="array" ref="G294">_xlfn.XLOOKUP(TEXT(A294, "mmm-yy"), TEXT([2]RUNS!$B$5:$B$208, "mmm-yy"), [2]RUNS!$D$5:$D$208, "Not Found")</f>
        <v>27652.591075534958</v>
      </c>
      <c r="H294" cm="1">
        <f t="array" ref="H294">SUMPRODUCT(
    --(TEXT('[3]Global Weekly Stock (EWSuez'!$B$4:$B$2000,"mmm-yy")=TEXT(A294,"mmm-yy")),
    '[3]Global Weekly Stock (EWSuez'!$E$4:$E$2000)
/
SUMPRODUCT(
    --(TEXT('[3]Global Weekly Stock (EWSuez'!$B$4:$B$2000,"mmm-yy")=TEXT(A294,"mmm-yy"))
)</f>
        <v>14829</v>
      </c>
      <c r="I294">
        <f>_xlfn.XLOOKUP(A294,[1]ForwardDeriv!$D:$D,[1]ForwardDeriv!$AJ:$AJ)</f>
        <v>-0.94000000000000483</v>
      </c>
      <c r="J294" cm="1">
        <f t="array" ref="J294">_xlfn.XLOOKUP(TEXT(A294, "mmm-yy"), TEXT([2]GASOLINE!$B$5:$B$208, "mmm-yy"), [2]GASOLINE!$IR$5:$IR$208, "Not Found")</f>
        <v>198.53292187036922</v>
      </c>
      <c r="K294" cm="1">
        <f t="array" ref="K294">_xlfn.XLOOKUP(TEXT(A294, "mmm-yy"), TEXT([2]GASOLINE!$B$5:$B$208, "mmm-yy"), [2]GASOLINE!$IK$5:$IK$208, "Not Found")</f>
        <v>0</v>
      </c>
      <c r="L294">
        <f t="shared" si="4"/>
        <v>0</v>
      </c>
      <c r="M294" cm="1">
        <f t="array" ref="M294">_xlfn.XLOOKUP(TEXT(A294, "mmm-yy"), TEXT([2]GASOLINE!$B$5:$B$208, "mmm-yy"), [2]GASOLINE!$C$5:$C$208, "Not Found")</f>
        <v>6797.3380687659619</v>
      </c>
      <c r="N294" cm="1">
        <f t="array" ref="N294">_xlfn.XLOOKUP(TEXT(A294, "mmm-yy"), TEXT([2]RUNS!$B$5:$B$208, "mmm-yy"), [2]RUNS!$BM$5:$BM$208, "Not Found")</f>
        <v>0.81913943840248593</v>
      </c>
    </row>
    <row r="295" spans="1:14" x14ac:dyDescent="0.25">
      <c r="A295" s="1">
        <f>'[1]Global_Spot Prices'!$B1604</f>
        <v>42416</v>
      </c>
      <c r="B295">
        <f>_xlfn.XLOOKUP(A295,'[1]Global_Spot Prices'!$B:$B,'[1]Global_Spot Prices'!$BS:$BS)</f>
        <v>12.060000000000002</v>
      </c>
      <c r="C295">
        <f>_xlfn.XLOOKUP(A295,'[1]Global_Spot Prices'!$B:$B,'[1]Global_Spot Prices'!$E:$E)</f>
        <v>31.29</v>
      </c>
      <c r="D295">
        <f>_xlfn.XLOOKUP(A295,'[1]Global_Spot Prices'!$B:$B,'[1]Global_Spot Prices'!$D:$D)</f>
        <v>31.375</v>
      </c>
      <c r="E295">
        <f>_xlfn.XLOOKUP(A295,'[1]Global_Spot Prices'!$B:$B,'[1]Global_Spot Prices'!$H:$H)</f>
        <v>35.93</v>
      </c>
      <c r="F295">
        <f>_xlfn.XLOOKUP(A295,'[1]Global_Spot Prices'!$B:$B,'[1]Global_Spot Prices'!$I:$I)</f>
        <v>43.35</v>
      </c>
      <c r="G295" cm="1">
        <f t="array" ref="G295">_xlfn.XLOOKUP(TEXT(A295, "mmm-yy"), TEXT([2]RUNS!$B$5:$B$208, "mmm-yy"), [2]RUNS!$D$5:$D$208, "Not Found")</f>
        <v>27652.591075534958</v>
      </c>
      <c r="H295" cm="1">
        <f t="array" ref="H295">SUMPRODUCT(
    --(TEXT('[3]Global Weekly Stock (EWSuez'!$B$4:$B$2000,"mmm-yy")=TEXT(A295,"mmm-yy")),
    '[3]Global Weekly Stock (EWSuez'!$E$4:$E$2000)
/
SUMPRODUCT(
    --(TEXT('[3]Global Weekly Stock (EWSuez'!$B$4:$B$2000,"mmm-yy")=TEXT(A295,"mmm-yy"))
)</f>
        <v>14829</v>
      </c>
      <c r="I295">
        <f>_xlfn.XLOOKUP(A295,[1]ForwardDeriv!$D:$D,[1]ForwardDeriv!$AJ:$AJ)</f>
        <v>-0.95000000000000284</v>
      </c>
      <c r="J295" cm="1">
        <f t="array" ref="J295">_xlfn.XLOOKUP(TEXT(A295, "mmm-yy"), TEXT([2]GASOLINE!$B$5:$B$208, "mmm-yy"), [2]GASOLINE!$IR$5:$IR$208, "Not Found")</f>
        <v>198.53292187036922</v>
      </c>
      <c r="K295" cm="1">
        <f t="array" ref="K295">_xlfn.XLOOKUP(TEXT(A295, "mmm-yy"), TEXT([2]GASOLINE!$B$5:$B$208, "mmm-yy"), [2]GASOLINE!$IK$5:$IK$208, "Not Found")</f>
        <v>0</v>
      </c>
      <c r="L295">
        <f t="shared" si="4"/>
        <v>0</v>
      </c>
      <c r="M295" cm="1">
        <f t="array" ref="M295">_xlfn.XLOOKUP(TEXT(A295, "mmm-yy"), TEXT([2]GASOLINE!$B$5:$B$208, "mmm-yy"), [2]GASOLINE!$C$5:$C$208, "Not Found")</f>
        <v>6797.3380687659619</v>
      </c>
      <c r="N295" cm="1">
        <f t="array" ref="N295">_xlfn.XLOOKUP(TEXT(A295, "mmm-yy"), TEXT([2]RUNS!$B$5:$B$208, "mmm-yy"), [2]RUNS!$BM$5:$BM$208, "Not Found")</f>
        <v>0.81913943840248593</v>
      </c>
    </row>
    <row r="296" spans="1:14" x14ac:dyDescent="0.25">
      <c r="A296" s="1">
        <f>'[1]Global_Spot Prices'!$B1605</f>
        <v>42417</v>
      </c>
      <c r="B296">
        <f>_xlfn.XLOOKUP(A296,'[1]Global_Spot Prices'!$B:$B,'[1]Global_Spot Prices'!$BS:$BS)</f>
        <v>11.100000000000001</v>
      </c>
      <c r="C296">
        <f>_xlfn.XLOOKUP(A296,'[1]Global_Spot Prices'!$B:$B,'[1]Global_Spot Prices'!$E:$E)</f>
        <v>28.04</v>
      </c>
      <c r="D296">
        <f>_xlfn.XLOOKUP(A296,'[1]Global_Spot Prices'!$B:$B,'[1]Global_Spot Prices'!$D:$D)</f>
        <v>33.715000000000003</v>
      </c>
      <c r="E296">
        <f>_xlfn.XLOOKUP(A296,'[1]Global_Spot Prices'!$B:$B,'[1]Global_Spot Prices'!$H:$H)</f>
        <v>32.44</v>
      </c>
      <c r="F296">
        <f>_xlfn.XLOOKUP(A296,'[1]Global_Spot Prices'!$B:$B,'[1]Global_Spot Prices'!$I:$I)</f>
        <v>39.14</v>
      </c>
      <c r="G296" cm="1">
        <f t="array" ref="G296">_xlfn.XLOOKUP(TEXT(A296, "mmm-yy"), TEXT([2]RUNS!$B$5:$B$208, "mmm-yy"), [2]RUNS!$D$5:$D$208, "Not Found")</f>
        <v>27652.591075534958</v>
      </c>
      <c r="H296" cm="1">
        <f t="array" ref="H296">SUMPRODUCT(
    --(TEXT('[3]Global Weekly Stock (EWSuez'!$B$4:$B$2000,"mmm-yy")=TEXT(A296,"mmm-yy")),
    '[3]Global Weekly Stock (EWSuez'!$E$4:$E$2000)
/
SUMPRODUCT(
    --(TEXT('[3]Global Weekly Stock (EWSuez'!$B$4:$B$2000,"mmm-yy")=TEXT(A296,"mmm-yy"))
)</f>
        <v>14829</v>
      </c>
      <c r="I296">
        <f>_xlfn.XLOOKUP(A296,[1]ForwardDeriv!$D:$D,[1]ForwardDeriv!$AJ:$AJ)</f>
        <v>-1</v>
      </c>
      <c r="J296" cm="1">
        <f t="array" ref="J296">_xlfn.XLOOKUP(TEXT(A296, "mmm-yy"), TEXT([2]GASOLINE!$B$5:$B$208, "mmm-yy"), [2]GASOLINE!$IR$5:$IR$208, "Not Found")</f>
        <v>198.53292187036922</v>
      </c>
      <c r="K296" cm="1">
        <f t="array" ref="K296">_xlfn.XLOOKUP(TEXT(A296, "mmm-yy"), TEXT([2]GASOLINE!$B$5:$B$208, "mmm-yy"), [2]GASOLINE!$IK$5:$IK$208, "Not Found")</f>
        <v>0</v>
      </c>
      <c r="L296">
        <f t="shared" si="4"/>
        <v>0</v>
      </c>
      <c r="M296" cm="1">
        <f t="array" ref="M296">_xlfn.XLOOKUP(TEXT(A296, "mmm-yy"), TEXT([2]GASOLINE!$B$5:$B$208, "mmm-yy"), [2]GASOLINE!$C$5:$C$208, "Not Found")</f>
        <v>6797.3380687659619</v>
      </c>
      <c r="N296" cm="1">
        <f t="array" ref="N296">_xlfn.XLOOKUP(TEXT(A296, "mmm-yy"), TEXT([2]RUNS!$B$5:$B$208, "mmm-yy"), [2]RUNS!$BM$5:$BM$208, "Not Found")</f>
        <v>0.81913943840248593</v>
      </c>
    </row>
    <row r="297" spans="1:14" x14ac:dyDescent="0.25">
      <c r="A297" s="1">
        <f>'[1]Global_Spot Prices'!$B1606</f>
        <v>42418</v>
      </c>
      <c r="B297">
        <f>_xlfn.XLOOKUP(A297,'[1]Global_Spot Prices'!$B:$B,'[1]Global_Spot Prices'!$BS:$BS)</f>
        <v>10.16</v>
      </c>
      <c r="C297">
        <f>_xlfn.XLOOKUP(A297,'[1]Global_Spot Prices'!$B:$B,'[1]Global_Spot Prices'!$E:$E)</f>
        <v>30.8</v>
      </c>
      <c r="D297">
        <f>_xlfn.XLOOKUP(A297,'[1]Global_Spot Prices'!$B:$B,'[1]Global_Spot Prices'!$D:$D)</f>
        <v>33.57</v>
      </c>
      <c r="E297">
        <f>_xlfn.XLOOKUP(A297,'[1]Global_Spot Prices'!$B:$B,'[1]Global_Spot Prices'!$H:$H)</f>
        <v>34.229999999999997</v>
      </c>
      <c r="F297">
        <f>_xlfn.XLOOKUP(A297,'[1]Global_Spot Prices'!$B:$B,'[1]Global_Spot Prices'!$I:$I)</f>
        <v>40.96</v>
      </c>
      <c r="G297" cm="1">
        <f t="array" ref="G297">_xlfn.XLOOKUP(TEXT(A297, "mmm-yy"), TEXT([2]RUNS!$B$5:$B$208, "mmm-yy"), [2]RUNS!$D$5:$D$208, "Not Found")</f>
        <v>27652.591075534958</v>
      </c>
      <c r="H297" cm="1">
        <f t="array" ref="H297">SUMPRODUCT(
    --(TEXT('[3]Global Weekly Stock (EWSuez'!$B$4:$B$2000,"mmm-yy")=TEXT(A297,"mmm-yy")),
    '[3]Global Weekly Stock (EWSuez'!$E$4:$E$2000)
/
SUMPRODUCT(
    --(TEXT('[3]Global Weekly Stock (EWSuez'!$B$4:$B$2000,"mmm-yy")=TEXT(A297,"mmm-yy"))
)</f>
        <v>14829</v>
      </c>
      <c r="I297">
        <f>_xlfn.XLOOKUP(A297,[1]ForwardDeriv!$D:$D,[1]ForwardDeriv!$AJ:$AJ)</f>
        <v>-1.1400000000000006</v>
      </c>
      <c r="J297" cm="1">
        <f t="array" ref="J297">_xlfn.XLOOKUP(TEXT(A297, "mmm-yy"), TEXT([2]GASOLINE!$B$5:$B$208, "mmm-yy"), [2]GASOLINE!$IR$5:$IR$208, "Not Found")</f>
        <v>198.53292187036922</v>
      </c>
      <c r="K297" cm="1">
        <f t="array" ref="K297">_xlfn.XLOOKUP(TEXT(A297, "mmm-yy"), TEXT([2]GASOLINE!$B$5:$B$208, "mmm-yy"), [2]GASOLINE!$IK$5:$IK$208, "Not Found")</f>
        <v>0</v>
      </c>
      <c r="L297">
        <f t="shared" si="4"/>
        <v>0</v>
      </c>
      <c r="M297" cm="1">
        <f t="array" ref="M297">_xlfn.XLOOKUP(TEXT(A297, "mmm-yy"), TEXT([2]GASOLINE!$B$5:$B$208, "mmm-yy"), [2]GASOLINE!$C$5:$C$208, "Not Found")</f>
        <v>6797.3380687659619</v>
      </c>
      <c r="N297" cm="1">
        <f t="array" ref="N297">_xlfn.XLOOKUP(TEXT(A297, "mmm-yy"), TEXT([2]RUNS!$B$5:$B$208, "mmm-yy"), [2]RUNS!$BM$5:$BM$208, "Not Found")</f>
        <v>0.81913943840248593</v>
      </c>
    </row>
    <row r="298" spans="1:14" x14ac:dyDescent="0.25">
      <c r="A298" s="1">
        <f>'[1]Global_Spot Prices'!$B1607</f>
        <v>42419</v>
      </c>
      <c r="B298">
        <f>_xlfn.XLOOKUP(A298,'[1]Global_Spot Prices'!$B:$B,'[1]Global_Spot Prices'!$BS:$BS)</f>
        <v>9.89</v>
      </c>
      <c r="C298">
        <f>_xlfn.XLOOKUP(A298,'[1]Global_Spot Prices'!$B:$B,'[1]Global_Spot Prices'!$E:$E)</f>
        <v>30.21</v>
      </c>
      <c r="D298">
        <f>_xlfn.XLOOKUP(A298,'[1]Global_Spot Prices'!$B:$B,'[1]Global_Spot Prices'!$D:$D)</f>
        <v>32.14</v>
      </c>
      <c r="E298">
        <f>_xlfn.XLOOKUP(A298,'[1]Global_Spot Prices'!$B:$B,'[1]Global_Spot Prices'!$H:$H)</f>
        <v>33.47</v>
      </c>
      <c r="F298">
        <f>_xlfn.XLOOKUP(A298,'[1]Global_Spot Prices'!$B:$B,'[1]Global_Spot Prices'!$I:$I)</f>
        <v>40.1</v>
      </c>
      <c r="G298" cm="1">
        <f t="array" ref="G298">_xlfn.XLOOKUP(TEXT(A298, "mmm-yy"), TEXT([2]RUNS!$B$5:$B$208, "mmm-yy"), [2]RUNS!$D$5:$D$208, "Not Found")</f>
        <v>27652.591075534958</v>
      </c>
      <c r="H298" cm="1">
        <f t="array" ref="H298">SUMPRODUCT(
    --(TEXT('[3]Global Weekly Stock (EWSuez'!$B$4:$B$2000,"mmm-yy")=TEXT(A298,"mmm-yy")),
    '[3]Global Weekly Stock (EWSuez'!$E$4:$E$2000)
/
SUMPRODUCT(
    --(TEXT('[3]Global Weekly Stock (EWSuez'!$B$4:$B$2000,"mmm-yy")=TEXT(A298,"mmm-yy"))
)</f>
        <v>14829</v>
      </c>
      <c r="I298">
        <f>_xlfn.XLOOKUP(A298,[1]ForwardDeriv!$D:$D,[1]ForwardDeriv!$AJ:$AJ)</f>
        <v>-1.1400000000000006</v>
      </c>
      <c r="J298" cm="1">
        <f t="array" ref="J298">_xlfn.XLOOKUP(TEXT(A298, "mmm-yy"), TEXT([2]GASOLINE!$B$5:$B$208, "mmm-yy"), [2]GASOLINE!$IR$5:$IR$208, "Not Found")</f>
        <v>198.53292187036922</v>
      </c>
      <c r="K298" cm="1">
        <f t="array" ref="K298">_xlfn.XLOOKUP(TEXT(A298, "mmm-yy"), TEXT([2]GASOLINE!$B$5:$B$208, "mmm-yy"), [2]GASOLINE!$IK$5:$IK$208, "Not Found")</f>
        <v>0</v>
      </c>
      <c r="L298">
        <f t="shared" si="4"/>
        <v>0</v>
      </c>
      <c r="M298" cm="1">
        <f t="array" ref="M298">_xlfn.XLOOKUP(TEXT(A298, "mmm-yy"), TEXT([2]GASOLINE!$B$5:$B$208, "mmm-yy"), [2]GASOLINE!$C$5:$C$208, "Not Found")</f>
        <v>6797.3380687659619</v>
      </c>
      <c r="N298" cm="1">
        <f t="array" ref="N298">_xlfn.XLOOKUP(TEXT(A298, "mmm-yy"), TEXT([2]RUNS!$B$5:$B$208, "mmm-yy"), [2]RUNS!$BM$5:$BM$208, "Not Found")</f>
        <v>0.81913943840248593</v>
      </c>
    </row>
    <row r="299" spans="1:14" x14ac:dyDescent="0.25">
      <c r="A299" s="1">
        <f>'[1]Global_Spot Prices'!$B1608</f>
        <v>42422</v>
      </c>
      <c r="B299">
        <f>_xlfn.XLOOKUP(A299,'[1]Global_Spot Prices'!$B:$B,'[1]Global_Spot Prices'!$BS:$BS)</f>
        <v>10.93</v>
      </c>
      <c r="C299">
        <f>_xlfn.XLOOKUP(A299,'[1]Global_Spot Prices'!$B:$B,'[1]Global_Spot Prices'!$E:$E)</f>
        <v>29.5</v>
      </c>
      <c r="D299">
        <f>_xlfn.XLOOKUP(A299,'[1]Global_Spot Prices'!$B:$B,'[1]Global_Spot Prices'!$D:$D)</f>
        <v>34.35</v>
      </c>
      <c r="E299">
        <f>_xlfn.XLOOKUP(A299,'[1]Global_Spot Prices'!$B:$B,'[1]Global_Spot Prices'!$H:$H)</f>
        <v>33.46</v>
      </c>
      <c r="F299">
        <f>_xlfn.XLOOKUP(A299,'[1]Global_Spot Prices'!$B:$B,'[1]Global_Spot Prices'!$I:$I)</f>
        <v>40.43</v>
      </c>
      <c r="G299" cm="1">
        <f t="array" ref="G299">_xlfn.XLOOKUP(TEXT(A299, "mmm-yy"), TEXT([2]RUNS!$B$5:$B$208, "mmm-yy"), [2]RUNS!$D$5:$D$208, "Not Found")</f>
        <v>27652.591075534958</v>
      </c>
      <c r="H299" cm="1">
        <f t="array" ref="H299">SUMPRODUCT(
    --(TEXT('[3]Global Weekly Stock (EWSuez'!$B$4:$B$2000,"mmm-yy")=TEXT(A299,"mmm-yy")),
    '[3]Global Weekly Stock (EWSuez'!$E$4:$E$2000)
/
SUMPRODUCT(
    --(TEXT('[3]Global Weekly Stock (EWSuez'!$B$4:$B$2000,"mmm-yy")=TEXT(A299,"mmm-yy"))
)</f>
        <v>14829</v>
      </c>
      <c r="I299">
        <f>_xlfn.XLOOKUP(A299,[1]ForwardDeriv!$D:$D,[1]ForwardDeriv!$AJ:$AJ)</f>
        <v>-0.95000000000000284</v>
      </c>
      <c r="J299" cm="1">
        <f t="array" ref="J299">_xlfn.XLOOKUP(TEXT(A299, "mmm-yy"), TEXT([2]GASOLINE!$B$5:$B$208, "mmm-yy"), [2]GASOLINE!$IR$5:$IR$208, "Not Found")</f>
        <v>198.53292187036922</v>
      </c>
      <c r="K299" cm="1">
        <f t="array" ref="K299">_xlfn.XLOOKUP(TEXT(A299, "mmm-yy"), TEXT([2]GASOLINE!$B$5:$B$208, "mmm-yy"), [2]GASOLINE!$IK$5:$IK$208, "Not Found")</f>
        <v>0</v>
      </c>
      <c r="L299">
        <f t="shared" si="4"/>
        <v>0</v>
      </c>
      <c r="M299" cm="1">
        <f t="array" ref="M299">_xlfn.XLOOKUP(TEXT(A299, "mmm-yy"), TEXT([2]GASOLINE!$B$5:$B$208, "mmm-yy"), [2]GASOLINE!$C$5:$C$208, "Not Found")</f>
        <v>6797.3380687659619</v>
      </c>
      <c r="N299" cm="1">
        <f t="array" ref="N299">_xlfn.XLOOKUP(TEXT(A299, "mmm-yy"), TEXT([2]RUNS!$B$5:$B$208, "mmm-yy"), [2]RUNS!$BM$5:$BM$208, "Not Found")</f>
        <v>0.81913943840248593</v>
      </c>
    </row>
    <row r="300" spans="1:14" x14ac:dyDescent="0.25">
      <c r="A300" s="1">
        <f>'[1]Global_Spot Prices'!$B1609</f>
        <v>42423</v>
      </c>
      <c r="B300">
        <f>_xlfn.XLOOKUP(A300,'[1]Global_Spot Prices'!$B:$B,'[1]Global_Spot Prices'!$BS:$BS)</f>
        <v>11</v>
      </c>
      <c r="C300">
        <f>_xlfn.XLOOKUP(A300,'[1]Global_Spot Prices'!$B:$B,'[1]Global_Spot Prices'!$E:$E)</f>
        <v>29.71</v>
      </c>
      <c r="D300">
        <f>_xlfn.XLOOKUP(A300,'[1]Global_Spot Prices'!$B:$B,'[1]Global_Spot Prices'!$D:$D)</f>
        <v>32.384999999999998</v>
      </c>
      <c r="E300">
        <f>_xlfn.XLOOKUP(A300,'[1]Global_Spot Prices'!$B:$B,'[1]Global_Spot Prices'!$H:$H)</f>
        <v>33.880000000000003</v>
      </c>
      <c r="F300">
        <f>_xlfn.XLOOKUP(A300,'[1]Global_Spot Prices'!$B:$B,'[1]Global_Spot Prices'!$I:$I)</f>
        <v>40.71</v>
      </c>
      <c r="G300" cm="1">
        <f t="array" ref="G300">_xlfn.XLOOKUP(TEXT(A300, "mmm-yy"), TEXT([2]RUNS!$B$5:$B$208, "mmm-yy"), [2]RUNS!$D$5:$D$208, "Not Found")</f>
        <v>27652.591075534958</v>
      </c>
      <c r="H300" cm="1">
        <f t="array" ref="H300">SUMPRODUCT(
    --(TEXT('[3]Global Weekly Stock (EWSuez'!$B$4:$B$2000,"mmm-yy")=TEXT(A300,"mmm-yy")),
    '[3]Global Weekly Stock (EWSuez'!$E$4:$E$2000)
/
SUMPRODUCT(
    --(TEXT('[3]Global Weekly Stock (EWSuez'!$B$4:$B$2000,"mmm-yy")=TEXT(A300,"mmm-yy"))
)</f>
        <v>14829</v>
      </c>
      <c r="I300">
        <f>_xlfn.XLOOKUP(A300,[1]ForwardDeriv!$D:$D,[1]ForwardDeriv!$AJ:$AJ)</f>
        <v>-0.89999999999999858</v>
      </c>
      <c r="J300" cm="1">
        <f t="array" ref="J300">_xlfn.XLOOKUP(TEXT(A300, "mmm-yy"), TEXT([2]GASOLINE!$B$5:$B$208, "mmm-yy"), [2]GASOLINE!$IR$5:$IR$208, "Not Found")</f>
        <v>198.53292187036922</v>
      </c>
      <c r="K300" cm="1">
        <f t="array" ref="K300">_xlfn.XLOOKUP(TEXT(A300, "mmm-yy"), TEXT([2]GASOLINE!$B$5:$B$208, "mmm-yy"), [2]GASOLINE!$IK$5:$IK$208, "Not Found")</f>
        <v>0</v>
      </c>
      <c r="L300">
        <f t="shared" si="4"/>
        <v>0</v>
      </c>
      <c r="M300" cm="1">
        <f t="array" ref="M300">_xlfn.XLOOKUP(TEXT(A300, "mmm-yy"), TEXT([2]GASOLINE!$B$5:$B$208, "mmm-yy"), [2]GASOLINE!$C$5:$C$208, "Not Found")</f>
        <v>6797.3380687659619</v>
      </c>
      <c r="N300" cm="1">
        <f t="array" ref="N300">_xlfn.XLOOKUP(TEXT(A300, "mmm-yy"), TEXT([2]RUNS!$B$5:$B$208, "mmm-yy"), [2]RUNS!$BM$5:$BM$208, "Not Found")</f>
        <v>0.81913943840248593</v>
      </c>
    </row>
    <row r="301" spans="1:14" x14ac:dyDescent="0.25">
      <c r="A301" s="1">
        <f>'[1]Global_Spot Prices'!$B1610</f>
        <v>42424</v>
      </c>
      <c r="B301">
        <f>_xlfn.XLOOKUP(A301,'[1]Global_Spot Prices'!$B:$B,'[1]Global_Spot Prices'!$BS:$BS)</f>
        <v>11.27</v>
      </c>
      <c r="C301">
        <f>_xlfn.XLOOKUP(A301,'[1]Global_Spot Prices'!$B:$B,'[1]Global_Spot Prices'!$E:$E)</f>
        <v>28.8</v>
      </c>
      <c r="D301">
        <f>_xlfn.XLOOKUP(A301,'[1]Global_Spot Prices'!$B:$B,'[1]Global_Spot Prices'!$D:$D)</f>
        <v>32.31</v>
      </c>
      <c r="E301">
        <f>_xlfn.XLOOKUP(A301,'[1]Global_Spot Prices'!$B:$B,'[1]Global_Spot Prices'!$H:$H)</f>
        <v>32.64</v>
      </c>
      <c r="F301">
        <f>_xlfn.XLOOKUP(A301,'[1]Global_Spot Prices'!$B:$B,'[1]Global_Spot Prices'!$I:$I)</f>
        <v>40.07</v>
      </c>
      <c r="G301" cm="1">
        <f t="array" ref="G301">_xlfn.XLOOKUP(TEXT(A301, "mmm-yy"), TEXT([2]RUNS!$B$5:$B$208, "mmm-yy"), [2]RUNS!$D$5:$D$208, "Not Found")</f>
        <v>27652.591075534958</v>
      </c>
      <c r="H301" cm="1">
        <f t="array" ref="H301">SUMPRODUCT(
    --(TEXT('[3]Global Weekly Stock (EWSuez'!$B$4:$B$2000,"mmm-yy")=TEXT(A301,"mmm-yy")),
    '[3]Global Weekly Stock (EWSuez'!$E$4:$E$2000)
/
SUMPRODUCT(
    --(TEXT('[3]Global Weekly Stock (EWSuez'!$B$4:$B$2000,"mmm-yy")=TEXT(A301,"mmm-yy"))
)</f>
        <v>14829</v>
      </c>
      <c r="I301">
        <f>_xlfn.XLOOKUP(A301,[1]ForwardDeriv!$D:$D,[1]ForwardDeriv!$AJ:$AJ)</f>
        <v>-0.89999999999999858</v>
      </c>
      <c r="J301" cm="1">
        <f t="array" ref="J301">_xlfn.XLOOKUP(TEXT(A301, "mmm-yy"), TEXT([2]GASOLINE!$B$5:$B$208, "mmm-yy"), [2]GASOLINE!$IR$5:$IR$208, "Not Found")</f>
        <v>198.53292187036922</v>
      </c>
      <c r="K301" cm="1">
        <f t="array" ref="K301">_xlfn.XLOOKUP(TEXT(A301, "mmm-yy"), TEXT([2]GASOLINE!$B$5:$B$208, "mmm-yy"), [2]GASOLINE!$IK$5:$IK$208, "Not Found")</f>
        <v>0</v>
      </c>
      <c r="L301">
        <f t="shared" si="4"/>
        <v>0</v>
      </c>
      <c r="M301" cm="1">
        <f t="array" ref="M301">_xlfn.XLOOKUP(TEXT(A301, "mmm-yy"), TEXT([2]GASOLINE!$B$5:$B$208, "mmm-yy"), [2]GASOLINE!$C$5:$C$208, "Not Found")</f>
        <v>6797.3380687659619</v>
      </c>
      <c r="N301" cm="1">
        <f t="array" ref="N301">_xlfn.XLOOKUP(TEXT(A301, "mmm-yy"), TEXT([2]RUNS!$B$5:$B$208, "mmm-yy"), [2]RUNS!$BM$5:$BM$208, "Not Found")</f>
        <v>0.81913943840248593</v>
      </c>
    </row>
    <row r="302" spans="1:14" x14ac:dyDescent="0.25">
      <c r="A302" s="1">
        <f>'[1]Global_Spot Prices'!$B1611</f>
        <v>42425</v>
      </c>
      <c r="B302">
        <f>_xlfn.XLOOKUP(A302,'[1]Global_Spot Prices'!$B:$B,'[1]Global_Spot Prices'!$BS:$BS)</f>
        <v>12.3</v>
      </c>
      <c r="C302">
        <f>_xlfn.XLOOKUP(A302,'[1]Global_Spot Prices'!$B:$B,'[1]Global_Spot Prices'!$E:$E)</f>
        <v>29.8</v>
      </c>
      <c r="D302">
        <f>_xlfn.XLOOKUP(A302,'[1]Global_Spot Prices'!$B:$B,'[1]Global_Spot Prices'!$D:$D)</f>
        <v>33.369999999999997</v>
      </c>
      <c r="E302">
        <f>_xlfn.XLOOKUP(A302,'[1]Global_Spot Prices'!$B:$B,'[1]Global_Spot Prices'!$H:$H)</f>
        <v>34.590000000000003</v>
      </c>
      <c r="F302">
        <f>_xlfn.XLOOKUP(A302,'[1]Global_Spot Prices'!$B:$B,'[1]Global_Spot Prices'!$I:$I)</f>
        <v>42.1</v>
      </c>
      <c r="G302" cm="1">
        <f t="array" ref="G302">_xlfn.XLOOKUP(TEXT(A302, "mmm-yy"), TEXT([2]RUNS!$B$5:$B$208, "mmm-yy"), [2]RUNS!$D$5:$D$208, "Not Found")</f>
        <v>27652.591075534958</v>
      </c>
      <c r="H302" cm="1">
        <f t="array" ref="H302">SUMPRODUCT(
    --(TEXT('[3]Global Weekly Stock (EWSuez'!$B$4:$B$2000,"mmm-yy")=TEXT(A302,"mmm-yy")),
    '[3]Global Weekly Stock (EWSuez'!$E$4:$E$2000)
/
SUMPRODUCT(
    --(TEXT('[3]Global Weekly Stock (EWSuez'!$B$4:$B$2000,"mmm-yy")=TEXT(A302,"mmm-yy"))
)</f>
        <v>14829</v>
      </c>
      <c r="I302">
        <f>_xlfn.XLOOKUP(A302,[1]ForwardDeriv!$D:$D,[1]ForwardDeriv!$AJ:$AJ)</f>
        <v>-0.75</v>
      </c>
      <c r="J302" cm="1">
        <f t="array" ref="J302">_xlfn.XLOOKUP(TEXT(A302, "mmm-yy"), TEXT([2]GASOLINE!$B$5:$B$208, "mmm-yy"), [2]GASOLINE!$IR$5:$IR$208, "Not Found")</f>
        <v>198.53292187036922</v>
      </c>
      <c r="K302" cm="1">
        <f t="array" ref="K302">_xlfn.XLOOKUP(TEXT(A302, "mmm-yy"), TEXT([2]GASOLINE!$B$5:$B$208, "mmm-yy"), [2]GASOLINE!$IK$5:$IK$208, "Not Found")</f>
        <v>0</v>
      </c>
      <c r="L302">
        <f t="shared" si="4"/>
        <v>0</v>
      </c>
      <c r="M302" cm="1">
        <f t="array" ref="M302">_xlfn.XLOOKUP(TEXT(A302, "mmm-yy"), TEXT([2]GASOLINE!$B$5:$B$208, "mmm-yy"), [2]GASOLINE!$C$5:$C$208, "Not Found")</f>
        <v>6797.3380687659619</v>
      </c>
      <c r="N302" cm="1">
        <f t="array" ref="N302">_xlfn.XLOOKUP(TEXT(A302, "mmm-yy"), TEXT([2]RUNS!$B$5:$B$208, "mmm-yy"), [2]RUNS!$BM$5:$BM$208, "Not Found")</f>
        <v>0.81913943840248593</v>
      </c>
    </row>
    <row r="303" spans="1:14" x14ac:dyDescent="0.25">
      <c r="A303" s="1">
        <f>'[1]Global_Spot Prices'!$B1612</f>
        <v>42426</v>
      </c>
      <c r="B303">
        <f>_xlfn.XLOOKUP(A303,'[1]Global_Spot Prices'!$B:$B,'[1]Global_Spot Prices'!$BS:$BS)</f>
        <v>14.180000000000003</v>
      </c>
      <c r="C303">
        <f>_xlfn.XLOOKUP(A303,'[1]Global_Spot Prices'!$B:$B,'[1]Global_Spot Prices'!$E:$E)</f>
        <v>30.49</v>
      </c>
      <c r="D303">
        <f>_xlfn.XLOOKUP(A303,'[1]Global_Spot Prices'!$B:$B,'[1]Global_Spot Prices'!$D:$D)</f>
        <v>36.125</v>
      </c>
      <c r="E303">
        <f>_xlfn.XLOOKUP(A303,'[1]Global_Spot Prices'!$B:$B,'[1]Global_Spot Prices'!$H:$H)</f>
        <v>36.06</v>
      </c>
      <c r="F303">
        <f>_xlfn.XLOOKUP(A303,'[1]Global_Spot Prices'!$B:$B,'[1]Global_Spot Prices'!$I:$I)</f>
        <v>44.67</v>
      </c>
      <c r="G303" cm="1">
        <f t="array" ref="G303">_xlfn.XLOOKUP(TEXT(A303, "mmm-yy"), TEXT([2]RUNS!$B$5:$B$208, "mmm-yy"), [2]RUNS!$D$5:$D$208, "Not Found")</f>
        <v>27652.591075534958</v>
      </c>
      <c r="H303" cm="1">
        <f t="array" ref="H303">SUMPRODUCT(
    --(TEXT('[3]Global Weekly Stock (EWSuez'!$B$4:$B$2000,"mmm-yy")=TEXT(A303,"mmm-yy")),
    '[3]Global Weekly Stock (EWSuez'!$E$4:$E$2000)
/
SUMPRODUCT(
    --(TEXT('[3]Global Weekly Stock (EWSuez'!$B$4:$B$2000,"mmm-yy")=TEXT(A303,"mmm-yy"))
)</f>
        <v>14829</v>
      </c>
      <c r="I303">
        <f>_xlfn.XLOOKUP(A303,[1]ForwardDeriv!$D:$D,[1]ForwardDeriv!$AJ:$AJ)</f>
        <v>-0.69999999999999574</v>
      </c>
      <c r="J303" cm="1">
        <f t="array" ref="J303">_xlfn.XLOOKUP(TEXT(A303, "mmm-yy"), TEXT([2]GASOLINE!$B$5:$B$208, "mmm-yy"), [2]GASOLINE!$IR$5:$IR$208, "Not Found")</f>
        <v>198.53292187036922</v>
      </c>
      <c r="K303" cm="1">
        <f t="array" ref="K303">_xlfn.XLOOKUP(TEXT(A303, "mmm-yy"), TEXT([2]GASOLINE!$B$5:$B$208, "mmm-yy"), [2]GASOLINE!$IK$5:$IK$208, "Not Found")</f>
        <v>0</v>
      </c>
      <c r="L303">
        <f t="shared" si="4"/>
        <v>0</v>
      </c>
      <c r="M303" cm="1">
        <f t="array" ref="M303">_xlfn.XLOOKUP(TEXT(A303, "mmm-yy"), TEXT([2]GASOLINE!$B$5:$B$208, "mmm-yy"), [2]GASOLINE!$C$5:$C$208, "Not Found")</f>
        <v>6797.3380687659619</v>
      </c>
      <c r="N303" cm="1">
        <f t="array" ref="N303">_xlfn.XLOOKUP(TEXT(A303, "mmm-yy"), TEXT([2]RUNS!$B$5:$B$208, "mmm-yy"), [2]RUNS!$BM$5:$BM$208, "Not Found")</f>
        <v>0.81913943840248593</v>
      </c>
    </row>
    <row r="304" spans="1:14" x14ac:dyDescent="0.25">
      <c r="A304" s="1">
        <f>'[1]Global_Spot Prices'!$B1613</f>
        <v>42429</v>
      </c>
      <c r="B304">
        <f>_xlfn.XLOOKUP(A304,'[1]Global_Spot Prices'!$B:$B,'[1]Global_Spot Prices'!$BS:$BS)</f>
        <v>13.020000000000003</v>
      </c>
      <c r="C304">
        <f>_xlfn.XLOOKUP(A304,'[1]Global_Spot Prices'!$B:$B,'[1]Global_Spot Prices'!$E:$E)</f>
        <v>29.9</v>
      </c>
      <c r="D304">
        <f>_xlfn.XLOOKUP(A304,'[1]Global_Spot Prices'!$B:$B,'[1]Global_Spot Prices'!$D:$D)</f>
        <v>35.79</v>
      </c>
      <c r="E304">
        <f>_xlfn.XLOOKUP(A304,'[1]Global_Spot Prices'!$B:$B,'[1]Global_Spot Prices'!$H:$H)</f>
        <v>34.700000000000003</v>
      </c>
      <c r="F304">
        <f>_xlfn.XLOOKUP(A304,'[1]Global_Spot Prices'!$B:$B,'[1]Global_Spot Prices'!$I:$I)</f>
        <v>42.92</v>
      </c>
      <c r="G304" cm="1">
        <f t="array" ref="G304">_xlfn.XLOOKUP(TEXT(A304, "mmm-yy"), TEXT([2]RUNS!$B$5:$B$208, "mmm-yy"), [2]RUNS!$D$5:$D$208, "Not Found")</f>
        <v>27652.591075534958</v>
      </c>
      <c r="H304" cm="1">
        <f t="array" ref="H304">SUMPRODUCT(
    --(TEXT('[3]Global Weekly Stock (EWSuez'!$B$4:$B$2000,"mmm-yy")=TEXT(A304,"mmm-yy")),
    '[3]Global Weekly Stock (EWSuez'!$E$4:$E$2000)
/
SUMPRODUCT(
    --(TEXT('[3]Global Weekly Stock (EWSuez'!$B$4:$B$2000,"mmm-yy")=TEXT(A304,"mmm-yy"))
)</f>
        <v>14829</v>
      </c>
      <c r="I304">
        <f>_xlfn.XLOOKUP(A304,[1]ForwardDeriv!$D:$D,[1]ForwardDeriv!$AJ:$AJ)</f>
        <v>-0.76999999999999602</v>
      </c>
      <c r="J304" cm="1">
        <f t="array" ref="J304">_xlfn.XLOOKUP(TEXT(A304, "mmm-yy"), TEXT([2]GASOLINE!$B$5:$B$208, "mmm-yy"), [2]GASOLINE!$IR$5:$IR$208, "Not Found")</f>
        <v>198.53292187036922</v>
      </c>
      <c r="K304" cm="1">
        <f t="array" ref="K304">_xlfn.XLOOKUP(TEXT(A304, "mmm-yy"), TEXT([2]GASOLINE!$B$5:$B$208, "mmm-yy"), [2]GASOLINE!$IK$5:$IK$208, "Not Found")</f>
        <v>0</v>
      </c>
      <c r="L304">
        <f t="shared" si="4"/>
        <v>0</v>
      </c>
      <c r="M304" cm="1">
        <f t="array" ref="M304">_xlfn.XLOOKUP(TEXT(A304, "mmm-yy"), TEXT([2]GASOLINE!$B$5:$B$208, "mmm-yy"), [2]GASOLINE!$C$5:$C$208, "Not Found")</f>
        <v>6797.3380687659619</v>
      </c>
      <c r="N304" cm="1">
        <f t="array" ref="N304">_xlfn.XLOOKUP(TEXT(A304, "mmm-yy"), TEXT([2]RUNS!$B$5:$B$208, "mmm-yy"), [2]RUNS!$BM$5:$BM$208, "Not Found")</f>
        <v>0.81913943840248593</v>
      </c>
    </row>
    <row r="305" spans="1:14" x14ac:dyDescent="0.25">
      <c r="A305" s="1">
        <f>'[1]Global_Spot Prices'!$B1614</f>
        <v>42430</v>
      </c>
      <c r="B305">
        <f>_xlfn.XLOOKUP(A305,'[1]Global_Spot Prices'!$B:$B,'[1]Global_Spot Prices'!$BS:$BS)</f>
        <v>12.969999999999999</v>
      </c>
      <c r="C305">
        <f>_xlfn.XLOOKUP(A305,'[1]Global_Spot Prices'!$B:$B,'[1]Global_Spot Prices'!$E:$E)</f>
        <v>31.9</v>
      </c>
      <c r="D305">
        <f>_xlfn.XLOOKUP(A305,'[1]Global_Spot Prices'!$B:$B,'[1]Global_Spot Prices'!$D:$D)</f>
        <v>35.555</v>
      </c>
      <c r="E305">
        <f>_xlfn.XLOOKUP(A305,'[1]Global_Spot Prices'!$B:$B,'[1]Global_Spot Prices'!$H:$H)</f>
        <v>35.71</v>
      </c>
      <c r="F305">
        <f>_xlfn.XLOOKUP(A305,'[1]Global_Spot Prices'!$B:$B,'[1]Global_Spot Prices'!$I:$I)</f>
        <v>44.87</v>
      </c>
      <c r="G305" cm="1">
        <f t="array" ref="G305">_xlfn.XLOOKUP(TEXT(A305, "mmm-yy"), TEXT([2]RUNS!$B$5:$B$208, "mmm-yy"), [2]RUNS!$D$5:$D$208, "Not Found")</f>
        <v>27518.533521245532</v>
      </c>
      <c r="H305" cm="1">
        <f t="array" ref="H305">SUMPRODUCT(
    --(TEXT('[3]Global Weekly Stock (EWSuez'!$B$4:$B$2000,"mmm-yy")=TEXT(A305,"mmm-yy")),
    '[3]Global Weekly Stock (EWSuez'!$E$4:$E$2000)
/
SUMPRODUCT(
    --(TEXT('[3]Global Weekly Stock (EWSuez'!$B$4:$B$2000,"mmm-yy")=TEXT(A305,"mmm-yy"))
)</f>
        <v>14803.25</v>
      </c>
      <c r="I305">
        <f>_xlfn.XLOOKUP(A305,[1]ForwardDeriv!$D:$D,[1]ForwardDeriv!$AJ:$AJ)</f>
        <v>-0.78000000000000114</v>
      </c>
      <c r="J305" cm="1">
        <f t="array" ref="J305">_xlfn.XLOOKUP(TEXT(A305, "mmm-yy"), TEXT([2]GASOLINE!$B$5:$B$208, "mmm-yy"), [2]GASOLINE!$IR$5:$IR$208, "Not Found")</f>
        <v>101.13198856025218</v>
      </c>
      <c r="K305" cm="1">
        <f t="array" ref="K305">_xlfn.XLOOKUP(TEXT(A305, "mmm-yy"), TEXT([2]GASOLINE!$B$5:$B$208, "mmm-yy"), [2]GASOLINE!$IK$5:$IK$208, "Not Found")</f>
        <v>0</v>
      </c>
      <c r="L305">
        <f t="shared" si="4"/>
        <v>0</v>
      </c>
      <c r="M305" cm="1">
        <f t="array" ref="M305">_xlfn.XLOOKUP(TEXT(A305, "mmm-yy"), TEXT([2]GASOLINE!$B$5:$B$208, "mmm-yy"), [2]GASOLINE!$C$5:$C$208, "Not Found")</f>
        <v>6992.4462032510883</v>
      </c>
      <c r="N305" cm="1">
        <f t="array" ref="N305">_xlfn.XLOOKUP(TEXT(A305, "mmm-yy"), TEXT([2]RUNS!$B$5:$B$208, "mmm-yy"), [2]RUNS!$BM$5:$BM$208, "Not Found")</f>
        <v>0.81432885373097696</v>
      </c>
    </row>
    <row r="306" spans="1:14" x14ac:dyDescent="0.25">
      <c r="A306" s="1">
        <f>'[1]Global_Spot Prices'!$B1615</f>
        <v>42431</v>
      </c>
      <c r="B306">
        <f>_xlfn.XLOOKUP(A306,'[1]Global_Spot Prices'!$B:$B,'[1]Global_Spot Prices'!$BS:$BS)</f>
        <v>12.159999999999997</v>
      </c>
      <c r="C306">
        <f>_xlfn.XLOOKUP(A306,'[1]Global_Spot Prices'!$B:$B,'[1]Global_Spot Prices'!$E:$E)</f>
        <v>31.89</v>
      </c>
      <c r="D306">
        <f>_xlfn.XLOOKUP(A306,'[1]Global_Spot Prices'!$B:$B,'[1]Global_Spot Prices'!$D:$D)</f>
        <v>36.4</v>
      </c>
      <c r="E306">
        <f>_xlfn.XLOOKUP(A306,'[1]Global_Spot Prices'!$B:$B,'[1]Global_Spot Prices'!$H:$H)</f>
        <v>35.32</v>
      </c>
      <c r="F306">
        <f>_xlfn.XLOOKUP(A306,'[1]Global_Spot Prices'!$B:$B,'[1]Global_Spot Prices'!$I:$I)</f>
        <v>44.05</v>
      </c>
      <c r="G306" cm="1">
        <f t="array" ref="G306">_xlfn.XLOOKUP(TEXT(A306, "mmm-yy"), TEXT([2]RUNS!$B$5:$B$208, "mmm-yy"), [2]RUNS!$D$5:$D$208, "Not Found")</f>
        <v>27518.533521245532</v>
      </c>
      <c r="H306" cm="1">
        <f t="array" ref="H306">SUMPRODUCT(
    --(TEXT('[3]Global Weekly Stock (EWSuez'!$B$4:$B$2000,"mmm-yy")=TEXT(A306,"mmm-yy")),
    '[3]Global Weekly Stock (EWSuez'!$E$4:$E$2000)
/
SUMPRODUCT(
    --(TEXT('[3]Global Weekly Stock (EWSuez'!$B$4:$B$2000,"mmm-yy")=TEXT(A306,"mmm-yy"))
)</f>
        <v>14803.25</v>
      </c>
      <c r="I306">
        <f>_xlfn.XLOOKUP(A306,[1]ForwardDeriv!$D:$D,[1]ForwardDeriv!$AJ:$AJ)</f>
        <v>-0.89999999999999858</v>
      </c>
      <c r="J306" cm="1">
        <f t="array" ref="J306">_xlfn.XLOOKUP(TEXT(A306, "mmm-yy"), TEXT([2]GASOLINE!$B$5:$B$208, "mmm-yy"), [2]GASOLINE!$IR$5:$IR$208, "Not Found")</f>
        <v>101.13198856025218</v>
      </c>
      <c r="K306" cm="1">
        <f t="array" ref="K306">_xlfn.XLOOKUP(TEXT(A306, "mmm-yy"), TEXT([2]GASOLINE!$B$5:$B$208, "mmm-yy"), [2]GASOLINE!$IK$5:$IK$208, "Not Found")</f>
        <v>0</v>
      </c>
      <c r="L306">
        <f t="shared" si="4"/>
        <v>0</v>
      </c>
      <c r="M306" cm="1">
        <f t="array" ref="M306">_xlfn.XLOOKUP(TEXT(A306, "mmm-yy"), TEXT([2]GASOLINE!$B$5:$B$208, "mmm-yy"), [2]GASOLINE!$C$5:$C$208, "Not Found")</f>
        <v>6992.4462032510883</v>
      </c>
      <c r="N306" cm="1">
        <f t="array" ref="N306">_xlfn.XLOOKUP(TEXT(A306, "mmm-yy"), TEXT([2]RUNS!$B$5:$B$208, "mmm-yy"), [2]RUNS!$BM$5:$BM$208, "Not Found")</f>
        <v>0.81432885373097696</v>
      </c>
    </row>
    <row r="307" spans="1:14" x14ac:dyDescent="0.25">
      <c r="A307" s="1">
        <f>'[1]Global_Spot Prices'!$B1616</f>
        <v>42432</v>
      </c>
      <c r="B307">
        <f>_xlfn.XLOOKUP(A307,'[1]Global_Spot Prices'!$B:$B,'[1]Global_Spot Prices'!$BS:$BS)</f>
        <v>12.850000000000001</v>
      </c>
      <c r="C307">
        <f>_xlfn.XLOOKUP(A307,'[1]Global_Spot Prices'!$B:$B,'[1]Global_Spot Prices'!$E:$E)</f>
        <v>31.72</v>
      </c>
      <c r="D307">
        <f>_xlfn.XLOOKUP(A307,'[1]Global_Spot Prices'!$B:$B,'[1]Global_Spot Prices'!$D:$D)</f>
        <v>35.895000000000003</v>
      </c>
      <c r="E307">
        <f>_xlfn.XLOOKUP(A307,'[1]Global_Spot Prices'!$B:$B,'[1]Global_Spot Prices'!$H:$H)</f>
        <v>35.44</v>
      </c>
      <c r="F307">
        <f>_xlfn.XLOOKUP(A307,'[1]Global_Spot Prices'!$B:$B,'[1]Global_Spot Prices'!$I:$I)</f>
        <v>44.57</v>
      </c>
      <c r="G307" cm="1">
        <f t="array" ref="G307">_xlfn.XLOOKUP(TEXT(A307, "mmm-yy"), TEXT([2]RUNS!$B$5:$B$208, "mmm-yy"), [2]RUNS!$D$5:$D$208, "Not Found")</f>
        <v>27518.533521245532</v>
      </c>
      <c r="H307" cm="1">
        <f t="array" ref="H307">SUMPRODUCT(
    --(TEXT('[3]Global Weekly Stock (EWSuez'!$B$4:$B$2000,"mmm-yy")=TEXT(A307,"mmm-yy")),
    '[3]Global Weekly Stock (EWSuez'!$E$4:$E$2000)
/
SUMPRODUCT(
    --(TEXT('[3]Global Weekly Stock (EWSuez'!$B$4:$B$2000,"mmm-yy")=TEXT(A307,"mmm-yy"))
)</f>
        <v>14803.25</v>
      </c>
      <c r="I307">
        <f>_xlfn.XLOOKUP(A307,[1]ForwardDeriv!$D:$D,[1]ForwardDeriv!$AJ:$AJ)</f>
        <v>-0.89999999999999858</v>
      </c>
      <c r="J307" cm="1">
        <f t="array" ref="J307">_xlfn.XLOOKUP(TEXT(A307, "mmm-yy"), TEXT([2]GASOLINE!$B$5:$B$208, "mmm-yy"), [2]GASOLINE!$IR$5:$IR$208, "Not Found")</f>
        <v>101.13198856025218</v>
      </c>
      <c r="K307" cm="1">
        <f t="array" ref="K307">_xlfn.XLOOKUP(TEXT(A307, "mmm-yy"), TEXT([2]GASOLINE!$B$5:$B$208, "mmm-yy"), [2]GASOLINE!$IK$5:$IK$208, "Not Found")</f>
        <v>0</v>
      </c>
      <c r="L307">
        <f t="shared" si="4"/>
        <v>0</v>
      </c>
      <c r="M307" cm="1">
        <f t="array" ref="M307">_xlfn.XLOOKUP(TEXT(A307, "mmm-yy"), TEXT([2]GASOLINE!$B$5:$B$208, "mmm-yy"), [2]GASOLINE!$C$5:$C$208, "Not Found")</f>
        <v>6992.4462032510883</v>
      </c>
      <c r="N307" cm="1">
        <f t="array" ref="N307">_xlfn.XLOOKUP(TEXT(A307, "mmm-yy"), TEXT([2]RUNS!$B$5:$B$208, "mmm-yy"), [2]RUNS!$BM$5:$BM$208, "Not Found")</f>
        <v>0.81432885373097696</v>
      </c>
    </row>
    <row r="308" spans="1:14" x14ac:dyDescent="0.25">
      <c r="A308" s="1">
        <f>'[1]Global_Spot Prices'!$B1617</f>
        <v>42433</v>
      </c>
      <c r="B308">
        <f>_xlfn.XLOOKUP(A308,'[1]Global_Spot Prices'!$B:$B,'[1]Global_Spot Prices'!$BS:$BS)</f>
        <v>12.61</v>
      </c>
      <c r="C308">
        <f>_xlfn.XLOOKUP(A308,'[1]Global_Spot Prices'!$B:$B,'[1]Global_Spot Prices'!$E:$E)</f>
        <v>32.25</v>
      </c>
      <c r="D308">
        <f>_xlfn.XLOOKUP(A308,'[1]Global_Spot Prices'!$B:$B,'[1]Global_Spot Prices'!$D:$D)</f>
        <v>37.270000000000003</v>
      </c>
      <c r="E308">
        <f>_xlfn.XLOOKUP(A308,'[1]Global_Spot Prices'!$B:$B,'[1]Global_Spot Prices'!$H:$H)</f>
        <v>36.21</v>
      </c>
      <c r="F308">
        <f>_xlfn.XLOOKUP(A308,'[1]Global_Spot Prices'!$B:$B,'[1]Global_Spot Prices'!$I:$I)</f>
        <v>44.86</v>
      </c>
      <c r="G308" cm="1">
        <f t="array" ref="G308">_xlfn.XLOOKUP(TEXT(A308, "mmm-yy"), TEXT([2]RUNS!$B$5:$B$208, "mmm-yy"), [2]RUNS!$D$5:$D$208, "Not Found")</f>
        <v>27518.533521245532</v>
      </c>
      <c r="H308" cm="1">
        <f t="array" ref="H308">SUMPRODUCT(
    --(TEXT('[3]Global Weekly Stock (EWSuez'!$B$4:$B$2000,"mmm-yy")=TEXT(A308,"mmm-yy")),
    '[3]Global Weekly Stock (EWSuez'!$E$4:$E$2000)
/
SUMPRODUCT(
    --(TEXT('[3]Global Weekly Stock (EWSuez'!$B$4:$B$2000,"mmm-yy")=TEXT(A308,"mmm-yy"))
)</f>
        <v>14803.25</v>
      </c>
      <c r="I308">
        <f>_xlfn.XLOOKUP(A308,[1]ForwardDeriv!$D:$D,[1]ForwardDeriv!$AJ:$AJ)</f>
        <v>-0.94000000000000483</v>
      </c>
      <c r="J308" cm="1">
        <f t="array" ref="J308">_xlfn.XLOOKUP(TEXT(A308, "mmm-yy"), TEXT([2]GASOLINE!$B$5:$B$208, "mmm-yy"), [2]GASOLINE!$IR$5:$IR$208, "Not Found")</f>
        <v>101.13198856025218</v>
      </c>
      <c r="K308" cm="1">
        <f t="array" ref="K308">_xlfn.XLOOKUP(TEXT(A308, "mmm-yy"), TEXT([2]GASOLINE!$B$5:$B$208, "mmm-yy"), [2]GASOLINE!$IK$5:$IK$208, "Not Found")</f>
        <v>0</v>
      </c>
      <c r="L308">
        <f t="shared" si="4"/>
        <v>0</v>
      </c>
      <c r="M308" cm="1">
        <f t="array" ref="M308">_xlfn.XLOOKUP(TEXT(A308, "mmm-yy"), TEXT([2]GASOLINE!$B$5:$B$208, "mmm-yy"), [2]GASOLINE!$C$5:$C$208, "Not Found")</f>
        <v>6992.4462032510883</v>
      </c>
      <c r="N308" cm="1">
        <f t="array" ref="N308">_xlfn.XLOOKUP(TEXT(A308, "mmm-yy"), TEXT([2]RUNS!$B$5:$B$208, "mmm-yy"), [2]RUNS!$BM$5:$BM$208, "Not Found")</f>
        <v>0.81432885373097696</v>
      </c>
    </row>
    <row r="309" spans="1:14" x14ac:dyDescent="0.25">
      <c r="A309" s="1">
        <f>'[1]Global_Spot Prices'!$B1618</f>
        <v>42436</v>
      </c>
      <c r="B309">
        <f>_xlfn.XLOOKUP(A309,'[1]Global_Spot Prices'!$B:$B,'[1]Global_Spot Prices'!$BS:$BS)</f>
        <v>12.910000000000004</v>
      </c>
      <c r="C309">
        <f>_xlfn.XLOOKUP(A309,'[1]Global_Spot Prices'!$B:$B,'[1]Global_Spot Prices'!$E:$E)</f>
        <v>34.409999999999997</v>
      </c>
      <c r="D309">
        <f>_xlfn.XLOOKUP(A309,'[1]Global_Spot Prices'!$B:$B,'[1]Global_Spot Prices'!$D:$D)</f>
        <v>39.020000000000003</v>
      </c>
      <c r="E309">
        <f>_xlfn.XLOOKUP(A309,'[1]Global_Spot Prices'!$B:$B,'[1]Global_Spot Prices'!$H:$H)</f>
        <v>37.35</v>
      </c>
      <c r="F309">
        <f>_xlfn.XLOOKUP(A309,'[1]Global_Spot Prices'!$B:$B,'[1]Global_Spot Prices'!$I:$I)</f>
        <v>47.32</v>
      </c>
      <c r="G309" cm="1">
        <f t="array" ref="G309">_xlfn.XLOOKUP(TEXT(A309, "mmm-yy"), TEXT([2]RUNS!$B$5:$B$208, "mmm-yy"), [2]RUNS!$D$5:$D$208, "Not Found")</f>
        <v>27518.533521245532</v>
      </c>
      <c r="H309" cm="1">
        <f t="array" ref="H309">SUMPRODUCT(
    --(TEXT('[3]Global Weekly Stock (EWSuez'!$B$4:$B$2000,"mmm-yy")=TEXT(A309,"mmm-yy")),
    '[3]Global Weekly Stock (EWSuez'!$E$4:$E$2000)
/
SUMPRODUCT(
    --(TEXT('[3]Global Weekly Stock (EWSuez'!$B$4:$B$2000,"mmm-yy")=TEXT(A309,"mmm-yy"))
)</f>
        <v>14803.25</v>
      </c>
      <c r="I309">
        <f>_xlfn.XLOOKUP(A309,[1]ForwardDeriv!$D:$D,[1]ForwardDeriv!$AJ:$AJ)</f>
        <v>-0.89999999999999858</v>
      </c>
      <c r="J309" cm="1">
        <f t="array" ref="J309">_xlfn.XLOOKUP(TEXT(A309, "mmm-yy"), TEXT([2]GASOLINE!$B$5:$B$208, "mmm-yy"), [2]GASOLINE!$IR$5:$IR$208, "Not Found")</f>
        <v>101.13198856025218</v>
      </c>
      <c r="K309" cm="1">
        <f t="array" ref="K309">_xlfn.XLOOKUP(TEXT(A309, "mmm-yy"), TEXT([2]GASOLINE!$B$5:$B$208, "mmm-yy"), [2]GASOLINE!$IK$5:$IK$208, "Not Found")</f>
        <v>0</v>
      </c>
      <c r="L309">
        <f t="shared" si="4"/>
        <v>0</v>
      </c>
      <c r="M309" cm="1">
        <f t="array" ref="M309">_xlfn.XLOOKUP(TEXT(A309, "mmm-yy"), TEXT([2]GASOLINE!$B$5:$B$208, "mmm-yy"), [2]GASOLINE!$C$5:$C$208, "Not Found")</f>
        <v>6992.4462032510883</v>
      </c>
      <c r="N309" cm="1">
        <f t="array" ref="N309">_xlfn.XLOOKUP(TEXT(A309, "mmm-yy"), TEXT([2]RUNS!$B$5:$B$208, "mmm-yy"), [2]RUNS!$BM$5:$BM$208, "Not Found")</f>
        <v>0.81432885373097696</v>
      </c>
    </row>
    <row r="310" spans="1:14" x14ac:dyDescent="0.25">
      <c r="A310" s="1">
        <f>'[1]Global_Spot Prices'!$B1619</f>
        <v>42437</v>
      </c>
      <c r="B310">
        <f>_xlfn.XLOOKUP(A310,'[1]Global_Spot Prices'!$B:$B,'[1]Global_Spot Prices'!$BS:$BS)</f>
        <v>13.110000000000007</v>
      </c>
      <c r="C310">
        <f>_xlfn.XLOOKUP(A310,'[1]Global_Spot Prices'!$B:$B,'[1]Global_Spot Prices'!$E:$E)</f>
        <v>35.659999999999997</v>
      </c>
      <c r="D310">
        <f>_xlfn.XLOOKUP(A310,'[1]Global_Spot Prices'!$B:$B,'[1]Global_Spot Prices'!$D:$D)</f>
        <v>39.115000000000002</v>
      </c>
      <c r="E310">
        <f>_xlfn.XLOOKUP(A310,'[1]Global_Spot Prices'!$B:$B,'[1]Global_Spot Prices'!$H:$H)</f>
        <v>37.380000000000003</v>
      </c>
      <c r="F310">
        <f>_xlfn.XLOOKUP(A310,'[1]Global_Spot Prices'!$B:$B,'[1]Global_Spot Prices'!$I:$I)</f>
        <v>48.77</v>
      </c>
      <c r="G310" cm="1">
        <f t="array" ref="G310">_xlfn.XLOOKUP(TEXT(A310, "mmm-yy"), TEXT([2]RUNS!$B$5:$B$208, "mmm-yy"), [2]RUNS!$D$5:$D$208, "Not Found")</f>
        <v>27518.533521245532</v>
      </c>
      <c r="H310" cm="1">
        <f t="array" ref="H310">SUMPRODUCT(
    --(TEXT('[3]Global Weekly Stock (EWSuez'!$B$4:$B$2000,"mmm-yy")=TEXT(A310,"mmm-yy")),
    '[3]Global Weekly Stock (EWSuez'!$E$4:$E$2000)
/
SUMPRODUCT(
    --(TEXT('[3]Global Weekly Stock (EWSuez'!$B$4:$B$2000,"mmm-yy")=TEXT(A310,"mmm-yy"))
)</f>
        <v>14803.25</v>
      </c>
      <c r="I310">
        <f>_xlfn.XLOOKUP(A310,[1]ForwardDeriv!$D:$D,[1]ForwardDeriv!$AJ:$AJ)</f>
        <v>-0.89999999999999858</v>
      </c>
      <c r="J310" cm="1">
        <f t="array" ref="J310">_xlfn.XLOOKUP(TEXT(A310, "mmm-yy"), TEXT([2]GASOLINE!$B$5:$B$208, "mmm-yy"), [2]GASOLINE!$IR$5:$IR$208, "Not Found")</f>
        <v>101.13198856025218</v>
      </c>
      <c r="K310" cm="1">
        <f t="array" ref="K310">_xlfn.XLOOKUP(TEXT(A310, "mmm-yy"), TEXT([2]GASOLINE!$B$5:$B$208, "mmm-yy"), [2]GASOLINE!$IK$5:$IK$208, "Not Found")</f>
        <v>0</v>
      </c>
      <c r="L310">
        <f t="shared" si="4"/>
        <v>0</v>
      </c>
      <c r="M310" cm="1">
        <f t="array" ref="M310">_xlfn.XLOOKUP(TEXT(A310, "mmm-yy"), TEXT([2]GASOLINE!$B$5:$B$208, "mmm-yy"), [2]GASOLINE!$C$5:$C$208, "Not Found")</f>
        <v>6992.4462032510883</v>
      </c>
      <c r="N310" cm="1">
        <f t="array" ref="N310">_xlfn.XLOOKUP(TEXT(A310, "mmm-yy"), TEXT([2]RUNS!$B$5:$B$208, "mmm-yy"), [2]RUNS!$BM$5:$BM$208, "Not Found")</f>
        <v>0.81432885373097696</v>
      </c>
    </row>
    <row r="311" spans="1:14" x14ac:dyDescent="0.25">
      <c r="A311" s="1">
        <f>'[1]Global_Spot Prices'!$B1620</f>
        <v>42438</v>
      </c>
      <c r="B311">
        <f>_xlfn.XLOOKUP(A311,'[1]Global_Spot Prices'!$B:$B,'[1]Global_Spot Prices'!$BS:$BS)</f>
        <v>13.990000000000002</v>
      </c>
      <c r="C311">
        <f>_xlfn.XLOOKUP(A311,'[1]Global_Spot Prices'!$B:$B,'[1]Global_Spot Prices'!$E:$E)</f>
        <v>35.03</v>
      </c>
      <c r="D311">
        <f>_xlfn.XLOOKUP(A311,'[1]Global_Spot Prices'!$B:$B,'[1]Global_Spot Prices'!$D:$D)</f>
        <v>39.905000000000001</v>
      </c>
      <c r="E311">
        <f>_xlfn.XLOOKUP(A311,'[1]Global_Spot Prices'!$B:$B,'[1]Global_Spot Prices'!$H:$H)</f>
        <v>36.9</v>
      </c>
      <c r="F311">
        <f>_xlfn.XLOOKUP(A311,'[1]Global_Spot Prices'!$B:$B,'[1]Global_Spot Prices'!$I:$I)</f>
        <v>49.02</v>
      </c>
      <c r="G311" cm="1">
        <f t="array" ref="G311">_xlfn.XLOOKUP(TEXT(A311, "mmm-yy"), TEXT([2]RUNS!$B$5:$B$208, "mmm-yy"), [2]RUNS!$D$5:$D$208, "Not Found")</f>
        <v>27518.533521245532</v>
      </c>
      <c r="H311" cm="1">
        <f t="array" ref="H311">SUMPRODUCT(
    --(TEXT('[3]Global Weekly Stock (EWSuez'!$B$4:$B$2000,"mmm-yy")=TEXT(A311,"mmm-yy")),
    '[3]Global Weekly Stock (EWSuez'!$E$4:$E$2000)
/
SUMPRODUCT(
    --(TEXT('[3]Global Weekly Stock (EWSuez'!$B$4:$B$2000,"mmm-yy")=TEXT(A311,"mmm-yy"))
)</f>
        <v>14803.25</v>
      </c>
      <c r="I311">
        <f>_xlfn.XLOOKUP(A311,[1]ForwardDeriv!$D:$D,[1]ForwardDeriv!$AJ:$AJ)</f>
        <v>-0.89999999999999858</v>
      </c>
      <c r="J311" cm="1">
        <f t="array" ref="J311">_xlfn.XLOOKUP(TEXT(A311, "mmm-yy"), TEXT([2]GASOLINE!$B$5:$B$208, "mmm-yy"), [2]GASOLINE!$IR$5:$IR$208, "Not Found")</f>
        <v>101.13198856025218</v>
      </c>
      <c r="K311" cm="1">
        <f t="array" ref="K311">_xlfn.XLOOKUP(TEXT(A311, "mmm-yy"), TEXT([2]GASOLINE!$B$5:$B$208, "mmm-yy"), [2]GASOLINE!$IK$5:$IK$208, "Not Found")</f>
        <v>0</v>
      </c>
      <c r="L311">
        <f t="shared" si="4"/>
        <v>0</v>
      </c>
      <c r="M311" cm="1">
        <f t="array" ref="M311">_xlfn.XLOOKUP(TEXT(A311, "mmm-yy"), TEXT([2]GASOLINE!$B$5:$B$208, "mmm-yy"), [2]GASOLINE!$C$5:$C$208, "Not Found")</f>
        <v>6992.4462032510883</v>
      </c>
      <c r="N311" cm="1">
        <f t="array" ref="N311">_xlfn.XLOOKUP(TEXT(A311, "mmm-yy"), TEXT([2]RUNS!$B$5:$B$208, "mmm-yy"), [2]RUNS!$BM$5:$BM$208, "Not Found")</f>
        <v>0.81432885373097696</v>
      </c>
    </row>
    <row r="312" spans="1:14" x14ac:dyDescent="0.25">
      <c r="A312" s="1">
        <f>'[1]Global_Spot Prices'!$B1621</f>
        <v>42439</v>
      </c>
      <c r="B312">
        <f>_xlfn.XLOOKUP(A312,'[1]Global_Spot Prices'!$B:$B,'[1]Global_Spot Prices'!$BS:$BS)</f>
        <v>15.64</v>
      </c>
      <c r="C312">
        <f>_xlfn.XLOOKUP(A312,'[1]Global_Spot Prices'!$B:$B,'[1]Global_Spot Prices'!$E:$E)</f>
        <v>35.909999999999997</v>
      </c>
      <c r="D312">
        <f>_xlfn.XLOOKUP(A312,'[1]Global_Spot Prices'!$B:$B,'[1]Global_Spot Prices'!$D:$D)</f>
        <v>38.585000000000001</v>
      </c>
      <c r="E312">
        <f>_xlfn.XLOOKUP(A312,'[1]Global_Spot Prices'!$B:$B,'[1]Global_Spot Prices'!$H:$H)</f>
        <v>39.14</v>
      </c>
      <c r="F312">
        <f>_xlfn.XLOOKUP(A312,'[1]Global_Spot Prices'!$B:$B,'[1]Global_Spot Prices'!$I:$I)</f>
        <v>51.55</v>
      </c>
      <c r="G312" cm="1">
        <f t="array" ref="G312">_xlfn.XLOOKUP(TEXT(A312, "mmm-yy"), TEXT([2]RUNS!$B$5:$B$208, "mmm-yy"), [2]RUNS!$D$5:$D$208, "Not Found")</f>
        <v>27518.533521245532</v>
      </c>
      <c r="H312" cm="1">
        <f t="array" ref="H312">SUMPRODUCT(
    --(TEXT('[3]Global Weekly Stock (EWSuez'!$B$4:$B$2000,"mmm-yy")=TEXT(A312,"mmm-yy")),
    '[3]Global Weekly Stock (EWSuez'!$E$4:$E$2000)
/
SUMPRODUCT(
    --(TEXT('[3]Global Weekly Stock (EWSuez'!$B$4:$B$2000,"mmm-yy")=TEXT(A312,"mmm-yy"))
)</f>
        <v>14803.25</v>
      </c>
      <c r="I312">
        <f>_xlfn.XLOOKUP(A312,[1]ForwardDeriv!$D:$D,[1]ForwardDeriv!$AJ:$AJ)</f>
        <v>-0.62000000000000455</v>
      </c>
      <c r="J312" cm="1">
        <f t="array" ref="J312">_xlfn.XLOOKUP(TEXT(A312, "mmm-yy"), TEXT([2]GASOLINE!$B$5:$B$208, "mmm-yy"), [2]GASOLINE!$IR$5:$IR$208, "Not Found")</f>
        <v>101.13198856025218</v>
      </c>
      <c r="K312" cm="1">
        <f t="array" ref="K312">_xlfn.XLOOKUP(TEXT(A312, "mmm-yy"), TEXT([2]GASOLINE!$B$5:$B$208, "mmm-yy"), [2]GASOLINE!$IK$5:$IK$208, "Not Found")</f>
        <v>0</v>
      </c>
      <c r="L312">
        <f t="shared" si="4"/>
        <v>0</v>
      </c>
      <c r="M312" cm="1">
        <f t="array" ref="M312">_xlfn.XLOOKUP(TEXT(A312, "mmm-yy"), TEXT([2]GASOLINE!$B$5:$B$208, "mmm-yy"), [2]GASOLINE!$C$5:$C$208, "Not Found")</f>
        <v>6992.4462032510883</v>
      </c>
      <c r="N312" cm="1">
        <f t="array" ref="N312">_xlfn.XLOOKUP(TEXT(A312, "mmm-yy"), TEXT([2]RUNS!$B$5:$B$208, "mmm-yy"), [2]RUNS!$BM$5:$BM$208, "Not Found")</f>
        <v>0.81432885373097696</v>
      </c>
    </row>
    <row r="313" spans="1:14" x14ac:dyDescent="0.25">
      <c r="A313" s="1">
        <f>'[1]Global_Spot Prices'!$B1622</f>
        <v>42440</v>
      </c>
      <c r="B313">
        <f>_xlfn.XLOOKUP(A313,'[1]Global_Spot Prices'!$B:$B,'[1]Global_Spot Prices'!$BS:$BS)</f>
        <v>15.740000000000002</v>
      </c>
      <c r="C313">
        <f>_xlfn.XLOOKUP(A313,'[1]Global_Spot Prices'!$B:$B,'[1]Global_Spot Prices'!$E:$E)</f>
        <v>36.049999999999997</v>
      </c>
      <c r="D313">
        <f>_xlfn.XLOOKUP(A313,'[1]Global_Spot Prices'!$B:$B,'[1]Global_Spot Prices'!$D:$D)</f>
        <v>39.18</v>
      </c>
      <c r="E313">
        <f>_xlfn.XLOOKUP(A313,'[1]Global_Spot Prices'!$B:$B,'[1]Global_Spot Prices'!$H:$H)</f>
        <v>38.89</v>
      </c>
      <c r="F313">
        <f>_xlfn.XLOOKUP(A313,'[1]Global_Spot Prices'!$B:$B,'[1]Global_Spot Prices'!$I:$I)</f>
        <v>51.79</v>
      </c>
      <c r="G313" cm="1">
        <f t="array" ref="G313">_xlfn.XLOOKUP(TEXT(A313, "mmm-yy"), TEXT([2]RUNS!$B$5:$B$208, "mmm-yy"), [2]RUNS!$D$5:$D$208, "Not Found")</f>
        <v>27518.533521245532</v>
      </c>
      <c r="H313" cm="1">
        <f t="array" ref="H313">SUMPRODUCT(
    --(TEXT('[3]Global Weekly Stock (EWSuez'!$B$4:$B$2000,"mmm-yy")=TEXT(A313,"mmm-yy")),
    '[3]Global Weekly Stock (EWSuez'!$E$4:$E$2000)
/
SUMPRODUCT(
    --(TEXT('[3]Global Weekly Stock (EWSuez'!$B$4:$B$2000,"mmm-yy")=TEXT(A313,"mmm-yy"))
)</f>
        <v>14803.25</v>
      </c>
      <c r="I313">
        <f>_xlfn.XLOOKUP(A313,[1]ForwardDeriv!$D:$D,[1]ForwardDeriv!$AJ:$AJ)</f>
        <v>-0.69999999999999574</v>
      </c>
      <c r="J313" cm="1">
        <f t="array" ref="J313">_xlfn.XLOOKUP(TEXT(A313, "mmm-yy"), TEXT([2]GASOLINE!$B$5:$B$208, "mmm-yy"), [2]GASOLINE!$IR$5:$IR$208, "Not Found")</f>
        <v>101.13198856025218</v>
      </c>
      <c r="K313" cm="1">
        <f t="array" ref="K313">_xlfn.XLOOKUP(TEXT(A313, "mmm-yy"), TEXT([2]GASOLINE!$B$5:$B$208, "mmm-yy"), [2]GASOLINE!$IK$5:$IK$208, "Not Found")</f>
        <v>0</v>
      </c>
      <c r="L313">
        <f t="shared" si="4"/>
        <v>0</v>
      </c>
      <c r="M313" cm="1">
        <f t="array" ref="M313">_xlfn.XLOOKUP(TEXT(A313, "mmm-yy"), TEXT([2]GASOLINE!$B$5:$B$208, "mmm-yy"), [2]GASOLINE!$C$5:$C$208, "Not Found")</f>
        <v>6992.4462032510883</v>
      </c>
      <c r="N313" cm="1">
        <f t="array" ref="N313">_xlfn.XLOOKUP(TEXT(A313, "mmm-yy"), TEXT([2]RUNS!$B$5:$B$208, "mmm-yy"), [2]RUNS!$BM$5:$BM$208, "Not Found")</f>
        <v>0.81432885373097696</v>
      </c>
    </row>
    <row r="314" spans="1:14" x14ac:dyDescent="0.25">
      <c r="A314" s="1">
        <f>'[1]Global_Spot Prices'!$B1623</f>
        <v>42443</v>
      </c>
      <c r="B314">
        <f>_xlfn.XLOOKUP(A314,'[1]Global_Spot Prices'!$B:$B,'[1]Global_Spot Prices'!$BS:$BS)</f>
        <v>15.310000000000002</v>
      </c>
      <c r="C314">
        <f>_xlfn.XLOOKUP(A314,'[1]Global_Spot Prices'!$B:$B,'[1]Global_Spot Prices'!$E:$E)</f>
        <v>35.29</v>
      </c>
      <c r="D314">
        <f>_xlfn.XLOOKUP(A314,'[1]Global_Spot Prices'!$B:$B,'[1]Global_Spot Prices'!$D:$D)</f>
        <v>37.89</v>
      </c>
      <c r="E314">
        <f>_xlfn.XLOOKUP(A314,'[1]Global_Spot Prices'!$B:$B,'[1]Global_Spot Prices'!$H:$H)</f>
        <v>37.78</v>
      </c>
      <c r="F314">
        <f>_xlfn.XLOOKUP(A314,'[1]Global_Spot Prices'!$B:$B,'[1]Global_Spot Prices'!$I:$I)</f>
        <v>50.6</v>
      </c>
      <c r="G314" cm="1">
        <f t="array" ref="G314">_xlfn.XLOOKUP(TEXT(A314, "mmm-yy"), TEXT([2]RUNS!$B$5:$B$208, "mmm-yy"), [2]RUNS!$D$5:$D$208, "Not Found")</f>
        <v>27518.533521245532</v>
      </c>
      <c r="H314" cm="1">
        <f t="array" ref="H314">SUMPRODUCT(
    --(TEXT('[3]Global Weekly Stock (EWSuez'!$B$4:$B$2000,"mmm-yy")=TEXT(A314,"mmm-yy")),
    '[3]Global Weekly Stock (EWSuez'!$E$4:$E$2000)
/
SUMPRODUCT(
    --(TEXT('[3]Global Weekly Stock (EWSuez'!$B$4:$B$2000,"mmm-yy")=TEXT(A314,"mmm-yy"))
)</f>
        <v>14803.25</v>
      </c>
      <c r="I314">
        <f>_xlfn.XLOOKUP(A314,[1]ForwardDeriv!$D:$D,[1]ForwardDeriv!$AJ:$AJ)</f>
        <v>-0.70000000000000284</v>
      </c>
      <c r="J314" cm="1">
        <f t="array" ref="J314">_xlfn.XLOOKUP(TEXT(A314, "mmm-yy"), TEXT([2]GASOLINE!$B$5:$B$208, "mmm-yy"), [2]GASOLINE!$IR$5:$IR$208, "Not Found")</f>
        <v>101.13198856025218</v>
      </c>
      <c r="K314" cm="1">
        <f t="array" ref="K314">_xlfn.XLOOKUP(TEXT(A314, "mmm-yy"), TEXT([2]GASOLINE!$B$5:$B$208, "mmm-yy"), [2]GASOLINE!$IK$5:$IK$208, "Not Found")</f>
        <v>0</v>
      </c>
      <c r="L314">
        <f t="shared" si="4"/>
        <v>0</v>
      </c>
      <c r="M314" cm="1">
        <f t="array" ref="M314">_xlfn.XLOOKUP(TEXT(A314, "mmm-yy"), TEXT([2]GASOLINE!$B$5:$B$208, "mmm-yy"), [2]GASOLINE!$C$5:$C$208, "Not Found")</f>
        <v>6992.4462032510883</v>
      </c>
      <c r="N314" cm="1">
        <f t="array" ref="N314">_xlfn.XLOOKUP(TEXT(A314, "mmm-yy"), TEXT([2]RUNS!$B$5:$B$208, "mmm-yy"), [2]RUNS!$BM$5:$BM$208, "Not Found")</f>
        <v>0.81432885373097696</v>
      </c>
    </row>
    <row r="315" spans="1:14" x14ac:dyDescent="0.25">
      <c r="A315" s="1">
        <f>'[1]Global_Spot Prices'!$B1624</f>
        <v>42444</v>
      </c>
      <c r="B315">
        <f>_xlfn.XLOOKUP(A315,'[1]Global_Spot Prices'!$B:$B,'[1]Global_Spot Prices'!$BS:$BS)</f>
        <v>14.940000000000005</v>
      </c>
      <c r="C315">
        <f>_xlfn.XLOOKUP(A315,'[1]Global_Spot Prices'!$B:$B,'[1]Global_Spot Prices'!$E:$E)</f>
        <v>34.159999999999997</v>
      </c>
      <c r="D315">
        <f>_xlfn.XLOOKUP(A315,'[1]Global_Spot Prices'!$B:$B,'[1]Global_Spot Prices'!$D:$D)</f>
        <v>37.42</v>
      </c>
      <c r="E315">
        <f>_xlfn.XLOOKUP(A315,'[1]Global_Spot Prices'!$B:$B,'[1]Global_Spot Prices'!$H:$H)</f>
        <v>37.22</v>
      </c>
      <c r="F315">
        <f>_xlfn.XLOOKUP(A315,'[1]Global_Spot Prices'!$B:$B,'[1]Global_Spot Prices'!$I:$I)</f>
        <v>49.1</v>
      </c>
      <c r="G315" cm="1">
        <f t="array" ref="G315">_xlfn.XLOOKUP(TEXT(A315, "mmm-yy"), TEXT([2]RUNS!$B$5:$B$208, "mmm-yy"), [2]RUNS!$D$5:$D$208, "Not Found")</f>
        <v>27518.533521245532</v>
      </c>
      <c r="H315" cm="1">
        <f t="array" ref="H315">SUMPRODUCT(
    --(TEXT('[3]Global Weekly Stock (EWSuez'!$B$4:$B$2000,"mmm-yy")=TEXT(A315,"mmm-yy")),
    '[3]Global Weekly Stock (EWSuez'!$E$4:$E$2000)
/
SUMPRODUCT(
    --(TEXT('[3]Global Weekly Stock (EWSuez'!$B$4:$B$2000,"mmm-yy")=TEXT(A315,"mmm-yy"))
)</f>
        <v>14803.25</v>
      </c>
      <c r="I315">
        <f>_xlfn.XLOOKUP(A315,[1]ForwardDeriv!$D:$D,[1]ForwardDeriv!$AJ:$AJ)</f>
        <v>-0.78000000000000114</v>
      </c>
      <c r="J315" cm="1">
        <f t="array" ref="J315">_xlfn.XLOOKUP(TEXT(A315, "mmm-yy"), TEXT([2]GASOLINE!$B$5:$B$208, "mmm-yy"), [2]GASOLINE!$IR$5:$IR$208, "Not Found")</f>
        <v>101.13198856025218</v>
      </c>
      <c r="K315" cm="1">
        <f t="array" ref="K315">_xlfn.XLOOKUP(TEXT(A315, "mmm-yy"), TEXT([2]GASOLINE!$B$5:$B$208, "mmm-yy"), [2]GASOLINE!$IK$5:$IK$208, "Not Found")</f>
        <v>0</v>
      </c>
      <c r="L315">
        <f t="shared" si="4"/>
        <v>0</v>
      </c>
      <c r="M315" cm="1">
        <f t="array" ref="M315">_xlfn.XLOOKUP(TEXT(A315, "mmm-yy"), TEXT([2]GASOLINE!$B$5:$B$208, "mmm-yy"), [2]GASOLINE!$C$5:$C$208, "Not Found")</f>
        <v>6992.4462032510883</v>
      </c>
      <c r="N315" cm="1">
        <f t="array" ref="N315">_xlfn.XLOOKUP(TEXT(A315, "mmm-yy"), TEXT([2]RUNS!$B$5:$B$208, "mmm-yy"), [2]RUNS!$BM$5:$BM$208, "Not Found")</f>
        <v>0.81432885373097696</v>
      </c>
    </row>
    <row r="316" spans="1:14" x14ac:dyDescent="0.25">
      <c r="A316" s="1">
        <f>'[1]Global_Spot Prices'!$B1625</f>
        <v>42445</v>
      </c>
      <c r="B316">
        <f>_xlfn.XLOOKUP(A316,'[1]Global_Spot Prices'!$B:$B,'[1]Global_Spot Prices'!$BS:$BS)</f>
        <v>14.64</v>
      </c>
      <c r="C316">
        <f>_xlfn.XLOOKUP(A316,'[1]Global_Spot Prices'!$B:$B,'[1]Global_Spot Prices'!$E:$E)</f>
        <v>34.65</v>
      </c>
      <c r="D316">
        <f>_xlfn.XLOOKUP(A316,'[1]Global_Spot Prices'!$B:$B,'[1]Global_Spot Prices'!$D:$D)</f>
        <v>38.704999999999998</v>
      </c>
      <c r="E316">
        <f>_xlfn.XLOOKUP(A316,'[1]Global_Spot Prices'!$B:$B,'[1]Global_Spot Prices'!$H:$H)</f>
        <v>38.06</v>
      </c>
      <c r="F316">
        <f>_xlfn.XLOOKUP(A316,'[1]Global_Spot Prices'!$B:$B,'[1]Global_Spot Prices'!$I:$I)</f>
        <v>49.29</v>
      </c>
      <c r="G316" cm="1">
        <f t="array" ref="G316">_xlfn.XLOOKUP(TEXT(A316, "mmm-yy"), TEXT([2]RUNS!$B$5:$B$208, "mmm-yy"), [2]RUNS!$D$5:$D$208, "Not Found")</f>
        <v>27518.533521245532</v>
      </c>
      <c r="H316" cm="1">
        <f t="array" ref="H316">SUMPRODUCT(
    --(TEXT('[3]Global Weekly Stock (EWSuez'!$B$4:$B$2000,"mmm-yy")=TEXT(A316,"mmm-yy")),
    '[3]Global Weekly Stock (EWSuez'!$E$4:$E$2000)
/
SUMPRODUCT(
    --(TEXT('[3]Global Weekly Stock (EWSuez'!$B$4:$B$2000,"mmm-yy")=TEXT(A316,"mmm-yy"))
)</f>
        <v>14803.25</v>
      </c>
      <c r="I316">
        <f>_xlfn.XLOOKUP(A316,[1]ForwardDeriv!$D:$D,[1]ForwardDeriv!$AJ:$AJ)</f>
        <v>-0.72999999999999687</v>
      </c>
      <c r="J316" cm="1">
        <f t="array" ref="J316">_xlfn.XLOOKUP(TEXT(A316, "mmm-yy"), TEXT([2]GASOLINE!$B$5:$B$208, "mmm-yy"), [2]GASOLINE!$IR$5:$IR$208, "Not Found")</f>
        <v>101.13198856025218</v>
      </c>
      <c r="K316" cm="1">
        <f t="array" ref="K316">_xlfn.XLOOKUP(TEXT(A316, "mmm-yy"), TEXT([2]GASOLINE!$B$5:$B$208, "mmm-yy"), [2]GASOLINE!$IK$5:$IK$208, "Not Found")</f>
        <v>0</v>
      </c>
      <c r="L316">
        <f t="shared" si="4"/>
        <v>0</v>
      </c>
      <c r="M316" cm="1">
        <f t="array" ref="M316">_xlfn.XLOOKUP(TEXT(A316, "mmm-yy"), TEXT([2]GASOLINE!$B$5:$B$208, "mmm-yy"), [2]GASOLINE!$C$5:$C$208, "Not Found")</f>
        <v>6992.4462032510883</v>
      </c>
      <c r="N316" cm="1">
        <f t="array" ref="N316">_xlfn.XLOOKUP(TEXT(A316, "mmm-yy"), TEXT([2]RUNS!$B$5:$B$208, "mmm-yy"), [2]RUNS!$BM$5:$BM$208, "Not Found")</f>
        <v>0.81432885373097696</v>
      </c>
    </row>
    <row r="317" spans="1:14" x14ac:dyDescent="0.25">
      <c r="A317" s="1">
        <f>'[1]Global_Spot Prices'!$B1626</f>
        <v>42446</v>
      </c>
      <c r="B317">
        <f>_xlfn.XLOOKUP(A317,'[1]Global_Spot Prices'!$B:$B,'[1]Global_Spot Prices'!$BS:$BS)</f>
        <v>14.059999999999995</v>
      </c>
      <c r="C317">
        <f>_xlfn.XLOOKUP(A317,'[1]Global_Spot Prices'!$B:$B,'[1]Global_Spot Prices'!$E:$E)</f>
        <v>36.880000000000003</v>
      </c>
      <c r="D317">
        <f>_xlfn.XLOOKUP(A317,'[1]Global_Spot Prices'!$B:$B,'[1]Global_Spot Prices'!$D:$D)</f>
        <v>40.034999999999997</v>
      </c>
      <c r="E317">
        <f>_xlfn.XLOOKUP(A317,'[1]Global_Spot Prices'!$B:$B,'[1]Global_Spot Prices'!$H:$H)</f>
        <v>40.18</v>
      </c>
      <c r="F317">
        <f>_xlfn.XLOOKUP(A317,'[1]Global_Spot Prices'!$B:$B,'[1]Global_Spot Prices'!$I:$I)</f>
        <v>50.94</v>
      </c>
      <c r="G317" cm="1">
        <f t="array" ref="G317">_xlfn.XLOOKUP(TEXT(A317, "mmm-yy"), TEXT([2]RUNS!$B$5:$B$208, "mmm-yy"), [2]RUNS!$D$5:$D$208, "Not Found")</f>
        <v>27518.533521245532</v>
      </c>
      <c r="H317" cm="1">
        <f t="array" ref="H317">SUMPRODUCT(
    --(TEXT('[3]Global Weekly Stock (EWSuez'!$B$4:$B$2000,"mmm-yy")=TEXT(A317,"mmm-yy")),
    '[3]Global Weekly Stock (EWSuez'!$E$4:$E$2000)
/
SUMPRODUCT(
    --(TEXT('[3]Global Weekly Stock (EWSuez'!$B$4:$B$2000,"mmm-yy")=TEXT(A317,"mmm-yy"))
)</f>
        <v>14803.25</v>
      </c>
      <c r="I317">
        <f>_xlfn.XLOOKUP(A317,[1]ForwardDeriv!$D:$D,[1]ForwardDeriv!$AJ:$AJ)</f>
        <v>-0.82000000000000028</v>
      </c>
      <c r="J317" cm="1">
        <f t="array" ref="J317">_xlfn.XLOOKUP(TEXT(A317, "mmm-yy"), TEXT([2]GASOLINE!$B$5:$B$208, "mmm-yy"), [2]GASOLINE!$IR$5:$IR$208, "Not Found")</f>
        <v>101.13198856025218</v>
      </c>
      <c r="K317" cm="1">
        <f t="array" ref="K317">_xlfn.XLOOKUP(TEXT(A317, "mmm-yy"), TEXT([2]GASOLINE!$B$5:$B$208, "mmm-yy"), [2]GASOLINE!$IK$5:$IK$208, "Not Found")</f>
        <v>0</v>
      </c>
      <c r="L317">
        <f t="shared" si="4"/>
        <v>0</v>
      </c>
      <c r="M317" cm="1">
        <f t="array" ref="M317">_xlfn.XLOOKUP(TEXT(A317, "mmm-yy"), TEXT([2]GASOLINE!$B$5:$B$208, "mmm-yy"), [2]GASOLINE!$C$5:$C$208, "Not Found")</f>
        <v>6992.4462032510883</v>
      </c>
      <c r="N317" cm="1">
        <f t="array" ref="N317">_xlfn.XLOOKUP(TEXT(A317, "mmm-yy"), TEXT([2]RUNS!$B$5:$B$208, "mmm-yy"), [2]RUNS!$BM$5:$BM$208, "Not Found")</f>
        <v>0.81432885373097696</v>
      </c>
    </row>
    <row r="318" spans="1:14" x14ac:dyDescent="0.25">
      <c r="A318" s="1">
        <f>'[1]Global_Spot Prices'!$B1627</f>
        <v>42447</v>
      </c>
      <c r="B318">
        <f>_xlfn.XLOOKUP(A318,'[1]Global_Spot Prices'!$B:$B,'[1]Global_Spot Prices'!$BS:$BS)</f>
        <v>13.46</v>
      </c>
      <c r="C318">
        <f>_xlfn.XLOOKUP(A318,'[1]Global_Spot Prices'!$B:$B,'[1]Global_Spot Prices'!$E:$E)</f>
        <v>37.65</v>
      </c>
      <c r="D318">
        <f>_xlfn.XLOOKUP(A318,'[1]Global_Spot Prices'!$B:$B,'[1]Global_Spot Prices'!$D:$D)</f>
        <v>40.24</v>
      </c>
      <c r="E318">
        <f>_xlfn.XLOOKUP(A318,'[1]Global_Spot Prices'!$B:$B,'[1]Global_Spot Prices'!$H:$H)</f>
        <v>40.159999999999997</v>
      </c>
      <c r="F318">
        <f>_xlfn.XLOOKUP(A318,'[1]Global_Spot Prices'!$B:$B,'[1]Global_Spot Prices'!$I:$I)</f>
        <v>51.11</v>
      </c>
      <c r="G318" cm="1">
        <f t="array" ref="G318">_xlfn.XLOOKUP(TEXT(A318, "mmm-yy"), TEXT([2]RUNS!$B$5:$B$208, "mmm-yy"), [2]RUNS!$D$5:$D$208, "Not Found")</f>
        <v>27518.533521245532</v>
      </c>
      <c r="H318" cm="1">
        <f t="array" ref="H318">SUMPRODUCT(
    --(TEXT('[3]Global Weekly Stock (EWSuez'!$B$4:$B$2000,"mmm-yy")=TEXT(A318,"mmm-yy")),
    '[3]Global Weekly Stock (EWSuez'!$E$4:$E$2000)
/
SUMPRODUCT(
    --(TEXT('[3]Global Weekly Stock (EWSuez'!$B$4:$B$2000,"mmm-yy")=TEXT(A318,"mmm-yy"))
)</f>
        <v>14803.25</v>
      </c>
      <c r="I318">
        <f>_xlfn.XLOOKUP(A318,[1]ForwardDeriv!$D:$D,[1]ForwardDeriv!$AJ:$AJ)</f>
        <v>-0.84999999999999432</v>
      </c>
      <c r="J318" cm="1">
        <f t="array" ref="J318">_xlfn.XLOOKUP(TEXT(A318, "mmm-yy"), TEXT([2]GASOLINE!$B$5:$B$208, "mmm-yy"), [2]GASOLINE!$IR$5:$IR$208, "Not Found")</f>
        <v>101.13198856025218</v>
      </c>
      <c r="K318" cm="1">
        <f t="array" ref="K318">_xlfn.XLOOKUP(TEXT(A318, "mmm-yy"), TEXT([2]GASOLINE!$B$5:$B$208, "mmm-yy"), [2]GASOLINE!$IK$5:$IK$208, "Not Found")</f>
        <v>0</v>
      </c>
      <c r="L318">
        <f t="shared" si="4"/>
        <v>0</v>
      </c>
      <c r="M318" cm="1">
        <f t="array" ref="M318">_xlfn.XLOOKUP(TEXT(A318, "mmm-yy"), TEXT([2]GASOLINE!$B$5:$B$208, "mmm-yy"), [2]GASOLINE!$C$5:$C$208, "Not Found")</f>
        <v>6992.4462032510883</v>
      </c>
      <c r="N318" cm="1">
        <f t="array" ref="N318">_xlfn.XLOOKUP(TEXT(A318, "mmm-yy"), TEXT([2]RUNS!$B$5:$B$208, "mmm-yy"), [2]RUNS!$BM$5:$BM$208, "Not Found")</f>
        <v>0.81432885373097696</v>
      </c>
    </row>
    <row r="319" spans="1:14" x14ac:dyDescent="0.25">
      <c r="A319" s="1">
        <f>'[1]Global_Spot Prices'!$B1628</f>
        <v>42450</v>
      </c>
      <c r="B319">
        <f>_xlfn.XLOOKUP(A319,'[1]Global_Spot Prices'!$B:$B,'[1]Global_Spot Prices'!$BS:$BS)</f>
        <v>13.579999999999998</v>
      </c>
      <c r="C319">
        <f>_xlfn.XLOOKUP(A319,'[1]Global_Spot Prices'!$B:$B,'[1]Global_Spot Prices'!$E:$E)</f>
        <v>37</v>
      </c>
      <c r="D319">
        <f>_xlfn.XLOOKUP(A319,'[1]Global_Spot Prices'!$B:$B,'[1]Global_Spot Prices'!$D:$D)</f>
        <v>40.234999999999999</v>
      </c>
      <c r="E319">
        <f>_xlfn.XLOOKUP(A319,'[1]Global_Spot Prices'!$B:$B,'[1]Global_Spot Prices'!$H:$H)</f>
        <v>40.409999999999997</v>
      </c>
      <c r="F319">
        <f>_xlfn.XLOOKUP(A319,'[1]Global_Spot Prices'!$B:$B,'[1]Global_Spot Prices'!$I:$I)</f>
        <v>50.58</v>
      </c>
      <c r="G319" cm="1">
        <f t="array" ref="G319">_xlfn.XLOOKUP(TEXT(A319, "mmm-yy"), TEXT([2]RUNS!$B$5:$B$208, "mmm-yy"), [2]RUNS!$D$5:$D$208, "Not Found")</f>
        <v>27518.533521245532</v>
      </c>
      <c r="H319" cm="1">
        <f t="array" ref="H319">SUMPRODUCT(
    --(TEXT('[3]Global Weekly Stock (EWSuez'!$B$4:$B$2000,"mmm-yy")=TEXT(A319,"mmm-yy")),
    '[3]Global Weekly Stock (EWSuez'!$E$4:$E$2000)
/
SUMPRODUCT(
    --(TEXT('[3]Global Weekly Stock (EWSuez'!$B$4:$B$2000,"mmm-yy")=TEXT(A319,"mmm-yy"))
)</f>
        <v>14803.25</v>
      </c>
      <c r="I319">
        <f>_xlfn.XLOOKUP(A319,[1]ForwardDeriv!$D:$D,[1]ForwardDeriv!$AJ:$AJ)</f>
        <v>-0.86000000000000654</v>
      </c>
      <c r="J319" cm="1">
        <f t="array" ref="J319">_xlfn.XLOOKUP(TEXT(A319, "mmm-yy"), TEXT([2]GASOLINE!$B$5:$B$208, "mmm-yy"), [2]GASOLINE!$IR$5:$IR$208, "Not Found")</f>
        <v>101.13198856025218</v>
      </c>
      <c r="K319" cm="1">
        <f t="array" ref="K319">_xlfn.XLOOKUP(TEXT(A319, "mmm-yy"), TEXT([2]GASOLINE!$B$5:$B$208, "mmm-yy"), [2]GASOLINE!$IK$5:$IK$208, "Not Found")</f>
        <v>0</v>
      </c>
      <c r="L319">
        <f t="shared" si="4"/>
        <v>0</v>
      </c>
      <c r="M319" cm="1">
        <f t="array" ref="M319">_xlfn.XLOOKUP(TEXT(A319, "mmm-yy"), TEXT([2]GASOLINE!$B$5:$B$208, "mmm-yy"), [2]GASOLINE!$C$5:$C$208, "Not Found")</f>
        <v>6992.4462032510883</v>
      </c>
      <c r="N319" cm="1">
        <f t="array" ref="N319">_xlfn.XLOOKUP(TEXT(A319, "mmm-yy"), TEXT([2]RUNS!$B$5:$B$208, "mmm-yy"), [2]RUNS!$BM$5:$BM$208, "Not Found")</f>
        <v>0.81432885373097696</v>
      </c>
    </row>
    <row r="320" spans="1:14" x14ac:dyDescent="0.25">
      <c r="A320" s="1">
        <f>'[1]Global_Spot Prices'!$B1629</f>
        <v>42451</v>
      </c>
      <c r="B320">
        <f>_xlfn.XLOOKUP(A320,'[1]Global_Spot Prices'!$B:$B,'[1]Global_Spot Prices'!$BS:$BS)</f>
        <v>14.450000000000003</v>
      </c>
      <c r="C320">
        <f>_xlfn.XLOOKUP(A320,'[1]Global_Spot Prices'!$B:$B,'[1]Global_Spot Prices'!$E:$E)</f>
        <v>37.409999999999997</v>
      </c>
      <c r="D320">
        <f>_xlfn.XLOOKUP(A320,'[1]Global_Spot Prices'!$B:$B,'[1]Global_Spot Prices'!$D:$D)</f>
        <v>40.159999999999997</v>
      </c>
      <c r="E320">
        <f>_xlfn.XLOOKUP(A320,'[1]Global_Spot Prices'!$B:$B,'[1]Global_Spot Prices'!$H:$H)</f>
        <v>41.16</v>
      </c>
      <c r="F320">
        <f>_xlfn.XLOOKUP(A320,'[1]Global_Spot Prices'!$B:$B,'[1]Global_Spot Prices'!$I:$I)</f>
        <v>51.86</v>
      </c>
      <c r="G320" cm="1">
        <f t="array" ref="G320">_xlfn.XLOOKUP(TEXT(A320, "mmm-yy"), TEXT([2]RUNS!$B$5:$B$208, "mmm-yy"), [2]RUNS!$D$5:$D$208, "Not Found")</f>
        <v>27518.533521245532</v>
      </c>
      <c r="H320" cm="1">
        <f t="array" ref="H320">SUMPRODUCT(
    --(TEXT('[3]Global Weekly Stock (EWSuez'!$B$4:$B$2000,"mmm-yy")=TEXT(A320,"mmm-yy")),
    '[3]Global Weekly Stock (EWSuez'!$E$4:$E$2000)
/
SUMPRODUCT(
    --(TEXT('[3]Global Weekly Stock (EWSuez'!$B$4:$B$2000,"mmm-yy")=TEXT(A320,"mmm-yy"))
)</f>
        <v>14803.25</v>
      </c>
      <c r="I320">
        <f>_xlfn.XLOOKUP(A320,[1]ForwardDeriv!$D:$D,[1]ForwardDeriv!$AJ:$AJ)</f>
        <v>-0.82999999999999829</v>
      </c>
      <c r="J320" cm="1">
        <f t="array" ref="J320">_xlfn.XLOOKUP(TEXT(A320, "mmm-yy"), TEXT([2]GASOLINE!$B$5:$B$208, "mmm-yy"), [2]GASOLINE!$IR$5:$IR$208, "Not Found")</f>
        <v>101.13198856025218</v>
      </c>
      <c r="K320" cm="1">
        <f t="array" ref="K320">_xlfn.XLOOKUP(TEXT(A320, "mmm-yy"), TEXT([2]GASOLINE!$B$5:$B$208, "mmm-yy"), [2]GASOLINE!$IK$5:$IK$208, "Not Found")</f>
        <v>0</v>
      </c>
      <c r="L320">
        <f t="shared" si="4"/>
        <v>0</v>
      </c>
      <c r="M320" cm="1">
        <f t="array" ref="M320">_xlfn.XLOOKUP(TEXT(A320, "mmm-yy"), TEXT([2]GASOLINE!$B$5:$B$208, "mmm-yy"), [2]GASOLINE!$C$5:$C$208, "Not Found")</f>
        <v>6992.4462032510883</v>
      </c>
      <c r="N320" cm="1">
        <f t="array" ref="N320">_xlfn.XLOOKUP(TEXT(A320, "mmm-yy"), TEXT([2]RUNS!$B$5:$B$208, "mmm-yy"), [2]RUNS!$BM$5:$BM$208, "Not Found")</f>
        <v>0.81432885373097696</v>
      </c>
    </row>
    <row r="321" spans="1:14" x14ac:dyDescent="0.25">
      <c r="A321" s="1">
        <f>'[1]Global_Spot Prices'!$B1630</f>
        <v>42452</v>
      </c>
      <c r="B321">
        <f>_xlfn.XLOOKUP(A321,'[1]Global_Spot Prices'!$B:$B,'[1]Global_Spot Prices'!$BS:$BS)</f>
        <v>15.950000000000003</v>
      </c>
      <c r="C321">
        <f>_xlfn.XLOOKUP(A321,'[1]Global_Spot Prices'!$B:$B,'[1]Global_Spot Prices'!$E:$E)</f>
        <v>37.15</v>
      </c>
      <c r="D321">
        <f>_xlfn.XLOOKUP(A321,'[1]Global_Spot Prices'!$B:$B,'[1]Global_Spot Prices'!$D:$D)</f>
        <v>39.255000000000003</v>
      </c>
      <c r="E321">
        <f>_xlfn.XLOOKUP(A321,'[1]Global_Spot Prices'!$B:$B,'[1]Global_Spot Prices'!$H:$H)</f>
        <v>41.98</v>
      </c>
      <c r="F321">
        <f>_xlfn.XLOOKUP(A321,'[1]Global_Spot Prices'!$B:$B,'[1]Global_Spot Prices'!$I:$I)</f>
        <v>53.1</v>
      </c>
      <c r="G321" cm="1">
        <f t="array" ref="G321">_xlfn.XLOOKUP(TEXT(A321, "mmm-yy"), TEXT([2]RUNS!$B$5:$B$208, "mmm-yy"), [2]RUNS!$D$5:$D$208, "Not Found")</f>
        <v>27518.533521245532</v>
      </c>
      <c r="H321" cm="1">
        <f t="array" ref="H321">SUMPRODUCT(
    --(TEXT('[3]Global Weekly Stock (EWSuez'!$B$4:$B$2000,"mmm-yy")=TEXT(A321,"mmm-yy")),
    '[3]Global Weekly Stock (EWSuez'!$E$4:$E$2000)
/
SUMPRODUCT(
    --(TEXT('[3]Global Weekly Stock (EWSuez'!$B$4:$B$2000,"mmm-yy")=TEXT(A321,"mmm-yy"))
)</f>
        <v>14803.25</v>
      </c>
      <c r="I321">
        <f>_xlfn.XLOOKUP(A321,[1]ForwardDeriv!$D:$D,[1]ForwardDeriv!$AJ:$AJ)</f>
        <v>-0.78999999999999915</v>
      </c>
      <c r="J321" cm="1">
        <f t="array" ref="J321">_xlfn.XLOOKUP(TEXT(A321, "mmm-yy"), TEXT([2]GASOLINE!$B$5:$B$208, "mmm-yy"), [2]GASOLINE!$IR$5:$IR$208, "Not Found")</f>
        <v>101.13198856025218</v>
      </c>
      <c r="K321" cm="1">
        <f t="array" ref="K321">_xlfn.XLOOKUP(TEXT(A321, "mmm-yy"), TEXT([2]GASOLINE!$B$5:$B$208, "mmm-yy"), [2]GASOLINE!$IK$5:$IK$208, "Not Found")</f>
        <v>0</v>
      </c>
      <c r="L321">
        <f t="shared" si="4"/>
        <v>0</v>
      </c>
      <c r="M321" cm="1">
        <f t="array" ref="M321">_xlfn.XLOOKUP(TEXT(A321, "mmm-yy"), TEXT([2]GASOLINE!$B$5:$B$208, "mmm-yy"), [2]GASOLINE!$C$5:$C$208, "Not Found")</f>
        <v>6992.4462032510883</v>
      </c>
      <c r="N321" cm="1">
        <f t="array" ref="N321">_xlfn.XLOOKUP(TEXT(A321, "mmm-yy"), TEXT([2]RUNS!$B$5:$B$208, "mmm-yy"), [2]RUNS!$BM$5:$BM$208, "Not Found")</f>
        <v>0.81432885373097696</v>
      </c>
    </row>
    <row r="322" spans="1:14" x14ac:dyDescent="0.25">
      <c r="A322" s="1">
        <f>'[1]Global_Spot Prices'!$B1631</f>
        <v>42453</v>
      </c>
      <c r="B322">
        <f>_xlfn.XLOOKUP(A322,'[1]Global_Spot Prices'!$B:$B,'[1]Global_Spot Prices'!$BS:$BS)</f>
        <v>15.68</v>
      </c>
      <c r="C322">
        <f>_xlfn.XLOOKUP(A322,'[1]Global_Spot Prices'!$B:$B,'[1]Global_Spot Prices'!$E:$E)</f>
        <v>36.01</v>
      </c>
      <c r="D322">
        <f>_xlfn.XLOOKUP(A322,'[1]Global_Spot Prices'!$B:$B,'[1]Global_Spot Prices'!$D:$D)</f>
        <v>38.520000000000003</v>
      </c>
      <c r="E322">
        <f>_xlfn.XLOOKUP(A322,'[1]Global_Spot Prices'!$B:$B,'[1]Global_Spot Prices'!$H:$H)</f>
        <v>41.15</v>
      </c>
      <c r="F322">
        <f>_xlfn.XLOOKUP(A322,'[1]Global_Spot Prices'!$B:$B,'[1]Global_Spot Prices'!$I:$I)</f>
        <v>51.69</v>
      </c>
      <c r="G322" cm="1">
        <f t="array" ref="G322">_xlfn.XLOOKUP(TEXT(A322, "mmm-yy"), TEXT([2]RUNS!$B$5:$B$208, "mmm-yy"), [2]RUNS!$D$5:$D$208, "Not Found")</f>
        <v>27518.533521245532</v>
      </c>
      <c r="H322" cm="1">
        <f t="array" ref="H322">SUMPRODUCT(
    --(TEXT('[3]Global Weekly Stock (EWSuez'!$B$4:$B$2000,"mmm-yy")=TEXT(A322,"mmm-yy")),
    '[3]Global Weekly Stock (EWSuez'!$E$4:$E$2000)
/
SUMPRODUCT(
    --(TEXT('[3]Global Weekly Stock (EWSuez'!$B$4:$B$2000,"mmm-yy")=TEXT(A322,"mmm-yy"))
)</f>
        <v>14803.25</v>
      </c>
      <c r="I322">
        <f>_xlfn.XLOOKUP(A322,[1]ForwardDeriv!$D:$D,[1]ForwardDeriv!$AJ:$AJ)</f>
        <v>-0.79999999999999716</v>
      </c>
      <c r="J322" cm="1">
        <f t="array" ref="J322">_xlfn.XLOOKUP(TEXT(A322, "mmm-yy"), TEXT([2]GASOLINE!$B$5:$B$208, "mmm-yy"), [2]GASOLINE!$IR$5:$IR$208, "Not Found")</f>
        <v>101.13198856025218</v>
      </c>
      <c r="K322" cm="1">
        <f t="array" ref="K322">_xlfn.XLOOKUP(TEXT(A322, "mmm-yy"), TEXT([2]GASOLINE!$B$5:$B$208, "mmm-yy"), [2]GASOLINE!$IK$5:$IK$208, "Not Found")</f>
        <v>0</v>
      </c>
      <c r="L322">
        <f t="shared" si="4"/>
        <v>0</v>
      </c>
      <c r="M322" cm="1">
        <f t="array" ref="M322">_xlfn.XLOOKUP(TEXT(A322, "mmm-yy"), TEXT([2]GASOLINE!$B$5:$B$208, "mmm-yy"), [2]GASOLINE!$C$5:$C$208, "Not Found")</f>
        <v>6992.4462032510883</v>
      </c>
      <c r="N322" cm="1">
        <f t="array" ref="N322">_xlfn.XLOOKUP(TEXT(A322, "mmm-yy"), TEXT([2]RUNS!$B$5:$B$208, "mmm-yy"), [2]RUNS!$BM$5:$BM$208, "Not Found")</f>
        <v>0.81432885373097696</v>
      </c>
    </row>
    <row r="323" spans="1:14" x14ac:dyDescent="0.25">
      <c r="A323" s="1">
        <f>'[1]Global_Spot Prices'!$B1632</f>
        <v>42454</v>
      </c>
      <c r="B323" t="e">
        <f>_xlfn.XLOOKUP(A323,'[1]Global_Spot Prices'!$B:$B,'[1]Global_Spot Prices'!$BS:$BS)</f>
        <v>#N/A</v>
      </c>
      <c r="C323" t="str">
        <f>_xlfn.XLOOKUP(A323,'[1]Global_Spot Prices'!$B:$B,'[1]Global_Spot Prices'!$E:$E)</f>
        <v/>
      </c>
      <c r="D323" t="str">
        <f>_xlfn.XLOOKUP(A323,'[1]Global_Spot Prices'!$B:$B,'[1]Global_Spot Prices'!$D:$D)</f>
        <v/>
      </c>
      <c r="E323">
        <f>_xlfn.XLOOKUP(A323,'[1]Global_Spot Prices'!$B:$B,'[1]Global_Spot Prices'!$H:$H)</f>
        <v>0</v>
      </c>
      <c r="F323">
        <f>_xlfn.XLOOKUP(A323,'[1]Global_Spot Prices'!$B:$B,'[1]Global_Spot Prices'!$I:$I)</f>
        <v>0</v>
      </c>
      <c r="G323" cm="1">
        <f t="array" ref="G323">_xlfn.XLOOKUP(TEXT(A323, "mmm-yy"), TEXT([2]RUNS!$B$5:$B$208, "mmm-yy"), [2]RUNS!$D$5:$D$208, "Not Found")</f>
        <v>27518.533521245532</v>
      </c>
      <c r="H323" cm="1">
        <f t="array" ref="H323">SUMPRODUCT(
    --(TEXT('[3]Global Weekly Stock (EWSuez'!$B$4:$B$2000,"mmm-yy")=TEXT(A323,"mmm-yy")),
    '[3]Global Weekly Stock (EWSuez'!$E$4:$E$2000)
/
SUMPRODUCT(
    --(TEXT('[3]Global Weekly Stock (EWSuez'!$B$4:$B$2000,"mmm-yy")=TEXT(A323,"mmm-yy"))
)</f>
        <v>14803.25</v>
      </c>
      <c r="I323">
        <f>_xlfn.XLOOKUP(A323,[1]ForwardDeriv!$D:$D,[1]ForwardDeriv!$AJ:$AJ)</f>
        <v>-0.74000000000000199</v>
      </c>
      <c r="J323" cm="1">
        <f t="array" ref="J323">_xlfn.XLOOKUP(TEXT(A323, "mmm-yy"), TEXT([2]GASOLINE!$B$5:$B$208, "mmm-yy"), [2]GASOLINE!$IR$5:$IR$208, "Not Found")</f>
        <v>101.13198856025218</v>
      </c>
      <c r="K323" cm="1">
        <f t="array" ref="K323">_xlfn.XLOOKUP(TEXT(A323, "mmm-yy"), TEXT([2]GASOLINE!$B$5:$B$208, "mmm-yy"), [2]GASOLINE!$IK$5:$IK$208, "Not Found")</f>
        <v>0</v>
      </c>
      <c r="L323">
        <f t="shared" ref="L323:L386" si="5">IF(OR(MONTH(A323)=6, MONTH(A323)=7, MONTH(A323)=8, MONTH(A323)=9), 1, 0)</f>
        <v>0</v>
      </c>
      <c r="M323" cm="1">
        <f t="array" ref="M323">_xlfn.XLOOKUP(TEXT(A323, "mmm-yy"), TEXT([2]GASOLINE!$B$5:$B$208, "mmm-yy"), [2]GASOLINE!$C$5:$C$208, "Not Found")</f>
        <v>6992.4462032510883</v>
      </c>
      <c r="N323" cm="1">
        <f t="array" ref="N323">_xlfn.XLOOKUP(TEXT(A323, "mmm-yy"), TEXT([2]RUNS!$B$5:$B$208, "mmm-yy"), [2]RUNS!$BM$5:$BM$208, "Not Found")</f>
        <v>0.81432885373097696</v>
      </c>
    </row>
    <row r="324" spans="1:14" x14ac:dyDescent="0.25">
      <c r="A324" s="1">
        <f>'[1]Global_Spot Prices'!$B1633</f>
        <v>42457</v>
      </c>
      <c r="B324">
        <f>_xlfn.XLOOKUP(A324,'[1]Global_Spot Prices'!$B:$B,'[1]Global_Spot Prices'!$BS:$BS)</f>
        <v>16.36</v>
      </c>
      <c r="C324">
        <f>_xlfn.XLOOKUP(A324,'[1]Global_Spot Prices'!$B:$B,'[1]Global_Spot Prices'!$E:$E)</f>
        <v>36.4</v>
      </c>
      <c r="D324" t="str">
        <f>_xlfn.XLOOKUP(A324,'[1]Global_Spot Prices'!$B:$B,'[1]Global_Spot Prices'!$D:$D)</f>
        <v/>
      </c>
      <c r="E324">
        <f>_xlfn.XLOOKUP(A324,'[1]Global_Spot Prices'!$B:$B,'[1]Global_Spot Prices'!$H:$H)</f>
        <v>42.26</v>
      </c>
      <c r="F324">
        <f>_xlfn.XLOOKUP(A324,'[1]Global_Spot Prices'!$B:$B,'[1]Global_Spot Prices'!$I:$I)</f>
        <v>52.76</v>
      </c>
      <c r="G324" cm="1">
        <f t="array" ref="G324">_xlfn.XLOOKUP(TEXT(A324, "mmm-yy"), TEXT([2]RUNS!$B$5:$B$208, "mmm-yy"), [2]RUNS!$D$5:$D$208, "Not Found")</f>
        <v>27518.533521245532</v>
      </c>
      <c r="H324" cm="1">
        <f t="array" ref="H324">SUMPRODUCT(
    --(TEXT('[3]Global Weekly Stock (EWSuez'!$B$4:$B$2000,"mmm-yy")=TEXT(A324,"mmm-yy")),
    '[3]Global Weekly Stock (EWSuez'!$E$4:$E$2000)
/
SUMPRODUCT(
    --(TEXT('[3]Global Weekly Stock (EWSuez'!$B$4:$B$2000,"mmm-yy")=TEXT(A324,"mmm-yy"))
)</f>
        <v>14803.25</v>
      </c>
      <c r="I324">
        <f>_xlfn.XLOOKUP(A324,[1]ForwardDeriv!$D:$D,[1]ForwardDeriv!$AJ:$AJ)</f>
        <v>-0.74000000000000199</v>
      </c>
      <c r="J324" cm="1">
        <f t="array" ref="J324">_xlfn.XLOOKUP(TEXT(A324, "mmm-yy"), TEXT([2]GASOLINE!$B$5:$B$208, "mmm-yy"), [2]GASOLINE!$IR$5:$IR$208, "Not Found")</f>
        <v>101.13198856025218</v>
      </c>
      <c r="K324" cm="1">
        <f t="array" ref="K324">_xlfn.XLOOKUP(TEXT(A324, "mmm-yy"), TEXT([2]GASOLINE!$B$5:$B$208, "mmm-yy"), [2]GASOLINE!$IK$5:$IK$208, "Not Found")</f>
        <v>0</v>
      </c>
      <c r="L324">
        <f t="shared" si="5"/>
        <v>0</v>
      </c>
      <c r="M324" cm="1">
        <f t="array" ref="M324">_xlfn.XLOOKUP(TEXT(A324, "mmm-yy"), TEXT([2]GASOLINE!$B$5:$B$208, "mmm-yy"), [2]GASOLINE!$C$5:$C$208, "Not Found")</f>
        <v>6992.4462032510883</v>
      </c>
      <c r="N324" cm="1">
        <f t="array" ref="N324">_xlfn.XLOOKUP(TEXT(A324, "mmm-yy"), TEXT([2]RUNS!$B$5:$B$208, "mmm-yy"), [2]RUNS!$BM$5:$BM$208, "Not Found")</f>
        <v>0.81432885373097696</v>
      </c>
    </row>
    <row r="325" spans="1:14" x14ac:dyDescent="0.25">
      <c r="A325" s="1">
        <f>'[1]Global_Spot Prices'!$B1634</f>
        <v>42458</v>
      </c>
      <c r="B325">
        <f>_xlfn.XLOOKUP(A325,'[1]Global_Spot Prices'!$B:$B,'[1]Global_Spot Prices'!$BS:$BS)</f>
        <v>16.29</v>
      </c>
      <c r="C325">
        <f>_xlfn.XLOOKUP(A325,'[1]Global_Spot Prices'!$B:$B,'[1]Global_Spot Prices'!$E:$E)</f>
        <v>35.39</v>
      </c>
      <c r="D325">
        <f>_xlfn.XLOOKUP(A325,'[1]Global_Spot Prices'!$B:$B,'[1]Global_Spot Prices'!$D:$D)</f>
        <v>37.51</v>
      </c>
      <c r="E325">
        <f>_xlfn.XLOOKUP(A325,'[1]Global_Spot Prices'!$B:$B,'[1]Global_Spot Prices'!$H:$H)</f>
        <v>41.62</v>
      </c>
      <c r="F325">
        <f>_xlfn.XLOOKUP(A325,'[1]Global_Spot Prices'!$B:$B,'[1]Global_Spot Prices'!$I:$I)</f>
        <v>51.68</v>
      </c>
      <c r="G325" cm="1">
        <f t="array" ref="G325">_xlfn.XLOOKUP(TEXT(A325, "mmm-yy"), TEXT([2]RUNS!$B$5:$B$208, "mmm-yy"), [2]RUNS!$D$5:$D$208, "Not Found")</f>
        <v>27518.533521245532</v>
      </c>
      <c r="H325" cm="1">
        <f t="array" ref="H325">SUMPRODUCT(
    --(TEXT('[3]Global Weekly Stock (EWSuez'!$B$4:$B$2000,"mmm-yy")=TEXT(A325,"mmm-yy")),
    '[3]Global Weekly Stock (EWSuez'!$E$4:$E$2000)
/
SUMPRODUCT(
    --(TEXT('[3]Global Weekly Stock (EWSuez'!$B$4:$B$2000,"mmm-yy")=TEXT(A325,"mmm-yy"))
)</f>
        <v>14803.25</v>
      </c>
      <c r="I325">
        <f>_xlfn.XLOOKUP(A325,[1]ForwardDeriv!$D:$D,[1]ForwardDeriv!$AJ:$AJ)</f>
        <v>-0.85000000000000142</v>
      </c>
      <c r="J325" cm="1">
        <f t="array" ref="J325">_xlfn.XLOOKUP(TEXT(A325, "mmm-yy"), TEXT([2]GASOLINE!$B$5:$B$208, "mmm-yy"), [2]GASOLINE!$IR$5:$IR$208, "Not Found")</f>
        <v>101.13198856025218</v>
      </c>
      <c r="K325" cm="1">
        <f t="array" ref="K325">_xlfn.XLOOKUP(TEXT(A325, "mmm-yy"), TEXT([2]GASOLINE!$B$5:$B$208, "mmm-yy"), [2]GASOLINE!$IK$5:$IK$208, "Not Found")</f>
        <v>0</v>
      </c>
      <c r="L325">
        <f t="shared" si="5"/>
        <v>0</v>
      </c>
      <c r="M325" cm="1">
        <f t="array" ref="M325">_xlfn.XLOOKUP(TEXT(A325, "mmm-yy"), TEXT([2]GASOLINE!$B$5:$B$208, "mmm-yy"), [2]GASOLINE!$C$5:$C$208, "Not Found")</f>
        <v>6992.4462032510883</v>
      </c>
      <c r="N325" cm="1">
        <f t="array" ref="N325">_xlfn.XLOOKUP(TEXT(A325, "mmm-yy"), TEXT([2]RUNS!$B$5:$B$208, "mmm-yy"), [2]RUNS!$BM$5:$BM$208, "Not Found")</f>
        <v>0.81432885373097696</v>
      </c>
    </row>
    <row r="326" spans="1:14" x14ac:dyDescent="0.25">
      <c r="A326" s="1">
        <f>'[1]Global_Spot Prices'!$B1635</f>
        <v>42459</v>
      </c>
      <c r="B326">
        <f>_xlfn.XLOOKUP(A326,'[1]Global_Spot Prices'!$B:$B,'[1]Global_Spot Prices'!$BS:$BS)</f>
        <v>16.450000000000003</v>
      </c>
      <c r="C326">
        <f>_xlfn.XLOOKUP(A326,'[1]Global_Spot Prices'!$B:$B,'[1]Global_Spot Prices'!$E:$E)</f>
        <v>35.4</v>
      </c>
      <c r="D326">
        <f>_xlfn.XLOOKUP(A326,'[1]Global_Spot Prices'!$B:$B,'[1]Global_Spot Prices'!$D:$D)</f>
        <v>38.700000000000003</v>
      </c>
      <c r="E326">
        <f>_xlfn.XLOOKUP(A326,'[1]Global_Spot Prices'!$B:$B,'[1]Global_Spot Prices'!$H:$H)</f>
        <v>42.27</v>
      </c>
      <c r="F326">
        <f>_xlfn.XLOOKUP(A326,'[1]Global_Spot Prices'!$B:$B,'[1]Global_Spot Prices'!$I:$I)</f>
        <v>51.85</v>
      </c>
      <c r="G326" cm="1">
        <f t="array" ref="G326">_xlfn.XLOOKUP(TEXT(A326, "mmm-yy"), TEXT([2]RUNS!$B$5:$B$208, "mmm-yy"), [2]RUNS!$D$5:$D$208, "Not Found")</f>
        <v>27518.533521245532</v>
      </c>
      <c r="H326" cm="1">
        <f t="array" ref="H326">SUMPRODUCT(
    --(TEXT('[3]Global Weekly Stock (EWSuez'!$B$4:$B$2000,"mmm-yy")=TEXT(A326,"mmm-yy")),
    '[3]Global Weekly Stock (EWSuez'!$E$4:$E$2000)
/
SUMPRODUCT(
    --(TEXT('[3]Global Weekly Stock (EWSuez'!$B$4:$B$2000,"mmm-yy")=TEXT(A326,"mmm-yy"))
)</f>
        <v>14803.25</v>
      </c>
      <c r="I326">
        <f>_xlfn.XLOOKUP(A326,[1]ForwardDeriv!$D:$D,[1]ForwardDeriv!$AJ:$AJ)</f>
        <v>-0.87999999999999545</v>
      </c>
      <c r="J326" cm="1">
        <f t="array" ref="J326">_xlfn.XLOOKUP(TEXT(A326, "mmm-yy"), TEXT([2]GASOLINE!$B$5:$B$208, "mmm-yy"), [2]GASOLINE!$IR$5:$IR$208, "Not Found")</f>
        <v>101.13198856025218</v>
      </c>
      <c r="K326" cm="1">
        <f t="array" ref="K326">_xlfn.XLOOKUP(TEXT(A326, "mmm-yy"), TEXT([2]GASOLINE!$B$5:$B$208, "mmm-yy"), [2]GASOLINE!$IK$5:$IK$208, "Not Found")</f>
        <v>0</v>
      </c>
      <c r="L326">
        <f t="shared" si="5"/>
        <v>0</v>
      </c>
      <c r="M326" cm="1">
        <f t="array" ref="M326">_xlfn.XLOOKUP(TEXT(A326, "mmm-yy"), TEXT([2]GASOLINE!$B$5:$B$208, "mmm-yy"), [2]GASOLINE!$C$5:$C$208, "Not Found")</f>
        <v>6992.4462032510883</v>
      </c>
      <c r="N326" cm="1">
        <f t="array" ref="N326">_xlfn.XLOOKUP(TEXT(A326, "mmm-yy"), TEXT([2]RUNS!$B$5:$B$208, "mmm-yy"), [2]RUNS!$BM$5:$BM$208, "Not Found")</f>
        <v>0.81432885373097696</v>
      </c>
    </row>
    <row r="327" spans="1:14" x14ac:dyDescent="0.25">
      <c r="A327" s="1">
        <f>'[1]Global_Spot Prices'!$B1636</f>
        <v>42460</v>
      </c>
      <c r="B327">
        <f>_xlfn.XLOOKUP(A327,'[1]Global_Spot Prices'!$B:$B,'[1]Global_Spot Prices'!$BS:$BS)</f>
        <v>15.450000000000003</v>
      </c>
      <c r="C327">
        <f>_xlfn.XLOOKUP(A327,'[1]Global_Spot Prices'!$B:$B,'[1]Global_Spot Prices'!$E:$E)</f>
        <v>34.909999999999997</v>
      </c>
      <c r="D327">
        <f>_xlfn.XLOOKUP(A327,'[1]Global_Spot Prices'!$B:$B,'[1]Global_Spot Prices'!$D:$D)</f>
        <v>38.700000000000003</v>
      </c>
      <c r="E327">
        <f>_xlfn.XLOOKUP(A327,'[1]Global_Spot Prices'!$B:$B,'[1]Global_Spot Prices'!$H:$H)</f>
        <v>41.5</v>
      </c>
      <c r="F327">
        <f>_xlfn.XLOOKUP(A327,'[1]Global_Spot Prices'!$B:$B,'[1]Global_Spot Prices'!$I:$I)</f>
        <v>50.36</v>
      </c>
      <c r="G327" cm="1">
        <f t="array" ref="G327">_xlfn.XLOOKUP(TEXT(A327, "mmm-yy"), TEXT([2]RUNS!$B$5:$B$208, "mmm-yy"), [2]RUNS!$D$5:$D$208, "Not Found")</f>
        <v>27518.533521245532</v>
      </c>
      <c r="H327" cm="1">
        <f t="array" ref="H327">SUMPRODUCT(
    --(TEXT('[3]Global Weekly Stock (EWSuez'!$B$4:$B$2000,"mmm-yy")=TEXT(A327,"mmm-yy")),
    '[3]Global Weekly Stock (EWSuez'!$E$4:$E$2000)
/
SUMPRODUCT(
    --(TEXT('[3]Global Weekly Stock (EWSuez'!$B$4:$B$2000,"mmm-yy")=TEXT(A327,"mmm-yy"))
)</f>
        <v>14803.25</v>
      </c>
      <c r="I327">
        <f>_xlfn.XLOOKUP(A327,[1]ForwardDeriv!$D:$D,[1]ForwardDeriv!$AJ:$AJ)</f>
        <v>-0.96999999999999886</v>
      </c>
      <c r="J327" cm="1">
        <f t="array" ref="J327">_xlfn.XLOOKUP(TEXT(A327, "mmm-yy"), TEXT([2]GASOLINE!$B$5:$B$208, "mmm-yy"), [2]GASOLINE!$IR$5:$IR$208, "Not Found")</f>
        <v>101.13198856025218</v>
      </c>
      <c r="K327" cm="1">
        <f t="array" ref="K327">_xlfn.XLOOKUP(TEXT(A327, "mmm-yy"), TEXT([2]GASOLINE!$B$5:$B$208, "mmm-yy"), [2]GASOLINE!$IK$5:$IK$208, "Not Found")</f>
        <v>0</v>
      </c>
      <c r="L327">
        <f t="shared" si="5"/>
        <v>0</v>
      </c>
      <c r="M327" cm="1">
        <f t="array" ref="M327">_xlfn.XLOOKUP(TEXT(A327, "mmm-yy"), TEXT([2]GASOLINE!$B$5:$B$208, "mmm-yy"), [2]GASOLINE!$C$5:$C$208, "Not Found")</f>
        <v>6992.4462032510883</v>
      </c>
      <c r="N327" cm="1">
        <f t="array" ref="N327">_xlfn.XLOOKUP(TEXT(A327, "mmm-yy"), TEXT([2]RUNS!$B$5:$B$208, "mmm-yy"), [2]RUNS!$BM$5:$BM$208, "Not Found")</f>
        <v>0.81432885373097696</v>
      </c>
    </row>
    <row r="328" spans="1:14" x14ac:dyDescent="0.25">
      <c r="A328" s="1">
        <f>'[1]Global_Spot Prices'!$B1637</f>
        <v>42461</v>
      </c>
      <c r="B328">
        <f>_xlfn.XLOOKUP(A328,'[1]Global_Spot Prices'!$B:$B,'[1]Global_Spot Prices'!$BS:$BS)</f>
        <v>13.409999999999997</v>
      </c>
      <c r="C328">
        <f>_xlfn.XLOOKUP(A328,'[1]Global_Spot Prices'!$B:$B,'[1]Global_Spot Prices'!$E:$E)</f>
        <v>36.21</v>
      </c>
      <c r="D328">
        <f>_xlfn.XLOOKUP(A328,'[1]Global_Spot Prices'!$B:$B,'[1]Global_Spot Prices'!$D:$D)</f>
        <v>36.494999999999997</v>
      </c>
      <c r="E328">
        <f>_xlfn.XLOOKUP(A328,'[1]Global_Spot Prices'!$B:$B,'[1]Global_Spot Prices'!$H:$H)</f>
        <v>41.85</v>
      </c>
      <c r="F328">
        <f>_xlfn.XLOOKUP(A328,'[1]Global_Spot Prices'!$B:$B,'[1]Global_Spot Prices'!$I:$I)</f>
        <v>49.62</v>
      </c>
      <c r="G328" cm="1">
        <f t="array" ref="G328">_xlfn.XLOOKUP(TEXT(A328, "mmm-yy"), TEXT([2]RUNS!$B$5:$B$208, "mmm-yy"), [2]RUNS!$D$5:$D$208, "Not Found")</f>
        <v>27780.464261046498</v>
      </c>
      <c r="H328" cm="1">
        <f t="array" ref="H328">SUMPRODUCT(
    --(TEXT('[3]Global Weekly Stock (EWSuez'!$B$4:$B$2000,"mmm-yy")=TEXT(A328,"mmm-yy")),
    '[3]Global Weekly Stock (EWSuez'!$E$4:$E$2000)
/
SUMPRODUCT(
    --(TEXT('[3]Global Weekly Stock (EWSuez'!$B$4:$B$2000,"mmm-yy")=TEXT(A328,"mmm-yy"))
)</f>
        <v>14805</v>
      </c>
      <c r="I328">
        <f>_xlfn.XLOOKUP(A328,[1]ForwardDeriv!$D:$D,[1]ForwardDeriv!$AJ:$AJ)</f>
        <v>-0.67000000000000171</v>
      </c>
      <c r="J328" cm="1">
        <f t="array" ref="J328">_xlfn.XLOOKUP(TEXT(A328, "mmm-yy"), TEXT([2]GASOLINE!$B$5:$B$208, "mmm-yy"), [2]GASOLINE!$IR$5:$IR$208, "Not Found")</f>
        <v>80.184464124983634</v>
      </c>
      <c r="K328" cm="1">
        <f t="array" ref="K328">_xlfn.XLOOKUP(TEXT(A328, "mmm-yy"), TEXT([2]GASOLINE!$B$5:$B$208, "mmm-yy"), [2]GASOLINE!$IK$5:$IK$208, "Not Found")</f>
        <v>0</v>
      </c>
      <c r="L328">
        <f t="shared" si="5"/>
        <v>0</v>
      </c>
      <c r="M328" cm="1">
        <f t="array" ref="M328">_xlfn.XLOOKUP(TEXT(A328, "mmm-yy"), TEXT([2]GASOLINE!$B$5:$B$208, "mmm-yy"), [2]GASOLINE!$C$5:$C$208, "Not Found")</f>
        <v>7059.8119791364052</v>
      </c>
      <c r="N328" cm="1">
        <f t="array" ref="N328">_xlfn.XLOOKUP(TEXT(A328, "mmm-yy"), TEXT([2]RUNS!$B$5:$B$208, "mmm-yy"), [2]RUNS!$BM$5:$BM$208, "Not Found")</f>
        <v>0.82201909907994863</v>
      </c>
    </row>
    <row r="329" spans="1:14" x14ac:dyDescent="0.25">
      <c r="A329" s="1">
        <f>'[1]Global_Spot Prices'!$B1638</f>
        <v>42464</v>
      </c>
      <c r="B329">
        <f>_xlfn.XLOOKUP(A329,'[1]Global_Spot Prices'!$B:$B,'[1]Global_Spot Prices'!$BS:$BS)</f>
        <v>13.46</v>
      </c>
      <c r="C329">
        <f>_xlfn.XLOOKUP(A329,'[1]Global_Spot Prices'!$B:$B,'[1]Global_Spot Prices'!$E:$E)</f>
        <v>34.81</v>
      </c>
      <c r="D329">
        <f>_xlfn.XLOOKUP(A329,'[1]Global_Spot Prices'!$B:$B,'[1]Global_Spot Prices'!$D:$D)</f>
        <v>36.18</v>
      </c>
      <c r="E329">
        <f>_xlfn.XLOOKUP(A329,'[1]Global_Spot Prices'!$B:$B,'[1]Global_Spot Prices'!$H:$H)</f>
        <v>40.19</v>
      </c>
      <c r="F329">
        <f>_xlfn.XLOOKUP(A329,'[1]Global_Spot Prices'!$B:$B,'[1]Global_Spot Prices'!$I:$I)</f>
        <v>48.27</v>
      </c>
      <c r="G329" cm="1">
        <f t="array" ref="G329">_xlfn.XLOOKUP(TEXT(A329, "mmm-yy"), TEXT([2]RUNS!$B$5:$B$208, "mmm-yy"), [2]RUNS!$D$5:$D$208, "Not Found")</f>
        <v>27780.464261046498</v>
      </c>
      <c r="H329" cm="1">
        <f t="array" ref="H329">SUMPRODUCT(
    --(TEXT('[3]Global Weekly Stock (EWSuez'!$B$4:$B$2000,"mmm-yy")=TEXT(A329,"mmm-yy")),
    '[3]Global Weekly Stock (EWSuez'!$E$4:$E$2000)
/
SUMPRODUCT(
    --(TEXT('[3]Global Weekly Stock (EWSuez'!$B$4:$B$2000,"mmm-yy")=TEXT(A329,"mmm-yy"))
)</f>
        <v>14805</v>
      </c>
      <c r="I329">
        <f>_xlfn.XLOOKUP(A329,[1]ForwardDeriv!$D:$D,[1]ForwardDeriv!$AJ:$AJ)</f>
        <v>-0.64999999999999858</v>
      </c>
      <c r="J329" cm="1">
        <f t="array" ref="J329">_xlfn.XLOOKUP(TEXT(A329, "mmm-yy"), TEXT([2]GASOLINE!$B$5:$B$208, "mmm-yy"), [2]GASOLINE!$IR$5:$IR$208, "Not Found")</f>
        <v>80.184464124983634</v>
      </c>
      <c r="K329" cm="1">
        <f t="array" ref="K329">_xlfn.XLOOKUP(TEXT(A329, "mmm-yy"), TEXT([2]GASOLINE!$B$5:$B$208, "mmm-yy"), [2]GASOLINE!$IK$5:$IK$208, "Not Found")</f>
        <v>0</v>
      </c>
      <c r="L329">
        <f t="shared" si="5"/>
        <v>0</v>
      </c>
      <c r="M329" cm="1">
        <f t="array" ref="M329">_xlfn.XLOOKUP(TEXT(A329, "mmm-yy"), TEXT([2]GASOLINE!$B$5:$B$208, "mmm-yy"), [2]GASOLINE!$C$5:$C$208, "Not Found")</f>
        <v>7059.8119791364052</v>
      </c>
      <c r="N329" cm="1">
        <f t="array" ref="N329">_xlfn.XLOOKUP(TEXT(A329, "mmm-yy"), TEXT([2]RUNS!$B$5:$B$208, "mmm-yy"), [2]RUNS!$BM$5:$BM$208, "Not Found")</f>
        <v>0.82201909907994863</v>
      </c>
    </row>
    <row r="330" spans="1:14" x14ac:dyDescent="0.25">
      <c r="A330" s="1">
        <f>'[1]Global_Spot Prices'!$B1639</f>
        <v>42465</v>
      </c>
      <c r="B330">
        <f>_xlfn.XLOOKUP(A330,'[1]Global_Spot Prices'!$B:$B,'[1]Global_Spot Prices'!$BS:$BS)</f>
        <v>13.880000000000003</v>
      </c>
      <c r="C330">
        <f>_xlfn.XLOOKUP(A330,'[1]Global_Spot Prices'!$B:$B,'[1]Global_Spot Prices'!$E:$E)</f>
        <v>33.799999999999997</v>
      </c>
      <c r="D330">
        <f>_xlfn.XLOOKUP(A330,'[1]Global_Spot Prices'!$B:$B,'[1]Global_Spot Prices'!$D:$D)</f>
        <v>36.06</v>
      </c>
      <c r="E330">
        <f>_xlfn.XLOOKUP(A330,'[1]Global_Spot Prices'!$B:$B,'[1]Global_Spot Prices'!$H:$H)</f>
        <v>39.43</v>
      </c>
      <c r="F330">
        <f>_xlfn.XLOOKUP(A330,'[1]Global_Spot Prices'!$B:$B,'[1]Global_Spot Prices'!$I:$I)</f>
        <v>47.68</v>
      </c>
      <c r="G330" cm="1">
        <f t="array" ref="G330">_xlfn.XLOOKUP(TEXT(A330, "mmm-yy"), TEXT([2]RUNS!$B$5:$B$208, "mmm-yy"), [2]RUNS!$D$5:$D$208, "Not Found")</f>
        <v>27780.464261046498</v>
      </c>
      <c r="H330" cm="1">
        <f t="array" ref="H330">SUMPRODUCT(
    --(TEXT('[3]Global Weekly Stock (EWSuez'!$B$4:$B$2000,"mmm-yy")=TEXT(A330,"mmm-yy")),
    '[3]Global Weekly Stock (EWSuez'!$E$4:$E$2000)
/
SUMPRODUCT(
    --(TEXT('[3]Global Weekly Stock (EWSuez'!$B$4:$B$2000,"mmm-yy")=TEXT(A330,"mmm-yy"))
)</f>
        <v>14805</v>
      </c>
      <c r="I330">
        <f>_xlfn.XLOOKUP(A330,[1]ForwardDeriv!$D:$D,[1]ForwardDeriv!$AJ:$AJ)</f>
        <v>-0.60000000000000142</v>
      </c>
      <c r="J330" cm="1">
        <f t="array" ref="J330">_xlfn.XLOOKUP(TEXT(A330, "mmm-yy"), TEXT([2]GASOLINE!$B$5:$B$208, "mmm-yy"), [2]GASOLINE!$IR$5:$IR$208, "Not Found")</f>
        <v>80.184464124983634</v>
      </c>
      <c r="K330" cm="1">
        <f t="array" ref="K330">_xlfn.XLOOKUP(TEXT(A330, "mmm-yy"), TEXT([2]GASOLINE!$B$5:$B$208, "mmm-yy"), [2]GASOLINE!$IK$5:$IK$208, "Not Found")</f>
        <v>0</v>
      </c>
      <c r="L330">
        <f t="shared" si="5"/>
        <v>0</v>
      </c>
      <c r="M330" cm="1">
        <f t="array" ref="M330">_xlfn.XLOOKUP(TEXT(A330, "mmm-yy"), TEXT([2]GASOLINE!$B$5:$B$208, "mmm-yy"), [2]GASOLINE!$C$5:$C$208, "Not Found")</f>
        <v>7059.8119791364052</v>
      </c>
      <c r="N330" cm="1">
        <f t="array" ref="N330">_xlfn.XLOOKUP(TEXT(A330, "mmm-yy"), TEXT([2]RUNS!$B$5:$B$208, "mmm-yy"), [2]RUNS!$BM$5:$BM$208, "Not Found")</f>
        <v>0.82201909907994863</v>
      </c>
    </row>
    <row r="331" spans="1:14" x14ac:dyDescent="0.25">
      <c r="A331" s="1">
        <f>'[1]Global_Spot Prices'!$B1640</f>
        <v>42466</v>
      </c>
      <c r="B331">
        <f>_xlfn.XLOOKUP(A331,'[1]Global_Spot Prices'!$B:$B,'[1]Global_Spot Prices'!$BS:$BS)</f>
        <v>13.579999999999998</v>
      </c>
      <c r="C331">
        <f>_xlfn.XLOOKUP(A331,'[1]Global_Spot Prices'!$B:$B,'[1]Global_Spot Prices'!$E:$E)</f>
        <v>34.71</v>
      </c>
      <c r="D331">
        <f>_xlfn.XLOOKUP(A331,'[1]Global_Spot Prices'!$B:$B,'[1]Global_Spot Prices'!$D:$D)</f>
        <v>37.484999999999999</v>
      </c>
      <c r="E331">
        <f>_xlfn.XLOOKUP(A331,'[1]Global_Spot Prices'!$B:$B,'[1]Global_Spot Prices'!$H:$H)</f>
        <v>39.92</v>
      </c>
      <c r="F331">
        <f>_xlfn.XLOOKUP(A331,'[1]Global_Spot Prices'!$B:$B,'[1]Global_Spot Prices'!$I:$I)</f>
        <v>48.29</v>
      </c>
      <c r="G331" cm="1">
        <f t="array" ref="G331">_xlfn.XLOOKUP(TEXT(A331, "mmm-yy"), TEXT([2]RUNS!$B$5:$B$208, "mmm-yy"), [2]RUNS!$D$5:$D$208, "Not Found")</f>
        <v>27780.464261046498</v>
      </c>
      <c r="H331" cm="1">
        <f t="array" ref="H331">SUMPRODUCT(
    --(TEXT('[3]Global Weekly Stock (EWSuez'!$B$4:$B$2000,"mmm-yy")=TEXT(A331,"mmm-yy")),
    '[3]Global Weekly Stock (EWSuez'!$E$4:$E$2000)
/
SUMPRODUCT(
    --(TEXT('[3]Global Weekly Stock (EWSuez'!$B$4:$B$2000,"mmm-yy")=TEXT(A331,"mmm-yy"))
)</f>
        <v>14805</v>
      </c>
      <c r="I331">
        <f>_xlfn.XLOOKUP(A331,[1]ForwardDeriv!$D:$D,[1]ForwardDeriv!$AJ:$AJ)</f>
        <v>-0.55999999999999517</v>
      </c>
      <c r="J331" cm="1">
        <f t="array" ref="J331">_xlfn.XLOOKUP(TEXT(A331, "mmm-yy"), TEXT([2]GASOLINE!$B$5:$B$208, "mmm-yy"), [2]GASOLINE!$IR$5:$IR$208, "Not Found")</f>
        <v>80.184464124983634</v>
      </c>
      <c r="K331" cm="1">
        <f t="array" ref="K331">_xlfn.XLOOKUP(TEXT(A331, "mmm-yy"), TEXT([2]GASOLINE!$B$5:$B$208, "mmm-yy"), [2]GASOLINE!$IK$5:$IK$208, "Not Found")</f>
        <v>0</v>
      </c>
      <c r="L331">
        <f t="shared" si="5"/>
        <v>0</v>
      </c>
      <c r="M331" cm="1">
        <f t="array" ref="M331">_xlfn.XLOOKUP(TEXT(A331, "mmm-yy"), TEXT([2]GASOLINE!$B$5:$B$208, "mmm-yy"), [2]GASOLINE!$C$5:$C$208, "Not Found")</f>
        <v>7059.8119791364052</v>
      </c>
      <c r="N331" cm="1">
        <f t="array" ref="N331">_xlfn.XLOOKUP(TEXT(A331, "mmm-yy"), TEXT([2]RUNS!$B$5:$B$208, "mmm-yy"), [2]RUNS!$BM$5:$BM$208, "Not Found")</f>
        <v>0.82201909907994863</v>
      </c>
    </row>
    <row r="332" spans="1:14" x14ac:dyDescent="0.25">
      <c r="A332" s="1">
        <f>'[1]Global_Spot Prices'!$B1641</f>
        <v>42467</v>
      </c>
      <c r="B332">
        <f>_xlfn.XLOOKUP(A332,'[1]Global_Spot Prices'!$B:$B,'[1]Global_Spot Prices'!$BS:$BS)</f>
        <v>12.979999999999997</v>
      </c>
      <c r="C332">
        <f>_xlfn.XLOOKUP(A332,'[1]Global_Spot Prices'!$B:$B,'[1]Global_Spot Prices'!$E:$E)</f>
        <v>36.25</v>
      </c>
      <c r="D332">
        <f>_xlfn.XLOOKUP(A332,'[1]Global_Spot Prices'!$B:$B,'[1]Global_Spot Prices'!$D:$D)</f>
        <v>37.075000000000003</v>
      </c>
      <c r="E332">
        <f>_xlfn.XLOOKUP(A332,'[1]Global_Spot Prices'!$B:$B,'[1]Global_Spot Prices'!$H:$H)</f>
        <v>40.840000000000003</v>
      </c>
      <c r="F332">
        <f>_xlfn.XLOOKUP(A332,'[1]Global_Spot Prices'!$B:$B,'[1]Global_Spot Prices'!$I:$I)</f>
        <v>49.23</v>
      </c>
      <c r="G332" cm="1">
        <f t="array" ref="G332">_xlfn.XLOOKUP(TEXT(A332, "mmm-yy"), TEXT([2]RUNS!$B$5:$B$208, "mmm-yy"), [2]RUNS!$D$5:$D$208, "Not Found")</f>
        <v>27780.464261046498</v>
      </c>
      <c r="H332" cm="1">
        <f t="array" ref="H332">SUMPRODUCT(
    --(TEXT('[3]Global Weekly Stock (EWSuez'!$B$4:$B$2000,"mmm-yy")=TEXT(A332,"mmm-yy")),
    '[3]Global Weekly Stock (EWSuez'!$E$4:$E$2000)
/
SUMPRODUCT(
    --(TEXT('[3]Global Weekly Stock (EWSuez'!$B$4:$B$2000,"mmm-yy")=TEXT(A332,"mmm-yy"))
)</f>
        <v>14805</v>
      </c>
      <c r="I332">
        <f>_xlfn.XLOOKUP(A332,[1]ForwardDeriv!$D:$D,[1]ForwardDeriv!$AJ:$AJ)</f>
        <v>-0.59999999999999432</v>
      </c>
      <c r="J332" cm="1">
        <f t="array" ref="J332">_xlfn.XLOOKUP(TEXT(A332, "mmm-yy"), TEXT([2]GASOLINE!$B$5:$B$208, "mmm-yy"), [2]GASOLINE!$IR$5:$IR$208, "Not Found")</f>
        <v>80.184464124983634</v>
      </c>
      <c r="K332" cm="1">
        <f t="array" ref="K332">_xlfn.XLOOKUP(TEXT(A332, "mmm-yy"), TEXT([2]GASOLINE!$B$5:$B$208, "mmm-yy"), [2]GASOLINE!$IK$5:$IK$208, "Not Found")</f>
        <v>0</v>
      </c>
      <c r="L332">
        <f t="shared" si="5"/>
        <v>0</v>
      </c>
      <c r="M332" cm="1">
        <f t="array" ref="M332">_xlfn.XLOOKUP(TEXT(A332, "mmm-yy"), TEXT([2]GASOLINE!$B$5:$B$208, "mmm-yy"), [2]GASOLINE!$C$5:$C$208, "Not Found")</f>
        <v>7059.8119791364052</v>
      </c>
      <c r="N332" cm="1">
        <f t="array" ref="N332">_xlfn.XLOOKUP(TEXT(A332, "mmm-yy"), TEXT([2]RUNS!$B$5:$B$208, "mmm-yy"), [2]RUNS!$BM$5:$BM$208, "Not Found")</f>
        <v>0.82201909907994863</v>
      </c>
    </row>
    <row r="333" spans="1:14" x14ac:dyDescent="0.25">
      <c r="A333" s="1">
        <f>'[1]Global_Spot Prices'!$B1642</f>
        <v>42468</v>
      </c>
      <c r="B333">
        <f>_xlfn.XLOOKUP(A333,'[1]Global_Spot Prices'!$B:$B,'[1]Global_Spot Prices'!$BS:$BS)</f>
        <v>13.600000000000001</v>
      </c>
      <c r="C333">
        <f>_xlfn.XLOOKUP(A333,'[1]Global_Spot Prices'!$B:$B,'[1]Global_Spot Prices'!$E:$E)</f>
        <v>36.61</v>
      </c>
      <c r="D333">
        <f>_xlfn.XLOOKUP(A333,'[1]Global_Spot Prices'!$B:$B,'[1]Global_Spot Prices'!$D:$D)</f>
        <v>40.515000000000001</v>
      </c>
      <c r="E333">
        <f>_xlfn.XLOOKUP(A333,'[1]Global_Spot Prices'!$B:$B,'[1]Global_Spot Prices'!$H:$H)</f>
        <v>41.15</v>
      </c>
      <c r="F333">
        <f>_xlfn.XLOOKUP(A333,'[1]Global_Spot Prices'!$B:$B,'[1]Global_Spot Prices'!$I:$I)</f>
        <v>50.21</v>
      </c>
      <c r="G333" cm="1">
        <f t="array" ref="G333">_xlfn.XLOOKUP(TEXT(A333, "mmm-yy"), TEXT([2]RUNS!$B$5:$B$208, "mmm-yy"), [2]RUNS!$D$5:$D$208, "Not Found")</f>
        <v>27780.464261046498</v>
      </c>
      <c r="H333" cm="1">
        <f t="array" ref="H333">SUMPRODUCT(
    --(TEXT('[3]Global Weekly Stock (EWSuez'!$B$4:$B$2000,"mmm-yy")=TEXT(A333,"mmm-yy")),
    '[3]Global Weekly Stock (EWSuez'!$E$4:$E$2000)
/
SUMPRODUCT(
    --(TEXT('[3]Global Weekly Stock (EWSuez'!$B$4:$B$2000,"mmm-yy")=TEXT(A333,"mmm-yy"))
)</f>
        <v>14805</v>
      </c>
      <c r="I333">
        <f>_xlfn.XLOOKUP(A333,[1]ForwardDeriv!$D:$D,[1]ForwardDeriv!$AJ:$AJ)</f>
        <v>-0.63999999999999346</v>
      </c>
      <c r="J333" cm="1">
        <f t="array" ref="J333">_xlfn.XLOOKUP(TEXT(A333, "mmm-yy"), TEXT([2]GASOLINE!$B$5:$B$208, "mmm-yy"), [2]GASOLINE!$IR$5:$IR$208, "Not Found")</f>
        <v>80.184464124983634</v>
      </c>
      <c r="K333" cm="1">
        <f t="array" ref="K333">_xlfn.XLOOKUP(TEXT(A333, "mmm-yy"), TEXT([2]GASOLINE!$B$5:$B$208, "mmm-yy"), [2]GASOLINE!$IK$5:$IK$208, "Not Found")</f>
        <v>0</v>
      </c>
      <c r="L333">
        <f t="shared" si="5"/>
        <v>0</v>
      </c>
      <c r="M333" cm="1">
        <f t="array" ref="M333">_xlfn.XLOOKUP(TEXT(A333, "mmm-yy"), TEXT([2]GASOLINE!$B$5:$B$208, "mmm-yy"), [2]GASOLINE!$C$5:$C$208, "Not Found")</f>
        <v>7059.8119791364052</v>
      </c>
      <c r="N333" cm="1">
        <f t="array" ref="N333">_xlfn.XLOOKUP(TEXT(A333, "mmm-yy"), TEXT([2]RUNS!$B$5:$B$208, "mmm-yy"), [2]RUNS!$BM$5:$BM$208, "Not Found")</f>
        <v>0.82201909907994863</v>
      </c>
    </row>
    <row r="334" spans="1:14" x14ac:dyDescent="0.25">
      <c r="A334" s="1">
        <f>'[1]Global_Spot Prices'!$B1643</f>
        <v>42471</v>
      </c>
      <c r="B334">
        <f>_xlfn.XLOOKUP(A334,'[1]Global_Spot Prices'!$B:$B,'[1]Global_Spot Prices'!$BS:$BS)</f>
        <v>13.839999999999996</v>
      </c>
      <c r="C334">
        <f>_xlfn.XLOOKUP(A334,'[1]Global_Spot Prices'!$B:$B,'[1]Global_Spot Prices'!$E:$E)</f>
        <v>37.71</v>
      </c>
      <c r="D334">
        <f>_xlfn.XLOOKUP(A334,'[1]Global_Spot Prices'!$B:$B,'[1]Global_Spot Prices'!$D:$D)</f>
        <v>41.4</v>
      </c>
      <c r="E334">
        <f>_xlfn.XLOOKUP(A334,'[1]Global_Spot Prices'!$B:$B,'[1]Global_Spot Prices'!$H:$H)</f>
        <v>42.04</v>
      </c>
      <c r="F334">
        <f>_xlfn.XLOOKUP(A334,'[1]Global_Spot Prices'!$B:$B,'[1]Global_Spot Prices'!$I:$I)</f>
        <v>51.55</v>
      </c>
      <c r="G334" cm="1">
        <f t="array" ref="G334">_xlfn.XLOOKUP(TEXT(A334, "mmm-yy"), TEXT([2]RUNS!$B$5:$B$208, "mmm-yy"), [2]RUNS!$D$5:$D$208, "Not Found")</f>
        <v>27780.464261046498</v>
      </c>
      <c r="H334" cm="1">
        <f t="array" ref="H334">SUMPRODUCT(
    --(TEXT('[3]Global Weekly Stock (EWSuez'!$B$4:$B$2000,"mmm-yy")=TEXT(A334,"mmm-yy")),
    '[3]Global Weekly Stock (EWSuez'!$E$4:$E$2000)
/
SUMPRODUCT(
    --(TEXT('[3]Global Weekly Stock (EWSuez'!$B$4:$B$2000,"mmm-yy")=TEXT(A334,"mmm-yy"))
)</f>
        <v>14805</v>
      </c>
      <c r="I334">
        <f>_xlfn.XLOOKUP(A334,[1]ForwardDeriv!$D:$D,[1]ForwardDeriv!$AJ:$AJ)</f>
        <v>-0.57999999999999829</v>
      </c>
      <c r="J334" cm="1">
        <f t="array" ref="J334">_xlfn.XLOOKUP(TEXT(A334, "mmm-yy"), TEXT([2]GASOLINE!$B$5:$B$208, "mmm-yy"), [2]GASOLINE!$IR$5:$IR$208, "Not Found")</f>
        <v>80.184464124983634</v>
      </c>
      <c r="K334" cm="1">
        <f t="array" ref="K334">_xlfn.XLOOKUP(TEXT(A334, "mmm-yy"), TEXT([2]GASOLINE!$B$5:$B$208, "mmm-yy"), [2]GASOLINE!$IK$5:$IK$208, "Not Found")</f>
        <v>0</v>
      </c>
      <c r="L334">
        <f t="shared" si="5"/>
        <v>0</v>
      </c>
      <c r="M334" cm="1">
        <f t="array" ref="M334">_xlfn.XLOOKUP(TEXT(A334, "mmm-yy"), TEXT([2]GASOLINE!$B$5:$B$208, "mmm-yy"), [2]GASOLINE!$C$5:$C$208, "Not Found")</f>
        <v>7059.8119791364052</v>
      </c>
      <c r="N334" cm="1">
        <f t="array" ref="N334">_xlfn.XLOOKUP(TEXT(A334, "mmm-yy"), TEXT([2]RUNS!$B$5:$B$208, "mmm-yy"), [2]RUNS!$BM$5:$BM$208, "Not Found")</f>
        <v>0.82201909907994863</v>
      </c>
    </row>
    <row r="335" spans="1:14" x14ac:dyDescent="0.25">
      <c r="A335" s="1">
        <f>'[1]Global_Spot Prices'!$B1644</f>
        <v>42472</v>
      </c>
      <c r="B335">
        <f>_xlfn.XLOOKUP(A335,'[1]Global_Spot Prices'!$B:$B,'[1]Global_Spot Prices'!$BS:$BS)</f>
        <v>13.840000000000003</v>
      </c>
      <c r="C335">
        <f>_xlfn.XLOOKUP(A335,'[1]Global_Spot Prices'!$B:$B,'[1]Global_Spot Prices'!$E:$E)</f>
        <v>39.51</v>
      </c>
      <c r="D335">
        <f>_xlfn.XLOOKUP(A335,'[1]Global_Spot Prices'!$B:$B,'[1]Global_Spot Prices'!$D:$D)</f>
        <v>42.93</v>
      </c>
      <c r="E335">
        <f>_xlfn.XLOOKUP(A335,'[1]Global_Spot Prices'!$B:$B,'[1]Global_Spot Prices'!$H:$H)</f>
        <v>42.77</v>
      </c>
      <c r="F335">
        <f>_xlfn.XLOOKUP(A335,'[1]Global_Spot Prices'!$B:$B,'[1]Global_Spot Prices'!$I:$I)</f>
        <v>53.35</v>
      </c>
      <c r="G335" cm="1">
        <f t="array" ref="G335">_xlfn.XLOOKUP(TEXT(A335, "mmm-yy"), TEXT([2]RUNS!$B$5:$B$208, "mmm-yy"), [2]RUNS!$D$5:$D$208, "Not Found")</f>
        <v>27780.464261046498</v>
      </c>
      <c r="H335" cm="1">
        <f t="array" ref="H335">SUMPRODUCT(
    --(TEXT('[3]Global Weekly Stock (EWSuez'!$B$4:$B$2000,"mmm-yy")=TEXT(A335,"mmm-yy")),
    '[3]Global Weekly Stock (EWSuez'!$E$4:$E$2000)
/
SUMPRODUCT(
    --(TEXT('[3]Global Weekly Stock (EWSuez'!$B$4:$B$2000,"mmm-yy")=TEXT(A335,"mmm-yy"))
)</f>
        <v>14805</v>
      </c>
      <c r="I335">
        <f>_xlfn.XLOOKUP(A335,[1]ForwardDeriv!$D:$D,[1]ForwardDeriv!$AJ:$AJ)</f>
        <v>-0.5</v>
      </c>
      <c r="J335" cm="1">
        <f t="array" ref="J335">_xlfn.XLOOKUP(TEXT(A335, "mmm-yy"), TEXT([2]GASOLINE!$B$5:$B$208, "mmm-yy"), [2]GASOLINE!$IR$5:$IR$208, "Not Found")</f>
        <v>80.184464124983634</v>
      </c>
      <c r="K335" cm="1">
        <f t="array" ref="K335">_xlfn.XLOOKUP(TEXT(A335, "mmm-yy"), TEXT([2]GASOLINE!$B$5:$B$208, "mmm-yy"), [2]GASOLINE!$IK$5:$IK$208, "Not Found")</f>
        <v>0</v>
      </c>
      <c r="L335">
        <f t="shared" si="5"/>
        <v>0</v>
      </c>
      <c r="M335" cm="1">
        <f t="array" ref="M335">_xlfn.XLOOKUP(TEXT(A335, "mmm-yy"), TEXT([2]GASOLINE!$B$5:$B$208, "mmm-yy"), [2]GASOLINE!$C$5:$C$208, "Not Found")</f>
        <v>7059.8119791364052</v>
      </c>
      <c r="N335" cm="1">
        <f t="array" ref="N335">_xlfn.XLOOKUP(TEXT(A335, "mmm-yy"), TEXT([2]RUNS!$B$5:$B$208, "mmm-yy"), [2]RUNS!$BM$5:$BM$208, "Not Found")</f>
        <v>0.82201909907994863</v>
      </c>
    </row>
    <row r="336" spans="1:14" x14ac:dyDescent="0.25">
      <c r="A336" s="1">
        <f>'[1]Global_Spot Prices'!$B1645</f>
        <v>42473</v>
      </c>
      <c r="B336">
        <f>_xlfn.XLOOKUP(A336,'[1]Global_Spot Prices'!$B:$B,'[1]Global_Spot Prices'!$BS:$BS)</f>
        <v>12.560000000000002</v>
      </c>
      <c r="C336">
        <f>_xlfn.XLOOKUP(A336,'[1]Global_Spot Prices'!$B:$B,'[1]Global_Spot Prices'!$E:$E)</f>
        <v>40.15</v>
      </c>
      <c r="D336">
        <f>_xlfn.XLOOKUP(A336,'[1]Global_Spot Prices'!$B:$B,'[1]Global_Spot Prices'!$D:$D)</f>
        <v>42.755000000000003</v>
      </c>
      <c r="E336">
        <f>_xlfn.XLOOKUP(A336,'[1]Global_Spot Prices'!$B:$B,'[1]Global_Spot Prices'!$H:$H)</f>
        <v>43.15</v>
      </c>
      <c r="F336">
        <f>_xlfn.XLOOKUP(A336,'[1]Global_Spot Prices'!$B:$B,'[1]Global_Spot Prices'!$I:$I)</f>
        <v>52.71</v>
      </c>
      <c r="G336" cm="1">
        <f t="array" ref="G336">_xlfn.XLOOKUP(TEXT(A336, "mmm-yy"), TEXT([2]RUNS!$B$5:$B$208, "mmm-yy"), [2]RUNS!$D$5:$D$208, "Not Found")</f>
        <v>27780.464261046498</v>
      </c>
      <c r="H336" cm="1">
        <f t="array" ref="H336">SUMPRODUCT(
    --(TEXT('[3]Global Weekly Stock (EWSuez'!$B$4:$B$2000,"mmm-yy")=TEXT(A336,"mmm-yy")),
    '[3]Global Weekly Stock (EWSuez'!$E$4:$E$2000)
/
SUMPRODUCT(
    --(TEXT('[3]Global Weekly Stock (EWSuez'!$B$4:$B$2000,"mmm-yy")=TEXT(A336,"mmm-yy"))
)</f>
        <v>14805</v>
      </c>
      <c r="I336">
        <f>_xlfn.XLOOKUP(A336,[1]ForwardDeriv!$D:$D,[1]ForwardDeriv!$AJ:$AJ)</f>
        <v>-0.67999999999999972</v>
      </c>
      <c r="J336" cm="1">
        <f t="array" ref="J336">_xlfn.XLOOKUP(TEXT(A336, "mmm-yy"), TEXT([2]GASOLINE!$B$5:$B$208, "mmm-yy"), [2]GASOLINE!$IR$5:$IR$208, "Not Found")</f>
        <v>80.184464124983634</v>
      </c>
      <c r="K336" cm="1">
        <f t="array" ref="K336">_xlfn.XLOOKUP(TEXT(A336, "mmm-yy"), TEXT([2]GASOLINE!$B$5:$B$208, "mmm-yy"), [2]GASOLINE!$IK$5:$IK$208, "Not Found")</f>
        <v>0</v>
      </c>
      <c r="L336">
        <f t="shared" si="5"/>
        <v>0</v>
      </c>
      <c r="M336" cm="1">
        <f t="array" ref="M336">_xlfn.XLOOKUP(TEXT(A336, "mmm-yy"), TEXT([2]GASOLINE!$B$5:$B$208, "mmm-yy"), [2]GASOLINE!$C$5:$C$208, "Not Found")</f>
        <v>7059.8119791364052</v>
      </c>
      <c r="N336" cm="1">
        <f t="array" ref="N336">_xlfn.XLOOKUP(TEXT(A336, "mmm-yy"), TEXT([2]RUNS!$B$5:$B$208, "mmm-yy"), [2]RUNS!$BM$5:$BM$208, "Not Found")</f>
        <v>0.82201909907994863</v>
      </c>
    </row>
    <row r="337" spans="1:14" x14ac:dyDescent="0.25">
      <c r="A337" s="1">
        <f>'[1]Global_Spot Prices'!$B1646</f>
        <v>42474</v>
      </c>
      <c r="B337">
        <f>_xlfn.XLOOKUP(A337,'[1]Global_Spot Prices'!$B:$B,'[1]Global_Spot Prices'!$BS:$BS)</f>
        <v>12.810000000000002</v>
      </c>
      <c r="C337">
        <f>_xlfn.XLOOKUP(A337,'[1]Global_Spot Prices'!$B:$B,'[1]Global_Spot Prices'!$E:$E)</f>
        <v>39.61</v>
      </c>
      <c r="D337">
        <f>_xlfn.XLOOKUP(A337,'[1]Global_Spot Prices'!$B:$B,'[1]Global_Spot Prices'!$D:$D)</f>
        <v>42.814999999999998</v>
      </c>
      <c r="E337">
        <f>_xlfn.XLOOKUP(A337,'[1]Global_Spot Prices'!$B:$B,'[1]Global_Spot Prices'!$H:$H)</f>
        <v>42.35</v>
      </c>
      <c r="F337">
        <f>_xlfn.XLOOKUP(A337,'[1]Global_Spot Prices'!$B:$B,'[1]Global_Spot Prices'!$I:$I)</f>
        <v>52.42</v>
      </c>
      <c r="G337" cm="1">
        <f t="array" ref="G337">_xlfn.XLOOKUP(TEXT(A337, "mmm-yy"), TEXT([2]RUNS!$B$5:$B$208, "mmm-yy"), [2]RUNS!$D$5:$D$208, "Not Found")</f>
        <v>27780.464261046498</v>
      </c>
      <c r="H337" cm="1">
        <f t="array" ref="H337">SUMPRODUCT(
    --(TEXT('[3]Global Weekly Stock (EWSuez'!$B$4:$B$2000,"mmm-yy")=TEXT(A337,"mmm-yy")),
    '[3]Global Weekly Stock (EWSuez'!$E$4:$E$2000)
/
SUMPRODUCT(
    --(TEXT('[3]Global Weekly Stock (EWSuez'!$B$4:$B$2000,"mmm-yy")=TEXT(A337,"mmm-yy"))
)</f>
        <v>14805</v>
      </c>
      <c r="I337">
        <f>_xlfn.XLOOKUP(A337,[1]ForwardDeriv!$D:$D,[1]ForwardDeriv!$AJ:$AJ)</f>
        <v>-0.80000000000000426</v>
      </c>
      <c r="J337" cm="1">
        <f t="array" ref="J337">_xlfn.XLOOKUP(TEXT(A337, "mmm-yy"), TEXT([2]GASOLINE!$B$5:$B$208, "mmm-yy"), [2]GASOLINE!$IR$5:$IR$208, "Not Found")</f>
        <v>80.184464124983634</v>
      </c>
      <c r="K337" cm="1">
        <f t="array" ref="K337">_xlfn.XLOOKUP(TEXT(A337, "mmm-yy"), TEXT([2]GASOLINE!$B$5:$B$208, "mmm-yy"), [2]GASOLINE!$IK$5:$IK$208, "Not Found")</f>
        <v>0</v>
      </c>
      <c r="L337">
        <f t="shared" si="5"/>
        <v>0</v>
      </c>
      <c r="M337" cm="1">
        <f t="array" ref="M337">_xlfn.XLOOKUP(TEXT(A337, "mmm-yy"), TEXT([2]GASOLINE!$B$5:$B$208, "mmm-yy"), [2]GASOLINE!$C$5:$C$208, "Not Found")</f>
        <v>7059.8119791364052</v>
      </c>
      <c r="N337" cm="1">
        <f t="array" ref="N337">_xlfn.XLOOKUP(TEXT(A337, "mmm-yy"), TEXT([2]RUNS!$B$5:$B$208, "mmm-yy"), [2]RUNS!$BM$5:$BM$208, "Not Found")</f>
        <v>0.82201909907994863</v>
      </c>
    </row>
    <row r="338" spans="1:14" x14ac:dyDescent="0.25">
      <c r="A338" s="1">
        <f>'[1]Global_Spot Prices'!$B1647</f>
        <v>42475</v>
      </c>
      <c r="B338">
        <f>_xlfn.XLOOKUP(A338,'[1]Global_Spot Prices'!$B:$B,'[1]Global_Spot Prices'!$BS:$BS)</f>
        <v>11.549999999999997</v>
      </c>
      <c r="C338">
        <f>_xlfn.XLOOKUP(A338,'[1]Global_Spot Prices'!$B:$B,'[1]Global_Spot Prices'!$E:$E)</f>
        <v>39.5</v>
      </c>
      <c r="D338">
        <f>_xlfn.XLOOKUP(A338,'[1]Global_Spot Prices'!$B:$B,'[1]Global_Spot Prices'!$D:$D)</f>
        <v>41.49</v>
      </c>
      <c r="E338">
        <f>_xlfn.XLOOKUP(A338,'[1]Global_Spot Prices'!$B:$B,'[1]Global_Spot Prices'!$H:$H)</f>
        <v>42.4</v>
      </c>
      <c r="F338">
        <f>_xlfn.XLOOKUP(A338,'[1]Global_Spot Prices'!$B:$B,'[1]Global_Spot Prices'!$I:$I)</f>
        <v>51.05</v>
      </c>
      <c r="G338" cm="1">
        <f t="array" ref="G338">_xlfn.XLOOKUP(TEXT(A338, "mmm-yy"), TEXT([2]RUNS!$B$5:$B$208, "mmm-yy"), [2]RUNS!$D$5:$D$208, "Not Found")</f>
        <v>27780.464261046498</v>
      </c>
      <c r="H338" cm="1">
        <f t="array" ref="H338">SUMPRODUCT(
    --(TEXT('[3]Global Weekly Stock (EWSuez'!$B$4:$B$2000,"mmm-yy")=TEXT(A338,"mmm-yy")),
    '[3]Global Weekly Stock (EWSuez'!$E$4:$E$2000)
/
SUMPRODUCT(
    --(TEXT('[3]Global Weekly Stock (EWSuez'!$B$4:$B$2000,"mmm-yy")=TEXT(A338,"mmm-yy"))
)</f>
        <v>14805</v>
      </c>
      <c r="I338">
        <f>_xlfn.XLOOKUP(A338,[1]ForwardDeriv!$D:$D,[1]ForwardDeriv!$AJ:$AJ)</f>
        <v>-0.90000000000000568</v>
      </c>
      <c r="J338" cm="1">
        <f t="array" ref="J338">_xlfn.XLOOKUP(TEXT(A338, "mmm-yy"), TEXT([2]GASOLINE!$B$5:$B$208, "mmm-yy"), [2]GASOLINE!$IR$5:$IR$208, "Not Found")</f>
        <v>80.184464124983634</v>
      </c>
      <c r="K338" cm="1">
        <f t="array" ref="K338">_xlfn.XLOOKUP(TEXT(A338, "mmm-yy"), TEXT([2]GASOLINE!$B$5:$B$208, "mmm-yy"), [2]GASOLINE!$IK$5:$IK$208, "Not Found")</f>
        <v>0</v>
      </c>
      <c r="L338">
        <f t="shared" si="5"/>
        <v>0</v>
      </c>
      <c r="M338" cm="1">
        <f t="array" ref="M338">_xlfn.XLOOKUP(TEXT(A338, "mmm-yy"), TEXT([2]GASOLINE!$B$5:$B$208, "mmm-yy"), [2]GASOLINE!$C$5:$C$208, "Not Found")</f>
        <v>7059.8119791364052</v>
      </c>
      <c r="N338" cm="1">
        <f t="array" ref="N338">_xlfn.XLOOKUP(TEXT(A338, "mmm-yy"), TEXT([2]RUNS!$B$5:$B$208, "mmm-yy"), [2]RUNS!$BM$5:$BM$208, "Not Found")</f>
        <v>0.82201909907994863</v>
      </c>
    </row>
    <row r="339" spans="1:14" x14ac:dyDescent="0.25">
      <c r="A339" s="1">
        <f>'[1]Global_Spot Prices'!$B1648</f>
        <v>42478</v>
      </c>
      <c r="B339">
        <f>_xlfn.XLOOKUP(A339,'[1]Global_Spot Prices'!$B:$B,'[1]Global_Spot Prices'!$BS:$BS)</f>
        <v>10.760000000000005</v>
      </c>
      <c r="C339">
        <f>_xlfn.XLOOKUP(A339,'[1]Global_Spot Prices'!$B:$B,'[1]Global_Spot Prices'!$E:$E)</f>
        <v>37.549999999999997</v>
      </c>
      <c r="D339">
        <f>_xlfn.XLOOKUP(A339,'[1]Global_Spot Prices'!$B:$B,'[1]Global_Spot Prices'!$D:$D)</f>
        <v>41.604999999999997</v>
      </c>
      <c r="E339">
        <f>_xlfn.XLOOKUP(A339,'[1]Global_Spot Prices'!$B:$B,'[1]Global_Spot Prices'!$H:$H)</f>
        <v>40.43</v>
      </c>
      <c r="F339">
        <f>_xlfn.XLOOKUP(A339,'[1]Global_Spot Prices'!$B:$B,'[1]Global_Spot Prices'!$I:$I)</f>
        <v>48.31</v>
      </c>
      <c r="G339" cm="1">
        <f t="array" ref="G339">_xlfn.XLOOKUP(TEXT(A339, "mmm-yy"), TEXT([2]RUNS!$B$5:$B$208, "mmm-yy"), [2]RUNS!$D$5:$D$208, "Not Found")</f>
        <v>27780.464261046498</v>
      </c>
      <c r="H339" cm="1">
        <f t="array" ref="H339">SUMPRODUCT(
    --(TEXT('[3]Global Weekly Stock (EWSuez'!$B$4:$B$2000,"mmm-yy")=TEXT(A339,"mmm-yy")),
    '[3]Global Weekly Stock (EWSuez'!$E$4:$E$2000)
/
SUMPRODUCT(
    --(TEXT('[3]Global Weekly Stock (EWSuez'!$B$4:$B$2000,"mmm-yy")=TEXT(A339,"mmm-yy"))
)</f>
        <v>14805</v>
      </c>
      <c r="I339">
        <f>_xlfn.XLOOKUP(A339,[1]ForwardDeriv!$D:$D,[1]ForwardDeriv!$AJ:$AJ)</f>
        <v>-0.89999999999999858</v>
      </c>
      <c r="J339" cm="1">
        <f t="array" ref="J339">_xlfn.XLOOKUP(TEXT(A339, "mmm-yy"), TEXT([2]GASOLINE!$B$5:$B$208, "mmm-yy"), [2]GASOLINE!$IR$5:$IR$208, "Not Found")</f>
        <v>80.184464124983634</v>
      </c>
      <c r="K339" cm="1">
        <f t="array" ref="K339">_xlfn.XLOOKUP(TEXT(A339, "mmm-yy"), TEXT([2]GASOLINE!$B$5:$B$208, "mmm-yy"), [2]GASOLINE!$IK$5:$IK$208, "Not Found")</f>
        <v>0</v>
      </c>
      <c r="L339">
        <f t="shared" si="5"/>
        <v>0</v>
      </c>
      <c r="M339" cm="1">
        <f t="array" ref="M339">_xlfn.XLOOKUP(TEXT(A339, "mmm-yy"), TEXT([2]GASOLINE!$B$5:$B$208, "mmm-yy"), [2]GASOLINE!$C$5:$C$208, "Not Found")</f>
        <v>7059.8119791364052</v>
      </c>
      <c r="N339" cm="1">
        <f t="array" ref="N339">_xlfn.XLOOKUP(TEXT(A339, "mmm-yy"), TEXT([2]RUNS!$B$5:$B$208, "mmm-yy"), [2]RUNS!$BM$5:$BM$208, "Not Found")</f>
        <v>0.82201909907994863</v>
      </c>
    </row>
    <row r="340" spans="1:14" x14ac:dyDescent="0.25">
      <c r="A340" s="1">
        <f>'[1]Global_Spot Prices'!$B1649</f>
        <v>42479</v>
      </c>
      <c r="B340">
        <f>_xlfn.XLOOKUP(A340,'[1]Global_Spot Prices'!$B:$B,'[1]Global_Spot Prices'!$BS:$BS)</f>
        <v>10.059999999999995</v>
      </c>
      <c r="C340">
        <f>_xlfn.XLOOKUP(A340,'[1]Global_Spot Prices'!$B:$B,'[1]Global_Spot Prices'!$E:$E)</f>
        <v>39.31</v>
      </c>
      <c r="D340">
        <f>_xlfn.XLOOKUP(A340,'[1]Global_Spot Prices'!$B:$B,'[1]Global_Spot Prices'!$D:$D)</f>
        <v>42.454999999999998</v>
      </c>
      <c r="E340">
        <f>_xlfn.XLOOKUP(A340,'[1]Global_Spot Prices'!$B:$B,'[1]Global_Spot Prices'!$H:$H)</f>
        <v>42.34</v>
      </c>
      <c r="F340">
        <f>_xlfn.XLOOKUP(A340,'[1]Global_Spot Prices'!$B:$B,'[1]Global_Spot Prices'!$I:$I)</f>
        <v>49.37</v>
      </c>
      <c r="G340" cm="1">
        <f t="array" ref="G340">_xlfn.XLOOKUP(TEXT(A340, "mmm-yy"), TEXT([2]RUNS!$B$5:$B$208, "mmm-yy"), [2]RUNS!$D$5:$D$208, "Not Found")</f>
        <v>27780.464261046498</v>
      </c>
      <c r="H340" cm="1">
        <f t="array" ref="H340">SUMPRODUCT(
    --(TEXT('[3]Global Weekly Stock (EWSuez'!$B$4:$B$2000,"mmm-yy")=TEXT(A340,"mmm-yy")),
    '[3]Global Weekly Stock (EWSuez'!$E$4:$E$2000)
/
SUMPRODUCT(
    --(TEXT('[3]Global Weekly Stock (EWSuez'!$B$4:$B$2000,"mmm-yy")=TEXT(A340,"mmm-yy"))
)</f>
        <v>14805</v>
      </c>
      <c r="I340">
        <f>_xlfn.XLOOKUP(A340,[1]ForwardDeriv!$D:$D,[1]ForwardDeriv!$AJ:$AJ)</f>
        <v>-0.90000000000000568</v>
      </c>
      <c r="J340" cm="1">
        <f t="array" ref="J340">_xlfn.XLOOKUP(TEXT(A340, "mmm-yy"), TEXT([2]GASOLINE!$B$5:$B$208, "mmm-yy"), [2]GASOLINE!$IR$5:$IR$208, "Not Found")</f>
        <v>80.184464124983634</v>
      </c>
      <c r="K340" cm="1">
        <f t="array" ref="K340">_xlfn.XLOOKUP(TEXT(A340, "mmm-yy"), TEXT([2]GASOLINE!$B$5:$B$208, "mmm-yy"), [2]GASOLINE!$IK$5:$IK$208, "Not Found")</f>
        <v>0</v>
      </c>
      <c r="L340">
        <f t="shared" si="5"/>
        <v>0</v>
      </c>
      <c r="M340" cm="1">
        <f t="array" ref="M340">_xlfn.XLOOKUP(TEXT(A340, "mmm-yy"), TEXT([2]GASOLINE!$B$5:$B$208, "mmm-yy"), [2]GASOLINE!$C$5:$C$208, "Not Found")</f>
        <v>7059.8119791364052</v>
      </c>
      <c r="N340" cm="1">
        <f t="array" ref="N340">_xlfn.XLOOKUP(TEXT(A340, "mmm-yy"), TEXT([2]RUNS!$B$5:$B$208, "mmm-yy"), [2]RUNS!$BM$5:$BM$208, "Not Found")</f>
        <v>0.82201909907994863</v>
      </c>
    </row>
    <row r="341" spans="1:14" x14ac:dyDescent="0.25">
      <c r="A341" s="1">
        <f>'[1]Global_Spot Prices'!$B1650</f>
        <v>42480</v>
      </c>
      <c r="B341">
        <f>_xlfn.XLOOKUP(A341,'[1]Global_Spot Prices'!$B:$B,'[1]Global_Spot Prices'!$BS:$BS)</f>
        <v>10.979999999999997</v>
      </c>
      <c r="C341">
        <f>_xlfn.XLOOKUP(A341,'[1]Global_Spot Prices'!$B:$B,'[1]Global_Spot Prices'!$E:$E)</f>
        <v>39.21</v>
      </c>
      <c r="D341">
        <f>_xlfn.XLOOKUP(A341,'[1]Global_Spot Prices'!$B:$B,'[1]Global_Spot Prices'!$D:$D)</f>
        <v>42.82</v>
      </c>
      <c r="E341">
        <f>_xlfn.XLOOKUP(A341,'[1]Global_Spot Prices'!$B:$B,'[1]Global_Spot Prices'!$H:$H)</f>
        <v>42.09</v>
      </c>
      <c r="F341">
        <f>_xlfn.XLOOKUP(A341,'[1]Global_Spot Prices'!$B:$B,'[1]Global_Spot Prices'!$I:$I)</f>
        <v>50.19</v>
      </c>
      <c r="G341" cm="1">
        <f t="array" ref="G341">_xlfn.XLOOKUP(TEXT(A341, "mmm-yy"), TEXT([2]RUNS!$B$5:$B$208, "mmm-yy"), [2]RUNS!$D$5:$D$208, "Not Found")</f>
        <v>27780.464261046498</v>
      </c>
      <c r="H341" cm="1">
        <f t="array" ref="H341">SUMPRODUCT(
    --(TEXT('[3]Global Weekly Stock (EWSuez'!$B$4:$B$2000,"mmm-yy")=TEXT(A341,"mmm-yy")),
    '[3]Global Weekly Stock (EWSuez'!$E$4:$E$2000)
/
SUMPRODUCT(
    --(TEXT('[3]Global Weekly Stock (EWSuez'!$B$4:$B$2000,"mmm-yy")=TEXT(A341,"mmm-yy"))
)</f>
        <v>14805</v>
      </c>
      <c r="I341">
        <f>_xlfn.XLOOKUP(A341,[1]ForwardDeriv!$D:$D,[1]ForwardDeriv!$AJ:$AJ)</f>
        <v>-0.88000000000000256</v>
      </c>
      <c r="J341" cm="1">
        <f t="array" ref="J341">_xlfn.XLOOKUP(TEXT(A341, "mmm-yy"), TEXT([2]GASOLINE!$B$5:$B$208, "mmm-yy"), [2]GASOLINE!$IR$5:$IR$208, "Not Found")</f>
        <v>80.184464124983634</v>
      </c>
      <c r="K341" cm="1">
        <f t="array" ref="K341">_xlfn.XLOOKUP(TEXT(A341, "mmm-yy"), TEXT([2]GASOLINE!$B$5:$B$208, "mmm-yy"), [2]GASOLINE!$IK$5:$IK$208, "Not Found")</f>
        <v>0</v>
      </c>
      <c r="L341">
        <f t="shared" si="5"/>
        <v>0</v>
      </c>
      <c r="M341" cm="1">
        <f t="array" ref="M341">_xlfn.XLOOKUP(TEXT(A341, "mmm-yy"), TEXT([2]GASOLINE!$B$5:$B$208, "mmm-yy"), [2]GASOLINE!$C$5:$C$208, "Not Found")</f>
        <v>7059.8119791364052</v>
      </c>
      <c r="N341" cm="1">
        <f t="array" ref="N341">_xlfn.XLOOKUP(TEXT(A341, "mmm-yy"), TEXT([2]RUNS!$B$5:$B$208, "mmm-yy"), [2]RUNS!$BM$5:$BM$208, "Not Found")</f>
        <v>0.82201909907994863</v>
      </c>
    </row>
    <row r="342" spans="1:14" x14ac:dyDescent="0.25">
      <c r="A342" s="1">
        <f>'[1]Global_Spot Prices'!$B1651</f>
        <v>42481</v>
      </c>
      <c r="B342">
        <f>_xlfn.XLOOKUP(A342,'[1]Global_Spot Prices'!$B:$B,'[1]Global_Spot Prices'!$BS:$BS)</f>
        <v>10.519999999999996</v>
      </c>
      <c r="C342">
        <f>_xlfn.XLOOKUP(A342,'[1]Global_Spot Prices'!$B:$B,'[1]Global_Spot Prices'!$E:$E)</f>
        <v>41.95</v>
      </c>
      <c r="D342">
        <f>_xlfn.XLOOKUP(A342,'[1]Global_Spot Prices'!$B:$B,'[1]Global_Spot Prices'!$D:$D)</f>
        <v>43.19</v>
      </c>
      <c r="E342">
        <f>_xlfn.XLOOKUP(A342,'[1]Global_Spot Prices'!$B:$B,'[1]Global_Spot Prices'!$H:$H)</f>
        <v>43.51</v>
      </c>
      <c r="F342">
        <f>_xlfn.XLOOKUP(A342,'[1]Global_Spot Prices'!$B:$B,'[1]Global_Spot Prices'!$I:$I)</f>
        <v>52.47</v>
      </c>
      <c r="G342" cm="1">
        <f t="array" ref="G342">_xlfn.XLOOKUP(TEXT(A342, "mmm-yy"), TEXT([2]RUNS!$B$5:$B$208, "mmm-yy"), [2]RUNS!$D$5:$D$208, "Not Found")</f>
        <v>27780.464261046498</v>
      </c>
      <c r="H342" cm="1">
        <f t="array" ref="H342">SUMPRODUCT(
    --(TEXT('[3]Global Weekly Stock (EWSuez'!$B$4:$B$2000,"mmm-yy")=TEXT(A342,"mmm-yy")),
    '[3]Global Weekly Stock (EWSuez'!$E$4:$E$2000)
/
SUMPRODUCT(
    --(TEXT('[3]Global Weekly Stock (EWSuez'!$B$4:$B$2000,"mmm-yy")=TEXT(A342,"mmm-yy"))
)</f>
        <v>14805</v>
      </c>
      <c r="I342">
        <f>_xlfn.XLOOKUP(A342,[1]ForwardDeriv!$D:$D,[1]ForwardDeriv!$AJ:$AJ)</f>
        <v>-0.92999999999999972</v>
      </c>
      <c r="J342" cm="1">
        <f t="array" ref="J342">_xlfn.XLOOKUP(TEXT(A342, "mmm-yy"), TEXT([2]GASOLINE!$B$5:$B$208, "mmm-yy"), [2]GASOLINE!$IR$5:$IR$208, "Not Found")</f>
        <v>80.184464124983634</v>
      </c>
      <c r="K342" cm="1">
        <f t="array" ref="K342">_xlfn.XLOOKUP(TEXT(A342, "mmm-yy"), TEXT([2]GASOLINE!$B$5:$B$208, "mmm-yy"), [2]GASOLINE!$IK$5:$IK$208, "Not Found")</f>
        <v>0</v>
      </c>
      <c r="L342">
        <f t="shared" si="5"/>
        <v>0</v>
      </c>
      <c r="M342" cm="1">
        <f t="array" ref="M342">_xlfn.XLOOKUP(TEXT(A342, "mmm-yy"), TEXT([2]GASOLINE!$B$5:$B$208, "mmm-yy"), [2]GASOLINE!$C$5:$C$208, "Not Found")</f>
        <v>7059.8119791364052</v>
      </c>
      <c r="N342" cm="1">
        <f t="array" ref="N342">_xlfn.XLOOKUP(TEXT(A342, "mmm-yy"), TEXT([2]RUNS!$B$5:$B$208, "mmm-yy"), [2]RUNS!$BM$5:$BM$208, "Not Found")</f>
        <v>0.82201909907994863</v>
      </c>
    </row>
    <row r="343" spans="1:14" x14ac:dyDescent="0.25">
      <c r="A343" s="1">
        <f>'[1]Global_Spot Prices'!$B1652</f>
        <v>42482</v>
      </c>
      <c r="B343">
        <f>_xlfn.XLOOKUP(A343,'[1]Global_Spot Prices'!$B:$B,'[1]Global_Spot Prices'!$BS:$BS)</f>
        <v>11.520000000000003</v>
      </c>
      <c r="C343">
        <f>_xlfn.XLOOKUP(A343,'[1]Global_Spot Prices'!$B:$B,'[1]Global_Spot Prices'!$E:$E)</f>
        <v>41.05</v>
      </c>
      <c r="D343">
        <f>_xlfn.XLOOKUP(A343,'[1]Global_Spot Prices'!$B:$B,'[1]Global_Spot Prices'!$D:$D)</f>
        <v>43.814999999999998</v>
      </c>
      <c r="E343">
        <f>_xlfn.XLOOKUP(A343,'[1]Global_Spot Prices'!$B:$B,'[1]Global_Spot Prices'!$H:$H)</f>
        <v>43.57</v>
      </c>
      <c r="F343">
        <f>_xlfn.XLOOKUP(A343,'[1]Global_Spot Prices'!$B:$B,'[1]Global_Spot Prices'!$I:$I)</f>
        <v>52.57</v>
      </c>
      <c r="G343" cm="1">
        <f t="array" ref="G343">_xlfn.XLOOKUP(TEXT(A343, "mmm-yy"), TEXT([2]RUNS!$B$5:$B$208, "mmm-yy"), [2]RUNS!$D$5:$D$208, "Not Found")</f>
        <v>27780.464261046498</v>
      </c>
      <c r="H343" cm="1">
        <f t="array" ref="H343">SUMPRODUCT(
    --(TEXT('[3]Global Weekly Stock (EWSuez'!$B$4:$B$2000,"mmm-yy")=TEXT(A343,"mmm-yy")),
    '[3]Global Weekly Stock (EWSuez'!$E$4:$E$2000)
/
SUMPRODUCT(
    --(TEXT('[3]Global Weekly Stock (EWSuez'!$B$4:$B$2000,"mmm-yy")=TEXT(A343,"mmm-yy"))
)</f>
        <v>14805</v>
      </c>
      <c r="I343">
        <f>_xlfn.XLOOKUP(A343,[1]ForwardDeriv!$D:$D,[1]ForwardDeriv!$AJ:$AJ)</f>
        <v>-0.88000000000000256</v>
      </c>
      <c r="J343" cm="1">
        <f t="array" ref="J343">_xlfn.XLOOKUP(TEXT(A343, "mmm-yy"), TEXT([2]GASOLINE!$B$5:$B$208, "mmm-yy"), [2]GASOLINE!$IR$5:$IR$208, "Not Found")</f>
        <v>80.184464124983634</v>
      </c>
      <c r="K343" cm="1">
        <f t="array" ref="K343">_xlfn.XLOOKUP(TEXT(A343, "mmm-yy"), TEXT([2]GASOLINE!$B$5:$B$208, "mmm-yy"), [2]GASOLINE!$IK$5:$IK$208, "Not Found")</f>
        <v>0</v>
      </c>
      <c r="L343">
        <f t="shared" si="5"/>
        <v>0</v>
      </c>
      <c r="M343" cm="1">
        <f t="array" ref="M343">_xlfn.XLOOKUP(TEXT(A343, "mmm-yy"), TEXT([2]GASOLINE!$B$5:$B$208, "mmm-yy"), [2]GASOLINE!$C$5:$C$208, "Not Found")</f>
        <v>7059.8119791364052</v>
      </c>
      <c r="N343" cm="1">
        <f t="array" ref="N343">_xlfn.XLOOKUP(TEXT(A343, "mmm-yy"), TEXT([2]RUNS!$B$5:$B$208, "mmm-yy"), [2]RUNS!$BM$5:$BM$208, "Not Found")</f>
        <v>0.82201909907994863</v>
      </c>
    </row>
    <row r="344" spans="1:14" x14ac:dyDescent="0.25">
      <c r="A344" s="1">
        <f>'[1]Global_Spot Prices'!$B1653</f>
        <v>42485</v>
      </c>
      <c r="B344">
        <f>_xlfn.XLOOKUP(A344,'[1]Global_Spot Prices'!$B:$B,'[1]Global_Spot Prices'!$BS:$BS)</f>
        <v>11.940000000000005</v>
      </c>
      <c r="C344">
        <f>_xlfn.XLOOKUP(A344,'[1]Global_Spot Prices'!$B:$B,'[1]Global_Spot Prices'!$E:$E)</f>
        <v>40.76</v>
      </c>
      <c r="D344">
        <f>_xlfn.XLOOKUP(A344,'[1]Global_Spot Prices'!$B:$B,'[1]Global_Spot Prices'!$D:$D)</f>
        <v>43.21</v>
      </c>
      <c r="E344">
        <f>_xlfn.XLOOKUP(A344,'[1]Global_Spot Prices'!$B:$B,'[1]Global_Spot Prices'!$H:$H)</f>
        <v>43.57</v>
      </c>
      <c r="F344">
        <f>_xlfn.XLOOKUP(A344,'[1]Global_Spot Prices'!$B:$B,'[1]Global_Spot Prices'!$I:$I)</f>
        <v>52.7</v>
      </c>
      <c r="G344" cm="1">
        <f t="array" ref="G344">_xlfn.XLOOKUP(TEXT(A344, "mmm-yy"), TEXT([2]RUNS!$B$5:$B$208, "mmm-yy"), [2]RUNS!$D$5:$D$208, "Not Found")</f>
        <v>27780.464261046498</v>
      </c>
      <c r="H344" cm="1">
        <f t="array" ref="H344">SUMPRODUCT(
    --(TEXT('[3]Global Weekly Stock (EWSuez'!$B$4:$B$2000,"mmm-yy")=TEXT(A344,"mmm-yy")),
    '[3]Global Weekly Stock (EWSuez'!$E$4:$E$2000)
/
SUMPRODUCT(
    --(TEXT('[3]Global Weekly Stock (EWSuez'!$B$4:$B$2000,"mmm-yy")=TEXT(A344,"mmm-yy"))
)</f>
        <v>14805</v>
      </c>
      <c r="I344">
        <f>_xlfn.XLOOKUP(A344,[1]ForwardDeriv!$D:$D,[1]ForwardDeriv!$AJ:$AJ)</f>
        <v>-0.77999999999999403</v>
      </c>
      <c r="J344" cm="1">
        <f t="array" ref="J344">_xlfn.XLOOKUP(TEXT(A344, "mmm-yy"), TEXT([2]GASOLINE!$B$5:$B$208, "mmm-yy"), [2]GASOLINE!$IR$5:$IR$208, "Not Found")</f>
        <v>80.184464124983634</v>
      </c>
      <c r="K344" cm="1">
        <f t="array" ref="K344">_xlfn.XLOOKUP(TEXT(A344, "mmm-yy"), TEXT([2]GASOLINE!$B$5:$B$208, "mmm-yy"), [2]GASOLINE!$IK$5:$IK$208, "Not Found")</f>
        <v>0</v>
      </c>
      <c r="L344">
        <f t="shared" si="5"/>
        <v>0</v>
      </c>
      <c r="M344" cm="1">
        <f t="array" ref="M344">_xlfn.XLOOKUP(TEXT(A344, "mmm-yy"), TEXT([2]GASOLINE!$B$5:$B$208, "mmm-yy"), [2]GASOLINE!$C$5:$C$208, "Not Found")</f>
        <v>7059.8119791364052</v>
      </c>
      <c r="N344" cm="1">
        <f t="array" ref="N344">_xlfn.XLOOKUP(TEXT(A344, "mmm-yy"), TEXT([2]RUNS!$B$5:$B$208, "mmm-yy"), [2]RUNS!$BM$5:$BM$208, "Not Found")</f>
        <v>0.82201909907994863</v>
      </c>
    </row>
    <row r="345" spans="1:14" x14ac:dyDescent="0.25">
      <c r="A345" s="1">
        <f>'[1]Global_Spot Prices'!$B1654</f>
        <v>42486</v>
      </c>
      <c r="B345">
        <f>_xlfn.XLOOKUP(A345,'[1]Global_Spot Prices'!$B:$B,'[1]Global_Spot Prices'!$BS:$BS)</f>
        <v>12.629999999999995</v>
      </c>
      <c r="C345">
        <f>_xlfn.XLOOKUP(A345,'[1]Global_Spot Prices'!$B:$B,'[1]Global_Spot Prices'!$E:$E)</f>
        <v>40.85</v>
      </c>
      <c r="D345">
        <f>_xlfn.XLOOKUP(A345,'[1]Global_Spot Prices'!$B:$B,'[1]Global_Spot Prices'!$D:$D)</f>
        <v>43.634999999999998</v>
      </c>
      <c r="E345">
        <f>_xlfn.XLOOKUP(A345,'[1]Global_Spot Prices'!$B:$B,'[1]Global_Spot Prices'!$H:$H)</f>
        <v>43.4</v>
      </c>
      <c r="F345">
        <f>_xlfn.XLOOKUP(A345,'[1]Global_Spot Prices'!$B:$B,'[1]Global_Spot Prices'!$I:$I)</f>
        <v>53.48</v>
      </c>
      <c r="G345" cm="1">
        <f t="array" ref="G345">_xlfn.XLOOKUP(TEXT(A345, "mmm-yy"), TEXT([2]RUNS!$B$5:$B$208, "mmm-yy"), [2]RUNS!$D$5:$D$208, "Not Found")</f>
        <v>27780.464261046498</v>
      </c>
      <c r="H345" cm="1">
        <f t="array" ref="H345">SUMPRODUCT(
    --(TEXT('[3]Global Weekly Stock (EWSuez'!$B$4:$B$2000,"mmm-yy")=TEXT(A345,"mmm-yy")),
    '[3]Global Weekly Stock (EWSuez'!$E$4:$E$2000)
/
SUMPRODUCT(
    --(TEXT('[3]Global Weekly Stock (EWSuez'!$B$4:$B$2000,"mmm-yy")=TEXT(A345,"mmm-yy"))
)</f>
        <v>14805</v>
      </c>
      <c r="I345">
        <f>_xlfn.XLOOKUP(A345,[1]ForwardDeriv!$D:$D,[1]ForwardDeriv!$AJ:$AJ)</f>
        <v>-0.71000000000000085</v>
      </c>
      <c r="J345" cm="1">
        <f t="array" ref="J345">_xlfn.XLOOKUP(TEXT(A345, "mmm-yy"), TEXT([2]GASOLINE!$B$5:$B$208, "mmm-yy"), [2]GASOLINE!$IR$5:$IR$208, "Not Found")</f>
        <v>80.184464124983634</v>
      </c>
      <c r="K345" cm="1">
        <f t="array" ref="K345">_xlfn.XLOOKUP(TEXT(A345, "mmm-yy"), TEXT([2]GASOLINE!$B$5:$B$208, "mmm-yy"), [2]GASOLINE!$IK$5:$IK$208, "Not Found")</f>
        <v>0</v>
      </c>
      <c r="L345">
        <f t="shared" si="5"/>
        <v>0</v>
      </c>
      <c r="M345" cm="1">
        <f t="array" ref="M345">_xlfn.XLOOKUP(TEXT(A345, "mmm-yy"), TEXT([2]GASOLINE!$B$5:$B$208, "mmm-yy"), [2]GASOLINE!$C$5:$C$208, "Not Found")</f>
        <v>7059.8119791364052</v>
      </c>
      <c r="N345" cm="1">
        <f t="array" ref="N345">_xlfn.XLOOKUP(TEXT(A345, "mmm-yy"), TEXT([2]RUNS!$B$5:$B$208, "mmm-yy"), [2]RUNS!$BM$5:$BM$208, "Not Found")</f>
        <v>0.82201909907994863</v>
      </c>
    </row>
    <row r="346" spans="1:14" x14ac:dyDescent="0.25">
      <c r="A346" s="1">
        <f>'[1]Global_Spot Prices'!$B1655</f>
        <v>42487</v>
      </c>
      <c r="B346">
        <f>_xlfn.XLOOKUP(A346,'[1]Global_Spot Prices'!$B:$B,'[1]Global_Spot Prices'!$BS:$BS)</f>
        <v>13.25</v>
      </c>
      <c r="C346">
        <f>_xlfn.XLOOKUP(A346,'[1]Global_Spot Prices'!$B:$B,'[1]Global_Spot Prices'!$E:$E)</f>
        <v>42.6</v>
      </c>
      <c r="D346">
        <f>_xlfn.XLOOKUP(A346,'[1]Global_Spot Prices'!$B:$B,'[1]Global_Spot Prices'!$D:$D)</f>
        <v>44.1</v>
      </c>
      <c r="E346">
        <f>_xlfn.XLOOKUP(A346,'[1]Global_Spot Prices'!$B:$B,'[1]Global_Spot Prices'!$H:$H)</f>
        <v>45.12</v>
      </c>
      <c r="F346">
        <f>_xlfn.XLOOKUP(A346,'[1]Global_Spot Prices'!$B:$B,'[1]Global_Spot Prices'!$I:$I)</f>
        <v>55.85</v>
      </c>
      <c r="G346" cm="1">
        <f t="array" ref="G346">_xlfn.XLOOKUP(TEXT(A346, "mmm-yy"), TEXT([2]RUNS!$B$5:$B$208, "mmm-yy"), [2]RUNS!$D$5:$D$208, "Not Found")</f>
        <v>27780.464261046498</v>
      </c>
      <c r="H346" cm="1">
        <f t="array" ref="H346">SUMPRODUCT(
    --(TEXT('[3]Global Weekly Stock (EWSuez'!$B$4:$B$2000,"mmm-yy")=TEXT(A346,"mmm-yy")),
    '[3]Global Weekly Stock (EWSuez'!$E$4:$E$2000)
/
SUMPRODUCT(
    --(TEXT('[3]Global Weekly Stock (EWSuez'!$B$4:$B$2000,"mmm-yy")=TEXT(A346,"mmm-yy"))
)</f>
        <v>14805</v>
      </c>
      <c r="I346">
        <f>_xlfn.XLOOKUP(A346,[1]ForwardDeriv!$D:$D,[1]ForwardDeriv!$AJ:$AJ)</f>
        <v>-0.64999999999999858</v>
      </c>
      <c r="J346" cm="1">
        <f t="array" ref="J346">_xlfn.XLOOKUP(TEXT(A346, "mmm-yy"), TEXT([2]GASOLINE!$B$5:$B$208, "mmm-yy"), [2]GASOLINE!$IR$5:$IR$208, "Not Found")</f>
        <v>80.184464124983634</v>
      </c>
      <c r="K346" cm="1">
        <f t="array" ref="K346">_xlfn.XLOOKUP(TEXT(A346, "mmm-yy"), TEXT([2]GASOLINE!$B$5:$B$208, "mmm-yy"), [2]GASOLINE!$IK$5:$IK$208, "Not Found")</f>
        <v>0</v>
      </c>
      <c r="L346">
        <f t="shared" si="5"/>
        <v>0</v>
      </c>
      <c r="M346" cm="1">
        <f t="array" ref="M346">_xlfn.XLOOKUP(TEXT(A346, "mmm-yy"), TEXT([2]GASOLINE!$B$5:$B$208, "mmm-yy"), [2]GASOLINE!$C$5:$C$208, "Not Found")</f>
        <v>7059.8119791364052</v>
      </c>
      <c r="N346" cm="1">
        <f t="array" ref="N346">_xlfn.XLOOKUP(TEXT(A346, "mmm-yy"), TEXT([2]RUNS!$B$5:$B$208, "mmm-yy"), [2]RUNS!$BM$5:$BM$208, "Not Found")</f>
        <v>0.82201909907994863</v>
      </c>
    </row>
    <row r="347" spans="1:14" x14ac:dyDescent="0.25">
      <c r="A347" s="1">
        <f>'[1]Global_Spot Prices'!$B1656</f>
        <v>42488</v>
      </c>
      <c r="B347">
        <f>_xlfn.XLOOKUP(A347,'[1]Global_Spot Prices'!$B:$B,'[1]Global_Spot Prices'!$BS:$BS)</f>
        <v>12.510000000000005</v>
      </c>
      <c r="C347">
        <f>_xlfn.XLOOKUP(A347,'[1]Global_Spot Prices'!$B:$B,'[1]Global_Spot Prices'!$E:$E)</f>
        <v>43.19</v>
      </c>
      <c r="D347">
        <f>_xlfn.XLOOKUP(A347,'[1]Global_Spot Prices'!$B:$B,'[1]Global_Spot Prices'!$D:$D)</f>
        <v>45.61</v>
      </c>
      <c r="E347">
        <f>_xlfn.XLOOKUP(A347,'[1]Global_Spot Prices'!$B:$B,'[1]Global_Spot Prices'!$H:$H)</f>
        <v>44.19</v>
      </c>
      <c r="F347">
        <f>_xlfn.XLOOKUP(A347,'[1]Global_Spot Prices'!$B:$B,'[1]Global_Spot Prices'!$I:$I)</f>
        <v>55.7</v>
      </c>
      <c r="G347" cm="1">
        <f t="array" ref="G347">_xlfn.XLOOKUP(TEXT(A347, "mmm-yy"), TEXT([2]RUNS!$B$5:$B$208, "mmm-yy"), [2]RUNS!$D$5:$D$208, "Not Found")</f>
        <v>27780.464261046498</v>
      </c>
      <c r="H347" cm="1">
        <f t="array" ref="H347">SUMPRODUCT(
    --(TEXT('[3]Global Weekly Stock (EWSuez'!$B$4:$B$2000,"mmm-yy")=TEXT(A347,"mmm-yy")),
    '[3]Global Weekly Stock (EWSuez'!$E$4:$E$2000)
/
SUMPRODUCT(
    --(TEXT('[3]Global Weekly Stock (EWSuez'!$B$4:$B$2000,"mmm-yy")=TEXT(A347,"mmm-yy"))
)</f>
        <v>14805</v>
      </c>
      <c r="I347">
        <f>_xlfn.XLOOKUP(A347,[1]ForwardDeriv!$D:$D,[1]ForwardDeriv!$AJ:$AJ)</f>
        <v>-0.64000000000000057</v>
      </c>
      <c r="J347" cm="1">
        <f t="array" ref="J347">_xlfn.XLOOKUP(TEXT(A347, "mmm-yy"), TEXT([2]GASOLINE!$B$5:$B$208, "mmm-yy"), [2]GASOLINE!$IR$5:$IR$208, "Not Found")</f>
        <v>80.184464124983634</v>
      </c>
      <c r="K347" cm="1">
        <f t="array" ref="K347">_xlfn.XLOOKUP(TEXT(A347, "mmm-yy"), TEXT([2]GASOLINE!$B$5:$B$208, "mmm-yy"), [2]GASOLINE!$IK$5:$IK$208, "Not Found")</f>
        <v>0</v>
      </c>
      <c r="L347">
        <f t="shared" si="5"/>
        <v>0</v>
      </c>
      <c r="M347" cm="1">
        <f t="array" ref="M347">_xlfn.XLOOKUP(TEXT(A347, "mmm-yy"), TEXT([2]GASOLINE!$B$5:$B$208, "mmm-yy"), [2]GASOLINE!$C$5:$C$208, "Not Found")</f>
        <v>7059.8119791364052</v>
      </c>
      <c r="N347" cm="1">
        <f t="array" ref="N347">_xlfn.XLOOKUP(TEXT(A347, "mmm-yy"), TEXT([2]RUNS!$B$5:$B$208, "mmm-yy"), [2]RUNS!$BM$5:$BM$208, "Not Found")</f>
        <v>0.82201909907994863</v>
      </c>
    </row>
    <row r="348" spans="1:14" x14ac:dyDescent="0.25">
      <c r="A348" s="1">
        <f>'[1]Global_Spot Prices'!$B1657</f>
        <v>42489</v>
      </c>
      <c r="B348">
        <f>_xlfn.XLOOKUP(A348,'[1]Global_Spot Prices'!$B:$B,'[1]Global_Spot Prices'!$BS:$BS)</f>
        <v>12.310000000000002</v>
      </c>
      <c r="C348">
        <f>_xlfn.XLOOKUP(A348,'[1]Global_Spot Prices'!$B:$B,'[1]Global_Spot Prices'!$E:$E)</f>
        <v>44.25</v>
      </c>
      <c r="D348">
        <f>_xlfn.XLOOKUP(A348,'[1]Global_Spot Prices'!$B:$B,'[1]Global_Spot Prices'!$D:$D)</f>
        <v>45.475000000000001</v>
      </c>
      <c r="E348">
        <f>_xlfn.XLOOKUP(A348,'[1]Global_Spot Prices'!$B:$B,'[1]Global_Spot Prices'!$H:$H)</f>
        <v>45.18</v>
      </c>
      <c r="F348">
        <f>_xlfn.XLOOKUP(A348,'[1]Global_Spot Prices'!$B:$B,'[1]Global_Spot Prices'!$I:$I)</f>
        <v>56.56</v>
      </c>
      <c r="G348" cm="1">
        <f t="array" ref="G348">_xlfn.XLOOKUP(TEXT(A348, "mmm-yy"), TEXT([2]RUNS!$B$5:$B$208, "mmm-yy"), [2]RUNS!$D$5:$D$208, "Not Found")</f>
        <v>27780.464261046498</v>
      </c>
      <c r="H348" cm="1">
        <f t="array" ref="H348">SUMPRODUCT(
    --(TEXT('[3]Global Weekly Stock (EWSuez'!$B$4:$B$2000,"mmm-yy")=TEXT(A348,"mmm-yy")),
    '[3]Global Weekly Stock (EWSuez'!$E$4:$E$2000)
/
SUMPRODUCT(
    --(TEXT('[3]Global Weekly Stock (EWSuez'!$B$4:$B$2000,"mmm-yy")=TEXT(A348,"mmm-yy"))
)</f>
        <v>14805</v>
      </c>
      <c r="I348">
        <f>_xlfn.XLOOKUP(A348,[1]ForwardDeriv!$D:$D,[1]ForwardDeriv!$AJ:$AJ)</f>
        <v>-0.60000000000000142</v>
      </c>
      <c r="J348" cm="1">
        <f t="array" ref="J348">_xlfn.XLOOKUP(TEXT(A348, "mmm-yy"), TEXT([2]GASOLINE!$B$5:$B$208, "mmm-yy"), [2]GASOLINE!$IR$5:$IR$208, "Not Found")</f>
        <v>80.184464124983634</v>
      </c>
      <c r="K348" cm="1">
        <f t="array" ref="K348">_xlfn.XLOOKUP(TEXT(A348, "mmm-yy"), TEXT([2]GASOLINE!$B$5:$B$208, "mmm-yy"), [2]GASOLINE!$IK$5:$IK$208, "Not Found")</f>
        <v>0</v>
      </c>
      <c r="L348">
        <f t="shared" si="5"/>
        <v>0</v>
      </c>
      <c r="M348" cm="1">
        <f t="array" ref="M348">_xlfn.XLOOKUP(TEXT(A348, "mmm-yy"), TEXT([2]GASOLINE!$B$5:$B$208, "mmm-yy"), [2]GASOLINE!$C$5:$C$208, "Not Found")</f>
        <v>7059.8119791364052</v>
      </c>
      <c r="N348" cm="1">
        <f t="array" ref="N348">_xlfn.XLOOKUP(TEXT(A348, "mmm-yy"), TEXT([2]RUNS!$B$5:$B$208, "mmm-yy"), [2]RUNS!$BM$5:$BM$208, "Not Found")</f>
        <v>0.82201909907994863</v>
      </c>
    </row>
    <row r="349" spans="1:14" x14ac:dyDescent="0.25">
      <c r="A349" s="1">
        <f>'[1]Global_Spot Prices'!$B1658</f>
        <v>42492</v>
      </c>
      <c r="B349" t="e">
        <f>_xlfn.XLOOKUP(A349,'[1]Global_Spot Prices'!$B:$B,'[1]Global_Spot Prices'!$BS:$BS)</f>
        <v>#N/A</v>
      </c>
      <c r="C349" t="str">
        <f>_xlfn.XLOOKUP(A349,'[1]Global_Spot Prices'!$B:$B,'[1]Global_Spot Prices'!$E:$E)</f>
        <v/>
      </c>
      <c r="D349" t="str">
        <f>_xlfn.XLOOKUP(A349,'[1]Global_Spot Prices'!$B:$B,'[1]Global_Spot Prices'!$D:$D)</f>
        <v/>
      </c>
      <c r="E349">
        <f>_xlfn.XLOOKUP(A349,'[1]Global_Spot Prices'!$B:$B,'[1]Global_Spot Prices'!$H:$H)</f>
        <v>0</v>
      </c>
      <c r="F349">
        <f>_xlfn.XLOOKUP(A349,'[1]Global_Spot Prices'!$B:$B,'[1]Global_Spot Prices'!$I:$I)</f>
        <v>0</v>
      </c>
      <c r="G349" cm="1">
        <f t="array" ref="G349">_xlfn.XLOOKUP(TEXT(A349, "mmm-yy"), TEXT([2]RUNS!$B$5:$B$208, "mmm-yy"), [2]RUNS!$D$5:$D$208, "Not Found")</f>
        <v>26999.330599038822</v>
      </c>
      <c r="H349" cm="1">
        <f t="array" ref="H349">SUMPRODUCT(
    --(TEXT('[3]Global Weekly Stock (EWSuez'!$B$4:$B$2000,"mmm-yy")=TEXT(A349,"mmm-yy")),
    '[3]Global Weekly Stock (EWSuez'!$E$4:$E$2000)
/
SUMPRODUCT(
    --(TEXT('[3]Global Weekly Stock (EWSuez'!$B$4:$B$2000,"mmm-yy")=TEXT(A349,"mmm-yy"))
)</f>
        <v>14952.5</v>
      </c>
      <c r="I349">
        <f>_xlfn.XLOOKUP(A349,[1]ForwardDeriv!$D:$D,[1]ForwardDeriv!$AJ:$AJ)</f>
        <v>-0.75</v>
      </c>
      <c r="J349" cm="1">
        <f t="array" ref="J349">_xlfn.XLOOKUP(TEXT(A349, "mmm-yy"), TEXT([2]GASOLINE!$B$5:$B$208, "mmm-yy"), [2]GASOLINE!$IR$5:$IR$208, "Not Found")</f>
        <v>108.00142550664251</v>
      </c>
      <c r="K349" cm="1">
        <f t="array" ref="K349">_xlfn.XLOOKUP(TEXT(A349, "mmm-yy"), TEXT([2]GASOLINE!$B$5:$B$208, "mmm-yy"), [2]GASOLINE!$IK$5:$IK$208, "Not Found")</f>
        <v>0</v>
      </c>
      <c r="L349">
        <f t="shared" si="5"/>
        <v>0</v>
      </c>
      <c r="M349" cm="1">
        <f t="array" ref="M349">_xlfn.XLOOKUP(TEXT(A349, "mmm-yy"), TEXT([2]GASOLINE!$B$5:$B$208, "mmm-yy"), [2]GASOLINE!$C$5:$C$208, "Not Found")</f>
        <v>6812.5000131837342</v>
      </c>
      <c r="N349" cm="1">
        <f t="array" ref="N349">_xlfn.XLOOKUP(TEXT(A349, "mmm-yy"), TEXT([2]RUNS!$B$5:$B$208, "mmm-yy"), [2]RUNS!$BM$5:$BM$208, "Not Found")</f>
        <v>0.80118134444645361</v>
      </c>
    </row>
    <row r="350" spans="1:14" x14ac:dyDescent="0.25">
      <c r="A350" s="1">
        <f>'[1]Global_Spot Prices'!$B1659</f>
        <v>42493</v>
      </c>
      <c r="B350">
        <f>_xlfn.XLOOKUP(A350,'[1]Global_Spot Prices'!$B:$B,'[1]Global_Spot Prices'!$BS:$BS)</f>
        <v>11.079999999999998</v>
      </c>
      <c r="C350">
        <f>_xlfn.XLOOKUP(A350,'[1]Global_Spot Prices'!$B:$B,'[1]Global_Spot Prices'!$E:$E)</f>
        <v>43</v>
      </c>
      <c r="D350">
        <f>_xlfn.XLOOKUP(A350,'[1]Global_Spot Prices'!$B:$B,'[1]Global_Spot Prices'!$D:$D)</f>
        <v>43.17</v>
      </c>
      <c r="E350">
        <f>_xlfn.XLOOKUP(A350,'[1]Global_Spot Prices'!$B:$B,'[1]Global_Spot Prices'!$H:$H)</f>
        <v>42.96</v>
      </c>
      <c r="F350">
        <f>_xlfn.XLOOKUP(A350,'[1]Global_Spot Prices'!$B:$B,'[1]Global_Spot Prices'!$I:$I)</f>
        <v>54.08</v>
      </c>
      <c r="G350" cm="1">
        <f t="array" ref="G350">_xlfn.XLOOKUP(TEXT(A350, "mmm-yy"), TEXT([2]RUNS!$B$5:$B$208, "mmm-yy"), [2]RUNS!$D$5:$D$208, "Not Found")</f>
        <v>26999.330599038822</v>
      </c>
      <c r="H350" cm="1">
        <f t="array" ref="H350">SUMPRODUCT(
    --(TEXT('[3]Global Weekly Stock (EWSuez'!$B$4:$B$2000,"mmm-yy")=TEXT(A350,"mmm-yy")),
    '[3]Global Weekly Stock (EWSuez'!$E$4:$E$2000)
/
SUMPRODUCT(
    --(TEXT('[3]Global Weekly Stock (EWSuez'!$B$4:$B$2000,"mmm-yy")=TEXT(A350,"mmm-yy"))
)</f>
        <v>14952.5</v>
      </c>
      <c r="I350">
        <f>_xlfn.XLOOKUP(A350,[1]ForwardDeriv!$D:$D,[1]ForwardDeriv!$AJ:$AJ)</f>
        <v>-0.75</v>
      </c>
      <c r="J350" cm="1">
        <f t="array" ref="J350">_xlfn.XLOOKUP(TEXT(A350, "mmm-yy"), TEXT([2]GASOLINE!$B$5:$B$208, "mmm-yy"), [2]GASOLINE!$IR$5:$IR$208, "Not Found")</f>
        <v>108.00142550664251</v>
      </c>
      <c r="K350" cm="1">
        <f t="array" ref="K350">_xlfn.XLOOKUP(TEXT(A350, "mmm-yy"), TEXT([2]GASOLINE!$B$5:$B$208, "mmm-yy"), [2]GASOLINE!$IK$5:$IK$208, "Not Found")</f>
        <v>0</v>
      </c>
      <c r="L350">
        <f t="shared" si="5"/>
        <v>0</v>
      </c>
      <c r="M350" cm="1">
        <f t="array" ref="M350">_xlfn.XLOOKUP(TEXT(A350, "mmm-yy"), TEXT([2]GASOLINE!$B$5:$B$208, "mmm-yy"), [2]GASOLINE!$C$5:$C$208, "Not Found")</f>
        <v>6812.5000131837342</v>
      </c>
      <c r="N350" cm="1">
        <f t="array" ref="N350">_xlfn.XLOOKUP(TEXT(A350, "mmm-yy"), TEXT([2]RUNS!$B$5:$B$208, "mmm-yy"), [2]RUNS!$BM$5:$BM$208, "Not Found")</f>
        <v>0.80118134444645361</v>
      </c>
    </row>
    <row r="351" spans="1:14" x14ac:dyDescent="0.25">
      <c r="A351" s="1">
        <f>'[1]Global_Spot Prices'!$B1660</f>
        <v>42494</v>
      </c>
      <c r="B351">
        <f>_xlfn.XLOOKUP(A351,'[1]Global_Spot Prices'!$B:$B,'[1]Global_Spot Prices'!$BS:$BS)</f>
        <v>11.009999999999998</v>
      </c>
      <c r="C351">
        <f>_xlfn.XLOOKUP(A351,'[1]Global_Spot Prices'!$B:$B,'[1]Global_Spot Prices'!$E:$E)</f>
        <v>41.95</v>
      </c>
      <c r="D351">
        <f>_xlfn.XLOOKUP(A351,'[1]Global_Spot Prices'!$B:$B,'[1]Global_Spot Prices'!$D:$D)</f>
        <v>43.055</v>
      </c>
      <c r="E351">
        <f>_xlfn.XLOOKUP(A351,'[1]Global_Spot Prices'!$B:$B,'[1]Global_Spot Prices'!$H:$H)</f>
        <v>41.96</v>
      </c>
      <c r="F351">
        <f>_xlfn.XLOOKUP(A351,'[1]Global_Spot Prices'!$B:$B,'[1]Global_Spot Prices'!$I:$I)</f>
        <v>52.96</v>
      </c>
      <c r="G351" cm="1">
        <f t="array" ref="G351">_xlfn.XLOOKUP(TEXT(A351, "mmm-yy"), TEXT([2]RUNS!$B$5:$B$208, "mmm-yy"), [2]RUNS!$D$5:$D$208, "Not Found")</f>
        <v>26999.330599038822</v>
      </c>
      <c r="H351" cm="1">
        <f t="array" ref="H351">SUMPRODUCT(
    --(TEXT('[3]Global Weekly Stock (EWSuez'!$B$4:$B$2000,"mmm-yy")=TEXT(A351,"mmm-yy")),
    '[3]Global Weekly Stock (EWSuez'!$E$4:$E$2000)
/
SUMPRODUCT(
    --(TEXT('[3]Global Weekly Stock (EWSuez'!$B$4:$B$2000,"mmm-yy")=TEXT(A351,"mmm-yy"))
)</f>
        <v>14952.5</v>
      </c>
      <c r="I351">
        <f>_xlfn.XLOOKUP(A351,[1]ForwardDeriv!$D:$D,[1]ForwardDeriv!$AJ:$AJ)</f>
        <v>-0.75</v>
      </c>
      <c r="J351" cm="1">
        <f t="array" ref="J351">_xlfn.XLOOKUP(TEXT(A351, "mmm-yy"), TEXT([2]GASOLINE!$B$5:$B$208, "mmm-yy"), [2]GASOLINE!$IR$5:$IR$208, "Not Found")</f>
        <v>108.00142550664251</v>
      </c>
      <c r="K351" cm="1">
        <f t="array" ref="K351">_xlfn.XLOOKUP(TEXT(A351, "mmm-yy"), TEXT([2]GASOLINE!$B$5:$B$208, "mmm-yy"), [2]GASOLINE!$IK$5:$IK$208, "Not Found")</f>
        <v>0</v>
      </c>
      <c r="L351">
        <f t="shared" si="5"/>
        <v>0</v>
      </c>
      <c r="M351" cm="1">
        <f t="array" ref="M351">_xlfn.XLOOKUP(TEXT(A351, "mmm-yy"), TEXT([2]GASOLINE!$B$5:$B$208, "mmm-yy"), [2]GASOLINE!$C$5:$C$208, "Not Found")</f>
        <v>6812.5000131837342</v>
      </c>
      <c r="N351" cm="1">
        <f t="array" ref="N351">_xlfn.XLOOKUP(TEXT(A351, "mmm-yy"), TEXT([2]RUNS!$B$5:$B$208, "mmm-yy"), [2]RUNS!$BM$5:$BM$208, "Not Found")</f>
        <v>0.80118134444645361</v>
      </c>
    </row>
    <row r="352" spans="1:14" x14ac:dyDescent="0.25">
      <c r="A352" s="1">
        <f>'[1]Global_Spot Prices'!$B1661</f>
        <v>42495</v>
      </c>
      <c r="B352">
        <f>_xlfn.XLOOKUP(A352,'[1]Global_Spot Prices'!$B:$B,'[1]Global_Spot Prices'!$BS:$BS)</f>
        <v>10.82</v>
      </c>
      <c r="C352">
        <f>_xlfn.XLOOKUP(A352,'[1]Global_Spot Prices'!$B:$B,'[1]Global_Spot Prices'!$E:$E)</f>
        <v>42.5</v>
      </c>
      <c r="D352">
        <f>_xlfn.XLOOKUP(A352,'[1]Global_Spot Prices'!$B:$B,'[1]Global_Spot Prices'!$D:$D)</f>
        <v>44.365000000000002</v>
      </c>
      <c r="E352">
        <f>_xlfn.XLOOKUP(A352,'[1]Global_Spot Prices'!$B:$B,'[1]Global_Spot Prices'!$H:$H)</f>
        <v>41.84</v>
      </c>
      <c r="F352">
        <f>_xlfn.XLOOKUP(A352,'[1]Global_Spot Prices'!$B:$B,'[1]Global_Spot Prices'!$I:$I)</f>
        <v>53.32</v>
      </c>
      <c r="G352" cm="1">
        <f t="array" ref="G352">_xlfn.XLOOKUP(TEXT(A352, "mmm-yy"), TEXT([2]RUNS!$B$5:$B$208, "mmm-yy"), [2]RUNS!$D$5:$D$208, "Not Found")</f>
        <v>26999.330599038822</v>
      </c>
      <c r="H352" cm="1">
        <f t="array" ref="H352">SUMPRODUCT(
    --(TEXT('[3]Global Weekly Stock (EWSuez'!$B$4:$B$2000,"mmm-yy")=TEXT(A352,"mmm-yy")),
    '[3]Global Weekly Stock (EWSuez'!$E$4:$E$2000)
/
SUMPRODUCT(
    --(TEXT('[3]Global Weekly Stock (EWSuez'!$B$4:$B$2000,"mmm-yy")=TEXT(A352,"mmm-yy"))
)</f>
        <v>14952.5</v>
      </c>
      <c r="I352">
        <f>_xlfn.XLOOKUP(A352,[1]ForwardDeriv!$D:$D,[1]ForwardDeriv!$AJ:$AJ)</f>
        <v>-0.8300000000000054</v>
      </c>
      <c r="J352" cm="1">
        <f t="array" ref="J352">_xlfn.XLOOKUP(TEXT(A352, "mmm-yy"), TEXT([2]GASOLINE!$B$5:$B$208, "mmm-yy"), [2]GASOLINE!$IR$5:$IR$208, "Not Found")</f>
        <v>108.00142550664251</v>
      </c>
      <c r="K352" cm="1">
        <f t="array" ref="K352">_xlfn.XLOOKUP(TEXT(A352, "mmm-yy"), TEXT([2]GASOLINE!$B$5:$B$208, "mmm-yy"), [2]GASOLINE!$IK$5:$IK$208, "Not Found")</f>
        <v>0</v>
      </c>
      <c r="L352">
        <f t="shared" si="5"/>
        <v>0</v>
      </c>
      <c r="M352" cm="1">
        <f t="array" ref="M352">_xlfn.XLOOKUP(TEXT(A352, "mmm-yy"), TEXT([2]GASOLINE!$B$5:$B$208, "mmm-yy"), [2]GASOLINE!$C$5:$C$208, "Not Found")</f>
        <v>6812.5000131837342</v>
      </c>
      <c r="N352" cm="1">
        <f t="array" ref="N352">_xlfn.XLOOKUP(TEXT(A352, "mmm-yy"), TEXT([2]RUNS!$B$5:$B$208, "mmm-yy"), [2]RUNS!$BM$5:$BM$208, "Not Found")</f>
        <v>0.80118134444645361</v>
      </c>
    </row>
    <row r="353" spans="1:14" x14ac:dyDescent="0.25">
      <c r="A353" s="1">
        <f>'[1]Global_Spot Prices'!$B1662</f>
        <v>42496</v>
      </c>
      <c r="B353">
        <f>_xlfn.XLOOKUP(A353,'[1]Global_Spot Prices'!$B:$B,'[1]Global_Spot Prices'!$BS:$BS)</f>
        <v>10.579999999999998</v>
      </c>
      <c r="C353">
        <f>_xlfn.XLOOKUP(A353,'[1]Global_Spot Prices'!$B:$B,'[1]Global_Spot Prices'!$E:$E)</f>
        <v>41.61</v>
      </c>
      <c r="D353">
        <f>_xlfn.XLOOKUP(A353,'[1]Global_Spot Prices'!$B:$B,'[1]Global_Spot Prices'!$D:$D)</f>
        <v>44.62</v>
      </c>
      <c r="E353">
        <f>_xlfn.XLOOKUP(A353,'[1]Global_Spot Prices'!$B:$B,'[1]Global_Spot Prices'!$H:$H)</f>
        <v>41.12</v>
      </c>
      <c r="F353">
        <f>_xlfn.XLOOKUP(A353,'[1]Global_Spot Prices'!$B:$B,'[1]Global_Spot Prices'!$I:$I)</f>
        <v>52.19</v>
      </c>
      <c r="G353" cm="1">
        <f t="array" ref="G353">_xlfn.XLOOKUP(TEXT(A353, "mmm-yy"), TEXT([2]RUNS!$B$5:$B$208, "mmm-yy"), [2]RUNS!$D$5:$D$208, "Not Found")</f>
        <v>26999.330599038822</v>
      </c>
      <c r="H353" cm="1">
        <f t="array" ref="H353">SUMPRODUCT(
    --(TEXT('[3]Global Weekly Stock (EWSuez'!$B$4:$B$2000,"mmm-yy")=TEXT(A353,"mmm-yy")),
    '[3]Global Weekly Stock (EWSuez'!$E$4:$E$2000)
/
SUMPRODUCT(
    --(TEXT('[3]Global Weekly Stock (EWSuez'!$B$4:$B$2000,"mmm-yy")=TEXT(A353,"mmm-yy"))
)</f>
        <v>14952.5</v>
      </c>
      <c r="I353">
        <f>_xlfn.XLOOKUP(A353,[1]ForwardDeriv!$D:$D,[1]ForwardDeriv!$AJ:$AJ)</f>
        <v>-0.78999999999999915</v>
      </c>
      <c r="J353" cm="1">
        <f t="array" ref="J353">_xlfn.XLOOKUP(TEXT(A353, "mmm-yy"), TEXT([2]GASOLINE!$B$5:$B$208, "mmm-yy"), [2]GASOLINE!$IR$5:$IR$208, "Not Found")</f>
        <v>108.00142550664251</v>
      </c>
      <c r="K353" cm="1">
        <f t="array" ref="K353">_xlfn.XLOOKUP(TEXT(A353, "mmm-yy"), TEXT([2]GASOLINE!$B$5:$B$208, "mmm-yy"), [2]GASOLINE!$IK$5:$IK$208, "Not Found")</f>
        <v>0</v>
      </c>
      <c r="L353">
        <f t="shared" si="5"/>
        <v>0</v>
      </c>
      <c r="M353" cm="1">
        <f t="array" ref="M353">_xlfn.XLOOKUP(TEXT(A353, "mmm-yy"), TEXT([2]GASOLINE!$B$5:$B$208, "mmm-yy"), [2]GASOLINE!$C$5:$C$208, "Not Found")</f>
        <v>6812.5000131837342</v>
      </c>
      <c r="N353" cm="1">
        <f t="array" ref="N353">_xlfn.XLOOKUP(TEXT(A353, "mmm-yy"), TEXT([2]RUNS!$B$5:$B$208, "mmm-yy"), [2]RUNS!$BM$5:$BM$208, "Not Found")</f>
        <v>0.80118134444645361</v>
      </c>
    </row>
    <row r="354" spans="1:14" x14ac:dyDescent="0.25">
      <c r="A354" s="1">
        <f>'[1]Global_Spot Prices'!$B1663</f>
        <v>42499</v>
      </c>
      <c r="B354">
        <f>_xlfn.XLOOKUP(A354,'[1]Global_Spot Prices'!$B:$B,'[1]Global_Spot Prices'!$BS:$BS)</f>
        <v>10.340000000000003</v>
      </c>
      <c r="C354">
        <f>_xlfn.XLOOKUP(A354,'[1]Global_Spot Prices'!$B:$B,'[1]Global_Spot Prices'!$E:$E)</f>
        <v>42.75</v>
      </c>
      <c r="D354">
        <f>_xlfn.XLOOKUP(A354,'[1]Global_Spot Prices'!$B:$B,'[1]Global_Spot Prices'!$D:$D)</f>
        <v>42.42</v>
      </c>
      <c r="E354">
        <f>_xlfn.XLOOKUP(A354,'[1]Global_Spot Prices'!$B:$B,'[1]Global_Spot Prices'!$H:$H)</f>
        <v>42.32</v>
      </c>
      <c r="F354">
        <f>_xlfn.XLOOKUP(A354,'[1]Global_Spot Prices'!$B:$B,'[1]Global_Spot Prices'!$I:$I)</f>
        <v>53.09</v>
      </c>
      <c r="G354" cm="1">
        <f t="array" ref="G354">_xlfn.XLOOKUP(TEXT(A354, "mmm-yy"), TEXT([2]RUNS!$B$5:$B$208, "mmm-yy"), [2]RUNS!$D$5:$D$208, "Not Found")</f>
        <v>26999.330599038822</v>
      </c>
      <c r="H354" cm="1">
        <f t="array" ref="H354">SUMPRODUCT(
    --(TEXT('[3]Global Weekly Stock (EWSuez'!$B$4:$B$2000,"mmm-yy")=TEXT(A354,"mmm-yy")),
    '[3]Global Weekly Stock (EWSuez'!$E$4:$E$2000)
/
SUMPRODUCT(
    --(TEXT('[3]Global Weekly Stock (EWSuez'!$B$4:$B$2000,"mmm-yy")=TEXT(A354,"mmm-yy"))
)</f>
        <v>14952.5</v>
      </c>
      <c r="I354">
        <f>_xlfn.XLOOKUP(A354,[1]ForwardDeriv!$D:$D,[1]ForwardDeriv!$AJ:$AJ)</f>
        <v>-0.80000000000000426</v>
      </c>
      <c r="J354" cm="1">
        <f t="array" ref="J354">_xlfn.XLOOKUP(TEXT(A354, "mmm-yy"), TEXT([2]GASOLINE!$B$5:$B$208, "mmm-yy"), [2]GASOLINE!$IR$5:$IR$208, "Not Found")</f>
        <v>108.00142550664251</v>
      </c>
      <c r="K354" cm="1">
        <f t="array" ref="K354">_xlfn.XLOOKUP(TEXT(A354, "mmm-yy"), TEXT([2]GASOLINE!$B$5:$B$208, "mmm-yy"), [2]GASOLINE!$IK$5:$IK$208, "Not Found")</f>
        <v>0</v>
      </c>
      <c r="L354">
        <f t="shared" si="5"/>
        <v>0</v>
      </c>
      <c r="M354" cm="1">
        <f t="array" ref="M354">_xlfn.XLOOKUP(TEXT(A354, "mmm-yy"), TEXT([2]GASOLINE!$B$5:$B$208, "mmm-yy"), [2]GASOLINE!$C$5:$C$208, "Not Found")</f>
        <v>6812.5000131837342</v>
      </c>
      <c r="N354" cm="1">
        <f t="array" ref="N354">_xlfn.XLOOKUP(TEXT(A354, "mmm-yy"), TEXT([2]RUNS!$B$5:$B$208, "mmm-yy"), [2]RUNS!$BM$5:$BM$208, "Not Found")</f>
        <v>0.80118134444645361</v>
      </c>
    </row>
    <row r="355" spans="1:14" x14ac:dyDescent="0.25">
      <c r="A355" s="1">
        <f>'[1]Global_Spot Prices'!$B1664</f>
        <v>42500</v>
      </c>
      <c r="B355">
        <f>_xlfn.XLOOKUP(A355,'[1]Global_Spot Prices'!$B:$B,'[1]Global_Spot Prices'!$BS:$BS)</f>
        <v>10.309999999999995</v>
      </c>
      <c r="C355">
        <f>_xlfn.XLOOKUP(A355,'[1]Global_Spot Prices'!$B:$B,'[1]Global_Spot Prices'!$E:$E)</f>
        <v>41.1</v>
      </c>
      <c r="D355">
        <f>_xlfn.XLOOKUP(A355,'[1]Global_Spot Prices'!$B:$B,'[1]Global_Spot Prices'!$D:$D)</f>
        <v>44.02</v>
      </c>
      <c r="E355">
        <f>_xlfn.XLOOKUP(A355,'[1]Global_Spot Prices'!$B:$B,'[1]Global_Spot Prices'!$H:$H)</f>
        <v>40.81</v>
      </c>
      <c r="F355">
        <f>_xlfn.XLOOKUP(A355,'[1]Global_Spot Prices'!$B:$B,'[1]Global_Spot Prices'!$I:$I)</f>
        <v>51.41</v>
      </c>
      <c r="G355" cm="1">
        <f t="array" ref="G355">_xlfn.XLOOKUP(TEXT(A355, "mmm-yy"), TEXT([2]RUNS!$B$5:$B$208, "mmm-yy"), [2]RUNS!$D$5:$D$208, "Not Found")</f>
        <v>26999.330599038822</v>
      </c>
      <c r="H355" cm="1">
        <f t="array" ref="H355">SUMPRODUCT(
    --(TEXT('[3]Global Weekly Stock (EWSuez'!$B$4:$B$2000,"mmm-yy")=TEXT(A355,"mmm-yy")),
    '[3]Global Weekly Stock (EWSuez'!$E$4:$E$2000)
/
SUMPRODUCT(
    --(TEXT('[3]Global Weekly Stock (EWSuez'!$B$4:$B$2000,"mmm-yy")=TEXT(A355,"mmm-yy"))
)</f>
        <v>14952.5</v>
      </c>
      <c r="I355">
        <f>_xlfn.XLOOKUP(A355,[1]ForwardDeriv!$D:$D,[1]ForwardDeriv!$AJ:$AJ)</f>
        <v>-0.78000000000000114</v>
      </c>
      <c r="J355" cm="1">
        <f t="array" ref="J355">_xlfn.XLOOKUP(TEXT(A355, "mmm-yy"), TEXT([2]GASOLINE!$B$5:$B$208, "mmm-yy"), [2]GASOLINE!$IR$5:$IR$208, "Not Found")</f>
        <v>108.00142550664251</v>
      </c>
      <c r="K355" cm="1">
        <f t="array" ref="K355">_xlfn.XLOOKUP(TEXT(A355, "mmm-yy"), TEXT([2]GASOLINE!$B$5:$B$208, "mmm-yy"), [2]GASOLINE!$IK$5:$IK$208, "Not Found")</f>
        <v>0</v>
      </c>
      <c r="L355">
        <f t="shared" si="5"/>
        <v>0</v>
      </c>
      <c r="M355" cm="1">
        <f t="array" ref="M355">_xlfn.XLOOKUP(TEXT(A355, "mmm-yy"), TEXT([2]GASOLINE!$B$5:$B$208, "mmm-yy"), [2]GASOLINE!$C$5:$C$208, "Not Found")</f>
        <v>6812.5000131837342</v>
      </c>
      <c r="N355" cm="1">
        <f t="array" ref="N355">_xlfn.XLOOKUP(TEXT(A355, "mmm-yy"), TEXT([2]RUNS!$B$5:$B$208, "mmm-yy"), [2]RUNS!$BM$5:$BM$208, "Not Found")</f>
        <v>0.80118134444645361</v>
      </c>
    </row>
    <row r="356" spans="1:14" x14ac:dyDescent="0.25">
      <c r="A356" s="1">
        <f>'[1]Global_Spot Prices'!$B1665</f>
        <v>42501</v>
      </c>
      <c r="B356">
        <f>_xlfn.XLOOKUP(A356,'[1]Global_Spot Prices'!$B:$B,'[1]Global_Spot Prices'!$BS:$BS)</f>
        <v>9.970000000000006</v>
      </c>
      <c r="C356">
        <f>_xlfn.XLOOKUP(A356,'[1]Global_Spot Prices'!$B:$B,'[1]Global_Spot Prices'!$E:$E)</f>
        <v>42.05</v>
      </c>
      <c r="D356">
        <f>_xlfn.XLOOKUP(A356,'[1]Global_Spot Prices'!$B:$B,'[1]Global_Spot Prices'!$D:$D)</f>
        <v>46.06</v>
      </c>
      <c r="E356">
        <f>_xlfn.XLOOKUP(A356,'[1]Global_Spot Prices'!$B:$B,'[1]Global_Spot Prices'!$H:$H)</f>
        <v>41.72</v>
      </c>
      <c r="F356">
        <f>_xlfn.XLOOKUP(A356,'[1]Global_Spot Prices'!$B:$B,'[1]Global_Spot Prices'!$I:$I)</f>
        <v>52.02</v>
      </c>
      <c r="G356" cm="1">
        <f t="array" ref="G356">_xlfn.XLOOKUP(TEXT(A356, "mmm-yy"), TEXT([2]RUNS!$B$5:$B$208, "mmm-yy"), [2]RUNS!$D$5:$D$208, "Not Found")</f>
        <v>26999.330599038822</v>
      </c>
      <c r="H356" cm="1">
        <f t="array" ref="H356">SUMPRODUCT(
    --(TEXT('[3]Global Weekly Stock (EWSuez'!$B$4:$B$2000,"mmm-yy")=TEXT(A356,"mmm-yy")),
    '[3]Global Weekly Stock (EWSuez'!$E$4:$E$2000)
/
SUMPRODUCT(
    --(TEXT('[3]Global Weekly Stock (EWSuez'!$B$4:$B$2000,"mmm-yy")=TEXT(A356,"mmm-yy"))
)</f>
        <v>14952.5</v>
      </c>
      <c r="I356">
        <f>_xlfn.XLOOKUP(A356,[1]ForwardDeriv!$D:$D,[1]ForwardDeriv!$AJ:$AJ)</f>
        <v>-0.71000000000000085</v>
      </c>
      <c r="J356" cm="1">
        <f t="array" ref="J356">_xlfn.XLOOKUP(TEXT(A356, "mmm-yy"), TEXT([2]GASOLINE!$B$5:$B$208, "mmm-yy"), [2]GASOLINE!$IR$5:$IR$208, "Not Found")</f>
        <v>108.00142550664251</v>
      </c>
      <c r="K356" cm="1">
        <f t="array" ref="K356">_xlfn.XLOOKUP(TEXT(A356, "mmm-yy"), TEXT([2]GASOLINE!$B$5:$B$208, "mmm-yy"), [2]GASOLINE!$IK$5:$IK$208, "Not Found")</f>
        <v>0</v>
      </c>
      <c r="L356">
        <f t="shared" si="5"/>
        <v>0</v>
      </c>
      <c r="M356" cm="1">
        <f t="array" ref="M356">_xlfn.XLOOKUP(TEXT(A356, "mmm-yy"), TEXT([2]GASOLINE!$B$5:$B$208, "mmm-yy"), [2]GASOLINE!$C$5:$C$208, "Not Found")</f>
        <v>6812.5000131837342</v>
      </c>
      <c r="N356" cm="1">
        <f t="array" ref="N356">_xlfn.XLOOKUP(TEXT(A356, "mmm-yy"), TEXT([2]RUNS!$B$5:$B$208, "mmm-yy"), [2]RUNS!$BM$5:$BM$208, "Not Found")</f>
        <v>0.80118134444645361</v>
      </c>
    </row>
    <row r="357" spans="1:14" x14ac:dyDescent="0.25">
      <c r="A357" s="1">
        <f>'[1]Global_Spot Prices'!$B1666</f>
        <v>42502</v>
      </c>
      <c r="B357">
        <f>_xlfn.XLOOKUP(A357,'[1]Global_Spot Prices'!$B:$B,'[1]Global_Spot Prices'!$BS:$BS)</f>
        <v>11.29</v>
      </c>
      <c r="C357">
        <f>_xlfn.XLOOKUP(A357,'[1]Global_Spot Prices'!$B:$B,'[1]Global_Spot Prices'!$E:$E)</f>
        <v>44.51</v>
      </c>
      <c r="D357">
        <f>_xlfn.XLOOKUP(A357,'[1]Global_Spot Prices'!$B:$B,'[1]Global_Spot Prices'!$D:$D)</f>
        <v>46.524999999999999</v>
      </c>
      <c r="E357">
        <f>_xlfn.XLOOKUP(A357,'[1]Global_Spot Prices'!$B:$B,'[1]Global_Spot Prices'!$H:$H)</f>
        <v>44.74</v>
      </c>
      <c r="F357">
        <f>_xlfn.XLOOKUP(A357,'[1]Global_Spot Prices'!$B:$B,'[1]Global_Spot Prices'!$I:$I)</f>
        <v>55.8</v>
      </c>
      <c r="G357" cm="1">
        <f t="array" ref="G357">_xlfn.XLOOKUP(TEXT(A357, "mmm-yy"), TEXT([2]RUNS!$B$5:$B$208, "mmm-yy"), [2]RUNS!$D$5:$D$208, "Not Found")</f>
        <v>26999.330599038822</v>
      </c>
      <c r="H357" cm="1">
        <f t="array" ref="H357">SUMPRODUCT(
    --(TEXT('[3]Global Weekly Stock (EWSuez'!$B$4:$B$2000,"mmm-yy")=TEXT(A357,"mmm-yy")),
    '[3]Global Weekly Stock (EWSuez'!$E$4:$E$2000)
/
SUMPRODUCT(
    --(TEXT('[3]Global Weekly Stock (EWSuez'!$B$4:$B$2000,"mmm-yy")=TEXT(A357,"mmm-yy"))
)</f>
        <v>14952.5</v>
      </c>
      <c r="I357">
        <f>_xlfn.XLOOKUP(A357,[1]ForwardDeriv!$D:$D,[1]ForwardDeriv!$AJ:$AJ)</f>
        <v>-0.54999999999999716</v>
      </c>
      <c r="J357" cm="1">
        <f t="array" ref="J357">_xlfn.XLOOKUP(TEXT(A357, "mmm-yy"), TEXT([2]GASOLINE!$B$5:$B$208, "mmm-yy"), [2]GASOLINE!$IR$5:$IR$208, "Not Found")</f>
        <v>108.00142550664251</v>
      </c>
      <c r="K357" cm="1">
        <f t="array" ref="K357">_xlfn.XLOOKUP(TEXT(A357, "mmm-yy"), TEXT([2]GASOLINE!$B$5:$B$208, "mmm-yy"), [2]GASOLINE!$IK$5:$IK$208, "Not Found")</f>
        <v>0</v>
      </c>
      <c r="L357">
        <f t="shared" si="5"/>
        <v>0</v>
      </c>
      <c r="M357" cm="1">
        <f t="array" ref="M357">_xlfn.XLOOKUP(TEXT(A357, "mmm-yy"), TEXT([2]GASOLINE!$B$5:$B$208, "mmm-yy"), [2]GASOLINE!$C$5:$C$208, "Not Found")</f>
        <v>6812.5000131837342</v>
      </c>
      <c r="N357" cm="1">
        <f t="array" ref="N357">_xlfn.XLOOKUP(TEXT(A357, "mmm-yy"), TEXT([2]RUNS!$B$5:$B$208, "mmm-yy"), [2]RUNS!$BM$5:$BM$208, "Not Found")</f>
        <v>0.80118134444645361</v>
      </c>
    </row>
    <row r="358" spans="1:14" x14ac:dyDescent="0.25">
      <c r="A358" s="1">
        <f>'[1]Global_Spot Prices'!$B1667</f>
        <v>42503</v>
      </c>
      <c r="B358">
        <f>_xlfn.XLOOKUP(A358,'[1]Global_Spot Prices'!$B:$B,'[1]Global_Spot Prices'!$BS:$BS)</f>
        <v>11.450000000000003</v>
      </c>
      <c r="C358">
        <f>_xlfn.XLOOKUP(A358,'[1]Global_Spot Prices'!$B:$B,'[1]Global_Spot Prices'!$E:$E)</f>
        <v>44.3</v>
      </c>
      <c r="D358">
        <f>_xlfn.XLOOKUP(A358,'[1]Global_Spot Prices'!$B:$B,'[1]Global_Spot Prices'!$D:$D)</f>
        <v>47.435000000000002</v>
      </c>
      <c r="E358">
        <f>_xlfn.XLOOKUP(A358,'[1]Global_Spot Prices'!$B:$B,'[1]Global_Spot Prices'!$H:$H)</f>
        <v>44.35</v>
      </c>
      <c r="F358">
        <f>_xlfn.XLOOKUP(A358,'[1]Global_Spot Prices'!$B:$B,'[1]Global_Spot Prices'!$I:$I)</f>
        <v>55.75</v>
      </c>
      <c r="G358" cm="1">
        <f t="array" ref="G358">_xlfn.XLOOKUP(TEXT(A358, "mmm-yy"), TEXT([2]RUNS!$B$5:$B$208, "mmm-yy"), [2]RUNS!$D$5:$D$208, "Not Found")</f>
        <v>26999.330599038822</v>
      </c>
      <c r="H358" cm="1">
        <f t="array" ref="H358">SUMPRODUCT(
    --(TEXT('[3]Global Weekly Stock (EWSuez'!$B$4:$B$2000,"mmm-yy")=TEXT(A358,"mmm-yy")),
    '[3]Global Weekly Stock (EWSuez'!$E$4:$E$2000)
/
SUMPRODUCT(
    --(TEXT('[3]Global Weekly Stock (EWSuez'!$B$4:$B$2000,"mmm-yy")=TEXT(A358,"mmm-yy"))
)</f>
        <v>14952.5</v>
      </c>
      <c r="I358">
        <f>_xlfn.XLOOKUP(A358,[1]ForwardDeriv!$D:$D,[1]ForwardDeriv!$AJ:$AJ)</f>
        <v>-0.51999999999999602</v>
      </c>
      <c r="J358" cm="1">
        <f t="array" ref="J358">_xlfn.XLOOKUP(TEXT(A358, "mmm-yy"), TEXT([2]GASOLINE!$B$5:$B$208, "mmm-yy"), [2]GASOLINE!$IR$5:$IR$208, "Not Found")</f>
        <v>108.00142550664251</v>
      </c>
      <c r="K358" cm="1">
        <f t="array" ref="K358">_xlfn.XLOOKUP(TEXT(A358, "mmm-yy"), TEXT([2]GASOLINE!$B$5:$B$208, "mmm-yy"), [2]GASOLINE!$IK$5:$IK$208, "Not Found")</f>
        <v>0</v>
      </c>
      <c r="L358">
        <f t="shared" si="5"/>
        <v>0</v>
      </c>
      <c r="M358" cm="1">
        <f t="array" ref="M358">_xlfn.XLOOKUP(TEXT(A358, "mmm-yy"), TEXT([2]GASOLINE!$B$5:$B$208, "mmm-yy"), [2]GASOLINE!$C$5:$C$208, "Not Found")</f>
        <v>6812.5000131837342</v>
      </c>
      <c r="N358" cm="1">
        <f t="array" ref="N358">_xlfn.XLOOKUP(TEXT(A358, "mmm-yy"), TEXT([2]RUNS!$B$5:$B$208, "mmm-yy"), [2]RUNS!$BM$5:$BM$208, "Not Found")</f>
        <v>0.80118134444645361</v>
      </c>
    </row>
    <row r="359" spans="1:14" x14ac:dyDescent="0.25">
      <c r="A359" s="1">
        <f>'[1]Global_Spot Prices'!$B1668</f>
        <v>42506</v>
      </c>
      <c r="B359">
        <f>_xlfn.XLOOKUP(A359,'[1]Global_Spot Prices'!$B:$B,'[1]Global_Spot Prices'!$BS:$BS)</f>
        <v>12.079999999999998</v>
      </c>
      <c r="C359">
        <f>_xlfn.XLOOKUP(A359,'[1]Global_Spot Prices'!$B:$B,'[1]Global_Spot Prices'!$E:$E)</f>
        <v>45.2</v>
      </c>
      <c r="D359">
        <f>_xlfn.XLOOKUP(A359,'[1]Global_Spot Prices'!$B:$B,'[1]Global_Spot Prices'!$D:$D)</f>
        <v>48.6</v>
      </c>
      <c r="E359">
        <f>_xlfn.XLOOKUP(A359,'[1]Global_Spot Prices'!$B:$B,'[1]Global_Spot Prices'!$H:$H)</f>
        <v>45.49</v>
      </c>
      <c r="F359">
        <f>_xlfn.XLOOKUP(A359,'[1]Global_Spot Prices'!$B:$B,'[1]Global_Spot Prices'!$I:$I)</f>
        <v>57.28</v>
      </c>
      <c r="G359" cm="1">
        <f t="array" ref="G359">_xlfn.XLOOKUP(TEXT(A359, "mmm-yy"), TEXT([2]RUNS!$B$5:$B$208, "mmm-yy"), [2]RUNS!$D$5:$D$208, "Not Found")</f>
        <v>26999.330599038822</v>
      </c>
      <c r="H359" cm="1">
        <f t="array" ref="H359">SUMPRODUCT(
    --(TEXT('[3]Global Weekly Stock (EWSuez'!$B$4:$B$2000,"mmm-yy")=TEXT(A359,"mmm-yy")),
    '[3]Global Weekly Stock (EWSuez'!$E$4:$E$2000)
/
SUMPRODUCT(
    --(TEXT('[3]Global Weekly Stock (EWSuez'!$B$4:$B$2000,"mmm-yy")=TEXT(A359,"mmm-yy"))
)</f>
        <v>14952.5</v>
      </c>
      <c r="I359">
        <f>_xlfn.XLOOKUP(A359,[1]ForwardDeriv!$D:$D,[1]ForwardDeriv!$AJ:$AJ)</f>
        <v>-0.5</v>
      </c>
      <c r="J359" cm="1">
        <f t="array" ref="J359">_xlfn.XLOOKUP(TEXT(A359, "mmm-yy"), TEXT([2]GASOLINE!$B$5:$B$208, "mmm-yy"), [2]GASOLINE!$IR$5:$IR$208, "Not Found")</f>
        <v>108.00142550664251</v>
      </c>
      <c r="K359" cm="1">
        <f t="array" ref="K359">_xlfn.XLOOKUP(TEXT(A359, "mmm-yy"), TEXT([2]GASOLINE!$B$5:$B$208, "mmm-yy"), [2]GASOLINE!$IK$5:$IK$208, "Not Found")</f>
        <v>0</v>
      </c>
      <c r="L359">
        <f t="shared" si="5"/>
        <v>0</v>
      </c>
      <c r="M359" cm="1">
        <f t="array" ref="M359">_xlfn.XLOOKUP(TEXT(A359, "mmm-yy"), TEXT([2]GASOLINE!$B$5:$B$208, "mmm-yy"), [2]GASOLINE!$C$5:$C$208, "Not Found")</f>
        <v>6812.5000131837342</v>
      </c>
      <c r="N359" cm="1">
        <f t="array" ref="N359">_xlfn.XLOOKUP(TEXT(A359, "mmm-yy"), TEXT([2]RUNS!$B$5:$B$208, "mmm-yy"), [2]RUNS!$BM$5:$BM$208, "Not Found")</f>
        <v>0.80118134444645361</v>
      </c>
    </row>
    <row r="360" spans="1:14" x14ac:dyDescent="0.25">
      <c r="A360" s="1">
        <f>'[1]Global_Spot Prices'!$B1669</f>
        <v>42507</v>
      </c>
      <c r="B360">
        <f>_xlfn.XLOOKUP(A360,'[1]Global_Spot Prices'!$B:$B,'[1]Global_Spot Prices'!$BS:$BS)</f>
        <v>12.04</v>
      </c>
      <c r="C360">
        <f>_xlfn.XLOOKUP(A360,'[1]Global_Spot Prices'!$B:$B,'[1]Global_Spot Prices'!$E:$E)</f>
        <v>45.65</v>
      </c>
      <c r="D360">
        <f>_xlfn.XLOOKUP(A360,'[1]Global_Spot Prices'!$B:$B,'[1]Global_Spot Prices'!$D:$D)</f>
        <v>48.954999999999998</v>
      </c>
      <c r="E360">
        <f>_xlfn.XLOOKUP(A360,'[1]Global_Spot Prices'!$B:$B,'[1]Global_Spot Prices'!$H:$H)</f>
        <v>46.02</v>
      </c>
      <c r="F360">
        <f>_xlfn.XLOOKUP(A360,'[1]Global_Spot Prices'!$B:$B,'[1]Global_Spot Prices'!$I:$I)</f>
        <v>57.69</v>
      </c>
      <c r="G360" cm="1">
        <f t="array" ref="G360">_xlfn.XLOOKUP(TEXT(A360, "mmm-yy"), TEXT([2]RUNS!$B$5:$B$208, "mmm-yy"), [2]RUNS!$D$5:$D$208, "Not Found")</f>
        <v>26999.330599038822</v>
      </c>
      <c r="H360" cm="1">
        <f t="array" ref="H360">SUMPRODUCT(
    --(TEXT('[3]Global Weekly Stock (EWSuez'!$B$4:$B$2000,"mmm-yy")=TEXT(A360,"mmm-yy")),
    '[3]Global Weekly Stock (EWSuez'!$E$4:$E$2000)
/
SUMPRODUCT(
    --(TEXT('[3]Global Weekly Stock (EWSuez'!$B$4:$B$2000,"mmm-yy")=TEXT(A360,"mmm-yy"))
)</f>
        <v>14952.5</v>
      </c>
      <c r="I360">
        <f>_xlfn.XLOOKUP(A360,[1]ForwardDeriv!$D:$D,[1]ForwardDeriv!$AJ:$AJ)</f>
        <v>-0.39999999999999858</v>
      </c>
      <c r="J360" cm="1">
        <f t="array" ref="J360">_xlfn.XLOOKUP(TEXT(A360, "mmm-yy"), TEXT([2]GASOLINE!$B$5:$B$208, "mmm-yy"), [2]GASOLINE!$IR$5:$IR$208, "Not Found")</f>
        <v>108.00142550664251</v>
      </c>
      <c r="K360" cm="1">
        <f t="array" ref="K360">_xlfn.XLOOKUP(TEXT(A360, "mmm-yy"), TEXT([2]GASOLINE!$B$5:$B$208, "mmm-yy"), [2]GASOLINE!$IK$5:$IK$208, "Not Found")</f>
        <v>0</v>
      </c>
      <c r="L360">
        <f t="shared" si="5"/>
        <v>0</v>
      </c>
      <c r="M360" cm="1">
        <f t="array" ref="M360">_xlfn.XLOOKUP(TEXT(A360, "mmm-yy"), TEXT([2]GASOLINE!$B$5:$B$208, "mmm-yy"), [2]GASOLINE!$C$5:$C$208, "Not Found")</f>
        <v>6812.5000131837342</v>
      </c>
      <c r="N360" cm="1">
        <f t="array" ref="N360">_xlfn.XLOOKUP(TEXT(A360, "mmm-yy"), TEXT([2]RUNS!$B$5:$B$208, "mmm-yy"), [2]RUNS!$BM$5:$BM$208, "Not Found")</f>
        <v>0.80118134444645361</v>
      </c>
    </row>
    <row r="361" spans="1:14" x14ac:dyDescent="0.25">
      <c r="A361" s="1">
        <f>'[1]Global_Spot Prices'!$B1670</f>
        <v>42508</v>
      </c>
      <c r="B361">
        <f>_xlfn.XLOOKUP(A361,'[1]Global_Spot Prices'!$B:$B,'[1]Global_Spot Prices'!$BS:$BS)</f>
        <v>12.39</v>
      </c>
      <c r="C361">
        <f>_xlfn.XLOOKUP(A361,'[1]Global_Spot Prices'!$B:$B,'[1]Global_Spot Prices'!$E:$E)</f>
        <v>45.66</v>
      </c>
      <c r="D361">
        <f>_xlfn.XLOOKUP(A361,'[1]Global_Spot Prices'!$B:$B,'[1]Global_Spot Prices'!$D:$D)</f>
        <v>49.25</v>
      </c>
      <c r="E361">
        <f>_xlfn.XLOOKUP(A361,'[1]Global_Spot Prices'!$B:$B,'[1]Global_Spot Prices'!$H:$H)</f>
        <v>45.71</v>
      </c>
      <c r="F361">
        <f>_xlfn.XLOOKUP(A361,'[1]Global_Spot Prices'!$B:$B,'[1]Global_Spot Prices'!$I:$I)</f>
        <v>58.05</v>
      </c>
      <c r="G361" cm="1">
        <f t="array" ref="G361">_xlfn.XLOOKUP(TEXT(A361, "mmm-yy"), TEXT([2]RUNS!$B$5:$B$208, "mmm-yy"), [2]RUNS!$D$5:$D$208, "Not Found")</f>
        <v>26999.330599038822</v>
      </c>
      <c r="H361" cm="1">
        <f t="array" ref="H361">SUMPRODUCT(
    --(TEXT('[3]Global Weekly Stock (EWSuez'!$B$4:$B$2000,"mmm-yy")=TEXT(A361,"mmm-yy")),
    '[3]Global Weekly Stock (EWSuez'!$E$4:$E$2000)
/
SUMPRODUCT(
    --(TEXT('[3]Global Weekly Stock (EWSuez'!$B$4:$B$2000,"mmm-yy")=TEXT(A361,"mmm-yy"))
)</f>
        <v>14952.5</v>
      </c>
      <c r="I361">
        <f>_xlfn.XLOOKUP(A361,[1]ForwardDeriv!$D:$D,[1]ForwardDeriv!$AJ:$AJ)</f>
        <v>-0.36999999999999744</v>
      </c>
      <c r="J361" cm="1">
        <f t="array" ref="J361">_xlfn.XLOOKUP(TEXT(A361, "mmm-yy"), TEXT([2]GASOLINE!$B$5:$B$208, "mmm-yy"), [2]GASOLINE!$IR$5:$IR$208, "Not Found")</f>
        <v>108.00142550664251</v>
      </c>
      <c r="K361" cm="1">
        <f t="array" ref="K361">_xlfn.XLOOKUP(TEXT(A361, "mmm-yy"), TEXT([2]GASOLINE!$B$5:$B$208, "mmm-yy"), [2]GASOLINE!$IK$5:$IK$208, "Not Found")</f>
        <v>0</v>
      </c>
      <c r="L361">
        <f t="shared" si="5"/>
        <v>0</v>
      </c>
      <c r="M361" cm="1">
        <f t="array" ref="M361">_xlfn.XLOOKUP(TEXT(A361, "mmm-yy"), TEXT([2]GASOLINE!$B$5:$B$208, "mmm-yy"), [2]GASOLINE!$C$5:$C$208, "Not Found")</f>
        <v>6812.5000131837342</v>
      </c>
      <c r="N361" cm="1">
        <f t="array" ref="N361">_xlfn.XLOOKUP(TEXT(A361, "mmm-yy"), TEXT([2]RUNS!$B$5:$B$208, "mmm-yy"), [2]RUNS!$BM$5:$BM$208, "Not Found")</f>
        <v>0.80118134444645361</v>
      </c>
    </row>
    <row r="362" spans="1:14" x14ac:dyDescent="0.25">
      <c r="A362" s="1">
        <f>'[1]Global_Spot Prices'!$B1671</f>
        <v>42509</v>
      </c>
      <c r="B362">
        <f>_xlfn.XLOOKUP(A362,'[1]Global_Spot Prices'!$B:$B,'[1]Global_Spot Prices'!$BS:$BS)</f>
        <v>12.25</v>
      </c>
      <c r="C362">
        <f>_xlfn.XLOOKUP(A362,'[1]Global_Spot Prices'!$B:$B,'[1]Global_Spot Prices'!$E:$E)</f>
        <v>44.75</v>
      </c>
      <c r="D362">
        <f>_xlfn.XLOOKUP(A362,'[1]Global_Spot Prices'!$B:$B,'[1]Global_Spot Prices'!$D:$D)</f>
        <v>47.49</v>
      </c>
      <c r="E362">
        <f>_xlfn.XLOOKUP(A362,'[1]Global_Spot Prices'!$B:$B,'[1]Global_Spot Prices'!$H:$H)</f>
        <v>44.62</v>
      </c>
      <c r="F362">
        <f>_xlfn.XLOOKUP(A362,'[1]Global_Spot Prices'!$B:$B,'[1]Global_Spot Prices'!$I:$I)</f>
        <v>57</v>
      </c>
      <c r="G362" cm="1">
        <f t="array" ref="G362">_xlfn.XLOOKUP(TEXT(A362, "mmm-yy"), TEXT([2]RUNS!$B$5:$B$208, "mmm-yy"), [2]RUNS!$D$5:$D$208, "Not Found")</f>
        <v>26999.330599038822</v>
      </c>
      <c r="H362" cm="1">
        <f t="array" ref="H362">SUMPRODUCT(
    --(TEXT('[3]Global Weekly Stock (EWSuez'!$B$4:$B$2000,"mmm-yy")=TEXT(A362,"mmm-yy")),
    '[3]Global Weekly Stock (EWSuez'!$E$4:$E$2000)
/
SUMPRODUCT(
    --(TEXT('[3]Global Weekly Stock (EWSuez'!$B$4:$B$2000,"mmm-yy")=TEXT(A362,"mmm-yy"))
)</f>
        <v>14952.5</v>
      </c>
      <c r="I362">
        <f>_xlfn.XLOOKUP(A362,[1]ForwardDeriv!$D:$D,[1]ForwardDeriv!$AJ:$AJ)</f>
        <v>-0.4199999999999946</v>
      </c>
      <c r="J362" cm="1">
        <f t="array" ref="J362">_xlfn.XLOOKUP(TEXT(A362, "mmm-yy"), TEXT([2]GASOLINE!$B$5:$B$208, "mmm-yy"), [2]GASOLINE!$IR$5:$IR$208, "Not Found")</f>
        <v>108.00142550664251</v>
      </c>
      <c r="K362" cm="1">
        <f t="array" ref="K362">_xlfn.XLOOKUP(TEXT(A362, "mmm-yy"), TEXT([2]GASOLINE!$B$5:$B$208, "mmm-yy"), [2]GASOLINE!$IK$5:$IK$208, "Not Found")</f>
        <v>0</v>
      </c>
      <c r="L362">
        <f t="shared" si="5"/>
        <v>0</v>
      </c>
      <c r="M362" cm="1">
        <f t="array" ref="M362">_xlfn.XLOOKUP(TEXT(A362, "mmm-yy"), TEXT([2]GASOLINE!$B$5:$B$208, "mmm-yy"), [2]GASOLINE!$C$5:$C$208, "Not Found")</f>
        <v>6812.5000131837342</v>
      </c>
      <c r="N362" cm="1">
        <f t="array" ref="N362">_xlfn.XLOOKUP(TEXT(A362, "mmm-yy"), TEXT([2]RUNS!$B$5:$B$208, "mmm-yy"), [2]RUNS!$BM$5:$BM$208, "Not Found")</f>
        <v>0.80118134444645361</v>
      </c>
    </row>
    <row r="363" spans="1:14" x14ac:dyDescent="0.25">
      <c r="A363" s="1">
        <f>'[1]Global_Spot Prices'!$B1672</f>
        <v>42510</v>
      </c>
      <c r="B363">
        <f>_xlfn.XLOOKUP(A363,'[1]Global_Spot Prices'!$B:$B,'[1]Global_Spot Prices'!$BS:$BS)</f>
        <v>12.029999999999994</v>
      </c>
      <c r="C363">
        <f>_xlfn.XLOOKUP(A363,'[1]Global_Spot Prices'!$B:$B,'[1]Global_Spot Prices'!$E:$E)</f>
        <v>45.84</v>
      </c>
      <c r="D363">
        <f>_xlfn.XLOOKUP(A363,'[1]Global_Spot Prices'!$B:$B,'[1]Global_Spot Prices'!$D:$D)</f>
        <v>48.545000000000002</v>
      </c>
      <c r="E363">
        <f>_xlfn.XLOOKUP(A363,'[1]Global_Spot Prices'!$B:$B,'[1]Global_Spot Prices'!$H:$H)</f>
        <v>45.39</v>
      </c>
      <c r="F363">
        <f>_xlfn.XLOOKUP(A363,'[1]Global_Spot Prices'!$B:$B,'[1]Global_Spot Prices'!$I:$I)</f>
        <v>57.87</v>
      </c>
      <c r="G363" cm="1">
        <f t="array" ref="G363">_xlfn.XLOOKUP(TEXT(A363, "mmm-yy"), TEXT([2]RUNS!$B$5:$B$208, "mmm-yy"), [2]RUNS!$D$5:$D$208, "Not Found")</f>
        <v>26999.330599038822</v>
      </c>
      <c r="H363" cm="1">
        <f t="array" ref="H363">SUMPRODUCT(
    --(TEXT('[3]Global Weekly Stock (EWSuez'!$B$4:$B$2000,"mmm-yy")=TEXT(A363,"mmm-yy")),
    '[3]Global Weekly Stock (EWSuez'!$E$4:$E$2000)
/
SUMPRODUCT(
    --(TEXT('[3]Global Weekly Stock (EWSuez'!$B$4:$B$2000,"mmm-yy")=TEXT(A363,"mmm-yy"))
)</f>
        <v>14952.5</v>
      </c>
      <c r="I363">
        <f>_xlfn.XLOOKUP(A363,[1]ForwardDeriv!$D:$D,[1]ForwardDeriv!$AJ:$AJ)</f>
        <v>-0.47999999999999687</v>
      </c>
      <c r="J363" cm="1">
        <f t="array" ref="J363">_xlfn.XLOOKUP(TEXT(A363, "mmm-yy"), TEXT([2]GASOLINE!$B$5:$B$208, "mmm-yy"), [2]GASOLINE!$IR$5:$IR$208, "Not Found")</f>
        <v>108.00142550664251</v>
      </c>
      <c r="K363" cm="1">
        <f t="array" ref="K363">_xlfn.XLOOKUP(TEXT(A363, "mmm-yy"), TEXT([2]GASOLINE!$B$5:$B$208, "mmm-yy"), [2]GASOLINE!$IK$5:$IK$208, "Not Found")</f>
        <v>0</v>
      </c>
      <c r="L363">
        <f t="shared" si="5"/>
        <v>0</v>
      </c>
      <c r="M363" cm="1">
        <f t="array" ref="M363">_xlfn.XLOOKUP(TEXT(A363, "mmm-yy"), TEXT([2]GASOLINE!$B$5:$B$208, "mmm-yy"), [2]GASOLINE!$C$5:$C$208, "Not Found")</f>
        <v>6812.5000131837342</v>
      </c>
      <c r="N363" cm="1">
        <f t="array" ref="N363">_xlfn.XLOOKUP(TEXT(A363, "mmm-yy"), TEXT([2]RUNS!$B$5:$B$208, "mmm-yy"), [2]RUNS!$BM$5:$BM$208, "Not Found")</f>
        <v>0.80118134444645361</v>
      </c>
    </row>
    <row r="364" spans="1:14" x14ac:dyDescent="0.25">
      <c r="A364" s="1">
        <f>'[1]Global_Spot Prices'!$B1673</f>
        <v>42513</v>
      </c>
      <c r="B364">
        <f>_xlfn.XLOOKUP(A364,'[1]Global_Spot Prices'!$B:$B,'[1]Global_Spot Prices'!$BS:$BS)</f>
        <v>12.339999999999996</v>
      </c>
      <c r="C364">
        <f>_xlfn.XLOOKUP(A364,'[1]Global_Spot Prices'!$B:$B,'[1]Global_Spot Prices'!$E:$E)</f>
        <v>45.02</v>
      </c>
      <c r="D364">
        <f>_xlfn.XLOOKUP(A364,'[1]Global_Spot Prices'!$B:$B,'[1]Global_Spot Prices'!$D:$D)</f>
        <v>47.91</v>
      </c>
      <c r="E364">
        <f>_xlfn.XLOOKUP(A364,'[1]Global_Spot Prices'!$B:$B,'[1]Global_Spot Prices'!$H:$H)</f>
        <v>44.81</v>
      </c>
      <c r="F364">
        <f>_xlfn.XLOOKUP(A364,'[1]Global_Spot Prices'!$B:$B,'[1]Global_Spot Prices'!$I:$I)</f>
        <v>57.36</v>
      </c>
      <c r="G364" cm="1">
        <f t="array" ref="G364">_xlfn.XLOOKUP(TEXT(A364, "mmm-yy"), TEXT([2]RUNS!$B$5:$B$208, "mmm-yy"), [2]RUNS!$D$5:$D$208, "Not Found")</f>
        <v>26999.330599038822</v>
      </c>
      <c r="H364" cm="1">
        <f t="array" ref="H364">SUMPRODUCT(
    --(TEXT('[3]Global Weekly Stock (EWSuez'!$B$4:$B$2000,"mmm-yy")=TEXT(A364,"mmm-yy")),
    '[3]Global Weekly Stock (EWSuez'!$E$4:$E$2000)
/
SUMPRODUCT(
    --(TEXT('[3]Global Weekly Stock (EWSuez'!$B$4:$B$2000,"mmm-yy")=TEXT(A364,"mmm-yy"))
)</f>
        <v>14952.5</v>
      </c>
      <c r="I364">
        <f>_xlfn.XLOOKUP(A364,[1]ForwardDeriv!$D:$D,[1]ForwardDeriv!$AJ:$AJ)</f>
        <v>-0.46999999999999886</v>
      </c>
      <c r="J364" cm="1">
        <f t="array" ref="J364">_xlfn.XLOOKUP(TEXT(A364, "mmm-yy"), TEXT([2]GASOLINE!$B$5:$B$208, "mmm-yy"), [2]GASOLINE!$IR$5:$IR$208, "Not Found")</f>
        <v>108.00142550664251</v>
      </c>
      <c r="K364" cm="1">
        <f t="array" ref="K364">_xlfn.XLOOKUP(TEXT(A364, "mmm-yy"), TEXT([2]GASOLINE!$B$5:$B$208, "mmm-yy"), [2]GASOLINE!$IK$5:$IK$208, "Not Found")</f>
        <v>0</v>
      </c>
      <c r="L364">
        <f t="shared" si="5"/>
        <v>0</v>
      </c>
      <c r="M364" cm="1">
        <f t="array" ref="M364">_xlfn.XLOOKUP(TEXT(A364, "mmm-yy"), TEXT([2]GASOLINE!$B$5:$B$208, "mmm-yy"), [2]GASOLINE!$C$5:$C$208, "Not Found")</f>
        <v>6812.5000131837342</v>
      </c>
      <c r="N364" cm="1">
        <f t="array" ref="N364">_xlfn.XLOOKUP(TEXT(A364, "mmm-yy"), TEXT([2]RUNS!$B$5:$B$208, "mmm-yy"), [2]RUNS!$BM$5:$BM$208, "Not Found")</f>
        <v>0.80118134444645361</v>
      </c>
    </row>
    <row r="365" spans="1:14" x14ac:dyDescent="0.25">
      <c r="A365" s="1">
        <f>'[1]Global_Spot Prices'!$B1674</f>
        <v>42514</v>
      </c>
      <c r="B365">
        <f>_xlfn.XLOOKUP(A365,'[1]Global_Spot Prices'!$B:$B,'[1]Global_Spot Prices'!$BS:$BS)</f>
        <v>14.04</v>
      </c>
      <c r="C365">
        <f>_xlfn.XLOOKUP(A365,'[1]Global_Spot Prices'!$B:$B,'[1]Global_Spot Prices'!$E:$E)</f>
        <v>44.62</v>
      </c>
      <c r="D365">
        <f>_xlfn.XLOOKUP(A365,'[1]Global_Spot Prices'!$B:$B,'[1]Global_Spot Prices'!$D:$D)</f>
        <v>48.48</v>
      </c>
      <c r="E365">
        <f>_xlfn.XLOOKUP(A365,'[1]Global_Spot Prices'!$B:$B,'[1]Global_Spot Prices'!$H:$H)</f>
        <v>45</v>
      </c>
      <c r="F365">
        <f>_xlfn.XLOOKUP(A365,'[1]Global_Spot Prices'!$B:$B,'[1]Global_Spot Prices'!$I:$I)</f>
        <v>58.66</v>
      </c>
      <c r="G365" cm="1">
        <f t="array" ref="G365">_xlfn.XLOOKUP(TEXT(A365, "mmm-yy"), TEXT([2]RUNS!$B$5:$B$208, "mmm-yy"), [2]RUNS!$D$5:$D$208, "Not Found")</f>
        <v>26999.330599038822</v>
      </c>
      <c r="H365" cm="1">
        <f t="array" ref="H365">SUMPRODUCT(
    --(TEXT('[3]Global Weekly Stock (EWSuez'!$B$4:$B$2000,"mmm-yy")=TEXT(A365,"mmm-yy")),
    '[3]Global Weekly Stock (EWSuez'!$E$4:$E$2000)
/
SUMPRODUCT(
    --(TEXT('[3]Global Weekly Stock (EWSuez'!$B$4:$B$2000,"mmm-yy")=TEXT(A365,"mmm-yy"))
)</f>
        <v>14952.5</v>
      </c>
      <c r="I365">
        <f>_xlfn.XLOOKUP(A365,[1]ForwardDeriv!$D:$D,[1]ForwardDeriv!$AJ:$AJ)</f>
        <v>-0.25</v>
      </c>
      <c r="J365" cm="1">
        <f t="array" ref="J365">_xlfn.XLOOKUP(TEXT(A365, "mmm-yy"), TEXT([2]GASOLINE!$B$5:$B$208, "mmm-yy"), [2]GASOLINE!$IR$5:$IR$208, "Not Found")</f>
        <v>108.00142550664251</v>
      </c>
      <c r="K365" cm="1">
        <f t="array" ref="K365">_xlfn.XLOOKUP(TEXT(A365, "mmm-yy"), TEXT([2]GASOLINE!$B$5:$B$208, "mmm-yy"), [2]GASOLINE!$IK$5:$IK$208, "Not Found")</f>
        <v>0</v>
      </c>
      <c r="L365">
        <f t="shared" si="5"/>
        <v>0</v>
      </c>
      <c r="M365" cm="1">
        <f t="array" ref="M365">_xlfn.XLOOKUP(TEXT(A365, "mmm-yy"), TEXT([2]GASOLINE!$B$5:$B$208, "mmm-yy"), [2]GASOLINE!$C$5:$C$208, "Not Found")</f>
        <v>6812.5000131837342</v>
      </c>
      <c r="N365" cm="1">
        <f t="array" ref="N365">_xlfn.XLOOKUP(TEXT(A365, "mmm-yy"), TEXT([2]RUNS!$B$5:$B$208, "mmm-yy"), [2]RUNS!$BM$5:$BM$208, "Not Found")</f>
        <v>0.80118134444645361</v>
      </c>
    </row>
    <row r="366" spans="1:14" x14ac:dyDescent="0.25">
      <c r="A366" s="1">
        <f>'[1]Global_Spot Prices'!$B1675</f>
        <v>42515</v>
      </c>
      <c r="B366">
        <f>_xlfn.XLOOKUP(A366,'[1]Global_Spot Prices'!$B:$B,'[1]Global_Spot Prices'!$BS:$BS)</f>
        <v>13.280000000000001</v>
      </c>
      <c r="C366">
        <f>_xlfn.XLOOKUP(A366,'[1]Global_Spot Prices'!$B:$B,'[1]Global_Spot Prices'!$E:$E)</f>
        <v>45.94</v>
      </c>
      <c r="D366">
        <f>_xlfn.XLOOKUP(A366,'[1]Global_Spot Prices'!$B:$B,'[1]Global_Spot Prices'!$D:$D)</f>
        <v>48.77</v>
      </c>
      <c r="E366">
        <f>_xlfn.XLOOKUP(A366,'[1]Global_Spot Prices'!$B:$B,'[1]Global_Spot Prices'!$H:$H)</f>
        <v>45.96</v>
      </c>
      <c r="F366">
        <f>_xlfn.XLOOKUP(A366,'[1]Global_Spot Prices'!$B:$B,'[1]Global_Spot Prices'!$I:$I)</f>
        <v>59.22</v>
      </c>
      <c r="G366" cm="1">
        <f t="array" ref="G366">_xlfn.XLOOKUP(TEXT(A366, "mmm-yy"), TEXT([2]RUNS!$B$5:$B$208, "mmm-yy"), [2]RUNS!$D$5:$D$208, "Not Found")</f>
        <v>26999.330599038822</v>
      </c>
      <c r="H366" cm="1">
        <f t="array" ref="H366">SUMPRODUCT(
    --(TEXT('[3]Global Weekly Stock (EWSuez'!$B$4:$B$2000,"mmm-yy")=TEXT(A366,"mmm-yy")),
    '[3]Global Weekly Stock (EWSuez'!$E$4:$E$2000)
/
SUMPRODUCT(
    --(TEXT('[3]Global Weekly Stock (EWSuez'!$B$4:$B$2000,"mmm-yy")=TEXT(A366,"mmm-yy"))
)</f>
        <v>14952.5</v>
      </c>
      <c r="I366">
        <f>_xlfn.XLOOKUP(A366,[1]ForwardDeriv!$D:$D,[1]ForwardDeriv!$AJ:$AJ)</f>
        <v>-0.31000000000000227</v>
      </c>
      <c r="J366" cm="1">
        <f t="array" ref="J366">_xlfn.XLOOKUP(TEXT(A366, "mmm-yy"), TEXT([2]GASOLINE!$B$5:$B$208, "mmm-yy"), [2]GASOLINE!$IR$5:$IR$208, "Not Found")</f>
        <v>108.00142550664251</v>
      </c>
      <c r="K366" cm="1">
        <f t="array" ref="K366">_xlfn.XLOOKUP(TEXT(A366, "mmm-yy"), TEXT([2]GASOLINE!$B$5:$B$208, "mmm-yy"), [2]GASOLINE!$IK$5:$IK$208, "Not Found")</f>
        <v>0</v>
      </c>
      <c r="L366">
        <f t="shared" si="5"/>
        <v>0</v>
      </c>
      <c r="M366" cm="1">
        <f t="array" ref="M366">_xlfn.XLOOKUP(TEXT(A366, "mmm-yy"), TEXT([2]GASOLINE!$B$5:$B$208, "mmm-yy"), [2]GASOLINE!$C$5:$C$208, "Not Found")</f>
        <v>6812.5000131837342</v>
      </c>
      <c r="N366" cm="1">
        <f t="array" ref="N366">_xlfn.XLOOKUP(TEXT(A366, "mmm-yy"), TEXT([2]RUNS!$B$5:$B$208, "mmm-yy"), [2]RUNS!$BM$5:$BM$208, "Not Found")</f>
        <v>0.80118134444645361</v>
      </c>
    </row>
    <row r="367" spans="1:14" x14ac:dyDescent="0.25">
      <c r="A367" s="1">
        <f>'[1]Global_Spot Prices'!$B1676</f>
        <v>42516</v>
      </c>
      <c r="B367">
        <f>_xlfn.XLOOKUP(A367,'[1]Global_Spot Prices'!$B:$B,'[1]Global_Spot Prices'!$BS:$BS)</f>
        <v>12.68</v>
      </c>
      <c r="C367">
        <f>_xlfn.XLOOKUP(A367,'[1]Global_Spot Prices'!$B:$B,'[1]Global_Spot Prices'!$E:$E)</f>
        <v>46.34</v>
      </c>
      <c r="D367">
        <f>_xlfn.XLOOKUP(A367,'[1]Global_Spot Prices'!$B:$B,'[1]Global_Spot Prices'!$D:$D)</f>
        <v>49.51</v>
      </c>
      <c r="E367">
        <f>_xlfn.XLOOKUP(A367,'[1]Global_Spot Prices'!$B:$B,'[1]Global_Spot Prices'!$H:$H)</f>
        <v>45.99</v>
      </c>
      <c r="F367">
        <f>_xlfn.XLOOKUP(A367,'[1]Global_Spot Prices'!$B:$B,'[1]Global_Spot Prices'!$I:$I)</f>
        <v>59.02</v>
      </c>
      <c r="G367" cm="1">
        <f t="array" ref="G367">_xlfn.XLOOKUP(TEXT(A367, "mmm-yy"), TEXT([2]RUNS!$B$5:$B$208, "mmm-yy"), [2]RUNS!$D$5:$D$208, "Not Found")</f>
        <v>26999.330599038822</v>
      </c>
      <c r="H367" cm="1">
        <f t="array" ref="H367">SUMPRODUCT(
    --(TEXT('[3]Global Weekly Stock (EWSuez'!$B$4:$B$2000,"mmm-yy")=TEXT(A367,"mmm-yy")),
    '[3]Global Weekly Stock (EWSuez'!$E$4:$E$2000)
/
SUMPRODUCT(
    --(TEXT('[3]Global Weekly Stock (EWSuez'!$B$4:$B$2000,"mmm-yy")=TEXT(A367,"mmm-yy"))
)</f>
        <v>14952.5</v>
      </c>
      <c r="I367">
        <f>_xlfn.XLOOKUP(A367,[1]ForwardDeriv!$D:$D,[1]ForwardDeriv!$AJ:$AJ)</f>
        <v>-0.39999999999999858</v>
      </c>
      <c r="J367" cm="1">
        <f t="array" ref="J367">_xlfn.XLOOKUP(TEXT(A367, "mmm-yy"), TEXT([2]GASOLINE!$B$5:$B$208, "mmm-yy"), [2]GASOLINE!$IR$5:$IR$208, "Not Found")</f>
        <v>108.00142550664251</v>
      </c>
      <c r="K367" cm="1">
        <f t="array" ref="K367">_xlfn.XLOOKUP(TEXT(A367, "mmm-yy"), TEXT([2]GASOLINE!$B$5:$B$208, "mmm-yy"), [2]GASOLINE!$IK$5:$IK$208, "Not Found")</f>
        <v>0</v>
      </c>
      <c r="L367">
        <f t="shared" si="5"/>
        <v>0</v>
      </c>
      <c r="M367" cm="1">
        <f t="array" ref="M367">_xlfn.XLOOKUP(TEXT(A367, "mmm-yy"), TEXT([2]GASOLINE!$B$5:$B$208, "mmm-yy"), [2]GASOLINE!$C$5:$C$208, "Not Found")</f>
        <v>6812.5000131837342</v>
      </c>
      <c r="N367" cm="1">
        <f t="array" ref="N367">_xlfn.XLOOKUP(TEXT(A367, "mmm-yy"), TEXT([2]RUNS!$B$5:$B$208, "mmm-yy"), [2]RUNS!$BM$5:$BM$208, "Not Found")</f>
        <v>0.80118134444645361</v>
      </c>
    </row>
    <row r="368" spans="1:14" x14ac:dyDescent="0.25">
      <c r="A368" s="1">
        <f>'[1]Global_Spot Prices'!$B1677</f>
        <v>42517</v>
      </c>
      <c r="B368">
        <f>_xlfn.XLOOKUP(A368,'[1]Global_Spot Prices'!$B:$B,'[1]Global_Spot Prices'!$BS:$BS)</f>
        <v>12.119999999999997</v>
      </c>
      <c r="C368">
        <f>_xlfn.XLOOKUP(A368,'[1]Global_Spot Prices'!$B:$B,'[1]Global_Spot Prices'!$E:$E)</f>
        <v>45.5</v>
      </c>
      <c r="D368">
        <f>_xlfn.XLOOKUP(A368,'[1]Global_Spot Prices'!$B:$B,'[1]Global_Spot Prices'!$D:$D)</f>
        <v>49.075000000000003</v>
      </c>
      <c r="E368">
        <f>_xlfn.XLOOKUP(A368,'[1]Global_Spot Prices'!$B:$B,'[1]Global_Spot Prices'!$H:$H)</f>
        <v>44.49</v>
      </c>
      <c r="F368">
        <f>_xlfn.XLOOKUP(A368,'[1]Global_Spot Prices'!$B:$B,'[1]Global_Spot Prices'!$I:$I)</f>
        <v>57.62</v>
      </c>
      <c r="G368" cm="1">
        <f t="array" ref="G368">_xlfn.XLOOKUP(TEXT(A368, "mmm-yy"), TEXT([2]RUNS!$B$5:$B$208, "mmm-yy"), [2]RUNS!$D$5:$D$208, "Not Found")</f>
        <v>26999.330599038822</v>
      </c>
      <c r="H368" cm="1">
        <f t="array" ref="H368">SUMPRODUCT(
    --(TEXT('[3]Global Weekly Stock (EWSuez'!$B$4:$B$2000,"mmm-yy")=TEXT(A368,"mmm-yy")),
    '[3]Global Weekly Stock (EWSuez'!$E$4:$E$2000)
/
SUMPRODUCT(
    --(TEXT('[3]Global Weekly Stock (EWSuez'!$B$4:$B$2000,"mmm-yy")=TEXT(A368,"mmm-yy"))
)</f>
        <v>14952.5</v>
      </c>
      <c r="I368">
        <f>_xlfn.XLOOKUP(A368,[1]ForwardDeriv!$D:$D,[1]ForwardDeriv!$AJ:$AJ)</f>
        <v>-0.39000000000000057</v>
      </c>
      <c r="J368" cm="1">
        <f t="array" ref="J368">_xlfn.XLOOKUP(TEXT(A368, "mmm-yy"), TEXT([2]GASOLINE!$B$5:$B$208, "mmm-yy"), [2]GASOLINE!$IR$5:$IR$208, "Not Found")</f>
        <v>108.00142550664251</v>
      </c>
      <c r="K368" cm="1">
        <f t="array" ref="K368">_xlfn.XLOOKUP(TEXT(A368, "mmm-yy"), TEXT([2]GASOLINE!$B$5:$B$208, "mmm-yy"), [2]GASOLINE!$IK$5:$IK$208, "Not Found")</f>
        <v>0</v>
      </c>
      <c r="L368">
        <f t="shared" si="5"/>
        <v>0</v>
      </c>
      <c r="M368" cm="1">
        <f t="array" ref="M368">_xlfn.XLOOKUP(TEXT(A368, "mmm-yy"), TEXT([2]GASOLINE!$B$5:$B$208, "mmm-yy"), [2]GASOLINE!$C$5:$C$208, "Not Found")</f>
        <v>6812.5000131837342</v>
      </c>
      <c r="N368" cm="1">
        <f t="array" ref="N368">_xlfn.XLOOKUP(TEXT(A368, "mmm-yy"), TEXT([2]RUNS!$B$5:$B$208, "mmm-yy"), [2]RUNS!$BM$5:$BM$208, "Not Found")</f>
        <v>0.80118134444645361</v>
      </c>
    </row>
    <row r="369" spans="1:14" x14ac:dyDescent="0.25">
      <c r="A369" s="1">
        <f>'[1]Global_Spot Prices'!$B1678</f>
        <v>42520</v>
      </c>
      <c r="B369">
        <f>_xlfn.XLOOKUP(A369,'[1]Global_Spot Prices'!$B:$B,'[1]Global_Spot Prices'!$BS:$BS)</f>
        <v>12.57</v>
      </c>
      <c r="C369">
        <f>_xlfn.XLOOKUP(A369,'[1]Global_Spot Prices'!$B:$B,'[1]Global_Spot Prices'!$E:$E)</f>
        <v>45.55</v>
      </c>
      <c r="D369" t="str">
        <f>_xlfn.XLOOKUP(A369,'[1]Global_Spot Prices'!$B:$B,'[1]Global_Spot Prices'!$D:$D)</f>
        <v/>
      </c>
      <c r="E369">
        <f>_xlfn.XLOOKUP(A369,'[1]Global_Spot Prices'!$B:$B,'[1]Global_Spot Prices'!$H:$H)</f>
        <v>44.51</v>
      </c>
      <c r="F369">
        <f>_xlfn.XLOOKUP(A369,'[1]Global_Spot Prices'!$B:$B,'[1]Global_Spot Prices'!$I:$I)</f>
        <v>58.12</v>
      </c>
      <c r="G369" cm="1">
        <f t="array" ref="G369">_xlfn.XLOOKUP(TEXT(A369, "mmm-yy"), TEXT([2]RUNS!$B$5:$B$208, "mmm-yy"), [2]RUNS!$D$5:$D$208, "Not Found")</f>
        <v>26999.330599038822</v>
      </c>
      <c r="H369" cm="1">
        <f t="array" ref="H369">SUMPRODUCT(
    --(TEXT('[3]Global Weekly Stock (EWSuez'!$B$4:$B$2000,"mmm-yy")=TEXT(A369,"mmm-yy")),
    '[3]Global Weekly Stock (EWSuez'!$E$4:$E$2000)
/
SUMPRODUCT(
    --(TEXT('[3]Global Weekly Stock (EWSuez'!$B$4:$B$2000,"mmm-yy")=TEXT(A369,"mmm-yy"))
)</f>
        <v>14952.5</v>
      </c>
      <c r="I369">
        <f>_xlfn.XLOOKUP(A369,[1]ForwardDeriv!$D:$D,[1]ForwardDeriv!$AJ:$AJ)</f>
        <v>-0.39000000000000057</v>
      </c>
      <c r="J369" cm="1">
        <f t="array" ref="J369">_xlfn.XLOOKUP(TEXT(A369, "mmm-yy"), TEXT([2]GASOLINE!$B$5:$B$208, "mmm-yy"), [2]GASOLINE!$IR$5:$IR$208, "Not Found")</f>
        <v>108.00142550664251</v>
      </c>
      <c r="K369" cm="1">
        <f t="array" ref="K369">_xlfn.XLOOKUP(TEXT(A369, "mmm-yy"), TEXT([2]GASOLINE!$B$5:$B$208, "mmm-yy"), [2]GASOLINE!$IK$5:$IK$208, "Not Found")</f>
        <v>0</v>
      </c>
      <c r="L369">
        <f t="shared" si="5"/>
        <v>0</v>
      </c>
      <c r="M369" cm="1">
        <f t="array" ref="M369">_xlfn.XLOOKUP(TEXT(A369, "mmm-yy"), TEXT([2]GASOLINE!$B$5:$B$208, "mmm-yy"), [2]GASOLINE!$C$5:$C$208, "Not Found")</f>
        <v>6812.5000131837342</v>
      </c>
      <c r="N369" cm="1">
        <f t="array" ref="N369">_xlfn.XLOOKUP(TEXT(A369, "mmm-yy"), TEXT([2]RUNS!$B$5:$B$208, "mmm-yy"), [2]RUNS!$BM$5:$BM$208, "Not Found")</f>
        <v>0.80118134444645361</v>
      </c>
    </row>
    <row r="370" spans="1:14" x14ac:dyDescent="0.25">
      <c r="A370" s="1">
        <f>'[1]Global_Spot Prices'!$B1679</f>
        <v>42521</v>
      </c>
      <c r="B370">
        <f>_xlfn.XLOOKUP(A370,'[1]Global_Spot Prices'!$B:$B,'[1]Global_Spot Prices'!$BS:$BS)</f>
        <v>12.160000000000004</v>
      </c>
      <c r="C370">
        <f>_xlfn.XLOOKUP(A370,'[1]Global_Spot Prices'!$B:$B,'[1]Global_Spot Prices'!$E:$E)</f>
        <v>45.8</v>
      </c>
      <c r="D370">
        <f>_xlfn.XLOOKUP(A370,'[1]Global_Spot Prices'!$B:$B,'[1]Global_Spot Prices'!$D:$D)</f>
        <v>49.25</v>
      </c>
      <c r="E370">
        <f>_xlfn.XLOOKUP(A370,'[1]Global_Spot Prices'!$B:$B,'[1]Global_Spot Prices'!$H:$H)</f>
        <v>44.96</v>
      </c>
      <c r="F370">
        <f>_xlfn.XLOOKUP(A370,'[1]Global_Spot Prices'!$B:$B,'[1]Global_Spot Prices'!$I:$I)</f>
        <v>57.96</v>
      </c>
      <c r="G370" cm="1">
        <f t="array" ref="G370">_xlfn.XLOOKUP(TEXT(A370, "mmm-yy"), TEXT([2]RUNS!$B$5:$B$208, "mmm-yy"), [2]RUNS!$D$5:$D$208, "Not Found")</f>
        <v>26999.330599038822</v>
      </c>
      <c r="H370" cm="1">
        <f t="array" ref="H370">SUMPRODUCT(
    --(TEXT('[3]Global Weekly Stock (EWSuez'!$B$4:$B$2000,"mmm-yy")=TEXT(A370,"mmm-yy")),
    '[3]Global Weekly Stock (EWSuez'!$E$4:$E$2000)
/
SUMPRODUCT(
    --(TEXT('[3]Global Weekly Stock (EWSuez'!$B$4:$B$2000,"mmm-yy")=TEXT(A370,"mmm-yy"))
)</f>
        <v>14952.5</v>
      </c>
      <c r="I370">
        <f>_xlfn.XLOOKUP(A370,[1]ForwardDeriv!$D:$D,[1]ForwardDeriv!$AJ:$AJ)</f>
        <v>-0.38000000000000256</v>
      </c>
      <c r="J370" cm="1">
        <f t="array" ref="J370">_xlfn.XLOOKUP(TEXT(A370, "mmm-yy"), TEXT([2]GASOLINE!$B$5:$B$208, "mmm-yy"), [2]GASOLINE!$IR$5:$IR$208, "Not Found")</f>
        <v>108.00142550664251</v>
      </c>
      <c r="K370" cm="1">
        <f t="array" ref="K370">_xlfn.XLOOKUP(TEXT(A370, "mmm-yy"), TEXT([2]GASOLINE!$B$5:$B$208, "mmm-yy"), [2]GASOLINE!$IK$5:$IK$208, "Not Found")</f>
        <v>0</v>
      </c>
      <c r="L370">
        <f t="shared" si="5"/>
        <v>0</v>
      </c>
      <c r="M370" cm="1">
        <f t="array" ref="M370">_xlfn.XLOOKUP(TEXT(A370, "mmm-yy"), TEXT([2]GASOLINE!$B$5:$B$208, "mmm-yy"), [2]GASOLINE!$C$5:$C$208, "Not Found")</f>
        <v>6812.5000131837342</v>
      </c>
      <c r="N370" cm="1">
        <f t="array" ref="N370">_xlfn.XLOOKUP(TEXT(A370, "mmm-yy"), TEXT([2]RUNS!$B$5:$B$208, "mmm-yy"), [2]RUNS!$BM$5:$BM$208, "Not Found")</f>
        <v>0.80118134444645361</v>
      </c>
    </row>
    <row r="371" spans="1:14" x14ac:dyDescent="0.25">
      <c r="A371" s="1">
        <f>'[1]Global_Spot Prices'!$B1680</f>
        <v>42522</v>
      </c>
      <c r="B371">
        <f>_xlfn.XLOOKUP(A371,'[1]Global_Spot Prices'!$B:$B,'[1]Global_Spot Prices'!$BS:$BS)</f>
        <v>11.509999999999998</v>
      </c>
      <c r="C371">
        <f>_xlfn.XLOOKUP(A371,'[1]Global_Spot Prices'!$B:$B,'[1]Global_Spot Prices'!$E:$E)</f>
        <v>45.61</v>
      </c>
      <c r="D371">
        <f>_xlfn.XLOOKUP(A371,'[1]Global_Spot Prices'!$B:$B,'[1]Global_Spot Prices'!$D:$D)</f>
        <v>48.145000000000003</v>
      </c>
      <c r="E371">
        <f>_xlfn.XLOOKUP(A371,'[1]Global_Spot Prices'!$B:$B,'[1]Global_Spot Prices'!$H:$H)</f>
        <v>44.25</v>
      </c>
      <c r="F371">
        <f>_xlfn.XLOOKUP(A371,'[1]Global_Spot Prices'!$B:$B,'[1]Global_Spot Prices'!$I:$I)</f>
        <v>57.12</v>
      </c>
      <c r="G371" cm="1">
        <f t="array" ref="G371">_xlfn.XLOOKUP(TEXT(A371, "mmm-yy"), TEXT([2]RUNS!$B$5:$B$208, "mmm-yy"), [2]RUNS!$D$5:$D$208, "Not Found")</f>
        <v>27604.918235604306</v>
      </c>
      <c r="H371" cm="1">
        <f t="array" ref="H371">SUMPRODUCT(
    --(TEXT('[3]Global Weekly Stock (EWSuez'!$B$4:$B$2000,"mmm-yy")=TEXT(A371,"mmm-yy")),
    '[3]Global Weekly Stock (EWSuez'!$E$4:$E$2000)
/
SUMPRODUCT(
    --(TEXT('[3]Global Weekly Stock (EWSuez'!$B$4:$B$2000,"mmm-yy")=TEXT(A371,"mmm-yy"))
)</f>
        <v>13233</v>
      </c>
      <c r="I371">
        <f>_xlfn.XLOOKUP(A371,[1]ForwardDeriv!$D:$D,[1]ForwardDeriv!$AJ:$AJ)</f>
        <v>0</v>
      </c>
      <c r="J371" cm="1">
        <f t="array" ref="J371">_xlfn.XLOOKUP(TEXT(A371, "mmm-yy"), TEXT([2]GASOLINE!$B$5:$B$208, "mmm-yy"), [2]GASOLINE!$IR$5:$IR$208, "Not Found")</f>
        <v>195.19134621435211</v>
      </c>
      <c r="K371" cm="1">
        <f t="array" ref="K371">_xlfn.XLOOKUP(TEXT(A371, "mmm-yy"), TEXT([2]GASOLINE!$B$5:$B$208, "mmm-yy"), [2]GASOLINE!$IK$5:$IK$208, "Not Found")</f>
        <v>0</v>
      </c>
      <c r="L371">
        <f t="shared" si="5"/>
        <v>1</v>
      </c>
      <c r="M371" cm="1">
        <f t="array" ref="M371">_xlfn.XLOOKUP(TEXT(A371, "mmm-yy"), TEXT([2]GASOLINE!$B$5:$B$208, "mmm-yy"), [2]GASOLINE!$C$5:$C$208, "Not Found")</f>
        <v>6711.6585524991324</v>
      </c>
      <c r="N371" cm="1">
        <f t="array" ref="N371">_xlfn.XLOOKUP(TEXT(A371, "mmm-yy"), TEXT([2]RUNS!$B$5:$B$208, "mmm-yy"), [2]RUNS!$BM$5:$BM$208, "Not Found")</f>
        <v>0.82046877975837051</v>
      </c>
    </row>
    <row r="372" spans="1:14" x14ac:dyDescent="0.25">
      <c r="A372" s="1">
        <f>'[1]Global_Spot Prices'!$B1681</f>
        <v>42523</v>
      </c>
      <c r="B372">
        <f>_xlfn.XLOOKUP(A372,'[1]Global_Spot Prices'!$B:$B,'[1]Global_Spot Prices'!$BS:$BS)</f>
        <v>12.020000000000003</v>
      </c>
      <c r="C372">
        <f>_xlfn.XLOOKUP(A372,'[1]Global_Spot Prices'!$B:$B,'[1]Global_Spot Prices'!$E:$E)</f>
        <v>46.16</v>
      </c>
      <c r="D372">
        <f>_xlfn.XLOOKUP(A372,'[1]Global_Spot Prices'!$B:$B,'[1]Global_Spot Prices'!$D:$D)</f>
        <v>48.395000000000003</v>
      </c>
      <c r="E372">
        <f>_xlfn.XLOOKUP(A372,'[1]Global_Spot Prices'!$B:$B,'[1]Global_Spot Prices'!$H:$H)</f>
        <v>45.61</v>
      </c>
      <c r="F372">
        <f>_xlfn.XLOOKUP(A372,'[1]Global_Spot Prices'!$B:$B,'[1]Global_Spot Prices'!$I:$I)</f>
        <v>58.18</v>
      </c>
      <c r="G372" cm="1">
        <f t="array" ref="G372">_xlfn.XLOOKUP(TEXT(A372, "mmm-yy"), TEXT([2]RUNS!$B$5:$B$208, "mmm-yy"), [2]RUNS!$D$5:$D$208, "Not Found")</f>
        <v>27604.918235604306</v>
      </c>
      <c r="H372" cm="1">
        <f t="array" ref="H372">SUMPRODUCT(
    --(TEXT('[3]Global Weekly Stock (EWSuez'!$B$4:$B$2000,"mmm-yy")=TEXT(A372,"mmm-yy")),
    '[3]Global Weekly Stock (EWSuez'!$E$4:$E$2000)
/
SUMPRODUCT(
    --(TEXT('[3]Global Weekly Stock (EWSuez'!$B$4:$B$2000,"mmm-yy")=TEXT(A372,"mmm-yy"))
)</f>
        <v>13233</v>
      </c>
      <c r="I372">
        <f>_xlfn.XLOOKUP(A372,[1]ForwardDeriv!$D:$D,[1]ForwardDeriv!$AJ:$AJ)</f>
        <v>0.10000000000000142</v>
      </c>
      <c r="J372" cm="1">
        <f t="array" ref="J372">_xlfn.XLOOKUP(TEXT(A372, "mmm-yy"), TEXT([2]GASOLINE!$B$5:$B$208, "mmm-yy"), [2]GASOLINE!$IR$5:$IR$208, "Not Found")</f>
        <v>195.19134621435211</v>
      </c>
      <c r="K372" cm="1">
        <f t="array" ref="K372">_xlfn.XLOOKUP(TEXT(A372, "mmm-yy"), TEXT([2]GASOLINE!$B$5:$B$208, "mmm-yy"), [2]GASOLINE!$IK$5:$IK$208, "Not Found")</f>
        <v>0</v>
      </c>
      <c r="L372">
        <f t="shared" si="5"/>
        <v>1</v>
      </c>
      <c r="M372" cm="1">
        <f t="array" ref="M372">_xlfn.XLOOKUP(TEXT(A372, "mmm-yy"), TEXT([2]GASOLINE!$B$5:$B$208, "mmm-yy"), [2]GASOLINE!$C$5:$C$208, "Not Found")</f>
        <v>6711.6585524991324</v>
      </c>
      <c r="N372" cm="1">
        <f t="array" ref="N372">_xlfn.XLOOKUP(TEXT(A372, "mmm-yy"), TEXT([2]RUNS!$B$5:$B$208, "mmm-yy"), [2]RUNS!$BM$5:$BM$208, "Not Found")</f>
        <v>0.82046877975837051</v>
      </c>
    </row>
    <row r="373" spans="1:14" x14ac:dyDescent="0.25">
      <c r="A373" s="1">
        <f>'[1]Global_Spot Prices'!$B1682</f>
        <v>42524</v>
      </c>
      <c r="B373">
        <f>_xlfn.XLOOKUP(A373,'[1]Global_Spot Prices'!$B:$B,'[1]Global_Spot Prices'!$BS:$BS)</f>
        <v>11.780000000000001</v>
      </c>
      <c r="C373">
        <f>_xlfn.XLOOKUP(A373,'[1]Global_Spot Prices'!$B:$B,'[1]Global_Spot Prices'!$E:$E)</f>
        <v>46.31</v>
      </c>
      <c r="D373">
        <f>_xlfn.XLOOKUP(A373,'[1]Global_Spot Prices'!$B:$B,'[1]Global_Spot Prices'!$D:$D)</f>
        <v>48.164999999999999</v>
      </c>
      <c r="E373">
        <f>_xlfn.XLOOKUP(A373,'[1]Global_Spot Prices'!$B:$B,'[1]Global_Spot Prices'!$H:$H)</f>
        <v>45.9</v>
      </c>
      <c r="F373">
        <f>_xlfn.XLOOKUP(A373,'[1]Global_Spot Prices'!$B:$B,'[1]Global_Spot Prices'!$I:$I)</f>
        <v>58.09</v>
      </c>
      <c r="G373" cm="1">
        <f t="array" ref="G373">_xlfn.XLOOKUP(TEXT(A373, "mmm-yy"), TEXT([2]RUNS!$B$5:$B$208, "mmm-yy"), [2]RUNS!$D$5:$D$208, "Not Found")</f>
        <v>27604.918235604306</v>
      </c>
      <c r="H373" cm="1">
        <f t="array" ref="H373">SUMPRODUCT(
    --(TEXT('[3]Global Weekly Stock (EWSuez'!$B$4:$B$2000,"mmm-yy")=TEXT(A373,"mmm-yy")),
    '[3]Global Weekly Stock (EWSuez'!$E$4:$E$2000)
/
SUMPRODUCT(
    --(TEXT('[3]Global Weekly Stock (EWSuez'!$B$4:$B$2000,"mmm-yy")=TEXT(A373,"mmm-yy"))
)</f>
        <v>13233</v>
      </c>
      <c r="I373">
        <f>_xlfn.XLOOKUP(A373,[1]ForwardDeriv!$D:$D,[1]ForwardDeriv!$AJ:$AJ)</f>
        <v>0</v>
      </c>
      <c r="J373" cm="1">
        <f t="array" ref="J373">_xlfn.XLOOKUP(TEXT(A373, "mmm-yy"), TEXT([2]GASOLINE!$B$5:$B$208, "mmm-yy"), [2]GASOLINE!$IR$5:$IR$208, "Not Found")</f>
        <v>195.19134621435211</v>
      </c>
      <c r="K373" cm="1">
        <f t="array" ref="K373">_xlfn.XLOOKUP(TEXT(A373, "mmm-yy"), TEXT([2]GASOLINE!$B$5:$B$208, "mmm-yy"), [2]GASOLINE!$IK$5:$IK$208, "Not Found")</f>
        <v>0</v>
      </c>
      <c r="L373">
        <f t="shared" si="5"/>
        <v>1</v>
      </c>
      <c r="M373" cm="1">
        <f t="array" ref="M373">_xlfn.XLOOKUP(TEXT(A373, "mmm-yy"), TEXT([2]GASOLINE!$B$5:$B$208, "mmm-yy"), [2]GASOLINE!$C$5:$C$208, "Not Found")</f>
        <v>6711.6585524991324</v>
      </c>
      <c r="N373" cm="1">
        <f t="array" ref="N373">_xlfn.XLOOKUP(TEXT(A373, "mmm-yy"), TEXT([2]RUNS!$B$5:$B$208, "mmm-yy"), [2]RUNS!$BM$5:$BM$208, "Not Found")</f>
        <v>0.82046877975837051</v>
      </c>
    </row>
    <row r="374" spans="1:14" x14ac:dyDescent="0.25">
      <c r="A374" s="1">
        <f>'[1]Global_Spot Prices'!$B1683</f>
        <v>42527</v>
      </c>
      <c r="B374">
        <f>_xlfn.XLOOKUP(A374,'[1]Global_Spot Prices'!$B:$B,'[1]Global_Spot Prices'!$BS:$BS)</f>
        <v>11.469999999999999</v>
      </c>
      <c r="C374">
        <f>_xlfn.XLOOKUP(A374,'[1]Global_Spot Prices'!$B:$B,'[1]Global_Spot Prices'!$E:$E)</f>
        <v>46.21</v>
      </c>
      <c r="D374">
        <f>_xlfn.XLOOKUP(A374,'[1]Global_Spot Prices'!$B:$B,'[1]Global_Spot Prices'!$D:$D)</f>
        <v>49.01</v>
      </c>
      <c r="E374">
        <f>_xlfn.XLOOKUP(A374,'[1]Global_Spot Prices'!$B:$B,'[1]Global_Spot Prices'!$H:$H)</f>
        <v>45.64</v>
      </c>
      <c r="F374">
        <f>_xlfn.XLOOKUP(A374,'[1]Global_Spot Prices'!$B:$B,'[1]Global_Spot Prices'!$I:$I)</f>
        <v>57.68</v>
      </c>
      <c r="G374" cm="1">
        <f t="array" ref="G374">_xlfn.XLOOKUP(TEXT(A374, "mmm-yy"), TEXT([2]RUNS!$B$5:$B$208, "mmm-yy"), [2]RUNS!$D$5:$D$208, "Not Found")</f>
        <v>27604.918235604306</v>
      </c>
      <c r="H374" cm="1">
        <f t="array" ref="H374">SUMPRODUCT(
    --(TEXT('[3]Global Weekly Stock (EWSuez'!$B$4:$B$2000,"mmm-yy")=TEXT(A374,"mmm-yy")),
    '[3]Global Weekly Stock (EWSuez'!$E$4:$E$2000)
/
SUMPRODUCT(
    --(TEXT('[3]Global Weekly Stock (EWSuez'!$B$4:$B$2000,"mmm-yy")=TEXT(A374,"mmm-yy"))
)</f>
        <v>13233</v>
      </c>
      <c r="I374">
        <f>_xlfn.XLOOKUP(A374,[1]ForwardDeriv!$D:$D,[1]ForwardDeriv!$AJ:$AJ)</f>
        <v>-0.15999999999999659</v>
      </c>
      <c r="J374" cm="1">
        <f t="array" ref="J374">_xlfn.XLOOKUP(TEXT(A374, "mmm-yy"), TEXT([2]GASOLINE!$B$5:$B$208, "mmm-yy"), [2]GASOLINE!$IR$5:$IR$208, "Not Found")</f>
        <v>195.19134621435211</v>
      </c>
      <c r="K374" cm="1">
        <f t="array" ref="K374">_xlfn.XLOOKUP(TEXT(A374, "mmm-yy"), TEXT([2]GASOLINE!$B$5:$B$208, "mmm-yy"), [2]GASOLINE!$IK$5:$IK$208, "Not Found")</f>
        <v>0</v>
      </c>
      <c r="L374">
        <f t="shared" si="5"/>
        <v>1</v>
      </c>
      <c r="M374" cm="1">
        <f t="array" ref="M374">_xlfn.XLOOKUP(TEXT(A374, "mmm-yy"), TEXT([2]GASOLINE!$B$5:$B$208, "mmm-yy"), [2]GASOLINE!$C$5:$C$208, "Not Found")</f>
        <v>6711.6585524991324</v>
      </c>
      <c r="N374" cm="1">
        <f t="array" ref="N374">_xlfn.XLOOKUP(TEXT(A374, "mmm-yy"), TEXT([2]RUNS!$B$5:$B$208, "mmm-yy"), [2]RUNS!$BM$5:$BM$208, "Not Found")</f>
        <v>0.82046877975837051</v>
      </c>
    </row>
    <row r="375" spans="1:14" x14ac:dyDescent="0.25">
      <c r="A375" s="1">
        <f>'[1]Global_Spot Prices'!$B1684</f>
        <v>42528</v>
      </c>
      <c r="B375">
        <f>_xlfn.XLOOKUP(A375,'[1]Global_Spot Prices'!$B:$B,'[1]Global_Spot Prices'!$BS:$BS)</f>
        <v>9.8400000000000034</v>
      </c>
      <c r="C375">
        <f>_xlfn.XLOOKUP(A375,'[1]Global_Spot Prices'!$B:$B,'[1]Global_Spot Prices'!$E:$E)</f>
        <v>47</v>
      </c>
      <c r="D375">
        <f>_xlfn.XLOOKUP(A375,'[1]Global_Spot Prices'!$B:$B,'[1]Global_Spot Prices'!$D:$D)</f>
        <v>49.685000000000002</v>
      </c>
      <c r="E375">
        <f>_xlfn.XLOOKUP(A375,'[1]Global_Spot Prices'!$B:$B,'[1]Global_Spot Prices'!$H:$H)</f>
        <v>45.61</v>
      </c>
      <c r="F375">
        <f>_xlfn.XLOOKUP(A375,'[1]Global_Spot Prices'!$B:$B,'[1]Global_Spot Prices'!$I:$I)</f>
        <v>56.84</v>
      </c>
      <c r="G375" cm="1">
        <f t="array" ref="G375">_xlfn.XLOOKUP(TEXT(A375, "mmm-yy"), TEXT([2]RUNS!$B$5:$B$208, "mmm-yy"), [2]RUNS!$D$5:$D$208, "Not Found")</f>
        <v>27604.918235604306</v>
      </c>
      <c r="H375" cm="1">
        <f t="array" ref="H375">SUMPRODUCT(
    --(TEXT('[3]Global Weekly Stock (EWSuez'!$B$4:$B$2000,"mmm-yy")=TEXT(A375,"mmm-yy")),
    '[3]Global Weekly Stock (EWSuez'!$E$4:$E$2000)
/
SUMPRODUCT(
    --(TEXT('[3]Global Weekly Stock (EWSuez'!$B$4:$B$2000,"mmm-yy")=TEXT(A375,"mmm-yy"))
)</f>
        <v>13233</v>
      </c>
      <c r="I375">
        <f>_xlfn.XLOOKUP(A375,[1]ForwardDeriv!$D:$D,[1]ForwardDeriv!$AJ:$AJ)</f>
        <v>-0.37999999999999545</v>
      </c>
      <c r="J375" cm="1">
        <f t="array" ref="J375">_xlfn.XLOOKUP(TEXT(A375, "mmm-yy"), TEXT([2]GASOLINE!$B$5:$B$208, "mmm-yy"), [2]GASOLINE!$IR$5:$IR$208, "Not Found")</f>
        <v>195.19134621435211</v>
      </c>
      <c r="K375" cm="1">
        <f t="array" ref="K375">_xlfn.XLOOKUP(TEXT(A375, "mmm-yy"), TEXT([2]GASOLINE!$B$5:$B$208, "mmm-yy"), [2]GASOLINE!$IK$5:$IK$208, "Not Found")</f>
        <v>0</v>
      </c>
      <c r="L375">
        <f t="shared" si="5"/>
        <v>1</v>
      </c>
      <c r="M375" cm="1">
        <f t="array" ref="M375">_xlfn.XLOOKUP(TEXT(A375, "mmm-yy"), TEXT([2]GASOLINE!$B$5:$B$208, "mmm-yy"), [2]GASOLINE!$C$5:$C$208, "Not Found")</f>
        <v>6711.6585524991324</v>
      </c>
      <c r="N375" cm="1">
        <f t="array" ref="N375">_xlfn.XLOOKUP(TEXT(A375, "mmm-yy"), TEXT([2]RUNS!$B$5:$B$208, "mmm-yy"), [2]RUNS!$BM$5:$BM$208, "Not Found")</f>
        <v>0.82046877975837051</v>
      </c>
    </row>
    <row r="376" spans="1:14" x14ac:dyDescent="0.25">
      <c r="A376" s="1">
        <f>'[1]Global_Spot Prices'!$B1685</f>
        <v>42529</v>
      </c>
      <c r="B376">
        <f>_xlfn.XLOOKUP(A376,'[1]Global_Spot Prices'!$B:$B,'[1]Global_Spot Prices'!$BS:$BS)</f>
        <v>8.779999999999994</v>
      </c>
      <c r="C376">
        <f>_xlfn.XLOOKUP(A376,'[1]Global_Spot Prices'!$B:$B,'[1]Global_Spot Prices'!$E:$E)</f>
        <v>48.13</v>
      </c>
      <c r="D376">
        <f>_xlfn.XLOOKUP(A376,'[1]Global_Spot Prices'!$B:$B,'[1]Global_Spot Prices'!$D:$D)</f>
        <v>50.715000000000003</v>
      </c>
      <c r="E376">
        <f>_xlfn.XLOOKUP(A376,'[1]Global_Spot Prices'!$B:$B,'[1]Global_Spot Prices'!$H:$H)</f>
        <v>45.86</v>
      </c>
      <c r="F376">
        <f>_xlfn.XLOOKUP(A376,'[1]Global_Spot Prices'!$B:$B,'[1]Global_Spot Prices'!$I:$I)</f>
        <v>56.91</v>
      </c>
      <c r="G376" cm="1">
        <f t="array" ref="G376">_xlfn.XLOOKUP(TEXT(A376, "mmm-yy"), TEXT([2]RUNS!$B$5:$B$208, "mmm-yy"), [2]RUNS!$D$5:$D$208, "Not Found")</f>
        <v>27604.918235604306</v>
      </c>
      <c r="H376" cm="1">
        <f t="array" ref="H376">SUMPRODUCT(
    --(TEXT('[3]Global Weekly Stock (EWSuez'!$B$4:$B$2000,"mmm-yy")=TEXT(A376,"mmm-yy")),
    '[3]Global Weekly Stock (EWSuez'!$E$4:$E$2000)
/
SUMPRODUCT(
    --(TEXT('[3]Global Weekly Stock (EWSuez'!$B$4:$B$2000,"mmm-yy")=TEXT(A376,"mmm-yy"))
)</f>
        <v>13233</v>
      </c>
      <c r="I376">
        <f>_xlfn.XLOOKUP(A376,[1]ForwardDeriv!$D:$D,[1]ForwardDeriv!$AJ:$AJ)</f>
        <v>-0.5</v>
      </c>
      <c r="J376" cm="1">
        <f t="array" ref="J376">_xlfn.XLOOKUP(TEXT(A376, "mmm-yy"), TEXT([2]GASOLINE!$B$5:$B$208, "mmm-yy"), [2]GASOLINE!$IR$5:$IR$208, "Not Found")</f>
        <v>195.19134621435211</v>
      </c>
      <c r="K376" cm="1">
        <f t="array" ref="K376">_xlfn.XLOOKUP(TEXT(A376, "mmm-yy"), TEXT([2]GASOLINE!$B$5:$B$208, "mmm-yy"), [2]GASOLINE!$IK$5:$IK$208, "Not Found")</f>
        <v>0</v>
      </c>
      <c r="L376">
        <f t="shared" si="5"/>
        <v>1</v>
      </c>
      <c r="M376" cm="1">
        <f t="array" ref="M376">_xlfn.XLOOKUP(TEXT(A376, "mmm-yy"), TEXT([2]GASOLINE!$B$5:$B$208, "mmm-yy"), [2]GASOLINE!$C$5:$C$208, "Not Found")</f>
        <v>6711.6585524991324</v>
      </c>
      <c r="N376" cm="1">
        <f t="array" ref="N376">_xlfn.XLOOKUP(TEXT(A376, "mmm-yy"), TEXT([2]RUNS!$B$5:$B$208, "mmm-yy"), [2]RUNS!$BM$5:$BM$208, "Not Found")</f>
        <v>0.82046877975837051</v>
      </c>
    </row>
    <row r="377" spans="1:14" x14ac:dyDescent="0.25">
      <c r="A377" s="1">
        <f>'[1]Global_Spot Prices'!$B1686</f>
        <v>42530</v>
      </c>
      <c r="B377">
        <f>_xlfn.XLOOKUP(A377,'[1]Global_Spot Prices'!$B:$B,'[1]Global_Spot Prices'!$BS:$BS)</f>
        <v>10.07</v>
      </c>
      <c r="C377">
        <f>_xlfn.XLOOKUP(A377,'[1]Global_Spot Prices'!$B:$B,'[1]Global_Spot Prices'!$E:$E)</f>
        <v>48.81</v>
      </c>
      <c r="D377">
        <f>_xlfn.XLOOKUP(A377,'[1]Global_Spot Prices'!$B:$B,'[1]Global_Spot Prices'!$D:$D)</f>
        <v>50.625</v>
      </c>
      <c r="E377">
        <f>_xlfn.XLOOKUP(A377,'[1]Global_Spot Prices'!$B:$B,'[1]Global_Spot Prices'!$H:$H)</f>
        <v>46.77</v>
      </c>
      <c r="F377">
        <f>_xlfn.XLOOKUP(A377,'[1]Global_Spot Prices'!$B:$B,'[1]Global_Spot Prices'!$I:$I)</f>
        <v>58.88</v>
      </c>
      <c r="G377" cm="1">
        <f t="array" ref="G377">_xlfn.XLOOKUP(TEXT(A377, "mmm-yy"), TEXT([2]RUNS!$B$5:$B$208, "mmm-yy"), [2]RUNS!$D$5:$D$208, "Not Found")</f>
        <v>27604.918235604306</v>
      </c>
      <c r="H377" cm="1">
        <f t="array" ref="H377">SUMPRODUCT(
    --(TEXT('[3]Global Weekly Stock (EWSuez'!$B$4:$B$2000,"mmm-yy")=TEXT(A377,"mmm-yy")),
    '[3]Global Weekly Stock (EWSuez'!$E$4:$E$2000)
/
SUMPRODUCT(
    --(TEXT('[3]Global Weekly Stock (EWSuez'!$B$4:$B$2000,"mmm-yy")=TEXT(A377,"mmm-yy"))
)</f>
        <v>13233</v>
      </c>
      <c r="I377">
        <f>_xlfn.XLOOKUP(A377,[1]ForwardDeriv!$D:$D,[1]ForwardDeriv!$AJ:$AJ)</f>
        <v>-0.35000000000000142</v>
      </c>
      <c r="J377" cm="1">
        <f t="array" ref="J377">_xlfn.XLOOKUP(TEXT(A377, "mmm-yy"), TEXT([2]GASOLINE!$B$5:$B$208, "mmm-yy"), [2]GASOLINE!$IR$5:$IR$208, "Not Found")</f>
        <v>195.19134621435211</v>
      </c>
      <c r="K377" cm="1">
        <f t="array" ref="K377">_xlfn.XLOOKUP(TEXT(A377, "mmm-yy"), TEXT([2]GASOLINE!$B$5:$B$208, "mmm-yy"), [2]GASOLINE!$IK$5:$IK$208, "Not Found")</f>
        <v>0</v>
      </c>
      <c r="L377">
        <f t="shared" si="5"/>
        <v>1</v>
      </c>
      <c r="M377" cm="1">
        <f t="array" ref="M377">_xlfn.XLOOKUP(TEXT(A377, "mmm-yy"), TEXT([2]GASOLINE!$B$5:$B$208, "mmm-yy"), [2]GASOLINE!$C$5:$C$208, "Not Found")</f>
        <v>6711.6585524991324</v>
      </c>
      <c r="N377" cm="1">
        <f t="array" ref="N377">_xlfn.XLOOKUP(TEXT(A377, "mmm-yy"), TEXT([2]RUNS!$B$5:$B$208, "mmm-yy"), [2]RUNS!$BM$5:$BM$208, "Not Found")</f>
        <v>0.82046877975837051</v>
      </c>
    </row>
    <row r="378" spans="1:14" x14ac:dyDescent="0.25">
      <c r="A378" s="1">
        <f>'[1]Global_Spot Prices'!$B1687</f>
        <v>42531</v>
      </c>
      <c r="B378">
        <f>_xlfn.XLOOKUP(A378,'[1]Global_Spot Prices'!$B:$B,'[1]Global_Spot Prices'!$BS:$BS)</f>
        <v>10.559999999999995</v>
      </c>
      <c r="C378">
        <f>_xlfn.XLOOKUP(A378,'[1]Global_Spot Prices'!$B:$B,'[1]Global_Spot Prices'!$E:$E)</f>
        <v>47.85</v>
      </c>
      <c r="D378">
        <f>_xlfn.XLOOKUP(A378,'[1]Global_Spot Prices'!$B:$B,'[1]Global_Spot Prices'!$D:$D)</f>
        <v>49.615000000000002</v>
      </c>
      <c r="E378">
        <f>_xlfn.XLOOKUP(A378,'[1]Global_Spot Prices'!$B:$B,'[1]Global_Spot Prices'!$H:$H)</f>
        <v>46.19</v>
      </c>
      <c r="F378">
        <f>_xlfn.XLOOKUP(A378,'[1]Global_Spot Prices'!$B:$B,'[1]Global_Spot Prices'!$I:$I)</f>
        <v>58.41</v>
      </c>
      <c r="G378" cm="1">
        <f t="array" ref="G378">_xlfn.XLOOKUP(TEXT(A378, "mmm-yy"), TEXT([2]RUNS!$B$5:$B$208, "mmm-yy"), [2]RUNS!$D$5:$D$208, "Not Found")</f>
        <v>27604.918235604306</v>
      </c>
      <c r="H378" cm="1">
        <f t="array" ref="H378">SUMPRODUCT(
    --(TEXT('[3]Global Weekly Stock (EWSuez'!$B$4:$B$2000,"mmm-yy")=TEXT(A378,"mmm-yy")),
    '[3]Global Weekly Stock (EWSuez'!$E$4:$E$2000)
/
SUMPRODUCT(
    --(TEXT('[3]Global Weekly Stock (EWSuez'!$B$4:$B$2000,"mmm-yy")=TEXT(A378,"mmm-yy"))
)</f>
        <v>13233</v>
      </c>
      <c r="I378">
        <f>_xlfn.XLOOKUP(A378,[1]ForwardDeriv!$D:$D,[1]ForwardDeriv!$AJ:$AJ)</f>
        <v>-0.25</v>
      </c>
      <c r="J378" cm="1">
        <f t="array" ref="J378">_xlfn.XLOOKUP(TEXT(A378, "mmm-yy"), TEXT([2]GASOLINE!$B$5:$B$208, "mmm-yy"), [2]GASOLINE!$IR$5:$IR$208, "Not Found")</f>
        <v>195.19134621435211</v>
      </c>
      <c r="K378" cm="1">
        <f t="array" ref="K378">_xlfn.XLOOKUP(TEXT(A378, "mmm-yy"), TEXT([2]GASOLINE!$B$5:$B$208, "mmm-yy"), [2]GASOLINE!$IK$5:$IK$208, "Not Found")</f>
        <v>0</v>
      </c>
      <c r="L378">
        <f t="shared" si="5"/>
        <v>1</v>
      </c>
      <c r="M378" cm="1">
        <f t="array" ref="M378">_xlfn.XLOOKUP(TEXT(A378, "mmm-yy"), TEXT([2]GASOLINE!$B$5:$B$208, "mmm-yy"), [2]GASOLINE!$C$5:$C$208, "Not Found")</f>
        <v>6711.6585524991324</v>
      </c>
      <c r="N378" cm="1">
        <f t="array" ref="N378">_xlfn.XLOOKUP(TEXT(A378, "mmm-yy"), TEXT([2]RUNS!$B$5:$B$208, "mmm-yy"), [2]RUNS!$BM$5:$BM$208, "Not Found")</f>
        <v>0.82046877975837051</v>
      </c>
    </row>
    <row r="379" spans="1:14" x14ac:dyDescent="0.25">
      <c r="A379" s="1">
        <f>'[1]Global_Spot Prices'!$B1688</f>
        <v>42534</v>
      </c>
      <c r="B379">
        <f>_xlfn.XLOOKUP(A379,'[1]Global_Spot Prices'!$B:$B,'[1]Global_Spot Prices'!$BS:$BS)</f>
        <v>9.82</v>
      </c>
      <c r="C379">
        <f>_xlfn.XLOOKUP(A379,'[1]Global_Spot Prices'!$B:$B,'[1]Global_Spot Prices'!$E:$E)</f>
        <v>46.71</v>
      </c>
      <c r="D379">
        <f>_xlfn.XLOOKUP(A379,'[1]Global_Spot Prices'!$B:$B,'[1]Global_Spot Prices'!$D:$D)</f>
        <v>49.16</v>
      </c>
      <c r="E379">
        <f>_xlfn.XLOOKUP(A379,'[1]Global_Spot Prices'!$B:$B,'[1]Global_Spot Prices'!$H:$H)</f>
        <v>44.83</v>
      </c>
      <c r="F379">
        <f>_xlfn.XLOOKUP(A379,'[1]Global_Spot Prices'!$B:$B,'[1]Global_Spot Prices'!$I:$I)</f>
        <v>56.53</v>
      </c>
      <c r="G379" cm="1">
        <f t="array" ref="G379">_xlfn.XLOOKUP(TEXT(A379, "mmm-yy"), TEXT([2]RUNS!$B$5:$B$208, "mmm-yy"), [2]RUNS!$D$5:$D$208, "Not Found")</f>
        <v>27604.918235604306</v>
      </c>
      <c r="H379" cm="1">
        <f t="array" ref="H379">SUMPRODUCT(
    --(TEXT('[3]Global Weekly Stock (EWSuez'!$B$4:$B$2000,"mmm-yy")=TEXT(A379,"mmm-yy")),
    '[3]Global Weekly Stock (EWSuez'!$E$4:$E$2000)
/
SUMPRODUCT(
    --(TEXT('[3]Global Weekly Stock (EWSuez'!$B$4:$B$2000,"mmm-yy")=TEXT(A379,"mmm-yy"))
)</f>
        <v>13233</v>
      </c>
      <c r="I379">
        <f>_xlfn.XLOOKUP(A379,[1]ForwardDeriv!$D:$D,[1]ForwardDeriv!$AJ:$AJ)</f>
        <v>-0.29999999999999716</v>
      </c>
      <c r="J379" cm="1">
        <f t="array" ref="J379">_xlfn.XLOOKUP(TEXT(A379, "mmm-yy"), TEXT([2]GASOLINE!$B$5:$B$208, "mmm-yy"), [2]GASOLINE!$IR$5:$IR$208, "Not Found")</f>
        <v>195.19134621435211</v>
      </c>
      <c r="K379" cm="1">
        <f t="array" ref="K379">_xlfn.XLOOKUP(TEXT(A379, "mmm-yy"), TEXT([2]GASOLINE!$B$5:$B$208, "mmm-yy"), [2]GASOLINE!$IK$5:$IK$208, "Not Found")</f>
        <v>0</v>
      </c>
      <c r="L379">
        <f t="shared" si="5"/>
        <v>1</v>
      </c>
      <c r="M379" cm="1">
        <f t="array" ref="M379">_xlfn.XLOOKUP(TEXT(A379, "mmm-yy"), TEXT([2]GASOLINE!$B$5:$B$208, "mmm-yy"), [2]GASOLINE!$C$5:$C$208, "Not Found")</f>
        <v>6711.6585524991324</v>
      </c>
      <c r="N379" cm="1">
        <f t="array" ref="N379">_xlfn.XLOOKUP(TEXT(A379, "mmm-yy"), TEXT([2]RUNS!$B$5:$B$208, "mmm-yy"), [2]RUNS!$BM$5:$BM$208, "Not Found")</f>
        <v>0.82046877975837051</v>
      </c>
    </row>
    <row r="380" spans="1:14" x14ac:dyDescent="0.25">
      <c r="A380" s="1">
        <f>'[1]Global_Spot Prices'!$B1689</f>
        <v>42535</v>
      </c>
      <c r="B380">
        <f>_xlfn.XLOOKUP(A380,'[1]Global_Spot Prices'!$B:$B,'[1]Global_Spot Prices'!$BS:$BS)</f>
        <v>9.32</v>
      </c>
      <c r="C380">
        <f>_xlfn.XLOOKUP(A380,'[1]Global_Spot Prices'!$B:$B,'[1]Global_Spot Prices'!$E:$E)</f>
        <v>46.2</v>
      </c>
      <c r="D380">
        <f>_xlfn.XLOOKUP(A380,'[1]Global_Spot Prices'!$B:$B,'[1]Global_Spot Prices'!$D:$D)</f>
        <v>47.94</v>
      </c>
      <c r="E380">
        <f>_xlfn.XLOOKUP(A380,'[1]Global_Spot Prices'!$B:$B,'[1]Global_Spot Prices'!$H:$H)</f>
        <v>44.7</v>
      </c>
      <c r="F380">
        <f>_xlfn.XLOOKUP(A380,'[1]Global_Spot Prices'!$B:$B,'[1]Global_Spot Prices'!$I:$I)</f>
        <v>55.52</v>
      </c>
      <c r="G380" cm="1">
        <f t="array" ref="G380">_xlfn.XLOOKUP(TEXT(A380, "mmm-yy"), TEXT([2]RUNS!$B$5:$B$208, "mmm-yy"), [2]RUNS!$D$5:$D$208, "Not Found")</f>
        <v>27604.918235604306</v>
      </c>
      <c r="H380" cm="1">
        <f t="array" ref="H380">SUMPRODUCT(
    --(TEXT('[3]Global Weekly Stock (EWSuez'!$B$4:$B$2000,"mmm-yy")=TEXT(A380,"mmm-yy")),
    '[3]Global Weekly Stock (EWSuez'!$E$4:$E$2000)
/
SUMPRODUCT(
    --(TEXT('[3]Global Weekly Stock (EWSuez'!$B$4:$B$2000,"mmm-yy")=TEXT(A380,"mmm-yy"))
)</f>
        <v>13233</v>
      </c>
      <c r="I380">
        <f>_xlfn.XLOOKUP(A380,[1]ForwardDeriv!$D:$D,[1]ForwardDeriv!$AJ:$AJ)</f>
        <v>-0.32999999999999829</v>
      </c>
      <c r="J380" cm="1">
        <f t="array" ref="J380">_xlfn.XLOOKUP(TEXT(A380, "mmm-yy"), TEXT([2]GASOLINE!$B$5:$B$208, "mmm-yy"), [2]GASOLINE!$IR$5:$IR$208, "Not Found")</f>
        <v>195.19134621435211</v>
      </c>
      <c r="K380" cm="1">
        <f t="array" ref="K380">_xlfn.XLOOKUP(TEXT(A380, "mmm-yy"), TEXT([2]GASOLINE!$B$5:$B$208, "mmm-yy"), [2]GASOLINE!$IK$5:$IK$208, "Not Found")</f>
        <v>0</v>
      </c>
      <c r="L380">
        <f t="shared" si="5"/>
        <v>1</v>
      </c>
      <c r="M380" cm="1">
        <f t="array" ref="M380">_xlfn.XLOOKUP(TEXT(A380, "mmm-yy"), TEXT([2]GASOLINE!$B$5:$B$208, "mmm-yy"), [2]GASOLINE!$C$5:$C$208, "Not Found")</f>
        <v>6711.6585524991324</v>
      </c>
      <c r="N380" cm="1">
        <f t="array" ref="N380">_xlfn.XLOOKUP(TEXT(A380, "mmm-yy"), TEXT([2]RUNS!$B$5:$B$208, "mmm-yy"), [2]RUNS!$BM$5:$BM$208, "Not Found")</f>
        <v>0.82046877975837051</v>
      </c>
    </row>
    <row r="381" spans="1:14" x14ac:dyDescent="0.25">
      <c r="A381" s="1">
        <f>'[1]Global_Spot Prices'!$B1690</f>
        <v>42536</v>
      </c>
      <c r="B381">
        <f>_xlfn.XLOOKUP(A381,'[1]Global_Spot Prices'!$B:$B,'[1]Global_Spot Prices'!$BS:$BS)</f>
        <v>8.740000000000002</v>
      </c>
      <c r="C381">
        <f>_xlfn.XLOOKUP(A381,'[1]Global_Spot Prices'!$B:$B,'[1]Global_Spot Prices'!$E:$E)</f>
        <v>46.01</v>
      </c>
      <c r="D381">
        <f>_xlfn.XLOOKUP(A381,'[1]Global_Spot Prices'!$B:$B,'[1]Global_Spot Prices'!$D:$D)</f>
        <v>47.62</v>
      </c>
      <c r="E381">
        <f>_xlfn.XLOOKUP(A381,'[1]Global_Spot Prices'!$B:$B,'[1]Global_Spot Prices'!$H:$H)</f>
        <v>44.54</v>
      </c>
      <c r="F381">
        <f>_xlfn.XLOOKUP(A381,'[1]Global_Spot Prices'!$B:$B,'[1]Global_Spot Prices'!$I:$I)</f>
        <v>54.75</v>
      </c>
      <c r="G381" cm="1">
        <f t="array" ref="G381">_xlfn.XLOOKUP(TEXT(A381, "mmm-yy"), TEXT([2]RUNS!$B$5:$B$208, "mmm-yy"), [2]RUNS!$D$5:$D$208, "Not Found")</f>
        <v>27604.918235604306</v>
      </c>
      <c r="H381" cm="1">
        <f t="array" ref="H381">SUMPRODUCT(
    --(TEXT('[3]Global Weekly Stock (EWSuez'!$B$4:$B$2000,"mmm-yy")=TEXT(A381,"mmm-yy")),
    '[3]Global Weekly Stock (EWSuez'!$E$4:$E$2000)
/
SUMPRODUCT(
    --(TEXT('[3]Global Weekly Stock (EWSuez'!$B$4:$B$2000,"mmm-yy")=TEXT(A381,"mmm-yy"))
)</f>
        <v>13233</v>
      </c>
      <c r="I381">
        <f>_xlfn.XLOOKUP(A381,[1]ForwardDeriv!$D:$D,[1]ForwardDeriv!$AJ:$AJ)</f>
        <v>-0.45000000000000284</v>
      </c>
      <c r="J381" cm="1">
        <f t="array" ref="J381">_xlfn.XLOOKUP(TEXT(A381, "mmm-yy"), TEXT([2]GASOLINE!$B$5:$B$208, "mmm-yy"), [2]GASOLINE!$IR$5:$IR$208, "Not Found")</f>
        <v>195.19134621435211</v>
      </c>
      <c r="K381" cm="1">
        <f t="array" ref="K381">_xlfn.XLOOKUP(TEXT(A381, "mmm-yy"), TEXT([2]GASOLINE!$B$5:$B$208, "mmm-yy"), [2]GASOLINE!$IK$5:$IK$208, "Not Found")</f>
        <v>0</v>
      </c>
      <c r="L381">
        <f t="shared" si="5"/>
        <v>1</v>
      </c>
      <c r="M381" cm="1">
        <f t="array" ref="M381">_xlfn.XLOOKUP(TEXT(A381, "mmm-yy"), TEXT([2]GASOLINE!$B$5:$B$208, "mmm-yy"), [2]GASOLINE!$C$5:$C$208, "Not Found")</f>
        <v>6711.6585524991324</v>
      </c>
      <c r="N381" cm="1">
        <f t="array" ref="N381">_xlfn.XLOOKUP(TEXT(A381, "mmm-yy"), TEXT([2]RUNS!$B$5:$B$208, "mmm-yy"), [2]RUNS!$BM$5:$BM$208, "Not Found")</f>
        <v>0.82046877975837051</v>
      </c>
    </row>
    <row r="382" spans="1:14" x14ac:dyDescent="0.25">
      <c r="A382" s="1">
        <f>'[1]Global_Spot Prices'!$B1691</f>
        <v>42537</v>
      </c>
      <c r="B382">
        <f>_xlfn.XLOOKUP(A382,'[1]Global_Spot Prices'!$B:$B,'[1]Global_Spot Prices'!$BS:$BS)</f>
        <v>9.82</v>
      </c>
      <c r="C382">
        <f>_xlfn.XLOOKUP(A382,'[1]Global_Spot Prices'!$B:$B,'[1]Global_Spot Prices'!$E:$E)</f>
        <v>44.8</v>
      </c>
      <c r="D382">
        <f>_xlfn.XLOOKUP(A382,'[1]Global_Spot Prices'!$B:$B,'[1]Global_Spot Prices'!$D:$D)</f>
        <v>45.94</v>
      </c>
      <c r="E382">
        <f>_xlfn.XLOOKUP(A382,'[1]Global_Spot Prices'!$B:$B,'[1]Global_Spot Prices'!$H:$H)</f>
        <v>44.5</v>
      </c>
      <c r="F382">
        <f>_xlfn.XLOOKUP(A382,'[1]Global_Spot Prices'!$B:$B,'[1]Global_Spot Prices'!$I:$I)</f>
        <v>54.62</v>
      </c>
      <c r="G382" cm="1">
        <f t="array" ref="G382">_xlfn.XLOOKUP(TEXT(A382, "mmm-yy"), TEXT([2]RUNS!$B$5:$B$208, "mmm-yy"), [2]RUNS!$D$5:$D$208, "Not Found")</f>
        <v>27604.918235604306</v>
      </c>
      <c r="H382" cm="1">
        <f t="array" ref="H382">SUMPRODUCT(
    --(TEXT('[3]Global Weekly Stock (EWSuez'!$B$4:$B$2000,"mmm-yy")=TEXT(A382,"mmm-yy")),
    '[3]Global Weekly Stock (EWSuez'!$E$4:$E$2000)
/
SUMPRODUCT(
    --(TEXT('[3]Global Weekly Stock (EWSuez'!$B$4:$B$2000,"mmm-yy")=TEXT(A382,"mmm-yy"))
)</f>
        <v>13233</v>
      </c>
      <c r="I382">
        <f>_xlfn.XLOOKUP(A382,[1]ForwardDeriv!$D:$D,[1]ForwardDeriv!$AJ:$AJ)</f>
        <v>-0.25999999999999801</v>
      </c>
      <c r="J382" cm="1">
        <f t="array" ref="J382">_xlfn.XLOOKUP(TEXT(A382, "mmm-yy"), TEXT([2]GASOLINE!$B$5:$B$208, "mmm-yy"), [2]GASOLINE!$IR$5:$IR$208, "Not Found")</f>
        <v>195.19134621435211</v>
      </c>
      <c r="K382" cm="1">
        <f t="array" ref="K382">_xlfn.XLOOKUP(TEXT(A382, "mmm-yy"), TEXT([2]GASOLINE!$B$5:$B$208, "mmm-yy"), [2]GASOLINE!$IK$5:$IK$208, "Not Found")</f>
        <v>0</v>
      </c>
      <c r="L382">
        <f t="shared" si="5"/>
        <v>1</v>
      </c>
      <c r="M382" cm="1">
        <f t="array" ref="M382">_xlfn.XLOOKUP(TEXT(A382, "mmm-yy"), TEXT([2]GASOLINE!$B$5:$B$208, "mmm-yy"), [2]GASOLINE!$C$5:$C$208, "Not Found")</f>
        <v>6711.6585524991324</v>
      </c>
      <c r="N382" cm="1">
        <f t="array" ref="N382">_xlfn.XLOOKUP(TEXT(A382, "mmm-yy"), TEXT([2]RUNS!$B$5:$B$208, "mmm-yy"), [2]RUNS!$BM$5:$BM$208, "Not Found")</f>
        <v>0.82046877975837051</v>
      </c>
    </row>
    <row r="383" spans="1:14" x14ac:dyDescent="0.25">
      <c r="A383" s="1">
        <f>'[1]Global_Spot Prices'!$B1692</f>
        <v>42538</v>
      </c>
      <c r="B383">
        <f>_xlfn.XLOOKUP(A383,'[1]Global_Spot Prices'!$B:$B,'[1]Global_Spot Prices'!$BS:$BS)</f>
        <v>10.11</v>
      </c>
      <c r="C383">
        <f>_xlfn.XLOOKUP(A383,'[1]Global_Spot Prices'!$B:$B,'[1]Global_Spot Prices'!$E:$E)</f>
        <v>44.44</v>
      </c>
      <c r="D383">
        <f>_xlfn.XLOOKUP(A383,'[1]Global_Spot Prices'!$B:$B,'[1]Global_Spot Prices'!$D:$D)</f>
        <v>46.72</v>
      </c>
      <c r="E383">
        <f>_xlfn.XLOOKUP(A383,'[1]Global_Spot Prices'!$B:$B,'[1]Global_Spot Prices'!$H:$H)</f>
        <v>44.25</v>
      </c>
      <c r="F383">
        <f>_xlfn.XLOOKUP(A383,'[1]Global_Spot Prices'!$B:$B,'[1]Global_Spot Prices'!$I:$I)</f>
        <v>54.55</v>
      </c>
      <c r="G383" cm="1">
        <f t="array" ref="G383">_xlfn.XLOOKUP(TEXT(A383, "mmm-yy"), TEXT([2]RUNS!$B$5:$B$208, "mmm-yy"), [2]RUNS!$D$5:$D$208, "Not Found")</f>
        <v>27604.918235604306</v>
      </c>
      <c r="H383" cm="1">
        <f t="array" ref="H383">SUMPRODUCT(
    --(TEXT('[3]Global Weekly Stock (EWSuez'!$B$4:$B$2000,"mmm-yy")=TEXT(A383,"mmm-yy")),
    '[3]Global Weekly Stock (EWSuez'!$E$4:$E$2000)
/
SUMPRODUCT(
    --(TEXT('[3]Global Weekly Stock (EWSuez'!$B$4:$B$2000,"mmm-yy")=TEXT(A383,"mmm-yy"))
)</f>
        <v>13233</v>
      </c>
      <c r="I383">
        <f>_xlfn.XLOOKUP(A383,[1]ForwardDeriv!$D:$D,[1]ForwardDeriv!$AJ:$AJ)</f>
        <v>-0.25999999999999801</v>
      </c>
      <c r="J383" cm="1">
        <f t="array" ref="J383">_xlfn.XLOOKUP(TEXT(A383, "mmm-yy"), TEXT([2]GASOLINE!$B$5:$B$208, "mmm-yy"), [2]GASOLINE!$IR$5:$IR$208, "Not Found")</f>
        <v>195.19134621435211</v>
      </c>
      <c r="K383" cm="1">
        <f t="array" ref="K383">_xlfn.XLOOKUP(TEXT(A383, "mmm-yy"), TEXT([2]GASOLINE!$B$5:$B$208, "mmm-yy"), [2]GASOLINE!$IK$5:$IK$208, "Not Found")</f>
        <v>0</v>
      </c>
      <c r="L383">
        <f t="shared" si="5"/>
        <v>1</v>
      </c>
      <c r="M383" cm="1">
        <f t="array" ref="M383">_xlfn.XLOOKUP(TEXT(A383, "mmm-yy"), TEXT([2]GASOLINE!$B$5:$B$208, "mmm-yy"), [2]GASOLINE!$C$5:$C$208, "Not Found")</f>
        <v>6711.6585524991324</v>
      </c>
      <c r="N383" cm="1">
        <f t="array" ref="N383">_xlfn.XLOOKUP(TEXT(A383, "mmm-yy"), TEXT([2]RUNS!$B$5:$B$208, "mmm-yy"), [2]RUNS!$BM$5:$BM$208, "Not Found")</f>
        <v>0.82046877975837051</v>
      </c>
    </row>
    <row r="384" spans="1:14" x14ac:dyDescent="0.25">
      <c r="A384" s="1">
        <f>'[1]Global_Spot Prices'!$B1693</f>
        <v>42541</v>
      </c>
      <c r="B384">
        <f>_xlfn.XLOOKUP(A384,'[1]Global_Spot Prices'!$B:$B,'[1]Global_Spot Prices'!$BS:$BS)</f>
        <v>10.059999999999995</v>
      </c>
      <c r="C384">
        <f>_xlfn.XLOOKUP(A384,'[1]Global_Spot Prices'!$B:$B,'[1]Global_Spot Prices'!$E:$E)</f>
        <v>46.49</v>
      </c>
      <c r="D384">
        <f>_xlfn.XLOOKUP(A384,'[1]Global_Spot Prices'!$B:$B,'[1]Global_Spot Prices'!$D:$D)</f>
        <v>48.8</v>
      </c>
      <c r="E384">
        <f>_xlfn.XLOOKUP(A384,'[1]Global_Spot Prices'!$B:$B,'[1]Global_Spot Prices'!$H:$H)</f>
        <v>46.05</v>
      </c>
      <c r="F384">
        <f>_xlfn.XLOOKUP(A384,'[1]Global_Spot Prices'!$B:$B,'[1]Global_Spot Prices'!$I:$I)</f>
        <v>56.55</v>
      </c>
      <c r="G384" cm="1">
        <f t="array" ref="G384">_xlfn.XLOOKUP(TEXT(A384, "mmm-yy"), TEXT([2]RUNS!$B$5:$B$208, "mmm-yy"), [2]RUNS!$D$5:$D$208, "Not Found")</f>
        <v>27604.918235604306</v>
      </c>
      <c r="H384" cm="1">
        <f t="array" ref="H384">SUMPRODUCT(
    --(TEXT('[3]Global Weekly Stock (EWSuez'!$B$4:$B$2000,"mmm-yy")=TEXT(A384,"mmm-yy")),
    '[3]Global Weekly Stock (EWSuez'!$E$4:$E$2000)
/
SUMPRODUCT(
    --(TEXT('[3]Global Weekly Stock (EWSuez'!$B$4:$B$2000,"mmm-yy")=TEXT(A384,"mmm-yy"))
)</f>
        <v>13233</v>
      </c>
      <c r="I384">
        <f>_xlfn.XLOOKUP(A384,[1]ForwardDeriv!$D:$D,[1]ForwardDeriv!$AJ:$AJ)</f>
        <v>-0.26999999999999602</v>
      </c>
      <c r="J384" cm="1">
        <f t="array" ref="J384">_xlfn.XLOOKUP(TEXT(A384, "mmm-yy"), TEXT([2]GASOLINE!$B$5:$B$208, "mmm-yy"), [2]GASOLINE!$IR$5:$IR$208, "Not Found")</f>
        <v>195.19134621435211</v>
      </c>
      <c r="K384" cm="1">
        <f t="array" ref="K384">_xlfn.XLOOKUP(TEXT(A384, "mmm-yy"), TEXT([2]GASOLINE!$B$5:$B$208, "mmm-yy"), [2]GASOLINE!$IK$5:$IK$208, "Not Found")</f>
        <v>0</v>
      </c>
      <c r="L384">
        <f t="shared" si="5"/>
        <v>1</v>
      </c>
      <c r="M384" cm="1">
        <f t="array" ref="M384">_xlfn.XLOOKUP(TEXT(A384, "mmm-yy"), TEXT([2]GASOLINE!$B$5:$B$208, "mmm-yy"), [2]GASOLINE!$C$5:$C$208, "Not Found")</f>
        <v>6711.6585524991324</v>
      </c>
      <c r="N384" cm="1">
        <f t="array" ref="N384">_xlfn.XLOOKUP(TEXT(A384, "mmm-yy"), TEXT([2]RUNS!$B$5:$B$208, "mmm-yy"), [2]RUNS!$BM$5:$BM$208, "Not Found")</f>
        <v>0.82046877975837051</v>
      </c>
    </row>
    <row r="385" spans="1:14" x14ac:dyDescent="0.25">
      <c r="A385" s="1">
        <f>'[1]Global_Spot Prices'!$B1694</f>
        <v>42542</v>
      </c>
      <c r="B385">
        <f>_xlfn.XLOOKUP(A385,'[1]Global_Spot Prices'!$B:$B,'[1]Global_Spot Prices'!$BS:$BS)</f>
        <v>11.009999999999998</v>
      </c>
      <c r="C385">
        <f>_xlfn.XLOOKUP(A385,'[1]Global_Spot Prices'!$B:$B,'[1]Global_Spot Prices'!$E:$E)</f>
        <v>46.39</v>
      </c>
      <c r="D385">
        <f>_xlfn.XLOOKUP(A385,'[1]Global_Spot Prices'!$B:$B,'[1]Global_Spot Prices'!$D:$D)</f>
        <v>48.32</v>
      </c>
      <c r="E385">
        <f>_xlfn.XLOOKUP(A385,'[1]Global_Spot Prices'!$B:$B,'[1]Global_Spot Prices'!$H:$H)</f>
        <v>46.19</v>
      </c>
      <c r="F385">
        <f>_xlfn.XLOOKUP(A385,'[1]Global_Spot Prices'!$B:$B,'[1]Global_Spot Prices'!$I:$I)</f>
        <v>57.4</v>
      </c>
      <c r="G385" cm="1">
        <f t="array" ref="G385">_xlfn.XLOOKUP(TEXT(A385, "mmm-yy"), TEXT([2]RUNS!$B$5:$B$208, "mmm-yy"), [2]RUNS!$D$5:$D$208, "Not Found")</f>
        <v>27604.918235604306</v>
      </c>
      <c r="H385" cm="1">
        <f t="array" ref="H385">SUMPRODUCT(
    --(TEXT('[3]Global Weekly Stock (EWSuez'!$B$4:$B$2000,"mmm-yy")=TEXT(A385,"mmm-yy")),
    '[3]Global Weekly Stock (EWSuez'!$E$4:$E$2000)
/
SUMPRODUCT(
    --(TEXT('[3]Global Weekly Stock (EWSuez'!$B$4:$B$2000,"mmm-yy")=TEXT(A385,"mmm-yy"))
)</f>
        <v>13233</v>
      </c>
      <c r="I385">
        <f>_xlfn.XLOOKUP(A385,[1]ForwardDeriv!$D:$D,[1]ForwardDeriv!$AJ:$AJ)</f>
        <v>-0.25999999999999801</v>
      </c>
      <c r="J385" cm="1">
        <f t="array" ref="J385">_xlfn.XLOOKUP(TEXT(A385, "mmm-yy"), TEXT([2]GASOLINE!$B$5:$B$208, "mmm-yy"), [2]GASOLINE!$IR$5:$IR$208, "Not Found")</f>
        <v>195.19134621435211</v>
      </c>
      <c r="K385" cm="1">
        <f t="array" ref="K385">_xlfn.XLOOKUP(TEXT(A385, "mmm-yy"), TEXT([2]GASOLINE!$B$5:$B$208, "mmm-yy"), [2]GASOLINE!$IK$5:$IK$208, "Not Found")</f>
        <v>0</v>
      </c>
      <c r="L385">
        <f t="shared" si="5"/>
        <v>1</v>
      </c>
      <c r="M385" cm="1">
        <f t="array" ref="M385">_xlfn.XLOOKUP(TEXT(A385, "mmm-yy"), TEXT([2]GASOLINE!$B$5:$B$208, "mmm-yy"), [2]GASOLINE!$C$5:$C$208, "Not Found")</f>
        <v>6711.6585524991324</v>
      </c>
      <c r="N385" cm="1">
        <f t="array" ref="N385">_xlfn.XLOOKUP(TEXT(A385, "mmm-yy"), TEXT([2]RUNS!$B$5:$B$208, "mmm-yy"), [2]RUNS!$BM$5:$BM$208, "Not Found")</f>
        <v>0.82046877975837051</v>
      </c>
    </row>
    <row r="386" spans="1:14" x14ac:dyDescent="0.25">
      <c r="A386" s="1">
        <f>'[1]Global_Spot Prices'!$B1695</f>
        <v>42543</v>
      </c>
      <c r="B386">
        <f>_xlfn.XLOOKUP(A386,'[1]Global_Spot Prices'!$B:$B,'[1]Global_Spot Prices'!$BS:$BS)</f>
        <v>11.219999999999999</v>
      </c>
      <c r="C386">
        <f>_xlfn.XLOOKUP(A386,'[1]Global_Spot Prices'!$B:$B,'[1]Global_Spot Prices'!$E:$E)</f>
        <v>47.03</v>
      </c>
      <c r="D386">
        <f>_xlfn.XLOOKUP(A386,'[1]Global_Spot Prices'!$B:$B,'[1]Global_Spot Prices'!$D:$D)</f>
        <v>48.465000000000003</v>
      </c>
      <c r="E386">
        <f>_xlfn.XLOOKUP(A386,'[1]Global_Spot Prices'!$B:$B,'[1]Global_Spot Prices'!$H:$H)</f>
        <v>46.72</v>
      </c>
      <c r="F386">
        <f>_xlfn.XLOOKUP(A386,'[1]Global_Spot Prices'!$B:$B,'[1]Global_Spot Prices'!$I:$I)</f>
        <v>58.25</v>
      </c>
      <c r="G386" cm="1">
        <f t="array" ref="G386">_xlfn.XLOOKUP(TEXT(A386, "mmm-yy"), TEXT([2]RUNS!$B$5:$B$208, "mmm-yy"), [2]RUNS!$D$5:$D$208, "Not Found")</f>
        <v>27604.918235604306</v>
      </c>
      <c r="H386" cm="1">
        <f t="array" ref="H386">SUMPRODUCT(
    --(TEXT('[3]Global Weekly Stock (EWSuez'!$B$4:$B$2000,"mmm-yy")=TEXT(A386,"mmm-yy")),
    '[3]Global Weekly Stock (EWSuez'!$E$4:$E$2000)
/
SUMPRODUCT(
    --(TEXT('[3]Global Weekly Stock (EWSuez'!$B$4:$B$2000,"mmm-yy")=TEXT(A386,"mmm-yy"))
)</f>
        <v>13233</v>
      </c>
      <c r="I386">
        <f>_xlfn.XLOOKUP(A386,[1]ForwardDeriv!$D:$D,[1]ForwardDeriv!$AJ:$AJ)</f>
        <v>-0.17999999999999972</v>
      </c>
      <c r="J386" cm="1">
        <f t="array" ref="J386">_xlfn.XLOOKUP(TEXT(A386, "mmm-yy"), TEXT([2]GASOLINE!$B$5:$B$208, "mmm-yy"), [2]GASOLINE!$IR$5:$IR$208, "Not Found")</f>
        <v>195.19134621435211</v>
      </c>
      <c r="K386" cm="1">
        <f t="array" ref="K386">_xlfn.XLOOKUP(TEXT(A386, "mmm-yy"), TEXT([2]GASOLINE!$B$5:$B$208, "mmm-yy"), [2]GASOLINE!$IK$5:$IK$208, "Not Found")</f>
        <v>0</v>
      </c>
      <c r="L386">
        <f t="shared" si="5"/>
        <v>1</v>
      </c>
      <c r="M386" cm="1">
        <f t="array" ref="M386">_xlfn.XLOOKUP(TEXT(A386, "mmm-yy"), TEXT([2]GASOLINE!$B$5:$B$208, "mmm-yy"), [2]GASOLINE!$C$5:$C$208, "Not Found")</f>
        <v>6711.6585524991324</v>
      </c>
      <c r="N386" cm="1">
        <f t="array" ref="N386">_xlfn.XLOOKUP(TEXT(A386, "mmm-yy"), TEXT([2]RUNS!$B$5:$B$208, "mmm-yy"), [2]RUNS!$BM$5:$BM$208, "Not Found")</f>
        <v>0.82046877975837051</v>
      </c>
    </row>
    <row r="387" spans="1:14" x14ac:dyDescent="0.25">
      <c r="A387" s="1">
        <f>'[1]Global_Spot Prices'!$B1696</f>
        <v>42544</v>
      </c>
      <c r="B387">
        <f>_xlfn.XLOOKUP(A387,'[1]Global_Spot Prices'!$B:$B,'[1]Global_Spot Prices'!$BS:$BS)</f>
        <v>11.18</v>
      </c>
      <c r="C387">
        <f>_xlfn.XLOOKUP(A387,'[1]Global_Spot Prices'!$B:$B,'[1]Global_Spot Prices'!$E:$E)</f>
        <v>46.45</v>
      </c>
      <c r="D387">
        <f>_xlfn.XLOOKUP(A387,'[1]Global_Spot Prices'!$B:$B,'[1]Global_Spot Prices'!$D:$D)</f>
        <v>48.89</v>
      </c>
      <c r="E387">
        <f>_xlfn.XLOOKUP(A387,'[1]Global_Spot Prices'!$B:$B,'[1]Global_Spot Prices'!$H:$H)</f>
        <v>46.09</v>
      </c>
      <c r="F387">
        <f>_xlfn.XLOOKUP(A387,'[1]Global_Spot Prices'!$B:$B,'[1]Global_Spot Prices'!$I:$I)</f>
        <v>57.63</v>
      </c>
      <c r="G387" cm="1">
        <f t="array" ref="G387">_xlfn.XLOOKUP(TEXT(A387, "mmm-yy"), TEXT([2]RUNS!$B$5:$B$208, "mmm-yy"), [2]RUNS!$D$5:$D$208, "Not Found")</f>
        <v>27604.918235604306</v>
      </c>
      <c r="H387" cm="1">
        <f t="array" ref="H387">SUMPRODUCT(
    --(TEXT('[3]Global Weekly Stock (EWSuez'!$B$4:$B$2000,"mmm-yy")=TEXT(A387,"mmm-yy")),
    '[3]Global Weekly Stock (EWSuez'!$E$4:$E$2000)
/
SUMPRODUCT(
    --(TEXT('[3]Global Weekly Stock (EWSuez'!$B$4:$B$2000,"mmm-yy")=TEXT(A387,"mmm-yy"))
)</f>
        <v>13233</v>
      </c>
      <c r="I387">
        <f>_xlfn.XLOOKUP(A387,[1]ForwardDeriv!$D:$D,[1]ForwardDeriv!$AJ:$AJ)</f>
        <v>-4.9999999999997158E-2</v>
      </c>
      <c r="J387" cm="1">
        <f t="array" ref="J387">_xlfn.XLOOKUP(TEXT(A387, "mmm-yy"), TEXT([2]GASOLINE!$B$5:$B$208, "mmm-yy"), [2]GASOLINE!$IR$5:$IR$208, "Not Found")</f>
        <v>195.19134621435211</v>
      </c>
      <c r="K387" cm="1">
        <f t="array" ref="K387">_xlfn.XLOOKUP(TEXT(A387, "mmm-yy"), TEXT([2]GASOLINE!$B$5:$B$208, "mmm-yy"), [2]GASOLINE!$IK$5:$IK$208, "Not Found")</f>
        <v>0</v>
      </c>
      <c r="L387">
        <f t="shared" ref="L387:L450" si="6">IF(OR(MONTH(A387)=6, MONTH(A387)=7, MONTH(A387)=8, MONTH(A387)=9), 1, 0)</f>
        <v>1</v>
      </c>
      <c r="M387" cm="1">
        <f t="array" ref="M387">_xlfn.XLOOKUP(TEXT(A387, "mmm-yy"), TEXT([2]GASOLINE!$B$5:$B$208, "mmm-yy"), [2]GASOLINE!$C$5:$C$208, "Not Found")</f>
        <v>6711.6585524991324</v>
      </c>
      <c r="N387" cm="1">
        <f t="array" ref="N387">_xlfn.XLOOKUP(TEXT(A387, "mmm-yy"), TEXT([2]RUNS!$B$5:$B$208, "mmm-yy"), [2]RUNS!$BM$5:$BM$208, "Not Found")</f>
        <v>0.82046877975837051</v>
      </c>
    </row>
    <row r="388" spans="1:14" x14ac:dyDescent="0.25">
      <c r="A388" s="1">
        <f>'[1]Global_Spot Prices'!$B1697</f>
        <v>42545</v>
      </c>
      <c r="B388">
        <f>_xlfn.XLOOKUP(A388,'[1]Global_Spot Prices'!$B:$B,'[1]Global_Spot Prices'!$BS:$BS)</f>
        <v>10.560000000000002</v>
      </c>
      <c r="C388">
        <f>_xlfn.XLOOKUP(A388,'[1]Global_Spot Prices'!$B:$B,'[1]Global_Spot Prices'!$E:$E)</f>
        <v>45.39</v>
      </c>
      <c r="D388">
        <f>_xlfn.XLOOKUP(A388,'[1]Global_Spot Prices'!$B:$B,'[1]Global_Spot Prices'!$D:$D)</f>
        <v>47.48</v>
      </c>
      <c r="E388">
        <f>_xlfn.XLOOKUP(A388,'[1]Global_Spot Prices'!$B:$B,'[1]Global_Spot Prices'!$H:$H)</f>
        <v>45.11</v>
      </c>
      <c r="F388">
        <f>_xlfn.XLOOKUP(A388,'[1]Global_Spot Prices'!$B:$B,'[1]Global_Spot Prices'!$I:$I)</f>
        <v>55.95</v>
      </c>
      <c r="G388" cm="1">
        <f t="array" ref="G388">_xlfn.XLOOKUP(TEXT(A388, "mmm-yy"), TEXT([2]RUNS!$B$5:$B$208, "mmm-yy"), [2]RUNS!$D$5:$D$208, "Not Found")</f>
        <v>27604.918235604306</v>
      </c>
      <c r="H388" cm="1">
        <f t="array" ref="H388">SUMPRODUCT(
    --(TEXT('[3]Global Weekly Stock (EWSuez'!$B$4:$B$2000,"mmm-yy")=TEXT(A388,"mmm-yy")),
    '[3]Global Weekly Stock (EWSuez'!$E$4:$E$2000)
/
SUMPRODUCT(
    --(TEXT('[3]Global Weekly Stock (EWSuez'!$B$4:$B$2000,"mmm-yy")=TEXT(A388,"mmm-yy"))
)</f>
        <v>13233</v>
      </c>
      <c r="I388">
        <f>_xlfn.XLOOKUP(A388,[1]ForwardDeriv!$D:$D,[1]ForwardDeriv!$AJ:$AJ)</f>
        <v>-0.14999999999999858</v>
      </c>
      <c r="J388" cm="1">
        <f t="array" ref="J388">_xlfn.XLOOKUP(TEXT(A388, "mmm-yy"), TEXT([2]GASOLINE!$B$5:$B$208, "mmm-yy"), [2]GASOLINE!$IR$5:$IR$208, "Not Found")</f>
        <v>195.19134621435211</v>
      </c>
      <c r="K388" cm="1">
        <f t="array" ref="K388">_xlfn.XLOOKUP(TEXT(A388, "mmm-yy"), TEXT([2]GASOLINE!$B$5:$B$208, "mmm-yy"), [2]GASOLINE!$IK$5:$IK$208, "Not Found")</f>
        <v>0</v>
      </c>
      <c r="L388">
        <f t="shared" si="6"/>
        <v>1</v>
      </c>
      <c r="M388" cm="1">
        <f t="array" ref="M388">_xlfn.XLOOKUP(TEXT(A388, "mmm-yy"), TEXT([2]GASOLINE!$B$5:$B$208, "mmm-yy"), [2]GASOLINE!$C$5:$C$208, "Not Found")</f>
        <v>6711.6585524991324</v>
      </c>
      <c r="N388" cm="1">
        <f t="array" ref="N388">_xlfn.XLOOKUP(TEXT(A388, "mmm-yy"), TEXT([2]RUNS!$B$5:$B$208, "mmm-yy"), [2]RUNS!$BM$5:$BM$208, "Not Found")</f>
        <v>0.82046877975837051</v>
      </c>
    </row>
    <row r="389" spans="1:14" x14ac:dyDescent="0.25">
      <c r="A389" s="1">
        <f>'[1]Global_Spot Prices'!$B1698</f>
        <v>42548</v>
      </c>
      <c r="B389">
        <f>_xlfn.XLOOKUP(A389,'[1]Global_Spot Prices'!$B:$B,'[1]Global_Spot Prices'!$BS:$BS)</f>
        <v>10.340000000000003</v>
      </c>
      <c r="C389">
        <f>_xlfn.XLOOKUP(A389,'[1]Global_Spot Prices'!$B:$B,'[1]Global_Spot Prices'!$E:$E)</f>
        <v>45.05</v>
      </c>
      <c r="D389">
        <f>_xlfn.XLOOKUP(A389,'[1]Global_Spot Prices'!$B:$B,'[1]Global_Spot Prices'!$D:$D)</f>
        <v>45.87</v>
      </c>
      <c r="E389">
        <f>_xlfn.XLOOKUP(A389,'[1]Global_Spot Prices'!$B:$B,'[1]Global_Spot Prices'!$H:$H)</f>
        <v>44.64</v>
      </c>
      <c r="F389">
        <f>_xlfn.XLOOKUP(A389,'[1]Global_Spot Prices'!$B:$B,'[1]Global_Spot Prices'!$I:$I)</f>
        <v>55.39</v>
      </c>
      <c r="G389" cm="1">
        <f t="array" ref="G389">_xlfn.XLOOKUP(TEXT(A389, "mmm-yy"), TEXT([2]RUNS!$B$5:$B$208, "mmm-yy"), [2]RUNS!$D$5:$D$208, "Not Found")</f>
        <v>27604.918235604306</v>
      </c>
      <c r="H389" cm="1">
        <f t="array" ref="H389">SUMPRODUCT(
    --(TEXT('[3]Global Weekly Stock (EWSuez'!$B$4:$B$2000,"mmm-yy")=TEXT(A389,"mmm-yy")),
    '[3]Global Weekly Stock (EWSuez'!$E$4:$E$2000)
/
SUMPRODUCT(
    --(TEXT('[3]Global Weekly Stock (EWSuez'!$B$4:$B$2000,"mmm-yy")=TEXT(A389,"mmm-yy"))
)</f>
        <v>13233</v>
      </c>
      <c r="I389">
        <f>_xlfn.XLOOKUP(A389,[1]ForwardDeriv!$D:$D,[1]ForwardDeriv!$AJ:$AJ)</f>
        <v>-0.18999999999999773</v>
      </c>
      <c r="J389" cm="1">
        <f t="array" ref="J389">_xlfn.XLOOKUP(TEXT(A389, "mmm-yy"), TEXT([2]GASOLINE!$B$5:$B$208, "mmm-yy"), [2]GASOLINE!$IR$5:$IR$208, "Not Found")</f>
        <v>195.19134621435211</v>
      </c>
      <c r="K389" cm="1">
        <f t="array" ref="K389">_xlfn.XLOOKUP(TEXT(A389, "mmm-yy"), TEXT([2]GASOLINE!$B$5:$B$208, "mmm-yy"), [2]GASOLINE!$IK$5:$IK$208, "Not Found")</f>
        <v>0</v>
      </c>
      <c r="L389">
        <f t="shared" si="6"/>
        <v>1</v>
      </c>
      <c r="M389" cm="1">
        <f t="array" ref="M389">_xlfn.XLOOKUP(TEXT(A389, "mmm-yy"), TEXT([2]GASOLINE!$B$5:$B$208, "mmm-yy"), [2]GASOLINE!$C$5:$C$208, "Not Found")</f>
        <v>6711.6585524991324</v>
      </c>
      <c r="N389" cm="1">
        <f t="array" ref="N389">_xlfn.XLOOKUP(TEXT(A389, "mmm-yy"), TEXT([2]RUNS!$B$5:$B$208, "mmm-yy"), [2]RUNS!$BM$5:$BM$208, "Not Found")</f>
        <v>0.82046877975837051</v>
      </c>
    </row>
    <row r="390" spans="1:14" x14ac:dyDescent="0.25">
      <c r="A390" s="1">
        <f>'[1]Global_Spot Prices'!$B1699</f>
        <v>42549</v>
      </c>
      <c r="B390">
        <f>_xlfn.XLOOKUP(A390,'[1]Global_Spot Prices'!$B:$B,'[1]Global_Spot Prices'!$BS:$BS)</f>
        <v>9.7299999999999969</v>
      </c>
      <c r="C390">
        <f>_xlfn.XLOOKUP(A390,'[1]Global_Spot Prices'!$B:$B,'[1]Global_Spot Prices'!$E:$E)</f>
        <v>44.5</v>
      </c>
      <c r="D390">
        <f>_xlfn.XLOOKUP(A390,'[1]Global_Spot Prices'!$B:$B,'[1]Global_Spot Prices'!$D:$D)</f>
        <v>46.58</v>
      </c>
      <c r="E390">
        <f>_xlfn.XLOOKUP(A390,'[1]Global_Spot Prices'!$B:$B,'[1]Global_Spot Prices'!$H:$H)</f>
        <v>44.42</v>
      </c>
      <c r="F390">
        <f>_xlfn.XLOOKUP(A390,'[1]Global_Spot Prices'!$B:$B,'[1]Global_Spot Prices'!$I:$I)</f>
        <v>54.23</v>
      </c>
      <c r="G390" cm="1">
        <f t="array" ref="G390">_xlfn.XLOOKUP(TEXT(A390, "mmm-yy"), TEXT([2]RUNS!$B$5:$B$208, "mmm-yy"), [2]RUNS!$D$5:$D$208, "Not Found")</f>
        <v>27604.918235604306</v>
      </c>
      <c r="H390" cm="1">
        <f t="array" ref="H390">SUMPRODUCT(
    --(TEXT('[3]Global Weekly Stock (EWSuez'!$B$4:$B$2000,"mmm-yy")=TEXT(A390,"mmm-yy")),
    '[3]Global Weekly Stock (EWSuez'!$E$4:$E$2000)
/
SUMPRODUCT(
    --(TEXT('[3]Global Weekly Stock (EWSuez'!$B$4:$B$2000,"mmm-yy")=TEXT(A390,"mmm-yy"))
)</f>
        <v>13233</v>
      </c>
      <c r="I390">
        <f>_xlfn.XLOOKUP(A390,[1]ForwardDeriv!$D:$D,[1]ForwardDeriv!$AJ:$AJ)</f>
        <v>-0.31000000000000227</v>
      </c>
      <c r="J390" cm="1">
        <f t="array" ref="J390">_xlfn.XLOOKUP(TEXT(A390, "mmm-yy"), TEXT([2]GASOLINE!$B$5:$B$208, "mmm-yy"), [2]GASOLINE!$IR$5:$IR$208, "Not Found")</f>
        <v>195.19134621435211</v>
      </c>
      <c r="K390" cm="1">
        <f t="array" ref="K390">_xlfn.XLOOKUP(TEXT(A390, "mmm-yy"), TEXT([2]GASOLINE!$B$5:$B$208, "mmm-yy"), [2]GASOLINE!$IK$5:$IK$208, "Not Found")</f>
        <v>0</v>
      </c>
      <c r="L390">
        <f t="shared" si="6"/>
        <v>1</v>
      </c>
      <c r="M390" cm="1">
        <f t="array" ref="M390">_xlfn.XLOOKUP(TEXT(A390, "mmm-yy"), TEXT([2]GASOLINE!$B$5:$B$208, "mmm-yy"), [2]GASOLINE!$C$5:$C$208, "Not Found")</f>
        <v>6711.6585524991324</v>
      </c>
      <c r="N390" cm="1">
        <f t="array" ref="N390">_xlfn.XLOOKUP(TEXT(A390, "mmm-yy"), TEXT([2]RUNS!$B$5:$B$208, "mmm-yy"), [2]RUNS!$BM$5:$BM$208, "Not Found")</f>
        <v>0.82046877975837051</v>
      </c>
    </row>
    <row r="391" spans="1:14" x14ac:dyDescent="0.25">
      <c r="A391" s="1">
        <f>'[1]Global_Spot Prices'!$B1700</f>
        <v>42550</v>
      </c>
      <c r="B391">
        <f>_xlfn.XLOOKUP(A391,'[1]Global_Spot Prices'!$B:$B,'[1]Global_Spot Prices'!$BS:$BS)</f>
        <v>9.1000000000000014</v>
      </c>
      <c r="C391">
        <f>_xlfn.XLOOKUP(A391,'[1]Global_Spot Prices'!$B:$B,'[1]Global_Spot Prices'!$E:$E)</f>
        <v>45.69</v>
      </c>
      <c r="D391">
        <f>_xlfn.XLOOKUP(A391,'[1]Global_Spot Prices'!$B:$B,'[1]Global_Spot Prices'!$D:$D)</f>
        <v>48.884999999999998</v>
      </c>
      <c r="E391">
        <f>_xlfn.XLOOKUP(A391,'[1]Global_Spot Prices'!$B:$B,'[1]Global_Spot Prices'!$H:$H)</f>
        <v>45.03</v>
      </c>
      <c r="F391">
        <f>_xlfn.XLOOKUP(A391,'[1]Global_Spot Prices'!$B:$B,'[1]Global_Spot Prices'!$I:$I)</f>
        <v>54.79</v>
      </c>
      <c r="G391" cm="1">
        <f t="array" ref="G391">_xlfn.XLOOKUP(TEXT(A391, "mmm-yy"), TEXT([2]RUNS!$B$5:$B$208, "mmm-yy"), [2]RUNS!$D$5:$D$208, "Not Found")</f>
        <v>27604.918235604306</v>
      </c>
      <c r="H391" cm="1">
        <f t="array" ref="H391">SUMPRODUCT(
    --(TEXT('[3]Global Weekly Stock (EWSuez'!$B$4:$B$2000,"mmm-yy")=TEXT(A391,"mmm-yy")),
    '[3]Global Weekly Stock (EWSuez'!$E$4:$E$2000)
/
SUMPRODUCT(
    --(TEXT('[3]Global Weekly Stock (EWSuez'!$B$4:$B$2000,"mmm-yy")=TEXT(A391,"mmm-yy"))
)</f>
        <v>13233</v>
      </c>
      <c r="I391">
        <f>_xlfn.XLOOKUP(A391,[1]ForwardDeriv!$D:$D,[1]ForwardDeriv!$AJ:$AJ)</f>
        <v>-0.36999999999999744</v>
      </c>
      <c r="J391" cm="1">
        <f t="array" ref="J391">_xlfn.XLOOKUP(TEXT(A391, "mmm-yy"), TEXT([2]GASOLINE!$B$5:$B$208, "mmm-yy"), [2]GASOLINE!$IR$5:$IR$208, "Not Found")</f>
        <v>195.19134621435211</v>
      </c>
      <c r="K391" cm="1">
        <f t="array" ref="K391">_xlfn.XLOOKUP(TEXT(A391, "mmm-yy"), TEXT([2]GASOLINE!$B$5:$B$208, "mmm-yy"), [2]GASOLINE!$IK$5:$IK$208, "Not Found")</f>
        <v>0</v>
      </c>
      <c r="L391">
        <f t="shared" si="6"/>
        <v>1</v>
      </c>
      <c r="M391" cm="1">
        <f t="array" ref="M391">_xlfn.XLOOKUP(TEXT(A391, "mmm-yy"), TEXT([2]GASOLINE!$B$5:$B$208, "mmm-yy"), [2]GASOLINE!$C$5:$C$208, "Not Found")</f>
        <v>6711.6585524991324</v>
      </c>
      <c r="N391" cm="1">
        <f t="array" ref="N391">_xlfn.XLOOKUP(TEXT(A391, "mmm-yy"), TEXT([2]RUNS!$B$5:$B$208, "mmm-yy"), [2]RUNS!$BM$5:$BM$208, "Not Found")</f>
        <v>0.82046877975837051</v>
      </c>
    </row>
    <row r="392" spans="1:14" x14ac:dyDescent="0.25">
      <c r="A392" s="1">
        <f>'[1]Global_Spot Prices'!$B1701</f>
        <v>42551</v>
      </c>
      <c r="B392">
        <f>_xlfn.XLOOKUP(A392,'[1]Global_Spot Prices'!$B:$B,'[1]Global_Spot Prices'!$BS:$BS)</f>
        <v>8.7000000000000028</v>
      </c>
      <c r="C392">
        <f>_xlfn.XLOOKUP(A392,'[1]Global_Spot Prices'!$B:$B,'[1]Global_Spot Prices'!$E:$E)</f>
        <v>46.4</v>
      </c>
      <c r="D392">
        <f>_xlfn.XLOOKUP(A392,'[1]Global_Spot Prices'!$B:$B,'[1]Global_Spot Prices'!$D:$D)</f>
        <v>48.44</v>
      </c>
      <c r="E392">
        <f>_xlfn.XLOOKUP(A392,'[1]Global_Spot Prices'!$B:$B,'[1]Global_Spot Prices'!$H:$H)</f>
        <v>45</v>
      </c>
      <c r="F392">
        <f>_xlfn.XLOOKUP(A392,'[1]Global_Spot Prices'!$B:$B,'[1]Global_Spot Prices'!$I:$I)</f>
        <v>55.1</v>
      </c>
      <c r="G392" cm="1">
        <f t="array" ref="G392">_xlfn.XLOOKUP(TEXT(A392, "mmm-yy"), TEXT([2]RUNS!$B$5:$B$208, "mmm-yy"), [2]RUNS!$D$5:$D$208, "Not Found")</f>
        <v>27604.918235604306</v>
      </c>
      <c r="H392" cm="1">
        <f t="array" ref="H392">SUMPRODUCT(
    --(TEXT('[3]Global Weekly Stock (EWSuez'!$B$4:$B$2000,"mmm-yy")=TEXT(A392,"mmm-yy")),
    '[3]Global Weekly Stock (EWSuez'!$E$4:$E$2000)
/
SUMPRODUCT(
    --(TEXT('[3]Global Weekly Stock (EWSuez'!$B$4:$B$2000,"mmm-yy")=TEXT(A392,"mmm-yy"))
)</f>
        <v>13233</v>
      </c>
      <c r="I392">
        <f>_xlfn.XLOOKUP(A392,[1]ForwardDeriv!$D:$D,[1]ForwardDeriv!$AJ:$AJ)</f>
        <v>-0.39000000000000057</v>
      </c>
      <c r="J392" cm="1">
        <f t="array" ref="J392">_xlfn.XLOOKUP(TEXT(A392, "mmm-yy"), TEXT([2]GASOLINE!$B$5:$B$208, "mmm-yy"), [2]GASOLINE!$IR$5:$IR$208, "Not Found")</f>
        <v>195.19134621435211</v>
      </c>
      <c r="K392" cm="1">
        <f t="array" ref="K392">_xlfn.XLOOKUP(TEXT(A392, "mmm-yy"), TEXT([2]GASOLINE!$B$5:$B$208, "mmm-yy"), [2]GASOLINE!$IK$5:$IK$208, "Not Found")</f>
        <v>0</v>
      </c>
      <c r="L392">
        <f t="shared" si="6"/>
        <v>1</v>
      </c>
      <c r="M392" cm="1">
        <f t="array" ref="M392">_xlfn.XLOOKUP(TEXT(A392, "mmm-yy"), TEXT([2]GASOLINE!$B$5:$B$208, "mmm-yy"), [2]GASOLINE!$C$5:$C$208, "Not Found")</f>
        <v>6711.6585524991324</v>
      </c>
      <c r="N392" cm="1">
        <f t="array" ref="N392">_xlfn.XLOOKUP(TEXT(A392, "mmm-yy"), TEXT([2]RUNS!$B$5:$B$208, "mmm-yy"), [2]RUNS!$BM$5:$BM$208, "Not Found")</f>
        <v>0.82046877975837051</v>
      </c>
    </row>
    <row r="393" spans="1:14" x14ac:dyDescent="0.25">
      <c r="A393" s="1">
        <f>'[1]Global_Spot Prices'!$B1702</f>
        <v>42552</v>
      </c>
      <c r="B393">
        <f>_xlfn.XLOOKUP(A393,'[1]Global_Spot Prices'!$B:$B,'[1]Global_Spot Prices'!$BS:$BS)</f>
        <v>8.2099999999999937</v>
      </c>
      <c r="C393">
        <f>_xlfn.XLOOKUP(A393,'[1]Global_Spot Prices'!$B:$B,'[1]Global_Spot Prices'!$E:$E)</f>
        <v>45.2</v>
      </c>
      <c r="D393">
        <f>_xlfn.XLOOKUP(A393,'[1]Global_Spot Prices'!$B:$B,'[1]Global_Spot Prices'!$D:$D)</f>
        <v>48.06</v>
      </c>
      <c r="E393">
        <f>_xlfn.XLOOKUP(A393,'[1]Global_Spot Prices'!$B:$B,'[1]Global_Spot Prices'!$H:$H)</f>
        <v>44.73</v>
      </c>
      <c r="F393">
        <f>_xlfn.XLOOKUP(A393,'[1]Global_Spot Prices'!$B:$B,'[1]Global_Spot Prices'!$I:$I)</f>
        <v>53.41</v>
      </c>
      <c r="G393" cm="1">
        <f t="array" ref="G393">_xlfn.XLOOKUP(TEXT(A393, "mmm-yy"), TEXT([2]RUNS!$B$5:$B$208, "mmm-yy"), [2]RUNS!$D$5:$D$208, "Not Found")</f>
        <v>27795.801908203499</v>
      </c>
      <c r="H393" cm="1">
        <f t="array" ref="H393">SUMPRODUCT(
    --(TEXT('[3]Global Weekly Stock (EWSuez'!$B$4:$B$2000,"mmm-yy")=TEXT(A393,"mmm-yy")),
    '[3]Global Weekly Stock (EWSuez'!$E$4:$E$2000)
/
SUMPRODUCT(
    --(TEXT('[3]Global Weekly Stock (EWSuez'!$B$4:$B$2000,"mmm-yy")=TEXT(A393,"mmm-yy"))
)</f>
        <v>14268</v>
      </c>
      <c r="I393">
        <f>_xlfn.XLOOKUP(A393,[1]ForwardDeriv!$D:$D,[1]ForwardDeriv!$AJ:$AJ)</f>
        <v>-0.60000000000000142</v>
      </c>
      <c r="J393" cm="1">
        <f t="array" ref="J393">_xlfn.XLOOKUP(TEXT(A393, "mmm-yy"), TEXT([2]GASOLINE!$B$5:$B$208, "mmm-yy"), [2]GASOLINE!$IR$5:$IR$208, "Not Found")</f>
        <v>23.260139605001086</v>
      </c>
      <c r="K393" cm="1">
        <f t="array" ref="K393">_xlfn.XLOOKUP(TEXT(A393, "mmm-yy"), TEXT([2]GASOLINE!$B$5:$B$208, "mmm-yy"), [2]GASOLINE!$IK$5:$IK$208, "Not Found")</f>
        <v>0</v>
      </c>
      <c r="L393">
        <f t="shared" si="6"/>
        <v>1</v>
      </c>
      <c r="M393" cm="1">
        <f t="array" ref="M393">_xlfn.XLOOKUP(TEXT(A393, "mmm-yy"), TEXT([2]GASOLINE!$B$5:$B$208, "mmm-yy"), [2]GASOLINE!$C$5:$C$208, "Not Found")</f>
        <v>6774.9721053148232</v>
      </c>
      <c r="N393" cm="1">
        <f t="array" ref="N393">_xlfn.XLOOKUP(TEXT(A393, "mmm-yy"), TEXT([2]RUNS!$B$5:$B$208, "mmm-yy"), [2]RUNS!$BM$5:$BM$208, "Not Found")</f>
        <v>0.82614219246680809</v>
      </c>
    </row>
    <row r="394" spans="1:14" x14ac:dyDescent="0.25">
      <c r="A394" s="1">
        <f>'[1]Global_Spot Prices'!$B1703</f>
        <v>42555</v>
      </c>
      <c r="B394">
        <f>_xlfn.XLOOKUP(A394,'[1]Global_Spot Prices'!$B:$B,'[1]Global_Spot Prices'!$BS:$BS)</f>
        <v>8.4899999999999949</v>
      </c>
      <c r="C394">
        <f>_xlfn.XLOOKUP(A394,'[1]Global_Spot Prices'!$B:$B,'[1]Global_Spot Prices'!$E:$E)</f>
        <v>46.13</v>
      </c>
      <c r="D394">
        <f>_xlfn.XLOOKUP(A394,'[1]Global_Spot Prices'!$B:$B,'[1]Global_Spot Prices'!$D:$D)</f>
        <v>48.01</v>
      </c>
      <c r="E394">
        <f>_xlfn.XLOOKUP(A394,'[1]Global_Spot Prices'!$B:$B,'[1]Global_Spot Prices'!$H:$H)</f>
        <v>45.83</v>
      </c>
      <c r="F394">
        <f>_xlfn.XLOOKUP(A394,'[1]Global_Spot Prices'!$B:$B,'[1]Global_Spot Prices'!$I:$I)</f>
        <v>54.62</v>
      </c>
      <c r="G394" cm="1">
        <f t="array" ref="G394">_xlfn.XLOOKUP(TEXT(A394, "mmm-yy"), TEXT([2]RUNS!$B$5:$B$208, "mmm-yy"), [2]RUNS!$D$5:$D$208, "Not Found")</f>
        <v>27795.801908203499</v>
      </c>
      <c r="H394" cm="1">
        <f t="array" ref="H394">SUMPRODUCT(
    --(TEXT('[3]Global Weekly Stock (EWSuez'!$B$4:$B$2000,"mmm-yy")=TEXT(A394,"mmm-yy")),
    '[3]Global Weekly Stock (EWSuez'!$E$4:$E$2000)
/
SUMPRODUCT(
    --(TEXT('[3]Global Weekly Stock (EWSuez'!$B$4:$B$2000,"mmm-yy")=TEXT(A394,"mmm-yy"))
)</f>
        <v>14268</v>
      </c>
      <c r="I394">
        <f>_xlfn.XLOOKUP(A394,[1]ForwardDeriv!$D:$D,[1]ForwardDeriv!$AJ:$AJ)</f>
        <v>-0.45000000000000284</v>
      </c>
      <c r="J394" cm="1">
        <f t="array" ref="J394">_xlfn.XLOOKUP(TEXT(A394, "mmm-yy"), TEXT([2]GASOLINE!$B$5:$B$208, "mmm-yy"), [2]GASOLINE!$IR$5:$IR$208, "Not Found")</f>
        <v>23.260139605001086</v>
      </c>
      <c r="K394" cm="1">
        <f t="array" ref="K394">_xlfn.XLOOKUP(TEXT(A394, "mmm-yy"), TEXT([2]GASOLINE!$B$5:$B$208, "mmm-yy"), [2]GASOLINE!$IK$5:$IK$208, "Not Found")</f>
        <v>0</v>
      </c>
      <c r="L394">
        <f t="shared" si="6"/>
        <v>1</v>
      </c>
      <c r="M394" cm="1">
        <f t="array" ref="M394">_xlfn.XLOOKUP(TEXT(A394, "mmm-yy"), TEXT([2]GASOLINE!$B$5:$B$208, "mmm-yy"), [2]GASOLINE!$C$5:$C$208, "Not Found")</f>
        <v>6774.9721053148232</v>
      </c>
      <c r="N394" cm="1">
        <f t="array" ref="N394">_xlfn.XLOOKUP(TEXT(A394, "mmm-yy"), TEXT([2]RUNS!$B$5:$B$208, "mmm-yy"), [2]RUNS!$BM$5:$BM$208, "Not Found")</f>
        <v>0.82614219246680809</v>
      </c>
    </row>
    <row r="395" spans="1:14" x14ac:dyDescent="0.25">
      <c r="A395" s="1">
        <f>'[1]Global_Spot Prices'!$B1704</f>
        <v>42556</v>
      </c>
      <c r="B395">
        <f>_xlfn.XLOOKUP(A395,'[1]Global_Spot Prices'!$B:$B,'[1]Global_Spot Prices'!$BS:$BS)</f>
        <v>8.3000000000000043</v>
      </c>
      <c r="C395">
        <f>_xlfn.XLOOKUP(A395,'[1]Global_Spot Prices'!$B:$B,'[1]Global_Spot Prices'!$E:$E)</f>
        <v>44.72</v>
      </c>
      <c r="D395">
        <f>_xlfn.XLOOKUP(A395,'[1]Global_Spot Prices'!$B:$B,'[1]Global_Spot Prices'!$D:$D)</f>
        <v>45.81</v>
      </c>
      <c r="E395">
        <f>_xlfn.XLOOKUP(A395,'[1]Global_Spot Prices'!$B:$B,'[1]Global_Spot Prices'!$H:$H)</f>
        <v>44.33</v>
      </c>
      <c r="F395">
        <f>_xlfn.XLOOKUP(A395,'[1]Global_Spot Prices'!$B:$B,'[1]Global_Spot Prices'!$I:$I)</f>
        <v>53.02</v>
      </c>
      <c r="G395" cm="1">
        <f t="array" ref="G395">_xlfn.XLOOKUP(TEXT(A395, "mmm-yy"), TEXT([2]RUNS!$B$5:$B$208, "mmm-yy"), [2]RUNS!$D$5:$D$208, "Not Found")</f>
        <v>27795.801908203499</v>
      </c>
      <c r="H395" cm="1">
        <f t="array" ref="H395">SUMPRODUCT(
    --(TEXT('[3]Global Weekly Stock (EWSuez'!$B$4:$B$2000,"mmm-yy")=TEXT(A395,"mmm-yy")),
    '[3]Global Weekly Stock (EWSuez'!$E$4:$E$2000)
/
SUMPRODUCT(
    --(TEXT('[3]Global Weekly Stock (EWSuez'!$B$4:$B$2000,"mmm-yy")=TEXT(A395,"mmm-yy"))
)</f>
        <v>14268</v>
      </c>
      <c r="I395">
        <f>_xlfn.XLOOKUP(A395,[1]ForwardDeriv!$D:$D,[1]ForwardDeriv!$AJ:$AJ)</f>
        <v>-0.50999999999999801</v>
      </c>
      <c r="J395" cm="1">
        <f t="array" ref="J395">_xlfn.XLOOKUP(TEXT(A395, "mmm-yy"), TEXT([2]GASOLINE!$B$5:$B$208, "mmm-yy"), [2]GASOLINE!$IR$5:$IR$208, "Not Found")</f>
        <v>23.260139605001086</v>
      </c>
      <c r="K395" cm="1">
        <f t="array" ref="K395">_xlfn.XLOOKUP(TEXT(A395, "mmm-yy"), TEXT([2]GASOLINE!$B$5:$B$208, "mmm-yy"), [2]GASOLINE!$IK$5:$IK$208, "Not Found")</f>
        <v>0</v>
      </c>
      <c r="L395">
        <f t="shared" si="6"/>
        <v>1</v>
      </c>
      <c r="M395" cm="1">
        <f t="array" ref="M395">_xlfn.XLOOKUP(TEXT(A395, "mmm-yy"), TEXT([2]GASOLINE!$B$5:$B$208, "mmm-yy"), [2]GASOLINE!$C$5:$C$208, "Not Found")</f>
        <v>6774.9721053148232</v>
      </c>
      <c r="N395" cm="1">
        <f t="array" ref="N395">_xlfn.XLOOKUP(TEXT(A395, "mmm-yy"), TEXT([2]RUNS!$B$5:$B$208, "mmm-yy"), [2]RUNS!$BM$5:$BM$208, "Not Found")</f>
        <v>0.82614219246680809</v>
      </c>
    </row>
    <row r="396" spans="1:14" x14ac:dyDescent="0.25">
      <c r="A396" s="1">
        <f>'[1]Global_Spot Prices'!$B1705</f>
        <v>42557</v>
      </c>
      <c r="B396" t="e">
        <f>_xlfn.XLOOKUP(A396,'[1]Global_Spot Prices'!$B:$B,'[1]Global_Spot Prices'!$BS:$BS)</f>
        <v>#N/A</v>
      </c>
      <c r="C396" t="str">
        <f>_xlfn.XLOOKUP(A396,'[1]Global_Spot Prices'!$B:$B,'[1]Global_Spot Prices'!$E:$E)</f>
        <v/>
      </c>
      <c r="D396">
        <f>_xlfn.XLOOKUP(A396,'[1]Global_Spot Prices'!$B:$B,'[1]Global_Spot Prices'!$D:$D)</f>
        <v>45.454999999999998</v>
      </c>
      <c r="E396">
        <f>_xlfn.XLOOKUP(A396,'[1]Global_Spot Prices'!$B:$B,'[1]Global_Spot Prices'!$H:$H)</f>
        <v>0</v>
      </c>
      <c r="F396">
        <f>_xlfn.XLOOKUP(A396,'[1]Global_Spot Prices'!$B:$B,'[1]Global_Spot Prices'!$I:$I)</f>
        <v>0</v>
      </c>
      <c r="G396" cm="1">
        <f t="array" ref="G396">_xlfn.XLOOKUP(TEXT(A396, "mmm-yy"), TEXT([2]RUNS!$B$5:$B$208, "mmm-yy"), [2]RUNS!$D$5:$D$208, "Not Found")</f>
        <v>27795.801908203499</v>
      </c>
      <c r="H396" cm="1">
        <f t="array" ref="H396">SUMPRODUCT(
    --(TEXT('[3]Global Weekly Stock (EWSuez'!$B$4:$B$2000,"mmm-yy")=TEXT(A396,"mmm-yy")),
    '[3]Global Weekly Stock (EWSuez'!$E$4:$E$2000)
/
SUMPRODUCT(
    --(TEXT('[3]Global Weekly Stock (EWSuez'!$B$4:$B$2000,"mmm-yy")=TEXT(A396,"mmm-yy"))
)</f>
        <v>14268</v>
      </c>
      <c r="I396">
        <f>_xlfn.XLOOKUP(A396,[1]ForwardDeriv!$D:$D,[1]ForwardDeriv!$AJ:$AJ)</f>
        <v>-0.69999999999999574</v>
      </c>
      <c r="J396" cm="1">
        <f t="array" ref="J396">_xlfn.XLOOKUP(TEXT(A396, "mmm-yy"), TEXT([2]GASOLINE!$B$5:$B$208, "mmm-yy"), [2]GASOLINE!$IR$5:$IR$208, "Not Found")</f>
        <v>23.260139605001086</v>
      </c>
      <c r="K396" cm="1">
        <f t="array" ref="K396">_xlfn.XLOOKUP(TEXT(A396, "mmm-yy"), TEXT([2]GASOLINE!$B$5:$B$208, "mmm-yy"), [2]GASOLINE!$IK$5:$IK$208, "Not Found")</f>
        <v>0</v>
      </c>
      <c r="L396">
        <f t="shared" si="6"/>
        <v>1</v>
      </c>
      <c r="M396" cm="1">
        <f t="array" ref="M396">_xlfn.XLOOKUP(TEXT(A396, "mmm-yy"), TEXT([2]GASOLINE!$B$5:$B$208, "mmm-yy"), [2]GASOLINE!$C$5:$C$208, "Not Found")</f>
        <v>6774.9721053148232</v>
      </c>
      <c r="N396" cm="1">
        <f t="array" ref="N396">_xlfn.XLOOKUP(TEXT(A396, "mmm-yy"), TEXT([2]RUNS!$B$5:$B$208, "mmm-yy"), [2]RUNS!$BM$5:$BM$208, "Not Found")</f>
        <v>0.82614219246680809</v>
      </c>
    </row>
    <row r="397" spans="1:14" x14ac:dyDescent="0.25">
      <c r="A397" s="1">
        <f>'[1]Global_Spot Prices'!$B1706</f>
        <v>42558</v>
      </c>
      <c r="B397">
        <f>_xlfn.XLOOKUP(A397,'[1]Global_Spot Prices'!$B:$B,'[1]Global_Spot Prices'!$BS:$BS)</f>
        <v>6.6999999999999957</v>
      </c>
      <c r="C397">
        <f>_xlfn.XLOOKUP(A397,'[1]Global_Spot Prices'!$B:$B,'[1]Global_Spot Prices'!$E:$E)</f>
        <v>44.7</v>
      </c>
      <c r="D397">
        <f>_xlfn.XLOOKUP(A397,'[1]Global_Spot Prices'!$B:$B,'[1]Global_Spot Prices'!$D:$D)</f>
        <v>45.86</v>
      </c>
      <c r="E397">
        <f>_xlfn.XLOOKUP(A397,'[1]Global_Spot Prices'!$B:$B,'[1]Global_Spot Prices'!$H:$H)</f>
        <v>44.45</v>
      </c>
      <c r="F397">
        <f>_xlfn.XLOOKUP(A397,'[1]Global_Spot Prices'!$B:$B,'[1]Global_Spot Prices'!$I:$I)</f>
        <v>51.4</v>
      </c>
      <c r="G397" cm="1">
        <f t="array" ref="G397">_xlfn.XLOOKUP(TEXT(A397, "mmm-yy"), TEXT([2]RUNS!$B$5:$B$208, "mmm-yy"), [2]RUNS!$D$5:$D$208, "Not Found")</f>
        <v>27795.801908203499</v>
      </c>
      <c r="H397" cm="1">
        <f t="array" ref="H397">SUMPRODUCT(
    --(TEXT('[3]Global Weekly Stock (EWSuez'!$B$4:$B$2000,"mmm-yy")=TEXT(A397,"mmm-yy")),
    '[3]Global Weekly Stock (EWSuez'!$E$4:$E$2000)
/
SUMPRODUCT(
    --(TEXT('[3]Global Weekly Stock (EWSuez'!$B$4:$B$2000,"mmm-yy")=TEXT(A397,"mmm-yy"))
)</f>
        <v>14268</v>
      </c>
      <c r="I397">
        <f>_xlfn.XLOOKUP(A397,[1]ForwardDeriv!$D:$D,[1]ForwardDeriv!$AJ:$AJ)</f>
        <v>-0.69999999999999574</v>
      </c>
      <c r="J397" cm="1">
        <f t="array" ref="J397">_xlfn.XLOOKUP(TEXT(A397, "mmm-yy"), TEXT([2]GASOLINE!$B$5:$B$208, "mmm-yy"), [2]GASOLINE!$IR$5:$IR$208, "Not Found")</f>
        <v>23.260139605001086</v>
      </c>
      <c r="K397" cm="1">
        <f t="array" ref="K397">_xlfn.XLOOKUP(TEXT(A397, "mmm-yy"), TEXT([2]GASOLINE!$B$5:$B$208, "mmm-yy"), [2]GASOLINE!$IK$5:$IK$208, "Not Found")</f>
        <v>0</v>
      </c>
      <c r="L397">
        <f t="shared" si="6"/>
        <v>1</v>
      </c>
      <c r="M397" cm="1">
        <f t="array" ref="M397">_xlfn.XLOOKUP(TEXT(A397, "mmm-yy"), TEXT([2]GASOLINE!$B$5:$B$208, "mmm-yy"), [2]GASOLINE!$C$5:$C$208, "Not Found")</f>
        <v>6774.9721053148232</v>
      </c>
      <c r="N397" cm="1">
        <f t="array" ref="N397">_xlfn.XLOOKUP(TEXT(A397, "mmm-yy"), TEXT([2]RUNS!$B$5:$B$208, "mmm-yy"), [2]RUNS!$BM$5:$BM$208, "Not Found")</f>
        <v>0.82614219246680809</v>
      </c>
    </row>
    <row r="398" spans="1:14" x14ac:dyDescent="0.25">
      <c r="A398" s="1">
        <f>'[1]Global_Spot Prices'!$B1707</f>
        <v>42559</v>
      </c>
      <c r="B398">
        <f>_xlfn.XLOOKUP(A398,'[1]Global_Spot Prices'!$B:$B,'[1]Global_Spot Prices'!$BS:$BS)</f>
        <v>6</v>
      </c>
      <c r="C398">
        <f>_xlfn.XLOOKUP(A398,'[1]Global_Spot Prices'!$B:$B,'[1]Global_Spot Prices'!$E:$E)</f>
        <v>42.49</v>
      </c>
      <c r="D398">
        <f>_xlfn.XLOOKUP(A398,'[1]Global_Spot Prices'!$B:$B,'[1]Global_Spot Prices'!$D:$D)</f>
        <v>44.615000000000002</v>
      </c>
      <c r="E398">
        <f>_xlfn.XLOOKUP(A398,'[1]Global_Spot Prices'!$B:$B,'[1]Global_Spot Prices'!$H:$H)</f>
        <v>42.36</v>
      </c>
      <c r="F398">
        <f>_xlfn.XLOOKUP(A398,'[1]Global_Spot Prices'!$B:$B,'[1]Global_Spot Prices'!$I:$I)</f>
        <v>48.49</v>
      </c>
      <c r="G398" cm="1">
        <f t="array" ref="G398">_xlfn.XLOOKUP(TEXT(A398, "mmm-yy"), TEXT([2]RUNS!$B$5:$B$208, "mmm-yy"), [2]RUNS!$D$5:$D$208, "Not Found")</f>
        <v>27795.801908203499</v>
      </c>
      <c r="H398" cm="1">
        <f t="array" ref="H398">SUMPRODUCT(
    --(TEXT('[3]Global Weekly Stock (EWSuez'!$B$4:$B$2000,"mmm-yy")=TEXT(A398,"mmm-yy")),
    '[3]Global Weekly Stock (EWSuez'!$E$4:$E$2000)
/
SUMPRODUCT(
    --(TEXT('[3]Global Weekly Stock (EWSuez'!$B$4:$B$2000,"mmm-yy")=TEXT(A398,"mmm-yy"))
)</f>
        <v>14268</v>
      </c>
      <c r="I398">
        <f>_xlfn.XLOOKUP(A398,[1]ForwardDeriv!$D:$D,[1]ForwardDeriv!$AJ:$AJ)</f>
        <v>-0.75</v>
      </c>
      <c r="J398" cm="1">
        <f t="array" ref="J398">_xlfn.XLOOKUP(TEXT(A398, "mmm-yy"), TEXT([2]GASOLINE!$B$5:$B$208, "mmm-yy"), [2]GASOLINE!$IR$5:$IR$208, "Not Found")</f>
        <v>23.260139605001086</v>
      </c>
      <c r="K398" cm="1">
        <f t="array" ref="K398">_xlfn.XLOOKUP(TEXT(A398, "mmm-yy"), TEXT([2]GASOLINE!$B$5:$B$208, "mmm-yy"), [2]GASOLINE!$IK$5:$IK$208, "Not Found")</f>
        <v>0</v>
      </c>
      <c r="L398">
        <f t="shared" si="6"/>
        <v>1</v>
      </c>
      <c r="M398" cm="1">
        <f t="array" ref="M398">_xlfn.XLOOKUP(TEXT(A398, "mmm-yy"), TEXT([2]GASOLINE!$B$5:$B$208, "mmm-yy"), [2]GASOLINE!$C$5:$C$208, "Not Found")</f>
        <v>6774.9721053148232</v>
      </c>
      <c r="N398" cm="1">
        <f t="array" ref="N398">_xlfn.XLOOKUP(TEXT(A398, "mmm-yy"), TEXT([2]RUNS!$B$5:$B$208, "mmm-yy"), [2]RUNS!$BM$5:$BM$208, "Not Found")</f>
        <v>0.82614219246680809</v>
      </c>
    </row>
    <row r="399" spans="1:14" x14ac:dyDescent="0.25">
      <c r="A399" s="1">
        <f>'[1]Global_Spot Prices'!$B1708</f>
        <v>42562</v>
      </c>
      <c r="B399">
        <f>_xlfn.XLOOKUP(A399,'[1]Global_Spot Prices'!$B:$B,'[1]Global_Spot Prices'!$BS:$BS)</f>
        <v>5.8900000000000006</v>
      </c>
      <c r="C399">
        <f>_xlfn.XLOOKUP(A399,'[1]Global_Spot Prices'!$B:$B,'[1]Global_Spot Prices'!$E:$E)</f>
        <v>41.95</v>
      </c>
      <c r="D399">
        <f>_xlfn.XLOOKUP(A399,'[1]Global_Spot Prices'!$B:$B,'[1]Global_Spot Prices'!$D:$D)</f>
        <v>44.734999999999999</v>
      </c>
      <c r="E399">
        <f>_xlfn.XLOOKUP(A399,'[1]Global_Spot Prices'!$B:$B,'[1]Global_Spot Prices'!$H:$H)</f>
        <v>41.84</v>
      </c>
      <c r="F399">
        <f>_xlfn.XLOOKUP(A399,'[1]Global_Spot Prices'!$B:$B,'[1]Global_Spot Prices'!$I:$I)</f>
        <v>47.84</v>
      </c>
      <c r="G399" cm="1">
        <f t="array" ref="G399">_xlfn.XLOOKUP(TEXT(A399, "mmm-yy"), TEXT([2]RUNS!$B$5:$B$208, "mmm-yy"), [2]RUNS!$D$5:$D$208, "Not Found")</f>
        <v>27795.801908203499</v>
      </c>
      <c r="H399" cm="1">
        <f t="array" ref="H399">SUMPRODUCT(
    --(TEXT('[3]Global Weekly Stock (EWSuez'!$B$4:$B$2000,"mmm-yy")=TEXT(A399,"mmm-yy")),
    '[3]Global Weekly Stock (EWSuez'!$E$4:$E$2000)
/
SUMPRODUCT(
    --(TEXT('[3]Global Weekly Stock (EWSuez'!$B$4:$B$2000,"mmm-yy")=TEXT(A399,"mmm-yy"))
)</f>
        <v>14268</v>
      </c>
      <c r="I399">
        <f>_xlfn.XLOOKUP(A399,[1]ForwardDeriv!$D:$D,[1]ForwardDeriv!$AJ:$AJ)</f>
        <v>-0.73000000000000398</v>
      </c>
      <c r="J399" cm="1">
        <f t="array" ref="J399">_xlfn.XLOOKUP(TEXT(A399, "mmm-yy"), TEXT([2]GASOLINE!$B$5:$B$208, "mmm-yy"), [2]GASOLINE!$IR$5:$IR$208, "Not Found")</f>
        <v>23.260139605001086</v>
      </c>
      <c r="K399" cm="1">
        <f t="array" ref="K399">_xlfn.XLOOKUP(TEXT(A399, "mmm-yy"), TEXT([2]GASOLINE!$B$5:$B$208, "mmm-yy"), [2]GASOLINE!$IK$5:$IK$208, "Not Found")</f>
        <v>0</v>
      </c>
      <c r="L399">
        <f t="shared" si="6"/>
        <v>1</v>
      </c>
      <c r="M399" cm="1">
        <f t="array" ref="M399">_xlfn.XLOOKUP(TEXT(A399, "mmm-yy"), TEXT([2]GASOLINE!$B$5:$B$208, "mmm-yy"), [2]GASOLINE!$C$5:$C$208, "Not Found")</f>
        <v>6774.9721053148232</v>
      </c>
      <c r="N399" cm="1">
        <f t="array" ref="N399">_xlfn.XLOOKUP(TEXT(A399, "mmm-yy"), TEXT([2]RUNS!$B$5:$B$208, "mmm-yy"), [2]RUNS!$BM$5:$BM$208, "Not Found")</f>
        <v>0.82614219246680809</v>
      </c>
    </row>
    <row r="400" spans="1:14" x14ac:dyDescent="0.25">
      <c r="A400" s="1">
        <f>'[1]Global_Spot Prices'!$B1709</f>
        <v>42563</v>
      </c>
      <c r="B400">
        <f>_xlfn.XLOOKUP(A400,'[1]Global_Spot Prices'!$B:$B,'[1]Global_Spot Prices'!$BS:$BS)</f>
        <v>7.1000000000000014</v>
      </c>
      <c r="C400">
        <f>_xlfn.XLOOKUP(A400,'[1]Global_Spot Prices'!$B:$B,'[1]Global_Spot Prices'!$E:$E)</f>
        <v>42.73</v>
      </c>
      <c r="D400">
        <f>_xlfn.XLOOKUP(A400,'[1]Global_Spot Prices'!$B:$B,'[1]Global_Spot Prices'!$D:$D)</f>
        <v>46.09</v>
      </c>
      <c r="E400">
        <f>_xlfn.XLOOKUP(A400,'[1]Global_Spot Prices'!$B:$B,'[1]Global_Spot Prices'!$H:$H)</f>
        <v>42.27</v>
      </c>
      <c r="F400">
        <f>_xlfn.XLOOKUP(A400,'[1]Global_Spot Prices'!$B:$B,'[1]Global_Spot Prices'!$I:$I)</f>
        <v>49.83</v>
      </c>
      <c r="G400" cm="1">
        <f t="array" ref="G400">_xlfn.XLOOKUP(TEXT(A400, "mmm-yy"), TEXT([2]RUNS!$B$5:$B$208, "mmm-yy"), [2]RUNS!$D$5:$D$208, "Not Found")</f>
        <v>27795.801908203499</v>
      </c>
      <c r="H400" cm="1">
        <f t="array" ref="H400">SUMPRODUCT(
    --(TEXT('[3]Global Weekly Stock (EWSuez'!$B$4:$B$2000,"mmm-yy")=TEXT(A400,"mmm-yy")),
    '[3]Global Weekly Stock (EWSuez'!$E$4:$E$2000)
/
SUMPRODUCT(
    --(TEXT('[3]Global Weekly Stock (EWSuez'!$B$4:$B$2000,"mmm-yy")=TEXT(A400,"mmm-yy"))
)</f>
        <v>14268</v>
      </c>
      <c r="I400">
        <f>_xlfn.XLOOKUP(A400,[1]ForwardDeriv!$D:$D,[1]ForwardDeriv!$AJ:$AJ)</f>
        <v>-0.57999999999999829</v>
      </c>
      <c r="J400" cm="1">
        <f t="array" ref="J400">_xlfn.XLOOKUP(TEXT(A400, "mmm-yy"), TEXT([2]GASOLINE!$B$5:$B$208, "mmm-yy"), [2]GASOLINE!$IR$5:$IR$208, "Not Found")</f>
        <v>23.260139605001086</v>
      </c>
      <c r="K400" cm="1">
        <f t="array" ref="K400">_xlfn.XLOOKUP(TEXT(A400, "mmm-yy"), TEXT([2]GASOLINE!$B$5:$B$208, "mmm-yy"), [2]GASOLINE!$IK$5:$IK$208, "Not Found")</f>
        <v>0</v>
      </c>
      <c r="L400">
        <f t="shared" si="6"/>
        <v>1</v>
      </c>
      <c r="M400" cm="1">
        <f t="array" ref="M400">_xlfn.XLOOKUP(TEXT(A400, "mmm-yy"), TEXT([2]GASOLINE!$B$5:$B$208, "mmm-yy"), [2]GASOLINE!$C$5:$C$208, "Not Found")</f>
        <v>6774.9721053148232</v>
      </c>
      <c r="N400" cm="1">
        <f t="array" ref="N400">_xlfn.XLOOKUP(TEXT(A400, "mmm-yy"), TEXT([2]RUNS!$B$5:$B$208, "mmm-yy"), [2]RUNS!$BM$5:$BM$208, "Not Found")</f>
        <v>0.82614219246680809</v>
      </c>
    </row>
    <row r="401" spans="1:14" x14ac:dyDescent="0.25">
      <c r="A401" s="1">
        <f>'[1]Global_Spot Prices'!$B1710</f>
        <v>42564</v>
      </c>
      <c r="B401">
        <f>_xlfn.XLOOKUP(A401,'[1]Global_Spot Prices'!$B:$B,'[1]Global_Spot Prices'!$BS:$BS)</f>
        <v>6.4200000000000017</v>
      </c>
      <c r="C401">
        <f>_xlfn.XLOOKUP(A401,'[1]Global_Spot Prices'!$B:$B,'[1]Global_Spot Prices'!$E:$E)</f>
        <v>43.35</v>
      </c>
      <c r="D401">
        <f>_xlfn.XLOOKUP(A401,'[1]Global_Spot Prices'!$B:$B,'[1]Global_Spot Prices'!$D:$D)</f>
        <v>44.78</v>
      </c>
      <c r="E401">
        <f>_xlfn.XLOOKUP(A401,'[1]Global_Spot Prices'!$B:$B,'[1]Global_Spot Prices'!$H:$H)</f>
        <v>42.43</v>
      </c>
      <c r="F401">
        <f>_xlfn.XLOOKUP(A401,'[1]Global_Spot Prices'!$B:$B,'[1]Global_Spot Prices'!$I:$I)</f>
        <v>49.77</v>
      </c>
      <c r="G401" cm="1">
        <f t="array" ref="G401">_xlfn.XLOOKUP(TEXT(A401, "mmm-yy"), TEXT([2]RUNS!$B$5:$B$208, "mmm-yy"), [2]RUNS!$D$5:$D$208, "Not Found")</f>
        <v>27795.801908203499</v>
      </c>
      <c r="H401" cm="1">
        <f t="array" ref="H401">SUMPRODUCT(
    --(TEXT('[3]Global Weekly Stock (EWSuez'!$B$4:$B$2000,"mmm-yy")=TEXT(A401,"mmm-yy")),
    '[3]Global Weekly Stock (EWSuez'!$E$4:$E$2000)
/
SUMPRODUCT(
    --(TEXT('[3]Global Weekly Stock (EWSuez'!$B$4:$B$2000,"mmm-yy")=TEXT(A401,"mmm-yy"))
)</f>
        <v>14268</v>
      </c>
      <c r="I401">
        <f>_xlfn.XLOOKUP(A401,[1]ForwardDeriv!$D:$D,[1]ForwardDeriv!$AJ:$AJ)</f>
        <v>-0.64999999999999858</v>
      </c>
      <c r="J401" cm="1">
        <f t="array" ref="J401">_xlfn.XLOOKUP(TEXT(A401, "mmm-yy"), TEXT([2]GASOLINE!$B$5:$B$208, "mmm-yy"), [2]GASOLINE!$IR$5:$IR$208, "Not Found")</f>
        <v>23.260139605001086</v>
      </c>
      <c r="K401" cm="1">
        <f t="array" ref="K401">_xlfn.XLOOKUP(TEXT(A401, "mmm-yy"), TEXT([2]GASOLINE!$B$5:$B$208, "mmm-yy"), [2]GASOLINE!$IK$5:$IK$208, "Not Found")</f>
        <v>0</v>
      </c>
      <c r="L401">
        <f t="shared" si="6"/>
        <v>1</v>
      </c>
      <c r="M401" cm="1">
        <f t="array" ref="M401">_xlfn.XLOOKUP(TEXT(A401, "mmm-yy"), TEXT([2]GASOLINE!$B$5:$B$208, "mmm-yy"), [2]GASOLINE!$C$5:$C$208, "Not Found")</f>
        <v>6774.9721053148232</v>
      </c>
      <c r="N401" cm="1">
        <f t="array" ref="N401">_xlfn.XLOOKUP(TEXT(A401, "mmm-yy"), TEXT([2]RUNS!$B$5:$B$208, "mmm-yy"), [2]RUNS!$BM$5:$BM$208, "Not Found")</f>
        <v>0.82614219246680809</v>
      </c>
    </row>
    <row r="402" spans="1:14" x14ac:dyDescent="0.25">
      <c r="A402" s="1">
        <f>'[1]Global_Spot Prices'!$B1711</f>
        <v>42565</v>
      </c>
      <c r="B402">
        <f>_xlfn.XLOOKUP(A402,'[1]Global_Spot Prices'!$B:$B,'[1]Global_Spot Prices'!$BS:$BS)</f>
        <v>7.32</v>
      </c>
      <c r="C402">
        <f>_xlfn.XLOOKUP(A402,'[1]Global_Spot Prices'!$B:$B,'[1]Global_Spot Prices'!$E:$E)</f>
        <v>42.33</v>
      </c>
      <c r="D402">
        <f>_xlfn.XLOOKUP(A402,'[1]Global_Spot Prices'!$B:$B,'[1]Global_Spot Prices'!$D:$D)</f>
        <v>46.11</v>
      </c>
      <c r="E402">
        <f>_xlfn.XLOOKUP(A402,'[1]Global_Spot Prices'!$B:$B,'[1]Global_Spot Prices'!$H:$H)</f>
        <v>41.46</v>
      </c>
      <c r="F402">
        <f>_xlfn.XLOOKUP(A402,'[1]Global_Spot Prices'!$B:$B,'[1]Global_Spot Prices'!$I:$I)</f>
        <v>49.65</v>
      </c>
      <c r="G402" cm="1">
        <f t="array" ref="G402">_xlfn.XLOOKUP(TEXT(A402, "mmm-yy"), TEXT([2]RUNS!$B$5:$B$208, "mmm-yy"), [2]RUNS!$D$5:$D$208, "Not Found")</f>
        <v>27795.801908203499</v>
      </c>
      <c r="H402" cm="1">
        <f t="array" ref="H402">SUMPRODUCT(
    --(TEXT('[3]Global Weekly Stock (EWSuez'!$B$4:$B$2000,"mmm-yy")=TEXT(A402,"mmm-yy")),
    '[3]Global Weekly Stock (EWSuez'!$E$4:$E$2000)
/
SUMPRODUCT(
    --(TEXT('[3]Global Weekly Stock (EWSuez'!$B$4:$B$2000,"mmm-yy")=TEXT(A402,"mmm-yy"))
)</f>
        <v>14268</v>
      </c>
      <c r="I402">
        <f>_xlfn.XLOOKUP(A402,[1]ForwardDeriv!$D:$D,[1]ForwardDeriv!$AJ:$AJ)</f>
        <v>-0.63000000000000256</v>
      </c>
      <c r="J402" cm="1">
        <f t="array" ref="J402">_xlfn.XLOOKUP(TEXT(A402, "mmm-yy"), TEXT([2]GASOLINE!$B$5:$B$208, "mmm-yy"), [2]GASOLINE!$IR$5:$IR$208, "Not Found")</f>
        <v>23.260139605001086</v>
      </c>
      <c r="K402" cm="1">
        <f t="array" ref="K402">_xlfn.XLOOKUP(TEXT(A402, "mmm-yy"), TEXT([2]GASOLINE!$B$5:$B$208, "mmm-yy"), [2]GASOLINE!$IK$5:$IK$208, "Not Found")</f>
        <v>0</v>
      </c>
      <c r="L402">
        <f t="shared" si="6"/>
        <v>1</v>
      </c>
      <c r="M402" cm="1">
        <f t="array" ref="M402">_xlfn.XLOOKUP(TEXT(A402, "mmm-yy"), TEXT([2]GASOLINE!$B$5:$B$208, "mmm-yy"), [2]GASOLINE!$C$5:$C$208, "Not Found")</f>
        <v>6774.9721053148232</v>
      </c>
      <c r="N402" cm="1">
        <f t="array" ref="N402">_xlfn.XLOOKUP(TEXT(A402, "mmm-yy"), TEXT([2]RUNS!$B$5:$B$208, "mmm-yy"), [2]RUNS!$BM$5:$BM$208, "Not Found")</f>
        <v>0.82614219246680809</v>
      </c>
    </row>
    <row r="403" spans="1:14" x14ac:dyDescent="0.25">
      <c r="A403" s="1">
        <f>'[1]Global_Spot Prices'!$B1712</f>
        <v>42566</v>
      </c>
      <c r="B403">
        <f>_xlfn.XLOOKUP(A403,'[1]Global_Spot Prices'!$B:$B,'[1]Global_Spot Prices'!$BS:$BS)</f>
        <v>7.93</v>
      </c>
      <c r="C403">
        <f>_xlfn.XLOOKUP(A403,'[1]Global_Spot Prices'!$B:$B,'[1]Global_Spot Prices'!$E:$E)</f>
        <v>42.6</v>
      </c>
      <c r="D403">
        <f>_xlfn.XLOOKUP(A403,'[1]Global_Spot Prices'!$B:$B,'[1]Global_Spot Prices'!$D:$D)</f>
        <v>46.55</v>
      </c>
      <c r="E403">
        <f>_xlfn.XLOOKUP(A403,'[1]Global_Spot Prices'!$B:$B,'[1]Global_Spot Prices'!$H:$H)</f>
        <v>41.93</v>
      </c>
      <c r="F403">
        <f>_xlfn.XLOOKUP(A403,'[1]Global_Spot Prices'!$B:$B,'[1]Global_Spot Prices'!$I:$I)</f>
        <v>50.53</v>
      </c>
      <c r="G403" cm="1">
        <f t="array" ref="G403">_xlfn.XLOOKUP(TEXT(A403, "mmm-yy"), TEXT([2]RUNS!$B$5:$B$208, "mmm-yy"), [2]RUNS!$D$5:$D$208, "Not Found")</f>
        <v>27795.801908203499</v>
      </c>
      <c r="H403" cm="1">
        <f t="array" ref="H403">SUMPRODUCT(
    --(TEXT('[3]Global Weekly Stock (EWSuez'!$B$4:$B$2000,"mmm-yy")=TEXT(A403,"mmm-yy")),
    '[3]Global Weekly Stock (EWSuez'!$E$4:$E$2000)
/
SUMPRODUCT(
    --(TEXT('[3]Global Weekly Stock (EWSuez'!$B$4:$B$2000,"mmm-yy")=TEXT(A403,"mmm-yy"))
)</f>
        <v>14268</v>
      </c>
      <c r="I403">
        <f>_xlfn.XLOOKUP(A403,[1]ForwardDeriv!$D:$D,[1]ForwardDeriv!$AJ:$AJ)</f>
        <v>-0.54999999999999716</v>
      </c>
      <c r="J403" cm="1">
        <f t="array" ref="J403">_xlfn.XLOOKUP(TEXT(A403, "mmm-yy"), TEXT([2]GASOLINE!$B$5:$B$208, "mmm-yy"), [2]GASOLINE!$IR$5:$IR$208, "Not Found")</f>
        <v>23.260139605001086</v>
      </c>
      <c r="K403" cm="1">
        <f t="array" ref="K403">_xlfn.XLOOKUP(TEXT(A403, "mmm-yy"), TEXT([2]GASOLINE!$B$5:$B$208, "mmm-yy"), [2]GASOLINE!$IK$5:$IK$208, "Not Found")</f>
        <v>0</v>
      </c>
      <c r="L403">
        <f t="shared" si="6"/>
        <v>1</v>
      </c>
      <c r="M403" cm="1">
        <f t="array" ref="M403">_xlfn.XLOOKUP(TEXT(A403, "mmm-yy"), TEXT([2]GASOLINE!$B$5:$B$208, "mmm-yy"), [2]GASOLINE!$C$5:$C$208, "Not Found")</f>
        <v>6774.9721053148232</v>
      </c>
      <c r="N403" cm="1">
        <f t="array" ref="N403">_xlfn.XLOOKUP(TEXT(A403, "mmm-yy"), TEXT([2]RUNS!$B$5:$B$208, "mmm-yy"), [2]RUNS!$BM$5:$BM$208, "Not Found")</f>
        <v>0.82614219246680809</v>
      </c>
    </row>
    <row r="404" spans="1:14" x14ac:dyDescent="0.25">
      <c r="A404" s="1">
        <f>'[1]Global_Spot Prices'!$B1713</f>
        <v>42569</v>
      </c>
      <c r="B404">
        <f>_xlfn.XLOOKUP(A404,'[1]Global_Spot Prices'!$B:$B,'[1]Global_Spot Prices'!$BS:$BS)</f>
        <v>7.8500000000000014</v>
      </c>
      <c r="C404">
        <f>_xlfn.XLOOKUP(A404,'[1]Global_Spot Prices'!$B:$B,'[1]Global_Spot Prices'!$E:$E)</f>
        <v>43.37</v>
      </c>
      <c r="D404">
        <f>_xlfn.XLOOKUP(A404,'[1]Global_Spot Prices'!$B:$B,'[1]Global_Spot Prices'!$D:$D)</f>
        <v>45.71</v>
      </c>
      <c r="E404">
        <f>_xlfn.XLOOKUP(A404,'[1]Global_Spot Prices'!$B:$B,'[1]Global_Spot Prices'!$H:$H)</f>
        <v>42.91</v>
      </c>
      <c r="F404">
        <f>_xlfn.XLOOKUP(A404,'[1]Global_Spot Prices'!$B:$B,'[1]Global_Spot Prices'!$I:$I)</f>
        <v>51.22</v>
      </c>
      <c r="G404" cm="1">
        <f t="array" ref="G404">_xlfn.XLOOKUP(TEXT(A404, "mmm-yy"), TEXT([2]RUNS!$B$5:$B$208, "mmm-yy"), [2]RUNS!$D$5:$D$208, "Not Found")</f>
        <v>27795.801908203499</v>
      </c>
      <c r="H404" cm="1">
        <f t="array" ref="H404">SUMPRODUCT(
    --(TEXT('[3]Global Weekly Stock (EWSuez'!$B$4:$B$2000,"mmm-yy")=TEXT(A404,"mmm-yy")),
    '[3]Global Weekly Stock (EWSuez'!$E$4:$E$2000)
/
SUMPRODUCT(
    --(TEXT('[3]Global Weekly Stock (EWSuez'!$B$4:$B$2000,"mmm-yy")=TEXT(A404,"mmm-yy"))
)</f>
        <v>14268</v>
      </c>
      <c r="I404">
        <f>_xlfn.XLOOKUP(A404,[1]ForwardDeriv!$D:$D,[1]ForwardDeriv!$AJ:$AJ)</f>
        <v>-0.54999999999999716</v>
      </c>
      <c r="J404" cm="1">
        <f t="array" ref="J404">_xlfn.XLOOKUP(TEXT(A404, "mmm-yy"), TEXT([2]GASOLINE!$B$5:$B$208, "mmm-yy"), [2]GASOLINE!$IR$5:$IR$208, "Not Found")</f>
        <v>23.260139605001086</v>
      </c>
      <c r="K404" cm="1">
        <f t="array" ref="K404">_xlfn.XLOOKUP(TEXT(A404, "mmm-yy"), TEXT([2]GASOLINE!$B$5:$B$208, "mmm-yy"), [2]GASOLINE!$IK$5:$IK$208, "Not Found")</f>
        <v>0</v>
      </c>
      <c r="L404">
        <f t="shared" si="6"/>
        <v>1</v>
      </c>
      <c r="M404" cm="1">
        <f t="array" ref="M404">_xlfn.XLOOKUP(TEXT(A404, "mmm-yy"), TEXT([2]GASOLINE!$B$5:$B$208, "mmm-yy"), [2]GASOLINE!$C$5:$C$208, "Not Found")</f>
        <v>6774.9721053148232</v>
      </c>
      <c r="N404" cm="1">
        <f t="array" ref="N404">_xlfn.XLOOKUP(TEXT(A404, "mmm-yy"), TEXT([2]RUNS!$B$5:$B$208, "mmm-yy"), [2]RUNS!$BM$5:$BM$208, "Not Found")</f>
        <v>0.82614219246680809</v>
      </c>
    </row>
    <row r="405" spans="1:14" x14ac:dyDescent="0.25">
      <c r="A405" s="1">
        <f>'[1]Global_Spot Prices'!$B1714</f>
        <v>42570</v>
      </c>
      <c r="B405">
        <f>_xlfn.XLOOKUP(A405,'[1]Global_Spot Prices'!$B:$B,'[1]Global_Spot Prices'!$BS:$BS)</f>
        <v>7.4199999999999946</v>
      </c>
      <c r="C405">
        <f>_xlfn.XLOOKUP(A405,'[1]Global_Spot Prices'!$B:$B,'[1]Global_Spot Prices'!$E:$E)</f>
        <v>42.24</v>
      </c>
      <c r="D405">
        <f>_xlfn.XLOOKUP(A405,'[1]Global_Spot Prices'!$B:$B,'[1]Global_Spot Prices'!$D:$D)</f>
        <v>45.75</v>
      </c>
      <c r="E405">
        <f>_xlfn.XLOOKUP(A405,'[1]Global_Spot Prices'!$B:$B,'[1]Global_Spot Prices'!$H:$H)</f>
        <v>41.91</v>
      </c>
      <c r="F405">
        <f>_xlfn.XLOOKUP(A405,'[1]Global_Spot Prices'!$B:$B,'[1]Global_Spot Prices'!$I:$I)</f>
        <v>49.66</v>
      </c>
      <c r="G405" cm="1">
        <f t="array" ref="G405">_xlfn.XLOOKUP(TEXT(A405, "mmm-yy"), TEXT([2]RUNS!$B$5:$B$208, "mmm-yy"), [2]RUNS!$D$5:$D$208, "Not Found")</f>
        <v>27795.801908203499</v>
      </c>
      <c r="H405" cm="1">
        <f t="array" ref="H405">SUMPRODUCT(
    --(TEXT('[3]Global Weekly Stock (EWSuez'!$B$4:$B$2000,"mmm-yy")=TEXT(A405,"mmm-yy")),
    '[3]Global Weekly Stock (EWSuez'!$E$4:$E$2000)
/
SUMPRODUCT(
    --(TEXT('[3]Global Weekly Stock (EWSuez'!$B$4:$B$2000,"mmm-yy")=TEXT(A405,"mmm-yy"))
)</f>
        <v>14268</v>
      </c>
      <c r="I405">
        <f>_xlfn.XLOOKUP(A405,[1]ForwardDeriv!$D:$D,[1]ForwardDeriv!$AJ:$AJ)</f>
        <v>-0.64999999999999858</v>
      </c>
      <c r="J405" cm="1">
        <f t="array" ref="J405">_xlfn.XLOOKUP(TEXT(A405, "mmm-yy"), TEXT([2]GASOLINE!$B$5:$B$208, "mmm-yy"), [2]GASOLINE!$IR$5:$IR$208, "Not Found")</f>
        <v>23.260139605001086</v>
      </c>
      <c r="K405" cm="1">
        <f t="array" ref="K405">_xlfn.XLOOKUP(TEXT(A405, "mmm-yy"), TEXT([2]GASOLINE!$B$5:$B$208, "mmm-yy"), [2]GASOLINE!$IK$5:$IK$208, "Not Found")</f>
        <v>0</v>
      </c>
      <c r="L405">
        <f t="shared" si="6"/>
        <v>1</v>
      </c>
      <c r="M405" cm="1">
        <f t="array" ref="M405">_xlfn.XLOOKUP(TEXT(A405, "mmm-yy"), TEXT([2]GASOLINE!$B$5:$B$208, "mmm-yy"), [2]GASOLINE!$C$5:$C$208, "Not Found")</f>
        <v>6774.9721053148232</v>
      </c>
      <c r="N405" cm="1">
        <f t="array" ref="N405">_xlfn.XLOOKUP(TEXT(A405, "mmm-yy"), TEXT([2]RUNS!$B$5:$B$208, "mmm-yy"), [2]RUNS!$BM$5:$BM$208, "Not Found")</f>
        <v>0.82614219246680809</v>
      </c>
    </row>
    <row r="406" spans="1:14" x14ac:dyDescent="0.25">
      <c r="A406" s="1">
        <f>'[1]Global_Spot Prices'!$B1715</f>
        <v>42571</v>
      </c>
      <c r="B406">
        <f>_xlfn.XLOOKUP(A406,'[1]Global_Spot Prices'!$B:$B,'[1]Global_Spot Prices'!$BS:$BS)</f>
        <v>6.32</v>
      </c>
      <c r="C406">
        <f>_xlfn.XLOOKUP(A406,'[1]Global_Spot Prices'!$B:$B,'[1]Global_Spot Prices'!$E:$E)</f>
        <v>42.25</v>
      </c>
      <c r="D406">
        <f>_xlfn.XLOOKUP(A406,'[1]Global_Spot Prices'!$B:$B,'[1]Global_Spot Prices'!$D:$D)</f>
        <v>45.98</v>
      </c>
      <c r="E406">
        <f>_xlfn.XLOOKUP(A406,'[1]Global_Spot Prices'!$B:$B,'[1]Global_Spot Prices'!$H:$H)</f>
        <v>41.63</v>
      </c>
      <c r="F406">
        <f>_xlfn.XLOOKUP(A406,'[1]Global_Spot Prices'!$B:$B,'[1]Global_Spot Prices'!$I:$I)</f>
        <v>48.57</v>
      </c>
      <c r="G406" cm="1">
        <f t="array" ref="G406">_xlfn.XLOOKUP(TEXT(A406, "mmm-yy"), TEXT([2]RUNS!$B$5:$B$208, "mmm-yy"), [2]RUNS!$D$5:$D$208, "Not Found")</f>
        <v>27795.801908203499</v>
      </c>
      <c r="H406" cm="1">
        <f t="array" ref="H406">SUMPRODUCT(
    --(TEXT('[3]Global Weekly Stock (EWSuez'!$B$4:$B$2000,"mmm-yy")=TEXT(A406,"mmm-yy")),
    '[3]Global Weekly Stock (EWSuez'!$E$4:$E$2000)
/
SUMPRODUCT(
    --(TEXT('[3]Global Weekly Stock (EWSuez'!$B$4:$B$2000,"mmm-yy")=TEXT(A406,"mmm-yy"))
)</f>
        <v>14268</v>
      </c>
      <c r="I406">
        <f>_xlfn.XLOOKUP(A406,[1]ForwardDeriv!$D:$D,[1]ForwardDeriv!$AJ:$AJ)</f>
        <v>-0.74000000000000199</v>
      </c>
      <c r="J406" cm="1">
        <f t="array" ref="J406">_xlfn.XLOOKUP(TEXT(A406, "mmm-yy"), TEXT([2]GASOLINE!$B$5:$B$208, "mmm-yy"), [2]GASOLINE!$IR$5:$IR$208, "Not Found")</f>
        <v>23.260139605001086</v>
      </c>
      <c r="K406" cm="1">
        <f t="array" ref="K406">_xlfn.XLOOKUP(TEXT(A406, "mmm-yy"), TEXT([2]GASOLINE!$B$5:$B$208, "mmm-yy"), [2]GASOLINE!$IK$5:$IK$208, "Not Found")</f>
        <v>0</v>
      </c>
      <c r="L406">
        <f t="shared" si="6"/>
        <v>1</v>
      </c>
      <c r="M406" cm="1">
        <f t="array" ref="M406">_xlfn.XLOOKUP(TEXT(A406, "mmm-yy"), TEXT([2]GASOLINE!$B$5:$B$208, "mmm-yy"), [2]GASOLINE!$C$5:$C$208, "Not Found")</f>
        <v>6774.9721053148232</v>
      </c>
      <c r="N406" cm="1">
        <f t="array" ref="N406">_xlfn.XLOOKUP(TEXT(A406, "mmm-yy"), TEXT([2]RUNS!$B$5:$B$208, "mmm-yy"), [2]RUNS!$BM$5:$BM$208, "Not Found")</f>
        <v>0.82614219246680809</v>
      </c>
    </row>
    <row r="407" spans="1:14" x14ac:dyDescent="0.25">
      <c r="A407" s="1">
        <f>'[1]Global_Spot Prices'!$B1716</f>
        <v>42572</v>
      </c>
      <c r="B407">
        <f>_xlfn.XLOOKUP(A407,'[1]Global_Spot Prices'!$B:$B,'[1]Global_Spot Prices'!$BS:$BS)</f>
        <v>6.4600000000000009</v>
      </c>
      <c r="C407">
        <f>_xlfn.XLOOKUP(A407,'[1]Global_Spot Prices'!$B:$B,'[1]Global_Spot Prices'!$E:$E)</f>
        <v>42.8</v>
      </c>
      <c r="D407">
        <f>_xlfn.XLOOKUP(A407,'[1]Global_Spot Prices'!$B:$B,'[1]Global_Spot Prices'!$D:$D)</f>
        <v>45.585000000000001</v>
      </c>
      <c r="E407">
        <f>_xlfn.XLOOKUP(A407,'[1]Global_Spot Prices'!$B:$B,'[1]Global_Spot Prices'!$H:$H)</f>
        <v>41.73</v>
      </c>
      <c r="F407">
        <f>_xlfn.XLOOKUP(A407,'[1]Global_Spot Prices'!$B:$B,'[1]Global_Spot Prices'!$I:$I)</f>
        <v>49.26</v>
      </c>
      <c r="G407" cm="1">
        <f t="array" ref="G407">_xlfn.XLOOKUP(TEXT(A407, "mmm-yy"), TEXT([2]RUNS!$B$5:$B$208, "mmm-yy"), [2]RUNS!$D$5:$D$208, "Not Found")</f>
        <v>27795.801908203499</v>
      </c>
      <c r="H407" cm="1">
        <f t="array" ref="H407">SUMPRODUCT(
    --(TEXT('[3]Global Weekly Stock (EWSuez'!$B$4:$B$2000,"mmm-yy")=TEXT(A407,"mmm-yy")),
    '[3]Global Weekly Stock (EWSuez'!$E$4:$E$2000)
/
SUMPRODUCT(
    --(TEXT('[3]Global Weekly Stock (EWSuez'!$B$4:$B$2000,"mmm-yy")=TEXT(A407,"mmm-yy"))
)</f>
        <v>14268</v>
      </c>
      <c r="I407">
        <f>_xlfn.XLOOKUP(A407,[1]ForwardDeriv!$D:$D,[1]ForwardDeriv!$AJ:$AJ)</f>
        <v>-0.72999999999999687</v>
      </c>
      <c r="J407" cm="1">
        <f t="array" ref="J407">_xlfn.XLOOKUP(TEXT(A407, "mmm-yy"), TEXT([2]GASOLINE!$B$5:$B$208, "mmm-yy"), [2]GASOLINE!$IR$5:$IR$208, "Not Found")</f>
        <v>23.260139605001086</v>
      </c>
      <c r="K407" cm="1">
        <f t="array" ref="K407">_xlfn.XLOOKUP(TEXT(A407, "mmm-yy"), TEXT([2]GASOLINE!$B$5:$B$208, "mmm-yy"), [2]GASOLINE!$IK$5:$IK$208, "Not Found")</f>
        <v>0</v>
      </c>
      <c r="L407">
        <f t="shared" si="6"/>
        <v>1</v>
      </c>
      <c r="M407" cm="1">
        <f t="array" ref="M407">_xlfn.XLOOKUP(TEXT(A407, "mmm-yy"), TEXT([2]GASOLINE!$B$5:$B$208, "mmm-yy"), [2]GASOLINE!$C$5:$C$208, "Not Found")</f>
        <v>6774.9721053148232</v>
      </c>
      <c r="N407" cm="1">
        <f t="array" ref="N407">_xlfn.XLOOKUP(TEXT(A407, "mmm-yy"), TEXT([2]RUNS!$B$5:$B$208, "mmm-yy"), [2]RUNS!$BM$5:$BM$208, "Not Found")</f>
        <v>0.82614219246680809</v>
      </c>
    </row>
    <row r="408" spans="1:14" x14ac:dyDescent="0.25">
      <c r="A408" s="1">
        <f>'[1]Global_Spot Prices'!$B1717</f>
        <v>42573</v>
      </c>
      <c r="B408">
        <f>_xlfn.XLOOKUP(A408,'[1]Global_Spot Prices'!$B:$B,'[1]Global_Spot Prices'!$BS:$BS)</f>
        <v>6.8100000000000023</v>
      </c>
      <c r="C408">
        <f>_xlfn.XLOOKUP(A408,'[1]Global_Spot Prices'!$B:$B,'[1]Global_Spot Prices'!$E:$E)</f>
        <v>41.55</v>
      </c>
      <c r="D408">
        <f>_xlfn.XLOOKUP(A408,'[1]Global_Spot Prices'!$B:$B,'[1]Global_Spot Prices'!$D:$D)</f>
        <v>44.14</v>
      </c>
      <c r="E408">
        <f>_xlfn.XLOOKUP(A408,'[1]Global_Spot Prices'!$B:$B,'[1]Global_Spot Prices'!$H:$H)</f>
        <v>40.06</v>
      </c>
      <c r="F408">
        <f>_xlfn.XLOOKUP(A408,'[1]Global_Spot Prices'!$B:$B,'[1]Global_Spot Prices'!$I:$I)</f>
        <v>48.36</v>
      </c>
      <c r="G408" cm="1">
        <f t="array" ref="G408">_xlfn.XLOOKUP(TEXT(A408, "mmm-yy"), TEXT([2]RUNS!$B$5:$B$208, "mmm-yy"), [2]RUNS!$D$5:$D$208, "Not Found")</f>
        <v>27795.801908203499</v>
      </c>
      <c r="H408" cm="1">
        <f t="array" ref="H408">SUMPRODUCT(
    --(TEXT('[3]Global Weekly Stock (EWSuez'!$B$4:$B$2000,"mmm-yy")=TEXT(A408,"mmm-yy")),
    '[3]Global Weekly Stock (EWSuez'!$E$4:$E$2000)
/
SUMPRODUCT(
    --(TEXT('[3]Global Weekly Stock (EWSuez'!$B$4:$B$2000,"mmm-yy")=TEXT(A408,"mmm-yy"))
)</f>
        <v>14268</v>
      </c>
      <c r="I408">
        <f>_xlfn.XLOOKUP(A408,[1]ForwardDeriv!$D:$D,[1]ForwardDeriv!$AJ:$AJ)</f>
        <v>-0.69999999999999574</v>
      </c>
      <c r="J408" cm="1">
        <f t="array" ref="J408">_xlfn.XLOOKUP(TEXT(A408, "mmm-yy"), TEXT([2]GASOLINE!$B$5:$B$208, "mmm-yy"), [2]GASOLINE!$IR$5:$IR$208, "Not Found")</f>
        <v>23.260139605001086</v>
      </c>
      <c r="K408" cm="1">
        <f t="array" ref="K408">_xlfn.XLOOKUP(TEXT(A408, "mmm-yy"), TEXT([2]GASOLINE!$B$5:$B$208, "mmm-yy"), [2]GASOLINE!$IK$5:$IK$208, "Not Found")</f>
        <v>0</v>
      </c>
      <c r="L408">
        <f t="shared" si="6"/>
        <v>1</v>
      </c>
      <c r="M408" cm="1">
        <f t="array" ref="M408">_xlfn.XLOOKUP(TEXT(A408, "mmm-yy"), TEXT([2]GASOLINE!$B$5:$B$208, "mmm-yy"), [2]GASOLINE!$C$5:$C$208, "Not Found")</f>
        <v>6774.9721053148232</v>
      </c>
      <c r="N408" cm="1">
        <f t="array" ref="N408">_xlfn.XLOOKUP(TEXT(A408, "mmm-yy"), TEXT([2]RUNS!$B$5:$B$208, "mmm-yy"), [2]RUNS!$BM$5:$BM$208, "Not Found")</f>
        <v>0.82614219246680809</v>
      </c>
    </row>
    <row r="409" spans="1:14" x14ac:dyDescent="0.25">
      <c r="A409" s="1">
        <f>'[1]Global_Spot Prices'!$B1718</f>
        <v>42576</v>
      </c>
      <c r="B409">
        <f>_xlfn.XLOOKUP(A409,'[1]Global_Spot Prices'!$B:$B,'[1]Global_Spot Prices'!$BS:$BS)</f>
        <v>7.0600000000000023</v>
      </c>
      <c r="C409">
        <f>_xlfn.XLOOKUP(A409,'[1]Global_Spot Prices'!$B:$B,'[1]Global_Spot Prices'!$E:$E)</f>
        <v>41.28</v>
      </c>
      <c r="D409">
        <f>_xlfn.XLOOKUP(A409,'[1]Global_Spot Prices'!$B:$B,'[1]Global_Spot Prices'!$D:$D)</f>
        <v>43.765000000000001</v>
      </c>
      <c r="E409">
        <f>_xlfn.XLOOKUP(A409,'[1]Global_Spot Prices'!$B:$B,'[1]Global_Spot Prices'!$H:$H)</f>
        <v>40.479999999999997</v>
      </c>
      <c r="F409">
        <f>_xlfn.XLOOKUP(A409,'[1]Global_Spot Prices'!$B:$B,'[1]Global_Spot Prices'!$I:$I)</f>
        <v>48.34</v>
      </c>
      <c r="G409" cm="1">
        <f t="array" ref="G409">_xlfn.XLOOKUP(TEXT(A409, "mmm-yy"), TEXT([2]RUNS!$B$5:$B$208, "mmm-yy"), [2]RUNS!$D$5:$D$208, "Not Found")</f>
        <v>27795.801908203499</v>
      </c>
      <c r="H409" cm="1">
        <f t="array" ref="H409">SUMPRODUCT(
    --(TEXT('[3]Global Weekly Stock (EWSuez'!$B$4:$B$2000,"mmm-yy")=TEXT(A409,"mmm-yy")),
    '[3]Global Weekly Stock (EWSuez'!$E$4:$E$2000)
/
SUMPRODUCT(
    --(TEXT('[3]Global Weekly Stock (EWSuez'!$B$4:$B$2000,"mmm-yy")=TEXT(A409,"mmm-yy"))
)</f>
        <v>14268</v>
      </c>
      <c r="I409">
        <f>_xlfn.XLOOKUP(A409,[1]ForwardDeriv!$D:$D,[1]ForwardDeriv!$AJ:$AJ)</f>
        <v>-0.63000000000000256</v>
      </c>
      <c r="J409" cm="1">
        <f t="array" ref="J409">_xlfn.XLOOKUP(TEXT(A409, "mmm-yy"), TEXT([2]GASOLINE!$B$5:$B$208, "mmm-yy"), [2]GASOLINE!$IR$5:$IR$208, "Not Found")</f>
        <v>23.260139605001086</v>
      </c>
      <c r="K409" cm="1">
        <f t="array" ref="K409">_xlfn.XLOOKUP(TEXT(A409, "mmm-yy"), TEXT([2]GASOLINE!$B$5:$B$208, "mmm-yy"), [2]GASOLINE!$IK$5:$IK$208, "Not Found")</f>
        <v>0</v>
      </c>
      <c r="L409">
        <f t="shared" si="6"/>
        <v>1</v>
      </c>
      <c r="M409" cm="1">
        <f t="array" ref="M409">_xlfn.XLOOKUP(TEXT(A409, "mmm-yy"), TEXT([2]GASOLINE!$B$5:$B$208, "mmm-yy"), [2]GASOLINE!$C$5:$C$208, "Not Found")</f>
        <v>6774.9721053148232</v>
      </c>
      <c r="N409" cm="1">
        <f t="array" ref="N409">_xlfn.XLOOKUP(TEXT(A409, "mmm-yy"), TEXT([2]RUNS!$B$5:$B$208, "mmm-yy"), [2]RUNS!$BM$5:$BM$208, "Not Found")</f>
        <v>0.82614219246680809</v>
      </c>
    </row>
    <row r="410" spans="1:14" x14ac:dyDescent="0.25">
      <c r="A410" s="1">
        <f>'[1]Global_Spot Prices'!$B1719</f>
        <v>42577</v>
      </c>
      <c r="B410">
        <f>_xlfn.XLOOKUP(A410,'[1]Global_Spot Prices'!$B:$B,'[1]Global_Spot Prices'!$BS:$BS)</f>
        <v>6.43</v>
      </c>
      <c r="C410">
        <f>_xlfn.XLOOKUP(A410,'[1]Global_Spot Prices'!$B:$B,'[1]Global_Spot Prices'!$E:$E)</f>
        <v>40.4</v>
      </c>
      <c r="D410">
        <f>_xlfn.XLOOKUP(A410,'[1]Global_Spot Prices'!$B:$B,'[1]Global_Spot Prices'!$D:$D)</f>
        <v>43.63</v>
      </c>
      <c r="E410">
        <f>_xlfn.XLOOKUP(A410,'[1]Global_Spot Prices'!$B:$B,'[1]Global_Spot Prices'!$H:$H)</f>
        <v>39.35</v>
      </c>
      <c r="F410">
        <f>_xlfn.XLOOKUP(A410,'[1]Global_Spot Prices'!$B:$B,'[1]Global_Spot Prices'!$I:$I)</f>
        <v>46.83</v>
      </c>
      <c r="G410" cm="1">
        <f t="array" ref="G410">_xlfn.XLOOKUP(TEXT(A410, "mmm-yy"), TEXT([2]RUNS!$B$5:$B$208, "mmm-yy"), [2]RUNS!$D$5:$D$208, "Not Found")</f>
        <v>27795.801908203499</v>
      </c>
      <c r="H410" cm="1">
        <f t="array" ref="H410">SUMPRODUCT(
    --(TEXT('[3]Global Weekly Stock (EWSuez'!$B$4:$B$2000,"mmm-yy")=TEXT(A410,"mmm-yy")),
    '[3]Global Weekly Stock (EWSuez'!$E$4:$E$2000)
/
SUMPRODUCT(
    --(TEXT('[3]Global Weekly Stock (EWSuez'!$B$4:$B$2000,"mmm-yy")=TEXT(A410,"mmm-yy"))
)</f>
        <v>14268</v>
      </c>
      <c r="I410">
        <f>_xlfn.XLOOKUP(A410,[1]ForwardDeriv!$D:$D,[1]ForwardDeriv!$AJ:$AJ)</f>
        <v>-0.70000000000000284</v>
      </c>
      <c r="J410" cm="1">
        <f t="array" ref="J410">_xlfn.XLOOKUP(TEXT(A410, "mmm-yy"), TEXT([2]GASOLINE!$B$5:$B$208, "mmm-yy"), [2]GASOLINE!$IR$5:$IR$208, "Not Found")</f>
        <v>23.260139605001086</v>
      </c>
      <c r="K410" cm="1">
        <f t="array" ref="K410">_xlfn.XLOOKUP(TEXT(A410, "mmm-yy"), TEXT([2]GASOLINE!$B$5:$B$208, "mmm-yy"), [2]GASOLINE!$IK$5:$IK$208, "Not Found")</f>
        <v>0</v>
      </c>
      <c r="L410">
        <f t="shared" si="6"/>
        <v>1</v>
      </c>
      <c r="M410" cm="1">
        <f t="array" ref="M410">_xlfn.XLOOKUP(TEXT(A410, "mmm-yy"), TEXT([2]GASOLINE!$B$5:$B$208, "mmm-yy"), [2]GASOLINE!$C$5:$C$208, "Not Found")</f>
        <v>6774.9721053148232</v>
      </c>
      <c r="N410" cm="1">
        <f t="array" ref="N410">_xlfn.XLOOKUP(TEXT(A410, "mmm-yy"), TEXT([2]RUNS!$B$5:$B$208, "mmm-yy"), [2]RUNS!$BM$5:$BM$208, "Not Found")</f>
        <v>0.82614219246680809</v>
      </c>
    </row>
    <row r="411" spans="1:14" x14ac:dyDescent="0.25">
      <c r="A411" s="1">
        <f>'[1]Global_Spot Prices'!$B1720</f>
        <v>42578</v>
      </c>
      <c r="B411">
        <f>_xlfn.XLOOKUP(A411,'[1]Global_Spot Prices'!$B:$B,'[1]Global_Spot Prices'!$BS:$BS)</f>
        <v>6.9600000000000009</v>
      </c>
      <c r="C411">
        <f>_xlfn.XLOOKUP(A411,'[1]Global_Spot Prices'!$B:$B,'[1]Global_Spot Prices'!$E:$E)</f>
        <v>40.6</v>
      </c>
      <c r="D411">
        <f>_xlfn.XLOOKUP(A411,'[1]Global_Spot Prices'!$B:$B,'[1]Global_Spot Prices'!$D:$D)</f>
        <v>42.984999999999999</v>
      </c>
      <c r="E411">
        <f>_xlfn.XLOOKUP(A411,'[1]Global_Spot Prices'!$B:$B,'[1]Global_Spot Prices'!$H:$H)</f>
        <v>38.44</v>
      </c>
      <c r="F411">
        <f>_xlfn.XLOOKUP(A411,'[1]Global_Spot Prices'!$B:$B,'[1]Global_Spot Prices'!$I:$I)</f>
        <v>47.56</v>
      </c>
      <c r="G411" cm="1">
        <f t="array" ref="G411">_xlfn.XLOOKUP(TEXT(A411, "mmm-yy"), TEXT([2]RUNS!$B$5:$B$208, "mmm-yy"), [2]RUNS!$D$5:$D$208, "Not Found")</f>
        <v>27795.801908203499</v>
      </c>
      <c r="H411" cm="1">
        <f t="array" ref="H411">SUMPRODUCT(
    --(TEXT('[3]Global Weekly Stock (EWSuez'!$B$4:$B$2000,"mmm-yy")=TEXT(A411,"mmm-yy")),
    '[3]Global Weekly Stock (EWSuez'!$E$4:$E$2000)
/
SUMPRODUCT(
    --(TEXT('[3]Global Weekly Stock (EWSuez'!$B$4:$B$2000,"mmm-yy")=TEXT(A411,"mmm-yy"))
)</f>
        <v>14268</v>
      </c>
      <c r="I411">
        <f>_xlfn.XLOOKUP(A411,[1]ForwardDeriv!$D:$D,[1]ForwardDeriv!$AJ:$AJ)</f>
        <v>-0.57000000000000028</v>
      </c>
      <c r="J411" cm="1">
        <f t="array" ref="J411">_xlfn.XLOOKUP(TEXT(A411, "mmm-yy"), TEXT([2]GASOLINE!$B$5:$B$208, "mmm-yy"), [2]GASOLINE!$IR$5:$IR$208, "Not Found")</f>
        <v>23.260139605001086</v>
      </c>
      <c r="K411" cm="1">
        <f t="array" ref="K411">_xlfn.XLOOKUP(TEXT(A411, "mmm-yy"), TEXT([2]GASOLINE!$B$5:$B$208, "mmm-yy"), [2]GASOLINE!$IK$5:$IK$208, "Not Found")</f>
        <v>0</v>
      </c>
      <c r="L411">
        <f t="shared" si="6"/>
        <v>1</v>
      </c>
      <c r="M411" cm="1">
        <f t="array" ref="M411">_xlfn.XLOOKUP(TEXT(A411, "mmm-yy"), TEXT([2]GASOLINE!$B$5:$B$208, "mmm-yy"), [2]GASOLINE!$C$5:$C$208, "Not Found")</f>
        <v>6774.9721053148232</v>
      </c>
      <c r="N411" cm="1">
        <f t="array" ref="N411">_xlfn.XLOOKUP(TEXT(A411, "mmm-yy"), TEXT([2]RUNS!$B$5:$B$208, "mmm-yy"), [2]RUNS!$BM$5:$BM$208, "Not Found")</f>
        <v>0.82614219246680809</v>
      </c>
    </row>
    <row r="412" spans="1:14" x14ac:dyDescent="0.25">
      <c r="A412" s="1">
        <f>'[1]Global_Spot Prices'!$B1721</f>
        <v>42579</v>
      </c>
      <c r="B412">
        <f>_xlfn.XLOOKUP(A412,'[1]Global_Spot Prices'!$B:$B,'[1]Global_Spot Prices'!$BS:$BS)</f>
        <v>6.3900000000000006</v>
      </c>
      <c r="C412">
        <f>_xlfn.XLOOKUP(A412,'[1]Global_Spot Prices'!$B:$B,'[1]Global_Spot Prices'!$E:$E)</f>
        <v>39.9</v>
      </c>
      <c r="D412">
        <f>_xlfn.XLOOKUP(A412,'[1]Global_Spot Prices'!$B:$B,'[1]Global_Spot Prices'!$D:$D)</f>
        <v>41.89</v>
      </c>
      <c r="E412">
        <f>_xlfn.XLOOKUP(A412,'[1]Global_Spot Prices'!$B:$B,'[1]Global_Spot Prices'!$H:$H)</f>
        <v>37.67</v>
      </c>
      <c r="F412">
        <f>_xlfn.XLOOKUP(A412,'[1]Global_Spot Prices'!$B:$B,'[1]Global_Spot Prices'!$I:$I)</f>
        <v>46.29</v>
      </c>
      <c r="G412" cm="1">
        <f t="array" ref="G412">_xlfn.XLOOKUP(TEXT(A412, "mmm-yy"), TEXT([2]RUNS!$B$5:$B$208, "mmm-yy"), [2]RUNS!$D$5:$D$208, "Not Found")</f>
        <v>27795.801908203499</v>
      </c>
      <c r="H412" cm="1">
        <f t="array" ref="H412">SUMPRODUCT(
    --(TEXT('[3]Global Weekly Stock (EWSuez'!$B$4:$B$2000,"mmm-yy")=TEXT(A412,"mmm-yy")),
    '[3]Global Weekly Stock (EWSuez'!$E$4:$E$2000)
/
SUMPRODUCT(
    --(TEXT('[3]Global Weekly Stock (EWSuez'!$B$4:$B$2000,"mmm-yy")=TEXT(A412,"mmm-yy"))
)</f>
        <v>14268</v>
      </c>
      <c r="I412">
        <f>_xlfn.XLOOKUP(A412,[1]ForwardDeriv!$D:$D,[1]ForwardDeriv!$AJ:$AJ)</f>
        <v>-0.63000000000000256</v>
      </c>
      <c r="J412" cm="1">
        <f t="array" ref="J412">_xlfn.XLOOKUP(TEXT(A412, "mmm-yy"), TEXT([2]GASOLINE!$B$5:$B$208, "mmm-yy"), [2]GASOLINE!$IR$5:$IR$208, "Not Found")</f>
        <v>23.260139605001086</v>
      </c>
      <c r="K412" cm="1">
        <f t="array" ref="K412">_xlfn.XLOOKUP(TEXT(A412, "mmm-yy"), TEXT([2]GASOLINE!$B$5:$B$208, "mmm-yy"), [2]GASOLINE!$IK$5:$IK$208, "Not Found")</f>
        <v>0</v>
      </c>
      <c r="L412">
        <f t="shared" si="6"/>
        <v>1</v>
      </c>
      <c r="M412" cm="1">
        <f t="array" ref="M412">_xlfn.XLOOKUP(TEXT(A412, "mmm-yy"), TEXT([2]GASOLINE!$B$5:$B$208, "mmm-yy"), [2]GASOLINE!$C$5:$C$208, "Not Found")</f>
        <v>6774.9721053148232</v>
      </c>
      <c r="N412" cm="1">
        <f t="array" ref="N412">_xlfn.XLOOKUP(TEXT(A412, "mmm-yy"), TEXT([2]RUNS!$B$5:$B$208, "mmm-yy"), [2]RUNS!$BM$5:$BM$208, "Not Found")</f>
        <v>0.82614219246680809</v>
      </c>
    </row>
    <row r="413" spans="1:14" x14ac:dyDescent="0.25">
      <c r="A413" s="1">
        <f>'[1]Global_Spot Prices'!$B1722</f>
        <v>42580</v>
      </c>
      <c r="B413">
        <f>_xlfn.XLOOKUP(A413,'[1]Global_Spot Prices'!$B:$B,'[1]Global_Spot Prices'!$BS:$BS)</f>
        <v>6.0799999999999983</v>
      </c>
      <c r="C413">
        <f>_xlfn.XLOOKUP(A413,'[1]Global_Spot Prices'!$B:$B,'[1]Global_Spot Prices'!$E:$E)</f>
        <v>38.700000000000003</v>
      </c>
      <c r="D413">
        <f>_xlfn.XLOOKUP(A413,'[1]Global_Spot Prices'!$B:$B,'[1]Global_Spot Prices'!$D:$D)</f>
        <v>41.62</v>
      </c>
      <c r="E413">
        <f>_xlfn.XLOOKUP(A413,'[1]Global_Spot Prices'!$B:$B,'[1]Global_Spot Prices'!$H:$H)</f>
        <v>36.81</v>
      </c>
      <c r="F413">
        <f>_xlfn.XLOOKUP(A413,'[1]Global_Spot Prices'!$B:$B,'[1]Global_Spot Prices'!$I:$I)</f>
        <v>44.78</v>
      </c>
      <c r="G413" cm="1">
        <f t="array" ref="G413">_xlfn.XLOOKUP(TEXT(A413, "mmm-yy"), TEXT([2]RUNS!$B$5:$B$208, "mmm-yy"), [2]RUNS!$D$5:$D$208, "Not Found")</f>
        <v>27795.801908203499</v>
      </c>
      <c r="H413" cm="1">
        <f t="array" ref="H413">SUMPRODUCT(
    --(TEXT('[3]Global Weekly Stock (EWSuez'!$B$4:$B$2000,"mmm-yy")=TEXT(A413,"mmm-yy")),
    '[3]Global Weekly Stock (EWSuez'!$E$4:$E$2000)
/
SUMPRODUCT(
    --(TEXT('[3]Global Weekly Stock (EWSuez'!$B$4:$B$2000,"mmm-yy")=TEXT(A413,"mmm-yy"))
)</f>
        <v>14268</v>
      </c>
      <c r="I413">
        <f>_xlfn.XLOOKUP(A413,[1]ForwardDeriv!$D:$D,[1]ForwardDeriv!$AJ:$AJ)</f>
        <v>-0.62999999999999545</v>
      </c>
      <c r="J413" cm="1">
        <f t="array" ref="J413">_xlfn.XLOOKUP(TEXT(A413, "mmm-yy"), TEXT([2]GASOLINE!$B$5:$B$208, "mmm-yy"), [2]GASOLINE!$IR$5:$IR$208, "Not Found")</f>
        <v>23.260139605001086</v>
      </c>
      <c r="K413" cm="1">
        <f t="array" ref="K413">_xlfn.XLOOKUP(TEXT(A413, "mmm-yy"), TEXT([2]GASOLINE!$B$5:$B$208, "mmm-yy"), [2]GASOLINE!$IK$5:$IK$208, "Not Found")</f>
        <v>0</v>
      </c>
      <c r="L413">
        <f t="shared" si="6"/>
        <v>1</v>
      </c>
      <c r="M413" cm="1">
        <f t="array" ref="M413">_xlfn.XLOOKUP(TEXT(A413, "mmm-yy"), TEXT([2]GASOLINE!$B$5:$B$208, "mmm-yy"), [2]GASOLINE!$C$5:$C$208, "Not Found")</f>
        <v>6774.9721053148232</v>
      </c>
      <c r="N413" cm="1">
        <f t="array" ref="N413">_xlfn.XLOOKUP(TEXT(A413, "mmm-yy"), TEXT([2]RUNS!$B$5:$B$208, "mmm-yy"), [2]RUNS!$BM$5:$BM$208, "Not Found")</f>
        <v>0.82614219246680809</v>
      </c>
    </row>
    <row r="414" spans="1:14" x14ac:dyDescent="0.25">
      <c r="A414" s="1">
        <f>'[1]Global_Spot Prices'!$B1723</f>
        <v>42583</v>
      </c>
      <c r="B414">
        <f>_xlfn.XLOOKUP(A414,'[1]Global_Spot Prices'!$B:$B,'[1]Global_Spot Prices'!$BS:$BS)</f>
        <v>5.9600000000000009</v>
      </c>
      <c r="C414">
        <f>_xlfn.XLOOKUP(A414,'[1]Global_Spot Prices'!$B:$B,'[1]Global_Spot Prices'!$E:$E)</f>
        <v>40.11</v>
      </c>
      <c r="D414">
        <f>_xlfn.XLOOKUP(A414,'[1]Global_Spot Prices'!$B:$B,'[1]Global_Spot Prices'!$D:$D)</f>
        <v>40.26</v>
      </c>
      <c r="E414">
        <f>_xlfn.XLOOKUP(A414,'[1]Global_Spot Prices'!$B:$B,'[1]Global_Spot Prices'!$H:$H)</f>
        <v>37.39</v>
      </c>
      <c r="F414">
        <f>_xlfn.XLOOKUP(A414,'[1]Global_Spot Prices'!$B:$B,'[1]Global_Spot Prices'!$I:$I)</f>
        <v>46.07</v>
      </c>
      <c r="G414" cm="1">
        <f t="array" ref="G414">_xlfn.XLOOKUP(TEXT(A414, "mmm-yy"), TEXT([2]RUNS!$B$5:$B$208, "mmm-yy"), [2]RUNS!$D$5:$D$208, "Not Found")</f>
        <v>27425.728304335124</v>
      </c>
      <c r="H414" cm="1">
        <f t="array" ref="H414">SUMPRODUCT(
    --(TEXT('[3]Global Weekly Stock (EWSuez'!$B$4:$B$2000,"mmm-yy")=TEXT(A414,"mmm-yy")),
    '[3]Global Weekly Stock (EWSuez'!$E$4:$E$2000)
/
SUMPRODUCT(
    --(TEXT('[3]Global Weekly Stock (EWSuez'!$B$4:$B$2000,"mmm-yy")=TEXT(A414,"mmm-yy"))
)</f>
        <v>14274.75</v>
      </c>
      <c r="I414">
        <f>_xlfn.XLOOKUP(A414,[1]ForwardDeriv!$D:$D,[1]ForwardDeriv!$AJ:$AJ)</f>
        <v>-0.64000000000000057</v>
      </c>
      <c r="J414" cm="1">
        <f t="array" ref="J414">_xlfn.XLOOKUP(TEXT(A414, "mmm-yy"), TEXT([2]GASOLINE!$B$5:$B$208, "mmm-yy"), [2]GASOLINE!$IR$5:$IR$208, "Not Found")</f>
        <v>-230.34109085140324</v>
      </c>
      <c r="K414" cm="1">
        <f t="array" ref="K414">_xlfn.XLOOKUP(TEXT(A414, "mmm-yy"), TEXT([2]GASOLINE!$B$5:$B$208, "mmm-yy"), [2]GASOLINE!$IK$5:$IK$208, "Not Found")</f>
        <v>0</v>
      </c>
      <c r="L414">
        <f t="shared" si="6"/>
        <v>1</v>
      </c>
      <c r="M414" cm="1">
        <f t="array" ref="M414">_xlfn.XLOOKUP(TEXT(A414, "mmm-yy"), TEXT([2]GASOLINE!$B$5:$B$208, "mmm-yy"), [2]GASOLINE!$C$5:$C$208, "Not Found")</f>
        <v>7112.858702352406</v>
      </c>
      <c r="N414" cm="1">
        <f t="array" ref="N414">_xlfn.XLOOKUP(TEXT(A414, "mmm-yy"), TEXT([2]RUNS!$B$5:$B$208, "mmm-yy"), [2]RUNS!$BM$5:$BM$208, "Not Found")</f>
        <v>0.81514292648111686</v>
      </c>
    </row>
    <row r="415" spans="1:14" x14ac:dyDescent="0.25">
      <c r="A415" s="1">
        <f>'[1]Global_Spot Prices'!$B1724</f>
        <v>42584</v>
      </c>
      <c r="B415">
        <f>_xlfn.XLOOKUP(A415,'[1]Global_Spot Prices'!$B:$B,'[1]Global_Spot Prices'!$BS:$BS)</f>
        <v>6.8400000000000034</v>
      </c>
      <c r="C415">
        <f>_xlfn.XLOOKUP(A415,'[1]Global_Spot Prices'!$B:$B,'[1]Global_Spot Prices'!$E:$E)</f>
        <v>38.909999999999997</v>
      </c>
      <c r="D415">
        <f>_xlfn.XLOOKUP(A415,'[1]Global_Spot Prices'!$B:$B,'[1]Global_Spot Prices'!$D:$D)</f>
        <v>40.295000000000002</v>
      </c>
      <c r="E415">
        <f>_xlfn.XLOOKUP(A415,'[1]Global_Spot Prices'!$B:$B,'[1]Global_Spot Prices'!$H:$H)</f>
        <v>36.33</v>
      </c>
      <c r="F415">
        <f>_xlfn.XLOOKUP(A415,'[1]Global_Spot Prices'!$B:$B,'[1]Global_Spot Prices'!$I:$I)</f>
        <v>45.75</v>
      </c>
      <c r="G415" cm="1">
        <f t="array" ref="G415">_xlfn.XLOOKUP(TEXT(A415, "mmm-yy"), TEXT([2]RUNS!$B$5:$B$208, "mmm-yy"), [2]RUNS!$D$5:$D$208, "Not Found")</f>
        <v>27425.728304335124</v>
      </c>
      <c r="H415" cm="1">
        <f t="array" ref="H415">SUMPRODUCT(
    --(TEXT('[3]Global Weekly Stock (EWSuez'!$B$4:$B$2000,"mmm-yy")=TEXT(A415,"mmm-yy")),
    '[3]Global Weekly Stock (EWSuez'!$E$4:$E$2000)
/
SUMPRODUCT(
    --(TEXT('[3]Global Weekly Stock (EWSuez'!$B$4:$B$2000,"mmm-yy")=TEXT(A415,"mmm-yy"))
)</f>
        <v>14274.75</v>
      </c>
      <c r="I415">
        <f>_xlfn.XLOOKUP(A415,[1]ForwardDeriv!$D:$D,[1]ForwardDeriv!$AJ:$AJ)</f>
        <v>-0.65999999999999659</v>
      </c>
      <c r="J415" cm="1">
        <f t="array" ref="J415">_xlfn.XLOOKUP(TEXT(A415, "mmm-yy"), TEXT([2]GASOLINE!$B$5:$B$208, "mmm-yy"), [2]GASOLINE!$IR$5:$IR$208, "Not Found")</f>
        <v>-230.34109085140324</v>
      </c>
      <c r="K415" cm="1">
        <f t="array" ref="K415">_xlfn.XLOOKUP(TEXT(A415, "mmm-yy"), TEXT([2]GASOLINE!$B$5:$B$208, "mmm-yy"), [2]GASOLINE!$IK$5:$IK$208, "Not Found")</f>
        <v>0</v>
      </c>
      <c r="L415">
        <f t="shared" si="6"/>
        <v>1</v>
      </c>
      <c r="M415" cm="1">
        <f t="array" ref="M415">_xlfn.XLOOKUP(TEXT(A415, "mmm-yy"), TEXT([2]GASOLINE!$B$5:$B$208, "mmm-yy"), [2]GASOLINE!$C$5:$C$208, "Not Found")</f>
        <v>7112.858702352406</v>
      </c>
      <c r="N415" cm="1">
        <f t="array" ref="N415">_xlfn.XLOOKUP(TEXT(A415, "mmm-yy"), TEXT([2]RUNS!$B$5:$B$208, "mmm-yy"), [2]RUNS!$BM$5:$BM$208, "Not Found")</f>
        <v>0.81514292648111686</v>
      </c>
    </row>
    <row r="416" spans="1:14" x14ac:dyDescent="0.25">
      <c r="A416" s="1">
        <f>'[1]Global_Spot Prices'!$B1725</f>
        <v>42585</v>
      </c>
      <c r="B416">
        <f>_xlfn.XLOOKUP(A416,'[1]Global_Spot Prices'!$B:$B,'[1]Global_Spot Prices'!$BS:$BS)</f>
        <v>6.8099999999999952</v>
      </c>
      <c r="C416">
        <f>_xlfn.XLOOKUP(A416,'[1]Global_Spot Prices'!$B:$B,'[1]Global_Spot Prices'!$E:$E)</f>
        <v>38.6</v>
      </c>
      <c r="D416">
        <f>_xlfn.XLOOKUP(A416,'[1]Global_Spot Prices'!$B:$B,'[1]Global_Spot Prices'!$D:$D)</f>
        <v>40.715000000000003</v>
      </c>
      <c r="E416">
        <f>_xlfn.XLOOKUP(A416,'[1]Global_Spot Prices'!$B:$B,'[1]Global_Spot Prices'!$H:$H)</f>
        <v>36.11</v>
      </c>
      <c r="F416">
        <f>_xlfn.XLOOKUP(A416,'[1]Global_Spot Prices'!$B:$B,'[1]Global_Spot Prices'!$I:$I)</f>
        <v>45.41</v>
      </c>
      <c r="G416" cm="1">
        <f t="array" ref="G416">_xlfn.XLOOKUP(TEXT(A416, "mmm-yy"), TEXT([2]RUNS!$B$5:$B$208, "mmm-yy"), [2]RUNS!$D$5:$D$208, "Not Found")</f>
        <v>27425.728304335124</v>
      </c>
      <c r="H416" cm="1">
        <f t="array" ref="H416">SUMPRODUCT(
    --(TEXT('[3]Global Weekly Stock (EWSuez'!$B$4:$B$2000,"mmm-yy")=TEXT(A416,"mmm-yy")),
    '[3]Global Weekly Stock (EWSuez'!$E$4:$E$2000)
/
SUMPRODUCT(
    --(TEXT('[3]Global Weekly Stock (EWSuez'!$B$4:$B$2000,"mmm-yy")=TEXT(A416,"mmm-yy"))
)</f>
        <v>14274.75</v>
      </c>
      <c r="I416">
        <f>_xlfn.XLOOKUP(A416,[1]ForwardDeriv!$D:$D,[1]ForwardDeriv!$AJ:$AJ)</f>
        <v>-0.57999999999999829</v>
      </c>
      <c r="J416" cm="1">
        <f t="array" ref="J416">_xlfn.XLOOKUP(TEXT(A416, "mmm-yy"), TEXT([2]GASOLINE!$B$5:$B$208, "mmm-yy"), [2]GASOLINE!$IR$5:$IR$208, "Not Found")</f>
        <v>-230.34109085140324</v>
      </c>
      <c r="K416" cm="1">
        <f t="array" ref="K416">_xlfn.XLOOKUP(TEXT(A416, "mmm-yy"), TEXT([2]GASOLINE!$B$5:$B$208, "mmm-yy"), [2]GASOLINE!$IK$5:$IK$208, "Not Found")</f>
        <v>0</v>
      </c>
      <c r="L416">
        <f t="shared" si="6"/>
        <v>1</v>
      </c>
      <c r="M416" cm="1">
        <f t="array" ref="M416">_xlfn.XLOOKUP(TEXT(A416, "mmm-yy"), TEXT([2]GASOLINE!$B$5:$B$208, "mmm-yy"), [2]GASOLINE!$C$5:$C$208, "Not Found")</f>
        <v>7112.858702352406</v>
      </c>
      <c r="N416" cm="1">
        <f t="array" ref="N416">_xlfn.XLOOKUP(TEXT(A416, "mmm-yy"), TEXT([2]RUNS!$B$5:$B$208, "mmm-yy"), [2]RUNS!$BM$5:$BM$208, "Not Found")</f>
        <v>0.81514292648111686</v>
      </c>
    </row>
    <row r="417" spans="1:14" x14ac:dyDescent="0.25">
      <c r="A417" s="1">
        <f>'[1]Global_Spot Prices'!$B1726</f>
        <v>42586</v>
      </c>
      <c r="B417">
        <f>_xlfn.XLOOKUP(A417,'[1]Global_Spot Prices'!$B:$B,'[1]Global_Spot Prices'!$BS:$BS)</f>
        <v>7.1499999999999986</v>
      </c>
      <c r="C417">
        <f>_xlfn.XLOOKUP(A417,'[1]Global_Spot Prices'!$B:$B,'[1]Global_Spot Prices'!$E:$E)</f>
        <v>40.01</v>
      </c>
      <c r="D417">
        <f>_xlfn.XLOOKUP(A417,'[1]Global_Spot Prices'!$B:$B,'[1]Global_Spot Prices'!$D:$D)</f>
        <v>41.69</v>
      </c>
      <c r="E417">
        <f>_xlfn.XLOOKUP(A417,'[1]Global_Spot Prices'!$B:$B,'[1]Global_Spot Prices'!$H:$H)</f>
        <v>37.39</v>
      </c>
      <c r="F417">
        <f>_xlfn.XLOOKUP(A417,'[1]Global_Spot Prices'!$B:$B,'[1]Global_Spot Prices'!$I:$I)</f>
        <v>47.16</v>
      </c>
      <c r="G417" cm="1">
        <f t="array" ref="G417">_xlfn.XLOOKUP(TEXT(A417, "mmm-yy"), TEXT([2]RUNS!$B$5:$B$208, "mmm-yy"), [2]RUNS!$D$5:$D$208, "Not Found")</f>
        <v>27425.728304335124</v>
      </c>
      <c r="H417" cm="1">
        <f t="array" ref="H417">SUMPRODUCT(
    --(TEXT('[3]Global Weekly Stock (EWSuez'!$B$4:$B$2000,"mmm-yy")=TEXT(A417,"mmm-yy")),
    '[3]Global Weekly Stock (EWSuez'!$E$4:$E$2000)
/
SUMPRODUCT(
    --(TEXT('[3]Global Weekly Stock (EWSuez'!$B$4:$B$2000,"mmm-yy")=TEXT(A417,"mmm-yy"))
)</f>
        <v>14274.75</v>
      </c>
      <c r="I417">
        <f>_xlfn.XLOOKUP(A417,[1]ForwardDeriv!$D:$D,[1]ForwardDeriv!$AJ:$AJ)</f>
        <v>-0.52000000000000313</v>
      </c>
      <c r="J417" cm="1">
        <f t="array" ref="J417">_xlfn.XLOOKUP(TEXT(A417, "mmm-yy"), TEXT([2]GASOLINE!$B$5:$B$208, "mmm-yy"), [2]GASOLINE!$IR$5:$IR$208, "Not Found")</f>
        <v>-230.34109085140324</v>
      </c>
      <c r="K417" cm="1">
        <f t="array" ref="K417">_xlfn.XLOOKUP(TEXT(A417, "mmm-yy"), TEXT([2]GASOLINE!$B$5:$B$208, "mmm-yy"), [2]GASOLINE!$IK$5:$IK$208, "Not Found")</f>
        <v>0</v>
      </c>
      <c r="L417">
        <f t="shared" si="6"/>
        <v>1</v>
      </c>
      <c r="M417" cm="1">
        <f t="array" ref="M417">_xlfn.XLOOKUP(TEXT(A417, "mmm-yy"), TEXT([2]GASOLINE!$B$5:$B$208, "mmm-yy"), [2]GASOLINE!$C$5:$C$208, "Not Found")</f>
        <v>7112.858702352406</v>
      </c>
      <c r="N417" cm="1">
        <f t="array" ref="N417">_xlfn.XLOOKUP(TEXT(A417, "mmm-yy"), TEXT([2]RUNS!$B$5:$B$208, "mmm-yy"), [2]RUNS!$BM$5:$BM$208, "Not Found")</f>
        <v>0.81514292648111686</v>
      </c>
    </row>
    <row r="418" spans="1:14" x14ac:dyDescent="0.25">
      <c r="A418" s="1">
        <f>'[1]Global_Spot Prices'!$B1727</f>
        <v>42587</v>
      </c>
      <c r="B418">
        <f>_xlfn.XLOOKUP(A418,'[1]Global_Spot Prices'!$B:$B,'[1]Global_Spot Prices'!$BS:$BS)</f>
        <v>7.0500000000000043</v>
      </c>
      <c r="C418">
        <f>_xlfn.XLOOKUP(A418,'[1]Global_Spot Prices'!$B:$B,'[1]Global_Spot Prices'!$E:$E)</f>
        <v>40.76</v>
      </c>
      <c r="D418">
        <f>_xlfn.XLOOKUP(A418,'[1]Global_Spot Prices'!$B:$B,'[1]Global_Spot Prices'!$D:$D)</f>
        <v>42.01</v>
      </c>
      <c r="E418">
        <f>_xlfn.XLOOKUP(A418,'[1]Global_Spot Prices'!$B:$B,'[1]Global_Spot Prices'!$H:$H)</f>
        <v>36.72</v>
      </c>
      <c r="F418">
        <f>_xlfn.XLOOKUP(A418,'[1]Global_Spot Prices'!$B:$B,'[1]Global_Spot Prices'!$I:$I)</f>
        <v>47.81</v>
      </c>
      <c r="G418" cm="1">
        <f t="array" ref="G418">_xlfn.XLOOKUP(TEXT(A418, "mmm-yy"), TEXT([2]RUNS!$B$5:$B$208, "mmm-yy"), [2]RUNS!$D$5:$D$208, "Not Found")</f>
        <v>27425.728304335124</v>
      </c>
      <c r="H418" cm="1">
        <f t="array" ref="H418">SUMPRODUCT(
    --(TEXT('[3]Global Weekly Stock (EWSuez'!$B$4:$B$2000,"mmm-yy")=TEXT(A418,"mmm-yy")),
    '[3]Global Weekly Stock (EWSuez'!$E$4:$E$2000)
/
SUMPRODUCT(
    --(TEXT('[3]Global Weekly Stock (EWSuez'!$B$4:$B$2000,"mmm-yy")=TEXT(A418,"mmm-yy"))
)</f>
        <v>14274.75</v>
      </c>
      <c r="I418">
        <f>_xlfn.XLOOKUP(A418,[1]ForwardDeriv!$D:$D,[1]ForwardDeriv!$AJ:$AJ)</f>
        <v>-0.55000000000000426</v>
      </c>
      <c r="J418" cm="1">
        <f t="array" ref="J418">_xlfn.XLOOKUP(TEXT(A418, "mmm-yy"), TEXT([2]GASOLINE!$B$5:$B$208, "mmm-yy"), [2]GASOLINE!$IR$5:$IR$208, "Not Found")</f>
        <v>-230.34109085140324</v>
      </c>
      <c r="K418" cm="1">
        <f t="array" ref="K418">_xlfn.XLOOKUP(TEXT(A418, "mmm-yy"), TEXT([2]GASOLINE!$B$5:$B$208, "mmm-yy"), [2]GASOLINE!$IK$5:$IK$208, "Not Found")</f>
        <v>0</v>
      </c>
      <c r="L418">
        <f t="shared" si="6"/>
        <v>1</v>
      </c>
      <c r="M418" cm="1">
        <f t="array" ref="M418">_xlfn.XLOOKUP(TEXT(A418, "mmm-yy"), TEXT([2]GASOLINE!$B$5:$B$208, "mmm-yy"), [2]GASOLINE!$C$5:$C$208, "Not Found")</f>
        <v>7112.858702352406</v>
      </c>
      <c r="N418" cm="1">
        <f t="array" ref="N418">_xlfn.XLOOKUP(TEXT(A418, "mmm-yy"), TEXT([2]RUNS!$B$5:$B$208, "mmm-yy"), [2]RUNS!$BM$5:$BM$208, "Not Found")</f>
        <v>0.81514292648111686</v>
      </c>
    </row>
    <row r="419" spans="1:14" x14ac:dyDescent="0.25">
      <c r="A419" s="1">
        <f>'[1]Global_Spot Prices'!$B1728</f>
        <v>42590</v>
      </c>
      <c r="B419">
        <f>_xlfn.XLOOKUP(A419,'[1]Global_Spot Prices'!$B:$B,'[1]Global_Spot Prices'!$BS:$BS)</f>
        <v>6.9200000000000017</v>
      </c>
      <c r="C419">
        <f>_xlfn.XLOOKUP(A419,'[1]Global_Spot Prices'!$B:$B,'[1]Global_Spot Prices'!$E:$E)</f>
        <v>41.61</v>
      </c>
      <c r="D419">
        <f>_xlfn.XLOOKUP(A419,'[1]Global_Spot Prices'!$B:$B,'[1]Global_Spot Prices'!$D:$D)</f>
        <v>43.63</v>
      </c>
      <c r="E419">
        <f>_xlfn.XLOOKUP(A419,'[1]Global_Spot Prices'!$B:$B,'[1]Global_Spot Prices'!$H:$H)</f>
        <v>37.47</v>
      </c>
      <c r="F419">
        <f>_xlfn.XLOOKUP(A419,'[1]Global_Spot Prices'!$B:$B,'[1]Global_Spot Prices'!$I:$I)</f>
        <v>48.53</v>
      </c>
      <c r="G419" cm="1">
        <f t="array" ref="G419">_xlfn.XLOOKUP(TEXT(A419, "mmm-yy"), TEXT([2]RUNS!$B$5:$B$208, "mmm-yy"), [2]RUNS!$D$5:$D$208, "Not Found")</f>
        <v>27425.728304335124</v>
      </c>
      <c r="H419" cm="1">
        <f t="array" ref="H419">SUMPRODUCT(
    --(TEXT('[3]Global Weekly Stock (EWSuez'!$B$4:$B$2000,"mmm-yy")=TEXT(A419,"mmm-yy")),
    '[3]Global Weekly Stock (EWSuez'!$E$4:$E$2000)
/
SUMPRODUCT(
    --(TEXT('[3]Global Weekly Stock (EWSuez'!$B$4:$B$2000,"mmm-yy")=TEXT(A419,"mmm-yy"))
)</f>
        <v>14274.75</v>
      </c>
      <c r="I419">
        <f>_xlfn.XLOOKUP(A419,[1]ForwardDeriv!$D:$D,[1]ForwardDeriv!$AJ:$AJ)</f>
        <v>-0.54999999999999716</v>
      </c>
      <c r="J419" cm="1">
        <f t="array" ref="J419">_xlfn.XLOOKUP(TEXT(A419, "mmm-yy"), TEXT([2]GASOLINE!$B$5:$B$208, "mmm-yy"), [2]GASOLINE!$IR$5:$IR$208, "Not Found")</f>
        <v>-230.34109085140324</v>
      </c>
      <c r="K419" cm="1">
        <f t="array" ref="K419">_xlfn.XLOOKUP(TEXT(A419, "mmm-yy"), TEXT([2]GASOLINE!$B$5:$B$208, "mmm-yy"), [2]GASOLINE!$IK$5:$IK$208, "Not Found")</f>
        <v>0</v>
      </c>
      <c r="L419">
        <f t="shared" si="6"/>
        <v>1</v>
      </c>
      <c r="M419" cm="1">
        <f t="array" ref="M419">_xlfn.XLOOKUP(TEXT(A419, "mmm-yy"), TEXT([2]GASOLINE!$B$5:$B$208, "mmm-yy"), [2]GASOLINE!$C$5:$C$208, "Not Found")</f>
        <v>7112.858702352406</v>
      </c>
      <c r="N419" cm="1">
        <f t="array" ref="N419">_xlfn.XLOOKUP(TEXT(A419, "mmm-yy"), TEXT([2]RUNS!$B$5:$B$208, "mmm-yy"), [2]RUNS!$BM$5:$BM$208, "Not Found")</f>
        <v>0.81514292648111686</v>
      </c>
    </row>
    <row r="420" spans="1:14" x14ac:dyDescent="0.25">
      <c r="A420" s="1">
        <f>'[1]Global_Spot Prices'!$B1729</f>
        <v>42591</v>
      </c>
      <c r="B420" t="e">
        <f>_xlfn.XLOOKUP(A420,'[1]Global_Spot Prices'!$B:$B,'[1]Global_Spot Prices'!$BS:$BS)</f>
        <v>#N/A</v>
      </c>
      <c r="C420" t="str">
        <f>_xlfn.XLOOKUP(A420,'[1]Global_Spot Prices'!$B:$B,'[1]Global_Spot Prices'!$E:$E)</f>
        <v/>
      </c>
      <c r="D420">
        <f>_xlfn.XLOOKUP(A420,'[1]Global_Spot Prices'!$B:$B,'[1]Global_Spot Prices'!$D:$D)</f>
        <v>43.655000000000001</v>
      </c>
      <c r="E420">
        <f>_xlfn.XLOOKUP(A420,'[1]Global_Spot Prices'!$B:$B,'[1]Global_Spot Prices'!$H:$H)</f>
        <v>0</v>
      </c>
      <c r="F420">
        <f>_xlfn.XLOOKUP(A420,'[1]Global_Spot Prices'!$B:$B,'[1]Global_Spot Prices'!$I:$I)</f>
        <v>0</v>
      </c>
      <c r="G420" cm="1">
        <f t="array" ref="G420">_xlfn.XLOOKUP(TEXT(A420, "mmm-yy"), TEXT([2]RUNS!$B$5:$B$208, "mmm-yy"), [2]RUNS!$D$5:$D$208, "Not Found")</f>
        <v>27425.728304335124</v>
      </c>
      <c r="H420" cm="1">
        <f t="array" ref="H420">SUMPRODUCT(
    --(TEXT('[3]Global Weekly Stock (EWSuez'!$B$4:$B$2000,"mmm-yy")=TEXT(A420,"mmm-yy")),
    '[3]Global Weekly Stock (EWSuez'!$E$4:$E$2000)
/
SUMPRODUCT(
    --(TEXT('[3]Global Weekly Stock (EWSuez'!$B$4:$B$2000,"mmm-yy")=TEXT(A420,"mmm-yy"))
)</f>
        <v>14274.75</v>
      </c>
      <c r="I420">
        <f>_xlfn.XLOOKUP(A420,[1]ForwardDeriv!$D:$D,[1]ForwardDeriv!$AJ:$AJ)</f>
        <v>-0.54999999999999716</v>
      </c>
      <c r="J420" cm="1">
        <f t="array" ref="J420">_xlfn.XLOOKUP(TEXT(A420, "mmm-yy"), TEXT([2]GASOLINE!$B$5:$B$208, "mmm-yy"), [2]GASOLINE!$IR$5:$IR$208, "Not Found")</f>
        <v>-230.34109085140324</v>
      </c>
      <c r="K420" cm="1">
        <f t="array" ref="K420">_xlfn.XLOOKUP(TEXT(A420, "mmm-yy"), TEXT([2]GASOLINE!$B$5:$B$208, "mmm-yy"), [2]GASOLINE!$IK$5:$IK$208, "Not Found")</f>
        <v>0</v>
      </c>
      <c r="L420">
        <f t="shared" si="6"/>
        <v>1</v>
      </c>
      <c r="M420" cm="1">
        <f t="array" ref="M420">_xlfn.XLOOKUP(TEXT(A420, "mmm-yy"), TEXT([2]GASOLINE!$B$5:$B$208, "mmm-yy"), [2]GASOLINE!$C$5:$C$208, "Not Found")</f>
        <v>7112.858702352406</v>
      </c>
      <c r="N420" cm="1">
        <f t="array" ref="N420">_xlfn.XLOOKUP(TEXT(A420, "mmm-yy"), TEXT([2]RUNS!$B$5:$B$208, "mmm-yy"), [2]RUNS!$BM$5:$BM$208, "Not Found")</f>
        <v>0.81514292648111686</v>
      </c>
    </row>
    <row r="421" spans="1:14" x14ac:dyDescent="0.25">
      <c r="A421" s="1">
        <f>'[1]Global_Spot Prices'!$B1730</f>
        <v>42592</v>
      </c>
      <c r="B421">
        <f>_xlfn.XLOOKUP(A421,'[1]Global_Spot Prices'!$B:$B,'[1]Global_Spot Prices'!$BS:$BS)</f>
        <v>6.7999999999999972</v>
      </c>
      <c r="C421">
        <f>_xlfn.XLOOKUP(A421,'[1]Global_Spot Prices'!$B:$B,'[1]Global_Spot Prices'!$E:$E)</f>
        <v>41.36</v>
      </c>
      <c r="D421">
        <f>_xlfn.XLOOKUP(A421,'[1]Global_Spot Prices'!$B:$B,'[1]Global_Spot Prices'!$D:$D)</f>
        <v>42.69</v>
      </c>
      <c r="E421">
        <f>_xlfn.XLOOKUP(A421,'[1]Global_Spot Prices'!$B:$B,'[1]Global_Spot Prices'!$H:$H)</f>
        <v>37.15</v>
      </c>
      <c r="F421">
        <f>_xlfn.XLOOKUP(A421,'[1]Global_Spot Prices'!$B:$B,'[1]Global_Spot Prices'!$I:$I)</f>
        <v>48.16</v>
      </c>
      <c r="G421" cm="1">
        <f t="array" ref="G421">_xlfn.XLOOKUP(TEXT(A421, "mmm-yy"), TEXT([2]RUNS!$B$5:$B$208, "mmm-yy"), [2]RUNS!$D$5:$D$208, "Not Found")</f>
        <v>27425.728304335124</v>
      </c>
      <c r="H421" cm="1">
        <f t="array" ref="H421">SUMPRODUCT(
    --(TEXT('[3]Global Weekly Stock (EWSuez'!$B$4:$B$2000,"mmm-yy")=TEXT(A421,"mmm-yy")),
    '[3]Global Weekly Stock (EWSuez'!$E$4:$E$2000)
/
SUMPRODUCT(
    --(TEXT('[3]Global Weekly Stock (EWSuez'!$B$4:$B$2000,"mmm-yy")=TEXT(A421,"mmm-yy"))
)</f>
        <v>14274.75</v>
      </c>
      <c r="I421">
        <f>_xlfn.XLOOKUP(A421,[1]ForwardDeriv!$D:$D,[1]ForwardDeriv!$AJ:$AJ)</f>
        <v>-0.54999999999999716</v>
      </c>
      <c r="J421" cm="1">
        <f t="array" ref="J421">_xlfn.XLOOKUP(TEXT(A421, "mmm-yy"), TEXT([2]GASOLINE!$B$5:$B$208, "mmm-yy"), [2]GASOLINE!$IR$5:$IR$208, "Not Found")</f>
        <v>-230.34109085140324</v>
      </c>
      <c r="K421" cm="1">
        <f t="array" ref="K421">_xlfn.XLOOKUP(TEXT(A421, "mmm-yy"), TEXT([2]GASOLINE!$B$5:$B$208, "mmm-yy"), [2]GASOLINE!$IK$5:$IK$208, "Not Found")</f>
        <v>0</v>
      </c>
      <c r="L421">
        <f t="shared" si="6"/>
        <v>1</v>
      </c>
      <c r="M421" cm="1">
        <f t="array" ref="M421">_xlfn.XLOOKUP(TEXT(A421, "mmm-yy"), TEXT([2]GASOLINE!$B$5:$B$208, "mmm-yy"), [2]GASOLINE!$C$5:$C$208, "Not Found")</f>
        <v>7112.858702352406</v>
      </c>
      <c r="N421" cm="1">
        <f t="array" ref="N421">_xlfn.XLOOKUP(TEXT(A421, "mmm-yy"), TEXT([2]RUNS!$B$5:$B$208, "mmm-yy"), [2]RUNS!$BM$5:$BM$208, "Not Found")</f>
        <v>0.81514292648111686</v>
      </c>
    </row>
    <row r="422" spans="1:14" x14ac:dyDescent="0.25">
      <c r="A422" s="1">
        <f>'[1]Global_Spot Prices'!$B1731</f>
        <v>42593</v>
      </c>
      <c r="B422">
        <f>_xlfn.XLOOKUP(A422,'[1]Global_Spot Prices'!$B:$B,'[1]Global_Spot Prices'!$BS:$BS)</f>
        <v>6.2100000000000009</v>
      </c>
      <c r="C422">
        <f>_xlfn.XLOOKUP(A422,'[1]Global_Spot Prices'!$B:$B,'[1]Global_Spot Prices'!$E:$E)</f>
        <v>40.51</v>
      </c>
      <c r="D422">
        <f>_xlfn.XLOOKUP(A422,'[1]Global_Spot Prices'!$B:$B,'[1]Global_Spot Prices'!$D:$D)</f>
        <v>44.36</v>
      </c>
      <c r="E422">
        <f>_xlfn.XLOOKUP(A422,'[1]Global_Spot Prices'!$B:$B,'[1]Global_Spot Prices'!$H:$H)</f>
        <v>36.869999999999997</v>
      </c>
      <c r="F422">
        <f>_xlfn.XLOOKUP(A422,'[1]Global_Spot Prices'!$B:$B,'[1]Global_Spot Prices'!$I:$I)</f>
        <v>46.72</v>
      </c>
      <c r="G422" cm="1">
        <f t="array" ref="G422">_xlfn.XLOOKUP(TEXT(A422, "mmm-yy"), TEXT([2]RUNS!$B$5:$B$208, "mmm-yy"), [2]RUNS!$D$5:$D$208, "Not Found")</f>
        <v>27425.728304335124</v>
      </c>
      <c r="H422" cm="1">
        <f t="array" ref="H422">SUMPRODUCT(
    --(TEXT('[3]Global Weekly Stock (EWSuez'!$B$4:$B$2000,"mmm-yy")=TEXT(A422,"mmm-yy")),
    '[3]Global Weekly Stock (EWSuez'!$E$4:$E$2000)
/
SUMPRODUCT(
    --(TEXT('[3]Global Weekly Stock (EWSuez'!$B$4:$B$2000,"mmm-yy")=TEXT(A422,"mmm-yy"))
)</f>
        <v>14274.75</v>
      </c>
      <c r="I422">
        <f>_xlfn.XLOOKUP(A422,[1]ForwardDeriv!$D:$D,[1]ForwardDeriv!$AJ:$AJ)</f>
        <v>-0.60000000000000142</v>
      </c>
      <c r="J422" cm="1">
        <f t="array" ref="J422">_xlfn.XLOOKUP(TEXT(A422, "mmm-yy"), TEXT([2]GASOLINE!$B$5:$B$208, "mmm-yy"), [2]GASOLINE!$IR$5:$IR$208, "Not Found")</f>
        <v>-230.34109085140324</v>
      </c>
      <c r="K422" cm="1">
        <f t="array" ref="K422">_xlfn.XLOOKUP(TEXT(A422, "mmm-yy"), TEXT([2]GASOLINE!$B$5:$B$208, "mmm-yy"), [2]GASOLINE!$IK$5:$IK$208, "Not Found")</f>
        <v>0</v>
      </c>
      <c r="L422">
        <f t="shared" si="6"/>
        <v>1</v>
      </c>
      <c r="M422" cm="1">
        <f t="array" ref="M422">_xlfn.XLOOKUP(TEXT(A422, "mmm-yy"), TEXT([2]GASOLINE!$B$5:$B$208, "mmm-yy"), [2]GASOLINE!$C$5:$C$208, "Not Found")</f>
        <v>7112.858702352406</v>
      </c>
      <c r="N422" cm="1">
        <f t="array" ref="N422">_xlfn.XLOOKUP(TEXT(A422, "mmm-yy"), TEXT([2]RUNS!$B$5:$B$208, "mmm-yy"), [2]RUNS!$BM$5:$BM$208, "Not Found")</f>
        <v>0.81514292648111686</v>
      </c>
    </row>
    <row r="423" spans="1:14" x14ac:dyDescent="0.25">
      <c r="A423" s="1">
        <f>'[1]Global_Spot Prices'!$B1732</f>
        <v>42594</v>
      </c>
      <c r="B423">
        <f>_xlfn.XLOOKUP(A423,'[1]Global_Spot Prices'!$B:$B,'[1]Global_Spot Prices'!$BS:$BS)</f>
        <v>7.3900000000000006</v>
      </c>
      <c r="C423">
        <f>_xlfn.XLOOKUP(A423,'[1]Global_Spot Prices'!$B:$B,'[1]Global_Spot Prices'!$E:$E)</f>
        <v>42.91</v>
      </c>
      <c r="D423">
        <f>_xlfn.XLOOKUP(A423,'[1]Global_Spot Prices'!$B:$B,'[1]Global_Spot Prices'!$D:$D)</f>
        <v>45.484999999999999</v>
      </c>
      <c r="E423">
        <f>_xlfn.XLOOKUP(A423,'[1]Global_Spot Prices'!$B:$B,'[1]Global_Spot Prices'!$H:$H)</f>
        <v>38.54</v>
      </c>
      <c r="F423">
        <f>_xlfn.XLOOKUP(A423,'[1]Global_Spot Prices'!$B:$B,'[1]Global_Spot Prices'!$I:$I)</f>
        <v>50.3</v>
      </c>
      <c r="G423" cm="1">
        <f t="array" ref="G423">_xlfn.XLOOKUP(TEXT(A423, "mmm-yy"), TEXT([2]RUNS!$B$5:$B$208, "mmm-yy"), [2]RUNS!$D$5:$D$208, "Not Found")</f>
        <v>27425.728304335124</v>
      </c>
      <c r="H423" cm="1">
        <f t="array" ref="H423">SUMPRODUCT(
    --(TEXT('[3]Global Weekly Stock (EWSuez'!$B$4:$B$2000,"mmm-yy")=TEXT(A423,"mmm-yy")),
    '[3]Global Weekly Stock (EWSuez'!$E$4:$E$2000)
/
SUMPRODUCT(
    --(TEXT('[3]Global Weekly Stock (EWSuez'!$B$4:$B$2000,"mmm-yy")=TEXT(A423,"mmm-yy"))
)</f>
        <v>14274.75</v>
      </c>
      <c r="I423">
        <f>_xlfn.XLOOKUP(A423,[1]ForwardDeriv!$D:$D,[1]ForwardDeriv!$AJ:$AJ)</f>
        <v>-0.54999999999999716</v>
      </c>
      <c r="J423" cm="1">
        <f t="array" ref="J423">_xlfn.XLOOKUP(TEXT(A423, "mmm-yy"), TEXT([2]GASOLINE!$B$5:$B$208, "mmm-yy"), [2]GASOLINE!$IR$5:$IR$208, "Not Found")</f>
        <v>-230.34109085140324</v>
      </c>
      <c r="K423" cm="1">
        <f t="array" ref="K423">_xlfn.XLOOKUP(TEXT(A423, "mmm-yy"), TEXT([2]GASOLINE!$B$5:$B$208, "mmm-yy"), [2]GASOLINE!$IK$5:$IK$208, "Not Found")</f>
        <v>0</v>
      </c>
      <c r="L423">
        <f t="shared" si="6"/>
        <v>1</v>
      </c>
      <c r="M423" cm="1">
        <f t="array" ref="M423">_xlfn.XLOOKUP(TEXT(A423, "mmm-yy"), TEXT([2]GASOLINE!$B$5:$B$208, "mmm-yy"), [2]GASOLINE!$C$5:$C$208, "Not Found")</f>
        <v>7112.858702352406</v>
      </c>
      <c r="N423" cm="1">
        <f t="array" ref="N423">_xlfn.XLOOKUP(TEXT(A423, "mmm-yy"), TEXT([2]RUNS!$B$5:$B$208, "mmm-yy"), [2]RUNS!$BM$5:$BM$208, "Not Found")</f>
        <v>0.81514292648111686</v>
      </c>
    </row>
    <row r="424" spans="1:14" x14ac:dyDescent="0.25">
      <c r="A424" s="1">
        <f>'[1]Global_Spot Prices'!$B1733</f>
        <v>42597</v>
      </c>
      <c r="B424">
        <f>_xlfn.XLOOKUP(A424,'[1]Global_Spot Prices'!$B:$B,'[1]Global_Spot Prices'!$BS:$BS)</f>
        <v>7.1300000000000026</v>
      </c>
      <c r="C424">
        <f>_xlfn.XLOOKUP(A424,'[1]Global_Spot Prices'!$B:$B,'[1]Global_Spot Prices'!$E:$E)</f>
        <v>44.4</v>
      </c>
      <c r="D424">
        <f>_xlfn.XLOOKUP(A424,'[1]Global_Spot Prices'!$B:$B,'[1]Global_Spot Prices'!$D:$D)</f>
        <v>47.24</v>
      </c>
      <c r="E424">
        <f>_xlfn.XLOOKUP(A424,'[1]Global_Spot Prices'!$B:$B,'[1]Global_Spot Prices'!$H:$H)</f>
        <v>39.119999999999997</v>
      </c>
      <c r="F424">
        <f>_xlfn.XLOOKUP(A424,'[1]Global_Spot Prices'!$B:$B,'[1]Global_Spot Prices'!$I:$I)</f>
        <v>51.53</v>
      </c>
      <c r="G424" cm="1">
        <f t="array" ref="G424">_xlfn.XLOOKUP(TEXT(A424, "mmm-yy"), TEXT([2]RUNS!$B$5:$B$208, "mmm-yy"), [2]RUNS!$D$5:$D$208, "Not Found")</f>
        <v>27425.728304335124</v>
      </c>
      <c r="H424" cm="1">
        <f t="array" ref="H424">SUMPRODUCT(
    --(TEXT('[3]Global Weekly Stock (EWSuez'!$B$4:$B$2000,"mmm-yy")=TEXT(A424,"mmm-yy")),
    '[3]Global Weekly Stock (EWSuez'!$E$4:$E$2000)
/
SUMPRODUCT(
    --(TEXT('[3]Global Weekly Stock (EWSuez'!$B$4:$B$2000,"mmm-yy")=TEXT(A424,"mmm-yy"))
)</f>
        <v>14274.75</v>
      </c>
      <c r="I424">
        <f>_xlfn.XLOOKUP(A424,[1]ForwardDeriv!$D:$D,[1]ForwardDeriv!$AJ:$AJ)</f>
        <v>-0.44999999999999574</v>
      </c>
      <c r="J424" cm="1">
        <f t="array" ref="J424">_xlfn.XLOOKUP(TEXT(A424, "mmm-yy"), TEXT([2]GASOLINE!$B$5:$B$208, "mmm-yy"), [2]GASOLINE!$IR$5:$IR$208, "Not Found")</f>
        <v>-230.34109085140324</v>
      </c>
      <c r="K424" cm="1">
        <f t="array" ref="K424">_xlfn.XLOOKUP(TEXT(A424, "mmm-yy"), TEXT([2]GASOLINE!$B$5:$B$208, "mmm-yy"), [2]GASOLINE!$IK$5:$IK$208, "Not Found")</f>
        <v>0</v>
      </c>
      <c r="L424">
        <f t="shared" si="6"/>
        <v>1</v>
      </c>
      <c r="M424" cm="1">
        <f t="array" ref="M424">_xlfn.XLOOKUP(TEXT(A424, "mmm-yy"), TEXT([2]GASOLINE!$B$5:$B$208, "mmm-yy"), [2]GASOLINE!$C$5:$C$208, "Not Found")</f>
        <v>7112.858702352406</v>
      </c>
      <c r="N424" cm="1">
        <f t="array" ref="N424">_xlfn.XLOOKUP(TEXT(A424, "mmm-yy"), TEXT([2]RUNS!$B$5:$B$208, "mmm-yy"), [2]RUNS!$BM$5:$BM$208, "Not Found")</f>
        <v>0.81514292648111686</v>
      </c>
    </row>
    <row r="425" spans="1:14" x14ac:dyDescent="0.25">
      <c r="A425" s="1">
        <f>'[1]Global_Spot Prices'!$B1734</f>
        <v>42598</v>
      </c>
      <c r="B425">
        <f>_xlfn.XLOOKUP(A425,'[1]Global_Spot Prices'!$B:$B,'[1]Global_Spot Prices'!$BS:$BS)</f>
        <v>7.32</v>
      </c>
      <c r="C425">
        <f>_xlfn.XLOOKUP(A425,'[1]Global_Spot Prices'!$B:$B,'[1]Global_Spot Prices'!$E:$E)</f>
        <v>45.76</v>
      </c>
      <c r="D425">
        <f>_xlfn.XLOOKUP(A425,'[1]Global_Spot Prices'!$B:$B,'[1]Global_Spot Prices'!$D:$D)</f>
        <v>48.284999999999997</v>
      </c>
      <c r="E425">
        <f>_xlfn.XLOOKUP(A425,'[1]Global_Spot Prices'!$B:$B,'[1]Global_Spot Prices'!$H:$H)</f>
        <v>40.26</v>
      </c>
      <c r="F425">
        <f>_xlfn.XLOOKUP(A425,'[1]Global_Spot Prices'!$B:$B,'[1]Global_Spot Prices'!$I:$I)</f>
        <v>53.08</v>
      </c>
      <c r="G425" cm="1">
        <f t="array" ref="G425">_xlfn.XLOOKUP(TEXT(A425, "mmm-yy"), TEXT([2]RUNS!$B$5:$B$208, "mmm-yy"), [2]RUNS!$D$5:$D$208, "Not Found")</f>
        <v>27425.728304335124</v>
      </c>
      <c r="H425" cm="1">
        <f t="array" ref="H425">SUMPRODUCT(
    --(TEXT('[3]Global Weekly Stock (EWSuez'!$B$4:$B$2000,"mmm-yy")=TEXT(A425,"mmm-yy")),
    '[3]Global Weekly Stock (EWSuez'!$E$4:$E$2000)
/
SUMPRODUCT(
    --(TEXT('[3]Global Weekly Stock (EWSuez'!$B$4:$B$2000,"mmm-yy")=TEXT(A425,"mmm-yy"))
)</f>
        <v>14274.75</v>
      </c>
      <c r="I425">
        <f>_xlfn.XLOOKUP(A425,[1]ForwardDeriv!$D:$D,[1]ForwardDeriv!$AJ:$AJ)</f>
        <v>-0.25</v>
      </c>
      <c r="J425" cm="1">
        <f t="array" ref="J425">_xlfn.XLOOKUP(TEXT(A425, "mmm-yy"), TEXT([2]GASOLINE!$B$5:$B$208, "mmm-yy"), [2]GASOLINE!$IR$5:$IR$208, "Not Found")</f>
        <v>-230.34109085140324</v>
      </c>
      <c r="K425" cm="1">
        <f t="array" ref="K425">_xlfn.XLOOKUP(TEXT(A425, "mmm-yy"), TEXT([2]GASOLINE!$B$5:$B$208, "mmm-yy"), [2]GASOLINE!$IK$5:$IK$208, "Not Found")</f>
        <v>0</v>
      </c>
      <c r="L425">
        <f t="shared" si="6"/>
        <v>1</v>
      </c>
      <c r="M425" cm="1">
        <f t="array" ref="M425">_xlfn.XLOOKUP(TEXT(A425, "mmm-yy"), TEXT([2]GASOLINE!$B$5:$B$208, "mmm-yy"), [2]GASOLINE!$C$5:$C$208, "Not Found")</f>
        <v>7112.858702352406</v>
      </c>
      <c r="N425" cm="1">
        <f t="array" ref="N425">_xlfn.XLOOKUP(TEXT(A425, "mmm-yy"), TEXT([2]RUNS!$B$5:$B$208, "mmm-yy"), [2]RUNS!$BM$5:$BM$208, "Not Found")</f>
        <v>0.81514292648111686</v>
      </c>
    </row>
    <row r="426" spans="1:14" x14ac:dyDescent="0.25">
      <c r="A426" s="1">
        <f>'[1]Global_Spot Prices'!$B1735</f>
        <v>42599</v>
      </c>
      <c r="B426">
        <f>_xlfn.XLOOKUP(A426,'[1]Global_Spot Prices'!$B:$B,'[1]Global_Spot Prices'!$BS:$BS)</f>
        <v>6.990000000000002</v>
      </c>
      <c r="C426">
        <f>_xlfn.XLOOKUP(A426,'[1]Global_Spot Prices'!$B:$B,'[1]Global_Spot Prices'!$E:$E)</f>
        <v>45.91</v>
      </c>
      <c r="D426">
        <f>_xlfn.XLOOKUP(A426,'[1]Global_Spot Prices'!$B:$B,'[1]Global_Spot Prices'!$D:$D)</f>
        <v>48.674999999999997</v>
      </c>
      <c r="E426">
        <f>_xlfn.XLOOKUP(A426,'[1]Global_Spot Prices'!$B:$B,'[1]Global_Spot Prices'!$H:$H)</f>
        <v>40.54</v>
      </c>
      <c r="F426">
        <f>_xlfn.XLOOKUP(A426,'[1]Global_Spot Prices'!$B:$B,'[1]Global_Spot Prices'!$I:$I)</f>
        <v>52.9</v>
      </c>
      <c r="G426" cm="1">
        <f t="array" ref="G426">_xlfn.XLOOKUP(TEXT(A426, "mmm-yy"), TEXT([2]RUNS!$B$5:$B$208, "mmm-yy"), [2]RUNS!$D$5:$D$208, "Not Found")</f>
        <v>27425.728304335124</v>
      </c>
      <c r="H426" cm="1">
        <f t="array" ref="H426">SUMPRODUCT(
    --(TEXT('[3]Global Weekly Stock (EWSuez'!$B$4:$B$2000,"mmm-yy")=TEXT(A426,"mmm-yy")),
    '[3]Global Weekly Stock (EWSuez'!$E$4:$E$2000)
/
SUMPRODUCT(
    --(TEXT('[3]Global Weekly Stock (EWSuez'!$B$4:$B$2000,"mmm-yy")=TEXT(A426,"mmm-yy"))
)</f>
        <v>14274.75</v>
      </c>
      <c r="I426">
        <f>_xlfn.XLOOKUP(A426,[1]ForwardDeriv!$D:$D,[1]ForwardDeriv!$AJ:$AJ)</f>
        <v>-0.26999999999999602</v>
      </c>
      <c r="J426" cm="1">
        <f t="array" ref="J426">_xlfn.XLOOKUP(TEXT(A426, "mmm-yy"), TEXT([2]GASOLINE!$B$5:$B$208, "mmm-yy"), [2]GASOLINE!$IR$5:$IR$208, "Not Found")</f>
        <v>-230.34109085140324</v>
      </c>
      <c r="K426" cm="1">
        <f t="array" ref="K426">_xlfn.XLOOKUP(TEXT(A426, "mmm-yy"), TEXT([2]GASOLINE!$B$5:$B$208, "mmm-yy"), [2]GASOLINE!$IK$5:$IK$208, "Not Found")</f>
        <v>0</v>
      </c>
      <c r="L426">
        <f t="shared" si="6"/>
        <v>1</v>
      </c>
      <c r="M426" cm="1">
        <f t="array" ref="M426">_xlfn.XLOOKUP(TEXT(A426, "mmm-yy"), TEXT([2]GASOLINE!$B$5:$B$208, "mmm-yy"), [2]GASOLINE!$C$5:$C$208, "Not Found")</f>
        <v>7112.858702352406</v>
      </c>
      <c r="N426" cm="1">
        <f t="array" ref="N426">_xlfn.XLOOKUP(TEXT(A426, "mmm-yy"), TEXT([2]RUNS!$B$5:$B$208, "mmm-yy"), [2]RUNS!$BM$5:$BM$208, "Not Found")</f>
        <v>0.81514292648111686</v>
      </c>
    </row>
    <row r="427" spans="1:14" x14ac:dyDescent="0.25">
      <c r="A427" s="1">
        <f>'[1]Global_Spot Prices'!$B1736</f>
        <v>42600</v>
      </c>
      <c r="B427">
        <f>_xlfn.XLOOKUP(A427,'[1]Global_Spot Prices'!$B:$B,'[1]Global_Spot Prices'!$BS:$BS)</f>
        <v>8.0499999999999972</v>
      </c>
      <c r="C427">
        <f>_xlfn.XLOOKUP(A427,'[1]Global_Spot Prices'!$B:$B,'[1]Global_Spot Prices'!$E:$E)</f>
        <v>46.7</v>
      </c>
      <c r="D427">
        <f>_xlfn.XLOOKUP(A427,'[1]Global_Spot Prices'!$B:$B,'[1]Global_Spot Prices'!$D:$D)</f>
        <v>49.77</v>
      </c>
      <c r="E427">
        <f>_xlfn.XLOOKUP(A427,'[1]Global_Spot Prices'!$B:$B,'[1]Global_Spot Prices'!$H:$H)</f>
        <v>42.74</v>
      </c>
      <c r="F427">
        <f>_xlfn.XLOOKUP(A427,'[1]Global_Spot Prices'!$B:$B,'[1]Global_Spot Prices'!$I:$I)</f>
        <v>54.75</v>
      </c>
      <c r="G427" cm="1">
        <f t="array" ref="G427">_xlfn.XLOOKUP(TEXT(A427, "mmm-yy"), TEXT([2]RUNS!$B$5:$B$208, "mmm-yy"), [2]RUNS!$D$5:$D$208, "Not Found")</f>
        <v>27425.728304335124</v>
      </c>
      <c r="H427" cm="1">
        <f t="array" ref="H427">SUMPRODUCT(
    --(TEXT('[3]Global Weekly Stock (EWSuez'!$B$4:$B$2000,"mmm-yy")=TEXT(A427,"mmm-yy")),
    '[3]Global Weekly Stock (EWSuez'!$E$4:$E$2000)
/
SUMPRODUCT(
    --(TEXT('[3]Global Weekly Stock (EWSuez'!$B$4:$B$2000,"mmm-yy")=TEXT(A427,"mmm-yy"))
)</f>
        <v>14274.75</v>
      </c>
      <c r="I427">
        <f>_xlfn.XLOOKUP(A427,[1]ForwardDeriv!$D:$D,[1]ForwardDeriv!$AJ:$AJ)</f>
        <v>-0.25</v>
      </c>
      <c r="J427" cm="1">
        <f t="array" ref="J427">_xlfn.XLOOKUP(TEXT(A427, "mmm-yy"), TEXT([2]GASOLINE!$B$5:$B$208, "mmm-yy"), [2]GASOLINE!$IR$5:$IR$208, "Not Found")</f>
        <v>-230.34109085140324</v>
      </c>
      <c r="K427" cm="1">
        <f t="array" ref="K427">_xlfn.XLOOKUP(TEXT(A427, "mmm-yy"), TEXT([2]GASOLINE!$B$5:$B$208, "mmm-yy"), [2]GASOLINE!$IK$5:$IK$208, "Not Found")</f>
        <v>0</v>
      </c>
      <c r="L427">
        <f t="shared" si="6"/>
        <v>1</v>
      </c>
      <c r="M427" cm="1">
        <f t="array" ref="M427">_xlfn.XLOOKUP(TEXT(A427, "mmm-yy"), TEXT([2]GASOLINE!$B$5:$B$208, "mmm-yy"), [2]GASOLINE!$C$5:$C$208, "Not Found")</f>
        <v>7112.858702352406</v>
      </c>
      <c r="N427" cm="1">
        <f t="array" ref="N427">_xlfn.XLOOKUP(TEXT(A427, "mmm-yy"), TEXT([2]RUNS!$B$5:$B$208, "mmm-yy"), [2]RUNS!$BM$5:$BM$208, "Not Found")</f>
        <v>0.81514292648111686</v>
      </c>
    </row>
    <row r="428" spans="1:14" x14ac:dyDescent="0.25">
      <c r="A428" s="1">
        <f>'[1]Global_Spot Prices'!$B1737</f>
        <v>42601</v>
      </c>
      <c r="B428">
        <f>_xlfn.XLOOKUP(A428,'[1]Global_Spot Prices'!$B:$B,'[1]Global_Spot Prices'!$BS:$BS)</f>
        <v>7.8100000000000023</v>
      </c>
      <c r="C428">
        <f>_xlfn.XLOOKUP(A428,'[1]Global_Spot Prices'!$B:$B,'[1]Global_Spot Prices'!$E:$E)</f>
        <v>47.21</v>
      </c>
      <c r="D428">
        <f>_xlfn.XLOOKUP(A428,'[1]Global_Spot Prices'!$B:$B,'[1]Global_Spot Prices'!$D:$D)</f>
        <v>49.7</v>
      </c>
      <c r="E428">
        <f>_xlfn.XLOOKUP(A428,'[1]Global_Spot Prices'!$B:$B,'[1]Global_Spot Prices'!$H:$H)</f>
        <v>42.95</v>
      </c>
      <c r="F428">
        <f>_xlfn.XLOOKUP(A428,'[1]Global_Spot Prices'!$B:$B,'[1]Global_Spot Prices'!$I:$I)</f>
        <v>55.02</v>
      </c>
      <c r="G428" cm="1">
        <f t="array" ref="G428">_xlfn.XLOOKUP(TEXT(A428, "mmm-yy"), TEXT([2]RUNS!$B$5:$B$208, "mmm-yy"), [2]RUNS!$D$5:$D$208, "Not Found")</f>
        <v>27425.728304335124</v>
      </c>
      <c r="H428" cm="1">
        <f t="array" ref="H428">SUMPRODUCT(
    --(TEXT('[3]Global Weekly Stock (EWSuez'!$B$4:$B$2000,"mmm-yy")=TEXT(A428,"mmm-yy")),
    '[3]Global Weekly Stock (EWSuez'!$E$4:$E$2000)
/
SUMPRODUCT(
    --(TEXT('[3]Global Weekly Stock (EWSuez'!$B$4:$B$2000,"mmm-yy")=TEXT(A428,"mmm-yy"))
)</f>
        <v>14274.75</v>
      </c>
      <c r="I428">
        <f>_xlfn.XLOOKUP(A428,[1]ForwardDeriv!$D:$D,[1]ForwardDeriv!$AJ:$AJ)</f>
        <v>-0.32000000000000028</v>
      </c>
      <c r="J428" cm="1">
        <f t="array" ref="J428">_xlfn.XLOOKUP(TEXT(A428, "mmm-yy"), TEXT([2]GASOLINE!$B$5:$B$208, "mmm-yy"), [2]GASOLINE!$IR$5:$IR$208, "Not Found")</f>
        <v>-230.34109085140324</v>
      </c>
      <c r="K428" cm="1">
        <f t="array" ref="K428">_xlfn.XLOOKUP(TEXT(A428, "mmm-yy"), TEXT([2]GASOLINE!$B$5:$B$208, "mmm-yy"), [2]GASOLINE!$IK$5:$IK$208, "Not Found")</f>
        <v>0</v>
      </c>
      <c r="L428">
        <f t="shared" si="6"/>
        <v>1</v>
      </c>
      <c r="M428" cm="1">
        <f t="array" ref="M428">_xlfn.XLOOKUP(TEXT(A428, "mmm-yy"), TEXT([2]GASOLINE!$B$5:$B$208, "mmm-yy"), [2]GASOLINE!$C$5:$C$208, "Not Found")</f>
        <v>7112.858702352406</v>
      </c>
      <c r="N428" cm="1">
        <f t="array" ref="N428">_xlfn.XLOOKUP(TEXT(A428, "mmm-yy"), TEXT([2]RUNS!$B$5:$B$208, "mmm-yy"), [2]RUNS!$BM$5:$BM$208, "Not Found")</f>
        <v>0.81514292648111686</v>
      </c>
    </row>
    <row r="429" spans="1:14" x14ac:dyDescent="0.25">
      <c r="A429" s="1">
        <f>'[1]Global_Spot Prices'!$B1738</f>
        <v>42604</v>
      </c>
      <c r="B429">
        <f>_xlfn.XLOOKUP(A429,'[1]Global_Spot Prices'!$B:$B,'[1]Global_Spot Prices'!$BS:$BS)</f>
        <v>8.14</v>
      </c>
      <c r="C429">
        <f>_xlfn.XLOOKUP(A429,'[1]Global_Spot Prices'!$B:$B,'[1]Global_Spot Prices'!$E:$E)</f>
        <v>46.75</v>
      </c>
      <c r="D429">
        <f>_xlfn.XLOOKUP(A429,'[1]Global_Spot Prices'!$B:$B,'[1]Global_Spot Prices'!$D:$D)</f>
        <v>48.55</v>
      </c>
      <c r="E429">
        <f>_xlfn.XLOOKUP(A429,'[1]Global_Spot Prices'!$B:$B,'[1]Global_Spot Prices'!$H:$H)</f>
        <v>42.74</v>
      </c>
      <c r="F429">
        <f>_xlfn.XLOOKUP(A429,'[1]Global_Spot Prices'!$B:$B,'[1]Global_Spot Prices'!$I:$I)</f>
        <v>54.89</v>
      </c>
      <c r="G429" cm="1">
        <f t="array" ref="G429">_xlfn.XLOOKUP(TEXT(A429, "mmm-yy"), TEXT([2]RUNS!$B$5:$B$208, "mmm-yy"), [2]RUNS!$D$5:$D$208, "Not Found")</f>
        <v>27425.728304335124</v>
      </c>
      <c r="H429" cm="1">
        <f t="array" ref="H429">SUMPRODUCT(
    --(TEXT('[3]Global Weekly Stock (EWSuez'!$B$4:$B$2000,"mmm-yy")=TEXT(A429,"mmm-yy")),
    '[3]Global Weekly Stock (EWSuez'!$E$4:$E$2000)
/
SUMPRODUCT(
    --(TEXT('[3]Global Weekly Stock (EWSuez'!$B$4:$B$2000,"mmm-yy")=TEXT(A429,"mmm-yy"))
)</f>
        <v>14274.75</v>
      </c>
      <c r="I429">
        <f>_xlfn.XLOOKUP(A429,[1]ForwardDeriv!$D:$D,[1]ForwardDeriv!$AJ:$AJ)</f>
        <v>-0.26999999999999602</v>
      </c>
      <c r="J429" cm="1">
        <f t="array" ref="J429">_xlfn.XLOOKUP(TEXT(A429, "mmm-yy"), TEXT([2]GASOLINE!$B$5:$B$208, "mmm-yy"), [2]GASOLINE!$IR$5:$IR$208, "Not Found")</f>
        <v>-230.34109085140324</v>
      </c>
      <c r="K429" cm="1">
        <f t="array" ref="K429">_xlfn.XLOOKUP(TEXT(A429, "mmm-yy"), TEXT([2]GASOLINE!$B$5:$B$208, "mmm-yy"), [2]GASOLINE!$IK$5:$IK$208, "Not Found")</f>
        <v>0</v>
      </c>
      <c r="L429">
        <f t="shared" si="6"/>
        <v>1</v>
      </c>
      <c r="M429" cm="1">
        <f t="array" ref="M429">_xlfn.XLOOKUP(TEXT(A429, "mmm-yy"), TEXT([2]GASOLINE!$B$5:$B$208, "mmm-yy"), [2]GASOLINE!$C$5:$C$208, "Not Found")</f>
        <v>7112.858702352406</v>
      </c>
      <c r="N429" cm="1">
        <f t="array" ref="N429">_xlfn.XLOOKUP(TEXT(A429, "mmm-yy"), TEXT([2]RUNS!$B$5:$B$208, "mmm-yy"), [2]RUNS!$BM$5:$BM$208, "Not Found")</f>
        <v>0.81514292648111686</v>
      </c>
    </row>
    <row r="430" spans="1:14" x14ac:dyDescent="0.25">
      <c r="A430" s="1">
        <f>'[1]Global_Spot Prices'!$B1739</f>
        <v>42605</v>
      </c>
      <c r="B430">
        <f>_xlfn.XLOOKUP(A430,'[1]Global_Spot Prices'!$B:$B,'[1]Global_Spot Prices'!$BS:$BS)</f>
        <v>8.25</v>
      </c>
      <c r="C430">
        <f>_xlfn.XLOOKUP(A430,'[1]Global_Spot Prices'!$B:$B,'[1]Global_Spot Prices'!$E:$E)</f>
        <v>45.4</v>
      </c>
      <c r="D430">
        <f>_xlfn.XLOOKUP(A430,'[1]Global_Spot Prices'!$B:$B,'[1]Global_Spot Prices'!$D:$D)</f>
        <v>49.24</v>
      </c>
      <c r="E430">
        <f>_xlfn.XLOOKUP(A430,'[1]Global_Spot Prices'!$B:$B,'[1]Global_Spot Prices'!$H:$H)</f>
        <v>42.13</v>
      </c>
      <c r="F430">
        <f>_xlfn.XLOOKUP(A430,'[1]Global_Spot Prices'!$B:$B,'[1]Global_Spot Prices'!$I:$I)</f>
        <v>53.65</v>
      </c>
      <c r="G430" cm="1">
        <f t="array" ref="G430">_xlfn.XLOOKUP(TEXT(A430, "mmm-yy"), TEXT([2]RUNS!$B$5:$B$208, "mmm-yy"), [2]RUNS!$D$5:$D$208, "Not Found")</f>
        <v>27425.728304335124</v>
      </c>
      <c r="H430" cm="1">
        <f t="array" ref="H430">SUMPRODUCT(
    --(TEXT('[3]Global Weekly Stock (EWSuez'!$B$4:$B$2000,"mmm-yy")=TEXT(A430,"mmm-yy")),
    '[3]Global Weekly Stock (EWSuez'!$E$4:$E$2000)
/
SUMPRODUCT(
    --(TEXT('[3]Global Weekly Stock (EWSuez'!$B$4:$B$2000,"mmm-yy")=TEXT(A430,"mmm-yy"))
)</f>
        <v>14274.75</v>
      </c>
      <c r="I430">
        <f>_xlfn.XLOOKUP(A430,[1]ForwardDeriv!$D:$D,[1]ForwardDeriv!$AJ:$AJ)</f>
        <v>-0.26999999999999602</v>
      </c>
      <c r="J430" cm="1">
        <f t="array" ref="J430">_xlfn.XLOOKUP(TEXT(A430, "mmm-yy"), TEXT([2]GASOLINE!$B$5:$B$208, "mmm-yy"), [2]GASOLINE!$IR$5:$IR$208, "Not Found")</f>
        <v>-230.34109085140324</v>
      </c>
      <c r="K430" cm="1">
        <f t="array" ref="K430">_xlfn.XLOOKUP(TEXT(A430, "mmm-yy"), TEXT([2]GASOLINE!$B$5:$B$208, "mmm-yy"), [2]GASOLINE!$IK$5:$IK$208, "Not Found")</f>
        <v>0</v>
      </c>
      <c r="L430">
        <f t="shared" si="6"/>
        <v>1</v>
      </c>
      <c r="M430" cm="1">
        <f t="array" ref="M430">_xlfn.XLOOKUP(TEXT(A430, "mmm-yy"), TEXT([2]GASOLINE!$B$5:$B$208, "mmm-yy"), [2]GASOLINE!$C$5:$C$208, "Not Found")</f>
        <v>7112.858702352406</v>
      </c>
      <c r="N430" cm="1">
        <f t="array" ref="N430">_xlfn.XLOOKUP(TEXT(A430, "mmm-yy"), TEXT([2]RUNS!$B$5:$B$208, "mmm-yy"), [2]RUNS!$BM$5:$BM$208, "Not Found")</f>
        <v>0.81514292648111686</v>
      </c>
    </row>
    <row r="431" spans="1:14" x14ac:dyDescent="0.25">
      <c r="A431" s="1">
        <f>'[1]Global_Spot Prices'!$B1740</f>
        <v>42606</v>
      </c>
      <c r="B431">
        <f>_xlfn.XLOOKUP(A431,'[1]Global_Spot Prices'!$B:$B,'[1]Global_Spot Prices'!$BS:$BS)</f>
        <v>8.3999999999999986</v>
      </c>
      <c r="C431">
        <f>_xlfn.XLOOKUP(A431,'[1]Global_Spot Prices'!$B:$B,'[1]Global_Spot Prices'!$E:$E)</f>
        <v>45.95</v>
      </c>
      <c r="D431">
        <f>_xlfn.XLOOKUP(A431,'[1]Global_Spot Prices'!$B:$B,'[1]Global_Spot Prices'!$D:$D)</f>
        <v>48.11</v>
      </c>
      <c r="E431">
        <f>_xlfn.XLOOKUP(A431,'[1]Global_Spot Prices'!$B:$B,'[1]Global_Spot Prices'!$H:$H)</f>
        <v>42.35</v>
      </c>
      <c r="F431">
        <f>_xlfn.XLOOKUP(A431,'[1]Global_Spot Prices'!$B:$B,'[1]Global_Spot Prices'!$I:$I)</f>
        <v>54.35</v>
      </c>
      <c r="G431" cm="1">
        <f t="array" ref="G431">_xlfn.XLOOKUP(TEXT(A431, "mmm-yy"), TEXT([2]RUNS!$B$5:$B$208, "mmm-yy"), [2]RUNS!$D$5:$D$208, "Not Found")</f>
        <v>27425.728304335124</v>
      </c>
      <c r="H431" cm="1">
        <f t="array" ref="H431">SUMPRODUCT(
    --(TEXT('[3]Global Weekly Stock (EWSuez'!$B$4:$B$2000,"mmm-yy")=TEXT(A431,"mmm-yy")),
    '[3]Global Weekly Stock (EWSuez'!$E$4:$E$2000)
/
SUMPRODUCT(
    --(TEXT('[3]Global Weekly Stock (EWSuez'!$B$4:$B$2000,"mmm-yy")=TEXT(A431,"mmm-yy"))
)</f>
        <v>14274.75</v>
      </c>
      <c r="I431">
        <f>_xlfn.XLOOKUP(A431,[1]ForwardDeriv!$D:$D,[1]ForwardDeriv!$AJ:$AJ)</f>
        <v>-0.27999999999999403</v>
      </c>
      <c r="J431" cm="1">
        <f t="array" ref="J431">_xlfn.XLOOKUP(TEXT(A431, "mmm-yy"), TEXT([2]GASOLINE!$B$5:$B$208, "mmm-yy"), [2]GASOLINE!$IR$5:$IR$208, "Not Found")</f>
        <v>-230.34109085140324</v>
      </c>
      <c r="K431" cm="1">
        <f t="array" ref="K431">_xlfn.XLOOKUP(TEXT(A431, "mmm-yy"), TEXT([2]GASOLINE!$B$5:$B$208, "mmm-yy"), [2]GASOLINE!$IK$5:$IK$208, "Not Found")</f>
        <v>0</v>
      </c>
      <c r="L431">
        <f t="shared" si="6"/>
        <v>1</v>
      </c>
      <c r="M431" cm="1">
        <f t="array" ref="M431">_xlfn.XLOOKUP(TEXT(A431, "mmm-yy"), TEXT([2]GASOLINE!$B$5:$B$208, "mmm-yy"), [2]GASOLINE!$C$5:$C$208, "Not Found")</f>
        <v>7112.858702352406</v>
      </c>
      <c r="N431" cm="1">
        <f t="array" ref="N431">_xlfn.XLOOKUP(TEXT(A431, "mmm-yy"), TEXT([2]RUNS!$B$5:$B$208, "mmm-yy"), [2]RUNS!$BM$5:$BM$208, "Not Found")</f>
        <v>0.81514292648111686</v>
      </c>
    </row>
    <row r="432" spans="1:14" x14ac:dyDescent="0.25">
      <c r="A432" s="1">
        <f>'[1]Global_Spot Prices'!$B1741</f>
        <v>42607</v>
      </c>
      <c r="B432">
        <f>_xlfn.XLOOKUP(A432,'[1]Global_Spot Prices'!$B:$B,'[1]Global_Spot Prices'!$BS:$BS)</f>
        <v>9.240000000000002</v>
      </c>
      <c r="C432">
        <f>_xlfn.XLOOKUP(A432,'[1]Global_Spot Prices'!$B:$B,'[1]Global_Spot Prices'!$E:$E)</f>
        <v>45.61</v>
      </c>
      <c r="D432">
        <f>_xlfn.XLOOKUP(A432,'[1]Global_Spot Prices'!$B:$B,'[1]Global_Spot Prices'!$D:$D)</f>
        <v>49.125</v>
      </c>
      <c r="E432">
        <f>_xlfn.XLOOKUP(A432,'[1]Global_Spot Prices'!$B:$B,'[1]Global_Spot Prices'!$H:$H)</f>
        <v>42.06</v>
      </c>
      <c r="F432">
        <f>_xlfn.XLOOKUP(A432,'[1]Global_Spot Prices'!$B:$B,'[1]Global_Spot Prices'!$I:$I)</f>
        <v>54.85</v>
      </c>
      <c r="G432" cm="1">
        <f t="array" ref="G432">_xlfn.XLOOKUP(TEXT(A432, "mmm-yy"), TEXT([2]RUNS!$B$5:$B$208, "mmm-yy"), [2]RUNS!$D$5:$D$208, "Not Found")</f>
        <v>27425.728304335124</v>
      </c>
      <c r="H432" cm="1">
        <f t="array" ref="H432">SUMPRODUCT(
    --(TEXT('[3]Global Weekly Stock (EWSuez'!$B$4:$B$2000,"mmm-yy")=TEXT(A432,"mmm-yy")),
    '[3]Global Weekly Stock (EWSuez'!$E$4:$E$2000)
/
SUMPRODUCT(
    --(TEXT('[3]Global Weekly Stock (EWSuez'!$B$4:$B$2000,"mmm-yy")=TEXT(A432,"mmm-yy"))
)</f>
        <v>14274.75</v>
      </c>
      <c r="I432">
        <f>_xlfn.XLOOKUP(A432,[1]ForwardDeriv!$D:$D,[1]ForwardDeriv!$AJ:$AJ)</f>
        <v>-7.0000000000000284E-2</v>
      </c>
      <c r="J432" cm="1">
        <f t="array" ref="J432">_xlfn.XLOOKUP(TEXT(A432, "mmm-yy"), TEXT([2]GASOLINE!$B$5:$B$208, "mmm-yy"), [2]GASOLINE!$IR$5:$IR$208, "Not Found")</f>
        <v>-230.34109085140324</v>
      </c>
      <c r="K432" cm="1">
        <f t="array" ref="K432">_xlfn.XLOOKUP(TEXT(A432, "mmm-yy"), TEXT([2]GASOLINE!$B$5:$B$208, "mmm-yy"), [2]GASOLINE!$IK$5:$IK$208, "Not Found")</f>
        <v>0</v>
      </c>
      <c r="L432">
        <f t="shared" si="6"/>
        <v>1</v>
      </c>
      <c r="M432" cm="1">
        <f t="array" ref="M432">_xlfn.XLOOKUP(TEXT(A432, "mmm-yy"), TEXT([2]GASOLINE!$B$5:$B$208, "mmm-yy"), [2]GASOLINE!$C$5:$C$208, "Not Found")</f>
        <v>7112.858702352406</v>
      </c>
      <c r="N432" cm="1">
        <f t="array" ref="N432">_xlfn.XLOOKUP(TEXT(A432, "mmm-yy"), TEXT([2]RUNS!$B$5:$B$208, "mmm-yy"), [2]RUNS!$BM$5:$BM$208, "Not Found")</f>
        <v>0.81514292648111686</v>
      </c>
    </row>
    <row r="433" spans="1:14" x14ac:dyDescent="0.25">
      <c r="A433" s="1">
        <f>'[1]Global_Spot Prices'!$B1742</f>
        <v>42608</v>
      </c>
      <c r="B433">
        <f>_xlfn.XLOOKUP(A433,'[1]Global_Spot Prices'!$B:$B,'[1]Global_Spot Prices'!$BS:$BS)</f>
        <v>10.14</v>
      </c>
      <c r="C433">
        <f>_xlfn.XLOOKUP(A433,'[1]Global_Spot Prices'!$B:$B,'[1]Global_Spot Prices'!$E:$E)</f>
        <v>46.11</v>
      </c>
      <c r="D433">
        <f>_xlfn.XLOOKUP(A433,'[1]Global_Spot Prices'!$B:$B,'[1]Global_Spot Prices'!$D:$D)</f>
        <v>49.54</v>
      </c>
      <c r="E433">
        <f>_xlfn.XLOOKUP(A433,'[1]Global_Spot Prices'!$B:$B,'[1]Global_Spot Prices'!$H:$H)</f>
        <v>42.95</v>
      </c>
      <c r="F433">
        <f>_xlfn.XLOOKUP(A433,'[1]Global_Spot Prices'!$B:$B,'[1]Global_Spot Prices'!$I:$I)</f>
        <v>56.25</v>
      </c>
      <c r="G433" cm="1">
        <f t="array" ref="G433">_xlfn.XLOOKUP(TEXT(A433, "mmm-yy"), TEXT([2]RUNS!$B$5:$B$208, "mmm-yy"), [2]RUNS!$D$5:$D$208, "Not Found")</f>
        <v>27425.728304335124</v>
      </c>
      <c r="H433" cm="1">
        <f t="array" ref="H433">SUMPRODUCT(
    --(TEXT('[3]Global Weekly Stock (EWSuez'!$B$4:$B$2000,"mmm-yy")=TEXT(A433,"mmm-yy")),
    '[3]Global Weekly Stock (EWSuez'!$E$4:$E$2000)
/
SUMPRODUCT(
    --(TEXT('[3]Global Weekly Stock (EWSuez'!$B$4:$B$2000,"mmm-yy")=TEXT(A433,"mmm-yy"))
)</f>
        <v>14274.75</v>
      </c>
      <c r="I433">
        <f>_xlfn.XLOOKUP(A433,[1]ForwardDeriv!$D:$D,[1]ForwardDeriv!$AJ:$AJ)</f>
        <v>3.0000000000001137E-2</v>
      </c>
      <c r="J433" cm="1">
        <f t="array" ref="J433">_xlfn.XLOOKUP(TEXT(A433, "mmm-yy"), TEXT([2]GASOLINE!$B$5:$B$208, "mmm-yy"), [2]GASOLINE!$IR$5:$IR$208, "Not Found")</f>
        <v>-230.34109085140324</v>
      </c>
      <c r="K433" cm="1">
        <f t="array" ref="K433">_xlfn.XLOOKUP(TEXT(A433, "mmm-yy"), TEXT([2]GASOLINE!$B$5:$B$208, "mmm-yy"), [2]GASOLINE!$IK$5:$IK$208, "Not Found")</f>
        <v>0</v>
      </c>
      <c r="L433">
        <f t="shared" si="6"/>
        <v>1</v>
      </c>
      <c r="M433" cm="1">
        <f t="array" ref="M433">_xlfn.XLOOKUP(TEXT(A433, "mmm-yy"), TEXT([2]GASOLINE!$B$5:$B$208, "mmm-yy"), [2]GASOLINE!$C$5:$C$208, "Not Found")</f>
        <v>7112.858702352406</v>
      </c>
      <c r="N433" cm="1">
        <f t="array" ref="N433">_xlfn.XLOOKUP(TEXT(A433, "mmm-yy"), TEXT([2]RUNS!$B$5:$B$208, "mmm-yy"), [2]RUNS!$BM$5:$BM$208, "Not Found")</f>
        <v>0.81514292648111686</v>
      </c>
    </row>
    <row r="434" spans="1:14" x14ac:dyDescent="0.25">
      <c r="A434" s="1">
        <f>'[1]Global_Spot Prices'!$B1743</f>
        <v>42611</v>
      </c>
      <c r="B434">
        <f>_xlfn.XLOOKUP(A434,'[1]Global_Spot Prices'!$B:$B,'[1]Global_Spot Prices'!$BS:$BS)</f>
        <v>11.030000000000001</v>
      </c>
      <c r="C434">
        <f>_xlfn.XLOOKUP(A434,'[1]Global_Spot Prices'!$B:$B,'[1]Global_Spot Prices'!$E:$E)</f>
        <v>45.86</v>
      </c>
      <c r="D434" t="str">
        <f>_xlfn.XLOOKUP(A434,'[1]Global_Spot Prices'!$B:$B,'[1]Global_Spot Prices'!$D:$D)</f>
        <v/>
      </c>
      <c r="E434">
        <f>_xlfn.XLOOKUP(A434,'[1]Global_Spot Prices'!$B:$B,'[1]Global_Spot Prices'!$H:$H)</f>
        <v>42.11</v>
      </c>
      <c r="F434">
        <f>_xlfn.XLOOKUP(A434,'[1]Global_Spot Prices'!$B:$B,'[1]Global_Spot Prices'!$I:$I)</f>
        <v>56.89</v>
      </c>
      <c r="G434" cm="1">
        <f t="array" ref="G434">_xlfn.XLOOKUP(TEXT(A434, "mmm-yy"), TEXT([2]RUNS!$B$5:$B$208, "mmm-yy"), [2]RUNS!$D$5:$D$208, "Not Found")</f>
        <v>27425.728304335124</v>
      </c>
      <c r="H434" cm="1">
        <f t="array" ref="H434">SUMPRODUCT(
    --(TEXT('[3]Global Weekly Stock (EWSuez'!$B$4:$B$2000,"mmm-yy")=TEXT(A434,"mmm-yy")),
    '[3]Global Weekly Stock (EWSuez'!$E$4:$E$2000)
/
SUMPRODUCT(
    --(TEXT('[3]Global Weekly Stock (EWSuez'!$B$4:$B$2000,"mmm-yy")=TEXT(A434,"mmm-yy"))
)</f>
        <v>14274.75</v>
      </c>
      <c r="I434">
        <f>_xlfn.XLOOKUP(A434,[1]ForwardDeriv!$D:$D,[1]ForwardDeriv!$AJ:$AJ)</f>
        <v>0.39999999999999858</v>
      </c>
      <c r="J434" cm="1">
        <f t="array" ref="J434">_xlfn.XLOOKUP(TEXT(A434, "mmm-yy"), TEXT([2]GASOLINE!$B$5:$B$208, "mmm-yy"), [2]GASOLINE!$IR$5:$IR$208, "Not Found")</f>
        <v>-230.34109085140324</v>
      </c>
      <c r="K434" cm="1">
        <f t="array" ref="K434">_xlfn.XLOOKUP(TEXT(A434, "mmm-yy"), TEXT([2]GASOLINE!$B$5:$B$208, "mmm-yy"), [2]GASOLINE!$IK$5:$IK$208, "Not Found")</f>
        <v>0</v>
      </c>
      <c r="L434">
        <f t="shared" si="6"/>
        <v>1</v>
      </c>
      <c r="M434" cm="1">
        <f t="array" ref="M434">_xlfn.XLOOKUP(TEXT(A434, "mmm-yy"), TEXT([2]GASOLINE!$B$5:$B$208, "mmm-yy"), [2]GASOLINE!$C$5:$C$208, "Not Found")</f>
        <v>7112.858702352406</v>
      </c>
      <c r="N434" cm="1">
        <f t="array" ref="N434">_xlfn.XLOOKUP(TEXT(A434, "mmm-yy"), TEXT([2]RUNS!$B$5:$B$208, "mmm-yy"), [2]RUNS!$BM$5:$BM$208, "Not Found")</f>
        <v>0.81514292648111686</v>
      </c>
    </row>
    <row r="435" spans="1:14" x14ac:dyDescent="0.25">
      <c r="A435" s="1">
        <f>'[1]Global_Spot Prices'!$B1744</f>
        <v>42612</v>
      </c>
      <c r="B435">
        <f>_xlfn.XLOOKUP(A435,'[1]Global_Spot Prices'!$B:$B,'[1]Global_Spot Prices'!$BS:$BS)</f>
        <v>10.049999999999997</v>
      </c>
      <c r="C435">
        <f>_xlfn.XLOOKUP(A435,'[1]Global_Spot Prices'!$B:$B,'[1]Global_Spot Prices'!$E:$E)</f>
        <v>46.2</v>
      </c>
      <c r="D435">
        <f>_xlfn.XLOOKUP(A435,'[1]Global_Spot Prices'!$B:$B,'[1]Global_Spot Prices'!$D:$D)</f>
        <v>47.68</v>
      </c>
      <c r="E435">
        <f>_xlfn.XLOOKUP(A435,'[1]Global_Spot Prices'!$B:$B,'[1]Global_Spot Prices'!$H:$H)</f>
        <v>42.49</v>
      </c>
      <c r="F435">
        <f>_xlfn.XLOOKUP(A435,'[1]Global_Spot Prices'!$B:$B,'[1]Global_Spot Prices'!$I:$I)</f>
        <v>56.25</v>
      </c>
      <c r="G435" cm="1">
        <f t="array" ref="G435">_xlfn.XLOOKUP(TEXT(A435, "mmm-yy"), TEXT([2]RUNS!$B$5:$B$208, "mmm-yy"), [2]RUNS!$D$5:$D$208, "Not Found")</f>
        <v>27425.728304335124</v>
      </c>
      <c r="H435" cm="1">
        <f t="array" ref="H435">SUMPRODUCT(
    --(TEXT('[3]Global Weekly Stock (EWSuez'!$B$4:$B$2000,"mmm-yy")=TEXT(A435,"mmm-yy")),
    '[3]Global Weekly Stock (EWSuez'!$E$4:$E$2000)
/
SUMPRODUCT(
    --(TEXT('[3]Global Weekly Stock (EWSuez'!$B$4:$B$2000,"mmm-yy")=TEXT(A435,"mmm-yy"))
)</f>
        <v>14274.75</v>
      </c>
      <c r="I435">
        <f>_xlfn.XLOOKUP(A435,[1]ForwardDeriv!$D:$D,[1]ForwardDeriv!$AJ:$AJ)</f>
        <v>0.25</v>
      </c>
      <c r="J435" cm="1">
        <f t="array" ref="J435">_xlfn.XLOOKUP(TEXT(A435, "mmm-yy"), TEXT([2]GASOLINE!$B$5:$B$208, "mmm-yy"), [2]GASOLINE!$IR$5:$IR$208, "Not Found")</f>
        <v>-230.34109085140324</v>
      </c>
      <c r="K435" cm="1">
        <f t="array" ref="K435">_xlfn.XLOOKUP(TEXT(A435, "mmm-yy"), TEXT([2]GASOLINE!$B$5:$B$208, "mmm-yy"), [2]GASOLINE!$IK$5:$IK$208, "Not Found")</f>
        <v>0</v>
      </c>
      <c r="L435">
        <f t="shared" si="6"/>
        <v>1</v>
      </c>
      <c r="M435" cm="1">
        <f t="array" ref="M435">_xlfn.XLOOKUP(TEXT(A435, "mmm-yy"), TEXT([2]GASOLINE!$B$5:$B$208, "mmm-yy"), [2]GASOLINE!$C$5:$C$208, "Not Found")</f>
        <v>7112.858702352406</v>
      </c>
      <c r="N435" cm="1">
        <f t="array" ref="N435">_xlfn.XLOOKUP(TEXT(A435, "mmm-yy"), TEXT([2]RUNS!$B$5:$B$208, "mmm-yy"), [2]RUNS!$BM$5:$BM$208, "Not Found")</f>
        <v>0.81514292648111686</v>
      </c>
    </row>
    <row r="436" spans="1:14" x14ac:dyDescent="0.25">
      <c r="A436" s="1">
        <f>'[1]Global_Spot Prices'!$B1745</f>
        <v>42613</v>
      </c>
      <c r="B436">
        <f>_xlfn.XLOOKUP(A436,'[1]Global_Spot Prices'!$B:$B,'[1]Global_Spot Prices'!$BS:$BS)</f>
        <v>9.4899999999999949</v>
      </c>
      <c r="C436">
        <f>_xlfn.XLOOKUP(A436,'[1]Global_Spot Prices'!$B:$B,'[1]Global_Spot Prices'!$E:$E)</f>
        <v>44.81</v>
      </c>
      <c r="D436">
        <f>_xlfn.XLOOKUP(A436,'[1]Global_Spot Prices'!$B:$B,'[1]Global_Spot Prices'!$D:$D)</f>
        <v>46.27</v>
      </c>
      <c r="E436">
        <f>_xlfn.XLOOKUP(A436,'[1]Global_Spot Prices'!$B:$B,'[1]Global_Spot Prices'!$H:$H)</f>
        <v>40.46</v>
      </c>
      <c r="F436">
        <f>_xlfn.XLOOKUP(A436,'[1]Global_Spot Prices'!$B:$B,'[1]Global_Spot Prices'!$I:$I)</f>
        <v>54.3</v>
      </c>
      <c r="G436" cm="1">
        <f t="array" ref="G436">_xlfn.XLOOKUP(TEXT(A436, "mmm-yy"), TEXT([2]RUNS!$B$5:$B$208, "mmm-yy"), [2]RUNS!$D$5:$D$208, "Not Found")</f>
        <v>27425.728304335124</v>
      </c>
      <c r="H436" cm="1">
        <f t="array" ref="H436">SUMPRODUCT(
    --(TEXT('[3]Global Weekly Stock (EWSuez'!$B$4:$B$2000,"mmm-yy")=TEXT(A436,"mmm-yy")),
    '[3]Global Weekly Stock (EWSuez'!$E$4:$E$2000)
/
SUMPRODUCT(
    --(TEXT('[3]Global Weekly Stock (EWSuez'!$B$4:$B$2000,"mmm-yy")=TEXT(A436,"mmm-yy"))
)</f>
        <v>14274.75</v>
      </c>
      <c r="I436">
        <f>_xlfn.XLOOKUP(A436,[1]ForwardDeriv!$D:$D,[1]ForwardDeriv!$AJ:$AJ)</f>
        <v>0.29999999999999716</v>
      </c>
      <c r="J436" cm="1">
        <f t="array" ref="J436">_xlfn.XLOOKUP(TEXT(A436, "mmm-yy"), TEXT([2]GASOLINE!$B$5:$B$208, "mmm-yy"), [2]GASOLINE!$IR$5:$IR$208, "Not Found")</f>
        <v>-230.34109085140324</v>
      </c>
      <c r="K436" cm="1">
        <f t="array" ref="K436">_xlfn.XLOOKUP(TEXT(A436, "mmm-yy"), TEXT([2]GASOLINE!$B$5:$B$208, "mmm-yy"), [2]GASOLINE!$IK$5:$IK$208, "Not Found")</f>
        <v>0</v>
      </c>
      <c r="L436">
        <f t="shared" si="6"/>
        <v>1</v>
      </c>
      <c r="M436" cm="1">
        <f t="array" ref="M436">_xlfn.XLOOKUP(TEXT(A436, "mmm-yy"), TEXT([2]GASOLINE!$B$5:$B$208, "mmm-yy"), [2]GASOLINE!$C$5:$C$208, "Not Found")</f>
        <v>7112.858702352406</v>
      </c>
      <c r="N436" cm="1">
        <f t="array" ref="N436">_xlfn.XLOOKUP(TEXT(A436, "mmm-yy"), TEXT([2]RUNS!$B$5:$B$208, "mmm-yy"), [2]RUNS!$BM$5:$BM$208, "Not Found")</f>
        <v>0.81514292648111686</v>
      </c>
    </row>
    <row r="437" spans="1:14" x14ac:dyDescent="0.25">
      <c r="A437" s="1">
        <f>'[1]Global_Spot Prices'!$B1746</f>
        <v>42614</v>
      </c>
      <c r="B437">
        <f>_xlfn.XLOOKUP(A437,'[1]Global_Spot Prices'!$B:$B,'[1]Global_Spot Prices'!$BS:$BS)</f>
        <v>10.71</v>
      </c>
      <c r="C437">
        <f>_xlfn.XLOOKUP(A437,'[1]Global_Spot Prices'!$B:$B,'[1]Global_Spot Prices'!$E:$E)</f>
        <v>42.99</v>
      </c>
      <c r="D437">
        <f>_xlfn.XLOOKUP(A437,'[1]Global_Spot Prices'!$B:$B,'[1]Global_Spot Prices'!$D:$D)</f>
        <v>44.905000000000001</v>
      </c>
      <c r="E437">
        <f>_xlfn.XLOOKUP(A437,'[1]Global_Spot Prices'!$B:$B,'[1]Global_Spot Prices'!$H:$H)</f>
        <v>39.51</v>
      </c>
      <c r="F437">
        <f>_xlfn.XLOOKUP(A437,'[1]Global_Spot Prices'!$B:$B,'[1]Global_Spot Prices'!$I:$I)</f>
        <v>53.7</v>
      </c>
      <c r="G437" cm="1">
        <f t="array" ref="G437">_xlfn.XLOOKUP(TEXT(A437, "mmm-yy"), TEXT([2]RUNS!$B$5:$B$208, "mmm-yy"), [2]RUNS!$D$5:$D$208, "Not Found")</f>
        <v>27297.112851390069</v>
      </c>
      <c r="H437" cm="1">
        <f t="array" ref="H437">SUMPRODUCT(
    --(TEXT('[3]Global Weekly Stock (EWSuez'!$B$4:$B$2000,"mmm-yy")=TEXT(A437,"mmm-yy")),
    '[3]Global Weekly Stock (EWSuez'!$E$4:$E$2000)
/
SUMPRODUCT(
    --(TEXT('[3]Global Weekly Stock (EWSuez'!$B$4:$B$2000,"mmm-yy")=TEXT(A437,"mmm-yy"))
)</f>
        <v>12518.8</v>
      </c>
      <c r="I437">
        <f>_xlfn.XLOOKUP(A437,[1]ForwardDeriv!$D:$D,[1]ForwardDeriv!$AJ:$AJ)</f>
        <v>0.35000000000000142</v>
      </c>
      <c r="J437" cm="1">
        <f t="array" ref="J437">_xlfn.XLOOKUP(TEXT(A437, "mmm-yy"), TEXT([2]GASOLINE!$B$5:$B$208, "mmm-yy"), [2]GASOLINE!$IR$5:$IR$208, "Not Found")</f>
        <v>7.5559767739518406</v>
      </c>
      <c r="K437" cm="1">
        <f t="array" ref="K437">_xlfn.XLOOKUP(TEXT(A437, "mmm-yy"), TEXT([2]GASOLINE!$B$5:$B$208, "mmm-yy"), [2]GASOLINE!$IK$5:$IK$208, "Not Found")</f>
        <v>0</v>
      </c>
      <c r="L437">
        <f t="shared" si="6"/>
        <v>1</v>
      </c>
      <c r="M437" cm="1">
        <f t="array" ref="M437">_xlfn.XLOOKUP(TEXT(A437, "mmm-yy"), TEXT([2]GASOLINE!$B$5:$B$208, "mmm-yy"), [2]GASOLINE!$C$5:$C$208, "Not Found")</f>
        <v>6676.6204840147666</v>
      </c>
      <c r="N437" cm="1">
        <f t="array" ref="N437">_xlfn.XLOOKUP(TEXT(A437, "mmm-yy"), TEXT([2]RUNS!$B$5:$B$208, "mmm-yy"), [2]RUNS!$BM$5:$BM$208, "Not Found")</f>
        <v>0.81132023942096121</v>
      </c>
    </row>
    <row r="438" spans="1:14" x14ac:dyDescent="0.25">
      <c r="A438" s="1">
        <f>'[1]Global_Spot Prices'!$B1747</f>
        <v>42615</v>
      </c>
      <c r="B438">
        <f>_xlfn.XLOOKUP(A438,'[1]Global_Spot Prices'!$B:$B,'[1]Global_Spot Prices'!$BS:$BS)</f>
        <v>10.659999999999997</v>
      </c>
      <c r="C438">
        <f>_xlfn.XLOOKUP(A438,'[1]Global_Spot Prices'!$B:$B,'[1]Global_Spot Prices'!$E:$E)</f>
        <v>41.7</v>
      </c>
      <c r="D438">
        <f>_xlfn.XLOOKUP(A438,'[1]Global_Spot Prices'!$B:$B,'[1]Global_Spot Prices'!$D:$D)</f>
        <v>45.84</v>
      </c>
      <c r="E438">
        <f>_xlfn.XLOOKUP(A438,'[1]Global_Spot Prices'!$B:$B,'[1]Global_Spot Prices'!$H:$H)</f>
        <v>39.43</v>
      </c>
      <c r="F438">
        <f>_xlfn.XLOOKUP(A438,'[1]Global_Spot Prices'!$B:$B,'[1]Global_Spot Prices'!$I:$I)</f>
        <v>52.36</v>
      </c>
      <c r="G438" cm="1">
        <f t="array" ref="G438">_xlfn.XLOOKUP(TEXT(A438, "mmm-yy"), TEXT([2]RUNS!$B$5:$B$208, "mmm-yy"), [2]RUNS!$D$5:$D$208, "Not Found")</f>
        <v>27297.112851390069</v>
      </c>
      <c r="H438" cm="1">
        <f t="array" ref="H438">SUMPRODUCT(
    --(TEXT('[3]Global Weekly Stock (EWSuez'!$B$4:$B$2000,"mmm-yy")=TEXT(A438,"mmm-yy")),
    '[3]Global Weekly Stock (EWSuez'!$E$4:$E$2000)
/
SUMPRODUCT(
    --(TEXT('[3]Global Weekly Stock (EWSuez'!$B$4:$B$2000,"mmm-yy")=TEXT(A438,"mmm-yy"))
)</f>
        <v>12518.8</v>
      </c>
      <c r="I438">
        <f>_xlfn.XLOOKUP(A438,[1]ForwardDeriv!$D:$D,[1]ForwardDeriv!$AJ:$AJ)</f>
        <v>0.39999999999999858</v>
      </c>
      <c r="J438" cm="1">
        <f t="array" ref="J438">_xlfn.XLOOKUP(TEXT(A438, "mmm-yy"), TEXT([2]GASOLINE!$B$5:$B$208, "mmm-yy"), [2]GASOLINE!$IR$5:$IR$208, "Not Found")</f>
        <v>7.5559767739518406</v>
      </c>
      <c r="K438" cm="1">
        <f t="array" ref="K438">_xlfn.XLOOKUP(TEXT(A438, "mmm-yy"), TEXT([2]GASOLINE!$B$5:$B$208, "mmm-yy"), [2]GASOLINE!$IK$5:$IK$208, "Not Found")</f>
        <v>0</v>
      </c>
      <c r="L438">
        <f t="shared" si="6"/>
        <v>1</v>
      </c>
      <c r="M438" cm="1">
        <f t="array" ref="M438">_xlfn.XLOOKUP(TEXT(A438, "mmm-yy"), TEXT([2]GASOLINE!$B$5:$B$208, "mmm-yy"), [2]GASOLINE!$C$5:$C$208, "Not Found")</f>
        <v>6676.6204840147666</v>
      </c>
      <c r="N438" cm="1">
        <f t="array" ref="N438">_xlfn.XLOOKUP(TEXT(A438, "mmm-yy"), TEXT([2]RUNS!$B$5:$B$208, "mmm-yy"), [2]RUNS!$BM$5:$BM$208, "Not Found")</f>
        <v>0.81132023942096121</v>
      </c>
    </row>
    <row r="439" spans="1:14" x14ac:dyDescent="0.25">
      <c r="A439" s="1">
        <f>'[1]Global_Spot Prices'!$B1748</f>
        <v>42618</v>
      </c>
      <c r="B439">
        <f>_xlfn.XLOOKUP(A439,'[1]Global_Spot Prices'!$B:$B,'[1]Global_Spot Prices'!$BS:$BS)</f>
        <v>10.540000000000006</v>
      </c>
      <c r="C439">
        <f>_xlfn.XLOOKUP(A439,'[1]Global_Spot Prices'!$B:$B,'[1]Global_Spot Prices'!$E:$E)</f>
        <v>44.41</v>
      </c>
      <c r="D439">
        <f>_xlfn.XLOOKUP(A439,'[1]Global_Spot Prices'!$B:$B,'[1]Global_Spot Prices'!$D:$D)</f>
        <v>46.784999999999997</v>
      </c>
      <c r="E439">
        <f>_xlfn.XLOOKUP(A439,'[1]Global_Spot Prices'!$B:$B,'[1]Global_Spot Prices'!$H:$H)</f>
        <v>42.09</v>
      </c>
      <c r="F439">
        <f>_xlfn.XLOOKUP(A439,'[1]Global_Spot Prices'!$B:$B,'[1]Global_Spot Prices'!$I:$I)</f>
        <v>54.95</v>
      </c>
      <c r="G439" cm="1">
        <f t="array" ref="G439">_xlfn.XLOOKUP(TEXT(A439, "mmm-yy"), TEXT([2]RUNS!$B$5:$B$208, "mmm-yy"), [2]RUNS!$D$5:$D$208, "Not Found")</f>
        <v>27297.112851390069</v>
      </c>
      <c r="H439" cm="1">
        <f t="array" ref="H439">SUMPRODUCT(
    --(TEXT('[3]Global Weekly Stock (EWSuez'!$B$4:$B$2000,"mmm-yy")=TEXT(A439,"mmm-yy")),
    '[3]Global Weekly Stock (EWSuez'!$E$4:$E$2000)
/
SUMPRODUCT(
    --(TEXT('[3]Global Weekly Stock (EWSuez'!$B$4:$B$2000,"mmm-yy")=TEXT(A439,"mmm-yy"))
)</f>
        <v>12518.8</v>
      </c>
      <c r="I439">
        <f>_xlfn.XLOOKUP(A439,[1]ForwardDeriv!$D:$D,[1]ForwardDeriv!$AJ:$AJ)</f>
        <v>0.39999999999999858</v>
      </c>
      <c r="J439" cm="1">
        <f t="array" ref="J439">_xlfn.XLOOKUP(TEXT(A439, "mmm-yy"), TEXT([2]GASOLINE!$B$5:$B$208, "mmm-yy"), [2]GASOLINE!$IR$5:$IR$208, "Not Found")</f>
        <v>7.5559767739518406</v>
      </c>
      <c r="K439" cm="1">
        <f t="array" ref="K439">_xlfn.XLOOKUP(TEXT(A439, "mmm-yy"), TEXT([2]GASOLINE!$B$5:$B$208, "mmm-yy"), [2]GASOLINE!$IK$5:$IK$208, "Not Found")</f>
        <v>0</v>
      </c>
      <c r="L439">
        <f t="shared" si="6"/>
        <v>1</v>
      </c>
      <c r="M439" cm="1">
        <f t="array" ref="M439">_xlfn.XLOOKUP(TEXT(A439, "mmm-yy"), TEXT([2]GASOLINE!$B$5:$B$208, "mmm-yy"), [2]GASOLINE!$C$5:$C$208, "Not Found")</f>
        <v>6676.6204840147666</v>
      </c>
      <c r="N439" cm="1">
        <f t="array" ref="N439">_xlfn.XLOOKUP(TEXT(A439, "mmm-yy"), TEXT([2]RUNS!$B$5:$B$208, "mmm-yy"), [2]RUNS!$BM$5:$BM$208, "Not Found")</f>
        <v>0.81132023942096121</v>
      </c>
    </row>
    <row r="440" spans="1:14" x14ac:dyDescent="0.25">
      <c r="A440" s="1">
        <f>'[1]Global_Spot Prices'!$B1749</f>
        <v>42619</v>
      </c>
      <c r="B440">
        <f>_xlfn.XLOOKUP(A440,'[1]Global_Spot Prices'!$B:$B,'[1]Global_Spot Prices'!$BS:$BS)</f>
        <v>10.510000000000005</v>
      </c>
      <c r="C440">
        <f>_xlfn.XLOOKUP(A440,'[1]Global_Spot Prices'!$B:$B,'[1]Global_Spot Prices'!$E:$E)</f>
        <v>43.41</v>
      </c>
      <c r="D440">
        <f>_xlfn.XLOOKUP(A440,'[1]Global_Spot Prices'!$B:$B,'[1]Global_Spot Prices'!$D:$D)</f>
        <v>46.204999999999998</v>
      </c>
      <c r="E440">
        <f>_xlfn.XLOOKUP(A440,'[1]Global_Spot Prices'!$B:$B,'[1]Global_Spot Prices'!$H:$H)</f>
        <v>41.3</v>
      </c>
      <c r="F440">
        <f>_xlfn.XLOOKUP(A440,'[1]Global_Spot Prices'!$B:$B,'[1]Global_Spot Prices'!$I:$I)</f>
        <v>53.92</v>
      </c>
      <c r="G440" cm="1">
        <f t="array" ref="G440">_xlfn.XLOOKUP(TEXT(A440, "mmm-yy"), TEXT([2]RUNS!$B$5:$B$208, "mmm-yy"), [2]RUNS!$D$5:$D$208, "Not Found")</f>
        <v>27297.112851390069</v>
      </c>
      <c r="H440" cm="1">
        <f t="array" ref="H440">SUMPRODUCT(
    --(TEXT('[3]Global Weekly Stock (EWSuez'!$B$4:$B$2000,"mmm-yy")=TEXT(A440,"mmm-yy")),
    '[3]Global Weekly Stock (EWSuez'!$E$4:$E$2000)
/
SUMPRODUCT(
    --(TEXT('[3]Global Weekly Stock (EWSuez'!$B$4:$B$2000,"mmm-yy")=TEXT(A440,"mmm-yy"))
)</f>
        <v>12518.8</v>
      </c>
      <c r="I440">
        <f>_xlfn.XLOOKUP(A440,[1]ForwardDeriv!$D:$D,[1]ForwardDeriv!$AJ:$AJ)</f>
        <v>0.45000000000000284</v>
      </c>
      <c r="J440" cm="1">
        <f t="array" ref="J440">_xlfn.XLOOKUP(TEXT(A440, "mmm-yy"), TEXT([2]GASOLINE!$B$5:$B$208, "mmm-yy"), [2]GASOLINE!$IR$5:$IR$208, "Not Found")</f>
        <v>7.5559767739518406</v>
      </c>
      <c r="K440" cm="1">
        <f t="array" ref="K440">_xlfn.XLOOKUP(TEXT(A440, "mmm-yy"), TEXT([2]GASOLINE!$B$5:$B$208, "mmm-yy"), [2]GASOLINE!$IK$5:$IK$208, "Not Found")</f>
        <v>0</v>
      </c>
      <c r="L440">
        <f t="shared" si="6"/>
        <v>1</v>
      </c>
      <c r="M440" cm="1">
        <f t="array" ref="M440">_xlfn.XLOOKUP(TEXT(A440, "mmm-yy"), TEXT([2]GASOLINE!$B$5:$B$208, "mmm-yy"), [2]GASOLINE!$C$5:$C$208, "Not Found")</f>
        <v>6676.6204840147666</v>
      </c>
      <c r="N440" cm="1">
        <f t="array" ref="N440">_xlfn.XLOOKUP(TEXT(A440, "mmm-yy"), TEXT([2]RUNS!$B$5:$B$208, "mmm-yy"), [2]RUNS!$BM$5:$BM$208, "Not Found")</f>
        <v>0.81132023942096121</v>
      </c>
    </row>
    <row r="441" spans="1:14" x14ac:dyDescent="0.25">
      <c r="A441" s="1">
        <f>'[1]Global_Spot Prices'!$B1750</f>
        <v>42620</v>
      </c>
      <c r="B441">
        <f>_xlfn.XLOOKUP(A441,'[1]Global_Spot Prices'!$B:$B,'[1]Global_Spot Prices'!$BS:$BS)</f>
        <v>10.93</v>
      </c>
      <c r="C441">
        <f>_xlfn.XLOOKUP(A441,'[1]Global_Spot Prices'!$B:$B,'[1]Global_Spot Prices'!$E:$E)</f>
        <v>43.71</v>
      </c>
      <c r="D441">
        <f>_xlfn.XLOOKUP(A441,'[1]Global_Spot Prices'!$B:$B,'[1]Global_Spot Prices'!$D:$D)</f>
        <v>46.8</v>
      </c>
      <c r="E441">
        <f>_xlfn.XLOOKUP(A441,'[1]Global_Spot Prices'!$B:$B,'[1]Global_Spot Prices'!$H:$H)</f>
        <v>42.03</v>
      </c>
      <c r="F441">
        <f>_xlfn.XLOOKUP(A441,'[1]Global_Spot Prices'!$B:$B,'[1]Global_Spot Prices'!$I:$I)</f>
        <v>54.64</v>
      </c>
      <c r="G441" cm="1">
        <f t="array" ref="G441">_xlfn.XLOOKUP(TEXT(A441, "mmm-yy"), TEXT([2]RUNS!$B$5:$B$208, "mmm-yy"), [2]RUNS!$D$5:$D$208, "Not Found")</f>
        <v>27297.112851390069</v>
      </c>
      <c r="H441" cm="1">
        <f t="array" ref="H441">SUMPRODUCT(
    --(TEXT('[3]Global Weekly Stock (EWSuez'!$B$4:$B$2000,"mmm-yy")=TEXT(A441,"mmm-yy")),
    '[3]Global Weekly Stock (EWSuez'!$E$4:$E$2000)
/
SUMPRODUCT(
    --(TEXT('[3]Global Weekly Stock (EWSuez'!$B$4:$B$2000,"mmm-yy")=TEXT(A441,"mmm-yy"))
)</f>
        <v>12518.8</v>
      </c>
      <c r="I441">
        <f>_xlfn.XLOOKUP(A441,[1]ForwardDeriv!$D:$D,[1]ForwardDeriv!$AJ:$AJ)</f>
        <v>0.5</v>
      </c>
      <c r="J441" cm="1">
        <f t="array" ref="J441">_xlfn.XLOOKUP(TEXT(A441, "mmm-yy"), TEXT([2]GASOLINE!$B$5:$B$208, "mmm-yy"), [2]GASOLINE!$IR$5:$IR$208, "Not Found")</f>
        <v>7.5559767739518406</v>
      </c>
      <c r="K441" cm="1">
        <f t="array" ref="K441">_xlfn.XLOOKUP(TEXT(A441, "mmm-yy"), TEXT([2]GASOLINE!$B$5:$B$208, "mmm-yy"), [2]GASOLINE!$IK$5:$IK$208, "Not Found")</f>
        <v>0</v>
      </c>
      <c r="L441">
        <f t="shared" si="6"/>
        <v>1</v>
      </c>
      <c r="M441" cm="1">
        <f t="array" ref="M441">_xlfn.XLOOKUP(TEXT(A441, "mmm-yy"), TEXT([2]GASOLINE!$B$5:$B$208, "mmm-yy"), [2]GASOLINE!$C$5:$C$208, "Not Found")</f>
        <v>6676.6204840147666</v>
      </c>
      <c r="N441" cm="1">
        <f t="array" ref="N441">_xlfn.XLOOKUP(TEXT(A441, "mmm-yy"), TEXT([2]RUNS!$B$5:$B$208, "mmm-yy"), [2]RUNS!$BM$5:$BM$208, "Not Found")</f>
        <v>0.81132023942096121</v>
      </c>
    </row>
    <row r="442" spans="1:14" x14ac:dyDescent="0.25">
      <c r="A442" s="1">
        <f>'[1]Global_Spot Prices'!$B1751</f>
        <v>42621</v>
      </c>
      <c r="B442">
        <f>_xlfn.XLOOKUP(A442,'[1]Global_Spot Prices'!$B:$B,'[1]Global_Spot Prices'!$BS:$BS)</f>
        <v>12.29</v>
      </c>
      <c r="C442">
        <f>_xlfn.XLOOKUP(A442,'[1]Global_Spot Prices'!$B:$B,'[1]Global_Spot Prices'!$E:$E)</f>
        <v>44.81</v>
      </c>
      <c r="D442">
        <f>_xlfn.XLOOKUP(A442,'[1]Global_Spot Prices'!$B:$B,'[1]Global_Spot Prices'!$D:$D)</f>
        <v>49.32</v>
      </c>
      <c r="E442">
        <f>_xlfn.XLOOKUP(A442,'[1]Global_Spot Prices'!$B:$B,'[1]Global_Spot Prices'!$H:$H)</f>
        <v>43.14</v>
      </c>
      <c r="F442">
        <f>_xlfn.XLOOKUP(A442,'[1]Global_Spot Prices'!$B:$B,'[1]Global_Spot Prices'!$I:$I)</f>
        <v>57.1</v>
      </c>
      <c r="G442" cm="1">
        <f t="array" ref="G442">_xlfn.XLOOKUP(TEXT(A442, "mmm-yy"), TEXT([2]RUNS!$B$5:$B$208, "mmm-yy"), [2]RUNS!$D$5:$D$208, "Not Found")</f>
        <v>27297.112851390069</v>
      </c>
      <c r="H442" cm="1">
        <f t="array" ref="H442">SUMPRODUCT(
    --(TEXT('[3]Global Weekly Stock (EWSuez'!$B$4:$B$2000,"mmm-yy")=TEXT(A442,"mmm-yy")),
    '[3]Global Weekly Stock (EWSuez'!$E$4:$E$2000)
/
SUMPRODUCT(
    --(TEXT('[3]Global Weekly Stock (EWSuez'!$B$4:$B$2000,"mmm-yy")=TEXT(A442,"mmm-yy"))
)</f>
        <v>12518.8</v>
      </c>
      <c r="I442">
        <f>_xlfn.XLOOKUP(A442,[1]ForwardDeriv!$D:$D,[1]ForwardDeriv!$AJ:$AJ)</f>
        <v>0.82000000000000028</v>
      </c>
      <c r="J442" cm="1">
        <f t="array" ref="J442">_xlfn.XLOOKUP(TEXT(A442, "mmm-yy"), TEXT([2]GASOLINE!$B$5:$B$208, "mmm-yy"), [2]GASOLINE!$IR$5:$IR$208, "Not Found")</f>
        <v>7.5559767739518406</v>
      </c>
      <c r="K442" cm="1">
        <f t="array" ref="K442">_xlfn.XLOOKUP(TEXT(A442, "mmm-yy"), TEXT([2]GASOLINE!$B$5:$B$208, "mmm-yy"), [2]GASOLINE!$IK$5:$IK$208, "Not Found")</f>
        <v>0</v>
      </c>
      <c r="L442">
        <f t="shared" si="6"/>
        <v>1</v>
      </c>
      <c r="M442" cm="1">
        <f t="array" ref="M442">_xlfn.XLOOKUP(TEXT(A442, "mmm-yy"), TEXT([2]GASOLINE!$B$5:$B$208, "mmm-yy"), [2]GASOLINE!$C$5:$C$208, "Not Found")</f>
        <v>6676.6204840147666</v>
      </c>
      <c r="N442" cm="1">
        <f t="array" ref="N442">_xlfn.XLOOKUP(TEXT(A442, "mmm-yy"), TEXT([2]RUNS!$B$5:$B$208, "mmm-yy"), [2]RUNS!$BM$5:$BM$208, "Not Found")</f>
        <v>0.81132023942096121</v>
      </c>
    </row>
    <row r="443" spans="1:14" x14ac:dyDescent="0.25">
      <c r="A443" s="1">
        <f>'[1]Global_Spot Prices'!$B1752</f>
        <v>42622</v>
      </c>
      <c r="B443">
        <f>_xlfn.XLOOKUP(A443,'[1]Global_Spot Prices'!$B:$B,'[1]Global_Spot Prices'!$BS:$BS)</f>
        <v>12.32</v>
      </c>
      <c r="C443">
        <f>_xlfn.XLOOKUP(A443,'[1]Global_Spot Prices'!$B:$B,'[1]Global_Spot Prices'!$E:$E)</f>
        <v>45.44</v>
      </c>
      <c r="D443">
        <f>_xlfn.XLOOKUP(A443,'[1]Global_Spot Prices'!$B:$B,'[1]Global_Spot Prices'!$D:$D)</f>
        <v>48.295000000000002</v>
      </c>
      <c r="E443">
        <f>_xlfn.XLOOKUP(A443,'[1]Global_Spot Prices'!$B:$B,'[1]Global_Spot Prices'!$H:$H)</f>
        <v>43.58</v>
      </c>
      <c r="F443">
        <f>_xlfn.XLOOKUP(A443,'[1]Global_Spot Prices'!$B:$B,'[1]Global_Spot Prices'!$I:$I)</f>
        <v>57.76</v>
      </c>
      <c r="G443" cm="1">
        <f t="array" ref="G443">_xlfn.XLOOKUP(TEXT(A443, "mmm-yy"), TEXT([2]RUNS!$B$5:$B$208, "mmm-yy"), [2]RUNS!$D$5:$D$208, "Not Found")</f>
        <v>27297.112851390069</v>
      </c>
      <c r="H443" cm="1">
        <f t="array" ref="H443">SUMPRODUCT(
    --(TEXT('[3]Global Weekly Stock (EWSuez'!$B$4:$B$2000,"mmm-yy")=TEXT(A443,"mmm-yy")),
    '[3]Global Weekly Stock (EWSuez'!$E$4:$E$2000)
/
SUMPRODUCT(
    --(TEXT('[3]Global Weekly Stock (EWSuez'!$B$4:$B$2000,"mmm-yy")=TEXT(A443,"mmm-yy"))
)</f>
        <v>12518.8</v>
      </c>
      <c r="I443">
        <f>_xlfn.XLOOKUP(A443,[1]ForwardDeriv!$D:$D,[1]ForwardDeriv!$AJ:$AJ)</f>
        <v>0.79999999999999716</v>
      </c>
      <c r="J443" cm="1">
        <f t="array" ref="J443">_xlfn.XLOOKUP(TEXT(A443, "mmm-yy"), TEXT([2]GASOLINE!$B$5:$B$208, "mmm-yy"), [2]GASOLINE!$IR$5:$IR$208, "Not Found")</f>
        <v>7.5559767739518406</v>
      </c>
      <c r="K443" cm="1">
        <f t="array" ref="K443">_xlfn.XLOOKUP(TEXT(A443, "mmm-yy"), TEXT([2]GASOLINE!$B$5:$B$208, "mmm-yy"), [2]GASOLINE!$IK$5:$IK$208, "Not Found")</f>
        <v>0</v>
      </c>
      <c r="L443">
        <f t="shared" si="6"/>
        <v>1</v>
      </c>
      <c r="M443" cm="1">
        <f t="array" ref="M443">_xlfn.XLOOKUP(TEXT(A443, "mmm-yy"), TEXT([2]GASOLINE!$B$5:$B$208, "mmm-yy"), [2]GASOLINE!$C$5:$C$208, "Not Found")</f>
        <v>6676.6204840147666</v>
      </c>
      <c r="N443" cm="1">
        <f t="array" ref="N443">_xlfn.XLOOKUP(TEXT(A443, "mmm-yy"), TEXT([2]RUNS!$B$5:$B$208, "mmm-yy"), [2]RUNS!$BM$5:$BM$208, "Not Found")</f>
        <v>0.81132023942096121</v>
      </c>
    </row>
    <row r="444" spans="1:14" x14ac:dyDescent="0.25">
      <c r="A444" s="1">
        <f>'[1]Global_Spot Prices'!$B1753</f>
        <v>42625</v>
      </c>
      <c r="B444" t="e">
        <f>_xlfn.XLOOKUP(A444,'[1]Global_Spot Prices'!$B:$B,'[1]Global_Spot Prices'!$BS:$BS)</f>
        <v>#N/A</v>
      </c>
      <c r="C444" t="str">
        <f>_xlfn.XLOOKUP(A444,'[1]Global_Spot Prices'!$B:$B,'[1]Global_Spot Prices'!$E:$E)</f>
        <v/>
      </c>
      <c r="D444">
        <f>_xlfn.XLOOKUP(A444,'[1]Global_Spot Prices'!$B:$B,'[1]Global_Spot Prices'!$D:$D)</f>
        <v>47.91</v>
      </c>
      <c r="E444">
        <f>_xlfn.XLOOKUP(A444,'[1]Global_Spot Prices'!$B:$B,'[1]Global_Spot Prices'!$H:$H)</f>
        <v>0</v>
      </c>
      <c r="F444">
        <f>_xlfn.XLOOKUP(A444,'[1]Global_Spot Prices'!$B:$B,'[1]Global_Spot Prices'!$I:$I)</f>
        <v>0</v>
      </c>
      <c r="G444" cm="1">
        <f t="array" ref="G444">_xlfn.XLOOKUP(TEXT(A444, "mmm-yy"), TEXT([2]RUNS!$B$5:$B$208, "mmm-yy"), [2]RUNS!$D$5:$D$208, "Not Found")</f>
        <v>27297.112851390069</v>
      </c>
      <c r="H444" cm="1">
        <f t="array" ref="H444">SUMPRODUCT(
    --(TEXT('[3]Global Weekly Stock (EWSuez'!$B$4:$B$2000,"mmm-yy")=TEXT(A444,"mmm-yy")),
    '[3]Global Weekly Stock (EWSuez'!$E$4:$E$2000)
/
SUMPRODUCT(
    --(TEXT('[3]Global Weekly Stock (EWSuez'!$B$4:$B$2000,"mmm-yy")=TEXT(A444,"mmm-yy"))
)</f>
        <v>12518.8</v>
      </c>
      <c r="I444">
        <f>_xlfn.XLOOKUP(A444,[1]ForwardDeriv!$D:$D,[1]ForwardDeriv!$AJ:$AJ)</f>
        <v>0.75</v>
      </c>
      <c r="J444" cm="1">
        <f t="array" ref="J444">_xlfn.XLOOKUP(TEXT(A444, "mmm-yy"), TEXT([2]GASOLINE!$B$5:$B$208, "mmm-yy"), [2]GASOLINE!$IR$5:$IR$208, "Not Found")</f>
        <v>7.5559767739518406</v>
      </c>
      <c r="K444" cm="1">
        <f t="array" ref="K444">_xlfn.XLOOKUP(TEXT(A444, "mmm-yy"), TEXT([2]GASOLINE!$B$5:$B$208, "mmm-yy"), [2]GASOLINE!$IK$5:$IK$208, "Not Found")</f>
        <v>0</v>
      </c>
      <c r="L444">
        <f t="shared" si="6"/>
        <v>1</v>
      </c>
      <c r="M444" cm="1">
        <f t="array" ref="M444">_xlfn.XLOOKUP(TEXT(A444, "mmm-yy"), TEXT([2]GASOLINE!$B$5:$B$208, "mmm-yy"), [2]GASOLINE!$C$5:$C$208, "Not Found")</f>
        <v>6676.6204840147666</v>
      </c>
      <c r="N444" cm="1">
        <f t="array" ref="N444">_xlfn.XLOOKUP(TEXT(A444, "mmm-yy"), TEXT([2]RUNS!$B$5:$B$208, "mmm-yy"), [2]RUNS!$BM$5:$BM$208, "Not Found")</f>
        <v>0.81132023942096121</v>
      </c>
    </row>
    <row r="445" spans="1:14" x14ac:dyDescent="0.25">
      <c r="A445" s="1">
        <f>'[1]Global_Spot Prices'!$B1754</f>
        <v>42626</v>
      </c>
      <c r="B445">
        <f>_xlfn.XLOOKUP(A445,'[1]Global_Spot Prices'!$B:$B,'[1]Global_Spot Prices'!$BS:$BS)</f>
        <v>11.950000000000003</v>
      </c>
      <c r="C445">
        <f>_xlfn.XLOOKUP(A445,'[1]Global_Spot Prices'!$B:$B,'[1]Global_Spot Prices'!$E:$E)</f>
        <v>43.66</v>
      </c>
      <c r="D445">
        <f>_xlfn.XLOOKUP(A445,'[1]Global_Spot Prices'!$B:$B,'[1]Global_Spot Prices'!$D:$D)</f>
        <v>46.57</v>
      </c>
      <c r="E445">
        <f>_xlfn.XLOOKUP(A445,'[1]Global_Spot Prices'!$B:$B,'[1]Global_Spot Prices'!$H:$H)</f>
        <v>41.94</v>
      </c>
      <c r="F445">
        <f>_xlfn.XLOOKUP(A445,'[1]Global_Spot Prices'!$B:$B,'[1]Global_Spot Prices'!$I:$I)</f>
        <v>55.61</v>
      </c>
      <c r="G445" cm="1">
        <f t="array" ref="G445">_xlfn.XLOOKUP(TEXT(A445, "mmm-yy"), TEXT([2]RUNS!$B$5:$B$208, "mmm-yy"), [2]RUNS!$D$5:$D$208, "Not Found")</f>
        <v>27297.112851390069</v>
      </c>
      <c r="H445" cm="1">
        <f t="array" ref="H445">SUMPRODUCT(
    --(TEXT('[3]Global Weekly Stock (EWSuez'!$B$4:$B$2000,"mmm-yy")=TEXT(A445,"mmm-yy")),
    '[3]Global Weekly Stock (EWSuez'!$E$4:$E$2000)
/
SUMPRODUCT(
    --(TEXT('[3]Global Weekly Stock (EWSuez'!$B$4:$B$2000,"mmm-yy")=TEXT(A445,"mmm-yy"))
)</f>
        <v>12518.8</v>
      </c>
      <c r="I445">
        <f>_xlfn.XLOOKUP(A445,[1]ForwardDeriv!$D:$D,[1]ForwardDeriv!$AJ:$AJ)</f>
        <v>0.75</v>
      </c>
      <c r="J445" cm="1">
        <f t="array" ref="J445">_xlfn.XLOOKUP(TEXT(A445, "mmm-yy"), TEXT([2]GASOLINE!$B$5:$B$208, "mmm-yy"), [2]GASOLINE!$IR$5:$IR$208, "Not Found")</f>
        <v>7.5559767739518406</v>
      </c>
      <c r="K445" cm="1">
        <f t="array" ref="K445">_xlfn.XLOOKUP(TEXT(A445, "mmm-yy"), TEXT([2]GASOLINE!$B$5:$B$208, "mmm-yy"), [2]GASOLINE!$IK$5:$IK$208, "Not Found")</f>
        <v>0</v>
      </c>
      <c r="L445">
        <f t="shared" si="6"/>
        <v>1</v>
      </c>
      <c r="M445" cm="1">
        <f t="array" ref="M445">_xlfn.XLOOKUP(TEXT(A445, "mmm-yy"), TEXT([2]GASOLINE!$B$5:$B$208, "mmm-yy"), [2]GASOLINE!$C$5:$C$208, "Not Found")</f>
        <v>6676.6204840147666</v>
      </c>
      <c r="N445" cm="1">
        <f t="array" ref="N445">_xlfn.XLOOKUP(TEXT(A445, "mmm-yy"), TEXT([2]RUNS!$B$5:$B$208, "mmm-yy"), [2]RUNS!$BM$5:$BM$208, "Not Found")</f>
        <v>0.81132023942096121</v>
      </c>
    </row>
    <row r="446" spans="1:14" x14ac:dyDescent="0.25">
      <c r="A446" s="1">
        <f>'[1]Global_Spot Prices'!$B1755</f>
        <v>42627</v>
      </c>
      <c r="B446">
        <f>_xlfn.XLOOKUP(A446,'[1]Global_Spot Prices'!$B:$B,'[1]Global_Spot Prices'!$BS:$BS)</f>
        <v>11.700000000000003</v>
      </c>
      <c r="C446">
        <f>_xlfn.XLOOKUP(A446,'[1]Global_Spot Prices'!$B:$B,'[1]Global_Spot Prices'!$E:$E)</f>
        <v>43.61</v>
      </c>
      <c r="D446">
        <f>_xlfn.XLOOKUP(A446,'[1]Global_Spot Prices'!$B:$B,'[1]Global_Spot Prices'!$D:$D)</f>
        <v>45.935000000000002</v>
      </c>
      <c r="E446">
        <f>_xlfn.XLOOKUP(A446,'[1]Global_Spot Prices'!$B:$B,'[1]Global_Spot Prices'!$H:$H)</f>
        <v>41.67</v>
      </c>
      <c r="F446">
        <f>_xlfn.XLOOKUP(A446,'[1]Global_Spot Prices'!$B:$B,'[1]Global_Spot Prices'!$I:$I)</f>
        <v>55.31</v>
      </c>
      <c r="G446" cm="1">
        <f t="array" ref="G446">_xlfn.XLOOKUP(TEXT(A446, "mmm-yy"), TEXT([2]RUNS!$B$5:$B$208, "mmm-yy"), [2]RUNS!$D$5:$D$208, "Not Found")</f>
        <v>27297.112851390069</v>
      </c>
      <c r="H446" cm="1">
        <f t="array" ref="H446">SUMPRODUCT(
    --(TEXT('[3]Global Weekly Stock (EWSuez'!$B$4:$B$2000,"mmm-yy")=TEXT(A446,"mmm-yy")),
    '[3]Global Weekly Stock (EWSuez'!$E$4:$E$2000)
/
SUMPRODUCT(
    --(TEXT('[3]Global Weekly Stock (EWSuez'!$B$4:$B$2000,"mmm-yy")=TEXT(A446,"mmm-yy"))
)</f>
        <v>12518.8</v>
      </c>
      <c r="I446">
        <f>_xlfn.XLOOKUP(A446,[1]ForwardDeriv!$D:$D,[1]ForwardDeriv!$AJ:$AJ)</f>
        <v>0.69999999999999574</v>
      </c>
      <c r="J446" cm="1">
        <f t="array" ref="J446">_xlfn.XLOOKUP(TEXT(A446, "mmm-yy"), TEXT([2]GASOLINE!$B$5:$B$208, "mmm-yy"), [2]GASOLINE!$IR$5:$IR$208, "Not Found")</f>
        <v>7.5559767739518406</v>
      </c>
      <c r="K446" cm="1">
        <f t="array" ref="K446">_xlfn.XLOOKUP(TEXT(A446, "mmm-yy"), TEXT([2]GASOLINE!$B$5:$B$208, "mmm-yy"), [2]GASOLINE!$IK$5:$IK$208, "Not Found")</f>
        <v>0</v>
      </c>
      <c r="L446">
        <f t="shared" si="6"/>
        <v>1</v>
      </c>
      <c r="M446" cm="1">
        <f t="array" ref="M446">_xlfn.XLOOKUP(TEXT(A446, "mmm-yy"), TEXT([2]GASOLINE!$B$5:$B$208, "mmm-yy"), [2]GASOLINE!$C$5:$C$208, "Not Found")</f>
        <v>6676.6204840147666</v>
      </c>
      <c r="N446" cm="1">
        <f t="array" ref="N446">_xlfn.XLOOKUP(TEXT(A446, "mmm-yy"), TEXT([2]RUNS!$B$5:$B$208, "mmm-yy"), [2]RUNS!$BM$5:$BM$208, "Not Found")</f>
        <v>0.81132023942096121</v>
      </c>
    </row>
    <row r="447" spans="1:14" x14ac:dyDescent="0.25">
      <c r="A447" s="1">
        <f>'[1]Global_Spot Prices'!$B1756</f>
        <v>42628</v>
      </c>
      <c r="B447">
        <f>_xlfn.XLOOKUP(A447,'[1]Global_Spot Prices'!$B:$B,'[1]Global_Spot Prices'!$BS:$BS)</f>
        <v>12.719999999999999</v>
      </c>
      <c r="C447">
        <f>_xlfn.XLOOKUP(A447,'[1]Global_Spot Prices'!$B:$B,'[1]Global_Spot Prices'!$E:$E)</f>
        <v>41.95</v>
      </c>
      <c r="D447">
        <f>_xlfn.XLOOKUP(A447,'[1]Global_Spot Prices'!$B:$B,'[1]Global_Spot Prices'!$D:$D)</f>
        <v>46.295000000000002</v>
      </c>
      <c r="E447">
        <f>_xlfn.XLOOKUP(A447,'[1]Global_Spot Prices'!$B:$B,'[1]Global_Spot Prices'!$H:$H)</f>
        <v>40.94</v>
      </c>
      <c r="F447">
        <f>_xlfn.XLOOKUP(A447,'[1]Global_Spot Prices'!$B:$B,'[1]Global_Spot Prices'!$I:$I)</f>
        <v>54.67</v>
      </c>
      <c r="G447" cm="1">
        <f t="array" ref="G447">_xlfn.XLOOKUP(TEXT(A447, "mmm-yy"), TEXT([2]RUNS!$B$5:$B$208, "mmm-yy"), [2]RUNS!$D$5:$D$208, "Not Found")</f>
        <v>27297.112851390069</v>
      </c>
      <c r="H447" cm="1">
        <f t="array" ref="H447">SUMPRODUCT(
    --(TEXT('[3]Global Weekly Stock (EWSuez'!$B$4:$B$2000,"mmm-yy")=TEXT(A447,"mmm-yy")),
    '[3]Global Weekly Stock (EWSuez'!$E$4:$E$2000)
/
SUMPRODUCT(
    --(TEXT('[3]Global Weekly Stock (EWSuez'!$B$4:$B$2000,"mmm-yy")=TEXT(A447,"mmm-yy"))
)</f>
        <v>12518.8</v>
      </c>
      <c r="I447">
        <f>_xlfn.XLOOKUP(A447,[1]ForwardDeriv!$D:$D,[1]ForwardDeriv!$AJ:$AJ)</f>
        <v>0.75</v>
      </c>
      <c r="J447" cm="1">
        <f t="array" ref="J447">_xlfn.XLOOKUP(TEXT(A447, "mmm-yy"), TEXT([2]GASOLINE!$B$5:$B$208, "mmm-yy"), [2]GASOLINE!$IR$5:$IR$208, "Not Found")</f>
        <v>7.5559767739518406</v>
      </c>
      <c r="K447" cm="1">
        <f t="array" ref="K447">_xlfn.XLOOKUP(TEXT(A447, "mmm-yy"), TEXT([2]GASOLINE!$B$5:$B$208, "mmm-yy"), [2]GASOLINE!$IK$5:$IK$208, "Not Found")</f>
        <v>0</v>
      </c>
      <c r="L447">
        <f t="shared" si="6"/>
        <v>1</v>
      </c>
      <c r="M447" cm="1">
        <f t="array" ref="M447">_xlfn.XLOOKUP(TEXT(A447, "mmm-yy"), TEXT([2]GASOLINE!$B$5:$B$208, "mmm-yy"), [2]GASOLINE!$C$5:$C$208, "Not Found")</f>
        <v>6676.6204840147666</v>
      </c>
      <c r="N447" cm="1">
        <f t="array" ref="N447">_xlfn.XLOOKUP(TEXT(A447, "mmm-yy"), TEXT([2]RUNS!$B$5:$B$208, "mmm-yy"), [2]RUNS!$BM$5:$BM$208, "Not Found")</f>
        <v>0.81132023942096121</v>
      </c>
    </row>
    <row r="448" spans="1:14" x14ac:dyDescent="0.25">
      <c r="A448" s="1">
        <f>'[1]Global_Spot Prices'!$B1757</f>
        <v>42629</v>
      </c>
      <c r="B448">
        <f>_xlfn.XLOOKUP(A448,'[1]Global_Spot Prices'!$B:$B,'[1]Global_Spot Prices'!$BS:$BS)</f>
        <v>13.420000000000002</v>
      </c>
      <c r="C448">
        <f>_xlfn.XLOOKUP(A448,'[1]Global_Spot Prices'!$B:$B,'[1]Global_Spot Prices'!$E:$E)</f>
        <v>42.29</v>
      </c>
      <c r="D448">
        <f>_xlfn.XLOOKUP(A448,'[1]Global_Spot Prices'!$B:$B,'[1]Global_Spot Prices'!$D:$D)</f>
        <v>45.805</v>
      </c>
      <c r="E448">
        <f>_xlfn.XLOOKUP(A448,'[1]Global_Spot Prices'!$B:$B,'[1]Global_Spot Prices'!$H:$H)</f>
        <v>42.11</v>
      </c>
      <c r="F448">
        <f>_xlfn.XLOOKUP(A448,'[1]Global_Spot Prices'!$B:$B,'[1]Global_Spot Prices'!$I:$I)</f>
        <v>55.71</v>
      </c>
      <c r="G448" cm="1">
        <f t="array" ref="G448">_xlfn.XLOOKUP(TEXT(A448, "mmm-yy"), TEXT([2]RUNS!$B$5:$B$208, "mmm-yy"), [2]RUNS!$D$5:$D$208, "Not Found")</f>
        <v>27297.112851390069</v>
      </c>
      <c r="H448" cm="1">
        <f t="array" ref="H448">SUMPRODUCT(
    --(TEXT('[3]Global Weekly Stock (EWSuez'!$B$4:$B$2000,"mmm-yy")=TEXT(A448,"mmm-yy")),
    '[3]Global Weekly Stock (EWSuez'!$E$4:$E$2000)
/
SUMPRODUCT(
    --(TEXT('[3]Global Weekly Stock (EWSuez'!$B$4:$B$2000,"mmm-yy")=TEXT(A448,"mmm-yy"))
)</f>
        <v>12518.8</v>
      </c>
      <c r="I448">
        <f>_xlfn.XLOOKUP(A448,[1]ForwardDeriv!$D:$D,[1]ForwardDeriv!$AJ:$AJ)</f>
        <v>1</v>
      </c>
      <c r="J448" cm="1">
        <f t="array" ref="J448">_xlfn.XLOOKUP(TEXT(A448, "mmm-yy"), TEXT([2]GASOLINE!$B$5:$B$208, "mmm-yy"), [2]GASOLINE!$IR$5:$IR$208, "Not Found")</f>
        <v>7.5559767739518406</v>
      </c>
      <c r="K448" cm="1">
        <f t="array" ref="K448">_xlfn.XLOOKUP(TEXT(A448, "mmm-yy"), TEXT([2]GASOLINE!$B$5:$B$208, "mmm-yy"), [2]GASOLINE!$IK$5:$IK$208, "Not Found")</f>
        <v>0</v>
      </c>
      <c r="L448">
        <f t="shared" si="6"/>
        <v>1</v>
      </c>
      <c r="M448" cm="1">
        <f t="array" ref="M448">_xlfn.XLOOKUP(TEXT(A448, "mmm-yy"), TEXT([2]GASOLINE!$B$5:$B$208, "mmm-yy"), [2]GASOLINE!$C$5:$C$208, "Not Found")</f>
        <v>6676.6204840147666</v>
      </c>
      <c r="N448" cm="1">
        <f t="array" ref="N448">_xlfn.XLOOKUP(TEXT(A448, "mmm-yy"), TEXT([2]RUNS!$B$5:$B$208, "mmm-yy"), [2]RUNS!$BM$5:$BM$208, "Not Found")</f>
        <v>0.81132023942096121</v>
      </c>
    </row>
    <row r="449" spans="1:14" x14ac:dyDescent="0.25">
      <c r="A449" s="1">
        <f>'[1]Global_Spot Prices'!$B1758</f>
        <v>42632</v>
      </c>
      <c r="B449">
        <f>_xlfn.XLOOKUP(A449,'[1]Global_Spot Prices'!$B:$B,'[1]Global_Spot Prices'!$BS:$BS)</f>
        <v>13.349999999999994</v>
      </c>
      <c r="C449">
        <f>_xlfn.XLOOKUP(A449,'[1]Global_Spot Prices'!$B:$B,'[1]Global_Spot Prices'!$E:$E)</f>
        <v>42.45</v>
      </c>
      <c r="D449">
        <f>_xlfn.XLOOKUP(A449,'[1]Global_Spot Prices'!$B:$B,'[1]Global_Spot Prices'!$D:$D)</f>
        <v>46.564999999999998</v>
      </c>
      <c r="E449">
        <f>_xlfn.XLOOKUP(A449,'[1]Global_Spot Prices'!$B:$B,'[1]Global_Spot Prices'!$H:$H)</f>
        <v>42.67</v>
      </c>
      <c r="F449">
        <f>_xlfn.XLOOKUP(A449,'[1]Global_Spot Prices'!$B:$B,'[1]Global_Spot Prices'!$I:$I)</f>
        <v>55.8</v>
      </c>
      <c r="G449" cm="1">
        <f t="array" ref="G449">_xlfn.XLOOKUP(TEXT(A449, "mmm-yy"), TEXT([2]RUNS!$B$5:$B$208, "mmm-yy"), [2]RUNS!$D$5:$D$208, "Not Found")</f>
        <v>27297.112851390069</v>
      </c>
      <c r="H449" cm="1">
        <f t="array" ref="H449">SUMPRODUCT(
    --(TEXT('[3]Global Weekly Stock (EWSuez'!$B$4:$B$2000,"mmm-yy")=TEXT(A449,"mmm-yy")),
    '[3]Global Weekly Stock (EWSuez'!$E$4:$E$2000)
/
SUMPRODUCT(
    --(TEXT('[3]Global Weekly Stock (EWSuez'!$B$4:$B$2000,"mmm-yy")=TEXT(A449,"mmm-yy"))
)</f>
        <v>12518.8</v>
      </c>
      <c r="I449">
        <f>_xlfn.XLOOKUP(A449,[1]ForwardDeriv!$D:$D,[1]ForwardDeriv!$AJ:$AJ)</f>
        <v>0.88000000000000256</v>
      </c>
      <c r="J449" cm="1">
        <f t="array" ref="J449">_xlfn.XLOOKUP(TEXT(A449, "mmm-yy"), TEXT([2]GASOLINE!$B$5:$B$208, "mmm-yy"), [2]GASOLINE!$IR$5:$IR$208, "Not Found")</f>
        <v>7.5559767739518406</v>
      </c>
      <c r="K449" cm="1">
        <f t="array" ref="K449">_xlfn.XLOOKUP(TEXT(A449, "mmm-yy"), TEXT([2]GASOLINE!$B$5:$B$208, "mmm-yy"), [2]GASOLINE!$IK$5:$IK$208, "Not Found")</f>
        <v>0</v>
      </c>
      <c r="L449">
        <f t="shared" si="6"/>
        <v>1</v>
      </c>
      <c r="M449" cm="1">
        <f t="array" ref="M449">_xlfn.XLOOKUP(TEXT(A449, "mmm-yy"), TEXT([2]GASOLINE!$B$5:$B$208, "mmm-yy"), [2]GASOLINE!$C$5:$C$208, "Not Found")</f>
        <v>6676.6204840147666</v>
      </c>
      <c r="N449" cm="1">
        <f t="array" ref="N449">_xlfn.XLOOKUP(TEXT(A449, "mmm-yy"), TEXT([2]RUNS!$B$5:$B$208, "mmm-yy"), [2]RUNS!$BM$5:$BM$208, "Not Found")</f>
        <v>0.81132023942096121</v>
      </c>
    </row>
    <row r="450" spans="1:14" x14ac:dyDescent="0.25">
      <c r="A450" s="1">
        <f>'[1]Global_Spot Prices'!$B1759</f>
        <v>42633</v>
      </c>
      <c r="B450">
        <f>_xlfn.XLOOKUP(A450,'[1]Global_Spot Prices'!$B:$B,'[1]Global_Spot Prices'!$BS:$BS)</f>
        <v>12.270000000000003</v>
      </c>
      <c r="C450">
        <f>_xlfn.XLOOKUP(A450,'[1]Global_Spot Prices'!$B:$B,'[1]Global_Spot Prices'!$E:$E)</f>
        <v>42.01</v>
      </c>
      <c r="D450">
        <f>_xlfn.XLOOKUP(A450,'[1]Global_Spot Prices'!$B:$B,'[1]Global_Spot Prices'!$D:$D)</f>
        <v>45.64</v>
      </c>
      <c r="E450">
        <f>_xlfn.XLOOKUP(A450,'[1]Global_Spot Prices'!$B:$B,'[1]Global_Spot Prices'!$H:$H)</f>
        <v>41.82</v>
      </c>
      <c r="F450">
        <f>_xlfn.XLOOKUP(A450,'[1]Global_Spot Prices'!$B:$B,'[1]Global_Spot Prices'!$I:$I)</f>
        <v>54.28</v>
      </c>
      <c r="G450" cm="1">
        <f t="array" ref="G450">_xlfn.XLOOKUP(TEXT(A450, "mmm-yy"), TEXT([2]RUNS!$B$5:$B$208, "mmm-yy"), [2]RUNS!$D$5:$D$208, "Not Found")</f>
        <v>27297.112851390069</v>
      </c>
      <c r="H450" cm="1">
        <f t="array" ref="H450">SUMPRODUCT(
    --(TEXT('[3]Global Weekly Stock (EWSuez'!$B$4:$B$2000,"mmm-yy")=TEXT(A450,"mmm-yy")),
    '[3]Global Weekly Stock (EWSuez'!$E$4:$E$2000)
/
SUMPRODUCT(
    --(TEXT('[3]Global Weekly Stock (EWSuez'!$B$4:$B$2000,"mmm-yy")=TEXT(A450,"mmm-yy"))
)</f>
        <v>12518.8</v>
      </c>
      <c r="I450">
        <f>_xlfn.XLOOKUP(A450,[1]ForwardDeriv!$D:$D,[1]ForwardDeriv!$AJ:$AJ)</f>
        <v>0.69999999999999574</v>
      </c>
      <c r="J450" cm="1">
        <f t="array" ref="J450">_xlfn.XLOOKUP(TEXT(A450, "mmm-yy"), TEXT([2]GASOLINE!$B$5:$B$208, "mmm-yy"), [2]GASOLINE!$IR$5:$IR$208, "Not Found")</f>
        <v>7.5559767739518406</v>
      </c>
      <c r="K450" cm="1">
        <f t="array" ref="K450">_xlfn.XLOOKUP(TEXT(A450, "mmm-yy"), TEXT([2]GASOLINE!$B$5:$B$208, "mmm-yy"), [2]GASOLINE!$IK$5:$IK$208, "Not Found")</f>
        <v>0</v>
      </c>
      <c r="L450">
        <f t="shared" si="6"/>
        <v>1</v>
      </c>
      <c r="M450" cm="1">
        <f t="array" ref="M450">_xlfn.XLOOKUP(TEXT(A450, "mmm-yy"), TEXT([2]GASOLINE!$B$5:$B$208, "mmm-yy"), [2]GASOLINE!$C$5:$C$208, "Not Found")</f>
        <v>6676.6204840147666</v>
      </c>
      <c r="N450" cm="1">
        <f t="array" ref="N450">_xlfn.XLOOKUP(TEXT(A450, "mmm-yy"), TEXT([2]RUNS!$B$5:$B$208, "mmm-yy"), [2]RUNS!$BM$5:$BM$208, "Not Found")</f>
        <v>0.81132023942096121</v>
      </c>
    </row>
    <row r="451" spans="1:14" x14ac:dyDescent="0.25">
      <c r="A451" s="1">
        <f>'[1]Global_Spot Prices'!$B1760</f>
        <v>42634</v>
      </c>
      <c r="B451">
        <f>_xlfn.XLOOKUP(A451,'[1]Global_Spot Prices'!$B:$B,'[1]Global_Spot Prices'!$BS:$BS)</f>
        <v>12.799999999999997</v>
      </c>
      <c r="C451">
        <f>_xlfn.XLOOKUP(A451,'[1]Global_Spot Prices'!$B:$B,'[1]Global_Spot Prices'!$E:$E)</f>
        <v>43.06</v>
      </c>
      <c r="D451">
        <f>_xlfn.XLOOKUP(A451,'[1]Global_Spot Prices'!$B:$B,'[1]Global_Spot Prices'!$D:$D)</f>
        <v>46.545000000000002</v>
      </c>
      <c r="E451">
        <f>_xlfn.XLOOKUP(A451,'[1]Global_Spot Prices'!$B:$B,'[1]Global_Spot Prices'!$H:$H)</f>
        <v>43.58</v>
      </c>
      <c r="F451">
        <f>_xlfn.XLOOKUP(A451,'[1]Global_Spot Prices'!$B:$B,'[1]Global_Spot Prices'!$I:$I)</f>
        <v>55.86</v>
      </c>
      <c r="G451" cm="1">
        <f t="array" ref="G451">_xlfn.XLOOKUP(TEXT(A451, "mmm-yy"), TEXT([2]RUNS!$B$5:$B$208, "mmm-yy"), [2]RUNS!$D$5:$D$208, "Not Found")</f>
        <v>27297.112851390069</v>
      </c>
      <c r="H451" cm="1">
        <f t="array" ref="H451">SUMPRODUCT(
    --(TEXT('[3]Global Weekly Stock (EWSuez'!$B$4:$B$2000,"mmm-yy")=TEXT(A451,"mmm-yy")),
    '[3]Global Weekly Stock (EWSuez'!$E$4:$E$2000)
/
SUMPRODUCT(
    --(TEXT('[3]Global Weekly Stock (EWSuez'!$B$4:$B$2000,"mmm-yy")=TEXT(A451,"mmm-yy"))
)</f>
        <v>12518.8</v>
      </c>
      <c r="I451">
        <f>_xlfn.XLOOKUP(A451,[1]ForwardDeriv!$D:$D,[1]ForwardDeriv!$AJ:$AJ)</f>
        <v>0.8300000000000054</v>
      </c>
      <c r="J451" cm="1">
        <f t="array" ref="J451">_xlfn.XLOOKUP(TEXT(A451, "mmm-yy"), TEXT([2]GASOLINE!$B$5:$B$208, "mmm-yy"), [2]GASOLINE!$IR$5:$IR$208, "Not Found")</f>
        <v>7.5559767739518406</v>
      </c>
      <c r="K451" cm="1">
        <f t="array" ref="K451">_xlfn.XLOOKUP(TEXT(A451, "mmm-yy"), TEXT([2]GASOLINE!$B$5:$B$208, "mmm-yy"), [2]GASOLINE!$IK$5:$IK$208, "Not Found")</f>
        <v>0</v>
      </c>
      <c r="L451">
        <f t="shared" ref="L451:L514" si="7">IF(OR(MONTH(A451)=6, MONTH(A451)=7, MONTH(A451)=8, MONTH(A451)=9), 1, 0)</f>
        <v>1</v>
      </c>
      <c r="M451" cm="1">
        <f t="array" ref="M451">_xlfn.XLOOKUP(TEXT(A451, "mmm-yy"), TEXT([2]GASOLINE!$B$5:$B$208, "mmm-yy"), [2]GASOLINE!$C$5:$C$208, "Not Found")</f>
        <v>6676.6204840147666</v>
      </c>
      <c r="N451" cm="1">
        <f t="array" ref="N451">_xlfn.XLOOKUP(TEXT(A451, "mmm-yy"), TEXT([2]RUNS!$B$5:$B$208, "mmm-yy"), [2]RUNS!$BM$5:$BM$208, "Not Found")</f>
        <v>0.81132023942096121</v>
      </c>
    </row>
    <row r="452" spans="1:14" x14ac:dyDescent="0.25">
      <c r="A452" s="1">
        <f>'[1]Global_Spot Prices'!$B1761</f>
        <v>42635</v>
      </c>
      <c r="B452">
        <f>_xlfn.XLOOKUP(A452,'[1]Global_Spot Prices'!$B:$B,'[1]Global_Spot Prices'!$BS:$BS)</f>
        <v>12.700000000000003</v>
      </c>
      <c r="C452">
        <f>_xlfn.XLOOKUP(A452,'[1]Global_Spot Prices'!$B:$B,'[1]Global_Spot Prices'!$E:$E)</f>
        <v>43.61</v>
      </c>
      <c r="D452">
        <f>_xlfn.XLOOKUP(A452,'[1]Global_Spot Prices'!$B:$B,'[1]Global_Spot Prices'!$D:$D)</f>
        <v>47.284999999999997</v>
      </c>
      <c r="E452">
        <f>_xlfn.XLOOKUP(A452,'[1]Global_Spot Prices'!$B:$B,'[1]Global_Spot Prices'!$H:$H)</f>
        <v>44.58</v>
      </c>
      <c r="F452">
        <f>_xlfn.XLOOKUP(A452,'[1]Global_Spot Prices'!$B:$B,'[1]Global_Spot Prices'!$I:$I)</f>
        <v>56.31</v>
      </c>
      <c r="G452" cm="1">
        <f t="array" ref="G452">_xlfn.XLOOKUP(TEXT(A452, "mmm-yy"), TEXT([2]RUNS!$B$5:$B$208, "mmm-yy"), [2]RUNS!$D$5:$D$208, "Not Found")</f>
        <v>27297.112851390069</v>
      </c>
      <c r="H452" cm="1">
        <f t="array" ref="H452">SUMPRODUCT(
    --(TEXT('[3]Global Weekly Stock (EWSuez'!$B$4:$B$2000,"mmm-yy")=TEXT(A452,"mmm-yy")),
    '[3]Global Weekly Stock (EWSuez'!$E$4:$E$2000)
/
SUMPRODUCT(
    --(TEXT('[3]Global Weekly Stock (EWSuez'!$B$4:$B$2000,"mmm-yy")=TEXT(A452,"mmm-yy"))
)</f>
        <v>12518.8</v>
      </c>
      <c r="I452">
        <f>_xlfn.XLOOKUP(A452,[1]ForwardDeriv!$D:$D,[1]ForwardDeriv!$AJ:$AJ)</f>
        <v>0.82000000000000028</v>
      </c>
      <c r="J452" cm="1">
        <f t="array" ref="J452">_xlfn.XLOOKUP(TEXT(A452, "mmm-yy"), TEXT([2]GASOLINE!$B$5:$B$208, "mmm-yy"), [2]GASOLINE!$IR$5:$IR$208, "Not Found")</f>
        <v>7.5559767739518406</v>
      </c>
      <c r="K452" cm="1">
        <f t="array" ref="K452">_xlfn.XLOOKUP(TEXT(A452, "mmm-yy"), TEXT([2]GASOLINE!$B$5:$B$208, "mmm-yy"), [2]GASOLINE!$IK$5:$IK$208, "Not Found")</f>
        <v>0</v>
      </c>
      <c r="L452">
        <f t="shared" si="7"/>
        <v>1</v>
      </c>
      <c r="M452" cm="1">
        <f t="array" ref="M452">_xlfn.XLOOKUP(TEXT(A452, "mmm-yy"), TEXT([2]GASOLINE!$B$5:$B$208, "mmm-yy"), [2]GASOLINE!$C$5:$C$208, "Not Found")</f>
        <v>6676.6204840147666</v>
      </c>
      <c r="N452" cm="1">
        <f t="array" ref="N452">_xlfn.XLOOKUP(TEXT(A452, "mmm-yy"), TEXT([2]RUNS!$B$5:$B$208, "mmm-yy"), [2]RUNS!$BM$5:$BM$208, "Not Found")</f>
        <v>0.81132023942096121</v>
      </c>
    </row>
    <row r="453" spans="1:14" x14ac:dyDescent="0.25">
      <c r="A453" s="1">
        <f>'[1]Global_Spot Prices'!$B1762</f>
        <v>42636</v>
      </c>
      <c r="B453">
        <f>_xlfn.XLOOKUP(A453,'[1]Global_Spot Prices'!$B:$B,'[1]Global_Spot Prices'!$BS:$BS)</f>
        <v>12.5</v>
      </c>
      <c r="C453">
        <f>_xlfn.XLOOKUP(A453,'[1]Global_Spot Prices'!$B:$B,'[1]Global_Spot Prices'!$E:$E)</f>
        <v>43.45</v>
      </c>
      <c r="D453">
        <f>_xlfn.XLOOKUP(A453,'[1]Global_Spot Prices'!$B:$B,'[1]Global_Spot Prices'!$D:$D)</f>
        <v>46.86</v>
      </c>
      <c r="E453">
        <f>_xlfn.XLOOKUP(A453,'[1]Global_Spot Prices'!$B:$B,'[1]Global_Spot Prices'!$H:$H)</f>
        <v>44.19</v>
      </c>
      <c r="F453">
        <f>_xlfn.XLOOKUP(A453,'[1]Global_Spot Prices'!$B:$B,'[1]Global_Spot Prices'!$I:$I)</f>
        <v>55.95</v>
      </c>
      <c r="G453" cm="1">
        <f t="array" ref="G453">_xlfn.XLOOKUP(TEXT(A453, "mmm-yy"), TEXT([2]RUNS!$B$5:$B$208, "mmm-yy"), [2]RUNS!$D$5:$D$208, "Not Found")</f>
        <v>27297.112851390069</v>
      </c>
      <c r="H453" cm="1">
        <f t="array" ref="H453">SUMPRODUCT(
    --(TEXT('[3]Global Weekly Stock (EWSuez'!$B$4:$B$2000,"mmm-yy")=TEXT(A453,"mmm-yy")),
    '[3]Global Weekly Stock (EWSuez'!$E$4:$E$2000)
/
SUMPRODUCT(
    --(TEXT('[3]Global Weekly Stock (EWSuez'!$B$4:$B$2000,"mmm-yy")=TEXT(A453,"mmm-yy"))
)</f>
        <v>12518.8</v>
      </c>
      <c r="I453">
        <f>_xlfn.XLOOKUP(A453,[1]ForwardDeriv!$D:$D,[1]ForwardDeriv!$AJ:$AJ)</f>
        <v>0.78000000000000114</v>
      </c>
      <c r="J453" cm="1">
        <f t="array" ref="J453">_xlfn.XLOOKUP(TEXT(A453, "mmm-yy"), TEXT([2]GASOLINE!$B$5:$B$208, "mmm-yy"), [2]GASOLINE!$IR$5:$IR$208, "Not Found")</f>
        <v>7.5559767739518406</v>
      </c>
      <c r="K453" cm="1">
        <f t="array" ref="K453">_xlfn.XLOOKUP(TEXT(A453, "mmm-yy"), TEXT([2]GASOLINE!$B$5:$B$208, "mmm-yy"), [2]GASOLINE!$IK$5:$IK$208, "Not Found")</f>
        <v>0</v>
      </c>
      <c r="L453">
        <f t="shared" si="7"/>
        <v>1</v>
      </c>
      <c r="M453" cm="1">
        <f t="array" ref="M453">_xlfn.XLOOKUP(TEXT(A453, "mmm-yy"), TEXT([2]GASOLINE!$B$5:$B$208, "mmm-yy"), [2]GASOLINE!$C$5:$C$208, "Not Found")</f>
        <v>6676.6204840147666</v>
      </c>
      <c r="N453" cm="1">
        <f t="array" ref="N453">_xlfn.XLOOKUP(TEXT(A453, "mmm-yy"), TEXT([2]RUNS!$B$5:$B$208, "mmm-yy"), [2]RUNS!$BM$5:$BM$208, "Not Found")</f>
        <v>0.81132023942096121</v>
      </c>
    </row>
    <row r="454" spans="1:14" x14ac:dyDescent="0.25">
      <c r="A454" s="1">
        <f>'[1]Global_Spot Prices'!$B1763</f>
        <v>42639</v>
      </c>
      <c r="B454">
        <f>_xlfn.XLOOKUP(A454,'[1]Global_Spot Prices'!$B:$B,'[1]Global_Spot Prices'!$BS:$BS)</f>
        <v>12.299999999999997</v>
      </c>
      <c r="C454">
        <f>_xlfn.XLOOKUP(A454,'[1]Global_Spot Prices'!$B:$B,'[1]Global_Spot Prices'!$E:$E)</f>
        <v>42.2</v>
      </c>
      <c r="D454">
        <f>_xlfn.XLOOKUP(A454,'[1]Global_Spot Prices'!$B:$B,'[1]Global_Spot Prices'!$D:$D)</f>
        <v>46.61</v>
      </c>
      <c r="E454">
        <f>_xlfn.XLOOKUP(A454,'[1]Global_Spot Prices'!$B:$B,'[1]Global_Spot Prices'!$H:$H)</f>
        <v>43.19</v>
      </c>
      <c r="F454">
        <f>_xlfn.XLOOKUP(A454,'[1]Global_Spot Prices'!$B:$B,'[1]Global_Spot Prices'!$I:$I)</f>
        <v>54.5</v>
      </c>
      <c r="G454" cm="1">
        <f t="array" ref="G454">_xlfn.XLOOKUP(TEXT(A454, "mmm-yy"), TEXT([2]RUNS!$B$5:$B$208, "mmm-yy"), [2]RUNS!$D$5:$D$208, "Not Found")</f>
        <v>27297.112851390069</v>
      </c>
      <c r="H454" cm="1">
        <f t="array" ref="H454">SUMPRODUCT(
    --(TEXT('[3]Global Weekly Stock (EWSuez'!$B$4:$B$2000,"mmm-yy")=TEXT(A454,"mmm-yy")),
    '[3]Global Weekly Stock (EWSuez'!$E$4:$E$2000)
/
SUMPRODUCT(
    --(TEXT('[3]Global Weekly Stock (EWSuez'!$B$4:$B$2000,"mmm-yy")=TEXT(A454,"mmm-yy"))
)</f>
        <v>12518.8</v>
      </c>
      <c r="I454">
        <f>_xlfn.XLOOKUP(A454,[1]ForwardDeriv!$D:$D,[1]ForwardDeriv!$AJ:$AJ)</f>
        <v>0.71999999999999886</v>
      </c>
      <c r="J454" cm="1">
        <f t="array" ref="J454">_xlfn.XLOOKUP(TEXT(A454, "mmm-yy"), TEXT([2]GASOLINE!$B$5:$B$208, "mmm-yy"), [2]GASOLINE!$IR$5:$IR$208, "Not Found")</f>
        <v>7.5559767739518406</v>
      </c>
      <c r="K454" cm="1">
        <f t="array" ref="K454">_xlfn.XLOOKUP(TEXT(A454, "mmm-yy"), TEXT([2]GASOLINE!$B$5:$B$208, "mmm-yy"), [2]GASOLINE!$IK$5:$IK$208, "Not Found")</f>
        <v>0</v>
      </c>
      <c r="L454">
        <f t="shared" si="7"/>
        <v>1</v>
      </c>
      <c r="M454" cm="1">
        <f t="array" ref="M454">_xlfn.XLOOKUP(TEXT(A454, "mmm-yy"), TEXT([2]GASOLINE!$B$5:$B$208, "mmm-yy"), [2]GASOLINE!$C$5:$C$208, "Not Found")</f>
        <v>6676.6204840147666</v>
      </c>
      <c r="N454" cm="1">
        <f t="array" ref="N454">_xlfn.XLOOKUP(TEXT(A454, "mmm-yy"), TEXT([2]RUNS!$B$5:$B$208, "mmm-yy"), [2]RUNS!$BM$5:$BM$208, "Not Found")</f>
        <v>0.81132023942096121</v>
      </c>
    </row>
    <row r="455" spans="1:14" x14ac:dyDescent="0.25">
      <c r="A455" s="1">
        <f>'[1]Global_Spot Prices'!$B1764</f>
        <v>42640</v>
      </c>
      <c r="B455">
        <f>_xlfn.XLOOKUP(A455,'[1]Global_Spot Prices'!$B:$B,'[1]Global_Spot Prices'!$BS:$BS)</f>
        <v>12.550000000000004</v>
      </c>
      <c r="C455">
        <f>_xlfn.XLOOKUP(A455,'[1]Global_Spot Prices'!$B:$B,'[1]Global_Spot Prices'!$E:$E)</f>
        <v>43.05</v>
      </c>
      <c r="D455">
        <f>_xlfn.XLOOKUP(A455,'[1]Global_Spot Prices'!$B:$B,'[1]Global_Spot Prices'!$D:$D)</f>
        <v>44.884999999999998</v>
      </c>
      <c r="E455">
        <f>_xlfn.XLOOKUP(A455,'[1]Global_Spot Prices'!$B:$B,'[1]Global_Spot Prices'!$H:$H)</f>
        <v>43.63</v>
      </c>
      <c r="F455">
        <f>_xlfn.XLOOKUP(A455,'[1]Global_Spot Prices'!$B:$B,'[1]Global_Spot Prices'!$I:$I)</f>
        <v>55.6</v>
      </c>
      <c r="G455" cm="1">
        <f t="array" ref="G455">_xlfn.XLOOKUP(TEXT(A455, "mmm-yy"), TEXT([2]RUNS!$B$5:$B$208, "mmm-yy"), [2]RUNS!$D$5:$D$208, "Not Found")</f>
        <v>27297.112851390069</v>
      </c>
      <c r="H455" cm="1">
        <f t="array" ref="H455">SUMPRODUCT(
    --(TEXT('[3]Global Weekly Stock (EWSuez'!$B$4:$B$2000,"mmm-yy")=TEXT(A455,"mmm-yy")),
    '[3]Global Weekly Stock (EWSuez'!$E$4:$E$2000)
/
SUMPRODUCT(
    --(TEXT('[3]Global Weekly Stock (EWSuez'!$B$4:$B$2000,"mmm-yy")=TEXT(A455,"mmm-yy"))
)</f>
        <v>12518.8</v>
      </c>
      <c r="I455">
        <f>_xlfn.XLOOKUP(A455,[1]ForwardDeriv!$D:$D,[1]ForwardDeriv!$AJ:$AJ)</f>
        <v>0.70000000000000284</v>
      </c>
      <c r="J455" cm="1">
        <f t="array" ref="J455">_xlfn.XLOOKUP(TEXT(A455, "mmm-yy"), TEXT([2]GASOLINE!$B$5:$B$208, "mmm-yy"), [2]GASOLINE!$IR$5:$IR$208, "Not Found")</f>
        <v>7.5559767739518406</v>
      </c>
      <c r="K455" cm="1">
        <f t="array" ref="K455">_xlfn.XLOOKUP(TEXT(A455, "mmm-yy"), TEXT([2]GASOLINE!$B$5:$B$208, "mmm-yy"), [2]GASOLINE!$IK$5:$IK$208, "Not Found")</f>
        <v>0</v>
      </c>
      <c r="L455">
        <f t="shared" si="7"/>
        <v>1</v>
      </c>
      <c r="M455" cm="1">
        <f t="array" ref="M455">_xlfn.XLOOKUP(TEXT(A455, "mmm-yy"), TEXT([2]GASOLINE!$B$5:$B$208, "mmm-yy"), [2]GASOLINE!$C$5:$C$208, "Not Found")</f>
        <v>6676.6204840147666</v>
      </c>
      <c r="N455" cm="1">
        <f t="array" ref="N455">_xlfn.XLOOKUP(TEXT(A455, "mmm-yy"), TEXT([2]RUNS!$B$5:$B$208, "mmm-yy"), [2]RUNS!$BM$5:$BM$208, "Not Found")</f>
        <v>0.81132023942096121</v>
      </c>
    </row>
    <row r="456" spans="1:14" x14ac:dyDescent="0.25">
      <c r="A456" s="1">
        <f>'[1]Global_Spot Prices'!$B1765</f>
        <v>42641</v>
      </c>
      <c r="B456">
        <f>_xlfn.XLOOKUP(A456,'[1]Global_Spot Prices'!$B:$B,'[1]Global_Spot Prices'!$BS:$BS)</f>
        <v>13.100000000000001</v>
      </c>
      <c r="C456">
        <f>_xlfn.XLOOKUP(A456,'[1]Global_Spot Prices'!$B:$B,'[1]Global_Spot Prices'!$E:$E)</f>
        <v>42.4</v>
      </c>
      <c r="D456">
        <f>_xlfn.XLOOKUP(A456,'[1]Global_Spot Prices'!$B:$B,'[1]Global_Spot Prices'!$D:$D)</f>
        <v>45.2</v>
      </c>
      <c r="E456">
        <f>_xlfn.XLOOKUP(A456,'[1]Global_Spot Prices'!$B:$B,'[1]Global_Spot Prices'!$H:$H)</f>
        <v>42.17</v>
      </c>
      <c r="F456">
        <f>_xlfn.XLOOKUP(A456,'[1]Global_Spot Prices'!$B:$B,'[1]Global_Spot Prices'!$I:$I)</f>
        <v>55.5</v>
      </c>
      <c r="G456" cm="1">
        <f t="array" ref="G456">_xlfn.XLOOKUP(TEXT(A456, "mmm-yy"), TEXT([2]RUNS!$B$5:$B$208, "mmm-yy"), [2]RUNS!$D$5:$D$208, "Not Found")</f>
        <v>27297.112851390069</v>
      </c>
      <c r="H456" cm="1">
        <f t="array" ref="H456">SUMPRODUCT(
    --(TEXT('[3]Global Weekly Stock (EWSuez'!$B$4:$B$2000,"mmm-yy")=TEXT(A456,"mmm-yy")),
    '[3]Global Weekly Stock (EWSuez'!$E$4:$E$2000)
/
SUMPRODUCT(
    --(TEXT('[3]Global Weekly Stock (EWSuez'!$B$4:$B$2000,"mmm-yy")=TEXT(A456,"mmm-yy"))
)</f>
        <v>12518.8</v>
      </c>
      <c r="I456">
        <f>_xlfn.XLOOKUP(A456,[1]ForwardDeriv!$D:$D,[1]ForwardDeriv!$AJ:$AJ)</f>
        <v>0.89999999999999858</v>
      </c>
      <c r="J456" cm="1">
        <f t="array" ref="J456">_xlfn.XLOOKUP(TEXT(A456, "mmm-yy"), TEXT([2]GASOLINE!$B$5:$B$208, "mmm-yy"), [2]GASOLINE!$IR$5:$IR$208, "Not Found")</f>
        <v>7.5559767739518406</v>
      </c>
      <c r="K456" cm="1">
        <f t="array" ref="K456">_xlfn.XLOOKUP(TEXT(A456, "mmm-yy"), TEXT([2]GASOLINE!$B$5:$B$208, "mmm-yy"), [2]GASOLINE!$IK$5:$IK$208, "Not Found")</f>
        <v>0</v>
      </c>
      <c r="L456">
        <f t="shared" si="7"/>
        <v>1</v>
      </c>
      <c r="M456" cm="1">
        <f t="array" ref="M456">_xlfn.XLOOKUP(TEXT(A456, "mmm-yy"), TEXT([2]GASOLINE!$B$5:$B$208, "mmm-yy"), [2]GASOLINE!$C$5:$C$208, "Not Found")</f>
        <v>6676.6204840147666</v>
      </c>
      <c r="N456" cm="1">
        <f t="array" ref="N456">_xlfn.XLOOKUP(TEXT(A456, "mmm-yy"), TEXT([2]RUNS!$B$5:$B$208, "mmm-yy"), [2]RUNS!$BM$5:$BM$208, "Not Found")</f>
        <v>0.81132023942096121</v>
      </c>
    </row>
    <row r="457" spans="1:14" x14ac:dyDescent="0.25">
      <c r="A457" s="1">
        <f>'[1]Global_Spot Prices'!$B1766</f>
        <v>42642</v>
      </c>
      <c r="B457">
        <f>_xlfn.XLOOKUP(A457,'[1]Global_Spot Prices'!$B:$B,'[1]Global_Spot Prices'!$BS:$BS)</f>
        <v>12.840000000000003</v>
      </c>
      <c r="C457">
        <f>_xlfn.XLOOKUP(A457,'[1]Global_Spot Prices'!$B:$B,'[1]Global_Spot Prices'!$E:$E)</f>
        <v>44.61</v>
      </c>
      <c r="D457">
        <f>_xlfn.XLOOKUP(A457,'[1]Global_Spot Prices'!$B:$B,'[1]Global_Spot Prices'!$D:$D)</f>
        <v>48.354999999999997</v>
      </c>
      <c r="E457">
        <f>_xlfn.XLOOKUP(A457,'[1]Global_Spot Prices'!$B:$B,'[1]Global_Spot Prices'!$H:$H)</f>
        <v>43.75</v>
      </c>
      <c r="F457">
        <f>_xlfn.XLOOKUP(A457,'[1]Global_Spot Prices'!$B:$B,'[1]Global_Spot Prices'!$I:$I)</f>
        <v>57.45</v>
      </c>
      <c r="G457" cm="1">
        <f t="array" ref="G457">_xlfn.XLOOKUP(TEXT(A457, "mmm-yy"), TEXT([2]RUNS!$B$5:$B$208, "mmm-yy"), [2]RUNS!$D$5:$D$208, "Not Found")</f>
        <v>27297.112851390069</v>
      </c>
      <c r="H457" cm="1">
        <f t="array" ref="H457">SUMPRODUCT(
    --(TEXT('[3]Global Weekly Stock (EWSuez'!$B$4:$B$2000,"mmm-yy")=TEXT(A457,"mmm-yy")),
    '[3]Global Weekly Stock (EWSuez'!$E$4:$E$2000)
/
SUMPRODUCT(
    --(TEXT('[3]Global Weekly Stock (EWSuez'!$B$4:$B$2000,"mmm-yy")=TEXT(A457,"mmm-yy"))
)</f>
        <v>12518.8</v>
      </c>
      <c r="I457">
        <f>_xlfn.XLOOKUP(A457,[1]ForwardDeriv!$D:$D,[1]ForwardDeriv!$AJ:$AJ)</f>
        <v>0.80000000000000426</v>
      </c>
      <c r="J457" cm="1">
        <f t="array" ref="J457">_xlfn.XLOOKUP(TEXT(A457, "mmm-yy"), TEXT([2]GASOLINE!$B$5:$B$208, "mmm-yy"), [2]GASOLINE!$IR$5:$IR$208, "Not Found")</f>
        <v>7.5559767739518406</v>
      </c>
      <c r="K457" cm="1">
        <f t="array" ref="K457">_xlfn.XLOOKUP(TEXT(A457, "mmm-yy"), TEXT([2]GASOLINE!$B$5:$B$208, "mmm-yy"), [2]GASOLINE!$IK$5:$IK$208, "Not Found")</f>
        <v>0</v>
      </c>
      <c r="L457">
        <f t="shared" si="7"/>
        <v>1</v>
      </c>
      <c r="M457" cm="1">
        <f t="array" ref="M457">_xlfn.XLOOKUP(TEXT(A457, "mmm-yy"), TEXT([2]GASOLINE!$B$5:$B$208, "mmm-yy"), [2]GASOLINE!$C$5:$C$208, "Not Found")</f>
        <v>6676.6204840147666</v>
      </c>
      <c r="N457" cm="1">
        <f t="array" ref="N457">_xlfn.XLOOKUP(TEXT(A457, "mmm-yy"), TEXT([2]RUNS!$B$5:$B$208, "mmm-yy"), [2]RUNS!$BM$5:$BM$208, "Not Found")</f>
        <v>0.81132023942096121</v>
      </c>
    </row>
    <row r="458" spans="1:14" x14ac:dyDescent="0.25">
      <c r="A458" s="1">
        <f>'[1]Global_Spot Prices'!$B1767</f>
        <v>42643</v>
      </c>
      <c r="B458">
        <f>_xlfn.XLOOKUP(A458,'[1]Global_Spot Prices'!$B:$B,'[1]Global_Spot Prices'!$BS:$BS)</f>
        <v>12.019999999999996</v>
      </c>
      <c r="C458">
        <f>_xlfn.XLOOKUP(A458,'[1]Global_Spot Prices'!$B:$B,'[1]Global_Spot Prices'!$E:$E)</f>
        <v>45.1</v>
      </c>
      <c r="D458">
        <f>_xlfn.XLOOKUP(A458,'[1]Global_Spot Prices'!$B:$B,'[1]Global_Spot Prices'!$D:$D)</f>
        <v>48.115000000000002</v>
      </c>
      <c r="E458">
        <f>_xlfn.XLOOKUP(A458,'[1]Global_Spot Prices'!$B:$B,'[1]Global_Spot Prices'!$H:$H)</f>
        <v>42.98</v>
      </c>
      <c r="F458">
        <f>_xlfn.XLOOKUP(A458,'[1]Global_Spot Prices'!$B:$B,'[1]Global_Spot Prices'!$I:$I)</f>
        <v>57.12</v>
      </c>
      <c r="G458" cm="1">
        <f t="array" ref="G458">_xlfn.XLOOKUP(TEXT(A458, "mmm-yy"), TEXT([2]RUNS!$B$5:$B$208, "mmm-yy"), [2]RUNS!$D$5:$D$208, "Not Found")</f>
        <v>27297.112851390069</v>
      </c>
      <c r="H458" cm="1">
        <f t="array" ref="H458">SUMPRODUCT(
    --(TEXT('[3]Global Weekly Stock (EWSuez'!$B$4:$B$2000,"mmm-yy")=TEXT(A458,"mmm-yy")),
    '[3]Global Weekly Stock (EWSuez'!$E$4:$E$2000)
/
SUMPRODUCT(
    --(TEXT('[3]Global Weekly Stock (EWSuez'!$B$4:$B$2000,"mmm-yy")=TEXT(A458,"mmm-yy"))
)</f>
        <v>12518.8</v>
      </c>
      <c r="I458">
        <f>_xlfn.XLOOKUP(A458,[1]ForwardDeriv!$D:$D,[1]ForwardDeriv!$AJ:$AJ)</f>
        <v>0.75</v>
      </c>
      <c r="J458" cm="1">
        <f t="array" ref="J458">_xlfn.XLOOKUP(TEXT(A458, "mmm-yy"), TEXT([2]GASOLINE!$B$5:$B$208, "mmm-yy"), [2]GASOLINE!$IR$5:$IR$208, "Not Found")</f>
        <v>7.5559767739518406</v>
      </c>
      <c r="K458" cm="1">
        <f t="array" ref="K458">_xlfn.XLOOKUP(TEXT(A458, "mmm-yy"), TEXT([2]GASOLINE!$B$5:$B$208, "mmm-yy"), [2]GASOLINE!$IK$5:$IK$208, "Not Found")</f>
        <v>0</v>
      </c>
      <c r="L458">
        <f t="shared" si="7"/>
        <v>1</v>
      </c>
      <c r="M458" cm="1">
        <f t="array" ref="M458">_xlfn.XLOOKUP(TEXT(A458, "mmm-yy"), TEXT([2]GASOLINE!$B$5:$B$208, "mmm-yy"), [2]GASOLINE!$C$5:$C$208, "Not Found")</f>
        <v>6676.6204840147666</v>
      </c>
      <c r="N458" cm="1">
        <f t="array" ref="N458">_xlfn.XLOOKUP(TEXT(A458, "mmm-yy"), TEXT([2]RUNS!$B$5:$B$208, "mmm-yy"), [2]RUNS!$BM$5:$BM$208, "Not Found")</f>
        <v>0.81132023942096121</v>
      </c>
    </row>
    <row r="459" spans="1:14" x14ac:dyDescent="0.25">
      <c r="A459" s="1">
        <f>'[1]Global_Spot Prices'!$B1768</f>
        <v>42646</v>
      </c>
      <c r="B459">
        <f>_xlfn.XLOOKUP(A459,'[1]Global_Spot Prices'!$B:$B,'[1]Global_Spot Prices'!$BS:$BS)</f>
        <v>9.5999999999999943</v>
      </c>
      <c r="C459">
        <f>_xlfn.XLOOKUP(A459,'[1]Global_Spot Prices'!$B:$B,'[1]Global_Spot Prices'!$E:$E)</f>
        <v>47.95</v>
      </c>
      <c r="D459">
        <f>_xlfn.XLOOKUP(A459,'[1]Global_Spot Prices'!$B:$B,'[1]Global_Spot Prices'!$D:$D)</f>
        <v>48.17</v>
      </c>
      <c r="E459">
        <f>_xlfn.XLOOKUP(A459,'[1]Global_Spot Prices'!$B:$B,'[1]Global_Spot Prices'!$H:$H)</f>
        <v>44.58</v>
      </c>
      <c r="F459">
        <f>_xlfn.XLOOKUP(A459,'[1]Global_Spot Prices'!$B:$B,'[1]Global_Spot Prices'!$I:$I)</f>
        <v>57.55</v>
      </c>
      <c r="G459" cm="1">
        <f t="array" ref="G459">_xlfn.XLOOKUP(TEXT(A459, "mmm-yy"), TEXT([2]RUNS!$B$5:$B$208, "mmm-yy"), [2]RUNS!$D$5:$D$208, "Not Found")</f>
        <v>27716.409690456814</v>
      </c>
      <c r="H459" cm="1">
        <f t="array" ref="H459">SUMPRODUCT(
    --(TEXT('[3]Global Weekly Stock (EWSuez'!$B$4:$B$2000,"mmm-yy")=TEXT(A459,"mmm-yy")),
    '[3]Global Weekly Stock (EWSuez'!$E$4:$E$2000)
/
SUMPRODUCT(
    --(TEXT('[3]Global Weekly Stock (EWSuez'!$B$4:$B$2000,"mmm-yy")=TEXT(A459,"mmm-yy"))
)</f>
        <v>11768.75</v>
      </c>
      <c r="I459">
        <f>_xlfn.XLOOKUP(A459,[1]ForwardDeriv!$D:$D,[1]ForwardDeriv!$AJ:$AJ)</f>
        <v>0.25</v>
      </c>
      <c r="J459" cm="1">
        <f t="array" ref="J459">_xlfn.XLOOKUP(TEXT(A459, "mmm-yy"), TEXT([2]GASOLINE!$B$5:$B$208, "mmm-yy"), [2]GASOLINE!$IR$5:$IR$208, "Not Found")</f>
        <v>-43.136217239470824</v>
      </c>
      <c r="K459" cm="1">
        <f t="array" ref="K459">_xlfn.XLOOKUP(TEXT(A459, "mmm-yy"), TEXT([2]GASOLINE!$B$5:$B$208, "mmm-yy"), [2]GASOLINE!$IK$5:$IK$208, "Not Found")</f>
        <v>0</v>
      </c>
      <c r="L459">
        <f t="shared" si="7"/>
        <v>0</v>
      </c>
      <c r="M459" cm="1">
        <f t="array" ref="M459">_xlfn.XLOOKUP(TEXT(A459, "mmm-yy"), TEXT([2]GASOLINE!$B$5:$B$208, "mmm-yy"), [2]GASOLINE!$C$5:$C$208, "Not Found")</f>
        <v>6939.7490831003024</v>
      </c>
      <c r="N459" cm="1">
        <f t="array" ref="N459">_xlfn.XLOOKUP(TEXT(A459, "mmm-yy"), TEXT([2]RUNS!$B$5:$B$208, "mmm-yy"), [2]RUNS!$BM$5:$BM$208, "Not Found")</f>
        <v>0.82472869072110055</v>
      </c>
    </row>
    <row r="460" spans="1:14" x14ac:dyDescent="0.25">
      <c r="A460" s="1">
        <f>'[1]Global_Spot Prices'!$B1769</f>
        <v>42647</v>
      </c>
      <c r="B460">
        <f>_xlfn.XLOOKUP(A460,'[1]Global_Spot Prices'!$B:$B,'[1]Global_Spot Prices'!$BS:$BS)</f>
        <v>9.93</v>
      </c>
      <c r="C460">
        <f>_xlfn.XLOOKUP(A460,'[1]Global_Spot Prices'!$B:$B,'[1]Global_Spot Prices'!$E:$E)</f>
        <v>47.9</v>
      </c>
      <c r="D460">
        <f>_xlfn.XLOOKUP(A460,'[1]Global_Spot Prices'!$B:$B,'[1]Global_Spot Prices'!$D:$D)</f>
        <v>49.04</v>
      </c>
      <c r="E460">
        <f>_xlfn.XLOOKUP(A460,'[1]Global_Spot Prices'!$B:$B,'[1]Global_Spot Prices'!$H:$H)</f>
        <v>44.51</v>
      </c>
      <c r="F460">
        <f>_xlfn.XLOOKUP(A460,'[1]Global_Spot Prices'!$B:$B,'[1]Global_Spot Prices'!$I:$I)</f>
        <v>57.83</v>
      </c>
      <c r="G460" cm="1">
        <f t="array" ref="G460">_xlfn.XLOOKUP(TEXT(A460, "mmm-yy"), TEXT([2]RUNS!$B$5:$B$208, "mmm-yy"), [2]RUNS!$D$5:$D$208, "Not Found")</f>
        <v>27716.409690456814</v>
      </c>
      <c r="H460" cm="1">
        <f t="array" ref="H460">SUMPRODUCT(
    --(TEXT('[3]Global Weekly Stock (EWSuez'!$B$4:$B$2000,"mmm-yy")=TEXT(A460,"mmm-yy")),
    '[3]Global Weekly Stock (EWSuez'!$E$4:$E$2000)
/
SUMPRODUCT(
    --(TEXT('[3]Global Weekly Stock (EWSuez'!$B$4:$B$2000,"mmm-yy")=TEXT(A460,"mmm-yy"))
)</f>
        <v>11768.75</v>
      </c>
      <c r="I460">
        <f>_xlfn.XLOOKUP(A460,[1]ForwardDeriv!$D:$D,[1]ForwardDeriv!$AJ:$AJ)</f>
        <v>0.10000000000000142</v>
      </c>
      <c r="J460" cm="1">
        <f t="array" ref="J460">_xlfn.XLOOKUP(TEXT(A460, "mmm-yy"), TEXT([2]GASOLINE!$B$5:$B$208, "mmm-yy"), [2]GASOLINE!$IR$5:$IR$208, "Not Found")</f>
        <v>-43.136217239470824</v>
      </c>
      <c r="K460" cm="1">
        <f t="array" ref="K460">_xlfn.XLOOKUP(TEXT(A460, "mmm-yy"), TEXT([2]GASOLINE!$B$5:$B$208, "mmm-yy"), [2]GASOLINE!$IK$5:$IK$208, "Not Found")</f>
        <v>0</v>
      </c>
      <c r="L460">
        <f t="shared" si="7"/>
        <v>0</v>
      </c>
      <c r="M460" cm="1">
        <f t="array" ref="M460">_xlfn.XLOOKUP(TEXT(A460, "mmm-yy"), TEXT([2]GASOLINE!$B$5:$B$208, "mmm-yy"), [2]GASOLINE!$C$5:$C$208, "Not Found")</f>
        <v>6939.7490831003024</v>
      </c>
      <c r="N460" cm="1">
        <f t="array" ref="N460">_xlfn.XLOOKUP(TEXT(A460, "mmm-yy"), TEXT([2]RUNS!$B$5:$B$208, "mmm-yy"), [2]RUNS!$BM$5:$BM$208, "Not Found")</f>
        <v>0.82472869072110055</v>
      </c>
    </row>
    <row r="461" spans="1:14" x14ac:dyDescent="0.25">
      <c r="A461" s="1">
        <f>'[1]Global_Spot Prices'!$B1770</f>
        <v>42648</v>
      </c>
      <c r="B461">
        <f>_xlfn.XLOOKUP(A461,'[1]Global_Spot Prices'!$B:$B,'[1]Global_Spot Prices'!$BS:$BS)</f>
        <v>10.740000000000002</v>
      </c>
      <c r="C461">
        <f>_xlfn.XLOOKUP(A461,'[1]Global_Spot Prices'!$B:$B,'[1]Global_Spot Prices'!$E:$E)</f>
        <v>48.8</v>
      </c>
      <c r="D461">
        <f>_xlfn.XLOOKUP(A461,'[1]Global_Spot Prices'!$B:$B,'[1]Global_Spot Prices'!$D:$D)</f>
        <v>49.755000000000003</v>
      </c>
      <c r="E461">
        <f>_xlfn.XLOOKUP(A461,'[1]Global_Spot Prices'!$B:$B,'[1]Global_Spot Prices'!$H:$H)</f>
        <v>46.04</v>
      </c>
      <c r="F461">
        <f>_xlfn.XLOOKUP(A461,'[1]Global_Spot Prices'!$B:$B,'[1]Global_Spot Prices'!$I:$I)</f>
        <v>59.54</v>
      </c>
      <c r="G461" cm="1">
        <f t="array" ref="G461">_xlfn.XLOOKUP(TEXT(A461, "mmm-yy"), TEXT([2]RUNS!$B$5:$B$208, "mmm-yy"), [2]RUNS!$D$5:$D$208, "Not Found")</f>
        <v>27716.409690456814</v>
      </c>
      <c r="H461" cm="1">
        <f t="array" ref="H461">SUMPRODUCT(
    --(TEXT('[3]Global Weekly Stock (EWSuez'!$B$4:$B$2000,"mmm-yy")=TEXT(A461,"mmm-yy")),
    '[3]Global Weekly Stock (EWSuez'!$E$4:$E$2000)
/
SUMPRODUCT(
    --(TEXT('[3]Global Weekly Stock (EWSuez'!$B$4:$B$2000,"mmm-yy")=TEXT(A461,"mmm-yy"))
)</f>
        <v>11768.75</v>
      </c>
      <c r="I461">
        <f>_xlfn.XLOOKUP(A461,[1]ForwardDeriv!$D:$D,[1]ForwardDeriv!$AJ:$AJ)</f>
        <v>0.29999999999999716</v>
      </c>
      <c r="J461" cm="1">
        <f t="array" ref="J461">_xlfn.XLOOKUP(TEXT(A461, "mmm-yy"), TEXT([2]GASOLINE!$B$5:$B$208, "mmm-yy"), [2]GASOLINE!$IR$5:$IR$208, "Not Found")</f>
        <v>-43.136217239470824</v>
      </c>
      <c r="K461" cm="1">
        <f t="array" ref="K461">_xlfn.XLOOKUP(TEXT(A461, "mmm-yy"), TEXT([2]GASOLINE!$B$5:$B$208, "mmm-yy"), [2]GASOLINE!$IK$5:$IK$208, "Not Found")</f>
        <v>0</v>
      </c>
      <c r="L461">
        <f t="shared" si="7"/>
        <v>0</v>
      </c>
      <c r="M461" cm="1">
        <f t="array" ref="M461">_xlfn.XLOOKUP(TEXT(A461, "mmm-yy"), TEXT([2]GASOLINE!$B$5:$B$208, "mmm-yy"), [2]GASOLINE!$C$5:$C$208, "Not Found")</f>
        <v>6939.7490831003024</v>
      </c>
      <c r="N461" cm="1">
        <f t="array" ref="N461">_xlfn.XLOOKUP(TEXT(A461, "mmm-yy"), TEXT([2]RUNS!$B$5:$B$208, "mmm-yy"), [2]RUNS!$BM$5:$BM$208, "Not Found")</f>
        <v>0.82472869072110055</v>
      </c>
    </row>
    <row r="462" spans="1:14" x14ac:dyDescent="0.25">
      <c r="A462" s="1">
        <f>'[1]Global_Spot Prices'!$B1771</f>
        <v>42649</v>
      </c>
      <c r="B462">
        <f>_xlfn.XLOOKUP(A462,'[1]Global_Spot Prices'!$B:$B,'[1]Global_Spot Prices'!$BS:$BS)</f>
        <v>9.7000000000000028</v>
      </c>
      <c r="C462">
        <f>_xlfn.XLOOKUP(A462,'[1]Global_Spot Prices'!$B:$B,'[1]Global_Spot Prices'!$E:$E)</f>
        <v>48.8</v>
      </c>
      <c r="D462">
        <f>_xlfn.XLOOKUP(A462,'[1]Global_Spot Prices'!$B:$B,'[1]Global_Spot Prices'!$D:$D)</f>
        <v>50.225000000000001</v>
      </c>
      <c r="E462">
        <f>_xlfn.XLOOKUP(A462,'[1]Global_Spot Prices'!$B:$B,'[1]Global_Spot Prices'!$H:$H)</f>
        <v>46.29</v>
      </c>
      <c r="F462">
        <f>_xlfn.XLOOKUP(A462,'[1]Global_Spot Prices'!$B:$B,'[1]Global_Spot Prices'!$I:$I)</f>
        <v>58.5</v>
      </c>
      <c r="G462" cm="1">
        <f t="array" ref="G462">_xlfn.XLOOKUP(TEXT(A462, "mmm-yy"), TEXT([2]RUNS!$B$5:$B$208, "mmm-yy"), [2]RUNS!$D$5:$D$208, "Not Found")</f>
        <v>27716.409690456814</v>
      </c>
      <c r="H462" cm="1">
        <f t="array" ref="H462">SUMPRODUCT(
    --(TEXT('[3]Global Weekly Stock (EWSuez'!$B$4:$B$2000,"mmm-yy")=TEXT(A462,"mmm-yy")),
    '[3]Global Weekly Stock (EWSuez'!$E$4:$E$2000)
/
SUMPRODUCT(
    --(TEXT('[3]Global Weekly Stock (EWSuez'!$B$4:$B$2000,"mmm-yy")=TEXT(A462,"mmm-yy"))
)</f>
        <v>11768.75</v>
      </c>
      <c r="I462">
        <f>_xlfn.XLOOKUP(A462,[1]ForwardDeriv!$D:$D,[1]ForwardDeriv!$AJ:$AJ)</f>
        <v>0.14999999999999858</v>
      </c>
      <c r="J462" cm="1">
        <f t="array" ref="J462">_xlfn.XLOOKUP(TEXT(A462, "mmm-yy"), TEXT([2]GASOLINE!$B$5:$B$208, "mmm-yy"), [2]GASOLINE!$IR$5:$IR$208, "Not Found")</f>
        <v>-43.136217239470824</v>
      </c>
      <c r="K462" cm="1">
        <f t="array" ref="K462">_xlfn.XLOOKUP(TEXT(A462, "mmm-yy"), TEXT([2]GASOLINE!$B$5:$B$208, "mmm-yy"), [2]GASOLINE!$IK$5:$IK$208, "Not Found")</f>
        <v>0</v>
      </c>
      <c r="L462">
        <f t="shared" si="7"/>
        <v>0</v>
      </c>
      <c r="M462" cm="1">
        <f t="array" ref="M462">_xlfn.XLOOKUP(TEXT(A462, "mmm-yy"), TEXT([2]GASOLINE!$B$5:$B$208, "mmm-yy"), [2]GASOLINE!$C$5:$C$208, "Not Found")</f>
        <v>6939.7490831003024</v>
      </c>
      <c r="N462" cm="1">
        <f t="array" ref="N462">_xlfn.XLOOKUP(TEXT(A462, "mmm-yy"), TEXT([2]RUNS!$B$5:$B$208, "mmm-yy"), [2]RUNS!$BM$5:$BM$208, "Not Found")</f>
        <v>0.82472869072110055</v>
      </c>
    </row>
    <row r="463" spans="1:14" x14ac:dyDescent="0.25">
      <c r="A463" s="1">
        <f>'[1]Global_Spot Prices'!$B1772</f>
        <v>42650</v>
      </c>
      <c r="B463">
        <f>_xlfn.XLOOKUP(A463,'[1]Global_Spot Prices'!$B:$B,'[1]Global_Spot Prices'!$BS:$BS)</f>
        <v>9.8699999999999974</v>
      </c>
      <c r="C463">
        <f>_xlfn.XLOOKUP(A463,'[1]Global_Spot Prices'!$B:$B,'[1]Global_Spot Prices'!$E:$E)</f>
        <v>49.99</v>
      </c>
      <c r="D463">
        <f>_xlfn.XLOOKUP(A463,'[1]Global_Spot Prices'!$B:$B,'[1]Global_Spot Prices'!$D:$D)</f>
        <v>50.295000000000002</v>
      </c>
      <c r="E463">
        <f>_xlfn.XLOOKUP(A463,'[1]Global_Spot Prices'!$B:$B,'[1]Global_Spot Prices'!$H:$H)</f>
        <v>47.67</v>
      </c>
      <c r="F463">
        <f>_xlfn.XLOOKUP(A463,'[1]Global_Spot Prices'!$B:$B,'[1]Global_Spot Prices'!$I:$I)</f>
        <v>59.86</v>
      </c>
      <c r="G463" cm="1">
        <f t="array" ref="G463">_xlfn.XLOOKUP(TEXT(A463, "mmm-yy"), TEXT([2]RUNS!$B$5:$B$208, "mmm-yy"), [2]RUNS!$D$5:$D$208, "Not Found")</f>
        <v>27716.409690456814</v>
      </c>
      <c r="H463" cm="1">
        <f t="array" ref="H463">SUMPRODUCT(
    --(TEXT('[3]Global Weekly Stock (EWSuez'!$B$4:$B$2000,"mmm-yy")=TEXT(A463,"mmm-yy")),
    '[3]Global Weekly Stock (EWSuez'!$E$4:$E$2000)
/
SUMPRODUCT(
    --(TEXT('[3]Global Weekly Stock (EWSuez'!$B$4:$B$2000,"mmm-yy")=TEXT(A463,"mmm-yy"))
)</f>
        <v>11768.75</v>
      </c>
      <c r="I463">
        <f>_xlfn.XLOOKUP(A463,[1]ForwardDeriv!$D:$D,[1]ForwardDeriv!$AJ:$AJ)</f>
        <v>7.0000000000000284E-2</v>
      </c>
      <c r="J463" cm="1">
        <f t="array" ref="J463">_xlfn.XLOOKUP(TEXT(A463, "mmm-yy"), TEXT([2]GASOLINE!$B$5:$B$208, "mmm-yy"), [2]GASOLINE!$IR$5:$IR$208, "Not Found")</f>
        <v>-43.136217239470824</v>
      </c>
      <c r="K463" cm="1">
        <f t="array" ref="K463">_xlfn.XLOOKUP(TEXT(A463, "mmm-yy"), TEXT([2]GASOLINE!$B$5:$B$208, "mmm-yy"), [2]GASOLINE!$IK$5:$IK$208, "Not Found")</f>
        <v>0</v>
      </c>
      <c r="L463">
        <f t="shared" si="7"/>
        <v>0</v>
      </c>
      <c r="M463" cm="1">
        <f t="array" ref="M463">_xlfn.XLOOKUP(TEXT(A463, "mmm-yy"), TEXT([2]GASOLINE!$B$5:$B$208, "mmm-yy"), [2]GASOLINE!$C$5:$C$208, "Not Found")</f>
        <v>6939.7490831003024</v>
      </c>
      <c r="N463" cm="1">
        <f t="array" ref="N463">_xlfn.XLOOKUP(TEXT(A463, "mmm-yy"), TEXT([2]RUNS!$B$5:$B$208, "mmm-yy"), [2]RUNS!$BM$5:$BM$208, "Not Found")</f>
        <v>0.82472869072110055</v>
      </c>
    </row>
    <row r="464" spans="1:14" x14ac:dyDescent="0.25">
      <c r="A464" s="1">
        <f>'[1]Global_Spot Prices'!$B1773</f>
        <v>42653</v>
      </c>
      <c r="B464">
        <f>_xlfn.XLOOKUP(A464,'[1]Global_Spot Prices'!$B:$B,'[1]Global_Spot Prices'!$BS:$BS)</f>
        <v>10.200000000000003</v>
      </c>
      <c r="C464">
        <f>_xlfn.XLOOKUP(A464,'[1]Global_Spot Prices'!$B:$B,'[1]Global_Spot Prices'!$E:$E)</f>
        <v>48.9</v>
      </c>
      <c r="D464">
        <f>_xlfn.XLOOKUP(A464,'[1]Global_Spot Prices'!$B:$B,'[1]Global_Spot Prices'!$D:$D)</f>
        <v>51.37</v>
      </c>
      <c r="E464">
        <f>_xlfn.XLOOKUP(A464,'[1]Global_Spot Prices'!$B:$B,'[1]Global_Spot Prices'!$H:$H)</f>
        <v>46.48</v>
      </c>
      <c r="F464">
        <f>_xlfn.XLOOKUP(A464,'[1]Global_Spot Prices'!$B:$B,'[1]Global_Spot Prices'!$I:$I)</f>
        <v>59.1</v>
      </c>
      <c r="G464" cm="1">
        <f t="array" ref="G464">_xlfn.XLOOKUP(TEXT(A464, "mmm-yy"), TEXT([2]RUNS!$B$5:$B$208, "mmm-yy"), [2]RUNS!$D$5:$D$208, "Not Found")</f>
        <v>27716.409690456814</v>
      </c>
      <c r="H464" cm="1">
        <f t="array" ref="H464">SUMPRODUCT(
    --(TEXT('[3]Global Weekly Stock (EWSuez'!$B$4:$B$2000,"mmm-yy")=TEXT(A464,"mmm-yy")),
    '[3]Global Weekly Stock (EWSuez'!$E$4:$E$2000)
/
SUMPRODUCT(
    --(TEXT('[3]Global Weekly Stock (EWSuez'!$B$4:$B$2000,"mmm-yy")=TEXT(A464,"mmm-yy"))
)</f>
        <v>11768.75</v>
      </c>
      <c r="I464">
        <f>_xlfn.XLOOKUP(A464,[1]ForwardDeriv!$D:$D,[1]ForwardDeriv!$AJ:$AJ)</f>
        <v>0.10000000000000142</v>
      </c>
      <c r="J464" cm="1">
        <f t="array" ref="J464">_xlfn.XLOOKUP(TEXT(A464, "mmm-yy"), TEXT([2]GASOLINE!$B$5:$B$208, "mmm-yy"), [2]GASOLINE!$IR$5:$IR$208, "Not Found")</f>
        <v>-43.136217239470824</v>
      </c>
      <c r="K464" cm="1">
        <f t="array" ref="K464">_xlfn.XLOOKUP(TEXT(A464, "mmm-yy"), TEXT([2]GASOLINE!$B$5:$B$208, "mmm-yy"), [2]GASOLINE!$IK$5:$IK$208, "Not Found")</f>
        <v>0</v>
      </c>
      <c r="L464">
        <f t="shared" si="7"/>
        <v>0</v>
      </c>
      <c r="M464" cm="1">
        <f t="array" ref="M464">_xlfn.XLOOKUP(TEXT(A464, "mmm-yy"), TEXT([2]GASOLINE!$B$5:$B$208, "mmm-yy"), [2]GASOLINE!$C$5:$C$208, "Not Found")</f>
        <v>6939.7490831003024</v>
      </c>
      <c r="N464" cm="1">
        <f t="array" ref="N464">_xlfn.XLOOKUP(TEXT(A464, "mmm-yy"), TEXT([2]RUNS!$B$5:$B$208, "mmm-yy"), [2]RUNS!$BM$5:$BM$208, "Not Found")</f>
        <v>0.82472869072110055</v>
      </c>
    </row>
    <row r="465" spans="1:14" x14ac:dyDescent="0.25">
      <c r="A465" s="1">
        <f>'[1]Global_Spot Prices'!$B1774</f>
        <v>42654</v>
      </c>
      <c r="B465">
        <f>_xlfn.XLOOKUP(A465,'[1]Global_Spot Prices'!$B:$B,'[1]Global_Spot Prices'!$BS:$BS)</f>
        <v>10.119999999999997</v>
      </c>
      <c r="C465">
        <f>_xlfn.XLOOKUP(A465,'[1]Global_Spot Prices'!$B:$B,'[1]Global_Spot Prices'!$E:$E)</f>
        <v>49.99</v>
      </c>
      <c r="D465">
        <f>_xlfn.XLOOKUP(A465,'[1]Global_Spot Prices'!$B:$B,'[1]Global_Spot Prices'!$D:$D)</f>
        <v>50.454999999999998</v>
      </c>
      <c r="E465">
        <f>_xlfn.XLOOKUP(A465,'[1]Global_Spot Prices'!$B:$B,'[1]Global_Spot Prices'!$H:$H)</f>
        <v>47.2</v>
      </c>
      <c r="F465">
        <f>_xlfn.XLOOKUP(A465,'[1]Global_Spot Prices'!$B:$B,'[1]Global_Spot Prices'!$I:$I)</f>
        <v>60.11</v>
      </c>
      <c r="G465" cm="1">
        <f t="array" ref="G465">_xlfn.XLOOKUP(TEXT(A465, "mmm-yy"), TEXT([2]RUNS!$B$5:$B$208, "mmm-yy"), [2]RUNS!$D$5:$D$208, "Not Found")</f>
        <v>27716.409690456814</v>
      </c>
      <c r="H465" cm="1">
        <f t="array" ref="H465">SUMPRODUCT(
    --(TEXT('[3]Global Weekly Stock (EWSuez'!$B$4:$B$2000,"mmm-yy")=TEXT(A465,"mmm-yy")),
    '[3]Global Weekly Stock (EWSuez'!$E$4:$E$2000)
/
SUMPRODUCT(
    --(TEXT('[3]Global Weekly Stock (EWSuez'!$B$4:$B$2000,"mmm-yy")=TEXT(A465,"mmm-yy"))
)</f>
        <v>11768.75</v>
      </c>
      <c r="I465">
        <f>_xlfn.XLOOKUP(A465,[1]ForwardDeriv!$D:$D,[1]ForwardDeriv!$AJ:$AJ)</f>
        <v>0.18999999999999773</v>
      </c>
      <c r="J465" cm="1">
        <f t="array" ref="J465">_xlfn.XLOOKUP(TEXT(A465, "mmm-yy"), TEXT([2]GASOLINE!$B$5:$B$208, "mmm-yy"), [2]GASOLINE!$IR$5:$IR$208, "Not Found")</f>
        <v>-43.136217239470824</v>
      </c>
      <c r="K465" cm="1">
        <f t="array" ref="K465">_xlfn.XLOOKUP(TEXT(A465, "mmm-yy"), TEXT([2]GASOLINE!$B$5:$B$208, "mmm-yy"), [2]GASOLINE!$IK$5:$IK$208, "Not Found")</f>
        <v>0</v>
      </c>
      <c r="L465">
        <f t="shared" si="7"/>
        <v>0</v>
      </c>
      <c r="M465" cm="1">
        <f t="array" ref="M465">_xlfn.XLOOKUP(TEXT(A465, "mmm-yy"), TEXT([2]GASOLINE!$B$5:$B$208, "mmm-yy"), [2]GASOLINE!$C$5:$C$208, "Not Found")</f>
        <v>6939.7490831003024</v>
      </c>
      <c r="N465" cm="1">
        <f t="array" ref="N465">_xlfn.XLOOKUP(TEXT(A465, "mmm-yy"), TEXT([2]RUNS!$B$5:$B$208, "mmm-yy"), [2]RUNS!$BM$5:$BM$208, "Not Found")</f>
        <v>0.82472869072110055</v>
      </c>
    </row>
    <row r="466" spans="1:14" x14ac:dyDescent="0.25">
      <c r="A466" s="1">
        <f>'[1]Global_Spot Prices'!$B1775</f>
        <v>42655</v>
      </c>
      <c r="B466">
        <f>_xlfn.XLOOKUP(A466,'[1]Global_Spot Prices'!$B:$B,'[1]Global_Spot Prices'!$BS:$BS)</f>
        <v>10.409999999999997</v>
      </c>
      <c r="C466">
        <f>_xlfn.XLOOKUP(A466,'[1]Global_Spot Prices'!$B:$B,'[1]Global_Spot Prices'!$E:$E)</f>
        <v>50.03</v>
      </c>
      <c r="D466">
        <f>_xlfn.XLOOKUP(A466,'[1]Global_Spot Prices'!$B:$B,'[1]Global_Spot Prices'!$D:$D)</f>
        <v>49.79</v>
      </c>
      <c r="E466">
        <f>_xlfn.XLOOKUP(A466,'[1]Global_Spot Prices'!$B:$B,'[1]Global_Spot Prices'!$H:$H)</f>
        <v>47.05</v>
      </c>
      <c r="F466">
        <f>_xlfn.XLOOKUP(A466,'[1]Global_Spot Prices'!$B:$B,'[1]Global_Spot Prices'!$I:$I)</f>
        <v>60.44</v>
      </c>
      <c r="G466" cm="1">
        <f t="array" ref="G466">_xlfn.XLOOKUP(TEXT(A466, "mmm-yy"), TEXT([2]RUNS!$B$5:$B$208, "mmm-yy"), [2]RUNS!$D$5:$D$208, "Not Found")</f>
        <v>27716.409690456814</v>
      </c>
      <c r="H466" cm="1">
        <f t="array" ref="H466">SUMPRODUCT(
    --(TEXT('[3]Global Weekly Stock (EWSuez'!$B$4:$B$2000,"mmm-yy")=TEXT(A466,"mmm-yy")),
    '[3]Global Weekly Stock (EWSuez'!$E$4:$E$2000)
/
SUMPRODUCT(
    --(TEXT('[3]Global Weekly Stock (EWSuez'!$B$4:$B$2000,"mmm-yy")=TEXT(A466,"mmm-yy"))
)</f>
        <v>11768.75</v>
      </c>
      <c r="I466">
        <f>_xlfn.XLOOKUP(A466,[1]ForwardDeriv!$D:$D,[1]ForwardDeriv!$AJ:$AJ)</f>
        <v>0.17999999999999972</v>
      </c>
      <c r="J466" cm="1">
        <f t="array" ref="J466">_xlfn.XLOOKUP(TEXT(A466, "mmm-yy"), TEXT([2]GASOLINE!$B$5:$B$208, "mmm-yy"), [2]GASOLINE!$IR$5:$IR$208, "Not Found")</f>
        <v>-43.136217239470824</v>
      </c>
      <c r="K466" cm="1">
        <f t="array" ref="K466">_xlfn.XLOOKUP(TEXT(A466, "mmm-yy"), TEXT([2]GASOLINE!$B$5:$B$208, "mmm-yy"), [2]GASOLINE!$IK$5:$IK$208, "Not Found")</f>
        <v>0</v>
      </c>
      <c r="L466">
        <f t="shared" si="7"/>
        <v>0</v>
      </c>
      <c r="M466" cm="1">
        <f t="array" ref="M466">_xlfn.XLOOKUP(TEXT(A466, "mmm-yy"), TEXT([2]GASOLINE!$B$5:$B$208, "mmm-yy"), [2]GASOLINE!$C$5:$C$208, "Not Found")</f>
        <v>6939.7490831003024</v>
      </c>
      <c r="N466" cm="1">
        <f t="array" ref="N466">_xlfn.XLOOKUP(TEXT(A466, "mmm-yy"), TEXT([2]RUNS!$B$5:$B$208, "mmm-yy"), [2]RUNS!$BM$5:$BM$208, "Not Found")</f>
        <v>0.82472869072110055</v>
      </c>
    </row>
    <row r="467" spans="1:14" x14ac:dyDescent="0.25">
      <c r="A467" s="1">
        <f>'[1]Global_Spot Prices'!$B1776</f>
        <v>42656</v>
      </c>
      <c r="B467">
        <f>_xlfn.XLOOKUP(A467,'[1]Global_Spot Prices'!$B:$B,'[1]Global_Spot Prices'!$BS:$BS)</f>
        <v>10.43</v>
      </c>
      <c r="C467">
        <f>_xlfn.XLOOKUP(A467,'[1]Global_Spot Prices'!$B:$B,'[1]Global_Spot Prices'!$E:$E)</f>
        <v>49.11</v>
      </c>
      <c r="D467">
        <f>_xlfn.XLOOKUP(A467,'[1]Global_Spot Prices'!$B:$B,'[1]Global_Spot Prices'!$D:$D)</f>
        <v>49.78</v>
      </c>
      <c r="E467">
        <f>_xlfn.XLOOKUP(A467,'[1]Global_Spot Prices'!$B:$B,'[1]Global_Spot Prices'!$H:$H)</f>
        <v>46.16</v>
      </c>
      <c r="F467">
        <f>_xlfn.XLOOKUP(A467,'[1]Global_Spot Prices'!$B:$B,'[1]Global_Spot Prices'!$I:$I)</f>
        <v>59.54</v>
      </c>
      <c r="G467" cm="1">
        <f t="array" ref="G467">_xlfn.XLOOKUP(TEXT(A467, "mmm-yy"), TEXT([2]RUNS!$B$5:$B$208, "mmm-yy"), [2]RUNS!$D$5:$D$208, "Not Found")</f>
        <v>27716.409690456814</v>
      </c>
      <c r="H467" cm="1">
        <f t="array" ref="H467">SUMPRODUCT(
    --(TEXT('[3]Global Weekly Stock (EWSuez'!$B$4:$B$2000,"mmm-yy")=TEXT(A467,"mmm-yy")),
    '[3]Global Weekly Stock (EWSuez'!$E$4:$E$2000)
/
SUMPRODUCT(
    --(TEXT('[3]Global Weekly Stock (EWSuez'!$B$4:$B$2000,"mmm-yy")=TEXT(A467,"mmm-yy"))
)</f>
        <v>11768.75</v>
      </c>
      <c r="I467">
        <f>_xlfn.XLOOKUP(A467,[1]ForwardDeriv!$D:$D,[1]ForwardDeriv!$AJ:$AJ)</f>
        <v>0.32000000000000028</v>
      </c>
      <c r="J467" cm="1">
        <f t="array" ref="J467">_xlfn.XLOOKUP(TEXT(A467, "mmm-yy"), TEXT([2]GASOLINE!$B$5:$B$208, "mmm-yy"), [2]GASOLINE!$IR$5:$IR$208, "Not Found")</f>
        <v>-43.136217239470824</v>
      </c>
      <c r="K467" cm="1">
        <f t="array" ref="K467">_xlfn.XLOOKUP(TEXT(A467, "mmm-yy"), TEXT([2]GASOLINE!$B$5:$B$208, "mmm-yy"), [2]GASOLINE!$IK$5:$IK$208, "Not Found")</f>
        <v>0</v>
      </c>
      <c r="L467">
        <f t="shared" si="7"/>
        <v>0</v>
      </c>
      <c r="M467" cm="1">
        <f t="array" ref="M467">_xlfn.XLOOKUP(TEXT(A467, "mmm-yy"), TEXT([2]GASOLINE!$B$5:$B$208, "mmm-yy"), [2]GASOLINE!$C$5:$C$208, "Not Found")</f>
        <v>6939.7490831003024</v>
      </c>
      <c r="N467" cm="1">
        <f t="array" ref="N467">_xlfn.XLOOKUP(TEXT(A467, "mmm-yy"), TEXT([2]RUNS!$B$5:$B$208, "mmm-yy"), [2]RUNS!$BM$5:$BM$208, "Not Found")</f>
        <v>0.82472869072110055</v>
      </c>
    </row>
    <row r="468" spans="1:14" x14ac:dyDescent="0.25">
      <c r="A468" s="1">
        <f>'[1]Global_Spot Prices'!$B1777</f>
        <v>42657</v>
      </c>
      <c r="B468">
        <f>_xlfn.XLOOKUP(A468,'[1]Global_Spot Prices'!$B:$B,'[1]Global_Spot Prices'!$BS:$BS)</f>
        <v>10.79</v>
      </c>
      <c r="C468">
        <f>_xlfn.XLOOKUP(A468,'[1]Global_Spot Prices'!$B:$B,'[1]Global_Spot Prices'!$E:$E)</f>
        <v>49.87</v>
      </c>
      <c r="D468">
        <f>_xlfn.XLOOKUP(A468,'[1]Global_Spot Prices'!$B:$B,'[1]Global_Spot Prices'!$D:$D)</f>
        <v>49.784999999999997</v>
      </c>
      <c r="E468">
        <f>_xlfn.XLOOKUP(A468,'[1]Global_Spot Prices'!$B:$B,'[1]Global_Spot Prices'!$H:$H)</f>
        <v>47.83</v>
      </c>
      <c r="F468">
        <f>_xlfn.XLOOKUP(A468,'[1]Global_Spot Prices'!$B:$B,'[1]Global_Spot Prices'!$I:$I)</f>
        <v>60.66</v>
      </c>
      <c r="G468" cm="1">
        <f t="array" ref="G468">_xlfn.XLOOKUP(TEXT(A468, "mmm-yy"), TEXT([2]RUNS!$B$5:$B$208, "mmm-yy"), [2]RUNS!$D$5:$D$208, "Not Found")</f>
        <v>27716.409690456814</v>
      </c>
      <c r="H468" cm="1">
        <f t="array" ref="H468">SUMPRODUCT(
    --(TEXT('[3]Global Weekly Stock (EWSuez'!$B$4:$B$2000,"mmm-yy")=TEXT(A468,"mmm-yy")),
    '[3]Global Weekly Stock (EWSuez'!$E$4:$E$2000)
/
SUMPRODUCT(
    --(TEXT('[3]Global Weekly Stock (EWSuez'!$B$4:$B$2000,"mmm-yy")=TEXT(A468,"mmm-yy"))
)</f>
        <v>11768.75</v>
      </c>
      <c r="I468">
        <f>_xlfn.XLOOKUP(A468,[1]ForwardDeriv!$D:$D,[1]ForwardDeriv!$AJ:$AJ)</f>
        <v>0.39000000000000057</v>
      </c>
      <c r="J468" cm="1">
        <f t="array" ref="J468">_xlfn.XLOOKUP(TEXT(A468, "mmm-yy"), TEXT([2]GASOLINE!$B$5:$B$208, "mmm-yy"), [2]GASOLINE!$IR$5:$IR$208, "Not Found")</f>
        <v>-43.136217239470824</v>
      </c>
      <c r="K468" cm="1">
        <f t="array" ref="K468">_xlfn.XLOOKUP(TEXT(A468, "mmm-yy"), TEXT([2]GASOLINE!$B$5:$B$208, "mmm-yy"), [2]GASOLINE!$IK$5:$IK$208, "Not Found")</f>
        <v>0</v>
      </c>
      <c r="L468">
        <f t="shared" si="7"/>
        <v>0</v>
      </c>
      <c r="M468" cm="1">
        <f t="array" ref="M468">_xlfn.XLOOKUP(TEXT(A468, "mmm-yy"), TEXT([2]GASOLINE!$B$5:$B$208, "mmm-yy"), [2]GASOLINE!$C$5:$C$208, "Not Found")</f>
        <v>6939.7490831003024</v>
      </c>
      <c r="N468" cm="1">
        <f t="array" ref="N468">_xlfn.XLOOKUP(TEXT(A468, "mmm-yy"), TEXT([2]RUNS!$B$5:$B$208, "mmm-yy"), [2]RUNS!$BM$5:$BM$208, "Not Found")</f>
        <v>0.82472869072110055</v>
      </c>
    </row>
    <row r="469" spans="1:14" x14ac:dyDescent="0.25">
      <c r="A469" s="1">
        <f>'[1]Global_Spot Prices'!$B1778</f>
        <v>42660</v>
      </c>
      <c r="B469">
        <f>_xlfn.XLOOKUP(A469,'[1]Global_Spot Prices'!$B:$B,'[1]Global_Spot Prices'!$BS:$BS)</f>
        <v>11.015000000000001</v>
      </c>
      <c r="C469">
        <f>_xlfn.XLOOKUP(A469,'[1]Global_Spot Prices'!$B:$B,'[1]Global_Spot Prices'!$E:$E)</f>
        <v>49.195</v>
      </c>
      <c r="D469">
        <f>_xlfn.XLOOKUP(A469,'[1]Global_Spot Prices'!$B:$B,'[1]Global_Spot Prices'!$D:$D)</f>
        <v>49.984999999999999</v>
      </c>
      <c r="E469">
        <f>_xlfn.XLOOKUP(A469,'[1]Global_Spot Prices'!$B:$B,'[1]Global_Spot Prices'!$H:$H)</f>
        <v>47.58</v>
      </c>
      <c r="F469">
        <f>_xlfn.XLOOKUP(A469,'[1]Global_Spot Prices'!$B:$B,'[1]Global_Spot Prices'!$I:$I)</f>
        <v>60.21</v>
      </c>
      <c r="G469" cm="1">
        <f t="array" ref="G469">_xlfn.XLOOKUP(TEXT(A469, "mmm-yy"), TEXT([2]RUNS!$B$5:$B$208, "mmm-yy"), [2]RUNS!$D$5:$D$208, "Not Found")</f>
        <v>27716.409690456814</v>
      </c>
      <c r="H469" cm="1">
        <f t="array" ref="H469">SUMPRODUCT(
    --(TEXT('[3]Global Weekly Stock (EWSuez'!$B$4:$B$2000,"mmm-yy")=TEXT(A469,"mmm-yy")),
    '[3]Global Weekly Stock (EWSuez'!$E$4:$E$2000)
/
SUMPRODUCT(
    --(TEXT('[3]Global Weekly Stock (EWSuez'!$B$4:$B$2000,"mmm-yy")=TEXT(A469,"mmm-yy"))
)</f>
        <v>11768.75</v>
      </c>
      <c r="I469">
        <f>_xlfn.XLOOKUP(A469,[1]ForwardDeriv!$D:$D,[1]ForwardDeriv!$AJ:$AJ)</f>
        <v>0.39999999999999858</v>
      </c>
      <c r="J469" cm="1">
        <f t="array" ref="J469">_xlfn.XLOOKUP(TEXT(A469, "mmm-yy"), TEXT([2]GASOLINE!$B$5:$B$208, "mmm-yy"), [2]GASOLINE!$IR$5:$IR$208, "Not Found")</f>
        <v>-43.136217239470824</v>
      </c>
      <c r="K469" cm="1">
        <f t="array" ref="K469">_xlfn.XLOOKUP(TEXT(A469, "mmm-yy"), TEXT([2]GASOLINE!$B$5:$B$208, "mmm-yy"), [2]GASOLINE!$IK$5:$IK$208, "Not Found")</f>
        <v>0</v>
      </c>
      <c r="L469">
        <f t="shared" si="7"/>
        <v>0</v>
      </c>
      <c r="M469" cm="1">
        <f t="array" ref="M469">_xlfn.XLOOKUP(TEXT(A469, "mmm-yy"), TEXT([2]GASOLINE!$B$5:$B$208, "mmm-yy"), [2]GASOLINE!$C$5:$C$208, "Not Found")</f>
        <v>6939.7490831003024</v>
      </c>
      <c r="N469" cm="1">
        <f t="array" ref="N469">_xlfn.XLOOKUP(TEXT(A469, "mmm-yy"), TEXT([2]RUNS!$B$5:$B$208, "mmm-yy"), [2]RUNS!$BM$5:$BM$208, "Not Found")</f>
        <v>0.82472869072110055</v>
      </c>
    </row>
    <row r="470" spans="1:14" x14ac:dyDescent="0.25">
      <c r="A470" s="1">
        <f>'[1]Global_Spot Prices'!$B1779</f>
        <v>42661</v>
      </c>
      <c r="B470">
        <f>_xlfn.XLOOKUP(A470,'[1]Global_Spot Prices'!$B:$B,'[1]Global_Spot Prices'!$BS:$BS)</f>
        <v>11.340000000000003</v>
      </c>
      <c r="C470">
        <f>_xlfn.XLOOKUP(A470,'[1]Global_Spot Prices'!$B:$B,'[1]Global_Spot Prices'!$E:$E)</f>
        <v>49.3</v>
      </c>
      <c r="D470">
        <f>_xlfn.XLOOKUP(A470,'[1]Global_Spot Prices'!$B:$B,'[1]Global_Spot Prices'!$D:$D)</f>
        <v>50.085000000000001</v>
      </c>
      <c r="E470">
        <f>_xlfn.XLOOKUP(A470,'[1]Global_Spot Prices'!$B:$B,'[1]Global_Spot Prices'!$H:$H)</f>
        <v>47.99</v>
      </c>
      <c r="F470">
        <f>_xlfn.XLOOKUP(A470,'[1]Global_Spot Prices'!$B:$B,'[1]Global_Spot Prices'!$I:$I)</f>
        <v>60.64</v>
      </c>
      <c r="G470" cm="1">
        <f t="array" ref="G470">_xlfn.XLOOKUP(TEXT(A470, "mmm-yy"), TEXT([2]RUNS!$B$5:$B$208, "mmm-yy"), [2]RUNS!$D$5:$D$208, "Not Found")</f>
        <v>27716.409690456814</v>
      </c>
      <c r="H470" cm="1">
        <f t="array" ref="H470">SUMPRODUCT(
    --(TEXT('[3]Global Weekly Stock (EWSuez'!$B$4:$B$2000,"mmm-yy")=TEXT(A470,"mmm-yy")),
    '[3]Global Weekly Stock (EWSuez'!$E$4:$E$2000)
/
SUMPRODUCT(
    --(TEXT('[3]Global Weekly Stock (EWSuez'!$B$4:$B$2000,"mmm-yy")=TEXT(A470,"mmm-yy"))
)</f>
        <v>11768.75</v>
      </c>
      <c r="I470">
        <f>_xlfn.XLOOKUP(A470,[1]ForwardDeriv!$D:$D,[1]ForwardDeriv!$AJ:$AJ)</f>
        <v>0.39999999999999858</v>
      </c>
      <c r="J470" cm="1">
        <f t="array" ref="J470">_xlfn.XLOOKUP(TEXT(A470, "mmm-yy"), TEXT([2]GASOLINE!$B$5:$B$208, "mmm-yy"), [2]GASOLINE!$IR$5:$IR$208, "Not Found")</f>
        <v>-43.136217239470824</v>
      </c>
      <c r="K470" cm="1">
        <f t="array" ref="K470">_xlfn.XLOOKUP(TEXT(A470, "mmm-yy"), TEXT([2]GASOLINE!$B$5:$B$208, "mmm-yy"), [2]GASOLINE!$IK$5:$IK$208, "Not Found")</f>
        <v>0</v>
      </c>
      <c r="L470">
        <f t="shared" si="7"/>
        <v>0</v>
      </c>
      <c r="M470" cm="1">
        <f t="array" ref="M470">_xlfn.XLOOKUP(TEXT(A470, "mmm-yy"), TEXT([2]GASOLINE!$B$5:$B$208, "mmm-yy"), [2]GASOLINE!$C$5:$C$208, "Not Found")</f>
        <v>6939.7490831003024</v>
      </c>
      <c r="N470" cm="1">
        <f t="array" ref="N470">_xlfn.XLOOKUP(TEXT(A470, "mmm-yy"), TEXT([2]RUNS!$B$5:$B$208, "mmm-yy"), [2]RUNS!$BM$5:$BM$208, "Not Found")</f>
        <v>0.82472869072110055</v>
      </c>
    </row>
    <row r="471" spans="1:14" x14ac:dyDescent="0.25">
      <c r="A471" s="1">
        <f>'[1]Global_Spot Prices'!$B1780</f>
        <v>42662</v>
      </c>
      <c r="B471">
        <f>_xlfn.XLOOKUP(A471,'[1]Global_Spot Prices'!$B:$B,'[1]Global_Spot Prices'!$BS:$BS)</f>
        <v>11.64</v>
      </c>
      <c r="C471">
        <f>_xlfn.XLOOKUP(A471,'[1]Global_Spot Prices'!$B:$B,'[1]Global_Spot Prices'!$E:$E)</f>
        <v>49.7</v>
      </c>
      <c r="D471">
        <f>_xlfn.XLOOKUP(A471,'[1]Global_Spot Prices'!$B:$B,'[1]Global_Spot Prices'!$D:$D)</f>
        <v>51.615000000000002</v>
      </c>
      <c r="E471">
        <f>_xlfn.XLOOKUP(A471,'[1]Global_Spot Prices'!$B:$B,'[1]Global_Spot Prices'!$H:$H)</f>
        <v>48.5</v>
      </c>
      <c r="F471">
        <f>_xlfn.XLOOKUP(A471,'[1]Global_Spot Prices'!$B:$B,'[1]Global_Spot Prices'!$I:$I)</f>
        <v>61.34</v>
      </c>
      <c r="G471" cm="1">
        <f t="array" ref="G471">_xlfn.XLOOKUP(TEXT(A471, "mmm-yy"), TEXT([2]RUNS!$B$5:$B$208, "mmm-yy"), [2]RUNS!$D$5:$D$208, "Not Found")</f>
        <v>27716.409690456814</v>
      </c>
      <c r="H471" cm="1">
        <f t="array" ref="H471">SUMPRODUCT(
    --(TEXT('[3]Global Weekly Stock (EWSuez'!$B$4:$B$2000,"mmm-yy")=TEXT(A471,"mmm-yy")),
    '[3]Global Weekly Stock (EWSuez'!$E$4:$E$2000)
/
SUMPRODUCT(
    --(TEXT('[3]Global Weekly Stock (EWSuez'!$B$4:$B$2000,"mmm-yy")=TEXT(A471,"mmm-yy"))
)</f>
        <v>11768.75</v>
      </c>
      <c r="I471">
        <f>_xlfn.XLOOKUP(A471,[1]ForwardDeriv!$D:$D,[1]ForwardDeriv!$AJ:$AJ)</f>
        <v>0.45000000000000284</v>
      </c>
      <c r="J471" cm="1">
        <f t="array" ref="J471">_xlfn.XLOOKUP(TEXT(A471, "mmm-yy"), TEXT([2]GASOLINE!$B$5:$B$208, "mmm-yy"), [2]GASOLINE!$IR$5:$IR$208, "Not Found")</f>
        <v>-43.136217239470824</v>
      </c>
      <c r="K471" cm="1">
        <f t="array" ref="K471">_xlfn.XLOOKUP(TEXT(A471, "mmm-yy"), TEXT([2]GASOLINE!$B$5:$B$208, "mmm-yy"), [2]GASOLINE!$IK$5:$IK$208, "Not Found")</f>
        <v>0</v>
      </c>
      <c r="L471">
        <f t="shared" si="7"/>
        <v>0</v>
      </c>
      <c r="M471" cm="1">
        <f t="array" ref="M471">_xlfn.XLOOKUP(TEXT(A471, "mmm-yy"), TEXT([2]GASOLINE!$B$5:$B$208, "mmm-yy"), [2]GASOLINE!$C$5:$C$208, "Not Found")</f>
        <v>6939.7490831003024</v>
      </c>
      <c r="N471" cm="1">
        <f t="array" ref="N471">_xlfn.XLOOKUP(TEXT(A471, "mmm-yy"), TEXT([2]RUNS!$B$5:$B$208, "mmm-yy"), [2]RUNS!$BM$5:$BM$208, "Not Found")</f>
        <v>0.82472869072110055</v>
      </c>
    </row>
    <row r="472" spans="1:14" x14ac:dyDescent="0.25">
      <c r="A472" s="1">
        <f>'[1]Global_Spot Prices'!$B1781</f>
        <v>42663</v>
      </c>
      <c r="B472">
        <f>_xlfn.XLOOKUP(A472,'[1]Global_Spot Prices'!$B:$B,'[1]Global_Spot Prices'!$BS:$BS)</f>
        <v>11.449999999999996</v>
      </c>
      <c r="C472">
        <f>_xlfn.XLOOKUP(A472,'[1]Global_Spot Prices'!$B:$B,'[1]Global_Spot Prices'!$E:$E)</f>
        <v>49.7</v>
      </c>
      <c r="D472">
        <f>_xlfn.XLOOKUP(A472,'[1]Global_Spot Prices'!$B:$B,'[1]Global_Spot Prices'!$D:$D)</f>
        <v>50.064999999999998</v>
      </c>
      <c r="E472">
        <f>_xlfn.XLOOKUP(A472,'[1]Global_Spot Prices'!$B:$B,'[1]Global_Spot Prices'!$H:$H)</f>
        <v>48.49</v>
      </c>
      <c r="F472">
        <f>_xlfn.XLOOKUP(A472,'[1]Global_Spot Prices'!$B:$B,'[1]Global_Spot Prices'!$I:$I)</f>
        <v>61.15</v>
      </c>
      <c r="G472" cm="1">
        <f t="array" ref="G472">_xlfn.XLOOKUP(TEXT(A472, "mmm-yy"), TEXT([2]RUNS!$B$5:$B$208, "mmm-yy"), [2]RUNS!$D$5:$D$208, "Not Found")</f>
        <v>27716.409690456814</v>
      </c>
      <c r="H472" cm="1">
        <f t="array" ref="H472">SUMPRODUCT(
    --(TEXT('[3]Global Weekly Stock (EWSuez'!$B$4:$B$2000,"mmm-yy")=TEXT(A472,"mmm-yy")),
    '[3]Global Weekly Stock (EWSuez'!$E$4:$E$2000)
/
SUMPRODUCT(
    --(TEXT('[3]Global Weekly Stock (EWSuez'!$B$4:$B$2000,"mmm-yy")=TEXT(A472,"mmm-yy"))
)</f>
        <v>11768.75</v>
      </c>
      <c r="I472">
        <f>_xlfn.XLOOKUP(A472,[1]ForwardDeriv!$D:$D,[1]ForwardDeriv!$AJ:$AJ)</f>
        <v>0.37000000000000455</v>
      </c>
      <c r="J472" cm="1">
        <f t="array" ref="J472">_xlfn.XLOOKUP(TEXT(A472, "mmm-yy"), TEXT([2]GASOLINE!$B$5:$B$208, "mmm-yy"), [2]GASOLINE!$IR$5:$IR$208, "Not Found")</f>
        <v>-43.136217239470824</v>
      </c>
      <c r="K472" cm="1">
        <f t="array" ref="K472">_xlfn.XLOOKUP(TEXT(A472, "mmm-yy"), TEXT([2]GASOLINE!$B$5:$B$208, "mmm-yy"), [2]GASOLINE!$IK$5:$IK$208, "Not Found")</f>
        <v>0</v>
      </c>
      <c r="L472">
        <f t="shared" si="7"/>
        <v>0</v>
      </c>
      <c r="M472" cm="1">
        <f t="array" ref="M472">_xlfn.XLOOKUP(TEXT(A472, "mmm-yy"), TEXT([2]GASOLINE!$B$5:$B$208, "mmm-yy"), [2]GASOLINE!$C$5:$C$208, "Not Found")</f>
        <v>6939.7490831003024</v>
      </c>
      <c r="N472" cm="1">
        <f t="array" ref="N472">_xlfn.XLOOKUP(TEXT(A472, "mmm-yy"), TEXT([2]RUNS!$B$5:$B$208, "mmm-yy"), [2]RUNS!$BM$5:$BM$208, "Not Found")</f>
        <v>0.82472869072110055</v>
      </c>
    </row>
    <row r="473" spans="1:14" x14ac:dyDescent="0.25">
      <c r="A473" s="1">
        <f>'[1]Global_Spot Prices'!$B1782</f>
        <v>42664</v>
      </c>
      <c r="B473">
        <f>_xlfn.XLOOKUP(A473,'[1]Global_Spot Prices'!$B:$B,'[1]Global_Spot Prices'!$BS:$BS)</f>
        <v>11.850000000000001</v>
      </c>
      <c r="C473">
        <f>_xlfn.XLOOKUP(A473,'[1]Global_Spot Prices'!$B:$B,'[1]Global_Spot Prices'!$E:$E)</f>
        <v>48.9</v>
      </c>
      <c r="D473">
        <f>_xlfn.XLOOKUP(A473,'[1]Global_Spot Prices'!$B:$B,'[1]Global_Spot Prices'!$D:$D)</f>
        <v>50.234999999999999</v>
      </c>
      <c r="E473">
        <f>_xlfn.XLOOKUP(A473,'[1]Global_Spot Prices'!$B:$B,'[1]Global_Spot Prices'!$H:$H)</f>
        <v>49.13</v>
      </c>
      <c r="F473">
        <f>_xlfn.XLOOKUP(A473,'[1]Global_Spot Prices'!$B:$B,'[1]Global_Spot Prices'!$I:$I)</f>
        <v>60.75</v>
      </c>
      <c r="G473" cm="1">
        <f t="array" ref="G473">_xlfn.XLOOKUP(TEXT(A473, "mmm-yy"), TEXT([2]RUNS!$B$5:$B$208, "mmm-yy"), [2]RUNS!$D$5:$D$208, "Not Found")</f>
        <v>27716.409690456814</v>
      </c>
      <c r="H473" cm="1">
        <f t="array" ref="H473">SUMPRODUCT(
    --(TEXT('[3]Global Weekly Stock (EWSuez'!$B$4:$B$2000,"mmm-yy")=TEXT(A473,"mmm-yy")),
    '[3]Global Weekly Stock (EWSuez'!$E$4:$E$2000)
/
SUMPRODUCT(
    --(TEXT('[3]Global Weekly Stock (EWSuez'!$B$4:$B$2000,"mmm-yy")=TEXT(A473,"mmm-yy"))
)</f>
        <v>11768.75</v>
      </c>
      <c r="I473">
        <f>_xlfn.XLOOKUP(A473,[1]ForwardDeriv!$D:$D,[1]ForwardDeriv!$AJ:$AJ)</f>
        <v>0.49000000000000199</v>
      </c>
      <c r="J473" cm="1">
        <f t="array" ref="J473">_xlfn.XLOOKUP(TEXT(A473, "mmm-yy"), TEXT([2]GASOLINE!$B$5:$B$208, "mmm-yy"), [2]GASOLINE!$IR$5:$IR$208, "Not Found")</f>
        <v>-43.136217239470824</v>
      </c>
      <c r="K473" cm="1">
        <f t="array" ref="K473">_xlfn.XLOOKUP(TEXT(A473, "mmm-yy"), TEXT([2]GASOLINE!$B$5:$B$208, "mmm-yy"), [2]GASOLINE!$IK$5:$IK$208, "Not Found")</f>
        <v>0</v>
      </c>
      <c r="L473">
        <f t="shared" si="7"/>
        <v>0</v>
      </c>
      <c r="M473" cm="1">
        <f t="array" ref="M473">_xlfn.XLOOKUP(TEXT(A473, "mmm-yy"), TEXT([2]GASOLINE!$B$5:$B$208, "mmm-yy"), [2]GASOLINE!$C$5:$C$208, "Not Found")</f>
        <v>6939.7490831003024</v>
      </c>
      <c r="N473" cm="1">
        <f t="array" ref="N473">_xlfn.XLOOKUP(TEXT(A473, "mmm-yy"), TEXT([2]RUNS!$B$5:$B$208, "mmm-yy"), [2]RUNS!$BM$5:$BM$208, "Not Found")</f>
        <v>0.82472869072110055</v>
      </c>
    </row>
    <row r="474" spans="1:14" x14ac:dyDescent="0.25">
      <c r="A474" s="1">
        <f>'[1]Global_Spot Prices'!$B1783</f>
        <v>42667</v>
      </c>
      <c r="B474">
        <f>_xlfn.XLOOKUP(A474,'[1]Global_Spot Prices'!$B:$B,'[1]Global_Spot Prices'!$BS:$BS)</f>
        <v>12.489999999999995</v>
      </c>
      <c r="C474">
        <f>_xlfn.XLOOKUP(A474,'[1]Global_Spot Prices'!$B:$B,'[1]Global_Spot Prices'!$E:$E)</f>
        <v>49.45</v>
      </c>
      <c r="D474">
        <f>_xlfn.XLOOKUP(A474,'[1]Global_Spot Prices'!$B:$B,'[1]Global_Spot Prices'!$D:$D)</f>
        <v>49.56</v>
      </c>
      <c r="E474">
        <f>_xlfn.XLOOKUP(A474,'[1]Global_Spot Prices'!$B:$B,'[1]Global_Spot Prices'!$H:$H)</f>
        <v>49.78</v>
      </c>
      <c r="F474">
        <f>_xlfn.XLOOKUP(A474,'[1]Global_Spot Prices'!$B:$B,'[1]Global_Spot Prices'!$I:$I)</f>
        <v>61.94</v>
      </c>
      <c r="G474" cm="1">
        <f t="array" ref="G474">_xlfn.XLOOKUP(TEXT(A474, "mmm-yy"), TEXT([2]RUNS!$B$5:$B$208, "mmm-yy"), [2]RUNS!$D$5:$D$208, "Not Found")</f>
        <v>27716.409690456814</v>
      </c>
      <c r="H474" cm="1">
        <f t="array" ref="H474">SUMPRODUCT(
    --(TEXT('[3]Global Weekly Stock (EWSuez'!$B$4:$B$2000,"mmm-yy")=TEXT(A474,"mmm-yy")),
    '[3]Global Weekly Stock (EWSuez'!$E$4:$E$2000)
/
SUMPRODUCT(
    --(TEXT('[3]Global Weekly Stock (EWSuez'!$B$4:$B$2000,"mmm-yy")=TEXT(A474,"mmm-yy"))
)</f>
        <v>11768.75</v>
      </c>
      <c r="I474">
        <f>_xlfn.XLOOKUP(A474,[1]ForwardDeriv!$D:$D,[1]ForwardDeriv!$AJ:$AJ)</f>
        <v>0.54999999999999716</v>
      </c>
      <c r="J474" cm="1">
        <f t="array" ref="J474">_xlfn.XLOOKUP(TEXT(A474, "mmm-yy"), TEXT([2]GASOLINE!$B$5:$B$208, "mmm-yy"), [2]GASOLINE!$IR$5:$IR$208, "Not Found")</f>
        <v>-43.136217239470824</v>
      </c>
      <c r="K474" cm="1">
        <f t="array" ref="K474">_xlfn.XLOOKUP(TEXT(A474, "mmm-yy"), TEXT([2]GASOLINE!$B$5:$B$208, "mmm-yy"), [2]GASOLINE!$IK$5:$IK$208, "Not Found")</f>
        <v>0</v>
      </c>
      <c r="L474">
        <f t="shared" si="7"/>
        <v>0</v>
      </c>
      <c r="M474" cm="1">
        <f t="array" ref="M474">_xlfn.XLOOKUP(TEXT(A474, "mmm-yy"), TEXT([2]GASOLINE!$B$5:$B$208, "mmm-yy"), [2]GASOLINE!$C$5:$C$208, "Not Found")</f>
        <v>6939.7490831003024</v>
      </c>
      <c r="N474" cm="1">
        <f t="array" ref="N474">_xlfn.XLOOKUP(TEXT(A474, "mmm-yy"), TEXT([2]RUNS!$B$5:$B$208, "mmm-yy"), [2]RUNS!$BM$5:$BM$208, "Not Found")</f>
        <v>0.82472869072110055</v>
      </c>
    </row>
    <row r="475" spans="1:14" x14ac:dyDescent="0.25">
      <c r="A475" s="1">
        <f>'[1]Global_Spot Prices'!$B1784</f>
        <v>42668</v>
      </c>
      <c r="B475">
        <f>_xlfn.XLOOKUP(A475,'[1]Global_Spot Prices'!$B:$B,'[1]Global_Spot Prices'!$BS:$BS)</f>
        <v>12.32</v>
      </c>
      <c r="C475">
        <f>_xlfn.XLOOKUP(A475,'[1]Global_Spot Prices'!$B:$B,'[1]Global_Spot Prices'!$E:$E)</f>
        <v>49.21</v>
      </c>
      <c r="D475">
        <f>_xlfn.XLOOKUP(A475,'[1]Global_Spot Prices'!$B:$B,'[1]Global_Spot Prices'!$D:$D)</f>
        <v>49.075000000000003</v>
      </c>
      <c r="E475">
        <f>_xlfn.XLOOKUP(A475,'[1]Global_Spot Prices'!$B:$B,'[1]Global_Spot Prices'!$H:$H)</f>
        <v>49.78</v>
      </c>
      <c r="F475">
        <f>_xlfn.XLOOKUP(A475,'[1]Global_Spot Prices'!$B:$B,'[1]Global_Spot Prices'!$I:$I)</f>
        <v>61.53</v>
      </c>
      <c r="G475" cm="1">
        <f t="array" ref="G475">_xlfn.XLOOKUP(TEXT(A475, "mmm-yy"), TEXT([2]RUNS!$B$5:$B$208, "mmm-yy"), [2]RUNS!$D$5:$D$208, "Not Found")</f>
        <v>27716.409690456814</v>
      </c>
      <c r="H475" cm="1">
        <f t="array" ref="H475">SUMPRODUCT(
    --(TEXT('[3]Global Weekly Stock (EWSuez'!$B$4:$B$2000,"mmm-yy")=TEXT(A475,"mmm-yy")),
    '[3]Global Weekly Stock (EWSuez'!$E$4:$E$2000)
/
SUMPRODUCT(
    --(TEXT('[3]Global Weekly Stock (EWSuez'!$B$4:$B$2000,"mmm-yy")=TEXT(A475,"mmm-yy"))
)</f>
        <v>11768.75</v>
      </c>
      <c r="I475">
        <f>_xlfn.XLOOKUP(A475,[1]ForwardDeriv!$D:$D,[1]ForwardDeriv!$AJ:$AJ)</f>
        <v>0.60000000000000142</v>
      </c>
      <c r="J475" cm="1">
        <f t="array" ref="J475">_xlfn.XLOOKUP(TEXT(A475, "mmm-yy"), TEXT([2]GASOLINE!$B$5:$B$208, "mmm-yy"), [2]GASOLINE!$IR$5:$IR$208, "Not Found")</f>
        <v>-43.136217239470824</v>
      </c>
      <c r="K475" cm="1">
        <f t="array" ref="K475">_xlfn.XLOOKUP(TEXT(A475, "mmm-yy"), TEXT([2]GASOLINE!$B$5:$B$208, "mmm-yy"), [2]GASOLINE!$IK$5:$IK$208, "Not Found")</f>
        <v>0</v>
      </c>
      <c r="L475">
        <f t="shared" si="7"/>
        <v>0</v>
      </c>
      <c r="M475" cm="1">
        <f t="array" ref="M475">_xlfn.XLOOKUP(TEXT(A475, "mmm-yy"), TEXT([2]GASOLINE!$B$5:$B$208, "mmm-yy"), [2]GASOLINE!$C$5:$C$208, "Not Found")</f>
        <v>6939.7490831003024</v>
      </c>
      <c r="N475" cm="1">
        <f t="array" ref="N475">_xlfn.XLOOKUP(TEXT(A475, "mmm-yy"), TEXT([2]RUNS!$B$5:$B$208, "mmm-yy"), [2]RUNS!$BM$5:$BM$208, "Not Found")</f>
        <v>0.82472869072110055</v>
      </c>
    </row>
    <row r="476" spans="1:14" x14ac:dyDescent="0.25">
      <c r="A476" s="1">
        <f>'[1]Global_Spot Prices'!$B1785</f>
        <v>42669</v>
      </c>
      <c r="B476">
        <f>_xlfn.XLOOKUP(A476,'[1]Global_Spot Prices'!$B:$B,'[1]Global_Spot Prices'!$BS:$BS)</f>
        <v>12.21</v>
      </c>
      <c r="C476">
        <f>_xlfn.XLOOKUP(A476,'[1]Global_Spot Prices'!$B:$B,'[1]Global_Spot Prices'!$E:$E)</f>
        <v>47.9</v>
      </c>
      <c r="D476">
        <f>_xlfn.XLOOKUP(A476,'[1]Global_Spot Prices'!$B:$B,'[1]Global_Spot Prices'!$D:$D)</f>
        <v>48.905000000000001</v>
      </c>
      <c r="E476">
        <f>_xlfn.XLOOKUP(A476,'[1]Global_Spot Prices'!$B:$B,'[1]Global_Spot Prices'!$H:$H)</f>
        <v>48.56</v>
      </c>
      <c r="F476">
        <f>_xlfn.XLOOKUP(A476,'[1]Global_Spot Prices'!$B:$B,'[1]Global_Spot Prices'!$I:$I)</f>
        <v>60.11</v>
      </c>
      <c r="G476" cm="1">
        <f t="array" ref="G476">_xlfn.XLOOKUP(TEXT(A476, "mmm-yy"), TEXT([2]RUNS!$B$5:$B$208, "mmm-yy"), [2]RUNS!$D$5:$D$208, "Not Found")</f>
        <v>27716.409690456814</v>
      </c>
      <c r="H476" cm="1">
        <f t="array" ref="H476">SUMPRODUCT(
    --(TEXT('[3]Global Weekly Stock (EWSuez'!$B$4:$B$2000,"mmm-yy")=TEXT(A476,"mmm-yy")),
    '[3]Global Weekly Stock (EWSuez'!$E$4:$E$2000)
/
SUMPRODUCT(
    --(TEXT('[3]Global Weekly Stock (EWSuez'!$B$4:$B$2000,"mmm-yy")=TEXT(A476,"mmm-yy"))
)</f>
        <v>11768.75</v>
      </c>
      <c r="I476">
        <f>_xlfn.XLOOKUP(A476,[1]ForwardDeriv!$D:$D,[1]ForwardDeriv!$AJ:$AJ)</f>
        <v>0.6699999999999946</v>
      </c>
      <c r="J476" cm="1">
        <f t="array" ref="J476">_xlfn.XLOOKUP(TEXT(A476, "mmm-yy"), TEXT([2]GASOLINE!$B$5:$B$208, "mmm-yy"), [2]GASOLINE!$IR$5:$IR$208, "Not Found")</f>
        <v>-43.136217239470824</v>
      </c>
      <c r="K476" cm="1">
        <f t="array" ref="K476">_xlfn.XLOOKUP(TEXT(A476, "mmm-yy"), TEXT([2]GASOLINE!$B$5:$B$208, "mmm-yy"), [2]GASOLINE!$IK$5:$IK$208, "Not Found")</f>
        <v>0</v>
      </c>
      <c r="L476">
        <f t="shared" si="7"/>
        <v>0</v>
      </c>
      <c r="M476" cm="1">
        <f t="array" ref="M476">_xlfn.XLOOKUP(TEXT(A476, "mmm-yy"), TEXT([2]GASOLINE!$B$5:$B$208, "mmm-yy"), [2]GASOLINE!$C$5:$C$208, "Not Found")</f>
        <v>6939.7490831003024</v>
      </c>
      <c r="N476" cm="1">
        <f t="array" ref="N476">_xlfn.XLOOKUP(TEXT(A476, "mmm-yy"), TEXT([2]RUNS!$B$5:$B$208, "mmm-yy"), [2]RUNS!$BM$5:$BM$208, "Not Found")</f>
        <v>0.82472869072110055</v>
      </c>
    </row>
    <row r="477" spans="1:14" x14ac:dyDescent="0.25">
      <c r="A477" s="1">
        <f>'[1]Global_Spot Prices'!$B1786</f>
        <v>42670</v>
      </c>
      <c r="B477">
        <f>_xlfn.XLOOKUP(A477,'[1]Global_Spot Prices'!$B:$B,'[1]Global_Spot Prices'!$BS:$BS)</f>
        <v>12.61</v>
      </c>
      <c r="C477">
        <f>_xlfn.XLOOKUP(A477,'[1]Global_Spot Prices'!$B:$B,'[1]Global_Spot Prices'!$E:$E)</f>
        <v>48.15</v>
      </c>
      <c r="D477">
        <f>_xlfn.XLOOKUP(A477,'[1]Global_Spot Prices'!$B:$B,'[1]Global_Spot Prices'!$D:$D)</f>
        <v>49.18</v>
      </c>
      <c r="E477">
        <f>_xlfn.XLOOKUP(A477,'[1]Global_Spot Prices'!$B:$B,'[1]Global_Spot Prices'!$H:$H)</f>
        <v>49.12</v>
      </c>
      <c r="F477">
        <f>_xlfn.XLOOKUP(A477,'[1]Global_Spot Prices'!$B:$B,'[1]Global_Spot Prices'!$I:$I)</f>
        <v>60.76</v>
      </c>
      <c r="G477" cm="1">
        <f t="array" ref="G477">_xlfn.XLOOKUP(TEXT(A477, "mmm-yy"), TEXT([2]RUNS!$B$5:$B$208, "mmm-yy"), [2]RUNS!$D$5:$D$208, "Not Found")</f>
        <v>27716.409690456814</v>
      </c>
      <c r="H477" cm="1">
        <f t="array" ref="H477">SUMPRODUCT(
    --(TEXT('[3]Global Weekly Stock (EWSuez'!$B$4:$B$2000,"mmm-yy")=TEXT(A477,"mmm-yy")),
    '[3]Global Weekly Stock (EWSuez'!$E$4:$E$2000)
/
SUMPRODUCT(
    --(TEXT('[3]Global Weekly Stock (EWSuez'!$B$4:$B$2000,"mmm-yy")=TEXT(A477,"mmm-yy"))
)</f>
        <v>11768.75</v>
      </c>
      <c r="I477">
        <f>_xlfn.XLOOKUP(A477,[1]ForwardDeriv!$D:$D,[1]ForwardDeriv!$AJ:$AJ)</f>
        <v>0.75</v>
      </c>
      <c r="J477" cm="1">
        <f t="array" ref="J477">_xlfn.XLOOKUP(TEXT(A477, "mmm-yy"), TEXT([2]GASOLINE!$B$5:$B$208, "mmm-yy"), [2]GASOLINE!$IR$5:$IR$208, "Not Found")</f>
        <v>-43.136217239470824</v>
      </c>
      <c r="K477" cm="1">
        <f t="array" ref="K477">_xlfn.XLOOKUP(TEXT(A477, "mmm-yy"), TEXT([2]GASOLINE!$B$5:$B$208, "mmm-yy"), [2]GASOLINE!$IK$5:$IK$208, "Not Found")</f>
        <v>0</v>
      </c>
      <c r="L477">
        <f t="shared" si="7"/>
        <v>0</v>
      </c>
      <c r="M477" cm="1">
        <f t="array" ref="M477">_xlfn.XLOOKUP(TEXT(A477, "mmm-yy"), TEXT([2]GASOLINE!$B$5:$B$208, "mmm-yy"), [2]GASOLINE!$C$5:$C$208, "Not Found")</f>
        <v>6939.7490831003024</v>
      </c>
      <c r="N477" cm="1">
        <f t="array" ref="N477">_xlfn.XLOOKUP(TEXT(A477, "mmm-yy"), TEXT([2]RUNS!$B$5:$B$208, "mmm-yy"), [2]RUNS!$BM$5:$BM$208, "Not Found")</f>
        <v>0.82472869072110055</v>
      </c>
    </row>
    <row r="478" spans="1:14" x14ac:dyDescent="0.25">
      <c r="A478" s="1">
        <f>'[1]Global_Spot Prices'!$B1787</f>
        <v>42671</v>
      </c>
      <c r="B478">
        <f>_xlfn.XLOOKUP(A478,'[1]Global_Spot Prices'!$B:$B,'[1]Global_Spot Prices'!$BS:$BS)</f>
        <v>12.189999999999998</v>
      </c>
      <c r="C478">
        <f>_xlfn.XLOOKUP(A478,'[1]Global_Spot Prices'!$B:$B,'[1]Global_Spot Prices'!$E:$E)</f>
        <v>48.31</v>
      </c>
      <c r="D478">
        <f>_xlfn.XLOOKUP(A478,'[1]Global_Spot Prices'!$B:$B,'[1]Global_Spot Prices'!$D:$D)</f>
        <v>48.92</v>
      </c>
      <c r="E478">
        <f>_xlfn.XLOOKUP(A478,'[1]Global_Spot Prices'!$B:$B,'[1]Global_Spot Prices'!$H:$H)</f>
        <v>48.28</v>
      </c>
      <c r="F478">
        <f>_xlfn.XLOOKUP(A478,'[1]Global_Spot Prices'!$B:$B,'[1]Global_Spot Prices'!$I:$I)</f>
        <v>60.5</v>
      </c>
      <c r="G478" cm="1">
        <f t="array" ref="G478">_xlfn.XLOOKUP(TEXT(A478, "mmm-yy"), TEXT([2]RUNS!$B$5:$B$208, "mmm-yy"), [2]RUNS!$D$5:$D$208, "Not Found")</f>
        <v>27716.409690456814</v>
      </c>
      <c r="H478" cm="1">
        <f t="array" ref="H478">SUMPRODUCT(
    --(TEXT('[3]Global Weekly Stock (EWSuez'!$B$4:$B$2000,"mmm-yy")=TEXT(A478,"mmm-yy")),
    '[3]Global Weekly Stock (EWSuez'!$E$4:$E$2000)
/
SUMPRODUCT(
    --(TEXT('[3]Global Weekly Stock (EWSuez'!$B$4:$B$2000,"mmm-yy")=TEXT(A478,"mmm-yy"))
)</f>
        <v>11768.75</v>
      </c>
      <c r="I478">
        <f>_xlfn.XLOOKUP(A478,[1]ForwardDeriv!$D:$D,[1]ForwardDeriv!$AJ:$AJ)</f>
        <v>0.69999999999999574</v>
      </c>
      <c r="J478" cm="1">
        <f t="array" ref="J478">_xlfn.XLOOKUP(TEXT(A478, "mmm-yy"), TEXT([2]GASOLINE!$B$5:$B$208, "mmm-yy"), [2]GASOLINE!$IR$5:$IR$208, "Not Found")</f>
        <v>-43.136217239470824</v>
      </c>
      <c r="K478" cm="1">
        <f t="array" ref="K478">_xlfn.XLOOKUP(TEXT(A478, "mmm-yy"), TEXT([2]GASOLINE!$B$5:$B$208, "mmm-yy"), [2]GASOLINE!$IK$5:$IK$208, "Not Found")</f>
        <v>0</v>
      </c>
      <c r="L478">
        <f t="shared" si="7"/>
        <v>0</v>
      </c>
      <c r="M478" cm="1">
        <f t="array" ref="M478">_xlfn.XLOOKUP(TEXT(A478, "mmm-yy"), TEXT([2]GASOLINE!$B$5:$B$208, "mmm-yy"), [2]GASOLINE!$C$5:$C$208, "Not Found")</f>
        <v>6939.7490831003024</v>
      </c>
      <c r="N478" cm="1">
        <f t="array" ref="N478">_xlfn.XLOOKUP(TEXT(A478, "mmm-yy"), TEXT([2]RUNS!$B$5:$B$208, "mmm-yy"), [2]RUNS!$BM$5:$BM$208, "Not Found")</f>
        <v>0.82472869072110055</v>
      </c>
    </row>
    <row r="479" spans="1:14" x14ac:dyDescent="0.25">
      <c r="A479" s="1">
        <f>'[1]Global_Spot Prices'!$B1788</f>
        <v>42674</v>
      </c>
      <c r="B479">
        <f>_xlfn.XLOOKUP(A479,'[1]Global_Spot Prices'!$B:$B,'[1]Global_Spot Prices'!$BS:$BS)</f>
        <v>12.18</v>
      </c>
      <c r="C479">
        <f>_xlfn.XLOOKUP(A479,'[1]Global_Spot Prices'!$B:$B,'[1]Global_Spot Prices'!$E:$E)</f>
        <v>47.52</v>
      </c>
      <c r="D479">
        <f>_xlfn.XLOOKUP(A479,'[1]Global_Spot Prices'!$B:$B,'[1]Global_Spot Prices'!$D:$D)</f>
        <v>46.615000000000002</v>
      </c>
      <c r="E479">
        <f>_xlfn.XLOOKUP(A479,'[1]Global_Spot Prices'!$B:$B,'[1]Global_Spot Prices'!$H:$H)</f>
        <v>47.59</v>
      </c>
      <c r="F479">
        <f>_xlfn.XLOOKUP(A479,'[1]Global_Spot Prices'!$B:$B,'[1]Global_Spot Prices'!$I:$I)</f>
        <v>59.7</v>
      </c>
      <c r="G479" cm="1">
        <f t="array" ref="G479">_xlfn.XLOOKUP(TEXT(A479, "mmm-yy"), TEXT([2]RUNS!$B$5:$B$208, "mmm-yy"), [2]RUNS!$D$5:$D$208, "Not Found")</f>
        <v>27716.409690456814</v>
      </c>
      <c r="H479" cm="1">
        <f t="array" ref="H479">SUMPRODUCT(
    --(TEXT('[3]Global Weekly Stock (EWSuez'!$B$4:$B$2000,"mmm-yy")=TEXT(A479,"mmm-yy")),
    '[3]Global Weekly Stock (EWSuez'!$E$4:$E$2000)
/
SUMPRODUCT(
    --(TEXT('[3]Global Weekly Stock (EWSuez'!$B$4:$B$2000,"mmm-yy")=TEXT(A479,"mmm-yy"))
)</f>
        <v>11768.75</v>
      </c>
      <c r="I479">
        <f>_xlfn.XLOOKUP(A479,[1]ForwardDeriv!$D:$D,[1]ForwardDeriv!$AJ:$AJ)</f>
        <v>0.75</v>
      </c>
      <c r="J479" cm="1">
        <f t="array" ref="J479">_xlfn.XLOOKUP(TEXT(A479, "mmm-yy"), TEXT([2]GASOLINE!$B$5:$B$208, "mmm-yy"), [2]GASOLINE!$IR$5:$IR$208, "Not Found")</f>
        <v>-43.136217239470824</v>
      </c>
      <c r="K479" cm="1">
        <f t="array" ref="K479">_xlfn.XLOOKUP(TEXT(A479, "mmm-yy"), TEXT([2]GASOLINE!$B$5:$B$208, "mmm-yy"), [2]GASOLINE!$IK$5:$IK$208, "Not Found")</f>
        <v>0</v>
      </c>
      <c r="L479">
        <f t="shared" si="7"/>
        <v>0</v>
      </c>
      <c r="M479" cm="1">
        <f t="array" ref="M479">_xlfn.XLOOKUP(TEXT(A479, "mmm-yy"), TEXT([2]GASOLINE!$B$5:$B$208, "mmm-yy"), [2]GASOLINE!$C$5:$C$208, "Not Found")</f>
        <v>6939.7490831003024</v>
      </c>
      <c r="N479" cm="1">
        <f t="array" ref="N479">_xlfn.XLOOKUP(TEXT(A479, "mmm-yy"), TEXT([2]RUNS!$B$5:$B$208, "mmm-yy"), [2]RUNS!$BM$5:$BM$208, "Not Found")</f>
        <v>0.82472869072110055</v>
      </c>
    </row>
    <row r="480" spans="1:14" x14ac:dyDescent="0.25">
      <c r="A480" s="1">
        <f>'[1]Global_Spot Prices'!$B1789</f>
        <v>42675</v>
      </c>
      <c r="B480">
        <f>_xlfn.XLOOKUP(A480,'[1]Global_Spot Prices'!$B:$B,'[1]Global_Spot Prices'!$BS:$BS)</f>
        <v>15.39</v>
      </c>
      <c r="C480">
        <f>_xlfn.XLOOKUP(A480,'[1]Global_Spot Prices'!$B:$B,'[1]Global_Spot Prices'!$E:$E)</f>
        <v>45.5</v>
      </c>
      <c r="D480">
        <f>_xlfn.XLOOKUP(A480,'[1]Global_Spot Prices'!$B:$B,'[1]Global_Spot Prices'!$D:$D)</f>
        <v>45.924999999999997</v>
      </c>
      <c r="E480">
        <f>_xlfn.XLOOKUP(A480,'[1]Global_Spot Prices'!$B:$B,'[1]Global_Spot Prices'!$H:$H)</f>
        <v>49.09</v>
      </c>
      <c r="F480">
        <f>_xlfn.XLOOKUP(A480,'[1]Global_Spot Prices'!$B:$B,'[1]Global_Spot Prices'!$I:$I)</f>
        <v>60.89</v>
      </c>
      <c r="G480" cm="1">
        <f t="array" ref="G480">_xlfn.XLOOKUP(TEXT(A480, "mmm-yy"), TEXT([2]RUNS!$B$5:$B$208, "mmm-yy"), [2]RUNS!$D$5:$D$208, "Not Found")</f>
        <v>28300.192001378553</v>
      </c>
      <c r="H480" cm="1">
        <f t="array" ref="H480">SUMPRODUCT(
    --(TEXT('[3]Global Weekly Stock (EWSuez'!$B$4:$B$2000,"mmm-yy")=TEXT(A480,"mmm-yy")),
    '[3]Global Weekly Stock (EWSuez'!$E$4:$E$2000)
/
SUMPRODUCT(
    --(TEXT('[3]Global Weekly Stock (EWSuez'!$B$4:$B$2000,"mmm-yy")=TEXT(A480,"mmm-yy"))
)</f>
        <v>11810.75</v>
      </c>
      <c r="I480">
        <f>_xlfn.XLOOKUP(A480,[1]ForwardDeriv!$D:$D,[1]ForwardDeriv!$AJ:$AJ)</f>
        <v>0.14999999999999858</v>
      </c>
      <c r="J480" cm="1">
        <f t="array" ref="J480">_xlfn.XLOOKUP(TEXT(A480, "mmm-yy"), TEXT([2]GASOLINE!$B$5:$B$208, "mmm-yy"), [2]GASOLINE!$IR$5:$IR$208, "Not Found")</f>
        <v>-46.96892438523156</v>
      </c>
      <c r="K480" cm="1">
        <f t="array" ref="K480">_xlfn.XLOOKUP(TEXT(A480, "mmm-yy"), TEXT([2]GASOLINE!$B$5:$B$208, "mmm-yy"), [2]GASOLINE!$IK$5:$IK$208, "Not Found")</f>
        <v>0</v>
      </c>
      <c r="L480">
        <f t="shared" si="7"/>
        <v>0</v>
      </c>
      <c r="M480" cm="1">
        <f t="array" ref="M480">_xlfn.XLOOKUP(TEXT(A480, "mmm-yy"), TEXT([2]GASOLINE!$B$5:$B$208, "mmm-yy"), [2]GASOLINE!$C$5:$C$208, "Not Found")</f>
        <v>6783.4492816716265</v>
      </c>
      <c r="N480" cm="1">
        <f t="array" ref="N480">_xlfn.XLOOKUP(TEXT(A480, "mmm-yy"), TEXT([2]RUNS!$B$5:$B$208, "mmm-yy"), [2]RUNS!$BM$5:$BM$208, "Not Found")</f>
        <v>0.83735067598235813</v>
      </c>
    </row>
    <row r="481" spans="1:14" x14ac:dyDescent="0.25">
      <c r="A481" s="1">
        <f>'[1]Global_Spot Prices'!$B1790</f>
        <v>42676</v>
      </c>
      <c r="B481">
        <f>_xlfn.XLOOKUP(A481,'[1]Global_Spot Prices'!$B:$B,'[1]Global_Spot Prices'!$BS:$BS)</f>
        <v>13.590000000000003</v>
      </c>
      <c r="C481">
        <f>_xlfn.XLOOKUP(A481,'[1]Global_Spot Prices'!$B:$B,'[1]Global_Spot Prices'!$E:$E)</f>
        <v>44.15</v>
      </c>
      <c r="D481">
        <f>_xlfn.XLOOKUP(A481,'[1]Global_Spot Prices'!$B:$B,'[1]Global_Spot Prices'!$D:$D)</f>
        <v>44.18</v>
      </c>
      <c r="E481">
        <f>_xlfn.XLOOKUP(A481,'[1]Global_Spot Prices'!$B:$B,'[1]Global_Spot Prices'!$H:$H)</f>
        <v>46.87</v>
      </c>
      <c r="F481">
        <f>_xlfn.XLOOKUP(A481,'[1]Global_Spot Prices'!$B:$B,'[1]Global_Spot Prices'!$I:$I)</f>
        <v>57.74</v>
      </c>
      <c r="G481" cm="1">
        <f t="array" ref="G481">_xlfn.XLOOKUP(TEXT(A481, "mmm-yy"), TEXT([2]RUNS!$B$5:$B$208, "mmm-yy"), [2]RUNS!$D$5:$D$208, "Not Found")</f>
        <v>28300.192001378553</v>
      </c>
      <c r="H481" cm="1">
        <f t="array" ref="H481">SUMPRODUCT(
    --(TEXT('[3]Global Weekly Stock (EWSuez'!$B$4:$B$2000,"mmm-yy")=TEXT(A481,"mmm-yy")),
    '[3]Global Weekly Stock (EWSuez'!$E$4:$E$2000)
/
SUMPRODUCT(
    --(TEXT('[3]Global Weekly Stock (EWSuez'!$B$4:$B$2000,"mmm-yy")=TEXT(A481,"mmm-yy"))
)</f>
        <v>11810.75</v>
      </c>
      <c r="I481">
        <f>_xlfn.XLOOKUP(A481,[1]ForwardDeriv!$D:$D,[1]ForwardDeriv!$AJ:$AJ)</f>
        <v>6.0000000000002274E-2</v>
      </c>
      <c r="J481" cm="1">
        <f t="array" ref="J481">_xlfn.XLOOKUP(TEXT(A481, "mmm-yy"), TEXT([2]GASOLINE!$B$5:$B$208, "mmm-yy"), [2]GASOLINE!$IR$5:$IR$208, "Not Found")</f>
        <v>-46.96892438523156</v>
      </c>
      <c r="K481" cm="1">
        <f t="array" ref="K481">_xlfn.XLOOKUP(TEXT(A481, "mmm-yy"), TEXT([2]GASOLINE!$B$5:$B$208, "mmm-yy"), [2]GASOLINE!$IK$5:$IK$208, "Not Found")</f>
        <v>0</v>
      </c>
      <c r="L481">
        <f t="shared" si="7"/>
        <v>0</v>
      </c>
      <c r="M481" cm="1">
        <f t="array" ref="M481">_xlfn.XLOOKUP(TEXT(A481, "mmm-yy"), TEXT([2]GASOLINE!$B$5:$B$208, "mmm-yy"), [2]GASOLINE!$C$5:$C$208, "Not Found")</f>
        <v>6783.4492816716265</v>
      </c>
      <c r="N481" cm="1">
        <f t="array" ref="N481">_xlfn.XLOOKUP(TEXT(A481, "mmm-yy"), TEXT([2]RUNS!$B$5:$B$208, "mmm-yy"), [2]RUNS!$BM$5:$BM$208, "Not Found")</f>
        <v>0.83735067598235813</v>
      </c>
    </row>
    <row r="482" spans="1:14" x14ac:dyDescent="0.25">
      <c r="A482" s="1">
        <f>'[1]Global_Spot Prices'!$B1791</f>
        <v>42677</v>
      </c>
      <c r="B482">
        <f>_xlfn.XLOOKUP(A482,'[1]Global_Spot Prices'!$B:$B,'[1]Global_Spot Prices'!$BS:$BS)</f>
        <v>13.469999999999999</v>
      </c>
      <c r="C482">
        <f>_xlfn.XLOOKUP(A482,'[1]Global_Spot Prices'!$B:$B,'[1]Global_Spot Prices'!$E:$E)</f>
        <v>43.49</v>
      </c>
      <c r="D482">
        <f>_xlfn.XLOOKUP(A482,'[1]Global_Spot Prices'!$B:$B,'[1]Global_Spot Prices'!$D:$D)</f>
        <v>43.95</v>
      </c>
      <c r="E482">
        <f>_xlfn.XLOOKUP(A482,'[1]Global_Spot Prices'!$B:$B,'[1]Global_Spot Prices'!$H:$H)</f>
        <v>47.04</v>
      </c>
      <c r="F482">
        <f>_xlfn.XLOOKUP(A482,'[1]Global_Spot Prices'!$B:$B,'[1]Global_Spot Prices'!$I:$I)</f>
        <v>56.96</v>
      </c>
      <c r="G482" cm="1">
        <f t="array" ref="G482">_xlfn.XLOOKUP(TEXT(A482, "mmm-yy"), TEXT([2]RUNS!$B$5:$B$208, "mmm-yy"), [2]RUNS!$D$5:$D$208, "Not Found")</f>
        <v>28300.192001378553</v>
      </c>
      <c r="H482" cm="1">
        <f t="array" ref="H482">SUMPRODUCT(
    --(TEXT('[3]Global Weekly Stock (EWSuez'!$B$4:$B$2000,"mmm-yy")=TEXT(A482,"mmm-yy")),
    '[3]Global Weekly Stock (EWSuez'!$E$4:$E$2000)
/
SUMPRODUCT(
    --(TEXT('[3]Global Weekly Stock (EWSuez'!$B$4:$B$2000,"mmm-yy")=TEXT(A482,"mmm-yy"))
)</f>
        <v>11810.75</v>
      </c>
      <c r="I482">
        <f>_xlfn.XLOOKUP(A482,[1]ForwardDeriv!$D:$D,[1]ForwardDeriv!$AJ:$AJ)</f>
        <v>0.12000000000000455</v>
      </c>
      <c r="J482" cm="1">
        <f t="array" ref="J482">_xlfn.XLOOKUP(TEXT(A482, "mmm-yy"), TEXT([2]GASOLINE!$B$5:$B$208, "mmm-yy"), [2]GASOLINE!$IR$5:$IR$208, "Not Found")</f>
        <v>-46.96892438523156</v>
      </c>
      <c r="K482" cm="1">
        <f t="array" ref="K482">_xlfn.XLOOKUP(TEXT(A482, "mmm-yy"), TEXT([2]GASOLINE!$B$5:$B$208, "mmm-yy"), [2]GASOLINE!$IK$5:$IK$208, "Not Found")</f>
        <v>0</v>
      </c>
      <c r="L482">
        <f t="shared" si="7"/>
        <v>0</v>
      </c>
      <c r="M482" cm="1">
        <f t="array" ref="M482">_xlfn.XLOOKUP(TEXT(A482, "mmm-yy"), TEXT([2]GASOLINE!$B$5:$B$208, "mmm-yy"), [2]GASOLINE!$C$5:$C$208, "Not Found")</f>
        <v>6783.4492816716265</v>
      </c>
      <c r="N482" cm="1">
        <f t="array" ref="N482">_xlfn.XLOOKUP(TEXT(A482, "mmm-yy"), TEXT([2]RUNS!$B$5:$B$208, "mmm-yy"), [2]RUNS!$BM$5:$BM$208, "Not Found")</f>
        <v>0.83735067598235813</v>
      </c>
    </row>
    <row r="483" spans="1:14" x14ac:dyDescent="0.25">
      <c r="A483" s="1">
        <f>'[1]Global_Spot Prices'!$B1792</f>
        <v>42678</v>
      </c>
      <c r="B483">
        <f>_xlfn.XLOOKUP(A483,'[1]Global_Spot Prices'!$B:$B,'[1]Global_Spot Prices'!$BS:$BS)</f>
        <v>13.64</v>
      </c>
      <c r="C483">
        <f>_xlfn.XLOOKUP(A483,'[1]Global_Spot Prices'!$B:$B,'[1]Global_Spot Prices'!$E:$E)</f>
        <v>42.7</v>
      </c>
      <c r="D483">
        <f>_xlfn.XLOOKUP(A483,'[1]Global_Spot Prices'!$B:$B,'[1]Global_Spot Prices'!$D:$D)</f>
        <v>43.11</v>
      </c>
      <c r="E483">
        <f>_xlfn.XLOOKUP(A483,'[1]Global_Spot Prices'!$B:$B,'[1]Global_Spot Prices'!$H:$H)</f>
        <v>46.02</v>
      </c>
      <c r="F483">
        <f>_xlfn.XLOOKUP(A483,'[1]Global_Spot Prices'!$B:$B,'[1]Global_Spot Prices'!$I:$I)</f>
        <v>56.34</v>
      </c>
      <c r="G483" cm="1">
        <f t="array" ref="G483">_xlfn.XLOOKUP(TEXT(A483, "mmm-yy"), TEXT([2]RUNS!$B$5:$B$208, "mmm-yy"), [2]RUNS!$D$5:$D$208, "Not Found")</f>
        <v>28300.192001378553</v>
      </c>
      <c r="H483" cm="1">
        <f t="array" ref="H483">SUMPRODUCT(
    --(TEXT('[3]Global Weekly Stock (EWSuez'!$B$4:$B$2000,"mmm-yy")=TEXT(A483,"mmm-yy")),
    '[3]Global Weekly Stock (EWSuez'!$E$4:$E$2000)
/
SUMPRODUCT(
    --(TEXT('[3]Global Weekly Stock (EWSuez'!$B$4:$B$2000,"mmm-yy")=TEXT(A483,"mmm-yy"))
)</f>
        <v>11810.75</v>
      </c>
      <c r="I483">
        <f>_xlfn.XLOOKUP(A483,[1]ForwardDeriv!$D:$D,[1]ForwardDeriv!$AJ:$AJ)</f>
        <v>0.17000000000000171</v>
      </c>
      <c r="J483" cm="1">
        <f t="array" ref="J483">_xlfn.XLOOKUP(TEXT(A483, "mmm-yy"), TEXT([2]GASOLINE!$B$5:$B$208, "mmm-yy"), [2]GASOLINE!$IR$5:$IR$208, "Not Found")</f>
        <v>-46.96892438523156</v>
      </c>
      <c r="K483" cm="1">
        <f t="array" ref="K483">_xlfn.XLOOKUP(TEXT(A483, "mmm-yy"), TEXT([2]GASOLINE!$B$5:$B$208, "mmm-yy"), [2]GASOLINE!$IK$5:$IK$208, "Not Found")</f>
        <v>0</v>
      </c>
      <c r="L483">
        <f t="shared" si="7"/>
        <v>0</v>
      </c>
      <c r="M483" cm="1">
        <f t="array" ref="M483">_xlfn.XLOOKUP(TEXT(A483, "mmm-yy"), TEXT([2]GASOLINE!$B$5:$B$208, "mmm-yy"), [2]GASOLINE!$C$5:$C$208, "Not Found")</f>
        <v>6783.4492816716265</v>
      </c>
      <c r="N483" cm="1">
        <f t="array" ref="N483">_xlfn.XLOOKUP(TEXT(A483, "mmm-yy"), TEXT([2]RUNS!$B$5:$B$208, "mmm-yy"), [2]RUNS!$BM$5:$BM$208, "Not Found")</f>
        <v>0.83735067598235813</v>
      </c>
    </row>
    <row r="484" spans="1:14" x14ac:dyDescent="0.25">
      <c r="A484" s="1">
        <f>'[1]Global_Spot Prices'!$B1793</f>
        <v>42681</v>
      </c>
      <c r="B484">
        <f>_xlfn.XLOOKUP(A484,'[1]Global_Spot Prices'!$B:$B,'[1]Global_Spot Prices'!$BS:$BS)</f>
        <v>12.589999999999996</v>
      </c>
      <c r="C484">
        <f>_xlfn.XLOOKUP(A484,'[1]Global_Spot Prices'!$B:$B,'[1]Global_Spot Prices'!$E:$E)</f>
        <v>42.78</v>
      </c>
      <c r="D484">
        <f>_xlfn.XLOOKUP(A484,'[1]Global_Spot Prices'!$B:$B,'[1]Global_Spot Prices'!$D:$D)</f>
        <v>43.14</v>
      </c>
      <c r="E484">
        <f>_xlfn.XLOOKUP(A484,'[1]Global_Spot Prices'!$B:$B,'[1]Global_Spot Prices'!$H:$H)</f>
        <v>45.83</v>
      </c>
      <c r="F484">
        <f>_xlfn.XLOOKUP(A484,'[1]Global_Spot Prices'!$B:$B,'[1]Global_Spot Prices'!$I:$I)</f>
        <v>55.37</v>
      </c>
      <c r="G484" cm="1">
        <f t="array" ref="G484">_xlfn.XLOOKUP(TEXT(A484, "mmm-yy"), TEXT([2]RUNS!$B$5:$B$208, "mmm-yy"), [2]RUNS!$D$5:$D$208, "Not Found")</f>
        <v>28300.192001378553</v>
      </c>
      <c r="H484" cm="1">
        <f t="array" ref="H484">SUMPRODUCT(
    --(TEXT('[3]Global Weekly Stock (EWSuez'!$B$4:$B$2000,"mmm-yy")=TEXT(A484,"mmm-yy")),
    '[3]Global Weekly Stock (EWSuez'!$E$4:$E$2000)
/
SUMPRODUCT(
    --(TEXT('[3]Global Weekly Stock (EWSuez'!$B$4:$B$2000,"mmm-yy")=TEXT(A484,"mmm-yy"))
)</f>
        <v>11810.75</v>
      </c>
      <c r="I484">
        <f>_xlfn.XLOOKUP(A484,[1]ForwardDeriv!$D:$D,[1]ForwardDeriv!$AJ:$AJ)</f>
        <v>-5.0000000000004263E-2</v>
      </c>
      <c r="J484" cm="1">
        <f t="array" ref="J484">_xlfn.XLOOKUP(TEXT(A484, "mmm-yy"), TEXT([2]GASOLINE!$B$5:$B$208, "mmm-yy"), [2]GASOLINE!$IR$5:$IR$208, "Not Found")</f>
        <v>-46.96892438523156</v>
      </c>
      <c r="K484" cm="1">
        <f t="array" ref="K484">_xlfn.XLOOKUP(TEXT(A484, "mmm-yy"), TEXT([2]GASOLINE!$B$5:$B$208, "mmm-yy"), [2]GASOLINE!$IK$5:$IK$208, "Not Found")</f>
        <v>0</v>
      </c>
      <c r="L484">
        <f t="shared" si="7"/>
        <v>0</v>
      </c>
      <c r="M484" cm="1">
        <f t="array" ref="M484">_xlfn.XLOOKUP(TEXT(A484, "mmm-yy"), TEXT([2]GASOLINE!$B$5:$B$208, "mmm-yy"), [2]GASOLINE!$C$5:$C$208, "Not Found")</f>
        <v>6783.4492816716265</v>
      </c>
      <c r="N484" cm="1">
        <f t="array" ref="N484">_xlfn.XLOOKUP(TEXT(A484, "mmm-yy"), TEXT([2]RUNS!$B$5:$B$208, "mmm-yy"), [2]RUNS!$BM$5:$BM$208, "Not Found")</f>
        <v>0.83735067598235813</v>
      </c>
    </row>
    <row r="485" spans="1:14" x14ac:dyDescent="0.25">
      <c r="A485" s="1">
        <f>'[1]Global_Spot Prices'!$B1794</f>
        <v>42682</v>
      </c>
      <c r="B485">
        <f>_xlfn.XLOOKUP(A485,'[1]Global_Spot Prices'!$B:$B,'[1]Global_Spot Prices'!$BS:$BS)</f>
        <v>12.07</v>
      </c>
      <c r="C485">
        <f>_xlfn.XLOOKUP(A485,'[1]Global_Spot Prices'!$B:$B,'[1]Global_Spot Prices'!$E:$E)</f>
        <v>42.85</v>
      </c>
      <c r="D485">
        <f>_xlfn.XLOOKUP(A485,'[1]Global_Spot Prices'!$B:$B,'[1]Global_Spot Prices'!$D:$D)</f>
        <v>43.74</v>
      </c>
      <c r="E485">
        <f>_xlfn.XLOOKUP(A485,'[1]Global_Spot Prices'!$B:$B,'[1]Global_Spot Prices'!$H:$H)</f>
        <v>45.08</v>
      </c>
      <c r="F485">
        <f>_xlfn.XLOOKUP(A485,'[1]Global_Spot Prices'!$B:$B,'[1]Global_Spot Prices'!$I:$I)</f>
        <v>54.92</v>
      </c>
      <c r="G485" cm="1">
        <f t="array" ref="G485">_xlfn.XLOOKUP(TEXT(A485, "mmm-yy"), TEXT([2]RUNS!$B$5:$B$208, "mmm-yy"), [2]RUNS!$D$5:$D$208, "Not Found")</f>
        <v>28300.192001378553</v>
      </c>
      <c r="H485" cm="1">
        <f t="array" ref="H485">SUMPRODUCT(
    --(TEXT('[3]Global Weekly Stock (EWSuez'!$B$4:$B$2000,"mmm-yy")=TEXT(A485,"mmm-yy")),
    '[3]Global Weekly Stock (EWSuez'!$E$4:$E$2000)
/
SUMPRODUCT(
    --(TEXT('[3]Global Weekly Stock (EWSuez'!$B$4:$B$2000,"mmm-yy")=TEXT(A485,"mmm-yy"))
)</f>
        <v>11810.75</v>
      </c>
      <c r="I485">
        <f>_xlfn.XLOOKUP(A485,[1]ForwardDeriv!$D:$D,[1]ForwardDeriv!$AJ:$AJ)</f>
        <v>-0.23000000000000398</v>
      </c>
      <c r="J485" cm="1">
        <f t="array" ref="J485">_xlfn.XLOOKUP(TEXT(A485, "mmm-yy"), TEXT([2]GASOLINE!$B$5:$B$208, "mmm-yy"), [2]GASOLINE!$IR$5:$IR$208, "Not Found")</f>
        <v>-46.96892438523156</v>
      </c>
      <c r="K485" cm="1">
        <f t="array" ref="K485">_xlfn.XLOOKUP(TEXT(A485, "mmm-yy"), TEXT([2]GASOLINE!$B$5:$B$208, "mmm-yy"), [2]GASOLINE!$IK$5:$IK$208, "Not Found")</f>
        <v>0</v>
      </c>
      <c r="L485">
        <f t="shared" si="7"/>
        <v>0</v>
      </c>
      <c r="M485" cm="1">
        <f t="array" ref="M485">_xlfn.XLOOKUP(TEXT(A485, "mmm-yy"), TEXT([2]GASOLINE!$B$5:$B$208, "mmm-yy"), [2]GASOLINE!$C$5:$C$208, "Not Found")</f>
        <v>6783.4492816716265</v>
      </c>
      <c r="N485" cm="1">
        <f t="array" ref="N485">_xlfn.XLOOKUP(TEXT(A485, "mmm-yy"), TEXT([2]RUNS!$B$5:$B$208, "mmm-yy"), [2]RUNS!$BM$5:$BM$208, "Not Found")</f>
        <v>0.83735067598235813</v>
      </c>
    </row>
    <row r="486" spans="1:14" x14ac:dyDescent="0.25">
      <c r="A486" s="1">
        <f>'[1]Global_Spot Prices'!$B1795</f>
        <v>42683</v>
      </c>
      <c r="B486">
        <f>_xlfn.XLOOKUP(A486,'[1]Global_Spot Prices'!$B:$B,'[1]Global_Spot Prices'!$BS:$BS)</f>
        <v>12.200000000000003</v>
      </c>
      <c r="C486">
        <f>_xlfn.XLOOKUP(A486,'[1]Global_Spot Prices'!$B:$B,'[1]Global_Spot Prices'!$E:$E)</f>
        <v>42.51</v>
      </c>
      <c r="D486">
        <f>_xlfn.XLOOKUP(A486,'[1]Global_Spot Prices'!$B:$B,'[1]Global_Spot Prices'!$D:$D)</f>
        <v>43.76</v>
      </c>
      <c r="E486">
        <f>_xlfn.XLOOKUP(A486,'[1]Global_Spot Prices'!$B:$B,'[1]Global_Spot Prices'!$H:$H)</f>
        <v>45.47</v>
      </c>
      <c r="F486">
        <f>_xlfn.XLOOKUP(A486,'[1]Global_Spot Prices'!$B:$B,'[1]Global_Spot Prices'!$I:$I)</f>
        <v>54.71</v>
      </c>
      <c r="G486" cm="1">
        <f t="array" ref="G486">_xlfn.XLOOKUP(TEXT(A486, "mmm-yy"), TEXT([2]RUNS!$B$5:$B$208, "mmm-yy"), [2]RUNS!$D$5:$D$208, "Not Found")</f>
        <v>28300.192001378553</v>
      </c>
      <c r="H486" cm="1">
        <f t="array" ref="H486">SUMPRODUCT(
    --(TEXT('[3]Global Weekly Stock (EWSuez'!$B$4:$B$2000,"mmm-yy")=TEXT(A486,"mmm-yy")),
    '[3]Global Weekly Stock (EWSuez'!$E$4:$E$2000)
/
SUMPRODUCT(
    --(TEXT('[3]Global Weekly Stock (EWSuez'!$B$4:$B$2000,"mmm-yy")=TEXT(A486,"mmm-yy"))
)</f>
        <v>11810.75</v>
      </c>
      <c r="I486">
        <f>_xlfn.XLOOKUP(A486,[1]ForwardDeriv!$D:$D,[1]ForwardDeriv!$AJ:$AJ)</f>
        <v>-0.12999999999999545</v>
      </c>
      <c r="J486" cm="1">
        <f t="array" ref="J486">_xlfn.XLOOKUP(TEXT(A486, "mmm-yy"), TEXT([2]GASOLINE!$B$5:$B$208, "mmm-yy"), [2]GASOLINE!$IR$5:$IR$208, "Not Found")</f>
        <v>-46.96892438523156</v>
      </c>
      <c r="K486" cm="1">
        <f t="array" ref="K486">_xlfn.XLOOKUP(TEXT(A486, "mmm-yy"), TEXT([2]GASOLINE!$B$5:$B$208, "mmm-yy"), [2]GASOLINE!$IK$5:$IK$208, "Not Found")</f>
        <v>0</v>
      </c>
      <c r="L486">
        <f t="shared" si="7"/>
        <v>0</v>
      </c>
      <c r="M486" cm="1">
        <f t="array" ref="M486">_xlfn.XLOOKUP(TEXT(A486, "mmm-yy"), TEXT([2]GASOLINE!$B$5:$B$208, "mmm-yy"), [2]GASOLINE!$C$5:$C$208, "Not Found")</f>
        <v>6783.4492816716265</v>
      </c>
      <c r="N486" cm="1">
        <f t="array" ref="N486">_xlfn.XLOOKUP(TEXT(A486, "mmm-yy"), TEXT([2]RUNS!$B$5:$B$208, "mmm-yy"), [2]RUNS!$BM$5:$BM$208, "Not Found")</f>
        <v>0.83735067598235813</v>
      </c>
    </row>
    <row r="487" spans="1:14" x14ac:dyDescent="0.25">
      <c r="A487" s="1">
        <f>'[1]Global_Spot Prices'!$B1796</f>
        <v>42684</v>
      </c>
      <c r="B487">
        <f>_xlfn.XLOOKUP(A487,'[1]Global_Spot Prices'!$B:$B,'[1]Global_Spot Prices'!$BS:$BS)</f>
        <v>12.090000000000003</v>
      </c>
      <c r="C487">
        <f>_xlfn.XLOOKUP(A487,'[1]Global_Spot Prices'!$B:$B,'[1]Global_Spot Prices'!$E:$E)</f>
        <v>43.72</v>
      </c>
      <c r="D487">
        <f>_xlfn.XLOOKUP(A487,'[1]Global_Spot Prices'!$B:$B,'[1]Global_Spot Prices'!$D:$D)</f>
        <v>43.844999999999999</v>
      </c>
      <c r="E487">
        <f>_xlfn.XLOOKUP(A487,'[1]Global_Spot Prices'!$B:$B,'[1]Global_Spot Prices'!$H:$H)</f>
        <v>46.47</v>
      </c>
      <c r="F487">
        <f>_xlfn.XLOOKUP(A487,'[1]Global_Spot Prices'!$B:$B,'[1]Global_Spot Prices'!$I:$I)</f>
        <v>55.81</v>
      </c>
      <c r="G487" cm="1">
        <f t="array" ref="G487">_xlfn.XLOOKUP(TEXT(A487, "mmm-yy"), TEXT([2]RUNS!$B$5:$B$208, "mmm-yy"), [2]RUNS!$D$5:$D$208, "Not Found")</f>
        <v>28300.192001378553</v>
      </c>
      <c r="H487" cm="1">
        <f t="array" ref="H487">SUMPRODUCT(
    --(TEXT('[3]Global Weekly Stock (EWSuez'!$B$4:$B$2000,"mmm-yy")=TEXT(A487,"mmm-yy")),
    '[3]Global Weekly Stock (EWSuez'!$E$4:$E$2000)
/
SUMPRODUCT(
    --(TEXT('[3]Global Weekly Stock (EWSuez'!$B$4:$B$2000,"mmm-yy")=TEXT(A487,"mmm-yy"))
)</f>
        <v>11810.75</v>
      </c>
      <c r="I487">
        <f>_xlfn.XLOOKUP(A487,[1]ForwardDeriv!$D:$D,[1]ForwardDeriv!$AJ:$AJ)</f>
        <v>-0.14000000000000057</v>
      </c>
      <c r="J487" cm="1">
        <f t="array" ref="J487">_xlfn.XLOOKUP(TEXT(A487, "mmm-yy"), TEXT([2]GASOLINE!$B$5:$B$208, "mmm-yy"), [2]GASOLINE!$IR$5:$IR$208, "Not Found")</f>
        <v>-46.96892438523156</v>
      </c>
      <c r="K487" cm="1">
        <f t="array" ref="K487">_xlfn.XLOOKUP(TEXT(A487, "mmm-yy"), TEXT([2]GASOLINE!$B$5:$B$208, "mmm-yy"), [2]GASOLINE!$IK$5:$IK$208, "Not Found")</f>
        <v>0</v>
      </c>
      <c r="L487">
        <f t="shared" si="7"/>
        <v>0</v>
      </c>
      <c r="M487" cm="1">
        <f t="array" ref="M487">_xlfn.XLOOKUP(TEXT(A487, "mmm-yy"), TEXT([2]GASOLINE!$B$5:$B$208, "mmm-yy"), [2]GASOLINE!$C$5:$C$208, "Not Found")</f>
        <v>6783.4492816716265</v>
      </c>
      <c r="N487" cm="1">
        <f t="array" ref="N487">_xlfn.XLOOKUP(TEXT(A487, "mmm-yy"), TEXT([2]RUNS!$B$5:$B$208, "mmm-yy"), [2]RUNS!$BM$5:$BM$208, "Not Found")</f>
        <v>0.83735067598235813</v>
      </c>
    </row>
    <row r="488" spans="1:14" x14ac:dyDescent="0.25">
      <c r="A488" s="1">
        <f>'[1]Global_Spot Prices'!$B1797</f>
        <v>42685</v>
      </c>
      <c r="B488">
        <f>_xlfn.XLOOKUP(A488,'[1]Global_Spot Prices'!$B:$B,'[1]Global_Spot Prices'!$BS:$BS)</f>
        <v>12.549999999999997</v>
      </c>
      <c r="C488">
        <f>_xlfn.XLOOKUP(A488,'[1]Global_Spot Prices'!$B:$B,'[1]Global_Spot Prices'!$E:$E)</f>
        <v>42.7</v>
      </c>
      <c r="D488">
        <f>_xlfn.XLOOKUP(A488,'[1]Global_Spot Prices'!$B:$B,'[1]Global_Spot Prices'!$D:$D)</f>
        <v>42.46</v>
      </c>
      <c r="E488">
        <f>_xlfn.XLOOKUP(A488,'[1]Global_Spot Prices'!$B:$B,'[1]Global_Spot Prices'!$H:$H)</f>
        <v>46.36</v>
      </c>
      <c r="F488">
        <f>_xlfn.XLOOKUP(A488,'[1]Global_Spot Prices'!$B:$B,'[1]Global_Spot Prices'!$I:$I)</f>
        <v>55.25</v>
      </c>
      <c r="G488" cm="1">
        <f t="array" ref="G488">_xlfn.XLOOKUP(TEXT(A488, "mmm-yy"), TEXT([2]RUNS!$B$5:$B$208, "mmm-yy"), [2]RUNS!$D$5:$D$208, "Not Found")</f>
        <v>28300.192001378553</v>
      </c>
      <c r="H488" cm="1">
        <f t="array" ref="H488">SUMPRODUCT(
    --(TEXT('[3]Global Weekly Stock (EWSuez'!$B$4:$B$2000,"mmm-yy")=TEXT(A488,"mmm-yy")),
    '[3]Global Weekly Stock (EWSuez'!$E$4:$E$2000)
/
SUMPRODUCT(
    --(TEXT('[3]Global Weekly Stock (EWSuez'!$B$4:$B$2000,"mmm-yy")=TEXT(A488,"mmm-yy"))
)</f>
        <v>11810.75</v>
      </c>
      <c r="I488">
        <f>_xlfn.XLOOKUP(A488,[1]ForwardDeriv!$D:$D,[1]ForwardDeriv!$AJ:$AJ)</f>
        <v>1.0000000000005116E-2</v>
      </c>
      <c r="J488" cm="1">
        <f t="array" ref="J488">_xlfn.XLOOKUP(TEXT(A488, "mmm-yy"), TEXT([2]GASOLINE!$B$5:$B$208, "mmm-yy"), [2]GASOLINE!$IR$5:$IR$208, "Not Found")</f>
        <v>-46.96892438523156</v>
      </c>
      <c r="K488" cm="1">
        <f t="array" ref="K488">_xlfn.XLOOKUP(TEXT(A488, "mmm-yy"), TEXT([2]GASOLINE!$B$5:$B$208, "mmm-yy"), [2]GASOLINE!$IK$5:$IK$208, "Not Found")</f>
        <v>0</v>
      </c>
      <c r="L488">
        <f t="shared" si="7"/>
        <v>0</v>
      </c>
      <c r="M488" cm="1">
        <f t="array" ref="M488">_xlfn.XLOOKUP(TEXT(A488, "mmm-yy"), TEXT([2]GASOLINE!$B$5:$B$208, "mmm-yy"), [2]GASOLINE!$C$5:$C$208, "Not Found")</f>
        <v>6783.4492816716265</v>
      </c>
      <c r="N488" cm="1">
        <f t="array" ref="N488">_xlfn.XLOOKUP(TEXT(A488, "mmm-yy"), TEXT([2]RUNS!$B$5:$B$208, "mmm-yy"), [2]RUNS!$BM$5:$BM$208, "Not Found")</f>
        <v>0.83735067598235813</v>
      </c>
    </row>
    <row r="489" spans="1:14" x14ac:dyDescent="0.25">
      <c r="A489" s="1">
        <f>'[1]Global_Spot Prices'!$B1798</f>
        <v>42688</v>
      </c>
      <c r="B489">
        <f>_xlfn.XLOOKUP(A489,'[1]Global_Spot Prices'!$B:$B,'[1]Global_Spot Prices'!$BS:$BS)</f>
        <v>11.829999999999998</v>
      </c>
      <c r="C489">
        <f>_xlfn.XLOOKUP(A489,'[1]Global_Spot Prices'!$B:$B,'[1]Global_Spot Prices'!$E:$E)</f>
        <v>41.9</v>
      </c>
      <c r="D489">
        <f>_xlfn.XLOOKUP(A489,'[1]Global_Spot Prices'!$B:$B,'[1]Global_Spot Prices'!$D:$D)</f>
        <v>41.91</v>
      </c>
      <c r="E489">
        <f>_xlfn.XLOOKUP(A489,'[1]Global_Spot Prices'!$B:$B,'[1]Global_Spot Prices'!$H:$H)</f>
        <v>45.76</v>
      </c>
      <c r="F489">
        <f>_xlfn.XLOOKUP(A489,'[1]Global_Spot Prices'!$B:$B,'[1]Global_Spot Prices'!$I:$I)</f>
        <v>53.73</v>
      </c>
      <c r="G489" cm="1">
        <f t="array" ref="G489">_xlfn.XLOOKUP(TEXT(A489, "mmm-yy"), TEXT([2]RUNS!$B$5:$B$208, "mmm-yy"), [2]RUNS!$D$5:$D$208, "Not Found")</f>
        <v>28300.192001378553</v>
      </c>
      <c r="H489" cm="1">
        <f t="array" ref="H489">SUMPRODUCT(
    --(TEXT('[3]Global Weekly Stock (EWSuez'!$B$4:$B$2000,"mmm-yy")=TEXT(A489,"mmm-yy")),
    '[3]Global Weekly Stock (EWSuez'!$E$4:$E$2000)
/
SUMPRODUCT(
    --(TEXT('[3]Global Weekly Stock (EWSuez'!$B$4:$B$2000,"mmm-yy")=TEXT(A489,"mmm-yy"))
)</f>
        <v>11810.75</v>
      </c>
      <c r="I489">
        <f>_xlfn.XLOOKUP(A489,[1]ForwardDeriv!$D:$D,[1]ForwardDeriv!$AJ:$AJ)</f>
        <v>3.9999999999999147E-2</v>
      </c>
      <c r="J489" cm="1">
        <f t="array" ref="J489">_xlfn.XLOOKUP(TEXT(A489, "mmm-yy"), TEXT([2]GASOLINE!$B$5:$B$208, "mmm-yy"), [2]GASOLINE!$IR$5:$IR$208, "Not Found")</f>
        <v>-46.96892438523156</v>
      </c>
      <c r="K489" cm="1">
        <f t="array" ref="K489">_xlfn.XLOOKUP(TEXT(A489, "mmm-yy"), TEXT([2]GASOLINE!$B$5:$B$208, "mmm-yy"), [2]GASOLINE!$IK$5:$IK$208, "Not Found")</f>
        <v>0</v>
      </c>
      <c r="L489">
        <f t="shared" si="7"/>
        <v>0</v>
      </c>
      <c r="M489" cm="1">
        <f t="array" ref="M489">_xlfn.XLOOKUP(TEXT(A489, "mmm-yy"), TEXT([2]GASOLINE!$B$5:$B$208, "mmm-yy"), [2]GASOLINE!$C$5:$C$208, "Not Found")</f>
        <v>6783.4492816716265</v>
      </c>
      <c r="N489" cm="1">
        <f t="array" ref="N489">_xlfn.XLOOKUP(TEXT(A489, "mmm-yy"), TEXT([2]RUNS!$B$5:$B$208, "mmm-yy"), [2]RUNS!$BM$5:$BM$208, "Not Found")</f>
        <v>0.83735067598235813</v>
      </c>
    </row>
    <row r="490" spans="1:14" x14ac:dyDescent="0.25">
      <c r="A490" s="1">
        <f>'[1]Global_Spot Prices'!$B1799</f>
        <v>42689</v>
      </c>
      <c r="B490">
        <f>_xlfn.XLOOKUP(A490,'[1]Global_Spot Prices'!$B:$B,'[1]Global_Spot Prices'!$BS:$BS)</f>
        <v>11.560000000000002</v>
      </c>
      <c r="C490">
        <f>_xlfn.XLOOKUP(A490,'[1]Global_Spot Prices'!$B:$B,'[1]Global_Spot Prices'!$E:$E)</f>
        <v>42</v>
      </c>
      <c r="D490">
        <f>_xlfn.XLOOKUP(A490,'[1]Global_Spot Prices'!$B:$B,'[1]Global_Spot Prices'!$D:$D)</f>
        <v>44.405000000000001</v>
      </c>
      <c r="E490">
        <f>_xlfn.XLOOKUP(A490,'[1]Global_Spot Prices'!$B:$B,'[1]Global_Spot Prices'!$H:$H)</f>
        <v>44.93</v>
      </c>
      <c r="F490">
        <f>_xlfn.XLOOKUP(A490,'[1]Global_Spot Prices'!$B:$B,'[1]Global_Spot Prices'!$I:$I)</f>
        <v>53.56</v>
      </c>
      <c r="G490" cm="1">
        <f t="array" ref="G490">_xlfn.XLOOKUP(TEXT(A490, "mmm-yy"), TEXT([2]RUNS!$B$5:$B$208, "mmm-yy"), [2]RUNS!$D$5:$D$208, "Not Found")</f>
        <v>28300.192001378553</v>
      </c>
      <c r="H490" cm="1">
        <f t="array" ref="H490">SUMPRODUCT(
    --(TEXT('[3]Global Weekly Stock (EWSuez'!$B$4:$B$2000,"mmm-yy")=TEXT(A490,"mmm-yy")),
    '[3]Global Weekly Stock (EWSuez'!$E$4:$E$2000)
/
SUMPRODUCT(
    --(TEXT('[3]Global Weekly Stock (EWSuez'!$B$4:$B$2000,"mmm-yy")=TEXT(A490,"mmm-yy"))
)</f>
        <v>11810.75</v>
      </c>
      <c r="I490">
        <f>_xlfn.XLOOKUP(A490,[1]ForwardDeriv!$D:$D,[1]ForwardDeriv!$AJ:$AJ)</f>
        <v>5.9999999999995168E-2</v>
      </c>
      <c r="J490" cm="1">
        <f t="array" ref="J490">_xlfn.XLOOKUP(TEXT(A490, "mmm-yy"), TEXT([2]GASOLINE!$B$5:$B$208, "mmm-yy"), [2]GASOLINE!$IR$5:$IR$208, "Not Found")</f>
        <v>-46.96892438523156</v>
      </c>
      <c r="K490" cm="1">
        <f t="array" ref="K490">_xlfn.XLOOKUP(TEXT(A490, "mmm-yy"), TEXT([2]GASOLINE!$B$5:$B$208, "mmm-yy"), [2]GASOLINE!$IK$5:$IK$208, "Not Found")</f>
        <v>0</v>
      </c>
      <c r="L490">
        <f t="shared" si="7"/>
        <v>0</v>
      </c>
      <c r="M490" cm="1">
        <f t="array" ref="M490">_xlfn.XLOOKUP(TEXT(A490, "mmm-yy"), TEXT([2]GASOLINE!$B$5:$B$208, "mmm-yy"), [2]GASOLINE!$C$5:$C$208, "Not Found")</f>
        <v>6783.4492816716265</v>
      </c>
      <c r="N490" cm="1">
        <f t="array" ref="N490">_xlfn.XLOOKUP(TEXT(A490, "mmm-yy"), TEXT([2]RUNS!$B$5:$B$208, "mmm-yy"), [2]RUNS!$BM$5:$BM$208, "Not Found")</f>
        <v>0.83735067598235813</v>
      </c>
    </row>
    <row r="491" spans="1:14" x14ac:dyDescent="0.25">
      <c r="A491" s="1">
        <f>'[1]Global_Spot Prices'!$B1800</f>
        <v>42690</v>
      </c>
      <c r="B491">
        <f>_xlfn.XLOOKUP(A491,'[1]Global_Spot Prices'!$B:$B,'[1]Global_Spot Prices'!$BS:$BS)</f>
        <v>11.54</v>
      </c>
      <c r="C491">
        <f>_xlfn.XLOOKUP(A491,'[1]Global_Spot Prices'!$B:$B,'[1]Global_Spot Prices'!$E:$E)</f>
        <v>43.5</v>
      </c>
      <c r="D491">
        <f>_xlfn.XLOOKUP(A491,'[1]Global_Spot Prices'!$B:$B,'[1]Global_Spot Prices'!$D:$D)</f>
        <v>45.11</v>
      </c>
      <c r="E491">
        <f>_xlfn.XLOOKUP(A491,'[1]Global_Spot Prices'!$B:$B,'[1]Global_Spot Prices'!$H:$H)</f>
        <v>46.34</v>
      </c>
      <c r="F491">
        <f>_xlfn.XLOOKUP(A491,'[1]Global_Spot Prices'!$B:$B,'[1]Global_Spot Prices'!$I:$I)</f>
        <v>55.04</v>
      </c>
      <c r="G491" cm="1">
        <f t="array" ref="G491">_xlfn.XLOOKUP(TEXT(A491, "mmm-yy"), TEXT([2]RUNS!$B$5:$B$208, "mmm-yy"), [2]RUNS!$D$5:$D$208, "Not Found")</f>
        <v>28300.192001378553</v>
      </c>
      <c r="H491" cm="1">
        <f t="array" ref="H491">SUMPRODUCT(
    --(TEXT('[3]Global Weekly Stock (EWSuez'!$B$4:$B$2000,"mmm-yy")=TEXT(A491,"mmm-yy")),
    '[3]Global Weekly Stock (EWSuez'!$E$4:$E$2000)
/
SUMPRODUCT(
    --(TEXT('[3]Global Weekly Stock (EWSuez'!$B$4:$B$2000,"mmm-yy")=TEXT(A491,"mmm-yy"))
)</f>
        <v>11810.75</v>
      </c>
      <c r="I491">
        <f>_xlfn.XLOOKUP(A491,[1]ForwardDeriv!$D:$D,[1]ForwardDeriv!$AJ:$AJ)</f>
        <v>4.0000000000006253E-2</v>
      </c>
      <c r="J491" cm="1">
        <f t="array" ref="J491">_xlfn.XLOOKUP(TEXT(A491, "mmm-yy"), TEXT([2]GASOLINE!$B$5:$B$208, "mmm-yy"), [2]GASOLINE!$IR$5:$IR$208, "Not Found")</f>
        <v>-46.96892438523156</v>
      </c>
      <c r="K491" cm="1">
        <f t="array" ref="K491">_xlfn.XLOOKUP(TEXT(A491, "mmm-yy"), TEXT([2]GASOLINE!$B$5:$B$208, "mmm-yy"), [2]GASOLINE!$IK$5:$IK$208, "Not Found")</f>
        <v>0</v>
      </c>
      <c r="L491">
        <f t="shared" si="7"/>
        <v>0</v>
      </c>
      <c r="M491" cm="1">
        <f t="array" ref="M491">_xlfn.XLOOKUP(TEXT(A491, "mmm-yy"), TEXT([2]GASOLINE!$B$5:$B$208, "mmm-yy"), [2]GASOLINE!$C$5:$C$208, "Not Found")</f>
        <v>6783.4492816716265</v>
      </c>
      <c r="N491" cm="1">
        <f t="array" ref="N491">_xlfn.XLOOKUP(TEXT(A491, "mmm-yy"), TEXT([2]RUNS!$B$5:$B$208, "mmm-yy"), [2]RUNS!$BM$5:$BM$208, "Not Found")</f>
        <v>0.83735067598235813</v>
      </c>
    </row>
    <row r="492" spans="1:14" x14ac:dyDescent="0.25">
      <c r="A492" s="1">
        <f>'[1]Global_Spot Prices'!$B1801</f>
        <v>42691</v>
      </c>
      <c r="B492">
        <f>_xlfn.XLOOKUP(A492,'[1]Global_Spot Prices'!$B:$B,'[1]Global_Spot Prices'!$BS:$BS)</f>
        <v>11.949999999999996</v>
      </c>
      <c r="C492">
        <f>_xlfn.XLOOKUP(A492,'[1]Global_Spot Prices'!$B:$B,'[1]Global_Spot Prices'!$E:$E)</f>
        <v>43.49</v>
      </c>
      <c r="D492">
        <f>_xlfn.XLOOKUP(A492,'[1]Global_Spot Prices'!$B:$B,'[1]Global_Spot Prices'!$D:$D)</f>
        <v>44.634999999999998</v>
      </c>
      <c r="E492">
        <f>_xlfn.XLOOKUP(A492,'[1]Global_Spot Prices'!$B:$B,'[1]Global_Spot Prices'!$H:$H)</f>
        <v>46.72</v>
      </c>
      <c r="F492">
        <f>_xlfn.XLOOKUP(A492,'[1]Global_Spot Prices'!$B:$B,'[1]Global_Spot Prices'!$I:$I)</f>
        <v>55.44</v>
      </c>
      <c r="G492" cm="1">
        <f t="array" ref="G492">_xlfn.XLOOKUP(TEXT(A492, "mmm-yy"), TEXT([2]RUNS!$B$5:$B$208, "mmm-yy"), [2]RUNS!$D$5:$D$208, "Not Found")</f>
        <v>28300.192001378553</v>
      </c>
      <c r="H492" cm="1">
        <f t="array" ref="H492">SUMPRODUCT(
    --(TEXT('[3]Global Weekly Stock (EWSuez'!$B$4:$B$2000,"mmm-yy")=TEXT(A492,"mmm-yy")),
    '[3]Global Weekly Stock (EWSuez'!$E$4:$E$2000)
/
SUMPRODUCT(
    --(TEXT('[3]Global Weekly Stock (EWSuez'!$B$4:$B$2000,"mmm-yy")=TEXT(A492,"mmm-yy"))
)</f>
        <v>11810.75</v>
      </c>
      <c r="I492">
        <f>_xlfn.XLOOKUP(A492,[1]ForwardDeriv!$D:$D,[1]ForwardDeriv!$AJ:$AJ)</f>
        <v>0.12000000000000455</v>
      </c>
      <c r="J492" cm="1">
        <f t="array" ref="J492">_xlfn.XLOOKUP(TEXT(A492, "mmm-yy"), TEXT([2]GASOLINE!$B$5:$B$208, "mmm-yy"), [2]GASOLINE!$IR$5:$IR$208, "Not Found")</f>
        <v>-46.96892438523156</v>
      </c>
      <c r="K492" cm="1">
        <f t="array" ref="K492">_xlfn.XLOOKUP(TEXT(A492, "mmm-yy"), TEXT([2]GASOLINE!$B$5:$B$208, "mmm-yy"), [2]GASOLINE!$IK$5:$IK$208, "Not Found")</f>
        <v>0</v>
      </c>
      <c r="L492">
        <f t="shared" si="7"/>
        <v>0</v>
      </c>
      <c r="M492" cm="1">
        <f t="array" ref="M492">_xlfn.XLOOKUP(TEXT(A492, "mmm-yy"), TEXT([2]GASOLINE!$B$5:$B$208, "mmm-yy"), [2]GASOLINE!$C$5:$C$208, "Not Found")</f>
        <v>6783.4492816716265</v>
      </c>
      <c r="N492" cm="1">
        <f t="array" ref="N492">_xlfn.XLOOKUP(TEXT(A492, "mmm-yy"), TEXT([2]RUNS!$B$5:$B$208, "mmm-yy"), [2]RUNS!$BM$5:$BM$208, "Not Found")</f>
        <v>0.83735067598235813</v>
      </c>
    </row>
    <row r="493" spans="1:14" x14ac:dyDescent="0.25">
      <c r="A493" s="1">
        <f>'[1]Global_Spot Prices'!$B1802</f>
        <v>42692</v>
      </c>
      <c r="B493">
        <f>_xlfn.XLOOKUP(A493,'[1]Global_Spot Prices'!$B:$B,'[1]Global_Spot Prices'!$BS:$BS)</f>
        <v>12.659999999999997</v>
      </c>
      <c r="C493">
        <f>_xlfn.XLOOKUP(A493,'[1]Global_Spot Prices'!$B:$B,'[1]Global_Spot Prices'!$E:$E)</f>
        <v>42.78</v>
      </c>
      <c r="D493">
        <f>_xlfn.XLOOKUP(A493,'[1]Global_Spot Prices'!$B:$B,'[1]Global_Spot Prices'!$D:$D)</f>
        <v>44.44</v>
      </c>
      <c r="E493">
        <f>_xlfn.XLOOKUP(A493,'[1]Global_Spot Prices'!$B:$B,'[1]Global_Spot Prices'!$H:$H)</f>
        <v>46.28</v>
      </c>
      <c r="F493">
        <f>_xlfn.XLOOKUP(A493,'[1]Global_Spot Prices'!$B:$B,'[1]Global_Spot Prices'!$I:$I)</f>
        <v>55.44</v>
      </c>
      <c r="G493" cm="1">
        <f t="array" ref="G493">_xlfn.XLOOKUP(TEXT(A493, "mmm-yy"), TEXT([2]RUNS!$B$5:$B$208, "mmm-yy"), [2]RUNS!$D$5:$D$208, "Not Found")</f>
        <v>28300.192001378553</v>
      </c>
      <c r="H493" cm="1">
        <f t="array" ref="H493">SUMPRODUCT(
    --(TEXT('[3]Global Weekly Stock (EWSuez'!$B$4:$B$2000,"mmm-yy")=TEXT(A493,"mmm-yy")),
    '[3]Global Weekly Stock (EWSuez'!$E$4:$E$2000)
/
SUMPRODUCT(
    --(TEXT('[3]Global Weekly Stock (EWSuez'!$B$4:$B$2000,"mmm-yy")=TEXT(A493,"mmm-yy"))
)</f>
        <v>11810.75</v>
      </c>
      <c r="I493">
        <f>_xlfn.XLOOKUP(A493,[1]ForwardDeriv!$D:$D,[1]ForwardDeriv!$AJ:$AJ)</f>
        <v>0.17999999999999972</v>
      </c>
      <c r="J493" cm="1">
        <f t="array" ref="J493">_xlfn.XLOOKUP(TEXT(A493, "mmm-yy"), TEXT([2]GASOLINE!$B$5:$B$208, "mmm-yy"), [2]GASOLINE!$IR$5:$IR$208, "Not Found")</f>
        <v>-46.96892438523156</v>
      </c>
      <c r="K493" cm="1">
        <f t="array" ref="K493">_xlfn.XLOOKUP(TEXT(A493, "mmm-yy"), TEXT([2]GASOLINE!$B$5:$B$208, "mmm-yy"), [2]GASOLINE!$IK$5:$IK$208, "Not Found")</f>
        <v>0</v>
      </c>
      <c r="L493">
        <f t="shared" si="7"/>
        <v>0</v>
      </c>
      <c r="M493" cm="1">
        <f t="array" ref="M493">_xlfn.XLOOKUP(TEXT(A493, "mmm-yy"), TEXT([2]GASOLINE!$B$5:$B$208, "mmm-yy"), [2]GASOLINE!$C$5:$C$208, "Not Found")</f>
        <v>6783.4492816716265</v>
      </c>
      <c r="N493" cm="1">
        <f t="array" ref="N493">_xlfn.XLOOKUP(TEXT(A493, "mmm-yy"), TEXT([2]RUNS!$B$5:$B$208, "mmm-yy"), [2]RUNS!$BM$5:$BM$208, "Not Found")</f>
        <v>0.83735067598235813</v>
      </c>
    </row>
    <row r="494" spans="1:14" x14ac:dyDescent="0.25">
      <c r="A494" s="1">
        <f>'[1]Global_Spot Prices'!$B1803</f>
        <v>42695</v>
      </c>
      <c r="B494">
        <f>_xlfn.XLOOKUP(A494,'[1]Global_Spot Prices'!$B:$B,'[1]Global_Spot Prices'!$BS:$BS)</f>
        <v>12.57</v>
      </c>
      <c r="C494">
        <f>_xlfn.XLOOKUP(A494,'[1]Global_Spot Prices'!$B:$B,'[1]Global_Spot Prices'!$E:$E)</f>
        <v>44.56</v>
      </c>
      <c r="D494">
        <f>_xlfn.XLOOKUP(A494,'[1]Global_Spot Prices'!$B:$B,'[1]Global_Spot Prices'!$D:$D)</f>
        <v>47.07</v>
      </c>
      <c r="E494">
        <f>_xlfn.XLOOKUP(A494,'[1]Global_Spot Prices'!$B:$B,'[1]Global_Spot Prices'!$H:$H)</f>
        <v>47.25</v>
      </c>
      <c r="F494">
        <f>_xlfn.XLOOKUP(A494,'[1]Global_Spot Prices'!$B:$B,'[1]Global_Spot Prices'!$I:$I)</f>
        <v>57.13</v>
      </c>
      <c r="G494" cm="1">
        <f t="array" ref="G494">_xlfn.XLOOKUP(TEXT(A494, "mmm-yy"), TEXT([2]RUNS!$B$5:$B$208, "mmm-yy"), [2]RUNS!$D$5:$D$208, "Not Found")</f>
        <v>28300.192001378553</v>
      </c>
      <c r="H494" cm="1">
        <f t="array" ref="H494">SUMPRODUCT(
    --(TEXT('[3]Global Weekly Stock (EWSuez'!$B$4:$B$2000,"mmm-yy")=TEXT(A494,"mmm-yy")),
    '[3]Global Weekly Stock (EWSuez'!$E$4:$E$2000)
/
SUMPRODUCT(
    --(TEXT('[3]Global Weekly Stock (EWSuez'!$B$4:$B$2000,"mmm-yy")=TEXT(A494,"mmm-yy"))
)</f>
        <v>11810.75</v>
      </c>
      <c r="I494">
        <f>_xlfn.XLOOKUP(A494,[1]ForwardDeriv!$D:$D,[1]ForwardDeriv!$AJ:$AJ)</f>
        <v>9.9999999999994316E-2</v>
      </c>
      <c r="J494" cm="1">
        <f t="array" ref="J494">_xlfn.XLOOKUP(TEXT(A494, "mmm-yy"), TEXT([2]GASOLINE!$B$5:$B$208, "mmm-yy"), [2]GASOLINE!$IR$5:$IR$208, "Not Found")</f>
        <v>-46.96892438523156</v>
      </c>
      <c r="K494" cm="1">
        <f t="array" ref="K494">_xlfn.XLOOKUP(TEXT(A494, "mmm-yy"), TEXT([2]GASOLINE!$B$5:$B$208, "mmm-yy"), [2]GASOLINE!$IK$5:$IK$208, "Not Found")</f>
        <v>0</v>
      </c>
      <c r="L494">
        <f t="shared" si="7"/>
        <v>0</v>
      </c>
      <c r="M494" cm="1">
        <f t="array" ref="M494">_xlfn.XLOOKUP(TEXT(A494, "mmm-yy"), TEXT([2]GASOLINE!$B$5:$B$208, "mmm-yy"), [2]GASOLINE!$C$5:$C$208, "Not Found")</f>
        <v>6783.4492816716265</v>
      </c>
      <c r="N494" cm="1">
        <f t="array" ref="N494">_xlfn.XLOOKUP(TEXT(A494, "mmm-yy"), TEXT([2]RUNS!$B$5:$B$208, "mmm-yy"), [2]RUNS!$BM$5:$BM$208, "Not Found")</f>
        <v>0.83735067598235813</v>
      </c>
    </row>
    <row r="495" spans="1:14" x14ac:dyDescent="0.25">
      <c r="A495" s="1">
        <f>'[1]Global_Spot Prices'!$B1804</f>
        <v>42696</v>
      </c>
      <c r="B495">
        <f>_xlfn.XLOOKUP(A495,'[1]Global_Spot Prices'!$B:$B,'[1]Global_Spot Prices'!$BS:$BS)</f>
        <v>12.71</v>
      </c>
      <c r="C495">
        <f>_xlfn.XLOOKUP(A495,'[1]Global_Spot Prices'!$B:$B,'[1]Global_Spot Prices'!$E:$E)</f>
        <v>46.07</v>
      </c>
      <c r="D495">
        <f>_xlfn.XLOOKUP(A495,'[1]Global_Spot Prices'!$B:$B,'[1]Global_Spot Prices'!$D:$D)</f>
        <v>47.075000000000003</v>
      </c>
      <c r="E495">
        <f>_xlfn.XLOOKUP(A495,'[1]Global_Spot Prices'!$B:$B,'[1]Global_Spot Prices'!$H:$H)</f>
        <v>48.44</v>
      </c>
      <c r="F495">
        <f>_xlfn.XLOOKUP(A495,'[1]Global_Spot Prices'!$B:$B,'[1]Global_Spot Prices'!$I:$I)</f>
        <v>58.78</v>
      </c>
      <c r="G495" cm="1">
        <f t="array" ref="G495">_xlfn.XLOOKUP(TEXT(A495, "mmm-yy"), TEXT([2]RUNS!$B$5:$B$208, "mmm-yy"), [2]RUNS!$D$5:$D$208, "Not Found")</f>
        <v>28300.192001378553</v>
      </c>
      <c r="H495" cm="1">
        <f t="array" ref="H495">SUMPRODUCT(
    --(TEXT('[3]Global Weekly Stock (EWSuez'!$B$4:$B$2000,"mmm-yy")=TEXT(A495,"mmm-yy")),
    '[3]Global Weekly Stock (EWSuez'!$E$4:$E$2000)
/
SUMPRODUCT(
    --(TEXT('[3]Global Weekly Stock (EWSuez'!$B$4:$B$2000,"mmm-yy")=TEXT(A495,"mmm-yy"))
)</f>
        <v>11810.75</v>
      </c>
      <c r="I495">
        <f>_xlfn.XLOOKUP(A495,[1]ForwardDeriv!$D:$D,[1]ForwardDeriv!$AJ:$AJ)</f>
        <v>0.28999999999999915</v>
      </c>
      <c r="J495" cm="1">
        <f t="array" ref="J495">_xlfn.XLOOKUP(TEXT(A495, "mmm-yy"), TEXT([2]GASOLINE!$B$5:$B$208, "mmm-yy"), [2]GASOLINE!$IR$5:$IR$208, "Not Found")</f>
        <v>-46.96892438523156</v>
      </c>
      <c r="K495" cm="1">
        <f t="array" ref="K495">_xlfn.XLOOKUP(TEXT(A495, "mmm-yy"), TEXT([2]GASOLINE!$B$5:$B$208, "mmm-yy"), [2]GASOLINE!$IK$5:$IK$208, "Not Found")</f>
        <v>0</v>
      </c>
      <c r="L495">
        <f t="shared" si="7"/>
        <v>0</v>
      </c>
      <c r="M495" cm="1">
        <f t="array" ref="M495">_xlfn.XLOOKUP(TEXT(A495, "mmm-yy"), TEXT([2]GASOLINE!$B$5:$B$208, "mmm-yy"), [2]GASOLINE!$C$5:$C$208, "Not Found")</f>
        <v>6783.4492816716265</v>
      </c>
      <c r="N495" cm="1">
        <f t="array" ref="N495">_xlfn.XLOOKUP(TEXT(A495, "mmm-yy"), TEXT([2]RUNS!$B$5:$B$208, "mmm-yy"), [2]RUNS!$BM$5:$BM$208, "Not Found")</f>
        <v>0.83735067598235813</v>
      </c>
    </row>
    <row r="496" spans="1:14" x14ac:dyDescent="0.25">
      <c r="A496" s="1">
        <f>'[1]Global_Spot Prices'!$B1805</f>
        <v>42697</v>
      </c>
      <c r="B496">
        <f>_xlfn.XLOOKUP(A496,'[1]Global_Spot Prices'!$B:$B,'[1]Global_Spot Prices'!$BS:$BS)</f>
        <v>12.625</v>
      </c>
      <c r="C496">
        <f>_xlfn.XLOOKUP(A496,'[1]Global_Spot Prices'!$B:$B,'[1]Global_Spot Prices'!$E:$E)</f>
        <v>45.994999999999997</v>
      </c>
      <c r="D496">
        <f>_xlfn.XLOOKUP(A496,'[1]Global_Spot Prices'!$B:$B,'[1]Global_Spot Prices'!$D:$D)</f>
        <v>47.53</v>
      </c>
      <c r="E496">
        <f>_xlfn.XLOOKUP(A496,'[1]Global_Spot Prices'!$B:$B,'[1]Global_Spot Prices'!$H:$H)</f>
        <v>47.94</v>
      </c>
      <c r="F496">
        <f>_xlfn.XLOOKUP(A496,'[1]Global_Spot Prices'!$B:$B,'[1]Global_Spot Prices'!$I:$I)</f>
        <v>58.62</v>
      </c>
      <c r="G496" cm="1">
        <f t="array" ref="G496">_xlfn.XLOOKUP(TEXT(A496, "mmm-yy"), TEXT([2]RUNS!$B$5:$B$208, "mmm-yy"), [2]RUNS!$D$5:$D$208, "Not Found")</f>
        <v>28300.192001378553</v>
      </c>
      <c r="H496" cm="1">
        <f t="array" ref="H496">SUMPRODUCT(
    --(TEXT('[3]Global Weekly Stock (EWSuez'!$B$4:$B$2000,"mmm-yy")=TEXT(A496,"mmm-yy")),
    '[3]Global Weekly Stock (EWSuez'!$E$4:$E$2000)
/
SUMPRODUCT(
    --(TEXT('[3]Global Weekly Stock (EWSuez'!$B$4:$B$2000,"mmm-yy")=TEXT(A496,"mmm-yy"))
)</f>
        <v>11810.75</v>
      </c>
      <c r="I496">
        <f>_xlfn.XLOOKUP(A496,[1]ForwardDeriv!$D:$D,[1]ForwardDeriv!$AJ:$AJ)</f>
        <v>0.24000000000000199</v>
      </c>
      <c r="J496" cm="1">
        <f t="array" ref="J496">_xlfn.XLOOKUP(TEXT(A496, "mmm-yy"), TEXT([2]GASOLINE!$B$5:$B$208, "mmm-yy"), [2]GASOLINE!$IR$5:$IR$208, "Not Found")</f>
        <v>-46.96892438523156</v>
      </c>
      <c r="K496" cm="1">
        <f t="array" ref="K496">_xlfn.XLOOKUP(TEXT(A496, "mmm-yy"), TEXT([2]GASOLINE!$B$5:$B$208, "mmm-yy"), [2]GASOLINE!$IK$5:$IK$208, "Not Found")</f>
        <v>0</v>
      </c>
      <c r="L496">
        <f t="shared" si="7"/>
        <v>0</v>
      </c>
      <c r="M496" cm="1">
        <f t="array" ref="M496">_xlfn.XLOOKUP(TEXT(A496, "mmm-yy"), TEXT([2]GASOLINE!$B$5:$B$208, "mmm-yy"), [2]GASOLINE!$C$5:$C$208, "Not Found")</f>
        <v>6783.4492816716265</v>
      </c>
      <c r="N496" cm="1">
        <f t="array" ref="N496">_xlfn.XLOOKUP(TEXT(A496, "mmm-yy"), TEXT([2]RUNS!$B$5:$B$208, "mmm-yy"), [2]RUNS!$BM$5:$BM$208, "Not Found")</f>
        <v>0.83735067598235813</v>
      </c>
    </row>
    <row r="497" spans="1:14" x14ac:dyDescent="0.25">
      <c r="A497" s="1">
        <f>'[1]Global_Spot Prices'!$B1806</f>
        <v>42698</v>
      </c>
      <c r="B497">
        <f>_xlfn.XLOOKUP(A497,'[1]Global_Spot Prices'!$B:$B,'[1]Global_Spot Prices'!$BS:$BS)</f>
        <v>13.260000000000005</v>
      </c>
      <c r="C497">
        <f>_xlfn.XLOOKUP(A497,'[1]Global_Spot Prices'!$B:$B,'[1]Global_Spot Prices'!$E:$E)</f>
        <v>45.69</v>
      </c>
      <c r="D497">
        <f>_xlfn.XLOOKUP(A497,'[1]Global_Spot Prices'!$B:$B,'[1]Global_Spot Prices'!$D:$D)</f>
        <v>47.674999999999997</v>
      </c>
      <c r="E497">
        <f>_xlfn.XLOOKUP(A497,'[1]Global_Spot Prices'!$B:$B,'[1]Global_Spot Prices'!$H:$H)</f>
        <v>47.86</v>
      </c>
      <c r="F497">
        <f>_xlfn.XLOOKUP(A497,'[1]Global_Spot Prices'!$B:$B,'[1]Global_Spot Prices'!$I:$I)</f>
        <v>58.95</v>
      </c>
      <c r="G497" cm="1">
        <f t="array" ref="G497">_xlfn.XLOOKUP(TEXT(A497, "mmm-yy"), TEXT([2]RUNS!$B$5:$B$208, "mmm-yy"), [2]RUNS!$D$5:$D$208, "Not Found")</f>
        <v>28300.192001378553</v>
      </c>
      <c r="H497" cm="1">
        <f t="array" ref="H497">SUMPRODUCT(
    --(TEXT('[3]Global Weekly Stock (EWSuez'!$B$4:$B$2000,"mmm-yy")=TEXT(A497,"mmm-yy")),
    '[3]Global Weekly Stock (EWSuez'!$E$4:$E$2000)
/
SUMPRODUCT(
    --(TEXT('[3]Global Weekly Stock (EWSuez'!$B$4:$B$2000,"mmm-yy")=TEXT(A497,"mmm-yy"))
)</f>
        <v>11810.75</v>
      </c>
      <c r="I497">
        <f>_xlfn.XLOOKUP(A497,[1]ForwardDeriv!$D:$D,[1]ForwardDeriv!$AJ:$AJ)</f>
        <v>0.32000000000000028</v>
      </c>
      <c r="J497" cm="1">
        <f t="array" ref="J497">_xlfn.XLOOKUP(TEXT(A497, "mmm-yy"), TEXT([2]GASOLINE!$B$5:$B$208, "mmm-yy"), [2]GASOLINE!$IR$5:$IR$208, "Not Found")</f>
        <v>-46.96892438523156</v>
      </c>
      <c r="K497" cm="1">
        <f t="array" ref="K497">_xlfn.XLOOKUP(TEXT(A497, "mmm-yy"), TEXT([2]GASOLINE!$B$5:$B$208, "mmm-yy"), [2]GASOLINE!$IK$5:$IK$208, "Not Found")</f>
        <v>0</v>
      </c>
      <c r="L497">
        <f t="shared" si="7"/>
        <v>0</v>
      </c>
      <c r="M497" cm="1">
        <f t="array" ref="M497">_xlfn.XLOOKUP(TEXT(A497, "mmm-yy"), TEXT([2]GASOLINE!$B$5:$B$208, "mmm-yy"), [2]GASOLINE!$C$5:$C$208, "Not Found")</f>
        <v>6783.4492816716265</v>
      </c>
      <c r="N497" cm="1">
        <f t="array" ref="N497">_xlfn.XLOOKUP(TEXT(A497, "mmm-yy"), TEXT([2]RUNS!$B$5:$B$208, "mmm-yy"), [2]RUNS!$BM$5:$BM$208, "Not Found")</f>
        <v>0.83735067598235813</v>
      </c>
    </row>
    <row r="498" spans="1:14" x14ac:dyDescent="0.25">
      <c r="A498" s="1">
        <f>'[1]Global_Spot Prices'!$B1807</f>
        <v>42699</v>
      </c>
      <c r="B498">
        <f>_xlfn.XLOOKUP(A498,'[1]Global_Spot Prices'!$B:$B,'[1]Global_Spot Prices'!$BS:$BS)</f>
        <v>12.350000000000001</v>
      </c>
      <c r="C498">
        <f>_xlfn.XLOOKUP(A498,'[1]Global_Spot Prices'!$B:$B,'[1]Global_Spot Prices'!$E:$E)</f>
        <v>45.92</v>
      </c>
      <c r="D498">
        <f>_xlfn.XLOOKUP(A498,'[1]Global_Spot Prices'!$B:$B,'[1]Global_Spot Prices'!$D:$D)</f>
        <v>46.36</v>
      </c>
      <c r="E498">
        <f>_xlfn.XLOOKUP(A498,'[1]Global_Spot Prices'!$B:$B,'[1]Global_Spot Prices'!$H:$H)</f>
        <v>47.79</v>
      </c>
      <c r="F498">
        <f>_xlfn.XLOOKUP(A498,'[1]Global_Spot Prices'!$B:$B,'[1]Global_Spot Prices'!$I:$I)</f>
        <v>58.27</v>
      </c>
      <c r="G498" cm="1">
        <f t="array" ref="G498">_xlfn.XLOOKUP(TEXT(A498, "mmm-yy"), TEXT([2]RUNS!$B$5:$B$208, "mmm-yy"), [2]RUNS!$D$5:$D$208, "Not Found")</f>
        <v>28300.192001378553</v>
      </c>
      <c r="H498" cm="1">
        <f t="array" ref="H498">SUMPRODUCT(
    --(TEXT('[3]Global Weekly Stock (EWSuez'!$B$4:$B$2000,"mmm-yy")=TEXT(A498,"mmm-yy")),
    '[3]Global Weekly Stock (EWSuez'!$E$4:$E$2000)
/
SUMPRODUCT(
    --(TEXT('[3]Global Weekly Stock (EWSuez'!$B$4:$B$2000,"mmm-yy")=TEXT(A498,"mmm-yy"))
)</f>
        <v>11810.75</v>
      </c>
      <c r="I498">
        <f>_xlfn.XLOOKUP(A498,[1]ForwardDeriv!$D:$D,[1]ForwardDeriv!$AJ:$AJ)</f>
        <v>0.36999999999999744</v>
      </c>
      <c r="J498" cm="1">
        <f t="array" ref="J498">_xlfn.XLOOKUP(TEXT(A498, "mmm-yy"), TEXT([2]GASOLINE!$B$5:$B$208, "mmm-yy"), [2]GASOLINE!$IR$5:$IR$208, "Not Found")</f>
        <v>-46.96892438523156</v>
      </c>
      <c r="K498" cm="1">
        <f t="array" ref="K498">_xlfn.XLOOKUP(TEXT(A498, "mmm-yy"), TEXT([2]GASOLINE!$B$5:$B$208, "mmm-yy"), [2]GASOLINE!$IK$5:$IK$208, "Not Found")</f>
        <v>0</v>
      </c>
      <c r="L498">
        <f t="shared" si="7"/>
        <v>0</v>
      </c>
      <c r="M498" cm="1">
        <f t="array" ref="M498">_xlfn.XLOOKUP(TEXT(A498, "mmm-yy"), TEXT([2]GASOLINE!$B$5:$B$208, "mmm-yy"), [2]GASOLINE!$C$5:$C$208, "Not Found")</f>
        <v>6783.4492816716265</v>
      </c>
      <c r="N498" cm="1">
        <f t="array" ref="N498">_xlfn.XLOOKUP(TEXT(A498, "mmm-yy"), TEXT([2]RUNS!$B$5:$B$208, "mmm-yy"), [2]RUNS!$BM$5:$BM$208, "Not Found")</f>
        <v>0.83735067598235813</v>
      </c>
    </row>
    <row r="499" spans="1:14" x14ac:dyDescent="0.25">
      <c r="A499" s="1">
        <f>'[1]Global_Spot Prices'!$B1808</f>
        <v>42702</v>
      </c>
      <c r="B499">
        <f>_xlfn.XLOOKUP(A499,'[1]Global_Spot Prices'!$B:$B,'[1]Global_Spot Prices'!$BS:$BS)</f>
        <v>12.164999999999999</v>
      </c>
      <c r="C499">
        <f>_xlfn.XLOOKUP(A499,'[1]Global_Spot Prices'!$B:$B,'[1]Global_Spot Prices'!$E:$E)</f>
        <v>43.905000000000001</v>
      </c>
      <c r="D499">
        <f>_xlfn.XLOOKUP(A499,'[1]Global_Spot Prices'!$B:$B,'[1]Global_Spot Prices'!$D:$D)</f>
        <v>47.59</v>
      </c>
      <c r="E499">
        <f>_xlfn.XLOOKUP(A499,'[1]Global_Spot Prices'!$B:$B,'[1]Global_Spot Prices'!$H:$H)</f>
        <v>45.8</v>
      </c>
      <c r="F499">
        <f>_xlfn.XLOOKUP(A499,'[1]Global_Spot Prices'!$B:$B,'[1]Global_Spot Prices'!$I:$I)</f>
        <v>56.07</v>
      </c>
      <c r="G499" cm="1">
        <f t="array" ref="G499">_xlfn.XLOOKUP(TEXT(A499, "mmm-yy"), TEXT([2]RUNS!$B$5:$B$208, "mmm-yy"), [2]RUNS!$D$5:$D$208, "Not Found")</f>
        <v>28300.192001378553</v>
      </c>
      <c r="H499" cm="1">
        <f t="array" ref="H499">SUMPRODUCT(
    --(TEXT('[3]Global Weekly Stock (EWSuez'!$B$4:$B$2000,"mmm-yy")=TEXT(A499,"mmm-yy")),
    '[3]Global Weekly Stock (EWSuez'!$E$4:$E$2000)
/
SUMPRODUCT(
    --(TEXT('[3]Global Weekly Stock (EWSuez'!$B$4:$B$2000,"mmm-yy")=TEXT(A499,"mmm-yy"))
)</f>
        <v>11810.75</v>
      </c>
      <c r="I499">
        <f>_xlfn.XLOOKUP(A499,[1]ForwardDeriv!$D:$D,[1]ForwardDeriv!$AJ:$AJ)</f>
        <v>0.30000000000000426</v>
      </c>
      <c r="J499" cm="1">
        <f t="array" ref="J499">_xlfn.XLOOKUP(TEXT(A499, "mmm-yy"), TEXT([2]GASOLINE!$B$5:$B$208, "mmm-yy"), [2]GASOLINE!$IR$5:$IR$208, "Not Found")</f>
        <v>-46.96892438523156</v>
      </c>
      <c r="K499" cm="1">
        <f t="array" ref="K499">_xlfn.XLOOKUP(TEXT(A499, "mmm-yy"), TEXT([2]GASOLINE!$B$5:$B$208, "mmm-yy"), [2]GASOLINE!$IK$5:$IK$208, "Not Found")</f>
        <v>0</v>
      </c>
      <c r="L499">
        <f t="shared" si="7"/>
        <v>0</v>
      </c>
      <c r="M499" cm="1">
        <f t="array" ref="M499">_xlfn.XLOOKUP(TEXT(A499, "mmm-yy"), TEXT([2]GASOLINE!$B$5:$B$208, "mmm-yy"), [2]GASOLINE!$C$5:$C$208, "Not Found")</f>
        <v>6783.4492816716265</v>
      </c>
      <c r="N499" cm="1">
        <f t="array" ref="N499">_xlfn.XLOOKUP(TEXT(A499, "mmm-yy"), TEXT([2]RUNS!$B$5:$B$208, "mmm-yy"), [2]RUNS!$BM$5:$BM$208, "Not Found")</f>
        <v>0.83735067598235813</v>
      </c>
    </row>
    <row r="500" spans="1:14" x14ac:dyDescent="0.25">
      <c r="A500" s="1">
        <f>'[1]Global_Spot Prices'!$B1809</f>
        <v>42703</v>
      </c>
      <c r="B500">
        <f>_xlfn.XLOOKUP(A500,'[1]Global_Spot Prices'!$B:$B,'[1]Global_Spot Prices'!$BS:$BS)</f>
        <v>12.75</v>
      </c>
      <c r="C500">
        <f>_xlfn.XLOOKUP(A500,'[1]Global_Spot Prices'!$B:$B,'[1]Global_Spot Prices'!$E:$E)</f>
        <v>44.71</v>
      </c>
      <c r="D500">
        <f>_xlfn.XLOOKUP(A500,'[1]Global_Spot Prices'!$B:$B,'[1]Global_Spot Prices'!$D:$D)</f>
        <v>45.784999999999997</v>
      </c>
      <c r="E500">
        <f>_xlfn.XLOOKUP(A500,'[1]Global_Spot Prices'!$B:$B,'[1]Global_Spot Prices'!$H:$H)</f>
        <v>47.02</v>
      </c>
      <c r="F500">
        <f>_xlfn.XLOOKUP(A500,'[1]Global_Spot Prices'!$B:$B,'[1]Global_Spot Prices'!$I:$I)</f>
        <v>57.46</v>
      </c>
      <c r="G500" cm="1">
        <f t="array" ref="G500">_xlfn.XLOOKUP(TEXT(A500, "mmm-yy"), TEXT([2]RUNS!$B$5:$B$208, "mmm-yy"), [2]RUNS!$D$5:$D$208, "Not Found")</f>
        <v>28300.192001378553</v>
      </c>
      <c r="H500" cm="1">
        <f t="array" ref="H500">SUMPRODUCT(
    --(TEXT('[3]Global Weekly Stock (EWSuez'!$B$4:$B$2000,"mmm-yy")=TEXT(A500,"mmm-yy")),
    '[3]Global Weekly Stock (EWSuez'!$E$4:$E$2000)
/
SUMPRODUCT(
    --(TEXT('[3]Global Weekly Stock (EWSuez'!$B$4:$B$2000,"mmm-yy")=TEXT(A500,"mmm-yy"))
)</f>
        <v>11810.75</v>
      </c>
      <c r="I500">
        <f>_xlfn.XLOOKUP(A500,[1]ForwardDeriv!$D:$D,[1]ForwardDeriv!$AJ:$AJ)</f>
        <v>0.25</v>
      </c>
      <c r="J500" cm="1">
        <f t="array" ref="J500">_xlfn.XLOOKUP(TEXT(A500, "mmm-yy"), TEXT([2]GASOLINE!$B$5:$B$208, "mmm-yy"), [2]GASOLINE!$IR$5:$IR$208, "Not Found")</f>
        <v>-46.96892438523156</v>
      </c>
      <c r="K500" cm="1">
        <f t="array" ref="K500">_xlfn.XLOOKUP(TEXT(A500, "mmm-yy"), TEXT([2]GASOLINE!$B$5:$B$208, "mmm-yy"), [2]GASOLINE!$IK$5:$IK$208, "Not Found")</f>
        <v>0</v>
      </c>
      <c r="L500">
        <f t="shared" si="7"/>
        <v>0</v>
      </c>
      <c r="M500" cm="1">
        <f t="array" ref="M500">_xlfn.XLOOKUP(TEXT(A500, "mmm-yy"), TEXT([2]GASOLINE!$B$5:$B$208, "mmm-yy"), [2]GASOLINE!$C$5:$C$208, "Not Found")</f>
        <v>6783.4492816716265</v>
      </c>
      <c r="N500" cm="1">
        <f t="array" ref="N500">_xlfn.XLOOKUP(TEXT(A500, "mmm-yy"), TEXT([2]RUNS!$B$5:$B$208, "mmm-yy"), [2]RUNS!$BM$5:$BM$208, "Not Found")</f>
        <v>0.83735067598235813</v>
      </c>
    </row>
    <row r="501" spans="1:14" x14ac:dyDescent="0.25">
      <c r="A501" s="1">
        <f>'[1]Global_Spot Prices'!$B1810</f>
        <v>42704</v>
      </c>
      <c r="B501">
        <f>_xlfn.XLOOKUP(A501,'[1]Global_Spot Prices'!$B:$B,'[1]Global_Spot Prices'!$BS:$BS)</f>
        <v>12.299999999999997</v>
      </c>
      <c r="C501">
        <f>_xlfn.XLOOKUP(A501,'[1]Global_Spot Prices'!$B:$B,'[1]Global_Spot Prices'!$E:$E)</f>
        <v>44.1</v>
      </c>
      <c r="D501">
        <f>_xlfn.XLOOKUP(A501,'[1]Global_Spot Prices'!$B:$B,'[1]Global_Spot Prices'!$D:$D)</f>
        <v>49.08</v>
      </c>
      <c r="E501">
        <f>_xlfn.XLOOKUP(A501,'[1]Global_Spot Prices'!$B:$B,'[1]Global_Spot Prices'!$H:$H)</f>
        <v>46.74</v>
      </c>
      <c r="F501">
        <f>_xlfn.XLOOKUP(A501,'[1]Global_Spot Prices'!$B:$B,'[1]Global_Spot Prices'!$I:$I)</f>
        <v>56.4</v>
      </c>
      <c r="G501" cm="1">
        <f t="array" ref="G501">_xlfn.XLOOKUP(TEXT(A501, "mmm-yy"), TEXT([2]RUNS!$B$5:$B$208, "mmm-yy"), [2]RUNS!$D$5:$D$208, "Not Found")</f>
        <v>28300.192001378553</v>
      </c>
      <c r="H501" cm="1">
        <f t="array" ref="H501">SUMPRODUCT(
    --(TEXT('[3]Global Weekly Stock (EWSuez'!$B$4:$B$2000,"mmm-yy")=TEXT(A501,"mmm-yy")),
    '[3]Global Weekly Stock (EWSuez'!$E$4:$E$2000)
/
SUMPRODUCT(
    --(TEXT('[3]Global Weekly Stock (EWSuez'!$B$4:$B$2000,"mmm-yy")=TEXT(A501,"mmm-yy"))
)</f>
        <v>11810.75</v>
      </c>
      <c r="I501">
        <f>_xlfn.XLOOKUP(A501,[1]ForwardDeriv!$D:$D,[1]ForwardDeriv!$AJ:$AJ)</f>
        <v>0.20000000000000284</v>
      </c>
      <c r="J501" cm="1">
        <f t="array" ref="J501">_xlfn.XLOOKUP(TEXT(A501, "mmm-yy"), TEXT([2]GASOLINE!$B$5:$B$208, "mmm-yy"), [2]GASOLINE!$IR$5:$IR$208, "Not Found")</f>
        <v>-46.96892438523156</v>
      </c>
      <c r="K501" cm="1">
        <f t="array" ref="K501">_xlfn.XLOOKUP(TEXT(A501, "mmm-yy"), TEXT([2]GASOLINE!$B$5:$B$208, "mmm-yy"), [2]GASOLINE!$IK$5:$IK$208, "Not Found")</f>
        <v>0</v>
      </c>
      <c r="L501">
        <f t="shared" si="7"/>
        <v>0</v>
      </c>
      <c r="M501" cm="1">
        <f t="array" ref="M501">_xlfn.XLOOKUP(TEXT(A501, "mmm-yy"), TEXT([2]GASOLINE!$B$5:$B$208, "mmm-yy"), [2]GASOLINE!$C$5:$C$208, "Not Found")</f>
        <v>6783.4492816716265</v>
      </c>
      <c r="N501" cm="1">
        <f t="array" ref="N501">_xlfn.XLOOKUP(TEXT(A501, "mmm-yy"), TEXT([2]RUNS!$B$5:$B$208, "mmm-yy"), [2]RUNS!$BM$5:$BM$208, "Not Found")</f>
        <v>0.83735067598235813</v>
      </c>
    </row>
    <row r="502" spans="1:14" x14ac:dyDescent="0.25">
      <c r="A502" s="1">
        <f>'[1]Global_Spot Prices'!$B1811</f>
        <v>42705</v>
      </c>
      <c r="B502">
        <f>_xlfn.XLOOKUP(A502,'[1]Global_Spot Prices'!$B:$B,'[1]Global_Spot Prices'!$BS:$BS)</f>
        <v>10.93</v>
      </c>
      <c r="C502">
        <f>_xlfn.XLOOKUP(A502,'[1]Global_Spot Prices'!$B:$B,'[1]Global_Spot Prices'!$E:$E)</f>
        <v>49.06</v>
      </c>
      <c r="D502">
        <f>_xlfn.XLOOKUP(A502,'[1]Global_Spot Prices'!$B:$B,'[1]Global_Spot Prices'!$D:$D)</f>
        <v>52.435000000000002</v>
      </c>
      <c r="E502">
        <f>_xlfn.XLOOKUP(A502,'[1]Global_Spot Prices'!$B:$B,'[1]Global_Spot Prices'!$H:$H)</f>
        <v>49.56</v>
      </c>
      <c r="F502">
        <f>_xlfn.XLOOKUP(A502,'[1]Global_Spot Prices'!$B:$B,'[1]Global_Spot Prices'!$I:$I)</f>
        <v>59.99</v>
      </c>
      <c r="G502" cm="1">
        <f t="array" ref="G502">_xlfn.XLOOKUP(TEXT(A502, "mmm-yy"), TEXT([2]RUNS!$B$5:$B$208, "mmm-yy"), [2]RUNS!$D$5:$D$208, "Not Found")</f>
        <v>29074.8224306343</v>
      </c>
      <c r="H502" cm="1">
        <f t="array" ref="H502">SUMPRODUCT(
    --(TEXT('[3]Global Weekly Stock (EWSuez'!$B$4:$B$2000,"mmm-yy")=TEXT(A502,"mmm-yy")),
    '[3]Global Weekly Stock (EWSuez'!$E$4:$E$2000)
/
SUMPRODUCT(
    --(TEXT('[3]Global Weekly Stock (EWSuez'!$B$4:$B$2000,"mmm-yy")=TEXT(A502,"mmm-yy"))
)</f>
        <v>12151</v>
      </c>
      <c r="I502">
        <f>_xlfn.XLOOKUP(A502,[1]ForwardDeriv!$D:$D,[1]ForwardDeriv!$AJ:$AJ)</f>
        <v>-0.48000000000000398</v>
      </c>
      <c r="J502" cm="1">
        <f t="array" ref="J502">_xlfn.XLOOKUP(TEXT(A502, "mmm-yy"), TEXT([2]GASOLINE!$B$5:$B$208, "mmm-yy"), [2]GASOLINE!$IR$5:$IR$208, "Not Found")</f>
        <v>118.30112393179644</v>
      </c>
      <c r="K502" cm="1">
        <f t="array" ref="K502">_xlfn.XLOOKUP(TEXT(A502, "mmm-yy"), TEXT([2]GASOLINE!$B$5:$B$208, "mmm-yy"), [2]GASOLINE!$IK$5:$IK$208, "Not Found")</f>
        <v>0</v>
      </c>
      <c r="L502">
        <f t="shared" si="7"/>
        <v>0</v>
      </c>
      <c r="M502" cm="1">
        <f t="array" ref="M502">_xlfn.XLOOKUP(TEXT(A502, "mmm-yy"), TEXT([2]GASOLINE!$B$5:$B$208, "mmm-yy"), [2]GASOLINE!$C$5:$C$208, "Not Found")</f>
        <v>6819.5693838555808</v>
      </c>
      <c r="N502" cm="1">
        <f t="array" ref="N502">_xlfn.XLOOKUP(TEXT(A502, "mmm-yy"), TEXT([2]RUNS!$B$5:$B$208, "mmm-yy"), [2]RUNS!$BM$5:$BM$208, "Not Found")</f>
        <v>0.86027056689837056</v>
      </c>
    </row>
    <row r="503" spans="1:14" x14ac:dyDescent="0.25">
      <c r="A503" s="1">
        <f>'[1]Global_Spot Prices'!$B1812</f>
        <v>42706</v>
      </c>
      <c r="B503">
        <f>_xlfn.XLOOKUP(A503,'[1]Global_Spot Prices'!$B:$B,'[1]Global_Spot Prices'!$BS:$BS)</f>
        <v>11.54</v>
      </c>
      <c r="C503">
        <f>_xlfn.XLOOKUP(A503,'[1]Global_Spot Prices'!$B:$B,'[1]Global_Spot Prices'!$E:$E)</f>
        <v>50.65</v>
      </c>
      <c r="D503">
        <f>_xlfn.XLOOKUP(A503,'[1]Global_Spot Prices'!$B:$B,'[1]Global_Spot Prices'!$D:$D)</f>
        <v>52.52</v>
      </c>
      <c r="E503">
        <f>_xlfn.XLOOKUP(A503,'[1]Global_Spot Prices'!$B:$B,'[1]Global_Spot Prices'!$H:$H)</f>
        <v>50.33</v>
      </c>
      <c r="F503">
        <f>_xlfn.XLOOKUP(A503,'[1]Global_Spot Prices'!$B:$B,'[1]Global_Spot Prices'!$I:$I)</f>
        <v>62.19</v>
      </c>
      <c r="G503" cm="1">
        <f t="array" ref="G503">_xlfn.XLOOKUP(TEXT(A503, "mmm-yy"), TEXT([2]RUNS!$B$5:$B$208, "mmm-yy"), [2]RUNS!$D$5:$D$208, "Not Found")</f>
        <v>29074.8224306343</v>
      </c>
      <c r="H503" cm="1">
        <f t="array" ref="H503">SUMPRODUCT(
    --(TEXT('[3]Global Weekly Stock (EWSuez'!$B$4:$B$2000,"mmm-yy")=TEXT(A503,"mmm-yy")),
    '[3]Global Weekly Stock (EWSuez'!$E$4:$E$2000)
/
SUMPRODUCT(
    --(TEXT('[3]Global Weekly Stock (EWSuez'!$B$4:$B$2000,"mmm-yy")=TEXT(A503,"mmm-yy"))
)</f>
        <v>12151</v>
      </c>
      <c r="I503">
        <f>_xlfn.XLOOKUP(A503,[1]ForwardDeriv!$D:$D,[1]ForwardDeriv!$AJ:$AJ)</f>
        <v>-0.43999999999999773</v>
      </c>
      <c r="J503" cm="1">
        <f t="array" ref="J503">_xlfn.XLOOKUP(TEXT(A503, "mmm-yy"), TEXT([2]GASOLINE!$B$5:$B$208, "mmm-yy"), [2]GASOLINE!$IR$5:$IR$208, "Not Found")</f>
        <v>118.30112393179644</v>
      </c>
      <c r="K503" cm="1">
        <f t="array" ref="K503">_xlfn.XLOOKUP(TEXT(A503, "mmm-yy"), TEXT([2]GASOLINE!$B$5:$B$208, "mmm-yy"), [2]GASOLINE!$IK$5:$IK$208, "Not Found")</f>
        <v>0</v>
      </c>
      <c r="L503">
        <f t="shared" si="7"/>
        <v>0</v>
      </c>
      <c r="M503" cm="1">
        <f t="array" ref="M503">_xlfn.XLOOKUP(TEXT(A503, "mmm-yy"), TEXT([2]GASOLINE!$B$5:$B$208, "mmm-yy"), [2]GASOLINE!$C$5:$C$208, "Not Found")</f>
        <v>6819.5693838555808</v>
      </c>
      <c r="N503" cm="1">
        <f t="array" ref="N503">_xlfn.XLOOKUP(TEXT(A503, "mmm-yy"), TEXT([2]RUNS!$B$5:$B$208, "mmm-yy"), [2]RUNS!$BM$5:$BM$208, "Not Found")</f>
        <v>0.86027056689837056</v>
      </c>
    </row>
    <row r="504" spans="1:14" x14ac:dyDescent="0.25">
      <c r="A504" s="1">
        <f>'[1]Global_Spot Prices'!$B1813</f>
        <v>42709</v>
      </c>
      <c r="B504">
        <f>_xlfn.XLOOKUP(A504,'[1]Global_Spot Prices'!$B:$B,'[1]Global_Spot Prices'!$BS:$BS)</f>
        <v>11.449999999999996</v>
      </c>
      <c r="C504">
        <f>_xlfn.XLOOKUP(A504,'[1]Global_Spot Prices'!$B:$B,'[1]Global_Spot Prices'!$E:$E)</f>
        <v>51.7</v>
      </c>
      <c r="D504">
        <f>_xlfn.XLOOKUP(A504,'[1]Global_Spot Prices'!$B:$B,'[1]Global_Spot Prices'!$D:$D)</f>
        <v>53.445</v>
      </c>
      <c r="E504">
        <f>_xlfn.XLOOKUP(A504,'[1]Global_Spot Prices'!$B:$B,'[1]Global_Spot Prices'!$H:$H)</f>
        <v>50.86</v>
      </c>
      <c r="F504">
        <f>_xlfn.XLOOKUP(A504,'[1]Global_Spot Prices'!$B:$B,'[1]Global_Spot Prices'!$I:$I)</f>
        <v>63.15</v>
      </c>
      <c r="G504" cm="1">
        <f t="array" ref="G504">_xlfn.XLOOKUP(TEXT(A504, "mmm-yy"), TEXT([2]RUNS!$B$5:$B$208, "mmm-yy"), [2]RUNS!$D$5:$D$208, "Not Found")</f>
        <v>29074.8224306343</v>
      </c>
      <c r="H504" cm="1">
        <f t="array" ref="H504">SUMPRODUCT(
    --(TEXT('[3]Global Weekly Stock (EWSuez'!$B$4:$B$2000,"mmm-yy")=TEXT(A504,"mmm-yy")),
    '[3]Global Weekly Stock (EWSuez'!$E$4:$E$2000)
/
SUMPRODUCT(
    --(TEXT('[3]Global Weekly Stock (EWSuez'!$B$4:$B$2000,"mmm-yy")=TEXT(A504,"mmm-yy"))
)</f>
        <v>12151</v>
      </c>
      <c r="I504">
        <f>_xlfn.XLOOKUP(A504,[1]ForwardDeriv!$D:$D,[1]ForwardDeriv!$AJ:$AJ)</f>
        <v>-0.45000000000000284</v>
      </c>
      <c r="J504" cm="1">
        <f t="array" ref="J504">_xlfn.XLOOKUP(TEXT(A504, "mmm-yy"), TEXT([2]GASOLINE!$B$5:$B$208, "mmm-yy"), [2]GASOLINE!$IR$5:$IR$208, "Not Found")</f>
        <v>118.30112393179644</v>
      </c>
      <c r="K504" cm="1">
        <f t="array" ref="K504">_xlfn.XLOOKUP(TEXT(A504, "mmm-yy"), TEXT([2]GASOLINE!$B$5:$B$208, "mmm-yy"), [2]GASOLINE!$IK$5:$IK$208, "Not Found")</f>
        <v>0</v>
      </c>
      <c r="L504">
        <f t="shared" si="7"/>
        <v>0</v>
      </c>
      <c r="M504" cm="1">
        <f t="array" ref="M504">_xlfn.XLOOKUP(TEXT(A504, "mmm-yy"), TEXT([2]GASOLINE!$B$5:$B$208, "mmm-yy"), [2]GASOLINE!$C$5:$C$208, "Not Found")</f>
        <v>6819.5693838555808</v>
      </c>
      <c r="N504" cm="1">
        <f t="array" ref="N504">_xlfn.XLOOKUP(TEXT(A504, "mmm-yy"), TEXT([2]RUNS!$B$5:$B$208, "mmm-yy"), [2]RUNS!$BM$5:$BM$208, "Not Found")</f>
        <v>0.86027056689837056</v>
      </c>
    </row>
    <row r="505" spans="1:14" x14ac:dyDescent="0.25">
      <c r="A505" s="1">
        <f>'[1]Global_Spot Prices'!$B1814</f>
        <v>42710</v>
      </c>
      <c r="B505">
        <f>_xlfn.XLOOKUP(A505,'[1]Global_Spot Prices'!$B:$B,'[1]Global_Spot Prices'!$BS:$BS)</f>
        <v>11.579999999999998</v>
      </c>
      <c r="C505">
        <f>_xlfn.XLOOKUP(A505,'[1]Global_Spot Prices'!$B:$B,'[1]Global_Spot Prices'!$E:$E)</f>
        <v>51.7</v>
      </c>
      <c r="D505">
        <f>_xlfn.XLOOKUP(A505,'[1]Global_Spot Prices'!$B:$B,'[1]Global_Spot Prices'!$D:$D)</f>
        <v>52.38</v>
      </c>
      <c r="E505">
        <f>_xlfn.XLOOKUP(A505,'[1]Global_Spot Prices'!$B:$B,'[1]Global_Spot Prices'!$H:$H)</f>
        <v>50.19</v>
      </c>
      <c r="F505">
        <f>_xlfn.XLOOKUP(A505,'[1]Global_Spot Prices'!$B:$B,'[1]Global_Spot Prices'!$I:$I)</f>
        <v>63.28</v>
      </c>
      <c r="G505" cm="1">
        <f t="array" ref="G505">_xlfn.XLOOKUP(TEXT(A505, "mmm-yy"), TEXT([2]RUNS!$B$5:$B$208, "mmm-yy"), [2]RUNS!$D$5:$D$208, "Not Found")</f>
        <v>29074.8224306343</v>
      </c>
      <c r="H505" cm="1">
        <f t="array" ref="H505">SUMPRODUCT(
    --(TEXT('[3]Global Weekly Stock (EWSuez'!$B$4:$B$2000,"mmm-yy")=TEXT(A505,"mmm-yy")),
    '[3]Global Weekly Stock (EWSuez'!$E$4:$E$2000)
/
SUMPRODUCT(
    --(TEXT('[3]Global Weekly Stock (EWSuez'!$B$4:$B$2000,"mmm-yy")=TEXT(A505,"mmm-yy"))
)</f>
        <v>12151</v>
      </c>
      <c r="I505">
        <f>_xlfn.XLOOKUP(A505,[1]ForwardDeriv!$D:$D,[1]ForwardDeriv!$AJ:$AJ)</f>
        <v>-0.46000000000000085</v>
      </c>
      <c r="J505" cm="1">
        <f t="array" ref="J505">_xlfn.XLOOKUP(TEXT(A505, "mmm-yy"), TEXT([2]GASOLINE!$B$5:$B$208, "mmm-yy"), [2]GASOLINE!$IR$5:$IR$208, "Not Found")</f>
        <v>118.30112393179644</v>
      </c>
      <c r="K505" cm="1">
        <f t="array" ref="K505">_xlfn.XLOOKUP(TEXT(A505, "mmm-yy"), TEXT([2]GASOLINE!$B$5:$B$208, "mmm-yy"), [2]GASOLINE!$IK$5:$IK$208, "Not Found")</f>
        <v>0</v>
      </c>
      <c r="L505">
        <f t="shared" si="7"/>
        <v>0</v>
      </c>
      <c r="M505" cm="1">
        <f t="array" ref="M505">_xlfn.XLOOKUP(TEXT(A505, "mmm-yy"), TEXT([2]GASOLINE!$B$5:$B$208, "mmm-yy"), [2]GASOLINE!$C$5:$C$208, "Not Found")</f>
        <v>6819.5693838555808</v>
      </c>
      <c r="N505" cm="1">
        <f t="array" ref="N505">_xlfn.XLOOKUP(TEXT(A505, "mmm-yy"), TEXT([2]RUNS!$B$5:$B$208, "mmm-yy"), [2]RUNS!$BM$5:$BM$208, "Not Found")</f>
        <v>0.86027056689837056</v>
      </c>
    </row>
    <row r="506" spans="1:14" x14ac:dyDescent="0.25">
      <c r="A506" s="1">
        <f>'[1]Global_Spot Prices'!$B1815</f>
        <v>42711</v>
      </c>
      <c r="B506">
        <f>_xlfn.XLOOKUP(A506,'[1]Global_Spot Prices'!$B:$B,'[1]Global_Spot Prices'!$BS:$BS)</f>
        <v>11.669999999999995</v>
      </c>
      <c r="C506">
        <f>_xlfn.XLOOKUP(A506,'[1]Global_Spot Prices'!$B:$B,'[1]Global_Spot Prices'!$E:$E)</f>
        <v>50.81</v>
      </c>
      <c r="D506">
        <f>_xlfn.XLOOKUP(A506,'[1]Global_Spot Prices'!$B:$B,'[1]Global_Spot Prices'!$D:$D)</f>
        <v>51.905000000000001</v>
      </c>
      <c r="E506">
        <f>_xlfn.XLOOKUP(A506,'[1]Global_Spot Prices'!$B:$B,'[1]Global_Spot Prices'!$H:$H)</f>
        <v>49.55</v>
      </c>
      <c r="F506">
        <f>_xlfn.XLOOKUP(A506,'[1]Global_Spot Prices'!$B:$B,'[1]Global_Spot Prices'!$I:$I)</f>
        <v>62.48</v>
      </c>
      <c r="G506" cm="1">
        <f t="array" ref="G506">_xlfn.XLOOKUP(TEXT(A506, "mmm-yy"), TEXT([2]RUNS!$B$5:$B$208, "mmm-yy"), [2]RUNS!$D$5:$D$208, "Not Found")</f>
        <v>29074.8224306343</v>
      </c>
      <c r="H506" cm="1">
        <f t="array" ref="H506">SUMPRODUCT(
    --(TEXT('[3]Global Weekly Stock (EWSuez'!$B$4:$B$2000,"mmm-yy")=TEXT(A506,"mmm-yy")),
    '[3]Global Weekly Stock (EWSuez'!$E$4:$E$2000)
/
SUMPRODUCT(
    --(TEXT('[3]Global Weekly Stock (EWSuez'!$B$4:$B$2000,"mmm-yy")=TEXT(A506,"mmm-yy"))
)</f>
        <v>12151</v>
      </c>
      <c r="I506">
        <f>_xlfn.XLOOKUP(A506,[1]ForwardDeriv!$D:$D,[1]ForwardDeriv!$AJ:$AJ)</f>
        <v>-0.46000000000000085</v>
      </c>
      <c r="J506" cm="1">
        <f t="array" ref="J506">_xlfn.XLOOKUP(TEXT(A506, "mmm-yy"), TEXT([2]GASOLINE!$B$5:$B$208, "mmm-yy"), [2]GASOLINE!$IR$5:$IR$208, "Not Found")</f>
        <v>118.30112393179644</v>
      </c>
      <c r="K506" cm="1">
        <f t="array" ref="K506">_xlfn.XLOOKUP(TEXT(A506, "mmm-yy"), TEXT([2]GASOLINE!$B$5:$B$208, "mmm-yy"), [2]GASOLINE!$IK$5:$IK$208, "Not Found")</f>
        <v>0</v>
      </c>
      <c r="L506">
        <f t="shared" si="7"/>
        <v>0</v>
      </c>
      <c r="M506" cm="1">
        <f t="array" ref="M506">_xlfn.XLOOKUP(TEXT(A506, "mmm-yy"), TEXT([2]GASOLINE!$B$5:$B$208, "mmm-yy"), [2]GASOLINE!$C$5:$C$208, "Not Found")</f>
        <v>6819.5693838555808</v>
      </c>
      <c r="N506" cm="1">
        <f t="array" ref="N506">_xlfn.XLOOKUP(TEXT(A506, "mmm-yy"), TEXT([2]RUNS!$B$5:$B$208, "mmm-yy"), [2]RUNS!$BM$5:$BM$208, "Not Found")</f>
        <v>0.86027056689837056</v>
      </c>
    </row>
    <row r="507" spans="1:14" x14ac:dyDescent="0.25">
      <c r="A507" s="1">
        <f>'[1]Global_Spot Prices'!$B1816</f>
        <v>42712</v>
      </c>
      <c r="B507">
        <f>_xlfn.XLOOKUP(A507,'[1]Global_Spot Prices'!$B:$B,'[1]Global_Spot Prices'!$BS:$BS)</f>
        <v>11.695</v>
      </c>
      <c r="C507">
        <f>_xlfn.XLOOKUP(A507,'[1]Global_Spot Prices'!$B:$B,'[1]Global_Spot Prices'!$E:$E)</f>
        <v>50.305</v>
      </c>
      <c r="D507">
        <f>_xlfn.XLOOKUP(A507,'[1]Global_Spot Prices'!$B:$B,'[1]Global_Spot Prices'!$D:$D)</f>
        <v>51.95</v>
      </c>
      <c r="E507">
        <f>_xlfn.XLOOKUP(A507,'[1]Global_Spot Prices'!$B:$B,'[1]Global_Spot Prices'!$H:$H)</f>
        <v>49.19</v>
      </c>
      <c r="F507">
        <f>_xlfn.XLOOKUP(A507,'[1]Global_Spot Prices'!$B:$B,'[1]Global_Spot Prices'!$I:$I)</f>
        <v>62</v>
      </c>
      <c r="G507" cm="1">
        <f t="array" ref="G507">_xlfn.XLOOKUP(TEXT(A507, "mmm-yy"), TEXT([2]RUNS!$B$5:$B$208, "mmm-yy"), [2]RUNS!$D$5:$D$208, "Not Found")</f>
        <v>29074.8224306343</v>
      </c>
      <c r="H507" cm="1">
        <f t="array" ref="H507">SUMPRODUCT(
    --(TEXT('[3]Global Weekly Stock (EWSuez'!$B$4:$B$2000,"mmm-yy")=TEXT(A507,"mmm-yy")),
    '[3]Global Weekly Stock (EWSuez'!$E$4:$E$2000)
/
SUMPRODUCT(
    --(TEXT('[3]Global Weekly Stock (EWSuez'!$B$4:$B$2000,"mmm-yy")=TEXT(A507,"mmm-yy"))
)</f>
        <v>12151</v>
      </c>
      <c r="I507">
        <f>_xlfn.XLOOKUP(A507,[1]ForwardDeriv!$D:$D,[1]ForwardDeriv!$AJ:$AJ)</f>
        <v>-0.45000000000000284</v>
      </c>
      <c r="J507" cm="1">
        <f t="array" ref="J507">_xlfn.XLOOKUP(TEXT(A507, "mmm-yy"), TEXT([2]GASOLINE!$B$5:$B$208, "mmm-yy"), [2]GASOLINE!$IR$5:$IR$208, "Not Found")</f>
        <v>118.30112393179644</v>
      </c>
      <c r="K507" cm="1">
        <f t="array" ref="K507">_xlfn.XLOOKUP(TEXT(A507, "mmm-yy"), TEXT([2]GASOLINE!$B$5:$B$208, "mmm-yy"), [2]GASOLINE!$IK$5:$IK$208, "Not Found")</f>
        <v>0</v>
      </c>
      <c r="L507">
        <f t="shared" si="7"/>
        <v>0</v>
      </c>
      <c r="M507" cm="1">
        <f t="array" ref="M507">_xlfn.XLOOKUP(TEXT(A507, "mmm-yy"), TEXT([2]GASOLINE!$B$5:$B$208, "mmm-yy"), [2]GASOLINE!$C$5:$C$208, "Not Found")</f>
        <v>6819.5693838555808</v>
      </c>
      <c r="N507" cm="1">
        <f t="array" ref="N507">_xlfn.XLOOKUP(TEXT(A507, "mmm-yy"), TEXT([2]RUNS!$B$5:$B$208, "mmm-yy"), [2]RUNS!$BM$5:$BM$208, "Not Found")</f>
        <v>0.86027056689837056</v>
      </c>
    </row>
    <row r="508" spans="1:14" x14ac:dyDescent="0.25">
      <c r="A508" s="1">
        <f>'[1]Global_Spot Prices'!$B1817</f>
        <v>42713</v>
      </c>
      <c r="B508">
        <f>_xlfn.XLOOKUP(A508,'[1]Global_Spot Prices'!$B:$B,'[1]Global_Spot Prices'!$BS:$BS)</f>
        <v>11.590000000000003</v>
      </c>
      <c r="C508">
        <f>_xlfn.XLOOKUP(A508,'[1]Global_Spot Prices'!$B:$B,'[1]Global_Spot Prices'!$E:$E)</f>
        <v>51.41</v>
      </c>
      <c r="D508">
        <f>_xlfn.XLOOKUP(A508,'[1]Global_Spot Prices'!$B:$B,'[1]Global_Spot Prices'!$D:$D)</f>
        <v>52.44</v>
      </c>
      <c r="E508">
        <f>_xlfn.XLOOKUP(A508,'[1]Global_Spot Prices'!$B:$B,'[1]Global_Spot Prices'!$H:$H)</f>
        <v>49.8</v>
      </c>
      <c r="F508">
        <f>_xlfn.XLOOKUP(A508,'[1]Global_Spot Prices'!$B:$B,'[1]Global_Spot Prices'!$I:$I)</f>
        <v>63</v>
      </c>
      <c r="G508" cm="1">
        <f t="array" ref="G508">_xlfn.XLOOKUP(TEXT(A508, "mmm-yy"), TEXT([2]RUNS!$B$5:$B$208, "mmm-yy"), [2]RUNS!$D$5:$D$208, "Not Found")</f>
        <v>29074.8224306343</v>
      </c>
      <c r="H508" cm="1">
        <f t="array" ref="H508">SUMPRODUCT(
    --(TEXT('[3]Global Weekly Stock (EWSuez'!$B$4:$B$2000,"mmm-yy")=TEXT(A508,"mmm-yy")),
    '[3]Global Weekly Stock (EWSuez'!$E$4:$E$2000)
/
SUMPRODUCT(
    --(TEXT('[3]Global Weekly Stock (EWSuez'!$B$4:$B$2000,"mmm-yy")=TEXT(A508,"mmm-yy"))
)</f>
        <v>12151</v>
      </c>
      <c r="I508">
        <f>_xlfn.XLOOKUP(A508,[1]ForwardDeriv!$D:$D,[1]ForwardDeriv!$AJ:$AJ)</f>
        <v>-0.46999999999999886</v>
      </c>
      <c r="J508" cm="1">
        <f t="array" ref="J508">_xlfn.XLOOKUP(TEXT(A508, "mmm-yy"), TEXT([2]GASOLINE!$B$5:$B$208, "mmm-yy"), [2]GASOLINE!$IR$5:$IR$208, "Not Found")</f>
        <v>118.30112393179644</v>
      </c>
      <c r="K508" cm="1">
        <f t="array" ref="K508">_xlfn.XLOOKUP(TEXT(A508, "mmm-yy"), TEXT([2]GASOLINE!$B$5:$B$208, "mmm-yy"), [2]GASOLINE!$IK$5:$IK$208, "Not Found")</f>
        <v>0</v>
      </c>
      <c r="L508">
        <f t="shared" si="7"/>
        <v>0</v>
      </c>
      <c r="M508" cm="1">
        <f t="array" ref="M508">_xlfn.XLOOKUP(TEXT(A508, "mmm-yy"), TEXT([2]GASOLINE!$B$5:$B$208, "mmm-yy"), [2]GASOLINE!$C$5:$C$208, "Not Found")</f>
        <v>6819.5693838555808</v>
      </c>
      <c r="N508" cm="1">
        <f t="array" ref="N508">_xlfn.XLOOKUP(TEXT(A508, "mmm-yy"), TEXT([2]RUNS!$B$5:$B$208, "mmm-yy"), [2]RUNS!$BM$5:$BM$208, "Not Found")</f>
        <v>0.86027056689837056</v>
      </c>
    </row>
    <row r="509" spans="1:14" x14ac:dyDescent="0.25">
      <c r="A509" s="1">
        <f>'[1]Global_Spot Prices'!$B1818</f>
        <v>42716</v>
      </c>
      <c r="B509">
        <f>_xlfn.XLOOKUP(A509,'[1]Global_Spot Prices'!$B:$B,'[1]Global_Spot Prices'!$BS:$BS)</f>
        <v>10.985000000000007</v>
      </c>
      <c r="C509">
        <f>_xlfn.XLOOKUP(A509,'[1]Global_Spot Prices'!$B:$B,'[1]Global_Spot Prices'!$E:$E)</f>
        <v>54.195</v>
      </c>
      <c r="D509">
        <f>_xlfn.XLOOKUP(A509,'[1]Global_Spot Prices'!$B:$B,'[1]Global_Spot Prices'!$D:$D)</f>
        <v>54.274999999999999</v>
      </c>
      <c r="E509">
        <f>_xlfn.XLOOKUP(A509,'[1]Global_Spot Prices'!$B:$B,'[1]Global_Spot Prices'!$H:$H)</f>
        <v>51.86</v>
      </c>
      <c r="F509">
        <f>_xlfn.XLOOKUP(A509,'[1]Global_Spot Prices'!$B:$B,'[1]Global_Spot Prices'!$I:$I)</f>
        <v>65.180000000000007</v>
      </c>
      <c r="G509" cm="1">
        <f t="array" ref="G509">_xlfn.XLOOKUP(TEXT(A509, "mmm-yy"), TEXT([2]RUNS!$B$5:$B$208, "mmm-yy"), [2]RUNS!$D$5:$D$208, "Not Found")</f>
        <v>29074.8224306343</v>
      </c>
      <c r="H509" cm="1">
        <f t="array" ref="H509">SUMPRODUCT(
    --(TEXT('[3]Global Weekly Stock (EWSuez'!$B$4:$B$2000,"mmm-yy")=TEXT(A509,"mmm-yy")),
    '[3]Global Weekly Stock (EWSuez'!$E$4:$E$2000)
/
SUMPRODUCT(
    --(TEXT('[3]Global Weekly Stock (EWSuez'!$B$4:$B$2000,"mmm-yy")=TEXT(A509,"mmm-yy"))
)</f>
        <v>12151</v>
      </c>
      <c r="I509">
        <f>_xlfn.XLOOKUP(A509,[1]ForwardDeriv!$D:$D,[1]ForwardDeriv!$AJ:$AJ)</f>
        <v>-0.44999999999998863</v>
      </c>
      <c r="J509" cm="1">
        <f t="array" ref="J509">_xlfn.XLOOKUP(TEXT(A509, "mmm-yy"), TEXT([2]GASOLINE!$B$5:$B$208, "mmm-yy"), [2]GASOLINE!$IR$5:$IR$208, "Not Found")</f>
        <v>118.30112393179644</v>
      </c>
      <c r="K509" cm="1">
        <f t="array" ref="K509">_xlfn.XLOOKUP(TEXT(A509, "mmm-yy"), TEXT([2]GASOLINE!$B$5:$B$208, "mmm-yy"), [2]GASOLINE!$IK$5:$IK$208, "Not Found")</f>
        <v>0</v>
      </c>
      <c r="L509">
        <f t="shared" si="7"/>
        <v>0</v>
      </c>
      <c r="M509" cm="1">
        <f t="array" ref="M509">_xlfn.XLOOKUP(TEXT(A509, "mmm-yy"), TEXT([2]GASOLINE!$B$5:$B$208, "mmm-yy"), [2]GASOLINE!$C$5:$C$208, "Not Found")</f>
        <v>6819.5693838555808</v>
      </c>
      <c r="N509" cm="1">
        <f t="array" ref="N509">_xlfn.XLOOKUP(TEXT(A509, "mmm-yy"), TEXT([2]RUNS!$B$5:$B$208, "mmm-yy"), [2]RUNS!$BM$5:$BM$208, "Not Found")</f>
        <v>0.86027056689837056</v>
      </c>
    </row>
    <row r="510" spans="1:14" x14ac:dyDescent="0.25">
      <c r="A510" s="1">
        <f>'[1]Global_Spot Prices'!$B1819</f>
        <v>42717</v>
      </c>
      <c r="B510">
        <f>_xlfn.XLOOKUP(A510,'[1]Global_Spot Prices'!$B:$B,'[1]Global_Spot Prices'!$BS:$BS)</f>
        <v>11.040000000000006</v>
      </c>
      <c r="C510">
        <f>_xlfn.XLOOKUP(A510,'[1]Global_Spot Prices'!$B:$B,'[1]Global_Spot Prices'!$E:$E)</f>
        <v>52.8</v>
      </c>
      <c r="D510">
        <f>_xlfn.XLOOKUP(A510,'[1]Global_Spot Prices'!$B:$B,'[1]Global_Spot Prices'!$D:$D)</f>
        <v>54.08</v>
      </c>
      <c r="E510">
        <f>_xlfn.XLOOKUP(A510,'[1]Global_Spot Prices'!$B:$B,'[1]Global_Spot Prices'!$H:$H)</f>
        <v>50.66</v>
      </c>
      <c r="F510">
        <f>_xlfn.XLOOKUP(A510,'[1]Global_Spot Prices'!$B:$B,'[1]Global_Spot Prices'!$I:$I)</f>
        <v>63.84</v>
      </c>
      <c r="G510" cm="1">
        <f t="array" ref="G510">_xlfn.XLOOKUP(TEXT(A510, "mmm-yy"), TEXT([2]RUNS!$B$5:$B$208, "mmm-yy"), [2]RUNS!$D$5:$D$208, "Not Found")</f>
        <v>29074.8224306343</v>
      </c>
      <c r="H510" cm="1">
        <f t="array" ref="H510">SUMPRODUCT(
    --(TEXT('[3]Global Weekly Stock (EWSuez'!$B$4:$B$2000,"mmm-yy")=TEXT(A510,"mmm-yy")),
    '[3]Global Weekly Stock (EWSuez'!$E$4:$E$2000)
/
SUMPRODUCT(
    --(TEXT('[3]Global Weekly Stock (EWSuez'!$B$4:$B$2000,"mmm-yy")=TEXT(A510,"mmm-yy"))
)</f>
        <v>12151</v>
      </c>
      <c r="I510">
        <f>_xlfn.XLOOKUP(A510,[1]ForwardDeriv!$D:$D,[1]ForwardDeriv!$AJ:$AJ)</f>
        <v>-0.42999999999999972</v>
      </c>
      <c r="J510" cm="1">
        <f t="array" ref="J510">_xlfn.XLOOKUP(TEXT(A510, "mmm-yy"), TEXT([2]GASOLINE!$B$5:$B$208, "mmm-yy"), [2]GASOLINE!$IR$5:$IR$208, "Not Found")</f>
        <v>118.30112393179644</v>
      </c>
      <c r="K510" cm="1">
        <f t="array" ref="K510">_xlfn.XLOOKUP(TEXT(A510, "mmm-yy"), TEXT([2]GASOLINE!$B$5:$B$208, "mmm-yy"), [2]GASOLINE!$IK$5:$IK$208, "Not Found")</f>
        <v>0</v>
      </c>
      <c r="L510">
        <f t="shared" si="7"/>
        <v>0</v>
      </c>
      <c r="M510" cm="1">
        <f t="array" ref="M510">_xlfn.XLOOKUP(TEXT(A510, "mmm-yy"), TEXT([2]GASOLINE!$B$5:$B$208, "mmm-yy"), [2]GASOLINE!$C$5:$C$208, "Not Found")</f>
        <v>6819.5693838555808</v>
      </c>
      <c r="N510" cm="1">
        <f t="array" ref="N510">_xlfn.XLOOKUP(TEXT(A510, "mmm-yy"), TEXT([2]RUNS!$B$5:$B$208, "mmm-yy"), [2]RUNS!$BM$5:$BM$208, "Not Found")</f>
        <v>0.86027056689837056</v>
      </c>
    </row>
    <row r="511" spans="1:14" x14ac:dyDescent="0.25">
      <c r="A511" s="1">
        <f>'[1]Global_Spot Prices'!$B1820</f>
        <v>42718</v>
      </c>
      <c r="B511">
        <f>_xlfn.XLOOKUP(A511,'[1]Global_Spot Prices'!$B:$B,'[1]Global_Spot Prices'!$BS:$BS)</f>
        <v>11.099999999999994</v>
      </c>
      <c r="C511">
        <f>_xlfn.XLOOKUP(A511,'[1]Global_Spot Prices'!$B:$B,'[1]Global_Spot Prices'!$E:$E)</f>
        <v>52.59</v>
      </c>
      <c r="D511">
        <f>_xlfn.XLOOKUP(A511,'[1]Global_Spot Prices'!$B:$B,'[1]Global_Spot Prices'!$D:$D)</f>
        <v>53.645000000000003</v>
      </c>
      <c r="E511">
        <f>_xlfn.XLOOKUP(A511,'[1]Global_Spot Prices'!$B:$B,'[1]Global_Spot Prices'!$H:$H)</f>
        <v>50.82</v>
      </c>
      <c r="F511">
        <f>_xlfn.XLOOKUP(A511,'[1]Global_Spot Prices'!$B:$B,'[1]Global_Spot Prices'!$I:$I)</f>
        <v>63.69</v>
      </c>
      <c r="G511" cm="1">
        <f t="array" ref="G511">_xlfn.XLOOKUP(TEXT(A511, "mmm-yy"), TEXT([2]RUNS!$B$5:$B$208, "mmm-yy"), [2]RUNS!$D$5:$D$208, "Not Found")</f>
        <v>29074.8224306343</v>
      </c>
      <c r="H511" cm="1">
        <f t="array" ref="H511">SUMPRODUCT(
    --(TEXT('[3]Global Weekly Stock (EWSuez'!$B$4:$B$2000,"mmm-yy")=TEXT(A511,"mmm-yy")),
    '[3]Global Weekly Stock (EWSuez'!$E$4:$E$2000)
/
SUMPRODUCT(
    --(TEXT('[3]Global Weekly Stock (EWSuez'!$B$4:$B$2000,"mmm-yy")=TEXT(A511,"mmm-yy"))
)</f>
        <v>12151</v>
      </c>
      <c r="I511">
        <f>_xlfn.XLOOKUP(A511,[1]ForwardDeriv!$D:$D,[1]ForwardDeriv!$AJ:$AJ)</f>
        <v>-0.39999999999999858</v>
      </c>
      <c r="J511" cm="1">
        <f t="array" ref="J511">_xlfn.XLOOKUP(TEXT(A511, "mmm-yy"), TEXT([2]GASOLINE!$B$5:$B$208, "mmm-yy"), [2]GASOLINE!$IR$5:$IR$208, "Not Found")</f>
        <v>118.30112393179644</v>
      </c>
      <c r="K511" cm="1">
        <f t="array" ref="K511">_xlfn.XLOOKUP(TEXT(A511, "mmm-yy"), TEXT([2]GASOLINE!$B$5:$B$208, "mmm-yy"), [2]GASOLINE!$IK$5:$IK$208, "Not Found")</f>
        <v>0</v>
      </c>
      <c r="L511">
        <f t="shared" si="7"/>
        <v>0</v>
      </c>
      <c r="M511" cm="1">
        <f t="array" ref="M511">_xlfn.XLOOKUP(TEXT(A511, "mmm-yy"), TEXT([2]GASOLINE!$B$5:$B$208, "mmm-yy"), [2]GASOLINE!$C$5:$C$208, "Not Found")</f>
        <v>6819.5693838555808</v>
      </c>
      <c r="N511" cm="1">
        <f t="array" ref="N511">_xlfn.XLOOKUP(TEXT(A511, "mmm-yy"), TEXT([2]RUNS!$B$5:$B$208, "mmm-yy"), [2]RUNS!$BM$5:$BM$208, "Not Found")</f>
        <v>0.86027056689837056</v>
      </c>
    </row>
    <row r="512" spans="1:14" x14ac:dyDescent="0.25">
      <c r="A512" s="1">
        <f>'[1]Global_Spot Prices'!$B1821</f>
        <v>42719</v>
      </c>
      <c r="B512">
        <f>_xlfn.XLOOKUP(A512,'[1]Global_Spot Prices'!$B:$B,'[1]Global_Spot Prices'!$BS:$BS)</f>
        <v>11.909999999999997</v>
      </c>
      <c r="C512">
        <f>_xlfn.XLOOKUP(A512,'[1]Global_Spot Prices'!$B:$B,'[1]Global_Spot Prices'!$E:$E)</f>
        <v>51.7</v>
      </c>
      <c r="D512">
        <f>_xlfn.XLOOKUP(A512,'[1]Global_Spot Prices'!$B:$B,'[1]Global_Spot Prices'!$D:$D)</f>
        <v>52.185000000000002</v>
      </c>
      <c r="E512">
        <f>_xlfn.XLOOKUP(A512,'[1]Global_Spot Prices'!$B:$B,'[1]Global_Spot Prices'!$H:$H)</f>
        <v>51.24</v>
      </c>
      <c r="F512">
        <f>_xlfn.XLOOKUP(A512,'[1]Global_Spot Prices'!$B:$B,'[1]Global_Spot Prices'!$I:$I)</f>
        <v>63.61</v>
      </c>
      <c r="G512" cm="1">
        <f t="array" ref="G512">_xlfn.XLOOKUP(TEXT(A512, "mmm-yy"), TEXT([2]RUNS!$B$5:$B$208, "mmm-yy"), [2]RUNS!$D$5:$D$208, "Not Found")</f>
        <v>29074.8224306343</v>
      </c>
      <c r="H512" cm="1">
        <f t="array" ref="H512">SUMPRODUCT(
    --(TEXT('[3]Global Weekly Stock (EWSuez'!$B$4:$B$2000,"mmm-yy")=TEXT(A512,"mmm-yy")),
    '[3]Global Weekly Stock (EWSuez'!$E$4:$E$2000)
/
SUMPRODUCT(
    --(TEXT('[3]Global Weekly Stock (EWSuez'!$B$4:$B$2000,"mmm-yy")=TEXT(A512,"mmm-yy"))
)</f>
        <v>12151</v>
      </c>
      <c r="I512">
        <f>_xlfn.XLOOKUP(A512,[1]ForwardDeriv!$D:$D,[1]ForwardDeriv!$AJ:$AJ)</f>
        <v>-0.39999999999999858</v>
      </c>
      <c r="J512" cm="1">
        <f t="array" ref="J512">_xlfn.XLOOKUP(TEXT(A512, "mmm-yy"), TEXT([2]GASOLINE!$B$5:$B$208, "mmm-yy"), [2]GASOLINE!$IR$5:$IR$208, "Not Found")</f>
        <v>118.30112393179644</v>
      </c>
      <c r="K512" cm="1">
        <f t="array" ref="K512">_xlfn.XLOOKUP(TEXT(A512, "mmm-yy"), TEXT([2]GASOLINE!$B$5:$B$208, "mmm-yy"), [2]GASOLINE!$IK$5:$IK$208, "Not Found")</f>
        <v>0</v>
      </c>
      <c r="L512">
        <f t="shared" si="7"/>
        <v>0</v>
      </c>
      <c r="M512" cm="1">
        <f t="array" ref="M512">_xlfn.XLOOKUP(TEXT(A512, "mmm-yy"), TEXT([2]GASOLINE!$B$5:$B$208, "mmm-yy"), [2]GASOLINE!$C$5:$C$208, "Not Found")</f>
        <v>6819.5693838555808</v>
      </c>
      <c r="N512" cm="1">
        <f t="array" ref="N512">_xlfn.XLOOKUP(TEXT(A512, "mmm-yy"), TEXT([2]RUNS!$B$5:$B$208, "mmm-yy"), [2]RUNS!$BM$5:$BM$208, "Not Found")</f>
        <v>0.86027056689837056</v>
      </c>
    </row>
    <row r="513" spans="1:14" x14ac:dyDescent="0.25">
      <c r="A513" s="1">
        <f>'[1]Global_Spot Prices'!$B1822</f>
        <v>42720</v>
      </c>
      <c r="B513">
        <f>_xlfn.XLOOKUP(A513,'[1]Global_Spot Prices'!$B:$B,'[1]Global_Spot Prices'!$BS:$BS)</f>
        <v>11.57</v>
      </c>
      <c r="C513">
        <f>_xlfn.XLOOKUP(A513,'[1]Global_Spot Prices'!$B:$B,'[1]Global_Spot Prices'!$E:$E)</f>
        <v>51.41</v>
      </c>
      <c r="D513">
        <f>_xlfn.XLOOKUP(A513,'[1]Global_Spot Prices'!$B:$B,'[1]Global_Spot Prices'!$D:$D)</f>
        <v>53.93</v>
      </c>
      <c r="E513">
        <f>_xlfn.XLOOKUP(A513,'[1]Global_Spot Prices'!$B:$B,'[1]Global_Spot Prices'!$H:$H)</f>
        <v>51.15</v>
      </c>
      <c r="F513">
        <f>_xlfn.XLOOKUP(A513,'[1]Global_Spot Prices'!$B:$B,'[1]Global_Spot Prices'!$I:$I)</f>
        <v>62.98</v>
      </c>
      <c r="G513" cm="1">
        <f t="array" ref="G513">_xlfn.XLOOKUP(TEXT(A513, "mmm-yy"), TEXT([2]RUNS!$B$5:$B$208, "mmm-yy"), [2]RUNS!$D$5:$D$208, "Not Found")</f>
        <v>29074.8224306343</v>
      </c>
      <c r="H513" cm="1">
        <f t="array" ref="H513">SUMPRODUCT(
    --(TEXT('[3]Global Weekly Stock (EWSuez'!$B$4:$B$2000,"mmm-yy")=TEXT(A513,"mmm-yy")),
    '[3]Global Weekly Stock (EWSuez'!$E$4:$E$2000)
/
SUMPRODUCT(
    --(TEXT('[3]Global Weekly Stock (EWSuez'!$B$4:$B$2000,"mmm-yy")=TEXT(A513,"mmm-yy"))
)</f>
        <v>12151</v>
      </c>
      <c r="I513">
        <f>_xlfn.XLOOKUP(A513,[1]ForwardDeriv!$D:$D,[1]ForwardDeriv!$AJ:$AJ)</f>
        <v>-0.39999999999999858</v>
      </c>
      <c r="J513" cm="1">
        <f t="array" ref="J513">_xlfn.XLOOKUP(TEXT(A513, "mmm-yy"), TEXT([2]GASOLINE!$B$5:$B$208, "mmm-yy"), [2]GASOLINE!$IR$5:$IR$208, "Not Found")</f>
        <v>118.30112393179644</v>
      </c>
      <c r="K513" cm="1">
        <f t="array" ref="K513">_xlfn.XLOOKUP(TEXT(A513, "mmm-yy"), TEXT([2]GASOLINE!$B$5:$B$208, "mmm-yy"), [2]GASOLINE!$IK$5:$IK$208, "Not Found")</f>
        <v>0</v>
      </c>
      <c r="L513">
        <f t="shared" si="7"/>
        <v>0</v>
      </c>
      <c r="M513" cm="1">
        <f t="array" ref="M513">_xlfn.XLOOKUP(TEXT(A513, "mmm-yy"), TEXT([2]GASOLINE!$B$5:$B$208, "mmm-yy"), [2]GASOLINE!$C$5:$C$208, "Not Found")</f>
        <v>6819.5693838555808</v>
      </c>
      <c r="N513" cm="1">
        <f t="array" ref="N513">_xlfn.XLOOKUP(TEXT(A513, "mmm-yy"), TEXT([2]RUNS!$B$5:$B$208, "mmm-yy"), [2]RUNS!$BM$5:$BM$208, "Not Found")</f>
        <v>0.86027056689837056</v>
      </c>
    </row>
    <row r="514" spans="1:14" x14ac:dyDescent="0.25">
      <c r="A514" s="1">
        <f>'[1]Global_Spot Prices'!$B1823</f>
        <v>42723</v>
      </c>
      <c r="B514">
        <f>_xlfn.XLOOKUP(A514,'[1]Global_Spot Prices'!$B:$B,'[1]Global_Spot Prices'!$BS:$BS)</f>
        <v>12.149999999999999</v>
      </c>
      <c r="C514">
        <f>_xlfn.XLOOKUP(A514,'[1]Global_Spot Prices'!$B:$B,'[1]Global_Spot Prices'!$E:$E)</f>
        <v>52.6</v>
      </c>
      <c r="D514">
        <f>_xlfn.XLOOKUP(A514,'[1]Global_Spot Prices'!$B:$B,'[1]Global_Spot Prices'!$D:$D)</f>
        <v>54.11</v>
      </c>
      <c r="E514">
        <f>_xlfn.XLOOKUP(A514,'[1]Global_Spot Prices'!$B:$B,'[1]Global_Spot Prices'!$H:$H)</f>
        <v>51.66</v>
      </c>
      <c r="F514">
        <f>_xlfn.XLOOKUP(A514,'[1]Global_Spot Prices'!$B:$B,'[1]Global_Spot Prices'!$I:$I)</f>
        <v>64.75</v>
      </c>
      <c r="G514" cm="1">
        <f t="array" ref="G514">_xlfn.XLOOKUP(TEXT(A514, "mmm-yy"), TEXT([2]RUNS!$B$5:$B$208, "mmm-yy"), [2]RUNS!$D$5:$D$208, "Not Found")</f>
        <v>29074.8224306343</v>
      </c>
      <c r="H514" cm="1">
        <f t="array" ref="H514">SUMPRODUCT(
    --(TEXT('[3]Global Weekly Stock (EWSuez'!$B$4:$B$2000,"mmm-yy")=TEXT(A514,"mmm-yy")),
    '[3]Global Weekly Stock (EWSuez'!$E$4:$E$2000)
/
SUMPRODUCT(
    --(TEXT('[3]Global Weekly Stock (EWSuez'!$B$4:$B$2000,"mmm-yy")=TEXT(A514,"mmm-yy"))
)</f>
        <v>12151</v>
      </c>
      <c r="I514">
        <f>_xlfn.XLOOKUP(A514,[1]ForwardDeriv!$D:$D,[1]ForwardDeriv!$AJ:$AJ)</f>
        <v>-0.37999999999999545</v>
      </c>
      <c r="J514" cm="1">
        <f t="array" ref="J514">_xlfn.XLOOKUP(TEXT(A514, "mmm-yy"), TEXT([2]GASOLINE!$B$5:$B$208, "mmm-yy"), [2]GASOLINE!$IR$5:$IR$208, "Not Found")</f>
        <v>118.30112393179644</v>
      </c>
      <c r="K514" cm="1">
        <f t="array" ref="K514">_xlfn.XLOOKUP(TEXT(A514, "mmm-yy"), TEXT([2]GASOLINE!$B$5:$B$208, "mmm-yy"), [2]GASOLINE!$IK$5:$IK$208, "Not Found")</f>
        <v>0</v>
      </c>
      <c r="L514">
        <f t="shared" si="7"/>
        <v>0</v>
      </c>
      <c r="M514" cm="1">
        <f t="array" ref="M514">_xlfn.XLOOKUP(TEXT(A514, "mmm-yy"), TEXT([2]GASOLINE!$B$5:$B$208, "mmm-yy"), [2]GASOLINE!$C$5:$C$208, "Not Found")</f>
        <v>6819.5693838555808</v>
      </c>
      <c r="N514" cm="1">
        <f t="array" ref="N514">_xlfn.XLOOKUP(TEXT(A514, "mmm-yy"), TEXT([2]RUNS!$B$5:$B$208, "mmm-yy"), [2]RUNS!$BM$5:$BM$208, "Not Found")</f>
        <v>0.86027056689837056</v>
      </c>
    </row>
    <row r="515" spans="1:14" x14ac:dyDescent="0.25">
      <c r="A515" s="1">
        <f>'[1]Global_Spot Prices'!$B1824</f>
        <v>42724</v>
      </c>
      <c r="B515">
        <f>_xlfn.XLOOKUP(A515,'[1]Global_Spot Prices'!$B:$B,'[1]Global_Spot Prices'!$BS:$BS)</f>
        <v>12.060000000000002</v>
      </c>
      <c r="C515">
        <f>_xlfn.XLOOKUP(A515,'[1]Global_Spot Prices'!$B:$B,'[1]Global_Spot Prices'!$E:$E)</f>
        <v>51.94</v>
      </c>
      <c r="D515">
        <f>_xlfn.XLOOKUP(A515,'[1]Global_Spot Prices'!$B:$B,'[1]Global_Spot Prices'!$D:$D)</f>
        <v>55.055</v>
      </c>
      <c r="E515">
        <f>_xlfn.XLOOKUP(A515,'[1]Global_Spot Prices'!$B:$B,'[1]Global_Spot Prices'!$H:$H)</f>
        <v>51.12</v>
      </c>
      <c r="F515">
        <f>_xlfn.XLOOKUP(A515,'[1]Global_Spot Prices'!$B:$B,'[1]Global_Spot Prices'!$I:$I)</f>
        <v>64</v>
      </c>
      <c r="G515" cm="1">
        <f t="array" ref="G515">_xlfn.XLOOKUP(TEXT(A515, "mmm-yy"), TEXT([2]RUNS!$B$5:$B$208, "mmm-yy"), [2]RUNS!$D$5:$D$208, "Not Found")</f>
        <v>29074.8224306343</v>
      </c>
      <c r="H515" cm="1">
        <f t="array" ref="H515">SUMPRODUCT(
    --(TEXT('[3]Global Weekly Stock (EWSuez'!$B$4:$B$2000,"mmm-yy")=TEXT(A515,"mmm-yy")),
    '[3]Global Weekly Stock (EWSuez'!$E$4:$E$2000)
/
SUMPRODUCT(
    --(TEXT('[3]Global Weekly Stock (EWSuez'!$B$4:$B$2000,"mmm-yy")=TEXT(A515,"mmm-yy"))
)</f>
        <v>12151</v>
      </c>
      <c r="I515">
        <f>_xlfn.XLOOKUP(A515,[1]ForwardDeriv!$D:$D,[1]ForwardDeriv!$AJ:$AJ)</f>
        <v>-0.38000000000000256</v>
      </c>
      <c r="J515" cm="1">
        <f t="array" ref="J515">_xlfn.XLOOKUP(TEXT(A515, "mmm-yy"), TEXT([2]GASOLINE!$B$5:$B$208, "mmm-yy"), [2]GASOLINE!$IR$5:$IR$208, "Not Found")</f>
        <v>118.30112393179644</v>
      </c>
      <c r="K515" cm="1">
        <f t="array" ref="K515">_xlfn.XLOOKUP(TEXT(A515, "mmm-yy"), TEXT([2]GASOLINE!$B$5:$B$208, "mmm-yy"), [2]GASOLINE!$IK$5:$IK$208, "Not Found")</f>
        <v>0</v>
      </c>
      <c r="L515">
        <f t="shared" ref="L515:L578" si="8">IF(OR(MONTH(A515)=6, MONTH(A515)=7, MONTH(A515)=8, MONTH(A515)=9), 1, 0)</f>
        <v>0</v>
      </c>
      <c r="M515" cm="1">
        <f t="array" ref="M515">_xlfn.XLOOKUP(TEXT(A515, "mmm-yy"), TEXT([2]GASOLINE!$B$5:$B$208, "mmm-yy"), [2]GASOLINE!$C$5:$C$208, "Not Found")</f>
        <v>6819.5693838555808</v>
      </c>
      <c r="N515" cm="1">
        <f t="array" ref="N515">_xlfn.XLOOKUP(TEXT(A515, "mmm-yy"), TEXT([2]RUNS!$B$5:$B$208, "mmm-yy"), [2]RUNS!$BM$5:$BM$208, "Not Found")</f>
        <v>0.86027056689837056</v>
      </c>
    </row>
    <row r="516" spans="1:14" x14ac:dyDescent="0.25">
      <c r="A516" s="1">
        <f>'[1]Global_Spot Prices'!$B1825</f>
        <v>42725</v>
      </c>
      <c r="B516">
        <f>_xlfn.XLOOKUP(A516,'[1]Global_Spot Prices'!$B:$B,'[1]Global_Spot Prices'!$BS:$BS)</f>
        <v>12.419999999999995</v>
      </c>
      <c r="C516">
        <f>_xlfn.XLOOKUP(A516,'[1]Global_Spot Prices'!$B:$B,'[1]Global_Spot Prices'!$E:$E)</f>
        <v>52.9</v>
      </c>
      <c r="D516">
        <f>_xlfn.XLOOKUP(A516,'[1]Global_Spot Prices'!$B:$B,'[1]Global_Spot Prices'!$D:$D)</f>
        <v>54.125</v>
      </c>
      <c r="E516">
        <f>_xlfn.XLOOKUP(A516,'[1]Global_Spot Prices'!$B:$B,'[1]Global_Spot Prices'!$H:$H)</f>
        <v>52.12</v>
      </c>
      <c r="F516">
        <f>_xlfn.XLOOKUP(A516,'[1]Global_Spot Prices'!$B:$B,'[1]Global_Spot Prices'!$I:$I)</f>
        <v>65.319999999999993</v>
      </c>
      <c r="G516" cm="1">
        <f t="array" ref="G516">_xlfn.XLOOKUP(TEXT(A516, "mmm-yy"), TEXT([2]RUNS!$B$5:$B$208, "mmm-yy"), [2]RUNS!$D$5:$D$208, "Not Found")</f>
        <v>29074.8224306343</v>
      </c>
      <c r="H516" cm="1">
        <f t="array" ref="H516">SUMPRODUCT(
    --(TEXT('[3]Global Weekly Stock (EWSuez'!$B$4:$B$2000,"mmm-yy")=TEXT(A516,"mmm-yy")),
    '[3]Global Weekly Stock (EWSuez'!$E$4:$E$2000)
/
SUMPRODUCT(
    --(TEXT('[3]Global Weekly Stock (EWSuez'!$B$4:$B$2000,"mmm-yy")=TEXT(A516,"mmm-yy"))
)</f>
        <v>12151</v>
      </c>
      <c r="I516">
        <f>_xlfn.XLOOKUP(A516,[1]ForwardDeriv!$D:$D,[1]ForwardDeriv!$AJ:$AJ)</f>
        <v>-0.35000000000000853</v>
      </c>
      <c r="J516" cm="1">
        <f t="array" ref="J516">_xlfn.XLOOKUP(TEXT(A516, "mmm-yy"), TEXT([2]GASOLINE!$B$5:$B$208, "mmm-yy"), [2]GASOLINE!$IR$5:$IR$208, "Not Found")</f>
        <v>118.30112393179644</v>
      </c>
      <c r="K516" cm="1">
        <f t="array" ref="K516">_xlfn.XLOOKUP(TEXT(A516, "mmm-yy"), TEXT([2]GASOLINE!$B$5:$B$208, "mmm-yy"), [2]GASOLINE!$IK$5:$IK$208, "Not Found")</f>
        <v>0</v>
      </c>
      <c r="L516">
        <f t="shared" si="8"/>
        <v>0</v>
      </c>
      <c r="M516" cm="1">
        <f t="array" ref="M516">_xlfn.XLOOKUP(TEXT(A516, "mmm-yy"), TEXT([2]GASOLINE!$B$5:$B$208, "mmm-yy"), [2]GASOLINE!$C$5:$C$208, "Not Found")</f>
        <v>6819.5693838555808</v>
      </c>
      <c r="N516" cm="1">
        <f t="array" ref="N516">_xlfn.XLOOKUP(TEXT(A516, "mmm-yy"), TEXT([2]RUNS!$B$5:$B$208, "mmm-yy"), [2]RUNS!$BM$5:$BM$208, "Not Found")</f>
        <v>0.86027056689837056</v>
      </c>
    </row>
    <row r="517" spans="1:14" x14ac:dyDescent="0.25">
      <c r="A517" s="1">
        <f>'[1]Global_Spot Prices'!$B1826</f>
        <v>42726</v>
      </c>
      <c r="B517">
        <f>_xlfn.XLOOKUP(A517,'[1]Global_Spot Prices'!$B:$B,'[1]Global_Spot Prices'!$BS:$BS)</f>
        <v>13.810000000000002</v>
      </c>
      <c r="C517">
        <f>_xlfn.XLOOKUP(A517,'[1]Global_Spot Prices'!$B:$B,'[1]Global_Spot Prices'!$E:$E)</f>
        <v>51.8</v>
      </c>
      <c r="D517">
        <f>_xlfn.XLOOKUP(A517,'[1]Global_Spot Prices'!$B:$B,'[1]Global_Spot Prices'!$D:$D)</f>
        <v>54.19</v>
      </c>
      <c r="E517">
        <f>_xlfn.XLOOKUP(A517,'[1]Global_Spot Prices'!$B:$B,'[1]Global_Spot Prices'!$H:$H)</f>
        <v>51.92</v>
      </c>
      <c r="F517">
        <f>_xlfn.XLOOKUP(A517,'[1]Global_Spot Prices'!$B:$B,'[1]Global_Spot Prices'!$I:$I)</f>
        <v>65.61</v>
      </c>
      <c r="G517" cm="1">
        <f t="array" ref="G517">_xlfn.XLOOKUP(TEXT(A517, "mmm-yy"), TEXT([2]RUNS!$B$5:$B$208, "mmm-yy"), [2]RUNS!$D$5:$D$208, "Not Found")</f>
        <v>29074.8224306343</v>
      </c>
      <c r="H517" cm="1">
        <f t="array" ref="H517">SUMPRODUCT(
    --(TEXT('[3]Global Weekly Stock (EWSuez'!$B$4:$B$2000,"mmm-yy")=TEXT(A517,"mmm-yy")),
    '[3]Global Weekly Stock (EWSuez'!$E$4:$E$2000)
/
SUMPRODUCT(
    --(TEXT('[3]Global Weekly Stock (EWSuez'!$B$4:$B$2000,"mmm-yy")=TEXT(A517,"mmm-yy"))
)</f>
        <v>12151</v>
      </c>
      <c r="I517">
        <f>_xlfn.XLOOKUP(A517,[1]ForwardDeriv!$D:$D,[1]ForwardDeriv!$AJ:$AJ)</f>
        <v>-0.10000000000000853</v>
      </c>
      <c r="J517" cm="1">
        <f t="array" ref="J517">_xlfn.XLOOKUP(TEXT(A517, "mmm-yy"), TEXT([2]GASOLINE!$B$5:$B$208, "mmm-yy"), [2]GASOLINE!$IR$5:$IR$208, "Not Found")</f>
        <v>118.30112393179644</v>
      </c>
      <c r="K517" cm="1">
        <f t="array" ref="K517">_xlfn.XLOOKUP(TEXT(A517, "mmm-yy"), TEXT([2]GASOLINE!$B$5:$B$208, "mmm-yy"), [2]GASOLINE!$IK$5:$IK$208, "Not Found")</f>
        <v>0</v>
      </c>
      <c r="L517">
        <f t="shared" si="8"/>
        <v>0</v>
      </c>
      <c r="M517" cm="1">
        <f t="array" ref="M517">_xlfn.XLOOKUP(TEXT(A517, "mmm-yy"), TEXT([2]GASOLINE!$B$5:$B$208, "mmm-yy"), [2]GASOLINE!$C$5:$C$208, "Not Found")</f>
        <v>6819.5693838555808</v>
      </c>
      <c r="N517" cm="1">
        <f t="array" ref="N517">_xlfn.XLOOKUP(TEXT(A517, "mmm-yy"), TEXT([2]RUNS!$B$5:$B$208, "mmm-yy"), [2]RUNS!$BM$5:$BM$208, "Not Found")</f>
        <v>0.86027056689837056</v>
      </c>
    </row>
    <row r="518" spans="1:14" x14ac:dyDescent="0.25">
      <c r="A518" s="1">
        <f>'[1]Global_Spot Prices'!$B1827</f>
        <v>42727</v>
      </c>
      <c r="B518">
        <f>_xlfn.XLOOKUP(A518,'[1]Global_Spot Prices'!$B:$B,'[1]Global_Spot Prices'!$BS:$BS)</f>
        <v>13.560000000000002</v>
      </c>
      <c r="C518">
        <f>_xlfn.XLOOKUP(A518,'[1]Global_Spot Prices'!$B:$B,'[1]Global_Spot Prices'!$E:$E)</f>
        <v>52.2</v>
      </c>
      <c r="D518">
        <f>_xlfn.XLOOKUP(A518,'[1]Global_Spot Prices'!$B:$B,'[1]Global_Spot Prices'!$D:$D)</f>
        <v>53.64</v>
      </c>
      <c r="E518">
        <f>_xlfn.XLOOKUP(A518,'[1]Global_Spot Prices'!$B:$B,'[1]Global_Spot Prices'!$H:$H)</f>
        <v>52.06</v>
      </c>
      <c r="F518">
        <f>_xlfn.XLOOKUP(A518,'[1]Global_Spot Prices'!$B:$B,'[1]Global_Spot Prices'!$I:$I)</f>
        <v>65.760000000000005</v>
      </c>
      <c r="G518" cm="1">
        <f t="array" ref="G518">_xlfn.XLOOKUP(TEXT(A518, "mmm-yy"), TEXT([2]RUNS!$B$5:$B$208, "mmm-yy"), [2]RUNS!$D$5:$D$208, "Not Found")</f>
        <v>29074.8224306343</v>
      </c>
      <c r="H518" cm="1">
        <f t="array" ref="H518">SUMPRODUCT(
    --(TEXT('[3]Global Weekly Stock (EWSuez'!$B$4:$B$2000,"mmm-yy")=TEXT(A518,"mmm-yy")),
    '[3]Global Weekly Stock (EWSuez'!$E$4:$E$2000)
/
SUMPRODUCT(
    --(TEXT('[3]Global Weekly Stock (EWSuez'!$B$4:$B$2000,"mmm-yy")=TEXT(A518,"mmm-yy"))
)</f>
        <v>12151</v>
      </c>
      <c r="I518">
        <f>_xlfn.XLOOKUP(A518,[1]ForwardDeriv!$D:$D,[1]ForwardDeriv!$AJ:$AJ)</f>
        <v>5.0000000000011369E-2</v>
      </c>
      <c r="J518" cm="1">
        <f t="array" ref="J518">_xlfn.XLOOKUP(TEXT(A518, "mmm-yy"), TEXT([2]GASOLINE!$B$5:$B$208, "mmm-yy"), [2]GASOLINE!$IR$5:$IR$208, "Not Found")</f>
        <v>118.30112393179644</v>
      </c>
      <c r="K518" cm="1">
        <f t="array" ref="K518">_xlfn.XLOOKUP(TEXT(A518, "mmm-yy"), TEXT([2]GASOLINE!$B$5:$B$208, "mmm-yy"), [2]GASOLINE!$IK$5:$IK$208, "Not Found")</f>
        <v>0</v>
      </c>
      <c r="L518">
        <f t="shared" si="8"/>
        <v>0</v>
      </c>
      <c r="M518" cm="1">
        <f t="array" ref="M518">_xlfn.XLOOKUP(TEXT(A518, "mmm-yy"), TEXT([2]GASOLINE!$B$5:$B$208, "mmm-yy"), [2]GASOLINE!$C$5:$C$208, "Not Found")</f>
        <v>6819.5693838555808</v>
      </c>
      <c r="N518" cm="1">
        <f t="array" ref="N518">_xlfn.XLOOKUP(TEXT(A518, "mmm-yy"), TEXT([2]RUNS!$B$5:$B$208, "mmm-yy"), [2]RUNS!$BM$5:$BM$208, "Not Found")</f>
        <v>0.86027056689837056</v>
      </c>
    </row>
    <row r="519" spans="1:14" x14ac:dyDescent="0.25">
      <c r="A519" s="1">
        <f>'[1]Global_Spot Prices'!$B1828</f>
        <v>42730</v>
      </c>
      <c r="B519" t="e">
        <f>_xlfn.XLOOKUP(A519,'[1]Global_Spot Prices'!$B:$B,'[1]Global_Spot Prices'!$BS:$BS)</f>
        <v>#N/A</v>
      </c>
      <c r="C519" t="str">
        <f>_xlfn.XLOOKUP(A519,'[1]Global_Spot Prices'!$B:$B,'[1]Global_Spot Prices'!$E:$E)</f>
        <v/>
      </c>
      <c r="D519" t="str">
        <f>_xlfn.XLOOKUP(A519,'[1]Global_Spot Prices'!$B:$B,'[1]Global_Spot Prices'!$D:$D)</f>
        <v/>
      </c>
      <c r="E519">
        <f>_xlfn.XLOOKUP(A519,'[1]Global_Spot Prices'!$B:$B,'[1]Global_Spot Prices'!$H:$H)</f>
        <v>0</v>
      </c>
      <c r="F519">
        <f>_xlfn.XLOOKUP(A519,'[1]Global_Spot Prices'!$B:$B,'[1]Global_Spot Prices'!$I:$I)</f>
        <v>0</v>
      </c>
      <c r="G519" cm="1">
        <f t="array" ref="G519">_xlfn.XLOOKUP(TEXT(A519, "mmm-yy"), TEXT([2]RUNS!$B$5:$B$208, "mmm-yy"), [2]RUNS!$D$5:$D$208, "Not Found")</f>
        <v>29074.8224306343</v>
      </c>
      <c r="H519" cm="1">
        <f t="array" ref="H519">SUMPRODUCT(
    --(TEXT('[3]Global Weekly Stock (EWSuez'!$B$4:$B$2000,"mmm-yy")=TEXT(A519,"mmm-yy")),
    '[3]Global Weekly Stock (EWSuez'!$E$4:$E$2000)
/
SUMPRODUCT(
    --(TEXT('[3]Global Weekly Stock (EWSuez'!$B$4:$B$2000,"mmm-yy")=TEXT(A519,"mmm-yy"))
)</f>
        <v>12151</v>
      </c>
      <c r="I519">
        <f>_xlfn.XLOOKUP(A519,[1]ForwardDeriv!$D:$D,[1]ForwardDeriv!$AJ:$AJ)</f>
        <v>0.18000000000000682</v>
      </c>
      <c r="J519" cm="1">
        <f t="array" ref="J519">_xlfn.XLOOKUP(TEXT(A519, "mmm-yy"), TEXT([2]GASOLINE!$B$5:$B$208, "mmm-yy"), [2]GASOLINE!$IR$5:$IR$208, "Not Found")</f>
        <v>118.30112393179644</v>
      </c>
      <c r="K519" cm="1">
        <f t="array" ref="K519">_xlfn.XLOOKUP(TEXT(A519, "mmm-yy"), TEXT([2]GASOLINE!$B$5:$B$208, "mmm-yy"), [2]GASOLINE!$IK$5:$IK$208, "Not Found")</f>
        <v>0</v>
      </c>
      <c r="L519">
        <f t="shared" si="8"/>
        <v>0</v>
      </c>
      <c r="M519" cm="1">
        <f t="array" ref="M519">_xlfn.XLOOKUP(TEXT(A519, "mmm-yy"), TEXT([2]GASOLINE!$B$5:$B$208, "mmm-yy"), [2]GASOLINE!$C$5:$C$208, "Not Found")</f>
        <v>6819.5693838555808</v>
      </c>
      <c r="N519" cm="1">
        <f t="array" ref="N519">_xlfn.XLOOKUP(TEXT(A519, "mmm-yy"), TEXT([2]RUNS!$B$5:$B$208, "mmm-yy"), [2]RUNS!$BM$5:$BM$208, "Not Found")</f>
        <v>0.86027056689837056</v>
      </c>
    </row>
    <row r="520" spans="1:14" x14ac:dyDescent="0.25">
      <c r="A520" s="1">
        <f>'[1]Global_Spot Prices'!$B1829</f>
        <v>42731</v>
      </c>
      <c r="B520">
        <f>_xlfn.XLOOKUP(A520,'[1]Global_Spot Prices'!$B:$B,'[1]Global_Spot Prices'!$BS:$BS)</f>
        <v>13.949999999999996</v>
      </c>
      <c r="C520">
        <f>_xlfn.XLOOKUP(A520,'[1]Global_Spot Prices'!$B:$B,'[1]Global_Spot Prices'!$E:$E)</f>
        <v>52.71</v>
      </c>
      <c r="D520" t="str">
        <f>_xlfn.XLOOKUP(A520,'[1]Global_Spot Prices'!$B:$B,'[1]Global_Spot Prices'!$D:$D)</f>
        <v/>
      </c>
      <c r="E520">
        <f>_xlfn.XLOOKUP(A520,'[1]Global_Spot Prices'!$B:$B,'[1]Global_Spot Prices'!$H:$H)</f>
        <v>52.56</v>
      </c>
      <c r="F520">
        <f>_xlfn.XLOOKUP(A520,'[1]Global_Spot Prices'!$B:$B,'[1]Global_Spot Prices'!$I:$I)</f>
        <v>66.66</v>
      </c>
      <c r="G520" cm="1">
        <f t="array" ref="G520">_xlfn.XLOOKUP(TEXT(A520, "mmm-yy"), TEXT([2]RUNS!$B$5:$B$208, "mmm-yy"), [2]RUNS!$D$5:$D$208, "Not Found")</f>
        <v>29074.8224306343</v>
      </c>
      <c r="H520" cm="1">
        <f t="array" ref="H520">SUMPRODUCT(
    --(TEXT('[3]Global Weekly Stock (EWSuez'!$B$4:$B$2000,"mmm-yy")=TEXT(A520,"mmm-yy")),
    '[3]Global Weekly Stock (EWSuez'!$E$4:$E$2000)
/
SUMPRODUCT(
    --(TEXT('[3]Global Weekly Stock (EWSuez'!$B$4:$B$2000,"mmm-yy")=TEXT(A520,"mmm-yy"))
)</f>
        <v>12151</v>
      </c>
      <c r="I520">
        <f>_xlfn.XLOOKUP(A520,[1]ForwardDeriv!$D:$D,[1]ForwardDeriv!$AJ:$AJ)</f>
        <v>0.18000000000000682</v>
      </c>
      <c r="J520" cm="1">
        <f t="array" ref="J520">_xlfn.XLOOKUP(TEXT(A520, "mmm-yy"), TEXT([2]GASOLINE!$B$5:$B$208, "mmm-yy"), [2]GASOLINE!$IR$5:$IR$208, "Not Found")</f>
        <v>118.30112393179644</v>
      </c>
      <c r="K520" cm="1">
        <f t="array" ref="K520">_xlfn.XLOOKUP(TEXT(A520, "mmm-yy"), TEXT([2]GASOLINE!$B$5:$B$208, "mmm-yy"), [2]GASOLINE!$IK$5:$IK$208, "Not Found")</f>
        <v>0</v>
      </c>
      <c r="L520">
        <f t="shared" si="8"/>
        <v>0</v>
      </c>
      <c r="M520" cm="1">
        <f t="array" ref="M520">_xlfn.XLOOKUP(TEXT(A520, "mmm-yy"), TEXT([2]GASOLINE!$B$5:$B$208, "mmm-yy"), [2]GASOLINE!$C$5:$C$208, "Not Found")</f>
        <v>6819.5693838555808</v>
      </c>
      <c r="N520" cm="1">
        <f t="array" ref="N520">_xlfn.XLOOKUP(TEXT(A520, "mmm-yy"), TEXT([2]RUNS!$B$5:$B$208, "mmm-yy"), [2]RUNS!$BM$5:$BM$208, "Not Found")</f>
        <v>0.86027056689837056</v>
      </c>
    </row>
    <row r="521" spans="1:14" x14ac:dyDescent="0.25">
      <c r="A521" s="1">
        <f>'[1]Global_Spot Prices'!$B1830</f>
        <v>42732</v>
      </c>
      <c r="B521">
        <f>_xlfn.XLOOKUP(A521,'[1]Global_Spot Prices'!$B:$B,'[1]Global_Spot Prices'!$BS:$BS)</f>
        <v>13.43</v>
      </c>
      <c r="C521">
        <f>_xlfn.XLOOKUP(A521,'[1]Global_Spot Prices'!$B:$B,'[1]Global_Spot Prices'!$E:$E)</f>
        <v>53.79</v>
      </c>
      <c r="D521">
        <f>_xlfn.XLOOKUP(A521,'[1]Global_Spot Prices'!$B:$B,'[1]Global_Spot Prices'!$D:$D)</f>
        <v>55.405000000000001</v>
      </c>
      <c r="E521">
        <f>_xlfn.XLOOKUP(A521,'[1]Global_Spot Prices'!$B:$B,'[1]Global_Spot Prices'!$H:$H)</f>
        <v>53.5</v>
      </c>
      <c r="F521">
        <f>_xlfn.XLOOKUP(A521,'[1]Global_Spot Prices'!$B:$B,'[1]Global_Spot Prices'!$I:$I)</f>
        <v>67.22</v>
      </c>
      <c r="G521" cm="1">
        <f t="array" ref="G521">_xlfn.XLOOKUP(TEXT(A521, "mmm-yy"), TEXT([2]RUNS!$B$5:$B$208, "mmm-yy"), [2]RUNS!$D$5:$D$208, "Not Found")</f>
        <v>29074.8224306343</v>
      </c>
      <c r="H521" cm="1">
        <f t="array" ref="H521">SUMPRODUCT(
    --(TEXT('[3]Global Weekly Stock (EWSuez'!$B$4:$B$2000,"mmm-yy")=TEXT(A521,"mmm-yy")),
    '[3]Global Weekly Stock (EWSuez'!$E$4:$E$2000)
/
SUMPRODUCT(
    --(TEXT('[3]Global Weekly Stock (EWSuez'!$B$4:$B$2000,"mmm-yy")=TEXT(A521,"mmm-yy"))
)</f>
        <v>12151</v>
      </c>
      <c r="I521">
        <f>_xlfn.XLOOKUP(A521,[1]ForwardDeriv!$D:$D,[1]ForwardDeriv!$AJ:$AJ)</f>
        <v>0.27000000000001023</v>
      </c>
      <c r="J521" cm="1">
        <f t="array" ref="J521">_xlfn.XLOOKUP(TEXT(A521, "mmm-yy"), TEXT([2]GASOLINE!$B$5:$B$208, "mmm-yy"), [2]GASOLINE!$IR$5:$IR$208, "Not Found")</f>
        <v>118.30112393179644</v>
      </c>
      <c r="K521" cm="1">
        <f t="array" ref="K521">_xlfn.XLOOKUP(TEXT(A521, "mmm-yy"), TEXT([2]GASOLINE!$B$5:$B$208, "mmm-yy"), [2]GASOLINE!$IK$5:$IK$208, "Not Found")</f>
        <v>0</v>
      </c>
      <c r="L521">
        <f t="shared" si="8"/>
        <v>0</v>
      </c>
      <c r="M521" cm="1">
        <f t="array" ref="M521">_xlfn.XLOOKUP(TEXT(A521, "mmm-yy"), TEXT([2]GASOLINE!$B$5:$B$208, "mmm-yy"), [2]GASOLINE!$C$5:$C$208, "Not Found")</f>
        <v>6819.5693838555808</v>
      </c>
      <c r="N521" cm="1">
        <f t="array" ref="N521">_xlfn.XLOOKUP(TEXT(A521, "mmm-yy"), TEXT([2]RUNS!$B$5:$B$208, "mmm-yy"), [2]RUNS!$BM$5:$BM$208, "Not Found")</f>
        <v>0.86027056689837056</v>
      </c>
    </row>
    <row r="522" spans="1:14" x14ac:dyDescent="0.25">
      <c r="A522" s="1">
        <f>'[1]Global_Spot Prices'!$B1831</f>
        <v>42733</v>
      </c>
      <c r="B522">
        <f>_xlfn.XLOOKUP(A522,'[1]Global_Spot Prices'!$B:$B,'[1]Global_Spot Prices'!$BS:$BS)</f>
        <v>14.149999999999999</v>
      </c>
      <c r="C522">
        <f>_xlfn.XLOOKUP(A522,'[1]Global_Spot Prices'!$B:$B,'[1]Global_Spot Prices'!$E:$E)</f>
        <v>53.93</v>
      </c>
      <c r="D522">
        <f>_xlfn.XLOOKUP(A522,'[1]Global_Spot Prices'!$B:$B,'[1]Global_Spot Prices'!$D:$D)</f>
        <v>55.265000000000001</v>
      </c>
      <c r="E522">
        <f>_xlfn.XLOOKUP(A522,'[1]Global_Spot Prices'!$B:$B,'[1]Global_Spot Prices'!$H:$H)</f>
        <v>53.41</v>
      </c>
      <c r="F522">
        <f>_xlfn.XLOOKUP(A522,'[1]Global_Spot Prices'!$B:$B,'[1]Global_Spot Prices'!$I:$I)</f>
        <v>68.08</v>
      </c>
      <c r="G522" cm="1">
        <f t="array" ref="G522">_xlfn.XLOOKUP(TEXT(A522, "mmm-yy"), TEXT([2]RUNS!$B$5:$B$208, "mmm-yy"), [2]RUNS!$D$5:$D$208, "Not Found")</f>
        <v>29074.8224306343</v>
      </c>
      <c r="H522" cm="1">
        <f t="array" ref="H522">SUMPRODUCT(
    --(TEXT('[3]Global Weekly Stock (EWSuez'!$B$4:$B$2000,"mmm-yy")=TEXT(A522,"mmm-yy")),
    '[3]Global Weekly Stock (EWSuez'!$E$4:$E$2000)
/
SUMPRODUCT(
    --(TEXT('[3]Global Weekly Stock (EWSuez'!$B$4:$B$2000,"mmm-yy")=TEXT(A522,"mmm-yy"))
)</f>
        <v>12151</v>
      </c>
      <c r="I522">
        <f>_xlfn.XLOOKUP(A522,[1]ForwardDeriv!$D:$D,[1]ForwardDeriv!$AJ:$AJ)</f>
        <v>0.40000000000000568</v>
      </c>
      <c r="J522" cm="1">
        <f t="array" ref="J522">_xlfn.XLOOKUP(TEXT(A522, "mmm-yy"), TEXT([2]GASOLINE!$B$5:$B$208, "mmm-yy"), [2]GASOLINE!$IR$5:$IR$208, "Not Found")</f>
        <v>118.30112393179644</v>
      </c>
      <c r="K522" cm="1">
        <f t="array" ref="K522">_xlfn.XLOOKUP(TEXT(A522, "mmm-yy"), TEXT([2]GASOLINE!$B$5:$B$208, "mmm-yy"), [2]GASOLINE!$IK$5:$IK$208, "Not Found")</f>
        <v>0</v>
      </c>
      <c r="L522">
        <f t="shared" si="8"/>
        <v>0</v>
      </c>
      <c r="M522" cm="1">
        <f t="array" ref="M522">_xlfn.XLOOKUP(TEXT(A522, "mmm-yy"), TEXT([2]GASOLINE!$B$5:$B$208, "mmm-yy"), [2]GASOLINE!$C$5:$C$208, "Not Found")</f>
        <v>6819.5693838555808</v>
      </c>
      <c r="N522" cm="1">
        <f t="array" ref="N522">_xlfn.XLOOKUP(TEXT(A522, "mmm-yy"), TEXT([2]RUNS!$B$5:$B$208, "mmm-yy"), [2]RUNS!$BM$5:$BM$208, "Not Found")</f>
        <v>0.86027056689837056</v>
      </c>
    </row>
    <row r="523" spans="1:14" x14ac:dyDescent="0.25">
      <c r="A523" s="1">
        <f>'[1]Global_Spot Prices'!$B1832</f>
        <v>42734</v>
      </c>
      <c r="B523">
        <f>_xlfn.XLOOKUP(A523,'[1]Global_Spot Prices'!$B:$B,'[1]Global_Spot Prices'!$BS:$BS)</f>
        <v>14.160000000000004</v>
      </c>
      <c r="C523">
        <f>_xlfn.XLOOKUP(A523,'[1]Global_Spot Prices'!$B:$B,'[1]Global_Spot Prices'!$E:$E)</f>
        <v>53.85</v>
      </c>
      <c r="D523">
        <f>_xlfn.XLOOKUP(A523,'[1]Global_Spot Prices'!$B:$B,'[1]Global_Spot Prices'!$D:$D)</f>
        <v>54.94</v>
      </c>
      <c r="E523">
        <f>_xlfn.XLOOKUP(A523,'[1]Global_Spot Prices'!$B:$B,'[1]Global_Spot Prices'!$H:$H)</f>
        <v>53.47</v>
      </c>
      <c r="F523">
        <f>_xlfn.XLOOKUP(A523,'[1]Global_Spot Prices'!$B:$B,'[1]Global_Spot Prices'!$I:$I)</f>
        <v>68.010000000000005</v>
      </c>
      <c r="G523" cm="1">
        <f t="array" ref="G523">_xlfn.XLOOKUP(TEXT(A523, "mmm-yy"), TEXT([2]RUNS!$B$5:$B$208, "mmm-yy"), [2]RUNS!$D$5:$D$208, "Not Found")</f>
        <v>29074.8224306343</v>
      </c>
      <c r="H523" cm="1">
        <f t="array" ref="H523">SUMPRODUCT(
    --(TEXT('[3]Global Weekly Stock (EWSuez'!$B$4:$B$2000,"mmm-yy")=TEXT(A523,"mmm-yy")),
    '[3]Global Weekly Stock (EWSuez'!$E$4:$E$2000)
/
SUMPRODUCT(
    --(TEXT('[3]Global Weekly Stock (EWSuez'!$B$4:$B$2000,"mmm-yy")=TEXT(A523,"mmm-yy"))
)</f>
        <v>12151</v>
      </c>
      <c r="I523">
        <f>_xlfn.XLOOKUP(A523,[1]ForwardDeriv!$D:$D,[1]ForwardDeriv!$AJ:$AJ)</f>
        <v>0.39000000000000057</v>
      </c>
      <c r="J523" cm="1">
        <f t="array" ref="J523">_xlfn.XLOOKUP(TEXT(A523, "mmm-yy"), TEXT([2]GASOLINE!$B$5:$B$208, "mmm-yy"), [2]GASOLINE!$IR$5:$IR$208, "Not Found")</f>
        <v>118.30112393179644</v>
      </c>
      <c r="K523" cm="1">
        <f t="array" ref="K523">_xlfn.XLOOKUP(TEXT(A523, "mmm-yy"), TEXT([2]GASOLINE!$B$5:$B$208, "mmm-yy"), [2]GASOLINE!$IK$5:$IK$208, "Not Found")</f>
        <v>0</v>
      </c>
      <c r="L523">
        <f t="shared" si="8"/>
        <v>0</v>
      </c>
      <c r="M523" cm="1">
        <f t="array" ref="M523">_xlfn.XLOOKUP(TEXT(A523, "mmm-yy"), TEXT([2]GASOLINE!$B$5:$B$208, "mmm-yy"), [2]GASOLINE!$C$5:$C$208, "Not Found")</f>
        <v>6819.5693838555808</v>
      </c>
      <c r="N523" cm="1">
        <f t="array" ref="N523">_xlfn.XLOOKUP(TEXT(A523, "mmm-yy"), TEXT([2]RUNS!$B$5:$B$208, "mmm-yy"), [2]RUNS!$BM$5:$BM$208, "Not Found")</f>
        <v>0.86027056689837056</v>
      </c>
    </row>
    <row r="524" spans="1:14" x14ac:dyDescent="0.25">
      <c r="A524" s="1">
        <f>'[1]Global_Spot Prices'!$B1833</f>
        <v>42737</v>
      </c>
      <c r="B524" t="e">
        <f>_xlfn.XLOOKUP(A524,'[1]Global_Spot Prices'!$B:$B,'[1]Global_Spot Prices'!$BS:$BS)</f>
        <v>#N/A</v>
      </c>
      <c r="C524" t="str">
        <f>_xlfn.XLOOKUP(A524,'[1]Global_Spot Prices'!$B:$B,'[1]Global_Spot Prices'!$E:$E)</f>
        <v/>
      </c>
      <c r="D524" t="str">
        <f>_xlfn.XLOOKUP(A524,'[1]Global_Spot Prices'!$B:$B,'[1]Global_Spot Prices'!$D:$D)</f>
        <v/>
      </c>
      <c r="E524">
        <f>_xlfn.XLOOKUP(A524,'[1]Global_Spot Prices'!$B:$B,'[1]Global_Spot Prices'!$H:$H)</f>
        <v>0</v>
      </c>
      <c r="F524">
        <f>_xlfn.XLOOKUP(A524,'[1]Global_Spot Prices'!$B:$B,'[1]Global_Spot Prices'!$I:$I)</f>
        <v>0</v>
      </c>
      <c r="G524" cm="1">
        <f t="array" ref="G524">_xlfn.XLOOKUP(TEXT(A524, "mmm-yy"), TEXT([2]RUNS!$B$5:$B$208, "mmm-yy"), [2]RUNS!$D$5:$D$208, "Not Found")</f>
        <v>28831.163002211582</v>
      </c>
      <c r="H524" cm="1">
        <f t="array" ref="H524">SUMPRODUCT(
    --(TEXT('[3]Global Weekly Stock (EWSuez'!$B$4:$B$2000,"mmm-yy")=TEXT(A524,"mmm-yy")),
    '[3]Global Weekly Stock (EWSuez'!$E$4:$E$2000)
/
SUMPRODUCT(
    --(TEXT('[3]Global Weekly Stock (EWSuez'!$B$4:$B$2000,"mmm-yy")=TEXT(A524,"mmm-yy"))
)</f>
        <v>13356.75</v>
      </c>
      <c r="I524">
        <f>_xlfn.XLOOKUP(A524,[1]ForwardDeriv!$D:$D,[1]ForwardDeriv!$AJ:$AJ)</f>
        <v>-0.29999999999999716</v>
      </c>
      <c r="J524" cm="1">
        <f t="array" ref="J524">_xlfn.XLOOKUP(TEXT(A524, "mmm-yy"), TEXT([2]GASOLINE!$B$5:$B$208, "mmm-yy"), [2]GASOLINE!$IR$5:$IR$208, "Not Found")</f>
        <v>246.23684163082211</v>
      </c>
      <c r="K524" cm="1">
        <f t="array" ref="K524">_xlfn.XLOOKUP(TEXT(A524, "mmm-yy"), TEXT([2]GASOLINE!$B$5:$B$208, "mmm-yy"), [2]GASOLINE!$IK$5:$IK$208, "Not Found")</f>
        <v>0</v>
      </c>
      <c r="L524">
        <f t="shared" si="8"/>
        <v>0</v>
      </c>
      <c r="M524" cm="1">
        <f t="array" ref="M524">_xlfn.XLOOKUP(TEXT(A524, "mmm-yy"), TEXT([2]GASOLINE!$B$5:$B$208, "mmm-yy"), [2]GASOLINE!$C$5:$C$208, "Not Found")</f>
        <v>6892.2953337902627</v>
      </c>
      <c r="N524" cm="1">
        <f t="array" ref="N524">_xlfn.XLOOKUP(TEXT(A524, "mmm-yy"), TEXT([2]RUNS!$B$5:$B$208, "mmm-yy"), [2]RUNS!$BM$5:$BM$208, "Not Found")</f>
        <v>0.85306113216770507</v>
      </c>
    </row>
    <row r="525" spans="1:14" x14ac:dyDescent="0.25">
      <c r="A525" s="1">
        <f>'[1]Global_Spot Prices'!$B1834</f>
        <v>42738</v>
      </c>
      <c r="B525">
        <f>_xlfn.XLOOKUP(A525,'[1]Global_Spot Prices'!$B:$B,'[1]Global_Spot Prices'!$BS:$BS)</f>
        <v>13.450000000000003</v>
      </c>
      <c r="C525">
        <f>_xlfn.XLOOKUP(A525,'[1]Global_Spot Prices'!$B:$B,'[1]Global_Spot Prices'!$E:$E)</f>
        <v>54.72</v>
      </c>
      <c r="D525">
        <f>_xlfn.XLOOKUP(A525,'[1]Global_Spot Prices'!$B:$B,'[1]Global_Spot Prices'!$D:$D)</f>
        <v>54.854999999999997</v>
      </c>
      <c r="E525">
        <f>_xlfn.XLOOKUP(A525,'[1]Global_Spot Prices'!$B:$B,'[1]Global_Spot Prices'!$H:$H)</f>
        <v>53.95</v>
      </c>
      <c r="F525">
        <f>_xlfn.XLOOKUP(A525,'[1]Global_Spot Prices'!$B:$B,'[1]Global_Spot Prices'!$I:$I)</f>
        <v>68.17</v>
      </c>
      <c r="G525" cm="1">
        <f t="array" ref="G525">_xlfn.XLOOKUP(TEXT(A525, "mmm-yy"), TEXT([2]RUNS!$B$5:$B$208, "mmm-yy"), [2]RUNS!$D$5:$D$208, "Not Found")</f>
        <v>28831.163002211582</v>
      </c>
      <c r="H525" cm="1">
        <f t="array" ref="H525">SUMPRODUCT(
    --(TEXT('[3]Global Weekly Stock (EWSuez'!$B$4:$B$2000,"mmm-yy")=TEXT(A525,"mmm-yy")),
    '[3]Global Weekly Stock (EWSuez'!$E$4:$E$2000)
/
SUMPRODUCT(
    --(TEXT('[3]Global Weekly Stock (EWSuez'!$B$4:$B$2000,"mmm-yy")=TEXT(A525,"mmm-yy"))
)</f>
        <v>13356.75</v>
      </c>
      <c r="I525">
        <f>_xlfn.XLOOKUP(A525,[1]ForwardDeriv!$D:$D,[1]ForwardDeriv!$AJ:$AJ)</f>
        <v>-0.29999999999999716</v>
      </c>
      <c r="J525" cm="1">
        <f t="array" ref="J525">_xlfn.XLOOKUP(TEXT(A525, "mmm-yy"), TEXT([2]GASOLINE!$B$5:$B$208, "mmm-yy"), [2]GASOLINE!$IR$5:$IR$208, "Not Found")</f>
        <v>246.23684163082211</v>
      </c>
      <c r="K525" cm="1">
        <f t="array" ref="K525">_xlfn.XLOOKUP(TEXT(A525, "mmm-yy"), TEXT([2]GASOLINE!$B$5:$B$208, "mmm-yy"), [2]GASOLINE!$IK$5:$IK$208, "Not Found")</f>
        <v>0</v>
      </c>
      <c r="L525">
        <f t="shared" si="8"/>
        <v>0</v>
      </c>
      <c r="M525" cm="1">
        <f t="array" ref="M525">_xlfn.XLOOKUP(TEXT(A525, "mmm-yy"), TEXT([2]GASOLINE!$B$5:$B$208, "mmm-yy"), [2]GASOLINE!$C$5:$C$208, "Not Found")</f>
        <v>6892.2953337902627</v>
      </c>
      <c r="N525" cm="1">
        <f t="array" ref="N525">_xlfn.XLOOKUP(TEXT(A525, "mmm-yy"), TEXT([2]RUNS!$B$5:$B$208, "mmm-yy"), [2]RUNS!$BM$5:$BM$208, "Not Found")</f>
        <v>0.85306113216770507</v>
      </c>
    </row>
    <row r="526" spans="1:14" x14ac:dyDescent="0.25">
      <c r="A526" s="1">
        <f>'[1]Global_Spot Prices'!$B1835</f>
        <v>42739</v>
      </c>
      <c r="B526">
        <f>_xlfn.XLOOKUP(A526,'[1]Global_Spot Prices'!$B:$B,'[1]Global_Spot Prices'!$BS:$BS)</f>
        <v>13.160000000000004</v>
      </c>
      <c r="C526">
        <f>_xlfn.XLOOKUP(A526,'[1]Global_Spot Prices'!$B:$B,'[1]Global_Spot Prices'!$E:$E)</f>
        <v>54.01</v>
      </c>
      <c r="D526">
        <f>_xlfn.XLOOKUP(A526,'[1]Global_Spot Prices'!$B:$B,'[1]Global_Spot Prices'!$D:$D)</f>
        <v>54.48</v>
      </c>
      <c r="E526">
        <f>_xlfn.XLOOKUP(A526,'[1]Global_Spot Prices'!$B:$B,'[1]Global_Spot Prices'!$H:$H)</f>
        <v>53.62</v>
      </c>
      <c r="F526">
        <f>_xlfn.XLOOKUP(A526,'[1]Global_Spot Prices'!$B:$B,'[1]Global_Spot Prices'!$I:$I)</f>
        <v>67.17</v>
      </c>
      <c r="G526" cm="1">
        <f t="array" ref="G526">_xlfn.XLOOKUP(TEXT(A526, "mmm-yy"), TEXT([2]RUNS!$B$5:$B$208, "mmm-yy"), [2]RUNS!$D$5:$D$208, "Not Found")</f>
        <v>28831.163002211582</v>
      </c>
      <c r="H526" cm="1">
        <f t="array" ref="H526">SUMPRODUCT(
    --(TEXT('[3]Global Weekly Stock (EWSuez'!$B$4:$B$2000,"mmm-yy")=TEXT(A526,"mmm-yy")),
    '[3]Global Weekly Stock (EWSuez'!$E$4:$E$2000)
/
SUMPRODUCT(
    --(TEXT('[3]Global Weekly Stock (EWSuez'!$B$4:$B$2000,"mmm-yy")=TEXT(A526,"mmm-yy"))
)</f>
        <v>13356.75</v>
      </c>
      <c r="I526">
        <f>_xlfn.XLOOKUP(A526,[1]ForwardDeriv!$D:$D,[1]ForwardDeriv!$AJ:$AJ)</f>
        <v>-0.20000000000000284</v>
      </c>
      <c r="J526" cm="1">
        <f t="array" ref="J526">_xlfn.XLOOKUP(TEXT(A526, "mmm-yy"), TEXT([2]GASOLINE!$B$5:$B$208, "mmm-yy"), [2]GASOLINE!$IR$5:$IR$208, "Not Found")</f>
        <v>246.23684163082211</v>
      </c>
      <c r="K526" cm="1">
        <f t="array" ref="K526">_xlfn.XLOOKUP(TEXT(A526, "mmm-yy"), TEXT([2]GASOLINE!$B$5:$B$208, "mmm-yy"), [2]GASOLINE!$IK$5:$IK$208, "Not Found")</f>
        <v>0</v>
      </c>
      <c r="L526">
        <f t="shared" si="8"/>
        <v>0</v>
      </c>
      <c r="M526" cm="1">
        <f t="array" ref="M526">_xlfn.XLOOKUP(TEXT(A526, "mmm-yy"), TEXT([2]GASOLINE!$B$5:$B$208, "mmm-yy"), [2]GASOLINE!$C$5:$C$208, "Not Found")</f>
        <v>6892.2953337902627</v>
      </c>
      <c r="N526" cm="1">
        <f t="array" ref="N526">_xlfn.XLOOKUP(TEXT(A526, "mmm-yy"), TEXT([2]RUNS!$B$5:$B$208, "mmm-yy"), [2]RUNS!$BM$5:$BM$208, "Not Found")</f>
        <v>0.85306113216770507</v>
      </c>
    </row>
    <row r="527" spans="1:14" x14ac:dyDescent="0.25">
      <c r="A527" s="1">
        <f>'[1]Global_Spot Prices'!$B1836</f>
        <v>42740</v>
      </c>
      <c r="B527">
        <f>_xlfn.XLOOKUP(A527,'[1]Global_Spot Prices'!$B:$B,'[1]Global_Spot Prices'!$BS:$BS)</f>
        <v>13.169999999999995</v>
      </c>
      <c r="C527">
        <f>_xlfn.XLOOKUP(A527,'[1]Global_Spot Prices'!$B:$B,'[1]Global_Spot Prices'!$E:$E)</f>
        <v>54.32</v>
      </c>
      <c r="D527">
        <f>_xlfn.XLOOKUP(A527,'[1]Global_Spot Prices'!$B:$B,'[1]Global_Spot Prices'!$D:$D)</f>
        <v>54.844999999999999</v>
      </c>
      <c r="E527">
        <f>_xlfn.XLOOKUP(A527,'[1]Global_Spot Prices'!$B:$B,'[1]Global_Spot Prices'!$H:$H)</f>
        <v>54.26</v>
      </c>
      <c r="F527">
        <f>_xlfn.XLOOKUP(A527,'[1]Global_Spot Prices'!$B:$B,'[1]Global_Spot Prices'!$I:$I)</f>
        <v>67.489999999999995</v>
      </c>
      <c r="G527" cm="1">
        <f t="array" ref="G527">_xlfn.XLOOKUP(TEXT(A527, "mmm-yy"), TEXT([2]RUNS!$B$5:$B$208, "mmm-yy"), [2]RUNS!$D$5:$D$208, "Not Found")</f>
        <v>28831.163002211582</v>
      </c>
      <c r="H527" cm="1">
        <f t="array" ref="H527">SUMPRODUCT(
    --(TEXT('[3]Global Weekly Stock (EWSuez'!$B$4:$B$2000,"mmm-yy")=TEXT(A527,"mmm-yy")),
    '[3]Global Weekly Stock (EWSuez'!$E$4:$E$2000)
/
SUMPRODUCT(
    --(TEXT('[3]Global Weekly Stock (EWSuez'!$B$4:$B$2000,"mmm-yy")=TEXT(A527,"mmm-yy"))
)</f>
        <v>13356.75</v>
      </c>
      <c r="I527">
        <f>_xlfn.XLOOKUP(A527,[1]ForwardDeriv!$D:$D,[1]ForwardDeriv!$AJ:$AJ)</f>
        <v>-4.9999999999997158E-2</v>
      </c>
      <c r="J527" cm="1">
        <f t="array" ref="J527">_xlfn.XLOOKUP(TEXT(A527, "mmm-yy"), TEXT([2]GASOLINE!$B$5:$B$208, "mmm-yy"), [2]GASOLINE!$IR$5:$IR$208, "Not Found")</f>
        <v>246.23684163082211</v>
      </c>
      <c r="K527" cm="1">
        <f t="array" ref="K527">_xlfn.XLOOKUP(TEXT(A527, "mmm-yy"), TEXT([2]GASOLINE!$B$5:$B$208, "mmm-yy"), [2]GASOLINE!$IK$5:$IK$208, "Not Found")</f>
        <v>0</v>
      </c>
      <c r="L527">
        <f t="shared" si="8"/>
        <v>0</v>
      </c>
      <c r="M527" cm="1">
        <f t="array" ref="M527">_xlfn.XLOOKUP(TEXT(A527, "mmm-yy"), TEXT([2]GASOLINE!$B$5:$B$208, "mmm-yy"), [2]GASOLINE!$C$5:$C$208, "Not Found")</f>
        <v>6892.2953337902627</v>
      </c>
      <c r="N527" cm="1">
        <f t="array" ref="N527">_xlfn.XLOOKUP(TEXT(A527, "mmm-yy"), TEXT([2]RUNS!$B$5:$B$208, "mmm-yy"), [2]RUNS!$BM$5:$BM$208, "Not Found")</f>
        <v>0.85306113216770507</v>
      </c>
    </row>
    <row r="528" spans="1:14" x14ac:dyDescent="0.25">
      <c r="A528" s="1">
        <f>'[1]Global_Spot Prices'!$B1837</f>
        <v>42741</v>
      </c>
      <c r="B528">
        <f>_xlfn.XLOOKUP(A528,'[1]Global_Spot Prices'!$B:$B,'[1]Global_Spot Prices'!$BS:$BS)</f>
        <v>12.510000000000005</v>
      </c>
      <c r="C528">
        <f>_xlfn.XLOOKUP(A528,'[1]Global_Spot Prices'!$B:$B,'[1]Global_Spot Prices'!$E:$E)</f>
        <v>54.5</v>
      </c>
      <c r="D528">
        <f>_xlfn.XLOOKUP(A528,'[1]Global_Spot Prices'!$B:$B,'[1]Global_Spot Prices'!$D:$D)</f>
        <v>55.83</v>
      </c>
      <c r="E528">
        <f>_xlfn.XLOOKUP(A528,'[1]Global_Spot Prices'!$B:$B,'[1]Global_Spot Prices'!$H:$H)</f>
        <v>55</v>
      </c>
      <c r="F528">
        <f>_xlfn.XLOOKUP(A528,'[1]Global_Spot Prices'!$B:$B,'[1]Global_Spot Prices'!$I:$I)</f>
        <v>67.010000000000005</v>
      </c>
      <c r="G528" cm="1">
        <f t="array" ref="G528">_xlfn.XLOOKUP(TEXT(A528, "mmm-yy"), TEXT([2]RUNS!$B$5:$B$208, "mmm-yy"), [2]RUNS!$D$5:$D$208, "Not Found")</f>
        <v>28831.163002211582</v>
      </c>
      <c r="H528" cm="1">
        <f t="array" ref="H528">SUMPRODUCT(
    --(TEXT('[3]Global Weekly Stock (EWSuez'!$B$4:$B$2000,"mmm-yy")=TEXT(A528,"mmm-yy")),
    '[3]Global Weekly Stock (EWSuez'!$E$4:$E$2000)
/
SUMPRODUCT(
    --(TEXT('[3]Global Weekly Stock (EWSuez'!$B$4:$B$2000,"mmm-yy")=TEXT(A528,"mmm-yy"))
)</f>
        <v>13356.75</v>
      </c>
      <c r="I528">
        <f>_xlfn.XLOOKUP(A528,[1]ForwardDeriv!$D:$D,[1]ForwardDeriv!$AJ:$AJ)</f>
        <v>-0.17999999999999261</v>
      </c>
      <c r="J528" cm="1">
        <f t="array" ref="J528">_xlfn.XLOOKUP(TEXT(A528, "mmm-yy"), TEXT([2]GASOLINE!$B$5:$B$208, "mmm-yy"), [2]GASOLINE!$IR$5:$IR$208, "Not Found")</f>
        <v>246.23684163082211</v>
      </c>
      <c r="K528" cm="1">
        <f t="array" ref="K528">_xlfn.XLOOKUP(TEXT(A528, "mmm-yy"), TEXT([2]GASOLINE!$B$5:$B$208, "mmm-yy"), [2]GASOLINE!$IK$5:$IK$208, "Not Found")</f>
        <v>0</v>
      </c>
      <c r="L528">
        <f t="shared" si="8"/>
        <v>0</v>
      </c>
      <c r="M528" cm="1">
        <f t="array" ref="M528">_xlfn.XLOOKUP(TEXT(A528, "mmm-yy"), TEXT([2]GASOLINE!$B$5:$B$208, "mmm-yy"), [2]GASOLINE!$C$5:$C$208, "Not Found")</f>
        <v>6892.2953337902627</v>
      </c>
      <c r="N528" cm="1">
        <f t="array" ref="N528">_xlfn.XLOOKUP(TEXT(A528, "mmm-yy"), TEXT([2]RUNS!$B$5:$B$208, "mmm-yy"), [2]RUNS!$BM$5:$BM$208, "Not Found")</f>
        <v>0.85306113216770507</v>
      </c>
    </row>
    <row r="529" spans="1:14" x14ac:dyDescent="0.25">
      <c r="A529" s="1">
        <f>'[1]Global_Spot Prices'!$B1838</f>
        <v>42744</v>
      </c>
      <c r="B529">
        <f>_xlfn.XLOOKUP(A529,'[1]Global_Spot Prices'!$B:$B,'[1]Global_Spot Prices'!$BS:$BS)</f>
        <v>12.019999999999996</v>
      </c>
      <c r="C529">
        <f>_xlfn.XLOOKUP(A529,'[1]Global_Spot Prices'!$B:$B,'[1]Global_Spot Prices'!$E:$E)</f>
        <v>54.61</v>
      </c>
      <c r="D529">
        <f>_xlfn.XLOOKUP(A529,'[1]Global_Spot Prices'!$B:$B,'[1]Global_Spot Prices'!$D:$D)</f>
        <v>54.22</v>
      </c>
      <c r="E529">
        <f>_xlfn.XLOOKUP(A529,'[1]Global_Spot Prices'!$B:$B,'[1]Global_Spot Prices'!$H:$H)</f>
        <v>55.28</v>
      </c>
      <c r="F529">
        <f>_xlfn.XLOOKUP(A529,'[1]Global_Spot Prices'!$B:$B,'[1]Global_Spot Prices'!$I:$I)</f>
        <v>66.63</v>
      </c>
      <c r="G529" cm="1">
        <f t="array" ref="G529">_xlfn.XLOOKUP(TEXT(A529, "mmm-yy"), TEXT([2]RUNS!$B$5:$B$208, "mmm-yy"), [2]RUNS!$D$5:$D$208, "Not Found")</f>
        <v>28831.163002211582</v>
      </c>
      <c r="H529" cm="1">
        <f t="array" ref="H529">SUMPRODUCT(
    --(TEXT('[3]Global Weekly Stock (EWSuez'!$B$4:$B$2000,"mmm-yy")=TEXT(A529,"mmm-yy")),
    '[3]Global Weekly Stock (EWSuez'!$E$4:$E$2000)
/
SUMPRODUCT(
    --(TEXT('[3]Global Weekly Stock (EWSuez'!$B$4:$B$2000,"mmm-yy")=TEXT(A529,"mmm-yy"))
)</f>
        <v>13356.75</v>
      </c>
      <c r="I529">
        <f>_xlfn.XLOOKUP(A529,[1]ForwardDeriv!$D:$D,[1]ForwardDeriv!$AJ:$AJ)</f>
        <v>-0.17000000000000171</v>
      </c>
      <c r="J529" cm="1">
        <f t="array" ref="J529">_xlfn.XLOOKUP(TEXT(A529, "mmm-yy"), TEXT([2]GASOLINE!$B$5:$B$208, "mmm-yy"), [2]GASOLINE!$IR$5:$IR$208, "Not Found")</f>
        <v>246.23684163082211</v>
      </c>
      <c r="K529" cm="1">
        <f t="array" ref="K529">_xlfn.XLOOKUP(TEXT(A529, "mmm-yy"), TEXT([2]GASOLINE!$B$5:$B$208, "mmm-yy"), [2]GASOLINE!$IK$5:$IK$208, "Not Found")</f>
        <v>0</v>
      </c>
      <c r="L529">
        <f t="shared" si="8"/>
        <v>0</v>
      </c>
      <c r="M529" cm="1">
        <f t="array" ref="M529">_xlfn.XLOOKUP(TEXT(A529, "mmm-yy"), TEXT([2]GASOLINE!$B$5:$B$208, "mmm-yy"), [2]GASOLINE!$C$5:$C$208, "Not Found")</f>
        <v>6892.2953337902627</v>
      </c>
      <c r="N529" cm="1">
        <f t="array" ref="N529">_xlfn.XLOOKUP(TEXT(A529, "mmm-yy"), TEXT([2]RUNS!$B$5:$B$208, "mmm-yy"), [2]RUNS!$BM$5:$BM$208, "Not Found")</f>
        <v>0.85306113216770507</v>
      </c>
    </row>
    <row r="530" spans="1:14" x14ac:dyDescent="0.25">
      <c r="A530" s="1">
        <f>'[1]Global_Spot Prices'!$B1839</f>
        <v>42745</v>
      </c>
      <c r="B530">
        <f>_xlfn.XLOOKUP(A530,'[1]Global_Spot Prices'!$B:$B,'[1]Global_Spot Prices'!$BS:$BS)</f>
        <v>11.760000000000005</v>
      </c>
      <c r="C530">
        <f>_xlfn.XLOOKUP(A530,'[1]Global_Spot Prices'!$B:$B,'[1]Global_Spot Prices'!$E:$E)</f>
        <v>53.11</v>
      </c>
      <c r="D530">
        <f>_xlfn.XLOOKUP(A530,'[1]Global_Spot Prices'!$B:$B,'[1]Global_Spot Prices'!$D:$D)</f>
        <v>53.21</v>
      </c>
      <c r="E530">
        <f>_xlfn.XLOOKUP(A530,'[1]Global_Spot Prices'!$B:$B,'[1]Global_Spot Prices'!$H:$H)</f>
        <v>54.49</v>
      </c>
      <c r="F530">
        <f>_xlfn.XLOOKUP(A530,'[1]Global_Spot Prices'!$B:$B,'[1]Global_Spot Prices'!$I:$I)</f>
        <v>64.87</v>
      </c>
      <c r="G530" cm="1">
        <f t="array" ref="G530">_xlfn.XLOOKUP(TEXT(A530, "mmm-yy"), TEXT([2]RUNS!$B$5:$B$208, "mmm-yy"), [2]RUNS!$D$5:$D$208, "Not Found")</f>
        <v>28831.163002211582</v>
      </c>
      <c r="H530" cm="1">
        <f t="array" ref="H530">SUMPRODUCT(
    --(TEXT('[3]Global Weekly Stock (EWSuez'!$B$4:$B$2000,"mmm-yy")=TEXT(A530,"mmm-yy")),
    '[3]Global Weekly Stock (EWSuez'!$E$4:$E$2000)
/
SUMPRODUCT(
    --(TEXT('[3]Global Weekly Stock (EWSuez'!$B$4:$B$2000,"mmm-yy")=TEXT(A530,"mmm-yy"))
)</f>
        <v>13356.75</v>
      </c>
      <c r="I530">
        <f>_xlfn.XLOOKUP(A530,[1]ForwardDeriv!$D:$D,[1]ForwardDeriv!$AJ:$AJ)</f>
        <v>-0.28999999999999204</v>
      </c>
      <c r="J530" cm="1">
        <f t="array" ref="J530">_xlfn.XLOOKUP(TEXT(A530, "mmm-yy"), TEXT([2]GASOLINE!$B$5:$B$208, "mmm-yy"), [2]GASOLINE!$IR$5:$IR$208, "Not Found")</f>
        <v>246.23684163082211</v>
      </c>
      <c r="K530" cm="1">
        <f t="array" ref="K530">_xlfn.XLOOKUP(TEXT(A530, "mmm-yy"), TEXT([2]GASOLINE!$B$5:$B$208, "mmm-yy"), [2]GASOLINE!$IK$5:$IK$208, "Not Found")</f>
        <v>0</v>
      </c>
      <c r="L530">
        <f t="shared" si="8"/>
        <v>0</v>
      </c>
      <c r="M530" cm="1">
        <f t="array" ref="M530">_xlfn.XLOOKUP(TEXT(A530, "mmm-yy"), TEXT([2]GASOLINE!$B$5:$B$208, "mmm-yy"), [2]GASOLINE!$C$5:$C$208, "Not Found")</f>
        <v>6892.2953337902627</v>
      </c>
      <c r="N530" cm="1">
        <f t="array" ref="N530">_xlfn.XLOOKUP(TEXT(A530, "mmm-yy"), TEXT([2]RUNS!$B$5:$B$208, "mmm-yy"), [2]RUNS!$BM$5:$BM$208, "Not Found")</f>
        <v>0.85306113216770507</v>
      </c>
    </row>
    <row r="531" spans="1:14" x14ac:dyDescent="0.25">
      <c r="A531" s="1">
        <f>'[1]Global_Spot Prices'!$B1840</f>
        <v>42746</v>
      </c>
      <c r="B531">
        <f>_xlfn.XLOOKUP(A531,'[1]Global_Spot Prices'!$B:$B,'[1]Global_Spot Prices'!$BS:$BS)</f>
        <v>12.380000000000003</v>
      </c>
      <c r="C531">
        <f>_xlfn.XLOOKUP(A531,'[1]Global_Spot Prices'!$B:$B,'[1]Global_Spot Prices'!$E:$E)</f>
        <v>51.9</v>
      </c>
      <c r="D531">
        <f>_xlfn.XLOOKUP(A531,'[1]Global_Spot Prices'!$B:$B,'[1]Global_Spot Prices'!$D:$D)</f>
        <v>53.814999999999998</v>
      </c>
      <c r="E531">
        <f>_xlfn.XLOOKUP(A531,'[1]Global_Spot Prices'!$B:$B,'[1]Global_Spot Prices'!$H:$H)</f>
        <v>53.71</v>
      </c>
      <c r="F531">
        <f>_xlfn.XLOOKUP(A531,'[1]Global_Spot Prices'!$B:$B,'[1]Global_Spot Prices'!$I:$I)</f>
        <v>64.28</v>
      </c>
      <c r="G531" cm="1">
        <f t="array" ref="G531">_xlfn.XLOOKUP(TEXT(A531, "mmm-yy"), TEXT([2]RUNS!$B$5:$B$208, "mmm-yy"), [2]RUNS!$D$5:$D$208, "Not Found")</f>
        <v>28831.163002211582</v>
      </c>
      <c r="H531" cm="1">
        <f t="array" ref="H531">SUMPRODUCT(
    --(TEXT('[3]Global Weekly Stock (EWSuez'!$B$4:$B$2000,"mmm-yy")=TEXT(A531,"mmm-yy")),
    '[3]Global Weekly Stock (EWSuez'!$E$4:$E$2000)
/
SUMPRODUCT(
    --(TEXT('[3]Global Weekly Stock (EWSuez'!$B$4:$B$2000,"mmm-yy")=TEXT(A531,"mmm-yy"))
)</f>
        <v>13356.75</v>
      </c>
      <c r="I531">
        <f>_xlfn.XLOOKUP(A531,[1]ForwardDeriv!$D:$D,[1]ForwardDeriv!$AJ:$AJ)</f>
        <v>-0.12999999999999545</v>
      </c>
      <c r="J531" cm="1">
        <f t="array" ref="J531">_xlfn.XLOOKUP(TEXT(A531, "mmm-yy"), TEXT([2]GASOLINE!$B$5:$B$208, "mmm-yy"), [2]GASOLINE!$IR$5:$IR$208, "Not Found")</f>
        <v>246.23684163082211</v>
      </c>
      <c r="K531" cm="1">
        <f t="array" ref="K531">_xlfn.XLOOKUP(TEXT(A531, "mmm-yy"), TEXT([2]GASOLINE!$B$5:$B$208, "mmm-yy"), [2]GASOLINE!$IK$5:$IK$208, "Not Found")</f>
        <v>0</v>
      </c>
      <c r="L531">
        <f t="shared" si="8"/>
        <v>0</v>
      </c>
      <c r="M531" cm="1">
        <f t="array" ref="M531">_xlfn.XLOOKUP(TEXT(A531, "mmm-yy"), TEXT([2]GASOLINE!$B$5:$B$208, "mmm-yy"), [2]GASOLINE!$C$5:$C$208, "Not Found")</f>
        <v>6892.2953337902627</v>
      </c>
      <c r="N531" cm="1">
        <f t="array" ref="N531">_xlfn.XLOOKUP(TEXT(A531, "mmm-yy"), TEXT([2]RUNS!$B$5:$B$208, "mmm-yy"), [2]RUNS!$BM$5:$BM$208, "Not Found")</f>
        <v>0.85306113216770507</v>
      </c>
    </row>
    <row r="532" spans="1:14" x14ac:dyDescent="0.25">
      <c r="A532" s="1">
        <f>'[1]Global_Spot Prices'!$B1841</f>
        <v>42747</v>
      </c>
      <c r="B532">
        <f>_xlfn.XLOOKUP(A532,'[1]Global_Spot Prices'!$B:$B,'[1]Global_Spot Prices'!$BS:$BS)</f>
        <v>12.969999999999999</v>
      </c>
      <c r="C532">
        <f>_xlfn.XLOOKUP(A532,'[1]Global_Spot Prices'!$B:$B,'[1]Global_Spot Prices'!$E:$E)</f>
        <v>53.41</v>
      </c>
      <c r="D532">
        <f>_xlfn.XLOOKUP(A532,'[1]Global_Spot Prices'!$B:$B,'[1]Global_Spot Prices'!$D:$D)</f>
        <v>54.92</v>
      </c>
      <c r="E532">
        <f>_xlfn.XLOOKUP(A532,'[1]Global_Spot Prices'!$B:$B,'[1]Global_Spot Prices'!$H:$H)</f>
        <v>56.65</v>
      </c>
      <c r="F532">
        <f>_xlfn.XLOOKUP(A532,'[1]Global_Spot Prices'!$B:$B,'[1]Global_Spot Prices'!$I:$I)</f>
        <v>66.38</v>
      </c>
      <c r="G532" cm="1">
        <f t="array" ref="G532">_xlfn.XLOOKUP(TEXT(A532, "mmm-yy"), TEXT([2]RUNS!$B$5:$B$208, "mmm-yy"), [2]RUNS!$D$5:$D$208, "Not Found")</f>
        <v>28831.163002211582</v>
      </c>
      <c r="H532" cm="1">
        <f t="array" ref="H532">SUMPRODUCT(
    --(TEXT('[3]Global Weekly Stock (EWSuez'!$B$4:$B$2000,"mmm-yy")=TEXT(A532,"mmm-yy")),
    '[3]Global Weekly Stock (EWSuez'!$E$4:$E$2000)
/
SUMPRODUCT(
    --(TEXT('[3]Global Weekly Stock (EWSuez'!$B$4:$B$2000,"mmm-yy")=TEXT(A532,"mmm-yy"))
)</f>
        <v>13356.75</v>
      </c>
      <c r="I532">
        <f>_xlfn.XLOOKUP(A532,[1]ForwardDeriv!$D:$D,[1]ForwardDeriv!$AJ:$AJ)</f>
        <v>5.0000000000011369E-2</v>
      </c>
      <c r="J532" cm="1">
        <f t="array" ref="J532">_xlfn.XLOOKUP(TEXT(A532, "mmm-yy"), TEXT([2]GASOLINE!$B$5:$B$208, "mmm-yy"), [2]GASOLINE!$IR$5:$IR$208, "Not Found")</f>
        <v>246.23684163082211</v>
      </c>
      <c r="K532" cm="1">
        <f t="array" ref="K532">_xlfn.XLOOKUP(TEXT(A532, "mmm-yy"), TEXT([2]GASOLINE!$B$5:$B$208, "mmm-yy"), [2]GASOLINE!$IK$5:$IK$208, "Not Found")</f>
        <v>0</v>
      </c>
      <c r="L532">
        <f t="shared" si="8"/>
        <v>0</v>
      </c>
      <c r="M532" cm="1">
        <f t="array" ref="M532">_xlfn.XLOOKUP(TEXT(A532, "mmm-yy"), TEXT([2]GASOLINE!$B$5:$B$208, "mmm-yy"), [2]GASOLINE!$C$5:$C$208, "Not Found")</f>
        <v>6892.2953337902627</v>
      </c>
      <c r="N532" cm="1">
        <f t="array" ref="N532">_xlfn.XLOOKUP(TEXT(A532, "mmm-yy"), TEXT([2]RUNS!$B$5:$B$208, "mmm-yy"), [2]RUNS!$BM$5:$BM$208, "Not Found")</f>
        <v>0.85306113216770507</v>
      </c>
    </row>
    <row r="533" spans="1:14" x14ac:dyDescent="0.25">
      <c r="A533" s="1">
        <f>'[1]Global_Spot Prices'!$B1842</f>
        <v>42748</v>
      </c>
      <c r="B533">
        <f>_xlfn.XLOOKUP(A533,'[1]Global_Spot Prices'!$B:$B,'[1]Global_Spot Prices'!$BS:$BS)</f>
        <v>13.839999999999996</v>
      </c>
      <c r="C533">
        <f>_xlfn.XLOOKUP(A533,'[1]Global_Spot Prices'!$B:$B,'[1]Global_Spot Prices'!$E:$E)</f>
        <v>54.01</v>
      </c>
      <c r="D533">
        <f>_xlfn.XLOOKUP(A533,'[1]Global_Spot Prices'!$B:$B,'[1]Global_Spot Prices'!$D:$D)</f>
        <v>54.5</v>
      </c>
      <c r="E533">
        <f>_xlfn.XLOOKUP(A533,'[1]Global_Spot Prices'!$B:$B,'[1]Global_Spot Prices'!$H:$H)</f>
        <v>56.59</v>
      </c>
      <c r="F533">
        <f>_xlfn.XLOOKUP(A533,'[1]Global_Spot Prices'!$B:$B,'[1]Global_Spot Prices'!$I:$I)</f>
        <v>67.849999999999994</v>
      </c>
      <c r="G533" cm="1">
        <f t="array" ref="G533">_xlfn.XLOOKUP(TEXT(A533, "mmm-yy"), TEXT([2]RUNS!$B$5:$B$208, "mmm-yy"), [2]RUNS!$D$5:$D$208, "Not Found")</f>
        <v>28831.163002211582</v>
      </c>
      <c r="H533" cm="1">
        <f t="array" ref="H533">SUMPRODUCT(
    --(TEXT('[3]Global Weekly Stock (EWSuez'!$B$4:$B$2000,"mmm-yy")=TEXT(A533,"mmm-yy")),
    '[3]Global Weekly Stock (EWSuez'!$E$4:$E$2000)
/
SUMPRODUCT(
    --(TEXT('[3]Global Weekly Stock (EWSuez'!$B$4:$B$2000,"mmm-yy")=TEXT(A533,"mmm-yy"))
)</f>
        <v>13356.75</v>
      </c>
      <c r="I533">
        <f>_xlfn.XLOOKUP(A533,[1]ForwardDeriv!$D:$D,[1]ForwardDeriv!$AJ:$AJ)</f>
        <v>0.10999999999999943</v>
      </c>
      <c r="J533" cm="1">
        <f t="array" ref="J533">_xlfn.XLOOKUP(TEXT(A533, "mmm-yy"), TEXT([2]GASOLINE!$B$5:$B$208, "mmm-yy"), [2]GASOLINE!$IR$5:$IR$208, "Not Found")</f>
        <v>246.23684163082211</v>
      </c>
      <c r="K533" cm="1">
        <f t="array" ref="K533">_xlfn.XLOOKUP(TEXT(A533, "mmm-yy"), TEXT([2]GASOLINE!$B$5:$B$208, "mmm-yy"), [2]GASOLINE!$IK$5:$IK$208, "Not Found")</f>
        <v>0</v>
      </c>
      <c r="L533">
        <f t="shared" si="8"/>
        <v>0</v>
      </c>
      <c r="M533" cm="1">
        <f t="array" ref="M533">_xlfn.XLOOKUP(TEXT(A533, "mmm-yy"), TEXT([2]GASOLINE!$B$5:$B$208, "mmm-yy"), [2]GASOLINE!$C$5:$C$208, "Not Found")</f>
        <v>6892.2953337902627</v>
      </c>
      <c r="N533" cm="1">
        <f t="array" ref="N533">_xlfn.XLOOKUP(TEXT(A533, "mmm-yy"), TEXT([2]RUNS!$B$5:$B$208, "mmm-yy"), [2]RUNS!$BM$5:$BM$208, "Not Found")</f>
        <v>0.85306113216770507</v>
      </c>
    </row>
    <row r="534" spans="1:14" x14ac:dyDescent="0.25">
      <c r="A534" s="1">
        <f>'[1]Global_Spot Prices'!$B1843</f>
        <v>42751</v>
      </c>
      <c r="B534">
        <f>_xlfn.XLOOKUP(A534,'[1]Global_Spot Prices'!$B:$B,'[1]Global_Spot Prices'!$BS:$BS)</f>
        <v>13.409999999999997</v>
      </c>
      <c r="C534">
        <f>_xlfn.XLOOKUP(A534,'[1]Global_Spot Prices'!$B:$B,'[1]Global_Spot Prices'!$E:$E)</f>
        <v>53.36</v>
      </c>
      <c r="D534">
        <f>_xlfn.XLOOKUP(A534,'[1]Global_Spot Prices'!$B:$B,'[1]Global_Spot Prices'!$D:$D)</f>
        <v>54.34</v>
      </c>
      <c r="E534">
        <f>_xlfn.XLOOKUP(A534,'[1]Global_Spot Prices'!$B:$B,'[1]Global_Spot Prices'!$H:$H)</f>
        <v>55.54</v>
      </c>
      <c r="F534">
        <f>_xlfn.XLOOKUP(A534,'[1]Global_Spot Prices'!$B:$B,'[1]Global_Spot Prices'!$I:$I)</f>
        <v>66.77</v>
      </c>
      <c r="G534" cm="1">
        <f t="array" ref="G534">_xlfn.XLOOKUP(TEXT(A534, "mmm-yy"), TEXT([2]RUNS!$B$5:$B$208, "mmm-yy"), [2]RUNS!$D$5:$D$208, "Not Found")</f>
        <v>28831.163002211582</v>
      </c>
      <c r="H534" cm="1">
        <f t="array" ref="H534">SUMPRODUCT(
    --(TEXT('[3]Global Weekly Stock (EWSuez'!$B$4:$B$2000,"mmm-yy")=TEXT(A534,"mmm-yy")),
    '[3]Global Weekly Stock (EWSuez'!$E$4:$E$2000)
/
SUMPRODUCT(
    --(TEXT('[3]Global Weekly Stock (EWSuez'!$B$4:$B$2000,"mmm-yy")=TEXT(A534,"mmm-yy"))
)</f>
        <v>13356.75</v>
      </c>
      <c r="I534">
        <f>_xlfn.XLOOKUP(A534,[1]ForwardDeriv!$D:$D,[1]ForwardDeriv!$AJ:$AJ)</f>
        <v>0.12999999999999545</v>
      </c>
      <c r="J534" cm="1">
        <f t="array" ref="J534">_xlfn.XLOOKUP(TEXT(A534, "mmm-yy"), TEXT([2]GASOLINE!$B$5:$B$208, "mmm-yy"), [2]GASOLINE!$IR$5:$IR$208, "Not Found")</f>
        <v>246.23684163082211</v>
      </c>
      <c r="K534" cm="1">
        <f t="array" ref="K534">_xlfn.XLOOKUP(TEXT(A534, "mmm-yy"), TEXT([2]GASOLINE!$B$5:$B$208, "mmm-yy"), [2]GASOLINE!$IK$5:$IK$208, "Not Found")</f>
        <v>0</v>
      </c>
      <c r="L534">
        <f t="shared" si="8"/>
        <v>0</v>
      </c>
      <c r="M534" cm="1">
        <f t="array" ref="M534">_xlfn.XLOOKUP(TEXT(A534, "mmm-yy"), TEXT([2]GASOLINE!$B$5:$B$208, "mmm-yy"), [2]GASOLINE!$C$5:$C$208, "Not Found")</f>
        <v>6892.2953337902627</v>
      </c>
      <c r="N534" cm="1">
        <f t="array" ref="N534">_xlfn.XLOOKUP(TEXT(A534, "mmm-yy"), TEXT([2]RUNS!$B$5:$B$208, "mmm-yy"), [2]RUNS!$BM$5:$BM$208, "Not Found")</f>
        <v>0.85306113216770507</v>
      </c>
    </row>
    <row r="535" spans="1:14" x14ac:dyDescent="0.25">
      <c r="A535" s="1">
        <f>'[1]Global_Spot Prices'!$B1844</f>
        <v>42752</v>
      </c>
      <c r="B535">
        <f>_xlfn.XLOOKUP(A535,'[1]Global_Spot Prices'!$B:$B,'[1]Global_Spot Prices'!$BS:$BS)</f>
        <v>13.63000000000001</v>
      </c>
      <c r="C535">
        <f>_xlfn.XLOOKUP(A535,'[1]Global_Spot Prices'!$B:$B,'[1]Global_Spot Prices'!$E:$E)</f>
        <v>53.91</v>
      </c>
      <c r="D535">
        <f>_xlfn.XLOOKUP(A535,'[1]Global_Spot Prices'!$B:$B,'[1]Global_Spot Prices'!$D:$D)</f>
        <v>54.77</v>
      </c>
      <c r="E535">
        <f>_xlfn.XLOOKUP(A535,'[1]Global_Spot Prices'!$B:$B,'[1]Global_Spot Prices'!$H:$H)</f>
        <v>55.91</v>
      </c>
      <c r="F535">
        <f>_xlfn.XLOOKUP(A535,'[1]Global_Spot Prices'!$B:$B,'[1]Global_Spot Prices'!$I:$I)</f>
        <v>67.540000000000006</v>
      </c>
      <c r="G535" cm="1">
        <f t="array" ref="G535">_xlfn.XLOOKUP(TEXT(A535, "mmm-yy"), TEXT([2]RUNS!$B$5:$B$208, "mmm-yy"), [2]RUNS!$D$5:$D$208, "Not Found")</f>
        <v>28831.163002211582</v>
      </c>
      <c r="H535" cm="1">
        <f t="array" ref="H535">SUMPRODUCT(
    --(TEXT('[3]Global Weekly Stock (EWSuez'!$B$4:$B$2000,"mmm-yy")=TEXT(A535,"mmm-yy")),
    '[3]Global Weekly Stock (EWSuez'!$E$4:$E$2000)
/
SUMPRODUCT(
    --(TEXT('[3]Global Weekly Stock (EWSuez'!$B$4:$B$2000,"mmm-yy")=TEXT(A535,"mmm-yy"))
)</f>
        <v>13356.75</v>
      </c>
      <c r="I535">
        <f>_xlfn.XLOOKUP(A535,[1]ForwardDeriv!$D:$D,[1]ForwardDeriv!$AJ:$AJ)</f>
        <v>0.21999999999999886</v>
      </c>
      <c r="J535" cm="1">
        <f t="array" ref="J535">_xlfn.XLOOKUP(TEXT(A535, "mmm-yy"), TEXT([2]GASOLINE!$B$5:$B$208, "mmm-yy"), [2]GASOLINE!$IR$5:$IR$208, "Not Found")</f>
        <v>246.23684163082211</v>
      </c>
      <c r="K535" cm="1">
        <f t="array" ref="K535">_xlfn.XLOOKUP(TEXT(A535, "mmm-yy"), TEXT([2]GASOLINE!$B$5:$B$208, "mmm-yy"), [2]GASOLINE!$IK$5:$IK$208, "Not Found")</f>
        <v>0</v>
      </c>
      <c r="L535">
        <f t="shared" si="8"/>
        <v>0</v>
      </c>
      <c r="M535" cm="1">
        <f t="array" ref="M535">_xlfn.XLOOKUP(TEXT(A535, "mmm-yy"), TEXT([2]GASOLINE!$B$5:$B$208, "mmm-yy"), [2]GASOLINE!$C$5:$C$208, "Not Found")</f>
        <v>6892.2953337902627</v>
      </c>
      <c r="N535" cm="1">
        <f t="array" ref="N535">_xlfn.XLOOKUP(TEXT(A535, "mmm-yy"), TEXT([2]RUNS!$B$5:$B$208, "mmm-yy"), [2]RUNS!$BM$5:$BM$208, "Not Found")</f>
        <v>0.85306113216770507</v>
      </c>
    </row>
    <row r="536" spans="1:14" x14ac:dyDescent="0.25">
      <c r="A536" s="1">
        <f>'[1]Global_Spot Prices'!$B1845</f>
        <v>42753</v>
      </c>
      <c r="B536">
        <f>_xlfn.XLOOKUP(A536,'[1]Global_Spot Prices'!$B:$B,'[1]Global_Spot Prices'!$BS:$BS)</f>
        <v>13.890000000000008</v>
      </c>
      <c r="C536">
        <f>_xlfn.XLOOKUP(A536,'[1]Global_Spot Prices'!$B:$B,'[1]Global_Spot Prices'!$E:$E)</f>
        <v>53.9</v>
      </c>
      <c r="D536">
        <f>_xlfn.XLOOKUP(A536,'[1]Global_Spot Prices'!$B:$B,'[1]Global_Spot Prices'!$D:$D)</f>
        <v>54.2</v>
      </c>
      <c r="E536">
        <f>_xlfn.XLOOKUP(A536,'[1]Global_Spot Prices'!$B:$B,'[1]Global_Spot Prices'!$H:$H)</f>
        <v>56.24</v>
      </c>
      <c r="F536">
        <f>_xlfn.XLOOKUP(A536,'[1]Global_Spot Prices'!$B:$B,'[1]Global_Spot Prices'!$I:$I)</f>
        <v>67.790000000000006</v>
      </c>
      <c r="G536" cm="1">
        <f t="array" ref="G536">_xlfn.XLOOKUP(TEXT(A536, "mmm-yy"), TEXT([2]RUNS!$B$5:$B$208, "mmm-yy"), [2]RUNS!$D$5:$D$208, "Not Found")</f>
        <v>28831.163002211582</v>
      </c>
      <c r="H536" cm="1">
        <f t="array" ref="H536">SUMPRODUCT(
    --(TEXT('[3]Global Weekly Stock (EWSuez'!$B$4:$B$2000,"mmm-yy")=TEXT(A536,"mmm-yy")),
    '[3]Global Weekly Stock (EWSuez'!$E$4:$E$2000)
/
SUMPRODUCT(
    --(TEXT('[3]Global Weekly Stock (EWSuez'!$B$4:$B$2000,"mmm-yy")=TEXT(A536,"mmm-yy"))
)</f>
        <v>13356.75</v>
      </c>
      <c r="I536">
        <f>_xlfn.XLOOKUP(A536,[1]ForwardDeriv!$D:$D,[1]ForwardDeriv!$AJ:$AJ)</f>
        <v>0.21999999999999886</v>
      </c>
      <c r="J536" cm="1">
        <f t="array" ref="J536">_xlfn.XLOOKUP(TEXT(A536, "mmm-yy"), TEXT([2]GASOLINE!$B$5:$B$208, "mmm-yy"), [2]GASOLINE!$IR$5:$IR$208, "Not Found")</f>
        <v>246.23684163082211</v>
      </c>
      <c r="K536" cm="1">
        <f t="array" ref="K536">_xlfn.XLOOKUP(TEXT(A536, "mmm-yy"), TEXT([2]GASOLINE!$B$5:$B$208, "mmm-yy"), [2]GASOLINE!$IK$5:$IK$208, "Not Found")</f>
        <v>0</v>
      </c>
      <c r="L536">
        <f t="shared" si="8"/>
        <v>0</v>
      </c>
      <c r="M536" cm="1">
        <f t="array" ref="M536">_xlfn.XLOOKUP(TEXT(A536, "mmm-yy"), TEXT([2]GASOLINE!$B$5:$B$208, "mmm-yy"), [2]GASOLINE!$C$5:$C$208, "Not Found")</f>
        <v>6892.2953337902627</v>
      </c>
      <c r="N536" cm="1">
        <f t="array" ref="N536">_xlfn.XLOOKUP(TEXT(A536, "mmm-yy"), TEXT([2]RUNS!$B$5:$B$208, "mmm-yy"), [2]RUNS!$BM$5:$BM$208, "Not Found")</f>
        <v>0.85306113216770507</v>
      </c>
    </row>
    <row r="537" spans="1:14" x14ac:dyDescent="0.25">
      <c r="A537" s="1">
        <f>'[1]Global_Spot Prices'!$B1846</f>
        <v>42754</v>
      </c>
      <c r="B537">
        <f>_xlfn.XLOOKUP(A537,'[1]Global_Spot Prices'!$B:$B,'[1]Global_Spot Prices'!$BS:$BS)</f>
        <v>13.239999999999995</v>
      </c>
      <c r="C537">
        <f>_xlfn.XLOOKUP(A537,'[1]Global_Spot Prices'!$B:$B,'[1]Global_Spot Prices'!$E:$E)</f>
        <v>53.06</v>
      </c>
      <c r="D537">
        <f>_xlfn.XLOOKUP(A537,'[1]Global_Spot Prices'!$B:$B,'[1]Global_Spot Prices'!$D:$D)</f>
        <v>53.305</v>
      </c>
      <c r="E537">
        <f>_xlfn.XLOOKUP(A537,'[1]Global_Spot Prices'!$B:$B,'[1]Global_Spot Prices'!$H:$H)</f>
        <v>55.28</v>
      </c>
      <c r="F537">
        <f>_xlfn.XLOOKUP(A537,'[1]Global_Spot Prices'!$B:$B,'[1]Global_Spot Prices'!$I:$I)</f>
        <v>66.3</v>
      </c>
      <c r="G537" cm="1">
        <f t="array" ref="G537">_xlfn.XLOOKUP(TEXT(A537, "mmm-yy"), TEXT([2]RUNS!$B$5:$B$208, "mmm-yy"), [2]RUNS!$D$5:$D$208, "Not Found")</f>
        <v>28831.163002211582</v>
      </c>
      <c r="H537" cm="1">
        <f t="array" ref="H537">SUMPRODUCT(
    --(TEXT('[3]Global Weekly Stock (EWSuez'!$B$4:$B$2000,"mmm-yy")=TEXT(A537,"mmm-yy")),
    '[3]Global Weekly Stock (EWSuez'!$E$4:$E$2000)
/
SUMPRODUCT(
    --(TEXT('[3]Global Weekly Stock (EWSuez'!$B$4:$B$2000,"mmm-yy")=TEXT(A537,"mmm-yy"))
)</f>
        <v>13356.75</v>
      </c>
      <c r="I537">
        <f>_xlfn.XLOOKUP(A537,[1]ForwardDeriv!$D:$D,[1]ForwardDeriv!$AJ:$AJ)</f>
        <v>0.12999999999999545</v>
      </c>
      <c r="J537" cm="1">
        <f t="array" ref="J537">_xlfn.XLOOKUP(TEXT(A537, "mmm-yy"), TEXT([2]GASOLINE!$B$5:$B$208, "mmm-yy"), [2]GASOLINE!$IR$5:$IR$208, "Not Found")</f>
        <v>246.23684163082211</v>
      </c>
      <c r="K537" cm="1">
        <f t="array" ref="K537">_xlfn.XLOOKUP(TEXT(A537, "mmm-yy"), TEXT([2]GASOLINE!$B$5:$B$208, "mmm-yy"), [2]GASOLINE!$IK$5:$IK$208, "Not Found")</f>
        <v>0</v>
      </c>
      <c r="L537">
        <f t="shared" si="8"/>
        <v>0</v>
      </c>
      <c r="M537" cm="1">
        <f t="array" ref="M537">_xlfn.XLOOKUP(TEXT(A537, "mmm-yy"), TEXT([2]GASOLINE!$B$5:$B$208, "mmm-yy"), [2]GASOLINE!$C$5:$C$208, "Not Found")</f>
        <v>6892.2953337902627</v>
      </c>
      <c r="N537" cm="1">
        <f t="array" ref="N537">_xlfn.XLOOKUP(TEXT(A537, "mmm-yy"), TEXT([2]RUNS!$B$5:$B$208, "mmm-yy"), [2]RUNS!$BM$5:$BM$208, "Not Found")</f>
        <v>0.85306113216770507</v>
      </c>
    </row>
    <row r="538" spans="1:14" x14ac:dyDescent="0.25">
      <c r="A538" s="1">
        <f>'[1]Global_Spot Prices'!$B1847</f>
        <v>42755</v>
      </c>
      <c r="B538">
        <f>_xlfn.XLOOKUP(A538,'[1]Global_Spot Prices'!$B:$B,'[1]Global_Spot Prices'!$BS:$BS)</f>
        <v>13.149999999999999</v>
      </c>
      <c r="C538">
        <f>_xlfn.XLOOKUP(A538,'[1]Global_Spot Prices'!$B:$B,'[1]Global_Spot Prices'!$E:$E)</f>
        <v>52.9</v>
      </c>
      <c r="D538">
        <f>_xlfn.XLOOKUP(A538,'[1]Global_Spot Prices'!$B:$B,'[1]Global_Spot Prices'!$D:$D)</f>
        <v>54.715000000000003</v>
      </c>
      <c r="E538">
        <f>_xlfn.XLOOKUP(A538,'[1]Global_Spot Prices'!$B:$B,'[1]Global_Spot Prices'!$H:$H)</f>
        <v>55.74</v>
      </c>
      <c r="F538">
        <f>_xlfn.XLOOKUP(A538,'[1]Global_Spot Prices'!$B:$B,'[1]Global_Spot Prices'!$I:$I)</f>
        <v>66.05</v>
      </c>
      <c r="G538" cm="1">
        <f t="array" ref="G538">_xlfn.XLOOKUP(TEXT(A538, "mmm-yy"), TEXT([2]RUNS!$B$5:$B$208, "mmm-yy"), [2]RUNS!$D$5:$D$208, "Not Found")</f>
        <v>28831.163002211582</v>
      </c>
      <c r="H538" cm="1">
        <f t="array" ref="H538">SUMPRODUCT(
    --(TEXT('[3]Global Weekly Stock (EWSuez'!$B$4:$B$2000,"mmm-yy")=TEXT(A538,"mmm-yy")),
    '[3]Global Weekly Stock (EWSuez'!$E$4:$E$2000)
/
SUMPRODUCT(
    --(TEXT('[3]Global Weekly Stock (EWSuez'!$B$4:$B$2000,"mmm-yy")=TEXT(A538,"mmm-yy"))
)</f>
        <v>13356.75</v>
      </c>
      <c r="I538">
        <f>_xlfn.XLOOKUP(A538,[1]ForwardDeriv!$D:$D,[1]ForwardDeriv!$AJ:$AJ)</f>
        <v>0.11999999999999034</v>
      </c>
      <c r="J538" cm="1">
        <f t="array" ref="J538">_xlfn.XLOOKUP(TEXT(A538, "mmm-yy"), TEXT([2]GASOLINE!$B$5:$B$208, "mmm-yy"), [2]GASOLINE!$IR$5:$IR$208, "Not Found")</f>
        <v>246.23684163082211</v>
      </c>
      <c r="K538" cm="1">
        <f t="array" ref="K538">_xlfn.XLOOKUP(TEXT(A538, "mmm-yy"), TEXT([2]GASOLINE!$B$5:$B$208, "mmm-yy"), [2]GASOLINE!$IK$5:$IK$208, "Not Found")</f>
        <v>0</v>
      </c>
      <c r="L538">
        <f t="shared" si="8"/>
        <v>0</v>
      </c>
      <c r="M538" cm="1">
        <f t="array" ref="M538">_xlfn.XLOOKUP(TEXT(A538, "mmm-yy"), TEXT([2]GASOLINE!$B$5:$B$208, "mmm-yy"), [2]GASOLINE!$C$5:$C$208, "Not Found")</f>
        <v>6892.2953337902627</v>
      </c>
      <c r="N538" cm="1">
        <f t="array" ref="N538">_xlfn.XLOOKUP(TEXT(A538, "mmm-yy"), TEXT([2]RUNS!$B$5:$B$208, "mmm-yy"), [2]RUNS!$BM$5:$BM$208, "Not Found")</f>
        <v>0.85306113216770507</v>
      </c>
    </row>
    <row r="539" spans="1:14" x14ac:dyDescent="0.25">
      <c r="A539" s="1">
        <f>'[1]Global_Spot Prices'!$B1848</f>
        <v>42758</v>
      </c>
      <c r="B539">
        <f>_xlfn.XLOOKUP(A539,'[1]Global_Spot Prices'!$B:$B,'[1]Global_Spot Prices'!$BS:$BS)</f>
        <v>13.049999999999997</v>
      </c>
      <c r="C539">
        <f>_xlfn.XLOOKUP(A539,'[1]Global_Spot Prices'!$B:$B,'[1]Global_Spot Prices'!$E:$E)</f>
        <v>53.5</v>
      </c>
      <c r="D539">
        <f>_xlfn.XLOOKUP(A539,'[1]Global_Spot Prices'!$B:$B,'[1]Global_Spot Prices'!$D:$D)</f>
        <v>54.83</v>
      </c>
      <c r="E539">
        <f>_xlfn.XLOOKUP(A539,'[1]Global_Spot Prices'!$B:$B,'[1]Global_Spot Prices'!$H:$H)</f>
        <v>56.23</v>
      </c>
      <c r="F539">
        <f>_xlfn.XLOOKUP(A539,'[1]Global_Spot Prices'!$B:$B,'[1]Global_Spot Prices'!$I:$I)</f>
        <v>66.55</v>
      </c>
      <c r="G539" cm="1">
        <f t="array" ref="G539">_xlfn.XLOOKUP(TEXT(A539, "mmm-yy"), TEXT([2]RUNS!$B$5:$B$208, "mmm-yy"), [2]RUNS!$D$5:$D$208, "Not Found")</f>
        <v>28831.163002211582</v>
      </c>
      <c r="H539" cm="1">
        <f t="array" ref="H539">SUMPRODUCT(
    --(TEXT('[3]Global Weekly Stock (EWSuez'!$B$4:$B$2000,"mmm-yy")=TEXT(A539,"mmm-yy")),
    '[3]Global Weekly Stock (EWSuez'!$E$4:$E$2000)
/
SUMPRODUCT(
    --(TEXT('[3]Global Weekly Stock (EWSuez'!$B$4:$B$2000,"mmm-yy")=TEXT(A539,"mmm-yy"))
)</f>
        <v>13356.75</v>
      </c>
      <c r="I539">
        <f>_xlfn.XLOOKUP(A539,[1]ForwardDeriv!$D:$D,[1]ForwardDeriv!$AJ:$AJ)</f>
        <v>0.14000000000000057</v>
      </c>
      <c r="J539" cm="1">
        <f t="array" ref="J539">_xlfn.XLOOKUP(TEXT(A539, "mmm-yy"), TEXT([2]GASOLINE!$B$5:$B$208, "mmm-yy"), [2]GASOLINE!$IR$5:$IR$208, "Not Found")</f>
        <v>246.23684163082211</v>
      </c>
      <c r="K539" cm="1">
        <f t="array" ref="K539">_xlfn.XLOOKUP(TEXT(A539, "mmm-yy"), TEXT([2]GASOLINE!$B$5:$B$208, "mmm-yy"), [2]GASOLINE!$IK$5:$IK$208, "Not Found")</f>
        <v>0</v>
      </c>
      <c r="L539">
        <f t="shared" si="8"/>
        <v>0</v>
      </c>
      <c r="M539" cm="1">
        <f t="array" ref="M539">_xlfn.XLOOKUP(TEXT(A539, "mmm-yy"), TEXT([2]GASOLINE!$B$5:$B$208, "mmm-yy"), [2]GASOLINE!$C$5:$C$208, "Not Found")</f>
        <v>6892.2953337902627</v>
      </c>
      <c r="N539" cm="1">
        <f t="array" ref="N539">_xlfn.XLOOKUP(TEXT(A539, "mmm-yy"), TEXT([2]RUNS!$B$5:$B$208, "mmm-yy"), [2]RUNS!$BM$5:$BM$208, "Not Found")</f>
        <v>0.85306113216770507</v>
      </c>
    </row>
    <row r="540" spans="1:14" x14ac:dyDescent="0.25">
      <c r="A540" s="1">
        <f>'[1]Global_Spot Prices'!$B1849</f>
        <v>42759</v>
      </c>
      <c r="B540">
        <f>_xlfn.XLOOKUP(A540,'[1]Global_Spot Prices'!$B:$B,'[1]Global_Spot Prices'!$BS:$BS)</f>
        <v>13.310000000000002</v>
      </c>
      <c r="C540">
        <f>_xlfn.XLOOKUP(A540,'[1]Global_Spot Prices'!$B:$B,'[1]Global_Spot Prices'!$E:$E)</f>
        <v>54</v>
      </c>
      <c r="D540">
        <f>_xlfn.XLOOKUP(A540,'[1]Global_Spot Prices'!$B:$B,'[1]Global_Spot Prices'!$D:$D)</f>
        <v>55.04</v>
      </c>
      <c r="E540">
        <f>_xlfn.XLOOKUP(A540,'[1]Global_Spot Prices'!$B:$B,'[1]Global_Spot Prices'!$H:$H)</f>
        <v>56.79</v>
      </c>
      <c r="F540">
        <f>_xlfn.XLOOKUP(A540,'[1]Global_Spot Prices'!$B:$B,'[1]Global_Spot Prices'!$I:$I)</f>
        <v>67.31</v>
      </c>
      <c r="G540" cm="1">
        <f t="array" ref="G540">_xlfn.XLOOKUP(TEXT(A540, "mmm-yy"), TEXT([2]RUNS!$B$5:$B$208, "mmm-yy"), [2]RUNS!$D$5:$D$208, "Not Found")</f>
        <v>28831.163002211582</v>
      </c>
      <c r="H540" cm="1">
        <f t="array" ref="H540">SUMPRODUCT(
    --(TEXT('[3]Global Weekly Stock (EWSuez'!$B$4:$B$2000,"mmm-yy")=TEXT(A540,"mmm-yy")),
    '[3]Global Weekly Stock (EWSuez'!$E$4:$E$2000)
/
SUMPRODUCT(
    --(TEXT('[3]Global Weekly Stock (EWSuez'!$B$4:$B$2000,"mmm-yy")=TEXT(A540,"mmm-yy"))
)</f>
        <v>13356.75</v>
      </c>
      <c r="I540">
        <f>_xlfn.XLOOKUP(A540,[1]ForwardDeriv!$D:$D,[1]ForwardDeriv!$AJ:$AJ)</f>
        <v>7.000000000000739E-2</v>
      </c>
      <c r="J540" cm="1">
        <f t="array" ref="J540">_xlfn.XLOOKUP(TEXT(A540, "mmm-yy"), TEXT([2]GASOLINE!$B$5:$B$208, "mmm-yy"), [2]GASOLINE!$IR$5:$IR$208, "Not Found")</f>
        <v>246.23684163082211</v>
      </c>
      <c r="K540" cm="1">
        <f t="array" ref="K540">_xlfn.XLOOKUP(TEXT(A540, "mmm-yy"), TEXT([2]GASOLINE!$B$5:$B$208, "mmm-yy"), [2]GASOLINE!$IK$5:$IK$208, "Not Found")</f>
        <v>0</v>
      </c>
      <c r="L540">
        <f t="shared" si="8"/>
        <v>0</v>
      </c>
      <c r="M540" cm="1">
        <f t="array" ref="M540">_xlfn.XLOOKUP(TEXT(A540, "mmm-yy"), TEXT([2]GASOLINE!$B$5:$B$208, "mmm-yy"), [2]GASOLINE!$C$5:$C$208, "Not Found")</f>
        <v>6892.2953337902627</v>
      </c>
      <c r="N540" cm="1">
        <f t="array" ref="N540">_xlfn.XLOOKUP(TEXT(A540, "mmm-yy"), TEXT([2]RUNS!$B$5:$B$208, "mmm-yy"), [2]RUNS!$BM$5:$BM$208, "Not Found")</f>
        <v>0.85306113216770507</v>
      </c>
    </row>
    <row r="541" spans="1:14" x14ac:dyDescent="0.25">
      <c r="A541" s="1">
        <f>'[1]Global_Spot Prices'!$B1850</f>
        <v>42760</v>
      </c>
      <c r="B541">
        <f>_xlfn.XLOOKUP(A541,'[1]Global_Spot Prices'!$B:$B,'[1]Global_Spot Prices'!$BS:$BS)</f>
        <v>12.945</v>
      </c>
      <c r="C541">
        <f>_xlfn.XLOOKUP(A541,'[1]Global_Spot Prices'!$B:$B,'[1]Global_Spot Prices'!$E:$E)</f>
        <v>53.505000000000003</v>
      </c>
      <c r="D541">
        <f>_xlfn.XLOOKUP(A541,'[1]Global_Spot Prices'!$B:$B,'[1]Global_Spot Prices'!$D:$D)</f>
        <v>54.85</v>
      </c>
      <c r="E541">
        <f>_xlfn.XLOOKUP(A541,'[1]Global_Spot Prices'!$B:$B,'[1]Global_Spot Prices'!$H:$H)</f>
        <v>56.29</v>
      </c>
      <c r="F541">
        <f>_xlfn.XLOOKUP(A541,'[1]Global_Spot Prices'!$B:$B,'[1]Global_Spot Prices'!$I:$I)</f>
        <v>66.45</v>
      </c>
      <c r="G541" cm="1">
        <f t="array" ref="G541">_xlfn.XLOOKUP(TEXT(A541, "mmm-yy"), TEXT([2]RUNS!$B$5:$B$208, "mmm-yy"), [2]RUNS!$D$5:$D$208, "Not Found")</f>
        <v>28831.163002211582</v>
      </c>
      <c r="H541" cm="1">
        <f t="array" ref="H541">SUMPRODUCT(
    --(TEXT('[3]Global Weekly Stock (EWSuez'!$B$4:$B$2000,"mmm-yy")=TEXT(A541,"mmm-yy")),
    '[3]Global Weekly Stock (EWSuez'!$E$4:$E$2000)
/
SUMPRODUCT(
    --(TEXT('[3]Global Weekly Stock (EWSuez'!$B$4:$B$2000,"mmm-yy")=TEXT(A541,"mmm-yy"))
)</f>
        <v>13356.75</v>
      </c>
      <c r="I541">
        <f>_xlfn.XLOOKUP(A541,[1]ForwardDeriv!$D:$D,[1]ForwardDeriv!$AJ:$AJ)</f>
        <v>6.9999999999993179E-2</v>
      </c>
      <c r="J541" cm="1">
        <f t="array" ref="J541">_xlfn.XLOOKUP(TEXT(A541, "mmm-yy"), TEXT([2]GASOLINE!$B$5:$B$208, "mmm-yy"), [2]GASOLINE!$IR$5:$IR$208, "Not Found")</f>
        <v>246.23684163082211</v>
      </c>
      <c r="K541" cm="1">
        <f t="array" ref="K541">_xlfn.XLOOKUP(TEXT(A541, "mmm-yy"), TEXT([2]GASOLINE!$B$5:$B$208, "mmm-yy"), [2]GASOLINE!$IK$5:$IK$208, "Not Found")</f>
        <v>0</v>
      </c>
      <c r="L541">
        <f t="shared" si="8"/>
        <v>0</v>
      </c>
      <c r="M541" cm="1">
        <f t="array" ref="M541">_xlfn.XLOOKUP(TEXT(A541, "mmm-yy"), TEXT([2]GASOLINE!$B$5:$B$208, "mmm-yy"), [2]GASOLINE!$C$5:$C$208, "Not Found")</f>
        <v>6892.2953337902627</v>
      </c>
      <c r="N541" cm="1">
        <f t="array" ref="N541">_xlfn.XLOOKUP(TEXT(A541, "mmm-yy"), TEXT([2]RUNS!$B$5:$B$208, "mmm-yy"), [2]RUNS!$BM$5:$BM$208, "Not Found")</f>
        <v>0.85306113216770507</v>
      </c>
    </row>
    <row r="542" spans="1:14" x14ac:dyDescent="0.25">
      <c r="A542" s="1">
        <f>'[1]Global_Spot Prices'!$B1851</f>
        <v>42761</v>
      </c>
      <c r="B542">
        <f>_xlfn.XLOOKUP(A542,'[1]Global_Spot Prices'!$B:$B,'[1]Global_Spot Prices'!$BS:$BS)</f>
        <v>12.910000000000004</v>
      </c>
      <c r="C542">
        <f>_xlfn.XLOOKUP(A542,'[1]Global_Spot Prices'!$B:$B,'[1]Global_Spot Prices'!$E:$E)</f>
        <v>53.9</v>
      </c>
      <c r="D542">
        <f>_xlfn.XLOOKUP(A542,'[1]Global_Spot Prices'!$B:$B,'[1]Global_Spot Prices'!$D:$D)</f>
        <v>55.884999999999998</v>
      </c>
      <c r="E542">
        <f>_xlfn.XLOOKUP(A542,'[1]Global_Spot Prices'!$B:$B,'[1]Global_Spot Prices'!$H:$H)</f>
        <v>56.23</v>
      </c>
      <c r="F542">
        <f>_xlfn.XLOOKUP(A542,'[1]Global_Spot Prices'!$B:$B,'[1]Global_Spot Prices'!$I:$I)</f>
        <v>66.81</v>
      </c>
      <c r="G542" cm="1">
        <f t="array" ref="G542">_xlfn.XLOOKUP(TEXT(A542, "mmm-yy"), TEXT([2]RUNS!$B$5:$B$208, "mmm-yy"), [2]RUNS!$D$5:$D$208, "Not Found")</f>
        <v>28831.163002211582</v>
      </c>
      <c r="H542" cm="1">
        <f t="array" ref="H542">SUMPRODUCT(
    --(TEXT('[3]Global Weekly Stock (EWSuez'!$B$4:$B$2000,"mmm-yy")=TEXT(A542,"mmm-yy")),
    '[3]Global Weekly Stock (EWSuez'!$E$4:$E$2000)
/
SUMPRODUCT(
    --(TEXT('[3]Global Weekly Stock (EWSuez'!$B$4:$B$2000,"mmm-yy")=TEXT(A542,"mmm-yy"))
)</f>
        <v>13356.75</v>
      </c>
      <c r="I542">
        <f>_xlfn.XLOOKUP(A542,[1]ForwardDeriv!$D:$D,[1]ForwardDeriv!$AJ:$AJ)</f>
        <v>7.000000000000739E-2</v>
      </c>
      <c r="J542" cm="1">
        <f t="array" ref="J542">_xlfn.XLOOKUP(TEXT(A542, "mmm-yy"), TEXT([2]GASOLINE!$B$5:$B$208, "mmm-yy"), [2]GASOLINE!$IR$5:$IR$208, "Not Found")</f>
        <v>246.23684163082211</v>
      </c>
      <c r="K542" cm="1">
        <f t="array" ref="K542">_xlfn.XLOOKUP(TEXT(A542, "mmm-yy"), TEXT([2]GASOLINE!$B$5:$B$208, "mmm-yy"), [2]GASOLINE!$IK$5:$IK$208, "Not Found")</f>
        <v>0</v>
      </c>
      <c r="L542">
        <f t="shared" si="8"/>
        <v>0</v>
      </c>
      <c r="M542" cm="1">
        <f t="array" ref="M542">_xlfn.XLOOKUP(TEXT(A542, "mmm-yy"), TEXT([2]GASOLINE!$B$5:$B$208, "mmm-yy"), [2]GASOLINE!$C$5:$C$208, "Not Found")</f>
        <v>6892.2953337902627</v>
      </c>
      <c r="N542" cm="1">
        <f t="array" ref="N542">_xlfn.XLOOKUP(TEXT(A542, "mmm-yy"), TEXT([2]RUNS!$B$5:$B$208, "mmm-yy"), [2]RUNS!$BM$5:$BM$208, "Not Found")</f>
        <v>0.85306113216770507</v>
      </c>
    </row>
    <row r="543" spans="1:14" x14ac:dyDescent="0.25">
      <c r="A543" s="1">
        <f>'[1]Global_Spot Prices'!$B1852</f>
        <v>42762</v>
      </c>
      <c r="B543">
        <f>_xlfn.XLOOKUP(A543,'[1]Global_Spot Prices'!$B:$B,'[1]Global_Spot Prices'!$BS:$BS)</f>
        <v>12.945</v>
      </c>
      <c r="C543">
        <f>_xlfn.XLOOKUP(A543,'[1]Global_Spot Prices'!$B:$B,'[1]Global_Spot Prices'!$E:$E)</f>
        <v>54.505000000000003</v>
      </c>
      <c r="D543">
        <f>_xlfn.XLOOKUP(A543,'[1]Global_Spot Prices'!$B:$B,'[1]Global_Spot Prices'!$D:$D)</f>
        <v>54.88</v>
      </c>
      <c r="E543">
        <f>_xlfn.XLOOKUP(A543,'[1]Global_Spot Prices'!$B:$B,'[1]Global_Spot Prices'!$H:$H)</f>
        <v>56.51</v>
      </c>
      <c r="F543">
        <f>_xlfn.XLOOKUP(A543,'[1]Global_Spot Prices'!$B:$B,'[1]Global_Spot Prices'!$I:$I)</f>
        <v>67.45</v>
      </c>
      <c r="G543" cm="1">
        <f t="array" ref="G543">_xlfn.XLOOKUP(TEXT(A543, "mmm-yy"), TEXT([2]RUNS!$B$5:$B$208, "mmm-yy"), [2]RUNS!$D$5:$D$208, "Not Found")</f>
        <v>28831.163002211582</v>
      </c>
      <c r="H543" cm="1">
        <f t="array" ref="H543">SUMPRODUCT(
    --(TEXT('[3]Global Weekly Stock (EWSuez'!$B$4:$B$2000,"mmm-yy")=TEXT(A543,"mmm-yy")),
    '[3]Global Weekly Stock (EWSuez'!$E$4:$E$2000)
/
SUMPRODUCT(
    --(TEXT('[3]Global Weekly Stock (EWSuez'!$B$4:$B$2000,"mmm-yy")=TEXT(A543,"mmm-yy"))
)</f>
        <v>13356.75</v>
      </c>
      <c r="I543">
        <f>_xlfn.XLOOKUP(A543,[1]ForwardDeriv!$D:$D,[1]ForwardDeriv!$AJ:$AJ)</f>
        <v>0.15000000000000568</v>
      </c>
      <c r="J543" cm="1">
        <f t="array" ref="J543">_xlfn.XLOOKUP(TEXT(A543, "mmm-yy"), TEXT([2]GASOLINE!$B$5:$B$208, "mmm-yy"), [2]GASOLINE!$IR$5:$IR$208, "Not Found")</f>
        <v>246.23684163082211</v>
      </c>
      <c r="K543" cm="1">
        <f t="array" ref="K543">_xlfn.XLOOKUP(TEXT(A543, "mmm-yy"), TEXT([2]GASOLINE!$B$5:$B$208, "mmm-yy"), [2]GASOLINE!$IK$5:$IK$208, "Not Found")</f>
        <v>0</v>
      </c>
      <c r="L543">
        <f t="shared" si="8"/>
        <v>0</v>
      </c>
      <c r="M543" cm="1">
        <f t="array" ref="M543">_xlfn.XLOOKUP(TEXT(A543, "mmm-yy"), TEXT([2]GASOLINE!$B$5:$B$208, "mmm-yy"), [2]GASOLINE!$C$5:$C$208, "Not Found")</f>
        <v>6892.2953337902627</v>
      </c>
      <c r="N543" cm="1">
        <f t="array" ref="N543">_xlfn.XLOOKUP(TEXT(A543, "mmm-yy"), TEXT([2]RUNS!$B$5:$B$208, "mmm-yy"), [2]RUNS!$BM$5:$BM$208, "Not Found")</f>
        <v>0.85306113216770507</v>
      </c>
    </row>
    <row r="544" spans="1:14" x14ac:dyDescent="0.25">
      <c r="A544" s="1">
        <f>'[1]Global_Spot Prices'!$B1853</f>
        <v>42765</v>
      </c>
      <c r="B544" t="e">
        <f>_xlfn.XLOOKUP(A544,'[1]Global_Spot Prices'!$B:$B,'[1]Global_Spot Prices'!$BS:$BS)</f>
        <v>#N/A</v>
      </c>
      <c r="C544" t="str">
        <f>_xlfn.XLOOKUP(A544,'[1]Global_Spot Prices'!$B:$B,'[1]Global_Spot Prices'!$E:$E)</f>
        <v/>
      </c>
      <c r="D544">
        <f>_xlfn.XLOOKUP(A544,'[1]Global_Spot Prices'!$B:$B,'[1]Global_Spot Prices'!$D:$D)</f>
        <v>54.85</v>
      </c>
      <c r="E544">
        <f>_xlfn.XLOOKUP(A544,'[1]Global_Spot Prices'!$B:$B,'[1]Global_Spot Prices'!$H:$H)</f>
        <v>0</v>
      </c>
      <c r="F544">
        <f>_xlfn.XLOOKUP(A544,'[1]Global_Spot Prices'!$B:$B,'[1]Global_Spot Prices'!$I:$I)</f>
        <v>0</v>
      </c>
      <c r="G544" cm="1">
        <f t="array" ref="G544">_xlfn.XLOOKUP(TEXT(A544, "mmm-yy"), TEXT([2]RUNS!$B$5:$B$208, "mmm-yy"), [2]RUNS!$D$5:$D$208, "Not Found")</f>
        <v>28831.163002211582</v>
      </c>
      <c r="H544" cm="1">
        <f t="array" ref="H544">SUMPRODUCT(
    --(TEXT('[3]Global Weekly Stock (EWSuez'!$B$4:$B$2000,"mmm-yy")=TEXT(A544,"mmm-yy")),
    '[3]Global Weekly Stock (EWSuez'!$E$4:$E$2000)
/
SUMPRODUCT(
    --(TEXT('[3]Global Weekly Stock (EWSuez'!$B$4:$B$2000,"mmm-yy")=TEXT(A544,"mmm-yy"))
)</f>
        <v>13356.75</v>
      </c>
      <c r="I544">
        <f>_xlfn.XLOOKUP(A544,[1]ForwardDeriv!$D:$D,[1]ForwardDeriv!$AJ:$AJ)</f>
        <v>0.18000000000000682</v>
      </c>
      <c r="J544" cm="1">
        <f t="array" ref="J544">_xlfn.XLOOKUP(TEXT(A544, "mmm-yy"), TEXT([2]GASOLINE!$B$5:$B$208, "mmm-yy"), [2]GASOLINE!$IR$5:$IR$208, "Not Found")</f>
        <v>246.23684163082211</v>
      </c>
      <c r="K544" cm="1">
        <f t="array" ref="K544">_xlfn.XLOOKUP(TEXT(A544, "mmm-yy"), TEXT([2]GASOLINE!$B$5:$B$208, "mmm-yy"), [2]GASOLINE!$IK$5:$IK$208, "Not Found")</f>
        <v>0</v>
      </c>
      <c r="L544">
        <f t="shared" si="8"/>
        <v>0</v>
      </c>
      <c r="M544" cm="1">
        <f t="array" ref="M544">_xlfn.XLOOKUP(TEXT(A544, "mmm-yy"), TEXT([2]GASOLINE!$B$5:$B$208, "mmm-yy"), [2]GASOLINE!$C$5:$C$208, "Not Found")</f>
        <v>6892.2953337902627</v>
      </c>
      <c r="N544" cm="1">
        <f t="array" ref="N544">_xlfn.XLOOKUP(TEXT(A544, "mmm-yy"), TEXT([2]RUNS!$B$5:$B$208, "mmm-yy"), [2]RUNS!$BM$5:$BM$208, "Not Found")</f>
        <v>0.85306113216770507</v>
      </c>
    </row>
    <row r="545" spans="1:14" x14ac:dyDescent="0.25">
      <c r="A545" s="1">
        <f>'[1]Global_Spot Prices'!$B1854</f>
        <v>42766</v>
      </c>
      <c r="B545">
        <f>_xlfn.XLOOKUP(A545,'[1]Global_Spot Prices'!$B:$B,'[1]Global_Spot Prices'!$BS:$BS)</f>
        <v>13.429999999999993</v>
      </c>
      <c r="C545">
        <f>_xlfn.XLOOKUP(A545,'[1]Global_Spot Prices'!$B:$B,'[1]Global_Spot Prices'!$E:$E)</f>
        <v>53.2</v>
      </c>
      <c r="D545">
        <f>_xlfn.XLOOKUP(A545,'[1]Global_Spot Prices'!$B:$B,'[1]Global_Spot Prices'!$D:$D)</f>
        <v>55.744999999999997</v>
      </c>
      <c r="E545">
        <f>_xlfn.XLOOKUP(A545,'[1]Global_Spot Prices'!$B:$B,'[1]Global_Spot Prices'!$H:$H)</f>
        <v>55.93</v>
      </c>
      <c r="F545">
        <f>_xlfn.XLOOKUP(A545,'[1]Global_Spot Prices'!$B:$B,'[1]Global_Spot Prices'!$I:$I)</f>
        <v>66.63</v>
      </c>
      <c r="G545" cm="1">
        <f t="array" ref="G545">_xlfn.XLOOKUP(TEXT(A545, "mmm-yy"), TEXT([2]RUNS!$B$5:$B$208, "mmm-yy"), [2]RUNS!$D$5:$D$208, "Not Found")</f>
        <v>28831.163002211582</v>
      </c>
      <c r="H545" cm="1">
        <f t="array" ref="H545">SUMPRODUCT(
    --(TEXT('[3]Global Weekly Stock (EWSuez'!$B$4:$B$2000,"mmm-yy")=TEXT(A545,"mmm-yy")),
    '[3]Global Weekly Stock (EWSuez'!$E$4:$E$2000)
/
SUMPRODUCT(
    --(TEXT('[3]Global Weekly Stock (EWSuez'!$B$4:$B$2000,"mmm-yy")=TEXT(A545,"mmm-yy"))
)</f>
        <v>13356.75</v>
      </c>
      <c r="I545">
        <f>_xlfn.XLOOKUP(A545,[1]ForwardDeriv!$D:$D,[1]ForwardDeriv!$AJ:$AJ)</f>
        <v>0.18000000000000682</v>
      </c>
      <c r="J545" cm="1">
        <f t="array" ref="J545">_xlfn.XLOOKUP(TEXT(A545, "mmm-yy"), TEXT([2]GASOLINE!$B$5:$B$208, "mmm-yy"), [2]GASOLINE!$IR$5:$IR$208, "Not Found")</f>
        <v>246.23684163082211</v>
      </c>
      <c r="K545" cm="1">
        <f t="array" ref="K545">_xlfn.XLOOKUP(TEXT(A545, "mmm-yy"), TEXT([2]GASOLINE!$B$5:$B$208, "mmm-yy"), [2]GASOLINE!$IK$5:$IK$208, "Not Found")</f>
        <v>0</v>
      </c>
      <c r="L545">
        <f t="shared" si="8"/>
        <v>0</v>
      </c>
      <c r="M545" cm="1">
        <f t="array" ref="M545">_xlfn.XLOOKUP(TEXT(A545, "mmm-yy"), TEXT([2]GASOLINE!$B$5:$B$208, "mmm-yy"), [2]GASOLINE!$C$5:$C$208, "Not Found")</f>
        <v>6892.2953337902627</v>
      </c>
      <c r="N545" cm="1">
        <f t="array" ref="N545">_xlfn.XLOOKUP(TEXT(A545, "mmm-yy"), TEXT([2]RUNS!$B$5:$B$208, "mmm-yy"), [2]RUNS!$BM$5:$BM$208, "Not Found")</f>
        <v>0.85306113216770507</v>
      </c>
    </row>
    <row r="546" spans="1:14" x14ac:dyDescent="0.25">
      <c r="A546" s="1">
        <f>'[1]Global_Spot Prices'!$B1855</f>
        <v>42767</v>
      </c>
      <c r="B546">
        <f>_xlfn.XLOOKUP(A546,'[1]Global_Spot Prices'!$B:$B,'[1]Global_Spot Prices'!$BS:$BS)</f>
        <v>14.540000000000006</v>
      </c>
      <c r="C546">
        <f>_xlfn.XLOOKUP(A546,'[1]Global_Spot Prices'!$B:$B,'[1]Global_Spot Prices'!$E:$E)</f>
        <v>53.5</v>
      </c>
      <c r="D546">
        <f>_xlfn.XLOOKUP(A546,'[1]Global_Spot Prices'!$B:$B,'[1]Global_Spot Prices'!$D:$D)</f>
        <v>55.8</v>
      </c>
      <c r="E546">
        <f>_xlfn.XLOOKUP(A546,'[1]Global_Spot Prices'!$B:$B,'[1]Global_Spot Prices'!$H:$H)</f>
        <v>56.61</v>
      </c>
      <c r="F546">
        <f>_xlfn.XLOOKUP(A546,'[1]Global_Spot Prices'!$B:$B,'[1]Global_Spot Prices'!$I:$I)</f>
        <v>68.040000000000006</v>
      </c>
      <c r="G546" cm="1">
        <f t="array" ref="G546">_xlfn.XLOOKUP(TEXT(A546, "mmm-yy"), TEXT([2]RUNS!$B$5:$B$208, "mmm-yy"), [2]RUNS!$D$5:$D$208, "Not Found")</f>
        <v>29230.495277474354</v>
      </c>
      <c r="H546" cm="1">
        <f t="array" ref="H546">SUMPRODUCT(
    --(TEXT('[3]Global Weekly Stock (EWSuez'!$B$4:$B$2000,"mmm-yy")=TEXT(A546,"mmm-yy")),
    '[3]Global Weekly Stock (EWSuez'!$E$4:$E$2000)
/
SUMPRODUCT(
    --(TEXT('[3]Global Weekly Stock (EWSuez'!$B$4:$B$2000,"mmm-yy")=TEXT(A546,"mmm-yy"))
)</f>
        <v>13235</v>
      </c>
      <c r="I546">
        <f>_xlfn.XLOOKUP(A546,[1]ForwardDeriv!$D:$D,[1]ForwardDeriv!$AJ:$AJ)</f>
        <v>0.34999999999999432</v>
      </c>
      <c r="J546" cm="1">
        <f t="array" ref="J546">_xlfn.XLOOKUP(TEXT(A546, "mmm-yy"), TEXT([2]GASOLINE!$B$5:$B$208, "mmm-yy"), [2]GASOLINE!$IR$5:$IR$208, "Not Found")</f>
        <v>249.18641687294399</v>
      </c>
      <c r="K546" cm="1">
        <f t="array" ref="K546">_xlfn.XLOOKUP(TEXT(A546, "mmm-yy"), TEXT([2]GASOLINE!$B$5:$B$208, "mmm-yy"), [2]GASOLINE!$IK$5:$IK$208, "Not Found")</f>
        <v>0</v>
      </c>
      <c r="L546">
        <f t="shared" si="8"/>
        <v>0</v>
      </c>
      <c r="M546" cm="1">
        <f t="array" ref="M546">_xlfn.XLOOKUP(TEXT(A546, "mmm-yy"), TEXT([2]GASOLINE!$B$5:$B$208, "mmm-yy"), [2]GASOLINE!$C$5:$C$208, "Not Found")</f>
        <v>7123.4398837227254</v>
      </c>
      <c r="N546" cm="1">
        <f t="array" ref="N546">_xlfn.XLOOKUP(TEXT(A546, "mmm-yy"), TEXT([2]RUNS!$B$5:$B$208, "mmm-yy"), [2]RUNS!$BM$5:$BM$208, "Not Found")</f>
        <v>0.86487664036696277</v>
      </c>
    </row>
    <row r="547" spans="1:14" x14ac:dyDescent="0.25">
      <c r="A547" s="1">
        <f>'[1]Global_Spot Prices'!$B1856</f>
        <v>42768</v>
      </c>
      <c r="B547">
        <f>_xlfn.XLOOKUP(A547,'[1]Global_Spot Prices'!$B:$B,'[1]Global_Spot Prices'!$BS:$BS)</f>
        <v>14.184999999999995</v>
      </c>
      <c r="C547">
        <f>_xlfn.XLOOKUP(A547,'[1]Global_Spot Prices'!$B:$B,'[1]Global_Spot Prices'!$E:$E)</f>
        <v>55.005000000000003</v>
      </c>
      <c r="D547">
        <f>_xlfn.XLOOKUP(A547,'[1]Global_Spot Prices'!$B:$B,'[1]Global_Spot Prices'!$D:$D)</f>
        <v>56.17</v>
      </c>
      <c r="E547">
        <f>_xlfn.XLOOKUP(A547,'[1]Global_Spot Prices'!$B:$B,'[1]Global_Spot Prices'!$H:$H)</f>
        <v>57.71</v>
      </c>
      <c r="F547">
        <f>_xlfn.XLOOKUP(A547,'[1]Global_Spot Prices'!$B:$B,'[1]Global_Spot Prices'!$I:$I)</f>
        <v>69.19</v>
      </c>
      <c r="G547" cm="1">
        <f t="array" ref="G547">_xlfn.XLOOKUP(TEXT(A547, "mmm-yy"), TEXT([2]RUNS!$B$5:$B$208, "mmm-yy"), [2]RUNS!$D$5:$D$208, "Not Found")</f>
        <v>29230.495277474354</v>
      </c>
      <c r="H547" cm="1">
        <f t="array" ref="H547">SUMPRODUCT(
    --(TEXT('[3]Global Weekly Stock (EWSuez'!$B$4:$B$2000,"mmm-yy")=TEXT(A547,"mmm-yy")),
    '[3]Global Weekly Stock (EWSuez'!$E$4:$E$2000)
/
SUMPRODUCT(
    --(TEXT('[3]Global Weekly Stock (EWSuez'!$B$4:$B$2000,"mmm-yy")=TEXT(A547,"mmm-yy"))
)</f>
        <v>13235</v>
      </c>
      <c r="I547">
        <f>_xlfn.XLOOKUP(A547,[1]ForwardDeriv!$D:$D,[1]ForwardDeriv!$AJ:$AJ)</f>
        <v>0.38000000000000966</v>
      </c>
      <c r="J547" cm="1">
        <f t="array" ref="J547">_xlfn.XLOOKUP(TEXT(A547, "mmm-yy"), TEXT([2]GASOLINE!$B$5:$B$208, "mmm-yy"), [2]GASOLINE!$IR$5:$IR$208, "Not Found")</f>
        <v>249.18641687294399</v>
      </c>
      <c r="K547" cm="1">
        <f t="array" ref="K547">_xlfn.XLOOKUP(TEXT(A547, "mmm-yy"), TEXT([2]GASOLINE!$B$5:$B$208, "mmm-yy"), [2]GASOLINE!$IK$5:$IK$208, "Not Found")</f>
        <v>0</v>
      </c>
      <c r="L547">
        <f t="shared" si="8"/>
        <v>0</v>
      </c>
      <c r="M547" cm="1">
        <f t="array" ref="M547">_xlfn.XLOOKUP(TEXT(A547, "mmm-yy"), TEXT([2]GASOLINE!$B$5:$B$208, "mmm-yy"), [2]GASOLINE!$C$5:$C$208, "Not Found")</f>
        <v>7123.4398837227254</v>
      </c>
      <c r="N547" cm="1">
        <f t="array" ref="N547">_xlfn.XLOOKUP(TEXT(A547, "mmm-yy"), TEXT([2]RUNS!$B$5:$B$208, "mmm-yy"), [2]RUNS!$BM$5:$BM$208, "Not Found")</f>
        <v>0.86487664036696277</v>
      </c>
    </row>
    <row r="548" spans="1:14" x14ac:dyDescent="0.25">
      <c r="A548" s="1">
        <f>'[1]Global_Spot Prices'!$B1857</f>
        <v>42769</v>
      </c>
      <c r="B548">
        <f>_xlfn.XLOOKUP(A548,'[1]Global_Spot Prices'!$B:$B,'[1]Global_Spot Prices'!$BS:$BS)</f>
        <v>12.659999999999997</v>
      </c>
      <c r="C548">
        <f>_xlfn.XLOOKUP(A548,'[1]Global_Spot Prices'!$B:$B,'[1]Global_Spot Prices'!$E:$E)</f>
        <v>55.41</v>
      </c>
      <c r="D548">
        <f>_xlfn.XLOOKUP(A548,'[1]Global_Spot Prices'!$B:$B,'[1]Global_Spot Prices'!$D:$D)</f>
        <v>56.164999999999999</v>
      </c>
      <c r="E548">
        <f>_xlfn.XLOOKUP(A548,'[1]Global_Spot Prices'!$B:$B,'[1]Global_Spot Prices'!$H:$H)</f>
        <v>57.59</v>
      </c>
      <c r="F548">
        <f>_xlfn.XLOOKUP(A548,'[1]Global_Spot Prices'!$B:$B,'[1]Global_Spot Prices'!$I:$I)</f>
        <v>68.069999999999993</v>
      </c>
      <c r="G548" cm="1">
        <f t="array" ref="G548">_xlfn.XLOOKUP(TEXT(A548, "mmm-yy"), TEXT([2]RUNS!$B$5:$B$208, "mmm-yy"), [2]RUNS!$D$5:$D$208, "Not Found")</f>
        <v>29230.495277474354</v>
      </c>
      <c r="H548" cm="1">
        <f t="array" ref="H548">SUMPRODUCT(
    --(TEXT('[3]Global Weekly Stock (EWSuez'!$B$4:$B$2000,"mmm-yy")=TEXT(A548,"mmm-yy")),
    '[3]Global Weekly Stock (EWSuez'!$E$4:$E$2000)
/
SUMPRODUCT(
    --(TEXT('[3]Global Weekly Stock (EWSuez'!$B$4:$B$2000,"mmm-yy")=TEXT(A548,"mmm-yy"))
)</f>
        <v>13235</v>
      </c>
      <c r="I548">
        <f>_xlfn.XLOOKUP(A548,[1]ForwardDeriv!$D:$D,[1]ForwardDeriv!$AJ:$AJ)</f>
        <v>0.31000000000000227</v>
      </c>
      <c r="J548" cm="1">
        <f t="array" ref="J548">_xlfn.XLOOKUP(TEXT(A548, "mmm-yy"), TEXT([2]GASOLINE!$B$5:$B$208, "mmm-yy"), [2]GASOLINE!$IR$5:$IR$208, "Not Found")</f>
        <v>249.18641687294399</v>
      </c>
      <c r="K548" cm="1">
        <f t="array" ref="K548">_xlfn.XLOOKUP(TEXT(A548, "mmm-yy"), TEXT([2]GASOLINE!$B$5:$B$208, "mmm-yy"), [2]GASOLINE!$IK$5:$IK$208, "Not Found")</f>
        <v>0</v>
      </c>
      <c r="L548">
        <f t="shared" si="8"/>
        <v>0</v>
      </c>
      <c r="M548" cm="1">
        <f t="array" ref="M548">_xlfn.XLOOKUP(TEXT(A548, "mmm-yy"), TEXT([2]GASOLINE!$B$5:$B$208, "mmm-yy"), [2]GASOLINE!$C$5:$C$208, "Not Found")</f>
        <v>7123.4398837227254</v>
      </c>
      <c r="N548" cm="1">
        <f t="array" ref="N548">_xlfn.XLOOKUP(TEXT(A548, "mmm-yy"), TEXT([2]RUNS!$B$5:$B$208, "mmm-yy"), [2]RUNS!$BM$5:$BM$208, "Not Found")</f>
        <v>0.86487664036696277</v>
      </c>
    </row>
    <row r="549" spans="1:14" x14ac:dyDescent="0.25">
      <c r="A549" s="1">
        <f>'[1]Global_Spot Prices'!$B1858</f>
        <v>42772</v>
      </c>
      <c r="B549">
        <f>_xlfn.XLOOKUP(A549,'[1]Global_Spot Prices'!$B:$B,'[1]Global_Spot Prices'!$BS:$BS)</f>
        <v>13.240000000000002</v>
      </c>
      <c r="C549">
        <f>_xlfn.XLOOKUP(A549,'[1]Global_Spot Prices'!$B:$B,'[1]Global_Spot Prices'!$E:$E)</f>
        <v>55.29</v>
      </c>
      <c r="D549">
        <f>_xlfn.XLOOKUP(A549,'[1]Global_Spot Prices'!$B:$B,'[1]Global_Spot Prices'!$D:$D)</f>
        <v>55.13</v>
      </c>
      <c r="E549">
        <f>_xlfn.XLOOKUP(A549,'[1]Global_Spot Prices'!$B:$B,'[1]Global_Spot Prices'!$H:$H)</f>
        <v>57.42</v>
      </c>
      <c r="F549">
        <f>_xlfn.XLOOKUP(A549,'[1]Global_Spot Prices'!$B:$B,'[1]Global_Spot Prices'!$I:$I)</f>
        <v>68.53</v>
      </c>
      <c r="G549" cm="1">
        <f t="array" ref="G549">_xlfn.XLOOKUP(TEXT(A549, "mmm-yy"), TEXT([2]RUNS!$B$5:$B$208, "mmm-yy"), [2]RUNS!$D$5:$D$208, "Not Found")</f>
        <v>29230.495277474354</v>
      </c>
      <c r="H549" cm="1">
        <f t="array" ref="H549">SUMPRODUCT(
    --(TEXT('[3]Global Weekly Stock (EWSuez'!$B$4:$B$2000,"mmm-yy")=TEXT(A549,"mmm-yy")),
    '[3]Global Weekly Stock (EWSuez'!$E$4:$E$2000)
/
SUMPRODUCT(
    --(TEXT('[3]Global Weekly Stock (EWSuez'!$B$4:$B$2000,"mmm-yy")=TEXT(A549,"mmm-yy"))
)</f>
        <v>13235</v>
      </c>
      <c r="I549">
        <f>_xlfn.XLOOKUP(A549,[1]ForwardDeriv!$D:$D,[1]ForwardDeriv!$AJ:$AJ)</f>
        <v>0.34000000000000341</v>
      </c>
      <c r="J549" cm="1">
        <f t="array" ref="J549">_xlfn.XLOOKUP(TEXT(A549, "mmm-yy"), TEXT([2]GASOLINE!$B$5:$B$208, "mmm-yy"), [2]GASOLINE!$IR$5:$IR$208, "Not Found")</f>
        <v>249.18641687294399</v>
      </c>
      <c r="K549" cm="1">
        <f t="array" ref="K549">_xlfn.XLOOKUP(TEXT(A549, "mmm-yy"), TEXT([2]GASOLINE!$B$5:$B$208, "mmm-yy"), [2]GASOLINE!$IK$5:$IK$208, "Not Found")</f>
        <v>0</v>
      </c>
      <c r="L549">
        <f t="shared" si="8"/>
        <v>0</v>
      </c>
      <c r="M549" cm="1">
        <f t="array" ref="M549">_xlfn.XLOOKUP(TEXT(A549, "mmm-yy"), TEXT([2]GASOLINE!$B$5:$B$208, "mmm-yy"), [2]GASOLINE!$C$5:$C$208, "Not Found")</f>
        <v>7123.4398837227254</v>
      </c>
      <c r="N549" cm="1">
        <f t="array" ref="N549">_xlfn.XLOOKUP(TEXT(A549, "mmm-yy"), TEXT([2]RUNS!$B$5:$B$208, "mmm-yy"), [2]RUNS!$BM$5:$BM$208, "Not Found")</f>
        <v>0.86487664036696277</v>
      </c>
    </row>
    <row r="550" spans="1:14" x14ac:dyDescent="0.25">
      <c r="A550" s="1">
        <f>'[1]Global_Spot Prices'!$B1859</f>
        <v>42773</v>
      </c>
      <c r="B550">
        <f>_xlfn.XLOOKUP(A550,'[1]Global_Spot Prices'!$B:$B,'[1]Global_Spot Prices'!$BS:$BS)</f>
        <v>13.095000000000006</v>
      </c>
      <c r="C550">
        <f>_xlfn.XLOOKUP(A550,'[1]Global_Spot Prices'!$B:$B,'[1]Global_Spot Prices'!$E:$E)</f>
        <v>54.104999999999997</v>
      </c>
      <c r="D550">
        <f>_xlfn.XLOOKUP(A550,'[1]Global_Spot Prices'!$B:$B,'[1]Global_Spot Prices'!$D:$D)</f>
        <v>54.045000000000002</v>
      </c>
      <c r="E550">
        <f>_xlfn.XLOOKUP(A550,'[1]Global_Spot Prices'!$B:$B,'[1]Global_Spot Prices'!$H:$H)</f>
        <v>56.7</v>
      </c>
      <c r="F550">
        <f>_xlfn.XLOOKUP(A550,'[1]Global_Spot Prices'!$B:$B,'[1]Global_Spot Prices'!$I:$I)</f>
        <v>67.2</v>
      </c>
      <c r="G550" cm="1">
        <f t="array" ref="G550">_xlfn.XLOOKUP(TEXT(A550, "mmm-yy"), TEXT([2]RUNS!$B$5:$B$208, "mmm-yy"), [2]RUNS!$D$5:$D$208, "Not Found")</f>
        <v>29230.495277474354</v>
      </c>
      <c r="H550" cm="1">
        <f t="array" ref="H550">SUMPRODUCT(
    --(TEXT('[3]Global Weekly Stock (EWSuez'!$B$4:$B$2000,"mmm-yy")=TEXT(A550,"mmm-yy")),
    '[3]Global Weekly Stock (EWSuez'!$E$4:$E$2000)
/
SUMPRODUCT(
    --(TEXT('[3]Global Weekly Stock (EWSuez'!$B$4:$B$2000,"mmm-yy")=TEXT(A550,"mmm-yy"))
)</f>
        <v>13235</v>
      </c>
      <c r="I550">
        <f>_xlfn.XLOOKUP(A550,[1]ForwardDeriv!$D:$D,[1]ForwardDeriv!$AJ:$AJ)</f>
        <v>0.27000000000001023</v>
      </c>
      <c r="J550" cm="1">
        <f t="array" ref="J550">_xlfn.XLOOKUP(TEXT(A550, "mmm-yy"), TEXT([2]GASOLINE!$B$5:$B$208, "mmm-yy"), [2]GASOLINE!$IR$5:$IR$208, "Not Found")</f>
        <v>249.18641687294399</v>
      </c>
      <c r="K550" cm="1">
        <f t="array" ref="K550">_xlfn.XLOOKUP(TEXT(A550, "mmm-yy"), TEXT([2]GASOLINE!$B$5:$B$208, "mmm-yy"), [2]GASOLINE!$IK$5:$IK$208, "Not Found")</f>
        <v>0</v>
      </c>
      <c r="L550">
        <f t="shared" si="8"/>
        <v>0</v>
      </c>
      <c r="M550" cm="1">
        <f t="array" ref="M550">_xlfn.XLOOKUP(TEXT(A550, "mmm-yy"), TEXT([2]GASOLINE!$B$5:$B$208, "mmm-yy"), [2]GASOLINE!$C$5:$C$208, "Not Found")</f>
        <v>7123.4398837227254</v>
      </c>
      <c r="N550" cm="1">
        <f t="array" ref="N550">_xlfn.XLOOKUP(TEXT(A550, "mmm-yy"), TEXT([2]RUNS!$B$5:$B$208, "mmm-yy"), [2]RUNS!$BM$5:$BM$208, "Not Found")</f>
        <v>0.86487664036696277</v>
      </c>
    </row>
    <row r="551" spans="1:14" x14ac:dyDescent="0.25">
      <c r="A551" s="1">
        <f>'[1]Global_Spot Prices'!$B1860</f>
        <v>42774</v>
      </c>
      <c r="B551">
        <f>_xlfn.XLOOKUP(A551,'[1]Global_Spot Prices'!$B:$B,'[1]Global_Spot Prices'!$BS:$BS)</f>
        <v>13.25</v>
      </c>
      <c r="C551">
        <f>_xlfn.XLOOKUP(A551,'[1]Global_Spot Prices'!$B:$B,'[1]Global_Spot Prices'!$E:$E)</f>
        <v>53.03</v>
      </c>
      <c r="D551">
        <f>_xlfn.XLOOKUP(A551,'[1]Global_Spot Prices'!$B:$B,'[1]Global_Spot Prices'!$D:$D)</f>
        <v>54.39</v>
      </c>
      <c r="E551">
        <f>_xlfn.XLOOKUP(A551,'[1]Global_Spot Prices'!$B:$B,'[1]Global_Spot Prices'!$H:$H)</f>
        <v>55.57</v>
      </c>
      <c r="F551">
        <f>_xlfn.XLOOKUP(A551,'[1]Global_Spot Prices'!$B:$B,'[1]Global_Spot Prices'!$I:$I)</f>
        <v>66.28</v>
      </c>
      <c r="G551" cm="1">
        <f t="array" ref="G551">_xlfn.XLOOKUP(TEXT(A551, "mmm-yy"), TEXT([2]RUNS!$B$5:$B$208, "mmm-yy"), [2]RUNS!$D$5:$D$208, "Not Found")</f>
        <v>29230.495277474354</v>
      </c>
      <c r="H551" cm="1">
        <f t="array" ref="H551">SUMPRODUCT(
    --(TEXT('[3]Global Weekly Stock (EWSuez'!$B$4:$B$2000,"mmm-yy")=TEXT(A551,"mmm-yy")),
    '[3]Global Weekly Stock (EWSuez'!$E$4:$E$2000)
/
SUMPRODUCT(
    --(TEXT('[3]Global Weekly Stock (EWSuez'!$B$4:$B$2000,"mmm-yy")=TEXT(A551,"mmm-yy"))
)</f>
        <v>13235</v>
      </c>
      <c r="I551">
        <f>_xlfn.XLOOKUP(A551,[1]ForwardDeriv!$D:$D,[1]ForwardDeriv!$AJ:$AJ)</f>
        <v>0.26999999999999602</v>
      </c>
      <c r="J551" cm="1">
        <f t="array" ref="J551">_xlfn.XLOOKUP(TEXT(A551, "mmm-yy"), TEXT([2]GASOLINE!$B$5:$B$208, "mmm-yy"), [2]GASOLINE!$IR$5:$IR$208, "Not Found")</f>
        <v>249.18641687294399</v>
      </c>
      <c r="K551" cm="1">
        <f t="array" ref="K551">_xlfn.XLOOKUP(TEXT(A551, "mmm-yy"), TEXT([2]GASOLINE!$B$5:$B$208, "mmm-yy"), [2]GASOLINE!$IK$5:$IK$208, "Not Found")</f>
        <v>0</v>
      </c>
      <c r="L551">
        <f t="shared" si="8"/>
        <v>0</v>
      </c>
      <c r="M551" cm="1">
        <f t="array" ref="M551">_xlfn.XLOOKUP(TEXT(A551, "mmm-yy"), TEXT([2]GASOLINE!$B$5:$B$208, "mmm-yy"), [2]GASOLINE!$C$5:$C$208, "Not Found")</f>
        <v>7123.4398837227254</v>
      </c>
      <c r="N551" cm="1">
        <f t="array" ref="N551">_xlfn.XLOOKUP(TEXT(A551, "mmm-yy"), TEXT([2]RUNS!$B$5:$B$208, "mmm-yy"), [2]RUNS!$BM$5:$BM$208, "Not Found")</f>
        <v>0.86487664036696277</v>
      </c>
    </row>
    <row r="552" spans="1:14" x14ac:dyDescent="0.25">
      <c r="A552" s="1">
        <f>'[1]Global_Spot Prices'!$B1861</f>
        <v>42775</v>
      </c>
      <c r="B552">
        <f>_xlfn.XLOOKUP(A552,'[1]Global_Spot Prices'!$B:$B,'[1]Global_Spot Prices'!$BS:$BS)</f>
        <v>14.54</v>
      </c>
      <c r="C552">
        <f>_xlfn.XLOOKUP(A552,'[1]Global_Spot Prices'!$B:$B,'[1]Global_Spot Prices'!$E:$E)</f>
        <v>53.88</v>
      </c>
      <c r="D552">
        <f>_xlfn.XLOOKUP(A552,'[1]Global_Spot Prices'!$B:$B,'[1]Global_Spot Prices'!$D:$D)</f>
        <v>54.34</v>
      </c>
      <c r="E552">
        <f>_xlfn.XLOOKUP(A552,'[1]Global_Spot Prices'!$B:$B,'[1]Global_Spot Prices'!$H:$H)</f>
        <v>56.75</v>
      </c>
      <c r="F552">
        <f>_xlfn.XLOOKUP(A552,'[1]Global_Spot Prices'!$B:$B,'[1]Global_Spot Prices'!$I:$I)</f>
        <v>68.42</v>
      </c>
      <c r="G552" cm="1">
        <f t="array" ref="G552">_xlfn.XLOOKUP(TEXT(A552, "mmm-yy"), TEXT([2]RUNS!$B$5:$B$208, "mmm-yy"), [2]RUNS!$D$5:$D$208, "Not Found")</f>
        <v>29230.495277474354</v>
      </c>
      <c r="H552" cm="1">
        <f t="array" ref="H552">SUMPRODUCT(
    --(TEXT('[3]Global Weekly Stock (EWSuez'!$B$4:$B$2000,"mmm-yy")=TEXT(A552,"mmm-yy")),
    '[3]Global Weekly Stock (EWSuez'!$E$4:$E$2000)
/
SUMPRODUCT(
    --(TEXT('[3]Global Weekly Stock (EWSuez'!$B$4:$B$2000,"mmm-yy")=TEXT(A552,"mmm-yy"))
)</f>
        <v>13235</v>
      </c>
      <c r="I552">
        <f>_xlfn.XLOOKUP(A552,[1]ForwardDeriv!$D:$D,[1]ForwardDeriv!$AJ:$AJ)</f>
        <v>0.42000000000000171</v>
      </c>
      <c r="J552" cm="1">
        <f t="array" ref="J552">_xlfn.XLOOKUP(TEXT(A552, "mmm-yy"), TEXT([2]GASOLINE!$B$5:$B$208, "mmm-yy"), [2]GASOLINE!$IR$5:$IR$208, "Not Found")</f>
        <v>249.18641687294399</v>
      </c>
      <c r="K552" cm="1">
        <f t="array" ref="K552">_xlfn.XLOOKUP(TEXT(A552, "mmm-yy"), TEXT([2]GASOLINE!$B$5:$B$208, "mmm-yy"), [2]GASOLINE!$IK$5:$IK$208, "Not Found")</f>
        <v>0</v>
      </c>
      <c r="L552">
        <f t="shared" si="8"/>
        <v>0</v>
      </c>
      <c r="M552" cm="1">
        <f t="array" ref="M552">_xlfn.XLOOKUP(TEXT(A552, "mmm-yy"), TEXT([2]GASOLINE!$B$5:$B$208, "mmm-yy"), [2]GASOLINE!$C$5:$C$208, "Not Found")</f>
        <v>7123.4398837227254</v>
      </c>
      <c r="N552" cm="1">
        <f t="array" ref="N552">_xlfn.XLOOKUP(TEXT(A552, "mmm-yy"), TEXT([2]RUNS!$B$5:$B$208, "mmm-yy"), [2]RUNS!$BM$5:$BM$208, "Not Found")</f>
        <v>0.86487664036696277</v>
      </c>
    </row>
    <row r="553" spans="1:14" x14ac:dyDescent="0.25">
      <c r="A553" s="1">
        <f>'[1]Global_Spot Prices'!$B1862</f>
        <v>42776</v>
      </c>
      <c r="B553">
        <f>_xlfn.XLOOKUP(A553,'[1]Global_Spot Prices'!$B:$B,'[1]Global_Spot Prices'!$BS:$BS)</f>
        <v>14.899999999999999</v>
      </c>
      <c r="C553">
        <f>_xlfn.XLOOKUP(A553,'[1]Global_Spot Prices'!$B:$B,'[1]Global_Spot Prices'!$E:$E)</f>
        <v>53.99</v>
      </c>
      <c r="D553">
        <f>_xlfn.XLOOKUP(A553,'[1]Global_Spot Prices'!$B:$B,'[1]Global_Spot Prices'!$D:$D)</f>
        <v>55.625</v>
      </c>
      <c r="E553">
        <f>_xlfn.XLOOKUP(A553,'[1]Global_Spot Prices'!$B:$B,'[1]Global_Spot Prices'!$H:$H)</f>
        <v>57.15</v>
      </c>
      <c r="F553">
        <f>_xlfn.XLOOKUP(A553,'[1]Global_Spot Prices'!$B:$B,'[1]Global_Spot Prices'!$I:$I)</f>
        <v>68.89</v>
      </c>
      <c r="G553" cm="1">
        <f t="array" ref="G553">_xlfn.XLOOKUP(TEXT(A553, "mmm-yy"), TEXT([2]RUNS!$B$5:$B$208, "mmm-yy"), [2]RUNS!$D$5:$D$208, "Not Found")</f>
        <v>29230.495277474354</v>
      </c>
      <c r="H553" cm="1">
        <f t="array" ref="H553">SUMPRODUCT(
    --(TEXT('[3]Global Weekly Stock (EWSuez'!$B$4:$B$2000,"mmm-yy")=TEXT(A553,"mmm-yy")),
    '[3]Global Weekly Stock (EWSuez'!$E$4:$E$2000)
/
SUMPRODUCT(
    --(TEXT('[3]Global Weekly Stock (EWSuez'!$B$4:$B$2000,"mmm-yy")=TEXT(A553,"mmm-yy"))
)</f>
        <v>13235</v>
      </c>
      <c r="I553">
        <f>_xlfn.XLOOKUP(A553,[1]ForwardDeriv!$D:$D,[1]ForwardDeriv!$AJ:$AJ)</f>
        <v>0.49000000000000909</v>
      </c>
      <c r="J553" cm="1">
        <f t="array" ref="J553">_xlfn.XLOOKUP(TEXT(A553, "mmm-yy"), TEXT([2]GASOLINE!$B$5:$B$208, "mmm-yy"), [2]GASOLINE!$IR$5:$IR$208, "Not Found")</f>
        <v>249.18641687294399</v>
      </c>
      <c r="K553" cm="1">
        <f t="array" ref="K553">_xlfn.XLOOKUP(TEXT(A553, "mmm-yy"), TEXT([2]GASOLINE!$B$5:$B$208, "mmm-yy"), [2]GASOLINE!$IK$5:$IK$208, "Not Found")</f>
        <v>0</v>
      </c>
      <c r="L553">
        <f t="shared" si="8"/>
        <v>0</v>
      </c>
      <c r="M553" cm="1">
        <f t="array" ref="M553">_xlfn.XLOOKUP(TEXT(A553, "mmm-yy"), TEXT([2]GASOLINE!$B$5:$B$208, "mmm-yy"), [2]GASOLINE!$C$5:$C$208, "Not Found")</f>
        <v>7123.4398837227254</v>
      </c>
      <c r="N553" cm="1">
        <f t="array" ref="N553">_xlfn.XLOOKUP(TEXT(A553, "mmm-yy"), TEXT([2]RUNS!$B$5:$B$208, "mmm-yy"), [2]RUNS!$BM$5:$BM$208, "Not Found")</f>
        <v>0.86487664036696277</v>
      </c>
    </row>
    <row r="554" spans="1:14" x14ac:dyDescent="0.25">
      <c r="A554" s="1">
        <f>'[1]Global_Spot Prices'!$B1863</f>
        <v>42779</v>
      </c>
      <c r="B554">
        <f>_xlfn.XLOOKUP(A554,'[1]Global_Spot Prices'!$B:$B,'[1]Global_Spot Prices'!$BS:$BS)</f>
        <v>14.575000000000003</v>
      </c>
      <c r="C554">
        <f>_xlfn.XLOOKUP(A554,'[1]Global_Spot Prices'!$B:$B,'[1]Global_Spot Prices'!$E:$E)</f>
        <v>54.704999999999998</v>
      </c>
      <c r="D554">
        <f>_xlfn.XLOOKUP(A554,'[1]Global_Spot Prices'!$B:$B,'[1]Global_Spot Prices'!$D:$D)</f>
        <v>54.424999999999997</v>
      </c>
      <c r="E554">
        <f>_xlfn.XLOOKUP(A554,'[1]Global_Spot Prices'!$B:$B,'[1]Global_Spot Prices'!$H:$H)</f>
        <v>57.98</v>
      </c>
      <c r="F554">
        <f>_xlfn.XLOOKUP(A554,'[1]Global_Spot Prices'!$B:$B,'[1]Global_Spot Prices'!$I:$I)</f>
        <v>69.28</v>
      </c>
      <c r="G554" cm="1">
        <f t="array" ref="G554">_xlfn.XLOOKUP(TEXT(A554, "mmm-yy"), TEXT([2]RUNS!$B$5:$B$208, "mmm-yy"), [2]RUNS!$D$5:$D$208, "Not Found")</f>
        <v>29230.495277474354</v>
      </c>
      <c r="H554" cm="1">
        <f t="array" ref="H554">SUMPRODUCT(
    --(TEXT('[3]Global Weekly Stock (EWSuez'!$B$4:$B$2000,"mmm-yy")=TEXT(A554,"mmm-yy")),
    '[3]Global Weekly Stock (EWSuez'!$E$4:$E$2000)
/
SUMPRODUCT(
    --(TEXT('[3]Global Weekly Stock (EWSuez'!$B$4:$B$2000,"mmm-yy")=TEXT(A554,"mmm-yy"))
)</f>
        <v>13235</v>
      </c>
      <c r="I554">
        <f>_xlfn.XLOOKUP(A554,[1]ForwardDeriv!$D:$D,[1]ForwardDeriv!$AJ:$AJ)</f>
        <v>0.46000000000000796</v>
      </c>
      <c r="J554" cm="1">
        <f t="array" ref="J554">_xlfn.XLOOKUP(TEXT(A554, "mmm-yy"), TEXT([2]GASOLINE!$B$5:$B$208, "mmm-yy"), [2]GASOLINE!$IR$5:$IR$208, "Not Found")</f>
        <v>249.18641687294399</v>
      </c>
      <c r="K554" cm="1">
        <f t="array" ref="K554">_xlfn.XLOOKUP(TEXT(A554, "mmm-yy"), TEXT([2]GASOLINE!$B$5:$B$208, "mmm-yy"), [2]GASOLINE!$IK$5:$IK$208, "Not Found")</f>
        <v>0</v>
      </c>
      <c r="L554">
        <f t="shared" si="8"/>
        <v>0</v>
      </c>
      <c r="M554" cm="1">
        <f t="array" ref="M554">_xlfn.XLOOKUP(TEXT(A554, "mmm-yy"), TEXT([2]GASOLINE!$B$5:$B$208, "mmm-yy"), [2]GASOLINE!$C$5:$C$208, "Not Found")</f>
        <v>7123.4398837227254</v>
      </c>
      <c r="N554" cm="1">
        <f t="array" ref="N554">_xlfn.XLOOKUP(TEXT(A554, "mmm-yy"), TEXT([2]RUNS!$B$5:$B$208, "mmm-yy"), [2]RUNS!$BM$5:$BM$208, "Not Found")</f>
        <v>0.86487664036696277</v>
      </c>
    </row>
    <row r="555" spans="1:14" x14ac:dyDescent="0.25">
      <c r="A555" s="1">
        <f>'[1]Global_Spot Prices'!$B1864</f>
        <v>42780</v>
      </c>
      <c r="B555">
        <f>_xlfn.XLOOKUP(A555,'[1]Global_Spot Prices'!$B:$B,'[1]Global_Spot Prices'!$BS:$BS)</f>
        <v>14.410000000000004</v>
      </c>
      <c r="C555">
        <f>_xlfn.XLOOKUP(A555,'[1]Global_Spot Prices'!$B:$B,'[1]Global_Spot Prices'!$E:$E)</f>
        <v>54.21</v>
      </c>
      <c r="D555">
        <f>_xlfn.XLOOKUP(A555,'[1]Global_Spot Prices'!$B:$B,'[1]Global_Spot Prices'!$D:$D)</f>
        <v>55.24</v>
      </c>
      <c r="E555">
        <f>_xlfn.XLOOKUP(A555,'[1]Global_Spot Prices'!$B:$B,'[1]Global_Spot Prices'!$H:$H)</f>
        <v>57.82</v>
      </c>
      <c r="F555">
        <f>_xlfn.XLOOKUP(A555,'[1]Global_Spot Prices'!$B:$B,'[1]Global_Spot Prices'!$I:$I)</f>
        <v>68.62</v>
      </c>
      <c r="G555" cm="1">
        <f t="array" ref="G555">_xlfn.XLOOKUP(TEXT(A555, "mmm-yy"), TEXT([2]RUNS!$B$5:$B$208, "mmm-yy"), [2]RUNS!$D$5:$D$208, "Not Found")</f>
        <v>29230.495277474354</v>
      </c>
      <c r="H555" cm="1">
        <f t="array" ref="H555">SUMPRODUCT(
    --(TEXT('[3]Global Weekly Stock (EWSuez'!$B$4:$B$2000,"mmm-yy")=TEXT(A555,"mmm-yy")),
    '[3]Global Weekly Stock (EWSuez'!$E$4:$E$2000)
/
SUMPRODUCT(
    --(TEXT('[3]Global Weekly Stock (EWSuez'!$B$4:$B$2000,"mmm-yy")=TEXT(A555,"mmm-yy"))
)</f>
        <v>13235</v>
      </c>
      <c r="I555">
        <f>_xlfn.XLOOKUP(A555,[1]ForwardDeriv!$D:$D,[1]ForwardDeriv!$AJ:$AJ)</f>
        <v>0.47999999999998977</v>
      </c>
      <c r="J555" cm="1">
        <f t="array" ref="J555">_xlfn.XLOOKUP(TEXT(A555, "mmm-yy"), TEXT([2]GASOLINE!$B$5:$B$208, "mmm-yy"), [2]GASOLINE!$IR$5:$IR$208, "Not Found")</f>
        <v>249.18641687294399</v>
      </c>
      <c r="K555" cm="1">
        <f t="array" ref="K555">_xlfn.XLOOKUP(TEXT(A555, "mmm-yy"), TEXT([2]GASOLINE!$B$5:$B$208, "mmm-yy"), [2]GASOLINE!$IK$5:$IK$208, "Not Found")</f>
        <v>0</v>
      </c>
      <c r="L555">
        <f t="shared" si="8"/>
        <v>0</v>
      </c>
      <c r="M555" cm="1">
        <f t="array" ref="M555">_xlfn.XLOOKUP(TEXT(A555, "mmm-yy"), TEXT([2]GASOLINE!$B$5:$B$208, "mmm-yy"), [2]GASOLINE!$C$5:$C$208, "Not Found")</f>
        <v>7123.4398837227254</v>
      </c>
      <c r="N555" cm="1">
        <f t="array" ref="N555">_xlfn.XLOOKUP(TEXT(A555, "mmm-yy"), TEXT([2]RUNS!$B$5:$B$208, "mmm-yy"), [2]RUNS!$BM$5:$BM$208, "Not Found")</f>
        <v>0.86487664036696277</v>
      </c>
    </row>
    <row r="556" spans="1:14" x14ac:dyDescent="0.25">
      <c r="A556" s="1">
        <f>'[1]Global_Spot Prices'!$B1865</f>
        <v>42781</v>
      </c>
      <c r="B556">
        <f>_xlfn.XLOOKUP(A556,'[1]Global_Spot Prices'!$B:$B,'[1]Global_Spot Prices'!$BS:$BS)</f>
        <v>14.339999999999996</v>
      </c>
      <c r="C556">
        <f>_xlfn.XLOOKUP(A556,'[1]Global_Spot Prices'!$B:$B,'[1]Global_Spot Prices'!$E:$E)</f>
        <v>54.02</v>
      </c>
      <c r="D556">
        <f>_xlfn.XLOOKUP(A556,'[1]Global_Spot Prices'!$B:$B,'[1]Global_Spot Prices'!$D:$D)</f>
        <v>54.68</v>
      </c>
      <c r="E556">
        <f>_xlfn.XLOOKUP(A556,'[1]Global_Spot Prices'!$B:$B,'[1]Global_Spot Prices'!$H:$H)</f>
        <v>57.4</v>
      </c>
      <c r="F556">
        <f>_xlfn.XLOOKUP(A556,'[1]Global_Spot Prices'!$B:$B,'[1]Global_Spot Prices'!$I:$I)</f>
        <v>68.36</v>
      </c>
      <c r="G556" cm="1">
        <f t="array" ref="G556">_xlfn.XLOOKUP(TEXT(A556, "mmm-yy"), TEXT([2]RUNS!$B$5:$B$208, "mmm-yy"), [2]RUNS!$D$5:$D$208, "Not Found")</f>
        <v>29230.495277474354</v>
      </c>
      <c r="H556" cm="1">
        <f t="array" ref="H556">SUMPRODUCT(
    --(TEXT('[3]Global Weekly Stock (EWSuez'!$B$4:$B$2000,"mmm-yy")=TEXT(A556,"mmm-yy")),
    '[3]Global Weekly Stock (EWSuez'!$E$4:$E$2000)
/
SUMPRODUCT(
    --(TEXT('[3]Global Weekly Stock (EWSuez'!$B$4:$B$2000,"mmm-yy")=TEXT(A556,"mmm-yy"))
)</f>
        <v>13235</v>
      </c>
      <c r="I556">
        <f>_xlfn.XLOOKUP(A556,[1]ForwardDeriv!$D:$D,[1]ForwardDeriv!$AJ:$AJ)</f>
        <v>0.46999999999999886</v>
      </c>
      <c r="J556" cm="1">
        <f t="array" ref="J556">_xlfn.XLOOKUP(TEXT(A556, "mmm-yy"), TEXT([2]GASOLINE!$B$5:$B$208, "mmm-yy"), [2]GASOLINE!$IR$5:$IR$208, "Not Found")</f>
        <v>249.18641687294399</v>
      </c>
      <c r="K556" cm="1">
        <f t="array" ref="K556">_xlfn.XLOOKUP(TEXT(A556, "mmm-yy"), TEXT([2]GASOLINE!$B$5:$B$208, "mmm-yy"), [2]GASOLINE!$IK$5:$IK$208, "Not Found")</f>
        <v>0</v>
      </c>
      <c r="L556">
        <f t="shared" si="8"/>
        <v>0</v>
      </c>
      <c r="M556" cm="1">
        <f t="array" ref="M556">_xlfn.XLOOKUP(TEXT(A556, "mmm-yy"), TEXT([2]GASOLINE!$B$5:$B$208, "mmm-yy"), [2]GASOLINE!$C$5:$C$208, "Not Found")</f>
        <v>7123.4398837227254</v>
      </c>
      <c r="N556" cm="1">
        <f t="array" ref="N556">_xlfn.XLOOKUP(TEXT(A556, "mmm-yy"), TEXT([2]RUNS!$B$5:$B$208, "mmm-yy"), [2]RUNS!$BM$5:$BM$208, "Not Found")</f>
        <v>0.86487664036696277</v>
      </c>
    </row>
    <row r="557" spans="1:14" x14ac:dyDescent="0.25">
      <c r="A557" s="1">
        <f>'[1]Global_Spot Prices'!$B1866</f>
        <v>42782</v>
      </c>
      <c r="B557">
        <f>_xlfn.XLOOKUP(A557,'[1]Global_Spot Prices'!$B:$B,'[1]Global_Spot Prices'!$BS:$BS)</f>
        <v>14.61</v>
      </c>
      <c r="C557">
        <f>_xlfn.XLOOKUP(A557,'[1]Global_Spot Prices'!$B:$B,'[1]Global_Spot Prices'!$E:$E)</f>
        <v>54</v>
      </c>
      <c r="D557">
        <f>_xlfn.XLOOKUP(A557,'[1]Global_Spot Prices'!$B:$B,'[1]Global_Spot Prices'!$D:$D)</f>
        <v>54.34</v>
      </c>
      <c r="E557">
        <f>_xlfn.XLOOKUP(A557,'[1]Global_Spot Prices'!$B:$B,'[1]Global_Spot Prices'!$H:$H)</f>
        <v>57.47</v>
      </c>
      <c r="F557">
        <f>_xlfn.XLOOKUP(A557,'[1]Global_Spot Prices'!$B:$B,'[1]Global_Spot Prices'!$I:$I)</f>
        <v>68.61</v>
      </c>
      <c r="G557" cm="1">
        <f t="array" ref="G557">_xlfn.XLOOKUP(TEXT(A557, "mmm-yy"), TEXT([2]RUNS!$B$5:$B$208, "mmm-yy"), [2]RUNS!$D$5:$D$208, "Not Found")</f>
        <v>29230.495277474354</v>
      </c>
      <c r="H557" cm="1">
        <f t="array" ref="H557">SUMPRODUCT(
    --(TEXT('[3]Global Weekly Stock (EWSuez'!$B$4:$B$2000,"mmm-yy")=TEXT(A557,"mmm-yy")),
    '[3]Global Weekly Stock (EWSuez'!$E$4:$E$2000)
/
SUMPRODUCT(
    --(TEXT('[3]Global Weekly Stock (EWSuez'!$B$4:$B$2000,"mmm-yy")=TEXT(A557,"mmm-yy"))
)</f>
        <v>13235</v>
      </c>
      <c r="I557">
        <f>_xlfn.XLOOKUP(A557,[1]ForwardDeriv!$D:$D,[1]ForwardDeriv!$AJ:$AJ)</f>
        <v>0.35999999999999943</v>
      </c>
      <c r="J557" cm="1">
        <f t="array" ref="J557">_xlfn.XLOOKUP(TEXT(A557, "mmm-yy"), TEXT([2]GASOLINE!$B$5:$B$208, "mmm-yy"), [2]GASOLINE!$IR$5:$IR$208, "Not Found")</f>
        <v>249.18641687294399</v>
      </c>
      <c r="K557" cm="1">
        <f t="array" ref="K557">_xlfn.XLOOKUP(TEXT(A557, "mmm-yy"), TEXT([2]GASOLINE!$B$5:$B$208, "mmm-yy"), [2]GASOLINE!$IK$5:$IK$208, "Not Found")</f>
        <v>0</v>
      </c>
      <c r="L557">
        <f t="shared" si="8"/>
        <v>0</v>
      </c>
      <c r="M557" cm="1">
        <f t="array" ref="M557">_xlfn.XLOOKUP(TEXT(A557, "mmm-yy"), TEXT([2]GASOLINE!$B$5:$B$208, "mmm-yy"), [2]GASOLINE!$C$5:$C$208, "Not Found")</f>
        <v>7123.4398837227254</v>
      </c>
      <c r="N557" cm="1">
        <f t="array" ref="N557">_xlfn.XLOOKUP(TEXT(A557, "mmm-yy"), TEXT([2]RUNS!$B$5:$B$208, "mmm-yy"), [2]RUNS!$BM$5:$BM$208, "Not Found")</f>
        <v>0.86487664036696277</v>
      </c>
    </row>
    <row r="558" spans="1:14" x14ac:dyDescent="0.25">
      <c r="A558" s="1">
        <f>'[1]Global_Spot Prices'!$B1867</f>
        <v>42783</v>
      </c>
      <c r="B558">
        <f>_xlfn.XLOOKUP(A558,'[1]Global_Spot Prices'!$B:$B,'[1]Global_Spot Prices'!$BS:$BS)</f>
        <v>12.340000000000003</v>
      </c>
      <c r="C558">
        <f>_xlfn.XLOOKUP(A558,'[1]Global_Spot Prices'!$B:$B,'[1]Global_Spot Prices'!$E:$E)</f>
        <v>54.11</v>
      </c>
      <c r="D558">
        <f>_xlfn.XLOOKUP(A558,'[1]Global_Spot Prices'!$B:$B,'[1]Global_Spot Prices'!$D:$D)</f>
        <v>54.44</v>
      </c>
      <c r="E558">
        <f>_xlfn.XLOOKUP(A558,'[1]Global_Spot Prices'!$B:$B,'[1]Global_Spot Prices'!$H:$H)</f>
        <v>56.24</v>
      </c>
      <c r="F558">
        <f>_xlfn.XLOOKUP(A558,'[1]Global_Spot Prices'!$B:$B,'[1]Global_Spot Prices'!$I:$I)</f>
        <v>66.45</v>
      </c>
      <c r="G558" cm="1">
        <f t="array" ref="G558">_xlfn.XLOOKUP(TEXT(A558, "mmm-yy"), TEXT([2]RUNS!$B$5:$B$208, "mmm-yy"), [2]RUNS!$D$5:$D$208, "Not Found")</f>
        <v>29230.495277474354</v>
      </c>
      <c r="H558" cm="1">
        <f t="array" ref="H558">SUMPRODUCT(
    --(TEXT('[3]Global Weekly Stock (EWSuez'!$B$4:$B$2000,"mmm-yy")=TEXT(A558,"mmm-yy")),
    '[3]Global Weekly Stock (EWSuez'!$E$4:$E$2000)
/
SUMPRODUCT(
    --(TEXT('[3]Global Weekly Stock (EWSuez'!$B$4:$B$2000,"mmm-yy")=TEXT(A558,"mmm-yy"))
)</f>
        <v>13235</v>
      </c>
      <c r="I558">
        <f>_xlfn.XLOOKUP(A558,[1]ForwardDeriv!$D:$D,[1]ForwardDeriv!$AJ:$AJ)</f>
        <v>0.12000000000000455</v>
      </c>
      <c r="J558" cm="1">
        <f t="array" ref="J558">_xlfn.XLOOKUP(TEXT(A558, "mmm-yy"), TEXT([2]GASOLINE!$B$5:$B$208, "mmm-yy"), [2]GASOLINE!$IR$5:$IR$208, "Not Found")</f>
        <v>249.18641687294399</v>
      </c>
      <c r="K558" cm="1">
        <f t="array" ref="K558">_xlfn.XLOOKUP(TEXT(A558, "mmm-yy"), TEXT([2]GASOLINE!$B$5:$B$208, "mmm-yy"), [2]GASOLINE!$IK$5:$IK$208, "Not Found")</f>
        <v>0</v>
      </c>
      <c r="L558">
        <f t="shared" si="8"/>
        <v>0</v>
      </c>
      <c r="M558" cm="1">
        <f t="array" ref="M558">_xlfn.XLOOKUP(TEXT(A558, "mmm-yy"), TEXT([2]GASOLINE!$B$5:$B$208, "mmm-yy"), [2]GASOLINE!$C$5:$C$208, "Not Found")</f>
        <v>7123.4398837227254</v>
      </c>
      <c r="N558" cm="1">
        <f t="array" ref="N558">_xlfn.XLOOKUP(TEXT(A558, "mmm-yy"), TEXT([2]RUNS!$B$5:$B$208, "mmm-yy"), [2]RUNS!$BM$5:$BM$208, "Not Found")</f>
        <v>0.86487664036696277</v>
      </c>
    </row>
    <row r="559" spans="1:14" x14ac:dyDescent="0.25">
      <c r="A559" s="1">
        <f>'[1]Global_Spot Prices'!$B1868</f>
        <v>42786</v>
      </c>
      <c r="B559">
        <f>_xlfn.XLOOKUP(A559,'[1]Global_Spot Prices'!$B:$B,'[1]Global_Spot Prices'!$BS:$BS)</f>
        <v>12.759999999999998</v>
      </c>
      <c r="C559">
        <f>_xlfn.XLOOKUP(A559,'[1]Global_Spot Prices'!$B:$B,'[1]Global_Spot Prices'!$E:$E)</f>
        <v>54.51</v>
      </c>
      <c r="D559">
        <f>_xlfn.XLOOKUP(A559,'[1]Global_Spot Prices'!$B:$B,'[1]Global_Spot Prices'!$D:$D)</f>
        <v>55.13</v>
      </c>
      <c r="E559">
        <f>_xlfn.XLOOKUP(A559,'[1]Global_Spot Prices'!$B:$B,'[1]Global_Spot Prices'!$H:$H)</f>
        <v>56.17</v>
      </c>
      <c r="F559">
        <f>_xlfn.XLOOKUP(A559,'[1]Global_Spot Prices'!$B:$B,'[1]Global_Spot Prices'!$I:$I)</f>
        <v>67.27</v>
      </c>
      <c r="G559" cm="1">
        <f t="array" ref="G559">_xlfn.XLOOKUP(TEXT(A559, "mmm-yy"), TEXT([2]RUNS!$B$5:$B$208, "mmm-yy"), [2]RUNS!$D$5:$D$208, "Not Found")</f>
        <v>29230.495277474354</v>
      </c>
      <c r="H559" cm="1">
        <f t="array" ref="H559">SUMPRODUCT(
    --(TEXT('[3]Global Weekly Stock (EWSuez'!$B$4:$B$2000,"mmm-yy")=TEXT(A559,"mmm-yy")),
    '[3]Global Weekly Stock (EWSuez'!$E$4:$E$2000)
/
SUMPRODUCT(
    --(TEXT('[3]Global Weekly Stock (EWSuez'!$B$4:$B$2000,"mmm-yy")=TEXT(A559,"mmm-yy"))
)</f>
        <v>13235</v>
      </c>
      <c r="I559">
        <f>_xlfn.XLOOKUP(A559,[1]ForwardDeriv!$D:$D,[1]ForwardDeriv!$AJ:$AJ)</f>
        <v>0.18000000000000682</v>
      </c>
      <c r="J559" cm="1">
        <f t="array" ref="J559">_xlfn.XLOOKUP(TEXT(A559, "mmm-yy"), TEXT([2]GASOLINE!$B$5:$B$208, "mmm-yy"), [2]GASOLINE!$IR$5:$IR$208, "Not Found")</f>
        <v>249.18641687294399</v>
      </c>
      <c r="K559" cm="1">
        <f t="array" ref="K559">_xlfn.XLOOKUP(TEXT(A559, "mmm-yy"), TEXT([2]GASOLINE!$B$5:$B$208, "mmm-yy"), [2]GASOLINE!$IK$5:$IK$208, "Not Found")</f>
        <v>0</v>
      </c>
      <c r="L559">
        <f t="shared" si="8"/>
        <v>0</v>
      </c>
      <c r="M559" cm="1">
        <f t="array" ref="M559">_xlfn.XLOOKUP(TEXT(A559, "mmm-yy"), TEXT([2]GASOLINE!$B$5:$B$208, "mmm-yy"), [2]GASOLINE!$C$5:$C$208, "Not Found")</f>
        <v>7123.4398837227254</v>
      </c>
      <c r="N559" cm="1">
        <f t="array" ref="N559">_xlfn.XLOOKUP(TEXT(A559, "mmm-yy"), TEXT([2]RUNS!$B$5:$B$208, "mmm-yy"), [2]RUNS!$BM$5:$BM$208, "Not Found")</f>
        <v>0.86487664036696277</v>
      </c>
    </row>
    <row r="560" spans="1:14" x14ac:dyDescent="0.25">
      <c r="A560" s="1">
        <f>'[1]Global_Spot Prices'!$B1869</f>
        <v>42787</v>
      </c>
      <c r="B560">
        <f>_xlfn.XLOOKUP(A560,'[1]Global_Spot Prices'!$B:$B,'[1]Global_Spot Prices'!$BS:$BS)</f>
        <v>12.845000000000006</v>
      </c>
      <c r="C560">
        <f>_xlfn.XLOOKUP(A560,'[1]Global_Spot Prices'!$B:$B,'[1]Global_Spot Prices'!$E:$E)</f>
        <v>54.604999999999997</v>
      </c>
      <c r="D560">
        <f>_xlfn.XLOOKUP(A560,'[1]Global_Spot Prices'!$B:$B,'[1]Global_Spot Prices'!$D:$D)</f>
        <v>56.3</v>
      </c>
      <c r="E560">
        <f>_xlfn.XLOOKUP(A560,'[1]Global_Spot Prices'!$B:$B,'[1]Global_Spot Prices'!$H:$H)</f>
        <v>55.66</v>
      </c>
      <c r="F560">
        <f>_xlfn.XLOOKUP(A560,'[1]Global_Spot Prices'!$B:$B,'[1]Global_Spot Prices'!$I:$I)</f>
        <v>67.45</v>
      </c>
      <c r="G560" cm="1">
        <f t="array" ref="G560">_xlfn.XLOOKUP(TEXT(A560, "mmm-yy"), TEXT([2]RUNS!$B$5:$B$208, "mmm-yy"), [2]RUNS!$D$5:$D$208, "Not Found")</f>
        <v>29230.495277474354</v>
      </c>
      <c r="H560" cm="1">
        <f t="array" ref="H560">SUMPRODUCT(
    --(TEXT('[3]Global Weekly Stock (EWSuez'!$B$4:$B$2000,"mmm-yy")=TEXT(A560,"mmm-yy")),
    '[3]Global Weekly Stock (EWSuez'!$E$4:$E$2000)
/
SUMPRODUCT(
    --(TEXT('[3]Global Weekly Stock (EWSuez'!$B$4:$B$2000,"mmm-yy")=TEXT(A560,"mmm-yy"))
)</f>
        <v>13235</v>
      </c>
      <c r="I560">
        <f>_xlfn.XLOOKUP(A560,[1]ForwardDeriv!$D:$D,[1]ForwardDeriv!$AJ:$AJ)</f>
        <v>0.20000000000000284</v>
      </c>
      <c r="J560" cm="1">
        <f t="array" ref="J560">_xlfn.XLOOKUP(TEXT(A560, "mmm-yy"), TEXT([2]GASOLINE!$B$5:$B$208, "mmm-yy"), [2]GASOLINE!$IR$5:$IR$208, "Not Found")</f>
        <v>249.18641687294399</v>
      </c>
      <c r="K560" cm="1">
        <f t="array" ref="K560">_xlfn.XLOOKUP(TEXT(A560, "mmm-yy"), TEXT([2]GASOLINE!$B$5:$B$208, "mmm-yy"), [2]GASOLINE!$IK$5:$IK$208, "Not Found")</f>
        <v>0</v>
      </c>
      <c r="L560">
        <f t="shared" si="8"/>
        <v>0</v>
      </c>
      <c r="M560" cm="1">
        <f t="array" ref="M560">_xlfn.XLOOKUP(TEXT(A560, "mmm-yy"), TEXT([2]GASOLINE!$B$5:$B$208, "mmm-yy"), [2]GASOLINE!$C$5:$C$208, "Not Found")</f>
        <v>7123.4398837227254</v>
      </c>
      <c r="N560" cm="1">
        <f t="array" ref="N560">_xlfn.XLOOKUP(TEXT(A560, "mmm-yy"), TEXT([2]RUNS!$B$5:$B$208, "mmm-yy"), [2]RUNS!$BM$5:$BM$208, "Not Found")</f>
        <v>0.86487664036696277</v>
      </c>
    </row>
    <row r="561" spans="1:14" x14ac:dyDescent="0.25">
      <c r="A561" s="1">
        <f>'[1]Global_Spot Prices'!$B1870</f>
        <v>42788</v>
      </c>
      <c r="B561">
        <f>_xlfn.XLOOKUP(A561,'[1]Global_Spot Prices'!$B:$B,'[1]Global_Spot Prices'!$BS:$BS)</f>
        <v>10.720000000000006</v>
      </c>
      <c r="C561">
        <f>_xlfn.XLOOKUP(A561,'[1]Global_Spot Prices'!$B:$B,'[1]Global_Spot Prices'!$E:$E)</f>
        <v>54.65</v>
      </c>
      <c r="D561">
        <f>_xlfn.XLOOKUP(A561,'[1]Global_Spot Prices'!$B:$B,'[1]Global_Spot Prices'!$D:$D)</f>
        <v>55.05</v>
      </c>
      <c r="E561">
        <f>_xlfn.XLOOKUP(A561,'[1]Global_Spot Prices'!$B:$B,'[1]Global_Spot Prices'!$H:$H)</f>
        <v>54.48</v>
      </c>
      <c r="F561">
        <f>_xlfn.XLOOKUP(A561,'[1]Global_Spot Prices'!$B:$B,'[1]Global_Spot Prices'!$I:$I)</f>
        <v>65.37</v>
      </c>
      <c r="G561" cm="1">
        <f t="array" ref="G561">_xlfn.XLOOKUP(TEXT(A561, "mmm-yy"), TEXT([2]RUNS!$B$5:$B$208, "mmm-yy"), [2]RUNS!$D$5:$D$208, "Not Found")</f>
        <v>29230.495277474354</v>
      </c>
      <c r="H561" cm="1">
        <f t="array" ref="H561">SUMPRODUCT(
    --(TEXT('[3]Global Weekly Stock (EWSuez'!$B$4:$B$2000,"mmm-yy")=TEXT(A561,"mmm-yy")),
    '[3]Global Weekly Stock (EWSuez'!$E$4:$E$2000)
/
SUMPRODUCT(
    --(TEXT('[3]Global Weekly Stock (EWSuez'!$B$4:$B$2000,"mmm-yy")=TEXT(A561,"mmm-yy"))
)</f>
        <v>13235</v>
      </c>
      <c r="I561">
        <f>_xlfn.XLOOKUP(A561,[1]ForwardDeriv!$D:$D,[1]ForwardDeriv!$AJ:$AJ)</f>
        <v>-5.0000000000011369E-2</v>
      </c>
      <c r="J561" cm="1">
        <f t="array" ref="J561">_xlfn.XLOOKUP(TEXT(A561, "mmm-yy"), TEXT([2]GASOLINE!$B$5:$B$208, "mmm-yy"), [2]GASOLINE!$IR$5:$IR$208, "Not Found")</f>
        <v>249.18641687294399</v>
      </c>
      <c r="K561" cm="1">
        <f t="array" ref="K561">_xlfn.XLOOKUP(TEXT(A561, "mmm-yy"), TEXT([2]GASOLINE!$B$5:$B$208, "mmm-yy"), [2]GASOLINE!$IK$5:$IK$208, "Not Found")</f>
        <v>0</v>
      </c>
      <c r="L561">
        <f t="shared" si="8"/>
        <v>0</v>
      </c>
      <c r="M561" cm="1">
        <f t="array" ref="M561">_xlfn.XLOOKUP(TEXT(A561, "mmm-yy"), TEXT([2]GASOLINE!$B$5:$B$208, "mmm-yy"), [2]GASOLINE!$C$5:$C$208, "Not Found")</f>
        <v>7123.4398837227254</v>
      </c>
      <c r="N561" cm="1">
        <f t="array" ref="N561">_xlfn.XLOOKUP(TEXT(A561, "mmm-yy"), TEXT([2]RUNS!$B$5:$B$208, "mmm-yy"), [2]RUNS!$BM$5:$BM$208, "Not Found")</f>
        <v>0.86487664036696277</v>
      </c>
    </row>
    <row r="562" spans="1:14" x14ac:dyDescent="0.25">
      <c r="A562" s="1">
        <f>'[1]Global_Spot Prices'!$B1871</f>
        <v>42789</v>
      </c>
      <c r="B562">
        <f>_xlfn.XLOOKUP(A562,'[1]Global_Spot Prices'!$B:$B,'[1]Global_Spot Prices'!$BS:$BS)</f>
        <v>11.695000000000007</v>
      </c>
      <c r="C562">
        <f>_xlfn.XLOOKUP(A562,'[1]Global_Spot Prices'!$B:$B,'[1]Global_Spot Prices'!$E:$E)</f>
        <v>54.844999999999999</v>
      </c>
      <c r="D562">
        <f>_xlfn.XLOOKUP(A562,'[1]Global_Spot Prices'!$B:$B,'[1]Global_Spot Prices'!$D:$D)</f>
        <v>56.11</v>
      </c>
      <c r="E562">
        <f>_xlfn.XLOOKUP(A562,'[1]Global_Spot Prices'!$B:$B,'[1]Global_Spot Prices'!$H:$H)</f>
        <v>55.35</v>
      </c>
      <c r="F562">
        <f>_xlfn.XLOOKUP(A562,'[1]Global_Spot Prices'!$B:$B,'[1]Global_Spot Prices'!$I:$I)</f>
        <v>66.540000000000006</v>
      </c>
      <c r="G562" cm="1">
        <f t="array" ref="G562">_xlfn.XLOOKUP(TEXT(A562, "mmm-yy"), TEXT([2]RUNS!$B$5:$B$208, "mmm-yy"), [2]RUNS!$D$5:$D$208, "Not Found")</f>
        <v>29230.495277474354</v>
      </c>
      <c r="H562" cm="1">
        <f t="array" ref="H562">SUMPRODUCT(
    --(TEXT('[3]Global Weekly Stock (EWSuez'!$B$4:$B$2000,"mmm-yy")=TEXT(A562,"mmm-yy")),
    '[3]Global Weekly Stock (EWSuez'!$E$4:$E$2000)
/
SUMPRODUCT(
    --(TEXT('[3]Global Weekly Stock (EWSuez'!$B$4:$B$2000,"mmm-yy")=TEXT(A562,"mmm-yy"))
)</f>
        <v>13235</v>
      </c>
      <c r="I562">
        <f>_xlfn.XLOOKUP(A562,[1]ForwardDeriv!$D:$D,[1]ForwardDeriv!$AJ:$AJ)</f>
        <v>0.12000000000000455</v>
      </c>
      <c r="J562" cm="1">
        <f t="array" ref="J562">_xlfn.XLOOKUP(TEXT(A562, "mmm-yy"), TEXT([2]GASOLINE!$B$5:$B$208, "mmm-yy"), [2]GASOLINE!$IR$5:$IR$208, "Not Found")</f>
        <v>249.18641687294399</v>
      </c>
      <c r="K562" cm="1">
        <f t="array" ref="K562">_xlfn.XLOOKUP(TEXT(A562, "mmm-yy"), TEXT([2]GASOLINE!$B$5:$B$208, "mmm-yy"), [2]GASOLINE!$IK$5:$IK$208, "Not Found")</f>
        <v>0</v>
      </c>
      <c r="L562">
        <f t="shared" si="8"/>
        <v>0</v>
      </c>
      <c r="M562" cm="1">
        <f t="array" ref="M562">_xlfn.XLOOKUP(TEXT(A562, "mmm-yy"), TEXT([2]GASOLINE!$B$5:$B$208, "mmm-yy"), [2]GASOLINE!$C$5:$C$208, "Not Found")</f>
        <v>7123.4398837227254</v>
      </c>
      <c r="N562" cm="1">
        <f t="array" ref="N562">_xlfn.XLOOKUP(TEXT(A562, "mmm-yy"), TEXT([2]RUNS!$B$5:$B$208, "mmm-yy"), [2]RUNS!$BM$5:$BM$208, "Not Found")</f>
        <v>0.86487664036696277</v>
      </c>
    </row>
    <row r="563" spans="1:14" x14ac:dyDescent="0.25">
      <c r="A563" s="1">
        <f>'[1]Global_Spot Prices'!$B1872</f>
        <v>42790</v>
      </c>
      <c r="B563">
        <f>_xlfn.XLOOKUP(A563,'[1]Global_Spot Prices'!$B:$B,'[1]Global_Spot Prices'!$BS:$BS)</f>
        <v>11.740000000000002</v>
      </c>
      <c r="C563">
        <f>_xlfn.XLOOKUP(A563,'[1]Global_Spot Prices'!$B:$B,'[1]Global_Spot Prices'!$E:$E)</f>
        <v>54.77</v>
      </c>
      <c r="D563">
        <f>_xlfn.XLOOKUP(A563,'[1]Global_Spot Prices'!$B:$B,'[1]Global_Spot Prices'!$D:$D)</f>
        <v>55.28</v>
      </c>
      <c r="E563">
        <f>_xlfn.XLOOKUP(A563,'[1]Global_Spot Prices'!$B:$B,'[1]Global_Spot Prices'!$H:$H)</f>
        <v>55.15</v>
      </c>
      <c r="F563">
        <f>_xlfn.XLOOKUP(A563,'[1]Global_Spot Prices'!$B:$B,'[1]Global_Spot Prices'!$I:$I)</f>
        <v>66.510000000000005</v>
      </c>
      <c r="G563" cm="1">
        <f t="array" ref="G563">_xlfn.XLOOKUP(TEXT(A563, "mmm-yy"), TEXT([2]RUNS!$B$5:$B$208, "mmm-yy"), [2]RUNS!$D$5:$D$208, "Not Found")</f>
        <v>29230.495277474354</v>
      </c>
      <c r="H563" cm="1">
        <f t="array" ref="H563">SUMPRODUCT(
    --(TEXT('[3]Global Weekly Stock (EWSuez'!$B$4:$B$2000,"mmm-yy")=TEXT(A563,"mmm-yy")),
    '[3]Global Weekly Stock (EWSuez'!$E$4:$E$2000)
/
SUMPRODUCT(
    --(TEXT('[3]Global Weekly Stock (EWSuez'!$B$4:$B$2000,"mmm-yy")=TEXT(A563,"mmm-yy"))
)</f>
        <v>13235</v>
      </c>
      <c r="I563">
        <f>_xlfn.XLOOKUP(A563,[1]ForwardDeriv!$D:$D,[1]ForwardDeriv!$AJ:$AJ)</f>
        <v>0.12999999999999545</v>
      </c>
      <c r="J563" cm="1">
        <f t="array" ref="J563">_xlfn.XLOOKUP(TEXT(A563, "mmm-yy"), TEXT([2]GASOLINE!$B$5:$B$208, "mmm-yy"), [2]GASOLINE!$IR$5:$IR$208, "Not Found")</f>
        <v>249.18641687294399</v>
      </c>
      <c r="K563" cm="1">
        <f t="array" ref="K563">_xlfn.XLOOKUP(TEXT(A563, "mmm-yy"), TEXT([2]GASOLINE!$B$5:$B$208, "mmm-yy"), [2]GASOLINE!$IK$5:$IK$208, "Not Found")</f>
        <v>0</v>
      </c>
      <c r="L563">
        <f t="shared" si="8"/>
        <v>0</v>
      </c>
      <c r="M563" cm="1">
        <f t="array" ref="M563">_xlfn.XLOOKUP(TEXT(A563, "mmm-yy"), TEXT([2]GASOLINE!$B$5:$B$208, "mmm-yy"), [2]GASOLINE!$C$5:$C$208, "Not Found")</f>
        <v>7123.4398837227254</v>
      </c>
      <c r="N563" cm="1">
        <f t="array" ref="N563">_xlfn.XLOOKUP(TEXT(A563, "mmm-yy"), TEXT([2]RUNS!$B$5:$B$208, "mmm-yy"), [2]RUNS!$BM$5:$BM$208, "Not Found")</f>
        <v>0.86487664036696277</v>
      </c>
    </row>
    <row r="564" spans="1:14" x14ac:dyDescent="0.25">
      <c r="A564" s="1">
        <f>'[1]Global_Spot Prices'!$B1873</f>
        <v>42793</v>
      </c>
      <c r="B564">
        <f>_xlfn.XLOOKUP(A564,'[1]Global_Spot Prices'!$B:$B,'[1]Global_Spot Prices'!$BS:$BS)</f>
        <v>11.614999999999995</v>
      </c>
      <c r="C564">
        <f>_xlfn.XLOOKUP(A564,'[1]Global_Spot Prices'!$B:$B,'[1]Global_Spot Prices'!$E:$E)</f>
        <v>55.204999999999998</v>
      </c>
      <c r="D564">
        <f>_xlfn.XLOOKUP(A564,'[1]Global_Spot Prices'!$B:$B,'[1]Global_Spot Prices'!$D:$D)</f>
        <v>55.27</v>
      </c>
      <c r="E564">
        <f>_xlfn.XLOOKUP(A564,'[1]Global_Spot Prices'!$B:$B,'[1]Global_Spot Prices'!$H:$H)</f>
        <v>55.45</v>
      </c>
      <c r="F564">
        <f>_xlfn.XLOOKUP(A564,'[1]Global_Spot Prices'!$B:$B,'[1]Global_Spot Prices'!$I:$I)</f>
        <v>66.819999999999993</v>
      </c>
      <c r="G564" cm="1">
        <f t="array" ref="G564">_xlfn.XLOOKUP(TEXT(A564, "mmm-yy"), TEXT([2]RUNS!$B$5:$B$208, "mmm-yy"), [2]RUNS!$D$5:$D$208, "Not Found")</f>
        <v>29230.495277474354</v>
      </c>
      <c r="H564" cm="1">
        <f t="array" ref="H564">SUMPRODUCT(
    --(TEXT('[3]Global Weekly Stock (EWSuez'!$B$4:$B$2000,"mmm-yy")=TEXT(A564,"mmm-yy")),
    '[3]Global Weekly Stock (EWSuez'!$E$4:$E$2000)
/
SUMPRODUCT(
    --(TEXT('[3]Global Weekly Stock (EWSuez'!$B$4:$B$2000,"mmm-yy")=TEXT(A564,"mmm-yy"))
)</f>
        <v>13235</v>
      </c>
      <c r="I564">
        <f>_xlfn.XLOOKUP(A564,[1]ForwardDeriv!$D:$D,[1]ForwardDeriv!$AJ:$AJ)</f>
        <v>7.9999999999998295E-2</v>
      </c>
      <c r="J564" cm="1">
        <f t="array" ref="J564">_xlfn.XLOOKUP(TEXT(A564, "mmm-yy"), TEXT([2]GASOLINE!$B$5:$B$208, "mmm-yy"), [2]GASOLINE!$IR$5:$IR$208, "Not Found")</f>
        <v>249.18641687294399</v>
      </c>
      <c r="K564" cm="1">
        <f t="array" ref="K564">_xlfn.XLOOKUP(TEXT(A564, "mmm-yy"), TEXT([2]GASOLINE!$B$5:$B$208, "mmm-yy"), [2]GASOLINE!$IK$5:$IK$208, "Not Found")</f>
        <v>0</v>
      </c>
      <c r="L564">
        <f t="shared" si="8"/>
        <v>0</v>
      </c>
      <c r="M564" cm="1">
        <f t="array" ref="M564">_xlfn.XLOOKUP(TEXT(A564, "mmm-yy"), TEXT([2]GASOLINE!$B$5:$B$208, "mmm-yy"), [2]GASOLINE!$C$5:$C$208, "Not Found")</f>
        <v>7123.4398837227254</v>
      </c>
      <c r="N564" cm="1">
        <f t="array" ref="N564">_xlfn.XLOOKUP(TEXT(A564, "mmm-yy"), TEXT([2]RUNS!$B$5:$B$208, "mmm-yy"), [2]RUNS!$BM$5:$BM$208, "Not Found")</f>
        <v>0.86487664036696277</v>
      </c>
    </row>
    <row r="565" spans="1:14" x14ac:dyDescent="0.25">
      <c r="A565" s="1">
        <f>'[1]Global_Spot Prices'!$B1874</f>
        <v>42794</v>
      </c>
      <c r="B565">
        <f>_xlfn.XLOOKUP(A565,'[1]Global_Spot Prices'!$B:$B,'[1]Global_Spot Prices'!$BS:$BS)</f>
        <v>10.519999999999996</v>
      </c>
      <c r="C565">
        <f>_xlfn.XLOOKUP(A565,'[1]Global_Spot Prices'!$B:$B,'[1]Global_Spot Prices'!$E:$E)</f>
        <v>54.95</v>
      </c>
      <c r="D565">
        <f>_xlfn.XLOOKUP(A565,'[1]Global_Spot Prices'!$B:$B,'[1]Global_Spot Prices'!$D:$D)</f>
        <v>54.31</v>
      </c>
      <c r="E565">
        <f>_xlfn.XLOOKUP(A565,'[1]Global_Spot Prices'!$B:$B,'[1]Global_Spot Prices'!$H:$H)</f>
        <v>55.21</v>
      </c>
      <c r="F565">
        <f>_xlfn.XLOOKUP(A565,'[1]Global_Spot Prices'!$B:$B,'[1]Global_Spot Prices'!$I:$I)</f>
        <v>65.47</v>
      </c>
      <c r="G565" cm="1">
        <f t="array" ref="G565">_xlfn.XLOOKUP(TEXT(A565, "mmm-yy"), TEXT([2]RUNS!$B$5:$B$208, "mmm-yy"), [2]RUNS!$D$5:$D$208, "Not Found")</f>
        <v>29230.495277474354</v>
      </c>
      <c r="H565" cm="1">
        <f t="array" ref="H565">SUMPRODUCT(
    --(TEXT('[3]Global Weekly Stock (EWSuez'!$B$4:$B$2000,"mmm-yy")=TEXT(A565,"mmm-yy")),
    '[3]Global Weekly Stock (EWSuez'!$E$4:$E$2000)
/
SUMPRODUCT(
    --(TEXT('[3]Global Weekly Stock (EWSuez'!$B$4:$B$2000,"mmm-yy")=TEXT(A565,"mmm-yy"))
)</f>
        <v>13235</v>
      </c>
      <c r="I565">
        <f>_xlfn.XLOOKUP(A565,[1]ForwardDeriv!$D:$D,[1]ForwardDeriv!$AJ:$AJ)</f>
        <v>-0.10999999999999943</v>
      </c>
      <c r="J565" cm="1">
        <f t="array" ref="J565">_xlfn.XLOOKUP(TEXT(A565, "mmm-yy"), TEXT([2]GASOLINE!$B$5:$B$208, "mmm-yy"), [2]GASOLINE!$IR$5:$IR$208, "Not Found")</f>
        <v>249.18641687294399</v>
      </c>
      <c r="K565" cm="1">
        <f t="array" ref="K565">_xlfn.XLOOKUP(TEXT(A565, "mmm-yy"), TEXT([2]GASOLINE!$B$5:$B$208, "mmm-yy"), [2]GASOLINE!$IK$5:$IK$208, "Not Found")</f>
        <v>0</v>
      </c>
      <c r="L565">
        <f t="shared" si="8"/>
        <v>0</v>
      </c>
      <c r="M565" cm="1">
        <f t="array" ref="M565">_xlfn.XLOOKUP(TEXT(A565, "mmm-yy"), TEXT([2]GASOLINE!$B$5:$B$208, "mmm-yy"), [2]GASOLINE!$C$5:$C$208, "Not Found")</f>
        <v>7123.4398837227254</v>
      </c>
      <c r="N565" cm="1">
        <f t="array" ref="N565">_xlfn.XLOOKUP(TEXT(A565, "mmm-yy"), TEXT([2]RUNS!$B$5:$B$208, "mmm-yy"), [2]RUNS!$BM$5:$BM$208, "Not Found")</f>
        <v>0.86487664036696277</v>
      </c>
    </row>
    <row r="566" spans="1:14" x14ac:dyDescent="0.25">
      <c r="A566" s="1">
        <f>'[1]Global_Spot Prices'!$B1875</f>
        <v>42795</v>
      </c>
      <c r="B566">
        <f>_xlfn.XLOOKUP(A566,'[1]Global_Spot Prices'!$B:$B,'[1]Global_Spot Prices'!$BS:$BS)</f>
        <v>9.7100000000000009</v>
      </c>
      <c r="C566">
        <f>_xlfn.XLOOKUP(A566,'[1]Global_Spot Prices'!$B:$B,'[1]Global_Spot Prices'!$E:$E)</f>
        <v>55.1</v>
      </c>
      <c r="D566">
        <f>_xlfn.XLOOKUP(A566,'[1]Global_Spot Prices'!$B:$B,'[1]Global_Spot Prices'!$D:$D)</f>
        <v>55.265000000000001</v>
      </c>
      <c r="E566">
        <f>_xlfn.XLOOKUP(A566,'[1]Global_Spot Prices'!$B:$B,'[1]Global_Spot Prices'!$H:$H)</f>
        <v>54.48</v>
      </c>
      <c r="F566">
        <f>_xlfn.XLOOKUP(A566,'[1]Global_Spot Prices'!$B:$B,'[1]Global_Spot Prices'!$I:$I)</f>
        <v>64.81</v>
      </c>
      <c r="G566" cm="1">
        <f t="array" ref="G566">_xlfn.XLOOKUP(TEXT(A566, "mmm-yy"), TEXT([2]RUNS!$B$5:$B$208, "mmm-yy"), [2]RUNS!$D$5:$D$208, "Not Found")</f>
        <v>28290.521223350595</v>
      </c>
      <c r="H566" cm="1">
        <f t="array" ref="H566">SUMPRODUCT(
    --(TEXT('[3]Global Weekly Stock (EWSuez'!$B$4:$B$2000,"mmm-yy")=TEXT(A566,"mmm-yy")),
    '[3]Global Weekly Stock (EWSuez'!$E$4:$E$2000)
/
SUMPRODUCT(
    --(TEXT('[3]Global Weekly Stock (EWSuez'!$B$4:$B$2000,"mmm-yy")=TEXT(A566,"mmm-yy"))
)</f>
        <v>14049.4</v>
      </c>
      <c r="I566">
        <f>_xlfn.XLOOKUP(A566,[1]ForwardDeriv!$D:$D,[1]ForwardDeriv!$AJ:$AJ)</f>
        <v>9.9999999999994316E-2</v>
      </c>
      <c r="J566" cm="1">
        <f t="array" ref="J566">_xlfn.XLOOKUP(TEXT(A566, "mmm-yy"), TEXT([2]GASOLINE!$B$5:$B$208, "mmm-yy"), [2]GASOLINE!$IR$5:$IR$208, "Not Found")</f>
        <v>156.27979924954889</v>
      </c>
      <c r="K566" cm="1">
        <f t="array" ref="K566">_xlfn.XLOOKUP(TEXT(A566, "mmm-yy"), TEXT([2]GASOLINE!$B$5:$B$208, "mmm-yy"), [2]GASOLINE!$IK$5:$IK$208, "Not Found")</f>
        <v>0</v>
      </c>
      <c r="L566">
        <f t="shared" si="8"/>
        <v>0</v>
      </c>
      <c r="M566" cm="1">
        <f t="array" ref="M566">_xlfn.XLOOKUP(TEXT(A566, "mmm-yy"), TEXT([2]GASOLINE!$B$5:$B$208, "mmm-yy"), [2]GASOLINE!$C$5:$C$208, "Not Found")</f>
        <v>7051.691975748824</v>
      </c>
      <c r="N566" cm="1">
        <f t="array" ref="N566">_xlfn.XLOOKUP(TEXT(A566, "mmm-yy"), TEXT([2]RUNS!$B$5:$B$208, "mmm-yy"), [2]RUNS!$BM$5:$BM$208, "Not Found")</f>
        <v>0.84188709050939625</v>
      </c>
    </row>
    <row r="567" spans="1:14" x14ac:dyDescent="0.25">
      <c r="A567" s="1">
        <f>'[1]Global_Spot Prices'!$B1876</f>
        <v>42796</v>
      </c>
      <c r="B567">
        <f>_xlfn.XLOOKUP(A567,'[1]Global_Spot Prices'!$B:$B,'[1]Global_Spot Prices'!$BS:$BS)</f>
        <v>8.5600000000000023</v>
      </c>
      <c r="C567">
        <f>_xlfn.XLOOKUP(A567,'[1]Global_Spot Prices'!$B:$B,'[1]Global_Spot Prices'!$E:$E)</f>
        <v>54.9</v>
      </c>
      <c r="D567">
        <f>_xlfn.XLOOKUP(A567,'[1]Global_Spot Prices'!$B:$B,'[1]Global_Spot Prices'!$D:$D)</f>
        <v>54.055</v>
      </c>
      <c r="E567">
        <f>_xlfn.XLOOKUP(A567,'[1]Global_Spot Prices'!$B:$B,'[1]Global_Spot Prices'!$H:$H)</f>
        <v>52.54</v>
      </c>
      <c r="F567">
        <f>_xlfn.XLOOKUP(A567,'[1]Global_Spot Prices'!$B:$B,'[1]Global_Spot Prices'!$I:$I)</f>
        <v>63.46</v>
      </c>
      <c r="G567" cm="1">
        <f t="array" ref="G567">_xlfn.XLOOKUP(TEXT(A567, "mmm-yy"), TEXT([2]RUNS!$B$5:$B$208, "mmm-yy"), [2]RUNS!$D$5:$D$208, "Not Found")</f>
        <v>28290.521223350595</v>
      </c>
      <c r="H567" cm="1">
        <f t="array" ref="H567">SUMPRODUCT(
    --(TEXT('[3]Global Weekly Stock (EWSuez'!$B$4:$B$2000,"mmm-yy")=TEXT(A567,"mmm-yy")),
    '[3]Global Weekly Stock (EWSuez'!$E$4:$E$2000)
/
SUMPRODUCT(
    --(TEXT('[3]Global Weekly Stock (EWSuez'!$B$4:$B$2000,"mmm-yy")=TEXT(A567,"mmm-yy"))
)</f>
        <v>14049.4</v>
      </c>
      <c r="I567">
        <f>_xlfn.XLOOKUP(A567,[1]ForwardDeriv!$D:$D,[1]ForwardDeriv!$AJ:$AJ)</f>
        <v>-0.11999999999999034</v>
      </c>
      <c r="J567" cm="1">
        <f t="array" ref="J567">_xlfn.XLOOKUP(TEXT(A567, "mmm-yy"), TEXT([2]GASOLINE!$B$5:$B$208, "mmm-yy"), [2]GASOLINE!$IR$5:$IR$208, "Not Found")</f>
        <v>156.27979924954889</v>
      </c>
      <c r="K567" cm="1">
        <f t="array" ref="K567">_xlfn.XLOOKUP(TEXT(A567, "mmm-yy"), TEXT([2]GASOLINE!$B$5:$B$208, "mmm-yy"), [2]GASOLINE!$IK$5:$IK$208, "Not Found")</f>
        <v>0</v>
      </c>
      <c r="L567">
        <f t="shared" si="8"/>
        <v>0</v>
      </c>
      <c r="M567" cm="1">
        <f t="array" ref="M567">_xlfn.XLOOKUP(TEXT(A567, "mmm-yy"), TEXT([2]GASOLINE!$B$5:$B$208, "mmm-yy"), [2]GASOLINE!$C$5:$C$208, "Not Found")</f>
        <v>7051.691975748824</v>
      </c>
      <c r="N567" cm="1">
        <f t="array" ref="N567">_xlfn.XLOOKUP(TEXT(A567, "mmm-yy"), TEXT([2]RUNS!$B$5:$B$208, "mmm-yy"), [2]RUNS!$BM$5:$BM$208, "Not Found")</f>
        <v>0.84188709050939625</v>
      </c>
    </row>
    <row r="568" spans="1:14" x14ac:dyDescent="0.25">
      <c r="A568" s="1">
        <f>'[1]Global_Spot Prices'!$B1877</f>
        <v>42797</v>
      </c>
      <c r="B568">
        <f>_xlfn.XLOOKUP(A568,'[1]Global_Spot Prices'!$B:$B,'[1]Global_Spot Prices'!$BS:$BS)</f>
        <v>9.3299999999999983</v>
      </c>
      <c r="C568">
        <f>_xlfn.XLOOKUP(A568,'[1]Global_Spot Prices'!$B:$B,'[1]Global_Spot Prices'!$E:$E)</f>
        <v>53.74</v>
      </c>
      <c r="D568">
        <f>_xlfn.XLOOKUP(A568,'[1]Global_Spot Prices'!$B:$B,'[1]Global_Spot Prices'!$D:$D)</f>
        <v>54.07</v>
      </c>
      <c r="E568">
        <f>_xlfn.XLOOKUP(A568,'[1]Global_Spot Prices'!$B:$B,'[1]Global_Spot Prices'!$H:$H)</f>
        <v>52.49</v>
      </c>
      <c r="F568">
        <f>_xlfn.XLOOKUP(A568,'[1]Global_Spot Prices'!$B:$B,'[1]Global_Spot Prices'!$I:$I)</f>
        <v>63.07</v>
      </c>
      <c r="G568" cm="1">
        <f t="array" ref="G568">_xlfn.XLOOKUP(TEXT(A568, "mmm-yy"), TEXT([2]RUNS!$B$5:$B$208, "mmm-yy"), [2]RUNS!$D$5:$D$208, "Not Found")</f>
        <v>28290.521223350595</v>
      </c>
      <c r="H568" cm="1">
        <f t="array" ref="H568">SUMPRODUCT(
    --(TEXT('[3]Global Weekly Stock (EWSuez'!$B$4:$B$2000,"mmm-yy")=TEXT(A568,"mmm-yy")),
    '[3]Global Weekly Stock (EWSuez'!$E$4:$E$2000)
/
SUMPRODUCT(
    --(TEXT('[3]Global Weekly Stock (EWSuez'!$B$4:$B$2000,"mmm-yy")=TEXT(A568,"mmm-yy"))
)</f>
        <v>14049.4</v>
      </c>
      <c r="I568">
        <f>_xlfn.XLOOKUP(A568,[1]ForwardDeriv!$D:$D,[1]ForwardDeriv!$AJ:$AJ)</f>
        <v>-0.15000000000000568</v>
      </c>
      <c r="J568" cm="1">
        <f t="array" ref="J568">_xlfn.XLOOKUP(TEXT(A568, "mmm-yy"), TEXT([2]GASOLINE!$B$5:$B$208, "mmm-yy"), [2]GASOLINE!$IR$5:$IR$208, "Not Found")</f>
        <v>156.27979924954889</v>
      </c>
      <c r="K568" cm="1">
        <f t="array" ref="K568">_xlfn.XLOOKUP(TEXT(A568, "mmm-yy"), TEXT([2]GASOLINE!$B$5:$B$208, "mmm-yy"), [2]GASOLINE!$IK$5:$IK$208, "Not Found")</f>
        <v>0</v>
      </c>
      <c r="L568">
        <f t="shared" si="8"/>
        <v>0</v>
      </c>
      <c r="M568" cm="1">
        <f t="array" ref="M568">_xlfn.XLOOKUP(TEXT(A568, "mmm-yy"), TEXT([2]GASOLINE!$B$5:$B$208, "mmm-yy"), [2]GASOLINE!$C$5:$C$208, "Not Found")</f>
        <v>7051.691975748824</v>
      </c>
      <c r="N568" cm="1">
        <f t="array" ref="N568">_xlfn.XLOOKUP(TEXT(A568, "mmm-yy"), TEXT([2]RUNS!$B$5:$B$208, "mmm-yy"), [2]RUNS!$BM$5:$BM$208, "Not Found")</f>
        <v>0.84188709050939625</v>
      </c>
    </row>
    <row r="569" spans="1:14" x14ac:dyDescent="0.25">
      <c r="A569" s="1">
        <f>'[1]Global_Spot Prices'!$B1878</f>
        <v>42800</v>
      </c>
      <c r="B569">
        <f>_xlfn.XLOOKUP(A569,'[1]Global_Spot Prices'!$B:$B,'[1]Global_Spot Prices'!$BS:$BS)</f>
        <v>8.9349999999999952</v>
      </c>
      <c r="C569">
        <f>_xlfn.XLOOKUP(A569,'[1]Global_Spot Prices'!$B:$B,'[1]Global_Spot Prices'!$E:$E)</f>
        <v>53.895000000000003</v>
      </c>
      <c r="D569">
        <f>_xlfn.XLOOKUP(A569,'[1]Global_Spot Prices'!$B:$B,'[1]Global_Spot Prices'!$D:$D)</f>
        <v>54.59</v>
      </c>
      <c r="E569">
        <f>_xlfn.XLOOKUP(A569,'[1]Global_Spot Prices'!$B:$B,'[1]Global_Spot Prices'!$H:$H)</f>
        <v>52.79</v>
      </c>
      <c r="F569">
        <f>_xlfn.XLOOKUP(A569,'[1]Global_Spot Prices'!$B:$B,'[1]Global_Spot Prices'!$I:$I)</f>
        <v>62.83</v>
      </c>
      <c r="G569" cm="1">
        <f t="array" ref="G569">_xlfn.XLOOKUP(TEXT(A569, "mmm-yy"), TEXT([2]RUNS!$B$5:$B$208, "mmm-yy"), [2]RUNS!$D$5:$D$208, "Not Found")</f>
        <v>28290.521223350595</v>
      </c>
      <c r="H569" cm="1">
        <f t="array" ref="H569">SUMPRODUCT(
    --(TEXT('[3]Global Weekly Stock (EWSuez'!$B$4:$B$2000,"mmm-yy")=TEXT(A569,"mmm-yy")),
    '[3]Global Weekly Stock (EWSuez'!$E$4:$E$2000)
/
SUMPRODUCT(
    --(TEXT('[3]Global Weekly Stock (EWSuez'!$B$4:$B$2000,"mmm-yy")=TEXT(A569,"mmm-yy"))
)</f>
        <v>14049.4</v>
      </c>
      <c r="I569">
        <f>_xlfn.XLOOKUP(A569,[1]ForwardDeriv!$D:$D,[1]ForwardDeriv!$AJ:$AJ)</f>
        <v>-0.11999999999999744</v>
      </c>
      <c r="J569" cm="1">
        <f t="array" ref="J569">_xlfn.XLOOKUP(TEXT(A569, "mmm-yy"), TEXT([2]GASOLINE!$B$5:$B$208, "mmm-yy"), [2]GASOLINE!$IR$5:$IR$208, "Not Found")</f>
        <v>156.27979924954889</v>
      </c>
      <c r="K569" cm="1">
        <f t="array" ref="K569">_xlfn.XLOOKUP(TEXT(A569, "mmm-yy"), TEXT([2]GASOLINE!$B$5:$B$208, "mmm-yy"), [2]GASOLINE!$IK$5:$IK$208, "Not Found")</f>
        <v>0</v>
      </c>
      <c r="L569">
        <f t="shared" si="8"/>
        <v>0</v>
      </c>
      <c r="M569" cm="1">
        <f t="array" ref="M569">_xlfn.XLOOKUP(TEXT(A569, "mmm-yy"), TEXT([2]GASOLINE!$B$5:$B$208, "mmm-yy"), [2]GASOLINE!$C$5:$C$208, "Not Found")</f>
        <v>7051.691975748824</v>
      </c>
      <c r="N569" cm="1">
        <f t="array" ref="N569">_xlfn.XLOOKUP(TEXT(A569, "mmm-yy"), TEXT([2]RUNS!$B$5:$B$208, "mmm-yy"), [2]RUNS!$BM$5:$BM$208, "Not Found")</f>
        <v>0.84188709050939625</v>
      </c>
    </row>
    <row r="570" spans="1:14" x14ac:dyDescent="0.25">
      <c r="A570" s="1">
        <f>'[1]Global_Spot Prices'!$B1879</f>
        <v>42801</v>
      </c>
      <c r="B570">
        <f>_xlfn.XLOOKUP(A570,'[1]Global_Spot Prices'!$B:$B,'[1]Global_Spot Prices'!$BS:$BS)</f>
        <v>9.865000000000002</v>
      </c>
      <c r="C570">
        <f>_xlfn.XLOOKUP(A570,'[1]Global_Spot Prices'!$B:$B,'[1]Global_Spot Prices'!$E:$E)</f>
        <v>54.494999999999997</v>
      </c>
      <c r="D570">
        <f>_xlfn.XLOOKUP(A570,'[1]Global_Spot Prices'!$B:$B,'[1]Global_Spot Prices'!$D:$D)</f>
        <v>54.875</v>
      </c>
      <c r="E570">
        <f>_xlfn.XLOOKUP(A570,'[1]Global_Spot Prices'!$B:$B,'[1]Global_Spot Prices'!$H:$H)</f>
        <v>52.95</v>
      </c>
      <c r="F570">
        <f>_xlfn.XLOOKUP(A570,'[1]Global_Spot Prices'!$B:$B,'[1]Global_Spot Prices'!$I:$I)</f>
        <v>64.36</v>
      </c>
      <c r="G570" cm="1">
        <f t="array" ref="G570">_xlfn.XLOOKUP(TEXT(A570, "mmm-yy"), TEXT([2]RUNS!$B$5:$B$208, "mmm-yy"), [2]RUNS!$D$5:$D$208, "Not Found")</f>
        <v>28290.521223350595</v>
      </c>
      <c r="H570" cm="1">
        <f t="array" ref="H570">SUMPRODUCT(
    --(TEXT('[3]Global Weekly Stock (EWSuez'!$B$4:$B$2000,"mmm-yy")=TEXT(A570,"mmm-yy")),
    '[3]Global Weekly Stock (EWSuez'!$E$4:$E$2000)
/
SUMPRODUCT(
    --(TEXT('[3]Global Weekly Stock (EWSuez'!$B$4:$B$2000,"mmm-yy")=TEXT(A570,"mmm-yy"))
)</f>
        <v>14049.4</v>
      </c>
      <c r="I570">
        <f>_xlfn.XLOOKUP(A570,[1]ForwardDeriv!$D:$D,[1]ForwardDeriv!$AJ:$AJ)</f>
        <v>-2.0000000000010232E-2</v>
      </c>
      <c r="J570" cm="1">
        <f t="array" ref="J570">_xlfn.XLOOKUP(TEXT(A570, "mmm-yy"), TEXT([2]GASOLINE!$B$5:$B$208, "mmm-yy"), [2]GASOLINE!$IR$5:$IR$208, "Not Found")</f>
        <v>156.27979924954889</v>
      </c>
      <c r="K570" cm="1">
        <f t="array" ref="K570">_xlfn.XLOOKUP(TEXT(A570, "mmm-yy"), TEXT([2]GASOLINE!$B$5:$B$208, "mmm-yy"), [2]GASOLINE!$IK$5:$IK$208, "Not Found")</f>
        <v>0</v>
      </c>
      <c r="L570">
        <f t="shared" si="8"/>
        <v>0</v>
      </c>
      <c r="M570" cm="1">
        <f t="array" ref="M570">_xlfn.XLOOKUP(TEXT(A570, "mmm-yy"), TEXT([2]GASOLINE!$B$5:$B$208, "mmm-yy"), [2]GASOLINE!$C$5:$C$208, "Not Found")</f>
        <v>7051.691975748824</v>
      </c>
      <c r="N570" cm="1">
        <f t="array" ref="N570">_xlfn.XLOOKUP(TEXT(A570, "mmm-yy"), TEXT([2]RUNS!$B$5:$B$208, "mmm-yy"), [2]RUNS!$BM$5:$BM$208, "Not Found")</f>
        <v>0.84188709050939625</v>
      </c>
    </row>
    <row r="571" spans="1:14" x14ac:dyDescent="0.25">
      <c r="A571" s="1">
        <f>'[1]Global_Spot Prices'!$B1880</f>
        <v>42802</v>
      </c>
      <c r="B571">
        <f>_xlfn.XLOOKUP(A571,'[1]Global_Spot Prices'!$B:$B,'[1]Global_Spot Prices'!$BS:$BS)</f>
        <v>10.690000000000005</v>
      </c>
      <c r="C571">
        <f>_xlfn.XLOOKUP(A571,'[1]Global_Spot Prices'!$B:$B,'[1]Global_Spot Prices'!$E:$E)</f>
        <v>54.01</v>
      </c>
      <c r="D571">
        <f>_xlfn.XLOOKUP(A571,'[1]Global_Spot Prices'!$B:$B,'[1]Global_Spot Prices'!$D:$D)</f>
        <v>53.795000000000002</v>
      </c>
      <c r="E571">
        <f>_xlfn.XLOOKUP(A571,'[1]Global_Spot Prices'!$B:$B,'[1]Global_Spot Prices'!$H:$H)</f>
        <v>52.68</v>
      </c>
      <c r="F571">
        <f>_xlfn.XLOOKUP(A571,'[1]Global_Spot Prices'!$B:$B,'[1]Global_Spot Prices'!$I:$I)</f>
        <v>64.7</v>
      </c>
      <c r="G571" cm="1">
        <f t="array" ref="G571">_xlfn.XLOOKUP(TEXT(A571, "mmm-yy"), TEXT([2]RUNS!$B$5:$B$208, "mmm-yy"), [2]RUNS!$D$5:$D$208, "Not Found")</f>
        <v>28290.521223350595</v>
      </c>
      <c r="H571" cm="1">
        <f t="array" ref="H571">SUMPRODUCT(
    --(TEXT('[3]Global Weekly Stock (EWSuez'!$B$4:$B$2000,"mmm-yy")=TEXT(A571,"mmm-yy")),
    '[3]Global Weekly Stock (EWSuez'!$E$4:$E$2000)
/
SUMPRODUCT(
    --(TEXT('[3]Global Weekly Stock (EWSuez'!$B$4:$B$2000,"mmm-yy")=TEXT(A571,"mmm-yy"))
)</f>
        <v>14049.4</v>
      </c>
      <c r="I571">
        <f>_xlfn.XLOOKUP(A571,[1]ForwardDeriv!$D:$D,[1]ForwardDeriv!$AJ:$AJ)</f>
        <v>0.14000000000000057</v>
      </c>
      <c r="J571" cm="1">
        <f t="array" ref="J571">_xlfn.XLOOKUP(TEXT(A571, "mmm-yy"), TEXT([2]GASOLINE!$B$5:$B$208, "mmm-yy"), [2]GASOLINE!$IR$5:$IR$208, "Not Found")</f>
        <v>156.27979924954889</v>
      </c>
      <c r="K571" cm="1">
        <f t="array" ref="K571">_xlfn.XLOOKUP(TEXT(A571, "mmm-yy"), TEXT([2]GASOLINE!$B$5:$B$208, "mmm-yy"), [2]GASOLINE!$IK$5:$IK$208, "Not Found")</f>
        <v>0</v>
      </c>
      <c r="L571">
        <f t="shared" si="8"/>
        <v>0</v>
      </c>
      <c r="M571" cm="1">
        <f t="array" ref="M571">_xlfn.XLOOKUP(TEXT(A571, "mmm-yy"), TEXT([2]GASOLINE!$B$5:$B$208, "mmm-yy"), [2]GASOLINE!$C$5:$C$208, "Not Found")</f>
        <v>7051.691975748824</v>
      </c>
      <c r="N571" cm="1">
        <f t="array" ref="N571">_xlfn.XLOOKUP(TEXT(A571, "mmm-yy"), TEXT([2]RUNS!$B$5:$B$208, "mmm-yy"), [2]RUNS!$BM$5:$BM$208, "Not Found")</f>
        <v>0.84188709050939625</v>
      </c>
    </row>
    <row r="572" spans="1:14" x14ac:dyDescent="0.25">
      <c r="A572" s="1">
        <f>'[1]Global_Spot Prices'!$B1881</f>
        <v>42803</v>
      </c>
      <c r="B572">
        <f>_xlfn.XLOOKUP(A572,'[1]Global_Spot Prices'!$B:$B,'[1]Global_Spot Prices'!$BS:$BS)</f>
        <v>10.880000000000003</v>
      </c>
      <c r="C572">
        <f>_xlfn.XLOOKUP(A572,'[1]Global_Spot Prices'!$B:$B,'[1]Global_Spot Prices'!$E:$E)</f>
        <v>52.55</v>
      </c>
      <c r="D572">
        <f>_xlfn.XLOOKUP(A572,'[1]Global_Spot Prices'!$B:$B,'[1]Global_Spot Prices'!$D:$D)</f>
        <v>50.76</v>
      </c>
      <c r="E572">
        <f>_xlfn.XLOOKUP(A572,'[1]Global_Spot Prices'!$B:$B,'[1]Global_Spot Prices'!$H:$H)</f>
        <v>51.02</v>
      </c>
      <c r="F572">
        <f>_xlfn.XLOOKUP(A572,'[1]Global_Spot Prices'!$B:$B,'[1]Global_Spot Prices'!$I:$I)</f>
        <v>63.43</v>
      </c>
      <c r="G572" cm="1">
        <f t="array" ref="G572">_xlfn.XLOOKUP(TEXT(A572, "mmm-yy"), TEXT([2]RUNS!$B$5:$B$208, "mmm-yy"), [2]RUNS!$D$5:$D$208, "Not Found")</f>
        <v>28290.521223350595</v>
      </c>
      <c r="H572" cm="1">
        <f t="array" ref="H572">SUMPRODUCT(
    --(TEXT('[3]Global Weekly Stock (EWSuez'!$B$4:$B$2000,"mmm-yy")=TEXT(A572,"mmm-yy")),
    '[3]Global Weekly Stock (EWSuez'!$E$4:$E$2000)
/
SUMPRODUCT(
    --(TEXT('[3]Global Weekly Stock (EWSuez'!$B$4:$B$2000,"mmm-yy")=TEXT(A572,"mmm-yy"))
)</f>
        <v>14049.4</v>
      </c>
      <c r="I572">
        <f>_xlfn.XLOOKUP(A572,[1]ForwardDeriv!$D:$D,[1]ForwardDeriv!$AJ:$AJ)</f>
        <v>0.11999999999999744</v>
      </c>
      <c r="J572" cm="1">
        <f t="array" ref="J572">_xlfn.XLOOKUP(TEXT(A572, "mmm-yy"), TEXT([2]GASOLINE!$B$5:$B$208, "mmm-yy"), [2]GASOLINE!$IR$5:$IR$208, "Not Found")</f>
        <v>156.27979924954889</v>
      </c>
      <c r="K572" cm="1">
        <f t="array" ref="K572">_xlfn.XLOOKUP(TEXT(A572, "mmm-yy"), TEXT([2]GASOLINE!$B$5:$B$208, "mmm-yy"), [2]GASOLINE!$IK$5:$IK$208, "Not Found")</f>
        <v>0</v>
      </c>
      <c r="L572">
        <f t="shared" si="8"/>
        <v>0</v>
      </c>
      <c r="M572" cm="1">
        <f t="array" ref="M572">_xlfn.XLOOKUP(TEXT(A572, "mmm-yy"), TEXT([2]GASOLINE!$B$5:$B$208, "mmm-yy"), [2]GASOLINE!$C$5:$C$208, "Not Found")</f>
        <v>7051.691975748824</v>
      </c>
      <c r="N572" cm="1">
        <f t="array" ref="N572">_xlfn.XLOOKUP(TEXT(A572, "mmm-yy"), TEXT([2]RUNS!$B$5:$B$208, "mmm-yy"), [2]RUNS!$BM$5:$BM$208, "Not Found")</f>
        <v>0.84188709050939625</v>
      </c>
    </row>
    <row r="573" spans="1:14" x14ac:dyDescent="0.25">
      <c r="A573" s="1">
        <f>'[1]Global_Spot Prices'!$B1882</f>
        <v>42804</v>
      </c>
      <c r="B573">
        <f>_xlfn.XLOOKUP(A573,'[1]Global_Spot Prices'!$B:$B,'[1]Global_Spot Prices'!$BS:$BS)</f>
        <v>10.810000000000002</v>
      </c>
      <c r="C573">
        <f>_xlfn.XLOOKUP(A573,'[1]Global_Spot Prices'!$B:$B,'[1]Global_Spot Prices'!$E:$E)</f>
        <v>51.15</v>
      </c>
      <c r="D573">
        <f>_xlfn.XLOOKUP(A573,'[1]Global_Spot Prices'!$B:$B,'[1]Global_Spot Prices'!$D:$D)</f>
        <v>50.674999999999997</v>
      </c>
      <c r="E573">
        <f>_xlfn.XLOOKUP(A573,'[1]Global_Spot Prices'!$B:$B,'[1]Global_Spot Prices'!$H:$H)</f>
        <v>50.02</v>
      </c>
      <c r="F573">
        <f>_xlfn.XLOOKUP(A573,'[1]Global_Spot Prices'!$B:$B,'[1]Global_Spot Prices'!$I:$I)</f>
        <v>61.96</v>
      </c>
      <c r="G573" cm="1">
        <f t="array" ref="G573">_xlfn.XLOOKUP(TEXT(A573, "mmm-yy"), TEXT([2]RUNS!$B$5:$B$208, "mmm-yy"), [2]RUNS!$D$5:$D$208, "Not Found")</f>
        <v>28290.521223350595</v>
      </c>
      <c r="H573" cm="1">
        <f t="array" ref="H573">SUMPRODUCT(
    --(TEXT('[3]Global Weekly Stock (EWSuez'!$B$4:$B$2000,"mmm-yy")=TEXT(A573,"mmm-yy")),
    '[3]Global Weekly Stock (EWSuez'!$E$4:$E$2000)
/
SUMPRODUCT(
    --(TEXT('[3]Global Weekly Stock (EWSuez'!$B$4:$B$2000,"mmm-yy")=TEXT(A573,"mmm-yy"))
)</f>
        <v>14049.4</v>
      </c>
      <c r="I573">
        <f>_xlfn.XLOOKUP(A573,[1]ForwardDeriv!$D:$D,[1]ForwardDeriv!$AJ:$AJ)</f>
        <v>0.17000000000000171</v>
      </c>
      <c r="J573" cm="1">
        <f t="array" ref="J573">_xlfn.XLOOKUP(TEXT(A573, "mmm-yy"), TEXT([2]GASOLINE!$B$5:$B$208, "mmm-yy"), [2]GASOLINE!$IR$5:$IR$208, "Not Found")</f>
        <v>156.27979924954889</v>
      </c>
      <c r="K573" cm="1">
        <f t="array" ref="K573">_xlfn.XLOOKUP(TEXT(A573, "mmm-yy"), TEXT([2]GASOLINE!$B$5:$B$208, "mmm-yy"), [2]GASOLINE!$IK$5:$IK$208, "Not Found")</f>
        <v>0</v>
      </c>
      <c r="L573">
        <f t="shared" si="8"/>
        <v>0</v>
      </c>
      <c r="M573" cm="1">
        <f t="array" ref="M573">_xlfn.XLOOKUP(TEXT(A573, "mmm-yy"), TEXT([2]GASOLINE!$B$5:$B$208, "mmm-yy"), [2]GASOLINE!$C$5:$C$208, "Not Found")</f>
        <v>7051.691975748824</v>
      </c>
      <c r="N573" cm="1">
        <f t="array" ref="N573">_xlfn.XLOOKUP(TEXT(A573, "mmm-yy"), TEXT([2]RUNS!$B$5:$B$208, "mmm-yy"), [2]RUNS!$BM$5:$BM$208, "Not Found")</f>
        <v>0.84188709050939625</v>
      </c>
    </row>
    <row r="574" spans="1:14" x14ac:dyDescent="0.25">
      <c r="A574" s="1">
        <f>'[1]Global_Spot Prices'!$B1883</f>
        <v>42807</v>
      </c>
      <c r="B574">
        <f>_xlfn.XLOOKUP(A574,'[1]Global_Spot Prices'!$B:$B,'[1]Global_Spot Prices'!$BS:$BS)</f>
        <v>10.509999999999998</v>
      </c>
      <c r="C574">
        <f>_xlfn.XLOOKUP(A574,'[1]Global_Spot Prices'!$B:$B,'[1]Global_Spot Prices'!$E:$E)</f>
        <v>49.99</v>
      </c>
      <c r="D574">
        <f>_xlfn.XLOOKUP(A574,'[1]Global_Spot Prices'!$B:$B,'[1]Global_Spot Prices'!$D:$D)</f>
        <v>50.15</v>
      </c>
      <c r="E574">
        <f>_xlfn.XLOOKUP(A574,'[1]Global_Spot Prices'!$B:$B,'[1]Global_Spot Prices'!$H:$H)</f>
        <v>49.27</v>
      </c>
      <c r="F574">
        <f>_xlfn.XLOOKUP(A574,'[1]Global_Spot Prices'!$B:$B,'[1]Global_Spot Prices'!$I:$I)</f>
        <v>60.5</v>
      </c>
      <c r="G574" cm="1">
        <f t="array" ref="G574">_xlfn.XLOOKUP(TEXT(A574, "mmm-yy"), TEXT([2]RUNS!$B$5:$B$208, "mmm-yy"), [2]RUNS!$D$5:$D$208, "Not Found")</f>
        <v>28290.521223350595</v>
      </c>
      <c r="H574" cm="1">
        <f t="array" ref="H574">SUMPRODUCT(
    --(TEXT('[3]Global Weekly Stock (EWSuez'!$B$4:$B$2000,"mmm-yy")=TEXT(A574,"mmm-yy")),
    '[3]Global Weekly Stock (EWSuez'!$E$4:$E$2000)
/
SUMPRODUCT(
    --(TEXT('[3]Global Weekly Stock (EWSuez'!$B$4:$B$2000,"mmm-yy")=TEXT(A574,"mmm-yy"))
)</f>
        <v>14049.4</v>
      </c>
      <c r="I574">
        <f>_xlfn.XLOOKUP(A574,[1]ForwardDeriv!$D:$D,[1]ForwardDeriv!$AJ:$AJ)</f>
        <v>5.0000000000004263E-2</v>
      </c>
      <c r="J574" cm="1">
        <f t="array" ref="J574">_xlfn.XLOOKUP(TEXT(A574, "mmm-yy"), TEXT([2]GASOLINE!$B$5:$B$208, "mmm-yy"), [2]GASOLINE!$IR$5:$IR$208, "Not Found")</f>
        <v>156.27979924954889</v>
      </c>
      <c r="K574" cm="1">
        <f t="array" ref="K574">_xlfn.XLOOKUP(TEXT(A574, "mmm-yy"), TEXT([2]GASOLINE!$B$5:$B$208, "mmm-yy"), [2]GASOLINE!$IK$5:$IK$208, "Not Found")</f>
        <v>0</v>
      </c>
      <c r="L574">
        <f t="shared" si="8"/>
        <v>0</v>
      </c>
      <c r="M574" cm="1">
        <f t="array" ref="M574">_xlfn.XLOOKUP(TEXT(A574, "mmm-yy"), TEXT([2]GASOLINE!$B$5:$B$208, "mmm-yy"), [2]GASOLINE!$C$5:$C$208, "Not Found")</f>
        <v>7051.691975748824</v>
      </c>
      <c r="N574" cm="1">
        <f t="array" ref="N574">_xlfn.XLOOKUP(TEXT(A574, "mmm-yy"), TEXT([2]RUNS!$B$5:$B$208, "mmm-yy"), [2]RUNS!$BM$5:$BM$208, "Not Found")</f>
        <v>0.84188709050939625</v>
      </c>
    </row>
    <row r="575" spans="1:14" x14ac:dyDescent="0.25">
      <c r="A575" s="1">
        <f>'[1]Global_Spot Prices'!$B1884</f>
        <v>42808</v>
      </c>
      <c r="B575">
        <f>_xlfn.XLOOKUP(A575,'[1]Global_Spot Prices'!$B:$B,'[1]Global_Spot Prices'!$BS:$BS)</f>
        <v>10.530000000000001</v>
      </c>
      <c r="C575">
        <f>_xlfn.XLOOKUP(A575,'[1]Global_Spot Prices'!$B:$B,'[1]Global_Spot Prices'!$E:$E)</f>
        <v>49.8</v>
      </c>
      <c r="D575">
        <f>_xlfn.XLOOKUP(A575,'[1]Global_Spot Prices'!$B:$B,'[1]Global_Spot Prices'!$D:$D)</f>
        <v>49.204999999999998</v>
      </c>
      <c r="E575">
        <f>_xlfn.XLOOKUP(A575,'[1]Global_Spot Prices'!$B:$B,'[1]Global_Spot Prices'!$H:$H)</f>
        <v>49.74</v>
      </c>
      <c r="F575">
        <f>_xlfn.XLOOKUP(A575,'[1]Global_Spot Prices'!$B:$B,'[1]Global_Spot Prices'!$I:$I)</f>
        <v>60.33</v>
      </c>
      <c r="G575" cm="1">
        <f t="array" ref="G575">_xlfn.XLOOKUP(TEXT(A575, "mmm-yy"), TEXT([2]RUNS!$B$5:$B$208, "mmm-yy"), [2]RUNS!$D$5:$D$208, "Not Found")</f>
        <v>28290.521223350595</v>
      </c>
      <c r="H575" cm="1">
        <f t="array" ref="H575">SUMPRODUCT(
    --(TEXT('[3]Global Weekly Stock (EWSuez'!$B$4:$B$2000,"mmm-yy")=TEXT(A575,"mmm-yy")),
    '[3]Global Weekly Stock (EWSuez'!$E$4:$E$2000)
/
SUMPRODUCT(
    --(TEXT('[3]Global Weekly Stock (EWSuez'!$B$4:$B$2000,"mmm-yy")=TEXT(A575,"mmm-yy"))
)</f>
        <v>14049.4</v>
      </c>
      <c r="I575">
        <f>_xlfn.XLOOKUP(A575,[1]ForwardDeriv!$D:$D,[1]ForwardDeriv!$AJ:$AJ)</f>
        <v>-3.9999999999999147E-2</v>
      </c>
      <c r="J575" cm="1">
        <f t="array" ref="J575">_xlfn.XLOOKUP(TEXT(A575, "mmm-yy"), TEXT([2]GASOLINE!$B$5:$B$208, "mmm-yy"), [2]GASOLINE!$IR$5:$IR$208, "Not Found")</f>
        <v>156.27979924954889</v>
      </c>
      <c r="K575" cm="1">
        <f t="array" ref="K575">_xlfn.XLOOKUP(TEXT(A575, "mmm-yy"), TEXT([2]GASOLINE!$B$5:$B$208, "mmm-yy"), [2]GASOLINE!$IK$5:$IK$208, "Not Found")</f>
        <v>0</v>
      </c>
      <c r="L575">
        <f t="shared" si="8"/>
        <v>0</v>
      </c>
      <c r="M575" cm="1">
        <f t="array" ref="M575">_xlfn.XLOOKUP(TEXT(A575, "mmm-yy"), TEXT([2]GASOLINE!$B$5:$B$208, "mmm-yy"), [2]GASOLINE!$C$5:$C$208, "Not Found")</f>
        <v>7051.691975748824</v>
      </c>
      <c r="N575" cm="1">
        <f t="array" ref="N575">_xlfn.XLOOKUP(TEXT(A575, "mmm-yy"), TEXT([2]RUNS!$B$5:$B$208, "mmm-yy"), [2]RUNS!$BM$5:$BM$208, "Not Found")</f>
        <v>0.84188709050939625</v>
      </c>
    </row>
    <row r="576" spans="1:14" x14ac:dyDescent="0.25">
      <c r="A576" s="1">
        <f>'[1]Global_Spot Prices'!$B1885</f>
        <v>42809</v>
      </c>
      <c r="B576">
        <f>_xlfn.XLOOKUP(A576,'[1]Global_Spot Prices'!$B:$B,'[1]Global_Spot Prices'!$BS:$BS)</f>
        <v>10.630000000000003</v>
      </c>
      <c r="C576">
        <f>_xlfn.XLOOKUP(A576,'[1]Global_Spot Prices'!$B:$B,'[1]Global_Spot Prices'!$E:$E)</f>
        <v>50.04</v>
      </c>
      <c r="D576">
        <f>_xlfn.XLOOKUP(A576,'[1]Global_Spot Prices'!$B:$B,'[1]Global_Spot Prices'!$D:$D)</f>
        <v>50.46</v>
      </c>
      <c r="E576">
        <f>_xlfn.XLOOKUP(A576,'[1]Global_Spot Prices'!$B:$B,'[1]Global_Spot Prices'!$H:$H)</f>
        <v>50.24</v>
      </c>
      <c r="F576">
        <f>_xlfn.XLOOKUP(A576,'[1]Global_Spot Prices'!$B:$B,'[1]Global_Spot Prices'!$I:$I)</f>
        <v>60.67</v>
      </c>
      <c r="G576" cm="1">
        <f t="array" ref="G576">_xlfn.XLOOKUP(TEXT(A576, "mmm-yy"), TEXT([2]RUNS!$B$5:$B$208, "mmm-yy"), [2]RUNS!$D$5:$D$208, "Not Found")</f>
        <v>28290.521223350595</v>
      </c>
      <c r="H576" cm="1">
        <f t="array" ref="H576">SUMPRODUCT(
    --(TEXT('[3]Global Weekly Stock (EWSuez'!$B$4:$B$2000,"mmm-yy")=TEXT(A576,"mmm-yy")),
    '[3]Global Weekly Stock (EWSuez'!$E$4:$E$2000)
/
SUMPRODUCT(
    --(TEXT('[3]Global Weekly Stock (EWSuez'!$B$4:$B$2000,"mmm-yy")=TEXT(A576,"mmm-yy"))
)</f>
        <v>14049.4</v>
      </c>
      <c r="I576">
        <f>_xlfn.XLOOKUP(A576,[1]ForwardDeriv!$D:$D,[1]ForwardDeriv!$AJ:$AJ)</f>
        <v>-9.9999999999980105E-3</v>
      </c>
      <c r="J576" cm="1">
        <f t="array" ref="J576">_xlfn.XLOOKUP(TEXT(A576, "mmm-yy"), TEXT([2]GASOLINE!$B$5:$B$208, "mmm-yy"), [2]GASOLINE!$IR$5:$IR$208, "Not Found")</f>
        <v>156.27979924954889</v>
      </c>
      <c r="K576" cm="1">
        <f t="array" ref="K576">_xlfn.XLOOKUP(TEXT(A576, "mmm-yy"), TEXT([2]GASOLINE!$B$5:$B$208, "mmm-yy"), [2]GASOLINE!$IK$5:$IK$208, "Not Found")</f>
        <v>0</v>
      </c>
      <c r="L576">
        <f t="shared" si="8"/>
        <v>0</v>
      </c>
      <c r="M576" cm="1">
        <f t="array" ref="M576">_xlfn.XLOOKUP(TEXT(A576, "mmm-yy"), TEXT([2]GASOLINE!$B$5:$B$208, "mmm-yy"), [2]GASOLINE!$C$5:$C$208, "Not Found")</f>
        <v>7051.691975748824</v>
      </c>
      <c r="N576" cm="1">
        <f t="array" ref="N576">_xlfn.XLOOKUP(TEXT(A576, "mmm-yy"), TEXT([2]RUNS!$B$5:$B$208, "mmm-yy"), [2]RUNS!$BM$5:$BM$208, "Not Found")</f>
        <v>0.84188709050939625</v>
      </c>
    </row>
    <row r="577" spans="1:14" x14ac:dyDescent="0.25">
      <c r="A577" s="1">
        <f>'[1]Global_Spot Prices'!$B1886</f>
        <v>42810</v>
      </c>
      <c r="B577">
        <f>_xlfn.XLOOKUP(A577,'[1]Global_Spot Prices'!$B:$B,'[1]Global_Spot Prices'!$BS:$BS)</f>
        <v>10.509999999999998</v>
      </c>
      <c r="C577">
        <f>_xlfn.XLOOKUP(A577,'[1]Global_Spot Prices'!$B:$B,'[1]Global_Spot Prices'!$E:$E)</f>
        <v>50.65</v>
      </c>
      <c r="D577">
        <f>_xlfn.XLOOKUP(A577,'[1]Global_Spot Prices'!$B:$B,'[1]Global_Spot Prices'!$D:$D)</f>
        <v>50.48</v>
      </c>
      <c r="E577">
        <f>_xlfn.XLOOKUP(A577,'[1]Global_Spot Prices'!$B:$B,'[1]Global_Spot Prices'!$H:$H)</f>
        <v>50.43</v>
      </c>
      <c r="F577">
        <f>_xlfn.XLOOKUP(A577,'[1]Global_Spot Prices'!$B:$B,'[1]Global_Spot Prices'!$I:$I)</f>
        <v>61.16</v>
      </c>
      <c r="G577" cm="1">
        <f t="array" ref="G577">_xlfn.XLOOKUP(TEXT(A577, "mmm-yy"), TEXT([2]RUNS!$B$5:$B$208, "mmm-yy"), [2]RUNS!$D$5:$D$208, "Not Found")</f>
        <v>28290.521223350595</v>
      </c>
      <c r="H577" cm="1">
        <f t="array" ref="H577">SUMPRODUCT(
    --(TEXT('[3]Global Weekly Stock (EWSuez'!$B$4:$B$2000,"mmm-yy")=TEXT(A577,"mmm-yy")),
    '[3]Global Weekly Stock (EWSuez'!$E$4:$E$2000)
/
SUMPRODUCT(
    --(TEXT('[3]Global Weekly Stock (EWSuez'!$B$4:$B$2000,"mmm-yy")=TEXT(A577,"mmm-yy"))
)</f>
        <v>14049.4</v>
      </c>
      <c r="I577">
        <f>_xlfn.XLOOKUP(A577,[1]ForwardDeriv!$D:$D,[1]ForwardDeriv!$AJ:$AJ)</f>
        <v>-3.0000000000001137E-2</v>
      </c>
      <c r="J577" cm="1">
        <f t="array" ref="J577">_xlfn.XLOOKUP(TEXT(A577, "mmm-yy"), TEXT([2]GASOLINE!$B$5:$B$208, "mmm-yy"), [2]GASOLINE!$IR$5:$IR$208, "Not Found")</f>
        <v>156.27979924954889</v>
      </c>
      <c r="K577" cm="1">
        <f t="array" ref="K577">_xlfn.XLOOKUP(TEXT(A577, "mmm-yy"), TEXT([2]GASOLINE!$B$5:$B$208, "mmm-yy"), [2]GASOLINE!$IK$5:$IK$208, "Not Found")</f>
        <v>0</v>
      </c>
      <c r="L577">
        <f t="shared" si="8"/>
        <v>0</v>
      </c>
      <c r="M577" cm="1">
        <f t="array" ref="M577">_xlfn.XLOOKUP(TEXT(A577, "mmm-yy"), TEXT([2]GASOLINE!$B$5:$B$208, "mmm-yy"), [2]GASOLINE!$C$5:$C$208, "Not Found")</f>
        <v>7051.691975748824</v>
      </c>
      <c r="N577" cm="1">
        <f t="array" ref="N577">_xlfn.XLOOKUP(TEXT(A577, "mmm-yy"), TEXT([2]RUNS!$B$5:$B$208, "mmm-yy"), [2]RUNS!$BM$5:$BM$208, "Not Found")</f>
        <v>0.84188709050939625</v>
      </c>
    </row>
    <row r="578" spans="1:14" x14ac:dyDescent="0.25">
      <c r="A578" s="1">
        <f>'[1]Global_Spot Prices'!$B1887</f>
        <v>42811</v>
      </c>
      <c r="B578">
        <f>_xlfn.XLOOKUP(A578,'[1]Global_Spot Prices'!$B:$B,'[1]Global_Spot Prices'!$BS:$BS)</f>
        <v>10.649999999999999</v>
      </c>
      <c r="C578">
        <f>_xlfn.XLOOKUP(A578,'[1]Global_Spot Prices'!$B:$B,'[1]Global_Spot Prices'!$E:$E)</f>
        <v>50.1</v>
      </c>
      <c r="D578">
        <f>_xlfn.XLOOKUP(A578,'[1]Global_Spot Prices'!$B:$B,'[1]Global_Spot Prices'!$D:$D)</f>
        <v>50.71</v>
      </c>
      <c r="E578">
        <f>_xlfn.XLOOKUP(A578,'[1]Global_Spot Prices'!$B:$B,'[1]Global_Spot Prices'!$H:$H)</f>
        <v>50.02</v>
      </c>
      <c r="F578">
        <f>_xlfn.XLOOKUP(A578,'[1]Global_Spot Prices'!$B:$B,'[1]Global_Spot Prices'!$I:$I)</f>
        <v>60.75</v>
      </c>
      <c r="G578" cm="1">
        <f t="array" ref="G578">_xlfn.XLOOKUP(TEXT(A578, "mmm-yy"), TEXT([2]RUNS!$B$5:$B$208, "mmm-yy"), [2]RUNS!$D$5:$D$208, "Not Found")</f>
        <v>28290.521223350595</v>
      </c>
      <c r="H578" cm="1">
        <f t="array" ref="H578">SUMPRODUCT(
    --(TEXT('[3]Global Weekly Stock (EWSuez'!$B$4:$B$2000,"mmm-yy")=TEXT(A578,"mmm-yy")),
    '[3]Global Weekly Stock (EWSuez'!$E$4:$E$2000)
/
SUMPRODUCT(
    --(TEXT('[3]Global Weekly Stock (EWSuez'!$B$4:$B$2000,"mmm-yy")=TEXT(A578,"mmm-yy"))
)</f>
        <v>14049.4</v>
      </c>
      <c r="I578">
        <f>_xlfn.XLOOKUP(A578,[1]ForwardDeriv!$D:$D,[1]ForwardDeriv!$AJ:$AJ)</f>
        <v>-3.0000000000001137E-2</v>
      </c>
      <c r="J578" cm="1">
        <f t="array" ref="J578">_xlfn.XLOOKUP(TEXT(A578, "mmm-yy"), TEXT([2]GASOLINE!$B$5:$B$208, "mmm-yy"), [2]GASOLINE!$IR$5:$IR$208, "Not Found")</f>
        <v>156.27979924954889</v>
      </c>
      <c r="K578" cm="1">
        <f t="array" ref="K578">_xlfn.XLOOKUP(TEXT(A578, "mmm-yy"), TEXT([2]GASOLINE!$B$5:$B$208, "mmm-yy"), [2]GASOLINE!$IK$5:$IK$208, "Not Found")</f>
        <v>0</v>
      </c>
      <c r="L578">
        <f t="shared" si="8"/>
        <v>0</v>
      </c>
      <c r="M578" cm="1">
        <f t="array" ref="M578">_xlfn.XLOOKUP(TEXT(A578, "mmm-yy"), TEXT([2]GASOLINE!$B$5:$B$208, "mmm-yy"), [2]GASOLINE!$C$5:$C$208, "Not Found")</f>
        <v>7051.691975748824</v>
      </c>
      <c r="N578" cm="1">
        <f t="array" ref="N578">_xlfn.XLOOKUP(TEXT(A578, "mmm-yy"), TEXT([2]RUNS!$B$5:$B$208, "mmm-yy"), [2]RUNS!$BM$5:$BM$208, "Not Found")</f>
        <v>0.84188709050939625</v>
      </c>
    </row>
    <row r="579" spans="1:14" x14ac:dyDescent="0.25">
      <c r="A579" s="1">
        <f>'[1]Global_Spot Prices'!$B1888</f>
        <v>42814</v>
      </c>
      <c r="B579">
        <f>_xlfn.XLOOKUP(A579,'[1]Global_Spot Prices'!$B:$B,'[1]Global_Spot Prices'!$BS:$BS)</f>
        <v>10.54</v>
      </c>
      <c r="C579">
        <f>_xlfn.XLOOKUP(A579,'[1]Global_Spot Prices'!$B:$B,'[1]Global_Spot Prices'!$E:$E)</f>
        <v>50.01</v>
      </c>
      <c r="D579">
        <f>_xlfn.XLOOKUP(A579,'[1]Global_Spot Prices'!$B:$B,'[1]Global_Spot Prices'!$D:$D)</f>
        <v>50.86</v>
      </c>
      <c r="E579">
        <f>_xlfn.XLOOKUP(A579,'[1]Global_Spot Prices'!$B:$B,'[1]Global_Spot Prices'!$H:$H)</f>
        <v>49.83</v>
      </c>
      <c r="F579">
        <f>_xlfn.XLOOKUP(A579,'[1]Global_Spot Prices'!$B:$B,'[1]Global_Spot Prices'!$I:$I)</f>
        <v>60.55</v>
      </c>
      <c r="G579" cm="1">
        <f t="array" ref="G579">_xlfn.XLOOKUP(TEXT(A579, "mmm-yy"), TEXT([2]RUNS!$B$5:$B$208, "mmm-yy"), [2]RUNS!$D$5:$D$208, "Not Found")</f>
        <v>28290.521223350595</v>
      </c>
      <c r="H579" cm="1">
        <f t="array" ref="H579">SUMPRODUCT(
    --(TEXT('[3]Global Weekly Stock (EWSuez'!$B$4:$B$2000,"mmm-yy")=TEXT(A579,"mmm-yy")),
    '[3]Global Weekly Stock (EWSuez'!$E$4:$E$2000)
/
SUMPRODUCT(
    --(TEXT('[3]Global Weekly Stock (EWSuez'!$B$4:$B$2000,"mmm-yy")=TEXT(A579,"mmm-yy"))
)</f>
        <v>14049.4</v>
      </c>
      <c r="I579">
        <f>_xlfn.XLOOKUP(A579,[1]ForwardDeriv!$D:$D,[1]ForwardDeriv!$AJ:$AJ)</f>
        <v>-3.0000000000001137E-2</v>
      </c>
      <c r="J579" cm="1">
        <f t="array" ref="J579">_xlfn.XLOOKUP(TEXT(A579, "mmm-yy"), TEXT([2]GASOLINE!$B$5:$B$208, "mmm-yy"), [2]GASOLINE!$IR$5:$IR$208, "Not Found")</f>
        <v>156.27979924954889</v>
      </c>
      <c r="K579" cm="1">
        <f t="array" ref="K579">_xlfn.XLOOKUP(TEXT(A579, "mmm-yy"), TEXT([2]GASOLINE!$B$5:$B$208, "mmm-yy"), [2]GASOLINE!$IK$5:$IK$208, "Not Found")</f>
        <v>0</v>
      </c>
      <c r="L579">
        <f t="shared" ref="L579:L642" si="9">IF(OR(MONTH(A579)=6, MONTH(A579)=7, MONTH(A579)=8, MONTH(A579)=9), 1, 0)</f>
        <v>0</v>
      </c>
      <c r="M579" cm="1">
        <f t="array" ref="M579">_xlfn.XLOOKUP(TEXT(A579, "mmm-yy"), TEXT([2]GASOLINE!$B$5:$B$208, "mmm-yy"), [2]GASOLINE!$C$5:$C$208, "Not Found")</f>
        <v>7051.691975748824</v>
      </c>
      <c r="N579" cm="1">
        <f t="array" ref="N579">_xlfn.XLOOKUP(TEXT(A579, "mmm-yy"), TEXT([2]RUNS!$B$5:$B$208, "mmm-yy"), [2]RUNS!$BM$5:$BM$208, "Not Found")</f>
        <v>0.84188709050939625</v>
      </c>
    </row>
    <row r="580" spans="1:14" x14ac:dyDescent="0.25">
      <c r="A580" s="1">
        <f>'[1]Global_Spot Prices'!$B1889</f>
        <v>42815</v>
      </c>
      <c r="B580">
        <f>_xlfn.XLOOKUP(A580,'[1]Global_Spot Prices'!$B:$B,'[1]Global_Spot Prices'!$BS:$BS)</f>
        <v>11.099999999999994</v>
      </c>
      <c r="C580">
        <f>_xlfn.XLOOKUP(A580,'[1]Global_Spot Prices'!$B:$B,'[1]Global_Spot Prices'!$E:$E)</f>
        <v>50.45</v>
      </c>
      <c r="D580">
        <f>_xlfn.XLOOKUP(A580,'[1]Global_Spot Prices'!$B:$B,'[1]Global_Spot Prices'!$D:$D)</f>
        <v>50.18</v>
      </c>
      <c r="E580">
        <f>_xlfn.XLOOKUP(A580,'[1]Global_Spot Prices'!$B:$B,'[1]Global_Spot Prices'!$H:$H)</f>
        <v>50.21</v>
      </c>
      <c r="F580">
        <f>_xlfn.XLOOKUP(A580,'[1]Global_Spot Prices'!$B:$B,'[1]Global_Spot Prices'!$I:$I)</f>
        <v>61.55</v>
      </c>
      <c r="G580" cm="1">
        <f t="array" ref="G580">_xlfn.XLOOKUP(TEXT(A580, "mmm-yy"), TEXT([2]RUNS!$B$5:$B$208, "mmm-yy"), [2]RUNS!$D$5:$D$208, "Not Found")</f>
        <v>28290.521223350595</v>
      </c>
      <c r="H580" cm="1">
        <f t="array" ref="H580">SUMPRODUCT(
    --(TEXT('[3]Global Weekly Stock (EWSuez'!$B$4:$B$2000,"mmm-yy")=TEXT(A580,"mmm-yy")),
    '[3]Global Weekly Stock (EWSuez'!$E$4:$E$2000)
/
SUMPRODUCT(
    --(TEXT('[3]Global Weekly Stock (EWSuez'!$B$4:$B$2000,"mmm-yy")=TEXT(A580,"mmm-yy"))
)</f>
        <v>14049.4</v>
      </c>
      <c r="I580">
        <f>_xlfn.XLOOKUP(A580,[1]ForwardDeriv!$D:$D,[1]ForwardDeriv!$AJ:$AJ)</f>
        <v>2.0000000000003126E-2</v>
      </c>
      <c r="J580" cm="1">
        <f t="array" ref="J580">_xlfn.XLOOKUP(TEXT(A580, "mmm-yy"), TEXT([2]GASOLINE!$B$5:$B$208, "mmm-yy"), [2]GASOLINE!$IR$5:$IR$208, "Not Found")</f>
        <v>156.27979924954889</v>
      </c>
      <c r="K580" cm="1">
        <f t="array" ref="K580">_xlfn.XLOOKUP(TEXT(A580, "mmm-yy"), TEXT([2]GASOLINE!$B$5:$B$208, "mmm-yy"), [2]GASOLINE!$IK$5:$IK$208, "Not Found")</f>
        <v>0</v>
      </c>
      <c r="L580">
        <f t="shared" si="9"/>
        <v>0</v>
      </c>
      <c r="M580" cm="1">
        <f t="array" ref="M580">_xlfn.XLOOKUP(TEXT(A580, "mmm-yy"), TEXT([2]GASOLINE!$B$5:$B$208, "mmm-yy"), [2]GASOLINE!$C$5:$C$208, "Not Found")</f>
        <v>7051.691975748824</v>
      </c>
      <c r="N580" cm="1">
        <f t="array" ref="N580">_xlfn.XLOOKUP(TEXT(A580, "mmm-yy"), TEXT([2]RUNS!$B$5:$B$208, "mmm-yy"), [2]RUNS!$BM$5:$BM$208, "Not Found")</f>
        <v>0.84188709050939625</v>
      </c>
    </row>
    <row r="581" spans="1:14" x14ac:dyDescent="0.25">
      <c r="A581" s="1">
        <f>'[1]Global_Spot Prices'!$B1890</f>
        <v>42816</v>
      </c>
      <c r="B581">
        <f>_xlfn.XLOOKUP(A581,'[1]Global_Spot Prices'!$B:$B,'[1]Global_Spot Prices'!$BS:$BS)</f>
        <v>11.600000000000001</v>
      </c>
      <c r="C581">
        <f>_xlfn.XLOOKUP(A581,'[1]Global_Spot Prices'!$B:$B,'[1]Global_Spot Prices'!$E:$E)</f>
        <v>49</v>
      </c>
      <c r="D581">
        <f>_xlfn.XLOOKUP(A581,'[1]Global_Spot Prices'!$B:$B,'[1]Global_Spot Prices'!$D:$D)</f>
        <v>49.59</v>
      </c>
      <c r="E581">
        <f>_xlfn.XLOOKUP(A581,'[1]Global_Spot Prices'!$B:$B,'[1]Global_Spot Prices'!$H:$H)</f>
        <v>48.97</v>
      </c>
      <c r="F581">
        <f>_xlfn.XLOOKUP(A581,'[1]Global_Spot Prices'!$B:$B,'[1]Global_Spot Prices'!$I:$I)</f>
        <v>60.6</v>
      </c>
      <c r="G581" cm="1">
        <f t="array" ref="G581">_xlfn.XLOOKUP(TEXT(A581, "mmm-yy"), TEXT([2]RUNS!$B$5:$B$208, "mmm-yy"), [2]RUNS!$D$5:$D$208, "Not Found")</f>
        <v>28290.521223350595</v>
      </c>
      <c r="H581" cm="1">
        <f t="array" ref="H581">SUMPRODUCT(
    --(TEXT('[3]Global Weekly Stock (EWSuez'!$B$4:$B$2000,"mmm-yy")=TEXT(A581,"mmm-yy")),
    '[3]Global Weekly Stock (EWSuez'!$E$4:$E$2000)
/
SUMPRODUCT(
    --(TEXT('[3]Global Weekly Stock (EWSuez'!$B$4:$B$2000,"mmm-yy")=TEXT(A581,"mmm-yy"))
)</f>
        <v>14049.4</v>
      </c>
      <c r="I581">
        <f>_xlfn.XLOOKUP(A581,[1]ForwardDeriv!$D:$D,[1]ForwardDeriv!$AJ:$AJ)</f>
        <v>4.9999999999997158E-2</v>
      </c>
      <c r="J581" cm="1">
        <f t="array" ref="J581">_xlfn.XLOOKUP(TEXT(A581, "mmm-yy"), TEXT([2]GASOLINE!$B$5:$B$208, "mmm-yy"), [2]GASOLINE!$IR$5:$IR$208, "Not Found")</f>
        <v>156.27979924954889</v>
      </c>
      <c r="K581" cm="1">
        <f t="array" ref="K581">_xlfn.XLOOKUP(TEXT(A581, "mmm-yy"), TEXT([2]GASOLINE!$B$5:$B$208, "mmm-yy"), [2]GASOLINE!$IK$5:$IK$208, "Not Found")</f>
        <v>0</v>
      </c>
      <c r="L581">
        <f t="shared" si="9"/>
        <v>0</v>
      </c>
      <c r="M581" cm="1">
        <f t="array" ref="M581">_xlfn.XLOOKUP(TEXT(A581, "mmm-yy"), TEXT([2]GASOLINE!$B$5:$B$208, "mmm-yy"), [2]GASOLINE!$C$5:$C$208, "Not Found")</f>
        <v>7051.691975748824</v>
      </c>
      <c r="N581" cm="1">
        <f t="array" ref="N581">_xlfn.XLOOKUP(TEXT(A581, "mmm-yy"), TEXT([2]RUNS!$B$5:$B$208, "mmm-yy"), [2]RUNS!$BM$5:$BM$208, "Not Found")</f>
        <v>0.84188709050939625</v>
      </c>
    </row>
    <row r="582" spans="1:14" x14ac:dyDescent="0.25">
      <c r="A582" s="1">
        <f>'[1]Global_Spot Prices'!$B1891</f>
        <v>42817</v>
      </c>
      <c r="B582">
        <f>_xlfn.XLOOKUP(A582,'[1]Global_Spot Prices'!$B:$B,'[1]Global_Spot Prices'!$BS:$BS)</f>
        <v>11.75</v>
      </c>
      <c r="C582">
        <f>_xlfn.XLOOKUP(A582,'[1]Global_Spot Prices'!$B:$B,'[1]Global_Spot Prices'!$E:$E)</f>
        <v>49.2</v>
      </c>
      <c r="D582">
        <f>_xlfn.XLOOKUP(A582,'[1]Global_Spot Prices'!$B:$B,'[1]Global_Spot Prices'!$D:$D)</f>
        <v>49.924999999999997</v>
      </c>
      <c r="E582">
        <f>_xlfn.XLOOKUP(A582,'[1]Global_Spot Prices'!$B:$B,'[1]Global_Spot Prices'!$H:$H)</f>
        <v>48.86</v>
      </c>
      <c r="F582">
        <f>_xlfn.XLOOKUP(A582,'[1]Global_Spot Prices'!$B:$B,'[1]Global_Spot Prices'!$I:$I)</f>
        <v>60.95</v>
      </c>
      <c r="G582" cm="1">
        <f t="array" ref="G582">_xlfn.XLOOKUP(TEXT(A582, "mmm-yy"), TEXT([2]RUNS!$B$5:$B$208, "mmm-yy"), [2]RUNS!$D$5:$D$208, "Not Found")</f>
        <v>28290.521223350595</v>
      </c>
      <c r="H582" cm="1">
        <f t="array" ref="H582">SUMPRODUCT(
    --(TEXT('[3]Global Weekly Stock (EWSuez'!$B$4:$B$2000,"mmm-yy")=TEXT(A582,"mmm-yy")),
    '[3]Global Weekly Stock (EWSuez'!$E$4:$E$2000)
/
SUMPRODUCT(
    --(TEXT('[3]Global Weekly Stock (EWSuez'!$B$4:$B$2000,"mmm-yy")=TEXT(A582,"mmm-yy"))
)</f>
        <v>14049.4</v>
      </c>
      <c r="I582">
        <f>_xlfn.XLOOKUP(A582,[1]ForwardDeriv!$D:$D,[1]ForwardDeriv!$AJ:$AJ)</f>
        <v>5.0000000000004263E-2</v>
      </c>
      <c r="J582" cm="1">
        <f t="array" ref="J582">_xlfn.XLOOKUP(TEXT(A582, "mmm-yy"), TEXT([2]GASOLINE!$B$5:$B$208, "mmm-yy"), [2]GASOLINE!$IR$5:$IR$208, "Not Found")</f>
        <v>156.27979924954889</v>
      </c>
      <c r="K582" cm="1">
        <f t="array" ref="K582">_xlfn.XLOOKUP(TEXT(A582, "mmm-yy"), TEXT([2]GASOLINE!$B$5:$B$208, "mmm-yy"), [2]GASOLINE!$IK$5:$IK$208, "Not Found")</f>
        <v>0</v>
      </c>
      <c r="L582">
        <f t="shared" si="9"/>
        <v>0</v>
      </c>
      <c r="M582" cm="1">
        <f t="array" ref="M582">_xlfn.XLOOKUP(TEXT(A582, "mmm-yy"), TEXT([2]GASOLINE!$B$5:$B$208, "mmm-yy"), [2]GASOLINE!$C$5:$C$208, "Not Found")</f>
        <v>7051.691975748824</v>
      </c>
      <c r="N582" cm="1">
        <f t="array" ref="N582">_xlfn.XLOOKUP(TEXT(A582, "mmm-yy"), TEXT([2]RUNS!$B$5:$B$208, "mmm-yy"), [2]RUNS!$BM$5:$BM$208, "Not Found")</f>
        <v>0.84188709050939625</v>
      </c>
    </row>
    <row r="583" spans="1:14" x14ac:dyDescent="0.25">
      <c r="A583" s="1">
        <f>'[1]Global_Spot Prices'!$B1892</f>
        <v>42818</v>
      </c>
      <c r="B583">
        <f>_xlfn.XLOOKUP(A583,'[1]Global_Spot Prices'!$B:$B,'[1]Global_Spot Prices'!$BS:$BS)</f>
        <v>11.299999999999997</v>
      </c>
      <c r="C583">
        <f>_xlfn.XLOOKUP(A583,'[1]Global_Spot Prices'!$B:$B,'[1]Global_Spot Prices'!$E:$E)</f>
        <v>48.95</v>
      </c>
      <c r="D583">
        <f>_xlfn.XLOOKUP(A583,'[1]Global_Spot Prices'!$B:$B,'[1]Global_Spot Prices'!$D:$D)</f>
        <v>49.95</v>
      </c>
      <c r="E583">
        <f>_xlfn.XLOOKUP(A583,'[1]Global_Spot Prices'!$B:$B,'[1]Global_Spot Prices'!$H:$H)</f>
        <v>48.46</v>
      </c>
      <c r="F583">
        <f>_xlfn.XLOOKUP(A583,'[1]Global_Spot Prices'!$B:$B,'[1]Global_Spot Prices'!$I:$I)</f>
        <v>60.25</v>
      </c>
      <c r="G583" cm="1">
        <f t="array" ref="G583">_xlfn.XLOOKUP(TEXT(A583, "mmm-yy"), TEXT([2]RUNS!$B$5:$B$208, "mmm-yy"), [2]RUNS!$D$5:$D$208, "Not Found")</f>
        <v>28290.521223350595</v>
      </c>
      <c r="H583" cm="1">
        <f t="array" ref="H583">SUMPRODUCT(
    --(TEXT('[3]Global Weekly Stock (EWSuez'!$B$4:$B$2000,"mmm-yy")=TEXT(A583,"mmm-yy")),
    '[3]Global Weekly Stock (EWSuez'!$E$4:$E$2000)
/
SUMPRODUCT(
    --(TEXT('[3]Global Weekly Stock (EWSuez'!$B$4:$B$2000,"mmm-yy")=TEXT(A583,"mmm-yy"))
)</f>
        <v>14049.4</v>
      </c>
      <c r="I583">
        <f>_xlfn.XLOOKUP(A583,[1]ForwardDeriv!$D:$D,[1]ForwardDeriv!$AJ:$AJ)</f>
        <v>-2.0000000000003126E-2</v>
      </c>
      <c r="J583" cm="1">
        <f t="array" ref="J583">_xlfn.XLOOKUP(TEXT(A583, "mmm-yy"), TEXT([2]GASOLINE!$B$5:$B$208, "mmm-yy"), [2]GASOLINE!$IR$5:$IR$208, "Not Found")</f>
        <v>156.27979924954889</v>
      </c>
      <c r="K583" cm="1">
        <f t="array" ref="K583">_xlfn.XLOOKUP(TEXT(A583, "mmm-yy"), TEXT([2]GASOLINE!$B$5:$B$208, "mmm-yy"), [2]GASOLINE!$IK$5:$IK$208, "Not Found")</f>
        <v>0</v>
      </c>
      <c r="L583">
        <f t="shared" si="9"/>
        <v>0</v>
      </c>
      <c r="M583" cm="1">
        <f t="array" ref="M583">_xlfn.XLOOKUP(TEXT(A583, "mmm-yy"), TEXT([2]GASOLINE!$B$5:$B$208, "mmm-yy"), [2]GASOLINE!$C$5:$C$208, "Not Found")</f>
        <v>7051.691975748824</v>
      </c>
      <c r="N583" cm="1">
        <f t="array" ref="N583">_xlfn.XLOOKUP(TEXT(A583, "mmm-yy"), TEXT([2]RUNS!$B$5:$B$208, "mmm-yy"), [2]RUNS!$BM$5:$BM$208, "Not Found")</f>
        <v>0.84188709050939625</v>
      </c>
    </row>
    <row r="584" spans="1:14" x14ac:dyDescent="0.25">
      <c r="A584" s="1">
        <f>'[1]Global_Spot Prices'!$B1893</f>
        <v>42821</v>
      </c>
      <c r="B584">
        <f>_xlfn.XLOOKUP(A584,'[1]Global_Spot Prices'!$B:$B,'[1]Global_Spot Prices'!$BS:$BS)</f>
        <v>11.189999999999998</v>
      </c>
      <c r="C584">
        <f>_xlfn.XLOOKUP(A584,'[1]Global_Spot Prices'!$B:$B,'[1]Global_Spot Prices'!$E:$E)</f>
        <v>48.79</v>
      </c>
      <c r="D584">
        <f>_xlfn.XLOOKUP(A584,'[1]Global_Spot Prices'!$B:$B,'[1]Global_Spot Prices'!$D:$D)</f>
        <v>50.045000000000002</v>
      </c>
      <c r="E584">
        <f>_xlfn.XLOOKUP(A584,'[1]Global_Spot Prices'!$B:$B,'[1]Global_Spot Prices'!$H:$H)</f>
        <v>48.54</v>
      </c>
      <c r="F584">
        <f>_xlfn.XLOOKUP(A584,'[1]Global_Spot Prices'!$B:$B,'[1]Global_Spot Prices'!$I:$I)</f>
        <v>59.98</v>
      </c>
      <c r="G584" cm="1">
        <f t="array" ref="G584">_xlfn.XLOOKUP(TEXT(A584, "mmm-yy"), TEXT([2]RUNS!$B$5:$B$208, "mmm-yy"), [2]RUNS!$D$5:$D$208, "Not Found")</f>
        <v>28290.521223350595</v>
      </c>
      <c r="H584" cm="1">
        <f t="array" ref="H584">SUMPRODUCT(
    --(TEXT('[3]Global Weekly Stock (EWSuez'!$B$4:$B$2000,"mmm-yy")=TEXT(A584,"mmm-yy")),
    '[3]Global Weekly Stock (EWSuez'!$E$4:$E$2000)
/
SUMPRODUCT(
    --(TEXT('[3]Global Weekly Stock (EWSuez'!$B$4:$B$2000,"mmm-yy")=TEXT(A584,"mmm-yy"))
)</f>
        <v>14049.4</v>
      </c>
      <c r="I584">
        <f>_xlfn.XLOOKUP(A584,[1]ForwardDeriv!$D:$D,[1]ForwardDeriv!$AJ:$AJ)</f>
        <v>-6.0000000000002274E-2</v>
      </c>
      <c r="J584" cm="1">
        <f t="array" ref="J584">_xlfn.XLOOKUP(TEXT(A584, "mmm-yy"), TEXT([2]GASOLINE!$B$5:$B$208, "mmm-yy"), [2]GASOLINE!$IR$5:$IR$208, "Not Found")</f>
        <v>156.27979924954889</v>
      </c>
      <c r="K584" cm="1">
        <f t="array" ref="K584">_xlfn.XLOOKUP(TEXT(A584, "mmm-yy"), TEXT([2]GASOLINE!$B$5:$B$208, "mmm-yy"), [2]GASOLINE!$IK$5:$IK$208, "Not Found")</f>
        <v>0</v>
      </c>
      <c r="L584">
        <f t="shared" si="9"/>
        <v>0</v>
      </c>
      <c r="M584" cm="1">
        <f t="array" ref="M584">_xlfn.XLOOKUP(TEXT(A584, "mmm-yy"), TEXT([2]GASOLINE!$B$5:$B$208, "mmm-yy"), [2]GASOLINE!$C$5:$C$208, "Not Found")</f>
        <v>7051.691975748824</v>
      </c>
      <c r="N584" cm="1">
        <f t="array" ref="N584">_xlfn.XLOOKUP(TEXT(A584, "mmm-yy"), TEXT([2]RUNS!$B$5:$B$208, "mmm-yy"), [2]RUNS!$BM$5:$BM$208, "Not Found")</f>
        <v>0.84188709050939625</v>
      </c>
    </row>
    <row r="585" spans="1:14" x14ac:dyDescent="0.25">
      <c r="A585" s="1">
        <f>'[1]Global_Spot Prices'!$B1894</f>
        <v>42822</v>
      </c>
      <c r="B585">
        <f>_xlfn.XLOOKUP(A585,'[1]Global_Spot Prices'!$B:$B,'[1]Global_Spot Prices'!$BS:$BS)</f>
        <v>11.490000000000002</v>
      </c>
      <c r="C585">
        <f>_xlfn.XLOOKUP(A585,'[1]Global_Spot Prices'!$B:$B,'[1]Global_Spot Prices'!$E:$E)</f>
        <v>49.25</v>
      </c>
      <c r="D585">
        <f>_xlfn.XLOOKUP(A585,'[1]Global_Spot Prices'!$B:$B,'[1]Global_Spot Prices'!$D:$D)</f>
        <v>50.784999999999997</v>
      </c>
      <c r="E585">
        <f>_xlfn.XLOOKUP(A585,'[1]Global_Spot Prices'!$B:$B,'[1]Global_Spot Prices'!$H:$H)</f>
        <v>49.34</v>
      </c>
      <c r="F585">
        <f>_xlfn.XLOOKUP(A585,'[1]Global_Spot Prices'!$B:$B,'[1]Global_Spot Prices'!$I:$I)</f>
        <v>60.74</v>
      </c>
      <c r="G585" cm="1">
        <f t="array" ref="G585">_xlfn.XLOOKUP(TEXT(A585, "mmm-yy"), TEXT([2]RUNS!$B$5:$B$208, "mmm-yy"), [2]RUNS!$D$5:$D$208, "Not Found")</f>
        <v>28290.521223350595</v>
      </c>
      <c r="H585" cm="1">
        <f t="array" ref="H585">SUMPRODUCT(
    --(TEXT('[3]Global Weekly Stock (EWSuez'!$B$4:$B$2000,"mmm-yy")=TEXT(A585,"mmm-yy")),
    '[3]Global Weekly Stock (EWSuez'!$E$4:$E$2000)
/
SUMPRODUCT(
    --(TEXT('[3]Global Weekly Stock (EWSuez'!$B$4:$B$2000,"mmm-yy")=TEXT(A585,"mmm-yy"))
)</f>
        <v>14049.4</v>
      </c>
      <c r="I585">
        <f>_xlfn.XLOOKUP(A585,[1]ForwardDeriv!$D:$D,[1]ForwardDeriv!$AJ:$AJ)</f>
        <v>-7.9999999999998295E-2</v>
      </c>
      <c r="J585" cm="1">
        <f t="array" ref="J585">_xlfn.XLOOKUP(TEXT(A585, "mmm-yy"), TEXT([2]GASOLINE!$B$5:$B$208, "mmm-yy"), [2]GASOLINE!$IR$5:$IR$208, "Not Found")</f>
        <v>156.27979924954889</v>
      </c>
      <c r="K585" cm="1">
        <f t="array" ref="K585">_xlfn.XLOOKUP(TEXT(A585, "mmm-yy"), TEXT([2]GASOLINE!$B$5:$B$208, "mmm-yy"), [2]GASOLINE!$IK$5:$IK$208, "Not Found")</f>
        <v>0</v>
      </c>
      <c r="L585">
        <f t="shared" si="9"/>
        <v>0</v>
      </c>
      <c r="M585" cm="1">
        <f t="array" ref="M585">_xlfn.XLOOKUP(TEXT(A585, "mmm-yy"), TEXT([2]GASOLINE!$B$5:$B$208, "mmm-yy"), [2]GASOLINE!$C$5:$C$208, "Not Found")</f>
        <v>7051.691975748824</v>
      </c>
      <c r="N585" cm="1">
        <f t="array" ref="N585">_xlfn.XLOOKUP(TEXT(A585, "mmm-yy"), TEXT([2]RUNS!$B$5:$B$208, "mmm-yy"), [2]RUNS!$BM$5:$BM$208, "Not Found")</f>
        <v>0.84188709050939625</v>
      </c>
    </row>
    <row r="586" spans="1:14" x14ac:dyDescent="0.25">
      <c r="A586" s="1">
        <f>'[1]Global_Spot Prices'!$B1895</f>
        <v>42823</v>
      </c>
      <c r="B586">
        <f>_xlfn.XLOOKUP(A586,'[1]Global_Spot Prices'!$B:$B,'[1]Global_Spot Prices'!$BS:$BS)</f>
        <v>11.760000000000005</v>
      </c>
      <c r="C586">
        <f>_xlfn.XLOOKUP(A586,'[1]Global_Spot Prices'!$B:$B,'[1]Global_Spot Prices'!$E:$E)</f>
        <v>50.16</v>
      </c>
      <c r="D586">
        <f>_xlfn.XLOOKUP(A586,'[1]Global_Spot Prices'!$B:$B,'[1]Global_Spot Prices'!$D:$D)</f>
        <v>51.4</v>
      </c>
      <c r="E586">
        <f>_xlfn.XLOOKUP(A586,'[1]Global_Spot Prices'!$B:$B,'[1]Global_Spot Prices'!$H:$H)</f>
        <v>50.24</v>
      </c>
      <c r="F586">
        <f>_xlfn.XLOOKUP(A586,'[1]Global_Spot Prices'!$B:$B,'[1]Global_Spot Prices'!$I:$I)</f>
        <v>61.92</v>
      </c>
      <c r="G586" cm="1">
        <f t="array" ref="G586">_xlfn.XLOOKUP(TEXT(A586, "mmm-yy"), TEXT([2]RUNS!$B$5:$B$208, "mmm-yy"), [2]RUNS!$D$5:$D$208, "Not Found")</f>
        <v>28290.521223350595</v>
      </c>
      <c r="H586" cm="1">
        <f t="array" ref="H586">SUMPRODUCT(
    --(TEXT('[3]Global Weekly Stock (EWSuez'!$B$4:$B$2000,"mmm-yy")=TEXT(A586,"mmm-yy")),
    '[3]Global Weekly Stock (EWSuez'!$E$4:$E$2000)
/
SUMPRODUCT(
    --(TEXT('[3]Global Weekly Stock (EWSuez'!$B$4:$B$2000,"mmm-yy")=TEXT(A586,"mmm-yy"))
)</f>
        <v>14049.4</v>
      </c>
      <c r="I586">
        <f>_xlfn.XLOOKUP(A586,[1]ForwardDeriv!$D:$D,[1]ForwardDeriv!$AJ:$AJ)</f>
        <v>-3.9999999999999147E-2</v>
      </c>
      <c r="J586" cm="1">
        <f t="array" ref="J586">_xlfn.XLOOKUP(TEXT(A586, "mmm-yy"), TEXT([2]GASOLINE!$B$5:$B$208, "mmm-yy"), [2]GASOLINE!$IR$5:$IR$208, "Not Found")</f>
        <v>156.27979924954889</v>
      </c>
      <c r="K586" cm="1">
        <f t="array" ref="K586">_xlfn.XLOOKUP(TEXT(A586, "mmm-yy"), TEXT([2]GASOLINE!$B$5:$B$208, "mmm-yy"), [2]GASOLINE!$IK$5:$IK$208, "Not Found")</f>
        <v>0</v>
      </c>
      <c r="L586">
        <f t="shared" si="9"/>
        <v>0</v>
      </c>
      <c r="M586" cm="1">
        <f t="array" ref="M586">_xlfn.XLOOKUP(TEXT(A586, "mmm-yy"), TEXT([2]GASOLINE!$B$5:$B$208, "mmm-yy"), [2]GASOLINE!$C$5:$C$208, "Not Found")</f>
        <v>7051.691975748824</v>
      </c>
      <c r="N586" cm="1">
        <f t="array" ref="N586">_xlfn.XLOOKUP(TEXT(A586, "mmm-yy"), TEXT([2]RUNS!$B$5:$B$208, "mmm-yy"), [2]RUNS!$BM$5:$BM$208, "Not Found")</f>
        <v>0.84188709050939625</v>
      </c>
    </row>
    <row r="587" spans="1:14" x14ac:dyDescent="0.25">
      <c r="A587" s="1">
        <f>'[1]Global_Spot Prices'!$B1896</f>
        <v>42824</v>
      </c>
      <c r="B587">
        <f>_xlfn.XLOOKUP(A587,'[1]Global_Spot Prices'!$B:$B,'[1]Global_Spot Prices'!$BS:$BS)</f>
        <v>12.119999999999997</v>
      </c>
      <c r="C587">
        <f>_xlfn.XLOOKUP(A587,'[1]Global_Spot Prices'!$B:$B,'[1]Global_Spot Prices'!$E:$E)</f>
        <v>50.7</v>
      </c>
      <c r="D587">
        <f>_xlfn.XLOOKUP(A587,'[1]Global_Spot Prices'!$B:$B,'[1]Global_Spot Prices'!$D:$D)</f>
        <v>52.234999999999999</v>
      </c>
      <c r="E587">
        <f>_xlfn.XLOOKUP(A587,'[1]Global_Spot Prices'!$B:$B,'[1]Global_Spot Prices'!$H:$H)</f>
        <v>51.12</v>
      </c>
      <c r="F587">
        <f>_xlfn.XLOOKUP(A587,'[1]Global_Spot Prices'!$B:$B,'[1]Global_Spot Prices'!$I:$I)</f>
        <v>62.82</v>
      </c>
      <c r="G587" cm="1">
        <f t="array" ref="G587">_xlfn.XLOOKUP(TEXT(A587, "mmm-yy"), TEXT([2]RUNS!$B$5:$B$208, "mmm-yy"), [2]RUNS!$D$5:$D$208, "Not Found")</f>
        <v>28290.521223350595</v>
      </c>
      <c r="H587" cm="1">
        <f t="array" ref="H587">SUMPRODUCT(
    --(TEXT('[3]Global Weekly Stock (EWSuez'!$B$4:$B$2000,"mmm-yy")=TEXT(A587,"mmm-yy")),
    '[3]Global Weekly Stock (EWSuez'!$E$4:$E$2000)
/
SUMPRODUCT(
    --(TEXT('[3]Global Weekly Stock (EWSuez'!$B$4:$B$2000,"mmm-yy")=TEXT(A587,"mmm-yy"))
)</f>
        <v>14049.4</v>
      </c>
      <c r="I587">
        <f>_xlfn.XLOOKUP(A587,[1]ForwardDeriv!$D:$D,[1]ForwardDeriv!$AJ:$AJ)</f>
        <v>-3.0000000000001137E-2</v>
      </c>
      <c r="J587" cm="1">
        <f t="array" ref="J587">_xlfn.XLOOKUP(TEXT(A587, "mmm-yy"), TEXT([2]GASOLINE!$B$5:$B$208, "mmm-yy"), [2]GASOLINE!$IR$5:$IR$208, "Not Found")</f>
        <v>156.27979924954889</v>
      </c>
      <c r="K587" cm="1">
        <f t="array" ref="K587">_xlfn.XLOOKUP(TEXT(A587, "mmm-yy"), TEXT([2]GASOLINE!$B$5:$B$208, "mmm-yy"), [2]GASOLINE!$IK$5:$IK$208, "Not Found")</f>
        <v>0</v>
      </c>
      <c r="L587">
        <f t="shared" si="9"/>
        <v>0</v>
      </c>
      <c r="M587" cm="1">
        <f t="array" ref="M587">_xlfn.XLOOKUP(TEXT(A587, "mmm-yy"), TEXT([2]GASOLINE!$B$5:$B$208, "mmm-yy"), [2]GASOLINE!$C$5:$C$208, "Not Found")</f>
        <v>7051.691975748824</v>
      </c>
      <c r="N587" cm="1">
        <f t="array" ref="N587">_xlfn.XLOOKUP(TEXT(A587, "mmm-yy"), TEXT([2]RUNS!$B$5:$B$208, "mmm-yy"), [2]RUNS!$BM$5:$BM$208, "Not Found")</f>
        <v>0.84188709050939625</v>
      </c>
    </row>
    <row r="588" spans="1:14" x14ac:dyDescent="0.25">
      <c r="A588" s="1">
        <f>'[1]Global_Spot Prices'!$B1897</f>
        <v>42825</v>
      </c>
      <c r="B588">
        <f>_xlfn.XLOOKUP(A588,'[1]Global_Spot Prices'!$B:$B,'[1]Global_Spot Prices'!$BS:$BS)</f>
        <v>12.57</v>
      </c>
      <c r="C588">
        <f>_xlfn.XLOOKUP(A588,'[1]Global_Spot Prices'!$B:$B,'[1]Global_Spot Prices'!$E:$E)</f>
        <v>50.7</v>
      </c>
      <c r="D588">
        <f>_xlfn.XLOOKUP(A588,'[1]Global_Spot Prices'!$B:$B,'[1]Global_Spot Prices'!$D:$D)</f>
        <v>51.914999999999999</v>
      </c>
      <c r="E588">
        <f>_xlfn.XLOOKUP(A588,'[1]Global_Spot Prices'!$B:$B,'[1]Global_Spot Prices'!$H:$H)</f>
        <v>50.95</v>
      </c>
      <c r="F588">
        <f>_xlfn.XLOOKUP(A588,'[1]Global_Spot Prices'!$B:$B,'[1]Global_Spot Prices'!$I:$I)</f>
        <v>63.27</v>
      </c>
      <c r="G588" cm="1">
        <f t="array" ref="G588">_xlfn.XLOOKUP(TEXT(A588, "mmm-yy"), TEXT([2]RUNS!$B$5:$B$208, "mmm-yy"), [2]RUNS!$D$5:$D$208, "Not Found")</f>
        <v>28290.521223350595</v>
      </c>
      <c r="H588" cm="1">
        <f t="array" ref="H588">SUMPRODUCT(
    --(TEXT('[3]Global Weekly Stock (EWSuez'!$B$4:$B$2000,"mmm-yy")=TEXT(A588,"mmm-yy")),
    '[3]Global Weekly Stock (EWSuez'!$E$4:$E$2000)
/
SUMPRODUCT(
    --(TEXT('[3]Global Weekly Stock (EWSuez'!$B$4:$B$2000,"mmm-yy")=TEXT(A588,"mmm-yy"))
)</f>
        <v>14049.4</v>
      </c>
      <c r="I588">
        <f>_xlfn.XLOOKUP(A588,[1]ForwardDeriv!$D:$D,[1]ForwardDeriv!$AJ:$AJ)</f>
        <v>0</v>
      </c>
      <c r="J588" cm="1">
        <f t="array" ref="J588">_xlfn.XLOOKUP(TEXT(A588, "mmm-yy"), TEXT([2]GASOLINE!$B$5:$B$208, "mmm-yy"), [2]GASOLINE!$IR$5:$IR$208, "Not Found")</f>
        <v>156.27979924954889</v>
      </c>
      <c r="K588" cm="1">
        <f t="array" ref="K588">_xlfn.XLOOKUP(TEXT(A588, "mmm-yy"), TEXT([2]GASOLINE!$B$5:$B$208, "mmm-yy"), [2]GASOLINE!$IK$5:$IK$208, "Not Found")</f>
        <v>0</v>
      </c>
      <c r="L588">
        <f t="shared" si="9"/>
        <v>0</v>
      </c>
      <c r="M588" cm="1">
        <f t="array" ref="M588">_xlfn.XLOOKUP(TEXT(A588, "mmm-yy"), TEXT([2]GASOLINE!$B$5:$B$208, "mmm-yy"), [2]GASOLINE!$C$5:$C$208, "Not Found")</f>
        <v>7051.691975748824</v>
      </c>
      <c r="N588" cm="1">
        <f t="array" ref="N588">_xlfn.XLOOKUP(TEXT(A588, "mmm-yy"), TEXT([2]RUNS!$B$5:$B$208, "mmm-yy"), [2]RUNS!$BM$5:$BM$208, "Not Found")</f>
        <v>0.84188709050939625</v>
      </c>
    </row>
    <row r="589" spans="1:14" x14ac:dyDescent="0.25">
      <c r="A589" s="1">
        <f>'[1]Global_Spot Prices'!$B1898</f>
        <v>42828</v>
      </c>
      <c r="B589">
        <f>_xlfn.XLOOKUP(A589,'[1]Global_Spot Prices'!$B:$B,'[1]Global_Spot Prices'!$BS:$BS)</f>
        <v>12.5</v>
      </c>
      <c r="C589">
        <f>_xlfn.XLOOKUP(A589,'[1]Global_Spot Prices'!$B:$B,'[1]Global_Spot Prices'!$E:$E)</f>
        <v>51.69</v>
      </c>
      <c r="D589">
        <f>_xlfn.XLOOKUP(A589,'[1]Global_Spot Prices'!$B:$B,'[1]Global_Spot Prices'!$D:$D)</f>
        <v>52.075000000000003</v>
      </c>
      <c r="E589">
        <f>_xlfn.XLOOKUP(A589,'[1]Global_Spot Prices'!$B:$B,'[1]Global_Spot Prices'!$H:$H)</f>
        <v>52.04</v>
      </c>
      <c r="F589">
        <f>_xlfn.XLOOKUP(A589,'[1]Global_Spot Prices'!$B:$B,'[1]Global_Spot Prices'!$I:$I)</f>
        <v>64.19</v>
      </c>
      <c r="G589" cm="1">
        <f t="array" ref="G589">_xlfn.XLOOKUP(TEXT(A589, "mmm-yy"), TEXT([2]RUNS!$B$5:$B$208, "mmm-yy"), [2]RUNS!$D$5:$D$208, "Not Found")</f>
        <v>27760.886070771867</v>
      </c>
      <c r="H589" cm="1">
        <f t="array" ref="H589">SUMPRODUCT(
    --(TEXT('[3]Global Weekly Stock (EWSuez'!$B$4:$B$2000,"mmm-yy")=TEXT(A589,"mmm-yy")),
    '[3]Global Weekly Stock (EWSuez'!$E$4:$E$2000)
/
SUMPRODUCT(
    --(TEXT('[3]Global Weekly Stock (EWSuez'!$B$4:$B$2000,"mmm-yy")=TEXT(A589,"mmm-yy"))
)</f>
        <v>14114.25</v>
      </c>
      <c r="I589">
        <f>_xlfn.XLOOKUP(A589,[1]ForwardDeriv!$D:$D,[1]ForwardDeriv!$AJ:$AJ)</f>
        <v>0.46999999999999886</v>
      </c>
      <c r="J589" cm="1">
        <f t="array" ref="J589">_xlfn.XLOOKUP(TEXT(A589, "mmm-yy"), TEXT([2]GASOLINE!$B$5:$B$208, "mmm-yy"), [2]GASOLINE!$IR$5:$IR$208, "Not Found")</f>
        <v>46.173059254233351</v>
      </c>
      <c r="K589" cm="1">
        <f t="array" ref="K589">_xlfn.XLOOKUP(TEXT(A589, "mmm-yy"), TEXT([2]GASOLINE!$B$5:$B$208, "mmm-yy"), [2]GASOLINE!$IK$5:$IK$208, "Not Found")</f>
        <v>0</v>
      </c>
      <c r="L589">
        <f t="shared" si="9"/>
        <v>0</v>
      </c>
      <c r="M589" cm="1">
        <f t="array" ref="M589">_xlfn.XLOOKUP(TEXT(A589, "mmm-yy"), TEXT([2]GASOLINE!$B$5:$B$208, "mmm-yy"), [2]GASOLINE!$C$5:$C$208, "Not Found")</f>
        <v>7047.5793423574605</v>
      </c>
      <c r="N589" cm="1">
        <f t="array" ref="N589">_xlfn.XLOOKUP(TEXT(A589, "mmm-yy"), TEXT([2]RUNS!$B$5:$B$208, "mmm-yy"), [2]RUNS!$BM$5:$BM$208, "Not Found")</f>
        <v>0.82612587514981595</v>
      </c>
    </row>
    <row r="590" spans="1:14" x14ac:dyDescent="0.25">
      <c r="A590" s="1">
        <f>'[1]Global_Spot Prices'!$B1899</f>
        <v>42829</v>
      </c>
      <c r="B590">
        <f>_xlfn.XLOOKUP(A590,'[1]Global_Spot Prices'!$B:$B,'[1]Global_Spot Prices'!$BS:$BS)</f>
        <v>12.879999999999995</v>
      </c>
      <c r="C590">
        <f>_xlfn.XLOOKUP(A590,'[1]Global_Spot Prices'!$B:$B,'[1]Global_Spot Prices'!$E:$E)</f>
        <v>51.06</v>
      </c>
      <c r="D590">
        <f>_xlfn.XLOOKUP(A590,'[1]Global_Spot Prices'!$B:$B,'[1]Global_Spot Prices'!$D:$D)</f>
        <v>53.204999999999998</v>
      </c>
      <c r="E590">
        <f>_xlfn.XLOOKUP(A590,'[1]Global_Spot Prices'!$B:$B,'[1]Global_Spot Prices'!$H:$H)</f>
        <v>51.79</v>
      </c>
      <c r="F590">
        <f>_xlfn.XLOOKUP(A590,'[1]Global_Spot Prices'!$B:$B,'[1]Global_Spot Prices'!$I:$I)</f>
        <v>63.94</v>
      </c>
      <c r="G590" cm="1">
        <f t="array" ref="G590">_xlfn.XLOOKUP(TEXT(A590, "mmm-yy"), TEXT([2]RUNS!$B$5:$B$208, "mmm-yy"), [2]RUNS!$D$5:$D$208, "Not Found")</f>
        <v>27760.886070771867</v>
      </c>
      <c r="H590" cm="1">
        <f t="array" ref="H590">SUMPRODUCT(
    --(TEXT('[3]Global Weekly Stock (EWSuez'!$B$4:$B$2000,"mmm-yy")=TEXT(A590,"mmm-yy")),
    '[3]Global Weekly Stock (EWSuez'!$E$4:$E$2000)
/
SUMPRODUCT(
    --(TEXT('[3]Global Weekly Stock (EWSuez'!$B$4:$B$2000,"mmm-yy")=TEXT(A590,"mmm-yy"))
)</f>
        <v>14114.25</v>
      </c>
      <c r="I590">
        <f>_xlfn.XLOOKUP(A590,[1]ForwardDeriv!$D:$D,[1]ForwardDeriv!$AJ:$AJ)</f>
        <v>0.53000000000000114</v>
      </c>
      <c r="J590" cm="1">
        <f t="array" ref="J590">_xlfn.XLOOKUP(TEXT(A590, "mmm-yy"), TEXT([2]GASOLINE!$B$5:$B$208, "mmm-yy"), [2]GASOLINE!$IR$5:$IR$208, "Not Found")</f>
        <v>46.173059254233351</v>
      </c>
      <c r="K590" cm="1">
        <f t="array" ref="K590">_xlfn.XLOOKUP(TEXT(A590, "mmm-yy"), TEXT([2]GASOLINE!$B$5:$B$208, "mmm-yy"), [2]GASOLINE!$IK$5:$IK$208, "Not Found")</f>
        <v>0</v>
      </c>
      <c r="L590">
        <f t="shared" si="9"/>
        <v>0</v>
      </c>
      <c r="M590" cm="1">
        <f t="array" ref="M590">_xlfn.XLOOKUP(TEXT(A590, "mmm-yy"), TEXT([2]GASOLINE!$B$5:$B$208, "mmm-yy"), [2]GASOLINE!$C$5:$C$208, "Not Found")</f>
        <v>7047.5793423574605</v>
      </c>
      <c r="N590" cm="1">
        <f t="array" ref="N590">_xlfn.XLOOKUP(TEXT(A590, "mmm-yy"), TEXT([2]RUNS!$B$5:$B$208, "mmm-yy"), [2]RUNS!$BM$5:$BM$208, "Not Found")</f>
        <v>0.82612587514981595</v>
      </c>
    </row>
    <row r="591" spans="1:14" x14ac:dyDescent="0.25">
      <c r="A591" s="1">
        <f>'[1]Global_Spot Prices'!$B1900</f>
        <v>42830</v>
      </c>
      <c r="B591">
        <f>_xlfn.XLOOKUP(A591,'[1]Global_Spot Prices'!$B:$B,'[1]Global_Spot Prices'!$BS:$BS)</f>
        <v>12.39</v>
      </c>
      <c r="C591">
        <f>_xlfn.XLOOKUP(A591,'[1]Global_Spot Prices'!$B:$B,'[1]Global_Spot Prices'!$E:$E)</f>
        <v>53</v>
      </c>
      <c r="D591">
        <f>_xlfn.XLOOKUP(A591,'[1]Global_Spot Prices'!$B:$B,'[1]Global_Spot Prices'!$D:$D)</f>
        <v>53.475000000000001</v>
      </c>
      <c r="E591">
        <f>_xlfn.XLOOKUP(A591,'[1]Global_Spot Prices'!$B:$B,'[1]Global_Spot Prices'!$H:$H)</f>
        <v>52.76</v>
      </c>
      <c r="F591">
        <f>_xlfn.XLOOKUP(A591,'[1]Global_Spot Prices'!$B:$B,'[1]Global_Spot Prices'!$I:$I)</f>
        <v>65.39</v>
      </c>
      <c r="G591" cm="1">
        <f t="array" ref="G591">_xlfn.XLOOKUP(TEXT(A591, "mmm-yy"), TEXT([2]RUNS!$B$5:$B$208, "mmm-yy"), [2]RUNS!$D$5:$D$208, "Not Found")</f>
        <v>27760.886070771867</v>
      </c>
      <c r="H591" cm="1">
        <f t="array" ref="H591">SUMPRODUCT(
    --(TEXT('[3]Global Weekly Stock (EWSuez'!$B$4:$B$2000,"mmm-yy")=TEXT(A591,"mmm-yy")),
    '[3]Global Weekly Stock (EWSuez'!$E$4:$E$2000)
/
SUMPRODUCT(
    --(TEXT('[3]Global Weekly Stock (EWSuez'!$B$4:$B$2000,"mmm-yy")=TEXT(A591,"mmm-yy"))
)</f>
        <v>14114.25</v>
      </c>
      <c r="I591">
        <f>_xlfn.XLOOKUP(A591,[1]ForwardDeriv!$D:$D,[1]ForwardDeriv!$AJ:$AJ)</f>
        <v>0.40000000000000568</v>
      </c>
      <c r="J591" cm="1">
        <f t="array" ref="J591">_xlfn.XLOOKUP(TEXT(A591, "mmm-yy"), TEXT([2]GASOLINE!$B$5:$B$208, "mmm-yy"), [2]GASOLINE!$IR$5:$IR$208, "Not Found")</f>
        <v>46.173059254233351</v>
      </c>
      <c r="K591" cm="1">
        <f t="array" ref="K591">_xlfn.XLOOKUP(TEXT(A591, "mmm-yy"), TEXT([2]GASOLINE!$B$5:$B$208, "mmm-yy"), [2]GASOLINE!$IK$5:$IK$208, "Not Found")</f>
        <v>0</v>
      </c>
      <c r="L591">
        <f t="shared" si="9"/>
        <v>0</v>
      </c>
      <c r="M591" cm="1">
        <f t="array" ref="M591">_xlfn.XLOOKUP(TEXT(A591, "mmm-yy"), TEXT([2]GASOLINE!$B$5:$B$208, "mmm-yy"), [2]GASOLINE!$C$5:$C$208, "Not Found")</f>
        <v>7047.5793423574605</v>
      </c>
      <c r="N591" cm="1">
        <f t="array" ref="N591">_xlfn.XLOOKUP(TEXT(A591, "mmm-yy"), TEXT([2]RUNS!$B$5:$B$208, "mmm-yy"), [2]RUNS!$BM$5:$BM$208, "Not Found")</f>
        <v>0.82612587514981595</v>
      </c>
    </row>
    <row r="592" spans="1:14" x14ac:dyDescent="0.25">
      <c r="A592" s="1">
        <f>'[1]Global_Spot Prices'!$B1901</f>
        <v>42831</v>
      </c>
      <c r="B592">
        <f>_xlfn.XLOOKUP(A592,'[1]Global_Spot Prices'!$B:$B,'[1]Global_Spot Prices'!$BS:$BS)</f>
        <v>12.25</v>
      </c>
      <c r="C592">
        <f>_xlfn.XLOOKUP(A592,'[1]Global_Spot Prices'!$B:$B,'[1]Global_Spot Prices'!$E:$E)</f>
        <v>52.58</v>
      </c>
      <c r="D592">
        <f>_xlfn.XLOOKUP(A592,'[1]Global_Spot Prices'!$B:$B,'[1]Global_Spot Prices'!$D:$D)</f>
        <v>53.63</v>
      </c>
      <c r="E592">
        <f>_xlfn.XLOOKUP(A592,'[1]Global_Spot Prices'!$B:$B,'[1]Global_Spot Prices'!$H:$H)</f>
        <v>52.17</v>
      </c>
      <c r="F592">
        <f>_xlfn.XLOOKUP(A592,'[1]Global_Spot Prices'!$B:$B,'[1]Global_Spot Prices'!$I:$I)</f>
        <v>64.83</v>
      </c>
      <c r="G592" cm="1">
        <f t="array" ref="G592">_xlfn.XLOOKUP(TEXT(A592, "mmm-yy"), TEXT([2]RUNS!$B$5:$B$208, "mmm-yy"), [2]RUNS!$D$5:$D$208, "Not Found")</f>
        <v>27760.886070771867</v>
      </c>
      <c r="H592" cm="1">
        <f t="array" ref="H592">SUMPRODUCT(
    --(TEXT('[3]Global Weekly Stock (EWSuez'!$B$4:$B$2000,"mmm-yy")=TEXT(A592,"mmm-yy")),
    '[3]Global Weekly Stock (EWSuez'!$E$4:$E$2000)
/
SUMPRODUCT(
    --(TEXT('[3]Global Weekly Stock (EWSuez'!$B$4:$B$2000,"mmm-yy")=TEXT(A592,"mmm-yy"))
)</f>
        <v>14114.25</v>
      </c>
      <c r="I592">
        <f>_xlfn.XLOOKUP(A592,[1]ForwardDeriv!$D:$D,[1]ForwardDeriv!$AJ:$AJ)</f>
        <v>0.36999999999999034</v>
      </c>
      <c r="J592" cm="1">
        <f t="array" ref="J592">_xlfn.XLOOKUP(TEXT(A592, "mmm-yy"), TEXT([2]GASOLINE!$B$5:$B$208, "mmm-yy"), [2]GASOLINE!$IR$5:$IR$208, "Not Found")</f>
        <v>46.173059254233351</v>
      </c>
      <c r="K592" cm="1">
        <f t="array" ref="K592">_xlfn.XLOOKUP(TEXT(A592, "mmm-yy"), TEXT([2]GASOLINE!$B$5:$B$208, "mmm-yy"), [2]GASOLINE!$IK$5:$IK$208, "Not Found")</f>
        <v>0</v>
      </c>
      <c r="L592">
        <f t="shared" si="9"/>
        <v>0</v>
      </c>
      <c r="M592" cm="1">
        <f t="array" ref="M592">_xlfn.XLOOKUP(TEXT(A592, "mmm-yy"), TEXT([2]GASOLINE!$B$5:$B$208, "mmm-yy"), [2]GASOLINE!$C$5:$C$208, "Not Found")</f>
        <v>7047.5793423574605</v>
      </c>
      <c r="N592" cm="1">
        <f t="array" ref="N592">_xlfn.XLOOKUP(TEXT(A592, "mmm-yy"), TEXT([2]RUNS!$B$5:$B$208, "mmm-yy"), [2]RUNS!$BM$5:$BM$208, "Not Found")</f>
        <v>0.82612587514981595</v>
      </c>
    </row>
    <row r="593" spans="1:14" x14ac:dyDescent="0.25">
      <c r="A593" s="1">
        <f>'[1]Global_Spot Prices'!$B1902</f>
        <v>42832</v>
      </c>
      <c r="B593">
        <f>_xlfn.XLOOKUP(A593,'[1]Global_Spot Prices'!$B:$B,'[1]Global_Spot Prices'!$BS:$BS)</f>
        <v>12.089999999999996</v>
      </c>
      <c r="C593">
        <f>_xlfn.XLOOKUP(A593,'[1]Global_Spot Prices'!$B:$B,'[1]Global_Spot Prices'!$E:$E)</f>
        <v>53.99</v>
      </c>
      <c r="D593">
        <f>_xlfn.XLOOKUP(A593,'[1]Global_Spot Prices'!$B:$B,'[1]Global_Spot Prices'!$D:$D)</f>
        <v>54.12</v>
      </c>
      <c r="E593">
        <f>_xlfn.XLOOKUP(A593,'[1]Global_Spot Prices'!$B:$B,'[1]Global_Spot Prices'!$H:$H)</f>
        <v>53.31</v>
      </c>
      <c r="F593">
        <f>_xlfn.XLOOKUP(A593,'[1]Global_Spot Prices'!$B:$B,'[1]Global_Spot Prices'!$I:$I)</f>
        <v>66.08</v>
      </c>
      <c r="G593" cm="1">
        <f t="array" ref="G593">_xlfn.XLOOKUP(TEXT(A593, "mmm-yy"), TEXT([2]RUNS!$B$5:$B$208, "mmm-yy"), [2]RUNS!$D$5:$D$208, "Not Found")</f>
        <v>27760.886070771867</v>
      </c>
      <c r="H593" cm="1">
        <f t="array" ref="H593">SUMPRODUCT(
    --(TEXT('[3]Global Weekly Stock (EWSuez'!$B$4:$B$2000,"mmm-yy")=TEXT(A593,"mmm-yy")),
    '[3]Global Weekly Stock (EWSuez'!$E$4:$E$2000)
/
SUMPRODUCT(
    --(TEXT('[3]Global Weekly Stock (EWSuez'!$B$4:$B$2000,"mmm-yy")=TEXT(A593,"mmm-yy"))
)</f>
        <v>14114.25</v>
      </c>
      <c r="I593">
        <f>_xlfn.XLOOKUP(A593,[1]ForwardDeriv!$D:$D,[1]ForwardDeriv!$AJ:$AJ)</f>
        <v>0.31000000000000227</v>
      </c>
      <c r="J593" cm="1">
        <f t="array" ref="J593">_xlfn.XLOOKUP(TEXT(A593, "mmm-yy"), TEXT([2]GASOLINE!$B$5:$B$208, "mmm-yy"), [2]GASOLINE!$IR$5:$IR$208, "Not Found")</f>
        <v>46.173059254233351</v>
      </c>
      <c r="K593" cm="1">
        <f t="array" ref="K593">_xlfn.XLOOKUP(TEXT(A593, "mmm-yy"), TEXT([2]GASOLINE!$B$5:$B$208, "mmm-yy"), [2]GASOLINE!$IK$5:$IK$208, "Not Found")</f>
        <v>0</v>
      </c>
      <c r="L593">
        <f t="shared" si="9"/>
        <v>0</v>
      </c>
      <c r="M593" cm="1">
        <f t="array" ref="M593">_xlfn.XLOOKUP(TEXT(A593, "mmm-yy"), TEXT([2]GASOLINE!$B$5:$B$208, "mmm-yy"), [2]GASOLINE!$C$5:$C$208, "Not Found")</f>
        <v>7047.5793423574605</v>
      </c>
      <c r="N593" cm="1">
        <f t="array" ref="N593">_xlfn.XLOOKUP(TEXT(A593, "mmm-yy"), TEXT([2]RUNS!$B$5:$B$208, "mmm-yy"), [2]RUNS!$BM$5:$BM$208, "Not Found")</f>
        <v>0.82612587514981595</v>
      </c>
    </row>
    <row r="594" spans="1:14" x14ac:dyDescent="0.25">
      <c r="A594" s="1">
        <f>'[1]Global_Spot Prices'!$B1903</f>
        <v>42835</v>
      </c>
      <c r="B594">
        <f>_xlfn.XLOOKUP(A594,'[1]Global_Spot Prices'!$B:$B,'[1]Global_Spot Prices'!$BS:$BS)</f>
        <v>11.750000000000007</v>
      </c>
      <c r="C594">
        <f>_xlfn.XLOOKUP(A594,'[1]Global_Spot Prices'!$B:$B,'[1]Global_Spot Prices'!$E:$E)</f>
        <v>53.9</v>
      </c>
      <c r="D594">
        <f>_xlfn.XLOOKUP(A594,'[1]Global_Spot Prices'!$B:$B,'[1]Global_Spot Prices'!$D:$D)</f>
        <v>54.975000000000001</v>
      </c>
      <c r="E594">
        <f>_xlfn.XLOOKUP(A594,'[1]Global_Spot Prices'!$B:$B,'[1]Global_Spot Prices'!$H:$H)</f>
        <v>53.65</v>
      </c>
      <c r="F594">
        <f>_xlfn.XLOOKUP(A594,'[1]Global_Spot Prices'!$B:$B,'[1]Global_Spot Prices'!$I:$I)</f>
        <v>65.650000000000006</v>
      </c>
      <c r="G594" cm="1">
        <f t="array" ref="G594">_xlfn.XLOOKUP(TEXT(A594, "mmm-yy"), TEXT([2]RUNS!$B$5:$B$208, "mmm-yy"), [2]RUNS!$D$5:$D$208, "Not Found")</f>
        <v>27760.886070771867</v>
      </c>
      <c r="H594" cm="1">
        <f t="array" ref="H594">SUMPRODUCT(
    --(TEXT('[3]Global Weekly Stock (EWSuez'!$B$4:$B$2000,"mmm-yy")=TEXT(A594,"mmm-yy")),
    '[3]Global Weekly Stock (EWSuez'!$E$4:$E$2000)
/
SUMPRODUCT(
    --(TEXT('[3]Global Weekly Stock (EWSuez'!$B$4:$B$2000,"mmm-yy")=TEXT(A594,"mmm-yy"))
)</f>
        <v>14114.25</v>
      </c>
      <c r="I594">
        <f>_xlfn.XLOOKUP(A594,[1]ForwardDeriv!$D:$D,[1]ForwardDeriv!$AJ:$AJ)</f>
        <v>0.23999999999999488</v>
      </c>
      <c r="J594" cm="1">
        <f t="array" ref="J594">_xlfn.XLOOKUP(TEXT(A594, "mmm-yy"), TEXT([2]GASOLINE!$B$5:$B$208, "mmm-yy"), [2]GASOLINE!$IR$5:$IR$208, "Not Found")</f>
        <v>46.173059254233351</v>
      </c>
      <c r="K594" cm="1">
        <f t="array" ref="K594">_xlfn.XLOOKUP(TEXT(A594, "mmm-yy"), TEXT([2]GASOLINE!$B$5:$B$208, "mmm-yy"), [2]GASOLINE!$IK$5:$IK$208, "Not Found")</f>
        <v>0</v>
      </c>
      <c r="L594">
        <f t="shared" si="9"/>
        <v>0</v>
      </c>
      <c r="M594" cm="1">
        <f t="array" ref="M594">_xlfn.XLOOKUP(TEXT(A594, "mmm-yy"), TEXT([2]GASOLINE!$B$5:$B$208, "mmm-yy"), [2]GASOLINE!$C$5:$C$208, "Not Found")</f>
        <v>7047.5793423574605</v>
      </c>
      <c r="N594" cm="1">
        <f t="array" ref="N594">_xlfn.XLOOKUP(TEXT(A594, "mmm-yy"), TEXT([2]RUNS!$B$5:$B$208, "mmm-yy"), [2]RUNS!$BM$5:$BM$208, "Not Found")</f>
        <v>0.82612587514981595</v>
      </c>
    </row>
    <row r="595" spans="1:14" x14ac:dyDescent="0.25">
      <c r="A595" s="1">
        <f>'[1]Global_Spot Prices'!$B1904</f>
        <v>42836</v>
      </c>
      <c r="B595">
        <f>_xlfn.XLOOKUP(A595,'[1]Global_Spot Prices'!$B:$B,'[1]Global_Spot Prices'!$BS:$BS)</f>
        <v>12.040000000000006</v>
      </c>
      <c r="C595">
        <f>_xlfn.XLOOKUP(A595,'[1]Global_Spot Prices'!$B:$B,'[1]Global_Spot Prices'!$E:$E)</f>
        <v>54.3</v>
      </c>
      <c r="D595">
        <f>_xlfn.XLOOKUP(A595,'[1]Global_Spot Prices'!$B:$B,'[1]Global_Spot Prices'!$D:$D)</f>
        <v>54.664999999999999</v>
      </c>
      <c r="E595">
        <f>_xlfn.XLOOKUP(A595,'[1]Global_Spot Prices'!$B:$B,'[1]Global_Spot Prices'!$H:$H)</f>
        <v>53.37</v>
      </c>
      <c r="F595">
        <f>_xlfn.XLOOKUP(A595,'[1]Global_Spot Prices'!$B:$B,'[1]Global_Spot Prices'!$I:$I)</f>
        <v>66.34</v>
      </c>
      <c r="G595" cm="1">
        <f t="array" ref="G595">_xlfn.XLOOKUP(TEXT(A595, "mmm-yy"), TEXT([2]RUNS!$B$5:$B$208, "mmm-yy"), [2]RUNS!$D$5:$D$208, "Not Found")</f>
        <v>27760.886070771867</v>
      </c>
      <c r="H595" cm="1">
        <f t="array" ref="H595">SUMPRODUCT(
    --(TEXT('[3]Global Weekly Stock (EWSuez'!$B$4:$B$2000,"mmm-yy")=TEXT(A595,"mmm-yy")),
    '[3]Global Weekly Stock (EWSuez'!$E$4:$E$2000)
/
SUMPRODUCT(
    --(TEXT('[3]Global Weekly Stock (EWSuez'!$B$4:$B$2000,"mmm-yy")=TEXT(A595,"mmm-yy"))
)</f>
        <v>14114.25</v>
      </c>
      <c r="I595">
        <f>_xlfn.XLOOKUP(A595,[1]ForwardDeriv!$D:$D,[1]ForwardDeriv!$AJ:$AJ)</f>
        <v>0.23000000000000398</v>
      </c>
      <c r="J595" cm="1">
        <f t="array" ref="J595">_xlfn.XLOOKUP(TEXT(A595, "mmm-yy"), TEXT([2]GASOLINE!$B$5:$B$208, "mmm-yy"), [2]GASOLINE!$IR$5:$IR$208, "Not Found")</f>
        <v>46.173059254233351</v>
      </c>
      <c r="K595" cm="1">
        <f t="array" ref="K595">_xlfn.XLOOKUP(TEXT(A595, "mmm-yy"), TEXT([2]GASOLINE!$B$5:$B$208, "mmm-yy"), [2]GASOLINE!$IK$5:$IK$208, "Not Found")</f>
        <v>0</v>
      </c>
      <c r="L595">
        <f t="shared" si="9"/>
        <v>0</v>
      </c>
      <c r="M595" cm="1">
        <f t="array" ref="M595">_xlfn.XLOOKUP(TEXT(A595, "mmm-yy"), TEXT([2]GASOLINE!$B$5:$B$208, "mmm-yy"), [2]GASOLINE!$C$5:$C$208, "Not Found")</f>
        <v>7047.5793423574605</v>
      </c>
      <c r="N595" cm="1">
        <f t="array" ref="N595">_xlfn.XLOOKUP(TEXT(A595, "mmm-yy"), TEXT([2]RUNS!$B$5:$B$208, "mmm-yy"), [2]RUNS!$BM$5:$BM$208, "Not Found")</f>
        <v>0.82612587514981595</v>
      </c>
    </row>
    <row r="596" spans="1:14" x14ac:dyDescent="0.25">
      <c r="A596" s="1">
        <f>'[1]Global_Spot Prices'!$B1905</f>
        <v>42837</v>
      </c>
      <c r="B596">
        <f>_xlfn.XLOOKUP(A596,'[1]Global_Spot Prices'!$B:$B,'[1]Global_Spot Prices'!$BS:$BS)</f>
        <v>12.93</v>
      </c>
      <c r="C596">
        <f>_xlfn.XLOOKUP(A596,'[1]Global_Spot Prices'!$B:$B,'[1]Global_Spot Prices'!$E:$E)</f>
        <v>54.65</v>
      </c>
      <c r="D596">
        <f>_xlfn.XLOOKUP(A596,'[1]Global_Spot Prices'!$B:$B,'[1]Global_Spot Prices'!$D:$D)</f>
        <v>54.844999999999999</v>
      </c>
      <c r="E596">
        <f>_xlfn.XLOOKUP(A596,'[1]Global_Spot Prices'!$B:$B,'[1]Global_Spot Prices'!$H:$H)</f>
        <v>54.06</v>
      </c>
      <c r="F596">
        <f>_xlfn.XLOOKUP(A596,'[1]Global_Spot Prices'!$B:$B,'[1]Global_Spot Prices'!$I:$I)</f>
        <v>67.58</v>
      </c>
      <c r="G596" cm="1">
        <f t="array" ref="G596">_xlfn.XLOOKUP(TEXT(A596, "mmm-yy"), TEXT([2]RUNS!$B$5:$B$208, "mmm-yy"), [2]RUNS!$D$5:$D$208, "Not Found")</f>
        <v>27760.886070771867</v>
      </c>
      <c r="H596" cm="1">
        <f t="array" ref="H596">SUMPRODUCT(
    --(TEXT('[3]Global Weekly Stock (EWSuez'!$B$4:$B$2000,"mmm-yy")=TEXT(A596,"mmm-yy")),
    '[3]Global Weekly Stock (EWSuez'!$E$4:$E$2000)
/
SUMPRODUCT(
    --(TEXT('[3]Global Weekly Stock (EWSuez'!$B$4:$B$2000,"mmm-yy")=TEXT(A596,"mmm-yy"))
)</f>
        <v>14114.25</v>
      </c>
      <c r="I596">
        <f>_xlfn.XLOOKUP(A596,[1]ForwardDeriv!$D:$D,[1]ForwardDeriv!$AJ:$AJ)</f>
        <v>0.25</v>
      </c>
      <c r="J596" cm="1">
        <f t="array" ref="J596">_xlfn.XLOOKUP(TEXT(A596, "mmm-yy"), TEXT([2]GASOLINE!$B$5:$B$208, "mmm-yy"), [2]GASOLINE!$IR$5:$IR$208, "Not Found")</f>
        <v>46.173059254233351</v>
      </c>
      <c r="K596" cm="1">
        <f t="array" ref="K596">_xlfn.XLOOKUP(TEXT(A596, "mmm-yy"), TEXT([2]GASOLINE!$B$5:$B$208, "mmm-yy"), [2]GASOLINE!$IK$5:$IK$208, "Not Found")</f>
        <v>0</v>
      </c>
      <c r="L596">
        <f t="shared" si="9"/>
        <v>0</v>
      </c>
      <c r="M596" cm="1">
        <f t="array" ref="M596">_xlfn.XLOOKUP(TEXT(A596, "mmm-yy"), TEXT([2]GASOLINE!$B$5:$B$208, "mmm-yy"), [2]GASOLINE!$C$5:$C$208, "Not Found")</f>
        <v>7047.5793423574605</v>
      </c>
      <c r="N596" cm="1">
        <f t="array" ref="N596">_xlfn.XLOOKUP(TEXT(A596, "mmm-yy"), TEXT([2]RUNS!$B$5:$B$208, "mmm-yy"), [2]RUNS!$BM$5:$BM$208, "Not Found")</f>
        <v>0.82612587514981595</v>
      </c>
    </row>
    <row r="597" spans="1:14" x14ac:dyDescent="0.25">
      <c r="A597" s="1">
        <f>'[1]Global_Spot Prices'!$B1906</f>
        <v>42838</v>
      </c>
      <c r="B597">
        <f>_xlfn.XLOOKUP(A597,'[1]Global_Spot Prices'!$B:$B,'[1]Global_Spot Prices'!$BS:$BS)</f>
        <v>12.630000000000003</v>
      </c>
      <c r="C597">
        <f>_xlfn.XLOOKUP(A597,'[1]Global_Spot Prices'!$B:$B,'[1]Global_Spot Prices'!$E:$E)</f>
        <v>54.15</v>
      </c>
      <c r="D597">
        <f>_xlfn.XLOOKUP(A597,'[1]Global_Spot Prices'!$B:$B,'[1]Global_Spot Prices'!$D:$D)</f>
        <v>54.935000000000002</v>
      </c>
      <c r="E597">
        <f>_xlfn.XLOOKUP(A597,'[1]Global_Spot Prices'!$B:$B,'[1]Global_Spot Prices'!$H:$H)</f>
        <v>54.01</v>
      </c>
      <c r="F597">
        <f>_xlfn.XLOOKUP(A597,'[1]Global_Spot Prices'!$B:$B,'[1]Global_Spot Prices'!$I:$I)</f>
        <v>66.78</v>
      </c>
      <c r="G597" cm="1">
        <f t="array" ref="G597">_xlfn.XLOOKUP(TEXT(A597, "mmm-yy"), TEXT([2]RUNS!$B$5:$B$208, "mmm-yy"), [2]RUNS!$D$5:$D$208, "Not Found")</f>
        <v>27760.886070771867</v>
      </c>
      <c r="H597" cm="1">
        <f t="array" ref="H597">SUMPRODUCT(
    --(TEXT('[3]Global Weekly Stock (EWSuez'!$B$4:$B$2000,"mmm-yy")=TEXT(A597,"mmm-yy")),
    '[3]Global Weekly Stock (EWSuez'!$E$4:$E$2000)
/
SUMPRODUCT(
    --(TEXT('[3]Global Weekly Stock (EWSuez'!$B$4:$B$2000,"mmm-yy")=TEXT(A597,"mmm-yy"))
)</f>
        <v>14114.25</v>
      </c>
      <c r="I597">
        <f>_xlfn.XLOOKUP(A597,[1]ForwardDeriv!$D:$D,[1]ForwardDeriv!$AJ:$AJ)</f>
        <v>0.28000000000000114</v>
      </c>
      <c r="J597" cm="1">
        <f t="array" ref="J597">_xlfn.XLOOKUP(TEXT(A597, "mmm-yy"), TEXT([2]GASOLINE!$B$5:$B$208, "mmm-yy"), [2]GASOLINE!$IR$5:$IR$208, "Not Found")</f>
        <v>46.173059254233351</v>
      </c>
      <c r="K597" cm="1">
        <f t="array" ref="K597">_xlfn.XLOOKUP(TEXT(A597, "mmm-yy"), TEXT([2]GASOLINE!$B$5:$B$208, "mmm-yy"), [2]GASOLINE!$IK$5:$IK$208, "Not Found")</f>
        <v>0</v>
      </c>
      <c r="L597">
        <f t="shared" si="9"/>
        <v>0</v>
      </c>
      <c r="M597" cm="1">
        <f t="array" ref="M597">_xlfn.XLOOKUP(TEXT(A597, "mmm-yy"), TEXT([2]GASOLINE!$B$5:$B$208, "mmm-yy"), [2]GASOLINE!$C$5:$C$208, "Not Found")</f>
        <v>7047.5793423574605</v>
      </c>
      <c r="N597" cm="1">
        <f t="array" ref="N597">_xlfn.XLOOKUP(TEXT(A597, "mmm-yy"), TEXT([2]RUNS!$B$5:$B$208, "mmm-yy"), [2]RUNS!$BM$5:$BM$208, "Not Found")</f>
        <v>0.82612587514981595</v>
      </c>
    </row>
    <row r="598" spans="1:14" x14ac:dyDescent="0.25">
      <c r="A598" s="1">
        <f>'[1]Global_Spot Prices'!$B1907</f>
        <v>42839</v>
      </c>
      <c r="B598" t="e">
        <f>_xlfn.XLOOKUP(A598,'[1]Global_Spot Prices'!$B:$B,'[1]Global_Spot Prices'!$BS:$BS)</f>
        <v>#N/A</v>
      </c>
      <c r="C598" t="str">
        <f>_xlfn.XLOOKUP(A598,'[1]Global_Spot Prices'!$B:$B,'[1]Global_Spot Prices'!$E:$E)</f>
        <v/>
      </c>
      <c r="D598" t="str">
        <f>_xlfn.XLOOKUP(A598,'[1]Global_Spot Prices'!$B:$B,'[1]Global_Spot Prices'!$D:$D)</f>
        <v/>
      </c>
      <c r="E598">
        <f>_xlfn.XLOOKUP(A598,'[1]Global_Spot Prices'!$B:$B,'[1]Global_Spot Prices'!$H:$H)</f>
        <v>0</v>
      </c>
      <c r="F598">
        <f>_xlfn.XLOOKUP(A598,'[1]Global_Spot Prices'!$B:$B,'[1]Global_Spot Prices'!$I:$I)</f>
        <v>0</v>
      </c>
      <c r="G598" cm="1">
        <f t="array" ref="G598">_xlfn.XLOOKUP(TEXT(A598, "mmm-yy"), TEXT([2]RUNS!$B$5:$B$208, "mmm-yy"), [2]RUNS!$D$5:$D$208, "Not Found")</f>
        <v>27760.886070771867</v>
      </c>
      <c r="H598" cm="1">
        <f t="array" ref="H598">SUMPRODUCT(
    --(TEXT('[3]Global Weekly Stock (EWSuez'!$B$4:$B$2000,"mmm-yy")=TEXT(A598,"mmm-yy")),
    '[3]Global Weekly Stock (EWSuez'!$E$4:$E$2000)
/
SUMPRODUCT(
    --(TEXT('[3]Global Weekly Stock (EWSuez'!$B$4:$B$2000,"mmm-yy")=TEXT(A598,"mmm-yy"))
)</f>
        <v>14114.25</v>
      </c>
      <c r="I598">
        <f>_xlfn.XLOOKUP(A598,[1]ForwardDeriv!$D:$D,[1]ForwardDeriv!$AJ:$AJ)</f>
        <v>0.28000000000000114</v>
      </c>
      <c r="J598" cm="1">
        <f t="array" ref="J598">_xlfn.XLOOKUP(TEXT(A598, "mmm-yy"), TEXT([2]GASOLINE!$B$5:$B$208, "mmm-yy"), [2]GASOLINE!$IR$5:$IR$208, "Not Found")</f>
        <v>46.173059254233351</v>
      </c>
      <c r="K598" cm="1">
        <f t="array" ref="K598">_xlfn.XLOOKUP(TEXT(A598, "mmm-yy"), TEXT([2]GASOLINE!$B$5:$B$208, "mmm-yy"), [2]GASOLINE!$IK$5:$IK$208, "Not Found")</f>
        <v>0</v>
      </c>
      <c r="L598">
        <f t="shared" si="9"/>
        <v>0</v>
      </c>
      <c r="M598" cm="1">
        <f t="array" ref="M598">_xlfn.XLOOKUP(TEXT(A598, "mmm-yy"), TEXT([2]GASOLINE!$B$5:$B$208, "mmm-yy"), [2]GASOLINE!$C$5:$C$208, "Not Found")</f>
        <v>7047.5793423574605</v>
      </c>
      <c r="N598" cm="1">
        <f t="array" ref="N598">_xlfn.XLOOKUP(TEXT(A598, "mmm-yy"), TEXT([2]RUNS!$B$5:$B$208, "mmm-yy"), [2]RUNS!$BM$5:$BM$208, "Not Found")</f>
        <v>0.82612587514981595</v>
      </c>
    </row>
    <row r="599" spans="1:14" x14ac:dyDescent="0.25">
      <c r="A599" s="1">
        <f>'[1]Global_Spot Prices'!$B1908</f>
        <v>42842</v>
      </c>
      <c r="B599">
        <f>_xlfn.XLOOKUP(A599,'[1]Global_Spot Prices'!$B:$B,'[1]Global_Spot Prices'!$BS:$BS)</f>
        <v>12.86</v>
      </c>
      <c r="C599">
        <f>_xlfn.XLOOKUP(A599,'[1]Global_Spot Prices'!$B:$B,'[1]Global_Spot Prices'!$E:$E)</f>
        <v>53.5</v>
      </c>
      <c r="D599" t="str">
        <f>_xlfn.XLOOKUP(A599,'[1]Global_Spot Prices'!$B:$B,'[1]Global_Spot Prices'!$D:$D)</f>
        <v/>
      </c>
      <c r="E599">
        <f>_xlfn.XLOOKUP(A599,'[1]Global_Spot Prices'!$B:$B,'[1]Global_Spot Prices'!$H:$H)</f>
        <v>53.36</v>
      </c>
      <c r="F599">
        <f>_xlfn.XLOOKUP(A599,'[1]Global_Spot Prices'!$B:$B,'[1]Global_Spot Prices'!$I:$I)</f>
        <v>66.36</v>
      </c>
      <c r="G599" cm="1">
        <f t="array" ref="G599">_xlfn.XLOOKUP(TEXT(A599, "mmm-yy"), TEXT([2]RUNS!$B$5:$B$208, "mmm-yy"), [2]RUNS!$D$5:$D$208, "Not Found")</f>
        <v>27760.886070771867</v>
      </c>
      <c r="H599" cm="1">
        <f t="array" ref="H599">SUMPRODUCT(
    --(TEXT('[3]Global Weekly Stock (EWSuez'!$B$4:$B$2000,"mmm-yy")=TEXT(A599,"mmm-yy")),
    '[3]Global Weekly Stock (EWSuez'!$E$4:$E$2000)
/
SUMPRODUCT(
    --(TEXT('[3]Global Weekly Stock (EWSuez'!$B$4:$B$2000,"mmm-yy")=TEXT(A599,"mmm-yy"))
)</f>
        <v>14114.25</v>
      </c>
      <c r="I599">
        <f>_xlfn.XLOOKUP(A599,[1]ForwardDeriv!$D:$D,[1]ForwardDeriv!$AJ:$AJ)</f>
        <v>0.28000000000000114</v>
      </c>
      <c r="J599" cm="1">
        <f t="array" ref="J599">_xlfn.XLOOKUP(TEXT(A599, "mmm-yy"), TEXT([2]GASOLINE!$B$5:$B$208, "mmm-yy"), [2]GASOLINE!$IR$5:$IR$208, "Not Found")</f>
        <v>46.173059254233351</v>
      </c>
      <c r="K599" cm="1">
        <f t="array" ref="K599">_xlfn.XLOOKUP(TEXT(A599, "mmm-yy"), TEXT([2]GASOLINE!$B$5:$B$208, "mmm-yy"), [2]GASOLINE!$IK$5:$IK$208, "Not Found")</f>
        <v>0</v>
      </c>
      <c r="L599">
        <f t="shared" si="9"/>
        <v>0</v>
      </c>
      <c r="M599" cm="1">
        <f t="array" ref="M599">_xlfn.XLOOKUP(TEXT(A599, "mmm-yy"), TEXT([2]GASOLINE!$B$5:$B$208, "mmm-yy"), [2]GASOLINE!$C$5:$C$208, "Not Found")</f>
        <v>7047.5793423574605</v>
      </c>
      <c r="N599" cm="1">
        <f t="array" ref="N599">_xlfn.XLOOKUP(TEXT(A599, "mmm-yy"), TEXT([2]RUNS!$B$5:$B$208, "mmm-yy"), [2]RUNS!$BM$5:$BM$208, "Not Found")</f>
        <v>0.82612587514981595</v>
      </c>
    </row>
    <row r="600" spans="1:14" x14ac:dyDescent="0.25">
      <c r="A600" s="1">
        <f>'[1]Global_Spot Prices'!$B1909</f>
        <v>42843</v>
      </c>
      <c r="B600">
        <f>_xlfn.XLOOKUP(A600,'[1]Global_Spot Prices'!$B:$B,'[1]Global_Spot Prices'!$BS:$BS)</f>
        <v>13.070000000000007</v>
      </c>
      <c r="C600">
        <f>_xlfn.XLOOKUP(A600,'[1]Global_Spot Prices'!$B:$B,'[1]Global_Spot Prices'!$E:$E)</f>
        <v>53.16</v>
      </c>
      <c r="D600">
        <f>_xlfn.XLOOKUP(A600,'[1]Global_Spot Prices'!$B:$B,'[1]Global_Spot Prices'!$D:$D)</f>
        <v>53.5</v>
      </c>
      <c r="E600">
        <f>_xlfn.XLOOKUP(A600,'[1]Global_Spot Prices'!$B:$B,'[1]Global_Spot Prices'!$H:$H)</f>
        <v>53.17</v>
      </c>
      <c r="F600">
        <f>_xlfn.XLOOKUP(A600,'[1]Global_Spot Prices'!$B:$B,'[1]Global_Spot Prices'!$I:$I)</f>
        <v>66.23</v>
      </c>
      <c r="G600" cm="1">
        <f t="array" ref="G600">_xlfn.XLOOKUP(TEXT(A600, "mmm-yy"), TEXT([2]RUNS!$B$5:$B$208, "mmm-yy"), [2]RUNS!$D$5:$D$208, "Not Found")</f>
        <v>27760.886070771867</v>
      </c>
      <c r="H600" cm="1">
        <f t="array" ref="H600">SUMPRODUCT(
    --(TEXT('[3]Global Weekly Stock (EWSuez'!$B$4:$B$2000,"mmm-yy")=TEXT(A600,"mmm-yy")),
    '[3]Global Weekly Stock (EWSuez'!$E$4:$E$2000)
/
SUMPRODUCT(
    --(TEXT('[3]Global Weekly Stock (EWSuez'!$B$4:$B$2000,"mmm-yy")=TEXT(A600,"mmm-yy"))
)</f>
        <v>14114.25</v>
      </c>
      <c r="I600">
        <f>_xlfn.XLOOKUP(A600,[1]ForwardDeriv!$D:$D,[1]ForwardDeriv!$AJ:$AJ)</f>
        <v>0.29000000000000625</v>
      </c>
      <c r="J600" cm="1">
        <f t="array" ref="J600">_xlfn.XLOOKUP(TEXT(A600, "mmm-yy"), TEXT([2]GASOLINE!$B$5:$B$208, "mmm-yy"), [2]GASOLINE!$IR$5:$IR$208, "Not Found")</f>
        <v>46.173059254233351</v>
      </c>
      <c r="K600" cm="1">
        <f t="array" ref="K600">_xlfn.XLOOKUP(TEXT(A600, "mmm-yy"), TEXT([2]GASOLINE!$B$5:$B$208, "mmm-yy"), [2]GASOLINE!$IK$5:$IK$208, "Not Found")</f>
        <v>0</v>
      </c>
      <c r="L600">
        <f t="shared" si="9"/>
        <v>0</v>
      </c>
      <c r="M600" cm="1">
        <f t="array" ref="M600">_xlfn.XLOOKUP(TEXT(A600, "mmm-yy"), TEXT([2]GASOLINE!$B$5:$B$208, "mmm-yy"), [2]GASOLINE!$C$5:$C$208, "Not Found")</f>
        <v>7047.5793423574605</v>
      </c>
      <c r="N600" cm="1">
        <f t="array" ref="N600">_xlfn.XLOOKUP(TEXT(A600, "mmm-yy"), TEXT([2]RUNS!$B$5:$B$208, "mmm-yy"), [2]RUNS!$BM$5:$BM$208, "Not Found")</f>
        <v>0.82612587514981595</v>
      </c>
    </row>
    <row r="601" spans="1:14" x14ac:dyDescent="0.25">
      <c r="A601" s="1">
        <f>'[1]Global_Spot Prices'!$B1910</f>
        <v>42844</v>
      </c>
      <c r="B601">
        <f>_xlfn.XLOOKUP(A601,'[1]Global_Spot Prices'!$B:$B,'[1]Global_Spot Prices'!$BS:$BS)</f>
        <v>12.980000000000004</v>
      </c>
      <c r="C601">
        <f>_xlfn.XLOOKUP(A601,'[1]Global_Spot Prices'!$B:$B,'[1]Global_Spot Prices'!$E:$E)</f>
        <v>53.05</v>
      </c>
      <c r="D601">
        <f>_xlfn.XLOOKUP(A601,'[1]Global_Spot Prices'!$B:$B,'[1]Global_Spot Prices'!$D:$D)</f>
        <v>52.905000000000001</v>
      </c>
      <c r="E601">
        <f>_xlfn.XLOOKUP(A601,'[1]Global_Spot Prices'!$B:$B,'[1]Global_Spot Prices'!$H:$H)</f>
        <v>52.83</v>
      </c>
      <c r="F601">
        <f>_xlfn.XLOOKUP(A601,'[1]Global_Spot Prices'!$B:$B,'[1]Global_Spot Prices'!$I:$I)</f>
        <v>66.03</v>
      </c>
      <c r="G601" cm="1">
        <f t="array" ref="G601">_xlfn.XLOOKUP(TEXT(A601, "mmm-yy"), TEXT([2]RUNS!$B$5:$B$208, "mmm-yy"), [2]RUNS!$D$5:$D$208, "Not Found")</f>
        <v>27760.886070771867</v>
      </c>
      <c r="H601" cm="1">
        <f t="array" ref="H601">SUMPRODUCT(
    --(TEXT('[3]Global Weekly Stock (EWSuez'!$B$4:$B$2000,"mmm-yy")=TEXT(A601,"mmm-yy")),
    '[3]Global Weekly Stock (EWSuez'!$E$4:$E$2000)
/
SUMPRODUCT(
    --(TEXT('[3]Global Weekly Stock (EWSuez'!$B$4:$B$2000,"mmm-yy")=TEXT(A601,"mmm-yy"))
)</f>
        <v>14114.25</v>
      </c>
      <c r="I601">
        <f>_xlfn.XLOOKUP(A601,[1]ForwardDeriv!$D:$D,[1]ForwardDeriv!$AJ:$AJ)</f>
        <v>0.37000000000000455</v>
      </c>
      <c r="J601" cm="1">
        <f t="array" ref="J601">_xlfn.XLOOKUP(TEXT(A601, "mmm-yy"), TEXT([2]GASOLINE!$B$5:$B$208, "mmm-yy"), [2]GASOLINE!$IR$5:$IR$208, "Not Found")</f>
        <v>46.173059254233351</v>
      </c>
      <c r="K601" cm="1">
        <f t="array" ref="K601">_xlfn.XLOOKUP(TEXT(A601, "mmm-yy"), TEXT([2]GASOLINE!$B$5:$B$208, "mmm-yy"), [2]GASOLINE!$IK$5:$IK$208, "Not Found")</f>
        <v>0</v>
      </c>
      <c r="L601">
        <f t="shared" si="9"/>
        <v>0</v>
      </c>
      <c r="M601" cm="1">
        <f t="array" ref="M601">_xlfn.XLOOKUP(TEXT(A601, "mmm-yy"), TEXT([2]GASOLINE!$B$5:$B$208, "mmm-yy"), [2]GASOLINE!$C$5:$C$208, "Not Found")</f>
        <v>7047.5793423574605</v>
      </c>
      <c r="N601" cm="1">
        <f t="array" ref="N601">_xlfn.XLOOKUP(TEXT(A601, "mmm-yy"), TEXT([2]RUNS!$B$5:$B$208, "mmm-yy"), [2]RUNS!$BM$5:$BM$208, "Not Found")</f>
        <v>0.82612587514981595</v>
      </c>
    </row>
    <row r="602" spans="1:14" x14ac:dyDescent="0.25">
      <c r="A602" s="1">
        <f>'[1]Global_Spot Prices'!$B1911</f>
        <v>42845</v>
      </c>
      <c r="B602">
        <f>_xlfn.XLOOKUP(A602,'[1]Global_Spot Prices'!$B:$B,'[1]Global_Spot Prices'!$BS:$BS)</f>
        <v>13.160000000000004</v>
      </c>
      <c r="C602">
        <f>_xlfn.XLOOKUP(A602,'[1]Global_Spot Prices'!$B:$B,'[1]Global_Spot Prices'!$E:$E)</f>
        <v>51.49</v>
      </c>
      <c r="D602">
        <f>_xlfn.XLOOKUP(A602,'[1]Global_Spot Prices'!$B:$B,'[1]Global_Spot Prices'!$D:$D)</f>
        <v>51.39</v>
      </c>
      <c r="E602">
        <f>_xlfn.XLOOKUP(A602,'[1]Global_Spot Prices'!$B:$B,'[1]Global_Spot Prices'!$H:$H)</f>
        <v>51.34</v>
      </c>
      <c r="F602">
        <f>_xlfn.XLOOKUP(A602,'[1]Global_Spot Prices'!$B:$B,'[1]Global_Spot Prices'!$I:$I)</f>
        <v>64.650000000000006</v>
      </c>
      <c r="G602" cm="1">
        <f t="array" ref="G602">_xlfn.XLOOKUP(TEXT(A602, "mmm-yy"), TEXT([2]RUNS!$B$5:$B$208, "mmm-yy"), [2]RUNS!$D$5:$D$208, "Not Found")</f>
        <v>27760.886070771867</v>
      </c>
      <c r="H602" cm="1">
        <f t="array" ref="H602">SUMPRODUCT(
    --(TEXT('[3]Global Weekly Stock (EWSuez'!$B$4:$B$2000,"mmm-yy")=TEXT(A602,"mmm-yy")),
    '[3]Global Weekly Stock (EWSuez'!$E$4:$E$2000)
/
SUMPRODUCT(
    --(TEXT('[3]Global Weekly Stock (EWSuez'!$B$4:$B$2000,"mmm-yy")=TEXT(A602,"mmm-yy"))
)</f>
        <v>14114.25</v>
      </c>
      <c r="I602">
        <f>_xlfn.XLOOKUP(A602,[1]ForwardDeriv!$D:$D,[1]ForwardDeriv!$AJ:$AJ)</f>
        <v>0.4199999999999946</v>
      </c>
      <c r="J602" cm="1">
        <f t="array" ref="J602">_xlfn.XLOOKUP(TEXT(A602, "mmm-yy"), TEXT([2]GASOLINE!$B$5:$B$208, "mmm-yy"), [2]GASOLINE!$IR$5:$IR$208, "Not Found")</f>
        <v>46.173059254233351</v>
      </c>
      <c r="K602" cm="1">
        <f t="array" ref="K602">_xlfn.XLOOKUP(TEXT(A602, "mmm-yy"), TEXT([2]GASOLINE!$B$5:$B$208, "mmm-yy"), [2]GASOLINE!$IK$5:$IK$208, "Not Found")</f>
        <v>0</v>
      </c>
      <c r="L602">
        <f t="shared" si="9"/>
        <v>0</v>
      </c>
      <c r="M602" cm="1">
        <f t="array" ref="M602">_xlfn.XLOOKUP(TEXT(A602, "mmm-yy"), TEXT([2]GASOLINE!$B$5:$B$208, "mmm-yy"), [2]GASOLINE!$C$5:$C$208, "Not Found")</f>
        <v>7047.5793423574605</v>
      </c>
      <c r="N602" cm="1">
        <f t="array" ref="N602">_xlfn.XLOOKUP(TEXT(A602, "mmm-yy"), TEXT([2]RUNS!$B$5:$B$208, "mmm-yy"), [2]RUNS!$BM$5:$BM$208, "Not Found")</f>
        <v>0.82612587514981595</v>
      </c>
    </row>
    <row r="603" spans="1:14" x14ac:dyDescent="0.25">
      <c r="A603" s="1">
        <f>'[1]Global_Spot Prices'!$B1912</f>
        <v>42846</v>
      </c>
      <c r="B603">
        <f>_xlfn.XLOOKUP(A603,'[1]Global_Spot Prices'!$B:$B,'[1]Global_Spot Prices'!$BS:$BS)</f>
        <v>13.549999999999997</v>
      </c>
      <c r="C603">
        <f>_xlfn.XLOOKUP(A603,'[1]Global_Spot Prices'!$B:$B,'[1]Global_Spot Prices'!$E:$E)</f>
        <v>51.3</v>
      </c>
      <c r="D603">
        <f>_xlfn.XLOOKUP(A603,'[1]Global_Spot Prices'!$B:$B,'[1]Global_Spot Prices'!$D:$D)</f>
        <v>50.454999999999998</v>
      </c>
      <c r="E603">
        <f>_xlfn.XLOOKUP(A603,'[1]Global_Spot Prices'!$B:$B,'[1]Global_Spot Prices'!$H:$H)</f>
        <v>51.42</v>
      </c>
      <c r="F603">
        <f>_xlfn.XLOOKUP(A603,'[1]Global_Spot Prices'!$B:$B,'[1]Global_Spot Prices'!$I:$I)</f>
        <v>64.849999999999994</v>
      </c>
      <c r="G603" cm="1">
        <f t="array" ref="G603">_xlfn.XLOOKUP(TEXT(A603, "mmm-yy"), TEXT([2]RUNS!$B$5:$B$208, "mmm-yy"), [2]RUNS!$D$5:$D$208, "Not Found")</f>
        <v>27760.886070771867</v>
      </c>
      <c r="H603" cm="1">
        <f t="array" ref="H603">SUMPRODUCT(
    --(TEXT('[3]Global Weekly Stock (EWSuez'!$B$4:$B$2000,"mmm-yy")=TEXT(A603,"mmm-yy")),
    '[3]Global Weekly Stock (EWSuez'!$E$4:$E$2000)
/
SUMPRODUCT(
    --(TEXT('[3]Global Weekly Stock (EWSuez'!$B$4:$B$2000,"mmm-yy")=TEXT(A603,"mmm-yy"))
)</f>
        <v>14114.25</v>
      </c>
      <c r="I603">
        <f>_xlfn.XLOOKUP(A603,[1]ForwardDeriv!$D:$D,[1]ForwardDeriv!$AJ:$AJ)</f>
        <v>0.49000000000000199</v>
      </c>
      <c r="J603" cm="1">
        <f t="array" ref="J603">_xlfn.XLOOKUP(TEXT(A603, "mmm-yy"), TEXT([2]GASOLINE!$B$5:$B$208, "mmm-yy"), [2]GASOLINE!$IR$5:$IR$208, "Not Found")</f>
        <v>46.173059254233351</v>
      </c>
      <c r="K603" cm="1">
        <f t="array" ref="K603">_xlfn.XLOOKUP(TEXT(A603, "mmm-yy"), TEXT([2]GASOLINE!$B$5:$B$208, "mmm-yy"), [2]GASOLINE!$IK$5:$IK$208, "Not Found")</f>
        <v>0</v>
      </c>
      <c r="L603">
        <f t="shared" si="9"/>
        <v>0</v>
      </c>
      <c r="M603" cm="1">
        <f t="array" ref="M603">_xlfn.XLOOKUP(TEXT(A603, "mmm-yy"), TEXT([2]GASOLINE!$B$5:$B$208, "mmm-yy"), [2]GASOLINE!$C$5:$C$208, "Not Found")</f>
        <v>7047.5793423574605</v>
      </c>
      <c r="N603" cm="1">
        <f t="array" ref="N603">_xlfn.XLOOKUP(TEXT(A603, "mmm-yy"), TEXT([2]RUNS!$B$5:$B$208, "mmm-yy"), [2]RUNS!$BM$5:$BM$208, "Not Found")</f>
        <v>0.82612587514981595</v>
      </c>
    </row>
    <row r="604" spans="1:14" x14ac:dyDescent="0.25">
      <c r="A604" s="1">
        <f>'[1]Global_Spot Prices'!$B1913</f>
        <v>42849</v>
      </c>
      <c r="B604">
        <f>_xlfn.XLOOKUP(A604,'[1]Global_Spot Prices'!$B:$B,'[1]Global_Spot Prices'!$BS:$BS)</f>
        <v>12.93</v>
      </c>
      <c r="C604">
        <f>_xlfn.XLOOKUP(A604,'[1]Global_Spot Prices'!$B:$B,'[1]Global_Spot Prices'!$E:$E)</f>
        <v>50.99</v>
      </c>
      <c r="D604">
        <f>_xlfn.XLOOKUP(A604,'[1]Global_Spot Prices'!$B:$B,'[1]Global_Spot Prices'!$D:$D)</f>
        <v>50.155000000000001</v>
      </c>
      <c r="E604">
        <f>_xlfn.XLOOKUP(A604,'[1]Global_Spot Prices'!$B:$B,'[1]Global_Spot Prices'!$H:$H)</f>
        <v>51</v>
      </c>
      <c r="F604">
        <f>_xlfn.XLOOKUP(A604,'[1]Global_Spot Prices'!$B:$B,'[1]Global_Spot Prices'!$I:$I)</f>
        <v>63.92</v>
      </c>
      <c r="G604" cm="1">
        <f t="array" ref="G604">_xlfn.XLOOKUP(TEXT(A604, "mmm-yy"), TEXT([2]RUNS!$B$5:$B$208, "mmm-yy"), [2]RUNS!$D$5:$D$208, "Not Found")</f>
        <v>27760.886070771867</v>
      </c>
      <c r="H604" cm="1">
        <f t="array" ref="H604">SUMPRODUCT(
    --(TEXT('[3]Global Weekly Stock (EWSuez'!$B$4:$B$2000,"mmm-yy")=TEXT(A604,"mmm-yy")),
    '[3]Global Weekly Stock (EWSuez'!$E$4:$E$2000)
/
SUMPRODUCT(
    --(TEXT('[3]Global Weekly Stock (EWSuez'!$B$4:$B$2000,"mmm-yy")=TEXT(A604,"mmm-yy"))
)</f>
        <v>14114.25</v>
      </c>
      <c r="I604">
        <f>_xlfn.XLOOKUP(A604,[1]ForwardDeriv!$D:$D,[1]ForwardDeriv!$AJ:$AJ)</f>
        <v>0.39999999999999858</v>
      </c>
      <c r="J604" cm="1">
        <f t="array" ref="J604">_xlfn.XLOOKUP(TEXT(A604, "mmm-yy"), TEXT([2]GASOLINE!$B$5:$B$208, "mmm-yy"), [2]GASOLINE!$IR$5:$IR$208, "Not Found")</f>
        <v>46.173059254233351</v>
      </c>
      <c r="K604" cm="1">
        <f t="array" ref="K604">_xlfn.XLOOKUP(TEXT(A604, "mmm-yy"), TEXT([2]GASOLINE!$B$5:$B$208, "mmm-yy"), [2]GASOLINE!$IK$5:$IK$208, "Not Found")</f>
        <v>0</v>
      </c>
      <c r="L604">
        <f t="shared" si="9"/>
        <v>0</v>
      </c>
      <c r="M604" cm="1">
        <f t="array" ref="M604">_xlfn.XLOOKUP(TEXT(A604, "mmm-yy"), TEXT([2]GASOLINE!$B$5:$B$208, "mmm-yy"), [2]GASOLINE!$C$5:$C$208, "Not Found")</f>
        <v>7047.5793423574605</v>
      </c>
      <c r="N604" cm="1">
        <f t="array" ref="N604">_xlfn.XLOOKUP(TEXT(A604, "mmm-yy"), TEXT([2]RUNS!$B$5:$B$208, "mmm-yy"), [2]RUNS!$BM$5:$BM$208, "Not Found")</f>
        <v>0.82612587514981595</v>
      </c>
    </row>
    <row r="605" spans="1:14" x14ac:dyDescent="0.25">
      <c r="A605" s="1">
        <f>'[1]Global_Spot Prices'!$B1914</f>
        <v>42850</v>
      </c>
      <c r="B605">
        <f>_xlfn.XLOOKUP(A605,'[1]Global_Spot Prices'!$B:$B,'[1]Global_Spot Prices'!$BS:$BS)</f>
        <v>12.780000000000001</v>
      </c>
      <c r="C605">
        <f>_xlfn.XLOOKUP(A605,'[1]Global_Spot Prices'!$B:$B,'[1]Global_Spot Prices'!$E:$E)</f>
        <v>50.15</v>
      </c>
      <c r="D605">
        <f>_xlfn.XLOOKUP(A605,'[1]Global_Spot Prices'!$B:$B,'[1]Global_Spot Prices'!$D:$D)</f>
        <v>50.414999999999999</v>
      </c>
      <c r="E605">
        <f>_xlfn.XLOOKUP(A605,'[1]Global_Spot Prices'!$B:$B,'[1]Global_Spot Prices'!$H:$H)</f>
        <v>50.58</v>
      </c>
      <c r="F605">
        <f>_xlfn.XLOOKUP(A605,'[1]Global_Spot Prices'!$B:$B,'[1]Global_Spot Prices'!$I:$I)</f>
        <v>62.93</v>
      </c>
      <c r="G605" cm="1">
        <f t="array" ref="G605">_xlfn.XLOOKUP(TEXT(A605, "mmm-yy"), TEXT([2]RUNS!$B$5:$B$208, "mmm-yy"), [2]RUNS!$D$5:$D$208, "Not Found")</f>
        <v>27760.886070771867</v>
      </c>
      <c r="H605" cm="1">
        <f t="array" ref="H605">SUMPRODUCT(
    --(TEXT('[3]Global Weekly Stock (EWSuez'!$B$4:$B$2000,"mmm-yy")=TEXT(A605,"mmm-yy")),
    '[3]Global Weekly Stock (EWSuez'!$E$4:$E$2000)
/
SUMPRODUCT(
    --(TEXT('[3]Global Weekly Stock (EWSuez'!$B$4:$B$2000,"mmm-yy")=TEXT(A605,"mmm-yy"))
)</f>
        <v>14114.25</v>
      </c>
      <c r="I605">
        <f>_xlfn.XLOOKUP(A605,[1]ForwardDeriv!$D:$D,[1]ForwardDeriv!$AJ:$AJ)</f>
        <v>0.39999999999999858</v>
      </c>
      <c r="J605" cm="1">
        <f t="array" ref="J605">_xlfn.XLOOKUP(TEXT(A605, "mmm-yy"), TEXT([2]GASOLINE!$B$5:$B$208, "mmm-yy"), [2]GASOLINE!$IR$5:$IR$208, "Not Found")</f>
        <v>46.173059254233351</v>
      </c>
      <c r="K605" cm="1">
        <f t="array" ref="K605">_xlfn.XLOOKUP(TEXT(A605, "mmm-yy"), TEXT([2]GASOLINE!$B$5:$B$208, "mmm-yy"), [2]GASOLINE!$IK$5:$IK$208, "Not Found")</f>
        <v>0</v>
      </c>
      <c r="L605">
        <f t="shared" si="9"/>
        <v>0</v>
      </c>
      <c r="M605" cm="1">
        <f t="array" ref="M605">_xlfn.XLOOKUP(TEXT(A605, "mmm-yy"), TEXT([2]GASOLINE!$B$5:$B$208, "mmm-yy"), [2]GASOLINE!$C$5:$C$208, "Not Found")</f>
        <v>7047.5793423574605</v>
      </c>
      <c r="N605" cm="1">
        <f t="array" ref="N605">_xlfn.XLOOKUP(TEXT(A605, "mmm-yy"), TEXT([2]RUNS!$B$5:$B$208, "mmm-yy"), [2]RUNS!$BM$5:$BM$208, "Not Found")</f>
        <v>0.82612587514981595</v>
      </c>
    </row>
    <row r="606" spans="1:14" x14ac:dyDescent="0.25">
      <c r="A606" s="1">
        <f>'[1]Global_Spot Prices'!$B1915</f>
        <v>42851</v>
      </c>
      <c r="B606">
        <f>_xlfn.XLOOKUP(A606,'[1]Global_Spot Prices'!$B:$B,'[1]Global_Spot Prices'!$BS:$BS)</f>
        <v>12.149999999999999</v>
      </c>
      <c r="C606">
        <f>_xlfn.XLOOKUP(A606,'[1]Global_Spot Prices'!$B:$B,'[1]Global_Spot Prices'!$E:$E)</f>
        <v>50.52</v>
      </c>
      <c r="D606">
        <f>_xlfn.XLOOKUP(A606,'[1]Global_Spot Prices'!$B:$B,'[1]Global_Spot Prices'!$D:$D)</f>
        <v>51.005000000000003</v>
      </c>
      <c r="E606">
        <f>_xlfn.XLOOKUP(A606,'[1]Global_Spot Prices'!$B:$B,'[1]Global_Spot Prices'!$H:$H)</f>
        <v>50.85</v>
      </c>
      <c r="F606">
        <f>_xlfn.XLOOKUP(A606,'[1]Global_Spot Prices'!$B:$B,'[1]Global_Spot Prices'!$I:$I)</f>
        <v>62.67</v>
      </c>
      <c r="G606" cm="1">
        <f t="array" ref="G606">_xlfn.XLOOKUP(TEXT(A606, "mmm-yy"), TEXT([2]RUNS!$B$5:$B$208, "mmm-yy"), [2]RUNS!$D$5:$D$208, "Not Found")</f>
        <v>27760.886070771867</v>
      </c>
      <c r="H606" cm="1">
        <f t="array" ref="H606">SUMPRODUCT(
    --(TEXT('[3]Global Weekly Stock (EWSuez'!$B$4:$B$2000,"mmm-yy")=TEXT(A606,"mmm-yy")),
    '[3]Global Weekly Stock (EWSuez'!$E$4:$E$2000)
/
SUMPRODUCT(
    --(TEXT('[3]Global Weekly Stock (EWSuez'!$B$4:$B$2000,"mmm-yy")=TEXT(A606,"mmm-yy"))
)</f>
        <v>14114.25</v>
      </c>
      <c r="I606">
        <f>_xlfn.XLOOKUP(A606,[1]ForwardDeriv!$D:$D,[1]ForwardDeriv!$AJ:$AJ)</f>
        <v>0.42000000000000171</v>
      </c>
      <c r="J606" cm="1">
        <f t="array" ref="J606">_xlfn.XLOOKUP(TEXT(A606, "mmm-yy"), TEXT([2]GASOLINE!$B$5:$B$208, "mmm-yy"), [2]GASOLINE!$IR$5:$IR$208, "Not Found")</f>
        <v>46.173059254233351</v>
      </c>
      <c r="K606" cm="1">
        <f t="array" ref="K606">_xlfn.XLOOKUP(TEXT(A606, "mmm-yy"), TEXT([2]GASOLINE!$B$5:$B$208, "mmm-yy"), [2]GASOLINE!$IK$5:$IK$208, "Not Found")</f>
        <v>0</v>
      </c>
      <c r="L606">
        <f t="shared" si="9"/>
        <v>0</v>
      </c>
      <c r="M606" cm="1">
        <f t="array" ref="M606">_xlfn.XLOOKUP(TEXT(A606, "mmm-yy"), TEXT([2]GASOLINE!$B$5:$B$208, "mmm-yy"), [2]GASOLINE!$C$5:$C$208, "Not Found")</f>
        <v>7047.5793423574605</v>
      </c>
      <c r="N606" cm="1">
        <f t="array" ref="N606">_xlfn.XLOOKUP(TEXT(A606, "mmm-yy"), TEXT([2]RUNS!$B$5:$B$208, "mmm-yy"), [2]RUNS!$BM$5:$BM$208, "Not Found")</f>
        <v>0.82612587514981595</v>
      </c>
    </row>
    <row r="607" spans="1:14" x14ac:dyDescent="0.25">
      <c r="A607" s="1">
        <f>'[1]Global_Spot Prices'!$B1916</f>
        <v>42852</v>
      </c>
      <c r="B607">
        <f>_xlfn.XLOOKUP(A607,'[1]Global_Spot Prices'!$B:$B,'[1]Global_Spot Prices'!$BS:$BS)</f>
        <v>11.310000000000002</v>
      </c>
      <c r="C607">
        <f>_xlfn.XLOOKUP(A607,'[1]Global_Spot Prices'!$B:$B,'[1]Global_Spot Prices'!$E:$E)</f>
        <v>49.9</v>
      </c>
      <c r="D607">
        <f>_xlfn.XLOOKUP(A607,'[1]Global_Spot Prices'!$B:$B,'[1]Global_Spot Prices'!$D:$D)</f>
        <v>49.484999999999999</v>
      </c>
      <c r="E607">
        <f>_xlfn.XLOOKUP(A607,'[1]Global_Spot Prices'!$B:$B,'[1]Global_Spot Prices'!$H:$H)</f>
        <v>49.55</v>
      </c>
      <c r="F607">
        <f>_xlfn.XLOOKUP(A607,'[1]Global_Spot Prices'!$B:$B,'[1]Global_Spot Prices'!$I:$I)</f>
        <v>61.21</v>
      </c>
      <c r="G607" cm="1">
        <f t="array" ref="G607">_xlfn.XLOOKUP(TEXT(A607, "mmm-yy"), TEXT([2]RUNS!$B$5:$B$208, "mmm-yy"), [2]RUNS!$D$5:$D$208, "Not Found")</f>
        <v>27760.886070771867</v>
      </c>
      <c r="H607" cm="1">
        <f t="array" ref="H607">SUMPRODUCT(
    --(TEXT('[3]Global Weekly Stock (EWSuez'!$B$4:$B$2000,"mmm-yy")=TEXT(A607,"mmm-yy")),
    '[3]Global Weekly Stock (EWSuez'!$E$4:$E$2000)
/
SUMPRODUCT(
    --(TEXT('[3]Global Weekly Stock (EWSuez'!$B$4:$B$2000,"mmm-yy")=TEXT(A607,"mmm-yy"))
)</f>
        <v>14114.25</v>
      </c>
      <c r="I607">
        <f>_xlfn.XLOOKUP(A607,[1]ForwardDeriv!$D:$D,[1]ForwardDeriv!$AJ:$AJ)</f>
        <v>0.39000000000000057</v>
      </c>
      <c r="J607" cm="1">
        <f t="array" ref="J607">_xlfn.XLOOKUP(TEXT(A607, "mmm-yy"), TEXT([2]GASOLINE!$B$5:$B$208, "mmm-yy"), [2]GASOLINE!$IR$5:$IR$208, "Not Found")</f>
        <v>46.173059254233351</v>
      </c>
      <c r="K607" cm="1">
        <f t="array" ref="K607">_xlfn.XLOOKUP(TEXT(A607, "mmm-yy"), TEXT([2]GASOLINE!$B$5:$B$208, "mmm-yy"), [2]GASOLINE!$IK$5:$IK$208, "Not Found")</f>
        <v>0</v>
      </c>
      <c r="L607">
        <f t="shared" si="9"/>
        <v>0</v>
      </c>
      <c r="M607" cm="1">
        <f t="array" ref="M607">_xlfn.XLOOKUP(TEXT(A607, "mmm-yy"), TEXT([2]GASOLINE!$B$5:$B$208, "mmm-yy"), [2]GASOLINE!$C$5:$C$208, "Not Found")</f>
        <v>7047.5793423574605</v>
      </c>
      <c r="N607" cm="1">
        <f t="array" ref="N607">_xlfn.XLOOKUP(TEXT(A607, "mmm-yy"), TEXT([2]RUNS!$B$5:$B$208, "mmm-yy"), [2]RUNS!$BM$5:$BM$208, "Not Found")</f>
        <v>0.82612587514981595</v>
      </c>
    </row>
    <row r="608" spans="1:14" x14ac:dyDescent="0.25">
      <c r="A608" s="1">
        <f>'[1]Global_Spot Prices'!$B1917</f>
        <v>42853</v>
      </c>
      <c r="B608">
        <f>_xlfn.XLOOKUP(A608,'[1]Global_Spot Prices'!$B:$B,'[1]Global_Spot Prices'!$BS:$BS)</f>
        <v>11.549999999999997</v>
      </c>
      <c r="C608">
        <f>_xlfn.XLOOKUP(A608,'[1]Global_Spot Prices'!$B:$B,'[1]Global_Spot Prices'!$E:$E)</f>
        <v>50.18</v>
      </c>
      <c r="D608">
        <f>_xlfn.XLOOKUP(A608,'[1]Global_Spot Prices'!$B:$B,'[1]Global_Spot Prices'!$D:$D)</f>
        <v>50.39</v>
      </c>
      <c r="E608">
        <f>_xlfn.XLOOKUP(A608,'[1]Global_Spot Prices'!$B:$B,'[1]Global_Spot Prices'!$H:$H)</f>
        <v>49.72</v>
      </c>
      <c r="F608">
        <f>_xlfn.XLOOKUP(A608,'[1]Global_Spot Prices'!$B:$B,'[1]Global_Spot Prices'!$I:$I)</f>
        <v>61.73</v>
      </c>
      <c r="G608" cm="1">
        <f t="array" ref="G608">_xlfn.XLOOKUP(TEXT(A608, "mmm-yy"), TEXT([2]RUNS!$B$5:$B$208, "mmm-yy"), [2]RUNS!$D$5:$D$208, "Not Found")</f>
        <v>27760.886070771867</v>
      </c>
      <c r="H608" cm="1">
        <f t="array" ref="H608">SUMPRODUCT(
    --(TEXT('[3]Global Weekly Stock (EWSuez'!$B$4:$B$2000,"mmm-yy")=TEXT(A608,"mmm-yy")),
    '[3]Global Weekly Stock (EWSuez'!$E$4:$E$2000)
/
SUMPRODUCT(
    --(TEXT('[3]Global Weekly Stock (EWSuez'!$B$4:$B$2000,"mmm-yy")=TEXT(A608,"mmm-yy"))
)</f>
        <v>14114.25</v>
      </c>
      <c r="I608">
        <f>_xlfn.XLOOKUP(A608,[1]ForwardDeriv!$D:$D,[1]ForwardDeriv!$AJ:$AJ)</f>
        <v>0.45000000000000284</v>
      </c>
      <c r="J608" cm="1">
        <f t="array" ref="J608">_xlfn.XLOOKUP(TEXT(A608, "mmm-yy"), TEXT([2]GASOLINE!$B$5:$B$208, "mmm-yy"), [2]GASOLINE!$IR$5:$IR$208, "Not Found")</f>
        <v>46.173059254233351</v>
      </c>
      <c r="K608" cm="1">
        <f t="array" ref="K608">_xlfn.XLOOKUP(TEXT(A608, "mmm-yy"), TEXT([2]GASOLINE!$B$5:$B$208, "mmm-yy"), [2]GASOLINE!$IK$5:$IK$208, "Not Found")</f>
        <v>0</v>
      </c>
      <c r="L608">
        <f t="shared" si="9"/>
        <v>0</v>
      </c>
      <c r="M608" cm="1">
        <f t="array" ref="M608">_xlfn.XLOOKUP(TEXT(A608, "mmm-yy"), TEXT([2]GASOLINE!$B$5:$B$208, "mmm-yy"), [2]GASOLINE!$C$5:$C$208, "Not Found")</f>
        <v>7047.5793423574605</v>
      </c>
      <c r="N608" cm="1">
        <f t="array" ref="N608">_xlfn.XLOOKUP(TEXT(A608, "mmm-yy"), TEXT([2]RUNS!$B$5:$B$208, "mmm-yy"), [2]RUNS!$BM$5:$BM$208, "Not Found")</f>
        <v>0.82612587514981595</v>
      </c>
    </row>
    <row r="609" spans="1:14" x14ac:dyDescent="0.25">
      <c r="A609" s="1">
        <f>'[1]Global_Spot Prices'!$B1918</f>
        <v>42856</v>
      </c>
      <c r="B609" t="e">
        <f>_xlfn.XLOOKUP(A609,'[1]Global_Spot Prices'!$B:$B,'[1]Global_Spot Prices'!$BS:$BS)</f>
        <v>#N/A</v>
      </c>
      <c r="C609" t="str">
        <f>_xlfn.XLOOKUP(A609,'[1]Global_Spot Prices'!$B:$B,'[1]Global_Spot Prices'!$E:$E)</f>
        <v/>
      </c>
      <c r="D609" t="str">
        <f>_xlfn.XLOOKUP(A609,'[1]Global_Spot Prices'!$B:$B,'[1]Global_Spot Prices'!$D:$D)</f>
        <v/>
      </c>
      <c r="E609">
        <f>_xlfn.XLOOKUP(A609,'[1]Global_Spot Prices'!$B:$B,'[1]Global_Spot Prices'!$H:$H)</f>
        <v>0</v>
      </c>
      <c r="F609">
        <f>_xlfn.XLOOKUP(A609,'[1]Global_Spot Prices'!$B:$B,'[1]Global_Spot Prices'!$I:$I)</f>
        <v>0</v>
      </c>
      <c r="G609" cm="1">
        <f t="array" ref="G609">_xlfn.XLOOKUP(TEXT(A609, "mmm-yy"), TEXT([2]RUNS!$B$5:$B$208, "mmm-yy"), [2]RUNS!$D$5:$D$208, "Not Found")</f>
        <v>27980.173785979125</v>
      </c>
      <c r="H609" cm="1">
        <f t="array" ref="H609">SUMPRODUCT(
    --(TEXT('[3]Global Weekly Stock (EWSuez'!$B$4:$B$2000,"mmm-yy")=TEXT(A609,"mmm-yy")),
    '[3]Global Weekly Stock (EWSuez'!$E$4:$E$2000)
/
SUMPRODUCT(
    --(TEXT('[3]Global Weekly Stock (EWSuez'!$B$4:$B$2000,"mmm-yy")=TEXT(A609,"mmm-yy"))
)</f>
        <v>12472.5</v>
      </c>
      <c r="I609">
        <f>_xlfn.XLOOKUP(A609,[1]ForwardDeriv!$D:$D,[1]ForwardDeriv!$AJ:$AJ)</f>
        <v>0.44999999999999574</v>
      </c>
      <c r="J609" cm="1">
        <f t="array" ref="J609">_xlfn.XLOOKUP(TEXT(A609, "mmm-yy"), TEXT([2]GASOLINE!$B$5:$B$208, "mmm-yy"), [2]GASOLINE!$IR$5:$IR$208, "Not Found")</f>
        <v>-69.667391080251633</v>
      </c>
      <c r="K609" cm="1">
        <f t="array" ref="K609">_xlfn.XLOOKUP(TEXT(A609, "mmm-yy"), TEXT([2]GASOLINE!$B$5:$B$208, "mmm-yy"), [2]GASOLINE!$IK$5:$IK$208, "Not Found")</f>
        <v>0</v>
      </c>
      <c r="L609">
        <f t="shared" si="9"/>
        <v>0</v>
      </c>
      <c r="M609" cm="1">
        <f t="array" ref="M609">_xlfn.XLOOKUP(TEXT(A609, "mmm-yy"), TEXT([2]GASOLINE!$B$5:$B$208, "mmm-yy"), [2]GASOLINE!$C$5:$C$208, "Not Found")</f>
        <v>7141.8968147656142</v>
      </c>
      <c r="N609" cm="1">
        <f t="array" ref="N609">_xlfn.XLOOKUP(TEXT(A609, "mmm-yy"), TEXT([2]RUNS!$B$5:$B$208, "mmm-yy"), [2]RUNS!$BM$5:$BM$208, "Not Found")</f>
        <v>0.83258220243045611</v>
      </c>
    </row>
    <row r="610" spans="1:14" x14ac:dyDescent="0.25">
      <c r="A610" s="1">
        <f>'[1]Global_Spot Prices'!$B1919</f>
        <v>42857</v>
      </c>
      <c r="B610">
        <f>_xlfn.XLOOKUP(A610,'[1]Global_Spot Prices'!$B:$B,'[1]Global_Spot Prices'!$BS:$BS)</f>
        <v>10.07</v>
      </c>
      <c r="C610">
        <f>_xlfn.XLOOKUP(A610,'[1]Global_Spot Prices'!$B:$B,'[1]Global_Spot Prices'!$E:$E)</f>
        <v>50.53</v>
      </c>
      <c r="D610">
        <f>_xlfn.XLOOKUP(A610,'[1]Global_Spot Prices'!$B:$B,'[1]Global_Spot Prices'!$D:$D)</f>
        <v>49.69</v>
      </c>
      <c r="E610">
        <f>_xlfn.XLOOKUP(A610,'[1]Global_Spot Prices'!$B:$B,'[1]Global_Spot Prices'!$H:$H)</f>
        <v>48.71</v>
      </c>
      <c r="F610">
        <f>_xlfn.XLOOKUP(A610,'[1]Global_Spot Prices'!$B:$B,'[1]Global_Spot Prices'!$I:$I)</f>
        <v>60.6</v>
      </c>
      <c r="G610" cm="1">
        <f t="array" ref="G610">_xlfn.XLOOKUP(TEXT(A610, "mmm-yy"), TEXT([2]RUNS!$B$5:$B$208, "mmm-yy"), [2]RUNS!$D$5:$D$208, "Not Found")</f>
        <v>27980.173785979125</v>
      </c>
      <c r="H610" cm="1">
        <f t="array" ref="H610">SUMPRODUCT(
    --(TEXT('[3]Global Weekly Stock (EWSuez'!$B$4:$B$2000,"mmm-yy")=TEXT(A610,"mmm-yy")),
    '[3]Global Weekly Stock (EWSuez'!$E$4:$E$2000)
/
SUMPRODUCT(
    --(TEXT('[3]Global Weekly Stock (EWSuez'!$B$4:$B$2000,"mmm-yy")=TEXT(A610,"mmm-yy"))
)</f>
        <v>12472.5</v>
      </c>
      <c r="I610">
        <f>_xlfn.XLOOKUP(A610,[1]ForwardDeriv!$D:$D,[1]ForwardDeriv!$AJ:$AJ)</f>
        <v>0.44999999999999574</v>
      </c>
      <c r="J610" cm="1">
        <f t="array" ref="J610">_xlfn.XLOOKUP(TEXT(A610, "mmm-yy"), TEXT([2]GASOLINE!$B$5:$B$208, "mmm-yy"), [2]GASOLINE!$IR$5:$IR$208, "Not Found")</f>
        <v>-69.667391080251633</v>
      </c>
      <c r="K610" cm="1">
        <f t="array" ref="K610">_xlfn.XLOOKUP(TEXT(A610, "mmm-yy"), TEXT([2]GASOLINE!$B$5:$B$208, "mmm-yy"), [2]GASOLINE!$IK$5:$IK$208, "Not Found")</f>
        <v>0</v>
      </c>
      <c r="L610">
        <f t="shared" si="9"/>
        <v>0</v>
      </c>
      <c r="M610" cm="1">
        <f t="array" ref="M610">_xlfn.XLOOKUP(TEXT(A610, "mmm-yy"), TEXT([2]GASOLINE!$B$5:$B$208, "mmm-yy"), [2]GASOLINE!$C$5:$C$208, "Not Found")</f>
        <v>7141.8968147656142</v>
      </c>
      <c r="N610" cm="1">
        <f t="array" ref="N610">_xlfn.XLOOKUP(TEXT(A610, "mmm-yy"), TEXT([2]RUNS!$B$5:$B$208, "mmm-yy"), [2]RUNS!$BM$5:$BM$208, "Not Found")</f>
        <v>0.83258220243045611</v>
      </c>
    </row>
    <row r="611" spans="1:14" x14ac:dyDescent="0.25">
      <c r="A611" s="1">
        <f>'[1]Global_Spot Prices'!$B1920</f>
        <v>42858</v>
      </c>
      <c r="B611">
        <f>_xlfn.XLOOKUP(A611,'[1]Global_Spot Prices'!$B:$B,'[1]Global_Spot Prices'!$BS:$BS)</f>
        <v>10.189999999999998</v>
      </c>
      <c r="C611">
        <f>_xlfn.XLOOKUP(A611,'[1]Global_Spot Prices'!$B:$B,'[1]Global_Spot Prices'!$E:$E)</f>
        <v>49.75</v>
      </c>
      <c r="D611">
        <f>_xlfn.XLOOKUP(A611,'[1]Global_Spot Prices'!$B:$B,'[1]Global_Spot Prices'!$D:$D)</f>
        <v>48.865000000000002</v>
      </c>
      <c r="E611">
        <f>_xlfn.XLOOKUP(A611,'[1]Global_Spot Prices'!$B:$B,'[1]Global_Spot Prices'!$H:$H)</f>
        <v>47.88</v>
      </c>
      <c r="F611">
        <f>_xlfn.XLOOKUP(A611,'[1]Global_Spot Prices'!$B:$B,'[1]Global_Spot Prices'!$I:$I)</f>
        <v>59.94</v>
      </c>
      <c r="G611" cm="1">
        <f t="array" ref="G611">_xlfn.XLOOKUP(TEXT(A611, "mmm-yy"), TEXT([2]RUNS!$B$5:$B$208, "mmm-yy"), [2]RUNS!$D$5:$D$208, "Not Found")</f>
        <v>27980.173785979125</v>
      </c>
      <c r="H611" cm="1">
        <f t="array" ref="H611">SUMPRODUCT(
    --(TEXT('[3]Global Weekly Stock (EWSuez'!$B$4:$B$2000,"mmm-yy")=TEXT(A611,"mmm-yy")),
    '[3]Global Weekly Stock (EWSuez'!$E$4:$E$2000)
/
SUMPRODUCT(
    --(TEXT('[3]Global Weekly Stock (EWSuez'!$B$4:$B$2000,"mmm-yy")=TEXT(A611,"mmm-yy"))
)</f>
        <v>12472.5</v>
      </c>
      <c r="I611">
        <f>_xlfn.XLOOKUP(A611,[1]ForwardDeriv!$D:$D,[1]ForwardDeriv!$AJ:$AJ)</f>
        <v>0.46000000000000085</v>
      </c>
      <c r="J611" cm="1">
        <f t="array" ref="J611">_xlfn.XLOOKUP(TEXT(A611, "mmm-yy"), TEXT([2]GASOLINE!$B$5:$B$208, "mmm-yy"), [2]GASOLINE!$IR$5:$IR$208, "Not Found")</f>
        <v>-69.667391080251633</v>
      </c>
      <c r="K611" cm="1">
        <f t="array" ref="K611">_xlfn.XLOOKUP(TEXT(A611, "mmm-yy"), TEXT([2]GASOLINE!$B$5:$B$208, "mmm-yy"), [2]GASOLINE!$IK$5:$IK$208, "Not Found")</f>
        <v>0</v>
      </c>
      <c r="L611">
        <f t="shared" si="9"/>
        <v>0</v>
      </c>
      <c r="M611" cm="1">
        <f t="array" ref="M611">_xlfn.XLOOKUP(TEXT(A611, "mmm-yy"), TEXT([2]GASOLINE!$B$5:$B$208, "mmm-yy"), [2]GASOLINE!$C$5:$C$208, "Not Found")</f>
        <v>7141.8968147656142</v>
      </c>
      <c r="N611" cm="1">
        <f t="array" ref="N611">_xlfn.XLOOKUP(TEXT(A611, "mmm-yy"), TEXT([2]RUNS!$B$5:$B$208, "mmm-yy"), [2]RUNS!$BM$5:$BM$208, "Not Found")</f>
        <v>0.83258220243045611</v>
      </c>
    </row>
    <row r="612" spans="1:14" x14ac:dyDescent="0.25">
      <c r="A612" s="1">
        <f>'[1]Global_Spot Prices'!$B1921</f>
        <v>42859</v>
      </c>
      <c r="B612">
        <f>_xlfn.XLOOKUP(A612,'[1]Global_Spot Prices'!$B:$B,'[1]Global_Spot Prices'!$BS:$BS)</f>
        <v>9.7199999999999989</v>
      </c>
      <c r="C612">
        <f>_xlfn.XLOOKUP(A612,'[1]Global_Spot Prices'!$B:$B,'[1]Global_Spot Prices'!$E:$E)</f>
        <v>49.25</v>
      </c>
      <c r="D612">
        <f>_xlfn.XLOOKUP(A612,'[1]Global_Spot Prices'!$B:$B,'[1]Global_Spot Prices'!$D:$D)</f>
        <v>47.47</v>
      </c>
      <c r="E612">
        <f>_xlfn.XLOOKUP(A612,'[1]Global_Spot Prices'!$B:$B,'[1]Global_Spot Prices'!$H:$H)</f>
        <v>47.47</v>
      </c>
      <c r="F612">
        <f>_xlfn.XLOOKUP(A612,'[1]Global_Spot Prices'!$B:$B,'[1]Global_Spot Prices'!$I:$I)</f>
        <v>58.97</v>
      </c>
      <c r="G612" cm="1">
        <f t="array" ref="G612">_xlfn.XLOOKUP(TEXT(A612, "mmm-yy"), TEXT([2]RUNS!$B$5:$B$208, "mmm-yy"), [2]RUNS!$D$5:$D$208, "Not Found")</f>
        <v>27980.173785979125</v>
      </c>
      <c r="H612" cm="1">
        <f t="array" ref="H612">SUMPRODUCT(
    --(TEXT('[3]Global Weekly Stock (EWSuez'!$B$4:$B$2000,"mmm-yy")=TEXT(A612,"mmm-yy")),
    '[3]Global Weekly Stock (EWSuez'!$E$4:$E$2000)
/
SUMPRODUCT(
    --(TEXT('[3]Global Weekly Stock (EWSuez'!$B$4:$B$2000,"mmm-yy")=TEXT(A612,"mmm-yy"))
)</f>
        <v>12472.5</v>
      </c>
      <c r="I612">
        <f>_xlfn.XLOOKUP(A612,[1]ForwardDeriv!$D:$D,[1]ForwardDeriv!$AJ:$AJ)</f>
        <v>0.42000000000000171</v>
      </c>
      <c r="J612" cm="1">
        <f t="array" ref="J612">_xlfn.XLOOKUP(TEXT(A612, "mmm-yy"), TEXT([2]GASOLINE!$B$5:$B$208, "mmm-yy"), [2]GASOLINE!$IR$5:$IR$208, "Not Found")</f>
        <v>-69.667391080251633</v>
      </c>
      <c r="K612" cm="1">
        <f t="array" ref="K612">_xlfn.XLOOKUP(TEXT(A612, "mmm-yy"), TEXT([2]GASOLINE!$B$5:$B$208, "mmm-yy"), [2]GASOLINE!$IK$5:$IK$208, "Not Found")</f>
        <v>0</v>
      </c>
      <c r="L612">
        <f t="shared" si="9"/>
        <v>0</v>
      </c>
      <c r="M612" cm="1">
        <f t="array" ref="M612">_xlfn.XLOOKUP(TEXT(A612, "mmm-yy"), TEXT([2]GASOLINE!$B$5:$B$208, "mmm-yy"), [2]GASOLINE!$C$5:$C$208, "Not Found")</f>
        <v>7141.8968147656142</v>
      </c>
      <c r="N612" cm="1">
        <f t="array" ref="N612">_xlfn.XLOOKUP(TEXT(A612, "mmm-yy"), TEXT([2]RUNS!$B$5:$B$208, "mmm-yy"), [2]RUNS!$BM$5:$BM$208, "Not Found")</f>
        <v>0.83258220243045611</v>
      </c>
    </row>
    <row r="613" spans="1:14" x14ac:dyDescent="0.25">
      <c r="A613" s="1">
        <f>'[1]Global_Spot Prices'!$B1922</f>
        <v>42860</v>
      </c>
      <c r="B613">
        <f>_xlfn.XLOOKUP(A613,'[1]Global_Spot Prices'!$B:$B,'[1]Global_Spot Prices'!$BS:$BS)</f>
        <v>9.9600000000000009</v>
      </c>
      <c r="C613">
        <f>_xlfn.XLOOKUP(A613,'[1]Global_Spot Prices'!$B:$B,'[1]Global_Spot Prices'!$E:$E)</f>
        <v>47.8</v>
      </c>
      <c r="D613">
        <f>_xlfn.XLOOKUP(A613,'[1]Global_Spot Prices'!$B:$B,'[1]Global_Spot Prices'!$D:$D)</f>
        <v>47.734999999999999</v>
      </c>
      <c r="E613">
        <f>_xlfn.XLOOKUP(A613,'[1]Global_Spot Prices'!$B:$B,'[1]Global_Spot Prices'!$H:$H)</f>
        <v>46.88</v>
      </c>
      <c r="F613">
        <f>_xlfn.XLOOKUP(A613,'[1]Global_Spot Prices'!$B:$B,'[1]Global_Spot Prices'!$I:$I)</f>
        <v>57.76</v>
      </c>
      <c r="G613" cm="1">
        <f t="array" ref="G613">_xlfn.XLOOKUP(TEXT(A613, "mmm-yy"), TEXT([2]RUNS!$B$5:$B$208, "mmm-yy"), [2]RUNS!$D$5:$D$208, "Not Found")</f>
        <v>27980.173785979125</v>
      </c>
      <c r="H613" cm="1">
        <f t="array" ref="H613">SUMPRODUCT(
    --(TEXT('[3]Global Weekly Stock (EWSuez'!$B$4:$B$2000,"mmm-yy")=TEXT(A613,"mmm-yy")),
    '[3]Global Weekly Stock (EWSuez'!$E$4:$E$2000)
/
SUMPRODUCT(
    --(TEXT('[3]Global Weekly Stock (EWSuez'!$B$4:$B$2000,"mmm-yy")=TEXT(A613,"mmm-yy"))
)</f>
        <v>12472.5</v>
      </c>
      <c r="I613">
        <f>_xlfn.XLOOKUP(A613,[1]ForwardDeriv!$D:$D,[1]ForwardDeriv!$AJ:$AJ)</f>
        <v>0.37000000000000455</v>
      </c>
      <c r="J613" cm="1">
        <f t="array" ref="J613">_xlfn.XLOOKUP(TEXT(A613, "mmm-yy"), TEXT([2]GASOLINE!$B$5:$B$208, "mmm-yy"), [2]GASOLINE!$IR$5:$IR$208, "Not Found")</f>
        <v>-69.667391080251633</v>
      </c>
      <c r="K613" cm="1">
        <f t="array" ref="K613">_xlfn.XLOOKUP(TEXT(A613, "mmm-yy"), TEXT([2]GASOLINE!$B$5:$B$208, "mmm-yy"), [2]GASOLINE!$IK$5:$IK$208, "Not Found")</f>
        <v>0</v>
      </c>
      <c r="L613">
        <f t="shared" si="9"/>
        <v>0</v>
      </c>
      <c r="M613" cm="1">
        <f t="array" ref="M613">_xlfn.XLOOKUP(TEXT(A613, "mmm-yy"), TEXT([2]GASOLINE!$B$5:$B$208, "mmm-yy"), [2]GASOLINE!$C$5:$C$208, "Not Found")</f>
        <v>7141.8968147656142</v>
      </c>
      <c r="N613" cm="1">
        <f t="array" ref="N613">_xlfn.XLOOKUP(TEXT(A613, "mmm-yy"), TEXT([2]RUNS!$B$5:$B$208, "mmm-yy"), [2]RUNS!$BM$5:$BM$208, "Not Found")</f>
        <v>0.83258220243045611</v>
      </c>
    </row>
    <row r="614" spans="1:14" x14ac:dyDescent="0.25">
      <c r="A614" s="1">
        <f>'[1]Global_Spot Prices'!$B1923</f>
        <v>42863</v>
      </c>
      <c r="B614">
        <f>_xlfn.XLOOKUP(A614,'[1]Global_Spot Prices'!$B:$B,'[1]Global_Spot Prices'!$BS:$BS)</f>
        <v>10.399999999999999</v>
      </c>
      <c r="C614">
        <f>_xlfn.XLOOKUP(A614,'[1]Global_Spot Prices'!$B:$B,'[1]Global_Spot Prices'!$E:$E)</f>
        <v>48.5</v>
      </c>
      <c r="D614">
        <f>_xlfn.XLOOKUP(A614,'[1]Global_Spot Prices'!$B:$B,'[1]Global_Spot Prices'!$D:$D)</f>
        <v>47.064999999999998</v>
      </c>
      <c r="E614">
        <f>_xlfn.XLOOKUP(A614,'[1]Global_Spot Prices'!$B:$B,'[1]Global_Spot Prices'!$H:$H)</f>
        <v>47.44</v>
      </c>
      <c r="F614">
        <f>_xlfn.XLOOKUP(A614,'[1]Global_Spot Prices'!$B:$B,'[1]Global_Spot Prices'!$I:$I)</f>
        <v>58.9</v>
      </c>
      <c r="G614" cm="1">
        <f t="array" ref="G614">_xlfn.XLOOKUP(TEXT(A614, "mmm-yy"), TEXT([2]RUNS!$B$5:$B$208, "mmm-yy"), [2]RUNS!$D$5:$D$208, "Not Found")</f>
        <v>27980.173785979125</v>
      </c>
      <c r="H614" cm="1">
        <f t="array" ref="H614">SUMPRODUCT(
    --(TEXT('[3]Global Weekly Stock (EWSuez'!$B$4:$B$2000,"mmm-yy")=TEXT(A614,"mmm-yy")),
    '[3]Global Weekly Stock (EWSuez'!$E$4:$E$2000)
/
SUMPRODUCT(
    --(TEXT('[3]Global Weekly Stock (EWSuez'!$B$4:$B$2000,"mmm-yy")=TEXT(A614,"mmm-yy"))
)</f>
        <v>12472.5</v>
      </c>
      <c r="I614">
        <f>_xlfn.XLOOKUP(A614,[1]ForwardDeriv!$D:$D,[1]ForwardDeriv!$AJ:$AJ)</f>
        <v>0.39000000000000057</v>
      </c>
      <c r="J614" cm="1">
        <f t="array" ref="J614">_xlfn.XLOOKUP(TEXT(A614, "mmm-yy"), TEXT([2]GASOLINE!$B$5:$B$208, "mmm-yy"), [2]GASOLINE!$IR$5:$IR$208, "Not Found")</f>
        <v>-69.667391080251633</v>
      </c>
      <c r="K614" cm="1">
        <f t="array" ref="K614">_xlfn.XLOOKUP(TEXT(A614, "mmm-yy"), TEXT([2]GASOLINE!$B$5:$B$208, "mmm-yy"), [2]GASOLINE!$IK$5:$IK$208, "Not Found")</f>
        <v>0</v>
      </c>
      <c r="L614">
        <f t="shared" si="9"/>
        <v>0</v>
      </c>
      <c r="M614" cm="1">
        <f t="array" ref="M614">_xlfn.XLOOKUP(TEXT(A614, "mmm-yy"), TEXT([2]GASOLINE!$B$5:$B$208, "mmm-yy"), [2]GASOLINE!$C$5:$C$208, "Not Found")</f>
        <v>7141.8968147656142</v>
      </c>
      <c r="N614" cm="1">
        <f t="array" ref="N614">_xlfn.XLOOKUP(TEXT(A614, "mmm-yy"), TEXT([2]RUNS!$B$5:$B$208, "mmm-yy"), [2]RUNS!$BM$5:$BM$208, "Not Found")</f>
        <v>0.83258220243045611</v>
      </c>
    </row>
    <row r="615" spans="1:14" x14ac:dyDescent="0.25">
      <c r="A615" s="1">
        <f>'[1]Global_Spot Prices'!$B1924</f>
        <v>42864</v>
      </c>
      <c r="B615">
        <f>_xlfn.XLOOKUP(A615,'[1]Global_Spot Prices'!$B:$B,'[1]Global_Spot Prices'!$BS:$BS)</f>
        <v>11.340000000000003</v>
      </c>
      <c r="C615">
        <f>_xlfn.XLOOKUP(A615,'[1]Global_Spot Prices'!$B:$B,'[1]Global_Spot Prices'!$E:$E)</f>
        <v>48.4</v>
      </c>
      <c r="D615">
        <f>_xlfn.XLOOKUP(A615,'[1]Global_Spot Prices'!$B:$B,'[1]Global_Spot Prices'!$D:$D)</f>
        <v>47.405000000000001</v>
      </c>
      <c r="E615">
        <f>_xlfn.XLOOKUP(A615,'[1]Global_Spot Prices'!$B:$B,'[1]Global_Spot Prices'!$H:$H)</f>
        <v>47.05</v>
      </c>
      <c r="F615">
        <f>_xlfn.XLOOKUP(A615,'[1]Global_Spot Prices'!$B:$B,'[1]Global_Spot Prices'!$I:$I)</f>
        <v>59.74</v>
      </c>
      <c r="G615" cm="1">
        <f t="array" ref="G615">_xlfn.XLOOKUP(TEXT(A615, "mmm-yy"), TEXT([2]RUNS!$B$5:$B$208, "mmm-yy"), [2]RUNS!$D$5:$D$208, "Not Found")</f>
        <v>27980.173785979125</v>
      </c>
      <c r="H615" cm="1">
        <f t="array" ref="H615">SUMPRODUCT(
    --(TEXT('[3]Global Weekly Stock (EWSuez'!$B$4:$B$2000,"mmm-yy")=TEXT(A615,"mmm-yy")),
    '[3]Global Weekly Stock (EWSuez'!$E$4:$E$2000)
/
SUMPRODUCT(
    --(TEXT('[3]Global Weekly Stock (EWSuez'!$B$4:$B$2000,"mmm-yy")=TEXT(A615,"mmm-yy"))
)</f>
        <v>12472.5</v>
      </c>
      <c r="I615">
        <f>_xlfn.XLOOKUP(A615,[1]ForwardDeriv!$D:$D,[1]ForwardDeriv!$AJ:$AJ)</f>
        <v>0.46999999999999886</v>
      </c>
      <c r="J615" cm="1">
        <f t="array" ref="J615">_xlfn.XLOOKUP(TEXT(A615, "mmm-yy"), TEXT([2]GASOLINE!$B$5:$B$208, "mmm-yy"), [2]GASOLINE!$IR$5:$IR$208, "Not Found")</f>
        <v>-69.667391080251633</v>
      </c>
      <c r="K615" cm="1">
        <f t="array" ref="K615">_xlfn.XLOOKUP(TEXT(A615, "mmm-yy"), TEXT([2]GASOLINE!$B$5:$B$208, "mmm-yy"), [2]GASOLINE!$IK$5:$IK$208, "Not Found")</f>
        <v>0</v>
      </c>
      <c r="L615">
        <f t="shared" si="9"/>
        <v>0</v>
      </c>
      <c r="M615" cm="1">
        <f t="array" ref="M615">_xlfn.XLOOKUP(TEXT(A615, "mmm-yy"), TEXT([2]GASOLINE!$B$5:$B$208, "mmm-yy"), [2]GASOLINE!$C$5:$C$208, "Not Found")</f>
        <v>7141.8968147656142</v>
      </c>
      <c r="N615" cm="1">
        <f t="array" ref="N615">_xlfn.XLOOKUP(TEXT(A615, "mmm-yy"), TEXT([2]RUNS!$B$5:$B$208, "mmm-yy"), [2]RUNS!$BM$5:$BM$208, "Not Found")</f>
        <v>0.83258220243045611</v>
      </c>
    </row>
    <row r="616" spans="1:14" x14ac:dyDescent="0.25">
      <c r="A616" s="1">
        <f>'[1]Global_Spot Prices'!$B1925</f>
        <v>42865</v>
      </c>
      <c r="B616" t="e">
        <f>_xlfn.XLOOKUP(A616,'[1]Global_Spot Prices'!$B:$B,'[1]Global_Spot Prices'!$BS:$BS)</f>
        <v>#N/A</v>
      </c>
      <c r="C616" t="str">
        <f>_xlfn.XLOOKUP(A616,'[1]Global_Spot Prices'!$B:$B,'[1]Global_Spot Prices'!$E:$E)</f>
        <v/>
      </c>
      <c r="D616">
        <f>_xlfn.XLOOKUP(A616,'[1]Global_Spot Prices'!$B:$B,'[1]Global_Spot Prices'!$D:$D)</f>
        <v>48.79</v>
      </c>
      <c r="E616">
        <f>_xlfn.XLOOKUP(A616,'[1]Global_Spot Prices'!$B:$B,'[1]Global_Spot Prices'!$H:$H)</f>
        <v>0</v>
      </c>
      <c r="F616">
        <f>_xlfn.XLOOKUP(A616,'[1]Global_Spot Prices'!$B:$B,'[1]Global_Spot Prices'!$I:$I)</f>
        <v>0</v>
      </c>
      <c r="G616" cm="1">
        <f t="array" ref="G616">_xlfn.XLOOKUP(TEXT(A616, "mmm-yy"), TEXT([2]RUNS!$B$5:$B$208, "mmm-yy"), [2]RUNS!$D$5:$D$208, "Not Found")</f>
        <v>27980.173785979125</v>
      </c>
      <c r="H616" cm="1">
        <f t="array" ref="H616">SUMPRODUCT(
    --(TEXT('[3]Global Weekly Stock (EWSuez'!$B$4:$B$2000,"mmm-yy")=TEXT(A616,"mmm-yy")),
    '[3]Global Weekly Stock (EWSuez'!$E$4:$E$2000)
/
SUMPRODUCT(
    --(TEXT('[3]Global Weekly Stock (EWSuez'!$B$4:$B$2000,"mmm-yy")=TEXT(A616,"mmm-yy"))
)</f>
        <v>12472.5</v>
      </c>
      <c r="I616">
        <f>_xlfn.XLOOKUP(A616,[1]ForwardDeriv!$D:$D,[1]ForwardDeriv!$AJ:$AJ)</f>
        <v>0.64999999999999858</v>
      </c>
      <c r="J616" cm="1">
        <f t="array" ref="J616">_xlfn.XLOOKUP(TEXT(A616, "mmm-yy"), TEXT([2]GASOLINE!$B$5:$B$208, "mmm-yy"), [2]GASOLINE!$IR$5:$IR$208, "Not Found")</f>
        <v>-69.667391080251633</v>
      </c>
      <c r="K616" cm="1">
        <f t="array" ref="K616">_xlfn.XLOOKUP(TEXT(A616, "mmm-yy"), TEXT([2]GASOLINE!$B$5:$B$208, "mmm-yy"), [2]GASOLINE!$IK$5:$IK$208, "Not Found")</f>
        <v>0</v>
      </c>
      <c r="L616">
        <f t="shared" si="9"/>
        <v>0</v>
      </c>
      <c r="M616" cm="1">
        <f t="array" ref="M616">_xlfn.XLOOKUP(TEXT(A616, "mmm-yy"), TEXT([2]GASOLINE!$B$5:$B$208, "mmm-yy"), [2]GASOLINE!$C$5:$C$208, "Not Found")</f>
        <v>7141.8968147656142</v>
      </c>
      <c r="N616" cm="1">
        <f t="array" ref="N616">_xlfn.XLOOKUP(TEXT(A616, "mmm-yy"), TEXT([2]RUNS!$B$5:$B$208, "mmm-yy"), [2]RUNS!$BM$5:$BM$208, "Not Found")</f>
        <v>0.83258220243045611</v>
      </c>
    </row>
    <row r="617" spans="1:14" x14ac:dyDescent="0.25">
      <c r="A617" s="1">
        <f>'[1]Global_Spot Prices'!$B1926</f>
        <v>42866</v>
      </c>
      <c r="B617">
        <f>_xlfn.XLOOKUP(A617,'[1]Global_Spot Prices'!$B:$B,'[1]Global_Spot Prices'!$BS:$BS)</f>
        <v>11.695</v>
      </c>
      <c r="C617">
        <f>_xlfn.XLOOKUP(A617,'[1]Global_Spot Prices'!$B:$B,'[1]Global_Spot Prices'!$E:$E)</f>
        <v>49.655000000000001</v>
      </c>
      <c r="D617">
        <f>_xlfn.XLOOKUP(A617,'[1]Global_Spot Prices'!$B:$B,'[1]Global_Spot Prices'!$D:$D)</f>
        <v>49.73</v>
      </c>
      <c r="E617">
        <f>_xlfn.XLOOKUP(A617,'[1]Global_Spot Prices'!$B:$B,'[1]Global_Spot Prices'!$H:$H)</f>
        <v>48.38</v>
      </c>
      <c r="F617">
        <f>_xlfn.XLOOKUP(A617,'[1]Global_Spot Prices'!$B:$B,'[1]Global_Spot Prices'!$I:$I)</f>
        <v>61.35</v>
      </c>
      <c r="G617" cm="1">
        <f t="array" ref="G617">_xlfn.XLOOKUP(TEXT(A617, "mmm-yy"), TEXT([2]RUNS!$B$5:$B$208, "mmm-yy"), [2]RUNS!$D$5:$D$208, "Not Found")</f>
        <v>27980.173785979125</v>
      </c>
      <c r="H617" cm="1">
        <f t="array" ref="H617">SUMPRODUCT(
    --(TEXT('[3]Global Weekly Stock (EWSuez'!$B$4:$B$2000,"mmm-yy")=TEXT(A617,"mmm-yy")),
    '[3]Global Weekly Stock (EWSuez'!$E$4:$E$2000)
/
SUMPRODUCT(
    --(TEXT('[3]Global Weekly Stock (EWSuez'!$B$4:$B$2000,"mmm-yy")=TEXT(A617,"mmm-yy"))
)</f>
        <v>12472.5</v>
      </c>
      <c r="I617">
        <f>_xlfn.XLOOKUP(A617,[1]ForwardDeriv!$D:$D,[1]ForwardDeriv!$AJ:$AJ)</f>
        <v>0.64999999999999858</v>
      </c>
      <c r="J617" cm="1">
        <f t="array" ref="J617">_xlfn.XLOOKUP(TEXT(A617, "mmm-yy"), TEXT([2]GASOLINE!$B$5:$B$208, "mmm-yy"), [2]GASOLINE!$IR$5:$IR$208, "Not Found")</f>
        <v>-69.667391080251633</v>
      </c>
      <c r="K617" cm="1">
        <f t="array" ref="K617">_xlfn.XLOOKUP(TEXT(A617, "mmm-yy"), TEXT([2]GASOLINE!$B$5:$B$208, "mmm-yy"), [2]GASOLINE!$IK$5:$IK$208, "Not Found")</f>
        <v>0</v>
      </c>
      <c r="L617">
        <f t="shared" si="9"/>
        <v>0</v>
      </c>
      <c r="M617" cm="1">
        <f t="array" ref="M617">_xlfn.XLOOKUP(TEXT(A617, "mmm-yy"), TEXT([2]GASOLINE!$B$5:$B$208, "mmm-yy"), [2]GASOLINE!$C$5:$C$208, "Not Found")</f>
        <v>7141.8968147656142</v>
      </c>
      <c r="N617" cm="1">
        <f t="array" ref="N617">_xlfn.XLOOKUP(TEXT(A617, "mmm-yy"), TEXT([2]RUNS!$B$5:$B$208, "mmm-yy"), [2]RUNS!$BM$5:$BM$208, "Not Found")</f>
        <v>0.83258220243045611</v>
      </c>
    </row>
    <row r="618" spans="1:14" x14ac:dyDescent="0.25">
      <c r="A618" s="1">
        <f>'[1]Global_Spot Prices'!$B1927</f>
        <v>42867</v>
      </c>
      <c r="B618">
        <f>_xlfn.XLOOKUP(A618,'[1]Global_Spot Prices'!$B:$B,'[1]Global_Spot Prices'!$BS:$BS)</f>
        <v>11.620000000000005</v>
      </c>
      <c r="C618">
        <f>_xlfn.XLOOKUP(A618,'[1]Global_Spot Prices'!$B:$B,'[1]Global_Spot Prices'!$E:$E)</f>
        <v>49.51</v>
      </c>
      <c r="D618">
        <f>_xlfn.XLOOKUP(A618,'[1]Global_Spot Prices'!$B:$B,'[1]Global_Spot Prices'!$D:$D)</f>
        <v>49.47</v>
      </c>
      <c r="E618">
        <f>_xlfn.XLOOKUP(A618,'[1]Global_Spot Prices'!$B:$B,'[1]Global_Spot Prices'!$H:$H)</f>
        <v>48.08</v>
      </c>
      <c r="F618">
        <f>_xlfn.XLOOKUP(A618,'[1]Global_Spot Prices'!$B:$B,'[1]Global_Spot Prices'!$I:$I)</f>
        <v>61.13</v>
      </c>
      <c r="G618" cm="1">
        <f t="array" ref="G618">_xlfn.XLOOKUP(TEXT(A618, "mmm-yy"), TEXT([2]RUNS!$B$5:$B$208, "mmm-yy"), [2]RUNS!$D$5:$D$208, "Not Found")</f>
        <v>27980.173785979125</v>
      </c>
      <c r="H618" cm="1">
        <f t="array" ref="H618">SUMPRODUCT(
    --(TEXT('[3]Global Weekly Stock (EWSuez'!$B$4:$B$2000,"mmm-yy")=TEXT(A618,"mmm-yy")),
    '[3]Global Weekly Stock (EWSuez'!$E$4:$E$2000)
/
SUMPRODUCT(
    --(TEXT('[3]Global Weekly Stock (EWSuez'!$B$4:$B$2000,"mmm-yy")=TEXT(A618,"mmm-yy"))
)</f>
        <v>12472.5</v>
      </c>
      <c r="I618">
        <f>_xlfn.XLOOKUP(A618,[1]ForwardDeriv!$D:$D,[1]ForwardDeriv!$AJ:$AJ)</f>
        <v>0.59999999999999432</v>
      </c>
      <c r="J618" cm="1">
        <f t="array" ref="J618">_xlfn.XLOOKUP(TEXT(A618, "mmm-yy"), TEXT([2]GASOLINE!$B$5:$B$208, "mmm-yy"), [2]GASOLINE!$IR$5:$IR$208, "Not Found")</f>
        <v>-69.667391080251633</v>
      </c>
      <c r="K618" cm="1">
        <f t="array" ref="K618">_xlfn.XLOOKUP(TEXT(A618, "mmm-yy"), TEXT([2]GASOLINE!$B$5:$B$208, "mmm-yy"), [2]GASOLINE!$IK$5:$IK$208, "Not Found")</f>
        <v>0</v>
      </c>
      <c r="L618">
        <f t="shared" si="9"/>
        <v>0</v>
      </c>
      <c r="M618" cm="1">
        <f t="array" ref="M618">_xlfn.XLOOKUP(TEXT(A618, "mmm-yy"), TEXT([2]GASOLINE!$B$5:$B$208, "mmm-yy"), [2]GASOLINE!$C$5:$C$208, "Not Found")</f>
        <v>7141.8968147656142</v>
      </c>
      <c r="N618" cm="1">
        <f t="array" ref="N618">_xlfn.XLOOKUP(TEXT(A618, "mmm-yy"), TEXT([2]RUNS!$B$5:$B$208, "mmm-yy"), [2]RUNS!$BM$5:$BM$208, "Not Found")</f>
        <v>0.83258220243045611</v>
      </c>
    </row>
    <row r="619" spans="1:14" x14ac:dyDescent="0.25">
      <c r="A619" s="1">
        <f>'[1]Global_Spot Prices'!$B1928</f>
        <v>42870</v>
      </c>
      <c r="B619">
        <f>_xlfn.XLOOKUP(A619,'[1]Global_Spot Prices'!$B:$B,'[1]Global_Spot Prices'!$BS:$BS)</f>
        <v>11.630000000000003</v>
      </c>
      <c r="C619">
        <f>_xlfn.XLOOKUP(A619,'[1]Global_Spot Prices'!$B:$B,'[1]Global_Spot Prices'!$E:$E)</f>
        <v>50.91</v>
      </c>
      <c r="D619">
        <f>_xlfn.XLOOKUP(A619,'[1]Global_Spot Prices'!$B:$B,'[1]Global_Spot Prices'!$D:$D)</f>
        <v>51.39</v>
      </c>
      <c r="E619">
        <f>_xlfn.XLOOKUP(A619,'[1]Global_Spot Prices'!$B:$B,'[1]Global_Spot Prices'!$H:$H)</f>
        <v>49.6</v>
      </c>
      <c r="F619">
        <f>_xlfn.XLOOKUP(A619,'[1]Global_Spot Prices'!$B:$B,'[1]Global_Spot Prices'!$I:$I)</f>
        <v>62.54</v>
      </c>
      <c r="G619" cm="1">
        <f t="array" ref="G619">_xlfn.XLOOKUP(TEXT(A619, "mmm-yy"), TEXT([2]RUNS!$B$5:$B$208, "mmm-yy"), [2]RUNS!$D$5:$D$208, "Not Found")</f>
        <v>27980.173785979125</v>
      </c>
      <c r="H619" cm="1">
        <f t="array" ref="H619">SUMPRODUCT(
    --(TEXT('[3]Global Weekly Stock (EWSuez'!$B$4:$B$2000,"mmm-yy")=TEXT(A619,"mmm-yy")),
    '[3]Global Weekly Stock (EWSuez'!$E$4:$E$2000)
/
SUMPRODUCT(
    --(TEXT('[3]Global Weekly Stock (EWSuez'!$B$4:$B$2000,"mmm-yy")=TEXT(A619,"mmm-yy"))
)</f>
        <v>12472.5</v>
      </c>
      <c r="I619">
        <f>_xlfn.XLOOKUP(A619,[1]ForwardDeriv!$D:$D,[1]ForwardDeriv!$AJ:$AJ)</f>
        <v>0.58999999999999631</v>
      </c>
      <c r="J619" cm="1">
        <f t="array" ref="J619">_xlfn.XLOOKUP(TEXT(A619, "mmm-yy"), TEXT([2]GASOLINE!$B$5:$B$208, "mmm-yy"), [2]GASOLINE!$IR$5:$IR$208, "Not Found")</f>
        <v>-69.667391080251633</v>
      </c>
      <c r="K619" cm="1">
        <f t="array" ref="K619">_xlfn.XLOOKUP(TEXT(A619, "mmm-yy"), TEXT([2]GASOLINE!$B$5:$B$208, "mmm-yy"), [2]GASOLINE!$IK$5:$IK$208, "Not Found")</f>
        <v>0</v>
      </c>
      <c r="L619">
        <f t="shared" si="9"/>
        <v>0</v>
      </c>
      <c r="M619" cm="1">
        <f t="array" ref="M619">_xlfn.XLOOKUP(TEXT(A619, "mmm-yy"), TEXT([2]GASOLINE!$B$5:$B$208, "mmm-yy"), [2]GASOLINE!$C$5:$C$208, "Not Found")</f>
        <v>7141.8968147656142</v>
      </c>
      <c r="N619" cm="1">
        <f t="array" ref="N619">_xlfn.XLOOKUP(TEXT(A619, "mmm-yy"), TEXT([2]RUNS!$B$5:$B$208, "mmm-yy"), [2]RUNS!$BM$5:$BM$208, "Not Found")</f>
        <v>0.83258220243045611</v>
      </c>
    </row>
    <row r="620" spans="1:14" x14ac:dyDescent="0.25">
      <c r="A620" s="1">
        <f>'[1]Global_Spot Prices'!$B1929</f>
        <v>42871</v>
      </c>
      <c r="B620">
        <f>_xlfn.XLOOKUP(A620,'[1]Global_Spot Prices'!$B:$B,'[1]Global_Spot Prices'!$BS:$BS)</f>
        <v>10.89</v>
      </c>
      <c r="C620">
        <f>_xlfn.XLOOKUP(A620,'[1]Global_Spot Prices'!$B:$B,'[1]Global_Spot Prices'!$E:$E)</f>
        <v>51.01</v>
      </c>
      <c r="D620">
        <f>_xlfn.XLOOKUP(A620,'[1]Global_Spot Prices'!$B:$B,'[1]Global_Spot Prices'!$D:$D)</f>
        <v>51.17</v>
      </c>
      <c r="E620">
        <f>_xlfn.XLOOKUP(A620,'[1]Global_Spot Prices'!$B:$B,'[1]Global_Spot Prices'!$H:$H)</f>
        <v>49.32</v>
      </c>
      <c r="F620">
        <f>_xlfn.XLOOKUP(A620,'[1]Global_Spot Prices'!$B:$B,'[1]Global_Spot Prices'!$I:$I)</f>
        <v>61.9</v>
      </c>
      <c r="G620" cm="1">
        <f t="array" ref="G620">_xlfn.XLOOKUP(TEXT(A620, "mmm-yy"), TEXT([2]RUNS!$B$5:$B$208, "mmm-yy"), [2]RUNS!$D$5:$D$208, "Not Found")</f>
        <v>27980.173785979125</v>
      </c>
      <c r="H620" cm="1">
        <f t="array" ref="H620">SUMPRODUCT(
    --(TEXT('[3]Global Weekly Stock (EWSuez'!$B$4:$B$2000,"mmm-yy")=TEXT(A620,"mmm-yy")),
    '[3]Global Weekly Stock (EWSuez'!$E$4:$E$2000)
/
SUMPRODUCT(
    --(TEXT('[3]Global Weekly Stock (EWSuez'!$B$4:$B$2000,"mmm-yy")=TEXT(A620,"mmm-yy"))
)</f>
        <v>12472.5</v>
      </c>
      <c r="I620">
        <f>_xlfn.XLOOKUP(A620,[1]ForwardDeriv!$D:$D,[1]ForwardDeriv!$AJ:$AJ)</f>
        <v>0.49000000000000199</v>
      </c>
      <c r="J620" cm="1">
        <f t="array" ref="J620">_xlfn.XLOOKUP(TEXT(A620, "mmm-yy"), TEXT([2]GASOLINE!$B$5:$B$208, "mmm-yy"), [2]GASOLINE!$IR$5:$IR$208, "Not Found")</f>
        <v>-69.667391080251633</v>
      </c>
      <c r="K620" cm="1">
        <f t="array" ref="K620">_xlfn.XLOOKUP(TEXT(A620, "mmm-yy"), TEXT([2]GASOLINE!$B$5:$B$208, "mmm-yy"), [2]GASOLINE!$IK$5:$IK$208, "Not Found")</f>
        <v>0</v>
      </c>
      <c r="L620">
        <f t="shared" si="9"/>
        <v>0</v>
      </c>
      <c r="M620" cm="1">
        <f t="array" ref="M620">_xlfn.XLOOKUP(TEXT(A620, "mmm-yy"), TEXT([2]GASOLINE!$B$5:$B$208, "mmm-yy"), [2]GASOLINE!$C$5:$C$208, "Not Found")</f>
        <v>7141.8968147656142</v>
      </c>
      <c r="N620" cm="1">
        <f t="array" ref="N620">_xlfn.XLOOKUP(TEXT(A620, "mmm-yy"), TEXT([2]RUNS!$B$5:$B$208, "mmm-yy"), [2]RUNS!$BM$5:$BM$208, "Not Found")</f>
        <v>0.83258220243045611</v>
      </c>
    </row>
    <row r="621" spans="1:14" x14ac:dyDescent="0.25">
      <c r="A621" s="1">
        <f>'[1]Global_Spot Prices'!$B1930</f>
        <v>42872</v>
      </c>
      <c r="B621">
        <f>_xlfn.XLOOKUP(A621,'[1]Global_Spot Prices'!$B:$B,'[1]Global_Spot Prices'!$BS:$BS)</f>
        <v>11.380000000000003</v>
      </c>
      <c r="C621">
        <f>_xlfn.XLOOKUP(A621,'[1]Global_Spot Prices'!$B:$B,'[1]Global_Spot Prices'!$E:$E)</f>
        <v>50.41</v>
      </c>
      <c r="D621">
        <f>_xlfn.XLOOKUP(A621,'[1]Global_Spot Prices'!$B:$B,'[1]Global_Spot Prices'!$D:$D)</f>
        <v>51.585000000000001</v>
      </c>
      <c r="E621">
        <f>_xlfn.XLOOKUP(A621,'[1]Global_Spot Prices'!$B:$B,'[1]Global_Spot Prices'!$H:$H)</f>
        <v>48.65</v>
      </c>
      <c r="F621">
        <f>_xlfn.XLOOKUP(A621,'[1]Global_Spot Prices'!$B:$B,'[1]Global_Spot Prices'!$I:$I)</f>
        <v>61.79</v>
      </c>
      <c r="G621" cm="1">
        <f t="array" ref="G621">_xlfn.XLOOKUP(TEXT(A621, "mmm-yy"), TEXT([2]RUNS!$B$5:$B$208, "mmm-yy"), [2]RUNS!$D$5:$D$208, "Not Found")</f>
        <v>27980.173785979125</v>
      </c>
      <c r="H621" cm="1">
        <f t="array" ref="H621">SUMPRODUCT(
    --(TEXT('[3]Global Weekly Stock (EWSuez'!$B$4:$B$2000,"mmm-yy")=TEXT(A621,"mmm-yy")),
    '[3]Global Weekly Stock (EWSuez'!$E$4:$E$2000)
/
SUMPRODUCT(
    --(TEXT('[3]Global Weekly Stock (EWSuez'!$B$4:$B$2000,"mmm-yy")=TEXT(A621,"mmm-yy"))
)</f>
        <v>12472.5</v>
      </c>
      <c r="I621">
        <f>_xlfn.XLOOKUP(A621,[1]ForwardDeriv!$D:$D,[1]ForwardDeriv!$AJ:$AJ)</f>
        <v>0.54999999999999716</v>
      </c>
      <c r="J621" cm="1">
        <f t="array" ref="J621">_xlfn.XLOOKUP(TEXT(A621, "mmm-yy"), TEXT([2]GASOLINE!$B$5:$B$208, "mmm-yy"), [2]GASOLINE!$IR$5:$IR$208, "Not Found")</f>
        <v>-69.667391080251633</v>
      </c>
      <c r="K621" cm="1">
        <f t="array" ref="K621">_xlfn.XLOOKUP(TEXT(A621, "mmm-yy"), TEXT([2]GASOLINE!$B$5:$B$208, "mmm-yy"), [2]GASOLINE!$IK$5:$IK$208, "Not Found")</f>
        <v>0</v>
      </c>
      <c r="L621">
        <f t="shared" si="9"/>
        <v>0</v>
      </c>
      <c r="M621" cm="1">
        <f t="array" ref="M621">_xlfn.XLOOKUP(TEXT(A621, "mmm-yy"), TEXT([2]GASOLINE!$B$5:$B$208, "mmm-yy"), [2]GASOLINE!$C$5:$C$208, "Not Found")</f>
        <v>7141.8968147656142</v>
      </c>
      <c r="N621" cm="1">
        <f t="array" ref="N621">_xlfn.XLOOKUP(TEXT(A621, "mmm-yy"), TEXT([2]RUNS!$B$5:$B$208, "mmm-yy"), [2]RUNS!$BM$5:$BM$208, "Not Found")</f>
        <v>0.83258220243045611</v>
      </c>
    </row>
    <row r="622" spans="1:14" x14ac:dyDescent="0.25">
      <c r="A622" s="1">
        <f>'[1]Global_Spot Prices'!$B1931</f>
        <v>42873</v>
      </c>
      <c r="B622">
        <f>_xlfn.XLOOKUP(A622,'[1]Global_Spot Prices'!$B:$B,'[1]Global_Spot Prices'!$BS:$BS)</f>
        <v>11.050000000000004</v>
      </c>
      <c r="C622">
        <f>_xlfn.XLOOKUP(A622,'[1]Global_Spot Prices'!$B:$B,'[1]Global_Spot Prices'!$E:$E)</f>
        <v>51.01</v>
      </c>
      <c r="D622">
        <f>_xlfn.XLOOKUP(A622,'[1]Global_Spot Prices'!$B:$B,'[1]Global_Spot Prices'!$D:$D)</f>
        <v>51.82</v>
      </c>
      <c r="E622">
        <f>_xlfn.XLOOKUP(A622,'[1]Global_Spot Prices'!$B:$B,'[1]Global_Spot Prices'!$H:$H)</f>
        <v>48.55</v>
      </c>
      <c r="F622">
        <f>_xlfn.XLOOKUP(A622,'[1]Global_Spot Prices'!$B:$B,'[1]Global_Spot Prices'!$I:$I)</f>
        <v>62.06</v>
      </c>
      <c r="G622" cm="1">
        <f t="array" ref="G622">_xlfn.XLOOKUP(TEXT(A622, "mmm-yy"), TEXT([2]RUNS!$B$5:$B$208, "mmm-yy"), [2]RUNS!$D$5:$D$208, "Not Found")</f>
        <v>27980.173785979125</v>
      </c>
      <c r="H622" cm="1">
        <f t="array" ref="H622">SUMPRODUCT(
    --(TEXT('[3]Global Weekly Stock (EWSuez'!$B$4:$B$2000,"mmm-yy")=TEXT(A622,"mmm-yy")),
    '[3]Global Weekly Stock (EWSuez'!$E$4:$E$2000)
/
SUMPRODUCT(
    --(TEXT('[3]Global Weekly Stock (EWSuez'!$B$4:$B$2000,"mmm-yy")=TEXT(A622,"mmm-yy"))
)</f>
        <v>12472.5</v>
      </c>
      <c r="I622">
        <f>_xlfn.XLOOKUP(A622,[1]ForwardDeriv!$D:$D,[1]ForwardDeriv!$AJ:$AJ)</f>
        <v>0.53999999999999915</v>
      </c>
      <c r="J622" cm="1">
        <f t="array" ref="J622">_xlfn.XLOOKUP(TEXT(A622, "mmm-yy"), TEXT([2]GASOLINE!$B$5:$B$208, "mmm-yy"), [2]GASOLINE!$IR$5:$IR$208, "Not Found")</f>
        <v>-69.667391080251633</v>
      </c>
      <c r="K622" cm="1">
        <f t="array" ref="K622">_xlfn.XLOOKUP(TEXT(A622, "mmm-yy"), TEXT([2]GASOLINE!$B$5:$B$208, "mmm-yy"), [2]GASOLINE!$IK$5:$IK$208, "Not Found")</f>
        <v>0</v>
      </c>
      <c r="L622">
        <f t="shared" si="9"/>
        <v>0</v>
      </c>
      <c r="M622" cm="1">
        <f t="array" ref="M622">_xlfn.XLOOKUP(TEXT(A622, "mmm-yy"), TEXT([2]GASOLINE!$B$5:$B$208, "mmm-yy"), [2]GASOLINE!$C$5:$C$208, "Not Found")</f>
        <v>7141.8968147656142</v>
      </c>
      <c r="N622" cm="1">
        <f t="array" ref="N622">_xlfn.XLOOKUP(TEXT(A622, "mmm-yy"), TEXT([2]RUNS!$B$5:$B$208, "mmm-yy"), [2]RUNS!$BM$5:$BM$208, "Not Found")</f>
        <v>0.83258220243045611</v>
      </c>
    </row>
    <row r="623" spans="1:14" x14ac:dyDescent="0.25">
      <c r="A623" s="1">
        <f>'[1]Global_Spot Prices'!$B1932</f>
        <v>42874</v>
      </c>
      <c r="B623">
        <f>_xlfn.XLOOKUP(A623,'[1]Global_Spot Prices'!$B:$B,'[1]Global_Spot Prices'!$BS:$BS)</f>
        <v>11.620000000000005</v>
      </c>
      <c r="C623">
        <f>_xlfn.XLOOKUP(A623,'[1]Global_Spot Prices'!$B:$B,'[1]Global_Spot Prices'!$E:$E)</f>
        <v>52.05</v>
      </c>
      <c r="D623">
        <f>_xlfn.XLOOKUP(A623,'[1]Global_Spot Prices'!$B:$B,'[1]Global_Spot Prices'!$D:$D)</f>
        <v>52.79</v>
      </c>
      <c r="E623">
        <f>_xlfn.XLOOKUP(A623,'[1]Global_Spot Prices'!$B:$B,'[1]Global_Spot Prices'!$H:$H)</f>
        <v>49.56</v>
      </c>
      <c r="F623">
        <f>_xlfn.XLOOKUP(A623,'[1]Global_Spot Prices'!$B:$B,'[1]Global_Spot Prices'!$I:$I)</f>
        <v>63.67</v>
      </c>
      <c r="G623" cm="1">
        <f t="array" ref="G623">_xlfn.XLOOKUP(TEXT(A623, "mmm-yy"), TEXT([2]RUNS!$B$5:$B$208, "mmm-yy"), [2]RUNS!$D$5:$D$208, "Not Found")</f>
        <v>27980.173785979125</v>
      </c>
      <c r="H623" cm="1">
        <f t="array" ref="H623">SUMPRODUCT(
    --(TEXT('[3]Global Weekly Stock (EWSuez'!$B$4:$B$2000,"mmm-yy")=TEXT(A623,"mmm-yy")),
    '[3]Global Weekly Stock (EWSuez'!$E$4:$E$2000)
/
SUMPRODUCT(
    --(TEXT('[3]Global Weekly Stock (EWSuez'!$B$4:$B$2000,"mmm-yy")=TEXT(A623,"mmm-yy"))
)</f>
        <v>12472.5</v>
      </c>
      <c r="I623">
        <f>_xlfn.XLOOKUP(A623,[1]ForwardDeriv!$D:$D,[1]ForwardDeriv!$AJ:$AJ)</f>
        <v>0.57999999999999829</v>
      </c>
      <c r="J623" cm="1">
        <f t="array" ref="J623">_xlfn.XLOOKUP(TEXT(A623, "mmm-yy"), TEXT([2]GASOLINE!$B$5:$B$208, "mmm-yy"), [2]GASOLINE!$IR$5:$IR$208, "Not Found")</f>
        <v>-69.667391080251633</v>
      </c>
      <c r="K623" cm="1">
        <f t="array" ref="K623">_xlfn.XLOOKUP(TEXT(A623, "mmm-yy"), TEXT([2]GASOLINE!$B$5:$B$208, "mmm-yy"), [2]GASOLINE!$IK$5:$IK$208, "Not Found")</f>
        <v>0</v>
      </c>
      <c r="L623">
        <f t="shared" si="9"/>
        <v>0</v>
      </c>
      <c r="M623" cm="1">
        <f t="array" ref="M623">_xlfn.XLOOKUP(TEXT(A623, "mmm-yy"), TEXT([2]GASOLINE!$B$5:$B$208, "mmm-yy"), [2]GASOLINE!$C$5:$C$208, "Not Found")</f>
        <v>7141.8968147656142</v>
      </c>
      <c r="N623" cm="1">
        <f t="array" ref="N623">_xlfn.XLOOKUP(TEXT(A623, "mmm-yy"), TEXT([2]RUNS!$B$5:$B$208, "mmm-yy"), [2]RUNS!$BM$5:$BM$208, "Not Found")</f>
        <v>0.83258220243045611</v>
      </c>
    </row>
    <row r="624" spans="1:14" x14ac:dyDescent="0.25">
      <c r="A624" s="1">
        <f>'[1]Global_Spot Prices'!$B1933</f>
        <v>42877</v>
      </c>
      <c r="B624">
        <f>_xlfn.XLOOKUP(A624,'[1]Global_Spot Prices'!$B:$B,'[1]Global_Spot Prices'!$BS:$BS)</f>
        <v>11.700000000000003</v>
      </c>
      <c r="C624">
        <f>_xlfn.XLOOKUP(A624,'[1]Global_Spot Prices'!$B:$B,'[1]Global_Spot Prices'!$E:$E)</f>
        <v>52.78</v>
      </c>
      <c r="D624">
        <f>_xlfn.XLOOKUP(A624,'[1]Global_Spot Prices'!$B:$B,'[1]Global_Spot Prices'!$D:$D)</f>
        <v>53.384999999999998</v>
      </c>
      <c r="E624">
        <f>_xlfn.XLOOKUP(A624,'[1]Global_Spot Prices'!$B:$B,'[1]Global_Spot Prices'!$H:$H)</f>
        <v>50.25</v>
      </c>
      <c r="F624">
        <f>_xlfn.XLOOKUP(A624,'[1]Global_Spot Prices'!$B:$B,'[1]Global_Spot Prices'!$I:$I)</f>
        <v>64.48</v>
      </c>
      <c r="G624" cm="1">
        <f t="array" ref="G624">_xlfn.XLOOKUP(TEXT(A624, "mmm-yy"), TEXT([2]RUNS!$B$5:$B$208, "mmm-yy"), [2]RUNS!$D$5:$D$208, "Not Found")</f>
        <v>27980.173785979125</v>
      </c>
      <c r="H624" cm="1">
        <f t="array" ref="H624">SUMPRODUCT(
    --(TEXT('[3]Global Weekly Stock (EWSuez'!$B$4:$B$2000,"mmm-yy")=TEXT(A624,"mmm-yy")),
    '[3]Global Weekly Stock (EWSuez'!$E$4:$E$2000)
/
SUMPRODUCT(
    --(TEXT('[3]Global Weekly Stock (EWSuez'!$B$4:$B$2000,"mmm-yy")=TEXT(A624,"mmm-yy"))
)</f>
        <v>12472.5</v>
      </c>
      <c r="I624">
        <f>_xlfn.XLOOKUP(A624,[1]ForwardDeriv!$D:$D,[1]ForwardDeriv!$AJ:$AJ)</f>
        <v>0.64999999999999858</v>
      </c>
      <c r="J624" cm="1">
        <f t="array" ref="J624">_xlfn.XLOOKUP(TEXT(A624, "mmm-yy"), TEXT([2]GASOLINE!$B$5:$B$208, "mmm-yy"), [2]GASOLINE!$IR$5:$IR$208, "Not Found")</f>
        <v>-69.667391080251633</v>
      </c>
      <c r="K624" cm="1">
        <f t="array" ref="K624">_xlfn.XLOOKUP(TEXT(A624, "mmm-yy"), TEXT([2]GASOLINE!$B$5:$B$208, "mmm-yy"), [2]GASOLINE!$IK$5:$IK$208, "Not Found")</f>
        <v>0</v>
      </c>
      <c r="L624">
        <f t="shared" si="9"/>
        <v>0</v>
      </c>
      <c r="M624" cm="1">
        <f t="array" ref="M624">_xlfn.XLOOKUP(TEXT(A624, "mmm-yy"), TEXT([2]GASOLINE!$B$5:$B$208, "mmm-yy"), [2]GASOLINE!$C$5:$C$208, "Not Found")</f>
        <v>7141.8968147656142</v>
      </c>
      <c r="N624" cm="1">
        <f t="array" ref="N624">_xlfn.XLOOKUP(TEXT(A624, "mmm-yy"), TEXT([2]RUNS!$B$5:$B$208, "mmm-yy"), [2]RUNS!$BM$5:$BM$208, "Not Found")</f>
        <v>0.83258220243045611</v>
      </c>
    </row>
    <row r="625" spans="1:14" x14ac:dyDescent="0.25">
      <c r="A625" s="1">
        <f>'[1]Global_Spot Prices'!$B1934</f>
        <v>42878</v>
      </c>
      <c r="B625">
        <f>_xlfn.XLOOKUP(A625,'[1]Global_Spot Prices'!$B:$B,'[1]Global_Spot Prices'!$BS:$BS)</f>
        <v>11.310000000000002</v>
      </c>
      <c r="C625">
        <f>_xlfn.XLOOKUP(A625,'[1]Global_Spot Prices'!$B:$B,'[1]Global_Spot Prices'!$E:$E)</f>
        <v>52.3</v>
      </c>
      <c r="D625">
        <f>_xlfn.XLOOKUP(A625,'[1]Global_Spot Prices'!$B:$B,'[1]Global_Spot Prices'!$D:$D)</f>
        <v>53.424999999999997</v>
      </c>
      <c r="E625">
        <f>_xlfn.XLOOKUP(A625,'[1]Global_Spot Prices'!$B:$B,'[1]Global_Spot Prices'!$H:$H)</f>
        <v>49.77</v>
      </c>
      <c r="F625">
        <f>_xlfn.XLOOKUP(A625,'[1]Global_Spot Prices'!$B:$B,'[1]Global_Spot Prices'!$I:$I)</f>
        <v>63.61</v>
      </c>
      <c r="G625" cm="1">
        <f t="array" ref="G625">_xlfn.XLOOKUP(TEXT(A625, "mmm-yy"), TEXT([2]RUNS!$B$5:$B$208, "mmm-yy"), [2]RUNS!$D$5:$D$208, "Not Found")</f>
        <v>27980.173785979125</v>
      </c>
      <c r="H625" cm="1">
        <f t="array" ref="H625">SUMPRODUCT(
    --(TEXT('[3]Global Weekly Stock (EWSuez'!$B$4:$B$2000,"mmm-yy")=TEXT(A625,"mmm-yy")),
    '[3]Global Weekly Stock (EWSuez'!$E$4:$E$2000)
/
SUMPRODUCT(
    --(TEXT('[3]Global Weekly Stock (EWSuez'!$B$4:$B$2000,"mmm-yy")=TEXT(A625,"mmm-yy"))
)</f>
        <v>12472.5</v>
      </c>
      <c r="I625">
        <f>_xlfn.XLOOKUP(A625,[1]ForwardDeriv!$D:$D,[1]ForwardDeriv!$AJ:$AJ)</f>
        <v>0.60000000000000142</v>
      </c>
      <c r="J625" cm="1">
        <f t="array" ref="J625">_xlfn.XLOOKUP(TEXT(A625, "mmm-yy"), TEXT([2]GASOLINE!$B$5:$B$208, "mmm-yy"), [2]GASOLINE!$IR$5:$IR$208, "Not Found")</f>
        <v>-69.667391080251633</v>
      </c>
      <c r="K625" cm="1">
        <f t="array" ref="K625">_xlfn.XLOOKUP(TEXT(A625, "mmm-yy"), TEXT([2]GASOLINE!$B$5:$B$208, "mmm-yy"), [2]GASOLINE!$IK$5:$IK$208, "Not Found")</f>
        <v>0</v>
      </c>
      <c r="L625">
        <f t="shared" si="9"/>
        <v>0</v>
      </c>
      <c r="M625" cm="1">
        <f t="array" ref="M625">_xlfn.XLOOKUP(TEXT(A625, "mmm-yy"), TEXT([2]GASOLINE!$B$5:$B$208, "mmm-yy"), [2]GASOLINE!$C$5:$C$208, "Not Found")</f>
        <v>7141.8968147656142</v>
      </c>
      <c r="N625" cm="1">
        <f t="array" ref="N625">_xlfn.XLOOKUP(TEXT(A625, "mmm-yy"), TEXT([2]RUNS!$B$5:$B$208, "mmm-yy"), [2]RUNS!$BM$5:$BM$208, "Not Found")</f>
        <v>0.83258220243045611</v>
      </c>
    </row>
    <row r="626" spans="1:14" x14ac:dyDescent="0.25">
      <c r="A626" s="1">
        <f>'[1]Global_Spot Prices'!$B1935</f>
        <v>42879</v>
      </c>
      <c r="B626">
        <f>_xlfn.XLOOKUP(A626,'[1]Global_Spot Prices'!$B:$B,'[1]Global_Spot Prices'!$BS:$BS)</f>
        <v>11.270000000000003</v>
      </c>
      <c r="C626">
        <f>_xlfn.XLOOKUP(A626,'[1]Global_Spot Prices'!$B:$B,'[1]Global_Spot Prices'!$E:$E)</f>
        <v>53.15</v>
      </c>
      <c r="D626">
        <f>_xlfn.XLOOKUP(A626,'[1]Global_Spot Prices'!$B:$B,'[1]Global_Spot Prices'!$D:$D)</f>
        <v>53.524999999999999</v>
      </c>
      <c r="E626">
        <f>_xlfn.XLOOKUP(A626,'[1]Global_Spot Prices'!$B:$B,'[1]Global_Spot Prices'!$H:$H)</f>
        <v>50.22</v>
      </c>
      <c r="F626">
        <f>_xlfn.XLOOKUP(A626,'[1]Global_Spot Prices'!$B:$B,'[1]Global_Spot Prices'!$I:$I)</f>
        <v>64.42</v>
      </c>
      <c r="G626" cm="1">
        <f t="array" ref="G626">_xlfn.XLOOKUP(TEXT(A626, "mmm-yy"), TEXT([2]RUNS!$B$5:$B$208, "mmm-yy"), [2]RUNS!$D$5:$D$208, "Not Found")</f>
        <v>27980.173785979125</v>
      </c>
      <c r="H626" cm="1">
        <f t="array" ref="H626">SUMPRODUCT(
    --(TEXT('[3]Global Weekly Stock (EWSuez'!$B$4:$B$2000,"mmm-yy")=TEXT(A626,"mmm-yy")),
    '[3]Global Weekly Stock (EWSuez'!$E$4:$E$2000)
/
SUMPRODUCT(
    --(TEXT('[3]Global Weekly Stock (EWSuez'!$B$4:$B$2000,"mmm-yy")=TEXT(A626,"mmm-yy"))
)</f>
        <v>12472.5</v>
      </c>
      <c r="I626">
        <f>_xlfn.XLOOKUP(A626,[1]ForwardDeriv!$D:$D,[1]ForwardDeriv!$AJ:$AJ)</f>
        <v>0.60999999999999943</v>
      </c>
      <c r="J626" cm="1">
        <f t="array" ref="J626">_xlfn.XLOOKUP(TEXT(A626, "mmm-yy"), TEXT([2]GASOLINE!$B$5:$B$208, "mmm-yy"), [2]GASOLINE!$IR$5:$IR$208, "Not Found")</f>
        <v>-69.667391080251633</v>
      </c>
      <c r="K626" cm="1">
        <f t="array" ref="K626">_xlfn.XLOOKUP(TEXT(A626, "mmm-yy"), TEXT([2]GASOLINE!$B$5:$B$208, "mmm-yy"), [2]GASOLINE!$IK$5:$IK$208, "Not Found")</f>
        <v>0</v>
      </c>
      <c r="L626">
        <f t="shared" si="9"/>
        <v>0</v>
      </c>
      <c r="M626" cm="1">
        <f t="array" ref="M626">_xlfn.XLOOKUP(TEXT(A626, "mmm-yy"), TEXT([2]GASOLINE!$B$5:$B$208, "mmm-yy"), [2]GASOLINE!$C$5:$C$208, "Not Found")</f>
        <v>7141.8968147656142</v>
      </c>
      <c r="N626" cm="1">
        <f t="array" ref="N626">_xlfn.XLOOKUP(TEXT(A626, "mmm-yy"), TEXT([2]RUNS!$B$5:$B$208, "mmm-yy"), [2]RUNS!$BM$5:$BM$208, "Not Found")</f>
        <v>0.83258220243045611</v>
      </c>
    </row>
    <row r="627" spans="1:14" x14ac:dyDescent="0.25">
      <c r="A627" s="1">
        <f>'[1]Global_Spot Prices'!$B1936</f>
        <v>42880</v>
      </c>
      <c r="B627">
        <f>_xlfn.XLOOKUP(A627,'[1]Global_Spot Prices'!$B:$B,'[1]Global_Spot Prices'!$BS:$BS)</f>
        <v>10.93</v>
      </c>
      <c r="C627">
        <f>_xlfn.XLOOKUP(A627,'[1]Global_Spot Prices'!$B:$B,'[1]Global_Spot Prices'!$E:$E)</f>
        <v>52.75</v>
      </c>
      <c r="D627">
        <f>_xlfn.XLOOKUP(A627,'[1]Global_Spot Prices'!$B:$B,'[1]Global_Spot Prices'!$D:$D)</f>
        <v>52.555</v>
      </c>
      <c r="E627">
        <f>_xlfn.XLOOKUP(A627,'[1]Global_Spot Prices'!$B:$B,'[1]Global_Spot Prices'!$H:$H)</f>
        <v>49.86</v>
      </c>
      <c r="F627">
        <f>_xlfn.XLOOKUP(A627,'[1]Global_Spot Prices'!$B:$B,'[1]Global_Spot Prices'!$I:$I)</f>
        <v>63.68</v>
      </c>
      <c r="G627" cm="1">
        <f t="array" ref="G627">_xlfn.XLOOKUP(TEXT(A627, "mmm-yy"), TEXT([2]RUNS!$B$5:$B$208, "mmm-yy"), [2]RUNS!$D$5:$D$208, "Not Found")</f>
        <v>27980.173785979125</v>
      </c>
      <c r="H627" cm="1">
        <f t="array" ref="H627">SUMPRODUCT(
    --(TEXT('[3]Global Weekly Stock (EWSuez'!$B$4:$B$2000,"mmm-yy")=TEXT(A627,"mmm-yy")),
    '[3]Global Weekly Stock (EWSuez'!$E$4:$E$2000)
/
SUMPRODUCT(
    --(TEXT('[3]Global Weekly Stock (EWSuez'!$B$4:$B$2000,"mmm-yy")=TEXT(A627,"mmm-yy"))
)</f>
        <v>12472.5</v>
      </c>
      <c r="I627">
        <f>_xlfn.XLOOKUP(A627,[1]ForwardDeriv!$D:$D,[1]ForwardDeriv!$AJ:$AJ)</f>
        <v>0.53999999999999915</v>
      </c>
      <c r="J627" cm="1">
        <f t="array" ref="J627">_xlfn.XLOOKUP(TEXT(A627, "mmm-yy"), TEXT([2]GASOLINE!$B$5:$B$208, "mmm-yy"), [2]GASOLINE!$IR$5:$IR$208, "Not Found")</f>
        <v>-69.667391080251633</v>
      </c>
      <c r="K627" cm="1">
        <f t="array" ref="K627">_xlfn.XLOOKUP(TEXT(A627, "mmm-yy"), TEXT([2]GASOLINE!$B$5:$B$208, "mmm-yy"), [2]GASOLINE!$IK$5:$IK$208, "Not Found")</f>
        <v>0</v>
      </c>
      <c r="L627">
        <f t="shared" si="9"/>
        <v>0</v>
      </c>
      <c r="M627" cm="1">
        <f t="array" ref="M627">_xlfn.XLOOKUP(TEXT(A627, "mmm-yy"), TEXT([2]GASOLINE!$B$5:$B$208, "mmm-yy"), [2]GASOLINE!$C$5:$C$208, "Not Found")</f>
        <v>7141.8968147656142</v>
      </c>
      <c r="N627" cm="1">
        <f t="array" ref="N627">_xlfn.XLOOKUP(TEXT(A627, "mmm-yy"), TEXT([2]RUNS!$B$5:$B$208, "mmm-yy"), [2]RUNS!$BM$5:$BM$208, "Not Found")</f>
        <v>0.83258220243045611</v>
      </c>
    </row>
    <row r="628" spans="1:14" x14ac:dyDescent="0.25">
      <c r="A628" s="1">
        <f>'[1]Global_Spot Prices'!$B1937</f>
        <v>42881</v>
      </c>
      <c r="B628">
        <f>_xlfn.XLOOKUP(A628,'[1]Global_Spot Prices'!$B:$B,'[1]Global_Spot Prices'!$BS:$BS)</f>
        <v>11.630000000000003</v>
      </c>
      <c r="C628">
        <f>_xlfn.XLOOKUP(A628,'[1]Global_Spot Prices'!$B:$B,'[1]Global_Spot Prices'!$E:$E)</f>
        <v>50.4</v>
      </c>
      <c r="D628">
        <f>_xlfn.XLOOKUP(A628,'[1]Global_Spot Prices'!$B:$B,'[1]Global_Spot Prices'!$D:$D)</f>
        <v>51.21</v>
      </c>
      <c r="E628">
        <f>_xlfn.XLOOKUP(A628,'[1]Global_Spot Prices'!$B:$B,'[1]Global_Spot Prices'!$H:$H)</f>
        <v>47.86</v>
      </c>
      <c r="F628">
        <f>_xlfn.XLOOKUP(A628,'[1]Global_Spot Prices'!$B:$B,'[1]Global_Spot Prices'!$I:$I)</f>
        <v>62.03</v>
      </c>
      <c r="G628" cm="1">
        <f t="array" ref="G628">_xlfn.XLOOKUP(TEXT(A628, "mmm-yy"), TEXT([2]RUNS!$B$5:$B$208, "mmm-yy"), [2]RUNS!$D$5:$D$208, "Not Found")</f>
        <v>27980.173785979125</v>
      </c>
      <c r="H628" cm="1">
        <f t="array" ref="H628">SUMPRODUCT(
    --(TEXT('[3]Global Weekly Stock (EWSuez'!$B$4:$B$2000,"mmm-yy")=TEXT(A628,"mmm-yy")),
    '[3]Global Weekly Stock (EWSuez'!$E$4:$E$2000)
/
SUMPRODUCT(
    --(TEXT('[3]Global Weekly Stock (EWSuez'!$B$4:$B$2000,"mmm-yy")=TEXT(A628,"mmm-yy"))
)</f>
        <v>12472.5</v>
      </c>
      <c r="I628">
        <f>_xlfn.XLOOKUP(A628,[1]ForwardDeriv!$D:$D,[1]ForwardDeriv!$AJ:$AJ)</f>
        <v>0.60999999999999943</v>
      </c>
      <c r="J628" cm="1">
        <f t="array" ref="J628">_xlfn.XLOOKUP(TEXT(A628, "mmm-yy"), TEXT([2]GASOLINE!$B$5:$B$208, "mmm-yy"), [2]GASOLINE!$IR$5:$IR$208, "Not Found")</f>
        <v>-69.667391080251633</v>
      </c>
      <c r="K628" cm="1">
        <f t="array" ref="K628">_xlfn.XLOOKUP(TEXT(A628, "mmm-yy"), TEXT([2]GASOLINE!$B$5:$B$208, "mmm-yy"), [2]GASOLINE!$IK$5:$IK$208, "Not Found")</f>
        <v>0</v>
      </c>
      <c r="L628">
        <f t="shared" si="9"/>
        <v>0</v>
      </c>
      <c r="M628" cm="1">
        <f t="array" ref="M628">_xlfn.XLOOKUP(TEXT(A628, "mmm-yy"), TEXT([2]GASOLINE!$B$5:$B$208, "mmm-yy"), [2]GASOLINE!$C$5:$C$208, "Not Found")</f>
        <v>7141.8968147656142</v>
      </c>
      <c r="N628" cm="1">
        <f t="array" ref="N628">_xlfn.XLOOKUP(TEXT(A628, "mmm-yy"), TEXT([2]RUNS!$B$5:$B$208, "mmm-yy"), [2]RUNS!$BM$5:$BM$208, "Not Found")</f>
        <v>0.83258220243045611</v>
      </c>
    </row>
    <row r="629" spans="1:14" x14ac:dyDescent="0.25">
      <c r="A629" s="1">
        <f>'[1]Global_Spot Prices'!$B1938</f>
        <v>42884</v>
      </c>
      <c r="B629">
        <f>_xlfn.XLOOKUP(A629,'[1]Global_Spot Prices'!$B:$B,'[1]Global_Spot Prices'!$BS:$BS)</f>
        <v>11.700000000000003</v>
      </c>
      <c r="C629">
        <f>_xlfn.XLOOKUP(A629,'[1]Global_Spot Prices'!$B:$B,'[1]Global_Spot Prices'!$E:$E)</f>
        <v>50.61</v>
      </c>
      <c r="D629" t="str">
        <f>_xlfn.XLOOKUP(A629,'[1]Global_Spot Prices'!$B:$B,'[1]Global_Spot Prices'!$D:$D)</f>
        <v/>
      </c>
      <c r="E629">
        <f>_xlfn.XLOOKUP(A629,'[1]Global_Spot Prices'!$B:$B,'[1]Global_Spot Prices'!$H:$H)</f>
        <v>48.02</v>
      </c>
      <c r="F629">
        <f>_xlfn.XLOOKUP(A629,'[1]Global_Spot Prices'!$B:$B,'[1]Global_Spot Prices'!$I:$I)</f>
        <v>62.31</v>
      </c>
      <c r="G629" cm="1">
        <f t="array" ref="G629">_xlfn.XLOOKUP(TEXT(A629, "mmm-yy"), TEXT([2]RUNS!$B$5:$B$208, "mmm-yy"), [2]RUNS!$D$5:$D$208, "Not Found")</f>
        <v>27980.173785979125</v>
      </c>
      <c r="H629" cm="1">
        <f t="array" ref="H629">SUMPRODUCT(
    --(TEXT('[3]Global Weekly Stock (EWSuez'!$B$4:$B$2000,"mmm-yy")=TEXT(A629,"mmm-yy")),
    '[3]Global Weekly Stock (EWSuez'!$E$4:$E$2000)
/
SUMPRODUCT(
    --(TEXT('[3]Global Weekly Stock (EWSuez'!$B$4:$B$2000,"mmm-yy")=TEXT(A629,"mmm-yy"))
)</f>
        <v>12472.5</v>
      </c>
      <c r="I629">
        <f>_xlfn.XLOOKUP(A629,[1]ForwardDeriv!$D:$D,[1]ForwardDeriv!$AJ:$AJ)</f>
        <v>0.63999999999999346</v>
      </c>
      <c r="J629" cm="1">
        <f t="array" ref="J629">_xlfn.XLOOKUP(TEXT(A629, "mmm-yy"), TEXT([2]GASOLINE!$B$5:$B$208, "mmm-yy"), [2]GASOLINE!$IR$5:$IR$208, "Not Found")</f>
        <v>-69.667391080251633</v>
      </c>
      <c r="K629" cm="1">
        <f t="array" ref="K629">_xlfn.XLOOKUP(TEXT(A629, "mmm-yy"), TEXT([2]GASOLINE!$B$5:$B$208, "mmm-yy"), [2]GASOLINE!$IK$5:$IK$208, "Not Found")</f>
        <v>0</v>
      </c>
      <c r="L629">
        <f t="shared" si="9"/>
        <v>0</v>
      </c>
      <c r="M629" cm="1">
        <f t="array" ref="M629">_xlfn.XLOOKUP(TEXT(A629, "mmm-yy"), TEXT([2]GASOLINE!$B$5:$B$208, "mmm-yy"), [2]GASOLINE!$C$5:$C$208, "Not Found")</f>
        <v>7141.8968147656142</v>
      </c>
      <c r="N629" cm="1">
        <f t="array" ref="N629">_xlfn.XLOOKUP(TEXT(A629, "mmm-yy"), TEXT([2]RUNS!$B$5:$B$208, "mmm-yy"), [2]RUNS!$BM$5:$BM$208, "Not Found")</f>
        <v>0.83258220243045611</v>
      </c>
    </row>
    <row r="630" spans="1:14" x14ac:dyDescent="0.25">
      <c r="A630" s="1">
        <f>'[1]Global_Spot Prices'!$B1939</f>
        <v>42885</v>
      </c>
      <c r="B630">
        <f>_xlfn.XLOOKUP(A630,'[1]Global_Spot Prices'!$B:$B,'[1]Global_Spot Prices'!$BS:$BS)</f>
        <v>11.829999999999998</v>
      </c>
      <c r="C630">
        <f>_xlfn.XLOOKUP(A630,'[1]Global_Spot Prices'!$B:$B,'[1]Global_Spot Prices'!$E:$E)</f>
        <v>50.4</v>
      </c>
      <c r="D630">
        <f>_xlfn.XLOOKUP(A630,'[1]Global_Spot Prices'!$B:$B,'[1]Global_Spot Prices'!$D:$D)</f>
        <v>50.615000000000002</v>
      </c>
      <c r="E630">
        <f>_xlfn.XLOOKUP(A630,'[1]Global_Spot Prices'!$B:$B,'[1]Global_Spot Prices'!$H:$H)</f>
        <v>48.19</v>
      </c>
      <c r="F630">
        <f>_xlfn.XLOOKUP(A630,'[1]Global_Spot Prices'!$B:$B,'[1]Global_Spot Prices'!$I:$I)</f>
        <v>62.23</v>
      </c>
      <c r="G630" cm="1">
        <f t="array" ref="G630">_xlfn.XLOOKUP(TEXT(A630, "mmm-yy"), TEXT([2]RUNS!$B$5:$B$208, "mmm-yy"), [2]RUNS!$D$5:$D$208, "Not Found")</f>
        <v>27980.173785979125</v>
      </c>
      <c r="H630" cm="1">
        <f t="array" ref="H630">SUMPRODUCT(
    --(TEXT('[3]Global Weekly Stock (EWSuez'!$B$4:$B$2000,"mmm-yy")=TEXT(A630,"mmm-yy")),
    '[3]Global Weekly Stock (EWSuez'!$E$4:$E$2000)
/
SUMPRODUCT(
    --(TEXT('[3]Global Weekly Stock (EWSuez'!$B$4:$B$2000,"mmm-yy")=TEXT(A630,"mmm-yy"))
)</f>
        <v>12472.5</v>
      </c>
      <c r="I630">
        <f>_xlfn.XLOOKUP(A630,[1]ForwardDeriv!$D:$D,[1]ForwardDeriv!$AJ:$AJ)</f>
        <v>0.67000000000000171</v>
      </c>
      <c r="J630" cm="1">
        <f t="array" ref="J630">_xlfn.XLOOKUP(TEXT(A630, "mmm-yy"), TEXT([2]GASOLINE!$B$5:$B$208, "mmm-yy"), [2]GASOLINE!$IR$5:$IR$208, "Not Found")</f>
        <v>-69.667391080251633</v>
      </c>
      <c r="K630" cm="1">
        <f t="array" ref="K630">_xlfn.XLOOKUP(TEXT(A630, "mmm-yy"), TEXT([2]GASOLINE!$B$5:$B$208, "mmm-yy"), [2]GASOLINE!$IK$5:$IK$208, "Not Found")</f>
        <v>0</v>
      </c>
      <c r="L630">
        <f t="shared" si="9"/>
        <v>0</v>
      </c>
      <c r="M630" cm="1">
        <f t="array" ref="M630">_xlfn.XLOOKUP(TEXT(A630, "mmm-yy"), TEXT([2]GASOLINE!$B$5:$B$208, "mmm-yy"), [2]GASOLINE!$C$5:$C$208, "Not Found")</f>
        <v>7141.8968147656142</v>
      </c>
      <c r="N630" cm="1">
        <f t="array" ref="N630">_xlfn.XLOOKUP(TEXT(A630, "mmm-yy"), TEXT([2]RUNS!$B$5:$B$208, "mmm-yy"), [2]RUNS!$BM$5:$BM$208, "Not Found")</f>
        <v>0.83258220243045611</v>
      </c>
    </row>
    <row r="631" spans="1:14" x14ac:dyDescent="0.25">
      <c r="A631" s="1">
        <f>'[1]Global_Spot Prices'!$B1940</f>
        <v>42886</v>
      </c>
      <c r="B631">
        <f>_xlfn.XLOOKUP(A631,'[1]Global_Spot Prices'!$B:$B,'[1]Global_Spot Prices'!$BS:$BS)</f>
        <v>11.93</v>
      </c>
      <c r="C631">
        <f>_xlfn.XLOOKUP(A631,'[1]Global_Spot Prices'!$B:$B,'[1]Global_Spot Prices'!$E:$E)</f>
        <v>50.1</v>
      </c>
      <c r="D631">
        <f>_xlfn.XLOOKUP(A631,'[1]Global_Spot Prices'!$B:$B,'[1]Global_Spot Prices'!$D:$D)</f>
        <v>49.26</v>
      </c>
      <c r="E631">
        <f>_xlfn.XLOOKUP(A631,'[1]Global_Spot Prices'!$B:$B,'[1]Global_Spot Prices'!$H:$H)</f>
        <v>47.92</v>
      </c>
      <c r="F631">
        <f>_xlfn.XLOOKUP(A631,'[1]Global_Spot Prices'!$B:$B,'[1]Global_Spot Prices'!$I:$I)</f>
        <v>62.03</v>
      </c>
      <c r="G631" cm="1">
        <f t="array" ref="G631">_xlfn.XLOOKUP(TEXT(A631, "mmm-yy"), TEXT([2]RUNS!$B$5:$B$208, "mmm-yy"), [2]RUNS!$D$5:$D$208, "Not Found")</f>
        <v>27980.173785979125</v>
      </c>
      <c r="H631" cm="1">
        <f t="array" ref="H631">SUMPRODUCT(
    --(TEXT('[3]Global Weekly Stock (EWSuez'!$B$4:$B$2000,"mmm-yy")=TEXT(A631,"mmm-yy")),
    '[3]Global Weekly Stock (EWSuez'!$E$4:$E$2000)
/
SUMPRODUCT(
    --(TEXT('[3]Global Weekly Stock (EWSuez'!$B$4:$B$2000,"mmm-yy")=TEXT(A631,"mmm-yy"))
)</f>
        <v>12472.5</v>
      </c>
      <c r="I631">
        <f>_xlfn.XLOOKUP(A631,[1]ForwardDeriv!$D:$D,[1]ForwardDeriv!$AJ:$AJ)</f>
        <v>0.64999999999999858</v>
      </c>
      <c r="J631" cm="1">
        <f t="array" ref="J631">_xlfn.XLOOKUP(TEXT(A631, "mmm-yy"), TEXT([2]GASOLINE!$B$5:$B$208, "mmm-yy"), [2]GASOLINE!$IR$5:$IR$208, "Not Found")</f>
        <v>-69.667391080251633</v>
      </c>
      <c r="K631" cm="1">
        <f t="array" ref="K631">_xlfn.XLOOKUP(TEXT(A631, "mmm-yy"), TEXT([2]GASOLINE!$B$5:$B$208, "mmm-yy"), [2]GASOLINE!$IK$5:$IK$208, "Not Found")</f>
        <v>0</v>
      </c>
      <c r="L631">
        <f t="shared" si="9"/>
        <v>0</v>
      </c>
      <c r="M631" cm="1">
        <f t="array" ref="M631">_xlfn.XLOOKUP(TEXT(A631, "mmm-yy"), TEXT([2]GASOLINE!$B$5:$B$208, "mmm-yy"), [2]GASOLINE!$C$5:$C$208, "Not Found")</f>
        <v>7141.8968147656142</v>
      </c>
      <c r="N631" cm="1">
        <f t="array" ref="N631">_xlfn.XLOOKUP(TEXT(A631, "mmm-yy"), TEXT([2]RUNS!$B$5:$B$208, "mmm-yy"), [2]RUNS!$BM$5:$BM$208, "Not Found")</f>
        <v>0.83258220243045611</v>
      </c>
    </row>
    <row r="632" spans="1:14" x14ac:dyDescent="0.25">
      <c r="A632" s="1">
        <f>'[1]Global_Spot Prices'!$B1941</f>
        <v>42887</v>
      </c>
      <c r="B632">
        <f>_xlfn.XLOOKUP(A632,'[1]Global_Spot Prices'!$B:$B,'[1]Global_Spot Prices'!$BS:$BS)</f>
        <v>11.89</v>
      </c>
      <c r="C632">
        <f>_xlfn.XLOOKUP(A632,'[1]Global_Spot Prices'!$B:$B,'[1]Global_Spot Prices'!$E:$E)</f>
        <v>50.19</v>
      </c>
      <c r="D632">
        <f>_xlfn.XLOOKUP(A632,'[1]Global_Spot Prices'!$B:$B,'[1]Global_Spot Prices'!$D:$D)</f>
        <v>50.06</v>
      </c>
      <c r="E632">
        <f>_xlfn.XLOOKUP(A632,'[1]Global_Spot Prices'!$B:$B,'[1]Global_Spot Prices'!$H:$H)</f>
        <v>48.2</v>
      </c>
      <c r="F632">
        <f>_xlfn.XLOOKUP(A632,'[1]Global_Spot Prices'!$B:$B,'[1]Global_Spot Prices'!$I:$I)</f>
        <v>62.08</v>
      </c>
      <c r="G632" cm="1">
        <f t="array" ref="G632">_xlfn.XLOOKUP(TEXT(A632, "mmm-yy"), TEXT([2]RUNS!$B$5:$B$208, "mmm-yy"), [2]RUNS!$D$5:$D$208, "Not Found")</f>
        <v>27722.935451652906</v>
      </c>
      <c r="H632" cm="1">
        <f t="array" ref="H632">SUMPRODUCT(
    --(TEXT('[3]Global Weekly Stock (EWSuez'!$B$4:$B$2000,"mmm-yy")=TEXT(A632,"mmm-yy")),
    '[3]Global Weekly Stock (EWSuez'!$E$4:$E$2000)
/
SUMPRODUCT(
    --(TEXT('[3]Global Weekly Stock (EWSuez'!$B$4:$B$2000,"mmm-yy")=TEXT(A632,"mmm-yy"))
)</f>
        <v>11277.8</v>
      </c>
      <c r="I632">
        <f>_xlfn.XLOOKUP(A632,[1]ForwardDeriv!$D:$D,[1]ForwardDeriv!$AJ:$AJ)</f>
        <v>0.62999999999999545</v>
      </c>
      <c r="J632" cm="1">
        <f t="array" ref="J632">_xlfn.XLOOKUP(TEXT(A632, "mmm-yy"), TEXT([2]GASOLINE!$B$5:$B$208, "mmm-yy"), [2]GASOLINE!$IR$5:$IR$208, "Not Found")</f>
        <v>-120.28087354168227</v>
      </c>
      <c r="K632" cm="1">
        <f t="array" ref="K632">_xlfn.XLOOKUP(TEXT(A632, "mmm-yy"), TEXT([2]GASOLINE!$B$5:$B$208, "mmm-yy"), [2]GASOLINE!$IK$5:$IK$208, "Not Found")</f>
        <v>0</v>
      </c>
      <c r="L632">
        <f t="shared" si="9"/>
        <v>1</v>
      </c>
      <c r="M632" cm="1">
        <f t="array" ref="M632">_xlfn.XLOOKUP(TEXT(A632, "mmm-yy"), TEXT([2]GASOLINE!$B$5:$B$208, "mmm-yy"), [2]GASOLINE!$C$5:$C$208, "Not Found")</f>
        <v>7079.8966706868969</v>
      </c>
      <c r="N632" cm="1">
        <f t="array" ref="N632">_xlfn.XLOOKUP(TEXT(A632, "mmm-yy"), TEXT([2]RUNS!$B$5:$B$208, "mmm-yy"), [2]RUNS!$BM$5:$BM$208, "Not Found")</f>
        <v>0.82618156342933069</v>
      </c>
    </row>
    <row r="633" spans="1:14" x14ac:dyDescent="0.25">
      <c r="A633" s="1">
        <f>'[1]Global_Spot Prices'!$B1942</f>
        <v>42888</v>
      </c>
      <c r="B633">
        <f>_xlfn.XLOOKUP(A633,'[1]Global_Spot Prices'!$B:$B,'[1]Global_Spot Prices'!$BS:$BS)</f>
        <v>12.115000000000002</v>
      </c>
      <c r="C633">
        <f>_xlfn.XLOOKUP(A633,'[1]Global_Spot Prices'!$B:$B,'[1]Global_Spot Prices'!$E:$E)</f>
        <v>48.305</v>
      </c>
      <c r="D633">
        <f>_xlfn.XLOOKUP(A633,'[1]Global_Spot Prices'!$B:$B,'[1]Global_Spot Prices'!$D:$D)</f>
        <v>48.85</v>
      </c>
      <c r="E633">
        <f>_xlfn.XLOOKUP(A633,'[1]Global_Spot Prices'!$B:$B,'[1]Global_Spot Prices'!$H:$H)</f>
        <v>46.48</v>
      </c>
      <c r="F633">
        <f>_xlfn.XLOOKUP(A633,'[1]Global_Spot Prices'!$B:$B,'[1]Global_Spot Prices'!$I:$I)</f>
        <v>60.42</v>
      </c>
      <c r="G633" cm="1">
        <f t="array" ref="G633">_xlfn.XLOOKUP(TEXT(A633, "mmm-yy"), TEXT([2]RUNS!$B$5:$B$208, "mmm-yy"), [2]RUNS!$D$5:$D$208, "Not Found")</f>
        <v>27722.935451652906</v>
      </c>
      <c r="H633" cm="1">
        <f t="array" ref="H633">SUMPRODUCT(
    --(TEXT('[3]Global Weekly Stock (EWSuez'!$B$4:$B$2000,"mmm-yy")=TEXT(A633,"mmm-yy")),
    '[3]Global Weekly Stock (EWSuez'!$E$4:$E$2000)
/
SUMPRODUCT(
    --(TEXT('[3]Global Weekly Stock (EWSuez'!$B$4:$B$2000,"mmm-yy")=TEXT(A633,"mmm-yy"))
)</f>
        <v>11277.8</v>
      </c>
      <c r="I633">
        <f>_xlfn.XLOOKUP(A633,[1]ForwardDeriv!$D:$D,[1]ForwardDeriv!$AJ:$AJ)</f>
        <v>0.64999999999999858</v>
      </c>
      <c r="J633" cm="1">
        <f t="array" ref="J633">_xlfn.XLOOKUP(TEXT(A633, "mmm-yy"), TEXT([2]GASOLINE!$B$5:$B$208, "mmm-yy"), [2]GASOLINE!$IR$5:$IR$208, "Not Found")</f>
        <v>-120.28087354168227</v>
      </c>
      <c r="K633" cm="1">
        <f t="array" ref="K633">_xlfn.XLOOKUP(TEXT(A633, "mmm-yy"), TEXT([2]GASOLINE!$B$5:$B$208, "mmm-yy"), [2]GASOLINE!$IK$5:$IK$208, "Not Found")</f>
        <v>0</v>
      </c>
      <c r="L633">
        <f t="shared" si="9"/>
        <v>1</v>
      </c>
      <c r="M633" cm="1">
        <f t="array" ref="M633">_xlfn.XLOOKUP(TEXT(A633, "mmm-yy"), TEXT([2]GASOLINE!$B$5:$B$208, "mmm-yy"), [2]GASOLINE!$C$5:$C$208, "Not Found")</f>
        <v>7079.8966706868969</v>
      </c>
      <c r="N633" cm="1">
        <f t="array" ref="N633">_xlfn.XLOOKUP(TEXT(A633, "mmm-yy"), TEXT([2]RUNS!$B$5:$B$208, "mmm-yy"), [2]RUNS!$BM$5:$BM$208, "Not Found")</f>
        <v>0.82618156342933069</v>
      </c>
    </row>
    <row r="634" spans="1:14" x14ac:dyDescent="0.25">
      <c r="A634" s="1">
        <f>'[1]Global_Spot Prices'!$B1943</f>
        <v>42891</v>
      </c>
      <c r="B634">
        <f>_xlfn.XLOOKUP(A634,'[1]Global_Spot Prices'!$B:$B,'[1]Global_Spot Prices'!$BS:$BS)</f>
        <v>11.93</v>
      </c>
      <c r="C634">
        <f>_xlfn.XLOOKUP(A634,'[1]Global_Spot Prices'!$B:$B,'[1]Global_Spot Prices'!$E:$E)</f>
        <v>48.75</v>
      </c>
      <c r="D634">
        <f>_xlfn.XLOOKUP(A634,'[1]Global_Spot Prices'!$B:$B,'[1]Global_Spot Prices'!$D:$D)</f>
        <v>48.045000000000002</v>
      </c>
      <c r="E634">
        <f>_xlfn.XLOOKUP(A634,'[1]Global_Spot Prices'!$B:$B,'[1]Global_Spot Prices'!$H:$H)</f>
        <v>46.79</v>
      </c>
      <c r="F634">
        <f>_xlfn.XLOOKUP(A634,'[1]Global_Spot Prices'!$B:$B,'[1]Global_Spot Prices'!$I:$I)</f>
        <v>60.68</v>
      </c>
      <c r="G634" cm="1">
        <f t="array" ref="G634">_xlfn.XLOOKUP(TEXT(A634, "mmm-yy"), TEXT([2]RUNS!$B$5:$B$208, "mmm-yy"), [2]RUNS!$D$5:$D$208, "Not Found")</f>
        <v>27722.935451652906</v>
      </c>
      <c r="H634" cm="1">
        <f t="array" ref="H634">SUMPRODUCT(
    --(TEXT('[3]Global Weekly Stock (EWSuez'!$B$4:$B$2000,"mmm-yy")=TEXT(A634,"mmm-yy")),
    '[3]Global Weekly Stock (EWSuez'!$E$4:$E$2000)
/
SUMPRODUCT(
    --(TEXT('[3]Global Weekly Stock (EWSuez'!$B$4:$B$2000,"mmm-yy")=TEXT(A634,"mmm-yy"))
)</f>
        <v>11277.8</v>
      </c>
      <c r="I634">
        <f>_xlfn.XLOOKUP(A634,[1]ForwardDeriv!$D:$D,[1]ForwardDeriv!$AJ:$AJ)</f>
        <v>0.61999999999999744</v>
      </c>
      <c r="J634" cm="1">
        <f t="array" ref="J634">_xlfn.XLOOKUP(TEXT(A634, "mmm-yy"), TEXT([2]GASOLINE!$B$5:$B$208, "mmm-yy"), [2]GASOLINE!$IR$5:$IR$208, "Not Found")</f>
        <v>-120.28087354168227</v>
      </c>
      <c r="K634" cm="1">
        <f t="array" ref="K634">_xlfn.XLOOKUP(TEXT(A634, "mmm-yy"), TEXT([2]GASOLINE!$B$5:$B$208, "mmm-yy"), [2]GASOLINE!$IK$5:$IK$208, "Not Found")</f>
        <v>0</v>
      </c>
      <c r="L634">
        <f t="shared" si="9"/>
        <v>1</v>
      </c>
      <c r="M634" cm="1">
        <f t="array" ref="M634">_xlfn.XLOOKUP(TEXT(A634, "mmm-yy"), TEXT([2]GASOLINE!$B$5:$B$208, "mmm-yy"), [2]GASOLINE!$C$5:$C$208, "Not Found")</f>
        <v>7079.8966706868969</v>
      </c>
      <c r="N634" cm="1">
        <f t="array" ref="N634">_xlfn.XLOOKUP(TEXT(A634, "mmm-yy"), TEXT([2]RUNS!$B$5:$B$208, "mmm-yy"), [2]RUNS!$BM$5:$BM$208, "Not Found")</f>
        <v>0.82618156342933069</v>
      </c>
    </row>
    <row r="635" spans="1:14" x14ac:dyDescent="0.25">
      <c r="A635" s="1">
        <f>'[1]Global_Spot Prices'!$B1944</f>
        <v>42892</v>
      </c>
      <c r="B635">
        <f>_xlfn.XLOOKUP(A635,'[1]Global_Spot Prices'!$B:$B,'[1]Global_Spot Prices'!$BS:$BS)</f>
        <v>11.980000000000004</v>
      </c>
      <c r="C635">
        <f>_xlfn.XLOOKUP(A635,'[1]Global_Spot Prices'!$B:$B,'[1]Global_Spot Prices'!$E:$E)</f>
        <v>47.9</v>
      </c>
      <c r="D635">
        <f>_xlfn.XLOOKUP(A635,'[1]Global_Spot Prices'!$B:$B,'[1]Global_Spot Prices'!$D:$D)</f>
        <v>48.234999999999999</v>
      </c>
      <c r="E635">
        <f>_xlfn.XLOOKUP(A635,'[1]Global_Spot Prices'!$B:$B,'[1]Global_Spot Prices'!$H:$H)</f>
        <v>46.12</v>
      </c>
      <c r="F635">
        <f>_xlfn.XLOOKUP(A635,'[1]Global_Spot Prices'!$B:$B,'[1]Global_Spot Prices'!$I:$I)</f>
        <v>59.88</v>
      </c>
      <c r="G635" cm="1">
        <f t="array" ref="G635">_xlfn.XLOOKUP(TEXT(A635, "mmm-yy"), TEXT([2]RUNS!$B$5:$B$208, "mmm-yy"), [2]RUNS!$D$5:$D$208, "Not Found")</f>
        <v>27722.935451652906</v>
      </c>
      <c r="H635" cm="1">
        <f t="array" ref="H635">SUMPRODUCT(
    --(TEXT('[3]Global Weekly Stock (EWSuez'!$B$4:$B$2000,"mmm-yy")=TEXT(A635,"mmm-yy")),
    '[3]Global Weekly Stock (EWSuez'!$E$4:$E$2000)
/
SUMPRODUCT(
    --(TEXT('[3]Global Weekly Stock (EWSuez'!$B$4:$B$2000,"mmm-yy")=TEXT(A635,"mmm-yy"))
)</f>
        <v>11277.8</v>
      </c>
      <c r="I635">
        <f>_xlfn.XLOOKUP(A635,[1]ForwardDeriv!$D:$D,[1]ForwardDeriv!$AJ:$AJ)</f>
        <v>0.64999999999999858</v>
      </c>
      <c r="J635" cm="1">
        <f t="array" ref="J635">_xlfn.XLOOKUP(TEXT(A635, "mmm-yy"), TEXT([2]GASOLINE!$B$5:$B$208, "mmm-yy"), [2]GASOLINE!$IR$5:$IR$208, "Not Found")</f>
        <v>-120.28087354168227</v>
      </c>
      <c r="K635" cm="1">
        <f t="array" ref="K635">_xlfn.XLOOKUP(TEXT(A635, "mmm-yy"), TEXT([2]GASOLINE!$B$5:$B$208, "mmm-yy"), [2]GASOLINE!$IK$5:$IK$208, "Not Found")</f>
        <v>0</v>
      </c>
      <c r="L635">
        <f t="shared" si="9"/>
        <v>1</v>
      </c>
      <c r="M635" cm="1">
        <f t="array" ref="M635">_xlfn.XLOOKUP(TEXT(A635, "mmm-yy"), TEXT([2]GASOLINE!$B$5:$B$208, "mmm-yy"), [2]GASOLINE!$C$5:$C$208, "Not Found")</f>
        <v>7079.8966706868969</v>
      </c>
      <c r="N635" cm="1">
        <f t="array" ref="N635">_xlfn.XLOOKUP(TEXT(A635, "mmm-yy"), TEXT([2]RUNS!$B$5:$B$208, "mmm-yy"), [2]RUNS!$BM$5:$BM$208, "Not Found")</f>
        <v>0.82618156342933069</v>
      </c>
    </row>
    <row r="636" spans="1:14" x14ac:dyDescent="0.25">
      <c r="A636" s="1">
        <f>'[1]Global_Spot Prices'!$B1945</f>
        <v>42893</v>
      </c>
      <c r="B636">
        <f>_xlfn.XLOOKUP(A636,'[1]Global_Spot Prices'!$B:$B,'[1]Global_Spot Prices'!$BS:$BS)</f>
        <v>11.620000000000005</v>
      </c>
      <c r="C636">
        <f>_xlfn.XLOOKUP(A636,'[1]Global_Spot Prices'!$B:$B,'[1]Global_Spot Prices'!$E:$E)</f>
        <v>48.41</v>
      </c>
      <c r="D636">
        <f>_xlfn.XLOOKUP(A636,'[1]Global_Spot Prices'!$B:$B,'[1]Global_Spot Prices'!$D:$D)</f>
        <v>47.215000000000003</v>
      </c>
      <c r="E636">
        <f>_xlfn.XLOOKUP(A636,'[1]Global_Spot Prices'!$B:$B,'[1]Global_Spot Prices'!$H:$H)</f>
        <v>45.97</v>
      </c>
      <c r="F636">
        <f>_xlfn.XLOOKUP(A636,'[1]Global_Spot Prices'!$B:$B,'[1]Global_Spot Prices'!$I:$I)</f>
        <v>60.03</v>
      </c>
      <c r="G636" cm="1">
        <f t="array" ref="G636">_xlfn.XLOOKUP(TEXT(A636, "mmm-yy"), TEXT([2]RUNS!$B$5:$B$208, "mmm-yy"), [2]RUNS!$D$5:$D$208, "Not Found")</f>
        <v>27722.935451652906</v>
      </c>
      <c r="H636" cm="1">
        <f t="array" ref="H636">SUMPRODUCT(
    --(TEXT('[3]Global Weekly Stock (EWSuez'!$B$4:$B$2000,"mmm-yy")=TEXT(A636,"mmm-yy")),
    '[3]Global Weekly Stock (EWSuez'!$E$4:$E$2000)
/
SUMPRODUCT(
    --(TEXT('[3]Global Weekly Stock (EWSuez'!$B$4:$B$2000,"mmm-yy")=TEXT(A636,"mmm-yy"))
)</f>
        <v>11277.8</v>
      </c>
      <c r="I636">
        <f>_xlfn.XLOOKUP(A636,[1]ForwardDeriv!$D:$D,[1]ForwardDeriv!$AJ:$AJ)</f>
        <v>0.6699999999999946</v>
      </c>
      <c r="J636" cm="1">
        <f t="array" ref="J636">_xlfn.XLOOKUP(TEXT(A636, "mmm-yy"), TEXT([2]GASOLINE!$B$5:$B$208, "mmm-yy"), [2]GASOLINE!$IR$5:$IR$208, "Not Found")</f>
        <v>-120.28087354168227</v>
      </c>
      <c r="K636" cm="1">
        <f t="array" ref="K636">_xlfn.XLOOKUP(TEXT(A636, "mmm-yy"), TEXT([2]GASOLINE!$B$5:$B$208, "mmm-yy"), [2]GASOLINE!$IK$5:$IK$208, "Not Found")</f>
        <v>0</v>
      </c>
      <c r="L636">
        <f t="shared" si="9"/>
        <v>1</v>
      </c>
      <c r="M636" cm="1">
        <f t="array" ref="M636">_xlfn.XLOOKUP(TEXT(A636, "mmm-yy"), TEXT([2]GASOLINE!$B$5:$B$208, "mmm-yy"), [2]GASOLINE!$C$5:$C$208, "Not Found")</f>
        <v>7079.8966706868969</v>
      </c>
      <c r="N636" cm="1">
        <f t="array" ref="N636">_xlfn.XLOOKUP(TEXT(A636, "mmm-yy"), TEXT([2]RUNS!$B$5:$B$208, "mmm-yy"), [2]RUNS!$BM$5:$BM$208, "Not Found")</f>
        <v>0.82618156342933069</v>
      </c>
    </row>
    <row r="637" spans="1:14" x14ac:dyDescent="0.25">
      <c r="A637" s="1">
        <f>'[1]Global_Spot Prices'!$B1946</f>
        <v>42894</v>
      </c>
      <c r="B637">
        <f>_xlfn.XLOOKUP(A637,'[1]Global_Spot Prices'!$B:$B,'[1]Global_Spot Prices'!$BS:$BS)</f>
        <v>11.759999999999998</v>
      </c>
      <c r="C637">
        <f>_xlfn.XLOOKUP(A637,'[1]Global_Spot Prices'!$B:$B,'[1]Global_Spot Prices'!$E:$E)</f>
        <v>47.09</v>
      </c>
      <c r="D637">
        <f>_xlfn.XLOOKUP(A637,'[1]Global_Spot Prices'!$B:$B,'[1]Global_Spot Prices'!$D:$D)</f>
        <v>46.585000000000001</v>
      </c>
      <c r="E637">
        <f>_xlfn.XLOOKUP(A637,'[1]Global_Spot Prices'!$B:$B,'[1]Global_Spot Prices'!$H:$H)</f>
        <v>44.83</v>
      </c>
      <c r="F637">
        <f>_xlfn.XLOOKUP(A637,'[1]Global_Spot Prices'!$B:$B,'[1]Global_Spot Prices'!$I:$I)</f>
        <v>58.85</v>
      </c>
      <c r="G637" cm="1">
        <f t="array" ref="G637">_xlfn.XLOOKUP(TEXT(A637, "mmm-yy"), TEXT([2]RUNS!$B$5:$B$208, "mmm-yy"), [2]RUNS!$D$5:$D$208, "Not Found")</f>
        <v>27722.935451652906</v>
      </c>
      <c r="H637" cm="1">
        <f t="array" ref="H637">SUMPRODUCT(
    --(TEXT('[3]Global Weekly Stock (EWSuez'!$B$4:$B$2000,"mmm-yy")=TEXT(A637,"mmm-yy")),
    '[3]Global Weekly Stock (EWSuez'!$E$4:$E$2000)
/
SUMPRODUCT(
    --(TEXT('[3]Global Weekly Stock (EWSuez'!$B$4:$B$2000,"mmm-yy")=TEXT(A637,"mmm-yy"))
)</f>
        <v>11277.8</v>
      </c>
      <c r="I637">
        <f>_xlfn.XLOOKUP(A637,[1]ForwardDeriv!$D:$D,[1]ForwardDeriv!$AJ:$AJ)</f>
        <v>0.64999999999999858</v>
      </c>
      <c r="J637" cm="1">
        <f t="array" ref="J637">_xlfn.XLOOKUP(TEXT(A637, "mmm-yy"), TEXT([2]GASOLINE!$B$5:$B$208, "mmm-yy"), [2]GASOLINE!$IR$5:$IR$208, "Not Found")</f>
        <v>-120.28087354168227</v>
      </c>
      <c r="K637" cm="1">
        <f t="array" ref="K637">_xlfn.XLOOKUP(TEXT(A637, "mmm-yy"), TEXT([2]GASOLINE!$B$5:$B$208, "mmm-yy"), [2]GASOLINE!$IK$5:$IK$208, "Not Found")</f>
        <v>0</v>
      </c>
      <c r="L637">
        <f t="shared" si="9"/>
        <v>1</v>
      </c>
      <c r="M637" cm="1">
        <f t="array" ref="M637">_xlfn.XLOOKUP(TEXT(A637, "mmm-yy"), TEXT([2]GASOLINE!$B$5:$B$208, "mmm-yy"), [2]GASOLINE!$C$5:$C$208, "Not Found")</f>
        <v>7079.8966706868969</v>
      </c>
      <c r="N637" cm="1">
        <f t="array" ref="N637">_xlfn.XLOOKUP(TEXT(A637, "mmm-yy"), TEXT([2]RUNS!$B$5:$B$208, "mmm-yy"), [2]RUNS!$BM$5:$BM$208, "Not Found")</f>
        <v>0.82618156342933069</v>
      </c>
    </row>
    <row r="638" spans="1:14" x14ac:dyDescent="0.25">
      <c r="A638" s="1">
        <f>'[1]Global_Spot Prices'!$B1947</f>
        <v>42895</v>
      </c>
      <c r="B638">
        <f>_xlfn.XLOOKUP(A638,'[1]Global_Spot Prices'!$B:$B,'[1]Global_Spot Prices'!$BS:$BS)</f>
        <v>11.75</v>
      </c>
      <c r="C638">
        <f>_xlfn.XLOOKUP(A638,'[1]Global_Spot Prices'!$B:$B,'[1]Global_Spot Prices'!$E:$E)</f>
        <v>46.45</v>
      </c>
      <c r="D638">
        <f>_xlfn.XLOOKUP(A638,'[1]Global_Spot Prices'!$B:$B,'[1]Global_Spot Prices'!$D:$D)</f>
        <v>46.984999999999999</v>
      </c>
      <c r="E638">
        <f>_xlfn.XLOOKUP(A638,'[1]Global_Spot Prices'!$B:$B,'[1]Global_Spot Prices'!$H:$H)</f>
        <v>44.57</v>
      </c>
      <c r="F638">
        <f>_xlfn.XLOOKUP(A638,'[1]Global_Spot Prices'!$B:$B,'[1]Global_Spot Prices'!$I:$I)</f>
        <v>58.2</v>
      </c>
      <c r="G638" cm="1">
        <f t="array" ref="G638">_xlfn.XLOOKUP(TEXT(A638, "mmm-yy"), TEXT([2]RUNS!$B$5:$B$208, "mmm-yy"), [2]RUNS!$D$5:$D$208, "Not Found")</f>
        <v>27722.935451652906</v>
      </c>
      <c r="H638" cm="1">
        <f t="array" ref="H638">SUMPRODUCT(
    --(TEXT('[3]Global Weekly Stock (EWSuez'!$B$4:$B$2000,"mmm-yy")=TEXT(A638,"mmm-yy")),
    '[3]Global Weekly Stock (EWSuez'!$E$4:$E$2000)
/
SUMPRODUCT(
    --(TEXT('[3]Global Weekly Stock (EWSuez'!$B$4:$B$2000,"mmm-yy")=TEXT(A638,"mmm-yy"))
)</f>
        <v>11277.8</v>
      </c>
      <c r="I638">
        <f>_xlfn.XLOOKUP(A638,[1]ForwardDeriv!$D:$D,[1]ForwardDeriv!$AJ:$AJ)</f>
        <v>0.63000000000000256</v>
      </c>
      <c r="J638" cm="1">
        <f t="array" ref="J638">_xlfn.XLOOKUP(TEXT(A638, "mmm-yy"), TEXT([2]GASOLINE!$B$5:$B$208, "mmm-yy"), [2]GASOLINE!$IR$5:$IR$208, "Not Found")</f>
        <v>-120.28087354168227</v>
      </c>
      <c r="K638" cm="1">
        <f t="array" ref="K638">_xlfn.XLOOKUP(TEXT(A638, "mmm-yy"), TEXT([2]GASOLINE!$B$5:$B$208, "mmm-yy"), [2]GASOLINE!$IK$5:$IK$208, "Not Found")</f>
        <v>0</v>
      </c>
      <c r="L638">
        <f t="shared" si="9"/>
        <v>1</v>
      </c>
      <c r="M638" cm="1">
        <f t="array" ref="M638">_xlfn.XLOOKUP(TEXT(A638, "mmm-yy"), TEXT([2]GASOLINE!$B$5:$B$208, "mmm-yy"), [2]GASOLINE!$C$5:$C$208, "Not Found")</f>
        <v>7079.8966706868969</v>
      </c>
      <c r="N638" cm="1">
        <f t="array" ref="N638">_xlfn.XLOOKUP(TEXT(A638, "mmm-yy"), TEXT([2]RUNS!$B$5:$B$208, "mmm-yy"), [2]RUNS!$BM$5:$BM$208, "Not Found")</f>
        <v>0.82618156342933069</v>
      </c>
    </row>
    <row r="639" spans="1:14" x14ac:dyDescent="0.25">
      <c r="A639" s="1">
        <f>'[1]Global_Spot Prices'!$B1948</f>
        <v>42898</v>
      </c>
      <c r="B639">
        <f>_xlfn.XLOOKUP(A639,'[1]Global_Spot Prices'!$B:$B,'[1]Global_Spot Prices'!$BS:$BS)</f>
        <v>11.480000000000004</v>
      </c>
      <c r="C639">
        <f>_xlfn.XLOOKUP(A639,'[1]Global_Spot Prices'!$B:$B,'[1]Global_Spot Prices'!$E:$E)</f>
        <v>47.04</v>
      </c>
      <c r="D639">
        <f>_xlfn.XLOOKUP(A639,'[1]Global_Spot Prices'!$B:$B,'[1]Global_Spot Prices'!$D:$D)</f>
        <v>47.424999999999997</v>
      </c>
      <c r="E639">
        <f>_xlfn.XLOOKUP(A639,'[1]Global_Spot Prices'!$B:$B,'[1]Global_Spot Prices'!$H:$H)</f>
        <v>45.49</v>
      </c>
      <c r="F639">
        <f>_xlfn.XLOOKUP(A639,'[1]Global_Spot Prices'!$B:$B,'[1]Global_Spot Prices'!$I:$I)</f>
        <v>58.52</v>
      </c>
      <c r="G639" cm="1">
        <f t="array" ref="G639">_xlfn.XLOOKUP(TEXT(A639, "mmm-yy"), TEXT([2]RUNS!$B$5:$B$208, "mmm-yy"), [2]RUNS!$D$5:$D$208, "Not Found")</f>
        <v>27722.935451652906</v>
      </c>
      <c r="H639" cm="1">
        <f t="array" ref="H639">SUMPRODUCT(
    --(TEXT('[3]Global Weekly Stock (EWSuez'!$B$4:$B$2000,"mmm-yy")=TEXT(A639,"mmm-yy")),
    '[3]Global Weekly Stock (EWSuez'!$E$4:$E$2000)
/
SUMPRODUCT(
    --(TEXT('[3]Global Weekly Stock (EWSuez'!$B$4:$B$2000,"mmm-yy")=TEXT(A639,"mmm-yy"))
)</f>
        <v>11277.8</v>
      </c>
      <c r="I639">
        <f>_xlfn.XLOOKUP(A639,[1]ForwardDeriv!$D:$D,[1]ForwardDeriv!$AJ:$AJ)</f>
        <v>0.53999999999999915</v>
      </c>
      <c r="J639" cm="1">
        <f t="array" ref="J639">_xlfn.XLOOKUP(TEXT(A639, "mmm-yy"), TEXT([2]GASOLINE!$B$5:$B$208, "mmm-yy"), [2]GASOLINE!$IR$5:$IR$208, "Not Found")</f>
        <v>-120.28087354168227</v>
      </c>
      <c r="K639" cm="1">
        <f t="array" ref="K639">_xlfn.XLOOKUP(TEXT(A639, "mmm-yy"), TEXT([2]GASOLINE!$B$5:$B$208, "mmm-yy"), [2]GASOLINE!$IK$5:$IK$208, "Not Found")</f>
        <v>0</v>
      </c>
      <c r="L639">
        <f t="shared" si="9"/>
        <v>1</v>
      </c>
      <c r="M639" cm="1">
        <f t="array" ref="M639">_xlfn.XLOOKUP(TEXT(A639, "mmm-yy"), TEXT([2]GASOLINE!$B$5:$B$208, "mmm-yy"), [2]GASOLINE!$C$5:$C$208, "Not Found")</f>
        <v>7079.8966706868969</v>
      </c>
      <c r="N639" cm="1">
        <f t="array" ref="N639">_xlfn.XLOOKUP(TEXT(A639, "mmm-yy"), TEXT([2]RUNS!$B$5:$B$208, "mmm-yy"), [2]RUNS!$BM$5:$BM$208, "Not Found")</f>
        <v>0.82618156342933069</v>
      </c>
    </row>
    <row r="640" spans="1:14" x14ac:dyDescent="0.25">
      <c r="A640" s="1">
        <f>'[1]Global_Spot Prices'!$B1949</f>
        <v>42899</v>
      </c>
      <c r="B640">
        <f>_xlfn.XLOOKUP(A640,'[1]Global_Spot Prices'!$B:$B,'[1]Global_Spot Prices'!$BS:$BS)</f>
        <v>10.829999999999998</v>
      </c>
      <c r="C640">
        <f>_xlfn.XLOOKUP(A640,'[1]Global_Spot Prices'!$B:$B,'[1]Global_Spot Prices'!$E:$E)</f>
        <v>47.31</v>
      </c>
      <c r="D640">
        <f>_xlfn.XLOOKUP(A640,'[1]Global_Spot Prices'!$B:$B,'[1]Global_Spot Prices'!$D:$D)</f>
        <v>46.795000000000002</v>
      </c>
      <c r="E640">
        <f>_xlfn.XLOOKUP(A640,'[1]Global_Spot Prices'!$B:$B,'[1]Global_Spot Prices'!$H:$H)</f>
        <v>45.63</v>
      </c>
      <c r="F640">
        <f>_xlfn.XLOOKUP(A640,'[1]Global_Spot Prices'!$B:$B,'[1]Global_Spot Prices'!$I:$I)</f>
        <v>58.14</v>
      </c>
      <c r="G640" cm="1">
        <f t="array" ref="G640">_xlfn.XLOOKUP(TEXT(A640, "mmm-yy"), TEXT([2]RUNS!$B$5:$B$208, "mmm-yy"), [2]RUNS!$D$5:$D$208, "Not Found")</f>
        <v>27722.935451652906</v>
      </c>
      <c r="H640" cm="1">
        <f t="array" ref="H640">SUMPRODUCT(
    --(TEXT('[3]Global Weekly Stock (EWSuez'!$B$4:$B$2000,"mmm-yy")=TEXT(A640,"mmm-yy")),
    '[3]Global Weekly Stock (EWSuez'!$E$4:$E$2000)
/
SUMPRODUCT(
    --(TEXT('[3]Global Weekly Stock (EWSuez'!$B$4:$B$2000,"mmm-yy")=TEXT(A640,"mmm-yy"))
)</f>
        <v>11277.8</v>
      </c>
      <c r="I640">
        <f>_xlfn.XLOOKUP(A640,[1]ForwardDeriv!$D:$D,[1]ForwardDeriv!$AJ:$AJ)</f>
        <v>0.48999999999999488</v>
      </c>
      <c r="J640" cm="1">
        <f t="array" ref="J640">_xlfn.XLOOKUP(TEXT(A640, "mmm-yy"), TEXT([2]GASOLINE!$B$5:$B$208, "mmm-yy"), [2]GASOLINE!$IR$5:$IR$208, "Not Found")</f>
        <v>-120.28087354168227</v>
      </c>
      <c r="K640" cm="1">
        <f t="array" ref="K640">_xlfn.XLOOKUP(TEXT(A640, "mmm-yy"), TEXT([2]GASOLINE!$B$5:$B$208, "mmm-yy"), [2]GASOLINE!$IK$5:$IK$208, "Not Found")</f>
        <v>0</v>
      </c>
      <c r="L640">
        <f t="shared" si="9"/>
        <v>1</v>
      </c>
      <c r="M640" cm="1">
        <f t="array" ref="M640">_xlfn.XLOOKUP(TEXT(A640, "mmm-yy"), TEXT([2]GASOLINE!$B$5:$B$208, "mmm-yy"), [2]GASOLINE!$C$5:$C$208, "Not Found")</f>
        <v>7079.8966706868969</v>
      </c>
      <c r="N640" cm="1">
        <f t="array" ref="N640">_xlfn.XLOOKUP(TEXT(A640, "mmm-yy"), TEXT([2]RUNS!$B$5:$B$208, "mmm-yy"), [2]RUNS!$BM$5:$BM$208, "Not Found")</f>
        <v>0.82618156342933069</v>
      </c>
    </row>
    <row r="641" spans="1:14" x14ac:dyDescent="0.25">
      <c r="A641" s="1">
        <f>'[1]Global_Spot Prices'!$B1950</f>
        <v>42900</v>
      </c>
      <c r="B641">
        <f>_xlfn.XLOOKUP(A641,'[1]Global_Spot Prices'!$B:$B,'[1]Global_Spot Prices'!$BS:$BS)</f>
        <v>10.530000000000001</v>
      </c>
      <c r="C641">
        <f>_xlfn.XLOOKUP(A641,'[1]Global_Spot Prices'!$B:$B,'[1]Global_Spot Prices'!$E:$E)</f>
        <v>46.75</v>
      </c>
      <c r="D641">
        <f>_xlfn.XLOOKUP(A641,'[1]Global_Spot Prices'!$B:$B,'[1]Global_Spot Prices'!$D:$D)</f>
        <v>45.62</v>
      </c>
      <c r="E641">
        <f>_xlfn.XLOOKUP(A641,'[1]Global_Spot Prices'!$B:$B,'[1]Global_Spot Prices'!$H:$H)</f>
        <v>45.25</v>
      </c>
      <c r="F641">
        <f>_xlfn.XLOOKUP(A641,'[1]Global_Spot Prices'!$B:$B,'[1]Global_Spot Prices'!$I:$I)</f>
        <v>57.28</v>
      </c>
      <c r="G641" cm="1">
        <f t="array" ref="G641">_xlfn.XLOOKUP(TEXT(A641, "mmm-yy"), TEXT([2]RUNS!$B$5:$B$208, "mmm-yy"), [2]RUNS!$D$5:$D$208, "Not Found")</f>
        <v>27722.935451652906</v>
      </c>
      <c r="H641" cm="1">
        <f t="array" ref="H641">SUMPRODUCT(
    --(TEXT('[3]Global Weekly Stock (EWSuez'!$B$4:$B$2000,"mmm-yy")=TEXT(A641,"mmm-yy")),
    '[3]Global Weekly Stock (EWSuez'!$E$4:$E$2000)
/
SUMPRODUCT(
    --(TEXT('[3]Global Weekly Stock (EWSuez'!$B$4:$B$2000,"mmm-yy")=TEXT(A641,"mmm-yy"))
)</f>
        <v>11277.8</v>
      </c>
      <c r="I641">
        <f>_xlfn.XLOOKUP(A641,[1]ForwardDeriv!$D:$D,[1]ForwardDeriv!$AJ:$AJ)</f>
        <v>0.40000000000000568</v>
      </c>
      <c r="J641" cm="1">
        <f t="array" ref="J641">_xlfn.XLOOKUP(TEXT(A641, "mmm-yy"), TEXT([2]GASOLINE!$B$5:$B$208, "mmm-yy"), [2]GASOLINE!$IR$5:$IR$208, "Not Found")</f>
        <v>-120.28087354168227</v>
      </c>
      <c r="K641" cm="1">
        <f t="array" ref="K641">_xlfn.XLOOKUP(TEXT(A641, "mmm-yy"), TEXT([2]GASOLINE!$B$5:$B$208, "mmm-yy"), [2]GASOLINE!$IK$5:$IK$208, "Not Found")</f>
        <v>0</v>
      </c>
      <c r="L641">
        <f t="shared" si="9"/>
        <v>1</v>
      </c>
      <c r="M641" cm="1">
        <f t="array" ref="M641">_xlfn.XLOOKUP(TEXT(A641, "mmm-yy"), TEXT([2]GASOLINE!$B$5:$B$208, "mmm-yy"), [2]GASOLINE!$C$5:$C$208, "Not Found")</f>
        <v>7079.8966706868969</v>
      </c>
      <c r="N641" cm="1">
        <f t="array" ref="N641">_xlfn.XLOOKUP(TEXT(A641, "mmm-yy"), TEXT([2]RUNS!$B$5:$B$208, "mmm-yy"), [2]RUNS!$BM$5:$BM$208, "Not Found")</f>
        <v>0.82618156342933069</v>
      </c>
    </row>
    <row r="642" spans="1:14" x14ac:dyDescent="0.25">
      <c r="A642" s="1">
        <f>'[1]Global_Spot Prices'!$B1951</f>
        <v>42901</v>
      </c>
      <c r="B642">
        <f>_xlfn.XLOOKUP(A642,'[1]Global_Spot Prices'!$B:$B,'[1]Global_Spot Prices'!$BS:$BS)</f>
        <v>10.030000000000001</v>
      </c>
      <c r="C642">
        <f>_xlfn.XLOOKUP(A642,'[1]Global_Spot Prices'!$B:$B,'[1]Global_Spot Prices'!$E:$E)</f>
        <v>45.39</v>
      </c>
      <c r="D642">
        <f>_xlfn.XLOOKUP(A642,'[1]Global_Spot Prices'!$B:$B,'[1]Global_Spot Prices'!$D:$D)</f>
        <v>45.805</v>
      </c>
      <c r="E642">
        <f>_xlfn.XLOOKUP(A642,'[1]Global_Spot Prices'!$B:$B,'[1]Global_Spot Prices'!$H:$H)</f>
        <v>44.25</v>
      </c>
      <c r="F642">
        <f>_xlfn.XLOOKUP(A642,'[1]Global_Spot Prices'!$B:$B,'[1]Global_Spot Prices'!$I:$I)</f>
        <v>55.42</v>
      </c>
      <c r="G642" cm="1">
        <f t="array" ref="G642">_xlfn.XLOOKUP(TEXT(A642, "mmm-yy"), TEXT([2]RUNS!$B$5:$B$208, "mmm-yy"), [2]RUNS!$D$5:$D$208, "Not Found")</f>
        <v>27722.935451652906</v>
      </c>
      <c r="H642" cm="1">
        <f t="array" ref="H642">SUMPRODUCT(
    --(TEXT('[3]Global Weekly Stock (EWSuez'!$B$4:$B$2000,"mmm-yy")=TEXT(A642,"mmm-yy")),
    '[3]Global Weekly Stock (EWSuez'!$E$4:$E$2000)
/
SUMPRODUCT(
    --(TEXT('[3]Global Weekly Stock (EWSuez'!$B$4:$B$2000,"mmm-yy")=TEXT(A642,"mmm-yy"))
)</f>
        <v>11277.8</v>
      </c>
      <c r="I642">
        <f>_xlfn.XLOOKUP(A642,[1]ForwardDeriv!$D:$D,[1]ForwardDeriv!$AJ:$AJ)</f>
        <v>0.25</v>
      </c>
      <c r="J642" cm="1">
        <f t="array" ref="J642">_xlfn.XLOOKUP(TEXT(A642, "mmm-yy"), TEXT([2]GASOLINE!$B$5:$B$208, "mmm-yy"), [2]GASOLINE!$IR$5:$IR$208, "Not Found")</f>
        <v>-120.28087354168227</v>
      </c>
      <c r="K642" cm="1">
        <f t="array" ref="K642">_xlfn.XLOOKUP(TEXT(A642, "mmm-yy"), TEXT([2]GASOLINE!$B$5:$B$208, "mmm-yy"), [2]GASOLINE!$IK$5:$IK$208, "Not Found")</f>
        <v>0</v>
      </c>
      <c r="L642">
        <f t="shared" si="9"/>
        <v>1</v>
      </c>
      <c r="M642" cm="1">
        <f t="array" ref="M642">_xlfn.XLOOKUP(TEXT(A642, "mmm-yy"), TEXT([2]GASOLINE!$B$5:$B$208, "mmm-yy"), [2]GASOLINE!$C$5:$C$208, "Not Found")</f>
        <v>7079.8966706868969</v>
      </c>
      <c r="N642" cm="1">
        <f t="array" ref="N642">_xlfn.XLOOKUP(TEXT(A642, "mmm-yy"), TEXT([2]RUNS!$B$5:$B$208, "mmm-yy"), [2]RUNS!$BM$5:$BM$208, "Not Found")</f>
        <v>0.82618156342933069</v>
      </c>
    </row>
    <row r="643" spans="1:14" x14ac:dyDescent="0.25">
      <c r="A643" s="1">
        <f>'[1]Global_Spot Prices'!$B1952</f>
        <v>42902</v>
      </c>
      <c r="B643">
        <f>_xlfn.XLOOKUP(A643,'[1]Global_Spot Prices'!$B:$B,'[1]Global_Spot Prices'!$BS:$BS)</f>
        <v>10.495000000000005</v>
      </c>
      <c r="C643">
        <f>_xlfn.XLOOKUP(A643,'[1]Global_Spot Prices'!$B:$B,'[1]Global_Spot Prices'!$E:$E)</f>
        <v>45.854999999999997</v>
      </c>
      <c r="D643">
        <f>_xlfn.XLOOKUP(A643,'[1]Global_Spot Prices'!$B:$B,'[1]Global_Spot Prices'!$D:$D)</f>
        <v>46.015000000000001</v>
      </c>
      <c r="E643">
        <f>_xlfn.XLOOKUP(A643,'[1]Global_Spot Prices'!$B:$B,'[1]Global_Spot Prices'!$H:$H)</f>
        <v>44.6</v>
      </c>
      <c r="F643">
        <f>_xlfn.XLOOKUP(A643,'[1]Global_Spot Prices'!$B:$B,'[1]Global_Spot Prices'!$I:$I)</f>
        <v>56.35</v>
      </c>
      <c r="G643" cm="1">
        <f t="array" ref="G643">_xlfn.XLOOKUP(TEXT(A643, "mmm-yy"), TEXT([2]RUNS!$B$5:$B$208, "mmm-yy"), [2]RUNS!$D$5:$D$208, "Not Found")</f>
        <v>27722.935451652906</v>
      </c>
      <c r="H643" cm="1">
        <f t="array" ref="H643">SUMPRODUCT(
    --(TEXT('[3]Global Weekly Stock (EWSuez'!$B$4:$B$2000,"mmm-yy")=TEXT(A643,"mmm-yy")),
    '[3]Global Weekly Stock (EWSuez'!$E$4:$E$2000)
/
SUMPRODUCT(
    --(TEXT('[3]Global Weekly Stock (EWSuez'!$B$4:$B$2000,"mmm-yy")=TEXT(A643,"mmm-yy"))
)</f>
        <v>11277.8</v>
      </c>
      <c r="I643">
        <f>_xlfn.XLOOKUP(A643,[1]ForwardDeriv!$D:$D,[1]ForwardDeriv!$AJ:$AJ)</f>
        <v>0.30999999999999517</v>
      </c>
      <c r="J643" cm="1">
        <f t="array" ref="J643">_xlfn.XLOOKUP(TEXT(A643, "mmm-yy"), TEXT([2]GASOLINE!$B$5:$B$208, "mmm-yy"), [2]GASOLINE!$IR$5:$IR$208, "Not Found")</f>
        <v>-120.28087354168227</v>
      </c>
      <c r="K643" cm="1">
        <f t="array" ref="K643">_xlfn.XLOOKUP(TEXT(A643, "mmm-yy"), TEXT([2]GASOLINE!$B$5:$B$208, "mmm-yy"), [2]GASOLINE!$IK$5:$IK$208, "Not Found")</f>
        <v>0</v>
      </c>
      <c r="L643">
        <f t="shared" ref="L643:L706" si="10">IF(OR(MONTH(A643)=6, MONTH(A643)=7, MONTH(A643)=8, MONTH(A643)=9), 1, 0)</f>
        <v>1</v>
      </c>
      <c r="M643" cm="1">
        <f t="array" ref="M643">_xlfn.XLOOKUP(TEXT(A643, "mmm-yy"), TEXT([2]GASOLINE!$B$5:$B$208, "mmm-yy"), [2]GASOLINE!$C$5:$C$208, "Not Found")</f>
        <v>7079.8966706868969</v>
      </c>
      <c r="N643" cm="1">
        <f t="array" ref="N643">_xlfn.XLOOKUP(TEXT(A643, "mmm-yy"), TEXT([2]RUNS!$B$5:$B$208, "mmm-yy"), [2]RUNS!$BM$5:$BM$208, "Not Found")</f>
        <v>0.82618156342933069</v>
      </c>
    </row>
    <row r="644" spans="1:14" x14ac:dyDescent="0.25">
      <c r="A644" s="1">
        <f>'[1]Global_Spot Prices'!$B1953</f>
        <v>42905</v>
      </c>
      <c r="B644">
        <f>_xlfn.XLOOKUP(A644,'[1]Global_Spot Prices'!$B:$B,'[1]Global_Spot Prices'!$BS:$BS)</f>
        <v>10.32</v>
      </c>
      <c r="C644">
        <f>_xlfn.XLOOKUP(A644,'[1]Global_Spot Prices'!$B:$B,'[1]Global_Spot Prices'!$E:$E)</f>
        <v>45.62</v>
      </c>
      <c r="D644">
        <f>_xlfn.XLOOKUP(A644,'[1]Global_Spot Prices'!$B:$B,'[1]Global_Spot Prices'!$D:$D)</f>
        <v>46.145000000000003</v>
      </c>
      <c r="E644">
        <f>_xlfn.XLOOKUP(A644,'[1]Global_Spot Prices'!$B:$B,'[1]Global_Spot Prices'!$H:$H)</f>
        <v>44.29</v>
      </c>
      <c r="F644">
        <f>_xlfn.XLOOKUP(A644,'[1]Global_Spot Prices'!$B:$B,'[1]Global_Spot Prices'!$I:$I)</f>
        <v>55.94</v>
      </c>
      <c r="G644" cm="1">
        <f t="array" ref="G644">_xlfn.XLOOKUP(TEXT(A644, "mmm-yy"), TEXT([2]RUNS!$B$5:$B$208, "mmm-yy"), [2]RUNS!$D$5:$D$208, "Not Found")</f>
        <v>27722.935451652906</v>
      </c>
      <c r="H644" cm="1">
        <f t="array" ref="H644">SUMPRODUCT(
    --(TEXT('[3]Global Weekly Stock (EWSuez'!$B$4:$B$2000,"mmm-yy")=TEXT(A644,"mmm-yy")),
    '[3]Global Weekly Stock (EWSuez'!$E$4:$E$2000)
/
SUMPRODUCT(
    --(TEXT('[3]Global Weekly Stock (EWSuez'!$B$4:$B$2000,"mmm-yy")=TEXT(A644,"mmm-yy"))
)</f>
        <v>11277.8</v>
      </c>
      <c r="I644">
        <f>_xlfn.XLOOKUP(A644,[1]ForwardDeriv!$D:$D,[1]ForwardDeriv!$AJ:$AJ)</f>
        <v>0.31000000000000227</v>
      </c>
      <c r="J644" cm="1">
        <f t="array" ref="J644">_xlfn.XLOOKUP(TEXT(A644, "mmm-yy"), TEXT([2]GASOLINE!$B$5:$B$208, "mmm-yy"), [2]GASOLINE!$IR$5:$IR$208, "Not Found")</f>
        <v>-120.28087354168227</v>
      </c>
      <c r="K644" cm="1">
        <f t="array" ref="K644">_xlfn.XLOOKUP(TEXT(A644, "mmm-yy"), TEXT([2]GASOLINE!$B$5:$B$208, "mmm-yy"), [2]GASOLINE!$IK$5:$IK$208, "Not Found")</f>
        <v>0</v>
      </c>
      <c r="L644">
        <f t="shared" si="10"/>
        <v>1</v>
      </c>
      <c r="M644" cm="1">
        <f t="array" ref="M644">_xlfn.XLOOKUP(TEXT(A644, "mmm-yy"), TEXT([2]GASOLINE!$B$5:$B$208, "mmm-yy"), [2]GASOLINE!$C$5:$C$208, "Not Found")</f>
        <v>7079.8966706868969</v>
      </c>
      <c r="N644" cm="1">
        <f t="array" ref="N644">_xlfn.XLOOKUP(TEXT(A644, "mmm-yy"), TEXT([2]RUNS!$B$5:$B$208, "mmm-yy"), [2]RUNS!$BM$5:$BM$208, "Not Found")</f>
        <v>0.82618156342933069</v>
      </c>
    </row>
    <row r="645" spans="1:14" x14ac:dyDescent="0.25">
      <c r="A645" s="1">
        <f>'[1]Global_Spot Prices'!$B1954</f>
        <v>42906</v>
      </c>
      <c r="B645">
        <f>_xlfn.XLOOKUP(A645,'[1]Global_Spot Prices'!$B:$B,'[1]Global_Spot Prices'!$BS:$BS)</f>
        <v>10.410000000000004</v>
      </c>
      <c r="C645">
        <f>_xlfn.XLOOKUP(A645,'[1]Global_Spot Prices'!$B:$B,'[1]Global_Spot Prices'!$E:$E)</f>
        <v>45.66</v>
      </c>
      <c r="D645">
        <f>_xlfn.XLOOKUP(A645,'[1]Global_Spot Prices'!$B:$B,'[1]Global_Spot Prices'!$D:$D)</f>
        <v>44.28</v>
      </c>
      <c r="E645">
        <f>_xlfn.XLOOKUP(A645,'[1]Global_Spot Prices'!$B:$B,'[1]Global_Spot Prices'!$H:$H)</f>
        <v>44.33</v>
      </c>
      <c r="F645">
        <f>_xlfn.XLOOKUP(A645,'[1]Global_Spot Prices'!$B:$B,'[1]Global_Spot Prices'!$I:$I)</f>
        <v>56.07</v>
      </c>
      <c r="G645" cm="1">
        <f t="array" ref="G645">_xlfn.XLOOKUP(TEXT(A645, "mmm-yy"), TEXT([2]RUNS!$B$5:$B$208, "mmm-yy"), [2]RUNS!$D$5:$D$208, "Not Found")</f>
        <v>27722.935451652906</v>
      </c>
      <c r="H645" cm="1">
        <f t="array" ref="H645">SUMPRODUCT(
    --(TEXT('[3]Global Weekly Stock (EWSuez'!$B$4:$B$2000,"mmm-yy")=TEXT(A645,"mmm-yy")),
    '[3]Global Weekly Stock (EWSuez'!$E$4:$E$2000)
/
SUMPRODUCT(
    --(TEXT('[3]Global Weekly Stock (EWSuez'!$B$4:$B$2000,"mmm-yy")=TEXT(A645,"mmm-yy"))
)</f>
        <v>11277.8</v>
      </c>
      <c r="I645">
        <f>_xlfn.XLOOKUP(A645,[1]ForwardDeriv!$D:$D,[1]ForwardDeriv!$AJ:$AJ)</f>
        <v>0.35000000000000142</v>
      </c>
      <c r="J645" cm="1">
        <f t="array" ref="J645">_xlfn.XLOOKUP(TEXT(A645, "mmm-yy"), TEXT([2]GASOLINE!$B$5:$B$208, "mmm-yy"), [2]GASOLINE!$IR$5:$IR$208, "Not Found")</f>
        <v>-120.28087354168227</v>
      </c>
      <c r="K645" cm="1">
        <f t="array" ref="K645">_xlfn.XLOOKUP(TEXT(A645, "mmm-yy"), TEXT([2]GASOLINE!$B$5:$B$208, "mmm-yy"), [2]GASOLINE!$IK$5:$IK$208, "Not Found")</f>
        <v>0</v>
      </c>
      <c r="L645">
        <f t="shared" si="10"/>
        <v>1</v>
      </c>
      <c r="M645" cm="1">
        <f t="array" ref="M645">_xlfn.XLOOKUP(TEXT(A645, "mmm-yy"), TEXT([2]GASOLINE!$B$5:$B$208, "mmm-yy"), [2]GASOLINE!$C$5:$C$208, "Not Found")</f>
        <v>7079.8966706868969</v>
      </c>
      <c r="N645" cm="1">
        <f t="array" ref="N645">_xlfn.XLOOKUP(TEXT(A645, "mmm-yy"), TEXT([2]RUNS!$B$5:$B$208, "mmm-yy"), [2]RUNS!$BM$5:$BM$208, "Not Found")</f>
        <v>0.82618156342933069</v>
      </c>
    </row>
    <row r="646" spans="1:14" x14ac:dyDescent="0.25">
      <c r="A646" s="1">
        <f>'[1]Global_Spot Prices'!$B1955</f>
        <v>42907</v>
      </c>
      <c r="B646">
        <f>_xlfn.XLOOKUP(A646,'[1]Global_Spot Prices'!$B:$B,'[1]Global_Spot Prices'!$BS:$BS)</f>
        <v>10.310000000000002</v>
      </c>
      <c r="C646">
        <f>_xlfn.XLOOKUP(A646,'[1]Global_Spot Prices'!$B:$B,'[1]Global_Spot Prices'!$E:$E)</f>
        <v>44.32</v>
      </c>
      <c r="D646">
        <f>_xlfn.XLOOKUP(A646,'[1]Global_Spot Prices'!$B:$B,'[1]Global_Spot Prices'!$D:$D)</f>
        <v>44.6</v>
      </c>
      <c r="E646">
        <f>_xlfn.XLOOKUP(A646,'[1]Global_Spot Prices'!$B:$B,'[1]Global_Spot Prices'!$H:$H)</f>
        <v>43.47</v>
      </c>
      <c r="F646">
        <f>_xlfn.XLOOKUP(A646,'[1]Global_Spot Prices'!$B:$B,'[1]Global_Spot Prices'!$I:$I)</f>
        <v>54.63</v>
      </c>
      <c r="G646" cm="1">
        <f t="array" ref="G646">_xlfn.XLOOKUP(TEXT(A646, "mmm-yy"), TEXT([2]RUNS!$B$5:$B$208, "mmm-yy"), [2]RUNS!$D$5:$D$208, "Not Found")</f>
        <v>27722.935451652906</v>
      </c>
      <c r="H646" cm="1">
        <f t="array" ref="H646">SUMPRODUCT(
    --(TEXT('[3]Global Weekly Stock (EWSuez'!$B$4:$B$2000,"mmm-yy")=TEXT(A646,"mmm-yy")),
    '[3]Global Weekly Stock (EWSuez'!$E$4:$E$2000)
/
SUMPRODUCT(
    --(TEXT('[3]Global Weekly Stock (EWSuez'!$B$4:$B$2000,"mmm-yy")=TEXT(A646,"mmm-yy"))
)</f>
        <v>11277.8</v>
      </c>
      <c r="I646">
        <f>_xlfn.XLOOKUP(A646,[1]ForwardDeriv!$D:$D,[1]ForwardDeriv!$AJ:$AJ)</f>
        <v>0.37000000000000455</v>
      </c>
      <c r="J646" cm="1">
        <f t="array" ref="J646">_xlfn.XLOOKUP(TEXT(A646, "mmm-yy"), TEXT([2]GASOLINE!$B$5:$B$208, "mmm-yy"), [2]GASOLINE!$IR$5:$IR$208, "Not Found")</f>
        <v>-120.28087354168227</v>
      </c>
      <c r="K646" cm="1">
        <f t="array" ref="K646">_xlfn.XLOOKUP(TEXT(A646, "mmm-yy"), TEXT([2]GASOLINE!$B$5:$B$208, "mmm-yy"), [2]GASOLINE!$IK$5:$IK$208, "Not Found")</f>
        <v>0</v>
      </c>
      <c r="L646">
        <f t="shared" si="10"/>
        <v>1</v>
      </c>
      <c r="M646" cm="1">
        <f t="array" ref="M646">_xlfn.XLOOKUP(TEXT(A646, "mmm-yy"), TEXT([2]GASOLINE!$B$5:$B$208, "mmm-yy"), [2]GASOLINE!$C$5:$C$208, "Not Found")</f>
        <v>7079.8966706868969</v>
      </c>
      <c r="N646" cm="1">
        <f t="array" ref="N646">_xlfn.XLOOKUP(TEXT(A646, "mmm-yy"), TEXT([2]RUNS!$B$5:$B$208, "mmm-yy"), [2]RUNS!$BM$5:$BM$208, "Not Found")</f>
        <v>0.82618156342933069</v>
      </c>
    </row>
    <row r="647" spans="1:14" x14ac:dyDescent="0.25">
      <c r="A647" s="1">
        <f>'[1]Global_Spot Prices'!$B1956</f>
        <v>42908</v>
      </c>
      <c r="B647">
        <f>_xlfn.XLOOKUP(A647,'[1]Global_Spot Prices'!$B:$B,'[1]Global_Spot Prices'!$BS:$BS)</f>
        <v>10.5</v>
      </c>
      <c r="C647">
        <f>_xlfn.XLOOKUP(A647,'[1]Global_Spot Prices'!$B:$B,'[1]Global_Spot Prices'!$E:$E)</f>
        <v>43.5</v>
      </c>
      <c r="D647">
        <f>_xlfn.XLOOKUP(A647,'[1]Global_Spot Prices'!$B:$B,'[1]Global_Spot Prices'!$D:$D)</f>
        <v>44.65</v>
      </c>
      <c r="E647">
        <f>_xlfn.XLOOKUP(A647,'[1]Global_Spot Prices'!$B:$B,'[1]Global_Spot Prices'!$H:$H)</f>
        <v>42.56</v>
      </c>
      <c r="F647">
        <f>_xlfn.XLOOKUP(A647,'[1]Global_Spot Prices'!$B:$B,'[1]Global_Spot Prices'!$I:$I)</f>
        <v>54</v>
      </c>
      <c r="G647" cm="1">
        <f t="array" ref="G647">_xlfn.XLOOKUP(TEXT(A647, "mmm-yy"), TEXT([2]RUNS!$B$5:$B$208, "mmm-yy"), [2]RUNS!$D$5:$D$208, "Not Found")</f>
        <v>27722.935451652906</v>
      </c>
      <c r="H647" cm="1">
        <f t="array" ref="H647">SUMPRODUCT(
    --(TEXT('[3]Global Weekly Stock (EWSuez'!$B$4:$B$2000,"mmm-yy")=TEXT(A647,"mmm-yy")),
    '[3]Global Weekly Stock (EWSuez'!$E$4:$E$2000)
/
SUMPRODUCT(
    --(TEXT('[3]Global Weekly Stock (EWSuez'!$B$4:$B$2000,"mmm-yy")=TEXT(A647,"mmm-yy"))
)</f>
        <v>11277.8</v>
      </c>
      <c r="I647">
        <f>_xlfn.XLOOKUP(A647,[1]ForwardDeriv!$D:$D,[1]ForwardDeriv!$AJ:$AJ)</f>
        <v>0.42999999999999972</v>
      </c>
      <c r="J647" cm="1">
        <f t="array" ref="J647">_xlfn.XLOOKUP(TEXT(A647, "mmm-yy"), TEXT([2]GASOLINE!$B$5:$B$208, "mmm-yy"), [2]GASOLINE!$IR$5:$IR$208, "Not Found")</f>
        <v>-120.28087354168227</v>
      </c>
      <c r="K647" cm="1">
        <f t="array" ref="K647">_xlfn.XLOOKUP(TEXT(A647, "mmm-yy"), TEXT([2]GASOLINE!$B$5:$B$208, "mmm-yy"), [2]GASOLINE!$IK$5:$IK$208, "Not Found")</f>
        <v>0</v>
      </c>
      <c r="L647">
        <f t="shared" si="10"/>
        <v>1</v>
      </c>
      <c r="M647" cm="1">
        <f t="array" ref="M647">_xlfn.XLOOKUP(TEXT(A647, "mmm-yy"), TEXT([2]GASOLINE!$B$5:$B$208, "mmm-yy"), [2]GASOLINE!$C$5:$C$208, "Not Found")</f>
        <v>7079.8966706868969</v>
      </c>
      <c r="N647" cm="1">
        <f t="array" ref="N647">_xlfn.XLOOKUP(TEXT(A647, "mmm-yy"), TEXT([2]RUNS!$B$5:$B$208, "mmm-yy"), [2]RUNS!$BM$5:$BM$208, "Not Found")</f>
        <v>0.82618156342933069</v>
      </c>
    </row>
    <row r="648" spans="1:14" x14ac:dyDescent="0.25">
      <c r="A648" s="1">
        <f>'[1]Global_Spot Prices'!$B1957</f>
        <v>42909</v>
      </c>
      <c r="B648">
        <f>_xlfn.XLOOKUP(A648,'[1]Global_Spot Prices'!$B:$B,'[1]Global_Spot Prices'!$BS:$BS)</f>
        <v>11.209999999999994</v>
      </c>
      <c r="C648">
        <f>_xlfn.XLOOKUP(A648,'[1]Global_Spot Prices'!$B:$B,'[1]Global_Spot Prices'!$E:$E)</f>
        <v>44.2</v>
      </c>
      <c r="D648">
        <f>_xlfn.XLOOKUP(A648,'[1]Global_Spot Prices'!$B:$B,'[1]Global_Spot Prices'!$D:$D)</f>
        <v>44.465000000000003</v>
      </c>
      <c r="E648">
        <f>_xlfn.XLOOKUP(A648,'[1]Global_Spot Prices'!$B:$B,'[1]Global_Spot Prices'!$H:$H)</f>
        <v>42.87</v>
      </c>
      <c r="F648">
        <f>_xlfn.XLOOKUP(A648,'[1]Global_Spot Prices'!$B:$B,'[1]Global_Spot Prices'!$I:$I)</f>
        <v>55.41</v>
      </c>
      <c r="G648" cm="1">
        <f t="array" ref="G648">_xlfn.XLOOKUP(TEXT(A648, "mmm-yy"), TEXT([2]RUNS!$B$5:$B$208, "mmm-yy"), [2]RUNS!$D$5:$D$208, "Not Found")</f>
        <v>27722.935451652906</v>
      </c>
      <c r="H648" cm="1">
        <f t="array" ref="H648">SUMPRODUCT(
    --(TEXT('[3]Global Weekly Stock (EWSuez'!$B$4:$B$2000,"mmm-yy")=TEXT(A648,"mmm-yy")),
    '[3]Global Weekly Stock (EWSuez'!$E$4:$E$2000)
/
SUMPRODUCT(
    --(TEXT('[3]Global Weekly Stock (EWSuez'!$B$4:$B$2000,"mmm-yy")=TEXT(A648,"mmm-yy"))
)</f>
        <v>11277.8</v>
      </c>
      <c r="I648">
        <f>_xlfn.XLOOKUP(A648,[1]ForwardDeriv!$D:$D,[1]ForwardDeriv!$AJ:$AJ)</f>
        <v>0.5</v>
      </c>
      <c r="J648" cm="1">
        <f t="array" ref="J648">_xlfn.XLOOKUP(TEXT(A648, "mmm-yy"), TEXT([2]GASOLINE!$B$5:$B$208, "mmm-yy"), [2]GASOLINE!$IR$5:$IR$208, "Not Found")</f>
        <v>-120.28087354168227</v>
      </c>
      <c r="K648" cm="1">
        <f t="array" ref="K648">_xlfn.XLOOKUP(TEXT(A648, "mmm-yy"), TEXT([2]GASOLINE!$B$5:$B$208, "mmm-yy"), [2]GASOLINE!$IK$5:$IK$208, "Not Found")</f>
        <v>0</v>
      </c>
      <c r="L648">
        <f t="shared" si="10"/>
        <v>1</v>
      </c>
      <c r="M648" cm="1">
        <f t="array" ref="M648">_xlfn.XLOOKUP(TEXT(A648, "mmm-yy"), TEXT([2]GASOLINE!$B$5:$B$208, "mmm-yy"), [2]GASOLINE!$C$5:$C$208, "Not Found")</f>
        <v>7079.8966706868969</v>
      </c>
      <c r="N648" cm="1">
        <f t="array" ref="N648">_xlfn.XLOOKUP(TEXT(A648, "mmm-yy"), TEXT([2]RUNS!$B$5:$B$208, "mmm-yy"), [2]RUNS!$BM$5:$BM$208, "Not Found")</f>
        <v>0.82618156342933069</v>
      </c>
    </row>
    <row r="649" spans="1:14" x14ac:dyDescent="0.25">
      <c r="A649" s="1">
        <f>'[1]Global_Spot Prices'!$B1958</f>
        <v>42912</v>
      </c>
      <c r="B649" t="e">
        <f>_xlfn.XLOOKUP(A649,'[1]Global_Spot Prices'!$B:$B,'[1]Global_Spot Prices'!$BS:$BS)</f>
        <v>#N/A</v>
      </c>
      <c r="C649" t="str">
        <f>_xlfn.XLOOKUP(A649,'[1]Global_Spot Prices'!$B:$B,'[1]Global_Spot Prices'!$E:$E)</f>
        <v/>
      </c>
      <c r="D649">
        <f>_xlfn.XLOOKUP(A649,'[1]Global_Spot Prices'!$B:$B,'[1]Global_Spot Prices'!$D:$D)</f>
        <v>44.62</v>
      </c>
      <c r="E649">
        <f>_xlfn.XLOOKUP(A649,'[1]Global_Spot Prices'!$B:$B,'[1]Global_Spot Prices'!$H:$H)</f>
        <v>0</v>
      </c>
      <c r="F649">
        <f>_xlfn.XLOOKUP(A649,'[1]Global_Spot Prices'!$B:$B,'[1]Global_Spot Prices'!$I:$I)</f>
        <v>0</v>
      </c>
      <c r="G649" cm="1">
        <f t="array" ref="G649">_xlfn.XLOOKUP(TEXT(A649, "mmm-yy"), TEXT([2]RUNS!$B$5:$B$208, "mmm-yy"), [2]RUNS!$D$5:$D$208, "Not Found")</f>
        <v>27722.935451652906</v>
      </c>
      <c r="H649" cm="1">
        <f t="array" ref="H649">SUMPRODUCT(
    --(TEXT('[3]Global Weekly Stock (EWSuez'!$B$4:$B$2000,"mmm-yy")=TEXT(A649,"mmm-yy")),
    '[3]Global Weekly Stock (EWSuez'!$E$4:$E$2000)
/
SUMPRODUCT(
    --(TEXT('[3]Global Weekly Stock (EWSuez'!$B$4:$B$2000,"mmm-yy")=TEXT(A649,"mmm-yy"))
)</f>
        <v>11277.8</v>
      </c>
      <c r="I649">
        <f>_xlfn.XLOOKUP(A649,[1]ForwardDeriv!$D:$D,[1]ForwardDeriv!$AJ:$AJ)</f>
        <v>0.43999999999999773</v>
      </c>
      <c r="J649" cm="1">
        <f t="array" ref="J649">_xlfn.XLOOKUP(TEXT(A649, "mmm-yy"), TEXT([2]GASOLINE!$B$5:$B$208, "mmm-yy"), [2]GASOLINE!$IR$5:$IR$208, "Not Found")</f>
        <v>-120.28087354168227</v>
      </c>
      <c r="K649" cm="1">
        <f t="array" ref="K649">_xlfn.XLOOKUP(TEXT(A649, "mmm-yy"), TEXT([2]GASOLINE!$B$5:$B$208, "mmm-yy"), [2]GASOLINE!$IK$5:$IK$208, "Not Found")</f>
        <v>0</v>
      </c>
      <c r="L649">
        <f t="shared" si="10"/>
        <v>1</v>
      </c>
      <c r="M649" cm="1">
        <f t="array" ref="M649">_xlfn.XLOOKUP(TEXT(A649, "mmm-yy"), TEXT([2]GASOLINE!$B$5:$B$208, "mmm-yy"), [2]GASOLINE!$C$5:$C$208, "Not Found")</f>
        <v>7079.8966706868969</v>
      </c>
      <c r="N649" cm="1">
        <f t="array" ref="N649">_xlfn.XLOOKUP(TEXT(A649, "mmm-yy"), TEXT([2]RUNS!$B$5:$B$208, "mmm-yy"), [2]RUNS!$BM$5:$BM$208, "Not Found")</f>
        <v>0.82618156342933069</v>
      </c>
    </row>
    <row r="650" spans="1:14" x14ac:dyDescent="0.25">
      <c r="A650" s="1">
        <f>'[1]Global_Spot Prices'!$B1959</f>
        <v>42913</v>
      </c>
      <c r="B650">
        <f>_xlfn.XLOOKUP(A650,'[1]Global_Spot Prices'!$B:$B,'[1]Global_Spot Prices'!$BS:$BS)</f>
        <v>10.340000000000003</v>
      </c>
      <c r="C650">
        <f>_xlfn.XLOOKUP(A650,'[1]Global_Spot Prices'!$B:$B,'[1]Global_Spot Prices'!$E:$E)</f>
        <v>45.08</v>
      </c>
      <c r="D650">
        <f>_xlfn.XLOOKUP(A650,'[1]Global_Spot Prices'!$B:$B,'[1]Global_Spot Prices'!$D:$D)</f>
        <v>46.174999999999997</v>
      </c>
      <c r="E650">
        <f>_xlfn.XLOOKUP(A650,'[1]Global_Spot Prices'!$B:$B,'[1]Global_Spot Prices'!$H:$H)</f>
        <v>43.26</v>
      </c>
      <c r="F650">
        <f>_xlfn.XLOOKUP(A650,'[1]Global_Spot Prices'!$B:$B,'[1]Global_Spot Prices'!$I:$I)</f>
        <v>55.42</v>
      </c>
      <c r="G650" cm="1">
        <f t="array" ref="G650">_xlfn.XLOOKUP(TEXT(A650, "mmm-yy"), TEXT([2]RUNS!$B$5:$B$208, "mmm-yy"), [2]RUNS!$D$5:$D$208, "Not Found")</f>
        <v>27722.935451652906</v>
      </c>
      <c r="H650" cm="1">
        <f t="array" ref="H650">SUMPRODUCT(
    --(TEXT('[3]Global Weekly Stock (EWSuez'!$B$4:$B$2000,"mmm-yy")=TEXT(A650,"mmm-yy")),
    '[3]Global Weekly Stock (EWSuez'!$E$4:$E$2000)
/
SUMPRODUCT(
    --(TEXT('[3]Global Weekly Stock (EWSuez'!$B$4:$B$2000,"mmm-yy")=TEXT(A650,"mmm-yy"))
)</f>
        <v>11277.8</v>
      </c>
      <c r="I650">
        <f>_xlfn.XLOOKUP(A650,[1]ForwardDeriv!$D:$D,[1]ForwardDeriv!$AJ:$AJ)</f>
        <v>0.43999999999999773</v>
      </c>
      <c r="J650" cm="1">
        <f t="array" ref="J650">_xlfn.XLOOKUP(TEXT(A650, "mmm-yy"), TEXT([2]GASOLINE!$B$5:$B$208, "mmm-yy"), [2]GASOLINE!$IR$5:$IR$208, "Not Found")</f>
        <v>-120.28087354168227</v>
      </c>
      <c r="K650" cm="1">
        <f t="array" ref="K650">_xlfn.XLOOKUP(TEXT(A650, "mmm-yy"), TEXT([2]GASOLINE!$B$5:$B$208, "mmm-yy"), [2]GASOLINE!$IK$5:$IK$208, "Not Found")</f>
        <v>0</v>
      </c>
      <c r="L650">
        <f t="shared" si="10"/>
        <v>1</v>
      </c>
      <c r="M650" cm="1">
        <f t="array" ref="M650">_xlfn.XLOOKUP(TEXT(A650, "mmm-yy"), TEXT([2]GASOLINE!$B$5:$B$208, "mmm-yy"), [2]GASOLINE!$C$5:$C$208, "Not Found")</f>
        <v>7079.8966706868969</v>
      </c>
      <c r="N650" cm="1">
        <f t="array" ref="N650">_xlfn.XLOOKUP(TEXT(A650, "mmm-yy"), TEXT([2]RUNS!$B$5:$B$208, "mmm-yy"), [2]RUNS!$BM$5:$BM$208, "Not Found")</f>
        <v>0.82618156342933069</v>
      </c>
    </row>
    <row r="651" spans="1:14" x14ac:dyDescent="0.25">
      <c r="A651" s="1">
        <f>'[1]Global_Spot Prices'!$B1960</f>
        <v>42914</v>
      </c>
      <c r="B651">
        <f>_xlfn.XLOOKUP(A651,'[1]Global_Spot Prices'!$B:$B,'[1]Global_Spot Prices'!$BS:$BS)</f>
        <v>9.86</v>
      </c>
      <c r="C651">
        <f>_xlfn.XLOOKUP(A651,'[1]Global_Spot Prices'!$B:$B,'[1]Global_Spot Prices'!$E:$E)</f>
        <v>45.25</v>
      </c>
      <c r="D651">
        <f>_xlfn.XLOOKUP(A651,'[1]Global_Spot Prices'!$B:$B,'[1]Global_Spot Prices'!$D:$D)</f>
        <v>46.465000000000003</v>
      </c>
      <c r="E651">
        <f>_xlfn.XLOOKUP(A651,'[1]Global_Spot Prices'!$B:$B,'[1]Global_Spot Prices'!$H:$H)</f>
        <v>43.26</v>
      </c>
      <c r="F651">
        <f>_xlfn.XLOOKUP(A651,'[1]Global_Spot Prices'!$B:$B,'[1]Global_Spot Prices'!$I:$I)</f>
        <v>55.11</v>
      </c>
      <c r="G651" cm="1">
        <f t="array" ref="G651">_xlfn.XLOOKUP(TEXT(A651, "mmm-yy"), TEXT([2]RUNS!$B$5:$B$208, "mmm-yy"), [2]RUNS!$D$5:$D$208, "Not Found")</f>
        <v>27722.935451652906</v>
      </c>
      <c r="H651" cm="1">
        <f t="array" ref="H651">SUMPRODUCT(
    --(TEXT('[3]Global Weekly Stock (EWSuez'!$B$4:$B$2000,"mmm-yy")=TEXT(A651,"mmm-yy")),
    '[3]Global Weekly Stock (EWSuez'!$E$4:$E$2000)
/
SUMPRODUCT(
    --(TEXT('[3]Global Weekly Stock (EWSuez'!$B$4:$B$2000,"mmm-yy")=TEXT(A651,"mmm-yy"))
)</f>
        <v>11277.8</v>
      </c>
      <c r="I651">
        <f>_xlfn.XLOOKUP(A651,[1]ForwardDeriv!$D:$D,[1]ForwardDeriv!$AJ:$AJ)</f>
        <v>0.35000000000000142</v>
      </c>
      <c r="J651" cm="1">
        <f t="array" ref="J651">_xlfn.XLOOKUP(TEXT(A651, "mmm-yy"), TEXT([2]GASOLINE!$B$5:$B$208, "mmm-yy"), [2]GASOLINE!$IR$5:$IR$208, "Not Found")</f>
        <v>-120.28087354168227</v>
      </c>
      <c r="K651" cm="1">
        <f t="array" ref="K651">_xlfn.XLOOKUP(TEXT(A651, "mmm-yy"), TEXT([2]GASOLINE!$B$5:$B$208, "mmm-yy"), [2]GASOLINE!$IK$5:$IK$208, "Not Found")</f>
        <v>0</v>
      </c>
      <c r="L651">
        <f t="shared" si="10"/>
        <v>1</v>
      </c>
      <c r="M651" cm="1">
        <f t="array" ref="M651">_xlfn.XLOOKUP(TEXT(A651, "mmm-yy"), TEXT([2]GASOLINE!$B$5:$B$208, "mmm-yy"), [2]GASOLINE!$C$5:$C$208, "Not Found")</f>
        <v>7079.8966706868969</v>
      </c>
      <c r="N651" cm="1">
        <f t="array" ref="N651">_xlfn.XLOOKUP(TEXT(A651, "mmm-yy"), TEXT([2]RUNS!$B$5:$B$208, "mmm-yy"), [2]RUNS!$BM$5:$BM$208, "Not Found")</f>
        <v>0.82618156342933069</v>
      </c>
    </row>
    <row r="652" spans="1:14" x14ac:dyDescent="0.25">
      <c r="A652" s="1">
        <f>'[1]Global_Spot Prices'!$B1961</f>
        <v>42915</v>
      </c>
      <c r="B652">
        <f>_xlfn.XLOOKUP(A652,'[1]Global_Spot Prices'!$B:$B,'[1]Global_Spot Prices'!$BS:$BS)</f>
        <v>10.340000000000003</v>
      </c>
      <c r="C652">
        <f>_xlfn.XLOOKUP(A652,'[1]Global_Spot Prices'!$B:$B,'[1]Global_Spot Prices'!$E:$E)</f>
        <v>46.41</v>
      </c>
      <c r="D652">
        <f>_xlfn.XLOOKUP(A652,'[1]Global_Spot Prices'!$B:$B,'[1]Global_Spot Prices'!$D:$D)</f>
        <v>47.075000000000003</v>
      </c>
      <c r="E652">
        <f>_xlfn.XLOOKUP(A652,'[1]Global_Spot Prices'!$B:$B,'[1]Global_Spot Prices'!$H:$H)</f>
        <v>44.17</v>
      </c>
      <c r="F652">
        <f>_xlfn.XLOOKUP(A652,'[1]Global_Spot Prices'!$B:$B,'[1]Global_Spot Prices'!$I:$I)</f>
        <v>56.75</v>
      </c>
      <c r="G652" cm="1">
        <f t="array" ref="G652">_xlfn.XLOOKUP(TEXT(A652, "mmm-yy"), TEXT([2]RUNS!$B$5:$B$208, "mmm-yy"), [2]RUNS!$D$5:$D$208, "Not Found")</f>
        <v>27722.935451652906</v>
      </c>
      <c r="H652" cm="1">
        <f t="array" ref="H652">SUMPRODUCT(
    --(TEXT('[3]Global Weekly Stock (EWSuez'!$B$4:$B$2000,"mmm-yy")=TEXT(A652,"mmm-yy")),
    '[3]Global Weekly Stock (EWSuez'!$E$4:$E$2000)
/
SUMPRODUCT(
    --(TEXT('[3]Global Weekly Stock (EWSuez'!$B$4:$B$2000,"mmm-yy")=TEXT(A652,"mmm-yy"))
)</f>
        <v>11277.8</v>
      </c>
      <c r="I652">
        <f>_xlfn.XLOOKUP(A652,[1]ForwardDeriv!$D:$D,[1]ForwardDeriv!$AJ:$AJ)</f>
        <v>0.37000000000000455</v>
      </c>
      <c r="J652" cm="1">
        <f t="array" ref="J652">_xlfn.XLOOKUP(TEXT(A652, "mmm-yy"), TEXT([2]GASOLINE!$B$5:$B$208, "mmm-yy"), [2]GASOLINE!$IR$5:$IR$208, "Not Found")</f>
        <v>-120.28087354168227</v>
      </c>
      <c r="K652" cm="1">
        <f t="array" ref="K652">_xlfn.XLOOKUP(TEXT(A652, "mmm-yy"), TEXT([2]GASOLINE!$B$5:$B$208, "mmm-yy"), [2]GASOLINE!$IK$5:$IK$208, "Not Found")</f>
        <v>0</v>
      </c>
      <c r="L652">
        <f t="shared" si="10"/>
        <v>1</v>
      </c>
      <c r="M652" cm="1">
        <f t="array" ref="M652">_xlfn.XLOOKUP(TEXT(A652, "mmm-yy"), TEXT([2]GASOLINE!$B$5:$B$208, "mmm-yy"), [2]GASOLINE!$C$5:$C$208, "Not Found")</f>
        <v>7079.8966706868969</v>
      </c>
      <c r="N652" cm="1">
        <f t="array" ref="N652">_xlfn.XLOOKUP(TEXT(A652, "mmm-yy"), TEXT([2]RUNS!$B$5:$B$208, "mmm-yy"), [2]RUNS!$BM$5:$BM$208, "Not Found")</f>
        <v>0.82618156342933069</v>
      </c>
    </row>
    <row r="653" spans="1:14" x14ac:dyDescent="0.25">
      <c r="A653" s="1">
        <f>'[1]Global_Spot Prices'!$B1962</f>
        <v>42916</v>
      </c>
      <c r="B653">
        <f>_xlfn.XLOOKUP(A653,'[1]Global_Spot Prices'!$B:$B,'[1]Global_Spot Prices'!$BS:$BS)</f>
        <v>9.9400000000000048</v>
      </c>
      <c r="C653">
        <f>_xlfn.XLOOKUP(A653,'[1]Global_Spot Prices'!$B:$B,'[1]Global_Spot Prices'!$E:$E)</f>
        <v>46.44</v>
      </c>
      <c r="D653">
        <f>_xlfn.XLOOKUP(A653,'[1]Global_Spot Prices'!$B:$B,'[1]Global_Spot Prices'!$D:$D)</f>
        <v>47.39</v>
      </c>
      <c r="E653">
        <f>_xlfn.XLOOKUP(A653,'[1]Global_Spot Prices'!$B:$B,'[1]Global_Spot Prices'!$H:$H)</f>
        <v>44.34</v>
      </c>
      <c r="F653">
        <f>_xlfn.XLOOKUP(A653,'[1]Global_Spot Prices'!$B:$B,'[1]Global_Spot Prices'!$I:$I)</f>
        <v>56.38</v>
      </c>
      <c r="G653" cm="1">
        <f t="array" ref="G653">_xlfn.XLOOKUP(TEXT(A653, "mmm-yy"), TEXT([2]RUNS!$B$5:$B$208, "mmm-yy"), [2]RUNS!$D$5:$D$208, "Not Found")</f>
        <v>27722.935451652906</v>
      </c>
      <c r="H653" cm="1">
        <f t="array" ref="H653">SUMPRODUCT(
    --(TEXT('[3]Global Weekly Stock (EWSuez'!$B$4:$B$2000,"mmm-yy")=TEXT(A653,"mmm-yy")),
    '[3]Global Weekly Stock (EWSuez'!$E$4:$E$2000)
/
SUMPRODUCT(
    --(TEXT('[3]Global Weekly Stock (EWSuez'!$B$4:$B$2000,"mmm-yy")=TEXT(A653,"mmm-yy"))
)</f>
        <v>11277.8</v>
      </c>
      <c r="I653">
        <f>_xlfn.XLOOKUP(A653,[1]ForwardDeriv!$D:$D,[1]ForwardDeriv!$AJ:$AJ)</f>
        <v>0.29999999999999716</v>
      </c>
      <c r="J653" cm="1">
        <f t="array" ref="J653">_xlfn.XLOOKUP(TEXT(A653, "mmm-yy"), TEXT([2]GASOLINE!$B$5:$B$208, "mmm-yy"), [2]GASOLINE!$IR$5:$IR$208, "Not Found")</f>
        <v>-120.28087354168227</v>
      </c>
      <c r="K653" cm="1">
        <f t="array" ref="K653">_xlfn.XLOOKUP(TEXT(A653, "mmm-yy"), TEXT([2]GASOLINE!$B$5:$B$208, "mmm-yy"), [2]GASOLINE!$IK$5:$IK$208, "Not Found")</f>
        <v>0</v>
      </c>
      <c r="L653">
        <f t="shared" si="10"/>
        <v>1</v>
      </c>
      <c r="M653" cm="1">
        <f t="array" ref="M653">_xlfn.XLOOKUP(TEXT(A653, "mmm-yy"), TEXT([2]GASOLINE!$B$5:$B$208, "mmm-yy"), [2]GASOLINE!$C$5:$C$208, "Not Found")</f>
        <v>7079.8966706868969</v>
      </c>
      <c r="N653" cm="1">
        <f t="array" ref="N653">_xlfn.XLOOKUP(TEXT(A653, "mmm-yy"), TEXT([2]RUNS!$B$5:$B$208, "mmm-yy"), [2]RUNS!$BM$5:$BM$208, "Not Found")</f>
        <v>0.82618156342933069</v>
      </c>
    </row>
    <row r="654" spans="1:14" x14ac:dyDescent="0.25">
      <c r="A654" s="1">
        <f>'[1]Global_Spot Prices'!$B1963</f>
        <v>42919</v>
      </c>
      <c r="B654">
        <f>_xlfn.XLOOKUP(A654,'[1]Global_Spot Prices'!$B:$B,'[1]Global_Spot Prices'!$BS:$BS)</f>
        <v>9.7999999999999972</v>
      </c>
      <c r="C654">
        <f>_xlfn.XLOOKUP(A654,'[1]Global_Spot Prices'!$B:$B,'[1]Global_Spot Prices'!$E:$E)</f>
        <v>47.7</v>
      </c>
      <c r="D654">
        <f>_xlfn.XLOOKUP(A654,'[1]Global_Spot Prices'!$B:$B,'[1]Global_Spot Prices'!$D:$D)</f>
        <v>48.95</v>
      </c>
      <c r="E654">
        <f>_xlfn.XLOOKUP(A654,'[1]Global_Spot Prices'!$B:$B,'[1]Global_Spot Prices'!$H:$H)</f>
        <v>45.52</v>
      </c>
      <c r="F654">
        <f>_xlfn.XLOOKUP(A654,'[1]Global_Spot Prices'!$B:$B,'[1]Global_Spot Prices'!$I:$I)</f>
        <v>57.5</v>
      </c>
      <c r="G654" cm="1">
        <f t="array" ref="G654">_xlfn.XLOOKUP(TEXT(A654, "mmm-yy"), TEXT([2]RUNS!$B$5:$B$208, "mmm-yy"), [2]RUNS!$D$5:$D$208, "Not Found")</f>
        <v>27936.329152967792</v>
      </c>
      <c r="H654" cm="1">
        <f t="array" ref="H654">SUMPRODUCT(
    --(TEXT('[3]Global Weekly Stock (EWSuez'!$B$4:$B$2000,"mmm-yy")=TEXT(A654,"mmm-yy")),
    '[3]Global Weekly Stock (EWSuez'!$E$4:$E$2000)
/
SUMPRODUCT(
    --(TEXT('[3]Global Weekly Stock (EWSuez'!$B$4:$B$2000,"mmm-yy")=TEXT(A654,"mmm-yy"))
)</f>
        <v>12861.5</v>
      </c>
      <c r="I654">
        <f>_xlfn.XLOOKUP(A654,[1]ForwardDeriv!$D:$D,[1]ForwardDeriv!$AJ:$AJ)</f>
        <v>0.25</v>
      </c>
      <c r="J654" cm="1">
        <f t="array" ref="J654">_xlfn.XLOOKUP(TEXT(A654, "mmm-yy"), TEXT([2]GASOLINE!$B$5:$B$208, "mmm-yy"), [2]GASOLINE!$IR$5:$IR$208, "Not Found")</f>
        <v>-47.029156646021249</v>
      </c>
      <c r="K654" cm="1">
        <f t="array" ref="K654">_xlfn.XLOOKUP(TEXT(A654, "mmm-yy"), TEXT([2]GASOLINE!$B$5:$B$208, "mmm-yy"), [2]GASOLINE!$IK$5:$IK$208, "Not Found")</f>
        <v>0</v>
      </c>
      <c r="L654">
        <f t="shared" si="10"/>
        <v>1</v>
      </c>
      <c r="M654" cm="1">
        <f t="array" ref="M654">_xlfn.XLOOKUP(TEXT(A654, "mmm-yy"), TEXT([2]GASOLINE!$B$5:$B$208, "mmm-yy"), [2]GASOLINE!$C$5:$C$208, "Not Found")</f>
        <v>6994.2014384248814</v>
      </c>
      <c r="N654" cm="1">
        <f t="array" ref="N654">_xlfn.XLOOKUP(TEXT(A654, "mmm-yy"), TEXT([2]RUNS!$B$5:$B$208, "mmm-yy"), [2]RUNS!$BM$5:$BM$208, "Not Found")</f>
        <v>0.83254098889802841</v>
      </c>
    </row>
    <row r="655" spans="1:14" x14ac:dyDescent="0.25">
      <c r="A655" s="1">
        <f>'[1]Global_Spot Prices'!$B1964</f>
        <v>42920</v>
      </c>
      <c r="B655">
        <f>_xlfn.XLOOKUP(A655,'[1]Global_Spot Prices'!$B:$B,'[1]Global_Spot Prices'!$BS:$BS)</f>
        <v>9.9799999999999969</v>
      </c>
      <c r="C655">
        <f>_xlfn.XLOOKUP(A655,'[1]Global_Spot Prices'!$B:$B,'[1]Global_Spot Prices'!$E:$E)</f>
        <v>48.34</v>
      </c>
      <c r="D655">
        <f>_xlfn.XLOOKUP(A655,'[1]Global_Spot Prices'!$B:$B,'[1]Global_Spot Prices'!$D:$D)</f>
        <v>49.284999999999997</v>
      </c>
      <c r="E655">
        <f>_xlfn.XLOOKUP(A655,'[1]Global_Spot Prices'!$B:$B,'[1]Global_Spot Prices'!$H:$H)</f>
        <v>45.64</v>
      </c>
      <c r="F655">
        <f>_xlfn.XLOOKUP(A655,'[1]Global_Spot Prices'!$B:$B,'[1]Global_Spot Prices'!$I:$I)</f>
        <v>58.32</v>
      </c>
      <c r="G655" cm="1">
        <f t="array" ref="G655">_xlfn.XLOOKUP(TEXT(A655, "mmm-yy"), TEXT([2]RUNS!$B$5:$B$208, "mmm-yy"), [2]RUNS!$D$5:$D$208, "Not Found")</f>
        <v>27936.329152967792</v>
      </c>
      <c r="H655" cm="1">
        <f t="array" ref="H655">SUMPRODUCT(
    --(TEXT('[3]Global Weekly Stock (EWSuez'!$B$4:$B$2000,"mmm-yy")=TEXT(A655,"mmm-yy")),
    '[3]Global Weekly Stock (EWSuez'!$E$4:$E$2000)
/
SUMPRODUCT(
    --(TEXT('[3]Global Weekly Stock (EWSuez'!$B$4:$B$2000,"mmm-yy")=TEXT(A655,"mmm-yy"))
)</f>
        <v>12861.5</v>
      </c>
      <c r="I655">
        <f>_xlfn.XLOOKUP(A655,[1]ForwardDeriv!$D:$D,[1]ForwardDeriv!$AJ:$AJ)</f>
        <v>0.33999999999999631</v>
      </c>
      <c r="J655" cm="1">
        <f t="array" ref="J655">_xlfn.XLOOKUP(TEXT(A655, "mmm-yy"), TEXT([2]GASOLINE!$B$5:$B$208, "mmm-yy"), [2]GASOLINE!$IR$5:$IR$208, "Not Found")</f>
        <v>-47.029156646021249</v>
      </c>
      <c r="K655" cm="1">
        <f t="array" ref="K655">_xlfn.XLOOKUP(TEXT(A655, "mmm-yy"), TEXT([2]GASOLINE!$B$5:$B$208, "mmm-yy"), [2]GASOLINE!$IK$5:$IK$208, "Not Found")</f>
        <v>0</v>
      </c>
      <c r="L655">
        <f t="shared" si="10"/>
        <v>1</v>
      </c>
      <c r="M655" cm="1">
        <f t="array" ref="M655">_xlfn.XLOOKUP(TEXT(A655, "mmm-yy"), TEXT([2]GASOLINE!$B$5:$B$208, "mmm-yy"), [2]GASOLINE!$C$5:$C$208, "Not Found")</f>
        <v>6994.2014384248814</v>
      </c>
      <c r="N655" cm="1">
        <f t="array" ref="N655">_xlfn.XLOOKUP(TEXT(A655, "mmm-yy"), TEXT([2]RUNS!$B$5:$B$208, "mmm-yy"), [2]RUNS!$BM$5:$BM$208, "Not Found")</f>
        <v>0.83254098889802841</v>
      </c>
    </row>
    <row r="656" spans="1:14" x14ac:dyDescent="0.25">
      <c r="A656" s="1">
        <f>'[1]Global_Spot Prices'!$B1965</f>
        <v>42921</v>
      </c>
      <c r="B656">
        <f>_xlfn.XLOOKUP(A656,'[1]Global_Spot Prices'!$B:$B,'[1]Global_Spot Prices'!$BS:$BS)</f>
        <v>10.039999999999999</v>
      </c>
      <c r="C656">
        <f>_xlfn.XLOOKUP(A656,'[1]Global_Spot Prices'!$B:$B,'[1]Global_Spot Prices'!$E:$E)</f>
        <v>48.31</v>
      </c>
      <c r="D656">
        <f>_xlfn.XLOOKUP(A656,'[1]Global_Spot Prices'!$B:$B,'[1]Global_Spot Prices'!$D:$D)</f>
        <v>47.625</v>
      </c>
      <c r="E656">
        <f>_xlfn.XLOOKUP(A656,'[1]Global_Spot Prices'!$B:$B,'[1]Global_Spot Prices'!$H:$H)</f>
        <v>45.3</v>
      </c>
      <c r="F656">
        <f>_xlfn.XLOOKUP(A656,'[1]Global_Spot Prices'!$B:$B,'[1]Global_Spot Prices'!$I:$I)</f>
        <v>58.35</v>
      </c>
      <c r="G656" cm="1">
        <f t="array" ref="G656">_xlfn.XLOOKUP(TEXT(A656, "mmm-yy"), TEXT([2]RUNS!$B$5:$B$208, "mmm-yy"), [2]RUNS!$D$5:$D$208, "Not Found")</f>
        <v>27936.329152967792</v>
      </c>
      <c r="H656" cm="1">
        <f t="array" ref="H656">SUMPRODUCT(
    --(TEXT('[3]Global Weekly Stock (EWSuez'!$B$4:$B$2000,"mmm-yy")=TEXT(A656,"mmm-yy")),
    '[3]Global Weekly Stock (EWSuez'!$E$4:$E$2000)
/
SUMPRODUCT(
    --(TEXT('[3]Global Weekly Stock (EWSuez'!$B$4:$B$2000,"mmm-yy")=TEXT(A656,"mmm-yy"))
)</f>
        <v>12861.5</v>
      </c>
      <c r="I656">
        <f>_xlfn.XLOOKUP(A656,[1]ForwardDeriv!$D:$D,[1]ForwardDeriv!$AJ:$AJ)</f>
        <v>0.3300000000000054</v>
      </c>
      <c r="J656" cm="1">
        <f t="array" ref="J656">_xlfn.XLOOKUP(TEXT(A656, "mmm-yy"), TEXT([2]GASOLINE!$B$5:$B$208, "mmm-yy"), [2]GASOLINE!$IR$5:$IR$208, "Not Found")</f>
        <v>-47.029156646021249</v>
      </c>
      <c r="K656" cm="1">
        <f t="array" ref="K656">_xlfn.XLOOKUP(TEXT(A656, "mmm-yy"), TEXT([2]GASOLINE!$B$5:$B$208, "mmm-yy"), [2]GASOLINE!$IK$5:$IK$208, "Not Found")</f>
        <v>0</v>
      </c>
      <c r="L656">
        <f t="shared" si="10"/>
        <v>1</v>
      </c>
      <c r="M656" cm="1">
        <f t="array" ref="M656">_xlfn.XLOOKUP(TEXT(A656, "mmm-yy"), TEXT([2]GASOLINE!$B$5:$B$208, "mmm-yy"), [2]GASOLINE!$C$5:$C$208, "Not Found")</f>
        <v>6994.2014384248814</v>
      </c>
      <c r="N656" cm="1">
        <f t="array" ref="N656">_xlfn.XLOOKUP(TEXT(A656, "mmm-yy"), TEXT([2]RUNS!$B$5:$B$208, "mmm-yy"), [2]RUNS!$BM$5:$BM$208, "Not Found")</f>
        <v>0.83254098889802841</v>
      </c>
    </row>
    <row r="657" spans="1:14" x14ac:dyDescent="0.25">
      <c r="A657" s="1">
        <f>'[1]Global_Spot Prices'!$B1966</f>
        <v>42922</v>
      </c>
      <c r="B657">
        <f>_xlfn.XLOOKUP(A657,'[1]Global_Spot Prices'!$B:$B,'[1]Global_Spot Prices'!$BS:$BS)</f>
        <v>10.945</v>
      </c>
      <c r="C657">
        <f>_xlfn.XLOOKUP(A657,'[1]Global_Spot Prices'!$B:$B,'[1]Global_Spot Prices'!$E:$E)</f>
        <v>47.145000000000003</v>
      </c>
      <c r="D657">
        <f>_xlfn.XLOOKUP(A657,'[1]Global_Spot Prices'!$B:$B,'[1]Global_Spot Prices'!$D:$D)</f>
        <v>48.6</v>
      </c>
      <c r="E657">
        <f>_xlfn.XLOOKUP(A657,'[1]Global_Spot Prices'!$B:$B,'[1]Global_Spot Prices'!$H:$H)</f>
        <v>44.62</v>
      </c>
      <c r="F657">
        <f>_xlfn.XLOOKUP(A657,'[1]Global_Spot Prices'!$B:$B,'[1]Global_Spot Prices'!$I:$I)</f>
        <v>58.09</v>
      </c>
      <c r="G657" cm="1">
        <f t="array" ref="G657">_xlfn.XLOOKUP(TEXT(A657, "mmm-yy"), TEXT([2]RUNS!$B$5:$B$208, "mmm-yy"), [2]RUNS!$D$5:$D$208, "Not Found")</f>
        <v>27936.329152967792</v>
      </c>
      <c r="H657" cm="1">
        <f t="array" ref="H657">SUMPRODUCT(
    --(TEXT('[3]Global Weekly Stock (EWSuez'!$B$4:$B$2000,"mmm-yy")=TEXT(A657,"mmm-yy")),
    '[3]Global Weekly Stock (EWSuez'!$E$4:$E$2000)
/
SUMPRODUCT(
    --(TEXT('[3]Global Weekly Stock (EWSuez'!$B$4:$B$2000,"mmm-yy")=TEXT(A657,"mmm-yy"))
)</f>
        <v>12861.5</v>
      </c>
      <c r="I657">
        <f>_xlfn.XLOOKUP(A657,[1]ForwardDeriv!$D:$D,[1]ForwardDeriv!$AJ:$AJ)</f>
        <v>0.34999999999999432</v>
      </c>
      <c r="J657" cm="1">
        <f t="array" ref="J657">_xlfn.XLOOKUP(TEXT(A657, "mmm-yy"), TEXT([2]GASOLINE!$B$5:$B$208, "mmm-yy"), [2]GASOLINE!$IR$5:$IR$208, "Not Found")</f>
        <v>-47.029156646021249</v>
      </c>
      <c r="K657" cm="1">
        <f t="array" ref="K657">_xlfn.XLOOKUP(TEXT(A657, "mmm-yy"), TEXT([2]GASOLINE!$B$5:$B$208, "mmm-yy"), [2]GASOLINE!$IK$5:$IK$208, "Not Found")</f>
        <v>0</v>
      </c>
      <c r="L657">
        <f t="shared" si="10"/>
        <v>1</v>
      </c>
      <c r="M657" cm="1">
        <f t="array" ref="M657">_xlfn.XLOOKUP(TEXT(A657, "mmm-yy"), TEXT([2]GASOLINE!$B$5:$B$208, "mmm-yy"), [2]GASOLINE!$C$5:$C$208, "Not Found")</f>
        <v>6994.2014384248814</v>
      </c>
      <c r="N657" cm="1">
        <f t="array" ref="N657">_xlfn.XLOOKUP(TEXT(A657, "mmm-yy"), TEXT([2]RUNS!$B$5:$B$208, "mmm-yy"), [2]RUNS!$BM$5:$BM$208, "Not Found")</f>
        <v>0.83254098889802841</v>
      </c>
    </row>
    <row r="658" spans="1:14" x14ac:dyDescent="0.25">
      <c r="A658" s="1">
        <f>'[1]Global_Spot Prices'!$B1967</f>
        <v>42923</v>
      </c>
      <c r="B658">
        <f>_xlfn.XLOOKUP(A658,'[1]Global_Spot Prices'!$B:$B,'[1]Global_Spot Prices'!$BS:$BS)</f>
        <v>11.439999999999998</v>
      </c>
      <c r="C658">
        <f>_xlfn.XLOOKUP(A658,'[1]Global_Spot Prices'!$B:$B,'[1]Global_Spot Prices'!$E:$E)</f>
        <v>45.95</v>
      </c>
      <c r="D658">
        <f>_xlfn.XLOOKUP(A658,'[1]Global_Spot Prices'!$B:$B,'[1]Global_Spot Prices'!$D:$D)</f>
        <v>46.524999999999999</v>
      </c>
      <c r="E658">
        <f>_xlfn.XLOOKUP(A658,'[1]Global_Spot Prices'!$B:$B,'[1]Global_Spot Prices'!$H:$H)</f>
        <v>43.76</v>
      </c>
      <c r="F658">
        <f>_xlfn.XLOOKUP(A658,'[1]Global_Spot Prices'!$B:$B,'[1]Global_Spot Prices'!$I:$I)</f>
        <v>57.39</v>
      </c>
      <c r="G658" cm="1">
        <f t="array" ref="G658">_xlfn.XLOOKUP(TEXT(A658, "mmm-yy"), TEXT([2]RUNS!$B$5:$B$208, "mmm-yy"), [2]RUNS!$D$5:$D$208, "Not Found")</f>
        <v>27936.329152967792</v>
      </c>
      <c r="H658" cm="1">
        <f t="array" ref="H658">SUMPRODUCT(
    --(TEXT('[3]Global Weekly Stock (EWSuez'!$B$4:$B$2000,"mmm-yy")=TEXT(A658,"mmm-yy")),
    '[3]Global Weekly Stock (EWSuez'!$E$4:$E$2000)
/
SUMPRODUCT(
    --(TEXT('[3]Global Weekly Stock (EWSuez'!$B$4:$B$2000,"mmm-yy")=TEXT(A658,"mmm-yy"))
)</f>
        <v>12861.5</v>
      </c>
      <c r="I658">
        <f>_xlfn.XLOOKUP(A658,[1]ForwardDeriv!$D:$D,[1]ForwardDeriv!$AJ:$AJ)</f>
        <v>0.49000000000000199</v>
      </c>
      <c r="J658" cm="1">
        <f t="array" ref="J658">_xlfn.XLOOKUP(TEXT(A658, "mmm-yy"), TEXT([2]GASOLINE!$B$5:$B$208, "mmm-yy"), [2]GASOLINE!$IR$5:$IR$208, "Not Found")</f>
        <v>-47.029156646021249</v>
      </c>
      <c r="K658" cm="1">
        <f t="array" ref="K658">_xlfn.XLOOKUP(TEXT(A658, "mmm-yy"), TEXT([2]GASOLINE!$B$5:$B$208, "mmm-yy"), [2]GASOLINE!$IK$5:$IK$208, "Not Found")</f>
        <v>0</v>
      </c>
      <c r="L658">
        <f t="shared" si="10"/>
        <v>1</v>
      </c>
      <c r="M658" cm="1">
        <f t="array" ref="M658">_xlfn.XLOOKUP(TEXT(A658, "mmm-yy"), TEXT([2]GASOLINE!$B$5:$B$208, "mmm-yy"), [2]GASOLINE!$C$5:$C$208, "Not Found")</f>
        <v>6994.2014384248814</v>
      </c>
      <c r="N658" cm="1">
        <f t="array" ref="N658">_xlfn.XLOOKUP(TEXT(A658, "mmm-yy"), TEXT([2]RUNS!$B$5:$B$208, "mmm-yy"), [2]RUNS!$BM$5:$BM$208, "Not Found")</f>
        <v>0.83254098889802841</v>
      </c>
    </row>
    <row r="659" spans="1:14" x14ac:dyDescent="0.25">
      <c r="A659" s="1">
        <f>'[1]Global_Spot Prices'!$B1968</f>
        <v>42926</v>
      </c>
      <c r="B659">
        <f>_xlfn.XLOOKUP(A659,'[1]Global_Spot Prices'!$B:$B,'[1]Global_Spot Prices'!$BS:$BS)</f>
        <v>11.420000000000002</v>
      </c>
      <c r="C659">
        <f>_xlfn.XLOOKUP(A659,'[1]Global_Spot Prices'!$B:$B,'[1]Global_Spot Prices'!$E:$E)</f>
        <v>45.3</v>
      </c>
      <c r="D659">
        <f>_xlfn.XLOOKUP(A659,'[1]Global_Spot Prices'!$B:$B,'[1]Global_Spot Prices'!$D:$D)</f>
        <v>46.78</v>
      </c>
      <c r="E659">
        <f>_xlfn.XLOOKUP(A659,'[1]Global_Spot Prices'!$B:$B,'[1]Global_Spot Prices'!$H:$H)</f>
        <v>43.46</v>
      </c>
      <c r="F659">
        <f>_xlfn.XLOOKUP(A659,'[1]Global_Spot Prices'!$B:$B,'[1]Global_Spot Prices'!$I:$I)</f>
        <v>56.72</v>
      </c>
      <c r="G659" cm="1">
        <f t="array" ref="G659">_xlfn.XLOOKUP(TEXT(A659, "mmm-yy"), TEXT([2]RUNS!$B$5:$B$208, "mmm-yy"), [2]RUNS!$D$5:$D$208, "Not Found")</f>
        <v>27936.329152967792</v>
      </c>
      <c r="H659" cm="1">
        <f t="array" ref="H659">SUMPRODUCT(
    --(TEXT('[3]Global Weekly Stock (EWSuez'!$B$4:$B$2000,"mmm-yy")=TEXT(A659,"mmm-yy")),
    '[3]Global Weekly Stock (EWSuez'!$E$4:$E$2000)
/
SUMPRODUCT(
    --(TEXT('[3]Global Weekly Stock (EWSuez'!$B$4:$B$2000,"mmm-yy")=TEXT(A659,"mmm-yy"))
)</f>
        <v>12861.5</v>
      </c>
      <c r="I659">
        <f>_xlfn.XLOOKUP(A659,[1]ForwardDeriv!$D:$D,[1]ForwardDeriv!$AJ:$AJ)</f>
        <v>0.52000000000000313</v>
      </c>
      <c r="J659" cm="1">
        <f t="array" ref="J659">_xlfn.XLOOKUP(TEXT(A659, "mmm-yy"), TEXT([2]GASOLINE!$B$5:$B$208, "mmm-yy"), [2]GASOLINE!$IR$5:$IR$208, "Not Found")</f>
        <v>-47.029156646021249</v>
      </c>
      <c r="K659" cm="1">
        <f t="array" ref="K659">_xlfn.XLOOKUP(TEXT(A659, "mmm-yy"), TEXT([2]GASOLINE!$B$5:$B$208, "mmm-yy"), [2]GASOLINE!$IK$5:$IK$208, "Not Found")</f>
        <v>0</v>
      </c>
      <c r="L659">
        <f t="shared" si="10"/>
        <v>1</v>
      </c>
      <c r="M659" cm="1">
        <f t="array" ref="M659">_xlfn.XLOOKUP(TEXT(A659, "mmm-yy"), TEXT([2]GASOLINE!$B$5:$B$208, "mmm-yy"), [2]GASOLINE!$C$5:$C$208, "Not Found")</f>
        <v>6994.2014384248814</v>
      </c>
      <c r="N659" cm="1">
        <f t="array" ref="N659">_xlfn.XLOOKUP(TEXT(A659, "mmm-yy"), TEXT([2]RUNS!$B$5:$B$208, "mmm-yy"), [2]RUNS!$BM$5:$BM$208, "Not Found")</f>
        <v>0.83254098889802841</v>
      </c>
    </row>
    <row r="660" spans="1:14" x14ac:dyDescent="0.25">
      <c r="A660" s="1">
        <f>'[1]Global_Spot Prices'!$B1969</f>
        <v>42927</v>
      </c>
      <c r="B660">
        <f>_xlfn.XLOOKUP(A660,'[1]Global_Spot Prices'!$B:$B,'[1]Global_Spot Prices'!$BS:$BS)</f>
        <v>11.5</v>
      </c>
      <c r="C660">
        <f>_xlfn.XLOOKUP(A660,'[1]Global_Spot Prices'!$B:$B,'[1]Global_Spot Prices'!$E:$E)</f>
        <v>45.27</v>
      </c>
      <c r="D660">
        <f>_xlfn.XLOOKUP(A660,'[1]Global_Spot Prices'!$B:$B,'[1]Global_Spot Prices'!$D:$D)</f>
        <v>46.524999999999999</v>
      </c>
      <c r="E660">
        <f>_xlfn.XLOOKUP(A660,'[1]Global_Spot Prices'!$B:$B,'[1]Global_Spot Prices'!$H:$H)</f>
        <v>43.51</v>
      </c>
      <c r="F660">
        <f>_xlfn.XLOOKUP(A660,'[1]Global_Spot Prices'!$B:$B,'[1]Global_Spot Prices'!$I:$I)</f>
        <v>56.77</v>
      </c>
      <c r="G660" cm="1">
        <f t="array" ref="G660">_xlfn.XLOOKUP(TEXT(A660, "mmm-yy"), TEXT([2]RUNS!$B$5:$B$208, "mmm-yy"), [2]RUNS!$D$5:$D$208, "Not Found")</f>
        <v>27936.329152967792</v>
      </c>
      <c r="H660" cm="1">
        <f t="array" ref="H660">SUMPRODUCT(
    --(TEXT('[3]Global Weekly Stock (EWSuez'!$B$4:$B$2000,"mmm-yy")=TEXT(A660,"mmm-yy")),
    '[3]Global Weekly Stock (EWSuez'!$E$4:$E$2000)
/
SUMPRODUCT(
    --(TEXT('[3]Global Weekly Stock (EWSuez'!$B$4:$B$2000,"mmm-yy")=TEXT(A660,"mmm-yy"))
)</f>
        <v>12861.5</v>
      </c>
      <c r="I660">
        <f>_xlfn.XLOOKUP(A660,[1]ForwardDeriv!$D:$D,[1]ForwardDeriv!$AJ:$AJ)</f>
        <v>0.57999999999999829</v>
      </c>
      <c r="J660" cm="1">
        <f t="array" ref="J660">_xlfn.XLOOKUP(TEXT(A660, "mmm-yy"), TEXT([2]GASOLINE!$B$5:$B$208, "mmm-yy"), [2]GASOLINE!$IR$5:$IR$208, "Not Found")</f>
        <v>-47.029156646021249</v>
      </c>
      <c r="K660" cm="1">
        <f t="array" ref="K660">_xlfn.XLOOKUP(TEXT(A660, "mmm-yy"), TEXT([2]GASOLINE!$B$5:$B$208, "mmm-yy"), [2]GASOLINE!$IK$5:$IK$208, "Not Found")</f>
        <v>0</v>
      </c>
      <c r="L660">
        <f t="shared" si="10"/>
        <v>1</v>
      </c>
      <c r="M660" cm="1">
        <f t="array" ref="M660">_xlfn.XLOOKUP(TEXT(A660, "mmm-yy"), TEXT([2]GASOLINE!$B$5:$B$208, "mmm-yy"), [2]GASOLINE!$C$5:$C$208, "Not Found")</f>
        <v>6994.2014384248814</v>
      </c>
      <c r="N660" cm="1">
        <f t="array" ref="N660">_xlfn.XLOOKUP(TEXT(A660, "mmm-yy"), TEXT([2]RUNS!$B$5:$B$208, "mmm-yy"), [2]RUNS!$BM$5:$BM$208, "Not Found")</f>
        <v>0.83254098889802841</v>
      </c>
    </row>
    <row r="661" spans="1:14" x14ac:dyDescent="0.25">
      <c r="A661" s="1">
        <f>'[1]Global_Spot Prices'!$B1970</f>
        <v>42928</v>
      </c>
      <c r="B661">
        <f>_xlfn.XLOOKUP(A661,'[1]Global_Spot Prices'!$B:$B,'[1]Global_Spot Prices'!$BS:$BS)</f>
        <v>11.5</v>
      </c>
      <c r="C661">
        <f>_xlfn.XLOOKUP(A661,'[1]Global_Spot Prices'!$B:$B,'[1]Global_Spot Prices'!$E:$E)</f>
        <v>46.91</v>
      </c>
      <c r="D661">
        <f>_xlfn.XLOOKUP(A661,'[1]Global_Spot Prices'!$B:$B,'[1]Global_Spot Prices'!$D:$D)</f>
        <v>47.005000000000003</v>
      </c>
      <c r="E661">
        <f>_xlfn.XLOOKUP(A661,'[1]Global_Spot Prices'!$B:$B,'[1]Global_Spot Prices'!$H:$H)</f>
        <v>44.62</v>
      </c>
      <c r="F661">
        <f>_xlfn.XLOOKUP(A661,'[1]Global_Spot Prices'!$B:$B,'[1]Global_Spot Prices'!$I:$I)</f>
        <v>58.41</v>
      </c>
      <c r="G661" cm="1">
        <f t="array" ref="G661">_xlfn.XLOOKUP(TEXT(A661, "mmm-yy"), TEXT([2]RUNS!$B$5:$B$208, "mmm-yy"), [2]RUNS!$D$5:$D$208, "Not Found")</f>
        <v>27936.329152967792</v>
      </c>
      <c r="H661" cm="1">
        <f t="array" ref="H661">SUMPRODUCT(
    --(TEXT('[3]Global Weekly Stock (EWSuez'!$B$4:$B$2000,"mmm-yy")=TEXT(A661,"mmm-yy")),
    '[3]Global Weekly Stock (EWSuez'!$E$4:$E$2000)
/
SUMPRODUCT(
    --(TEXT('[3]Global Weekly Stock (EWSuez'!$B$4:$B$2000,"mmm-yy")=TEXT(A661,"mmm-yy"))
)</f>
        <v>12861.5</v>
      </c>
      <c r="I661">
        <f>_xlfn.XLOOKUP(A661,[1]ForwardDeriv!$D:$D,[1]ForwardDeriv!$AJ:$AJ)</f>
        <v>0.53000000000000114</v>
      </c>
      <c r="J661" cm="1">
        <f t="array" ref="J661">_xlfn.XLOOKUP(TEXT(A661, "mmm-yy"), TEXT([2]GASOLINE!$B$5:$B$208, "mmm-yy"), [2]GASOLINE!$IR$5:$IR$208, "Not Found")</f>
        <v>-47.029156646021249</v>
      </c>
      <c r="K661" cm="1">
        <f t="array" ref="K661">_xlfn.XLOOKUP(TEXT(A661, "mmm-yy"), TEXT([2]GASOLINE!$B$5:$B$208, "mmm-yy"), [2]GASOLINE!$IK$5:$IK$208, "Not Found")</f>
        <v>0</v>
      </c>
      <c r="L661">
        <f t="shared" si="10"/>
        <v>1</v>
      </c>
      <c r="M661" cm="1">
        <f t="array" ref="M661">_xlfn.XLOOKUP(TEXT(A661, "mmm-yy"), TEXT([2]GASOLINE!$B$5:$B$208, "mmm-yy"), [2]GASOLINE!$C$5:$C$208, "Not Found")</f>
        <v>6994.2014384248814</v>
      </c>
      <c r="N661" cm="1">
        <f t="array" ref="N661">_xlfn.XLOOKUP(TEXT(A661, "mmm-yy"), TEXT([2]RUNS!$B$5:$B$208, "mmm-yy"), [2]RUNS!$BM$5:$BM$208, "Not Found")</f>
        <v>0.83254098889802841</v>
      </c>
    </row>
    <row r="662" spans="1:14" x14ac:dyDescent="0.25">
      <c r="A662" s="1">
        <f>'[1]Global_Spot Prices'!$B1971</f>
        <v>42929</v>
      </c>
      <c r="B662">
        <f>_xlfn.XLOOKUP(A662,'[1]Global_Spot Prices'!$B:$B,'[1]Global_Spot Prices'!$BS:$BS)</f>
        <v>10.93</v>
      </c>
      <c r="C662">
        <f>_xlfn.XLOOKUP(A662,'[1]Global_Spot Prices'!$B:$B,'[1]Global_Spot Prices'!$E:$E)</f>
        <v>46</v>
      </c>
      <c r="D662">
        <f>_xlfn.XLOOKUP(A662,'[1]Global_Spot Prices'!$B:$B,'[1]Global_Spot Prices'!$D:$D)</f>
        <v>47.895000000000003</v>
      </c>
      <c r="E662">
        <f>_xlfn.XLOOKUP(A662,'[1]Global_Spot Prices'!$B:$B,'[1]Global_Spot Prices'!$H:$H)</f>
        <v>43.46</v>
      </c>
      <c r="F662">
        <f>_xlfn.XLOOKUP(A662,'[1]Global_Spot Prices'!$B:$B,'[1]Global_Spot Prices'!$I:$I)</f>
        <v>56.93</v>
      </c>
      <c r="G662" cm="1">
        <f t="array" ref="G662">_xlfn.XLOOKUP(TEXT(A662, "mmm-yy"), TEXT([2]RUNS!$B$5:$B$208, "mmm-yy"), [2]RUNS!$D$5:$D$208, "Not Found")</f>
        <v>27936.329152967792</v>
      </c>
      <c r="H662" cm="1">
        <f t="array" ref="H662">SUMPRODUCT(
    --(TEXT('[3]Global Weekly Stock (EWSuez'!$B$4:$B$2000,"mmm-yy")=TEXT(A662,"mmm-yy")),
    '[3]Global Weekly Stock (EWSuez'!$E$4:$E$2000)
/
SUMPRODUCT(
    --(TEXT('[3]Global Weekly Stock (EWSuez'!$B$4:$B$2000,"mmm-yy")=TEXT(A662,"mmm-yy"))
)</f>
        <v>12861.5</v>
      </c>
      <c r="I662">
        <f>_xlfn.XLOOKUP(A662,[1]ForwardDeriv!$D:$D,[1]ForwardDeriv!$AJ:$AJ)</f>
        <v>0.48000000000000398</v>
      </c>
      <c r="J662" cm="1">
        <f t="array" ref="J662">_xlfn.XLOOKUP(TEXT(A662, "mmm-yy"), TEXT([2]GASOLINE!$B$5:$B$208, "mmm-yy"), [2]GASOLINE!$IR$5:$IR$208, "Not Found")</f>
        <v>-47.029156646021249</v>
      </c>
      <c r="K662" cm="1">
        <f t="array" ref="K662">_xlfn.XLOOKUP(TEXT(A662, "mmm-yy"), TEXT([2]GASOLINE!$B$5:$B$208, "mmm-yy"), [2]GASOLINE!$IK$5:$IK$208, "Not Found")</f>
        <v>0</v>
      </c>
      <c r="L662">
        <f t="shared" si="10"/>
        <v>1</v>
      </c>
      <c r="M662" cm="1">
        <f t="array" ref="M662">_xlfn.XLOOKUP(TEXT(A662, "mmm-yy"), TEXT([2]GASOLINE!$B$5:$B$208, "mmm-yy"), [2]GASOLINE!$C$5:$C$208, "Not Found")</f>
        <v>6994.2014384248814</v>
      </c>
      <c r="N662" cm="1">
        <f t="array" ref="N662">_xlfn.XLOOKUP(TEXT(A662, "mmm-yy"), TEXT([2]RUNS!$B$5:$B$208, "mmm-yy"), [2]RUNS!$BM$5:$BM$208, "Not Found")</f>
        <v>0.83254098889802841</v>
      </c>
    </row>
    <row r="663" spans="1:14" x14ac:dyDescent="0.25">
      <c r="A663" s="1">
        <f>'[1]Global_Spot Prices'!$B1972</f>
        <v>42930</v>
      </c>
      <c r="B663">
        <f>_xlfn.XLOOKUP(A663,'[1]Global_Spot Prices'!$B:$B,'[1]Global_Spot Prices'!$BS:$BS)</f>
        <v>10.549999999999997</v>
      </c>
      <c r="C663">
        <f>_xlfn.XLOOKUP(A663,'[1]Global_Spot Prices'!$B:$B,'[1]Global_Spot Prices'!$E:$E)</f>
        <v>47.02</v>
      </c>
      <c r="D663">
        <f>_xlfn.XLOOKUP(A663,'[1]Global_Spot Prices'!$B:$B,'[1]Global_Spot Prices'!$D:$D)</f>
        <v>48.03</v>
      </c>
      <c r="E663">
        <f>_xlfn.XLOOKUP(A663,'[1]Global_Spot Prices'!$B:$B,'[1]Global_Spot Prices'!$H:$H)</f>
        <v>44.15</v>
      </c>
      <c r="F663">
        <f>_xlfn.XLOOKUP(A663,'[1]Global_Spot Prices'!$B:$B,'[1]Global_Spot Prices'!$I:$I)</f>
        <v>57.57</v>
      </c>
      <c r="G663" cm="1">
        <f t="array" ref="G663">_xlfn.XLOOKUP(TEXT(A663, "mmm-yy"), TEXT([2]RUNS!$B$5:$B$208, "mmm-yy"), [2]RUNS!$D$5:$D$208, "Not Found")</f>
        <v>27936.329152967792</v>
      </c>
      <c r="H663" cm="1">
        <f t="array" ref="H663">SUMPRODUCT(
    --(TEXT('[3]Global Weekly Stock (EWSuez'!$B$4:$B$2000,"mmm-yy")=TEXT(A663,"mmm-yy")),
    '[3]Global Weekly Stock (EWSuez'!$E$4:$E$2000)
/
SUMPRODUCT(
    --(TEXT('[3]Global Weekly Stock (EWSuez'!$B$4:$B$2000,"mmm-yy")=TEXT(A663,"mmm-yy"))
)</f>
        <v>12861.5</v>
      </c>
      <c r="I663">
        <f>_xlfn.XLOOKUP(A663,[1]ForwardDeriv!$D:$D,[1]ForwardDeriv!$AJ:$AJ)</f>
        <v>0.47999999999999687</v>
      </c>
      <c r="J663" cm="1">
        <f t="array" ref="J663">_xlfn.XLOOKUP(TEXT(A663, "mmm-yy"), TEXT([2]GASOLINE!$B$5:$B$208, "mmm-yy"), [2]GASOLINE!$IR$5:$IR$208, "Not Found")</f>
        <v>-47.029156646021249</v>
      </c>
      <c r="K663" cm="1">
        <f t="array" ref="K663">_xlfn.XLOOKUP(TEXT(A663, "mmm-yy"), TEXT([2]GASOLINE!$B$5:$B$208, "mmm-yy"), [2]GASOLINE!$IK$5:$IK$208, "Not Found")</f>
        <v>0</v>
      </c>
      <c r="L663">
        <f t="shared" si="10"/>
        <v>1</v>
      </c>
      <c r="M663" cm="1">
        <f t="array" ref="M663">_xlfn.XLOOKUP(TEXT(A663, "mmm-yy"), TEXT([2]GASOLINE!$B$5:$B$208, "mmm-yy"), [2]GASOLINE!$C$5:$C$208, "Not Found")</f>
        <v>6994.2014384248814</v>
      </c>
      <c r="N663" cm="1">
        <f t="array" ref="N663">_xlfn.XLOOKUP(TEXT(A663, "mmm-yy"), TEXT([2]RUNS!$B$5:$B$208, "mmm-yy"), [2]RUNS!$BM$5:$BM$208, "Not Found")</f>
        <v>0.83254098889802841</v>
      </c>
    </row>
    <row r="664" spans="1:14" x14ac:dyDescent="0.25">
      <c r="A664" s="1">
        <f>'[1]Global_Spot Prices'!$B1973</f>
        <v>42933</v>
      </c>
      <c r="B664">
        <f>_xlfn.XLOOKUP(A664,'[1]Global_Spot Prices'!$B:$B,'[1]Global_Spot Prices'!$BS:$BS)</f>
        <v>11.059999999999995</v>
      </c>
      <c r="C664">
        <f>_xlfn.XLOOKUP(A664,'[1]Global_Spot Prices'!$B:$B,'[1]Global_Spot Prices'!$E:$E)</f>
        <v>47.7</v>
      </c>
      <c r="D664">
        <f>_xlfn.XLOOKUP(A664,'[1]Global_Spot Prices'!$B:$B,'[1]Global_Spot Prices'!$D:$D)</f>
        <v>48.005000000000003</v>
      </c>
      <c r="E664">
        <f>_xlfn.XLOOKUP(A664,'[1]Global_Spot Prices'!$B:$B,'[1]Global_Spot Prices'!$H:$H)</f>
        <v>45.34</v>
      </c>
      <c r="F664">
        <f>_xlfn.XLOOKUP(A664,'[1]Global_Spot Prices'!$B:$B,'[1]Global_Spot Prices'!$I:$I)</f>
        <v>58.76</v>
      </c>
      <c r="G664" cm="1">
        <f t="array" ref="G664">_xlfn.XLOOKUP(TEXT(A664, "mmm-yy"), TEXT([2]RUNS!$B$5:$B$208, "mmm-yy"), [2]RUNS!$D$5:$D$208, "Not Found")</f>
        <v>27936.329152967792</v>
      </c>
      <c r="H664" cm="1">
        <f t="array" ref="H664">SUMPRODUCT(
    --(TEXT('[3]Global Weekly Stock (EWSuez'!$B$4:$B$2000,"mmm-yy")=TEXT(A664,"mmm-yy")),
    '[3]Global Weekly Stock (EWSuez'!$E$4:$E$2000)
/
SUMPRODUCT(
    --(TEXT('[3]Global Weekly Stock (EWSuez'!$B$4:$B$2000,"mmm-yy")=TEXT(A664,"mmm-yy"))
)</f>
        <v>12861.5</v>
      </c>
      <c r="I664">
        <f>_xlfn.XLOOKUP(A664,[1]ForwardDeriv!$D:$D,[1]ForwardDeriv!$AJ:$AJ)</f>
        <v>0.51000000000000512</v>
      </c>
      <c r="J664" cm="1">
        <f t="array" ref="J664">_xlfn.XLOOKUP(TEXT(A664, "mmm-yy"), TEXT([2]GASOLINE!$B$5:$B$208, "mmm-yy"), [2]GASOLINE!$IR$5:$IR$208, "Not Found")</f>
        <v>-47.029156646021249</v>
      </c>
      <c r="K664" cm="1">
        <f t="array" ref="K664">_xlfn.XLOOKUP(TEXT(A664, "mmm-yy"), TEXT([2]GASOLINE!$B$5:$B$208, "mmm-yy"), [2]GASOLINE!$IK$5:$IK$208, "Not Found")</f>
        <v>0</v>
      </c>
      <c r="L664">
        <f t="shared" si="10"/>
        <v>1</v>
      </c>
      <c r="M664" cm="1">
        <f t="array" ref="M664">_xlfn.XLOOKUP(TEXT(A664, "mmm-yy"), TEXT([2]GASOLINE!$B$5:$B$208, "mmm-yy"), [2]GASOLINE!$C$5:$C$208, "Not Found")</f>
        <v>6994.2014384248814</v>
      </c>
      <c r="N664" cm="1">
        <f t="array" ref="N664">_xlfn.XLOOKUP(TEXT(A664, "mmm-yy"), TEXT([2]RUNS!$B$5:$B$208, "mmm-yy"), [2]RUNS!$BM$5:$BM$208, "Not Found")</f>
        <v>0.83254098889802841</v>
      </c>
    </row>
    <row r="665" spans="1:14" x14ac:dyDescent="0.25">
      <c r="A665" s="1">
        <f>'[1]Global_Spot Prices'!$B1974</f>
        <v>42934</v>
      </c>
      <c r="B665">
        <f>_xlfn.XLOOKUP(A665,'[1]Global_Spot Prices'!$B:$B,'[1]Global_Spot Prices'!$BS:$BS)</f>
        <v>11.14</v>
      </c>
      <c r="C665">
        <f>_xlfn.XLOOKUP(A665,'[1]Global_Spot Prices'!$B:$B,'[1]Global_Spot Prices'!$E:$E)</f>
        <v>47.19</v>
      </c>
      <c r="D665">
        <f>_xlfn.XLOOKUP(A665,'[1]Global_Spot Prices'!$B:$B,'[1]Global_Spot Prices'!$D:$D)</f>
        <v>47.79</v>
      </c>
      <c r="E665">
        <f>_xlfn.XLOOKUP(A665,'[1]Global_Spot Prices'!$B:$B,'[1]Global_Spot Prices'!$H:$H)</f>
        <v>45.12</v>
      </c>
      <c r="F665">
        <f>_xlfn.XLOOKUP(A665,'[1]Global_Spot Prices'!$B:$B,'[1]Global_Spot Prices'!$I:$I)</f>
        <v>58.33</v>
      </c>
      <c r="G665" cm="1">
        <f t="array" ref="G665">_xlfn.XLOOKUP(TEXT(A665, "mmm-yy"), TEXT([2]RUNS!$B$5:$B$208, "mmm-yy"), [2]RUNS!$D$5:$D$208, "Not Found")</f>
        <v>27936.329152967792</v>
      </c>
      <c r="H665" cm="1">
        <f t="array" ref="H665">SUMPRODUCT(
    --(TEXT('[3]Global Weekly Stock (EWSuez'!$B$4:$B$2000,"mmm-yy")=TEXT(A665,"mmm-yy")),
    '[3]Global Weekly Stock (EWSuez'!$E$4:$E$2000)
/
SUMPRODUCT(
    --(TEXT('[3]Global Weekly Stock (EWSuez'!$B$4:$B$2000,"mmm-yy")=TEXT(A665,"mmm-yy"))
)</f>
        <v>12861.5</v>
      </c>
      <c r="I665">
        <f>_xlfn.XLOOKUP(A665,[1]ForwardDeriv!$D:$D,[1]ForwardDeriv!$AJ:$AJ)</f>
        <v>0.50999999999999801</v>
      </c>
      <c r="J665" cm="1">
        <f t="array" ref="J665">_xlfn.XLOOKUP(TEXT(A665, "mmm-yy"), TEXT([2]GASOLINE!$B$5:$B$208, "mmm-yy"), [2]GASOLINE!$IR$5:$IR$208, "Not Found")</f>
        <v>-47.029156646021249</v>
      </c>
      <c r="K665" cm="1">
        <f t="array" ref="K665">_xlfn.XLOOKUP(TEXT(A665, "mmm-yy"), TEXT([2]GASOLINE!$B$5:$B$208, "mmm-yy"), [2]GASOLINE!$IK$5:$IK$208, "Not Found")</f>
        <v>0</v>
      </c>
      <c r="L665">
        <f t="shared" si="10"/>
        <v>1</v>
      </c>
      <c r="M665" cm="1">
        <f t="array" ref="M665">_xlfn.XLOOKUP(TEXT(A665, "mmm-yy"), TEXT([2]GASOLINE!$B$5:$B$208, "mmm-yy"), [2]GASOLINE!$C$5:$C$208, "Not Found")</f>
        <v>6994.2014384248814</v>
      </c>
      <c r="N665" cm="1">
        <f t="array" ref="N665">_xlfn.XLOOKUP(TEXT(A665, "mmm-yy"), TEXT([2]RUNS!$B$5:$B$208, "mmm-yy"), [2]RUNS!$BM$5:$BM$208, "Not Found")</f>
        <v>0.83254098889802841</v>
      </c>
    </row>
    <row r="666" spans="1:14" x14ac:dyDescent="0.25">
      <c r="A666" s="1">
        <f>'[1]Global_Spot Prices'!$B1975</f>
        <v>42935</v>
      </c>
      <c r="B666">
        <f>_xlfn.XLOOKUP(A666,'[1]Global_Spot Prices'!$B:$B,'[1]Global_Spot Prices'!$BS:$BS)</f>
        <v>11.71</v>
      </c>
      <c r="C666">
        <f>_xlfn.XLOOKUP(A666,'[1]Global_Spot Prices'!$B:$B,'[1]Global_Spot Prices'!$E:$E)</f>
        <v>47.39</v>
      </c>
      <c r="D666">
        <f>_xlfn.XLOOKUP(A666,'[1]Global_Spot Prices'!$B:$B,'[1]Global_Spot Prices'!$D:$D)</f>
        <v>48.604999999999997</v>
      </c>
      <c r="E666">
        <f>_xlfn.XLOOKUP(A666,'[1]Global_Spot Prices'!$B:$B,'[1]Global_Spot Prices'!$H:$H)</f>
        <v>45.67</v>
      </c>
      <c r="F666">
        <f>_xlfn.XLOOKUP(A666,'[1]Global_Spot Prices'!$B:$B,'[1]Global_Spot Prices'!$I:$I)</f>
        <v>59.1</v>
      </c>
      <c r="G666" cm="1">
        <f t="array" ref="G666">_xlfn.XLOOKUP(TEXT(A666, "mmm-yy"), TEXT([2]RUNS!$B$5:$B$208, "mmm-yy"), [2]RUNS!$D$5:$D$208, "Not Found")</f>
        <v>27936.329152967792</v>
      </c>
      <c r="H666" cm="1">
        <f t="array" ref="H666">SUMPRODUCT(
    --(TEXT('[3]Global Weekly Stock (EWSuez'!$B$4:$B$2000,"mmm-yy")=TEXT(A666,"mmm-yy")),
    '[3]Global Weekly Stock (EWSuez'!$E$4:$E$2000)
/
SUMPRODUCT(
    --(TEXT('[3]Global Weekly Stock (EWSuez'!$B$4:$B$2000,"mmm-yy")=TEXT(A666,"mmm-yy"))
)</f>
        <v>12861.5</v>
      </c>
      <c r="I666">
        <f>_xlfn.XLOOKUP(A666,[1]ForwardDeriv!$D:$D,[1]ForwardDeriv!$AJ:$AJ)</f>
        <v>0.61999999999999744</v>
      </c>
      <c r="J666" cm="1">
        <f t="array" ref="J666">_xlfn.XLOOKUP(TEXT(A666, "mmm-yy"), TEXT([2]GASOLINE!$B$5:$B$208, "mmm-yy"), [2]GASOLINE!$IR$5:$IR$208, "Not Found")</f>
        <v>-47.029156646021249</v>
      </c>
      <c r="K666" cm="1">
        <f t="array" ref="K666">_xlfn.XLOOKUP(TEXT(A666, "mmm-yy"), TEXT([2]GASOLINE!$B$5:$B$208, "mmm-yy"), [2]GASOLINE!$IK$5:$IK$208, "Not Found")</f>
        <v>0</v>
      </c>
      <c r="L666">
        <f t="shared" si="10"/>
        <v>1</v>
      </c>
      <c r="M666" cm="1">
        <f t="array" ref="M666">_xlfn.XLOOKUP(TEXT(A666, "mmm-yy"), TEXT([2]GASOLINE!$B$5:$B$208, "mmm-yy"), [2]GASOLINE!$C$5:$C$208, "Not Found")</f>
        <v>6994.2014384248814</v>
      </c>
      <c r="N666" cm="1">
        <f t="array" ref="N666">_xlfn.XLOOKUP(TEXT(A666, "mmm-yy"), TEXT([2]RUNS!$B$5:$B$208, "mmm-yy"), [2]RUNS!$BM$5:$BM$208, "Not Found")</f>
        <v>0.83254098889802841</v>
      </c>
    </row>
    <row r="667" spans="1:14" x14ac:dyDescent="0.25">
      <c r="A667" s="1">
        <f>'[1]Global_Spot Prices'!$B1976</f>
        <v>42936</v>
      </c>
      <c r="B667">
        <f>_xlfn.XLOOKUP(A667,'[1]Global_Spot Prices'!$B:$B,'[1]Global_Spot Prices'!$BS:$BS)</f>
        <v>12.36</v>
      </c>
      <c r="C667">
        <f>_xlfn.XLOOKUP(A667,'[1]Global_Spot Prices'!$B:$B,'[1]Global_Spot Prices'!$E:$E)</f>
        <v>48.35</v>
      </c>
      <c r="D667">
        <f>_xlfn.XLOOKUP(A667,'[1]Global_Spot Prices'!$B:$B,'[1]Global_Spot Prices'!$D:$D)</f>
        <v>48.68</v>
      </c>
      <c r="E667">
        <f>_xlfn.XLOOKUP(A667,'[1]Global_Spot Prices'!$B:$B,'[1]Global_Spot Prices'!$H:$H)</f>
        <v>46.48</v>
      </c>
      <c r="F667">
        <f>_xlfn.XLOOKUP(A667,'[1]Global_Spot Prices'!$B:$B,'[1]Global_Spot Prices'!$I:$I)</f>
        <v>60.71</v>
      </c>
      <c r="G667" cm="1">
        <f t="array" ref="G667">_xlfn.XLOOKUP(TEXT(A667, "mmm-yy"), TEXT([2]RUNS!$B$5:$B$208, "mmm-yy"), [2]RUNS!$D$5:$D$208, "Not Found")</f>
        <v>27936.329152967792</v>
      </c>
      <c r="H667" cm="1">
        <f t="array" ref="H667">SUMPRODUCT(
    --(TEXT('[3]Global Weekly Stock (EWSuez'!$B$4:$B$2000,"mmm-yy")=TEXT(A667,"mmm-yy")),
    '[3]Global Weekly Stock (EWSuez'!$E$4:$E$2000)
/
SUMPRODUCT(
    --(TEXT('[3]Global Weekly Stock (EWSuez'!$B$4:$B$2000,"mmm-yy")=TEXT(A667,"mmm-yy"))
)</f>
        <v>12861.5</v>
      </c>
      <c r="I667">
        <f>_xlfn.XLOOKUP(A667,[1]ForwardDeriv!$D:$D,[1]ForwardDeriv!$AJ:$AJ)</f>
        <v>0.64999999999999858</v>
      </c>
      <c r="J667" cm="1">
        <f t="array" ref="J667">_xlfn.XLOOKUP(TEXT(A667, "mmm-yy"), TEXT([2]GASOLINE!$B$5:$B$208, "mmm-yy"), [2]GASOLINE!$IR$5:$IR$208, "Not Found")</f>
        <v>-47.029156646021249</v>
      </c>
      <c r="K667" cm="1">
        <f t="array" ref="K667">_xlfn.XLOOKUP(TEXT(A667, "mmm-yy"), TEXT([2]GASOLINE!$B$5:$B$208, "mmm-yy"), [2]GASOLINE!$IK$5:$IK$208, "Not Found")</f>
        <v>0</v>
      </c>
      <c r="L667">
        <f t="shared" si="10"/>
        <v>1</v>
      </c>
      <c r="M667" cm="1">
        <f t="array" ref="M667">_xlfn.XLOOKUP(TEXT(A667, "mmm-yy"), TEXT([2]GASOLINE!$B$5:$B$208, "mmm-yy"), [2]GASOLINE!$C$5:$C$208, "Not Found")</f>
        <v>6994.2014384248814</v>
      </c>
      <c r="N667" cm="1">
        <f t="array" ref="N667">_xlfn.XLOOKUP(TEXT(A667, "mmm-yy"), TEXT([2]RUNS!$B$5:$B$208, "mmm-yy"), [2]RUNS!$BM$5:$BM$208, "Not Found")</f>
        <v>0.83254098889802841</v>
      </c>
    </row>
    <row r="668" spans="1:14" x14ac:dyDescent="0.25">
      <c r="A668" s="1">
        <f>'[1]Global_Spot Prices'!$B1977</f>
        <v>42937</v>
      </c>
      <c r="B668">
        <f>_xlfn.XLOOKUP(A668,'[1]Global_Spot Prices'!$B:$B,'[1]Global_Spot Prices'!$BS:$BS)</f>
        <v>13.07</v>
      </c>
      <c r="C668">
        <f>_xlfn.XLOOKUP(A668,'[1]Global_Spot Prices'!$B:$B,'[1]Global_Spot Prices'!$E:$E)</f>
        <v>48.16</v>
      </c>
      <c r="D668">
        <f>_xlfn.XLOOKUP(A668,'[1]Global_Spot Prices'!$B:$B,'[1]Global_Spot Prices'!$D:$D)</f>
        <v>47.91</v>
      </c>
      <c r="E668">
        <f>_xlfn.XLOOKUP(A668,'[1]Global_Spot Prices'!$B:$B,'[1]Global_Spot Prices'!$H:$H)</f>
        <v>46.99</v>
      </c>
      <c r="F668">
        <f>_xlfn.XLOOKUP(A668,'[1]Global_Spot Prices'!$B:$B,'[1]Global_Spot Prices'!$I:$I)</f>
        <v>61.23</v>
      </c>
      <c r="G668" cm="1">
        <f t="array" ref="G668">_xlfn.XLOOKUP(TEXT(A668, "mmm-yy"), TEXT([2]RUNS!$B$5:$B$208, "mmm-yy"), [2]RUNS!$D$5:$D$208, "Not Found")</f>
        <v>27936.329152967792</v>
      </c>
      <c r="H668" cm="1">
        <f t="array" ref="H668">SUMPRODUCT(
    --(TEXT('[3]Global Weekly Stock (EWSuez'!$B$4:$B$2000,"mmm-yy")=TEXT(A668,"mmm-yy")),
    '[3]Global Weekly Stock (EWSuez'!$E$4:$E$2000)
/
SUMPRODUCT(
    --(TEXT('[3]Global Weekly Stock (EWSuez'!$B$4:$B$2000,"mmm-yy")=TEXT(A668,"mmm-yy"))
)</f>
        <v>12861.5</v>
      </c>
      <c r="I668">
        <f>_xlfn.XLOOKUP(A668,[1]ForwardDeriv!$D:$D,[1]ForwardDeriv!$AJ:$AJ)</f>
        <v>0.72999999999999687</v>
      </c>
      <c r="J668" cm="1">
        <f t="array" ref="J668">_xlfn.XLOOKUP(TEXT(A668, "mmm-yy"), TEXT([2]GASOLINE!$B$5:$B$208, "mmm-yy"), [2]GASOLINE!$IR$5:$IR$208, "Not Found")</f>
        <v>-47.029156646021249</v>
      </c>
      <c r="K668" cm="1">
        <f t="array" ref="K668">_xlfn.XLOOKUP(TEXT(A668, "mmm-yy"), TEXT([2]GASOLINE!$B$5:$B$208, "mmm-yy"), [2]GASOLINE!$IK$5:$IK$208, "Not Found")</f>
        <v>0</v>
      </c>
      <c r="L668">
        <f t="shared" si="10"/>
        <v>1</v>
      </c>
      <c r="M668" cm="1">
        <f t="array" ref="M668">_xlfn.XLOOKUP(TEXT(A668, "mmm-yy"), TEXT([2]GASOLINE!$B$5:$B$208, "mmm-yy"), [2]GASOLINE!$C$5:$C$208, "Not Found")</f>
        <v>6994.2014384248814</v>
      </c>
      <c r="N668" cm="1">
        <f t="array" ref="N668">_xlfn.XLOOKUP(TEXT(A668, "mmm-yy"), TEXT([2]RUNS!$B$5:$B$208, "mmm-yy"), [2]RUNS!$BM$5:$BM$208, "Not Found")</f>
        <v>0.83254098889802841</v>
      </c>
    </row>
    <row r="669" spans="1:14" x14ac:dyDescent="0.25">
      <c r="A669" s="1">
        <f>'[1]Global_Spot Prices'!$B1978</f>
        <v>42940</v>
      </c>
      <c r="B669">
        <f>_xlfn.XLOOKUP(A669,'[1]Global_Spot Prices'!$B:$B,'[1]Global_Spot Prices'!$BS:$BS)</f>
        <v>12.209999999999994</v>
      </c>
      <c r="C669">
        <f>_xlfn.XLOOKUP(A669,'[1]Global_Spot Prices'!$B:$B,'[1]Global_Spot Prices'!$E:$E)</f>
        <v>46.45</v>
      </c>
      <c r="D669">
        <f>_xlfn.XLOOKUP(A669,'[1]Global_Spot Prices'!$B:$B,'[1]Global_Spot Prices'!$D:$D)</f>
        <v>47.965000000000003</v>
      </c>
      <c r="E669">
        <f>_xlfn.XLOOKUP(A669,'[1]Global_Spot Prices'!$B:$B,'[1]Global_Spot Prices'!$H:$H)</f>
        <v>45.21</v>
      </c>
      <c r="F669">
        <f>_xlfn.XLOOKUP(A669,'[1]Global_Spot Prices'!$B:$B,'[1]Global_Spot Prices'!$I:$I)</f>
        <v>58.66</v>
      </c>
      <c r="G669" cm="1">
        <f t="array" ref="G669">_xlfn.XLOOKUP(TEXT(A669, "mmm-yy"), TEXT([2]RUNS!$B$5:$B$208, "mmm-yy"), [2]RUNS!$D$5:$D$208, "Not Found")</f>
        <v>27936.329152967792</v>
      </c>
      <c r="H669" cm="1">
        <f t="array" ref="H669">SUMPRODUCT(
    --(TEXT('[3]Global Weekly Stock (EWSuez'!$B$4:$B$2000,"mmm-yy")=TEXT(A669,"mmm-yy")),
    '[3]Global Weekly Stock (EWSuez'!$E$4:$E$2000)
/
SUMPRODUCT(
    --(TEXT('[3]Global Weekly Stock (EWSuez'!$B$4:$B$2000,"mmm-yy")=TEXT(A669,"mmm-yy"))
)</f>
        <v>12861.5</v>
      </c>
      <c r="I669">
        <f>_xlfn.XLOOKUP(A669,[1]ForwardDeriv!$D:$D,[1]ForwardDeriv!$AJ:$AJ)</f>
        <v>0.65999999999999659</v>
      </c>
      <c r="J669" cm="1">
        <f t="array" ref="J669">_xlfn.XLOOKUP(TEXT(A669, "mmm-yy"), TEXT([2]GASOLINE!$B$5:$B$208, "mmm-yy"), [2]GASOLINE!$IR$5:$IR$208, "Not Found")</f>
        <v>-47.029156646021249</v>
      </c>
      <c r="K669" cm="1">
        <f t="array" ref="K669">_xlfn.XLOOKUP(TEXT(A669, "mmm-yy"), TEXT([2]GASOLINE!$B$5:$B$208, "mmm-yy"), [2]GASOLINE!$IK$5:$IK$208, "Not Found")</f>
        <v>0</v>
      </c>
      <c r="L669">
        <f t="shared" si="10"/>
        <v>1</v>
      </c>
      <c r="M669" cm="1">
        <f t="array" ref="M669">_xlfn.XLOOKUP(TEXT(A669, "mmm-yy"), TEXT([2]GASOLINE!$B$5:$B$208, "mmm-yy"), [2]GASOLINE!$C$5:$C$208, "Not Found")</f>
        <v>6994.2014384248814</v>
      </c>
      <c r="N669" cm="1">
        <f t="array" ref="N669">_xlfn.XLOOKUP(TEXT(A669, "mmm-yy"), TEXT([2]RUNS!$B$5:$B$208, "mmm-yy"), [2]RUNS!$BM$5:$BM$208, "Not Found")</f>
        <v>0.83254098889802841</v>
      </c>
    </row>
    <row r="670" spans="1:14" x14ac:dyDescent="0.25">
      <c r="A670" s="1">
        <f>'[1]Global_Spot Prices'!$B1979</f>
        <v>42941</v>
      </c>
      <c r="B670">
        <f>_xlfn.XLOOKUP(A670,'[1]Global_Spot Prices'!$B:$B,'[1]Global_Spot Prices'!$BS:$BS)</f>
        <v>11.670000000000002</v>
      </c>
      <c r="C670">
        <f>_xlfn.XLOOKUP(A670,'[1]Global_Spot Prices'!$B:$B,'[1]Global_Spot Prices'!$E:$E)</f>
        <v>47.32</v>
      </c>
      <c r="D670">
        <f>_xlfn.XLOOKUP(A670,'[1]Global_Spot Prices'!$B:$B,'[1]Global_Spot Prices'!$D:$D)</f>
        <v>49.354999999999997</v>
      </c>
      <c r="E670">
        <f>_xlfn.XLOOKUP(A670,'[1]Global_Spot Prices'!$B:$B,'[1]Global_Spot Prices'!$H:$H)</f>
        <v>45.65</v>
      </c>
      <c r="F670">
        <f>_xlfn.XLOOKUP(A670,'[1]Global_Spot Prices'!$B:$B,'[1]Global_Spot Prices'!$I:$I)</f>
        <v>58.99</v>
      </c>
      <c r="G670" cm="1">
        <f t="array" ref="G670">_xlfn.XLOOKUP(TEXT(A670, "mmm-yy"), TEXT([2]RUNS!$B$5:$B$208, "mmm-yy"), [2]RUNS!$D$5:$D$208, "Not Found")</f>
        <v>27936.329152967792</v>
      </c>
      <c r="H670" cm="1">
        <f t="array" ref="H670">SUMPRODUCT(
    --(TEXT('[3]Global Weekly Stock (EWSuez'!$B$4:$B$2000,"mmm-yy")=TEXT(A670,"mmm-yy")),
    '[3]Global Weekly Stock (EWSuez'!$E$4:$E$2000)
/
SUMPRODUCT(
    --(TEXT('[3]Global Weekly Stock (EWSuez'!$B$4:$B$2000,"mmm-yy")=TEXT(A670,"mmm-yy"))
)</f>
        <v>12861.5</v>
      </c>
      <c r="I670">
        <f>_xlfn.XLOOKUP(A670,[1]ForwardDeriv!$D:$D,[1]ForwardDeriv!$AJ:$AJ)</f>
        <v>0.60000000000000142</v>
      </c>
      <c r="J670" cm="1">
        <f t="array" ref="J670">_xlfn.XLOOKUP(TEXT(A670, "mmm-yy"), TEXT([2]GASOLINE!$B$5:$B$208, "mmm-yy"), [2]GASOLINE!$IR$5:$IR$208, "Not Found")</f>
        <v>-47.029156646021249</v>
      </c>
      <c r="K670" cm="1">
        <f t="array" ref="K670">_xlfn.XLOOKUP(TEXT(A670, "mmm-yy"), TEXT([2]GASOLINE!$B$5:$B$208, "mmm-yy"), [2]GASOLINE!$IK$5:$IK$208, "Not Found")</f>
        <v>0</v>
      </c>
      <c r="L670">
        <f t="shared" si="10"/>
        <v>1</v>
      </c>
      <c r="M670" cm="1">
        <f t="array" ref="M670">_xlfn.XLOOKUP(TEXT(A670, "mmm-yy"), TEXT([2]GASOLINE!$B$5:$B$208, "mmm-yy"), [2]GASOLINE!$C$5:$C$208, "Not Found")</f>
        <v>6994.2014384248814</v>
      </c>
      <c r="N670" cm="1">
        <f t="array" ref="N670">_xlfn.XLOOKUP(TEXT(A670, "mmm-yy"), TEXT([2]RUNS!$B$5:$B$208, "mmm-yy"), [2]RUNS!$BM$5:$BM$208, "Not Found")</f>
        <v>0.83254098889802841</v>
      </c>
    </row>
    <row r="671" spans="1:14" x14ac:dyDescent="0.25">
      <c r="A671" s="1">
        <f>'[1]Global_Spot Prices'!$B1980</f>
        <v>42942</v>
      </c>
      <c r="B671">
        <f>_xlfn.XLOOKUP(A671,'[1]Global_Spot Prices'!$B:$B,'[1]Global_Spot Prices'!$BS:$BS)</f>
        <v>11.519999999999996</v>
      </c>
      <c r="C671">
        <f>_xlfn.XLOOKUP(A671,'[1]Global_Spot Prices'!$B:$B,'[1]Global_Spot Prices'!$E:$E)</f>
        <v>49.09</v>
      </c>
      <c r="D671">
        <f>_xlfn.XLOOKUP(A671,'[1]Global_Spot Prices'!$B:$B,'[1]Global_Spot Prices'!$D:$D)</f>
        <v>50.09</v>
      </c>
      <c r="E671">
        <f>_xlfn.XLOOKUP(A671,'[1]Global_Spot Prices'!$B:$B,'[1]Global_Spot Prices'!$H:$H)</f>
        <v>47.21</v>
      </c>
      <c r="F671">
        <f>_xlfn.XLOOKUP(A671,'[1]Global_Spot Prices'!$B:$B,'[1]Global_Spot Prices'!$I:$I)</f>
        <v>60.61</v>
      </c>
      <c r="G671" cm="1">
        <f t="array" ref="G671">_xlfn.XLOOKUP(TEXT(A671, "mmm-yy"), TEXT([2]RUNS!$B$5:$B$208, "mmm-yy"), [2]RUNS!$D$5:$D$208, "Not Found")</f>
        <v>27936.329152967792</v>
      </c>
      <c r="H671" cm="1">
        <f t="array" ref="H671">SUMPRODUCT(
    --(TEXT('[3]Global Weekly Stock (EWSuez'!$B$4:$B$2000,"mmm-yy")=TEXT(A671,"mmm-yy")),
    '[3]Global Weekly Stock (EWSuez'!$E$4:$E$2000)
/
SUMPRODUCT(
    --(TEXT('[3]Global Weekly Stock (EWSuez'!$B$4:$B$2000,"mmm-yy")=TEXT(A671,"mmm-yy"))
)</f>
        <v>12861.5</v>
      </c>
      <c r="I671">
        <f>_xlfn.XLOOKUP(A671,[1]ForwardDeriv!$D:$D,[1]ForwardDeriv!$AJ:$AJ)</f>
        <v>0.71999999999999886</v>
      </c>
      <c r="J671" cm="1">
        <f t="array" ref="J671">_xlfn.XLOOKUP(TEXT(A671, "mmm-yy"), TEXT([2]GASOLINE!$B$5:$B$208, "mmm-yy"), [2]GASOLINE!$IR$5:$IR$208, "Not Found")</f>
        <v>-47.029156646021249</v>
      </c>
      <c r="K671" cm="1">
        <f t="array" ref="K671">_xlfn.XLOOKUP(TEXT(A671, "mmm-yy"), TEXT([2]GASOLINE!$B$5:$B$208, "mmm-yy"), [2]GASOLINE!$IK$5:$IK$208, "Not Found")</f>
        <v>0</v>
      </c>
      <c r="L671">
        <f t="shared" si="10"/>
        <v>1</v>
      </c>
      <c r="M671" cm="1">
        <f t="array" ref="M671">_xlfn.XLOOKUP(TEXT(A671, "mmm-yy"), TEXT([2]GASOLINE!$B$5:$B$208, "mmm-yy"), [2]GASOLINE!$C$5:$C$208, "Not Found")</f>
        <v>6994.2014384248814</v>
      </c>
      <c r="N671" cm="1">
        <f t="array" ref="N671">_xlfn.XLOOKUP(TEXT(A671, "mmm-yy"), TEXT([2]RUNS!$B$5:$B$208, "mmm-yy"), [2]RUNS!$BM$5:$BM$208, "Not Found")</f>
        <v>0.83254098889802841</v>
      </c>
    </row>
    <row r="672" spans="1:14" x14ac:dyDescent="0.25">
      <c r="A672" s="1">
        <f>'[1]Global_Spot Prices'!$B1981</f>
        <v>42943</v>
      </c>
      <c r="B672">
        <f>_xlfn.XLOOKUP(A672,'[1]Global_Spot Prices'!$B:$B,'[1]Global_Spot Prices'!$BS:$BS)</f>
        <v>12.080000000000005</v>
      </c>
      <c r="C672">
        <f>_xlfn.XLOOKUP(A672,'[1]Global_Spot Prices'!$B:$B,'[1]Global_Spot Prices'!$E:$E)</f>
        <v>49.3</v>
      </c>
      <c r="D672">
        <f>_xlfn.XLOOKUP(A672,'[1]Global_Spot Prices'!$B:$B,'[1]Global_Spot Prices'!$D:$D)</f>
        <v>50.74</v>
      </c>
      <c r="E672">
        <f>_xlfn.XLOOKUP(A672,'[1]Global_Spot Prices'!$B:$B,'[1]Global_Spot Prices'!$H:$H)</f>
        <v>48.26</v>
      </c>
      <c r="F672">
        <f>_xlfn.XLOOKUP(A672,'[1]Global_Spot Prices'!$B:$B,'[1]Global_Spot Prices'!$I:$I)</f>
        <v>61.38</v>
      </c>
      <c r="G672" cm="1">
        <f t="array" ref="G672">_xlfn.XLOOKUP(TEXT(A672, "mmm-yy"), TEXT([2]RUNS!$B$5:$B$208, "mmm-yy"), [2]RUNS!$D$5:$D$208, "Not Found")</f>
        <v>27936.329152967792</v>
      </c>
      <c r="H672" cm="1">
        <f t="array" ref="H672">SUMPRODUCT(
    --(TEXT('[3]Global Weekly Stock (EWSuez'!$B$4:$B$2000,"mmm-yy")=TEXT(A672,"mmm-yy")),
    '[3]Global Weekly Stock (EWSuez'!$E$4:$E$2000)
/
SUMPRODUCT(
    --(TEXT('[3]Global Weekly Stock (EWSuez'!$B$4:$B$2000,"mmm-yy")=TEXT(A672,"mmm-yy"))
)</f>
        <v>12861.5</v>
      </c>
      <c r="I672">
        <f>_xlfn.XLOOKUP(A672,[1]ForwardDeriv!$D:$D,[1]ForwardDeriv!$AJ:$AJ)</f>
        <v>0.70000000000000284</v>
      </c>
      <c r="J672" cm="1">
        <f t="array" ref="J672">_xlfn.XLOOKUP(TEXT(A672, "mmm-yy"), TEXT([2]GASOLINE!$B$5:$B$208, "mmm-yy"), [2]GASOLINE!$IR$5:$IR$208, "Not Found")</f>
        <v>-47.029156646021249</v>
      </c>
      <c r="K672" cm="1">
        <f t="array" ref="K672">_xlfn.XLOOKUP(TEXT(A672, "mmm-yy"), TEXT([2]GASOLINE!$B$5:$B$208, "mmm-yy"), [2]GASOLINE!$IK$5:$IK$208, "Not Found")</f>
        <v>0</v>
      </c>
      <c r="L672">
        <f t="shared" si="10"/>
        <v>1</v>
      </c>
      <c r="M672" cm="1">
        <f t="array" ref="M672">_xlfn.XLOOKUP(TEXT(A672, "mmm-yy"), TEXT([2]GASOLINE!$B$5:$B$208, "mmm-yy"), [2]GASOLINE!$C$5:$C$208, "Not Found")</f>
        <v>6994.2014384248814</v>
      </c>
      <c r="N672" cm="1">
        <f t="array" ref="N672">_xlfn.XLOOKUP(TEXT(A672, "mmm-yy"), TEXT([2]RUNS!$B$5:$B$208, "mmm-yy"), [2]RUNS!$BM$5:$BM$208, "Not Found")</f>
        <v>0.83254098889802841</v>
      </c>
    </row>
    <row r="673" spans="1:14" x14ac:dyDescent="0.25">
      <c r="A673" s="1">
        <f>'[1]Global_Spot Prices'!$B1982</f>
        <v>42944</v>
      </c>
      <c r="B673">
        <f>_xlfn.XLOOKUP(A673,'[1]Global_Spot Prices'!$B:$B,'[1]Global_Spot Prices'!$BS:$BS)</f>
        <v>12.839999999999996</v>
      </c>
      <c r="C673">
        <f>_xlfn.XLOOKUP(A673,'[1]Global_Spot Prices'!$B:$B,'[1]Global_Spot Prices'!$E:$E)</f>
        <v>49.7</v>
      </c>
      <c r="D673">
        <f>_xlfn.XLOOKUP(A673,'[1]Global_Spot Prices'!$B:$B,'[1]Global_Spot Prices'!$D:$D)</f>
        <v>51.704999999999998</v>
      </c>
      <c r="E673">
        <f>_xlfn.XLOOKUP(A673,'[1]Global_Spot Prices'!$B:$B,'[1]Global_Spot Prices'!$H:$H)</f>
        <v>49.15</v>
      </c>
      <c r="F673">
        <f>_xlfn.XLOOKUP(A673,'[1]Global_Spot Prices'!$B:$B,'[1]Global_Spot Prices'!$I:$I)</f>
        <v>62.54</v>
      </c>
      <c r="G673" cm="1">
        <f t="array" ref="G673">_xlfn.XLOOKUP(TEXT(A673, "mmm-yy"), TEXT([2]RUNS!$B$5:$B$208, "mmm-yy"), [2]RUNS!$D$5:$D$208, "Not Found")</f>
        <v>27936.329152967792</v>
      </c>
      <c r="H673" cm="1">
        <f t="array" ref="H673">SUMPRODUCT(
    --(TEXT('[3]Global Weekly Stock (EWSuez'!$B$4:$B$2000,"mmm-yy")=TEXT(A673,"mmm-yy")),
    '[3]Global Weekly Stock (EWSuez'!$E$4:$E$2000)
/
SUMPRODUCT(
    --(TEXT('[3]Global Weekly Stock (EWSuez'!$B$4:$B$2000,"mmm-yy")=TEXT(A673,"mmm-yy"))
)</f>
        <v>12861.5</v>
      </c>
      <c r="I673">
        <f>_xlfn.XLOOKUP(A673,[1]ForwardDeriv!$D:$D,[1]ForwardDeriv!$AJ:$AJ)</f>
        <v>0.80000000000000426</v>
      </c>
      <c r="J673" cm="1">
        <f t="array" ref="J673">_xlfn.XLOOKUP(TEXT(A673, "mmm-yy"), TEXT([2]GASOLINE!$B$5:$B$208, "mmm-yy"), [2]GASOLINE!$IR$5:$IR$208, "Not Found")</f>
        <v>-47.029156646021249</v>
      </c>
      <c r="K673" cm="1">
        <f t="array" ref="K673">_xlfn.XLOOKUP(TEXT(A673, "mmm-yy"), TEXT([2]GASOLINE!$B$5:$B$208, "mmm-yy"), [2]GASOLINE!$IK$5:$IK$208, "Not Found")</f>
        <v>0</v>
      </c>
      <c r="L673">
        <f t="shared" si="10"/>
        <v>1</v>
      </c>
      <c r="M673" cm="1">
        <f t="array" ref="M673">_xlfn.XLOOKUP(TEXT(A673, "mmm-yy"), TEXT([2]GASOLINE!$B$5:$B$208, "mmm-yy"), [2]GASOLINE!$C$5:$C$208, "Not Found")</f>
        <v>6994.2014384248814</v>
      </c>
      <c r="N673" cm="1">
        <f t="array" ref="N673">_xlfn.XLOOKUP(TEXT(A673, "mmm-yy"), TEXT([2]RUNS!$B$5:$B$208, "mmm-yy"), [2]RUNS!$BM$5:$BM$208, "Not Found")</f>
        <v>0.83254098889802841</v>
      </c>
    </row>
    <row r="674" spans="1:14" x14ac:dyDescent="0.25">
      <c r="A674" s="1">
        <f>'[1]Global_Spot Prices'!$B1983</f>
        <v>42947</v>
      </c>
      <c r="B674">
        <f>_xlfn.XLOOKUP(A674,'[1]Global_Spot Prices'!$B:$B,'[1]Global_Spot Prices'!$BS:$BS)</f>
        <v>13.189999999999998</v>
      </c>
      <c r="C674">
        <f>_xlfn.XLOOKUP(A674,'[1]Global_Spot Prices'!$B:$B,'[1]Global_Spot Prices'!$E:$E)</f>
        <v>50.35</v>
      </c>
      <c r="D674">
        <f>_xlfn.XLOOKUP(A674,'[1]Global_Spot Prices'!$B:$B,'[1]Global_Spot Prices'!$D:$D)</f>
        <v>51.784999999999997</v>
      </c>
      <c r="E674">
        <f>_xlfn.XLOOKUP(A674,'[1]Global_Spot Prices'!$B:$B,'[1]Global_Spot Prices'!$H:$H)</f>
        <v>50.34</v>
      </c>
      <c r="F674">
        <f>_xlfn.XLOOKUP(A674,'[1]Global_Spot Prices'!$B:$B,'[1]Global_Spot Prices'!$I:$I)</f>
        <v>63.54</v>
      </c>
      <c r="G674" cm="1">
        <f t="array" ref="G674">_xlfn.XLOOKUP(TEXT(A674, "mmm-yy"), TEXT([2]RUNS!$B$5:$B$208, "mmm-yy"), [2]RUNS!$D$5:$D$208, "Not Found")</f>
        <v>27936.329152967792</v>
      </c>
      <c r="H674" cm="1">
        <f t="array" ref="H674">SUMPRODUCT(
    --(TEXT('[3]Global Weekly Stock (EWSuez'!$B$4:$B$2000,"mmm-yy")=TEXT(A674,"mmm-yy")),
    '[3]Global Weekly Stock (EWSuez'!$E$4:$E$2000)
/
SUMPRODUCT(
    --(TEXT('[3]Global Weekly Stock (EWSuez'!$B$4:$B$2000,"mmm-yy")=TEXT(A674,"mmm-yy"))
)</f>
        <v>12861.5</v>
      </c>
      <c r="I674">
        <f>_xlfn.XLOOKUP(A674,[1]ForwardDeriv!$D:$D,[1]ForwardDeriv!$AJ:$AJ)</f>
        <v>0.92999999999999972</v>
      </c>
      <c r="J674" cm="1">
        <f t="array" ref="J674">_xlfn.XLOOKUP(TEXT(A674, "mmm-yy"), TEXT([2]GASOLINE!$B$5:$B$208, "mmm-yy"), [2]GASOLINE!$IR$5:$IR$208, "Not Found")</f>
        <v>-47.029156646021249</v>
      </c>
      <c r="K674" cm="1">
        <f t="array" ref="K674">_xlfn.XLOOKUP(TEXT(A674, "mmm-yy"), TEXT([2]GASOLINE!$B$5:$B$208, "mmm-yy"), [2]GASOLINE!$IK$5:$IK$208, "Not Found")</f>
        <v>0</v>
      </c>
      <c r="L674">
        <f t="shared" si="10"/>
        <v>1</v>
      </c>
      <c r="M674" cm="1">
        <f t="array" ref="M674">_xlfn.XLOOKUP(TEXT(A674, "mmm-yy"), TEXT([2]GASOLINE!$B$5:$B$208, "mmm-yy"), [2]GASOLINE!$C$5:$C$208, "Not Found")</f>
        <v>6994.2014384248814</v>
      </c>
      <c r="N674" cm="1">
        <f t="array" ref="N674">_xlfn.XLOOKUP(TEXT(A674, "mmm-yy"), TEXT([2]RUNS!$B$5:$B$208, "mmm-yy"), [2]RUNS!$BM$5:$BM$208, "Not Found")</f>
        <v>0.83254098889802841</v>
      </c>
    </row>
    <row r="675" spans="1:14" x14ac:dyDescent="0.25">
      <c r="A675" s="1">
        <f>'[1]Global_Spot Prices'!$B1984</f>
        <v>42948</v>
      </c>
      <c r="B675">
        <f>_xlfn.XLOOKUP(A675,'[1]Global_Spot Prices'!$B:$B,'[1]Global_Spot Prices'!$BS:$BS)</f>
        <v>13.019999999999996</v>
      </c>
      <c r="C675">
        <f>_xlfn.XLOOKUP(A675,'[1]Global_Spot Prices'!$B:$B,'[1]Global_Spot Prices'!$E:$E)</f>
        <v>51.3</v>
      </c>
      <c r="D675">
        <f>_xlfn.XLOOKUP(A675,'[1]Global_Spot Prices'!$B:$B,'[1]Global_Spot Prices'!$D:$D)</f>
        <v>50.914999999999999</v>
      </c>
      <c r="E675">
        <f>_xlfn.XLOOKUP(A675,'[1]Global_Spot Prices'!$B:$B,'[1]Global_Spot Prices'!$H:$H)</f>
        <v>51.46</v>
      </c>
      <c r="F675">
        <f>_xlfn.XLOOKUP(A675,'[1]Global_Spot Prices'!$B:$B,'[1]Global_Spot Prices'!$I:$I)</f>
        <v>64.319999999999993</v>
      </c>
      <c r="G675" cm="1">
        <f t="array" ref="G675">_xlfn.XLOOKUP(TEXT(A675, "mmm-yy"), TEXT([2]RUNS!$B$5:$B$208, "mmm-yy"), [2]RUNS!$D$5:$D$208, "Not Found")</f>
        <v>28717.922461208727</v>
      </c>
      <c r="H675" cm="1">
        <f t="array" ref="H675">SUMPRODUCT(
    --(TEXT('[3]Global Weekly Stock (EWSuez'!$B$4:$B$2000,"mmm-yy")=TEXT(A675,"mmm-yy")),
    '[3]Global Weekly Stock (EWSuez'!$E$4:$E$2000)
/
SUMPRODUCT(
    --(TEXT('[3]Global Weekly Stock (EWSuez'!$B$4:$B$2000,"mmm-yy")=TEXT(A675,"mmm-yy"))
)</f>
        <v>14007.75</v>
      </c>
      <c r="I675">
        <f>_xlfn.XLOOKUP(A675,[1]ForwardDeriv!$D:$D,[1]ForwardDeriv!$AJ:$AJ)</f>
        <v>0.75</v>
      </c>
      <c r="J675" cm="1">
        <f t="array" ref="J675">_xlfn.XLOOKUP(TEXT(A675, "mmm-yy"), TEXT([2]GASOLINE!$B$5:$B$208, "mmm-yy"), [2]GASOLINE!$IR$5:$IR$208, "Not Found")</f>
        <v>-98.892897326526196</v>
      </c>
      <c r="K675" cm="1">
        <f t="array" ref="K675">_xlfn.XLOOKUP(TEXT(A675, "mmm-yy"), TEXT([2]GASOLINE!$B$5:$B$208, "mmm-yy"), [2]GASOLINE!$IK$5:$IK$208, "Not Found")</f>
        <v>0</v>
      </c>
      <c r="L675">
        <f t="shared" si="10"/>
        <v>1</v>
      </c>
      <c r="M675" cm="1">
        <f t="array" ref="M675">_xlfn.XLOOKUP(TEXT(A675, "mmm-yy"), TEXT([2]GASOLINE!$B$5:$B$208, "mmm-yy"), [2]GASOLINE!$C$5:$C$208, "Not Found")</f>
        <v>7183.6319418243129</v>
      </c>
      <c r="N675" cm="1">
        <f t="array" ref="N675">_xlfn.XLOOKUP(TEXT(A675, "mmm-yy"), TEXT([2]RUNS!$B$5:$B$208, "mmm-yy"), [2]RUNS!$BM$5:$BM$208, "Not Found")</f>
        <v>0.84515435663293248</v>
      </c>
    </row>
    <row r="676" spans="1:14" x14ac:dyDescent="0.25">
      <c r="A676" s="1">
        <f>'[1]Global_Spot Prices'!$B1985</f>
        <v>42949</v>
      </c>
      <c r="B676">
        <f>_xlfn.XLOOKUP(A676,'[1]Global_Spot Prices'!$B:$B,'[1]Global_Spot Prices'!$BS:$BS)</f>
        <v>12.964999999999996</v>
      </c>
      <c r="C676">
        <f>_xlfn.XLOOKUP(A676,'[1]Global_Spot Prices'!$B:$B,'[1]Global_Spot Prices'!$E:$E)</f>
        <v>50.255000000000003</v>
      </c>
      <c r="D676">
        <f>_xlfn.XLOOKUP(A676,'[1]Global_Spot Prices'!$B:$B,'[1]Global_Spot Prices'!$D:$D)</f>
        <v>52.17</v>
      </c>
      <c r="E676">
        <f>_xlfn.XLOOKUP(A676,'[1]Global_Spot Prices'!$B:$B,'[1]Global_Spot Prices'!$H:$H)</f>
        <v>49.98</v>
      </c>
      <c r="F676">
        <f>_xlfn.XLOOKUP(A676,'[1]Global_Spot Prices'!$B:$B,'[1]Global_Spot Prices'!$I:$I)</f>
        <v>63.22</v>
      </c>
      <c r="G676" cm="1">
        <f t="array" ref="G676">_xlfn.XLOOKUP(TEXT(A676, "mmm-yy"), TEXT([2]RUNS!$B$5:$B$208, "mmm-yy"), [2]RUNS!$D$5:$D$208, "Not Found")</f>
        <v>28717.922461208727</v>
      </c>
      <c r="H676" cm="1">
        <f t="array" ref="H676">SUMPRODUCT(
    --(TEXT('[3]Global Weekly Stock (EWSuez'!$B$4:$B$2000,"mmm-yy")=TEXT(A676,"mmm-yy")),
    '[3]Global Weekly Stock (EWSuez'!$E$4:$E$2000)
/
SUMPRODUCT(
    --(TEXT('[3]Global Weekly Stock (EWSuez'!$B$4:$B$2000,"mmm-yy")=TEXT(A676,"mmm-yy"))
)</f>
        <v>14007.75</v>
      </c>
      <c r="I676">
        <f>_xlfn.XLOOKUP(A676,[1]ForwardDeriv!$D:$D,[1]ForwardDeriv!$AJ:$AJ)</f>
        <v>0.85999999999999943</v>
      </c>
      <c r="J676" cm="1">
        <f t="array" ref="J676">_xlfn.XLOOKUP(TEXT(A676, "mmm-yy"), TEXT([2]GASOLINE!$B$5:$B$208, "mmm-yy"), [2]GASOLINE!$IR$5:$IR$208, "Not Found")</f>
        <v>-98.892897326526196</v>
      </c>
      <c r="K676" cm="1">
        <f t="array" ref="K676">_xlfn.XLOOKUP(TEXT(A676, "mmm-yy"), TEXT([2]GASOLINE!$B$5:$B$208, "mmm-yy"), [2]GASOLINE!$IK$5:$IK$208, "Not Found")</f>
        <v>0</v>
      </c>
      <c r="L676">
        <f t="shared" si="10"/>
        <v>1</v>
      </c>
      <c r="M676" cm="1">
        <f t="array" ref="M676">_xlfn.XLOOKUP(TEXT(A676, "mmm-yy"), TEXT([2]GASOLINE!$B$5:$B$208, "mmm-yy"), [2]GASOLINE!$C$5:$C$208, "Not Found")</f>
        <v>7183.6319418243129</v>
      </c>
      <c r="N676" cm="1">
        <f t="array" ref="N676">_xlfn.XLOOKUP(TEXT(A676, "mmm-yy"), TEXT([2]RUNS!$B$5:$B$208, "mmm-yy"), [2]RUNS!$BM$5:$BM$208, "Not Found")</f>
        <v>0.84515435663293248</v>
      </c>
    </row>
    <row r="677" spans="1:14" x14ac:dyDescent="0.25">
      <c r="A677" s="1">
        <f>'[1]Global_Spot Prices'!$B1986</f>
        <v>42950</v>
      </c>
      <c r="B677">
        <f>_xlfn.XLOOKUP(A677,'[1]Global_Spot Prices'!$B:$B,'[1]Global_Spot Prices'!$BS:$BS)</f>
        <v>12.57</v>
      </c>
      <c r="C677">
        <f>_xlfn.XLOOKUP(A677,'[1]Global_Spot Prices'!$B:$B,'[1]Global_Spot Prices'!$E:$E)</f>
        <v>50.85</v>
      </c>
      <c r="D677">
        <f>_xlfn.XLOOKUP(A677,'[1]Global_Spot Prices'!$B:$B,'[1]Global_Spot Prices'!$D:$D)</f>
        <v>52.905000000000001</v>
      </c>
      <c r="E677">
        <f>_xlfn.XLOOKUP(A677,'[1]Global_Spot Prices'!$B:$B,'[1]Global_Spot Prices'!$H:$H)</f>
        <v>50.59</v>
      </c>
      <c r="F677">
        <f>_xlfn.XLOOKUP(A677,'[1]Global_Spot Prices'!$B:$B,'[1]Global_Spot Prices'!$I:$I)</f>
        <v>63.42</v>
      </c>
      <c r="G677" cm="1">
        <f t="array" ref="G677">_xlfn.XLOOKUP(TEXT(A677, "mmm-yy"), TEXT([2]RUNS!$B$5:$B$208, "mmm-yy"), [2]RUNS!$D$5:$D$208, "Not Found")</f>
        <v>28717.922461208727</v>
      </c>
      <c r="H677" cm="1">
        <f t="array" ref="H677">SUMPRODUCT(
    --(TEXT('[3]Global Weekly Stock (EWSuez'!$B$4:$B$2000,"mmm-yy")=TEXT(A677,"mmm-yy")),
    '[3]Global Weekly Stock (EWSuez'!$E$4:$E$2000)
/
SUMPRODUCT(
    --(TEXT('[3]Global Weekly Stock (EWSuez'!$B$4:$B$2000,"mmm-yy")=TEXT(A677,"mmm-yy"))
)</f>
        <v>14007.75</v>
      </c>
      <c r="I677">
        <f>_xlfn.XLOOKUP(A677,[1]ForwardDeriv!$D:$D,[1]ForwardDeriv!$AJ:$AJ)</f>
        <v>0.84999999999999432</v>
      </c>
      <c r="J677" cm="1">
        <f t="array" ref="J677">_xlfn.XLOOKUP(TEXT(A677, "mmm-yy"), TEXT([2]GASOLINE!$B$5:$B$208, "mmm-yy"), [2]GASOLINE!$IR$5:$IR$208, "Not Found")</f>
        <v>-98.892897326526196</v>
      </c>
      <c r="K677" cm="1">
        <f t="array" ref="K677">_xlfn.XLOOKUP(TEXT(A677, "mmm-yy"), TEXT([2]GASOLINE!$B$5:$B$208, "mmm-yy"), [2]GASOLINE!$IK$5:$IK$208, "Not Found")</f>
        <v>0</v>
      </c>
      <c r="L677">
        <f t="shared" si="10"/>
        <v>1</v>
      </c>
      <c r="M677" cm="1">
        <f t="array" ref="M677">_xlfn.XLOOKUP(TEXT(A677, "mmm-yy"), TEXT([2]GASOLINE!$B$5:$B$208, "mmm-yy"), [2]GASOLINE!$C$5:$C$208, "Not Found")</f>
        <v>7183.6319418243129</v>
      </c>
      <c r="N677" cm="1">
        <f t="array" ref="N677">_xlfn.XLOOKUP(TEXT(A677, "mmm-yy"), TEXT([2]RUNS!$B$5:$B$208, "mmm-yy"), [2]RUNS!$BM$5:$BM$208, "Not Found")</f>
        <v>0.84515435663293248</v>
      </c>
    </row>
    <row r="678" spans="1:14" x14ac:dyDescent="0.25">
      <c r="A678" s="1">
        <f>'[1]Global_Spot Prices'!$B1987</f>
        <v>42951</v>
      </c>
      <c r="B678">
        <f>_xlfn.XLOOKUP(A678,'[1]Global_Spot Prices'!$B:$B,'[1]Global_Spot Prices'!$BS:$BS)</f>
        <v>13.019999999999996</v>
      </c>
      <c r="C678">
        <f>_xlfn.XLOOKUP(A678,'[1]Global_Spot Prices'!$B:$B,'[1]Global_Spot Prices'!$E:$E)</f>
        <v>50.34</v>
      </c>
      <c r="D678">
        <f>_xlfn.XLOOKUP(A678,'[1]Global_Spot Prices'!$B:$B,'[1]Global_Spot Prices'!$D:$D)</f>
        <v>52.46</v>
      </c>
      <c r="E678">
        <f>_xlfn.XLOOKUP(A678,'[1]Global_Spot Prices'!$B:$B,'[1]Global_Spot Prices'!$H:$H)</f>
        <v>50.11</v>
      </c>
      <c r="F678">
        <f>_xlfn.XLOOKUP(A678,'[1]Global_Spot Prices'!$B:$B,'[1]Global_Spot Prices'!$I:$I)</f>
        <v>63.36</v>
      </c>
      <c r="G678" cm="1">
        <f t="array" ref="G678">_xlfn.XLOOKUP(TEXT(A678, "mmm-yy"), TEXT([2]RUNS!$B$5:$B$208, "mmm-yy"), [2]RUNS!$D$5:$D$208, "Not Found")</f>
        <v>28717.922461208727</v>
      </c>
      <c r="H678" cm="1">
        <f t="array" ref="H678">SUMPRODUCT(
    --(TEXT('[3]Global Weekly Stock (EWSuez'!$B$4:$B$2000,"mmm-yy")=TEXT(A678,"mmm-yy")),
    '[3]Global Weekly Stock (EWSuez'!$E$4:$E$2000)
/
SUMPRODUCT(
    --(TEXT('[3]Global Weekly Stock (EWSuez'!$B$4:$B$2000,"mmm-yy")=TEXT(A678,"mmm-yy"))
)</f>
        <v>14007.75</v>
      </c>
      <c r="I678">
        <f>_xlfn.XLOOKUP(A678,[1]ForwardDeriv!$D:$D,[1]ForwardDeriv!$AJ:$AJ)</f>
        <v>0.92000000000000171</v>
      </c>
      <c r="J678" cm="1">
        <f t="array" ref="J678">_xlfn.XLOOKUP(TEXT(A678, "mmm-yy"), TEXT([2]GASOLINE!$B$5:$B$208, "mmm-yy"), [2]GASOLINE!$IR$5:$IR$208, "Not Found")</f>
        <v>-98.892897326526196</v>
      </c>
      <c r="K678" cm="1">
        <f t="array" ref="K678">_xlfn.XLOOKUP(TEXT(A678, "mmm-yy"), TEXT([2]GASOLINE!$B$5:$B$208, "mmm-yy"), [2]GASOLINE!$IK$5:$IK$208, "Not Found")</f>
        <v>0</v>
      </c>
      <c r="L678">
        <f t="shared" si="10"/>
        <v>1</v>
      </c>
      <c r="M678" cm="1">
        <f t="array" ref="M678">_xlfn.XLOOKUP(TEXT(A678, "mmm-yy"), TEXT([2]GASOLINE!$B$5:$B$208, "mmm-yy"), [2]GASOLINE!$C$5:$C$208, "Not Found")</f>
        <v>7183.6319418243129</v>
      </c>
      <c r="N678" cm="1">
        <f t="array" ref="N678">_xlfn.XLOOKUP(TEXT(A678, "mmm-yy"), TEXT([2]RUNS!$B$5:$B$208, "mmm-yy"), [2]RUNS!$BM$5:$BM$208, "Not Found")</f>
        <v>0.84515435663293248</v>
      </c>
    </row>
    <row r="679" spans="1:14" x14ac:dyDescent="0.25">
      <c r="A679" s="1">
        <f>'[1]Global_Spot Prices'!$B1988</f>
        <v>42954</v>
      </c>
      <c r="B679">
        <f>_xlfn.XLOOKUP(A679,'[1]Global_Spot Prices'!$B:$B,'[1]Global_Spot Prices'!$BS:$BS)</f>
        <v>13.439999999999998</v>
      </c>
      <c r="C679">
        <f>_xlfn.XLOOKUP(A679,'[1]Global_Spot Prices'!$B:$B,'[1]Global_Spot Prices'!$E:$E)</f>
        <v>50.8</v>
      </c>
      <c r="D679">
        <f>_xlfn.XLOOKUP(A679,'[1]Global_Spot Prices'!$B:$B,'[1]Global_Spot Prices'!$D:$D)</f>
        <v>51.454999999999998</v>
      </c>
      <c r="E679">
        <f>_xlfn.XLOOKUP(A679,'[1]Global_Spot Prices'!$B:$B,'[1]Global_Spot Prices'!$H:$H)</f>
        <v>50.5</v>
      </c>
      <c r="F679">
        <f>_xlfn.XLOOKUP(A679,'[1]Global_Spot Prices'!$B:$B,'[1]Global_Spot Prices'!$I:$I)</f>
        <v>64.239999999999995</v>
      </c>
      <c r="G679" cm="1">
        <f t="array" ref="G679">_xlfn.XLOOKUP(TEXT(A679, "mmm-yy"), TEXT([2]RUNS!$B$5:$B$208, "mmm-yy"), [2]RUNS!$D$5:$D$208, "Not Found")</f>
        <v>28717.922461208727</v>
      </c>
      <c r="H679" cm="1">
        <f t="array" ref="H679">SUMPRODUCT(
    --(TEXT('[3]Global Weekly Stock (EWSuez'!$B$4:$B$2000,"mmm-yy")=TEXT(A679,"mmm-yy")),
    '[3]Global Weekly Stock (EWSuez'!$E$4:$E$2000)
/
SUMPRODUCT(
    --(TEXT('[3]Global Weekly Stock (EWSuez'!$B$4:$B$2000,"mmm-yy")=TEXT(A679,"mmm-yy"))
)</f>
        <v>14007.75</v>
      </c>
      <c r="I679">
        <f>_xlfn.XLOOKUP(A679,[1]ForwardDeriv!$D:$D,[1]ForwardDeriv!$AJ:$AJ)</f>
        <v>1.1200000000000045</v>
      </c>
      <c r="J679" cm="1">
        <f t="array" ref="J679">_xlfn.XLOOKUP(TEXT(A679, "mmm-yy"), TEXT([2]GASOLINE!$B$5:$B$208, "mmm-yy"), [2]GASOLINE!$IR$5:$IR$208, "Not Found")</f>
        <v>-98.892897326526196</v>
      </c>
      <c r="K679" cm="1">
        <f t="array" ref="K679">_xlfn.XLOOKUP(TEXT(A679, "mmm-yy"), TEXT([2]GASOLINE!$B$5:$B$208, "mmm-yy"), [2]GASOLINE!$IK$5:$IK$208, "Not Found")</f>
        <v>0</v>
      </c>
      <c r="L679">
        <f t="shared" si="10"/>
        <v>1</v>
      </c>
      <c r="M679" cm="1">
        <f t="array" ref="M679">_xlfn.XLOOKUP(TEXT(A679, "mmm-yy"), TEXT([2]GASOLINE!$B$5:$B$208, "mmm-yy"), [2]GASOLINE!$C$5:$C$208, "Not Found")</f>
        <v>7183.6319418243129</v>
      </c>
      <c r="N679" cm="1">
        <f t="array" ref="N679">_xlfn.XLOOKUP(TEXT(A679, "mmm-yy"), TEXT([2]RUNS!$B$5:$B$208, "mmm-yy"), [2]RUNS!$BM$5:$BM$208, "Not Found")</f>
        <v>0.84515435663293248</v>
      </c>
    </row>
    <row r="680" spans="1:14" x14ac:dyDescent="0.25">
      <c r="A680" s="1">
        <f>'[1]Global_Spot Prices'!$B1989</f>
        <v>42955</v>
      </c>
      <c r="B680">
        <f>_xlfn.XLOOKUP(A680,'[1]Global_Spot Prices'!$B:$B,'[1]Global_Spot Prices'!$BS:$BS)</f>
        <v>13.460000000000008</v>
      </c>
      <c r="C680">
        <f>_xlfn.XLOOKUP(A680,'[1]Global_Spot Prices'!$B:$B,'[1]Global_Spot Prices'!$E:$E)</f>
        <v>51.3</v>
      </c>
      <c r="D680">
        <f>_xlfn.XLOOKUP(A680,'[1]Global_Spot Prices'!$B:$B,'[1]Global_Spot Prices'!$D:$D)</f>
        <v>52.145000000000003</v>
      </c>
      <c r="E680">
        <f>_xlfn.XLOOKUP(A680,'[1]Global_Spot Prices'!$B:$B,'[1]Global_Spot Prices'!$H:$H)</f>
        <v>50.45</v>
      </c>
      <c r="F680">
        <f>_xlfn.XLOOKUP(A680,'[1]Global_Spot Prices'!$B:$B,'[1]Global_Spot Prices'!$I:$I)</f>
        <v>64.760000000000005</v>
      </c>
      <c r="G680" cm="1">
        <f t="array" ref="G680">_xlfn.XLOOKUP(TEXT(A680, "mmm-yy"), TEXT([2]RUNS!$B$5:$B$208, "mmm-yy"), [2]RUNS!$D$5:$D$208, "Not Found")</f>
        <v>28717.922461208727</v>
      </c>
      <c r="H680" cm="1">
        <f t="array" ref="H680">SUMPRODUCT(
    --(TEXT('[3]Global Weekly Stock (EWSuez'!$B$4:$B$2000,"mmm-yy")=TEXT(A680,"mmm-yy")),
    '[3]Global Weekly Stock (EWSuez'!$E$4:$E$2000)
/
SUMPRODUCT(
    --(TEXT('[3]Global Weekly Stock (EWSuez'!$B$4:$B$2000,"mmm-yy")=TEXT(A680,"mmm-yy"))
)</f>
        <v>14007.75</v>
      </c>
      <c r="I680">
        <f>_xlfn.XLOOKUP(A680,[1]ForwardDeriv!$D:$D,[1]ForwardDeriv!$AJ:$AJ)</f>
        <v>1.0799999999999983</v>
      </c>
      <c r="J680" cm="1">
        <f t="array" ref="J680">_xlfn.XLOOKUP(TEXT(A680, "mmm-yy"), TEXT([2]GASOLINE!$B$5:$B$208, "mmm-yy"), [2]GASOLINE!$IR$5:$IR$208, "Not Found")</f>
        <v>-98.892897326526196</v>
      </c>
      <c r="K680" cm="1">
        <f t="array" ref="K680">_xlfn.XLOOKUP(TEXT(A680, "mmm-yy"), TEXT([2]GASOLINE!$B$5:$B$208, "mmm-yy"), [2]GASOLINE!$IK$5:$IK$208, "Not Found")</f>
        <v>0</v>
      </c>
      <c r="L680">
        <f t="shared" si="10"/>
        <v>1</v>
      </c>
      <c r="M680" cm="1">
        <f t="array" ref="M680">_xlfn.XLOOKUP(TEXT(A680, "mmm-yy"), TEXT([2]GASOLINE!$B$5:$B$208, "mmm-yy"), [2]GASOLINE!$C$5:$C$208, "Not Found")</f>
        <v>7183.6319418243129</v>
      </c>
      <c r="N680" cm="1">
        <f t="array" ref="N680">_xlfn.XLOOKUP(TEXT(A680, "mmm-yy"), TEXT([2]RUNS!$B$5:$B$208, "mmm-yy"), [2]RUNS!$BM$5:$BM$208, "Not Found")</f>
        <v>0.84515435663293248</v>
      </c>
    </row>
    <row r="681" spans="1:14" x14ac:dyDescent="0.25">
      <c r="A681" s="1">
        <f>'[1]Global_Spot Prices'!$B1990</f>
        <v>42956</v>
      </c>
      <c r="B681" t="e">
        <f>_xlfn.XLOOKUP(A681,'[1]Global_Spot Prices'!$B:$B,'[1]Global_Spot Prices'!$BS:$BS)</f>
        <v>#N/A</v>
      </c>
      <c r="C681" t="str">
        <f>_xlfn.XLOOKUP(A681,'[1]Global_Spot Prices'!$B:$B,'[1]Global_Spot Prices'!$E:$E)</f>
        <v/>
      </c>
      <c r="D681">
        <f>_xlfn.XLOOKUP(A681,'[1]Global_Spot Prices'!$B:$B,'[1]Global_Spot Prices'!$D:$D)</f>
        <v>51.97</v>
      </c>
      <c r="E681">
        <f>_xlfn.XLOOKUP(A681,'[1]Global_Spot Prices'!$B:$B,'[1]Global_Spot Prices'!$H:$H)</f>
        <v>0</v>
      </c>
      <c r="F681">
        <f>_xlfn.XLOOKUP(A681,'[1]Global_Spot Prices'!$B:$B,'[1]Global_Spot Prices'!$I:$I)</f>
        <v>0</v>
      </c>
      <c r="G681" cm="1">
        <f t="array" ref="G681">_xlfn.XLOOKUP(TEXT(A681, "mmm-yy"), TEXT([2]RUNS!$B$5:$B$208, "mmm-yy"), [2]RUNS!$D$5:$D$208, "Not Found")</f>
        <v>28717.922461208727</v>
      </c>
      <c r="H681" cm="1">
        <f t="array" ref="H681">SUMPRODUCT(
    --(TEXT('[3]Global Weekly Stock (EWSuez'!$B$4:$B$2000,"mmm-yy")=TEXT(A681,"mmm-yy")),
    '[3]Global Weekly Stock (EWSuez'!$E$4:$E$2000)
/
SUMPRODUCT(
    --(TEXT('[3]Global Weekly Stock (EWSuez'!$B$4:$B$2000,"mmm-yy")=TEXT(A681,"mmm-yy"))
)</f>
        <v>14007.75</v>
      </c>
      <c r="I681">
        <f>_xlfn.XLOOKUP(A681,[1]ForwardDeriv!$D:$D,[1]ForwardDeriv!$AJ:$AJ)</f>
        <v>1.1400000000000006</v>
      </c>
      <c r="J681" cm="1">
        <f t="array" ref="J681">_xlfn.XLOOKUP(TEXT(A681, "mmm-yy"), TEXT([2]GASOLINE!$B$5:$B$208, "mmm-yy"), [2]GASOLINE!$IR$5:$IR$208, "Not Found")</f>
        <v>-98.892897326526196</v>
      </c>
      <c r="K681" cm="1">
        <f t="array" ref="K681">_xlfn.XLOOKUP(TEXT(A681, "mmm-yy"), TEXT([2]GASOLINE!$B$5:$B$208, "mmm-yy"), [2]GASOLINE!$IK$5:$IK$208, "Not Found")</f>
        <v>0</v>
      </c>
      <c r="L681">
        <f t="shared" si="10"/>
        <v>1</v>
      </c>
      <c r="M681" cm="1">
        <f t="array" ref="M681">_xlfn.XLOOKUP(TEXT(A681, "mmm-yy"), TEXT([2]GASOLINE!$B$5:$B$208, "mmm-yy"), [2]GASOLINE!$C$5:$C$208, "Not Found")</f>
        <v>7183.6319418243129</v>
      </c>
      <c r="N681" cm="1">
        <f t="array" ref="N681">_xlfn.XLOOKUP(TEXT(A681, "mmm-yy"), TEXT([2]RUNS!$B$5:$B$208, "mmm-yy"), [2]RUNS!$BM$5:$BM$208, "Not Found")</f>
        <v>0.84515435663293248</v>
      </c>
    </row>
    <row r="682" spans="1:14" x14ac:dyDescent="0.25">
      <c r="A682" s="1">
        <f>'[1]Global_Spot Prices'!$B1991</f>
        <v>42957</v>
      </c>
      <c r="B682">
        <f>_xlfn.XLOOKUP(A682,'[1]Global_Spot Prices'!$B:$B,'[1]Global_Spot Prices'!$BS:$BS)</f>
        <v>13.359999999999992</v>
      </c>
      <c r="C682">
        <f>_xlfn.XLOOKUP(A682,'[1]Global_Spot Prices'!$B:$B,'[1]Global_Spot Prices'!$E:$E)</f>
        <v>51.6</v>
      </c>
      <c r="D682">
        <f>_xlfn.XLOOKUP(A682,'[1]Global_Spot Prices'!$B:$B,'[1]Global_Spot Prices'!$D:$D)</f>
        <v>52.384999999999998</v>
      </c>
      <c r="E682">
        <f>_xlfn.XLOOKUP(A682,'[1]Global_Spot Prices'!$B:$B,'[1]Global_Spot Prices'!$H:$H)</f>
        <v>50.88</v>
      </c>
      <c r="F682">
        <f>_xlfn.XLOOKUP(A682,'[1]Global_Spot Prices'!$B:$B,'[1]Global_Spot Prices'!$I:$I)</f>
        <v>64.959999999999994</v>
      </c>
      <c r="G682" cm="1">
        <f t="array" ref="G682">_xlfn.XLOOKUP(TEXT(A682, "mmm-yy"), TEXT([2]RUNS!$B$5:$B$208, "mmm-yy"), [2]RUNS!$D$5:$D$208, "Not Found")</f>
        <v>28717.922461208727</v>
      </c>
      <c r="H682" cm="1">
        <f t="array" ref="H682">SUMPRODUCT(
    --(TEXT('[3]Global Weekly Stock (EWSuez'!$B$4:$B$2000,"mmm-yy")=TEXT(A682,"mmm-yy")),
    '[3]Global Weekly Stock (EWSuez'!$E$4:$E$2000)
/
SUMPRODUCT(
    --(TEXT('[3]Global Weekly Stock (EWSuez'!$B$4:$B$2000,"mmm-yy")=TEXT(A682,"mmm-yy"))
)</f>
        <v>14007.75</v>
      </c>
      <c r="I682">
        <f>_xlfn.XLOOKUP(A682,[1]ForwardDeriv!$D:$D,[1]ForwardDeriv!$AJ:$AJ)</f>
        <v>1.1400000000000006</v>
      </c>
      <c r="J682" cm="1">
        <f t="array" ref="J682">_xlfn.XLOOKUP(TEXT(A682, "mmm-yy"), TEXT([2]GASOLINE!$B$5:$B$208, "mmm-yy"), [2]GASOLINE!$IR$5:$IR$208, "Not Found")</f>
        <v>-98.892897326526196</v>
      </c>
      <c r="K682" cm="1">
        <f t="array" ref="K682">_xlfn.XLOOKUP(TEXT(A682, "mmm-yy"), TEXT([2]GASOLINE!$B$5:$B$208, "mmm-yy"), [2]GASOLINE!$IK$5:$IK$208, "Not Found")</f>
        <v>0</v>
      </c>
      <c r="L682">
        <f t="shared" si="10"/>
        <v>1</v>
      </c>
      <c r="M682" cm="1">
        <f t="array" ref="M682">_xlfn.XLOOKUP(TEXT(A682, "mmm-yy"), TEXT([2]GASOLINE!$B$5:$B$208, "mmm-yy"), [2]GASOLINE!$C$5:$C$208, "Not Found")</f>
        <v>7183.6319418243129</v>
      </c>
      <c r="N682" cm="1">
        <f t="array" ref="N682">_xlfn.XLOOKUP(TEXT(A682, "mmm-yy"), TEXT([2]RUNS!$B$5:$B$208, "mmm-yy"), [2]RUNS!$BM$5:$BM$208, "Not Found")</f>
        <v>0.84515435663293248</v>
      </c>
    </row>
    <row r="683" spans="1:14" x14ac:dyDescent="0.25">
      <c r="A683" s="1">
        <f>'[1]Global_Spot Prices'!$B1992</f>
        <v>42958</v>
      </c>
      <c r="B683">
        <f>_xlfn.XLOOKUP(A683,'[1]Global_Spot Prices'!$B:$B,'[1]Global_Spot Prices'!$BS:$BS)</f>
        <v>14.259999999999991</v>
      </c>
      <c r="C683">
        <f>_xlfn.XLOOKUP(A683,'[1]Global_Spot Prices'!$B:$B,'[1]Global_Spot Prices'!$E:$E)</f>
        <v>49.84</v>
      </c>
      <c r="D683">
        <f>_xlfn.XLOOKUP(A683,'[1]Global_Spot Prices'!$B:$B,'[1]Global_Spot Prices'!$D:$D)</f>
        <v>51.484999999999999</v>
      </c>
      <c r="E683">
        <f>_xlfn.XLOOKUP(A683,'[1]Global_Spot Prices'!$B:$B,'[1]Global_Spot Prices'!$H:$H)</f>
        <v>49.13</v>
      </c>
      <c r="F683">
        <f>_xlfn.XLOOKUP(A683,'[1]Global_Spot Prices'!$B:$B,'[1]Global_Spot Prices'!$I:$I)</f>
        <v>64.099999999999994</v>
      </c>
      <c r="G683" cm="1">
        <f t="array" ref="G683">_xlfn.XLOOKUP(TEXT(A683, "mmm-yy"), TEXT([2]RUNS!$B$5:$B$208, "mmm-yy"), [2]RUNS!$D$5:$D$208, "Not Found")</f>
        <v>28717.922461208727</v>
      </c>
      <c r="H683" cm="1">
        <f t="array" ref="H683">SUMPRODUCT(
    --(TEXT('[3]Global Weekly Stock (EWSuez'!$B$4:$B$2000,"mmm-yy")=TEXT(A683,"mmm-yy")),
    '[3]Global Weekly Stock (EWSuez'!$E$4:$E$2000)
/
SUMPRODUCT(
    --(TEXT('[3]Global Weekly Stock (EWSuez'!$B$4:$B$2000,"mmm-yy")=TEXT(A683,"mmm-yy"))
)</f>
        <v>14007.75</v>
      </c>
      <c r="I683">
        <f>_xlfn.XLOOKUP(A683,[1]ForwardDeriv!$D:$D,[1]ForwardDeriv!$AJ:$AJ)</f>
        <v>1.2800000000000011</v>
      </c>
      <c r="J683" cm="1">
        <f t="array" ref="J683">_xlfn.XLOOKUP(TEXT(A683, "mmm-yy"), TEXT([2]GASOLINE!$B$5:$B$208, "mmm-yy"), [2]GASOLINE!$IR$5:$IR$208, "Not Found")</f>
        <v>-98.892897326526196</v>
      </c>
      <c r="K683" cm="1">
        <f t="array" ref="K683">_xlfn.XLOOKUP(TEXT(A683, "mmm-yy"), TEXT([2]GASOLINE!$B$5:$B$208, "mmm-yy"), [2]GASOLINE!$IK$5:$IK$208, "Not Found")</f>
        <v>0</v>
      </c>
      <c r="L683">
        <f t="shared" si="10"/>
        <v>1</v>
      </c>
      <c r="M683" cm="1">
        <f t="array" ref="M683">_xlfn.XLOOKUP(TEXT(A683, "mmm-yy"), TEXT([2]GASOLINE!$B$5:$B$208, "mmm-yy"), [2]GASOLINE!$C$5:$C$208, "Not Found")</f>
        <v>7183.6319418243129</v>
      </c>
      <c r="N683" cm="1">
        <f t="array" ref="N683">_xlfn.XLOOKUP(TEXT(A683, "mmm-yy"), TEXT([2]RUNS!$B$5:$B$208, "mmm-yy"), [2]RUNS!$BM$5:$BM$208, "Not Found")</f>
        <v>0.84515435663293248</v>
      </c>
    </row>
    <row r="684" spans="1:14" x14ac:dyDescent="0.25">
      <c r="A684" s="1">
        <f>'[1]Global_Spot Prices'!$B1993</f>
        <v>42961</v>
      </c>
      <c r="B684">
        <f>_xlfn.XLOOKUP(A684,'[1]Global_Spot Prices'!$B:$B,'[1]Global_Spot Prices'!$BS:$BS)</f>
        <v>14.229999999999997</v>
      </c>
      <c r="C684">
        <f>_xlfn.XLOOKUP(A684,'[1]Global_Spot Prices'!$B:$B,'[1]Global_Spot Prices'!$E:$E)</f>
        <v>50.38</v>
      </c>
      <c r="D684">
        <f>_xlfn.XLOOKUP(A684,'[1]Global_Spot Prices'!$B:$B,'[1]Global_Spot Prices'!$D:$D)</f>
        <v>51.19</v>
      </c>
      <c r="E684">
        <f>_xlfn.XLOOKUP(A684,'[1]Global_Spot Prices'!$B:$B,'[1]Global_Spot Prices'!$H:$H)</f>
        <v>49.91</v>
      </c>
      <c r="F684">
        <f>_xlfn.XLOOKUP(A684,'[1]Global_Spot Prices'!$B:$B,'[1]Global_Spot Prices'!$I:$I)</f>
        <v>64.61</v>
      </c>
      <c r="G684" cm="1">
        <f t="array" ref="G684">_xlfn.XLOOKUP(TEXT(A684, "mmm-yy"), TEXT([2]RUNS!$B$5:$B$208, "mmm-yy"), [2]RUNS!$D$5:$D$208, "Not Found")</f>
        <v>28717.922461208727</v>
      </c>
      <c r="H684" cm="1">
        <f t="array" ref="H684">SUMPRODUCT(
    --(TEXT('[3]Global Weekly Stock (EWSuez'!$B$4:$B$2000,"mmm-yy")=TEXT(A684,"mmm-yy")),
    '[3]Global Weekly Stock (EWSuez'!$E$4:$E$2000)
/
SUMPRODUCT(
    --(TEXT('[3]Global Weekly Stock (EWSuez'!$B$4:$B$2000,"mmm-yy")=TEXT(A684,"mmm-yy"))
)</f>
        <v>14007.75</v>
      </c>
      <c r="I684">
        <f>_xlfn.XLOOKUP(A684,[1]ForwardDeriv!$D:$D,[1]ForwardDeriv!$AJ:$AJ)</f>
        <v>1.2800000000000011</v>
      </c>
      <c r="J684" cm="1">
        <f t="array" ref="J684">_xlfn.XLOOKUP(TEXT(A684, "mmm-yy"), TEXT([2]GASOLINE!$B$5:$B$208, "mmm-yy"), [2]GASOLINE!$IR$5:$IR$208, "Not Found")</f>
        <v>-98.892897326526196</v>
      </c>
      <c r="K684" cm="1">
        <f t="array" ref="K684">_xlfn.XLOOKUP(TEXT(A684, "mmm-yy"), TEXT([2]GASOLINE!$B$5:$B$208, "mmm-yy"), [2]GASOLINE!$IK$5:$IK$208, "Not Found")</f>
        <v>0</v>
      </c>
      <c r="L684">
        <f t="shared" si="10"/>
        <v>1</v>
      </c>
      <c r="M684" cm="1">
        <f t="array" ref="M684">_xlfn.XLOOKUP(TEXT(A684, "mmm-yy"), TEXT([2]GASOLINE!$B$5:$B$208, "mmm-yy"), [2]GASOLINE!$C$5:$C$208, "Not Found")</f>
        <v>7183.6319418243129</v>
      </c>
      <c r="N684" cm="1">
        <f t="array" ref="N684">_xlfn.XLOOKUP(TEXT(A684, "mmm-yy"), TEXT([2]RUNS!$B$5:$B$208, "mmm-yy"), [2]RUNS!$BM$5:$BM$208, "Not Found")</f>
        <v>0.84515435663293248</v>
      </c>
    </row>
    <row r="685" spans="1:14" x14ac:dyDescent="0.25">
      <c r="A685" s="1">
        <f>'[1]Global_Spot Prices'!$B1994</f>
        <v>42962</v>
      </c>
      <c r="B685">
        <f>_xlfn.XLOOKUP(A685,'[1]Global_Spot Prices'!$B:$B,'[1]Global_Spot Prices'!$BS:$BS)</f>
        <v>14.409999999999997</v>
      </c>
      <c r="C685">
        <f>_xlfn.XLOOKUP(A685,'[1]Global_Spot Prices'!$B:$B,'[1]Global_Spot Prices'!$E:$E)</f>
        <v>49.25</v>
      </c>
      <c r="D685">
        <f>_xlfn.XLOOKUP(A685,'[1]Global_Spot Prices'!$B:$B,'[1]Global_Spot Prices'!$D:$D)</f>
        <v>49.765000000000001</v>
      </c>
      <c r="E685">
        <f>_xlfn.XLOOKUP(A685,'[1]Global_Spot Prices'!$B:$B,'[1]Global_Spot Prices'!$H:$H)</f>
        <v>49.13</v>
      </c>
      <c r="F685">
        <f>_xlfn.XLOOKUP(A685,'[1]Global_Spot Prices'!$B:$B,'[1]Global_Spot Prices'!$I:$I)</f>
        <v>63.66</v>
      </c>
      <c r="G685" cm="1">
        <f t="array" ref="G685">_xlfn.XLOOKUP(TEXT(A685, "mmm-yy"), TEXT([2]RUNS!$B$5:$B$208, "mmm-yy"), [2]RUNS!$D$5:$D$208, "Not Found")</f>
        <v>28717.922461208727</v>
      </c>
      <c r="H685" cm="1">
        <f t="array" ref="H685">SUMPRODUCT(
    --(TEXT('[3]Global Weekly Stock (EWSuez'!$B$4:$B$2000,"mmm-yy")=TEXT(A685,"mmm-yy")),
    '[3]Global Weekly Stock (EWSuez'!$E$4:$E$2000)
/
SUMPRODUCT(
    --(TEXT('[3]Global Weekly Stock (EWSuez'!$B$4:$B$2000,"mmm-yy")=TEXT(A685,"mmm-yy"))
)</f>
        <v>14007.75</v>
      </c>
      <c r="I685">
        <f>_xlfn.XLOOKUP(A685,[1]ForwardDeriv!$D:$D,[1]ForwardDeriv!$AJ:$AJ)</f>
        <v>1.2199999999999989</v>
      </c>
      <c r="J685" cm="1">
        <f t="array" ref="J685">_xlfn.XLOOKUP(TEXT(A685, "mmm-yy"), TEXT([2]GASOLINE!$B$5:$B$208, "mmm-yy"), [2]GASOLINE!$IR$5:$IR$208, "Not Found")</f>
        <v>-98.892897326526196</v>
      </c>
      <c r="K685" cm="1">
        <f t="array" ref="K685">_xlfn.XLOOKUP(TEXT(A685, "mmm-yy"), TEXT([2]GASOLINE!$B$5:$B$208, "mmm-yy"), [2]GASOLINE!$IK$5:$IK$208, "Not Found")</f>
        <v>0</v>
      </c>
      <c r="L685">
        <f t="shared" si="10"/>
        <v>1</v>
      </c>
      <c r="M685" cm="1">
        <f t="array" ref="M685">_xlfn.XLOOKUP(TEXT(A685, "mmm-yy"), TEXT([2]GASOLINE!$B$5:$B$208, "mmm-yy"), [2]GASOLINE!$C$5:$C$208, "Not Found")</f>
        <v>7183.6319418243129</v>
      </c>
      <c r="N685" cm="1">
        <f t="array" ref="N685">_xlfn.XLOOKUP(TEXT(A685, "mmm-yy"), TEXT([2]RUNS!$B$5:$B$208, "mmm-yy"), [2]RUNS!$BM$5:$BM$208, "Not Found")</f>
        <v>0.84515435663293248</v>
      </c>
    </row>
    <row r="686" spans="1:14" x14ac:dyDescent="0.25">
      <c r="A686" s="1">
        <f>'[1]Global_Spot Prices'!$B1995</f>
        <v>42963</v>
      </c>
      <c r="B686">
        <f>_xlfn.XLOOKUP(A686,'[1]Global_Spot Prices'!$B:$B,'[1]Global_Spot Prices'!$BS:$BS)</f>
        <v>14.679999999999993</v>
      </c>
      <c r="C686">
        <f>_xlfn.XLOOKUP(A686,'[1]Global_Spot Prices'!$B:$B,'[1]Global_Spot Prices'!$E:$E)</f>
        <v>49.56</v>
      </c>
      <c r="D686">
        <f>_xlfn.XLOOKUP(A686,'[1]Global_Spot Prices'!$B:$B,'[1]Global_Spot Prices'!$D:$D)</f>
        <v>50.32</v>
      </c>
      <c r="E686">
        <f>_xlfn.XLOOKUP(A686,'[1]Global_Spot Prices'!$B:$B,'[1]Global_Spot Prices'!$H:$H)</f>
        <v>49.33</v>
      </c>
      <c r="F686">
        <f>_xlfn.XLOOKUP(A686,'[1]Global_Spot Prices'!$B:$B,'[1]Global_Spot Prices'!$I:$I)</f>
        <v>64.239999999999995</v>
      </c>
      <c r="G686" cm="1">
        <f t="array" ref="G686">_xlfn.XLOOKUP(TEXT(A686, "mmm-yy"), TEXT([2]RUNS!$B$5:$B$208, "mmm-yy"), [2]RUNS!$D$5:$D$208, "Not Found")</f>
        <v>28717.922461208727</v>
      </c>
      <c r="H686" cm="1">
        <f t="array" ref="H686">SUMPRODUCT(
    --(TEXT('[3]Global Weekly Stock (EWSuez'!$B$4:$B$2000,"mmm-yy")=TEXT(A686,"mmm-yy")),
    '[3]Global Weekly Stock (EWSuez'!$E$4:$E$2000)
/
SUMPRODUCT(
    --(TEXT('[3]Global Weekly Stock (EWSuez'!$B$4:$B$2000,"mmm-yy")=TEXT(A686,"mmm-yy"))
)</f>
        <v>14007.75</v>
      </c>
      <c r="I686">
        <f>_xlfn.XLOOKUP(A686,[1]ForwardDeriv!$D:$D,[1]ForwardDeriv!$AJ:$AJ)</f>
        <v>1.2999999999999972</v>
      </c>
      <c r="J686" cm="1">
        <f t="array" ref="J686">_xlfn.XLOOKUP(TEXT(A686, "mmm-yy"), TEXT([2]GASOLINE!$B$5:$B$208, "mmm-yy"), [2]GASOLINE!$IR$5:$IR$208, "Not Found")</f>
        <v>-98.892897326526196</v>
      </c>
      <c r="K686" cm="1">
        <f t="array" ref="K686">_xlfn.XLOOKUP(TEXT(A686, "mmm-yy"), TEXT([2]GASOLINE!$B$5:$B$208, "mmm-yy"), [2]GASOLINE!$IK$5:$IK$208, "Not Found")</f>
        <v>0</v>
      </c>
      <c r="L686">
        <f t="shared" si="10"/>
        <v>1</v>
      </c>
      <c r="M686" cm="1">
        <f t="array" ref="M686">_xlfn.XLOOKUP(TEXT(A686, "mmm-yy"), TEXT([2]GASOLINE!$B$5:$B$208, "mmm-yy"), [2]GASOLINE!$C$5:$C$208, "Not Found")</f>
        <v>7183.6319418243129</v>
      </c>
      <c r="N686" cm="1">
        <f t="array" ref="N686">_xlfn.XLOOKUP(TEXT(A686, "mmm-yy"), TEXT([2]RUNS!$B$5:$B$208, "mmm-yy"), [2]RUNS!$BM$5:$BM$208, "Not Found")</f>
        <v>0.84515435663293248</v>
      </c>
    </row>
    <row r="687" spans="1:14" x14ac:dyDescent="0.25">
      <c r="A687" s="1">
        <f>'[1]Global_Spot Prices'!$B1996</f>
        <v>42964</v>
      </c>
      <c r="B687">
        <f>_xlfn.XLOOKUP(A687,'[1]Global_Spot Prices'!$B:$B,'[1]Global_Spot Prices'!$BS:$BS)</f>
        <v>14.549999999999997</v>
      </c>
      <c r="C687">
        <f>_xlfn.XLOOKUP(A687,'[1]Global_Spot Prices'!$B:$B,'[1]Global_Spot Prices'!$E:$E)</f>
        <v>48.61</v>
      </c>
      <c r="D687">
        <f>_xlfn.XLOOKUP(A687,'[1]Global_Spot Prices'!$B:$B,'[1]Global_Spot Prices'!$D:$D)</f>
        <v>50.13</v>
      </c>
      <c r="E687">
        <f>_xlfn.XLOOKUP(A687,'[1]Global_Spot Prices'!$B:$B,'[1]Global_Spot Prices'!$H:$H)</f>
        <v>48.61</v>
      </c>
      <c r="F687">
        <f>_xlfn.XLOOKUP(A687,'[1]Global_Spot Prices'!$B:$B,'[1]Global_Spot Prices'!$I:$I)</f>
        <v>63.16</v>
      </c>
      <c r="G687" cm="1">
        <f t="array" ref="G687">_xlfn.XLOOKUP(TEXT(A687, "mmm-yy"), TEXT([2]RUNS!$B$5:$B$208, "mmm-yy"), [2]RUNS!$D$5:$D$208, "Not Found")</f>
        <v>28717.922461208727</v>
      </c>
      <c r="H687" cm="1">
        <f t="array" ref="H687">SUMPRODUCT(
    --(TEXT('[3]Global Weekly Stock (EWSuez'!$B$4:$B$2000,"mmm-yy")=TEXT(A687,"mmm-yy")),
    '[3]Global Weekly Stock (EWSuez'!$E$4:$E$2000)
/
SUMPRODUCT(
    --(TEXT('[3]Global Weekly Stock (EWSuez'!$B$4:$B$2000,"mmm-yy")=TEXT(A687,"mmm-yy"))
)</f>
        <v>14007.75</v>
      </c>
      <c r="I687">
        <f>_xlfn.XLOOKUP(A687,[1]ForwardDeriv!$D:$D,[1]ForwardDeriv!$AJ:$AJ)</f>
        <v>1.3500000000000014</v>
      </c>
      <c r="J687" cm="1">
        <f t="array" ref="J687">_xlfn.XLOOKUP(TEXT(A687, "mmm-yy"), TEXT([2]GASOLINE!$B$5:$B$208, "mmm-yy"), [2]GASOLINE!$IR$5:$IR$208, "Not Found")</f>
        <v>-98.892897326526196</v>
      </c>
      <c r="K687" cm="1">
        <f t="array" ref="K687">_xlfn.XLOOKUP(TEXT(A687, "mmm-yy"), TEXT([2]GASOLINE!$B$5:$B$208, "mmm-yy"), [2]GASOLINE!$IK$5:$IK$208, "Not Found")</f>
        <v>0</v>
      </c>
      <c r="L687">
        <f t="shared" si="10"/>
        <v>1</v>
      </c>
      <c r="M687" cm="1">
        <f t="array" ref="M687">_xlfn.XLOOKUP(TEXT(A687, "mmm-yy"), TEXT([2]GASOLINE!$B$5:$B$208, "mmm-yy"), [2]GASOLINE!$C$5:$C$208, "Not Found")</f>
        <v>7183.6319418243129</v>
      </c>
      <c r="N687" cm="1">
        <f t="array" ref="N687">_xlfn.XLOOKUP(TEXT(A687, "mmm-yy"), TEXT([2]RUNS!$B$5:$B$208, "mmm-yy"), [2]RUNS!$BM$5:$BM$208, "Not Found")</f>
        <v>0.84515435663293248</v>
      </c>
    </row>
    <row r="688" spans="1:14" x14ac:dyDescent="0.25">
      <c r="A688" s="1">
        <f>'[1]Global_Spot Prices'!$B1997</f>
        <v>42965</v>
      </c>
      <c r="B688">
        <f>_xlfn.XLOOKUP(A688,'[1]Global_Spot Prices'!$B:$B,'[1]Global_Spot Prices'!$BS:$BS)</f>
        <v>15.489999999999995</v>
      </c>
      <c r="C688">
        <f>_xlfn.XLOOKUP(A688,'[1]Global_Spot Prices'!$B:$B,'[1]Global_Spot Prices'!$E:$E)</f>
        <v>49.25</v>
      </c>
      <c r="D688">
        <f>_xlfn.XLOOKUP(A688,'[1]Global_Spot Prices'!$B:$B,'[1]Global_Spot Prices'!$D:$D)</f>
        <v>50.914999999999999</v>
      </c>
      <c r="E688">
        <f>_xlfn.XLOOKUP(A688,'[1]Global_Spot Prices'!$B:$B,'[1]Global_Spot Prices'!$H:$H)</f>
        <v>49.72</v>
      </c>
      <c r="F688">
        <f>_xlfn.XLOOKUP(A688,'[1]Global_Spot Prices'!$B:$B,'[1]Global_Spot Prices'!$I:$I)</f>
        <v>64.739999999999995</v>
      </c>
      <c r="G688" cm="1">
        <f t="array" ref="G688">_xlfn.XLOOKUP(TEXT(A688, "mmm-yy"), TEXT([2]RUNS!$B$5:$B$208, "mmm-yy"), [2]RUNS!$D$5:$D$208, "Not Found")</f>
        <v>28717.922461208727</v>
      </c>
      <c r="H688" cm="1">
        <f t="array" ref="H688">SUMPRODUCT(
    --(TEXT('[3]Global Weekly Stock (EWSuez'!$B$4:$B$2000,"mmm-yy")=TEXT(A688,"mmm-yy")),
    '[3]Global Weekly Stock (EWSuez'!$E$4:$E$2000)
/
SUMPRODUCT(
    --(TEXT('[3]Global Weekly Stock (EWSuez'!$B$4:$B$2000,"mmm-yy")=TEXT(A688,"mmm-yy"))
)</f>
        <v>14007.75</v>
      </c>
      <c r="I688">
        <f>_xlfn.XLOOKUP(A688,[1]ForwardDeriv!$D:$D,[1]ForwardDeriv!$AJ:$AJ)</f>
        <v>1.6599999999999966</v>
      </c>
      <c r="J688" cm="1">
        <f t="array" ref="J688">_xlfn.XLOOKUP(TEXT(A688, "mmm-yy"), TEXT([2]GASOLINE!$B$5:$B$208, "mmm-yy"), [2]GASOLINE!$IR$5:$IR$208, "Not Found")</f>
        <v>-98.892897326526196</v>
      </c>
      <c r="K688" cm="1">
        <f t="array" ref="K688">_xlfn.XLOOKUP(TEXT(A688, "mmm-yy"), TEXT([2]GASOLINE!$B$5:$B$208, "mmm-yy"), [2]GASOLINE!$IK$5:$IK$208, "Not Found")</f>
        <v>0</v>
      </c>
      <c r="L688">
        <f t="shared" si="10"/>
        <v>1</v>
      </c>
      <c r="M688" cm="1">
        <f t="array" ref="M688">_xlfn.XLOOKUP(TEXT(A688, "mmm-yy"), TEXT([2]GASOLINE!$B$5:$B$208, "mmm-yy"), [2]GASOLINE!$C$5:$C$208, "Not Found")</f>
        <v>7183.6319418243129</v>
      </c>
      <c r="N688" cm="1">
        <f t="array" ref="N688">_xlfn.XLOOKUP(TEXT(A688, "mmm-yy"), TEXT([2]RUNS!$B$5:$B$208, "mmm-yy"), [2]RUNS!$BM$5:$BM$208, "Not Found")</f>
        <v>0.84515435663293248</v>
      </c>
    </row>
    <row r="689" spans="1:14" x14ac:dyDescent="0.25">
      <c r="A689" s="1">
        <f>'[1]Global_Spot Prices'!$B1998</f>
        <v>42968</v>
      </c>
      <c r="B689">
        <f>_xlfn.XLOOKUP(A689,'[1]Global_Spot Prices'!$B:$B,'[1]Global_Spot Prices'!$BS:$BS)</f>
        <v>14.949999999999996</v>
      </c>
      <c r="C689">
        <f>_xlfn.XLOOKUP(A689,'[1]Global_Spot Prices'!$B:$B,'[1]Global_Spot Prices'!$E:$E)</f>
        <v>50.71</v>
      </c>
      <c r="D689">
        <f>_xlfn.XLOOKUP(A689,'[1]Global_Spot Prices'!$B:$B,'[1]Global_Spot Prices'!$D:$D)</f>
        <v>51.604999999999997</v>
      </c>
      <c r="E689">
        <f>_xlfn.XLOOKUP(A689,'[1]Global_Spot Prices'!$B:$B,'[1]Global_Spot Prices'!$H:$H)</f>
        <v>50.55</v>
      </c>
      <c r="F689">
        <f>_xlfn.XLOOKUP(A689,'[1]Global_Spot Prices'!$B:$B,'[1]Global_Spot Prices'!$I:$I)</f>
        <v>65.66</v>
      </c>
      <c r="G689" cm="1">
        <f t="array" ref="G689">_xlfn.XLOOKUP(TEXT(A689, "mmm-yy"), TEXT([2]RUNS!$B$5:$B$208, "mmm-yy"), [2]RUNS!$D$5:$D$208, "Not Found")</f>
        <v>28717.922461208727</v>
      </c>
      <c r="H689" cm="1">
        <f t="array" ref="H689">SUMPRODUCT(
    --(TEXT('[3]Global Weekly Stock (EWSuez'!$B$4:$B$2000,"mmm-yy")=TEXT(A689,"mmm-yy")),
    '[3]Global Weekly Stock (EWSuez'!$E$4:$E$2000)
/
SUMPRODUCT(
    --(TEXT('[3]Global Weekly Stock (EWSuez'!$B$4:$B$2000,"mmm-yy")=TEXT(A689,"mmm-yy"))
)</f>
        <v>14007.75</v>
      </c>
      <c r="I689">
        <f>_xlfn.XLOOKUP(A689,[1]ForwardDeriv!$D:$D,[1]ForwardDeriv!$AJ:$AJ)</f>
        <v>1.6699999999999946</v>
      </c>
      <c r="J689" cm="1">
        <f t="array" ref="J689">_xlfn.XLOOKUP(TEXT(A689, "mmm-yy"), TEXT([2]GASOLINE!$B$5:$B$208, "mmm-yy"), [2]GASOLINE!$IR$5:$IR$208, "Not Found")</f>
        <v>-98.892897326526196</v>
      </c>
      <c r="K689" cm="1">
        <f t="array" ref="K689">_xlfn.XLOOKUP(TEXT(A689, "mmm-yy"), TEXT([2]GASOLINE!$B$5:$B$208, "mmm-yy"), [2]GASOLINE!$IK$5:$IK$208, "Not Found")</f>
        <v>0</v>
      </c>
      <c r="L689">
        <f t="shared" si="10"/>
        <v>1</v>
      </c>
      <c r="M689" cm="1">
        <f t="array" ref="M689">_xlfn.XLOOKUP(TEXT(A689, "mmm-yy"), TEXT([2]GASOLINE!$B$5:$B$208, "mmm-yy"), [2]GASOLINE!$C$5:$C$208, "Not Found")</f>
        <v>7183.6319418243129</v>
      </c>
      <c r="N689" cm="1">
        <f t="array" ref="N689">_xlfn.XLOOKUP(TEXT(A689, "mmm-yy"), TEXT([2]RUNS!$B$5:$B$208, "mmm-yy"), [2]RUNS!$BM$5:$BM$208, "Not Found")</f>
        <v>0.84515435663293248</v>
      </c>
    </row>
    <row r="690" spans="1:14" x14ac:dyDescent="0.25">
      <c r="A690" s="1">
        <f>'[1]Global_Spot Prices'!$B1999</f>
        <v>42969</v>
      </c>
      <c r="B690">
        <f>_xlfn.XLOOKUP(A690,'[1]Global_Spot Prices'!$B:$B,'[1]Global_Spot Prices'!$BS:$BS)</f>
        <v>15.150000000000006</v>
      </c>
      <c r="C690">
        <f>_xlfn.XLOOKUP(A690,'[1]Global_Spot Prices'!$B:$B,'[1]Global_Spot Prices'!$E:$E)</f>
        <v>50</v>
      </c>
      <c r="D690">
        <f>_xlfn.XLOOKUP(A690,'[1]Global_Spot Prices'!$B:$B,'[1]Global_Spot Prices'!$D:$D)</f>
        <v>51.89</v>
      </c>
      <c r="E690">
        <f>_xlfn.XLOOKUP(A690,'[1]Global_Spot Prices'!$B:$B,'[1]Global_Spot Prices'!$H:$H)</f>
        <v>50.13</v>
      </c>
      <c r="F690">
        <f>_xlfn.XLOOKUP(A690,'[1]Global_Spot Prices'!$B:$B,'[1]Global_Spot Prices'!$I:$I)</f>
        <v>65.150000000000006</v>
      </c>
      <c r="G690" cm="1">
        <f t="array" ref="G690">_xlfn.XLOOKUP(TEXT(A690, "mmm-yy"), TEXT([2]RUNS!$B$5:$B$208, "mmm-yy"), [2]RUNS!$D$5:$D$208, "Not Found")</f>
        <v>28717.922461208727</v>
      </c>
      <c r="H690" cm="1">
        <f t="array" ref="H690">SUMPRODUCT(
    --(TEXT('[3]Global Weekly Stock (EWSuez'!$B$4:$B$2000,"mmm-yy")=TEXT(A690,"mmm-yy")),
    '[3]Global Weekly Stock (EWSuez'!$E$4:$E$2000)
/
SUMPRODUCT(
    --(TEXT('[3]Global Weekly Stock (EWSuez'!$B$4:$B$2000,"mmm-yy")=TEXT(A690,"mmm-yy"))
)</f>
        <v>14007.75</v>
      </c>
      <c r="I690">
        <f>_xlfn.XLOOKUP(A690,[1]ForwardDeriv!$D:$D,[1]ForwardDeriv!$AJ:$AJ)</f>
        <v>1.6300000000000026</v>
      </c>
      <c r="J690" cm="1">
        <f t="array" ref="J690">_xlfn.XLOOKUP(TEXT(A690, "mmm-yy"), TEXT([2]GASOLINE!$B$5:$B$208, "mmm-yy"), [2]GASOLINE!$IR$5:$IR$208, "Not Found")</f>
        <v>-98.892897326526196</v>
      </c>
      <c r="K690" cm="1">
        <f t="array" ref="K690">_xlfn.XLOOKUP(TEXT(A690, "mmm-yy"), TEXT([2]GASOLINE!$B$5:$B$208, "mmm-yy"), [2]GASOLINE!$IK$5:$IK$208, "Not Found")</f>
        <v>0</v>
      </c>
      <c r="L690">
        <f t="shared" si="10"/>
        <v>1</v>
      </c>
      <c r="M690" cm="1">
        <f t="array" ref="M690">_xlfn.XLOOKUP(TEXT(A690, "mmm-yy"), TEXT([2]GASOLINE!$B$5:$B$208, "mmm-yy"), [2]GASOLINE!$C$5:$C$208, "Not Found")</f>
        <v>7183.6319418243129</v>
      </c>
      <c r="N690" cm="1">
        <f t="array" ref="N690">_xlfn.XLOOKUP(TEXT(A690, "mmm-yy"), TEXT([2]RUNS!$B$5:$B$208, "mmm-yy"), [2]RUNS!$BM$5:$BM$208, "Not Found")</f>
        <v>0.84515435663293248</v>
      </c>
    </row>
    <row r="691" spans="1:14" x14ac:dyDescent="0.25">
      <c r="A691" s="1">
        <f>'[1]Global_Spot Prices'!$B2000</f>
        <v>42970</v>
      </c>
      <c r="B691">
        <f>_xlfn.XLOOKUP(A691,'[1]Global_Spot Prices'!$B:$B,'[1]Global_Spot Prices'!$BS:$BS)</f>
        <v>14.290000000000006</v>
      </c>
      <c r="C691">
        <f>_xlfn.XLOOKUP(A691,'[1]Global_Spot Prices'!$B:$B,'[1]Global_Spot Prices'!$E:$E)</f>
        <v>49.91</v>
      </c>
      <c r="D691">
        <f>_xlfn.XLOOKUP(A691,'[1]Global_Spot Prices'!$B:$B,'[1]Global_Spot Prices'!$D:$D)</f>
        <v>52.075000000000003</v>
      </c>
      <c r="E691">
        <f>_xlfn.XLOOKUP(A691,'[1]Global_Spot Prices'!$B:$B,'[1]Global_Spot Prices'!$H:$H)</f>
        <v>49.8</v>
      </c>
      <c r="F691">
        <f>_xlfn.XLOOKUP(A691,'[1]Global_Spot Prices'!$B:$B,'[1]Global_Spot Prices'!$I:$I)</f>
        <v>64.2</v>
      </c>
      <c r="G691" cm="1">
        <f t="array" ref="G691">_xlfn.XLOOKUP(TEXT(A691, "mmm-yy"), TEXT([2]RUNS!$B$5:$B$208, "mmm-yy"), [2]RUNS!$D$5:$D$208, "Not Found")</f>
        <v>28717.922461208727</v>
      </c>
      <c r="H691" cm="1">
        <f t="array" ref="H691">SUMPRODUCT(
    --(TEXT('[3]Global Weekly Stock (EWSuez'!$B$4:$B$2000,"mmm-yy")=TEXT(A691,"mmm-yy")),
    '[3]Global Weekly Stock (EWSuez'!$E$4:$E$2000)
/
SUMPRODUCT(
    --(TEXT('[3]Global Weekly Stock (EWSuez'!$B$4:$B$2000,"mmm-yy")=TEXT(A691,"mmm-yy"))
)</f>
        <v>14007.75</v>
      </c>
      <c r="I691">
        <f>_xlfn.XLOOKUP(A691,[1]ForwardDeriv!$D:$D,[1]ForwardDeriv!$AJ:$AJ)</f>
        <v>1.509999999999998</v>
      </c>
      <c r="J691" cm="1">
        <f t="array" ref="J691">_xlfn.XLOOKUP(TEXT(A691, "mmm-yy"), TEXT([2]GASOLINE!$B$5:$B$208, "mmm-yy"), [2]GASOLINE!$IR$5:$IR$208, "Not Found")</f>
        <v>-98.892897326526196</v>
      </c>
      <c r="K691" cm="1">
        <f t="array" ref="K691">_xlfn.XLOOKUP(TEXT(A691, "mmm-yy"), TEXT([2]GASOLINE!$B$5:$B$208, "mmm-yy"), [2]GASOLINE!$IK$5:$IK$208, "Not Found")</f>
        <v>0</v>
      </c>
      <c r="L691">
        <f t="shared" si="10"/>
        <v>1</v>
      </c>
      <c r="M691" cm="1">
        <f t="array" ref="M691">_xlfn.XLOOKUP(TEXT(A691, "mmm-yy"), TEXT([2]GASOLINE!$B$5:$B$208, "mmm-yy"), [2]GASOLINE!$C$5:$C$208, "Not Found")</f>
        <v>7183.6319418243129</v>
      </c>
      <c r="N691" cm="1">
        <f t="array" ref="N691">_xlfn.XLOOKUP(TEXT(A691, "mmm-yy"), TEXT([2]RUNS!$B$5:$B$208, "mmm-yy"), [2]RUNS!$BM$5:$BM$208, "Not Found")</f>
        <v>0.84515435663293248</v>
      </c>
    </row>
    <row r="692" spans="1:14" x14ac:dyDescent="0.25">
      <c r="A692" s="1">
        <f>'[1]Global_Spot Prices'!$B2001</f>
        <v>42971</v>
      </c>
      <c r="B692">
        <f>_xlfn.XLOOKUP(A692,'[1]Global_Spot Prices'!$B:$B,'[1]Global_Spot Prices'!$BS:$BS)</f>
        <v>14.370000000000005</v>
      </c>
      <c r="C692">
        <f>_xlfn.XLOOKUP(A692,'[1]Global_Spot Prices'!$B:$B,'[1]Global_Spot Prices'!$E:$E)</f>
        <v>50.55</v>
      </c>
      <c r="D692">
        <f>_xlfn.XLOOKUP(A692,'[1]Global_Spot Prices'!$B:$B,'[1]Global_Spot Prices'!$D:$D)</f>
        <v>51.91</v>
      </c>
      <c r="E692">
        <f>_xlfn.XLOOKUP(A692,'[1]Global_Spot Prices'!$B:$B,'[1]Global_Spot Prices'!$H:$H)</f>
        <v>50.64</v>
      </c>
      <c r="F692">
        <f>_xlfn.XLOOKUP(A692,'[1]Global_Spot Prices'!$B:$B,'[1]Global_Spot Prices'!$I:$I)</f>
        <v>64.92</v>
      </c>
      <c r="G692" cm="1">
        <f t="array" ref="G692">_xlfn.XLOOKUP(TEXT(A692, "mmm-yy"), TEXT([2]RUNS!$B$5:$B$208, "mmm-yy"), [2]RUNS!$D$5:$D$208, "Not Found")</f>
        <v>28717.922461208727</v>
      </c>
      <c r="H692" cm="1">
        <f t="array" ref="H692">SUMPRODUCT(
    --(TEXT('[3]Global Weekly Stock (EWSuez'!$B$4:$B$2000,"mmm-yy")=TEXT(A692,"mmm-yy")),
    '[3]Global Weekly Stock (EWSuez'!$E$4:$E$2000)
/
SUMPRODUCT(
    --(TEXT('[3]Global Weekly Stock (EWSuez'!$B$4:$B$2000,"mmm-yy")=TEXT(A692,"mmm-yy"))
)</f>
        <v>14007.75</v>
      </c>
      <c r="I692">
        <f>_xlfn.XLOOKUP(A692,[1]ForwardDeriv!$D:$D,[1]ForwardDeriv!$AJ:$AJ)</f>
        <v>1.6200000000000045</v>
      </c>
      <c r="J692" cm="1">
        <f t="array" ref="J692">_xlfn.XLOOKUP(TEXT(A692, "mmm-yy"), TEXT([2]GASOLINE!$B$5:$B$208, "mmm-yy"), [2]GASOLINE!$IR$5:$IR$208, "Not Found")</f>
        <v>-98.892897326526196</v>
      </c>
      <c r="K692" cm="1">
        <f t="array" ref="K692">_xlfn.XLOOKUP(TEXT(A692, "mmm-yy"), TEXT([2]GASOLINE!$B$5:$B$208, "mmm-yy"), [2]GASOLINE!$IK$5:$IK$208, "Not Found")</f>
        <v>0</v>
      </c>
      <c r="L692">
        <f t="shared" si="10"/>
        <v>1</v>
      </c>
      <c r="M692" cm="1">
        <f t="array" ref="M692">_xlfn.XLOOKUP(TEXT(A692, "mmm-yy"), TEXT([2]GASOLINE!$B$5:$B$208, "mmm-yy"), [2]GASOLINE!$C$5:$C$208, "Not Found")</f>
        <v>7183.6319418243129</v>
      </c>
      <c r="N692" cm="1">
        <f t="array" ref="N692">_xlfn.XLOOKUP(TEXT(A692, "mmm-yy"), TEXT([2]RUNS!$B$5:$B$208, "mmm-yy"), [2]RUNS!$BM$5:$BM$208, "Not Found")</f>
        <v>0.84515435663293248</v>
      </c>
    </row>
    <row r="693" spans="1:14" x14ac:dyDescent="0.25">
      <c r="A693" s="1">
        <f>'[1]Global_Spot Prices'!$B2002</f>
        <v>42972</v>
      </c>
      <c r="B693">
        <f>_xlfn.XLOOKUP(A693,'[1]Global_Spot Prices'!$B:$B,'[1]Global_Spot Prices'!$BS:$BS)</f>
        <v>14.920000000000002</v>
      </c>
      <c r="C693">
        <f>_xlfn.XLOOKUP(A693,'[1]Global_Spot Prices'!$B:$B,'[1]Global_Spot Prices'!$E:$E)</f>
        <v>50.59</v>
      </c>
      <c r="D693">
        <f>_xlfn.XLOOKUP(A693,'[1]Global_Spot Prices'!$B:$B,'[1]Global_Spot Prices'!$D:$D)</f>
        <v>52.075000000000003</v>
      </c>
      <c r="E693">
        <f>_xlfn.XLOOKUP(A693,'[1]Global_Spot Prices'!$B:$B,'[1]Global_Spot Prices'!$H:$H)</f>
        <v>51.1</v>
      </c>
      <c r="F693">
        <f>_xlfn.XLOOKUP(A693,'[1]Global_Spot Prices'!$B:$B,'[1]Global_Spot Prices'!$I:$I)</f>
        <v>65.510000000000005</v>
      </c>
      <c r="G693" cm="1">
        <f t="array" ref="G693">_xlfn.XLOOKUP(TEXT(A693, "mmm-yy"), TEXT([2]RUNS!$B$5:$B$208, "mmm-yy"), [2]RUNS!$D$5:$D$208, "Not Found")</f>
        <v>28717.922461208727</v>
      </c>
      <c r="H693" cm="1">
        <f t="array" ref="H693">SUMPRODUCT(
    --(TEXT('[3]Global Weekly Stock (EWSuez'!$B$4:$B$2000,"mmm-yy")=TEXT(A693,"mmm-yy")),
    '[3]Global Weekly Stock (EWSuez'!$E$4:$E$2000)
/
SUMPRODUCT(
    --(TEXT('[3]Global Weekly Stock (EWSuez'!$B$4:$B$2000,"mmm-yy")=TEXT(A693,"mmm-yy"))
)</f>
        <v>14007.75</v>
      </c>
      <c r="I693">
        <f>_xlfn.XLOOKUP(A693,[1]ForwardDeriv!$D:$D,[1]ForwardDeriv!$AJ:$AJ)</f>
        <v>1.6899999999999977</v>
      </c>
      <c r="J693" cm="1">
        <f t="array" ref="J693">_xlfn.XLOOKUP(TEXT(A693, "mmm-yy"), TEXT([2]GASOLINE!$B$5:$B$208, "mmm-yy"), [2]GASOLINE!$IR$5:$IR$208, "Not Found")</f>
        <v>-98.892897326526196</v>
      </c>
      <c r="K693" cm="1">
        <f t="array" ref="K693">_xlfn.XLOOKUP(TEXT(A693, "mmm-yy"), TEXT([2]GASOLINE!$B$5:$B$208, "mmm-yy"), [2]GASOLINE!$IK$5:$IK$208, "Not Found")</f>
        <v>0</v>
      </c>
      <c r="L693">
        <f t="shared" si="10"/>
        <v>1</v>
      </c>
      <c r="M693" cm="1">
        <f t="array" ref="M693">_xlfn.XLOOKUP(TEXT(A693, "mmm-yy"), TEXT([2]GASOLINE!$B$5:$B$208, "mmm-yy"), [2]GASOLINE!$C$5:$C$208, "Not Found")</f>
        <v>7183.6319418243129</v>
      </c>
      <c r="N693" cm="1">
        <f t="array" ref="N693">_xlfn.XLOOKUP(TEXT(A693, "mmm-yy"), TEXT([2]RUNS!$B$5:$B$208, "mmm-yy"), [2]RUNS!$BM$5:$BM$208, "Not Found")</f>
        <v>0.84515435663293248</v>
      </c>
    </row>
    <row r="694" spans="1:14" x14ac:dyDescent="0.25">
      <c r="A694" s="1">
        <f>'[1]Global_Spot Prices'!$B2003</f>
        <v>42975</v>
      </c>
      <c r="B694">
        <f>_xlfn.XLOOKUP(A694,'[1]Global_Spot Prices'!$B:$B,'[1]Global_Spot Prices'!$BS:$BS)</f>
        <v>15.199999999999996</v>
      </c>
      <c r="C694">
        <f>_xlfn.XLOOKUP(A694,'[1]Global_Spot Prices'!$B:$B,'[1]Global_Spot Prices'!$E:$E)</f>
        <v>50.51</v>
      </c>
      <c r="D694" t="str">
        <f>_xlfn.XLOOKUP(A694,'[1]Global_Spot Prices'!$B:$B,'[1]Global_Spot Prices'!$D:$D)</f>
        <v/>
      </c>
      <c r="E694">
        <f>_xlfn.XLOOKUP(A694,'[1]Global_Spot Prices'!$B:$B,'[1]Global_Spot Prices'!$H:$H)</f>
        <v>51.38</v>
      </c>
      <c r="F694">
        <f>_xlfn.XLOOKUP(A694,'[1]Global_Spot Prices'!$B:$B,'[1]Global_Spot Prices'!$I:$I)</f>
        <v>65.709999999999994</v>
      </c>
      <c r="G694" cm="1">
        <f t="array" ref="G694">_xlfn.XLOOKUP(TEXT(A694, "mmm-yy"), TEXT([2]RUNS!$B$5:$B$208, "mmm-yy"), [2]RUNS!$D$5:$D$208, "Not Found")</f>
        <v>28717.922461208727</v>
      </c>
      <c r="H694" cm="1">
        <f t="array" ref="H694">SUMPRODUCT(
    --(TEXT('[3]Global Weekly Stock (EWSuez'!$B$4:$B$2000,"mmm-yy")=TEXT(A694,"mmm-yy")),
    '[3]Global Weekly Stock (EWSuez'!$E$4:$E$2000)
/
SUMPRODUCT(
    --(TEXT('[3]Global Weekly Stock (EWSuez'!$B$4:$B$2000,"mmm-yy")=TEXT(A694,"mmm-yy"))
)</f>
        <v>14007.75</v>
      </c>
      <c r="I694">
        <f>_xlfn.XLOOKUP(A694,[1]ForwardDeriv!$D:$D,[1]ForwardDeriv!$AJ:$AJ)</f>
        <v>1.8100000000000023</v>
      </c>
      <c r="J694" cm="1">
        <f t="array" ref="J694">_xlfn.XLOOKUP(TEXT(A694, "mmm-yy"), TEXT([2]GASOLINE!$B$5:$B$208, "mmm-yy"), [2]GASOLINE!$IR$5:$IR$208, "Not Found")</f>
        <v>-98.892897326526196</v>
      </c>
      <c r="K694" cm="1">
        <f t="array" ref="K694">_xlfn.XLOOKUP(TEXT(A694, "mmm-yy"), TEXT([2]GASOLINE!$B$5:$B$208, "mmm-yy"), [2]GASOLINE!$IK$5:$IK$208, "Not Found")</f>
        <v>0</v>
      </c>
      <c r="L694">
        <f t="shared" si="10"/>
        <v>1</v>
      </c>
      <c r="M694" cm="1">
        <f t="array" ref="M694">_xlfn.XLOOKUP(TEXT(A694, "mmm-yy"), TEXT([2]GASOLINE!$B$5:$B$208, "mmm-yy"), [2]GASOLINE!$C$5:$C$208, "Not Found")</f>
        <v>7183.6319418243129</v>
      </c>
      <c r="N694" cm="1">
        <f t="array" ref="N694">_xlfn.XLOOKUP(TEXT(A694, "mmm-yy"), TEXT([2]RUNS!$B$5:$B$208, "mmm-yy"), [2]RUNS!$BM$5:$BM$208, "Not Found")</f>
        <v>0.84515435663293248</v>
      </c>
    </row>
    <row r="695" spans="1:14" x14ac:dyDescent="0.25">
      <c r="A695" s="1">
        <f>'[1]Global_Spot Prices'!$B2004</f>
        <v>42976</v>
      </c>
      <c r="B695">
        <f>_xlfn.XLOOKUP(A695,'[1]Global_Spot Prices'!$B:$B,'[1]Global_Spot Prices'!$BS:$BS)</f>
        <v>14.93</v>
      </c>
      <c r="C695">
        <f>_xlfn.XLOOKUP(A695,'[1]Global_Spot Prices'!$B:$B,'[1]Global_Spot Prices'!$E:$E)</f>
        <v>50.1</v>
      </c>
      <c r="D695">
        <f>_xlfn.XLOOKUP(A695,'[1]Global_Spot Prices'!$B:$B,'[1]Global_Spot Prices'!$D:$D)</f>
        <v>51.75</v>
      </c>
      <c r="E695">
        <f>_xlfn.XLOOKUP(A695,'[1]Global_Spot Prices'!$B:$B,'[1]Global_Spot Prices'!$H:$H)</f>
        <v>51.28</v>
      </c>
      <c r="F695">
        <f>_xlfn.XLOOKUP(A695,'[1]Global_Spot Prices'!$B:$B,'[1]Global_Spot Prices'!$I:$I)</f>
        <v>65.03</v>
      </c>
      <c r="G695" cm="1">
        <f t="array" ref="G695">_xlfn.XLOOKUP(TEXT(A695, "mmm-yy"), TEXT([2]RUNS!$B$5:$B$208, "mmm-yy"), [2]RUNS!$D$5:$D$208, "Not Found")</f>
        <v>28717.922461208727</v>
      </c>
      <c r="H695" cm="1">
        <f t="array" ref="H695">SUMPRODUCT(
    --(TEXT('[3]Global Weekly Stock (EWSuez'!$B$4:$B$2000,"mmm-yy")=TEXT(A695,"mmm-yy")),
    '[3]Global Weekly Stock (EWSuez'!$E$4:$E$2000)
/
SUMPRODUCT(
    --(TEXT('[3]Global Weekly Stock (EWSuez'!$B$4:$B$2000,"mmm-yy")=TEXT(A695,"mmm-yy"))
)</f>
        <v>14007.75</v>
      </c>
      <c r="I695">
        <f>_xlfn.XLOOKUP(A695,[1]ForwardDeriv!$D:$D,[1]ForwardDeriv!$AJ:$AJ)</f>
        <v>1.8799999999999955</v>
      </c>
      <c r="J695" cm="1">
        <f t="array" ref="J695">_xlfn.XLOOKUP(TEXT(A695, "mmm-yy"), TEXT([2]GASOLINE!$B$5:$B$208, "mmm-yy"), [2]GASOLINE!$IR$5:$IR$208, "Not Found")</f>
        <v>-98.892897326526196</v>
      </c>
      <c r="K695" cm="1">
        <f t="array" ref="K695">_xlfn.XLOOKUP(TEXT(A695, "mmm-yy"), TEXT([2]GASOLINE!$B$5:$B$208, "mmm-yy"), [2]GASOLINE!$IK$5:$IK$208, "Not Found")</f>
        <v>0</v>
      </c>
      <c r="L695">
        <f t="shared" si="10"/>
        <v>1</v>
      </c>
      <c r="M695" cm="1">
        <f t="array" ref="M695">_xlfn.XLOOKUP(TEXT(A695, "mmm-yy"), TEXT([2]GASOLINE!$B$5:$B$208, "mmm-yy"), [2]GASOLINE!$C$5:$C$208, "Not Found")</f>
        <v>7183.6319418243129</v>
      </c>
      <c r="N695" cm="1">
        <f t="array" ref="N695">_xlfn.XLOOKUP(TEXT(A695, "mmm-yy"), TEXT([2]RUNS!$B$5:$B$208, "mmm-yy"), [2]RUNS!$BM$5:$BM$208, "Not Found")</f>
        <v>0.84515435663293248</v>
      </c>
    </row>
    <row r="696" spans="1:14" x14ac:dyDescent="0.25">
      <c r="A696" s="1">
        <f>'[1]Global_Spot Prices'!$B2005</f>
        <v>42977</v>
      </c>
      <c r="B696">
        <f>_xlfn.XLOOKUP(A696,'[1]Global_Spot Prices'!$B:$B,'[1]Global_Spot Prices'!$BS:$BS)</f>
        <v>17.280000000000008</v>
      </c>
      <c r="C696">
        <f>_xlfn.XLOOKUP(A696,'[1]Global_Spot Prices'!$B:$B,'[1]Global_Spot Prices'!$E:$E)</f>
        <v>49.9</v>
      </c>
      <c r="D696">
        <f>_xlfn.XLOOKUP(A696,'[1]Global_Spot Prices'!$B:$B,'[1]Global_Spot Prices'!$D:$D)</f>
        <v>51.865000000000002</v>
      </c>
      <c r="E696">
        <f>_xlfn.XLOOKUP(A696,'[1]Global_Spot Prices'!$B:$B,'[1]Global_Spot Prices'!$H:$H)</f>
        <v>51.77</v>
      </c>
      <c r="F696">
        <f>_xlfn.XLOOKUP(A696,'[1]Global_Spot Prices'!$B:$B,'[1]Global_Spot Prices'!$I:$I)</f>
        <v>67.180000000000007</v>
      </c>
      <c r="G696" cm="1">
        <f t="array" ref="G696">_xlfn.XLOOKUP(TEXT(A696, "mmm-yy"), TEXT([2]RUNS!$B$5:$B$208, "mmm-yy"), [2]RUNS!$D$5:$D$208, "Not Found")</f>
        <v>28717.922461208727</v>
      </c>
      <c r="H696" cm="1">
        <f t="array" ref="H696">SUMPRODUCT(
    --(TEXT('[3]Global Weekly Stock (EWSuez'!$B$4:$B$2000,"mmm-yy")=TEXT(A696,"mmm-yy")),
    '[3]Global Weekly Stock (EWSuez'!$E$4:$E$2000)
/
SUMPRODUCT(
    --(TEXT('[3]Global Weekly Stock (EWSuez'!$B$4:$B$2000,"mmm-yy")=TEXT(A696,"mmm-yy"))
)</f>
        <v>14007.75</v>
      </c>
      <c r="I696">
        <f>_xlfn.XLOOKUP(A696,[1]ForwardDeriv!$D:$D,[1]ForwardDeriv!$AJ:$AJ)</f>
        <v>2.539999999999992</v>
      </c>
      <c r="J696" cm="1">
        <f t="array" ref="J696">_xlfn.XLOOKUP(TEXT(A696, "mmm-yy"), TEXT([2]GASOLINE!$B$5:$B$208, "mmm-yy"), [2]GASOLINE!$IR$5:$IR$208, "Not Found")</f>
        <v>-98.892897326526196</v>
      </c>
      <c r="K696" cm="1">
        <f t="array" ref="K696">_xlfn.XLOOKUP(TEXT(A696, "mmm-yy"), TEXT([2]GASOLINE!$B$5:$B$208, "mmm-yy"), [2]GASOLINE!$IK$5:$IK$208, "Not Found")</f>
        <v>0</v>
      </c>
      <c r="L696">
        <f t="shared" si="10"/>
        <v>1</v>
      </c>
      <c r="M696" cm="1">
        <f t="array" ref="M696">_xlfn.XLOOKUP(TEXT(A696, "mmm-yy"), TEXT([2]GASOLINE!$B$5:$B$208, "mmm-yy"), [2]GASOLINE!$C$5:$C$208, "Not Found")</f>
        <v>7183.6319418243129</v>
      </c>
      <c r="N696" cm="1">
        <f t="array" ref="N696">_xlfn.XLOOKUP(TEXT(A696, "mmm-yy"), TEXT([2]RUNS!$B$5:$B$208, "mmm-yy"), [2]RUNS!$BM$5:$BM$208, "Not Found")</f>
        <v>0.84515435663293248</v>
      </c>
    </row>
    <row r="697" spans="1:14" x14ac:dyDescent="0.25">
      <c r="A697" s="1">
        <f>'[1]Global_Spot Prices'!$B2006</f>
        <v>42978</v>
      </c>
      <c r="B697">
        <f>_xlfn.XLOOKUP(A697,'[1]Global_Spot Prices'!$B:$B,'[1]Global_Spot Prices'!$BS:$BS)</f>
        <v>17.97</v>
      </c>
      <c r="C697">
        <f>_xlfn.XLOOKUP(A697,'[1]Global_Spot Prices'!$B:$B,'[1]Global_Spot Prices'!$E:$E)</f>
        <v>49.3</v>
      </c>
      <c r="D697">
        <f>_xlfn.XLOOKUP(A697,'[1]Global_Spot Prices'!$B:$B,'[1]Global_Spot Prices'!$D:$D)</f>
        <v>52.734999999999999</v>
      </c>
      <c r="E697">
        <f>_xlfn.XLOOKUP(A697,'[1]Global_Spot Prices'!$B:$B,'[1]Global_Spot Prices'!$H:$H)</f>
        <v>50.71</v>
      </c>
      <c r="F697">
        <f>_xlfn.XLOOKUP(A697,'[1]Global_Spot Prices'!$B:$B,'[1]Global_Spot Prices'!$I:$I)</f>
        <v>67.27</v>
      </c>
      <c r="G697" cm="1">
        <f t="array" ref="G697">_xlfn.XLOOKUP(TEXT(A697, "mmm-yy"), TEXT([2]RUNS!$B$5:$B$208, "mmm-yy"), [2]RUNS!$D$5:$D$208, "Not Found")</f>
        <v>28717.922461208727</v>
      </c>
      <c r="H697" cm="1">
        <f t="array" ref="H697">SUMPRODUCT(
    --(TEXT('[3]Global Weekly Stock (EWSuez'!$B$4:$B$2000,"mmm-yy")=TEXT(A697,"mmm-yy")),
    '[3]Global Weekly Stock (EWSuez'!$E$4:$E$2000)
/
SUMPRODUCT(
    --(TEXT('[3]Global Weekly Stock (EWSuez'!$B$4:$B$2000,"mmm-yy")=TEXT(A697,"mmm-yy"))
)</f>
        <v>14007.75</v>
      </c>
      <c r="I697">
        <f>_xlfn.XLOOKUP(A697,[1]ForwardDeriv!$D:$D,[1]ForwardDeriv!$AJ:$AJ)</f>
        <v>2.9499999999999957</v>
      </c>
      <c r="J697" cm="1">
        <f t="array" ref="J697">_xlfn.XLOOKUP(TEXT(A697, "mmm-yy"), TEXT([2]GASOLINE!$B$5:$B$208, "mmm-yy"), [2]GASOLINE!$IR$5:$IR$208, "Not Found")</f>
        <v>-98.892897326526196</v>
      </c>
      <c r="K697" cm="1">
        <f t="array" ref="K697">_xlfn.XLOOKUP(TEXT(A697, "mmm-yy"), TEXT([2]GASOLINE!$B$5:$B$208, "mmm-yy"), [2]GASOLINE!$IK$5:$IK$208, "Not Found")</f>
        <v>0</v>
      </c>
      <c r="L697">
        <f t="shared" si="10"/>
        <v>1</v>
      </c>
      <c r="M697" cm="1">
        <f t="array" ref="M697">_xlfn.XLOOKUP(TEXT(A697, "mmm-yy"), TEXT([2]GASOLINE!$B$5:$B$208, "mmm-yy"), [2]GASOLINE!$C$5:$C$208, "Not Found")</f>
        <v>7183.6319418243129</v>
      </c>
      <c r="N697" cm="1">
        <f t="array" ref="N697">_xlfn.XLOOKUP(TEXT(A697, "mmm-yy"), TEXT([2]RUNS!$B$5:$B$208, "mmm-yy"), [2]RUNS!$BM$5:$BM$208, "Not Found")</f>
        <v>0.84515435663293248</v>
      </c>
    </row>
    <row r="698" spans="1:14" x14ac:dyDescent="0.25">
      <c r="A698" s="1">
        <f>'[1]Global_Spot Prices'!$B2007</f>
        <v>42979</v>
      </c>
      <c r="B698" t="e">
        <f>_xlfn.XLOOKUP(A698,'[1]Global_Spot Prices'!$B:$B,'[1]Global_Spot Prices'!$BS:$BS)</f>
        <v>#N/A</v>
      </c>
      <c r="C698" t="str">
        <f>_xlfn.XLOOKUP(A698,'[1]Global_Spot Prices'!$B:$B,'[1]Global_Spot Prices'!$E:$E)</f>
        <v/>
      </c>
      <c r="D698">
        <f>_xlfn.XLOOKUP(A698,'[1]Global_Spot Prices'!$B:$B,'[1]Global_Spot Prices'!$D:$D)</f>
        <v>53.015000000000001</v>
      </c>
      <c r="E698">
        <f>_xlfn.XLOOKUP(A698,'[1]Global_Spot Prices'!$B:$B,'[1]Global_Spot Prices'!$H:$H)</f>
        <v>0</v>
      </c>
      <c r="F698">
        <f>_xlfn.XLOOKUP(A698,'[1]Global_Spot Prices'!$B:$B,'[1]Global_Spot Prices'!$I:$I)</f>
        <v>0</v>
      </c>
      <c r="G698" cm="1">
        <f t="array" ref="G698">_xlfn.XLOOKUP(TEXT(A698, "mmm-yy"), TEXT([2]RUNS!$B$5:$B$208, "mmm-yy"), [2]RUNS!$D$5:$D$208, "Not Found")</f>
        <v>29303.874010831409</v>
      </c>
      <c r="H698" cm="1">
        <f t="array" ref="H698">SUMPRODUCT(
    --(TEXT('[3]Global Weekly Stock (EWSuez'!$B$4:$B$2000,"mmm-yy")=TEXT(A698,"mmm-yy")),
    '[3]Global Weekly Stock (EWSuez'!$E$4:$E$2000)
/
SUMPRODUCT(
    --(TEXT('[3]Global Weekly Stock (EWSuez'!$B$4:$B$2000,"mmm-yy")=TEXT(A698,"mmm-yy"))
)</f>
        <v>11478.8</v>
      </c>
      <c r="I698">
        <f>_xlfn.XLOOKUP(A698,[1]ForwardDeriv!$D:$D,[1]ForwardDeriv!$AJ:$AJ)</f>
        <v>1.7000000000000028</v>
      </c>
      <c r="J698" cm="1">
        <f t="array" ref="J698">_xlfn.XLOOKUP(TEXT(A698, "mmm-yy"), TEXT([2]GASOLINE!$B$5:$B$208, "mmm-yy"), [2]GASOLINE!$IR$5:$IR$208, "Not Found")</f>
        <v>-92.267685305237535</v>
      </c>
      <c r="K698" cm="1">
        <f t="array" ref="K698">_xlfn.XLOOKUP(TEXT(A698, "mmm-yy"), TEXT([2]GASOLINE!$B$5:$B$208, "mmm-yy"), [2]GASOLINE!$IK$5:$IK$208, "Not Found")</f>
        <v>0</v>
      </c>
      <c r="L698">
        <f t="shared" si="10"/>
        <v>1</v>
      </c>
      <c r="M698" cm="1">
        <f t="array" ref="M698">_xlfn.XLOOKUP(TEXT(A698, "mmm-yy"), TEXT([2]GASOLINE!$B$5:$B$208, "mmm-yy"), [2]GASOLINE!$C$5:$C$208, "Not Found")</f>
        <v>7308.5370516901448</v>
      </c>
      <c r="N698" cm="1">
        <f t="array" ref="N698">_xlfn.XLOOKUP(TEXT(A698, "mmm-yy"), TEXT([2]RUNS!$B$5:$B$208, "mmm-yy"), [2]RUNS!$BM$5:$BM$208, "Not Found")</f>
        <v>0.85679082187923494</v>
      </c>
    </row>
    <row r="699" spans="1:14" x14ac:dyDescent="0.25">
      <c r="A699" s="1">
        <f>'[1]Global_Spot Prices'!$B2008</f>
        <v>42982</v>
      </c>
      <c r="B699">
        <f>_xlfn.XLOOKUP(A699,'[1]Global_Spot Prices'!$B:$B,'[1]Global_Spot Prices'!$BS:$BS)</f>
        <v>16.920000000000002</v>
      </c>
      <c r="C699">
        <f>_xlfn.XLOOKUP(A699,'[1]Global_Spot Prices'!$B:$B,'[1]Global_Spot Prices'!$E:$E)</f>
        <v>50.72</v>
      </c>
      <c r="D699">
        <f>_xlfn.XLOOKUP(A699,'[1]Global_Spot Prices'!$B:$B,'[1]Global_Spot Prices'!$D:$D)</f>
        <v>52.66</v>
      </c>
      <c r="E699">
        <f>_xlfn.XLOOKUP(A699,'[1]Global_Spot Prices'!$B:$B,'[1]Global_Spot Prices'!$H:$H)</f>
        <v>51.98</v>
      </c>
      <c r="F699">
        <f>_xlfn.XLOOKUP(A699,'[1]Global_Spot Prices'!$B:$B,'[1]Global_Spot Prices'!$I:$I)</f>
        <v>67.64</v>
      </c>
      <c r="G699" cm="1">
        <f t="array" ref="G699">_xlfn.XLOOKUP(TEXT(A699, "mmm-yy"), TEXT([2]RUNS!$B$5:$B$208, "mmm-yy"), [2]RUNS!$D$5:$D$208, "Not Found")</f>
        <v>29303.874010831409</v>
      </c>
      <c r="H699" cm="1">
        <f t="array" ref="H699">SUMPRODUCT(
    --(TEXT('[3]Global Weekly Stock (EWSuez'!$B$4:$B$2000,"mmm-yy")=TEXT(A699,"mmm-yy")),
    '[3]Global Weekly Stock (EWSuez'!$E$4:$E$2000)
/
SUMPRODUCT(
    --(TEXT('[3]Global Weekly Stock (EWSuez'!$B$4:$B$2000,"mmm-yy")=TEXT(A699,"mmm-yy"))
)</f>
        <v>11478.8</v>
      </c>
      <c r="I699">
        <f>_xlfn.XLOOKUP(A699,[1]ForwardDeriv!$D:$D,[1]ForwardDeriv!$AJ:$AJ)</f>
        <v>1.7000000000000028</v>
      </c>
      <c r="J699" cm="1">
        <f t="array" ref="J699">_xlfn.XLOOKUP(TEXT(A699, "mmm-yy"), TEXT([2]GASOLINE!$B$5:$B$208, "mmm-yy"), [2]GASOLINE!$IR$5:$IR$208, "Not Found")</f>
        <v>-92.267685305237535</v>
      </c>
      <c r="K699" cm="1">
        <f t="array" ref="K699">_xlfn.XLOOKUP(TEXT(A699, "mmm-yy"), TEXT([2]GASOLINE!$B$5:$B$208, "mmm-yy"), [2]GASOLINE!$IK$5:$IK$208, "Not Found")</f>
        <v>0</v>
      </c>
      <c r="L699">
        <f t="shared" si="10"/>
        <v>1</v>
      </c>
      <c r="M699" cm="1">
        <f t="array" ref="M699">_xlfn.XLOOKUP(TEXT(A699, "mmm-yy"), TEXT([2]GASOLINE!$B$5:$B$208, "mmm-yy"), [2]GASOLINE!$C$5:$C$208, "Not Found")</f>
        <v>7308.5370516901448</v>
      </c>
      <c r="N699" cm="1">
        <f t="array" ref="N699">_xlfn.XLOOKUP(TEXT(A699, "mmm-yy"), TEXT([2]RUNS!$B$5:$B$208, "mmm-yy"), [2]RUNS!$BM$5:$BM$208, "Not Found")</f>
        <v>0.85679082187923494</v>
      </c>
    </row>
    <row r="700" spans="1:14" x14ac:dyDescent="0.25">
      <c r="A700" s="1">
        <f>'[1]Global_Spot Prices'!$B2009</f>
        <v>42983</v>
      </c>
      <c r="B700">
        <f>_xlfn.XLOOKUP(A700,'[1]Global_Spot Prices'!$B:$B,'[1]Global_Spot Prices'!$BS:$BS)</f>
        <v>16.43</v>
      </c>
      <c r="C700">
        <f>_xlfn.XLOOKUP(A700,'[1]Global_Spot Prices'!$B:$B,'[1]Global_Spot Prices'!$E:$E)</f>
        <v>51.1</v>
      </c>
      <c r="D700">
        <f>_xlfn.XLOOKUP(A700,'[1]Global_Spot Prices'!$B:$B,'[1]Global_Spot Prices'!$D:$D)</f>
        <v>53.835000000000001</v>
      </c>
      <c r="E700">
        <f>_xlfn.XLOOKUP(A700,'[1]Global_Spot Prices'!$B:$B,'[1]Global_Spot Prices'!$H:$H)</f>
        <v>52.07</v>
      </c>
      <c r="F700">
        <f>_xlfn.XLOOKUP(A700,'[1]Global_Spot Prices'!$B:$B,'[1]Global_Spot Prices'!$I:$I)</f>
        <v>67.53</v>
      </c>
      <c r="G700" cm="1">
        <f t="array" ref="G700">_xlfn.XLOOKUP(TEXT(A700, "mmm-yy"), TEXT([2]RUNS!$B$5:$B$208, "mmm-yy"), [2]RUNS!$D$5:$D$208, "Not Found")</f>
        <v>29303.874010831409</v>
      </c>
      <c r="H700" cm="1">
        <f t="array" ref="H700">SUMPRODUCT(
    --(TEXT('[3]Global Weekly Stock (EWSuez'!$B$4:$B$2000,"mmm-yy")=TEXT(A700,"mmm-yy")),
    '[3]Global Weekly Stock (EWSuez'!$E$4:$E$2000)
/
SUMPRODUCT(
    --(TEXT('[3]Global Weekly Stock (EWSuez'!$B$4:$B$2000,"mmm-yy")=TEXT(A700,"mmm-yy"))
)</f>
        <v>11478.8</v>
      </c>
      <c r="I700">
        <f>_xlfn.XLOOKUP(A700,[1]ForwardDeriv!$D:$D,[1]ForwardDeriv!$AJ:$AJ)</f>
        <v>1.5300000000000011</v>
      </c>
      <c r="J700" cm="1">
        <f t="array" ref="J700">_xlfn.XLOOKUP(TEXT(A700, "mmm-yy"), TEXT([2]GASOLINE!$B$5:$B$208, "mmm-yy"), [2]GASOLINE!$IR$5:$IR$208, "Not Found")</f>
        <v>-92.267685305237535</v>
      </c>
      <c r="K700" cm="1">
        <f t="array" ref="K700">_xlfn.XLOOKUP(TEXT(A700, "mmm-yy"), TEXT([2]GASOLINE!$B$5:$B$208, "mmm-yy"), [2]GASOLINE!$IK$5:$IK$208, "Not Found")</f>
        <v>0</v>
      </c>
      <c r="L700">
        <f t="shared" si="10"/>
        <v>1</v>
      </c>
      <c r="M700" cm="1">
        <f t="array" ref="M700">_xlfn.XLOOKUP(TEXT(A700, "mmm-yy"), TEXT([2]GASOLINE!$B$5:$B$208, "mmm-yy"), [2]GASOLINE!$C$5:$C$208, "Not Found")</f>
        <v>7308.5370516901448</v>
      </c>
      <c r="N700" cm="1">
        <f t="array" ref="N700">_xlfn.XLOOKUP(TEXT(A700, "mmm-yy"), TEXT([2]RUNS!$B$5:$B$208, "mmm-yy"), [2]RUNS!$BM$5:$BM$208, "Not Found")</f>
        <v>0.85679082187923494</v>
      </c>
    </row>
    <row r="701" spans="1:14" x14ac:dyDescent="0.25">
      <c r="A701" s="1">
        <f>'[1]Global_Spot Prices'!$B2010</f>
        <v>42984</v>
      </c>
      <c r="B701">
        <f>_xlfn.XLOOKUP(A701,'[1]Global_Spot Prices'!$B:$B,'[1]Global_Spot Prices'!$BS:$BS)</f>
        <v>15.570000000000007</v>
      </c>
      <c r="C701">
        <f>_xlfn.XLOOKUP(A701,'[1]Global_Spot Prices'!$B:$B,'[1]Global_Spot Prices'!$E:$E)</f>
        <v>52.16</v>
      </c>
      <c r="D701">
        <f>_xlfn.XLOOKUP(A701,'[1]Global_Spot Prices'!$B:$B,'[1]Global_Spot Prices'!$D:$D)</f>
        <v>54.695</v>
      </c>
      <c r="E701">
        <f>_xlfn.XLOOKUP(A701,'[1]Global_Spot Prices'!$B:$B,'[1]Global_Spot Prices'!$H:$H)</f>
        <v>53.33</v>
      </c>
      <c r="F701">
        <f>_xlfn.XLOOKUP(A701,'[1]Global_Spot Prices'!$B:$B,'[1]Global_Spot Prices'!$I:$I)</f>
        <v>67.73</v>
      </c>
      <c r="G701" cm="1">
        <f t="array" ref="G701">_xlfn.XLOOKUP(TEXT(A701, "mmm-yy"), TEXT([2]RUNS!$B$5:$B$208, "mmm-yy"), [2]RUNS!$D$5:$D$208, "Not Found")</f>
        <v>29303.874010831409</v>
      </c>
      <c r="H701" cm="1">
        <f t="array" ref="H701">SUMPRODUCT(
    --(TEXT('[3]Global Weekly Stock (EWSuez'!$B$4:$B$2000,"mmm-yy")=TEXT(A701,"mmm-yy")),
    '[3]Global Weekly Stock (EWSuez'!$E$4:$E$2000)
/
SUMPRODUCT(
    --(TEXT('[3]Global Weekly Stock (EWSuez'!$B$4:$B$2000,"mmm-yy")=TEXT(A701,"mmm-yy"))
)</f>
        <v>11478.8</v>
      </c>
      <c r="I701">
        <f>_xlfn.XLOOKUP(A701,[1]ForwardDeriv!$D:$D,[1]ForwardDeriv!$AJ:$AJ)</f>
        <v>1.279999999999994</v>
      </c>
      <c r="J701" cm="1">
        <f t="array" ref="J701">_xlfn.XLOOKUP(TEXT(A701, "mmm-yy"), TEXT([2]GASOLINE!$B$5:$B$208, "mmm-yy"), [2]GASOLINE!$IR$5:$IR$208, "Not Found")</f>
        <v>-92.267685305237535</v>
      </c>
      <c r="K701" cm="1">
        <f t="array" ref="K701">_xlfn.XLOOKUP(TEXT(A701, "mmm-yy"), TEXT([2]GASOLINE!$B$5:$B$208, "mmm-yy"), [2]GASOLINE!$IK$5:$IK$208, "Not Found")</f>
        <v>0</v>
      </c>
      <c r="L701">
        <f t="shared" si="10"/>
        <v>1</v>
      </c>
      <c r="M701" cm="1">
        <f t="array" ref="M701">_xlfn.XLOOKUP(TEXT(A701, "mmm-yy"), TEXT([2]GASOLINE!$B$5:$B$208, "mmm-yy"), [2]GASOLINE!$C$5:$C$208, "Not Found")</f>
        <v>7308.5370516901448</v>
      </c>
      <c r="N701" cm="1">
        <f t="array" ref="N701">_xlfn.XLOOKUP(TEXT(A701, "mmm-yy"), TEXT([2]RUNS!$B$5:$B$208, "mmm-yy"), [2]RUNS!$BM$5:$BM$208, "Not Found")</f>
        <v>0.85679082187923494</v>
      </c>
    </row>
    <row r="702" spans="1:14" x14ac:dyDescent="0.25">
      <c r="A702" s="1">
        <f>'[1]Global_Spot Prices'!$B2011</f>
        <v>42985</v>
      </c>
      <c r="B702">
        <f>_xlfn.XLOOKUP(A702,'[1]Global_Spot Prices'!$B:$B,'[1]Global_Spot Prices'!$BS:$BS)</f>
        <v>14.239999999999995</v>
      </c>
      <c r="C702">
        <f>_xlfn.XLOOKUP(A702,'[1]Global_Spot Prices'!$B:$B,'[1]Global_Spot Prices'!$E:$E)</f>
        <v>53</v>
      </c>
      <c r="D702">
        <f>_xlfn.XLOOKUP(A702,'[1]Global_Spot Prices'!$B:$B,'[1]Global_Spot Prices'!$D:$D)</f>
        <v>53.965000000000003</v>
      </c>
      <c r="E702">
        <f>_xlfn.XLOOKUP(A702,'[1]Global_Spot Prices'!$B:$B,'[1]Global_Spot Prices'!$H:$H)</f>
        <v>54.29</v>
      </c>
      <c r="F702">
        <f>_xlfn.XLOOKUP(A702,'[1]Global_Spot Prices'!$B:$B,'[1]Global_Spot Prices'!$I:$I)</f>
        <v>67.239999999999995</v>
      </c>
      <c r="G702" cm="1">
        <f t="array" ref="G702">_xlfn.XLOOKUP(TEXT(A702, "mmm-yy"), TEXT([2]RUNS!$B$5:$B$208, "mmm-yy"), [2]RUNS!$D$5:$D$208, "Not Found")</f>
        <v>29303.874010831409</v>
      </c>
      <c r="H702" cm="1">
        <f t="array" ref="H702">SUMPRODUCT(
    --(TEXT('[3]Global Weekly Stock (EWSuez'!$B$4:$B$2000,"mmm-yy")=TEXT(A702,"mmm-yy")),
    '[3]Global Weekly Stock (EWSuez'!$E$4:$E$2000)
/
SUMPRODUCT(
    --(TEXT('[3]Global Weekly Stock (EWSuez'!$B$4:$B$2000,"mmm-yy")=TEXT(A702,"mmm-yy"))
)</f>
        <v>11478.8</v>
      </c>
      <c r="I702">
        <f>_xlfn.XLOOKUP(A702,[1]ForwardDeriv!$D:$D,[1]ForwardDeriv!$AJ:$AJ)</f>
        <v>0.96999999999999176</v>
      </c>
      <c r="J702" cm="1">
        <f t="array" ref="J702">_xlfn.XLOOKUP(TEXT(A702, "mmm-yy"), TEXT([2]GASOLINE!$B$5:$B$208, "mmm-yy"), [2]GASOLINE!$IR$5:$IR$208, "Not Found")</f>
        <v>-92.267685305237535</v>
      </c>
      <c r="K702" cm="1">
        <f t="array" ref="K702">_xlfn.XLOOKUP(TEXT(A702, "mmm-yy"), TEXT([2]GASOLINE!$B$5:$B$208, "mmm-yy"), [2]GASOLINE!$IK$5:$IK$208, "Not Found")</f>
        <v>0</v>
      </c>
      <c r="L702">
        <f t="shared" si="10"/>
        <v>1</v>
      </c>
      <c r="M702" cm="1">
        <f t="array" ref="M702">_xlfn.XLOOKUP(TEXT(A702, "mmm-yy"), TEXT([2]GASOLINE!$B$5:$B$208, "mmm-yy"), [2]GASOLINE!$C$5:$C$208, "Not Found")</f>
        <v>7308.5370516901448</v>
      </c>
      <c r="N702" cm="1">
        <f t="array" ref="N702">_xlfn.XLOOKUP(TEXT(A702, "mmm-yy"), TEXT([2]RUNS!$B$5:$B$208, "mmm-yy"), [2]RUNS!$BM$5:$BM$208, "Not Found")</f>
        <v>0.85679082187923494</v>
      </c>
    </row>
    <row r="703" spans="1:14" x14ac:dyDescent="0.25">
      <c r="A703" s="1">
        <f>'[1]Global_Spot Prices'!$B2012</f>
        <v>42986</v>
      </c>
      <c r="B703">
        <f>_xlfn.XLOOKUP(A703,'[1]Global_Spot Prices'!$B:$B,'[1]Global_Spot Prices'!$BS:$BS)</f>
        <v>14.659999999999997</v>
      </c>
      <c r="C703">
        <f>_xlfn.XLOOKUP(A703,'[1]Global_Spot Prices'!$B:$B,'[1]Global_Spot Prices'!$E:$E)</f>
        <v>53.19</v>
      </c>
      <c r="D703">
        <f>_xlfn.XLOOKUP(A703,'[1]Global_Spot Prices'!$B:$B,'[1]Global_Spot Prices'!$D:$D)</f>
        <v>54.43</v>
      </c>
      <c r="E703">
        <f>_xlfn.XLOOKUP(A703,'[1]Global_Spot Prices'!$B:$B,'[1]Global_Spot Prices'!$H:$H)</f>
        <v>54.71</v>
      </c>
      <c r="F703">
        <f>_xlfn.XLOOKUP(A703,'[1]Global_Spot Prices'!$B:$B,'[1]Global_Spot Prices'!$I:$I)</f>
        <v>67.849999999999994</v>
      </c>
      <c r="G703" cm="1">
        <f t="array" ref="G703">_xlfn.XLOOKUP(TEXT(A703, "mmm-yy"), TEXT([2]RUNS!$B$5:$B$208, "mmm-yy"), [2]RUNS!$D$5:$D$208, "Not Found")</f>
        <v>29303.874010831409</v>
      </c>
      <c r="H703" cm="1">
        <f t="array" ref="H703">SUMPRODUCT(
    --(TEXT('[3]Global Weekly Stock (EWSuez'!$B$4:$B$2000,"mmm-yy")=TEXT(A703,"mmm-yy")),
    '[3]Global Weekly Stock (EWSuez'!$E$4:$E$2000)
/
SUMPRODUCT(
    --(TEXT('[3]Global Weekly Stock (EWSuez'!$B$4:$B$2000,"mmm-yy")=TEXT(A703,"mmm-yy"))
)</f>
        <v>11478.8</v>
      </c>
      <c r="I703">
        <f>_xlfn.XLOOKUP(A703,[1]ForwardDeriv!$D:$D,[1]ForwardDeriv!$AJ:$AJ)</f>
        <v>0.93000000000000682</v>
      </c>
      <c r="J703" cm="1">
        <f t="array" ref="J703">_xlfn.XLOOKUP(TEXT(A703, "mmm-yy"), TEXT([2]GASOLINE!$B$5:$B$208, "mmm-yy"), [2]GASOLINE!$IR$5:$IR$208, "Not Found")</f>
        <v>-92.267685305237535</v>
      </c>
      <c r="K703" cm="1">
        <f t="array" ref="K703">_xlfn.XLOOKUP(TEXT(A703, "mmm-yy"), TEXT([2]GASOLINE!$B$5:$B$208, "mmm-yy"), [2]GASOLINE!$IK$5:$IK$208, "Not Found")</f>
        <v>0</v>
      </c>
      <c r="L703">
        <f t="shared" si="10"/>
        <v>1</v>
      </c>
      <c r="M703" cm="1">
        <f t="array" ref="M703">_xlfn.XLOOKUP(TEXT(A703, "mmm-yy"), TEXT([2]GASOLINE!$B$5:$B$208, "mmm-yy"), [2]GASOLINE!$C$5:$C$208, "Not Found")</f>
        <v>7308.5370516901448</v>
      </c>
      <c r="N703" cm="1">
        <f t="array" ref="N703">_xlfn.XLOOKUP(TEXT(A703, "mmm-yy"), TEXT([2]RUNS!$B$5:$B$208, "mmm-yy"), [2]RUNS!$BM$5:$BM$208, "Not Found")</f>
        <v>0.85679082187923494</v>
      </c>
    </row>
    <row r="704" spans="1:14" x14ac:dyDescent="0.25">
      <c r="A704" s="1">
        <f>'[1]Global_Spot Prices'!$B2013</f>
        <v>42989</v>
      </c>
      <c r="B704">
        <f>_xlfn.XLOOKUP(A704,'[1]Global_Spot Prices'!$B:$B,'[1]Global_Spot Prices'!$BS:$BS)</f>
        <v>15.119999999999997</v>
      </c>
      <c r="C704">
        <f>_xlfn.XLOOKUP(A704,'[1]Global_Spot Prices'!$B:$B,'[1]Global_Spot Prices'!$E:$E)</f>
        <v>52.1</v>
      </c>
      <c r="D704">
        <f>_xlfn.XLOOKUP(A704,'[1]Global_Spot Prices'!$B:$B,'[1]Global_Spot Prices'!$D:$D)</f>
        <v>53.97</v>
      </c>
      <c r="E704">
        <f>_xlfn.XLOOKUP(A704,'[1]Global_Spot Prices'!$B:$B,'[1]Global_Spot Prices'!$H:$H)</f>
        <v>53.69</v>
      </c>
      <c r="F704">
        <f>_xlfn.XLOOKUP(A704,'[1]Global_Spot Prices'!$B:$B,'[1]Global_Spot Prices'!$I:$I)</f>
        <v>67.22</v>
      </c>
      <c r="G704" cm="1">
        <f t="array" ref="G704">_xlfn.XLOOKUP(TEXT(A704, "mmm-yy"), TEXT([2]RUNS!$B$5:$B$208, "mmm-yy"), [2]RUNS!$D$5:$D$208, "Not Found")</f>
        <v>29303.874010831409</v>
      </c>
      <c r="H704" cm="1">
        <f t="array" ref="H704">SUMPRODUCT(
    --(TEXT('[3]Global Weekly Stock (EWSuez'!$B$4:$B$2000,"mmm-yy")=TEXT(A704,"mmm-yy")),
    '[3]Global Weekly Stock (EWSuez'!$E$4:$E$2000)
/
SUMPRODUCT(
    --(TEXT('[3]Global Weekly Stock (EWSuez'!$B$4:$B$2000,"mmm-yy")=TEXT(A704,"mmm-yy"))
)</f>
        <v>11478.8</v>
      </c>
      <c r="I704">
        <f>_xlfn.XLOOKUP(A704,[1]ForwardDeriv!$D:$D,[1]ForwardDeriv!$AJ:$AJ)</f>
        <v>1.0000000000000071</v>
      </c>
      <c r="J704" cm="1">
        <f t="array" ref="J704">_xlfn.XLOOKUP(TEXT(A704, "mmm-yy"), TEXT([2]GASOLINE!$B$5:$B$208, "mmm-yy"), [2]GASOLINE!$IR$5:$IR$208, "Not Found")</f>
        <v>-92.267685305237535</v>
      </c>
      <c r="K704" cm="1">
        <f t="array" ref="K704">_xlfn.XLOOKUP(TEXT(A704, "mmm-yy"), TEXT([2]GASOLINE!$B$5:$B$208, "mmm-yy"), [2]GASOLINE!$IK$5:$IK$208, "Not Found")</f>
        <v>0</v>
      </c>
      <c r="L704">
        <f t="shared" si="10"/>
        <v>1</v>
      </c>
      <c r="M704" cm="1">
        <f t="array" ref="M704">_xlfn.XLOOKUP(TEXT(A704, "mmm-yy"), TEXT([2]GASOLINE!$B$5:$B$208, "mmm-yy"), [2]GASOLINE!$C$5:$C$208, "Not Found")</f>
        <v>7308.5370516901448</v>
      </c>
      <c r="N704" cm="1">
        <f t="array" ref="N704">_xlfn.XLOOKUP(TEXT(A704, "mmm-yy"), TEXT([2]RUNS!$B$5:$B$208, "mmm-yy"), [2]RUNS!$BM$5:$BM$208, "Not Found")</f>
        <v>0.85679082187923494</v>
      </c>
    </row>
    <row r="705" spans="1:14" x14ac:dyDescent="0.25">
      <c r="A705" s="1">
        <f>'[1]Global_Spot Prices'!$B2014</f>
        <v>42990</v>
      </c>
      <c r="B705">
        <f>_xlfn.XLOOKUP(A705,'[1]Global_Spot Prices'!$B:$B,'[1]Global_Spot Prices'!$BS:$BS)</f>
        <v>14.810000000000002</v>
      </c>
      <c r="C705">
        <f>_xlfn.XLOOKUP(A705,'[1]Global_Spot Prices'!$B:$B,'[1]Global_Spot Prices'!$E:$E)</f>
        <v>52.16</v>
      </c>
      <c r="D705">
        <f>_xlfn.XLOOKUP(A705,'[1]Global_Spot Prices'!$B:$B,'[1]Global_Spot Prices'!$D:$D)</f>
        <v>55.03</v>
      </c>
      <c r="E705">
        <f>_xlfn.XLOOKUP(A705,'[1]Global_Spot Prices'!$B:$B,'[1]Global_Spot Prices'!$H:$H)</f>
        <v>53.8</v>
      </c>
      <c r="F705">
        <f>_xlfn.XLOOKUP(A705,'[1]Global_Spot Prices'!$B:$B,'[1]Global_Spot Prices'!$I:$I)</f>
        <v>66.97</v>
      </c>
      <c r="G705" cm="1">
        <f t="array" ref="G705">_xlfn.XLOOKUP(TEXT(A705, "mmm-yy"), TEXT([2]RUNS!$B$5:$B$208, "mmm-yy"), [2]RUNS!$D$5:$D$208, "Not Found")</f>
        <v>29303.874010831409</v>
      </c>
      <c r="H705" cm="1">
        <f t="array" ref="H705">SUMPRODUCT(
    --(TEXT('[3]Global Weekly Stock (EWSuez'!$B$4:$B$2000,"mmm-yy")=TEXT(A705,"mmm-yy")),
    '[3]Global Weekly Stock (EWSuez'!$E$4:$E$2000)
/
SUMPRODUCT(
    --(TEXT('[3]Global Weekly Stock (EWSuez'!$B$4:$B$2000,"mmm-yy")=TEXT(A705,"mmm-yy"))
)</f>
        <v>11478.8</v>
      </c>
      <c r="I705">
        <f>_xlfn.XLOOKUP(A705,[1]ForwardDeriv!$D:$D,[1]ForwardDeriv!$AJ:$AJ)</f>
        <v>0.92999999999999972</v>
      </c>
      <c r="J705" cm="1">
        <f t="array" ref="J705">_xlfn.XLOOKUP(TEXT(A705, "mmm-yy"), TEXT([2]GASOLINE!$B$5:$B$208, "mmm-yy"), [2]GASOLINE!$IR$5:$IR$208, "Not Found")</f>
        <v>-92.267685305237535</v>
      </c>
      <c r="K705" cm="1">
        <f t="array" ref="K705">_xlfn.XLOOKUP(TEXT(A705, "mmm-yy"), TEXT([2]GASOLINE!$B$5:$B$208, "mmm-yy"), [2]GASOLINE!$IK$5:$IK$208, "Not Found")</f>
        <v>0</v>
      </c>
      <c r="L705">
        <f t="shared" si="10"/>
        <v>1</v>
      </c>
      <c r="M705" cm="1">
        <f t="array" ref="M705">_xlfn.XLOOKUP(TEXT(A705, "mmm-yy"), TEXT([2]GASOLINE!$B$5:$B$208, "mmm-yy"), [2]GASOLINE!$C$5:$C$208, "Not Found")</f>
        <v>7308.5370516901448</v>
      </c>
      <c r="N705" cm="1">
        <f t="array" ref="N705">_xlfn.XLOOKUP(TEXT(A705, "mmm-yy"), TEXT([2]RUNS!$B$5:$B$208, "mmm-yy"), [2]RUNS!$BM$5:$BM$208, "Not Found")</f>
        <v>0.85679082187923494</v>
      </c>
    </row>
    <row r="706" spans="1:14" x14ac:dyDescent="0.25">
      <c r="A706" s="1">
        <f>'[1]Global_Spot Prices'!$B2015</f>
        <v>42991</v>
      </c>
      <c r="B706">
        <f>_xlfn.XLOOKUP(A706,'[1]Global_Spot Prices'!$B:$B,'[1]Global_Spot Prices'!$BS:$BS)</f>
        <v>14.490000000000002</v>
      </c>
      <c r="C706">
        <f>_xlfn.XLOOKUP(A706,'[1]Global_Spot Prices'!$B:$B,'[1]Global_Spot Prices'!$E:$E)</f>
        <v>52.9</v>
      </c>
      <c r="D706">
        <f>_xlfn.XLOOKUP(A706,'[1]Global_Spot Prices'!$B:$B,'[1]Global_Spot Prices'!$D:$D)</f>
        <v>55.86</v>
      </c>
      <c r="E706">
        <f>_xlfn.XLOOKUP(A706,'[1]Global_Spot Prices'!$B:$B,'[1]Global_Spot Prices'!$H:$H)</f>
        <v>54.25</v>
      </c>
      <c r="F706">
        <f>_xlfn.XLOOKUP(A706,'[1]Global_Spot Prices'!$B:$B,'[1]Global_Spot Prices'!$I:$I)</f>
        <v>67.39</v>
      </c>
      <c r="G706" cm="1">
        <f t="array" ref="G706">_xlfn.XLOOKUP(TEXT(A706, "mmm-yy"), TEXT([2]RUNS!$B$5:$B$208, "mmm-yy"), [2]RUNS!$D$5:$D$208, "Not Found")</f>
        <v>29303.874010831409</v>
      </c>
      <c r="H706" cm="1">
        <f t="array" ref="H706">SUMPRODUCT(
    --(TEXT('[3]Global Weekly Stock (EWSuez'!$B$4:$B$2000,"mmm-yy")=TEXT(A706,"mmm-yy")),
    '[3]Global Weekly Stock (EWSuez'!$E$4:$E$2000)
/
SUMPRODUCT(
    --(TEXT('[3]Global Weekly Stock (EWSuez'!$B$4:$B$2000,"mmm-yy")=TEXT(A706,"mmm-yy"))
)</f>
        <v>11478.8</v>
      </c>
      <c r="I706">
        <f>_xlfn.XLOOKUP(A706,[1]ForwardDeriv!$D:$D,[1]ForwardDeriv!$AJ:$AJ)</f>
        <v>0.98999999999999488</v>
      </c>
      <c r="J706" cm="1">
        <f t="array" ref="J706">_xlfn.XLOOKUP(TEXT(A706, "mmm-yy"), TEXT([2]GASOLINE!$B$5:$B$208, "mmm-yy"), [2]GASOLINE!$IR$5:$IR$208, "Not Found")</f>
        <v>-92.267685305237535</v>
      </c>
      <c r="K706" cm="1">
        <f t="array" ref="K706">_xlfn.XLOOKUP(TEXT(A706, "mmm-yy"), TEXT([2]GASOLINE!$B$5:$B$208, "mmm-yy"), [2]GASOLINE!$IK$5:$IK$208, "Not Found")</f>
        <v>0</v>
      </c>
      <c r="L706">
        <f t="shared" si="10"/>
        <v>1</v>
      </c>
      <c r="M706" cm="1">
        <f t="array" ref="M706">_xlfn.XLOOKUP(TEXT(A706, "mmm-yy"), TEXT([2]GASOLINE!$B$5:$B$208, "mmm-yy"), [2]GASOLINE!$C$5:$C$208, "Not Found")</f>
        <v>7308.5370516901448</v>
      </c>
      <c r="N706" cm="1">
        <f t="array" ref="N706">_xlfn.XLOOKUP(TEXT(A706, "mmm-yy"), TEXT([2]RUNS!$B$5:$B$208, "mmm-yy"), [2]RUNS!$BM$5:$BM$208, "Not Found")</f>
        <v>0.85679082187923494</v>
      </c>
    </row>
    <row r="707" spans="1:14" x14ac:dyDescent="0.25">
      <c r="A707" s="1">
        <f>'[1]Global_Spot Prices'!$B2016</f>
        <v>42992</v>
      </c>
      <c r="B707">
        <f>_xlfn.XLOOKUP(A707,'[1]Global_Spot Prices'!$B:$B,'[1]Global_Spot Prices'!$BS:$BS)</f>
        <v>14.189999999999998</v>
      </c>
      <c r="C707">
        <f>_xlfn.XLOOKUP(A707,'[1]Global_Spot Prices'!$B:$B,'[1]Global_Spot Prices'!$E:$E)</f>
        <v>53.55</v>
      </c>
      <c r="D707">
        <f>_xlfn.XLOOKUP(A707,'[1]Global_Spot Prices'!$B:$B,'[1]Global_Spot Prices'!$D:$D)</f>
        <v>56.734999999999999</v>
      </c>
      <c r="E707">
        <f>_xlfn.XLOOKUP(A707,'[1]Global_Spot Prices'!$B:$B,'[1]Global_Spot Prices'!$H:$H)</f>
        <v>54.14</v>
      </c>
      <c r="F707">
        <f>_xlfn.XLOOKUP(A707,'[1]Global_Spot Prices'!$B:$B,'[1]Global_Spot Prices'!$I:$I)</f>
        <v>67.739999999999995</v>
      </c>
      <c r="G707" cm="1">
        <f t="array" ref="G707">_xlfn.XLOOKUP(TEXT(A707, "mmm-yy"), TEXT([2]RUNS!$B$5:$B$208, "mmm-yy"), [2]RUNS!$D$5:$D$208, "Not Found")</f>
        <v>29303.874010831409</v>
      </c>
      <c r="H707" cm="1">
        <f t="array" ref="H707">SUMPRODUCT(
    --(TEXT('[3]Global Weekly Stock (EWSuez'!$B$4:$B$2000,"mmm-yy")=TEXT(A707,"mmm-yy")),
    '[3]Global Weekly Stock (EWSuez'!$E$4:$E$2000)
/
SUMPRODUCT(
    --(TEXT('[3]Global Weekly Stock (EWSuez'!$B$4:$B$2000,"mmm-yy")=TEXT(A707,"mmm-yy"))
)</f>
        <v>11478.8</v>
      </c>
      <c r="I707">
        <f>_xlfn.XLOOKUP(A707,[1]ForwardDeriv!$D:$D,[1]ForwardDeriv!$AJ:$AJ)</f>
        <v>0.9100000000000108</v>
      </c>
      <c r="J707" cm="1">
        <f t="array" ref="J707">_xlfn.XLOOKUP(TEXT(A707, "mmm-yy"), TEXT([2]GASOLINE!$B$5:$B$208, "mmm-yy"), [2]GASOLINE!$IR$5:$IR$208, "Not Found")</f>
        <v>-92.267685305237535</v>
      </c>
      <c r="K707" cm="1">
        <f t="array" ref="K707">_xlfn.XLOOKUP(TEXT(A707, "mmm-yy"), TEXT([2]GASOLINE!$B$5:$B$208, "mmm-yy"), [2]GASOLINE!$IK$5:$IK$208, "Not Found")</f>
        <v>0</v>
      </c>
      <c r="L707">
        <f t="shared" ref="L707:L770" si="11">IF(OR(MONTH(A707)=6, MONTH(A707)=7, MONTH(A707)=8, MONTH(A707)=9), 1, 0)</f>
        <v>1</v>
      </c>
      <c r="M707" cm="1">
        <f t="array" ref="M707">_xlfn.XLOOKUP(TEXT(A707, "mmm-yy"), TEXT([2]GASOLINE!$B$5:$B$208, "mmm-yy"), [2]GASOLINE!$C$5:$C$208, "Not Found")</f>
        <v>7308.5370516901448</v>
      </c>
      <c r="N707" cm="1">
        <f t="array" ref="N707">_xlfn.XLOOKUP(TEXT(A707, "mmm-yy"), TEXT([2]RUNS!$B$5:$B$208, "mmm-yy"), [2]RUNS!$BM$5:$BM$208, "Not Found")</f>
        <v>0.85679082187923494</v>
      </c>
    </row>
    <row r="708" spans="1:14" x14ac:dyDescent="0.25">
      <c r="A708" s="1">
        <f>'[1]Global_Spot Prices'!$B2017</f>
        <v>42993</v>
      </c>
      <c r="B708">
        <f>_xlfn.XLOOKUP(A708,'[1]Global_Spot Prices'!$B:$B,'[1]Global_Spot Prices'!$BS:$BS)</f>
        <v>14.149999999999999</v>
      </c>
      <c r="C708">
        <f>_xlfn.XLOOKUP(A708,'[1]Global_Spot Prices'!$B:$B,'[1]Global_Spot Prices'!$E:$E)</f>
        <v>53.62</v>
      </c>
      <c r="D708">
        <f>_xlfn.XLOOKUP(A708,'[1]Global_Spot Prices'!$B:$B,'[1]Global_Spot Prices'!$D:$D)</f>
        <v>56.594999999999999</v>
      </c>
      <c r="E708">
        <f>_xlfn.XLOOKUP(A708,'[1]Global_Spot Prices'!$B:$B,'[1]Global_Spot Prices'!$H:$H)</f>
        <v>54.25</v>
      </c>
      <c r="F708">
        <f>_xlfn.XLOOKUP(A708,'[1]Global_Spot Prices'!$B:$B,'[1]Global_Spot Prices'!$I:$I)</f>
        <v>67.77</v>
      </c>
      <c r="G708" cm="1">
        <f t="array" ref="G708">_xlfn.XLOOKUP(TEXT(A708, "mmm-yy"), TEXT([2]RUNS!$B$5:$B$208, "mmm-yy"), [2]RUNS!$D$5:$D$208, "Not Found")</f>
        <v>29303.874010831409</v>
      </c>
      <c r="H708" cm="1">
        <f t="array" ref="H708">SUMPRODUCT(
    --(TEXT('[3]Global Weekly Stock (EWSuez'!$B$4:$B$2000,"mmm-yy")=TEXT(A708,"mmm-yy")),
    '[3]Global Weekly Stock (EWSuez'!$E$4:$E$2000)
/
SUMPRODUCT(
    --(TEXT('[3]Global Weekly Stock (EWSuez'!$B$4:$B$2000,"mmm-yy")=TEXT(A708,"mmm-yy"))
)</f>
        <v>11478.8</v>
      </c>
      <c r="I708">
        <f>_xlfn.XLOOKUP(A708,[1]ForwardDeriv!$D:$D,[1]ForwardDeriv!$AJ:$AJ)</f>
        <v>1</v>
      </c>
      <c r="J708" cm="1">
        <f t="array" ref="J708">_xlfn.XLOOKUP(TEXT(A708, "mmm-yy"), TEXT([2]GASOLINE!$B$5:$B$208, "mmm-yy"), [2]GASOLINE!$IR$5:$IR$208, "Not Found")</f>
        <v>-92.267685305237535</v>
      </c>
      <c r="K708" cm="1">
        <f t="array" ref="K708">_xlfn.XLOOKUP(TEXT(A708, "mmm-yy"), TEXT([2]GASOLINE!$B$5:$B$208, "mmm-yy"), [2]GASOLINE!$IK$5:$IK$208, "Not Found")</f>
        <v>0</v>
      </c>
      <c r="L708">
        <f t="shared" si="11"/>
        <v>1</v>
      </c>
      <c r="M708" cm="1">
        <f t="array" ref="M708">_xlfn.XLOOKUP(TEXT(A708, "mmm-yy"), TEXT([2]GASOLINE!$B$5:$B$208, "mmm-yy"), [2]GASOLINE!$C$5:$C$208, "Not Found")</f>
        <v>7308.5370516901448</v>
      </c>
      <c r="N708" cm="1">
        <f t="array" ref="N708">_xlfn.XLOOKUP(TEXT(A708, "mmm-yy"), TEXT([2]RUNS!$B$5:$B$208, "mmm-yy"), [2]RUNS!$BM$5:$BM$208, "Not Found")</f>
        <v>0.85679082187923494</v>
      </c>
    </row>
    <row r="709" spans="1:14" x14ac:dyDescent="0.25">
      <c r="A709" s="1">
        <f>'[1]Global_Spot Prices'!$B2018</f>
        <v>42996</v>
      </c>
      <c r="B709">
        <f>_xlfn.XLOOKUP(A709,'[1]Global_Spot Prices'!$B:$B,'[1]Global_Spot Prices'!$BS:$BS)</f>
        <v>13.890000000000008</v>
      </c>
      <c r="C709">
        <f>_xlfn.XLOOKUP(A709,'[1]Global_Spot Prices'!$B:$B,'[1]Global_Spot Prices'!$E:$E)</f>
        <v>54.26</v>
      </c>
      <c r="D709">
        <f>_xlfn.XLOOKUP(A709,'[1]Global_Spot Prices'!$B:$B,'[1]Global_Spot Prices'!$D:$D)</f>
        <v>55.365000000000002</v>
      </c>
      <c r="E709">
        <f>_xlfn.XLOOKUP(A709,'[1]Global_Spot Prices'!$B:$B,'[1]Global_Spot Prices'!$H:$H)</f>
        <v>55.16</v>
      </c>
      <c r="F709">
        <f>_xlfn.XLOOKUP(A709,'[1]Global_Spot Prices'!$B:$B,'[1]Global_Spot Prices'!$I:$I)</f>
        <v>68.150000000000006</v>
      </c>
      <c r="G709" cm="1">
        <f t="array" ref="G709">_xlfn.XLOOKUP(TEXT(A709, "mmm-yy"), TEXT([2]RUNS!$B$5:$B$208, "mmm-yy"), [2]RUNS!$D$5:$D$208, "Not Found")</f>
        <v>29303.874010831409</v>
      </c>
      <c r="H709" cm="1">
        <f t="array" ref="H709">SUMPRODUCT(
    --(TEXT('[3]Global Weekly Stock (EWSuez'!$B$4:$B$2000,"mmm-yy")=TEXT(A709,"mmm-yy")),
    '[3]Global Weekly Stock (EWSuez'!$E$4:$E$2000)
/
SUMPRODUCT(
    --(TEXT('[3]Global Weekly Stock (EWSuez'!$B$4:$B$2000,"mmm-yy")=TEXT(A709,"mmm-yy"))
)</f>
        <v>11478.8</v>
      </c>
      <c r="I709">
        <f>_xlfn.XLOOKUP(A709,[1]ForwardDeriv!$D:$D,[1]ForwardDeriv!$AJ:$AJ)</f>
        <v>1.0699999999999932</v>
      </c>
      <c r="J709" cm="1">
        <f t="array" ref="J709">_xlfn.XLOOKUP(TEXT(A709, "mmm-yy"), TEXT([2]GASOLINE!$B$5:$B$208, "mmm-yy"), [2]GASOLINE!$IR$5:$IR$208, "Not Found")</f>
        <v>-92.267685305237535</v>
      </c>
      <c r="K709" cm="1">
        <f t="array" ref="K709">_xlfn.XLOOKUP(TEXT(A709, "mmm-yy"), TEXT([2]GASOLINE!$B$5:$B$208, "mmm-yy"), [2]GASOLINE!$IK$5:$IK$208, "Not Found")</f>
        <v>0</v>
      </c>
      <c r="L709">
        <f t="shared" si="11"/>
        <v>1</v>
      </c>
      <c r="M709" cm="1">
        <f t="array" ref="M709">_xlfn.XLOOKUP(TEXT(A709, "mmm-yy"), TEXT([2]GASOLINE!$B$5:$B$208, "mmm-yy"), [2]GASOLINE!$C$5:$C$208, "Not Found")</f>
        <v>7308.5370516901448</v>
      </c>
      <c r="N709" cm="1">
        <f t="array" ref="N709">_xlfn.XLOOKUP(TEXT(A709, "mmm-yy"), TEXT([2]RUNS!$B$5:$B$208, "mmm-yy"), [2]RUNS!$BM$5:$BM$208, "Not Found")</f>
        <v>0.85679082187923494</v>
      </c>
    </row>
    <row r="710" spans="1:14" x14ac:dyDescent="0.25">
      <c r="A710" s="1">
        <f>'[1]Global_Spot Prices'!$B2019</f>
        <v>42997</v>
      </c>
      <c r="B710">
        <f>_xlfn.XLOOKUP(A710,'[1]Global_Spot Prices'!$B:$B,'[1]Global_Spot Prices'!$BS:$BS)</f>
        <v>13.409999999999997</v>
      </c>
      <c r="C710">
        <f>_xlfn.XLOOKUP(A710,'[1]Global_Spot Prices'!$B:$B,'[1]Global_Spot Prices'!$E:$E)</f>
        <v>54.06</v>
      </c>
      <c r="D710">
        <f>_xlfn.XLOOKUP(A710,'[1]Global_Spot Prices'!$B:$B,'[1]Global_Spot Prices'!$D:$D)</f>
        <v>56.075000000000003</v>
      </c>
      <c r="E710">
        <f>_xlfn.XLOOKUP(A710,'[1]Global_Spot Prices'!$B:$B,'[1]Global_Spot Prices'!$H:$H)</f>
        <v>54.93</v>
      </c>
      <c r="F710">
        <f>_xlfn.XLOOKUP(A710,'[1]Global_Spot Prices'!$B:$B,'[1]Global_Spot Prices'!$I:$I)</f>
        <v>67.47</v>
      </c>
      <c r="G710" cm="1">
        <f t="array" ref="G710">_xlfn.XLOOKUP(TEXT(A710, "mmm-yy"), TEXT([2]RUNS!$B$5:$B$208, "mmm-yy"), [2]RUNS!$D$5:$D$208, "Not Found")</f>
        <v>29303.874010831409</v>
      </c>
      <c r="H710" cm="1">
        <f t="array" ref="H710">SUMPRODUCT(
    --(TEXT('[3]Global Weekly Stock (EWSuez'!$B$4:$B$2000,"mmm-yy")=TEXT(A710,"mmm-yy")),
    '[3]Global Weekly Stock (EWSuez'!$E$4:$E$2000)
/
SUMPRODUCT(
    --(TEXT('[3]Global Weekly Stock (EWSuez'!$B$4:$B$2000,"mmm-yy")=TEXT(A710,"mmm-yy"))
)</f>
        <v>11478.8</v>
      </c>
      <c r="I710">
        <f>_xlfn.XLOOKUP(A710,[1]ForwardDeriv!$D:$D,[1]ForwardDeriv!$AJ:$AJ)</f>
        <v>1.0499999999999972</v>
      </c>
      <c r="J710" cm="1">
        <f t="array" ref="J710">_xlfn.XLOOKUP(TEXT(A710, "mmm-yy"), TEXT([2]GASOLINE!$B$5:$B$208, "mmm-yy"), [2]GASOLINE!$IR$5:$IR$208, "Not Found")</f>
        <v>-92.267685305237535</v>
      </c>
      <c r="K710" cm="1">
        <f t="array" ref="K710">_xlfn.XLOOKUP(TEXT(A710, "mmm-yy"), TEXT([2]GASOLINE!$B$5:$B$208, "mmm-yy"), [2]GASOLINE!$IK$5:$IK$208, "Not Found")</f>
        <v>0</v>
      </c>
      <c r="L710">
        <f t="shared" si="11"/>
        <v>1</v>
      </c>
      <c r="M710" cm="1">
        <f t="array" ref="M710">_xlfn.XLOOKUP(TEXT(A710, "mmm-yy"), TEXT([2]GASOLINE!$B$5:$B$208, "mmm-yy"), [2]GASOLINE!$C$5:$C$208, "Not Found")</f>
        <v>7308.5370516901448</v>
      </c>
      <c r="N710" cm="1">
        <f t="array" ref="N710">_xlfn.XLOOKUP(TEXT(A710, "mmm-yy"), TEXT([2]RUNS!$B$5:$B$208, "mmm-yy"), [2]RUNS!$BM$5:$BM$208, "Not Found")</f>
        <v>0.85679082187923494</v>
      </c>
    </row>
    <row r="711" spans="1:14" x14ac:dyDescent="0.25">
      <c r="A711" s="1">
        <f>'[1]Global_Spot Prices'!$B2020</f>
        <v>42998</v>
      </c>
      <c r="B711">
        <f>_xlfn.XLOOKUP(A711,'[1]Global_Spot Prices'!$B:$B,'[1]Global_Spot Prices'!$BS:$BS)</f>
        <v>12.980000000000004</v>
      </c>
      <c r="C711">
        <f>_xlfn.XLOOKUP(A711,'[1]Global_Spot Prices'!$B:$B,'[1]Global_Spot Prices'!$E:$E)</f>
        <v>53.95</v>
      </c>
      <c r="D711">
        <f>_xlfn.XLOOKUP(A711,'[1]Global_Spot Prices'!$B:$B,'[1]Global_Spot Prices'!$D:$D)</f>
        <v>57.034999999999997</v>
      </c>
      <c r="E711">
        <f>_xlfn.XLOOKUP(A711,'[1]Global_Spot Prices'!$B:$B,'[1]Global_Spot Prices'!$H:$H)</f>
        <v>54.61</v>
      </c>
      <c r="F711">
        <f>_xlfn.XLOOKUP(A711,'[1]Global_Spot Prices'!$B:$B,'[1]Global_Spot Prices'!$I:$I)</f>
        <v>66.930000000000007</v>
      </c>
      <c r="G711" cm="1">
        <f t="array" ref="G711">_xlfn.XLOOKUP(TEXT(A711, "mmm-yy"), TEXT([2]RUNS!$B$5:$B$208, "mmm-yy"), [2]RUNS!$D$5:$D$208, "Not Found")</f>
        <v>29303.874010831409</v>
      </c>
      <c r="H711" cm="1">
        <f t="array" ref="H711">SUMPRODUCT(
    --(TEXT('[3]Global Weekly Stock (EWSuez'!$B$4:$B$2000,"mmm-yy")=TEXT(A711,"mmm-yy")),
    '[3]Global Weekly Stock (EWSuez'!$E$4:$E$2000)
/
SUMPRODUCT(
    --(TEXT('[3]Global Weekly Stock (EWSuez'!$B$4:$B$2000,"mmm-yy")=TEXT(A711,"mmm-yy"))
)</f>
        <v>11478.8</v>
      </c>
      <c r="I711">
        <f>_xlfn.XLOOKUP(A711,[1]ForwardDeriv!$D:$D,[1]ForwardDeriv!$AJ:$AJ)</f>
        <v>0.97999999999998977</v>
      </c>
      <c r="J711" cm="1">
        <f t="array" ref="J711">_xlfn.XLOOKUP(TEXT(A711, "mmm-yy"), TEXT([2]GASOLINE!$B$5:$B$208, "mmm-yy"), [2]GASOLINE!$IR$5:$IR$208, "Not Found")</f>
        <v>-92.267685305237535</v>
      </c>
      <c r="K711" cm="1">
        <f t="array" ref="K711">_xlfn.XLOOKUP(TEXT(A711, "mmm-yy"), TEXT([2]GASOLINE!$B$5:$B$208, "mmm-yy"), [2]GASOLINE!$IK$5:$IK$208, "Not Found")</f>
        <v>0</v>
      </c>
      <c r="L711">
        <f t="shared" si="11"/>
        <v>1</v>
      </c>
      <c r="M711" cm="1">
        <f t="array" ref="M711">_xlfn.XLOOKUP(TEXT(A711, "mmm-yy"), TEXT([2]GASOLINE!$B$5:$B$208, "mmm-yy"), [2]GASOLINE!$C$5:$C$208, "Not Found")</f>
        <v>7308.5370516901448</v>
      </c>
      <c r="N711" cm="1">
        <f t="array" ref="N711">_xlfn.XLOOKUP(TEXT(A711, "mmm-yy"), TEXT([2]RUNS!$B$5:$B$208, "mmm-yy"), [2]RUNS!$BM$5:$BM$208, "Not Found")</f>
        <v>0.85679082187923494</v>
      </c>
    </row>
    <row r="712" spans="1:14" x14ac:dyDescent="0.25">
      <c r="A712" s="1">
        <f>'[1]Global_Spot Prices'!$B2021</f>
        <v>42999</v>
      </c>
      <c r="B712">
        <f>_xlfn.XLOOKUP(A712,'[1]Global_Spot Prices'!$B:$B,'[1]Global_Spot Prices'!$BS:$BS)</f>
        <v>12.019999999999996</v>
      </c>
      <c r="C712">
        <f>_xlfn.XLOOKUP(A712,'[1]Global_Spot Prices'!$B:$B,'[1]Global_Spot Prices'!$E:$E)</f>
        <v>54.61</v>
      </c>
      <c r="D712">
        <f>_xlfn.XLOOKUP(A712,'[1]Global_Spot Prices'!$B:$B,'[1]Global_Spot Prices'!$D:$D)</f>
        <v>57.23</v>
      </c>
      <c r="E712">
        <f>_xlfn.XLOOKUP(A712,'[1]Global_Spot Prices'!$B:$B,'[1]Global_Spot Prices'!$H:$H)</f>
        <v>55.46</v>
      </c>
      <c r="F712">
        <f>_xlfn.XLOOKUP(A712,'[1]Global_Spot Prices'!$B:$B,'[1]Global_Spot Prices'!$I:$I)</f>
        <v>66.63</v>
      </c>
      <c r="G712" cm="1">
        <f t="array" ref="G712">_xlfn.XLOOKUP(TEXT(A712, "mmm-yy"), TEXT([2]RUNS!$B$5:$B$208, "mmm-yy"), [2]RUNS!$D$5:$D$208, "Not Found")</f>
        <v>29303.874010831409</v>
      </c>
      <c r="H712" cm="1">
        <f t="array" ref="H712">SUMPRODUCT(
    --(TEXT('[3]Global Weekly Stock (EWSuez'!$B$4:$B$2000,"mmm-yy")=TEXT(A712,"mmm-yy")),
    '[3]Global Weekly Stock (EWSuez'!$E$4:$E$2000)
/
SUMPRODUCT(
    --(TEXT('[3]Global Weekly Stock (EWSuez'!$B$4:$B$2000,"mmm-yy")=TEXT(A712,"mmm-yy"))
)</f>
        <v>11478.8</v>
      </c>
      <c r="I712">
        <f>_xlfn.XLOOKUP(A712,[1]ForwardDeriv!$D:$D,[1]ForwardDeriv!$AJ:$AJ)</f>
        <v>0.73000000000000398</v>
      </c>
      <c r="J712" cm="1">
        <f t="array" ref="J712">_xlfn.XLOOKUP(TEXT(A712, "mmm-yy"), TEXT([2]GASOLINE!$B$5:$B$208, "mmm-yy"), [2]GASOLINE!$IR$5:$IR$208, "Not Found")</f>
        <v>-92.267685305237535</v>
      </c>
      <c r="K712" cm="1">
        <f t="array" ref="K712">_xlfn.XLOOKUP(TEXT(A712, "mmm-yy"), TEXT([2]GASOLINE!$B$5:$B$208, "mmm-yy"), [2]GASOLINE!$IK$5:$IK$208, "Not Found")</f>
        <v>0</v>
      </c>
      <c r="L712">
        <f t="shared" si="11"/>
        <v>1</v>
      </c>
      <c r="M712" cm="1">
        <f t="array" ref="M712">_xlfn.XLOOKUP(TEXT(A712, "mmm-yy"), TEXT([2]GASOLINE!$B$5:$B$208, "mmm-yy"), [2]GASOLINE!$C$5:$C$208, "Not Found")</f>
        <v>7308.5370516901448</v>
      </c>
      <c r="N712" cm="1">
        <f t="array" ref="N712">_xlfn.XLOOKUP(TEXT(A712, "mmm-yy"), TEXT([2]RUNS!$B$5:$B$208, "mmm-yy"), [2]RUNS!$BM$5:$BM$208, "Not Found")</f>
        <v>0.85679082187923494</v>
      </c>
    </row>
    <row r="713" spans="1:14" x14ac:dyDescent="0.25">
      <c r="A713" s="1">
        <f>'[1]Global_Spot Prices'!$B2022</f>
        <v>43000</v>
      </c>
      <c r="B713">
        <f>_xlfn.XLOOKUP(A713,'[1]Global_Spot Prices'!$B:$B,'[1]Global_Spot Prices'!$BS:$BS)</f>
        <v>12.470000000000006</v>
      </c>
      <c r="C713">
        <f>_xlfn.XLOOKUP(A713,'[1]Global_Spot Prices'!$B:$B,'[1]Global_Spot Prices'!$E:$E)</f>
        <v>54.65</v>
      </c>
      <c r="D713">
        <f>_xlfn.XLOOKUP(A713,'[1]Global_Spot Prices'!$B:$B,'[1]Global_Spot Prices'!$D:$D)</f>
        <v>57.66</v>
      </c>
      <c r="E713">
        <f>_xlfn.XLOOKUP(A713,'[1]Global_Spot Prices'!$B:$B,'[1]Global_Spot Prices'!$H:$H)</f>
        <v>55.87</v>
      </c>
      <c r="F713">
        <f>_xlfn.XLOOKUP(A713,'[1]Global_Spot Prices'!$B:$B,'[1]Global_Spot Prices'!$I:$I)</f>
        <v>67.12</v>
      </c>
      <c r="G713" cm="1">
        <f t="array" ref="G713">_xlfn.XLOOKUP(TEXT(A713, "mmm-yy"), TEXT([2]RUNS!$B$5:$B$208, "mmm-yy"), [2]RUNS!$D$5:$D$208, "Not Found")</f>
        <v>29303.874010831409</v>
      </c>
      <c r="H713" cm="1">
        <f t="array" ref="H713">SUMPRODUCT(
    --(TEXT('[3]Global Weekly Stock (EWSuez'!$B$4:$B$2000,"mmm-yy")=TEXT(A713,"mmm-yy")),
    '[3]Global Weekly Stock (EWSuez'!$E$4:$E$2000)
/
SUMPRODUCT(
    --(TEXT('[3]Global Weekly Stock (EWSuez'!$B$4:$B$2000,"mmm-yy")=TEXT(A713,"mmm-yy"))
)</f>
        <v>11478.8</v>
      </c>
      <c r="I713">
        <f>_xlfn.XLOOKUP(A713,[1]ForwardDeriv!$D:$D,[1]ForwardDeriv!$AJ:$AJ)</f>
        <v>0.75</v>
      </c>
      <c r="J713" cm="1">
        <f t="array" ref="J713">_xlfn.XLOOKUP(TEXT(A713, "mmm-yy"), TEXT([2]GASOLINE!$B$5:$B$208, "mmm-yy"), [2]GASOLINE!$IR$5:$IR$208, "Not Found")</f>
        <v>-92.267685305237535</v>
      </c>
      <c r="K713" cm="1">
        <f t="array" ref="K713">_xlfn.XLOOKUP(TEXT(A713, "mmm-yy"), TEXT([2]GASOLINE!$B$5:$B$208, "mmm-yy"), [2]GASOLINE!$IK$5:$IK$208, "Not Found")</f>
        <v>0</v>
      </c>
      <c r="L713">
        <f t="shared" si="11"/>
        <v>1</v>
      </c>
      <c r="M713" cm="1">
        <f t="array" ref="M713">_xlfn.XLOOKUP(TEXT(A713, "mmm-yy"), TEXT([2]GASOLINE!$B$5:$B$208, "mmm-yy"), [2]GASOLINE!$C$5:$C$208, "Not Found")</f>
        <v>7308.5370516901448</v>
      </c>
      <c r="N713" cm="1">
        <f t="array" ref="N713">_xlfn.XLOOKUP(TEXT(A713, "mmm-yy"), TEXT([2]RUNS!$B$5:$B$208, "mmm-yy"), [2]RUNS!$BM$5:$BM$208, "Not Found")</f>
        <v>0.85679082187923494</v>
      </c>
    </row>
    <row r="714" spans="1:14" x14ac:dyDescent="0.25">
      <c r="A714" s="1">
        <f>'[1]Global_Spot Prices'!$B2023</f>
        <v>43003</v>
      </c>
      <c r="B714">
        <f>_xlfn.XLOOKUP(A714,'[1]Global_Spot Prices'!$B:$B,'[1]Global_Spot Prices'!$BS:$BS)</f>
        <v>12.840000000000003</v>
      </c>
      <c r="C714">
        <f>_xlfn.XLOOKUP(A714,'[1]Global_Spot Prices'!$B:$B,'[1]Global_Spot Prices'!$E:$E)</f>
        <v>54.81</v>
      </c>
      <c r="D714">
        <f>_xlfn.XLOOKUP(A714,'[1]Global_Spot Prices'!$B:$B,'[1]Global_Spot Prices'!$D:$D)</f>
        <v>59.27</v>
      </c>
      <c r="E714">
        <f>_xlfn.XLOOKUP(A714,'[1]Global_Spot Prices'!$B:$B,'[1]Global_Spot Prices'!$H:$H)</f>
        <v>56.59</v>
      </c>
      <c r="F714">
        <f>_xlfn.XLOOKUP(A714,'[1]Global_Spot Prices'!$B:$B,'[1]Global_Spot Prices'!$I:$I)</f>
        <v>67.650000000000006</v>
      </c>
      <c r="G714" cm="1">
        <f t="array" ref="G714">_xlfn.XLOOKUP(TEXT(A714, "mmm-yy"), TEXT([2]RUNS!$B$5:$B$208, "mmm-yy"), [2]RUNS!$D$5:$D$208, "Not Found")</f>
        <v>29303.874010831409</v>
      </c>
      <c r="H714" cm="1">
        <f t="array" ref="H714">SUMPRODUCT(
    --(TEXT('[3]Global Weekly Stock (EWSuez'!$B$4:$B$2000,"mmm-yy")=TEXT(A714,"mmm-yy")),
    '[3]Global Weekly Stock (EWSuez'!$E$4:$E$2000)
/
SUMPRODUCT(
    --(TEXT('[3]Global Weekly Stock (EWSuez'!$B$4:$B$2000,"mmm-yy")=TEXT(A714,"mmm-yy"))
)</f>
        <v>11478.8</v>
      </c>
      <c r="I714">
        <f>_xlfn.XLOOKUP(A714,[1]ForwardDeriv!$D:$D,[1]ForwardDeriv!$AJ:$AJ)</f>
        <v>1.0100000000000051</v>
      </c>
      <c r="J714" cm="1">
        <f t="array" ref="J714">_xlfn.XLOOKUP(TEXT(A714, "mmm-yy"), TEXT([2]GASOLINE!$B$5:$B$208, "mmm-yy"), [2]GASOLINE!$IR$5:$IR$208, "Not Found")</f>
        <v>-92.267685305237535</v>
      </c>
      <c r="K714" cm="1">
        <f t="array" ref="K714">_xlfn.XLOOKUP(TEXT(A714, "mmm-yy"), TEXT([2]GASOLINE!$B$5:$B$208, "mmm-yy"), [2]GASOLINE!$IK$5:$IK$208, "Not Found")</f>
        <v>0</v>
      </c>
      <c r="L714">
        <f t="shared" si="11"/>
        <v>1</v>
      </c>
      <c r="M714" cm="1">
        <f t="array" ref="M714">_xlfn.XLOOKUP(TEXT(A714, "mmm-yy"), TEXT([2]GASOLINE!$B$5:$B$208, "mmm-yy"), [2]GASOLINE!$C$5:$C$208, "Not Found")</f>
        <v>7308.5370516901448</v>
      </c>
      <c r="N714" cm="1">
        <f t="array" ref="N714">_xlfn.XLOOKUP(TEXT(A714, "mmm-yy"), TEXT([2]RUNS!$B$5:$B$208, "mmm-yy"), [2]RUNS!$BM$5:$BM$208, "Not Found")</f>
        <v>0.85679082187923494</v>
      </c>
    </row>
    <row r="715" spans="1:14" x14ac:dyDescent="0.25">
      <c r="A715" s="1">
        <f>'[1]Global_Spot Prices'!$B2024</f>
        <v>43004</v>
      </c>
      <c r="B715">
        <f>_xlfn.XLOOKUP(A715,'[1]Global_Spot Prices'!$B:$B,'[1]Global_Spot Prices'!$BS:$BS)</f>
        <v>13.189999999999998</v>
      </c>
      <c r="C715">
        <f>_xlfn.XLOOKUP(A715,'[1]Global_Spot Prices'!$B:$B,'[1]Global_Spot Prices'!$E:$E)</f>
        <v>56.09</v>
      </c>
      <c r="D715">
        <f>_xlfn.XLOOKUP(A715,'[1]Global_Spot Prices'!$B:$B,'[1]Global_Spot Prices'!$D:$D)</f>
        <v>59.17</v>
      </c>
      <c r="E715">
        <f>_xlfn.XLOOKUP(A715,'[1]Global_Spot Prices'!$B:$B,'[1]Global_Spot Prices'!$H:$H)</f>
        <v>57.79</v>
      </c>
      <c r="F715">
        <f>_xlfn.XLOOKUP(A715,'[1]Global_Spot Prices'!$B:$B,'[1]Global_Spot Prices'!$I:$I)</f>
        <v>69.28</v>
      </c>
      <c r="G715" cm="1">
        <f t="array" ref="G715">_xlfn.XLOOKUP(TEXT(A715, "mmm-yy"), TEXT([2]RUNS!$B$5:$B$208, "mmm-yy"), [2]RUNS!$D$5:$D$208, "Not Found")</f>
        <v>29303.874010831409</v>
      </c>
      <c r="H715" cm="1">
        <f t="array" ref="H715">SUMPRODUCT(
    --(TEXT('[3]Global Weekly Stock (EWSuez'!$B$4:$B$2000,"mmm-yy")=TEXT(A715,"mmm-yy")),
    '[3]Global Weekly Stock (EWSuez'!$E$4:$E$2000)
/
SUMPRODUCT(
    --(TEXT('[3]Global Weekly Stock (EWSuez'!$B$4:$B$2000,"mmm-yy")=TEXT(A715,"mmm-yy"))
)</f>
        <v>11478.8</v>
      </c>
      <c r="I715">
        <f>_xlfn.XLOOKUP(A715,[1]ForwardDeriv!$D:$D,[1]ForwardDeriv!$AJ:$AJ)</f>
        <v>1.2000000000000028</v>
      </c>
      <c r="J715" cm="1">
        <f t="array" ref="J715">_xlfn.XLOOKUP(TEXT(A715, "mmm-yy"), TEXT([2]GASOLINE!$B$5:$B$208, "mmm-yy"), [2]GASOLINE!$IR$5:$IR$208, "Not Found")</f>
        <v>-92.267685305237535</v>
      </c>
      <c r="K715" cm="1">
        <f t="array" ref="K715">_xlfn.XLOOKUP(TEXT(A715, "mmm-yy"), TEXT([2]GASOLINE!$B$5:$B$208, "mmm-yy"), [2]GASOLINE!$IK$5:$IK$208, "Not Found")</f>
        <v>0</v>
      </c>
      <c r="L715">
        <f t="shared" si="11"/>
        <v>1</v>
      </c>
      <c r="M715" cm="1">
        <f t="array" ref="M715">_xlfn.XLOOKUP(TEXT(A715, "mmm-yy"), TEXT([2]GASOLINE!$B$5:$B$208, "mmm-yy"), [2]GASOLINE!$C$5:$C$208, "Not Found")</f>
        <v>7308.5370516901448</v>
      </c>
      <c r="N715" cm="1">
        <f t="array" ref="N715">_xlfn.XLOOKUP(TEXT(A715, "mmm-yy"), TEXT([2]RUNS!$B$5:$B$208, "mmm-yy"), [2]RUNS!$BM$5:$BM$208, "Not Found")</f>
        <v>0.85679082187923494</v>
      </c>
    </row>
    <row r="716" spans="1:14" x14ac:dyDescent="0.25">
      <c r="A716" s="1">
        <f>'[1]Global_Spot Prices'!$B2025</f>
        <v>43005</v>
      </c>
      <c r="B716">
        <f>_xlfn.XLOOKUP(A716,'[1]Global_Spot Prices'!$B:$B,'[1]Global_Spot Prices'!$BS:$BS)</f>
        <v>12.580000000000005</v>
      </c>
      <c r="C716">
        <f>_xlfn.XLOOKUP(A716,'[1]Global_Spot Prices'!$B:$B,'[1]Global_Spot Prices'!$E:$E)</f>
        <v>55.65</v>
      </c>
      <c r="D716">
        <f>_xlfn.XLOOKUP(A716,'[1]Global_Spot Prices'!$B:$B,'[1]Global_Spot Prices'!$D:$D)</f>
        <v>58.784999999999997</v>
      </c>
      <c r="E716">
        <f>_xlfn.XLOOKUP(A716,'[1]Global_Spot Prices'!$B:$B,'[1]Global_Spot Prices'!$H:$H)</f>
        <v>57.37</v>
      </c>
      <c r="F716">
        <f>_xlfn.XLOOKUP(A716,'[1]Global_Spot Prices'!$B:$B,'[1]Global_Spot Prices'!$I:$I)</f>
        <v>68.23</v>
      </c>
      <c r="G716" cm="1">
        <f t="array" ref="G716">_xlfn.XLOOKUP(TEXT(A716, "mmm-yy"), TEXT([2]RUNS!$B$5:$B$208, "mmm-yy"), [2]RUNS!$D$5:$D$208, "Not Found")</f>
        <v>29303.874010831409</v>
      </c>
      <c r="H716" cm="1">
        <f t="array" ref="H716">SUMPRODUCT(
    --(TEXT('[3]Global Weekly Stock (EWSuez'!$B$4:$B$2000,"mmm-yy")=TEXT(A716,"mmm-yy")),
    '[3]Global Weekly Stock (EWSuez'!$E$4:$E$2000)
/
SUMPRODUCT(
    --(TEXT('[3]Global Weekly Stock (EWSuez'!$B$4:$B$2000,"mmm-yy")=TEXT(A716,"mmm-yy"))
)</f>
        <v>11478.8</v>
      </c>
      <c r="I716">
        <f>_xlfn.XLOOKUP(A716,[1]ForwardDeriv!$D:$D,[1]ForwardDeriv!$AJ:$AJ)</f>
        <v>1.0099999999999909</v>
      </c>
      <c r="J716" cm="1">
        <f t="array" ref="J716">_xlfn.XLOOKUP(TEXT(A716, "mmm-yy"), TEXT([2]GASOLINE!$B$5:$B$208, "mmm-yy"), [2]GASOLINE!$IR$5:$IR$208, "Not Found")</f>
        <v>-92.267685305237535</v>
      </c>
      <c r="K716" cm="1">
        <f t="array" ref="K716">_xlfn.XLOOKUP(TEXT(A716, "mmm-yy"), TEXT([2]GASOLINE!$B$5:$B$208, "mmm-yy"), [2]GASOLINE!$IK$5:$IK$208, "Not Found")</f>
        <v>0</v>
      </c>
      <c r="L716">
        <f t="shared" si="11"/>
        <v>1</v>
      </c>
      <c r="M716" cm="1">
        <f t="array" ref="M716">_xlfn.XLOOKUP(TEXT(A716, "mmm-yy"), TEXT([2]GASOLINE!$B$5:$B$208, "mmm-yy"), [2]GASOLINE!$C$5:$C$208, "Not Found")</f>
        <v>7308.5370516901448</v>
      </c>
      <c r="N716" cm="1">
        <f t="array" ref="N716">_xlfn.XLOOKUP(TEXT(A716, "mmm-yy"), TEXT([2]RUNS!$B$5:$B$208, "mmm-yy"), [2]RUNS!$BM$5:$BM$208, "Not Found")</f>
        <v>0.85679082187923494</v>
      </c>
    </row>
    <row r="717" spans="1:14" x14ac:dyDescent="0.25">
      <c r="A717" s="1">
        <f>'[1]Global_Spot Prices'!$B2026</f>
        <v>43006</v>
      </c>
      <c r="B717">
        <f>_xlfn.XLOOKUP(A717,'[1]Global_Spot Prices'!$B:$B,'[1]Global_Spot Prices'!$BS:$BS)</f>
        <v>11.649999999999991</v>
      </c>
      <c r="C717">
        <f>_xlfn.XLOOKUP(A717,'[1]Global_Spot Prices'!$B:$B,'[1]Global_Spot Prices'!$E:$E)</f>
        <v>55.59</v>
      </c>
      <c r="D717">
        <f>_xlfn.XLOOKUP(A717,'[1]Global_Spot Prices'!$B:$B,'[1]Global_Spot Prices'!$D:$D)</f>
        <v>58.424999999999997</v>
      </c>
      <c r="E717">
        <f>_xlfn.XLOOKUP(A717,'[1]Global_Spot Prices'!$B:$B,'[1]Global_Spot Prices'!$H:$H)</f>
        <v>56.97</v>
      </c>
      <c r="F717">
        <f>_xlfn.XLOOKUP(A717,'[1]Global_Spot Prices'!$B:$B,'[1]Global_Spot Prices'!$I:$I)</f>
        <v>67.239999999999995</v>
      </c>
      <c r="G717" cm="1">
        <f t="array" ref="G717">_xlfn.XLOOKUP(TEXT(A717, "mmm-yy"), TEXT([2]RUNS!$B$5:$B$208, "mmm-yy"), [2]RUNS!$D$5:$D$208, "Not Found")</f>
        <v>29303.874010831409</v>
      </c>
      <c r="H717" cm="1">
        <f t="array" ref="H717">SUMPRODUCT(
    --(TEXT('[3]Global Weekly Stock (EWSuez'!$B$4:$B$2000,"mmm-yy")=TEXT(A717,"mmm-yy")),
    '[3]Global Weekly Stock (EWSuez'!$E$4:$E$2000)
/
SUMPRODUCT(
    --(TEXT('[3]Global Weekly Stock (EWSuez'!$B$4:$B$2000,"mmm-yy")=TEXT(A717,"mmm-yy"))
)</f>
        <v>11478.8</v>
      </c>
      <c r="I717">
        <f>_xlfn.XLOOKUP(A717,[1]ForwardDeriv!$D:$D,[1]ForwardDeriv!$AJ:$AJ)</f>
        <v>0.89000000000000057</v>
      </c>
      <c r="J717" cm="1">
        <f t="array" ref="J717">_xlfn.XLOOKUP(TEXT(A717, "mmm-yy"), TEXT([2]GASOLINE!$B$5:$B$208, "mmm-yy"), [2]GASOLINE!$IR$5:$IR$208, "Not Found")</f>
        <v>-92.267685305237535</v>
      </c>
      <c r="K717" cm="1">
        <f t="array" ref="K717">_xlfn.XLOOKUP(TEXT(A717, "mmm-yy"), TEXT([2]GASOLINE!$B$5:$B$208, "mmm-yy"), [2]GASOLINE!$IK$5:$IK$208, "Not Found")</f>
        <v>0</v>
      </c>
      <c r="L717">
        <f t="shared" si="11"/>
        <v>1</v>
      </c>
      <c r="M717" cm="1">
        <f t="array" ref="M717">_xlfn.XLOOKUP(TEXT(A717, "mmm-yy"), TEXT([2]GASOLINE!$B$5:$B$208, "mmm-yy"), [2]GASOLINE!$C$5:$C$208, "Not Found")</f>
        <v>7308.5370516901448</v>
      </c>
      <c r="N717" cm="1">
        <f t="array" ref="N717">_xlfn.XLOOKUP(TEXT(A717, "mmm-yy"), TEXT([2]RUNS!$B$5:$B$208, "mmm-yy"), [2]RUNS!$BM$5:$BM$208, "Not Found")</f>
        <v>0.85679082187923494</v>
      </c>
    </row>
    <row r="718" spans="1:14" x14ac:dyDescent="0.25">
      <c r="A718" s="1">
        <f>'[1]Global_Spot Prices'!$B2027</f>
        <v>43007</v>
      </c>
      <c r="B718">
        <f>_xlfn.XLOOKUP(A718,'[1]Global_Spot Prices'!$B:$B,'[1]Global_Spot Prices'!$BS:$BS)</f>
        <v>12.649999999999991</v>
      </c>
      <c r="C718">
        <f>_xlfn.XLOOKUP(A718,'[1]Global_Spot Prices'!$B:$B,'[1]Global_Spot Prices'!$E:$E)</f>
        <v>55.2</v>
      </c>
      <c r="D718">
        <f>_xlfn.XLOOKUP(A718,'[1]Global_Spot Prices'!$B:$B,'[1]Global_Spot Prices'!$D:$D)</f>
        <v>57.17</v>
      </c>
      <c r="E718">
        <f>_xlfn.XLOOKUP(A718,'[1]Global_Spot Prices'!$B:$B,'[1]Global_Spot Prices'!$H:$H)</f>
        <v>56.97</v>
      </c>
      <c r="F718">
        <f>_xlfn.XLOOKUP(A718,'[1]Global_Spot Prices'!$B:$B,'[1]Global_Spot Prices'!$I:$I)</f>
        <v>67.849999999999994</v>
      </c>
      <c r="G718" cm="1">
        <f t="array" ref="G718">_xlfn.XLOOKUP(TEXT(A718, "mmm-yy"), TEXT([2]RUNS!$B$5:$B$208, "mmm-yy"), [2]RUNS!$D$5:$D$208, "Not Found")</f>
        <v>29303.874010831409</v>
      </c>
      <c r="H718" cm="1">
        <f t="array" ref="H718">SUMPRODUCT(
    --(TEXT('[3]Global Weekly Stock (EWSuez'!$B$4:$B$2000,"mmm-yy")=TEXT(A718,"mmm-yy")),
    '[3]Global Weekly Stock (EWSuez'!$E$4:$E$2000)
/
SUMPRODUCT(
    --(TEXT('[3]Global Weekly Stock (EWSuez'!$B$4:$B$2000,"mmm-yy")=TEXT(A718,"mmm-yy"))
)</f>
        <v>11478.8</v>
      </c>
      <c r="I718">
        <f>_xlfn.XLOOKUP(A718,[1]ForwardDeriv!$D:$D,[1]ForwardDeriv!$AJ:$AJ)</f>
        <v>1.0200000000000102</v>
      </c>
      <c r="J718" cm="1">
        <f t="array" ref="J718">_xlfn.XLOOKUP(TEXT(A718, "mmm-yy"), TEXT([2]GASOLINE!$B$5:$B$208, "mmm-yy"), [2]GASOLINE!$IR$5:$IR$208, "Not Found")</f>
        <v>-92.267685305237535</v>
      </c>
      <c r="K718" cm="1">
        <f t="array" ref="K718">_xlfn.XLOOKUP(TEXT(A718, "mmm-yy"), TEXT([2]GASOLINE!$B$5:$B$208, "mmm-yy"), [2]GASOLINE!$IK$5:$IK$208, "Not Found")</f>
        <v>0</v>
      </c>
      <c r="L718">
        <f t="shared" si="11"/>
        <v>1</v>
      </c>
      <c r="M718" cm="1">
        <f t="array" ref="M718">_xlfn.XLOOKUP(TEXT(A718, "mmm-yy"), TEXT([2]GASOLINE!$B$5:$B$208, "mmm-yy"), [2]GASOLINE!$C$5:$C$208, "Not Found")</f>
        <v>7308.5370516901448</v>
      </c>
      <c r="N718" cm="1">
        <f t="array" ref="N718">_xlfn.XLOOKUP(TEXT(A718, "mmm-yy"), TEXT([2]RUNS!$B$5:$B$208, "mmm-yy"), [2]RUNS!$BM$5:$BM$208, "Not Found")</f>
        <v>0.85679082187923494</v>
      </c>
    </row>
    <row r="719" spans="1:14" x14ac:dyDescent="0.25">
      <c r="A719" s="1">
        <f>'[1]Global_Spot Prices'!$B2028</f>
        <v>43010</v>
      </c>
      <c r="B719">
        <f>_xlfn.XLOOKUP(A719,'[1]Global_Spot Prices'!$B:$B,'[1]Global_Spot Prices'!$BS:$BS)</f>
        <v>11.290000000000006</v>
      </c>
      <c r="C719">
        <f>_xlfn.XLOOKUP(A719,'[1]Global_Spot Prices'!$B:$B,'[1]Global_Spot Prices'!$E:$E)</f>
        <v>55.16</v>
      </c>
      <c r="D719">
        <f>_xlfn.XLOOKUP(A719,'[1]Global_Spot Prices'!$B:$B,'[1]Global_Spot Prices'!$D:$D)</f>
        <v>55.814999999999998</v>
      </c>
      <c r="E719">
        <f>_xlfn.XLOOKUP(A719,'[1]Global_Spot Prices'!$B:$B,'[1]Global_Spot Prices'!$H:$H)</f>
        <v>56.17</v>
      </c>
      <c r="F719">
        <f>_xlfn.XLOOKUP(A719,'[1]Global_Spot Prices'!$B:$B,'[1]Global_Spot Prices'!$I:$I)</f>
        <v>66.45</v>
      </c>
      <c r="G719" cm="1">
        <f t="array" ref="G719">_xlfn.XLOOKUP(TEXT(A719, "mmm-yy"), TEXT([2]RUNS!$B$5:$B$208, "mmm-yy"), [2]RUNS!$D$5:$D$208, "Not Found")</f>
        <v>29274.791723972456</v>
      </c>
      <c r="H719" cm="1">
        <f t="array" ref="H719">SUMPRODUCT(
    --(TEXT('[3]Global Weekly Stock (EWSuez'!$B$4:$B$2000,"mmm-yy")=TEXT(A719,"mmm-yy")),
    '[3]Global Weekly Stock (EWSuez'!$E$4:$E$2000)
/
SUMPRODUCT(
    --(TEXT('[3]Global Weekly Stock (EWSuez'!$B$4:$B$2000,"mmm-yy")=TEXT(A719,"mmm-yy"))
)</f>
        <v>11301</v>
      </c>
      <c r="I719">
        <f>_xlfn.XLOOKUP(A719,[1]ForwardDeriv!$D:$D,[1]ForwardDeriv!$AJ:$AJ)</f>
        <v>0.46000000000000796</v>
      </c>
      <c r="J719" cm="1">
        <f t="array" ref="J719">_xlfn.XLOOKUP(TEXT(A719, "mmm-yy"), TEXT([2]GASOLINE!$B$5:$B$208, "mmm-yy"), [2]GASOLINE!$IR$5:$IR$208, "Not Found")</f>
        <v>30.020642677538717</v>
      </c>
      <c r="K719" cm="1">
        <f t="array" ref="K719">_xlfn.XLOOKUP(TEXT(A719, "mmm-yy"), TEXT([2]GASOLINE!$B$5:$B$208, "mmm-yy"), [2]GASOLINE!$IK$5:$IK$208, "Not Found")</f>
        <v>0</v>
      </c>
      <c r="L719">
        <f t="shared" si="11"/>
        <v>0</v>
      </c>
      <c r="M719" cm="1">
        <f t="array" ref="M719">_xlfn.XLOOKUP(TEXT(A719, "mmm-yy"), TEXT([2]GASOLINE!$B$5:$B$208, "mmm-yy"), [2]GASOLINE!$C$5:$C$208, "Not Found")</f>
        <v>7003.1548535075272</v>
      </c>
      <c r="N719" cm="1">
        <f t="array" ref="N719">_xlfn.XLOOKUP(TEXT(A719, "mmm-yy"), TEXT([2]RUNS!$B$5:$B$208, "mmm-yy"), [2]RUNS!$BM$5:$BM$208, "Not Found")</f>
        <v>0.85210624476718499</v>
      </c>
    </row>
    <row r="720" spans="1:14" x14ac:dyDescent="0.25">
      <c r="A720" s="1">
        <f>'[1]Global_Spot Prices'!$B2029</f>
        <v>43011</v>
      </c>
      <c r="B720">
        <f>_xlfn.XLOOKUP(A720,'[1]Global_Spot Prices'!$B:$B,'[1]Global_Spot Prices'!$BS:$BS)</f>
        <v>10.650000000000006</v>
      </c>
      <c r="C720">
        <f>_xlfn.XLOOKUP(A720,'[1]Global_Spot Prices'!$B:$B,'[1]Global_Spot Prices'!$E:$E)</f>
        <v>54.5</v>
      </c>
      <c r="D720">
        <f>_xlfn.XLOOKUP(A720,'[1]Global_Spot Prices'!$B:$B,'[1]Global_Spot Prices'!$D:$D)</f>
        <v>56.325000000000003</v>
      </c>
      <c r="E720">
        <f>_xlfn.XLOOKUP(A720,'[1]Global_Spot Prices'!$B:$B,'[1]Global_Spot Prices'!$H:$H)</f>
        <v>55.13</v>
      </c>
      <c r="F720">
        <f>_xlfn.XLOOKUP(A720,'[1]Global_Spot Prices'!$B:$B,'[1]Global_Spot Prices'!$I:$I)</f>
        <v>65.150000000000006</v>
      </c>
      <c r="G720" cm="1">
        <f t="array" ref="G720">_xlfn.XLOOKUP(TEXT(A720, "mmm-yy"), TEXT([2]RUNS!$B$5:$B$208, "mmm-yy"), [2]RUNS!$D$5:$D$208, "Not Found")</f>
        <v>29274.791723972456</v>
      </c>
      <c r="H720" cm="1">
        <f t="array" ref="H720">SUMPRODUCT(
    --(TEXT('[3]Global Weekly Stock (EWSuez'!$B$4:$B$2000,"mmm-yy")=TEXT(A720,"mmm-yy")),
    '[3]Global Weekly Stock (EWSuez'!$E$4:$E$2000)
/
SUMPRODUCT(
    --(TEXT('[3]Global Weekly Stock (EWSuez'!$B$4:$B$2000,"mmm-yy")=TEXT(A720,"mmm-yy"))
)</f>
        <v>11301</v>
      </c>
      <c r="I720">
        <f>_xlfn.XLOOKUP(A720,[1]ForwardDeriv!$D:$D,[1]ForwardDeriv!$AJ:$AJ)</f>
        <v>0.42999999999999972</v>
      </c>
      <c r="J720" cm="1">
        <f t="array" ref="J720">_xlfn.XLOOKUP(TEXT(A720, "mmm-yy"), TEXT([2]GASOLINE!$B$5:$B$208, "mmm-yy"), [2]GASOLINE!$IR$5:$IR$208, "Not Found")</f>
        <v>30.020642677538717</v>
      </c>
      <c r="K720" cm="1">
        <f t="array" ref="K720">_xlfn.XLOOKUP(TEXT(A720, "mmm-yy"), TEXT([2]GASOLINE!$B$5:$B$208, "mmm-yy"), [2]GASOLINE!$IK$5:$IK$208, "Not Found")</f>
        <v>0</v>
      </c>
      <c r="L720">
        <f t="shared" si="11"/>
        <v>0</v>
      </c>
      <c r="M720" cm="1">
        <f t="array" ref="M720">_xlfn.XLOOKUP(TEXT(A720, "mmm-yy"), TEXT([2]GASOLINE!$B$5:$B$208, "mmm-yy"), [2]GASOLINE!$C$5:$C$208, "Not Found")</f>
        <v>7003.1548535075272</v>
      </c>
      <c r="N720" cm="1">
        <f t="array" ref="N720">_xlfn.XLOOKUP(TEXT(A720, "mmm-yy"), TEXT([2]RUNS!$B$5:$B$208, "mmm-yy"), [2]RUNS!$BM$5:$BM$208, "Not Found")</f>
        <v>0.85210624476718499</v>
      </c>
    </row>
    <row r="721" spans="1:14" x14ac:dyDescent="0.25">
      <c r="A721" s="1">
        <f>'[1]Global_Spot Prices'!$B2030</f>
        <v>43012</v>
      </c>
      <c r="B721">
        <f>_xlfn.XLOOKUP(A721,'[1]Global_Spot Prices'!$B:$B,'[1]Global_Spot Prices'!$BS:$BS)</f>
        <v>11.060000000000002</v>
      </c>
      <c r="C721">
        <f>_xlfn.XLOOKUP(A721,'[1]Global_Spot Prices'!$B:$B,'[1]Global_Spot Prices'!$E:$E)</f>
        <v>53.95</v>
      </c>
      <c r="D721">
        <f>_xlfn.XLOOKUP(A721,'[1]Global_Spot Prices'!$B:$B,'[1]Global_Spot Prices'!$D:$D)</f>
        <v>56.174999999999997</v>
      </c>
      <c r="E721">
        <f>_xlfn.XLOOKUP(A721,'[1]Global_Spot Prices'!$B:$B,'[1]Global_Spot Prices'!$H:$H)</f>
        <v>54.5</v>
      </c>
      <c r="F721">
        <f>_xlfn.XLOOKUP(A721,'[1]Global_Spot Prices'!$B:$B,'[1]Global_Spot Prices'!$I:$I)</f>
        <v>65.010000000000005</v>
      </c>
      <c r="G721" cm="1">
        <f t="array" ref="G721">_xlfn.XLOOKUP(TEXT(A721, "mmm-yy"), TEXT([2]RUNS!$B$5:$B$208, "mmm-yy"), [2]RUNS!$D$5:$D$208, "Not Found")</f>
        <v>29274.791723972456</v>
      </c>
      <c r="H721" cm="1">
        <f t="array" ref="H721">SUMPRODUCT(
    --(TEXT('[3]Global Weekly Stock (EWSuez'!$B$4:$B$2000,"mmm-yy")=TEXT(A721,"mmm-yy")),
    '[3]Global Weekly Stock (EWSuez'!$E$4:$E$2000)
/
SUMPRODUCT(
    --(TEXT('[3]Global Weekly Stock (EWSuez'!$B$4:$B$2000,"mmm-yy")=TEXT(A721,"mmm-yy"))
)</f>
        <v>11301</v>
      </c>
      <c r="I721">
        <f>_xlfn.XLOOKUP(A721,[1]ForwardDeriv!$D:$D,[1]ForwardDeriv!$AJ:$AJ)</f>
        <v>0.47999999999999687</v>
      </c>
      <c r="J721" cm="1">
        <f t="array" ref="J721">_xlfn.XLOOKUP(TEXT(A721, "mmm-yy"), TEXT([2]GASOLINE!$B$5:$B$208, "mmm-yy"), [2]GASOLINE!$IR$5:$IR$208, "Not Found")</f>
        <v>30.020642677538717</v>
      </c>
      <c r="K721" cm="1">
        <f t="array" ref="K721">_xlfn.XLOOKUP(TEXT(A721, "mmm-yy"), TEXT([2]GASOLINE!$B$5:$B$208, "mmm-yy"), [2]GASOLINE!$IK$5:$IK$208, "Not Found")</f>
        <v>0</v>
      </c>
      <c r="L721">
        <f t="shared" si="11"/>
        <v>0</v>
      </c>
      <c r="M721" cm="1">
        <f t="array" ref="M721">_xlfn.XLOOKUP(TEXT(A721, "mmm-yy"), TEXT([2]GASOLINE!$B$5:$B$208, "mmm-yy"), [2]GASOLINE!$C$5:$C$208, "Not Found")</f>
        <v>7003.1548535075272</v>
      </c>
      <c r="N721" cm="1">
        <f t="array" ref="N721">_xlfn.XLOOKUP(TEXT(A721, "mmm-yy"), TEXT([2]RUNS!$B$5:$B$208, "mmm-yy"), [2]RUNS!$BM$5:$BM$208, "Not Found")</f>
        <v>0.85210624476718499</v>
      </c>
    </row>
    <row r="722" spans="1:14" x14ac:dyDescent="0.25">
      <c r="A722" s="1">
        <f>'[1]Global_Spot Prices'!$B2031</f>
        <v>43013</v>
      </c>
      <c r="B722">
        <f>_xlfn.XLOOKUP(A722,'[1]Global_Spot Prices'!$B:$B,'[1]Global_Spot Prices'!$BS:$BS)</f>
        <v>12.370000000000005</v>
      </c>
      <c r="C722">
        <f>_xlfn.XLOOKUP(A722,'[1]Global_Spot Prices'!$B:$B,'[1]Global_Spot Prices'!$E:$E)</f>
        <v>54.41</v>
      </c>
      <c r="D722">
        <f>_xlfn.XLOOKUP(A722,'[1]Global_Spot Prices'!$B:$B,'[1]Global_Spot Prices'!$D:$D)</f>
        <v>57.185000000000002</v>
      </c>
      <c r="E722">
        <f>_xlfn.XLOOKUP(A722,'[1]Global_Spot Prices'!$B:$B,'[1]Global_Spot Prices'!$H:$H)</f>
        <v>56</v>
      </c>
      <c r="F722">
        <f>_xlfn.XLOOKUP(A722,'[1]Global_Spot Prices'!$B:$B,'[1]Global_Spot Prices'!$I:$I)</f>
        <v>66.78</v>
      </c>
      <c r="G722" cm="1">
        <f t="array" ref="G722">_xlfn.XLOOKUP(TEXT(A722, "mmm-yy"), TEXT([2]RUNS!$B$5:$B$208, "mmm-yy"), [2]RUNS!$D$5:$D$208, "Not Found")</f>
        <v>29274.791723972456</v>
      </c>
      <c r="H722" cm="1">
        <f t="array" ref="H722">SUMPRODUCT(
    --(TEXT('[3]Global Weekly Stock (EWSuez'!$B$4:$B$2000,"mmm-yy")=TEXT(A722,"mmm-yy")),
    '[3]Global Weekly Stock (EWSuez'!$E$4:$E$2000)
/
SUMPRODUCT(
    --(TEXT('[3]Global Weekly Stock (EWSuez'!$B$4:$B$2000,"mmm-yy")=TEXT(A722,"mmm-yy"))
)</f>
        <v>11301</v>
      </c>
      <c r="I722">
        <f>_xlfn.XLOOKUP(A722,[1]ForwardDeriv!$D:$D,[1]ForwardDeriv!$AJ:$AJ)</f>
        <v>0.68999999999999773</v>
      </c>
      <c r="J722" cm="1">
        <f t="array" ref="J722">_xlfn.XLOOKUP(TEXT(A722, "mmm-yy"), TEXT([2]GASOLINE!$B$5:$B$208, "mmm-yy"), [2]GASOLINE!$IR$5:$IR$208, "Not Found")</f>
        <v>30.020642677538717</v>
      </c>
      <c r="K722" cm="1">
        <f t="array" ref="K722">_xlfn.XLOOKUP(TEXT(A722, "mmm-yy"), TEXT([2]GASOLINE!$B$5:$B$208, "mmm-yy"), [2]GASOLINE!$IK$5:$IK$208, "Not Found")</f>
        <v>0</v>
      </c>
      <c r="L722">
        <f t="shared" si="11"/>
        <v>0</v>
      </c>
      <c r="M722" cm="1">
        <f t="array" ref="M722">_xlfn.XLOOKUP(TEXT(A722, "mmm-yy"), TEXT([2]GASOLINE!$B$5:$B$208, "mmm-yy"), [2]GASOLINE!$C$5:$C$208, "Not Found")</f>
        <v>7003.1548535075272</v>
      </c>
      <c r="N722" cm="1">
        <f t="array" ref="N722">_xlfn.XLOOKUP(TEXT(A722, "mmm-yy"), TEXT([2]RUNS!$B$5:$B$208, "mmm-yy"), [2]RUNS!$BM$5:$BM$208, "Not Found")</f>
        <v>0.85210624476718499</v>
      </c>
    </row>
    <row r="723" spans="1:14" x14ac:dyDescent="0.25">
      <c r="A723" s="1">
        <f>'[1]Global_Spot Prices'!$B2032</f>
        <v>43014</v>
      </c>
      <c r="B723">
        <f>_xlfn.XLOOKUP(A723,'[1]Global_Spot Prices'!$B:$B,'[1]Global_Spot Prices'!$BS:$BS)</f>
        <v>12.040000000000006</v>
      </c>
      <c r="C723">
        <f>_xlfn.XLOOKUP(A723,'[1]Global_Spot Prices'!$B:$B,'[1]Global_Spot Prices'!$E:$E)</f>
        <v>55.25</v>
      </c>
      <c r="D723">
        <f>_xlfn.XLOOKUP(A723,'[1]Global_Spot Prices'!$B:$B,'[1]Global_Spot Prices'!$D:$D)</f>
        <v>55.185000000000002</v>
      </c>
      <c r="E723">
        <f>_xlfn.XLOOKUP(A723,'[1]Global_Spot Prices'!$B:$B,'[1]Global_Spot Prices'!$H:$H)</f>
        <v>56.98</v>
      </c>
      <c r="F723">
        <f>_xlfn.XLOOKUP(A723,'[1]Global_Spot Prices'!$B:$B,'[1]Global_Spot Prices'!$I:$I)</f>
        <v>67.290000000000006</v>
      </c>
      <c r="G723" cm="1">
        <f t="array" ref="G723">_xlfn.XLOOKUP(TEXT(A723, "mmm-yy"), TEXT([2]RUNS!$B$5:$B$208, "mmm-yy"), [2]RUNS!$D$5:$D$208, "Not Found")</f>
        <v>29274.791723972456</v>
      </c>
      <c r="H723" cm="1">
        <f t="array" ref="H723">SUMPRODUCT(
    --(TEXT('[3]Global Weekly Stock (EWSuez'!$B$4:$B$2000,"mmm-yy")=TEXT(A723,"mmm-yy")),
    '[3]Global Weekly Stock (EWSuez'!$E$4:$E$2000)
/
SUMPRODUCT(
    --(TEXT('[3]Global Weekly Stock (EWSuez'!$B$4:$B$2000,"mmm-yy")=TEXT(A723,"mmm-yy"))
)</f>
        <v>11301</v>
      </c>
      <c r="I723">
        <f>_xlfn.XLOOKUP(A723,[1]ForwardDeriv!$D:$D,[1]ForwardDeriv!$AJ:$AJ)</f>
        <v>0.81000000000000227</v>
      </c>
      <c r="J723" cm="1">
        <f t="array" ref="J723">_xlfn.XLOOKUP(TEXT(A723, "mmm-yy"), TEXT([2]GASOLINE!$B$5:$B$208, "mmm-yy"), [2]GASOLINE!$IR$5:$IR$208, "Not Found")</f>
        <v>30.020642677538717</v>
      </c>
      <c r="K723" cm="1">
        <f t="array" ref="K723">_xlfn.XLOOKUP(TEXT(A723, "mmm-yy"), TEXT([2]GASOLINE!$B$5:$B$208, "mmm-yy"), [2]GASOLINE!$IK$5:$IK$208, "Not Found")</f>
        <v>0</v>
      </c>
      <c r="L723">
        <f t="shared" si="11"/>
        <v>0</v>
      </c>
      <c r="M723" cm="1">
        <f t="array" ref="M723">_xlfn.XLOOKUP(TEXT(A723, "mmm-yy"), TEXT([2]GASOLINE!$B$5:$B$208, "mmm-yy"), [2]GASOLINE!$C$5:$C$208, "Not Found")</f>
        <v>7003.1548535075272</v>
      </c>
      <c r="N723" cm="1">
        <f t="array" ref="N723">_xlfn.XLOOKUP(TEXT(A723, "mmm-yy"), TEXT([2]RUNS!$B$5:$B$208, "mmm-yy"), [2]RUNS!$BM$5:$BM$208, "Not Found")</f>
        <v>0.85210624476718499</v>
      </c>
    </row>
    <row r="724" spans="1:14" x14ac:dyDescent="0.25">
      <c r="A724" s="1">
        <f>'[1]Global_Spot Prices'!$B2033</f>
        <v>43017</v>
      </c>
      <c r="B724">
        <f>_xlfn.XLOOKUP(A724,'[1]Global_Spot Prices'!$B:$B,'[1]Global_Spot Prices'!$BS:$BS)</f>
        <v>11.46</v>
      </c>
      <c r="C724">
        <f>_xlfn.XLOOKUP(A724,'[1]Global_Spot Prices'!$B:$B,'[1]Global_Spot Prices'!$E:$E)</f>
        <v>53.73</v>
      </c>
      <c r="D724">
        <f>_xlfn.XLOOKUP(A724,'[1]Global_Spot Prices'!$B:$B,'[1]Global_Spot Prices'!$D:$D)</f>
        <v>55.365000000000002</v>
      </c>
      <c r="E724">
        <f>_xlfn.XLOOKUP(A724,'[1]Global_Spot Prices'!$B:$B,'[1]Global_Spot Prices'!$H:$H)</f>
        <v>55.2</v>
      </c>
      <c r="F724">
        <f>_xlfn.XLOOKUP(A724,'[1]Global_Spot Prices'!$B:$B,'[1]Global_Spot Prices'!$I:$I)</f>
        <v>65.19</v>
      </c>
      <c r="G724" cm="1">
        <f t="array" ref="G724">_xlfn.XLOOKUP(TEXT(A724, "mmm-yy"), TEXT([2]RUNS!$B$5:$B$208, "mmm-yy"), [2]RUNS!$D$5:$D$208, "Not Found")</f>
        <v>29274.791723972456</v>
      </c>
      <c r="H724" cm="1">
        <f t="array" ref="H724">SUMPRODUCT(
    --(TEXT('[3]Global Weekly Stock (EWSuez'!$B$4:$B$2000,"mmm-yy")=TEXT(A724,"mmm-yy")),
    '[3]Global Weekly Stock (EWSuez'!$E$4:$E$2000)
/
SUMPRODUCT(
    --(TEXT('[3]Global Weekly Stock (EWSuez'!$B$4:$B$2000,"mmm-yy")=TEXT(A724,"mmm-yy"))
)</f>
        <v>11301</v>
      </c>
      <c r="I724">
        <f>_xlfn.XLOOKUP(A724,[1]ForwardDeriv!$D:$D,[1]ForwardDeriv!$AJ:$AJ)</f>
        <v>0.62999999999999545</v>
      </c>
      <c r="J724" cm="1">
        <f t="array" ref="J724">_xlfn.XLOOKUP(TEXT(A724, "mmm-yy"), TEXT([2]GASOLINE!$B$5:$B$208, "mmm-yy"), [2]GASOLINE!$IR$5:$IR$208, "Not Found")</f>
        <v>30.020642677538717</v>
      </c>
      <c r="K724" cm="1">
        <f t="array" ref="K724">_xlfn.XLOOKUP(TEXT(A724, "mmm-yy"), TEXT([2]GASOLINE!$B$5:$B$208, "mmm-yy"), [2]GASOLINE!$IK$5:$IK$208, "Not Found")</f>
        <v>0</v>
      </c>
      <c r="L724">
        <f t="shared" si="11"/>
        <v>0</v>
      </c>
      <c r="M724" cm="1">
        <f t="array" ref="M724">_xlfn.XLOOKUP(TEXT(A724, "mmm-yy"), TEXT([2]GASOLINE!$B$5:$B$208, "mmm-yy"), [2]GASOLINE!$C$5:$C$208, "Not Found")</f>
        <v>7003.1548535075272</v>
      </c>
      <c r="N724" cm="1">
        <f t="array" ref="N724">_xlfn.XLOOKUP(TEXT(A724, "mmm-yy"), TEXT([2]RUNS!$B$5:$B$208, "mmm-yy"), [2]RUNS!$BM$5:$BM$208, "Not Found")</f>
        <v>0.85210624476718499</v>
      </c>
    </row>
    <row r="725" spans="1:14" x14ac:dyDescent="0.25">
      <c r="A725" s="1">
        <f>'[1]Global_Spot Prices'!$B2034</f>
        <v>43018</v>
      </c>
      <c r="B725">
        <f>_xlfn.XLOOKUP(A725,'[1]Global_Spot Prices'!$B:$B,'[1]Global_Spot Prices'!$BS:$BS)</f>
        <v>12.009999999999998</v>
      </c>
      <c r="C725">
        <f>_xlfn.XLOOKUP(A725,'[1]Global_Spot Prices'!$B:$B,'[1]Global_Spot Prices'!$E:$E)</f>
        <v>54.1</v>
      </c>
      <c r="D725">
        <f>_xlfn.XLOOKUP(A725,'[1]Global_Spot Prices'!$B:$B,'[1]Global_Spot Prices'!$D:$D)</f>
        <v>56.475000000000001</v>
      </c>
      <c r="E725">
        <f>_xlfn.XLOOKUP(A725,'[1]Global_Spot Prices'!$B:$B,'[1]Global_Spot Prices'!$H:$H)</f>
        <v>55.59</v>
      </c>
      <c r="F725">
        <f>_xlfn.XLOOKUP(A725,'[1]Global_Spot Prices'!$B:$B,'[1]Global_Spot Prices'!$I:$I)</f>
        <v>66.11</v>
      </c>
      <c r="G725" cm="1">
        <f t="array" ref="G725">_xlfn.XLOOKUP(TEXT(A725, "mmm-yy"), TEXT([2]RUNS!$B$5:$B$208, "mmm-yy"), [2]RUNS!$D$5:$D$208, "Not Found")</f>
        <v>29274.791723972456</v>
      </c>
      <c r="H725" cm="1">
        <f t="array" ref="H725">SUMPRODUCT(
    --(TEXT('[3]Global Weekly Stock (EWSuez'!$B$4:$B$2000,"mmm-yy")=TEXT(A725,"mmm-yy")),
    '[3]Global Weekly Stock (EWSuez'!$E$4:$E$2000)
/
SUMPRODUCT(
    --(TEXT('[3]Global Weekly Stock (EWSuez'!$B$4:$B$2000,"mmm-yy")=TEXT(A725,"mmm-yy"))
)</f>
        <v>11301</v>
      </c>
      <c r="I725">
        <f>_xlfn.XLOOKUP(A725,[1]ForwardDeriv!$D:$D,[1]ForwardDeriv!$AJ:$AJ)</f>
        <v>0.64000000000000057</v>
      </c>
      <c r="J725" cm="1">
        <f t="array" ref="J725">_xlfn.XLOOKUP(TEXT(A725, "mmm-yy"), TEXT([2]GASOLINE!$B$5:$B$208, "mmm-yy"), [2]GASOLINE!$IR$5:$IR$208, "Not Found")</f>
        <v>30.020642677538717</v>
      </c>
      <c r="K725" cm="1">
        <f t="array" ref="K725">_xlfn.XLOOKUP(TEXT(A725, "mmm-yy"), TEXT([2]GASOLINE!$B$5:$B$208, "mmm-yy"), [2]GASOLINE!$IK$5:$IK$208, "Not Found")</f>
        <v>0</v>
      </c>
      <c r="L725">
        <f t="shared" si="11"/>
        <v>0</v>
      </c>
      <c r="M725" cm="1">
        <f t="array" ref="M725">_xlfn.XLOOKUP(TEXT(A725, "mmm-yy"), TEXT([2]GASOLINE!$B$5:$B$208, "mmm-yy"), [2]GASOLINE!$C$5:$C$208, "Not Found")</f>
        <v>7003.1548535075272</v>
      </c>
      <c r="N725" cm="1">
        <f t="array" ref="N725">_xlfn.XLOOKUP(TEXT(A725, "mmm-yy"), TEXT([2]RUNS!$B$5:$B$208, "mmm-yy"), [2]RUNS!$BM$5:$BM$208, "Not Found")</f>
        <v>0.85210624476718499</v>
      </c>
    </row>
    <row r="726" spans="1:14" x14ac:dyDescent="0.25">
      <c r="A726" s="1">
        <f>'[1]Global_Spot Prices'!$B2035</f>
        <v>43019</v>
      </c>
      <c r="B726">
        <f>_xlfn.XLOOKUP(A726,'[1]Global_Spot Prices'!$B:$B,'[1]Global_Spot Prices'!$BS:$BS)</f>
        <v>11.619999999999997</v>
      </c>
      <c r="C726">
        <f>_xlfn.XLOOKUP(A726,'[1]Global_Spot Prices'!$B:$B,'[1]Global_Spot Prices'!$E:$E)</f>
        <v>54.79</v>
      </c>
      <c r="D726">
        <f>_xlfn.XLOOKUP(A726,'[1]Global_Spot Prices'!$B:$B,'[1]Global_Spot Prices'!$D:$D)</f>
        <v>55.78</v>
      </c>
      <c r="E726">
        <f>_xlfn.XLOOKUP(A726,'[1]Global_Spot Prices'!$B:$B,'[1]Global_Spot Prices'!$H:$H)</f>
        <v>56.42</v>
      </c>
      <c r="F726">
        <f>_xlfn.XLOOKUP(A726,'[1]Global_Spot Prices'!$B:$B,'[1]Global_Spot Prices'!$I:$I)</f>
        <v>66.41</v>
      </c>
      <c r="G726" cm="1">
        <f t="array" ref="G726">_xlfn.XLOOKUP(TEXT(A726, "mmm-yy"), TEXT([2]RUNS!$B$5:$B$208, "mmm-yy"), [2]RUNS!$D$5:$D$208, "Not Found")</f>
        <v>29274.791723972456</v>
      </c>
      <c r="H726" cm="1">
        <f t="array" ref="H726">SUMPRODUCT(
    --(TEXT('[3]Global Weekly Stock (EWSuez'!$B$4:$B$2000,"mmm-yy")=TEXT(A726,"mmm-yy")),
    '[3]Global Weekly Stock (EWSuez'!$E$4:$E$2000)
/
SUMPRODUCT(
    --(TEXT('[3]Global Weekly Stock (EWSuez'!$B$4:$B$2000,"mmm-yy")=TEXT(A726,"mmm-yy"))
)</f>
        <v>11301</v>
      </c>
      <c r="I726">
        <f>_xlfn.XLOOKUP(A726,[1]ForwardDeriv!$D:$D,[1]ForwardDeriv!$AJ:$AJ)</f>
        <v>0.67000000000000171</v>
      </c>
      <c r="J726" cm="1">
        <f t="array" ref="J726">_xlfn.XLOOKUP(TEXT(A726, "mmm-yy"), TEXT([2]GASOLINE!$B$5:$B$208, "mmm-yy"), [2]GASOLINE!$IR$5:$IR$208, "Not Found")</f>
        <v>30.020642677538717</v>
      </c>
      <c r="K726" cm="1">
        <f t="array" ref="K726">_xlfn.XLOOKUP(TEXT(A726, "mmm-yy"), TEXT([2]GASOLINE!$B$5:$B$208, "mmm-yy"), [2]GASOLINE!$IK$5:$IK$208, "Not Found")</f>
        <v>0</v>
      </c>
      <c r="L726">
        <f t="shared" si="11"/>
        <v>0</v>
      </c>
      <c r="M726" cm="1">
        <f t="array" ref="M726">_xlfn.XLOOKUP(TEXT(A726, "mmm-yy"), TEXT([2]GASOLINE!$B$5:$B$208, "mmm-yy"), [2]GASOLINE!$C$5:$C$208, "Not Found")</f>
        <v>7003.1548535075272</v>
      </c>
      <c r="N726" cm="1">
        <f t="array" ref="N726">_xlfn.XLOOKUP(TEXT(A726, "mmm-yy"), TEXT([2]RUNS!$B$5:$B$208, "mmm-yy"), [2]RUNS!$BM$5:$BM$208, "Not Found")</f>
        <v>0.85210624476718499</v>
      </c>
    </row>
    <row r="727" spans="1:14" x14ac:dyDescent="0.25">
      <c r="A727" s="1">
        <f>'[1]Global_Spot Prices'!$B2036</f>
        <v>43020</v>
      </c>
      <c r="B727">
        <f>_xlfn.XLOOKUP(A727,'[1]Global_Spot Prices'!$B:$B,'[1]Global_Spot Prices'!$BS:$BS)</f>
        <v>11.649999999999999</v>
      </c>
      <c r="C727">
        <f>_xlfn.XLOOKUP(A727,'[1]Global_Spot Prices'!$B:$B,'[1]Global_Spot Prices'!$E:$E)</f>
        <v>54.96</v>
      </c>
      <c r="D727">
        <f>_xlfn.XLOOKUP(A727,'[1]Global_Spot Prices'!$B:$B,'[1]Global_Spot Prices'!$D:$D)</f>
        <v>55.344999999999999</v>
      </c>
      <c r="E727">
        <f>_xlfn.XLOOKUP(A727,'[1]Global_Spot Prices'!$B:$B,'[1]Global_Spot Prices'!$H:$H)</f>
        <v>56.92</v>
      </c>
      <c r="F727">
        <f>_xlfn.XLOOKUP(A727,'[1]Global_Spot Prices'!$B:$B,'[1]Global_Spot Prices'!$I:$I)</f>
        <v>66.61</v>
      </c>
      <c r="G727" cm="1">
        <f t="array" ref="G727">_xlfn.XLOOKUP(TEXT(A727, "mmm-yy"), TEXT([2]RUNS!$B$5:$B$208, "mmm-yy"), [2]RUNS!$D$5:$D$208, "Not Found")</f>
        <v>29274.791723972456</v>
      </c>
      <c r="H727" cm="1">
        <f t="array" ref="H727">SUMPRODUCT(
    --(TEXT('[3]Global Weekly Stock (EWSuez'!$B$4:$B$2000,"mmm-yy")=TEXT(A727,"mmm-yy")),
    '[3]Global Weekly Stock (EWSuez'!$E$4:$E$2000)
/
SUMPRODUCT(
    --(TEXT('[3]Global Weekly Stock (EWSuez'!$B$4:$B$2000,"mmm-yy")=TEXT(A727,"mmm-yy"))
)</f>
        <v>11301</v>
      </c>
      <c r="I727">
        <f>_xlfn.XLOOKUP(A727,[1]ForwardDeriv!$D:$D,[1]ForwardDeriv!$AJ:$AJ)</f>
        <v>0.64000000000000057</v>
      </c>
      <c r="J727" cm="1">
        <f t="array" ref="J727">_xlfn.XLOOKUP(TEXT(A727, "mmm-yy"), TEXT([2]GASOLINE!$B$5:$B$208, "mmm-yy"), [2]GASOLINE!$IR$5:$IR$208, "Not Found")</f>
        <v>30.020642677538717</v>
      </c>
      <c r="K727" cm="1">
        <f t="array" ref="K727">_xlfn.XLOOKUP(TEXT(A727, "mmm-yy"), TEXT([2]GASOLINE!$B$5:$B$208, "mmm-yy"), [2]GASOLINE!$IK$5:$IK$208, "Not Found")</f>
        <v>0</v>
      </c>
      <c r="L727">
        <f t="shared" si="11"/>
        <v>0</v>
      </c>
      <c r="M727" cm="1">
        <f t="array" ref="M727">_xlfn.XLOOKUP(TEXT(A727, "mmm-yy"), TEXT([2]GASOLINE!$B$5:$B$208, "mmm-yy"), [2]GASOLINE!$C$5:$C$208, "Not Found")</f>
        <v>7003.1548535075272</v>
      </c>
      <c r="N727" cm="1">
        <f t="array" ref="N727">_xlfn.XLOOKUP(TEXT(A727, "mmm-yy"), TEXT([2]RUNS!$B$5:$B$208, "mmm-yy"), [2]RUNS!$BM$5:$BM$208, "Not Found")</f>
        <v>0.85210624476718499</v>
      </c>
    </row>
    <row r="728" spans="1:14" x14ac:dyDescent="0.25">
      <c r="A728" s="1">
        <f>'[1]Global_Spot Prices'!$B2037</f>
        <v>43021</v>
      </c>
      <c r="B728">
        <f>_xlfn.XLOOKUP(A728,'[1]Global_Spot Prices'!$B:$B,'[1]Global_Spot Prices'!$BS:$BS)</f>
        <v>11.500000000000007</v>
      </c>
      <c r="C728">
        <f>_xlfn.XLOOKUP(A728,'[1]Global_Spot Prices'!$B:$B,'[1]Global_Spot Prices'!$E:$E)</f>
        <v>55.54</v>
      </c>
      <c r="D728">
        <f>_xlfn.XLOOKUP(A728,'[1]Global_Spot Prices'!$B:$B,'[1]Global_Spot Prices'!$D:$D)</f>
        <v>56.53</v>
      </c>
      <c r="E728">
        <f>_xlfn.XLOOKUP(A728,'[1]Global_Spot Prices'!$B:$B,'[1]Global_Spot Prices'!$H:$H)</f>
        <v>57.14</v>
      </c>
      <c r="F728">
        <f>_xlfn.XLOOKUP(A728,'[1]Global_Spot Prices'!$B:$B,'[1]Global_Spot Prices'!$I:$I)</f>
        <v>67.040000000000006</v>
      </c>
      <c r="G728" cm="1">
        <f t="array" ref="G728">_xlfn.XLOOKUP(TEXT(A728, "mmm-yy"), TEXT([2]RUNS!$B$5:$B$208, "mmm-yy"), [2]RUNS!$D$5:$D$208, "Not Found")</f>
        <v>29274.791723972456</v>
      </c>
      <c r="H728" cm="1">
        <f t="array" ref="H728">SUMPRODUCT(
    --(TEXT('[3]Global Weekly Stock (EWSuez'!$B$4:$B$2000,"mmm-yy")=TEXT(A728,"mmm-yy")),
    '[3]Global Weekly Stock (EWSuez'!$E$4:$E$2000)
/
SUMPRODUCT(
    --(TEXT('[3]Global Weekly Stock (EWSuez'!$B$4:$B$2000,"mmm-yy")=TEXT(A728,"mmm-yy"))
)</f>
        <v>11301</v>
      </c>
      <c r="I728">
        <f>_xlfn.XLOOKUP(A728,[1]ForwardDeriv!$D:$D,[1]ForwardDeriv!$AJ:$AJ)</f>
        <v>0.54999999999999716</v>
      </c>
      <c r="J728" cm="1">
        <f t="array" ref="J728">_xlfn.XLOOKUP(TEXT(A728, "mmm-yy"), TEXT([2]GASOLINE!$B$5:$B$208, "mmm-yy"), [2]GASOLINE!$IR$5:$IR$208, "Not Found")</f>
        <v>30.020642677538717</v>
      </c>
      <c r="K728" cm="1">
        <f t="array" ref="K728">_xlfn.XLOOKUP(TEXT(A728, "mmm-yy"), TEXT([2]GASOLINE!$B$5:$B$208, "mmm-yy"), [2]GASOLINE!$IK$5:$IK$208, "Not Found")</f>
        <v>0</v>
      </c>
      <c r="L728">
        <f t="shared" si="11"/>
        <v>0</v>
      </c>
      <c r="M728" cm="1">
        <f t="array" ref="M728">_xlfn.XLOOKUP(TEXT(A728, "mmm-yy"), TEXT([2]GASOLINE!$B$5:$B$208, "mmm-yy"), [2]GASOLINE!$C$5:$C$208, "Not Found")</f>
        <v>7003.1548535075272</v>
      </c>
      <c r="N728" cm="1">
        <f t="array" ref="N728">_xlfn.XLOOKUP(TEXT(A728, "mmm-yy"), TEXT([2]RUNS!$B$5:$B$208, "mmm-yy"), [2]RUNS!$BM$5:$BM$208, "Not Found")</f>
        <v>0.85210624476718499</v>
      </c>
    </row>
    <row r="729" spans="1:14" x14ac:dyDescent="0.25">
      <c r="A729" s="1">
        <f>'[1]Global_Spot Prices'!$B2038</f>
        <v>43024</v>
      </c>
      <c r="B729">
        <f>_xlfn.XLOOKUP(A729,'[1]Global_Spot Prices'!$B:$B,'[1]Global_Spot Prices'!$BS:$BS)</f>
        <v>12.36999999999999</v>
      </c>
      <c r="C729">
        <f>_xlfn.XLOOKUP(A729,'[1]Global_Spot Prices'!$B:$B,'[1]Global_Spot Prices'!$E:$E)</f>
        <v>55.95</v>
      </c>
      <c r="D729">
        <f>_xlfn.XLOOKUP(A729,'[1]Global_Spot Prices'!$B:$B,'[1]Global_Spot Prices'!$D:$D)</f>
        <v>57.454999999999998</v>
      </c>
      <c r="E729">
        <f>_xlfn.XLOOKUP(A729,'[1]Global_Spot Prices'!$B:$B,'[1]Global_Spot Prices'!$H:$H)</f>
        <v>57.84</v>
      </c>
      <c r="F729">
        <f>_xlfn.XLOOKUP(A729,'[1]Global_Spot Prices'!$B:$B,'[1]Global_Spot Prices'!$I:$I)</f>
        <v>68.319999999999993</v>
      </c>
      <c r="G729" cm="1">
        <f t="array" ref="G729">_xlfn.XLOOKUP(TEXT(A729, "mmm-yy"), TEXT([2]RUNS!$B$5:$B$208, "mmm-yy"), [2]RUNS!$D$5:$D$208, "Not Found")</f>
        <v>29274.791723972456</v>
      </c>
      <c r="H729" cm="1">
        <f t="array" ref="H729">SUMPRODUCT(
    --(TEXT('[3]Global Weekly Stock (EWSuez'!$B$4:$B$2000,"mmm-yy")=TEXT(A729,"mmm-yy")),
    '[3]Global Weekly Stock (EWSuez'!$E$4:$E$2000)
/
SUMPRODUCT(
    --(TEXT('[3]Global Weekly Stock (EWSuez'!$B$4:$B$2000,"mmm-yy")=TEXT(A729,"mmm-yy"))
)</f>
        <v>11301</v>
      </c>
      <c r="I729">
        <f>_xlfn.XLOOKUP(A729,[1]ForwardDeriv!$D:$D,[1]ForwardDeriv!$AJ:$AJ)</f>
        <v>0.70000000000000284</v>
      </c>
      <c r="J729" cm="1">
        <f t="array" ref="J729">_xlfn.XLOOKUP(TEXT(A729, "mmm-yy"), TEXT([2]GASOLINE!$B$5:$B$208, "mmm-yy"), [2]GASOLINE!$IR$5:$IR$208, "Not Found")</f>
        <v>30.020642677538717</v>
      </c>
      <c r="K729" cm="1">
        <f t="array" ref="K729">_xlfn.XLOOKUP(TEXT(A729, "mmm-yy"), TEXT([2]GASOLINE!$B$5:$B$208, "mmm-yy"), [2]GASOLINE!$IK$5:$IK$208, "Not Found")</f>
        <v>0</v>
      </c>
      <c r="L729">
        <f t="shared" si="11"/>
        <v>0</v>
      </c>
      <c r="M729" cm="1">
        <f t="array" ref="M729">_xlfn.XLOOKUP(TEXT(A729, "mmm-yy"), TEXT([2]GASOLINE!$B$5:$B$208, "mmm-yy"), [2]GASOLINE!$C$5:$C$208, "Not Found")</f>
        <v>7003.1548535075272</v>
      </c>
      <c r="N729" cm="1">
        <f t="array" ref="N729">_xlfn.XLOOKUP(TEXT(A729, "mmm-yy"), TEXT([2]RUNS!$B$5:$B$208, "mmm-yy"), [2]RUNS!$BM$5:$BM$208, "Not Found")</f>
        <v>0.85210624476718499</v>
      </c>
    </row>
    <row r="730" spans="1:14" x14ac:dyDescent="0.25">
      <c r="A730" s="1">
        <f>'[1]Global_Spot Prices'!$B2039</f>
        <v>43025</v>
      </c>
      <c r="B730">
        <f>_xlfn.XLOOKUP(A730,'[1]Global_Spot Prices'!$B:$B,'[1]Global_Spot Prices'!$BS:$BS)</f>
        <v>12.049999999999997</v>
      </c>
      <c r="C730">
        <f>_xlfn.XLOOKUP(A730,'[1]Global_Spot Prices'!$B:$B,'[1]Global_Spot Prices'!$E:$E)</f>
        <v>56.3</v>
      </c>
      <c r="D730">
        <f>_xlfn.XLOOKUP(A730,'[1]Global_Spot Prices'!$B:$B,'[1]Global_Spot Prices'!$D:$D)</f>
        <v>57.335000000000001</v>
      </c>
      <c r="E730">
        <f>_xlfn.XLOOKUP(A730,'[1]Global_Spot Prices'!$B:$B,'[1]Global_Spot Prices'!$H:$H)</f>
        <v>57.89</v>
      </c>
      <c r="F730">
        <f>_xlfn.XLOOKUP(A730,'[1]Global_Spot Prices'!$B:$B,'[1]Global_Spot Prices'!$I:$I)</f>
        <v>68.349999999999994</v>
      </c>
      <c r="G730" cm="1">
        <f t="array" ref="G730">_xlfn.XLOOKUP(TEXT(A730, "mmm-yy"), TEXT([2]RUNS!$B$5:$B$208, "mmm-yy"), [2]RUNS!$D$5:$D$208, "Not Found")</f>
        <v>29274.791723972456</v>
      </c>
      <c r="H730" cm="1">
        <f t="array" ref="H730">SUMPRODUCT(
    --(TEXT('[3]Global Weekly Stock (EWSuez'!$B$4:$B$2000,"mmm-yy")=TEXT(A730,"mmm-yy")),
    '[3]Global Weekly Stock (EWSuez'!$E$4:$E$2000)
/
SUMPRODUCT(
    --(TEXT('[3]Global Weekly Stock (EWSuez'!$B$4:$B$2000,"mmm-yy")=TEXT(A730,"mmm-yy"))
)</f>
        <v>11301</v>
      </c>
      <c r="I730">
        <f>_xlfn.XLOOKUP(A730,[1]ForwardDeriv!$D:$D,[1]ForwardDeriv!$AJ:$AJ)</f>
        <v>0.67000000000000171</v>
      </c>
      <c r="J730" cm="1">
        <f t="array" ref="J730">_xlfn.XLOOKUP(TEXT(A730, "mmm-yy"), TEXT([2]GASOLINE!$B$5:$B$208, "mmm-yy"), [2]GASOLINE!$IR$5:$IR$208, "Not Found")</f>
        <v>30.020642677538717</v>
      </c>
      <c r="K730" cm="1">
        <f t="array" ref="K730">_xlfn.XLOOKUP(TEXT(A730, "mmm-yy"), TEXT([2]GASOLINE!$B$5:$B$208, "mmm-yy"), [2]GASOLINE!$IK$5:$IK$208, "Not Found")</f>
        <v>0</v>
      </c>
      <c r="L730">
        <f t="shared" si="11"/>
        <v>0</v>
      </c>
      <c r="M730" cm="1">
        <f t="array" ref="M730">_xlfn.XLOOKUP(TEXT(A730, "mmm-yy"), TEXT([2]GASOLINE!$B$5:$B$208, "mmm-yy"), [2]GASOLINE!$C$5:$C$208, "Not Found")</f>
        <v>7003.1548535075272</v>
      </c>
      <c r="N730" cm="1">
        <f t="array" ref="N730">_xlfn.XLOOKUP(TEXT(A730, "mmm-yy"), TEXT([2]RUNS!$B$5:$B$208, "mmm-yy"), [2]RUNS!$BM$5:$BM$208, "Not Found")</f>
        <v>0.85210624476718499</v>
      </c>
    </row>
    <row r="731" spans="1:14" x14ac:dyDescent="0.25">
      <c r="A731" s="1">
        <f>'[1]Global_Spot Prices'!$B2040</f>
        <v>43026</v>
      </c>
      <c r="B731" t="e">
        <f>_xlfn.XLOOKUP(A731,'[1]Global_Spot Prices'!$B:$B,'[1]Global_Spot Prices'!$BS:$BS)</f>
        <v>#N/A</v>
      </c>
      <c r="C731" t="str">
        <f>_xlfn.XLOOKUP(A731,'[1]Global_Spot Prices'!$B:$B,'[1]Global_Spot Prices'!$E:$E)</f>
        <v/>
      </c>
      <c r="D731">
        <f>_xlfn.XLOOKUP(A731,'[1]Global_Spot Prices'!$B:$B,'[1]Global_Spot Prices'!$D:$D)</f>
        <v>57.68</v>
      </c>
      <c r="E731">
        <f>_xlfn.XLOOKUP(A731,'[1]Global_Spot Prices'!$B:$B,'[1]Global_Spot Prices'!$H:$H)</f>
        <v>0</v>
      </c>
      <c r="F731">
        <f>_xlfn.XLOOKUP(A731,'[1]Global_Spot Prices'!$B:$B,'[1]Global_Spot Prices'!$I:$I)</f>
        <v>0</v>
      </c>
      <c r="G731" cm="1">
        <f t="array" ref="G731">_xlfn.XLOOKUP(TEXT(A731, "mmm-yy"), TEXT([2]RUNS!$B$5:$B$208, "mmm-yy"), [2]RUNS!$D$5:$D$208, "Not Found")</f>
        <v>29274.791723972456</v>
      </c>
      <c r="H731" cm="1">
        <f t="array" ref="H731">SUMPRODUCT(
    --(TEXT('[3]Global Weekly Stock (EWSuez'!$B$4:$B$2000,"mmm-yy")=TEXT(A731,"mmm-yy")),
    '[3]Global Weekly Stock (EWSuez'!$E$4:$E$2000)
/
SUMPRODUCT(
    --(TEXT('[3]Global Weekly Stock (EWSuez'!$B$4:$B$2000,"mmm-yy")=TEXT(A731,"mmm-yy"))
)</f>
        <v>11301</v>
      </c>
      <c r="I731">
        <f>_xlfn.XLOOKUP(A731,[1]ForwardDeriv!$D:$D,[1]ForwardDeriv!$AJ:$AJ)</f>
        <v>0.64999999999999147</v>
      </c>
      <c r="J731" cm="1">
        <f t="array" ref="J731">_xlfn.XLOOKUP(TEXT(A731, "mmm-yy"), TEXT([2]GASOLINE!$B$5:$B$208, "mmm-yy"), [2]GASOLINE!$IR$5:$IR$208, "Not Found")</f>
        <v>30.020642677538717</v>
      </c>
      <c r="K731" cm="1">
        <f t="array" ref="K731">_xlfn.XLOOKUP(TEXT(A731, "mmm-yy"), TEXT([2]GASOLINE!$B$5:$B$208, "mmm-yy"), [2]GASOLINE!$IK$5:$IK$208, "Not Found")</f>
        <v>0</v>
      </c>
      <c r="L731">
        <f t="shared" si="11"/>
        <v>0</v>
      </c>
      <c r="M731" cm="1">
        <f t="array" ref="M731">_xlfn.XLOOKUP(TEXT(A731, "mmm-yy"), TEXT([2]GASOLINE!$B$5:$B$208, "mmm-yy"), [2]GASOLINE!$C$5:$C$208, "Not Found")</f>
        <v>7003.1548535075272</v>
      </c>
      <c r="N731" cm="1">
        <f t="array" ref="N731">_xlfn.XLOOKUP(TEXT(A731, "mmm-yy"), TEXT([2]RUNS!$B$5:$B$208, "mmm-yy"), [2]RUNS!$BM$5:$BM$208, "Not Found")</f>
        <v>0.85210624476718499</v>
      </c>
    </row>
    <row r="732" spans="1:14" x14ac:dyDescent="0.25">
      <c r="A732" s="1">
        <f>'[1]Global_Spot Prices'!$B2041</f>
        <v>43027</v>
      </c>
      <c r="B732">
        <f>_xlfn.XLOOKUP(A732,'[1]Global_Spot Prices'!$B:$B,'[1]Global_Spot Prices'!$BS:$BS)</f>
        <v>12.230000000000004</v>
      </c>
      <c r="C732">
        <f>_xlfn.XLOOKUP(A732,'[1]Global_Spot Prices'!$B:$B,'[1]Global_Spot Prices'!$E:$E)</f>
        <v>55.5</v>
      </c>
      <c r="D732">
        <f>_xlfn.XLOOKUP(A732,'[1]Global_Spot Prices'!$B:$B,'[1]Global_Spot Prices'!$D:$D)</f>
        <v>57.505000000000003</v>
      </c>
      <c r="E732">
        <f>_xlfn.XLOOKUP(A732,'[1]Global_Spot Prices'!$B:$B,'[1]Global_Spot Prices'!$H:$H)</f>
        <v>57.37</v>
      </c>
      <c r="F732">
        <f>_xlfn.XLOOKUP(A732,'[1]Global_Spot Prices'!$B:$B,'[1]Global_Spot Prices'!$I:$I)</f>
        <v>67.73</v>
      </c>
      <c r="G732" cm="1">
        <f t="array" ref="G732">_xlfn.XLOOKUP(TEXT(A732, "mmm-yy"), TEXT([2]RUNS!$B$5:$B$208, "mmm-yy"), [2]RUNS!$D$5:$D$208, "Not Found")</f>
        <v>29274.791723972456</v>
      </c>
      <c r="H732" cm="1">
        <f t="array" ref="H732">SUMPRODUCT(
    --(TEXT('[3]Global Weekly Stock (EWSuez'!$B$4:$B$2000,"mmm-yy")=TEXT(A732,"mmm-yy")),
    '[3]Global Weekly Stock (EWSuez'!$E$4:$E$2000)
/
SUMPRODUCT(
    --(TEXT('[3]Global Weekly Stock (EWSuez'!$B$4:$B$2000,"mmm-yy")=TEXT(A732,"mmm-yy"))
)</f>
        <v>11301</v>
      </c>
      <c r="I732">
        <f>_xlfn.XLOOKUP(A732,[1]ForwardDeriv!$D:$D,[1]ForwardDeriv!$AJ:$AJ)</f>
        <v>0.64999999999999147</v>
      </c>
      <c r="J732" cm="1">
        <f t="array" ref="J732">_xlfn.XLOOKUP(TEXT(A732, "mmm-yy"), TEXT([2]GASOLINE!$B$5:$B$208, "mmm-yy"), [2]GASOLINE!$IR$5:$IR$208, "Not Found")</f>
        <v>30.020642677538717</v>
      </c>
      <c r="K732" cm="1">
        <f t="array" ref="K732">_xlfn.XLOOKUP(TEXT(A732, "mmm-yy"), TEXT([2]GASOLINE!$B$5:$B$208, "mmm-yy"), [2]GASOLINE!$IK$5:$IK$208, "Not Found")</f>
        <v>0</v>
      </c>
      <c r="L732">
        <f t="shared" si="11"/>
        <v>0</v>
      </c>
      <c r="M732" cm="1">
        <f t="array" ref="M732">_xlfn.XLOOKUP(TEXT(A732, "mmm-yy"), TEXT([2]GASOLINE!$B$5:$B$208, "mmm-yy"), [2]GASOLINE!$C$5:$C$208, "Not Found")</f>
        <v>7003.1548535075272</v>
      </c>
      <c r="N732" cm="1">
        <f t="array" ref="N732">_xlfn.XLOOKUP(TEXT(A732, "mmm-yy"), TEXT([2]RUNS!$B$5:$B$208, "mmm-yy"), [2]RUNS!$BM$5:$BM$208, "Not Found")</f>
        <v>0.85210624476718499</v>
      </c>
    </row>
    <row r="733" spans="1:14" x14ac:dyDescent="0.25">
      <c r="A733" s="1">
        <f>'[1]Global_Spot Prices'!$B2042</f>
        <v>43028</v>
      </c>
      <c r="B733">
        <f>_xlfn.XLOOKUP(A733,'[1]Global_Spot Prices'!$B:$B,'[1]Global_Spot Prices'!$BS:$BS)</f>
        <v>12.220000000000006</v>
      </c>
      <c r="C733">
        <f>_xlfn.XLOOKUP(A733,'[1]Global_Spot Prices'!$B:$B,'[1]Global_Spot Prices'!$E:$E)</f>
        <v>55.15</v>
      </c>
      <c r="D733">
        <f>_xlfn.XLOOKUP(A733,'[1]Global_Spot Prices'!$B:$B,'[1]Global_Spot Prices'!$D:$D)</f>
        <v>57.594999999999999</v>
      </c>
      <c r="E733">
        <f>_xlfn.XLOOKUP(A733,'[1]Global_Spot Prices'!$B:$B,'[1]Global_Spot Prices'!$H:$H)</f>
        <v>57.28</v>
      </c>
      <c r="F733">
        <f>_xlfn.XLOOKUP(A733,'[1]Global_Spot Prices'!$B:$B,'[1]Global_Spot Prices'!$I:$I)</f>
        <v>67.37</v>
      </c>
      <c r="G733" cm="1">
        <f t="array" ref="G733">_xlfn.XLOOKUP(TEXT(A733, "mmm-yy"), TEXT([2]RUNS!$B$5:$B$208, "mmm-yy"), [2]RUNS!$D$5:$D$208, "Not Found")</f>
        <v>29274.791723972456</v>
      </c>
      <c r="H733" cm="1">
        <f t="array" ref="H733">SUMPRODUCT(
    --(TEXT('[3]Global Weekly Stock (EWSuez'!$B$4:$B$2000,"mmm-yy")=TEXT(A733,"mmm-yy")),
    '[3]Global Weekly Stock (EWSuez'!$E$4:$E$2000)
/
SUMPRODUCT(
    --(TEXT('[3]Global Weekly Stock (EWSuez'!$B$4:$B$2000,"mmm-yy")=TEXT(A733,"mmm-yy"))
)</f>
        <v>11301</v>
      </c>
      <c r="I733">
        <f>_xlfn.XLOOKUP(A733,[1]ForwardDeriv!$D:$D,[1]ForwardDeriv!$AJ:$AJ)</f>
        <v>0.56000000000000227</v>
      </c>
      <c r="J733" cm="1">
        <f t="array" ref="J733">_xlfn.XLOOKUP(TEXT(A733, "mmm-yy"), TEXT([2]GASOLINE!$B$5:$B$208, "mmm-yy"), [2]GASOLINE!$IR$5:$IR$208, "Not Found")</f>
        <v>30.020642677538717</v>
      </c>
      <c r="K733" cm="1">
        <f t="array" ref="K733">_xlfn.XLOOKUP(TEXT(A733, "mmm-yy"), TEXT([2]GASOLINE!$B$5:$B$208, "mmm-yy"), [2]GASOLINE!$IK$5:$IK$208, "Not Found")</f>
        <v>0</v>
      </c>
      <c r="L733">
        <f t="shared" si="11"/>
        <v>0</v>
      </c>
      <c r="M733" cm="1">
        <f t="array" ref="M733">_xlfn.XLOOKUP(TEXT(A733, "mmm-yy"), TEXT([2]GASOLINE!$B$5:$B$208, "mmm-yy"), [2]GASOLINE!$C$5:$C$208, "Not Found")</f>
        <v>7003.1548535075272</v>
      </c>
      <c r="N733" cm="1">
        <f t="array" ref="N733">_xlfn.XLOOKUP(TEXT(A733, "mmm-yy"), TEXT([2]RUNS!$B$5:$B$208, "mmm-yy"), [2]RUNS!$BM$5:$BM$208, "Not Found")</f>
        <v>0.85210624476718499</v>
      </c>
    </row>
    <row r="734" spans="1:14" x14ac:dyDescent="0.25">
      <c r="A734" s="1">
        <f>'[1]Global_Spot Prices'!$B2043</f>
        <v>43031</v>
      </c>
      <c r="B734">
        <f>_xlfn.XLOOKUP(A734,'[1]Global_Spot Prices'!$B:$B,'[1]Global_Spot Prices'!$BS:$BS)</f>
        <v>11.82</v>
      </c>
      <c r="C734">
        <f>_xlfn.XLOOKUP(A734,'[1]Global_Spot Prices'!$B:$B,'[1]Global_Spot Prices'!$E:$E)</f>
        <v>55.88</v>
      </c>
      <c r="D734">
        <f>_xlfn.XLOOKUP(A734,'[1]Global_Spot Prices'!$B:$B,'[1]Global_Spot Prices'!$D:$D)</f>
        <v>57.68</v>
      </c>
      <c r="E734">
        <f>_xlfn.XLOOKUP(A734,'[1]Global_Spot Prices'!$B:$B,'[1]Global_Spot Prices'!$H:$H)</f>
        <v>58.47</v>
      </c>
      <c r="F734">
        <f>_xlfn.XLOOKUP(A734,'[1]Global_Spot Prices'!$B:$B,'[1]Global_Spot Prices'!$I:$I)</f>
        <v>67.7</v>
      </c>
      <c r="G734" cm="1">
        <f t="array" ref="G734">_xlfn.XLOOKUP(TEXT(A734, "mmm-yy"), TEXT([2]RUNS!$B$5:$B$208, "mmm-yy"), [2]RUNS!$D$5:$D$208, "Not Found")</f>
        <v>29274.791723972456</v>
      </c>
      <c r="H734" cm="1">
        <f t="array" ref="H734">SUMPRODUCT(
    --(TEXT('[3]Global Weekly Stock (EWSuez'!$B$4:$B$2000,"mmm-yy")=TEXT(A734,"mmm-yy")),
    '[3]Global Weekly Stock (EWSuez'!$E$4:$E$2000)
/
SUMPRODUCT(
    --(TEXT('[3]Global Weekly Stock (EWSuez'!$B$4:$B$2000,"mmm-yy")=TEXT(A734,"mmm-yy"))
)</f>
        <v>11301</v>
      </c>
      <c r="I734">
        <f>_xlfn.XLOOKUP(A734,[1]ForwardDeriv!$D:$D,[1]ForwardDeriv!$AJ:$AJ)</f>
        <v>0.54999999999999716</v>
      </c>
      <c r="J734" cm="1">
        <f t="array" ref="J734">_xlfn.XLOOKUP(TEXT(A734, "mmm-yy"), TEXT([2]GASOLINE!$B$5:$B$208, "mmm-yy"), [2]GASOLINE!$IR$5:$IR$208, "Not Found")</f>
        <v>30.020642677538717</v>
      </c>
      <c r="K734" cm="1">
        <f t="array" ref="K734">_xlfn.XLOOKUP(TEXT(A734, "mmm-yy"), TEXT([2]GASOLINE!$B$5:$B$208, "mmm-yy"), [2]GASOLINE!$IK$5:$IK$208, "Not Found")</f>
        <v>0</v>
      </c>
      <c r="L734">
        <f t="shared" si="11"/>
        <v>0</v>
      </c>
      <c r="M734" cm="1">
        <f t="array" ref="M734">_xlfn.XLOOKUP(TEXT(A734, "mmm-yy"), TEXT([2]GASOLINE!$B$5:$B$208, "mmm-yy"), [2]GASOLINE!$C$5:$C$208, "Not Found")</f>
        <v>7003.1548535075272</v>
      </c>
      <c r="N734" cm="1">
        <f t="array" ref="N734">_xlfn.XLOOKUP(TEXT(A734, "mmm-yy"), TEXT([2]RUNS!$B$5:$B$208, "mmm-yy"), [2]RUNS!$BM$5:$BM$208, "Not Found")</f>
        <v>0.85210624476718499</v>
      </c>
    </row>
    <row r="735" spans="1:14" x14ac:dyDescent="0.25">
      <c r="A735" s="1">
        <f>'[1]Global_Spot Prices'!$B2044</f>
        <v>43032</v>
      </c>
      <c r="B735">
        <f>_xlfn.XLOOKUP(A735,'[1]Global_Spot Prices'!$B:$B,'[1]Global_Spot Prices'!$BS:$BS)</f>
        <v>11.589999999999996</v>
      </c>
      <c r="C735">
        <f>_xlfn.XLOOKUP(A735,'[1]Global_Spot Prices'!$B:$B,'[1]Global_Spot Prices'!$E:$E)</f>
        <v>55.27</v>
      </c>
      <c r="D735">
        <f>_xlfn.XLOOKUP(A735,'[1]Global_Spot Prices'!$B:$B,'[1]Global_Spot Prices'!$D:$D)</f>
        <v>57.79</v>
      </c>
      <c r="E735">
        <f>_xlfn.XLOOKUP(A735,'[1]Global_Spot Prices'!$B:$B,'[1]Global_Spot Prices'!$H:$H)</f>
        <v>58.23</v>
      </c>
      <c r="F735">
        <f>_xlfn.XLOOKUP(A735,'[1]Global_Spot Prices'!$B:$B,'[1]Global_Spot Prices'!$I:$I)</f>
        <v>66.86</v>
      </c>
      <c r="G735" cm="1">
        <f t="array" ref="G735">_xlfn.XLOOKUP(TEXT(A735, "mmm-yy"), TEXT([2]RUNS!$B$5:$B$208, "mmm-yy"), [2]RUNS!$D$5:$D$208, "Not Found")</f>
        <v>29274.791723972456</v>
      </c>
      <c r="H735" cm="1">
        <f t="array" ref="H735">SUMPRODUCT(
    --(TEXT('[3]Global Weekly Stock (EWSuez'!$B$4:$B$2000,"mmm-yy")=TEXT(A735,"mmm-yy")),
    '[3]Global Weekly Stock (EWSuez'!$E$4:$E$2000)
/
SUMPRODUCT(
    --(TEXT('[3]Global Weekly Stock (EWSuez'!$B$4:$B$2000,"mmm-yy")=TEXT(A735,"mmm-yy"))
)</f>
        <v>11301</v>
      </c>
      <c r="I735">
        <f>_xlfn.XLOOKUP(A735,[1]ForwardDeriv!$D:$D,[1]ForwardDeriv!$AJ:$AJ)</f>
        <v>0.55000000000001137</v>
      </c>
      <c r="J735" cm="1">
        <f t="array" ref="J735">_xlfn.XLOOKUP(TEXT(A735, "mmm-yy"), TEXT([2]GASOLINE!$B$5:$B$208, "mmm-yy"), [2]GASOLINE!$IR$5:$IR$208, "Not Found")</f>
        <v>30.020642677538717</v>
      </c>
      <c r="K735" cm="1">
        <f t="array" ref="K735">_xlfn.XLOOKUP(TEXT(A735, "mmm-yy"), TEXT([2]GASOLINE!$B$5:$B$208, "mmm-yy"), [2]GASOLINE!$IK$5:$IK$208, "Not Found")</f>
        <v>0</v>
      </c>
      <c r="L735">
        <f t="shared" si="11"/>
        <v>0</v>
      </c>
      <c r="M735" cm="1">
        <f t="array" ref="M735">_xlfn.XLOOKUP(TEXT(A735, "mmm-yy"), TEXT([2]GASOLINE!$B$5:$B$208, "mmm-yy"), [2]GASOLINE!$C$5:$C$208, "Not Found")</f>
        <v>7003.1548535075272</v>
      </c>
      <c r="N735" cm="1">
        <f t="array" ref="N735">_xlfn.XLOOKUP(TEXT(A735, "mmm-yy"), TEXT([2]RUNS!$B$5:$B$208, "mmm-yy"), [2]RUNS!$BM$5:$BM$208, "Not Found")</f>
        <v>0.85210624476718499</v>
      </c>
    </row>
    <row r="736" spans="1:14" x14ac:dyDescent="0.25">
      <c r="A736" s="1">
        <f>'[1]Global_Spot Prices'!$B2045</f>
        <v>43033</v>
      </c>
      <c r="B736">
        <f>_xlfn.XLOOKUP(A736,'[1]Global_Spot Prices'!$B:$B,'[1]Global_Spot Prices'!$BS:$BS)</f>
        <v>12.339999999999996</v>
      </c>
      <c r="C736">
        <f>_xlfn.XLOOKUP(A736,'[1]Global_Spot Prices'!$B:$B,'[1]Global_Spot Prices'!$E:$E)</f>
        <v>56.21</v>
      </c>
      <c r="D736">
        <f>_xlfn.XLOOKUP(A736,'[1]Global_Spot Prices'!$B:$B,'[1]Global_Spot Prices'!$D:$D)</f>
        <v>58.305</v>
      </c>
      <c r="E736">
        <f>_xlfn.XLOOKUP(A736,'[1]Global_Spot Prices'!$B:$B,'[1]Global_Spot Prices'!$H:$H)</f>
        <v>59.49</v>
      </c>
      <c r="F736">
        <f>_xlfn.XLOOKUP(A736,'[1]Global_Spot Prices'!$B:$B,'[1]Global_Spot Prices'!$I:$I)</f>
        <v>68.55</v>
      </c>
      <c r="G736" cm="1">
        <f t="array" ref="G736">_xlfn.XLOOKUP(TEXT(A736, "mmm-yy"), TEXT([2]RUNS!$B$5:$B$208, "mmm-yy"), [2]RUNS!$D$5:$D$208, "Not Found")</f>
        <v>29274.791723972456</v>
      </c>
      <c r="H736" cm="1">
        <f t="array" ref="H736">SUMPRODUCT(
    --(TEXT('[3]Global Weekly Stock (EWSuez'!$B$4:$B$2000,"mmm-yy")=TEXT(A736,"mmm-yy")),
    '[3]Global Weekly Stock (EWSuez'!$E$4:$E$2000)
/
SUMPRODUCT(
    --(TEXT('[3]Global Weekly Stock (EWSuez'!$B$4:$B$2000,"mmm-yy")=TEXT(A736,"mmm-yy"))
)</f>
        <v>11301</v>
      </c>
      <c r="I736">
        <f>_xlfn.XLOOKUP(A736,[1]ForwardDeriv!$D:$D,[1]ForwardDeriv!$AJ:$AJ)</f>
        <v>0.62999999999999545</v>
      </c>
      <c r="J736" cm="1">
        <f t="array" ref="J736">_xlfn.XLOOKUP(TEXT(A736, "mmm-yy"), TEXT([2]GASOLINE!$B$5:$B$208, "mmm-yy"), [2]GASOLINE!$IR$5:$IR$208, "Not Found")</f>
        <v>30.020642677538717</v>
      </c>
      <c r="K736" cm="1">
        <f t="array" ref="K736">_xlfn.XLOOKUP(TEXT(A736, "mmm-yy"), TEXT([2]GASOLINE!$B$5:$B$208, "mmm-yy"), [2]GASOLINE!$IK$5:$IK$208, "Not Found")</f>
        <v>0</v>
      </c>
      <c r="L736">
        <f t="shared" si="11"/>
        <v>0</v>
      </c>
      <c r="M736" cm="1">
        <f t="array" ref="M736">_xlfn.XLOOKUP(TEXT(A736, "mmm-yy"), TEXT([2]GASOLINE!$B$5:$B$208, "mmm-yy"), [2]GASOLINE!$C$5:$C$208, "Not Found")</f>
        <v>7003.1548535075272</v>
      </c>
      <c r="N736" cm="1">
        <f t="array" ref="N736">_xlfn.XLOOKUP(TEXT(A736, "mmm-yy"), TEXT([2]RUNS!$B$5:$B$208, "mmm-yy"), [2]RUNS!$BM$5:$BM$208, "Not Found")</f>
        <v>0.85210624476718499</v>
      </c>
    </row>
    <row r="737" spans="1:14" x14ac:dyDescent="0.25">
      <c r="A737" s="1">
        <f>'[1]Global_Spot Prices'!$B2046</f>
        <v>43034</v>
      </c>
      <c r="B737">
        <f>_xlfn.XLOOKUP(A737,'[1]Global_Spot Prices'!$B:$B,'[1]Global_Spot Prices'!$BS:$BS)</f>
        <v>12.399999999999991</v>
      </c>
      <c r="C737">
        <f>_xlfn.XLOOKUP(A737,'[1]Global_Spot Prices'!$B:$B,'[1]Global_Spot Prices'!$E:$E)</f>
        <v>56.2</v>
      </c>
      <c r="D737">
        <f>_xlfn.XLOOKUP(A737,'[1]Global_Spot Prices'!$B:$B,'[1]Global_Spot Prices'!$D:$D)</f>
        <v>58.805</v>
      </c>
      <c r="E737">
        <f>_xlfn.XLOOKUP(A737,'[1]Global_Spot Prices'!$B:$B,'[1]Global_Spot Prices'!$H:$H)</f>
        <v>59.38</v>
      </c>
      <c r="F737">
        <f>_xlfn.XLOOKUP(A737,'[1]Global_Spot Prices'!$B:$B,'[1]Global_Spot Prices'!$I:$I)</f>
        <v>68.599999999999994</v>
      </c>
      <c r="G737" cm="1">
        <f t="array" ref="G737">_xlfn.XLOOKUP(TEXT(A737, "mmm-yy"), TEXT([2]RUNS!$B$5:$B$208, "mmm-yy"), [2]RUNS!$D$5:$D$208, "Not Found")</f>
        <v>29274.791723972456</v>
      </c>
      <c r="H737" cm="1">
        <f t="array" ref="H737">SUMPRODUCT(
    --(TEXT('[3]Global Weekly Stock (EWSuez'!$B$4:$B$2000,"mmm-yy")=TEXT(A737,"mmm-yy")),
    '[3]Global Weekly Stock (EWSuez'!$E$4:$E$2000)
/
SUMPRODUCT(
    --(TEXT('[3]Global Weekly Stock (EWSuez'!$B$4:$B$2000,"mmm-yy")=TEXT(A737,"mmm-yy"))
)</f>
        <v>11301</v>
      </c>
      <c r="I737">
        <f>_xlfn.XLOOKUP(A737,[1]ForwardDeriv!$D:$D,[1]ForwardDeriv!$AJ:$AJ)</f>
        <v>0.67000000000000171</v>
      </c>
      <c r="J737" cm="1">
        <f t="array" ref="J737">_xlfn.XLOOKUP(TEXT(A737, "mmm-yy"), TEXT([2]GASOLINE!$B$5:$B$208, "mmm-yy"), [2]GASOLINE!$IR$5:$IR$208, "Not Found")</f>
        <v>30.020642677538717</v>
      </c>
      <c r="K737" cm="1">
        <f t="array" ref="K737">_xlfn.XLOOKUP(TEXT(A737, "mmm-yy"), TEXT([2]GASOLINE!$B$5:$B$208, "mmm-yy"), [2]GASOLINE!$IK$5:$IK$208, "Not Found")</f>
        <v>0</v>
      </c>
      <c r="L737">
        <f t="shared" si="11"/>
        <v>0</v>
      </c>
      <c r="M737" cm="1">
        <f t="array" ref="M737">_xlfn.XLOOKUP(TEXT(A737, "mmm-yy"), TEXT([2]GASOLINE!$B$5:$B$208, "mmm-yy"), [2]GASOLINE!$C$5:$C$208, "Not Found")</f>
        <v>7003.1548535075272</v>
      </c>
      <c r="N737" cm="1">
        <f t="array" ref="N737">_xlfn.XLOOKUP(TEXT(A737, "mmm-yy"), TEXT([2]RUNS!$B$5:$B$208, "mmm-yy"), [2]RUNS!$BM$5:$BM$208, "Not Found")</f>
        <v>0.85210624476718499</v>
      </c>
    </row>
    <row r="738" spans="1:14" x14ac:dyDescent="0.25">
      <c r="A738" s="1">
        <f>'[1]Global_Spot Prices'!$B2047</f>
        <v>43035</v>
      </c>
      <c r="B738">
        <f>_xlfn.XLOOKUP(A738,'[1]Global_Spot Prices'!$B:$B,'[1]Global_Spot Prices'!$BS:$BS)</f>
        <v>12.319999999999993</v>
      </c>
      <c r="C738">
        <f>_xlfn.XLOOKUP(A738,'[1]Global_Spot Prices'!$B:$B,'[1]Global_Spot Prices'!$E:$E)</f>
        <v>57</v>
      </c>
      <c r="D738">
        <f>_xlfn.XLOOKUP(A738,'[1]Global_Spot Prices'!$B:$B,'[1]Global_Spot Prices'!$D:$D)</f>
        <v>60.335000000000001</v>
      </c>
      <c r="E738">
        <f>_xlfn.XLOOKUP(A738,'[1]Global_Spot Prices'!$B:$B,'[1]Global_Spot Prices'!$H:$H)</f>
        <v>60.44</v>
      </c>
      <c r="F738">
        <f>_xlfn.XLOOKUP(A738,'[1]Global_Spot Prices'!$B:$B,'[1]Global_Spot Prices'!$I:$I)</f>
        <v>69.319999999999993</v>
      </c>
      <c r="G738" cm="1">
        <f t="array" ref="G738">_xlfn.XLOOKUP(TEXT(A738, "mmm-yy"), TEXT([2]RUNS!$B$5:$B$208, "mmm-yy"), [2]RUNS!$D$5:$D$208, "Not Found")</f>
        <v>29274.791723972456</v>
      </c>
      <c r="H738" cm="1">
        <f t="array" ref="H738">SUMPRODUCT(
    --(TEXT('[3]Global Weekly Stock (EWSuez'!$B$4:$B$2000,"mmm-yy")=TEXT(A738,"mmm-yy")),
    '[3]Global Weekly Stock (EWSuez'!$E$4:$E$2000)
/
SUMPRODUCT(
    --(TEXT('[3]Global Weekly Stock (EWSuez'!$B$4:$B$2000,"mmm-yy")=TEXT(A738,"mmm-yy"))
)</f>
        <v>11301</v>
      </c>
      <c r="I738">
        <f>_xlfn.XLOOKUP(A738,[1]ForwardDeriv!$D:$D,[1]ForwardDeriv!$AJ:$AJ)</f>
        <v>0.76999999999999602</v>
      </c>
      <c r="J738" cm="1">
        <f t="array" ref="J738">_xlfn.XLOOKUP(TEXT(A738, "mmm-yy"), TEXT([2]GASOLINE!$B$5:$B$208, "mmm-yy"), [2]GASOLINE!$IR$5:$IR$208, "Not Found")</f>
        <v>30.020642677538717</v>
      </c>
      <c r="K738" cm="1">
        <f t="array" ref="K738">_xlfn.XLOOKUP(TEXT(A738, "mmm-yy"), TEXT([2]GASOLINE!$B$5:$B$208, "mmm-yy"), [2]GASOLINE!$IK$5:$IK$208, "Not Found")</f>
        <v>0</v>
      </c>
      <c r="L738">
        <f t="shared" si="11"/>
        <v>0</v>
      </c>
      <c r="M738" cm="1">
        <f t="array" ref="M738">_xlfn.XLOOKUP(TEXT(A738, "mmm-yy"), TEXT([2]GASOLINE!$B$5:$B$208, "mmm-yy"), [2]GASOLINE!$C$5:$C$208, "Not Found")</f>
        <v>7003.1548535075272</v>
      </c>
      <c r="N738" cm="1">
        <f t="array" ref="N738">_xlfn.XLOOKUP(TEXT(A738, "mmm-yy"), TEXT([2]RUNS!$B$5:$B$208, "mmm-yy"), [2]RUNS!$BM$5:$BM$208, "Not Found")</f>
        <v>0.85210624476718499</v>
      </c>
    </row>
    <row r="739" spans="1:14" x14ac:dyDescent="0.25">
      <c r="A739" s="1">
        <f>'[1]Global_Spot Prices'!$B2048</f>
        <v>43038</v>
      </c>
      <c r="B739">
        <f>_xlfn.XLOOKUP(A739,'[1]Global_Spot Prices'!$B:$B,'[1]Global_Spot Prices'!$BS:$BS)</f>
        <v>12.209999999999994</v>
      </c>
      <c r="C739">
        <f>_xlfn.XLOOKUP(A739,'[1]Global_Spot Prices'!$B:$B,'[1]Global_Spot Prices'!$E:$E)</f>
        <v>58.36</v>
      </c>
      <c r="D739">
        <f>_xlfn.XLOOKUP(A739,'[1]Global_Spot Prices'!$B:$B,'[1]Global_Spot Prices'!$D:$D)</f>
        <v>60.405000000000001</v>
      </c>
      <c r="E739">
        <f>_xlfn.XLOOKUP(A739,'[1]Global_Spot Prices'!$B:$B,'[1]Global_Spot Prices'!$H:$H)</f>
        <v>61.36</v>
      </c>
      <c r="F739">
        <f>_xlfn.XLOOKUP(A739,'[1]Global_Spot Prices'!$B:$B,'[1]Global_Spot Prices'!$I:$I)</f>
        <v>70.569999999999993</v>
      </c>
      <c r="G739" cm="1">
        <f t="array" ref="G739">_xlfn.XLOOKUP(TEXT(A739, "mmm-yy"), TEXT([2]RUNS!$B$5:$B$208, "mmm-yy"), [2]RUNS!$D$5:$D$208, "Not Found")</f>
        <v>29274.791723972456</v>
      </c>
      <c r="H739" cm="1">
        <f t="array" ref="H739">SUMPRODUCT(
    --(TEXT('[3]Global Weekly Stock (EWSuez'!$B$4:$B$2000,"mmm-yy")=TEXT(A739,"mmm-yy")),
    '[3]Global Weekly Stock (EWSuez'!$E$4:$E$2000)
/
SUMPRODUCT(
    --(TEXT('[3]Global Weekly Stock (EWSuez'!$B$4:$B$2000,"mmm-yy")=TEXT(A739,"mmm-yy"))
)</f>
        <v>11301</v>
      </c>
      <c r="I739">
        <f>_xlfn.XLOOKUP(A739,[1]ForwardDeriv!$D:$D,[1]ForwardDeriv!$AJ:$AJ)</f>
        <v>0.78999999999999204</v>
      </c>
      <c r="J739" cm="1">
        <f t="array" ref="J739">_xlfn.XLOOKUP(TEXT(A739, "mmm-yy"), TEXT([2]GASOLINE!$B$5:$B$208, "mmm-yy"), [2]GASOLINE!$IR$5:$IR$208, "Not Found")</f>
        <v>30.020642677538717</v>
      </c>
      <c r="K739" cm="1">
        <f t="array" ref="K739">_xlfn.XLOOKUP(TEXT(A739, "mmm-yy"), TEXT([2]GASOLINE!$B$5:$B$208, "mmm-yy"), [2]GASOLINE!$IK$5:$IK$208, "Not Found")</f>
        <v>0</v>
      </c>
      <c r="L739">
        <f t="shared" si="11"/>
        <v>0</v>
      </c>
      <c r="M739" cm="1">
        <f t="array" ref="M739">_xlfn.XLOOKUP(TEXT(A739, "mmm-yy"), TEXT([2]GASOLINE!$B$5:$B$208, "mmm-yy"), [2]GASOLINE!$C$5:$C$208, "Not Found")</f>
        <v>7003.1548535075272</v>
      </c>
      <c r="N739" cm="1">
        <f t="array" ref="N739">_xlfn.XLOOKUP(TEXT(A739, "mmm-yy"), TEXT([2]RUNS!$B$5:$B$208, "mmm-yy"), [2]RUNS!$BM$5:$BM$208, "Not Found")</f>
        <v>0.85210624476718499</v>
      </c>
    </row>
    <row r="740" spans="1:14" x14ac:dyDescent="0.25">
      <c r="A740" s="1">
        <f>'[1]Global_Spot Prices'!$B2049</f>
        <v>43039</v>
      </c>
      <c r="B740">
        <f>_xlfn.XLOOKUP(A740,'[1]Global_Spot Prices'!$B:$B,'[1]Global_Spot Prices'!$BS:$BS)</f>
        <v>11.75</v>
      </c>
      <c r="C740">
        <f>_xlfn.XLOOKUP(A740,'[1]Global_Spot Prices'!$B:$B,'[1]Global_Spot Prices'!$E:$E)</f>
        <v>58.3</v>
      </c>
      <c r="D740">
        <f>_xlfn.XLOOKUP(A740,'[1]Global_Spot Prices'!$B:$B,'[1]Global_Spot Prices'!$D:$D)</f>
        <v>60.93</v>
      </c>
      <c r="E740">
        <f>_xlfn.XLOOKUP(A740,'[1]Global_Spot Prices'!$B:$B,'[1]Global_Spot Prices'!$H:$H)</f>
        <v>61.41</v>
      </c>
      <c r="F740">
        <f>_xlfn.XLOOKUP(A740,'[1]Global_Spot Prices'!$B:$B,'[1]Global_Spot Prices'!$I:$I)</f>
        <v>70.05</v>
      </c>
      <c r="G740" cm="1">
        <f t="array" ref="G740">_xlfn.XLOOKUP(TEXT(A740, "mmm-yy"), TEXT([2]RUNS!$B$5:$B$208, "mmm-yy"), [2]RUNS!$D$5:$D$208, "Not Found")</f>
        <v>29274.791723972456</v>
      </c>
      <c r="H740" cm="1">
        <f t="array" ref="H740">SUMPRODUCT(
    --(TEXT('[3]Global Weekly Stock (EWSuez'!$B$4:$B$2000,"mmm-yy")=TEXT(A740,"mmm-yy")),
    '[3]Global Weekly Stock (EWSuez'!$E$4:$E$2000)
/
SUMPRODUCT(
    --(TEXT('[3]Global Weekly Stock (EWSuez'!$B$4:$B$2000,"mmm-yy")=TEXT(A740,"mmm-yy"))
)</f>
        <v>11301</v>
      </c>
      <c r="I740">
        <f>_xlfn.XLOOKUP(A740,[1]ForwardDeriv!$D:$D,[1]ForwardDeriv!$AJ:$AJ)</f>
        <v>0.75999999999999091</v>
      </c>
      <c r="J740" cm="1">
        <f t="array" ref="J740">_xlfn.XLOOKUP(TEXT(A740, "mmm-yy"), TEXT([2]GASOLINE!$B$5:$B$208, "mmm-yy"), [2]GASOLINE!$IR$5:$IR$208, "Not Found")</f>
        <v>30.020642677538717</v>
      </c>
      <c r="K740" cm="1">
        <f t="array" ref="K740">_xlfn.XLOOKUP(TEXT(A740, "mmm-yy"), TEXT([2]GASOLINE!$B$5:$B$208, "mmm-yy"), [2]GASOLINE!$IK$5:$IK$208, "Not Found")</f>
        <v>0</v>
      </c>
      <c r="L740">
        <f t="shared" si="11"/>
        <v>0</v>
      </c>
      <c r="M740" cm="1">
        <f t="array" ref="M740">_xlfn.XLOOKUP(TEXT(A740, "mmm-yy"), TEXT([2]GASOLINE!$B$5:$B$208, "mmm-yy"), [2]GASOLINE!$C$5:$C$208, "Not Found")</f>
        <v>7003.1548535075272</v>
      </c>
      <c r="N740" cm="1">
        <f t="array" ref="N740">_xlfn.XLOOKUP(TEXT(A740, "mmm-yy"), TEXT([2]RUNS!$B$5:$B$208, "mmm-yy"), [2]RUNS!$BM$5:$BM$208, "Not Found")</f>
        <v>0.85210624476718499</v>
      </c>
    </row>
    <row r="741" spans="1:14" x14ac:dyDescent="0.25">
      <c r="A741" s="1">
        <f>'[1]Global_Spot Prices'!$B2050</f>
        <v>43040</v>
      </c>
      <c r="B741">
        <f>_xlfn.XLOOKUP(A741,'[1]Global_Spot Prices'!$B:$B,'[1]Global_Spot Prices'!$BS:$BS)</f>
        <v>12.219999999999999</v>
      </c>
      <c r="C741">
        <f>_xlfn.XLOOKUP(A741,'[1]Global_Spot Prices'!$B:$B,'[1]Global_Spot Prices'!$E:$E)</f>
        <v>59.66</v>
      </c>
      <c r="D741">
        <f>_xlfn.XLOOKUP(A741,'[1]Global_Spot Prices'!$B:$B,'[1]Global_Spot Prices'!$D:$D)</f>
        <v>60.88</v>
      </c>
      <c r="E741">
        <f>_xlfn.XLOOKUP(A741,'[1]Global_Spot Prices'!$B:$B,'[1]Global_Spot Prices'!$H:$H)</f>
        <v>62.87</v>
      </c>
      <c r="F741">
        <f>_xlfn.XLOOKUP(A741,'[1]Global_Spot Prices'!$B:$B,'[1]Global_Spot Prices'!$I:$I)</f>
        <v>71.88</v>
      </c>
      <c r="G741" cm="1">
        <f t="array" ref="G741">_xlfn.XLOOKUP(TEXT(A741, "mmm-yy"), TEXT([2]RUNS!$B$5:$B$208, "mmm-yy"), [2]RUNS!$D$5:$D$208, "Not Found")</f>
        <v>29787.203861804352</v>
      </c>
      <c r="H741" cm="1">
        <f t="array" ref="H741">SUMPRODUCT(
    --(TEXT('[3]Global Weekly Stock (EWSuez'!$B$4:$B$2000,"mmm-yy")=TEXT(A741,"mmm-yy")),
    '[3]Global Weekly Stock (EWSuez'!$E$4:$E$2000)
/
SUMPRODUCT(
    --(TEXT('[3]Global Weekly Stock (EWSuez'!$B$4:$B$2000,"mmm-yy")=TEXT(A741,"mmm-yy"))
)</f>
        <v>11205.25</v>
      </c>
      <c r="I741">
        <f>_xlfn.XLOOKUP(A741,[1]ForwardDeriv!$D:$D,[1]ForwardDeriv!$AJ:$AJ)</f>
        <v>0.27999999999998693</v>
      </c>
      <c r="J741" cm="1">
        <f t="array" ref="J741">_xlfn.XLOOKUP(TEXT(A741, "mmm-yy"), TEXT([2]GASOLINE!$B$5:$B$208, "mmm-yy"), [2]GASOLINE!$IR$5:$IR$208, "Not Found")</f>
        <v>135.06304284840007</v>
      </c>
      <c r="K741" cm="1">
        <f t="array" ref="K741">_xlfn.XLOOKUP(TEXT(A741, "mmm-yy"), TEXT([2]GASOLINE!$B$5:$B$208, "mmm-yy"), [2]GASOLINE!$IK$5:$IK$208, "Not Found")</f>
        <v>0</v>
      </c>
      <c r="L741">
        <f t="shared" si="11"/>
        <v>0</v>
      </c>
      <c r="M741" cm="1">
        <f t="array" ref="M741">_xlfn.XLOOKUP(TEXT(A741, "mmm-yy"), TEXT([2]GASOLINE!$B$5:$B$208, "mmm-yy"), [2]GASOLINE!$C$5:$C$208, "Not Found")</f>
        <v>7084.6232008311326</v>
      </c>
      <c r="N741" cm="1">
        <f t="array" ref="N741">_xlfn.XLOOKUP(TEXT(A741, "mmm-yy"), TEXT([2]RUNS!$B$5:$B$208, "mmm-yy"), [2]RUNS!$BM$5:$BM$208, "Not Found")</f>
        <v>0.86040947266605683</v>
      </c>
    </row>
    <row r="742" spans="1:14" x14ac:dyDescent="0.25">
      <c r="A742" s="1">
        <f>'[1]Global_Spot Prices'!$B2051</f>
        <v>43041</v>
      </c>
      <c r="B742">
        <f>_xlfn.XLOOKUP(A742,'[1]Global_Spot Prices'!$B:$B,'[1]Global_Spot Prices'!$BS:$BS)</f>
        <v>12.369999999999997</v>
      </c>
      <c r="C742">
        <f>_xlfn.XLOOKUP(A742,'[1]Global_Spot Prices'!$B:$B,'[1]Global_Spot Prices'!$E:$E)</f>
        <v>58.54</v>
      </c>
      <c r="D742">
        <f>_xlfn.XLOOKUP(A742,'[1]Global_Spot Prices'!$B:$B,'[1]Global_Spot Prices'!$D:$D)</f>
        <v>60.475000000000001</v>
      </c>
      <c r="E742">
        <f>_xlfn.XLOOKUP(A742,'[1]Global_Spot Prices'!$B:$B,'[1]Global_Spot Prices'!$H:$H)</f>
        <v>62.02</v>
      </c>
      <c r="F742">
        <f>_xlfn.XLOOKUP(A742,'[1]Global_Spot Prices'!$B:$B,'[1]Global_Spot Prices'!$I:$I)</f>
        <v>70.91</v>
      </c>
      <c r="G742" cm="1">
        <f t="array" ref="G742">_xlfn.XLOOKUP(TEXT(A742, "mmm-yy"), TEXT([2]RUNS!$B$5:$B$208, "mmm-yy"), [2]RUNS!$D$5:$D$208, "Not Found")</f>
        <v>29787.203861804352</v>
      </c>
      <c r="H742" cm="1">
        <f t="array" ref="H742">SUMPRODUCT(
    --(TEXT('[3]Global Weekly Stock (EWSuez'!$B$4:$B$2000,"mmm-yy")=TEXT(A742,"mmm-yy")),
    '[3]Global Weekly Stock (EWSuez'!$E$4:$E$2000)
/
SUMPRODUCT(
    --(TEXT('[3]Global Weekly Stock (EWSuez'!$B$4:$B$2000,"mmm-yy")=TEXT(A742,"mmm-yy"))
)</f>
        <v>11205.25</v>
      </c>
      <c r="I742">
        <f>_xlfn.XLOOKUP(A742,[1]ForwardDeriv!$D:$D,[1]ForwardDeriv!$AJ:$AJ)</f>
        <v>0.34000000000000341</v>
      </c>
      <c r="J742" cm="1">
        <f t="array" ref="J742">_xlfn.XLOOKUP(TEXT(A742, "mmm-yy"), TEXT([2]GASOLINE!$B$5:$B$208, "mmm-yy"), [2]GASOLINE!$IR$5:$IR$208, "Not Found")</f>
        <v>135.06304284840007</v>
      </c>
      <c r="K742" cm="1">
        <f t="array" ref="K742">_xlfn.XLOOKUP(TEXT(A742, "mmm-yy"), TEXT([2]GASOLINE!$B$5:$B$208, "mmm-yy"), [2]GASOLINE!$IK$5:$IK$208, "Not Found")</f>
        <v>0</v>
      </c>
      <c r="L742">
        <f t="shared" si="11"/>
        <v>0</v>
      </c>
      <c r="M742" cm="1">
        <f t="array" ref="M742">_xlfn.XLOOKUP(TEXT(A742, "mmm-yy"), TEXT([2]GASOLINE!$B$5:$B$208, "mmm-yy"), [2]GASOLINE!$C$5:$C$208, "Not Found")</f>
        <v>7084.6232008311326</v>
      </c>
      <c r="N742" cm="1">
        <f t="array" ref="N742">_xlfn.XLOOKUP(TEXT(A742, "mmm-yy"), TEXT([2]RUNS!$B$5:$B$208, "mmm-yy"), [2]RUNS!$BM$5:$BM$208, "Not Found")</f>
        <v>0.86040947266605683</v>
      </c>
    </row>
    <row r="743" spans="1:14" x14ac:dyDescent="0.25">
      <c r="A743" s="1">
        <f>'[1]Global_Spot Prices'!$B2052</f>
        <v>43042</v>
      </c>
      <c r="B743">
        <f>_xlfn.XLOOKUP(A743,'[1]Global_Spot Prices'!$B:$B,'[1]Global_Spot Prices'!$BS:$BS)</f>
        <v>12.499999999999993</v>
      </c>
      <c r="C743">
        <f>_xlfn.XLOOKUP(A743,'[1]Global_Spot Prices'!$B:$B,'[1]Global_Spot Prices'!$E:$E)</f>
        <v>58.96</v>
      </c>
      <c r="D743">
        <f>_xlfn.XLOOKUP(A743,'[1]Global_Spot Prices'!$B:$B,'[1]Global_Spot Prices'!$D:$D)</f>
        <v>61.314999999999998</v>
      </c>
      <c r="E743">
        <f>_xlfn.XLOOKUP(A743,'[1]Global_Spot Prices'!$B:$B,'[1]Global_Spot Prices'!$H:$H)</f>
        <v>63.03</v>
      </c>
      <c r="F743">
        <f>_xlfn.XLOOKUP(A743,'[1]Global_Spot Prices'!$B:$B,'[1]Global_Spot Prices'!$I:$I)</f>
        <v>71.459999999999994</v>
      </c>
      <c r="G743" cm="1">
        <f t="array" ref="G743">_xlfn.XLOOKUP(TEXT(A743, "mmm-yy"), TEXT([2]RUNS!$B$5:$B$208, "mmm-yy"), [2]RUNS!$D$5:$D$208, "Not Found")</f>
        <v>29787.203861804352</v>
      </c>
      <c r="H743" cm="1">
        <f t="array" ref="H743">SUMPRODUCT(
    --(TEXT('[3]Global Weekly Stock (EWSuez'!$B$4:$B$2000,"mmm-yy")=TEXT(A743,"mmm-yy")),
    '[3]Global Weekly Stock (EWSuez'!$E$4:$E$2000)
/
SUMPRODUCT(
    --(TEXT('[3]Global Weekly Stock (EWSuez'!$B$4:$B$2000,"mmm-yy")=TEXT(A743,"mmm-yy"))
)</f>
        <v>11205.25</v>
      </c>
      <c r="I743">
        <f>_xlfn.XLOOKUP(A743,[1]ForwardDeriv!$D:$D,[1]ForwardDeriv!$AJ:$AJ)</f>
        <v>0.45000000000000284</v>
      </c>
      <c r="J743" cm="1">
        <f t="array" ref="J743">_xlfn.XLOOKUP(TEXT(A743, "mmm-yy"), TEXT([2]GASOLINE!$B$5:$B$208, "mmm-yy"), [2]GASOLINE!$IR$5:$IR$208, "Not Found")</f>
        <v>135.06304284840007</v>
      </c>
      <c r="K743" cm="1">
        <f t="array" ref="K743">_xlfn.XLOOKUP(TEXT(A743, "mmm-yy"), TEXT([2]GASOLINE!$B$5:$B$208, "mmm-yy"), [2]GASOLINE!$IK$5:$IK$208, "Not Found")</f>
        <v>0</v>
      </c>
      <c r="L743">
        <f t="shared" si="11"/>
        <v>0</v>
      </c>
      <c r="M743" cm="1">
        <f t="array" ref="M743">_xlfn.XLOOKUP(TEXT(A743, "mmm-yy"), TEXT([2]GASOLINE!$B$5:$B$208, "mmm-yy"), [2]GASOLINE!$C$5:$C$208, "Not Found")</f>
        <v>7084.6232008311326</v>
      </c>
      <c r="N743" cm="1">
        <f t="array" ref="N743">_xlfn.XLOOKUP(TEXT(A743, "mmm-yy"), TEXT([2]RUNS!$B$5:$B$208, "mmm-yy"), [2]RUNS!$BM$5:$BM$208, "Not Found")</f>
        <v>0.86040947266605683</v>
      </c>
    </row>
    <row r="744" spans="1:14" x14ac:dyDescent="0.25">
      <c r="A744" s="1">
        <f>'[1]Global_Spot Prices'!$B2053</f>
        <v>43045</v>
      </c>
      <c r="B744">
        <f>_xlfn.XLOOKUP(A744,'[1]Global_Spot Prices'!$B:$B,'[1]Global_Spot Prices'!$BS:$BS)</f>
        <v>12.329999999999998</v>
      </c>
      <c r="C744">
        <f>_xlfn.XLOOKUP(A744,'[1]Global_Spot Prices'!$B:$B,'[1]Global_Spot Prices'!$E:$E)</f>
        <v>60.61</v>
      </c>
      <c r="D744">
        <f>_xlfn.XLOOKUP(A744,'[1]Global_Spot Prices'!$B:$B,'[1]Global_Spot Prices'!$D:$D)</f>
        <v>64.069999999999993</v>
      </c>
      <c r="E744">
        <f>_xlfn.XLOOKUP(A744,'[1]Global_Spot Prices'!$B:$B,'[1]Global_Spot Prices'!$H:$H)</f>
        <v>64.17</v>
      </c>
      <c r="F744">
        <f>_xlfn.XLOOKUP(A744,'[1]Global_Spot Prices'!$B:$B,'[1]Global_Spot Prices'!$I:$I)</f>
        <v>72.94</v>
      </c>
      <c r="G744" cm="1">
        <f t="array" ref="G744">_xlfn.XLOOKUP(TEXT(A744, "mmm-yy"), TEXT([2]RUNS!$B$5:$B$208, "mmm-yy"), [2]RUNS!$D$5:$D$208, "Not Found")</f>
        <v>29787.203861804352</v>
      </c>
      <c r="H744" cm="1">
        <f t="array" ref="H744">SUMPRODUCT(
    --(TEXT('[3]Global Weekly Stock (EWSuez'!$B$4:$B$2000,"mmm-yy")=TEXT(A744,"mmm-yy")),
    '[3]Global Weekly Stock (EWSuez'!$E$4:$E$2000)
/
SUMPRODUCT(
    --(TEXT('[3]Global Weekly Stock (EWSuez'!$B$4:$B$2000,"mmm-yy")=TEXT(A744,"mmm-yy"))
)</f>
        <v>11205.25</v>
      </c>
      <c r="I744">
        <f>_xlfn.XLOOKUP(A744,[1]ForwardDeriv!$D:$D,[1]ForwardDeriv!$AJ:$AJ)</f>
        <v>0.46000000000000796</v>
      </c>
      <c r="J744" cm="1">
        <f t="array" ref="J744">_xlfn.XLOOKUP(TEXT(A744, "mmm-yy"), TEXT([2]GASOLINE!$B$5:$B$208, "mmm-yy"), [2]GASOLINE!$IR$5:$IR$208, "Not Found")</f>
        <v>135.06304284840007</v>
      </c>
      <c r="K744" cm="1">
        <f t="array" ref="K744">_xlfn.XLOOKUP(TEXT(A744, "mmm-yy"), TEXT([2]GASOLINE!$B$5:$B$208, "mmm-yy"), [2]GASOLINE!$IK$5:$IK$208, "Not Found")</f>
        <v>0</v>
      </c>
      <c r="L744">
        <f t="shared" si="11"/>
        <v>0</v>
      </c>
      <c r="M744" cm="1">
        <f t="array" ref="M744">_xlfn.XLOOKUP(TEXT(A744, "mmm-yy"), TEXT([2]GASOLINE!$B$5:$B$208, "mmm-yy"), [2]GASOLINE!$C$5:$C$208, "Not Found")</f>
        <v>7084.6232008311326</v>
      </c>
      <c r="N744" cm="1">
        <f t="array" ref="N744">_xlfn.XLOOKUP(TEXT(A744, "mmm-yy"), TEXT([2]RUNS!$B$5:$B$208, "mmm-yy"), [2]RUNS!$BM$5:$BM$208, "Not Found")</f>
        <v>0.86040947266605683</v>
      </c>
    </row>
    <row r="745" spans="1:14" x14ac:dyDescent="0.25">
      <c r="A745" s="1">
        <f>'[1]Global_Spot Prices'!$B2054</f>
        <v>43046</v>
      </c>
      <c r="B745">
        <f>_xlfn.XLOOKUP(A745,'[1]Global_Spot Prices'!$B:$B,'[1]Global_Spot Prices'!$BS:$BS)</f>
        <v>12.25</v>
      </c>
      <c r="C745">
        <f>_xlfn.XLOOKUP(A745,'[1]Global_Spot Prices'!$B:$B,'[1]Global_Spot Prices'!$E:$E)</f>
        <v>62.36</v>
      </c>
      <c r="D745">
        <f>_xlfn.XLOOKUP(A745,'[1]Global_Spot Prices'!$B:$B,'[1]Global_Spot Prices'!$D:$D)</f>
        <v>64.045000000000002</v>
      </c>
      <c r="E745">
        <f>_xlfn.XLOOKUP(A745,'[1]Global_Spot Prices'!$B:$B,'[1]Global_Spot Prices'!$H:$H)</f>
        <v>65.98</v>
      </c>
      <c r="F745">
        <f>_xlfn.XLOOKUP(A745,'[1]Global_Spot Prices'!$B:$B,'[1]Global_Spot Prices'!$I:$I)</f>
        <v>74.61</v>
      </c>
      <c r="G745" cm="1">
        <f t="array" ref="G745">_xlfn.XLOOKUP(TEXT(A745, "mmm-yy"), TEXT([2]RUNS!$B$5:$B$208, "mmm-yy"), [2]RUNS!$D$5:$D$208, "Not Found")</f>
        <v>29787.203861804352</v>
      </c>
      <c r="H745" cm="1">
        <f t="array" ref="H745">SUMPRODUCT(
    --(TEXT('[3]Global Weekly Stock (EWSuez'!$B$4:$B$2000,"mmm-yy")=TEXT(A745,"mmm-yy")),
    '[3]Global Weekly Stock (EWSuez'!$E$4:$E$2000)
/
SUMPRODUCT(
    --(TEXT('[3]Global Weekly Stock (EWSuez'!$B$4:$B$2000,"mmm-yy")=TEXT(A745,"mmm-yy"))
)</f>
        <v>11205.25</v>
      </c>
      <c r="I745">
        <f>_xlfn.XLOOKUP(A745,[1]ForwardDeriv!$D:$D,[1]ForwardDeriv!$AJ:$AJ)</f>
        <v>0.44000000000001194</v>
      </c>
      <c r="J745" cm="1">
        <f t="array" ref="J745">_xlfn.XLOOKUP(TEXT(A745, "mmm-yy"), TEXT([2]GASOLINE!$B$5:$B$208, "mmm-yy"), [2]GASOLINE!$IR$5:$IR$208, "Not Found")</f>
        <v>135.06304284840007</v>
      </c>
      <c r="K745" cm="1">
        <f t="array" ref="K745">_xlfn.XLOOKUP(TEXT(A745, "mmm-yy"), TEXT([2]GASOLINE!$B$5:$B$208, "mmm-yy"), [2]GASOLINE!$IK$5:$IK$208, "Not Found")</f>
        <v>0</v>
      </c>
      <c r="L745">
        <f t="shared" si="11"/>
        <v>0</v>
      </c>
      <c r="M745" cm="1">
        <f t="array" ref="M745">_xlfn.XLOOKUP(TEXT(A745, "mmm-yy"), TEXT([2]GASOLINE!$B$5:$B$208, "mmm-yy"), [2]GASOLINE!$C$5:$C$208, "Not Found")</f>
        <v>7084.6232008311326</v>
      </c>
      <c r="N745" cm="1">
        <f t="array" ref="N745">_xlfn.XLOOKUP(TEXT(A745, "mmm-yy"), TEXT([2]RUNS!$B$5:$B$208, "mmm-yy"), [2]RUNS!$BM$5:$BM$208, "Not Found")</f>
        <v>0.86040947266605683</v>
      </c>
    </row>
    <row r="746" spans="1:14" x14ac:dyDescent="0.25">
      <c r="A746" s="1">
        <f>'[1]Global_Spot Prices'!$B2055</f>
        <v>43047</v>
      </c>
      <c r="B746">
        <f>_xlfn.XLOOKUP(A746,'[1]Global_Spot Prices'!$B:$B,'[1]Global_Spot Prices'!$BS:$BS)</f>
        <v>12.100000000000009</v>
      </c>
      <c r="C746">
        <f>_xlfn.XLOOKUP(A746,'[1]Global_Spot Prices'!$B:$B,'[1]Global_Spot Prices'!$E:$E)</f>
        <v>61.8</v>
      </c>
      <c r="D746">
        <f>_xlfn.XLOOKUP(A746,'[1]Global_Spot Prices'!$B:$B,'[1]Global_Spot Prices'!$D:$D)</f>
        <v>64.040000000000006</v>
      </c>
      <c r="E746">
        <f>_xlfn.XLOOKUP(A746,'[1]Global_Spot Prices'!$B:$B,'[1]Global_Spot Prices'!$H:$H)</f>
        <v>64.84</v>
      </c>
      <c r="F746">
        <f>_xlfn.XLOOKUP(A746,'[1]Global_Spot Prices'!$B:$B,'[1]Global_Spot Prices'!$I:$I)</f>
        <v>73.900000000000006</v>
      </c>
      <c r="G746" cm="1">
        <f t="array" ref="G746">_xlfn.XLOOKUP(TEXT(A746, "mmm-yy"), TEXT([2]RUNS!$B$5:$B$208, "mmm-yy"), [2]RUNS!$D$5:$D$208, "Not Found")</f>
        <v>29787.203861804352</v>
      </c>
      <c r="H746" cm="1">
        <f t="array" ref="H746">SUMPRODUCT(
    --(TEXT('[3]Global Weekly Stock (EWSuez'!$B$4:$B$2000,"mmm-yy")=TEXT(A746,"mmm-yy")),
    '[3]Global Weekly Stock (EWSuez'!$E$4:$E$2000)
/
SUMPRODUCT(
    --(TEXT('[3]Global Weekly Stock (EWSuez'!$B$4:$B$2000,"mmm-yy")=TEXT(A746,"mmm-yy"))
)</f>
        <v>11205.25</v>
      </c>
      <c r="I746">
        <f>_xlfn.XLOOKUP(A746,[1]ForwardDeriv!$D:$D,[1]ForwardDeriv!$AJ:$AJ)</f>
        <v>0.37000000000000455</v>
      </c>
      <c r="J746" cm="1">
        <f t="array" ref="J746">_xlfn.XLOOKUP(TEXT(A746, "mmm-yy"), TEXT([2]GASOLINE!$B$5:$B$208, "mmm-yy"), [2]GASOLINE!$IR$5:$IR$208, "Not Found")</f>
        <v>135.06304284840007</v>
      </c>
      <c r="K746" cm="1">
        <f t="array" ref="K746">_xlfn.XLOOKUP(TEXT(A746, "mmm-yy"), TEXT([2]GASOLINE!$B$5:$B$208, "mmm-yy"), [2]GASOLINE!$IK$5:$IK$208, "Not Found")</f>
        <v>0</v>
      </c>
      <c r="L746">
        <f t="shared" si="11"/>
        <v>0</v>
      </c>
      <c r="M746" cm="1">
        <f t="array" ref="M746">_xlfn.XLOOKUP(TEXT(A746, "mmm-yy"), TEXT([2]GASOLINE!$B$5:$B$208, "mmm-yy"), [2]GASOLINE!$C$5:$C$208, "Not Found")</f>
        <v>7084.6232008311326</v>
      </c>
      <c r="N746" cm="1">
        <f t="array" ref="N746">_xlfn.XLOOKUP(TEXT(A746, "mmm-yy"), TEXT([2]RUNS!$B$5:$B$208, "mmm-yy"), [2]RUNS!$BM$5:$BM$208, "Not Found")</f>
        <v>0.86040947266605683</v>
      </c>
    </row>
    <row r="747" spans="1:14" x14ac:dyDescent="0.25">
      <c r="A747" s="1">
        <f>'[1]Global_Spot Prices'!$B2056</f>
        <v>43048</v>
      </c>
      <c r="B747">
        <f>_xlfn.XLOOKUP(A747,'[1]Global_Spot Prices'!$B:$B,'[1]Global_Spot Prices'!$BS:$BS)</f>
        <v>12.439999999999998</v>
      </c>
      <c r="C747">
        <f>_xlfn.XLOOKUP(A747,'[1]Global_Spot Prices'!$B:$B,'[1]Global_Spot Prices'!$E:$E)</f>
        <v>61.61</v>
      </c>
      <c r="D747">
        <f>_xlfn.XLOOKUP(A747,'[1]Global_Spot Prices'!$B:$B,'[1]Global_Spot Prices'!$D:$D)</f>
        <v>64.465000000000003</v>
      </c>
      <c r="E747">
        <f>_xlfn.XLOOKUP(A747,'[1]Global_Spot Prices'!$B:$B,'[1]Global_Spot Prices'!$H:$H)</f>
        <v>64.790000000000006</v>
      </c>
      <c r="F747">
        <f>_xlfn.XLOOKUP(A747,'[1]Global_Spot Prices'!$B:$B,'[1]Global_Spot Prices'!$I:$I)</f>
        <v>74.05</v>
      </c>
      <c r="G747" cm="1">
        <f t="array" ref="G747">_xlfn.XLOOKUP(TEXT(A747, "mmm-yy"), TEXT([2]RUNS!$B$5:$B$208, "mmm-yy"), [2]RUNS!$D$5:$D$208, "Not Found")</f>
        <v>29787.203861804352</v>
      </c>
      <c r="H747" cm="1">
        <f t="array" ref="H747">SUMPRODUCT(
    --(TEXT('[3]Global Weekly Stock (EWSuez'!$B$4:$B$2000,"mmm-yy")=TEXT(A747,"mmm-yy")),
    '[3]Global Weekly Stock (EWSuez'!$E$4:$E$2000)
/
SUMPRODUCT(
    --(TEXT('[3]Global Weekly Stock (EWSuez'!$B$4:$B$2000,"mmm-yy")=TEXT(A747,"mmm-yy"))
)</f>
        <v>11205.25</v>
      </c>
      <c r="I747">
        <f>_xlfn.XLOOKUP(A747,[1]ForwardDeriv!$D:$D,[1]ForwardDeriv!$AJ:$AJ)</f>
        <v>0.39999999999999147</v>
      </c>
      <c r="J747" cm="1">
        <f t="array" ref="J747">_xlfn.XLOOKUP(TEXT(A747, "mmm-yy"), TEXT([2]GASOLINE!$B$5:$B$208, "mmm-yy"), [2]GASOLINE!$IR$5:$IR$208, "Not Found")</f>
        <v>135.06304284840007</v>
      </c>
      <c r="K747" cm="1">
        <f t="array" ref="K747">_xlfn.XLOOKUP(TEXT(A747, "mmm-yy"), TEXT([2]GASOLINE!$B$5:$B$208, "mmm-yy"), [2]GASOLINE!$IK$5:$IK$208, "Not Found")</f>
        <v>0</v>
      </c>
      <c r="L747">
        <f t="shared" si="11"/>
        <v>0</v>
      </c>
      <c r="M747" cm="1">
        <f t="array" ref="M747">_xlfn.XLOOKUP(TEXT(A747, "mmm-yy"), TEXT([2]GASOLINE!$B$5:$B$208, "mmm-yy"), [2]GASOLINE!$C$5:$C$208, "Not Found")</f>
        <v>7084.6232008311326</v>
      </c>
      <c r="N747" cm="1">
        <f t="array" ref="N747">_xlfn.XLOOKUP(TEXT(A747, "mmm-yy"), TEXT([2]RUNS!$B$5:$B$208, "mmm-yy"), [2]RUNS!$BM$5:$BM$208, "Not Found")</f>
        <v>0.86040947266605683</v>
      </c>
    </row>
    <row r="748" spans="1:14" x14ac:dyDescent="0.25">
      <c r="A748" s="1">
        <f>'[1]Global_Spot Prices'!$B2057</f>
        <v>43049</v>
      </c>
      <c r="B748">
        <f>_xlfn.XLOOKUP(A748,'[1]Global_Spot Prices'!$B:$B,'[1]Global_Spot Prices'!$BS:$BS)</f>
        <v>12.519999999999996</v>
      </c>
      <c r="C748">
        <f>_xlfn.XLOOKUP(A748,'[1]Global_Spot Prices'!$B:$B,'[1]Global_Spot Prices'!$E:$E)</f>
        <v>62.06</v>
      </c>
      <c r="D748">
        <f>_xlfn.XLOOKUP(A748,'[1]Global_Spot Prices'!$B:$B,'[1]Global_Spot Prices'!$D:$D)</f>
        <v>64.215000000000003</v>
      </c>
      <c r="E748">
        <f>_xlfn.XLOOKUP(A748,'[1]Global_Spot Prices'!$B:$B,'[1]Global_Spot Prices'!$H:$H)</f>
        <v>65.64</v>
      </c>
      <c r="F748">
        <f>_xlfn.XLOOKUP(A748,'[1]Global_Spot Prices'!$B:$B,'[1]Global_Spot Prices'!$I:$I)</f>
        <v>74.58</v>
      </c>
      <c r="G748" cm="1">
        <f t="array" ref="G748">_xlfn.XLOOKUP(TEXT(A748, "mmm-yy"), TEXT([2]RUNS!$B$5:$B$208, "mmm-yy"), [2]RUNS!$D$5:$D$208, "Not Found")</f>
        <v>29787.203861804352</v>
      </c>
      <c r="H748" cm="1">
        <f t="array" ref="H748">SUMPRODUCT(
    --(TEXT('[3]Global Weekly Stock (EWSuez'!$B$4:$B$2000,"mmm-yy")=TEXT(A748,"mmm-yy")),
    '[3]Global Weekly Stock (EWSuez'!$E$4:$E$2000)
/
SUMPRODUCT(
    --(TEXT('[3]Global Weekly Stock (EWSuez'!$B$4:$B$2000,"mmm-yy")=TEXT(A748,"mmm-yy"))
)</f>
        <v>11205.25</v>
      </c>
      <c r="I748">
        <f>_xlfn.XLOOKUP(A748,[1]ForwardDeriv!$D:$D,[1]ForwardDeriv!$AJ:$AJ)</f>
        <v>0.54999999999999716</v>
      </c>
      <c r="J748" cm="1">
        <f t="array" ref="J748">_xlfn.XLOOKUP(TEXT(A748, "mmm-yy"), TEXT([2]GASOLINE!$B$5:$B$208, "mmm-yy"), [2]GASOLINE!$IR$5:$IR$208, "Not Found")</f>
        <v>135.06304284840007</v>
      </c>
      <c r="K748" cm="1">
        <f t="array" ref="K748">_xlfn.XLOOKUP(TEXT(A748, "mmm-yy"), TEXT([2]GASOLINE!$B$5:$B$208, "mmm-yy"), [2]GASOLINE!$IK$5:$IK$208, "Not Found")</f>
        <v>0</v>
      </c>
      <c r="L748">
        <f t="shared" si="11"/>
        <v>0</v>
      </c>
      <c r="M748" cm="1">
        <f t="array" ref="M748">_xlfn.XLOOKUP(TEXT(A748, "mmm-yy"), TEXT([2]GASOLINE!$B$5:$B$208, "mmm-yy"), [2]GASOLINE!$C$5:$C$208, "Not Found")</f>
        <v>7084.6232008311326</v>
      </c>
      <c r="N748" cm="1">
        <f t="array" ref="N748">_xlfn.XLOOKUP(TEXT(A748, "mmm-yy"), TEXT([2]RUNS!$B$5:$B$208, "mmm-yy"), [2]RUNS!$BM$5:$BM$208, "Not Found")</f>
        <v>0.86040947266605683</v>
      </c>
    </row>
    <row r="749" spans="1:14" x14ac:dyDescent="0.25">
      <c r="A749" s="1">
        <f>'[1]Global_Spot Prices'!$B2058</f>
        <v>43052</v>
      </c>
      <c r="B749">
        <f>_xlfn.XLOOKUP(A749,'[1]Global_Spot Prices'!$B:$B,'[1]Global_Spot Prices'!$BS:$BS)</f>
        <v>12.870000000000005</v>
      </c>
      <c r="C749">
        <f>_xlfn.XLOOKUP(A749,'[1]Global_Spot Prices'!$B:$B,'[1]Global_Spot Prices'!$E:$E)</f>
        <v>61.61</v>
      </c>
      <c r="D749">
        <f>_xlfn.XLOOKUP(A749,'[1]Global_Spot Prices'!$B:$B,'[1]Global_Spot Prices'!$D:$D)</f>
        <v>63.045000000000002</v>
      </c>
      <c r="E749">
        <f>_xlfn.XLOOKUP(A749,'[1]Global_Spot Prices'!$B:$B,'[1]Global_Spot Prices'!$H:$H)</f>
        <v>65.64</v>
      </c>
      <c r="F749">
        <f>_xlfn.XLOOKUP(A749,'[1]Global_Spot Prices'!$B:$B,'[1]Global_Spot Prices'!$I:$I)</f>
        <v>74.48</v>
      </c>
      <c r="G749" cm="1">
        <f t="array" ref="G749">_xlfn.XLOOKUP(TEXT(A749, "mmm-yy"), TEXT([2]RUNS!$B$5:$B$208, "mmm-yy"), [2]RUNS!$D$5:$D$208, "Not Found")</f>
        <v>29787.203861804352</v>
      </c>
      <c r="H749" cm="1">
        <f t="array" ref="H749">SUMPRODUCT(
    --(TEXT('[3]Global Weekly Stock (EWSuez'!$B$4:$B$2000,"mmm-yy")=TEXT(A749,"mmm-yy")),
    '[3]Global Weekly Stock (EWSuez'!$E$4:$E$2000)
/
SUMPRODUCT(
    --(TEXT('[3]Global Weekly Stock (EWSuez'!$B$4:$B$2000,"mmm-yy")=TEXT(A749,"mmm-yy"))
)</f>
        <v>11205.25</v>
      </c>
      <c r="I749">
        <f>_xlfn.XLOOKUP(A749,[1]ForwardDeriv!$D:$D,[1]ForwardDeriv!$AJ:$AJ)</f>
        <v>0.57000000000000739</v>
      </c>
      <c r="J749" cm="1">
        <f t="array" ref="J749">_xlfn.XLOOKUP(TEXT(A749, "mmm-yy"), TEXT([2]GASOLINE!$B$5:$B$208, "mmm-yy"), [2]GASOLINE!$IR$5:$IR$208, "Not Found")</f>
        <v>135.06304284840007</v>
      </c>
      <c r="K749" cm="1">
        <f t="array" ref="K749">_xlfn.XLOOKUP(TEXT(A749, "mmm-yy"), TEXT([2]GASOLINE!$B$5:$B$208, "mmm-yy"), [2]GASOLINE!$IK$5:$IK$208, "Not Found")</f>
        <v>0</v>
      </c>
      <c r="L749">
        <f t="shared" si="11"/>
        <v>0</v>
      </c>
      <c r="M749" cm="1">
        <f t="array" ref="M749">_xlfn.XLOOKUP(TEXT(A749, "mmm-yy"), TEXT([2]GASOLINE!$B$5:$B$208, "mmm-yy"), [2]GASOLINE!$C$5:$C$208, "Not Found")</f>
        <v>7084.6232008311326</v>
      </c>
      <c r="N749" cm="1">
        <f t="array" ref="N749">_xlfn.XLOOKUP(TEXT(A749, "mmm-yy"), TEXT([2]RUNS!$B$5:$B$208, "mmm-yy"), [2]RUNS!$BM$5:$BM$208, "Not Found")</f>
        <v>0.86040947266605683</v>
      </c>
    </row>
    <row r="750" spans="1:14" x14ac:dyDescent="0.25">
      <c r="A750" s="1">
        <f>'[1]Global_Spot Prices'!$B2059</f>
        <v>43053</v>
      </c>
      <c r="B750">
        <f>_xlfn.XLOOKUP(A750,'[1]Global_Spot Prices'!$B:$B,'[1]Global_Spot Prices'!$BS:$BS)</f>
        <v>12.46</v>
      </c>
      <c r="C750">
        <f>_xlfn.XLOOKUP(A750,'[1]Global_Spot Prices'!$B:$B,'[1]Global_Spot Prices'!$E:$E)</f>
        <v>61.24</v>
      </c>
      <c r="D750">
        <f>_xlfn.XLOOKUP(A750,'[1]Global_Spot Prices'!$B:$B,'[1]Global_Spot Prices'!$D:$D)</f>
        <v>60.98</v>
      </c>
      <c r="E750">
        <f>_xlfn.XLOOKUP(A750,'[1]Global_Spot Prices'!$B:$B,'[1]Global_Spot Prices'!$H:$H)</f>
        <v>65.42</v>
      </c>
      <c r="F750">
        <f>_xlfn.XLOOKUP(A750,'[1]Global_Spot Prices'!$B:$B,'[1]Global_Spot Prices'!$I:$I)</f>
        <v>73.7</v>
      </c>
      <c r="G750" cm="1">
        <f t="array" ref="G750">_xlfn.XLOOKUP(TEXT(A750, "mmm-yy"), TEXT([2]RUNS!$B$5:$B$208, "mmm-yy"), [2]RUNS!$D$5:$D$208, "Not Found")</f>
        <v>29787.203861804352</v>
      </c>
      <c r="H750" cm="1">
        <f t="array" ref="H750">SUMPRODUCT(
    --(TEXT('[3]Global Weekly Stock (EWSuez'!$B$4:$B$2000,"mmm-yy")=TEXT(A750,"mmm-yy")),
    '[3]Global Weekly Stock (EWSuez'!$E$4:$E$2000)
/
SUMPRODUCT(
    --(TEXT('[3]Global Weekly Stock (EWSuez'!$B$4:$B$2000,"mmm-yy")=TEXT(A750,"mmm-yy"))
)</f>
        <v>11205.25</v>
      </c>
      <c r="I750">
        <f>_xlfn.XLOOKUP(A750,[1]ForwardDeriv!$D:$D,[1]ForwardDeriv!$AJ:$AJ)</f>
        <v>0.45999999999999375</v>
      </c>
      <c r="J750" cm="1">
        <f t="array" ref="J750">_xlfn.XLOOKUP(TEXT(A750, "mmm-yy"), TEXT([2]GASOLINE!$B$5:$B$208, "mmm-yy"), [2]GASOLINE!$IR$5:$IR$208, "Not Found")</f>
        <v>135.06304284840007</v>
      </c>
      <c r="K750" cm="1">
        <f t="array" ref="K750">_xlfn.XLOOKUP(TEXT(A750, "mmm-yy"), TEXT([2]GASOLINE!$B$5:$B$208, "mmm-yy"), [2]GASOLINE!$IK$5:$IK$208, "Not Found")</f>
        <v>0</v>
      </c>
      <c r="L750">
        <f t="shared" si="11"/>
        <v>0</v>
      </c>
      <c r="M750" cm="1">
        <f t="array" ref="M750">_xlfn.XLOOKUP(TEXT(A750, "mmm-yy"), TEXT([2]GASOLINE!$B$5:$B$208, "mmm-yy"), [2]GASOLINE!$C$5:$C$208, "Not Found")</f>
        <v>7084.6232008311326</v>
      </c>
      <c r="N750" cm="1">
        <f t="array" ref="N750">_xlfn.XLOOKUP(TEXT(A750, "mmm-yy"), TEXT([2]RUNS!$B$5:$B$208, "mmm-yy"), [2]RUNS!$BM$5:$BM$208, "Not Found")</f>
        <v>0.86040947266605683</v>
      </c>
    </row>
    <row r="751" spans="1:14" x14ac:dyDescent="0.25">
      <c r="A751" s="1">
        <f>'[1]Global_Spot Prices'!$B2060</f>
        <v>43054</v>
      </c>
      <c r="B751">
        <f>_xlfn.XLOOKUP(A751,'[1]Global_Spot Prices'!$B:$B,'[1]Global_Spot Prices'!$BS:$BS)</f>
        <v>11.93</v>
      </c>
      <c r="C751">
        <f>_xlfn.XLOOKUP(A751,'[1]Global_Spot Prices'!$B:$B,'[1]Global_Spot Prices'!$E:$E)</f>
        <v>60.01</v>
      </c>
      <c r="D751">
        <f>_xlfn.XLOOKUP(A751,'[1]Global_Spot Prices'!$B:$B,'[1]Global_Spot Prices'!$D:$D)</f>
        <v>61.26</v>
      </c>
      <c r="E751">
        <f>_xlfn.XLOOKUP(A751,'[1]Global_Spot Prices'!$B:$B,'[1]Global_Spot Prices'!$H:$H)</f>
        <v>63.65</v>
      </c>
      <c r="F751">
        <f>_xlfn.XLOOKUP(A751,'[1]Global_Spot Prices'!$B:$B,'[1]Global_Spot Prices'!$I:$I)</f>
        <v>71.94</v>
      </c>
      <c r="G751" cm="1">
        <f t="array" ref="G751">_xlfn.XLOOKUP(TEXT(A751, "mmm-yy"), TEXT([2]RUNS!$B$5:$B$208, "mmm-yy"), [2]RUNS!$D$5:$D$208, "Not Found")</f>
        <v>29787.203861804352</v>
      </c>
      <c r="H751" cm="1">
        <f t="array" ref="H751">SUMPRODUCT(
    --(TEXT('[3]Global Weekly Stock (EWSuez'!$B$4:$B$2000,"mmm-yy")=TEXT(A751,"mmm-yy")),
    '[3]Global Weekly Stock (EWSuez'!$E$4:$E$2000)
/
SUMPRODUCT(
    --(TEXT('[3]Global Weekly Stock (EWSuez'!$B$4:$B$2000,"mmm-yy")=TEXT(A751,"mmm-yy"))
)</f>
        <v>11205.25</v>
      </c>
      <c r="I751">
        <f>_xlfn.XLOOKUP(A751,[1]ForwardDeriv!$D:$D,[1]ForwardDeriv!$AJ:$AJ)</f>
        <v>0.39000000000000057</v>
      </c>
      <c r="J751" cm="1">
        <f t="array" ref="J751">_xlfn.XLOOKUP(TEXT(A751, "mmm-yy"), TEXT([2]GASOLINE!$B$5:$B$208, "mmm-yy"), [2]GASOLINE!$IR$5:$IR$208, "Not Found")</f>
        <v>135.06304284840007</v>
      </c>
      <c r="K751" cm="1">
        <f t="array" ref="K751">_xlfn.XLOOKUP(TEXT(A751, "mmm-yy"), TEXT([2]GASOLINE!$B$5:$B$208, "mmm-yy"), [2]GASOLINE!$IK$5:$IK$208, "Not Found")</f>
        <v>0</v>
      </c>
      <c r="L751">
        <f t="shared" si="11"/>
        <v>0</v>
      </c>
      <c r="M751" cm="1">
        <f t="array" ref="M751">_xlfn.XLOOKUP(TEXT(A751, "mmm-yy"), TEXT([2]GASOLINE!$B$5:$B$208, "mmm-yy"), [2]GASOLINE!$C$5:$C$208, "Not Found")</f>
        <v>7084.6232008311326</v>
      </c>
      <c r="N751" cm="1">
        <f t="array" ref="N751">_xlfn.XLOOKUP(TEXT(A751, "mmm-yy"), TEXT([2]RUNS!$B$5:$B$208, "mmm-yy"), [2]RUNS!$BM$5:$BM$208, "Not Found")</f>
        <v>0.86040947266605683</v>
      </c>
    </row>
    <row r="752" spans="1:14" x14ac:dyDescent="0.25">
      <c r="A752" s="1">
        <f>'[1]Global_Spot Prices'!$B2061</f>
        <v>43055</v>
      </c>
      <c r="B752">
        <f>_xlfn.XLOOKUP(A752,'[1]Global_Spot Prices'!$B:$B,'[1]Global_Spot Prices'!$BS:$BS)</f>
        <v>11.850000000000001</v>
      </c>
      <c r="C752">
        <f>_xlfn.XLOOKUP(A752,'[1]Global_Spot Prices'!$B:$B,'[1]Global_Spot Prices'!$E:$E)</f>
        <v>60.35</v>
      </c>
      <c r="D752">
        <f>_xlfn.XLOOKUP(A752,'[1]Global_Spot Prices'!$B:$B,'[1]Global_Spot Prices'!$D:$D)</f>
        <v>61.134999999999998</v>
      </c>
      <c r="E752">
        <f>_xlfn.XLOOKUP(A752,'[1]Global_Spot Prices'!$B:$B,'[1]Global_Spot Prices'!$H:$H)</f>
        <v>64.2</v>
      </c>
      <c r="F752">
        <f>_xlfn.XLOOKUP(A752,'[1]Global_Spot Prices'!$B:$B,'[1]Global_Spot Prices'!$I:$I)</f>
        <v>72.2</v>
      </c>
      <c r="G752" cm="1">
        <f t="array" ref="G752">_xlfn.XLOOKUP(TEXT(A752, "mmm-yy"), TEXT([2]RUNS!$B$5:$B$208, "mmm-yy"), [2]RUNS!$D$5:$D$208, "Not Found")</f>
        <v>29787.203861804352</v>
      </c>
      <c r="H752" cm="1">
        <f t="array" ref="H752">SUMPRODUCT(
    --(TEXT('[3]Global Weekly Stock (EWSuez'!$B$4:$B$2000,"mmm-yy")=TEXT(A752,"mmm-yy")),
    '[3]Global Weekly Stock (EWSuez'!$E$4:$E$2000)
/
SUMPRODUCT(
    --(TEXT('[3]Global Weekly Stock (EWSuez'!$B$4:$B$2000,"mmm-yy")=TEXT(A752,"mmm-yy"))
)</f>
        <v>11205.25</v>
      </c>
      <c r="I752">
        <f>_xlfn.XLOOKUP(A752,[1]ForwardDeriv!$D:$D,[1]ForwardDeriv!$AJ:$AJ)</f>
        <v>0.34999999999999432</v>
      </c>
      <c r="J752" cm="1">
        <f t="array" ref="J752">_xlfn.XLOOKUP(TEXT(A752, "mmm-yy"), TEXT([2]GASOLINE!$B$5:$B$208, "mmm-yy"), [2]GASOLINE!$IR$5:$IR$208, "Not Found")</f>
        <v>135.06304284840007</v>
      </c>
      <c r="K752" cm="1">
        <f t="array" ref="K752">_xlfn.XLOOKUP(TEXT(A752, "mmm-yy"), TEXT([2]GASOLINE!$B$5:$B$208, "mmm-yy"), [2]GASOLINE!$IK$5:$IK$208, "Not Found")</f>
        <v>0</v>
      </c>
      <c r="L752">
        <f t="shared" si="11"/>
        <v>0</v>
      </c>
      <c r="M752" cm="1">
        <f t="array" ref="M752">_xlfn.XLOOKUP(TEXT(A752, "mmm-yy"), TEXT([2]GASOLINE!$B$5:$B$208, "mmm-yy"), [2]GASOLINE!$C$5:$C$208, "Not Found")</f>
        <v>7084.6232008311326</v>
      </c>
      <c r="N752" cm="1">
        <f t="array" ref="N752">_xlfn.XLOOKUP(TEXT(A752, "mmm-yy"), TEXT([2]RUNS!$B$5:$B$208, "mmm-yy"), [2]RUNS!$BM$5:$BM$208, "Not Found")</f>
        <v>0.86040947266605683</v>
      </c>
    </row>
    <row r="753" spans="1:14" x14ac:dyDescent="0.25">
      <c r="A753" s="1">
        <f>'[1]Global_Spot Prices'!$B2062</f>
        <v>43056</v>
      </c>
      <c r="B753">
        <f>_xlfn.XLOOKUP(A753,'[1]Global_Spot Prices'!$B:$B,'[1]Global_Spot Prices'!$BS:$BS)</f>
        <v>11.79</v>
      </c>
      <c r="C753">
        <f>_xlfn.XLOOKUP(A753,'[1]Global_Spot Prices'!$B:$B,'[1]Global_Spot Prices'!$E:$E)</f>
        <v>59.65</v>
      </c>
      <c r="D753">
        <f>_xlfn.XLOOKUP(A753,'[1]Global_Spot Prices'!$B:$B,'[1]Global_Spot Prices'!$D:$D)</f>
        <v>61.91</v>
      </c>
      <c r="E753">
        <f>_xlfn.XLOOKUP(A753,'[1]Global_Spot Prices'!$B:$B,'[1]Global_Spot Prices'!$H:$H)</f>
        <v>63.23</v>
      </c>
      <c r="F753">
        <f>_xlfn.XLOOKUP(A753,'[1]Global_Spot Prices'!$B:$B,'[1]Global_Spot Prices'!$I:$I)</f>
        <v>71.44</v>
      </c>
      <c r="G753" cm="1">
        <f t="array" ref="G753">_xlfn.XLOOKUP(TEXT(A753, "mmm-yy"), TEXT([2]RUNS!$B$5:$B$208, "mmm-yy"), [2]RUNS!$D$5:$D$208, "Not Found")</f>
        <v>29787.203861804352</v>
      </c>
      <c r="H753" cm="1">
        <f t="array" ref="H753">SUMPRODUCT(
    --(TEXT('[3]Global Weekly Stock (EWSuez'!$B$4:$B$2000,"mmm-yy")=TEXT(A753,"mmm-yy")),
    '[3]Global Weekly Stock (EWSuez'!$E$4:$E$2000)
/
SUMPRODUCT(
    --(TEXT('[3]Global Weekly Stock (EWSuez'!$B$4:$B$2000,"mmm-yy")=TEXT(A753,"mmm-yy"))
)</f>
        <v>11205.25</v>
      </c>
      <c r="I753">
        <f>_xlfn.XLOOKUP(A753,[1]ForwardDeriv!$D:$D,[1]ForwardDeriv!$AJ:$AJ)</f>
        <v>0.35999999999999943</v>
      </c>
      <c r="J753" cm="1">
        <f t="array" ref="J753">_xlfn.XLOOKUP(TEXT(A753, "mmm-yy"), TEXT([2]GASOLINE!$B$5:$B$208, "mmm-yy"), [2]GASOLINE!$IR$5:$IR$208, "Not Found")</f>
        <v>135.06304284840007</v>
      </c>
      <c r="K753" cm="1">
        <f t="array" ref="K753">_xlfn.XLOOKUP(TEXT(A753, "mmm-yy"), TEXT([2]GASOLINE!$B$5:$B$208, "mmm-yy"), [2]GASOLINE!$IK$5:$IK$208, "Not Found")</f>
        <v>0</v>
      </c>
      <c r="L753">
        <f t="shared" si="11"/>
        <v>0</v>
      </c>
      <c r="M753" cm="1">
        <f t="array" ref="M753">_xlfn.XLOOKUP(TEXT(A753, "mmm-yy"), TEXT([2]GASOLINE!$B$5:$B$208, "mmm-yy"), [2]GASOLINE!$C$5:$C$208, "Not Found")</f>
        <v>7084.6232008311326</v>
      </c>
      <c r="N753" cm="1">
        <f t="array" ref="N753">_xlfn.XLOOKUP(TEXT(A753, "mmm-yy"), TEXT([2]RUNS!$B$5:$B$208, "mmm-yy"), [2]RUNS!$BM$5:$BM$208, "Not Found")</f>
        <v>0.86040947266605683</v>
      </c>
    </row>
    <row r="754" spans="1:14" x14ac:dyDescent="0.25">
      <c r="A754" s="1">
        <f>'[1]Global_Spot Prices'!$B2063</f>
        <v>43059</v>
      </c>
      <c r="B754">
        <f>_xlfn.XLOOKUP(A754,'[1]Global_Spot Prices'!$B:$B,'[1]Global_Spot Prices'!$BS:$BS)</f>
        <v>12.159999999999997</v>
      </c>
      <c r="C754">
        <f>_xlfn.XLOOKUP(A754,'[1]Global_Spot Prices'!$B:$B,'[1]Global_Spot Prices'!$E:$E)</f>
        <v>60.66</v>
      </c>
      <c r="D754">
        <f>_xlfn.XLOOKUP(A754,'[1]Global_Spot Prices'!$B:$B,'[1]Global_Spot Prices'!$D:$D)</f>
        <v>61.375</v>
      </c>
      <c r="E754">
        <f>_xlfn.XLOOKUP(A754,'[1]Global_Spot Prices'!$B:$B,'[1]Global_Spot Prices'!$H:$H)</f>
        <v>63.89</v>
      </c>
      <c r="F754">
        <f>_xlfn.XLOOKUP(A754,'[1]Global_Spot Prices'!$B:$B,'[1]Global_Spot Prices'!$I:$I)</f>
        <v>72.819999999999993</v>
      </c>
      <c r="G754" cm="1">
        <f t="array" ref="G754">_xlfn.XLOOKUP(TEXT(A754, "mmm-yy"), TEXT([2]RUNS!$B$5:$B$208, "mmm-yy"), [2]RUNS!$D$5:$D$208, "Not Found")</f>
        <v>29787.203861804352</v>
      </c>
      <c r="H754" cm="1">
        <f t="array" ref="H754">SUMPRODUCT(
    --(TEXT('[3]Global Weekly Stock (EWSuez'!$B$4:$B$2000,"mmm-yy")=TEXT(A754,"mmm-yy")),
    '[3]Global Weekly Stock (EWSuez'!$E$4:$E$2000)
/
SUMPRODUCT(
    --(TEXT('[3]Global Weekly Stock (EWSuez'!$B$4:$B$2000,"mmm-yy")=TEXT(A754,"mmm-yy"))
)</f>
        <v>11205.25</v>
      </c>
      <c r="I754">
        <f>_xlfn.XLOOKUP(A754,[1]ForwardDeriv!$D:$D,[1]ForwardDeriv!$AJ:$AJ)</f>
        <v>0.40000000000000568</v>
      </c>
      <c r="J754" cm="1">
        <f t="array" ref="J754">_xlfn.XLOOKUP(TEXT(A754, "mmm-yy"), TEXT([2]GASOLINE!$B$5:$B$208, "mmm-yy"), [2]GASOLINE!$IR$5:$IR$208, "Not Found")</f>
        <v>135.06304284840007</v>
      </c>
      <c r="K754" cm="1">
        <f t="array" ref="K754">_xlfn.XLOOKUP(TEXT(A754, "mmm-yy"), TEXT([2]GASOLINE!$B$5:$B$208, "mmm-yy"), [2]GASOLINE!$IK$5:$IK$208, "Not Found")</f>
        <v>0</v>
      </c>
      <c r="L754">
        <f t="shared" si="11"/>
        <v>0</v>
      </c>
      <c r="M754" cm="1">
        <f t="array" ref="M754">_xlfn.XLOOKUP(TEXT(A754, "mmm-yy"), TEXT([2]GASOLINE!$B$5:$B$208, "mmm-yy"), [2]GASOLINE!$C$5:$C$208, "Not Found")</f>
        <v>7084.6232008311326</v>
      </c>
      <c r="N754" cm="1">
        <f t="array" ref="N754">_xlfn.XLOOKUP(TEXT(A754, "mmm-yy"), TEXT([2]RUNS!$B$5:$B$208, "mmm-yy"), [2]RUNS!$BM$5:$BM$208, "Not Found")</f>
        <v>0.86040947266605683</v>
      </c>
    </row>
    <row r="755" spans="1:14" x14ac:dyDescent="0.25">
      <c r="A755" s="1">
        <f>'[1]Global_Spot Prices'!$B2064</f>
        <v>43060</v>
      </c>
      <c r="B755">
        <f>_xlfn.XLOOKUP(A755,'[1]Global_Spot Prices'!$B:$B,'[1]Global_Spot Prices'!$BS:$BS)</f>
        <v>12.240000000000002</v>
      </c>
      <c r="C755">
        <f>_xlfn.XLOOKUP(A755,'[1]Global_Spot Prices'!$B:$B,'[1]Global_Spot Prices'!$E:$E)</f>
        <v>60.51</v>
      </c>
      <c r="D755">
        <f>_xlfn.XLOOKUP(A755,'[1]Global_Spot Prices'!$B:$B,'[1]Global_Spot Prices'!$D:$D)</f>
        <v>62.04</v>
      </c>
      <c r="E755">
        <f>_xlfn.XLOOKUP(A755,'[1]Global_Spot Prices'!$B:$B,'[1]Global_Spot Prices'!$H:$H)</f>
        <v>63.61</v>
      </c>
      <c r="F755">
        <f>_xlfn.XLOOKUP(A755,'[1]Global_Spot Prices'!$B:$B,'[1]Global_Spot Prices'!$I:$I)</f>
        <v>72.75</v>
      </c>
      <c r="G755" cm="1">
        <f t="array" ref="G755">_xlfn.XLOOKUP(TEXT(A755, "mmm-yy"), TEXT([2]RUNS!$B$5:$B$208, "mmm-yy"), [2]RUNS!$D$5:$D$208, "Not Found")</f>
        <v>29787.203861804352</v>
      </c>
      <c r="H755" cm="1">
        <f t="array" ref="H755">SUMPRODUCT(
    --(TEXT('[3]Global Weekly Stock (EWSuez'!$B$4:$B$2000,"mmm-yy")=TEXT(A755,"mmm-yy")),
    '[3]Global Weekly Stock (EWSuez'!$E$4:$E$2000)
/
SUMPRODUCT(
    --(TEXT('[3]Global Weekly Stock (EWSuez'!$B$4:$B$2000,"mmm-yy")=TEXT(A755,"mmm-yy"))
)</f>
        <v>11205.25</v>
      </c>
      <c r="I755">
        <f>_xlfn.XLOOKUP(A755,[1]ForwardDeriv!$D:$D,[1]ForwardDeriv!$AJ:$AJ)</f>
        <v>0.48999999999999488</v>
      </c>
      <c r="J755" cm="1">
        <f t="array" ref="J755">_xlfn.XLOOKUP(TEXT(A755, "mmm-yy"), TEXT([2]GASOLINE!$B$5:$B$208, "mmm-yy"), [2]GASOLINE!$IR$5:$IR$208, "Not Found")</f>
        <v>135.06304284840007</v>
      </c>
      <c r="K755" cm="1">
        <f t="array" ref="K755">_xlfn.XLOOKUP(TEXT(A755, "mmm-yy"), TEXT([2]GASOLINE!$B$5:$B$208, "mmm-yy"), [2]GASOLINE!$IK$5:$IK$208, "Not Found")</f>
        <v>0</v>
      </c>
      <c r="L755">
        <f t="shared" si="11"/>
        <v>0</v>
      </c>
      <c r="M755" cm="1">
        <f t="array" ref="M755">_xlfn.XLOOKUP(TEXT(A755, "mmm-yy"), TEXT([2]GASOLINE!$B$5:$B$208, "mmm-yy"), [2]GASOLINE!$C$5:$C$208, "Not Found")</f>
        <v>7084.6232008311326</v>
      </c>
      <c r="N755" cm="1">
        <f t="array" ref="N755">_xlfn.XLOOKUP(TEXT(A755, "mmm-yy"), TEXT([2]RUNS!$B$5:$B$208, "mmm-yy"), [2]RUNS!$BM$5:$BM$208, "Not Found")</f>
        <v>0.86040947266605683</v>
      </c>
    </row>
    <row r="756" spans="1:14" x14ac:dyDescent="0.25">
      <c r="A756" s="1">
        <f>'[1]Global_Spot Prices'!$B2065</f>
        <v>43061</v>
      </c>
      <c r="B756">
        <f>_xlfn.XLOOKUP(A756,'[1]Global_Spot Prices'!$B:$B,'[1]Global_Spot Prices'!$BS:$BS)</f>
        <v>12.259999999999998</v>
      </c>
      <c r="C756">
        <f>_xlfn.XLOOKUP(A756,'[1]Global_Spot Prices'!$B:$B,'[1]Global_Spot Prices'!$E:$E)</f>
        <v>61.15</v>
      </c>
      <c r="D756">
        <f>_xlfn.XLOOKUP(A756,'[1]Global_Spot Prices'!$B:$B,'[1]Global_Spot Prices'!$D:$D)</f>
        <v>62.58</v>
      </c>
      <c r="E756">
        <f>_xlfn.XLOOKUP(A756,'[1]Global_Spot Prices'!$B:$B,'[1]Global_Spot Prices'!$H:$H)</f>
        <v>64.39</v>
      </c>
      <c r="F756">
        <f>_xlfn.XLOOKUP(A756,'[1]Global_Spot Prices'!$B:$B,'[1]Global_Spot Prices'!$I:$I)</f>
        <v>73.41</v>
      </c>
      <c r="G756" cm="1">
        <f t="array" ref="G756">_xlfn.XLOOKUP(TEXT(A756, "mmm-yy"), TEXT([2]RUNS!$B$5:$B$208, "mmm-yy"), [2]RUNS!$D$5:$D$208, "Not Found")</f>
        <v>29787.203861804352</v>
      </c>
      <c r="H756" cm="1">
        <f t="array" ref="H756">SUMPRODUCT(
    --(TEXT('[3]Global Weekly Stock (EWSuez'!$B$4:$B$2000,"mmm-yy")=TEXT(A756,"mmm-yy")),
    '[3]Global Weekly Stock (EWSuez'!$E$4:$E$2000)
/
SUMPRODUCT(
    --(TEXT('[3]Global Weekly Stock (EWSuez'!$B$4:$B$2000,"mmm-yy")=TEXT(A756,"mmm-yy"))
)</f>
        <v>11205.25</v>
      </c>
      <c r="I756">
        <f>_xlfn.XLOOKUP(A756,[1]ForwardDeriv!$D:$D,[1]ForwardDeriv!$AJ:$AJ)</f>
        <v>0.56000000000000227</v>
      </c>
      <c r="J756" cm="1">
        <f t="array" ref="J756">_xlfn.XLOOKUP(TEXT(A756, "mmm-yy"), TEXT([2]GASOLINE!$B$5:$B$208, "mmm-yy"), [2]GASOLINE!$IR$5:$IR$208, "Not Found")</f>
        <v>135.06304284840007</v>
      </c>
      <c r="K756" cm="1">
        <f t="array" ref="K756">_xlfn.XLOOKUP(TEXT(A756, "mmm-yy"), TEXT([2]GASOLINE!$B$5:$B$208, "mmm-yy"), [2]GASOLINE!$IK$5:$IK$208, "Not Found")</f>
        <v>0</v>
      </c>
      <c r="L756">
        <f t="shared" si="11"/>
        <v>0</v>
      </c>
      <c r="M756" cm="1">
        <f t="array" ref="M756">_xlfn.XLOOKUP(TEXT(A756, "mmm-yy"), TEXT([2]GASOLINE!$B$5:$B$208, "mmm-yy"), [2]GASOLINE!$C$5:$C$208, "Not Found")</f>
        <v>7084.6232008311326</v>
      </c>
      <c r="N756" cm="1">
        <f t="array" ref="N756">_xlfn.XLOOKUP(TEXT(A756, "mmm-yy"), TEXT([2]RUNS!$B$5:$B$208, "mmm-yy"), [2]RUNS!$BM$5:$BM$208, "Not Found")</f>
        <v>0.86040947266605683</v>
      </c>
    </row>
    <row r="757" spans="1:14" x14ac:dyDescent="0.25">
      <c r="A757" s="1">
        <f>'[1]Global_Spot Prices'!$B2066</f>
        <v>43062</v>
      </c>
      <c r="B757">
        <f>_xlfn.XLOOKUP(A757,'[1]Global_Spot Prices'!$B:$B,'[1]Global_Spot Prices'!$BS:$BS)</f>
        <v>11.854999999999997</v>
      </c>
      <c r="C757">
        <f>_xlfn.XLOOKUP(A757,'[1]Global_Spot Prices'!$B:$B,'[1]Global_Spot Prices'!$E:$E)</f>
        <v>61.055</v>
      </c>
      <c r="D757">
        <f>_xlfn.XLOOKUP(A757,'[1]Global_Spot Prices'!$B:$B,'[1]Global_Spot Prices'!$D:$D)</f>
        <v>62.92</v>
      </c>
      <c r="E757">
        <f>_xlfn.XLOOKUP(A757,'[1]Global_Spot Prices'!$B:$B,'[1]Global_Spot Prices'!$H:$H)</f>
        <v>64.489999999999995</v>
      </c>
      <c r="F757">
        <f>_xlfn.XLOOKUP(A757,'[1]Global_Spot Prices'!$B:$B,'[1]Global_Spot Prices'!$I:$I)</f>
        <v>72.91</v>
      </c>
      <c r="G757" cm="1">
        <f t="array" ref="G757">_xlfn.XLOOKUP(TEXT(A757, "mmm-yy"), TEXT([2]RUNS!$B$5:$B$208, "mmm-yy"), [2]RUNS!$D$5:$D$208, "Not Found")</f>
        <v>29787.203861804352</v>
      </c>
      <c r="H757" cm="1">
        <f t="array" ref="H757">SUMPRODUCT(
    --(TEXT('[3]Global Weekly Stock (EWSuez'!$B$4:$B$2000,"mmm-yy")=TEXT(A757,"mmm-yy")),
    '[3]Global Weekly Stock (EWSuez'!$E$4:$E$2000)
/
SUMPRODUCT(
    --(TEXT('[3]Global Weekly Stock (EWSuez'!$B$4:$B$2000,"mmm-yy")=TEXT(A757,"mmm-yy"))
)</f>
        <v>11205.25</v>
      </c>
      <c r="I757">
        <f>_xlfn.XLOOKUP(A757,[1]ForwardDeriv!$D:$D,[1]ForwardDeriv!$AJ:$AJ)</f>
        <v>0.54999999999999716</v>
      </c>
      <c r="J757" cm="1">
        <f t="array" ref="J757">_xlfn.XLOOKUP(TEXT(A757, "mmm-yy"), TEXT([2]GASOLINE!$B$5:$B$208, "mmm-yy"), [2]GASOLINE!$IR$5:$IR$208, "Not Found")</f>
        <v>135.06304284840007</v>
      </c>
      <c r="K757" cm="1">
        <f t="array" ref="K757">_xlfn.XLOOKUP(TEXT(A757, "mmm-yy"), TEXT([2]GASOLINE!$B$5:$B$208, "mmm-yy"), [2]GASOLINE!$IK$5:$IK$208, "Not Found")</f>
        <v>0</v>
      </c>
      <c r="L757">
        <f t="shared" si="11"/>
        <v>0</v>
      </c>
      <c r="M757" cm="1">
        <f t="array" ref="M757">_xlfn.XLOOKUP(TEXT(A757, "mmm-yy"), TEXT([2]GASOLINE!$B$5:$B$208, "mmm-yy"), [2]GASOLINE!$C$5:$C$208, "Not Found")</f>
        <v>7084.6232008311326</v>
      </c>
      <c r="N757" cm="1">
        <f t="array" ref="N757">_xlfn.XLOOKUP(TEXT(A757, "mmm-yy"), TEXT([2]RUNS!$B$5:$B$208, "mmm-yy"), [2]RUNS!$BM$5:$BM$208, "Not Found")</f>
        <v>0.86040947266605683</v>
      </c>
    </row>
    <row r="758" spans="1:14" x14ac:dyDescent="0.25">
      <c r="A758" s="1">
        <f>'[1]Global_Spot Prices'!$B2067</f>
        <v>43063</v>
      </c>
      <c r="B758">
        <f>_xlfn.XLOOKUP(A758,'[1]Global_Spot Prices'!$B:$B,'[1]Global_Spot Prices'!$BS:$BS)</f>
        <v>12.094999999999992</v>
      </c>
      <c r="C758">
        <f>_xlfn.XLOOKUP(A758,'[1]Global_Spot Prices'!$B:$B,'[1]Global_Spot Prices'!$E:$E)</f>
        <v>61.645000000000003</v>
      </c>
      <c r="D758">
        <f>_xlfn.XLOOKUP(A758,'[1]Global_Spot Prices'!$B:$B,'[1]Global_Spot Prices'!$D:$D)</f>
        <v>63.435000000000002</v>
      </c>
      <c r="E758">
        <f>_xlfn.XLOOKUP(A758,'[1]Global_Spot Prices'!$B:$B,'[1]Global_Spot Prices'!$H:$H)</f>
        <v>65.209999999999994</v>
      </c>
      <c r="F758">
        <f>_xlfn.XLOOKUP(A758,'[1]Global_Spot Prices'!$B:$B,'[1]Global_Spot Prices'!$I:$I)</f>
        <v>73.739999999999995</v>
      </c>
      <c r="G758" cm="1">
        <f t="array" ref="G758">_xlfn.XLOOKUP(TEXT(A758, "mmm-yy"), TEXT([2]RUNS!$B$5:$B$208, "mmm-yy"), [2]RUNS!$D$5:$D$208, "Not Found")</f>
        <v>29787.203861804352</v>
      </c>
      <c r="H758" cm="1">
        <f t="array" ref="H758">SUMPRODUCT(
    --(TEXT('[3]Global Weekly Stock (EWSuez'!$B$4:$B$2000,"mmm-yy")=TEXT(A758,"mmm-yy")),
    '[3]Global Weekly Stock (EWSuez'!$E$4:$E$2000)
/
SUMPRODUCT(
    --(TEXT('[3]Global Weekly Stock (EWSuez'!$B$4:$B$2000,"mmm-yy")=TEXT(A758,"mmm-yy"))
)</f>
        <v>11205.25</v>
      </c>
      <c r="I758">
        <f>_xlfn.XLOOKUP(A758,[1]ForwardDeriv!$D:$D,[1]ForwardDeriv!$AJ:$AJ)</f>
        <v>0.5899999999999892</v>
      </c>
      <c r="J758" cm="1">
        <f t="array" ref="J758">_xlfn.XLOOKUP(TEXT(A758, "mmm-yy"), TEXT([2]GASOLINE!$B$5:$B$208, "mmm-yy"), [2]GASOLINE!$IR$5:$IR$208, "Not Found")</f>
        <v>135.06304284840007</v>
      </c>
      <c r="K758" cm="1">
        <f t="array" ref="K758">_xlfn.XLOOKUP(TEXT(A758, "mmm-yy"), TEXT([2]GASOLINE!$B$5:$B$208, "mmm-yy"), [2]GASOLINE!$IK$5:$IK$208, "Not Found")</f>
        <v>0</v>
      </c>
      <c r="L758">
        <f t="shared" si="11"/>
        <v>0</v>
      </c>
      <c r="M758" cm="1">
        <f t="array" ref="M758">_xlfn.XLOOKUP(TEXT(A758, "mmm-yy"), TEXT([2]GASOLINE!$B$5:$B$208, "mmm-yy"), [2]GASOLINE!$C$5:$C$208, "Not Found")</f>
        <v>7084.6232008311326</v>
      </c>
      <c r="N758" cm="1">
        <f t="array" ref="N758">_xlfn.XLOOKUP(TEXT(A758, "mmm-yy"), TEXT([2]RUNS!$B$5:$B$208, "mmm-yy"), [2]RUNS!$BM$5:$BM$208, "Not Found")</f>
        <v>0.86040947266605683</v>
      </c>
    </row>
    <row r="759" spans="1:14" x14ac:dyDescent="0.25">
      <c r="A759" s="1">
        <f>'[1]Global_Spot Prices'!$B2068</f>
        <v>43066</v>
      </c>
      <c r="B759">
        <f>_xlfn.XLOOKUP(A759,'[1]Global_Spot Prices'!$B:$B,'[1]Global_Spot Prices'!$BS:$BS)</f>
        <v>12.189999999999998</v>
      </c>
      <c r="C759">
        <f>_xlfn.XLOOKUP(A759,'[1]Global_Spot Prices'!$B:$B,'[1]Global_Spot Prices'!$E:$E)</f>
        <v>61.45</v>
      </c>
      <c r="D759">
        <f>_xlfn.XLOOKUP(A759,'[1]Global_Spot Prices'!$B:$B,'[1]Global_Spot Prices'!$D:$D)</f>
        <v>63.204999999999998</v>
      </c>
      <c r="E759">
        <f>_xlfn.XLOOKUP(A759,'[1]Global_Spot Prices'!$B:$B,'[1]Global_Spot Prices'!$H:$H)</f>
        <v>65.52</v>
      </c>
      <c r="F759">
        <f>_xlfn.XLOOKUP(A759,'[1]Global_Spot Prices'!$B:$B,'[1]Global_Spot Prices'!$I:$I)</f>
        <v>73.64</v>
      </c>
      <c r="G759" cm="1">
        <f t="array" ref="G759">_xlfn.XLOOKUP(TEXT(A759, "mmm-yy"), TEXT([2]RUNS!$B$5:$B$208, "mmm-yy"), [2]RUNS!$D$5:$D$208, "Not Found")</f>
        <v>29787.203861804352</v>
      </c>
      <c r="H759" cm="1">
        <f t="array" ref="H759">SUMPRODUCT(
    --(TEXT('[3]Global Weekly Stock (EWSuez'!$B$4:$B$2000,"mmm-yy")=TEXT(A759,"mmm-yy")),
    '[3]Global Weekly Stock (EWSuez'!$E$4:$E$2000)
/
SUMPRODUCT(
    --(TEXT('[3]Global Weekly Stock (EWSuez'!$B$4:$B$2000,"mmm-yy")=TEXT(A759,"mmm-yy"))
)</f>
        <v>11205.25</v>
      </c>
      <c r="I759">
        <f>_xlfn.XLOOKUP(A759,[1]ForwardDeriv!$D:$D,[1]ForwardDeriv!$AJ:$AJ)</f>
        <v>0.68999999999999773</v>
      </c>
      <c r="J759" cm="1">
        <f t="array" ref="J759">_xlfn.XLOOKUP(TEXT(A759, "mmm-yy"), TEXT([2]GASOLINE!$B$5:$B$208, "mmm-yy"), [2]GASOLINE!$IR$5:$IR$208, "Not Found")</f>
        <v>135.06304284840007</v>
      </c>
      <c r="K759" cm="1">
        <f t="array" ref="K759">_xlfn.XLOOKUP(TEXT(A759, "mmm-yy"), TEXT([2]GASOLINE!$B$5:$B$208, "mmm-yy"), [2]GASOLINE!$IK$5:$IK$208, "Not Found")</f>
        <v>0</v>
      </c>
      <c r="L759">
        <f t="shared" si="11"/>
        <v>0</v>
      </c>
      <c r="M759" cm="1">
        <f t="array" ref="M759">_xlfn.XLOOKUP(TEXT(A759, "mmm-yy"), TEXT([2]GASOLINE!$B$5:$B$208, "mmm-yy"), [2]GASOLINE!$C$5:$C$208, "Not Found")</f>
        <v>7084.6232008311326</v>
      </c>
      <c r="N759" cm="1">
        <f t="array" ref="N759">_xlfn.XLOOKUP(TEXT(A759, "mmm-yy"), TEXT([2]RUNS!$B$5:$B$208, "mmm-yy"), [2]RUNS!$BM$5:$BM$208, "Not Found")</f>
        <v>0.86040947266605683</v>
      </c>
    </row>
    <row r="760" spans="1:14" x14ac:dyDescent="0.25">
      <c r="A760" s="1">
        <f>'[1]Global_Spot Prices'!$B2069</f>
        <v>43067</v>
      </c>
      <c r="B760">
        <f>_xlfn.XLOOKUP(A760,'[1]Global_Spot Prices'!$B:$B,'[1]Global_Spot Prices'!$BS:$BS)</f>
        <v>12.670000000000002</v>
      </c>
      <c r="C760">
        <f>_xlfn.XLOOKUP(A760,'[1]Global_Spot Prices'!$B:$B,'[1]Global_Spot Prices'!$E:$E)</f>
        <v>61.25</v>
      </c>
      <c r="D760">
        <f>_xlfn.XLOOKUP(A760,'[1]Global_Spot Prices'!$B:$B,'[1]Global_Spot Prices'!$D:$D)</f>
        <v>63.664999999999999</v>
      </c>
      <c r="E760">
        <f>_xlfn.XLOOKUP(A760,'[1]Global_Spot Prices'!$B:$B,'[1]Global_Spot Prices'!$H:$H)</f>
        <v>65.430000000000007</v>
      </c>
      <c r="F760">
        <f>_xlfn.XLOOKUP(A760,'[1]Global_Spot Prices'!$B:$B,'[1]Global_Spot Prices'!$I:$I)</f>
        <v>73.92</v>
      </c>
      <c r="G760" cm="1">
        <f t="array" ref="G760">_xlfn.XLOOKUP(TEXT(A760, "mmm-yy"), TEXT([2]RUNS!$B$5:$B$208, "mmm-yy"), [2]RUNS!$D$5:$D$208, "Not Found")</f>
        <v>29787.203861804352</v>
      </c>
      <c r="H760" cm="1">
        <f t="array" ref="H760">SUMPRODUCT(
    --(TEXT('[3]Global Weekly Stock (EWSuez'!$B$4:$B$2000,"mmm-yy")=TEXT(A760,"mmm-yy")),
    '[3]Global Weekly Stock (EWSuez'!$E$4:$E$2000)
/
SUMPRODUCT(
    --(TEXT('[3]Global Weekly Stock (EWSuez'!$B$4:$B$2000,"mmm-yy")=TEXT(A760,"mmm-yy"))
)</f>
        <v>11205.25</v>
      </c>
      <c r="I760">
        <f>_xlfn.XLOOKUP(A760,[1]ForwardDeriv!$D:$D,[1]ForwardDeriv!$AJ:$AJ)</f>
        <v>0.70000000000000284</v>
      </c>
      <c r="J760" cm="1">
        <f t="array" ref="J760">_xlfn.XLOOKUP(TEXT(A760, "mmm-yy"), TEXT([2]GASOLINE!$B$5:$B$208, "mmm-yy"), [2]GASOLINE!$IR$5:$IR$208, "Not Found")</f>
        <v>135.06304284840007</v>
      </c>
      <c r="K760" cm="1">
        <f t="array" ref="K760">_xlfn.XLOOKUP(TEXT(A760, "mmm-yy"), TEXT([2]GASOLINE!$B$5:$B$208, "mmm-yy"), [2]GASOLINE!$IK$5:$IK$208, "Not Found")</f>
        <v>0</v>
      </c>
      <c r="L760">
        <f t="shared" si="11"/>
        <v>0</v>
      </c>
      <c r="M760" cm="1">
        <f t="array" ref="M760">_xlfn.XLOOKUP(TEXT(A760, "mmm-yy"), TEXT([2]GASOLINE!$B$5:$B$208, "mmm-yy"), [2]GASOLINE!$C$5:$C$208, "Not Found")</f>
        <v>7084.6232008311326</v>
      </c>
      <c r="N760" cm="1">
        <f t="array" ref="N760">_xlfn.XLOOKUP(TEXT(A760, "mmm-yy"), TEXT([2]RUNS!$B$5:$B$208, "mmm-yy"), [2]RUNS!$BM$5:$BM$208, "Not Found")</f>
        <v>0.86040947266605683</v>
      </c>
    </row>
    <row r="761" spans="1:14" x14ac:dyDescent="0.25">
      <c r="A761" s="1">
        <f>'[1]Global_Spot Prices'!$B2070</f>
        <v>43068</v>
      </c>
      <c r="B761">
        <f>_xlfn.XLOOKUP(A761,'[1]Global_Spot Prices'!$B:$B,'[1]Global_Spot Prices'!$BS:$BS)</f>
        <v>12.359999999999992</v>
      </c>
      <c r="C761">
        <f>_xlfn.XLOOKUP(A761,'[1]Global_Spot Prices'!$B:$B,'[1]Global_Spot Prices'!$E:$E)</f>
        <v>60.96</v>
      </c>
      <c r="D761">
        <f>_xlfn.XLOOKUP(A761,'[1]Global_Spot Prices'!$B:$B,'[1]Global_Spot Prices'!$D:$D)</f>
        <v>63.265000000000001</v>
      </c>
      <c r="E761">
        <f>_xlfn.XLOOKUP(A761,'[1]Global_Spot Prices'!$B:$B,'[1]Global_Spot Prices'!$H:$H)</f>
        <v>64.849999999999994</v>
      </c>
      <c r="F761">
        <f>_xlfn.XLOOKUP(A761,'[1]Global_Spot Prices'!$B:$B,'[1]Global_Spot Prices'!$I:$I)</f>
        <v>73.319999999999993</v>
      </c>
      <c r="G761" cm="1">
        <f t="array" ref="G761">_xlfn.XLOOKUP(TEXT(A761, "mmm-yy"), TEXT([2]RUNS!$B$5:$B$208, "mmm-yy"), [2]RUNS!$D$5:$D$208, "Not Found")</f>
        <v>29787.203861804352</v>
      </c>
      <c r="H761" cm="1">
        <f t="array" ref="H761">SUMPRODUCT(
    --(TEXT('[3]Global Weekly Stock (EWSuez'!$B$4:$B$2000,"mmm-yy")=TEXT(A761,"mmm-yy")),
    '[3]Global Weekly Stock (EWSuez'!$E$4:$E$2000)
/
SUMPRODUCT(
    --(TEXT('[3]Global Weekly Stock (EWSuez'!$B$4:$B$2000,"mmm-yy")=TEXT(A761,"mmm-yy"))
)</f>
        <v>11205.25</v>
      </c>
      <c r="I761">
        <f>_xlfn.XLOOKUP(A761,[1]ForwardDeriv!$D:$D,[1]ForwardDeriv!$AJ:$AJ)</f>
        <v>0.67000000000000171</v>
      </c>
      <c r="J761" cm="1">
        <f t="array" ref="J761">_xlfn.XLOOKUP(TEXT(A761, "mmm-yy"), TEXT([2]GASOLINE!$B$5:$B$208, "mmm-yy"), [2]GASOLINE!$IR$5:$IR$208, "Not Found")</f>
        <v>135.06304284840007</v>
      </c>
      <c r="K761" cm="1">
        <f t="array" ref="K761">_xlfn.XLOOKUP(TEXT(A761, "mmm-yy"), TEXT([2]GASOLINE!$B$5:$B$208, "mmm-yy"), [2]GASOLINE!$IK$5:$IK$208, "Not Found")</f>
        <v>0</v>
      </c>
      <c r="L761">
        <f t="shared" si="11"/>
        <v>0</v>
      </c>
      <c r="M761" cm="1">
        <f t="array" ref="M761">_xlfn.XLOOKUP(TEXT(A761, "mmm-yy"), TEXT([2]GASOLINE!$B$5:$B$208, "mmm-yy"), [2]GASOLINE!$C$5:$C$208, "Not Found")</f>
        <v>7084.6232008311326</v>
      </c>
      <c r="N761" cm="1">
        <f t="array" ref="N761">_xlfn.XLOOKUP(TEXT(A761, "mmm-yy"), TEXT([2]RUNS!$B$5:$B$208, "mmm-yy"), [2]RUNS!$BM$5:$BM$208, "Not Found")</f>
        <v>0.86040947266605683</v>
      </c>
    </row>
    <row r="762" spans="1:14" x14ac:dyDescent="0.25">
      <c r="A762" s="1">
        <f>'[1]Global_Spot Prices'!$B2071</f>
        <v>43069</v>
      </c>
      <c r="B762">
        <f>_xlfn.XLOOKUP(A762,'[1]Global_Spot Prices'!$B:$B,'[1]Global_Spot Prices'!$BS:$BS)</f>
        <v>12.330000000000005</v>
      </c>
      <c r="C762">
        <f>_xlfn.XLOOKUP(A762,'[1]Global_Spot Prices'!$B:$B,'[1]Global_Spot Prices'!$E:$E)</f>
        <v>60.85</v>
      </c>
      <c r="D762">
        <f>_xlfn.XLOOKUP(A762,'[1]Global_Spot Prices'!$B:$B,'[1]Global_Spot Prices'!$D:$D)</f>
        <v>63.22</v>
      </c>
      <c r="E762">
        <f>_xlfn.XLOOKUP(A762,'[1]Global_Spot Prices'!$B:$B,'[1]Global_Spot Prices'!$H:$H)</f>
        <v>64.319999999999993</v>
      </c>
      <c r="F762">
        <f>_xlfn.XLOOKUP(A762,'[1]Global_Spot Prices'!$B:$B,'[1]Global_Spot Prices'!$I:$I)</f>
        <v>73.180000000000007</v>
      </c>
      <c r="G762" cm="1">
        <f t="array" ref="G762">_xlfn.XLOOKUP(TEXT(A762, "mmm-yy"), TEXT([2]RUNS!$B$5:$B$208, "mmm-yy"), [2]RUNS!$D$5:$D$208, "Not Found")</f>
        <v>29787.203861804352</v>
      </c>
      <c r="H762" cm="1">
        <f t="array" ref="H762">SUMPRODUCT(
    --(TEXT('[3]Global Weekly Stock (EWSuez'!$B$4:$B$2000,"mmm-yy")=TEXT(A762,"mmm-yy")),
    '[3]Global Weekly Stock (EWSuez'!$E$4:$E$2000)
/
SUMPRODUCT(
    --(TEXT('[3]Global Weekly Stock (EWSuez'!$B$4:$B$2000,"mmm-yy")=TEXT(A762,"mmm-yy"))
)</f>
        <v>11205.25</v>
      </c>
      <c r="I762">
        <f>_xlfn.XLOOKUP(A762,[1]ForwardDeriv!$D:$D,[1]ForwardDeriv!$AJ:$AJ)</f>
        <v>0.76000000000000512</v>
      </c>
      <c r="J762" cm="1">
        <f t="array" ref="J762">_xlfn.XLOOKUP(TEXT(A762, "mmm-yy"), TEXT([2]GASOLINE!$B$5:$B$208, "mmm-yy"), [2]GASOLINE!$IR$5:$IR$208, "Not Found")</f>
        <v>135.06304284840007</v>
      </c>
      <c r="K762" cm="1">
        <f t="array" ref="K762">_xlfn.XLOOKUP(TEXT(A762, "mmm-yy"), TEXT([2]GASOLINE!$B$5:$B$208, "mmm-yy"), [2]GASOLINE!$IK$5:$IK$208, "Not Found")</f>
        <v>0</v>
      </c>
      <c r="L762">
        <f t="shared" si="11"/>
        <v>0</v>
      </c>
      <c r="M762" cm="1">
        <f t="array" ref="M762">_xlfn.XLOOKUP(TEXT(A762, "mmm-yy"), TEXT([2]GASOLINE!$B$5:$B$208, "mmm-yy"), [2]GASOLINE!$C$5:$C$208, "Not Found")</f>
        <v>7084.6232008311326</v>
      </c>
      <c r="N762" cm="1">
        <f t="array" ref="N762">_xlfn.XLOOKUP(TEXT(A762, "mmm-yy"), TEXT([2]RUNS!$B$5:$B$208, "mmm-yy"), [2]RUNS!$BM$5:$BM$208, "Not Found")</f>
        <v>0.86040947266605683</v>
      </c>
    </row>
    <row r="763" spans="1:14" x14ac:dyDescent="0.25">
      <c r="A763" s="1">
        <f>'[1]Global_Spot Prices'!$B2072</f>
        <v>43070</v>
      </c>
      <c r="B763">
        <f>_xlfn.XLOOKUP(A763,'[1]Global_Spot Prices'!$B:$B,'[1]Global_Spot Prices'!$BS:$BS)</f>
        <v>12.589999999999996</v>
      </c>
      <c r="C763">
        <f>_xlfn.XLOOKUP(A763,'[1]Global_Spot Prices'!$B:$B,'[1]Global_Spot Prices'!$E:$E)</f>
        <v>60.76</v>
      </c>
      <c r="D763">
        <f>_xlfn.XLOOKUP(A763,'[1]Global_Spot Prices'!$B:$B,'[1]Global_Spot Prices'!$D:$D)</f>
        <v>64.515000000000001</v>
      </c>
      <c r="E763">
        <f>_xlfn.XLOOKUP(A763,'[1]Global_Spot Prices'!$B:$B,'[1]Global_Spot Prices'!$H:$H)</f>
        <v>63.88</v>
      </c>
      <c r="F763">
        <f>_xlfn.XLOOKUP(A763,'[1]Global_Spot Prices'!$B:$B,'[1]Global_Spot Prices'!$I:$I)</f>
        <v>73.349999999999994</v>
      </c>
      <c r="G763" cm="1">
        <f t="array" ref="G763">_xlfn.XLOOKUP(TEXT(A763, "mmm-yy"), TEXT([2]RUNS!$B$5:$B$208, "mmm-yy"), [2]RUNS!$D$5:$D$208, "Not Found")</f>
        <v>29580.402396125635</v>
      </c>
      <c r="H763" cm="1">
        <f t="array" ref="H763">SUMPRODUCT(
    --(TEXT('[3]Global Weekly Stock (EWSuez'!$B$4:$B$2000,"mmm-yy")=TEXT(A763,"mmm-yy")),
    '[3]Global Weekly Stock (EWSuez'!$E$4:$E$2000)
/
SUMPRODUCT(
    --(TEXT('[3]Global Weekly Stock (EWSuez'!$B$4:$B$2000,"mmm-yy")=TEXT(A763,"mmm-yy"))
)</f>
        <v>13907.4</v>
      </c>
      <c r="I763">
        <f>_xlfn.XLOOKUP(A763,[1]ForwardDeriv!$D:$D,[1]ForwardDeriv!$AJ:$AJ)</f>
        <v>0.19000000000001194</v>
      </c>
      <c r="J763" cm="1">
        <f t="array" ref="J763">_xlfn.XLOOKUP(TEXT(A763, "mmm-yy"), TEXT([2]GASOLINE!$B$5:$B$208, "mmm-yy"), [2]GASOLINE!$IR$5:$IR$208, "Not Found")</f>
        <v>198.54444144793791</v>
      </c>
      <c r="K763" cm="1">
        <f t="array" ref="K763">_xlfn.XLOOKUP(TEXT(A763, "mmm-yy"), TEXT([2]GASOLINE!$B$5:$B$208, "mmm-yy"), [2]GASOLINE!$IK$5:$IK$208, "Not Found")</f>
        <v>0</v>
      </c>
      <c r="L763">
        <f t="shared" si="11"/>
        <v>0</v>
      </c>
      <c r="M763" cm="1">
        <f t="array" ref="M763">_xlfn.XLOOKUP(TEXT(A763, "mmm-yy"), TEXT([2]GASOLINE!$B$5:$B$208, "mmm-yy"), [2]GASOLINE!$C$5:$C$208, "Not Found")</f>
        <v>7042.60465937361</v>
      </c>
      <c r="N763" cm="1">
        <f t="array" ref="N763">_xlfn.XLOOKUP(TEXT(A763, "mmm-yy"), TEXT([2]RUNS!$B$5:$B$208, "mmm-yy"), [2]RUNS!$BM$5:$BM$208, "Not Found")</f>
        <v>0.85547381256545063</v>
      </c>
    </row>
    <row r="764" spans="1:14" x14ac:dyDescent="0.25">
      <c r="A764" s="1">
        <f>'[1]Global_Spot Prices'!$B2073</f>
        <v>43073</v>
      </c>
      <c r="B764">
        <f>_xlfn.XLOOKUP(A764,'[1]Global_Spot Prices'!$B:$B,'[1]Global_Spot Prices'!$BS:$BS)</f>
        <v>12.089999999999996</v>
      </c>
      <c r="C764">
        <f>_xlfn.XLOOKUP(A764,'[1]Global_Spot Prices'!$B:$B,'[1]Global_Spot Prices'!$E:$E)</f>
        <v>60.99</v>
      </c>
      <c r="D764">
        <f>_xlfn.XLOOKUP(A764,'[1]Global_Spot Prices'!$B:$B,'[1]Global_Spot Prices'!$D:$D)</f>
        <v>63.41</v>
      </c>
      <c r="E764">
        <f>_xlfn.XLOOKUP(A764,'[1]Global_Spot Prices'!$B:$B,'[1]Global_Spot Prices'!$H:$H)</f>
        <v>64.34</v>
      </c>
      <c r="F764">
        <f>_xlfn.XLOOKUP(A764,'[1]Global_Spot Prices'!$B:$B,'[1]Global_Spot Prices'!$I:$I)</f>
        <v>73.08</v>
      </c>
      <c r="G764" cm="1">
        <f t="array" ref="G764">_xlfn.XLOOKUP(TEXT(A764, "mmm-yy"), TEXT([2]RUNS!$B$5:$B$208, "mmm-yy"), [2]RUNS!$D$5:$D$208, "Not Found")</f>
        <v>29580.402396125635</v>
      </c>
      <c r="H764" cm="1">
        <f t="array" ref="H764">SUMPRODUCT(
    --(TEXT('[3]Global Weekly Stock (EWSuez'!$B$4:$B$2000,"mmm-yy")=TEXT(A764,"mmm-yy")),
    '[3]Global Weekly Stock (EWSuez'!$E$4:$E$2000)
/
SUMPRODUCT(
    --(TEXT('[3]Global Weekly Stock (EWSuez'!$B$4:$B$2000,"mmm-yy")=TEXT(A764,"mmm-yy"))
)</f>
        <v>13907.4</v>
      </c>
      <c r="I764">
        <f>_xlfn.XLOOKUP(A764,[1]ForwardDeriv!$D:$D,[1]ForwardDeriv!$AJ:$AJ)</f>
        <v>0.18000000000000682</v>
      </c>
      <c r="J764" cm="1">
        <f t="array" ref="J764">_xlfn.XLOOKUP(TEXT(A764, "mmm-yy"), TEXT([2]GASOLINE!$B$5:$B$208, "mmm-yy"), [2]GASOLINE!$IR$5:$IR$208, "Not Found")</f>
        <v>198.54444144793791</v>
      </c>
      <c r="K764" cm="1">
        <f t="array" ref="K764">_xlfn.XLOOKUP(TEXT(A764, "mmm-yy"), TEXT([2]GASOLINE!$B$5:$B$208, "mmm-yy"), [2]GASOLINE!$IK$5:$IK$208, "Not Found")</f>
        <v>0</v>
      </c>
      <c r="L764">
        <f t="shared" si="11"/>
        <v>0</v>
      </c>
      <c r="M764" cm="1">
        <f t="array" ref="M764">_xlfn.XLOOKUP(TEXT(A764, "mmm-yy"), TEXT([2]GASOLINE!$B$5:$B$208, "mmm-yy"), [2]GASOLINE!$C$5:$C$208, "Not Found")</f>
        <v>7042.60465937361</v>
      </c>
      <c r="N764" cm="1">
        <f t="array" ref="N764">_xlfn.XLOOKUP(TEXT(A764, "mmm-yy"), TEXT([2]RUNS!$B$5:$B$208, "mmm-yy"), [2]RUNS!$BM$5:$BM$208, "Not Found")</f>
        <v>0.85547381256545063</v>
      </c>
    </row>
    <row r="765" spans="1:14" x14ac:dyDescent="0.25">
      <c r="A765" s="1">
        <f>'[1]Global_Spot Prices'!$B2074</f>
        <v>43074</v>
      </c>
      <c r="B765">
        <f>_xlfn.XLOOKUP(A765,'[1]Global_Spot Prices'!$B:$B,'[1]Global_Spot Prices'!$BS:$BS)</f>
        <v>12.049999999999997</v>
      </c>
      <c r="C765">
        <f>_xlfn.XLOOKUP(A765,'[1]Global_Spot Prices'!$B:$B,'[1]Global_Spot Prices'!$E:$E)</f>
        <v>60.05</v>
      </c>
      <c r="D765">
        <f>_xlfn.XLOOKUP(A765,'[1]Global_Spot Prices'!$B:$B,'[1]Global_Spot Prices'!$D:$D)</f>
        <v>63.34</v>
      </c>
      <c r="E765">
        <f>_xlfn.XLOOKUP(A765,'[1]Global_Spot Prices'!$B:$B,'[1]Global_Spot Prices'!$H:$H)</f>
        <v>63.17</v>
      </c>
      <c r="F765">
        <f>_xlfn.XLOOKUP(A765,'[1]Global_Spot Prices'!$B:$B,'[1]Global_Spot Prices'!$I:$I)</f>
        <v>72.099999999999994</v>
      </c>
      <c r="G765" cm="1">
        <f t="array" ref="G765">_xlfn.XLOOKUP(TEXT(A765, "mmm-yy"), TEXT([2]RUNS!$B$5:$B$208, "mmm-yy"), [2]RUNS!$D$5:$D$208, "Not Found")</f>
        <v>29580.402396125635</v>
      </c>
      <c r="H765" cm="1">
        <f t="array" ref="H765">SUMPRODUCT(
    --(TEXT('[3]Global Weekly Stock (EWSuez'!$B$4:$B$2000,"mmm-yy")=TEXT(A765,"mmm-yy")),
    '[3]Global Weekly Stock (EWSuez'!$E$4:$E$2000)
/
SUMPRODUCT(
    --(TEXT('[3]Global Weekly Stock (EWSuez'!$B$4:$B$2000,"mmm-yy")=TEXT(A765,"mmm-yy"))
)</f>
        <v>13907.4</v>
      </c>
      <c r="I765">
        <f>_xlfn.XLOOKUP(A765,[1]ForwardDeriv!$D:$D,[1]ForwardDeriv!$AJ:$AJ)</f>
        <v>0.14000000000000057</v>
      </c>
      <c r="J765" cm="1">
        <f t="array" ref="J765">_xlfn.XLOOKUP(TEXT(A765, "mmm-yy"), TEXT([2]GASOLINE!$B$5:$B$208, "mmm-yy"), [2]GASOLINE!$IR$5:$IR$208, "Not Found")</f>
        <v>198.54444144793791</v>
      </c>
      <c r="K765" cm="1">
        <f t="array" ref="K765">_xlfn.XLOOKUP(TEXT(A765, "mmm-yy"), TEXT([2]GASOLINE!$B$5:$B$208, "mmm-yy"), [2]GASOLINE!$IK$5:$IK$208, "Not Found")</f>
        <v>0</v>
      </c>
      <c r="L765">
        <f t="shared" si="11"/>
        <v>0</v>
      </c>
      <c r="M765" cm="1">
        <f t="array" ref="M765">_xlfn.XLOOKUP(TEXT(A765, "mmm-yy"), TEXT([2]GASOLINE!$B$5:$B$208, "mmm-yy"), [2]GASOLINE!$C$5:$C$208, "Not Found")</f>
        <v>7042.60465937361</v>
      </c>
      <c r="N765" cm="1">
        <f t="array" ref="N765">_xlfn.XLOOKUP(TEXT(A765, "mmm-yy"), TEXT([2]RUNS!$B$5:$B$208, "mmm-yy"), [2]RUNS!$BM$5:$BM$208, "Not Found")</f>
        <v>0.85547381256545063</v>
      </c>
    </row>
    <row r="766" spans="1:14" x14ac:dyDescent="0.25">
      <c r="A766" s="1">
        <f>'[1]Global_Spot Prices'!$B2075</f>
        <v>43075</v>
      </c>
      <c r="B766">
        <f>_xlfn.XLOOKUP(A766,'[1]Global_Spot Prices'!$B:$B,'[1]Global_Spot Prices'!$BS:$BS)</f>
        <v>11.829999999999998</v>
      </c>
      <c r="C766">
        <f>_xlfn.XLOOKUP(A766,'[1]Global_Spot Prices'!$B:$B,'[1]Global_Spot Prices'!$E:$E)</f>
        <v>60.72</v>
      </c>
      <c r="D766">
        <f>_xlfn.XLOOKUP(A766,'[1]Global_Spot Prices'!$B:$B,'[1]Global_Spot Prices'!$D:$D)</f>
        <v>62.125</v>
      </c>
      <c r="E766">
        <f>_xlfn.XLOOKUP(A766,'[1]Global_Spot Prices'!$B:$B,'[1]Global_Spot Prices'!$H:$H)</f>
        <v>64</v>
      </c>
      <c r="F766">
        <f>_xlfn.XLOOKUP(A766,'[1]Global_Spot Prices'!$B:$B,'[1]Global_Spot Prices'!$I:$I)</f>
        <v>72.55</v>
      </c>
      <c r="G766" cm="1">
        <f t="array" ref="G766">_xlfn.XLOOKUP(TEXT(A766, "mmm-yy"), TEXT([2]RUNS!$B$5:$B$208, "mmm-yy"), [2]RUNS!$D$5:$D$208, "Not Found")</f>
        <v>29580.402396125635</v>
      </c>
      <c r="H766" cm="1">
        <f t="array" ref="H766">SUMPRODUCT(
    --(TEXT('[3]Global Weekly Stock (EWSuez'!$B$4:$B$2000,"mmm-yy")=TEXT(A766,"mmm-yy")),
    '[3]Global Weekly Stock (EWSuez'!$E$4:$E$2000)
/
SUMPRODUCT(
    --(TEXT('[3]Global Weekly Stock (EWSuez'!$B$4:$B$2000,"mmm-yy")=TEXT(A766,"mmm-yy"))
)</f>
        <v>13907.4</v>
      </c>
      <c r="I766">
        <f>_xlfn.XLOOKUP(A766,[1]ForwardDeriv!$D:$D,[1]ForwardDeriv!$AJ:$AJ)</f>
        <v>0.10999999999999943</v>
      </c>
      <c r="J766" cm="1">
        <f t="array" ref="J766">_xlfn.XLOOKUP(TEXT(A766, "mmm-yy"), TEXT([2]GASOLINE!$B$5:$B$208, "mmm-yy"), [2]GASOLINE!$IR$5:$IR$208, "Not Found")</f>
        <v>198.54444144793791</v>
      </c>
      <c r="K766" cm="1">
        <f t="array" ref="K766">_xlfn.XLOOKUP(TEXT(A766, "mmm-yy"), TEXT([2]GASOLINE!$B$5:$B$208, "mmm-yy"), [2]GASOLINE!$IK$5:$IK$208, "Not Found")</f>
        <v>0</v>
      </c>
      <c r="L766">
        <f t="shared" si="11"/>
        <v>0</v>
      </c>
      <c r="M766" cm="1">
        <f t="array" ref="M766">_xlfn.XLOOKUP(TEXT(A766, "mmm-yy"), TEXT([2]GASOLINE!$B$5:$B$208, "mmm-yy"), [2]GASOLINE!$C$5:$C$208, "Not Found")</f>
        <v>7042.60465937361</v>
      </c>
      <c r="N766" cm="1">
        <f t="array" ref="N766">_xlfn.XLOOKUP(TEXT(A766, "mmm-yy"), TEXT([2]RUNS!$B$5:$B$208, "mmm-yy"), [2]RUNS!$BM$5:$BM$208, "Not Found")</f>
        <v>0.85547381256545063</v>
      </c>
    </row>
    <row r="767" spans="1:14" x14ac:dyDescent="0.25">
      <c r="A767" s="1">
        <f>'[1]Global_Spot Prices'!$B2076</f>
        <v>43076</v>
      </c>
      <c r="B767">
        <f>_xlfn.XLOOKUP(A767,'[1]Global_Spot Prices'!$B:$B,'[1]Global_Spot Prices'!$BS:$BS)</f>
        <v>12.139999999999993</v>
      </c>
      <c r="C767">
        <f>_xlfn.XLOOKUP(A767,'[1]Global_Spot Prices'!$B:$B,'[1]Global_Spot Prices'!$E:$E)</f>
        <v>59.46</v>
      </c>
      <c r="D767">
        <f>_xlfn.XLOOKUP(A767,'[1]Global_Spot Prices'!$B:$B,'[1]Global_Spot Prices'!$D:$D)</f>
        <v>62.56</v>
      </c>
      <c r="E767">
        <f>_xlfn.XLOOKUP(A767,'[1]Global_Spot Prices'!$B:$B,'[1]Global_Spot Prices'!$H:$H)</f>
        <v>63.51</v>
      </c>
      <c r="F767">
        <f>_xlfn.XLOOKUP(A767,'[1]Global_Spot Prices'!$B:$B,'[1]Global_Spot Prices'!$I:$I)</f>
        <v>71.599999999999994</v>
      </c>
      <c r="G767" cm="1">
        <f t="array" ref="G767">_xlfn.XLOOKUP(TEXT(A767, "mmm-yy"), TEXT([2]RUNS!$B$5:$B$208, "mmm-yy"), [2]RUNS!$D$5:$D$208, "Not Found")</f>
        <v>29580.402396125635</v>
      </c>
      <c r="H767" cm="1">
        <f t="array" ref="H767">SUMPRODUCT(
    --(TEXT('[3]Global Weekly Stock (EWSuez'!$B$4:$B$2000,"mmm-yy")=TEXT(A767,"mmm-yy")),
    '[3]Global Weekly Stock (EWSuez'!$E$4:$E$2000)
/
SUMPRODUCT(
    --(TEXT('[3]Global Weekly Stock (EWSuez'!$B$4:$B$2000,"mmm-yy")=TEXT(A767,"mmm-yy"))
)</f>
        <v>13907.4</v>
      </c>
      <c r="I767">
        <f>_xlfn.XLOOKUP(A767,[1]ForwardDeriv!$D:$D,[1]ForwardDeriv!$AJ:$AJ)</f>
        <v>0.14000000000000057</v>
      </c>
      <c r="J767" cm="1">
        <f t="array" ref="J767">_xlfn.XLOOKUP(TEXT(A767, "mmm-yy"), TEXT([2]GASOLINE!$B$5:$B$208, "mmm-yy"), [2]GASOLINE!$IR$5:$IR$208, "Not Found")</f>
        <v>198.54444144793791</v>
      </c>
      <c r="K767" cm="1">
        <f t="array" ref="K767">_xlfn.XLOOKUP(TEXT(A767, "mmm-yy"), TEXT([2]GASOLINE!$B$5:$B$208, "mmm-yy"), [2]GASOLINE!$IK$5:$IK$208, "Not Found")</f>
        <v>0</v>
      </c>
      <c r="L767">
        <f t="shared" si="11"/>
        <v>0</v>
      </c>
      <c r="M767" cm="1">
        <f t="array" ref="M767">_xlfn.XLOOKUP(TEXT(A767, "mmm-yy"), TEXT([2]GASOLINE!$B$5:$B$208, "mmm-yy"), [2]GASOLINE!$C$5:$C$208, "Not Found")</f>
        <v>7042.60465937361</v>
      </c>
      <c r="N767" cm="1">
        <f t="array" ref="N767">_xlfn.XLOOKUP(TEXT(A767, "mmm-yy"), TEXT([2]RUNS!$B$5:$B$208, "mmm-yy"), [2]RUNS!$BM$5:$BM$208, "Not Found")</f>
        <v>0.85547381256545063</v>
      </c>
    </row>
    <row r="768" spans="1:14" x14ac:dyDescent="0.25">
      <c r="A768" s="1">
        <f>'[1]Global_Spot Prices'!$B2077</f>
        <v>43077</v>
      </c>
      <c r="B768">
        <f>_xlfn.XLOOKUP(A768,'[1]Global_Spot Prices'!$B:$B,'[1]Global_Spot Prices'!$BS:$BS)</f>
        <v>12.299999999999997</v>
      </c>
      <c r="C768">
        <f>_xlfn.XLOOKUP(A768,'[1]Global_Spot Prices'!$B:$B,'[1]Global_Spot Prices'!$E:$E)</f>
        <v>60.25</v>
      </c>
      <c r="D768">
        <f>_xlfn.XLOOKUP(A768,'[1]Global_Spot Prices'!$B:$B,'[1]Global_Spot Prices'!$D:$D)</f>
        <v>63.954999999999998</v>
      </c>
      <c r="E768">
        <f>_xlfn.XLOOKUP(A768,'[1]Global_Spot Prices'!$B:$B,'[1]Global_Spot Prices'!$H:$H)</f>
        <v>64.760000000000005</v>
      </c>
      <c r="F768">
        <f>_xlfn.XLOOKUP(A768,'[1]Global_Spot Prices'!$B:$B,'[1]Global_Spot Prices'!$I:$I)</f>
        <v>72.55</v>
      </c>
      <c r="G768" cm="1">
        <f t="array" ref="G768">_xlfn.XLOOKUP(TEXT(A768, "mmm-yy"), TEXT([2]RUNS!$B$5:$B$208, "mmm-yy"), [2]RUNS!$D$5:$D$208, "Not Found")</f>
        <v>29580.402396125635</v>
      </c>
      <c r="H768" cm="1">
        <f t="array" ref="H768">SUMPRODUCT(
    --(TEXT('[3]Global Weekly Stock (EWSuez'!$B$4:$B$2000,"mmm-yy")=TEXT(A768,"mmm-yy")),
    '[3]Global Weekly Stock (EWSuez'!$E$4:$E$2000)
/
SUMPRODUCT(
    --(TEXT('[3]Global Weekly Stock (EWSuez'!$B$4:$B$2000,"mmm-yy")=TEXT(A768,"mmm-yy"))
)</f>
        <v>13907.4</v>
      </c>
      <c r="I768">
        <f>_xlfn.XLOOKUP(A768,[1]ForwardDeriv!$D:$D,[1]ForwardDeriv!$AJ:$AJ)</f>
        <v>0.19000000000001194</v>
      </c>
      <c r="J768" cm="1">
        <f t="array" ref="J768">_xlfn.XLOOKUP(TEXT(A768, "mmm-yy"), TEXT([2]GASOLINE!$B$5:$B$208, "mmm-yy"), [2]GASOLINE!$IR$5:$IR$208, "Not Found")</f>
        <v>198.54444144793791</v>
      </c>
      <c r="K768" cm="1">
        <f t="array" ref="K768">_xlfn.XLOOKUP(TEXT(A768, "mmm-yy"), TEXT([2]GASOLINE!$B$5:$B$208, "mmm-yy"), [2]GASOLINE!$IK$5:$IK$208, "Not Found")</f>
        <v>0</v>
      </c>
      <c r="L768">
        <f t="shared" si="11"/>
        <v>0</v>
      </c>
      <c r="M768" cm="1">
        <f t="array" ref="M768">_xlfn.XLOOKUP(TEXT(A768, "mmm-yy"), TEXT([2]GASOLINE!$B$5:$B$208, "mmm-yy"), [2]GASOLINE!$C$5:$C$208, "Not Found")</f>
        <v>7042.60465937361</v>
      </c>
      <c r="N768" cm="1">
        <f t="array" ref="N768">_xlfn.XLOOKUP(TEXT(A768, "mmm-yy"), TEXT([2]RUNS!$B$5:$B$208, "mmm-yy"), [2]RUNS!$BM$5:$BM$208, "Not Found")</f>
        <v>0.85547381256545063</v>
      </c>
    </row>
    <row r="769" spans="1:14" x14ac:dyDescent="0.25">
      <c r="A769" s="1">
        <f>'[1]Global_Spot Prices'!$B2078</f>
        <v>43080</v>
      </c>
      <c r="B769">
        <f>_xlfn.XLOOKUP(A769,'[1]Global_Spot Prices'!$B:$B,'[1]Global_Spot Prices'!$BS:$BS)</f>
        <v>12.064999999999998</v>
      </c>
      <c r="C769">
        <f>_xlfn.XLOOKUP(A769,'[1]Global_Spot Prices'!$B:$B,'[1]Global_Spot Prices'!$E:$E)</f>
        <v>60.905000000000001</v>
      </c>
      <c r="D769">
        <f>_xlfn.XLOOKUP(A769,'[1]Global_Spot Prices'!$B:$B,'[1]Global_Spot Prices'!$D:$D)</f>
        <v>65.165000000000006</v>
      </c>
      <c r="E769">
        <f>_xlfn.XLOOKUP(A769,'[1]Global_Spot Prices'!$B:$B,'[1]Global_Spot Prices'!$H:$H)</f>
        <v>65.290000000000006</v>
      </c>
      <c r="F769">
        <f>_xlfn.XLOOKUP(A769,'[1]Global_Spot Prices'!$B:$B,'[1]Global_Spot Prices'!$I:$I)</f>
        <v>72.97</v>
      </c>
      <c r="G769" cm="1">
        <f t="array" ref="G769">_xlfn.XLOOKUP(TEXT(A769, "mmm-yy"), TEXT([2]RUNS!$B$5:$B$208, "mmm-yy"), [2]RUNS!$D$5:$D$208, "Not Found")</f>
        <v>29580.402396125635</v>
      </c>
      <c r="H769" cm="1">
        <f t="array" ref="H769">SUMPRODUCT(
    --(TEXT('[3]Global Weekly Stock (EWSuez'!$B$4:$B$2000,"mmm-yy")=TEXT(A769,"mmm-yy")),
    '[3]Global Weekly Stock (EWSuez'!$E$4:$E$2000)
/
SUMPRODUCT(
    --(TEXT('[3]Global Weekly Stock (EWSuez'!$B$4:$B$2000,"mmm-yy")=TEXT(A769,"mmm-yy"))
)</f>
        <v>13907.4</v>
      </c>
      <c r="I769">
        <f>_xlfn.XLOOKUP(A769,[1]ForwardDeriv!$D:$D,[1]ForwardDeriv!$AJ:$AJ)</f>
        <v>0.17000000000000171</v>
      </c>
      <c r="J769" cm="1">
        <f t="array" ref="J769">_xlfn.XLOOKUP(TEXT(A769, "mmm-yy"), TEXT([2]GASOLINE!$B$5:$B$208, "mmm-yy"), [2]GASOLINE!$IR$5:$IR$208, "Not Found")</f>
        <v>198.54444144793791</v>
      </c>
      <c r="K769" cm="1">
        <f t="array" ref="K769">_xlfn.XLOOKUP(TEXT(A769, "mmm-yy"), TEXT([2]GASOLINE!$B$5:$B$208, "mmm-yy"), [2]GASOLINE!$IK$5:$IK$208, "Not Found")</f>
        <v>0</v>
      </c>
      <c r="L769">
        <f t="shared" si="11"/>
        <v>0</v>
      </c>
      <c r="M769" cm="1">
        <f t="array" ref="M769">_xlfn.XLOOKUP(TEXT(A769, "mmm-yy"), TEXT([2]GASOLINE!$B$5:$B$208, "mmm-yy"), [2]GASOLINE!$C$5:$C$208, "Not Found")</f>
        <v>7042.60465937361</v>
      </c>
      <c r="N769" cm="1">
        <f t="array" ref="N769">_xlfn.XLOOKUP(TEXT(A769, "mmm-yy"), TEXT([2]RUNS!$B$5:$B$208, "mmm-yy"), [2]RUNS!$BM$5:$BM$208, "Not Found")</f>
        <v>0.85547381256545063</v>
      </c>
    </row>
    <row r="770" spans="1:14" x14ac:dyDescent="0.25">
      <c r="A770" s="1">
        <f>'[1]Global_Spot Prices'!$B2079</f>
        <v>43081</v>
      </c>
      <c r="B770">
        <f>_xlfn.XLOOKUP(A770,'[1]Global_Spot Prices'!$B:$B,'[1]Global_Spot Prices'!$BS:$BS)</f>
        <v>12.489999999999995</v>
      </c>
      <c r="C770">
        <f>_xlfn.XLOOKUP(A770,'[1]Global_Spot Prices'!$B:$B,'[1]Global_Spot Prices'!$E:$E)</f>
        <v>62.56</v>
      </c>
      <c r="D770">
        <f>_xlfn.XLOOKUP(A770,'[1]Global_Spot Prices'!$B:$B,'[1]Global_Spot Prices'!$D:$D)</f>
        <v>64.69</v>
      </c>
      <c r="E770">
        <f>_xlfn.XLOOKUP(A770,'[1]Global_Spot Prices'!$B:$B,'[1]Global_Spot Prices'!$H:$H)</f>
        <v>66.34</v>
      </c>
      <c r="F770">
        <f>_xlfn.XLOOKUP(A770,'[1]Global_Spot Prices'!$B:$B,'[1]Global_Spot Prices'!$I:$I)</f>
        <v>75.05</v>
      </c>
      <c r="G770" cm="1">
        <f t="array" ref="G770">_xlfn.XLOOKUP(TEXT(A770, "mmm-yy"), TEXT([2]RUNS!$B$5:$B$208, "mmm-yy"), [2]RUNS!$D$5:$D$208, "Not Found")</f>
        <v>29580.402396125635</v>
      </c>
      <c r="H770" cm="1">
        <f t="array" ref="H770">SUMPRODUCT(
    --(TEXT('[3]Global Weekly Stock (EWSuez'!$B$4:$B$2000,"mmm-yy")=TEXT(A770,"mmm-yy")),
    '[3]Global Weekly Stock (EWSuez'!$E$4:$E$2000)
/
SUMPRODUCT(
    --(TEXT('[3]Global Weekly Stock (EWSuez'!$B$4:$B$2000,"mmm-yy")=TEXT(A770,"mmm-yy"))
)</f>
        <v>13907.4</v>
      </c>
      <c r="I770">
        <f>_xlfn.XLOOKUP(A770,[1]ForwardDeriv!$D:$D,[1]ForwardDeriv!$AJ:$AJ)</f>
        <v>0.29999999999999716</v>
      </c>
      <c r="J770" cm="1">
        <f t="array" ref="J770">_xlfn.XLOOKUP(TEXT(A770, "mmm-yy"), TEXT([2]GASOLINE!$B$5:$B$208, "mmm-yy"), [2]GASOLINE!$IR$5:$IR$208, "Not Found")</f>
        <v>198.54444144793791</v>
      </c>
      <c r="K770" cm="1">
        <f t="array" ref="K770">_xlfn.XLOOKUP(TEXT(A770, "mmm-yy"), TEXT([2]GASOLINE!$B$5:$B$208, "mmm-yy"), [2]GASOLINE!$IK$5:$IK$208, "Not Found")</f>
        <v>0</v>
      </c>
      <c r="L770">
        <f t="shared" si="11"/>
        <v>0</v>
      </c>
      <c r="M770" cm="1">
        <f t="array" ref="M770">_xlfn.XLOOKUP(TEXT(A770, "mmm-yy"), TEXT([2]GASOLINE!$B$5:$B$208, "mmm-yy"), [2]GASOLINE!$C$5:$C$208, "Not Found")</f>
        <v>7042.60465937361</v>
      </c>
      <c r="N770" cm="1">
        <f t="array" ref="N770">_xlfn.XLOOKUP(TEXT(A770, "mmm-yy"), TEXT([2]RUNS!$B$5:$B$208, "mmm-yy"), [2]RUNS!$BM$5:$BM$208, "Not Found")</f>
        <v>0.85547381256545063</v>
      </c>
    </row>
    <row r="771" spans="1:14" x14ac:dyDescent="0.25">
      <c r="A771" s="1">
        <f>'[1]Global_Spot Prices'!$B2080</f>
        <v>43082</v>
      </c>
      <c r="B771">
        <f>_xlfn.XLOOKUP(A771,'[1]Global_Spot Prices'!$B:$B,'[1]Global_Spot Prices'!$BS:$BS)</f>
        <v>12.439999999999998</v>
      </c>
      <c r="C771">
        <f>_xlfn.XLOOKUP(A771,'[1]Global_Spot Prices'!$B:$B,'[1]Global_Spot Prices'!$E:$E)</f>
        <v>61.34</v>
      </c>
      <c r="D771">
        <f>_xlfn.XLOOKUP(A771,'[1]Global_Spot Prices'!$B:$B,'[1]Global_Spot Prices'!$D:$D)</f>
        <v>63.274999999999999</v>
      </c>
      <c r="E771">
        <f>_xlfn.XLOOKUP(A771,'[1]Global_Spot Prices'!$B:$B,'[1]Global_Spot Prices'!$H:$H)</f>
        <v>65.180000000000007</v>
      </c>
      <c r="F771">
        <f>_xlfn.XLOOKUP(A771,'[1]Global_Spot Prices'!$B:$B,'[1]Global_Spot Prices'!$I:$I)</f>
        <v>73.78</v>
      </c>
      <c r="G771" cm="1">
        <f t="array" ref="G771">_xlfn.XLOOKUP(TEXT(A771, "mmm-yy"), TEXT([2]RUNS!$B$5:$B$208, "mmm-yy"), [2]RUNS!$D$5:$D$208, "Not Found")</f>
        <v>29580.402396125635</v>
      </c>
      <c r="H771" cm="1">
        <f t="array" ref="H771">SUMPRODUCT(
    --(TEXT('[3]Global Weekly Stock (EWSuez'!$B$4:$B$2000,"mmm-yy")=TEXT(A771,"mmm-yy")),
    '[3]Global Weekly Stock (EWSuez'!$E$4:$E$2000)
/
SUMPRODUCT(
    --(TEXT('[3]Global Weekly Stock (EWSuez'!$B$4:$B$2000,"mmm-yy")=TEXT(A771,"mmm-yy"))
)</f>
        <v>13907.4</v>
      </c>
      <c r="I771">
        <f>_xlfn.XLOOKUP(A771,[1]ForwardDeriv!$D:$D,[1]ForwardDeriv!$AJ:$AJ)</f>
        <v>0.37999999999999545</v>
      </c>
      <c r="J771" cm="1">
        <f t="array" ref="J771">_xlfn.XLOOKUP(TEXT(A771, "mmm-yy"), TEXT([2]GASOLINE!$B$5:$B$208, "mmm-yy"), [2]GASOLINE!$IR$5:$IR$208, "Not Found")</f>
        <v>198.54444144793791</v>
      </c>
      <c r="K771" cm="1">
        <f t="array" ref="K771">_xlfn.XLOOKUP(TEXT(A771, "mmm-yy"), TEXT([2]GASOLINE!$B$5:$B$208, "mmm-yy"), [2]GASOLINE!$IK$5:$IK$208, "Not Found")</f>
        <v>0</v>
      </c>
      <c r="L771">
        <f t="shared" ref="L771:L834" si="12">IF(OR(MONTH(A771)=6, MONTH(A771)=7, MONTH(A771)=8, MONTH(A771)=9), 1, 0)</f>
        <v>0</v>
      </c>
      <c r="M771" cm="1">
        <f t="array" ref="M771">_xlfn.XLOOKUP(TEXT(A771, "mmm-yy"), TEXT([2]GASOLINE!$B$5:$B$208, "mmm-yy"), [2]GASOLINE!$C$5:$C$208, "Not Found")</f>
        <v>7042.60465937361</v>
      </c>
      <c r="N771" cm="1">
        <f t="array" ref="N771">_xlfn.XLOOKUP(TEXT(A771, "mmm-yy"), TEXT([2]RUNS!$B$5:$B$208, "mmm-yy"), [2]RUNS!$BM$5:$BM$208, "Not Found")</f>
        <v>0.85547381256545063</v>
      </c>
    </row>
    <row r="772" spans="1:14" x14ac:dyDescent="0.25">
      <c r="A772" s="1">
        <f>'[1]Global_Spot Prices'!$B2081</f>
        <v>43083</v>
      </c>
      <c r="B772">
        <f>_xlfn.XLOOKUP(A772,'[1]Global_Spot Prices'!$B:$B,'[1]Global_Spot Prices'!$BS:$BS)</f>
        <v>12.310000000000002</v>
      </c>
      <c r="C772">
        <f>_xlfn.XLOOKUP(A772,'[1]Global_Spot Prices'!$B:$B,'[1]Global_Spot Prices'!$E:$E)</f>
        <v>60.2</v>
      </c>
      <c r="D772">
        <f>_xlfn.XLOOKUP(A772,'[1]Global_Spot Prices'!$B:$B,'[1]Global_Spot Prices'!$D:$D)</f>
        <v>63.645000000000003</v>
      </c>
      <c r="E772">
        <f>_xlfn.XLOOKUP(A772,'[1]Global_Spot Prices'!$B:$B,'[1]Global_Spot Prices'!$H:$H)</f>
        <v>64.180000000000007</v>
      </c>
      <c r="F772">
        <f>_xlfn.XLOOKUP(A772,'[1]Global_Spot Prices'!$B:$B,'[1]Global_Spot Prices'!$I:$I)</f>
        <v>72.510000000000005</v>
      </c>
      <c r="G772" cm="1">
        <f t="array" ref="G772">_xlfn.XLOOKUP(TEXT(A772, "mmm-yy"), TEXT([2]RUNS!$B$5:$B$208, "mmm-yy"), [2]RUNS!$D$5:$D$208, "Not Found")</f>
        <v>29580.402396125635</v>
      </c>
      <c r="H772" cm="1">
        <f t="array" ref="H772">SUMPRODUCT(
    --(TEXT('[3]Global Weekly Stock (EWSuez'!$B$4:$B$2000,"mmm-yy")=TEXT(A772,"mmm-yy")),
    '[3]Global Weekly Stock (EWSuez'!$E$4:$E$2000)
/
SUMPRODUCT(
    --(TEXT('[3]Global Weekly Stock (EWSuez'!$B$4:$B$2000,"mmm-yy")=TEXT(A772,"mmm-yy"))
)</f>
        <v>13907.4</v>
      </c>
      <c r="I772">
        <f>_xlfn.XLOOKUP(A772,[1]ForwardDeriv!$D:$D,[1]ForwardDeriv!$AJ:$AJ)</f>
        <v>0.34999999999999432</v>
      </c>
      <c r="J772" cm="1">
        <f t="array" ref="J772">_xlfn.XLOOKUP(TEXT(A772, "mmm-yy"), TEXT([2]GASOLINE!$B$5:$B$208, "mmm-yy"), [2]GASOLINE!$IR$5:$IR$208, "Not Found")</f>
        <v>198.54444144793791</v>
      </c>
      <c r="K772" cm="1">
        <f t="array" ref="K772">_xlfn.XLOOKUP(TEXT(A772, "mmm-yy"), TEXT([2]GASOLINE!$B$5:$B$208, "mmm-yy"), [2]GASOLINE!$IK$5:$IK$208, "Not Found")</f>
        <v>0</v>
      </c>
      <c r="L772">
        <f t="shared" si="12"/>
        <v>0</v>
      </c>
      <c r="M772" cm="1">
        <f t="array" ref="M772">_xlfn.XLOOKUP(TEXT(A772, "mmm-yy"), TEXT([2]GASOLINE!$B$5:$B$208, "mmm-yy"), [2]GASOLINE!$C$5:$C$208, "Not Found")</f>
        <v>7042.60465937361</v>
      </c>
      <c r="N772" cm="1">
        <f t="array" ref="N772">_xlfn.XLOOKUP(TEXT(A772, "mmm-yy"), TEXT([2]RUNS!$B$5:$B$208, "mmm-yy"), [2]RUNS!$BM$5:$BM$208, "Not Found")</f>
        <v>0.85547381256545063</v>
      </c>
    </row>
    <row r="773" spans="1:14" x14ac:dyDescent="0.25">
      <c r="A773" s="1">
        <f>'[1]Global_Spot Prices'!$B2082</f>
        <v>43084</v>
      </c>
      <c r="B773">
        <f>_xlfn.XLOOKUP(A773,'[1]Global_Spot Prices'!$B:$B,'[1]Global_Spot Prices'!$BS:$BS)</f>
        <v>12.225000000000001</v>
      </c>
      <c r="C773">
        <f>_xlfn.XLOOKUP(A773,'[1]Global_Spot Prices'!$B:$B,'[1]Global_Spot Prices'!$E:$E)</f>
        <v>61.195</v>
      </c>
      <c r="D773">
        <f>_xlfn.XLOOKUP(A773,'[1]Global_Spot Prices'!$B:$B,'[1]Global_Spot Prices'!$D:$D)</f>
        <v>63.734999999999999</v>
      </c>
      <c r="E773">
        <f>_xlfn.XLOOKUP(A773,'[1]Global_Spot Prices'!$B:$B,'[1]Global_Spot Prices'!$H:$H)</f>
        <v>64.73</v>
      </c>
      <c r="F773">
        <f>_xlfn.XLOOKUP(A773,'[1]Global_Spot Prices'!$B:$B,'[1]Global_Spot Prices'!$I:$I)</f>
        <v>73.42</v>
      </c>
      <c r="G773" cm="1">
        <f t="array" ref="G773">_xlfn.XLOOKUP(TEXT(A773, "mmm-yy"), TEXT([2]RUNS!$B$5:$B$208, "mmm-yy"), [2]RUNS!$D$5:$D$208, "Not Found")</f>
        <v>29580.402396125635</v>
      </c>
      <c r="H773" cm="1">
        <f t="array" ref="H773">SUMPRODUCT(
    --(TEXT('[3]Global Weekly Stock (EWSuez'!$B$4:$B$2000,"mmm-yy")=TEXT(A773,"mmm-yy")),
    '[3]Global Weekly Stock (EWSuez'!$E$4:$E$2000)
/
SUMPRODUCT(
    --(TEXT('[3]Global Weekly Stock (EWSuez'!$B$4:$B$2000,"mmm-yy")=TEXT(A773,"mmm-yy"))
)</f>
        <v>13907.4</v>
      </c>
      <c r="I773">
        <f>_xlfn.XLOOKUP(A773,[1]ForwardDeriv!$D:$D,[1]ForwardDeriv!$AJ:$AJ)</f>
        <v>0.40999999999999659</v>
      </c>
      <c r="J773" cm="1">
        <f t="array" ref="J773">_xlfn.XLOOKUP(TEXT(A773, "mmm-yy"), TEXT([2]GASOLINE!$B$5:$B$208, "mmm-yy"), [2]GASOLINE!$IR$5:$IR$208, "Not Found")</f>
        <v>198.54444144793791</v>
      </c>
      <c r="K773" cm="1">
        <f t="array" ref="K773">_xlfn.XLOOKUP(TEXT(A773, "mmm-yy"), TEXT([2]GASOLINE!$B$5:$B$208, "mmm-yy"), [2]GASOLINE!$IK$5:$IK$208, "Not Found")</f>
        <v>0</v>
      </c>
      <c r="L773">
        <f t="shared" si="12"/>
        <v>0</v>
      </c>
      <c r="M773" cm="1">
        <f t="array" ref="M773">_xlfn.XLOOKUP(TEXT(A773, "mmm-yy"), TEXT([2]GASOLINE!$B$5:$B$208, "mmm-yy"), [2]GASOLINE!$C$5:$C$208, "Not Found")</f>
        <v>7042.60465937361</v>
      </c>
      <c r="N773" cm="1">
        <f t="array" ref="N773">_xlfn.XLOOKUP(TEXT(A773, "mmm-yy"), TEXT([2]RUNS!$B$5:$B$208, "mmm-yy"), [2]RUNS!$BM$5:$BM$208, "Not Found")</f>
        <v>0.85547381256545063</v>
      </c>
    </row>
    <row r="774" spans="1:14" x14ac:dyDescent="0.25">
      <c r="A774" s="1">
        <f>'[1]Global_Spot Prices'!$B2083</f>
        <v>43087</v>
      </c>
      <c r="B774">
        <f>_xlfn.XLOOKUP(A774,'[1]Global_Spot Prices'!$B:$B,'[1]Global_Spot Prices'!$BS:$BS)</f>
        <v>11.769999999999996</v>
      </c>
      <c r="C774">
        <f>_xlfn.XLOOKUP(A774,'[1]Global_Spot Prices'!$B:$B,'[1]Global_Spot Prices'!$E:$E)</f>
        <v>61.3</v>
      </c>
      <c r="D774">
        <f>_xlfn.XLOOKUP(A774,'[1]Global_Spot Prices'!$B:$B,'[1]Global_Spot Prices'!$D:$D)</f>
        <v>63.814999999999998</v>
      </c>
      <c r="E774">
        <f>_xlfn.XLOOKUP(A774,'[1]Global_Spot Prices'!$B:$B,'[1]Global_Spot Prices'!$H:$H)</f>
        <v>64.069999999999993</v>
      </c>
      <c r="F774">
        <f>_xlfn.XLOOKUP(A774,'[1]Global_Spot Prices'!$B:$B,'[1]Global_Spot Prices'!$I:$I)</f>
        <v>73.069999999999993</v>
      </c>
      <c r="G774" cm="1">
        <f t="array" ref="G774">_xlfn.XLOOKUP(TEXT(A774, "mmm-yy"), TEXT([2]RUNS!$B$5:$B$208, "mmm-yy"), [2]RUNS!$D$5:$D$208, "Not Found")</f>
        <v>29580.402396125635</v>
      </c>
      <c r="H774" cm="1">
        <f t="array" ref="H774">SUMPRODUCT(
    --(TEXT('[3]Global Weekly Stock (EWSuez'!$B$4:$B$2000,"mmm-yy")=TEXT(A774,"mmm-yy")),
    '[3]Global Weekly Stock (EWSuez'!$E$4:$E$2000)
/
SUMPRODUCT(
    --(TEXT('[3]Global Weekly Stock (EWSuez'!$B$4:$B$2000,"mmm-yy")=TEXT(A774,"mmm-yy"))
)</f>
        <v>13907.4</v>
      </c>
      <c r="I774">
        <f>_xlfn.XLOOKUP(A774,[1]ForwardDeriv!$D:$D,[1]ForwardDeriv!$AJ:$AJ)</f>
        <v>0.37000000000000455</v>
      </c>
      <c r="J774" cm="1">
        <f t="array" ref="J774">_xlfn.XLOOKUP(TEXT(A774, "mmm-yy"), TEXT([2]GASOLINE!$B$5:$B$208, "mmm-yy"), [2]GASOLINE!$IR$5:$IR$208, "Not Found")</f>
        <v>198.54444144793791</v>
      </c>
      <c r="K774" cm="1">
        <f t="array" ref="K774">_xlfn.XLOOKUP(TEXT(A774, "mmm-yy"), TEXT([2]GASOLINE!$B$5:$B$208, "mmm-yy"), [2]GASOLINE!$IK$5:$IK$208, "Not Found")</f>
        <v>0</v>
      </c>
      <c r="L774">
        <f t="shared" si="12"/>
        <v>0</v>
      </c>
      <c r="M774" cm="1">
        <f t="array" ref="M774">_xlfn.XLOOKUP(TEXT(A774, "mmm-yy"), TEXT([2]GASOLINE!$B$5:$B$208, "mmm-yy"), [2]GASOLINE!$C$5:$C$208, "Not Found")</f>
        <v>7042.60465937361</v>
      </c>
      <c r="N774" cm="1">
        <f t="array" ref="N774">_xlfn.XLOOKUP(TEXT(A774, "mmm-yy"), TEXT([2]RUNS!$B$5:$B$208, "mmm-yy"), [2]RUNS!$BM$5:$BM$208, "Not Found")</f>
        <v>0.85547381256545063</v>
      </c>
    </row>
    <row r="775" spans="1:14" x14ac:dyDescent="0.25">
      <c r="A775" s="1">
        <f>'[1]Global_Spot Prices'!$B2084</f>
        <v>43088</v>
      </c>
      <c r="B775">
        <f>_xlfn.XLOOKUP(A775,'[1]Global_Spot Prices'!$B:$B,'[1]Global_Spot Prices'!$BS:$BS)</f>
        <v>11.599999999999994</v>
      </c>
      <c r="C775">
        <f>_xlfn.XLOOKUP(A775,'[1]Global_Spot Prices'!$B:$B,'[1]Global_Spot Prices'!$E:$E)</f>
        <v>61.39</v>
      </c>
      <c r="D775">
        <f>_xlfn.XLOOKUP(A775,'[1]Global_Spot Prices'!$B:$B,'[1]Global_Spot Prices'!$D:$D)</f>
        <v>63.41</v>
      </c>
      <c r="E775">
        <f>_xlfn.XLOOKUP(A775,'[1]Global_Spot Prices'!$B:$B,'[1]Global_Spot Prices'!$H:$H)</f>
        <v>64.19</v>
      </c>
      <c r="F775">
        <f>_xlfn.XLOOKUP(A775,'[1]Global_Spot Prices'!$B:$B,'[1]Global_Spot Prices'!$I:$I)</f>
        <v>72.989999999999995</v>
      </c>
      <c r="G775" cm="1">
        <f t="array" ref="G775">_xlfn.XLOOKUP(TEXT(A775, "mmm-yy"), TEXT([2]RUNS!$B$5:$B$208, "mmm-yy"), [2]RUNS!$D$5:$D$208, "Not Found")</f>
        <v>29580.402396125635</v>
      </c>
      <c r="H775" cm="1">
        <f t="array" ref="H775">SUMPRODUCT(
    --(TEXT('[3]Global Weekly Stock (EWSuez'!$B$4:$B$2000,"mmm-yy")=TEXT(A775,"mmm-yy")),
    '[3]Global Weekly Stock (EWSuez'!$E$4:$E$2000)
/
SUMPRODUCT(
    --(TEXT('[3]Global Weekly Stock (EWSuez'!$B$4:$B$2000,"mmm-yy")=TEXT(A775,"mmm-yy"))
)</f>
        <v>13907.4</v>
      </c>
      <c r="I775">
        <f>_xlfn.XLOOKUP(A775,[1]ForwardDeriv!$D:$D,[1]ForwardDeriv!$AJ:$AJ)</f>
        <v>0.35000000000000853</v>
      </c>
      <c r="J775" cm="1">
        <f t="array" ref="J775">_xlfn.XLOOKUP(TEXT(A775, "mmm-yy"), TEXT([2]GASOLINE!$B$5:$B$208, "mmm-yy"), [2]GASOLINE!$IR$5:$IR$208, "Not Found")</f>
        <v>198.54444144793791</v>
      </c>
      <c r="K775" cm="1">
        <f t="array" ref="K775">_xlfn.XLOOKUP(TEXT(A775, "mmm-yy"), TEXT([2]GASOLINE!$B$5:$B$208, "mmm-yy"), [2]GASOLINE!$IK$5:$IK$208, "Not Found")</f>
        <v>0</v>
      </c>
      <c r="L775">
        <f t="shared" si="12"/>
        <v>0</v>
      </c>
      <c r="M775" cm="1">
        <f t="array" ref="M775">_xlfn.XLOOKUP(TEXT(A775, "mmm-yy"), TEXT([2]GASOLINE!$B$5:$B$208, "mmm-yy"), [2]GASOLINE!$C$5:$C$208, "Not Found")</f>
        <v>7042.60465937361</v>
      </c>
      <c r="N775" cm="1">
        <f t="array" ref="N775">_xlfn.XLOOKUP(TEXT(A775, "mmm-yy"), TEXT([2]RUNS!$B$5:$B$208, "mmm-yy"), [2]RUNS!$BM$5:$BM$208, "Not Found")</f>
        <v>0.85547381256545063</v>
      </c>
    </row>
    <row r="776" spans="1:14" x14ac:dyDescent="0.25">
      <c r="A776" s="1">
        <f>'[1]Global_Spot Prices'!$B2085</f>
        <v>43089</v>
      </c>
      <c r="B776">
        <f>_xlfn.XLOOKUP(A776,'[1]Global_Spot Prices'!$B:$B,'[1]Global_Spot Prices'!$BS:$BS)</f>
        <v>11.464999999999996</v>
      </c>
      <c r="C776">
        <f>_xlfn.XLOOKUP(A776,'[1]Global_Spot Prices'!$B:$B,'[1]Global_Spot Prices'!$E:$E)</f>
        <v>61.555</v>
      </c>
      <c r="D776">
        <f>_xlfn.XLOOKUP(A776,'[1]Global_Spot Prices'!$B:$B,'[1]Global_Spot Prices'!$D:$D)</f>
        <v>64.415000000000006</v>
      </c>
      <c r="E776">
        <f>_xlfn.XLOOKUP(A776,'[1]Global_Spot Prices'!$B:$B,'[1]Global_Spot Prices'!$H:$H)</f>
        <v>64.41</v>
      </c>
      <c r="F776">
        <f>_xlfn.XLOOKUP(A776,'[1]Global_Spot Prices'!$B:$B,'[1]Global_Spot Prices'!$I:$I)</f>
        <v>73.02</v>
      </c>
      <c r="G776" cm="1">
        <f t="array" ref="G776">_xlfn.XLOOKUP(TEXT(A776, "mmm-yy"), TEXT([2]RUNS!$B$5:$B$208, "mmm-yy"), [2]RUNS!$D$5:$D$208, "Not Found")</f>
        <v>29580.402396125635</v>
      </c>
      <c r="H776" cm="1">
        <f t="array" ref="H776">SUMPRODUCT(
    --(TEXT('[3]Global Weekly Stock (EWSuez'!$B$4:$B$2000,"mmm-yy")=TEXT(A776,"mmm-yy")),
    '[3]Global Weekly Stock (EWSuez'!$E$4:$E$2000)
/
SUMPRODUCT(
    --(TEXT('[3]Global Weekly Stock (EWSuez'!$B$4:$B$2000,"mmm-yy")=TEXT(A776,"mmm-yy"))
)</f>
        <v>13907.4</v>
      </c>
      <c r="I776">
        <f>_xlfn.XLOOKUP(A776,[1]ForwardDeriv!$D:$D,[1]ForwardDeriv!$AJ:$AJ)</f>
        <v>0.23000000000000398</v>
      </c>
      <c r="J776" cm="1">
        <f t="array" ref="J776">_xlfn.XLOOKUP(TEXT(A776, "mmm-yy"), TEXT([2]GASOLINE!$B$5:$B$208, "mmm-yy"), [2]GASOLINE!$IR$5:$IR$208, "Not Found")</f>
        <v>198.54444144793791</v>
      </c>
      <c r="K776" cm="1">
        <f t="array" ref="K776">_xlfn.XLOOKUP(TEXT(A776, "mmm-yy"), TEXT([2]GASOLINE!$B$5:$B$208, "mmm-yy"), [2]GASOLINE!$IK$5:$IK$208, "Not Found")</f>
        <v>0</v>
      </c>
      <c r="L776">
        <f t="shared" si="12"/>
        <v>0</v>
      </c>
      <c r="M776" cm="1">
        <f t="array" ref="M776">_xlfn.XLOOKUP(TEXT(A776, "mmm-yy"), TEXT([2]GASOLINE!$B$5:$B$208, "mmm-yy"), [2]GASOLINE!$C$5:$C$208, "Not Found")</f>
        <v>7042.60465937361</v>
      </c>
      <c r="N776" cm="1">
        <f t="array" ref="N776">_xlfn.XLOOKUP(TEXT(A776, "mmm-yy"), TEXT([2]RUNS!$B$5:$B$208, "mmm-yy"), [2]RUNS!$BM$5:$BM$208, "Not Found")</f>
        <v>0.85547381256545063</v>
      </c>
    </row>
    <row r="777" spans="1:14" x14ac:dyDescent="0.25">
      <c r="A777" s="1">
        <f>'[1]Global_Spot Prices'!$B2086</f>
        <v>43090</v>
      </c>
      <c r="B777">
        <f>_xlfn.XLOOKUP(A777,'[1]Global_Spot Prices'!$B:$B,'[1]Global_Spot Prices'!$BS:$BS)</f>
        <v>10.740000000000002</v>
      </c>
      <c r="C777">
        <f>_xlfn.XLOOKUP(A777,'[1]Global_Spot Prices'!$B:$B,'[1]Global_Spot Prices'!$E:$E)</f>
        <v>62.15</v>
      </c>
      <c r="D777">
        <f>_xlfn.XLOOKUP(A777,'[1]Global_Spot Prices'!$B:$B,'[1]Global_Spot Prices'!$D:$D)</f>
        <v>64.545000000000002</v>
      </c>
      <c r="E777">
        <f>_xlfn.XLOOKUP(A777,'[1]Global_Spot Prices'!$B:$B,'[1]Global_Spot Prices'!$H:$H)</f>
        <v>65.05</v>
      </c>
      <c r="F777">
        <f>_xlfn.XLOOKUP(A777,'[1]Global_Spot Prices'!$B:$B,'[1]Global_Spot Prices'!$I:$I)</f>
        <v>72.89</v>
      </c>
      <c r="G777" cm="1">
        <f t="array" ref="G777">_xlfn.XLOOKUP(TEXT(A777, "mmm-yy"), TEXT([2]RUNS!$B$5:$B$208, "mmm-yy"), [2]RUNS!$D$5:$D$208, "Not Found")</f>
        <v>29580.402396125635</v>
      </c>
      <c r="H777" cm="1">
        <f t="array" ref="H777">SUMPRODUCT(
    --(TEXT('[3]Global Weekly Stock (EWSuez'!$B$4:$B$2000,"mmm-yy")=TEXT(A777,"mmm-yy")),
    '[3]Global Weekly Stock (EWSuez'!$E$4:$E$2000)
/
SUMPRODUCT(
    --(TEXT('[3]Global Weekly Stock (EWSuez'!$B$4:$B$2000,"mmm-yy")=TEXT(A777,"mmm-yy"))
)</f>
        <v>13907.4</v>
      </c>
      <c r="I777">
        <f>_xlfn.XLOOKUP(A777,[1]ForwardDeriv!$D:$D,[1]ForwardDeriv!$AJ:$AJ)</f>
        <v>0.12000000000000455</v>
      </c>
      <c r="J777" cm="1">
        <f t="array" ref="J777">_xlfn.XLOOKUP(TEXT(A777, "mmm-yy"), TEXT([2]GASOLINE!$B$5:$B$208, "mmm-yy"), [2]GASOLINE!$IR$5:$IR$208, "Not Found")</f>
        <v>198.54444144793791</v>
      </c>
      <c r="K777" cm="1">
        <f t="array" ref="K777">_xlfn.XLOOKUP(TEXT(A777, "mmm-yy"), TEXT([2]GASOLINE!$B$5:$B$208, "mmm-yy"), [2]GASOLINE!$IK$5:$IK$208, "Not Found")</f>
        <v>0</v>
      </c>
      <c r="L777">
        <f t="shared" si="12"/>
        <v>0</v>
      </c>
      <c r="M777" cm="1">
        <f t="array" ref="M777">_xlfn.XLOOKUP(TEXT(A777, "mmm-yy"), TEXT([2]GASOLINE!$B$5:$B$208, "mmm-yy"), [2]GASOLINE!$C$5:$C$208, "Not Found")</f>
        <v>7042.60465937361</v>
      </c>
      <c r="N777" cm="1">
        <f t="array" ref="N777">_xlfn.XLOOKUP(TEXT(A777, "mmm-yy"), TEXT([2]RUNS!$B$5:$B$208, "mmm-yy"), [2]RUNS!$BM$5:$BM$208, "Not Found")</f>
        <v>0.85547381256545063</v>
      </c>
    </row>
    <row r="778" spans="1:14" x14ac:dyDescent="0.25">
      <c r="A778" s="1">
        <f>'[1]Global_Spot Prices'!$B2087</f>
        <v>43091</v>
      </c>
      <c r="B778">
        <f>_xlfn.XLOOKUP(A778,'[1]Global_Spot Prices'!$B:$B,'[1]Global_Spot Prices'!$BS:$BS)</f>
        <v>10.969999999999999</v>
      </c>
      <c r="C778">
        <f>_xlfn.XLOOKUP(A778,'[1]Global_Spot Prices'!$B:$B,'[1]Global_Spot Prices'!$E:$E)</f>
        <v>62.36</v>
      </c>
      <c r="D778">
        <f>_xlfn.XLOOKUP(A778,'[1]Global_Spot Prices'!$B:$B,'[1]Global_Spot Prices'!$D:$D)</f>
        <v>64.290000000000006</v>
      </c>
      <c r="E778">
        <f>_xlfn.XLOOKUP(A778,'[1]Global_Spot Prices'!$B:$B,'[1]Global_Spot Prices'!$H:$H)</f>
        <v>65.5</v>
      </c>
      <c r="F778">
        <f>_xlfn.XLOOKUP(A778,'[1]Global_Spot Prices'!$B:$B,'[1]Global_Spot Prices'!$I:$I)</f>
        <v>73.33</v>
      </c>
      <c r="G778" cm="1">
        <f t="array" ref="G778">_xlfn.XLOOKUP(TEXT(A778, "mmm-yy"), TEXT([2]RUNS!$B$5:$B$208, "mmm-yy"), [2]RUNS!$D$5:$D$208, "Not Found")</f>
        <v>29580.402396125635</v>
      </c>
      <c r="H778" cm="1">
        <f t="array" ref="H778">SUMPRODUCT(
    --(TEXT('[3]Global Weekly Stock (EWSuez'!$B$4:$B$2000,"mmm-yy")=TEXT(A778,"mmm-yy")),
    '[3]Global Weekly Stock (EWSuez'!$E$4:$E$2000)
/
SUMPRODUCT(
    --(TEXT('[3]Global Weekly Stock (EWSuez'!$B$4:$B$2000,"mmm-yy")=TEXT(A778,"mmm-yy"))
)</f>
        <v>13907.4</v>
      </c>
      <c r="I778">
        <f>_xlfn.XLOOKUP(A778,[1]ForwardDeriv!$D:$D,[1]ForwardDeriv!$AJ:$AJ)</f>
        <v>7.9999999999998295E-2</v>
      </c>
      <c r="J778" cm="1">
        <f t="array" ref="J778">_xlfn.XLOOKUP(TEXT(A778, "mmm-yy"), TEXT([2]GASOLINE!$B$5:$B$208, "mmm-yy"), [2]GASOLINE!$IR$5:$IR$208, "Not Found")</f>
        <v>198.54444144793791</v>
      </c>
      <c r="K778" cm="1">
        <f t="array" ref="K778">_xlfn.XLOOKUP(TEXT(A778, "mmm-yy"), TEXT([2]GASOLINE!$B$5:$B$208, "mmm-yy"), [2]GASOLINE!$IK$5:$IK$208, "Not Found")</f>
        <v>0</v>
      </c>
      <c r="L778">
        <f t="shared" si="12"/>
        <v>0</v>
      </c>
      <c r="M778" cm="1">
        <f t="array" ref="M778">_xlfn.XLOOKUP(TEXT(A778, "mmm-yy"), TEXT([2]GASOLINE!$B$5:$B$208, "mmm-yy"), [2]GASOLINE!$C$5:$C$208, "Not Found")</f>
        <v>7042.60465937361</v>
      </c>
      <c r="N778" cm="1">
        <f t="array" ref="N778">_xlfn.XLOOKUP(TEXT(A778, "mmm-yy"), TEXT([2]RUNS!$B$5:$B$208, "mmm-yy"), [2]RUNS!$BM$5:$BM$208, "Not Found")</f>
        <v>0.85547381256545063</v>
      </c>
    </row>
    <row r="779" spans="1:14" x14ac:dyDescent="0.25">
      <c r="A779" s="1">
        <f>'[1]Global_Spot Prices'!$B2088</f>
        <v>43094</v>
      </c>
      <c r="B779" t="e">
        <f>_xlfn.XLOOKUP(A779,'[1]Global_Spot Prices'!$B:$B,'[1]Global_Spot Prices'!$BS:$BS)</f>
        <v>#N/A</v>
      </c>
      <c r="C779" t="str">
        <f>_xlfn.XLOOKUP(A779,'[1]Global_Spot Prices'!$B:$B,'[1]Global_Spot Prices'!$E:$E)</f>
        <v/>
      </c>
      <c r="D779" t="str">
        <f>_xlfn.XLOOKUP(A779,'[1]Global_Spot Prices'!$B:$B,'[1]Global_Spot Prices'!$D:$D)</f>
        <v/>
      </c>
      <c r="E779">
        <f>_xlfn.XLOOKUP(A779,'[1]Global_Spot Prices'!$B:$B,'[1]Global_Spot Prices'!$H:$H)</f>
        <v>0</v>
      </c>
      <c r="F779">
        <f>_xlfn.XLOOKUP(A779,'[1]Global_Spot Prices'!$B:$B,'[1]Global_Spot Prices'!$I:$I)</f>
        <v>0</v>
      </c>
      <c r="G779" cm="1">
        <f t="array" ref="G779">_xlfn.XLOOKUP(TEXT(A779, "mmm-yy"), TEXT([2]RUNS!$B$5:$B$208, "mmm-yy"), [2]RUNS!$D$5:$D$208, "Not Found")</f>
        <v>29580.402396125635</v>
      </c>
      <c r="H779" cm="1">
        <f t="array" ref="H779">SUMPRODUCT(
    --(TEXT('[3]Global Weekly Stock (EWSuez'!$B$4:$B$2000,"mmm-yy")=TEXT(A779,"mmm-yy")),
    '[3]Global Weekly Stock (EWSuez'!$E$4:$E$2000)
/
SUMPRODUCT(
    --(TEXT('[3]Global Weekly Stock (EWSuez'!$B$4:$B$2000,"mmm-yy")=TEXT(A779,"mmm-yy"))
)</f>
        <v>13907.4</v>
      </c>
      <c r="I779">
        <f>_xlfn.XLOOKUP(A779,[1]ForwardDeriv!$D:$D,[1]ForwardDeriv!$AJ:$AJ)</f>
        <v>3.0000000000001137E-2</v>
      </c>
      <c r="J779" cm="1">
        <f t="array" ref="J779">_xlfn.XLOOKUP(TEXT(A779, "mmm-yy"), TEXT([2]GASOLINE!$B$5:$B$208, "mmm-yy"), [2]GASOLINE!$IR$5:$IR$208, "Not Found")</f>
        <v>198.54444144793791</v>
      </c>
      <c r="K779" cm="1">
        <f t="array" ref="K779">_xlfn.XLOOKUP(TEXT(A779, "mmm-yy"), TEXT([2]GASOLINE!$B$5:$B$208, "mmm-yy"), [2]GASOLINE!$IK$5:$IK$208, "Not Found")</f>
        <v>0</v>
      </c>
      <c r="L779">
        <f t="shared" si="12"/>
        <v>0</v>
      </c>
      <c r="M779" cm="1">
        <f t="array" ref="M779">_xlfn.XLOOKUP(TEXT(A779, "mmm-yy"), TEXT([2]GASOLINE!$B$5:$B$208, "mmm-yy"), [2]GASOLINE!$C$5:$C$208, "Not Found")</f>
        <v>7042.60465937361</v>
      </c>
      <c r="N779" cm="1">
        <f t="array" ref="N779">_xlfn.XLOOKUP(TEXT(A779, "mmm-yy"), TEXT([2]RUNS!$B$5:$B$208, "mmm-yy"), [2]RUNS!$BM$5:$BM$208, "Not Found")</f>
        <v>0.85547381256545063</v>
      </c>
    </row>
    <row r="780" spans="1:14" x14ac:dyDescent="0.25">
      <c r="A780" s="1">
        <f>'[1]Global_Spot Prices'!$B2089</f>
        <v>43095</v>
      </c>
      <c r="B780">
        <f>_xlfn.XLOOKUP(A780,'[1]Global_Spot Prices'!$B:$B,'[1]Global_Spot Prices'!$BS:$BS)</f>
        <v>10.850000000000001</v>
      </c>
      <c r="C780">
        <f>_xlfn.XLOOKUP(A780,'[1]Global_Spot Prices'!$B:$B,'[1]Global_Spot Prices'!$E:$E)</f>
        <v>62.6</v>
      </c>
      <c r="D780" t="str">
        <f>_xlfn.XLOOKUP(A780,'[1]Global_Spot Prices'!$B:$B,'[1]Global_Spot Prices'!$D:$D)</f>
        <v/>
      </c>
      <c r="E780">
        <f>_xlfn.XLOOKUP(A780,'[1]Global_Spot Prices'!$B:$B,'[1]Global_Spot Prices'!$H:$H)</f>
        <v>65.89</v>
      </c>
      <c r="F780">
        <f>_xlfn.XLOOKUP(A780,'[1]Global_Spot Prices'!$B:$B,'[1]Global_Spot Prices'!$I:$I)</f>
        <v>73.45</v>
      </c>
      <c r="G780" cm="1">
        <f t="array" ref="G780">_xlfn.XLOOKUP(TEXT(A780, "mmm-yy"), TEXT([2]RUNS!$B$5:$B$208, "mmm-yy"), [2]RUNS!$D$5:$D$208, "Not Found")</f>
        <v>29580.402396125635</v>
      </c>
      <c r="H780" cm="1">
        <f t="array" ref="H780">SUMPRODUCT(
    --(TEXT('[3]Global Weekly Stock (EWSuez'!$B$4:$B$2000,"mmm-yy")=TEXT(A780,"mmm-yy")),
    '[3]Global Weekly Stock (EWSuez'!$E$4:$E$2000)
/
SUMPRODUCT(
    --(TEXT('[3]Global Weekly Stock (EWSuez'!$B$4:$B$2000,"mmm-yy")=TEXT(A780,"mmm-yy"))
)</f>
        <v>13907.4</v>
      </c>
      <c r="I780">
        <f>_xlfn.XLOOKUP(A780,[1]ForwardDeriv!$D:$D,[1]ForwardDeriv!$AJ:$AJ)</f>
        <v>3.0000000000001137E-2</v>
      </c>
      <c r="J780" cm="1">
        <f t="array" ref="J780">_xlfn.XLOOKUP(TEXT(A780, "mmm-yy"), TEXT([2]GASOLINE!$B$5:$B$208, "mmm-yy"), [2]GASOLINE!$IR$5:$IR$208, "Not Found")</f>
        <v>198.54444144793791</v>
      </c>
      <c r="K780" cm="1">
        <f t="array" ref="K780">_xlfn.XLOOKUP(TEXT(A780, "mmm-yy"), TEXT([2]GASOLINE!$B$5:$B$208, "mmm-yy"), [2]GASOLINE!$IK$5:$IK$208, "Not Found")</f>
        <v>0</v>
      </c>
      <c r="L780">
        <f t="shared" si="12"/>
        <v>0</v>
      </c>
      <c r="M780" cm="1">
        <f t="array" ref="M780">_xlfn.XLOOKUP(TEXT(A780, "mmm-yy"), TEXT([2]GASOLINE!$B$5:$B$208, "mmm-yy"), [2]GASOLINE!$C$5:$C$208, "Not Found")</f>
        <v>7042.60465937361</v>
      </c>
      <c r="N780" cm="1">
        <f t="array" ref="N780">_xlfn.XLOOKUP(TEXT(A780, "mmm-yy"), TEXT([2]RUNS!$B$5:$B$208, "mmm-yy"), [2]RUNS!$BM$5:$BM$208, "Not Found")</f>
        <v>0.85547381256545063</v>
      </c>
    </row>
    <row r="781" spans="1:14" x14ac:dyDescent="0.25">
      <c r="A781" s="1">
        <f>'[1]Global_Spot Prices'!$B2090</f>
        <v>43096</v>
      </c>
      <c r="B781">
        <f>_xlfn.XLOOKUP(A781,'[1]Global_Spot Prices'!$B:$B,'[1]Global_Spot Prices'!$BS:$BS)</f>
        <v>10.540000000000006</v>
      </c>
      <c r="C781">
        <f>_xlfn.XLOOKUP(A781,'[1]Global_Spot Prices'!$B:$B,'[1]Global_Spot Prices'!$E:$E)</f>
        <v>63.91</v>
      </c>
      <c r="D781">
        <f>_xlfn.XLOOKUP(A781,'[1]Global_Spot Prices'!$B:$B,'[1]Global_Spot Prices'!$D:$D)</f>
        <v>66.075000000000003</v>
      </c>
      <c r="E781">
        <f>_xlfn.XLOOKUP(A781,'[1]Global_Spot Prices'!$B:$B,'[1]Global_Spot Prices'!$H:$H)</f>
        <v>67.06</v>
      </c>
      <c r="F781">
        <f>_xlfn.XLOOKUP(A781,'[1]Global_Spot Prices'!$B:$B,'[1]Global_Spot Prices'!$I:$I)</f>
        <v>74.45</v>
      </c>
      <c r="G781" cm="1">
        <f t="array" ref="G781">_xlfn.XLOOKUP(TEXT(A781, "mmm-yy"), TEXT([2]RUNS!$B$5:$B$208, "mmm-yy"), [2]RUNS!$D$5:$D$208, "Not Found")</f>
        <v>29580.402396125635</v>
      </c>
      <c r="H781" cm="1">
        <f t="array" ref="H781">SUMPRODUCT(
    --(TEXT('[3]Global Weekly Stock (EWSuez'!$B$4:$B$2000,"mmm-yy")=TEXT(A781,"mmm-yy")),
    '[3]Global Weekly Stock (EWSuez'!$E$4:$E$2000)
/
SUMPRODUCT(
    --(TEXT('[3]Global Weekly Stock (EWSuez'!$B$4:$B$2000,"mmm-yy")=TEXT(A781,"mmm-yy"))
)</f>
        <v>13907.4</v>
      </c>
      <c r="I781">
        <f>_xlfn.XLOOKUP(A781,[1]ForwardDeriv!$D:$D,[1]ForwardDeriv!$AJ:$AJ)</f>
        <v>-3.0000000000001137E-2</v>
      </c>
      <c r="J781" cm="1">
        <f t="array" ref="J781">_xlfn.XLOOKUP(TEXT(A781, "mmm-yy"), TEXT([2]GASOLINE!$B$5:$B$208, "mmm-yy"), [2]GASOLINE!$IR$5:$IR$208, "Not Found")</f>
        <v>198.54444144793791</v>
      </c>
      <c r="K781" cm="1">
        <f t="array" ref="K781">_xlfn.XLOOKUP(TEXT(A781, "mmm-yy"), TEXT([2]GASOLINE!$B$5:$B$208, "mmm-yy"), [2]GASOLINE!$IK$5:$IK$208, "Not Found")</f>
        <v>0</v>
      </c>
      <c r="L781">
        <f t="shared" si="12"/>
        <v>0</v>
      </c>
      <c r="M781" cm="1">
        <f t="array" ref="M781">_xlfn.XLOOKUP(TEXT(A781, "mmm-yy"), TEXT([2]GASOLINE!$B$5:$B$208, "mmm-yy"), [2]GASOLINE!$C$5:$C$208, "Not Found")</f>
        <v>7042.60465937361</v>
      </c>
      <c r="N781" cm="1">
        <f t="array" ref="N781">_xlfn.XLOOKUP(TEXT(A781, "mmm-yy"), TEXT([2]RUNS!$B$5:$B$208, "mmm-yy"), [2]RUNS!$BM$5:$BM$208, "Not Found")</f>
        <v>0.85547381256545063</v>
      </c>
    </row>
    <row r="782" spans="1:14" x14ac:dyDescent="0.25">
      <c r="A782" s="1">
        <f>'[1]Global_Spot Prices'!$B2091</f>
        <v>43097</v>
      </c>
      <c r="B782">
        <f>_xlfn.XLOOKUP(A782,'[1]Global_Spot Prices'!$B:$B,'[1]Global_Spot Prices'!$BS:$BS)</f>
        <v>10.46</v>
      </c>
      <c r="C782">
        <f>_xlfn.XLOOKUP(A782,'[1]Global_Spot Prices'!$B:$B,'[1]Global_Spot Prices'!$E:$E)</f>
        <v>63.9</v>
      </c>
      <c r="D782">
        <f>_xlfn.XLOOKUP(A782,'[1]Global_Spot Prices'!$B:$B,'[1]Global_Spot Prices'!$D:$D)</f>
        <v>66.14</v>
      </c>
      <c r="E782">
        <f>_xlfn.XLOOKUP(A782,'[1]Global_Spot Prices'!$B:$B,'[1]Global_Spot Prices'!$H:$H)</f>
        <v>67.14</v>
      </c>
      <c r="F782">
        <f>_xlfn.XLOOKUP(A782,'[1]Global_Spot Prices'!$B:$B,'[1]Global_Spot Prices'!$I:$I)</f>
        <v>74.36</v>
      </c>
      <c r="G782" cm="1">
        <f t="array" ref="G782">_xlfn.XLOOKUP(TEXT(A782, "mmm-yy"), TEXT([2]RUNS!$B$5:$B$208, "mmm-yy"), [2]RUNS!$D$5:$D$208, "Not Found")</f>
        <v>29580.402396125635</v>
      </c>
      <c r="H782" cm="1">
        <f t="array" ref="H782">SUMPRODUCT(
    --(TEXT('[3]Global Weekly Stock (EWSuez'!$B$4:$B$2000,"mmm-yy")=TEXT(A782,"mmm-yy")),
    '[3]Global Weekly Stock (EWSuez'!$E$4:$E$2000)
/
SUMPRODUCT(
    --(TEXT('[3]Global Weekly Stock (EWSuez'!$B$4:$B$2000,"mmm-yy")=TEXT(A782,"mmm-yy"))
)</f>
        <v>13907.4</v>
      </c>
      <c r="I782">
        <f>_xlfn.XLOOKUP(A782,[1]ForwardDeriv!$D:$D,[1]ForwardDeriv!$AJ:$AJ)</f>
        <v>-7.9999999999998295E-2</v>
      </c>
      <c r="J782" cm="1">
        <f t="array" ref="J782">_xlfn.XLOOKUP(TEXT(A782, "mmm-yy"), TEXT([2]GASOLINE!$B$5:$B$208, "mmm-yy"), [2]GASOLINE!$IR$5:$IR$208, "Not Found")</f>
        <v>198.54444144793791</v>
      </c>
      <c r="K782" cm="1">
        <f t="array" ref="K782">_xlfn.XLOOKUP(TEXT(A782, "mmm-yy"), TEXT([2]GASOLINE!$B$5:$B$208, "mmm-yy"), [2]GASOLINE!$IK$5:$IK$208, "Not Found")</f>
        <v>0</v>
      </c>
      <c r="L782">
        <f t="shared" si="12"/>
        <v>0</v>
      </c>
      <c r="M782" cm="1">
        <f t="array" ref="M782">_xlfn.XLOOKUP(TEXT(A782, "mmm-yy"), TEXT([2]GASOLINE!$B$5:$B$208, "mmm-yy"), [2]GASOLINE!$C$5:$C$208, "Not Found")</f>
        <v>7042.60465937361</v>
      </c>
      <c r="N782" cm="1">
        <f t="array" ref="N782">_xlfn.XLOOKUP(TEXT(A782, "mmm-yy"), TEXT([2]RUNS!$B$5:$B$208, "mmm-yy"), [2]RUNS!$BM$5:$BM$208, "Not Found")</f>
        <v>0.85547381256545063</v>
      </c>
    </row>
    <row r="783" spans="1:14" x14ac:dyDescent="0.25">
      <c r="A783" s="1">
        <f>'[1]Global_Spot Prices'!$B2092</f>
        <v>43098</v>
      </c>
      <c r="B783">
        <f>_xlfn.XLOOKUP(A783,'[1]Global_Spot Prices'!$B:$B,'[1]Global_Spot Prices'!$BS:$BS)</f>
        <v>10.25</v>
      </c>
      <c r="C783">
        <f>_xlfn.XLOOKUP(A783,'[1]Global_Spot Prices'!$B:$B,'[1]Global_Spot Prices'!$E:$E)</f>
        <v>64.36</v>
      </c>
      <c r="D783">
        <f>_xlfn.XLOOKUP(A783,'[1]Global_Spot Prices'!$B:$B,'[1]Global_Spot Prices'!$D:$D)</f>
        <v>66.534999999999997</v>
      </c>
      <c r="E783">
        <f>_xlfn.XLOOKUP(A783,'[1]Global_Spot Prices'!$B:$B,'[1]Global_Spot Prices'!$H:$H)</f>
        <v>67.56</v>
      </c>
      <c r="F783">
        <f>_xlfn.XLOOKUP(A783,'[1]Global_Spot Prices'!$B:$B,'[1]Global_Spot Prices'!$I:$I)</f>
        <v>74.61</v>
      </c>
      <c r="G783" cm="1">
        <f t="array" ref="G783">_xlfn.XLOOKUP(TEXT(A783, "mmm-yy"), TEXT([2]RUNS!$B$5:$B$208, "mmm-yy"), [2]RUNS!$D$5:$D$208, "Not Found")</f>
        <v>29580.402396125635</v>
      </c>
      <c r="H783" cm="1">
        <f t="array" ref="H783">SUMPRODUCT(
    --(TEXT('[3]Global Weekly Stock (EWSuez'!$B$4:$B$2000,"mmm-yy")=TEXT(A783,"mmm-yy")),
    '[3]Global Weekly Stock (EWSuez'!$E$4:$E$2000)
/
SUMPRODUCT(
    --(TEXT('[3]Global Weekly Stock (EWSuez'!$B$4:$B$2000,"mmm-yy")=TEXT(A783,"mmm-yy"))
)</f>
        <v>13907.4</v>
      </c>
      <c r="I783">
        <f>_xlfn.XLOOKUP(A783,[1]ForwardDeriv!$D:$D,[1]ForwardDeriv!$AJ:$AJ)</f>
        <v>-0.10999999999999943</v>
      </c>
      <c r="J783" cm="1">
        <f t="array" ref="J783">_xlfn.XLOOKUP(TEXT(A783, "mmm-yy"), TEXT([2]GASOLINE!$B$5:$B$208, "mmm-yy"), [2]GASOLINE!$IR$5:$IR$208, "Not Found")</f>
        <v>198.54444144793791</v>
      </c>
      <c r="K783" cm="1">
        <f t="array" ref="K783">_xlfn.XLOOKUP(TEXT(A783, "mmm-yy"), TEXT([2]GASOLINE!$B$5:$B$208, "mmm-yy"), [2]GASOLINE!$IK$5:$IK$208, "Not Found")</f>
        <v>0</v>
      </c>
      <c r="L783">
        <f t="shared" si="12"/>
        <v>0</v>
      </c>
      <c r="M783" cm="1">
        <f t="array" ref="M783">_xlfn.XLOOKUP(TEXT(A783, "mmm-yy"), TEXT([2]GASOLINE!$B$5:$B$208, "mmm-yy"), [2]GASOLINE!$C$5:$C$208, "Not Found")</f>
        <v>7042.60465937361</v>
      </c>
      <c r="N783" cm="1">
        <f t="array" ref="N783">_xlfn.XLOOKUP(TEXT(A783, "mmm-yy"), TEXT([2]RUNS!$B$5:$B$208, "mmm-yy"), [2]RUNS!$BM$5:$BM$208, "Not Found")</f>
        <v>0.85547381256545063</v>
      </c>
    </row>
    <row r="784" spans="1:14" x14ac:dyDescent="0.25">
      <c r="A784" s="1">
        <f>'[1]Global_Spot Prices'!$B2093</f>
        <v>43101</v>
      </c>
      <c r="B784" t="e">
        <f>_xlfn.XLOOKUP(A784,'[1]Global_Spot Prices'!$B:$B,'[1]Global_Spot Prices'!$BS:$BS)</f>
        <v>#N/A</v>
      </c>
      <c r="C784" t="str">
        <f>_xlfn.XLOOKUP(A784,'[1]Global_Spot Prices'!$B:$B,'[1]Global_Spot Prices'!$E:$E)</f>
        <v/>
      </c>
      <c r="D784" t="str">
        <f>_xlfn.XLOOKUP(A784,'[1]Global_Spot Prices'!$B:$B,'[1]Global_Spot Prices'!$D:$D)</f>
        <v/>
      </c>
      <c r="E784">
        <f>_xlfn.XLOOKUP(A784,'[1]Global_Spot Prices'!$B:$B,'[1]Global_Spot Prices'!$H:$H)</f>
        <v>0</v>
      </c>
      <c r="F784">
        <f>_xlfn.XLOOKUP(A784,'[1]Global_Spot Prices'!$B:$B,'[1]Global_Spot Prices'!$I:$I)</f>
        <v>0</v>
      </c>
      <c r="G784" cm="1">
        <f t="array" ref="G784">_xlfn.XLOOKUP(TEXT(A784, "mmm-yy"), TEXT([2]RUNS!$B$5:$B$208, "mmm-yy"), [2]RUNS!$D$5:$D$208, "Not Found")</f>
        <v>29966.12870178328</v>
      </c>
      <c r="H784" cm="1">
        <f t="array" ref="H784">SUMPRODUCT(
    --(TEXT('[3]Global Weekly Stock (EWSuez'!$B$4:$B$2000,"mmm-yy")=TEXT(A784,"mmm-yy")),
    '[3]Global Weekly Stock (EWSuez'!$E$4:$E$2000)
/
SUMPRODUCT(
    --(TEXT('[3]Global Weekly Stock (EWSuez'!$B$4:$B$2000,"mmm-yy")=TEXT(A784,"mmm-yy"))
)</f>
        <v>13290.25</v>
      </c>
      <c r="I784">
        <f>_xlfn.XLOOKUP(A784,[1]ForwardDeriv!$D:$D,[1]ForwardDeriv!$AJ:$AJ)</f>
        <v>-0.17999999999999261</v>
      </c>
      <c r="J784" cm="1">
        <f t="array" ref="J784">_xlfn.XLOOKUP(TEXT(A784, "mmm-yy"), TEXT([2]GASOLINE!$B$5:$B$208, "mmm-yy"), [2]GASOLINE!$IR$5:$IR$208, "Not Found")</f>
        <v>308.56259720311084</v>
      </c>
      <c r="K784" cm="1">
        <f t="array" ref="K784">_xlfn.XLOOKUP(TEXT(A784, "mmm-yy"), TEXT([2]GASOLINE!$B$5:$B$208, "mmm-yy"), [2]GASOLINE!$IK$5:$IK$208, "Not Found")</f>
        <v>154.32668561733138</v>
      </c>
      <c r="L784">
        <f t="shared" si="12"/>
        <v>0</v>
      </c>
      <c r="M784" cm="1">
        <f t="array" ref="M784">_xlfn.XLOOKUP(TEXT(A784, "mmm-yy"), TEXT([2]GASOLINE!$B$5:$B$208, "mmm-yy"), [2]GASOLINE!$C$5:$C$208, "Not Found")</f>
        <v>7067.8509216712282</v>
      </c>
      <c r="N784" cm="1">
        <f t="array" ref="N784">_xlfn.XLOOKUP(TEXT(A784, "mmm-yy"), TEXT([2]RUNS!$B$5:$B$208, "mmm-yy"), [2]RUNS!$BM$5:$BM$208, "Not Found")</f>
        <v>0.86661158528517102</v>
      </c>
    </row>
    <row r="785" spans="1:14" x14ac:dyDescent="0.25">
      <c r="A785" s="1">
        <f>'[1]Global_Spot Prices'!$B2094</f>
        <v>43102</v>
      </c>
      <c r="B785">
        <f>_xlfn.XLOOKUP(A785,'[1]Global_Spot Prices'!$B:$B,'[1]Global_Spot Prices'!$BS:$BS)</f>
        <v>10.075000000000003</v>
      </c>
      <c r="C785">
        <f>_xlfn.XLOOKUP(A785,'[1]Global_Spot Prices'!$B:$B,'[1]Global_Spot Prices'!$E:$E)</f>
        <v>64.355000000000004</v>
      </c>
      <c r="D785">
        <f>_xlfn.XLOOKUP(A785,'[1]Global_Spot Prices'!$B:$B,'[1]Global_Spot Prices'!$D:$D)</f>
        <v>66.599999999999994</v>
      </c>
      <c r="E785">
        <f>_xlfn.XLOOKUP(A785,'[1]Global_Spot Prices'!$B:$B,'[1]Global_Spot Prices'!$H:$H)</f>
        <v>67.72</v>
      </c>
      <c r="F785">
        <f>_xlfn.XLOOKUP(A785,'[1]Global_Spot Prices'!$B:$B,'[1]Global_Spot Prices'!$I:$I)</f>
        <v>74.430000000000007</v>
      </c>
      <c r="G785" cm="1">
        <f t="array" ref="G785">_xlfn.XLOOKUP(TEXT(A785, "mmm-yy"), TEXT([2]RUNS!$B$5:$B$208, "mmm-yy"), [2]RUNS!$D$5:$D$208, "Not Found")</f>
        <v>29966.12870178328</v>
      </c>
      <c r="H785" cm="1">
        <f t="array" ref="H785">SUMPRODUCT(
    --(TEXT('[3]Global Weekly Stock (EWSuez'!$B$4:$B$2000,"mmm-yy")=TEXT(A785,"mmm-yy")),
    '[3]Global Weekly Stock (EWSuez'!$E$4:$E$2000)
/
SUMPRODUCT(
    --(TEXT('[3]Global Weekly Stock (EWSuez'!$B$4:$B$2000,"mmm-yy")=TEXT(A785,"mmm-yy"))
)</f>
        <v>13290.25</v>
      </c>
      <c r="I785">
        <f>_xlfn.XLOOKUP(A785,[1]ForwardDeriv!$D:$D,[1]ForwardDeriv!$AJ:$AJ)</f>
        <v>-0.17999999999999261</v>
      </c>
      <c r="J785" cm="1">
        <f t="array" ref="J785">_xlfn.XLOOKUP(TEXT(A785, "mmm-yy"), TEXT([2]GASOLINE!$B$5:$B$208, "mmm-yy"), [2]GASOLINE!$IR$5:$IR$208, "Not Found")</f>
        <v>308.56259720311084</v>
      </c>
      <c r="K785" cm="1">
        <f t="array" ref="K785">_xlfn.XLOOKUP(TEXT(A785, "mmm-yy"), TEXT([2]GASOLINE!$B$5:$B$208, "mmm-yy"), [2]GASOLINE!$IK$5:$IK$208, "Not Found")</f>
        <v>154.32668561733138</v>
      </c>
      <c r="L785">
        <f t="shared" si="12"/>
        <v>0</v>
      </c>
      <c r="M785" cm="1">
        <f t="array" ref="M785">_xlfn.XLOOKUP(TEXT(A785, "mmm-yy"), TEXT([2]GASOLINE!$B$5:$B$208, "mmm-yy"), [2]GASOLINE!$C$5:$C$208, "Not Found")</f>
        <v>7067.8509216712282</v>
      </c>
      <c r="N785" cm="1">
        <f t="array" ref="N785">_xlfn.XLOOKUP(TEXT(A785, "mmm-yy"), TEXT([2]RUNS!$B$5:$B$208, "mmm-yy"), [2]RUNS!$BM$5:$BM$208, "Not Found")</f>
        <v>0.86661158528517102</v>
      </c>
    </row>
    <row r="786" spans="1:14" x14ac:dyDescent="0.25">
      <c r="A786" s="1">
        <f>'[1]Global_Spot Prices'!$B2095</f>
        <v>43103</v>
      </c>
      <c r="B786">
        <f>_xlfn.XLOOKUP(A786,'[1]Global_Spot Prices'!$B:$B,'[1]Global_Spot Prices'!$BS:$BS)</f>
        <v>9.3149999999999977</v>
      </c>
      <c r="C786">
        <f>_xlfn.XLOOKUP(A786,'[1]Global_Spot Prices'!$B:$B,'[1]Global_Spot Prices'!$E:$E)</f>
        <v>64.144999999999996</v>
      </c>
      <c r="D786">
        <f>_xlfn.XLOOKUP(A786,'[1]Global_Spot Prices'!$B:$B,'[1]Global_Spot Prices'!$D:$D)</f>
        <v>68.064999999999998</v>
      </c>
      <c r="E786">
        <f>_xlfn.XLOOKUP(A786,'[1]Global_Spot Prices'!$B:$B,'[1]Global_Spot Prices'!$H:$H)</f>
        <v>66.52</v>
      </c>
      <c r="F786">
        <f>_xlfn.XLOOKUP(A786,'[1]Global_Spot Prices'!$B:$B,'[1]Global_Spot Prices'!$I:$I)</f>
        <v>73.459999999999994</v>
      </c>
      <c r="G786" cm="1">
        <f t="array" ref="G786">_xlfn.XLOOKUP(TEXT(A786, "mmm-yy"), TEXT([2]RUNS!$B$5:$B$208, "mmm-yy"), [2]RUNS!$D$5:$D$208, "Not Found")</f>
        <v>29966.12870178328</v>
      </c>
      <c r="H786" cm="1">
        <f t="array" ref="H786">SUMPRODUCT(
    --(TEXT('[3]Global Weekly Stock (EWSuez'!$B$4:$B$2000,"mmm-yy")=TEXT(A786,"mmm-yy")),
    '[3]Global Weekly Stock (EWSuez'!$E$4:$E$2000)
/
SUMPRODUCT(
    --(TEXT('[3]Global Weekly Stock (EWSuez'!$B$4:$B$2000,"mmm-yy")=TEXT(A786,"mmm-yy"))
)</f>
        <v>13290.25</v>
      </c>
      <c r="I786">
        <f>_xlfn.XLOOKUP(A786,[1]ForwardDeriv!$D:$D,[1]ForwardDeriv!$AJ:$AJ)</f>
        <v>-0.28000000000000114</v>
      </c>
      <c r="J786" cm="1">
        <f t="array" ref="J786">_xlfn.XLOOKUP(TEXT(A786, "mmm-yy"), TEXT([2]GASOLINE!$B$5:$B$208, "mmm-yy"), [2]GASOLINE!$IR$5:$IR$208, "Not Found")</f>
        <v>308.56259720311084</v>
      </c>
      <c r="K786" cm="1">
        <f t="array" ref="K786">_xlfn.XLOOKUP(TEXT(A786, "mmm-yy"), TEXT([2]GASOLINE!$B$5:$B$208, "mmm-yy"), [2]GASOLINE!$IK$5:$IK$208, "Not Found")</f>
        <v>154.32668561733138</v>
      </c>
      <c r="L786">
        <f t="shared" si="12"/>
        <v>0</v>
      </c>
      <c r="M786" cm="1">
        <f t="array" ref="M786">_xlfn.XLOOKUP(TEXT(A786, "mmm-yy"), TEXT([2]GASOLINE!$B$5:$B$208, "mmm-yy"), [2]GASOLINE!$C$5:$C$208, "Not Found")</f>
        <v>7067.8509216712282</v>
      </c>
      <c r="N786" cm="1">
        <f t="array" ref="N786">_xlfn.XLOOKUP(TEXT(A786, "mmm-yy"), TEXT([2]RUNS!$B$5:$B$208, "mmm-yy"), [2]RUNS!$BM$5:$BM$208, "Not Found")</f>
        <v>0.86661158528517102</v>
      </c>
    </row>
    <row r="787" spans="1:14" x14ac:dyDescent="0.25">
      <c r="A787" s="1">
        <f>'[1]Global_Spot Prices'!$B2096</f>
        <v>43104</v>
      </c>
      <c r="B787">
        <f>_xlfn.XLOOKUP(A787,'[1]Global_Spot Prices'!$B:$B,'[1]Global_Spot Prices'!$BS:$BS)</f>
        <v>9.625</v>
      </c>
      <c r="C787">
        <f>_xlfn.XLOOKUP(A787,'[1]Global_Spot Prices'!$B:$B,'[1]Global_Spot Prices'!$E:$E)</f>
        <v>65.355000000000004</v>
      </c>
      <c r="D787">
        <f>_xlfn.XLOOKUP(A787,'[1]Global_Spot Prices'!$B:$B,'[1]Global_Spot Prices'!$D:$D)</f>
        <v>68.72</v>
      </c>
      <c r="E787">
        <f>_xlfn.XLOOKUP(A787,'[1]Global_Spot Prices'!$B:$B,'[1]Global_Spot Prices'!$H:$H)</f>
        <v>66.98</v>
      </c>
      <c r="F787">
        <f>_xlfn.XLOOKUP(A787,'[1]Global_Spot Prices'!$B:$B,'[1]Global_Spot Prices'!$I:$I)</f>
        <v>74.98</v>
      </c>
      <c r="G787" cm="1">
        <f t="array" ref="G787">_xlfn.XLOOKUP(TEXT(A787, "mmm-yy"), TEXT([2]RUNS!$B$5:$B$208, "mmm-yy"), [2]RUNS!$D$5:$D$208, "Not Found")</f>
        <v>29966.12870178328</v>
      </c>
      <c r="H787" cm="1">
        <f t="array" ref="H787">SUMPRODUCT(
    --(TEXT('[3]Global Weekly Stock (EWSuez'!$B$4:$B$2000,"mmm-yy")=TEXT(A787,"mmm-yy")),
    '[3]Global Weekly Stock (EWSuez'!$E$4:$E$2000)
/
SUMPRODUCT(
    --(TEXT('[3]Global Weekly Stock (EWSuez'!$B$4:$B$2000,"mmm-yy")=TEXT(A787,"mmm-yy"))
)</f>
        <v>13290.25</v>
      </c>
      <c r="I787">
        <f>_xlfn.XLOOKUP(A787,[1]ForwardDeriv!$D:$D,[1]ForwardDeriv!$AJ:$AJ)</f>
        <v>-0.28000000000000114</v>
      </c>
      <c r="J787" cm="1">
        <f t="array" ref="J787">_xlfn.XLOOKUP(TEXT(A787, "mmm-yy"), TEXT([2]GASOLINE!$B$5:$B$208, "mmm-yy"), [2]GASOLINE!$IR$5:$IR$208, "Not Found")</f>
        <v>308.56259720311084</v>
      </c>
      <c r="K787" cm="1">
        <f t="array" ref="K787">_xlfn.XLOOKUP(TEXT(A787, "mmm-yy"), TEXT([2]GASOLINE!$B$5:$B$208, "mmm-yy"), [2]GASOLINE!$IK$5:$IK$208, "Not Found")</f>
        <v>154.32668561733138</v>
      </c>
      <c r="L787">
        <f t="shared" si="12"/>
        <v>0</v>
      </c>
      <c r="M787" cm="1">
        <f t="array" ref="M787">_xlfn.XLOOKUP(TEXT(A787, "mmm-yy"), TEXT([2]GASOLINE!$B$5:$B$208, "mmm-yy"), [2]GASOLINE!$C$5:$C$208, "Not Found")</f>
        <v>7067.8509216712282</v>
      </c>
      <c r="N787" cm="1">
        <f t="array" ref="N787">_xlfn.XLOOKUP(TEXT(A787, "mmm-yy"), TEXT([2]RUNS!$B$5:$B$208, "mmm-yy"), [2]RUNS!$BM$5:$BM$208, "Not Found")</f>
        <v>0.86661158528517102</v>
      </c>
    </row>
    <row r="788" spans="1:14" x14ac:dyDescent="0.25">
      <c r="A788" s="1">
        <f>'[1]Global_Spot Prices'!$B2097</f>
        <v>43105</v>
      </c>
      <c r="B788">
        <f>_xlfn.XLOOKUP(A788,'[1]Global_Spot Prices'!$B:$B,'[1]Global_Spot Prices'!$BS:$BS)</f>
        <v>9.6200000000000045</v>
      </c>
      <c r="C788">
        <f>_xlfn.XLOOKUP(A788,'[1]Global_Spot Prices'!$B:$B,'[1]Global_Spot Prices'!$E:$E)</f>
        <v>65.3</v>
      </c>
      <c r="D788">
        <f>_xlfn.XLOOKUP(A788,'[1]Global_Spot Prices'!$B:$B,'[1]Global_Spot Prices'!$D:$D)</f>
        <v>68.165000000000006</v>
      </c>
      <c r="E788">
        <f>_xlfn.XLOOKUP(A788,'[1]Global_Spot Prices'!$B:$B,'[1]Global_Spot Prices'!$H:$H)</f>
        <v>66.56</v>
      </c>
      <c r="F788">
        <f>_xlfn.XLOOKUP(A788,'[1]Global_Spot Prices'!$B:$B,'[1]Global_Spot Prices'!$I:$I)</f>
        <v>74.92</v>
      </c>
      <c r="G788" cm="1">
        <f t="array" ref="G788">_xlfn.XLOOKUP(TEXT(A788, "mmm-yy"), TEXT([2]RUNS!$B$5:$B$208, "mmm-yy"), [2]RUNS!$D$5:$D$208, "Not Found")</f>
        <v>29966.12870178328</v>
      </c>
      <c r="H788" cm="1">
        <f t="array" ref="H788">SUMPRODUCT(
    --(TEXT('[3]Global Weekly Stock (EWSuez'!$B$4:$B$2000,"mmm-yy")=TEXT(A788,"mmm-yy")),
    '[3]Global Weekly Stock (EWSuez'!$E$4:$E$2000)
/
SUMPRODUCT(
    --(TEXT('[3]Global Weekly Stock (EWSuez'!$B$4:$B$2000,"mmm-yy")=TEXT(A788,"mmm-yy"))
)</f>
        <v>13290.25</v>
      </c>
      <c r="I788">
        <f>_xlfn.XLOOKUP(A788,[1]ForwardDeriv!$D:$D,[1]ForwardDeriv!$AJ:$AJ)</f>
        <v>-0.35000000000000853</v>
      </c>
      <c r="J788" cm="1">
        <f t="array" ref="J788">_xlfn.XLOOKUP(TEXT(A788, "mmm-yy"), TEXT([2]GASOLINE!$B$5:$B$208, "mmm-yy"), [2]GASOLINE!$IR$5:$IR$208, "Not Found")</f>
        <v>308.56259720311084</v>
      </c>
      <c r="K788" cm="1">
        <f t="array" ref="K788">_xlfn.XLOOKUP(TEXT(A788, "mmm-yy"), TEXT([2]GASOLINE!$B$5:$B$208, "mmm-yy"), [2]GASOLINE!$IK$5:$IK$208, "Not Found")</f>
        <v>154.32668561733138</v>
      </c>
      <c r="L788">
        <f t="shared" si="12"/>
        <v>0</v>
      </c>
      <c r="M788" cm="1">
        <f t="array" ref="M788">_xlfn.XLOOKUP(TEXT(A788, "mmm-yy"), TEXT([2]GASOLINE!$B$5:$B$208, "mmm-yy"), [2]GASOLINE!$C$5:$C$208, "Not Found")</f>
        <v>7067.8509216712282</v>
      </c>
      <c r="N788" cm="1">
        <f t="array" ref="N788">_xlfn.XLOOKUP(TEXT(A788, "mmm-yy"), TEXT([2]RUNS!$B$5:$B$208, "mmm-yy"), [2]RUNS!$BM$5:$BM$208, "Not Found")</f>
        <v>0.86661158528517102</v>
      </c>
    </row>
    <row r="789" spans="1:14" x14ac:dyDescent="0.25">
      <c r="A789" s="1">
        <f>'[1]Global_Spot Prices'!$B2098</f>
        <v>43108</v>
      </c>
      <c r="B789">
        <f>_xlfn.XLOOKUP(A789,'[1]Global_Spot Prices'!$B:$B,'[1]Global_Spot Prices'!$BS:$BS)</f>
        <v>9.7549999999999955</v>
      </c>
      <c r="C789">
        <f>_xlfn.XLOOKUP(A789,'[1]Global_Spot Prices'!$B:$B,'[1]Global_Spot Prices'!$E:$E)</f>
        <v>65.055000000000007</v>
      </c>
      <c r="D789">
        <f>_xlfn.XLOOKUP(A789,'[1]Global_Spot Prices'!$B:$B,'[1]Global_Spot Prices'!$D:$D)</f>
        <v>68.344999999999999</v>
      </c>
      <c r="E789">
        <f>_xlfn.XLOOKUP(A789,'[1]Global_Spot Prices'!$B:$B,'[1]Global_Spot Prices'!$H:$H)</f>
        <v>66.19</v>
      </c>
      <c r="F789">
        <f>_xlfn.XLOOKUP(A789,'[1]Global_Spot Prices'!$B:$B,'[1]Global_Spot Prices'!$I:$I)</f>
        <v>74.81</v>
      </c>
      <c r="G789" cm="1">
        <f t="array" ref="G789">_xlfn.XLOOKUP(TEXT(A789, "mmm-yy"), TEXT([2]RUNS!$B$5:$B$208, "mmm-yy"), [2]RUNS!$D$5:$D$208, "Not Found")</f>
        <v>29966.12870178328</v>
      </c>
      <c r="H789" cm="1">
        <f t="array" ref="H789">SUMPRODUCT(
    --(TEXT('[3]Global Weekly Stock (EWSuez'!$B$4:$B$2000,"mmm-yy")=TEXT(A789,"mmm-yy")),
    '[3]Global Weekly Stock (EWSuez'!$E$4:$E$2000)
/
SUMPRODUCT(
    --(TEXT('[3]Global Weekly Stock (EWSuez'!$B$4:$B$2000,"mmm-yy")=TEXT(A789,"mmm-yy"))
)</f>
        <v>13290.25</v>
      </c>
      <c r="I789">
        <f>_xlfn.XLOOKUP(A789,[1]ForwardDeriv!$D:$D,[1]ForwardDeriv!$AJ:$AJ)</f>
        <v>-0.40000000000000568</v>
      </c>
      <c r="J789" cm="1">
        <f t="array" ref="J789">_xlfn.XLOOKUP(TEXT(A789, "mmm-yy"), TEXT([2]GASOLINE!$B$5:$B$208, "mmm-yy"), [2]GASOLINE!$IR$5:$IR$208, "Not Found")</f>
        <v>308.56259720311084</v>
      </c>
      <c r="K789" cm="1">
        <f t="array" ref="K789">_xlfn.XLOOKUP(TEXT(A789, "mmm-yy"), TEXT([2]GASOLINE!$B$5:$B$208, "mmm-yy"), [2]GASOLINE!$IK$5:$IK$208, "Not Found")</f>
        <v>154.32668561733138</v>
      </c>
      <c r="L789">
        <f t="shared" si="12"/>
        <v>0</v>
      </c>
      <c r="M789" cm="1">
        <f t="array" ref="M789">_xlfn.XLOOKUP(TEXT(A789, "mmm-yy"), TEXT([2]GASOLINE!$B$5:$B$208, "mmm-yy"), [2]GASOLINE!$C$5:$C$208, "Not Found")</f>
        <v>7067.8509216712282</v>
      </c>
      <c r="N789" cm="1">
        <f t="array" ref="N789">_xlfn.XLOOKUP(TEXT(A789, "mmm-yy"), TEXT([2]RUNS!$B$5:$B$208, "mmm-yy"), [2]RUNS!$BM$5:$BM$208, "Not Found")</f>
        <v>0.86661158528517102</v>
      </c>
    </row>
    <row r="790" spans="1:14" x14ac:dyDescent="0.25">
      <c r="A790" s="1">
        <f>'[1]Global_Spot Prices'!$B2099</f>
        <v>43109</v>
      </c>
      <c r="B790">
        <f>_xlfn.XLOOKUP(A790,'[1]Global_Spot Prices'!$B:$B,'[1]Global_Spot Prices'!$BS:$BS)</f>
        <v>10.180000000000007</v>
      </c>
      <c r="C790">
        <f>_xlfn.XLOOKUP(A790,'[1]Global_Spot Prices'!$B:$B,'[1]Global_Spot Prices'!$E:$E)</f>
        <v>65.55</v>
      </c>
      <c r="D790">
        <f>_xlfn.XLOOKUP(A790,'[1]Global_Spot Prices'!$B:$B,'[1]Global_Spot Prices'!$D:$D)</f>
        <v>69.114999999999995</v>
      </c>
      <c r="E790">
        <f>_xlfn.XLOOKUP(A790,'[1]Global_Spot Prices'!$B:$B,'[1]Global_Spot Prices'!$H:$H)</f>
        <v>66.91</v>
      </c>
      <c r="F790">
        <f>_xlfn.XLOOKUP(A790,'[1]Global_Spot Prices'!$B:$B,'[1]Global_Spot Prices'!$I:$I)</f>
        <v>75.73</v>
      </c>
      <c r="G790" cm="1">
        <f t="array" ref="G790">_xlfn.XLOOKUP(TEXT(A790, "mmm-yy"), TEXT([2]RUNS!$B$5:$B$208, "mmm-yy"), [2]RUNS!$D$5:$D$208, "Not Found")</f>
        <v>29966.12870178328</v>
      </c>
      <c r="H790" cm="1">
        <f t="array" ref="H790">SUMPRODUCT(
    --(TEXT('[3]Global Weekly Stock (EWSuez'!$B$4:$B$2000,"mmm-yy")=TEXT(A790,"mmm-yy")),
    '[3]Global Weekly Stock (EWSuez'!$E$4:$E$2000)
/
SUMPRODUCT(
    --(TEXT('[3]Global Weekly Stock (EWSuez'!$B$4:$B$2000,"mmm-yy")=TEXT(A790,"mmm-yy"))
)</f>
        <v>13290.25</v>
      </c>
      <c r="I790">
        <f>_xlfn.XLOOKUP(A790,[1]ForwardDeriv!$D:$D,[1]ForwardDeriv!$AJ:$AJ)</f>
        <v>-0.32999999999999829</v>
      </c>
      <c r="J790" cm="1">
        <f t="array" ref="J790">_xlfn.XLOOKUP(TEXT(A790, "mmm-yy"), TEXT([2]GASOLINE!$B$5:$B$208, "mmm-yy"), [2]GASOLINE!$IR$5:$IR$208, "Not Found")</f>
        <v>308.56259720311084</v>
      </c>
      <c r="K790" cm="1">
        <f t="array" ref="K790">_xlfn.XLOOKUP(TEXT(A790, "mmm-yy"), TEXT([2]GASOLINE!$B$5:$B$208, "mmm-yy"), [2]GASOLINE!$IK$5:$IK$208, "Not Found")</f>
        <v>154.32668561733138</v>
      </c>
      <c r="L790">
        <f t="shared" si="12"/>
        <v>0</v>
      </c>
      <c r="M790" cm="1">
        <f t="array" ref="M790">_xlfn.XLOOKUP(TEXT(A790, "mmm-yy"), TEXT([2]GASOLINE!$B$5:$B$208, "mmm-yy"), [2]GASOLINE!$C$5:$C$208, "Not Found")</f>
        <v>7067.8509216712282</v>
      </c>
      <c r="N790" cm="1">
        <f t="array" ref="N790">_xlfn.XLOOKUP(TEXT(A790, "mmm-yy"), TEXT([2]RUNS!$B$5:$B$208, "mmm-yy"), [2]RUNS!$BM$5:$BM$208, "Not Found")</f>
        <v>0.86661158528517102</v>
      </c>
    </row>
    <row r="791" spans="1:14" x14ac:dyDescent="0.25">
      <c r="A791" s="1">
        <f>'[1]Global_Spot Prices'!$B2100</f>
        <v>43110</v>
      </c>
      <c r="B791">
        <f>_xlfn.XLOOKUP(A791,'[1]Global_Spot Prices'!$B:$B,'[1]Global_Spot Prices'!$BS:$BS)</f>
        <v>10.799999999999997</v>
      </c>
      <c r="C791">
        <f>_xlfn.XLOOKUP(A791,'[1]Global_Spot Prices'!$B:$B,'[1]Global_Spot Prices'!$E:$E)</f>
        <v>66.55</v>
      </c>
      <c r="D791">
        <f>_xlfn.XLOOKUP(A791,'[1]Global_Spot Prices'!$B:$B,'[1]Global_Spot Prices'!$D:$D)</f>
        <v>69.94</v>
      </c>
      <c r="E791">
        <f>_xlfn.XLOOKUP(A791,'[1]Global_Spot Prices'!$B:$B,'[1]Global_Spot Prices'!$H:$H)</f>
        <v>67.58</v>
      </c>
      <c r="F791">
        <f>_xlfn.XLOOKUP(A791,'[1]Global_Spot Prices'!$B:$B,'[1]Global_Spot Prices'!$I:$I)</f>
        <v>77.349999999999994</v>
      </c>
      <c r="G791" cm="1">
        <f t="array" ref="G791">_xlfn.XLOOKUP(TEXT(A791, "mmm-yy"), TEXT([2]RUNS!$B$5:$B$208, "mmm-yy"), [2]RUNS!$D$5:$D$208, "Not Found")</f>
        <v>29966.12870178328</v>
      </c>
      <c r="H791" cm="1">
        <f t="array" ref="H791">SUMPRODUCT(
    --(TEXT('[3]Global Weekly Stock (EWSuez'!$B$4:$B$2000,"mmm-yy")=TEXT(A791,"mmm-yy")),
    '[3]Global Weekly Stock (EWSuez'!$E$4:$E$2000)
/
SUMPRODUCT(
    --(TEXT('[3]Global Weekly Stock (EWSuez'!$B$4:$B$2000,"mmm-yy")=TEXT(A791,"mmm-yy"))
)</f>
        <v>13290.25</v>
      </c>
      <c r="I791">
        <f>_xlfn.XLOOKUP(A791,[1]ForwardDeriv!$D:$D,[1]ForwardDeriv!$AJ:$AJ)</f>
        <v>-0.29999999999999716</v>
      </c>
      <c r="J791" cm="1">
        <f t="array" ref="J791">_xlfn.XLOOKUP(TEXT(A791, "mmm-yy"), TEXT([2]GASOLINE!$B$5:$B$208, "mmm-yy"), [2]GASOLINE!$IR$5:$IR$208, "Not Found")</f>
        <v>308.56259720311084</v>
      </c>
      <c r="K791" cm="1">
        <f t="array" ref="K791">_xlfn.XLOOKUP(TEXT(A791, "mmm-yy"), TEXT([2]GASOLINE!$B$5:$B$208, "mmm-yy"), [2]GASOLINE!$IK$5:$IK$208, "Not Found")</f>
        <v>154.32668561733138</v>
      </c>
      <c r="L791">
        <f t="shared" si="12"/>
        <v>0</v>
      </c>
      <c r="M791" cm="1">
        <f t="array" ref="M791">_xlfn.XLOOKUP(TEXT(A791, "mmm-yy"), TEXT([2]GASOLINE!$B$5:$B$208, "mmm-yy"), [2]GASOLINE!$C$5:$C$208, "Not Found")</f>
        <v>7067.8509216712282</v>
      </c>
      <c r="N791" cm="1">
        <f t="array" ref="N791">_xlfn.XLOOKUP(TEXT(A791, "mmm-yy"), TEXT([2]RUNS!$B$5:$B$208, "mmm-yy"), [2]RUNS!$BM$5:$BM$208, "Not Found")</f>
        <v>0.86661158528517102</v>
      </c>
    </row>
    <row r="792" spans="1:14" x14ac:dyDescent="0.25">
      <c r="A792" s="1">
        <f>'[1]Global_Spot Prices'!$B2101</f>
        <v>43111</v>
      </c>
      <c r="B792">
        <f>_xlfn.XLOOKUP(A792,'[1]Global_Spot Prices'!$B:$B,'[1]Global_Spot Prices'!$BS:$BS)</f>
        <v>10.590000000000003</v>
      </c>
      <c r="C792">
        <f>_xlfn.XLOOKUP(A792,'[1]Global_Spot Prices'!$B:$B,'[1]Global_Spot Prices'!$E:$E)</f>
        <v>66.45</v>
      </c>
      <c r="D792">
        <f>_xlfn.XLOOKUP(A792,'[1]Global_Spot Prices'!$B:$B,'[1]Global_Spot Prices'!$D:$D)</f>
        <v>70.709999999999994</v>
      </c>
      <c r="E792">
        <f>_xlfn.XLOOKUP(A792,'[1]Global_Spot Prices'!$B:$B,'[1]Global_Spot Prices'!$H:$H)</f>
        <v>66.319999999999993</v>
      </c>
      <c r="F792">
        <f>_xlfn.XLOOKUP(A792,'[1]Global_Spot Prices'!$B:$B,'[1]Global_Spot Prices'!$I:$I)</f>
        <v>77.040000000000006</v>
      </c>
      <c r="G792" cm="1">
        <f t="array" ref="G792">_xlfn.XLOOKUP(TEXT(A792, "mmm-yy"), TEXT([2]RUNS!$B$5:$B$208, "mmm-yy"), [2]RUNS!$D$5:$D$208, "Not Found")</f>
        <v>29966.12870178328</v>
      </c>
      <c r="H792" cm="1">
        <f t="array" ref="H792">SUMPRODUCT(
    --(TEXT('[3]Global Weekly Stock (EWSuez'!$B$4:$B$2000,"mmm-yy")=TEXT(A792,"mmm-yy")),
    '[3]Global Weekly Stock (EWSuez'!$E$4:$E$2000)
/
SUMPRODUCT(
    --(TEXT('[3]Global Weekly Stock (EWSuez'!$B$4:$B$2000,"mmm-yy")=TEXT(A792,"mmm-yy"))
)</f>
        <v>13290.25</v>
      </c>
      <c r="I792">
        <f>_xlfn.XLOOKUP(A792,[1]ForwardDeriv!$D:$D,[1]ForwardDeriv!$AJ:$AJ)</f>
        <v>-0.40999999999999659</v>
      </c>
      <c r="J792" cm="1">
        <f t="array" ref="J792">_xlfn.XLOOKUP(TEXT(A792, "mmm-yy"), TEXT([2]GASOLINE!$B$5:$B$208, "mmm-yy"), [2]GASOLINE!$IR$5:$IR$208, "Not Found")</f>
        <v>308.56259720311084</v>
      </c>
      <c r="K792" cm="1">
        <f t="array" ref="K792">_xlfn.XLOOKUP(TEXT(A792, "mmm-yy"), TEXT([2]GASOLINE!$B$5:$B$208, "mmm-yy"), [2]GASOLINE!$IK$5:$IK$208, "Not Found")</f>
        <v>154.32668561733138</v>
      </c>
      <c r="L792">
        <f t="shared" si="12"/>
        <v>0</v>
      </c>
      <c r="M792" cm="1">
        <f t="array" ref="M792">_xlfn.XLOOKUP(TEXT(A792, "mmm-yy"), TEXT([2]GASOLINE!$B$5:$B$208, "mmm-yy"), [2]GASOLINE!$C$5:$C$208, "Not Found")</f>
        <v>7067.8509216712282</v>
      </c>
      <c r="N792" cm="1">
        <f t="array" ref="N792">_xlfn.XLOOKUP(TEXT(A792, "mmm-yy"), TEXT([2]RUNS!$B$5:$B$208, "mmm-yy"), [2]RUNS!$BM$5:$BM$208, "Not Found")</f>
        <v>0.86661158528517102</v>
      </c>
    </row>
    <row r="793" spans="1:14" x14ac:dyDescent="0.25">
      <c r="A793" s="1">
        <f>'[1]Global_Spot Prices'!$B2102</f>
        <v>43112</v>
      </c>
      <c r="B793">
        <f>_xlfn.XLOOKUP(A793,'[1]Global_Spot Prices'!$B:$B,'[1]Global_Spot Prices'!$BS:$BS)</f>
        <v>9.9399999999999977</v>
      </c>
      <c r="C793">
        <f>_xlfn.XLOOKUP(A793,'[1]Global_Spot Prices'!$B:$B,'[1]Global_Spot Prices'!$E:$E)</f>
        <v>66.260000000000005</v>
      </c>
      <c r="D793">
        <f>_xlfn.XLOOKUP(A793,'[1]Global_Spot Prices'!$B:$B,'[1]Global_Spot Prices'!$D:$D)</f>
        <v>69.924999999999997</v>
      </c>
      <c r="E793">
        <f>_xlfn.XLOOKUP(A793,'[1]Global_Spot Prices'!$B:$B,'[1]Global_Spot Prices'!$H:$H)</f>
        <v>66.12</v>
      </c>
      <c r="F793">
        <f>_xlfn.XLOOKUP(A793,'[1]Global_Spot Prices'!$B:$B,'[1]Global_Spot Prices'!$I:$I)</f>
        <v>76.2</v>
      </c>
      <c r="G793" cm="1">
        <f t="array" ref="G793">_xlfn.XLOOKUP(TEXT(A793, "mmm-yy"), TEXT([2]RUNS!$B$5:$B$208, "mmm-yy"), [2]RUNS!$D$5:$D$208, "Not Found")</f>
        <v>29966.12870178328</v>
      </c>
      <c r="H793" cm="1">
        <f t="array" ref="H793">SUMPRODUCT(
    --(TEXT('[3]Global Weekly Stock (EWSuez'!$B$4:$B$2000,"mmm-yy")=TEXT(A793,"mmm-yy")),
    '[3]Global Weekly Stock (EWSuez'!$E$4:$E$2000)
/
SUMPRODUCT(
    --(TEXT('[3]Global Weekly Stock (EWSuez'!$B$4:$B$2000,"mmm-yy")=TEXT(A793,"mmm-yy"))
)</f>
        <v>13290.25</v>
      </c>
      <c r="I793">
        <f>_xlfn.XLOOKUP(A793,[1]ForwardDeriv!$D:$D,[1]ForwardDeriv!$AJ:$AJ)</f>
        <v>-0.53000000000000114</v>
      </c>
      <c r="J793" cm="1">
        <f t="array" ref="J793">_xlfn.XLOOKUP(TEXT(A793, "mmm-yy"), TEXT([2]GASOLINE!$B$5:$B$208, "mmm-yy"), [2]GASOLINE!$IR$5:$IR$208, "Not Found")</f>
        <v>308.56259720311084</v>
      </c>
      <c r="K793" cm="1">
        <f t="array" ref="K793">_xlfn.XLOOKUP(TEXT(A793, "mmm-yy"), TEXT([2]GASOLINE!$B$5:$B$208, "mmm-yy"), [2]GASOLINE!$IK$5:$IK$208, "Not Found")</f>
        <v>154.32668561733138</v>
      </c>
      <c r="L793">
        <f t="shared" si="12"/>
        <v>0</v>
      </c>
      <c r="M793" cm="1">
        <f t="array" ref="M793">_xlfn.XLOOKUP(TEXT(A793, "mmm-yy"), TEXT([2]GASOLINE!$B$5:$B$208, "mmm-yy"), [2]GASOLINE!$C$5:$C$208, "Not Found")</f>
        <v>7067.8509216712282</v>
      </c>
      <c r="N793" cm="1">
        <f t="array" ref="N793">_xlfn.XLOOKUP(TEXT(A793, "mmm-yy"), TEXT([2]RUNS!$B$5:$B$208, "mmm-yy"), [2]RUNS!$BM$5:$BM$208, "Not Found")</f>
        <v>0.86661158528517102</v>
      </c>
    </row>
    <row r="794" spans="1:14" x14ac:dyDescent="0.25">
      <c r="A794" s="1">
        <f>'[1]Global_Spot Prices'!$B2103</f>
        <v>43115</v>
      </c>
      <c r="B794">
        <f>_xlfn.XLOOKUP(A794,'[1]Global_Spot Prices'!$B:$B,'[1]Global_Spot Prices'!$BS:$BS)</f>
        <v>10.179999999999993</v>
      </c>
      <c r="C794">
        <f>_xlfn.XLOOKUP(A794,'[1]Global_Spot Prices'!$B:$B,'[1]Global_Spot Prices'!$E:$E)</f>
        <v>67.010000000000005</v>
      </c>
      <c r="D794">
        <f>_xlfn.XLOOKUP(A794,'[1]Global_Spot Prices'!$B:$B,'[1]Global_Spot Prices'!$D:$D)</f>
        <v>70.495000000000005</v>
      </c>
      <c r="E794">
        <f>_xlfn.XLOOKUP(A794,'[1]Global_Spot Prices'!$B:$B,'[1]Global_Spot Prices'!$H:$H)</f>
        <v>66.77</v>
      </c>
      <c r="F794">
        <f>_xlfn.XLOOKUP(A794,'[1]Global_Spot Prices'!$B:$B,'[1]Global_Spot Prices'!$I:$I)</f>
        <v>77.19</v>
      </c>
      <c r="G794" cm="1">
        <f t="array" ref="G794">_xlfn.XLOOKUP(TEXT(A794, "mmm-yy"), TEXT([2]RUNS!$B$5:$B$208, "mmm-yy"), [2]RUNS!$D$5:$D$208, "Not Found")</f>
        <v>29966.12870178328</v>
      </c>
      <c r="H794" cm="1">
        <f t="array" ref="H794">SUMPRODUCT(
    --(TEXT('[3]Global Weekly Stock (EWSuez'!$B$4:$B$2000,"mmm-yy")=TEXT(A794,"mmm-yy")),
    '[3]Global Weekly Stock (EWSuez'!$E$4:$E$2000)
/
SUMPRODUCT(
    --(TEXT('[3]Global Weekly Stock (EWSuez'!$B$4:$B$2000,"mmm-yy")=TEXT(A794,"mmm-yy"))
)</f>
        <v>13290.25</v>
      </c>
      <c r="I794">
        <f>_xlfn.XLOOKUP(A794,[1]ForwardDeriv!$D:$D,[1]ForwardDeriv!$AJ:$AJ)</f>
        <v>-0.51000000000000512</v>
      </c>
      <c r="J794" cm="1">
        <f t="array" ref="J794">_xlfn.XLOOKUP(TEXT(A794, "mmm-yy"), TEXT([2]GASOLINE!$B$5:$B$208, "mmm-yy"), [2]GASOLINE!$IR$5:$IR$208, "Not Found")</f>
        <v>308.56259720311084</v>
      </c>
      <c r="K794" cm="1">
        <f t="array" ref="K794">_xlfn.XLOOKUP(TEXT(A794, "mmm-yy"), TEXT([2]GASOLINE!$B$5:$B$208, "mmm-yy"), [2]GASOLINE!$IK$5:$IK$208, "Not Found")</f>
        <v>154.32668561733138</v>
      </c>
      <c r="L794">
        <f t="shared" si="12"/>
        <v>0</v>
      </c>
      <c r="M794" cm="1">
        <f t="array" ref="M794">_xlfn.XLOOKUP(TEXT(A794, "mmm-yy"), TEXT([2]GASOLINE!$B$5:$B$208, "mmm-yy"), [2]GASOLINE!$C$5:$C$208, "Not Found")</f>
        <v>7067.8509216712282</v>
      </c>
      <c r="N794" cm="1">
        <f t="array" ref="N794">_xlfn.XLOOKUP(TEXT(A794, "mmm-yy"), TEXT([2]RUNS!$B$5:$B$208, "mmm-yy"), [2]RUNS!$BM$5:$BM$208, "Not Found")</f>
        <v>0.86661158528517102</v>
      </c>
    </row>
    <row r="795" spans="1:14" x14ac:dyDescent="0.25">
      <c r="A795" s="1">
        <f>'[1]Global_Spot Prices'!$B2104</f>
        <v>43116</v>
      </c>
      <c r="B795">
        <f>_xlfn.XLOOKUP(A795,'[1]Global_Spot Prices'!$B:$B,'[1]Global_Spot Prices'!$BS:$BS)</f>
        <v>9.9349999999999881</v>
      </c>
      <c r="C795">
        <f>_xlfn.XLOOKUP(A795,'[1]Global_Spot Prices'!$B:$B,'[1]Global_Spot Prices'!$E:$E)</f>
        <v>67.055000000000007</v>
      </c>
      <c r="D795">
        <f>_xlfn.XLOOKUP(A795,'[1]Global_Spot Prices'!$B:$B,'[1]Global_Spot Prices'!$D:$D)</f>
        <v>69.665000000000006</v>
      </c>
      <c r="E795">
        <f>_xlfn.XLOOKUP(A795,'[1]Global_Spot Prices'!$B:$B,'[1]Global_Spot Prices'!$H:$H)</f>
        <v>66.83</v>
      </c>
      <c r="F795">
        <f>_xlfn.XLOOKUP(A795,'[1]Global_Spot Prices'!$B:$B,'[1]Global_Spot Prices'!$I:$I)</f>
        <v>76.989999999999995</v>
      </c>
      <c r="G795" cm="1">
        <f t="array" ref="G795">_xlfn.XLOOKUP(TEXT(A795, "mmm-yy"), TEXT([2]RUNS!$B$5:$B$208, "mmm-yy"), [2]RUNS!$D$5:$D$208, "Not Found")</f>
        <v>29966.12870178328</v>
      </c>
      <c r="H795" cm="1">
        <f t="array" ref="H795">SUMPRODUCT(
    --(TEXT('[3]Global Weekly Stock (EWSuez'!$B$4:$B$2000,"mmm-yy")=TEXT(A795,"mmm-yy")),
    '[3]Global Weekly Stock (EWSuez'!$E$4:$E$2000)
/
SUMPRODUCT(
    --(TEXT('[3]Global Weekly Stock (EWSuez'!$B$4:$B$2000,"mmm-yy")=TEXT(A795,"mmm-yy"))
)</f>
        <v>13290.25</v>
      </c>
      <c r="I795">
        <f>_xlfn.XLOOKUP(A795,[1]ForwardDeriv!$D:$D,[1]ForwardDeriv!$AJ:$AJ)</f>
        <v>-0.48000000000000398</v>
      </c>
      <c r="J795" cm="1">
        <f t="array" ref="J795">_xlfn.XLOOKUP(TEXT(A795, "mmm-yy"), TEXT([2]GASOLINE!$B$5:$B$208, "mmm-yy"), [2]GASOLINE!$IR$5:$IR$208, "Not Found")</f>
        <v>308.56259720311084</v>
      </c>
      <c r="K795" cm="1">
        <f t="array" ref="K795">_xlfn.XLOOKUP(TEXT(A795, "mmm-yy"), TEXT([2]GASOLINE!$B$5:$B$208, "mmm-yy"), [2]GASOLINE!$IK$5:$IK$208, "Not Found")</f>
        <v>154.32668561733138</v>
      </c>
      <c r="L795">
        <f t="shared" si="12"/>
        <v>0</v>
      </c>
      <c r="M795" cm="1">
        <f t="array" ref="M795">_xlfn.XLOOKUP(TEXT(A795, "mmm-yy"), TEXT([2]GASOLINE!$B$5:$B$208, "mmm-yy"), [2]GASOLINE!$C$5:$C$208, "Not Found")</f>
        <v>7067.8509216712282</v>
      </c>
      <c r="N795" cm="1">
        <f t="array" ref="N795">_xlfn.XLOOKUP(TEXT(A795, "mmm-yy"), TEXT([2]RUNS!$B$5:$B$208, "mmm-yy"), [2]RUNS!$BM$5:$BM$208, "Not Found")</f>
        <v>0.86661158528517102</v>
      </c>
    </row>
    <row r="796" spans="1:14" x14ac:dyDescent="0.25">
      <c r="A796" s="1">
        <f>'[1]Global_Spot Prices'!$B2105</f>
        <v>43117</v>
      </c>
      <c r="B796">
        <f>_xlfn.XLOOKUP(A796,'[1]Global_Spot Prices'!$B:$B,'[1]Global_Spot Prices'!$BS:$BS)</f>
        <v>10.189999999999998</v>
      </c>
      <c r="C796">
        <f>_xlfn.XLOOKUP(A796,'[1]Global_Spot Prices'!$B:$B,'[1]Global_Spot Prices'!$E:$E)</f>
        <v>66.290000000000006</v>
      </c>
      <c r="D796">
        <f>_xlfn.XLOOKUP(A796,'[1]Global_Spot Prices'!$B:$B,'[1]Global_Spot Prices'!$D:$D)</f>
        <v>69.355000000000004</v>
      </c>
      <c r="E796">
        <f>_xlfn.XLOOKUP(A796,'[1]Global_Spot Prices'!$B:$B,'[1]Global_Spot Prices'!$H:$H)</f>
        <v>66.16</v>
      </c>
      <c r="F796">
        <f>_xlfn.XLOOKUP(A796,'[1]Global_Spot Prices'!$B:$B,'[1]Global_Spot Prices'!$I:$I)</f>
        <v>76.48</v>
      </c>
      <c r="G796" cm="1">
        <f t="array" ref="G796">_xlfn.XLOOKUP(TEXT(A796, "mmm-yy"), TEXT([2]RUNS!$B$5:$B$208, "mmm-yy"), [2]RUNS!$D$5:$D$208, "Not Found")</f>
        <v>29966.12870178328</v>
      </c>
      <c r="H796" cm="1">
        <f t="array" ref="H796">SUMPRODUCT(
    --(TEXT('[3]Global Weekly Stock (EWSuez'!$B$4:$B$2000,"mmm-yy")=TEXT(A796,"mmm-yy")),
    '[3]Global Weekly Stock (EWSuez'!$E$4:$E$2000)
/
SUMPRODUCT(
    --(TEXT('[3]Global Weekly Stock (EWSuez'!$B$4:$B$2000,"mmm-yy")=TEXT(A796,"mmm-yy"))
)</f>
        <v>13290.25</v>
      </c>
      <c r="I796">
        <f>_xlfn.XLOOKUP(A796,[1]ForwardDeriv!$D:$D,[1]ForwardDeriv!$AJ:$AJ)</f>
        <v>-0.50000000000001421</v>
      </c>
      <c r="J796" cm="1">
        <f t="array" ref="J796">_xlfn.XLOOKUP(TEXT(A796, "mmm-yy"), TEXT([2]GASOLINE!$B$5:$B$208, "mmm-yy"), [2]GASOLINE!$IR$5:$IR$208, "Not Found")</f>
        <v>308.56259720311084</v>
      </c>
      <c r="K796" cm="1">
        <f t="array" ref="K796">_xlfn.XLOOKUP(TEXT(A796, "mmm-yy"), TEXT([2]GASOLINE!$B$5:$B$208, "mmm-yy"), [2]GASOLINE!$IK$5:$IK$208, "Not Found")</f>
        <v>154.32668561733138</v>
      </c>
      <c r="L796">
        <f t="shared" si="12"/>
        <v>0</v>
      </c>
      <c r="M796" cm="1">
        <f t="array" ref="M796">_xlfn.XLOOKUP(TEXT(A796, "mmm-yy"), TEXT([2]GASOLINE!$B$5:$B$208, "mmm-yy"), [2]GASOLINE!$C$5:$C$208, "Not Found")</f>
        <v>7067.8509216712282</v>
      </c>
      <c r="N796" cm="1">
        <f t="array" ref="N796">_xlfn.XLOOKUP(TEXT(A796, "mmm-yy"), TEXT([2]RUNS!$B$5:$B$208, "mmm-yy"), [2]RUNS!$BM$5:$BM$208, "Not Found")</f>
        <v>0.86661158528517102</v>
      </c>
    </row>
    <row r="797" spans="1:14" x14ac:dyDescent="0.25">
      <c r="A797" s="1">
        <f>'[1]Global_Spot Prices'!$B2106</f>
        <v>43118</v>
      </c>
      <c r="B797">
        <f>_xlfn.XLOOKUP(A797,'[1]Global_Spot Prices'!$B:$B,'[1]Global_Spot Prices'!$BS:$BS)</f>
        <v>10.570000000000007</v>
      </c>
      <c r="C797">
        <f>_xlfn.XLOOKUP(A797,'[1]Global_Spot Prices'!$B:$B,'[1]Global_Spot Prices'!$E:$E)</f>
        <v>66.41</v>
      </c>
      <c r="D797">
        <f>_xlfn.XLOOKUP(A797,'[1]Global_Spot Prices'!$B:$B,'[1]Global_Spot Prices'!$D:$D)</f>
        <v>69.525000000000006</v>
      </c>
      <c r="E797">
        <f>_xlfn.XLOOKUP(A797,'[1]Global_Spot Prices'!$B:$B,'[1]Global_Spot Prices'!$H:$H)</f>
        <v>66.72</v>
      </c>
      <c r="F797">
        <f>_xlfn.XLOOKUP(A797,'[1]Global_Spot Prices'!$B:$B,'[1]Global_Spot Prices'!$I:$I)</f>
        <v>76.98</v>
      </c>
      <c r="G797" cm="1">
        <f t="array" ref="G797">_xlfn.XLOOKUP(TEXT(A797, "mmm-yy"), TEXT([2]RUNS!$B$5:$B$208, "mmm-yy"), [2]RUNS!$D$5:$D$208, "Not Found")</f>
        <v>29966.12870178328</v>
      </c>
      <c r="H797" cm="1">
        <f t="array" ref="H797">SUMPRODUCT(
    --(TEXT('[3]Global Weekly Stock (EWSuez'!$B$4:$B$2000,"mmm-yy")=TEXT(A797,"mmm-yy")),
    '[3]Global Weekly Stock (EWSuez'!$E$4:$E$2000)
/
SUMPRODUCT(
    --(TEXT('[3]Global Weekly Stock (EWSuez'!$B$4:$B$2000,"mmm-yy")=TEXT(A797,"mmm-yy"))
)</f>
        <v>13290.25</v>
      </c>
      <c r="I797">
        <f>_xlfn.XLOOKUP(A797,[1]ForwardDeriv!$D:$D,[1]ForwardDeriv!$AJ:$AJ)</f>
        <v>-0.46999999999999886</v>
      </c>
      <c r="J797" cm="1">
        <f t="array" ref="J797">_xlfn.XLOOKUP(TEXT(A797, "mmm-yy"), TEXT([2]GASOLINE!$B$5:$B$208, "mmm-yy"), [2]GASOLINE!$IR$5:$IR$208, "Not Found")</f>
        <v>308.56259720311084</v>
      </c>
      <c r="K797" cm="1">
        <f t="array" ref="K797">_xlfn.XLOOKUP(TEXT(A797, "mmm-yy"), TEXT([2]GASOLINE!$B$5:$B$208, "mmm-yy"), [2]GASOLINE!$IK$5:$IK$208, "Not Found")</f>
        <v>154.32668561733138</v>
      </c>
      <c r="L797">
        <f t="shared" si="12"/>
        <v>0</v>
      </c>
      <c r="M797" cm="1">
        <f t="array" ref="M797">_xlfn.XLOOKUP(TEXT(A797, "mmm-yy"), TEXT([2]GASOLINE!$B$5:$B$208, "mmm-yy"), [2]GASOLINE!$C$5:$C$208, "Not Found")</f>
        <v>7067.8509216712282</v>
      </c>
      <c r="N797" cm="1">
        <f t="array" ref="N797">_xlfn.XLOOKUP(TEXT(A797, "mmm-yy"), TEXT([2]RUNS!$B$5:$B$208, "mmm-yy"), [2]RUNS!$BM$5:$BM$208, "Not Found")</f>
        <v>0.86661158528517102</v>
      </c>
    </row>
    <row r="798" spans="1:14" x14ac:dyDescent="0.25">
      <c r="A798" s="1">
        <f>'[1]Global_Spot Prices'!$B2107</f>
        <v>43119</v>
      </c>
      <c r="B798">
        <f>_xlfn.XLOOKUP(A798,'[1]Global_Spot Prices'!$B:$B,'[1]Global_Spot Prices'!$BS:$BS)</f>
        <v>10.649999999999991</v>
      </c>
      <c r="C798">
        <f>_xlfn.XLOOKUP(A798,'[1]Global_Spot Prices'!$B:$B,'[1]Global_Spot Prices'!$E:$E)</f>
        <v>65.900000000000006</v>
      </c>
      <c r="D798">
        <f>_xlfn.XLOOKUP(A798,'[1]Global_Spot Prices'!$B:$B,'[1]Global_Spot Prices'!$D:$D)</f>
        <v>68.56</v>
      </c>
      <c r="E798">
        <f>_xlfn.XLOOKUP(A798,'[1]Global_Spot Prices'!$B:$B,'[1]Global_Spot Prices'!$H:$H)</f>
        <v>66.16</v>
      </c>
      <c r="F798">
        <f>_xlfn.XLOOKUP(A798,'[1]Global_Spot Prices'!$B:$B,'[1]Global_Spot Prices'!$I:$I)</f>
        <v>76.55</v>
      </c>
      <c r="G798" cm="1">
        <f t="array" ref="G798">_xlfn.XLOOKUP(TEXT(A798, "mmm-yy"), TEXT([2]RUNS!$B$5:$B$208, "mmm-yy"), [2]RUNS!$D$5:$D$208, "Not Found")</f>
        <v>29966.12870178328</v>
      </c>
      <c r="H798" cm="1">
        <f t="array" ref="H798">SUMPRODUCT(
    --(TEXT('[3]Global Weekly Stock (EWSuez'!$B$4:$B$2000,"mmm-yy")=TEXT(A798,"mmm-yy")),
    '[3]Global Weekly Stock (EWSuez'!$E$4:$E$2000)
/
SUMPRODUCT(
    --(TEXT('[3]Global Weekly Stock (EWSuez'!$B$4:$B$2000,"mmm-yy")=TEXT(A798,"mmm-yy"))
)</f>
        <v>13290.25</v>
      </c>
      <c r="I798">
        <f>_xlfn.XLOOKUP(A798,[1]ForwardDeriv!$D:$D,[1]ForwardDeriv!$AJ:$AJ)</f>
        <v>-0.35999999999999943</v>
      </c>
      <c r="J798" cm="1">
        <f t="array" ref="J798">_xlfn.XLOOKUP(TEXT(A798, "mmm-yy"), TEXT([2]GASOLINE!$B$5:$B$208, "mmm-yy"), [2]GASOLINE!$IR$5:$IR$208, "Not Found")</f>
        <v>308.56259720311084</v>
      </c>
      <c r="K798" cm="1">
        <f t="array" ref="K798">_xlfn.XLOOKUP(TEXT(A798, "mmm-yy"), TEXT([2]GASOLINE!$B$5:$B$208, "mmm-yy"), [2]GASOLINE!$IK$5:$IK$208, "Not Found")</f>
        <v>154.32668561733138</v>
      </c>
      <c r="L798">
        <f t="shared" si="12"/>
        <v>0</v>
      </c>
      <c r="M798" cm="1">
        <f t="array" ref="M798">_xlfn.XLOOKUP(TEXT(A798, "mmm-yy"), TEXT([2]GASOLINE!$B$5:$B$208, "mmm-yy"), [2]GASOLINE!$C$5:$C$208, "Not Found")</f>
        <v>7067.8509216712282</v>
      </c>
      <c r="N798" cm="1">
        <f t="array" ref="N798">_xlfn.XLOOKUP(TEXT(A798, "mmm-yy"), TEXT([2]RUNS!$B$5:$B$208, "mmm-yy"), [2]RUNS!$BM$5:$BM$208, "Not Found")</f>
        <v>0.86661158528517102</v>
      </c>
    </row>
    <row r="799" spans="1:14" x14ac:dyDescent="0.25">
      <c r="A799" s="1">
        <f>'[1]Global_Spot Prices'!$B2108</f>
        <v>43122</v>
      </c>
      <c r="B799">
        <f>_xlfn.XLOOKUP(A799,'[1]Global_Spot Prices'!$B:$B,'[1]Global_Spot Prices'!$BS:$BS)</f>
        <v>10.849999999999994</v>
      </c>
      <c r="C799">
        <f>_xlfn.XLOOKUP(A799,'[1]Global_Spot Prices'!$B:$B,'[1]Global_Spot Prices'!$E:$E)</f>
        <v>66.12</v>
      </c>
      <c r="D799">
        <f>_xlfn.XLOOKUP(A799,'[1]Global_Spot Prices'!$B:$B,'[1]Global_Spot Prices'!$D:$D)</f>
        <v>69.53</v>
      </c>
      <c r="E799">
        <f>_xlfn.XLOOKUP(A799,'[1]Global_Spot Prices'!$B:$B,'[1]Global_Spot Prices'!$H:$H)</f>
        <v>65.87</v>
      </c>
      <c r="F799">
        <f>_xlfn.XLOOKUP(A799,'[1]Global_Spot Prices'!$B:$B,'[1]Global_Spot Prices'!$I:$I)</f>
        <v>76.97</v>
      </c>
      <c r="G799" cm="1">
        <f t="array" ref="G799">_xlfn.XLOOKUP(TEXT(A799, "mmm-yy"), TEXT([2]RUNS!$B$5:$B$208, "mmm-yy"), [2]RUNS!$D$5:$D$208, "Not Found")</f>
        <v>29966.12870178328</v>
      </c>
      <c r="H799" cm="1">
        <f t="array" ref="H799">SUMPRODUCT(
    --(TEXT('[3]Global Weekly Stock (EWSuez'!$B$4:$B$2000,"mmm-yy")=TEXT(A799,"mmm-yy")),
    '[3]Global Weekly Stock (EWSuez'!$E$4:$E$2000)
/
SUMPRODUCT(
    --(TEXT('[3]Global Weekly Stock (EWSuez'!$B$4:$B$2000,"mmm-yy")=TEXT(A799,"mmm-yy"))
)</f>
        <v>13290.25</v>
      </c>
      <c r="I799">
        <f>_xlfn.XLOOKUP(A799,[1]ForwardDeriv!$D:$D,[1]ForwardDeriv!$AJ:$AJ)</f>
        <v>-0.37000000000000455</v>
      </c>
      <c r="J799" cm="1">
        <f t="array" ref="J799">_xlfn.XLOOKUP(TEXT(A799, "mmm-yy"), TEXT([2]GASOLINE!$B$5:$B$208, "mmm-yy"), [2]GASOLINE!$IR$5:$IR$208, "Not Found")</f>
        <v>308.56259720311084</v>
      </c>
      <c r="K799" cm="1">
        <f t="array" ref="K799">_xlfn.XLOOKUP(TEXT(A799, "mmm-yy"), TEXT([2]GASOLINE!$B$5:$B$208, "mmm-yy"), [2]GASOLINE!$IK$5:$IK$208, "Not Found")</f>
        <v>154.32668561733138</v>
      </c>
      <c r="L799">
        <f t="shared" si="12"/>
        <v>0</v>
      </c>
      <c r="M799" cm="1">
        <f t="array" ref="M799">_xlfn.XLOOKUP(TEXT(A799, "mmm-yy"), TEXT([2]GASOLINE!$B$5:$B$208, "mmm-yy"), [2]GASOLINE!$C$5:$C$208, "Not Found")</f>
        <v>7067.8509216712282</v>
      </c>
      <c r="N799" cm="1">
        <f t="array" ref="N799">_xlfn.XLOOKUP(TEXT(A799, "mmm-yy"), TEXT([2]RUNS!$B$5:$B$208, "mmm-yy"), [2]RUNS!$BM$5:$BM$208, "Not Found")</f>
        <v>0.86661158528517102</v>
      </c>
    </row>
    <row r="800" spans="1:14" x14ac:dyDescent="0.25">
      <c r="A800" s="1">
        <f>'[1]Global_Spot Prices'!$B2109</f>
        <v>43123</v>
      </c>
      <c r="B800">
        <f>_xlfn.XLOOKUP(A800,'[1]Global_Spot Prices'!$B:$B,'[1]Global_Spot Prices'!$BS:$BS)</f>
        <v>10.64</v>
      </c>
      <c r="C800">
        <f>_xlfn.XLOOKUP(A800,'[1]Global_Spot Prices'!$B:$B,'[1]Global_Spot Prices'!$E:$E)</f>
        <v>66.489999999999995</v>
      </c>
      <c r="D800">
        <f>_xlfn.XLOOKUP(A800,'[1]Global_Spot Prices'!$B:$B,'[1]Global_Spot Prices'!$D:$D)</f>
        <v>69.989999999999995</v>
      </c>
      <c r="E800">
        <f>_xlfn.XLOOKUP(A800,'[1]Global_Spot Prices'!$B:$B,'[1]Global_Spot Prices'!$H:$H)</f>
        <v>65.27</v>
      </c>
      <c r="F800">
        <f>_xlfn.XLOOKUP(A800,'[1]Global_Spot Prices'!$B:$B,'[1]Global_Spot Prices'!$I:$I)</f>
        <v>77.13</v>
      </c>
      <c r="G800" cm="1">
        <f t="array" ref="G800">_xlfn.XLOOKUP(TEXT(A800, "mmm-yy"), TEXT([2]RUNS!$B$5:$B$208, "mmm-yy"), [2]RUNS!$D$5:$D$208, "Not Found")</f>
        <v>29966.12870178328</v>
      </c>
      <c r="H800" cm="1">
        <f t="array" ref="H800">SUMPRODUCT(
    --(TEXT('[3]Global Weekly Stock (EWSuez'!$B$4:$B$2000,"mmm-yy")=TEXT(A800,"mmm-yy")),
    '[3]Global Weekly Stock (EWSuez'!$E$4:$E$2000)
/
SUMPRODUCT(
    --(TEXT('[3]Global Weekly Stock (EWSuez'!$B$4:$B$2000,"mmm-yy")=TEXT(A800,"mmm-yy"))
)</f>
        <v>13290.25</v>
      </c>
      <c r="I800">
        <f>_xlfn.XLOOKUP(A800,[1]ForwardDeriv!$D:$D,[1]ForwardDeriv!$AJ:$AJ)</f>
        <v>-0.39000000000000057</v>
      </c>
      <c r="J800" cm="1">
        <f t="array" ref="J800">_xlfn.XLOOKUP(TEXT(A800, "mmm-yy"), TEXT([2]GASOLINE!$B$5:$B$208, "mmm-yy"), [2]GASOLINE!$IR$5:$IR$208, "Not Found")</f>
        <v>308.56259720311084</v>
      </c>
      <c r="K800" cm="1">
        <f t="array" ref="K800">_xlfn.XLOOKUP(TEXT(A800, "mmm-yy"), TEXT([2]GASOLINE!$B$5:$B$208, "mmm-yy"), [2]GASOLINE!$IK$5:$IK$208, "Not Found")</f>
        <v>154.32668561733138</v>
      </c>
      <c r="L800">
        <f t="shared" si="12"/>
        <v>0</v>
      </c>
      <c r="M800" cm="1">
        <f t="array" ref="M800">_xlfn.XLOOKUP(TEXT(A800, "mmm-yy"), TEXT([2]GASOLINE!$B$5:$B$208, "mmm-yy"), [2]GASOLINE!$C$5:$C$208, "Not Found")</f>
        <v>7067.8509216712282</v>
      </c>
      <c r="N800" cm="1">
        <f t="array" ref="N800">_xlfn.XLOOKUP(TEXT(A800, "mmm-yy"), TEXT([2]RUNS!$B$5:$B$208, "mmm-yy"), [2]RUNS!$BM$5:$BM$208, "Not Found")</f>
        <v>0.86661158528517102</v>
      </c>
    </row>
    <row r="801" spans="1:14" x14ac:dyDescent="0.25">
      <c r="A801" s="1">
        <f>'[1]Global_Spot Prices'!$B2110</f>
        <v>43124</v>
      </c>
      <c r="B801">
        <f>_xlfn.XLOOKUP(A801,'[1]Global_Spot Prices'!$B:$B,'[1]Global_Spot Prices'!$BS:$BS)</f>
        <v>10.820000000000007</v>
      </c>
      <c r="C801">
        <f>_xlfn.XLOOKUP(A801,'[1]Global_Spot Prices'!$B:$B,'[1]Global_Spot Prices'!$E:$E)</f>
        <v>66.8</v>
      </c>
      <c r="D801">
        <f>_xlfn.XLOOKUP(A801,'[1]Global_Spot Prices'!$B:$B,'[1]Global_Spot Prices'!$D:$D)</f>
        <v>69.905000000000001</v>
      </c>
      <c r="E801">
        <f>_xlfn.XLOOKUP(A801,'[1]Global_Spot Prices'!$B:$B,'[1]Global_Spot Prices'!$H:$H)</f>
        <v>65.790000000000006</v>
      </c>
      <c r="F801">
        <f>_xlfn.XLOOKUP(A801,'[1]Global_Spot Prices'!$B:$B,'[1]Global_Spot Prices'!$I:$I)</f>
        <v>77.62</v>
      </c>
      <c r="G801" cm="1">
        <f t="array" ref="G801">_xlfn.XLOOKUP(TEXT(A801, "mmm-yy"), TEXT([2]RUNS!$B$5:$B$208, "mmm-yy"), [2]RUNS!$D$5:$D$208, "Not Found")</f>
        <v>29966.12870178328</v>
      </c>
      <c r="H801" cm="1">
        <f t="array" ref="H801">SUMPRODUCT(
    --(TEXT('[3]Global Weekly Stock (EWSuez'!$B$4:$B$2000,"mmm-yy")=TEXT(A801,"mmm-yy")),
    '[3]Global Weekly Stock (EWSuez'!$E$4:$E$2000)
/
SUMPRODUCT(
    --(TEXT('[3]Global Weekly Stock (EWSuez'!$B$4:$B$2000,"mmm-yy")=TEXT(A801,"mmm-yy"))
)</f>
        <v>13290.25</v>
      </c>
      <c r="I801">
        <f>_xlfn.XLOOKUP(A801,[1]ForwardDeriv!$D:$D,[1]ForwardDeriv!$AJ:$AJ)</f>
        <v>-0.45000000000000284</v>
      </c>
      <c r="J801" cm="1">
        <f t="array" ref="J801">_xlfn.XLOOKUP(TEXT(A801, "mmm-yy"), TEXT([2]GASOLINE!$B$5:$B$208, "mmm-yy"), [2]GASOLINE!$IR$5:$IR$208, "Not Found")</f>
        <v>308.56259720311084</v>
      </c>
      <c r="K801" cm="1">
        <f t="array" ref="K801">_xlfn.XLOOKUP(TEXT(A801, "mmm-yy"), TEXT([2]GASOLINE!$B$5:$B$208, "mmm-yy"), [2]GASOLINE!$IK$5:$IK$208, "Not Found")</f>
        <v>154.32668561733138</v>
      </c>
      <c r="L801">
        <f t="shared" si="12"/>
        <v>0</v>
      </c>
      <c r="M801" cm="1">
        <f t="array" ref="M801">_xlfn.XLOOKUP(TEXT(A801, "mmm-yy"), TEXT([2]GASOLINE!$B$5:$B$208, "mmm-yy"), [2]GASOLINE!$C$5:$C$208, "Not Found")</f>
        <v>7067.8509216712282</v>
      </c>
      <c r="N801" cm="1">
        <f t="array" ref="N801">_xlfn.XLOOKUP(TEXT(A801, "mmm-yy"), TEXT([2]RUNS!$B$5:$B$208, "mmm-yy"), [2]RUNS!$BM$5:$BM$208, "Not Found")</f>
        <v>0.86661158528517102</v>
      </c>
    </row>
    <row r="802" spans="1:14" x14ac:dyDescent="0.25">
      <c r="A802" s="1">
        <f>'[1]Global_Spot Prices'!$B2111</f>
        <v>43125</v>
      </c>
      <c r="B802">
        <f>_xlfn.XLOOKUP(A802,'[1]Global_Spot Prices'!$B:$B,'[1]Global_Spot Prices'!$BS:$BS)</f>
        <v>10.740000000000009</v>
      </c>
      <c r="C802">
        <f>_xlfn.XLOOKUP(A802,'[1]Global_Spot Prices'!$B:$B,'[1]Global_Spot Prices'!$E:$E)</f>
        <v>68.05</v>
      </c>
      <c r="D802">
        <f>_xlfn.XLOOKUP(A802,'[1]Global_Spot Prices'!$B:$B,'[1]Global_Spot Prices'!$D:$D)</f>
        <v>70.58</v>
      </c>
      <c r="E802">
        <f>_xlfn.XLOOKUP(A802,'[1]Global_Spot Prices'!$B:$B,'[1]Global_Spot Prices'!$H:$H)</f>
        <v>66.34</v>
      </c>
      <c r="F802">
        <f>_xlfn.XLOOKUP(A802,'[1]Global_Spot Prices'!$B:$B,'[1]Global_Spot Prices'!$I:$I)</f>
        <v>78.790000000000006</v>
      </c>
      <c r="G802" cm="1">
        <f t="array" ref="G802">_xlfn.XLOOKUP(TEXT(A802, "mmm-yy"), TEXT([2]RUNS!$B$5:$B$208, "mmm-yy"), [2]RUNS!$D$5:$D$208, "Not Found")</f>
        <v>29966.12870178328</v>
      </c>
      <c r="H802" cm="1">
        <f t="array" ref="H802">SUMPRODUCT(
    --(TEXT('[3]Global Weekly Stock (EWSuez'!$B$4:$B$2000,"mmm-yy")=TEXT(A802,"mmm-yy")),
    '[3]Global Weekly Stock (EWSuez'!$E$4:$E$2000)
/
SUMPRODUCT(
    --(TEXT('[3]Global Weekly Stock (EWSuez'!$B$4:$B$2000,"mmm-yy")=TEXT(A802,"mmm-yy"))
)</f>
        <v>13290.25</v>
      </c>
      <c r="I802">
        <f>_xlfn.XLOOKUP(A802,[1]ForwardDeriv!$D:$D,[1]ForwardDeriv!$AJ:$AJ)</f>
        <v>-0.39000000000000057</v>
      </c>
      <c r="J802" cm="1">
        <f t="array" ref="J802">_xlfn.XLOOKUP(TEXT(A802, "mmm-yy"), TEXT([2]GASOLINE!$B$5:$B$208, "mmm-yy"), [2]GASOLINE!$IR$5:$IR$208, "Not Found")</f>
        <v>308.56259720311084</v>
      </c>
      <c r="K802" cm="1">
        <f t="array" ref="K802">_xlfn.XLOOKUP(TEXT(A802, "mmm-yy"), TEXT([2]GASOLINE!$B$5:$B$208, "mmm-yy"), [2]GASOLINE!$IK$5:$IK$208, "Not Found")</f>
        <v>154.32668561733138</v>
      </c>
      <c r="L802">
        <f t="shared" si="12"/>
        <v>0</v>
      </c>
      <c r="M802" cm="1">
        <f t="array" ref="M802">_xlfn.XLOOKUP(TEXT(A802, "mmm-yy"), TEXT([2]GASOLINE!$B$5:$B$208, "mmm-yy"), [2]GASOLINE!$C$5:$C$208, "Not Found")</f>
        <v>7067.8509216712282</v>
      </c>
      <c r="N802" cm="1">
        <f t="array" ref="N802">_xlfn.XLOOKUP(TEXT(A802, "mmm-yy"), TEXT([2]RUNS!$B$5:$B$208, "mmm-yy"), [2]RUNS!$BM$5:$BM$208, "Not Found")</f>
        <v>0.86661158528517102</v>
      </c>
    </row>
    <row r="803" spans="1:14" x14ac:dyDescent="0.25">
      <c r="A803" s="1">
        <f>'[1]Global_Spot Prices'!$B2112</f>
        <v>43126</v>
      </c>
      <c r="B803">
        <f>_xlfn.XLOOKUP(A803,'[1]Global_Spot Prices'!$B:$B,'[1]Global_Spot Prices'!$BS:$BS)</f>
        <v>11.120000000000005</v>
      </c>
      <c r="C803">
        <f>_xlfn.XLOOKUP(A803,'[1]Global_Spot Prices'!$B:$B,'[1]Global_Spot Prices'!$E:$E)</f>
        <v>67.349999999999994</v>
      </c>
      <c r="D803">
        <f>_xlfn.XLOOKUP(A803,'[1]Global_Spot Prices'!$B:$B,'[1]Global_Spot Prices'!$D:$D)</f>
        <v>70.025000000000006</v>
      </c>
      <c r="E803">
        <f>_xlfn.XLOOKUP(A803,'[1]Global_Spot Prices'!$B:$B,'[1]Global_Spot Prices'!$H:$H)</f>
        <v>65.42</v>
      </c>
      <c r="F803">
        <f>_xlfn.XLOOKUP(A803,'[1]Global_Spot Prices'!$B:$B,'[1]Global_Spot Prices'!$I:$I)</f>
        <v>78.47</v>
      </c>
      <c r="G803" cm="1">
        <f t="array" ref="G803">_xlfn.XLOOKUP(TEXT(A803, "mmm-yy"), TEXT([2]RUNS!$B$5:$B$208, "mmm-yy"), [2]RUNS!$D$5:$D$208, "Not Found")</f>
        <v>29966.12870178328</v>
      </c>
      <c r="H803" cm="1">
        <f t="array" ref="H803">SUMPRODUCT(
    --(TEXT('[3]Global Weekly Stock (EWSuez'!$B$4:$B$2000,"mmm-yy")=TEXT(A803,"mmm-yy")),
    '[3]Global Weekly Stock (EWSuez'!$E$4:$E$2000)
/
SUMPRODUCT(
    --(TEXT('[3]Global Weekly Stock (EWSuez'!$B$4:$B$2000,"mmm-yy")=TEXT(A803,"mmm-yy"))
)</f>
        <v>13290.25</v>
      </c>
      <c r="I803">
        <f>_xlfn.XLOOKUP(A803,[1]ForwardDeriv!$D:$D,[1]ForwardDeriv!$AJ:$AJ)</f>
        <v>-0.29999999999999716</v>
      </c>
      <c r="J803" cm="1">
        <f t="array" ref="J803">_xlfn.XLOOKUP(TEXT(A803, "mmm-yy"), TEXT([2]GASOLINE!$B$5:$B$208, "mmm-yy"), [2]GASOLINE!$IR$5:$IR$208, "Not Found")</f>
        <v>308.56259720311084</v>
      </c>
      <c r="K803" cm="1">
        <f t="array" ref="K803">_xlfn.XLOOKUP(TEXT(A803, "mmm-yy"), TEXT([2]GASOLINE!$B$5:$B$208, "mmm-yy"), [2]GASOLINE!$IK$5:$IK$208, "Not Found")</f>
        <v>154.32668561733138</v>
      </c>
      <c r="L803">
        <f t="shared" si="12"/>
        <v>0</v>
      </c>
      <c r="M803" cm="1">
        <f t="array" ref="M803">_xlfn.XLOOKUP(TEXT(A803, "mmm-yy"), TEXT([2]GASOLINE!$B$5:$B$208, "mmm-yy"), [2]GASOLINE!$C$5:$C$208, "Not Found")</f>
        <v>7067.8509216712282</v>
      </c>
      <c r="N803" cm="1">
        <f t="array" ref="N803">_xlfn.XLOOKUP(TEXT(A803, "mmm-yy"), TEXT([2]RUNS!$B$5:$B$208, "mmm-yy"), [2]RUNS!$BM$5:$BM$208, "Not Found")</f>
        <v>0.86661158528517102</v>
      </c>
    </row>
    <row r="804" spans="1:14" x14ac:dyDescent="0.25">
      <c r="A804" s="1">
        <f>'[1]Global_Spot Prices'!$B2113</f>
        <v>43129</v>
      </c>
      <c r="B804">
        <f>_xlfn.XLOOKUP(A804,'[1]Global_Spot Prices'!$B:$B,'[1]Global_Spot Prices'!$BS:$BS)</f>
        <v>11.75</v>
      </c>
      <c r="C804">
        <f>_xlfn.XLOOKUP(A804,'[1]Global_Spot Prices'!$B:$B,'[1]Global_Spot Prices'!$E:$E)</f>
        <v>67.56</v>
      </c>
      <c r="D804">
        <f>_xlfn.XLOOKUP(A804,'[1]Global_Spot Prices'!$B:$B,'[1]Global_Spot Prices'!$D:$D)</f>
        <v>68.59</v>
      </c>
      <c r="E804">
        <f>_xlfn.XLOOKUP(A804,'[1]Global_Spot Prices'!$B:$B,'[1]Global_Spot Prices'!$H:$H)</f>
        <v>65.27</v>
      </c>
      <c r="F804">
        <f>_xlfn.XLOOKUP(A804,'[1]Global_Spot Prices'!$B:$B,'[1]Global_Spot Prices'!$I:$I)</f>
        <v>79.31</v>
      </c>
      <c r="G804" cm="1">
        <f t="array" ref="G804">_xlfn.XLOOKUP(TEXT(A804, "mmm-yy"), TEXT([2]RUNS!$B$5:$B$208, "mmm-yy"), [2]RUNS!$D$5:$D$208, "Not Found")</f>
        <v>29966.12870178328</v>
      </c>
      <c r="H804" cm="1">
        <f t="array" ref="H804">SUMPRODUCT(
    --(TEXT('[3]Global Weekly Stock (EWSuez'!$B$4:$B$2000,"mmm-yy")=TEXT(A804,"mmm-yy")),
    '[3]Global Weekly Stock (EWSuez'!$E$4:$E$2000)
/
SUMPRODUCT(
    --(TEXT('[3]Global Weekly Stock (EWSuez'!$B$4:$B$2000,"mmm-yy")=TEXT(A804,"mmm-yy"))
)</f>
        <v>13290.25</v>
      </c>
      <c r="I804">
        <f>_xlfn.XLOOKUP(A804,[1]ForwardDeriv!$D:$D,[1]ForwardDeriv!$AJ:$AJ)</f>
        <v>-7.9999999999998295E-2</v>
      </c>
      <c r="J804" cm="1">
        <f t="array" ref="J804">_xlfn.XLOOKUP(TEXT(A804, "mmm-yy"), TEXT([2]GASOLINE!$B$5:$B$208, "mmm-yy"), [2]GASOLINE!$IR$5:$IR$208, "Not Found")</f>
        <v>308.56259720311084</v>
      </c>
      <c r="K804" cm="1">
        <f t="array" ref="K804">_xlfn.XLOOKUP(TEXT(A804, "mmm-yy"), TEXT([2]GASOLINE!$B$5:$B$208, "mmm-yy"), [2]GASOLINE!$IK$5:$IK$208, "Not Found")</f>
        <v>154.32668561733138</v>
      </c>
      <c r="L804">
        <f t="shared" si="12"/>
        <v>0</v>
      </c>
      <c r="M804" cm="1">
        <f t="array" ref="M804">_xlfn.XLOOKUP(TEXT(A804, "mmm-yy"), TEXT([2]GASOLINE!$B$5:$B$208, "mmm-yy"), [2]GASOLINE!$C$5:$C$208, "Not Found")</f>
        <v>7067.8509216712282</v>
      </c>
      <c r="N804" cm="1">
        <f t="array" ref="N804">_xlfn.XLOOKUP(TEXT(A804, "mmm-yy"), TEXT([2]RUNS!$B$5:$B$208, "mmm-yy"), [2]RUNS!$BM$5:$BM$208, "Not Found")</f>
        <v>0.86661158528517102</v>
      </c>
    </row>
    <row r="805" spans="1:14" x14ac:dyDescent="0.25">
      <c r="A805" s="1">
        <f>'[1]Global_Spot Prices'!$B2114</f>
        <v>43130</v>
      </c>
      <c r="B805">
        <f>_xlfn.XLOOKUP(A805,'[1]Global_Spot Prices'!$B:$B,'[1]Global_Spot Prices'!$BS:$BS)</f>
        <v>11.75</v>
      </c>
      <c r="C805">
        <f>_xlfn.XLOOKUP(A805,'[1]Global_Spot Prices'!$B:$B,'[1]Global_Spot Prices'!$E:$E)</f>
        <v>66.36</v>
      </c>
      <c r="D805">
        <f>_xlfn.XLOOKUP(A805,'[1]Global_Spot Prices'!$B:$B,'[1]Global_Spot Prices'!$D:$D)</f>
        <v>67.984999999999999</v>
      </c>
      <c r="E805">
        <f>_xlfn.XLOOKUP(A805,'[1]Global_Spot Prices'!$B:$B,'[1]Global_Spot Prices'!$H:$H)</f>
        <v>63.8</v>
      </c>
      <c r="F805">
        <f>_xlfn.XLOOKUP(A805,'[1]Global_Spot Prices'!$B:$B,'[1]Global_Spot Prices'!$I:$I)</f>
        <v>78.11</v>
      </c>
      <c r="G805" cm="1">
        <f t="array" ref="G805">_xlfn.XLOOKUP(TEXT(A805, "mmm-yy"), TEXT([2]RUNS!$B$5:$B$208, "mmm-yy"), [2]RUNS!$D$5:$D$208, "Not Found")</f>
        <v>29966.12870178328</v>
      </c>
      <c r="H805" cm="1">
        <f t="array" ref="H805">SUMPRODUCT(
    --(TEXT('[3]Global Weekly Stock (EWSuez'!$B$4:$B$2000,"mmm-yy")=TEXT(A805,"mmm-yy")),
    '[3]Global Weekly Stock (EWSuez'!$E$4:$E$2000)
/
SUMPRODUCT(
    --(TEXT('[3]Global Weekly Stock (EWSuez'!$B$4:$B$2000,"mmm-yy")=TEXT(A805,"mmm-yy"))
)</f>
        <v>13290.25</v>
      </c>
      <c r="I805">
        <f>_xlfn.XLOOKUP(A805,[1]ForwardDeriv!$D:$D,[1]ForwardDeriv!$AJ:$AJ)</f>
        <v>-0.17000000000000171</v>
      </c>
      <c r="J805" cm="1">
        <f t="array" ref="J805">_xlfn.XLOOKUP(TEXT(A805, "mmm-yy"), TEXT([2]GASOLINE!$B$5:$B$208, "mmm-yy"), [2]GASOLINE!$IR$5:$IR$208, "Not Found")</f>
        <v>308.56259720311084</v>
      </c>
      <c r="K805" cm="1">
        <f t="array" ref="K805">_xlfn.XLOOKUP(TEXT(A805, "mmm-yy"), TEXT([2]GASOLINE!$B$5:$B$208, "mmm-yy"), [2]GASOLINE!$IK$5:$IK$208, "Not Found")</f>
        <v>154.32668561733138</v>
      </c>
      <c r="L805">
        <f t="shared" si="12"/>
        <v>0</v>
      </c>
      <c r="M805" cm="1">
        <f t="array" ref="M805">_xlfn.XLOOKUP(TEXT(A805, "mmm-yy"), TEXT([2]GASOLINE!$B$5:$B$208, "mmm-yy"), [2]GASOLINE!$C$5:$C$208, "Not Found")</f>
        <v>7067.8509216712282</v>
      </c>
      <c r="N805" cm="1">
        <f t="array" ref="N805">_xlfn.XLOOKUP(TEXT(A805, "mmm-yy"), TEXT([2]RUNS!$B$5:$B$208, "mmm-yy"), [2]RUNS!$BM$5:$BM$208, "Not Found")</f>
        <v>0.86661158528517102</v>
      </c>
    </row>
    <row r="806" spans="1:14" x14ac:dyDescent="0.25">
      <c r="A806" s="1">
        <f>'[1]Global_Spot Prices'!$B2115</f>
        <v>43131</v>
      </c>
      <c r="B806">
        <f>_xlfn.XLOOKUP(A806,'[1]Global_Spot Prices'!$B:$B,'[1]Global_Spot Prices'!$BS:$BS)</f>
        <v>11.39</v>
      </c>
      <c r="C806">
        <f>_xlfn.XLOOKUP(A806,'[1]Global_Spot Prices'!$B:$B,'[1]Global_Spot Prices'!$E:$E)</f>
        <v>65.75</v>
      </c>
      <c r="D806">
        <f>_xlfn.XLOOKUP(A806,'[1]Global_Spot Prices'!$B:$B,'[1]Global_Spot Prices'!$D:$D)</f>
        <v>68.09</v>
      </c>
      <c r="E806">
        <f>_xlfn.XLOOKUP(A806,'[1]Global_Spot Prices'!$B:$B,'[1]Global_Spot Prices'!$H:$H)</f>
        <v>63.65</v>
      </c>
      <c r="F806">
        <f>_xlfn.XLOOKUP(A806,'[1]Global_Spot Prices'!$B:$B,'[1]Global_Spot Prices'!$I:$I)</f>
        <v>77.14</v>
      </c>
      <c r="G806" cm="1">
        <f t="array" ref="G806">_xlfn.XLOOKUP(TEXT(A806, "mmm-yy"), TEXT([2]RUNS!$B$5:$B$208, "mmm-yy"), [2]RUNS!$D$5:$D$208, "Not Found")</f>
        <v>29966.12870178328</v>
      </c>
      <c r="H806" cm="1">
        <f t="array" ref="H806">SUMPRODUCT(
    --(TEXT('[3]Global Weekly Stock (EWSuez'!$B$4:$B$2000,"mmm-yy")=TEXT(A806,"mmm-yy")),
    '[3]Global Weekly Stock (EWSuez'!$E$4:$E$2000)
/
SUMPRODUCT(
    --(TEXT('[3]Global Weekly Stock (EWSuez'!$B$4:$B$2000,"mmm-yy")=TEXT(A806,"mmm-yy"))
)</f>
        <v>13290.25</v>
      </c>
      <c r="I806">
        <f>_xlfn.XLOOKUP(A806,[1]ForwardDeriv!$D:$D,[1]ForwardDeriv!$AJ:$AJ)</f>
        <v>-0.3399999999999892</v>
      </c>
      <c r="J806" cm="1">
        <f t="array" ref="J806">_xlfn.XLOOKUP(TEXT(A806, "mmm-yy"), TEXT([2]GASOLINE!$B$5:$B$208, "mmm-yy"), [2]GASOLINE!$IR$5:$IR$208, "Not Found")</f>
        <v>308.56259720311084</v>
      </c>
      <c r="K806" cm="1">
        <f t="array" ref="K806">_xlfn.XLOOKUP(TEXT(A806, "mmm-yy"), TEXT([2]GASOLINE!$B$5:$B$208, "mmm-yy"), [2]GASOLINE!$IK$5:$IK$208, "Not Found")</f>
        <v>154.32668561733138</v>
      </c>
      <c r="L806">
        <f t="shared" si="12"/>
        <v>0</v>
      </c>
      <c r="M806" cm="1">
        <f t="array" ref="M806">_xlfn.XLOOKUP(TEXT(A806, "mmm-yy"), TEXT([2]GASOLINE!$B$5:$B$208, "mmm-yy"), [2]GASOLINE!$C$5:$C$208, "Not Found")</f>
        <v>7067.8509216712282</v>
      </c>
      <c r="N806" cm="1">
        <f t="array" ref="N806">_xlfn.XLOOKUP(TEXT(A806, "mmm-yy"), TEXT([2]RUNS!$B$5:$B$208, "mmm-yy"), [2]RUNS!$BM$5:$BM$208, "Not Found")</f>
        <v>0.86661158528517102</v>
      </c>
    </row>
    <row r="807" spans="1:14" x14ac:dyDescent="0.25">
      <c r="A807" s="1">
        <f>'[1]Global_Spot Prices'!$B2116</f>
        <v>43132</v>
      </c>
      <c r="B807">
        <f>_xlfn.XLOOKUP(A807,'[1]Global_Spot Prices'!$B:$B,'[1]Global_Spot Prices'!$BS:$BS)</f>
        <v>12.334999999999994</v>
      </c>
      <c r="C807">
        <f>_xlfn.XLOOKUP(A807,'[1]Global_Spot Prices'!$B:$B,'[1]Global_Spot Prices'!$E:$E)</f>
        <v>66.155000000000001</v>
      </c>
      <c r="D807">
        <f>_xlfn.XLOOKUP(A807,'[1]Global_Spot Prices'!$B:$B,'[1]Global_Spot Prices'!$D:$D)</f>
        <v>68.489999999999995</v>
      </c>
      <c r="E807">
        <f>_xlfn.XLOOKUP(A807,'[1]Global_Spot Prices'!$B:$B,'[1]Global_Spot Prices'!$H:$H)</f>
        <v>65.47</v>
      </c>
      <c r="F807">
        <f>_xlfn.XLOOKUP(A807,'[1]Global_Spot Prices'!$B:$B,'[1]Global_Spot Prices'!$I:$I)</f>
        <v>78.489999999999995</v>
      </c>
      <c r="G807" cm="1">
        <f t="array" ref="G807">_xlfn.XLOOKUP(TEXT(A807, "mmm-yy"), TEXT([2]RUNS!$B$5:$B$208, "mmm-yy"), [2]RUNS!$D$5:$D$208, "Not Found")</f>
        <v>29631.52910432596</v>
      </c>
      <c r="H807" cm="1">
        <f t="array" ref="H807">SUMPRODUCT(
    --(TEXT('[3]Global Weekly Stock (EWSuez'!$B$4:$B$2000,"mmm-yy")=TEXT(A807,"mmm-yy")),
    '[3]Global Weekly Stock (EWSuez'!$E$4:$E$2000)
/
SUMPRODUCT(
    --(TEXT('[3]Global Weekly Stock (EWSuez'!$B$4:$B$2000,"mmm-yy")=TEXT(A807,"mmm-yy"))
)</f>
        <v>13615.5</v>
      </c>
      <c r="I807">
        <f>_xlfn.XLOOKUP(A807,[1]ForwardDeriv!$D:$D,[1]ForwardDeriv!$AJ:$AJ)</f>
        <v>0.11999999999999034</v>
      </c>
      <c r="J807" cm="1">
        <f t="array" ref="J807">_xlfn.XLOOKUP(TEXT(A807, "mmm-yy"), TEXT([2]GASOLINE!$B$5:$B$208, "mmm-yy"), [2]GASOLINE!$IR$5:$IR$208, "Not Found")</f>
        <v>138.46339480759127</v>
      </c>
      <c r="K807" cm="1">
        <f t="array" ref="K807">_xlfn.XLOOKUP(TEXT(A807, "mmm-yy"), TEXT([2]GASOLINE!$B$5:$B$208, "mmm-yy"), [2]GASOLINE!$IK$5:$IK$208, "Not Found")</f>
        <v>156.55561095262766</v>
      </c>
      <c r="L807">
        <f t="shared" si="12"/>
        <v>0</v>
      </c>
      <c r="M807" cm="1">
        <f t="array" ref="M807">_xlfn.XLOOKUP(TEXT(A807, "mmm-yy"), TEXT([2]GASOLINE!$B$5:$B$208, "mmm-yy"), [2]GASOLINE!$C$5:$C$208, "Not Found")</f>
        <v>7452.9509863678732</v>
      </c>
      <c r="N807" cm="1">
        <f t="array" ref="N807">_xlfn.XLOOKUP(TEXT(A807, "mmm-yy"), TEXT([2]RUNS!$B$5:$B$208, "mmm-yy"), [2]RUNS!$BM$5:$BM$208, "Not Found")</f>
        <v>0.84990790331472676</v>
      </c>
    </row>
    <row r="808" spans="1:14" x14ac:dyDescent="0.25">
      <c r="A808" s="1">
        <f>'[1]Global_Spot Prices'!$B2117</f>
        <v>43133</v>
      </c>
      <c r="B808">
        <f>_xlfn.XLOOKUP(A808,'[1]Global_Spot Prices'!$B:$B,'[1]Global_Spot Prices'!$BS:$BS)</f>
        <v>12.789999999999992</v>
      </c>
      <c r="C808">
        <f>_xlfn.XLOOKUP(A808,'[1]Global_Spot Prices'!$B:$B,'[1]Global_Spot Prices'!$E:$E)</f>
        <v>67.06</v>
      </c>
      <c r="D808">
        <f>_xlfn.XLOOKUP(A808,'[1]Global_Spot Prices'!$B:$B,'[1]Global_Spot Prices'!$D:$D)</f>
        <v>67.59</v>
      </c>
      <c r="E808">
        <f>_xlfn.XLOOKUP(A808,'[1]Global_Spot Prices'!$B:$B,'[1]Global_Spot Prices'!$H:$H)</f>
        <v>65.680000000000007</v>
      </c>
      <c r="F808">
        <f>_xlfn.XLOOKUP(A808,'[1]Global_Spot Prices'!$B:$B,'[1]Global_Spot Prices'!$I:$I)</f>
        <v>79.849999999999994</v>
      </c>
      <c r="G808" cm="1">
        <f t="array" ref="G808">_xlfn.XLOOKUP(TEXT(A808, "mmm-yy"), TEXT([2]RUNS!$B$5:$B$208, "mmm-yy"), [2]RUNS!$D$5:$D$208, "Not Found")</f>
        <v>29631.52910432596</v>
      </c>
      <c r="H808" cm="1">
        <f t="array" ref="H808">SUMPRODUCT(
    --(TEXT('[3]Global Weekly Stock (EWSuez'!$B$4:$B$2000,"mmm-yy")=TEXT(A808,"mmm-yy")),
    '[3]Global Weekly Stock (EWSuez'!$E$4:$E$2000)
/
SUMPRODUCT(
    --(TEXT('[3]Global Weekly Stock (EWSuez'!$B$4:$B$2000,"mmm-yy")=TEXT(A808,"mmm-yy"))
)</f>
        <v>13615.5</v>
      </c>
      <c r="I808">
        <f>_xlfn.XLOOKUP(A808,[1]ForwardDeriv!$D:$D,[1]ForwardDeriv!$AJ:$AJ)</f>
        <v>0.30000000000001137</v>
      </c>
      <c r="J808" cm="1">
        <f t="array" ref="J808">_xlfn.XLOOKUP(TEXT(A808, "mmm-yy"), TEXT([2]GASOLINE!$B$5:$B$208, "mmm-yy"), [2]GASOLINE!$IR$5:$IR$208, "Not Found")</f>
        <v>138.46339480759127</v>
      </c>
      <c r="K808" cm="1">
        <f t="array" ref="K808">_xlfn.XLOOKUP(TEXT(A808, "mmm-yy"), TEXT([2]GASOLINE!$B$5:$B$208, "mmm-yy"), [2]GASOLINE!$IK$5:$IK$208, "Not Found")</f>
        <v>156.55561095262766</v>
      </c>
      <c r="L808">
        <f t="shared" si="12"/>
        <v>0</v>
      </c>
      <c r="M808" cm="1">
        <f t="array" ref="M808">_xlfn.XLOOKUP(TEXT(A808, "mmm-yy"), TEXT([2]GASOLINE!$B$5:$B$208, "mmm-yy"), [2]GASOLINE!$C$5:$C$208, "Not Found")</f>
        <v>7452.9509863678732</v>
      </c>
      <c r="N808" cm="1">
        <f t="array" ref="N808">_xlfn.XLOOKUP(TEXT(A808, "mmm-yy"), TEXT([2]RUNS!$B$5:$B$208, "mmm-yy"), [2]RUNS!$BM$5:$BM$208, "Not Found")</f>
        <v>0.84990790331472676</v>
      </c>
    </row>
    <row r="809" spans="1:14" x14ac:dyDescent="0.25">
      <c r="A809" s="1">
        <f>'[1]Global_Spot Prices'!$B2118</f>
        <v>43136</v>
      </c>
      <c r="B809">
        <f>_xlfn.XLOOKUP(A809,'[1]Global_Spot Prices'!$B:$B,'[1]Global_Spot Prices'!$BS:$BS)</f>
        <v>12.439999999999998</v>
      </c>
      <c r="C809">
        <f>_xlfn.XLOOKUP(A809,'[1]Global_Spot Prices'!$B:$B,'[1]Global_Spot Prices'!$E:$E)</f>
        <v>65.010000000000005</v>
      </c>
      <c r="D809">
        <f>_xlfn.XLOOKUP(A809,'[1]Global_Spot Prices'!$B:$B,'[1]Global_Spot Prices'!$D:$D)</f>
        <v>67.855000000000004</v>
      </c>
      <c r="E809">
        <f>_xlfn.XLOOKUP(A809,'[1]Global_Spot Prices'!$B:$B,'[1]Global_Spot Prices'!$H:$H)</f>
        <v>63.4</v>
      </c>
      <c r="F809">
        <f>_xlfn.XLOOKUP(A809,'[1]Global_Spot Prices'!$B:$B,'[1]Global_Spot Prices'!$I:$I)</f>
        <v>77.45</v>
      </c>
      <c r="G809" cm="1">
        <f t="array" ref="G809">_xlfn.XLOOKUP(TEXT(A809, "mmm-yy"), TEXT([2]RUNS!$B$5:$B$208, "mmm-yy"), [2]RUNS!$D$5:$D$208, "Not Found")</f>
        <v>29631.52910432596</v>
      </c>
      <c r="H809" cm="1">
        <f t="array" ref="H809">SUMPRODUCT(
    --(TEXT('[3]Global Weekly Stock (EWSuez'!$B$4:$B$2000,"mmm-yy")=TEXT(A809,"mmm-yy")),
    '[3]Global Weekly Stock (EWSuez'!$E$4:$E$2000)
/
SUMPRODUCT(
    --(TEXT('[3]Global Weekly Stock (EWSuez'!$B$4:$B$2000,"mmm-yy")=TEXT(A809,"mmm-yy"))
)</f>
        <v>13615.5</v>
      </c>
      <c r="I809">
        <f>_xlfn.XLOOKUP(A809,[1]ForwardDeriv!$D:$D,[1]ForwardDeriv!$AJ:$AJ)</f>
        <v>0.15999999999999659</v>
      </c>
      <c r="J809" cm="1">
        <f t="array" ref="J809">_xlfn.XLOOKUP(TEXT(A809, "mmm-yy"), TEXT([2]GASOLINE!$B$5:$B$208, "mmm-yy"), [2]GASOLINE!$IR$5:$IR$208, "Not Found")</f>
        <v>138.46339480759127</v>
      </c>
      <c r="K809" cm="1">
        <f t="array" ref="K809">_xlfn.XLOOKUP(TEXT(A809, "mmm-yy"), TEXT([2]GASOLINE!$B$5:$B$208, "mmm-yy"), [2]GASOLINE!$IK$5:$IK$208, "Not Found")</f>
        <v>156.55561095262766</v>
      </c>
      <c r="L809">
        <f t="shared" si="12"/>
        <v>0</v>
      </c>
      <c r="M809" cm="1">
        <f t="array" ref="M809">_xlfn.XLOOKUP(TEXT(A809, "mmm-yy"), TEXT([2]GASOLINE!$B$5:$B$208, "mmm-yy"), [2]GASOLINE!$C$5:$C$208, "Not Found")</f>
        <v>7452.9509863678732</v>
      </c>
      <c r="N809" cm="1">
        <f t="array" ref="N809">_xlfn.XLOOKUP(TEXT(A809, "mmm-yy"), TEXT([2]RUNS!$B$5:$B$208, "mmm-yy"), [2]RUNS!$BM$5:$BM$208, "Not Found")</f>
        <v>0.84990790331472676</v>
      </c>
    </row>
    <row r="810" spans="1:14" x14ac:dyDescent="0.25">
      <c r="A810" s="1">
        <f>'[1]Global_Spot Prices'!$B2119</f>
        <v>43137</v>
      </c>
      <c r="B810">
        <f>_xlfn.XLOOKUP(A810,'[1]Global_Spot Prices'!$B:$B,'[1]Global_Spot Prices'!$BS:$BS)</f>
        <v>11.86</v>
      </c>
      <c r="C810">
        <f>_xlfn.XLOOKUP(A810,'[1]Global_Spot Prices'!$B:$B,'[1]Global_Spot Prices'!$E:$E)</f>
        <v>64.260000000000005</v>
      </c>
      <c r="D810">
        <f>_xlfn.XLOOKUP(A810,'[1]Global_Spot Prices'!$B:$B,'[1]Global_Spot Prices'!$D:$D)</f>
        <v>66.734999999999999</v>
      </c>
      <c r="E810">
        <f>_xlfn.XLOOKUP(A810,'[1]Global_Spot Prices'!$B:$B,'[1]Global_Spot Prices'!$H:$H)</f>
        <v>62.37</v>
      </c>
      <c r="F810">
        <f>_xlfn.XLOOKUP(A810,'[1]Global_Spot Prices'!$B:$B,'[1]Global_Spot Prices'!$I:$I)</f>
        <v>76.12</v>
      </c>
      <c r="G810" cm="1">
        <f t="array" ref="G810">_xlfn.XLOOKUP(TEXT(A810, "mmm-yy"), TEXT([2]RUNS!$B$5:$B$208, "mmm-yy"), [2]RUNS!$D$5:$D$208, "Not Found")</f>
        <v>29631.52910432596</v>
      </c>
      <c r="H810" cm="1">
        <f t="array" ref="H810">SUMPRODUCT(
    --(TEXT('[3]Global Weekly Stock (EWSuez'!$B$4:$B$2000,"mmm-yy")=TEXT(A810,"mmm-yy")),
    '[3]Global Weekly Stock (EWSuez'!$E$4:$E$2000)
/
SUMPRODUCT(
    --(TEXT('[3]Global Weekly Stock (EWSuez'!$B$4:$B$2000,"mmm-yy")=TEXT(A810,"mmm-yy"))
)</f>
        <v>13615.5</v>
      </c>
      <c r="I810">
        <f>_xlfn.XLOOKUP(A810,[1]ForwardDeriv!$D:$D,[1]ForwardDeriv!$AJ:$AJ)</f>
        <v>4.0000000000006253E-2</v>
      </c>
      <c r="J810" cm="1">
        <f t="array" ref="J810">_xlfn.XLOOKUP(TEXT(A810, "mmm-yy"), TEXT([2]GASOLINE!$B$5:$B$208, "mmm-yy"), [2]GASOLINE!$IR$5:$IR$208, "Not Found")</f>
        <v>138.46339480759127</v>
      </c>
      <c r="K810" cm="1">
        <f t="array" ref="K810">_xlfn.XLOOKUP(TEXT(A810, "mmm-yy"), TEXT([2]GASOLINE!$B$5:$B$208, "mmm-yy"), [2]GASOLINE!$IK$5:$IK$208, "Not Found")</f>
        <v>156.55561095262766</v>
      </c>
      <c r="L810">
        <f t="shared" si="12"/>
        <v>0</v>
      </c>
      <c r="M810" cm="1">
        <f t="array" ref="M810">_xlfn.XLOOKUP(TEXT(A810, "mmm-yy"), TEXT([2]GASOLINE!$B$5:$B$208, "mmm-yy"), [2]GASOLINE!$C$5:$C$208, "Not Found")</f>
        <v>7452.9509863678732</v>
      </c>
      <c r="N810" cm="1">
        <f t="array" ref="N810">_xlfn.XLOOKUP(TEXT(A810, "mmm-yy"), TEXT([2]RUNS!$B$5:$B$208, "mmm-yy"), [2]RUNS!$BM$5:$BM$208, "Not Found")</f>
        <v>0.84990790331472676</v>
      </c>
    </row>
    <row r="811" spans="1:14" x14ac:dyDescent="0.25">
      <c r="A811" s="1">
        <f>'[1]Global_Spot Prices'!$B2120</f>
        <v>43138</v>
      </c>
      <c r="B811">
        <f>_xlfn.XLOOKUP(A811,'[1]Global_Spot Prices'!$B:$B,'[1]Global_Spot Prices'!$BS:$BS)</f>
        <v>11.89</v>
      </c>
      <c r="C811">
        <f>_xlfn.XLOOKUP(A811,'[1]Global_Spot Prices'!$B:$B,'[1]Global_Spot Prices'!$E:$E)</f>
        <v>64.11</v>
      </c>
      <c r="D811">
        <f>_xlfn.XLOOKUP(A811,'[1]Global_Spot Prices'!$B:$B,'[1]Global_Spot Prices'!$D:$D)</f>
        <v>65.655000000000001</v>
      </c>
      <c r="E811">
        <f>_xlfn.XLOOKUP(A811,'[1]Global_Spot Prices'!$B:$B,'[1]Global_Spot Prices'!$H:$H)</f>
        <v>60.86</v>
      </c>
      <c r="F811">
        <f>_xlfn.XLOOKUP(A811,'[1]Global_Spot Prices'!$B:$B,'[1]Global_Spot Prices'!$I:$I)</f>
        <v>76</v>
      </c>
      <c r="G811" cm="1">
        <f t="array" ref="G811">_xlfn.XLOOKUP(TEXT(A811, "mmm-yy"), TEXT([2]RUNS!$B$5:$B$208, "mmm-yy"), [2]RUNS!$D$5:$D$208, "Not Found")</f>
        <v>29631.52910432596</v>
      </c>
      <c r="H811" cm="1">
        <f t="array" ref="H811">SUMPRODUCT(
    --(TEXT('[3]Global Weekly Stock (EWSuez'!$B$4:$B$2000,"mmm-yy")=TEXT(A811,"mmm-yy")),
    '[3]Global Weekly Stock (EWSuez'!$E$4:$E$2000)
/
SUMPRODUCT(
    --(TEXT('[3]Global Weekly Stock (EWSuez'!$B$4:$B$2000,"mmm-yy")=TEXT(A811,"mmm-yy"))
)</f>
        <v>13615.5</v>
      </c>
      <c r="I811">
        <f>_xlfn.XLOOKUP(A811,[1]ForwardDeriv!$D:$D,[1]ForwardDeriv!$AJ:$AJ)</f>
        <v>-6.9999999999993179E-2</v>
      </c>
      <c r="J811" cm="1">
        <f t="array" ref="J811">_xlfn.XLOOKUP(TEXT(A811, "mmm-yy"), TEXT([2]GASOLINE!$B$5:$B$208, "mmm-yy"), [2]GASOLINE!$IR$5:$IR$208, "Not Found")</f>
        <v>138.46339480759127</v>
      </c>
      <c r="K811" cm="1">
        <f t="array" ref="K811">_xlfn.XLOOKUP(TEXT(A811, "mmm-yy"), TEXT([2]GASOLINE!$B$5:$B$208, "mmm-yy"), [2]GASOLINE!$IK$5:$IK$208, "Not Found")</f>
        <v>156.55561095262766</v>
      </c>
      <c r="L811">
        <f t="shared" si="12"/>
        <v>0</v>
      </c>
      <c r="M811" cm="1">
        <f t="array" ref="M811">_xlfn.XLOOKUP(TEXT(A811, "mmm-yy"), TEXT([2]GASOLINE!$B$5:$B$208, "mmm-yy"), [2]GASOLINE!$C$5:$C$208, "Not Found")</f>
        <v>7452.9509863678732</v>
      </c>
      <c r="N811" cm="1">
        <f t="array" ref="N811">_xlfn.XLOOKUP(TEXT(A811, "mmm-yy"), TEXT([2]RUNS!$B$5:$B$208, "mmm-yy"), [2]RUNS!$BM$5:$BM$208, "Not Found")</f>
        <v>0.84990790331472676</v>
      </c>
    </row>
    <row r="812" spans="1:14" x14ac:dyDescent="0.25">
      <c r="A812" s="1">
        <f>'[1]Global_Spot Prices'!$B2121</f>
        <v>43139</v>
      </c>
      <c r="B812">
        <f>_xlfn.XLOOKUP(A812,'[1]Global_Spot Prices'!$B:$B,'[1]Global_Spot Prices'!$BS:$BS)</f>
        <v>11.379999999999995</v>
      </c>
      <c r="C812">
        <f>_xlfn.XLOOKUP(A812,'[1]Global_Spot Prices'!$B:$B,'[1]Global_Spot Prices'!$E:$E)</f>
        <v>62.2</v>
      </c>
      <c r="D812">
        <f>_xlfn.XLOOKUP(A812,'[1]Global_Spot Prices'!$B:$B,'[1]Global_Spot Prices'!$D:$D)</f>
        <v>64.144999999999996</v>
      </c>
      <c r="E812">
        <f>_xlfn.XLOOKUP(A812,'[1]Global_Spot Prices'!$B:$B,'[1]Global_Spot Prices'!$H:$H)</f>
        <v>59.6</v>
      </c>
      <c r="F812">
        <f>_xlfn.XLOOKUP(A812,'[1]Global_Spot Prices'!$B:$B,'[1]Global_Spot Prices'!$I:$I)</f>
        <v>73.58</v>
      </c>
      <c r="G812" cm="1">
        <f t="array" ref="G812">_xlfn.XLOOKUP(TEXT(A812, "mmm-yy"), TEXT([2]RUNS!$B$5:$B$208, "mmm-yy"), [2]RUNS!$D$5:$D$208, "Not Found")</f>
        <v>29631.52910432596</v>
      </c>
      <c r="H812" cm="1">
        <f t="array" ref="H812">SUMPRODUCT(
    --(TEXT('[3]Global Weekly Stock (EWSuez'!$B$4:$B$2000,"mmm-yy")=TEXT(A812,"mmm-yy")),
    '[3]Global Weekly Stock (EWSuez'!$E$4:$E$2000)
/
SUMPRODUCT(
    --(TEXT('[3]Global Weekly Stock (EWSuez'!$B$4:$B$2000,"mmm-yy")=TEXT(A812,"mmm-yy"))
)</f>
        <v>13615.5</v>
      </c>
      <c r="I812">
        <f>_xlfn.XLOOKUP(A812,[1]ForwardDeriv!$D:$D,[1]ForwardDeriv!$AJ:$AJ)</f>
        <v>-0.18000000000000682</v>
      </c>
      <c r="J812" cm="1">
        <f t="array" ref="J812">_xlfn.XLOOKUP(TEXT(A812, "mmm-yy"), TEXT([2]GASOLINE!$B$5:$B$208, "mmm-yy"), [2]GASOLINE!$IR$5:$IR$208, "Not Found")</f>
        <v>138.46339480759127</v>
      </c>
      <c r="K812" cm="1">
        <f t="array" ref="K812">_xlfn.XLOOKUP(TEXT(A812, "mmm-yy"), TEXT([2]GASOLINE!$B$5:$B$208, "mmm-yy"), [2]GASOLINE!$IK$5:$IK$208, "Not Found")</f>
        <v>156.55561095262766</v>
      </c>
      <c r="L812">
        <f t="shared" si="12"/>
        <v>0</v>
      </c>
      <c r="M812" cm="1">
        <f t="array" ref="M812">_xlfn.XLOOKUP(TEXT(A812, "mmm-yy"), TEXT([2]GASOLINE!$B$5:$B$208, "mmm-yy"), [2]GASOLINE!$C$5:$C$208, "Not Found")</f>
        <v>7452.9509863678732</v>
      </c>
      <c r="N812" cm="1">
        <f t="array" ref="N812">_xlfn.XLOOKUP(TEXT(A812, "mmm-yy"), TEXT([2]RUNS!$B$5:$B$208, "mmm-yy"), [2]RUNS!$BM$5:$BM$208, "Not Found")</f>
        <v>0.84990790331472676</v>
      </c>
    </row>
    <row r="813" spans="1:14" x14ac:dyDescent="0.25">
      <c r="A813" s="1">
        <f>'[1]Global_Spot Prices'!$B2122</f>
        <v>43140</v>
      </c>
      <c r="B813">
        <f>_xlfn.XLOOKUP(A813,'[1]Global_Spot Prices'!$B:$B,'[1]Global_Spot Prices'!$BS:$BS)</f>
        <v>12.159999999999997</v>
      </c>
      <c r="C813">
        <f>_xlfn.XLOOKUP(A813,'[1]Global_Spot Prices'!$B:$B,'[1]Global_Spot Prices'!$E:$E)</f>
        <v>61.09</v>
      </c>
      <c r="D813">
        <f>_xlfn.XLOOKUP(A813,'[1]Global_Spot Prices'!$B:$B,'[1]Global_Spot Prices'!$D:$D)</f>
        <v>62.98</v>
      </c>
      <c r="E813">
        <f>_xlfn.XLOOKUP(A813,'[1]Global_Spot Prices'!$B:$B,'[1]Global_Spot Prices'!$H:$H)</f>
        <v>59.66</v>
      </c>
      <c r="F813">
        <f>_xlfn.XLOOKUP(A813,'[1]Global_Spot Prices'!$B:$B,'[1]Global_Spot Prices'!$I:$I)</f>
        <v>73.25</v>
      </c>
      <c r="G813" cm="1">
        <f t="array" ref="G813">_xlfn.XLOOKUP(TEXT(A813, "mmm-yy"), TEXT([2]RUNS!$B$5:$B$208, "mmm-yy"), [2]RUNS!$D$5:$D$208, "Not Found")</f>
        <v>29631.52910432596</v>
      </c>
      <c r="H813" cm="1">
        <f t="array" ref="H813">SUMPRODUCT(
    --(TEXT('[3]Global Weekly Stock (EWSuez'!$B$4:$B$2000,"mmm-yy")=TEXT(A813,"mmm-yy")),
    '[3]Global Weekly Stock (EWSuez'!$E$4:$E$2000)
/
SUMPRODUCT(
    --(TEXT('[3]Global Weekly Stock (EWSuez'!$B$4:$B$2000,"mmm-yy")=TEXT(A813,"mmm-yy"))
)</f>
        <v>13615.5</v>
      </c>
      <c r="I813">
        <f>_xlfn.XLOOKUP(A813,[1]ForwardDeriv!$D:$D,[1]ForwardDeriv!$AJ:$AJ)</f>
        <v>9.9999999999909051E-3</v>
      </c>
      <c r="J813" cm="1">
        <f t="array" ref="J813">_xlfn.XLOOKUP(TEXT(A813, "mmm-yy"), TEXT([2]GASOLINE!$B$5:$B$208, "mmm-yy"), [2]GASOLINE!$IR$5:$IR$208, "Not Found")</f>
        <v>138.46339480759127</v>
      </c>
      <c r="K813" cm="1">
        <f t="array" ref="K813">_xlfn.XLOOKUP(TEXT(A813, "mmm-yy"), TEXT([2]GASOLINE!$B$5:$B$208, "mmm-yy"), [2]GASOLINE!$IK$5:$IK$208, "Not Found")</f>
        <v>156.55561095262766</v>
      </c>
      <c r="L813">
        <f t="shared" si="12"/>
        <v>0</v>
      </c>
      <c r="M813" cm="1">
        <f t="array" ref="M813">_xlfn.XLOOKUP(TEXT(A813, "mmm-yy"), TEXT([2]GASOLINE!$B$5:$B$208, "mmm-yy"), [2]GASOLINE!$C$5:$C$208, "Not Found")</f>
        <v>7452.9509863678732</v>
      </c>
      <c r="N813" cm="1">
        <f t="array" ref="N813">_xlfn.XLOOKUP(TEXT(A813, "mmm-yy"), TEXT([2]RUNS!$B$5:$B$208, "mmm-yy"), [2]RUNS!$BM$5:$BM$208, "Not Found")</f>
        <v>0.84990790331472676</v>
      </c>
    </row>
    <row r="814" spans="1:14" x14ac:dyDescent="0.25">
      <c r="A814" s="1">
        <f>'[1]Global_Spot Prices'!$B2123</f>
        <v>43143</v>
      </c>
      <c r="B814">
        <f>_xlfn.XLOOKUP(A814,'[1]Global_Spot Prices'!$B:$B,'[1]Global_Spot Prices'!$BS:$BS)</f>
        <v>11.969999999999999</v>
      </c>
      <c r="C814">
        <f>_xlfn.XLOOKUP(A814,'[1]Global_Spot Prices'!$B:$B,'[1]Global_Spot Prices'!$E:$E)</f>
        <v>60.41</v>
      </c>
      <c r="D814">
        <f>_xlfn.XLOOKUP(A814,'[1]Global_Spot Prices'!$B:$B,'[1]Global_Spot Prices'!$D:$D)</f>
        <v>62.424999999999997</v>
      </c>
      <c r="E814">
        <f>_xlfn.XLOOKUP(A814,'[1]Global_Spot Prices'!$B:$B,'[1]Global_Spot Prices'!$H:$H)</f>
        <v>58.88</v>
      </c>
      <c r="F814">
        <f>_xlfn.XLOOKUP(A814,'[1]Global_Spot Prices'!$B:$B,'[1]Global_Spot Prices'!$I:$I)</f>
        <v>72.38</v>
      </c>
      <c r="G814" cm="1">
        <f t="array" ref="G814">_xlfn.XLOOKUP(TEXT(A814, "mmm-yy"), TEXT([2]RUNS!$B$5:$B$208, "mmm-yy"), [2]RUNS!$D$5:$D$208, "Not Found")</f>
        <v>29631.52910432596</v>
      </c>
      <c r="H814" cm="1">
        <f t="array" ref="H814">SUMPRODUCT(
    --(TEXT('[3]Global Weekly Stock (EWSuez'!$B$4:$B$2000,"mmm-yy")=TEXT(A814,"mmm-yy")),
    '[3]Global Weekly Stock (EWSuez'!$E$4:$E$2000)
/
SUMPRODUCT(
    --(TEXT('[3]Global Weekly Stock (EWSuez'!$B$4:$B$2000,"mmm-yy")=TEXT(A814,"mmm-yy"))
)</f>
        <v>13615.5</v>
      </c>
      <c r="I814">
        <f>_xlfn.XLOOKUP(A814,[1]ForwardDeriv!$D:$D,[1]ForwardDeriv!$AJ:$AJ)</f>
        <v>-1.0000000000005116E-2</v>
      </c>
      <c r="J814" cm="1">
        <f t="array" ref="J814">_xlfn.XLOOKUP(TEXT(A814, "mmm-yy"), TEXT([2]GASOLINE!$B$5:$B$208, "mmm-yy"), [2]GASOLINE!$IR$5:$IR$208, "Not Found")</f>
        <v>138.46339480759127</v>
      </c>
      <c r="K814" cm="1">
        <f t="array" ref="K814">_xlfn.XLOOKUP(TEXT(A814, "mmm-yy"), TEXT([2]GASOLINE!$B$5:$B$208, "mmm-yy"), [2]GASOLINE!$IK$5:$IK$208, "Not Found")</f>
        <v>156.55561095262766</v>
      </c>
      <c r="L814">
        <f t="shared" si="12"/>
        <v>0</v>
      </c>
      <c r="M814" cm="1">
        <f t="array" ref="M814">_xlfn.XLOOKUP(TEXT(A814, "mmm-yy"), TEXT([2]GASOLINE!$B$5:$B$208, "mmm-yy"), [2]GASOLINE!$C$5:$C$208, "Not Found")</f>
        <v>7452.9509863678732</v>
      </c>
      <c r="N814" cm="1">
        <f t="array" ref="N814">_xlfn.XLOOKUP(TEXT(A814, "mmm-yy"), TEXT([2]RUNS!$B$5:$B$208, "mmm-yy"), [2]RUNS!$BM$5:$BM$208, "Not Found")</f>
        <v>0.84990790331472676</v>
      </c>
    </row>
    <row r="815" spans="1:14" x14ac:dyDescent="0.25">
      <c r="A815" s="1">
        <f>'[1]Global_Spot Prices'!$B2124</f>
        <v>43144</v>
      </c>
      <c r="B815">
        <f>_xlfn.XLOOKUP(A815,'[1]Global_Spot Prices'!$B:$B,'[1]Global_Spot Prices'!$BS:$BS)</f>
        <v>11.019999999999996</v>
      </c>
      <c r="C815">
        <f>_xlfn.XLOOKUP(A815,'[1]Global_Spot Prices'!$B:$B,'[1]Global_Spot Prices'!$E:$E)</f>
        <v>59.84</v>
      </c>
      <c r="D815">
        <f>_xlfn.XLOOKUP(A815,'[1]Global_Spot Prices'!$B:$B,'[1]Global_Spot Prices'!$D:$D)</f>
        <v>61.52</v>
      </c>
      <c r="E815">
        <f>_xlfn.XLOOKUP(A815,'[1]Global_Spot Prices'!$B:$B,'[1]Global_Spot Prices'!$H:$H)</f>
        <v>58.42</v>
      </c>
      <c r="F815">
        <f>_xlfn.XLOOKUP(A815,'[1]Global_Spot Prices'!$B:$B,'[1]Global_Spot Prices'!$I:$I)</f>
        <v>70.86</v>
      </c>
      <c r="G815" cm="1">
        <f t="array" ref="G815">_xlfn.XLOOKUP(TEXT(A815, "mmm-yy"), TEXT([2]RUNS!$B$5:$B$208, "mmm-yy"), [2]RUNS!$D$5:$D$208, "Not Found")</f>
        <v>29631.52910432596</v>
      </c>
      <c r="H815" cm="1">
        <f t="array" ref="H815">SUMPRODUCT(
    --(TEXT('[3]Global Weekly Stock (EWSuez'!$B$4:$B$2000,"mmm-yy")=TEXT(A815,"mmm-yy")),
    '[3]Global Weekly Stock (EWSuez'!$E$4:$E$2000)
/
SUMPRODUCT(
    --(TEXT('[3]Global Weekly Stock (EWSuez'!$B$4:$B$2000,"mmm-yy")=TEXT(A815,"mmm-yy"))
)</f>
        <v>13615.5</v>
      </c>
      <c r="I815">
        <f>_xlfn.XLOOKUP(A815,[1]ForwardDeriv!$D:$D,[1]ForwardDeriv!$AJ:$AJ)</f>
        <v>-0.17000000000000171</v>
      </c>
      <c r="J815" cm="1">
        <f t="array" ref="J815">_xlfn.XLOOKUP(TEXT(A815, "mmm-yy"), TEXT([2]GASOLINE!$B$5:$B$208, "mmm-yy"), [2]GASOLINE!$IR$5:$IR$208, "Not Found")</f>
        <v>138.46339480759127</v>
      </c>
      <c r="K815" cm="1">
        <f t="array" ref="K815">_xlfn.XLOOKUP(TEXT(A815, "mmm-yy"), TEXT([2]GASOLINE!$B$5:$B$208, "mmm-yy"), [2]GASOLINE!$IK$5:$IK$208, "Not Found")</f>
        <v>156.55561095262766</v>
      </c>
      <c r="L815">
        <f t="shared" si="12"/>
        <v>0</v>
      </c>
      <c r="M815" cm="1">
        <f t="array" ref="M815">_xlfn.XLOOKUP(TEXT(A815, "mmm-yy"), TEXT([2]GASOLINE!$B$5:$B$208, "mmm-yy"), [2]GASOLINE!$C$5:$C$208, "Not Found")</f>
        <v>7452.9509863678732</v>
      </c>
      <c r="N815" cm="1">
        <f t="array" ref="N815">_xlfn.XLOOKUP(TEXT(A815, "mmm-yy"), TEXT([2]RUNS!$B$5:$B$208, "mmm-yy"), [2]RUNS!$BM$5:$BM$208, "Not Found")</f>
        <v>0.84990790331472676</v>
      </c>
    </row>
    <row r="816" spans="1:14" x14ac:dyDescent="0.25">
      <c r="A816" s="1">
        <f>'[1]Global_Spot Prices'!$B2125</f>
        <v>43145</v>
      </c>
      <c r="B816">
        <f>_xlfn.XLOOKUP(A816,'[1]Global_Spot Prices'!$B:$B,'[1]Global_Spot Prices'!$BS:$BS)</f>
        <v>10.730000000000004</v>
      </c>
      <c r="C816">
        <f>_xlfn.XLOOKUP(A816,'[1]Global_Spot Prices'!$B:$B,'[1]Global_Spot Prices'!$E:$E)</f>
        <v>59.36</v>
      </c>
      <c r="D816">
        <f>_xlfn.XLOOKUP(A816,'[1]Global_Spot Prices'!$B:$B,'[1]Global_Spot Prices'!$D:$D)</f>
        <v>62.47</v>
      </c>
      <c r="E816">
        <f>_xlfn.XLOOKUP(A816,'[1]Global_Spot Prices'!$B:$B,'[1]Global_Spot Prices'!$H:$H)</f>
        <v>58.33</v>
      </c>
      <c r="F816">
        <f>_xlfn.XLOOKUP(A816,'[1]Global_Spot Prices'!$B:$B,'[1]Global_Spot Prices'!$I:$I)</f>
        <v>70.09</v>
      </c>
      <c r="G816" cm="1">
        <f t="array" ref="G816">_xlfn.XLOOKUP(TEXT(A816, "mmm-yy"), TEXT([2]RUNS!$B$5:$B$208, "mmm-yy"), [2]RUNS!$D$5:$D$208, "Not Found")</f>
        <v>29631.52910432596</v>
      </c>
      <c r="H816" cm="1">
        <f t="array" ref="H816">SUMPRODUCT(
    --(TEXT('[3]Global Weekly Stock (EWSuez'!$B$4:$B$2000,"mmm-yy")=TEXT(A816,"mmm-yy")),
    '[3]Global Weekly Stock (EWSuez'!$E$4:$E$2000)
/
SUMPRODUCT(
    --(TEXT('[3]Global Weekly Stock (EWSuez'!$B$4:$B$2000,"mmm-yy")=TEXT(A816,"mmm-yy"))
)</f>
        <v>13615.5</v>
      </c>
      <c r="I816">
        <f>_xlfn.XLOOKUP(A816,[1]ForwardDeriv!$D:$D,[1]ForwardDeriv!$AJ:$AJ)</f>
        <v>-0.25999999999999091</v>
      </c>
      <c r="J816" cm="1">
        <f t="array" ref="J816">_xlfn.XLOOKUP(TEXT(A816, "mmm-yy"), TEXT([2]GASOLINE!$B$5:$B$208, "mmm-yy"), [2]GASOLINE!$IR$5:$IR$208, "Not Found")</f>
        <v>138.46339480759127</v>
      </c>
      <c r="K816" cm="1">
        <f t="array" ref="K816">_xlfn.XLOOKUP(TEXT(A816, "mmm-yy"), TEXT([2]GASOLINE!$B$5:$B$208, "mmm-yy"), [2]GASOLINE!$IK$5:$IK$208, "Not Found")</f>
        <v>156.55561095262766</v>
      </c>
      <c r="L816">
        <f t="shared" si="12"/>
        <v>0</v>
      </c>
      <c r="M816" cm="1">
        <f t="array" ref="M816">_xlfn.XLOOKUP(TEXT(A816, "mmm-yy"), TEXT([2]GASOLINE!$B$5:$B$208, "mmm-yy"), [2]GASOLINE!$C$5:$C$208, "Not Found")</f>
        <v>7452.9509863678732</v>
      </c>
      <c r="N816" cm="1">
        <f t="array" ref="N816">_xlfn.XLOOKUP(TEXT(A816, "mmm-yy"), TEXT([2]RUNS!$B$5:$B$208, "mmm-yy"), [2]RUNS!$BM$5:$BM$208, "Not Found")</f>
        <v>0.84990790331472676</v>
      </c>
    </row>
    <row r="817" spans="1:14" x14ac:dyDescent="0.25">
      <c r="A817" s="1">
        <f>'[1]Global_Spot Prices'!$B2126</f>
        <v>43146</v>
      </c>
      <c r="B817">
        <f>_xlfn.XLOOKUP(A817,'[1]Global_Spot Prices'!$B:$B,'[1]Global_Spot Prices'!$BS:$BS)</f>
        <v>10.620000000000005</v>
      </c>
      <c r="C817">
        <f>_xlfn.XLOOKUP(A817,'[1]Global_Spot Prices'!$B:$B,'[1]Global_Spot Prices'!$E:$E)</f>
        <v>61.64</v>
      </c>
      <c r="D817">
        <f>_xlfn.XLOOKUP(A817,'[1]Global_Spot Prices'!$B:$B,'[1]Global_Spot Prices'!$D:$D)</f>
        <v>63.02</v>
      </c>
      <c r="E817">
        <f>_xlfn.XLOOKUP(A817,'[1]Global_Spot Prices'!$B:$B,'[1]Global_Spot Prices'!$H:$H)</f>
        <v>60.82</v>
      </c>
      <c r="F817">
        <f>_xlfn.XLOOKUP(A817,'[1]Global_Spot Prices'!$B:$B,'[1]Global_Spot Prices'!$I:$I)</f>
        <v>72.260000000000005</v>
      </c>
      <c r="G817" cm="1">
        <f t="array" ref="G817">_xlfn.XLOOKUP(TEXT(A817, "mmm-yy"), TEXT([2]RUNS!$B$5:$B$208, "mmm-yy"), [2]RUNS!$D$5:$D$208, "Not Found")</f>
        <v>29631.52910432596</v>
      </c>
      <c r="H817" cm="1">
        <f t="array" ref="H817">SUMPRODUCT(
    --(TEXT('[3]Global Weekly Stock (EWSuez'!$B$4:$B$2000,"mmm-yy")=TEXT(A817,"mmm-yy")),
    '[3]Global Weekly Stock (EWSuez'!$E$4:$E$2000)
/
SUMPRODUCT(
    --(TEXT('[3]Global Weekly Stock (EWSuez'!$B$4:$B$2000,"mmm-yy")=TEXT(A817,"mmm-yy"))
)</f>
        <v>13615.5</v>
      </c>
      <c r="I817">
        <f>_xlfn.XLOOKUP(A817,[1]ForwardDeriv!$D:$D,[1]ForwardDeriv!$AJ:$AJ)</f>
        <v>-0.21999999999999886</v>
      </c>
      <c r="J817" cm="1">
        <f t="array" ref="J817">_xlfn.XLOOKUP(TEXT(A817, "mmm-yy"), TEXT([2]GASOLINE!$B$5:$B$208, "mmm-yy"), [2]GASOLINE!$IR$5:$IR$208, "Not Found")</f>
        <v>138.46339480759127</v>
      </c>
      <c r="K817" cm="1">
        <f t="array" ref="K817">_xlfn.XLOOKUP(TEXT(A817, "mmm-yy"), TEXT([2]GASOLINE!$B$5:$B$208, "mmm-yy"), [2]GASOLINE!$IK$5:$IK$208, "Not Found")</f>
        <v>156.55561095262766</v>
      </c>
      <c r="L817">
        <f t="shared" si="12"/>
        <v>0</v>
      </c>
      <c r="M817" cm="1">
        <f t="array" ref="M817">_xlfn.XLOOKUP(TEXT(A817, "mmm-yy"), TEXT([2]GASOLINE!$B$5:$B$208, "mmm-yy"), [2]GASOLINE!$C$5:$C$208, "Not Found")</f>
        <v>7452.9509863678732</v>
      </c>
      <c r="N817" cm="1">
        <f t="array" ref="N817">_xlfn.XLOOKUP(TEXT(A817, "mmm-yy"), TEXT([2]RUNS!$B$5:$B$208, "mmm-yy"), [2]RUNS!$BM$5:$BM$208, "Not Found")</f>
        <v>0.84990790331472676</v>
      </c>
    </row>
    <row r="818" spans="1:14" x14ac:dyDescent="0.25">
      <c r="A818" s="1">
        <f>'[1]Global_Spot Prices'!$B2127</f>
        <v>43147</v>
      </c>
      <c r="B818" t="e">
        <f>_xlfn.XLOOKUP(A818,'[1]Global_Spot Prices'!$B:$B,'[1]Global_Spot Prices'!$BS:$BS)</f>
        <v>#N/A</v>
      </c>
      <c r="C818" t="str">
        <f>_xlfn.XLOOKUP(A818,'[1]Global_Spot Prices'!$B:$B,'[1]Global_Spot Prices'!$E:$E)</f>
        <v/>
      </c>
      <c r="D818">
        <f>_xlfn.XLOOKUP(A818,'[1]Global_Spot Prices'!$B:$B,'[1]Global_Spot Prices'!$D:$D)</f>
        <v>64.144999999999996</v>
      </c>
      <c r="E818">
        <f>_xlfn.XLOOKUP(A818,'[1]Global_Spot Prices'!$B:$B,'[1]Global_Spot Prices'!$H:$H)</f>
        <v>0</v>
      </c>
      <c r="F818">
        <f>_xlfn.XLOOKUP(A818,'[1]Global_Spot Prices'!$B:$B,'[1]Global_Spot Prices'!$I:$I)</f>
        <v>0</v>
      </c>
      <c r="G818" cm="1">
        <f t="array" ref="G818">_xlfn.XLOOKUP(TEXT(A818, "mmm-yy"), TEXT([2]RUNS!$B$5:$B$208, "mmm-yy"), [2]RUNS!$D$5:$D$208, "Not Found")</f>
        <v>29631.52910432596</v>
      </c>
      <c r="H818" cm="1">
        <f t="array" ref="H818">SUMPRODUCT(
    --(TEXT('[3]Global Weekly Stock (EWSuez'!$B$4:$B$2000,"mmm-yy")=TEXT(A818,"mmm-yy")),
    '[3]Global Weekly Stock (EWSuez'!$E$4:$E$2000)
/
SUMPRODUCT(
    --(TEXT('[3]Global Weekly Stock (EWSuez'!$B$4:$B$2000,"mmm-yy")=TEXT(A818,"mmm-yy"))
)</f>
        <v>13615.5</v>
      </c>
      <c r="I818">
        <f>_xlfn.XLOOKUP(A818,[1]ForwardDeriv!$D:$D,[1]ForwardDeriv!$AJ:$AJ)</f>
        <v>-0.22999999999998977</v>
      </c>
      <c r="J818" cm="1">
        <f t="array" ref="J818">_xlfn.XLOOKUP(TEXT(A818, "mmm-yy"), TEXT([2]GASOLINE!$B$5:$B$208, "mmm-yy"), [2]GASOLINE!$IR$5:$IR$208, "Not Found")</f>
        <v>138.46339480759127</v>
      </c>
      <c r="K818" cm="1">
        <f t="array" ref="K818">_xlfn.XLOOKUP(TEXT(A818, "mmm-yy"), TEXT([2]GASOLINE!$B$5:$B$208, "mmm-yy"), [2]GASOLINE!$IK$5:$IK$208, "Not Found")</f>
        <v>156.55561095262766</v>
      </c>
      <c r="L818">
        <f t="shared" si="12"/>
        <v>0</v>
      </c>
      <c r="M818" cm="1">
        <f t="array" ref="M818">_xlfn.XLOOKUP(TEXT(A818, "mmm-yy"), TEXT([2]GASOLINE!$B$5:$B$208, "mmm-yy"), [2]GASOLINE!$C$5:$C$208, "Not Found")</f>
        <v>7452.9509863678732</v>
      </c>
      <c r="N818" cm="1">
        <f t="array" ref="N818">_xlfn.XLOOKUP(TEXT(A818, "mmm-yy"), TEXT([2]RUNS!$B$5:$B$208, "mmm-yy"), [2]RUNS!$BM$5:$BM$208, "Not Found")</f>
        <v>0.84990790331472676</v>
      </c>
    </row>
    <row r="819" spans="1:14" x14ac:dyDescent="0.25">
      <c r="A819" s="1">
        <f>'[1]Global_Spot Prices'!$B2128</f>
        <v>43150</v>
      </c>
      <c r="B819">
        <f>_xlfn.XLOOKUP(A819,'[1]Global_Spot Prices'!$B:$B,'[1]Global_Spot Prices'!$BS:$BS)</f>
        <v>11.059999999999995</v>
      </c>
      <c r="C819">
        <f>_xlfn.XLOOKUP(A819,'[1]Global_Spot Prices'!$B:$B,'[1]Global_Spot Prices'!$E:$E)</f>
        <v>61.74</v>
      </c>
      <c r="D819">
        <f>_xlfn.XLOOKUP(A819,'[1]Global_Spot Prices'!$B:$B,'[1]Global_Spot Prices'!$D:$D)</f>
        <v>64.915000000000006</v>
      </c>
      <c r="E819">
        <f>_xlfn.XLOOKUP(A819,'[1]Global_Spot Prices'!$B:$B,'[1]Global_Spot Prices'!$H:$H)</f>
        <v>60.88</v>
      </c>
      <c r="F819">
        <f>_xlfn.XLOOKUP(A819,'[1]Global_Spot Prices'!$B:$B,'[1]Global_Spot Prices'!$I:$I)</f>
        <v>72.8</v>
      </c>
      <c r="G819" cm="1">
        <f t="array" ref="G819">_xlfn.XLOOKUP(TEXT(A819, "mmm-yy"), TEXT([2]RUNS!$B$5:$B$208, "mmm-yy"), [2]RUNS!$D$5:$D$208, "Not Found")</f>
        <v>29631.52910432596</v>
      </c>
      <c r="H819" cm="1">
        <f t="array" ref="H819">SUMPRODUCT(
    --(TEXT('[3]Global Weekly Stock (EWSuez'!$B$4:$B$2000,"mmm-yy")=TEXT(A819,"mmm-yy")),
    '[3]Global Weekly Stock (EWSuez'!$E$4:$E$2000)
/
SUMPRODUCT(
    --(TEXT('[3]Global Weekly Stock (EWSuez'!$B$4:$B$2000,"mmm-yy")=TEXT(A819,"mmm-yy"))
)</f>
        <v>13615.5</v>
      </c>
      <c r="I819">
        <f>_xlfn.XLOOKUP(A819,[1]ForwardDeriv!$D:$D,[1]ForwardDeriv!$AJ:$AJ)</f>
        <v>-0.22999999999998977</v>
      </c>
      <c r="J819" cm="1">
        <f t="array" ref="J819">_xlfn.XLOOKUP(TEXT(A819, "mmm-yy"), TEXT([2]GASOLINE!$B$5:$B$208, "mmm-yy"), [2]GASOLINE!$IR$5:$IR$208, "Not Found")</f>
        <v>138.46339480759127</v>
      </c>
      <c r="K819" cm="1">
        <f t="array" ref="K819">_xlfn.XLOOKUP(TEXT(A819, "mmm-yy"), TEXT([2]GASOLINE!$B$5:$B$208, "mmm-yy"), [2]GASOLINE!$IK$5:$IK$208, "Not Found")</f>
        <v>156.55561095262766</v>
      </c>
      <c r="L819">
        <f t="shared" si="12"/>
        <v>0</v>
      </c>
      <c r="M819" cm="1">
        <f t="array" ref="M819">_xlfn.XLOOKUP(TEXT(A819, "mmm-yy"), TEXT([2]GASOLINE!$B$5:$B$208, "mmm-yy"), [2]GASOLINE!$C$5:$C$208, "Not Found")</f>
        <v>7452.9509863678732</v>
      </c>
      <c r="N819" cm="1">
        <f t="array" ref="N819">_xlfn.XLOOKUP(TEXT(A819, "mmm-yy"), TEXT([2]RUNS!$B$5:$B$208, "mmm-yy"), [2]RUNS!$BM$5:$BM$208, "Not Found")</f>
        <v>0.84990790331472676</v>
      </c>
    </row>
    <row r="820" spans="1:14" x14ac:dyDescent="0.25">
      <c r="A820" s="1">
        <f>'[1]Global_Spot Prices'!$B2129</f>
        <v>43151</v>
      </c>
      <c r="B820">
        <f>_xlfn.XLOOKUP(A820,'[1]Global_Spot Prices'!$B:$B,'[1]Global_Spot Prices'!$BS:$BS)</f>
        <v>11.270000000000003</v>
      </c>
      <c r="C820">
        <f>_xlfn.XLOOKUP(A820,'[1]Global_Spot Prices'!$B:$B,'[1]Global_Spot Prices'!$E:$E)</f>
        <v>62.01</v>
      </c>
      <c r="D820">
        <f>_xlfn.XLOOKUP(A820,'[1]Global_Spot Prices'!$B:$B,'[1]Global_Spot Prices'!$D:$D)</f>
        <v>64.33</v>
      </c>
      <c r="E820">
        <f>_xlfn.XLOOKUP(A820,'[1]Global_Spot Prices'!$B:$B,'[1]Global_Spot Prices'!$H:$H)</f>
        <v>60.71</v>
      </c>
      <c r="F820">
        <f>_xlfn.XLOOKUP(A820,'[1]Global_Spot Prices'!$B:$B,'[1]Global_Spot Prices'!$I:$I)</f>
        <v>73.28</v>
      </c>
      <c r="G820" cm="1">
        <f t="array" ref="G820">_xlfn.XLOOKUP(TEXT(A820, "mmm-yy"), TEXT([2]RUNS!$B$5:$B$208, "mmm-yy"), [2]RUNS!$D$5:$D$208, "Not Found")</f>
        <v>29631.52910432596</v>
      </c>
      <c r="H820" cm="1">
        <f t="array" ref="H820">SUMPRODUCT(
    --(TEXT('[3]Global Weekly Stock (EWSuez'!$B$4:$B$2000,"mmm-yy")=TEXT(A820,"mmm-yy")),
    '[3]Global Weekly Stock (EWSuez'!$E$4:$E$2000)
/
SUMPRODUCT(
    --(TEXT('[3]Global Weekly Stock (EWSuez'!$B$4:$B$2000,"mmm-yy")=TEXT(A820,"mmm-yy"))
)</f>
        <v>13615.5</v>
      </c>
      <c r="I820">
        <f>_xlfn.XLOOKUP(A820,[1]ForwardDeriv!$D:$D,[1]ForwardDeriv!$AJ:$AJ)</f>
        <v>-0.26999999999999602</v>
      </c>
      <c r="J820" cm="1">
        <f t="array" ref="J820">_xlfn.XLOOKUP(TEXT(A820, "mmm-yy"), TEXT([2]GASOLINE!$B$5:$B$208, "mmm-yy"), [2]GASOLINE!$IR$5:$IR$208, "Not Found")</f>
        <v>138.46339480759127</v>
      </c>
      <c r="K820" cm="1">
        <f t="array" ref="K820">_xlfn.XLOOKUP(TEXT(A820, "mmm-yy"), TEXT([2]GASOLINE!$B$5:$B$208, "mmm-yy"), [2]GASOLINE!$IK$5:$IK$208, "Not Found")</f>
        <v>156.55561095262766</v>
      </c>
      <c r="L820">
        <f t="shared" si="12"/>
        <v>0</v>
      </c>
      <c r="M820" cm="1">
        <f t="array" ref="M820">_xlfn.XLOOKUP(TEXT(A820, "mmm-yy"), TEXT([2]GASOLINE!$B$5:$B$208, "mmm-yy"), [2]GASOLINE!$C$5:$C$208, "Not Found")</f>
        <v>7452.9509863678732</v>
      </c>
      <c r="N820" cm="1">
        <f t="array" ref="N820">_xlfn.XLOOKUP(TEXT(A820, "mmm-yy"), TEXT([2]RUNS!$B$5:$B$208, "mmm-yy"), [2]RUNS!$BM$5:$BM$208, "Not Found")</f>
        <v>0.84990790331472676</v>
      </c>
    </row>
    <row r="821" spans="1:14" x14ac:dyDescent="0.25">
      <c r="A821" s="1">
        <f>'[1]Global_Spot Prices'!$B2130</f>
        <v>43152</v>
      </c>
      <c r="B821">
        <f>_xlfn.XLOOKUP(A821,'[1]Global_Spot Prices'!$B:$B,'[1]Global_Spot Prices'!$BS:$BS)</f>
        <v>10.744999999999997</v>
      </c>
      <c r="C821">
        <f>_xlfn.XLOOKUP(A821,'[1]Global_Spot Prices'!$B:$B,'[1]Global_Spot Prices'!$E:$E)</f>
        <v>61.255000000000003</v>
      </c>
      <c r="D821">
        <f>_xlfn.XLOOKUP(A821,'[1]Global_Spot Prices'!$B:$B,'[1]Global_Spot Prices'!$D:$D)</f>
        <v>64.760000000000005</v>
      </c>
      <c r="E821">
        <f>_xlfn.XLOOKUP(A821,'[1]Global_Spot Prices'!$B:$B,'[1]Global_Spot Prices'!$H:$H)</f>
        <v>59.79</v>
      </c>
      <c r="F821">
        <f>_xlfn.XLOOKUP(A821,'[1]Global_Spot Prices'!$B:$B,'[1]Global_Spot Prices'!$I:$I)</f>
        <v>72</v>
      </c>
      <c r="G821" cm="1">
        <f t="array" ref="G821">_xlfn.XLOOKUP(TEXT(A821, "mmm-yy"), TEXT([2]RUNS!$B$5:$B$208, "mmm-yy"), [2]RUNS!$D$5:$D$208, "Not Found")</f>
        <v>29631.52910432596</v>
      </c>
      <c r="H821" cm="1">
        <f t="array" ref="H821">SUMPRODUCT(
    --(TEXT('[3]Global Weekly Stock (EWSuez'!$B$4:$B$2000,"mmm-yy")=TEXT(A821,"mmm-yy")),
    '[3]Global Weekly Stock (EWSuez'!$E$4:$E$2000)
/
SUMPRODUCT(
    --(TEXT('[3]Global Weekly Stock (EWSuez'!$B$4:$B$2000,"mmm-yy")=TEXT(A821,"mmm-yy"))
)</f>
        <v>13615.5</v>
      </c>
      <c r="I821">
        <f>_xlfn.XLOOKUP(A821,[1]ForwardDeriv!$D:$D,[1]ForwardDeriv!$AJ:$AJ)</f>
        <v>-0.35999999999999943</v>
      </c>
      <c r="J821" cm="1">
        <f t="array" ref="J821">_xlfn.XLOOKUP(TEXT(A821, "mmm-yy"), TEXT([2]GASOLINE!$B$5:$B$208, "mmm-yy"), [2]GASOLINE!$IR$5:$IR$208, "Not Found")</f>
        <v>138.46339480759127</v>
      </c>
      <c r="K821" cm="1">
        <f t="array" ref="K821">_xlfn.XLOOKUP(TEXT(A821, "mmm-yy"), TEXT([2]GASOLINE!$B$5:$B$208, "mmm-yy"), [2]GASOLINE!$IK$5:$IK$208, "Not Found")</f>
        <v>156.55561095262766</v>
      </c>
      <c r="L821">
        <f t="shared" si="12"/>
        <v>0</v>
      </c>
      <c r="M821" cm="1">
        <f t="array" ref="M821">_xlfn.XLOOKUP(TEXT(A821, "mmm-yy"), TEXT([2]GASOLINE!$B$5:$B$208, "mmm-yy"), [2]GASOLINE!$C$5:$C$208, "Not Found")</f>
        <v>7452.9509863678732</v>
      </c>
      <c r="N821" cm="1">
        <f t="array" ref="N821">_xlfn.XLOOKUP(TEXT(A821, "mmm-yy"), TEXT([2]RUNS!$B$5:$B$208, "mmm-yy"), [2]RUNS!$BM$5:$BM$208, "Not Found")</f>
        <v>0.84990790331472676</v>
      </c>
    </row>
    <row r="822" spans="1:14" x14ac:dyDescent="0.25">
      <c r="A822" s="1">
        <f>'[1]Global_Spot Prices'!$B2131</f>
        <v>43153</v>
      </c>
      <c r="B822">
        <f>_xlfn.XLOOKUP(A822,'[1]Global_Spot Prices'!$B:$B,'[1]Global_Spot Prices'!$BS:$BS)</f>
        <v>10.799999999999997</v>
      </c>
      <c r="C822">
        <f>_xlfn.XLOOKUP(A822,'[1]Global_Spot Prices'!$B:$B,'[1]Global_Spot Prices'!$E:$E)</f>
        <v>61.61</v>
      </c>
      <c r="D822">
        <f>_xlfn.XLOOKUP(A822,'[1]Global_Spot Prices'!$B:$B,'[1]Global_Spot Prices'!$D:$D)</f>
        <v>65.86</v>
      </c>
      <c r="E822">
        <f>_xlfn.XLOOKUP(A822,'[1]Global_Spot Prices'!$B:$B,'[1]Global_Spot Prices'!$H:$H)</f>
        <v>60</v>
      </c>
      <c r="F822">
        <f>_xlfn.XLOOKUP(A822,'[1]Global_Spot Prices'!$B:$B,'[1]Global_Spot Prices'!$I:$I)</f>
        <v>72.41</v>
      </c>
      <c r="G822" cm="1">
        <f t="array" ref="G822">_xlfn.XLOOKUP(TEXT(A822, "mmm-yy"), TEXT([2]RUNS!$B$5:$B$208, "mmm-yy"), [2]RUNS!$D$5:$D$208, "Not Found")</f>
        <v>29631.52910432596</v>
      </c>
      <c r="H822" cm="1">
        <f t="array" ref="H822">SUMPRODUCT(
    --(TEXT('[3]Global Weekly Stock (EWSuez'!$B$4:$B$2000,"mmm-yy")=TEXT(A822,"mmm-yy")),
    '[3]Global Weekly Stock (EWSuez'!$E$4:$E$2000)
/
SUMPRODUCT(
    --(TEXT('[3]Global Weekly Stock (EWSuez'!$B$4:$B$2000,"mmm-yy")=TEXT(A822,"mmm-yy"))
)</f>
        <v>13615.5</v>
      </c>
      <c r="I822">
        <f>_xlfn.XLOOKUP(A822,[1]ForwardDeriv!$D:$D,[1]ForwardDeriv!$AJ:$AJ)</f>
        <v>-0.39000000000000057</v>
      </c>
      <c r="J822" cm="1">
        <f t="array" ref="J822">_xlfn.XLOOKUP(TEXT(A822, "mmm-yy"), TEXT([2]GASOLINE!$B$5:$B$208, "mmm-yy"), [2]GASOLINE!$IR$5:$IR$208, "Not Found")</f>
        <v>138.46339480759127</v>
      </c>
      <c r="K822" cm="1">
        <f t="array" ref="K822">_xlfn.XLOOKUP(TEXT(A822, "mmm-yy"), TEXT([2]GASOLINE!$B$5:$B$208, "mmm-yy"), [2]GASOLINE!$IK$5:$IK$208, "Not Found")</f>
        <v>156.55561095262766</v>
      </c>
      <c r="L822">
        <f t="shared" si="12"/>
        <v>0</v>
      </c>
      <c r="M822" cm="1">
        <f t="array" ref="M822">_xlfn.XLOOKUP(TEXT(A822, "mmm-yy"), TEXT([2]GASOLINE!$B$5:$B$208, "mmm-yy"), [2]GASOLINE!$C$5:$C$208, "Not Found")</f>
        <v>7452.9509863678732</v>
      </c>
      <c r="N822" cm="1">
        <f t="array" ref="N822">_xlfn.XLOOKUP(TEXT(A822, "mmm-yy"), TEXT([2]RUNS!$B$5:$B$208, "mmm-yy"), [2]RUNS!$BM$5:$BM$208, "Not Found")</f>
        <v>0.84990790331472676</v>
      </c>
    </row>
    <row r="823" spans="1:14" x14ac:dyDescent="0.25">
      <c r="A823" s="1">
        <f>'[1]Global_Spot Prices'!$B2132</f>
        <v>43154</v>
      </c>
      <c r="B823">
        <f>_xlfn.XLOOKUP(A823,'[1]Global_Spot Prices'!$B:$B,'[1]Global_Spot Prices'!$BS:$BS)</f>
        <v>10.585000000000001</v>
      </c>
      <c r="C823">
        <f>_xlfn.XLOOKUP(A823,'[1]Global_Spot Prices'!$B:$B,'[1]Global_Spot Prices'!$E:$E)</f>
        <v>62.805</v>
      </c>
      <c r="D823">
        <f>_xlfn.XLOOKUP(A823,'[1]Global_Spot Prices'!$B:$B,'[1]Global_Spot Prices'!$D:$D)</f>
        <v>66.375</v>
      </c>
      <c r="E823">
        <f>_xlfn.XLOOKUP(A823,'[1]Global_Spot Prices'!$B:$B,'[1]Global_Spot Prices'!$H:$H)</f>
        <v>61.2</v>
      </c>
      <c r="F823">
        <f>_xlfn.XLOOKUP(A823,'[1]Global_Spot Prices'!$B:$B,'[1]Global_Spot Prices'!$I:$I)</f>
        <v>73.39</v>
      </c>
      <c r="G823" cm="1">
        <f t="array" ref="G823">_xlfn.XLOOKUP(TEXT(A823, "mmm-yy"), TEXT([2]RUNS!$B$5:$B$208, "mmm-yy"), [2]RUNS!$D$5:$D$208, "Not Found")</f>
        <v>29631.52910432596</v>
      </c>
      <c r="H823" cm="1">
        <f t="array" ref="H823">SUMPRODUCT(
    --(TEXT('[3]Global Weekly Stock (EWSuez'!$B$4:$B$2000,"mmm-yy")=TEXT(A823,"mmm-yy")),
    '[3]Global Weekly Stock (EWSuez'!$E$4:$E$2000)
/
SUMPRODUCT(
    --(TEXT('[3]Global Weekly Stock (EWSuez'!$B$4:$B$2000,"mmm-yy")=TEXT(A823,"mmm-yy"))
)</f>
        <v>13615.5</v>
      </c>
      <c r="I823">
        <f>_xlfn.XLOOKUP(A823,[1]ForwardDeriv!$D:$D,[1]ForwardDeriv!$AJ:$AJ)</f>
        <v>-0.40999999999999659</v>
      </c>
      <c r="J823" cm="1">
        <f t="array" ref="J823">_xlfn.XLOOKUP(TEXT(A823, "mmm-yy"), TEXT([2]GASOLINE!$B$5:$B$208, "mmm-yy"), [2]GASOLINE!$IR$5:$IR$208, "Not Found")</f>
        <v>138.46339480759127</v>
      </c>
      <c r="K823" cm="1">
        <f t="array" ref="K823">_xlfn.XLOOKUP(TEXT(A823, "mmm-yy"), TEXT([2]GASOLINE!$B$5:$B$208, "mmm-yy"), [2]GASOLINE!$IK$5:$IK$208, "Not Found")</f>
        <v>156.55561095262766</v>
      </c>
      <c r="L823">
        <f t="shared" si="12"/>
        <v>0</v>
      </c>
      <c r="M823" cm="1">
        <f t="array" ref="M823">_xlfn.XLOOKUP(TEXT(A823, "mmm-yy"), TEXT([2]GASOLINE!$B$5:$B$208, "mmm-yy"), [2]GASOLINE!$C$5:$C$208, "Not Found")</f>
        <v>7452.9509863678732</v>
      </c>
      <c r="N823" cm="1">
        <f t="array" ref="N823">_xlfn.XLOOKUP(TEXT(A823, "mmm-yy"), TEXT([2]RUNS!$B$5:$B$208, "mmm-yy"), [2]RUNS!$BM$5:$BM$208, "Not Found")</f>
        <v>0.84990790331472676</v>
      </c>
    </row>
    <row r="824" spans="1:14" x14ac:dyDescent="0.25">
      <c r="A824" s="1">
        <f>'[1]Global_Spot Prices'!$B2133</f>
        <v>43157</v>
      </c>
      <c r="B824">
        <f>_xlfn.XLOOKUP(A824,'[1]Global_Spot Prices'!$B:$B,'[1]Global_Spot Prices'!$BS:$BS)</f>
        <v>10.830000000000005</v>
      </c>
      <c r="C824">
        <f>_xlfn.XLOOKUP(A824,'[1]Global_Spot Prices'!$B:$B,'[1]Global_Spot Prices'!$E:$E)</f>
        <v>63.93</v>
      </c>
      <c r="D824">
        <f>_xlfn.XLOOKUP(A824,'[1]Global_Spot Prices'!$B:$B,'[1]Global_Spot Prices'!$D:$D)</f>
        <v>67.64</v>
      </c>
      <c r="E824">
        <f>_xlfn.XLOOKUP(A824,'[1]Global_Spot Prices'!$B:$B,'[1]Global_Spot Prices'!$H:$H)</f>
        <v>62.28</v>
      </c>
      <c r="F824">
        <f>_xlfn.XLOOKUP(A824,'[1]Global_Spot Prices'!$B:$B,'[1]Global_Spot Prices'!$I:$I)</f>
        <v>74.760000000000005</v>
      </c>
      <c r="G824" cm="1">
        <f t="array" ref="G824">_xlfn.XLOOKUP(TEXT(A824, "mmm-yy"), TEXT([2]RUNS!$B$5:$B$208, "mmm-yy"), [2]RUNS!$D$5:$D$208, "Not Found")</f>
        <v>29631.52910432596</v>
      </c>
      <c r="H824" cm="1">
        <f t="array" ref="H824">SUMPRODUCT(
    --(TEXT('[3]Global Weekly Stock (EWSuez'!$B$4:$B$2000,"mmm-yy")=TEXT(A824,"mmm-yy")),
    '[3]Global Weekly Stock (EWSuez'!$E$4:$E$2000)
/
SUMPRODUCT(
    --(TEXT('[3]Global Weekly Stock (EWSuez'!$B$4:$B$2000,"mmm-yy")=TEXT(A824,"mmm-yy"))
)</f>
        <v>13615.5</v>
      </c>
      <c r="I824">
        <f>_xlfn.XLOOKUP(A824,[1]ForwardDeriv!$D:$D,[1]ForwardDeriv!$AJ:$AJ)</f>
        <v>-0.42000000000000171</v>
      </c>
      <c r="J824" cm="1">
        <f t="array" ref="J824">_xlfn.XLOOKUP(TEXT(A824, "mmm-yy"), TEXT([2]GASOLINE!$B$5:$B$208, "mmm-yy"), [2]GASOLINE!$IR$5:$IR$208, "Not Found")</f>
        <v>138.46339480759127</v>
      </c>
      <c r="K824" cm="1">
        <f t="array" ref="K824">_xlfn.XLOOKUP(TEXT(A824, "mmm-yy"), TEXT([2]GASOLINE!$B$5:$B$208, "mmm-yy"), [2]GASOLINE!$IK$5:$IK$208, "Not Found")</f>
        <v>156.55561095262766</v>
      </c>
      <c r="L824">
        <f t="shared" si="12"/>
        <v>0</v>
      </c>
      <c r="M824" cm="1">
        <f t="array" ref="M824">_xlfn.XLOOKUP(TEXT(A824, "mmm-yy"), TEXT([2]GASOLINE!$B$5:$B$208, "mmm-yy"), [2]GASOLINE!$C$5:$C$208, "Not Found")</f>
        <v>7452.9509863678732</v>
      </c>
      <c r="N824" cm="1">
        <f t="array" ref="N824">_xlfn.XLOOKUP(TEXT(A824, "mmm-yy"), TEXT([2]RUNS!$B$5:$B$208, "mmm-yy"), [2]RUNS!$BM$5:$BM$208, "Not Found")</f>
        <v>0.84990790331472676</v>
      </c>
    </row>
    <row r="825" spans="1:14" x14ac:dyDescent="0.25">
      <c r="A825" s="1">
        <f>'[1]Global_Spot Prices'!$B2134</f>
        <v>43158</v>
      </c>
      <c r="B825">
        <f>_xlfn.XLOOKUP(A825,'[1]Global_Spot Prices'!$B:$B,'[1]Global_Spot Prices'!$BS:$BS)</f>
        <v>11.049999999999997</v>
      </c>
      <c r="C825">
        <f>_xlfn.XLOOKUP(A825,'[1]Global_Spot Prices'!$B:$B,'[1]Global_Spot Prices'!$E:$E)</f>
        <v>64.010000000000005</v>
      </c>
      <c r="D825">
        <f>_xlfn.XLOOKUP(A825,'[1]Global_Spot Prices'!$B:$B,'[1]Global_Spot Prices'!$D:$D)</f>
        <v>67.174999999999997</v>
      </c>
      <c r="E825">
        <f>_xlfn.XLOOKUP(A825,'[1]Global_Spot Prices'!$B:$B,'[1]Global_Spot Prices'!$H:$H)</f>
        <v>62.56</v>
      </c>
      <c r="F825">
        <f>_xlfn.XLOOKUP(A825,'[1]Global_Spot Prices'!$B:$B,'[1]Global_Spot Prices'!$I:$I)</f>
        <v>75.06</v>
      </c>
      <c r="G825" cm="1">
        <f t="array" ref="G825">_xlfn.XLOOKUP(TEXT(A825, "mmm-yy"), TEXT([2]RUNS!$B$5:$B$208, "mmm-yy"), [2]RUNS!$D$5:$D$208, "Not Found")</f>
        <v>29631.52910432596</v>
      </c>
      <c r="H825" cm="1">
        <f t="array" ref="H825">SUMPRODUCT(
    --(TEXT('[3]Global Weekly Stock (EWSuez'!$B$4:$B$2000,"mmm-yy")=TEXT(A825,"mmm-yy")),
    '[3]Global Weekly Stock (EWSuez'!$E$4:$E$2000)
/
SUMPRODUCT(
    --(TEXT('[3]Global Weekly Stock (EWSuez'!$B$4:$B$2000,"mmm-yy")=TEXT(A825,"mmm-yy"))
)</f>
        <v>13615.5</v>
      </c>
      <c r="I825">
        <f>_xlfn.XLOOKUP(A825,[1]ForwardDeriv!$D:$D,[1]ForwardDeriv!$AJ:$AJ)</f>
        <v>-0.37000000000000455</v>
      </c>
      <c r="J825" cm="1">
        <f t="array" ref="J825">_xlfn.XLOOKUP(TEXT(A825, "mmm-yy"), TEXT([2]GASOLINE!$B$5:$B$208, "mmm-yy"), [2]GASOLINE!$IR$5:$IR$208, "Not Found")</f>
        <v>138.46339480759127</v>
      </c>
      <c r="K825" cm="1">
        <f t="array" ref="K825">_xlfn.XLOOKUP(TEXT(A825, "mmm-yy"), TEXT([2]GASOLINE!$B$5:$B$208, "mmm-yy"), [2]GASOLINE!$IK$5:$IK$208, "Not Found")</f>
        <v>156.55561095262766</v>
      </c>
      <c r="L825">
        <f t="shared" si="12"/>
        <v>0</v>
      </c>
      <c r="M825" cm="1">
        <f t="array" ref="M825">_xlfn.XLOOKUP(TEXT(A825, "mmm-yy"), TEXT([2]GASOLINE!$B$5:$B$208, "mmm-yy"), [2]GASOLINE!$C$5:$C$208, "Not Found")</f>
        <v>7452.9509863678732</v>
      </c>
      <c r="N825" cm="1">
        <f t="array" ref="N825">_xlfn.XLOOKUP(TEXT(A825, "mmm-yy"), TEXT([2]RUNS!$B$5:$B$208, "mmm-yy"), [2]RUNS!$BM$5:$BM$208, "Not Found")</f>
        <v>0.84990790331472676</v>
      </c>
    </row>
    <row r="826" spans="1:14" x14ac:dyDescent="0.25">
      <c r="A826" s="1">
        <f>'[1]Global_Spot Prices'!$B2135</f>
        <v>43159</v>
      </c>
      <c r="B826">
        <f>_xlfn.XLOOKUP(A826,'[1]Global_Spot Prices'!$B:$B,'[1]Global_Spot Prices'!$BS:$BS)</f>
        <v>11.810000000000002</v>
      </c>
      <c r="C826">
        <f>_xlfn.XLOOKUP(A826,'[1]Global_Spot Prices'!$B:$B,'[1]Global_Spot Prices'!$E:$E)</f>
        <v>63.2</v>
      </c>
      <c r="D826">
        <f>_xlfn.XLOOKUP(A826,'[1]Global_Spot Prices'!$B:$B,'[1]Global_Spot Prices'!$D:$D)</f>
        <v>65.73</v>
      </c>
      <c r="E826">
        <f>_xlfn.XLOOKUP(A826,'[1]Global_Spot Prices'!$B:$B,'[1]Global_Spot Prices'!$H:$H)</f>
        <v>62.53</v>
      </c>
      <c r="F826">
        <f>_xlfn.XLOOKUP(A826,'[1]Global_Spot Prices'!$B:$B,'[1]Global_Spot Prices'!$I:$I)</f>
        <v>75.010000000000005</v>
      </c>
      <c r="G826" cm="1">
        <f t="array" ref="G826">_xlfn.XLOOKUP(TEXT(A826, "mmm-yy"), TEXT([2]RUNS!$B$5:$B$208, "mmm-yy"), [2]RUNS!$D$5:$D$208, "Not Found")</f>
        <v>29631.52910432596</v>
      </c>
      <c r="H826" cm="1">
        <f t="array" ref="H826">SUMPRODUCT(
    --(TEXT('[3]Global Weekly Stock (EWSuez'!$B$4:$B$2000,"mmm-yy")=TEXT(A826,"mmm-yy")),
    '[3]Global Weekly Stock (EWSuez'!$E$4:$E$2000)
/
SUMPRODUCT(
    --(TEXT('[3]Global Weekly Stock (EWSuez'!$B$4:$B$2000,"mmm-yy")=TEXT(A826,"mmm-yy"))
)</f>
        <v>13615.5</v>
      </c>
      <c r="I826">
        <f>_xlfn.XLOOKUP(A826,[1]ForwardDeriv!$D:$D,[1]ForwardDeriv!$AJ:$AJ)</f>
        <v>-0.25999999999999091</v>
      </c>
      <c r="J826" cm="1">
        <f t="array" ref="J826">_xlfn.XLOOKUP(TEXT(A826, "mmm-yy"), TEXT([2]GASOLINE!$B$5:$B$208, "mmm-yy"), [2]GASOLINE!$IR$5:$IR$208, "Not Found")</f>
        <v>138.46339480759127</v>
      </c>
      <c r="K826" cm="1">
        <f t="array" ref="K826">_xlfn.XLOOKUP(TEXT(A826, "mmm-yy"), TEXT([2]GASOLINE!$B$5:$B$208, "mmm-yy"), [2]GASOLINE!$IK$5:$IK$208, "Not Found")</f>
        <v>156.55561095262766</v>
      </c>
      <c r="L826">
        <f t="shared" si="12"/>
        <v>0</v>
      </c>
      <c r="M826" cm="1">
        <f t="array" ref="M826">_xlfn.XLOOKUP(TEXT(A826, "mmm-yy"), TEXT([2]GASOLINE!$B$5:$B$208, "mmm-yy"), [2]GASOLINE!$C$5:$C$208, "Not Found")</f>
        <v>7452.9509863678732</v>
      </c>
      <c r="N826" cm="1">
        <f t="array" ref="N826">_xlfn.XLOOKUP(TEXT(A826, "mmm-yy"), TEXT([2]RUNS!$B$5:$B$208, "mmm-yy"), [2]RUNS!$BM$5:$BM$208, "Not Found")</f>
        <v>0.84990790331472676</v>
      </c>
    </row>
    <row r="827" spans="1:14" x14ac:dyDescent="0.25">
      <c r="A827" s="1">
        <f>'[1]Global_Spot Prices'!$B2136</f>
        <v>43160</v>
      </c>
      <c r="B827">
        <f>_xlfn.XLOOKUP(A827,'[1]Global_Spot Prices'!$B:$B,'[1]Global_Spot Prices'!$BS:$BS)</f>
        <v>12.290000000000006</v>
      </c>
      <c r="C827">
        <f>_xlfn.XLOOKUP(A827,'[1]Global_Spot Prices'!$B:$B,'[1]Global_Spot Prices'!$E:$E)</f>
        <v>61.36</v>
      </c>
      <c r="D827">
        <f>_xlfn.XLOOKUP(A827,'[1]Global_Spot Prices'!$B:$B,'[1]Global_Spot Prices'!$D:$D)</f>
        <v>64.06</v>
      </c>
      <c r="E827">
        <f>_xlfn.XLOOKUP(A827,'[1]Global_Spot Prices'!$B:$B,'[1]Global_Spot Prices'!$H:$H)</f>
        <v>61.6</v>
      </c>
      <c r="F827">
        <f>_xlfn.XLOOKUP(A827,'[1]Global_Spot Prices'!$B:$B,'[1]Global_Spot Prices'!$I:$I)</f>
        <v>73.650000000000006</v>
      </c>
      <c r="G827" cm="1">
        <f t="array" ref="G827">_xlfn.XLOOKUP(TEXT(A827, "mmm-yy"), TEXT([2]RUNS!$B$5:$B$208, "mmm-yy"), [2]RUNS!$D$5:$D$208, "Not Found")</f>
        <v>28961.125068258225</v>
      </c>
      <c r="H827" cm="1">
        <f t="array" ref="H827">SUMPRODUCT(
    --(TEXT('[3]Global Weekly Stock (EWSuez'!$B$4:$B$2000,"mmm-yy")=TEXT(A827,"mmm-yy")),
    '[3]Global Weekly Stock (EWSuez'!$E$4:$E$2000)
/
SUMPRODUCT(
    --(TEXT('[3]Global Weekly Stock (EWSuez'!$B$4:$B$2000,"mmm-yy")=TEXT(A827,"mmm-yy"))
)</f>
        <v>14820.8</v>
      </c>
      <c r="I827">
        <f>_xlfn.XLOOKUP(A827,[1]ForwardDeriv!$D:$D,[1]ForwardDeriv!$AJ:$AJ)</f>
        <v>-1.9999999999996021E-2</v>
      </c>
      <c r="J827" cm="1">
        <f t="array" ref="J827">_xlfn.XLOOKUP(TEXT(A827, "mmm-yy"), TEXT([2]GASOLINE!$B$5:$B$208, "mmm-yy"), [2]GASOLINE!$IR$5:$IR$208, "Not Found")</f>
        <v>177.80389539276916</v>
      </c>
      <c r="K827" cm="1">
        <f t="array" ref="K827">_xlfn.XLOOKUP(TEXT(A827, "mmm-yy"), TEXT([2]GASOLINE!$B$5:$B$208, "mmm-yy"), [2]GASOLINE!$IK$5:$IK$208, "Not Found")</f>
        <v>156.39127600319827</v>
      </c>
      <c r="L827">
        <f t="shared" si="12"/>
        <v>0</v>
      </c>
      <c r="M827" cm="1">
        <f t="array" ref="M827">_xlfn.XLOOKUP(TEXT(A827, "mmm-yy"), TEXT([2]GASOLINE!$B$5:$B$208, "mmm-yy"), [2]GASOLINE!$C$5:$C$208, "Not Found")</f>
        <v>7180.2318080190062</v>
      </c>
      <c r="N827" cm="1">
        <f t="array" ref="N827">_xlfn.XLOOKUP(TEXT(A827, "mmm-yy"), TEXT([2]RUNS!$B$5:$B$208, "mmm-yy"), [2]RUNS!$BM$5:$BM$208, "Not Found")</f>
        <v>0.83103416313744005</v>
      </c>
    </row>
    <row r="828" spans="1:14" x14ac:dyDescent="0.25">
      <c r="A828" s="1">
        <f>'[1]Global_Spot Prices'!$B2137</f>
        <v>43161</v>
      </c>
      <c r="B828">
        <f>_xlfn.XLOOKUP(A828,'[1]Global_Spot Prices'!$B:$B,'[1]Global_Spot Prices'!$BS:$BS)</f>
        <v>12.120000000000005</v>
      </c>
      <c r="C828">
        <f>_xlfn.XLOOKUP(A828,'[1]Global_Spot Prices'!$B:$B,'[1]Global_Spot Prices'!$E:$E)</f>
        <v>60.31</v>
      </c>
      <c r="D828">
        <f>_xlfn.XLOOKUP(A828,'[1]Global_Spot Prices'!$B:$B,'[1]Global_Spot Prices'!$D:$D)</f>
        <v>64.194999999999993</v>
      </c>
      <c r="E828">
        <f>_xlfn.XLOOKUP(A828,'[1]Global_Spot Prices'!$B:$B,'[1]Global_Spot Prices'!$H:$H)</f>
        <v>60.77</v>
      </c>
      <c r="F828">
        <f>_xlfn.XLOOKUP(A828,'[1]Global_Spot Prices'!$B:$B,'[1]Global_Spot Prices'!$I:$I)</f>
        <v>72.430000000000007</v>
      </c>
      <c r="G828" cm="1">
        <f t="array" ref="G828">_xlfn.XLOOKUP(TEXT(A828, "mmm-yy"), TEXT([2]RUNS!$B$5:$B$208, "mmm-yy"), [2]RUNS!$D$5:$D$208, "Not Found")</f>
        <v>28961.125068258225</v>
      </c>
      <c r="H828" cm="1">
        <f t="array" ref="H828">SUMPRODUCT(
    --(TEXT('[3]Global Weekly Stock (EWSuez'!$B$4:$B$2000,"mmm-yy")=TEXT(A828,"mmm-yy")),
    '[3]Global Weekly Stock (EWSuez'!$E$4:$E$2000)
/
SUMPRODUCT(
    --(TEXT('[3]Global Weekly Stock (EWSuez'!$B$4:$B$2000,"mmm-yy")=TEXT(A828,"mmm-yy"))
)</f>
        <v>14820.8</v>
      </c>
      <c r="I828">
        <f>_xlfn.XLOOKUP(A828,[1]ForwardDeriv!$D:$D,[1]ForwardDeriv!$AJ:$AJ)</f>
        <v>3.0000000000001137E-2</v>
      </c>
      <c r="J828" cm="1">
        <f t="array" ref="J828">_xlfn.XLOOKUP(TEXT(A828, "mmm-yy"), TEXT([2]GASOLINE!$B$5:$B$208, "mmm-yy"), [2]GASOLINE!$IR$5:$IR$208, "Not Found")</f>
        <v>177.80389539276916</v>
      </c>
      <c r="K828" cm="1">
        <f t="array" ref="K828">_xlfn.XLOOKUP(TEXT(A828, "mmm-yy"), TEXT([2]GASOLINE!$B$5:$B$208, "mmm-yy"), [2]GASOLINE!$IK$5:$IK$208, "Not Found")</f>
        <v>156.39127600319827</v>
      </c>
      <c r="L828">
        <f t="shared" si="12"/>
        <v>0</v>
      </c>
      <c r="M828" cm="1">
        <f t="array" ref="M828">_xlfn.XLOOKUP(TEXT(A828, "mmm-yy"), TEXT([2]GASOLINE!$B$5:$B$208, "mmm-yy"), [2]GASOLINE!$C$5:$C$208, "Not Found")</f>
        <v>7180.2318080190062</v>
      </c>
      <c r="N828" cm="1">
        <f t="array" ref="N828">_xlfn.XLOOKUP(TEXT(A828, "mmm-yy"), TEXT([2]RUNS!$B$5:$B$208, "mmm-yy"), [2]RUNS!$BM$5:$BM$208, "Not Found")</f>
        <v>0.83103416313744005</v>
      </c>
    </row>
    <row r="829" spans="1:14" x14ac:dyDescent="0.25">
      <c r="A829" s="1">
        <f>'[1]Global_Spot Prices'!$B2138</f>
        <v>43164</v>
      </c>
      <c r="B829">
        <f>_xlfn.XLOOKUP(A829,'[1]Global_Spot Prices'!$B:$B,'[1]Global_Spot Prices'!$BS:$BS)</f>
        <v>11.875</v>
      </c>
      <c r="C829">
        <f>_xlfn.XLOOKUP(A829,'[1]Global_Spot Prices'!$B:$B,'[1]Global_Spot Prices'!$E:$E)</f>
        <v>61.375</v>
      </c>
      <c r="D829">
        <f>_xlfn.XLOOKUP(A829,'[1]Global_Spot Prices'!$B:$B,'[1]Global_Spot Prices'!$D:$D)</f>
        <v>65.849999999999994</v>
      </c>
      <c r="E829">
        <f>_xlfn.XLOOKUP(A829,'[1]Global_Spot Prices'!$B:$B,'[1]Global_Spot Prices'!$H:$H)</f>
        <v>61.9</v>
      </c>
      <c r="F829">
        <f>_xlfn.XLOOKUP(A829,'[1]Global_Spot Prices'!$B:$B,'[1]Global_Spot Prices'!$I:$I)</f>
        <v>73.25</v>
      </c>
      <c r="G829" cm="1">
        <f t="array" ref="G829">_xlfn.XLOOKUP(TEXT(A829, "mmm-yy"), TEXT([2]RUNS!$B$5:$B$208, "mmm-yy"), [2]RUNS!$D$5:$D$208, "Not Found")</f>
        <v>28961.125068258225</v>
      </c>
      <c r="H829" cm="1">
        <f t="array" ref="H829">SUMPRODUCT(
    --(TEXT('[3]Global Weekly Stock (EWSuez'!$B$4:$B$2000,"mmm-yy")=TEXT(A829,"mmm-yy")),
    '[3]Global Weekly Stock (EWSuez'!$E$4:$E$2000)
/
SUMPRODUCT(
    --(TEXT('[3]Global Weekly Stock (EWSuez'!$B$4:$B$2000,"mmm-yy")=TEXT(A829,"mmm-yy"))
)</f>
        <v>14820.8</v>
      </c>
      <c r="I829">
        <f>_xlfn.XLOOKUP(A829,[1]ForwardDeriv!$D:$D,[1]ForwardDeriv!$AJ:$AJ)</f>
        <v>7.000000000000739E-2</v>
      </c>
      <c r="J829" cm="1">
        <f t="array" ref="J829">_xlfn.XLOOKUP(TEXT(A829, "mmm-yy"), TEXT([2]GASOLINE!$B$5:$B$208, "mmm-yy"), [2]GASOLINE!$IR$5:$IR$208, "Not Found")</f>
        <v>177.80389539276916</v>
      </c>
      <c r="K829" cm="1">
        <f t="array" ref="K829">_xlfn.XLOOKUP(TEXT(A829, "mmm-yy"), TEXT([2]GASOLINE!$B$5:$B$208, "mmm-yy"), [2]GASOLINE!$IK$5:$IK$208, "Not Found")</f>
        <v>156.39127600319827</v>
      </c>
      <c r="L829">
        <f t="shared" si="12"/>
        <v>0</v>
      </c>
      <c r="M829" cm="1">
        <f t="array" ref="M829">_xlfn.XLOOKUP(TEXT(A829, "mmm-yy"), TEXT([2]GASOLINE!$B$5:$B$208, "mmm-yy"), [2]GASOLINE!$C$5:$C$208, "Not Found")</f>
        <v>7180.2318080190062</v>
      </c>
      <c r="N829" cm="1">
        <f t="array" ref="N829">_xlfn.XLOOKUP(TEXT(A829, "mmm-yy"), TEXT([2]RUNS!$B$5:$B$208, "mmm-yy"), [2]RUNS!$BM$5:$BM$208, "Not Found")</f>
        <v>0.83103416313744005</v>
      </c>
    </row>
    <row r="830" spans="1:14" x14ac:dyDescent="0.25">
      <c r="A830" s="1">
        <f>'[1]Global_Spot Prices'!$B2139</f>
        <v>43165</v>
      </c>
      <c r="B830">
        <f>_xlfn.XLOOKUP(A830,'[1]Global_Spot Prices'!$B:$B,'[1]Global_Spot Prices'!$BS:$BS)</f>
        <v>11.549999999999997</v>
      </c>
      <c r="C830">
        <f>_xlfn.XLOOKUP(A830,'[1]Global_Spot Prices'!$B:$B,'[1]Global_Spot Prices'!$E:$E)</f>
        <v>62</v>
      </c>
      <c r="D830">
        <f>_xlfn.XLOOKUP(A830,'[1]Global_Spot Prices'!$B:$B,'[1]Global_Spot Prices'!$D:$D)</f>
        <v>65.614999999999995</v>
      </c>
      <c r="E830">
        <f>_xlfn.XLOOKUP(A830,'[1]Global_Spot Prices'!$B:$B,'[1]Global_Spot Prices'!$H:$H)</f>
        <v>61.93</v>
      </c>
      <c r="F830">
        <f>_xlfn.XLOOKUP(A830,'[1]Global_Spot Prices'!$B:$B,'[1]Global_Spot Prices'!$I:$I)</f>
        <v>73.55</v>
      </c>
      <c r="G830" cm="1">
        <f t="array" ref="G830">_xlfn.XLOOKUP(TEXT(A830, "mmm-yy"), TEXT([2]RUNS!$B$5:$B$208, "mmm-yy"), [2]RUNS!$D$5:$D$208, "Not Found")</f>
        <v>28961.125068258225</v>
      </c>
      <c r="H830" cm="1">
        <f t="array" ref="H830">SUMPRODUCT(
    --(TEXT('[3]Global Weekly Stock (EWSuez'!$B$4:$B$2000,"mmm-yy")=TEXT(A830,"mmm-yy")),
    '[3]Global Weekly Stock (EWSuez'!$E$4:$E$2000)
/
SUMPRODUCT(
    --(TEXT('[3]Global Weekly Stock (EWSuez'!$B$4:$B$2000,"mmm-yy")=TEXT(A830,"mmm-yy"))
)</f>
        <v>14820.8</v>
      </c>
      <c r="I830">
        <f>_xlfn.XLOOKUP(A830,[1]ForwardDeriv!$D:$D,[1]ForwardDeriv!$AJ:$AJ)</f>
        <v>-1.9999999999996021E-2</v>
      </c>
      <c r="J830" cm="1">
        <f t="array" ref="J830">_xlfn.XLOOKUP(TEXT(A830, "mmm-yy"), TEXT([2]GASOLINE!$B$5:$B$208, "mmm-yy"), [2]GASOLINE!$IR$5:$IR$208, "Not Found")</f>
        <v>177.80389539276916</v>
      </c>
      <c r="K830" cm="1">
        <f t="array" ref="K830">_xlfn.XLOOKUP(TEXT(A830, "mmm-yy"), TEXT([2]GASOLINE!$B$5:$B$208, "mmm-yy"), [2]GASOLINE!$IK$5:$IK$208, "Not Found")</f>
        <v>156.39127600319827</v>
      </c>
      <c r="L830">
        <f t="shared" si="12"/>
        <v>0</v>
      </c>
      <c r="M830" cm="1">
        <f t="array" ref="M830">_xlfn.XLOOKUP(TEXT(A830, "mmm-yy"), TEXT([2]GASOLINE!$B$5:$B$208, "mmm-yy"), [2]GASOLINE!$C$5:$C$208, "Not Found")</f>
        <v>7180.2318080190062</v>
      </c>
      <c r="N830" cm="1">
        <f t="array" ref="N830">_xlfn.XLOOKUP(TEXT(A830, "mmm-yy"), TEXT([2]RUNS!$B$5:$B$208, "mmm-yy"), [2]RUNS!$BM$5:$BM$208, "Not Found")</f>
        <v>0.83103416313744005</v>
      </c>
    </row>
    <row r="831" spans="1:14" x14ac:dyDescent="0.25">
      <c r="A831" s="1">
        <f>'[1]Global_Spot Prices'!$B2140</f>
        <v>43166</v>
      </c>
      <c r="B831">
        <f>_xlfn.XLOOKUP(A831,'[1]Global_Spot Prices'!$B:$B,'[1]Global_Spot Prices'!$BS:$BS)</f>
        <v>11.61</v>
      </c>
      <c r="C831">
        <f>_xlfn.XLOOKUP(A831,'[1]Global_Spot Prices'!$B:$B,'[1]Global_Spot Prices'!$E:$E)</f>
        <v>61.56</v>
      </c>
      <c r="D831">
        <f>_xlfn.XLOOKUP(A831,'[1]Global_Spot Prices'!$B:$B,'[1]Global_Spot Prices'!$D:$D)</f>
        <v>65.25</v>
      </c>
      <c r="E831">
        <f>_xlfn.XLOOKUP(A831,'[1]Global_Spot Prices'!$B:$B,'[1]Global_Spot Prices'!$H:$H)</f>
        <v>61.51</v>
      </c>
      <c r="F831">
        <f>_xlfn.XLOOKUP(A831,'[1]Global_Spot Prices'!$B:$B,'[1]Global_Spot Prices'!$I:$I)</f>
        <v>73.17</v>
      </c>
      <c r="G831" cm="1">
        <f t="array" ref="G831">_xlfn.XLOOKUP(TEXT(A831, "mmm-yy"), TEXT([2]RUNS!$B$5:$B$208, "mmm-yy"), [2]RUNS!$D$5:$D$208, "Not Found")</f>
        <v>28961.125068258225</v>
      </c>
      <c r="H831" cm="1">
        <f t="array" ref="H831">SUMPRODUCT(
    --(TEXT('[3]Global Weekly Stock (EWSuez'!$B$4:$B$2000,"mmm-yy")=TEXT(A831,"mmm-yy")),
    '[3]Global Weekly Stock (EWSuez'!$E$4:$E$2000)
/
SUMPRODUCT(
    --(TEXT('[3]Global Weekly Stock (EWSuez'!$B$4:$B$2000,"mmm-yy")=TEXT(A831,"mmm-yy"))
)</f>
        <v>14820.8</v>
      </c>
      <c r="I831">
        <f>_xlfn.XLOOKUP(A831,[1]ForwardDeriv!$D:$D,[1]ForwardDeriv!$AJ:$AJ)</f>
        <v>-0.15000000000000568</v>
      </c>
      <c r="J831" cm="1">
        <f t="array" ref="J831">_xlfn.XLOOKUP(TEXT(A831, "mmm-yy"), TEXT([2]GASOLINE!$B$5:$B$208, "mmm-yy"), [2]GASOLINE!$IR$5:$IR$208, "Not Found")</f>
        <v>177.80389539276916</v>
      </c>
      <c r="K831" cm="1">
        <f t="array" ref="K831">_xlfn.XLOOKUP(TEXT(A831, "mmm-yy"), TEXT([2]GASOLINE!$B$5:$B$208, "mmm-yy"), [2]GASOLINE!$IK$5:$IK$208, "Not Found")</f>
        <v>156.39127600319827</v>
      </c>
      <c r="L831">
        <f t="shared" si="12"/>
        <v>0</v>
      </c>
      <c r="M831" cm="1">
        <f t="array" ref="M831">_xlfn.XLOOKUP(TEXT(A831, "mmm-yy"), TEXT([2]GASOLINE!$B$5:$B$208, "mmm-yy"), [2]GASOLINE!$C$5:$C$208, "Not Found")</f>
        <v>7180.2318080190062</v>
      </c>
      <c r="N831" cm="1">
        <f t="array" ref="N831">_xlfn.XLOOKUP(TEXT(A831, "mmm-yy"), TEXT([2]RUNS!$B$5:$B$208, "mmm-yy"), [2]RUNS!$BM$5:$BM$208, "Not Found")</f>
        <v>0.83103416313744005</v>
      </c>
    </row>
    <row r="832" spans="1:14" x14ac:dyDescent="0.25">
      <c r="A832" s="1">
        <f>'[1]Global_Spot Prices'!$B2141</f>
        <v>43167</v>
      </c>
      <c r="B832">
        <f>_xlfn.XLOOKUP(A832,'[1]Global_Spot Prices'!$B:$B,'[1]Global_Spot Prices'!$BS:$BS)</f>
        <v>11.409999999999997</v>
      </c>
      <c r="C832">
        <f>_xlfn.XLOOKUP(A832,'[1]Global_Spot Prices'!$B:$B,'[1]Global_Spot Prices'!$E:$E)</f>
        <v>60.86</v>
      </c>
      <c r="D832">
        <f>_xlfn.XLOOKUP(A832,'[1]Global_Spot Prices'!$B:$B,'[1]Global_Spot Prices'!$D:$D)</f>
        <v>64.02</v>
      </c>
      <c r="E832">
        <f>_xlfn.XLOOKUP(A832,'[1]Global_Spot Prices'!$B:$B,'[1]Global_Spot Prices'!$H:$H)</f>
        <v>61.23</v>
      </c>
      <c r="F832">
        <f>_xlfn.XLOOKUP(A832,'[1]Global_Spot Prices'!$B:$B,'[1]Global_Spot Prices'!$I:$I)</f>
        <v>72.27</v>
      </c>
      <c r="G832" cm="1">
        <f t="array" ref="G832">_xlfn.XLOOKUP(TEXT(A832, "mmm-yy"), TEXT([2]RUNS!$B$5:$B$208, "mmm-yy"), [2]RUNS!$D$5:$D$208, "Not Found")</f>
        <v>28961.125068258225</v>
      </c>
      <c r="H832" cm="1">
        <f t="array" ref="H832">SUMPRODUCT(
    --(TEXT('[3]Global Weekly Stock (EWSuez'!$B$4:$B$2000,"mmm-yy")=TEXT(A832,"mmm-yy")),
    '[3]Global Weekly Stock (EWSuez'!$E$4:$E$2000)
/
SUMPRODUCT(
    --(TEXT('[3]Global Weekly Stock (EWSuez'!$B$4:$B$2000,"mmm-yy")=TEXT(A832,"mmm-yy"))
)</f>
        <v>14820.8</v>
      </c>
      <c r="I832">
        <f>_xlfn.XLOOKUP(A832,[1]ForwardDeriv!$D:$D,[1]ForwardDeriv!$AJ:$AJ)</f>
        <v>-0.28000000000000114</v>
      </c>
      <c r="J832" cm="1">
        <f t="array" ref="J832">_xlfn.XLOOKUP(TEXT(A832, "mmm-yy"), TEXT([2]GASOLINE!$B$5:$B$208, "mmm-yy"), [2]GASOLINE!$IR$5:$IR$208, "Not Found")</f>
        <v>177.80389539276916</v>
      </c>
      <c r="K832" cm="1">
        <f t="array" ref="K832">_xlfn.XLOOKUP(TEXT(A832, "mmm-yy"), TEXT([2]GASOLINE!$B$5:$B$208, "mmm-yy"), [2]GASOLINE!$IK$5:$IK$208, "Not Found")</f>
        <v>156.39127600319827</v>
      </c>
      <c r="L832">
        <f t="shared" si="12"/>
        <v>0</v>
      </c>
      <c r="M832" cm="1">
        <f t="array" ref="M832">_xlfn.XLOOKUP(TEXT(A832, "mmm-yy"), TEXT([2]GASOLINE!$B$5:$B$208, "mmm-yy"), [2]GASOLINE!$C$5:$C$208, "Not Found")</f>
        <v>7180.2318080190062</v>
      </c>
      <c r="N832" cm="1">
        <f t="array" ref="N832">_xlfn.XLOOKUP(TEXT(A832, "mmm-yy"), TEXT([2]RUNS!$B$5:$B$208, "mmm-yy"), [2]RUNS!$BM$5:$BM$208, "Not Found")</f>
        <v>0.83103416313744005</v>
      </c>
    </row>
    <row r="833" spans="1:14" x14ac:dyDescent="0.25">
      <c r="A833" s="1">
        <f>'[1]Global_Spot Prices'!$B2142</f>
        <v>43168</v>
      </c>
      <c r="B833">
        <f>_xlfn.XLOOKUP(A833,'[1]Global_Spot Prices'!$B:$B,'[1]Global_Spot Prices'!$BS:$BS)</f>
        <v>11.29</v>
      </c>
      <c r="C833">
        <f>_xlfn.XLOOKUP(A833,'[1]Global_Spot Prices'!$B:$B,'[1]Global_Spot Prices'!$E:$E)</f>
        <v>60.24</v>
      </c>
      <c r="D833">
        <f>_xlfn.XLOOKUP(A833,'[1]Global_Spot Prices'!$B:$B,'[1]Global_Spot Prices'!$D:$D)</f>
        <v>65.314999999999998</v>
      </c>
      <c r="E833">
        <f>_xlfn.XLOOKUP(A833,'[1]Global_Spot Prices'!$B:$B,'[1]Global_Spot Prices'!$H:$H)</f>
        <v>60.26</v>
      </c>
      <c r="F833">
        <f>_xlfn.XLOOKUP(A833,'[1]Global_Spot Prices'!$B:$B,'[1]Global_Spot Prices'!$I:$I)</f>
        <v>71.53</v>
      </c>
      <c r="G833" cm="1">
        <f t="array" ref="G833">_xlfn.XLOOKUP(TEXT(A833, "mmm-yy"), TEXT([2]RUNS!$B$5:$B$208, "mmm-yy"), [2]RUNS!$D$5:$D$208, "Not Found")</f>
        <v>28961.125068258225</v>
      </c>
      <c r="H833" cm="1">
        <f t="array" ref="H833">SUMPRODUCT(
    --(TEXT('[3]Global Weekly Stock (EWSuez'!$B$4:$B$2000,"mmm-yy")=TEXT(A833,"mmm-yy")),
    '[3]Global Weekly Stock (EWSuez'!$E$4:$E$2000)
/
SUMPRODUCT(
    --(TEXT('[3]Global Weekly Stock (EWSuez'!$B$4:$B$2000,"mmm-yy")=TEXT(A833,"mmm-yy"))
)</f>
        <v>14820.8</v>
      </c>
      <c r="I833">
        <f>_xlfn.XLOOKUP(A833,[1]ForwardDeriv!$D:$D,[1]ForwardDeriv!$AJ:$AJ)</f>
        <v>-0.24000000000000909</v>
      </c>
      <c r="J833" cm="1">
        <f t="array" ref="J833">_xlfn.XLOOKUP(TEXT(A833, "mmm-yy"), TEXT([2]GASOLINE!$B$5:$B$208, "mmm-yy"), [2]GASOLINE!$IR$5:$IR$208, "Not Found")</f>
        <v>177.80389539276916</v>
      </c>
      <c r="K833" cm="1">
        <f t="array" ref="K833">_xlfn.XLOOKUP(TEXT(A833, "mmm-yy"), TEXT([2]GASOLINE!$B$5:$B$208, "mmm-yy"), [2]GASOLINE!$IK$5:$IK$208, "Not Found")</f>
        <v>156.39127600319827</v>
      </c>
      <c r="L833">
        <f t="shared" si="12"/>
        <v>0</v>
      </c>
      <c r="M833" cm="1">
        <f t="array" ref="M833">_xlfn.XLOOKUP(TEXT(A833, "mmm-yy"), TEXT([2]GASOLINE!$B$5:$B$208, "mmm-yy"), [2]GASOLINE!$C$5:$C$208, "Not Found")</f>
        <v>7180.2318080190062</v>
      </c>
      <c r="N833" cm="1">
        <f t="array" ref="N833">_xlfn.XLOOKUP(TEXT(A833, "mmm-yy"), TEXT([2]RUNS!$B$5:$B$208, "mmm-yy"), [2]RUNS!$BM$5:$BM$208, "Not Found")</f>
        <v>0.83103416313744005</v>
      </c>
    </row>
    <row r="834" spans="1:14" x14ac:dyDescent="0.25">
      <c r="A834" s="1">
        <f>'[1]Global_Spot Prices'!$B2143</f>
        <v>43171</v>
      </c>
      <c r="B834">
        <f>_xlfn.XLOOKUP(A834,'[1]Global_Spot Prices'!$B:$B,'[1]Global_Spot Prices'!$BS:$BS)</f>
        <v>10.949999999999996</v>
      </c>
      <c r="C834">
        <f>_xlfn.XLOOKUP(A834,'[1]Global_Spot Prices'!$B:$B,'[1]Global_Spot Prices'!$E:$E)</f>
        <v>61.65</v>
      </c>
      <c r="D834">
        <f>_xlfn.XLOOKUP(A834,'[1]Global_Spot Prices'!$B:$B,'[1]Global_Spot Prices'!$D:$D)</f>
        <v>64.430000000000007</v>
      </c>
      <c r="E834">
        <f>_xlfn.XLOOKUP(A834,'[1]Global_Spot Prices'!$B:$B,'[1]Global_Spot Prices'!$H:$H)</f>
        <v>61.63</v>
      </c>
      <c r="F834">
        <f>_xlfn.XLOOKUP(A834,'[1]Global_Spot Prices'!$B:$B,'[1]Global_Spot Prices'!$I:$I)</f>
        <v>72.599999999999994</v>
      </c>
      <c r="G834" cm="1">
        <f t="array" ref="G834">_xlfn.XLOOKUP(TEXT(A834, "mmm-yy"), TEXT([2]RUNS!$B$5:$B$208, "mmm-yy"), [2]RUNS!$D$5:$D$208, "Not Found")</f>
        <v>28961.125068258225</v>
      </c>
      <c r="H834" cm="1">
        <f t="array" ref="H834">SUMPRODUCT(
    --(TEXT('[3]Global Weekly Stock (EWSuez'!$B$4:$B$2000,"mmm-yy")=TEXT(A834,"mmm-yy")),
    '[3]Global Weekly Stock (EWSuez'!$E$4:$E$2000)
/
SUMPRODUCT(
    --(TEXT('[3]Global Weekly Stock (EWSuez'!$B$4:$B$2000,"mmm-yy")=TEXT(A834,"mmm-yy"))
)</f>
        <v>14820.8</v>
      </c>
      <c r="I834">
        <f>_xlfn.XLOOKUP(A834,[1]ForwardDeriv!$D:$D,[1]ForwardDeriv!$AJ:$AJ)</f>
        <v>-0.23000000000000398</v>
      </c>
      <c r="J834" cm="1">
        <f t="array" ref="J834">_xlfn.XLOOKUP(TEXT(A834, "mmm-yy"), TEXT([2]GASOLINE!$B$5:$B$208, "mmm-yy"), [2]GASOLINE!$IR$5:$IR$208, "Not Found")</f>
        <v>177.80389539276916</v>
      </c>
      <c r="K834" cm="1">
        <f t="array" ref="K834">_xlfn.XLOOKUP(TEXT(A834, "mmm-yy"), TEXT([2]GASOLINE!$B$5:$B$208, "mmm-yy"), [2]GASOLINE!$IK$5:$IK$208, "Not Found")</f>
        <v>156.39127600319827</v>
      </c>
      <c r="L834">
        <f t="shared" si="12"/>
        <v>0</v>
      </c>
      <c r="M834" cm="1">
        <f t="array" ref="M834">_xlfn.XLOOKUP(TEXT(A834, "mmm-yy"), TEXT([2]GASOLINE!$B$5:$B$208, "mmm-yy"), [2]GASOLINE!$C$5:$C$208, "Not Found")</f>
        <v>7180.2318080190062</v>
      </c>
      <c r="N834" cm="1">
        <f t="array" ref="N834">_xlfn.XLOOKUP(TEXT(A834, "mmm-yy"), TEXT([2]RUNS!$B$5:$B$208, "mmm-yy"), [2]RUNS!$BM$5:$BM$208, "Not Found")</f>
        <v>0.83103416313744005</v>
      </c>
    </row>
    <row r="835" spans="1:14" x14ac:dyDescent="0.25">
      <c r="A835" s="1">
        <f>'[1]Global_Spot Prices'!$B2144</f>
        <v>43172</v>
      </c>
      <c r="B835">
        <f>_xlfn.XLOOKUP(A835,'[1]Global_Spot Prices'!$B:$B,'[1]Global_Spot Prices'!$BS:$BS)</f>
        <v>11.119999999999997</v>
      </c>
      <c r="C835">
        <f>_xlfn.XLOOKUP(A835,'[1]Global_Spot Prices'!$B:$B,'[1]Global_Spot Prices'!$E:$E)</f>
        <v>61.27</v>
      </c>
      <c r="D835">
        <f>_xlfn.XLOOKUP(A835,'[1]Global_Spot Prices'!$B:$B,'[1]Global_Spot Prices'!$D:$D)</f>
        <v>64.09</v>
      </c>
      <c r="E835">
        <f>_xlfn.XLOOKUP(A835,'[1]Global_Spot Prices'!$B:$B,'[1]Global_Spot Prices'!$H:$H)</f>
        <v>60.65</v>
      </c>
      <c r="F835">
        <f>_xlfn.XLOOKUP(A835,'[1]Global_Spot Prices'!$B:$B,'[1]Global_Spot Prices'!$I:$I)</f>
        <v>72.39</v>
      </c>
      <c r="G835" cm="1">
        <f t="array" ref="G835">_xlfn.XLOOKUP(TEXT(A835, "mmm-yy"), TEXT([2]RUNS!$B$5:$B$208, "mmm-yy"), [2]RUNS!$D$5:$D$208, "Not Found")</f>
        <v>28961.125068258225</v>
      </c>
      <c r="H835" cm="1">
        <f t="array" ref="H835">SUMPRODUCT(
    --(TEXT('[3]Global Weekly Stock (EWSuez'!$B$4:$B$2000,"mmm-yy")=TEXT(A835,"mmm-yy")),
    '[3]Global Weekly Stock (EWSuez'!$E$4:$E$2000)
/
SUMPRODUCT(
    --(TEXT('[3]Global Weekly Stock (EWSuez'!$B$4:$B$2000,"mmm-yy")=TEXT(A835,"mmm-yy"))
)</f>
        <v>14820.8</v>
      </c>
      <c r="I835">
        <f>_xlfn.XLOOKUP(A835,[1]ForwardDeriv!$D:$D,[1]ForwardDeriv!$AJ:$AJ)</f>
        <v>-0.17999999999999261</v>
      </c>
      <c r="J835" cm="1">
        <f t="array" ref="J835">_xlfn.XLOOKUP(TEXT(A835, "mmm-yy"), TEXT([2]GASOLINE!$B$5:$B$208, "mmm-yy"), [2]GASOLINE!$IR$5:$IR$208, "Not Found")</f>
        <v>177.80389539276916</v>
      </c>
      <c r="K835" cm="1">
        <f t="array" ref="K835">_xlfn.XLOOKUP(TEXT(A835, "mmm-yy"), TEXT([2]GASOLINE!$B$5:$B$208, "mmm-yy"), [2]GASOLINE!$IK$5:$IK$208, "Not Found")</f>
        <v>156.39127600319827</v>
      </c>
      <c r="L835">
        <f t="shared" ref="L835:L898" si="13">IF(OR(MONTH(A835)=6, MONTH(A835)=7, MONTH(A835)=8, MONTH(A835)=9), 1, 0)</f>
        <v>0</v>
      </c>
      <c r="M835" cm="1">
        <f t="array" ref="M835">_xlfn.XLOOKUP(TEXT(A835, "mmm-yy"), TEXT([2]GASOLINE!$B$5:$B$208, "mmm-yy"), [2]GASOLINE!$C$5:$C$208, "Not Found")</f>
        <v>7180.2318080190062</v>
      </c>
      <c r="N835" cm="1">
        <f t="array" ref="N835">_xlfn.XLOOKUP(TEXT(A835, "mmm-yy"), TEXT([2]RUNS!$B$5:$B$208, "mmm-yy"), [2]RUNS!$BM$5:$BM$208, "Not Found")</f>
        <v>0.83103416313744005</v>
      </c>
    </row>
    <row r="836" spans="1:14" x14ac:dyDescent="0.25">
      <c r="A836" s="1">
        <f>'[1]Global_Spot Prices'!$B2145</f>
        <v>43173</v>
      </c>
      <c r="B836">
        <f>_xlfn.XLOOKUP(A836,'[1]Global_Spot Prices'!$B:$B,'[1]Global_Spot Prices'!$BS:$BS)</f>
        <v>10.549999999999997</v>
      </c>
      <c r="C836">
        <f>_xlfn.XLOOKUP(A836,'[1]Global_Spot Prices'!$B:$B,'[1]Global_Spot Prices'!$E:$E)</f>
        <v>61.25</v>
      </c>
      <c r="D836">
        <f>_xlfn.XLOOKUP(A836,'[1]Global_Spot Prices'!$B:$B,'[1]Global_Spot Prices'!$D:$D)</f>
        <v>63.46</v>
      </c>
      <c r="E836">
        <f>_xlfn.XLOOKUP(A836,'[1]Global_Spot Prices'!$B:$B,'[1]Global_Spot Prices'!$H:$H)</f>
        <v>61.38</v>
      </c>
      <c r="F836">
        <f>_xlfn.XLOOKUP(A836,'[1]Global_Spot Prices'!$B:$B,'[1]Global_Spot Prices'!$I:$I)</f>
        <v>71.8</v>
      </c>
      <c r="G836" cm="1">
        <f t="array" ref="G836">_xlfn.XLOOKUP(TEXT(A836, "mmm-yy"), TEXT([2]RUNS!$B$5:$B$208, "mmm-yy"), [2]RUNS!$D$5:$D$208, "Not Found")</f>
        <v>28961.125068258225</v>
      </c>
      <c r="H836" cm="1">
        <f t="array" ref="H836">SUMPRODUCT(
    --(TEXT('[3]Global Weekly Stock (EWSuez'!$B$4:$B$2000,"mmm-yy")=TEXT(A836,"mmm-yy")),
    '[3]Global Weekly Stock (EWSuez'!$E$4:$E$2000)
/
SUMPRODUCT(
    --(TEXT('[3]Global Weekly Stock (EWSuez'!$B$4:$B$2000,"mmm-yy")=TEXT(A836,"mmm-yy"))
)</f>
        <v>14820.8</v>
      </c>
      <c r="I836">
        <f>_xlfn.XLOOKUP(A836,[1]ForwardDeriv!$D:$D,[1]ForwardDeriv!$AJ:$AJ)</f>
        <v>-0.28000000000000114</v>
      </c>
      <c r="J836" cm="1">
        <f t="array" ref="J836">_xlfn.XLOOKUP(TEXT(A836, "mmm-yy"), TEXT([2]GASOLINE!$B$5:$B$208, "mmm-yy"), [2]GASOLINE!$IR$5:$IR$208, "Not Found")</f>
        <v>177.80389539276916</v>
      </c>
      <c r="K836" cm="1">
        <f t="array" ref="K836">_xlfn.XLOOKUP(TEXT(A836, "mmm-yy"), TEXT([2]GASOLINE!$B$5:$B$208, "mmm-yy"), [2]GASOLINE!$IK$5:$IK$208, "Not Found")</f>
        <v>156.39127600319827</v>
      </c>
      <c r="L836">
        <f t="shared" si="13"/>
        <v>0</v>
      </c>
      <c r="M836" cm="1">
        <f t="array" ref="M836">_xlfn.XLOOKUP(TEXT(A836, "mmm-yy"), TEXT([2]GASOLINE!$B$5:$B$208, "mmm-yy"), [2]GASOLINE!$C$5:$C$208, "Not Found")</f>
        <v>7180.2318080190062</v>
      </c>
      <c r="N836" cm="1">
        <f t="array" ref="N836">_xlfn.XLOOKUP(TEXT(A836, "mmm-yy"), TEXT([2]RUNS!$B$5:$B$208, "mmm-yy"), [2]RUNS!$BM$5:$BM$208, "Not Found")</f>
        <v>0.83103416313744005</v>
      </c>
    </row>
    <row r="837" spans="1:14" x14ac:dyDescent="0.25">
      <c r="A837" s="1">
        <f>'[1]Global_Spot Prices'!$B2146</f>
        <v>43174</v>
      </c>
      <c r="B837">
        <f>_xlfn.XLOOKUP(A837,'[1]Global_Spot Prices'!$B:$B,'[1]Global_Spot Prices'!$BS:$BS)</f>
        <v>11.190000000000005</v>
      </c>
      <c r="C837">
        <f>_xlfn.XLOOKUP(A837,'[1]Global_Spot Prices'!$B:$B,'[1]Global_Spot Prices'!$E:$E)</f>
        <v>61.4</v>
      </c>
      <c r="D837">
        <f>_xlfn.XLOOKUP(A837,'[1]Global_Spot Prices'!$B:$B,'[1]Global_Spot Prices'!$D:$D)</f>
        <v>63.68</v>
      </c>
      <c r="E837">
        <f>_xlfn.XLOOKUP(A837,'[1]Global_Spot Prices'!$B:$B,'[1]Global_Spot Prices'!$H:$H)</f>
        <v>62.06</v>
      </c>
      <c r="F837">
        <f>_xlfn.XLOOKUP(A837,'[1]Global_Spot Prices'!$B:$B,'[1]Global_Spot Prices'!$I:$I)</f>
        <v>72.59</v>
      </c>
      <c r="G837" cm="1">
        <f t="array" ref="G837">_xlfn.XLOOKUP(TEXT(A837, "mmm-yy"), TEXT([2]RUNS!$B$5:$B$208, "mmm-yy"), [2]RUNS!$D$5:$D$208, "Not Found")</f>
        <v>28961.125068258225</v>
      </c>
      <c r="H837" cm="1">
        <f t="array" ref="H837">SUMPRODUCT(
    --(TEXT('[3]Global Weekly Stock (EWSuez'!$B$4:$B$2000,"mmm-yy")=TEXT(A837,"mmm-yy")),
    '[3]Global Weekly Stock (EWSuez'!$E$4:$E$2000)
/
SUMPRODUCT(
    --(TEXT('[3]Global Weekly Stock (EWSuez'!$B$4:$B$2000,"mmm-yy")=TEXT(A837,"mmm-yy"))
)</f>
        <v>14820.8</v>
      </c>
      <c r="I837">
        <f>_xlfn.XLOOKUP(A837,[1]ForwardDeriv!$D:$D,[1]ForwardDeriv!$AJ:$AJ)</f>
        <v>-0.23000000000000398</v>
      </c>
      <c r="J837" cm="1">
        <f t="array" ref="J837">_xlfn.XLOOKUP(TEXT(A837, "mmm-yy"), TEXT([2]GASOLINE!$B$5:$B$208, "mmm-yy"), [2]GASOLINE!$IR$5:$IR$208, "Not Found")</f>
        <v>177.80389539276916</v>
      </c>
      <c r="K837" cm="1">
        <f t="array" ref="K837">_xlfn.XLOOKUP(TEXT(A837, "mmm-yy"), TEXT([2]GASOLINE!$B$5:$B$208, "mmm-yy"), [2]GASOLINE!$IK$5:$IK$208, "Not Found")</f>
        <v>156.39127600319827</v>
      </c>
      <c r="L837">
        <f t="shared" si="13"/>
        <v>0</v>
      </c>
      <c r="M837" cm="1">
        <f t="array" ref="M837">_xlfn.XLOOKUP(TEXT(A837, "mmm-yy"), TEXT([2]GASOLINE!$B$5:$B$208, "mmm-yy"), [2]GASOLINE!$C$5:$C$208, "Not Found")</f>
        <v>7180.2318080190062</v>
      </c>
      <c r="N837" cm="1">
        <f t="array" ref="N837">_xlfn.XLOOKUP(TEXT(A837, "mmm-yy"), TEXT([2]RUNS!$B$5:$B$208, "mmm-yy"), [2]RUNS!$BM$5:$BM$208, "Not Found")</f>
        <v>0.83103416313744005</v>
      </c>
    </row>
    <row r="838" spans="1:14" x14ac:dyDescent="0.25">
      <c r="A838" s="1">
        <f>'[1]Global_Spot Prices'!$B2147</f>
        <v>43175</v>
      </c>
      <c r="B838">
        <f>_xlfn.XLOOKUP(A838,'[1]Global_Spot Prices'!$B:$B,'[1]Global_Spot Prices'!$BS:$BS)</f>
        <v>11.319999999999993</v>
      </c>
      <c r="C838">
        <f>_xlfn.XLOOKUP(A838,'[1]Global_Spot Prices'!$B:$B,'[1]Global_Spot Prices'!$E:$E)</f>
        <v>61.75</v>
      </c>
      <c r="D838">
        <f>_xlfn.XLOOKUP(A838,'[1]Global_Spot Prices'!$B:$B,'[1]Global_Spot Prices'!$D:$D)</f>
        <v>64.62</v>
      </c>
      <c r="E838">
        <f>_xlfn.XLOOKUP(A838,'[1]Global_Spot Prices'!$B:$B,'[1]Global_Spot Prices'!$H:$H)</f>
        <v>62.2</v>
      </c>
      <c r="F838">
        <f>_xlfn.XLOOKUP(A838,'[1]Global_Spot Prices'!$B:$B,'[1]Global_Spot Prices'!$I:$I)</f>
        <v>73.069999999999993</v>
      </c>
      <c r="G838" cm="1">
        <f t="array" ref="G838">_xlfn.XLOOKUP(TEXT(A838, "mmm-yy"), TEXT([2]RUNS!$B$5:$B$208, "mmm-yy"), [2]RUNS!$D$5:$D$208, "Not Found")</f>
        <v>28961.125068258225</v>
      </c>
      <c r="H838" cm="1">
        <f t="array" ref="H838">SUMPRODUCT(
    --(TEXT('[3]Global Weekly Stock (EWSuez'!$B$4:$B$2000,"mmm-yy")=TEXT(A838,"mmm-yy")),
    '[3]Global Weekly Stock (EWSuez'!$E$4:$E$2000)
/
SUMPRODUCT(
    --(TEXT('[3]Global Weekly Stock (EWSuez'!$B$4:$B$2000,"mmm-yy")=TEXT(A838,"mmm-yy"))
)</f>
        <v>14820.8</v>
      </c>
      <c r="I838">
        <f>_xlfn.XLOOKUP(A838,[1]ForwardDeriv!$D:$D,[1]ForwardDeriv!$AJ:$AJ)</f>
        <v>-0.10000000000000853</v>
      </c>
      <c r="J838" cm="1">
        <f t="array" ref="J838">_xlfn.XLOOKUP(TEXT(A838, "mmm-yy"), TEXT([2]GASOLINE!$B$5:$B$208, "mmm-yy"), [2]GASOLINE!$IR$5:$IR$208, "Not Found")</f>
        <v>177.80389539276916</v>
      </c>
      <c r="K838" cm="1">
        <f t="array" ref="K838">_xlfn.XLOOKUP(TEXT(A838, "mmm-yy"), TEXT([2]GASOLINE!$B$5:$B$208, "mmm-yy"), [2]GASOLINE!$IK$5:$IK$208, "Not Found")</f>
        <v>156.39127600319827</v>
      </c>
      <c r="L838">
        <f t="shared" si="13"/>
        <v>0</v>
      </c>
      <c r="M838" cm="1">
        <f t="array" ref="M838">_xlfn.XLOOKUP(TEXT(A838, "mmm-yy"), TEXT([2]GASOLINE!$B$5:$B$208, "mmm-yy"), [2]GASOLINE!$C$5:$C$208, "Not Found")</f>
        <v>7180.2318080190062</v>
      </c>
      <c r="N838" cm="1">
        <f t="array" ref="N838">_xlfn.XLOOKUP(TEXT(A838, "mmm-yy"), TEXT([2]RUNS!$B$5:$B$208, "mmm-yy"), [2]RUNS!$BM$5:$BM$208, "Not Found")</f>
        <v>0.83103416313744005</v>
      </c>
    </row>
    <row r="839" spans="1:14" x14ac:dyDescent="0.25">
      <c r="A839" s="1">
        <f>'[1]Global_Spot Prices'!$B2148</f>
        <v>43178</v>
      </c>
      <c r="B839">
        <f>_xlfn.XLOOKUP(A839,'[1]Global_Spot Prices'!$B:$B,'[1]Global_Spot Prices'!$BS:$BS)</f>
        <v>11.359999999999992</v>
      </c>
      <c r="C839">
        <f>_xlfn.XLOOKUP(A839,'[1]Global_Spot Prices'!$B:$B,'[1]Global_Spot Prices'!$E:$E)</f>
        <v>62.46</v>
      </c>
      <c r="D839">
        <f>_xlfn.XLOOKUP(A839,'[1]Global_Spot Prices'!$B:$B,'[1]Global_Spot Prices'!$D:$D)</f>
        <v>65.015000000000001</v>
      </c>
      <c r="E839">
        <f>_xlfn.XLOOKUP(A839,'[1]Global_Spot Prices'!$B:$B,'[1]Global_Spot Prices'!$H:$H)</f>
        <v>62.45</v>
      </c>
      <c r="F839">
        <f>_xlfn.XLOOKUP(A839,'[1]Global_Spot Prices'!$B:$B,'[1]Global_Spot Prices'!$I:$I)</f>
        <v>73.819999999999993</v>
      </c>
      <c r="G839" cm="1">
        <f t="array" ref="G839">_xlfn.XLOOKUP(TEXT(A839, "mmm-yy"), TEXT([2]RUNS!$B$5:$B$208, "mmm-yy"), [2]RUNS!$D$5:$D$208, "Not Found")</f>
        <v>28961.125068258225</v>
      </c>
      <c r="H839" cm="1">
        <f t="array" ref="H839">SUMPRODUCT(
    --(TEXT('[3]Global Weekly Stock (EWSuez'!$B$4:$B$2000,"mmm-yy")=TEXT(A839,"mmm-yy")),
    '[3]Global Weekly Stock (EWSuez'!$E$4:$E$2000)
/
SUMPRODUCT(
    --(TEXT('[3]Global Weekly Stock (EWSuez'!$B$4:$B$2000,"mmm-yy")=TEXT(A839,"mmm-yy"))
)</f>
        <v>14820.8</v>
      </c>
      <c r="I839">
        <f>_xlfn.XLOOKUP(A839,[1]ForwardDeriv!$D:$D,[1]ForwardDeriv!$AJ:$AJ)</f>
        <v>-0.12000000000000455</v>
      </c>
      <c r="J839" cm="1">
        <f t="array" ref="J839">_xlfn.XLOOKUP(TEXT(A839, "mmm-yy"), TEXT([2]GASOLINE!$B$5:$B$208, "mmm-yy"), [2]GASOLINE!$IR$5:$IR$208, "Not Found")</f>
        <v>177.80389539276916</v>
      </c>
      <c r="K839" cm="1">
        <f t="array" ref="K839">_xlfn.XLOOKUP(TEXT(A839, "mmm-yy"), TEXT([2]GASOLINE!$B$5:$B$208, "mmm-yy"), [2]GASOLINE!$IK$5:$IK$208, "Not Found")</f>
        <v>156.39127600319827</v>
      </c>
      <c r="L839">
        <f t="shared" si="13"/>
        <v>0</v>
      </c>
      <c r="M839" cm="1">
        <f t="array" ref="M839">_xlfn.XLOOKUP(TEXT(A839, "mmm-yy"), TEXT([2]GASOLINE!$B$5:$B$208, "mmm-yy"), [2]GASOLINE!$C$5:$C$208, "Not Found")</f>
        <v>7180.2318080190062</v>
      </c>
      <c r="N839" cm="1">
        <f t="array" ref="N839">_xlfn.XLOOKUP(TEXT(A839, "mmm-yy"), TEXT([2]RUNS!$B$5:$B$208, "mmm-yy"), [2]RUNS!$BM$5:$BM$208, "Not Found")</f>
        <v>0.83103416313744005</v>
      </c>
    </row>
    <row r="840" spans="1:14" x14ac:dyDescent="0.25">
      <c r="A840" s="1">
        <f>'[1]Global_Spot Prices'!$B2149</f>
        <v>43179</v>
      </c>
      <c r="B840">
        <f>_xlfn.XLOOKUP(A840,'[1]Global_Spot Prices'!$B:$B,'[1]Global_Spot Prices'!$BS:$BS)</f>
        <v>11.069999999999993</v>
      </c>
      <c r="C840">
        <f>_xlfn.XLOOKUP(A840,'[1]Global_Spot Prices'!$B:$B,'[1]Global_Spot Prices'!$E:$E)</f>
        <v>63</v>
      </c>
      <c r="D840">
        <f>_xlfn.XLOOKUP(A840,'[1]Global_Spot Prices'!$B:$B,'[1]Global_Spot Prices'!$D:$D)</f>
        <v>66.13</v>
      </c>
      <c r="E840">
        <f>_xlfn.XLOOKUP(A840,'[1]Global_Spot Prices'!$B:$B,'[1]Global_Spot Prices'!$H:$H)</f>
        <v>62.96</v>
      </c>
      <c r="F840">
        <f>_xlfn.XLOOKUP(A840,'[1]Global_Spot Prices'!$B:$B,'[1]Global_Spot Prices'!$I:$I)</f>
        <v>74.069999999999993</v>
      </c>
      <c r="G840" cm="1">
        <f t="array" ref="G840">_xlfn.XLOOKUP(TEXT(A840, "mmm-yy"), TEXT([2]RUNS!$B$5:$B$208, "mmm-yy"), [2]RUNS!$D$5:$D$208, "Not Found")</f>
        <v>28961.125068258225</v>
      </c>
      <c r="H840" cm="1">
        <f t="array" ref="H840">SUMPRODUCT(
    --(TEXT('[3]Global Weekly Stock (EWSuez'!$B$4:$B$2000,"mmm-yy")=TEXT(A840,"mmm-yy")),
    '[3]Global Weekly Stock (EWSuez'!$E$4:$E$2000)
/
SUMPRODUCT(
    --(TEXT('[3]Global Weekly Stock (EWSuez'!$B$4:$B$2000,"mmm-yy")=TEXT(A840,"mmm-yy"))
)</f>
        <v>14820.8</v>
      </c>
      <c r="I840">
        <f>_xlfn.XLOOKUP(A840,[1]ForwardDeriv!$D:$D,[1]ForwardDeriv!$AJ:$AJ)</f>
        <v>-0.25999999999999091</v>
      </c>
      <c r="J840" cm="1">
        <f t="array" ref="J840">_xlfn.XLOOKUP(TEXT(A840, "mmm-yy"), TEXT([2]GASOLINE!$B$5:$B$208, "mmm-yy"), [2]GASOLINE!$IR$5:$IR$208, "Not Found")</f>
        <v>177.80389539276916</v>
      </c>
      <c r="K840" cm="1">
        <f t="array" ref="K840">_xlfn.XLOOKUP(TEXT(A840, "mmm-yy"), TEXT([2]GASOLINE!$B$5:$B$208, "mmm-yy"), [2]GASOLINE!$IK$5:$IK$208, "Not Found")</f>
        <v>156.39127600319827</v>
      </c>
      <c r="L840">
        <f t="shared" si="13"/>
        <v>0</v>
      </c>
      <c r="M840" cm="1">
        <f t="array" ref="M840">_xlfn.XLOOKUP(TEXT(A840, "mmm-yy"), TEXT([2]GASOLINE!$B$5:$B$208, "mmm-yy"), [2]GASOLINE!$C$5:$C$208, "Not Found")</f>
        <v>7180.2318080190062</v>
      </c>
      <c r="N840" cm="1">
        <f t="array" ref="N840">_xlfn.XLOOKUP(TEXT(A840, "mmm-yy"), TEXT([2]RUNS!$B$5:$B$208, "mmm-yy"), [2]RUNS!$BM$5:$BM$208, "Not Found")</f>
        <v>0.83103416313744005</v>
      </c>
    </row>
    <row r="841" spans="1:14" x14ac:dyDescent="0.25">
      <c r="A841" s="1">
        <f>'[1]Global_Spot Prices'!$B2150</f>
        <v>43180</v>
      </c>
      <c r="B841">
        <f>_xlfn.XLOOKUP(A841,'[1]Global_Spot Prices'!$B:$B,'[1]Global_Spot Prices'!$BS:$BS)</f>
        <v>11.209999999999994</v>
      </c>
      <c r="C841">
        <f>_xlfn.XLOOKUP(A841,'[1]Global_Spot Prices'!$B:$B,'[1]Global_Spot Prices'!$E:$E)</f>
        <v>63.86</v>
      </c>
      <c r="D841">
        <f>_xlfn.XLOOKUP(A841,'[1]Global_Spot Prices'!$B:$B,'[1]Global_Spot Prices'!$D:$D)</f>
        <v>68.314999999999998</v>
      </c>
      <c r="E841">
        <f>_xlfn.XLOOKUP(A841,'[1]Global_Spot Prices'!$B:$B,'[1]Global_Spot Prices'!$H:$H)</f>
        <v>63.66</v>
      </c>
      <c r="F841">
        <f>_xlfn.XLOOKUP(A841,'[1]Global_Spot Prices'!$B:$B,'[1]Global_Spot Prices'!$I:$I)</f>
        <v>75.069999999999993</v>
      </c>
      <c r="G841" cm="1">
        <f t="array" ref="G841">_xlfn.XLOOKUP(TEXT(A841, "mmm-yy"), TEXT([2]RUNS!$B$5:$B$208, "mmm-yy"), [2]RUNS!$D$5:$D$208, "Not Found")</f>
        <v>28961.125068258225</v>
      </c>
      <c r="H841" cm="1">
        <f t="array" ref="H841">SUMPRODUCT(
    --(TEXT('[3]Global Weekly Stock (EWSuez'!$B$4:$B$2000,"mmm-yy")=TEXT(A841,"mmm-yy")),
    '[3]Global Weekly Stock (EWSuez'!$E$4:$E$2000)
/
SUMPRODUCT(
    --(TEXT('[3]Global Weekly Stock (EWSuez'!$B$4:$B$2000,"mmm-yy")=TEXT(A841,"mmm-yy"))
)</f>
        <v>14820.8</v>
      </c>
      <c r="I841">
        <f>_xlfn.XLOOKUP(A841,[1]ForwardDeriv!$D:$D,[1]ForwardDeriv!$AJ:$AJ)</f>
        <v>-0.21000000000000796</v>
      </c>
      <c r="J841" cm="1">
        <f t="array" ref="J841">_xlfn.XLOOKUP(TEXT(A841, "mmm-yy"), TEXT([2]GASOLINE!$B$5:$B$208, "mmm-yy"), [2]GASOLINE!$IR$5:$IR$208, "Not Found")</f>
        <v>177.80389539276916</v>
      </c>
      <c r="K841" cm="1">
        <f t="array" ref="K841">_xlfn.XLOOKUP(TEXT(A841, "mmm-yy"), TEXT([2]GASOLINE!$B$5:$B$208, "mmm-yy"), [2]GASOLINE!$IK$5:$IK$208, "Not Found")</f>
        <v>156.39127600319827</v>
      </c>
      <c r="L841">
        <f t="shared" si="13"/>
        <v>0</v>
      </c>
      <c r="M841" cm="1">
        <f t="array" ref="M841">_xlfn.XLOOKUP(TEXT(A841, "mmm-yy"), TEXT([2]GASOLINE!$B$5:$B$208, "mmm-yy"), [2]GASOLINE!$C$5:$C$208, "Not Found")</f>
        <v>7180.2318080190062</v>
      </c>
      <c r="N841" cm="1">
        <f t="array" ref="N841">_xlfn.XLOOKUP(TEXT(A841, "mmm-yy"), TEXT([2]RUNS!$B$5:$B$208, "mmm-yy"), [2]RUNS!$BM$5:$BM$208, "Not Found")</f>
        <v>0.83103416313744005</v>
      </c>
    </row>
    <row r="842" spans="1:14" x14ac:dyDescent="0.25">
      <c r="A842" s="1">
        <f>'[1]Global_Spot Prices'!$B2151</f>
        <v>43181</v>
      </c>
      <c r="B842">
        <f>_xlfn.XLOOKUP(A842,'[1]Global_Spot Prices'!$B:$B,'[1]Global_Spot Prices'!$BS:$BS)</f>
        <v>11.159999999999997</v>
      </c>
      <c r="C842">
        <f>_xlfn.XLOOKUP(A842,'[1]Global_Spot Prices'!$B:$B,'[1]Global_Spot Prices'!$E:$E)</f>
        <v>65.41</v>
      </c>
      <c r="D842">
        <f>_xlfn.XLOOKUP(A842,'[1]Global_Spot Prices'!$B:$B,'[1]Global_Spot Prices'!$D:$D)</f>
        <v>68.234999999999999</v>
      </c>
      <c r="E842">
        <f>_xlfn.XLOOKUP(A842,'[1]Global_Spot Prices'!$B:$B,'[1]Global_Spot Prices'!$H:$H)</f>
        <v>64.760000000000005</v>
      </c>
      <c r="F842">
        <f>_xlfn.XLOOKUP(A842,'[1]Global_Spot Prices'!$B:$B,'[1]Global_Spot Prices'!$I:$I)</f>
        <v>76.569999999999993</v>
      </c>
      <c r="G842" cm="1">
        <f t="array" ref="G842">_xlfn.XLOOKUP(TEXT(A842, "mmm-yy"), TEXT([2]RUNS!$B$5:$B$208, "mmm-yy"), [2]RUNS!$D$5:$D$208, "Not Found")</f>
        <v>28961.125068258225</v>
      </c>
      <c r="H842" cm="1">
        <f t="array" ref="H842">SUMPRODUCT(
    --(TEXT('[3]Global Weekly Stock (EWSuez'!$B$4:$B$2000,"mmm-yy")=TEXT(A842,"mmm-yy")),
    '[3]Global Weekly Stock (EWSuez'!$E$4:$E$2000)
/
SUMPRODUCT(
    --(TEXT('[3]Global Weekly Stock (EWSuez'!$B$4:$B$2000,"mmm-yy")=TEXT(A842,"mmm-yy"))
)</f>
        <v>14820.8</v>
      </c>
      <c r="I842">
        <f>_xlfn.XLOOKUP(A842,[1]ForwardDeriv!$D:$D,[1]ForwardDeriv!$AJ:$AJ)</f>
        <v>-0.21000000000000796</v>
      </c>
      <c r="J842" cm="1">
        <f t="array" ref="J842">_xlfn.XLOOKUP(TEXT(A842, "mmm-yy"), TEXT([2]GASOLINE!$B$5:$B$208, "mmm-yy"), [2]GASOLINE!$IR$5:$IR$208, "Not Found")</f>
        <v>177.80389539276916</v>
      </c>
      <c r="K842" cm="1">
        <f t="array" ref="K842">_xlfn.XLOOKUP(TEXT(A842, "mmm-yy"), TEXT([2]GASOLINE!$B$5:$B$208, "mmm-yy"), [2]GASOLINE!$IK$5:$IK$208, "Not Found")</f>
        <v>156.39127600319827</v>
      </c>
      <c r="L842">
        <f t="shared" si="13"/>
        <v>0</v>
      </c>
      <c r="M842" cm="1">
        <f t="array" ref="M842">_xlfn.XLOOKUP(TEXT(A842, "mmm-yy"), TEXT([2]GASOLINE!$B$5:$B$208, "mmm-yy"), [2]GASOLINE!$C$5:$C$208, "Not Found")</f>
        <v>7180.2318080190062</v>
      </c>
      <c r="N842" cm="1">
        <f t="array" ref="N842">_xlfn.XLOOKUP(TEXT(A842, "mmm-yy"), TEXT([2]RUNS!$B$5:$B$208, "mmm-yy"), [2]RUNS!$BM$5:$BM$208, "Not Found")</f>
        <v>0.83103416313744005</v>
      </c>
    </row>
    <row r="843" spans="1:14" x14ac:dyDescent="0.25">
      <c r="A843" s="1">
        <f>'[1]Global_Spot Prices'!$B2152</f>
        <v>43182</v>
      </c>
      <c r="B843">
        <f>_xlfn.XLOOKUP(A843,'[1]Global_Spot Prices'!$B:$B,'[1]Global_Spot Prices'!$BS:$BS)</f>
        <v>11.679999999999993</v>
      </c>
      <c r="C843">
        <f>_xlfn.XLOOKUP(A843,'[1]Global_Spot Prices'!$B:$B,'[1]Global_Spot Prices'!$E:$E)</f>
        <v>65.400000000000006</v>
      </c>
      <c r="D843">
        <f>_xlfn.XLOOKUP(A843,'[1]Global_Spot Prices'!$B:$B,'[1]Global_Spot Prices'!$D:$D)</f>
        <v>68.95</v>
      </c>
      <c r="E843">
        <f>_xlfn.XLOOKUP(A843,'[1]Global_Spot Prices'!$B:$B,'[1]Global_Spot Prices'!$H:$H)</f>
        <v>65.27</v>
      </c>
      <c r="F843">
        <f>_xlfn.XLOOKUP(A843,'[1]Global_Spot Prices'!$B:$B,'[1]Global_Spot Prices'!$I:$I)</f>
        <v>77.08</v>
      </c>
      <c r="G843" cm="1">
        <f t="array" ref="G843">_xlfn.XLOOKUP(TEXT(A843, "mmm-yy"), TEXT([2]RUNS!$B$5:$B$208, "mmm-yy"), [2]RUNS!$D$5:$D$208, "Not Found")</f>
        <v>28961.125068258225</v>
      </c>
      <c r="H843" cm="1">
        <f t="array" ref="H843">SUMPRODUCT(
    --(TEXT('[3]Global Weekly Stock (EWSuez'!$B$4:$B$2000,"mmm-yy")=TEXT(A843,"mmm-yy")),
    '[3]Global Weekly Stock (EWSuez'!$E$4:$E$2000)
/
SUMPRODUCT(
    --(TEXT('[3]Global Weekly Stock (EWSuez'!$B$4:$B$2000,"mmm-yy")=TEXT(A843,"mmm-yy"))
)</f>
        <v>14820.8</v>
      </c>
      <c r="I843">
        <f>_xlfn.XLOOKUP(A843,[1]ForwardDeriv!$D:$D,[1]ForwardDeriv!$AJ:$AJ)</f>
        <v>-0.15999999999999659</v>
      </c>
      <c r="J843" cm="1">
        <f t="array" ref="J843">_xlfn.XLOOKUP(TEXT(A843, "mmm-yy"), TEXT([2]GASOLINE!$B$5:$B$208, "mmm-yy"), [2]GASOLINE!$IR$5:$IR$208, "Not Found")</f>
        <v>177.80389539276916</v>
      </c>
      <c r="K843" cm="1">
        <f t="array" ref="K843">_xlfn.XLOOKUP(TEXT(A843, "mmm-yy"), TEXT([2]GASOLINE!$B$5:$B$208, "mmm-yy"), [2]GASOLINE!$IK$5:$IK$208, "Not Found")</f>
        <v>156.39127600319827</v>
      </c>
      <c r="L843">
        <f t="shared" si="13"/>
        <v>0</v>
      </c>
      <c r="M843" cm="1">
        <f t="array" ref="M843">_xlfn.XLOOKUP(TEXT(A843, "mmm-yy"), TEXT([2]GASOLINE!$B$5:$B$208, "mmm-yy"), [2]GASOLINE!$C$5:$C$208, "Not Found")</f>
        <v>7180.2318080190062</v>
      </c>
      <c r="N843" cm="1">
        <f t="array" ref="N843">_xlfn.XLOOKUP(TEXT(A843, "mmm-yy"), TEXT([2]RUNS!$B$5:$B$208, "mmm-yy"), [2]RUNS!$BM$5:$BM$208, "Not Found")</f>
        <v>0.83103416313744005</v>
      </c>
    </row>
    <row r="844" spans="1:14" x14ac:dyDescent="0.25">
      <c r="A844" s="1">
        <f>'[1]Global_Spot Prices'!$B2153</f>
        <v>43185</v>
      </c>
      <c r="B844">
        <f>_xlfn.XLOOKUP(A844,'[1]Global_Spot Prices'!$B:$B,'[1]Global_Spot Prices'!$BS:$BS)</f>
        <v>11.920000000000002</v>
      </c>
      <c r="C844">
        <f>_xlfn.XLOOKUP(A844,'[1]Global_Spot Prices'!$B:$B,'[1]Global_Spot Prices'!$E:$E)</f>
        <v>65.83</v>
      </c>
      <c r="D844">
        <f>_xlfn.XLOOKUP(A844,'[1]Global_Spot Prices'!$B:$B,'[1]Global_Spot Prices'!$D:$D)</f>
        <v>68.655000000000001</v>
      </c>
      <c r="E844">
        <f>_xlfn.XLOOKUP(A844,'[1]Global_Spot Prices'!$B:$B,'[1]Global_Spot Prices'!$H:$H)</f>
        <v>65.849999999999994</v>
      </c>
      <c r="F844">
        <f>_xlfn.XLOOKUP(A844,'[1]Global_Spot Prices'!$B:$B,'[1]Global_Spot Prices'!$I:$I)</f>
        <v>77.75</v>
      </c>
      <c r="G844" cm="1">
        <f t="array" ref="G844">_xlfn.XLOOKUP(TEXT(A844, "mmm-yy"), TEXT([2]RUNS!$B$5:$B$208, "mmm-yy"), [2]RUNS!$D$5:$D$208, "Not Found")</f>
        <v>28961.125068258225</v>
      </c>
      <c r="H844" cm="1">
        <f t="array" ref="H844">SUMPRODUCT(
    --(TEXT('[3]Global Weekly Stock (EWSuez'!$B$4:$B$2000,"mmm-yy")=TEXT(A844,"mmm-yy")),
    '[3]Global Weekly Stock (EWSuez'!$E$4:$E$2000)
/
SUMPRODUCT(
    --(TEXT('[3]Global Weekly Stock (EWSuez'!$B$4:$B$2000,"mmm-yy")=TEXT(A844,"mmm-yy"))
)</f>
        <v>14820.8</v>
      </c>
      <c r="I844">
        <f>_xlfn.XLOOKUP(A844,[1]ForwardDeriv!$D:$D,[1]ForwardDeriv!$AJ:$AJ)</f>
        <v>-0.18999999999999773</v>
      </c>
      <c r="J844" cm="1">
        <f t="array" ref="J844">_xlfn.XLOOKUP(TEXT(A844, "mmm-yy"), TEXT([2]GASOLINE!$B$5:$B$208, "mmm-yy"), [2]GASOLINE!$IR$5:$IR$208, "Not Found")</f>
        <v>177.80389539276916</v>
      </c>
      <c r="K844" cm="1">
        <f t="array" ref="K844">_xlfn.XLOOKUP(TEXT(A844, "mmm-yy"), TEXT([2]GASOLINE!$B$5:$B$208, "mmm-yy"), [2]GASOLINE!$IK$5:$IK$208, "Not Found")</f>
        <v>156.39127600319827</v>
      </c>
      <c r="L844">
        <f t="shared" si="13"/>
        <v>0</v>
      </c>
      <c r="M844" cm="1">
        <f t="array" ref="M844">_xlfn.XLOOKUP(TEXT(A844, "mmm-yy"), TEXT([2]GASOLINE!$B$5:$B$208, "mmm-yy"), [2]GASOLINE!$C$5:$C$208, "Not Found")</f>
        <v>7180.2318080190062</v>
      </c>
      <c r="N844" cm="1">
        <f t="array" ref="N844">_xlfn.XLOOKUP(TEXT(A844, "mmm-yy"), TEXT([2]RUNS!$B$5:$B$208, "mmm-yy"), [2]RUNS!$BM$5:$BM$208, "Not Found")</f>
        <v>0.83103416313744005</v>
      </c>
    </row>
    <row r="845" spans="1:14" x14ac:dyDescent="0.25">
      <c r="A845" s="1">
        <f>'[1]Global_Spot Prices'!$B2154</f>
        <v>43186</v>
      </c>
      <c r="B845">
        <f>_xlfn.XLOOKUP(A845,'[1]Global_Spot Prices'!$B:$B,'[1]Global_Spot Prices'!$BS:$BS)</f>
        <v>11.870000000000005</v>
      </c>
      <c r="C845">
        <f>_xlfn.XLOOKUP(A845,'[1]Global_Spot Prices'!$B:$B,'[1]Global_Spot Prices'!$E:$E)</f>
        <v>65.849999999999994</v>
      </c>
      <c r="D845">
        <f>_xlfn.XLOOKUP(A845,'[1]Global_Spot Prices'!$B:$B,'[1]Global_Spot Prices'!$D:$D)</f>
        <v>68.61</v>
      </c>
      <c r="E845">
        <f>_xlfn.XLOOKUP(A845,'[1]Global_Spot Prices'!$B:$B,'[1]Global_Spot Prices'!$H:$H)</f>
        <v>65.84</v>
      </c>
      <c r="F845">
        <f>_xlfn.XLOOKUP(A845,'[1]Global_Spot Prices'!$B:$B,'[1]Global_Spot Prices'!$I:$I)</f>
        <v>77.72</v>
      </c>
      <c r="G845" cm="1">
        <f t="array" ref="G845">_xlfn.XLOOKUP(TEXT(A845, "mmm-yy"), TEXT([2]RUNS!$B$5:$B$208, "mmm-yy"), [2]RUNS!$D$5:$D$208, "Not Found")</f>
        <v>28961.125068258225</v>
      </c>
      <c r="H845" cm="1">
        <f t="array" ref="H845">SUMPRODUCT(
    --(TEXT('[3]Global Weekly Stock (EWSuez'!$B$4:$B$2000,"mmm-yy")=TEXT(A845,"mmm-yy")),
    '[3]Global Weekly Stock (EWSuez'!$E$4:$E$2000)
/
SUMPRODUCT(
    --(TEXT('[3]Global Weekly Stock (EWSuez'!$B$4:$B$2000,"mmm-yy")=TEXT(A845,"mmm-yy"))
)</f>
        <v>14820.8</v>
      </c>
      <c r="I845">
        <f>_xlfn.XLOOKUP(A845,[1]ForwardDeriv!$D:$D,[1]ForwardDeriv!$AJ:$AJ)</f>
        <v>-0.18999999999999773</v>
      </c>
      <c r="J845" cm="1">
        <f t="array" ref="J845">_xlfn.XLOOKUP(TEXT(A845, "mmm-yy"), TEXT([2]GASOLINE!$B$5:$B$208, "mmm-yy"), [2]GASOLINE!$IR$5:$IR$208, "Not Found")</f>
        <v>177.80389539276916</v>
      </c>
      <c r="K845" cm="1">
        <f t="array" ref="K845">_xlfn.XLOOKUP(TEXT(A845, "mmm-yy"), TEXT([2]GASOLINE!$B$5:$B$208, "mmm-yy"), [2]GASOLINE!$IK$5:$IK$208, "Not Found")</f>
        <v>156.39127600319827</v>
      </c>
      <c r="L845">
        <f t="shared" si="13"/>
        <v>0</v>
      </c>
      <c r="M845" cm="1">
        <f t="array" ref="M845">_xlfn.XLOOKUP(TEXT(A845, "mmm-yy"), TEXT([2]GASOLINE!$B$5:$B$208, "mmm-yy"), [2]GASOLINE!$C$5:$C$208, "Not Found")</f>
        <v>7180.2318080190062</v>
      </c>
      <c r="N845" cm="1">
        <f t="array" ref="N845">_xlfn.XLOOKUP(TEXT(A845, "mmm-yy"), TEXT([2]RUNS!$B$5:$B$208, "mmm-yy"), [2]RUNS!$BM$5:$BM$208, "Not Found")</f>
        <v>0.83103416313744005</v>
      </c>
    </row>
    <row r="846" spans="1:14" x14ac:dyDescent="0.25">
      <c r="A846" s="1">
        <f>'[1]Global_Spot Prices'!$B2155</f>
        <v>43187</v>
      </c>
      <c r="B846">
        <f>_xlfn.XLOOKUP(A846,'[1]Global_Spot Prices'!$B:$B,'[1]Global_Spot Prices'!$BS:$BS)</f>
        <v>12.11</v>
      </c>
      <c r="C846">
        <f>_xlfn.XLOOKUP(A846,'[1]Global_Spot Prices'!$B:$B,'[1]Global_Spot Prices'!$E:$E)</f>
        <v>65.2</v>
      </c>
      <c r="D846">
        <f>_xlfn.XLOOKUP(A846,'[1]Global_Spot Prices'!$B:$B,'[1]Global_Spot Prices'!$D:$D)</f>
        <v>68.144999999999996</v>
      </c>
      <c r="E846">
        <f>_xlfn.XLOOKUP(A846,'[1]Global_Spot Prices'!$B:$B,'[1]Global_Spot Prices'!$H:$H)</f>
        <v>66.099999999999994</v>
      </c>
      <c r="F846">
        <f>_xlfn.XLOOKUP(A846,'[1]Global_Spot Prices'!$B:$B,'[1]Global_Spot Prices'!$I:$I)</f>
        <v>77.31</v>
      </c>
      <c r="G846" cm="1">
        <f t="array" ref="G846">_xlfn.XLOOKUP(TEXT(A846, "mmm-yy"), TEXT([2]RUNS!$B$5:$B$208, "mmm-yy"), [2]RUNS!$D$5:$D$208, "Not Found")</f>
        <v>28961.125068258225</v>
      </c>
      <c r="H846" cm="1">
        <f t="array" ref="H846">SUMPRODUCT(
    --(TEXT('[3]Global Weekly Stock (EWSuez'!$B$4:$B$2000,"mmm-yy")=TEXT(A846,"mmm-yy")),
    '[3]Global Weekly Stock (EWSuez'!$E$4:$E$2000)
/
SUMPRODUCT(
    --(TEXT('[3]Global Weekly Stock (EWSuez'!$B$4:$B$2000,"mmm-yy")=TEXT(A846,"mmm-yy"))
)</f>
        <v>14820.8</v>
      </c>
      <c r="I846">
        <f>_xlfn.XLOOKUP(A846,[1]ForwardDeriv!$D:$D,[1]ForwardDeriv!$AJ:$AJ)</f>
        <v>-0.19000000000001194</v>
      </c>
      <c r="J846" cm="1">
        <f t="array" ref="J846">_xlfn.XLOOKUP(TEXT(A846, "mmm-yy"), TEXT([2]GASOLINE!$B$5:$B$208, "mmm-yy"), [2]GASOLINE!$IR$5:$IR$208, "Not Found")</f>
        <v>177.80389539276916</v>
      </c>
      <c r="K846" cm="1">
        <f t="array" ref="K846">_xlfn.XLOOKUP(TEXT(A846, "mmm-yy"), TEXT([2]GASOLINE!$B$5:$B$208, "mmm-yy"), [2]GASOLINE!$IK$5:$IK$208, "Not Found")</f>
        <v>156.39127600319827</v>
      </c>
      <c r="L846">
        <f t="shared" si="13"/>
        <v>0</v>
      </c>
      <c r="M846" cm="1">
        <f t="array" ref="M846">_xlfn.XLOOKUP(TEXT(A846, "mmm-yy"), TEXT([2]GASOLINE!$B$5:$B$208, "mmm-yy"), [2]GASOLINE!$C$5:$C$208, "Not Found")</f>
        <v>7180.2318080190062</v>
      </c>
      <c r="N846" cm="1">
        <f t="array" ref="N846">_xlfn.XLOOKUP(TEXT(A846, "mmm-yy"), TEXT([2]RUNS!$B$5:$B$208, "mmm-yy"), [2]RUNS!$BM$5:$BM$208, "Not Found")</f>
        <v>0.83103416313744005</v>
      </c>
    </row>
    <row r="847" spans="1:14" x14ac:dyDescent="0.25">
      <c r="A847" s="1">
        <f>'[1]Global_Spot Prices'!$B2156</f>
        <v>43188</v>
      </c>
      <c r="B847">
        <f>_xlfn.XLOOKUP(A847,'[1]Global_Spot Prices'!$B:$B,'[1]Global_Spot Prices'!$BS:$BS)</f>
        <v>12.259999999999991</v>
      </c>
      <c r="C847">
        <f>_xlfn.XLOOKUP(A847,'[1]Global_Spot Prices'!$B:$B,'[1]Global_Spot Prices'!$E:$E)</f>
        <v>65.400000000000006</v>
      </c>
      <c r="D847">
        <f>_xlfn.XLOOKUP(A847,'[1]Global_Spot Prices'!$B:$B,'[1]Global_Spot Prices'!$D:$D)</f>
        <v>67.314999999999998</v>
      </c>
      <c r="E847">
        <f>_xlfn.XLOOKUP(A847,'[1]Global_Spot Prices'!$B:$B,'[1]Global_Spot Prices'!$H:$H)</f>
        <v>66.819999999999993</v>
      </c>
      <c r="F847">
        <f>_xlfn.XLOOKUP(A847,'[1]Global_Spot Prices'!$B:$B,'[1]Global_Spot Prices'!$I:$I)</f>
        <v>77.66</v>
      </c>
      <c r="G847" cm="1">
        <f t="array" ref="G847">_xlfn.XLOOKUP(TEXT(A847, "mmm-yy"), TEXT([2]RUNS!$B$5:$B$208, "mmm-yy"), [2]RUNS!$D$5:$D$208, "Not Found")</f>
        <v>28961.125068258225</v>
      </c>
      <c r="H847" cm="1">
        <f t="array" ref="H847">SUMPRODUCT(
    --(TEXT('[3]Global Weekly Stock (EWSuez'!$B$4:$B$2000,"mmm-yy")=TEXT(A847,"mmm-yy")),
    '[3]Global Weekly Stock (EWSuez'!$E$4:$E$2000)
/
SUMPRODUCT(
    --(TEXT('[3]Global Weekly Stock (EWSuez'!$B$4:$B$2000,"mmm-yy")=TEXT(A847,"mmm-yy"))
)</f>
        <v>14820.8</v>
      </c>
      <c r="I847">
        <f>_xlfn.XLOOKUP(A847,[1]ForwardDeriv!$D:$D,[1]ForwardDeriv!$AJ:$AJ)</f>
        <v>-0.17000000000000171</v>
      </c>
      <c r="J847" cm="1">
        <f t="array" ref="J847">_xlfn.XLOOKUP(TEXT(A847, "mmm-yy"), TEXT([2]GASOLINE!$B$5:$B$208, "mmm-yy"), [2]GASOLINE!$IR$5:$IR$208, "Not Found")</f>
        <v>177.80389539276916</v>
      </c>
      <c r="K847" cm="1">
        <f t="array" ref="K847">_xlfn.XLOOKUP(TEXT(A847, "mmm-yy"), TEXT([2]GASOLINE!$B$5:$B$208, "mmm-yy"), [2]GASOLINE!$IK$5:$IK$208, "Not Found")</f>
        <v>156.39127600319827</v>
      </c>
      <c r="L847">
        <f t="shared" si="13"/>
        <v>0</v>
      </c>
      <c r="M847" cm="1">
        <f t="array" ref="M847">_xlfn.XLOOKUP(TEXT(A847, "mmm-yy"), TEXT([2]GASOLINE!$B$5:$B$208, "mmm-yy"), [2]GASOLINE!$C$5:$C$208, "Not Found")</f>
        <v>7180.2318080190062</v>
      </c>
      <c r="N847" cm="1">
        <f t="array" ref="N847">_xlfn.XLOOKUP(TEXT(A847, "mmm-yy"), TEXT([2]RUNS!$B$5:$B$208, "mmm-yy"), [2]RUNS!$BM$5:$BM$208, "Not Found")</f>
        <v>0.83103416313744005</v>
      </c>
    </row>
    <row r="848" spans="1:14" x14ac:dyDescent="0.25">
      <c r="A848" s="1">
        <f>'[1]Global_Spot Prices'!$B2157</f>
        <v>43189</v>
      </c>
      <c r="B848" t="e">
        <f>_xlfn.XLOOKUP(A848,'[1]Global_Spot Prices'!$B:$B,'[1]Global_Spot Prices'!$BS:$BS)</f>
        <v>#N/A</v>
      </c>
      <c r="C848" t="str">
        <f>_xlfn.XLOOKUP(A848,'[1]Global_Spot Prices'!$B:$B,'[1]Global_Spot Prices'!$E:$E)</f>
        <v/>
      </c>
      <c r="D848" t="str">
        <f>_xlfn.XLOOKUP(A848,'[1]Global_Spot Prices'!$B:$B,'[1]Global_Spot Prices'!$D:$D)</f>
        <v/>
      </c>
      <c r="E848">
        <f>_xlfn.XLOOKUP(A848,'[1]Global_Spot Prices'!$B:$B,'[1]Global_Spot Prices'!$H:$H)</f>
        <v>0</v>
      </c>
      <c r="F848">
        <f>_xlfn.XLOOKUP(A848,'[1]Global_Spot Prices'!$B:$B,'[1]Global_Spot Prices'!$I:$I)</f>
        <v>0</v>
      </c>
      <c r="G848" cm="1">
        <f t="array" ref="G848">_xlfn.XLOOKUP(TEXT(A848, "mmm-yy"), TEXT([2]RUNS!$B$5:$B$208, "mmm-yy"), [2]RUNS!$D$5:$D$208, "Not Found")</f>
        <v>28961.125068258225</v>
      </c>
      <c r="H848" cm="1">
        <f t="array" ref="H848">SUMPRODUCT(
    --(TEXT('[3]Global Weekly Stock (EWSuez'!$B$4:$B$2000,"mmm-yy")=TEXT(A848,"mmm-yy")),
    '[3]Global Weekly Stock (EWSuez'!$E$4:$E$2000)
/
SUMPRODUCT(
    --(TEXT('[3]Global Weekly Stock (EWSuez'!$B$4:$B$2000,"mmm-yy")=TEXT(A848,"mmm-yy"))
)</f>
        <v>14820.8</v>
      </c>
      <c r="I848">
        <f>_xlfn.XLOOKUP(A848,[1]ForwardDeriv!$D:$D,[1]ForwardDeriv!$AJ:$AJ)</f>
        <v>0.32999999999999829</v>
      </c>
      <c r="J848" cm="1">
        <f t="array" ref="J848">_xlfn.XLOOKUP(TEXT(A848, "mmm-yy"), TEXT([2]GASOLINE!$B$5:$B$208, "mmm-yy"), [2]GASOLINE!$IR$5:$IR$208, "Not Found")</f>
        <v>177.80389539276916</v>
      </c>
      <c r="K848" cm="1">
        <f t="array" ref="K848">_xlfn.XLOOKUP(TEXT(A848, "mmm-yy"), TEXT([2]GASOLINE!$B$5:$B$208, "mmm-yy"), [2]GASOLINE!$IK$5:$IK$208, "Not Found")</f>
        <v>156.39127600319827</v>
      </c>
      <c r="L848">
        <f t="shared" si="13"/>
        <v>0</v>
      </c>
      <c r="M848" cm="1">
        <f t="array" ref="M848">_xlfn.XLOOKUP(TEXT(A848, "mmm-yy"), TEXT([2]GASOLINE!$B$5:$B$208, "mmm-yy"), [2]GASOLINE!$C$5:$C$208, "Not Found")</f>
        <v>7180.2318080190062</v>
      </c>
      <c r="N848" cm="1">
        <f t="array" ref="N848">_xlfn.XLOOKUP(TEXT(A848, "mmm-yy"), TEXT([2]RUNS!$B$5:$B$208, "mmm-yy"), [2]RUNS!$BM$5:$BM$208, "Not Found")</f>
        <v>0.83103416313744005</v>
      </c>
    </row>
    <row r="849" spans="1:14" x14ac:dyDescent="0.25">
      <c r="A849" s="1">
        <f>'[1]Global_Spot Prices'!$B2158</f>
        <v>43192</v>
      </c>
      <c r="B849">
        <f>_xlfn.XLOOKUP(A849,'[1]Global_Spot Prices'!$B:$B,'[1]Global_Spot Prices'!$BS:$BS)</f>
        <v>11.14</v>
      </c>
      <c r="C849">
        <f>_xlfn.XLOOKUP(A849,'[1]Global_Spot Prices'!$B:$B,'[1]Global_Spot Prices'!$E:$E)</f>
        <v>66.86</v>
      </c>
      <c r="D849" t="str">
        <f>_xlfn.XLOOKUP(A849,'[1]Global_Spot Prices'!$B:$B,'[1]Global_Spot Prices'!$D:$D)</f>
        <v/>
      </c>
      <c r="E849">
        <f>_xlfn.XLOOKUP(A849,'[1]Global_Spot Prices'!$B:$B,'[1]Global_Spot Prices'!$H:$H)</f>
        <v>66.819999999999993</v>
      </c>
      <c r="F849">
        <f>_xlfn.XLOOKUP(A849,'[1]Global_Spot Prices'!$B:$B,'[1]Global_Spot Prices'!$I:$I)</f>
        <v>78</v>
      </c>
      <c r="G849" cm="1">
        <f t="array" ref="G849">_xlfn.XLOOKUP(TEXT(A849, "mmm-yy"), TEXT([2]RUNS!$B$5:$B$208, "mmm-yy"), [2]RUNS!$D$5:$D$208, "Not Found")</f>
        <v>29085.182247570345</v>
      </c>
      <c r="H849" cm="1">
        <f t="array" ref="H849">SUMPRODUCT(
    --(TEXT('[3]Global Weekly Stock (EWSuez'!$B$4:$B$2000,"mmm-yy")=TEXT(A849,"mmm-yy")),
    '[3]Global Weekly Stock (EWSuez'!$E$4:$E$2000)
/
SUMPRODUCT(
    --(TEXT('[3]Global Weekly Stock (EWSuez'!$B$4:$B$2000,"mmm-yy")=TEXT(A849,"mmm-yy"))
)</f>
        <v>13265.25</v>
      </c>
      <c r="I849">
        <f>_xlfn.XLOOKUP(A849,[1]ForwardDeriv!$D:$D,[1]ForwardDeriv!$AJ:$AJ)</f>
        <v>0.32999999999999829</v>
      </c>
      <c r="J849" cm="1">
        <f t="array" ref="J849">_xlfn.XLOOKUP(TEXT(A849, "mmm-yy"), TEXT([2]GASOLINE!$B$5:$B$208, "mmm-yy"), [2]GASOLINE!$IR$5:$IR$208, "Not Found")</f>
        <v>75.229554546306474</v>
      </c>
      <c r="K849" cm="1">
        <f t="array" ref="K849">_xlfn.XLOOKUP(TEXT(A849, "mmm-yy"), TEXT([2]GASOLINE!$B$5:$B$208, "mmm-yy"), [2]GASOLINE!$IK$5:$IK$208, "Not Found")</f>
        <v>156.35758997881121</v>
      </c>
      <c r="L849">
        <f t="shared" si="13"/>
        <v>0</v>
      </c>
      <c r="M849" cm="1">
        <f t="array" ref="M849">_xlfn.XLOOKUP(TEXT(A849, "mmm-yy"), TEXT([2]GASOLINE!$B$5:$B$208, "mmm-yy"), [2]GASOLINE!$C$5:$C$208, "Not Found")</f>
        <v>7234.5635573632744</v>
      </c>
      <c r="N849" cm="1">
        <f t="array" ref="N849">_xlfn.XLOOKUP(TEXT(A849, "mmm-yy"), TEXT([2]RUNS!$B$5:$B$208, "mmm-yy"), [2]RUNS!$BM$5:$BM$208, "Not Found")</f>
        <v>0.83459396110619488</v>
      </c>
    </row>
    <row r="850" spans="1:14" x14ac:dyDescent="0.25">
      <c r="A850" s="1">
        <f>'[1]Global_Spot Prices'!$B2159</f>
        <v>43193</v>
      </c>
      <c r="B850">
        <f>_xlfn.XLOOKUP(A850,'[1]Global_Spot Prices'!$B:$B,'[1]Global_Spot Prices'!$BS:$BS)</f>
        <v>10.995000000000005</v>
      </c>
      <c r="C850">
        <f>_xlfn.XLOOKUP(A850,'[1]Global_Spot Prices'!$B:$B,'[1]Global_Spot Prices'!$E:$E)</f>
        <v>65.204999999999998</v>
      </c>
      <c r="D850">
        <f>_xlfn.XLOOKUP(A850,'[1]Global_Spot Prices'!$B:$B,'[1]Global_Spot Prices'!$D:$D)</f>
        <v>67.040000000000006</v>
      </c>
      <c r="E850">
        <f>_xlfn.XLOOKUP(A850,'[1]Global_Spot Prices'!$B:$B,'[1]Global_Spot Prices'!$H:$H)</f>
        <v>65.42</v>
      </c>
      <c r="F850">
        <f>_xlfn.XLOOKUP(A850,'[1]Global_Spot Prices'!$B:$B,'[1]Global_Spot Prices'!$I:$I)</f>
        <v>76.2</v>
      </c>
      <c r="G850" cm="1">
        <f t="array" ref="G850">_xlfn.XLOOKUP(TEXT(A850, "mmm-yy"), TEXT([2]RUNS!$B$5:$B$208, "mmm-yy"), [2]RUNS!$D$5:$D$208, "Not Found")</f>
        <v>29085.182247570345</v>
      </c>
      <c r="H850" cm="1">
        <f t="array" ref="H850">SUMPRODUCT(
    --(TEXT('[3]Global Weekly Stock (EWSuez'!$B$4:$B$2000,"mmm-yy")=TEXT(A850,"mmm-yy")),
    '[3]Global Weekly Stock (EWSuez'!$E$4:$E$2000)
/
SUMPRODUCT(
    --(TEXT('[3]Global Weekly Stock (EWSuez'!$B$4:$B$2000,"mmm-yy")=TEXT(A850,"mmm-yy"))
)</f>
        <v>13265.25</v>
      </c>
      <c r="I850">
        <f>_xlfn.XLOOKUP(A850,[1]ForwardDeriv!$D:$D,[1]ForwardDeriv!$AJ:$AJ)</f>
        <v>0.25</v>
      </c>
      <c r="J850" cm="1">
        <f t="array" ref="J850">_xlfn.XLOOKUP(TEXT(A850, "mmm-yy"), TEXT([2]GASOLINE!$B$5:$B$208, "mmm-yy"), [2]GASOLINE!$IR$5:$IR$208, "Not Found")</f>
        <v>75.229554546306474</v>
      </c>
      <c r="K850" cm="1">
        <f t="array" ref="K850">_xlfn.XLOOKUP(TEXT(A850, "mmm-yy"), TEXT([2]GASOLINE!$B$5:$B$208, "mmm-yy"), [2]GASOLINE!$IK$5:$IK$208, "Not Found")</f>
        <v>156.35758997881121</v>
      </c>
      <c r="L850">
        <f t="shared" si="13"/>
        <v>0</v>
      </c>
      <c r="M850" cm="1">
        <f t="array" ref="M850">_xlfn.XLOOKUP(TEXT(A850, "mmm-yy"), TEXT([2]GASOLINE!$B$5:$B$208, "mmm-yy"), [2]GASOLINE!$C$5:$C$208, "Not Found")</f>
        <v>7234.5635573632744</v>
      </c>
      <c r="N850" cm="1">
        <f t="array" ref="N850">_xlfn.XLOOKUP(TEXT(A850, "mmm-yy"), TEXT([2]RUNS!$B$5:$B$208, "mmm-yy"), [2]RUNS!$BM$5:$BM$208, "Not Found")</f>
        <v>0.83459396110619488</v>
      </c>
    </row>
    <row r="851" spans="1:14" x14ac:dyDescent="0.25">
      <c r="A851" s="1">
        <f>'[1]Global_Spot Prices'!$B2160</f>
        <v>43194</v>
      </c>
      <c r="B851">
        <f>_xlfn.XLOOKUP(A851,'[1]Global_Spot Prices'!$B:$B,'[1]Global_Spot Prices'!$BS:$BS)</f>
        <v>11.019999999999996</v>
      </c>
      <c r="C851">
        <f>_xlfn.XLOOKUP(A851,'[1]Global_Spot Prices'!$B:$B,'[1]Global_Spot Prices'!$E:$E)</f>
        <v>64.69</v>
      </c>
      <c r="D851">
        <f>_xlfn.XLOOKUP(A851,'[1]Global_Spot Prices'!$B:$B,'[1]Global_Spot Prices'!$D:$D)</f>
        <v>66.504999999999995</v>
      </c>
      <c r="E851">
        <f>_xlfn.XLOOKUP(A851,'[1]Global_Spot Prices'!$B:$B,'[1]Global_Spot Prices'!$H:$H)</f>
        <v>64.58</v>
      </c>
      <c r="F851">
        <f>_xlfn.XLOOKUP(A851,'[1]Global_Spot Prices'!$B:$B,'[1]Global_Spot Prices'!$I:$I)</f>
        <v>75.709999999999994</v>
      </c>
      <c r="G851" cm="1">
        <f t="array" ref="G851">_xlfn.XLOOKUP(TEXT(A851, "mmm-yy"), TEXT([2]RUNS!$B$5:$B$208, "mmm-yy"), [2]RUNS!$D$5:$D$208, "Not Found")</f>
        <v>29085.182247570345</v>
      </c>
      <c r="H851" cm="1">
        <f t="array" ref="H851">SUMPRODUCT(
    --(TEXT('[3]Global Weekly Stock (EWSuez'!$B$4:$B$2000,"mmm-yy")=TEXT(A851,"mmm-yy")),
    '[3]Global Weekly Stock (EWSuez'!$E$4:$E$2000)
/
SUMPRODUCT(
    --(TEXT('[3]Global Weekly Stock (EWSuez'!$B$4:$B$2000,"mmm-yy")=TEXT(A851,"mmm-yy"))
)</f>
        <v>13265.25</v>
      </c>
      <c r="I851">
        <f>_xlfn.XLOOKUP(A851,[1]ForwardDeriv!$D:$D,[1]ForwardDeriv!$AJ:$AJ)</f>
        <v>0.23000000000000398</v>
      </c>
      <c r="J851" cm="1">
        <f t="array" ref="J851">_xlfn.XLOOKUP(TEXT(A851, "mmm-yy"), TEXT([2]GASOLINE!$B$5:$B$208, "mmm-yy"), [2]GASOLINE!$IR$5:$IR$208, "Not Found")</f>
        <v>75.229554546306474</v>
      </c>
      <c r="K851" cm="1">
        <f t="array" ref="K851">_xlfn.XLOOKUP(TEXT(A851, "mmm-yy"), TEXT([2]GASOLINE!$B$5:$B$208, "mmm-yy"), [2]GASOLINE!$IK$5:$IK$208, "Not Found")</f>
        <v>156.35758997881121</v>
      </c>
      <c r="L851">
        <f t="shared" si="13"/>
        <v>0</v>
      </c>
      <c r="M851" cm="1">
        <f t="array" ref="M851">_xlfn.XLOOKUP(TEXT(A851, "mmm-yy"), TEXT([2]GASOLINE!$B$5:$B$208, "mmm-yy"), [2]GASOLINE!$C$5:$C$208, "Not Found")</f>
        <v>7234.5635573632744</v>
      </c>
      <c r="N851" cm="1">
        <f t="array" ref="N851">_xlfn.XLOOKUP(TEXT(A851, "mmm-yy"), TEXT([2]RUNS!$B$5:$B$208, "mmm-yy"), [2]RUNS!$BM$5:$BM$208, "Not Found")</f>
        <v>0.83459396110619488</v>
      </c>
    </row>
    <row r="852" spans="1:14" x14ac:dyDescent="0.25">
      <c r="A852" s="1">
        <f>'[1]Global_Spot Prices'!$B2161</f>
        <v>43195</v>
      </c>
      <c r="B852">
        <f>_xlfn.XLOOKUP(A852,'[1]Global_Spot Prices'!$B:$B,'[1]Global_Spot Prices'!$BS:$BS)</f>
        <v>11</v>
      </c>
      <c r="C852">
        <f>_xlfn.XLOOKUP(A852,'[1]Global_Spot Prices'!$B:$B,'[1]Global_Spot Prices'!$E:$E)</f>
        <v>65.400000000000006</v>
      </c>
      <c r="D852">
        <f>_xlfn.XLOOKUP(A852,'[1]Global_Spot Prices'!$B:$B,'[1]Global_Spot Prices'!$D:$D)</f>
        <v>67.165000000000006</v>
      </c>
      <c r="E852">
        <f>_xlfn.XLOOKUP(A852,'[1]Global_Spot Prices'!$B:$B,'[1]Global_Spot Prices'!$H:$H)</f>
        <v>64.900000000000006</v>
      </c>
      <c r="F852">
        <f>_xlfn.XLOOKUP(A852,'[1]Global_Spot Prices'!$B:$B,'[1]Global_Spot Prices'!$I:$I)</f>
        <v>76.400000000000006</v>
      </c>
      <c r="G852" cm="1">
        <f t="array" ref="G852">_xlfn.XLOOKUP(TEXT(A852, "mmm-yy"), TEXT([2]RUNS!$B$5:$B$208, "mmm-yy"), [2]RUNS!$D$5:$D$208, "Not Found")</f>
        <v>29085.182247570345</v>
      </c>
      <c r="H852" cm="1">
        <f t="array" ref="H852">SUMPRODUCT(
    --(TEXT('[3]Global Weekly Stock (EWSuez'!$B$4:$B$2000,"mmm-yy")=TEXT(A852,"mmm-yy")),
    '[3]Global Weekly Stock (EWSuez'!$E$4:$E$2000)
/
SUMPRODUCT(
    --(TEXT('[3]Global Weekly Stock (EWSuez'!$B$4:$B$2000,"mmm-yy")=TEXT(A852,"mmm-yy"))
)</f>
        <v>13265.25</v>
      </c>
      <c r="I852">
        <f>_xlfn.XLOOKUP(A852,[1]ForwardDeriv!$D:$D,[1]ForwardDeriv!$AJ:$AJ)</f>
        <v>0.23999999999999488</v>
      </c>
      <c r="J852" cm="1">
        <f t="array" ref="J852">_xlfn.XLOOKUP(TEXT(A852, "mmm-yy"), TEXT([2]GASOLINE!$B$5:$B$208, "mmm-yy"), [2]GASOLINE!$IR$5:$IR$208, "Not Found")</f>
        <v>75.229554546306474</v>
      </c>
      <c r="K852" cm="1">
        <f t="array" ref="K852">_xlfn.XLOOKUP(TEXT(A852, "mmm-yy"), TEXT([2]GASOLINE!$B$5:$B$208, "mmm-yy"), [2]GASOLINE!$IK$5:$IK$208, "Not Found")</f>
        <v>156.35758997881121</v>
      </c>
      <c r="L852">
        <f t="shared" si="13"/>
        <v>0</v>
      </c>
      <c r="M852" cm="1">
        <f t="array" ref="M852">_xlfn.XLOOKUP(TEXT(A852, "mmm-yy"), TEXT([2]GASOLINE!$B$5:$B$208, "mmm-yy"), [2]GASOLINE!$C$5:$C$208, "Not Found")</f>
        <v>7234.5635573632744</v>
      </c>
      <c r="N852" cm="1">
        <f t="array" ref="N852">_xlfn.XLOOKUP(TEXT(A852, "mmm-yy"), TEXT([2]RUNS!$B$5:$B$208, "mmm-yy"), [2]RUNS!$BM$5:$BM$208, "Not Found")</f>
        <v>0.83459396110619488</v>
      </c>
    </row>
    <row r="853" spans="1:14" x14ac:dyDescent="0.25">
      <c r="A853" s="1">
        <f>'[1]Global_Spot Prices'!$B2162</f>
        <v>43196</v>
      </c>
      <c r="B853">
        <f>_xlfn.XLOOKUP(A853,'[1]Global_Spot Prices'!$B:$B,'[1]Global_Spot Prices'!$BS:$BS)</f>
        <v>10.459999999999994</v>
      </c>
      <c r="C853">
        <f>_xlfn.XLOOKUP(A853,'[1]Global_Spot Prices'!$B:$B,'[1]Global_Spot Prices'!$E:$E)</f>
        <v>65.34</v>
      </c>
      <c r="D853">
        <f>_xlfn.XLOOKUP(A853,'[1]Global_Spot Prices'!$B:$B,'[1]Global_Spot Prices'!$D:$D)</f>
        <v>66.48</v>
      </c>
      <c r="E853">
        <f>_xlfn.XLOOKUP(A853,'[1]Global_Spot Prices'!$B:$B,'[1]Global_Spot Prices'!$H:$H)</f>
        <v>64.19</v>
      </c>
      <c r="F853">
        <f>_xlfn.XLOOKUP(A853,'[1]Global_Spot Prices'!$B:$B,'[1]Global_Spot Prices'!$I:$I)</f>
        <v>75.8</v>
      </c>
      <c r="G853" cm="1">
        <f t="array" ref="G853">_xlfn.XLOOKUP(TEXT(A853, "mmm-yy"), TEXT([2]RUNS!$B$5:$B$208, "mmm-yy"), [2]RUNS!$D$5:$D$208, "Not Found")</f>
        <v>29085.182247570345</v>
      </c>
      <c r="H853" cm="1">
        <f t="array" ref="H853">SUMPRODUCT(
    --(TEXT('[3]Global Weekly Stock (EWSuez'!$B$4:$B$2000,"mmm-yy")=TEXT(A853,"mmm-yy")),
    '[3]Global Weekly Stock (EWSuez'!$E$4:$E$2000)
/
SUMPRODUCT(
    --(TEXT('[3]Global Weekly Stock (EWSuez'!$B$4:$B$2000,"mmm-yy")=TEXT(A853,"mmm-yy"))
)</f>
        <v>13265.25</v>
      </c>
      <c r="I853">
        <f>_xlfn.XLOOKUP(A853,[1]ForwardDeriv!$D:$D,[1]ForwardDeriv!$AJ:$AJ)</f>
        <v>0.17000000000000171</v>
      </c>
      <c r="J853" cm="1">
        <f t="array" ref="J853">_xlfn.XLOOKUP(TEXT(A853, "mmm-yy"), TEXT([2]GASOLINE!$B$5:$B$208, "mmm-yy"), [2]GASOLINE!$IR$5:$IR$208, "Not Found")</f>
        <v>75.229554546306474</v>
      </c>
      <c r="K853" cm="1">
        <f t="array" ref="K853">_xlfn.XLOOKUP(TEXT(A853, "mmm-yy"), TEXT([2]GASOLINE!$B$5:$B$208, "mmm-yy"), [2]GASOLINE!$IK$5:$IK$208, "Not Found")</f>
        <v>156.35758997881121</v>
      </c>
      <c r="L853">
        <f t="shared" si="13"/>
        <v>0</v>
      </c>
      <c r="M853" cm="1">
        <f t="array" ref="M853">_xlfn.XLOOKUP(TEXT(A853, "mmm-yy"), TEXT([2]GASOLINE!$B$5:$B$208, "mmm-yy"), [2]GASOLINE!$C$5:$C$208, "Not Found")</f>
        <v>7234.5635573632744</v>
      </c>
      <c r="N853" cm="1">
        <f t="array" ref="N853">_xlfn.XLOOKUP(TEXT(A853, "mmm-yy"), TEXT([2]RUNS!$B$5:$B$208, "mmm-yy"), [2]RUNS!$BM$5:$BM$208, "Not Found")</f>
        <v>0.83459396110619488</v>
      </c>
    </row>
    <row r="854" spans="1:14" x14ac:dyDescent="0.25">
      <c r="A854" s="1">
        <f>'[1]Global_Spot Prices'!$B2163</f>
        <v>43199</v>
      </c>
      <c r="B854">
        <f>_xlfn.XLOOKUP(A854,'[1]Global_Spot Prices'!$B:$B,'[1]Global_Spot Prices'!$BS:$BS)</f>
        <v>10.599999999999994</v>
      </c>
      <c r="C854">
        <f>_xlfn.XLOOKUP(A854,'[1]Global_Spot Prices'!$B:$B,'[1]Global_Spot Prices'!$E:$E)</f>
        <v>64.75</v>
      </c>
      <c r="D854">
        <f>_xlfn.XLOOKUP(A854,'[1]Global_Spot Prices'!$B:$B,'[1]Global_Spot Prices'!$D:$D)</f>
        <v>67.86</v>
      </c>
      <c r="E854">
        <f>_xlfn.XLOOKUP(A854,'[1]Global_Spot Prices'!$B:$B,'[1]Global_Spot Prices'!$H:$H)</f>
        <v>63.8</v>
      </c>
      <c r="F854">
        <f>_xlfn.XLOOKUP(A854,'[1]Global_Spot Prices'!$B:$B,'[1]Global_Spot Prices'!$I:$I)</f>
        <v>75.349999999999994</v>
      </c>
      <c r="G854" cm="1">
        <f t="array" ref="G854">_xlfn.XLOOKUP(TEXT(A854, "mmm-yy"), TEXT([2]RUNS!$B$5:$B$208, "mmm-yy"), [2]RUNS!$D$5:$D$208, "Not Found")</f>
        <v>29085.182247570345</v>
      </c>
      <c r="H854" cm="1">
        <f t="array" ref="H854">SUMPRODUCT(
    --(TEXT('[3]Global Weekly Stock (EWSuez'!$B$4:$B$2000,"mmm-yy")=TEXT(A854,"mmm-yy")),
    '[3]Global Weekly Stock (EWSuez'!$E$4:$E$2000)
/
SUMPRODUCT(
    --(TEXT('[3]Global Weekly Stock (EWSuez'!$B$4:$B$2000,"mmm-yy")=TEXT(A854,"mmm-yy"))
)</f>
        <v>13265.25</v>
      </c>
      <c r="I854">
        <f>_xlfn.XLOOKUP(A854,[1]ForwardDeriv!$D:$D,[1]ForwardDeriv!$AJ:$AJ)</f>
        <v>0.13000000000000966</v>
      </c>
      <c r="J854" cm="1">
        <f t="array" ref="J854">_xlfn.XLOOKUP(TEXT(A854, "mmm-yy"), TEXT([2]GASOLINE!$B$5:$B$208, "mmm-yy"), [2]GASOLINE!$IR$5:$IR$208, "Not Found")</f>
        <v>75.229554546306474</v>
      </c>
      <c r="K854" cm="1">
        <f t="array" ref="K854">_xlfn.XLOOKUP(TEXT(A854, "mmm-yy"), TEXT([2]GASOLINE!$B$5:$B$208, "mmm-yy"), [2]GASOLINE!$IK$5:$IK$208, "Not Found")</f>
        <v>156.35758997881121</v>
      </c>
      <c r="L854">
        <f t="shared" si="13"/>
        <v>0</v>
      </c>
      <c r="M854" cm="1">
        <f t="array" ref="M854">_xlfn.XLOOKUP(TEXT(A854, "mmm-yy"), TEXT([2]GASOLINE!$B$5:$B$208, "mmm-yy"), [2]GASOLINE!$C$5:$C$208, "Not Found")</f>
        <v>7234.5635573632744</v>
      </c>
      <c r="N854" cm="1">
        <f t="array" ref="N854">_xlfn.XLOOKUP(TEXT(A854, "mmm-yy"), TEXT([2]RUNS!$B$5:$B$208, "mmm-yy"), [2]RUNS!$BM$5:$BM$208, "Not Found")</f>
        <v>0.83459396110619488</v>
      </c>
    </row>
    <row r="855" spans="1:14" x14ac:dyDescent="0.25">
      <c r="A855" s="1">
        <f>'[1]Global_Spot Prices'!$B2164</f>
        <v>43200</v>
      </c>
      <c r="B855">
        <f>_xlfn.XLOOKUP(A855,'[1]Global_Spot Prices'!$B:$B,'[1]Global_Spot Prices'!$BS:$BS)</f>
        <v>10.564999999999998</v>
      </c>
      <c r="C855">
        <f>_xlfn.XLOOKUP(A855,'[1]Global_Spot Prices'!$B:$B,'[1]Global_Spot Prices'!$E:$E)</f>
        <v>66.545000000000002</v>
      </c>
      <c r="D855">
        <f>_xlfn.XLOOKUP(A855,'[1]Global_Spot Prices'!$B:$B,'[1]Global_Spot Prices'!$D:$D)</f>
        <v>70.265000000000001</v>
      </c>
      <c r="E855">
        <f>_xlfn.XLOOKUP(A855,'[1]Global_Spot Prices'!$B:$B,'[1]Global_Spot Prices'!$H:$H)</f>
        <v>65.290000000000006</v>
      </c>
      <c r="F855">
        <f>_xlfn.XLOOKUP(A855,'[1]Global_Spot Prices'!$B:$B,'[1]Global_Spot Prices'!$I:$I)</f>
        <v>77.11</v>
      </c>
      <c r="G855" cm="1">
        <f t="array" ref="G855">_xlfn.XLOOKUP(TEXT(A855, "mmm-yy"), TEXT([2]RUNS!$B$5:$B$208, "mmm-yy"), [2]RUNS!$D$5:$D$208, "Not Found")</f>
        <v>29085.182247570345</v>
      </c>
      <c r="H855" cm="1">
        <f t="array" ref="H855">SUMPRODUCT(
    --(TEXT('[3]Global Weekly Stock (EWSuez'!$B$4:$B$2000,"mmm-yy")=TEXT(A855,"mmm-yy")),
    '[3]Global Weekly Stock (EWSuez'!$E$4:$E$2000)
/
SUMPRODUCT(
    --(TEXT('[3]Global Weekly Stock (EWSuez'!$B$4:$B$2000,"mmm-yy")=TEXT(A855,"mmm-yy"))
)</f>
        <v>13265.25</v>
      </c>
      <c r="I855">
        <f>_xlfn.XLOOKUP(A855,[1]ForwardDeriv!$D:$D,[1]ForwardDeriv!$AJ:$AJ)</f>
        <v>6.9999999999993179E-2</v>
      </c>
      <c r="J855" cm="1">
        <f t="array" ref="J855">_xlfn.XLOOKUP(TEXT(A855, "mmm-yy"), TEXT([2]GASOLINE!$B$5:$B$208, "mmm-yy"), [2]GASOLINE!$IR$5:$IR$208, "Not Found")</f>
        <v>75.229554546306474</v>
      </c>
      <c r="K855" cm="1">
        <f t="array" ref="K855">_xlfn.XLOOKUP(TEXT(A855, "mmm-yy"), TEXT([2]GASOLINE!$B$5:$B$208, "mmm-yy"), [2]GASOLINE!$IK$5:$IK$208, "Not Found")</f>
        <v>156.35758997881121</v>
      </c>
      <c r="L855">
        <f t="shared" si="13"/>
        <v>0</v>
      </c>
      <c r="M855" cm="1">
        <f t="array" ref="M855">_xlfn.XLOOKUP(TEXT(A855, "mmm-yy"), TEXT([2]GASOLINE!$B$5:$B$208, "mmm-yy"), [2]GASOLINE!$C$5:$C$208, "Not Found")</f>
        <v>7234.5635573632744</v>
      </c>
      <c r="N855" cm="1">
        <f t="array" ref="N855">_xlfn.XLOOKUP(TEXT(A855, "mmm-yy"), TEXT([2]RUNS!$B$5:$B$208, "mmm-yy"), [2]RUNS!$BM$5:$BM$208, "Not Found")</f>
        <v>0.83459396110619488</v>
      </c>
    </row>
    <row r="856" spans="1:14" x14ac:dyDescent="0.25">
      <c r="A856" s="1">
        <f>'[1]Global_Spot Prices'!$B2165</f>
        <v>43201</v>
      </c>
      <c r="B856">
        <f>_xlfn.XLOOKUP(A856,'[1]Global_Spot Prices'!$B:$B,'[1]Global_Spot Prices'!$BS:$BS)</f>
        <v>10.049999999999997</v>
      </c>
      <c r="C856">
        <f>_xlfn.XLOOKUP(A856,'[1]Global_Spot Prices'!$B:$B,'[1]Global_Spot Prices'!$E:$E)</f>
        <v>67.55</v>
      </c>
      <c r="D856">
        <f>_xlfn.XLOOKUP(A856,'[1]Global_Spot Prices'!$B:$B,'[1]Global_Spot Prices'!$D:$D)</f>
        <v>72.545000000000002</v>
      </c>
      <c r="E856">
        <f>_xlfn.XLOOKUP(A856,'[1]Global_Spot Prices'!$B:$B,'[1]Global_Spot Prices'!$H:$H)</f>
        <v>66.180000000000007</v>
      </c>
      <c r="F856">
        <f>_xlfn.XLOOKUP(A856,'[1]Global_Spot Prices'!$B:$B,'[1]Global_Spot Prices'!$I:$I)</f>
        <v>77.599999999999994</v>
      </c>
      <c r="G856" cm="1">
        <f t="array" ref="G856">_xlfn.XLOOKUP(TEXT(A856, "mmm-yy"), TEXT([2]RUNS!$B$5:$B$208, "mmm-yy"), [2]RUNS!$D$5:$D$208, "Not Found")</f>
        <v>29085.182247570345</v>
      </c>
      <c r="H856" cm="1">
        <f t="array" ref="H856">SUMPRODUCT(
    --(TEXT('[3]Global Weekly Stock (EWSuez'!$B$4:$B$2000,"mmm-yy")=TEXT(A856,"mmm-yy")),
    '[3]Global Weekly Stock (EWSuez'!$E$4:$E$2000)
/
SUMPRODUCT(
    --(TEXT('[3]Global Weekly Stock (EWSuez'!$B$4:$B$2000,"mmm-yy")=TEXT(A856,"mmm-yy"))
)</f>
        <v>13265.25</v>
      </c>
      <c r="I856">
        <f>_xlfn.XLOOKUP(A856,[1]ForwardDeriv!$D:$D,[1]ForwardDeriv!$AJ:$AJ)</f>
        <v>-3.0000000000001137E-2</v>
      </c>
      <c r="J856" cm="1">
        <f t="array" ref="J856">_xlfn.XLOOKUP(TEXT(A856, "mmm-yy"), TEXT([2]GASOLINE!$B$5:$B$208, "mmm-yy"), [2]GASOLINE!$IR$5:$IR$208, "Not Found")</f>
        <v>75.229554546306474</v>
      </c>
      <c r="K856" cm="1">
        <f t="array" ref="K856">_xlfn.XLOOKUP(TEXT(A856, "mmm-yy"), TEXT([2]GASOLINE!$B$5:$B$208, "mmm-yy"), [2]GASOLINE!$IK$5:$IK$208, "Not Found")</f>
        <v>156.35758997881121</v>
      </c>
      <c r="L856">
        <f t="shared" si="13"/>
        <v>0</v>
      </c>
      <c r="M856" cm="1">
        <f t="array" ref="M856">_xlfn.XLOOKUP(TEXT(A856, "mmm-yy"), TEXT([2]GASOLINE!$B$5:$B$208, "mmm-yy"), [2]GASOLINE!$C$5:$C$208, "Not Found")</f>
        <v>7234.5635573632744</v>
      </c>
      <c r="N856" cm="1">
        <f t="array" ref="N856">_xlfn.XLOOKUP(TEXT(A856, "mmm-yy"), TEXT([2]RUNS!$B$5:$B$208, "mmm-yy"), [2]RUNS!$BM$5:$BM$208, "Not Found")</f>
        <v>0.83459396110619488</v>
      </c>
    </row>
    <row r="857" spans="1:14" x14ac:dyDescent="0.25">
      <c r="A857" s="1">
        <f>'[1]Global_Spot Prices'!$B2166</f>
        <v>43202</v>
      </c>
      <c r="B857">
        <f>_xlfn.XLOOKUP(A857,'[1]Global_Spot Prices'!$B:$B,'[1]Global_Spot Prices'!$BS:$BS)</f>
        <v>10.010000000000005</v>
      </c>
      <c r="C857">
        <f>_xlfn.XLOOKUP(A857,'[1]Global_Spot Prices'!$B:$B,'[1]Global_Spot Prices'!$E:$E)</f>
        <v>68.64</v>
      </c>
      <c r="D857">
        <f>_xlfn.XLOOKUP(A857,'[1]Global_Spot Prices'!$B:$B,'[1]Global_Spot Prices'!$D:$D)</f>
        <v>71.459999999999994</v>
      </c>
      <c r="E857">
        <f>_xlfn.XLOOKUP(A857,'[1]Global_Spot Prices'!$B:$B,'[1]Global_Spot Prices'!$H:$H)</f>
        <v>66.92</v>
      </c>
      <c r="F857">
        <f>_xlfn.XLOOKUP(A857,'[1]Global_Spot Prices'!$B:$B,'[1]Global_Spot Prices'!$I:$I)</f>
        <v>78.650000000000006</v>
      </c>
      <c r="G857" cm="1">
        <f t="array" ref="G857">_xlfn.XLOOKUP(TEXT(A857, "mmm-yy"), TEXT([2]RUNS!$B$5:$B$208, "mmm-yy"), [2]RUNS!$D$5:$D$208, "Not Found")</f>
        <v>29085.182247570345</v>
      </c>
      <c r="H857" cm="1">
        <f t="array" ref="H857">SUMPRODUCT(
    --(TEXT('[3]Global Weekly Stock (EWSuez'!$B$4:$B$2000,"mmm-yy")=TEXT(A857,"mmm-yy")),
    '[3]Global Weekly Stock (EWSuez'!$E$4:$E$2000)
/
SUMPRODUCT(
    --(TEXT('[3]Global Weekly Stock (EWSuez'!$B$4:$B$2000,"mmm-yy")=TEXT(A857,"mmm-yy"))
)</f>
        <v>13265.25</v>
      </c>
      <c r="I857">
        <f>_xlfn.XLOOKUP(A857,[1]ForwardDeriv!$D:$D,[1]ForwardDeriv!$AJ:$AJ)</f>
        <v>-5.0000000000011369E-2</v>
      </c>
      <c r="J857" cm="1">
        <f t="array" ref="J857">_xlfn.XLOOKUP(TEXT(A857, "mmm-yy"), TEXT([2]GASOLINE!$B$5:$B$208, "mmm-yy"), [2]GASOLINE!$IR$5:$IR$208, "Not Found")</f>
        <v>75.229554546306474</v>
      </c>
      <c r="K857" cm="1">
        <f t="array" ref="K857">_xlfn.XLOOKUP(TEXT(A857, "mmm-yy"), TEXT([2]GASOLINE!$B$5:$B$208, "mmm-yy"), [2]GASOLINE!$IK$5:$IK$208, "Not Found")</f>
        <v>156.35758997881121</v>
      </c>
      <c r="L857">
        <f t="shared" si="13"/>
        <v>0</v>
      </c>
      <c r="M857" cm="1">
        <f t="array" ref="M857">_xlfn.XLOOKUP(TEXT(A857, "mmm-yy"), TEXT([2]GASOLINE!$B$5:$B$208, "mmm-yy"), [2]GASOLINE!$C$5:$C$208, "Not Found")</f>
        <v>7234.5635573632744</v>
      </c>
      <c r="N857" cm="1">
        <f t="array" ref="N857">_xlfn.XLOOKUP(TEXT(A857, "mmm-yy"), TEXT([2]RUNS!$B$5:$B$208, "mmm-yy"), [2]RUNS!$BM$5:$BM$208, "Not Found")</f>
        <v>0.83459396110619488</v>
      </c>
    </row>
    <row r="858" spans="1:14" x14ac:dyDescent="0.25">
      <c r="A858" s="1">
        <f>'[1]Global_Spot Prices'!$B2167</f>
        <v>43203</v>
      </c>
      <c r="B858">
        <f>_xlfn.XLOOKUP(A858,'[1]Global_Spot Prices'!$B:$B,'[1]Global_Spot Prices'!$BS:$BS)</f>
        <v>9.61</v>
      </c>
      <c r="C858">
        <f>_xlfn.XLOOKUP(A858,'[1]Global_Spot Prices'!$B:$B,'[1]Global_Spot Prices'!$E:$E)</f>
        <v>69.09</v>
      </c>
      <c r="D858">
        <f>_xlfn.XLOOKUP(A858,'[1]Global_Spot Prices'!$B:$B,'[1]Global_Spot Prices'!$D:$D)</f>
        <v>72.704999999999998</v>
      </c>
      <c r="E858">
        <f>_xlfn.XLOOKUP(A858,'[1]Global_Spot Prices'!$B:$B,'[1]Global_Spot Prices'!$H:$H)</f>
        <v>67.44</v>
      </c>
      <c r="F858">
        <f>_xlfn.XLOOKUP(A858,'[1]Global_Spot Prices'!$B:$B,'[1]Global_Spot Prices'!$I:$I)</f>
        <v>78.7</v>
      </c>
      <c r="G858" cm="1">
        <f t="array" ref="G858">_xlfn.XLOOKUP(TEXT(A858, "mmm-yy"), TEXT([2]RUNS!$B$5:$B$208, "mmm-yy"), [2]RUNS!$D$5:$D$208, "Not Found")</f>
        <v>29085.182247570345</v>
      </c>
      <c r="H858" cm="1">
        <f t="array" ref="H858">SUMPRODUCT(
    --(TEXT('[3]Global Weekly Stock (EWSuez'!$B$4:$B$2000,"mmm-yy")=TEXT(A858,"mmm-yy")),
    '[3]Global Weekly Stock (EWSuez'!$E$4:$E$2000)
/
SUMPRODUCT(
    --(TEXT('[3]Global Weekly Stock (EWSuez'!$B$4:$B$2000,"mmm-yy")=TEXT(A858,"mmm-yy"))
)</f>
        <v>13265.25</v>
      </c>
      <c r="I858">
        <f>_xlfn.XLOOKUP(A858,[1]ForwardDeriv!$D:$D,[1]ForwardDeriv!$AJ:$AJ)</f>
        <v>-9.0000000000003411E-2</v>
      </c>
      <c r="J858" cm="1">
        <f t="array" ref="J858">_xlfn.XLOOKUP(TEXT(A858, "mmm-yy"), TEXT([2]GASOLINE!$B$5:$B$208, "mmm-yy"), [2]GASOLINE!$IR$5:$IR$208, "Not Found")</f>
        <v>75.229554546306474</v>
      </c>
      <c r="K858" cm="1">
        <f t="array" ref="K858">_xlfn.XLOOKUP(TEXT(A858, "mmm-yy"), TEXT([2]GASOLINE!$B$5:$B$208, "mmm-yy"), [2]GASOLINE!$IK$5:$IK$208, "Not Found")</f>
        <v>156.35758997881121</v>
      </c>
      <c r="L858">
        <f t="shared" si="13"/>
        <v>0</v>
      </c>
      <c r="M858" cm="1">
        <f t="array" ref="M858">_xlfn.XLOOKUP(TEXT(A858, "mmm-yy"), TEXT([2]GASOLINE!$B$5:$B$208, "mmm-yy"), [2]GASOLINE!$C$5:$C$208, "Not Found")</f>
        <v>7234.5635573632744</v>
      </c>
      <c r="N858" cm="1">
        <f t="array" ref="N858">_xlfn.XLOOKUP(TEXT(A858, "mmm-yy"), TEXT([2]RUNS!$B$5:$B$208, "mmm-yy"), [2]RUNS!$BM$5:$BM$208, "Not Found")</f>
        <v>0.83459396110619488</v>
      </c>
    </row>
    <row r="859" spans="1:14" x14ac:dyDescent="0.25">
      <c r="A859" s="1">
        <f>'[1]Global_Spot Prices'!$B2168</f>
        <v>43206</v>
      </c>
      <c r="B859">
        <f>_xlfn.XLOOKUP(A859,'[1]Global_Spot Prices'!$B:$B,'[1]Global_Spot Prices'!$BS:$BS)</f>
        <v>9.3199999999999932</v>
      </c>
      <c r="C859">
        <f>_xlfn.XLOOKUP(A859,'[1]Global_Spot Prices'!$B:$B,'[1]Global_Spot Prices'!$E:$E)</f>
        <v>68.14</v>
      </c>
      <c r="D859">
        <f>_xlfn.XLOOKUP(A859,'[1]Global_Spot Prices'!$B:$B,'[1]Global_Spot Prices'!$D:$D)</f>
        <v>71.900000000000006</v>
      </c>
      <c r="E859">
        <f>_xlfn.XLOOKUP(A859,'[1]Global_Spot Prices'!$B:$B,'[1]Global_Spot Prices'!$H:$H)</f>
        <v>66.55</v>
      </c>
      <c r="F859">
        <f>_xlfn.XLOOKUP(A859,'[1]Global_Spot Prices'!$B:$B,'[1]Global_Spot Prices'!$I:$I)</f>
        <v>77.459999999999994</v>
      </c>
      <c r="G859" cm="1">
        <f t="array" ref="G859">_xlfn.XLOOKUP(TEXT(A859, "mmm-yy"), TEXT([2]RUNS!$B$5:$B$208, "mmm-yy"), [2]RUNS!$D$5:$D$208, "Not Found")</f>
        <v>29085.182247570345</v>
      </c>
      <c r="H859" cm="1">
        <f t="array" ref="H859">SUMPRODUCT(
    --(TEXT('[3]Global Weekly Stock (EWSuez'!$B$4:$B$2000,"mmm-yy")=TEXT(A859,"mmm-yy")),
    '[3]Global Weekly Stock (EWSuez'!$E$4:$E$2000)
/
SUMPRODUCT(
    --(TEXT('[3]Global Weekly Stock (EWSuez'!$B$4:$B$2000,"mmm-yy")=TEXT(A859,"mmm-yy"))
)</f>
        <v>13265.25</v>
      </c>
      <c r="I859">
        <f>_xlfn.XLOOKUP(A859,[1]ForwardDeriv!$D:$D,[1]ForwardDeriv!$AJ:$AJ)</f>
        <v>-0.20000000000000284</v>
      </c>
      <c r="J859" cm="1">
        <f t="array" ref="J859">_xlfn.XLOOKUP(TEXT(A859, "mmm-yy"), TEXT([2]GASOLINE!$B$5:$B$208, "mmm-yy"), [2]GASOLINE!$IR$5:$IR$208, "Not Found")</f>
        <v>75.229554546306474</v>
      </c>
      <c r="K859" cm="1">
        <f t="array" ref="K859">_xlfn.XLOOKUP(TEXT(A859, "mmm-yy"), TEXT([2]GASOLINE!$B$5:$B$208, "mmm-yy"), [2]GASOLINE!$IK$5:$IK$208, "Not Found")</f>
        <v>156.35758997881121</v>
      </c>
      <c r="L859">
        <f t="shared" si="13"/>
        <v>0</v>
      </c>
      <c r="M859" cm="1">
        <f t="array" ref="M859">_xlfn.XLOOKUP(TEXT(A859, "mmm-yy"), TEXT([2]GASOLINE!$B$5:$B$208, "mmm-yy"), [2]GASOLINE!$C$5:$C$208, "Not Found")</f>
        <v>7234.5635573632744</v>
      </c>
      <c r="N859" cm="1">
        <f t="array" ref="N859">_xlfn.XLOOKUP(TEXT(A859, "mmm-yy"), TEXT([2]RUNS!$B$5:$B$208, "mmm-yy"), [2]RUNS!$BM$5:$BM$208, "Not Found")</f>
        <v>0.83459396110619488</v>
      </c>
    </row>
    <row r="860" spans="1:14" x14ac:dyDescent="0.25">
      <c r="A860" s="1">
        <f>'[1]Global_Spot Prices'!$B2169</f>
        <v>43207</v>
      </c>
      <c r="B860">
        <f>_xlfn.XLOOKUP(A860,'[1]Global_Spot Prices'!$B:$B,'[1]Global_Spot Prices'!$BS:$BS)</f>
        <v>9.4000000000000057</v>
      </c>
      <c r="C860">
        <f>_xlfn.XLOOKUP(A860,'[1]Global_Spot Prices'!$B:$B,'[1]Global_Spot Prices'!$E:$E)</f>
        <v>68.19</v>
      </c>
      <c r="D860">
        <f>_xlfn.XLOOKUP(A860,'[1]Global_Spot Prices'!$B:$B,'[1]Global_Spot Prices'!$D:$D)</f>
        <v>71.849999999999994</v>
      </c>
      <c r="E860">
        <f>_xlfn.XLOOKUP(A860,'[1]Global_Spot Prices'!$B:$B,'[1]Global_Spot Prices'!$H:$H)</f>
        <v>66.14</v>
      </c>
      <c r="F860">
        <f>_xlfn.XLOOKUP(A860,'[1]Global_Spot Prices'!$B:$B,'[1]Global_Spot Prices'!$I:$I)</f>
        <v>77.59</v>
      </c>
      <c r="G860" cm="1">
        <f t="array" ref="G860">_xlfn.XLOOKUP(TEXT(A860, "mmm-yy"), TEXT([2]RUNS!$B$5:$B$208, "mmm-yy"), [2]RUNS!$D$5:$D$208, "Not Found")</f>
        <v>29085.182247570345</v>
      </c>
      <c r="H860" cm="1">
        <f t="array" ref="H860">SUMPRODUCT(
    --(TEXT('[3]Global Weekly Stock (EWSuez'!$B$4:$B$2000,"mmm-yy")=TEXT(A860,"mmm-yy")),
    '[3]Global Weekly Stock (EWSuez'!$E$4:$E$2000)
/
SUMPRODUCT(
    --(TEXT('[3]Global Weekly Stock (EWSuez'!$B$4:$B$2000,"mmm-yy")=TEXT(A860,"mmm-yy"))
)</f>
        <v>13265.25</v>
      </c>
      <c r="I860">
        <f>_xlfn.XLOOKUP(A860,[1]ForwardDeriv!$D:$D,[1]ForwardDeriv!$AJ:$AJ)</f>
        <v>-0.14999999999999147</v>
      </c>
      <c r="J860" cm="1">
        <f t="array" ref="J860">_xlfn.XLOOKUP(TEXT(A860, "mmm-yy"), TEXT([2]GASOLINE!$B$5:$B$208, "mmm-yy"), [2]GASOLINE!$IR$5:$IR$208, "Not Found")</f>
        <v>75.229554546306474</v>
      </c>
      <c r="K860" cm="1">
        <f t="array" ref="K860">_xlfn.XLOOKUP(TEXT(A860, "mmm-yy"), TEXT([2]GASOLINE!$B$5:$B$208, "mmm-yy"), [2]GASOLINE!$IK$5:$IK$208, "Not Found")</f>
        <v>156.35758997881121</v>
      </c>
      <c r="L860">
        <f t="shared" si="13"/>
        <v>0</v>
      </c>
      <c r="M860" cm="1">
        <f t="array" ref="M860">_xlfn.XLOOKUP(TEXT(A860, "mmm-yy"), TEXT([2]GASOLINE!$B$5:$B$208, "mmm-yy"), [2]GASOLINE!$C$5:$C$208, "Not Found")</f>
        <v>7234.5635573632744</v>
      </c>
      <c r="N860" cm="1">
        <f t="array" ref="N860">_xlfn.XLOOKUP(TEXT(A860, "mmm-yy"), TEXT([2]RUNS!$B$5:$B$208, "mmm-yy"), [2]RUNS!$BM$5:$BM$208, "Not Found")</f>
        <v>0.83459396110619488</v>
      </c>
    </row>
    <row r="861" spans="1:14" x14ac:dyDescent="0.25">
      <c r="A861" s="1">
        <f>'[1]Global_Spot Prices'!$B2170</f>
        <v>43208</v>
      </c>
      <c r="B861">
        <f>_xlfn.XLOOKUP(A861,'[1]Global_Spot Prices'!$B:$B,'[1]Global_Spot Prices'!$BS:$BS)</f>
        <v>9.4249999999999972</v>
      </c>
      <c r="C861">
        <f>_xlfn.XLOOKUP(A861,'[1]Global_Spot Prices'!$B:$B,'[1]Global_Spot Prices'!$E:$E)</f>
        <v>68.855000000000004</v>
      </c>
      <c r="D861">
        <f>_xlfn.XLOOKUP(A861,'[1]Global_Spot Prices'!$B:$B,'[1]Global_Spot Prices'!$D:$D)</f>
        <v>73.415000000000006</v>
      </c>
      <c r="E861">
        <f>_xlfn.XLOOKUP(A861,'[1]Global_Spot Prices'!$B:$B,'[1]Global_Spot Prices'!$H:$H)</f>
        <v>66.64</v>
      </c>
      <c r="F861">
        <f>_xlfn.XLOOKUP(A861,'[1]Global_Spot Prices'!$B:$B,'[1]Global_Spot Prices'!$I:$I)</f>
        <v>78.28</v>
      </c>
      <c r="G861" cm="1">
        <f t="array" ref="G861">_xlfn.XLOOKUP(TEXT(A861, "mmm-yy"), TEXT([2]RUNS!$B$5:$B$208, "mmm-yy"), [2]RUNS!$D$5:$D$208, "Not Found")</f>
        <v>29085.182247570345</v>
      </c>
      <c r="H861" cm="1">
        <f t="array" ref="H861">SUMPRODUCT(
    --(TEXT('[3]Global Weekly Stock (EWSuez'!$B$4:$B$2000,"mmm-yy")=TEXT(A861,"mmm-yy")),
    '[3]Global Weekly Stock (EWSuez'!$E$4:$E$2000)
/
SUMPRODUCT(
    --(TEXT('[3]Global Weekly Stock (EWSuez'!$B$4:$B$2000,"mmm-yy")=TEXT(A861,"mmm-yy"))
)</f>
        <v>13265.25</v>
      </c>
      <c r="I861">
        <f>_xlfn.XLOOKUP(A861,[1]ForwardDeriv!$D:$D,[1]ForwardDeriv!$AJ:$AJ)</f>
        <v>-0.11999999999999034</v>
      </c>
      <c r="J861" cm="1">
        <f t="array" ref="J861">_xlfn.XLOOKUP(TEXT(A861, "mmm-yy"), TEXT([2]GASOLINE!$B$5:$B$208, "mmm-yy"), [2]GASOLINE!$IR$5:$IR$208, "Not Found")</f>
        <v>75.229554546306474</v>
      </c>
      <c r="K861" cm="1">
        <f t="array" ref="K861">_xlfn.XLOOKUP(TEXT(A861, "mmm-yy"), TEXT([2]GASOLINE!$B$5:$B$208, "mmm-yy"), [2]GASOLINE!$IK$5:$IK$208, "Not Found")</f>
        <v>156.35758997881121</v>
      </c>
      <c r="L861">
        <f t="shared" si="13"/>
        <v>0</v>
      </c>
      <c r="M861" cm="1">
        <f t="array" ref="M861">_xlfn.XLOOKUP(TEXT(A861, "mmm-yy"), TEXT([2]GASOLINE!$B$5:$B$208, "mmm-yy"), [2]GASOLINE!$C$5:$C$208, "Not Found")</f>
        <v>7234.5635573632744</v>
      </c>
      <c r="N861" cm="1">
        <f t="array" ref="N861">_xlfn.XLOOKUP(TEXT(A861, "mmm-yy"), TEXT([2]RUNS!$B$5:$B$208, "mmm-yy"), [2]RUNS!$BM$5:$BM$208, "Not Found")</f>
        <v>0.83459396110619488</v>
      </c>
    </row>
    <row r="862" spans="1:14" x14ac:dyDescent="0.25">
      <c r="A862" s="1">
        <f>'[1]Global_Spot Prices'!$B2171</f>
        <v>43209</v>
      </c>
      <c r="B862">
        <f>_xlfn.XLOOKUP(A862,'[1]Global_Spot Prices'!$B:$B,'[1]Global_Spot Prices'!$BS:$BS)</f>
        <v>8.9499999999999886</v>
      </c>
      <c r="C862">
        <f>_xlfn.XLOOKUP(A862,'[1]Global_Spot Prices'!$B:$B,'[1]Global_Spot Prices'!$E:$E)</f>
        <v>70.790000000000006</v>
      </c>
      <c r="D862">
        <f>_xlfn.XLOOKUP(A862,'[1]Global_Spot Prices'!$B:$B,'[1]Global_Spot Prices'!$D:$D)</f>
        <v>75.03</v>
      </c>
      <c r="E862">
        <f>_xlfn.XLOOKUP(A862,'[1]Global_Spot Prices'!$B:$B,'[1]Global_Spot Prices'!$H:$H)</f>
        <v>68</v>
      </c>
      <c r="F862">
        <f>_xlfn.XLOOKUP(A862,'[1]Global_Spot Prices'!$B:$B,'[1]Global_Spot Prices'!$I:$I)</f>
        <v>79.739999999999995</v>
      </c>
      <c r="G862" cm="1">
        <f t="array" ref="G862">_xlfn.XLOOKUP(TEXT(A862, "mmm-yy"), TEXT([2]RUNS!$B$5:$B$208, "mmm-yy"), [2]RUNS!$D$5:$D$208, "Not Found")</f>
        <v>29085.182247570345</v>
      </c>
      <c r="H862" cm="1">
        <f t="array" ref="H862">SUMPRODUCT(
    --(TEXT('[3]Global Weekly Stock (EWSuez'!$B$4:$B$2000,"mmm-yy")=TEXT(A862,"mmm-yy")),
    '[3]Global Weekly Stock (EWSuez'!$E$4:$E$2000)
/
SUMPRODUCT(
    --(TEXT('[3]Global Weekly Stock (EWSuez'!$B$4:$B$2000,"mmm-yy")=TEXT(A862,"mmm-yy"))
)</f>
        <v>13265.25</v>
      </c>
      <c r="I862">
        <f>_xlfn.XLOOKUP(A862,[1]ForwardDeriv!$D:$D,[1]ForwardDeriv!$AJ:$AJ)</f>
        <v>-0.19000000000001194</v>
      </c>
      <c r="J862" cm="1">
        <f t="array" ref="J862">_xlfn.XLOOKUP(TEXT(A862, "mmm-yy"), TEXT([2]GASOLINE!$B$5:$B$208, "mmm-yy"), [2]GASOLINE!$IR$5:$IR$208, "Not Found")</f>
        <v>75.229554546306474</v>
      </c>
      <c r="K862" cm="1">
        <f t="array" ref="K862">_xlfn.XLOOKUP(TEXT(A862, "mmm-yy"), TEXT([2]GASOLINE!$B$5:$B$208, "mmm-yy"), [2]GASOLINE!$IK$5:$IK$208, "Not Found")</f>
        <v>156.35758997881121</v>
      </c>
      <c r="L862">
        <f t="shared" si="13"/>
        <v>0</v>
      </c>
      <c r="M862" cm="1">
        <f t="array" ref="M862">_xlfn.XLOOKUP(TEXT(A862, "mmm-yy"), TEXT([2]GASOLINE!$B$5:$B$208, "mmm-yy"), [2]GASOLINE!$C$5:$C$208, "Not Found")</f>
        <v>7234.5635573632744</v>
      </c>
      <c r="N862" cm="1">
        <f t="array" ref="N862">_xlfn.XLOOKUP(TEXT(A862, "mmm-yy"), TEXT([2]RUNS!$B$5:$B$208, "mmm-yy"), [2]RUNS!$BM$5:$BM$208, "Not Found")</f>
        <v>0.83459396110619488</v>
      </c>
    </row>
    <row r="863" spans="1:14" x14ac:dyDescent="0.25">
      <c r="A863" s="1">
        <f>'[1]Global_Spot Prices'!$B2172</f>
        <v>43210</v>
      </c>
      <c r="B863">
        <f>_xlfn.XLOOKUP(A863,'[1]Global_Spot Prices'!$B:$B,'[1]Global_Spot Prices'!$BS:$BS)</f>
        <v>8.9699999999999989</v>
      </c>
      <c r="C863">
        <f>_xlfn.XLOOKUP(A863,'[1]Global_Spot Prices'!$B:$B,'[1]Global_Spot Prices'!$E:$E)</f>
        <v>70.349999999999994</v>
      </c>
      <c r="D863">
        <f>_xlfn.XLOOKUP(A863,'[1]Global_Spot Prices'!$B:$B,'[1]Global_Spot Prices'!$D:$D)</f>
        <v>73.894999999999996</v>
      </c>
      <c r="E863">
        <f>_xlfn.XLOOKUP(A863,'[1]Global_Spot Prices'!$B:$B,'[1]Global_Spot Prices'!$H:$H)</f>
        <v>67.77</v>
      </c>
      <c r="F863">
        <f>_xlfn.XLOOKUP(A863,'[1]Global_Spot Prices'!$B:$B,'[1]Global_Spot Prices'!$I:$I)</f>
        <v>79.319999999999993</v>
      </c>
      <c r="G863" cm="1">
        <f t="array" ref="G863">_xlfn.XLOOKUP(TEXT(A863, "mmm-yy"), TEXT([2]RUNS!$B$5:$B$208, "mmm-yy"), [2]RUNS!$D$5:$D$208, "Not Found")</f>
        <v>29085.182247570345</v>
      </c>
      <c r="H863" cm="1">
        <f t="array" ref="H863">SUMPRODUCT(
    --(TEXT('[3]Global Weekly Stock (EWSuez'!$B$4:$B$2000,"mmm-yy")=TEXT(A863,"mmm-yy")),
    '[3]Global Weekly Stock (EWSuez'!$E$4:$E$2000)
/
SUMPRODUCT(
    --(TEXT('[3]Global Weekly Stock (EWSuez'!$B$4:$B$2000,"mmm-yy")=TEXT(A863,"mmm-yy"))
)</f>
        <v>13265.25</v>
      </c>
      <c r="I863">
        <f>_xlfn.XLOOKUP(A863,[1]ForwardDeriv!$D:$D,[1]ForwardDeriv!$AJ:$AJ)</f>
        <v>-0.19999999999998863</v>
      </c>
      <c r="J863" cm="1">
        <f t="array" ref="J863">_xlfn.XLOOKUP(TEXT(A863, "mmm-yy"), TEXT([2]GASOLINE!$B$5:$B$208, "mmm-yy"), [2]GASOLINE!$IR$5:$IR$208, "Not Found")</f>
        <v>75.229554546306474</v>
      </c>
      <c r="K863" cm="1">
        <f t="array" ref="K863">_xlfn.XLOOKUP(TEXT(A863, "mmm-yy"), TEXT([2]GASOLINE!$B$5:$B$208, "mmm-yy"), [2]GASOLINE!$IK$5:$IK$208, "Not Found")</f>
        <v>156.35758997881121</v>
      </c>
      <c r="L863">
        <f t="shared" si="13"/>
        <v>0</v>
      </c>
      <c r="M863" cm="1">
        <f t="array" ref="M863">_xlfn.XLOOKUP(TEXT(A863, "mmm-yy"), TEXT([2]GASOLINE!$B$5:$B$208, "mmm-yy"), [2]GASOLINE!$C$5:$C$208, "Not Found")</f>
        <v>7234.5635573632744</v>
      </c>
      <c r="N863" cm="1">
        <f t="array" ref="N863">_xlfn.XLOOKUP(TEXT(A863, "mmm-yy"), TEXT([2]RUNS!$B$5:$B$208, "mmm-yy"), [2]RUNS!$BM$5:$BM$208, "Not Found")</f>
        <v>0.83459396110619488</v>
      </c>
    </row>
    <row r="864" spans="1:14" x14ac:dyDescent="0.25">
      <c r="A864" s="1">
        <f>'[1]Global_Spot Prices'!$B2173</f>
        <v>43213</v>
      </c>
      <c r="B864">
        <f>_xlfn.XLOOKUP(A864,'[1]Global_Spot Prices'!$B:$B,'[1]Global_Spot Prices'!$BS:$BS)</f>
        <v>9.9599999999999937</v>
      </c>
      <c r="C864">
        <f>_xlfn.XLOOKUP(A864,'[1]Global_Spot Prices'!$B:$B,'[1]Global_Spot Prices'!$E:$E)</f>
        <v>70.25</v>
      </c>
      <c r="D864">
        <f>_xlfn.XLOOKUP(A864,'[1]Global_Spot Prices'!$B:$B,'[1]Global_Spot Prices'!$D:$D)</f>
        <v>74.295000000000002</v>
      </c>
      <c r="E864">
        <f>_xlfn.XLOOKUP(A864,'[1]Global_Spot Prices'!$B:$B,'[1]Global_Spot Prices'!$H:$H)</f>
        <v>67.650000000000006</v>
      </c>
      <c r="F864">
        <f>_xlfn.XLOOKUP(A864,'[1]Global_Spot Prices'!$B:$B,'[1]Global_Spot Prices'!$I:$I)</f>
        <v>80.209999999999994</v>
      </c>
      <c r="G864" cm="1">
        <f t="array" ref="G864">_xlfn.XLOOKUP(TEXT(A864, "mmm-yy"), TEXT([2]RUNS!$B$5:$B$208, "mmm-yy"), [2]RUNS!$D$5:$D$208, "Not Found")</f>
        <v>29085.182247570345</v>
      </c>
      <c r="H864" cm="1">
        <f t="array" ref="H864">SUMPRODUCT(
    --(TEXT('[3]Global Weekly Stock (EWSuez'!$B$4:$B$2000,"mmm-yy")=TEXT(A864,"mmm-yy")),
    '[3]Global Weekly Stock (EWSuez'!$E$4:$E$2000)
/
SUMPRODUCT(
    --(TEXT('[3]Global Weekly Stock (EWSuez'!$B$4:$B$2000,"mmm-yy")=TEXT(A864,"mmm-yy"))
)</f>
        <v>13265.25</v>
      </c>
      <c r="I864">
        <f>_xlfn.XLOOKUP(A864,[1]ForwardDeriv!$D:$D,[1]ForwardDeriv!$AJ:$AJ)</f>
        <v>-7.000000000000739E-2</v>
      </c>
      <c r="J864" cm="1">
        <f t="array" ref="J864">_xlfn.XLOOKUP(TEXT(A864, "mmm-yy"), TEXT([2]GASOLINE!$B$5:$B$208, "mmm-yy"), [2]GASOLINE!$IR$5:$IR$208, "Not Found")</f>
        <v>75.229554546306474</v>
      </c>
      <c r="K864" cm="1">
        <f t="array" ref="K864">_xlfn.XLOOKUP(TEXT(A864, "mmm-yy"), TEXT([2]GASOLINE!$B$5:$B$208, "mmm-yy"), [2]GASOLINE!$IK$5:$IK$208, "Not Found")</f>
        <v>156.35758997881121</v>
      </c>
      <c r="L864">
        <f t="shared" si="13"/>
        <v>0</v>
      </c>
      <c r="M864" cm="1">
        <f t="array" ref="M864">_xlfn.XLOOKUP(TEXT(A864, "mmm-yy"), TEXT([2]GASOLINE!$B$5:$B$208, "mmm-yy"), [2]GASOLINE!$C$5:$C$208, "Not Found")</f>
        <v>7234.5635573632744</v>
      </c>
      <c r="N864" cm="1">
        <f t="array" ref="N864">_xlfn.XLOOKUP(TEXT(A864, "mmm-yy"), TEXT([2]RUNS!$B$5:$B$208, "mmm-yy"), [2]RUNS!$BM$5:$BM$208, "Not Found")</f>
        <v>0.83459396110619488</v>
      </c>
    </row>
    <row r="865" spans="1:14" x14ac:dyDescent="0.25">
      <c r="A865" s="1">
        <f>'[1]Global_Spot Prices'!$B2174</f>
        <v>43214</v>
      </c>
      <c r="B865">
        <f>_xlfn.XLOOKUP(A865,'[1]Global_Spot Prices'!$B:$B,'[1]Global_Spot Prices'!$BS:$BS)</f>
        <v>10.569999999999993</v>
      </c>
      <c r="C865">
        <f>_xlfn.XLOOKUP(A865,'[1]Global_Spot Prices'!$B:$B,'[1]Global_Spot Prices'!$E:$E)</f>
        <v>71.260000000000005</v>
      </c>
      <c r="D865">
        <f>_xlfn.XLOOKUP(A865,'[1]Global_Spot Prices'!$B:$B,'[1]Global_Spot Prices'!$D:$D)</f>
        <v>75.254999999999995</v>
      </c>
      <c r="E865">
        <f>_xlfn.XLOOKUP(A865,'[1]Global_Spot Prices'!$B:$B,'[1]Global_Spot Prices'!$H:$H)</f>
        <v>68.97</v>
      </c>
      <c r="F865">
        <f>_xlfn.XLOOKUP(A865,'[1]Global_Spot Prices'!$B:$B,'[1]Global_Spot Prices'!$I:$I)</f>
        <v>81.83</v>
      </c>
      <c r="G865" cm="1">
        <f t="array" ref="G865">_xlfn.XLOOKUP(TEXT(A865, "mmm-yy"), TEXT([2]RUNS!$B$5:$B$208, "mmm-yy"), [2]RUNS!$D$5:$D$208, "Not Found")</f>
        <v>29085.182247570345</v>
      </c>
      <c r="H865" cm="1">
        <f t="array" ref="H865">SUMPRODUCT(
    --(TEXT('[3]Global Weekly Stock (EWSuez'!$B$4:$B$2000,"mmm-yy")=TEXT(A865,"mmm-yy")),
    '[3]Global Weekly Stock (EWSuez'!$E$4:$E$2000)
/
SUMPRODUCT(
    --(TEXT('[3]Global Weekly Stock (EWSuez'!$B$4:$B$2000,"mmm-yy")=TEXT(A865,"mmm-yy"))
)</f>
        <v>13265.25</v>
      </c>
      <c r="I865">
        <f>_xlfn.XLOOKUP(A865,[1]ForwardDeriv!$D:$D,[1]ForwardDeriv!$AJ:$AJ)</f>
        <v>-1.9999999999996021E-2</v>
      </c>
      <c r="J865" cm="1">
        <f t="array" ref="J865">_xlfn.XLOOKUP(TEXT(A865, "mmm-yy"), TEXT([2]GASOLINE!$B$5:$B$208, "mmm-yy"), [2]GASOLINE!$IR$5:$IR$208, "Not Found")</f>
        <v>75.229554546306474</v>
      </c>
      <c r="K865" cm="1">
        <f t="array" ref="K865">_xlfn.XLOOKUP(TEXT(A865, "mmm-yy"), TEXT([2]GASOLINE!$B$5:$B$208, "mmm-yy"), [2]GASOLINE!$IK$5:$IK$208, "Not Found")</f>
        <v>156.35758997881121</v>
      </c>
      <c r="L865">
        <f t="shared" si="13"/>
        <v>0</v>
      </c>
      <c r="M865" cm="1">
        <f t="array" ref="M865">_xlfn.XLOOKUP(TEXT(A865, "mmm-yy"), TEXT([2]GASOLINE!$B$5:$B$208, "mmm-yy"), [2]GASOLINE!$C$5:$C$208, "Not Found")</f>
        <v>7234.5635573632744</v>
      </c>
      <c r="N865" cm="1">
        <f t="array" ref="N865">_xlfn.XLOOKUP(TEXT(A865, "mmm-yy"), TEXT([2]RUNS!$B$5:$B$208, "mmm-yy"), [2]RUNS!$BM$5:$BM$208, "Not Found")</f>
        <v>0.83459396110619488</v>
      </c>
    </row>
    <row r="866" spans="1:14" x14ac:dyDescent="0.25">
      <c r="A866" s="1">
        <f>'[1]Global_Spot Prices'!$B2175</f>
        <v>43215</v>
      </c>
      <c r="B866">
        <f>_xlfn.XLOOKUP(A866,'[1]Global_Spot Prices'!$B:$B,'[1]Global_Spot Prices'!$BS:$BS)</f>
        <v>10.170000000000002</v>
      </c>
      <c r="C866">
        <f>_xlfn.XLOOKUP(A866,'[1]Global_Spot Prices'!$B:$B,'[1]Global_Spot Prices'!$E:$E)</f>
        <v>70.349999999999994</v>
      </c>
      <c r="D866">
        <f>_xlfn.XLOOKUP(A866,'[1]Global_Spot Prices'!$B:$B,'[1]Global_Spot Prices'!$D:$D)</f>
        <v>73.995000000000005</v>
      </c>
      <c r="E866">
        <f>_xlfn.XLOOKUP(A866,'[1]Global_Spot Prices'!$B:$B,'[1]Global_Spot Prices'!$H:$H)</f>
        <v>68.84</v>
      </c>
      <c r="F866">
        <f>_xlfn.XLOOKUP(A866,'[1]Global_Spot Prices'!$B:$B,'[1]Global_Spot Prices'!$I:$I)</f>
        <v>80.52</v>
      </c>
      <c r="G866" cm="1">
        <f t="array" ref="G866">_xlfn.XLOOKUP(TEXT(A866, "mmm-yy"), TEXT([2]RUNS!$B$5:$B$208, "mmm-yy"), [2]RUNS!$D$5:$D$208, "Not Found")</f>
        <v>29085.182247570345</v>
      </c>
      <c r="H866" cm="1">
        <f t="array" ref="H866">SUMPRODUCT(
    --(TEXT('[3]Global Weekly Stock (EWSuez'!$B$4:$B$2000,"mmm-yy")=TEXT(A866,"mmm-yy")),
    '[3]Global Weekly Stock (EWSuez'!$E$4:$E$2000)
/
SUMPRODUCT(
    --(TEXT('[3]Global Weekly Stock (EWSuez'!$B$4:$B$2000,"mmm-yy")=TEXT(A866,"mmm-yy"))
)</f>
        <v>13265.25</v>
      </c>
      <c r="I866">
        <f>_xlfn.XLOOKUP(A866,[1]ForwardDeriv!$D:$D,[1]ForwardDeriv!$AJ:$AJ)</f>
        <v>-3.0000000000001137E-2</v>
      </c>
      <c r="J866" cm="1">
        <f t="array" ref="J866">_xlfn.XLOOKUP(TEXT(A866, "mmm-yy"), TEXT([2]GASOLINE!$B$5:$B$208, "mmm-yy"), [2]GASOLINE!$IR$5:$IR$208, "Not Found")</f>
        <v>75.229554546306474</v>
      </c>
      <c r="K866" cm="1">
        <f t="array" ref="K866">_xlfn.XLOOKUP(TEXT(A866, "mmm-yy"), TEXT([2]GASOLINE!$B$5:$B$208, "mmm-yy"), [2]GASOLINE!$IK$5:$IK$208, "Not Found")</f>
        <v>156.35758997881121</v>
      </c>
      <c r="L866">
        <f t="shared" si="13"/>
        <v>0</v>
      </c>
      <c r="M866" cm="1">
        <f t="array" ref="M866">_xlfn.XLOOKUP(TEXT(A866, "mmm-yy"), TEXT([2]GASOLINE!$B$5:$B$208, "mmm-yy"), [2]GASOLINE!$C$5:$C$208, "Not Found")</f>
        <v>7234.5635573632744</v>
      </c>
      <c r="N866" cm="1">
        <f t="array" ref="N866">_xlfn.XLOOKUP(TEXT(A866, "mmm-yy"), TEXT([2]RUNS!$B$5:$B$208, "mmm-yy"), [2]RUNS!$BM$5:$BM$208, "Not Found")</f>
        <v>0.83459396110619488</v>
      </c>
    </row>
    <row r="867" spans="1:14" x14ac:dyDescent="0.25">
      <c r="A867" s="1">
        <f>'[1]Global_Spot Prices'!$B2176</f>
        <v>43216</v>
      </c>
      <c r="B867">
        <f>_xlfn.XLOOKUP(A867,'[1]Global_Spot Prices'!$B:$B,'[1]Global_Spot Prices'!$BS:$BS)</f>
        <v>9.7999999999999972</v>
      </c>
      <c r="C867">
        <f>_xlfn.XLOOKUP(A867,'[1]Global_Spot Prices'!$B:$B,'[1]Global_Spot Prices'!$E:$E)</f>
        <v>70.650000000000006</v>
      </c>
      <c r="D867">
        <f>_xlfn.XLOOKUP(A867,'[1]Global_Spot Prices'!$B:$B,'[1]Global_Spot Prices'!$D:$D)</f>
        <v>74.81</v>
      </c>
      <c r="E867">
        <f>_xlfn.XLOOKUP(A867,'[1]Global_Spot Prices'!$B:$B,'[1]Global_Spot Prices'!$H:$H)</f>
        <v>69.02</v>
      </c>
      <c r="F867">
        <f>_xlfn.XLOOKUP(A867,'[1]Global_Spot Prices'!$B:$B,'[1]Global_Spot Prices'!$I:$I)</f>
        <v>80.45</v>
      </c>
      <c r="G867" cm="1">
        <f t="array" ref="G867">_xlfn.XLOOKUP(TEXT(A867, "mmm-yy"), TEXT([2]RUNS!$B$5:$B$208, "mmm-yy"), [2]RUNS!$D$5:$D$208, "Not Found")</f>
        <v>29085.182247570345</v>
      </c>
      <c r="H867" cm="1">
        <f t="array" ref="H867">SUMPRODUCT(
    --(TEXT('[3]Global Weekly Stock (EWSuez'!$B$4:$B$2000,"mmm-yy")=TEXT(A867,"mmm-yy")),
    '[3]Global Weekly Stock (EWSuez'!$E$4:$E$2000)
/
SUMPRODUCT(
    --(TEXT('[3]Global Weekly Stock (EWSuez'!$B$4:$B$2000,"mmm-yy")=TEXT(A867,"mmm-yy"))
)</f>
        <v>13265.25</v>
      </c>
      <c r="I867">
        <f>_xlfn.XLOOKUP(A867,[1]ForwardDeriv!$D:$D,[1]ForwardDeriv!$AJ:$AJ)</f>
        <v>-0.12000000000000455</v>
      </c>
      <c r="J867" cm="1">
        <f t="array" ref="J867">_xlfn.XLOOKUP(TEXT(A867, "mmm-yy"), TEXT([2]GASOLINE!$B$5:$B$208, "mmm-yy"), [2]GASOLINE!$IR$5:$IR$208, "Not Found")</f>
        <v>75.229554546306474</v>
      </c>
      <c r="K867" cm="1">
        <f t="array" ref="K867">_xlfn.XLOOKUP(TEXT(A867, "mmm-yy"), TEXT([2]GASOLINE!$B$5:$B$208, "mmm-yy"), [2]GASOLINE!$IK$5:$IK$208, "Not Found")</f>
        <v>156.35758997881121</v>
      </c>
      <c r="L867">
        <f t="shared" si="13"/>
        <v>0</v>
      </c>
      <c r="M867" cm="1">
        <f t="array" ref="M867">_xlfn.XLOOKUP(TEXT(A867, "mmm-yy"), TEXT([2]GASOLINE!$B$5:$B$208, "mmm-yy"), [2]GASOLINE!$C$5:$C$208, "Not Found")</f>
        <v>7234.5635573632744</v>
      </c>
      <c r="N867" cm="1">
        <f t="array" ref="N867">_xlfn.XLOOKUP(TEXT(A867, "mmm-yy"), TEXT([2]RUNS!$B$5:$B$208, "mmm-yy"), [2]RUNS!$BM$5:$BM$208, "Not Found")</f>
        <v>0.83459396110619488</v>
      </c>
    </row>
    <row r="868" spans="1:14" x14ac:dyDescent="0.25">
      <c r="A868" s="1">
        <f>'[1]Global_Spot Prices'!$B2177</f>
        <v>43217</v>
      </c>
      <c r="B868">
        <f>_xlfn.XLOOKUP(A868,'[1]Global_Spot Prices'!$B:$B,'[1]Global_Spot Prices'!$BS:$BS)</f>
        <v>10.429999999999993</v>
      </c>
      <c r="C868">
        <f>_xlfn.XLOOKUP(A868,'[1]Global_Spot Prices'!$B:$B,'[1]Global_Spot Prices'!$E:$E)</f>
        <v>70.81</v>
      </c>
      <c r="D868">
        <f>_xlfn.XLOOKUP(A868,'[1]Global_Spot Prices'!$B:$B,'[1]Global_Spot Prices'!$D:$D)</f>
        <v>74.444999999999993</v>
      </c>
      <c r="E868">
        <f>_xlfn.XLOOKUP(A868,'[1]Global_Spot Prices'!$B:$B,'[1]Global_Spot Prices'!$H:$H)</f>
        <v>69.680000000000007</v>
      </c>
      <c r="F868">
        <f>_xlfn.XLOOKUP(A868,'[1]Global_Spot Prices'!$B:$B,'[1]Global_Spot Prices'!$I:$I)</f>
        <v>81.239999999999995</v>
      </c>
      <c r="G868" cm="1">
        <f t="array" ref="G868">_xlfn.XLOOKUP(TEXT(A868, "mmm-yy"), TEXT([2]RUNS!$B$5:$B$208, "mmm-yy"), [2]RUNS!$D$5:$D$208, "Not Found")</f>
        <v>29085.182247570345</v>
      </c>
      <c r="H868" cm="1">
        <f t="array" ref="H868">SUMPRODUCT(
    --(TEXT('[3]Global Weekly Stock (EWSuez'!$B$4:$B$2000,"mmm-yy")=TEXT(A868,"mmm-yy")),
    '[3]Global Weekly Stock (EWSuez'!$E$4:$E$2000)
/
SUMPRODUCT(
    --(TEXT('[3]Global Weekly Stock (EWSuez'!$B$4:$B$2000,"mmm-yy")=TEXT(A868,"mmm-yy"))
)</f>
        <v>13265.25</v>
      </c>
      <c r="I868">
        <f>_xlfn.XLOOKUP(A868,[1]ForwardDeriv!$D:$D,[1]ForwardDeriv!$AJ:$AJ)</f>
        <v>-4.0000000000006253E-2</v>
      </c>
      <c r="J868" cm="1">
        <f t="array" ref="J868">_xlfn.XLOOKUP(TEXT(A868, "mmm-yy"), TEXT([2]GASOLINE!$B$5:$B$208, "mmm-yy"), [2]GASOLINE!$IR$5:$IR$208, "Not Found")</f>
        <v>75.229554546306474</v>
      </c>
      <c r="K868" cm="1">
        <f t="array" ref="K868">_xlfn.XLOOKUP(TEXT(A868, "mmm-yy"), TEXT([2]GASOLINE!$B$5:$B$208, "mmm-yy"), [2]GASOLINE!$IK$5:$IK$208, "Not Found")</f>
        <v>156.35758997881121</v>
      </c>
      <c r="L868">
        <f t="shared" si="13"/>
        <v>0</v>
      </c>
      <c r="M868" cm="1">
        <f t="array" ref="M868">_xlfn.XLOOKUP(TEXT(A868, "mmm-yy"), TEXT([2]GASOLINE!$B$5:$B$208, "mmm-yy"), [2]GASOLINE!$C$5:$C$208, "Not Found")</f>
        <v>7234.5635573632744</v>
      </c>
      <c r="N868" cm="1">
        <f t="array" ref="N868">_xlfn.XLOOKUP(TEXT(A868, "mmm-yy"), TEXT([2]RUNS!$B$5:$B$208, "mmm-yy"), [2]RUNS!$BM$5:$BM$208, "Not Found")</f>
        <v>0.83459396110619488</v>
      </c>
    </row>
    <row r="869" spans="1:14" x14ac:dyDescent="0.25">
      <c r="A869" s="1">
        <f>'[1]Global_Spot Prices'!$B2178</f>
        <v>43220</v>
      </c>
      <c r="B869">
        <f>_xlfn.XLOOKUP(A869,'[1]Global_Spot Prices'!$B:$B,'[1]Global_Spot Prices'!$BS:$BS)</f>
        <v>10.930000000000007</v>
      </c>
      <c r="C869">
        <f>_xlfn.XLOOKUP(A869,'[1]Global_Spot Prices'!$B:$B,'[1]Global_Spot Prices'!$E:$E)</f>
        <v>69.97</v>
      </c>
      <c r="D869">
        <f>_xlfn.XLOOKUP(A869,'[1]Global_Spot Prices'!$B:$B,'[1]Global_Spot Prices'!$D:$D)</f>
        <v>75.105000000000004</v>
      </c>
      <c r="E869">
        <f>_xlfn.XLOOKUP(A869,'[1]Global_Spot Prices'!$B:$B,'[1]Global_Spot Prices'!$H:$H)</f>
        <v>69.489999999999995</v>
      </c>
      <c r="F869">
        <f>_xlfn.XLOOKUP(A869,'[1]Global_Spot Prices'!$B:$B,'[1]Global_Spot Prices'!$I:$I)</f>
        <v>80.900000000000006</v>
      </c>
      <c r="G869" cm="1">
        <f t="array" ref="G869">_xlfn.XLOOKUP(TEXT(A869, "mmm-yy"), TEXT([2]RUNS!$B$5:$B$208, "mmm-yy"), [2]RUNS!$D$5:$D$208, "Not Found")</f>
        <v>29085.182247570345</v>
      </c>
      <c r="H869" cm="1">
        <f t="array" ref="H869">SUMPRODUCT(
    --(TEXT('[3]Global Weekly Stock (EWSuez'!$B$4:$B$2000,"mmm-yy")=TEXT(A869,"mmm-yy")),
    '[3]Global Weekly Stock (EWSuez'!$E$4:$E$2000)
/
SUMPRODUCT(
    --(TEXT('[3]Global Weekly Stock (EWSuez'!$B$4:$B$2000,"mmm-yy")=TEXT(A869,"mmm-yy"))
)</f>
        <v>13265.25</v>
      </c>
      <c r="I869">
        <f>_xlfn.XLOOKUP(A869,[1]ForwardDeriv!$D:$D,[1]ForwardDeriv!$AJ:$AJ)</f>
        <v>6.0000000000002274E-2</v>
      </c>
      <c r="J869" cm="1">
        <f t="array" ref="J869">_xlfn.XLOOKUP(TEXT(A869, "mmm-yy"), TEXT([2]GASOLINE!$B$5:$B$208, "mmm-yy"), [2]GASOLINE!$IR$5:$IR$208, "Not Found")</f>
        <v>75.229554546306474</v>
      </c>
      <c r="K869" cm="1">
        <f t="array" ref="K869">_xlfn.XLOOKUP(TEXT(A869, "mmm-yy"), TEXT([2]GASOLINE!$B$5:$B$208, "mmm-yy"), [2]GASOLINE!$IK$5:$IK$208, "Not Found")</f>
        <v>156.35758997881121</v>
      </c>
      <c r="L869">
        <f t="shared" si="13"/>
        <v>0</v>
      </c>
      <c r="M869" cm="1">
        <f t="array" ref="M869">_xlfn.XLOOKUP(TEXT(A869, "mmm-yy"), TEXT([2]GASOLINE!$B$5:$B$208, "mmm-yy"), [2]GASOLINE!$C$5:$C$208, "Not Found")</f>
        <v>7234.5635573632744</v>
      </c>
      <c r="N869" cm="1">
        <f t="array" ref="N869">_xlfn.XLOOKUP(TEXT(A869, "mmm-yy"), TEXT([2]RUNS!$B$5:$B$208, "mmm-yy"), [2]RUNS!$BM$5:$BM$208, "Not Found")</f>
        <v>0.83459396110619488</v>
      </c>
    </row>
    <row r="870" spans="1:14" x14ac:dyDescent="0.25">
      <c r="A870" s="1">
        <f>'[1]Global_Spot Prices'!$B2179</f>
        <v>43221</v>
      </c>
      <c r="B870" t="e">
        <f>_xlfn.XLOOKUP(A870,'[1]Global_Spot Prices'!$B:$B,'[1]Global_Spot Prices'!$BS:$BS)</f>
        <v>#N/A</v>
      </c>
      <c r="C870" t="str">
        <f>_xlfn.XLOOKUP(A870,'[1]Global_Spot Prices'!$B:$B,'[1]Global_Spot Prices'!$E:$E)</f>
        <v/>
      </c>
      <c r="D870">
        <f>_xlfn.XLOOKUP(A870,'[1]Global_Spot Prices'!$B:$B,'[1]Global_Spot Prices'!$D:$D)</f>
        <v>74.37</v>
      </c>
      <c r="E870">
        <f>_xlfn.XLOOKUP(A870,'[1]Global_Spot Prices'!$B:$B,'[1]Global_Spot Prices'!$H:$H)</f>
        <v>0</v>
      </c>
      <c r="F870">
        <f>_xlfn.XLOOKUP(A870,'[1]Global_Spot Prices'!$B:$B,'[1]Global_Spot Prices'!$I:$I)</f>
        <v>0</v>
      </c>
      <c r="G870" cm="1">
        <f t="array" ref="G870">_xlfn.XLOOKUP(TEXT(A870, "mmm-yy"), TEXT([2]RUNS!$B$5:$B$208, "mmm-yy"), [2]RUNS!$D$5:$D$208, "Not Found")</f>
        <v>29340.976145068653</v>
      </c>
      <c r="H870" cm="1">
        <f t="array" ref="H870">SUMPRODUCT(
    --(TEXT('[3]Global Weekly Stock (EWSuez'!$B$4:$B$2000,"mmm-yy")=TEXT(A870,"mmm-yy")),
    '[3]Global Weekly Stock (EWSuez'!$E$4:$E$2000)
/
SUMPRODUCT(
    --(TEXT('[3]Global Weekly Stock (EWSuez'!$B$4:$B$2000,"mmm-yy")=TEXT(A870,"mmm-yy"))
)</f>
        <v>14049.5</v>
      </c>
      <c r="I870">
        <f>_xlfn.XLOOKUP(A870,[1]ForwardDeriv!$D:$D,[1]ForwardDeriv!$AJ:$AJ)</f>
        <v>0.35000000000000853</v>
      </c>
      <c r="J870" cm="1">
        <f t="array" ref="J870">_xlfn.XLOOKUP(TEXT(A870, "mmm-yy"), TEXT([2]GASOLINE!$B$5:$B$208, "mmm-yy"), [2]GASOLINE!$IR$5:$IR$208, "Not Found")</f>
        <v>215.82833348203491</v>
      </c>
      <c r="K870" cm="1">
        <f t="array" ref="K870">_xlfn.XLOOKUP(TEXT(A870, "mmm-yy"), TEXT([2]GASOLINE!$B$5:$B$208, "mmm-yy"), [2]GASOLINE!$IK$5:$IK$208, "Not Found")</f>
        <v>155.50057533865754</v>
      </c>
      <c r="L870">
        <f t="shared" si="13"/>
        <v>0</v>
      </c>
      <c r="M870" cm="1">
        <f t="array" ref="M870">_xlfn.XLOOKUP(TEXT(A870, "mmm-yy"), TEXT([2]GASOLINE!$B$5:$B$208, "mmm-yy"), [2]GASOLINE!$C$5:$C$208, "Not Found")</f>
        <v>7140.3379239249016</v>
      </c>
      <c r="N870" cm="1">
        <f t="array" ref="N870">_xlfn.XLOOKUP(TEXT(A870, "mmm-yy"), TEXT([2]RUNS!$B$5:$B$208, "mmm-yy"), [2]RUNS!$BM$5:$BM$208, "Not Found")</f>
        <v>0.84193392000082201</v>
      </c>
    </row>
    <row r="871" spans="1:14" x14ac:dyDescent="0.25">
      <c r="A871" s="1">
        <f>'[1]Global_Spot Prices'!$B2180</f>
        <v>43222</v>
      </c>
      <c r="B871">
        <f>_xlfn.XLOOKUP(A871,'[1]Global_Spot Prices'!$B:$B,'[1]Global_Spot Prices'!$BS:$BS)</f>
        <v>10.220000000000013</v>
      </c>
      <c r="C871">
        <f>_xlfn.XLOOKUP(A871,'[1]Global_Spot Prices'!$B:$B,'[1]Global_Spot Prices'!$E:$E)</f>
        <v>70.459999999999994</v>
      </c>
      <c r="D871">
        <f>_xlfn.XLOOKUP(A871,'[1]Global_Spot Prices'!$B:$B,'[1]Global_Spot Prices'!$D:$D)</f>
        <v>73.075000000000003</v>
      </c>
      <c r="E871">
        <f>_xlfn.XLOOKUP(A871,'[1]Global_Spot Prices'!$B:$B,'[1]Global_Spot Prices'!$H:$H)</f>
        <v>69.87</v>
      </c>
      <c r="F871">
        <f>_xlfn.XLOOKUP(A871,'[1]Global_Spot Prices'!$B:$B,'[1]Global_Spot Prices'!$I:$I)</f>
        <v>80.680000000000007</v>
      </c>
      <c r="G871" cm="1">
        <f t="array" ref="G871">_xlfn.XLOOKUP(TEXT(A871, "mmm-yy"), TEXT([2]RUNS!$B$5:$B$208, "mmm-yy"), [2]RUNS!$D$5:$D$208, "Not Found")</f>
        <v>29340.976145068653</v>
      </c>
      <c r="H871" cm="1">
        <f t="array" ref="H871">SUMPRODUCT(
    --(TEXT('[3]Global Weekly Stock (EWSuez'!$B$4:$B$2000,"mmm-yy")=TEXT(A871,"mmm-yy")),
    '[3]Global Weekly Stock (EWSuez'!$E$4:$E$2000)
/
SUMPRODUCT(
    --(TEXT('[3]Global Weekly Stock (EWSuez'!$B$4:$B$2000,"mmm-yy")=TEXT(A871,"mmm-yy"))
)</f>
        <v>14049.5</v>
      </c>
      <c r="I871">
        <f>_xlfn.XLOOKUP(A871,[1]ForwardDeriv!$D:$D,[1]ForwardDeriv!$AJ:$AJ)</f>
        <v>0.35000000000000853</v>
      </c>
      <c r="J871" cm="1">
        <f t="array" ref="J871">_xlfn.XLOOKUP(TEXT(A871, "mmm-yy"), TEXT([2]GASOLINE!$B$5:$B$208, "mmm-yy"), [2]GASOLINE!$IR$5:$IR$208, "Not Found")</f>
        <v>215.82833348203491</v>
      </c>
      <c r="K871" cm="1">
        <f t="array" ref="K871">_xlfn.XLOOKUP(TEXT(A871, "mmm-yy"), TEXT([2]GASOLINE!$B$5:$B$208, "mmm-yy"), [2]GASOLINE!$IK$5:$IK$208, "Not Found")</f>
        <v>155.50057533865754</v>
      </c>
      <c r="L871">
        <f t="shared" si="13"/>
        <v>0</v>
      </c>
      <c r="M871" cm="1">
        <f t="array" ref="M871">_xlfn.XLOOKUP(TEXT(A871, "mmm-yy"), TEXT([2]GASOLINE!$B$5:$B$208, "mmm-yy"), [2]GASOLINE!$C$5:$C$208, "Not Found")</f>
        <v>7140.3379239249016</v>
      </c>
      <c r="N871" cm="1">
        <f t="array" ref="N871">_xlfn.XLOOKUP(TEXT(A871, "mmm-yy"), TEXT([2]RUNS!$B$5:$B$208, "mmm-yy"), [2]RUNS!$BM$5:$BM$208, "Not Found")</f>
        <v>0.84193392000082201</v>
      </c>
    </row>
    <row r="872" spans="1:14" x14ac:dyDescent="0.25">
      <c r="A872" s="1">
        <f>'[1]Global_Spot Prices'!$B2181</f>
        <v>43223</v>
      </c>
      <c r="B872">
        <f>_xlfn.XLOOKUP(A872,'[1]Global_Spot Prices'!$B:$B,'[1]Global_Spot Prices'!$BS:$BS)</f>
        <v>9.5999999999999943</v>
      </c>
      <c r="C872">
        <f>_xlfn.XLOOKUP(A872,'[1]Global_Spot Prices'!$B:$B,'[1]Global_Spot Prices'!$E:$E)</f>
        <v>70.56</v>
      </c>
      <c r="D872">
        <f>_xlfn.XLOOKUP(A872,'[1]Global_Spot Prices'!$B:$B,'[1]Global_Spot Prices'!$D:$D)</f>
        <v>73.56</v>
      </c>
      <c r="E872">
        <f>_xlfn.XLOOKUP(A872,'[1]Global_Spot Prices'!$B:$B,'[1]Global_Spot Prices'!$H:$H)</f>
        <v>69.87</v>
      </c>
      <c r="F872">
        <f>_xlfn.XLOOKUP(A872,'[1]Global_Spot Prices'!$B:$B,'[1]Global_Spot Prices'!$I:$I)</f>
        <v>80.16</v>
      </c>
      <c r="G872" cm="1">
        <f t="array" ref="G872">_xlfn.XLOOKUP(TEXT(A872, "mmm-yy"), TEXT([2]RUNS!$B$5:$B$208, "mmm-yy"), [2]RUNS!$D$5:$D$208, "Not Found")</f>
        <v>29340.976145068653</v>
      </c>
      <c r="H872" cm="1">
        <f t="array" ref="H872">SUMPRODUCT(
    --(TEXT('[3]Global Weekly Stock (EWSuez'!$B$4:$B$2000,"mmm-yy")=TEXT(A872,"mmm-yy")),
    '[3]Global Weekly Stock (EWSuez'!$E$4:$E$2000)
/
SUMPRODUCT(
    --(TEXT('[3]Global Weekly Stock (EWSuez'!$B$4:$B$2000,"mmm-yy")=TEXT(A872,"mmm-yy"))
)</f>
        <v>14049.5</v>
      </c>
      <c r="I872">
        <f>_xlfn.XLOOKUP(A872,[1]ForwardDeriv!$D:$D,[1]ForwardDeriv!$AJ:$AJ)</f>
        <v>0.26999999999999602</v>
      </c>
      <c r="J872" cm="1">
        <f t="array" ref="J872">_xlfn.XLOOKUP(TEXT(A872, "mmm-yy"), TEXT([2]GASOLINE!$B$5:$B$208, "mmm-yy"), [2]GASOLINE!$IR$5:$IR$208, "Not Found")</f>
        <v>215.82833348203491</v>
      </c>
      <c r="K872" cm="1">
        <f t="array" ref="K872">_xlfn.XLOOKUP(TEXT(A872, "mmm-yy"), TEXT([2]GASOLINE!$B$5:$B$208, "mmm-yy"), [2]GASOLINE!$IK$5:$IK$208, "Not Found")</f>
        <v>155.50057533865754</v>
      </c>
      <c r="L872">
        <f t="shared" si="13"/>
        <v>0</v>
      </c>
      <c r="M872" cm="1">
        <f t="array" ref="M872">_xlfn.XLOOKUP(TEXT(A872, "mmm-yy"), TEXT([2]GASOLINE!$B$5:$B$208, "mmm-yy"), [2]GASOLINE!$C$5:$C$208, "Not Found")</f>
        <v>7140.3379239249016</v>
      </c>
      <c r="N872" cm="1">
        <f t="array" ref="N872">_xlfn.XLOOKUP(TEXT(A872, "mmm-yy"), TEXT([2]RUNS!$B$5:$B$208, "mmm-yy"), [2]RUNS!$BM$5:$BM$208, "Not Found")</f>
        <v>0.84193392000082201</v>
      </c>
    </row>
    <row r="873" spans="1:14" x14ac:dyDescent="0.25">
      <c r="A873" s="1">
        <f>'[1]Global_Spot Prices'!$B2182</f>
        <v>43224</v>
      </c>
      <c r="B873">
        <f>_xlfn.XLOOKUP(A873,'[1]Global_Spot Prices'!$B:$B,'[1]Global_Spot Prices'!$BS:$BS)</f>
        <v>9.6749999999999972</v>
      </c>
      <c r="C873">
        <f>_xlfn.XLOOKUP(A873,'[1]Global_Spot Prices'!$B:$B,'[1]Global_Spot Prices'!$E:$E)</f>
        <v>70.454999999999998</v>
      </c>
      <c r="D873">
        <f>_xlfn.XLOOKUP(A873,'[1]Global_Spot Prices'!$B:$B,'[1]Global_Spot Prices'!$D:$D)</f>
        <v>74.55</v>
      </c>
      <c r="E873">
        <f>_xlfn.XLOOKUP(A873,'[1]Global_Spot Prices'!$B:$B,'[1]Global_Spot Prices'!$H:$H)</f>
        <v>70.05</v>
      </c>
      <c r="F873">
        <f>_xlfn.XLOOKUP(A873,'[1]Global_Spot Prices'!$B:$B,'[1]Global_Spot Prices'!$I:$I)</f>
        <v>80.13</v>
      </c>
      <c r="G873" cm="1">
        <f t="array" ref="G873">_xlfn.XLOOKUP(TEXT(A873, "mmm-yy"), TEXT([2]RUNS!$B$5:$B$208, "mmm-yy"), [2]RUNS!$D$5:$D$208, "Not Found")</f>
        <v>29340.976145068653</v>
      </c>
      <c r="H873" cm="1">
        <f t="array" ref="H873">SUMPRODUCT(
    --(TEXT('[3]Global Weekly Stock (EWSuez'!$B$4:$B$2000,"mmm-yy")=TEXT(A873,"mmm-yy")),
    '[3]Global Weekly Stock (EWSuez'!$E$4:$E$2000)
/
SUMPRODUCT(
    --(TEXT('[3]Global Weekly Stock (EWSuez'!$B$4:$B$2000,"mmm-yy")=TEXT(A873,"mmm-yy"))
)</f>
        <v>14049.5</v>
      </c>
      <c r="I873">
        <f>_xlfn.XLOOKUP(A873,[1]ForwardDeriv!$D:$D,[1]ForwardDeriv!$AJ:$AJ)</f>
        <v>0.27000000000001023</v>
      </c>
      <c r="J873" cm="1">
        <f t="array" ref="J873">_xlfn.XLOOKUP(TEXT(A873, "mmm-yy"), TEXT([2]GASOLINE!$B$5:$B$208, "mmm-yy"), [2]GASOLINE!$IR$5:$IR$208, "Not Found")</f>
        <v>215.82833348203491</v>
      </c>
      <c r="K873" cm="1">
        <f t="array" ref="K873">_xlfn.XLOOKUP(TEXT(A873, "mmm-yy"), TEXT([2]GASOLINE!$B$5:$B$208, "mmm-yy"), [2]GASOLINE!$IK$5:$IK$208, "Not Found")</f>
        <v>155.50057533865754</v>
      </c>
      <c r="L873">
        <f t="shared" si="13"/>
        <v>0</v>
      </c>
      <c r="M873" cm="1">
        <f t="array" ref="M873">_xlfn.XLOOKUP(TEXT(A873, "mmm-yy"), TEXT([2]GASOLINE!$B$5:$B$208, "mmm-yy"), [2]GASOLINE!$C$5:$C$208, "Not Found")</f>
        <v>7140.3379239249016</v>
      </c>
      <c r="N873" cm="1">
        <f t="array" ref="N873">_xlfn.XLOOKUP(TEXT(A873, "mmm-yy"), TEXT([2]RUNS!$B$5:$B$208, "mmm-yy"), [2]RUNS!$BM$5:$BM$208, "Not Found")</f>
        <v>0.84193392000082201</v>
      </c>
    </row>
    <row r="874" spans="1:14" x14ac:dyDescent="0.25">
      <c r="A874" s="1">
        <f>'[1]Global_Spot Prices'!$B2183</f>
        <v>43227</v>
      </c>
      <c r="B874">
        <f>_xlfn.XLOOKUP(A874,'[1]Global_Spot Prices'!$B:$B,'[1]Global_Spot Prices'!$BS:$BS)</f>
        <v>9.3400000000000034</v>
      </c>
      <c r="C874">
        <f>_xlfn.XLOOKUP(A874,'[1]Global_Spot Prices'!$B:$B,'[1]Global_Spot Prices'!$E:$E)</f>
        <v>72.55</v>
      </c>
      <c r="D874" t="str">
        <f>_xlfn.XLOOKUP(A874,'[1]Global_Spot Prices'!$B:$B,'[1]Global_Spot Prices'!$D:$D)</f>
        <v/>
      </c>
      <c r="E874">
        <f>_xlfn.XLOOKUP(A874,'[1]Global_Spot Prices'!$B:$B,'[1]Global_Spot Prices'!$H:$H)</f>
        <v>72.069999999999993</v>
      </c>
      <c r="F874">
        <f>_xlfn.XLOOKUP(A874,'[1]Global_Spot Prices'!$B:$B,'[1]Global_Spot Prices'!$I:$I)</f>
        <v>81.89</v>
      </c>
      <c r="G874" cm="1">
        <f t="array" ref="G874">_xlfn.XLOOKUP(TEXT(A874, "mmm-yy"), TEXT([2]RUNS!$B$5:$B$208, "mmm-yy"), [2]RUNS!$D$5:$D$208, "Not Found")</f>
        <v>29340.976145068653</v>
      </c>
      <c r="H874" cm="1">
        <f t="array" ref="H874">SUMPRODUCT(
    --(TEXT('[3]Global Weekly Stock (EWSuez'!$B$4:$B$2000,"mmm-yy")=TEXT(A874,"mmm-yy")),
    '[3]Global Weekly Stock (EWSuez'!$E$4:$E$2000)
/
SUMPRODUCT(
    --(TEXT('[3]Global Weekly Stock (EWSuez'!$B$4:$B$2000,"mmm-yy")=TEXT(A874,"mmm-yy"))
)</f>
        <v>14049.5</v>
      </c>
      <c r="I874">
        <f>_xlfn.XLOOKUP(A874,[1]ForwardDeriv!$D:$D,[1]ForwardDeriv!$AJ:$AJ)</f>
        <v>0.10999999999999943</v>
      </c>
      <c r="J874" cm="1">
        <f t="array" ref="J874">_xlfn.XLOOKUP(TEXT(A874, "mmm-yy"), TEXT([2]GASOLINE!$B$5:$B$208, "mmm-yy"), [2]GASOLINE!$IR$5:$IR$208, "Not Found")</f>
        <v>215.82833348203491</v>
      </c>
      <c r="K874" cm="1">
        <f t="array" ref="K874">_xlfn.XLOOKUP(TEXT(A874, "mmm-yy"), TEXT([2]GASOLINE!$B$5:$B$208, "mmm-yy"), [2]GASOLINE!$IK$5:$IK$208, "Not Found")</f>
        <v>155.50057533865754</v>
      </c>
      <c r="L874">
        <f t="shared" si="13"/>
        <v>0</v>
      </c>
      <c r="M874" cm="1">
        <f t="array" ref="M874">_xlfn.XLOOKUP(TEXT(A874, "mmm-yy"), TEXT([2]GASOLINE!$B$5:$B$208, "mmm-yy"), [2]GASOLINE!$C$5:$C$208, "Not Found")</f>
        <v>7140.3379239249016</v>
      </c>
      <c r="N874" cm="1">
        <f t="array" ref="N874">_xlfn.XLOOKUP(TEXT(A874, "mmm-yy"), TEXT([2]RUNS!$B$5:$B$208, "mmm-yy"), [2]RUNS!$BM$5:$BM$208, "Not Found")</f>
        <v>0.84193392000082201</v>
      </c>
    </row>
    <row r="875" spans="1:14" x14ac:dyDescent="0.25">
      <c r="A875" s="1">
        <f>'[1]Global_Spot Prices'!$B2184</f>
        <v>43228</v>
      </c>
      <c r="B875">
        <f>_xlfn.XLOOKUP(A875,'[1]Global_Spot Prices'!$B:$B,'[1]Global_Spot Prices'!$BS:$BS)</f>
        <v>9.1300000000000097</v>
      </c>
      <c r="C875">
        <f>_xlfn.XLOOKUP(A875,'[1]Global_Spot Prices'!$B:$B,'[1]Global_Spot Prices'!$E:$E)</f>
        <v>72.459999999999994</v>
      </c>
      <c r="D875">
        <f>_xlfn.XLOOKUP(A875,'[1]Global_Spot Prices'!$B:$B,'[1]Global_Spot Prices'!$D:$D)</f>
        <v>74.305000000000007</v>
      </c>
      <c r="E875">
        <f>_xlfn.XLOOKUP(A875,'[1]Global_Spot Prices'!$B:$B,'[1]Global_Spot Prices'!$H:$H)</f>
        <v>72.459999999999994</v>
      </c>
      <c r="F875">
        <f>_xlfn.XLOOKUP(A875,'[1]Global_Spot Prices'!$B:$B,'[1]Global_Spot Prices'!$I:$I)</f>
        <v>81.59</v>
      </c>
      <c r="G875" cm="1">
        <f t="array" ref="G875">_xlfn.XLOOKUP(TEXT(A875, "mmm-yy"), TEXT([2]RUNS!$B$5:$B$208, "mmm-yy"), [2]RUNS!$D$5:$D$208, "Not Found")</f>
        <v>29340.976145068653</v>
      </c>
      <c r="H875" cm="1">
        <f t="array" ref="H875">SUMPRODUCT(
    --(TEXT('[3]Global Weekly Stock (EWSuez'!$B$4:$B$2000,"mmm-yy")=TEXT(A875,"mmm-yy")),
    '[3]Global Weekly Stock (EWSuez'!$E$4:$E$2000)
/
SUMPRODUCT(
    --(TEXT('[3]Global Weekly Stock (EWSuez'!$B$4:$B$2000,"mmm-yy")=TEXT(A875,"mmm-yy"))
)</f>
        <v>14049.5</v>
      </c>
      <c r="I875">
        <f>_xlfn.XLOOKUP(A875,[1]ForwardDeriv!$D:$D,[1]ForwardDeriv!$AJ:$AJ)</f>
        <v>8.99999999999892E-2</v>
      </c>
      <c r="J875" cm="1">
        <f t="array" ref="J875">_xlfn.XLOOKUP(TEXT(A875, "mmm-yy"), TEXT([2]GASOLINE!$B$5:$B$208, "mmm-yy"), [2]GASOLINE!$IR$5:$IR$208, "Not Found")</f>
        <v>215.82833348203491</v>
      </c>
      <c r="K875" cm="1">
        <f t="array" ref="K875">_xlfn.XLOOKUP(TEXT(A875, "mmm-yy"), TEXT([2]GASOLINE!$B$5:$B$208, "mmm-yy"), [2]GASOLINE!$IK$5:$IK$208, "Not Found")</f>
        <v>155.50057533865754</v>
      </c>
      <c r="L875">
        <f t="shared" si="13"/>
        <v>0</v>
      </c>
      <c r="M875" cm="1">
        <f t="array" ref="M875">_xlfn.XLOOKUP(TEXT(A875, "mmm-yy"), TEXT([2]GASOLINE!$B$5:$B$208, "mmm-yy"), [2]GASOLINE!$C$5:$C$208, "Not Found")</f>
        <v>7140.3379239249016</v>
      </c>
      <c r="N875" cm="1">
        <f t="array" ref="N875">_xlfn.XLOOKUP(TEXT(A875, "mmm-yy"), TEXT([2]RUNS!$B$5:$B$208, "mmm-yy"), [2]RUNS!$BM$5:$BM$208, "Not Found")</f>
        <v>0.84193392000082201</v>
      </c>
    </row>
    <row r="876" spans="1:14" x14ac:dyDescent="0.25">
      <c r="A876" s="1">
        <f>'[1]Global_Spot Prices'!$B2185</f>
        <v>43229</v>
      </c>
      <c r="B876">
        <f>_xlfn.XLOOKUP(A876,'[1]Global_Spot Prices'!$B:$B,'[1]Global_Spot Prices'!$BS:$BS)</f>
        <v>9.9099999999999966</v>
      </c>
      <c r="C876">
        <f>_xlfn.XLOOKUP(A876,'[1]Global_Spot Prices'!$B:$B,'[1]Global_Spot Prices'!$E:$E)</f>
        <v>73.900000000000006</v>
      </c>
      <c r="D876">
        <f>_xlfn.XLOOKUP(A876,'[1]Global_Spot Prices'!$B:$B,'[1]Global_Spot Prices'!$D:$D)</f>
        <v>77.305000000000007</v>
      </c>
      <c r="E876">
        <f>_xlfn.XLOOKUP(A876,'[1]Global_Spot Prices'!$B:$B,'[1]Global_Spot Prices'!$H:$H)</f>
        <v>74.260000000000005</v>
      </c>
      <c r="F876">
        <f>_xlfn.XLOOKUP(A876,'[1]Global_Spot Prices'!$B:$B,'[1]Global_Spot Prices'!$I:$I)</f>
        <v>83.81</v>
      </c>
      <c r="G876" cm="1">
        <f t="array" ref="G876">_xlfn.XLOOKUP(TEXT(A876, "mmm-yy"), TEXT([2]RUNS!$B$5:$B$208, "mmm-yy"), [2]RUNS!$D$5:$D$208, "Not Found")</f>
        <v>29340.976145068653</v>
      </c>
      <c r="H876" cm="1">
        <f t="array" ref="H876">SUMPRODUCT(
    --(TEXT('[3]Global Weekly Stock (EWSuez'!$B$4:$B$2000,"mmm-yy")=TEXT(A876,"mmm-yy")),
    '[3]Global Weekly Stock (EWSuez'!$E$4:$E$2000)
/
SUMPRODUCT(
    --(TEXT('[3]Global Weekly Stock (EWSuez'!$B$4:$B$2000,"mmm-yy")=TEXT(A876,"mmm-yy"))
)</f>
        <v>14049.5</v>
      </c>
      <c r="I876">
        <f>_xlfn.XLOOKUP(A876,[1]ForwardDeriv!$D:$D,[1]ForwardDeriv!$AJ:$AJ)</f>
        <v>0.28999999999999204</v>
      </c>
      <c r="J876" cm="1">
        <f t="array" ref="J876">_xlfn.XLOOKUP(TEXT(A876, "mmm-yy"), TEXT([2]GASOLINE!$B$5:$B$208, "mmm-yy"), [2]GASOLINE!$IR$5:$IR$208, "Not Found")</f>
        <v>215.82833348203491</v>
      </c>
      <c r="K876" cm="1">
        <f t="array" ref="K876">_xlfn.XLOOKUP(TEXT(A876, "mmm-yy"), TEXT([2]GASOLINE!$B$5:$B$208, "mmm-yy"), [2]GASOLINE!$IK$5:$IK$208, "Not Found")</f>
        <v>155.50057533865754</v>
      </c>
      <c r="L876">
        <f t="shared" si="13"/>
        <v>0</v>
      </c>
      <c r="M876" cm="1">
        <f t="array" ref="M876">_xlfn.XLOOKUP(TEXT(A876, "mmm-yy"), TEXT([2]GASOLINE!$B$5:$B$208, "mmm-yy"), [2]GASOLINE!$C$5:$C$208, "Not Found")</f>
        <v>7140.3379239249016</v>
      </c>
      <c r="N876" cm="1">
        <f t="array" ref="N876">_xlfn.XLOOKUP(TEXT(A876, "mmm-yy"), TEXT([2]RUNS!$B$5:$B$208, "mmm-yy"), [2]RUNS!$BM$5:$BM$208, "Not Found")</f>
        <v>0.84193392000082201</v>
      </c>
    </row>
    <row r="877" spans="1:14" x14ac:dyDescent="0.25">
      <c r="A877" s="1">
        <f>'[1]Global_Spot Prices'!$B2186</f>
        <v>43230</v>
      </c>
      <c r="B877">
        <f>_xlfn.XLOOKUP(A877,'[1]Global_Spot Prices'!$B:$B,'[1]Global_Spot Prices'!$BS:$BS)</f>
        <v>10.200000000000003</v>
      </c>
      <c r="C877">
        <f>_xlfn.XLOOKUP(A877,'[1]Global_Spot Prices'!$B:$B,'[1]Global_Spot Prices'!$E:$E)</f>
        <v>74.58</v>
      </c>
      <c r="D877">
        <f>_xlfn.XLOOKUP(A877,'[1]Global_Spot Prices'!$B:$B,'[1]Global_Spot Prices'!$D:$D)</f>
        <v>77.215000000000003</v>
      </c>
      <c r="E877">
        <f>_xlfn.XLOOKUP(A877,'[1]Global_Spot Prices'!$B:$B,'[1]Global_Spot Prices'!$H:$H)</f>
        <v>74.88</v>
      </c>
      <c r="F877">
        <f>_xlfn.XLOOKUP(A877,'[1]Global_Spot Prices'!$B:$B,'[1]Global_Spot Prices'!$I:$I)</f>
        <v>84.78</v>
      </c>
      <c r="G877" cm="1">
        <f t="array" ref="G877">_xlfn.XLOOKUP(TEXT(A877, "mmm-yy"), TEXT([2]RUNS!$B$5:$B$208, "mmm-yy"), [2]RUNS!$D$5:$D$208, "Not Found")</f>
        <v>29340.976145068653</v>
      </c>
      <c r="H877" cm="1">
        <f t="array" ref="H877">SUMPRODUCT(
    --(TEXT('[3]Global Weekly Stock (EWSuez'!$B$4:$B$2000,"mmm-yy")=TEXT(A877,"mmm-yy")),
    '[3]Global Weekly Stock (EWSuez'!$E$4:$E$2000)
/
SUMPRODUCT(
    --(TEXT('[3]Global Weekly Stock (EWSuez'!$B$4:$B$2000,"mmm-yy")=TEXT(A877,"mmm-yy"))
)</f>
        <v>14049.5</v>
      </c>
      <c r="I877">
        <f>_xlfn.XLOOKUP(A877,[1]ForwardDeriv!$D:$D,[1]ForwardDeriv!$AJ:$AJ)</f>
        <v>0.30000000000001137</v>
      </c>
      <c r="J877" cm="1">
        <f t="array" ref="J877">_xlfn.XLOOKUP(TEXT(A877, "mmm-yy"), TEXT([2]GASOLINE!$B$5:$B$208, "mmm-yy"), [2]GASOLINE!$IR$5:$IR$208, "Not Found")</f>
        <v>215.82833348203491</v>
      </c>
      <c r="K877" cm="1">
        <f t="array" ref="K877">_xlfn.XLOOKUP(TEXT(A877, "mmm-yy"), TEXT([2]GASOLINE!$B$5:$B$208, "mmm-yy"), [2]GASOLINE!$IK$5:$IK$208, "Not Found")</f>
        <v>155.50057533865754</v>
      </c>
      <c r="L877">
        <f t="shared" si="13"/>
        <v>0</v>
      </c>
      <c r="M877" cm="1">
        <f t="array" ref="M877">_xlfn.XLOOKUP(TEXT(A877, "mmm-yy"), TEXT([2]GASOLINE!$B$5:$B$208, "mmm-yy"), [2]GASOLINE!$C$5:$C$208, "Not Found")</f>
        <v>7140.3379239249016</v>
      </c>
      <c r="N877" cm="1">
        <f t="array" ref="N877">_xlfn.XLOOKUP(TEXT(A877, "mmm-yy"), TEXT([2]RUNS!$B$5:$B$208, "mmm-yy"), [2]RUNS!$BM$5:$BM$208, "Not Found")</f>
        <v>0.84193392000082201</v>
      </c>
    </row>
    <row r="878" spans="1:14" x14ac:dyDescent="0.25">
      <c r="A878" s="1">
        <f>'[1]Global_Spot Prices'!$B2187</f>
        <v>43231</v>
      </c>
      <c r="B878">
        <f>_xlfn.XLOOKUP(A878,'[1]Global_Spot Prices'!$B:$B,'[1]Global_Spot Prices'!$BS:$BS)</f>
        <v>10.64</v>
      </c>
      <c r="C878">
        <f>_xlfn.XLOOKUP(A878,'[1]Global_Spot Prices'!$B:$B,'[1]Global_Spot Prices'!$E:$E)</f>
        <v>74.400000000000006</v>
      </c>
      <c r="D878">
        <f>_xlfn.XLOOKUP(A878,'[1]Global_Spot Prices'!$B:$B,'[1]Global_Spot Prices'!$D:$D)</f>
        <v>77.3</v>
      </c>
      <c r="E878">
        <f>_xlfn.XLOOKUP(A878,'[1]Global_Spot Prices'!$B:$B,'[1]Global_Spot Prices'!$H:$H)</f>
        <v>74.819999999999993</v>
      </c>
      <c r="F878">
        <f>_xlfn.XLOOKUP(A878,'[1]Global_Spot Prices'!$B:$B,'[1]Global_Spot Prices'!$I:$I)</f>
        <v>85.04</v>
      </c>
      <c r="G878" cm="1">
        <f t="array" ref="G878">_xlfn.XLOOKUP(TEXT(A878, "mmm-yy"), TEXT([2]RUNS!$B$5:$B$208, "mmm-yy"), [2]RUNS!$D$5:$D$208, "Not Found")</f>
        <v>29340.976145068653</v>
      </c>
      <c r="H878" cm="1">
        <f t="array" ref="H878">SUMPRODUCT(
    --(TEXT('[3]Global Weekly Stock (EWSuez'!$B$4:$B$2000,"mmm-yy")=TEXT(A878,"mmm-yy")),
    '[3]Global Weekly Stock (EWSuez'!$E$4:$E$2000)
/
SUMPRODUCT(
    --(TEXT('[3]Global Weekly Stock (EWSuez'!$B$4:$B$2000,"mmm-yy")=TEXT(A878,"mmm-yy"))
)</f>
        <v>14049.5</v>
      </c>
      <c r="I878">
        <f>_xlfn.XLOOKUP(A878,[1]ForwardDeriv!$D:$D,[1]ForwardDeriv!$AJ:$AJ)</f>
        <v>0.4100000000000108</v>
      </c>
      <c r="J878" cm="1">
        <f t="array" ref="J878">_xlfn.XLOOKUP(TEXT(A878, "mmm-yy"), TEXT([2]GASOLINE!$B$5:$B$208, "mmm-yy"), [2]GASOLINE!$IR$5:$IR$208, "Not Found")</f>
        <v>215.82833348203491</v>
      </c>
      <c r="K878" cm="1">
        <f t="array" ref="K878">_xlfn.XLOOKUP(TEXT(A878, "mmm-yy"), TEXT([2]GASOLINE!$B$5:$B$208, "mmm-yy"), [2]GASOLINE!$IK$5:$IK$208, "Not Found")</f>
        <v>155.50057533865754</v>
      </c>
      <c r="L878">
        <f t="shared" si="13"/>
        <v>0</v>
      </c>
      <c r="M878" cm="1">
        <f t="array" ref="M878">_xlfn.XLOOKUP(TEXT(A878, "mmm-yy"), TEXT([2]GASOLINE!$B$5:$B$208, "mmm-yy"), [2]GASOLINE!$C$5:$C$208, "Not Found")</f>
        <v>7140.3379239249016</v>
      </c>
      <c r="N878" cm="1">
        <f t="array" ref="N878">_xlfn.XLOOKUP(TEXT(A878, "mmm-yy"), TEXT([2]RUNS!$B$5:$B$208, "mmm-yy"), [2]RUNS!$BM$5:$BM$208, "Not Found")</f>
        <v>0.84193392000082201</v>
      </c>
    </row>
    <row r="879" spans="1:14" x14ac:dyDescent="0.25">
      <c r="A879" s="1">
        <f>'[1]Global_Spot Prices'!$B2188</f>
        <v>43234</v>
      </c>
      <c r="B879">
        <f>_xlfn.XLOOKUP(A879,'[1]Global_Spot Prices'!$B:$B,'[1]Global_Spot Prices'!$BS:$BS)</f>
        <v>10.709999999999994</v>
      </c>
      <c r="C879">
        <f>_xlfn.XLOOKUP(A879,'[1]Global_Spot Prices'!$B:$B,'[1]Global_Spot Prices'!$E:$E)</f>
        <v>73.75</v>
      </c>
      <c r="D879">
        <f>_xlfn.XLOOKUP(A879,'[1]Global_Spot Prices'!$B:$B,'[1]Global_Spot Prices'!$D:$D)</f>
        <v>78.08</v>
      </c>
      <c r="E879">
        <f>_xlfn.XLOOKUP(A879,'[1]Global_Spot Prices'!$B:$B,'[1]Global_Spot Prices'!$H:$H)</f>
        <v>74.55</v>
      </c>
      <c r="F879">
        <f>_xlfn.XLOOKUP(A879,'[1]Global_Spot Prices'!$B:$B,'[1]Global_Spot Prices'!$I:$I)</f>
        <v>84.46</v>
      </c>
      <c r="G879" cm="1">
        <f t="array" ref="G879">_xlfn.XLOOKUP(TEXT(A879, "mmm-yy"), TEXT([2]RUNS!$B$5:$B$208, "mmm-yy"), [2]RUNS!$D$5:$D$208, "Not Found")</f>
        <v>29340.976145068653</v>
      </c>
      <c r="H879" cm="1">
        <f t="array" ref="H879">SUMPRODUCT(
    --(TEXT('[3]Global Weekly Stock (EWSuez'!$B$4:$B$2000,"mmm-yy")=TEXT(A879,"mmm-yy")),
    '[3]Global Weekly Stock (EWSuez'!$E$4:$E$2000)
/
SUMPRODUCT(
    --(TEXT('[3]Global Weekly Stock (EWSuez'!$B$4:$B$2000,"mmm-yy")=TEXT(A879,"mmm-yy"))
)</f>
        <v>14049.5</v>
      </c>
      <c r="I879">
        <f>_xlfn.XLOOKUP(A879,[1]ForwardDeriv!$D:$D,[1]ForwardDeriv!$AJ:$AJ)</f>
        <v>0.42999999999999261</v>
      </c>
      <c r="J879" cm="1">
        <f t="array" ref="J879">_xlfn.XLOOKUP(TEXT(A879, "mmm-yy"), TEXT([2]GASOLINE!$B$5:$B$208, "mmm-yy"), [2]GASOLINE!$IR$5:$IR$208, "Not Found")</f>
        <v>215.82833348203491</v>
      </c>
      <c r="K879" cm="1">
        <f t="array" ref="K879">_xlfn.XLOOKUP(TEXT(A879, "mmm-yy"), TEXT([2]GASOLINE!$B$5:$B$208, "mmm-yy"), [2]GASOLINE!$IK$5:$IK$208, "Not Found")</f>
        <v>155.50057533865754</v>
      </c>
      <c r="L879">
        <f t="shared" si="13"/>
        <v>0</v>
      </c>
      <c r="M879" cm="1">
        <f t="array" ref="M879">_xlfn.XLOOKUP(TEXT(A879, "mmm-yy"), TEXT([2]GASOLINE!$B$5:$B$208, "mmm-yy"), [2]GASOLINE!$C$5:$C$208, "Not Found")</f>
        <v>7140.3379239249016</v>
      </c>
      <c r="N879" cm="1">
        <f t="array" ref="N879">_xlfn.XLOOKUP(TEXT(A879, "mmm-yy"), TEXT([2]RUNS!$B$5:$B$208, "mmm-yy"), [2]RUNS!$BM$5:$BM$208, "Not Found")</f>
        <v>0.84193392000082201</v>
      </c>
    </row>
    <row r="880" spans="1:14" x14ac:dyDescent="0.25">
      <c r="A880" s="1">
        <f>'[1]Global_Spot Prices'!$B2189</f>
        <v>43235</v>
      </c>
      <c r="B880">
        <f>_xlfn.XLOOKUP(A880,'[1]Global_Spot Prices'!$B:$B,'[1]Global_Spot Prices'!$BS:$BS)</f>
        <v>10.600000000000009</v>
      </c>
      <c r="C880">
        <f>_xlfn.XLOOKUP(A880,'[1]Global_Spot Prices'!$B:$B,'[1]Global_Spot Prices'!$E:$E)</f>
        <v>75.349999999999994</v>
      </c>
      <c r="D880">
        <f>_xlfn.XLOOKUP(A880,'[1]Global_Spot Prices'!$B:$B,'[1]Global_Spot Prices'!$D:$D)</f>
        <v>78.754999999999995</v>
      </c>
      <c r="E880">
        <f>_xlfn.XLOOKUP(A880,'[1]Global_Spot Prices'!$B:$B,'[1]Global_Spot Prices'!$H:$H)</f>
        <v>75.959999999999994</v>
      </c>
      <c r="F880">
        <f>_xlfn.XLOOKUP(A880,'[1]Global_Spot Prices'!$B:$B,'[1]Global_Spot Prices'!$I:$I)</f>
        <v>85.95</v>
      </c>
      <c r="G880" cm="1">
        <f t="array" ref="G880">_xlfn.XLOOKUP(TEXT(A880, "mmm-yy"), TEXT([2]RUNS!$B$5:$B$208, "mmm-yy"), [2]RUNS!$D$5:$D$208, "Not Found")</f>
        <v>29340.976145068653</v>
      </c>
      <c r="H880" cm="1">
        <f t="array" ref="H880">SUMPRODUCT(
    --(TEXT('[3]Global Weekly Stock (EWSuez'!$B$4:$B$2000,"mmm-yy")=TEXT(A880,"mmm-yy")),
    '[3]Global Weekly Stock (EWSuez'!$E$4:$E$2000)
/
SUMPRODUCT(
    --(TEXT('[3]Global Weekly Stock (EWSuez'!$B$4:$B$2000,"mmm-yy")=TEXT(A880,"mmm-yy"))
)</f>
        <v>14049.5</v>
      </c>
      <c r="I880">
        <f>_xlfn.XLOOKUP(A880,[1]ForwardDeriv!$D:$D,[1]ForwardDeriv!$AJ:$AJ)</f>
        <v>0.36999999999999034</v>
      </c>
      <c r="J880" cm="1">
        <f t="array" ref="J880">_xlfn.XLOOKUP(TEXT(A880, "mmm-yy"), TEXT([2]GASOLINE!$B$5:$B$208, "mmm-yy"), [2]GASOLINE!$IR$5:$IR$208, "Not Found")</f>
        <v>215.82833348203491</v>
      </c>
      <c r="K880" cm="1">
        <f t="array" ref="K880">_xlfn.XLOOKUP(TEXT(A880, "mmm-yy"), TEXT([2]GASOLINE!$B$5:$B$208, "mmm-yy"), [2]GASOLINE!$IK$5:$IK$208, "Not Found")</f>
        <v>155.50057533865754</v>
      </c>
      <c r="L880">
        <f t="shared" si="13"/>
        <v>0</v>
      </c>
      <c r="M880" cm="1">
        <f t="array" ref="M880">_xlfn.XLOOKUP(TEXT(A880, "mmm-yy"), TEXT([2]GASOLINE!$B$5:$B$208, "mmm-yy"), [2]GASOLINE!$C$5:$C$208, "Not Found")</f>
        <v>7140.3379239249016</v>
      </c>
      <c r="N880" cm="1">
        <f t="array" ref="N880">_xlfn.XLOOKUP(TEXT(A880, "mmm-yy"), TEXT([2]RUNS!$B$5:$B$208, "mmm-yy"), [2]RUNS!$BM$5:$BM$208, "Not Found")</f>
        <v>0.84193392000082201</v>
      </c>
    </row>
    <row r="881" spans="1:14" x14ac:dyDescent="0.25">
      <c r="A881" s="1">
        <f>'[1]Global_Spot Prices'!$B2190</f>
        <v>43236</v>
      </c>
      <c r="B881">
        <f>_xlfn.XLOOKUP(A881,'[1]Global_Spot Prices'!$B:$B,'[1]Global_Spot Prices'!$BS:$BS)</f>
        <v>11.659999999999997</v>
      </c>
      <c r="C881">
        <f>_xlfn.XLOOKUP(A881,'[1]Global_Spot Prices'!$B:$B,'[1]Global_Spot Prices'!$E:$E)</f>
        <v>75.06</v>
      </c>
      <c r="D881">
        <f>_xlfn.XLOOKUP(A881,'[1]Global_Spot Prices'!$B:$B,'[1]Global_Spot Prices'!$D:$D)</f>
        <v>78.239999999999995</v>
      </c>
      <c r="E881">
        <f>_xlfn.XLOOKUP(A881,'[1]Global_Spot Prices'!$B:$B,'[1]Global_Spot Prices'!$H:$H)</f>
        <v>75.55</v>
      </c>
      <c r="F881">
        <f>_xlfn.XLOOKUP(A881,'[1]Global_Spot Prices'!$B:$B,'[1]Global_Spot Prices'!$I:$I)</f>
        <v>86.72</v>
      </c>
      <c r="G881" cm="1">
        <f t="array" ref="G881">_xlfn.XLOOKUP(TEXT(A881, "mmm-yy"), TEXT([2]RUNS!$B$5:$B$208, "mmm-yy"), [2]RUNS!$D$5:$D$208, "Not Found")</f>
        <v>29340.976145068653</v>
      </c>
      <c r="H881" cm="1">
        <f t="array" ref="H881">SUMPRODUCT(
    --(TEXT('[3]Global Weekly Stock (EWSuez'!$B$4:$B$2000,"mmm-yy")=TEXT(A881,"mmm-yy")),
    '[3]Global Weekly Stock (EWSuez'!$E$4:$E$2000)
/
SUMPRODUCT(
    --(TEXT('[3]Global Weekly Stock (EWSuez'!$B$4:$B$2000,"mmm-yy")=TEXT(A881,"mmm-yy"))
)</f>
        <v>14049.5</v>
      </c>
      <c r="I881">
        <f>_xlfn.XLOOKUP(A881,[1]ForwardDeriv!$D:$D,[1]ForwardDeriv!$AJ:$AJ)</f>
        <v>0.5</v>
      </c>
      <c r="J881" cm="1">
        <f t="array" ref="J881">_xlfn.XLOOKUP(TEXT(A881, "mmm-yy"), TEXT([2]GASOLINE!$B$5:$B$208, "mmm-yy"), [2]GASOLINE!$IR$5:$IR$208, "Not Found")</f>
        <v>215.82833348203491</v>
      </c>
      <c r="K881" cm="1">
        <f t="array" ref="K881">_xlfn.XLOOKUP(TEXT(A881, "mmm-yy"), TEXT([2]GASOLINE!$B$5:$B$208, "mmm-yy"), [2]GASOLINE!$IK$5:$IK$208, "Not Found")</f>
        <v>155.50057533865754</v>
      </c>
      <c r="L881">
        <f t="shared" si="13"/>
        <v>0</v>
      </c>
      <c r="M881" cm="1">
        <f t="array" ref="M881">_xlfn.XLOOKUP(TEXT(A881, "mmm-yy"), TEXT([2]GASOLINE!$B$5:$B$208, "mmm-yy"), [2]GASOLINE!$C$5:$C$208, "Not Found")</f>
        <v>7140.3379239249016</v>
      </c>
      <c r="N881" cm="1">
        <f t="array" ref="N881">_xlfn.XLOOKUP(TEXT(A881, "mmm-yy"), TEXT([2]RUNS!$B$5:$B$208, "mmm-yy"), [2]RUNS!$BM$5:$BM$208, "Not Found")</f>
        <v>0.84193392000082201</v>
      </c>
    </row>
    <row r="882" spans="1:14" x14ac:dyDescent="0.25">
      <c r="A882" s="1">
        <f>'[1]Global_Spot Prices'!$B2191</f>
        <v>43237</v>
      </c>
      <c r="B882">
        <f>_xlfn.XLOOKUP(A882,'[1]Global_Spot Prices'!$B:$B,'[1]Global_Spot Prices'!$BS:$BS)</f>
        <v>12.670000000000002</v>
      </c>
      <c r="C882">
        <f>_xlfn.XLOOKUP(A882,'[1]Global_Spot Prices'!$B:$B,'[1]Global_Spot Prices'!$E:$E)</f>
        <v>76.75</v>
      </c>
      <c r="D882">
        <f>_xlfn.XLOOKUP(A882,'[1]Global_Spot Prices'!$B:$B,'[1]Global_Spot Prices'!$D:$D)</f>
        <v>80.290000000000006</v>
      </c>
      <c r="E882">
        <f>_xlfn.XLOOKUP(A882,'[1]Global_Spot Prices'!$B:$B,'[1]Global_Spot Prices'!$H:$H)</f>
        <v>77</v>
      </c>
      <c r="F882">
        <f>_xlfn.XLOOKUP(A882,'[1]Global_Spot Prices'!$B:$B,'[1]Global_Spot Prices'!$I:$I)</f>
        <v>89.42</v>
      </c>
      <c r="G882" cm="1">
        <f t="array" ref="G882">_xlfn.XLOOKUP(TEXT(A882, "mmm-yy"), TEXT([2]RUNS!$B$5:$B$208, "mmm-yy"), [2]RUNS!$D$5:$D$208, "Not Found")</f>
        <v>29340.976145068653</v>
      </c>
      <c r="H882" cm="1">
        <f t="array" ref="H882">SUMPRODUCT(
    --(TEXT('[3]Global Weekly Stock (EWSuez'!$B$4:$B$2000,"mmm-yy")=TEXT(A882,"mmm-yy")),
    '[3]Global Weekly Stock (EWSuez'!$E$4:$E$2000)
/
SUMPRODUCT(
    --(TEXT('[3]Global Weekly Stock (EWSuez'!$B$4:$B$2000,"mmm-yy")=TEXT(A882,"mmm-yy"))
)</f>
        <v>14049.5</v>
      </c>
      <c r="I882">
        <f>_xlfn.XLOOKUP(A882,[1]ForwardDeriv!$D:$D,[1]ForwardDeriv!$AJ:$AJ)</f>
        <v>0.67000000000000171</v>
      </c>
      <c r="J882" cm="1">
        <f t="array" ref="J882">_xlfn.XLOOKUP(TEXT(A882, "mmm-yy"), TEXT([2]GASOLINE!$B$5:$B$208, "mmm-yy"), [2]GASOLINE!$IR$5:$IR$208, "Not Found")</f>
        <v>215.82833348203491</v>
      </c>
      <c r="K882" cm="1">
        <f t="array" ref="K882">_xlfn.XLOOKUP(TEXT(A882, "mmm-yy"), TEXT([2]GASOLINE!$B$5:$B$208, "mmm-yy"), [2]GASOLINE!$IK$5:$IK$208, "Not Found")</f>
        <v>155.50057533865754</v>
      </c>
      <c r="L882">
        <f t="shared" si="13"/>
        <v>0</v>
      </c>
      <c r="M882" cm="1">
        <f t="array" ref="M882">_xlfn.XLOOKUP(TEXT(A882, "mmm-yy"), TEXT([2]GASOLINE!$B$5:$B$208, "mmm-yy"), [2]GASOLINE!$C$5:$C$208, "Not Found")</f>
        <v>7140.3379239249016</v>
      </c>
      <c r="N882" cm="1">
        <f t="array" ref="N882">_xlfn.XLOOKUP(TEXT(A882, "mmm-yy"), TEXT([2]RUNS!$B$5:$B$208, "mmm-yy"), [2]RUNS!$BM$5:$BM$208, "Not Found")</f>
        <v>0.84193392000082201</v>
      </c>
    </row>
    <row r="883" spans="1:14" x14ac:dyDescent="0.25">
      <c r="A883" s="1">
        <f>'[1]Global_Spot Prices'!$B2192</f>
        <v>43238</v>
      </c>
      <c r="B883">
        <f>_xlfn.XLOOKUP(A883,'[1]Global_Spot Prices'!$B:$B,'[1]Global_Spot Prices'!$BS:$BS)</f>
        <v>12.210000000000008</v>
      </c>
      <c r="C883">
        <f>_xlfn.XLOOKUP(A883,'[1]Global_Spot Prices'!$B:$B,'[1]Global_Spot Prices'!$E:$E)</f>
        <v>77.05</v>
      </c>
      <c r="D883">
        <f>_xlfn.XLOOKUP(A883,'[1]Global_Spot Prices'!$B:$B,'[1]Global_Spot Prices'!$D:$D)</f>
        <v>78.430000000000007</v>
      </c>
      <c r="E883">
        <f>_xlfn.XLOOKUP(A883,'[1]Global_Spot Prices'!$B:$B,'[1]Global_Spot Prices'!$H:$H)</f>
        <v>77.319999999999993</v>
      </c>
      <c r="F883">
        <f>_xlfn.XLOOKUP(A883,'[1]Global_Spot Prices'!$B:$B,'[1]Global_Spot Prices'!$I:$I)</f>
        <v>89.26</v>
      </c>
      <c r="G883" cm="1">
        <f t="array" ref="G883">_xlfn.XLOOKUP(TEXT(A883, "mmm-yy"), TEXT([2]RUNS!$B$5:$B$208, "mmm-yy"), [2]RUNS!$D$5:$D$208, "Not Found")</f>
        <v>29340.976145068653</v>
      </c>
      <c r="H883" cm="1">
        <f t="array" ref="H883">SUMPRODUCT(
    --(TEXT('[3]Global Weekly Stock (EWSuez'!$B$4:$B$2000,"mmm-yy")=TEXT(A883,"mmm-yy")),
    '[3]Global Weekly Stock (EWSuez'!$E$4:$E$2000)
/
SUMPRODUCT(
    --(TEXT('[3]Global Weekly Stock (EWSuez'!$B$4:$B$2000,"mmm-yy")=TEXT(A883,"mmm-yy"))
)</f>
        <v>14049.5</v>
      </c>
      <c r="I883">
        <f>_xlfn.XLOOKUP(A883,[1]ForwardDeriv!$D:$D,[1]ForwardDeriv!$AJ:$AJ)</f>
        <v>0.68000000000000682</v>
      </c>
      <c r="J883" cm="1">
        <f t="array" ref="J883">_xlfn.XLOOKUP(TEXT(A883, "mmm-yy"), TEXT([2]GASOLINE!$B$5:$B$208, "mmm-yy"), [2]GASOLINE!$IR$5:$IR$208, "Not Found")</f>
        <v>215.82833348203491</v>
      </c>
      <c r="K883" cm="1">
        <f t="array" ref="K883">_xlfn.XLOOKUP(TEXT(A883, "mmm-yy"), TEXT([2]GASOLINE!$B$5:$B$208, "mmm-yy"), [2]GASOLINE!$IK$5:$IK$208, "Not Found")</f>
        <v>155.50057533865754</v>
      </c>
      <c r="L883">
        <f t="shared" si="13"/>
        <v>0</v>
      </c>
      <c r="M883" cm="1">
        <f t="array" ref="M883">_xlfn.XLOOKUP(TEXT(A883, "mmm-yy"), TEXT([2]GASOLINE!$B$5:$B$208, "mmm-yy"), [2]GASOLINE!$C$5:$C$208, "Not Found")</f>
        <v>7140.3379239249016</v>
      </c>
      <c r="N883" cm="1">
        <f t="array" ref="N883">_xlfn.XLOOKUP(TEXT(A883, "mmm-yy"), TEXT([2]RUNS!$B$5:$B$208, "mmm-yy"), [2]RUNS!$BM$5:$BM$208, "Not Found")</f>
        <v>0.84193392000082201</v>
      </c>
    </row>
    <row r="884" spans="1:14" x14ac:dyDescent="0.25">
      <c r="A884" s="1">
        <f>'[1]Global_Spot Prices'!$B2193</f>
        <v>43241</v>
      </c>
      <c r="B884">
        <f>_xlfn.XLOOKUP(A884,'[1]Global_Spot Prices'!$B:$B,'[1]Global_Spot Prices'!$BS:$BS)</f>
        <v>12.280000000000001</v>
      </c>
      <c r="C884">
        <f>_xlfn.XLOOKUP(A884,'[1]Global_Spot Prices'!$B:$B,'[1]Global_Spot Prices'!$E:$E)</f>
        <v>76.45</v>
      </c>
      <c r="D884">
        <f>_xlfn.XLOOKUP(A884,'[1]Global_Spot Prices'!$B:$B,'[1]Global_Spot Prices'!$D:$D)</f>
        <v>78.59</v>
      </c>
      <c r="E884">
        <f>_xlfn.XLOOKUP(A884,'[1]Global_Spot Prices'!$B:$B,'[1]Global_Spot Prices'!$H:$H)</f>
        <v>76.69</v>
      </c>
      <c r="F884">
        <f>_xlfn.XLOOKUP(A884,'[1]Global_Spot Prices'!$B:$B,'[1]Global_Spot Prices'!$I:$I)</f>
        <v>88.73</v>
      </c>
      <c r="G884" cm="1">
        <f t="array" ref="G884">_xlfn.XLOOKUP(TEXT(A884, "mmm-yy"), TEXT([2]RUNS!$B$5:$B$208, "mmm-yy"), [2]RUNS!$D$5:$D$208, "Not Found")</f>
        <v>29340.976145068653</v>
      </c>
      <c r="H884" cm="1">
        <f t="array" ref="H884">SUMPRODUCT(
    --(TEXT('[3]Global Weekly Stock (EWSuez'!$B$4:$B$2000,"mmm-yy")=TEXT(A884,"mmm-yy")),
    '[3]Global Weekly Stock (EWSuez'!$E$4:$E$2000)
/
SUMPRODUCT(
    --(TEXT('[3]Global Weekly Stock (EWSuez'!$B$4:$B$2000,"mmm-yy")=TEXT(A884,"mmm-yy"))
)</f>
        <v>14049.5</v>
      </c>
      <c r="I884">
        <f>_xlfn.XLOOKUP(A884,[1]ForwardDeriv!$D:$D,[1]ForwardDeriv!$AJ:$AJ)</f>
        <v>0.70999999999999375</v>
      </c>
      <c r="J884" cm="1">
        <f t="array" ref="J884">_xlfn.XLOOKUP(TEXT(A884, "mmm-yy"), TEXT([2]GASOLINE!$B$5:$B$208, "mmm-yy"), [2]GASOLINE!$IR$5:$IR$208, "Not Found")</f>
        <v>215.82833348203491</v>
      </c>
      <c r="K884" cm="1">
        <f t="array" ref="K884">_xlfn.XLOOKUP(TEXT(A884, "mmm-yy"), TEXT([2]GASOLINE!$B$5:$B$208, "mmm-yy"), [2]GASOLINE!$IK$5:$IK$208, "Not Found")</f>
        <v>155.50057533865754</v>
      </c>
      <c r="L884">
        <f t="shared" si="13"/>
        <v>0</v>
      </c>
      <c r="M884" cm="1">
        <f t="array" ref="M884">_xlfn.XLOOKUP(TEXT(A884, "mmm-yy"), TEXT([2]GASOLINE!$B$5:$B$208, "mmm-yy"), [2]GASOLINE!$C$5:$C$208, "Not Found")</f>
        <v>7140.3379239249016</v>
      </c>
      <c r="N884" cm="1">
        <f t="array" ref="N884">_xlfn.XLOOKUP(TEXT(A884, "mmm-yy"), TEXT([2]RUNS!$B$5:$B$208, "mmm-yy"), [2]RUNS!$BM$5:$BM$208, "Not Found")</f>
        <v>0.84193392000082201</v>
      </c>
    </row>
    <row r="885" spans="1:14" x14ac:dyDescent="0.25">
      <c r="A885" s="1">
        <f>'[1]Global_Spot Prices'!$B2194</f>
        <v>43242</v>
      </c>
      <c r="B885">
        <f>_xlfn.XLOOKUP(A885,'[1]Global_Spot Prices'!$B:$B,'[1]Global_Spot Prices'!$BS:$BS)</f>
        <v>12.489999999999995</v>
      </c>
      <c r="C885">
        <f>_xlfn.XLOOKUP(A885,'[1]Global_Spot Prices'!$B:$B,'[1]Global_Spot Prices'!$E:$E)</f>
        <v>77.290000000000006</v>
      </c>
      <c r="D885">
        <f>_xlfn.XLOOKUP(A885,'[1]Global_Spot Prices'!$B:$B,'[1]Global_Spot Prices'!$D:$D)</f>
        <v>80.224999999999994</v>
      </c>
      <c r="E885">
        <f>_xlfn.XLOOKUP(A885,'[1]Global_Spot Prices'!$B:$B,'[1]Global_Spot Prices'!$H:$H)</f>
        <v>77.91</v>
      </c>
      <c r="F885">
        <f>_xlfn.XLOOKUP(A885,'[1]Global_Spot Prices'!$B:$B,'[1]Global_Spot Prices'!$I:$I)</f>
        <v>89.78</v>
      </c>
      <c r="G885" cm="1">
        <f t="array" ref="G885">_xlfn.XLOOKUP(TEXT(A885, "mmm-yy"), TEXT([2]RUNS!$B$5:$B$208, "mmm-yy"), [2]RUNS!$D$5:$D$208, "Not Found")</f>
        <v>29340.976145068653</v>
      </c>
      <c r="H885" cm="1">
        <f t="array" ref="H885">SUMPRODUCT(
    --(TEXT('[3]Global Weekly Stock (EWSuez'!$B$4:$B$2000,"mmm-yy")=TEXT(A885,"mmm-yy")),
    '[3]Global Weekly Stock (EWSuez'!$E$4:$E$2000)
/
SUMPRODUCT(
    --(TEXT('[3]Global Weekly Stock (EWSuez'!$B$4:$B$2000,"mmm-yy")=TEXT(A885,"mmm-yy"))
)</f>
        <v>14049.5</v>
      </c>
      <c r="I885">
        <f>_xlfn.XLOOKUP(A885,[1]ForwardDeriv!$D:$D,[1]ForwardDeriv!$AJ:$AJ)</f>
        <v>0.82000000000000739</v>
      </c>
      <c r="J885" cm="1">
        <f t="array" ref="J885">_xlfn.XLOOKUP(TEXT(A885, "mmm-yy"), TEXT([2]GASOLINE!$B$5:$B$208, "mmm-yy"), [2]GASOLINE!$IR$5:$IR$208, "Not Found")</f>
        <v>215.82833348203491</v>
      </c>
      <c r="K885" cm="1">
        <f t="array" ref="K885">_xlfn.XLOOKUP(TEXT(A885, "mmm-yy"), TEXT([2]GASOLINE!$B$5:$B$208, "mmm-yy"), [2]GASOLINE!$IK$5:$IK$208, "Not Found")</f>
        <v>155.50057533865754</v>
      </c>
      <c r="L885">
        <f t="shared" si="13"/>
        <v>0</v>
      </c>
      <c r="M885" cm="1">
        <f t="array" ref="M885">_xlfn.XLOOKUP(TEXT(A885, "mmm-yy"), TEXT([2]GASOLINE!$B$5:$B$208, "mmm-yy"), [2]GASOLINE!$C$5:$C$208, "Not Found")</f>
        <v>7140.3379239249016</v>
      </c>
      <c r="N885" cm="1">
        <f t="array" ref="N885">_xlfn.XLOOKUP(TEXT(A885, "mmm-yy"), TEXT([2]RUNS!$B$5:$B$208, "mmm-yy"), [2]RUNS!$BM$5:$BM$208, "Not Found")</f>
        <v>0.84193392000082201</v>
      </c>
    </row>
    <row r="886" spans="1:14" x14ac:dyDescent="0.25">
      <c r="A886" s="1">
        <f>'[1]Global_Spot Prices'!$B2195</f>
        <v>43243</v>
      </c>
      <c r="B886">
        <f>_xlfn.XLOOKUP(A886,'[1]Global_Spot Prices'!$B:$B,'[1]Global_Spot Prices'!$BS:$BS)</f>
        <v>12.040000000000006</v>
      </c>
      <c r="C886">
        <f>_xlfn.XLOOKUP(A886,'[1]Global_Spot Prices'!$B:$B,'[1]Global_Spot Prices'!$E:$E)</f>
        <v>76.599999999999994</v>
      </c>
      <c r="D886">
        <f>_xlfn.XLOOKUP(A886,'[1]Global_Spot Prices'!$B:$B,'[1]Global_Spot Prices'!$D:$D)</f>
        <v>78.8</v>
      </c>
      <c r="E886">
        <f>_xlfn.XLOOKUP(A886,'[1]Global_Spot Prices'!$B:$B,'[1]Global_Spot Prices'!$H:$H)</f>
        <v>77.19</v>
      </c>
      <c r="F886">
        <f>_xlfn.XLOOKUP(A886,'[1]Global_Spot Prices'!$B:$B,'[1]Global_Spot Prices'!$I:$I)</f>
        <v>88.64</v>
      </c>
      <c r="G886" cm="1">
        <f t="array" ref="G886">_xlfn.XLOOKUP(TEXT(A886, "mmm-yy"), TEXT([2]RUNS!$B$5:$B$208, "mmm-yy"), [2]RUNS!$D$5:$D$208, "Not Found")</f>
        <v>29340.976145068653</v>
      </c>
      <c r="H886" cm="1">
        <f t="array" ref="H886">SUMPRODUCT(
    --(TEXT('[3]Global Weekly Stock (EWSuez'!$B$4:$B$2000,"mmm-yy")=TEXT(A886,"mmm-yy")),
    '[3]Global Weekly Stock (EWSuez'!$E$4:$E$2000)
/
SUMPRODUCT(
    --(TEXT('[3]Global Weekly Stock (EWSuez'!$B$4:$B$2000,"mmm-yy")=TEXT(A886,"mmm-yy"))
)</f>
        <v>14049.5</v>
      </c>
      <c r="I886">
        <f>_xlfn.XLOOKUP(A886,[1]ForwardDeriv!$D:$D,[1]ForwardDeriv!$AJ:$AJ)</f>
        <v>0.70000000000000284</v>
      </c>
      <c r="J886" cm="1">
        <f t="array" ref="J886">_xlfn.XLOOKUP(TEXT(A886, "mmm-yy"), TEXT([2]GASOLINE!$B$5:$B$208, "mmm-yy"), [2]GASOLINE!$IR$5:$IR$208, "Not Found")</f>
        <v>215.82833348203491</v>
      </c>
      <c r="K886" cm="1">
        <f t="array" ref="K886">_xlfn.XLOOKUP(TEXT(A886, "mmm-yy"), TEXT([2]GASOLINE!$B$5:$B$208, "mmm-yy"), [2]GASOLINE!$IK$5:$IK$208, "Not Found")</f>
        <v>155.50057533865754</v>
      </c>
      <c r="L886">
        <f t="shared" si="13"/>
        <v>0</v>
      </c>
      <c r="M886" cm="1">
        <f t="array" ref="M886">_xlfn.XLOOKUP(TEXT(A886, "mmm-yy"), TEXT([2]GASOLINE!$B$5:$B$208, "mmm-yy"), [2]GASOLINE!$C$5:$C$208, "Not Found")</f>
        <v>7140.3379239249016</v>
      </c>
      <c r="N886" cm="1">
        <f t="array" ref="N886">_xlfn.XLOOKUP(TEXT(A886, "mmm-yy"), TEXT([2]RUNS!$B$5:$B$208, "mmm-yy"), [2]RUNS!$BM$5:$BM$208, "Not Found")</f>
        <v>0.84193392000082201</v>
      </c>
    </row>
    <row r="887" spans="1:14" x14ac:dyDescent="0.25">
      <c r="A887" s="1">
        <f>'[1]Global_Spot Prices'!$B2196</f>
        <v>43244</v>
      </c>
      <c r="B887">
        <f>_xlfn.XLOOKUP(A887,'[1]Global_Spot Prices'!$B:$B,'[1]Global_Spot Prices'!$BS:$BS)</f>
        <v>11.760000000000005</v>
      </c>
      <c r="C887">
        <f>_xlfn.XLOOKUP(A887,'[1]Global_Spot Prices'!$B:$B,'[1]Global_Spot Prices'!$E:$E)</f>
        <v>77.05</v>
      </c>
      <c r="D887">
        <f>_xlfn.XLOOKUP(A887,'[1]Global_Spot Prices'!$B:$B,'[1]Global_Spot Prices'!$D:$D)</f>
        <v>79.034999999999997</v>
      </c>
      <c r="E887">
        <f>_xlfn.XLOOKUP(A887,'[1]Global_Spot Prices'!$B:$B,'[1]Global_Spot Prices'!$H:$H)</f>
        <v>77.47</v>
      </c>
      <c r="F887">
        <f>_xlfn.XLOOKUP(A887,'[1]Global_Spot Prices'!$B:$B,'[1]Global_Spot Prices'!$I:$I)</f>
        <v>88.81</v>
      </c>
      <c r="G887" cm="1">
        <f t="array" ref="G887">_xlfn.XLOOKUP(TEXT(A887, "mmm-yy"), TEXT([2]RUNS!$B$5:$B$208, "mmm-yy"), [2]RUNS!$D$5:$D$208, "Not Found")</f>
        <v>29340.976145068653</v>
      </c>
      <c r="H887" cm="1">
        <f t="array" ref="H887">SUMPRODUCT(
    --(TEXT('[3]Global Weekly Stock (EWSuez'!$B$4:$B$2000,"mmm-yy")=TEXT(A887,"mmm-yy")),
    '[3]Global Weekly Stock (EWSuez'!$E$4:$E$2000)
/
SUMPRODUCT(
    --(TEXT('[3]Global Weekly Stock (EWSuez'!$B$4:$B$2000,"mmm-yy")=TEXT(A887,"mmm-yy"))
)</f>
        <v>14049.5</v>
      </c>
      <c r="I887">
        <f>_xlfn.XLOOKUP(A887,[1]ForwardDeriv!$D:$D,[1]ForwardDeriv!$AJ:$AJ)</f>
        <v>0.75</v>
      </c>
      <c r="J887" cm="1">
        <f t="array" ref="J887">_xlfn.XLOOKUP(TEXT(A887, "mmm-yy"), TEXT([2]GASOLINE!$B$5:$B$208, "mmm-yy"), [2]GASOLINE!$IR$5:$IR$208, "Not Found")</f>
        <v>215.82833348203491</v>
      </c>
      <c r="K887" cm="1">
        <f t="array" ref="K887">_xlfn.XLOOKUP(TEXT(A887, "mmm-yy"), TEXT([2]GASOLINE!$B$5:$B$208, "mmm-yy"), [2]GASOLINE!$IK$5:$IK$208, "Not Found")</f>
        <v>155.50057533865754</v>
      </c>
      <c r="L887">
        <f t="shared" si="13"/>
        <v>0</v>
      </c>
      <c r="M887" cm="1">
        <f t="array" ref="M887">_xlfn.XLOOKUP(TEXT(A887, "mmm-yy"), TEXT([2]GASOLINE!$B$5:$B$208, "mmm-yy"), [2]GASOLINE!$C$5:$C$208, "Not Found")</f>
        <v>7140.3379239249016</v>
      </c>
      <c r="N887" cm="1">
        <f t="array" ref="N887">_xlfn.XLOOKUP(TEXT(A887, "mmm-yy"), TEXT([2]RUNS!$B$5:$B$208, "mmm-yy"), [2]RUNS!$BM$5:$BM$208, "Not Found")</f>
        <v>0.84193392000082201</v>
      </c>
    </row>
    <row r="888" spans="1:14" x14ac:dyDescent="0.25">
      <c r="A888" s="1">
        <f>'[1]Global_Spot Prices'!$B2197</f>
        <v>43245</v>
      </c>
      <c r="B888">
        <f>_xlfn.XLOOKUP(A888,'[1]Global_Spot Prices'!$B:$B,'[1]Global_Spot Prices'!$BS:$BS)</f>
        <v>11.849999999999994</v>
      </c>
      <c r="C888">
        <f>_xlfn.XLOOKUP(A888,'[1]Global_Spot Prices'!$B:$B,'[1]Global_Spot Prices'!$E:$E)</f>
        <v>75.75</v>
      </c>
      <c r="D888">
        <f>_xlfn.XLOOKUP(A888,'[1]Global_Spot Prices'!$B:$B,'[1]Global_Spot Prices'!$D:$D)</f>
        <v>76.424999999999997</v>
      </c>
      <c r="E888">
        <f>_xlfn.XLOOKUP(A888,'[1]Global_Spot Prices'!$B:$B,'[1]Global_Spot Prices'!$H:$H)</f>
        <v>75.900000000000006</v>
      </c>
      <c r="F888">
        <f>_xlfn.XLOOKUP(A888,'[1]Global_Spot Prices'!$B:$B,'[1]Global_Spot Prices'!$I:$I)</f>
        <v>87.6</v>
      </c>
      <c r="G888" cm="1">
        <f t="array" ref="G888">_xlfn.XLOOKUP(TEXT(A888, "mmm-yy"), TEXT([2]RUNS!$B$5:$B$208, "mmm-yy"), [2]RUNS!$D$5:$D$208, "Not Found")</f>
        <v>29340.976145068653</v>
      </c>
      <c r="H888" cm="1">
        <f t="array" ref="H888">SUMPRODUCT(
    --(TEXT('[3]Global Weekly Stock (EWSuez'!$B$4:$B$2000,"mmm-yy")=TEXT(A888,"mmm-yy")),
    '[3]Global Weekly Stock (EWSuez'!$E$4:$E$2000)
/
SUMPRODUCT(
    --(TEXT('[3]Global Weekly Stock (EWSuez'!$B$4:$B$2000,"mmm-yy")=TEXT(A888,"mmm-yy"))
)</f>
        <v>14049.5</v>
      </c>
      <c r="I888">
        <f>_xlfn.XLOOKUP(A888,[1]ForwardDeriv!$D:$D,[1]ForwardDeriv!$AJ:$AJ)</f>
        <v>0.76999999999999602</v>
      </c>
      <c r="J888" cm="1">
        <f t="array" ref="J888">_xlfn.XLOOKUP(TEXT(A888, "mmm-yy"), TEXT([2]GASOLINE!$B$5:$B$208, "mmm-yy"), [2]GASOLINE!$IR$5:$IR$208, "Not Found")</f>
        <v>215.82833348203491</v>
      </c>
      <c r="K888" cm="1">
        <f t="array" ref="K888">_xlfn.XLOOKUP(TEXT(A888, "mmm-yy"), TEXT([2]GASOLINE!$B$5:$B$208, "mmm-yy"), [2]GASOLINE!$IK$5:$IK$208, "Not Found")</f>
        <v>155.50057533865754</v>
      </c>
      <c r="L888">
        <f t="shared" si="13"/>
        <v>0</v>
      </c>
      <c r="M888" cm="1">
        <f t="array" ref="M888">_xlfn.XLOOKUP(TEXT(A888, "mmm-yy"), TEXT([2]GASOLINE!$B$5:$B$208, "mmm-yy"), [2]GASOLINE!$C$5:$C$208, "Not Found")</f>
        <v>7140.3379239249016</v>
      </c>
      <c r="N888" cm="1">
        <f t="array" ref="N888">_xlfn.XLOOKUP(TEXT(A888, "mmm-yy"), TEXT([2]RUNS!$B$5:$B$208, "mmm-yy"), [2]RUNS!$BM$5:$BM$208, "Not Found")</f>
        <v>0.84193392000082201</v>
      </c>
    </row>
    <row r="889" spans="1:14" x14ac:dyDescent="0.25">
      <c r="A889" s="1">
        <f>'[1]Global_Spot Prices'!$B2198</f>
        <v>43248</v>
      </c>
      <c r="B889">
        <f>_xlfn.XLOOKUP(A889,'[1]Global_Spot Prices'!$B:$B,'[1]Global_Spot Prices'!$BS:$BS)</f>
        <v>11.450000000000003</v>
      </c>
      <c r="C889">
        <f>_xlfn.XLOOKUP(A889,'[1]Global_Spot Prices'!$B:$B,'[1]Global_Spot Prices'!$E:$E)</f>
        <v>73.2</v>
      </c>
      <c r="D889" t="str">
        <f>_xlfn.XLOOKUP(A889,'[1]Global_Spot Prices'!$B:$B,'[1]Global_Spot Prices'!$D:$D)</f>
        <v/>
      </c>
      <c r="E889">
        <f>_xlfn.XLOOKUP(A889,'[1]Global_Spot Prices'!$B:$B,'[1]Global_Spot Prices'!$H:$H)</f>
        <v>73.63</v>
      </c>
      <c r="F889">
        <f>_xlfn.XLOOKUP(A889,'[1]Global_Spot Prices'!$B:$B,'[1]Global_Spot Prices'!$I:$I)</f>
        <v>84.65</v>
      </c>
      <c r="G889" cm="1">
        <f t="array" ref="G889">_xlfn.XLOOKUP(TEXT(A889, "mmm-yy"), TEXT([2]RUNS!$B$5:$B$208, "mmm-yy"), [2]RUNS!$D$5:$D$208, "Not Found")</f>
        <v>29340.976145068653</v>
      </c>
      <c r="H889" cm="1">
        <f t="array" ref="H889">SUMPRODUCT(
    --(TEXT('[3]Global Weekly Stock (EWSuez'!$B$4:$B$2000,"mmm-yy")=TEXT(A889,"mmm-yy")),
    '[3]Global Weekly Stock (EWSuez'!$E$4:$E$2000)
/
SUMPRODUCT(
    --(TEXT('[3]Global Weekly Stock (EWSuez'!$B$4:$B$2000,"mmm-yy")=TEXT(A889,"mmm-yy"))
)</f>
        <v>14049.5</v>
      </c>
      <c r="I889">
        <f>_xlfn.XLOOKUP(A889,[1]ForwardDeriv!$D:$D,[1]ForwardDeriv!$AJ:$AJ)</f>
        <v>0.75</v>
      </c>
      <c r="J889" cm="1">
        <f t="array" ref="J889">_xlfn.XLOOKUP(TEXT(A889, "mmm-yy"), TEXT([2]GASOLINE!$B$5:$B$208, "mmm-yy"), [2]GASOLINE!$IR$5:$IR$208, "Not Found")</f>
        <v>215.82833348203491</v>
      </c>
      <c r="K889" cm="1">
        <f t="array" ref="K889">_xlfn.XLOOKUP(TEXT(A889, "mmm-yy"), TEXT([2]GASOLINE!$B$5:$B$208, "mmm-yy"), [2]GASOLINE!$IK$5:$IK$208, "Not Found")</f>
        <v>155.50057533865754</v>
      </c>
      <c r="L889">
        <f t="shared" si="13"/>
        <v>0</v>
      </c>
      <c r="M889" cm="1">
        <f t="array" ref="M889">_xlfn.XLOOKUP(TEXT(A889, "mmm-yy"), TEXT([2]GASOLINE!$B$5:$B$208, "mmm-yy"), [2]GASOLINE!$C$5:$C$208, "Not Found")</f>
        <v>7140.3379239249016</v>
      </c>
      <c r="N889" cm="1">
        <f t="array" ref="N889">_xlfn.XLOOKUP(TEXT(A889, "mmm-yy"), TEXT([2]RUNS!$B$5:$B$208, "mmm-yy"), [2]RUNS!$BM$5:$BM$208, "Not Found")</f>
        <v>0.84193392000082201</v>
      </c>
    </row>
    <row r="890" spans="1:14" x14ac:dyDescent="0.25">
      <c r="A890" s="1">
        <f>'[1]Global_Spot Prices'!$B2199</f>
        <v>43249</v>
      </c>
      <c r="B890" t="e">
        <f>_xlfn.XLOOKUP(A890,'[1]Global_Spot Prices'!$B:$B,'[1]Global_Spot Prices'!$BS:$BS)</f>
        <v>#N/A</v>
      </c>
      <c r="C890" t="str">
        <f>_xlfn.XLOOKUP(A890,'[1]Global_Spot Prices'!$B:$B,'[1]Global_Spot Prices'!$E:$E)</f>
        <v/>
      </c>
      <c r="D890">
        <f>_xlfn.XLOOKUP(A890,'[1]Global_Spot Prices'!$B:$B,'[1]Global_Spot Prices'!$D:$D)</f>
        <v>74.56</v>
      </c>
      <c r="E890">
        <f>_xlfn.XLOOKUP(A890,'[1]Global_Spot Prices'!$B:$B,'[1]Global_Spot Prices'!$H:$H)</f>
        <v>0</v>
      </c>
      <c r="F890">
        <f>_xlfn.XLOOKUP(A890,'[1]Global_Spot Prices'!$B:$B,'[1]Global_Spot Prices'!$I:$I)</f>
        <v>0</v>
      </c>
      <c r="G890" cm="1">
        <f t="array" ref="G890">_xlfn.XLOOKUP(TEXT(A890, "mmm-yy"), TEXT([2]RUNS!$B$5:$B$208, "mmm-yy"), [2]RUNS!$D$5:$D$208, "Not Found")</f>
        <v>29340.976145068653</v>
      </c>
      <c r="H890" cm="1">
        <f t="array" ref="H890">SUMPRODUCT(
    --(TEXT('[3]Global Weekly Stock (EWSuez'!$B$4:$B$2000,"mmm-yy")=TEXT(A890,"mmm-yy")),
    '[3]Global Weekly Stock (EWSuez'!$E$4:$E$2000)
/
SUMPRODUCT(
    --(TEXT('[3]Global Weekly Stock (EWSuez'!$B$4:$B$2000,"mmm-yy")=TEXT(A890,"mmm-yy"))
)</f>
        <v>14049.5</v>
      </c>
      <c r="I890">
        <f>_xlfn.XLOOKUP(A890,[1]ForwardDeriv!$D:$D,[1]ForwardDeriv!$AJ:$AJ)</f>
        <v>0.67999999999999261</v>
      </c>
      <c r="J890" cm="1">
        <f t="array" ref="J890">_xlfn.XLOOKUP(TEXT(A890, "mmm-yy"), TEXT([2]GASOLINE!$B$5:$B$208, "mmm-yy"), [2]GASOLINE!$IR$5:$IR$208, "Not Found")</f>
        <v>215.82833348203491</v>
      </c>
      <c r="K890" cm="1">
        <f t="array" ref="K890">_xlfn.XLOOKUP(TEXT(A890, "mmm-yy"), TEXT([2]GASOLINE!$B$5:$B$208, "mmm-yy"), [2]GASOLINE!$IK$5:$IK$208, "Not Found")</f>
        <v>155.50057533865754</v>
      </c>
      <c r="L890">
        <f t="shared" si="13"/>
        <v>0</v>
      </c>
      <c r="M890" cm="1">
        <f t="array" ref="M890">_xlfn.XLOOKUP(TEXT(A890, "mmm-yy"), TEXT([2]GASOLINE!$B$5:$B$208, "mmm-yy"), [2]GASOLINE!$C$5:$C$208, "Not Found")</f>
        <v>7140.3379239249016</v>
      </c>
      <c r="N890" cm="1">
        <f t="array" ref="N890">_xlfn.XLOOKUP(TEXT(A890, "mmm-yy"), TEXT([2]RUNS!$B$5:$B$208, "mmm-yy"), [2]RUNS!$BM$5:$BM$208, "Not Found")</f>
        <v>0.84193392000082201</v>
      </c>
    </row>
    <row r="891" spans="1:14" x14ac:dyDescent="0.25">
      <c r="A891" s="1">
        <f>'[1]Global_Spot Prices'!$B2200</f>
        <v>43250</v>
      </c>
      <c r="B891">
        <f>_xlfn.XLOOKUP(A891,'[1]Global_Spot Prices'!$B:$B,'[1]Global_Spot Prices'!$BS:$BS)</f>
        <v>10.460000000000008</v>
      </c>
      <c r="C891">
        <f>_xlfn.XLOOKUP(A891,'[1]Global_Spot Prices'!$B:$B,'[1]Global_Spot Prices'!$E:$E)</f>
        <v>73.55</v>
      </c>
      <c r="D891">
        <f>_xlfn.XLOOKUP(A891,'[1]Global_Spot Prices'!$B:$B,'[1]Global_Spot Prices'!$D:$D)</f>
        <v>75.95</v>
      </c>
      <c r="E891">
        <f>_xlfn.XLOOKUP(A891,'[1]Global_Spot Prices'!$B:$B,'[1]Global_Spot Prices'!$H:$H)</f>
        <v>73.38</v>
      </c>
      <c r="F891">
        <f>_xlfn.XLOOKUP(A891,'[1]Global_Spot Prices'!$B:$B,'[1]Global_Spot Prices'!$I:$I)</f>
        <v>84.01</v>
      </c>
      <c r="G891" cm="1">
        <f t="array" ref="G891">_xlfn.XLOOKUP(TEXT(A891, "mmm-yy"), TEXT([2]RUNS!$B$5:$B$208, "mmm-yy"), [2]RUNS!$D$5:$D$208, "Not Found")</f>
        <v>29340.976145068653</v>
      </c>
      <c r="H891" cm="1">
        <f t="array" ref="H891">SUMPRODUCT(
    --(TEXT('[3]Global Weekly Stock (EWSuez'!$B$4:$B$2000,"mmm-yy")=TEXT(A891,"mmm-yy")),
    '[3]Global Weekly Stock (EWSuez'!$E$4:$E$2000)
/
SUMPRODUCT(
    --(TEXT('[3]Global Weekly Stock (EWSuez'!$B$4:$B$2000,"mmm-yy")=TEXT(A891,"mmm-yy"))
)</f>
        <v>14049.5</v>
      </c>
      <c r="I891">
        <f>_xlfn.XLOOKUP(A891,[1]ForwardDeriv!$D:$D,[1]ForwardDeriv!$AJ:$AJ)</f>
        <v>0.67999999999999261</v>
      </c>
      <c r="J891" cm="1">
        <f t="array" ref="J891">_xlfn.XLOOKUP(TEXT(A891, "mmm-yy"), TEXT([2]GASOLINE!$B$5:$B$208, "mmm-yy"), [2]GASOLINE!$IR$5:$IR$208, "Not Found")</f>
        <v>215.82833348203491</v>
      </c>
      <c r="K891" cm="1">
        <f t="array" ref="K891">_xlfn.XLOOKUP(TEXT(A891, "mmm-yy"), TEXT([2]GASOLINE!$B$5:$B$208, "mmm-yy"), [2]GASOLINE!$IK$5:$IK$208, "Not Found")</f>
        <v>155.50057533865754</v>
      </c>
      <c r="L891">
        <f t="shared" si="13"/>
        <v>0</v>
      </c>
      <c r="M891" cm="1">
        <f t="array" ref="M891">_xlfn.XLOOKUP(TEXT(A891, "mmm-yy"), TEXT([2]GASOLINE!$B$5:$B$208, "mmm-yy"), [2]GASOLINE!$C$5:$C$208, "Not Found")</f>
        <v>7140.3379239249016</v>
      </c>
      <c r="N891" cm="1">
        <f t="array" ref="N891">_xlfn.XLOOKUP(TEXT(A891, "mmm-yy"), TEXT([2]RUNS!$B$5:$B$208, "mmm-yy"), [2]RUNS!$BM$5:$BM$208, "Not Found")</f>
        <v>0.84193392000082201</v>
      </c>
    </row>
    <row r="892" spans="1:14" x14ac:dyDescent="0.25">
      <c r="A892" s="1">
        <f>'[1]Global_Spot Prices'!$B2201</f>
        <v>43251</v>
      </c>
      <c r="B892">
        <f>_xlfn.XLOOKUP(A892,'[1]Global_Spot Prices'!$B:$B,'[1]Global_Spot Prices'!$BS:$BS)</f>
        <v>9.9099999999999966</v>
      </c>
      <c r="C892">
        <f>_xlfn.XLOOKUP(A892,'[1]Global_Spot Prices'!$B:$B,'[1]Global_Spot Prices'!$E:$E)</f>
        <v>75.45</v>
      </c>
      <c r="D892">
        <f>_xlfn.XLOOKUP(A892,'[1]Global_Spot Prices'!$B:$B,'[1]Global_Spot Prices'!$D:$D)</f>
        <v>76.47</v>
      </c>
      <c r="E892">
        <f>_xlfn.XLOOKUP(A892,'[1]Global_Spot Prices'!$B:$B,'[1]Global_Spot Prices'!$H:$H)</f>
        <v>74.09</v>
      </c>
      <c r="F892">
        <f>_xlfn.XLOOKUP(A892,'[1]Global_Spot Prices'!$B:$B,'[1]Global_Spot Prices'!$I:$I)</f>
        <v>85.36</v>
      </c>
      <c r="G892" cm="1">
        <f t="array" ref="G892">_xlfn.XLOOKUP(TEXT(A892, "mmm-yy"), TEXT([2]RUNS!$B$5:$B$208, "mmm-yy"), [2]RUNS!$D$5:$D$208, "Not Found")</f>
        <v>29340.976145068653</v>
      </c>
      <c r="H892" cm="1">
        <f t="array" ref="H892">SUMPRODUCT(
    --(TEXT('[3]Global Weekly Stock (EWSuez'!$B$4:$B$2000,"mmm-yy")=TEXT(A892,"mmm-yy")),
    '[3]Global Weekly Stock (EWSuez'!$E$4:$E$2000)
/
SUMPRODUCT(
    --(TEXT('[3]Global Weekly Stock (EWSuez'!$B$4:$B$2000,"mmm-yy")=TEXT(A892,"mmm-yy"))
)</f>
        <v>14049.5</v>
      </c>
      <c r="I892">
        <f>_xlfn.XLOOKUP(A892,[1]ForwardDeriv!$D:$D,[1]ForwardDeriv!$AJ:$AJ)</f>
        <v>0.65000000000000568</v>
      </c>
      <c r="J892" cm="1">
        <f t="array" ref="J892">_xlfn.XLOOKUP(TEXT(A892, "mmm-yy"), TEXT([2]GASOLINE!$B$5:$B$208, "mmm-yy"), [2]GASOLINE!$IR$5:$IR$208, "Not Found")</f>
        <v>215.82833348203491</v>
      </c>
      <c r="K892" cm="1">
        <f t="array" ref="K892">_xlfn.XLOOKUP(TEXT(A892, "mmm-yy"), TEXT([2]GASOLINE!$B$5:$B$208, "mmm-yy"), [2]GASOLINE!$IK$5:$IK$208, "Not Found")</f>
        <v>155.50057533865754</v>
      </c>
      <c r="L892">
        <f t="shared" si="13"/>
        <v>0</v>
      </c>
      <c r="M892" cm="1">
        <f t="array" ref="M892">_xlfn.XLOOKUP(TEXT(A892, "mmm-yy"), TEXT([2]GASOLINE!$B$5:$B$208, "mmm-yy"), [2]GASOLINE!$C$5:$C$208, "Not Found")</f>
        <v>7140.3379239249016</v>
      </c>
      <c r="N892" cm="1">
        <f t="array" ref="N892">_xlfn.XLOOKUP(TEXT(A892, "mmm-yy"), TEXT([2]RUNS!$B$5:$B$208, "mmm-yy"), [2]RUNS!$BM$5:$BM$208, "Not Found")</f>
        <v>0.84193392000082201</v>
      </c>
    </row>
    <row r="893" spans="1:14" x14ac:dyDescent="0.25">
      <c r="A893" s="1">
        <f>'[1]Global_Spot Prices'!$B2202</f>
        <v>43252</v>
      </c>
      <c r="B893">
        <f>_xlfn.XLOOKUP(A893,'[1]Global_Spot Prices'!$B:$B,'[1]Global_Spot Prices'!$BS:$BS)</f>
        <v>10.340000000000003</v>
      </c>
      <c r="C893">
        <f>_xlfn.XLOOKUP(A893,'[1]Global_Spot Prices'!$B:$B,'[1]Global_Spot Prices'!$E:$E)</f>
        <v>75.06</v>
      </c>
      <c r="D893">
        <f>_xlfn.XLOOKUP(A893,'[1]Global_Spot Prices'!$B:$B,'[1]Global_Spot Prices'!$D:$D)</f>
        <v>74.875</v>
      </c>
      <c r="E893">
        <f>_xlfn.XLOOKUP(A893,'[1]Global_Spot Prices'!$B:$B,'[1]Global_Spot Prices'!$H:$H)</f>
        <v>73.95</v>
      </c>
      <c r="F893">
        <f>_xlfn.XLOOKUP(A893,'[1]Global_Spot Prices'!$B:$B,'[1]Global_Spot Prices'!$I:$I)</f>
        <v>85.4</v>
      </c>
      <c r="G893" cm="1">
        <f t="array" ref="G893">_xlfn.XLOOKUP(TEXT(A893, "mmm-yy"), TEXT([2]RUNS!$B$5:$B$208, "mmm-yy"), [2]RUNS!$D$5:$D$208, "Not Found")</f>
        <v>29178.859379220394</v>
      </c>
      <c r="H893" cm="1">
        <f t="array" ref="H893">SUMPRODUCT(
    --(TEXT('[3]Global Weekly Stock (EWSuez'!$B$4:$B$2000,"mmm-yy")=TEXT(A893,"mmm-yy")),
    '[3]Global Weekly Stock (EWSuez'!$E$4:$E$2000)
/
SUMPRODUCT(
    --(TEXT('[3]Global Weekly Stock (EWSuez'!$B$4:$B$2000,"mmm-yy")=TEXT(A893,"mmm-yy"))
)</f>
        <v>12589.6</v>
      </c>
      <c r="I893">
        <f>_xlfn.XLOOKUP(A893,[1]ForwardDeriv!$D:$D,[1]ForwardDeriv!$AJ:$AJ)</f>
        <v>0.53000000000000114</v>
      </c>
      <c r="J893" cm="1">
        <f t="array" ref="J893">_xlfn.XLOOKUP(TEXT(A893, "mmm-yy"), TEXT([2]GASOLINE!$B$5:$B$208, "mmm-yy"), [2]GASOLINE!$IR$5:$IR$208, "Not Found")</f>
        <v>-16.369299294238488</v>
      </c>
      <c r="K893" cm="1">
        <f t="array" ref="K893">_xlfn.XLOOKUP(TEXT(A893, "mmm-yy"), TEXT([2]GASOLINE!$B$5:$B$208, "mmm-yy"), [2]GASOLINE!$IK$5:$IK$208, "Not Found")</f>
        <v>156.99278745815772</v>
      </c>
      <c r="L893">
        <f t="shared" si="13"/>
        <v>1</v>
      </c>
      <c r="M893" cm="1">
        <f t="array" ref="M893">_xlfn.XLOOKUP(TEXT(A893, "mmm-yy"), TEXT([2]GASOLINE!$B$5:$B$208, "mmm-yy"), [2]GASOLINE!$C$5:$C$208, "Not Found")</f>
        <v>7301.8731729605652</v>
      </c>
      <c r="N893" cm="1">
        <f t="array" ref="N893">_xlfn.XLOOKUP(TEXT(A893, "mmm-yy"), TEXT([2]RUNS!$B$5:$B$208, "mmm-yy"), [2]RUNS!$BM$5:$BM$208, "Not Found")</f>
        <v>0.83488631823689596</v>
      </c>
    </row>
    <row r="894" spans="1:14" x14ac:dyDescent="0.25">
      <c r="A894" s="1">
        <f>'[1]Global_Spot Prices'!$B2203</f>
        <v>43255</v>
      </c>
      <c r="B894">
        <f>_xlfn.XLOOKUP(A894,'[1]Global_Spot Prices'!$B:$B,'[1]Global_Spot Prices'!$BS:$BS)</f>
        <v>9.8299999999999983</v>
      </c>
      <c r="C894">
        <f>_xlfn.XLOOKUP(A894,'[1]Global_Spot Prices'!$B:$B,'[1]Global_Spot Prices'!$E:$E)</f>
        <v>74.41</v>
      </c>
      <c r="D894">
        <f>_xlfn.XLOOKUP(A894,'[1]Global_Spot Prices'!$B:$B,'[1]Global_Spot Prices'!$D:$D)</f>
        <v>73.754999999999995</v>
      </c>
      <c r="E894">
        <f>_xlfn.XLOOKUP(A894,'[1]Global_Spot Prices'!$B:$B,'[1]Global_Spot Prices'!$H:$H)</f>
        <v>73.2</v>
      </c>
      <c r="F894">
        <f>_xlfn.XLOOKUP(A894,'[1]Global_Spot Prices'!$B:$B,'[1]Global_Spot Prices'!$I:$I)</f>
        <v>84.24</v>
      </c>
      <c r="G894" cm="1">
        <f t="array" ref="G894">_xlfn.XLOOKUP(TEXT(A894, "mmm-yy"), TEXT([2]RUNS!$B$5:$B$208, "mmm-yy"), [2]RUNS!$D$5:$D$208, "Not Found")</f>
        <v>29178.859379220394</v>
      </c>
      <c r="H894" cm="1">
        <f t="array" ref="H894">SUMPRODUCT(
    --(TEXT('[3]Global Weekly Stock (EWSuez'!$B$4:$B$2000,"mmm-yy")=TEXT(A894,"mmm-yy")),
    '[3]Global Weekly Stock (EWSuez'!$E$4:$E$2000)
/
SUMPRODUCT(
    --(TEXT('[3]Global Weekly Stock (EWSuez'!$B$4:$B$2000,"mmm-yy")=TEXT(A894,"mmm-yy"))
)</f>
        <v>12589.6</v>
      </c>
      <c r="I894">
        <f>_xlfn.XLOOKUP(A894,[1]ForwardDeriv!$D:$D,[1]ForwardDeriv!$AJ:$AJ)</f>
        <v>0.5</v>
      </c>
      <c r="J894" cm="1">
        <f t="array" ref="J894">_xlfn.XLOOKUP(TEXT(A894, "mmm-yy"), TEXT([2]GASOLINE!$B$5:$B$208, "mmm-yy"), [2]GASOLINE!$IR$5:$IR$208, "Not Found")</f>
        <v>-16.369299294238488</v>
      </c>
      <c r="K894" cm="1">
        <f t="array" ref="K894">_xlfn.XLOOKUP(TEXT(A894, "mmm-yy"), TEXT([2]GASOLINE!$B$5:$B$208, "mmm-yy"), [2]GASOLINE!$IK$5:$IK$208, "Not Found")</f>
        <v>156.99278745815772</v>
      </c>
      <c r="L894">
        <f t="shared" si="13"/>
        <v>1</v>
      </c>
      <c r="M894" cm="1">
        <f t="array" ref="M894">_xlfn.XLOOKUP(TEXT(A894, "mmm-yy"), TEXT([2]GASOLINE!$B$5:$B$208, "mmm-yy"), [2]GASOLINE!$C$5:$C$208, "Not Found")</f>
        <v>7301.8731729605652</v>
      </c>
      <c r="N894" cm="1">
        <f t="array" ref="N894">_xlfn.XLOOKUP(TEXT(A894, "mmm-yy"), TEXT([2]RUNS!$B$5:$B$208, "mmm-yy"), [2]RUNS!$BM$5:$BM$208, "Not Found")</f>
        <v>0.83488631823689596</v>
      </c>
    </row>
    <row r="895" spans="1:14" x14ac:dyDescent="0.25">
      <c r="A895" s="1">
        <f>'[1]Global_Spot Prices'!$B2204</f>
        <v>43256</v>
      </c>
      <c r="B895">
        <f>_xlfn.XLOOKUP(A895,'[1]Global_Spot Prices'!$B:$B,'[1]Global_Spot Prices'!$BS:$BS)</f>
        <v>9.3200000000000074</v>
      </c>
      <c r="C895">
        <f>_xlfn.XLOOKUP(A895,'[1]Global_Spot Prices'!$B:$B,'[1]Global_Spot Prices'!$E:$E)</f>
        <v>73.599999999999994</v>
      </c>
      <c r="D895">
        <f>_xlfn.XLOOKUP(A895,'[1]Global_Spot Prices'!$B:$B,'[1]Global_Spot Prices'!$D:$D)</f>
        <v>73.19</v>
      </c>
      <c r="E895">
        <f>_xlfn.XLOOKUP(A895,'[1]Global_Spot Prices'!$B:$B,'[1]Global_Spot Prices'!$H:$H)</f>
        <v>71.760000000000005</v>
      </c>
      <c r="F895">
        <f>_xlfn.XLOOKUP(A895,'[1]Global_Spot Prices'!$B:$B,'[1]Global_Spot Prices'!$I:$I)</f>
        <v>82.92</v>
      </c>
      <c r="G895" cm="1">
        <f t="array" ref="G895">_xlfn.XLOOKUP(TEXT(A895, "mmm-yy"), TEXT([2]RUNS!$B$5:$B$208, "mmm-yy"), [2]RUNS!$D$5:$D$208, "Not Found")</f>
        <v>29178.859379220394</v>
      </c>
      <c r="H895" cm="1">
        <f t="array" ref="H895">SUMPRODUCT(
    --(TEXT('[3]Global Weekly Stock (EWSuez'!$B$4:$B$2000,"mmm-yy")=TEXT(A895,"mmm-yy")),
    '[3]Global Weekly Stock (EWSuez'!$E$4:$E$2000)
/
SUMPRODUCT(
    --(TEXT('[3]Global Weekly Stock (EWSuez'!$B$4:$B$2000,"mmm-yy")=TEXT(A895,"mmm-yy"))
)</f>
        <v>12589.6</v>
      </c>
      <c r="I895">
        <f>_xlfn.XLOOKUP(A895,[1]ForwardDeriv!$D:$D,[1]ForwardDeriv!$AJ:$AJ)</f>
        <v>0.43000000000000682</v>
      </c>
      <c r="J895" cm="1">
        <f t="array" ref="J895">_xlfn.XLOOKUP(TEXT(A895, "mmm-yy"), TEXT([2]GASOLINE!$B$5:$B$208, "mmm-yy"), [2]GASOLINE!$IR$5:$IR$208, "Not Found")</f>
        <v>-16.369299294238488</v>
      </c>
      <c r="K895" cm="1">
        <f t="array" ref="K895">_xlfn.XLOOKUP(TEXT(A895, "mmm-yy"), TEXT([2]GASOLINE!$B$5:$B$208, "mmm-yy"), [2]GASOLINE!$IK$5:$IK$208, "Not Found")</f>
        <v>156.99278745815772</v>
      </c>
      <c r="L895">
        <f t="shared" si="13"/>
        <v>1</v>
      </c>
      <c r="M895" cm="1">
        <f t="array" ref="M895">_xlfn.XLOOKUP(TEXT(A895, "mmm-yy"), TEXT([2]GASOLINE!$B$5:$B$208, "mmm-yy"), [2]GASOLINE!$C$5:$C$208, "Not Found")</f>
        <v>7301.8731729605652</v>
      </c>
      <c r="N895" cm="1">
        <f t="array" ref="N895">_xlfn.XLOOKUP(TEXT(A895, "mmm-yy"), TEXT([2]RUNS!$B$5:$B$208, "mmm-yy"), [2]RUNS!$BM$5:$BM$208, "Not Found")</f>
        <v>0.83488631823689596</v>
      </c>
    </row>
    <row r="896" spans="1:14" x14ac:dyDescent="0.25">
      <c r="A896" s="1">
        <f>'[1]Global_Spot Prices'!$B2205</f>
        <v>43257</v>
      </c>
      <c r="B896">
        <f>_xlfn.XLOOKUP(A896,'[1]Global_Spot Prices'!$B:$B,'[1]Global_Spot Prices'!$BS:$BS)</f>
        <v>9.61</v>
      </c>
      <c r="C896">
        <f>_xlfn.XLOOKUP(A896,'[1]Global_Spot Prices'!$B:$B,'[1]Global_Spot Prices'!$E:$E)</f>
        <v>73.75</v>
      </c>
      <c r="D896">
        <f>_xlfn.XLOOKUP(A896,'[1]Global_Spot Prices'!$B:$B,'[1]Global_Spot Prices'!$D:$D)</f>
        <v>73.650000000000006</v>
      </c>
      <c r="E896">
        <f>_xlfn.XLOOKUP(A896,'[1]Global_Spot Prices'!$B:$B,'[1]Global_Spot Prices'!$H:$H)</f>
        <v>71.38</v>
      </c>
      <c r="F896">
        <f>_xlfn.XLOOKUP(A896,'[1]Global_Spot Prices'!$B:$B,'[1]Global_Spot Prices'!$I:$I)</f>
        <v>83.36</v>
      </c>
      <c r="G896" cm="1">
        <f t="array" ref="G896">_xlfn.XLOOKUP(TEXT(A896, "mmm-yy"), TEXT([2]RUNS!$B$5:$B$208, "mmm-yy"), [2]RUNS!$D$5:$D$208, "Not Found")</f>
        <v>29178.859379220394</v>
      </c>
      <c r="H896" cm="1">
        <f t="array" ref="H896">SUMPRODUCT(
    --(TEXT('[3]Global Weekly Stock (EWSuez'!$B$4:$B$2000,"mmm-yy")=TEXT(A896,"mmm-yy")),
    '[3]Global Weekly Stock (EWSuez'!$E$4:$E$2000)
/
SUMPRODUCT(
    --(TEXT('[3]Global Weekly Stock (EWSuez'!$B$4:$B$2000,"mmm-yy")=TEXT(A896,"mmm-yy"))
)</f>
        <v>12589.6</v>
      </c>
      <c r="I896">
        <f>_xlfn.XLOOKUP(A896,[1]ForwardDeriv!$D:$D,[1]ForwardDeriv!$AJ:$AJ)</f>
        <v>0.44999999999998863</v>
      </c>
      <c r="J896" cm="1">
        <f t="array" ref="J896">_xlfn.XLOOKUP(TEXT(A896, "mmm-yy"), TEXT([2]GASOLINE!$B$5:$B$208, "mmm-yy"), [2]GASOLINE!$IR$5:$IR$208, "Not Found")</f>
        <v>-16.369299294238488</v>
      </c>
      <c r="K896" cm="1">
        <f t="array" ref="K896">_xlfn.XLOOKUP(TEXT(A896, "mmm-yy"), TEXT([2]GASOLINE!$B$5:$B$208, "mmm-yy"), [2]GASOLINE!$IK$5:$IK$208, "Not Found")</f>
        <v>156.99278745815772</v>
      </c>
      <c r="L896">
        <f t="shared" si="13"/>
        <v>1</v>
      </c>
      <c r="M896" cm="1">
        <f t="array" ref="M896">_xlfn.XLOOKUP(TEXT(A896, "mmm-yy"), TEXT([2]GASOLINE!$B$5:$B$208, "mmm-yy"), [2]GASOLINE!$C$5:$C$208, "Not Found")</f>
        <v>7301.8731729605652</v>
      </c>
      <c r="N896" cm="1">
        <f t="array" ref="N896">_xlfn.XLOOKUP(TEXT(A896, "mmm-yy"), TEXT([2]RUNS!$B$5:$B$208, "mmm-yy"), [2]RUNS!$BM$5:$BM$208, "Not Found")</f>
        <v>0.83488631823689596</v>
      </c>
    </row>
    <row r="897" spans="1:14" x14ac:dyDescent="0.25">
      <c r="A897" s="1">
        <f>'[1]Global_Spot Prices'!$B2206</f>
        <v>43258</v>
      </c>
      <c r="B897">
        <f>_xlfn.XLOOKUP(A897,'[1]Global_Spot Prices'!$B:$B,'[1]Global_Spot Prices'!$BS:$BS)</f>
        <v>8.75</v>
      </c>
      <c r="C897">
        <f>_xlfn.XLOOKUP(A897,'[1]Global_Spot Prices'!$B:$B,'[1]Global_Spot Prices'!$E:$E)</f>
        <v>73.56</v>
      </c>
      <c r="D897">
        <f>_xlfn.XLOOKUP(A897,'[1]Global_Spot Prices'!$B:$B,'[1]Global_Spot Prices'!$D:$D)</f>
        <v>75.545000000000002</v>
      </c>
      <c r="E897">
        <f>_xlfn.XLOOKUP(A897,'[1]Global_Spot Prices'!$B:$B,'[1]Global_Spot Prices'!$H:$H)</f>
        <v>70.64</v>
      </c>
      <c r="F897">
        <f>_xlfn.XLOOKUP(A897,'[1]Global_Spot Prices'!$B:$B,'[1]Global_Spot Prices'!$I:$I)</f>
        <v>82.31</v>
      </c>
      <c r="G897" cm="1">
        <f t="array" ref="G897">_xlfn.XLOOKUP(TEXT(A897, "mmm-yy"), TEXT([2]RUNS!$B$5:$B$208, "mmm-yy"), [2]RUNS!$D$5:$D$208, "Not Found")</f>
        <v>29178.859379220394</v>
      </c>
      <c r="H897" cm="1">
        <f t="array" ref="H897">SUMPRODUCT(
    --(TEXT('[3]Global Weekly Stock (EWSuez'!$B$4:$B$2000,"mmm-yy")=TEXT(A897,"mmm-yy")),
    '[3]Global Weekly Stock (EWSuez'!$E$4:$E$2000)
/
SUMPRODUCT(
    --(TEXT('[3]Global Weekly Stock (EWSuez'!$B$4:$B$2000,"mmm-yy")=TEXT(A897,"mmm-yy"))
)</f>
        <v>12589.6</v>
      </c>
      <c r="I897">
        <f>_xlfn.XLOOKUP(A897,[1]ForwardDeriv!$D:$D,[1]ForwardDeriv!$AJ:$AJ)</f>
        <v>0.42000000000000171</v>
      </c>
      <c r="J897" cm="1">
        <f t="array" ref="J897">_xlfn.XLOOKUP(TEXT(A897, "mmm-yy"), TEXT([2]GASOLINE!$B$5:$B$208, "mmm-yy"), [2]GASOLINE!$IR$5:$IR$208, "Not Found")</f>
        <v>-16.369299294238488</v>
      </c>
      <c r="K897" cm="1">
        <f t="array" ref="K897">_xlfn.XLOOKUP(TEXT(A897, "mmm-yy"), TEXT([2]GASOLINE!$B$5:$B$208, "mmm-yy"), [2]GASOLINE!$IK$5:$IK$208, "Not Found")</f>
        <v>156.99278745815772</v>
      </c>
      <c r="L897">
        <f t="shared" si="13"/>
        <v>1</v>
      </c>
      <c r="M897" cm="1">
        <f t="array" ref="M897">_xlfn.XLOOKUP(TEXT(A897, "mmm-yy"), TEXT([2]GASOLINE!$B$5:$B$208, "mmm-yy"), [2]GASOLINE!$C$5:$C$208, "Not Found")</f>
        <v>7301.8731729605652</v>
      </c>
      <c r="N897" cm="1">
        <f t="array" ref="N897">_xlfn.XLOOKUP(TEXT(A897, "mmm-yy"), TEXT([2]RUNS!$B$5:$B$208, "mmm-yy"), [2]RUNS!$BM$5:$BM$208, "Not Found")</f>
        <v>0.83488631823689596</v>
      </c>
    </row>
    <row r="898" spans="1:14" x14ac:dyDescent="0.25">
      <c r="A898" s="1">
        <f>'[1]Global_Spot Prices'!$B2207</f>
        <v>43259</v>
      </c>
      <c r="B898">
        <f>_xlfn.XLOOKUP(A898,'[1]Global_Spot Prices'!$B:$B,'[1]Global_Spot Prices'!$BS:$BS)</f>
        <v>8.6200000000000045</v>
      </c>
      <c r="C898">
        <f>_xlfn.XLOOKUP(A898,'[1]Global_Spot Prices'!$B:$B,'[1]Global_Spot Prices'!$E:$E)</f>
        <v>74.81</v>
      </c>
      <c r="D898">
        <f>_xlfn.XLOOKUP(A898,'[1]Global_Spot Prices'!$B:$B,'[1]Global_Spot Prices'!$D:$D)</f>
        <v>75.034999999999997</v>
      </c>
      <c r="E898">
        <f>_xlfn.XLOOKUP(A898,'[1]Global_Spot Prices'!$B:$B,'[1]Global_Spot Prices'!$H:$H)</f>
        <v>71.44</v>
      </c>
      <c r="F898">
        <f>_xlfn.XLOOKUP(A898,'[1]Global_Spot Prices'!$B:$B,'[1]Global_Spot Prices'!$I:$I)</f>
        <v>83.43</v>
      </c>
      <c r="G898" cm="1">
        <f t="array" ref="G898">_xlfn.XLOOKUP(TEXT(A898, "mmm-yy"), TEXT([2]RUNS!$B$5:$B$208, "mmm-yy"), [2]RUNS!$D$5:$D$208, "Not Found")</f>
        <v>29178.859379220394</v>
      </c>
      <c r="H898" cm="1">
        <f t="array" ref="H898">SUMPRODUCT(
    --(TEXT('[3]Global Weekly Stock (EWSuez'!$B$4:$B$2000,"mmm-yy")=TEXT(A898,"mmm-yy")),
    '[3]Global Weekly Stock (EWSuez'!$E$4:$E$2000)
/
SUMPRODUCT(
    --(TEXT('[3]Global Weekly Stock (EWSuez'!$B$4:$B$2000,"mmm-yy")=TEXT(A898,"mmm-yy"))
)</f>
        <v>12589.6</v>
      </c>
      <c r="I898">
        <f>_xlfn.XLOOKUP(A898,[1]ForwardDeriv!$D:$D,[1]ForwardDeriv!$AJ:$AJ)</f>
        <v>0.43999999999999773</v>
      </c>
      <c r="J898" cm="1">
        <f t="array" ref="J898">_xlfn.XLOOKUP(TEXT(A898, "mmm-yy"), TEXT([2]GASOLINE!$B$5:$B$208, "mmm-yy"), [2]GASOLINE!$IR$5:$IR$208, "Not Found")</f>
        <v>-16.369299294238488</v>
      </c>
      <c r="K898" cm="1">
        <f t="array" ref="K898">_xlfn.XLOOKUP(TEXT(A898, "mmm-yy"), TEXT([2]GASOLINE!$B$5:$B$208, "mmm-yy"), [2]GASOLINE!$IK$5:$IK$208, "Not Found")</f>
        <v>156.99278745815772</v>
      </c>
      <c r="L898">
        <f t="shared" si="13"/>
        <v>1</v>
      </c>
      <c r="M898" cm="1">
        <f t="array" ref="M898">_xlfn.XLOOKUP(TEXT(A898, "mmm-yy"), TEXT([2]GASOLINE!$B$5:$B$208, "mmm-yy"), [2]GASOLINE!$C$5:$C$208, "Not Found")</f>
        <v>7301.8731729605652</v>
      </c>
      <c r="N898" cm="1">
        <f t="array" ref="N898">_xlfn.XLOOKUP(TEXT(A898, "mmm-yy"), TEXT([2]RUNS!$B$5:$B$208, "mmm-yy"), [2]RUNS!$BM$5:$BM$208, "Not Found")</f>
        <v>0.83488631823689596</v>
      </c>
    </row>
    <row r="899" spans="1:14" x14ac:dyDescent="0.25">
      <c r="A899" s="1">
        <f>'[1]Global_Spot Prices'!$B2208</f>
        <v>43262</v>
      </c>
      <c r="B899">
        <f>_xlfn.XLOOKUP(A899,'[1]Global_Spot Prices'!$B:$B,'[1]Global_Spot Prices'!$BS:$BS)</f>
        <v>8.7599999999999909</v>
      </c>
      <c r="C899">
        <f>_xlfn.XLOOKUP(A899,'[1]Global_Spot Prices'!$B:$B,'[1]Global_Spot Prices'!$E:$E)</f>
        <v>74.400000000000006</v>
      </c>
      <c r="D899">
        <f>_xlfn.XLOOKUP(A899,'[1]Global_Spot Prices'!$B:$B,'[1]Global_Spot Prices'!$D:$D)</f>
        <v>75.034999999999997</v>
      </c>
      <c r="E899">
        <f>_xlfn.XLOOKUP(A899,'[1]Global_Spot Prices'!$B:$B,'[1]Global_Spot Prices'!$H:$H)</f>
        <v>71.05</v>
      </c>
      <c r="F899">
        <f>_xlfn.XLOOKUP(A899,'[1]Global_Spot Prices'!$B:$B,'[1]Global_Spot Prices'!$I:$I)</f>
        <v>83.16</v>
      </c>
      <c r="G899" cm="1">
        <f t="array" ref="G899">_xlfn.XLOOKUP(TEXT(A899, "mmm-yy"), TEXT([2]RUNS!$B$5:$B$208, "mmm-yy"), [2]RUNS!$D$5:$D$208, "Not Found")</f>
        <v>29178.859379220394</v>
      </c>
      <c r="H899" cm="1">
        <f t="array" ref="H899">SUMPRODUCT(
    --(TEXT('[3]Global Weekly Stock (EWSuez'!$B$4:$B$2000,"mmm-yy")=TEXT(A899,"mmm-yy")),
    '[3]Global Weekly Stock (EWSuez'!$E$4:$E$2000)
/
SUMPRODUCT(
    --(TEXT('[3]Global Weekly Stock (EWSuez'!$B$4:$B$2000,"mmm-yy")=TEXT(A899,"mmm-yy"))
)</f>
        <v>12589.6</v>
      </c>
      <c r="I899">
        <f>_xlfn.XLOOKUP(A899,[1]ForwardDeriv!$D:$D,[1]ForwardDeriv!$AJ:$AJ)</f>
        <v>0.6600000000000108</v>
      </c>
      <c r="J899" cm="1">
        <f t="array" ref="J899">_xlfn.XLOOKUP(TEXT(A899, "mmm-yy"), TEXT([2]GASOLINE!$B$5:$B$208, "mmm-yy"), [2]GASOLINE!$IR$5:$IR$208, "Not Found")</f>
        <v>-16.369299294238488</v>
      </c>
      <c r="K899" cm="1">
        <f t="array" ref="K899">_xlfn.XLOOKUP(TEXT(A899, "mmm-yy"), TEXT([2]GASOLINE!$B$5:$B$208, "mmm-yy"), [2]GASOLINE!$IK$5:$IK$208, "Not Found")</f>
        <v>156.99278745815772</v>
      </c>
      <c r="L899">
        <f t="shared" ref="L899:L962" si="14">IF(OR(MONTH(A899)=6, MONTH(A899)=7, MONTH(A899)=8, MONTH(A899)=9), 1, 0)</f>
        <v>1</v>
      </c>
      <c r="M899" cm="1">
        <f t="array" ref="M899">_xlfn.XLOOKUP(TEXT(A899, "mmm-yy"), TEXT([2]GASOLINE!$B$5:$B$208, "mmm-yy"), [2]GASOLINE!$C$5:$C$208, "Not Found")</f>
        <v>7301.8731729605652</v>
      </c>
      <c r="N899" cm="1">
        <f t="array" ref="N899">_xlfn.XLOOKUP(TEXT(A899, "mmm-yy"), TEXT([2]RUNS!$B$5:$B$208, "mmm-yy"), [2]RUNS!$BM$5:$BM$208, "Not Found")</f>
        <v>0.83488631823689596</v>
      </c>
    </row>
    <row r="900" spans="1:14" x14ac:dyDescent="0.25">
      <c r="A900" s="1">
        <f>'[1]Global_Spot Prices'!$B2209</f>
        <v>43263</v>
      </c>
      <c r="B900">
        <f>_xlfn.XLOOKUP(A900,'[1]Global_Spot Prices'!$B:$B,'[1]Global_Spot Prices'!$BS:$BS)</f>
        <v>8.414999999999992</v>
      </c>
      <c r="C900">
        <f>_xlfn.XLOOKUP(A900,'[1]Global_Spot Prices'!$B:$B,'[1]Global_Spot Prices'!$E:$E)</f>
        <v>74.775000000000006</v>
      </c>
      <c r="D900">
        <f>_xlfn.XLOOKUP(A900,'[1]Global_Spot Prices'!$B:$B,'[1]Global_Spot Prices'!$D:$D)</f>
        <v>74.915000000000006</v>
      </c>
      <c r="E900">
        <f>_xlfn.XLOOKUP(A900,'[1]Global_Spot Prices'!$B:$B,'[1]Global_Spot Prices'!$H:$H)</f>
        <v>71.52</v>
      </c>
      <c r="F900">
        <f>_xlfn.XLOOKUP(A900,'[1]Global_Spot Prices'!$B:$B,'[1]Global_Spot Prices'!$I:$I)</f>
        <v>83.19</v>
      </c>
      <c r="G900" cm="1">
        <f t="array" ref="G900">_xlfn.XLOOKUP(TEXT(A900, "mmm-yy"), TEXT([2]RUNS!$B$5:$B$208, "mmm-yy"), [2]RUNS!$D$5:$D$208, "Not Found")</f>
        <v>29178.859379220394</v>
      </c>
      <c r="H900" cm="1">
        <f t="array" ref="H900">SUMPRODUCT(
    --(TEXT('[3]Global Weekly Stock (EWSuez'!$B$4:$B$2000,"mmm-yy")=TEXT(A900,"mmm-yy")),
    '[3]Global Weekly Stock (EWSuez'!$E$4:$E$2000)
/
SUMPRODUCT(
    --(TEXT('[3]Global Weekly Stock (EWSuez'!$B$4:$B$2000,"mmm-yy")=TEXT(A900,"mmm-yy"))
)</f>
        <v>12589.6</v>
      </c>
      <c r="I900">
        <f>_xlfn.XLOOKUP(A900,[1]ForwardDeriv!$D:$D,[1]ForwardDeriv!$AJ:$AJ)</f>
        <v>0.53000000000000114</v>
      </c>
      <c r="J900" cm="1">
        <f t="array" ref="J900">_xlfn.XLOOKUP(TEXT(A900, "mmm-yy"), TEXT([2]GASOLINE!$B$5:$B$208, "mmm-yy"), [2]GASOLINE!$IR$5:$IR$208, "Not Found")</f>
        <v>-16.369299294238488</v>
      </c>
      <c r="K900" cm="1">
        <f t="array" ref="K900">_xlfn.XLOOKUP(TEXT(A900, "mmm-yy"), TEXT([2]GASOLINE!$B$5:$B$208, "mmm-yy"), [2]GASOLINE!$IK$5:$IK$208, "Not Found")</f>
        <v>156.99278745815772</v>
      </c>
      <c r="L900">
        <f t="shared" si="14"/>
        <v>1</v>
      </c>
      <c r="M900" cm="1">
        <f t="array" ref="M900">_xlfn.XLOOKUP(TEXT(A900, "mmm-yy"), TEXT([2]GASOLINE!$B$5:$B$208, "mmm-yy"), [2]GASOLINE!$C$5:$C$208, "Not Found")</f>
        <v>7301.8731729605652</v>
      </c>
      <c r="N900" cm="1">
        <f t="array" ref="N900">_xlfn.XLOOKUP(TEXT(A900, "mmm-yy"), TEXT([2]RUNS!$B$5:$B$208, "mmm-yy"), [2]RUNS!$BM$5:$BM$208, "Not Found")</f>
        <v>0.83488631823689596</v>
      </c>
    </row>
    <row r="901" spans="1:14" x14ac:dyDescent="0.25">
      <c r="A901" s="1">
        <f>'[1]Global_Spot Prices'!$B2210</f>
        <v>43264</v>
      </c>
      <c r="B901">
        <f>_xlfn.XLOOKUP(A901,'[1]Global_Spot Prices'!$B:$B,'[1]Global_Spot Prices'!$BS:$BS)</f>
        <v>8.1299999999999955</v>
      </c>
      <c r="C901">
        <f>_xlfn.XLOOKUP(A901,'[1]Global_Spot Prices'!$B:$B,'[1]Global_Spot Prices'!$E:$E)</f>
        <v>73.400000000000006</v>
      </c>
      <c r="D901">
        <f>_xlfn.XLOOKUP(A901,'[1]Global_Spot Prices'!$B:$B,'[1]Global_Spot Prices'!$D:$D)</f>
        <v>74.905000000000001</v>
      </c>
      <c r="E901">
        <f>_xlfn.XLOOKUP(A901,'[1]Global_Spot Prices'!$B:$B,'[1]Global_Spot Prices'!$H:$H)</f>
        <v>70.91</v>
      </c>
      <c r="F901">
        <f>_xlfn.XLOOKUP(A901,'[1]Global_Spot Prices'!$B:$B,'[1]Global_Spot Prices'!$I:$I)</f>
        <v>81.53</v>
      </c>
      <c r="G901" cm="1">
        <f t="array" ref="G901">_xlfn.XLOOKUP(TEXT(A901, "mmm-yy"), TEXT([2]RUNS!$B$5:$B$208, "mmm-yy"), [2]RUNS!$D$5:$D$208, "Not Found")</f>
        <v>29178.859379220394</v>
      </c>
      <c r="H901" cm="1">
        <f t="array" ref="H901">SUMPRODUCT(
    --(TEXT('[3]Global Weekly Stock (EWSuez'!$B$4:$B$2000,"mmm-yy")=TEXT(A901,"mmm-yy")),
    '[3]Global Weekly Stock (EWSuez'!$E$4:$E$2000)
/
SUMPRODUCT(
    --(TEXT('[3]Global Weekly Stock (EWSuez'!$B$4:$B$2000,"mmm-yy")=TEXT(A901,"mmm-yy"))
)</f>
        <v>12589.6</v>
      </c>
      <c r="I901">
        <f>_xlfn.XLOOKUP(A901,[1]ForwardDeriv!$D:$D,[1]ForwardDeriv!$AJ:$AJ)</f>
        <v>0.39000000000000057</v>
      </c>
      <c r="J901" cm="1">
        <f t="array" ref="J901">_xlfn.XLOOKUP(TEXT(A901, "mmm-yy"), TEXT([2]GASOLINE!$B$5:$B$208, "mmm-yy"), [2]GASOLINE!$IR$5:$IR$208, "Not Found")</f>
        <v>-16.369299294238488</v>
      </c>
      <c r="K901" cm="1">
        <f t="array" ref="K901">_xlfn.XLOOKUP(TEXT(A901, "mmm-yy"), TEXT([2]GASOLINE!$B$5:$B$208, "mmm-yy"), [2]GASOLINE!$IK$5:$IK$208, "Not Found")</f>
        <v>156.99278745815772</v>
      </c>
      <c r="L901">
        <f t="shared" si="14"/>
        <v>1</v>
      </c>
      <c r="M901" cm="1">
        <f t="array" ref="M901">_xlfn.XLOOKUP(TEXT(A901, "mmm-yy"), TEXT([2]GASOLINE!$B$5:$B$208, "mmm-yy"), [2]GASOLINE!$C$5:$C$208, "Not Found")</f>
        <v>7301.8731729605652</v>
      </c>
      <c r="N901" cm="1">
        <f t="array" ref="N901">_xlfn.XLOOKUP(TEXT(A901, "mmm-yy"), TEXT([2]RUNS!$B$5:$B$208, "mmm-yy"), [2]RUNS!$BM$5:$BM$208, "Not Found")</f>
        <v>0.83488631823689596</v>
      </c>
    </row>
    <row r="902" spans="1:14" x14ac:dyDescent="0.25">
      <c r="A902" s="1">
        <f>'[1]Global_Spot Prices'!$B2211</f>
        <v>43265</v>
      </c>
      <c r="B902">
        <f>_xlfn.XLOOKUP(A902,'[1]Global_Spot Prices'!$B:$B,'[1]Global_Spot Prices'!$BS:$BS)</f>
        <v>8.7400000000000091</v>
      </c>
      <c r="C902">
        <f>_xlfn.XLOOKUP(A902,'[1]Global_Spot Prices'!$B:$B,'[1]Global_Spot Prices'!$E:$E)</f>
        <v>74.319999999999993</v>
      </c>
      <c r="D902">
        <f>_xlfn.XLOOKUP(A902,'[1]Global_Spot Prices'!$B:$B,'[1]Global_Spot Prices'!$D:$D)</f>
        <v>74.834999999999994</v>
      </c>
      <c r="E902">
        <f>_xlfn.XLOOKUP(A902,'[1]Global_Spot Prices'!$B:$B,'[1]Global_Spot Prices'!$H:$H)</f>
        <v>71.89</v>
      </c>
      <c r="F902">
        <f>_xlfn.XLOOKUP(A902,'[1]Global_Spot Prices'!$B:$B,'[1]Global_Spot Prices'!$I:$I)</f>
        <v>83.06</v>
      </c>
      <c r="G902" cm="1">
        <f t="array" ref="G902">_xlfn.XLOOKUP(TEXT(A902, "mmm-yy"), TEXT([2]RUNS!$B$5:$B$208, "mmm-yy"), [2]RUNS!$D$5:$D$208, "Not Found")</f>
        <v>29178.859379220394</v>
      </c>
      <c r="H902" cm="1">
        <f t="array" ref="H902">SUMPRODUCT(
    --(TEXT('[3]Global Weekly Stock (EWSuez'!$B$4:$B$2000,"mmm-yy")=TEXT(A902,"mmm-yy")),
    '[3]Global Weekly Stock (EWSuez'!$E$4:$E$2000)
/
SUMPRODUCT(
    --(TEXT('[3]Global Weekly Stock (EWSuez'!$B$4:$B$2000,"mmm-yy")=TEXT(A902,"mmm-yy"))
)</f>
        <v>12589.6</v>
      </c>
      <c r="I902">
        <f>_xlfn.XLOOKUP(A902,[1]ForwardDeriv!$D:$D,[1]ForwardDeriv!$AJ:$AJ)</f>
        <v>0.48000000000000398</v>
      </c>
      <c r="J902" cm="1">
        <f t="array" ref="J902">_xlfn.XLOOKUP(TEXT(A902, "mmm-yy"), TEXT([2]GASOLINE!$B$5:$B$208, "mmm-yy"), [2]GASOLINE!$IR$5:$IR$208, "Not Found")</f>
        <v>-16.369299294238488</v>
      </c>
      <c r="K902" cm="1">
        <f t="array" ref="K902">_xlfn.XLOOKUP(TEXT(A902, "mmm-yy"), TEXT([2]GASOLINE!$B$5:$B$208, "mmm-yy"), [2]GASOLINE!$IK$5:$IK$208, "Not Found")</f>
        <v>156.99278745815772</v>
      </c>
      <c r="L902">
        <f t="shared" si="14"/>
        <v>1</v>
      </c>
      <c r="M902" cm="1">
        <f t="array" ref="M902">_xlfn.XLOOKUP(TEXT(A902, "mmm-yy"), TEXT([2]GASOLINE!$B$5:$B$208, "mmm-yy"), [2]GASOLINE!$C$5:$C$208, "Not Found")</f>
        <v>7301.8731729605652</v>
      </c>
      <c r="N902" cm="1">
        <f t="array" ref="N902">_xlfn.XLOOKUP(TEXT(A902, "mmm-yy"), TEXT([2]RUNS!$B$5:$B$208, "mmm-yy"), [2]RUNS!$BM$5:$BM$208, "Not Found")</f>
        <v>0.83488631823689596</v>
      </c>
    </row>
    <row r="903" spans="1:14" x14ac:dyDescent="0.25">
      <c r="A903" s="1">
        <f>'[1]Global_Spot Prices'!$B2212</f>
        <v>43266</v>
      </c>
      <c r="B903" t="e">
        <f>_xlfn.XLOOKUP(A903,'[1]Global_Spot Prices'!$B:$B,'[1]Global_Spot Prices'!$BS:$BS)</f>
        <v>#N/A</v>
      </c>
      <c r="C903" t="str">
        <f>_xlfn.XLOOKUP(A903,'[1]Global_Spot Prices'!$B:$B,'[1]Global_Spot Prices'!$E:$E)</f>
        <v/>
      </c>
      <c r="D903">
        <f>_xlfn.XLOOKUP(A903,'[1]Global_Spot Prices'!$B:$B,'[1]Global_Spot Prices'!$D:$D)</f>
        <v>72.254999999999995</v>
      </c>
      <c r="E903">
        <f>_xlfn.XLOOKUP(A903,'[1]Global_Spot Prices'!$B:$B,'[1]Global_Spot Prices'!$H:$H)</f>
        <v>0</v>
      </c>
      <c r="F903">
        <f>_xlfn.XLOOKUP(A903,'[1]Global_Spot Prices'!$B:$B,'[1]Global_Spot Prices'!$I:$I)</f>
        <v>0</v>
      </c>
      <c r="G903" cm="1">
        <f t="array" ref="G903">_xlfn.XLOOKUP(TEXT(A903, "mmm-yy"), TEXT([2]RUNS!$B$5:$B$208, "mmm-yy"), [2]RUNS!$D$5:$D$208, "Not Found")</f>
        <v>29178.859379220394</v>
      </c>
      <c r="H903" cm="1">
        <f t="array" ref="H903">SUMPRODUCT(
    --(TEXT('[3]Global Weekly Stock (EWSuez'!$B$4:$B$2000,"mmm-yy")=TEXT(A903,"mmm-yy")),
    '[3]Global Weekly Stock (EWSuez'!$E$4:$E$2000)
/
SUMPRODUCT(
    --(TEXT('[3]Global Weekly Stock (EWSuez'!$B$4:$B$2000,"mmm-yy")=TEXT(A903,"mmm-yy"))
)</f>
        <v>12589.6</v>
      </c>
      <c r="I903">
        <f>_xlfn.XLOOKUP(A903,[1]ForwardDeriv!$D:$D,[1]ForwardDeriv!$AJ:$AJ)</f>
        <v>0.48000000000000398</v>
      </c>
      <c r="J903" cm="1">
        <f t="array" ref="J903">_xlfn.XLOOKUP(TEXT(A903, "mmm-yy"), TEXT([2]GASOLINE!$B$5:$B$208, "mmm-yy"), [2]GASOLINE!$IR$5:$IR$208, "Not Found")</f>
        <v>-16.369299294238488</v>
      </c>
      <c r="K903" cm="1">
        <f t="array" ref="K903">_xlfn.XLOOKUP(TEXT(A903, "mmm-yy"), TEXT([2]GASOLINE!$B$5:$B$208, "mmm-yy"), [2]GASOLINE!$IK$5:$IK$208, "Not Found")</f>
        <v>156.99278745815772</v>
      </c>
      <c r="L903">
        <f t="shared" si="14"/>
        <v>1</v>
      </c>
      <c r="M903" cm="1">
        <f t="array" ref="M903">_xlfn.XLOOKUP(TEXT(A903, "mmm-yy"), TEXT([2]GASOLINE!$B$5:$B$208, "mmm-yy"), [2]GASOLINE!$C$5:$C$208, "Not Found")</f>
        <v>7301.8731729605652</v>
      </c>
      <c r="N903" cm="1">
        <f t="array" ref="N903">_xlfn.XLOOKUP(TEXT(A903, "mmm-yy"), TEXT([2]RUNS!$B$5:$B$208, "mmm-yy"), [2]RUNS!$BM$5:$BM$208, "Not Found")</f>
        <v>0.83488631823689596</v>
      </c>
    </row>
    <row r="904" spans="1:14" x14ac:dyDescent="0.25">
      <c r="A904" s="1">
        <f>'[1]Global_Spot Prices'!$B2213</f>
        <v>43269</v>
      </c>
      <c r="B904">
        <f>_xlfn.XLOOKUP(A904,'[1]Global_Spot Prices'!$B:$B,'[1]Global_Spot Prices'!$BS:$BS)</f>
        <v>8.1899999999999977</v>
      </c>
      <c r="C904">
        <f>_xlfn.XLOOKUP(A904,'[1]Global_Spot Prices'!$B:$B,'[1]Global_Spot Prices'!$E:$E)</f>
        <v>70.94</v>
      </c>
      <c r="D904">
        <f>_xlfn.XLOOKUP(A904,'[1]Global_Spot Prices'!$B:$B,'[1]Global_Spot Prices'!$D:$D)</f>
        <v>73.495000000000005</v>
      </c>
      <c r="E904">
        <f>_xlfn.XLOOKUP(A904,'[1]Global_Spot Prices'!$B:$B,'[1]Global_Spot Prices'!$H:$H)</f>
        <v>68.430000000000007</v>
      </c>
      <c r="F904">
        <f>_xlfn.XLOOKUP(A904,'[1]Global_Spot Prices'!$B:$B,'[1]Global_Spot Prices'!$I:$I)</f>
        <v>79.13</v>
      </c>
      <c r="G904" cm="1">
        <f t="array" ref="G904">_xlfn.XLOOKUP(TEXT(A904, "mmm-yy"), TEXT([2]RUNS!$B$5:$B$208, "mmm-yy"), [2]RUNS!$D$5:$D$208, "Not Found")</f>
        <v>29178.859379220394</v>
      </c>
      <c r="H904" cm="1">
        <f t="array" ref="H904">SUMPRODUCT(
    --(TEXT('[3]Global Weekly Stock (EWSuez'!$B$4:$B$2000,"mmm-yy")=TEXT(A904,"mmm-yy")),
    '[3]Global Weekly Stock (EWSuez'!$E$4:$E$2000)
/
SUMPRODUCT(
    --(TEXT('[3]Global Weekly Stock (EWSuez'!$B$4:$B$2000,"mmm-yy")=TEXT(A904,"mmm-yy"))
)</f>
        <v>12589.6</v>
      </c>
      <c r="I904">
        <f>_xlfn.XLOOKUP(A904,[1]ForwardDeriv!$D:$D,[1]ForwardDeriv!$AJ:$AJ)</f>
        <v>0.48000000000000398</v>
      </c>
      <c r="J904" cm="1">
        <f t="array" ref="J904">_xlfn.XLOOKUP(TEXT(A904, "mmm-yy"), TEXT([2]GASOLINE!$B$5:$B$208, "mmm-yy"), [2]GASOLINE!$IR$5:$IR$208, "Not Found")</f>
        <v>-16.369299294238488</v>
      </c>
      <c r="K904" cm="1">
        <f t="array" ref="K904">_xlfn.XLOOKUP(TEXT(A904, "mmm-yy"), TEXT([2]GASOLINE!$B$5:$B$208, "mmm-yy"), [2]GASOLINE!$IK$5:$IK$208, "Not Found")</f>
        <v>156.99278745815772</v>
      </c>
      <c r="L904">
        <f t="shared" si="14"/>
        <v>1</v>
      </c>
      <c r="M904" cm="1">
        <f t="array" ref="M904">_xlfn.XLOOKUP(TEXT(A904, "mmm-yy"), TEXT([2]GASOLINE!$B$5:$B$208, "mmm-yy"), [2]GASOLINE!$C$5:$C$208, "Not Found")</f>
        <v>7301.8731729605652</v>
      </c>
      <c r="N904" cm="1">
        <f t="array" ref="N904">_xlfn.XLOOKUP(TEXT(A904, "mmm-yy"), TEXT([2]RUNS!$B$5:$B$208, "mmm-yy"), [2]RUNS!$BM$5:$BM$208, "Not Found")</f>
        <v>0.83488631823689596</v>
      </c>
    </row>
    <row r="905" spans="1:14" x14ac:dyDescent="0.25">
      <c r="A905" s="1">
        <f>'[1]Global_Spot Prices'!$B2214</f>
        <v>43270</v>
      </c>
      <c r="B905">
        <f>_xlfn.XLOOKUP(A905,'[1]Global_Spot Prices'!$B:$B,'[1]Global_Spot Prices'!$BS:$BS)</f>
        <v>7.3400000000000034</v>
      </c>
      <c r="C905">
        <f>_xlfn.XLOOKUP(A905,'[1]Global_Spot Prices'!$B:$B,'[1]Global_Spot Prices'!$E:$E)</f>
        <v>72</v>
      </c>
      <c r="D905">
        <f>_xlfn.XLOOKUP(A905,'[1]Global_Spot Prices'!$B:$B,'[1]Global_Spot Prices'!$D:$D)</f>
        <v>73.53</v>
      </c>
      <c r="E905">
        <f>_xlfn.XLOOKUP(A905,'[1]Global_Spot Prices'!$B:$B,'[1]Global_Spot Prices'!$H:$H)</f>
        <v>69.25</v>
      </c>
      <c r="F905">
        <f>_xlfn.XLOOKUP(A905,'[1]Global_Spot Prices'!$B:$B,'[1]Global_Spot Prices'!$I:$I)</f>
        <v>79.34</v>
      </c>
      <c r="G905" cm="1">
        <f t="array" ref="G905">_xlfn.XLOOKUP(TEXT(A905, "mmm-yy"), TEXT([2]RUNS!$B$5:$B$208, "mmm-yy"), [2]RUNS!$D$5:$D$208, "Not Found")</f>
        <v>29178.859379220394</v>
      </c>
      <c r="H905" cm="1">
        <f t="array" ref="H905">SUMPRODUCT(
    --(TEXT('[3]Global Weekly Stock (EWSuez'!$B$4:$B$2000,"mmm-yy")=TEXT(A905,"mmm-yy")),
    '[3]Global Weekly Stock (EWSuez'!$E$4:$E$2000)
/
SUMPRODUCT(
    --(TEXT('[3]Global Weekly Stock (EWSuez'!$B$4:$B$2000,"mmm-yy")=TEXT(A905,"mmm-yy"))
)</f>
        <v>12589.6</v>
      </c>
      <c r="I905">
        <f>_xlfn.XLOOKUP(A905,[1]ForwardDeriv!$D:$D,[1]ForwardDeriv!$AJ:$AJ)</f>
        <v>0.29999999999999716</v>
      </c>
      <c r="J905" cm="1">
        <f t="array" ref="J905">_xlfn.XLOOKUP(TEXT(A905, "mmm-yy"), TEXT([2]GASOLINE!$B$5:$B$208, "mmm-yy"), [2]GASOLINE!$IR$5:$IR$208, "Not Found")</f>
        <v>-16.369299294238488</v>
      </c>
      <c r="K905" cm="1">
        <f t="array" ref="K905">_xlfn.XLOOKUP(TEXT(A905, "mmm-yy"), TEXT([2]GASOLINE!$B$5:$B$208, "mmm-yy"), [2]GASOLINE!$IK$5:$IK$208, "Not Found")</f>
        <v>156.99278745815772</v>
      </c>
      <c r="L905">
        <f t="shared" si="14"/>
        <v>1</v>
      </c>
      <c r="M905" cm="1">
        <f t="array" ref="M905">_xlfn.XLOOKUP(TEXT(A905, "mmm-yy"), TEXT([2]GASOLINE!$B$5:$B$208, "mmm-yy"), [2]GASOLINE!$C$5:$C$208, "Not Found")</f>
        <v>7301.8731729605652</v>
      </c>
      <c r="N905" cm="1">
        <f t="array" ref="N905">_xlfn.XLOOKUP(TEXT(A905, "mmm-yy"), TEXT([2]RUNS!$B$5:$B$208, "mmm-yy"), [2]RUNS!$BM$5:$BM$208, "Not Found")</f>
        <v>0.83488631823689596</v>
      </c>
    </row>
    <row r="906" spans="1:14" x14ac:dyDescent="0.25">
      <c r="A906" s="1">
        <f>'[1]Global_Spot Prices'!$B2215</f>
        <v>43271</v>
      </c>
      <c r="B906">
        <f>_xlfn.XLOOKUP(A906,'[1]Global_Spot Prices'!$B:$B,'[1]Global_Spot Prices'!$BS:$BS)</f>
        <v>6.8400000000000034</v>
      </c>
      <c r="C906">
        <f>_xlfn.XLOOKUP(A906,'[1]Global_Spot Prices'!$B:$B,'[1]Global_Spot Prices'!$E:$E)</f>
        <v>72.7</v>
      </c>
      <c r="D906">
        <f>_xlfn.XLOOKUP(A906,'[1]Global_Spot Prices'!$B:$B,'[1]Global_Spot Prices'!$D:$D)</f>
        <v>73.635000000000005</v>
      </c>
      <c r="E906">
        <f>_xlfn.XLOOKUP(A906,'[1]Global_Spot Prices'!$B:$B,'[1]Global_Spot Prices'!$H:$H)</f>
        <v>69.239999999999995</v>
      </c>
      <c r="F906">
        <f>_xlfn.XLOOKUP(A906,'[1]Global_Spot Prices'!$B:$B,'[1]Global_Spot Prices'!$I:$I)</f>
        <v>79.540000000000006</v>
      </c>
      <c r="G906" cm="1">
        <f t="array" ref="G906">_xlfn.XLOOKUP(TEXT(A906, "mmm-yy"), TEXT([2]RUNS!$B$5:$B$208, "mmm-yy"), [2]RUNS!$D$5:$D$208, "Not Found")</f>
        <v>29178.859379220394</v>
      </c>
      <c r="H906" cm="1">
        <f t="array" ref="H906">SUMPRODUCT(
    --(TEXT('[3]Global Weekly Stock (EWSuez'!$B$4:$B$2000,"mmm-yy")=TEXT(A906,"mmm-yy")),
    '[3]Global Weekly Stock (EWSuez'!$E$4:$E$2000)
/
SUMPRODUCT(
    --(TEXT('[3]Global Weekly Stock (EWSuez'!$B$4:$B$2000,"mmm-yy")=TEXT(A906,"mmm-yy"))
)</f>
        <v>12589.6</v>
      </c>
      <c r="I906">
        <f>_xlfn.XLOOKUP(A906,[1]ForwardDeriv!$D:$D,[1]ForwardDeriv!$AJ:$AJ)</f>
        <v>0.31000000000000227</v>
      </c>
      <c r="J906" cm="1">
        <f t="array" ref="J906">_xlfn.XLOOKUP(TEXT(A906, "mmm-yy"), TEXT([2]GASOLINE!$B$5:$B$208, "mmm-yy"), [2]GASOLINE!$IR$5:$IR$208, "Not Found")</f>
        <v>-16.369299294238488</v>
      </c>
      <c r="K906" cm="1">
        <f t="array" ref="K906">_xlfn.XLOOKUP(TEXT(A906, "mmm-yy"), TEXT([2]GASOLINE!$B$5:$B$208, "mmm-yy"), [2]GASOLINE!$IK$5:$IK$208, "Not Found")</f>
        <v>156.99278745815772</v>
      </c>
      <c r="L906">
        <f t="shared" si="14"/>
        <v>1</v>
      </c>
      <c r="M906" cm="1">
        <f t="array" ref="M906">_xlfn.XLOOKUP(TEXT(A906, "mmm-yy"), TEXT([2]GASOLINE!$B$5:$B$208, "mmm-yy"), [2]GASOLINE!$C$5:$C$208, "Not Found")</f>
        <v>7301.8731729605652</v>
      </c>
      <c r="N906" cm="1">
        <f t="array" ref="N906">_xlfn.XLOOKUP(TEXT(A906, "mmm-yy"), TEXT([2]RUNS!$B$5:$B$208, "mmm-yy"), [2]RUNS!$BM$5:$BM$208, "Not Found")</f>
        <v>0.83488631823689596</v>
      </c>
    </row>
    <row r="907" spans="1:14" x14ac:dyDescent="0.25">
      <c r="A907" s="1">
        <f>'[1]Global_Spot Prices'!$B2216</f>
        <v>43272</v>
      </c>
      <c r="B907">
        <f>_xlfn.XLOOKUP(A907,'[1]Global_Spot Prices'!$B:$B,'[1]Global_Spot Prices'!$BS:$BS)</f>
        <v>6.5900000000000034</v>
      </c>
      <c r="C907">
        <f>_xlfn.XLOOKUP(A907,'[1]Global_Spot Prices'!$B:$B,'[1]Global_Spot Prices'!$E:$E)</f>
        <v>71.239999999999995</v>
      </c>
      <c r="D907">
        <f>_xlfn.XLOOKUP(A907,'[1]Global_Spot Prices'!$B:$B,'[1]Global_Spot Prices'!$D:$D)</f>
        <v>72.430000000000007</v>
      </c>
      <c r="E907">
        <f>_xlfn.XLOOKUP(A907,'[1]Global_Spot Prices'!$B:$B,'[1]Global_Spot Prices'!$H:$H)</f>
        <v>67.8</v>
      </c>
      <c r="F907">
        <f>_xlfn.XLOOKUP(A907,'[1]Global_Spot Prices'!$B:$B,'[1]Global_Spot Prices'!$I:$I)</f>
        <v>77.83</v>
      </c>
      <c r="G907" cm="1">
        <f t="array" ref="G907">_xlfn.XLOOKUP(TEXT(A907, "mmm-yy"), TEXT([2]RUNS!$B$5:$B$208, "mmm-yy"), [2]RUNS!$D$5:$D$208, "Not Found")</f>
        <v>29178.859379220394</v>
      </c>
      <c r="H907" cm="1">
        <f t="array" ref="H907">SUMPRODUCT(
    --(TEXT('[3]Global Weekly Stock (EWSuez'!$B$4:$B$2000,"mmm-yy")=TEXT(A907,"mmm-yy")),
    '[3]Global Weekly Stock (EWSuez'!$E$4:$E$2000)
/
SUMPRODUCT(
    --(TEXT('[3]Global Weekly Stock (EWSuez'!$B$4:$B$2000,"mmm-yy")=TEXT(A907,"mmm-yy"))
)</f>
        <v>12589.6</v>
      </c>
      <c r="I907">
        <f>_xlfn.XLOOKUP(A907,[1]ForwardDeriv!$D:$D,[1]ForwardDeriv!$AJ:$AJ)</f>
        <v>0.32000000000000739</v>
      </c>
      <c r="J907" cm="1">
        <f t="array" ref="J907">_xlfn.XLOOKUP(TEXT(A907, "mmm-yy"), TEXT([2]GASOLINE!$B$5:$B$208, "mmm-yy"), [2]GASOLINE!$IR$5:$IR$208, "Not Found")</f>
        <v>-16.369299294238488</v>
      </c>
      <c r="K907" cm="1">
        <f t="array" ref="K907">_xlfn.XLOOKUP(TEXT(A907, "mmm-yy"), TEXT([2]GASOLINE!$B$5:$B$208, "mmm-yy"), [2]GASOLINE!$IK$5:$IK$208, "Not Found")</f>
        <v>156.99278745815772</v>
      </c>
      <c r="L907">
        <f t="shared" si="14"/>
        <v>1</v>
      </c>
      <c r="M907" cm="1">
        <f t="array" ref="M907">_xlfn.XLOOKUP(TEXT(A907, "mmm-yy"), TEXT([2]GASOLINE!$B$5:$B$208, "mmm-yy"), [2]GASOLINE!$C$5:$C$208, "Not Found")</f>
        <v>7301.8731729605652</v>
      </c>
      <c r="N907" cm="1">
        <f t="array" ref="N907">_xlfn.XLOOKUP(TEXT(A907, "mmm-yy"), TEXT([2]RUNS!$B$5:$B$208, "mmm-yy"), [2]RUNS!$BM$5:$BM$208, "Not Found")</f>
        <v>0.83488631823689596</v>
      </c>
    </row>
    <row r="908" spans="1:14" x14ac:dyDescent="0.25">
      <c r="A908" s="1">
        <f>'[1]Global_Spot Prices'!$B2217</f>
        <v>43273</v>
      </c>
      <c r="B908">
        <f>_xlfn.XLOOKUP(A908,'[1]Global_Spot Prices'!$B:$B,'[1]Global_Spot Prices'!$BS:$BS)</f>
        <v>6.9099999999999966</v>
      </c>
      <c r="C908">
        <f>_xlfn.XLOOKUP(A908,'[1]Global_Spot Prices'!$B:$B,'[1]Global_Spot Prices'!$E:$E)</f>
        <v>71.75</v>
      </c>
      <c r="D908">
        <f>_xlfn.XLOOKUP(A908,'[1]Global_Spot Prices'!$B:$B,'[1]Global_Spot Prices'!$D:$D)</f>
        <v>73.239999999999995</v>
      </c>
      <c r="E908">
        <f>_xlfn.XLOOKUP(A908,'[1]Global_Spot Prices'!$B:$B,'[1]Global_Spot Prices'!$H:$H)</f>
        <v>68.28</v>
      </c>
      <c r="F908">
        <f>_xlfn.XLOOKUP(A908,'[1]Global_Spot Prices'!$B:$B,'[1]Global_Spot Prices'!$I:$I)</f>
        <v>78.66</v>
      </c>
      <c r="G908" cm="1">
        <f t="array" ref="G908">_xlfn.XLOOKUP(TEXT(A908, "mmm-yy"), TEXT([2]RUNS!$B$5:$B$208, "mmm-yy"), [2]RUNS!$D$5:$D$208, "Not Found")</f>
        <v>29178.859379220394</v>
      </c>
      <c r="H908" cm="1">
        <f t="array" ref="H908">SUMPRODUCT(
    --(TEXT('[3]Global Weekly Stock (EWSuez'!$B$4:$B$2000,"mmm-yy")=TEXT(A908,"mmm-yy")),
    '[3]Global Weekly Stock (EWSuez'!$E$4:$E$2000)
/
SUMPRODUCT(
    --(TEXT('[3]Global Weekly Stock (EWSuez'!$B$4:$B$2000,"mmm-yy")=TEXT(A908,"mmm-yy"))
)</f>
        <v>12589.6</v>
      </c>
      <c r="I908">
        <f>_xlfn.XLOOKUP(A908,[1]ForwardDeriv!$D:$D,[1]ForwardDeriv!$AJ:$AJ)</f>
        <v>0.35999999999999943</v>
      </c>
      <c r="J908" cm="1">
        <f t="array" ref="J908">_xlfn.XLOOKUP(TEXT(A908, "mmm-yy"), TEXT([2]GASOLINE!$B$5:$B$208, "mmm-yy"), [2]GASOLINE!$IR$5:$IR$208, "Not Found")</f>
        <v>-16.369299294238488</v>
      </c>
      <c r="K908" cm="1">
        <f t="array" ref="K908">_xlfn.XLOOKUP(TEXT(A908, "mmm-yy"), TEXT([2]GASOLINE!$B$5:$B$208, "mmm-yy"), [2]GASOLINE!$IK$5:$IK$208, "Not Found")</f>
        <v>156.99278745815772</v>
      </c>
      <c r="L908">
        <f t="shared" si="14"/>
        <v>1</v>
      </c>
      <c r="M908" cm="1">
        <f t="array" ref="M908">_xlfn.XLOOKUP(TEXT(A908, "mmm-yy"), TEXT([2]GASOLINE!$B$5:$B$208, "mmm-yy"), [2]GASOLINE!$C$5:$C$208, "Not Found")</f>
        <v>7301.8731729605652</v>
      </c>
      <c r="N908" cm="1">
        <f t="array" ref="N908">_xlfn.XLOOKUP(TEXT(A908, "mmm-yy"), TEXT([2]RUNS!$B$5:$B$208, "mmm-yy"), [2]RUNS!$BM$5:$BM$208, "Not Found")</f>
        <v>0.83488631823689596</v>
      </c>
    </row>
    <row r="909" spans="1:14" x14ac:dyDescent="0.25">
      <c r="A909" s="1">
        <f>'[1]Global_Spot Prices'!$B2218</f>
        <v>43276</v>
      </c>
      <c r="B909">
        <f>_xlfn.XLOOKUP(A909,'[1]Global_Spot Prices'!$B:$B,'[1]Global_Spot Prices'!$BS:$BS)</f>
        <v>6.9950000000000045</v>
      </c>
      <c r="C909">
        <f>_xlfn.XLOOKUP(A909,'[1]Global_Spot Prices'!$B:$B,'[1]Global_Spot Prices'!$E:$E)</f>
        <v>72.754999999999995</v>
      </c>
      <c r="D909">
        <f>_xlfn.XLOOKUP(A909,'[1]Global_Spot Prices'!$B:$B,'[1]Global_Spot Prices'!$D:$D)</f>
        <v>72.924999999999997</v>
      </c>
      <c r="E909">
        <f>_xlfn.XLOOKUP(A909,'[1]Global_Spot Prices'!$B:$B,'[1]Global_Spot Prices'!$H:$H)</f>
        <v>69.17</v>
      </c>
      <c r="F909">
        <f>_xlfn.XLOOKUP(A909,'[1]Global_Spot Prices'!$B:$B,'[1]Global_Spot Prices'!$I:$I)</f>
        <v>79.75</v>
      </c>
      <c r="G909" cm="1">
        <f t="array" ref="G909">_xlfn.XLOOKUP(TEXT(A909, "mmm-yy"), TEXT([2]RUNS!$B$5:$B$208, "mmm-yy"), [2]RUNS!$D$5:$D$208, "Not Found")</f>
        <v>29178.859379220394</v>
      </c>
      <c r="H909" cm="1">
        <f t="array" ref="H909">SUMPRODUCT(
    --(TEXT('[3]Global Weekly Stock (EWSuez'!$B$4:$B$2000,"mmm-yy")=TEXT(A909,"mmm-yy")),
    '[3]Global Weekly Stock (EWSuez'!$E$4:$E$2000)
/
SUMPRODUCT(
    --(TEXT('[3]Global Weekly Stock (EWSuez'!$B$4:$B$2000,"mmm-yy")=TEXT(A909,"mmm-yy"))
)</f>
        <v>12589.6</v>
      </c>
      <c r="I909">
        <f>_xlfn.XLOOKUP(A909,[1]ForwardDeriv!$D:$D,[1]ForwardDeriv!$AJ:$AJ)</f>
        <v>0.35999999999999943</v>
      </c>
      <c r="J909" cm="1">
        <f t="array" ref="J909">_xlfn.XLOOKUP(TEXT(A909, "mmm-yy"), TEXT([2]GASOLINE!$B$5:$B$208, "mmm-yy"), [2]GASOLINE!$IR$5:$IR$208, "Not Found")</f>
        <v>-16.369299294238488</v>
      </c>
      <c r="K909" cm="1">
        <f t="array" ref="K909">_xlfn.XLOOKUP(TEXT(A909, "mmm-yy"), TEXT([2]GASOLINE!$B$5:$B$208, "mmm-yy"), [2]GASOLINE!$IK$5:$IK$208, "Not Found")</f>
        <v>156.99278745815772</v>
      </c>
      <c r="L909">
        <f t="shared" si="14"/>
        <v>1</v>
      </c>
      <c r="M909" cm="1">
        <f t="array" ref="M909">_xlfn.XLOOKUP(TEXT(A909, "mmm-yy"), TEXT([2]GASOLINE!$B$5:$B$208, "mmm-yy"), [2]GASOLINE!$C$5:$C$208, "Not Found")</f>
        <v>7301.8731729605652</v>
      </c>
      <c r="N909" cm="1">
        <f t="array" ref="N909">_xlfn.XLOOKUP(TEXT(A909, "mmm-yy"), TEXT([2]RUNS!$B$5:$B$208, "mmm-yy"), [2]RUNS!$BM$5:$BM$208, "Not Found")</f>
        <v>0.83488631823689596</v>
      </c>
    </row>
    <row r="910" spans="1:14" x14ac:dyDescent="0.25">
      <c r="A910" s="1">
        <f>'[1]Global_Spot Prices'!$B2219</f>
        <v>43277</v>
      </c>
      <c r="B910">
        <f>_xlfn.XLOOKUP(A910,'[1]Global_Spot Prices'!$B:$B,'[1]Global_Spot Prices'!$BS:$BS)</f>
        <v>6.6099999999999994</v>
      </c>
      <c r="C910">
        <f>_xlfn.XLOOKUP(A910,'[1]Global_Spot Prices'!$B:$B,'[1]Global_Spot Prices'!$E:$E)</f>
        <v>73</v>
      </c>
      <c r="D910">
        <f>_xlfn.XLOOKUP(A910,'[1]Global_Spot Prices'!$B:$B,'[1]Global_Spot Prices'!$D:$D)</f>
        <v>73.680000000000007</v>
      </c>
      <c r="E910">
        <f>_xlfn.XLOOKUP(A910,'[1]Global_Spot Prices'!$B:$B,'[1]Global_Spot Prices'!$H:$H)</f>
        <v>69.3</v>
      </c>
      <c r="F910">
        <f>_xlfn.XLOOKUP(A910,'[1]Global_Spot Prices'!$B:$B,'[1]Global_Spot Prices'!$I:$I)</f>
        <v>79.61</v>
      </c>
      <c r="G910" cm="1">
        <f t="array" ref="G910">_xlfn.XLOOKUP(TEXT(A910, "mmm-yy"), TEXT([2]RUNS!$B$5:$B$208, "mmm-yy"), [2]RUNS!$D$5:$D$208, "Not Found")</f>
        <v>29178.859379220394</v>
      </c>
      <c r="H910" cm="1">
        <f t="array" ref="H910">SUMPRODUCT(
    --(TEXT('[3]Global Weekly Stock (EWSuez'!$B$4:$B$2000,"mmm-yy")=TEXT(A910,"mmm-yy")),
    '[3]Global Weekly Stock (EWSuez'!$E$4:$E$2000)
/
SUMPRODUCT(
    --(TEXT('[3]Global Weekly Stock (EWSuez'!$B$4:$B$2000,"mmm-yy")=TEXT(A910,"mmm-yy"))
)</f>
        <v>12589.6</v>
      </c>
      <c r="I910">
        <f>_xlfn.XLOOKUP(A910,[1]ForwardDeriv!$D:$D,[1]ForwardDeriv!$AJ:$AJ)</f>
        <v>0.28999999999999204</v>
      </c>
      <c r="J910" cm="1">
        <f t="array" ref="J910">_xlfn.XLOOKUP(TEXT(A910, "mmm-yy"), TEXT([2]GASOLINE!$B$5:$B$208, "mmm-yy"), [2]GASOLINE!$IR$5:$IR$208, "Not Found")</f>
        <v>-16.369299294238488</v>
      </c>
      <c r="K910" cm="1">
        <f t="array" ref="K910">_xlfn.XLOOKUP(TEXT(A910, "mmm-yy"), TEXT([2]GASOLINE!$B$5:$B$208, "mmm-yy"), [2]GASOLINE!$IK$5:$IK$208, "Not Found")</f>
        <v>156.99278745815772</v>
      </c>
      <c r="L910">
        <f t="shared" si="14"/>
        <v>1</v>
      </c>
      <c r="M910" cm="1">
        <f t="array" ref="M910">_xlfn.XLOOKUP(TEXT(A910, "mmm-yy"), TEXT([2]GASOLINE!$B$5:$B$208, "mmm-yy"), [2]GASOLINE!$C$5:$C$208, "Not Found")</f>
        <v>7301.8731729605652</v>
      </c>
      <c r="N910" cm="1">
        <f t="array" ref="N910">_xlfn.XLOOKUP(TEXT(A910, "mmm-yy"), TEXT([2]RUNS!$B$5:$B$208, "mmm-yy"), [2]RUNS!$BM$5:$BM$208, "Not Found")</f>
        <v>0.83488631823689596</v>
      </c>
    </row>
    <row r="911" spans="1:14" x14ac:dyDescent="0.25">
      <c r="A911" s="1">
        <f>'[1]Global_Spot Prices'!$B2220</f>
        <v>43278</v>
      </c>
      <c r="B911">
        <f>_xlfn.XLOOKUP(A911,'[1]Global_Spot Prices'!$B:$B,'[1]Global_Spot Prices'!$BS:$BS)</f>
        <v>5.9300000000000068</v>
      </c>
      <c r="C911">
        <f>_xlfn.XLOOKUP(A911,'[1]Global_Spot Prices'!$B:$B,'[1]Global_Spot Prices'!$E:$E)</f>
        <v>74.36</v>
      </c>
      <c r="D911">
        <f>_xlfn.XLOOKUP(A911,'[1]Global_Spot Prices'!$B:$B,'[1]Global_Spot Prices'!$D:$D)</f>
        <v>76.265000000000001</v>
      </c>
      <c r="E911">
        <f>_xlfn.XLOOKUP(A911,'[1]Global_Spot Prices'!$B:$B,'[1]Global_Spot Prices'!$H:$H)</f>
        <v>70.3</v>
      </c>
      <c r="F911">
        <f>_xlfn.XLOOKUP(A911,'[1]Global_Spot Prices'!$B:$B,'[1]Global_Spot Prices'!$I:$I)</f>
        <v>80.290000000000006</v>
      </c>
      <c r="G911" cm="1">
        <f t="array" ref="G911">_xlfn.XLOOKUP(TEXT(A911, "mmm-yy"), TEXT([2]RUNS!$B$5:$B$208, "mmm-yy"), [2]RUNS!$D$5:$D$208, "Not Found")</f>
        <v>29178.859379220394</v>
      </c>
      <c r="H911" cm="1">
        <f t="array" ref="H911">SUMPRODUCT(
    --(TEXT('[3]Global Weekly Stock (EWSuez'!$B$4:$B$2000,"mmm-yy")=TEXT(A911,"mmm-yy")),
    '[3]Global Weekly Stock (EWSuez'!$E$4:$E$2000)
/
SUMPRODUCT(
    --(TEXT('[3]Global Weekly Stock (EWSuez'!$B$4:$B$2000,"mmm-yy")=TEXT(A911,"mmm-yy"))
)</f>
        <v>12589.6</v>
      </c>
      <c r="I911">
        <f>_xlfn.XLOOKUP(A911,[1]ForwardDeriv!$D:$D,[1]ForwardDeriv!$AJ:$AJ)</f>
        <v>0.20000000000000284</v>
      </c>
      <c r="J911" cm="1">
        <f t="array" ref="J911">_xlfn.XLOOKUP(TEXT(A911, "mmm-yy"), TEXT([2]GASOLINE!$B$5:$B$208, "mmm-yy"), [2]GASOLINE!$IR$5:$IR$208, "Not Found")</f>
        <v>-16.369299294238488</v>
      </c>
      <c r="K911" cm="1">
        <f t="array" ref="K911">_xlfn.XLOOKUP(TEXT(A911, "mmm-yy"), TEXT([2]GASOLINE!$B$5:$B$208, "mmm-yy"), [2]GASOLINE!$IK$5:$IK$208, "Not Found")</f>
        <v>156.99278745815772</v>
      </c>
      <c r="L911">
        <f t="shared" si="14"/>
        <v>1</v>
      </c>
      <c r="M911" cm="1">
        <f t="array" ref="M911">_xlfn.XLOOKUP(TEXT(A911, "mmm-yy"), TEXT([2]GASOLINE!$B$5:$B$208, "mmm-yy"), [2]GASOLINE!$C$5:$C$208, "Not Found")</f>
        <v>7301.8731729605652</v>
      </c>
      <c r="N911" cm="1">
        <f t="array" ref="N911">_xlfn.XLOOKUP(TEXT(A911, "mmm-yy"), TEXT([2]RUNS!$B$5:$B$208, "mmm-yy"), [2]RUNS!$BM$5:$BM$208, "Not Found")</f>
        <v>0.83488631823689596</v>
      </c>
    </row>
    <row r="912" spans="1:14" x14ac:dyDescent="0.25">
      <c r="A912" s="1">
        <f>'[1]Global_Spot Prices'!$B2221</f>
        <v>43279</v>
      </c>
      <c r="B912">
        <f>_xlfn.XLOOKUP(A912,'[1]Global_Spot Prices'!$B:$B,'[1]Global_Spot Prices'!$BS:$BS)</f>
        <v>6.4699999999999989</v>
      </c>
      <c r="C912">
        <f>_xlfn.XLOOKUP(A912,'[1]Global_Spot Prices'!$B:$B,'[1]Global_Spot Prices'!$E:$E)</f>
        <v>75.150000000000006</v>
      </c>
      <c r="D912">
        <f>_xlfn.XLOOKUP(A912,'[1]Global_Spot Prices'!$B:$B,'[1]Global_Spot Prices'!$D:$D)</f>
        <v>75.739999999999995</v>
      </c>
      <c r="E912">
        <f>_xlfn.XLOOKUP(A912,'[1]Global_Spot Prices'!$B:$B,'[1]Global_Spot Prices'!$H:$H)</f>
        <v>71.5</v>
      </c>
      <c r="F912">
        <f>_xlfn.XLOOKUP(A912,'[1]Global_Spot Prices'!$B:$B,'[1]Global_Spot Prices'!$I:$I)</f>
        <v>81.62</v>
      </c>
      <c r="G912" cm="1">
        <f t="array" ref="G912">_xlfn.XLOOKUP(TEXT(A912, "mmm-yy"), TEXT([2]RUNS!$B$5:$B$208, "mmm-yy"), [2]RUNS!$D$5:$D$208, "Not Found")</f>
        <v>29178.859379220394</v>
      </c>
      <c r="H912" cm="1">
        <f t="array" ref="H912">SUMPRODUCT(
    --(TEXT('[3]Global Weekly Stock (EWSuez'!$B$4:$B$2000,"mmm-yy")=TEXT(A912,"mmm-yy")),
    '[3]Global Weekly Stock (EWSuez'!$E$4:$E$2000)
/
SUMPRODUCT(
    --(TEXT('[3]Global Weekly Stock (EWSuez'!$B$4:$B$2000,"mmm-yy")=TEXT(A912,"mmm-yy"))
)</f>
        <v>12589.6</v>
      </c>
      <c r="I912">
        <f>_xlfn.XLOOKUP(A912,[1]ForwardDeriv!$D:$D,[1]ForwardDeriv!$AJ:$AJ)</f>
        <v>0.18999999999999773</v>
      </c>
      <c r="J912" cm="1">
        <f t="array" ref="J912">_xlfn.XLOOKUP(TEXT(A912, "mmm-yy"), TEXT([2]GASOLINE!$B$5:$B$208, "mmm-yy"), [2]GASOLINE!$IR$5:$IR$208, "Not Found")</f>
        <v>-16.369299294238488</v>
      </c>
      <c r="K912" cm="1">
        <f t="array" ref="K912">_xlfn.XLOOKUP(TEXT(A912, "mmm-yy"), TEXT([2]GASOLINE!$B$5:$B$208, "mmm-yy"), [2]GASOLINE!$IK$5:$IK$208, "Not Found")</f>
        <v>156.99278745815772</v>
      </c>
      <c r="L912">
        <f t="shared" si="14"/>
        <v>1</v>
      </c>
      <c r="M912" cm="1">
        <f t="array" ref="M912">_xlfn.XLOOKUP(TEXT(A912, "mmm-yy"), TEXT([2]GASOLINE!$B$5:$B$208, "mmm-yy"), [2]GASOLINE!$C$5:$C$208, "Not Found")</f>
        <v>7301.8731729605652</v>
      </c>
      <c r="N912" cm="1">
        <f t="array" ref="N912">_xlfn.XLOOKUP(TEXT(A912, "mmm-yy"), TEXT([2]RUNS!$B$5:$B$208, "mmm-yy"), [2]RUNS!$BM$5:$BM$208, "Not Found")</f>
        <v>0.83488631823689596</v>
      </c>
    </row>
    <row r="913" spans="1:14" x14ac:dyDescent="0.25">
      <c r="A913" s="1">
        <f>'[1]Global_Spot Prices'!$B2222</f>
        <v>43280</v>
      </c>
      <c r="B913">
        <f>_xlfn.XLOOKUP(A913,'[1]Global_Spot Prices'!$B:$B,'[1]Global_Spot Prices'!$BS:$BS)</f>
        <v>6.1500000000000057</v>
      </c>
      <c r="C913">
        <f>_xlfn.XLOOKUP(A913,'[1]Global_Spot Prices'!$B:$B,'[1]Global_Spot Prices'!$E:$E)</f>
        <v>75.849999999999994</v>
      </c>
      <c r="D913">
        <f>_xlfn.XLOOKUP(A913,'[1]Global_Spot Prices'!$B:$B,'[1]Global_Spot Prices'!$D:$D)</f>
        <v>77.900000000000006</v>
      </c>
      <c r="E913">
        <f>_xlfn.XLOOKUP(A913,'[1]Global_Spot Prices'!$B:$B,'[1]Global_Spot Prices'!$H:$H)</f>
        <v>72.27</v>
      </c>
      <c r="F913">
        <f>_xlfn.XLOOKUP(A913,'[1]Global_Spot Prices'!$B:$B,'[1]Global_Spot Prices'!$I:$I)</f>
        <v>82</v>
      </c>
      <c r="G913" cm="1">
        <f t="array" ref="G913">_xlfn.XLOOKUP(TEXT(A913, "mmm-yy"), TEXT([2]RUNS!$B$5:$B$208, "mmm-yy"), [2]RUNS!$D$5:$D$208, "Not Found")</f>
        <v>29178.859379220394</v>
      </c>
      <c r="H913" cm="1">
        <f t="array" ref="H913">SUMPRODUCT(
    --(TEXT('[3]Global Weekly Stock (EWSuez'!$B$4:$B$2000,"mmm-yy")=TEXT(A913,"mmm-yy")),
    '[3]Global Weekly Stock (EWSuez'!$E$4:$E$2000)
/
SUMPRODUCT(
    --(TEXT('[3]Global Weekly Stock (EWSuez'!$B$4:$B$2000,"mmm-yy")=TEXT(A913,"mmm-yy"))
)</f>
        <v>12589.6</v>
      </c>
      <c r="I913">
        <f>_xlfn.XLOOKUP(A913,[1]ForwardDeriv!$D:$D,[1]ForwardDeriv!$AJ:$AJ)</f>
        <v>7.000000000000739E-2</v>
      </c>
      <c r="J913" cm="1">
        <f t="array" ref="J913">_xlfn.XLOOKUP(TEXT(A913, "mmm-yy"), TEXT([2]GASOLINE!$B$5:$B$208, "mmm-yy"), [2]GASOLINE!$IR$5:$IR$208, "Not Found")</f>
        <v>-16.369299294238488</v>
      </c>
      <c r="K913" cm="1">
        <f t="array" ref="K913">_xlfn.XLOOKUP(TEXT(A913, "mmm-yy"), TEXT([2]GASOLINE!$B$5:$B$208, "mmm-yy"), [2]GASOLINE!$IK$5:$IK$208, "Not Found")</f>
        <v>156.99278745815772</v>
      </c>
      <c r="L913">
        <f t="shared" si="14"/>
        <v>1</v>
      </c>
      <c r="M913" cm="1">
        <f t="array" ref="M913">_xlfn.XLOOKUP(TEXT(A913, "mmm-yy"), TEXT([2]GASOLINE!$B$5:$B$208, "mmm-yy"), [2]GASOLINE!$C$5:$C$208, "Not Found")</f>
        <v>7301.8731729605652</v>
      </c>
      <c r="N913" cm="1">
        <f t="array" ref="N913">_xlfn.XLOOKUP(TEXT(A913, "mmm-yy"), TEXT([2]RUNS!$B$5:$B$208, "mmm-yy"), [2]RUNS!$BM$5:$BM$208, "Not Found")</f>
        <v>0.83488631823689596</v>
      </c>
    </row>
    <row r="914" spans="1:14" x14ac:dyDescent="0.25">
      <c r="A914" s="1">
        <f>'[1]Global_Spot Prices'!$B2223</f>
        <v>43283</v>
      </c>
      <c r="B914">
        <f>_xlfn.XLOOKUP(A914,'[1]Global_Spot Prices'!$B:$B,'[1]Global_Spot Prices'!$BS:$BS)</f>
        <v>7.0100000000000051</v>
      </c>
      <c r="C914">
        <f>_xlfn.XLOOKUP(A914,'[1]Global_Spot Prices'!$B:$B,'[1]Global_Spot Prices'!$E:$E)</f>
        <v>75.599999999999994</v>
      </c>
      <c r="D914">
        <f>_xlfn.XLOOKUP(A914,'[1]Global_Spot Prices'!$B:$B,'[1]Global_Spot Prices'!$D:$D)</f>
        <v>76.644999999999996</v>
      </c>
      <c r="E914">
        <f>_xlfn.XLOOKUP(A914,'[1]Global_Spot Prices'!$B:$B,'[1]Global_Spot Prices'!$H:$H)</f>
        <v>72.62</v>
      </c>
      <c r="F914">
        <f>_xlfn.XLOOKUP(A914,'[1]Global_Spot Prices'!$B:$B,'[1]Global_Spot Prices'!$I:$I)</f>
        <v>82.61</v>
      </c>
      <c r="G914" cm="1">
        <f t="array" ref="G914">_xlfn.XLOOKUP(TEXT(A914, "mmm-yy"), TEXT([2]RUNS!$B$5:$B$208, "mmm-yy"), [2]RUNS!$D$5:$D$208, "Not Found")</f>
        <v>29766.033889541421</v>
      </c>
      <c r="H914" cm="1">
        <f t="array" ref="H914">SUMPRODUCT(
    --(TEXT('[3]Global Weekly Stock (EWSuez'!$B$4:$B$2000,"mmm-yy")=TEXT(A914,"mmm-yy")),
    '[3]Global Weekly Stock (EWSuez'!$E$4:$E$2000)
/
SUMPRODUCT(
    --(TEXT('[3]Global Weekly Stock (EWSuez'!$B$4:$B$2000,"mmm-yy")=TEXT(A914,"mmm-yy"))
)</f>
        <v>14364.5</v>
      </c>
      <c r="I914">
        <f>_xlfn.XLOOKUP(A914,[1]ForwardDeriv!$D:$D,[1]ForwardDeriv!$AJ:$AJ)</f>
        <v>0.23999999999999488</v>
      </c>
      <c r="J914" cm="1">
        <f t="array" ref="J914">_xlfn.XLOOKUP(TEXT(A914, "mmm-yy"), TEXT([2]GASOLINE!$B$5:$B$208, "mmm-yy"), [2]GASOLINE!$IR$5:$IR$208, "Not Found")</f>
        <v>10.728045422435144</v>
      </c>
      <c r="K914" cm="1">
        <f t="array" ref="K914">_xlfn.XLOOKUP(TEXT(A914, "mmm-yy"), TEXT([2]GASOLINE!$B$5:$B$208, "mmm-yy"), [2]GASOLINE!$IK$5:$IK$208, "Not Found")</f>
        <v>157.80612735145434</v>
      </c>
      <c r="L914">
        <f t="shared" si="14"/>
        <v>1</v>
      </c>
      <c r="M914" cm="1">
        <f t="array" ref="M914">_xlfn.XLOOKUP(TEXT(A914, "mmm-yy"), TEXT([2]GASOLINE!$B$5:$B$208, "mmm-yy"), [2]GASOLINE!$C$5:$C$208, "Not Found")</f>
        <v>7422.8135081831406</v>
      </c>
      <c r="N914" cm="1">
        <f t="array" ref="N914">_xlfn.XLOOKUP(TEXT(A914, "mmm-yy"), TEXT([2]RUNS!$B$5:$B$208, "mmm-yy"), [2]RUNS!$BM$5:$BM$208, "Not Found")</f>
        <v>0.85168697376332769</v>
      </c>
    </row>
    <row r="915" spans="1:14" x14ac:dyDescent="0.25">
      <c r="A915" s="1">
        <f>'[1]Global_Spot Prices'!$B2224</f>
        <v>43284</v>
      </c>
      <c r="B915">
        <f>_xlfn.XLOOKUP(A915,'[1]Global_Spot Prices'!$B:$B,'[1]Global_Spot Prices'!$BS:$BS)</f>
        <v>6.1400000000000006</v>
      </c>
      <c r="C915">
        <f>_xlfn.XLOOKUP(A915,'[1]Global_Spot Prices'!$B:$B,'[1]Global_Spot Prices'!$E:$E)</f>
        <v>74.89</v>
      </c>
      <c r="D915">
        <f>_xlfn.XLOOKUP(A915,'[1]Global_Spot Prices'!$B:$B,'[1]Global_Spot Prices'!$D:$D)</f>
        <v>75.905000000000001</v>
      </c>
      <c r="E915">
        <f>_xlfn.XLOOKUP(A915,'[1]Global_Spot Prices'!$B:$B,'[1]Global_Spot Prices'!$H:$H)</f>
        <v>72.290000000000006</v>
      </c>
      <c r="F915">
        <f>_xlfn.XLOOKUP(A915,'[1]Global_Spot Prices'!$B:$B,'[1]Global_Spot Prices'!$I:$I)</f>
        <v>81.03</v>
      </c>
      <c r="G915" cm="1">
        <f t="array" ref="G915">_xlfn.XLOOKUP(TEXT(A915, "mmm-yy"), TEXT([2]RUNS!$B$5:$B$208, "mmm-yy"), [2]RUNS!$D$5:$D$208, "Not Found")</f>
        <v>29766.033889541421</v>
      </c>
      <c r="H915" cm="1">
        <f t="array" ref="H915">SUMPRODUCT(
    --(TEXT('[3]Global Weekly Stock (EWSuez'!$B$4:$B$2000,"mmm-yy")=TEXT(A915,"mmm-yy")),
    '[3]Global Weekly Stock (EWSuez'!$E$4:$E$2000)
/
SUMPRODUCT(
    --(TEXT('[3]Global Weekly Stock (EWSuez'!$B$4:$B$2000,"mmm-yy")=TEXT(A915,"mmm-yy"))
)</f>
        <v>14364.5</v>
      </c>
      <c r="I915">
        <f>_xlfn.XLOOKUP(A915,[1]ForwardDeriv!$D:$D,[1]ForwardDeriv!$AJ:$AJ)</f>
        <v>0.11999999999999034</v>
      </c>
      <c r="J915" cm="1">
        <f t="array" ref="J915">_xlfn.XLOOKUP(TEXT(A915, "mmm-yy"), TEXT([2]GASOLINE!$B$5:$B$208, "mmm-yy"), [2]GASOLINE!$IR$5:$IR$208, "Not Found")</f>
        <v>10.728045422435144</v>
      </c>
      <c r="K915" cm="1">
        <f t="array" ref="K915">_xlfn.XLOOKUP(TEXT(A915, "mmm-yy"), TEXT([2]GASOLINE!$B$5:$B$208, "mmm-yy"), [2]GASOLINE!$IK$5:$IK$208, "Not Found")</f>
        <v>157.80612735145434</v>
      </c>
      <c r="L915">
        <f t="shared" si="14"/>
        <v>1</v>
      </c>
      <c r="M915" cm="1">
        <f t="array" ref="M915">_xlfn.XLOOKUP(TEXT(A915, "mmm-yy"), TEXT([2]GASOLINE!$B$5:$B$208, "mmm-yy"), [2]GASOLINE!$C$5:$C$208, "Not Found")</f>
        <v>7422.8135081831406</v>
      </c>
      <c r="N915" cm="1">
        <f t="array" ref="N915">_xlfn.XLOOKUP(TEXT(A915, "mmm-yy"), TEXT([2]RUNS!$B$5:$B$208, "mmm-yy"), [2]RUNS!$BM$5:$BM$208, "Not Found")</f>
        <v>0.85168697376332769</v>
      </c>
    </row>
    <row r="916" spans="1:14" x14ac:dyDescent="0.25">
      <c r="A916" s="1">
        <f>'[1]Global_Spot Prices'!$B2225</f>
        <v>43285</v>
      </c>
      <c r="B916">
        <f>_xlfn.XLOOKUP(A916,'[1]Global_Spot Prices'!$B:$B,'[1]Global_Spot Prices'!$BS:$BS)</f>
        <v>6.5300000000000011</v>
      </c>
      <c r="C916">
        <f>_xlfn.XLOOKUP(A916,'[1]Global_Spot Prices'!$B:$B,'[1]Global_Spot Prices'!$E:$E)</f>
        <v>75.05</v>
      </c>
      <c r="D916">
        <f>_xlfn.XLOOKUP(A916,'[1]Global_Spot Prices'!$B:$B,'[1]Global_Spot Prices'!$D:$D)</f>
        <v>77.064999999999998</v>
      </c>
      <c r="E916">
        <f>_xlfn.XLOOKUP(A916,'[1]Global_Spot Prices'!$B:$B,'[1]Global_Spot Prices'!$H:$H)</f>
        <v>73.11</v>
      </c>
      <c r="F916">
        <f>_xlfn.XLOOKUP(A916,'[1]Global_Spot Prices'!$B:$B,'[1]Global_Spot Prices'!$I:$I)</f>
        <v>81.58</v>
      </c>
      <c r="G916" cm="1">
        <f t="array" ref="G916">_xlfn.XLOOKUP(TEXT(A916, "mmm-yy"), TEXT([2]RUNS!$B$5:$B$208, "mmm-yy"), [2]RUNS!$D$5:$D$208, "Not Found")</f>
        <v>29766.033889541421</v>
      </c>
      <c r="H916" cm="1">
        <f t="array" ref="H916">SUMPRODUCT(
    --(TEXT('[3]Global Weekly Stock (EWSuez'!$B$4:$B$2000,"mmm-yy")=TEXT(A916,"mmm-yy")),
    '[3]Global Weekly Stock (EWSuez'!$E$4:$E$2000)
/
SUMPRODUCT(
    --(TEXT('[3]Global Weekly Stock (EWSuez'!$B$4:$B$2000,"mmm-yy")=TEXT(A916,"mmm-yy"))
)</f>
        <v>14364.5</v>
      </c>
      <c r="I916">
        <f>_xlfn.XLOOKUP(A916,[1]ForwardDeriv!$D:$D,[1]ForwardDeriv!$AJ:$AJ)</f>
        <v>7.9999999999998295E-2</v>
      </c>
      <c r="J916" cm="1">
        <f t="array" ref="J916">_xlfn.XLOOKUP(TEXT(A916, "mmm-yy"), TEXT([2]GASOLINE!$B$5:$B$208, "mmm-yy"), [2]GASOLINE!$IR$5:$IR$208, "Not Found")</f>
        <v>10.728045422435144</v>
      </c>
      <c r="K916" cm="1">
        <f t="array" ref="K916">_xlfn.XLOOKUP(TEXT(A916, "mmm-yy"), TEXT([2]GASOLINE!$B$5:$B$208, "mmm-yy"), [2]GASOLINE!$IK$5:$IK$208, "Not Found")</f>
        <v>157.80612735145434</v>
      </c>
      <c r="L916">
        <f t="shared" si="14"/>
        <v>1</v>
      </c>
      <c r="M916" cm="1">
        <f t="array" ref="M916">_xlfn.XLOOKUP(TEXT(A916, "mmm-yy"), TEXT([2]GASOLINE!$B$5:$B$208, "mmm-yy"), [2]GASOLINE!$C$5:$C$208, "Not Found")</f>
        <v>7422.8135081831406</v>
      </c>
      <c r="N916" cm="1">
        <f t="array" ref="N916">_xlfn.XLOOKUP(TEXT(A916, "mmm-yy"), TEXT([2]RUNS!$B$5:$B$208, "mmm-yy"), [2]RUNS!$BM$5:$BM$208, "Not Found")</f>
        <v>0.85168697376332769</v>
      </c>
    </row>
    <row r="917" spans="1:14" x14ac:dyDescent="0.25">
      <c r="A917" s="1">
        <f>'[1]Global_Spot Prices'!$B2226</f>
        <v>43286</v>
      </c>
      <c r="B917">
        <f>_xlfn.XLOOKUP(A917,'[1]Global_Spot Prices'!$B:$B,'[1]Global_Spot Prices'!$BS:$BS)</f>
        <v>6.6500000000000057</v>
      </c>
      <c r="C917">
        <f>_xlfn.XLOOKUP(A917,'[1]Global_Spot Prices'!$B:$B,'[1]Global_Spot Prices'!$E:$E)</f>
        <v>74.849999999999994</v>
      </c>
      <c r="D917">
        <f>_xlfn.XLOOKUP(A917,'[1]Global_Spot Prices'!$B:$B,'[1]Global_Spot Prices'!$D:$D)</f>
        <v>77.010000000000005</v>
      </c>
      <c r="E917">
        <f>_xlfn.XLOOKUP(A917,'[1]Global_Spot Prices'!$B:$B,'[1]Global_Spot Prices'!$H:$H)</f>
        <v>73.069999999999993</v>
      </c>
      <c r="F917">
        <f>_xlfn.XLOOKUP(A917,'[1]Global_Spot Prices'!$B:$B,'[1]Global_Spot Prices'!$I:$I)</f>
        <v>81.5</v>
      </c>
      <c r="G917" cm="1">
        <f t="array" ref="G917">_xlfn.XLOOKUP(TEXT(A917, "mmm-yy"), TEXT([2]RUNS!$B$5:$B$208, "mmm-yy"), [2]RUNS!$D$5:$D$208, "Not Found")</f>
        <v>29766.033889541421</v>
      </c>
      <c r="H917" cm="1">
        <f t="array" ref="H917">SUMPRODUCT(
    --(TEXT('[3]Global Weekly Stock (EWSuez'!$B$4:$B$2000,"mmm-yy")=TEXT(A917,"mmm-yy")),
    '[3]Global Weekly Stock (EWSuez'!$E$4:$E$2000)
/
SUMPRODUCT(
    --(TEXT('[3]Global Weekly Stock (EWSuez'!$B$4:$B$2000,"mmm-yy")=TEXT(A917,"mmm-yy"))
)</f>
        <v>14364.5</v>
      </c>
      <c r="I917">
        <f>_xlfn.XLOOKUP(A917,[1]ForwardDeriv!$D:$D,[1]ForwardDeriv!$AJ:$AJ)</f>
        <v>0.17000000000000171</v>
      </c>
      <c r="J917" cm="1">
        <f t="array" ref="J917">_xlfn.XLOOKUP(TEXT(A917, "mmm-yy"), TEXT([2]GASOLINE!$B$5:$B$208, "mmm-yy"), [2]GASOLINE!$IR$5:$IR$208, "Not Found")</f>
        <v>10.728045422435144</v>
      </c>
      <c r="K917" cm="1">
        <f t="array" ref="K917">_xlfn.XLOOKUP(TEXT(A917, "mmm-yy"), TEXT([2]GASOLINE!$B$5:$B$208, "mmm-yy"), [2]GASOLINE!$IK$5:$IK$208, "Not Found")</f>
        <v>157.80612735145434</v>
      </c>
      <c r="L917">
        <f t="shared" si="14"/>
        <v>1</v>
      </c>
      <c r="M917" cm="1">
        <f t="array" ref="M917">_xlfn.XLOOKUP(TEXT(A917, "mmm-yy"), TEXT([2]GASOLINE!$B$5:$B$208, "mmm-yy"), [2]GASOLINE!$C$5:$C$208, "Not Found")</f>
        <v>7422.8135081831406</v>
      </c>
      <c r="N917" cm="1">
        <f t="array" ref="N917">_xlfn.XLOOKUP(TEXT(A917, "mmm-yy"), TEXT([2]RUNS!$B$5:$B$208, "mmm-yy"), [2]RUNS!$BM$5:$BM$208, "Not Found")</f>
        <v>0.85168697376332769</v>
      </c>
    </row>
    <row r="918" spans="1:14" x14ac:dyDescent="0.25">
      <c r="A918" s="1">
        <f>'[1]Global_Spot Prices'!$B2227</f>
        <v>43287</v>
      </c>
      <c r="B918">
        <f>_xlfn.XLOOKUP(A918,'[1]Global_Spot Prices'!$B:$B,'[1]Global_Spot Prices'!$BS:$BS)</f>
        <v>7.4500000000000028</v>
      </c>
      <c r="C918">
        <f>_xlfn.XLOOKUP(A918,'[1]Global_Spot Prices'!$B:$B,'[1]Global_Spot Prices'!$E:$E)</f>
        <v>74.19</v>
      </c>
      <c r="D918">
        <f>_xlfn.XLOOKUP(A918,'[1]Global_Spot Prices'!$B:$B,'[1]Global_Spot Prices'!$D:$D)</f>
        <v>75.69</v>
      </c>
      <c r="E918">
        <f>_xlfn.XLOOKUP(A918,'[1]Global_Spot Prices'!$B:$B,'[1]Global_Spot Prices'!$H:$H)</f>
        <v>72.540000000000006</v>
      </c>
      <c r="F918">
        <f>_xlfn.XLOOKUP(A918,'[1]Global_Spot Prices'!$B:$B,'[1]Global_Spot Prices'!$I:$I)</f>
        <v>81.64</v>
      </c>
      <c r="G918" cm="1">
        <f t="array" ref="G918">_xlfn.XLOOKUP(TEXT(A918, "mmm-yy"), TEXT([2]RUNS!$B$5:$B$208, "mmm-yy"), [2]RUNS!$D$5:$D$208, "Not Found")</f>
        <v>29766.033889541421</v>
      </c>
      <c r="H918" cm="1">
        <f t="array" ref="H918">SUMPRODUCT(
    --(TEXT('[3]Global Weekly Stock (EWSuez'!$B$4:$B$2000,"mmm-yy")=TEXT(A918,"mmm-yy")),
    '[3]Global Weekly Stock (EWSuez'!$E$4:$E$2000)
/
SUMPRODUCT(
    --(TEXT('[3]Global Weekly Stock (EWSuez'!$B$4:$B$2000,"mmm-yy")=TEXT(A918,"mmm-yy"))
)</f>
        <v>14364.5</v>
      </c>
      <c r="I918">
        <f>_xlfn.XLOOKUP(A918,[1]ForwardDeriv!$D:$D,[1]ForwardDeriv!$AJ:$AJ)</f>
        <v>0.17999999999999261</v>
      </c>
      <c r="J918" cm="1">
        <f t="array" ref="J918">_xlfn.XLOOKUP(TEXT(A918, "mmm-yy"), TEXT([2]GASOLINE!$B$5:$B$208, "mmm-yy"), [2]GASOLINE!$IR$5:$IR$208, "Not Found")</f>
        <v>10.728045422435144</v>
      </c>
      <c r="K918" cm="1">
        <f t="array" ref="K918">_xlfn.XLOOKUP(TEXT(A918, "mmm-yy"), TEXT([2]GASOLINE!$B$5:$B$208, "mmm-yy"), [2]GASOLINE!$IK$5:$IK$208, "Not Found")</f>
        <v>157.80612735145434</v>
      </c>
      <c r="L918">
        <f t="shared" si="14"/>
        <v>1</v>
      </c>
      <c r="M918" cm="1">
        <f t="array" ref="M918">_xlfn.XLOOKUP(TEXT(A918, "mmm-yy"), TEXT([2]GASOLINE!$B$5:$B$208, "mmm-yy"), [2]GASOLINE!$C$5:$C$208, "Not Found")</f>
        <v>7422.8135081831406</v>
      </c>
      <c r="N918" cm="1">
        <f t="array" ref="N918">_xlfn.XLOOKUP(TEXT(A918, "mmm-yy"), TEXT([2]RUNS!$B$5:$B$208, "mmm-yy"), [2]RUNS!$BM$5:$BM$208, "Not Found")</f>
        <v>0.85168697376332769</v>
      </c>
    </row>
    <row r="919" spans="1:14" x14ac:dyDescent="0.25">
      <c r="A919" s="1">
        <f>'[1]Global_Spot Prices'!$B2228</f>
        <v>43290</v>
      </c>
      <c r="B919">
        <f>_xlfn.XLOOKUP(A919,'[1]Global_Spot Prices'!$B:$B,'[1]Global_Spot Prices'!$BS:$BS)</f>
        <v>7.3799999999999955</v>
      </c>
      <c r="C919">
        <f>_xlfn.XLOOKUP(A919,'[1]Global_Spot Prices'!$B:$B,'[1]Global_Spot Prices'!$E:$E)</f>
        <v>74.75</v>
      </c>
      <c r="D919">
        <f>_xlfn.XLOOKUP(A919,'[1]Global_Spot Prices'!$B:$B,'[1]Global_Spot Prices'!$D:$D)</f>
        <v>76.825000000000003</v>
      </c>
      <c r="E919">
        <f>_xlfn.XLOOKUP(A919,'[1]Global_Spot Prices'!$B:$B,'[1]Global_Spot Prices'!$H:$H)</f>
        <v>73.17</v>
      </c>
      <c r="F919">
        <f>_xlfn.XLOOKUP(A919,'[1]Global_Spot Prices'!$B:$B,'[1]Global_Spot Prices'!$I:$I)</f>
        <v>82.13</v>
      </c>
      <c r="G919" cm="1">
        <f t="array" ref="G919">_xlfn.XLOOKUP(TEXT(A919, "mmm-yy"), TEXT([2]RUNS!$B$5:$B$208, "mmm-yy"), [2]RUNS!$D$5:$D$208, "Not Found")</f>
        <v>29766.033889541421</v>
      </c>
      <c r="H919" cm="1">
        <f t="array" ref="H919">SUMPRODUCT(
    --(TEXT('[3]Global Weekly Stock (EWSuez'!$B$4:$B$2000,"mmm-yy")=TEXT(A919,"mmm-yy")),
    '[3]Global Weekly Stock (EWSuez'!$E$4:$E$2000)
/
SUMPRODUCT(
    --(TEXT('[3]Global Weekly Stock (EWSuez'!$B$4:$B$2000,"mmm-yy")=TEXT(A919,"mmm-yy"))
)</f>
        <v>14364.5</v>
      </c>
      <c r="I919">
        <f>_xlfn.XLOOKUP(A919,[1]ForwardDeriv!$D:$D,[1]ForwardDeriv!$AJ:$AJ)</f>
        <v>0.20000000000000284</v>
      </c>
      <c r="J919" cm="1">
        <f t="array" ref="J919">_xlfn.XLOOKUP(TEXT(A919, "mmm-yy"), TEXT([2]GASOLINE!$B$5:$B$208, "mmm-yy"), [2]GASOLINE!$IR$5:$IR$208, "Not Found")</f>
        <v>10.728045422435144</v>
      </c>
      <c r="K919" cm="1">
        <f t="array" ref="K919">_xlfn.XLOOKUP(TEXT(A919, "mmm-yy"), TEXT([2]GASOLINE!$B$5:$B$208, "mmm-yy"), [2]GASOLINE!$IK$5:$IK$208, "Not Found")</f>
        <v>157.80612735145434</v>
      </c>
      <c r="L919">
        <f t="shared" si="14"/>
        <v>1</v>
      </c>
      <c r="M919" cm="1">
        <f t="array" ref="M919">_xlfn.XLOOKUP(TEXT(A919, "mmm-yy"), TEXT([2]GASOLINE!$B$5:$B$208, "mmm-yy"), [2]GASOLINE!$C$5:$C$208, "Not Found")</f>
        <v>7422.8135081831406</v>
      </c>
      <c r="N919" cm="1">
        <f t="array" ref="N919">_xlfn.XLOOKUP(TEXT(A919, "mmm-yy"), TEXT([2]RUNS!$B$5:$B$208, "mmm-yy"), [2]RUNS!$BM$5:$BM$208, "Not Found")</f>
        <v>0.85168697376332769</v>
      </c>
    </row>
    <row r="920" spans="1:14" x14ac:dyDescent="0.25">
      <c r="A920" s="1">
        <f>'[1]Global_Spot Prices'!$B2229</f>
        <v>43291</v>
      </c>
      <c r="B920">
        <f>_xlfn.XLOOKUP(A920,'[1]Global_Spot Prices'!$B:$B,'[1]Global_Spot Prices'!$BS:$BS)</f>
        <v>7.8200000000000074</v>
      </c>
      <c r="C920">
        <f>_xlfn.XLOOKUP(A920,'[1]Global_Spot Prices'!$B:$B,'[1]Global_Spot Prices'!$E:$E)</f>
        <v>76.05</v>
      </c>
      <c r="D920">
        <f>_xlfn.XLOOKUP(A920,'[1]Global_Spot Prices'!$B:$B,'[1]Global_Spot Prices'!$D:$D)</f>
        <v>77.67</v>
      </c>
      <c r="E920">
        <f>_xlfn.XLOOKUP(A920,'[1]Global_Spot Prices'!$B:$B,'[1]Global_Spot Prices'!$H:$H)</f>
        <v>74.13</v>
      </c>
      <c r="F920">
        <f>_xlfn.XLOOKUP(A920,'[1]Global_Spot Prices'!$B:$B,'[1]Global_Spot Prices'!$I:$I)</f>
        <v>83.87</v>
      </c>
      <c r="G920" cm="1">
        <f t="array" ref="G920">_xlfn.XLOOKUP(TEXT(A920, "mmm-yy"), TEXT([2]RUNS!$B$5:$B$208, "mmm-yy"), [2]RUNS!$D$5:$D$208, "Not Found")</f>
        <v>29766.033889541421</v>
      </c>
      <c r="H920" cm="1">
        <f t="array" ref="H920">SUMPRODUCT(
    --(TEXT('[3]Global Weekly Stock (EWSuez'!$B$4:$B$2000,"mmm-yy")=TEXT(A920,"mmm-yy")),
    '[3]Global Weekly Stock (EWSuez'!$E$4:$E$2000)
/
SUMPRODUCT(
    --(TEXT('[3]Global Weekly Stock (EWSuez'!$B$4:$B$2000,"mmm-yy")=TEXT(A920,"mmm-yy"))
)</f>
        <v>14364.5</v>
      </c>
      <c r="I920">
        <f>_xlfn.XLOOKUP(A920,[1]ForwardDeriv!$D:$D,[1]ForwardDeriv!$AJ:$AJ)</f>
        <v>0.29999999999999716</v>
      </c>
      <c r="J920" cm="1">
        <f t="array" ref="J920">_xlfn.XLOOKUP(TEXT(A920, "mmm-yy"), TEXT([2]GASOLINE!$B$5:$B$208, "mmm-yy"), [2]GASOLINE!$IR$5:$IR$208, "Not Found")</f>
        <v>10.728045422435144</v>
      </c>
      <c r="K920" cm="1">
        <f t="array" ref="K920">_xlfn.XLOOKUP(TEXT(A920, "mmm-yy"), TEXT([2]GASOLINE!$B$5:$B$208, "mmm-yy"), [2]GASOLINE!$IK$5:$IK$208, "Not Found")</f>
        <v>157.80612735145434</v>
      </c>
      <c r="L920">
        <f t="shared" si="14"/>
        <v>1</v>
      </c>
      <c r="M920" cm="1">
        <f t="array" ref="M920">_xlfn.XLOOKUP(TEXT(A920, "mmm-yy"), TEXT([2]GASOLINE!$B$5:$B$208, "mmm-yy"), [2]GASOLINE!$C$5:$C$208, "Not Found")</f>
        <v>7422.8135081831406</v>
      </c>
      <c r="N920" cm="1">
        <f t="array" ref="N920">_xlfn.XLOOKUP(TEXT(A920, "mmm-yy"), TEXT([2]RUNS!$B$5:$B$208, "mmm-yy"), [2]RUNS!$BM$5:$BM$208, "Not Found")</f>
        <v>0.85168697376332769</v>
      </c>
    </row>
    <row r="921" spans="1:14" x14ac:dyDescent="0.25">
      <c r="A921" s="1">
        <f>'[1]Global_Spot Prices'!$B2230</f>
        <v>43292</v>
      </c>
      <c r="B921">
        <f>_xlfn.XLOOKUP(A921,'[1]Global_Spot Prices'!$B:$B,'[1]Global_Spot Prices'!$BS:$BS)</f>
        <v>7.9000000000000057</v>
      </c>
      <c r="C921">
        <f>_xlfn.XLOOKUP(A921,'[1]Global_Spot Prices'!$B:$B,'[1]Global_Spot Prices'!$E:$E)</f>
        <v>74.709999999999994</v>
      </c>
      <c r="D921">
        <f>_xlfn.XLOOKUP(A921,'[1]Global_Spot Prices'!$B:$B,'[1]Global_Spot Prices'!$D:$D)</f>
        <v>75.135000000000005</v>
      </c>
      <c r="E921">
        <f>_xlfn.XLOOKUP(A921,'[1]Global_Spot Prices'!$B:$B,'[1]Global_Spot Prices'!$H:$H)</f>
        <v>73.05</v>
      </c>
      <c r="F921">
        <f>_xlfn.XLOOKUP(A921,'[1]Global_Spot Prices'!$B:$B,'[1]Global_Spot Prices'!$I:$I)</f>
        <v>82.61</v>
      </c>
      <c r="G921" cm="1">
        <f t="array" ref="G921">_xlfn.XLOOKUP(TEXT(A921, "mmm-yy"), TEXT([2]RUNS!$B$5:$B$208, "mmm-yy"), [2]RUNS!$D$5:$D$208, "Not Found")</f>
        <v>29766.033889541421</v>
      </c>
      <c r="H921" cm="1">
        <f t="array" ref="H921">SUMPRODUCT(
    --(TEXT('[3]Global Weekly Stock (EWSuez'!$B$4:$B$2000,"mmm-yy")=TEXT(A921,"mmm-yy")),
    '[3]Global Weekly Stock (EWSuez'!$E$4:$E$2000)
/
SUMPRODUCT(
    --(TEXT('[3]Global Weekly Stock (EWSuez'!$B$4:$B$2000,"mmm-yy")=TEXT(A921,"mmm-yy"))
)</f>
        <v>14364.5</v>
      </c>
      <c r="I921">
        <f>_xlfn.XLOOKUP(A921,[1]ForwardDeriv!$D:$D,[1]ForwardDeriv!$AJ:$AJ)</f>
        <v>0.32999999999999829</v>
      </c>
      <c r="J921" cm="1">
        <f t="array" ref="J921">_xlfn.XLOOKUP(TEXT(A921, "mmm-yy"), TEXT([2]GASOLINE!$B$5:$B$208, "mmm-yy"), [2]GASOLINE!$IR$5:$IR$208, "Not Found")</f>
        <v>10.728045422435144</v>
      </c>
      <c r="K921" cm="1">
        <f t="array" ref="K921">_xlfn.XLOOKUP(TEXT(A921, "mmm-yy"), TEXT([2]GASOLINE!$B$5:$B$208, "mmm-yy"), [2]GASOLINE!$IK$5:$IK$208, "Not Found")</f>
        <v>157.80612735145434</v>
      </c>
      <c r="L921">
        <f t="shared" si="14"/>
        <v>1</v>
      </c>
      <c r="M921" cm="1">
        <f t="array" ref="M921">_xlfn.XLOOKUP(TEXT(A921, "mmm-yy"), TEXT([2]GASOLINE!$B$5:$B$208, "mmm-yy"), [2]GASOLINE!$C$5:$C$208, "Not Found")</f>
        <v>7422.8135081831406</v>
      </c>
      <c r="N921" cm="1">
        <f t="array" ref="N921">_xlfn.XLOOKUP(TEXT(A921, "mmm-yy"), TEXT([2]RUNS!$B$5:$B$208, "mmm-yy"), [2]RUNS!$BM$5:$BM$208, "Not Found")</f>
        <v>0.85168697376332769</v>
      </c>
    </row>
    <row r="922" spans="1:14" x14ac:dyDescent="0.25">
      <c r="A922" s="1">
        <f>'[1]Global_Spot Prices'!$B2231</f>
        <v>43293</v>
      </c>
      <c r="B922">
        <f>_xlfn.XLOOKUP(A922,'[1]Global_Spot Prices'!$B:$B,'[1]Global_Spot Prices'!$BS:$BS)</f>
        <v>8.0149999999999864</v>
      </c>
      <c r="C922">
        <f>_xlfn.XLOOKUP(A922,'[1]Global_Spot Prices'!$B:$B,'[1]Global_Spot Prices'!$E:$E)</f>
        <v>72.555000000000007</v>
      </c>
      <c r="D922">
        <f>_xlfn.XLOOKUP(A922,'[1]Global_Spot Prices'!$B:$B,'[1]Global_Spot Prices'!$D:$D)</f>
        <v>72.165000000000006</v>
      </c>
      <c r="E922">
        <f>_xlfn.XLOOKUP(A922,'[1]Global_Spot Prices'!$B:$B,'[1]Global_Spot Prices'!$H:$H)</f>
        <v>71.41</v>
      </c>
      <c r="F922">
        <f>_xlfn.XLOOKUP(A922,'[1]Global_Spot Prices'!$B:$B,'[1]Global_Spot Prices'!$I:$I)</f>
        <v>80.569999999999993</v>
      </c>
      <c r="G922" cm="1">
        <f t="array" ref="G922">_xlfn.XLOOKUP(TEXT(A922, "mmm-yy"), TEXT([2]RUNS!$B$5:$B$208, "mmm-yy"), [2]RUNS!$D$5:$D$208, "Not Found")</f>
        <v>29766.033889541421</v>
      </c>
      <c r="H922" cm="1">
        <f t="array" ref="H922">SUMPRODUCT(
    --(TEXT('[3]Global Weekly Stock (EWSuez'!$B$4:$B$2000,"mmm-yy")=TEXT(A922,"mmm-yy")),
    '[3]Global Weekly Stock (EWSuez'!$E$4:$E$2000)
/
SUMPRODUCT(
    --(TEXT('[3]Global Weekly Stock (EWSuez'!$B$4:$B$2000,"mmm-yy")=TEXT(A922,"mmm-yy"))
)</f>
        <v>14364.5</v>
      </c>
      <c r="I922">
        <f>_xlfn.XLOOKUP(A922,[1]ForwardDeriv!$D:$D,[1]ForwardDeriv!$AJ:$AJ)</f>
        <v>0.34000000000000341</v>
      </c>
      <c r="J922" cm="1">
        <f t="array" ref="J922">_xlfn.XLOOKUP(TEXT(A922, "mmm-yy"), TEXT([2]GASOLINE!$B$5:$B$208, "mmm-yy"), [2]GASOLINE!$IR$5:$IR$208, "Not Found")</f>
        <v>10.728045422435144</v>
      </c>
      <c r="K922" cm="1">
        <f t="array" ref="K922">_xlfn.XLOOKUP(TEXT(A922, "mmm-yy"), TEXT([2]GASOLINE!$B$5:$B$208, "mmm-yy"), [2]GASOLINE!$IK$5:$IK$208, "Not Found")</f>
        <v>157.80612735145434</v>
      </c>
      <c r="L922">
        <f t="shared" si="14"/>
        <v>1</v>
      </c>
      <c r="M922" cm="1">
        <f t="array" ref="M922">_xlfn.XLOOKUP(TEXT(A922, "mmm-yy"), TEXT([2]GASOLINE!$B$5:$B$208, "mmm-yy"), [2]GASOLINE!$C$5:$C$208, "Not Found")</f>
        <v>7422.8135081831406</v>
      </c>
      <c r="N922" cm="1">
        <f t="array" ref="N922">_xlfn.XLOOKUP(TEXT(A922, "mmm-yy"), TEXT([2]RUNS!$B$5:$B$208, "mmm-yy"), [2]RUNS!$BM$5:$BM$208, "Not Found")</f>
        <v>0.85168697376332769</v>
      </c>
    </row>
    <row r="923" spans="1:14" x14ac:dyDescent="0.25">
      <c r="A923" s="1">
        <f>'[1]Global_Spot Prices'!$B2232</f>
        <v>43294</v>
      </c>
      <c r="B923">
        <f>_xlfn.XLOOKUP(A923,'[1]Global_Spot Prices'!$B:$B,'[1]Global_Spot Prices'!$BS:$BS)</f>
        <v>7.7600000000000051</v>
      </c>
      <c r="C923">
        <f>_xlfn.XLOOKUP(A923,'[1]Global_Spot Prices'!$B:$B,'[1]Global_Spot Prices'!$E:$E)</f>
        <v>71.55</v>
      </c>
      <c r="D923">
        <f>_xlfn.XLOOKUP(A923,'[1]Global_Spot Prices'!$B:$B,'[1]Global_Spot Prices'!$D:$D)</f>
        <v>74.27</v>
      </c>
      <c r="E923">
        <f>_xlfn.XLOOKUP(A923,'[1]Global_Spot Prices'!$B:$B,'[1]Global_Spot Prices'!$H:$H)</f>
        <v>70.52</v>
      </c>
      <c r="F923">
        <f>_xlfn.XLOOKUP(A923,'[1]Global_Spot Prices'!$B:$B,'[1]Global_Spot Prices'!$I:$I)</f>
        <v>79.31</v>
      </c>
      <c r="G923" cm="1">
        <f t="array" ref="G923">_xlfn.XLOOKUP(TEXT(A923, "mmm-yy"), TEXT([2]RUNS!$B$5:$B$208, "mmm-yy"), [2]RUNS!$D$5:$D$208, "Not Found")</f>
        <v>29766.033889541421</v>
      </c>
      <c r="H923" cm="1">
        <f t="array" ref="H923">SUMPRODUCT(
    --(TEXT('[3]Global Weekly Stock (EWSuez'!$B$4:$B$2000,"mmm-yy")=TEXT(A923,"mmm-yy")),
    '[3]Global Weekly Stock (EWSuez'!$E$4:$E$2000)
/
SUMPRODUCT(
    --(TEXT('[3]Global Weekly Stock (EWSuez'!$B$4:$B$2000,"mmm-yy")=TEXT(A923,"mmm-yy"))
)</f>
        <v>14364.5</v>
      </c>
      <c r="I923">
        <f>_xlfn.XLOOKUP(A923,[1]ForwardDeriv!$D:$D,[1]ForwardDeriv!$AJ:$AJ)</f>
        <v>0.23000000000000398</v>
      </c>
      <c r="J923" cm="1">
        <f t="array" ref="J923">_xlfn.XLOOKUP(TEXT(A923, "mmm-yy"), TEXT([2]GASOLINE!$B$5:$B$208, "mmm-yy"), [2]GASOLINE!$IR$5:$IR$208, "Not Found")</f>
        <v>10.728045422435144</v>
      </c>
      <c r="K923" cm="1">
        <f t="array" ref="K923">_xlfn.XLOOKUP(TEXT(A923, "mmm-yy"), TEXT([2]GASOLINE!$B$5:$B$208, "mmm-yy"), [2]GASOLINE!$IK$5:$IK$208, "Not Found")</f>
        <v>157.80612735145434</v>
      </c>
      <c r="L923">
        <f t="shared" si="14"/>
        <v>1</v>
      </c>
      <c r="M923" cm="1">
        <f t="array" ref="M923">_xlfn.XLOOKUP(TEXT(A923, "mmm-yy"), TEXT([2]GASOLINE!$B$5:$B$208, "mmm-yy"), [2]GASOLINE!$C$5:$C$208, "Not Found")</f>
        <v>7422.8135081831406</v>
      </c>
      <c r="N923" cm="1">
        <f t="array" ref="N923">_xlfn.XLOOKUP(TEXT(A923, "mmm-yy"), TEXT([2]RUNS!$B$5:$B$208, "mmm-yy"), [2]RUNS!$BM$5:$BM$208, "Not Found")</f>
        <v>0.85168697376332769</v>
      </c>
    </row>
    <row r="924" spans="1:14" x14ac:dyDescent="0.25">
      <c r="A924" s="1">
        <f>'[1]Global_Spot Prices'!$B2233</f>
        <v>43297</v>
      </c>
      <c r="B924">
        <f>_xlfn.XLOOKUP(A924,'[1]Global_Spot Prices'!$B:$B,'[1]Global_Spot Prices'!$BS:$BS)</f>
        <v>8.3400000000000034</v>
      </c>
      <c r="C924">
        <f>_xlfn.XLOOKUP(A924,'[1]Global_Spot Prices'!$B:$B,'[1]Global_Spot Prices'!$E:$E)</f>
        <v>73</v>
      </c>
      <c r="D924">
        <f>_xlfn.XLOOKUP(A924,'[1]Global_Spot Prices'!$B:$B,'[1]Global_Spot Prices'!$D:$D)</f>
        <v>71.165000000000006</v>
      </c>
      <c r="E924">
        <f>_xlfn.XLOOKUP(A924,'[1]Global_Spot Prices'!$B:$B,'[1]Global_Spot Prices'!$H:$H)</f>
        <v>71.849999999999994</v>
      </c>
      <c r="F924">
        <f>_xlfn.XLOOKUP(A924,'[1]Global_Spot Prices'!$B:$B,'[1]Global_Spot Prices'!$I:$I)</f>
        <v>81.34</v>
      </c>
      <c r="G924" cm="1">
        <f t="array" ref="G924">_xlfn.XLOOKUP(TEXT(A924, "mmm-yy"), TEXT([2]RUNS!$B$5:$B$208, "mmm-yy"), [2]RUNS!$D$5:$D$208, "Not Found")</f>
        <v>29766.033889541421</v>
      </c>
      <c r="H924" cm="1">
        <f t="array" ref="H924">SUMPRODUCT(
    --(TEXT('[3]Global Weekly Stock (EWSuez'!$B$4:$B$2000,"mmm-yy")=TEXT(A924,"mmm-yy")),
    '[3]Global Weekly Stock (EWSuez'!$E$4:$E$2000)
/
SUMPRODUCT(
    --(TEXT('[3]Global Weekly Stock (EWSuez'!$B$4:$B$2000,"mmm-yy")=TEXT(A924,"mmm-yy"))
)</f>
        <v>14364.5</v>
      </c>
      <c r="I924">
        <f>_xlfn.XLOOKUP(A924,[1]ForwardDeriv!$D:$D,[1]ForwardDeriv!$AJ:$AJ)</f>
        <v>0.34000000000000341</v>
      </c>
      <c r="J924" cm="1">
        <f t="array" ref="J924">_xlfn.XLOOKUP(TEXT(A924, "mmm-yy"), TEXT([2]GASOLINE!$B$5:$B$208, "mmm-yy"), [2]GASOLINE!$IR$5:$IR$208, "Not Found")</f>
        <v>10.728045422435144</v>
      </c>
      <c r="K924" cm="1">
        <f t="array" ref="K924">_xlfn.XLOOKUP(TEXT(A924, "mmm-yy"), TEXT([2]GASOLINE!$B$5:$B$208, "mmm-yy"), [2]GASOLINE!$IK$5:$IK$208, "Not Found")</f>
        <v>157.80612735145434</v>
      </c>
      <c r="L924">
        <f t="shared" si="14"/>
        <v>1</v>
      </c>
      <c r="M924" cm="1">
        <f t="array" ref="M924">_xlfn.XLOOKUP(TEXT(A924, "mmm-yy"), TEXT([2]GASOLINE!$B$5:$B$208, "mmm-yy"), [2]GASOLINE!$C$5:$C$208, "Not Found")</f>
        <v>7422.8135081831406</v>
      </c>
      <c r="N924" cm="1">
        <f t="array" ref="N924">_xlfn.XLOOKUP(TEXT(A924, "mmm-yy"), TEXT([2]RUNS!$B$5:$B$208, "mmm-yy"), [2]RUNS!$BM$5:$BM$208, "Not Found")</f>
        <v>0.85168697376332769</v>
      </c>
    </row>
    <row r="925" spans="1:14" x14ac:dyDescent="0.25">
      <c r="A925" s="1">
        <f>'[1]Global_Spot Prices'!$B2234</f>
        <v>43298</v>
      </c>
      <c r="B925">
        <f>_xlfn.XLOOKUP(A925,'[1]Global_Spot Prices'!$B:$B,'[1]Global_Spot Prices'!$BS:$BS)</f>
        <v>7.3499999999999943</v>
      </c>
      <c r="C925">
        <f>_xlfn.XLOOKUP(A925,'[1]Global_Spot Prices'!$B:$B,'[1]Global_Spot Prices'!$E:$E)</f>
        <v>70.430000000000007</v>
      </c>
      <c r="D925">
        <f>_xlfn.XLOOKUP(A925,'[1]Global_Spot Prices'!$B:$B,'[1]Global_Spot Prices'!$D:$D)</f>
        <v>70.709999999999994</v>
      </c>
      <c r="E925">
        <f>_xlfn.XLOOKUP(A925,'[1]Global_Spot Prices'!$B:$B,'[1]Global_Spot Prices'!$H:$H)</f>
        <v>69.11</v>
      </c>
      <c r="F925">
        <f>_xlfn.XLOOKUP(A925,'[1]Global_Spot Prices'!$B:$B,'[1]Global_Spot Prices'!$I:$I)</f>
        <v>77.78</v>
      </c>
      <c r="G925" cm="1">
        <f t="array" ref="G925">_xlfn.XLOOKUP(TEXT(A925, "mmm-yy"), TEXT([2]RUNS!$B$5:$B$208, "mmm-yy"), [2]RUNS!$D$5:$D$208, "Not Found")</f>
        <v>29766.033889541421</v>
      </c>
      <c r="H925" cm="1">
        <f t="array" ref="H925">SUMPRODUCT(
    --(TEXT('[3]Global Weekly Stock (EWSuez'!$B$4:$B$2000,"mmm-yy")=TEXT(A925,"mmm-yy")),
    '[3]Global Weekly Stock (EWSuez'!$E$4:$E$2000)
/
SUMPRODUCT(
    --(TEXT('[3]Global Weekly Stock (EWSuez'!$B$4:$B$2000,"mmm-yy")=TEXT(A925,"mmm-yy"))
)</f>
        <v>14364.5</v>
      </c>
      <c r="I925">
        <f>_xlfn.XLOOKUP(A925,[1]ForwardDeriv!$D:$D,[1]ForwardDeriv!$AJ:$AJ)</f>
        <v>0.29999999999999716</v>
      </c>
      <c r="J925" cm="1">
        <f t="array" ref="J925">_xlfn.XLOOKUP(TEXT(A925, "mmm-yy"), TEXT([2]GASOLINE!$B$5:$B$208, "mmm-yy"), [2]GASOLINE!$IR$5:$IR$208, "Not Found")</f>
        <v>10.728045422435144</v>
      </c>
      <c r="K925" cm="1">
        <f t="array" ref="K925">_xlfn.XLOOKUP(TEXT(A925, "mmm-yy"), TEXT([2]GASOLINE!$B$5:$B$208, "mmm-yy"), [2]GASOLINE!$IK$5:$IK$208, "Not Found")</f>
        <v>157.80612735145434</v>
      </c>
      <c r="L925">
        <f t="shared" si="14"/>
        <v>1</v>
      </c>
      <c r="M925" cm="1">
        <f t="array" ref="M925">_xlfn.XLOOKUP(TEXT(A925, "mmm-yy"), TEXT([2]GASOLINE!$B$5:$B$208, "mmm-yy"), [2]GASOLINE!$C$5:$C$208, "Not Found")</f>
        <v>7422.8135081831406</v>
      </c>
      <c r="N925" cm="1">
        <f t="array" ref="N925">_xlfn.XLOOKUP(TEXT(A925, "mmm-yy"), TEXT([2]RUNS!$B$5:$B$208, "mmm-yy"), [2]RUNS!$BM$5:$BM$208, "Not Found")</f>
        <v>0.85168697376332769</v>
      </c>
    </row>
    <row r="926" spans="1:14" x14ac:dyDescent="0.25">
      <c r="A926" s="1">
        <f>'[1]Global_Spot Prices'!$B2235</f>
        <v>43299</v>
      </c>
      <c r="B926">
        <f>_xlfn.XLOOKUP(A926,'[1]Global_Spot Prices'!$B:$B,'[1]Global_Spot Prices'!$BS:$BS)</f>
        <v>7.3649999999999949</v>
      </c>
      <c r="C926">
        <f>_xlfn.XLOOKUP(A926,'[1]Global_Spot Prices'!$B:$B,'[1]Global_Spot Prices'!$E:$E)</f>
        <v>69.605000000000004</v>
      </c>
      <c r="D926">
        <f>_xlfn.XLOOKUP(A926,'[1]Global_Spot Prices'!$B:$B,'[1]Global_Spot Prices'!$D:$D)</f>
        <v>70.540000000000006</v>
      </c>
      <c r="E926">
        <f>_xlfn.XLOOKUP(A926,'[1]Global_Spot Prices'!$B:$B,'[1]Global_Spot Prices'!$H:$H)</f>
        <v>68.38</v>
      </c>
      <c r="F926">
        <f>_xlfn.XLOOKUP(A926,'[1]Global_Spot Prices'!$B:$B,'[1]Global_Spot Prices'!$I:$I)</f>
        <v>76.97</v>
      </c>
      <c r="G926" cm="1">
        <f t="array" ref="G926">_xlfn.XLOOKUP(TEXT(A926, "mmm-yy"), TEXT([2]RUNS!$B$5:$B$208, "mmm-yy"), [2]RUNS!$D$5:$D$208, "Not Found")</f>
        <v>29766.033889541421</v>
      </c>
      <c r="H926" cm="1">
        <f t="array" ref="H926">SUMPRODUCT(
    --(TEXT('[3]Global Weekly Stock (EWSuez'!$B$4:$B$2000,"mmm-yy")=TEXT(A926,"mmm-yy")),
    '[3]Global Weekly Stock (EWSuez'!$E$4:$E$2000)
/
SUMPRODUCT(
    --(TEXT('[3]Global Weekly Stock (EWSuez'!$B$4:$B$2000,"mmm-yy")=TEXT(A926,"mmm-yy"))
)</f>
        <v>14364.5</v>
      </c>
      <c r="I926">
        <f>_xlfn.XLOOKUP(A926,[1]ForwardDeriv!$D:$D,[1]ForwardDeriv!$AJ:$AJ)</f>
        <v>0.31999999999999318</v>
      </c>
      <c r="J926" cm="1">
        <f t="array" ref="J926">_xlfn.XLOOKUP(TEXT(A926, "mmm-yy"), TEXT([2]GASOLINE!$B$5:$B$208, "mmm-yy"), [2]GASOLINE!$IR$5:$IR$208, "Not Found")</f>
        <v>10.728045422435144</v>
      </c>
      <c r="K926" cm="1">
        <f t="array" ref="K926">_xlfn.XLOOKUP(TEXT(A926, "mmm-yy"), TEXT([2]GASOLINE!$B$5:$B$208, "mmm-yy"), [2]GASOLINE!$IK$5:$IK$208, "Not Found")</f>
        <v>157.80612735145434</v>
      </c>
      <c r="L926">
        <f t="shared" si="14"/>
        <v>1</v>
      </c>
      <c r="M926" cm="1">
        <f t="array" ref="M926">_xlfn.XLOOKUP(TEXT(A926, "mmm-yy"), TEXT([2]GASOLINE!$B$5:$B$208, "mmm-yy"), [2]GASOLINE!$C$5:$C$208, "Not Found")</f>
        <v>7422.8135081831406</v>
      </c>
      <c r="N926" cm="1">
        <f t="array" ref="N926">_xlfn.XLOOKUP(TEXT(A926, "mmm-yy"), TEXT([2]RUNS!$B$5:$B$208, "mmm-yy"), [2]RUNS!$BM$5:$BM$208, "Not Found")</f>
        <v>0.85168697376332769</v>
      </c>
    </row>
    <row r="927" spans="1:14" x14ac:dyDescent="0.25">
      <c r="A927" s="1">
        <f>'[1]Global_Spot Prices'!$B2236</f>
        <v>43300</v>
      </c>
      <c r="B927">
        <f>_xlfn.XLOOKUP(A927,'[1]Global_Spot Prices'!$B:$B,'[1]Global_Spot Prices'!$BS:$BS)</f>
        <v>7.8200000000000074</v>
      </c>
      <c r="C927">
        <f>_xlfn.XLOOKUP(A927,'[1]Global_Spot Prices'!$B:$B,'[1]Global_Spot Prices'!$E:$E)</f>
        <v>70.41</v>
      </c>
      <c r="D927">
        <f>_xlfn.XLOOKUP(A927,'[1]Global_Spot Prices'!$B:$B,'[1]Global_Spot Prices'!$D:$D)</f>
        <v>72.155000000000001</v>
      </c>
      <c r="E927">
        <f>_xlfn.XLOOKUP(A927,'[1]Global_Spot Prices'!$B:$B,'[1]Global_Spot Prices'!$H:$H)</f>
        <v>69.13</v>
      </c>
      <c r="F927">
        <f>_xlfn.XLOOKUP(A927,'[1]Global_Spot Prices'!$B:$B,'[1]Global_Spot Prices'!$I:$I)</f>
        <v>78.23</v>
      </c>
      <c r="G927" cm="1">
        <f t="array" ref="G927">_xlfn.XLOOKUP(TEXT(A927, "mmm-yy"), TEXT([2]RUNS!$B$5:$B$208, "mmm-yy"), [2]RUNS!$D$5:$D$208, "Not Found")</f>
        <v>29766.033889541421</v>
      </c>
      <c r="H927" cm="1">
        <f t="array" ref="H927">SUMPRODUCT(
    --(TEXT('[3]Global Weekly Stock (EWSuez'!$B$4:$B$2000,"mmm-yy")=TEXT(A927,"mmm-yy")),
    '[3]Global Weekly Stock (EWSuez'!$E$4:$E$2000)
/
SUMPRODUCT(
    --(TEXT('[3]Global Weekly Stock (EWSuez'!$B$4:$B$2000,"mmm-yy")=TEXT(A927,"mmm-yy"))
)</f>
        <v>14364.5</v>
      </c>
      <c r="I927">
        <f>_xlfn.XLOOKUP(A927,[1]ForwardDeriv!$D:$D,[1]ForwardDeriv!$AJ:$AJ)</f>
        <v>0.28000000000000114</v>
      </c>
      <c r="J927" cm="1">
        <f t="array" ref="J927">_xlfn.XLOOKUP(TEXT(A927, "mmm-yy"), TEXT([2]GASOLINE!$B$5:$B$208, "mmm-yy"), [2]GASOLINE!$IR$5:$IR$208, "Not Found")</f>
        <v>10.728045422435144</v>
      </c>
      <c r="K927" cm="1">
        <f t="array" ref="K927">_xlfn.XLOOKUP(TEXT(A927, "mmm-yy"), TEXT([2]GASOLINE!$B$5:$B$208, "mmm-yy"), [2]GASOLINE!$IK$5:$IK$208, "Not Found")</f>
        <v>157.80612735145434</v>
      </c>
      <c r="L927">
        <f t="shared" si="14"/>
        <v>1</v>
      </c>
      <c r="M927" cm="1">
        <f t="array" ref="M927">_xlfn.XLOOKUP(TEXT(A927, "mmm-yy"), TEXT([2]GASOLINE!$B$5:$B$208, "mmm-yy"), [2]GASOLINE!$C$5:$C$208, "Not Found")</f>
        <v>7422.8135081831406</v>
      </c>
      <c r="N927" cm="1">
        <f t="array" ref="N927">_xlfn.XLOOKUP(TEXT(A927, "mmm-yy"), TEXT([2]RUNS!$B$5:$B$208, "mmm-yy"), [2]RUNS!$BM$5:$BM$208, "Not Found")</f>
        <v>0.85168697376332769</v>
      </c>
    </row>
    <row r="928" spans="1:14" x14ac:dyDescent="0.25">
      <c r="A928" s="1">
        <f>'[1]Global_Spot Prices'!$B2237</f>
        <v>43301</v>
      </c>
      <c r="B928">
        <f>_xlfn.XLOOKUP(A928,'[1]Global_Spot Prices'!$B:$B,'[1]Global_Spot Prices'!$BS:$BS)</f>
        <v>8.1700000000000017</v>
      </c>
      <c r="C928">
        <f>_xlfn.XLOOKUP(A928,'[1]Global_Spot Prices'!$B:$B,'[1]Global_Spot Prices'!$E:$E)</f>
        <v>71.5</v>
      </c>
      <c r="D928">
        <f>_xlfn.XLOOKUP(A928,'[1]Global_Spot Prices'!$B:$B,'[1]Global_Spot Prices'!$D:$D)</f>
        <v>72.155000000000001</v>
      </c>
      <c r="E928">
        <f>_xlfn.XLOOKUP(A928,'[1]Global_Spot Prices'!$B:$B,'[1]Global_Spot Prices'!$H:$H)</f>
        <v>70.739999999999995</v>
      </c>
      <c r="F928">
        <f>_xlfn.XLOOKUP(A928,'[1]Global_Spot Prices'!$B:$B,'[1]Global_Spot Prices'!$I:$I)</f>
        <v>79.67</v>
      </c>
      <c r="G928" cm="1">
        <f t="array" ref="G928">_xlfn.XLOOKUP(TEXT(A928, "mmm-yy"), TEXT([2]RUNS!$B$5:$B$208, "mmm-yy"), [2]RUNS!$D$5:$D$208, "Not Found")</f>
        <v>29766.033889541421</v>
      </c>
      <c r="H928" cm="1">
        <f t="array" ref="H928">SUMPRODUCT(
    --(TEXT('[3]Global Weekly Stock (EWSuez'!$B$4:$B$2000,"mmm-yy")=TEXT(A928,"mmm-yy")),
    '[3]Global Weekly Stock (EWSuez'!$E$4:$E$2000)
/
SUMPRODUCT(
    --(TEXT('[3]Global Weekly Stock (EWSuez'!$B$4:$B$2000,"mmm-yy")=TEXT(A928,"mmm-yy"))
)</f>
        <v>14364.5</v>
      </c>
      <c r="I928">
        <f>_xlfn.XLOOKUP(A928,[1]ForwardDeriv!$D:$D,[1]ForwardDeriv!$AJ:$AJ)</f>
        <v>0.35000000000000853</v>
      </c>
      <c r="J928" cm="1">
        <f t="array" ref="J928">_xlfn.XLOOKUP(TEXT(A928, "mmm-yy"), TEXT([2]GASOLINE!$B$5:$B$208, "mmm-yy"), [2]GASOLINE!$IR$5:$IR$208, "Not Found")</f>
        <v>10.728045422435144</v>
      </c>
      <c r="K928" cm="1">
        <f t="array" ref="K928">_xlfn.XLOOKUP(TEXT(A928, "mmm-yy"), TEXT([2]GASOLINE!$B$5:$B$208, "mmm-yy"), [2]GASOLINE!$IK$5:$IK$208, "Not Found")</f>
        <v>157.80612735145434</v>
      </c>
      <c r="L928">
        <f t="shared" si="14"/>
        <v>1</v>
      </c>
      <c r="M928" cm="1">
        <f t="array" ref="M928">_xlfn.XLOOKUP(TEXT(A928, "mmm-yy"), TEXT([2]GASOLINE!$B$5:$B$208, "mmm-yy"), [2]GASOLINE!$C$5:$C$208, "Not Found")</f>
        <v>7422.8135081831406</v>
      </c>
      <c r="N928" cm="1">
        <f t="array" ref="N928">_xlfn.XLOOKUP(TEXT(A928, "mmm-yy"), TEXT([2]RUNS!$B$5:$B$208, "mmm-yy"), [2]RUNS!$BM$5:$BM$208, "Not Found")</f>
        <v>0.85168697376332769</v>
      </c>
    </row>
    <row r="929" spans="1:14" x14ac:dyDescent="0.25">
      <c r="A929" s="1">
        <f>'[1]Global_Spot Prices'!$B2238</f>
        <v>43304</v>
      </c>
      <c r="B929">
        <f>_xlfn.XLOOKUP(A929,'[1]Global_Spot Prices'!$B:$B,'[1]Global_Spot Prices'!$BS:$BS)</f>
        <v>8.8199999999999932</v>
      </c>
      <c r="C929">
        <f>_xlfn.XLOOKUP(A929,'[1]Global_Spot Prices'!$B:$B,'[1]Global_Spot Prices'!$E:$E)</f>
        <v>71.45</v>
      </c>
      <c r="D929">
        <f>_xlfn.XLOOKUP(A929,'[1]Global_Spot Prices'!$B:$B,'[1]Global_Spot Prices'!$D:$D)</f>
        <v>73.614999999999995</v>
      </c>
      <c r="E929">
        <f>_xlfn.XLOOKUP(A929,'[1]Global_Spot Prices'!$B:$B,'[1]Global_Spot Prices'!$H:$H)</f>
        <v>71.12</v>
      </c>
      <c r="F929">
        <f>_xlfn.XLOOKUP(A929,'[1]Global_Spot Prices'!$B:$B,'[1]Global_Spot Prices'!$I:$I)</f>
        <v>80.27</v>
      </c>
      <c r="G929" cm="1">
        <f t="array" ref="G929">_xlfn.XLOOKUP(TEXT(A929, "mmm-yy"), TEXT([2]RUNS!$B$5:$B$208, "mmm-yy"), [2]RUNS!$D$5:$D$208, "Not Found")</f>
        <v>29766.033889541421</v>
      </c>
      <c r="H929" cm="1">
        <f t="array" ref="H929">SUMPRODUCT(
    --(TEXT('[3]Global Weekly Stock (EWSuez'!$B$4:$B$2000,"mmm-yy")=TEXT(A929,"mmm-yy")),
    '[3]Global Weekly Stock (EWSuez'!$E$4:$E$2000)
/
SUMPRODUCT(
    --(TEXT('[3]Global Weekly Stock (EWSuez'!$B$4:$B$2000,"mmm-yy")=TEXT(A929,"mmm-yy"))
)</f>
        <v>14364.5</v>
      </c>
      <c r="I929">
        <f>_xlfn.XLOOKUP(A929,[1]ForwardDeriv!$D:$D,[1]ForwardDeriv!$AJ:$AJ)</f>
        <v>0.42000000000000171</v>
      </c>
      <c r="J929" cm="1">
        <f t="array" ref="J929">_xlfn.XLOOKUP(TEXT(A929, "mmm-yy"), TEXT([2]GASOLINE!$B$5:$B$208, "mmm-yy"), [2]GASOLINE!$IR$5:$IR$208, "Not Found")</f>
        <v>10.728045422435144</v>
      </c>
      <c r="K929" cm="1">
        <f t="array" ref="K929">_xlfn.XLOOKUP(TEXT(A929, "mmm-yy"), TEXT([2]GASOLINE!$B$5:$B$208, "mmm-yy"), [2]GASOLINE!$IK$5:$IK$208, "Not Found")</f>
        <v>157.80612735145434</v>
      </c>
      <c r="L929">
        <f t="shared" si="14"/>
        <v>1</v>
      </c>
      <c r="M929" cm="1">
        <f t="array" ref="M929">_xlfn.XLOOKUP(TEXT(A929, "mmm-yy"), TEXT([2]GASOLINE!$B$5:$B$208, "mmm-yy"), [2]GASOLINE!$C$5:$C$208, "Not Found")</f>
        <v>7422.8135081831406</v>
      </c>
      <c r="N929" cm="1">
        <f t="array" ref="N929">_xlfn.XLOOKUP(TEXT(A929, "mmm-yy"), TEXT([2]RUNS!$B$5:$B$208, "mmm-yy"), [2]RUNS!$BM$5:$BM$208, "Not Found")</f>
        <v>0.85168697376332769</v>
      </c>
    </row>
    <row r="930" spans="1:14" x14ac:dyDescent="0.25">
      <c r="A930" s="1">
        <f>'[1]Global_Spot Prices'!$B2239</f>
        <v>43305</v>
      </c>
      <c r="B930">
        <f>_xlfn.XLOOKUP(A930,'[1]Global_Spot Prices'!$B:$B,'[1]Global_Spot Prices'!$BS:$BS)</f>
        <v>9.3300000000000125</v>
      </c>
      <c r="C930">
        <f>_xlfn.XLOOKUP(A930,'[1]Global_Spot Prices'!$B:$B,'[1]Global_Spot Prices'!$E:$E)</f>
        <v>71.599999999999994</v>
      </c>
      <c r="D930">
        <f>_xlfn.XLOOKUP(A930,'[1]Global_Spot Prices'!$B:$B,'[1]Global_Spot Prices'!$D:$D)</f>
        <v>73.734999999999999</v>
      </c>
      <c r="E930">
        <f>_xlfn.XLOOKUP(A930,'[1]Global_Spot Prices'!$B:$B,'[1]Global_Spot Prices'!$H:$H)</f>
        <v>71.81</v>
      </c>
      <c r="F930">
        <f>_xlfn.XLOOKUP(A930,'[1]Global_Spot Prices'!$B:$B,'[1]Global_Spot Prices'!$I:$I)</f>
        <v>80.930000000000007</v>
      </c>
      <c r="G930" cm="1">
        <f t="array" ref="G930">_xlfn.XLOOKUP(TEXT(A930, "mmm-yy"), TEXT([2]RUNS!$B$5:$B$208, "mmm-yy"), [2]RUNS!$D$5:$D$208, "Not Found")</f>
        <v>29766.033889541421</v>
      </c>
      <c r="H930" cm="1">
        <f t="array" ref="H930">SUMPRODUCT(
    --(TEXT('[3]Global Weekly Stock (EWSuez'!$B$4:$B$2000,"mmm-yy")=TEXT(A930,"mmm-yy")),
    '[3]Global Weekly Stock (EWSuez'!$E$4:$E$2000)
/
SUMPRODUCT(
    --(TEXT('[3]Global Weekly Stock (EWSuez'!$B$4:$B$2000,"mmm-yy")=TEXT(A930,"mmm-yy"))
)</f>
        <v>14364.5</v>
      </c>
      <c r="I930">
        <f>_xlfn.XLOOKUP(A930,[1]ForwardDeriv!$D:$D,[1]ForwardDeriv!$AJ:$AJ)</f>
        <v>0.45000000000000284</v>
      </c>
      <c r="J930" cm="1">
        <f t="array" ref="J930">_xlfn.XLOOKUP(TEXT(A930, "mmm-yy"), TEXT([2]GASOLINE!$B$5:$B$208, "mmm-yy"), [2]GASOLINE!$IR$5:$IR$208, "Not Found")</f>
        <v>10.728045422435144</v>
      </c>
      <c r="K930" cm="1">
        <f t="array" ref="K930">_xlfn.XLOOKUP(TEXT(A930, "mmm-yy"), TEXT([2]GASOLINE!$B$5:$B$208, "mmm-yy"), [2]GASOLINE!$IK$5:$IK$208, "Not Found")</f>
        <v>157.80612735145434</v>
      </c>
      <c r="L930">
        <f t="shared" si="14"/>
        <v>1</v>
      </c>
      <c r="M930" cm="1">
        <f t="array" ref="M930">_xlfn.XLOOKUP(TEXT(A930, "mmm-yy"), TEXT([2]GASOLINE!$B$5:$B$208, "mmm-yy"), [2]GASOLINE!$C$5:$C$208, "Not Found")</f>
        <v>7422.8135081831406</v>
      </c>
      <c r="N930" cm="1">
        <f t="array" ref="N930">_xlfn.XLOOKUP(TEXT(A930, "mmm-yy"), TEXT([2]RUNS!$B$5:$B$208, "mmm-yy"), [2]RUNS!$BM$5:$BM$208, "Not Found")</f>
        <v>0.85168697376332769</v>
      </c>
    </row>
    <row r="931" spans="1:14" x14ac:dyDescent="0.25">
      <c r="A931" s="1">
        <f>'[1]Global_Spot Prices'!$B2240</f>
        <v>43306</v>
      </c>
      <c r="B931">
        <f>_xlfn.XLOOKUP(A931,'[1]Global_Spot Prices'!$B:$B,'[1]Global_Spot Prices'!$BS:$BS)</f>
        <v>9.64</v>
      </c>
      <c r="C931">
        <f>_xlfn.XLOOKUP(A931,'[1]Global_Spot Prices'!$B:$B,'[1]Global_Spot Prices'!$E:$E)</f>
        <v>72.55</v>
      </c>
      <c r="D931">
        <f>_xlfn.XLOOKUP(A931,'[1]Global_Spot Prices'!$B:$B,'[1]Global_Spot Prices'!$D:$D)</f>
        <v>73.98</v>
      </c>
      <c r="E931">
        <f>_xlfn.XLOOKUP(A931,'[1]Global_Spot Prices'!$B:$B,'[1]Global_Spot Prices'!$H:$H)</f>
        <v>72.510000000000005</v>
      </c>
      <c r="F931">
        <f>_xlfn.XLOOKUP(A931,'[1]Global_Spot Prices'!$B:$B,'[1]Global_Spot Prices'!$I:$I)</f>
        <v>82.19</v>
      </c>
      <c r="G931" cm="1">
        <f t="array" ref="G931">_xlfn.XLOOKUP(TEXT(A931, "mmm-yy"), TEXT([2]RUNS!$B$5:$B$208, "mmm-yy"), [2]RUNS!$D$5:$D$208, "Not Found")</f>
        <v>29766.033889541421</v>
      </c>
      <c r="H931" cm="1">
        <f t="array" ref="H931">SUMPRODUCT(
    --(TEXT('[3]Global Weekly Stock (EWSuez'!$B$4:$B$2000,"mmm-yy")=TEXT(A931,"mmm-yy")),
    '[3]Global Weekly Stock (EWSuez'!$E$4:$E$2000)
/
SUMPRODUCT(
    --(TEXT('[3]Global Weekly Stock (EWSuez'!$B$4:$B$2000,"mmm-yy")=TEXT(A931,"mmm-yy"))
)</f>
        <v>14364.5</v>
      </c>
      <c r="I931">
        <f>_xlfn.XLOOKUP(A931,[1]ForwardDeriv!$D:$D,[1]ForwardDeriv!$AJ:$AJ)</f>
        <v>0.53000000000000114</v>
      </c>
      <c r="J931" cm="1">
        <f t="array" ref="J931">_xlfn.XLOOKUP(TEXT(A931, "mmm-yy"), TEXT([2]GASOLINE!$B$5:$B$208, "mmm-yy"), [2]GASOLINE!$IR$5:$IR$208, "Not Found")</f>
        <v>10.728045422435144</v>
      </c>
      <c r="K931" cm="1">
        <f t="array" ref="K931">_xlfn.XLOOKUP(TEXT(A931, "mmm-yy"), TEXT([2]GASOLINE!$B$5:$B$208, "mmm-yy"), [2]GASOLINE!$IK$5:$IK$208, "Not Found")</f>
        <v>157.80612735145434</v>
      </c>
      <c r="L931">
        <f t="shared" si="14"/>
        <v>1</v>
      </c>
      <c r="M931" cm="1">
        <f t="array" ref="M931">_xlfn.XLOOKUP(TEXT(A931, "mmm-yy"), TEXT([2]GASOLINE!$B$5:$B$208, "mmm-yy"), [2]GASOLINE!$C$5:$C$208, "Not Found")</f>
        <v>7422.8135081831406</v>
      </c>
      <c r="N931" cm="1">
        <f t="array" ref="N931">_xlfn.XLOOKUP(TEXT(A931, "mmm-yy"), TEXT([2]RUNS!$B$5:$B$208, "mmm-yy"), [2]RUNS!$BM$5:$BM$208, "Not Found")</f>
        <v>0.85168697376332769</v>
      </c>
    </row>
    <row r="932" spans="1:14" x14ac:dyDescent="0.25">
      <c r="A932" s="1">
        <f>'[1]Global_Spot Prices'!$B2241</f>
        <v>43307</v>
      </c>
      <c r="B932">
        <f>_xlfn.XLOOKUP(A932,'[1]Global_Spot Prices'!$B:$B,'[1]Global_Spot Prices'!$BS:$BS)</f>
        <v>9.11</v>
      </c>
      <c r="C932">
        <f>_xlfn.XLOOKUP(A932,'[1]Global_Spot Prices'!$B:$B,'[1]Global_Spot Prices'!$E:$E)</f>
        <v>73.459999999999994</v>
      </c>
      <c r="D932">
        <f>_xlfn.XLOOKUP(A932,'[1]Global_Spot Prices'!$B:$B,'[1]Global_Spot Prices'!$D:$D)</f>
        <v>74.709999999999994</v>
      </c>
      <c r="E932">
        <f>_xlfn.XLOOKUP(A932,'[1]Global_Spot Prices'!$B:$B,'[1]Global_Spot Prices'!$H:$H)</f>
        <v>73.73</v>
      </c>
      <c r="F932">
        <f>_xlfn.XLOOKUP(A932,'[1]Global_Spot Prices'!$B:$B,'[1]Global_Spot Prices'!$I:$I)</f>
        <v>82.57</v>
      </c>
      <c r="G932" cm="1">
        <f t="array" ref="G932">_xlfn.XLOOKUP(TEXT(A932, "mmm-yy"), TEXT([2]RUNS!$B$5:$B$208, "mmm-yy"), [2]RUNS!$D$5:$D$208, "Not Found")</f>
        <v>29766.033889541421</v>
      </c>
      <c r="H932" cm="1">
        <f t="array" ref="H932">SUMPRODUCT(
    --(TEXT('[3]Global Weekly Stock (EWSuez'!$B$4:$B$2000,"mmm-yy")=TEXT(A932,"mmm-yy")),
    '[3]Global Weekly Stock (EWSuez'!$E$4:$E$2000)
/
SUMPRODUCT(
    --(TEXT('[3]Global Weekly Stock (EWSuez'!$B$4:$B$2000,"mmm-yy")=TEXT(A932,"mmm-yy"))
)</f>
        <v>14364.5</v>
      </c>
      <c r="I932">
        <f>_xlfn.XLOOKUP(A932,[1]ForwardDeriv!$D:$D,[1]ForwardDeriv!$AJ:$AJ)</f>
        <v>0.40000000000000568</v>
      </c>
      <c r="J932" cm="1">
        <f t="array" ref="J932">_xlfn.XLOOKUP(TEXT(A932, "mmm-yy"), TEXT([2]GASOLINE!$B$5:$B$208, "mmm-yy"), [2]GASOLINE!$IR$5:$IR$208, "Not Found")</f>
        <v>10.728045422435144</v>
      </c>
      <c r="K932" cm="1">
        <f t="array" ref="K932">_xlfn.XLOOKUP(TEXT(A932, "mmm-yy"), TEXT([2]GASOLINE!$B$5:$B$208, "mmm-yy"), [2]GASOLINE!$IK$5:$IK$208, "Not Found")</f>
        <v>157.80612735145434</v>
      </c>
      <c r="L932">
        <f t="shared" si="14"/>
        <v>1</v>
      </c>
      <c r="M932" cm="1">
        <f t="array" ref="M932">_xlfn.XLOOKUP(TEXT(A932, "mmm-yy"), TEXT([2]GASOLINE!$B$5:$B$208, "mmm-yy"), [2]GASOLINE!$C$5:$C$208, "Not Found")</f>
        <v>7422.8135081831406</v>
      </c>
      <c r="N932" cm="1">
        <f t="array" ref="N932">_xlfn.XLOOKUP(TEXT(A932, "mmm-yy"), TEXT([2]RUNS!$B$5:$B$208, "mmm-yy"), [2]RUNS!$BM$5:$BM$208, "Not Found")</f>
        <v>0.85168697376332769</v>
      </c>
    </row>
    <row r="933" spans="1:14" x14ac:dyDescent="0.25">
      <c r="A933" s="1">
        <f>'[1]Global_Spot Prices'!$B2242</f>
        <v>43308</v>
      </c>
      <c r="B933">
        <f>_xlfn.XLOOKUP(A933,'[1]Global_Spot Prices'!$B:$B,'[1]Global_Spot Prices'!$BS:$BS)</f>
        <v>9.0099999999999909</v>
      </c>
      <c r="C933">
        <f>_xlfn.XLOOKUP(A933,'[1]Global_Spot Prices'!$B:$B,'[1]Global_Spot Prices'!$E:$E)</f>
        <v>73.400000000000006</v>
      </c>
      <c r="D933">
        <f>_xlfn.XLOOKUP(A933,'[1]Global_Spot Prices'!$B:$B,'[1]Global_Spot Prices'!$D:$D)</f>
        <v>74.930000000000007</v>
      </c>
      <c r="E933">
        <f>_xlfn.XLOOKUP(A933,'[1]Global_Spot Prices'!$B:$B,'[1]Global_Spot Prices'!$H:$H)</f>
        <v>73.819999999999993</v>
      </c>
      <c r="F933">
        <f>_xlfn.XLOOKUP(A933,'[1]Global_Spot Prices'!$B:$B,'[1]Global_Spot Prices'!$I:$I)</f>
        <v>82.41</v>
      </c>
      <c r="G933" cm="1">
        <f t="array" ref="G933">_xlfn.XLOOKUP(TEXT(A933, "mmm-yy"), TEXT([2]RUNS!$B$5:$B$208, "mmm-yy"), [2]RUNS!$D$5:$D$208, "Not Found")</f>
        <v>29766.033889541421</v>
      </c>
      <c r="H933" cm="1">
        <f t="array" ref="H933">SUMPRODUCT(
    --(TEXT('[3]Global Weekly Stock (EWSuez'!$B$4:$B$2000,"mmm-yy")=TEXT(A933,"mmm-yy")),
    '[3]Global Weekly Stock (EWSuez'!$E$4:$E$2000)
/
SUMPRODUCT(
    --(TEXT('[3]Global Weekly Stock (EWSuez'!$B$4:$B$2000,"mmm-yy")=TEXT(A933,"mmm-yy"))
)</f>
        <v>14364.5</v>
      </c>
      <c r="I933">
        <f>_xlfn.XLOOKUP(A933,[1]ForwardDeriv!$D:$D,[1]ForwardDeriv!$AJ:$AJ)</f>
        <v>0.37999999999999545</v>
      </c>
      <c r="J933" cm="1">
        <f t="array" ref="J933">_xlfn.XLOOKUP(TEXT(A933, "mmm-yy"), TEXT([2]GASOLINE!$B$5:$B$208, "mmm-yy"), [2]GASOLINE!$IR$5:$IR$208, "Not Found")</f>
        <v>10.728045422435144</v>
      </c>
      <c r="K933" cm="1">
        <f t="array" ref="K933">_xlfn.XLOOKUP(TEXT(A933, "mmm-yy"), TEXT([2]GASOLINE!$B$5:$B$208, "mmm-yy"), [2]GASOLINE!$IK$5:$IK$208, "Not Found")</f>
        <v>157.80612735145434</v>
      </c>
      <c r="L933">
        <f t="shared" si="14"/>
        <v>1</v>
      </c>
      <c r="M933" cm="1">
        <f t="array" ref="M933">_xlfn.XLOOKUP(TEXT(A933, "mmm-yy"), TEXT([2]GASOLINE!$B$5:$B$208, "mmm-yy"), [2]GASOLINE!$C$5:$C$208, "Not Found")</f>
        <v>7422.8135081831406</v>
      </c>
      <c r="N933" cm="1">
        <f t="array" ref="N933">_xlfn.XLOOKUP(TEXT(A933, "mmm-yy"), TEXT([2]RUNS!$B$5:$B$208, "mmm-yy"), [2]RUNS!$BM$5:$BM$208, "Not Found")</f>
        <v>0.85168697376332769</v>
      </c>
    </row>
    <row r="934" spans="1:14" x14ac:dyDescent="0.25">
      <c r="A934" s="1">
        <f>'[1]Global_Spot Prices'!$B2243</f>
        <v>43311</v>
      </c>
      <c r="B934">
        <f>_xlfn.XLOOKUP(A934,'[1]Global_Spot Prices'!$B:$B,'[1]Global_Spot Prices'!$BS:$BS)</f>
        <v>9.2299999999999898</v>
      </c>
      <c r="C934">
        <f>_xlfn.XLOOKUP(A934,'[1]Global_Spot Prices'!$B:$B,'[1]Global_Spot Prices'!$E:$E)</f>
        <v>73.400000000000006</v>
      </c>
      <c r="D934">
        <f>_xlfn.XLOOKUP(A934,'[1]Global_Spot Prices'!$B:$B,'[1]Global_Spot Prices'!$D:$D)</f>
        <v>75.125</v>
      </c>
      <c r="E934">
        <f>_xlfn.XLOOKUP(A934,'[1]Global_Spot Prices'!$B:$B,'[1]Global_Spot Prices'!$H:$H)</f>
        <v>73.84</v>
      </c>
      <c r="F934">
        <f>_xlfn.XLOOKUP(A934,'[1]Global_Spot Prices'!$B:$B,'[1]Global_Spot Prices'!$I:$I)</f>
        <v>82.63</v>
      </c>
      <c r="G934" cm="1">
        <f t="array" ref="G934">_xlfn.XLOOKUP(TEXT(A934, "mmm-yy"), TEXT([2]RUNS!$B$5:$B$208, "mmm-yy"), [2]RUNS!$D$5:$D$208, "Not Found")</f>
        <v>29766.033889541421</v>
      </c>
      <c r="H934" cm="1">
        <f t="array" ref="H934">SUMPRODUCT(
    --(TEXT('[3]Global Weekly Stock (EWSuez'!$B$4:$B$2000,"mmm-yy")=TEXT(A934,"mmm-yy")),
    '[3]Global Weekly Stock (EWSuez'!$E$4:$E$2000)
/
SUMPRODUCT(
    --(TEXT('[3]Global Weekly Stock (EWSuez'!$B$4:$B$2000,"mmm-yy")=TEXT(A934,"mmm-yy"))
)</f>
        <v>14364.5</v>
      </c>
      <c r="I934">
        <f>_xlfn.XLOOKUP(A934,[1]ForwardDeriv!$D:$D,[1]ForwardDeriv!$AJ:$AJ)</f>
        <v>0.28999999999999204</v>
      </c>
      <c r="J934" cm="1">
        <f t="array" ref="J934">_xlfn.XLOOKUP(TEXT(A934, "mmm-yy"), TEXT([2]GASOLINE!$B$5:$B$208, "mmm-yy"), [2]GASOLINE!$IR$5:$IR$208, "Not Found")</f>
        <v>10.728045422435144</v>
      </c>
      <c r="K934" cm="1">
        <f t="array" ref="K934">_xlfn.XLOOKUP(TEXT(A934, "mmm-yy"), TEXT([2]GASOLINE!$B$5:$B$208, "mmm-yy"), [2]GASOLINE!$IK$5:$IK$208, "Not Found")</f>
        <v>157.80612735145434</v>
      </c>
      <c r="L934">
        <f t="shared" si="14"/>
        <v>1</v>
      </c>
      <c r="M934" cm="1">
        <f t="array" ref="M934">_xlfn.XLOOKUP(TEXT(A934, "mmm-yy"), TEXT([2]GASOLINE!$B$5:$B$208, "mmm-yy"), [2]GASOLINE!$C$5:$C$208, "Not Found")</f>
        <v>7422.8135081831406</v>
      </c>
      <c r="N934" cm="1">
        <f t="array" ref="N934">_xlfn.XLOOKUP(TEXT(A934, "mmm-yy"), TEXT([2]RUNS!$B$5:$B$208, "mmm-yy"), [2]RUNS!$BM$5:$BM$208, "Not Found")</f>
        <v>0.85168697376332769</v>
      </c>
    </row>
    <row r="935" spans="1:14" x14ac:dyDescent="0.25">
      <c r="A935" s="1">
        <f>'[1]Global_Spot Prices'!$B2244</f>
        <v>43312</v>
      </c>
      <c r="B935">
        <f>_xlfn.XLOOKUP(A935,'[1]Global_Spot Prices'!$B:$B,'[1]Global_Spot Prices'!$BS:$BS)</f>
        <v>9.1299999999999955</v>
      </c>
      <c r="C935">
        <f>_xlfn.XLOOKUP(A935,'[1]Global_Spot Prices'!$B:$B,'[1]Global_Spot Prices'!$E:$E)</f>
        <v>73.650000000000006</v>
      </c>
      <c r="D935">
        <f>_xlfn.XLOOKUP(A935,'[1]Global_Spot Prices'!$B:$B,'[1]Global_Spot Prices'!$D:$D)</f>
        <v>74.459999999999994</v>
      </c>
      <c r="E935">
        <f>_xlfn.XLOOKUP(A935,'[1]Global_Spot Prices'!$B:$B,'[1]Global_Spot Prices'!$H:$H)</f>
        <v>73.94</v>
      </c>
      <c r="F935">
        <f>_xlfn.XLOOKUP(A935,'[1]Global_Spot Prices'!$B:$B,'[1]Global_Spot Prices'!$I:$I)</f>
        <v>82.78</v>
      </c>
      <c r="G935" cm="1">
        <f t="array" ref="G935">_xlfn.XLOOKUP(TEXT(A935, "mmm-yy"), TEXT([2]RUNS!$B$5:$B$208, "mmm-yy"), [2]RUNS!$D$5:$D$208, "Not Found")</f>
        <v>29766.033889541421</v>
      </c>
      <c r="H935" cm="1">
        <f t="array" ref="H935">SUMPRODUCT(
    --(TEXT('[3]Global Weekly Stock (EWSuez'!$B$4:$B$2000,"mmm-yy")=TEXT(A935,"mmm-yy")),
    '[3]Global Weekly Stock (EWSuez'!$E$4:$E$2000)
/
SUMPRODUCT(
    --(TEXT('[3]Global Weekly Stock (EWSuez'!$B$4:$B$2000,"mmm-yy")=TEXT(A935,"mmm-yy"))
)</f>
        <v>14364.5</v>
      </c>
      <c r="I935">
        <f>_xlfn.XLOOKUP(A935,[1]ForwardDeriv!$D:$D,[1]ForwardDeriv!$AJ:$AJ)</f>
        <v>0.25</v>
      </c>
      <c r="J935" cm="1">
        <f t="array" ref="J935">_xlfn.XLOOKUP(TEXT(A935, "mmm-yy"), TEXT([2]GASOLINE!$B$5:$B$208, "mmm-yy"), [2]GASOLINE!$IR$5:$IR$208, "Not Found")</f>
        <v>10.728045422435144</v>
      </c>
      <c r="K935" cm="1">
        <f t="array" ref="K935">_xlfn.XLOOKUP(TEXT(A935, "mmm-yy"), TEXT([2]GASOLINE!$B$5:$B$208, "mmm-yy"), [2]GASOLINE!$IK$5:$IK$208, "Not Found")</f>
        <v>157.80612735145434</v>
      </c>
      <c r="L935">
        <f t="shared" si="14"/>
        <v>1</v>
      </c>
      <c r="M935" cm="1">
        <f t="array" ref="M935">_xlfn.XLOOKUP(TEXT(A935, "mmm-yy"), TEXT([2]GASOLINE!$B$5:$B$208, "mmm-yy"), [2]GASOLINE!$C$5:$C$208, "Not Found")</f>
        <v>7422.8135081831406</v>
      </c>
      <c r="N935" cm="1">
        <f t="array" ref="N935">_xlfn.XLOOKUP(TEXT(A935, "mmm-yy"), TEXT([2]RUNS!$B$5:$B$208, "mmm-yy"), [2]RUNS!$BM$5:$BM$208, "Not Found")</f>
        <v>0.85168697376332769</v>
      </c>
    </row>
    <row r="936" spans="1:14" x14ac:dyDescent="0.25">
      <c r="A936" s="1">
        <f>'[1]Global_Spot Prices'!$B2245</f>
        <v>43313</v>
      </c>
      <c r="B936">
        <f>_xlfn.XLOOKUP(A936,'[1]Global_Spot Prices'!$B:$B,'[1]Global_Spot Prices'!$BS:$BS)</f>
        <v>8.960000000000008</v>
      </c>
      <c r="C936">
        <f>_xlfn.XLOOKUP(A936,'[1]Global_Spot Prices'!$B:$B,'[1]Global_Spot Prices'!$E:$E)</f>
        <v>72.349999999999994</v>
      </c>
      <c r="D936">
        <f>_xlfn.XLOOKUP(A936,'[1]Global_Spot Prices'!$B:$B,'[1]Global_Spot Prices'!$D:$D)</f>
        <v>72.474999999999994</v>
      </c>
      <c r="E936">
        <f>_xlfn.XLOOKUP(A936,'[1]Global_Spot Prices'!$B:$B,'[1]Global_Spot Prices'!$H:$H)</f>
        <v>73.569999999999993</v>
      </c>
      <c r="F936">
        <f>_xlfn.XLOOKUP(A936,'[1]Global_Spot Prices'!$B:$B,'[1]Global_Spot Prices'!$I:$I)</f>
        <v>81.31</v>
      </c>
      <c r="G936" cm="1">
        <f t="array" ref="G936">_xlfn.XLOOKUP(TEXT(A936, "mmm-yy"), TEXT([2]RUNS!$B$5:$B$208, "mmm-yy"), [2]RUNS!$D$5:$D$208, "Not Found")</f>
        <v>29683.213366537551</v>
      </c>
      <c r="H936" cm="1">
        <f t="array" ref="H936">SUMPRODUCT(
    --(TEXT('[3]Global Weekly Stock (EWSuez'!$B$4:$B$2000,"mmm-yy")=TEXT(A936,"mmm-yy")),
    '[3]Global Weekly Stock (EWSuez'!$E$4:$E$2000)
/
SUMPRODUCT(
    --(TEXT('[3]Global Weekly Stock (EWSuez'!$B$4:$B$2000,"mmm-yy")=TEXT(A936,"mmm-yy"))
)</f>
        <v>13798</v>
      </c>
      <c r="I936">
        <f>_xlfn.XLOOKUP(A936,[1]ForwardDeriv!$D:$D,[1]ForwardDeriv!$AJ:$AJ)</f>
        <v>0.40000000000000568</v>
      </c>
      <c r="J936" cm="1">
        <f t="array" ref="J936">_xlfn.XLOOKUP(TEXT(A936, "mmm-yy"), TEXT([2]GASOLINE!$B$5:$B$208, "mmm-yy"), [2]GASOLINE!$IR$5:$IR$208, "Not Found")</f>
        <v>-27.762537631590021</v>
      </c>
      <c r="K936" cm="1">
        <f t="array" ref="K936">_xlfn.XLOOKUP(TEXT(A936, "mmm-yy"), TEXT([2]GASOLINE!$B$5:$B$208, "mmm-yy"), [2]GASOLINE!$IK$5:$IK$208, "Not Found")</f>
        <v>158.79080848202898</v>
      </c>
      <c r="L936">
        <f t="shared" si="14"/>
        <v>1</v>
      </c>
      <c r="M936" cm="1">
        <f t="array" ref="M936">_xlfn.XLOOKUP(TEXT(A936, "mmm-yy"), TEXT([2]GASOLINE!$B$5:$B$208, "mmm-yy"), [2]GASOLINE!$C$5:$C$208, "Not Found")</f>
        <v>7401.6643645111299</v>
      </c>
      <c r="N936" cm="1">
        <f t="array" ref="N936">_xlfn.XLOOKUP(TEXT(A936, "mmm-yy"), TEXT([2]RUNS!$B$5:$B$208, "mmm-yy"), [2]RUNS!$BM$5:$BM$208, "Not Found")</f>
        <v>0.84909131224577361</v>
      </c>
    </row>
    <row r="937" spans="1:14" x14ac:dyDescent="0.25">
      <c r="A937" s="1">
        <f>'[1]Global_Spot Prices'!$B2246</f>
        <v>43314</v>
      </c>
      <c r="B937">
        <f>_xlfn.XLOOKUP(A937,'[1]Global_Spot Prices'!$B:$B,'[1]Global_Spot Prices'!$BS:$BS)</f>
        <v>8.8199999999999932</v>
      </c>
      <c r="C937">
        <f>_xlfn.XLOOKUP(A937,'[1]Global_Spot Prices'!$B:$B,'[1]Global_Spot Prices'!$E:$E)</f>
        <v>71.2</v>
      </c>
      <c r="D937">
        <f>_xlfn.XLOOKUP(A937,'[1]Global_Spot Prices'!$B:$B,'[1]Global_Spot Prices'!$D:$D)</f>
        <v>73.174999999999997</v>
      </c>
      <c r="E937">
        <f>_xlfn.XLOOKUP(A937,'[1]Global_Spot Prices'!$B:$B,'[1]Global_Spot Prices'!$H:$H)</f>
        <v>72.459999999999994</v>
      </c>
      <c r="F937">
        <f>_xlfn.XLOOKUP(A937,'[1]Global_Spot Prices'!$B:$B,'[1]Global_Spot Prices'!$I:$I)</f>
        <v>80.02</v>
      </c>
      <c r="G937" cm="1">
        <f t="array" ref="G937">_xlfn.XLOOKUP(TEXT(A937, "mmm-yy"), TEXT([2]RUNS!$B$5:$B$208, "mmm-yy"), [2]RUNS!$D$5:$D$208, "Not Found")</f>
        <v>29683.213366537551</v>
      </c>
      <c r="H937" cm="1">
        <f t="array" ref="H937">SUMPRODUCT(
    --(TEXT('[3]Global Weekly Stock (EWSuez'!$B$4:$B$2000,"mmm-yy")=TEXT(A937,"mmm-yy")),
    '[3]Global Weekly Stock (EWSuez'!$E$4:$E$2000)
/
SUMPRODUCT(
    --(TEXT('[3]Global Weekly Stock (EWSuez'!$B$4:$B$2000,"mmm-yy")=TEXT(A937,"mmm-yy"))
)</f>
        <v>13798</v>
      </c>
      <c r="I937">
        <f>_xlfn.XLOOKUP(A937,[1]ForwardDeriv!$D:$D,[1]ForwardDeriv!$AJ:$AJ)</f>
        <v>0.46000000000000796</v>
      </c>
      <c r="J937" cm="1">
        <f t="array" ref="J937">_xlfn.XLOOKUP(TEXT(A937, "mmm-yy"), TEXT([2]GASOLINE!$B$5:$B$208, "mmm-yy"), [2]GASOLINE!$IR$5:$IR$208, "Not Found")</f>
        <v>-27.762537631590021</v>
      </c>
      <c r="K937" cm="1">
        <f t="array" ref="K937">_xlfn.XLOOKUP(TEXT(A937, "mmm-yy"), TEXT([2]GASOLINE!$B$5:$B$208, "mmm-yy"), [2]GASOLINE!$IK$5:$IK$208, "Not Found")</f>
        <v>158.79080848202898</v>
      </c>
      <c r="L937">
        <f t="shared" si="14"/>
        <v>1</v>
      </c>
      <c r="M937" cm="1">
        <f t="array" ref="M937">_xlfn.XLOOKUP(TEXT(A937, "mmm-yy"), TEXT([2]GASOLINE!$B$5:$B$208, "mmm-yy"), [2]GASOLINE!$C$5:$C$208, "Not Found")</f>
        <v>7401.6643645111299</v>
      </c>
      <c r="N937" cm="1">
        <f t="array" ref="N937">_xlfn.XLOOKUP(TEXT(A937, "mmm-yy"), TEXT([2]RUNS!$B$5:$B$208, "mmm-yy"), [2]RUNS!$BM$5:$BM$208, "Not Found")</f>
        <v>0.84909131224577361</v>
      </c>
    </row>
    <row r="938" spans="1:14" x14ac:dyDescent="0.25">
      <c r="A938" s="1">
        <f>'[1]Global_Spot Prices'!$B2247</f>
        <v>43315</v>
      </c>
      <c r="B938">
        <f>_xlfn.XLOOKUP(A938,'[1]Global_Spot Prices'!$B:$B,'[1]Global_Spot Prices'!$BS:$BS)</f>
        <v>8.86</v>
      </c>
      <c r="C938">
        <f>_xlfn.XLOOKUP(A938,'[1]Global_Spot Prices'!$B:$B,'[1]Global_Spot Prices'!$E:$E)</f>
        <v>71.900000000000006</v>
      </c>
      <c r="D938">
        <f>_xlfn.XLOOKUP(A938,'[1]Global_Spot Prices'!$B:$B,'[1]Global_Spot Prices'!$D:$D)</f>
        <v>72.44</v>
      </c>
      <c r="E938">
        <f>_xlfn.XLOOKUP(A938,'[1]Global_Spot Prices'!$B:$B,'[1]Global_Spot Prices'!$H:$H)</f>
        <v>72.760000000000005</v>
      </c>
      <c r="F938">
        <f>_xlfn.XLOOKUP(A938,'[1]Global_Spot Prices'!$B:$B,'[1]Global_Spot Prices'!$I:$I)</f>
        <v>80.760000000000005</v>
      </c>
      <c r="G938" cm="1">
        <f t="array" ref="G938">_xlfn.XLOOKUP(TEXT(A938, "mmm-yy"), TEXT([2]RUNS!$B$5:$B$208, "mmm-yy"), [2]RUNS!$D$5:$D$208, "Not Found")</f>
        <v>29683.213366537551</v>
      </c>
      <c r="H938" cm="1">
        <f t="array" ref="H938">SUMPRODUCT(
    --(TEXT('[3]Global Weekly Stock (EWSuez'!$B$4:$B$2000,"mmm-yy")=TEXT(A938,"mmm-yy")),
    '[3]Global Weekly Stock (EWSuez'!$E$4:$E$2000)
/
SUMPRODUCT(
    --(TEXT('[3]Global Weekly Stock (EWSuez'!$B$4:$B$2000,"mmm-yy")=TEXT(A938,"mmm-yy"))
)</f>
        <v>13798</v>
      </c>
      <c r="I938">
        <f>_xlfn.XLOOKUP(A938,[1]ForwardDeriv!$D:$D,[1]ForwardDeriv!$AJ:$AJ)</f>
        <v>0.43999999999999773</v>
      </c>
      <c r="J938" cm="1">
        <f t="array" ref="J938">_xlfn.XLOOKUP(TEXT(A938, "mmm-yy"), TEXT([2]GASOLINE!$B$5:$B$208, "mmm-yy"), [2]GASOLINE!$IR$5:$IR$208, "Not Found")</f>
        <v>-27.762537631590021</v>
      </c>
      <c r="K938" cm="1">
        <f t="array" ref="K938">_xlfn.XLOOKUP(TEXT(A938, "mmm-yy"), TEXT([2]GASOLINE!$B$5:$B$208, "mmm-yy"), [2]GASOLINE!$IK$5:$IK$208, "Not Found")</f>
        <v>158.79080848202898</v>
      </c>
      <c r="L938">
        <f t="shared" si="14"/>
        <v>1</v>
      </c>
      <c r="M938" cm="1">
        <f t="array" ref="M938">_xlfn.XLOOKUP(TEXT(A938, "mmm-yy"), TEXT([2]GASOLINE!$B$5:$B$208, "mmm-yy"), [2]GASOLINE!$C$5:$C$208, "Not Found")</f>
        <v>7401.6643645111299</v>
      </c>
      <c r="N938" cm="1">
        <f t="array" ref="N938">_xlfn.XLOOKUP(TEXT(A938, "mmm-yy"), TEXT([2]RUNS!$B$5:$B$208, "mmm-yy"), [2]RUNS!$BM$5:$BM$208, "Not Found")</f>
        <v>0.84909131224577361</v>
      </c>
    </row>
    <row r="939" spans="1:14" x14ac:dyDescent="0.25">
      <c r="A939" s="1">
        <f>'[1]Global_Spot Prices'!$B2248</f>
        <v>43318</v>
      </c>
      <c r="B939">
        <f>_xlfn.XLOOKUP(A939,'[1]Global_Spot Prices'!$B:$B,'[1]Global_Spot Prices'!$BS:$BS)</f>
        <v>9.0300000000000011</v>
      </c>
      <c r="C939">
        <f>_xlfn.XLOOKUP(A939,'[1]Global_Spot Prices'!$B:$B,'[1]Global_Spot Prices'!$E:$E)</f>
        <v>72.16</v>
      </c>
      <c r="D939">
        <f>_xlfn.XLOOKUP(A939,'[1]Global_Spot Prices'!$B:$B,'[1]Global_Spot Prices'!$D:$D)</f>
        <v>72.625</v>
      </c>
      <c r="E939">
        <f>_xlfn.XLOOKUP(A939,'[1]Global_Spot Prices'!$B:$B,'[1]Global_Spot Prices'!$H:$H)</f>
        <v>72.64</v>
      </c>
      <c r="F939">
        <f>_xlfn.XLOOKUP(A939,'[1]Global_Spot Prices'!$B:$B,'[1]Global_Spot Prices'!$I:$I)</f>
        <v>81.19</v>
      </c>
      <c r="G939" cm="1">
        <f t="array" ref="G939">_xlfn.XLOOKUP(TEXT(A939, "mmm-yy"), TEXT([2]RUNS!$B$5:$B$208, "mmm-yy"), [2]RUNS!$D$5:$D$208, "Not Found")</f>
        <v>29683.213366537551</v>
      </c>
      <c r="H939" cm="1">
        <f t="array" ref="H939">SUMPRODUCT(
    --(TEXT('[3]Global Weekly Stock (EWSuez'!$B$4:$B$2000,"mmm-yy")=TEXT(A939,"mmm-yy")),
    '[3]Global Weekly Stock (EWSuez'!$E$4:$E$2000)
/
SUMPRODUCT(
    --(TEXT('[3]Global Weekly Stock (EWSuez'!$B$4:$B$2000,"mmm-yy")=TEXT(A939,"mmm-yy"))
)</f>
        <v>13798</v>
      </c>
      <c r="I939">
        <f>_xlfn.XLOOKUP(A939,[1]ForwardDeriv!$D:$D,[1]ForwardDeriv!$AJ:$AJ)</f>
        <v>0.48000000000000398</v>
      </c>
      <c r="J939" cm="1">
        <f t="array" ref="J939">_xlfn.XLOOKUP(TEXT(A939, "mmm-yy"), TEXT([2]GASOLINE!$B$5:$B$208, "mmm-yy"), [2]GASOLINE!$IR$5:$IR$208, "Not Found")</f>
        <v>-27.762537631590021</v>
      </c>
      <c r="K939" cm="1">
        <f t="array" ref="K939">_xlfn.XLOOKUP(TEXT(A939, "mmm-yy"), TEXT([2]GASOLINE!$B$5:$B$208, "mmm-yy"), [2]GASOLINE!$IK$5:$IK$208, "Not Found")</f>
        <v>158.79080848202898</v>
      </c>
      <c r="L939">
        <f t="shared" si="14"/>
        <v>1</v>
      </c>
      <c r="M939" cm="1">
        <f t="array" ref="M939">_xlfn.XLOOKUP(TEXT(A939, "mmm-yy"), TEXT([2]GASOLINE!$B$5:$B$208, "mmm-yy"), [2]GASOLINE!$C$5:$C$208, "Not Found")</f>
        <v>7401.6643645111299</v>
      </c>
      <c r="N939" cm="1">
        <f t="array" ref="N939">_xlfn.XLOOKUP(TEXT(A939, "mmm-yy"), TEXT([2]RUNS!$B$5:$B$208, "mmm-yy"), [2]RUNS!$BM$5:$BM$208, "Not Found")</f>
        <v>0.84909131224577361</v>
      </c>
    </row>
    <row r="940" spans="1:14" x14ac:dyDescent="0.25">
      <c r="A940" s="1">
        <f>'[1]Global_Spot Prices'!$B2249</f>
        <v>43319</v>
      </c>
      <c r="B940">
        <f>_xlfn.XLOOKUP(A940,'[1]Global_Spot Prices'!$B:$B,'[1]Global_Spot Prices'!$BS:$BS)</f>
        <v>9.6499999999999915</v>
      </c>
      <c r="C940">
        <f>_xlfn.XLOOKUP(A940,'[1]Global_Spot Prices'!$B:$B,'[1]Global_Spot Prices'!$E:$E)</f>
        <v>72.650000000000006</v>
      </c>
      <c r="D940">
        <f>_xlfn.XLOOKUP(A940,'[1]Global_Spot Prices'!$B:$B,'[1]Global_Spot Prices'!$D:$D)</f>
        <v>72.745000000000005</v>
      </c>
      <c r="E940">
        <f>_xlfn.XLOOKUP(A940,'[1]Global_Spot Prices'!$B:$B,'[1]Global_Spot Prices'!$H:$H)</f>
        <v>71.900000000000006</v>
      </c>
      <c r="F940">
        <f>_xlfn.XLOOKUP(A940,'[1]Global_Spot Prices'!$B:$B,'[1]Global_Spot Prices'!$I:$I)</f>
        <v>82.3</v>
      </c>
      <c r="G940" cm="1">
        <f t="array" ref="G940">_xlfn.XLOOKUP(TEXT(A940, "mmm-yy"), TEXT([2]RUNS!$B$5:$B$208, "mmm-yy"), [2]RUNS!$D$5:$D$208, "Not Found")</f>
        <v>29683.213366537551</v>
      </c>
      <c r="H940" cm="1">
        <f t="array" ref="H940">SUMPRODUCT(
    --(TEXT('[3]Global Weekly Stock (EWSuez'!$B$4:$B$2000,"mmm-yy")=TEXT(A940,"mmm-yy")),
    '[3]Global Weekly Stock (EWSuez'!$E$4:$E$2000)
/
SUMPRODUCT(
    --(TEXT('[3]Global Weekly Stock (EWSuez'!$B$4:$B$2000,"mmm-yy")=TEXT(A940,"mmm-yy"))
)</f>
        <v>13798</v>
      </c>
      <c r="I940">
        <f>_xlfn.XLOOKUP(A940,[1]ForwardDeriv!$D:$D,[1]ForwardDeriv!$AJ:$AJ)</f>
        <v>0.56999999999999318</v>
      </c>
      <c r="J940" cm="1">
        <f t="array" ref="J940">_xlfn.XLOOKUP(TEXT(A940, "mmm-yy"), TEXT([2]GASOLINE!$B$5:$B$208, "mmm-yy"), [2]GASOLINE!$IR$5:$IR$208, "Not Found")</f>
        <v>-27.762537631590021</v>
      </c>
      <c r="K940" cm="1">
        <f t="array" ref="K940">_xlfn.XLOOKUP(TEXT(A940, "mmm-yy"), TEXT([2]GASOLINE!$B$5:$B$208, "mmm-yy"), [2]GASOLINE!$IK$5:$IK$208, "Not Found")</f>
        <v>158.79080848202898</v>
      </c>
      <c r="L940">
        <f t="shared" si="14"/>
        <v>1</v>
      </c>
      <c r="M940" cm="1">
        <f t="array" ref="M940">_xlfn.XLOOKUP(TEXT(A940, "mmm-yy"), TEXT([2]GASOLINE!$B$5:$B$208, "mmm-yy"), [2]GASOLINE!$C$5:$C$208, "Not Found")</f>
        <v>7401.6643645111299</v>
      </c>
      <c r="N940" cm="1">
        <f t="array" ref="N940">_xlfn.XLOOKUP(TEXT(A940, "mmm-yy"), TEXT([2]RUNS!$B$5:$B$208, "mmm-yy"), [2]RUNS!$BM$5:$BM$208, "Not Found")</f>
        <v>0.84909131224577361</v>
      </c>
    </row>
    <row r="941" spans="1:14" x14ac:dyDescent="0.25">
      <c r="A941" s="1">
        <f>'[1]Global_Spot Prices'!$B2250</f>
        <v>43320</v>
      </c>
      <c r="B941">
        <f>_xlfn.XLOOKUP(A941,'[1]Global_Spot Prices'!$B:$B,'[1]Global_Spot Prices'!$BS:$BS)</f>
        <v>10.019999999999996</v>
      </c>
      <c r="C941">
        <f>_xlfn.XLOOKUP(A941,'[1]Global_Spot Prices'!$B:$B,'[1]Global_Spot Prices'!$E:$E)</f>
        <v>73.3</v>
      </c>
      <c r="D941">
        <f>_xlfn.XLOOKUP(A941,'[1]Global_Spot Prices'!$B:$B,'[1]Global_Spot Prices'!$D:$D)</f>
        <v>70.495000000000005</v>
      </c>
      <c r="E941">
        <f>_xlfn.XLOOKUP(A941,'[1]Global_Spot Prices'!$B:$B,'[1]Global_Spot Prices'!$H:$H)</f>
        <v>72.38</v>
      </c>
      <c r="F941">
        <f>_xlfn.XLOOKUP(A941,'[1]Global_Spot Prices'!$B:$B,'[1]Global_Spot Prices'!$I:$I)</f>
        <v>83.32</v>
      </c>
      <c r="G941" cm="1">
        <f t="array" ref="G941">_xlfn.XLOOKUP(TEXT(A941, "mmm-yy"), TEXT([2]RUNS!$B$5:$B$208, "mmm-yy"), [2]RUNS!$D$5:$D$208, "Not Found")</f>
        <v>29683.213366537551</v>
      </c>
      <c r="H941" cm="1">
        <f t="array" ref="H941">SUMPRODUCT(
    --(TEXT('[3]Global Weekly Stock (EWSuez'!$B$4:$B$2000,"mmm-yy")=TEXT(A941,"mmm-yy")),
    '[3]Global Weekly Stock (EWSuez'!$E$4:$E$2000)
/
SUMPRODUCT(
    --(TEXT('[3]Global Weekly Stock (EWSuez'!$B$4:$B$2000,"mmm-yy")=TEXT(A941,"mmm-yy"))
)</f>
        <v>13798</v>
      </c>
      <c r="I941">
        <f>_xlfn.XLOOKUP(A941,[1]ForwardDeriv!$D:$D,[1]ForwardDeriv!$AJ:$AJ)</f>
        <v>0.56000000000000227</v>
      </c>
      <c r="J941" cm="1">
        <f t="array" ref="J941">_xlfn.XLOOKUP(TEXT(A941, "mmm-yy"), TEXT([2]GASOLINE!$B$5:$B$208, "mmm-yy"), [2]GASOLINE!$IR$5:$IR$208, "Not Found")</f>
        <v>-27.762537631590021</v>
      </c>
      <c r="K941" cm="1">
        <f t="array" ref="K941">_xlfn.XLOOKUP(TEXT(A941, "mmm-yy"), TEXT([2]GASOLINE!$B$5:$B$208, "mmm-yy"), [2]GASOLINE!$IK$5:$IK$208, "Not Found")</f>
        <v>158.79080848202898</v>
      </c>
      <c r="L941">
        <f t="shared" si="14"/>
        <v>1</v>
      </c>
      <c r="M941" cm="1">
        <f t="array" ref="M941">_xlfn.XLOOKUP(TEXT(A941, "mmm-yy"), TEXT([2]GASOLINE!$B$5:$B$208, "mmm-yy"), [2]GASOLINE!$C$5:$C$208, "Not Found")</f>
        <v>7401.6643645111299</v>
      </c>
      <c r="N941" cm="1">
        <f t="array" ref="N941">_xlfn.XLOOKUP(TEXT(A941, "mmm-yy"), TEXT([2]RUNS!$B$5:$B$208, "mmm-yy"), [2]RUNS!$BM$5:$BM$208, "Not Found")</f>
        <v>0.84909131224577361</v>
      </c>
    </row>
    <row r="942" spans="1:14" x14ac:dyDescent="0.25">
      <c r="A942" s="1">
        <f>'[1]Global_Spot Prices'!$B2251</f>
        <v>43321</v>
      </c>
      <c r="B942" t="e">
        <f>_xlfn.XLOOKUP(A942,'[1]Global_Spot Prices'!$B:$B,'[1]Global_Spot Prices'!$BS:$BS)</f>
        <v>#N/A</v>
      </c>
      <c r="C942" t="str">
        <f>_xlfn.XLOOKUP(A942,'[1]Global_Spot Prices'!$B:$B,'[1]Global_Spot Prices'!$E:$E)</f>
        <v/>
      </c>
      <c r="D942">
        <f>_xlfn.XLOOKUP(A942,'[1]Global_Spot Prices'!$B:$B,'[1]Global_Spot Prices'!$D:$D)</f>
        <v>70.625</v>
      </c>
      <c r="E942">
        <f>_xlfn.XLOOKUP(A942,'[1]Global_Spot Prices'!$B:$B,'[1]Global_Spot Prices'!$H:$H)</f>
        <v>0</v>
      </c>
      <c r="F942">
        <f>_xlfn.XLOOKUP(A942,'[1]Global_Spot Prices'!$B:$B,'[1]Global_Spot Prices'!$I:$I)</f>
        <v>0</v>
      </c>
      <c r="G942" cm="1">
        <f t="array" ref="G942">_xlfn.XLOOKUP(TEXT(A942, "mmm-yy"), TEXT([2]RUNS!$B$5:$B$208, "mmm-yy"), [2]RUNS!$D$5:$D$208, "Not Found")</f>
        <v>29683.213366537551</v>
      </c>
      <c r="H942" cm="1">
        <f t="array" ref="H942">SUMPRODUCT(
    --(TEXT('[3]Global Weekly Stock (EWSuez'!$B$4:$B$2000,"mmm-yy")=TEXT(A942,"mmm-yy")),
    '[3]Global Weekly Stock (EWSuez'!$E$4:$E$2000)
/
SUMPRODUCT(
    --(TEXT('[3]Global Weekly Stock (EWSuez'!$B$4:$B$2000,"mmm-yy")=TEXT(A942,"mmm-yy"))
)</f>
        <v>13798</v>
      </c>
      <c r="I942">
        <f>_xlfn.XLOOKUP(A942,[1]ForwardDeriv!$D:$D,[1]ForwardDeriv!$AJ:$AJ)</f>
        <v>0.62999999999999545</v>
      </c>
      <c r="J942" cm="1">
        <f t="array" ref="J942">_xlfn.XLOOKUP(TEXT(A942, "mmm-yy"), TEXT([2]GASOLINE!$B$5:$B$208, "mmm-yy"), [2]GASOLINE!$IR$5:$IR$208, "Not Found")</f>
        <v>-27.762537631590021</v>
      </c>
      <c r="K942" cm="1">
        <f t="array" ref="K942">_xlfn.XLOOKUP(TEXT(A942, "mmm-yy"), TEXT([2]GASOLINE!$B$5:$B$208, "mmm-yy"), [2]GASOLINE!$IK$5:$IK$208, "Not Found")</f>
        <v>158.79080848202898</v>
      </c>
      <c r="L942">
        <f t="shared" si="14"/>
        <v>1</v>
      </c>
      <c r="M942" cm="1">
        <f t="array" ref="M942">_xlfn.XLOOKUP(TEXT(A942, "mmm-yy"), TEXT([2]GASOLINE!$B$5:$B$208, "mmm-yy"), [2]GASOLINE!$C$5:$C$208, "Not Found")</f>
        <v>7401.6643645111299</v>
      </c>
      <c r="N942" cm="1">
        <f t="array" ref="N942">_xlfn.XLOOKUP(TEXT(A942, "mmm-yy"), TEXT([2]RUNS!$B$5:$B$208, "mmm-yy"), [2]RUNS!$BM$5:$BM$208, "Not Found")</f>
        <v>0.84909131224577361</v>
      </c>
    </row>
    <row r="943" spans="1:14" x14ac:dyDescent="0.25">
      <c r="A943" s="1">
        <f>'[1]Global_Spot Prices'!$B2252</f>
        <v>43322</v>
      </c>
      <c r="B943">
        <f>_xlfn.XLOOKUP(A943,'[1]Global_Spot Prices'!$B:$B,'[1]Global_Spot Prices'!$BS:$BS)</f>
        <v>10</v>
      </c>
      <c r="C943">
        <f>_xlfn.XLOOKUP(A943,'[1]Global_Spot Prices'!$B:$B,'[1]Global_Spot Prices'!$E:$E)</f>
        <v>70.489999999999995</v>
      </c>
      <c r="D943">
        <f>_xlfn.XLOOKUP(A943,'[1]Global_Spot Prices'!$B:$B,'[1]Global_Spot Prices'!$D:$D)</f>
        <v>71.27</v>
      </c>
      <c r="E943">
        <f>_xlfn.XLOOKUP(A943,'[1]Global_Spot Prices'!$B:$B,'[1]Global_Spot Prices'!$H:$H)</f>
        <v>69.27</v>
      </c>
      <c r="F943">
        <f>_xlfn.XLOOKUP(A943,'[1]Global_Spot Prices'!$B:$B,'[1]Global_Spot Prices'!$I:$I)</f>
        <v>80.489999999999995</v>
      </c>
      <c r="G943" cm="1">
        <f t="array" ref="G943">_xlfn.XLOOKUP(TEXT(A943, "mmm-yy"), TEXT([2]RUNS!$B$5:$B$208, "mmm-yy"), [2]RUNS!$D$5:$D$208, "Not Found")</f>
        <v>29683.213366537551</v>
      </c>
      <c r="H943" cm="1">
        <f t="array" ref="H943">SUMPRODUCT(
    --(TEXT('[3]Global Weekly Stock (EWSuez'!$B$4:$B$2000,"mmm-yy")=TEXT(A943,"mmm-yy")),
    '[3]Global Weekly Stock (EWSuez'!$E$4:$E$2000)
/
SUMPRODUCT(
    --(TEXT('[3]Global Weekly Stock (EWSuez'!$B$4:$B$2000,"mmm-yy")=TEXT(A943,"mmm-yy"))
)</f>
        <v>13798</v>
      </c>
      <c r="I943">
        <f>_xlfn.XLOOKUP(A943,[1]ForwardDeriv!$D:$D,[1]ForwardDeriv!$AJ:$AJ)</f>
        <v>0.62999999999999545</v>
      </c>
      <c r="J943" cm="1">
        <f t="array" ref="J943">_xlfn.XLOOKUP(TEXT(A943, "mmm-yy"), TEXT([2]GASOLINE!$B$5:$B$208, "mmm-yy"), [2]GASOLINE!$IR$5:$IR$208, "Not Found")</f>
        <v>-27.762537631590021</v>
      </c>
      <c r="K943" cm="1">
        <f t="array" ref="K943">_xlfn.XLOOKUP(TEXT(A943, "mmm-yy"), TEXT([2]GASOLINE!$B$5:$B$208, "mmm-yy"), [2]GASOLINE!$IK$5:$IK$208, "Not Found")</f>
        <v>158.79080848202898</v>
      </c>
      <c r="L943">
        <f t="shared" si="14"/>
        <v>1</v>
      </c>
      <c r="M943" cm="1">
        <f t="array" ref="M943">_xlfn.XLOOKUP(TEXT(A943, "mmm-yy"), TEXT([2]GASOLINE!$B$5:$B$208, "mmm-yy"), [2]GASOLINE!$C$5:$C$208, "Not Found")</f>
        <v>7401.6643645111299</v>
      </c>
      <c r="N943" cm="1">
        <f t="array" ref="N943">_xlfn.XLOOKUP(TEXT(A943, "mmm-yy"), TEXT([2]RUNS!$B$5:$B$208, "mmm-yy"), [2]RUNS!$BM$5:$BM$208, "Not Found")</f>
        <v>0.84909131224577361</v>
      </c>
    </row>
    <row r="944" spans="1:14" x14ac:dyDescent="0.25">
      <c r="A944" s="1">
        <f>'[1]Global_Spot Prices'!$B2253</f>
        <v>43325</v>
      </c>
      <c r="B944">
        <f>_xlfn.XLOOKUP(A944,'[1]Global_Spot Prices'!$B:$B,'[1]Global_Spot Prices'!$BS:$BS)</f>
        <v>10.420000000000002</v>
      </c>
      <c r="C944">
        <f>_xlfn.XLOOKUP(A944,'[1]Global_Spot Prices'!$B:$B,'[1]Global_Spot Prices'!$E:$E)</f>
        <v>71.25</v>
      </c>
      <c r="D944">
        <f>_xlfn.XLOOKUP(A944,'[1]Global_Spot Prices'!$B:$B,'[1]Global_Spot Prices'!$D:$D)</f>
        <v>70.974999999999994</v>
      </c>
      <c r="E944">
        <f>_xlfn.XLOOKUP(A944,'[1]Global_Spot Prices'!$B:$B,'[1]Global_Spot Prices'!$H:$H)</f>
        <v>70.16</v>
      </c>
      <c r="F944">
        <f>_xlfn.XLOOKUP(A944,'[1]Global_Spot Prices'!$B:$B,'[1]Global_Spot Prices'!$I:$I)</f>
        <v>81.67</v>
      </c>
      <c r="G944" cm="1">
        <f t="array" ref="G944">_xlfn.XLOOKUP(TEXT(A944, "mmm-yy"), TEXT([2]RUNS!$B$5:$B$208, "mmm-yy"), [2]RUNS!$D$5:$D$208, "Not Found")</f>
        <v>29683.213366537551</v>
      </c>
      <c r="H944" cm="1">
        <f t="array" ref="H944">SUMPRODUCT(
    --(TEXT('[3]Global Weekly Stock (EWSuez'!$B$4:$B$2000,"mmm-yy")=TEXT(A944,"mmm-yy")),
    '[3]Global Weekly Stock (EWSuez'!$E$4:$E$2000)
/
SUMPRODUCT(
    --(TEXT('[3]Global Weekly Stock (EWSuez'!$B$4:$B$2000,"mmm-yy")=TEXT(A944,"mmm-yy"))
)</f>
        <v>13798</v>
      </c>
      <c r="I944">
        <f>_xlfn.XLOOKUP(A944,[1]ForwardDeriv!$D:$D,[1]ForwardDeriv!$AJ:$AJ)</f>
        <v>0.79999999999999716</v>
      </c>
      <c r="J944" cm="1">
        <f t="array" ref="J944">_xlfn.XLOOKUP(TEXT(A944, "mmm-yy"), TEXT([2]GASOLINE!$B$5:$B$208, "mmm-yy"), [2]GASOLINE!$IR$5:$IR$208, "Not Found")</f>
        <v>-27.762537631590021</v>
      </c>
      <c r="K944" cm="1">
        <f t="array" ref="K944">_xlfn.XLOOKUP(TEXT(A944, "mmm-yy"), TEXT([2]GASOLINE!$B$5:$B$208, "mmm-yy"), [2]GASOLINE!$IK$5:$IK$208, "Not Found")</f>
        <v>158.79080848202898</v>
      </c>
      <c r="L944">
        <f t="shared" si="14"/>
        <v>1</v>
      </c>
      <c r="M944" cm="1">
        <f t="array" ref="M944">_xlfn.XLOOKUP(TEXT(A944, "mmm-yy"), TEXT([2]GASOLINE!$B$5:$B$208, "mmm-yy"), [2]GASOLINE!$C$5:$C$208, "Not Found")</f>
        <v>7401.6643645111299</v>
      </c>
      <c r="N944" cm="1">
        <f t="array" ref="N944">_xlfn.XLOOKUP(TEXT(A944, "mmm-yy"), TEXT([2]RUNS!$B$5:$B$208, "mmm-yy"), [2]RUNS!$BM$5:$BM$208, "Not Found")</f>
        <v>0.84909131224577361</v>
      </c>
    </row>
    <row r="945" spans="1:14" x14ac:dyDescent="0.25">
      <c r="A945" s="1">
        <f>'[1]Global_Spot Prices'!$B2254</f>
        <v>43326</v>
      </c>
      <c r="B945">
        <f>_xlfn.XLOOKUP(A945,'[1]Global_Spot Prices'!$B:$B,'[1]Global_Spot Prices'!$BS:$BS)</f>
        <v>10.090000000000003</v>
      </c>
      <c r="C945">
        <f>_xlfn.XLOOKUP(A945,'[1]Global_Spot Prices'!$B:$B,'[1]Global_Spot Prices'!$E:$E)</f>
        <v>71.8</v>
      </c>
      <c r="D945">
        <f>_xlfn.XLOOKUP(A945,'[1]Global_Spot Prices'!$B:$B,'[1]Global_Spot Prices'!$D:$D)</f>
        <v>71.09</v>
      </c>
      <c r="E945">
        <f>_xlfn.XLOOKUP(A945,'[1]Global_Spot Prices'!$B:$B,'[1]Global_Spot Prices'!$H:$H)</f>
        <v>70.680000000000007</v>
      </c>
      <c r="F945">
        <f>_xlfn.XLOOKUP(A945,'[1]Global_Spot Prices'!$B:$B,'[1]Global_Spot Prices'!$I:$I)</f>
        <v>81.89</v>
      </c>
      <c r="G945" cm="1">
        <f t="array" ref="G945">_xlfn.XLOOKUP(TEXT(A945, "mmm-yy"), TEXT([2]RUNS!$B$5:$B$208, "mmm-yy"), [2]RUNS!$D$5:$D$208, "Not Found")</f>
        <v>29683.213366537551</v>
      </c>
      <c r="H945" cm="1">
        <f t="array" ref="H945">SUMPRODUCT(
    --(TEXT('[3]Global Weekly Stock (EWSuez'!$B$4:$B$2000,"mmm-yy")=TEXT(A945,"mmm-yy")),
    '[3]Global Weekly Stock (EWSuez'!$E$4:$E$2000)
/
SUMPRODUCT(
    --(TEXT('[3]Global Weekly Stock (EWSuez'!$B$4:$B$2000,"mmm-yy")=TEXT(A945,"mmm-yy"))
)</f>
        <v>13798</v>
      </c>
      <c r="I945">
        <f>_xlfn.XLOOKUP(A945,[1]ForwardDeriv!$D:$D,[1]ForwardDeriv!$AJ:$AJ)</f>
        <v>0.78000000000000114</v>
      </c>
      <c r="J945" cm="1">
        <f t="array" ref="J945">_xlfn.XLOOKUP(TEXT(A945, "mmm-yy"), TEXT([2]GASOLINE!$B$5:$B$208, "mmm-yy"), [2]GASOLINE!$IR$5:$IR$208, "Not Found")</f>
        <v>-27.762537631590021</v>
      </c>
      <c r="K945" cm="1">
        <f t="array" ref="K945">_xlfn.XLOOKUP(TEXT(A945, "mmm-yy"), TEXT([2]GASOLINE!$B$5:$B$208, "mmm-yy"), [2]GASOLINE!$IK$5:$IK$208, "Not Found")</f>
        <v>158.79080848202898</v>
      </c>
      <c r="L945">
        <f t="shared" si="14"/>
        <v>1</v>
      </c>
      <c r="M945" cm="1">
        <f t="array" ref="M945">_xlfn.XLOOKUP(TEXT(A945, "mmm-yy"), TEXT([2]GASOLINE!$B$5:$B$208, "mmm-yy"), [2]GASOLINE!$C$5:$C$208, "Not Found")</f>
        <v>7401.6643645111299</v>
      </c>
      <c r="N945" cm="1">
        <f t="array" ref="N945">_xlfn.XLOOKUP(TEXT(A945, "mmm-yy"), TEXT([2]RUNS!$B$5:$B$208, "mmm-yy"), [2]RUNS!$BM$5:$BM$208, "Not Found")</f>
        <v>0.84909131224577361</v>
      </c>
    </row>
    <row r="946" spans="1:14" x14ac:dyDescent="0.25">
      <c r="A946" s="1">
        <f>'[1]Global_Spot Prices'!$B2255</f>
        <v>43327</v>
      </c>
      <c r="B946">
        <f>_xlfn.XLOOKUP(A946,'[1]Global_Spot Prices'!$B:$B,'[1]Global_Spot Prices'!$BS:$BS)</f>
        <v>13.099999999999994</v>
      </c>
      <c r="C946">
        <f>_xlfn.XLOOKUP(A946,'[1]Global_Spot Prices'!$B:$B,'[1]Global_Spot Prices'!$E:$E)</f>
        <v>70.650000000000006</v>
      </c>
      <c r="D946">
        <f>_xlfn.XLOOKUP(A946,'[1]Global_Spot Prices'!$B:$B,'[1]Global_Spot Prices'!$D:$D)</f>
        <v>68.864999999999995</v>
      </c>
      <c r="E946">
        <f>_xlfn.XLOOKUP(A946,'[1]Global_Spot Prices'!$B:$B,'[1]Global_Spot Prices'!$H:$H)</f>
        <v>70.25</v>
      </c>
      <c r="F946">
        <f>_xlfn.XLOOKUP(A946,'[1]Global_Spot Prices'!$B:$B,'[1]Global_Spot Prices'!$I:$I)</f>
        <v>83.75</v>
      </c>
      <c r="G946" cm="1">
        <f t="array" ref="G946">_xlfn.XLOOKUP(TEXT(A946, "mmm-yy"), TEXT([2]RUNS!$B$5:$B$208, "mmm-yy"), [2]RUNS!$D$5:$D$208, "Not Found")</f>
        <v>29683.213366537551</v>
      </c>
      <c r="H946" cm="1">
        <f t="array" ref="H946">SUMPRODUCT(
    --(TEXT('[3]Global Weekly Stock (EWSuez'!$B$4:$B$2000,"mmm-yy")=TEXT(A946,"mmm-yy")),
    '[3]Global Weekly Stock (EWSuez'!$E$4:$E$2000)
/
SUMPRODUCT(
    --(TEXT('[3]Global Weekly Stock (EWSuez'!$B$4:$B$2000,"mmm-yy")=TEXT(A946,"mmm-yy"))
)</f>
        <v>13798</v>
      </c>
      <c r="I946">
        <f>_xlfn.XLOOKUP(A946,[1]ForwardDeriv!$D:$D,[1]ForwardDeriv!$AJ:$AJ)</f>
        <v>1.5300000000000011</v>
      </c>
      <c r="J946" cm="1">
        <f t="array" ref="J946">_xlfn.XLOOKUP(TEXT(A946, "mmm-yy"), TEXT([2]GASOLINE!$B$5:$B$208, "mmm-yy"), [2]GASOLINE!$IR$5:$IR$208, "Not Found")</f>
        <v>-27.762537631590021</v>
      </c>
      <c r="K946" cm="1">
        <f t="array" ref="K946">_xlfn.XLOOKUP(TEXT(A946, "mmm-yy"), TEXT([2]GASOLINE!$B$5:$B$208, "mmm-yy"), [2]GASOLINE!$IK$5:$IK$208, "Not Found")</f>
        <v>158.79080848202898</v>
      </c>
      <c r="L946">
        <f t="shared" si="14"/>
        <v>1</v>
      </c>
      <c r="M946" cm="1">
        <f t="array" ref="M946">_xlfn.XLOOKUP(TEXT(A946, "mmm-yy"), TEXT([2]GASOLINE!$B$5:$B$208, "mmm-yy"), [2]GASOLINE!$C$5:$C$208, "Not Found")</f>
        <v>7401.6643645111299</v>
      </c>
      <c r="N946" cm="1">
        <f t="array" ref="N946">_xlfn.XLOOKUP(TEXT(A946, "mmm-yy"), TEXT([2]RUNS!$B$5:$B$208, "mmm-yy"), [2]RUNS!$BM$5:$BM$208, "Not Found")</f>
        <v>0.84909131224577361</v>
      </c>
    </row>
    <row r="947" spans="1:14" x14ac:dyDescent="0.25">
      <c r="A947" s="1">
        <f>'[1]Global_Spot Prices'!$B2256</f>
        <v>43328</v>
      </c>
      <c r="B947">
        <f>_xlfn.XLOOKUP(A947,'[1]Global_Spot Prices'!$B:$B,'[1]Global_Spot Prices'!$BS:$BS)</f>
        <v>11.840000000000003</v>
      </c>
      <c r="C947">
        <f>_xlfn.XLOOKUP(A947,'[1]Global_Spot Prices'!$B:$B,'[1]Global_Spot Prices'!$E:$E)</f>
        <v>69.66</v>
      </c>
      <c r="D947">
        <f>_xlfn.XLOOKUP(A947,'[1]Global_Spot Prices'!$B:$B,'[1]Global_Spot Prices'!$D:$D)</f>
        <v>69.825000000000003</v>
      </c>
      <c r="E947">
        <f>_xlfn.XLOOKUP(A947,'[1]Global_Spot Prices'!$B:$B,'[1]Global_Spot Prices'!$H:$H)</f>
        <v>69.42</v>
      </c>
      <c r="F947">
        <f>_xlfn.XLOOKUP(A947,'[1]Global_Spot Prices'!$B:$B,'[1]Global_Spot Prices'!$I:$I)</f>
        <v>81.5</v>
      </c>
      <c r="G947" cm="1">
        <f t="array" ref="G947">_xlfn.XLOOKUP(TEXT(A947, "mmm-yy"), TEXT([2]RUNS!$B$5:$B$208, "mmm-yy"), [2]RUNS!$D$5:$D$208, "Not Found")</f>
        <v>29683.213366537551</v>
      </c>
      <c r="H947" cm="1">
        <f t="array" ref="H947">SUMPRODUCT(
    --(TEXT('[3]Global Weekly Stock (EWSuez'!$B$4:$B$2000,"mmm-yy")=TEXT(A947,"mmm-yy")),
    '[3]Global Weekly Stock (EWSuez'!$E$4:$E$2000)
/
SUMPRODUCT(
    --(TEXT('[3]Global Weekly Stock (EWSuez'!$B$4:$B$2000,"mmm-yy")=TEXT(A947,"mmm-yy"))
)</f>
        <v>13798</v>
      </c>
      <c r="I947">
        <f>_xlfn.XLOOKUP(A947,[1]ForwardDeriv!$D:$D,[1]ForwardDeriv!$AJ:$AJ)</f>
        <v>1.3100000000000023</v>
      </c>
      <c r="J947" cm="1">
        <f t="array" ref="J947">_xlfn.XLOOKUP(TEXT(A947, "mmm-yy"), TEXT([2]GASOLINE!$B$5:$B$208, "mmm-yy"), [2]GASOLINE!$IR$5:$IR$208, "Not Found")</f>
        <v>-27.762537631590021</v>
      </c>
      <c r="K947" cm="1">
        <f t="array" ref="K947">_xlfn.XLOOKUP(TEXT(A947, "mmm-yy"), TEXT([2]GASOLINE!$B$5:$B$208, "mmm-yy"), [2]GASOLINE!$IK$5:$IK$208, "Not Found")</f>
        <v>158.79080848202898</v>
      </c>
      <c r="L947">
        <f t="shared" si="14"/>
        <v>1</v>
      </c>
      <c r="M947" cm="1">
        <f t="array" ref="M947">_xlfn.XLOOKUP(TEXT(A947, "mmm-yy"), TEXT([2]GASOLINE!$B$5:$B$208, "mmm-yy"), [2]GASOLINE!$C$5:$C$208, "Not Found")</f>
        <v>7401.6643645111299</v>
      </c>
      <c r="N947" cm="1">
        <f t="array" ref="N947">_xlfn.XLOOKUP(TEXT(A947, "mmm-yy"), TEXT([2]RUNS!$B$5:$B$208, "mmm-yy"), [2]RUNS!$BM$5:$BM$208, "Not Found")</f>
        <v>0.84909131224577361</v>
      </c>
    </row>
    <row r="948" spans="1:14" x14ac:dyDescent="0.25">
      <c r="A948" s="1">
        <f>'[1]Global_Spot Prices'!$B2257</f>
        <v>43329</v>
      </c>
      <c r="B948">
        <f>_xlfn.XLOOKUP(A948,'[1]Global_Spot Prices'!$B:$B,'[1]Global_Spot Prices'!$BS:$BS)</f>
        <v>10.420000000000002</v>
      </c>
      <c r="C948">
        <f>_xlfn.XLOOKUP(A948,'[1]Global_Spot Prices'!$B:$B,'[1]Global_Spot Prices'!$E:$E)</f>
        <v>70.39</v>
      </c>
      <c r="D948">
        <f>_xlfn.XLOOKUP(A948,'[1]Global_Spot Prices'!$B:$B,'[1]Global_Spot Prices'!$D:$D)</f>
        <v>70.625</v>
      </c>
      <c r="E948">
        <f>_xlfn.XLOOKUP(A948,'[1]Global_Spot Prices'!$B:$B,'[1]Global_Spot Prices'!$H:$H)</f>
        <v>69.319999999999993</v>
      </c>
      <c r="F948">
        <f>_xlfn.XLOOKUP(A948,'[1]Global_Spot Prices'!$B:$B,'[1]Global_Spot Prices'!$I:$I)</f>
        <v>80.81</v>
      </c>
      <c r="G948" cm="1">
        <f t="array" ref="G948">_xlfn.XLOOKUP(TEXT(A948, "mmm-yy"), TEXT([2]RUNS!$B$5:$B$208, "mmm-yy"), [2]RUNS!$D$5:$D$208, "Not Found")</f>
        <v>29683.213366537551</v>
      </c>
      <c r="H948" cm="1">
        <f t="array" ref="H948">SUMPRODUCT(
    --(TEXT('[3]Global Weekly Stock (EWSuez'!$B$4:$B$2000,"mmm-yy")=TEXT(A948,"mmm-yy")),
    '[3]Global Weekly Stock (EWSuez'!$E$4:$E$2000)
/
SUMPRODUCT(
    --(TEXT('[3]Global Weekly Stock (EWSuez'!$B$4:$B$2000,"mmm-yy")=TEXT(A948,"mmm-yy"))
)</f>
        <v>13798</v>
      </c>
      <c r="I948">
        <f>_xlfn.XLOOKUP(A948,[1]ForwardDeriv!$D:$D,[1]ForwardDeriv!$AJ:$AJ)</f>
        <v>1.0499999999999972</v>
      </c>
      <c r="J948" cm="1">
        <f t="array" ref="J948">_xlfn.XLOOKUP(TEXT(A948, "mmm-yy"), TEXT([2]GASOLINE!$B$5:$B$208, "mmm-yy"), [2]GASOLINE!$IR$5:$IR$208, "Not Found")</f>
        <v>-27.762537631590021</v>
      </c>
      <c r="K948" cm="1">
        <f t="array" ref="K948">_xlfn.XLOOKUP(TEXT(A948, "mmm-yy"), TEXT([2]GASOLINE!$B$5:$B$208, "mmm-yy"), [2]GASOLINE!$IK$5:$IK$208, "Not Found")</f>
        <v>158.79080848202898</v>
      </c>
      <c r="L948">
        <f t="shared" si="14"/>
        <v>1</v>
      </c>
      <c r="M948" cm="1">
        <f t="array" ref="M948">_xlfn.XLOOKUP(TEXT(A948, "mmm-yy"), TEXT([2]GASOLINE!$B$5:$B$208, "mmm-yy"), [2]GASOLINE!$C$5:$C$208, "Not Found")</f>
        <v>7401.6643645111299</v>
      </c>
      <c r="N948" cm="1">
        <f t="array" ref="N948">_xlfn.XLOOKUP(TEXT(A948, "mmm-yy"), TEXT([2]RUNS!$B$5:$B$208, "mmm-yy"), [2]RUNS!$BM$5:$BM$208, "Not Found")</f>
        <v>0.84909131224577361</v>
      </c>
    </row>
    <row r="949" spans="1:14" x14ac:dyDescent="0.25">
      <c r="A949" s="1">
        <f>'[1]Global_Spot Prices'!$B2258</f>
        <v>43332</v>
      </c>
      <c r="B949">
        <f>_xlfn.XLOOKUP(A949,'[1]Global_Spot Prices'!$B:$B,'[1]Global_Spot Prices'!$BS:$BS)</f>
        <v>9.86</v>
      </c>
      <c r="C949">
        <f>_xlfn.XLOOKUP(A949,'[1]Global_Spot Prices'!$B:$B,'[1]Global_Spot Prices'!$E:$E)</f>
        <v>70.81</v>
      </c>
      <c r="D949">
        <f>_xlfn.XLOOKUP(A949,'[1]Global_Spot Prices'!$B:$B,'[1]Global_Spot Prices'!$D:$D)</f>
        <v>70.83</v>
      </c>
      <c r="E949">
        <f>_xlfn.XLOOKUP(A949,'[1]Global_Spot Prices'!$B:$B,'[1]Global_Spot Prices'!$H:$H)</f>
        <v>69.540000000000006</v>
      </c>
      <c r="F949">
        <f>_xlfn.XLOOKUP(A949,'[1]Global_Spot Prices'!$B:$B,'[1]Global_Spot Prices'!$I:$I)</f>
        <v>80.67</v>
      </c>
      <c r="G949" cm="1">
        <f t="array" ref="G949">_xlfn.XLOOKUP(TEXT(A949, "mmm-yy"), TEXT([2]RUNS!$B$5:$B$208, "mmm-yy"), [2]RUNS!$D$5:$D$208, "Not Found")</f>
        <v>29683.213366537551</v>
      </c>
      <c r="H949" cm="1">
        <f t="array" ref="H949">SUMPRODUCT(
    --(TEXT('[3]Global Weekly Stock (EWSuez'!$B$4:$B$2000,"mmm-yy")=TEXT(A949,"mmm-yy")),
    '[3]Global Weekly Stock (EWSuez'!$E$4:$E$2000)
/
SUMPRODUCT(
    --(TEXT('[3]Global Weekly Stock (EWSuez'!$B$4:$B$2000,"mmm-yy")=TEXT(A949,"mmm-yy"))
)</f>
        <v>13798</v>
      </c>
      <c r="I949">
        <f>_xlfn.XLOOKUP(A949,[1]ForwardDeriv!$D:$D,[1]ForwardDeriv!$AJ:$AJ)</f>
        <v>0.89999999999999147</v>
      </c>
      <c r="J949" cm="1">
        <f t="array" ref="J949">_xlfn.XLOOKUP(TEXT(A949, "mmm-yy"), TEXT([2]GASOLINE!$B$5:$B$208, "mmm-yy"), [2]GASOLINE!$IR$5:$IR$208, "Not Found")</f>
        <v>-27.762537631590021</v>
      </c>
      <c r="K949" cm="1">
        <f t="array" ref="K949">_xlfn.XLOOKUP(TEXT(A949, "mmm-yy"), TEXT([2]GASOLINE!$B$5:$B$208, "mmm-yy"), [2]GASOLINE!$IK$5:$IK$208, "Not Found")</f>
        <v>158.79080848202898</v>
      </c>
      <c r="L949">
        <f t="shared" si="14"/>
        <v>1</v>
      </c>
      <c r="M949" cm="1">
        <f t="array" ref="M949">_xlfn.XLOOKUP(TEXT(A949, "mmm-yy"), TEXT([2]GASOLINE!$B$5:$B$208, "mmm-yy"), [2]GASOLINE!$C$5:$C$208, "Not Found")</f>
        <v>7401.6643645111299</v>
      </c>
      <c r="N949" cm="1">
        <f t="array" ref="N949">_xlfn.XLOOKUP(TEXT(A949, "mmm-yy"), TEXT([2]RUNS!$B$5:$B$208, "mmm-yy"), [2]RUNS!$BM$5:$BM$208, "Not Found")</f>
        <v>0.84909131224577361</v>
      </c>
    </row>
    <row r="950" spans="1:14" x14ac:dyDescent="0.25">
      <c r="A950" s="1">
        <f>'[1]Global_Spot Prices'!$B2259</f>
        <v>43333</v>
      </c>
      <c r="B950">
        <f>_xlfn.XLOOKUP(A950,'[1]Global_Spot Prices'!$B:$B,'[1]Global_Spot Prices'!$BS:$BS)</f>
        <v>10.350000000000009</v>
      </c>
      <c r="C950">
        <f>_xlfn.XLOOKUP(A950,'[1]Global_Spot Prices'!$B:$B,'[1]Global_Spot Prices'!$E:$E)</f>
        <v>71.099999999999994</v>
      </c>
      <c r="D950">
        <f>_xlfn.XLOOKUP(A950,'[1]Global_Spot Prices'!$B:$B,'[1]Global_Spot Prices'!$D:$D)</f>
        <v>71.275000000000006</v>
      </c>
      <c r="E950">
        <f>_xlfn.XLOOKUP(A950,'[1]Global_Spot Prices'!$B:$B,'[1]Global_Spot Prices'!$H:$H)</f>
        <v>70.180000000000007</v>
      </c>
      <c r="F950">
        <f>_xlfn.XLOOKUP(A950,'[1]Global_Spot Prices'!$B:$B,'[1]Global_Spot Prices'!$I:$I)</f>
        <v>81.45</v>
      </c>
      <c r="G950" cm="1">
        <f t="array" ref="G950">_xlfn.XLOOKUP(TEXT(A950, "mmm-yy"), TEXT([2]RUNS!$B$5:$B$208, "mmm-yy"), [2]RUNS!$D$5:$D$208, "Not Found")</f>
        <v>29683.213366537551</v>
      </c>
      <c r="H950" cm="1">
        <f t="array" ref="H950">SUMPRODUCT(
    --(TEXT('[3]Global Weekly Stock (EWSuez'!$B$4:$B$2000,"mmm-yy")=TEXT(A950,"mmm-yy")),
    '[3]Global Weekly Stock (EWSuez'!$E$4:$E$2000)
/
SUMPRODUCT(
    --(TEXT('[3]Global Weekly Stock (EWSuez'!$B$4:$B$2000,"mmm-yy")=TEXT(A950,"mmm-yy"))
)</f>
        <v>13798</v>
      </c>
      <c r="I950">
        <f>_xlfn.XLOOKUP(A950,[1]ForwardDeriv!$D:$D,[1]ForwardDeriv!$AJ:$AJ)</f>
        <v>1</v>
      </c>
      <c r="J950" cm="1">
        <f t="array" ref="J950">_xlfn.XLOOKUP(TEXT(A950, "mmm-yy"), TEXT([2]GASOLINE!$B$5:$B$208, "mmm-yy"), [2]GASOLINE!$IR$5:$IR$208, "Not Found")</f>
        <v>-27.762537631590021</v>
      </c>
      <c r="K950" cm="1">
        <f t="array" ref="K950">_xlfn.XLOOKUP(TEXT(A950, "mmm-yy"), TEXT([2]GASOLINE!$B$5:$B$208, "mmm-yy"), [2]GASOLINE!$IK$5:$IK$208, "Not Found")</f>
        <v>158.79080848202898</v>
      </c>
      <c r="L950">
        <f t="shared" si="14"/>
        <v>1</v>
      </c>
      <c r="M950" cm="1">
        <f t="array" ref="M950">_xlfn.XLOOKUP(TEXT(A950, "mmm-yy"), TEXT([2]GASOLINE!$B$5:$B$208, "mmm-yy"), [2]GASOLINE!$C$5:$C$208, "Not Found")</f>
        <v>7401.6643645111299</v>
      </c>
      <c r="N950" cm="1">
        <f t="array" ref="N950">_xlfn.XLOOKUP(TEXT(A950, "mmm-yy"), TEXT([2]RUNS!$B$5:$B$208, "mmm-yy"), [2]RUNS!$BM$5:$BM$208, "Not Found")</f>
        <v>0.84909131224577361</v>
      </c>
    </row>
    <row r="951" spans="1:14" x14ac:dyDescent="0.25">
      <c r="A951" s="1">
        <f>'[1]Global_Spot Prices'!$B2260</f>
        <v>43334</v>
      </c>
      <c r="B951" t="e">
        <f>_xlfn.XLOOKUP(A951,'[1]Global_Spot Prices'!$B:$B,'[1]Global_Spot Prices'!$BS:$BS)</f>
        <v>#N/A</v>
      </c>
      <c r="C951" t="str">
        <f>_xlfn.XLOOKUP(A951,'[1]Global_Spot Prices'!$B:$B,'[1]Global_Spot Prices'!$E:$E)</f>
        <v/>
      </c>
      <c r="D951">
        <f>_xlfn.XLOOKUP(A951,'[1]Global_Spot Prices'!$B:$B,'[1]Global_Spot Prices'!$D:$D)</f>
        <v>73.174999999999997</v>
      </c>
      <c r="E951">
        <f>_xlfn.XLOOKUP(A951,'[1]Global_Spot Prices'!$B:$B,'[1]Global_Spot Prices'!$H:$H)</f>
        <v>0</v>
      </c>
      <c r="F951">
        <f>_xlfn.XLOOKUP(A951,'[1]Global_Spot Prices'!$B:$B,'[1]Global_Spot Prices'!$I:$I)</f>
        <v>0</v>
      </c>
      <c r="G951" cm="1">
        <f t="array" ref="G951">_xlfn.XLOOKUP(TEXT(A951, "mmm-yy"), TEXT([2]RUNS!$B$5:$B$208, "mmm-yy"), [2]RUNS!$D$5:$D$208, "Not Found")</f>
        <v>29683.213366537551</v>
      </c>
      <c r="H951" cm="1">
        <f t="array" ref="H951">SUMPRODUCT(
    --(TEXT('[3]Global Weekly Stock (EWSuez'!$B$4:$B$2000,"mmm-yy")=TEXT(A951,"mmm-yy")),
    '[3]Global Weekly Stock (EWSuez'!$E$4:$E$2000)
/
SUMPRODUCT(
    --(TEXT('[3]Global Weekly Stock (EWSuez'!$B$4:$B$2000,"mmm-yy")=TEXT(A951,"mmm-yy"))
)</f>
        <v>13798</v>
      </c>
      <c r="I951">
        <f>_xlfn.XLOOKUP(A951,[1]ForwardDeriv!$D:$D,[1]ForwardDeriv!$AJ:$AJ)</f>
        <v>0.89000000000000057</v>
      </c>
      <c r="J951" cm="1">
        <f t="array" ref="J951">_xlfn.XLOOKUP(TEXT(A951, "mmm-yy"), TEXT([2]GASOLINE!$B$5:$B$208, "mmm-yy"), [2]GASOLINE!$IR$5:$IR$208, "Not Found")</f>
        <v>-27.762537631590021</v>
      </c>
      <c r="K951" cm="1">
        <f t="array" ref="K951">_xlfn.XLOOKUP(TEXT(A951, "mmm-yy"), TEXT([2]GASOLINE!$B$5:$B$208, "mmm-yy"), [2]GASOLINE!$IK$5:$IK$208, "Not Found")</f>
        <v>158.79080848202898</v>
      </c>
      <c r="L951">
        <f t="shared" si="14"/>
        <v>1</v>
      </c>
      <c r="M951" cm="1">
        <f t="array" ref="M951">_xlfn.XLOOKUP(TEXT(A951, "mmm-yy"), TEXT([2]GASOLINE!$B$5:$B$208, "mmm-yy"), [2]GASOLINE!$C$5:$C$208, "Not Found")</f>
        <v>7401.6643645111299</v>
      </c>
      <c r="N951" cm="1">
        <f t="array" ref="N951">_xlfn.XLOOKUP(TEXT(A951, "mmm-yy"), TEXT([2]RUNS!$B$5:$B$208, "mmm-yy"), [2]RUNS!$BM$5:$BM$208, "Not Found")</f>
        <v>0.84909131224577361</v>
      </c>
    </row>
    <row r="952" spans="1:14" x14ac:dyDescent="0.25">
      <c r="A952" s="1">
        <f>'[1]Global_Spot Prices'!$B2261</f>
        <v>43335</v>
      </c>
      <c r="B952">
        <f>_xlfn.XLOOKUP(A952,'[1]Global_Spot Prices'!$B:$B,'[1]Global_Spot Prices'!$BS:$BS)</f>
        <v>9.7900000000000063</v>
      </c>
      <c r="C952">
        <f>_xlfn.XLOOKUP(A952,'[1]Global_Spot Prices'!$B:$B,'[1]Global_Spot Prices'!$E:$E)</f>
        <v>73.14</v>
      </c>
      <c r="D952">
        <f>_xlfn.XLOOKUP(A952,'[1]Global_Spot Prices'!$B:$B,'[1]Global_Spot Prices'!$D:$D)</f>
        <v>73.819999999999993</v>
      </c>
      <c r="E952">
        <f>_xlfn.XLOOKUP(A952,'[1]Global_Spot Prices'!$B:$B,'[1]Global_Spot Prices'!$H:$H)</f>
        <v>71.47</v>
      </c>
      <c r="F952">
        <f>_xlfn.XLOOKUP(A952,'[1]Global_Spot Prices'!$B:$B,'[1]Global_Spot Prices'!$I:$I)</f>
        <v>82.93</v>
      </c>
      <c r="G952" cm="1">
        <f t="array" ref="G952">_xlfn.XLOOKUP(TEXT(A952, "mmm-yy"), TEXT([2]RUNS!$B$5:$B$208, "mmm-yy"), [2]RUNS!$D$5:$D$208, "Not Found")</f>
        <v>29683.213366537551</v>
      </c>
      <c r="H952" cm="1">
        <f t="array" ref="H952">SUMPRODUCT(
    --(TEXT('[3]Global Weekly Stock (EWSuez'!$B$4:$B$2000,"mmm-yy")=TEXT(A952,"mmm-yy")),
    '[3]Global Weekly Stock (EWSuez'!$E$4:$E$2000)
/
SUMPRODUCT(
    --(TEXT('[3]Global Weekly Stock (EWSuez'!$B$4:$B$2000,"mmm-yy")=TEXT(A952,"mmm-yy"))
)</f>
        <v>13798</v>
      </c>
      <c r="I952">
        <f>_xlfn.XLOOKUP(A952,[1]ForwardDeriv!$D:$D,[1]ForwardDeriv!$AJ:$AJ)</f>
        <v>0.89000000000000057</v>
      </c>
      <c r="J952" cm="1">
        <f t="array" ref="J952">_xlfn.XLOOKUP(TEXT(A952, "mmm-yy"), TEXT([2]GASOLINE!$B$5:$B$208, "mmm-yy"), [2]GASOLINE!$IR$5:$IR$208, "Not Found")</f>
        <v>-27.762537631590021</v>
      </c>
      <c r="K952" cm="1">
        <f t="array" ref="K952">_xlfn.XLOOKUP(TEXT(A952, "mmm-yy"), TEXT([2]GASOLINE!$B$5:$B$208, "mmm-yy"), [2]GASOLINE!$IK$5:$IK$208, "Not Found")</f>
        <v>158.79080848202898</v>
      </c>
      <c r="L952">
        <f t="shared" si="14"/>
        <v>1</v>
      </c>
      <c r="M952" cm="1">
        <f t="array" ref="M952">_xlfn.XLOOKUP(TEXT(A952, "mmm-yy"), TEXT([2]GASOLINE!$B$5:$B$208, "mmm-yy"), [2]GASOLINE!$C$5:$C$208, "Not Found")</f>
        <v>7401.6643645111299</v>
      </c>
      <c r="N952" cm="1">
        <f t="array" ref="N952">_xlfn.XLOOKUP(TEXT(A952, "mmm-yy"), TEXT([2]RUNS!$B$5:$B$208, "mmm-yy"), [2]RUNS!$BM$5:$BM$208, "Not Found")</f>
        <v>0.84909131224577361</v>
      </c>
    </row>
    <row r="953" spans="1:14" x14ac:dyDescent="0.25">
      <c r="A953" s="1">
        <f>'[1]Global_Spot Prices'!$B2262</f>
        <v>43336</v>
      </c>
      <c r="B953">
        <f>_xlfn.XLOOKUP(A953,'[1]Global_Spot Prices'!$B:$B,'[1]Global_Spot Prices'!$BS:$BS)</f>
        <v>9.5700000000000074</v>
      </c>
      <c r="C953">
        <f>_xlfn.XLOOKUP(A953,'[1]Global_Spot Prices'!$B:$B,'[1]Global_Spot Prices'!$E:$E)</f>
        <v>74.11</v>
      </c>
      <c r="D953">
        <f>_xlfn.XLOOKUP(A953,'[1]Global_Spot Prices'!$B:$B,'[1]Global_Spot Prices'!$D:$D)</f>
        <v>75.06</v>
      </c>
      <c r="E953">
        <f>_xlfn.XLOOKUP(A953,'[1]Global_Spot Prices'!$B:$B,'[1]Global_Spot Prices'!$H:$H)</f>
        <v>71.73</v>
      </c>
      <c r="F953">
        <f>_xlfn.XLOOKUP(A953,'[1]Global_Spot Prices'!$B:$B,'[1]Global_Spot Prices'!$I:$I)</f>
        <v>83.68</v>
      </c>
      <c r="G953" cm="1">
        <f t="array" ref="G953">_xlfn.XLOOKUP(TEXT(A953, "mmm-yy"), TEXT([2]RUNS!$B$5:$B$208, "mmm-yy"), [2]RUNS!$D$5:$D$208, "Not Found")</f>
        <v>29683.213366537551</v>
      </c>
      <c r="H953" cm="1">
        <f t="array" ref="H953">SUMPRODUCT(
    --(TEXT('[3]Global Weekly Stock (EWSuez'!$B$4:$B$2000,"mmm-yy")=TEXT(A953,"mmm-yy")),
    '[3]Global Weekly Stock (EWSuez'!$E$4:$E$2000)
/
SUMPRODUCT(
    --(TEXT('[3]Global Weekly Stock (EWSuez'!$B$4:$B$2000,"mmm-yy")=TEXT(A953,"mmm-yy"))
)</f>
        <v>13798</v>
      </c>
      <c r="I953">
        <f>_xlfn.XLOOKUP(A953,[1]ForwardDeriv!$D:$D,[1]ForwardDeriv!$AJ:$AJ)</f>
        <v>0.84999999999999432</v>
      </c>
      <c r="J953" cm="1">
        <f t="array" ref="J953">_xlfn.XLOOKUP(TEXT(A953, "mmm-yy"), TEXT([2]GASOLINE!$B$5:$B$208, "mmm-yy"), [2]GASOLINE!$IR$5:$IR$208, "Not Found")</f>
        <v>-27.762537631590021</v>
      </c>
      <c r="K953" cm="1">
        <f t="array" ref="K953">_xlfn.XLOOKUP(TEXT(A953, "mmm-yy"), TEXT([2]GASOLINE!$B$5:$B$208, "mmm-yy"), [2]GASOLINE!$IK$5:$IK$208, "Not Found")</f>
        <v>158.79080848202898</v>
      </c>
      <c r="L953">
        <f t="shared" si="14"/>
        <v>1</v>
      </c>
      <c r="M953" cm="1">
        <f t="array" ref="M953">_xlfn.XLOOKUP(TEXT(A953, "mmm-yy"), TEXT([2]GASOLINE!$B$5:$B$208, "mmm-yy"), [2]GASOLINE!$C$5:$C$208, "Not Found")</f>
        <v>7401.6643645111299</v>
      </c>
      <c r="N953" cm="1">
        <f t="array" ref="N953">_xlfn.XLOOKUP(TEXT(A953, "mmm-yy"), TEXT([2]RUNS!$B$5:$B$208, "mmm-yy"), [2]RUNS!$BM$5:$BM$208, "Not Found")</f>
        <v>0.84909131224577361</v>
      </c>
    </row>
    <row r="954" spans="1:14" x14ac:dyDescent="0.25">
      <c r="A954" s="1">
        <f>'[1]Global_Spot Prices'!$B2263</f>
        <v>43339</v>
      </c>
      <c r="B954">
        <f>_xlfn.XLOOKUP(A954,'[1]Global_Spot Prices'!$B:$B,'[1]Global_Spot Prices'!$BS:$BS)</f>
        <v>9.5300000000000011</v>
      </c>
      <c r="C954">
        <f>_xlfn.XLOOKUP(A954,'[1]Global_Spot Prices'!$B:$B,'[1]Global_Spot Prices'!$E:$E)</f>
        <v>74.34</v>
      </c>
      <c r="D954" t="str">
        <f>_xlfn.XLOOKUP(A954,'[1]Global_Spot Prices'!$B:$B,'[1]Global_Spot Prices'!$D:$D)</f>
        <v/>
      </c>
      <c r="E954">
        <f>_xlfn.XLOOKUP(A954,'[1]Global_Spot Prices'!$B:$B,'[1]Global_Spot Prices'!$H:$H)</f>
        <v>71.760000000000005</v>
      </c>
      <c r="F954">
        <f>_xlfn.XLOOKUP(A954,'[1]Global_Spot Prices'!$B:$B,'[1]Global_Spot Prices'!$I:$I)</f>
        <v>83.87</v>
      </c>
      <c r="G954" cm="1">
        <f t="array" ref="G954">_xlfn.XLOOKUP(TEXT(A954, "mmm-yy"), TEXT([2]RUNS!$B$5:$B$208, "mmm-yy"), [2]RUNS!$D$5:$D$208, "Not Found")</f>
        <v>29683.213366537551</v>
      </c>
      <c r="H954" cm="1">
        <f t="array" ref="H954">SUMPRODUCT(
    --(TEXT('[3]Global Weekly Stock (EWSuez'!$B$4:$B$2000,"mmm-yy")=TEXT(A954,"mmm-yy")),
    '[3]Global Weekly Stock (EWSuez'!$E$4:$E$2000)
/
SUMPRODUCT(
    --(TEXT('[3]Global Weekly Stock (EWSuez'!$B$4:$B$2000,"mmm-yy")=TEXT(A954,"mmm-yy"))
)</f>
        <v>13798</v>
      </c>
      <c r="I954">
        <f>_xlfn.XLOOKUP(A954,[1]ForwardDeriv!$D:$D,[1]ForwardDeriv!$AJ:$AJ)</f>
        <v>0.84000000000000341</v>
      </c>
      <c r="J954" cm="1">
        <f t="array" ref="J954">_xlfn.XLOOKUP(TEXT(A954, "mmm-yy"), TEXT([2]GASOLINE!$B$5:$B$208, "mmm-yy"), [2]GASOLINE!$IR$5:$IR$208, "Not Found")</f>
        <v>-27.762537631590021</v>
      </c>
      <c r="K954" cm="1">
        <f t="array" ref="K954">_xlfn.XLOOKUP(TEXT(A954, "mmm-yy"), TEXT([2]GASOLINE!$B$5:$B$208, "mmm-yy"), [2]GASOLINE!$IK$5:$IK$208, "Not Found")</f>
        <v>158.79080848202898</v>
      </c>
      <c r="L954">
        <f t="shared" si="14"/>
        <v>1</v>
      </c>
      <c r="M954" cm="1">
        <f t="array" ref="M954">_xlfn.XLOOKUP(TEXT(A954, "mmm-yy"), TEXT([2]GASOLINE!$B$5:$B$208, "mmm-yy"), [2]GASOLINE!$C$5:$C$208, "Not Found")</f>
        <v>7401.6643645111299</v>
      </c>
      <c r="N954" cm="1">
        <f t="array" ref="N954">_xlfn.XLOOKUP(TEXT(A954, "mmm-yy"), TEXT([2]RUNS!$B$5:$B$208, "mmm-yy"), [2]RUNS!$BM$5:$BM$208, "Not Found")</f>
        <v>0.84909131224577361</v>
      </c>
    </row>
    <row r="955" spans="1:14" x14ac:dyDescent="0.25">
      <c r="A955" s="1">
        <f>'[1]Global_Spot Prices'!$B2264</f>
        <v>43340</v>
      </c>
      <c r="B955">
        <f>_xlfn.XLOOKUP(A955,'[1]Global_Spot Prices'!$B:$B,'[1]Global_Spot Prices'!$BS:$BS)</f>
        <v>9.3500000000000085</v>
      </c>
      <c r="C955">
        <f>_xlfn.XLOOKUP(A955,'[1]Global_Spot Prices'!$B:$B,'[1]Global_Spot Prices'!$E:$E)</f>
        <v>75.05</v>
      </c>
      <c r="D955">
        <f>_xlfn.XLOOKUP(A955,'[1]Global_Spot Prices'!$B:$B,'[1]Global_Spot Prices'!$D:$D)</f>
        <v>75.989999999999995</v>
      </c>
      <c r="E955">
        <f>_xlfn.XLOOKUP(A955,'[1]Global_Spot Prices'!$B:$B,'[1]Global_Spot Prices'!$H:$H)</f>
        <v>72.61</v>
      </c>
      <c r="F955">
        <f>_xlfn.XLOOKUP(A955,'[1]Global_Spot Prices'!$B:$B,'[1]Global_Spot Prices'!$I:$I)</f>
        <v>84.4</v>
      </c>
      <c r="G955" cm="1">
        <f t="array" ref="G955">_xlfn.XLOOKUP(TEXT(A955, "mmm-yy"), TEXT([2]RUNS!$B$5:$B$208, "mmm-yy"), [2]RUNS!$D$5:$D$208, "Not Found")</f>
        <v>29683.213366537551</v>
      </c>
      <c r="H955" cm="1">
        <f t="array" ref="H955">SUMPRODUCT(
    --(TEXT('[3]Global Weekly Stock (EWSuez'!$B$4:$B$2000,"mmm-yy")=TEXT(A955,"mmm-yy")),
    '[3]Global Weekly Stock (EWSuez'!$E$4:$E$2000)
/
SUMPRODUCT(
    --(TEXT('[3]Global Weekly Stock (EWSuez'!$B$4:$B$2000,"mmm-yy")=TEXT(A955,"mmm-yy"))
)</f>
        <v>13798</v>
      </c>
      <c r="I955">
        <f>_xlfn.XLOOKUP(A955,[1]ForwardDeriv!$D:$D,[1]ForwardDeriv!$AJ:$AJ)</f>
        <v>0.84000000000000341</v>
      </c>
      <c r="J955" cm="1">
        <f t="array" ref="J955">_xlfn.XLOOKUP(TEXT(A955, "mmm-yy"), TEXT([2]GASOLINE!$B$5:$B$208, "mmm-yy"), [2]GASOLINE!$IR$5:$IR$208, "Not Found")</f>
        <v>-27.762537631590021</v>
      </c>
      <c r="K955" cm="1">
        <f t="array" ref="K955">_xlfn.XLOOKUP(TEXT(A955, "mmm-yy"), TEXT([2]GASOLINE!$B$5:$B$208, "mmm-yy"), [2]GASOLINE!$IK$5:$IK$208, "Not Found")</f>
        <v>158.79080848202898</v>
      </c>
      <c r="L955">
        <f t="shared" si="14"/>
        <v>1</v>
      </c>
      <c r="M955" cm="1">
        <f t="array" ref="M955">_xlfn.XLOOKUP(TEXT(A955, "mmm-yy"), TEXT([2]GASOLINE!$B$5:$B$208, "mmm-yy"), [2]GASOLINE!$C$5:$C$208, "Not Found")</f>
        <v>7401.6643645111299</v>
      </c>
      <c r="N955" cm="1">
        <f t="array" ref="N955">_xlfn.XLOOKUP(TEXT(A955, "mmm-yy"), TEXT([2]RUNS!$B$5:$B$208, "mmm-yy"), [2]RUNS!$BM$5:$BM$208, "Not Found")</f>
        <v>0.84909131224577361</v>
      </c>
    </row>
    <row r="956" spans="1:14" x14ac:dyDescent="0.25">
      <c r="A956" s="1">
        <f>'[1]Global_Spot Prices'!$B2265</f>
        <v>43341</v>
      </c>
      <c r="B956">
        <f>_xlfn.XLOOKUP(A956,'[1]Global_Spot Prices'!$B:$B,'[1]Global_Spot Prices'!$BS:$BS)</f>
        <v>9.3099999999999881</v>
      </c>
      <c r="C956">
        <f>_xlfn.XLOOKUP(A956,'[1]Global_Spot Prices'!$B:$B,'[1]Global_Spot Prices'!$E:$E)</f>
        <v>74.290000000000006</v>
      </c>
      <c r="D956">
        <f>_xlfn.XLOOKUP(A956,'[1]Global_Spot Prices'!$B:$B,'[1]Global_Spot Prices'!$D:$D)</f>
        <v>75.94</v>
      </c>
      <c r="E956">
        <f>_xlfn.XLOOKUP(A956,'[1]Global_Spot Prices'!$B:$B,'[1]Global_Spot Prices'!$H:$H)</f>
        <v>72.66</v>
      </c>
      <c r="F956">
        <f>_xlfn.XLOOKUP(A956,'[1]Global_Spot Prices'!$B:$B,'[1]Global_Spot Prices'!$I:$I)</f>
        <v>83.6</v>
      </c>
      <c r="G956" cm="1">
        <f t="array" ref="G956">_xlfn.XLOOKUP(TEXT(A956, "mmm-yy"), TEXT([2]RUNS!$B$5:$B$208, "mmm-yy"), [2]RUNS!$D$5:$D$208, "Not Found")</f>
        <v>29683.213366537551</v>
      </c>
      <c r="H956" cm="1">
        <f t="array" ref="H956">SUMPRODUCT(
    --(TEXT('[3]Global Weekly Stock (EWSuez'!$B$4:$B$2000,"mmm-yy")=TEXT(A956,"mmm-yy")),
    '[3]Global Weekly Stock (EWSuez'!$E$4:$E$2000)
/
SUMPRODUCT(
    --(TEXT('[3]Global Weekly Stock (EWSuez'!$B$4:$B$2000,"mmm-yy")=TEXT(A956,"mmm-yy"))
)</f>
        <v>13798</v>
      </c>
      <c r="I956">
        <f>_xlfn.XLOOKUP(A956,[1]ForwardDeriv!$D:$D,[1]ForwardDeriv!$AJ:$AJ)</f>
        <v>0.90000000000000568</v>
      </c>
      <c r="J956" cm="1">
        <f t="array" ref="J956">_xlfn.XLOOKUP(TEXT(A956, "mmm-yy"), TEXT([2]GASOLINE!$B$5:$B$208, "mmm-yy"), [2]GASOLINE!$IR$5:$IR$208, "Not Found")</f>
        <v>-27.762537631590021</v>
      </c>
      <c r="K956" cm="1">
        <f t="array" ref="K956">_xlfn.XLOOKUP(TEXT(A956, "mmm-yy"), TEXT([2]GASOLINE!$B$5:$B$208, "mmm-yy"), [2]GASOLINE!$IK$5:$IK$208, "Not Found")</f>
        <v>158.79080848202898</v>
      </c>
      <c r="L956">
        <f t="shared" si="14"/>
        <v>1</v>
      </c>
      <c r="M956" cm="1">
        <f t="array" ref="M956">_xlfn.XLOOKUP(TEXT(A956, "mmm-yy"), TEXT([2]GASOLINE!$B$5:$B$208, "mmm-yy"), [2]GASOLINE!$C$5:$C$208, "Not Found")</f>
        <v>7401.6643645111299</v>
      </c>
      <c r="N956" cm="1">
        <f t="array" ref="N956">_xlfn.XLOOKUP(TEXT(A956, "mmm-yy"), TEXT([2]RUNS!$B$5:$B$208, "mmm-yy"), [2]RUNS!$BM$5:$BM$208, "Not Found")</f>
        <v>0.84909131224577361</v>
      </c>
    </row>
    <row r="957" spans="1:14" x14ac:dyDescent="0.25">
      <c r="A957" s="1">
        <f>'[1]Global_Spot Prices'!$B2266</f>
        <v>43342</v>
      </c>
      <c r="B957">
        <f>_xlfn.XLOOKUP(A957,'[1]Global_Spot Prices'!$B:$B,'[1]Global_Spot Prices'!$BS:$BS)</f>
        <v>9.7799999999999869</v>
      </c>
      <c r="C957">
        <f>_xlfn.XLOOKUP(A957,'[1]Global_Spot Prices'!$B:$B,'[1]Global_Spot Prices'!$E:$E)</f>
        <v>75.790000000000006</v>
      </c>
      <c r="D957">
        <f>_xlfn.XLOOKUP(A957,'[1]Global_Spot Prices'!$B:$B,'[1]Global_Spot Prices'!$D:$D)</f>
        <v>76.885000000000005</v>
      </c>
      <c r="E957">
        <f>_xlfn.XLOOKUP(A957,'[1]Global_Spot Prices'!$B:$B,'[1]Global_Spot Prices'!$H:$H)</f>
        <v>74.11</v>
      </c>
      <c r="F957">
        <f>_xlfn.XLOOKUP(A957,'[1]Global_Spot Prices'!$B:$B,'[1]Global_Spot Prices'!$I:$I)</f>
        <v>85.57</v>
      </c>
      <c r="G957" cm="1">
        <f t="array" ref="G957">_xlfn.XLOOKUP(TEXT(A957, "mmm-yy"), TEXT([2]RUNS!$B$5:$B$208, "mmm-yy"), [2]RUNS!$D$5:$D$208, "Not Found")</f>
        <v>29683.213366537551</v>
      </c>
      <c r="H957" cm="1">
        <f t="array" ref="H957">SUMPRODUCT(
    --(TEXT('[3]Global Weekly Stock (EWSuez'!$B$4:$B$2000,"mmm-yy")=TEXT(A957,"mmm-yy")),
    '[3]Global Weekly Stock (EWSuez'!$E$4:$E$2000)
/
SUMPRODUCT(
    --(TEXT('[3]Global Weekly Stock (EWSuez'!$B$4:$B$2000,"mmm-yy")=TEXT(A957,"mmm-yy"))
)</f>
        <v>13798</v>
      </c>
      <c r="I957">
        <f>_xlfn.XLOOKUP(A957,[1]ForwardDeriv!$D:$D,[1]ForwardDeriv!$AJ:$AJ)</f>
        <v>1.019999999999996</v>
      </c>
      <c r="J957" cm="1">
        <f t="array" ref="J957">_xlfn.XLOOKUP(TEXT(A957, "mmm-yy"), TEXT([2]GASOLINE!$B$5:$B$208, "mmm-yy"), [2]GASOLINE!$IR$5:$IR$208, "Not Found")</f>
        <v>-27.762537631590021</v>
      </c>
      <c r="K957" cm="1">
        <f t="array" ref="K957">_xlfn.XLOOKUP(TEXT(A957, "mmm-yy"), TEXT([2]GASOLINE!$B$5:$B$208, "mmm-yy"), [2]GASOLINE!$IK$5:$IK$208, "Not Found")</f>
        <v>158.79080848202898</v>
      </c>
      <c r="L957">
        <f t="shared" si="14"/>
        <v>1</v>
      </c>
      <c r="M957" cm="1">
        <f t="array" ref="M957">_xlfn.XLOOKUP(TEXT(A957, "mmm-yy"), TEXT([2]GASOLINE!$B$5:$B$208, "mmm-yy"), [2]GASOLINE!$C$5:$C$208, "Not Found")</f>
        <v>7401.6643645111299</v>
      </c>
      <c r="N957" cm="1">
        <f t="array" ref="N957">_xlfn.XLOOKUP(TEXT(A957, "mmm-yy"), TEXT([2]RUNS!$B$5:$B$208, "mmm-yy"), [2]RUNS!$BM$5:$BM$208, "Not Found")</f>
        <v>0.84909131224577361</v>
      </c>
    </row>
    <row r="958" spans="1:14" x14ac:dyDescent="0.25">
      <c r="A958" s="1">
        <f>'[1]Global_Spot Prices'!$B2267</f>
        <v>43343</v>
      </c>
      <c r="B958">
        <f>_xlfn.XLOOKUP(A958,'[1]Global_Spot Prices'!$B:$B,'[1]Global_Spot Prices'!$BS:$BS)</f>
        <v>10.260000000000005</v>
      </c>
      <c r="C958">
        <f>_xlfn.XLOOKUP(A958,'[1]Global_Spot Prices'!$B:$B,'[1]Global_Spot Prices'!$E:$E)</f>
        <v>75.8</v>
      </c>
      <c r="D958">
        <f>_xlfn.XLOOKUP(A958,'[1]Global_Spot Prices'!$B:$B,'[1]Global_Spot Prices'!$D:$D)</f>
        <v>77.459999999999994</v>
      </c>
      <c r="E958">
        <f>_xlfn.XLOOKUP(A958,'[1]Global_Spot Prices'!$B:$B,'[1]Global_Spot Prices'!$H:$H)</f>
        <v>74.16</v>
      </c>
      <c r="F958">
        <f>_xlfn.XLOOKUP(A958,'[1]Global_Spot Prices'!$B:$B,'[1]Global_Spot Prices'!$I:$I)</f>
        <v>86.06</v>
      </c>
      <c r="G958" cm="1">
        <f t="array" ref="G958">_xlfn.XLOOKUP(TEXT(A958, "mmm-yy"), TEXT([2]RUNS!$B$5:$B$208, "mmm-yy"), [2]RUNS!$D$5:$D$208, "Not Found")</f>
        <v>29683.213366537551</v>
      </c>
      <c r="H958" cm="1">
        <f t="array" ref="H958">SUMPRODUCT(
    --(TEXT('[3]Global Weekly Stock (EWSuez'!$B$4:$B$2000,"mmm-yy")=TEXT(A958,"mmm-yy")),
    '[3]Global Weekly Stock (EWSuez'!$E$4:$E$2000)
/
SUMPRODUCT(
    --(TEXT('[3]Global Weekly Stock (EWSuez'!$B$4:$B$2000,"mmm-yy")=TEXT(A958,"mmm-yy"))
)</f>
        <v>13798</v>
      </c>
      <c r="I958">
        <f>_xlfn.XLOOKUP(A958,[1]ForwardDeriv!$D:$D,[1]ForwardDeriv!$AJ:$AJ)</f>
        <v>1.2000000000000028</v>
      </c>
      <c r="J958" cm="1">
        <f t="array" ref="J958">_xlfn.XLOOKUP(TEXT(A958, "mmm-yy"), TEXT([2]GASOLINE!$B$5:$B$208, "mmm-yy"), [2]GASOLINE!$IR$5:$IR$208, "Not Found")</f>
        <v>-27.762537631590021</v>
      </c>
      <c r="K958" cm="1">
        <f t="array" ref="K958">_xlfn.XLOOKUP(TEXT(A958, "mmm-yy"), TEXT([2]GASOLINE!$B$5:$B$208, "mmm-yy"), [2]GASOLINE!$IK$5:$IK$208, "Not Found")</f>
        <v>158.79080848202898</v>
      </c>
      <c r="L958">
        <f t="shared" si="14"/>
        <v>1</v>
      </c>
      <c r="M958" cm="1">
        <f t="array" ref="M958">_xlfn.XLOOKUP(TEXT(A958, "mmm-yy"), TEXT([2]GASOLINE!$B$5:$B$208, "mmm-yy"), [2]GASOLINE!$C$5:$C$208, "Not Found")</f>
        <v>7401.6643645111299</v>
      </c>
      <c r="N958" cm="1">
        <f t="array" ref="N958">_xlfn.XLOOKUP(TEXT(A958, "mmm-yy"), TEXT([2]RUNS!$B$5:$B$208, "mmm-yy"), [2]RUNS!$BM$5:$BM$208, "Not Found")</f>
        <v>0.84909131224577361</v>
      </c>
    </row>
    <row r="959" spans="1:14" x14ac:dyDescent="0.25">
      <c r="A959" s="1">
        <f>'[1]Global_Spot Prices'!$B2268</f>
        <v>43346</v>
      </c>
      <c r="B959">
        <f>_xlfn.XLOOKUP(A959,'[1]Global_Spot Prices'!$B:$B,'[1]Global_Spot Prices'!$BS:$BS)</f>
        <v>10.299999999999997</v>
      </c>
      <c r="C959">
        <f>_xlfn.XLOOKUP(A959,'[1]Global_Spot Prices'!$B:$B,'[1]Global_Spot Prices'!$E:$E)</f>
        <v>76.25</v>
      </c>
      <c r="D959">
        <f>_xlfn.XLOOKUP(A959,'[1]Global_Spot Prices'!$B:$B,'[1]Global_Spot Prices'!$D:$D)</f>
        <v>77.784999999999997</v>
      </c>
      <c r="E959">
        <f>_xlfn.XLOOKUP(A959,'[1]Global_Spot Prices'!$B:$B,'[1]Global_Spot Prices'!$H:$H)</f>
        <v>74.430000000000007</v>
      </c>
      <c r="F959">
        <f>_xlfn.XLOOKUP(A959,'[1]Global_Spot Prices'!$B:$B,'[1]Global_Spot Prices'!$I:$I)</f>
        <v>86.55</v>
      </c>
      <c r="G959" cm="1">
        <f t="array" ref="G959">_xlfn.XLOOKUP(TEXT(A959, "mmm-yy"), TEXT([2]RUNS!$B$5:$B$208, "mmm-yy"), [2]RUNS!$D$5:$D$208, "Not Found")</f>
        <v>29978.654745932803</v>
      </c>
      <c r="H959" cm="1">
        <f t="array" ref="H959">SUMPRODUCT(
    --(TEXT('[3]Global Weekly Stock (EWSuez'!$B$4:$B$2000,"mmm-yy")=TEXT(A959,"mmm-yy")),
    '[3]Global Weekly Stock (EWSuez'!$E$4:$E$2000)
/
SUMPRODUCT(
    --(TEXT('[3]Global Weekly Stock (EWSuez'!$B$4:$B$2000,"mmm-yy")=TEXT(A959,"mmm-yy"))
)</f>
        <v>11731.75</v>
      </c>
      <c r="I959">
        <f>_xlfn.XLOOKUP(A959,[1]ForwardDeriv!$D:$D,[1]ForwardDeriv!$AJ:$AJ)</f>
        <v>1.1099999999999994</v>
      </c>
      <c r="J959" cm="1">
        <f t="array" ref="J959">_xlfn.XLOOKUP(TEXT(A959, "mmm-yy"), TEXT([2]GASOLINE!$B$5:$B$208, "mmm-yy"), [2]GASOLINE!$IR$5:$IR$208, "Not Found")</f>
        <v>96.784294243425251</v>
      </c>
      <c r="K959" cm="1">
        <f t="array" ref="K959">_xlfn.XLOOKUP(TEXT(A959, "mmm-yy"), TEXT([2]GASOLINE!$B$5:$B$208, "mmm-yy"), [2]GASOLINE!$IK$5:$IK$208, "Not Found")</f>
        <v>155.98793618883138</v>
      </c>
      <c r="L959">
        <f t="shared" si="14"/>
        <v>1</v>
      </c>
      <c r="M959" cm="1">
        <f t="array" ref="M959">_xlfn.XLOOKUP(TEXT(A959, "mmm-yy"), TEXT([2]GASOLINE!$B$5:$B$208, "mmm-yy"), [2]GASOLINE!$C$5:$C$208, "Not Found")</f>
        <v>7286.0481409502154</v>
      </c>
      <c r="N959" cm="1">
        <f t="array" ref="N959">_xlfn.XLOOKUP(TEXT(A959, "mmm-yy"), TEXT([2]RUNS!$B$5:$B$208, "mmm-yy"), [2]RUNS!$BM$5:$BM$208, "Not Found")</f>
        <v>0.85567975778246252</v>
      </c>
    </row>
    <row r="960" spans="1:14" x14ac:dyDescent="0.25">
      <c r="A960" s="1">
        <f>'[1]Global_Spot Prices'!$B2269</f>
        <v>43347</v>
      </c>
      <c r="B960">
        <f>_xlfn.XLOOKUP(A960,'[1]Global_Spot Prices'!$B:$B,'[1]Global_Spot Prices'!$BS:$BS)</f>
        <v>10.649999999999991</v>
      </c>
      <c r="C960">
        <f>_xlfn.XLOOKUP(A960,'[1]Global_Spot Prices'!$B:$B,'[1]Global_Spot Prices'!$E:$E)</f>
        <v>76.87</v>
      </c>
      <c r="D960">
        <f>_xlfn.XLOOKUP(A960,'[1]Global_Spot Prices'!$B:$B,'[1]Global_Spot Prices'!$D:$D)</f>
        <v>77.525000000000006</v>
      </c>
      <c r="E960">
        <f>_xlfn.XLOOKUP(A960,'[1]Global_Spot Prices'!$B:$B,'[1]Global_Spot Prices'!$H:$H)</f>
        <v>75.760000000000005</v>
      </c>
      <c r="F960">
        <f>_xlfn.XLOOKUP(A960,'[1]Global_Spot Prices'!$B:$B,'[1]Global_Spot Prices'!$I:$I)</f>
        <v>87.52</v>
      </c>
      <c r="G960" cm="1">
        <f t="array" ref="G960">_xlfn.XLOOKUP(TEXT(A960, "mmm-yy"), TEXT([2]RUNS!$B$5:$B$208, "mmm-yy"), [2]RUNS!$D$5:$D$208, "Not Found")</f>
        <v>29978.654745932803</v>
      </c>
      <c r="H960" cm="1">
        <f t="array" ref="H960">SUMPRODUCT(
    --(TEXT('[3]Global Weekly Stock (EWSuez'!$B$4:$B$2000,"mmm-yy")=TEXT(A960,"mmm-yy")),
    '[3]Global Weekly Stock (EWSuez'!$E$4:$E$2000)
/
SUMPRODUCT(
    --(TEXT('[3]Global Weekly Stock (EWSuez'!$B$4:$B$2000,"mmm-yy")=TEXT(A960,"mmm-yy"))
)</f>
        <v>11731.75</v>
      </c>
      <c r="I960">
        <f>_xlfn.XLOOKUP(A960,[1]ForwardDeriv!$D:$D,[1]ForwardDeriv!$AJ:$AJ)</f>
        <v>1.0799999999999983</v>
      </c>
      <c r="J960" cm="1">
        <f t="array" ref="J960">_xlfn.XLOOKUP(TEXT(A960, "mmm-yy"), TEXT([2]GASOLINE!$B$5:$B$208, "mmm-yy"), [2]GASOLINE!$IR$5:$IR$208, "Not Found")</f>
        <v>96.784294243425251</v>
      </c>
      <c r="K960" cm="1">
        <f t="array" ref="K960">_xlfn.XLOOKUP(TEXT(A960, "mmm-yy"), TEXT([2]GASOLINE!$B$5:$B$208, "mmm-yy"), [2]GASOLINE!$IK$5:$IK$208, "Not Found")</f>
        <v>155.98793618883138</v>
      </c>
      <c r="L960">
        <f t="shared" si="14"/>
        <v>1</v>
      </c>
      <c r="M960" cm="1">
        <f t="array" ref="M960">_xlfn.XLOOKUP(TEXT(A960, "mmm-yy"), TEXT([2]GASOLINE!$B$5:$B$208, "mmm-yy"), [2]GASOLINE!$C$5:$C$208, "Not Found")</f>
        <v>7286.0481409502154</v>
      </c>
      <c r="N960" cm="1">
        <f t="array" ref="N960">_xlfn.XLOOKUP(TEXT(A960, "mmm-yy"), TEXT([2]RUNS!$B$5:$B$208, "mmm-yy"), [2]RUNS!$BM$5:$BM$208, "Not Found")</f>
        <v>0.85567975778246252</v>
      </c>
    </row>
    <row r="961" spans="1:14" x14ac:dyDescent="0.25">
      <c r="A961" s="1">
        <f>'[1]Global_Spot Prices'!$B2270</f>
        <v>43348</v>
      </c>
      <c r="B961">
        <f>_xlfn.XLOOKUP(A961,'[1]Global_Spot Prices'!$B:$B,'[1]Global_Spot Prices'!$BS:$BS)</f>
        <v>10.070000000000007</v>
      </c>
      <c r="C961">
        <f>_xlfn.XLOOKUP(A961,'[1]Global_Spot Prices'!$B:$B,'[1]Global_Spot Prices'!$E:$E)</f>
        <v>75.8</v>
      </c>
      <c r="D961">
        <f>_xlfn.XLOOKUP(A961,'[1]Global_Spot Prices'!$B:$B,'[1]Global_Spot Prices'!$D:$D)</f>
        <v>76.89</v>
      </c>
      <c r="E961">
        <f>_xlfn.XLOOKUP(A961,'[1]Global_Spot Prices'!$B:$B,'[1]Global_Spot Prices'!$H:$H)</f>
        <v>74.069999999999993</v>
      </c>
      <c r="F961">
        <f>_xlfn.XLOOKUP(A961,'[1]Global_Spot Prices'!$B:$B,'[1]Global_Spot Prices'!$I:$I)</f>
        <v>85.87</v>
      </c>
      <c r="G961" cm="1">
        <f t="array" ref="G961">_xlfn.XLOOKUP(TEXT(A961, "mmm-yy"), TEXT([2]RUNS!$B$5:$B$208, "mmm-yy"), [2]RUNS!$D$5:$D$208, "Not Found")</f>
        <v>29978.654745932803</v>
      </c>
      <c r="H961" cm="1">
        <f t="array" ref="H961">SUMPRODUCT(
    --(TEXT('[3]Global Weekly Stock (EWSuez'!$B$4:$B$2000,"mmm-yy")=TEXT(A961,"mmm-yy")),
    '[3]Global Weekly Stock (EWSuez'!$E$4:$E$2000)
/
SUMPRODUCT(
    --(TEXT('[3]Global Weekly Stock (EWSuez'!$B$4:$B$2000,"mmm-yy")=TEXT(A961,"mmm-yy"))
)</f>
        <v>11731.75</v>
      </c>
      <c r="I961">
        <f>_xlfn.XLOOKUP(A961,[1]ForwardDeriv!$D:$D,[1]ForwardDeriv!$AJ:$AJ)</f>
        <v>0.92000000000000171</v>
      </c>
      <c r="J961" cm="1">
        <f t="array" ref="J961">_xlfn.XLOOKUP(TEXT(A961, "mmm-yy"), TEXT([2]GASOLINE!$B$5:$B$208, "mmm-yy"), [2]GASOLINE!$IR$5:$IR$208, "Not Found")</f>
        <v>96.784294243425251</v>
      </c>
      <c r="K961" cm="1">
        <f t="array" ref="K961">_xlfn.XLOOKUP(TEXT(A961, "mmm-yy"), TEXT([2]GASOLINE!$B$5:$B$208, "mmm-yy"), [2]GASOLINE!$IK$5:$IK$208, "Not Found")</f>
        <v>155.98793618883138</v>
      </c>
      <c r="L961">
        <f t="shared" si="14"/>
        <v>1</v>
      </c>
      <c r="M961" cm="1">
        <f t="array" ref="M961">_xlfn.XLOOKUP(TEXT(A961, "mmm-yy"), TEXT([2]GASOLINE!$B$5:$B$208, "mmm-yy"), [2]GASOLINE!$C$5:$C$208, "Not Found")</f>
        <v>7286.0481409502154</v>
      </c>
      <c r="N961" cm="1">
        <f t="array" ref="N961">_xlfn.XLOOKUP(TEXT(A961, "mmm-yy"), TEXT([2]RUNS!$B$5:$B$208, "mmm-yy"), [2]RUNS!$BM$5:$BM$208, "Not Found")</f>
        <v>0.85567975778246252</v>
      </c>
    </row>
    <row r="962" spans="1:14" x14ac:dyDescent="0.25">
      <c r="A962" s="1">
        <f>'[1]Global_Spot Prices'!$B2271</f>
        <v>43349</v>
      </c>
      <c r="B962">
        <f>_xlfn.XLOOKUP(A962,'[1]Global_Spot Prices'!$B:$B,'[1]Global_Spot Prices'!$BS:$BS)</f>
        <v>10.300000000000011</v>
      </c>
      <c r="C962">
        <f>_xlfn.XLOOKUP(A962,'[1]Global_Spot Prices'!$B:$B,'[1]Global_Spot Prices'!$E:$E)</f>
        <v>75.349999999999994</v>
      </c>
      <c r="D962">
        <f>_xlfn.XLOOKUP(A962,'[1]Global_Spot Prices'!$B:$B,'[1]Global_Spot Prices'!$D:$D)</f>
        <v>75.59</v>
      </c>
      <c r="E962">
        <f>_xlfn.XLOOKUP(A962,'[1]Global_Spot Prices'!$B:$B,'[1]Global_Spot Prices'!$H:$H)</f>
        <v>73.2</v>
      </c>
      <c r="F962">
        <f>_xlfn.XLOOKUP(A962,'[1]Global_Spot Prices'!$B:$B,'[1]Global_Spot Prices'!$I:$I)</f>
        <v>85.65</v>
      </c>
      <c r="G962" cm="1">
        <f t="array" ref="G962">_xlfn.XLOOKUP(TEXT(A962, "mmm-yy"), TEXT([2]RUNS!$B$5:$B$208, "mmm-yy"), [2]RUNS!$D$5:$D$208, "Not Found")</f>
        <v>29978.654745932803</v>
      </c>
      <c r="H962" cm="1">
        <f t="array" ref="H962">SUMPRODUCT(
    --(TEXT('[3]Global Weekly Stock (EWSuez'!$B$4:$B$2000,"mmm-yy")=TEXT(A962,"mmm-yy")),
    '[3]Global Weekly Stock (EWSuez'!$E$4:$E$2000)
/
SUMPRODUCT(
    --(TEXT('[3]Global Weekly Stock (EWSuez'!$B$4:$B$2000,"mmm-yy")=TEXT(A962,"mmm-yy"))
)</f>
        <v>11731.75</v>
      </c>
      <c r="I962">
        <f>_xlfn.XLOOKUP(A962,[1]ForwardDeriv!$D:$D,[1]ForwardDeriv!$AJ:$AJ)</f>
        <v>0.90999999999999659</v>
      </c>
      <c r="J962" cm="1">
        <f t="array" ref="J962">_xlfn.XLOOKUP(TEXT(A962, "mmm-yy"), TEXT([2]GASOLINE!$B$5:$B$208, "mmm-yy"), [2]GASOLINE!$IR$5:$IR$208, "Not Found")</f>
        <v>96.784294243425251</v>
      </c>
      <c r="K962" cm="1">
        <f t="array" ref="K962">_xlfn.XLOOKUP(TEXT(A962, "mmm-yy"), TEXT([2]GASOLINE!$B$5:$B$208, "mmm-yy"), [2]GASOLINE!$IK$5:$IK$208, "Not Found")</f>
        <v>155.98793618883138</v>
      </c>
      <c r="L962">
        <f t="shared" si="14"/>
        <v>1</v>
      </c>
      <c r="M962" cm="1">
        <f t="array" ref="M962">_xlfn.XLOOKUP(TEXT(A962, "mmm-yy"), TEXT([2]GASOLINE!$B$5:$B$208, "mmm-yy"), [2]GASOLINE!$C$5:$C$208, "Not Found")</f>
        <v>7286.0481409502154</v>
      </c>
      <c r="N962" cm="1">
        <f t="array" ref="N962">_xlfn.XLOOKUP(TEXT(A962, "mmm-yy"), TEXT([2]RUNS!$B$5:$B$208, "mmm-yy"), [2]RUNS!$BM$5:$BM$208, "Not Found")</f>
        <v>0.85567975778246252</v>
      </c>
    </row>
    <row r="963" spans="1:14" x14ac:dyDescent="0.25">
      <c r="A963" s="1">
        <f>'[1]Global_Spot Prices'!$B2272</f>
        <v>43350</v>
      </c>
      <c r="B963">
        <f>_xlfn.XLOOKUP(A963,'[1]Global_Spot Prices'!$B:$B,'[1]Global_Spot Prices'!$BS:$BS)</f>
        <v>10.36</v>
      </c>
      <c r="C963">
        <f>_xlfn.XLOOKUP(A963,'[1]Global_Spot Prices'!$B:$B,'[1]Global_Spot Prices'!$E:$E)</f>
        <v>74.75</v>
      </c>
      <c r="D963">
        <f>_xlfn.XLOOKUP(A963,'[1]Global_Spot Prices'!$B:$B,'[1]Global_Spot Prices'!$D:$D)</f>
        <v>75.510000000000005</v>
      </c>
      <c r="E963">
        <f>_xlfn.XLOOKUP(A963,'[1]Global_Spot Prices'!$B:$B,'[1]Global_Spot Prices'!$H:$H)</f>
        <v>72.59</v>
      </c>
      <c r="F963">
        <f>_xlfn.XLOOKUP(A963,'[1]Global_Spot Prices'!$B:$B,'[1]Global_Spot Prices'!$I:$I)</f>
        <v>85.11</v>
      </c>
      <c r="G963" cm="1">
        <f t="array" ref="G963">_xlfn.XLOOKUP(TEXT(A963, "mmm-yy"), TEXT([2]RUNS!$B$5:$B$208, "mmm-yy"), [2]RUNS!$D$5:$D$208, "Not Found")</f>
        <v>29978.654745932803</v>
      </c>
      <c r="H963" cm="1">
        <f t="array" ref="H963">SUMPRODUCT(
    --(TEXT('[3]Global Weekly Stock (EWSuez'!$B$4:$B$2000,"mmm-yy")=TEXT(A963,"mmm-yy")),
    '[3]Global Weekly Stock (EWSuez'!$E$4:$E$2000)
/
SUMPRODUCT(
    --(TEXT('[3]Global Weekly Stock (EWSuez'!$B$4:$B$2000,"mmm-yy")=TEXT(A963,"mmm-yy"))
)</f>
        <v>11731.75</v>
      </c>
      <c r="I963">
        <f>_xlfn.XLOOKUP(A963,[1]ForwardDeriv!$D:$D,[1]ForwardDeriv!$AJ:$AJ)</f>
        <v>0.93999999999999773</v>
      </c>
      <c r="J963" cm="1">
        <f t="array" ref="J963">_xlfn.XLOOKUP(TEXT(A963, "mmm-yy"), TEXT([2]GASOLINE!$B$5:$B$208, "mmm-yy"), [2]GASOLINE!$IR$5:$IR$208, "Not Found")</f>
        <v>96.784294243425251</v>
      </c>
      <c r="K963" cm="1">
        <f t="array" ref="K963">_xlfn.XLOOKUP(TEXT(A963, "mmm-yy"), TEXT([2]GASOLINE!$B$5:$B$208, "mmm-yy"), [2]GASOLINE!$IK$5:$IK$208, "Not Found")</f>
        <v>155.98793618883138</v>
      </c>
      <c r="L963">
        <f t="shared" ref="L963:L1026" si="15">IF(OR(MONTH(A963)=6, MONTH(A963)=7, MONTH(A963)=8, MONTH(A963)=9), 1, 0)</f>
        <v>1</v>
      </c>
      <c r="M963" cm="1">
        <f t="array" ref="M963">_xlfn.XLOOKUP(TEXT(A963, "mmm-yy"), TEXT([2]GASOLINE!$B$5:$B$208, "mmm-yy"), [2]GASOLINE!$C$5:$C$208, "Not Found")</f>
        <v>7286.0481409502154</v>
      </c>
      <c r="N963" cm="1">
        <f t="array" ref="N963">_xlfn.XLOOKUP(TEXT(A963, "mmm-yy"), TEXT([2]RUNS!$B$5:$B$208, "mmm-yy"), [2]RUNS!$BM$5:$BM$208, "Not Found")</f>
        <v>0.85567975778246252</v>
      </c>
    </row>
    <row r="964" spans="1:14" x14ac:dyDescent="0.25">
      <c r="A964" s="1">
        <f>'[1]Global_Spot Prices'!$B2273</f>
        <v>43353</v>
      </c>
      <c r="B964">
        <f>_xlfn.XLOOKUP(A964,'[1]Global_Spot Prices'!$B:$B,'[1]Global_Spot Prices'!$BS:$BS)</f>
        <v>10.025000000000006</v>
      </c>
      <c r="C964">
        <f>_xlfn.XLOOKUP(A964,'[1]Global_Spot Prices'!$B:$B,'[1]Global_Spot Prices'!$E:$E)</f>
        <v>75.905000000000001</v>
      </c>
      <c r="D964">
        <f>_xlfn.XLOOKUP(A964,'[1]Global_Spot Prices'!$B:$B,'[1]Global_Spot Prices'!$D:$D)</f>
        <v>76.635000000000005</v>
      </c>
      <c r="E964">
        <f>_xlfn.XLOOKUP(A964,'[1]Global_Spot Prices'!$B:$B,'[1]Global_Spot Prices'!$H:$H)</f>
        <v>73.959999999999994</v>
      </c>
      <c r="F964">
        <f>_xlfn.XLOOKUP(A964,'[1]Global_Spot Prices'!$B:$B,'[1]Global_Spot Prices'!$I:$I)</f>
        <v>85.93</v>
      </c>
      <c r="G964" cm="1">
        <f t="array" ref="G964">_xlfn.XLOOKUP(TEXT(A964, "mmm-yy"), TEXT([2]RUNS!$B$5:$B$208, "mmm-yy"), [2]RUNS!$D$5:$D$208, "Not Found")</f>
        <v>29978.654745932803</v>
      </c>
      <c r="H964" cm="1">
        <f t="array" ref="H964">SUMPRODUCT(
    --(TEXT('[3]Global Weekly Stock (EWSuez'!$B$4:$B$2000,"mmm-yy")=TEXT(A964,"mmm-yy")),
    '[3]Global Weekly Stock (EWSuez'!$E$4:$E$2000)
/
SUMPRODUCT(
    --(TEXT('[3]Global Weekly Stock (EWSuez'!$B$4:$B$2000,"mmm-yy")=TEXT(A964,"mmm-yy"))
)</f>
        <v>11731.75</v>
      </c>
      <c r="I964">
        <f>_xlfn.XLOOKUP(A964,[1]ForwardDeriv!$D:$D,[1]ForwardDeriv!$AJ:$AJ)</f>
        <v>0.90000000000000568</v>
      </c>
      <c r="J964" cm="1">
        <f t="array" ref="J964">_xlfn.XLOOKUP(TEXT(A964, "mmm-yy"), TEXT([2]GASOLINE!$B$5:$B$208, "mmm-yy"), [2]GASOLINE!$IR$5:$IR$208, "Not Found")</f>
        <v>96.784294243425251</v>
      </c>
      <c r="K964" cm="1">
        <f t="array" ref="K964">_xlfn.XLOOKUP(TEXT(A964, "mmm-yy"), TEXT([2]GASOLINE!$B$5:$B$208, "mmm-yy"), [2]GASOLINE!$IK$5:$IK$208, "Not Found")</f>
        <v>155.98793618883138</v>
      </c>
      <c r="L964">
        <f t="shared" si="15"/>
        <v>1</v>
      </c>
      <c r="M964" cm="1">
        <f t="array" ref="M964">_xlfn.XLOOKUP(TEXT(A964, "mmm-yy"), TEXT([2]GASOLINE!$B$5:$B$208, "mmm-yy"), [2]GASOLINE!$C$5:$C$208, "Not Found")</f>
        <v>7286.0481409502154</v>
      </c>
      <c r="N964" cm="1">
        <f t="array" ref="N964">_xlfn.XLOOKUP(TEXT(A964, "mmm-yy"), TEXT([2]RUNS!$B$5:$B$208, "mmm-yy"), [2]RUNS!$BM$5:$BM$208, "Not Found")</f>
        <v>0.85567975778246252</v>
      </c>
    </row>
    <row r="965" spans="1:14" x14ac:dyDescent="0.25">
      <c r="A965" s="1">
        <f>'[1]Global_Spot Prices'!$B2274</f>
        <v>43354</v>
      </c>
      <c r="B965">
        <f>_xlfn.XLOOKUP(A965,'[1]Global_Spot Prices'!$B:$B,'[1]Global_Spot Prices'!$BS:$BS)</f>
        <v>10.25</v>
      </c>
      <c r="C965">
        <f>_xlfn.XLOOKUP(A965,'[1]Global_Spot Prices'!$B:$B,'[1]Global_Spot Prices'!$E:$E)</f>
        <v>76.260000000000005</v>
      </c>
      <c r="D965">
        <f>_xlfn.XLOOKUP(A965,'[1]Global_Spot Prices'!$B:$B,'[1]Global_Spot Prices'!$D:$D)</f>
        <v>77.930000000000007</v>
      </c>
      <c r="E965">
        <f>_xlfn.XLOOKUP(A965,'[1]Global_Spot Prices'!$B:$B,'[1]Global_Spot Prices'!$H:$H)</f>
        <v>73.72</v>
      </c>
      <c r="F965">
        <f>_xlfn.XLOOKUP(A965,'[1]Global_Spot Prices'!$B:$B,'[1]Global_Spot Prices'!$I:$I)</f>
        <v>86.51</v>
      </c>
      <c r="G965" cm="1">
        <f t="array" ref="G965">_xlfn.XLOOKUP(TEXT(A965, "mmm-yy"), TEXT([2]RUNS!$B$5:$B$208, "mmm-yy"), [2]RUNS!$D$5:$D$208, "Not Found")</f>
        <v>29978.654745932803</v>
      </c>
      <c r="H965" cm="1">
        <f t="array" ref="H965">SUMPRODUCT(
    --(TEXT('[3]Global Weekly Stock (EWSuez'!$B$4:$B$2000,"mmm-yy")=TEXT(A965,"mmm-yy")),
    '[3]Global Weekly Stock (EWSuez'!$E$4:$E$2000)
/
SUMPRODUCT(
    --(TEXT('[3]Global Weekly Stock (EWSuez'!$B$4:$B$2000,"mmm-yy")=TEXT(A965,"mmm-yy"))
)</f>
        <v>11731.75</v>
      </c>
      <c r="I965">
        <f>_xlfn.XLOOKUP(A965,[1]ForwardDeriv!$D:$D,[1]ForwardDeriv!$AJ:$AJ)</f>
        <v>0.90000000000000568</v>
      </c>
      <c r="J965" cm="1">
        <f t="array" ref="J965">_xlfn.XLOOKUP(TEXT(A965, "mmm-yy"), TEXT([2]GASOLINE!$B$5:$B$208, "mmm-yy"), [2]GASOLINE!$IR$5:$IR$208, "Not Found")</f>
        <v>96.784294243425251</v>
      </c>
      <c r="K965" cm="1">
        <f t="array" ref="K965">_xlfn.XLOOKUP(TEXT(A965, "mmm-yy"), TEXT([2]GASOLINE!$B$5:$B$208, "mmm-yy"), [2]GASOLINE!$IK$5:$IK$208, "Not Found")</f>
        <v>155.98793618883138</v>
      </c>
      <c r="L965">
        <f t="shared" si="15"/>
        <v>1</v>
      </c>
      <c r="M965" cm="1">
        <f t="array" ref="M965">_xlfn.XLOOKUP(TEXT(A965, "mmm-yy"), TEXT([2]GASOLINE!$B$5:$B$208, "mmm-yy"), [2]GASOLINE!$C$5:$C$208, "Not Found")</f>
        <v>7286.0481409502154</v>
      </c>
      <c r="N965" cm="1">
        <f t="array" ref="N965">_xlfn.XLOOKUP(TEXT(A965, "mmm-yy"), TEXT([2]RUNS!$B$5:$B$208, "mmm-yy"), [2]RUNS!$BM$5:$BM$208, "Not Found")</f>
        <v>0.85567975778246252</v>
      </c>
    </row>
    <row r="966" spans="1:14" x14ac:dyDescent="0.25">
      <c r="A966" s="1">
        <f>'[1]Global_Spot Prices'!$B2275</f>
        <v>43355</v>
      </c>
      <c r="B966">
        <f>_xlfn.XLOOKUP(A966,'[1]Global_Spot Prices'!$B:$B,'[1]Global_Spot Prices'!$BS:$BS)</f>
        <v>10.569999999999993</v>
      </c>
      <c r="C966">
        <f>_xlfn.XLOOKUP(A966,'[1]Global_Spot Prices'!$B:$B,'[1]Global_Spot Prices'!$E:$E)</f>
        <v>77.400000000000006</v>
      </c>
      <c r="D966">
        <f>_xlfn.XLOOKUP(A966,'[1]Global_Spot Prices'!$B:$B,'[1]Global_Spot Prices'!$D:$D)</f>
        <v>79.185000000000002</v>
      </c>
      <c r="E966">
        <f>_xlfn.XLOOKUP(A966,'[1]Global_Spot Prices'!$B:$B,'[1]Global_Spot Prices'!$H:$H)</f>
        <v>74.52</v>
      </c>
      <c r="F966">
        <f>_xlfn.XLOOKUP(A966,'[1]Global_Spot Prices'!$B:$B,'[1]Global_Spot Prices'!$I:$I)</f>
        <v>87.97</v>
      </c>
      <c r="G966" cm="1">
        <f t="array" ref="G966">_xlfn.XLOOKUP(TEXT(A966, "mmm-yy"), TEXT([2]RUNS!$B$5:$B$208, "mmm-yy"), [2]RUNS!$D$5:$D$208, "Not Found")</f>
        <v>29978.654745932803</v>
      </c>
      <c r="H966" cm="1">
        <f t="array" ref="H966">SUMPRODUCT(
    --(TEXT('[3]Global Weekly Stock (EWSuez'!$B$4:$B$2000,"mmm-yy")=TEXT(A966,"mmm-yy")),
    '[3]Global Weekly Stock (EWSuez'!$E$4:$E$2000)
/
SUMPRODUCT(
    --(TEXT('[3]Global Weekly Stock (EWSuez'!$B$4:$B$2000,"mmm-yy")=TEXT(A966,"mmm-yy"))
)</f>
        <v>11731.75</v>
      </c>
      <c r="I966">
        <f>_xlfn.XLOOKUP(A966,[1]ForwardDeriv!$D:$D,[1]ForwardDeriv!$AJ:$AJ)</f>
        <v>0.98000000000000398</v>
      </c>
      <c r="J966" cm="1">
        <f t="array" ref="J966">_xlfn.XLOOKUP(TEXT(A966, "mmm-yy"), TEXT([2]GASOLINE!$B$5:$B$208, "mmm-yy"), [2]GASOLINE!$IR$5:$IR$208, "Not Found")</f>
        <v>96.784294243425251</v>
      </c>
      <c r="K966" cm="1">
        <f t="array" ref="K966">_xlfn.XLOOKUP(TEXT(A966, "mmm-yy"), TEXT([2]GASOLINE!$B$5:$B$208, "mmm-yy"), [2]GASOLINE!$IK$5:$IK$208, "Not Found")</f>
        <v>155.98793618883138</v>
      </c>
      <c r="L966">
        <f t="shared" si="15"/>
        <v>1</v>
      </c>
      <c r="M966" cm="1">
        <f t="array" ref="M966">_xlfn.XLOOKUP(TEXT(A966, "mmm-yy"), TEXT([2]GASOLINE!$B$5:$B$208, "mmm-yy"), [2]GASOLINE!$C$5:$C$208, "Not Found")</f>
        <v>7286.0481409502154</v>
      </c>
      <c r="N966" cm="1">
        <f t="array" ref="N966">_xlfn.XLOOKUP(TEXT(A966, "mmm-yy"), TEXT([2]RUNS!$B$5:$B$208, "mmm-yy"), [2]RUNS!$BM$5:$BM$208, "Not Found")</f>
        <v>0.85567975778246252</v>
      </c>
    </row>
    <row r="967" spans="1:14" x14ac:dyDescent="0.25">
      <c r="A967" s="1">
        <f>'[1]Global_Spot Prices'!$B2276</f>
        <v>43356</v>
      </c>
      <c r="B967">
        <f>_xlfn.XLOOKUP(A967,'[1]Global_Spot Prices'!$B:$B,'[1]Global_Spot Prices'!$BS:$BS)</f>
        <v>10.450000000000003</v>
      </c>
      <c r="C967">
        <f>_xlfn.XLOOKUP(A967,'[1]Global_Spot Prices'!$B:$B,'[1]Global_Spot Prices'!$E:$E)</f>
        <v>77.099999999999994</v>
      </c>
      <c r="D967">
        <f>_xlfn.XLOOKUP(A967,'[1]Global_Spot Prices'!$B:$B,'[1]Global_Spot Prices'!$D:$D)</f>
        <v>77.594999999999999</v>
      </c>
      <c r="E967">
        <f>_xlfn.XLOOKUP(A967,'[1]Global_Spot Prices'!$B:$B,'[1]Global_Spot Prices'!$H:$H)</f>
        <v>74.45</v>
      </c>
      <c r="F967">
        <f>_xlfn.XLOOKUP(A967,'[1]Global_Spot Prices'!$B:$B,'[1]Global_Spot Prices'!$I:$I)</f>
        <v>87.55</v>
      </c>
      <c r="G967" cm="1">
        <f t="array" ref="G967">_xlfn.XLOOKUP(TEXT(A967, "mmm-yy"), TEXT([2]RUNS!$B$5:$B$208, "mmm-yy"), [2]RUNS!$D$5:$D$208, "Not Found")</f>
        <v>29978.654745932803</v>
      </c>
      <c r="H967" cm="1">
        <f t="array" ref="H967">SUMPRODUCT(
    --(TEXT('[3]Global Weekly Stock (EWSuez'!$B$4:$B$2000,"mmm-yy")=TEXT(A967,"mmm-yy")),
    '[3]Global Weekly Stock (EWSuez'!$E$4:$E$2000)
/
SUMPRODUCT(
    --(TEXT('[3]Global Weekly Stock (EWSuez'!$B$4:$B$2000,"mmm-yy")=TEXT(A967,"mmm-yy"))
)</f>
        <v>11731.75</v>
      </c>
      <c r="I967">
        <f>_xlfn.XLOOKUP(A967,[1]ForwardDeriv!$D:$D,[1]ForwardDeriv!$AJ:$AJ)</f>
        <v>1.1400000000000006</v>
      </c>
      <c r="J967" cm="1">
        <f t="array" ref="J967">_xlfn.XLOOKUP(TEXT(A967, "mmm-yy"), TEXT([2]GASOLINE!$B$5:$B$208, "mmm-yy"), [2]GASOLINE!$IR$5:$IR$208, "Not Found")</f>
        <v>96.784294243425251</v>
      </c>
      <c r="K967" cm="1">
        <f t="array" ref="K967">_xlfn.XLOOKUP(TEXT(A967, "mmm-yy"), TEXT([2]GASOLINE!$B$5:$B$208, "mmm-yy"), [2]GASOLINE!$IK$5:$IK$208, "Not Found")</f>
        <v>155.98793618883138</v>
      </c>
      <c r="L967">
        <f t="shared" si="15"/>
        <v>1</v>
      </c>
      <c r="M967" cm="1">
        <f t="array" ref="M967">_xlfn.XLOOKUP(TEXT(A967, "mmm-yy"), TEXT([2]GASOLINE!$B$5:$B$208, "mmm-yy"), [2]GASOLINE!$C$5:$C$208, "Not Found")</f>
        <v>7286.0481409502154</v>
      </c>
      <c r="N967" cm="1">
        <f t="array" ref="N967">_xlfn.XLOOKUP(TEXT(A967, "mmm-yy"), TEXT([2]RUNS!$B$5:$B$208, "mmm-yy"), [2]RUNS!$BM$5:$BM$208, "Not Found")</f>
        <v>0.85567975778246252</v>
      </c>
    </row>
    <row r="968" spans="1:14" x14ac:dyDescent="0.25">
      <c r="A968" s="1">
        <f>'[1]Global_Spot Prices'!$B2277</f>
        <v>43357</v>
      </c>
      <c r="B968">
        <f>_xlfn.XLOOKUP(A968,'[1]Global_Spot Prices'!$B:$B,'[1]Global_Spot Prices'!$BS:$BS)</f>
        <v>10.769999999999996</v>
      </c>
      <c r="C968">
        <f>_xlfn.XLOOKUP(A968,'[1]Global_Spot Prices'!$B:$B,'[1]Global_Spot Prices'!$E:$E)</f>
        <v>76.39</v>
      </c>
      <c r="D968">
        <f>_xlfn.XLOOKUP(A968,'[1]Global_Spot Prices'!$B:$B,'[1]Global_Spot Prices'!$D:$D)</f>
        <v>77.795000000000002</v>
      </c>
      <c r="E968">
        <f>_xlfn.XLOOKUP(A968,'[1]Global_Spot Prices'!$B:$B,'[1]Global_Spot Prices'!$H:$H)</f>
        <v>74.040000000000006</v>
      </c>
      <c r="F968">
        <f>_xlfn.XLOOKUP(A968,'[1]Global_Spot Prices'!$B:$B,'[1]Global_Spot Prices'!$I:$I)</f>
        <v>87.16</v>
      </c>
      <c r="G968" cm="1">
        <f t="array" ref="G968">_xlfn.XLOOKUP(TEXT(A968, "mmm-yy"), TEXT([2]RUNS!$B$5:$B$208, "mmm-yy"), [2]RUNS!$D$5:$D$208, "Not Found")</f>
        <v>29978.654745932803</v>
      </c>
      <c r="H968" cm="1">
        <f t="array" ref="H968">SUMPRODUCT(
    --(TEXT('[3]Global Weekly Stock (EWSuez'!$B$4:$B$2000,"mmm-yy")=TEXT(A968,"mmm-yy")),
    '[3]Global Weekly Stock (EWSuez'!$E$4:$E$2000)
/
SUMPRODUCT(
    --(TEXT('[3]Global Weekly Stock (EWSuez'!$B$4:$B$2000,"mmm-yy")=TEXT(A968,"mmm-yy"))
)</f>
        <v>11731.75</v>
      </c>
      <c r="I968">
        <f>_xlfn.XLOOKUP(A968,[1]ForwardDeriv!$D:$D,[1]ForwardDeriv!$AJ:$AJ)</f>
        <v>1.2800000000000011</v>
      </c>
      <c r="J968" cm="1">
        <f t="array" ref="J968">_xlfn.XLOOKUP(TEXT(A968, "mmm-yy"), TEXT([2]GASOLINE!$B$5:$B$208, "mmm-yy"), [2]GASOLINE!$IR$5:$IR$208, "Not Found")</f>
        <v>96.784294243425251</v>
      </c>
      <c r="K968" cm="1">
        <f t="array" ref="K968">_xlfn.XLOOKUP(TEXT(A968, "mmm-yy"), TEXT([2]GASOLINE!$B$5:$B$208, "mmm-yy"), [2]GASOLINE!$IK$5:$IK$208, "Not Found")</f>
        <v>155.98793618883138</v>
      </c>
      <c r="L968">
        <f t="shared" si="15"/>
        <v>1</v>
      </c>
      <c r="M968" cm="1">
        <f t="array" ref="M968">_xlfn.XLOOKUP(TEXT(A968, "mmm-yy"), TEXT([2]GASOLINE!$B$5:$B$208, "mmm-yy"), [2]GASOLINE!$C$5:$C$208, "Not Found")</f>
        <v>7286.0481409502154</v>
      </c>
      <c r="N968" cm="1">
        <f t="array" ref="N968">_xlfn.XLOOKUP(TEXT(A968, "mmm-yy"), TEXT([2]RUNS!$B$5:$B$208, "mmm-yy"), [2]RUNS!$BM$5:$BM$208, "Not Found")</f>
        <v>0.85567975778246252</v>
      </c>
    </row>
    <row r="969" spans="1:14" x14ac:dyDescent="0.25">
      <c r="A969" s="1">
        <f>'[1]Global_Spot Prices'!$B2278</f>
        <v>43360</v>
      </c>
      <c r="B969">
        <f>_xlfn.XLOOKUP(A969,'[1]Global_Spot Prices'!$B:$B,'[1]Global_Spot Prices'!$BS:$BS)</f>
        <v>10.530000000000001</v>
      </c>
      <c r="C969">
        <f>_xlfn.XLOOKUP(A969,'[1]Global_Spot Prices'!$B:$B,'[1]Global_Spot Prices'!$E:$E)</f>
        <v>76.45</v>
      </c>
      <c r="D969">
        <f>_xlfn.XLOOKUP(A969,'[1]Global_Spot Prices'!$B:$B,'[1]Global_Spot Prices'!$D:$D)</f>
        <v>78.290000000000006</v>
      </c>
      <c r="E969">
        <f>_xlfn.XLOOKUP(A969,'[1]Global_Spot Prices'!$B:$B,'[1]Global_Spot Prices'!$H:$H)</f>
        <v>74.25</v>
      </c>
      <c r="F969">
        <f>_xlfn.XLOOKUP(A969,'[1]Global_Spot Prices'!$B:$B,'[1]Global_Spot Prices'!$I:$I)</f>
        <v>86.98</v>
      </c>
      <c r="G969" cm="1">
        <f t="array" ref="G969">_xlfn.XLOOKUP(TEXT(A969, "mmm-yy"), TEXT([2]RUNS!$B$5:$B$208, "mmm-yy"), [2]RUNS!$D$5:$D$208, "Not Found")</f>
        <v>29978.654745932803</v>
      </c>
      <c r="H969" cm="1">
        <f t="array" ref="H969">SUMPRODUCT(
    --(TEXT('[3]Global Weekly Stock (EWSuez'!$B$4:$B$2000,"mmm-yy")=TEXT(A969,"mmm-yy")),
    '[3]Global Weekly Stock (EWSuez'!$E$4:$E$2000)
/
SUMPRODUCT(
    --(TEXT('[3]Global Weekly Stock (EWSuez'!$B$4:$B$2000,"mmm-yy")=TEXT(A969,"mmm-yy"))
)</f>
        <v>11731.75</v>
      </c>
      <c r="I969">
        <f>_xlfn.XLOOKUP(A969,[1]ForwardDeriv!$D:$D,[1]ForwardDeriv!$AJ:$AJ)</f>
        <v>1.2199999999999989</v>
      </c>
      <c r="J969" cm="1">
        <f t="array" ref="J969">_xlfn.XLOOKUP(TEXT(A969, "mmm-yy"), TEXT([2]GASOLINE!$B$5:$B$208, "mmm-yy"), [2]GASOLINE!$IR$5:$IR$208, "Not Found")</f>
        <v>96.784294243425251</v>
      </c>
      <c r="K969" cm="1">
        <f t="array" ref="K969">_xlfn.XLOOKUP(TEXT(A969, "mmm-yy"), TEXT([2]GASOLINE!$B$5:$B$208, "mmm-yy"), [2]GASOLINE!$IK$5:$IK$208, "Not Found")</f>
        <v>155.98793618883138</v>
      </c>
      <c r="L969">
        <f t="shared" si="15"/>
        <v>1</v>
      </c>
      <c r="M969" cm="1">
        <f t="array" ref="M969">_xlfn.XLOOKUP(TEXT(A969, "mmm-yy"), TEXT([2]GASOLINE!$B$5:$B$208, "mmm-yy"), [2]GASOLINE!$C$5:$C$208, "Not Found")</f>
        <v>7286.0481409502154</v>
      </c>
      <c r="N969" cm="1">
        <f t="array" ref="N969">_xlfn.XLOOKUP(TEXT(A969, "mmm-yy"), TEXT([2]RUNS!$B$5:$B$208, "mmm-yy"), [2]RUNS!$BM$5:$BM$208, "Not Found")</f>
        <v>0.85567975778246252</v>
      </c>
    </row>
    <row r="970" spans="1:14" x14ac:dyDescent="0.25">
      <c r="A970" s="1">
        <f>'[1]Global_Spot Prices'!$B2279</f>
        <v>43361</v>
      </c>
      <c r="B970">
        <f>_xlfn.XLOOKUP(A970,'[1]Global_Spot Prices'!$B:$B,'[1]Global_Spot Prices'!$BS:$BS)</f>
        <v>10.61</v>
      </c>
      <c r="C970">
        <f>_xlfn.XLOOKUP(A970,'[1]Global_Spot Prices'!$B:$B,'[1]Global_Spot Prices'!$E:$E)</f>
        <v>75.78</v>
      </c>
      <c r="D970">
        <f>_xlfn.XLOOKUP(A970,'[1]Global_Spot Prices'!$B:$B,'[1]Global_Spot Prices'!$D:$D)</f>
        <v>79.094999999999999</v>
      </c>
      <c r="E970">
        <f>_xlfn.XLOOKUP(A970,'[1]Global_Spot Prices'!$B:$B,'[1]Global_Spot Prices'!$H:$H)</f>
        <v>74.27</v>
      </c>
      <c r="F970">
        <f>_xlfn.XLOOKUP(A970,'[1]Global_Spot Prices'!$B:$B,'[1]Global_Spot Prices'!$I:$I)</f>
        <v>86.39</v>
      </c>
      <c r="G970" cm="1">
        <f t="array" ref="G970">_xlfn.XLOOKUP(TEXT(A970, "mmm-yy"), TEXT([2]RUNS!$B$5:$B$208, "mmm-yy"), [2]RUNS!$D$5:$D$208, "Not Found")</f>
        <v>29978.654745932803</v>
      </c>
      <c r="H970" cm="1">
        <f t="array" ref="H970">SUMPRODUCT(
    --(TEXT('[3]Global Weekly Stock (EWSuez'!$B$4:$B$2000,"mmm-yy")=TEXT(A970,"mmm-yy")),
    '[3]Global Weekly Stock (EWSuez'!$E$4:$E$2000)
/
SUMPRODUCT(
    --(TEXT('[3]Global Weekly Stock (EWSuez'!$B$4:$B$2000,"mmm-yy")=TEXT(A970,"mmm-yy"))
)</f>
        <v>11731.75</v>
      </c>
      <c r="I970">
        <f>_xlfn.XLOOKUP(A970,[1]ForwardDeriv!$D:$D,[1]ForwardDeriv!$AJ:$AJ)</f>
        <v>1.2800000000000011</v>
      </c>
      <c r="J970" cm="1">
        <f t="array" ref="J970">_xlfn.XLOOKUP(TEXT(A970, "mmm-yy"), TEXT([2]GASOLINE!$B$5:$B$208, "mmm-yy"), [2]GASOLINE!$IR$5:$IR$208, "Not Found")</f>
        <v>96.784294243425251</v>
      </c>
      <c r="K970" cm="1">
        <f t="array" ref="K970">_xlfn.XLOOKUP(TEXT(A970, "mmm-yy"), TEXT([2]GASOLINE!$B$5:$B$208, "mmm-yy"), [2]GASOLINE!$IK$5:$IK$208, "Not Found")</f>
        <v>155.98793618883138</v>
      </c>
      <c r="L970">
        <f t="shared" si="15"/>
        <v>1</v>
      </c>
      <c r="M970" cm="1">
        <f t="array" ref="M970">_xlfn.XLOOKUP(TEXT(A970, "mmm-yy"), TEXT([2]GASOLINE!$B$5:$B$208, "mmm-yy"), [2]GASOLINE!$C$5:$C$208, "Not Found")</f>
        <v>7286.0481409502154</v>
      </c>
      <c r="N970" cm="1">
        <f t="array" ref="N970">_xlfn.XLOOKUP(TEXT(A970, "mmm-yy"), TEXT([2]RUNS!$B$5:$B$208, "mmm-yy"), [2]RUNS!$BM$5:$BM$208, "Not Found")</f>
        <v>0.85567975778246252</v>
      </c>
    </row>
    <row r="971" spans="1:14" x14ac:dyDescent="0.25">
      <c r="A971" s="1">
        <f>'[1]Global_Spot Prices'!$B2280</f>
        <v>43362</v>
      </c>
      <c r="B971">
        <f>_xlfn.XLOOKUP(A971,'[1]Global_Spot Prices'!$B:$B,'[1]Global_Spot Prices'!$BS:$BS)</f>
        <v>10.579999999999998</v>
      </c>
      <c r="C971">
        <f>_xlfn.XLOOKUP(A971,'[1]Global_Spot Prices'!$B:$B,'[1]Global_Spot Prices'!$E:$E)</f>
        <v>77.05</v>
      </c>
      <c r="D971">
        <f>_xlfn.XLOOKUP(A971,'[1]Global_Spot Prices'!$B:$B,'[1]Global_Spot Prices'!$D:$D)</f>
        <v>79.22</v>
      </c>
      <c r="E971">
        <f>_xlfn.XLOOKUP(A971,'[1]Global_Spot Prices'!$B:$B,'[1]Global_Spot Prices'!$H:$H)</f>
        <v>75.25</v>
      </c>
      <c r="F971">
        <f>_xlfn.XLOOKUP(A971,'[1]Global_Spot Prices'!$B:$B,'[1]Global_Spot Prices'!$I:$I)</f>
        <v>87.63</v>
      </c>
      <c r="G971" cm="1">
        <f t="array" ref="G971">_xlfn.XLOOKUP(TEXT(A971, "mmm-yy"), TEXT([2]RUNS!$B$5:$B$208, "mmm-yy"), [2]RUNS!$D$5:$D$208, "Not Found")</f>
        <v>29978.654745932803</v>
      </c>
      <c r="H971" cm="1">
        <f t="array" ref="H971">SUMPRODUCT(
    --(TEXT('[3]Global Weekly Stock (EWSuez'!$B$4:$B$2000,"mmm-yy")=TEXT(A971,"mmm-yy")),
    '[3]Global Weekly Stock (EWSuez'!$E$4:$E$2000)
/
SUMPRODUCT(
    --(TEXT('[3]Global Weekly Stock (EWSuez'!$B$4:$B$2000,"mmm-yy")=TEXT(A971,"mmm-yy"))
)</f>
        <v>11731.75</v>
      </c>
      <c r="I971">
        <f>_xlfn.XLOOKUP(A971,[1]ForwardDeriv!$D:$D,[1]ForwardDeriv!$AJ:$AJ)</f>
        <v>1.3299999999999983</v>
      </c>
      <c r="J971" cm="1">
        <f t="array" ref="J971">_xlfn.XLOOKUP(TEXT(A971, "mmm-yy"), TEXT([2]GASOLINE!$B$5:$B$208, "mmm-yy"), [2]GASOLINE!$IR$5:$IR$208, "Not Found")</f>
        <v>96.784294243425251</v>
      </c>
      <c r="K971" cm="1">
        <f t="array" ref="K971">_xlfn.XLOOKUP(TEXT(A971, "mmm-yy"), TEXT([2]GASOLINE!$B$5:$B$208, "mmm-yy"), [2]GASOLINE!$IK$5:$IK$208, "Not Found")</f>
        <v>155.98793618883138</v>
      </c>
      <c r="L971">
        <f t="shared" si="15"/>
        <v>1</v>
      </c>
      <c r="M971" cm="1">
        <f t="array" ref="M971">_xlfn.XLOOKUP(TEXT(A971, "mmm-yy"), TEXT([2]GASOLINE!$B$5:$B$208, "mmm-yy"), [2]GASOLINE!$C$5:$C$208, "Not Found")</f>
        <v>7286.0481409502154</v>
      </c>
      <c r="N971" cm="1">
        <f t="array" ref="N971">_xlfn.XLOOKUP(TEXT(A971, "mmm-yy"), TEXT([2]RUNS!$B$5:$B$208, "mmm-yy"), [2]RUNS!$BM$5:$BM$208, "Not Found")</f>
        <v>0.85567975778246252</v>
      </c>
    </row>
    <row r="972" spans="1:14" x14ac:dyDescent="0.25">
      <c r="A972" s="1">
        <f>'[1]Global_Spot Prices'!$B2281</f>
        <v>43363</v>
      </c>
      <c r="B972">
        <f>_xlfn.XLOOKUP(A972,'[1]Global_Spot Prices'!$B:$B,'[1]Global_Spot Prices'!$BS:$BS)</f>
        <v>10.620000000000005</v>
      </c>
      <c r="C972">
        <f>_xlfn.XLOOKUP(A972,'[1]Global_Spot Prices'!$B:$B,'[1]Global_Spot Prices'!$E:$E)</f>
        <v>77.55</v>
      </c>
      <c r="D972">
        <f>_xlfn.XLOOKUP(A972,'[1]Global_Spot Prices'!$B:$B,'[1]Global_Spot Prices'!$D:$D)</f>
        <v>78.754999999999995</v>
      </c>
      <c r="E972">
        <f>_xlfn.XLOOKUP(A972,'[1]Global_Spot Prices'!$B:$B,'[1]Global_Spot Prices'!$H:$H)</f>
        <v>75.569999999999993</v>
      </c>
      <c r="F972">
        <f>_xlfn.XLOOKUP(A972,'[1]Global_Spot Prices'!$B:$B,'[1]Global_Spot Prices'!$I:$I)</f>
        <v>88.17</v>
      </c>
      <c r="G972" cm="1">
        <f t="array" ref="G972">_xlfn.XLOOKUP(TEXT(A972, "mmm-yy"), TEXT([2]RUNS!$B$5:$B$208, "mmm-yy"), [2]RUNS!$D$5:$D$208, "Not Found")</f>
        <v>29978.654745932803</v>
      </c>
      <c r="H972" cm="1">
        <f t="array" ref="H972">SUMPRODUCT(
    --(TEXT('[3]Global Weekly Stock (EWSuez'!$B$4:$B$2000,"mmm-yy")=TEXT(A972,"mmm-yy")),
    '[3]Global Weekly Stock (EWSuez'!$E$4:$E$2000)
/
SUMPRODUCT(
    --(TEXT('[3]Global Weekly Stock (EWSuez'!$B$4:$B$2000,"mmm-yy")=TEXT(A972,"mmm-yy"))
)</f>
        <v>11731.75</v>
      </c>
      <c r="I972">
        <f>_xlfn.XLOOKUP(A972,[1]ForwardDeriv!$D:$D,[1]ForwardDeriv!$AJ:$AJ)</f>
        <v>1.2999999999999972</v>
      </c>
      <c r="J972" cm="1">
        <f t="array" ref="J972">_xlfn.XLOOKUP(TEXT(A972, "mmm-yy"), TEXT([2]GASOLINE!$B$5:$B$208, "mmm-yy"), [2]GASOLINE!$IR$5:$IR$208, "Not Found")</f>
        <v>96.784294243425251</v>
      </c>
      <c r="K972" cm="1">
        <f t="array" ref="K972">_xlfn.XLOOKUP(TEXT(A972, "mmm-yy"), TEXT([2]GASOLINE!$B$5:$B$208, "mmm-yy"), [2]GASOLINE!$IK$5:$IK$208, "Not Found")</f>
        <v>155.98793618883138</v>
      </c>
      <c r="L972">
        <f t="shared" si="15"/>
        <v>1</v>
      </c>
      <c r="M972" cm="1">
        <f t="array" ref="M972">_xlfn.XLOOKUP(TEXT(A972, "mmm-yy"), TEXT([2]GASOLINE!$B$5:$B$208, "mmm-yy"), [2]GASOLINE!$C$5:$C$208, "Not Found")</f>
        <v>7286.0481409502154</v>
      </c>
      <c r="N972" cm="1">
        <f t="array" ref="N972">_xlfn.XLOOKUP(TEXT(A972, "mmm-yy"), TEXT([2]RUNS!$B$5:$B$208, "mmm-yy"), [2]RUNS!$BM$5:$BM$208, "Not Found")</f>
        <v>0.85567975778246252</v>
      </c>
    </row>
    <row r="973" spans="1:14" x14ac:dyDescent="0.25">
      <c r="A973" s="1">
        <f>'[1]Global_Spot Prices'!$B2282</f>
        <v>43364</v>
      </c>
      <c r="B973">
        <f>_xlfn.XLOOKUP(A973,'[1]Global_Spot Prices'!$B:$B,'[1]Global_Spot Prices'!$BS:$BS)</f>
        <v>10.519999999999996</v>
      </c>
      <c r="C973">
        <f>_xlfn.XLOOKUP(A973,'[1]Global_Spot Prices'!$B:$B,'[1]Global_Spot Prices'!$E:$E)</f>
        <v>77.400000000000006</v>
      </c>
      <c r="D973">
        <f>_xlfn.XLOOKUP(A973,'[1]Global_Spot Prices'!$B:$B,'[1]Global_Spot Prices'!$D:$D)</f>
        <v>78.8</v>
      </c>
      <c r="E973">
        <f>_xlfn.XLOOKUP(A973,'[1]Global_Spot Prices'!$B:$B,'[1]Global_Spot Prices'!$H:$H)</f>
        <v>75.53</v>
      </c>
      <c r="F973">
        <f>_xlfn.XLOOKUP(A973,'[1]Global_Spot Prices'!$B:$B,'[1]Global_Spot Prices'!$I:$I)</f>
        <v>87.92</v>
      </c>
      <c r="G973" cm="1">
        <f t="array" ref="G973">_xlfn.XLOOKUP(TEXT(A973, "mmm-yy"), TEXT([2]RUNS!$B$5:$B$208, "mmm-yy"), [2]RUNS!$D$5:$D$208, "Not Found")</f>
        <v>29978.654745932803</v>
      </c>
      <c r="H973" cm="1">
        <f t="array" ref="H973">SUMPRODUCT(
    --(TEXT('[3]Global Weekly Stock (EWSuez'!$B$4:$B$2000,"mmm-yy")=TEXT(A973,"mmm-yy")),
    '[3]Global Weekly Stock (EWSuez'!$E$4:$E$2000)
/
SUMPRODUCT(
    --(TEXT('[3]Global Weekly Stock (EWSuez'!$B$4:$B$2000,"mmm-yy")=TEXT(A973,"mmm-yy"))
)</f>
        <v>11731.75</v>
      </c>
      <c r="I973">
        <f>_xlfn.XLOOKUP(A973,[1]ForwardDeriv!$D:$D,[1]ForwardDeriv!$AJ:$AJ)</f>
        <v>1.2600000000000051</v>
      </c>
      <c r="J973" cm="1">
        <f t="array" ref="J973">_xlfn.XLOOKUP(TEXT(A973, "mmm-yy"), TEXT([2]GASOLINE!$B$5:$B$208, "mmm-yy"), [2]GASOLINE!$IR$5:$IR$208, "Not Found")</f>
        <v>96.784294243425251</v>
      </c>
      <c r="K973" cm="1">
        <f t="array" ref="K973">_xlfn.XLOOKUP(TEXT(A973, "mmm-yy"), TEXT([2]GASOLINE!$B$5:$B$208, "mmm-yy"), [2]GASOLINE!$IK$5:$IK$208, "Not Found")</f>
        <v>155.98793618883138</v>
      </c>
      <c r="L973">
        <f t="shared" si="15"/>
        <v>1</v>
      </c>
      <c r="M973" cm="1">
        <f t="array" ref="M973">_xlfn.XLOOKUP(TEXT(A973, "mmm-yy"), TEXT([2]GASOLINE!$B$5:$B$208, "mmm-yy"), [2]GASOLINE!$C$5:$C$208, "Not Found")</f>
        <v>7286.0481409502154</v>
      </c>
      <c r="N973" cm="1">
        <f t="array" ref="N973">_xlfn.XLOOKUP(TEXT(A973, "mmm-yy"), TEXT([2]RUNS!$B$5:$B$208, "mmm-yy"), [2]RUNS!$BM$5:$BM$208, "Not Found")</f>
        <v>0.85567975778246252</v>
      </c>
    </row>
    <row r="974" spans="1:14" x14ac:dyDescent="0.25">
      <c r="A974" s="1">
        <f>'[1]Global_Spot Prices'!$B2283</f>
        <v>43367</v>
      </c>
      <c r="B974">
        <f>_xlfn.XLOOKUP(A974,'[1]Global_Spot Prices'!$B:$B,'[1]Global_Spot Prices'!$BS:$BS)</f>
        <v>10.75</v>
      </c>
      <c r="C974">
        <f>_xlfn.XLOOKUP(A974,'[1]Global_Spot Prices'!$B:$B,'[1]Global_Spot Prices'!$E:$E)</f>
        <v>78.44</v>
      </c>
      <c r="D974">
        <f>_xlfn.XLOOKUP(A974,'[1]Global_Spot Prices'!$B:$B,'[1]Global_Spot Prices'!$D:$D)</f>
        <v>80.905000000000001</v>
      </c>
      <c r="E974">
        <f>_xlfn.XLOOKUP(A974,'[1]Global_Spot Prices'!$B:$B,'[1]Global_Spot Prices'!$H:$H)</f>
        <v>76.42</v>
      </c>
      <c r="F974">
        <f>_xlfn.XLOOKUP(A974,'[1]Global_Spot Prices'!$B:$B,'[1]Global_Spot Prices'!$I:$I)</f>
        <v>89.19</v>
      </c>
      <c r="G974" cm="1">
        <f t="array" ref="G974">_xlfn.XLOOKUP(TEXT(A974, "mmm-yy"), TEXT([2]RUNS!$B$5:$B$208, "mmm-yy"), [2]RUNS!$D$5:$D$208, "Not Found")</f>
        <v>29978.654745932803</v>
      </c>
      <c r="H974" cm="1">
        <f t="array" ref="H974">SUMPRODUCT(
    --(TEXT('[3]Global Weekly Stock (EWSuez'!$B$4:$B$2000,"mmm-yy")=TEXT(A974,"mmm-yy")),
    '[3]Global Weekly Stock (EWSuez'!$E$4:$E$2000)
/
SUMPRODUCT(
    --(TEXT('[3]Global Weekly Stock (EWSuez'!$B$4:$B$2000,"mmm-yy")=TEXT(A974,"mmm-yy"))
)</f>
        <v>11731.75</v>
      </c>
      <c r="I974">
        <f>_xlfn.XLOOKUP(A974,[1]ForwardDeriv!$D:$D,[1]ForwardDeriv!$AJ:$AJ)</f>
        <v>1.3099999999999881</v>
      </c>
      <c r="J974" cm="1">
        <f t="array" ref="J974">_xlfn.XLOOKUP(TEXT(A974, "mmm-yy"), TEXT([2]GASOLINE!$B$5:$B$208, "mmm-yy"), [2]GASOLINE!$IR$5:$IR$208, "Not Found")</f>
        <v>96.784294243425251</v>
      </c>
      <c r="K974" cm="1">
        <f t="array" ref="K974">_xlfn.XLOOKUP(TEXT(A974, "mmm-yy"), TEXT([2]GASOLINE!$B$5:$B$208, "mmm-yy"), [2]GASOLINE!$IK$5:$IK$208, "Not Found")</f>
        <v>155.98793618883138</v>
      </c>
      <c r="L974">
        <f t="shared" si="15"/>
        <v>1</v>
      </c>
      <c r="M974" cm="1">
        <f t="array" ref="M974">_xlfn.XLOOKUP(TEXT(A974, "mmm-yy"), TEXT([2]GASOLINE!$B$5:$B$208, "mmm-yy"), [2]GASOLINE!$C$5:$C$208, "Not Found")</f>
        <v>7286.0481409502154</v>
      </c>
      <c r="N974" cm="1">
        <f t="array" ref="N974">_xlfn.XLOOKUP(TEXT(A974, "mmm-yy"), TEXT([2]RUNS!$B$5:$B$208, "mmm-yy"), [2]RUNS!$BM$5:$BM$208, "Not Found")</f>
        <v>0.85567975778246252</v>
      </c>
    </row>
    <row r="975" spans="1:14" x14ac:dyDescent="0.25">
      <c r="A975" s="1">
        <f>'[1]Global_Spot Prices'!$B2284</f>
        <v>43368</v>
      </c>
      <c r="B975">
        <f>_xlfn.XLOOKUP(A975,'[1]Global_Spot Prices'!$B:$B,'[1]Global_Spot Prices'!$BS:$BS)</f>
        <v>10.019999999999996</v>
      </c>
      <c r="C975">
        <f>_xlfn.XLOOKUP(A975,'[1]Global_Spot Prices'!$B:$B,'[1]Global_Spot Prices'!$E:$E)</f>
        <v>79.7</v>
      </c>
      <c r="D975">
        <f>_xlfn.XLOOKUP(A975,'[1]Global_Spot Prices'!$B:$B,'[1]Global_Spot Prices'!$D:$D)</f>
        <v>82.36</v>
      </c>
      <c r="E975">
        <f>_xlfn.XLOOKUP(A975,'[1]Global_Spot Prices'!$B:$B,'[1]Global_Spot Prices'!$H:$H)</f>
        <v>77.3</v>
      </c>
      <c r="F975">
        <f>_xlfn.XLOOKUP(A975,'[1]Global_Spot Prices'!$B:$B,'[1]Global_Spot Prices'!$I:$I)</f>
        <v>89.72</v>
      </c>
      <c r="G975" cm="1">
        <f t="array" ref="G975">_xlfn.XLOOKUP(TEXT(A975, "mmm-yy"), TEXT([2]RUNS!$B$5:$B$208, "mmm-yy"), [2]RUNS!$D$5:$D$208, "Not Found")</f>
        <v>29978.654745932803</v>
      </c>
      <c r="H975" cm="1">
        <f t="array" ref="H975">SUMPRODUCT(
    --(TEXT('[3]Global Weekly Stock (EWSuez'!$B$4:$B$2000,"mmm-yy")=TEXT(A975,"mmm-yy")),
    '[3]Global Weekly Stock (EWSuez'!$E$4:$E$2000)
/
SUMPRODUCT(
    --(TEXT('[3]Global Weekly Stock (EWSuez'!$B$4:$B$2000,"mmm-yy")=TEXT(A975,"mmm-yy"))
)</f>
        <v>11731.75</v>
      </c>
      <c r="I975">
        <f>_xlfn.XLOOKUP(A975,[1]ForwardDeriv!$D:$D,[1]ForwardDeriv!$AJ:$AJ)</f>
        <v>1.3000000000000114</v>
      </c>
      <c r="J975" cm="1">
        <f t="array" ref="J975">_xlfn.XLOOKUP(TEXT(A975, "mmm-yy"), TEXT([2]GASOLINE!$B$5:$B$208, "mmm-yy"), [2]GASOLINE!$IR$5:$IR$208, "Not Found")</f>
        <v>96.784294243425251</v>
      </c>
      <c r="K975" cm="1">
        <f t="array" ref="K975">_xlfn.XLOOKUP(TEXT(A975, "mmm-yy"), TEXT([2]GASOLINE!$B$5:$B$208, "mmm-yy"), [2]GASOLINE!$IK$5:$IK$208, "Not Found")</f>
        <v>155.98793618883138</v>
      </c>
      <c r="L975">
        <f t="shared" si="15"/>
        <v>1</v>
      </c>
      <c r="M975" cm="1">
        <f t="array" ref="M975">_xlfn.XLOOKUP(TEXT(A975, "mmm-yy"), TEXT([2]GASOLINE!$B$5:$B$208, "mmm-yy"), [2]GASOLINE!$C$5:$C$208, "Not Found")</f>
        <v>7286.0481409502154</v>
      </c>
      <c r="N975" cm="1">
        <f t="array" ref="N975">_xlfn.XLOOKUP(TEXT(A975, "mmm-yy"), TEXT([2]RUNS!$B$5:$B$208, "mmm-yy"), [2]RUNS!$BM$5:$BM$208, "Not Found")</f>
        <v>0.85567975778246252</v>
      </c>
    </row>
    <row r="976" spans="1:14" x14ac:dyDescent="0.25">
      <c r="A976" s="1">
        <f>'[1]Global_Spot Prices'!$B2285</f>
        <v>43369</v>
      </c>
      <c r="B976">
        <f>_xlfn.XLOOKUP(A976,'[1]Global_Spot Prices'!$B:$B,'[1]Global_Spot Prices'!$BS:$BS)</f>
        <v>9.25</v>
      </c>
      <c r="C976">
        <f>_xlfn.XLOOKUP(A976,'[1]Global_Spot Prices'!$B:$B,'[1]Global_Spot Prices'!$E:$E)</f>
        <v>80.05</v>
      </c>
      <c r="D976">
        <f>_xlfn.XLOOKUP(A976,'[1]Global_Spot Prices'!$B:$B,'[1]Global_Spot Prices'!$D:$D)</f>
        <v>81.72</v>
      </c>
      <c r="E976">
        <f>_xlfn.XLOOKUP(A976,'[1]Global_Spot Prices'!$B:$B,'[1]Global_Spot Prices'!$H:$H)</f>
        <v>78.03</v>
      </c>
      <c r="F976">
        <f>_xlfn.XLOOKUP(A976,'[1]Global_Spot Prices'!$B:$B,'[1]Global_Spot Prices'!$I:$I)</f>
        <v>89.3</v>
      </c>
      <c r="G976" cm="1">
        <f t="array" ref="G976">_xlfn.XLOOKUP(TEXT(A976, "mmm-yy"), TEXT([2]RUNS!$B$5:$B$208, "mmm-yy"), [2]RUNS!$D$5:$D$208, "Not Found")</f>
        <v>29978.654745932803</v>
      </c>
      <c r="H976" cm="1">
        <f t="array" ref="H976">SUMPRODUCT(
    --(TEXT('[3]Global Weekly Stock (EWSuez'!$B$4:$B$2000,"mmm-yy")=TEXT(A976,"mmm-yy")),
    '[3]Global Weekly Stock (EWSuez'!$E$4:$E$2000)
/
SUMPRODUCT(
    --(TEXT('[3]Global Weekly Stock (EWSuez'!$B$4:$B$2000,"mmm-yy")=TEXT(A976,"mmm-yy"))
)</f>
        <v>11731.75</v>
      </c>
      <c r="I976">
        <f>_xlfn.XLOOKUP(A976,[1]ForwardDeriv!$D:$D,[1]ForwardDeriv!$AJ:$AJ)</f>
        <v>1.1899999999999977</v>
      </c>
      <c r="J976" cm="1">
        <f t="array" ref="J976">_xlfn.XLOOKUP(TEXT(A976, "mmm-yy"), TEXT([2]GASOLINE!$B$5:$B$208, "mmm-yy"), [2]GASOLINE!$IR$5:$IR$208, "Not Found")</f>
        <v>96.784294243425251</v>
      </c>
      <c r="K976" cm="1">
        <f t="array" ref="K976">_xlfn.XLOOKUP(TEXT(A976, "mmm-yy"), TEXT([2]GASOLINE!$B$5:$B$208, "mmm-yy"), [2]GASOLINE!$IK$5:$IK$208, "Not Found")</f>
        <v>155.98793618883138</v>
      </c>
      <c r="L976">
        <f t="shared" si="15"/>
        <v>1</v>
      </c>
      <c r="M976" cm="1">
        <f t="array" ref="M976">_xlfn.XLOOKUP(TEXT(A976, "mmm-yy"), TEXT([2]GASOLINE!$B$5:$B$208, "mmm-yy"), [2]GASOLINE!$C$5:$C$208, "Not Found")</f>
        <v>7286.0481409502154</v>
      </c>
      <c r="N976" cm="1">
        <f t="array" ref="N976">_xlfn.XLOOKUP(TEXT(A976, "mmm-yy"), TEXT([2]RUNS!$B$5:$B$208, "mmm-yy"), [2]RUNS!$BM$5:$BM$208, "Not Found")</f>
        <v>0.85567975778246252</v>
      </c>
    </row>
    <row r="977" spans="1:14" x14ac:dyDescent="0.25">
      <c r="A977" s="1">
        <f>'[1]Global_Spot Prices'!$B2286</f>
        <v>43370</v>
      </c>
      <c r="B977">
        <f>_xlfn.XLOOKUP(A977,'[1]Global_Spot Prices'!$B:$B,'[1]Global_Spot Prices'!$BS:$BS)</f>
        <v>9.480000000000004</v>
      </c>
      <c r="C977">
        <f>_xlfn.XLOOKUP(A977,'[1]Global_Spot Prices'!$B:$B,'[1]Global_Spot Prices'!$E:$E)</f>
        <v>80.45</v>
      </c>
      <c r="D977">
        <f>_xlfn.XLOOKUP(A977,'[1]Global_Spot Prices'!$B:$B,'[1]Global_Spot Prices'!$D:$D)</f>
        <v>81.834999999999994</v>
      </c>
      <c r="E977">
        <f>_xlfn.XLOOKUP(A977,'[1]Global_Spot Prices'!$B:$B,'[1]Global_Spot Prices'!$H:$H)</f>
        <v>78.42</v>
      </c>
      <c r="F977">
        <f>_xlfn.XLOOKUP(A977,'[1]Global_Spot Prices'!$B:$B,'[1]Global_Spot Prices'!$I:$I)</f>
        <v>89.93</v>
      </c>
      <c r="G977" cm="1">
        <f t="array" ref="G977">_xlfn.XLOOKUP(TEXT(A977, "mmm-yy"), TEXT([2]RUNS!$B$5:$B$208, "mmm-yy"), [2]RUNS!$D$5:$D$208, "Not Found")</f>
        <v>29978.654745932803</v>
      </c>
      <c r="H977" cm="1">
        <f t="array" ref="H977">SUMPRODUCT(
    --(TEXT('[3]Global Weekly Stock (EWSuez'!$B$4:$B$2000,"mmm-yy")=TEXT(A977,"mmm-yy")),
    '[3]Global Weekly Stock (EWSuez'!$E$4:$E$2000)
/
SUMPRODUCT(
    --(TEXT('[3]Global Weekly Stock (EWSuez'!$B$4:$B$2000,"mmm-yy")=TEXT(A977,"mmm-yy"))
)</f>
        <v>11731.75</v>
      </c>
      <c r="I977">
        <f>_xlfn.XLOOKUP(A977,[1]ForwardDeriv!$D:$D,[1]ForwardDeriv!$AJ:$AJ)</f>
        <v>1.269999999999996</v>
      </c>
      <c r="J977" cm="1">
        <f t="array" ref="J977">_xlfn.XLOOKUP(TEXT(A977, "mmm-yy"), TEXT([2]GASOLINE!$B$5:$B$208, "mmm-yy"), [2]GASOLINE!$IR$5:$IR$208, "Not Found")</f>
        <v>96.784294243425251</v>
      </c>
      <c r="K977" cm="1">
        <f t="array" ref="K977">_xlfn.XLOOKUP(TEXT(A977, "mmm-yy"), TEXT([2]GASOLINE!$B$5:$B$208, "mmm-yy"), [2]GASOLINE!$IK$5:$IK$208, "Not Found")</f>
        <v>155.98793618883138</v>
      </c>
      <c r="L977">
        <f t="shared" si="15"/>
        <v>1</v>
      </c>
      <c r="M977" cm="1">
        <f t="array" ref="M977">_xlfn.XLOOKUP(TEXT(A977, "mmm-yy"), TEXT([2]GASOLINE!$B$5:$B$208, "mmm-yy"), [2]GASOLINE!$C$5:$C$208, "Not Found")</f>
        <v>7286.0481409502154</v>
      </c>
      <c r="N977" cm="1">
        <f t="array" ref="N977">_xlfn.XLOOKUP(TEXT(A977, "mmm-yy"), TEXT([2]RUNS!$B$5:$B$208, "mmm-yy"), [2]RUNS!$BM$5:$BM$208, "Not Found")</f>
        <v>0.85567975778246252</v>
      </c>
    </row>
    <row r="978" spans="1:14" x14ac:dyDescent="0.25">
      <c r="A978" s="1">
        <f>'[1]Global_Spot Prices'!$B2287</f>
        <v>43371</v>
      </c>
      <c r="B978">
        <f>_xlfn.XLOOKUP(A978,'[1]Global_Spot Prices'!$B:$B,'[1]Global_Spot Prices'!$BS:$BS)</f>
        <v>9.519999999999996</v>
      </c>
      <c r="C978">
        <f>_xlfn.XLOOKUP(A978,'[1]Global_Spot Prices'!$B:$B,'[1]Global_Spot Prices'!$E:$E)</f>
        <v>80</v>
      </c>
      <c r="D978">
        <f>_xlfn.XLOOKUP(A978,'[1]Global_Spot Prices'!$B:$B,'[1]Global_Spot Prices'!$D:$D)</f>
        <v>83.644999999999996</v>
      </c>
      <c r="E978">
        <f>_xlfn.XLOOKUP(A978,'[1]Global_Spot Prices'!$B:$B,'[1]Global_Spot Prices'!$H:$H)</f>
        <v>78.260000000000005</v>
      </c>
      <c r="F978">
        <f>_xlfn.XLOOKUP(A978,'[1]Global_Spot Prices'!$B:$B,'[1]Global_Spot Prices'!$I:$I)</f>
        <v>89.52</v>
      </c>
      <c r="G978" cm="1">
        <f t="array" ref="G978">_xlfn.XLOOKUP(TEXT(A978, "mmm-yy"), TEXT([2]RUNS!$B$5:$B$208, "mmm-yy"), [2]RUNS!$D$5:$D$208, "Not Found")</f>
        <v>29978.654745932803</v>
      </c>
      <c r="H978" cm="1">
        <f t="array" ref="H978">SUMPRODUCT(
    --(TEXT('[3]Global Weekly Stock (EWSuez'!$B$4:$B$2000,"mmm-yy")=TEXT(A978,"mmm-yy")),
    '[3]Global Weekly Stock (EWSuez'!$E$4:$E$2000)
/
SUMPRODUCT(
    --(TEXT('[3]Global Weekly Stock (EWSuez'!$B$4:$B$2000,"mmm-yy")=TEXT(A978,"mmm-yy"))
)</f>
        <v>11731.75</v>
      </c>
      <c r="I978">
        <f>_xlfn.XLOOKUP(A978,[1]ForwardDeriv!$D:$D,[1]ForwardDeriv!$AJ:$AJ)</f>
        <v>1.25</v>
      </c>
      <c r="J978" cm="1">
        <f t="array" ref="J978">_xlfn.XLOOKUP(TEXT(A978, "mmm-yy"), TEXT([2]GASOLINE!$B$5:$B$208, "mmm-yy"), [2]GASOLINE!$IR$5:$IR$208, "Not Found")</f>
        <v>96.784294243425251</v>
      </c>
      <c r="K978" cm="1">
        <f t="array" ref="K978">_xlfn.XLOOKUP(TEXT(A978, "mmm-yy"), TEXT([2]GASOLINE!$B$5:$B$208, "mmm-yy"), [2]GASOLINE!$IK$5:$IK$208, "Not Found")</f>
        <v>155.98793618883138</v>
      </c>
      <c r="L978">
        <f t="shared" si="15"/>
        <v>1</v>
      </c>
      <c r="M978" cm="1">
        <f t="array" ref="M978">_xlfn.XLOOKUP(TEXT(A978, "mmm-yy"), TEXT([2]GASOLINE!$B$5:$B$208, "mmm-yy"), [2]GASOLINE!$C$5:$C$208, "Not Found")</f>
        <v>7286.0481409502154</v>
      </c>
      <c r="N978" cm="1">
        <f t="array" ref="N978">_xlfn.XLOOKUP(TEXT(A978, "mmm-yy"), TEXT([2]RUNS!$B$5:$B$208, "mmm-yy"), [2]RUNS!$BM$5:$BM$208, "Not Found")</f>
        <v>0.85567975778246252</v>
      </c>
    </row>
    <row r="979" spans="1:14" x14ac:dyDescent="0.25">
      <c r="A979" s="1">
        <f>'[1]Global_Spot Prices'!$B2288</f>
        <v>43374</v>
      </c>
      <c r="B979">
        <f>_xlfn.XLOOKUP(A979,'[1]Global_Spot Prices'!$B:$B,'[1]Global_Spot Prices'!$BS:$BS)</f>
        <v>10.11</v>
      </c>
      <c r="C979">
        <f>_xlfn.XLOOKUP(A979,'[1]Global_Spot Prices'!$B:$B,'[1]Global_Spot Prices'!$E:$E)</f>
        <v>80.8</v>
      </c>
      <c r="D979">
        <f>_xlfn.XLOOKUP(A979,'[1]Global_Spot Prices'!$B:$B,'[1]Global_Spot Prices'!$D:$D)</f>
        <v>84.685000000000002</v>
      </c>
      <c r="E979">
        <f>_xlfn.XLOOKUP(A979,'[1]Global_Spot Prices'!$B:$B,'[1]Global_Spot Prices'!$H:$H)</f>
        <v>79.819999999999993</v>
      </c>
      <c r="F979">
        <f>_xlfn.XLOOKUP(A979,'[1]Global_Spot Prices'!$B:$B,'[1]Global_Spot Prices'!$I:$I)</f>
        <v>90.91</v>
      </c>
      <c r="G979" cm="1">
        <f t="array" ref="G979">_xlfn.XLOOKUP(TEXT(A979, "mmm-yy"), TEXT([2]RUNS!$B$5:$B$208, "mmm-yy"), [2]RUNS!$D$5:$D$208, "Not Found")</f>
        <v>29712.622888929614</v>
      </c>
      <c r="H979" cm="1">
        <f t="array" ref="H979">SUMPRODUCT(
    --(TEXT('[3]Global Weekly Stock (EWSuez'!$B$4:$B$2000,"mmm-yy")=TEXT(A979,"mmm-yy")),
    '[3]Global Weekly Stock (EWSuez'!$E$4:$E$2000)
/
SUMPRODUCT(
    --(TEXT('[3]Global Weekly Stock (EWSuez'!$B$4:$B$2000,"mmm-yy")=TEXT(A979,"mmm-yy"))
)</f>
        <v>11352.75</v>
      </c>
      <c r="I979">
        <f>_xlfn.XLOOKUP(A979,[1]ForwardDeriv!$D:$D,[1]ForwardDeriv!$AJ:$AJ)</f>
        <v>0.56999999999999318</v>
      </c>
      <c r="J979" cm="1">
        <f t="array" ref="J979">_xlfn.XLOOKUP(TEXT(A979, "mmm-yy"), TEXT([2]GASOLINE!$B$5:$B$208, "mmm-yy"), [2]GASOLINE!$IR$5:$IR$208, "Not Found")</f>
        <v>13.709381914245313</v>
      </c>
      <c r="K979" cm="1">
        <f t="array" ref="K979">_xlfn.XLOOKUP(TEXT(A979, "mmm-yy"), TEXT([2]GASOLINE!$B$5:$B$208, "mmm-yy"), [2]GASOLINE!$IK$5:$IK$208, "Not Found")</f>
        <v>156.32254136770814</v>
      </c>
      <c r="L979">
        <f t="shared" si="15"/>
        <v>0</v>
      </c>
      <c r="M979" cm="1">
        <f t="array" ref="M979">_xlfn.XLOOKUP(TEXT(A979, "mmm-yy"), TEXT([2]GASOLINE!$B$5:$B$208, "mmm-yy"), [2]GASOLINE!$C$5:$C$208, "Not Found")</f>
        <v>7379.4917187578849</v>
      </c>
      <c r="N979" cm="1">
        <f t="array" ref="N979">_xlfn.XLOOKUP(TEXT(A979, "mmm-yy"), TEXT([2]RUNS!$B$5:$B$208, "mmm-yy"), [2]RUNS!$BM$5:$BM$208, "Not Found")</f>
        <v>0.84527806621460977</v>
      </c>
    </row>
    <row r="980" spans="1:14" x14ac:dyDescent="0.25">
      <c r="A980" s="1">
        <f>'[1]Global_Spot Prices'!$B2289</f>
        <v>43375</v>
      </c>
      <c r="B980">
        <f>_xlfn.XLOOKUP(A980,'[1]Global_Spot Prices'!$B:$B,'[1]Global_Spot Prices'!$BS:$BS)</f>
        <v>9.5499999999999972</v>
      </c>
      <c r="C980">
        <f>_xlfn.XLOOKUP(A980,'[1]Global_Spot Prices'!$B:$B,'[1]Global_Spot Prices'!$E:$E)</f>
        <v>82.95</v>
      </c>
      <c r="D980">
        <f>_xlfn.XLOOKUP(A980,'[1]Global_Spot Prices'!$B:$B,'[1]Global_Spot Prices'!$D:$D)</f>
        <v>85.81</v>
      </c>
      <c r="E980">
        <f>_xlfn.XLOOKUP(A980,'[1]Global_Spot Prices'!$B:$B,'[1]Global_Spot Prices'!$H:$H)</f>
        <v>81.39</v>
      </c>
      <c r="F980">
        <f>_xlfn.XLOOKUP(A980,'[1]Global_Spot Prices'!$B:$B,'[1]Global_Spot Prices'!$I:$I)</f>
        <v>92.5</v>
      </c>
      <c r="G980" cm="1">
        <f t="array" ref="G980">_xlfn.XLOOKUP(TEXT(A980, "mmm-yy"), TEXT([2]RUNS!$B$5:$B$208, "mmm-yy"), [2]RUNS!$D$5:$D$208, "Not Found")</f>
        <v>29712.622888929614</v>
      </c>
      <c r="H980" cm="1">
        <f t="array" ref="H980">SUMPRODUCT(
    --(TEXT('[3]Global Weekly Stock (EWSuez'!$B$4:$B$2000,"mmm-yy")=TEXT(A980,"mmm-yy")),
    '[3]Global Weekly Stock (EWSuez'!$E$4:$E$2000)
/
SUMPRODUCT(
    --(TEXT('[3]Global Weekly Stock (EWSuez'!$B$4:$B$2000,"mmm-yy")=TEXT(A980,"mmm-yy"))
)</f>
        <v>11352.75</v>
      </c>
      <c r="I980">
        <f>_xlfn.XLOOKUP(A980,[1]ForwardDeriv!$D:$D,[1]ForwardDeriv!$AJ:$AJ)</f>
        <v>0.45000000000000284</v>
      </c>
      <c r="J980" cm="1">
        <f t="array" ref="J980">_xlfn.XLOOKUP(TEXT(A980, "mmm-yy"), TEXT([2]GASOLINE!$B$5:$B$208, "mmm-yy"), [2]GASOLINE!$IR$5:$IR$208, "Not Found")</f>
        <v>13.709381914245313</v>
      </c>
      <c r="K980" cm="1">
        <f t="array" ref="K980">_xlfn.XLOOKUP(TEXT(A980, "mmm-yy"), TEXT([2]GASOLINE!$B$5:$B$208, "mmm-yy"), [2]GASOLINE!$IK$5:$IK$208, "Not Found")</f>
        <v>156.32254136770814</v>
      </c>
      <c r="L980">
        <f t="shared" si="15"/>
        <v>0</v>
      </c>
      <c r="M980" cm="1">
        <f t="array" ref="M980">_xlfn.XLOOKUP(TEXT(A980, "mmm-yy"), TEXT([2]GASOLINE!$B$5:$B$208, "mmm-yy"), [2]GASOLINE!$C$5:$C$208, "Not Found")</f>
        <v>7379.4917187578849</v>
      </c>
      <c r="N980" cm="1">
        <f t="array" ref="N980">_xlfn.XLOOKUP(TEXT(A980, "mmm-yy"), TEXT([2]RUNS!$B$5:$B$208, "mmm-yy"), [2]RUNS!$BM$5:$BM$208, "Not Found")</f>
        <v>0.84527806621460977</v>
      </c>
    </row>
    <row r="981" spans="1:14" x14ac:dyDescent="0.25">
      <c r="A981" s="1">
        <f>'[1]Global_Spot Prices'!$B2290</f>
        <v>43376</v>
      </c>
      <c r="B981">
        <f>_xlfn.XLOOKUP(A981,'[1]Global_Spot Prices'!$B:$B,'[1]Global_Spot Prices'!$BS:$BS)</f>
        <v>8.8400000000000034</v>
      </c>
      <c r="C981">
        <f>_xlfn.XLOOKUP(A981,'[1]Global_Spot Prices'!$B:$B,'[1]Global_Spot Prices'!$E:$E)</f>
        <v>83.35</v>
      </c>
      <c r="D981">
        <f>_xlfn.XLOOKUP(A981,'[1]Global_Spot Prices'!$B:$B,'[1]Global_Spot Prices'!$D:$D)</f>
        <v>85.73</v>
      </c>
      <c r="E981">
        <f>_xlfn.XLOOKUP(A981,'[1]Global_Spot Prices'!$B:$B,'[1]Global_Spot Prices'!$H:$H)</f>
        <v>81.31</v>
      </c>
      <c r="F981">
        <f>_xlfn.XLOOKUP(A981,'[1]Global_Spot Prices'!$B:$B,'[1]Global_Spot Prices'!$I:$I)</f>
        <v>92.19</v>
      </c>
      <c r="G981" cm="1">
        <f t="array" ref="G981">_xlfn.XLOOKUP(TEXT(A981, "mmm-yy"), TEXT([2]RUNS!$B$5:$B$208, "mmm-yy"), [2]RUNS!$D$5:$D$208, "Not Found")</f>
        <v>29712.622888929614</v>
      </c>
      <c r="H981" cm="1">
        <f t="array" ref="H981">SUMPRODUCT(
    --(TEXT('[3]Global Weekly Stock (EWSuez'!$B$4:$B$2000,"mmm-yy")=TEXT(A981,"mmm-yy")),
    '[3]Global Weekly Stock (EWSuez'!$E$4:$E$2000)
/
SUMPRODUCT(
    --(TEXT('[3]Global Weekly Stock (EWSuez'!$B$4:$B$2000,"mmm-yy")=TEXT(A981,"mmm-yy"))
)</f>
        <v>11352.75</v>
      </c>
      <c r="I981">
        <f>_xlfn.XLOOKUP(A981,[1]ForwardDeriv!$D:$D,[1]ForwardDeriv!$AJ:$AJ)</f>
        <v>0.38000000000000966</v>
      </c>
      <c r="J981" cm="1">
        <f t="array" ref="J981">_xlfn.XLOOKUP(TEXT(A981, "mmm-yy"), TEXT([2]GASOLINE!$B$5:$B$208, "mmm-yy"), [2]GASOLINE!$IR$5:$IR$208, "Not Found")</f>
        <v>13.709381914245313</v>
      </c>
      <c r="K981" cm="1">
        <f t="array" ref="K981">_xlfn.XLOOKUP(TEXT(A981, "mmm-yy"), TEXT([2]GASOLINE!$B$5:$B$208, "mmm-yy"), [2]GASOLINE!$IK$5:$IK$208, "Not Found")</f>
        <v>156.32254136770814</v>
      </c>
      <c r="L981">
        <f t="shared" si="15"/>
        <v>0</v>
      </c>
      <c r="M981" cm="1">
        <f t="array" ref="M981">_xlfn.XLOOKUP(TEXT(A981, "mmm-yy"), TEXT([2]GASOLINE!$B$5:$B$208, "mmm-yy"), [2]GASOLINE!$C$5:$C$208, "Not Found")</f>
        <v>7379.4917187578849</v>
      </c>
      <c r="N981" cm="1">
        <f t="array" ref="N981">_xlfn.XLOOKUP(TEXT(A981, "mmm-yy"), TEXT([2]RUNS!$B$5:$B$208, "mmm-yy"), [2]RUNS!$BM$5:$BM$208, "Not Found")</f>
        <v>0.84527806621460977</v>
      </c>
    </row>
    <row r="982" spans="1:14" x14ac:dyDescent="0.25">
      <c r="A982" s="1">
        <f>'[1]Global_Spot Prices'!$B2291</f>
        <v>43377</v>
      </c>
      <c r="B982">
        <f>_xlfn.XLOOKUP(A982,'[1]Global_Spot Prices'!$B:$B,'[1]Global_Spot Prices'!$BS:$BS)</f>
        <v>7.4050000000000011</v>
      </c>
      <c r="C982">
        <f>_xlfn.XLOOKUP(A982,'[1]Global_Spot Prices'!$B:$B,'[1]Global_Spot Prices'!$E:$E)</f>
        <v>84.405000000000001</v>
      </c>
      <c r="D982">
        <f>_xlfn.XLOOKUP(A982,'[1]Global_Spot Prices'!$B:$B,'[1]Global_Spot Prices'!$D:$D)</f>
        <v>86.155000000000001</v>
      </c>
      <c r="E982">
        <f>_xlfn.XLOOKUP(A982,'[1]Global_Spot Prices'!$B:$B,'[1]Global_Spot Prices'!$H:$H)</f>
        <v>80.42</v>
      </c>
      <c r="F982">
        <f>_xlfn.XLOOKUP(A982,'[1]Global_Spot Prices'!$B:$B,'[1]Global_Spot Prices'!$I:$I)</f>
        <v>91.81</v>
      </c>
      <c r="G982" cm="1">
        <f t="array" ref="G982">_xlfn.XLOOKUP(TEXT(A982, "mmm-yy"), TEXT([2]RUNS!$B$5:$B$208, "mmm-yy"), [2]RUNS!$D$5:$D$208, "Not Found")</f>
        <v>29712.622888929614</v>
      </c>
      <c r="H982" cm="1">
        <f t="array" ref="H982">SUMPRODUCT(
    --(TEXT('[3]Global Weekly Stock (EWSuez'!$B$4:$B$2000,"mmm-yy")=TEXT(A982,"mmm-yy")),
    '[3]Global Weekly Stock (EWSuez'!$E$4:$E$2000)
/
SUMPRODUCT(
    --(TEXT('[3]Global Weekly Stock (EWSuez'!$B$4:$B$2000,"mmm-yy")=TEXT(A982,"mmm-yy"))
)</f>
        <v>11352.75</v>
      </c>
      <c r="I982">
        <f>_xlfn.XLOOKUP(A982,[1]ForwardDeriv!$D:$D,[1]ForwardDeriv!$AJ:$AJ)</f>
        <v>0.14000000000000057</v>
      </c>
      <c r="J982" cm="1">
        <f t="array" ref="J982">_xlfn.XLOOKUP(TEXT(A982, "mmm-yy"), TEXT([2]GASOLINE!$B$5:$B$208, "mmm-yy"), [2]GASOLINE!$IR$5:$IR$208, "Not Found")</f>
        <v>13.709381914245313</v>
      </c>
      <c r="K982" cm="1">
        <f t="array" ref="K982">_xlfn.XLOOKUP(TEXT(A982, "mmm-yy"), TEXT([2]GASOLINE!$B$5:$B$208, "mmm-yy"), [2]GASOLINE!$IK$5:$IK$208, "Not Found")</f>
        <v>156.32254136770814</v>
      </c>
      <c r="L982">
        <f t="shared" si="15"/>
        <v>0</v>
      </c>
      <c r="M982" cm="1">
        <f t="array" ref="M982">_xlfn.XLOOKUP(TEXT(A982, "mmm-yy"), TEXT([2]GASOLINE!$B$5:$B$208, "mmm-yy"), [2]GASOLINE!$C$5:$C$208, "Not Found")</f>
        <v>7379.4917187578849</v>
      </c>
      <c r="N982" cm="1">
        <f t="array" ref="N982">_xlfn.XLOOKUP(TEXT(A982, "mmm-yy"), TEXT([2]RUNS!$B$5:$B$208, "mmm-yy"), [2]RUNS!$BM$5:$BM$208, "Not Found")</f>
        <v>0.84527806621460977</v>
      </c>
    </row>
    <row r="983" spans="1:14" x14ac:dyDescent="0.25">
      <c r="A983" s="1">
        <f>'[1]Global_Spot Prices'!$B2292</f>
        <v>43378</v>
      </c>
      <c r="B983">
        <f>_xlfn.XLOOKUP(A983,'[1]Global_Spot Prices'!$B:$B,'[1]Global_Spot Prices'!$BS:$BS)</f>
        <v>7.75</v>
      </c>
      <c r="C983">
        <f>_xlfn.XLOOKUP(A983,'[1]Global_Spot Prices'!$B:$B,'[1]Global_Spot Prices'!$E:$E)</f>
        <v>83.25</v>
      </c>
      <c r="D983">
        <f>_xlfn.XLOOKUP(A983,'[1]Global_Spot Prices'!$B:$B,'[1]Global_Spot Prices'!$D:$D)</f>
        <v>85.155000000000001</v>
      </c>
      <c r="E983">
        <f>_xlfn.XLOOKUP(A983,'[1]Global_Spot Prices'!$B:$B,'[1]Global_Spot Prices'!$H:$H)</f>
        <v>79.42</v>
      </c>
      <c r="F983">
        <f>_xlfn.XLOOKUP(A983,'[1]Global_Spot Prices'!$B:$B,'[1]Global_Spot Prices'!$I:$I)</f>
        <v>91</v>
      </c>
      <c r="G983" cm="1">
        <f t="array" ref="G983">_xlfn.XLOOKUP(TEXT(A983, "mmm-yy"), TEXT([2]RUNS!$B$5:$B$208, "mmm-yy"), [2]RUNS!$D$5:$D$208, "Not Found")</f>
        <v>29712.622888929614</v>
      </c>
      <c r="H983" cm="1">
        <f t="array" ref="H983">SUMPRODUCT(
    --(TEXT('[3]Global Weekly Stock (EWSuez'!$B$4:$B$2000,"mmm-yy")=TEXT(A983,"mmm-yy")),
    '[3]Global Weekly Stock (EWSuez'!$E$4:$E$2000)
/
SUMPRODUCT(
    --(TEXT('[3]Global Weekly Stock (EWSuez'!$B$4:$B$2000,"mmm-yy")=TEXT(A983,"mmm-yy"))
)</f>
        <v>11352.75</v>
      </c>
      <c r="I983">
        <f>_xlfn.XLOOKUP(A983,[1]ForwardDeriv!$D:$D,[1]ForwardDeriv!$AJ:$AJ)</f>
        <v>0.20000000000000284</v>
      </c>
      <c r="J983" cm="1">
        <f t="array" ref="J983">_xlfn.XLOOKUP(TEXT(A983, "mmm-yy"), TEXT([2]GASOLINE!$B$5:$B$208, "mmm-yy"), [2]GASOLINE!$IR$5:$IR$208, "Not Found")</f>
        <v>13.709381914245313</v>
      </c>
      <c r="K983" cm="1">
        <f t="array" ref="K983">_xlfn.XLOOKUP(TEXT(A983, "mmm-yy"), TEXT([2]GASOLINE!$B$5:$B$208, "mmm-yy"), [2]GASOLINE!$IK$5:$IK$208, "Not Found")</f>
        <v>156.32254136770814</v>
      </c>
      <c r="L983">
        <f t="shared" si="15"/>
        <v>0</v>
      </c>
      <c r="M983" cm="1">
        <f t="array" ref="M983">_xlfn.XLOOKUP(TEXT(A983, "mmm-yy"), TEXT([2]GASOLINE!$B$5:$B$208, "mmm-yy"), [2]GASOLINE!$C$5:$C$208, "Not Found")</f>
        <v>7379.4917187578849</v>
      </c>
      <c r="N983" cm="1">
        <f t="array" ref="N983">_xlfn.XLOOKUP(TEXT(A983, "mmm-yy"), TEXT([2]RUNS!$B$5:$B$208, "mmm-yy"), [2]RUNS!$BM$5:$BM$208, "Not Found")</f>
        <v>0.84527806621460977</v>
      </c>
    </row>
    <row r="984" spans="1:14" x14ac:dyDescent="0.25">
      <c r="A984" s="1">
        <f>'[1]Global_Spot Prices'!$B2293</f>
        <v>43381</v>
      </c>
      <c r="B984">
        <f>_xlfn.XLOOKUP(A984,'[1]Global_Spot Prices'!$B:$B,'[1]Global_Spot Prices'!$BS:$BS)</f>
        <v>8.2099999999999937</v>
      </c>
      <c r="C984">
        <f>_xlfn.XLOOKUP(A984,'[1]Global_Spot Prices'!$B:$B,'[1]Global_Spot Prices'!$E:$E)</f>
        <v>81.59</v>
      </c>
      <c r="D984">
        <f>_xlfn.XLOOKUP(A984,'[1]Global_Spot Prices'!$B:$B,'[1]Global_Spot Prices'!$D:$D)</f>
        <v>83.984999999999999</v>
      </c>
      <c r="E984">
        <f>_xlfn.XLOOKUP(A984,'[1]Global_Spot Prices'!$B:$B,'[1]Global_Spot Prices'!$H:$H)</f>
        <v>77.930000000000007</v>
      </c>
      <c r="F984">
        <f>_xlfn.XLOOKUP(A984,'[1]Global_Spot Prices'!$B:$B,'[1]Global_Spot Prices'!$I:$I)</f>
        <v>89.8</v>
      </c>
      <c r="G984" cm="1">
        <f t="array" ref="G984">_xlfn.XLOOKUP(TEXT(A984, "mmm-yy"), TEXT([2]RUNS!$B$5:$B$208, "mmm-yy"), [2]RUNS!$D$5:$D$208, "Not Found")</f>
        <v>29712.622888929614</v>
      </c>
      <c r="H984" cm="1">
        <f t="array" ref="H984">SUMPRODUCT(
    --(TEXT('[3]Global Weekly Stock (EWSuez'!$B$4:$B$2000,"mmm-yy")=TEXT(A984,"mmm-yy")),
    '[3]Global Weekly Stock (EWSuez'!$E$4:$E$2000)
/
SUMPRODUCT(
    --(TEXT('[3]Global Weekly Stock (EWSuez'!$B$4:$B$2000,"mmm-yy")=TEXT(A984,"mmm-yy"))
)</f>
        <v>11352.75</v>
      </c>
      <c r="I984">
        <f>_xlfn.XLOOKUP(A984,[1]ForwardDeriv!$D:$D,[1]ForwardDeriv!$AJ:$AJ)</f>
        <v>0.37999999999999545</v>
      </c>
      <c r="J984" cm="1">
        <f t="array" ref="J984">_xlfn.XLOOKUP(TEXT(A984, "mmm-yy"), TEXT([2]GASOLINE!$B$5:$B$208, "mmm-yy"), [2]GASOLINE!$IR$5:$IR$208, "Not Found")</f>
        <v>13.709381914245313</v>
      </c>
      <c r="K984" cm="1">
        <f t="array" ref="K984">_xlfn.XLOOKUP(TEXT(A984, "mmm-yy"), TEXT([2]GASOLINE!$B$5:$B$208, "mmm-yy"), [2]GASOLINE!$IK$5:$IK$208, "Not Found")</f>
        <v>156.32254136770814</v>
      </c>
      <c r="L984">
        <f t="shared" si="15"/>
        <v>0</v>
      </c>
      <c r="M984" cm="1">
        <f t="array" ref="M984">_xlfn.XLOOKUP(TEXT(A984, "mmm-yy"), TEXT([2]GASOLINE!$B$5:$B$208, "mmm-yy"), [2]GASOLINE!$C$5:$C$208, "Not Found")</f>
        <v>7379.4917187578849</v>
      </c>
      <c r="N984" cm="1">
        <f t="array" ref="N984">_xlfn.XLOOKUP(TEXT(A984, "mmm-yy"), TEXT([2]RUNS!$B$5:$B$208, "mmm-yy"), [2]RUNS!$BM$5:$BM$208, "Not Found")</f>
        <v>0.84527806621460977</v>
      </c>
    </row>
    <row r="985" spans="1:14" x14ac:dyDescent="0.25">
      <c r="A985" s="1">
        <f>'[1]Global_Spot Prices'!$B2294</f>
        <v>43382</v>
      </c>
      <c r="B985">
        <f>_xlfn.XLOOKUP(A985,'[1]Global_Spot Prices'!$B:$B,'[1]Global_Spot Prices'!$BS:$BS)</f>
        <v>8.25</v>
      </c>
      <c r="C985">
        <f>_xlfn.XLOOKUP(A985,'[1]Global_Spot Prices'!$B:$B,'[1]Global_Spot Prices'!$E:$E)</f>
        <v>82.85</v>
      </c>
      <c r="D985">
        <f>_xlfn.XLOOKUP(A985,'[1]Global_Spot Prices'!$B:$B,'[1]Global_Spot Prices'!$D:$D)</f>
        <v>85.204999999999998</v>
      </c>
      <c r="E985">
        <f>_xlfn.XLOOKUP(A985,'[1]Global_Spot Prices'!$B:$B,'[1]Global_Spot Prices'!$H:$H)</f>
        <v>78.63</v>
      </c>
      <c r="F985">
        <f>_xlfn.XLOOKUP(A985,'[1]Global_Spot Prices'!$B:$B,'[1]Global_Spot Prices'!$I:$I)</f>
        <v>91.1</v>
      </c>
      <c r="G985" cm="1">
        <f t="array" ref="G985">_xlfn.XLOOKUP(TEXT(A985, "mmm-yy"), TEXT([2]RUNS!$B$5:$B$208, "mmm-yy"), [2]RUNS!$D$5:$D$208, "Not Found")</f>
        <v>29712.622888929614</v>
      </c>
      <c r="H985" cm="1">
        <f t="array" ref="H985">SUMPRODUCT(
    --(TEXT('[3]Global Weekly Stock (EWSuez'!$B$4:$B$2000,"mmm-yy")=TEXT(A985,"mmm-yy")),
    '[3]Global Weekly Stock (EWSuez'!$E$4:$E$2000)
/
SUMPRODUCT(
    --(TEXT('[3]Global Weekly Stock (EWSuez'!$B$4:$B$2000,"mmm-yy")=TEXT(A985,"mmm-yy"))
)</f>
        <v>11352.75</v>
      </c>
      <c r="I985">
        <f>_xlfn.XLOOKUP(A985,[1]ForwardDeriv!$D:$D,[1]ForwardDeriv!$AJ:$AJ)</f>
        <v>0.28000000000000114</v>
      </c>
      <c r="J985" cm="1">
        <f t="array" ref="J985">_xlfn.XLOOKUP(TEXT(A985, "mmm-yy"), TEXT([2]GASOLINE!$B$5:$B$208, "mmm-yy"), [2]GASOLINE!$IR$5:$IR$208, "Not Found")</f>
        <v>13.709381914245313</v>
      </c>
      <c r="K985" cm="1">
        <f t="array" ref="K985">_xlfn.XLOOKUP(TEXT(A985, "mmm-yy"), TEXT([2]GASOLINE!$B$5:$B$208, "mmm-yy"), [2]GASOLINE!$IK$5:$IK$208, "Not Found")</f>
        <v>156.32254136770814</v>
      </c>
      <c r="L985">
        <f t="shared" si="15"/>
        <v>0</v>
      </c>
      <c r="M985" cm="1">
        <f t="array" ref="M985">_xlfn.XLOOKUP(TEXT(A985, "mmm-yy"), TEXT([2]GASOLINE!$B$5:$B$208, "mmm-yy"), [2]GASOLINE!$C$5:$C$208, "Not Found")</f>
        <v>7379.4917187578849</v>
      </c>
      <c r="N985" cm="1">
        <f t="array" ref="N985">_xlfn.XLOOKUP(TEXT(A985, "mmm-yy"), TEXT([2]RUNS!$B$5:$B$208, "mmm-yy"), [2]RUNS!$BM$5:$BM$208, "Not Found")</f>
        <v>0.84527806621460977</v>
      </c>
    </row>
    <row r="986" spans="1:14" x14ac:dyDescent="0.25">
      <c r="A986" s="1">
        <f>'[1]Global_Spot Prices'!$B2295</f>
        <v>43383</v>
      </c>
      <c r="B986">
        <f>_xlfn.XLOOKUP(A986,'[1]Global_Spot Prices'!$B:$B,'[1]Global_Spot Prices'!$BS:$BS)</f>
        <v>8.2800000000000011</v>
      </c>
      <c r="C986">
        <f>_xlfn.XLOOKUP(A986,'[1]Global_Spot Prices'!$B:$B,'[1]Global_Spot Prices'!$E:$E)</f>
        <v>82.95</v>
      </c>
      <c r="D986">
        <f>_xlfn.XLOOKUP(A986,'[1]Global_Spot Prices'!$B:$B,'[1]Global_Spot Prices'!$D:$D)</f>
        <v>83.93</v>
      </c>
      <c r="E986">
        <f>_xlfn.XLOOKUP(A986,'[1]Global_Spot Prices'!$B:$B,'[1]Global_Spot Prices'!$H:$H)</f>
        <v>77.86</v>
      </c>
      <c r="F986">
        <f>_xlfn.XLOOKUP(A986,'[1]Global_Spot Prices'!$B:$B,'[1]Global_Spot Prices'!$I:$I)</f>
        <v>91.23</v>
      </c>
      <c r="G986" cm="1">
        <f t="array" ref="G986">_xlfn.XLOOKUP(TEXT(A986, "mmm-yy"), TEXT([2]RUNS!$B$5:$B$208, "mmm-yy"), [2]RUNS!$D$5:$D$208, "Not Found")</f>
        <v>29712.622888929614</v>
      </c>
      <c r="H986" cm="1">
        <f t="array" ref="H986">SUMPRODUCT(
    --(TEXT('[3]Global Weekly Stock (EWSuez'!$B$4:$B$2000,"mmm-yy")=TEXT(A986,"mmm-yy")),
    '[3]Global Weekly Stock (EWSuez'!$E$4:$E$2000)
/
SUMPRODUCT(
    --(TEXT('[3]Global Weekly Stock (EWSuez'!$B$4:$B$2000,"mmm-yy")=TEXT(A986,"mmm-yy"))
)</f>
        <v>11352.75</v>
      </c>
      <c r="I986">
        <f>_xlfn.XLOOKUP(A986,[1]ForwardDeriv!$D:$D,[1]ForwardDeriv!$AJ:$AJ)</f>
        <v>0.37000000000000455</v>
      </c>
      <c r="J986" cm="1">
        <f t="array" ref="J986">_xlfn.XLOOKUP(TEXT(A986, "mmm-yy"), TEXT([2]GASOLINE!$B$5:$B$208, "mmm-yy"), [2]GASOLINE!$IR$5:$IR$208, "Not Found")</f>
        <v>13.709381914245313</v>
      </c>
      <c r="K986" cm="1">
        <f t="array" ref="K986">_xlfn.XLOOKUP(TEXT(A986, "mmm-yy"), TEXT([2]GASOLINE!$B$5:$B$208, "mmm-yy"), [2]GASOLINE!$IK$5:$IK$208, "Not Found")</f>
        <v>156.32254136770814</v>
      </c>
      <c r="L986">
        <f t="shared" si="15"/>
        <v>0</v>
      </c>
      <c r="M986" cm="1">
        <f t="array" ref="M986">_xlfn.XLOOKUP(TEXT(A986, "mmm-yy"), TEXT([2]GASOLINE!$B$5:$B$208, "mmm-yy"), [2]GASOLINE!$C$5:$C$208, "Not Found")</f>
        <v>7379.4917187578849</v>
      </c>
      <c r="N986" cm="1">
        <f t="array" ref="N986">_xlfn.XLOOKUP(TEXT(A986, "mmm-yy"), TEXT([2]RUNS!$B$5:$B$208, "mmm-yy"), [2]RUNS!$BM$5:$BM$208, "Not Found")</f>
        <v>0.84527806621460977</v>
      </c>
    </row>
    <row r="987" spans="1:14" x14ac:dyDescent="0.25">
      <c r="A987" s="1">
        <f>'[1]Global_Spot Prices'!$B2296</f>
        <v>43384</v>
      </c>
      <c r="B987">
        <f>_xlfn.XLOOKUP(A987,'[1]Global_Spot Prices'!$B:$B,'[1]Global_Spot Prices'!$BS:$BS)</f>
        <v>7.6700000000000017</v>
      </c>
      <c r="C987">
        <f>_xlfn.XLOOKUP(A987,'[1]Global_Spot Prices'!$B:$B,'[1]Global_Spot Prices'!$E:$E)</f>
        <v>80.599999999999994</v>
      </c>
      <c r="D987">
        <f>_xlfn.XLOOKUP(A987,'[1]Global_Spot Prices'!$B:$B,'[1]Global_Spot Prices'!$D:$D)</f>
        <v>81.290000000000006</v>
      </c>
      <c r="E987">
        <f>_xlfn.XLOOKUP(A987,'[1]Global_Spot Prices'!$B:$B,'[1]Global_Spot Prices'!$H:$H)</f>
        <v>75.8</v>
      </c>
      <c r="F987">
        <f>_xlfn.XLOOKUP(A987,'[1]Global_Spot Prices'!$B:$B,'[1]Global_Spot Prices'!$I:$I)</f>
        <v>88.27</v>
      </c>
      <c r="G987" cm="1">
        <f t="array" ref="G987">_xlfn.XLOOKUP(TEXT(A987, "mmm-yy"), TEXT([2]RUNS!$B$5:$B$208, "mmm-yy"), [2]RUNS!$D$5:$D$208, "Not Found")</f>
        <v>29712.622888929614</v>
      </c>
      <c r="H987" cm="1">
        <f t="array" ref="H987">SUMPRODUCT(
    --(TEXT('[3]Global Weekly Stock (EWSuez'!$B$4:$B$2000,"mmm-yy")=TEXT(A987,"mmm-yy")),
    '[3]Global Weekly Stock (EWSuez'!$E$4:$E$2000)
/
SUMPRODUCT(
    --(TEXT('[3]Global Weekly Stock (EWSuez'!$B$4:$B$2000,"mmm-yy")=TEXT(A987,"mmm-yy"))
)</f>
        <v>11352.75</v>
      </c>
      <c r="I987">
        <f>_xlfn.XLOOKUP(A987,[1]ForwardDeriv!$D:$D,[1]ForwardDeriv!$AJ:$AJ)</f>
        <v>0.30000000000001137</v>
      </c>
      <c r="J987" cm="1">
        <f t="array" ref="J987">_xlfn.XLOOKUP(TEXT(A987, "mmm-yy"), TEXT([2]GASOLINE!$B$5:$B$208, "mmm-yy"), [2]GASOLINE!$IR$5:$IR$208, "Not Found")</f>
        <v>13.709381914245313</v>
      </c>
      <c r="K987" cm="1">
        <f t="array" ref="K987">_xlfn.XLOOKUP(TEXT(A987, "mmm-yy"), TEXT([2]GASOLINE!$B$5:$B$208, "mmm-yy"), [2]GASOLINE!$IK$5:$IK$208, "Not Found")</f>
        <v>156.32254136770814</v>
      </c>
      <c r="L987">
        <f t="shared" si="15"/>
        <v>0</v>
      </c>
      <c r="M987" cm="1">
        <f t="array" ref="M987">_xlfn.XLOOKUP(TEXT(A987, "mmm-yy"), TEXT([2]GASOLINE!$B$5:$B$208, "mmm-yy"), [2]GASOLINE!$C$5:$C$208, "Not Found")</f>
        <v>7379.4917187578849</v>
      </c>
      <c r="N987" cm="1">
        <f t="array" ref="N987">_xlfn.XLOOKUP(TEXT(A987, "mmm-yy"), TEXT([2]RUNS!$B$5:$B$208, "mmm-yy"), [2]RUNS!$BM$5:$BM$208, "Not Found")</f>
        <v>0.84527806621460977</v>
      </c>
    </row>
    <row r="988" spans="1:14" x14ac:dyDescent="0.25">
      <c r="A988" s="1">
        <f>'[1]Global_Spot Prices'!$B2297</f>
        <v>43385</v>
      </c>
      <c r="B988">
        <f>_xlfn.XLOOKUP(A988,'[1]Global_Spot Prices'!$B:$B,'[1]Global_Spot Prices'!$BS:$BS)</f>
        <v>8.3000000000000114</v>
      </c>
      <c r="C988">
        <f>_xlfn.XLOOKUP(A988,'[1]Global_Spot Prices'!$B:$B,'[1]Global_Spot Prices'!$E:$E)</f>
        <v>79.349999999999994</v>
      </c>
      <c r="D988">
        <f>_xlfn.XLOOKUP(A988,'[1]Global_Spot Prices'!$B:$B,'[1]Global_Spot Prices'!$D:$D)</f>
        <v>80.855000000000004</v>
      </c>
      <c r="E988">
        <f>_xlfn.XLOOKUP(A988,'[1]Global_Spot Prices'!$B:$B,'[1]Global_Spot Prices'!$H:$H)</f>
        <v>74.75</v>
      </c>
      <c r="F988">
        <f>_xlfn.XLOOKUP(A988,'[1]Global_Spot Prices'!$B:$B,'[1]Global_Spot Prices'!$I:$I)</f>
        <v>87.65</v>
      </c>
      <c r="G988" cm="1">
        <f t="array" ref="G988">_xlfn.XLOOKUP(TEXT(A988, "mmm-yy"), TEXT([2]RUNS!$B$5:$B$208, "mmm-yy"), [2]RUNS!$D$5:$D$208, "Not Found")</f>
        <v>29712.622888929614</v>
      </c>
      <c r="H988" cm="1">
        <f t="array" ref="H988">SUMPRODUCT(
    --(TEXT('[3]Global Weekly Stock (EWSuez'!$B$4:$B$2000,"mmm-yy")=TEXT(A988,"mmm-yy")),
    '[3]Global Weekly Stock (EWSuez'!$E$4:$E$2000)
/
SUMPRODUCT(
    --(TEXT('[3]Global Weekly Stock (EWSuez'!$B$4:$B$2000,"mmm-yy")=TEXT(A988,"mmm-yy"))
)</f>
        <v>11352.75</v>
      </c>
      <c r="I988">
        <f>_xlfn.XLOOKUP(A988,[1]ForwardDeriv!$D:$D,[1]ForwardDeriv!$AJ:$AJ)</f>
        <v>0.48000000000000398</v>
      </c>
      <c r="J988" cm="1">
        <f t="array" ref="J988">_xlfn.XLOOKUP(TEXT(A988, "mmm-yy"), TEXT([2]GASOLINE!$B$5:$B$208, "mmm-yy"), [2]GASOLINE!$IR$5:$IR$208, "Not Found")</f>
        <v>13.709381914245313</v>
      </c>
      <c r="K988" cm="1">
        <f t="array" ref="K988">_xlfn.XLOOKUP(TEXT(A988, "mmm-yy"), TEXT([2]GASOLINE!$B$5:$B$208, "mmm-yy"), [2]GASOLINE!$IK$5:$IK$208, "Not Found")</f>
        <v>156.32254136770814</v>
      </c>
      <c r="L988">
        <f t="shared" si="15"/>
        <v>0</v>
      </c>
      <c r="M988" cm="1">
        <f t="array" ref="M988">_xlfn.XLOOKUP(TEXT(A988, "mmm-yy"), TEXT([2]GASOLINE!$B$5:$B$208, "mmm-yy"), [2]GASOLINE!$C$5:$C$208, "Not Found")</f>
        <v>7379.4917187578849</v>
      </c>
      <c r="N988" cm="1">
        <f t="array" ref="N988">_xlfn.XLOOKUP(TEXT(A988, "mmm-yy"), TEXT([2]RUNS!$B$5:$B$208, "mmm-yy"), [2]RUNS!$BM$5:$BM$208, "Not Found")</f>
        <v>0.84527806621460977</v>
      </c>
    </row>
    <row r="989" spans="1:14" x14ac:dyDescent="0.25">
      <c r="A989" s="1">
        <f>'[1]Global_Spot Prices'!$B2298</f>
        <v>43388</v>
      </c>
      <c r="B989">
        <f>_xlfn.XLOOKUP(A989,'[1]Global_Spot Prices'!$B:$B,'[1]Global_Spot Prices'!$BS:$BS)</f>
        <v>7.0999999999999943</v>
      </c>
      <c r="C989">
        <f>_xlfn.XLOOKUP(A989,'[1]Global_Spot Prices'!$B:$B,'[1]Global_Spot Prices'!$E:$E)</f>
        <v>79.290000000000006</v>
      </c>
      <c r="D989">
        <f>_xlfn.XLOOKUP(A989,'[1]Global_Spot Prices'!$B:$B,'[1]Global_Spot Prices'!$D:$D)</f>
        <v>81.034999999999997</v>
      </c>
      <c r="E989">
        <f>_xlfn.XLOOKUP(A989,'[1]Global_Spot Prices'!$B:$B,'[1]Global_Spot Prices'!$H:$H)</f>
        <v>74.819999999999993</v>
      </c>
      <c r="F989">
        <f>_xlfn.XLOOKUP(A989,'[1]Global_Spot Prices'!$B:$B,'[1]Global_Spot Prices'!$I:$I)</f>
        <v>86.39</v>
      </c>
      <c r="G989" cm="1">
        <f t="array" ref="G989">_xlfn.XLOOKUP(TEXT(A989, "mmm-yy"), TEXT([2]RUNS!$B$5:$B$208, "mmm-yy"), [2]RUNS!$D$5:$D$208, "Not Found")</f>
        <v>29712.622888929614</v>
      </c>
      <c r="H989" cm="1">
        <f t="array" ref="H989">SUMPRODUCT(
    --(TEXT('[3]Global Weekly Stock (EWSuez'!$B$4:$B$2000,"mmm-yy")=TEXT(A989,"mmm-yy")),
    '[3]Global Weekly Stock (EWSuez'!$E$4:$E$2000)
/
SUMPRODUCT(
    --(TEXT('[3]Global Weekly Stock (EWSuez'!$B$4:$B$2000,"mmm-yy")=TEXT(A989,"mmm-yy"))
)</f>
        <v>11352.75</v>
      </c>
      <c r="I989">
        <f>_xlfn.XLOOKUP(A989,[1]ForwardDeriv!$D:$D,[1]ForwardDeriv!$AJ:$AJ)</f>
        <v>0.40999999999999659</v>
      </c>
      <c r="J989" cm="1">
        <f t="array" ref="J989">_xlfn.XLOOKUP(TEXT(A989, "mmm-yy"), TEXT([2]GASOLINE!$B$5:$B$208, "mmm-yy"), [2]GASOLINE!$IR$5:$IR$208, "Not Found")</f>
        <v>13.709381914245313</v>
      </c>
      <c r="K989" cm="1">
        <f t="array" ref="K989">_xlfn.XLOOKUP(TEXT(A989, "mmm-yy"), TEXT([2]GASOLINE!$B$5:$B$208, "mmm-yy"), [2]GASOLINE!$IK$5:$IK$208, "Not Found")</f>
        <v>156.32254136770814</v>
      </c>
      <c r="L989">
        <f t="shared" si="15"/>
        <v>0</v>
      </c>
      <c r="M989" cm="1">
        <f t="array" ref="M989">_xlfn.XLOOKUP(TEXT(A989, "mmm-yy"), TEXT([2]GASOLINE!$B$5:$B$208, "mmm-yy"), [2]GASOLINE!$C$5:$C$208, "Not Found")</f>
        <v>7379.4917187578849</v>
      </c>
      <c r="N989" cm="1">
        <f t="array" ref="N989">_xlfn.XLOOKUP(TEXT(A989, "mmm-yy"), TEXT([2]RUNS!$B$5:$B$208, "mmm-yy"), [2]RUNS!$BM$5:$BM$208, "Not Found")</f>
        <v>0.84527806621460977</v>
      </c>
    </row>
    <row r="990" spans="1:14" x14ac:dyDescent="0.25">
      <c r="A990" s="1">
        <f>'[1]Global_Spot Prices'!$B2299</f>
        <v>43389</v>
      </c>
      <c r="B990">
        <f>_xlfn.XLOOKUP(A990,'[1]Global_Spot Prices'!$B:$B,'[1]Global_Spot Prices'!$BS:$BS)</f>
        <v>6.2999999999999972</v>
      </c>
      <c r="C990">
        <f>_xlfn.XLOOKUP(A990,'[1]Global_Spot Prices'!$B:$B,'[1]Global_Spot Prices'!$E:$E)</f>
        <v>78.8</v>
      </c>
      <c r="D990">
        <f>_xlfn.XLOOKUP(A990,'[1]Global_Spot Prices'!$B:$B,'[1]Global_Spot Prices'!$D:$D)</f>
        <v>81</v>
      </c>
      <c r="E990">
        <f>_xlfn.XLOOKUP(A990,'[1]Global_Spot Prices'!$B:$B,'[1]Global_Spot Prices'!$H:$H)</f>
        <v>74.44</v>
      </c>
      <c r="F990">
        <f>_xlfn.XLOOKUP(A990,'[1]Global_Spot Prices'!$B:$B,'[1]Global_Spot Prices'!$I:$I)</f>
        <v>85.1</v>
      </c>
      <c r="G990" cm="1">
        <f t="array" ref="G990">_xlfn.XLOOKUP(TEXT(A990, "mmm-yy"), TEXT([2]RUNS!$B$5:$B$208, "mmm-yy"), [2]RUNS!$D$5:$D$208, "Not Found")</f>
        <v>29712.622888929614</v>
      </c>
      <c r="H990" cm="1">
        <f t="array" ref="H990">SUMPRODUCT(
    --(TEXT('[3]Global Weekly Stock (EWSuez'!$B$4:$B$2000,"mmm-yy")=TEXT(A990,"mmm-yy")),
    '[3]Global Weekly Stock (EWSuez'!$E$4:$E$2000)
/
SUMPRODUCT(
    --(TEXT('[3]Global Weekly Stock (EWSuez'!$B$4:$B$2000,"mmm-yy")=TEXT(A990,"mmm-yy"))
)</f>
        <v>11352.75</v>
      </c>
      <c r="I990">
        <f>_xlfn.XLOOKUP(A990,[1]ForwardDeriv!$D:$D,[1]ForwardDeriv!$AJ:$AJ)</f>
        <v>0.32000000000000739</v>
      </c>
      <c r="J990" cm="1">
        <f t="array" ref="J990">_xlfn.XLOOKUP(TEXT(A990, "mmm-yy"), TEXT([2]GASOLINE!$B$5:$B$208, "mmm-yy"), [2]GASOLINE!$IR$5:$IR$208, "Not Found")</f>
        <v>13.709381914245313</v>
      </c>
      <c r="K990" cm="1">
        <f t="array" ref="K990">_xlfn.XLOOKUP(TEXT(A990, "mmm-yy"), TEXT([2]GASOLINE!$B$5:$B$208, "mmm-yy"), [2]GASOLINE!$IK$5:$IK$208, "Not Found")</f>
        <v>156.32254136770814</v>
      </c>
      <c r="L990">
        <f t="shared" si="15"/>
        <v>0</v>
      </c>
      <c r="M990" cm="1">
        <f t="array" ref="M990">_xlfn.XLOOKUP(TEXT(A990, "mmm-yy"), TEXT([2]GASOLINE!$B$5:$B$208, "mmm-yy"), [2]GASOLINE!$C$5:$C$208, "Not Found")</f>
        <v>7379.4917187578849</v>
      </c>
      <c r="N990" cm="1">
        <f t="array" ref="N990">_xlfn.XLOOKUP(TEXT(A990, "mmm-yy"), TEXT([2]RUNS!$B$5:$B$208, "mmm-yy"), [2]RUNS!$BM$5:$BM$208, "Not Found")</f>
        <v>0.84527806621460977</v>
      </c>
    </row>
    <row r="991" spans="1:14" x14ac:dyDescent="0.25">
      <c r="A991" s="1">
        <f>'[1]Global_Spot Prices'!$B2300</f>
        <v>43390</v>
      </c>
      <c r="B991">
        <f>_xlfn.XLOOKUP(A991,'[1]Global_Spot Prices'!$B:$B,'[1]Global_Spot Prices'!$BS:$BS)</f>
        <v>5.7199999999999989</v>
      </c>
      <c r="C991">
        <f>_xlfn.XLOOKUP(A991,'[1]Global_Spot Prices'!$B:$B,'[1]Global_Spot Prices'!$E:$E)</f>
        <v>80.2</v>
      </c>
      <c r="D991">
        <f>_xlfn.XLOOKUP(A991,'[1]Global_Spot Prices'!$B:$B,'[1]Global_Spot Prices'!$D:$D)</f>
        <v>80.5</v>
      </c>
      <c r="E991">
        <f>_xlfn.XLOOKUP(A991,'[1]Global_Spot Prices'!$B:$B,'[1]Global_Spot Prices'!$H:$H)</f>
        <v>75.7</v>
      </c>
      <c r="F991">
        <f>_xlfn.XLOOKUP(A991,'[1]Global_Spot Prices'!$B:$B,'[1]Global_Spot Prices'!$I:$I)</f>
        <v>85.92</v>
      </c>
      <c r="G991" cm="1">
        <f t="array" ref="G991">_xlfn.XLOOKUP(TEXT(A991, "mmm-yy"), TEXT([2]RUNS!$B$5:$B$208, "mmm-yy"), [2]RUNS!$D$5:$D$208, "Not Found")</f>
        <v>29712.622888929614</v>
      </c>
      <c r="H991" cm="1">
        <f t="array" ref="H991">SUMPRODUCT(
    --(TEXT('[3]Global Weekly Stock (EWSuez'!$B$4:$B$2000,"mmm-yy")=TEXT(A991,"mmm-yy")),
    '[3]Global Weekly Stock (EWSuez'!$E$4:$E$2000)
/
SUMPRODUCT(
    --(TEXT('[3]Global Weekly Stock (EWSuez'!$B$4:$B$2000,"mmm-yy")=TEXT(A991,"mmm-yy"))
)</f>
        <v>11352.75</v>
      </c>
      <c r="I991">
        <f>_xlfn.XLOOKUP(A991,[1]ForwardDeriv!$D:$D,[1]ForwardDeriv!$AJ:$AJ)</f>
        <v>0.17000000000000171</v>
      </c>
      <c r="J991" cm="1">
        <f t="array" ref="J991">_xlfn.XLOOKUP(TEXT(A991, "mmm-yy"), TEXT([2]GASOLINE!$B$5:$B$208, "mmm-yy"), [2]GASOLINE!$IR$5:$IR$208, "Not Found")</f>
        <v>13.709381914245313</v>
      </c>
      <c r="K991" cm="1">
        <f t="array" ref="K991">_xlfn.XLOOKUP(TEXT(A991, "mmm-yy"), TEXT([2]GASOLINE!$B$5:$B$208, "mmm-yy"), [2]GASOLINE!$IK$5:$IK$208, "Not Found")</f>
        <v>156.32254136770814</v>
      </c>
      <c r="L991">
        <f t="shared" si="15"/>
        <v>0</v>
      </c>
      <c r="M991" cm="1">
        <f t="array" ref="M991">_xlfn.XLOOKUP(TEXT(A991, "mmm-yy"), TEXT([2]GASOLINE!$B$5:$B$208, "mmm-yy"), [2]GASOLINE!$C$5:$C$208, "Not Found")</f>
        <v>7379.4917187578849</v>
      </c>
      <c r="N991" cm="1">
        <f t="array" ref="N991">_xlfn.XLOOKUP(TEXT(A991, "mmm-yy"), TEXT([2]RUNS!$B$5:$B$208, "mmm-yy"), [2]RUNS!$BM$5:$BM$208, "Not Found")</f>
        <v>0.84527806621460977</v>
      </c>
    </row>
    <row r="992" spans="1:14" x14ac:dyDescent="0.25">
      <c r="A992" s="1">
        <f>'[1]Global_Spot Prices'!$B2301</f>
        <v>43391</v>
      </c>
      <c r="B992">
        <f>_xlfn.XLOOKUP(A992,'[1]Global_Spot Prices'!$B:$B,'[1]Global_Spot Prices'!$BS:$BS)</f>
        <v>4.4099999999999966</v>
      </c>
      <c r="C992">
        <f>_xlfn.XLOOKUP(A992,'[1]Global_Spot Prices'!$B:$B,'[1]Global_Spot Prices'!$E:$E)</f>
        <v>78.400000000000006</v>
      </c>
      <c r="D992">
        <f>_xlfn.XLOOKUP(A992,'[1]Global_Spot Prices'!$B:$B,'[1]Global_Spot Prices'!$D:$D)</f>
        <v>80.209999999999994</v>
      </c>
      <c r="E992">
        <f>_xlfn.XLOOKUP(A992,'[1]Global_Spot Prices'!$B:$B,'[1]Global_Spot Prices'!$H:$H)</f>
        <v>73.2</v>
      </c>
      <c r="F992">
        <f>_xlfn.XLOOKUP(A992,'[1]Global_Spot Prices'!$B:$B,'[1]Global_Spot Prices'!$I:$I)</f>
        <v>82.81</v>
      </c>
      <c r="G992" cm="1">
        <f t="array" ref="G992">_xlfn.XLOOKUP(TEXT(A992, "mmm-yy"), TEXT([2]RUNS!$B$5:$B$208, "mmm-yy"), [2]RUNS!$D$5:$D$208, "Not Found")</f>
        <v>29712.622888929614</v>
      </c>
      <c r="H992" cm="1">
        <f t="array" ref="H992">SUMPRODUCT(
    --(TEXT('[3]Global Weekly Stock (EWSuez'!$B$4:$B$2000,"mmm-yy")=TEXT(A992,"mmm-yy")),
    '[3]Global Weekly Stock (EWSuez'!$E$4:$E$2000)
/
SUMPRODUCT(
    --(TEXT('[3]Global Weekly Stock (EWSuez'!$B$4:$B$2000,"mmm-yy")=TEXT(A992,"mmm-yy"))
)</f>
        <v>11352.75</v>
      </c>
      <c r="I992">
        <f>_xlfn.XLOOKUP(A992,[1]ForwardDeriv!$D:$D,[1]ForwardDeriv!$AJ:$AJ)</f>
        <v>6.9999999999993179E-2</v>
      </c>
      <c r="J992" cm="1">
        <f t="array" ref="J992">_xlfn.XLOOKUP(TEXT(A992, "mmm-yy"), TEXT([2]GASOLINE!$B$5:$B$208, "mmm-yy"), [2]GASOLINE!$IR$5:$IR$208, "Not Found")</f>
        <v>13.709381914245313</v>
      </c>
      <c r="K992" cm="1">
        <f t="array" ref="K992">_xlfn.XLOOKUP(TEXT(A992, "mmm-yy"), TEXT([2]GASOLINE!$B$5:$B$208, "mmm-yy"), [2]GASOLINE!$IK$5:$IK$208, "Not Found")</f>
        <v>156.32254136770814</v>
      </c>
      <c r="L992">
        <f t="shared" si="15"/>
        <v>0</v>
      </c>
      <c r="M992" cm="1">
        <f t="array" ref="M992">_xlfn.XLOOKUP(TEXT(A992, "mmm-yy"), TEXT([2]GASOLINE!$B$5:$B$208, "mmm-yy"), [2]GASOLINE!$C$5:$C$208, "Not Found")</f>
        <v>7379.4917187578849</v>
      </c>
      <c r="N992" cm="1">
        <f t="array" ref="N992">_xlfn.XLOOKUP(TEXT(A992, "mmm-yy"), TEXT([2]RUNS!$B$5:$B$208, "mmm-yy"), [2]RUNS!$BM$5:$BM$208, "Not Found")</f>
        <v>0.84527806621460977</v>
      </c>
    </row>
    <row r="993" spans="1:14" x14ac:dyDescent="0.25">
      <c r="A993" s="1">
        <f>'[1]Global_Spot Prices'!$B2302</f>
        <v>43392</v>
      </c>
      <c r="B993">
        <f>_xlfn.XLOOKUP(A993,'[1]Global_Spot Prices'!$B:$B,'[1]Global_Spot Prices'!$BS:$BS)</f>
        <v>5.0400000000000063</v>
      </c>
      <c r="C993">
        <f>_xlfn.XLOOKUP(A993,'[1]Global_Spot Prices'!$B:$B,'[1]Global_Spot Prices'!$E:$E)</f>
        <v>77.89</v>
      </c>
      <c r="D993">
        <f>_xlfn.XLOOKUP(A993,'[1]Global_Spot Prices'!$B:$B,'[1]Global_Spot Prices'!$D:$D)</f>
        <v>80.635000000000005</v>
      </c>
      <c r="E993">
        <f>_xlfn.XLOOKUP(A993,'[1]Global_Spot Prices'!$B:$B,'[1]Global_Spot Prices'!$H:$H)</f>
        <v>72.53</v>
      </c>
      <c r="F993">
        <f>_xlfn.XLOOKUP(A993,'[1]Global_Spot Prices'!$B:$B,'[1]Global_Spot Prices'!$I:$I)</f>
        <v>82.93</v>
      </c>
      <c r="G993" cm="1">
        <f t="array" ref="G993">_xlfn.XLOOKUP(TEXT(A993, "mmm-yy"), TEXT([2]RUNS!$B$5:$B$208, "mmm-yy"), [2]RUNS!$D$5:$D$208, "Not Found")</f>
        <v>29712.622888929614</v>
      </c>
      <c r="H993" cm="1">
        <f t="array" ref="H993">SUMPRODUCT(
    --(TEXT('[3]Global Weekly Stock (EWSuez'!$B$4:$B$2000,"mmm-yy")=TEXT(A993,"mmm-yy")),
    '[3]Global Weekly Stock (EWSuez'!$E$4:$E$2000)
/
SUMPRODUCT(
    --(TEXT('[3]Global Weekly Stock (EWSuez'!$B$4:$B$2000,"mmm-yy")=TEXT(A993,"mmm-yy"))
)</f>
        <v>11352.75</v>
      </c>
      <c r="I993">
        <f>_xlfn.XLOOKUP(A993,[1]ForwardDeriv!$D:$D,[1]ForwardDeriv!$AJ:$AJ)</f>
        <v>0.17999999999999261</v>
      </c>
      <c r="J993" cm="1">
        <f t="array" ref="J993">_xlfn.XLOOKUP(TEXT(A993, "mmm-yy"), TEXT([2]GASOLINE!$B$5:$B$208, "mmm-yy"), [2]GASOLINE!$IR$5:$IR$208, "Not Found")</f>
        <v>13.709381914245313</v>
      </c>
      <c r="K993" cm="1">
        <f t="array" ref="K993">_xlfn.XLOOKUP(TEXT(A993, "mmm-yy"), TEXT([2]GASOLINE!$B$5:$B$208, "mmm-yy"), [2]GASOLINE!$IK$5:$IK$208, "Not Found")</f>
        <v>156.32254136770814</v>
      </c>
      <c r="L993">
        <f t="shared" si="15"/>
        <v>0</v>
      </c>
      <c r="M993" cm="1">
        <f t="array" ref="M993">_xlfn.XLOOKUP(TEXT(A993, "mmm-yy"), TEXT([2]GASOLINE!$B$5:$B$208, "mmm-yy"), [2]GASOLINE!$C$5:$C$208, "Not Found")</f>
        <v>7379.4917187578849</v>
      </c>
      <c r="N993" cm="1">
        <f t="array" ref="N993">_xlfn.XLOOKUP(TEXT(A993, "mmm-yy"), TEXT([2]RUNS!$B$5:$B$208, "mmm-yy"), [2]RUNS!$BM$5:$BM$208, "Not Found")</f>
        <v>0.84527806621460977</v>
      </c>
    </row>
    <row r="994" spans="1:14" x14ac:dyDescent="0.25">
      <c r="A994" s="1">
        <f>'[1]Global_Spot Prices'!$B2303</f>
        <v>43395</v>
      </c>
      <c r="B994">
        <f>_xlfn.XLOOKUP(A994,'[1]Global_Spot Prices'!$B:$B,'[1]Global_Spot Prices'!$BS:$BS)</f>
        <v>4.8399999999999892</v>
      </c>
      <c r="C994">
        <f>_xlfn.XLOOKUP(A994,'[1]Global_Spot Prices'!$B:$B,'[1]Global_Spot Prices'!$E:$E)</f>
        <v>78.790000000000006</v>
      </c>
      <c r="D994">
        <f>_xlfn.XLOOKUP(A994,'[1]Global_Spot Prices'!$B:$B,'[1]Global_Spot Prices'!$D:$D)</f>
        <v>80.295000000000002</v>
      </c>
      <c r="E994">
        <f>_xlfn.XLOOKUP(A994,'[1]Global_Spot Prices'!$B:$B,'[1]Global_Spot Prices'!$H:$H)</f>
        <v>73.33</v>
      </c>
      <c r="F994">
        <f>_xlfn.XLOOKUP(A994,'[1]Global_Spot Prices'!$B:$B,'[1]Global_Spot Prices'!$I:$I)</f>
        <v>83.63</v>
      </c>
      <c r="G994" cm="1">
        <f t="array" ref="G994">_xlfn.XLOOKUP(TEXT(A994, "mmm-yy"), TEXT([2]RUNS!$B$5:$B$208, "mmm-yy"), [2]RUNS!$D$5:$D$208, "Not Found")</f>
        <v>29712.622888929614</v>
      </c>
      <c r="H994" cm="1">
        <f t="array" ref="H994">SUMPRODUCT(
    --(TEXT('[3]Global Weekly Stock (EWSuez'!$B$4:$B$2000,"mmm-yy")=TEXT(A994,"mmm-yy")),
    '[3]Global Weekly Stock (EWSuez'!$E$4:$E$2000)
/
SUMPRODUCT(
    --(TEXT('[3]Global Weekly Stock (EWSuez'!$B$4:$B$2000,"mmm-yy")=TEXT(A994,"mmm-yy"))
)</f>
        <v>11352.75</v>
      </c>
      <c r="I994">
        <f>_xlfn.XLOOKUP(A994,[1]ForwardDeriv!$D:$D,[1]ForwardDeriv!$AJ:$AJ)</f>
        <v>0.11999999999999034</v>
      </c>
      <c r="J994" cm="1">
        <f t="array" ref="J994">_xlfn.XLOOKUP(TEXT(A994, "mmm-yy"), TEXT([2]GASOLINE!$B$5:$B$208, "mmm-yy"), [2]GASOLINE!$IR$5:$IR$208, "Not Found")</f>
        <v>13.709381914245313</v>
      </c>
      <c r="K994" cm="1">
        <f t="array" ref="K994">_xlfn.XLOOKUP(TEXT(A994, "mmm-yy"), TEXT([2]GASOLINE!$B$5:$B$208, "mmm-yy"), [2]GASOLINE!$IK$5:$IK$208, "Not Found")</f>
        <v>156.32254136770814</v>
      </c>
      <c r="L994">
        <f t="shared" si="15"/>
        <v>0</v>
      </c>
      <c r="M994" cm="1">
        <f t="array" ref="M994">_xlfn.XLOOKUP(TEXT(A994, "mmm-yy"), TEXT([2]GASOLINE!$B$5:$B$208, "mmm-yy"), [2]GASOLINE!$C$5:$C$208, "Not Found")</f>
        <v>7379.4917187578849</v>
      </c>
      <c r="N994" cm="1">
        <f t="array" ref="N994">_xlfn.XLOOKUP(TEXT(A994, "mmm-yy"), TEXT([2]RUNS!$B$5:$B$208, "mmm-yy"), [2]RUNS!$BM$5:$BM$208, "Not Found")</f>
        <v>0.84527806621460977</v>
      </c>
    </row>
    <row r="995" spans="1:14" x14ac:dyDescent="0.25">
      <c r="A995" s="1">
        <f>'[1]Global_Spot Prices'!$B2304</f>
        <v>43396</v>
      </c>
      <c r="B995">
        <f>_xlfn.XLOOKUP(A995,'[1]Global_Spot Prices'!$B:$B,'[1]Global_Spot Prices'!$BS:$BS)</f>
        <v>3.789999999999992</v>
      </c>
      <c r="C995">
        <f>_xlfn.XLOOKUP(A995,'[1]Global_Spot Prices'!$B:$B,'[1]Global_Spot Prices'!$E:$E)</f>
        <v>77.84</v>
      </c>
      <c r="D995">
        <f>_xlfn.XLOOKUP(A995,'[1]Global_Spot Prices'!$B:$B,'[1]Global_Spot Prices'!$D:$D)</f>
        <v>78.09</v>
      </c>
      <c r="E995">
        <f>_xlfn.XLOOKUP(A995,'[1]Global_Spot Prices'!$B:$B,'[1]Global_Spot Prices'!$H:$H)</f>
        <v>71.540000000000006</v>
      </c>
      <c r="F995">
        <f>_xlfn.XLOOKUP(A995,'[1]Global_Spot Prices'!$B:$B,'[1]Global_Spot Prices'!$I:$I)</f>
        <v>81.63</v>
      </c>
      <c r="G995" cm="1">
        <f t="array" ref="G995">_xlfn.XLOOKUP(TEXT(A995, "mmm-yy"), TEXT([2]RUNS!$B$5:$B$208, "mmm-yy"), [2]RUNS!$D$5:$D$208, "Not Found")</f>
        <v>29712.622888929614</v>
      </c>
      <c r="H995" cm="1">
        <f t="array" ref="H995">SUMPRODUCT(
    --(TEXT('[3]Global Weekly Stock (EWSuez'!$B$4:$B$2000,"mmm-yy")=TEXT(A995,"mmm-yy")),
    '[3]Global Weekly Stock (EWSuez'!$E$4:$E$2000)
/
SUMPRODUCT(
    --(TEXT('[3]Global Weekly Stock (EWSuez'!$B$4:$B$2000,"mmm-yy")=TEXT(A995,"mmm-yy"))
)</f>
        <v>11352.75</v>
      </c>
      <c r="I995">
        <f>_xlfn.XLOOKUP(A995,[1]ForwardDeriv!$D:$D,[1]ForwardDeriv!$AJ:$AJ)</f>
        <v>1.0000000000005116E-2</v>
      </c>
      <c r="J995" cm="1">
        <f t="array" ref="J995">_xlfn.XLOOKUP(TEXT(A995, "mmm-yy"), TEXT([2]GASOLINE!$B$5:$B$208, "mmm-yy"), [2]GASOLINE!$IR$5:$IR$208, "Not Found")</f>
        <v>13.709381914245313</v>
      </c>
      <c r="K995" cm="1">
        <f t="array" ref="K995">_xlfn.XLOOKUP(TEXT(A995, "mmm-yy"), TEXT([2]GASOLINE!$B$5:$B$208, "mmm-yy"), [2]GASOLINE!$IK$5:$IK$208, "Not Found")</f>
        <v>156.32254136770814</v>
      </c>
      <c r="L995">
        <f t="shared" si="15"/>
        <v>0</v>
      </c>
      <c r="M995" cm="1">
        <f t="array" ref="M995">_xlfn.XLOOKUP(TEXT(A995, "mmm-yy"), TEXT([2]GASOLINE!$B$5:$B$208, "mmm-yy"), [2]GASOLINE!$C$5:$C$208, "Not Found")</f>
        <v>7379.4917187578849</v>
      </c>
      <c r="N995" cm="1">
        <f t="array" ref="N995">_xlfn.XLOOKUP(TEXT(A995, "mmm-yy"), TEXT([2]RUNS!$B$5:$B$208, "mmm-yy"), [2]RUNS!$BM$5:$BM$208, "Not Found")</f>
        <v>0.84527806621460977</v>
      </c>
    </row>
    <row r="996" spans="1:14" x14ac:dyDescent="0.25">
      <c r="A996" s="1">
        <f>'[1]Global_Spot Prices'!$B2305</f>
        <v>43397</v>
      </c>
      <c r="B996">
        <f>_xlfn.XLOOKUP(A996,'[1]Global_Spot Prices'!$B:$B,'[1]Global_Spot Prices'!$BS:$BS)</f>
        <v>4.6899999999999977</v>
      </c>
      <c r="C996">
        <f>_xlfn.XLOOKUP(A996,'[1]Global_Spot Prices'!$B:$B,'[1]Global_Spot Prices'!$E:$E)</f>
        <v>74.400000000000006</v>
      </c>
      <c r="D996">
        <f>_xlfn.XLOOKUP(A996,'[1]Global_Spot Prices'!$B:$B,'[1]Global_Spot Prices'!$D:$D)</f>
        <v>77.555000000000007</v>
      </c>
      <c r="E996">
        <f>_xlfn.XLOOKUP(A996,'[1]Global_Spot Prices'!$B:$B,'[1]Global_Spot Prices'!$H:$H)</f>
        <v>68.62</v>
      </c>
      <c r="F996">
        <f>_xlfn.XLOOKUP(A996,'[1]Global_Spot Prices'!$B:$B,'[1]Global_Spot Prices'!$I:$I)</f>
        <v>79.09</v>
      </c>
      <c r="G996" cm="1">
        <f t="array" ref="G996">_xlfn.XLOOKUP(TEXT(A996, "mmm-yy"), TEXT([2]RUNS!$B$5:$B$208, "mmm-yy"), [2]RUNS!$D$5:$D$208, "Not Found")</f>
        <v>29712.622888929614</v>
      </c>
      <c r="H996" cm="1">
        <f t="array" ref="H996">SUMPRODUCT(
    --(TEXT('[3]Global Weekly Stock (EWSuez'!$B$4:$B$2000,"mmm-yy")=TEXT(A996,"mmm-yy")),
    '[3]Global Weekly Stock (EWSuez'!$E$4:$E$2000)
/
SUMPRODUCT(
    --(TEXT('[3]Global Weekly Stock (EWSuez'!$B$4:$B$2000,"mmm-yy")=TEXT(A996,"mmm-yy"))
)</f>
        <v>11352.75</v>
      </c>
      <c r="I996">
        <f>_xlfn.XLOOKUP(A996,[1]ForwardDeriv!$D:$D,[1]ForwardDeriv!$AJ:$AJ)</f>
        <v>0.10000000000000853</v>
      </c>
      <c r="J996" cm="1">
        <f t="array" ref="J996">_xlfn.XLOOKUP(TEXT(A996, "mmm-yy"), TEXT([2]GASOLINE!$B$5:$B$208, "mmm-yy"), [2]GASOLINE!$IR$5:$IR$208, "Not Found")</f>
        <v>13.709381914245313</v>
      </c>
      <c r="K996" cm="1">
        <f t="array" ref="K996">_xlfn.XLOOKUP(TEXT(A996, "mmm-yy"), TEXT([2]GASOLINE!$B$5:$B$208, "mmm-yy"), [2]GASOLINE!$IK$5:$IK$208, "Not Found")</f>
        <v>156.32254136770814</v>
      </c>
      <c r="L996">
        <f t="shared" si="15"/>
        <v>0</v>
      </c>
      <c r="M996" cm="1">
        <f t="array" ref="M996">_xlfn.XLOOKUP(TEXT(A996, "mmm-yy"), TEXT([2]GASOLINE!$B$5:$B$208, "mmm-yy"), [2]GASOLINE!$C$5:$C$208, "Not Found")</f>
        <v>7379.4917187578849</v>
      </c>
      <c r="N996" cm="1">
        <f t="array" ref="N996">_xlfn.XLOOKUP(TEXT(A996, "mmm-yy"), TEXT([2]RUNS!$B$5:$B$208, "mmm-yy"), [2]RUNS!$BM$5:$BM$208, "Not Found")</f>
        <v>0.84527806621460977</v>
      </c>
    </row>
    <row r="997" spans="1:14" x14ac:dyDescent="0.25">
      <c r="A997" s="1">
        <f>'[1]Global_Spot Prices'!$B2306</f>
        <v>43398</v>
      </c>
      <c r="B997">
        <f>_xlfn.XLOOKUP(A997,'[1]Global_Spot Prices'!$B:$B,'[1]Global_Spot Prices'!$BS:$BS)</f>
        <v>4.2800000000000011</v>
      </c>
      <c r="C997">
        <f>_xlfn.XLOOKUP(A997,'[1]Global_Spot Prices'!$B:$B,'[1]Global_Spot Prices'!$E:$E)</f>
        <v>74.95</v>
      </c>
      <c r="D997">
        <f>_xlfn.XLOOKUP(A997,'[1]Global_Spot Prices'!$B:$B,'[1]Global_Spot Prices'!$D:$D)</f>
        <v>77.61</v>
      </c>
      <c r="E997">
        <f>_xlfn.XLOOKUP(A997,'[1]Global_Spot Prices'!$B:$B,'[1]Global_Spot Prices'!$H:$H)</f>
        <v>69.31</v>
      </c>
      <c r="F997">
        <f>_xlfn.XLOOKUP(A997,'[1]Global_Spot Prices'!$B:$B,'[1]Global_Spot Prices'!$I:$I)</f>
        <v>79.23</v>
      </c>
      <c r="G997" cm="1">
        <f t="array" ref="G997">_xlfn.XLOOKUP(TEXT(A997, "mmm-yy"), TEXT([2]RUNS!$B$5:$B$208, "mmm-yy"), [2]RUNS!$D$5:$D$208, "Not Found")</f>
        <v>29712.622888929614</v>
      </c>
      <c r="H997" cm="1">
        <f t="array" ref="H997">SUMPRODUCT(
    --(TEXT('[3]Global Weekly Stock (EWSuez'!$B$4:$B$2000,"mmm-yy")=TEXT(A997,"mmm-yy")),
    '[3]Global Weekly Stock (EWSuez'!$E$4:$E$2000)
/
SUMPRODUCT(
    --(TEXT('[3]Global Weekly Stock (EWSuez'!$B$4:$B$2000,"mmm-yy")=TEXT(A997,"mmm-yy"))
)</f>
        <v>11352.75</v>
      </c>
      <c r="I997">
        <f>_xlfn.XLOOKUP(A997,[1]ForwardDeriv!$D:$D,[1]ForwardDeriv!$AJ:$AJ)</f>
        <v>0.11999999999999034</v>
      </c>
      <c r="J997" cm="1">
        <f t="array" ref="J997">_xlfn.XLOOKUP(TEXT(A997, "mmm-yy"), TEXT([2]GASOLINE!$B$5:$B$208, "mmm-yy"), [2]GASOLINE!$IR$5:$IR$208, "Not Found")</f>
        <v>13.709381914245313</v>
      </c>
      <c r="K997" cm="1">
        <f t="array" ref="K997">_xlfn.XLOOKUP(TEXT(A997, "mmm-yy"), TEXT([2]GASOLINE!$B$5:$B$208, "mmm-yy"), [2]GASOLINE!$IK$5:$IK$208, "Not Found")</f>
        <v>156.32254136770814</v>
      </c>
      <c r="L997">
        <f t="shared" si="15"/>
        <v>0</v>
      </c>
      <c r="M997" cm="1">
        <f t="array" ref="M997">_xlfn.XLOOKUP(TEXT(A997, "mmm-yy"), TEXT([2]GASOLINE!$B$5:$B$208, "mmm-yy"), [2]GASOLINE!$C$5:$C$208, "Not Found")</f>
        <v>7379.4917187578849</v>
      </c>
      <c r="N997" cm="1">
        <f t="array" ref="N997">_xlfn.XLOOKUP(TEXT(A997, "mmm-yy"), TEXT([2]RUNS!$B$5:$B$208, "mmm-yy"), [2]RUNS!$BM$5:$BM$208, "Not Found")</f>
        <v>0.84527806621460977</v>
      </c>
    </row>
    <row r="998" spans="1:14" x14ac:dyDescent="0.25">
      <c r="A998" s="1">
        <f>'[1]Global_Spot Prices'!$B2307</f>
        <v>43399</v>
      </c>
      <c r="B998">
        <f>_xlfn.XLOOKUP(A998,'[1]Global_Spot Prices'!$B:$B,'[1]Global_Spot Prices'!$BS:$BS)</f>
        <v>3.5599999999999881</v>
      </c>
      <c r="C998">
        <f>_xlfn.XLOOKUP(A998,'[1]Global_Spot Prices'!$B:$B,'[1]Global_Spot Prices'!$E:$E)</f>
        <v>75.400000000000006</v>
      </c>
      <c r="D998">
        <f>_xlfn.XLOOKUP(A998,'[1]Global_Spot Prices'!$B:$B,'[1]Global_Spot Prices'!$D:$D)</f>
        <v>77.64</v>
      </c>
      <c r="E998">
        <f>_xlfn.XLOOKUP(A998,'[1]Global_Spot Prices'!$B:$B,'[1]Global_Spot Prices'!$H:$H)</f>
        <v>69.08</v>
      </c>
      <c r="F998">
        <f>_xlfn.XLOOKUP(A998,'[1]Global_Spot Prices'!$B:$B,'[1]Global_Spot Prices'!$I:$I)</f>
        <v>78.959999999999994</v>
      </c>
      <c r="G998" cm="1">
        <f t="array" ref="G998">_xlfn.XLOOKUP(TEXT(A998, "mmm-yy"), TEXT([2]RUNS!$B$5:$B$208, "mmm-yy"), [2]RUNS!$D$5:$D$208, "Not Found")</f>
        <v>29712.622888929614</v>
      </c>
      <c r="H998" cm="1">
        <f t="array" ref="H998">SUMPRODUCT(
    --(TEXT('[3]Global Weekly Stock (EWSuez'!$B$4:$B$2000,"mmm-yy")=TEXT(A998,"mmm-yy")),
    '[3]Global Weekly Stock (EWSuez'!$E$4:$E$2000)
/
SUMPRODUCT(
    --(TEXT('[3]Global Weekly Stock (EWSuez'!$B$4:$B$2000,"mmm-yy")=TEXT(A998,"mmm-yy"))
)</f>
        <v>11352.75</v>
      </c>
      <c r="I998">
        <f>_xlfn.XLOOKUP(A998,[1]ForwardDeriv!$D:$D,[1]ForwardDeriv!$AJ:$AJ)</f>
        <v>9.0000000000003411E-2</v>
      </c>
      <c r="J998" cm="1">
        <f t="array" ref="J998">_xlfn.XLOOKUP(TEXT(A998, "mmm-yy"), TEXT([2]GASOLINE!$B$5:$B$208, "mmm-yy"), [2]GASOLINE!$IR$5:$IR$208, "Not Found")</f>
        <v>13.709381914245313</v>
      </c>
      <c r="K998" cm="1">
        <f t="array" ref="K998">_xlfn.XLOOKUP(TEXT(A998, "mmm-yy"), TEXT([2]GASOLINE!$B$5:$B$208, "mmm-yy"), [2]GASOLINE!$IK$5:$IK$208, "Not Found")</f>
        <v>156.32254136770814</v>
      </c>
      <c r="L998">
        <f t="shared" si="15"/>
        <v>0</v>
      </c>
      <c r="M998" cm="1">
        <f t="array" ref="M998">_xlfn.XLOOKUP(TEXT(A998, "mmm-yy"), TEXT([2]GASOLINE!$B$5:$B$208, "mmm-yy"), [2]GASOLINE!$C$5:$C$208, "Not Found")</f>
        <v>7379.4917187578849</v>
      </c>
      <c r="N998" cm="1">
        <f t="array" ref="N998">_xlfn.XLOOKUP(TEXT(A998, "mmm-yy"), TEXT([2]RUNS!$B$5:$B$208, "mmm-yy"), [2]RUNS!$BM$5:$BM$208, "Not Found")</f>
        <v>0.84527806621460977</v>
      </c>
    </row>
    <row r="999" spans="1:14" x14ac:dyDescent="0.25">
      <c r="A999" s="1">
        <f>'[1]Global_Spot Prices'!$B2308</f>
        <v>43402</v>
      </c>
      <c r="B999">
        <f>_xlfn.XLOOKUP(A999,'[1]Global_Spot Prices'!$B:$B,'[1]Global_Spot Prices'!$BS:$BS)</f>
        <v>2.9699999999999989</v>
      </c>
      <c r="C999">
        <f>_xlfn.XLOOKUP(A999,'[1]Global_Spot Prices'!$B:$B,'[1]Global_Spot Prices'!$E:$E)</f>
        <v>76.010000000000005</v>
      </c>
      <c r="D999">
        <f>_xlfn.XLOOKUP(A999,'[1]Global_Spot Prices'!$B:$B,'[1]Global_Spot Prices'!$D:$D)</f>
        <v>77.84</v>
      </c>
      <c r="E999">
        <f>_xlfn.XLOOKUP(A999,'[1]Global_Spot Prices'!$B:$B,'[1]Global_Spot Prices'!$H:$H)</f>
        <v>69.08</v>
      </c>
      <c r="F999">
        <f>_xlfn.XLOOKUP(A999,'[1]Global_Spot Prices'!$B:$B,'[1]Global_Spot Prices'!$I:$I)</f>
        <v>78.98</v>
      </c>
      <c r="G999" cm="1">
        <f t="array" ref="G999">_xlfn.XLOOKUP(TEXT(A999, "mmm-yy"), TEXT([2]RUNS!$B$5:$B$208, "mmm-yy"), [2]RUNS!$D$5:$D$208, "Not Found")</f>
        <v>29712.622888929614</v>
      </c>
      <c r="H999" cm="1">
        <f t="array" ref="H999">SUMPRODUCT(
    --(TEXT('[3]Global Weekly Stock (EWSuez'!$B$4:$B$2000,"mmm-yy")=TEXT(A999,"mmm-yy")),
    '[3]Global Weekly Stock (EWSuez'!$E$4:$E$2000)
/
SUMPRODUCT(
    --(TEXT('[3]Global Weekly Stock (EWSuez'!$B$4:$B$2000,"mmm-yy")=TEXT(A999,"mmm-yy"))
)</f>
        <v>11352.75</v>
      </c>
      <c r="I999">
        <f>_xlfn.XLOOKUP(A999,[1]ForwardDeriv!$D:$D,[1]ForwardDeriv!$AJ:$AJ)</f>
        <v>0.14000000000000057</v>
      </c>
      <c r="J999" cm="1">
        <f t="array" ref="J999">_xlfn.XLOOKUP(TEXT(A999, "mmm-yy"), TEXT([2]GASOLINE!$B$5:$B$208, "mmm-yy"), [2]GASOLINE!$IR$5:$IR$208, "Not Found")</f>
        <v>13.709381914245313</v>
      </c>
      <c r="K999" cm="1">
        <f t="array" ref="K999">_xlfn.XLOOKUP(TEXT(A999, "mmm-yy"), TEXT([2]GASOLINE!$B$5:$B$208, "mmm-yy"), [2]GASOLINE!$IK$5:$IK$208, "Not Found")</f>
        <v>156.32254136770814</v>
      </c>
      <c r="L999">
        <f t="shared" si="15"/>
        <v>0</v>
      </c>
      <c r="M999" cm="1">
        <f t="array" ref="M999">_xlfn.XLOOKUP(TEXT(A999, "mmm-yy"), TEXT([2]GASOLINE!$B$5:$B$208, "mmm-yy"), [2]GASOLINE!$C$5:$C$208, "Not Found")</f>
        <v>7379.4917187578849</v>
      </c>
      <c r="N999" cm="1">
        <f t="array" ref="N999">_xlfn.XLOOKUP(TEXT(A999, "mmm-yy"), TEXT([2]RUNS!$B$5:$B$208, "mmm-yy"), [2]RUNS!$BM$5:$BM$208, "Not Found")</f>
        <v>0.84527806621460977</v>
      </c>
    </row>
    <row r="1000" spans="1:14" x14ac:dyDescent="0.25">
      <c r="A1000" s="1">
        <f>'[1]Global_Spot Prices'!$B2309</f>
        <v>43403</v>
      </c>
      <c r="B1000">
        <f>_xlfn.XLOOKUP(A1000,'[1]Global_Spot Prices'!$B:$B,'[1]Global_Spot Prices'!$BS:$BS)</f>
        <v>3.25</v>
      </c>
      <c r="C1000">
        <f>_xlfn.XLOOKUP(A1000,'[1]Global_Spot Prices'!$B:$B,'[1]Global_Spot Prices'!$E:$E)</f>
        <v>76.19</v>
      </c>
      <c r="D1000">
        <f>_xlfn.XLOOKUP(A1000,'[1]Global_Spot Prices'!$B:$B,'[1]Global_Spot Prices'!$D:$D)</f>
        <v>75.834999999999994</v>
      </c>
      <c r="E1000">
        <f>_xlfn.XLOOKUP(A1000,'[1]Global_Spot Prices'!$B:$B,'[1]Global_Spot Prices'!$H:$H)</f>
        <v>69.52</v>
      </c>
      <c r="F1000">
        <f>_xlfn.XLOOKUP(A1000,'[1]Global_Spot Prices'!$B:$B,'[1]Global_Spot Prices'!$I:$I)</f>
        <v>79.44</v>
      </c>
      <c r="G1000" cm="1">
        <f t="array" ref="G1000">_xlfn.XLOOKUP(TEXT(A1000, "mmm-yy"), TEXT([2]RUNS!$B$5:$B$208, "mmm-yy"), [2]RUNS!$D$5:$D$208, "Not Found")</f>
        <v>29712.622888929614</v>
      </c>
      <c r="H1000" cm="1">
        <f t="array" ref="H1000">SUMPRODUCT(
    --(TEXT('[3]Global Weekly Stock (EWSuez'!$B$4:$B$2000,"mmm-yy")=TEXT(A1000,"mmm-yy")),
    '[3]Global Weekly Stock (EWSuez'!$E$4:$E$2000)
/
SUMPRODUCT(
    --(TEXT('[3]Global Weekly Stock (EWSuez'!$B$4:$B$2000,"mmm-yy")=TEXT(A1000,"mmm-yy"))
)</f>
        <v>11352.75</v>
      </c>
      <c r="I1000">
        <f>_xlfn.XLOOKUP(A1000,[1]ForwardDeriv!$D:$D,[1]ForwardDeriv!$AJ:$AJ)</f>
        <v>0.24000000000000909</v>
      </c>
      <c r="J1000" cm="1">
        <f t="array" ref="J1000">_xlfn.XLOOKUP(TEXT(A1000, "mmm-yy"), TEXT([2]GASOLINE!$B$5:$B$208, "mmm-yy"), [2]GASOLINE!$IR$5:$IR$208, "Not Found")</f>
        <v>13.709381914245313</v>
      </c>
      <c r="K1000" cm="1">
        <f t="array" ref="K1000">_xlfn.XLOOKUP(TEXT(A1000, "mmm-yy"), TEXT([2]GASOLINE!$B$5:$B$208, "mmm-yy"), [2]GASOLINE!$IK$5:$IK$208, "Not Found")</f>
        <v>156.32254136770814</v>
      </c>
      <c r="L1000">
        <f t="shared" si="15"/>
        <v>0</v>
      </c>
      <c r="M1000" cm="1">
        <f t="array" ref="M1000">_xlfn.XLOOKUP(TEXT(A1000, "mmm-yy"), TEXT([2]GASOLINE!$B$5:$B$208, "mmm-yy"), [2]GASOLINE!$C$5:$C$208, "Not Found")</f>
        <v>7379.4917187578849</v>
      </c>
      <c r="N1000" cm="1">
        <f t="array" ref="N1000">_xlfn.XLOOKUP(TEXT(A1000, "mmm-yy"), TEXT([2]RUNS!$B$5:$B$208, "mmm-yy"), [2]RUNS!$BM$5:$BM$208, "Not Found")</f>
        <v>0.84527806621460977</v>
      </c>
    </row>
    <row r="1001" spans="1:14" x14ac:dyDescent="0.25">
      <c r="A1001" s="1">
        <f>'[1]Global_Spot Prices'!$B2310</f>
        <v>43404</v>
      </c>
      <c r="B1001">
        <f>_xlfn.XLOOKUP(A1001,'[1]Global_Spot Prices'!$B:$B,'[1]Global_Spot Prices'!$BS:$BS)</f>
        <v>4.1200000000000045</v>
      </c>
      <c r="C1001">
        <f>_xlfn.XLOOKUP(A1001,'[1]Global_Spot Prices'!$B:$B,'[1]Global_Spot Prices'!$E:$E)</f>
        <v>75.67</v>
      </c>
      <c r="D1001">
        <f>_xlfn.XLOOKUP(A1001,'[1]Global_Spot Prices'!$B:$B,'[1]Global_Spot Prices'!$D:$D)</f>
        <v>75.495000000000005</v>
      </c>
      <c r="E1001">
        <f>_xlfn.XLOOKUP(A1001,'[1]Global_Spot Prices'!$B:$B,'[1]Global_Spot Prices'!$H:$H)</f>
        <v>69.239999999999995</v>
      </c>
      <c r="F1001">
        <f>_xlfn.XLOOKUP(A1001,'[1]Global_Spot Prices'!$B:$B,'[1]Global_Spot Prices'!$I:$I)</f>
        <v>79.790000000000006</v>
      </c>
      <c r="G1001" cm="1">
        <f t="array" ref="G1001">_xlfn.XLOOKUP(TEXT(A1001, "mmm-yy"), TEXT([2]RUNS!$B$5:$B$208, "mmm-yy"), [2]RUNS!$D$5:$D$208, "Not Found")</f>
        <v>29712.622888929614</v>
      </c>
      <c r="H1001" cm="1">
        <f t="array" ref="H1001">SUMPRODUCT(
    --(TEXT('[3]Global Weekly Stock (EWSuez'!$B$4:$B$2000,"mmm-yy")=TEXT(A1001,"mmm-yy")),
    '[3]Global Weekly Stock (EWSuez'!$E$4:$E$2000)
/
SUMPRODUCT(
    --(TEXT('[3]Global Weekly Stock (EWSuez'!$B$4:$B$2000,"mmm-yy")=TEXT(A1001,"mmm-yy"))
)</f>
        <v>11352.75</v>
      </c>
      <c r="I1001">
        <f>_xlfn.XLOOKUP(A1001,[1]ForwardDeriv!$D:$D,[1]ForwardDeriv!$AJ:$AJ)</f>
        <v>0.26999999999999602</v>
      </c>
      <c r="J1001" cm="1">
        <f t="array" ref="J1001">_xlfn.XLOOKUP(TEXT(A1001, "mmm-yy"), TEXT([2]GASOLINE!$B$5:$B$208, "mmm-yy"), [2]GASOLINE!$IR$5:$IR$208, "Not Found")</f>
        <v>13.709381914245313</v>
      </c>
      <c r="K1001" cm="1">
        <f t="array" ref="K1001">_xlfn.XLOOKUP(TEXT(A1001, "mmm-yy"), TEXT([2]GASOLINE!$B$5:$B$208, "mmm-yy"), [2]GASOLINE!$IK$5:$IK$208, "Not Found")</f>
        <v>156.32254136770814</v>
      </c>
      <c r="L1001">
        <f t="shared" si="15"/>
        <v>0</v>
      </c>
      <c r="M1001" cm="1">
        <f t="array" ref="M1001">_xlfn.XLOOKUP(TEXT(A1001, "mmm-yy"), TEXT([2]GASOLINE!$B$5:$B$208, "mmm-yy"), [2]GASOLINE!$C$5:$C$208, "Not Found")</f>
        <v>7379.4917187578849</v>
      </c>
      <c r="N1001" cm="1">
        <f t="array" ref="N1001">_xlfn.XLOOKUP(TEXT(A1001, "mmm-yy"), TEXT([2]RUNS!$B$5:$B$208, "mmm-yy"), [2]RUNS!$BM$5:$BM$208, "Not Found")</f>
        <v>0.84527806621460977</v>
      </c>
    </row>
    <row r="1002" spans="1:14" x14ac:dyDescent="0.25">
      <c r="A1002" s="1">
        <f>'[1]Global_Spot Prices'!$B2311</f>
        <v>43405</v>
      </c>
      <c r="B1002">
        <f>_xlfn.XLOOKUP(A1002,'[1]Global_Spot Prices'!$B:$B,'[1]Global_Spot Prices'!$BS:$BS)</f>
        <v>3.375</v>
      </c>
      <c r="C1002">
        <f>_xlfn.XLOOKUP(A1002,'[1]Global_Spot Prices'!$B:$B,'[1]Global_Spot Prices'!$E:$E)</f>
        <v>73.394999999999996</v>
      </c>
      <c r="D1002">
        <f>_xlfn.XLOOKUP(A1002,'[1]Global_Spot Prices'!$B:$B,'[1]Global_Spot Prices'!$D:$D)</f>
        <v>71.674999999999997</v>
      </c>
      <c r="E1002">
        <f>_xlfn.XLOOKUP(A1002,'[1]Global_Spot Prices'!$B:$B,'[1]Global_Spot Prices'!$H:$H)</f>
        <v>65.930000000000007</v>
      </c>
      <c r="F1002">
        <f>_xlfn.XLOOKUP(A1002,'[1]Global_Spot Prices'!$B:$B,'[1]Global_Spot Prices'!$I:$I)</f>
        <v>76.77</v>
      </c>
      <c r="G1002" cm="1">
        <f t="array" ref="G1002">_xlfn.XLOOKUP(TEXT(A1002, "mmm-yy"), TEXT([2]RUNS!$B$5:$B$208, "mmm-yy"), [2]RUNS!$D$5:$D$208, "Not Found")</f>
        <v>30208.358898324765</v>
      </c>
      <c r="H1002" cm="1">
        <f t="array" ref="H1002">SUMPRODUCT(
    --(TEXT('[3]Global Weekly Stock (EWSuez'!$B$4:$B$2000,"mmm-yy")=TEXT(A1002,"mmm-yy")),
    '[3]Global Weekly Stock (EWSuez'!$E$4:$E$2000)
/
SUMPRODUCT(
    --(TEXT('[3]Global Weekly Stock (EWSuez'!$B$4:$B$2000,"mmm-yy")=TEXT(A1002,"mmm-yy"))
)</f>
        <v>13319.2</v>
      </c>
      <c r="I1002">
        <f>_xlfn.XLOOKUP(A1002,[1]ForwardDeriv!$D:$D,[1]ForwardDeriv!$AJ:$AJ)</f>
        <v>-0.20999999999999375</v>
      </c>
      <c r="J1002" cm="1">
        <f t="array" ref="J1002">_xlfn.XLOOKUP(TEXT(A1002, "mmm-yy"), TEXT([2]GASOLINE!$B$5:$B$208, "mmm-yy"), [2]GASOLINE!$IR$5:$IR$208, "Not Found")</f>
        <v>26.580507391524065</v>
      </c>
      <c r="K1002" cm="1">
        <f t="array" ref="K1002">_xlfn.XLOOKUP(TEXT(A1002, "mmm-yy"), TEXT([2]GASOLINE!$B$5:$B$208, "mmm-yy"), [2]GASOLINE!$IK$5:$IK$208, "Not Found")</f>
        <v>157.50520148943099</v>
      </c>
      <c r="L1002">
        <f t="shared" si="15"/>
        <v>0</v>
      </c>
      <c r="M1002" cm="1">
        <f t="array" ref="M1002">_xlfn.XLOOKUP(TEXT(A1002, "mmm-yy"), TEXT([2]GASOLINE!$B$5:$B$208, "mmm-yy"), [2]GASOLINE!$C$5:$C$208, "Not Found")</f>
        <v>7569.3735209167389</v>
      </c>
      <c r="N1002" cm="1">
        <f t="array" ref="N1002">_xlfn.XLOOKUP(TEXT(A1002, "mmm-yy"), TEXT([2]RUNS!$B$5:$B$208, "mmm-yy"), [2]RUNS!$BM$5:$BM$208, "Not Found")</f>
        <v>0.85938098728424728</v>
      </c>
    </row>
    <row r="1003" spans="1:14" x14ac:dyDescent="0.25">
      <c r="A1003" s="1">
        <f>'[1]Global_Spot Prices'!$B2312</f>
        <v>43406</v>
      </c>
      <c r="B1003">
        <f>_xlfn.XLOOKUP(A1003,'[1]Global_Spot Prices'!$B:$B,'[1]Global_Spot Prices'!$BS:$BS)</f>
        <v>2.8799999999999955</v>
      </c>
      <c r="C1003">
        <f>_xlfn.XLOOKUP(A1003,'[1]Global_Spot Prices'!$B:$B,'[1]Global_Spot Prices'!$E:$E)</f>
        <v>71.650000000000006</v>
      </c>
      <c r="D1003">
        <f>_xlfn.XLOOKUP(A1003,'[1]Global_Spot Prices'!$B:$B,'[1]Global_Spot Prices'!$D:$D)</f>
        <v>71.44</v>
      </c>
      <c r="E1003">
        <f>_xlfn.XLOOKUP(A1003,'[1]Global_Spot Prices'!$B:$B,'[1]Global_Spot Prices'!$H:$H)</f>
        <v>64.040000000000006</v>
      </c>
      <c r="F1003">
        <f>_xlfn.XLOOKUP(A1003,'[1]Global_Spot Prices'!$B:$B,'[1]Global_Spot Prices'!$I:$I)</f>
        <v>74.53</v>
      </c>
      <c r="G1003" cm="1">
        <f t="array" ref="G1003">_xlfn.XLOOKUP(TEXT(A1003, "mmm-yy"), TEXT([2]RUNS!$B$5:$B$208, "mmm-yy"), [2]RUNS!$D$5:$D$208, "Not Found")</f>
        <v>30208.358898324765</v>
      </c>
      <c r="H1003" cm="1">
        <f t="array" ref="H1003">SUMPRODUCT(
    --(TEXT('[3]Global Weekly Stock (EWSuez'!$B$4:$B$2000,"mmm-yy")=TEXT(A1003,"mmm-yy")),
    '[3]Global Weekly Stock (EWSuez'!$E$4:$E$2000)
/
SUMPRODUCT(
    --(TEXT('[3]Global Weekly Stock (EWSuez'!$B$4:$B$2000,"mmm-yy")=TEXT(A1003,"mmm-yy"))
)</f>
        <v>13319.2</v>
      </c>
      <c r="I1003">
        <f>_xlfn.XLOOKUP(A1003,[1]ForwardDeriv!$D:$D,[1]ForwardDeriv!$AJ:$AJ)</f>
        <v>-0.31999999999999318</v>
      </c>
      <c r="J1003" cm="1">
        <f t="array" ref="J1003">_xlfn.XLOOKUP(TEXT(A1003, "mmm-yy"), TEXT([2]GASOLINE!$B$5:$B$208, "mmm-yy"), [2]GASOLINE!$IR$5:$IR$208, "Not Found")</f>
        <v>26.580507391524065</v>
      </c>
      <c r="K1003" cm="1">
        <f t="array" ref="K1003">_xlfn.XLOOKUP(TEXT(A1003, "mmm-yy"), TEXT([2]GASOLINE!$B$5:$B$208, "mmm-yy"), [2]GASOLINE!$IK$5:$IK$208, "Not Found")</f>
        <v>157.50520148943099</v>
      </c>
      <c r="L1003">
        <f t="shared" si="15"/>
        <v>0</v>
      </c>
      <c r="M1003" cm="1">
        <f t="array" ref="M1003">_xlfn.XLOOKUP(TEXT(A1003, "mmm-yy"), TEXT([2]GASOLINE!$B$5:$B$208, "mmm-yy"), [2]GASOLINE!$C$5:$C$208, "Not Found")</f>
        <v>7569.3735209167389</v>
      </c>
      <c r="N1003" cm="1">
        <f t="array" ref="N1003">_xlfn.XLOOKUP(TEXT(A1003, "mmm-yy"), TEXT([2]RUNS!$B$5:$B$208, "mmm-yy"), [2]RUNS!$BM$5:$BM$208, "Not Found")</f>
        <v>0.85938098728424728</v>
      </c>
    </row>
    <row r="1004" spans="1:14" x14ac:dyDescent="0.25">
      <c r="A1004" s="1">
        <f>'[1]Global_Spot Prices'!$B2313</f>
        <v>43409</v>
      </c>
      <c r="B1004">
        <f>_xlfn.XLOOKUP(A1004,'[1]Global_Spot Prices'!$B:$B,'[1]Global_Spot Prices'!$BS:$BS)</f>
        <v>2.5949999999999989</v>
      </c>
      <c r="C1004">
        <f>_xlfn.XLOOKUP(A1004,'[1]Global_Spot Prices'!$B:$B,'[1]Global_Spot Prices'!$E:$E)</f>
        <v>71.155000000000001</v>
      </c>
      <c r="D1004">
        <f>_xlfn.XLOOKUP(A1004,'[1]Global_Spot Prices'!$B:$B,'[1]Global_Spot Prices'!$D:$D)</f>
        <v>72.325000000000003</v>
      </c>
      <c r="E1004">
        <f>_xlfn.XLOOKUP(A1004,'[1]Global_Spot Prices'!$B:$B,'[1]Global_Spot Prices'!$H:$H)</f>
        <v>63.29</v>
      </c>
      <c r="F1004">
        <f>_xlfn.XLOOKUP(A1004,'[1]Global_Spot Prices'!$B:$B,'[1]Global_Spot Prices'!$I:$I)</f>
        <v>73.75</v>
      </c>
      <c r="G1004" cm="1">
        <f t="array" ref="G1004">_xlfn.XLOOKUP(TEXT(A1004, "mmm-yy"), TEXT([2]RUNS!$B$5:$B$208, "mmm-yy"), [2]RUNS!$D$5:$D$208, "Not Found")</f>
        <v>30208.358898324765</v>
      </c>
      <c r="H1004" cm="1">
        <f t="array" ref="H1004">SUMPRODUCT(
    --(TEXT('[3]Global Weekly Stock (EWSuez'!$B$4:$B$2000,"mmm-yy")=TEXT(A1004,"mmm-yy")),
    '[3]Global Weekly Stock (EWSuez'!$E$4:$E$2000)
/
SUMPRODUCT(
    --(TEXT('[3]Global Weekly Stock (EWSuez'!$B$4:$B$2000,"mmm-yy")=TEXT(A1004,"mmm-yy"))
)</f>
        <v>13319.2</v>
      </c>
      <c r="I1004">
        <f>_xlfn.XLOOKUP(A1004,[1]ForwardDeriv!$D:$D,[1]ForwardDeriv!$AJ:$AJ)</f>
        <v>-0.32999999999999829</v>
      </c>
      <c r="J1004" cm="1">
        <f t="array" ref="J1004">_xlfn.XLOOKUP(TEXT(A1004, "mmm-yy"), TEXT([2]GASOLINE!$B$5:$B$208, "mmm-yy"), [2]GASOLINE!$IR$5:$IR$208, "Not Found")</f>
        <v>26.580507391524065</v>
      </c>
      <c r="K1004" cm="1">
        <f t="array" ref="K1004">_xlfn.XLOOKUP(TEXT(A1004, "mmm-yy"), TEXT([2]GASOLINE!$B$5:$B$208, "mmm-yy"), [2]GASOLINE!$IK$5:$IK$208, "Not Found")</f>
        <v>157.50520148943099</v>
      </c>
      <c r="L1004">
        <f t="shared" si="15"/>
        <v>0</v>
      </c>
      <c r="M1004" cm="1">
        <f t="array" ref="M1004">_xlfn.XLOOKUP(TEXT(A1004, "mmm-yy"), TEXT([2]GASOLINE!$B$5:$B$208, "mmm-yy"), [2]GASOLINE!$C$5:$C$208, "Not Found")</f>
        <v>7569.3735209167389</v>
      </c>
      <c r="N1004" cm="1">
        <f t="array" ref="N1004">_xlfn.XLOOKUP(TEXT(A1004, "mmm-yy"), TEXT([2]RUNS!$B$5:$B$208, "mmm-yy"), [2]RUNS!$BM$5:$BM$208, "Not Found")</f>
        <v>0.85938098728424728</v>
      </c>
    </row>
    <row r="1005" spans="1:14" x14ac:dyDescent="0.25">
      <c r="A1005" s="1">
        <f>'[1]Global_Spot Prices'!$B2314</f>
        <v>43410</v>
      </c>
      <c r="B1005" t="e">
        <f>_xlfn.XLOOKUP(A1005,'[1]Global_Spot Prices'!$B:$B,'[1]Global_Spot Prices'!$BS:$BS)</f>
        <v>#N/A</v>
      </c>
      <c r="C1005" t="str">
        <f>_xlfn.XLOOKUP(A1005,'[1]Global_Spot Prices'!$B:$B,'[1]Global_Spot Prices'!$E:$E)</f>
        <v/>
      </c>
      <c r="D1005">
        <f>_xlfn.XLOOKUP(A1005,'[1]Global_Spot Prices'!$B:$B,'[1]Global_Spot Prices'!$D:$D)</f>
        <v>70.239999999999995</v>
      </c>
      <c r="E1005">
        <f>_xlfn.XLOOKUP(A1005,'[1]Global_Spot Prices'!$B:$B,'[1]Global_Spot Prices'!$H:$H)</f>
        <v>0</v>
      </c>
      <c r="F1005">
        <f>_xlfn.XLOOKUP(A1005,'[1]Global_Spot Prices'!$B:$B,'[1]Global_Spot Prices'!$I:$I)</f>
        <v>0</v>
      </c>
      <c r="G1005" cm="1">
        <f t="array" ref="G1005">_xlfn.XLOOKUP(TEXT(A1005, "mmm-yy"), TEXT([2]RUNS!$B$5:$B$208, "mmm-yy"), [2]RUNS!$D$5:$D$208, "Not Found")</f>
        <v>30208.358898324765</v>
      </c>
      <c r="H1005" cm="1">
        <f t="array" ref="H1005">SUMPRODUCT(
    --(TEXT('[3]Global Weekly Stock (EWSuez'!$B$4:$B$2000,"mmm-yy")=TEXT(A1005,"mmm-yy")),
    '[3]Global Weekly Stock (EWSuez'!$E$4:$E$2000)
/
SUMPRODUCT(
    --(TEXT('[3]Global Weekly Stock (EWSuez'!$B$4:$B$2000,"mmm-yy")=TEXT(A1005,"mmm-yy"))
)</f>
        <v>13319.2</v>
      </c>
      <c r="I1005">
        <f>_xlfn.XLOOKUP(A1005,[1]ForwardDeriv!$D:$D,[1]ForwardDeriv!$AJ:$AJ)</f>
        <v>-0.28999999999999204</v>
      </c>
      <c r="J1005" cm="1">
        <f t="array" ref="J1005">_xlfn.XLOOKUP(TEXT(A1005, "mmm-yy"), TEXT([2]GASOLINE!$B$5:$B$208, "mmm-yy"), [2]GASOLINE!$IR$5:$IR$208, "Not Found")</f>
        <v>26.580507391524065</v>
      </c>
      <c r="K1005" cm="1">
        <f t="array" ref="K1005">_xlfn.XLOOKUP(TEXT(A1005, "mmm-yy"), TEXT([2]GASOLINE!$B$5:$B$208, "mmm-yy"), [2]GASOLINE!$IK$5:$IK$208, "Not Found")</f>
        <v>157.50520148943099</v>
      </c>
      <c r="L1005">
        <f t="shared" si="15"/>
        <v>0</v>
      </c>
      <c r="M1005" cm="1">
        <f t="array" ref="M1005">_xlfn.XLOOKUP(TEXT(A1005, "mmm-yy"), TEXT([2]GASOLINE!$B$5:$B$208, "mmm-yy"), [2]GASOLINE!$C$5:$C$208, "Not Found")</f>
        <v>7569.3735209167389</v>
      </c>
      <c r="N1005" cm="1">
        <f t="array" ref="N1005">_xlfn.XLOOKUP(TEXT(A1005, "mmm-yy"), TEXT([2]RUNS!$B$5:$B$208, "mmm-yy"), [2]RUNS!$BM$5:$BM$208, "Not Found")</f>
        <v>0.85938098728424728</v>
      </c>
    </row>
    <row r="1006" spans="1:14" x14ac:dyDescent="0.25">
      <c r="A1006" s="1">
        <f>'[1]Global_Spot Prices'!$B2315</f>
        <v>43411</v>
      </c>
      <c r="B1006">
        <f>_xlfn.XLOOKUP(A1006,'[1]Global_Spot Prices'!$B:$B,'[1]Global_Spot Prices'!$BS:$BS)</f>
        <v>2.1350000000000051</v>
      </c>
      <c r="C1006">
        <f>_xlfn.XLOOKUP(A1006,'[1]Global_Spot Prices'!$B:$B,'[1]Global_Spot Prices'!$E:$E)</f>
        <v>70.644999999999996</v>
      </c>
      <c r="D1006">
        <f>_xlfn.XLOOKUP(A1006,'[1]Global_Spot Prices'!$B:$B,'[1]Global_Spot Prices'!$D:$D)</f>
        <v>70.215000000000003</v>
      </c>
      <c r="E1006">
        <f>_xlfn.XLOOKUP(A1006,'[1]Global_Spot Prices'!$B:$B,'[1]Global_Spot Prices'!$H:$H)</f>
        <v>62.14</v>
      </c>
      <c r="F1006">
        <f>_xlfn.XLOOKUP(A1006,'[1]Global_Spot Prices'!$B:$B,'[1]Global_Spot Prices'!$I:$I)</f>
        <v>72.78</v>
      </c>
      <c r="G1006" cm="1">
        <f t="array" ref="G1006">_xlfn.XLOOKUP(TEXT(A1006, "mmm-yy"), TEXT([2]RUNS!$B$5:$B$208, "mmm-yy"), [2]RUNS!$D$5:$D$208, "Not Found")</f>
        <v>30208.358898324765</v>
      </c>
      <c r="H1006" cm="1">
        <f t="array" ref="H1006">SUMPRODUCT(
    --(TEXT('[3]Global Weekly Stock (EWSuez'!$B$4:$B$2000,"mmm-yy")=TEXT(A1006,"mmm-yy")),
    '[3]Global Weekly Stock (EWSuez'!$E$4:$E$2000)
/
SUMPRODUCT(
    --(TEXT('[3]Global Weekly Stock (EWSuez'!$B$4:$B$2000,"mmm-yy")=TEXT(A1006,"mmm-yy"))
)</f>
        <v>13319.2</v>
      </c>
      <c r="I1006">
        <f>_xlfn.XLOOKUP(A1006,[1]ForwardDeriv!$D:$D,[1]ForwardDeriv!$AJ:$AJ)</f>
        <v>-0.28999999999999204</v>
      </c>
      <c r="J1006" cm="1">
        <f t="array" ref="J1006">_xlfn.XLOOKUP(TEXT(A1006, "mmm-yy"), TEXT([2]GASOLINE!$B$5:$B$208, "mmm-yy"), [2]GASOLINE!$IR$5:$IR$208, "Not Found")</f>
        <v>26.580507391524065</v>
      </c>
      <c r="K1006" cm="1">
        <f t="array" ref="K1006">_xlfn.XLOOKUP(TEXT(A1006, "mmm-yy"), TEXT([2]GASOLINE!$B$5:$B$208, "mmm-yy"), [2]GASOLINE!$IK$5:$IK$208, "Not Found")</f>
        <v>157.50520148943099</v>
      </c>
      <c r="L1006">
        <f t="shared" si="15"/>
        <v>0</v>
      </c>
      <c r="M1006" cm="1">
        <f t="array" ref="M1006">_xlfn.XLOOKUP(TEXT(A1006, "mmm-yy"), TEXT([2]GASOLINE!$B$5:$B$208, "mmm-yy"), [2]GASOLINE!$C$5:$C$208, "Not Found")</f>
        <v>7569.3735209167389</v>
      </c>
      <c r="N1006" cm="1">
        <f t="array" ref="N1006">_xlfn.XLOOKUP(TEXT(A1006, "mmm-yy"), TEXT([2]RUNS!$B$5:$B$208, "mmm-yy"), [2]RUNS!$BM$5:$BM$208, "Not Found")</f>
        <v>0.85938098728424728</v>
      </c>
    </row>
    <row r="1007" spans="1:14" x14ac:dyDescent="0.25">
      <c r="A1007" s="1">
        <f>'[1]Global_Spot Prices'!$B2316</f>
        <v>43412</v>
      </c>
      <c r="B1007">
        <f>_xlfn.XLOOKUP(A1007,'[1]Global_Spot Prices'!$B:$B,'[1]Global_Spot Prices'!$BS:$BS)</f>
        <v>-4.9999999999997158E-2</v>
      </c>
      <c r="C1007">
        <f>_xlfn.XLOOKUP(A1007,'[1]Global_Spot Prices'!$B:$B,'[1]Global_Spot Prices'!$E:$E)</f>
        <v>71.55</v>
      </c>
      <c r="D1007">
        <f>_xlfn.XLOOKUP(A1007,'[1]Global_Spot Prices'!$B:$B,'[1]Global_Spot Prices'!$D:$D)</f>
        <v>69.594999999999999</v>
      </c>
      <c r="E1007">
        <f>_xlfn.XLOOKUP(A1007,'[1]Global_Spot Prices'!$B:$B,'[1]Global_Spot Prices'!$H:$H)</f>
        <v>59.89</v>
      </c>
      <c r="F1007">
        <f>_xlfn.XLOOKUP(A1007,'[1]Global_Spot Prices'!$B:$B,'[1]Global_Spot Prices'!$I:$I)</f>
        <v>71.5</v>
      </c>
      <c r="G1007" cm="1">
        <f t="array" ref="G1007">_xlfn.XLOOKUP(TEXT(A1007, "mmm-yy"), TEXT([2]RUNS!$B$5:$B$208, "mmm-yy"), [2]RUNS!$D$5:$D$208, "Not Found")</f>
        <v>30208.358898324765</v>
      </c>
      <c r="H1007" cm="1">
        <f t="array" ref="H1007">SUMPRODUCT(
    --(TEXT('[3]Global Weekly Stock (EWSuez'!$B$4:$B$2000,"mmm-yy")=TEXT(A1007,"mmm-yy")),
    '[3]Global Weekly Stock (EWSuez'!$E$4:$E$2000)
/
SUMPRODUCT(
    --(TEXT('[3]Global Weekly Stock (EWSuez'!$B$4:$B$2000,"mmm-yy")=TEXT(A1007,"mmm-yy"))
)</f>
        <v>13319.2</v>
      </c>
      <c r="I1007">
        <f>_xlfn.XLOOKUP(A1007,[1]ForwardDeriv!$D:$D,[1]ForwardDeriv!$AJ:$AJ)</f>
        <v>-0.37000000000000455</v>
      </c>
      <c r="J1007" cm="1">
        <f t="array" ref="J1007">_xlfn.XLOOKUP(TEXT(A1007, "mmm-yy"), TEXT([2]GASOLINE!$B$5:$B$208, "mmm-yy"), [2]GASOLINE!$IR$5:$IR$208, "Not Found")</f>
        <v>26.580507391524065</v>
      </c>
      <c r="K1007" cm="1">
        <f t="array" ref="K1007">_xlfn.XLOOKUP(TEXT(A1007, "mmm-yy"), TEXT([2]GASOLINE!$B$5:$B$208, "mmm-yy"), [2]GASOLINE!$IK$5:$IK$208, "Not Found")</f>
        <v>157.50520148943099</v>
      </c>
      <c r="L1007">
        <f t="shared" si="15"/>
        <v>0</v>
      </c>
      <c r="M1007" cm="1">
        <f t="array" ref="M1007">_xlfn.XLOOKUP(TEXT(A1007, "mmm-yy"), TEXT([2]GASOLINE!$B$5:$B$208, "mmm-yy"), [2]GASOLINE!$C$5:$C$208, "Not Found")</f>
        <v>7569.3735209167389</v>
      </c>
      <c r="N1007" cm="1">
        <f t="array" ref="N1007">_xlfn.XLOOKUP(TEXT(A1007, "mmm-yy"), TEXT([2]RUNS!$B$5:$B$208, "mmm-yy"), [2]RUNS!$BM$5:$BM$208, "Not Found")</f>
        <v>0.85938098728424728</v>
      </c>
    </row>
    <row r="1008" spans="1:14" x14ac:dyDescent="0.25">
      <c r="A1008" s="1">
        <f>'[1]Global_Spot Prices'!$B2317</f>
        <v>43413</v>
      </c>
      <c r="B1008">
        <f>_xlfn.XLOOKUP(A1008,'[1]Global_Spot Prices'!$B:$B,'[1]Global_Spot Prices'!$BS:$BS)</f>
        <v>0.57500000000000284</v>
      </c>
      <c r="C1008">
        <f>_xlfn.XLOOKUP(A1008,'[1]Global_Spot Prices'!$B:$B,'[1]Global_Spot Prices'!$E:$E)</f>
        <v>69.344999999999999</v>
      </c>
      <c r="D1008">
        <f>_xlfn.XLOOKUP(A1008,'[1]Global_Spot Prices'!$B:$B,'[1]Global_Spot Prices'!$D:$D)</f>
        <v>67.954999999999998</v>
      </c>
      <c r="E1008">
        <f>_xlfn.XLOOKUP(A1008,'[1]Global_Spot Prices'!$B:$B,'[1]Global_Spot Prices'!$H:$H)</f>
        <v>58.06</v>
      </c>
      <c r="F1008">
        <f>_xlfn.XLOOKUP(A1008,'[1]Global_Spot Prices'!$B:$B,'[1]Global_Spot Prices'!$I:$I)</f>
        <v>69.92</v>
      </c>
      <c r="G1008" cm="1">
        <f t="array" ref="G1008">_xlfn.XLOOKUP(TEXT(A1008, "mmm-yy"), TEXT([2]RUNS!$B$5:$B$208, "mmm-yy"), [2]RUNS!$D$5:$D$208, "Not Found")</f>
        <v>30208.358898324765</v>
      </c>
      <c r="H1008" cm="1">
        <f t="array" ref="H1008">SUMPRODUCT(
    --(TEXT('[3]Global Weekly Stock (EWSuez'!$B$4:$B$2000,"mmm-yy")=TEXT(A1008,"mmm-yy")),
    '[3]Global Weekly Stock (EWSuez'!$E$4:$E$2000)
/
SUMPRODUCT(
    --(TEXT('[3]Global Weekly Stock (EWSuez'!$B$4:$B$2000,"mmm-yy")=TEXT(A1008,"mmm-yy"))
)</f>
        <v>13319.2</v>
      </c>
      <c r="I1008">
        <f>_xlfn.XLOOKUP(A1008,[1]ForwardDeriv!$D:$D,[1]ForwardDeriv!$AJ:$AJ)</f>
        <v>-0.34000000000000341</v>
      </c>
      <c r="J1008" cm="1">
        <f t="array" ref="J1008">_xlfn.XLOOKUP(TEXT(A1008, "mmm-yy"), TEXT([2]GASOLINE!$B$5:$B$208, "mmm-yy"), [2]GASOLINE!$IR$5:$IR$208, "Not Found")</f>
        <v>26.580507391524065</v>
      </c>
      <c r="K1008" cm="1">
        <f t="array" ref="K1008">_xlfn.XLOOKUP(TEXT(A1008, "mmm-yy"), TEXT([2]GASOLINE!$B$5:$B$208, "mmm-yy"), [2]GASOLINE!$IK$5:$IK$208, "Not Found")</f>
        <v>157.50520148943099</v>
      </c>
      <c r="L1008">
        <f t="shared" si="15"/>
        <v>0</v>
      </c>
      <c r="M1008" cm="1">
        <f t="array" ref="M1008">_xlfn.XLOOKUP(TEXT(A1008, "mmm-yy"), TEXT([2]GASOLINE!$B$5:$B$208, "mmm-yy"), [2]GASOLINE!$C$5:$C$208, "Not Found")</f>
        <v>7569.3735209167389</v>
      </c>
      <c r="N1008" cm="1">
        <f t="array" ref="N1008">_xlfn.XLOOKUP(TEXT(A1008, "mmm-yy"), TEXT([2]RUNS!$B$5:$B$208, "mmm-yy"), [2]RUNS!$BM$5:$BM$208, "Not Found")</f>
        <v>0.85938098728424728</v>
      </c>
    </row>
    <row r="1009" spans="1:14" x14ac:dyDescent="0.25">
      <c r="A1009" s="1">
        <f>'[1]Global_Spot Prices'!$B2318</f>
        <v>43416</v>
      </c>
      <c r="B1009">
        <f>_xlfn.XLOOKUP(A1009,'[1]Global_Spot Prices'!$B:$B,'[1]Global_Spot Prices'!$BS:$BS)</f>
        <v>0.20000000000000284</v>
      </c>
      <c r="C1009">
        <f>_xlfn.XLOOKUP(A1009,'[1]Global_Spot Prices'!$B:$B,'[1]Global_Spot Prices'!$E:$E)</f>
        <v>70.66</v>
      </c>
      <c r="D1009">
        <f>_xlfn.XLOOKUP(A1009,'[1]Global_Spot Prices'!$B:$B,'[1]Global_Spot Prices'!$D:$D)</f>
        <v>69.02</v>
      </c>
      <c r="E1009">
        <f>_xlfn.XLOOKUP(A1009,'[1]Global_Spot Prices'!$B:$B,'[1]Global_Spot Prices'!$H:$H)</f>
        <v>58.53</v>
      </c>
      <c r="F1009">
        <f>_xlfn.XLOOKUP(A1009,'[1]Global_Spot Prices'!$B:$B,'[1]Global_Spot Prices'!$I:$I)</f>
        <v>70.86</v>
      </c>
      <c r="G1009" cm="1">
        <f t="array" ref="G1009">_xlfn.XLOOKUP(TEXT(A1009, "mmm-yy"), TEXT([2]RUNS!$B$5:$B$208, "mmm-yy"), [2]RUNS!$D$5:$D$208, "Not Found")</f>
        <v>30208.358898324765</v>
      </c>
      <c r="H1009" cm="1">
        <f t="array" ref="H1009">SUMPRODUCT(
    --(TEXT('[3]Global Weekly Stock (EWSuez'!$B$4:$B$2000,"mmm-yy")=TEXT(A1009,"mmm-yy")),
    '[3]Global Weekly Stock (EWSuez'!$E$4:$E$2000)
/
SUMPRODUCT(
    --(TEXT('[3]Global Weekly Stock (EWSuez'!$B$4:$B$2000,"mmm-yy")=TEXT(A1009,"mmm-yy"))
)</f>
        <v>13319.2</v>
      </c>
      <c r="I1009">
        <f>_xlfn.XLOOKUP(A1009,[1]ForwardDeriv!$D:$D,[1]ForwardDeriv!$AJ:$AJ)</f>
        <v>-0.39000000000000057</v>
      </c>
      <c r="J1009" cm="1">
        <f t="array" ref="J1009">_xlfn.XLOOKUP(TEXT(A1009, "mmm-yy"), TEXT([2]GASOLINE!$B$5:$B$208, "mmm-yy"), [2]GASOLINE!$IR$5:$IR$208, "Not Found")</f>
        <v>26.580507391524065</v>
      </c>
      <c r="K1009" cm="1">
        <f t="array" ref="K1009">_xlfn.XLOOKUP(TEXT(A1009, "mmm-yy"), TEXT([2]GASOLINE!$B$5:$B$208, "mmm-yy"), [2]GASOLINE!$IK$5:$IK$208, "Not Found")</f>
        <v>157.50520148943099</v>
      </c>
      <c r="L1009">
        <f t="shared" si="15"/>
        <v>0</v>
      </c>
      <c r="M1009" cm="1">
        <f t="array" ref="M1009">_xlfn.XLOOKUP(TEXT(A1009, "mmm-yy"), TEXT([2]GASOLINE!$B$5:$B$208, "mmm-yy"), [2]GASOLINE!$C$5:$C$208, "Not Found")</f>
        <v>7569.3735209167389</v>
      </c>
      <c r="N1009" cm="1">
        <f t="array" ref="N1009">_xlfn.XLOOKUP(TEXT(A1009, "mmm-yy"), TEXT([2]RUNS!$B$5:$B$208, "mmm-yy"), [2]RUNS!$BM$5:$BM$208, "Not Found")</f>
        <v>0.85938098728424728</v>
      </c>
    </row>
    <row r="1010" spans="1:14" x14ac:dyDescent="0.25">
      <c r="A1010" s="1">
        <f>'[1]Global_Spot Prices'!$B2319</f>
        <v>43417</v>
      </c>
      <c r="B1010">
        <f>_xlfn.XLOOKUP(A1010,'[1]Global_Spot Prices'!$B:$B,'[1]Global_Spot Prices'!$BS:$BS)</f>
        <v>1.2900000000000063</v>
      </c>
      <c r="C1010">
        <f>_xlfn.XLOOKUP(A1010,'[1]Global_Spot Prices'!$B:$B,'[1]Global_Spot Prices'!$E:$E)</f>
        <v>68.459999999999994</v>
      </c>
      <c r="D1010">
        <f>_xlfn.XLOOKUP(A1010,'[1]Global_Spot Prices'!$B:$B,'[1]Global_Spot Prices'!$D:$D)</f>
        <v>65.064999999999998</v>
      </c>
      <c r="E1010">
        <f>_xlfn.XLOOKUP(A1010,'[1]Global_Spot Prices'!$B:$B,'[1]Global_Spot Prices'!$H:$H)</f>
        <v>57.75</v>
      </c>
      <c r="F1010">
        <f>_xlfn.XLOOKUP(A1010,'[1]Global_Spot Prices'!$B:$B,'[1]Global_Spot Prices'!$I:$I)</f>
        <v>69.75</v>
      </c>
      <c r="G1010" cm="1">
        <f t="array" ref="G1010">_xlfn.XLOOKUP(TEXT(A1010, "mmm-yy"), TEXT([2]RUNS!$B$5:$B$208, "mmm-yy"), [2]RUNS!$D$5:$D$208, "Not Found")</f>
        <v>30208.358898324765</v>
      </c>
      <c r="H1010" cm="1">
        <f t="array" ref="H1010">SUMPRODUCT(
    --(TEXT('[3]Global Weekly Stock (EWSuez'!$B$4:$B$2000,"mmm-yy")=TEXT(A1010,"mmm-yy")),
    '[3]Global Weekly Stock (EWSuez'!$E$4:$E$2000)
/
SUMPRODUCT(
    --(TEXT('[3]Global Weekly Stock (EWSuez'!$B$4:$B$2000,"mmm-yy")=TEXT(A1010,"mmm-yy"))
)</f>
        <v>13319.2</v>
      </c>
      <c r="I1010">
        <f>_xlfn.XLOOKUP(A1010,[1]ForwardDeriv!$D:$D,[1]ForwardDeriv!$AJ:$AJ)</f>
        <v>-0.28000000000000114</v>
      </c>
      <c r="J1010" cm="1">
        <f t="array" ref="J1010">_xlfn.XLOOKUP(TEXT(A1010, "mmm-yy"), TEXT([2]GASOLINE!$B$5:$B$208, "mmm-yy"), [2]GASOLINE!$IR$5:$IR$208, "Not Found")</f>
        <v>26.580507391524065</v>
      </c>
      <c r="K1010" cm="1">
        <f t="array" ref="K1010">_xlfn.XLOOKUP(TEXT(A1010, "mmm-yy"), TEXT([2]GASOLINE!$B$5:$B$208, "mmm-yy"), [2]GASOLINE!$IK$5:$IK$208, "Not Found")</f>
        <v>157.50520148943099</v>
      </c>
      <c r="L1010">
        <f t="shared" si="15"/>
        <v>0</v>
      </c>
      <c r="M1010" cm="1">
        <f t="array" ref="M1010">_xlfn.XLOOKUP(TEXT(A1010, "mmm-yy"), TEXT([2]GASOLINE!$B$5:$B$208, "mmm-yy"), [2]GASOLINE!$C$5:$C$208, "Not Found")</f>
        <v>7569.3735209167389</v>
      </c>
      <c r="N1010" cm="1">
        <f t="array" ref="N1010">_xlfn.XLOOKUP(TEXT(A1010, "mmm-yy"), TEXT([2]RUNS!$B$5:$B$208, "mmm-yy"), [2]RUNS!$BM$5:$BM$208, "Not Found")</f>
        <v>0.85938098728424728</v>
      </c>
    </row>
    <row r="1011" spans="1:14" x14ac:dyDescent="0.25">
      <c r="A1011" s="1">
        <f>'[1]Global_Spot Prices'!$B2320</f>
        <v>43418</v>
      </c>
      <c r="B1011">
        <f>_xlfn.XLOOKUP(A1011,'[1]Global_Spot Prices'!$B:$B,'[1]Global_Spot Prices'!$BS:$BS)</f>
        <v>1.3599999999999994</v>
      </c>
      <c r="C1011">
        <f>_xlfn.XLOOKUP(A1011,'[1]Global_Spot Prices'!$B:$B,'[1]Global_Spot Prices'!$E:$E)</f>
        <v>64.45</v>
      </c>
      <c r="D1011">
        <f>_xlfn.XLOOKUP(A1011,'[1]Global_Spot Prices'!$B:$B,'[1]Global_Spot Prices'!$D:$D)</f>
        <v>64.7</v>
      </c>
      <c r="E1011">
        <f>_xlfn.XLOOKUP(A1011,'[1]Global_Spot Prices'!$B:$B,'[1]Global_Spot Prices'!$H:$H)</f>
        <v>54.78</v>
      </c>
      <c r="F1011">
        <f>_xlfn.XLOOKUP(A1011,'[1]Global_Spot Prices'!$B:$B,'[1]Global_Spot Prices'!$I:$I)</f>
        <v>65.81</v>
      </c>
      <c r="G1011" cm="1">
        <f t="array" ref="G1011">_xlfn.XLOOKUP(TEXT(A1011, "mmm-yy"), TEXT([2]RUNS!$B$5:$B$208, "mmm-yy"), [2]RUNS!$D$5:$D$208, "Not Found")</f>
        <v>30208.358898324765</v>
      </c>
      <c r="H1011" cm="1">
        <f t="array" ref="H1011">SUMPRODUCT(
    --(TEXT('[3]Global Weekly Stock (EWSuez'!$B$4:$B$2000,"mmm-yy")=TEXT(A1011,"mmm-yy")),
    '[3]Global Weekly Stock (EWSuez'!$E$4:$E$2000)
/
SUMPRODUCT(
    --(TEXT('[3]Global Weekly Stock (EWSuez'!$B$4:$B$2000,"mmm-yy")=TEXT(A1011,"mmm-yy"))
)</f>
        <v>13319.2</v>
      </c>
      <c r="I1011">
        <f>_xlfn.XLOOKUP(A1011,[1]ForwardDeriv!$D:$D,[1]ForwardDeriv!$AJ:$AJ)</f>
        <v>-0.27000000000001023</v>
      </c>
      <c r="J1011" cm="1">
        <f t="array" ref="J1011">_xlfn.XLOOKUP(TEXT(A1011, "mmm-yy"), TEXT([2]GASOLINE!$B$5:$B$208, "mmm-yy"), [2]GASOLINE!$IR$5:$IR$208, "Not Found")</f>
        <v>26.580507391524065</v>
      </c>
      <c r="K1011" cm="1">
        <f t="array" ref="K1011">_xlfn.XLOOKUP(TEXT(A1011, "mmm-yy"), TEXT([2]GASOLINE!$B$5:$B$208, "mmm-yy"), [2]GASOLINE!$IK$5:$IK$208, "Not Found")</f>
        <v>157.50520148943099</v>
      </c>
      <c r="L1011">
        <f t="shared" si="15"/>
        <v>0</v>
      </c>
      <c r="M1011" cm="1">
        <f t="array" ref="M1011">_xlfn.XLOOKUP(TEXT(A1011, "mmm-yy"), TEXT([2]GASOLINE!$B$5:$B$208, "mmm-yy"), [2]GASOLINE!$C$5:$C$208, "Not Found")</f>
        <v>7569.3735209167389</v>
      </c>
      <c r="N1011" cm="1">
        <f t="array" ref="N1011">_xlfn.XLOOKUP(TEXT(A1011, "mmm-yy"), TEXT([2]RUNS!$B$5:$B$208, "mmm-yy"), [2]RUNS!$BM$5:$BM$208, "Not Found")</f>
        <v>0.85938098728424728</v>
      </c>
    </row>
    <row r="1012" spans="1:14" x14ac:dyDescent="0.25">
      <c r="A1012" s="1">
        <f>'[1]Global_Spot Prices'!$B2321</f>
        <v>43419</v>
      </c>
      <c r="B1012">
        <f>_xlfn.XLOOKUP(A1012,'[1]Global_Spot Prices'!$B:$B,'[1]Global_Spot Prices'!$BS:$BS)</f>
        <v>1.4699999999999989</v>
      </c>
      <c r="C1012">
        <f>_xlfn.XLOOKUP(A1012,'[1]Global_Spot Prices'!$B:$B,'[1]Global_Spot Prices'!$E:$E)</f>
        <v>65.400000000000006</v>
      </c>
      <c r="D1012">
        <f>_xlfn.XLOOKUP(A1012,'[1]Global_Spot Prices'!$B:$B,'[1]Global_Spot Prices'!$D:$D)</f>
        <v>65.584999999999994</v>
      </c>
      <c r="E1012">
        <f>_xlfn.XLOOKUP(A1012,'[1]Global_Spot Prices'!$B:$B,'[1]Global_Spot Prices'!$H:$H)</f>
        <v>56.08</v>
      </c>
      <c r="F1012">
        <f>_xlfn.XLOOKUP(A1012,'[1]Global_Spot Prices'!$B:$B,'[1]Global_Spot Prices'!$I:$I)</f>
        <v>66.87</v>
      </c>
      <c r="G1012" cm="1">
        <f t="array" ref="G1012">_xlfn.XLOOKUP(TEXT(A1012, "mmm-yy"), TEXT([2]RUNS!$B$5:$B$208, "mmm-yy"), [2]RUNS!$D$5:$D$208, "Not Found")</f>
        <v>30208.358898324765</v>
      </c>
      <c r="H1012" cm="1">
        <f t="array" ref="H1012">SUMPRODUCT(
    --(TEXT('[3]Global Weekly Stock (EWSuez'!$B$4:$B$2000,"mmm-yy")=TEXT(A1012,"mmm-yy")),
    '[3]Global Weekly Stock (EWSuez'!$E$4:$E$2000)
/
SUMPRODUCT(
    --(TEXT('[3]Global Weekly Stock (EWSuez'!$B$4:$B$2000,"mmm-yy")=TEXT(A1012,"mmm-yy"))
)</f>
        <v>13319.2</v>
      </c>
      <c r="I1012">
        <f>_xlfn.XLOOKUP(A1012,[1]ForwardDeriv!$D:$D,[1]ForwardDeriv!$AJ:$AJ)</f>
        <v>-0.29000000000000625</v>
      </c>
      <c r="J1012" cm="1">
        <f t="array" ref="J1012">_xlfn.XLOOKUP(TEXT(A1012, "mmm-yy"), TEXT([2]GASOLINE!$B$5:$B$208, "mmm-yy"), [2]GASOLINE!$IR$5:$IR$208, "Not Found")</f>
        <v>26.580507391524065</v>
      </c>
      <c r="K1012" cm="1">
        <f t="array" ref="K1012">_xlfn.XLOOKUP(TEXT(A1012, "mmm-yy"), TEXT([2]GASOLINE!$B$5:$B$208, "mmm-yy"), [2]GASOLINE!$IK$5:$IK$208, "Not Found")</f>
        <v>157.50520148943099</v>
      </c>
      <c r="L1012">
        <f t="shared" si="15"/>
        <v>0</v>
      </c>
      <c r="M1012" cm="1">
        <f t="array" ref="M1012">_xlfn.XLOOKUP(TEXT(A1012, "mmm-yy"), TEXT([2]GASOLINE!$B$5:$B$208, "mmm-yy"), [2]GASOLINE!$C$5:$C$208, "Not Found")</f>
        <v>7569.3735209167389</v>
      </c>
      <c r="N1012" cm="1">
        <f t="array" ref="N1012">_xlfn.XLOOKUP(TEXT(A1012, "mmm-yy"), TEXT([2]RUNS!$B$5:$B$208, "mmm-yy"), [2]RUNS!$BM$5:$BM$208, "Not Found")</f>
        <v>0.85938098728424728</v>
      </c>
    </row>
    <row r="1013" spans="1:14" x14ac:dyDescent="0.25">
      <c r="A1013" s="1">
        <f>'[1]Global_Spot Prices'!$B2322</f>
        <v>43420</v>
      </c>
      <c r="B1013">
        <f>_xlfn.XLOOKUP(A1013,'[1]Global_Spot Prices'!$B:$B,'[1]Global_Spot Prices'!$BS:$BS)</f>
        <v>1.3900000000000006</v>
      </c>
      <c r="C1013">
        <f>_xlfn.XLOOKUP(A1013,'[1]Global_Spot Prices'!$B:$B,'[1]Global_Spot Prices'!$E:$E)</f>
        <v>66.489999999999995</v>
      </c>
      <c r="D1013">
        <f>_xlfn.XLOOKUP(A1013,'[1]Global_Spot Prices'!$B:$B,'[1]Global_Spot Prices'!$D:$D)</f>
        <v>65.575000000000003</v>
      </c>
      <c r="E1013">
        <f>_xlfn.XLOOKUP(A1013,'[1]Global_Spot Prices'!$B:$B,'[1]Global_Spot Prices'!$H:$H)</f>
        <v>58.27</v>
      </c>
      <c r="F1013">
        <f>_xlfn.XLOOKUP(A1013,'[1]Global_Spot Prices'!$B:$B,'[1]Global_Spot Prices'!$I:$I)</f>
        <v>67.88</v>
      </c>
      <c r="G1013" cm="1">
        <f t="array" ref="G1013">_xlfn.XLOOKUP(TEXT(A1013, "mmm-yy"), TEXT([2]RUNS!$B$5:$B$208, "mmm-yy"), [2]RUNS!$D$5:$D$208, "Not Found")</f>
        <v>30208.358898324765</v>
      </c>
      <c r="H1013" cm="1">
        <f t="array" ref="H1013">SUMPRODUCT(
    --(TEXT('[3]Global Weekly Stock (EWSuez'!$B$4:$B$2000,"mmm-yy")=TEXT(A1013,"mmm-yy")),
    '[3]Global Weekly Stock (EWSuez'!$E$4:$E$2000)
/
SUMPRODUCT(
    --(TEXT('[3]Global Weekly Stock (EWSuez'!$B$4:$B$2000,"mmm-yy")=TEXT(A1013,"mmm-yy"))
)</f>
        <v>13319.2</v>
      </c>
      <c r="I1013">
        <f>_xlfn.XLOOKUP(A1013,[1]ForwardDeriv!$D:$D,[1]ForwardDeriv!$AJ:$AJ)</f>
        <v>-0.26999999999999602</v>
      </c>
      <c r="J1013" cm="1">
        <f t="array" ref="J1013">_xlfn.XLOOKUP(TEXT(A1013, "mmm-yy"), TEXT([2]GASOLINE!$B$5:$B$208, "mmm-yy"), [2]GASOLINE!$IR$5:$IR$208, "Not Found")</f>
        <v>26.580507391524065</v>
      </c>
      <c r="K1013" cm="1">
        <f t="array" ref="K1013">_xlfn.XLOOKUP(TEXT(A1013, "mmm-yy"), TEXT([2]GASOLINE!$B$5:$B$208, "mmm-yy"), [2]GASOLINE!$IK$5:$IK$208, "Not Found")</f>
        <v>157.50520148943099</v>
      </c>
      <c r="L1013">
        <f t="shared" si="15"/>
        <v>0</v>
      </c>
      <c r="M1013" cm="1">
        <f t="array" ref="M1013">_xlfn.XLOOKUP(TEXT(A1013, "mmm-yy"), TEXT([2]GASOLINE!$B$5:$B$208, "mmm-yy"), [2]GASOLINE!$C$5:$C$208, "Not Found")</f>
        <v>7569.3735209167389</v>
      </c>
      <c r="N1013" cm="1">
        <f t="array" ref="N1013">_xlfn.XLOOKUP(TEXT(A1013, "mmm-yy"), TEXT([2]RUNS!$B$5:$B$208, "mmm-yy"), [2]RUNS!$BM$5:$BM$208, "Not Found")</f>
        <v>0.85938098728424728</v>
      </c>
    </row>
    <row r="1014" spans="1:14" x14ac:dyDescent="0.25">
      <c r="A1014" s="1">
        <f>'[1]Global_Spot Prices'!$B2323</f>
        <v>43423</v>
      </c>
      <c r="B1014">
        <f>_xlfn.XLOOKUP(A1014,'[1]Global_Spot Prices'!$B:$B,'[1]Global_Spot Prices'!$BS:$BS)</f>
        <v>2.25</v>
      </c>
      <c r="C1014">
        <f>_xlfn.XLOOKUP(A1014,'[1]Global_Spot Prices'!$B:$B,'[1]Global_Spot Prices'!$E:$E)</f>
        <v>66.16</v>
      </c>
      <c r="D1014">
        <f>_xlfn.XLOOKUP(A1014,'[1]Global_Spot Prices'!$B:$B,'[1]Global_Spot Prices'!$D:$D)</f>
        <v>64.47</v>
      </c>
      <c r="E1014">
        <f>_xlfn.XLOOKUP(A1014,'[1]Global_Spot Prices'!$B:$B,'[1]Global_Spot Prices'!$H:$H)</f>
        <v>58.49</v>
      </c>
      <c r="F1014">
        <f>_xlfn.XLOOKUP(A1014,'[1]Global_Spot Prices'!$B:$B,'[1]Global_Spot Prices'!$I:$I)</f>
        <v>68.41</v>
      </c>
      <c r="G1014" cm="1">
        <f t="array" ref="G1014">_xlfn.XLOOKUP(TEXT(A1014, "mmm-yy"), TEXT([2]RUNS!$B$5:$B$208, "mmm-yy"), [2]RUNS!$D$5:$D$208, "Not Found")</f>
        <v>30208.358898324765</v>
      </c>
      <c r="H1014" cm="1">
        <f t="array" ref="H1014">SUMPRODUCT(
    --(TEXT('[3]Global Weekly Stock (EWSuez'!$B$4:$B$2000,"mmm-yy")=TEXT(A1014,"mmm-yy")),
    '[3]Global Weekly Stock (EWSuez'!$E$4:$E$2000)
/
SUMPRODUCT(
    --(TEXT('[3]Global Weekly Stock (EWSuez'!$B$4:$B$2000,"mmm-yy")=TEXT(A1014,"mmm-yy"))
)</f>
        <v>13319.2</v>
      </c>
      <c r="I1014">
        <f>_xlfn.XLOOKUP(A1014,[1]ForwardDeriv!$D:$D,[1]ForwardDeriv!$AJ:$AJ)</f>
        <v>-0.25</v>
      </c>
      <c r="J1014" cm="1">
        <f t="array" ref="J1014">_xlfn.XLOOKUP(TEXT(A1014, "mmm-yy"), TEXT([2]GASOLINE!$B$5:$B$208, "mmm-yy"), [2]GASOLINE!$IR$5:$IR$208, "Not Found")</f>
        <v>26.580507391524065</v>
      </c>
      <c r="K1014" cm="1">
        <f t="array" ref="K1014">_xlfn.XLOOKUP(TEXT(A1014, "mmm-yy"), TEXT([2]GASOLINE!$B$5:$B$208, "mmm-yy"), [2]GASOLINE!$IK$5:$IK$208, "Not Found")</f>
        <v>157.50520148943099</v>
      </c>
      <c r="L1014">
        <f t="shared" si="15"/>
        <v>0</v>
      </c>
      <c r="M1014" cm="1">
        <f t="array" ref="M1014">_xlfn.XLOOKUP(TEXT(A1014, "mmm-yy"), TEXT([2]GASOLINE!$B$5:$B$208, "mmm-yy"), [2]GASOLINE!$C$5:$C$208, "Not Found")</f>
        <v>7569.3735209167389</v>
      </c>
      <c r="N1014" cm="1">
        <f t="array" ref="N1014">_xlfn.XLOOKUP(TEXT(A1014, "mmm-yy"), TEXT([2]RUNS!$B$5:$B$208, "mmm-yy"), [2]RUNS!$BM$5:$BM$208, "Not Found")</f>
        <v>0.85938098728424728</v>
      </c>
    </row>
    <row r="1015" spans="1:14" x14ac:dyDescent="0.25">
      <c r="A1015" s="1">
        <f>'[1]Global_Spot Prices'!$B2324</f>
        <v>43424</v>
      </c>
      <c r="B1015">
        <f>_xlfn.XLOOKUP(A1015,'[1]Global_Spot Prices'!$B:$B,'[1]Global_Spot Prices'!$BS:$BS)</f>
        <v>2.3499999999999943</v>
      </c>
      <c r="C1015">
        <f>_xlfn.XLOOKUP(A1015,'[1]Global_Spot Prices'!$B:$B,'[1]Global_Spot Prices'!$E:$E)</f>
        <v>65.5</v>
      </c>
      <c r="D1015">
        <f>_xlfn.XLOOKUP(A1015,'[1]Global_Spot Prices'!$B:$B,'[1]Global_Spot Prices'!$D:$D)</f>
        <v>62.265000000000001</v>
      </c>
      <c r="E1015">
        <f>_xlfn.XLOOKUP(A1015,'[1]Global_Spot Prices'!$B:$B,'[1]Global_Spot Prices'!$H:$H)</f>
        <v>57.73</v>
      </c>
      <c r="F1015">
        <f>_xlfn.XLOOKUP(A1015,'[1]Global_Spot Prices'!$B:$B,'[1]Global_Spot Prices'!$I:$I)</f>
        <v>67.849999999999994</v>
      </c>
      <c r="G1015" cm="1">
        <f t="array" ref="G1015">_xlfn.XLOOKUP(TEXT(A1015, "mmm-yy"), TEXT([2]RUNS!$B$5:$B$208, "mmm-yy"), [2]RUNS!$D$5:$D$208, "Not Found")</f>
        <v>30208.358898324765</v>
      </c>
      <c r="H1015" cm="1">
        <f t="array" ref="H1015">SUMPRODUCT(
    --(TEXT('[3]Global Weekly Stock (EWSuez'!$B$4:$B$2000,"mmm-yy")=TEXT(A1015,"mmm-yy")),
    '[3]Global Weekly Stock (EWSuez'!$E$4:$E$2000)
/
SUMPRODUCT(
    --(TEXT('[3]Global Weekly Stock (EWSuez'!$B$4:$B$2000,"mmm-yy")=TEXT(A1015,"mmm-yy"))
)</f>
        <v>13319.2</v>
      </c>
      <c r="I1015">
        <f>_xlfn.XLOOKUP(A1015,[1]ForwardDeriv!$D:$D,[1]ForwardDeriv!$AJ:$AJ)</f>
        <v>-0.23000000000000398</v>
      </c>
      <c r="J1015" cm="1">
        <f t="array" ref="J1015">_xlfn.XLOOKUP(TEXT(A1015, "mmm-yy"), TEXT([2]GASOLINE!$B$5:$B$208, "mmm-yy"), [2]GASOLINE!$IR$5:$IR$208, "Not Found")</f>
        <v>26.580507391524065</v>
      </c>
      <c r="K1015" cm="1">
        <f t="array" ref="K1015">_xlfn.XLOOKUP(TEXT(A1015, "mmm-yy"), TEXT([2]GASOLINE!$B$5:$B$208, "mmm-yy"), [2]GASOLINE!$IK$5:$IK$208, "Not Found")</f>
        <v>157.50520148943099</v>
      </c>
      <c r="L1015">
        <f t="shared" si="15"/>
        <v>0</v>
      </c>
      <c r="M1015" cm="1">
        <f t="array" ref="M1015">_xlfn.XLOOKUP(TEXT(A1015, "mmm-yy"), TEXT([2]GASOLINE!$B$5:$B$208, "mmm-yy"), [2]GASOLINE!$C$5:$C$208, "Not Found")</f>
        <v>7569.3735209167389</v>
      </c>
      <c r="N1015" cm="1">
        <f t="array" ref="N1015">_xlfn.XLOOKUP(TEXT(A1015, "mmm-yy"), TEXT([2]RUNS!$B$5:$B$208, "mmm-yy"), [2]RUNS!$BM$5:$BM$208, "Not Found")</f>
        <v>0.85938098728424728</v>
      </c>
    </row>
    <row r="1016" spans="1:14" x14ac:dyDescent="0.25">
      <c r="A1016" s="1">
        <f>'[1]Global_Spot Prices'!$B2325</f>
        <v>43425</v>
      </c>
      <c r="B1016">
        <f>_xlfn.XLOOKUP(A1016,'[1]Global_Spot Prices'!$B:$B,'[1]Global_Spot Prices'!$BS:$BS)</f>
        <v>2.3250000000000028</v>
      </c>
      <c r="C1016">
        <f>_xlfn.XLOOKUP(A1016,'[1]Global_Spot Prices'!$B:$B,'[1]Global_Spot Prices'!$E:$E)</f>
        <v>62.655000000000001</v>
      </c>
      <c r="D1016">
        <f>_xlfn.XLOOKUP(A1016,'[1]Global_Spot Prices'!$B:$B,'[1]Global_Spot Prices'!$D:$D)</f>
        <v>61.88</v>
      </c>
      <c r="E1016">
        <f>_xlfn.XLOOKUP(A1016,'[1]Global_Spot Prices'!$B:$B,'[1]Global_Spot Prices'!$H:$H)</f>
        <v>53.97</v>
      </c>
      <c r="F1016">
        <f>_xlfn.XLOOKUP(A1016,'[1]Global_Spot Prices'!$B:$B,'[1]Global_Spot Prices'!$I:$I)</f>
        <v>64.98</v>
      </c>
      <c r="G1016" cm="1">
        <f t="array" ref="G1016">_xlfn.XLOOKUP(TEXT(A1016, "mmm-yy"), TEXT([2]RUNS!$B$5:$B$208, "mmm-yy"), [2]RUNS!$D$5:$D$208, "Not Found")</f>
        <v>30208.358898324765</v>
      </c>
      <c r="H1016" cm="1">
        <f t="array" ref="H1016">SUMPRODUCT(
    --(TEXT('[3]Global Weekly Stock (EWSuez'!$B$4:$B$2000,"mmm-yy")=TEXT(A1016,"mmm-yy")),
    '[3]Global Weekly Stock (EWSuez'!$E$4:$E$2000)
/
SUMPRODUCT(
    --(TEXT('[3]Global Weekly Stock (EWSuez'!$B$4:$B$2000,"mmm-yy")=TEXT(A1016,"mmm-yy"))
)</f>
        <v>13319.2</v>
      </c>
      <c r="I1016">
        <f>_xlfn.XLOOKUP(A1016,[1]ForwardDeriv!$D:$D,[1]ForwardDeriv!$AJ:$AJ)</f>
        <v>-0.20000000000000284</v>
      </c>
      <c r="J1016" cm="1">
        <f t="array" ref="J1016">_xlfn.XLOOKUP(TEXT(A1016, "mmm-yy"), TEXT([2]GASOLINE!$B$5:$B$208, "mmm-yy"), [2]GASOLINE!$IR$5:$IR$208, "Not Found")</f>
        <v>26.580507391524065</v>
      </c>
      <c r="K1016" cm="1">
        <f t="array" ref="K1016">_xlfn.XLOOKUP(TEXT(A1016, "mmm-yy"), TEXT([2]GASOLINE!$B$5:$B$208, "mmm-yy"), [2]GASOLINE!$IK$5:$IK$208, "Not Found")</f>
        <v>157.50520148943099</v>
      </c>
      <c r="L1016">
        <f t="shared" si="15"/>
        <v>0</v>
      </c>
      <c r="M1016" cm="1">
        <f t="array" ref="M1016">_xlfn.XLOOKUP(TEXT(A1016, "mmm-yy"), TEXT([2]GASOLINE!$B$5:$B$208, "mmm-yy"), [2]GASOLINE!$C$5:$C$208, "Not Found")</f>
        <v>7569.3735209167389</v>
      </c>
      <c r="N1016" cm="1">
        <f t="array" ref="N1016">_xlfn.XLOOKUP(TEXT(A1016, "mmm-yy"), TEXT([2]RUNS!$B$5:$B$208, "mmm-yy"), [2]RUNS!$BM$5:$BM$208, "Not Found")</f>
        <v>0.85938098728424728</v>
      </c>
    </row>
    <row r="1017" spans="1:14" x14ac:dyDescent="0.25">
      <c r="A1017" s="1">
        <f>'[1]Global_Spot Prices'!$B2326</f>
        <v>43426</v>
      </c>
      <c r="B1017">
        <f>_xlfn.XLOOKUP(A1017,'[1]Global_Spot Prices'!$B:$B,'[1]Global_Spot Prices'!$BS:$BS)</f>
        <v>1.5399999999999991</v>
      </c>
      <c r="C1017">
        <f>_xlfn.XLOOKUP(A1017,'[1]Global_Spot Prices'!$B:$B,'[1]Global_Spot Prices'!$E:$E)</f>
        <v>62.45</v>
      </c>
      <c r="D1017">
        <f>_xlfn.XLOOKUP(A1017,'[1]Global_Spot Prices'!$B:$B,'[1]Global_Spot Prices'!$D:$D)</f>
        <v>61.424999999999997</v>
      </c>
      <c r="E1017">
        <f>_xlfn.XLOOKUP(A1017,'[1]Global_Spot Prices'!$B:$B,'[1]Global_Spot Prices'!$H:$H)</f>
        <v>53.44</v>
      </c>
      <c r="F1017">
        <f>_xlfn.XLOOKUP(A1017,'[1]Global_Spot Prices'!$B:$B,'[1]Global_Spot Prices'!$I:$I)</f>
        <v>63.99</v>
      </c>
      <c r="G1017" cm="1">
        <f t="array" ref="G1017">_xlfn.XLOOKUP(TEXT(A1017, "mmm-yy"), TEXT([2]RUNS!$B$5:$B$208, "mmm-yy"), [2]RUNS!$D$5:$D$208, "Not Found")</f>
        <v>30208.358898324765</v>
      </c>
      <c r="H1017" cm="1">
        <f t="array" ref="H1017">SUMPRODUCT(
    --(TEXT('[3]Global Weekly Stock (EWSuez'!$B$4:$B$2000,"mmm-yy")=TEXT(A1017,"mmm-yy")),
    '[3]Global Weekly Stock (EWSuez'!$E$4:$E$2000)
/
SUMPRODUCT(
    --(TEXT('[3]Global Weekly Stock (EWSuez'!$B$4:$B$2000,"mmm-yy")=TEXT(A1017,"mmm-yy"))
)</f>
        <v>13319.2</v>
      </c>
      <c r="I1017">
        <f>_xlfn.XLOOKUP(A1017,[1]ForwardDeriv!$D:$D,[1]ForwardDeriv!$AJ:$AJ)</f>
        <v>-0.29999999999999716</v>
      </c>
      <c r="J1017" cm="1">
        <f t="array" ref="J1017">_xlfn.XLOOKUP(TEXT(A1017, "mmm-yy"), TEXT([2]GASOLINE!$B$5:$B$208, "mmm-yy"), [2]GASOLINE!$IR$5:$IR$208, "Not Found")</f>
        <v>26.580507391524065</v>
      </c>
      <c r="K1017" cm="1">
        <f t="array" ref="K1017">_xlfn.XLOOKUP(TEXT(A1017, "mmm-yy"), TEXT([2]GASOLINE!$B$5:$B$208, "mmm-yy"), [2]GASOLINE!$IK$5:$IK$208, "Not Found")</f>
        <v>157.50520148943099</v>
      </c>
      <c r="L1017">
        <f t="shared" si="15"/>
        <v>0</v>
      </c>
      <c r="M1017" cm="1">
        <f t="array" ref="M1017">_xlfn.XLOOKUP(TEXT(A1017, "mmm-yy"), TEXT([2]GASOLINE!$B$5:$B$208, "mmm-yy"), [2]GASOLINE!$C$5:$C$208, "Not Found")</f>
        <v>7569.3735209167389</v>
      </c>
      <c r="N1017" cm="1">
        <f t="array" ref="N1017">_xlfn.XLOOKUP(TEXT(A1017, "mmm-yy"), TEXT([2]RUNS!$B$5:$B$208, "mmm-yy"), [2]RUNS!$BM$5:$BM$208, "Not Found")</f>
        <v>0.85938098728424728</v>
      </c>
    </row>
    <row r="1018" spans="1:14" x14ac:dyDescent="0.25">
      <c r="A1018" s="1">
        <f>'[1]Global_Spot Prices'!$B2327</f>
        <v>43427</v>
      </c>
      <c r="B1018">
        <f>_xlfn.XLOOKUP(A1018,'[1]Global_Spot Prices'!$B:$B,'[1]Global_Spot Prices'!$BS:$BS)</f>
        <v>1.25</v>
      </c>
      <c r="C1018">
        <f>_xlfn.XLOOKUP(A1018,'[1]Global_Spot Prices'!$B:$B,'[1]Global_Spot Prices'!$E:$E)</f>
        <v>61.06</v>
      </c>
      <c r="D1018">
        <f>_xlfn.XLOOKUP(A1018,'[1]Global_Spot Prices'!$B:$B,'[1]Global_Spot Prices'!$D:$D)</f>
        <v>57.655000000000001</v>
      </c>
      <c r="E1018">
        <f>_xlfn.XLOOKUP(A1018,'[1]Global_Spot Prices'!$B:$B,'[1]Global_Spot Prices'!$H:$H)</f>
        <v>52.26</v>
      </c>
      <c r="F1018">
        <f>_xlfn.XLOOKUP(A1018,'[1]Global_Spot Prices'!$B:$B,'[1]Global_Spot Prices'!$I:$I)</f>
        <v>62.31</v>
      </c>
      <c r="G1018" cm="1">
        <f t="array" ref="G1018">_xlfn.XLOOKUP(TEXT(A1018, "mmm-yy"), TEXT([2]RUNS!$B$5:$B$208, "mmm-yy"), [2]RUNS!$D$5:$D$208, "Not Found")</f>
        <v>30208.358898324765</v>
      </c>
      <c r="H1018" cm="1">
        <f t="array" ref="H1018">SUMPRODUCT(
    --(TEXT('[3]Global Weekly Stock (EWSuez'!$B$4:$B$2000,"mmm-yy")=TEXT(A1018,"mmm-yy")),
    '[3]Global Weekly Stock (EWSuez'!$E$4:$E$2000)
/
SUMPRODUCT(
    --(TEXT('[3]Global Weekly Stock (EWSuez'!$B$4:$B$2000,"mmm-yy")=TEXT(A1018,"mmm-yy"))
)</f>
        <v>13319.2</v>
      </c>
      <c r="I1018">
        <f>_xlfn.XLOOKUP(A1018,[1]ForwardDeriv!$D:$D,[1]ForwardDeriv!$AJ:$AJ)</f>
        <v>-0.38000000000000256</v>
      </c>
      <c r="J1018" cm="1">
        <f t="array" ref="J1018">_xlfn.XLOOKUP(TEXT(A1018, "mmm-yy"), TEXT([2]GASOLINE!$B$5:$B$208, "mmm-yy"), [2]GASOLINE!$IR$5:$IR$208, "Not Found")</f>
        <v>26.580507391524065</v>
      </c>
      <c r="K1018" cm="1">
        <f t="array" ref="K1018">_xlfn.XLOOKUP(TEXT(A1018, "mmm-yy"), TEXT([2]GASOLINE!$B$5:$B$208, "mmm-yy"), [2]GASOLINE!$IK$5:$IK$208, "Not Found")</f>
        <v>157.50520148943099</v>
      </c>
      <c r="L1018">
        <f t="shared" si="15"/>
        <v>0</v>
      </c>
      <c r="M1018" cm="1">
        <f t="array" ref="M1018">_xlfn.XLOOKUP(TEXT(A1018, "mmm-yy"), TEXT([2]GASOLINE!$B$5:$B$208, "mmm-yy"), [2]GASOLINE!$C$5:$C$208, "Not Found")</f>
        <v>7569.3735209167389</v>
      </c>
      <c r="N1018" cm="1">
        <f t="array" ref="N1018">_xlfn.XLOOKUP(TEXT(A1018, "mmm-yy"), TEXT([2]RUNS!$B$5:$B$208, "mmm-yy"), [2]RUNS!$BM$5:$BM$208, "Not Found")</f>
        <v>0.85938098728424728</v>
      </c>
    </row>
    <row r="1019" spans="1:14" x14ac:dyDescent="0.25">
      <c r="A1019" s="1">
        <f>'[1]Global_Spot Prices'!$B2328</f>
        <v>43430</v>
      </c>
      <c r="B1019">
        <f>_xlfn.XLOOKUP(A1019,'[1]Global_Spot Prices'!$B:$B,'[1]Global_Spot Prices'!$BS:$BS)</f>
        <v>0.94999999999999574</v>
      </c>
      <c r="C1019">
        <f>_xlfn.XLOOKUP(A1019,'[1]Global_Spot Prices'!$B:$B,'[1]Global_Spot Prices'!$E:$E)</f>
        <v>59.2</v>
      </c>
      <c r="D1019">
        <f>_xlfn.XLOOKUP(A1019,'[1]Global_Spot Prices'!$B:$B,'[1]Global_Spot Prices'!$D:$D)</f>
        <v>59.604999999999997</v>
      </c>
      <c r="E1019">
        <f>_xlfn.XLOOKUP(A1019,'[1]Global_Spot Prices'!$B:$B,'[1]Global_Spot Prices'!$H:$H)</f>
        <v>50.88</v>
      </c>
      <c r="F1019">
        <f>_xlfn.XLOOKUP(A1019,'[1]Global_Spot Prices'!$B:$B,'[1]Global_Spot Prices'!$I:$I)</f>
        <v>60.15</v>
      </c>
      <c r="G1019" cm="1">
        <f t="array" ref="G1019">_xlfn.XLOOKUP(TEXT(A1019, "mmm-yy"), TEXT([2]RUNS!$B$5:$B$208, "mmm-yy"), [2]RUNS!$D$5:$D$208, "Not Found")</f>
        <v>30208.358898324765</v>
      </c>
      <c r="H1019" cm="1">
        <f t="array" ref="H1019">SUMPRODUCT(
    --(TEXT('[3]Global Weekly Stock (EWSuez'!$B$4:$B$2000,"mmm-yy")=TEXT(A1019,"mmm-yy")),
    '[3]Global Weekly Stock (EWSuez'!$E$4:$E$2000)
/
SUMPRODUCT(
    --(TEXT('[3]Global Weekly Stock (EWSuez'!$B$4:$B$2000,"mmm-yy")=TEXT(A1019,"mmm-yy"))
)</f>
        <v>13319.2</v>
      </c>
      <c r="I1019">
        <f>_xlfn.XLOOKUP(A1019,[1]ForwardDeriv!$D:$D,[1]ForwardDeriv!$AJ:$AJ)</f>
        <v>-0.43000000000000682</v>
      </c>
      <c r="J1019" cm="1">
        <f t="array" ref="J1019">_xlfn.XLOOKUP(TEXT(A1019, "mmm-yy"), TEXT([2]GASOLINE!$B$5:$B$208, "mmm-yy"), [2]GASOLINE!$IR$5:$IR$208, "Not Found")</f>
        <v>26.580507391524065</v>
      </c>
      <c r="K1019" cm="1">
        <f t="array" ref="K1019">_xlfn.XLOOKUP(TEXT(A1019, "mmm-yy"), TEXT([2]GASOLINE!$B$5:$B$208, "mmm-yy"), [2]GASOLINE!$IK$5:$IK$208, "Not Found")</f>
        <v>157.50520148943099</v>
      </c>
      <c r="L1019">
        <f t="shared" si="15"/>
        <v>0</v>
      </c>
      <c r="M1019" cm="1">
        <f t="array" ref="M1019">_xlfn.XLOOKUP(TEXT(A1019, "mmm-yy"), TEXT([2]GASOLINE!$B$5:$B$208, "mmm-yy"), [2]GASOLINE!$C$5:$C$208, "Not Found")</f>
        <v>7569.3735209167389</v>
      </c>
      <c r="N1019" cm="1">
        <f t="array" ref="N1019">_xlfn.XLOOKUP(TEXT(A1019, "mmm-yy"), TEXT([2]RUNS!$B$5:$B$208, "mmm-yy"), [2]RUNS!$BM$5:$BM$208, "Not Found")</f>
        <v>0.85938098728424728</v>
      </c>
    </row>
    <row r="1020" spans="1:14" x14ac:dyDescent="0.25">
      <c r="A1020" s="1">
        <f>'[1]Global_Spot Prices'!$B2329</f>
        <v>43431</v>
      </c>
      <c r="B1020">
        <f>_xlfn.XLOOKUP(A1020,'[1]Global_Spot Prices'!$B:$B,'[1]Global_Spot Prices'!$BS:$BS)</f>
        <v>0.93999999999999773</v>
      </c>
      <c r="C1020">
        <f>_xlfn.XLOOKUP(A1020,'[1]Global_Spot Prices'!$B:$B,'[1]Global_Spot Prices'!$E:$E)</f>
        <v>59.11</v>
      </c>
      <c r="D1020">
        <f>_xlfn.XLOOKUP(A1020,'[1]Global_Spot Prices'!$B:$B,'[1]Global_Spot Prices'!$D:$D)</f>
        <v>59.38</v>
      </c>
      <c r="E1020">
        <f>_xlfn.XLOOKUP(A1020,'[1]Global_Spot Prices'!$B:$B,'[1]Global_Spot Prices'!$H:$H)</f>
        <v>51.63</v>
      </c>
      <c r="F1020">
        <f>_xlfn.XLOOKUP(A1020,'[1]Global_Spot Prices'!$B:$B,'[1]Global_Spot Prices'!$I:$I)</f>
        <v>60.05</v>
      </c>
      <c r="G1020" cm="1">
        <f t="array" ref="G1020">_xlfn.XLOOKUP(TEXT(A1020, "mmm-yy"), TEXT([2]RUNS!$B$5:$B$208, "mmm-yy"), [2]RUNS!$D$5:$D$208, "Not Found")</f>
        <v>30208.358898324765</v>
      </c>
      <c r="H1020" cm="1">
        <f t="array" ref="H1020">SUMPRODUCT(
    --(TEXT('[3]Global Weekly Stock (EWSuez'!$B$4:$B$2000,"mmm-yy")=TEXT(A1020,"mmm-yy")),
    '[3]Global Weekly Stock (EWSuez'!$E$4:$E$2000)
/
SUMPRODUCT(
    --(TEXT('[3]Global Weekly Stock (EWSuez'!$B$4:$B$2000,"mmm-yy")=TEXT(A1020,"mmm-yy"))
)</f>
        <v>13319.2</v>
      </c>
      <c r="I1020">
        <f>_xlfn.XLOOKUP(A1020,[1]ForwardDeriv!$D:$D,[1]ForwardDeriv!$AJ:$AJ)</f>
        <v>-0.53000000000000114</v>
      </c>
      <c r="J1020" cm="1">
        <f t="array" ref="J1020">_xlfn.XLOOKUP(TEXT(A1020, "mmm-yy"), TEXT([2]GASOLINE!$B$5:$B$208, "mmm-yy"), [2]GASOLINE!$IR$5:$IR$208, "Not Found")</f>
        <v>26.580507391524065</v>
      </c>
      <c r="K1020" cm="1">
        <f t="array" ref="K1020">_xlfn.XLOOKUP(TEXT(A1020, "mmm-yy"), TEXT([2]GASOLINE!$B$5:$B$208, "mmm-yy"), [2]GASOLINE!$IK$5:$IK$208, "Not Found")</f>
        <v>157.50520148943099</v>
      </c>
      <c r="L1020">
        <f t="shared" si="15"/>
        <v>0</v>
      </c>
      <c r="M1020" cm="1">
        <f t="array" ref="M1020">_xlfn.XLOOKUP(TEXT(A1020, "mmm-yy"), TEXT([2]GASOLINE!$B$5:$B$208, "mmm-yy"), [2]GASOLINE!$C$5:$C$208, "Not Found")</f>
        <v>7569.3735209167389</v>
      </c>
      <c r="N1020" cm="1">
        <f t="array" ref="N1020">_xlfn.XLOOKUP(TEXT(A1020, "mmm-yy"), TEXT([2]RUNS!$B$5:$B$208, "mmm-yy"), [2]RUNS!$BM$5:$BM$208, "Not Found")</f>
        <v>0.85938098728424728</v>
      </c>
    </row>
    <row r="1021" spans="1:14" x14ac:dyDescent="0.25">
      <c r="A1021" s="1">
        <f>'[1]Global_Spot Prices'!$B2330</f>
        <v>43432</v>
      </c>
      <c r="B1021">
        <f>_xlfn.XLOOKUP(A1021,'[1]Global_Spot Prices'!$B:$B,'[1]Global_Spot Prices'!$BS:$BS)</f>
        <v>-0.28000000000000114</v>
      </c>
      <c r="C1021">
        <f>_xlfn.XLOOKUP(A1021,'[1]Global_Spot Prices'!$B:$B,'[1]Global_Spot Prices'!$E:$E)</f>
        <v>60.2</v>
      </c>
      <c r="D1021">
        <f>_xlfn.XLOOKUP(A1021,'[1]Global_Spot Prices'!$B:$B,'[1]Global_Spot Prices'!$D:$D)</f>
        <v>58.354999999999997</v>
      </c>
      <c r="E1021">
        <f>_xlfn.XLOOKUP(A1021,'[1]Global_Spot Prices'!$B:$B,'[1]Global_Spot Prices'!$H:$H)</f>
        <v>52.19</v>
      </c>
      <c r="F1021">
        <f>_xlfn.XLOOKUP(A1021,'[1]Global_Spot Prices'!$B:$B,'[1]Global_Spot Prices'!$I:$I)</f>
        <v>59.92</v>
      </c>
      <c r="G1021" cm="1">
        <f t="array" ref="G1021">_xlfn.XLOOKUP(TEXT(A1021, "mmm-yy"), TEXT([2]RUNS!$B$5:$B$208, "mmm-yy"), [2]RUNS!$D$5:$D$208, "Not Found")</f>
        <v>30208.358898324765</v>
      </c>
      <c r="H1021" cm="1">
        <f t="array" ref="H1021">SUMPRODUCT(
    --(TEXT('[3]Global Weekly Stock (EWSuez'!$B$4:$B$2000,"mmm-yy")=TEXT(A1021,"mmm-yy")),
    '[3]Global Weekly Stock (EWSuez'!$E$4:$E$2000)
/
SUMPRODUCT(
    --(TEXT('[3]Global Weekly Stock (EWSuez'!$B$4:$B$2000,"mmm-yy")=TEXT(A1021,"mmm-yy"))
)</f>
        <v>13319.2</v>
      </c>
      <c r="I1021">
        <f>_xlfn.XLOOKUP(A1021,[1]ForwardDeriv!$D:$D,[1]ForwardDeriv!$AJ:$AJ)</f>
        <v>-0.67999999999999972</v>
      </c>
      <c r="J1021" cm="1">
        <f t="array" ref="J1021">_xlfn.XLOOKUP(TEXT(A1021, "mmm-yy"), TEXT([2]GASOLINE!$B$5:$B$208, "mmm-yy"), [2]GASOLINE!$IR$5:$IR$208, "Not Found")</f>
        <v>26.580507391524065</v>
      </c>
      <c r="K1021" cm="1">
        <f t="array" ref="K1021">_xlfn.XLOOKUP(TEXT(A1021, "mmm-yy"), TEXT([2]GASOLINE!$B$5:$B$208, "mmm-yy"), [2]GASOLINE!$IK$5:$IK$208, "Not Found")</f>
        <v>157.50520148943099</v>
      </c>
      <c r="L1021">
        <f t="shared" si="15"/>
        <v>0</v>
      </c>
      <c r="M1021" cm="1">
        <f t="array" ref="M1021">_xlfn.XLOOKUP(TEXT(A1021, "mmm-yy"), TEXT([2]GASOLINE!$B$5:$B$208, "mmm-yy"), [2]GASOLINE!$C$5:$C$208, "Not Found")</f>
        <v>7569.3735209167389</v>
      </c>
      <c r="N1021" cm="1">
        <f t="array" ref="N1021">_xlfn.XLOOKUP(TEXT(A1021, "mmm-yy"), TEXT([2]RUNS!$B$5:$B$208, "mmm-yy"), [2]RUNS!$BM$5:$BM$208, "Not Found")</f>
        <v>0.85938098728424728</v>
      </c>
    </row>
    <row r="1022" spans="1:14" x14ac:dyDescent="0.25">
      <c r="A1022" s="1">
        <f>'[1]Global_Spot Prices'!$B2331</f>
        <v>43433</v>
      </c>
      <c r="B1022">
        <f>_xlfn.XLOOKUP(A1022,'[1]Global_Spot Prices'!$B:$B,'[1]Global_Spot Prices'!$BS:$BS)</f>
        <v>-0.42000000000000171</v>
      </c>
      <c r="C1022">
        <f>_xlfn.XLOOKUP(A1022,'[1]Global_Spot Prices'!$B:$B,'[1]Global_Spot Prices'!$E:$E)</f>
        <v>58.25</v>
      </c>
      <c r="D1022">
        <f>_xlfn.XLOOKUP(A1022,'[1]Global_Spot Prices'!$B:$B,'[1]Global_Spot Prices'!$D:$D)</f>
        <v>58.55</v>
      </c>
      <c r="E1022">
        <f>_xlfn.XLOOKUP(A1022,'[1]Global_Spot Prices'!$B:$B,'[1]Global_Spot Prices'!$H:$H)</f>
        <v>50.49</v>
      </c>
      <c r="F1022">
        <f>_xlfn.XLOOKUP(A1022,'[1]Global_Spot Prices'!$B:$B,'[1]Global_Spot Prices'!$I:$I)</f>
        <v>57.83</v>
      </c>
      <c r="G1022" cm="1">
        <f t="array" ref="G1022">_xlfn.XLOOKUP(TEXT(A1022, "mmm-yy"), TEXT([2]RUNS!$B$5:$B$208, "mmm-yy"), [2]RUNS!$D$5:$D$208, "Not Found")</f>
        <v>30208.358898324765</v>
      </c>
      <c r="H1022" cm="1">
        <f t="array" ref="H1022">SUMPRODUCT(
    --(TEXT('[3]Global Weekly Stock (EWSuez'!$B$4:$B$2000,"mmm-yy")=TEXT(A1022,"mmm-yy")),
    '[3]Global Weekly Stock (EWSuez'!$E$4:$E$2000)
/
SUMPRODUCT(
    --(TEXT('[3]Global Weekly Stock (EWSuez'!$B$4:$B$2000,"mmm-yy")=TEXT(A1022,"mmm-yy"))
)</f>
        <v>13319.2</v>
      </c>
      <c r="I1022">
        <f>_xlfn.XLOOKUP(A1022,[1]ForwardDeriv!$D:$D,[1]ForwardDeriv!$AJ:$AJ)</f>
        <v>-0.67999999999999972</v>
      </c>
      <c r="J1022" cm="1">
        <f t="array" ref="J1022">_xlfn.XLOOKUP(TEXT(A1022, "mmm-yy"), TEXT([2]GASOLINE!$B$5:$B$208, "mmm-yy"), [2]GASOLINE!$IR$5:$IR$208, "Not Found")</f>
        <v>26.580507391524065</v>
      </c>
      <c r="K1022" cm="1">
        <f t="array" ref="K1022">_xlfn.XLOOKUP(TEXT(A1022, "mmm-yy"), TEXT([2]GASOLINE!$B$5:$B$208, "mmm-yy"), [2]GASOLINE!$IK$5:$IK$208, "Not Found")</f>
        <v>157.50520148943099</v>
      </c>
      <c r="L1022">
        <f t="shared" si="15"/>
        <v>0</v>
      </c>
      <c r="M1022" cm="1">
        <f t="array" ref="M1022">_xlfn.XLOOKUP(TEXT(A1022, "mmm-yy"), TEXT([2]GASOLINE!$B$5:$B$208, "mmm-yy"), [2]GASOLINE!$C$5:$C$208, "Not Found")</f>
        <v>7569.3735209167389</v>
      </c>
      <c r="N1022" cm="1">
        <f t="array" ref="N1022">_xlfn.XLOOKUP(TEXT(A1022, "mmm-yy"), TEXT([2]RUNS!$B$5:$B$208, "mmm-yy"), [2]RUNS!$BM$5:$BM$208, "Not Found")</f>
        <v>0.85938098728424728</v>
      </c>
    </row>
    <row r="1023" spans="1:14" x14ac:dyDescent="0.25">
      <c r="A1023" s="1">
        <f>'[1]Global_Spot Prices'!$B2332</f>
        <v>43434</v>
      </c>
      <c r="B1023">
        <f>_xlfn.XLOOKUP(A1023,'[1]Global_Spot Prices'!$B:$B,'[1]Global_Spot Prices'!$BS:$BS)</f>
        <v>0.71000000000000085</v>
      </c>
      <c r="C1023">
        <f>_xlfn.XLOOKUP(A1023,'[1]Global_Spot Prices'!$B:$B,'[1]Global_Spot Prices'!$E:$E)</f>
        <v>58.99</v>
      </c>
      <c r="D1023">
        <f>_xlfn.XLOOKUP(A1023,'[1]Global_Spot Prices'!$B:$B,'[1]Global_Spot Prices'!$D:$D)</f>
        <v>57.3</v>
      </c>
      <c r="E1023">
        <f>_xlfn.XLOOKUP(A1023,'[1]Global_Spot Prices'!$B:$B,'[1]Global_Spot Prices'!$H:$H)</f>
        <v>52.16</v>
      </c>
      <c r="F1023">
        <f>_xlfn.XLOOKUP(A1023,'[1]Global_Spot Prices'!$B:$B,'[1]Global_Spot Prices'!$I:$I)</f>
        <v>59.7</v>
      </c>
      <c r="G1023" cm="1">
        <f t="array" ref="G1023">_xlfn.XLOOKUP(TEXT(A1023, "mmm-yy"), TEXT([2]RUNS!$B$5:$B$208, "mmm-yy"), [2]RUNS!$D$5:$D$208, "Not Found")</f>
        <v>30208.358898324765</v>
      </c>
      <c r="H1023" cm="1">
        <f t="array" ref="H1023">SUMPRODUCT(
    --(TEXT('[3]Global Weekly Stock (EWSuez'!$B$4:$B$2000,"mmm-yy")=TEXT(A1023,"mmm-yy")),
    '[3]Global Weekly Stock (EWSuez'!$E$4:$E$2000)
/
SUMPRODUCT(
    --(TEXT('[3]Global Weekly Stock (EWSuez'!$B$4:$B$2000,"mmm-yy")=TEXT(A1023,"mmm-yy"))
)</f>
        <v>13319.2</v>
      </c>
      <c r="I1023">
        <f>_xlfn.XLOOKUP(A1023,[1]ForwardDeriv!$D:$D,[1]ForwardDeriv!$AJ:$AJ)</f>
        <v>-0.68999999999999773</v>
      </c>
      <c r="J1023" cm="1">
        <f t="array" ref="J1023">_xlfn.XLOOKUP(TEXT(A1023, "mmm-yy"), TEXT([2]GASOLINE!$B$5:$B$208, "mmm-yy"), [2]GASOLINE!$IR$5:$IR$208, "Not Found")</f>
        <v>26.580507391524065</v>
      </c>
      <c r="K1023" cm="1">
        <f t="array" ref="K1023">_xlfn.XLOOKUP(TEXT(A1023, "mmm-yy"), TEXT([2]GASOLINE!$B$5:$B$208, "mmm-yy"), [2]GASOLINE!$IK$5:$IK$208, "Not Found")</f>
        <v>157.50520148943099</v>
      </c>
      <c r="L1023">
        <f t="shared" si="15"/>
        <v>0</v>
      </c>
      <c r="M1023" cm="1">
        <f t="array" ref="M1023">_xlfn.XLOOKUP(TEXT(A1023, "mmm-yy"), TEXT([2]GASOLINE!$B$5:$B$208, "mmm-yy"), [2]GASOLINE!$C$5:$C$208, "Not Found")</f>
        <v>7569.3735209167389</v>
      </c>
      <c r="N1023" cm="1">
        <f t="array" ref="N1023">_xlfn.XLOOKUP(TEXT(A1023, "mmm-yy"), TEXT([2]RUNS!$B$5:$B$208, "mmm-yy"), [2]RUNS!$BM$5:$BM$208, "Not Found")</f>
        <v>0.85938098728424728</v>
      </c>
    </row>
    <row r="1024" spans="1:14" x14ac:dyDescent="0.25">
      <c r="A1024" s="1">
        <f>'[1]Global_Spot Prices'!$B2333</f>
        <v>43437</v>
      </c>
      <c r="B1024">
        <f>_xlfn.XLOOKUP(A1024,'[1]Global_Spot Prices'!$B:$B,'[1]Global_Spot Prices'!$BS:$BS)</f>
        <v>0.66000000000000369</v>
      </c>
      <c r="C1024">
        <f>_xlfn.XLOOKUP(A1024,'[1]Global_Spot Prices'!$B:$B,'[1]Global_Spot Prices'!$E:$E)</f>
        <v>61.16</v>
      </c>
      <c r="D1024">
        <f>_xlfn.XLOOKUP(A1024,'[1]Global_Spot Prices'!$B:$B,'[1]Global_Spot Prices'!$D:$D)</f>
        <v>60.344999999999999</v>
      </c>
      <c r="E1024">
        <f>_xlfn.XLOOKUP(A1024,'[1]Global_Spot Prices'!$B:$B,'[1]Global_Spot Prices'!$H:$H)</f>
        <v>54.96</v>
      </c>
      <c r="F1024">
        <f>_xlfn.XLOOKUP(A1024,'[1]Global_Spot Prices'!$B:$B,'[1]Global_Spot Prices'!$I:$I)</f>
        <v>61.82</v>
      </c>
      <c r="G1024" cm="1">
        <f t="array" ref="G1024">_xlfn.XLOOKUP(TEXT(A1024, "mmm-yy"), TEXT([2]RUNS!$B$5:$B$208, "mmm-yy"), [2]RUNS!$D$5:$D$208, "Not Found")</f>
        <v>29775.232701057896</v>
      </c>
      <c r="H1024" cm="1">
        <f t="array" ref="H1024">SUMPRODUCT(
    --(TEXT('[3]Global Weekly Stock (EWSuez'!$B$4:$B$2000,"mmm-yy")=TEXT(A1024,"mmm-yy")),
    '[3]Global Weekly Stock (EWSuez'!$E$4:$E$2000)
/
SUMPRODUCT(
    --(TEXT('[3]Global Weekly Stock (EWSuez'!$B$4:$B$2000,"mmm-yy")=TEXT(A1024,"mmm-yy"))
)</f>
        <v>14202.75</v>
      </c>
      <c r="I1024">
        <f>_xlfn.XLOOKUP(A1024,[1]ForwardDeriv!$D:$D,[1]ForwardDeriv!$AJ:$AJ)</f>
        <v>-0.64000000000000057</v>
      </c>
      <c r="J1024" cm="1">
        <f t="array" ref="J1024">_xlfn.XLOOKUP(TEXT(A1024, "mmm-yy"), TEXT([2]GASOLINE!$B$5:$B$208, "mmm-yy"), [2]GASOLINE!$IR$5:$IR$208, "Not Found")</f>
        <v>39.406406969511579</v>
      </c>
      <c r="K1024" cm="1">
        <f t="array" ref="K1024">_xlfn.XLOOKUP(TEXT(A1024, "mmm-yy"), TEXT([2]GASOLINE!$B$5:$B$208, "mmm-yy"), [2]GASOLINE!$IK$5:$IK$208, "Not Found")</f>
        <v>160.15768264490899</v>
      </c>
      <c r="L1024">
        <f t="shared" si="15"/>
        <v>0</v>
      </c>
      <c r="M1024" cm="1">
        <f t="array" ref="M1024">_xlfn.XLOOKUP(TEXT(A1024, "mmm-yy"), TEXT([2]GASOLINE!$B$5:$B$208, "mmm-yy"), [2]GASOLINE!$C$5:$C$208, "Not Found")</f>
        <v>7462.6474498080688</v>
      </c>
      <c r="N1024" cm="1">
        <f t="array" ref="N1024">_xlfn.XLOOKUP(TEXT(A1024, "mmm-yy"), TEXT([2]RUNS!$B$5:$B$208, "mmm-yy"), [2]RUNS!$BM$5:$BM$208, "Not Found")</f>
        <v>0.84705921832358666</v>
      </c>
    </row>
    <row r="1025" spans="1:14" x14ac:dyDescent="0.25">
      <c r="A1025" s="1">
        <f>'[1]Global_Spot Prices'!$B2334</f>
        <v>43438</v>
      </c>
      <c r="B1025">
        <f>_xlfn.XLOOKUP(A1025,'[1]Global_Spot Prices'!$B:$B,'[1]Global_Spot Prices'!$BS:$BS)</f>
        <v>-0.46999999999999886</v>
      </c>
      <c r="C1025">
        <f>_xlfn.XLOOKUP(A1025,'[1]Global_Spot Prices'!$B:$B,'[1]Global_Spot Prices'!$E:$E)</f>
        <v>61.5</v>
      </c>
      <c r="D1025">
        <f>_xlfn.XLOOKUP(A1025,'[1]Global_Spot Prices'!$B:$B,'[1]Global_Spot Prices'!$D:$D)</f>
        <v>61.085000000000001</v>
      </c>
      <c r="E1025">
        <f>_xlfn.XLOOKUP(A1025,'[1]Global_Spot Prices'!$B:$B,'[1]Global_Spot Prices'!$H:$H)</f>
        <v>55.23</v>
      </c>
      <c r="F1025">
        <f>_xlfn.XLOOKUP(A1025,'[1]Global_Spot Prices'!$B:$B,'[1]Global_Spot Prices'!$I:$I)</f>
        <v>61.03</v>
      </c>
      <c r="G1025" cm="1">
        <f t="array" ref="G1025">_xlfn.XLOOKUP(TEXT(A1025, "mmm-yy"), TEXT([2]RUNS!$B$5:$B$208, "mmm-yy"), [2]RUNS!$D$5:$D$208, "Not Found")</f>
        <v>29775.232701057896</v>
      </c>
      <c r="H1025" cm="1">
        <f t="array" ref="H1025">SUMPRODUCT(
    --(TEXT('[3]Global Weekly Stock (EWSuez'!$B$4:$B$2000,"mmm-yy")=TEXT(A1025,"mmm-yy")),
    '[3]Global Weekly Stock (EWSuez'!$E$4:$E$2000)
/
SUMPRODUCT(
    --(TEXT('[3]Global Weekly Stock (EWSuez'!$B$4:$B$2000,"mmm-yy")=TEXT(A1025,"mmm-yy"))
)</f>
        <v>14202.75</v>
      </c>
      <c r="I1025">
        <f>_xlfn.XLOOKUP(A1025,[1]ForwardDeriv!$D:$D,[1]ForwardDeriv!$AJ:$AJ)</f>
        <v>-0.64999999999999858</v>
      </c>
      <c r="J1025" cm="1">
        <f t="array" ref="J1025">_xlfn.XLOOKUP(TEXT(A1025, "mmm-yy"), TEXT([2]GASOLINE!$B$5:$B$208, "mmm-yy"), [2]GASOLINE!$IR$5:$IR$208, "Not Found")</f>
        <v>39.406406969511579</v>
      </c>
      <c r="K1025" cm="1">
        <f t="array" ref="K1025">_xlfn.XLOOKUP(TEXT(A1025, "mmm-yy"), TEXT([2]GASOLINE!$B$5:$B$208, "mmm-yy"), [2]GASOLINE!$IK$5:$IK$208, "Not Found")</f>
        <v>160.15768264490899</v>
      </c>
      <c r="L1025">
        <f t="shared" si="15"/>
        <v>0</v>
      </c>
      <c r="M1025" cm="1">
        <f t="array" ref="M1025">_xlfn.XLOOKUP(TEXT(A1025, "mmm-yy"), TEXT([2]GASOLINE!$B$5:$B$208, "mmm-yy"), [2]GASOLINE!$C$5:$C$208, "Not Found")</f>
        <v>7462.6474498080688</v>
      </c>
      <c r="N1025" cm="1">
        <f t="array" ref="N1025">_xlfn.XLOOKUP(TEXT(A1025, "mmm-yy"), TEXT([2]RUNS!$B$5:$B$208, "mmm-yy"), [2]RUNS!$BM$5:$BM$208, "Not Found")</f>
        <v>0.84705921832358666</v>
      </c>
    </row>
    <row r="1026" spans="1:14" x14ac:dyDescent="0.25">
      <c r="A1026" s="1">
        <f>'[1]Global_Spot Prices'!$B2335</f>
        <v>43439</v>
      </c>
      <c r="B1026">
        <f>_xlfn.XLOOKUP(A1026,'[1]Global_Spot Prices'!$B:$B,'[1]Global_Spot Prices'!$BS:$BS)</f>
        <v>-0.39000000000000057</v>
      </c>
      <c r="C1026">
        <f>_xlfn.XLOOKUP(A1026,'[1]Global_Spot Prices'!$B:$B,'[1]Global_Spot Prices'!$E:$E)</f>
        <v>59.79</v>
      </c>
      <c r="D1026">
        <f>_xlfn.XLOOKUP(A1026,'[1]Global_Spot Prices'!$B:$B,'[1]Global_Spot Prices'!$D:$D)</f>
        <v>61.255000000000003</v>
      </c>
      <c r="E1026">
        <f>_xlfn.XLOOKUP(A1026,'[1]Global_Spot Prices'!$B:$B,'[1]Global_Spot Prices'!$H:$H)</f>
        <v>53</v>
      </c>
      <c r="F1026">
        <f>_xlfn.XLOOKUP(A1026,'[1]Global_Spot Prices'!$B:$B,'[1]Global_Spot Prices'!$I:$I)</f>
        <v>59.4</v>
      </c>
      <c r="G1026" cm="1">
        <f t="array" ref="G1026">_xlfn.XLOOKUP(TEXT(A1026, "mmm-yy"), TEXT([2]RUNS!$B$5:$B$208, "mmm-yy"), [2]RUNS!$D$5:$D$208, "Not Found")</f>
        <v>29775.232701057896</v>
      </c>
      <c r="H1026" cm="1">
        <f t="array" ref="H1026">SUMPRODUCT(
    --(TEXT('[3]Global Weekly Stock (EWSuez'!$B$4:$B$2000,"mmm-yy")=TEXT(A1026,"mmm-yy")),
    '[3]Global Weekly Stock (EWSuez'!$E$4:$E$2000)
/
SUMPRODUCT(
    --(TEXT('[3]Global Weekly Stock (EWSuez'!$B$4:$B$2000,"mmm-yy")=TEXT(A1026,"mmm-yy"))
)</f>
        <v>14202.75</v>
      </c>
      <c r="I1026">
        <f>_xlfn.XLOOKUP(A1026,[1]ForwardDeriv!$D:$D,[1]ForwardDeriv!$AJ:$AJ)</f>
        <v>-0.65999999999999659</v>
      </c>
      <c r="J1026" cm="1">
        <f t="array" ref="J1026">_xlfn.XLOOKUP(TEXT(A1026, "mmm-yy"), TEXT([2]GASOLINE!$B$5:$B$208, "mmm-yy"), [2]GASOLINE!$IR$5:$IR$208, "Not Found")</f>
        <v>39.406406969511579</v>
      </c>
      <c r="K1026" cm="1">
        <f t="array" ref="K1026">_xlfn.XLOOKUP(TEXT(A1026, "mmm-yy"), TEXT([2]GASOLINE!$B$5:$B$208, "mmm-yy"), [2]GASOLINE!$IK$5:$IK$208, "Not Found")</f>
        <v>160.15768264490899</v>
      </c>
      <c r="L1026">
        <f t="shared" si="15"/>
        <v>0</v>
      </c>
      <c r="M1026" cm="1">
        <f t="array" ref="M1026">_xlfn.XLOOKUP(TEXT(A1026, "mmm-yy"), TEXT([2]GASOLINE!$B$5:$B$208, "mmm-yy"), [2]GASOLINE!$C$5:$C$208, "Not Found")</f>
        <v>7462.6474498080688</v>
      </c>
      <c r="N1026" cm="1">
        <f t="array" ref="N1026">_xlfn.XLOOKUP(TEXT(A1026, "mmm-yy"), TEXT([2]RUNS!$B$5:$B$208, "mmm-yy"), [2]RUNS!$BM$5:$BM$208, "Not Found")</f>
        <v>0.84705921832358666</v>
      </c>
    </row>
    <row r="1027" spans="1:14" x14ac:dyDescent="0.25">
      <c r="A1027" s="1">
        <f>'[1]Global_Spot Prices'!$B2336</f>
        <v>43440</v>
      </c>
      <c r="B1027">
        <f>_xlfn.XLOOKUP(A1027,'[1]Global_Spot Prices'!$B:$B,'[1]Global_Spot Prices'!$BS:$BS)</f>
        <v>0.20000000000000284</v>
      </c>
      <c r="C1027">
        <f>_xlfn.XLOOKUP(A1027,'[1]Global_Spot Prices'!$B:$B,'[1]Global_Spot Prices'!$E:$E)</f>
        <v>59.82</v>
      </c>
      <c r="D1027">
        <f>_xlfn.XLOOKUP(A1027,'[1]Global_Spot Prices'!$B:$B,'[1]Global_Spot Prices'!$D:$D)</f>
        <v>57.344999999999999</v>
      </c>
      <c r="E1027">
        <f>_xlfn.XLOOKUP(A1027,'[1]Global_Spot Prices'!$B:$B,'[1]Global_Spot Prices'!$H:$H)</f>
        <v>52.5</v>
      </c>
      <c r="F1027">
        <f>_xlfn.XLOOKUP(A1027,'[1]Global_Spot Prices'!$B:$B,'[1]Global_Spot Prices'!$I:$I)</f>
        <v>60.02</v>
      </c>
      <c r="G1027" cm="1">
        <f t="array" ref="G1027">_xlfn.XLOOKUP(TEXT(A1027, "mmm-yy"), TEXT([2]RUNS!$B$5:$B$208, "mmm-yy"), [2]RUNS!$D$5:$D$208, "Not Found")</f>
        <v>29775.232701057896</v>
      </c>
      <c r="H1027" cm="1">
        <f t="array" ref="H1027">SUMPRODUCT(
    --(TEXT('[3]Global Weekly Stock (EWSuez'!$B$4:$B$2000,"mmm-yy")=TEXT(A1027,"mmm-yy")),
    '[3]Global Weekly Stock (EWSuez'!$E$4:$E$2000)
/
SUMPRODUCT(
    --(TEXT('[3]Global Weekly Stock (EWSuez'!$B$4:$B$2000,"mmm-yy")=TEXT(A1027,"mmm-yy"))
)</f>
        <v>14202.75</v>
      </c>
      <c r="I1027">
        <f>_xlfn.XLOOKUP(A1027,[1]ForwardDeriv!$D:$D,[1]ForwardDeriv!$AJ:$AJ)</f>
        <v>-0.64999999999999858</v>
      </c>
      <c r="J1027" cm="1">
        <f t="array" ref="J1027">_xlfn.XLOOKUP(TEXT(A1027, "mmm-yy"), TEXT([2]GASOLINE!$B$5:$B$208, "mmm-yy"), [2]GASOLINE!$IR$5:$IR$208, "Not Found")</f>
        <v>39.406406969511579</v>
      </c>
      <c r="K1027" cm="1">
        <f t="array" ref="K1027">_xlfn.XLOOKUP(TEXT(A1027, "mmm-yy"), TEXT([2]GASOLINE!$B$5:$B$208, "mmm-yy"), [2]GASOLINE!$IK$5:$IK$208, "Not Found")</f>
        <v>160.15768264490899</v>
      </c>
      <c r="L1027">
        <f t="shared" ref="L1027:L1090" si="16">IF(OR(MONTH(A1027)=6, MONTH(A1027)=7, MONTH(A1027)=8, MONTH(A1027)=9), 1, 0)</f>
        <v>0</v>
      </c>
      <c r="M1027" cm="1">
        <f t="array" ref="M1027">_xlfn.XLOOKUP(TEXT(A1027, "mmm-yy"), TEXT([2]GASOLINE!$B$5:$B$208, "mmm-yy"), [2]GASOLINE!$C$5:$C$208, "Not Found")</f>
        <v>7462.6474498080688</v>
      </c>
      <c r="N1027" cm="1">
        <f t="array" ref="N1027">_xlfn.XLOOKUP(TEXT(A1027, "mmm-yy"), TEXT([2]RUNS!$B$5:$B$208, "mmm-yy"), [2]RUNS!$BM$5:$BM$208, "Not Found")</f>
        <v>0.84705921832358666</v>
      </c>
    </row>
    <row r="1028" spans="1:14" x14ac:dyDescent="0.25">
      <c r="A1028" s="1">
        <f>'[1]Global_Spot Prices'!$B2337</f>
        <v>43441</v>
      </c>
      <c r="B1028">
        <f>_xlfn.XLOOKUP(A1028,'[1]Global_Spot Prices'!$B:$B,'[1]Global_Spot Prices'!$BS:$BS)</f>
        <v>1.4799999999999969</v>
      </c>
      <c r="C1028">
        <f>_xlfn.XLOOKUP(A1028,'[1]Global_Spot Prices'!$B:$B,'[1]Global_Spot Prices'!$E:$E)</f>
        <v>58.39</v>
      </c>
      <c r="D1028">
        <f>_xlfn.XLOOKUP(A1028,'[1]Global_Spot Prices'!$B:$B,'[1]Global_Spot Prices'!$D:$D)</f>
        <v>61.6</v>
      </c>
      <c r="E1028">
        <f>_xlfn.XLOOKUP(A1028,'[1]Global_Spot Prices'!$B:$B,'[1]Global_Spot Prices'!$H:$H)</f>
        <v>52.3</v>
      </c>
      <c r="F1028">
        <f>_xlfn.XLOOKUP(A1028,'[1]Global_Spot Prices'!$B:$B,'[1]Global_Spot Prices'!$I:$I)</f>
        <v>59.87</v>
      </c>
      <c r="G1028" cm="1">
        <f t="array" ref="G1028">_xlfn.XLOOKUP(TEXT(A1028, "mmm-yy"), TEXT([2]RUNS!$B$5:$B$208, "mmm-yy"), [2]RUNS!$D$5:$D$208, "Not Found")</f>
        <v>29775.232701057896</v>
      </c>
      <c r="H1028" cm="1">
        <f t="array" ref="H1028">SUMPRODUCT(
    --(TEXT('[3]Global Weekly Stock (EWSuez'!$B$4:$B$2000,"mmm-yy")=TEXT(A1028,"mmm-yy")),
    '[3]Global Weekly Stock (EWSuez'!$E$4:$E$2000)
/
SUMPRODUCT(
    --(TEXT('[3]Global Weekly Stock (EWSuez'!$B$4:$B$2000,"mmm-yy")=TEXT(A1028,"mmm-yy"))
)</f>
        <v>14202.75</v>
      </c>
      <c r="I1028">
        <f>_xlfn.XLOOKUP(A1028,[1]ForwardDeriv!$D:$D,[1]ForwardDeriv!$AJ:$AJ)</f>
        <v>-0.64000000000000057</v>
      </c>
      <c r="J1028" cm="1">
        <f t="array" ref="J1028">_xlfn.XLOOKUP(TEXT(A1028, "mmm-yy"), TEXT([2]GASOLINE!$B$5:$B$208, "mmm-yy"), [2]GASOLINE!$IR$5:$IR$208, "Not Found")</f>
        <v>39.406406969511579</v>
      </c>
      <c r="K1028" cm="1">
        <f t="array" ref="K1028">_xlfn.XLOOKUP(TEXT(A1028, "mmm-yy"), TEXT([2]GASOLINE!$B$5:$B$208, "mmm-yy"), [2]GASOLINE!$IK$5:$IK$208, "Not Found")</f>
        <v>160.15768264490899</v>
      </c>
      <c r="L1028">
        <f t="shared" si="16"/>
        <v>0</v>
      </c>
      <c r="M1028" cm="1">
        <f t="array" ref="M1028">_xlfn.XLOOKUP(TEXT(A1028, "mmm-yy"), TEXT([2]GASOLINE!$B$5:$B$208, "mmm-yy"), [2]GASOLINE!$C$5:$C$208, "Not Found")</f>
        <v>7462.6474498080688</v>
      </c>
      <c r="N1028" cm="1">
        <f t="array" ref="N1028">_xlfn.XLOOKUP(TEXT(A1028, "mmm-yy"), TEXT([2]RUNS!$B$5:$B$208, "mmm-yy"), [2]RUNS!$BM$5:$BM$208, "Not Found")</f>
        <v>0.84705921832358666</v>
      </c>
    </row>
    <row r="1029" spans="1:14" x14ac:dyDescent="0.25">
      <c r="A1029" s="1">
        <f>'[1]Global_Spot Prices'!$B2338</f>
        <v>43444</v>
      </c>
      <c r="B1029">
        <f>_xlfn.XLOOKUP(A1029,'[1]Global_Spot Prices'!$B:$B,'[1]Global_Spot Prices'!$BS:$BS)</f>
        <v>0.75</v>
      </c>
      <c r="C1029">
        <f>_xlfn.XLOOKUP(A1029,'[1]Global_Spot Prices'!$B:$B,'[1]Global_Spot Prices'!$E:$E)</f>
        <v>60.21</v>
      </c>
      <c r="D1029">
        <f>_xlfn.XLOOKUP(A1029,'[1]Global_Spot Prices'!$B:$B,'[1]Global_Spot Prices'!$D:$D)</f>
        <v>60.064999999999998</v>
      </c>
      <c r="E1029">
        <f>_xlfn.XLOOKUP(A1029,'[1]Global_Spot Prices'!$B:$B,'[1]Global_Spot Prices'!$H:$H)</f>
        <v>53.94</v>
      </c>
      <c r="F1029">
        <f>_xlfn.XLOOKUP(A1029,'[1]Global_Spot Prices'!$B:$B,'[1]Global_Spot Prices'!$I:$I)</f>
        <v>60.96</v>
      </c>
      <c r="G1029" cm="1">
        <f t="array" ref="G1029">_xlfn.XLOOKUP(TEXT(A1029, "mmm-yy"), TEXT([2]RUNS!$B$5:$B$208, "mmm-yy"), [2]RUNS!$D$5:$D$208, "Not Found")</f>
        <v>29775.232701057896</v>
      </c>
      <c r="H1029" cm="1">
        <f t="array" ref="H1029">SUMPRODUCT(
    --(TEXT('[3]Global Weekly Stock (EWSuez'!$B$4:$B$2000,"mmm-yy")=TEXT(A1029,"mmm-yy")),
    '[3]Global Weekly Stock (EWSuez'!$E$4:$E$2000)
/
SUMPRODUCT(
    --(TEXT('[3]Global Weekly Stock (EWSuez'!$B$4:$B$2000,"mmm-yy")=TEXT(A1029,"mmm-yy"))
)</f>
        <v>14202.75</v>
      </c>
      <c r="I1029">
        <f>_xlfn.XLOOKUP(A1029,[1]ForwardDeriv!$D:$D,[1]ForwardDeriv!$AJ:$AJ)</f>
        <v>-0.66000000000000369</v>
      </c>
      <c r="J1029" cm="1">
        <f t="array" ref="J1029">_xlfn.XLOOKUP(TEXT(A1029, "mmm-yy"), TEXT([2]GASOLINE!$B$5:$B$208, "mmm-yy"), [2]GASOLINE!$IR$5:$IR$208, "Not Found")</f>
        <v>39.406406969511579</v>
      </c>
      <c r="K1029" cm="1">
        <f t="array" ref="K1029">_xlfn.XLOOKUP(TEXT(A1029, "mmm-yy"), TEXT([2]GASOLINE!$B$5:$B$208, "mmm-yy"), [2]GASOLINE!$IK$5:$IK$208, "Not Found")</f>
        <v>160.15768264490899</v>
      </c>
      <c r="L1029">
        <f t="shared" si="16"/>
        <v>0</v>
      </c>
      <c r="M1029" cm="1">
        <f t="array" ref="M1029">_xlfn.XLOOKUP(TEXT(A1029, "mmm-yy"), TEXT([2]GASOLINE!$B$5:$B$208, "mmm-yy"), [2]GASOLINE!$C$5:$C$208, "Not Found")</f>
        <v>7462.6474498080688</v>
      </c>
      <c r="N1029" cm="1">
        <f t="array" ref="N1029">_xlfn.XLOOKUP(TEXT(A1029, "mmm-yy"), TEXT([2]RUNS!$B$5:$B$208, "mmm-yy"), [2]RUNS!$BM$5:$BM$208, "Not Found")</f>
        <v>0.84705921832358666</v>
      </c>
    </row>
    <row r="1030" spans="1:14" x14ac:dyDescent="0.25">
      <c r="A1030" s="1">
        <f>'[1]Global_Spot Prices'!$B2339</f>
        <v>43445</v>
      </c>
      <c r="B1030">
        <f>_xlfn.XLOOKUP(A1030,'[1]Global_Spot Prices'!$B:$B,'[1]Global_Spot Prices'!$BS:$BS)</f>
        <v>0.56999999999999318</v>
      </c>
      <c r="C1030">
        <f>_xlfn.XLOOKUP(A1030,'[1]Global_Spot Prices'!$B:$B,'[1]Global_Spot Prices'!$E:$E)</f>
        <v>58.34</v>
      </c>
      <c r="D1030">
        <f>_xlfn.XLOOKUP(A1030,'[1]Global_Spot Prices'!$B:$B,'[1]Global_Spot Prices'!$D:$D)</f>
        <v>59.74</v>
      </c>
      <c r="E1030">
        <f>_xlfn.XLOOKUP(A1030,'[1]Global_Spot Prices'!$B:$B,'[1]Global_Spot Prices'!$H:$H)</f>
        <v>51.78</v>
      </c>
      <c r="F1030">
        <f>_xlfn.XLOOKUP(A1030,'[1]Global_Spot Prices'!$B:$B,'[1]Global_Spot Prices'!$I:$I)</f>
        <v>58.91</v>
      </c>
      <c r="G1030" cm="1">
        <f t="array" ref="G1030">_xlfn.XLOOKUP(TEXT(A1030, "mmm-yy"), TEXT([2]RUNS!$B$5:$B$208, "mmm-yy"), [2]RUNS!$D$5:$D$208, "Not Found")</f>
        <v>29775.232701057896</v>
      </c>
      <c r="H1030" cm="1">
        <f t="array" ref="H1030">SUMPRODUCT(
    --(TEXT('[3]Global Weekly Stock (EWSuez'!$B$4:$B$2000,"mmm-yy")=TEXT(A1030,"mmm-yy")),
    '[3]Global Weekly Stock (EWSuez'!$E$4:$E$2000)
/
SUMPRODUCT(
    --(TEXT('[3]Global Weekly Stock (EWSuez'!$B$4:$B$2000,"mmm-yy")=TEXT(A1030,"mmm-yy"))
)</f>
        <v>14202.75</v>
      </c>
      <c r="I1030">
        <f>_xlfn.XLOOKUP(A1030,[1]ForwardDeriv!$D:$D,[1]ForwardDeriv!$AJ:$AJ)</f>
        <v>-0.67999999999999972</v>
      </c>
      <c r="J1030" cm="1">
        <f t="array" ref="J1030">_xlfn.XLOOKUP(TEXT(A1030, "mmm-yy"), TEXT([2]GASOLINE!$B$5:$B$208, "mmm-yy"), [2]GASOLINE!$IR$5:$IR$208, "Not Found")</f>
        <v>39.406406969511579</v>
      </c>
      <c r="K1030" cm="1">
        <f t="array" ref="K1030">_xlfn.XLOOKUP(TEXT(A1030, "mmm-yy"), TEXT([2]GASOLINE!$B$5:$B$208, "mmm-yy"), [2]GASOLINE!$IK$5:$IK$208, "Not Found")</f>
        <v>160.15768264490899</v>
      </c>
      <c r="L1030">
        <f t="shared" si="16"/>
        <v>0</v>
      </c>
      <c r="M1030" cm="1">
        <f t="array" ref="M1030">_xlfn.XLOOKUP(TEXT(A1030, "mmm-yy"), TEXT([2]GASOLINE!$B$5:$B$208, "mmm-yy"), [2]GASOLINE!$C$5:$C$208, "Not Found")</f>
        <v>7462.6474498080688</v>
      </c>
      <c r="N1030" cm="1">
        <f t="array" ref="N1030">_xlfn.XLOOKUP(TEXT(A1030, "mmm-yy"), TEXT([2]RUNS!$B$5:$B$208, "mmm-yy"), [2]RUNS!$BM$5:$BM$208, "Not Found")</f>
        <v>0.84705921832358666</v>
      </c>
    </row>
    <row r="1031" spans="1:14" x14ac:dyDescent="0.25">
      <c r="A1031" s="1">
        <f>'[1]Global_Spot Prices'!$B2340</f>
        <v>43446</v>
      </c>
      <c r="B1031">
        <f>_xlfn.XLOOKUP(A1031,'[1]Global_Spot Prices'!$B:$B,'[1]Global_Spot Prices'!$BS:$BS)</f>
        <v>0.48000000000000398</v>
      </c>
      <c r="C1031">
        <f>_xlfn.XLOOKUP(A1031,'[1]Global_Spot Prices'!$B:$B,'[1]Global_Spot Prices'!$E:$E)</f>
        <v>59.3</v>
      </c>
      <c r="D1031">
        <f>_xlfn.XLOOKUP(A1031,'[1]Global_Spot Prices'!$B:$B,'[1]Global_Spot Prices'!$D:$D)</f>
        <v>60.23</v>
      </c>
      <c r="E1031">
        <f>_xlfn.XLOOKUP(A1031,'[1]Global_Spot Prices'!$B:$B,'[1]Global_Spot Prices'!$H:$H)</f>
        <v>52.75</v>
      </c>
      <c r="F1031">
        <f>_xlfn.XLOOKUP(A1031,'[1]Global_Spot Prices'!$B:$B,'[1]Global_Spot Prices'!$I:$I)</f>
        <v>59.78</v>
      </c>
      <c r="G1031" cm="1">
        <f t="array" ref="G1031">_xlfn.XLOOKUP(TEXT(A1031, "mmm-yy"), TEXT([2]RUNS!$B$5:$B$208, "mmm-yy"), [2]RUNS!$D$5:$D$208, "Not Found")</f>
        <v>29775.232701057896</v>
      </c>
      <c r="H1031" cm="1">
        <f t="array" ref="H1031">SUMPRODUCT(
    --(TEXT('[3]Global Weekly Stock (EWSuez'!$B$4:$B$2000,"mmm-yy")=TEXT(A1031,"mmm-yy")),
    '[3]Global Weekly Stock (EWSuez'!$E$4:$E$2000)
/
SUMPRODUCT(
    --(TEXT('[3]Global Weekly Stock (EWSuez'!$B$4:$B$2000,"mmm-yy")=TEXT(A1031,"mmm-yy"))
)</f>
        <v>14202.75</v>
      </c>
      <c r="I1031">
        <f>_xlfn.XLOOKUP(A1031,[1]ForwardDeriv!$D:$D,[1]ForwardDeriv!$AJ:$AJ)</f>
        <v>-0.71000000000000085</v>
      </c>
      <c r="J1031" cm="1">
        <f t="array" ref="J1031">_xlfn.XLOOKUP(TEXT(A1031, "mmm-yy"), TEXT([2]GASOLINE!$B$5:$B$208, "mmm-yy"), [2]GASOLINE!$IR$5:$IR$208, "Not Found")</f>
        <v>39.406406969511579</v>
      </c>
      <c r="K1031" cm="1">
        <f t="array" ref="K1031">_xlfn.XLOOKUP(TEXT(A1031, "mmm-yy"), TEXT([2]GASOLINE!$B$5:$B$208, "mmm-yy"), [2]GASOLINE!$IK$5:$IK$208, "Not Found")</f>
        <v>160.15768264490899</v>
      </c>
      <c r="L1031">
        <f t="shared" si="16"/>
        <v>0</v>
      </c>
      <c r="M1031" cm="1">
        <f t="array" ref="M1031">_xlfn.XLOOKUP(TEXT(A1031, "mmm-yy"), TEXT([2]GASOLINE!$B$5:$B$208, "mmm-yy"), [2]GASOLINE!$C$5:$C$208, "Not Found")</f>
        <v>7462.6474498080688</v>
      </c>
      <c r="N1031" cm="1">
        <f t="array" ref="N1031">_xlfn.XLOOKUP(TEXT(A1031, "mmm-yy"), TEXT([2]RUNS!$B$5:$B$208, "mmm-yy"), [2]RUNS!$BM$5:$BM$208, "Not Found")</f>
        <v>0.84705921832358666</v>
      </c>
    </row>
    <row r="1032" spans="1:14" x14ac:dyDescent="0.25">
      <c r="A1032" s="1">
        <f>'[1]Global_Spot Prices'!$B2341</f>
        <v>43447</v>
      </c>
      <c r="B1032">
        <f>_xlfn.XLOOKUP(A1032,'[1]Global_Spot Prices'!$B:$B,'[1]Global_Spot Prices'!$BS:$BS)</f>
        <v>7.9999999999998295E-2</v>
      </c>
      <c r="C1032">
        <f>_xlfn.XLOOKUP(A1032,'[1]Global_Spot Prices'!$B:$B,'[1]Global_Spot Prices'!$E:$E)</f>
        <v>58.79</v>
      </c>
      <c r="D1032">
        <f>_xlfn.XLOOKUP(A1032,'[1]Global_Spot Prices'!$B:$B,'[1]Global_Spot Prices'!$D:$D)</f>
        <v>59.3</v>
      </c>
      <c r="E1032">
        <f>_xlfn.XLOOKUP(A1032,'[1]Global_Spot Prices'!$B:$B,'[1]Global_Spot Prices'!$H:$H)</f>
        <v>52.36</v>
      </c>
      <c r="F1032">
        <f>_xlfn.XLOOKUP(A1032,'[1]Global_Spot Prices'!$B:$B,'[1]Global_Spot Prices'!$I:$I)</f>
        <v>58.87</v>
      </c>
      <c r="G1032" cm="1">
        <f t="array" ref="G1032">_xlfn.XLOOKUP(TEXT(A1032, "mmm-yy"), TEXT([2]RUNS!$B$5:$B$208, "mmm-yy"), [2]RUNS!$D$5:$D$208, "Not Found")</f>
        <v>29775.232701057896</v>
      </c>
      <c r="H1032" cm="1">
        <f t="array" ref="H1032">SUMPRODUCT(
    --(TEXT('[3]Global Weekly Stock (EWSuez'!$B$4:$B$2000,"mmm-yy")=TEXT(A1032,"mmm-yy")),
    '[3]Global Weekly Stock (EWSuez'!$E$4:$E$2000)
/
SUMPRODUCT(
    --(TEXT('[3]Global Weekly Stock (EWSuez'!$B$4:$B$2000,"mmm-yy")=TEXT(A1032,"mmm-yy"))
)</f>
        <v>14202.75</v>
      </c>
      <c r="I1032">
        <f>_xlfn.XLOOKUP(A1032,[1]ForwardDeriv!$D:$D,[1]ForwardDeriv!$AJ:$AJ)</f>
        <v>-0.68999999999999773</v>
      </c>
      <c r="J1032" cm="1">
        <f t="array" ref="J1032">_xlfn.XLOOKUP(TEXT(A1032, "mmm-yy"), TEXT([2]GASOLINE!$B$5:$B$208, "mmm-yy"), [2]GASOLINE!$IR$5:$IR$208, "Not Found")</f>
        <v>39.406406969511579</v>
      </c>
      <c r="K1032" cm="1">
        <f t="array" ref="K1032">_xlfn.XLOOKUP(TEXT(A1032, "mmm-yy"), TEXT([2]GASOLINE!$B$5:$B$208, "mmm-yy"), [2]GASOLINE!$IK$5:$IK$208, "Not Found")</f>
        <v>160.15768264490899</v>
      </c>
      <c r="L1032">
        <f t="shared" si="16"/>
        <v>0</v>
      </c>
      <c r="M1032" cm="1">
        <f t="array" ref="M1032">_xlfn.XLOOKUP(TEXT(A1032, "mmm-yy"), TEXT([2]GASOLINE!$B$5:$B$208, "mmm-yy"), [2]GASOLINE!$C$5:$C$208, "Not Found")</f>
        <v>7462.6474498080688</v>
      </c>
      <c r="N1032" cm="1">
        <f t="array" ref="N1032">_xlfn.XLOOKUP(TEXT(A1032, "mmm-yy"), TEXT([2]RUNS!$B$5:$B$208, "mmm-yy"), [2]RUNS!$BM$5:$BM$208, "Not Found")</f>
        <v>0.84705921832358666</v>
      </c>
    </row>
    <row r="1033" spans="1:14" x14ac:dyDescent="0.25">
      <c r="A1033" s="1">
        <f>'[1]Global_Spot Prices'!$B2342</f>
        <v>43448</v>
      </c>
      <c r="B1033">
        <f>_xlfn.XLOOKUP(A1033,'[1]Global_Spot Prices'!$B:$B,'[1]Global_Spot Prices'!$BS:$BS)</f>
        <v>0.81000000000000227</v>
      </c>
      <c r="C1033">
        <f>_xlfn.XLOOKUP(A1033,'[1]Global_Spot Prices'!$B:$B,'[1]Global_Spot Prices'!$E:$E)</f>
        <v>59.65</v>
      </c>
      <c r="D1033">
        <f>_xlfn.XLOOKUP(A1033,'[1]Global_Spot Prices'!$B:$B,'[1]Global_Spot Prices'!$D:$D)</f>
        <v>59.155000000000001</v>
      </c>
      <c r="E1033">
        <f>_xlfn.XLOOKUP(A1033,'[1]Global_Spot Prices'!$B:$B,'[1]Global_Spot Prices'!$H:$H)</f>
        <v>54.25</v>
      </c>
      <c r="F1033">
        <f>_xlfn.XLOOKUP(A1033,'[1]Global_Spot Prices'!$B:$B,'[1]Global_Spot Prices'!$I:$I)</f>
        <v>60.46</v>
      </c>
      <c r="G1033" cm="1">
        <f t="array" ref="G1033">_xlfn.XLOOKUP(TEXT(A1033, "mmm-yy"), TEXT([2]RUNS!$B$5:$B$208, "mmm-yy"), [2]RUNS!$D$5:$D$208, "Not Found")</f>
        <v>29775.232701057896</v>
      </c>
      <c r="H1033" cm="1">
        <f t="array" ref="H1033">SUMPRODUCT(
    --(TEXT('[3]Global Weekly Stock (EWSuez'!$B$4:$B$2000,"mmm-yy")=TEXT(A1033,"mmm-yy")),
    '[3]Global Weekly Stock (EWSuez'!$E$4:$E$2000)
/
SUMPRODUCT(
    --(TEXT('[3]Global Weekly Stock (EWSuez'!$B$4:$B$2000,"mmm-yy")=TEXT(A1033,"mmm-yy"))
)</f>
        <v>14202.75</v>
      </c>
      <c r="I1033">
        <f>_xlfn.XLOOKUP(A1033,[1]ForwardDeriv!$D:$D,[1]ForwardDeriv!$AJ:$AJ)</f>
        <v>-0.67999999999999972</v>
      </c>
      <c r="J1033" cm="1">
        <f t="array" ref="J1033">_xlfn.XLOOKUP(TEXT(A1033, "mmm-yy"), TEXT([2]GASOLINE!$B$5:$B$208, "mmm-yy"), [2]GASOLINE!$IR$5:$IR$208, "Not Found")</f>
        <v>39.406406969511579</v>
      </c>
      <c r="K1033" cm="1">
        <f t="array" ref="K1033">_xlfn.XLOOKUP(TEXT(A1033, "mmm-yy"), TEXT([2]GASOLINE!$B$5:$B$208, "mmm-yy"), [2]GASOLINE!$IK$5:$IK$208, "Not Found")</f>
        <v>160.15768264490899</v>
      </c>
      <c r="L1033">
        <f t="shared" si="16"/>
        <v>0</v>
      </c>
      <c r="M1033" cm="1">
        <f t="array" ref="M1033">_xlfn.XLOOKUP(TEXT(A1033, "mmm-yy"), TEXT([2]GASOLINE!$B$5:$B$208, "mmm-yy"), [2]GASOLINE!$C$5:$C$208, "Not Found")</f>
        <v>7462.6474498080688</v>
      </c>
      <c r="N1033" cm="1">
        <f t="array" ref="N1033">_xlfn.XLOOKUP(TEXT(A1033, "mmm-yy"), TEXT([2]RUNS!$B$5:$B$208, "mmm-yy"), [2]RUNS!$BM$5:$BM$208, "Not Found")</f>
        <v>0.84705921832358666</v>
      </c>
    </row>
    <row r="1034" spans="1:14" x14ac:dyDescent="0.25">
      <c r="A1034" s="1">
        <f>'[1]Global_Spot Prices'!$B2343</f>
        <v>43451</v>
      </c>
      <c r="B1034">
        <f>_xlfn.XLOOKUP(A1034,'[1]Global_Spot Prices'!$B:$B,'[1]Global_Spot Prices'!$BS:$BS)</f>
        <v>0.65999999999999659</v>
      </c>
      <c r="C1034">
        <f>_xlfn.XLOOKUP(A1034,'[1]Global_Spot Prices'!$B:$B,'[1]Global_Spot Prices'!$E:$E)</f>
        <v>58.96</v>
      </c>
      <c r="D1034">
        <f>_xlfn.XLOOKUP(A1034,'[1]Global_Spot Prices'!$B:$B,'[1]Global_Spot Prices'!$D:$D)</f>
        <v>58.17</v>
      </c>
      <c r="E1034">
        <f>_xlfn.XLOOKUP(A1034,'[1]Global_Spot Prices'!$B:$B,'[1]Global_Spot Prices'!$H:$H)</f>
        <v>53.48</v>
      </c>
      <c r="F1034">
        <f>_xlfn.XLOOKUP(A1034,'[1]Global_Spot Prices'!$B:$B,'[1]Global_Spot Prices'!$I:$I)</f>
        <v>59.62</v>
      </c>
      <c r="G1034" cm="1">
        <f t="array" ref="G1034">_xlfn.XLOOKUP(TEXT(A1034, "mmm-yy"), TEXT([2]RUNS!$B$5:$B$208, "mmm-yy"), [2]RUNS!$D$5:$D$208, "Not Found")</f>
        <v>29775.232701057896</v>
      </c>
      <c r="H1034" cm="1">
        <f t="array" ref="H1034">SUMPRODUCT(
    --(TEXT('[3]Global Weekly Stock (EWSuez'!$B$4:$B$2000,"mmm-yy")=TEXT(A1034,"mmm-yy")),
    '[3]Global Weekly Stock (EWSuez'!$E$4:$E$2000)
/
SUMPRODUCT(
    --(TEXT('[3]Global Weekly Stock (EWSuez'!$B$4:$B$2000,"mmm-yy")=TEXT(A1034,"mmm-yy"))
)</f>
        <v>14202.75</v>
      </c>
      <c r="I1034">
        <f>_xlfn.XLOOKUP(A1034,[1]ForwardDeriv!$D:$D,[1]ForwardDeriv!$AJ:$AJ)</f>
        <v>-0.67999999999999972</v>
      </c>
      <c r="J1034" cm="1">
        <f t="array" ref="J1034">_xlfn.XLOOKUP(TEXT(A1034, "mmm-yy"), TEXT([2]GASOLINE!$B$5:$B$208, "mmm-yy"), [2]GASOLINE!$IR$5:$IR$208, "Not Found")</f>
        <v>39.406406969511579</v>
      </c>
      <c r="K1034" cm="1">
        <f t="array" ref="K1034">_xlfn.XLOOKUP(TEXT(A1034, "mmm-yy"), TEXT([2]GASOLINE!$B$5:$B$208, "mmm-yy"), [2]GASOLINE!$IK$5:$IK$208, "Not Found")</f>
        <v>160.15768264490899</v>
      </c>
      <c r="L1034">
        <f t="shared" si="16"/>
        <v>0</v>
      </c>
      <c r="M1034" cm="1">
        <f t="array" ref="M1034">_xlfn.XLOOKUP(TEXT(A1034, "mmm-yy"), TEXT([2]GASOLINE!$B$5:$B$208, "mmm-yy"), [2]GASOLINE!$C$5:$C$208, "Not Found")</f>
        <v>7462.6474498080688</v>
      </c>
      <c r="N1034" cm="1">
        <f t="array" ref="N1034">_xlfn.XLOOKUP(TEXT(A1034, "mmm-yy"), TEXT([2]RUNS!$B$5:$B$208, "mmm-yy"), [2]RUNS!$BM$5:$BM$208, "Not Found")</f>
        <v>0.84705921832358666</v>
      </c>
    </row>
    <row r="1035" spans="1:14" x14ac:dyDescent="0.25">
      <c r="A1035" s="1">
        <f>'[1]Global_Spot Prices'!$B2344</f>
        <v>43452</v>
      </c>
      <c r="B1035">
        <f>_xlfn.XLOOKUP(A1035,'[1]Global_Spot Prices'!$B:$B,'[1]Global_Spot Prices'!$BS:$BS)</f>
        <v>0.75</v>
      </c>
      <c r="C1035">
        <f>_xlfn.XLOOKUP(A1035,'[1]Global_Spot Prices'!$B:$B,'[1]Global_Spot Prices'!$E:$E)</f>
        <v>57.2</v>
      </c>
      <c r="D1035">
        <f>_xlfn.XLOOKUP(A1035,'[1]Global_Spot Prices'!$B:$B,'[1]Global_Spot Prices'!$D:$D)</f>
        <v>55.475000000000001</v>
      </c>
      <c r="E1035">
        <f>_xlfn.XLOOKUP(A1035,'[1]Global_Spot Prices'!$B:$B,'[1]Global_Spot Prices'!$H:$H)</f>
        <v>51.73</v>
      </c>
      <c r="F1035">
        <f>_xlfn.XLOOKUP(A1035,'[1]Global_Spot Prices'!$B:$B,'[1]Global_Spot Prices'!$I:$I)</f>
        <v>57.95</v>
      </c>
      <c r="G1035" cm="1">
        <f t="array" ref="G1035">_xlfn.XLOOKUP(TEXT(A1035, "mmm-yy"), TEXT([2]RUNS!$B$5:$B$208, "mmm-yy"), [2]RUNS!$D$5:$D$208, "Not Found")</f>
        <v>29775.232701057896</v>
      </c>
      <c r="H1035" cm="1">
        <f t="array" ref="H1035">SUMPRODUCT(
    --(TEXT('[3]Global Weekly Stock (EWSuez'!$B$4:$B$2000,"mmm-yy")=TEXT(A1035,"mmm-yy")),
    '[3]Global Weekly Stock (EWSuez'!$E$4:$E$2000)
/
SUMPRODUCT(
    --(TEXT('[3]Global Weekly Stock (EWSuez'!$B$4:$B$2000,"mmm-yy")=TEXT(A1035,"mmm-yy"))
)</f>
        <v>14202.75</v>
      </c>
      <c r="I1035">
        <f>_xlfn.XLOOKUP(A1035,[1]ForwardDeriv!$D:$D,[1]ForwardDeriv!$AJ:$AJ)</f>
        <v>-0.68999999999999773</v>
      </c>
      <c r="J1035" cm="1">
        <f t="array" ref="J1035">_xlfn.XLOOKUP(TEXT(A1035, "mmm-yy"), TEXT([2]GASOLINE!$B$5:$B$208, "mmm-yy"), [2]GASOLINE!$IR$5:$IR$208, "Not Found")</f>
        <v>39.406406969511579</v>
      </c>
      <c r="K1035" cm="1">
        <f t="array" ref="K1035">_xlfn.XLOOKUP(TEXT(A1035, "mmm-yy"), TEXT([2]GASOLINE!$B$5:$B$208, "mmm-yy"), [2]GASOLINE!$IK$5:$IK$208, "Not Found")</f>
        <v>160.15768264490899</v>
      </c>
      <c r="L1035">
        <f t="shared" si="16"/>
        <v>0</v>
      </c>
      <c r="M1035" cm="1">
        <f t="array" ref="M1035">_xlfn.XLOOKUP(TEXT(A1035, "mmm-yy"), TEXT([2]GASOLINE!$B$5:$B$208, "mmm-yy"), [2]GASOLINE!$C$5:$C$208, "Not Found")</f>
        <v>7462.6474498080688</v>
      </c>
      <c r="N1035" cm="1">
        <f t="array" ref="N1035">_xlfn.XLOOKUP(TEXT(A1035, "mmm-yy"), TEXT([2]RUNS!$B$5:$B$208, "mmm-yy"), [2]RUNS!$BM$5:$BM$208, "Not Found")</f>
        <v>0.84705921832358666</v>
      </c>
    </row>
    <row r="1036" spans="1:14" x14ac:dyDescent="0.25">
      <c r="A1036" s="1">
        <f>'[1]Global_Spot Prices'!$B2345</f>
        <v>43453</v>
      </c>
      <c r="B1036">
        <f>_xlfn.XLOOKUP(A1036,'[1]Global_Spot Prices'!$B:$B,'[1]Global_Spot Prices'!$BS:$BS)</f>
        <v>0.78000000000000114</v>
      </c>
      <c r="C1036">
        <f>_xlfn.XLOOKUP(A1036,'[1]Global_Spot Prices'!$B:$B,'[1]Global_Spot Prices'!$E:$E)</f>
        <v>55.15</v>
      </c>
      <c r="D1036">
        <f>_xlfn.XLOOKUP(A1036,'[1]Global_Spot Prices'!$B:$B,'[1]Global_Spot Prices'!$D:$D)</f>
        <v>55.83</v>
      </c>
      <c r="E1036">
        <f>_xlfn.XLOOKUP(A1036,'[1]Global_Spot Prices'!$B:$B,'[1]Global_Spot Prices'!$H:$H)</f>
        <v>50.09</v>
      </c>
      <c r="F1036">
        <f>_xlfn.XLOOKUP(A1036,'[1]Global_Spot Prices'!$B:$B,'[1]Global_Spot Prices'!$I:$I)</f>
        <v>55.93</v>
      </c>
      <c r="G1036" cm="1">
        <f t="array" ref="G1036">_xlfn.XLOOKUP(TEXT(A1036, "mmm-yy"), TEXT([2]RUNS!$B$5:$B$208, "mmm-yy"), [2]RUNS!$D$5:$D$208, "Not Found")</f>
        <v>29775.232701057896</v>
      </c>
      <c r="H1036" cm="1">
        <f t="array" ref="H1036">SUMPRODUCT(
    --(TEXT('[3]Global Weekly Stock (EWSuez'!$B$4:$B$2000,"mmm-yy")=TEXT(A1036,"mmm-yy")),
    '[3]Global Weekly Stock (EWSuez'!$E$4:$E$2000)
/
SUMPRODUCT(
    --(TEXT('[3]Global Weekly Stock (EWSuez'!$B$4:$B$2000,"mmm-yy")=TEXT(A1036,"mmm-yy"))
)</f>
        <v>14202.75</v>
      </c>
      <c r="I1036">
        <f>_xlfn.XLOOKUP(A1036,[1]ForwardDeriv!$D:$D,[1]ForwardDeriv!$AJ:$AJ)</f>
        <v>-0.68999999999999773</v>
      </c>
      <c r="J1036" cm="1">
        <f t="array" ref="J1036">_xlfn.XLOOKUP(TEXT(A1036, "mmm-yy"), TEXT([2]GASOLINE!$B$5:$B$208, "mmm-yy"), [2]GASOLINE!$IR$5:$IR$208, "Not Found")</f>
        <v>39.406406969511579</v>
      </c>
      <c r="K1036" cm="1">
        <f t="array" ref="K1036">_xlfn.XLOOKUP(TEXT(A1036, "mmm-yy"), TEXT([2]GASOLINE!$B$5:$B$208, "mmm-yy"), [2]GASOLINE!$IK$5:$IK$208, "Not Found")</f>
        <v>160.15768264490899</v>
      </c>
      <c r="L1036">
        <f t="shared" si="16"/>
        <v>0</v>
      </c>
      <c r="M1036" cm="1">
        <f t="array" ref="M1036">_xlfn.XLOOKUP(TEXT(A1036, "mmm-yy"), TEXT([2]GASOLINE!$B$5:$B$208, "mmm-yy"), [2]GASOLINE!$C$5:$C$208, "Not Found")</f>
        <v>7462.6474498080688</v>
      </c>
      <c r="N1036" cm="1">
        <f t="array" ref="N1036">_xlfn.XLOOKUP(TEXT(A1036, "mmm-yy"), TEXT([2]RUNS!$B$5:$B$208, "mmm-yy"), [2]RUNS!$BM$5:$BM$208, "Not Found")</f>
        <v>0.84705921832358666</v>
      </c>
    </row>
    <row r="1037" spans="1:14" x14ac:dyDescent="0.25">
      <c r="A1037" s="1">
        <f>'[1]Global_Spot Prices'!$B2346</f>
        <v>43454</v>
      </c>
      <c r="B1037">
        <f>_xlfn.XLOOKUP(A1037,'[1]Global_Spot Prices'!$B:$B,'[1]Global_Spot Prices'!$BS:$BS)</f>
        <v>0.72999999999999687</v>
      </c>
      <c r="C1037">
        <f>_xlfn.XLOOKUP(A1037,'[1]Global_Spot Prices'!$B:$B,'[1]Global_Spot Prices'!$E:$E)</f>
        <v>54.45</v>
      </c>
      <c r="D1037">
        <f>_xlfn.XLOOKUP(A1037,'[1]Global_Spot Prices'!$B:$B,'[1]Global_Spot Prices'!$D:$D)</f>
        <v>52.965000000000003</v>
      </c>
      <c r="E1037">
        <f>_xlfn.XLOOKUP(A1037,'[1]Global_Spot Prices'!$B:$B,'[1]Global_Spot Prices'!$H:$H)</f>
        <v>49.71</v>
      </c>
      <c r="F1037">
        <f>_xlfn.XLOOKUP(A1037,'[1]Global_Spot Prices'!$B:$B,'[1]Global_Spot Prices'!$I:$I)</f>
        <v>55.18</v>
      </c>
      <c r="G1037" cm="1">
        <f t="array" ref="G1037">_xlfn.XLOOKUP(TEXT(A1037, "mmm-yy"), TEXT([2]RUNS!$B$5:$B$208, "mmm-yy"), [2]RUNS!$D$5:$D$208, "Not Found")</f>
        <v>29775.232701057896</v>
      </c>
      <c r="H1037" cm="1">
        <f t="array" ref="H1037">SUMPRODUCT(
    --(TEXT('[3]Global Weekly Stock (EWSuez'!$B$4:$B$2000,"mmm-yy")=TEXT(A1037,"mmm-yy")),
    '[3]Global Weekly Stock (EWSuez'!$E$4:$E$2000)
/
SUMPRODUCT(
    --(TEXT('[3]Global Weekly Stock (EWSuez'!$B$4:$B$2000,"mmm-yy")=TEXT(A1037,"mmm-yy"))
)</f>
        <v>14202.75</v>
      </c>
      <c r="I1037">
        <f>_xlfn.XLOOKUP(A1037,[1]ForwardDeriv!$D:$D,[1]ForwardDeriv!$AJ:$AJ)</f>
        <v>-0.69000000000000483</v>
      </c>
      <c r="J1037" cm="1">
        <f t="array" ref="J1037">_xlfn.XLOOKUP(TEXT(A1037, "mmm-yy"), TEXT([2]GASOLINE!$B$5:$B$208, "mmm-yy"), [2]GASOLINE!$IR$5:$IR$208, "Not Found")</f>
        <v>39.406406969511579</v>
      </c>
      <c r="K1037" cm="1">
        <f t="array" ref="K1037">_xlfn.XLOOKUP(TEXT(A1037, "mmm-yy"), TEXT([2]GASOLINE!$B$5:$B$208, "mmm-yy"), [2]GASOLINE!$IK$5:$IK$208, "Not Found")</f>
        <v>160.15768264490899</v>
      </c>
      <c r="L1037">
        <f t="shared" si="16"/>
        <v>0</v>
      </c>
      <c r="M1037" cm="1">
        <f t="array" ref="M1037">_xlfn.XLOOKUP(TEXT(A1037, "mmm-yy"), TEXT([2]GASOLINE!$B$5:$B$208, "mmm-yy"), [2]GASOLINE!$C$5:$C$208, "Not Found")</f>
        <v>7462.6474498080688</v>
      </c>
      <c r="N1037" cm="1">
        <f t="array" ref="N1037">_xlfn.XLOOKUP(TEXT(A1037, "mmm-yy"), TEXT([2]RUNS!$B$5:$B$208, "mmm-yy"), [2]RUNS!$BM$5:$BM$208, "Not Found")</f>
        <v>0.84705921832358666</v>
      </c>
    </row>
    <row r="1038" spans="1:14" x14ac:dyDescent="0.25">
      <c r="A1038" s="1">
        <f>'[1]Global_Spot Prices'!$B2347</f>
        <v>43455</v>
      </c>
      <c r="B1038">
        <f>_xlfn.XLOOKUP(A1038,'[1]Global_Spot Prices'!$B:$B,'[1]Global_Spot Prices'!$BS:$BS)</f>
        <v>0.58999999999999631</v>
      </c>
      <c r="C1038">
        <f>_xlfn.XLOOKUP(A1038,'[1]Global_Spot Prices'!$B:$B,'[1]Global_Spot Prices'!$E:$E)</f>
        <v>53.56</v>
      </c>
      <c r="D1038">
        <f>_xlfn.XLOOKUP(A1038,'[1]Global_Spot Prices'!$B:$B,'[1]Global_Spot Prices'!$D:$D)</f>
        <v>51.23</v>
      </c>
      <c r="E1038">
        <f>_xlfn.XLOOKUP(A1038,'[1]Global_Spot Prices'!$B:$B,'[1]Global_Spot Prices'!$H:$H)</f>
        <v>49.53</v>
      </c>
      <c r="F1038">
        <f>_xlfn.XLOOKUP(A1038,'[1]Global_Spot Prices'!$B:$B,'[1]Global_Spot Prices'!$I:$I)</f>
        <v>54.15</v>
      </c>
      <c r="G1038" cm="1">
        <f t="array" ref="G1038">_xlfn.XLOOKUP(TEXT(A1038, "mmm-yy"), TEXT([2]RUNS!$B$5:$B$208, "mmm-yy"), [2]RUNS!$D$5:$D$208, "Not Found")</f>
        <v>29775.232701057896</v>
      </c>
      <c r="H1038" cm="1">
        <f t="array" ref="H1038">SUMPRODUCT(
    --(TEXT('[3]Global Weekly Stock (EWSuez'!$B$4:$B$2000,"mmm-yy")=TEXT(A1038,"mmm-yy")),
    '[3]Global Weekly Stock (EWSuez'!$E$4:$E$2000)
/
SUMPRODUCT(
    --(TEXT('[3]Global Weekly Stock (EWSuez'!$B$4:$B$2000,"mmm-yy")=TEXT(A1038,"mmm-yy"))
)</f>
        <v>14202.75</v>
      </c>
      <c r="I1038">
        <f>_xlfn.XLOOKUP(A1038,[1]ForwardDeriv!$D:$D,[1]ForwardDeriv!$AJ:$AJ)</f>
        <v>-0.68999999999999773</v>
      </c>
      <c r="J1038" cm="1">
        <f t="array" ref="J1038">_xlfn.XLOOKUP(TEXT(A1038, "mmm-yy"), TEXT([2]GASOLINE!$B$5:$B$208, "mmm-yy"), [2]GASOLINE!$IR$5:$IR$208, "Not Found")</f>
        <v>39.406406969511579</v>
      </c>
      <c r="K1038" cm="1">
        <f t="array" ref="K1038">_xlfn.XLOOKUP(TEXT(A1038, "mmm-yy"), TEXT([2]GASOLINE!$B$5:$B$208, "mmm-yy"), [2]GASOLINE!$IK$5:$IK$208, "Not Found")</f>
        <v>160.15768264490899</v>
      </c>
      <c r="L1038">
        <f t="shared" si="16"/>
        <v>0</v>
      </c>
      <c r="M1038" cm="1">
        <f t="array" ref="M1038">_xlfn.XLOOKUP(TEXT(A1038, "mmm-yy"), TEXT([2]GASOLINE!$B$5:$B$208, "mmm-yy"), [2]GASOLINE!$C$5:$C$208, "Not Found")</f>
        <v>7462.6474498080688</v>
      </c>
      <c r="N1038" cm="1">
        <f t="array" ref="N1038">_xlfn.XLOOKUP(TEXT(A1038, "mmm-yy"), TEXT([2]RUNS!$B$5:$B$208, "mmm-yy"), [2]RUNS!$BM$5:$BM$208, "Not Found")</f>
        <v>0.84705921832358666</v>
      </c>
    </row>
    <row r="1039" spans="1:14" x14ac:dyDescent="0.25">
      <c r="A1039" s="1">
        <f>'[1]Global_Spot Prices'!$B2348</f>
        <v>43458</v>
      </c>
      <c r="B1039" t="e">
        <f>_xlfn.XLOOKUP(A1039,'[1]Global_Spot Prices'!$B:$B,'[1]Global_Spot Prices'!$BS:$BS)</f>
        <v>#N/A</v>
      </c>
      <c r="C1039" t="str">
        <f>_xlfn.XLOOKUP(A1039,'[1]Global_Spot Prices'!$B:$B,'[1]Global_Spot Prices'!$E:$E)</f>
        <v/>
      </c>
      <c r="D1039" t="str">
        <f>_xlfn.XLOOKUP(A1039,'[1]Global_Spot Prices'!$B:$B,'[1]Global_Spot Prices'!$D:$D)</f>
        <v/>
      </c>
      <c r="E1039">
        <f>_xlfn.XLOOKUP(A1039,'[1]Global_Spot Prices'!$B:$B,'[1]Global_Spot Prices'!$H:$H)</f>
        <v>0</v>
      </c>
      <c r="F1039">
        <f>_xlfn.XLOOKUP(A1039,'[1]Global_Spot Prices'!$B:$B,'[1]Global_Spot Prices'!$I:$I)</f>
        <v>0</v>
      </c>
      <c r="G1039" cm="1">
        <f t="array" ref="G1039">_xlfn.XLOOKUP(TEXT(A1039, "mmm-yy"), TEXT([2]RUNS!$B$5:$B$208, "mmm-yy"), [2]RUNS!$D$5:$D$208, "Not Found")</f>
        <v>29775.232701057896</v>
      </c>
      <c r="H1039" cm="1">
        <f t="array" ref="H1039">SUMPRODUCT(
    --(TEXT('[3]Global Weekly Stock (EWSuez'!$B$4:$B$2000,"mmm-yy")=TEXT(A1039,"mmm-yy")),
    '[3]Global Weekly Stock (EWSuez'!$E$4:$E$2000)
/
SUMPRODUCT(
    --(TEXT('[3]Global Weekly Stock (EWSuez'!$B$4:$B$2000,"mmm-yy")=TEXT(A1039,"mmm-yy"))
)</f>
        <v>14202.75</v>
      </c>
      <c r="I1039">
        <f>_xlfn.XLOOKUP(A1039,[1]ForwardDeriv!$D:$D,[1]ForwardDeriv!$AJ:$AJ)</f>
        <v>-0.67999999999999972</v>
      </c>
      <c r="J1039" cm="1">
        <f t="array" ref="J1039">_xlfn.XLOOKUP(TEXT(A1039, "mmm-yy"), TEXT([2]GASOLINE!$B$5:$B$208, "mmm-yy"), [2]GASOLINE!$IR$5:$IR$208, "Not Found")</f>
        <v>39.406406969511579</v>
      </c>
      <c r="K1039" cm="1">
        <f t="array" ref="K1039">_xlfn.XLOOKUP(TEXT(A1039, "mmm-yy"), TEXT([2]GASOLINE!$B$5:$B$208, "mmm-yy"), [2]GASOLINE!$IK$5:$IK$208, "Not Found")</f>
        <v>160.15768264490899</v>
      </c>
      <c r="L1039">
        <f t="shared" si="16"/>
        <v>0</v>
      </c>
      <c r="M1039" cm="1">
        <f t="array" ref="M1039">_xlfn.XLOOKUP(TEXT(A1039, "mmm-yy"), TEXT([2]GASOLINE!$B$5:$B$208, "mmm-yy"), [2]GASOLINE!$C$5:$C$208, "Not Found")</f>
        <v>7462.6474498080688</v>
      </c>
      <c r="N1039" cm="1">
        <f t="array" ref="N1039">_xlfn.XLOOKUP(TEXT(A1039, "mmm-yy"), TEXT([2]RUNS!$B$5:$B$208, "mmm-yy"), [2]RUNS!$BM$5:$BM$208, "Not Found")</f>
        <v>0.84705921832358666</v>
      </c>
    </row>
    <row r="1040" spans="1:14" x14ac:dyDescent="0.25">
      <c r="A1040" s="1">
        <f>'[1]Global_Spot Prices'!$B2349</f>
        <v>43459</v>
      </c>
      <c r="B1040" t="e">
        <f>_xlfn.XLOOKUP(A1040,'[1]Global_Spot Prices'!$B:$B,'[1]Global_Spot Prices'!$BS:$BS)</f>
        <v>#N/A</v>
      </c>
      <c r="C1040" t="str">
        <f>_xlfn.XLOOKUP(A1040,'[1]Global_Spot Prices'!$B:$B,'[1]Global_Spot Prices'!$E:$E)</f>
        <v/>
      </c>
      <c r="D1040" t="str">
        <f>_xlfn.XLOOKUP(A1040,'[1]Global_Spot Prices'!$B:$B,'[1]Global_Spot Prices'!$D:$D)</f>
        <v/>
      </c>
      <c r="E1040">
        <f>_xlfn.XLOOKUP(A1040,'[1]Global_Spot Prices'!$B:$B,'[1]Global_Spot Prices'!$H:$H)</f>
        <v>0</v>
      </c>
      <c r="F1040">
        <f>_xlfn.XLOOKUP(A1040,'[1]Global_Spot Prices'!$B:$B,'[1]Global_Spot Prices'!$I:$I)</f>
        <v>0</v>
      </c>
      <c r="G1040" cm="1">
        <f t="array" ref="G1040">_xlfn.XLOOKUP(TEXT(A1040, "mmm-yy"), TEXT([2]RUNS!$B$5:$B$208, "mmm-yy"), [2]RUNS!$D$5:$D$208, "Not Found")</f>
        <v>29775.232701057896</v>
      </c>
      <c r="H1040" cm="1">
        <f t="array" ref="H1040">SUMPRODUCT(
    --(TEXT('[3]Global Weekly Stock (EWSuez'!$B$4:$B$2000,"mmm-yy")=TEXT(A1040,"mmm-yy")),
    '[3]Global Weekly Stock (EWSuez'!$E$4:$E$2000)
/
SUMPRODUCT(
    --(TEXT('[3]Global Weekly Stock (EWSuez'!$B$4:$B$2000,"mmm-yy")=TEXT(A1040,"mmm-yy"))
)</f>
        <v>14202.75</v>
      </c>
      <c r="I1040">
        <f>_xlfn.XLOOKUP(A1040,[1]ForwardDeriv!$D:$D,[1]ForwardDeriv!$AJ:$AJ)</f>
        <v>-0.67999999999999972</v>
      </c>
      <c r="J1040" cm="1">
        <f t="array" ref="J1040">_xlfn.XLOOKUP(TEXT(A1040, "mmm-yy"), TEXT([2]GASOLINE!$B$5:$B$208, "mmm-yy"), [2]GASOLINE!$IR$5:$IR$208, "Not Found")</f>
        <v>39.406406969511579</v>
      </c>
      <c r="K1040" cm="1">
        <f t="array" ref="K1040">_xlfn.XLOOKUP(TEXT(A1040, "mmm-yy"), TEXT([2]GASOLINE!$B$5:$B$208, "mmm-yy"), [2]GASOLINE!$IK$5:$IK$208, "Not Found")</f>
        <v>160.15768264490899</v>
      </c>
      <c r="L1040">
        <f t="shared" si="16"/>
        <v>0</v>
      </c>
      <c r="M1040" cm="1">
        <f t="array" ref="M1040">_xlfn.XLOOKUP(TEXT(A1040, "mmm-yy"), TEXT([2]GASOLINE!$B$5:$B$208, "mmm-yy"), [2]GASOLINE!$C$5:$C$208, "Not Found")</f>
        <v>7462.6474498080688</v>
      </c>
      <c r="N1040" cm="1">
        <f t="array" ref="N1040">_xlfn.XLOOKUP(TEXT(A1040, "mmm-yy"), TEXT([2]RUNS!$B$5:$B$208, "mmm-yy"), [2]RUNS!$BM$5:$BM$208, "Not Found")</f>
        <v>0.84705921832358666</v>
      </c>
    </row>
    <row r="1041" spans="1:14" x14ac:dyDescent="0.25">
      <c r="A1041" s="1">
        <f>'[1]Global_Spot Prices'!$B2350</f>
        <v>43460</v>
      </c>
      <c r="B1041">
        <f>_xlfn.XLOOKUP(A1041,'[1]Global_Spot Prices'!$B:$B,'[1]Global_Spot Prices'!$BS:$BS)</f>
        <v>1.8100000000000023</v>
      </c>
      <c r="C1041">
        <f>_xlfn.XLOOKUP(A1041,'[1]Global_Spot Prices'!$B:$B,'[1]Global_Spot Prices'!$E:$E)</f>
        <v>49.5</v>
      </c>
      <c r="D1041" t="str">
        <f>_xlfn.XLOOKUP(A1041,'[1]Global_Spot Prices'!$B:$B,'[1]Global_Spot Prices'!$D:$D)</f>
        <v/>
      </c>
      <c r="E1041">
        <f>_xlfn.XLOOKUP(A1041,'[1]Global_Spot Prices'!$B:$B,'[1]Global_Spot Prices'!$H:$H)</f>
        <v>45.86</v>
      </c>
      <c r="F1041">
        <f>_xlfn.XLOOKUP(A1041,'[1]Global_Spot Prices'!$B:$B,'[1]Global_Spot Prices'!$I:$I)</f>
        <v>51.31</v>
      </c>
      <c r="G1041" cm="1">
        <f t="array" ref="G1041">_xlfn.XLOOKUP(TEXT(A1041, "mmm-yy"), TEXT([2]RUNS!$B$5:$B$208, "mmm-yy"), [2]RUNS!$D$5:$D$208, "Not Found")</f>
        <v>29775.232701057896</v>
      </c>
      <c r="H1041" cm="1">
        <f t="array" ref="H1041">SUMPRODUCT(
    --(TEXT('[3]Global Weekly Stock (EWSuez'!$B$4:$B$2000,"mmm-yy")=TEXT(A1041,"mmm-yy")),
    '[3]Global Weekly Stock (EWSuez'!$E$4:$E$2000)
/
SUMPRODUCT(
    --(TEXT('[3]Global Weekly Stock (EWSuez'!$B$4:$B$2000,"mmm-yy")=TEXT(A1041,"mmm-yy"))
)</f>
        <v>14202.75</v>
      </c>
      <c r="I1041">
        <f>_xlfn.XLOOKUP(A1041,[1]ForwardDeriv!$D:$D,[1]ForwardDeriv!$AJ:$AJ)</f>
        <v>-0.67999999999999972</v>
      </c>
      <c r="J1041" cm="1">
        <f t="array" ref="J1041">_xlfn.XLOOKUP(TEXT(A1041, "mmm-yy"), TEXT([2]GASOLINE!$B$5:$B$208, "mmm-yy"), [2]GASOLINE!$IR$5:$IR$208, "Not Found")</f>
        <v>39.406406969511579</v>
      </c>
      <c r="K1041" cm="1">
        <f t="array" ref="K1041">_xlfn.XLOOKUP(TEXT(A1041, "mmm-yy"), TEXT([2]GASOLINE!$B$5:$B$208, "mmm-yy"), [2]GASOLINE!$IK$5:$IK$208, "Not Found")</f>
        <v>160.15768264490899</v>
      </c>
      <c r="L1041">
        <f t="shared" si="16"/>
        <v>0</v>
      </c>
      <c r="M1041" cm="1">
        <f t="array" ref="M1041">_xlfn.XLOOKUP(TEXT(A1041, "mmm-yy"), TEXT([2]GASOLINE!$B$5:$B$208, "mmm-yy"), [2]GASOLINE!$C$5:$C$208, "Not Found")</f>
        <v>7462.6474498080688</v>
      </c>
      <c r="N1041" cm="1">
        <f t="array" ref="N1041">_xlfn.XLOOKUP(TEXT(A1041, "mmm-yy"), TEXT([2]RUNS!$B$5:$B$208, "mmm-yy"), [2]RUNS!$BM$5:$BM$208, "Not Found")</f>
        <v>0.84705921832358666</v>
      </c>
    </row>
    <row r="1042" spans="1:14" x14ac:dyDescent="0.25">
      <c r="A1042" s="1">
        <f>'[1]Global_Spot Prices'!$B2351</f>
        <v>43461</v>
      </c>
      <c r="B1042">
        <f>_xlfn.XLOOKUP(A1042,'[1]Global_Spot Prices'!$B:$B,'[1]Global_Spot Prices'!$BS:$BS)</f>
        <v>1.0899999999999963</v>
      </c>
      <c r="C1042">
        <f>_xlfn.XLOOKUP(A1042,'[1]Global_Spot Prices'!$B:$B,'[1]Global_Spot Prices'!$E:$E)</f>
        <v>53.1</v>
      </c>
      <c r="D1042">
        <f>_xlfn.XLOOKUP(A1042,'[1]Global_Spot Prices'!$B:$B,'[1]Global_Spot Prices'!$D:$D)</f>
        <v>51.585000000000001</v>
      </c>
      <c r="E1042">
        <f>_xlfn.XLOOKUP(A1042,'[1]Global_Spot Prices'!$B:$B,'[1]Global_Spot Prices'!$H:$H)</f>
        <v>48.89</v>
      </c>
      <c r="F1042">
        <f>_xlfn.XLOOKUP(A1042,'[1]Global_Spot Prices'!$B:$B,'[1]Global_Spot Prices'!$I:$I)</f>
        <v>54.19</v>
      </c>
      <c r="G1042" cm="1">
        <f t="array" ref="G1042">_xlfn.XLOOKUP(TEXT(A1042, "mmm-yy"), TEXT([2]RUNS!$B$5:$B$208, "mmm-yy"), [2]RUNS!$D$5:$D$208, "Not Found")</f>
        <v>29775.232701057896</v>
      </c>
      <c r="H1042" cm="1">
        <f t="array" ref="H1042">SUMPRODUCT(
    --(TEXT('[3]Global Weekly Stock (EWSuez'!$B$4:$B$2000,"mmm-yy")=TEXT(A1042,"mmm-yy")),
    '[3]Global Weekly Stock (EWSuez'!$E$4:$E$2000)
/
SUMPRODUCT(
    --(TEXT('[3]Global Weekly Stock (EWSuez'!$B$4:$B$2000,"mmm-yy")=TEXT(A1042,"mmm-yy"))
)</f>
        <v>14202.75</v>
      </c>
      <c r="I1042">
        <f>_xlfn.XLOOKUP(A1042,[1]ForwardDeriv!$D:$D,[1]ForwardDeriv!$AJ:$AJ)</f>
        <v>-0.67000000000000171</v>
      </c>
      <c r="J1042" cm="1">
        <f t="array" ref="J1042">_xlfn.XLOOKUP(TEXT(A1042, "mmm-yy"), TEXT([2]GASOLINE!$B$5:$B$208, "mmm-yy"), [2]GASOLINE!$IR$5:$IR$208, "Not Found")</f>
        <v>39.406406969511579</v>
      </c>
      <c r="K1042" cm="1">
        <f t="array" ref="K1042">_xlfn.XLOOKUP(TEXT(A1042, "mmm-yy"), TEXT([2]GASOLINE!$B$5:$B$208, "mmm-yy"), [2]GASOLINE!$IK$5:$IK$208, "Not Found")</f>
        <v>160.15768264490899</v>
      </c>
      <c r="L1042">
        <f t="shared" si="16"/>
        <v>0</v>
      </c>
      <c r="M1042" cm="1">
        <f t="array" ref="M1042">_xlfn.XLOOKUP(TEXT(A1042, "mmm-yy"), TEXT([2]GASOLINE!$B$5:$B$208, "mmm-yy"), [2]GASOLINE!$C$5:$C$208, "Not Found")</f>
        <v>7462.6474498080688</v>
      </c>
      <c r="N1042" cm="1">
        <f t="array" ref="N1042">_xlfn.XLOOKUP(TEXT(A1042, "mmm-yy"), TEXT([2]RUNS!$B$5:$B$208, "mmm-yy"), [2]RUNS!$BM$5:$BM$208, "Not Found")</f>
        <v>0.84705921832358666</v>
      </c>
    </row>
    <row r="1043" spans="1:14" x14ac:dyDescent="0.25">
      <c r="A1043" s="1">
        <f>'[1]Global_Spot Prices'!$B2352</f>
        <v>43462</v>
      </c>
      <c r="B1043">
        <f>_xlfn.XLOOKUP(A1043,'[1]Global_Spot Prices'!$B:$B,'[1]Global_Spot Prices'!$BS:$BS)</f>
        <v>0.92999999999999972</v>
      </c>
      <c r="C1043">
        <f>_xlfn.XLOOKUP(A1043,'[1]Global_Spot Prices'!$B:$B,'[1]Global_Spot Prices'!$E:$E)</f>
        <v>52.85</v>
      </c>
      <c r="D1043">
        <f>_xlfn.XLOOKUP(A1043,'[1]Global_Spot Prices'!$B:$B,'[1]Global_Spot Prices'!$D:$D)</f>
        <v>50.21</v>
      </c>
      <c r="E1043">
        <f>_xlfn.XLOOKUP(A1043,'[1]Global_Spot Prices'!$B:$B,'[1]Global_Spot Prices'!$H:$H)</f>
        <v>49.28</v>
      </c>
      <c r="F1043">
        <f>_xlfn.XLOOKUP(A1043,'[1]Global_Spot Prices'!$B:$B,'[1]Global_Spot Prices'!$I:$I)</f>
        <v>53.78</v>
      </c>
      <c r="G1043" cm="1">
        <f t="array" ref="G1043">_xlfn.XLOOKUP(TEXT(A1043, "mmm-yy"), TEXT([2]RUNS!$B$5:$B$208, "mmm-yy"), [2]RUNS!$D$5:$D$208, "Not Found")</f>
        <v>29775.232701057896</v>
      </c>
      <c r="H1043" cm="1">
        <f t="array" ref="H1043">SUMPRODUCT(
    --(TEXT('[3]Global Weekly Stock (EWSuez'!$B$4:$B$2000,"mmm-yy")=TEXT(A1043,"mmm-yy")),
    '[3]Global Weekly Stock (EWSuez'!$E$4:$E$2000)
/
SUMPRODUCT(
    --(TEXT('[3]Global Weekly Stock (EWSuez'!$B$4:$B$2000,"mmm-yy")=TEXT(A1043,"mmm-yy"))
)</f>
        <v>14202.75</v>
      </c>
      <c r="I1043">
        <f>_xlfn.XLOOKUP(A1043,[1]ForwardDeriv!$D:$D,[1]ForwardDeriv!$AJ:$AJ)</f>
        <v>-0.65999999999999659</v>
      </c>
      <c r="J1043" cm="1">
        <f t="array" ref="J1043">_xlfn.XLOOKUP(TEXT(A1043, "mmm-yy"), TEXT([2]GASOLINE!$B$5:$B$208, "mmm-yy"), [2]GASOLINE!$IR$5:$IR$208, "Not Found")</f>
        <v>39.406406969511579</v>
      </c>
      <c r="K1043" cm="1">
        <f t="array" ref="K1043">_xlfn.XLOOKUP(TEXT(A1043, "mmm-yy"), TEXT([2]GASOLINE!$B$5:$B$208, "mmm-yy"), [2]GASOLINE!$IK$5:$IK$208, "Not Found")</f>
        <v>160.15768264490899</v>
      </c>
      <c r="L1043">
        <f t="shared" si="16"/>
        <v>0</v>
      </c>
      <c r="M1043" cm="1">
        <f t="array" ref="M1043">_xlfn.XLOOKUP(TEXT(A1043, "mmm-yy"), TEXT([2]GASOLINE!$B$5:$B$208, "mmm-yy"), [2]GASOLINE!$C$5:$C$208, "Not Found")</f>
        <v>7462.6474498080688</v>
      </c>
      <c r="N1043" cm="1">
        <f t="array" ref="N1043">_xlfn.XLOOKUP(TEXT(A1043, "mmm-yy"), TEXT([2]RUNS!$B$5:$B$208, "mmm-yy"), [2]RUNS!$BM$5:$BM$208, "Not Found")</f>
        <v>0.84705921832358666</v>
      </c>
    </row>
    <row r="1044" spans="1:14" x14ac:dyDescent="0.25">
      <c r="A1044" s="1">
        <f>'[1]Global_Spot Prices'!$B2353</f>
        <v>43465</v>
      </c>
      <c r="B1044" t="e">
        <f>_xlfn.XLOOKUP(A1044,'[1]Global_Spot Prices'!$B:$B,'[1]Global_Spot Prices'!$BS:$BS)</f>
        <v>#N/A</v>
      </c>
      <c r="C1044" t="str">
        <f>_xlfn.XLOOKUP(A1044,'[1]Global_Spot Prices'!$B:$B,'[1]Global_Spot Prices'!$E:$E)</f>
        <v/>
      </c>
      <c r="D1044" t="str">
        <f>_xlfn.XLOOKUP(A1044,'[1]Global_Spot Prices'!$B:$B,'[1]Global_Spot Prices'!$D:$D)</f>
        <v/>
      </c>
      <c r="E1044">
        <f>_xlfn.XLOOKUP(A1044,'[1]Global_Spot Prices'!$B:$B,'[1]Global_Spot Prices'!$H:$H)</f>
        <v>0</v>
      </c>
      <c r="F1044">
        <f>_xlfn.XLOOKUP(A1044,'[1]Global_Spot Prices'!$B:$B,'[1]Global_Spot Prices'!$I:$I)</f>
        <v>0</v>
      </c>
      <c r="G1044" cm="1">
        <f t="array" ref="G1044">_xlfn.XLOOKUP(TEXT(A1044, "mmm-yy"), TEXT([2]RUNS!$B$5:$B$208, "mmm-yy"), [2]RUNS!$D$5:$D$208, "Not Found")</f>
        <v>29775.232701057896</v>
      </c>
      <c r="H1044" cm="1">
        <f t="array" ref="H1044">SUMPRODUCT(
    --(TEXT('[3]Global Weekly Stock (EWSuez'!$B$4:$B$2000,"mmm-yy")=TEXT(A1044,"mmm-yy")),
    '[3]Global Weekly Stock (EWSuez'!$E$4:$E$2000)
/
SUMPRODUCT(
    --(TEXT('[3]Global Weekly Stock (EWSuez'!$B$4:$B$2000,"mmm-yy")=TEXT(A1044,"mmm-yy"))
)</f>
        <v>14202.75</v>
      </c>
      <c r="I1044">
        <f>_xlfn.XLOOKUP(A1044,[1]ForwardDeriv!$D:$D,[1]ForwardDeriv!$AJ:$AJ)</f>
        <v>-0.67999999999999972</v>
      </c>
      <c r="J1044" cm="1">
        <f t="array" ref="J1044">_xlfn.XLOOKUP(TEXT(A1044, "mmm-yy"), TEXT([2]GASOLINE!$B$5:$B$208, "mmm-yy"), [2]GASOLINE!$IR$5:$IR$208, "Not Found")</f>
        <v>39.406406969511579</v>
      </c>
      <c r="K1044" cm="1">
        <f t="array" ref="K1044">_xlfn.XLOOKUP(TEXT(A1044, "mmm-yy"), TEXT([2]GASOLINE!$B$5:$B$208, "mmm-yy"), [2]GASOLINE!$IK$5:$IK$208, "Not Found")</f>
        <v>160.15768264490899</v>
      </c>
      <c r="L1044">
        <f t="shared" si="16"/>
        <v>0</v>
      </c>
      <c r="M1044" cm="1">
        <f t="array" ref="M1044">_xlfn.XLOOKUP(TEXT(A1044, "mmm-yy"), TEXT([2]GASOLINE!$B$5:$B$208, "mmm-yy"), [2]GASOLINE!$C$5:$C$208, "Not Found")</f>
        <v>7462.6474498080688</v>
      </c>
      <c r="N1044" cm="1">
        <f t="array" ref="N1044">_xlfn.XLOOKUP(TEXT(A1044, "mmm-yy"), TEXT([2]RUNS!$B$5:$B$208, "mmm-yy"), [2]RUNS!$BM$5:$BM$208, "Not Found")</f>
        <v>0.84705921832358666</v>
      </c>
    </row>
    <row r="1045" spans="1:14" x14ac:dyDescent="0.25">
      <c r="A1045" s="1">
        <f>'[1]Global_Spot Prices'!$B2354</f>
        <v>43466</v>
      </c>
      <c r="B1045" t="e">
        <f>_xlfn.XLOOKUP(A1045,'[1]Global_Spot Prices'!$B:$B,'[1]Global_Spot Prices'!$BS:$BS)</f>
        <v>#N/A</v>
      </c>
      <c r="C1045" t="str">
        <f>_xlfn.XLOOKUP(A1045,'[1]Global_Spot Prices'!$B:$B,'[1]Global_Spot Prices'!$E:$E)</f>
        <v/>
      </c>
      <c r="D1045" t="str">
        <f>_xlfn.XLOOKUP(A1045,'[1]Global_Spot Prices'!$B:$B,'[1]Global_Spot Prices'!$D:$D)</f>
        <v/>
      </c>
      <c r="E1045">
        <f>_xlfn.XLOOKUP(A1045,'[1]Global_Spot Prices'!$B:$B,'[1]Global_Spot Prices'!$H:$H)</f>
        <v>0</v>
      </c>
      <c r="F1045">
        <f>_xlfn.XLOOKUP(A1045,'[1]Global_Spot Prices'!$B:$B,'[1]Global_Spot Prices'!$I:$I)</f>
        <v>0</v>
      </c>
      <c r="G1045" cm="1">
        <f t="array" ref="G1045">_xlfn.XLOOKUP(TEXT(A1045, "mmm-yy"), TEXT([2]RUNS!$B$5:$B$208, "mmm-yy"), [2]RUNS!$D$5:$D$208, "Not Found")</f>
        <v>30030.345028755233</v>
      </c>
      <c r="H1045" cm="1">
        <f t="array" ref="H1045">SUMPRODUCT(
    --(TEXT('[3]Global Weekly Stock (EWSuez'!$B$4:$B$2000,"mmm-yy")=TEXT(A1045,"mmm-yy")),
    '[3]Global Weekly Stock (EWSuez'!$E$4:$E$2000)
/
SUMPRODUCT(
    --(TEXT('[3]Global Weekly Stock (EWSuez'!$B$4:$B$2000,"mmm-yy")=TEXT(A1045,"mmm-yy"))
)</f>
        <v>15570.75</v>
      </c>
      <c r="I1045">
        <f>_xlfn.XLOOKUP(A1045,[1]ForwardDeriv!$D:$D,[1]ForwardDeriv!$AJ:$AJ)</f>
        <v>-0.67999999999999972</v>
      </c>
      <c r="J1045" cm="1">
        <f t="array" ref="J1045">_xlfn.XLOOKUP(TEXT(A1045, "mmm-yy"), TEXT([2]GASOLINE!$B$5:$B$208, "mmm-yy"), [2]GASOLINE!$IR$5:$IR$208, "Not Found")</f>
        <v>252.72024868101869</v>
      </c>
      <c r="K1045" cm="1">
        <f t="array" ref="K1045">_xlfn.XLOOKUP(TEXT(A1045, "mmm-yy"), TEXT([2]GASOLINE!$B$5:$B$208, "mmm-yy"), [2]GASOLINE!$IK$5:$IK$208, "Not Found")</f>
        <v>168.93532165879964</v>
      </c>
      <c r="L1045">
        <f t="shared" si="16"/>
        <v>0</v>
      </c>
      <c r="M1045" cm="1">
        <f t="array" ref="M1045">_xlfn.XLOOKUP(TEXT(A1045, "mmm-yy"), TEXT([2]GASOLINE!$B$5:$B$208, "mmm-yy"), [2]GASOLINE!$C$5:$C$208, "Not Found")</f>
        <v>7219.4125428402258</v>
      </c>
      <c r="N1045" cm="1">
        <f t="array" ref="N1045">_xlfn.XLOOKUP(TEXT(A1045, "mmm-yy"), TEXT([2]RUNS!$B$5:$B$208, "mmm-yy"), [2]RUNS!$BM$5:$BM$208, "Not Found")</f>
        <v>0.853908656673384</v>
      </c>
    </row>
    <row r="1046" spans="1:14" x14ac:dyDescent="0.25">
      <c r="A1046" s="1">
        <f>'[1]Global_Spot Prices'!$B2355</f>
        <v>43467</v>
      </c>
      <c r="B1046">
        <f>_xlfn.XLOOKUP(A1046,'[1]Global_Spot Prices'!$B:$B,'[1]Global_Spot Prices'!$BS:$BS)</f>
        <v>0.96999999999999886</v>
      </c>
      <c r="C1046">
        <f>_xlfn.XLOOKUP(A1046,'[1]Global_Spot Prices'!$B:$B,'[1]Global_Spot Prices'!$E:$E)</f>
        <v>51.85</v>
      </c>
      <c r="D1046">
        <f>_xlfn.XLOOKUP(A1046,'[1]Global_Spot Prices'!$B:$B,'[1]Global_Spot Prices'!$D:$D)</f>
        <v>53.85</v>
      </c>
      <c r="E1046">
        <f>_xlfn.XLOOKUP(A1046,'[1]Global_Spot Prices'!$B:$B,'[1]Global_Spot Prices'!$H:$H)</f>
        <v>46.86</v>
      </c>
      <c r="F1046">
        <f>_xlfn.XLOOKUP(A1046,'[1]Global_Spot Prices'!$B:$B,'[1]Global_Spot Prices'!$I:$I)</f>
        <v>52.82</v>
      </c>
      <c r="G1046" cm="1">
        <f t="array" ref="G1046">_xlfn.XLOOKUP(TEXT(A1046, "mmm-yy"), TEXT([2]RUNS!$B$5:$B$208, "mmm-yy"), [2]RUNS!$D$5:$D$208, "Not Found")</f>
        <v>30030.345028755233</v>
      </c>
      <c r="H1046" cm="1">
        <f t="array" ref="H1046">SUMPRODUCT(
    --(TEXT('[3]Global Weekly Stock (EWSuez'!$B$4:$B$2000,"mmm-yy")=TEXT(A1046,"mmm-yy")),
    '[3]Global Weekly Stock (EWSuez'!$E$4:$E$2000)
/
SUMPRODUCT(
    --(TEXT('[3]Global Weekly Stock (EWSuez'!$B$4:$B$2000,"mmm-yy")=TEXT(A1046,"mmm-yy"))
)</f>
        <v>15570.75</v>
      </c>
      <c r="I1046">
        <f>_xlfn.XLOOKUP(A1046,[1]ForwardDeriv!$D:$D,[1]ForwardDeriv!$AJ:$AJ)</f>
        <v>-0.67999999999999972</v>
      </c>
      <c r="J1046" cm="1">
        <f t="array" ref="J1046">_xlfn.XLOOKUP(TEXT(A1046, "mmm-yy"), TEXT([2]GASOLINE!$B$5:$B$208, "mmm-yy"), [2]GASOLINE!$IR$5:$IR$208, "Not Found")</f>
        <v>252.72024868101869</v>
      </c>
      <c r="K1046" cm="1">
        <f t="array" ref="K1046">_xlfn.XLOOKUP(TEXT(A1046, "mmm-yy"), TEXT([2]GASOLINE!$B$5:$B$208, "mmm-yy"), [2]GASOLINE!$IK$5:$IK$208, "Not Found")</f>
        <v>168.93532165879964</v>
      </c>
      <c r="L1046">
        <f t="shared" si="16"/>
        <v>0</v>
      </c>
      <c r="M1046" cm="1">
        <f t="array" ref="M1046">_xlfn.XLOOKUP(TEXT(A1046, "mmm-yy"), TEXT([2]GASOLINE!$B$5:$B$208, "mmm-yy"), [2]GASOLINE!$C$5:$C$208, "Not Found")</f>
        <v>7219.4125428402258</v>
      </c>
      <c r="N1046" cm="1">
        <f t="array" ref="N1046">_xlfn.XLOOKUP(TEXT(A1046, "mmm-yy"), TEXT([2]RUNS!$B$5:$B$208, "mmm-yy"), [2]RUNS!$BM$5:$BM$208, "Not Found")</f>
        <v>0.853908656673384</v>
      </c>
    </row>
    <row r="1047" spans="1:14" x14ac:dyDescent="0.25">
      <c r="A1047" s="1">
        <f>'[1]Global_Spot Prices'!$B2356</f>
        <v>43468</v>
      </c>
      <c r="B1047">
        <f>_xlfn.XLOOKUP(A1047,'[1]Global_Spot Prices'!$B:$B,'[1]Global_Spot Prices'!$BS:$BS)</f>
        <v>2.1599999999999966</v>
      </c>
      <c r="C1047">
        <f>_xlfn.XLOOKUP(A1047,'[1]Global_Spot Prices'!$B:$B,'[1]Global_Spot Prices'!$E:$E)</f>
        <v>53.2</v>
      </c>
      <c r="D1047">
        <f>_xlfn.XLOOKUP(A1047,'[1]Global_Spot Prices'!$B:$B,'[1]Global_Spot Prices'!$D:$D)</f>
        <v>53.234999999999999</v>
      </c>
      <c r="E1047">
        <f>_xlfn.XLOOKUP(A1047,'[1]Global_Spot Prices'!$B:$B,'[1]Global_Spot Prices'!$H:$H)</f>
        <v>47.05</v>
      </c>
      <c r="F1047">
        <f>_xlfn.XLOOKUP(A1047,'[1]Global_Spot Prices'!$B:$B,'[1]Global_Spot Prices'!$I:$I)</f>
        <v>55.36</v>
      </c>
      <c r="G1047" cm="1">
        <f t="array" ref="G1047">_xlfn.XLOOKUP(TEXT(A1047, "mmm-yy"), TEXT([2]RUNS!$B$5:$B$208, "mmm-yy"), [2]RUNS!$D$5:$D$208, "Not Found")</f>
        <v>30030.345028755233</v>
      </c>
      <c r="H1047" cm="1">
        <f t="array" ref="H1047">SUMPRODUCT(
    --(TEXT('[3]Global Weekly Stock (EWSuez'!$B$4:$B$2000,"mmm-yy")=TEXT(A1047,"mmm-yy")),
    '[3]Global Weekly Stock (EWSuez'!$E$4:$E$2000)
/
SUMPRODUCT(
    --(TEXT('[3]Global Weekly Stock (EWSuez'!$B$4:$B$2000,"mmm-yy")=TEXT(A1047,"mmm-yy"))
)</f>
        <v>15570.75</v>
      </c>
      <c r="I1047">
        <f>_xlfn.XLOOKUP(A1047,[1]ForwardDeriv!$D:$D,[1]ForwardDeriv!$AJ:$AJ)</f>
        <v>-0.49000000000000199</v>
      </c>
      <c r="J1047" cm="1">
        <f t="array" ref="J1047">_xlfn.XLOOKUP(TEXT(A1047, "mmm-yy"), TEXT([2]GASOLINE!$B$5:$B$208, "mmm-yy"), [2]GASOLINE!$IR$5:$IR$208, "Not Found")</f>
        <v>252.72024868101869</v>
      </c>
      <c r="K1047" cm="1">
        <f t="array" ref="K1047">_xlfn.XLOOKUP(TEXT(A1047, "mmm-yy"), TEXT([2]GASOLINE!$B$5:$B$208, "mmm-yy"), [2]GASOLINE!$IK$5:$IK$208, "Not Found")</f>
        <v>168.93532165879964</v>
      </c>
      <c r="L1047">
        <f t="shared" si="16"/>
        <v>0</v>
      </c>
      <c r="M1047" cm="1">
        <f t="array" ref="M1047">_xlfn.XLOOKUP(TEXT(A1047, "mmm-yy"), TEXT([2]GASOLINE!$B$5:$B$208, "mmm-yy"), [2]GASOLINE!$C$5:$C$208, "Not Found")</f>
        <v>7219.4125428402258</v>
      </c>
      <c r="N1047" cm="1">
        <f t="array" ref="N1047">_xlfn.XLOOKUP(TEXT(A1047, "mmm-yy"), TEXT([2]RUNS!$B$5:$B$208, "mmm-yy"), [2]RUNS!$BM$5:$BM$208, "Not Found")</f>
        <v>0.853908656673384</v>
      </c>
    </row>
    <row r="1048" spans="1:14" x14ac:dyDescent="0.25">
      <c r="A1048" s="1">
        <f>'[1]Global_Spot Prices'!$B2357</f>
        <v>43469</v>
      </c>
      <c r="B1048">
        <f>_xlfn.XLOOKUP(A1048,'[1]Global_Spot Prices'!$B:$B,'[1]Global_Spot Prices'!$BS:$BS)</f>
        <v>2.759999999999998</v>
      </c>
      <c r="C1048">
        <f>_xlfn.XLOOKUP(A1048,'[1]Global_Spot Prices'!$B:$B,'[1]Global_Spot Prices'!$E:$E)</f>
        <v>55.6</v>
      </c>
      <c r="D1048">
        <f>_xlfn.XLOOKUP(A1048,'[1]Global_Spot Prices'!$B:$B,'[1]Global_Spot Prices'!$D:$D)</f>
        <v>55.475000000000001</v>
      </c>
      <c r="E1048">
        <f>_xlfn.XLOOKUP(A1048,'[1]Global_Spot Prices'!$B:$B,'[1]Global_Spot Prices'!$H:$H)</f>
        <v>49.3</v>
      </c>
      <c r="F1048">
        <f>_xlfn.XLOOKUP(A1048,'[1]Global_Spot Prices'!$B:$B,'[1]Global_Spot Prices'!$I:$I)</f>
        <v>58.36</v>
      </c>
      <c r="G1048" cm="1">
        <f t="array" ref="G1048">_xlfn.XLOOKUP(TEXT(A1048, "mmm-yy"), TEXT([2]RUNS!$B$5:$B$208, "mmm-yy"), [2]RUNS!$D$5:$D$208, "Not Found")</f>
        <v>30030.345028755233</v>
      </c>
      <c r="H1048" cm="1">
        <f t="array" ref="H1048">SUMPRODUCT(
    --(TEXT('[3]Global Weekly Stock (EWSuez'!$B$4:$B$2000,"mmm-yy")=TEXT(A1048,"mmm-yy")),
    '[3]Global Weekly Stock (EWSuez'!$E$4:$E$2000)
/
SUMPRODUCT(
    --(TEXT('[3]Global Weekly Stock (EWSuez'!$B$4:$B$2000,"mmm-yy")=TEXT(A1048,"mmm-yy"))
)</f>
        <v>15570.75</v>
      </c>
      <c r="I1048">
        <f>_xlfn.XLOOKUP(A1048,[1]ForwardDeriv!$D:$D,[1]ForwardDeriv!$AJ:$AJ)</f>
        <v>-0.42000000000000171</v>
      </c>
      <c r="J1048" cm="1">
        <f t="array" ref="J1048">_xlfn.XLOOKUP(TEXT(A1048, "mmm-yy"), TEXT([2]GASOLINE!$B$5:$B$208, "mmm-yy"), [2]GASOLINE!$IR$5:$IR$208, "Not Found")</f>
        <v>252.72024868101869</v>
      </c>
      <c r="K1048" cm="1">
        <f t="array" ref="K1048">_xlfn.XLOOKUP(TEXT(A1048, "mmm-yy"), TEXT([2]GASOLINE!$B$5:$B$208, "mmm-yy"), [2]GASOLINE!$IK$5:$IK$208, "Not Found")</f>
        <v>168.93532165879964</v>
      </c>
      <c r="L1048">
        <f t="shared" si="16"/>
        <v>0</v>
      </c>
      <c r="M1048" cm="1">
        <f t="array" ref="M1048">_xlfn.XLOOKUP(TEXT(A1048, "mmm-yy"), TEXT([2]GASOLINE!$B$5:$B$208, "mmm-yy"), [2]GASOLINE!$C$5:$C$208, "Not Found")</f>
        <v>7219.4125428402258</v>
      </c>
      <c r="N1048" cm="1">
        <f t="array" ref="N1048">_xlfn.XLOOKUP(TEXT(A1048, "mmm-yy"), TEXT([2]RUNS!$B$5:$B$208, "mmm-yy"), [2]RUNS!$BM$5:$BM$208, "Not Found")</f>
        <v>0.853908656673384</v>
      </c>
    </row>
    <row r="1049" spans="1:14" x14ac:dyDescent="0.25">
      <c r="A1049" s="1">
        <f>'[1]Global_Spot Prices'!$B2358</f>
        <v>43472</v>
      </c>
      <c r="B1049">
        <f>_xlfn.XLOOKUP(A1049,'[1]Global_Spot Prices'!$B:$B,'[1]Global_Spot Prices'!$BS:$BS)</f>
        <v>3.1400000000000006</v>
      </c>
      <c r="C1049">
        <f>_xlfn.XLOOKUP(A1049,'[1]Global_Spot Prices'!$B:$B,'[1]Global_Spot Prices'!$E:$E)</f>
        <v>56.8</v>
      </c>
      <c r="D1049">
        <f>_xlfn.XLOOKUP(A1049,'[1]Global_Spot Prices'!$B:$B,'[1]Global_Spot Prices'!$D:$D)</f>
        <v>57.034999999999997</v>
      </c>
      <c r="E1049">
        <f>_xlfn.XLOOKUP(A1049,'[1]Global_Spot Prices'!$B:$B,'[1]Global_Spot Prices'!$H:$H)</f>
        <v>50.46</v>
      </c>
      <c r="F1049">
        <f>_xlfn.XLOOKUP(A1049,'[1]Global_Spot Prices'!$B:$B,'[1]Global_Spot Prices'!$I:$I)</f>
        <v>59.94</v>
      </c>
      <c r="G1049" cm="1">
        <f t="array" ref="G1049">_xlfn.XLOOKUP(TEXT(A1049, "mmm-yy"), TEXT([2]RUNS!$B$5:$B$208, "mmm-yy"), [2]RUNS!$D$5:$D$208, "Not Found")</f>
        <v>30030.345028755233</v>
      </c>
      <c r="H1049" cm="1">
        <f t="array" ref="H1049">SUMPRODUCT(
    --(TEXT('[3]Global Weekly Stock (EWSuez'!$B$4:$B$2000,"mmm-yy")=TEXT(A1049,"mmm-yy")),
    '[3]Global Weekly Stock (EWSuez'!$E$4:$E$2000)
/
SUMPRODUCT(
    --(TEXT('[3]Global Weekly Stock (EWSuez'!$B$4:$B$2000,"mmm-yy")=TEXT(A1049,"mmm-yy"))
)</f>
        <v>15570.75</v>
      </c>
      <c r="I1049">
        <f>_xlfn.XLOOKUP(A1049,[1]ForwardDeriv!$D:$D,[1]ForwardDeriv!$AJ:$AJ)</f>
        <v>-0.35999999999999943</v>
      </c>
      <c r="J1049" cm="1">
        <f t="array" ref="J1049">_xlfn.XLOOKUP(TEXT(A1049, "mmm-yy"), TEXT([2]GASOLINE!$B$5:$B$208, "mmm-yy"), [2]GASOLINE!$IR$5:$IR$208, "Not Found")</f>
        <v>252.72024868101869</v>
      </c>
      <c r="K1049" cm="1">
        <f t="array" ref="K1049">_xlfn.XLOOKUP(TEXT(A1049, "mmm-yy"), TEXT([2]GASOLINE!$B$5:$B$208, "mmm-yy"), [2]GASOLINE!$IK$5:$IK$208, "Not Found")</f>
        <v>168.93532165879964</v>
      </c>
      <c r="L1049">
        <f t="shared" si="16"/>
        <v>0</v>
      </c>
      <c r="M1049" cm="1">
        <f t="array" ref="M1049">_xlfn.XLOOKUP(TEXT(A1049, "mmm-yy"), TEXT([2]GASOLINE!$B$5:$B$208, "mmm-yy"), [2]GASOLINE!$C$5:$C$208, "Not Found")</f>
        <v>7219.4125428402258</v>
      </c>
      <c r="N1049" cm="1">
        <f t="array" ref="N1049">_xlfn.XLOOKUP(TEXT(A1049, "mmm-yy"), TEXT([2]RUNS!$B$5:$B$208, "mmm-yy"), [2]RUNS!$BM$5:$BM$208, "Not Found")</f>
        <v>0.853908656673384</v>
      </c>
    </row>
    <row r="1050" spans="1:14" x14ac:dyDescent="0.25">
      <c r="A1050" s="1">
        <f>'[1]Global_Spot Prices'!$B2359</f>
        <v>43473</v>
      </c>
      <c r="B1050">
        <f>_xlfn.XLOOKUP(A1050,'[1]Global_Spot Prices'!$B:$B,'[1]Global_Spot Prices'!$BS:$BS)</f>
        <v>1.7899999999999991</v>
      </c>
      <c r="C1050">
        <f>_xlfn.XLOOKUP(A1050,'[1]Global_Spot Prices'!$B:$B,'[1]Global_Spot Prices'!$E:$E)</f>
        <v>56.21</v>
      </c>
      <c r="D1050">
        <f>_xlfn.XLOOKUP(A1050,'[1]Global_Spot Prices'!$B:$B,'[1]Global_Spot Prices'!$D:$D)</f>
        <v>56.94</v>
      </c>
      <c r="E1050">
        <f>_xlfn.XLOOKUP(A1050,'[1]Global_Spot Prices'!$B:$B,'[1]Global_Spot Prices'!$H:$H)</f>
        <v>49.43</v>
      </c>
      <c r="F1050">
        <f>_xlfn.XLOOKUP(A1050,'[1]Global_Spot Prices'!$B:$B,'[1]Global_Spot Prices'!$I:$I)</f>
        <v>58</v>
      </c>
      <c r="G1050" cm="1">
        <f t="array" ref="G1050">_xlfn.XLOOKUP(TEXT(A1050, "mmm-yy"), TEXT([2]RUNS!$B$5:$B$208, "mmm-yy"), [2]RUNS!$D$5:$D$208, "Not Found")</f>
        <v>30030.345028755233</v>
      </c>
      <c r="H1050" cm="1">
        <f t="array" ref="H1050">SUMPRODUCT(
    --(TEXT('[3]Global Weekly Stock (EWSuez'!$B$4:$B$2000,"mmm-yy")=TEXT(A1050,"mmm-yy")),
    '[3]Global Weekly Stock (EWSuez'!$E$4:$E$2000)
/
SUMPRODUCT(
    --(TEXT('[3]Global Weekly Stock (EWSuez'!$B$4:$B$2000,"mmm-yy")=TEXT(A1050,"mmm-yy"))
)</f>
        <v>15570.75</v>
      </c>
      <c r="I1050">
        <f>_xlfn.XLOOKUP(A1050,[1]ForwardDeriv!$D:$D,[1]ForwardDeriv!$AJ:$AJ)</f>
        <v>-0.46999999999999886</v>
      </c>
      <c r="J1050" cm="1">
        <f t="array" ref="J1050">_xlfn.XLOOKUP(TEXT(A1050, "mmm-yy"), TEXT([2]GASOLINE!$B$5:$B$208, "mmm-yy"), [2]GASOLINE!$IR$5:$IR$208, "Not Found")</f>
        <v>252.72024868101869</v>
      </c>
      <c r="K1050" cm="1">
        <f t="array" ref="K1050">_xlfn.XLOOKUP(TEXT(A1050, "mmm-yy"), TEXT([2]GASOLINE!$B$5:$B$208, "mmm-yy"), [2]GASOLINE!$IK$5:$IK$208, "Not Found")</f>
        <v>168.93532165879964</v>
      </c>
      <c r="L1050">
        <f t="shared" si="16"/>
        <v>0</v>
      </c>
      <c r="M1050" cm="1">
        <f t="array" ref="M1050">_xlfn.XLOOKUP(TEXT(A1050, "mmm-yy"), TEXT([2]GASOLINE!$B$5:$B$208, "mmm-yy"), [2]GASOLINE!$C$5:$C$208, "Not Found")</f>
        <v>7219.4125428402258</v>
      </c>
      <c r="N1050" cm="1">
        <f t="array" ref="N1050">_xlfn.XLOOKUP(TEXT(A1050, "mmm-yy"), TEXT([2]RUNS!$B$5:$B$208, "mmm-yy"), [2]RUNS!$BM$5:$BM$208, "Not Found")</f>
        <v>0.853908656673384</v>
      </c>
    </row>
    <row r="1051" spans="1:14" x14ac:dyDescent="0.25">
      <c r="A1051" s="1">
        <f>'[1]Global_Spot Prices'!$B2360</f>
        <v>43474</v>
      </c>
      <c r="B1051">
        <f>_xlfn.XLOOKUP(A1051,'[1]Global_Spot Prices'!$B:$B,'[1]Global_Spot Prices'!$BS:$BS)</f>
        <v>0.81000000000000227</v>
      </c>
      <c r="C1051">
        <f>_xlfn.XLOOKUP(A1051,'[1]Global_Spot Prices'!$B:$B,'[1]Global_Spot Prices'!$E:$E)</f>
        <v>58.11</v>
      </c>
      <c r="D1051">
        <f>_xlfn.XLOOKUP(A1051,'[1]Global_Spot Prices'!$B:$B,'[1]Global_Spot Prices'!$D:$D)</f>
        <v>59.56</v>
      </c>
      <c r="E1051">
        <f>_xlfn.XLOOKUP(A1051,'[1]Global_Spot Prices'!$B:$B,'[1]Global_Spot Prices'!$H:$H)</f>
        <v>50.59</v>
      </c>
      <c r="F1051">
        <f>_xlfn.XLOOKUP(A1051,'[1]Global_Spot Prices'!$B:$B,'[1]Global_Spot Prices'!$I:$I)</f>
        <v>58.92</v>
      </c>
      <c r="G1051" cm="1">
        <f t="array" ref="G1051">_xlfn.XLOOKUP(TEXT(A1051, "mmm-yy"), TEXT([2]RUNS!$B$5:$B$208, "mmm-yy"), [2]RUNS!$D$5:$D$208, "Not Found")</f>
        <v>30030.345028755233</v>
      </c>
      <c r="H1051" cm="1">
        <f t="array" ref="H1051">SUMPRODUCT(
    --(TEXT('[3]Global Weekly Stock (EWSuez'!$B$4:$B$2000,"mmm-yy")=TEXT(A1051,"mmm-yy")),
    '[3]Global Weekly Stock (EWSuez'!$E$4:$E$2000)
/
SUMPRODUCT(
    --(TEXT('[3]Global Weekly Stock (EWSuez'!$B$4:$B$2000,"mmm-yy")=TEXT(A1051,"mmm-yy"))
)</f>
        <v>15570.75</v>
      </c>
      <c r="I1051">
        <f>_xlfn.XLOOKUP(A1051,[1]ForwardDeriv!$D:$D,[1]ForwardDeriv!$AJ:$AJ)</f>
        <v>-0.5</v>
      </c>
      <c r="J1051" cm="1">
        <f t="array" ref="J1051">_xlfn.XLOOKUP(TEXT(A1051, "mmm-yy"), TEXT([2]GASOLINE!$B$5:$B$208, "mmm-yy"), [2]GASOLINE!$IR$5:$IR$208, "Not Found")</f>
        <v>252.72024868101869</v>
      </c>
      <c r="K1051" cm="1">
        <f t="array" ref="K1051">_xlfn.XLOOKUP(TEXT(A1051, "mmm-yy"), TEXT([2]GASOLINE!$B$5:$B$208, "mmm-yy"), [2]GASOLINE!$IK$5:$IK$208, "Not Found")</f>
        <v>168.93532165879964</v>
      </c>
      <c r="L1051">
        <f t="shared" si="16"/>
        <v>0</v>
      </c>
      <c r="M1051" cm="1">
        <f t="array" ref="M1051">_xlfn.XLOOKUP(TEXT(A1051, "mmm-yy"), TEXT([2]GASOLINE!$B$5:$B$208, "mmm-yy"), [2]GASOLINE!$C$5:$C$208, "Not Found")</f>
        <v>7219.4125428402258</v>
      </c>
      <c r="N1051" cm="1">
        <f t="array" ref="N1051">_xlfn.XLOOKUP(TEXT(A1051, "mmm-yy"), TEXT([2]RUNS!$B$5:$B$208, "mmm-yy"), [2]RUNS!$BM$5:$BM$208, "Not Found")</f>
        <v>0.853908656673384</v>
      </c>
    </row>
    <row r="1052" spans="1:14" x14ac:dyDescent="0.25">
      <c r="A1052" s="1">
        <f>'[1]Global_Spot Prices'!$B2361</f>
        <v>43475</v>
      </c>
      <c r="B1052">
        <f>_xlfn.XLOOKUP(A1052,'[1]Global_Spot Prices'!$B:$B,'[1]Global_Spot Prices'!$BS:$BS)</f>
        <v>0.89000000000000057</v>
      </c>
      <c r="C1052">
        <f>_xlfn.XLOOKUP(A1052,'[1]Global_Spot Prices'!$B:$B,'[1]Global_Spot Prices'!$E:$E)</f>
        <v>59.61</v>
      </c>
      <c r="D1052">
        <f>_xlfn.XLOOKUP(A1052,'[1]Global_Spot Prices'!$B:$B,'[1]Global_Spot Prices'!$D:$D)</f>
        <v>60.46</v>
      </c>
      <c r="E1052">
        <f>_xlfn.XLOOKUP(A1052,'[1]Global_Spot Prices'!$B:$B,'[1]Global_Spot Prices'!$H:$H)</f>
        <v>51.78</v>
      </c>
      <c r="F1052">
        <f>_xlfn.XLOOKUP(A1052,'[1]Global_Spot Prices'!$B:$B,'[1]Global_Spot Prices'!$I:$I)</f>
        <v>60.5</v>
      </c>
      <c r="G1052" cm="1">
        <f t="array" ref="G1052">_xlfn.XLOOKUP(TEXT(A1052, "mmm-yy"), TEXT([2]RUNS!$B$5:$B$208, "mmm-yy"), [2]RUNS!$D$5:$D$208, "Not Found")</f>
        <v>30030.345028755233</v>
      </c>
      <c r="H1052" cm="1">
        <f t="array" ref="H1052">SUMPRODUCT(
    --(TEXT('[3]Global Weekly Stock (EWSuez'!$B$4:$B$2000,"mmm-yy")=TEXT(A1052,"mmm-yy")),
    '[3]Global Weekly Stock (EWSuez'!$E$4:$E$2000)
/
SUMPRODUCT(
    --(TEXT('[3]Global Weekly Stock (EWSuez'!$B$4:$B$2000,"mmm-yy")=TEXT(A1052,"mmm-yy"))
)</f>
        <v>15570.75</v>
      </c>
      <c r="I1052">
        <f>_xlfn.XLOOKUP(A1052,[1]ForwardDeriv!$D:$D,[1]ForwardDeriv!$AJ:$AJ)</f>
        <v>-0.44999999999999574</v>
      </c>
      <c r="J1052" cm="1">
        <f t="array" ref="J1052">_xlfn.XLOOKUP(TEXT(A1052, "mmm-yy"), TEXT([2]GASOLINE!$B$5:$B$208, "mmm-yy"), [2]GASOLINE!$IR$5:$IR$208, "Not Found")</f>
        <v>252.72024868101869</v>
      </c>
      <c r="K1052" cm="1">
        <f t="array" ref="K1052">_xlfn.XLOOKUP(TEXT(A1052, "mmm-yy"), TEXT([2]GASOLINE!$B$5:$B$208, "mmm-yy"), [2]GASOLINE!$IK$5:$IK$208, "Not Found")</f>
        <v>168.93532165879964</v>
      </c>
      <c r="L1052">
        <f t="shared" si="16"/>
        <v>0</v>
      </c>
      <c r="M1052" cm="1">
        <f t="array" ref="M1052">_xlfn.XLOOKUP(TEXT(A1052, "mmm-yy"), TEXT([2]GASOLINE!$B$5:$B$208, "mmm-yy"), [2]GASOLINE!$C$5:$C$208, "Not Found")</f>
        <v>7219.4125428402258</v>
      </c>
      <c r="N1052" cm="1">
        <f t="array" ref="N1052">_xlfn.XLOOKUP(TEXT(A1052, "mmm-yy"), TEXT([2]RUNS!$B$5:$B$208, "mmm-yy"), [2]RUNS!$BM$5:$BM$208, "Not Found")</f>
        <v>0.853908656673384</v>
      </c>
    </row>
    <row r="1053" spans="1:14" x14ac:dyDescent="0.25">
      <c r="A1053" s="1">
        <f>'[1]Global_Spot Prices'!$B2362</f>
        <v>43476</v>
      </c>
      <c r="B1053">
        <f>_xlfn.XLOOKUP(A1053,'[1]Global_Spot Prices'!$B:$B,'[1]Global_Spot Prices'!$BS:$BS)</f>
        <v>0.72500000000000142</v>
      </c>
      <c r="C1053">
        <f>_xlfn.XLOOKUP(A1053,'[1]Global_Spot Prices'!$B:$B,'[1]Global_Spot Prices'!$E:$E)</f>
        <v>61.155000000000001</v>
      </c>
      <c r="D1053">
        <f>_xlfn.XLOOKUP(A1053,'[1]Global_Spot Prices'!$B:$B,'[1]Global_Spot Prices'!$D:$D)</f>
        <v>59.465000000000003</v>
      </c>
      <c r="E1053">
        <f>_xlfn.XLOOKUP(A1053,'[1]Global_Spot Prices'!$B:$B,'[1]Global_Spot Prices'!$H:$H)</f>
        <v>53.55</v>
      </c>
      <c r="F1053">
        <f>_xlfn.XLOOKUP(A1053,'[1]Global_Spot Prices'!$B:$B,'[1]Global_Spot Prices'!$I:$I)</f>
        <v>61.88</v>
      </c>
      <c r="G1053" cm="1">
        <f t="array" ref="G1053">_xlfn.XLOOKUP(TEXT(A1053, "mmm-yy"), TEXT([2]RUNS!$B$5:$B$208, "mmm-yy"), [2]RUNS!$D$5:$D$208, "Not Found")</f>
        <v>30030.345028755233</v>
      </c>
      <c r="H1053" cm="1">
        <f t="array" ref="H1053">SUMPRODUCT(
    --(TEXT('[3]Global Weekly Stock (EWSuez'!$B$4:$B$2000,"mmm-yy")=TEXT(A1053,"mmm-yy")),
    '[3]Global Weekly Stock (EWSuez'!$E$4:$E$2000)
/
SUMPRODUCT(
    --(TEXT('[3]Global Weekly Stock (EWSuez'!$B$4:$B$2000,"mmm-yy")=TEXT(A1053,"mmm-yy"))
)</f>
        <v>15570.75</v>
      </c>
      <c r="I1053">
        <f>_xlfn.XLOOKUP(A1053,[1]ForwardDeriv!$D:$D,[1]ForwardDeriv!$AJ:$AJ)</f>
        <v>-0.53000000000000114</v>
      </c>
      <c r="J1053" cm="1">
        <f t="array" ref="J1053">_xlfn.XLOOKUP(TEXT(A1053, "mmm-yy"), TEXT([2]GASOLINE!$B$5:$B$208, "mmm-yy"), [2]GASOLINE!$IR$5:$IR$208, "Not Found")</f>
        <v>252.72024868101869</v>
      </c>
      <c r="K1053" cm="1">
        <f t="array" ref="K1053">_xlfn.XLOOKUP(TEXT(A1053, "mmm-yy"), TEXT([2]GASOLINE!$B$5:$B$208, "mmm-yy"), [2]GASOLINE!$IK$5:$IK$208, "Not Found")</f>
        <v>168.93532165879964</v>
      </c>
      <c r="L1053">
        <f t="shared" si="16"/>
        <v>0</v>
      </c>
      <c r="M1053" cm="1">
        <f t="array" ref="M1053">_xlfn.XLOOKUP(TEXT(A1053, "mmm-yy"), TEXT([2]GASOLINE!$B$5:$B$208, "mmm-yy"), [2]GASOLINE!$C$5:$C$208, "Not Found")</f>
        <v>7219.4125428402258</v>
      </c>
      <c r="N1053" cm="1">
        <f t="array" ref="N1053">_xlfn.XLOOKUP(TEXT(A1053, "mmm-yy"), TEXT([2]RUNS!$B$5:$B$208, "mmm-yy"), [2]RUNS!$BM$5:$BM$208, "Not Found")</f>
        <v>0.853908656673384</v>
      </c>
    </row>
    <row r="1054" spans="1:14" x14ac:dyDescent="0.25">
      <c r="A1054" s="1">
        <f>'[1]Global_Spot Prices'!$B2363</f>
        <v>43479</v>
      </c>
      <c r="B1054">
        <f>_xlfn.XLOOKUP(A1054,'[1]Global_Spot Prices'!$B:$B,'[1]Global_Spot Prices'!$BS:$BS)</f>
        <v>1.0799999999999983</v>
      </c>
      <c r="C1054">
        <f>_xlfn.XLOOKUP(A1054,'[1]Global_Spot Prices'!$B:$B,'[1]Global_Spot Prices'!$E:$E)</f>
        <v>58.89</v>
      </c>
      <c r="D1054">
        <f>_xlfn.XLOOKUP(A1054,'[1]Global_Spot Prices'!$B:$B,'[1]Global_Spot Prices'!$D:$D)</f>
        <v>59.024999999999999</v>
      </c>
      <c r="E1054">
        <f>_xlfn.XLOOKUP(A1054,'[1]Global_Spot Prices'!$B:$B,'[1]Global_Spot Prices'!$H:$H)</f>
        <v>52.05</v>
      </c>
      <c r="F1054">
        <f>_xlfn.XLOOKUP(A1054,'[1]Global_Spot Prices'!$B:$B,'[1]Global_Spot Prices'!$I:$I)</f>
        <v>59.97</v>
      </c>
      <c r="G1054" cm="1">
        <f t="array" ref="G1054">_xlfn.XLOOKUP(TEXT(A1054, "mmm-yy"), TEXT([2]RUNS!$B$5:$B$208, "mmm-yy"), [2]RUNS!$D$5:$D$208, "Not Found")</f>
        <v>30030.345028755233</v>
      </c>
      <c r="H1054" cm="1">
        <f t="array" ref="H1054">SUMPRODUCT(
    --(TEXT('[3]Global Weekly Stock (EWSuez'!$B$4:$B$2000,"mmm-yy")=TEXT(A1054,"mmm-yy")),
    '[3]Global Weekly Stock (EWSuez'!$E$4:$E$2000)
/
SUMPRODUCT(
    --(TEXT('[3]Global Weekly Stock (EWSuez'!$B$4:$B$2000,"mmm-yy")=TEXT(A1054,"mmm-yy"))
)</f>
        <v>15570.75</v>
      </c>
      <c r="I1054">
        <f>_xlfn.XLOOKUP(A1054,[1]ForwardDeriv!$D:$D,[1]ForwardDeriv!$AJ:$AJ)</f>
        <v>-0.48999999999999488</v>
      </c>
      <c r="J1054" cm="1">
        <f t="array" ref="J1054">_xlfn.XLOOKUP(TEXT(A1054, "mmm-yy"), TEXT([2]GASOLINE!$B$5:$B$208, "mmm-yy"), [2]GASOLINE!$IR$5:$IR$208, "Not Found")</f>
        <v>252.72024868101869</v>
      </c>
      <c r="K1054" cm="1">
        <f t="array" ref="K1054">_xlfn.XLOOKUP(TEXT(A1054, "mmm-yy"), TEXT([2]GASOLINE!$B$5:$B$208, "mmm-yy"), [2]GASOLINE!$IK$5:$IK$208, "Not Found")</f>
        <v>168.93532165879964</v>
      </c>
      <c r="L1054">
        <f t="shared" si="16"/>
        <v>0</v>
      </c>
      <c r="M1054" cm="1">
        <f t="array" ref="M1054">_xlfn.XLOOKUP(TEXT(A1054, "mmm-yy"), TEXT([2]GASOLINE!$B$5:$B$208, "mmm-yy"), [2]GASOLINE!$C$5:$C$208, "Not Found")</f>
        <v>7219.4125428402258</v>
      </c>
      <c r="N1054" cm="1">
        <f t="array" ref="N1054">_xlfn.XLOOKUP(TEXT(A1054, "mmm-yy"), TEXT([2]RUNS!$B$5:$B$208, "mmm-yy"), [2]RUNS!$BM$5:$BM$208, "Not Found")</f>
        <v>0.853908656673384</v>
      </c>
    </row>
    <row r="1055" spans="1:14" x14ac:dyDescent="0.25">
      <c r="A1055" s="1">
        <f>'[1]Global_Spot Prices'!$B2364</f>
        <v>43480</v>
      </c>
      <c r="B1055">
        <f>_xlfn.XLOOKUP(A1055,'[1]Global_Spot Prices'!$B:$B,'[1]Global_Spot Prices'!$BS:$BS)</f>
        <v>0.37999999999999545</v>
      </c>
      <c r="C1055">
        <f>_xlfn.XLOOKUP(A1055,'[1]Global_Spot Prices'!$B:$B,'[1]Global_Spot Prices'!$E:$E)</f>
        <v>58.6</v>
      </c>
      <c r="D1055">
        <f>_xlfn.XLOOKUP(A1055,'[1]Global_Spot Prices'!$B:$B,'[1]Global_Spot Prices'!$D:$D)</f>
        <v>58.74</v>
      </c>
      <c r="E1055">
        <f>_xlfn.XLOOKUP(A1055,'[1]Global_Spot Prices'!$B:$B,'[1]Global_Spot Prices'!$H:$H)</f>
        <v>51.47</v>
      </c>
      <c r="F1055">
        <f>_xlfn.XLOOKUP(A1055,'[1]Global_Spot Prices'!$B:$B,'[1]Global_Spot Prices'!$I:$I)</f>
        <v>58.98</v>
      </c>
      <c r="G1055" cm="1">
        <f t="array" ref="G1055">_xlfn.XLOOKUP(TEXT(A1055, "mmm-yy"), TEXT([2]RUNS!$B$5:$B$208, "mmm-yy"), [2]RUNS!$D$5:$D$208, "Not Found")</f>
        <v>30030.345028755233</v>
      </c>
      <c r="H1055" cm="1">
        <f t="array" ref="H1055">SUMPRODUCT(
    --(TEXT('[3]Global Weekly Stock (EWSuez'!$B$4:$B$2000,"mmm-yy")=TEXT(A1055,"mmm-yy")),
    '[3]Global Weekly Stock (EWSuez'!$E$4:$E$2000)
/
SUMPRODUCT(
    --(TEXT('[3]Global Weekly Stock (EWSuez'!$B$4:$B$2000,"mmm-yy")=TEXT(A1055,"mmm-yy"))
)</f>
        <v>15570.75</v>
      </c>
      <c r="I1055">
        <f>_xlfn.XLOOKUP(A1055,[1]ForwardDeriv!$D:$D,[1]ForwardDeriv!$AJ:$AJ)</f>
        <v>-0.51999999999999602</v>
      </c>
      <c r="J1055" cm="1">
        <f t="array" ref="J1055">_xlfn.XLOOKUP(TEXT(A1055, "mmm-yy"), TEXT([2]GASOLINE!$B$5:$B$208, "mmm-yy"), [2]GASOLINE!$IR$5:$IR$208, "Not Found")</f>
        <v>252.72024868101869</v>
      </c>
      <c r="K1055" cm="1">
        <f t="array" ref="K1055">_xlfn.XLOOKUP(TEXT(A1055, "mmm-yy"), TEXT([2]GASOLINE!$B$5:$B$208, "mmm-yy"), [2]GASOLINE!$IK$5:$IK$208, "Not Found")</f>
        <v>168.93532165879964</v>
      </c>
      <c r="L1055">
        <f t="shared" si="16"/>
        <v>0</v>
      </c>
      <c r="M1055" cm="1">
        <f t="array" ref="M1055">_xlfn.XLOOKUP(TEXT(A1055, "mmm-yy"), TEXT([2]GASOLINE!$B$5:$B$208, "mmm-yy"), [2]GASOLINE!$C$5:$C$208, "Not Found")</f>
        <v>7219.4125428402258</v>
      </c>
      <c r="N1055" cm="1">
        <f t="array" ref="N1055">_xlfn.XLOOKUP(TEXT(A1055, "mmm-yy"), TEXT([2]RUNS!$B$5:$B$208, "mmm-yy"), [2]RUNS!$BM$5:$BM$208, "Not Found")</f>
        <v>0.853908656673384</v>
      </c>
    </row>
    <row r="1056" spans="1:14" x14ac:dyDescent="0.25">
      <c r="A1056" s="1">
        <f>'[1]Global_Spot Prices'!$B2365</f>
        <v>43481</v>
      </c>
      <c r="B1056">
        <f>_xlfn.XLOOKUP(A1056,'[1]Global_Spot Prices'!$B:$B,'[1]Global_Spot Prices'!$BS:$BS)</f>
        <v>0.42000000000000171</v>
      </c>
      <c r="C1056">
        <f>_xlfn.XLOOKUP(A1056,'[1]Global_Spot Prices'!$B:$B,'[1]Global_Spot Prices'!$E:$E)</f>
        <v>60.11</v>
      </c>
      <c r="D1056">
        <f>_xlfn.XLOOKUP(A1056,'[1]Global_Spot Prices'!$B:$B,'[1]Global_Spot Prices'!$D:$D)</f>
        <v>59.924999999999997</v>
      </c>
      <c r="E1056">
        <f>_xlfn.XLOOKUP(A1056,'[1]Global_Spot Prices'!$B:$B,'[1]Global_Spot Prices'!$H:$H)</f>
        <v>53.23</v>
      </c>
      <c r="F1056">
        <f>_xlfn.XLOOKUP(A1056,'[1]Global_Spot Prices'!$B:$B,'[1]Global_Spot Prices'!$I:$I)</f>
        <v>60.53</v>
      </c>
      <c r="G1056" cm="1">
        <f t="array" ref="G1056">_xlfn.XLOOKUP(TEXT(A1056, "mmm-yy"), TEXT([2]RUNS!$B$5:$B$208, "mmm-yy"), [2]RUNS!$D$5:$D$208, "Not Found")</f>
        <v>30030.345028755233</v>
      </c>
      <c r="H1056" cm="1">
        <f t="array" ref="H1056">SUMPRODUCT(
    --(TEXT('[3]Global Weekly Stock (EWSuez'!$B$4:$B$2000,"mmm-yy")=TEXT(A1056,"mmm-yy")),
    '[3]Global Weekly Stock (EWSuez'!$E$4:$E$2000)
/
SUMPRODUCT(
    --(TEXT('[3]Global Weekly Stock (EWSuez'!$B$4:$B$2000,"mmm-yy")=TEXT(A1056,"mmm-yy"))
)</f>
        <v>15570.75</v>
      </c>
      <c r="I1056">
        <f>_xlfn.XLOOKUP(A1056,[1]ForwardDeriv!$D:$D,[1]ForwardDeriv!$AJ:$AJ)</f>
        <v>-0.56000000000000227</v>
      </c>
      <c r="J1056" cm="1">
        <f t="array" ref="J1056">_xlfn.XLOOKUP(TEXT(A1056, "mmm-yy"), TEXT([2]GASOLINE!$B$5:$B$208, "mmm-yy"), [2]GASOLINE!$IR$5:$IR$208, "Not Found")</f>
        <v>252.72024868101869</v>
      </c>
      <c r="K1056" cm="1">
        <f t="array" ref="K1056">_xlfn.XLOOKUP(TEXT(A1056, "mmm-yy"), TEXT([2]GASOLINE!$B$5:$B$208, "mmm-yy"), [2]GASOLINE!$IK$5:$IK$208, "Not Found")</f>
        <v>168.93532165879964</v>
      </c>
      <c r="L1056">
        <f t="shared" si="16"/>
        <v>0</v>
      </c>
      <c r="M1056" cm="1">
        <f t="array" ref="M1056">_xlfn.XLOOKUP(TEXT(A1056, "mmm-yy"), TEXT([2]GASOLINE!$B$5:$B$208, "mmm-yy"), [2]GASOLINE!$C$5:$C$208, "Not Found")</f>
        <v>7219.4125428402258</v>
      </c>
      <c r="N1056" cm="1">
        <f t="array" ref="N1056">_xlfn.XLOOKUP(TEXT(A1056, "mmm-yy"), TEXT([2]RUNS!$B$5:$B$208, "mmm-yy"), [2]RUNS!$BM$5:$BM$208, "Not Found")</f>
        <v>0.853908656673384</v>
      </c>
    </row>
    <row r="1057" spans="1:14" x14ac:dyDescent="0.25">
      <c r="A1057" s="1">
        <f>'[1]Global_Spot Prices'!$B2366</f>
        <v>43482</v>
      </c>
      <c r="B1057">
        <f>_xlfn.XLOOKUP(A1057,'[1]Global_Spot Prices'!$B:$B,'[1]Global_Spot Prices'!$BS:$BS)</f>
        <v>0.25</v>
      </c>
      <c r="C1057">
        <f>_xlfn.XLOOKUP(A1057,'[1]Global_Spot Prices'!$B:$B,'[1]Global_Spot Prices'!$E:$E)</f>
        <v>60.01</v>
      </c>
      <c r="D1057">
        <f>_xlfn.XLOOKUP(A1057,'[1]Global_Spot Prices'!$B:$B,'[1]Global_Spot Prices'!$D:$D)</f>
        <v>59.85</v>
      </c>
      <c r="E1057">
        <f>_xlfn.XLOOKUP(A1057,'[1]Global_Spot Prices'!$B:$B,'[1]Global_Spot Prices'!$H:$H)</f>
        <v>52.87</v>
      </c>
      <c r="F1057">
        <f>_xlfn.XLOOKUP(A1057,'[1]Global_Spot Prices'!$B:$B,'[1]Global_Spot Prices'!$I:$I)</f>
        <v>60.26</v>
      </c>
      <c r="G1057" cm="1">
        <f t="array" ref="G1057">_xlfn.XLOOKUP(TEXT(A1057, "mmm-yy"), TEXT([2]RUNS!$B$5:$B$208, "mmm-yy"), [2]RUNS!$D$5:$D$208, "Not Found")</f>
        <v>30030.345028755233</v>
      </c>
      <c r="H1057" cm="1">
        <f t="array" ref="H1057">SUMPRODUCT(
    --(TEXT('[3]Global Weekly Stock (EWSuez'!$B$4:$B$2000,"mmm-yy")=TEXT(A1057,"mmm-yy")),
    '[3]Global Weekly Stock (EWSuez'!$E$4:$E$2000)
/
SUMPRODUCT(
    --(TEXT('[3]Global Weekly Stock (EWSuez'!$B$4:$B$2000,"mmm-yy")=TEXT(A1057,"mmm-yy"))
)</f>
        <v>15570.75</v>
      </c>
      <c r="I1057">
        <f>_xlfn.XLOOKUP(A1057,[1]ForwardDeriv!$D:$D,[1]ForwardDeriv!$AJ:$AJ)</f>
        <v>-0.52999999999999403</v>
      </c>
      <c r="J1057" cm="1">
        <f t="array" ref="J1057">_xlfn.XLOOKUP(TEXT(A1057, "mmm-yy"), TEXT([2]GASOLINE!$B$5:$B$208, "mmm-yy"), [2]GASOLINE!$IR$5:$IR$208, "Not Found")</f>
        <v>252.72024868101869</v>
      </c>
      <c r="K1057" cm="1">
        <f t="array" ref="K1057">_xlfn.XLOOKUP(TEXT(A1057, "mmm-yy"), TEXT([2]GASOLINE!$B$5:$B$208, "mmm-yy"), [2]GASOLINE!$IK$5:$IK$208, "Not Found")</f>
        <v>168.93532165879964</v>
      </c>
      <c r="L1057">
        <f t="shared" si="16"/>
        <v>0</v>
      </c>
      <c r="M1057" cm="1">
        <f t="array" ref="M1057">_xlfn.XLOOKUP(TEXT(A1057, "mmm-yy"), TEXT([2]GASOLINE!$B$5:$B$208, "mmm-yy"), [2]GASOLINE!$C$5:$C$208, "Not Found")</f>
        <v>7219.4125428402258</v>
      </c>
      <c r="N1057" cm="1">
        <f t="array" ref="N1057">_xlfn.XLOOKUP(TEXT(A1057, "mmm-yy"), TEXT([2]RUNS!$B$5:$B$208, "mmm-yy"), [2]RUNS!$BM$5:$BM$208, "Not Found")</f>
        <v>0.853908656673384</v>
      </c>
    </row>
    <row r="1058" spans="1:14" x14ac:dyDescent="0.25">
      <c r="A1058" s="1">
        <f>'[1]Global_Spot Prices'!$B2367</f>
        <v>43483</v>
      </c>
      <c r="B1058">
        <f>_xlfn.XLOOKUP(A1058,'[1]Global_Spot Prices'!$B:$B,'[1]Global_Spot Prices'!$BS:$BS)</f>
        <v>-0.25999999999999801</v>
      </c>
      <c r="C1058">
        <f>_xlfn.XLOOKUP(A1058,'[1]Global_Spot Prices'!$B:$B,'[1]Global_Spot Prices'!$E:$E)</f>
        <v>61.1</v>
      </c>
      <c r="D1058">
        <f>_xlfn.XLOOKUP(A1058,'[1]Global_Spot Prices'!$B:$B,'[1]Global_Spot Prices'!$D:$D)</f>
        <v>61.99</v>
      </c>
      <c r="E1058">
        <f>_xlfn.XLOOKUP(A1058,'[1]Global_Spot Prices'!$B:$B,'[1]Global_Spot Prices'!$H:$H)</f>
        <v>53.28</v>
      </c>
      <c r="F1058">
        <f>_xlfn.XLOOKUP(A1058,'[1]Global_Spot Prices'!$B:$B,'[1]Global_Spot Prices'!$I:$I)</f>
        <v>60.84</v>
      </c>
      <c r="G1058" cm="1">
        <f t="array" ref="G1058">_xlfn.XLOOKUP(TEXT(A1058, "mmm-yy"), TEXT([2]RUNS!$B$5:$B$208, "mmm-yy"), [2]RUNS!$D$5:$D$208, "Not Found")</f>
        <v>30030.345028755233</v>
      </c>
      <c r="H1058" cm="1">
        <f t="array" ref="H1058">SUMPRODUCT(
    --(TEXT('[3]Global Weekly Stock (EWSuez'!$B$4:$B$2000,"mmm-yy")=TEXT(A1058,"mmm-yy")),
    '[3]Global Weekly Stock (EWSuez'!$E$4:$E$2000)
/
SUMPRODUCT(
    --(TEXT('[3]Global Weekly Stock (EWSuez'!$B$4:$B$2000,"mmm-yy")=TEXT(A1058,"mmm-yy"))
)</f>
        <v>15570.75</v>
      </c>
      <c r="I1058">
        <f>_xlfn.XLOOKUP(A1058,[1]ForwardDeriv!$D:$D,[1]ForwardDeriv!$AJ:$AJ)</f>
        <v>-0.53999999999999915</v>
      </c>
      <c r="J1058" cm="1">
        <f t="array" ref="J1058">_xlfn.XLOOKUP(TEXT(A1058, "mmm-yy"), TEXT([2]GASOLINE!$B$5:$B$208, "mmm-yy"), [2]GASOLINE!$IR$5:$IR$208, "Not Found")</f>
        <v>252.72024868101869</v>
      </c>
      <c r="K1058" cm="1">
        <f t="array" ref="K1058">_xlfn.XLOOKUP(TEXT(A1058, "mmm-yy"), TEXT([2]GASOLINE!$B$5:$B$208, "mmm-yy"), [2]GASOLINE!$IK$5:$IK$208, "Not Found")</f>
        <v>168.93532165879964</v>
      </c>
      <c r="L1058">
        <f t="shared" si="16"/>
        <v>0</v>
      </c>
      <c r="M1058" cm="1">
        <f t="array" ref="M1058">_xlfn.XLOOKUP(TEXT(A1058, "mmm-yy"), TEXT([2]GASOLINE!$B$5:$B$208, "mmm-yy"), [2]GASOLINE!$C$5:$C$208, "Not Found")</f>
        <v>7219.4125428402258</v>
      </c>
      <c r="N1058" cm="1">
        <f t="array" ref="N1058">_xlfn.XLOOKUP(TEXT(A1058, "mmm-yy"), TEXT([2]RUNS!$B$5:$B$208, "mmm-yy"), [2]RUNS!$BM$5:$BM$208, "Not Found")</f>
        <v>0.853908656673384</v>
      </c>
    </row>
    <row r="1059" spans="1:14" x14ac:dyDescent="0.25">
      <c r="A1059" s="1">
        <f>'[1]Global_Spot Prices'!$B2368</f>
        <v>43486</v>
      </c>
      <c r="B1059">
        <f>_xlfn.XLOOKUP(A1059,'[1]Global_Spot Prices'!$B:$B,'[1]Global_Spot Prices'!$BS:$BS)</f>
        <v>-0.60999999999999943</v>
      </c>
      <c r="C1059">
        <f>_xlfn.XLOOKUP(A1059,'[1]Global_Spot Prices'!$B:$B,'[1]Global_Spot Prices'!$E:$E)</f>
        <v>61.85</v>
      </c>
      <c r="D1059">
        <f>_xlfn.XLOOKUP(A1059,'[1]Global_Spot Prices'!$B:$B,'[1]Global_Spot Prices'!$D:$D)</f>
        <v>62.34</v>
      </c>
      <c r="E1059">
        <f>_xlfn.XLOOKUP(A1059,'[1]Global_Spot Prices'!$B:$B,'[1]Global_Spot Prices'!$H:$H)</f>
        <v>53.12</v>
      </c>
      <c r="F1059">
        <f>_xlfn.XLOOKUP(A1059,'[1]Global_Spot Prices'!$B:$B,'[1]Global_Spot Prices'!$I:$I)</f>
        <v>61.24</v>
      </c>
      <c r="G1059" cm="1">
        <f t="array" ref="G1059">_xlfn.XLOOKUP(TEXT(A1059, "mmm-yy"), TEXT([2]RUNS!$B$5:$B$208, "mmm-yy"), [2]RUNS!$D$5:$D$208, "Not Found")</f>
        <v>30030.345028755233</v>
      </c>
      <c r="H1059" cm="1">
        <f t="array" ref="H1059">SUMPRODUCT(
    --(TEXT('[3]Global Weekly Stock (EWSuez'!$B$4:$B$2000,"mmm-yy")=TEXT(A1059,"mmm-yy")),
    '[3]Global Weekly Stock (EWSuez'!$E$4:$E$2000)
/
SUMPRODUCT(
    --(TEXT('[3]Global Weekly Stock (EWSuez'!$B$4:$B$2000,"mmm-yy")=TEXT(A1059,"mmm-yy"))
)</f>
        <v>15570.75</v>
      </c>
      <c r="I1059">
        <f>_xlfn.XLOOKUP(A1059,[1]ForwardDeriv!$D:$D,[1]ForwardDeriv!$AJ:$AJ)</f>
        <v>-0.53000000000000114</v>
      </c>
      <c r="J1059" cm="1">
        <f t="array" ref="J1059">_xlfn.XLOOKUP(TEXT(A1059, "mmm-yy"), TEXT([2]GASOLINE!$B$5:$B$208, "mmm-yy"), [2]GASOLINE!$IR$5:$IR$208, "Not Found")</f>
        <v>252.72024868101869</v>
      </c>
      <c r="K1059" cm="1">
        <f t="array" ref="K1059">_xlfn.XLOOKUP(TEXT(A1059, "mmm-yy"), TEXT([2]GASOLINE!$B$5:$B$208, "mmm-yy"), [2]GASOLINE!$IK$5:$IK$208, "Not Found")</f>
        <v>168.93532165879964</v>
      </c>
      <c r="L1059">
        <f t="shared" si="16"/>
        <v>0</v>
      </c>
      <c r="M1059" cm="1">
        <f t="array" ref="M1059">_xlfn.XLOOKUP(TEXT(A1059, "mmm-yy"), TEXT([2]GASOLINE!$B$5:$B$208, "mmm-yy"), [2]GASOLINE!$C$5:$C$208, "Not Found")</f>
        <v>7219.4125428402258</v>
      </c>
      <c r="N1059" cm="1">
        <f t="array" ref="N1059">_xlfn.XLOOKUP(TEXT(A1059, "mmm-yy"), TEXT([2]RUNS!$B$5:$B$208, "mmm-yy"), [2]RUNS!$BM$5:$BM$208, "Not Found")</f>
        <v>0.853908656673384</v>
      </c>
    </row>
    <row r="1060" spans="1:14" x14ac:dyDescent="0.25">
      <c r="A1060" s="1">
        <f>'[1]Global_Spot Prices'!$B2369</f>
        <v>43487</v>
      </c>
      <c r="B1060">
        <f>_xlfn.XLOOKUP(A1060,'[1]Global_Spot Prices'!$B:$B,'[1]Global_Spot Prices'!$BS:$BS)</f>
        <v>-0.77999999999999403</v>
      </c>
      <c r="C1060">
        <f>_xlfn.XLOOKUP(A1060,'[1]Global_Spot Prices'!$B:$B,'[1]Global_Spot Prices'!$E:$E)</f>
        <v>61.41</v>
      </c>
      <c r="D1060">
        <f>_xlfn.XLOOKUP(A1060,'[1]Global_Spot Prices'!$B:$B,'[1]Global_Spot Prices'!$D:$D)</f>
        <v>60.975000000000001</v>
      </c>
      <c r="E1060">
        <f>_xlfn.XLOOKUP(A1060,'[1]Global_Spot Prices'!$B:$B,'[1]Global_Spot Prices'!$H:$H)</f>
        <v>52.52</v>
      </c>
      <c r="F1060">
        <f>_xlfn.XLOOKUP(A1060,'[1]Global_Spot Prices'!$B:$B,'[1]Global_Spot Prices'!$I:$I)</f>
        <v>60.63</v>
      </c>
      <c r="G1060" cm="1">
        <f t="array" ref="G1060">_xlfn.XLOOKUP(TEXT(A1060, "mmm-yy"), TEXT([2]RUNS!$B$5:$B$208, "mmm-yy"), [2]RUNS!$D$5:$D$208, "Not Found")</f>
        <v>30030.345028755233</v>
      </c>
      <c r="H1060" cm="1">
        <f t="array" ref="H1060">SUMPRODUCT(
    --(TEXT('[3]Global Weekly Stock (EWSuez'!$B$4:$B$2000,"mmm-yy")=TEXT(A1060,"mmm-yy")),
    '[3]Global Weekly Stock (EWSuez'!$E$4:$E$2000)
/
SUMPRODUCT(
    --(TEXT('[3]Global Weekly Stock (EWSuez'!$B$4:$B$2000,"mmm-yy")=TEXT(A1060,"mmm-yy"))
)</f>
        <v>15570.75</v>
      </c>
      <c r="I1060">
        <f>_xlfn.XLOOKUP(A1060,[1]ForwardDeriv!$D:$D,[1]ForwardDeriv!$AJ:$AJ)</f>
        <v>-0.55000000000000426</v>
      </c>
      <c r="J1060" cm="1">
        <f t="array" ref="J1060">_xlfn.XLOOKUP(TEXT(A1060, "mmm-yy"), TEXT([2]GASOLINE!$B$5:$B$208, "mmm-yy"), [2]GASOLINE!$IR$5:$IR$208, "Not Found")</f>
        <v>252.72024868101869</v>
      </c>
      <c r="K1060" cm="1">
        <f t="array" ref="K1060">_xlfn.XLOOKUP(TEXT(A1060, "mmm-yy"), TEXT([2]GASOLINE!$B$5:$B$208, "mmm-yy"), [2]GASOLINE!$IK$5:$IK$208, "Not Found")</f>
        <v>168.93532165879964</v>
      </c>
      <c r="L1060">
        <f t="shared" si="16"/>
        <v>0</v>
      </c>
      <c r="M1060" cm="1">
        <f t="array" ref="M1060">_xlfn.XLOOKUP(TEXT(A1060, "mmm-yy"), TEXT([2]GASOLINE!$B$5:$B$208, "mmm-yy"), [2]GASOLINE!$C$5:$C$208, "Not Found")</f>
        <v>7219.4125428402258</v>
      </c>
      <c r="N1060" cm="1">
        <f t="array" ref="N1060">_xlfn.XLOOKUP(TEXT(A1060, "mmm-yy"), TEXT([2]RUNS!$B$5:$B$208, "mmm-yy"), [2]RUNS!$BM$5:$BM$208, "Not Found")</f>
        <v>0.853908656673384</v>
      </c>
    </row>
    <row r="1061" spans="1:14" x14ac:dyDescent="0.25">
      <c r="A1061" s="1">
        <f>'[1]Global_Spot Prices'!$B2370</f>
        <v>43488</v>
      </c>
      <c r="B1061">
        <f>_xlfn.XLOOKUP(A1061,'[1]Global_Spot Prices'!$B:$B,'[1]Global_Spot Prices'!$BS:$BS)</f>
        <v>-1.3400000000000034</v>
      </c>
      <c r="C1061">
        <f>_xlfn.XLOOKUP(A1061,'[1]Global_Spot Prices'!$B:$B,'[1]Global_Spot Prices'!$E:$E)</f>
        <v>61.25</v>
      </c>
      <c r="D1061">
        <f>_xlfn.XLOOKUP(A1061,'[1]Global_Spot Prices'!$B:$B,'[1]Global_Spot Prices'!$D:$D)</f>
        <v>60.98</v>
      </c>
      <c r="E1061">
        <f>_xlfn.XLOOKUP(A1061,'[1]Global_Spot Prices'!$B:$B,'[1]Global_Spot Prices'!$H:$H)</f>
        <v>51.81</v>
      </c>
      <c r="F1061">
        <f>_xlfn.XLOOKUP(A1061,'[1]Global_Spot Prices'!$B:$B,'[1]Global_Spot Prices'!$I:$I)</f>
        <v>59.91</v>
      </c>
      <c r="G1061" cm="1">
        <f t="array" ref="G1061">_xlfn.XLOOKUP(TEXT(A1061, "mmm-yy"), TEXT([2]RUNS!$B$5:$B$208, "mmm-yy"), [2]RUNS!$D$5:$D$208, "Not Found")</f>
        <v>30030.345028755233</v>
      </c>
      <c r="H1061" cm="1">
        <f t="array" ref="H1061">SUMPRODUCT(
    --(TEXT('[3]Global Weekly Stock (EWSuez'!$B$4:$B$2000,"mmm-yy")=TEXT(A1061,"mmm-yy")),
    '[3]Global Weekly Stock (EWSuez'!$E$4:$E$2000)
/
SUMPRODUCT(
    --(TEXT('[3]Global Weekly Stock (EWSuez'!$B$4:$B$2000,"mmm-yy")=TEXT(A1061,"mmm-yy"))
)</f>
        <v>15570.75</v>
      </c>
      <c r="I1061">
        <f>_xlfn.XLOOKUP(A1061,[1]ForwardDeriv!$D:$D,[1]ForwardDeriv!$AJ:$AJ)</f>
        <v>-0.53999999999999915</v>
      </c>
      <c r="J1061" cm="1">
        <f t="array" ref="J1061">_xlfn.XLOOKUP(TEXT(A1061, "mmm-yy"), TEXT([2]GASOLINE!$B$5:$B$208, "mmm-yy"), [2]GASOLINE!$IR$5:$IR$208, "Not Found")</f>
        <v>252.72024868101869</v>
      </c>
      <c r="K1061" cm="1">
        <f t="array" ref="K1061">_xlfn.XLOOKUP(TEXT(A1061, "mmm-yy"), TEXT([2]GASOLINE!$B$5:$B$208, "mmm-yy"), [2]GASOLINE!$IK$5:$IK$208, "Not Found")</f>
        <v>168.93532165879964</v>
      </c>
      <c r="L1061">
        <f t="shared" si="16"/>
        <v>0</v>
      </c>
      <c r="M1061" cm="1">
        <f t="array" ref="M1061">_xlfn.XLOOKUP(TEXT(A1061, "mmm-yy"), TEXT([2]GASOLINE!$B$5:$B$208, "mmm-yy"), [2]GASOLINE!$C$5:$C$208, "Not Found")</f>
        <v>7219.4125428402258</v>
      </c>
      <c r="N1061" cm="1">
        <f t="array" ref="N1061">_xlfn.XLOOKUP(TEXT(A1061, "mmm-yy"), TEXT([2]RUNS!$B$5:$B$208, "mmm-yy"), [2]RUNS!$BM$5:$BM$208, "Not Found")</f>
        <v>0.853908656673384</v>
      </c>
    </row>
    <row r="1062" spans="1:14" x14ac:dyDescent="0.25">
      <c r="A1062" s="1">
        <f>'[1]Global_Spot Prices'!$B2371</f>
        <v>43489</v>
      </c>
      <c r="B1062">
        <f>_xlfn.XLOOKUP(A1062,'[1]Global_Spot Prices'!$B:$B,'[1]Global_Spot Prices'!$BS:$BS)</f>
        <v>-1.7100000000000009</v>
      </c>
      <c r="C1062">
        <f>_xlfn.XLOOKUP(A1062,'[1]Global_Spot Prices'!$B:$B,'[1]Global_Spot Prices'!$E:$E)</f>
        <v>60.39</v>
      </c>
      <c r="D1062">
        <f>_xlfn.XLOOKUP(A1062,'[1]Global_Spot Prices'!$B:$B,'[1]Global_Spot Prices'!$D:$D)</f>
        <v>61.115000000000002</v>
      </c>
      <c r="E1062">
        <f>_xlfn.XLOOKUP(A1062,'[1]Global_Spot Prices'!$B:$B,'[1]Global_Spot Prices'!$H:$H)</f>
        <v>50.95</v>
      </c>
      <c r="F1062">
        <f>_xlfn.XLOOKUP(A1062,'[1]Global_Spot Prices'!$B:$B,'[1]Global_Spot Prices'!$I:$I)</f>
        <v>58.68</v>
      </c>
      <c r="G1062" cm="1">
        <f t="array" ref="G1062">_xlfn.XLOOKUP(TEXT(A1062, "mmm-yy"), TEXT([2]RUNS!$B$5:$B$208, "mmm-yy"), [2]RUNS!$D$5:$D$208, "Not Found")</f>
        <v>30030.345028755233</v>
      </c>
      <c r="H1062" cm="1">
        <f t="array" ref="H1062">SUMPRODUCT(
    --(TEXT('[3]Global Weekly Stock (EWSuez'!$B$4:$B$2000,"mmm-yy")=TEXT(A1062,"mmm-yy")),
    '[3]Global Weekly Stock (EWSuez'!$E$4:$E$2000)
/
SUMPRODUCT(
    --(TEXT('[3]Global Weekly Stock (EWSuez'!$B$4:$B$2000,"mmm-yy")=TEXT(A1062,"mmm-yy"))
)</f>
        <v>15570.75</v>
      </c>
      <c r="I1062">
        <f>_xlfn.XLOOKUP(A1062,[1]ForwardDeriv!$D:$D,[1]ForwardDeriv!$AJ:$AJ)</f>
        <v>-0.55999999999999517</v>
      </c>
      <c r="J1062" cm="1">
        <f t="array" ref="J1062">_xlfn.XLOOKUP(TEXT(A1062, "mmm-yy"), TEXT([2]GASOLINE!$B$5:$B$208, "mmm-yy"), [2]GASOLINE!$IR$5:$IR$208, "Not Found")</f>
        <v>252.72024868101869</v>
      </c>
      <c r="K1062" cm="1">
        <f t="array" ref="K1062">_xlfn.XLOOKUP(TEXT(A1062, "mmm-yy"), TEXT([2]GASOLINE!$B$5:$B$208, "mmm-yy"), [2]GASOLINE!$IK$5:$IK$208, "Not Found")</f>
        <v>168.93532165879964</v>
      </c>
      <c r="L1062">
        <f t="shared" si="16"/>
        <v>0</v>
      </c>
      <c r="M1062" cm="1">
        <f t="array" ref="M1062">_xlfn.XLOOKUP(TEXT(A1062, "mmm-yy"), TEXT([2]GASOLINE!$B$5:$B$208, "mmm-yy"), [2]GASOLINE!$C$5:$C$208, "Not Found")</f>
        <v>7219.4125428402258</v>
      </c>
      <c r="N1062" cm="1">
        <f t="array" ref="N1062">_xlfn.XLOOKUP(TEXT(A1062, "mmm-yy"), TEXT([2]RUNS!$B$5:$B$208, "mmm-yy"), [2]RUNS!$BM$5:$BM$208, "Not Found")</f>
        <v>0.853908656673384</v>
      </c>
    </row>
    <row r="1063" spans="1:14" x14ac:dyDescent="0.25">
      <c r="A1063" s="1">
        <f>'[1]Global_Spot Prices'!$B2372</f>
        <v>43490</v>
      </c>
      <c r="B1063">
        <f>_xlfn.XLOOKUP(A1063,'[1]Global_Spot Prices'!$B:$B,'[1]Global_Spot Prices'!$BS:$BS)</f>
        <v>-1.6199999999999974</v>
      </c>
      <c r="C1063">
        <f>_xlfn.XLOOKUP(A1063,'[1]Global_Spot Prices'!$B:$B,'[1]Global_Spot Prices'!$E:$E)</f>
        <v>61.15</v>
      </c>
      <c r="D1063">
        <f>_xlfn.XLOOKUP(A1063,'[1]Global_Spot Prices'!$B:$B,'[1]Global_Spot Prices'!$D:$D)</f>
        <v>61.494999999999997</v>
      </c>
      <c r="E1063">
        <f>_xlfn.XLOOKUP(A1063,'[1]Global_Spot Prices'!$B:$B,'[1]Global_Spot Prices'!$H:$H)</f>
        <v>52.83</v>
      </c>
      <c r="F1063">
        <f>_xlfn.XLOOKUP(A1063,'[1]Global_Spot Prices'!$B:$B,'[1]Global_Spot Prices'!$I:$I)</f>
        <v>59.53</v>
      </c>
      <c r="G1063" cm="1">
        <f t="array" ref="G1063">_xlfn.XLOOKUP(TEXT(A1063, "mmm-yy"), TEXT([2]RUNS!$B$5:$B$208, "mmm-yy"), [2]RUNS!$D$5:$D$208, "Not Found")</f>
        <v>30030.345028755233</v>
      </c>
      <c r="H1063" cm="1">
        <f t="array" ref="H1063">SUMPRODUCT(
    --(TEXT('[3]Global Weekly Stock (EWSuez'!$B$4:$B$2000,"mmm-yy")=TEXT(A1063,"mmm-yy")),
    '[3]Global Weekly Stock (EWSuez'!$E$4:$E$2000)
/
SUMPRODUCT(
    --(TEXT('[3]Global Weekly Stock (EWSuez'!$B$4:$B$2000,"mmm-yy")=TEXT(A1063,"mmm-yy"))
)</f>
        <v>15570.75</v>
      </c>
      <c r="I1063">
        <f>_xlfn.XLOOKUP(A1063,[1]ForwardDeriv!$D:$D,[1]ForwardDeriv!$AJ:$AJ)</f>
        <v>-0.53000000000000114</v>
      </c>
      <c r="J1063" cm="1">
        <f t="array" ref="J1063">_xlfn.XLOOKUP(TEXT(A1063, "mmm-yy"), TEXT([2]GASOLINE!$B$5:$B$208, "mmm-yy"), [2]GASOLINE!$IR$5:$IR$208, "Not Found")</f>
        <v>252.72024868101869</v>
      </c>
      <c r="K1063" cm="1">
        <f t="array" ref="K1063">_xlfn.XLOOKUP(TEXT(A1063, "mmm-yy"), TEXT([2]GASOLINE!$B$5:$B$208, "mmm-yy"), [2]GASOLINE!$IK$5:$IK$208, "Not Found")</f>
        <v>168.93532165879964</v>
      </c>
      <c r="L1063">
        <f t="shared" si="16"/>
        <v>0</v>
      </c>
      <c r="M1063" cm="1">
        <f t="array" ref="M1063">_xlfn.XLOOKUP(TEXT(A1063, "mmm-yy"), TEXT([2]GASOLINE!$B$5:$B$208, "mmm-yy"), [2]GASOLINE!$C$5:$C$208, "Not Found")</f>
        <v>7219.4125428402258</v>
      </c>
      <c r="N1063" cm="1">
        <f t="array" ref="N1063">_xlfn.XLOOKUP(TEXT(A1063, "mmm-yy"), TEXT([2]RUNS!$B$5:$B$208, "mmm-yy"), [2]RUNS!$BM$5:$BM$208, "Not Found")</f>
        <v>0.853908656673384</v>
      </c>
    </row>
    <row r="1064" spans="1:14" x14ac:dyDescent="0.25">
      <c r="A1064" s="1">
        <f>'[1]Global_Spot Prices'!$B2373</f>
        <v>43493</v>
      </c>
      <c r="B1064">
        <f>_xlfn.XLOOKUP(A1064,'[1]Global_Spot Prices'!$B:$B,'[1]Global_Spot Prices'!$BS:$BS)</f>
        <v>-1.3399999999999963</v>
      </c>
      <c r="C1064">
        <f>_xlfn.XLOOKUP(A1064,'[1]Global_Spot Prices'!$B:$B,'[1]Global_Spot Prices'!$E:$E)</f>
        <v>60.3</v>
      </c>
      <c r="D1064">
        <f>_xlfn.XLOOKUP(A1064,'[1]Global_Spot Prices'!$B:$B,'[1]Global_Spot Prices'!$D:$D)</f>
        <v>59.704999999999998</v>
      </c>
      <c r="E1064">
        <f>_xlfn.XLOOKUP(A1064,'[1]Global_Spot Prices'!$B:$B,'[1]Global_Spot Prices'!$H:$H)</f>
        <v>52.55</v>
      </c>
      <c r="F1064">
        <f>_xlfn.XLOOKUP(A1064,'[1]Global_Spot Prices'!$B:$B,'[1]Global_Spot Prices'!$I:$I)</f>
        <v>58.96</v>
      </c>
      <c r="G1064" cm="1">
        <f t="array" ref="G1064">_xlfn.XLOOKUP(TEXT(A1064, "mmm-yy"), TEXT([2]RUNS!$B$5:$B$208, "mmm-yy"), [2]RUNS!$D$5:$D$208, "Not Found")</f>
        <v>30030.345028755233</v>
      </c>
      <c r="H1064" cm="1">
        <f t="array" ref="H1064">SUMPRODUCT(
    --(TEXT('[3]Global Weekly Stock (EWSuez'!$B$4:$B$2000,"mmm-yy")=TEXT(A1064,"mmm-yy")),
    '[3]Global Weekly Stock (EWSuez'!$E$4:$E$2000)
/
SUMPRODUCT(
    --(TEXT('[3]Global Weekly Stock (EWSuez'!$B$4:$B$2000,"mmm-yy")=TEXT(A1064,"mmm-yy"))
)</f>
        <v>15570.75</v>
      </c>
      <c r="I1064">
        <f>_xlfn.XLOOKUP(A1064,[1]ForwardDeriv!$D:$D,[1]ForwardDeriv!$AJ:$AJ)</f>
        <v>-0.53000000000000114</v>
      </c>
      <c r="J1064" cm="1">
        <f t="array" ref="J1064">_xlfn.XLOOKUP(TEXT(A1064, "mmm-yy"), TEXT([2]GASOLINE!$B$5:$B$208, "mmm-yy"), [2]GASOLINE!$IR$5:$IR$208, "Not Found")</f>
        <v>252.72024868101869</v>
      </c>
      <c r="K1064" cm="1">
        <f t="array" ref="K1064">_xlfn.XLOOKUP(TEXT(A1064, "mmm-yy"), TEXT([2]GASOLINE!$B$5:$B$208, "mmm-yy"), [2]GASOLINE!$IK$5:$IK$208, "Not Found")</f>
        <v>168.93532165879964</v>
      </c>
      <c r="L1064">
        <f t="shared" si="16"/>
        <v>0</v>
      </c>
      <c r="M1064" cm="1">
        <f t="array" ref="M1064">_xlfn.XLOOKUP(TEXT(A1064, "mmm-yy"), TEXT([2]GASOLINE!$B$5:$B$208, "mmm-yy"), [2]GASOLINE!$C$5:$C$208, "Not Found")</f>
        <v>7219.4125428402258</v>
      </c>
      <c r="N1064" cm="1">
        <f t="array" ref="N1064">_xlfn.XLOOKUP(TEXT(A1064, "mmm-yy"), TEXT([2]RUNS!$B$5:$B$208, "mmm-yy"), [2]RUNS!$BM$5:$BM$208, "Not Found")</f>
        <v>0.853908656673384</v>
      </c>
    </row>
    <row r="1065" spans="1:14" x14ac:dyDescent="0.25">
      <c r="A1065" s="1">
        <f>'[1]Global_Spot Prices'!$B2374</f>
        <v>43494</v>
      </c>
      <c r="B1065">
        <f>_xlfn.XLOOKUP(A1065,'[1]Global_Spot Prices'!$B:$B,'[1]Global_Spot Prices'!$BS:$BS)</f>
        <v>-2.1099999999999994</v>
      </c>
      <c r="C1065">
        <f>_xlfn.XLOOKUP(A1065,'[1]Global_Spot Prices'!$B:$B,'[1]Global_Spot Prices'!$E:$E)</f>
        <v>59.46</v>
      </c>
      <c r="D1065">
        <f>_xlfn.XLOOKUP(A1065,'[1]Global_Spot Prices'!$B:$B,'[1]Global_Spot Prices'!$D:$D)</f>
        <v>61.4</v>
      </c>
      <c r="E1065">
        <f>_xlfn.XLOOKUP(A1065,'[1]Global_Spot Prices'!$B:$B,'[1]Global_Spot Prices'!$H:$H)</f>
        <v>51.67</v>
      </c>
      <c r="F1065">
        <f>_xlfn.XLOOKUP(A1065,'[1]Global_Spot Prices'!$B:$B,'[1]Global_Spot Prices'!$I:$I)</f>
        <v>57.35</v>
      </c>
      <c r="G1065" cm="1">
        <f t="array" ref="G1065">_xlfn.XLOOKUP(TEXT(A1065, "mmm-yy"), TEXT([2]RUNS!$B$5:$B$208, "mmm-yy"), [2]RUNS!$D$5:$D$208, "Not Found")</f>
        <v>30030.345028755233</v>
      </c>
      <c r="H1065" cm="1">
        <f t="array" ref="H1065">SUMPRODUCT(
    --(TEXT('[3]Global Weekly Stock (EWSuez'!$B$4:$B$2000,"mmm-yy")=TEXT(A1065,"mmm-yy")),
    '[3]Global Weekly Stock (EWSuez'!$E$4:$E$2000)
/
SUMPRODUCT(
    --(TEXT('[3]Global Weekly Stock (EWSuez'!$B$4:$B$2000,"mmm-yy")=TEXT(A1065,"mmm-yy"))
)</f>
        <v>15570.75</v>
      </c>
      <c r="I1065">
        <f>_xlfn.XLOOKUP(A1065,[1]ForwardDeriv!$D:$D,[1]ForwardDeriv!$AJ:$AJ)</f>
        <v>-0.59000000000000341</v>
      </c>
      <c r="J1065" cm="1">
        <f t="array" ref="J1065">_xlfn.XLOOKUP(TEXT(A1065, "mmm-yy"), TEXT([2]GASOLINE!$B$5:$B$208, "mmm-yy"), [2]GASOLINE!$IR$5:$IR$208, "Not Found")</f>
        <v>252.72024868101869</v>
      </c>
      <c r="K1065" cm="1">
        <f t="array" ref="K1065">_xlfn.XLOOKUP(TEXT(A1065, "mmm-yy"), TEXT([2]GASOLINE!$B$5:$B$208, "mmm-yy"), [2]GASOLINE!$IK$5:$IK$208, "Not Found")</f>
        <v>168.93532165879964</v>
      </c>
      <c r="L1065">
        <f t="shared" si="16"/>
        <v>0</v>
      </c>
      <c r="M1065" cm="1">
        <f t="array" ref="M1065">_xlfn.XLOOKUP(TEXT(A1065, "mmm-yy"), TEXT([2]GASOLINE!$B$5:$B$208, "mmm-yy"), [2]GASOLINE!$C$5:$C$208, "Not Found")</f>
        <v>7219.4125428402258</v>
      </c>
      <c r="N1065" cm="1">
        <f t="array" ref="N1065">_xlfn.XLOOKUP(TEXT(A1065, "mmm-yy"), TEXT([2]RUNS!$B$5:$B$208, "mmm-yy"), [2]RUNS!$BM$5:$BM$208, "Not Found")</f>
        <v>0.853908656673384</v>
      </c>
    </row>
    <row r="1066" spans="1:14" x14ac:dyDescent="0.25">
      <c r="A1066" s="1">
        <f>'[1]Global_Spot Prices'!$B2375</f>
        <v>43495</v>
      </c>
      <c r="B1066">
        <f>_xlfn.XLOOKUP(A1066,'[1]Global_Spot Prices'!$B:$B,'[1]Global_Spot Prices'!$BS:$BS)</f>
        <v>-2.4299999999999997</v>
      </c>
      <c r="C1066">
        <f>_xlfn.XLOOKUP(A1066,'[1]Global_Spot Prices'!$B:$B,'[1]Global_Spot Prices'!$E:$E)</f>
        <v>60.91</v>
      </c>
      <c r="D1066">
        <f>_xlfn.XLOOKUP(A1066,'[1]Global_Spot Prices'!$B:$B,'[1]Global_Spot Prices'!$D:$D)</f>
        <v>62.344999999999999</v>
      </c>
      <c r="E1066">
        <f>_xlfn.XLOOKUP(A1066,'[1]Global_Spot Prices'!$B:$B,'[1]Global_Spot Prices'!$H:$H)</f>
        <v>53.9</v>
      </c>
      <c r="F1066">
        <f>_xlfn.XLOOKUP(A1066,'[1]Global_Spot Prices'!$B:$B,'[1]Global_Spot Prices'!$I:$I)</f>
        <v>58.48</v>
      </c>
      <c r="G1066" cm="1">
        <f t="array" ref="G1066">_xlfn.XLOOKUP(TEXT(A1066, "mmm-yy"), TEXT([2]RUNS!$B$5:$B$208, "mmm-yy"), [2]RUNS!$D$5:$D$208, "Not Found")</f>
        <v>30030.345028755233</v>
      </c>
      <c r="H1066" cm="1">
        <f t="array" ref="H1066">SUMPRODUCT(
    --(TEXT('[3]Global Weekly Stock (EWSuez'!$B$4:$B$2000,"mmm-yy")=TEXT(A1066,"mmm-yy")),
    '[3]Global Weekly Stock (EWSuez'!$E$4:$E$2000)
/
SUMPRODUCT(
    --(TEXT('[3]Global Weekly Stock (EWSuez'!$B$4:$B$2000,"mmm-yy")=TEXT(A1066,"mmm-yy"))
)</f>
        <v>15570.75</v>
      </c>
      <c r="I1066">
        <f>_xlfn.XLOOKUP(A1066,[1]ForwardDeriv!$D:$D,[1]ForwardDeriv!$AJ:$AJ)</f>
        <v>-0.62999999999999545</v>
      </c>
      <c r="J1066" cm="1">
        <f t="array" ref="J1066">_xlfn.XLOOKUP(TEXT(A1066, "mmm-yy"), TEXT([2]GASOLINE!$B$5:$B$208, "mmm-yy"), [2]GASOLINE!$IR$5:$IR$208, "Not Found")</f>
        <v>252.72024868101869</v>
      </c>
      <c r="K1066" cm="1">
        <f t="array" ref="K1066">_xlfn.XLOOKUP(TEXT(A1066, "mmm-yy"), TEXT([2]GASOLINE!$B$5:$B$208, "mmm-yy"), [2]GASOLINE!$IK$5:$IK$208, "Not Found")</f>
        <v>168.93532165879964</v>
      </c>
      <c r="L1066">
        <f t="shared" si="16"/>
        <v>0</v>
      </c>
      <c r="M1066" cm="1">
        <f t="array" ref="M1066">_xlfn.XLOOKUP(TEXT(A1066, "mmm-yy"), TEXT([2]GASOLINE!$B$5:$B$208, "mmm-yy"), [2]GASOLINE!$C$5:$C$208, "Not Found")</f>
        <v>7219.4125428402258</v>
      </c>
      <c r="N1066" cm="1">
        <f t="array" ref="N1066">_xlfn.XLOOKUP(TEXT(A1066, "mmm-yy"), TEXT([2]RUNS!$B$5:$B$208, "mmm-yy"), [2]RUNS!$BM$5:$BM$208, "Not Found")</f>
        <v>0.853908656673384</v>
      </c>
    </row>
    <row r="1067" spans="1:14" x14ac:dyDescent="0.25">
      <c r="A1067" s="1">
        <f>'[1]Global_Spot Prices'!$B2376</f>
        <v>43496</v>
      </c>
      <c r="B1067">
        <f>_xlfn.XLOOKUP(A1067,'[1]Global_Spot Prices'!$B:$B,'[1]Global_Spot Prices'!$BS:$BS)</f>
        <v>-2.1199999999999974</v>
      </c>
      <c r="C1067">
        <f>_xlfn.XLOOKUP(A1067,'[1]Global_Spot Prices'!$B:$B,'[1]Global_Spot Prices'!$E:$E)</f>
        <v>61.8</v>
      </c>
      <c r="D1067">
        <f>_xlfn.XLOOKUP(A1067,'[1]Global_Spot Prices'!$B:$B,'[1]Global_Spot Prices'!$D:$D)</f>
        <v>62.195</v>
      </c>
      <c r="E1067">
        <f>_xlfn.XLOOKUP(A1067,'[1]Global_Spot Prices'!$B:$B,'[1]Global_Spot Prices'!$H:$H)</f>
        <v>55.2</v>
      </c>
      <c r="F1067">
        <f>_xlfn.XLOOKUP(A1067,'[1]Global_Spot Prices'!$B:$B,'[1]Global_Spot Prices'!$I:$I)</f>
        <v>59.68</v>
      </c>
      <c r="G1067" cm="1">
        <f t="array" ref="G1067">_xlfn.XLOOKUP(TEXT(A1067, "mmm-yy"), TEXT([2]RUNS!$B$5:$B$208, "mmm-yy"), [2]RUNS!$D$5:$D$208, "Not Found")</f>
        <v>30030.345028755233</v>
      </c>
      <c r="H1067" cm="1">
        <f t="array" ref="H1067">SUMPRODUCT(
    --(TEXT('[3]Global Weekly Stock (EWSuez'!$B$4:$B$2000,"mmm-yy")=TEXT(A1067,"mmm-yy")),
    '[3]Global Weekly Stock (EWSuez'!$E$4:$E$2000)
/
SUMPRODUCT(
    --(TEXT('[3]Global Weekly Stock (EWSuez'!$B$4:$B$2000,"mmm-yy")=TEXT(A1067,"mmm-yy"))
)</f>
        <v>15570.75</v>
      </c>
      <c r="I1067">
        <f>_xlfn.XLOOKUP(A1067,[1]ForwardDeriv!$D:$D,[1]ForwardDeriv!$AJ:$AJ)</f>
        <v>-0.53999999999999915</v>
      </c>
      <c r="J1067" cm="1">
        <f t="array" ref="J1067">_xlfn.XLOOKUP(TEXT(A1067, "mmm-yy"), TEXT([2]GASOLINE!$B$5:$B$208, "mmm-yy"), [2]GASOLINE!$IR$5:$IR$208, "Not Found")</f>
        <v>252.72024868101869</v>
      </c>
      <c r="K1067" cm="1">
        <f t="array" ref="K1067">_xlfn.XLOOKUP(TEXT(A1067, "mmm-yy"), TEXT([2]GASOLINE!$B$5:$B$208, "mmm-yy"), [2]GASOLINE!$IK$5:$IK$208, "Not Found")</f>
        <v>168.93532165879964</v>
      </c>
      <c r="L1067">
        <f t="shared" si="16"/>
        <v>0</v>
      </c>
      <c r="M1067" cm="1">
        <f t="array" ref="M1067">_xlfn.XLOOKUP(TEXT(A1067, "mmm-yy"), TEXT([2]GASOLINE!$B$5:$B$208, "mmm-yy"), [2]GASOLINE!$C$5:$C$208, "Not Found")</f>
        <v>7219.4125428402258</v>
      </c>
      <c r="N1067" cm="1">
        <f t="array" ref="N1067">_xlfn.XLOOKUP(TEXT(A1067, "mmm-yy"), TEXT([2]RUNS!$B$5:$B$208, "mmm-yy"), [2]RUNS!$BM$5:$BM$208, "Not Found")</f>
        <v>0.853908656673384</v>
      </c>
    </row>
    <row r="1068" spans="1:14" x14ac:dyDescent="0.25">
      <c r="A1068" s="1">
        <f>'[1]Global_Spot Prices'!$B2377</f>
        <v>43497</v>
      </c>
      <c r="B1068">
        <f>_xlfn.XLOOKUP(A1068,'[1]Global_Spot Prices'!$B:$B,'[1]Global_Spot Prices'!$BS:$BS)</f>
        <v>-1.9699999999999989</v>
      </c>
      <c r="C1068">
        <f>_xlfn.XLOOKUP(A1068,'[1]Global_Spot Prices'!$B:$B,'[1]Global_Spot Prices'!$E:$E)</f>
        <v>60.85</v>
      </c>
      <c r="D1068">
        <f>_xlfn.XLOOKUP(A1068,'[1]Global_Spot Prices'!$B:$B,'[1]Global_Spot Prices'!$D:$D)</f>
        <v>62.14</v>
      </c>
      <c r="E1068">
        <f>_xlfn.XLOOKUP(A1068,'[1]Global_Spot Prices'!$B:$B,'[1]Global_Spot Prices'!$H:$H)</f>
        <v>54.38</v>
      </c>
      <c r="F1068">
        <f>_xlfn.XLOOKUP(A1068,'[1]Global_Spot Prices'!$B:$B,'[1]Global_Spot Prices'!$I:$I)</f>
        <v>58.88</v>
      </c>
      <c r="G1068" cm="1">
        <f t="array" ref="G1068">_xlfn.XLOOKUP(TEXT(A1068, "mmm-yy"), TEXT([2]RUNS!$B$5:$B$208, "mmm-yy"), [2]RUNS!$D$5:$D$208, "Not Found")</f>
        <v>30770.522726755164</v>
      </c>
      <c r="H1068" cm="1">
        <f t="array" ref="H1068">SUMPRODUCT(
    --(TEXT('[3]Global Weekly Stock (EWSuez'!$B$4:$B$2000,"mmm-yy")=TEXT(A1068,"mmm-yy")),
    '[3]Global Weekly Stock (EWSuez'!$E$4:$E$2000)
/
SUMPRODUCT(
    --(TEXT('[3]Global Weekly Stock (EWSuez'!$B$4:$B$2000,"mmm-yy")=TEXT(A1068,"mmm-yy"))
)</f>
        <v>16670.5</v>
      </c>
      <c r="I1068">
        <f>_xlfn.XLOOKUP(A1068,[1]ForwardDeriv!$D:$D,[1]ForwardDeriv!$AJ:$AJ)</f>
        <v>-0.46000000000000085</v>
      </c>
      <c r="J1068" cm="1">
        <f t="array" ref="J1068">_xlfn.XLOOKUP(TEXT(A1068, "mmm-yy"), TEXT([2]GASOLINE!$B$5:$B$208, "mmm-yy"), [2]GASOLINE!$IR$5:$IR$208, "Not Found")</f>
        <v>-43.445880356228344</v>
      </c>
      <c r="K1068" cm="1">
        <f t="array" ref="K1068">_xlfn.XLOOKUP(TEXT(A1068, "mmm-yy"), TEXT([2]GASOLINE!$B$5:$B$208, "mmm-yy"), [2]GASOLINE!$IK$5:$IK$208, "Not Found")</f>
        <v>171.30555661967617</v>
      </c>
      <c r="L1068">
        <f t="shared" si="16"/>
        <v>0</v>
      </c>
      <c r="M1068" cm="1">
        <f t="array" ref="M1068">_xlfn.XLOOKUP(TEXT(A1068, "mmm-yy"), TEXT([2]GASOLINE!$B$5:$B$208, "mmm-yy"), [2]GASOLINE!$C$5:$C$208, "Not Found")</f>
        <v>7636.1884987337407</v>
      </c>
      <c r="N1068" cm="1">
        <f t="array" ref="N1068">_xlfn.XLOOKUP(TEXT(A1068, "mmm-yy"), TEXT([2]RUNS!$B$5:$B$208, "mmm-yy"), [2]RUNS!$BM$5:$BM$208, "Not Found")</f>
        <v>0.87495550589184989</v>
      </c>
    </row>
    <row r="1069" spans="1:14" x14ac:dyDescent="0.25">
      <c r="A1069" s="1">
        <f>'[1]Global_Spot Prices'!$B2378</f>
        <v>43500</v>
      </c>
      <c r="B1069">
        <f>_xlfn.XLOOKUP(A1069,'[1]Global_Spot Prices'!$B:$B,'[1]Global_Spot Prices'!$BS:$BS)</f>
        <v>-1.240000000000002</v>
      </c>
      <c r="C1069">
        <f>_xlfn.XLOOKUP(A1069,'[1]Global_Spot Prices'!$B:$B,'[1]Global_Spot Prices'!$E:$E)</f>
        <v>62.9</v>
      </c>
      <c r="D1069">
        <f>_xlfn.XLOOKUP(A1069,'[1]Global_Spot Prices'!$B:$B,'[1]Global_Spot Prices'!$D:$D)</f>
        <v>62.295000000000002</v>
      </c>
      <c r="E1069">
        <f>_xlfn.XLOOKUP(A1069,'[1]Global_Spot Prices'!$B:$B,'[1]Global_Spot Prices'!$H:$H)</f>
        <v>55.5</v>
      </c>
      <c r="F1069">
        <f>_xlfn.XLOOKUP(A1069,'[1]Global_Spot Prices'!$B:$B,'[1]Global_Spot Prices'!$I:$I)</f>
        <v>61.66</v>
      </c>
      <c r="G1069" cm="1">
        <f t="array" ref="G1069">_xlfn.XLOOKUP(TEXT(A1069, "mmm-yy"), TEXT([2]RUNS!$B$5:$B$208, "mmm-yy"), [2]RUNS!$D$5:$D$208, "Not Found")</f>
        <v>30770.522726755164</v>
      </c>
      <c r="H1069" cm="1">
        <f t="array" ref="H1069">SUMPRODUCT(
    --(TEXT('[3]Global Weekly Stock (EWSuez'!$B$4:$B$2000,"mmm-yy")=TEXT(A1069,"mmm-yy")),
    '[3]Global Weekly Stock (EWSuez'!$E$4:$E$2000)
/
SUMPRODUCT(
    --(TEXT('[3]Global Weekly Stock (EWSuez'!$B$4:$B$2000,"mmm-yy")=TEXT(A1069,"mmm-yy"))
)</f>
        <v>16670.5</v>
      </c>
      <c r="I1069">
        <f>_xlfn.XLOOKUP(A1069,[1]ForwardDeriv!$D:$D,[1]ForwardDeriv!$AJ:$AJ)</f>
        <v>-0.36999999999999744</v>
      </c>
      <c r="J1069" cm="1">
        <f t="array" ref="J1069">_xlfn.XLOOKUP(TEXT(A1069, "mmm-yy"), TEXT([2]GASOLINE!$B$5:$B$208, "mmm-yy"), [2]GASOLINE!$IR$5:$IR$208, "Not Found")</f>
        <v>-43.445880356228344</v>
      </c>
      <c r="K1069" cm="1">
        <f t="array" ref="K1069">_xlfn.XLOOKUP(TEXT(A1069, "mmm-yy"), TEXT([2]GASOLINE!$B$5:$B$208, "mmm-yy"), [2]GASOLINE!$IK$5:$IK$208, "Not Found")</f>
        <v>171.30555661967617</v>
      </c>
      <c r="L1069">
        <f t="shared" si="16"/>
        <v>0</v>
      </c>
      <c r="M1069" cm="1">
        <f t="array" ref="M1069">_xlfn.XLOOKUP(TEXT(A1069, "mmm-yy"), TEXT([2]GASOLINE!$B$5:$B$208, "mmm-yy"), [2]GASOLINE!$C$5:$C$208, "Not Found")</f>
        <v>7636.1884987337407</v>
      </c>
      <c r="N1069" cm="1">
        <f t="array" ref="N1069">_xlfn.XLOOKUP(TEXT(A1069, "mmm-yy"), TEXT([2]RUNS!$B$5:$B$208, "mmm-yy"), [2]RUNS!$BM$5:$BM$208, "Not Found")</f>
        <v>0.87495550589184989</v>
      </c>
    </row>
    <row r="1070" spans="1:14" x14ac:dyDescent="0.25">
      <c r="A1070" s="1">
        <f>'[1]Global_Spot Prices'!$B2379</f>
        <v>43501</v>
      </c>
      <c r="B1070" t="e">
        <f>_xlfn.XLOOKUP(A1070,'[1]Global_Spot Prices'!$B:$B,'[1]Global_Spot Prices'!$BS:$BS)</f>
        <v>#N/A</v>
      </c>
      <c r="C1070" t="str">
        <f>_xlfn.XLOOKUP(A1070,'[1]Global_Spot Prices'!$B:$B,'[1]Global_Spot Prices'!$E:$E)</f>
        <v/>
      </c>
      <c r="D1070">
        <f>_xlfn.XLOOKUP(A1070,'[1]Global_Spot Prices'!$B:$B,'[1]Global_Spot Prices'!$D:$D)</f>
        <v>61.695</v>
      </c>
      <c r="E1070">
        <f>_xlfn.XLOOKUP(A1070,'[1]Global_Spot Prices'!$B:$B,'[1]Global_Spot Prices'!$H:$H)</f>
        <v>0</v>
      </c>
      <c r="F1070">
        <f>_xlfn.XLOOKUP(A1070,'[1]Global_Spot Prices'!$B:$B,'[1]Global_Spot Prices'!$I:$I)</f>
        <v>0</v>
      </c>
      <c r="G1070" cm="1">
        <f t="array" ref="G1070">_xlfn.XLOOKUP(TEXT(A1070, "mmm-yy"), TEXT([2]RUNS!$B$5:$B$208, "mmm-yy"), [2]RUNS!$D$5:$D$208, "Not Found")</f>
        <v>30770.522726755164</v>
      </c>
      <c r="H1070" cm="1">
        <f t="array" ref="H1070">SUMPRODUCT(
    --(TEXT('[3]Global Weekly Stock (EWSuez'!$B$4:$B$2000,"mmm-yy")=TEXT(A1070,"mmm-yy")),
    '[3]Global Weekly Stock (EWSuez'!$E$4:$E$2000)
/
SUMPRODUCT(
    --(TEXT('[3]Global Weekly Stock (EWSuez'!$B$4:$B$2000,"mmm-yy")=TEXT(A1070,"mmm-yy"))
)</f>
        <v>16670.5</v>
      </c>
      <c r="I1070">
        <f>_xlfn.XLOOKUP(A1070,[1]ForwardDeriv!$D:$D,[1]ForwardDeriv!$AJ:$AJ)</f>
        <v>-0.35000000000000142</v>
      </c>
      <c r="J1070" cm="1">
        <f t="array" ref="J1070">_xlfn.XLOOKUP(TEXT(A1070, "mmm-yy"), TEXT([2]GASOLINE!$B$5:$B$208, "mmm-yy"), [2]GASOLINE!$IR$5:$IR$208, "Not Found")</f>
        <v>-43.445880356228344</v>
      </c>
      <c r="K1070" cm="1">
        <f t="array" ref="K1070">_xlfn.XLOOKUP(TEXT(A1070, "mmm-yy"), TEXT([2]GASOLINE!$B$5:$B$208, "mmm-yy"), [2]GASOLINE!$IK$5:$IK$208, "Not Found")</f>
        <v>171.30555661967617</v>
      </c>
      <c r="L1070">
        <f t="shared" si="16"/>
        <v>0</v>
      </c>
      <c r="M1070" cm="1">
        <f t="array" ref="M1070">_xlfn.XLOOKUP(TEXT(A1070, "mmm-yy"), TEXT([2]GASOLINE!$B$5:$B$208, "mmm-yy"), [2]GASOLINE!$C$5:$C$208, "Not Found")</f>
        <v>7636.1884987337407</v>
      </c>
      <c r="N1070" cm="1">
        <f t="array" ref="N1070">_xlfn.XLOOKUP(TEXT(A1070, "mmm-yy"), TEXT([2]RUNS!$B$5:$B$208, "mmm-yy"), [2]RUNS!$BM$5:$BM$208, "Not Found")</f>
        <v>0.87495550589184989</v>
      </c>
    </row>
    <row r="1071" spans="1:14" x14ac:dyDescent="0.25">
      <c r="A1071" s="1">
        <f>'[1]Global_Spot Prices'!$B2380</f>
        <v>43502</v>
      </c>
      <c r="B1071" t="e">
        <f>_xlfn.XLOOKUP(A1071,'[1]Global_Spot Prices'!$B:$B,'[1]Global_Spot Prices'!$BS:$BS)</f>
        <v>#N/A</v>
      </c>
      <c r="C1071" t="str">
        <f>_xlfn.XLOOKUP(A1071,'[1]Global_Spot Prices'!$B:$B,'[1]Global_Spot Prices'!$E:$E)</f>
        <v/>
      </c>
      <c r="D1071">
        <f>_xlfn.XLOOKUP(A1071,'[1]Global_Spot Prices'!$B:$B,'[1]Global_Spot Prices'!$D:$D)</f>
        <v>62.305</v>
      </c>
      <c r="E1071">
        <f>_xlfn.XLOOKUP(A1071,'[1]Global_Spot Prices'!$B:$B,'[1]Global_Spot Prices'!$H:$H)</f>
        <v>0</v>
      </c>
      <c r="F1071">
        <f>_xlfn.XLOOKUP(A1071,'[1]Global_Spot Prices'!$B:$B,'[1]Global_Spot Prices'!$I:$I)</f>
        <v>0</v>
      </c>
      <c r="G1071" cm="1">
        <f t="array" ref="G1071">_xlfn.XLOOKUP(TEXT(A1071, "mmm-yy"), TEXT([2]RUNS!$B$5:$B$208, "mmm-yy"), [2]RUNS!$D$5:$D$208, "Not Found")</f>
        <v>30770.522726755164</v>
      </c>
      <c r="H1071" cm="1">
        <f t="array" ref="H1071">SUMPRODUCT(
    --(TEXT('[3]Global Weekly Stock (EWSuez'!$B$4:$B$2000,"mmm-yy")=TEXT(A1071,"mmm-yy")),
    '[3]Global Weekly Stock (EWSuez'!$E$4:$E$2000)
/
SUMPRODUCT(
    --(TEXT('[3]Global Weekly Stock (EWSuez'!$B$4:$B$2000,"mmm-yy")=TEXT(A1071,"mmm-yy"))
)</f>
        <v>16670.5</v>
      </c>
      <c r="I1071">
        <f>_xlfn.XLOOKUP(A1071,[1]ForwardDeriv!$D:$D,[1]ForwardDeriv!$AJ:$AJ)</f>
        <v>-0.35000000000000142</v>
      </c>
      <c r="J1071" cm="1">
        <f t="array" ref="J1071">_xlfn.XLOOKUP(TEXT(A1071, "mmm-yy"), TEXT([2]GASOLINE!$B$5:$B$208, "mmm-yy"), [2]GASOLINE!$IR$5:$IR$208, "Not Found")</f>
        <v>-43.445880356228344</v>
      </c>
      <c r="K1071" cm="1">
        <f t="array" ref="K1071">_xlfn.XLOOKUP(TEXT(A1071, "mmm-yy"), TEXT([2]GASOLINE!$B$5:$B$208, "mmm-yy"), [2]GASOLINE!$IK$5:$IK$208, "Not Found")</f>
        <v>171.30555661967617</v>
      </c>
      <c r="L1071">
        <f t="shared" si="16"/>
        <v>0</v>
      </c>
      <c r="M1071" cm="1">
        <f t="array" ref="M1071">_xlfn.XLOOKUP(TEXT(A1071, "mmm-yy"), TEXT([2]GASOLINE!$B$5:$B$208, "mmm-yy"), [2]GASOLINE!$C$5:$C$208, "Not Found")</f>
        <v>7636.1884987337407</v>
      </c>
      <c r="N1071" cm="1">
        <f t="array" ref="N1071">_xlfn.XLOOKUP(TEXT(A1071, "mmm-yy"), TEXT([2]RUNS!$B$5:$B$208, "mmm-yy"), [2]RUNS!$BM$5:$BM$208, "Not Found")</f>
        <v>0.87495550589184989</v>
      </c>
    </row>
    <row r="1072" spans="1:14" x14ac:dyDescent="0.25">
      <c r="A1072" s="1">
        <f>'[1]Global_Spot Prices'!$B2381</f>
        <v>43503</v>
      </c>
      <c r="B1072">
        <f>_xlfn.XLOOKUP(A1072,'[1]Global_Spot Prices'!$B:$B,'[1]Global_Spot Prices'!$BS:$BS)</f>
        <v>-0.96000000000000085</v>
      </c>
      <c r="C1072">
        <f>_xlfn.XLOOKUP(A1072,'[1]Global_Spot Prices'!$B:$B,'[1]Global_Spot Prices'!$E:$E)</f>
        <v>62.5</v>
      </c>
      <c r="D1072">
        <f>_xlfn.XLOOKUP(A1072,'[1]Global_Spot Prices'!$B:$B,'[1]Global_Spot Prices'!$D:$D)</f>
        <v>60.965000000000003</v>
      </c>
      <c r="E1072">
        <f>_xlfn.XLOOKUP(A1072,'[1]Global_Spot Prices'!$B:$B,'[1]Global_Spot Prices'!$H:$H)</f>
        <v>53.96</v>
      </c>
      <c r="F1072">
        <f>_xlfn.XLOOKUP(A1072,'[1]Global_Spot Prices'!$B:$B,'[1]Global_Spot Prices'!$I:$I)</f>
        <v>61.54</v>
      </c>
      <c r="G1072" cm="1">
        <f t="array" ref="G1072">_xlfn.XLOOKUP(TEXT(A1072, "mmm-yy"), TEXT([2]RUNS!$B$5:$B$208, "mmm-yy"), [2]RUNS!$D$5:$D$208, "Not Found")</f>
        <v>30770.522726755164</v>
      </c>
      <c r="H1072" cm="1">
        <f t="array" ref="H1072">SUMPRODUCT(
    --(TEXT('[3]Global Weekly Stock (EWSuez'!$B$4:$B$2000,"mmm-yy")=TEXT(A1072,"mmm-yy")),
    '[3]Global Weekly Stock (EWSuez'!$E$4:$E$2000)
/
SUMPRODUCT(
    --(TEXT('[3]Global Weekly Stock (EWSuez'!$B$4:$B$2000,"mmm-yy")=TEXT(A1072,"mmm-yy"))
)</f>
        <v>16670.5</v>
      </c>
      <c r="I1072">
        <f>_xlfn.XLOOKUP(A1072,[1]ForwardDeriv!$D:$D,[1]ForwardDeriv!$AJ:$AJ)</f>
        <v>-0.35000000000000142</v>
      </c>
      <c r="J1072" cm="1">
        <f t="array" ref="J1072">_xlfn.XLOOKUP(TEXT(A1072, "mmm-yy"), TEXT([2]GASOLINE!$B$5:$B$208, "mmm-yy"), [2]GASOLINE!$IR$5:$IR$208, "Not Found")</f>
        <v>-43.445880356228344</v>
      </c>
      <c r="K1072" cm="1">
        <f t="array" ref="K1072">_xlfn.XLOOKUP(TEXT(A1072, "mmm-yy"), TEXT([2]GASOLINE!$B$5:$B$208, "mmm-yy"), [2]GASOLINE!$IK$5:$IK$208, "Not Found")</f>
        <v>171.30555661967617</v>
      </c>
      <c r="L1072">
        <f t="shared" si="16"/>
        <v>0</v>
      </c>
      <c r="M1072" cm="1">
        <f t="array" ref="M1072">_xlfn.XLOOKUP(TEXT(A1072, "mmm-yy"), TEXT([2]GASOLINE!$B$5:$B$208, "mmm-yy"), [2]GASOLINE!$C$5:$C$208, "Not Found")</f>
        <v>7636.1884987337407</v>
      </c>
      <c r="N1072" cm="1">
        <f t="array" ref="N1072">_xlfn.XLOOKUP(TEXT(A1072, "mmm-yy"), TEXT([2]RUNS!$B$5:$B$208, "mmm-yy"), [2]RUNS!$BM$5:$BM$208, "Not Found")</f>
        <v>0.87495550589184989</v>
      </c>
    </row>
    <row r="1073" spans="1:14" x14ac:dyDescent="0.25">
      <c r="A1073" s="1">
        <f>'[1]Global_Spot Prices'!$B2382</f>
        <v>43504</v>
      </c>
      <c r="B1073">
        <f>_xlfn.XLOOKUP(A1073,'[1]Global_Spot Prices'!$B:$B,'[1]Global_Spot Prices'!$BS:$BS)</f>
        <v>-0.75</v>
      </c>
      <c r="C1073">
        <f>_xlfn.XLOOKUP(A1073,'[1]Global_Spot Prices'!$B:$B,'[1]Global_Spot Prices'!$E:$E)</f>
        <v>61.6</v>
      </c>
      <c r="D1073">
        <f>_xlfn.XLOOKUP(A1073,'[1]Global_Spot Prices'!$B:$B,'[1]Global_Spot Prices'!$D:$D)</f>
        <v>61.96</v>
      </c>
      <c r="E1073">
        <f>_xlfn.XLOOKUP(A1073,'[1]Global_Spot Prices'!$B:$B,'[1]Global_Spot Prices'!$H:$H)</f>
        <v>52.45</v>
      </c>
      <c r="F1073">
        <f>_xlfn.XLOOKUP(A1073,'[1]Global_Spot Prices'!$B:$B,'[1]Global_Spot Prices'!$I:$I)</f>
        <v>60.85</v>
      </c>
      <c r="G1073" cm="1">
        <f t="array" ref="G1073">_xlfn.XLOOKUP(TEXT(A1073, "mmm-yy"), TEXT([2]RUNS!$B$5:$B$208, "mmm-yy"), [2]RUNS!$D$5:$D$208, "Not Found")</f>
        <v>30770.522726755164</v>
      </c>
      <c r="H1073" cm="1">
        <f t="array" ref="H1073">SUMPRODUCT(
    --(TEXT('[3]Global Weekly Stock (EWSuez'!$B$4:$B$2000,"mmm-yy")=TEXT(A1073,"mmm-yy")),
    '[3]Global Weekly Stock (EWSuez'!$E$4:$E$2000)
/
SUMPRODUCT(
    --(TEXT('[3]Global Weekly Stock (EWSuez'!$B$4:$B$2000,"mmm-yy")=TEXT(A1073,"mmm-yy"))
)</f>
        <v>16670.5</v>
      </c>
      <c r="I1073">
        <f>_xlfn.XLOOKUP(A1073,[1]ForwardDeriv!$D:$D,[1]ForwardDeriv!$AJ:$AJ)</f>
        <v>-0.23000000000000398</v>
      </c>
      <c r="J1073" cm="1">
        <f t="array" ref="J1073">_xlfn.XLOOKUP(TEXT(A1073, "mmm-yy"), TEXT([2]GASOLINE!$B$5:$B$208, "mmm-yy"), [2]GASOLINE!$IR$5:$IR$208, "Not Found")</f>
        <v>-43.445880356228344</v>
      </c>
      <c r="K1073" cm="1">
        <f t="array" ref="K1073">_xlfn.XLOOKUP(TEXT(A1073, "mmm-yy"), TEXT([2]GASOLINE!$B$5:$B$208, "mmm-yy"), [2]GASOLINE!$IK$5:$IK$208, "Not Found")</f>
        <v>171.30555661967617</v>
      </c>
      <c r="L1073">
        <f t="shared" si="16"/>
        <v>0</v>
      </c>
      <c r="M1073" cm="1">
        <f t="array" ref="M1073">_xlfn.XLOOKUP(TEXT(A1073, "mmm-yy"), TEXT([2]GASOLINE!$B$5:$B$208, "mmm-yy"), [2]GASOLINE!$C$5:$C$208, "Not Found")</f>
        <v>7636.1884987337407</v>
      </c>
      <c r="N1073" cm="1">
        <f t="array" ref="N1073">_xlfn.XLOOKUP(TEXT(A1073, "mmm-yy"), TEXT([2]RUNS!$B$5:$B$208, "mmm-yy"), [2]RUNS!$BM$5:$BM$208, "Not Found")</f>
        <v>0.87495550589184989</v>
      </c>
    </row>
    <row r="1074" spans="1:14" x14ac:dyDescent="0.25">
      <c r="A1074" s="1">
        <f>'[1]Global_Spot Prices'!$B2383</f>
        <v>43507</v>
      </c>
      <c r="B1074">
        <f>_xlfn.XLOOKUP(A1074,'[1]Global_Spot Prices'!$B:$B,'[1]Global_Spot Prices'!$BS:$BS)</f>
        <v>-2.0000000000003126E-2</v>
      </c>
      <c r="C1074">
        <f>_xlfn.XLOOKUP(A1074,'[1]Global_Spot Prices'!$B:$B,'[1]Global_Spot Prices'!$E:$E)</f>
        <v>62</v>
      </c>
      <c r="D1074">
        <f>_xlfn.XLOOKUP(A1074,'[1]Global_Spot Prices'!$B:$B,'[1]Global_Spot Prices'!$D:$D)</f>
        <v>61.31</v>
      </c>
      <c r="E1074">
        <f>_xlfn.XLOOKUP(A1074,'[1]Global_Spot Prices'!$B:$B,'[1]Global_Spot Prices'!$H:$H)</f>
        <v>53.73</v>
      </c>
      <c r="F1074">
        <f>_xlfn.XLOOKUP(A1074,'[1]Global_Spot Prices'!$B:$B,'[1]Global_Spot Prices'!$I:$I)</f>
        <v>61.98</v>
      </c>
      <c r="G1074" cm="1">
        <f t="array" ref="G1074">_xlfn.XLOOKUP(TEXT(A1074, "mmm-yy"), TEXT([2]RUNS!$B$5:$B$208, "mmm-yy"), [2]RUNS!$D$5:$D$208, "Not Found")</f>
        <v>30770.522726755164</v>
      </c>
      <c r="H1074" cm="1">
        <f t="array" ref="H1074">SUMPRODUCT(
    --(TEXT('[3]Global Weekly Stock (EWSuez'!$B$4:$B$2000,"mmm-yy")=TEXT(A1074,"mmm-yy")),
    '[3]Global Weekly Stock (EWSuez'!$E$4:$E$2000)
/
SUMPRODUCT(
    --(TEXT('[3]Global Weekly Stock (EWSuez'!$B$4:$B$2000,"mmm-yy")=TEXT(A1074,"mmm-yy"))
)</f>
        <v>16670.5</v>
      </c>
      <c r="I1074">
        <f>_xlfn.XLOOKUP(A1074,[1]ForwardDeriv!$D:$D,[1]ForwardDeriv!$AJ:$AJ)</f>
        <v>-9.9999999999994316E-2</v>
      </c>
      <c r="J1074" cm="1">
        <f t="array" ref="J1074">_xlfn.XLOOKUP(TEXT(A1074, "mmm-yy"), TEXT([2]GASOLINE!$B$5:$B$208, "mmm-yy"), [2]GASOLINE!$IR$5:$IR$208, "Not Found")</f>
        <v>-43.445880356228344</v>
      </c>
      <c r="K1074" cm="1">
        <f t="array" ref="K1074">_xlfn.XLOOKUP(TEXT(A1074, "mmm-yy"), TEXT([2]GASOLINE!$B$5:$B$208, "mmm-yy"), [2]GASOLINE!$IK$5:$IK$208, "Not Found")</f>
        <v>171.30555661967617</v>
      </c>
      <c r="L1074">
        <f t="shared" si="16"/>
        <v>0</v>
      </c>
      <c r="M1074" cm="1">
        <f t="array" ref="M1074">_xlfn.XLOOKUP(TEXT(A1074, "mmm-yy"), TEXT([2]GASOLINE!$B$5:$B$208, "mmm-yy"), [2]GASOLINE!$C$5:$C$208, "Not Found")</f>
        <v>7636.1884987337407</v>
      </c>
      <c r="N1074" cm="1">
        <f t="array" ref="N1074">_xlfn.XLOOKUP(TEXT(A1074, "mmm-yy"), TEXT([2]RUNS!$B$5:$B$208, "mmm-yy"), [2]RUNS!$BM$5:$BM$208, "Not Found")</f>
        <v>0.87495550589184989</v>
      </c>
    </row>
    <row r="1075" spans="1:14" x14ac:dyDescent="0.25">
      <c r="A1075" s="1">
        <f>'[1]Global_Spot Prices'!$B2384</f>
        <v>43508</v>
      </c>
      <c r="B1075">
        <f>_xlfn.XLOOKUP(A1075,'[1]Global_Spot Prices'!$B:$B,'[1]Global_Spot Prices'!$BS:$BS)</f>
        <v>-0.75999999999999801</v>
      </c>
      <c r="C1075">
        <f>_xlfn.XLOOKUP(A1075,'[1]Global_Spot Prices'!$B:$B,'[1]Global_Spot Prices'!$E:$E)</f>
        <v>62.21</v>
      </c>
      <c r="D1075">
        <f>_xlfn.XLOOKUP(A1075,'[1]Global_Spot Prices'!$B:$B,'[1]Global_Spot Prices'!$D:$D)</f>
        <v>62.57</v>
      </c>
      <c r="E1075">
        <f>_xlfn.XLOOKUP(A1075,'[1]Global_Spot Prices'!$B:$B,'[1]Global_Spot Prices'!$H:$H)</f>
        <v>54.28</v>
      </c>
      <c r="F1075">
        <f>_xlfn.XLOOKUP(A1075,'[1]Global_Spot Prices'!$B:$B,'[1]Global_Spot Prices'!$I:$I)</f>
        <v>61.45</v>
      </c>
      <c r="G1075" cm="1">
        <f t="array" ref="G1075">_xlfn.XLOOKUP(TEXT(A1075, "mmm-yy"), TEXT([2]RUNS!$B$5:$B$208, "mmm-yy"), [2]RUNS!$D$5:$D$208, "Not Found")</f>
        <v>30770.522726755164</v>
      </c>
      <c r="H1075" cm="1">
        <f t="array" ref="H1075">SUMPRODUCT(
    --(TEXT('[3]Global Weekly Stock (EWSuez'!$B$4:$B$2000,"mmm-yy")=TEXT(A1075,"mmm-yy")),
    '[3]Global Weekly Stock (EWSuez'!$E$4:$E$2000)
/
SUMPRODUCT(
    --(TEXT('[3]Global Weekly Stock (EWSuez'!$B$4:$B$2000,"mmm-yy")=TEXT(A1075,"mmm-yy"))
)</f>
        <v>16670.5</v>
      </c>
      <c r="I1075">
        <f>_xlfn.XLOOKUP(A1075,[1]ForwardDeriv!$D:$D,[1]ForwardDeriv!$AJ:$AJ)</f>
        <v>-0.21999999999999886</v>
      </c>
      <c r="J1075" cm="1">
        <f t="array" ref="J1075">_xlfn.XLOOKUP(TEXT(A1075, "mmm-yy"), TEXT([2]GASOLINE!$B$5:$B$208, "mmm-yy"), [2]GASOLINE!$IR$5:$IR$208, "Not Found")</f>
        <v>-43.445880356228344</v>
      </c>
      <c r="K1075" cm="1">
        <f t="array" ref="K1075">_xlfn.XLOOKUP(TEXT(A1075, "mmm-yy"), TEXT([2]GASOLINE!$B$5:$B$208, "mmm-yy"), [2]GASOLINE!$IK$5:$IK$208, "Not Found")</f>
        <v>171.30555661967617</v>
      </c>
      <c r="L1075">
        <f t="shared" si="16"/>
        <v>0</v>
      </c>
      <c r="M1075" cm="1">
        <f t="array" ref="M1075">_xlfn.XLOOKUP(TEXT(A1075, "mmm-yy"), TEXT([2]GASOLINE!$B$5:$B$208, "mmm-yy"), [2]GASOLINE!$C$5:$C$208, "Not Found")</f>
        <v>7636.1884987337407</v>
      </c>
      <c r="N1075" cm="1">
        <f t="array" ref="N1075">_xlfn.XLOOKUP(TEXT(A1075, "mmm-yy"), TEXT([2]RUNS!$B$5:$B$208, "mmm-yy"), [2]RUNS!$BM$5:$BM$208, "Not Found")</f>
        <v>0.87495550589184989</v>
      </c>
    </row>
    <row r="1076" spans="1:14" x14ac:dyDescent="0.25">
      <c r="A1076" s="1">
        <f>'[1]Global_Spot Prices'!$B2385</f>
        <v>43509</v>
      </c>
      <c r="B1076">
        <f>_xlfn.XLOOKUP(A1076,'[1]Global_Spot Prices'!$B:$B,'[1]Global_Spot Prices'!$BS:$BS)</f>
        <v>-0.95499999999999829</v>
      </c>
      <c r="C1076">
        <f>_xlfn.XLOOKUP(A1076,'[1]Global_Spot Prices'!$B:$B,'[1]Global_Spot Prices'!$E:$E)</f>
        <v>63.354999999999997</v>
      </c>
      <c r="D1076">
        <f>_xlfn.XLOOKUP(A1076,'[1]Global_Spot Prices'!$B:$B,'[1]Global_Spot Prices'!$D:$D)</f>
        <v>63.475000000000001</v>
      </c>
      <c r="E1076">
        <f>_xlfn.XLOOKUP(A1076,'[1]Global_Spot Prices'!$B:$B,'[1]Global_Spot Prices'!$H:$H)</f>
        <v>55.02</v>
      </c>
      <c r="F1076">
        <f>_xlfn.XLOOKUP(A1076,'[1]Global_Spot Prices'!$B:$B,'[1]Global_Spot Prices'!$I:$I)</f>
        <v>62.4</v>
      </c>
      <c r="G1076" cm="1">
        <f t="array" ref="G1076">_xlfn.XLOOKUP(TEXT(A1076, "mmm-yy"), TEXT([2]RUNS!$B$5:$B$208, "mmm-yy"), [2]RUNS!$D$5:$D$208, "Not Found")</f>
        <v>30770.522726755164</v>
      </c>
      <c r="H1076" cm="1">
        <f t="array" ref="H1076">SUMPRODUCT(
    --(TEXT('[3]Global Weekly Stock (EWSuez'!$B$4:$B$2000,"mmm-yy")=TEXT(A1076,"mmm-yy")),
    '[3]Global Weekly Stock (EWSuez'!$E$4:$E$2000)
/
SUMPRODUCT(
    --(TEXT('[3]Global Weekly Stock (EWSuez'!$B$4:$B$2000,"mmm-yy")=TEXT(A1076,"mmm-yy"))
)</f>
        <v>16670.5</v>
      </c>
      <c r="I1076">
        <f>_xlfn.XLOOKUP(A1076,[1]ForwardDeriv!$D:$D,[1]ForwardDeriv!$AJ:$AJ)</f>
        <v>-0.15999999999999659</v>
      </c>
      <c r="J1076" cm="1">
        <f t="array" ref="J1076">_xlfn.XLOOKUP(TEXT(A1076, "mmm-yy"), TEXT([2]GASOLINE!$B$5:$B$208, "mmm-yy"), [2]GASOLINE!$IR$5:$IR$208, "Not Found")</f>
        <v>-43.445880356228344</v>
      </c>
      <c r="K1076" cm="1">
        <f t="array" ref="K1076">_xlfn.XLOOKUP(TEXT(A1076, "mmm-yy"), TEXT([2]GASOLINE!$B$5:$B$208, "mmm-yy"), [2]GASOLINE!$IK$5:$IK$208, "Not Found")</f>
        <v>171.30555661967617</v>
      </c>
      <c r="L1076">
        <f t="shared" si="16"/>
        <v>0</v>
      </c>
      <c r="M1076" cm="1">
        <f t="array" ref="M1076">_xlfn.XLOOKUP(TEXT(A1076, "mmm-yy"), TEXT([2]GASOLINE!$B$5:$B$208, "mmm-yy"), [2]GASOLINE!$C$5:$C$208, "Not Found")</f>
        <v>7636.1884987337407</v>
      </c>
      <c r="N1076" cm="1">
        <f t="array" ref="N1076">_xlfn.XLOOKUP(TEXT(A1076, "mmm-yy"), TEXT([2]RUNS!$B$5:$B$208, "mmm-yy"), [2]RUNS!$BM$5:$BM$208, "Not Found")</f>
        <v>0.87495550589184989</v>
      </c>
    </row>
    <row r="1077" spans="1:14" x14ac:dyDescent="0.25">
      <c r="A1077" s="1">
        <f>'[1]Global_Spot Prices'!$B2386</f>
        <v>43510</v>
      </c>
      <c r="B1077">
        <f>_xlfn.XLOOKUP(A1077,'[1]Global_Spot Prices'!$B:$B,'[1]Global_Spot Prices'!$BS:$BS)</f>
        <v>-1.4899999999999949</v>
      </c>
      <c r="C1077">
        <f>_xlfn.XLOOKUP(A1077,'[1]Global_Spot Prices'!$B:$B,'[1]Global_Spot Prices'!$E:$E)</f>
        <v>65.3</v>
      </c>
      <c r="D1077">
        <f>_xlfn.XLOOKUP(A1077,'[1]Global_Spot Prices'!$B:$B,'[1]Global_Spot Prices'!$D:$D)</f>
        <v>63.895000000000003</v>
      </c>
      <c r="E1077">
        <f>_xlfn.XLOOKUP(A1077,'[1]Global_Spot Prices'!$B:$B,'[1]Global_Spot Prices'!$H:$H)</f>
        <v>55.89</v>
      </c>
      <c r="F1077">
        <f>_xlfn.XLOOKUP(A1077,'[1]Global_Spot Prices'!$B:$B,'[1]Global_Spot Prices'!$I:$I)</f>
        <v>63.81</v>
      </c>
      <c r="G1077" cm="1">
        <f t="array" ref="G1077">_xlfn.XLOOKUP(TEXT(A1077, "mmm-yy"), TEXT([2]RUNS!$B$5:$B$208, "mmm-yy"), [2]RUNS!$D$5:$D$208, "Not Found")</f>
        <v>30770.522726755164</v>
      </c>
      <c r="H1077" cm="1">
        <f t="array" ref="H1077">SUMPRODUCT(
    --(TEXT('[3]Global Weekly Stock (EWSuez'!$B$4:$B$2000,"mmm-yy")=TEXT(A1077,"mmm-yy")),
    '[3]Global Weekly Stock (EWSuez'!$E$4:$E$2000)
/
SUMPRODUCT(
    --(TEXT('[3]Global Weekly Stock (EWSuez'!$B$4:$B$2000,"mmm-yy")=TEXT(A1077,"mmm-yy"))
)</f>
        <v>16670.5</v>
      </c>
      <c r="I1077">
        <f>_xlfn.XLOOKUP(A1077,[1]ForwardDeriv!$D:$D,[1]ForwardDeriv!$AJ:$AJ)</f>
        <v>-0.18000000000000682</v>
      </c>
      <c r="J1077" cm="1">
        <f t="array" ref="J1077">_xlfn.XLOOKUP(TEXT(A1077, "mmm-yy"), TEXT([2]GASOLINE!$B$5:$B$208, "mmm-yy"), [2]GASOLINE!$IR$5:$IR$208, "Not Found")</f>
        <v>-43.445880356228344</v>
      </c>
      <c r="K1077" cm="1">
        <f t="array" ref="K1077">_xlfn.XLOOKUP(TEXT(A1077, "mmm-yy"), TEXT([2]GASOLINE!$B$5:$B$208, "mmm-yy"), [2]GASOLINE!$IK$5:$IK$208, "Not Found")</f>
        <v>171.30555661967617</v>
      </c>
      <c r="L1077">
        <f t="shared" si="16"/>
        <v>0</v>
      </c>
      <c r="M1077" cm="1">
        <f t="array" ref="M1077">_xlfn.XLOOKUP(TEXT(A1077, "mmm-yy"), TEXT([2]GASOLINE!$B$5:$B$208, "mmm-yy"), [2]GASOLINE!$C$5:$C$208, "Not Found")</f>
        <v>7636.1884987337407</v>
      </c>
      <c r="N1077" cm="1">
        <f t="array" ref="N1077">_xlfn.XLOOKUP(TEXT(A1077, "mmm-yy"), TEXT([2]RUNS!$B$5:$B$208, "mmm-yy"), [2]RUNS!$BM$5:$BM$208, "Not Found")</f>
        <v>0.87495550589184989</v>
      </c>
    </row>
    <row r="1078" spans="1:14" x14ac:dyDescent="0.25">
      <c r="A1078" s="1">
        <f>'[1]Global_Spot Prices'!$B2387</f>
        <v>43511</v>
      </c>
      <c r="B1078">
        <f>_xlfn.XLOOKUP(A1078,'[1]Global_Spot Prices'!$B:$B,'[1]Global_Spot Prices'!$BS:$BS)</f>
        <v>-0.70000000000000284</v>
      </c>
      <c r="C1078">
        <f>_xlfn.XLOOKUP(A1078,'[1]Global_Spot Prices'!$B:$B,'[1]Global_Spot Prices'!$E:$E)</f>
        <v>65.09</v>
      </c>
      <c r="D1078">
        <f>_xlfn.XLOOKUP(A1078,'[1]Global_Spot Prices'!$B:$B,'[1]Global_Spot Prices'!$D:$D)</f>
        <v>65.784999999999997</v>
      </c>
      <c r="E1078">
        <f>_xlfn.XLOOKUP(A1078,'[1]Global_Spot Prices'!$B:$B,'[1]Global_Spot Prices'!$H:$H)</f>
        <v>56.39</v>
      </c>
      <c r="F1078">
        <f>_xlfn.XLOOKUP(A1078,'[1]Global_Spot Prices'!$B:$B,'[1]Global_Spot Prices'!$I:$I)</f>
        <v>64.39</v>
      </c>
      <c r="G1078" cm="1">
        <f t="array" ref="G1078">_xlfn.XLOOKUP(TEXT(A1078, "mmm-yy"), TEXT([2]RUNS!$B$5:$B$208, "mmm-yy"), [2]RUNS!$D$5:$D$208, "Not Found")</f>
        <v>30770.522726755164</v>
      </c>
      <c r="H1078" cm="1">
        <f t="array" ref="H1078">SUMPRODUCT(
    --(TEXT('[3]Global Weekly Stock (EWSuez'!$B$4:$B$2000,"mmm-yy")=TEXT(A1078,"mmm-yy")),
    '[3]Global Weekly Stock (EWSuez'!$E$4:$E$2000)
/
SUMPRODUCT(
    --(TEXT('[3]Global Weekly Stock (EWSuez'!$B$4:$B$2000,"mmm-yy")=TEXT(A1078,"mmm-yy"))
)</f>
        <v>16670.5</v>
      </c>
      <c r="I1078">
        <f>_xlfn.XLOOKUP(A1078,[1]ForwardDeriv!$D:$D,[1]ForwardDeriv!$AJ:$AJ)</f>
        <v>-0.14000000000000057</v>
      </c>
      <c r="J1078" cm="1">
        <f t="array" ref="J1078">_xlfn.XLOOKUP(TEXT(A1078, "mmm-yy"), TEXT([2]GASOLINE!$B$5:$B$208, "mmm-yy"), [2]GASOLINE!$IR$5:$IR$208, "Not Found")</f>
        <v>-43.445880356228344</v>
      </c>
      <c r="K1078" cm="1">
        <f t="array" ref="K1078">_xlfn.XLOOKUP(TEXT(A1078, "mmm-yy"), TEXT([2]GASOLINE!$B$5:$B$208, "mmm-yy"), [2]GASOLINE!$IK$5:$IK$208, "Not Found")</f>
        <v>171.30555661967617</v>
      </c>
      <c r="L1078">
        <f t="shared" si="16"/>
        <v>0</v>
      </c>
      <c r="M1078" cm="1">
        <f t="array" ref="M1078">_xlfn.XLOOKUP(TEXT(A1078, "mmm-yy"), TEXT([2]GASOLINE!$B$5:$B$208, "mmm-yy"), [2]GASOLINE!$C$5:$C$208, "Not Found")</f>
        <v>7636.1884987337407</v>
      </c>
      <c r="N1078" cm="1">
        <f t="array" ref="N1078">_xlfn.XLOOKUP(TEXT(A1078, "mmm-yy"), TEXT([2]RUNS!$B$5:$B$208, "mmm-yy"), [2]RUNS!$BM$5:$BM$208, "Not Found")</f>
        <v>0.87495550589184989</v>
      </c>
    </row>
    <row r="1079" spans="1:14" x14ac:dyDescent="0.25">
      <c r="A1079" s="1">
        <f>'[1]Global_Spot Prices'!$B2388</f>
        <v>43514</v>
      </c>
      <c r="B1079">
        <f>_xlfn.XLOOKUP(A1079,'[1]Global_Spot Prices'!$B:$B,'[1]Global_Spot Prices'!$BS:$BS)</f>
        <v>-1.9999999999996021E-2</v>
      </c>
      <c r="C1079">
        <f>_xlfn.XLOOKUP(A1079,'[1]Global_Spot Prices'!$B:$B,'[1]Global_Spot Prices'!$E:$E)</f>
        <v>66.709999999999994</v>
      </c>
      <c r="D1079">
        <f>_xlfn.XLOOKUP(A1079,'[1]Global_Spot Prices'!$B:$B,'[1]Global_Spot Prices'!$D:$D)</f>
        <v>66.430000000000007</v>
      </c>
      <c r="E1079">
        <f>_xlfn.XLOOKUP(A1079,'[1]Global_Spot Prices'!$B:$B,'[1]Global_Spot Prices'!$H:$H)</f>
        <v>58.15</v>
      </c>
      <c r="F1079">
        <f>_xlfn.XLOOKUP(A1079,'[1]Global_Spot Prices'!$B:$B,'[1]Global_Spot Prices'!$I:$I)</f>
        <v>66.69</v>
      </c>
      <c r="G1079" cm="1">
        <f t="array" ref="G1079">_xlfn.XLOOKUP(TEXT(A1079, "mmm-yy"), TEXT([2]RUNS!$B$5:$B$208, "mmm-yy"), [2]RUNS!$D$5:$D$208, "Not Found")</f>
        <v>30770.522726755164</v>
      </c>
      <c r="H1079" cm="1">
        <f t="array" ref="H1079">SUMPRODUCT(
    --(TEXT('[3]Global Weekly Stock (EWSuez'!$B$4:$B$2000,"mmm-yy")=TEXT(A1079,"mmm-yy")),
    '[3]Global Weekly Stock (EWSuez'!$E$4:$E$2000)
/
SUMPRODUCT(
    --(TEXT('[3]Global Weekly Stock (EWSuez'!$B$4:$B$2000,"mmm-yy")=TEXT(A1079,"mmm-yy"))
)</f>
        <v>16670.5</v>
      </c>
      <c r="I1079">
        <f>_xlfn.XLOOKUP(A1079,[1]ForwardDeriv!$D:$D,[1]ForwardDeriv!$AJ:$AJ)</f>
        <v>-0.15999999999999659</v>
      </c>
      <c r="J1079" cm="1">
        <f t="array" ref="J1079">_xlfn.XLOOKUP(TEXT(A1079, "mmm-yy"), TEXT([2]GASOLINE!$B$5:$B$208, "mmm-yy"), [2]GASOLINE!$IR$5:$IR$208, "Not Found")</f>
        <v>-43.445880356228344</v>
      </c>
      <c r="K1079" cm="1">
        <f t="array" ref="K1079">_xlfn.XLOOKUP(TEXT(A1079, "mmm-yy"), TEXT([2]GASOLINE!$B$5:$B$208, "mmm-yy"), [2]GASOLINE!$IK$5:$IK$208, "Not Found")</f>
        <v>171.30555661967617</v>
      </c>
      <c r="L1079">
        <f t="shared" si="16"/>
        <v>0</v>
      </c>
      <c r="M1079" cm="1">
        <f t="array" ref="M1079">_xlfn.XLOOKUP(TEXT(A1079, "mmm-yy"), TEXT([2]GASOLINE!$B$5:$B$208, "mmm-yy"), [2]GASOLINE!$C$5:$C$208, "Not Found")</f>
        <v>7636.1884987337407</v>
      </c>
      <c r="N1079" cm="1">
        <f t="array" ref="N1079">_xlfn.XLOOKUP(TEXT(A1079, "mmm-yy"), TEXT([2]RUNS!$B$5:$B$208, "mmm-yy"), [2]RUNS!$BM$5:$BM$208, "Not Found")</f>
        <v>0.87495550589184989</v>
      </c>
    </row>
    <row r="1080" spans="1:14" x14ac:dyDescent="0.25">
      <c r="A1080" s="1">
        <f>'[1]Global_Spot Prices'!$B2389</f>
        <v>43515</v>
      </c>
      <c r="B1080">
        <f>_xlfn.XLOOKUP(A1080,'[1]Global_Spot Prices'!$B:$B,'[1]Global_Spot Prices'!$BS:$BS)</f>
        <v>-8.99999999999892E-2</v>
      </c>
      <c r="C1080">
        <f>_xlfn.XLOOKUP(A1080,'[1]Global_Spot Prices'!$B:$B,'[1]Global_Spot Prices'!$E:$E)</f>
        <v>66.459999999999994</v>
      </c>
      <c r="D1080">
        <f>_xlfn.XLOOKUP(A1080,'[1]Global_Spot Prices'!$B:$B,'[1]Global_Spot Prices'!$D:$D)</f>
        <v>65.935000000000002</v>
      </c>
      <c r="E1080">
        <f>_xlfn.XLOOKUP(A1080,'[1]Global_Spot Prices'!$B:$B,'[1]Global_Spot Prices'!$H:$H)</f>
        <v>57.95</v>
      </c>
      <c r="F1080">
        <f>_xlfn.XLOOKUP(A1080,'[1]Global_Spot Prices'!$B:$B,'[1]Global_Spot Prices'!$I:$I)</f>
        <v>66.37</v>
      </c>
      <c r="G1080" cm="1">
        <f t="array" ref="G1080">_xlfn.XLOOKUP(TEXT(A1080, "mmm-yy"), TEXT([2]RUNS!$B$5:$B$208, "mmm-yy"), [2]RUNS!$D$5:$D$208, "Not Found")</f>
        <v>30770.522726755164</v>
      </c>
      <c r="H1080" cm="1">
        <f t="array" ref="H1080">SUMPRODUCT(
    --(TEXT('[3]Global Weekly Stock (EWSuez'!$B$4:$B$2000,"mmm-yy")=TEXT(A1080,"mmm-yy")),
    '[3]Global Weekly Stock (EWSuez'!$E$4:$E$2000)
/
SUMPRODUCT(
    --(TEXT('[3]Global Weekly Stock (EWSuez'!$B$4:$B$2000,"mmm-yy")=TEXT(A1080,"mmm-yy"))
)</f>
        <v>16670.5</v>
      </c>
      <c r="I1080">
        <f>_xlfn.XLOOKUP(A1080,[1]ForwardDeriv!$D:$D,[1]ForwardDeriv!$AJ:$AJ)</f>
        <v>-0.20000000000000284</v>
      </c>
      <c r="J1080" cm="1">
        <f t="array" ref="J1080">_xlfn.XLOOKUP(TEXT(A1080, "mmm-yy"), TEXT([2]GASOLINE!$B$5:$B$208, "mmm-yy"), [2]GASOLINE!$IR$5:$IR$208, "Not Found")</f>
        <v>-43.445880356228344</v>
      </c>
      <c r="K1080" cm="1">
        <f t="array" ref="K1080">_xlfn.XLOOKUP(TEXT(A1080, "mmm-yy"), TEXT([2]GASOLINE!$B$5:$B$208, "mmm-yy"), [2]GASOLINE!$IK$5:$IK$208, "Not Found")</f>
        <v>171.30555661967617</v>
      </c>
      <c r="L1080">
        <f t="shared" si="16"/>
        <v>0</v>
      </c>
      <c r="M1080" cm="1">
        <f t="array" ref="M1080">_xlfn.XLOOKUP(TEXT(A1080, "mmm-yy"), TEXT([2]GASOLINE!$B$5:$B$208, "mmm-yy"), [2]GASOLINE!$C$5:$C$208, "Not Found")</f>
        <v>7636.1884987337407</v>
      </c>
      <c r="N1080" cm="1">
        <f t="array" ref="N1080">_xlfn.XLOOKUP(TEXT(A1080, "mmm-yy"), TEXT([2]RUNS!$B$5:$B$208, "mmm-yy"), [2]RUNS!$BM$5:$BM$208, "Not Found")</f>
        <v>0.87495550589184989</v>
      </c>
    </row>
    <row r="1081" spans="1:14" x14ac:dyDescent="0.25">
      <c r="A1081" s="1">
        <f>'[1]Global_Spot Prices'!$B2390</f>
        <v>43516</v>
      </c>
      <c r="B1081">
        <f>_xlfn.XLOOKUP(A1081,'[1]Global_Spot Prices'!$B:$B,'[1]Global_Spot Prices'!$BS:$BS)</f>
        <v>-0.14999999999999147</v>
      </c>
      <c r="C1081">
        <f>_xlfn.XLOOKUP(A1081,'[1]Global_Spot Prices'!$B:$B,'[1]Global_Spot Prices'!$E:$E)</f>
        <v>66.349999999999994</v>
      </c>
      <c r="D1081">
        <f>_xlfn.XLOOKUP(A1081,'[1]Global_Spot Prices'!$B:$B,'[1]Global_Spot Prices'!$D:$D)</f>
        <v>66.864999999999995</v>
      </c>
      <c r="E1081">
        <f>_xlfn.XLOOKUP(A1081,'[1]Global_Spot Prices'!$B:$B,'[1]Global_Spot Prices'!$H:$H)</f>
        <v>58.26</v>
      </c>
      <c r="F1081">
        <f>_xlfn.XLOOKUP(A1081,'[1]Global_Spot Prices'!$B:$B,'[1]Global_Spot Prices'!$I:$I)</f>
        <v>66.2</v>
      </c>
      <c r="G1081" cm="1">
        <f t="array" ref="G1081">_xlfn.XLOOKUP(TEXT(A1081, "mmm-yy"), TEXT([2]RUNS!$B$5:$B$208, "mmm-yy"), [2]RUNS!$D$5:$D$208, "Not Found")</f>
        <v>30770.522726755164</v>
      </c>
      <c r="H1081" cm="1">
        <f t="array" ref="H1081">SUMPRODUCT(
    --(TEXT('[3]Global Weekly Stock (EWSuez'!$B$4:$B$2000,"mmm-yy")=TEXT(A1081,"mmm-yy")),
    '[3]Global Weekly Stock (EWSuez'!$E$4:$E$2000)
/
SUMPRODUCT(
    --(TEXT('[3]Global Weekly Stock (EWSuez'!$B$4:$B$2000,"mmm-yy")=TEXT(A1081,"mmm-yy"))
)</f>
        <v>16670.5</v>
      </c>
      <c r="I1081">
        <f>_xlfn.XLOOKUP(A1081,[1]ForwardDeriv!$D:$D,[1]ForwardDeriv!$AJ:$AJ)</f>
        <v>-0.25</v>
      </c>
      <c r="J1081" cm="1">
        <f t="array" ref="J1081">_xlfn.XLOOKUP(TEXT(A1081, "mmm-yy"), TEXT([2]GASOLINE!$B$5:$B$208, "mmm-yy"), [2]GASOLINE!$IR$5:$IR$208, "Not Found")</f>
        <v>-43.445880356228344</v>
      </c>
      <c r="K1081" cm="1">
        <f t="array" ref="K1081">_xlfn.XLOOKUP(TEXT(A1081, "mmm-yy"), TEXT([2]GASOLINE!$B$5:$B$208, "mmm-yy"), [2]GASOLINE!$IK$5:$IK$208, "Not Found")</f>
        <v>171.30555661967617</v>
      </c>
      <c r="L1081">
        <f t="shared" si="16"/>
        <v>0</v>
      </c>
      <c r="M1081" cm="1">
        <f t="array" ref="M1081">_xlfn.XLOOKUP(TEXT(A1081, "mmm-yy"), TEXT([2]GASOLINE!$B$5:$B$208, "mmm-yy"), [2]GASOLINE!$C$5:$C$208, "Not Found")</f>
        <v>7636.1884987337407</v>
      </c>
      <c r="N1081" cm="1">
        <f t="array" ref="N1081">_xlfn.XLOOKUP(TEXT(A1081, "mmm-yy"), TEXT([2]RUNS!$B$5:$B$208, "mmm-yy"), [2]RUNS!$BM$5:$BM$208, "Not Found")</f>
        <v>0.87495550589184989</v>
      </c>
    </row>
    <row r="1082" spans="1:14" x14ac:dyDescent="0.25">
      <c r="A1082" s="1">
        <f>'[1]Global_Spot Prices'!$B2391</f>
        <v>43517</v>
      </c>
      <c r="B1082">
        <f>_xlfn.XLOOKUP(A1082,'[1]Global_Spot Prices'!$B:$B,'[1]Global_Spot Prices'!$BS:$BS)</f>
        <v>4.9999999999997158E-2</v>
      </c>
      <c r="C1082">
        <f>_xlfn.XLOOKUP(A1082,'[1]Global_Spot Prices'!$B:$B,'[1]Global_Spot Prices'!$E:$E)</f>
        <v>67.11</v>
      </c>
      <c r="D1082">
        <f>_xlfn.XLOOKUP(A1082,'[1]Global_Spot Prices'!$B:$B,'[1]Global_Spot Prices'!$D:$D)</f>
        <v>66.95</v>
      </c>
      <c r="E1082">
        <f>_xlfn.XLOOKUP(A1082,'[1]Global_Spot Prices'!$B:$B,'[1]Global_Spot Prices'!$H:$H)</f>
        <v>58.73</v>
      </c>
      <c r="F1082">
        <f>_xlfn.XLOOKUP(A1082,'[1]Global_Spot Prices'!$B:$B,'[1]Global_Spot Prices'!$I:$I)</f>
        <v>67.16</v>
      </c>
      <c r="G1082" cm="1">
        <f t="array" ref="G1082">_xlfn.XLOOKUP(TEXT(A1082, "mmm-yy"), TEXT([2]RUNS!$B$5:$B$208, "mmm-yy"), [2]RUNS!$D$5:$D$208, "Not Found")</f>
        <v>30770.522726755164</v>
      </c>
      <c r="H1082" cm="1">
        <f t="array" ref="H1082">SUMPRODUCT(
    --(TEXT('[3]Global Weekly Stock (EWSuez'!$B$4:$B$2000,"mmm-yy")=TEXT(A1082,"mmm-yy")),
    '[3]Global Weekly Stock (EWSuez'!$E$4:$E$2000)
/
SUMPRODUCT(
    --(TEXT('[3]Global Weekly Stock (EWSuez'!$B$4:$B$2000,"mmm-yy")=TEXT(A1082,"mmm-yy"))
)</f>
        <v>16670.5</v>
      </c>
      <c r="I1082">
        <f>_xlfn.XLOOKUP(A1082,[1]ForwardDeriv!$D:$D,[1]ForwardDeriv!$AJ:$AJ)</f>
        <v>-0.23000000000000398</v>
      </c>
      <c r="J1082" cm="1">
        <f t="array" ref="J1082">_xlfn.XLOOKUP(TEXT(A1082, "mmm-yy"), TEXT([2]GASOLINE!$B$5:$B$208, "mmm-yy"), [2]GASOLINE!$IR$5:$IR$208, "Not Found")</f>
        <v>-43.445880356228344</v>
      </c>
      <c r="K1082" cm="1">
        <f t="array" ref="K1082">_xlfn.XLOOKUP(TEXT(A1082, "mmm-yy"), TEXT([2]GASOLINE!$B$5:$B$208, "mmm-yy"), [2]GASOLINE!$IK$5:$IK$208, "Not Found")</f>
        <v>171.30555661967617</v>
      </c>
      <c r="L1082">
        <f t="shared" si="16"/>
        <v>0</v>
      </c>
      <c r="M1082" cm="1">
        <f t="array" ref="M1082">_xlfn.XLOOKUP(TEXT(A1082, "mmm-yy"), TEXT([2]GASOLINE!$B$5:$B$208, "mmm-yy"), [2]GASOLINE!$C$5:$C$208, "Not Found")</f>
        <v>7636.1884987337407</v>
      </c>
      <c r="N1082" cm="1">
        <f t="array" ref="N1082">_xlfn.XLOOKUP(TEXT(A1082, "mmm-yy"), TEXT([2]RUNS!$B$5:$B$208, "mmm-yy"), [2]RUNS!$BM$5:$BM$208, "Not Found")</f>
        <v>0.87495550589184989</v>
      </c>
    </row>
    <row r="1083" spans="1:14" x14ac:dyDescent="0.25">
      <c r="A1083" s="1">
        <f>'[1]Global_Spot Prices'!$B2392</f>
        <v>43518</v>
      </c>
      <c r="B1083">
        <f>_xlfn.XLOOKUP(A1083,'[1]Global_Spot Prices'!$B:$B,'[1]Global_Spot Prices'!$BS:$BS)</f>
        <v>0.55000000000001137</v>
      </c>
      <c r="C1083">
        <f>_xlfn.XLOOKUP(A1083,'[1]Global_Spot Prices'!$B:$B,'[1]Global_Spot Prices'!$E:$E)</f>
        <v>67.209999999999994</v>
      </c>
      <c r="D1083">
        <f>_xlfn.XLOOKUP(A1083,'[1]Global_Spot Prices'!$B:$B,'[1]Global_Spot Prices'!$D:$D)</f>
        <v>67.064999999999998</v>
      </c>
      <c r="E1083">
        <f>_xlfn.XLOOKUP(A1083,'[1]Global_Spot Prices'!$B:$B,'[1]Global_Spot Prices'!$H:$H)</f>
        <v>58.63</v>
      </c>
      <c r="F1083">
        <f>_xlfn.XLOOKUP(A1083,'[1]Global_Spot Prices'!$B:$B,'[1]Global_Spot Prices'!$I:$I)</f>
        <v>67.760000000000005</v>
      </c>
      <c r="G1083" cm="1">
        <f t="array" ref="G1083">_xlfn.XLOOKUP(TEXT(A1083, "mmm-yy"), TEXT([2]RUNS!$B$5:$B$208, "mmm-yy"), [2]RUNS!$D$5:$D$208, "Not Found")</f>
        <v>30770.522726755164</v>
      </c>
      <c r="H1083" cm="1">
        <f t="array" ref="H1083">SUMPRODUCT(
    --(TEXT('[3]Global Weekly Stock (EWSuez'!$B$4:$B$2000,"mmm-yy")=TEXT(A1083,"mmm-yy")),
    '[3]Global Weekly Stock (EWSuez'!$E$4:$E$2000)
/
SUMPRODUCT(
    --(TEXT('[3]Global Weekly Stock (EWSuez'!$B$4:$B$2000,"mmm-yy")=TEXT(A1083,"mmm-yy"))
)</f>
        <v>16670.5</v>
      </c>
      <c r="I1083">
        <f>_xlfn.XLOOKUP(A1083,[1]ForwardDeriv!$D:$D,[1]ForwardDeriv!$AJ:$AJ)</f>
        <v>-0.21999999999999886</v>
      </c>
      <c r="J1083" cm="1">
        <f t="array" ref="J1083">_xlfn.XLOOKUP(TEXT(A1083, "mmm-yy"), TEXT([2]GASOLINE!$B$5:$B$208, "mmm-yy"), [2]GASOLINE!$IR$5:$IR$208, "Not Found")</f>
        <v>-43.445880356228344</v>
      </c>
      <c r="K1083" cm="1">
        <f t="array" ref="K1083">_xlfn.XLOOKUP(TEXT(A1083, "mmm-yy"), TEXT([2]GASOLINE!$B$5:$B$208, "mmm-yy"), [2]GASOLINE!$IK$5:$IK$208, "Not Found")</f>
        <v>171.30555661967617</v>
      </c>
      <c r="L1083">
        <f t="shared" si="16"/>
        <v>0</v>
      </c>
      <c r="M1083" cm="1">
        <f t="array" ref="M1083">_xlfn.XLOOKUP(TEXT(A1083, "mmm-yy"), TEXT([2]GASOLINE!$B$5:$B$208, "mmm-yy"), [2]GASOLINE!$C$5:$C$208, "Not Found")</f>
        <v>7636.1884987337407</v>
      </c>
      <c r="N1083" cm="1">
        <f t="array" ref="N1083">_xlfn.XLOOKUP(TEXT(A1083, "mmm-yy"), TEXT([2]RUNS!$B$5:$B$208, "mmm-yy"), [2]RUNS!$BM$5:$BM$208, "Not Found")</f>
        <v>0.87495550589184989</v>
      </c>
    </row>
    <row r="1084" spans="1:14" x14ac:dyDescent="0.25">
      <c r="A1084" s="1">
        <f>'[1]Global_Spot Prices'!$B2393</f>
        <v>43521</v>
      </c>
      <c r="B1084">
        <f>_xlfn.XLOOKUP(A1084,'[1]Global_Spot Prices'!$B:$B,'[1]Global_Spot Prices'!$BS:$BS)</f>
        <v>0.65999999999999659</v>
      </c>
      <c r="C1084">
        <f>_xlfn.XLOOKUP(A1084,'[1]Global_Spot Prices'!$B:$B,'[1]Global_Spot Prices'!$E:$E)</f>
        <v>66.86</v>
      </c>
      <c r="D1084">
        <f>_xlfn.XLOOKUP(A1084,'[1]Global_Spot Prices'!$B:$B,'[1]Global_Spot Prices'!$D:$D)</f>
        <v>64.155000000000001</v>
      </c>
      <c r="E1084">
        <f>_xlfn.XLOOKUP(A1084,'[1]Global_Spot Prices'!$B:$B,'[1]Global_Spot Prices'!$H:$H)</f>
        <v>58.25</v>
      </c>
      <c r="F1084">
        <f>_xlfn.XLOOKUP(A1084,'[1]Global_Spot Prices'!$B:$B,'[1]Global_Spot Prices'!$I:$I)</f>
        <v>67.52</v>
      </c>
      <c r="G1084" cm="1">
        <f t="array" ref="G1084">_xlfn.XLOOKUP(TEXT(A1084, "mmm-yy"), TEXT([2]RUNS!$B$5:$B$208, "mmm-yy"), [2]RUNS!$D$5:$D$208, "Not Found")</f>
        <v>30770.522726755164</v>
      </c>
      <c r="H1084" cm="1">
        <f t="array" ref="H1084">SUMPRODUCT(
    --(TEXT('[3]Global Weekly Stock (EWSuez'!$B$4:$B$2000,"mmm-yy")=TEXT(A1084,"mmm-yy")),
    '[3]Global Weekly Stock (EWSuez'!$E$4:$E$2000)
/
SUMPRODUCT(
    --(TEXT('[3]Global Weekly Stock (EWSuez'!$B$4:$B$2000,"mmm-yy")=TEXT(A1084,"mmm-yy"))
)</f>
        <v>16670.5</v>
      </c>
      <c r="I1084">
        <f>_xlfn.XLOOKUP(A1084,[1]ForwardDeriv!$D:$D,[1]ForwardDeriv!$AJ:$AJ)</f>
        <v>-0.20999999999999375</v>
      </c>
      <c r="J1084" cm="1">
        <f t="array" ref="J1084">_xlfn.XLOOKUP(TEXT(A1084, "mmm-yy"), TEXT([2]GASOLINE!$B$5:$B$208, "mmm-yy"), [2]GASOLINE!$IR$5:$IR$208, "Not Found")</f>
        <v>-43.445880356228344</v>
      </c>
      <c r="K1084" cm="1">
        <f t="array" ref="K1084">_xlfn.XLOOKUP(TEXT(A1084, "mmm-yy"), TEXT([2]GASOLINE!$B$5:$B$208, "mmm-yy"), [2]GASOLINE!$IK$5:$IK$208, "Not Found")</f>
        <v>171.30555661967617</v>
      </c>
      <c r="L1084">
        <f t="shared" si="16"/>
        <v>0</v>
      </c>
      <c r="M1084" cm="1">
        <f t="array" ref="M1084">_xlfn.XLOOKUP(TEXT(A1084, "mmm-yy"), TEXT([2]GASOLINE!$B$5:$B$208, "mmm-yy"), [2]GASOLINE!$C$5:$C$208, "Not Found")</f>
        <v>7636.1884987337407</v>
      </c>
      <c r="N1084" cm="1">
        <f t="array" ref="N1084">_xlfn.XLOOKUP(TEXT(A1084, "mmm-yy"), TEXT([2]RUNS!$B$5:$B$208, "mmm-yy"), [2]RUNS!$BM$5:$BM$208, "Not Found")</f>
        <v>0.87495550589184989</v>
      </c>
    </row>
    <row r="1085" spans="1:14" x14ac:dyDescent="0.25">
      <c r="A1085" s="1">
        <f>'[1]Global_Spot Prices'!$B2394</f>
        <v>43522</v>
      </c>
      <c r="B1085">
        <f>_xlfn.XLOOKUP(A1085,'[1]Global_Spot Prices'!$B:$B,'[1]Global_Spot Prices'!$BS:$BS)</f>
        <v>1.1000000000000085</v>
      </c>
      <c r="C1085">
        <f>_xlfn.XLOOKUP(A1085,'[1]Global_Spot Prices'!$B:$B,'[1]Global_Spot Prices'!$E:$E)</f>
        <v>64.55</v>
      </c>
      <c r="D1085">
        <f>_xlfn.XLOOKUP(A1085,'[1]Global_Spot Prices'!$B:$B,'[1]Global_Spot Prices'!$D:$D)</f>
        <v>64.405000000000001</v>
      </c>
      <c r="E1085">
        <f>_xlfn.XLOOKUP(A1085,'[1]Global_Spot Prices'!$B:$B,'[1]Global_Spot Prices'!$H:$H)</f>
        <v>56.53</v>
      </c>
      <c r="F1085">
        <f>_xlfn.XLOOKUP(A1085,'[1]Global_Spot Prices'!$B:$B,'[1]Global_Spot Prices'!$I:$I)</f>
        <v>65.650000000000006</v>
      </c>
      <c r="G1085" cm="1">
        <f t="array" ref="G1085">_xlfn.XLOOKUP(TEXT(A1085, "mmm-yy"), TEXT([2]RUNS!$B$5:$B$208, "mmm-yy"), [2]RUNS!$D$5:$D$208, "Not Found")</f>
        <v>30770.522726755164</v>
      </c>
      <c r="H1085" cm="1">
        <f t="array" ref="H1085">SUMPRODUCT(
    --(TEXT('[3]Global Weekly Stock (EWSuez'!$B$4:$B$2000,"mmm-yy")=TEXT(A1085,"mmm-yy")),
    '[3]Global Weekly Stock (EWSuez'!$E$4:$E$2000)
/
SUMPRODUCT(
    --(TEXT('[3]Global Weekly Stock (EWSuez'!$B$4:$B$2000,"mmm-yy")=TEXT(A1085,"mmm-yy"))
)</f>
        <v>16670.5</v>
      </c>
      <c r="I1085">
        <f>_xlfn.XLOOKUP(A1085,[1]ForwardDeriv!$D:$D,[1]ForwardDeriv!$AJ:$AJ)</f>
        <v>-0.14000000000000057</v>
      </c>
      <c r="J1085" cm="1">
        <f t="array" ref="J1085">_xlfn.XLOOKUP(TEXT(A1085, "mmm-yy"), TEXT([2]GASOLINE!$B$5:$B$208, "mmm-yy"), [2]GASOLINE!$IR$5:$IR$208, "Not Found")</f>
        <v>-43.445880356228344</v>
      </c>
      <c r="K1085" cm="1">
        <f t="array" ref="K1085">_xlfn.XLOOKUP(TEXT(A1085, "mmm-yy"), TEXT([2]GASOLINE!$B$5:$B$208, "mmm-yy"), [2]GASOLINE!$IK$5:$IK$208, "Not Found")</f>
        <v>171.30555661967617</v>
      </c>
      <c r="L1085">
        <f t="shared" si="16"/>
        <v>0</v>
      </c>
      <c r="M1085" cm="1">
        <f t="array" ref="M1085">_xlfn.XLOOKUP(TEXT(A1085, "mmm-yy"), TEXT([2]GASOLINE!$B$5:$B$208, "mmm-yy"), [2]GASOLINE!$C$5:$C$208, "Not Found")</f>
        <v>7636.1884987337407</v>
      </c>
      <c r="N1085" cm="1">
        <f t="array" ref="N1085">_xlfn.XLOOKUP(TEXT(A1085, "mmm-yy"), TEXT([2]RUNS!$B$5:$B$208, "mmm-yy"), [2]RUNS!$BM$5:$BM$208, "Not Found")</f>
        <v>0.87495550589184989</v>
      </c>
    </row>
    <row r="1086" spans="1:14" x14ac:dyDescent="0.25">
      <c r="A1086" s="1">
        <f>'[1]Global_Spot Prices'!$B2395</f>
        <v>43523</v>
      </c>
      <c r="B1086">
        <f>_xlfn.XLOOKUP(A1086,'[1]Global_Spot Prices'!$B:$B,'[1]Global_Spot Prices'!$BS:$BS)</f>
        <v>1.769999999999996</v>
      </c>
      <c r="C1086">
        <f>_xlfn.XLOOKUP(A1086,'[1]Global_Spot Prices'!$B:$B,'[1]Global_Spot Prices'!$E:$E)</f>
        <v>65.290000000000006</v>
      </c>
      <c r="D1086">
        <f>_xlfn.XLOOKUP(A1086,'[1]Global_Spot Prices'!$B:$B,'[1]Global_Spot Prices'!$D:$D)</f>
        <v>65.375</v>
      </c>
      <c r="E1086">
        <f>_xlfn.XLOOKUP(A1086,'[1]Global_Spot Prices'!$B:$B,'[1]Global_Spot Prices'!$H:$H)</f>
        <v>58.06</v>
      </c>
      <c r="F1086">
        <f>_xlfn.XLOOKUP(A1086,'[1]Global_Spot Prices'!$B:$B,'[1]Global_Spot Prices'!$I:$I)</f>
        <v>67.06</v>
      </c>
      <c r="G1086" cm="1">
        <f t="array" ref="G1086">_xlfn.XLOOKUP(TEXT(A1086, "mmm-yy"), TEXT([2]RUNS!$B$5:$B$208, "mmm-yy"), [2]RUNS!$D$5:$D$208, "Not Found")</f>
        <v>30770.522726755164</v>
      </c>
      <c r="H1086" cm="1">
        <f t="array" ref="H1086">SUMPRODUCT(
    --(TEXT('[3]Global Weekly Stock (EWSuez'!$B$4:$B$2000,"mmm-yy")=TEXT(A1086,"mmm-yy")),
    '[3]Global Weekly Stock (EWSuez'!$E$4:$E$2000)
/
SUMPRODUCT(
    --(TEXT('[3]Global Weekly Stock (EWSuez'!$B$4:$B$2000,"mmm-yy")=TEXT(A1086,"mmm-yy"))
)</f>
        <v>16670.5</v>
      </c>
      <c r="I1086">
        <f>_xlfn.XLOOKUP(A1086,[1]ForwardDeriv!$D:$D,[1]ForwardDeriv!$AJ:$AJ)</f>
        <v>-4.9999999999997158E-2</v>
      </c>
      <c r="J1086" cm="1">
        <f t="array" ref="J1086">_xlfn.XLOOKUP(TEXT(A1086, "mmm-yy"), TEXT([2]GASOLINE!$B$5:$B$208, "mmm-yy"), [2]GASOLINE!$IR$5:$IR$208, "Not Found")</f>
        <v>-43.445880356228344</v>
      </c>
      <c r="K1086" cm="1">
        <f t="array" ref="K1086">_xlfn.XLOOKUP(TEXT(A1086, "mmm-yy"), TEXT([2]GASOLINE!$B$5:$B$208, "mmm-yy"), [2]GASOLINE!$IK$5:$IK$208, "Not Found")</f>
        <v>171.30555661967617</v>
      </c>
      <c r="L1086">
        <f t="shared" si="16"/>
        <v>0</v>
      </c>
      <c r="M1086" cm="1">
        <f t="array" ref="M1086">_xlfn.XLOOKUP(TEXT(A1086, "mmm-yy"), TEXT([2]GASOLINE!$B$5:$B$208, "mmm-yy"), [2]GASOLINE!$C$5:$C$208, "Not Found")</f>
        <v>7636.1884987337407</v>
      </c>
      <c r="N1086" cm="1">
        <f t="array" ref="N1086">_xlfn.XLOOKUP(TEXT(A1086, "mmm-yy"), TEXT([2]RUNS!$B$5:$B$208, "mmm-yy"), [2]RUNS!$BM$5:$BM$208, "Not Found")</f>
        <v>0.87495550589184989</v>
      </c>
    </row>
    <row r="1087" spans="1:14" x14ac:dyDescent="0.25">
      <c r="A1087" s="1">
        <f>'[1]Global_Spot Prices'!$B2396</f>
        <v>43524</v>
      </c>
      <c r="B1087">
        <f>_xlfn.XLOOKUP(A1087,'[1]Global_Spot Prices'!$B:$B,'[1]Global_Spot Prices'!$BS:$BS)</f>
        <v>1.4699999999999989</v>
      </c>
      <c r="C1087">
        <f>_xlfn.XLOOKUP(A1087,'[1]Global_Spot Prices'!$B:$B,'[1]Global_Spot Prices'!$E:$E)</f>
        <v>66</v>
      </c>
      <c r="D1087">
        <f>_xlfn.XLOOKUP(A1087,'[1]Global_Spot Prices'!$B:$B,'[1]Global_Spot Prices'!$D:$D)</f>
        <v>65.064999999999998</v>
      </c>
      <c r="E1087">
        <f>_xlfn.XLOOKUP(A1087,'[1]Global_Spot Prices'!$B:$B,'[1]Global_Spot Prices'!$H:$H)</f>
        <v>58.98</v>
      </c>
      <c r="F1087">
        <f>_xlfn.XLOOKUP(A1087,'[1]Global_Spot Prices'!$B:$B,'[1]Global_Spot Prices'!$I:$I)</f>
        <v>67.47</v>
      </c>
      <c r="G1087" cm="1">
        <f t="array" ref="G1087">_xlfn.XLOOKUP(TEXT(A1087, "mmm-yy"), TEXT([2]RUNS!$B$5:$B$208, "mmm-yy"), [2]RUNS!$D$5:$D$208, "Not Found")</f>
        <v>30770.522726755164</v>
      </c>
      <c r="H1087" cm="1">
        <f t="array" ref="H1087">SUMPRODUCT(
    --(TEXT('[3]Global Weekly Stock (EWSuez'!$B$4:$B$2000,"mmm-yy")=TEXT(A1087,"mmm-yy")),
    '[3]Global Weekly Stock (EWSuez'!$E$4:$E$2000)
/
SUMPRODUCT(
    --(TEXT('[3]Global Weekly Stock (EWSuez'!$B$4:$B$2000,"mmm-yy")=TEXT(A1087,"mmm-yy"))
)</f>
        <v>16670.5</v>
      </c>
      <c r="I1087">
        <f>_xlfn.XLOOKUP(A1087,[1]ForwardDeriv!$D:$D,[1]ForwardDeriv!$AJ:$AJ)</f>
        <v>-9.0000000000003411E-2</v>
      </c>
      <c r="J1087" cm="1">
        <f t="array" ref="J1087">_xlfn.XLOOKUP(TEXT(A1087, "mmm-yy"), TEXT([2]GASOLINE!$B$5:$B$208, "mmm-yy"), [2]GASOLINE!$IR$5:$IR$208, "Not Found")</f>
        <v>-43.445880356228344</v>
      </c>
      <c r="K1087" cm="1">
        <f t="array" ref="K1087">_xlfn.XLOOKUP(TEXT(A1087, "mmm-yy"), TEXT([2]GASOLINE!$B$5:$B$208, "mmm-yy"), [2]GASOLINE!$IK$5:$IK$208, "Not Found")</f>
        <v>171.30555661967617</v>
      </c>
      <c r="L1087">
        <f t="shared" si="16"/>
        <v>0</v>
      </c>
      <c r="M1087" cm="1">
        <f t="array" ref="M1087">_xlfn.XLOOKUP(TEXT(A1087, "mmm-yy"), TEXT([2]GASOLINE!$B$5:$B$208, "mmm-yy"), [2]GASOLINE!$C$5:$C$208, "Not Found")</f>
        <v>7636.1884987337407</v>
      </c>
      <c r="N1087" cm="1">
        <f t="array" ref="N1087">_xlfn.XLOOKUP(TEXT(A1087, "mmm-yy"), TEXT([2]RUNS!$B$5:$B$208, "mmm-yy"), [2]RUNS!$BM$5:$BM$208, "Not Found")</f>
        <v>0.87495550589184989</v>
      </c>
    </row>
    <row r="1088" spans="1:14" x14ac:dyDescent="0.25">
      <c r="A1088" s="1">
        <f>'[1]Global_Spot Prices'!$B2397</f>
        <v>43525</v>
      </c>
      <c r="B1088">
        <f>_xlfn.XLOOKUP(A1088,'[1]Global_Spot Prices'!$B:$B,'[1]Global_Spot Prices'!$BS:$BS)</f>
        <v>1.75</v>
      </c>
      <c r="C1088">
        <f>_xlfn.XLOOKUP(A1088,'[1]Global_Spot Prices'!$B:$B,'[1]Global_Spot Prices'!$E:$E)</f>
        <v>66.599999999999994</v>
      </c>
      <c r="D1088">
        <f>_xlfn.XLOOKUP(A1088,'[1]Global_Spot Prices'!$B:$B,'[1]Global_Spot Prices'!$D:$D)</f>
        <v>63.905000000000001</v>
      </c>
      <c r="E1088">
        <f>_xlfn.XLOOKUP(A1088,'[1]Global_Spot Prices'!$B:$B,'[1]Global_Spot Prices'!$H:$H)</f>
        <v>59.32</v>
      </c>
      <c r="F1088">
        <f>_xlfn.XLOOKUP(A1088,'[1]Global_Spot Prices'!$B:$B,'[1]Global_Spot Prices'!$I:$I)</f>
        <v>68.349999999999994</v>
      </c>
      <c r="G1088" cm="1">
        <f t="array" ref="G1088">_xlfn.XLOOKUP(TEXT(A1088, "mmm-yy"), TEXT([2]RUNS!$B$5:$B$208, "mmm-yy"), [2]RUNS!$D$5:$D$208, "Not Found")</f>
        <v>29768.343872584119</v>
      </c>
      <c r="H1088" cm="1">
        <f t="array" ref="H1088">SUMPRODUCT(
    --(TEXT('[3]Global Weekly Stock (EWSuez'!$B$4:$B$2000,"mmm-yy")=TEXT(A1088,"mmm-yy")),
    '[3]Global Weekly Stock (EWSuez'!$E$4:$E$2000)
/
SUMPRODUCT(
    --(TEXT('[3]Global Weekly Stock (EWSuez'!$B$4:$B$2000,"mmm-yy")=TEXT(A1088,"mmm-yy"))
)</f>
        <v>16061.8</v>
      </c>
      <c r="I1088">
        <f>_xlfn.XLOOKUP(A1088,[1]ForwardDeriv!$D:$D,[1]ForwardDeriv!$AJ:$AJ)</f>
        <v>1.9999999999996021E-2</v>
      </c>
      <c r="J1088" cm="1">
        <f t="array" ref="J1088">_xlfn.XLOOKUP(TEXT(A1088, "mmm-yy"), TEXT([2]GASOLINE!$B$5:$B$208, "mmm-yy"), [2]GASOLINE!$IR$5:$IR$208, "Not Found")</f>
        <v>98.900319867311339</v>
      </c>
      <c r="K1088" cm="1">
        <f t="array" ref="K1088">_xlfn.XLOOKUP(TEXT(A1088, "mmm-yy"), TEXT([2]GASOLINE!$B$5:$B$208, "mmm-yy"), [2]GASOLINE!$IK$5:$IK$208, "Not Found")</f>
        <v>171.32813810265216</v>
      </c>
      <c r="L1088">
        <f t="shared" si="16"/>
        <v>0</v>
      </c>
      <c r="M1088" cm="1">
        <f t="array" ref="M1088">_xlfn.XLOOKUP(TEXT(A1088, "mmm-yy"), TEXT([2]GASOLINE!$B$5:$B$208, "mmm-yy"), [2]GASOLINE!$C$5:$C$208, "Not Found")</f>
        <v>7274.1177415618131</v>
      </c>
      <c r="N1088" cm="1">
        <f t="array" ref="N1088">_xlfn.XLOOKUP(TEXT(A1088, "mmm-yy"), TEXT([2]RUNS!$B$5:$B$208, "mmm-yy"), [2]RUNS!$BM$5:$BM$208, "Not Found")</f>
        <v>0.84544659992229854</v>
      </c>
    </row>
    <row r="1089" spans="1:14" x14ac:dyDescent="0.25">
      <c r="A1089" s="1">
        <f>'[1]Global_Spot Prices'!$B2398</f>
        <v>43528</v>
      </c>
      <c r="B1089">
        <f>_xlfn.XLOOKUP(A1089,'[1]Global_Spot Prices'!$B:$B,'[1]Global_Spot Prices'!$BS:$BS)</f>
        <v>2.4299999999999926</v>
      </c>
      <c r="C1089">
        <f>_xlfn.XLOOKUP(A1089,'[1]Global_Spot Prices'!$B:$B,'[1]Global_Spot Prices'!$E:$E)</f>
        <v>65.34</v>
      </c>
      <c r="D1089">
        <f>_xlfn.XLOOKUP(A1089,'[1]Global_Spot Prices'!$B:$B,'[1]Global_Spot Prices'!$D:$D)</f>
        <v>64.59</v>
      </c>
      <c r="E1089">
        <f>_xlfn.XLOOKUP(A1089,'[1]Global_Spot Prices'!$B:$B,'[1]Global_Spot Prices'!$H:$H)</f>
        <v>58.02</v>
      </c>
      <c r="F1089">
        <f>_xlfn.XLOOKUP(A1089,'[1]Global_Spot Prices'!$B:$B,'[1]Global_Spot Prices'!$I:$I)</f>
        <v>67.77</v>
      </c>
      <c r="G1089" cm="1">
        <f t="array" ref="G1089">_xlfn.XLOOKUP(TEXT(A1089, "mmm-yy"), TEXT([2]RUNS!$B$5:$B$208, "mmm-yy"), [2]RUNS!$D$5:$D$208, "Not Found")</f>
        <v>29768.343872584119</v>
      </c>
      <c r="H1089" cm="1">
        <f t="array" ref="H1089">SUMPRODUCT(
    --(TEXT('[3]Global Weekly Stock (EWSuez'!$B$4:$B$2000,"mmm-yy")=TEXT(A1089,"mmm-yy")),
    '[3]Global Weekly Stock (EWSuez'!$E$4:$E$2000)
/
SUMPRODUCT(
    --(TEXT('[3]Global Weekly Stock (EWSuez'!$B$4:$B$2000,"mmm-yy")=TEXT(A1089,"mmm-yy"))
)</f>
        <v>16061.8</v>
      </c>
      <c r="I1089">
        <f>_xlfn.XLOOKUP(A1089,[1]ForwardDeriv!$D:$D,[1]ForwardDeriv!$AJ:$AJ)</f>
        <v>0.21999999999999886</v>
      </c>
      <c r="J1089" cm="1">
        <f t="array" ref="J1089">_xlfn.XLOOKUP(TEXT(A1089, "mmm-yy"), TEXT([2]GASOLINE!$B$5:$B$208, "mmm-yy"), [2]GASOLINE!$IR$5:$IR$208, "Not Found")</f>
        <v>98.900319867311339</v>
      </c>
      <c r="K1089" cm="1">
        <f t="array" ref="K1089">_xlfn.XLOOKUP(TEXT(A1089, "mmm-yy"), TEXT([2]GASOLINE!$B$5:$B$208, "mmm-yy"), [2]GASOLINE!$IK$5:$IK$208, "Not Found")</f>
        <v>171.32813810265216</v>
      </c>
      <c r="L1089">
        <f t="shared" si="16"/>
        <v>0</v>
      </c>
      <c r="M1089" cm="1">
        <f t="array" ref="M1089">_xlfn.XLOOKUP(TEXT(A1089, "mmm-yy"), TEXT([2]GASOLINE!$B$5:$B$208, "mmm-yy"), [2]GASOLINE!$C$5:$C$208, "Not Found")</f>
        <v>7274.1177415618131</v>
      </c>
      <c r="N1089" cm="1">
        <f t="array" ref="N1089">_xlfn.XLOOKUP(TEXT(A1089, "mmm-yy"), TEXT([2]RUNS!$B$5:$B$208, "mmm-yy"), [2]RUNS!$BM$5:$BM$208, "Not Found")</f>
        <v>0.84544659992229854</v>
      </c>
    </row>
    <row r="1090" spans="1:14" x14ac:dyDescent="0.25">
      <c r="A1090" s="1">
        <f>'[1]Global_Spot Prices'!$B2399</f>
        <v>43529</v>
      </c>
      <c r="B1090">
        <f>_xlfn.XLOOKUP(A1090,'[1]Global_Spot Prices'!$B:$B,'[1]Global_Spot Prices'!$BS:$BS)</f>
        <v>2.6700000000000017</v>
      </c>
      <c r="C1090">
        <f>_xlfn.XLOOKUP(A1090,'[1]Global_Spot Prices'!$B:$B,'[1]Global_Spot Prices'!$E:$E)</f>
        <v>65.709999999999994</v>
      </c>
      <c r="D1090">
        <f>_xlfn.XLOOKUP(A1090,'[1]Global_Spot Prices'!$B:$B,'[1]Global_Spot Prices'!$D:$D)</f>
        <v>64.400000000000006</v>
      </c>
      <c r="E1090">
        <f>_xlfn.XLOOKUP(A1090,'[1]Global_Spot Prices'!$B:$B,'[1]Global_Spot Prices'!$H:$H)</f>
        <v>57.66</v>
      </c>
      <c r="F1090">
        <f>_xlfn.XLOOKUP(A1090,'[1]Global_Spot Prices'!$B:$B,'[1]Global_Spot Prices'!$I:$I)</f>
        <v>68.38</v>
      </c>
      <c r="G1090" cm="1">
        <f t="array" ref="G1090">_xlfn.XLOOKUP(TEXT(A1090, "mmm-yy"), TEXT([2]RUNS!$B$5:$B$208, "mmm-yy"), [2]RUNS!$D$5:$D$208, "Not Found")</f>
        <v>29768.343872584119</v>
      </c>
      <c r="H1090" cm="1">
        <f t="array" ref="H1090">SUMPRODUCT(
    --(TEXT('[3]Global Weekly Stock (EWSuez'!$B$4:$B$2000,"mmm-yy")=TEXT(A1090,"mmm-yy")),
    '[3]Global Weekly Stock (EWSuez'!$E$4:$E$2000)
/
SUMPRODUCT(
    --(TEXT('[3]Global Weekly Stock (EWSuez'!$B$4:$B$2000,"mmm-yy")=TEXT(A1090,"mmm-yy"))
)</f>
        <v>16061.8</v>
      </c>
      <c r="I1090">
        <f>_xlfn.XLOOKUP(A1090,[1]ForwardDeriv!$D:$D,[1]ForwardDeriv!$AJ:$AJ)</f>
        <v>0.25999999999999091</v>
      </c>
      <c r="J1090" cm="1">
        <f t="array" ref="J1090">_xlfn.XLOOKUP(TEXT(A1090, "mmm-yy"), TEXT([2]GASOLINE!$B$5:$B$208, "mmm-yy"), [2]GASOLINE!$IR$5:$IR$208, "Not Found")</f>
        <v>98.900319867311339</v>
      </c>
      <c r="K1090" cm="1">
        <f t="array" ref="K1090">_xlfn.XLOOKUP(TEXT(A1090, "mmm-yy"), TEXT([2]GASOLINE!$B$5:$B$208, "mmm-yy"), [2]GASOLINE!$IK$5:$IK$208, "Not Found")</f>
        <v>171.32813810265216</v>
      </c>
      <c r="L1090">
        <f t="shared" si="16"/>
        <v>0</v>
      </c>
      <c r="M1090" cm="1">
        <f t="array" ref="M1090">_xlfn.XLOOKUP(TEXT(A1090, "mmm-yy"), TEXT([2]GASOLINE!$B$5:$B$208, "mmm-yy"), [2]GASOLINE!$C$5:$C$208, "Not Found")</f>
        <v>7274.1177415618131</v>
      </c>
      <c r="N1090" cm="1">
        <f t="array" ref="N1090">_xlfn.XLOOKUP(TEXT(A1090, "mmm-yy"), TEXT([2]RUNS!$B$5:$B$208, "mmm-yy"), [2]RUNS!$BM$5:$BM$208, "Not Found")</f>
        <v>0.84544659992229854</v>
      </c>
    </row>
    <row r="1091" spans="1:14" x14ac:dyDescent="0.25">
      <c r="A1091" s="1">
        <f>'[1]Global_Spot Prices'!$B2400</f>
        <v>43530</v>
      </c>
      <c r="B1091">
        <f>_xlfn.XLOOKUP(A1091,'[1]Global_Spot Prices'!$B:$B,'[1]Global_Spot Prices'!$BS:$BS)</f>
        <v>3.8400000000000034</v>
      </c>
      <c r="C1091">
        <f>_xlfn.XLOOKUP(A1091,'[1]Global_Spot Prices'!$B:$B,'[1]Global_Spot Prices'!$E:$E)</f>
        <v>65.81</v>
      </c>
      <c r="D1091">
        <f>_xlfn.XLOOKUP(A1091,'[1]Global_Spot Prices'!$B:$B,'[1]Global_Spot Prices'!$D:$D)</f>
        <v>64.265000000000001</v>
      </c>
      <c r="E1091">
        <f>_xlfn.XLOOKUP(A1091,'[1]Global_Spot Prices'!$B:$B,'[1]Global_Spot Prices'!$H:$H)</f>
        <v>58.17</v>
      </c>
      <c r="F1091">
        <f>_xlfn.XLOOKUP(A1091,'[1]Global_Spot Prices'!$B:$B,'[1]Global_Spot Prices'!$I:$I)</f>
        <v>69.650000000000006</v>
      </c>
      <c r="G1091" cm="1">
        <f t="array" ref="G1091">_xlfn.XLOOKUP(TEXT(A1091, "mmm-yy"), TEXT([2]RUNS!$B$5:$B$208, "mmm-yy"), [2]RUNS!$D$5:$D$208, "Not Found")</f>
        <v>29768.343872584119</v>
      </c>
      <c r="H1091" cm="1">
        <f t="array" ref="H1091">SUMPRODUCT(
    --(TEXT('[3]Global Weekly Stock (EWSuez'!$B$4:$B$2000,"mmm-yy")=TEXT(A1091,"mmm-yy")),
    '[3]Global Weekly Stock (EWSuez'!$E$4:$E$2000)
/
SUMPRODUCT(
    --(TEXT('[3]Global Weekly Stock (EWSuez'!$B$4:$B$2000,"mmm-yy")=TEXT(A1091,"mmm-yy"))
)</f>
        <v>16061.8</v>
      </c>
      <c r="I1091">
        <f>_xlfn.XLOOKUP(A1091,[1]ForwardDeriv!$D:$D,[1]ForwardDeriv!$AJ:$AJ)</f>
        <v>0.5</v>
      </c>
      <c r="J1091" cm="1">
        <f t="array" ref="J1091">_xlfn.XLOOKUP(TEXT(A1091, "mmm-yy"), TEXT([2]GASOLINE!$B$5:$B$208, "mmm-yy"), [2]GASOLINE!$IR$5:$IR$208, "Not Found")</f>
        <v>98.900319867311339</v>
      </c>
      <c r="K1091" cm="1">
        <f t="array" ref="K1091">_xlfn.XLOOKUP(TEXT(A1091, "mmm-yy"), TEXT([2]GASOLINE!$B$5:$B$208, "mmm-yy"), [2]GASOLINE!$IK$5:$IK$208, "Not Found")</f>
        <v>171.32813810265216</v>
      </c>
      <c r="L1091">
        <f t="shared" ref="L1091:L1154" si="17">IF(OR(MONTH(A1091)=6, MONTH(A1091)=7, MONTH(A1091)=8, MONTH(A1091)=9), 1, 0)</f>
        <v>0</v>
      </c>
      <c r="M1091" cm="1">
        <f t="array" ref="M1091">_xlfn.XLOOKUP(TEXT(A1091, "mmm-yy"), TEXT([2]GASOLINE!$B$5:$B$208, "mmm-yy"), [2]GASOLINE!$C$5:$C$208, "Not Found")</f>
        <v>7274.1177415618131</v>
      </c>
      <c r="N1091" cm="1">
        <f t="array" ref="N1091">_xlfn.XLOOKUP(TEXT(A1091, "mmm-yy"), TEXT([2]RUNS!$B$5:$B$208, "mmm-yy"), [2]RUNS!$BM$5:$BM$208, "Not Found")</f>
        <v>0.84544659992229854</v>
      </c>
    </row>
    <row r="1092" spans="1:14" x14ac:dyDescent="0.25">
      <c r="A1092" s="1">
        <f>'[1]Global_Spot Prices'!$B2401</f>
        <v>43531</v>
      </c>
      <c r="B1092">
        <f>_xlfn.XLOOKUP(A1092,'[1]Global_Spot Prices'!$B:$B,'[1]Global_Spot Prices'!$BS:$BS)</f>
        <v>4.7900000000000063</v>
      </c>
      <c r="C1092">
        <f>_xlfn.XLOOKUP(A1092,'[1]Global_Spot Prices'!$B:$B,'[1]Global_Spot Prices'!$E:$E)</f>
        <v>66.5</v>
      </c>
      <c r="D1092">
        <f>_xlfn.XLOOKUP(A1092,'[1]Global_Spot Prices'!$B:$B,'[1]Global_Spot Prices'!$D:$D)</f>
        <v>64.644999999999996</v>
      </c>
      <c r="E1092">
        <f>_xlfn.XLOOKUP(A1092,'[1]Global_Spot Prices'!$B:$B,'[1]Global_Spot Prices'!$H:$H)</f>
        <v>58.91</v>
      </c>
      <c r="F1092">
        <f>_xlfn.XLOOKUP(A1092,'[1]Global_Spot Prices'!$B:$B,'[1]Global_Spot Prices'!$I:$I)</f>
        <v>71.290000000000006</v>
      </c>
      <c r="G1092" cm="1">
        <f t="array" ref="G1092">_xlfn.XLOOKUP(TEXT(A1092, "mmm-yy"), TEXT([2]RUNS!$B$5:$B$208, "mmm-yy"), [2]RUNS!$D$5:$D$208, "Not Found")</f>
        <v>29768.343872584119</v>
      </c>
      <c r="H1092" cm="1">
        <f t="array" ref="H1092">SUMPRODUCT(
    --(TEXT('[3]Global Weekly Stock (EWSuez'!$B$4:$B$2000,"mmm-yy")=TEXT(A1092,"mmm-yy")),
    '[3]Global Weekly Stock (EWSuez'!$E$4:$E$2000)
/
SUMPRODUCT(
    --(TEXT('[3]Global Weekly Stock (EWSuez'!$B$4:$B$2000,"mmm-yy")=TEXT(A1092,"mmm-yy"))
)</f>
        <v>16061.8</v>
      </c>
      <c r="I1092">
        <f>_xlfn.XLOOKUP(A1092,[1]ForwardDeriv!$D:$D,[1]ForwardDeriv!$AJ:$AJ)</f>
        <v>0.48000000000000398</v>
      </c>
      <c r="J1092" cm="1">
        <f t="array" ref="J1092">_xlfn.XLOOKUP(TEXT(A1092, "mmm-yy"), TEXT([2]GASOLINE!$B$5:$B$208, "mmm-yy"), [2]GASOLINE!$IR$5:$IR$208, "Not Found")</f>
        <v>98.900319867311339</v>
      </c>
      <c r="K1092" cm="1">
        <f t="array" ref="K1092">_xlfn.XLOOKUP(TEXT(A1092, "mmm-yy"), TEXT([2]GASOLINE!$B$5:$B$208, "mmm-yy"), [2]GASOLINE!$IK$5:$IK$208, "Not Found")</f>
        <v>171.32813810265216</v>
      </c>
      <c r="L1092">
        <f t="shared" si="17"/>
        <v>0</v>
      </c>
      <c r="M1092" cm="1">
        <f t="array" ref="M1092">_xlfn.XLOOKUP(TEXT(A1092, "mmm-yy"), TEXT([2]GASOLINE!$B$5:$B$208, "mmm-yy"), [2]GASOLINE!$C$5:$C$208, "Not Found")</f>
        <v>7274.1177415618131</v>
      </c>
      <c r="N1092" cm="1">
        <f t="array" ref="N1092">_xlfn.XLOOKUP(TEXT(A1092, "mmm-yy"), TEXT([2]RUNS!$B$5:$B$208, "mmm-yy"), [2]RUNS!$BM$5:$BM$208, "Not Found")</f>
        <v>0.84544659992229854</v>
      </c>
    </row>
    <row r="1093" spans="1:14" x14ac:dyDescent="0.25">
      <c r="A1093" s="1">
        <f>'[1]Global_Spot Prices'!$B2402</f>
        <v>43532</v>
      </c>
      <c r="B1093">
        <f>_xlfn.XLOOKUP(A1093,'[1]Global_Spot Prices'!$B:$B,'[1]Global_Spot Prices'!$BS:$BS)</f>
        <v>4.6500000000000057</v>
      </c>
      <c r="C1093">
        <f>_xlfn.XLOOKUP(A1093,'[1]Global_Spot Prices'!$B:$B,'[1]Global_Spot Prices'!$E:$E)</f>
        <v>65.75</v>
      </c>
      <c r="D1093">
        <f>_xlfn.XLOOKUP(A1093,'[1]Global_Spot Prices'!$B:$B,'[1]Global_Spot Prices'!$D:$D)</f>
        <v>63.51</v>
      </c>
      <c r="E1093">
        <f>_xlfn.XLOOKUP(A1093,'[1]Global_Spot Prices'!$B:$B,'[1]Global_Spot Prices'!$H:$H)</f>
        <v>58</v>
      </c>
      <c r="F1093">
        <f>_xlfn.XLOOKUP(A1093,'[1]Global_Spot Prices'!$B:$B,'[1]Global_Spot Prices'!$I:$I)</f>
        <v>70.400000000000006</v>
      </c>
      <c r="G1093" cm="1">
        <f t="array" ref="G1093">_xlfn.XLOOKUP(TEXT(A1093, "mmm-yy"), TEXT([2]RUNS!$B$5:$B$208, "mmm-yy"), [2]RUNS!$D$5:$D$208, "Not Found")</f>
        <v>29768.343872584119</v>
      </c>
      <c r="H1093" cm="1">
        <f t="array" ref="H1093">SUMPRODUCT(
    --(TEXT('[3]Global Weekly Stock (EWSuez'!$B$4:$B$2000,"mmm-yy")=TEXT(A1093,"mmm-yy")),
    '[3]Global Weekly Stock (EWSuez'!$E$4:$E$2000)
/
SUMPRODUCT(
    --(TEXT('[3]Global Weekly Stock (EWSuez'!$B$4:$B$2000,"mmm-yy")=TEXT(A1093,"mmm-yy"))
)</f>
        <v>16061.8</v>
      </c>
      <c r="I1093">
        <f>_xlfn.XLOOKUP(A1093,[1]ForwardDeriv!$D:$D,[1]ForwardDeriv!$AJ:$AJ)</f>
        <v>0.53000000000000114</v>
      </c>
      <c r="J1093" cm="1">
        <f t="array" ref="J1093">_xlfn.XLOOKUP(TEXT(A1093, "mmm-yy"), TEXT([2]GASOLINE!$B$5:$B$208, "mmm-yy"), [2]GASOLINE!$IR$5:$IR$208, "Not Found")</f>
        <v>98.900319867311339</v>
      </c>
      <c r="K1093" cm="1">
        <f t="array" ref="K1093">_xlfn.XLOOKUP(TEXT(A1093, "mmm-yy"), TEXT([2]GASOLINE!$B$5:$B$208, "mmm-yy"), [2]GASOLINE!$IK$5:$IK$208, "Not Found")</f>
        <v>171.32813810265216</v>
      </c>
      <c r="L1093">
        <f t="shared" si="17"/>
        <v>0</v>
      </c>
      <c r="M1093" cm="1">
        <f t="array" ref="M1093">_xlfn.XLOOKUP(TEXT(A1093, "mmm-yy"), TEXT([2]GASOLINE!$B$5:$B$208, "mmm-yy"), [2]GASOLINE!$C$5:$C$208, "Not Found")</f>
        <v>7274.1177415618131</v>
      </c>
      <c r="N1093" cm="1">
        <f t="array" ref="N1093">_xlfn.XLOOKUP(TEXT(A1093, "mmm-yy"), TEXT([2]RUNS!$B$5:$B$208, "mmm-yy"), [2]RUNS!$BM$5:$BM$208, "Not Found")</f>
        <v>0.84544659992229854</v>
      </c>
    </row>
    <row r="1094" spans="1:14" x14ac:dyDescent="0.25">
      <c r="A1094" s="1">
        <f>'[1]Global_Spot Prices'!$B2403</f>
        <v>43535</v>
      </c>
      <c r="B1094">
        <f>_xlfn.XLOOKUP(A1094,'[1]Global_Spot Prices'!$B:$B,'[1]Global_Spot Prices'!$BS:$BS)</f>
        <v>5.3199999999999932</v>
      </c>
      <c r="C1094">
        <f>_xlfn.XLOOKUP(A1094,'[1]Global_Spot Prices'!$B:$B,'[1]Global_Spot Prices'!$E:$E)</f>
        <v>66.790000000000006</v>
      </c>
      <c r="D1094">
        <f>_xlfn.XLOOKUP(A1094,'[1]Global_Spot Prices'!$B:$B,'[1]Global_Spot Prices'!$D:$D)</f>
        <v>65.215000000000003</v>
      </c>
      <c r="E1094">
        <f>_xlfn.XLOOKUP(A1094,'[1]Global_Spot Prices'!$B:$B,'[1]Global_Spot Prices'!$H:$H)</f>
        <v>58.98</v>
      </c>
      <c r="F1094">
        <f>_xlfn.XLOOKUP(A1094,'[1]Global_Spot Prices'!$B:$B,'[1]Global_Spot Prices'!$I:$I)</f>
        <v>72.11</v>
      </c>
      <c r="G1094" cm="1">
        <f t="array" ref="G1094">_xlfn.XLOOKUP(TEXT(A1094, "mmm-yy"), TEXT([2]RUNS!$B$5:$B$208, "mmm-yy"), [2]RUNS!$D$5:$D$208, "Not Found")</f>
        <v>29768.343872584119</v>
      </c>
      <c r="H1094" cm="1">
        <f t="array" ref="H1094">SUMPRODUCT(
    --(TEXT('[3]Global Weekly Stock (EWSuez'!$B$4:$B$2000,"mmm-yy")=TEXT(A1094,"mmm-yy")),
    '[3]Global Weekly Stock (EWSuez'!$E$4:$E$2000)
/
SUMPRODUCT(
    --(TEXT('[3]Global Weekly Stock (EWSuez'!$B$4:$B$2000,"mmm-yy")=TEXT(A1094,"mmm-yy"))
)</f>
        <v>16061.8</v>
      </c>
      <c r="I1094">
        <f>_xlfn.XLOOKUP(A1094,[1]ForwardDeriv!$D:$D,[1]ForwardDeriv!$AJ:$AJ)</f>
        <v>0.63000000000000966</v>
      </c>
      <c r="J1094" cm="1">
        <f t="array" ref="J1094">_xlfn.XLOOKUP(TEXT(A1094, "mmm-yy"), TEXT([2]GASOLINE!$B$5:$B$208, "mmm-yy"), [2]GASOLINE!$IR$5:$IR$208, "Not Found")</f>
        <v>98.900319867311339</v>
      </c>
      <c r="K1094" cm="1">
        <f t="array" ref="K1094">_xlfn.XLOOKUP(TEXT(A1094, "mmm-yy"), TEXT([2]GASOLINE!$B$5:$B$208, "mmm-yy"), [2]GASOLINE!$IK$5:$IK$208, "Not Found")</f>
        <v>171.32813810265216</v>
      </c>
      <c r="L1094">
        <f t="shared" si="17"/>
        <v>0</v>
      </c>
      <c r="M1094" cm="1">
        <f t="array" ref="M1094">_xlfn.XLOOKUP(TEXT(A1094, "mmm-yy"), TEXT([2]GASOLINE!$B$5:$B$208, "mmm-yy"), [2]GASOLINE!$C$5:$C$208, "Not Found")</f>
        <v>7274.1177415618131</v>
      </c>
      <c r="N1094" cm="1">
        <f t="array" ref="N1094">_xlfn.XLOOKUP(TEXT(A1094, "mmm-yy"), TEXT([2]RUNS!$B$5:$B$208, "mmm-yy"), [2]RUNS!$BM$5:$BM$208, "Not Found")</f>
        <v>0.84544659992229854</v>
      </c>
    </row>
    <row r="1095" spans="1:14" x14ac:dyDescent="0.25">
      <c r="A1095" s="1">
        <f>'[1]Global_Spot Prices'!$B2404</f>
        <v>43536</v>
      </c>
      <c r="B1095">
        <f>_xlfn.XLOOKUP(A1095,'[1]Global_Spot Prices'!$B:$B,'[1]Global_Spot Prices'!$BS:$BS)</f>
        <v>5.5799999999999983</v>
      </c>
      <c r="C1095">
        <f>_xlfn.XLOOKUP(A1095,'[1]Global_Spot Prices'!$B:$B,'[1]Global_Spot Prices'!$E:$E)</f>
        <v>67.14</v>
      </c>
      <c r="D1095">
        <f>_xlfn.XLOOKUP(A1095,'[1]Global_Spot Prices'!$B:$B,'[1]Global_Spot Prices'!$D:$D)</f>
        <v>65.540000000000006</v>
      </c>
      <c r="E1095">
        <f>_xlfn.XLOOKUP(A1095,'[1]Global_Spot Prices'!$B:$B,'[1]Global_Spot Prices'!$H:$H)</f>
        <v>59.22</v>
      </c>
      <c r="F1095">
        <f>_xlfn.XLOOKUP(A1095,'[1]Global_Spot Prices'!$B:$B,'[1]Global_Spot Prices'!$I:$I)</f>
        <v>72.72</v>
      </c>
      <c r="G1095" cm="1">
        <f t="array" ref="G1095">_xlfn.XLOOKUP(TEXT(A1095, "mmm-yy"), TEXT([2]RUNS!$B$5:$B$208, "mmm-yy"), [2]RUNS!$D$5:$D$208, "Not Found")</f>
        <v>29768.343872584119</v>
      </c>
      <c r="H1095" cm="1">
        <f t="array" ref="H1095">SUMPRODUCT(
    --(TEXT('[3]Global Weekly Stock (EWSuez'!$B$4:$B$2000,"mmm-yy")=TEXT(A1095,"mmm-yy")),
    '[3]Global Weekly Stock (EWSuez'!$E$4:$E$2000)
/
SUMPRODUCT(
    --(TEXT('[3]Global Weekly Stock (EWSuez'!$B$4:$B$2000,"mmm-yy")=TEXT(A1095,"mmm-yy"))
)</f>
        <v>16061.8</v>
      </c>
      <c r="I1095">
        <f>_xlfn.XLOOKUP(A1095,[1]ForwardDeriv!$D:$D,[1]ForwardDeriv!$AJ:$AJ)</f>
        <v>0.78000000000000114</v>
      </c>
      <c r="J1095" cm="1">
        <f t="array" ref="J1095">_xlfn.XLOOKUP(TEXT(A1095, "mmm-yy"), TEXT([2]GASOLINE!$B$5:$B$208, "mmm-yy"), [2]GASOLINE!$IR$5:$IR$208, "Not Found")</f>
        <v>98.900319867311339</v>
      </c>
      <c r="K1095" cm="1">
        <f t="array" ref="K1095">_xlfn.XLOOKUP(TEXT(A1095, "mmm-yy"), TEXT([2]GASOLINE!$B$5:$B$208, "mmm-yy"), [2]GASOLINE!$IK$5:$IK$208, "Not Found")</f>
        <v>171.32813810265216</v>
      </c>
      <c r="L1095">
        <f t="shared" si="17"/>
        <v>0</v>
      </c>
      <c r="M1095" cm="1">
        <f t="array" ref="M1095">_xlfn.XLOOKUP(TEXT(A1095, "mmm-yy"), TEXT([2]GASOLINE!$B$5:$B$208, "mmm-yy"), [2]GASOLINE!$C$5:$C$208, "Not Found")</f>
        <v>7274.1177415618131</v>
      </c>
      <c r="N1095" cm="1">
        <f t="array" ref="N1095">_xlfn.XLOOKUP(TEXT(A1095, "mmm-yy"), TEXT([2]RUNS!$B$5:$B$208, "mmm-yy"), [2]RUNS!$BM$5:$BM$208, "Not Found")</f>
        <v>0.84544659992229854</v>
      </c>
    </row>
    <row r="1096" spans="1:14" x14ac:dyDescent="0.25">
      <c r="A1096" s="1">
        <f>'[1]Global_Spot Prices'!$B2405</f>
        <v>43537</v>
      </c>
      <c r="B1096">
        <f>_xlfn.XLOOKUP(A1096,'[1]Global_Spot Prices'!$B:$B,'[1]Global_Spot Prices'!$BS:$BS)</f>
        <v>5.3900000000000006</v>
      </c>
      <c r="C1096">
        <f>_xlfn.XLOOKUP(A1096,'[1]Global_Spot Prices'!$B:$B,'[1]Global_Spot Prices'!$E:$E)</f>
        <v>67.19</v>
      </c>
      <c r="D1096">
        <f>_xlfn.XLOOKUP(A1096,'[1]Global_Spot Prices'!$B:$B,'[1]Global_Spot Prices'!$D:$D)</f>
        <v>66.125</v>
      </c>
      <c r="E1096">
        <f>_xlfn.XLOOKUP(A1096,'[1]Global_Spot Prices'!$B:$B,'[1]Global_Spot Prices'!$H:$H)</f>
        <v>59.49</v>
      </c>
      <c r="F1096">
        <f>_xlfn.XLOOKUP(A1096,'[1]Global_Spot Prices'!$B:$B,'[1]Global_Spot Prices'!$I:$I)</f>
        <v>72.58</v>
      </c>
      <c r="G1096" cm="1">
        <f t="array" ref="G1096">_xlfn.XLOOKUP(TEXT(A1096, "mmm-yy"), TEXT([2]RUNS!$B$5:$B$208, "mmm-yy"), [2]RUNS!$D$5:$D$208, "Not Found")</f>
        <v>29768.343872584119</v>
      </c>
      <c r="H1096" cm="1">
        <f t="array" ref="H1096">SUMPRODUCT(
    --(TEXT('[3]Global Weekly Stock (EWSuez'!$B$4:$B$2000,"mmm-yy")=TEXT(A1096,"mmm-yy")),
    '[3]Global Weekly Stock (EWSuez'!$E$4:$E$2000)
/
SUMPRODUCT(
    --(TEXT('[3]Global Weekly Stock (EWSuez'!$B$4:$B$2000,"mmm-yy")=TEXT(A1096,"mmm-yy"))
)</f>
        <v>16061.8</v>
      </c>
      <c r="I1096">
        <f>_xlfn.XLOOKUP(A1096,[1]ForwardDeriv!$D:$D,[1]ForwardDeriv!$AJ:$AJ)</f>
        <v>0.71000000000000796</v>
      </c>
      <c r="J1096" cm="1">
        <f t="array" ref="J1096">_xlfn.XLOOKUP(TEXT(A1096, "mmm-yy"), TEXT([2]GASOLINE!$B$5:$B$208, "mmm-yy"), [2]GASOLINE!$IR$5:$IR$208, "Not Found")</f>
        <v>98.900319867311339</v>
      </c>
      <c r="K1096" cm="1">
        <f t="array" ref="K1096">_xlfn.XLOOKUP(TEXT(A1096, "mmm-yy"), TEXT([2]GASOLINE!$B$5:$B$208, "mmm-yy"), [2]GASOLINE!$IK$5:$IK$208, "Not Found")</f>
        <v>171.32813810265216</v>
      </c>
      <c r="L1096">
        <f t="shared" si="17"/>
        <v>0</v>
      </c>
      <c r="M1096" cm="1">
        <f t="array" ref="M1096">_xlfn.XLOOKUP(TEXT(A1096, "mmm-yy"), TEXT([2]GASOLINE!$B$5:$B$208, "mmm-yy"), [2]GASOLINE!$C$5:$C$208, "Not Found")</f>
        <v>7274.1177415618131</v>
      </c>
      <c r="N1096" cm="1">
        <f t="array" ref="N1096">_xlfn.XLOOKUP(TEXT(A1096, "mmm-yy"), TEXT([2]RUNS!$B$5:$B$208, "mmm-yy"), [2]RUNS!$BM$5:$BM$208, "Not Found")</f>
        <v>0.84544659992229854</v>
      </c>
    </row>
    <row r="1097" spans="1:14" x14ac:dyDescent="0.25">
      <c r="A1097" s="1">
        <f>'[1]Global_Spot Prices'!$B2406</f>
        <v>43538</v>
      </c>
      <c r="B1097">
        <f>_xlfn.XLOOKUP(A1097,'[1]Global_Spot Prices'!$B:$B,'[1]Global_Spot Prices'!$BS:$BS)</f>
        <v>6.3999999999999915</v>
      </c>
      <c r="C1097">
        <f>_xlfn.XLOOKUP(A1097,'[1]Global_Spot Prices'!$B:$B,'[1]Global_Spot Prices'!$E:$E)</f>
        <v>68.150000000000006</v>
      </c>
      <c r="D1097">
        <f>_xlfn.XLOOKUP(A1097,'[1]Global_Spot Prices'!$B:$B,'[1]Global_Spot Prices'!$D:$D)</f>
        <v>66.275000000000006</v>
      </c>
      <c r="E1097">
        <f>_xlfn.XLOOKUP(A1097,'[1]Global_Spot Prices'!$B:$B,'[1]Global_Spot Prices'!$H:$H)</f>
        <v>61.16</v>
      </c>
      <c r="F1097">
        <f>_xlfn.XLOOKUP(A1097,'[1]Global_Spot Prices'!$B:$B,'[1]Global_Spot Prices'!$I:$I)</f>
        <v>74.55</v>
      </c>
      <c r="G1097" cm="1">
        <f t="array" ref="G1097">_xlfn.XLOOKUP(TEXT(A1097, "mmm-yy"), TEXT([2]RUNS!$B$5:$B$208, "mmm-yy"), [2]RUNS!$D$5:$D$208, "Not Found")</f>
        <v>29768.343872584119</v>
      </c>
      <c r="H1097" cm="1">
        <f t="array" ref="H1097">SUMPRODUCT(
    --(TEXT('[3]Global Weekly Stock (EWSuez'!$B$4:$B$2000,"mmm-yy")=TEXT(A1097,"mmm-yy")),
    '[3]Global Weekly Stock (EWSuez'!$E$4:$E$2000)
/
SUMPRODUCT(
    --(TEXT('[3]Global Weekly Stock (EWSuez'!$B$4:$B$2000,"mmm-yy")=TEXT(A1097,"mmm-yy"))
)</f>
        <v>16061.8</v>
      </c>
      <c r="I1097">
        <f>_xlfn.XLOOKUP(A1097,[1]ForwardDeriv!$D:$D,[1]ForwardDeriv!$AJ:$AJ)</f>
        <v>0.87999999999999545</v>
      </c>
      <c r="J1097" cm="1">
        <f t="array" ref="J1097">_xlfn.XLOOKUP(TEXT(A1097, "mmm-yy"), TEXT([2]GASOLINE!$B$5:$B$208, "mmm-yy"), [2]GASOLINE!$IR$5:$IR$208, "Not Found")</f>
        <v>98.900319867311339</v>
      </c>
      <c r="K1097" cm="1">
        <f t="array" ref="K1097">_xlfn.XLOOKUP(TEXT(A1097, "mmm-yy"), TEXT([2]GASOLINE!$B$5:$B$208, "mmm-yy"), [2]GASOLINE!$IK$5:$IK$208, "Not Found")</f>
        <v>171.32813810265216</v>
      </c>
      <c r="L1097">
        <f t="shared" si="17"/>
        <v>0</v>
      </c>
      <c r="M1097" cm="1">
        <f t="array" ref="M1097">_xlfn.XLOOKUP(TEXT(A1097, "mmm-yy"), TEXT([2]GASOLINE!$B$5:$B$208, "mmm-yy"), [2]GASOLINE!$C$5:$C$208, "Not Found")</f>
        <v>7274.1177415618131</v>
      </c>
      <c r="N1097" cm="1">
        <f t="array" ref="N1097">_xlfn.XLOOKUP(TEXT(A1097, "mmm-yy"), TEXT([2]RUNS!$B$5:$B$208, "mmm-yy"), [2]RUNS!$BM$5:$BM$208, "Not Found")</f>
        <v>0.84544659992229854</v>
      </c>
    </row>
    <row r="1098" spans="1:14" x14ac:dyDescent="0.25">
      <c r="A1098" s="1">
        <f>'[1]Global_Spot Prices'!$B2407</f>
        <v>43539</v>
      </c>
      <c r="B1098">
        <f>_xlfn.XLOOKUP(A1098,'[1]Global_Spot Prices'!$B:$B,'[1]Global_Spot Prices'!$BS:$BS)</f>
        <v>5.9250000000000114</v>
      </c>
      <c r="C1098">
        <f>_xlfn.XLOOKUP(A1098,'[1]Global_Spot Prices'!$B:$B,'[1]Global_Spot Prices'!$E:$E)</f>
        <v>67.694999999999993</v>
      </c>
      <c r="D1098">
        <f>_xlfn.XLOOKUP(A1098,'[1]Global_Spot Prices'!$B:$B,'[1]Global_Spot Prices'!$D:$D)</f>
        <v>66.28</v>
      </c>
      <c r="E1098">
        <f>_xlfn.XLOOKUP(A1098,'[1]Global_Spot Prices'!$B:$B,'[1]Global_Spot Prices'!$H:$H)</f>
        <v>60.85</v>
      </c>
      <c r="F1098">
        <f>_xlfn.XLOOKUP(A1098,'[1]Global_Spot Prices'!$B:$B,'[1]Global_Spot Prices'!$I:$I)</f>
        <v>73.62</v>
      </c>
      <c r="G1098" cm="1">
        <f t="array" ref="G1098">_xlfn.XLOOKUP(TEXT(A1098, "mmm-yy"), TEXT([2]RUNS!$B$5:$B$208, "mmm-yy"), [2]RUNS!$D$5:$D$208, "Not Found")</f>
        <v>29768.343872584119</v>
      </c>
      <c r="H1098" cm="1">
        <f t="array" ref="H1098">SUMPRODUCT(
    --(TEXT('[3]Global Weekly Stock (EWSuez'!$B$4:$B$2000,"mmm-yy")=TEXT(A1098,"mmm-yy")),
    '[3]Global Weekly Stock (EWSuez'!$E$4:$E$2000)
/
SUMPRODUCT(
    --(TEXT('[3]Global Weekly Stock (EWSuez'!$B$4:$B$2000,"mmm-yy")=TEXT(A1098,"mmm-yy"))
)</f>
        <v>16061.8</v>
      </c>
      <c r="I1098">
        <f>_xlfn.XLOOKUP(A1098,[1]ForwardDeriv!$D:$D,[1]ForwardDeriv!$AJ:$AJ)</f>
        <v>0.91999999999998749</v>
      </c>
      <c r="J1098" cm="1">
        <f t="array" ref="J1098">_xlfn.XLOOKUP(TEXT(A1098, "mmm-yy"), TEXT([2]GASOLINE!$B$5:$B$208, "mmm-yy"), [2]GASOLINE!$IR$5:$IR$208, "Not Found")</f>
        <v>98.900319867311339</v>
      </c>
      <c r="K1098" cm="1">
        <f t="array" ref="K1098">_xlfn.XLOOKUP(TEXT(A1098, "mmm-yy"), TEXT([2]GASOLINE!$B$5:$B$208, "mmm-yy"), [2]GASOLINE!$IK$5:$IK$208, "Not Found")</f>
        <v>171.32813810265216</v>
      </c>
      <c r="L1098">
        <f t="shared" si="17"/>
        <v>0</v>
      </c>
      <c r="M1098" cm="1">
        <f t="array" ref="M1098">_xlfn.XLOOKUP(TEXT(A1098, "mmm-yy"), TEXT([2]GASOLINE!$B$5:$B$208, "mmm-yy"), [2]GASOLINE!$C$5:$C$208, "Not Found")</f>
        <v>7274.1177415618131</v>
      </c>
      <c r="N1098" cm="1">
        <f t="array" ref="N1098">_xlfn.XLOOKUP(TEXT(A1098, "mmm-yy"), TEXT([2]RUNS!$B$5:$B$208, "mmm-yy"), [2]RUNS!$BM$5:$BM$208, "Not Found")</f>
        <v>0.84544659992229854</v>
      </c>
    </row>
    <row r="1099" spans="1:14" x14ac:dyDescent="0.25">
      <c r="A1099" s="1">
        <f>'[1]Global_Spot Prices'!$B2408</f>
        <v>43542</v>
      </c>
      <c r="B1099">
        <f>_xlfn.XLOOKUP(A1099,'[1]Global_Spot Prices'!$B:$B,'[1]Global_Spot Prices'!$BS:$BS)</f>
        <v>6.2849999999999966</v>
      </c>
      <c r="C1099">
        <f>_xlfn.XLOOKUP(A1099,'[1]Global_Spot Prices'!$B:$B,'[1]Global_Spot Prices'!$E:$E)</f>
        <v>67.295000000000002</v>
      </c>
      <c r="D1099">
        <f>_xlfn.XLOOKUP(A1099,'[1]Global_Spot Prices'!$B:$B,'[1]Global_Spot Prices'!$D:$D)</f>
        <v>66.86</v>
      </c>
      <c r="E1099">
        <f>_xlfn.XLOOKUP(A1099,'[1]Global_Spot Prices'!$B:$B,'[1]Global_Spot Prices'!$H:$H)</f>
        <v>60.36</v>
      </c>
      <c r="F1099">
        <f>_xlfn.XLOOKUP(A1099,'[1]Global_Spot Prices'!$B:$B,'[1]Global_Spot Prices'!$I:$I)</f>
        <v>73.58</v>
      </c>
      <c r="G1099" cm="1">
        <f t="array" ref="G1099">_xlfn.XLOOKUP(TEXT(A1099, "mmm-yy"), TEXT([2]RUNS!$B$5:$B$208, "mmm-yy"), [2]RUNS!$D$5:$D$208, "Not Found")</f>
        <v>29768.343872584119</v>
      </c>
      <c r="H1099" cm="1">
        <f t="array" ref="H1099">SUMPRODUCT(
    --(TEXT('[3]Global Weekly Stock (EWSuez'!$B$4:$B$2000,"mmm-yy")=TEXT(A1099,"mmm-yy")),
    '[3]Global Weekly Stock (EWSuez'!$E$4:$E$2000)
/
SUMPRODUCT(
    --(TEXT('[3]Global Weekly Stock (EWSuez'!$B$4:$B$2000,"mmm-yy")=TEXT(A1099,"mmm-yy"))
)</f>
        <v>16061.8</v>
      </c>
      <c r="I1099">
        <f>_xlfn.XLOOKUP(A1099,[1]ForwardDeriv!$D:$D,[1]ForwardDeriv!$AJ:$AJ)</f>
        <v>1.039999999999992</v>
      </c>
      <c r="J1099" cm="1">
        <f t="array" ref="J1099">_xlfn.XLOOKUP(TEXT(A1099, "mmm-yy"), TEXT([2]GASOLINE!$B$5:$B$208, "mmm-yy"), [2]GASOLINE!$IR$5:$IR$208, "Not Found")</f>
        <v>98.900319867311339</v>
      </c>
      <c r="K1099" cm="1">
        <f t="array" ref="K1099">_xlfn.XLOOKUP(TEXT(A1099, "mmm-yy"), TEXT([2]GASOLINE!$B$5:$B$208, "mmm-yy"), [2]GASOLINE!$IK$5:$IK$208, "Not Found")</f>
        <v>171.32813810265216</v>
      </c>
      <c r="L1099">
        <f t="shared" si="17"/>
        <v>0</v>
      </c>
      <c r="M1099" cm="1">
        <f t="array" ref="M1099">_xlfn.XLOOKUP(TEXT(A1099, "mmm-yy"), TEXT([2]GASOLINE!$B$5:$B$208, "mmm-yy"), [2]GASOLINE!$C$5:$C$208, "Not Found")</f>
        <v>7274.1177415618131</v>
      </c>
      <c r="N1099" cm="1">
        <f t="array" ref="N1099">_xlfn.XLOOKUP(TEXT(A1099, "mmm-yy"), TEXT([2]RUNS!$B$5:$B$208, "mmm-yy"), [2]RUNS!$BM$5:$BM$208, "Not Found")</f>
        <v>0.84544659992229854</v>
      </c>
    </row>
    <row r="1100" spans="1:14" x14ac:dyDescent="0.25">
      <c r="A1100" s="1">
        <f>'[1]Global_Spot Prices'!$B2409</f>
        <v>43543</v>
      </c>
      <c r="B1100">
        <f>_xlfn.XLOOKUP(A1100,'[1]Global_Spot Prices'!$B:$B,'[1]Global_Spot Prices'!$BS:$BS)</f>
        <v>7.0799999999999983</v>
      </c>
      <c r="C1100">
        <f>_xlfn.XLOOKUP(A1100,'[1]Global_Spot Prices'!$B:$B,'[1]Global_Spot Prices'!$E:$E)</f>
        <v>67.650000000000006</v>
      </c>
      <c r="D1100">
        <f>_xlfn.XLOOKUP(A1100,'[1]Global_Spot Prices'!$B:$B,'[1]Global_Spot Prices'!$D:$D)</f>
        <v>67.39</v>
      </c>
      <c r="E1100">
        <f>_xlfn.XLOOKUP(A1100,'[1]Global_Spot Prices'!$B:$B,'[1]Global_Spot Prices'!$H:$H)</f>
        <v>61.47</v>
      </c>
      <c r="F1100">
        <f>_xlfn.XLOOKUP(A1100,'[1]Global_Spot Prices'!$B:$B,'[1]Global_Spot Prices'!$I:$I)</f>
        <v>74.73</v>
      </c>
      <c r="G1100" cm="1">
        <f t="array" ref="G1100">_xlfn.XLOOKUP(TEXT(A1100, "mmm-yy"), TEXT([2]RUNS!$B$5:$B$208, "mmm-yy"), [2]RUNS!$D$5:$D$208, "Not Found")</f>
        <v>29768.343872584119</v>
      </c>
      <c r="H1100" cm="1">
        <f t="array" ref="H1100">SUMPRODUCT(
    --(TEXT('[3]Global Weekly Stock (EWSuez'!$B$4:$B$2000,"mmm-yy")=TEXT(A1100,"mmm-yy")),
    '[3]Global Weekly Stock (EWSuez'!$E$4:$E$2000)
/
SUMPRODUCT(
    --(TEXT('[3]Global Weekly Stock (EWSuez'!$B$4:$B$2000,"mmm-yy")=TEXT(A1100,"mmm-yy"))
)</f>
        <v>16061.8</v>
      </c>
      <c r="I1100">
        <f>_xlfn.XLOOKUP(A1100,[1]ForwardDeriv!$D:$D,[1]ForwardDeriv!$AJ:$AJ)</f>
        <v>1.1599999999999966</v>
      </c>
      <c r="J1100" cm="1">
        <f t="array" ref="J1100">_xlfn.XLOOKUP(TEXT(A1100, "mmm-yy"), TEXT([2]GASOLINE!$B$5:$B$208, "mmm-yy"), [2]GASOLINE!$IR$5:$IR$208, "Not Found")</f>
        <v>98.900319867311339</v>
      </c>
      <c r="K1100" cm="1">
        <f t="array" ref="K1100">_xlfn.XLOOKUP(TEXT(A1100, "mmm-yy"), TEXT([2]GASOLINE!$B$5:$B$208, "mmm-yy"), [2]GASOLINE!$IK$5:$IK$208, "Not Found")</f>
        <v>171.32813810265216</v>
      </c>
      <c r="L1100">
        <f t="shared" si="17"/>
        <v>0</v>
      </c>
      <c r="M1100" cm="1">
        <f t="array" ref="M1100">_xlfn.XLOOKUP(TEXT(A1100, "mmm-yy"), TEXT([2]GASOLINE!$B$5:$B$208, "mmm-yy"), [2]GASOLINE!$C$5:$C$208, "Not Found")</f>
        <v>7274.1177415618131</v>
      </c>
      <c r="N1100" cm="1">
        <f t="array" ref="N1100">_xlfn.XLOOKUP(TEXT(A1100, "mmm-yy"), TEXT([2]RUNS!$B$5:$B$208, "mmm-yy"), [2]RUNS!$BM$5:$BM$208, "Not Found")</f>
        <v>0.84544659992229854</v>
      </c>
    </row>
    <row r="1101" spans="1:14" x14ac:dyDescent="0.25">
      <c r="A1101" s="1">
        <f>'[1]Global_Spot Prices'!$B2410</f>
        <v>43544</v>
      </c>
      <c r="B1101">
        <f>_xlfn.XLOOKUP(A1101,'[1]Global_Spot Prices'!$B:$B,'[1]Global_Spot Prices'!$BS:$BS)</f>
        <v>7.1850000000000023</v>
      </c>
      <c r="C1101">
        <f>_xlfn.XLOOKUP(A1101,'[1]Global_Spot Prices'!$B:$B,'[1]Global_Spot Prices'!$E:$E)</f>
        <v>67.644999999999996</v>
      </c>
      <c r="D1101">
        <f>_xlfn.XLOOKUP(A1101,'[1]Global_Spot Prices'!$B:$B,'[1]Global_Spot Prices'!$D:$D)</f>
        <v>68.215000000000003</v>
      </c>
      <c r="E1101">
        <f>_xlfn.XLOOKUP(A1101,'[1]Global_Spot Prices'!$B:$B,'[1]Global_Spot Prices'!$H:$H)</f>
        <v>61.58</v>
      </c>
      <c r="F1101">
        <f>_xlfn.XLOOKUP(A1101,'[1]Global_Spot Prices'!$B:$B,'[1]Global_Spot Prices'!$I:$I)</f>
        <v>74.83</v>
      </c>
      <c r="G1101" cm="1">
        <f t="array" ref="G1101">_xlfn.XLOOKUP(TEXT(A1101, "mmm-yy"), TEXT([2]RUNS!$B$5:$B$208, "mmm-yy"), [2]RUNS!$D$5:$D$208, "Not Found")</f>
        <v>29768.343872584119</v>
      </c>
      <c r="H1101" cm="1">
        <f t="array" ref="H1101">SUMPRODUCT(
    --(TEXT('[3]Global Weekly Stock (EWSuez'!$B$4:$B$2000,"mmm-yy")=TEXT(A1101,"mmm-yy")),
    '[3]Global Weekly Stock (EWSuez'!$E$4:$E$2000)
/
SUMPRODUCT(
    --(TEXT('[3]Global Weekly Stock (EWSuez'!$B$4:$B$2000,"mmm-yy")=TEXT(A1101,"mmm-yy"))
)</f>
        <v>16061.8</v>
      </c>
      <c r="I1101">
        <f>_xlfn.XLOOKUP(A1101,[1]ForwardDeriv!$D:$D,[1]ForwardDeriv!$AJ:$AJ)</f>
        <v>1.0400000000000063</v>
      </c>
      <c r="J1101" cm="1">
        <f t="array" ref="J1101">_xlfn.XLOOKUP(TEXT(A1101, "mmm-yy"), TEXT([2]GASOLINE!$B$5:$B$208, "mmm-yy"), [2]GASOLINE!$IR$5:$IR$208, "Not Found")</f>
        <v>98.900319867311339</v>
      </c>
      <c r="K1101" cm="1">
        <f t="array" ref="K1101">_xlfn.XLOOKUP(TEXT(A1101, "mmm-yy"), TEXT([2]GASOLINE!$B$5:$B$208, "mmm-yy"), [2]GASOLINE!$IK$5:$IK$208, "Not Found")</f>
        <v>171.32813810265216</v>
      </c>
      <c r="L1101">
        <f t="shared" si="17"/>
        <v>0</v>
      </c>
      <c r="M1101" cm="1">
        <f t="array" ref="M1101">_xlfn.XLOOKUP(TEXT(A1101, "mmm-yy"), TEXT([2]GASOLINE!$B$5:$B$208, "mmm-yy"), [2]GASOLINE!$C$5:$C$208, "Not Found")</f>
        <v>7274.1177415618131</v>
      </c>
      <c r="N1101" cm="1">
        <f t="array" ref="N1101">_xlfn.XLOOKUP(TEXT(A1101, "mmm-yy"), TEXT([2]RUNS!$B$5:$B$208, "mmm-yy"), [2]RUNS!$BM$5:$BM$208, "Not Found")</f>
        <v>0.84544659992229854</v>
      </c>
    </row>
    <row r="1102" spans="1:14" x14ac:dyDescent="0.25">
      <c r="A1102" s="1">
        <f>'[1]Global_Spot Prices'!$B2411</f>
        <v>43545</v>
      </c>
      <c r="B1102">
        <f>_xlfn.XLOOKUP(A1102,'[1]Global_Spot Prices'!$B:$B,'[1]Global_Spot Prices'!$BS:$BS)</f>
        <v>7.4000000000000057</v>
      </c>
      <c r="C1102">
        <f>_xlfn.XLOOKUP(A1102,'[1]Global_Spot Prices'!$B:$B,'[1]Global_Spot Prices'!$E:$E)</f>
        <v>68.25</v>
      </c>
      <c r="D1102">
        <f>_xlfn.XLOOKUP(A1102,'[1]Global_Spot Prices'!$B:$B,'[1]Global_Spot Prices'!$D:$D)</f>
        <v>68.11</v>
      </c>
      <c r="E1102">
        <f>_xlfn.XLOOKUP(A1102,'[1]Global_Spot Prices'!$B:$B,'[1]Global_Spot Prices'!$H:$H)</f>
        <v>61.79</v>
      </c>
      <c r="F1102">
        <f>_xlfn.XLOOKUP(A1102,'[1]Global_Spot Prices'!$B:$B,'[1]Global_Spot Prices'!$I:$I)</f>
        <v>75.650000000000006</v>
      </c>
      <c r="G1102" cm="1">
        <f t="array" ref="G1102">_xlfn.XLOOKUP(TEXT(A1102, "mmm-yy"), TEXT([2]RUNS!$B$5:$B$208, "mmm-yy"), [2]RUNS!$D$5:$D$208, "Not Found")</f>
        <v>29768.343872584119</v>
      </c>
      <c r="H1102" cm="1">
        <f t="array" ref="H1102">SUMPRODUCT(
    --(TEXT('[3]Global Weekly Stock (EWSuez'!$B$4:$B$2000,"mmm-yy")=TEXT(A1102,"mmm-yy")),
    '[3]Global Weekly Stock (EWSuez'!$E$4:$E$2000)
/
SUMPRODUCT(
    --(TEXT('[3]Global Weekly Stock (EWSuez'!$B$4:$B$2000,"mmm-yy")=TEXT(A1102,"mmm-yy"))
)</f>
        <v>16061.8</v>
      </c>
      <c r="I1102">
        <f>_xlfn.XLOOKUP(A1102,[1]ForwardDeriv!$D:$D,[1]ForwardDeriv!$AJ:$AJ)</f>
        <v>1.1199999999999903</v>
      </c>
      <c r="J1102" cm="1">
        <f t="array" ref="J1102">_xlfn.XLOOKUP(TEXT(A1102, "mmm-yy"), TEXT([2]GASOLINE!$B$5:$B$208, "mmm-yy"), [2]GASOLINE!$IR$5:$IR$208, "Not Found")</f>
        <v>98.900319867311339</v>
      </c>
      <c r="K1102" cm="1">
        <f t="array" ref="K1102">_xlfn.XLOOKUP(TEXT(A1102, "mmm-yy"), TEXT([2]GASOLINE!$B$5:$B$208, "mmm-yy"), [2]GASOLINE!$IK$5:$IK$208, "Not Found")</f>
        <v>171.32813810265216</v>
      </c>
      <c r="L1102">
        <f t="shared" si="17"/>
        <v>0</v>
      </c>
      <c r="M1102" cm="1">
        <f t="array" ref="M1102">_xlfn.XLOOKUP(TEXT(A1102, "mmm-yy"), TEXT([2]GASOLINE!$B$5:$B$208, "mmm-yy"), [2]GASOLINE!$C$5:$C$208, "Not Found")</f>
        <v>7274.1177415618131</v>
      </c>
      <c r="N1102" cm="1">
        <f t="array" ref="N1102">_xlfn.XLOOKUP(TEXT(A1102, "mmm-yy"), TEXT([2]RUNS!$B$5:$B$208, "mmm-yy"), [2]RUNS!$BM$5:$BM$208, "Not Found")</f>
        <v>0.84544659992229854</v>
      </c>
    </row>
    <row r="1103" spans="1:14" x14ac:dyDescent="0.25">
      <c r="A1103" s="1">
        <f>'[1]Global_Spot Prices'!$B2412</f>
        <v>43546</v>
      </c>
      <c r="B1103">
        <f>_xlfn.XLOOKUP(A1103,'[1]Global_Spot Prices'!$B:$B,'[1]Global_Spot Prices'!$BS:$BS)</f>
        <v>7.8499999999999943</v>
      </c>
      <c r="C1103">
        <f>_xlfn.XLOOKUP(A1103,'[1]Global_Spot Prices'!$B:$B,'[1]Global_Spot Prices'!$E:$E)</f>
        <v>67.45</v>
      </c>
      <c r="D1103">
        <f>_xlfn.XLOOKUP(A1103,'[1]Global_Spot Prices'!$B:$B,'[1]Global_Spot Prices'!$D:$D)</f>
        <v>66.31</v>
      </c>
      <c r="E1103">
        <f>_xlfn.XLOOKUP(A1103,'[1]Global_Spot Prices'!$B:$B,'[1]Global_Spot Prices'!$H:$H)</f>
        <v>61.18</v>
      </c>
      <c r="F1103">
        <f>_xlfn.XLOOKUP(A1103,'[1]Global_Spot Prices'!$B:$B,'[1]Global_Spot Prices'!$I:$I)</f>
        <v>75.3</v>
      </c>
      <c r="G1103" cm="1">
        <f t="array" ref="G1103">_xlfn.XLOOKUP(TEXT(A1103, "mmm-yy"), TEXT([2]RUNS!$B$5:$B$208, "mmm-yy"), [2]RUNS!$D$5:$D$208, "Not Found")</f>
        <v>29768.343872584119</v>
      </c>
      <c r="H1103" cm="1">
        <f t="array" ref="H1103">SUMPRODUCT(
    --(TEXT('[3]Global Weekly Stock (EWSuez'!$B$4:$B$2000,"mmm-yy")=TEXT(A1103,"mmm-yy")),
    '[3]Global Weekly Stock (EWSuez'!$E$4:$E$2000)
/
SUMPRODUCT(
    --(TEXT('[3]Global Weekly Stock (EWSuez'!$B$4:$B$2000,"mmm-yy")=TEXT(A1103,"mmm-yy"))
)</f>
        <v>16061.8</v>
      </c>
      <c r="I1103">
        <f>_xlfn.XLOOKUP(A1103,[1]ForwardDeriv!$D:$D,[1]ForwardDeriv!$AJ:$AJ)</f>
        <v>1.3299999999999983</v>
      </c>
      <c r="J1103" cm="1">
        <f t="array" ref="J1103">_xlfn.XLOOKUP(TEXT(A1103, "mmm-yy"), TEXT([2]GASOLINE!$B$5:$B$208, "mmm-yy"), [2]GASOLINE!$IR$5:$IR$208, "Not Found")</f>
        <v>98.900319867311339</v>
      </c>
      <c r="K1103" cm="1">
        <f t="array" ref="K1103">_xlfn.XLOOKUP(TEXT(A1103, "mmm-yy"), TEXT([2]GASOLINE!$B$5:$B$208, "mmm-yy"), [2]GASOLINE!$IK$5:$IK$208, "Not Found")</f>
        <v>171.32813810265216</v>
      </c>
      <c r="L1103">
        <f t="shared" si="17"/>
        <v>0</v>
      </c>
      <c r="M1103" cm="1">
        <f t="array" ref="M1103">_xlfn.XLOOKUP(TEXT(A1103, "mmm-yy"), TEXT([2]GASOLINE!$B$5:$B$208, "mmm-yy"), [2]GASOLINE!$C$5:$C$208, "Not Found")</f>
        <v>7274.1177415618131</v>
      </c>
      <c r="N1103" cm="1">
        <f t="array" ref="N1103">_xlfn.XLOOKUP(TEXT(A1103, "mmm-yy"), TEXT([2]RUNS!$B$5:$B$208, "mmm-yy"), [2]RUNS!$BM$5:$BM$208, "Not Found")</f>
        <v>0.84544659992229854</v>
      </c>
    </row>
    <row r="1104" spans="1:14" x14ac:dyDescent="0.25">
      <c r="A1104" s="1">
        <f>'[1]Global_Spot Prices'!$B2413</f>
        <v>43549</v>
      </c>
      <c r="B1104">
        <f>_xlfn.XLOOKUP(A1104,'[1]Global_Spot Prices'!$B:$B,'[1]Global_Spot Prices'!$BS:$BS)</f>
        <v>8.0100000000000051</v>
      </c>
      <c r="C1104">
        <f>_xlfn.XLOOKUP(A1104,'[1]Global_Spot Prices'!$B:$B,'[1]Global_Spot Prices'!$E:$E)</f>
        <v>66.36</v>
      </c>
      <c r="D1104">
        <f>_xlfn.XLOOKUP(A1104,'[1]Global_Spot Prices'!$B:$B,'[1]Global_Spot Prices'!$D:$D)</f>
        <v>67.004999999999995</v>
      </c>
      <c r="E1104">
        <f>_xlfn.XLOOKUP(A1104,'[1]Global_Spot Prices'!$B:$B,'[1]Global_Spot Prices'!$H:$H)</f>
        <v>60.43</v>
      </c>
      <c r="F1104">
        <f>_xlfn.XLOOKUP(A1104,'[1]Global_Spot Prices'!$B:$B,'[1]Global_Spot Prices'!$I:$I)</f>
        <v>74.37</v>
      </c>
      <c r="G1104" cm="1">
        <f t="array" ref="G1104">_xlfn.XLOOKUP(TEXT(A1104, "mmm-yy"), TEXT([2]RUNS!$B$5:$B$208, "mmm-yy"), [2]RUNS!$D$5:$D$208, "Not Found")</f>
        <v>29768.343872584119</v>
      </c>
      <c r="H1104" cm="1">
        <f t="array" ref="H1104">SUMPRODUCT(
    --(TEXT('[3]Global Weekly Stock (EWSuez'!$B$4:$B$2000,"mmm-yy")=TEXT(A1104,"mmm-yy")),
    '[3]Global Weekly Stock (EWSuez'!$E$4:$E$2000)
/
SUMPRODUCT(
    --(TEXT('[3]Global Weekly Stock (EWSuez'!$B$4:$B$2000,"mmm-yy")=TEXT(A1104,"mmm-yy"))
)</f>
        <v>16061.8</v>
      </c>
      <c r="I1104">
        <f>_xlfn.XLOOKUP(A1104,[1]ForwardDeriv!$D:$D,[1]ForwardDeriv!$AJ:$AJ)</f>
        <v>1.25</v>
      </c>
      <c r="J1104" cm="1">
        <f t="array" ref="J1104">_xlfn.XLOOKUP(TEXT(A1104, "mmm-yy"), TEXT([2]GASOLINE!$B$5:$B$208, "mmm-yy"), [2]GASOLINE!$IR$5:$IR$208, "Not Found")</f>
        <v>98.900319867311339</v>
      </c>
      <c r="K1104" cm="1">
        <f t="array" ref="K1104">_xlfn.XLOOKUP(TEXT(A1104, "mmm-yy"), TEXT([2]GASOLINE!$B$5:$B$208, "mmm-yy"), [2]GASOLINE!$IK$5:$IK$208, "Not Found")</f>
        <v>171.32813810265216</v>
      </c>
      <c r="L1104">
        <f t="shared" si="17"/>
        <v>0</v>
      </c>
      <c r="M1104" cm="1">
        <f t="array" ref="M1104">_xlfn.XLOOKUP(TEXT(A1104, "mmm-yy"), TEXT([2]GASOLINE!$B$5:$B$208, "mmm-yy"), [2]GASOLINE!$C$5:$C$208, "Not Found")</f>
        <v>7274.1177415618131</v>
      </c>
      <c r="N1104" cm="1">
        <f t="array" ref="N1104">_xlfn.XLOOKUP(TEXT(A1104, "mmm-yy"), TEXT([2]RUNS!$B$5:$B$208, "mmm-yy"), [2]RUNS!$BM$5:$BM$208, "Not Found")</f>
        <v>0.84544659992229854</v>
      </c>
    </row>
    <row r="1105" spans="1:14" x14ac:dyDescent="0.25">
      <c r="A1105" s="1">
        <f>'[1]Global_Spot Prices'!$B2414</f>
        <v>43550</v>
      </c>
      <c r="B1105">
        <f>_xlfn.XLOOKUP(A1105,'[1]Global_Spot Prices'!$B:$B,'[1]Global_Spot Prices'!$BS:$BS)</f>
        <v>7.9399999999999977</v>
      </c>
      <c r="C1105">
        <f>_xlfn.XLOOKUP(A1105,'[1]Global_Spot Prices'!$B:$B,'[1]Global_Spot Prices'!$E:$E)</f>
        <v>67.150000000000006</v>
      </c>
      <c r="D1105">
        <f>_xlfn.XLOOKUP(A1105,'[1]Global_Spot Prices'!$B:$B,'[1]Global_Spot Prices'!$D:$D)</f>
        <v>67.73</v>
      </c>
      <c r="E1105">
        <f>_xlfn.XLOOKUP(A1105,'[1]Global_Spot Prices'!$B:$B,'[1]Global_Spot Prices'!$H:$H)</f>
        <v>61.54</v>
      </c>
      <c r="F1105">
        <f>_xlfn.XLOOKUP(A1105,'[1]Global_Spot Prices'!$B:$B,'[1]Global_Spot Prices'!$I:$I)</f>
        <v>75.09</v>
      </c>
      <c r="G1105" cm="1">
        <f t="array" ref="G1105">_xlfn.XLOOKUP(TEXT(A1105, "mmm-yy"), TEXT([2]RUNS!$B$5:$B$208, "mmm-yy"), [2]RUNS!$D$5:$D$208, "Not Found")</f>
        <v>29768.343872584119</v>
      </c>
      <c r="H1105" cm="1">
        <f t="array" ref="H1105">SUMPRODUCT(
    --(TEXT('[3]Global Weekly Stock (EWSuez'!$B$4:$B$2000,"mmm-yy")=TEXT(A1105,"mmm-yy")),
    '[3]Global Weekly Stock (EWSuez'!$E$4:$E$2000)
/
SUMPRODUCT(
    --(TEXT('[3]Global Weekly Stock (EWSuez'!$B$4:$B$2000,"mmm-yy")=TEXT(A1105,"mmm-yy"))
)</f>
        <v>16061.8</v>
      </c>
      <c r="I1105">
        <f>_xlfn.XLOOKUP(A1105,[1]ForwardDeriv!$D:$D,[1]ForwardDeriv!$AJ:$AJ)</f>
        <v>1.2999999999999972</v>
      </c>
      <c r="J1105" cm="1">
        <f t="array" ref="J1105">_xlfn.XLOOKUP(TEXT(A1105, "mmm-yy"), TEXT([2]GASOLINE!$B$5:$B$208, "mmm-yy"), [2]GASOLINE!$IR$5:$IR$208, "Not Found")</f>
        <v>98.900319867311339</v>
      </c>
      <c r="K1105" cm="1">
        <f t="array" ref="K1105">_xlfn.XLOOKUP(TEXT(A1105, "mmm-yy"), TEXT([2]GASOLINE!$B$5:$B$208, "mmm-yy"), [2]GASOLINE!$IK$5:$IK$208, "Not Found")</f>
        <v>171.32813810265216</v>
      </c>
      <c r="L1105">
        <f t="shared" si="17"/>
        <v>0</v>
      </c>
      <c r="M1105" cm="1">
        <f t="array" ref="M1105">_xlfn.XLOOKUP(TEXT(A1105, "mmm-yy"), TEXT([2]GASOLINE!$B$5:$B$208, "mmm-yy"), [2]GASOLINE!$C$5:$C$208, "Not Found")</f>
        <v>7274.1177415618131</v>
      </c>
      <c r="N1105" cm="1">
        <f t="array" ref="N1105">_xlfn.XLOOKUP(TEXT(A1105, "mmm-yy"), TEXT([2]RUNS!$B$5:$B$208, "mmm-yy"), [2]RUNS!$BM$5:$BM$208, "Not Found")</f>
        <v>0.84544659992229854</v>
      </c>
    </row>
    <row r="1106" spans="1:14" x14ac:dyDescent="0.25">
      <c r="A1106" s="1">
        <f>'[1]Global_Spot Prices'!$B2415</f>
        <v>43551</v>
      </c>
      <c r="B1106">
        <f>_xlfn.XLOOKUP(A1106,'[1]Global_Spot Prices'!$B:$B,'[1]Global_Spot Prices'!$BS:$BS)</f>
        <v>8.289999999999992</v>
      </c>
      <c r="C1106">
        <f>_xlfn.XLOOKUP(A1106,'[1]Global_Spot Prices'!$B:$B,'[1]Global_Spot Prices'!$E:$E)</f>
        <v>67.400000000000006</v>
      </c>
      <c r="D1106">
        <f>_xlfn.XLOOKUP(A1106,'[1]Global_Spot Prices'!$B:$B,'[1]Global_Spot Prices'!$D:$D)</f>
        <v>67.680000000000007</v>
      </c>
      <c r="E1106">
        <f>_xlfn.XLOOKUP(A1106,'[1]Global_Spot Prices'!$B:$B,'[1]Global_Spot Prices'!$H:$H)</f>
        <v>61.49</v>
      </c>
      <c r="F1106">
        <f>_xlfn.XLOOKUP(A1106,'[1]Global_Spot Prices'!$B:$B,'[1]Global_Spot Prices'!$I:$I)</f>
        <v>75.69</v>
      </c>
      <c r="G1106" cm="1">
        <f t="array" ref="G1106">_xlfn.XLOOKUP(TEXT(A1106, "mmm-yy"), TEXT([2]RUNS!$B$5:$B$208, "mmm-yy"), [2]RUNS!$D$5:$D$208, "Not Found")</f>
        <v>29768.343872584119</v>
      </c>
      <c r="H1106" cm="1">
        <f t="array" ref="H1106">SUMPRODUCT(
    --(TEXT('[3]Global Weekly Stock (EWSuez'!$B$4:$B$2000,"mmm-yy")=TEXT(A1106,"mmm-yy")),
    '[3]Global Weekly Stock (EWSuez'!$E$4:$E$2000)
/
SUMPRODUCT(
    --(TEXT('[3]Global Weekly Stock (EWSuez'!$B$4:$B$2000,"mmm-yy")=TEXT(A1106,"mmm-yy"))
)</f>
        <v>16061.8</v>
      </c>
      <c r="I1106">
        <f>_xlfn.XLOOKUP(A1106,[1]ForwardDeriv!$D:$D,[1]ForwardDeriv!$AJ:$AJ)</f>
        <v>1.4300000000000068</v>
      </c>
      <c r="J1106" cm="1">
        <f t="array" ref="J1106">_xlfn.XLOOKUP(TEXT(A1106, "mmm-yy"), TEXT([2]GASOLINE!$B$5:$B$208, "mmm-yy"), [2]GASOLINE!$IR$5:$IR$208, "Not Found")</f>
        <v>98.900319867311339</v>
      </c>
      <c r="K1106" cm="1">
        <f t="array" ref="K1106">_xlfn.XLOOKUP(TEXT(A1106, "mmm-yy"), TEXT([2]GASOLINE!$B$5:$B$208, "mmm-yy"), [2]GASOLINE!$IK$5:$IK$208, "Not Found")</f>
        <v>171.32813810265216</v>
      </c>
      <c r="L1106">
        <f t="shared" si="17"/>
        <v>0</v>
      </c>
      <c r="M1106" cm="1">
        <f t="array" ref="M1106">_xlfn.XLOOKUP(TEXT(A1106, "mmm-yy"), TEXT([2]GASOLINE!$B$5:$B$208, "mmm-yy"), [2]GASOLINE!$C$5:$C$208, "Not Found")</f>
        <v>7274.1177415618131</v>
      </c>
      <c r="N1106" cm="1">
        <f t="array" ref="N1106">_xlfn.XLOOKUP(TEXT(A1106, "mmm-yy"), TEXT([2]RUNS!$B$5:$B$208, "mmm-yy"), [2]RUNS!$BM$5:$BM$208, "Not Found")</f>
        <v>0.84544659992229854</v>
      </c>
    </row>
    <row r="1107" spans="1:14" x14ac:dyDescent="0.25">
      <c r="A1107" s="1">
        <f>'[1]Global_Spot Prices'!$B2416</f>
        <v>43552</v>
      </c>
      <c r="B1107">
        <f>_xlfn.XLOOKUP(A1107,'[1]Global_Spot Prices'!$B:$B,'[1]Global_Spot Prices'!$BS:$BS)</f>
        <v>7.3499999999999943</v>
      </c>
      <c r="C1107">
        <f>_xlfn.XLOOKUP(A1107,'[1]Global_Spot Prices'!$B:$B,'[1]Global_Spot Prices'!$E:$E)</f>
        <v>66.540000000000006</v>
      </c>
      <c r="D1107">
        <f>_xlfn.XLOOKUP(A1107,'[1]Global_Spot Prices'!$B:$B,'[1]Global_Spot Prices'!$D:$D)</f>
        <v>66.52</v>
      </c>
      <c r="E1107">
        <f>_xlfn.XLOOKUP(A1107,'[1]Global_Spot Prices'!$B:$B,'[1]Global_Spot Prices'!$H:$H)</f>
        <v>60.34</v>
      </c>
      <c r="F1107">
        <f>_xlfn.XLOOKUP(A1107,'[1]Global_Spot Prices'!$B:$B,'[1]Global_Spot Prices'!$I:$I)</f>
        <v>73.89</v>
      </c>
      <c r="G1107" cm="1">
        <f t="array" ref="G1107">_xlfn.XLOOKUP(TEXT(A1107, "mmm-yy"), TEXT([2]RUNS!$B$5:$B$208, "mmm-yy"), [2]RUNS!$D$5:$D$208, "Not Found")</f>
        <v>29768.343872584119</v>
      </c>
      <c r="H1107" cm="1">
        <f t="array" ref="H1107">SUMPRODUCT(
    --(TEXT('[3]Global Weekly Stock (EWSuez'!$B$4:$B$2000,"mmm-yy")=TEXT(A1107,"mmm-yy")),
    '[3]Global Weekly Stock (EWSuez'!$E$4:$E$2000)
/
SUMPRODUCT(
    --(TEXT('[3]Global Weekly Stock (EWSuez'!$B$4:$B$2000,"mmm-yy")=TEXT(A1107,"mmm-yy"))
)</f>
        <v>16061.8</v>
      </c>
      <c r="I1107">
        <f>_xlfn.XLOOKUP(A1107,[1]ForwardDeriv!$D:$D,[1]ForwardDeriv!$AJ:$AJ)</f>
        <v>1.4000000000000057</v>
      </c>
      <c r="J1107" cm="1">
        <f t="array" ref="J1107">_xlfn.XLOOKUP(TEXT(A1107, "mmm-yy"), TEXT([2]GASOLINE!$B$5:$B$208, "mmm-yy"), [2]GASOLINE!$IR$5:$IR$208, "Not Found")</f>
        <v>98.900319867311339</v>
      </c>
      <c r="K1107" cm="1">
        <f t="array" ref="K1107">_xlfn.XLOOKUP(TEXT(A1107, "mmm-yy"), TEXT([2]GASOLINE!$B$5:$B$208, "mmm-yy"), [2]GASOLINE!$IK$5:$IK$208, "Not Found")</f>
        <v>171.32813810265216</v>
      </c>
      <c r="L1107">
        <f t="shared" si="17"/>
        <v>0</v>
      </c>
      <c r="M1107" cm="1">
        <f t="array" ref="M1107">_xlfn.XLOOKUP(TEXT(A1107, "mmm-yy"), TEXT([2]GASOLINE!$B$5:$B$208, "mmm-yy"), [2]GASOLINE!$C$5:$C$208, "Not Found")</f>
        <v>7274.1177415618131</v>
      </c>
      <c r="N1107" cm="1">
        <f t="array" ref="N1107">_xlfn.XLOOKUP(TEXT(A1107, "mmm-yy"), TEXT([2]RUNS!$B$5:$B$208, "mmm-yy"), [2]RUNS!$BM$5:$BM$208, "Not Found")</f>
        <v>0.84544659992229854</v>
      </c>
    </row>
    <row r="1108" spans="1:14" x14ac:dyDescent="0.25">
      <c r="A1108" s="1">
        <f>'[1]Global_Spot Prices'!$B2417</f>
        <v>43553</v>
      </c>
      <c r="B1108">
        <f>_xlfn.XLOOKUP(A1108,'[1]Global_Spot Prices'!$B:$B,'[1]Global_Spot Prices'!$BS:$BS)</f>
        <v>7.6799999999999926</v>
      </c>
      <c r="C1108">
        <f>_xlfn.XLOOKUP(A1108,'[1]Global_Spot Prices'!$B:$B,'[1]Global_Spot Prices'!$E:$E)</f>
        <v>67.2</v>
      </c>
      <c r="D1108">
        <f>_xlfn.XLOOKUP(A1108,'[1]Global_Spot Prices'!$B:$B,'[1]Global_Spot Prices'!$D:$D)</f>
        <v>67.989999999999995</v>
      </c>
      <c r="E1108">
        <f>_xlfn.XLOOKUP(A1108,'[1]Global_Spot Prices'!$B:$B,'[1]Global_Spot Prices'!$H:$H)</f>
        <v>60.76</v>
      </c>
      <c r="F1108">
        <f>_xlfn.XLOOKUP(A1108,'[1]Global_Spot Prices'!$B:$B,'[1]Global_Spot Prices'!$I:$I)</f>
        <v>74.88</v>
      </c>
      <c r="G1108" cm="1">
        <f t="array" ref="G1108">_xlfn.XLOOKUP(TEXT(A1108, "mmm-yy"), TEXT([2]RUNS!$B$5:$B$208, "mmm-yy"), [2]RUNS!$D$5:$D$208, "Not Found")</f>
        <v>29768.343872584119</v>
      </c>
      <c r="H1108" cm="1">
        <f t="array" ref="H1108">SUMPRODUCT(
    --(TEXT('[3]Global Weekly Stock (EWSuez'!$B$4:$B$2000,"mmm-yy")=TEXT(A1108,"mmm-yy")),
    '[3]Global Weekly Stock (EWSuez'!$E$4:$E$2000)
/
SUMPRODUCT(
    --(TEXT('[3]Global Weekly Stock (EWSuez'!$B$4:$B$2000,"mmm-yy")=TEXT(A1108,"mmm-yy"))
)</f>
        <v>16061.8</v>
      </c>
      <c r="I1108">
        <f>_xlfn.XLOOKUP(A1108,[1]ForwardDeriv!$D:$D,[1]ForwardDeriv!$AJ:$AJ)</f>
        <v>1.6200000000000045</v>
      </c>
      <c r="J1108" cm="1">
        <f t="array" ref="J1108">_xlfn.XLOOKUP(TEXT(A1108, "mmm-yy"), TEXT([2]GASOLINE!$B$5:$B$208, "mmm-yy"), [2]GASOLINE!$IR$5:$IR$208, "Not Found")</f>
        <v>98.900319867311339</v>
      </c>
      <c r="K1108" cm="1">
        <f t="array" ref="K1108">_xlfn.XLOOKUP(TEXT(A1108, "mmm-yy"), TEXT([2]GASOLINE!$B$5:$B$208, "mmm-yy"), [2]GASOLINE!$IK$5:$IK$208, "Not Found")</f>
        <v>171.32813810265216</v>
      </c>
      <c r="L1108">
        <f t="shared" si="17"/>
        <v>0</v>
      </c>
      <c r="M1108" cm="1">
        <f t="array" ref="M1108">_xlfn.XLOOKUP(TEXT(A1108, "mmm-yy"), TEXT([2]GASOLINE!$B$5:$B$208, "mmm-yy"), [2]GASOLINE!$C$5:$C$208, "Not Found")</f>
        <v>7274.1177415618131</v>
      </c>
      <c r="N1108" cm="1">
        <f t="array" ref="N1108">_xlfn.XLOOKUP(TEXT(A1108, "mmm-yy"), TEXT([2]RUNS!$B$5:$B$208, "mmm-yy"), [2]RUNS!$BM$5:$BM$208, "Not Found")</f>
        <v>0.84544659992229854</v>
      </c>
    </row>
    <row r="1109" spans="1:14" x14ac:dyDescent="0.25">
      <c r="A1109" s="1">
        <f>'[1]Global_Spot Prices'!$B2418</f>
        <v>43556</v>
      </c>
      <c r="B1109">
        <f>_xlfn.XLOOKUP(A1109,'[1]Global_Spot Prices'!$B:$B,'[1]Global_Spot Prices'!$BS:$BS)</f>
        <v>7.789999999999992</v>
      </c>
      <c r="C1109">
        <f>_xlfn.XLOOKUP(A1109,'[1]Global_Spot Prices'!$B:$B,'[1]Global_Spot Prices'!$E:$E)</f>
        <v>68.2</v>
      </c>
      <c r="D1109">
        <f>_xlfn.XLOOKUP(A1109,'[1]Global_Spot Prices'!$B:$B,'[1]Global_Spot Prices'!$D:$D)</f>
        <v>69.180000000000007</v>
      </c>
      <c r="E1109">
        <f>_xlfn.XLOOKUP(A1109,'[1]Global_Spot Prices'!$B:$B,'[1]Global_Spot Prices'!$H:$H)</f>
        <v>61.45</v>
      </c>
      <c r="F1109">
        <f>_xlfn.XLOOKUP(A1109,'[1]Global_Spot Prices'!$B:$B,'[1]Global_Spot Prices'!$I:$I)</f>
        <v>75.989999999999995</v>
      </c>
      <c r="G1109" cm="1">
        <f t="array" ref="G1109">_xlfn.XLOOKUP(TEXT(A1109, "mmm-yy"), TEXT([2]RUNS!$B$5:$B$208, "mmm-yy"), [2]RUNS!$D$5:$D$208, "Not Found")</f>
        <v>30200.654848788789</v>
      </c>
      <c r="H1109" cm="1">
        <f t="array" ref="H1109">SUMPRODUCT(
    --(TEXT('[3]Global Weekly Stock (EWSuez'!$B$4:$B$2000,"mmm-yy")=TEXT(A1109,"mmm-yy")),
    '[3]Global Weekly Stock (EWSuez'!$E$4:$E$2000)
/
SUMPRODUCT(
    --(TEXT('[3]Global Weekly Stock (EWSuez'!$B$4:$B$2000,"mmm-yy")=TEXT(A1109,"mmm-yy"))
)</f>
        <v>14374</v>
      </c>
      <c r="I1109">
        <f>_xlfn.XLOOKUP(A1109,[1]ForwardDeriv!$D:$D,[1]ForwardDeriv!$AJ:$AJ)</f>
        <v>0.92999999999999261</v>
      </c>
      <c r="J1109" cm="1">
        <f t="array" ref="J1109">_xlfn.XLOOKUP(TEXT(A1109, "mmm-yy"), TEXT([2]GASOLINE!$B$5:$B$208, "mmm-yy"), [2]GASOLINE!$IR$5:$IR$208, "Not Found")</f>
        <v>-16.281197892082162</v>
      </c>
      <c r="K1109" cm="1">
        <f t="array" ref="K1109">_xlfn.XLOOKUP(TEXT(A1109, "mmm-yy"), TEXT([2]GASOLINE!$B$5:$B$208, "mmm-yy"), [2]GASOLINE!$IK$5:$IK$208, "Not Found")</f>
        <v>172.41567734606198</v>
      </c>
      <c r="L1109">
        <f t="shared" si="17"/>
        <v>0</v>
      </c>
      <c r="M1109" cm="1">
        <f t="array" ref="M1109">_xlfn.XLOOKUP(TEXT(A1109, "mmm-yy"), TEXT([2]GASOLINE!$B$5:$B$208, "mmm-yy"), [2]GASOLINE!$C$5:$C$208, "Not Found")</f>
        <v>7382.2044505324357</v>
      </c>
      <c r="N1109" cm="1">
        <f t="array" ref="N1109">_xlfn.XLOOKUP(TEXT(A1109, "mmm-yy"), TEXT([2]RUNS!$B$5:$B$208, "mmm-yy"), [2]RUNS!$BM$5:$BM$208, "Not Found")</f>
        <v>0.8514277979168321</v>
      </c>
    </row>
    <row r="1110" spans="1:14" x14ac:dyDescent="0.25">
      <c r="A1110" s="1">
        <f>'[1]Global_Spot Prices'!$B2419</f>
        <v>43557</v>
      </c>
      <c r="B1110">
        <f>_xlfn.XLOOKUP(A1110,'[1]Global_Spot Prices'!$B:$B,'[1]Global_Spot Prices'!$BS:$BS)</f>
        <v>6.9500000000000028</v>
      </c>
      <c r="C1110">
        <f>_xlfn.XLOOKUP(A1110,'[1]Global_Spot Prices'!$B:$B,'[1]Global_Spot Prices'!$E:$E)</f>
        <v>68.77</v>
      </c>
      <c r="D1110">
        <f>_xlfn.XLOOKUP(A1110,'[1]Global_Spot Prices'!$B:$B,'[1]Global_Spot Prices'!$D:$D)</f>
        <v>69.62</v>
      </c>
      <c r="E1110">
        <f>_xlfn.XLOOKUP(A1110,'[1]Global_Spot Prices'!$B:$B,'[1]Global_Spot Prices'!$H:$H)</f>
        <v>61.2</v>
      </c>
      <c r="F1110">
        <f>_xlfn.XLOOKUP(A1110,'[1]Global_Spot Prices'!$B:$B,'[1]Global_Spot Prices'!$I:$I)</f>
        <v>75.72</v>
      </c>
      <c r="G1110" cm="1">
        <f t="array" ref="G1110">_xlfn.XLOOKUP(TEXT(A1110, "mmm-yy"), TEXT([2]RUNS!$B$5:$B$208, "mmm-yy"), [2]RUNS!$D$5:$D$208, "Not Found")</f>
        <v>30200.654848788789</v>
      </c>
      <c r="H1110" cm="1">
        <f t="array" ref="H1110">SUMPRODUCT(
    --(TEXT('[3]Global Weekly Stock (EWSuez'!$B$4:$B$2000,"mmm-yy")=TEXT(A1110,"mmm-yy")),
    '[3]Global Weekly Stock (EWSuez'!$E$4:$E$2000)
/
SUMPRODUCT(
    --(TEXT('[3]Global Weekly Stock (EWSuez'!$B$4:$B$2000,"mmm-yy")=TEXT(A1110,"mmm-yy"))
)</f>
        <v>14374</v>
      </c>
      <c r="I1110">
        <f>_xlfn.XLOOKUP(A1110,[1]ForwardDeriv!$D:$D,[1]ForwardDeriv!$AJ:$AJ)</f>
        <v>0.82999999999999829</v>
      </c>
      <c r="J1110" cm="1">
        <f t="array" ref="J1110">_xlfn.XLOOKUP(TEXT(A1110, "mmm-yy"), TEXT([2]GASOLINE!$B$5:$B$208, "mmm-yy"), [2]GASOLINE!$IR$5:$IR$208, "Not Found")</f>
        <v>-16.281197892082162</v>
      </c>
      <c r="K1110" cm="1">
        <f t="array" ref="K1110">_xlfn.XLOOKUP(TEXT(A1110, "mmm-yy"), TEXT([2]GASOLINE!$B$5:$B$208, "mmm-yy"), [2]GASOLINE!$IK$5:$IK$208, "Not Found")</f>
        <v>172.41567734606198</v>
      </c>
      <c r="L1110">
        <f t="shared" si="17"/>
        <v>0</v>
      </c>
      <c r="M1110" cm="1">
        <f t="array" ref="M1110">_xlfn.XLOOKUP(TEXT(A1110, "mmm-yy"), TEXT([2]GASOLINE!$B$5:$B$208, "mmm-yy"), [2]GASOLINE!$C$5:$C$208, "Not Found")</f>
        <v>7382.2044505324357</v>
      </c>
      <c r="N1110" cm="1">
        <f t="array" ref="N1110">_xlfn.XLOOKUP(TEXT(A1110, "mmm-yy"), TEXT([2]RUNS!$B$5:$B$208, "mmm-yy"), [2]RUNS!$BM$5:$BM$208, "Not Found")</f>
        <v>0.8514277979168321</v>
      </c>
    </row>
    <row r="1111" spans="1:14" x14ac:dyDescent="0.25">
      <c r="A1111" s="1">
        <f>'[1]Global_Spot Prices'!$B2420</f>
        <v>43558</v>
      </c>
      <c r="B1111">
        <f>_xlfn.XLOOKUP(A1111,'[1]Global_Spot Prices'!$B:$B,'[1]Global_Spot Prices'!$BS:$BS)</f>
        <v>6.6149999999999949</v>
      </c>
      <c r="C1111">
        <f>_xlfn.XLOOKUP(A1111,'[1]Global_Spot Prices'!$B:$B,'[1]Global_Spot Prices'!$E:$E)</f>
        <v>69.405000000000001</v>
      </c>
      <c r="D1111">
        <f>_xlfn.XLOOKUP(A1111,'[1]Global_Spot Prices'!$B:$B,'[1]Global_Spot Prices'!$D:$D)</f>
        <v>69.23</v>
      </c>
      <c r="E1111">
        <f>_xlfn.XLOOKUP(A1111,'[1]Global_Spot Prices'!$B:$B,'[1]Global_Spot Prices'!$H:$H)</f>
        <v>61.64</v>
      </c>
      <c r="F1111">
        <f>_xlfn.XLOOKUP(A1111,'[1]Global_Spot Prices'!$B:$B,'[1]Global_Spot Prices'!$I:$I)</f>
        <v>76.02</v>
      </c>
      <c r="G1111" cm="1">
        <f t="array" ref="G1111">_xlfn.XLOOKUP(TEXT(A1111, "mmm-yy"), TEXT([2]RUNS!$B$5:$B$208, "mmm-yy"), [2]RUNS!$D$5:$D$208, "Not Found")</f>
        <v>30200.654848788789</v>
      </c>
      <c r="H1111" cm="1">
        <f t="array" ref="H1111">SUMPRODUCT(
    --(TEXT('[3]Global Weekly Stock (EWSuez'!$B$4:$B$2000,"mmm-yy")=TEXT(A1111,"mmm-yy")),
    '[3]Global Weekly Stock (EWSuez'!$E$4:$E$2000)
/
SUMPRODUCT(
    --(TEXT('[3]Global Weekly Stock (EWSuez'!$B$4:$B$2000,"mmm-yy")=TEXT(A1111,"mmm-yy"))
)</f>
        <v>14374</v>
      </c>
      <c r="I1111">
        <f>_xlfn.XLOOKUP(A1111,[1]ForwardDeriv!$D:$D,[1]ForwardDeriv!$AJ:$AJ)</f>
        <v>0.76000000000000512</v>
      </c>
      <c r="J1111" cm="1">
        <f t="array" ref="J1111">_xlfn.XLOOKUP(TEXT(A1111, "mmm-yy"), TEXT([2]GASOLINE!$B$5:$B$208, "mmm-yy"), [2]GASOLINE!$IR$5:$IR$208, "Not Found")</f>
        <v>-16.281197892082162</v>
      </c>
      <c r="K1111" cm="1">
        <f t="array" ref="K1111">_xlfn.XLOOKUP(TEXT(A1111, "mmm-yy"), TEXT([2]GASOLINE!$B$5:$B$208, "mmm-yy"), [2]GASOLINE!$IK$5:$IK$208, "Not Found")</f>
        <v>172.41567734606198</v>
      </c>
      <c r="L1111">
        <f t="shared" si="17"/>
        <v>0</v>
      </c>
      <c r="M1111" cm="1">
        <f t="array" ref="M1111">_xlfn.XLOOKUP(TEXT(A1111, "mmm-yy"), TEXT([2]GASOLINE!$B$5:$B$208, "mmm-yy"), [2]GASOLINE!$C$5:$C$208, "Not Found")</f>
        <v>7382.2044505324357</v>
      </c>
      <c r="N1111" cm="1">
        <f t="array" ref="N1111">_xlfn.XLOOKUP(TEXT(A1111, "mmm-yy"), TEXT([2]RUNS!$B$5:$B$208, "mmm-yy"), [2]RUNS!$BM$5:$BM$208, "Not Found")</f>
        <v>0.8514277979168321</v>
      </c>
    </row>
    <row r="1112" spans="1:14" x14ac:dyDescent="0.25">
      <c r="A1112" s="1">
        <f>'[1]Global_Spot Prices'!$B2421</f>
        <v>43559</v>
      </c>
      <c r="B1112">
        <f>_xlfn.XLOOKUP(A1112,'[1]Global_Spot Prices'!$B:$B,'[1]Global_Spot Prices'!$BS:$BS)</f>
        <v>7.0899999999999892</v>
      </c>
      <c r="C1112">
        <f>_xlfn.XLOOKUP(A1112,'[1]Global_Spot Prices'!$B:$B,'[1]Global_Spot Prices'!$E:$E)</f>
        <v>68.650000000000006</v>
      </c>
      <c r="D1112">
        <f>_xlfn.XLOOKUP(A1112,'[1]Global_Spot Prices'!$B:$B,'[1]Global_Spot Prices'!$D:$D)</f>
        <v>69.739999999999995</v>
      </c>
      <c r="E1112">
        <f>_xlfn.XLOOKUP(A1112,'[1]Global_Spot Prices'!$B:$B,'[1]Global_Spot Prices'!$H:$H)</f>
        <v>60.39</v>
      </c>
      <c r="F1112">
        <f>_xlfn.XLOOKUP(A1112,'[1]Global_Spot Prices'!$B:$B,'[1]Global_Spot Prices'!$I:$I)</f>
        <v>75.739999999999995</v>
      </c>
      <c r="G1112" cm="1">
        <f t="array" ref="G1112">_xlfn.XLOOKUP(TEXT(A1112, "mmm-yy"), TEXT([2]RUNS!$B$5:$B$208, "mmm-yy"), [2]RUNS!$D$5:$D$208, "Not Found")</f>
        <v>30200.654848788789</v>
      </c>
      <c r="H1112" cm="1">
        <f t="array" ref="H1112">SUMPRODUCT(
    --(TEXT('[3]Global Weekly Stock (EWSuez'!$B$4:$B$2000,"mmm-yy")=TEXT(A1112,"mmm-yy")),
    '[3]Global Weekly Stock (EWSuez'!$E$4:$E$2000)
/
SUMPRODUCT(
    --(TEXT('[3]Global Weekly Stock (EWSuez'!$B$4:$B$2000,"mmm-yy")=TEXT(A1112,"mmm-yy"))
)</f>
        <v>14374</v>
      </c>
      <c r="I1112">
        <f>_xlfn.XLOOKUP(A1112,[1]ForwardDeriv!$D:$D,[1]ForwardDeriv!$AJ:$AJ)</f>
        <v>0.75999999999999091</v>
      </c>
      <c r="J1112" cm="1">
        <f t="array" ref="J1112">_xlfn.XLOOKUP(TEXT(A1112, "mmm-yy"), TEXT([2]GASOLINE!$B$5:$B$208, "mmm-yy"), [2]GASOLINE!$IR$5:$IR$208, "Not Found")</f>
        <v>-16.281197892082162</v>
      </c>
      <c r="K1112" cm="1">
        <f t="array" ref="K1112">_xlfn.XLOOKUP(TEXT(A1112, "mmm-yy"), TEXT([2]GASOLINE!$B$5:$B$208, "mmm-yy"), [2]GASOLINE!$IK$5:$IK$208, "Not Found")</f>
        <v>172.41567734606198</v>
      </c>
      <c r="L1112">
        <f t="shared" si="17"/>
        <v>0</v>
      </c>
      <c r="M1112" cm="1">
        <f t="array" ref="M1112">_xlfn.XLOOKUP(TEXT(A1112, "mmm-yy"), TEXT([2]GASOLINE!$B$5:$B$208, "mmm-yy"), [2]GASOLINE!$C$5:$C$208, "Not Found")</f>
        <v>7382.2044505324357</v>
      </c>
      <c r="N1112" cm="1">
        <f t="array" ref="N1112">_xlfn.XLOOKUP(TEXT(A1112, "mmm-yy"), TEXT([2]RUNS!$B$5:$B$208, "mmm-yy"), [2]RUNS!$BM$5:$BM$208, "Not Found")</f>
        <v>0.8514277979168321</v>
      </c>
    </row>
    <row r="1113" spans="1:14" x14ac:dyDescent="0.25">
      <c r="A1113" s="1">
        <f>'[1]Global_Spot Prices'!$B2422</f>
        <v>43560</v>
      </c>
      <c r="B1113">
        <f>_xlfn.XLOOKUP(A1113,'[1]Global_Spot Prices'!$B:$B,'[1]Global_Spot Prices'!$BS:$BS)</f>
        <v>6.6599999999999966</v>
      </c>
      <c r="C1113">
        <f>_xlfn.XLOOKUP(A1113,'[1]Global_Spot Prices'!$B:$B,'[1]Global_Spot Prices'!$E:$E)</f>
        <v>68.84</v>
      </c>
      <c r="D1113">
        <f>_xlfn.XLOOKUP(A1113,'[1]Global_Spot Prices'!$B:$B,'[1]Global_Spot Prices'!$D:$D)</f>
        <v>70.099999999999994</v>
      </c>
      <c r="E1113">
        <f>_xlfn.XLOOKUP(A1113,'[1]Global_Spot Prices'!$B:$B,'[1]Global_Spot Prices'!$H:$H)</f>
        <v>60.14</v>
      </c>
      <c r="F1113">
        <f>_xlfn.XLOOKUP(A1113,'[1]Global_Spot Prices'!$B:$B,'[1]Global_Spot Prices'!$I:$I)</f>
        <v>75.5</v>
      </c>
      <c r="G1113" cm="1">
        <f t="array" ref="G1113">_xlfn.XLOOKUP(TEXT(A1113, "mmm-yy"), TEXT([2]RUNS!$B$5:$B$208, "mmm-yy"), [2]RUNS!$D$5:$D$208, "Not Found")</f>
        <v>30200.654848788789</v>
      </c>
      <c r="H1113" cm="1">
        <f t="array" ref="H1113">SUMPRODUCT(
    --(TEXT('[3]Global Weekly Stock (EWSuez'!$B$4:$B$2000,"mmm-yy")=TEXT(A1113,"mmm-yy")),
    '[3]Global Weekly Stock (EWSuez'!$E$4:$E$2000)
/
SUMPRODUCT(
    --(TEXT('[3]Global Weekly Stock (EWSuez'!$B$4:$B$2000,"mmm-yy")=TEXT(A1113,"mmm-yy"))
)</f>
        <v>14374</v>
      </c>
      <c r="I1113">
        <f>_xlfn.XLOOKUP(A1113,[1]ForwardDeriv!$D:$D,[1]ForwardDeriv!$AJ:$AJ)</f>
        <v>0.70000000000000284</v>
      </c>
      <c r="J1113" cm="1">
        <f t="array" ref="J1113">_xlfn.XLOOKUP(TEXT(A1113, "mmm-yy"), TEXT([2]GASOLINE!$B$5:$B$208, "mmm-yy"), [2]GASOLINE!$IR$5:$IR$208, "Not Found")</f>
        <v>-16.281197892082162</v>
      </c>
      <c r="K1113" cm="1">
        <f t="array" ref="K1113">_xlfn.XLOOKUP(TEXT(A1113, "mmm-yy"), TEXT([2]GASOLINE!$B$5:$B$208, "mmm-yy"), [2]GASOLINE!$IK$5:$IK$208, "Not Found")</f>
        <v>172.41567734606198</v>
      </c>
      <c r="L1113">
        <f t="shared" si="17"/>
        <v>0</v>
      </c>
      <c r="M1113" cm="1">
        <f t="array" ref="M1113">_xlfn.XLOOKUP(TEXT(A1113, "mmm-yy"), TEXT([2]GASOLINE!$B$5:$B$208, "mmm-yy"), [2]GASOLINE!$C$5:$C$208, "Not Found")</f>
        <v>7382.2044505324357</v>
      </c>
      <c r="N1113" cm="1">
        <f t="array" ref="N1113">_xlfn.XLOOKUP(TEXT(A1113, "mmm-yy"), TEXT([2]RUNS!$B$5:$B$208, "mmm-yy"), [2]RUNS!$BM$5:$BM$208, "Not Found")</f>
        <v>0.8514277979168321</v>
      </c>
    </row>
    <row r="1114" spans="1:14" x14ac:dyDescent="0.25">
      <c r="A1114" s="1">
        <f>'[1]Global_Spot Prices'!$B2423</f>
        <v>43563</v>
      </c>
      <c r="B1114">
        <f>_xlfn.XLOOKUP(A1114,'[1]Global_Spot Prices'!$B:$B,'[1]Global_Spot Prices'!$BS:$BS)</f>
        <v>7.2000000000000028</v>
      </c>
      <c r="C1114">
        <f>_xlfn.XLOOKUP(A1114,'[1]Global_Spot Prices'!$B:$B,'[1]Global_Spot Prices'!$E:$E)</f>
        <v>70.31</v>
      </c>
      <c r="D1114">
        <f>_xlfn.XLOOKUP(A1114,'[1]Global_Spot Prices'!$B:$B,'[1]Global_Spot Prices'!$D:$D)</f>
        <v>71.185000000000002</v>
      </c>
      <c r="E1114">
        <f>_xlfn.XLOOKUP(A1114,'[1]Global_Spot Prices'!$B:$B,'[1]Global_Spot Prices'!$H:$H)</f>
        <v>61.82</v>
      </c>
      <c r="F1114">
        <f>_xlfn.XLOOKUP(A1114,'[1]Global_Spot Prices'!$B:$B,'[1]Global_Spot Prices'!$I:$I)</f>
        <v>77.510000000000005</v>
      </c>
      <c r="G1114" cm="1">
        <f t="array" ref="G1114">_xlfn.XLOOKUP(TEXT(A1114, "mmm-yy"), TEXT([2]RUNS!$B$5:$B$208, "mmm-yy"), [2]RUNS!$D$5:$D$208, "Not Found")</f>
        <v>30200.654848788789</v>
      </c>
      <c r="H1114" cm="1">
        <f t="array" ref="H1114">SUMPRODUCT(
    --(TEXT('[3]Global Weekly Stock (EWSuez'!$B$4:$B$2000,"mmm-yy")=TEXT(A1114,"mmm-yy")),
    '[3]Global Weekly Stock (EWSuez'!$E$4:$E$2000)
/
SUMPRODUCT(
    --(TEXT('[3]Global Weekly Stock (EWSuez'!$B$4:$B$2000,"mmm-yy")=TEXT(A1114,"mmm-yy"))
)</f>
        <v>14374</v>
      </c>
      <c r="I1114">
        <f>_xlfn.XLOOKUP(A1114,[1]ForwardDeriv!$D:$D,[1]ForwardDeriv!$AJ:$AJ)</f>
        <v>0.77000000000001023</v>
      </c>
      <c r="J1114" cm="1">
        <f t="array" ref="J1114">_xlfn.XLOOKUP(TEXT(A1114, "mmm-yy"), TEXT([2]GASOLINE!$B$5:$B$208, "mmm-yy"), [2]GASOLINE!$IR$5:$IR$208, "Not Found")</f>
        <v>-16.281197892082162</v>
      </c>
      <c r="K1114" cm="1">
        <f t="array" ref="K1114">_xlfn.XLOOKUP(TEXT(A1114, "mmm-yy"), TEXT([2]GASOLINE!$B$5:$B$208, "mmm-yy"), [2]GASOLINE!$IK$5:$IK$208, "Not Found")</f>
        <v>172.41567734606198</v>
      </c>
      <c r="L1114">
        <f t="shared" si="17"/>
        <v>0</v>
      </c>
      <c r="M1114" cm="1">
        <f t="array" ref="M1114">_xlfn.XLOOKUP(TEXT(A1114, "mmm-yy"), TEXT([2]GASOLINE!$B$5:$B$208, "mmm-yy"), [2]GASOLINE!$C$5:$C$208, "Not Found")</f>
        <v>7382.2044505324357</v>
      </c>
      <c r="N1114" cm="1">
        <f t="array" ref="N1114">_xlfn.XLOOKUP(TEXT(A1114, "mmm-yy"), TEXT([2]RUNS!$B$5:$B$208, "mmm-yy"), [2]RUNS!$BM$5:$BM$208, "Not Found")</f>
        <v>0.8514277979168321</v>
      </c>
    </row>
    <row r="1115" spans="1:14" x14ac:dyDescent="0.25">
      <c r="A1115" s="1">
        <f>'[1]Global_Spot Prices'!$B2424</f>
        <v>43564</v>
      </c>
      <c r="B1115">
        <f>_xlfn.XLOOKUP(A1115,'[1]Global_Spot Prices'!$B:$B,'[1]Global_Spot Prices'!$BS:$BS)</f>
        <v>7.5649999999999977</v>
      </c>
      <c r="C1115">
        <f>_xlfn.XLOOKUP(A1115,'[1]Global_Spot Prices'!$B:$B,'[1]Global_Spot Prices'!$E:$E)</f>
        <v>70.545000000000002</v>
      </c>
      <c r="D1115">
        <f>_xlfn.XLOOKUP(A1115,'[1]Global_Spot Prices'!$B:$B,'[1]Global_Spot Prices'!$D:$D)</f>
        <v>70.819999999999993</v>
      </c>
      <c r="E1115">
        <f>_xlfn.XLOOKUP(A1115,'[1]Global_Spot Prices'!$B:$B,'[1]Global_Spot Prices'!$H:$H)</f>
        <v>61.77</v>
      </c>
      <c r="F1115">
        <f>_xlfn.XLOOKUP(A1115,'[1]Global_Spot Prices'!$B:$B,'[1]Global_Spot Prices'!$I:$I)</f>
        <v>78.11</v>
      </c>
      <c r="G1115" cm="1">
        <f t="array" ref="G1115">_xlfn.XLOOKUP(TEXT(A1115, "mmm-yy"), TEXT([2]RUNS!$B$5:$B$208, "mmm-yy"), [2]RUNS!$D$5:$D$208, "Not Found")</f>
        <v>30200.654848788789</v>
      </c>
      <c r="H1115" cm="1">
        <f t="array" ref="H1115">SUMPRODUCT(
    --(TEXT('[3]Global Weekly Stock (EWSuez'!$B$4:$B$2000,"mmm-yy")=TEXT(A1115,"mmm-yy")),
    '[3]Global Weekly Stock (EWSuez'!$E$4:$E$2000)
/
SUMPRODUCT(
    --(TEXT('[3]Global Weekly Stock (EWSuez'!$B$4:$B$2000,"mmm-yy")=TEXT(A1115,"mmm-yy"))
)</f>
        <v>14374</v>
      </c>
      <c r="I1115">
        <f>_xlfn.XLOOKUP(A1115,[1]ForwardDeriv!$D:$D,[1]ForwardDeriv!$AJ:$AJ)</f>
        <v>0.79000000000000625</v>
      </c>
      <c r="J1115" cm="1">
        <f t="array" ref="J1115">_xlfn.XLOOKUP(TEXT(A1115, "mmm-yy"), TEXT([2]GASOLINE!$B$5:$B$208, "mmm-yy"), [2]GASOLINE!$IR$5:$IR$208, "Not Found")</f>
        <v>-16.281197892082162</v>
      </c>
      <c r="K1115" cm="1">
        <f t="array" ref="K1115">_xlfn.XLOOKUP(TEXT(A1115, "mmm-yy"), TEXT([2]GASOLINE!$B$5:$B$208, "mmm-yy"), [2]GASOLINE!$IK$5:$IK$208, "Not Found")</f>
        <v>172.41567734606198</v>
      </c>
      <c r="L1115">
        <f t="shared" si="17"/>
        <v>0</v>
      </c>
      <c r="M1115" cm="1">
        <f t="array" ref="M1115">_xlfn.XLOOKUP(TEXT(A1115, "mmm-yy"), TEXT([2]GASOLINE!$B$5:$B$208, "mmm-yy"), [2]GASOLINE!$C$5:$C$208, "Not Found")</f>
        <v>7382.2044505324357</v>
      </c>
      <c r="N1115" cm="1">
        <f t="array" ref="N1115">_xlfn.XLOOKUP(TEXT(A1115, "mmm-yy"), TEXT([2]RUNS!$B$5:$B$208, "mmm-yy"), [2]RUNS!$BM$5:$BM$208, "Not Found")</f>
        <v>0.8514277979168321</v>
      </c>
    </row>
    <row r="1116" spans="1:14" x14ac:dyDescent="0.25">
      <c r="A1116" s="1">
        <f>'[1]Global_Spot Prices'!$B2425</f>
        <v>43565</v>
      </c>
      <c r="B1116">
        <f>_xlfn.XLOOKUP(A1116,'[1]Global_Spot Prices'!$B:$B,'[1]Global_Spot Prices'!$BS:$BS)</f>
        <v>8.6900000000000119</v>
      </c>
      <c r="C1116">
        <f>_xlfn.XLOOKUP(A1116,'[1]Global_Spot Prices'!$B:$B,'[1]Global_Spot Prices'!$E:$E)</f>
        <v>70.099999999999994</v>
      </c>
      <c r="D1116">
        <f>_xlfn.XLOOKUP(A1116,'[1]Global_Spot Prices'!$B:$B,'[1]Global_Spot Prices'!$D:$D)</f>
        <v>71.56</v>
      </c>
      <c r="E1116">
        <f>_xlfn.XLOOKUP(A1116,'[1]Global_Spot Prices'!$B:$B,'[1]Global_Spot Prices'!$H:$H)</f>
        <v>62.52</v>
      </c>
      <c r="F1116">
        <f>_xlfn.XLOOKUP(A1116,'[1]Global_Spot Prices'!$B:$B,'[1]Global_Spot Prices'!$I:$I)</f>
        <v>78.790000000000006</v>
      </c>
      <c r="G1116" cm="1">
        <f t="array" ref="G1116">_xlfn.XLOOKUP(TEXT(A1116, "mmm-yy"), TEXT([2]RUNS!$B$5:$B$208, "mmm-yy"), [2]RUNS!$D$5:$D$208, "Not Found")</f>
        <v>30200.654848788789</v>
      </c>
      <c r="H1116" cm="1">
        <f t="array" ref="H1116">SUMPRODUCT(
    --(TEXT('[3]Global Weekly Stock (EWSuez'!$B$4:$B$2000,"mmm-yy")=TEXT(A1116,"mmm-yy")),
    '[3]Global Weekly Stock (EWSuez'!$E$4:$E$2000)
/
SUMPRODUCT(
    --(TEXT('[3]Global Weekly Stock (EWSuez'!$B$4:$B$2000,"mmm-yy")=TEXT(A1116,"mmm-yy"))
)</f>
        <v>14374</v>
      </c>
      <c r="I1116">
        <f>_xlfn.XLOOKUP(A1116,[1]ForwardDeriv!$D:$D,[1]ForwardDeriv!$AJ:$AJ)</f>
        <v>1.0499999999999972</v>
      </c>
      <c r="J1116" cm="1">
        <f t="array" ref="J1116">_xlfn.XLOOKUP(TEXT(A1116, "mmm-yy"), TEXT([2]GASOLINE!$B$5:$B$208, "mmm-yy"), [2]GASOLINE!$IR$5:$IR$208, "Not Found")</f>
        <v>-16.281197892082162</v>
      </c>
      <c r="K1116" cm="1">
        <f t="array" ref="K1116">_xlfn.XLOOKUP(TEXT(A1116, "mmm-yy"), TEXT([2]GASOLINE!$B$5:$B$208, "mmm-yy"), [2]GASOLINE!$IK$5:$IK$208, "Not Found")</f>
        <v>172.41567734606198</v>
      </c>
      <c r="L1116">
        <f t="shared" si="17"/>
        <v>0</v>
      </c>
      <c r="M1116" cm="1">
        <f t="array" ref="M1116">_xlfn.XLOOKUP(TEXT(A1116, "mmm-yy"), TEXT([2]GASOLINE!$B$5:$B$208, "mmm-yy"), [2]GASOLINE!$C$5:$C$208, "Not Found")</f>
        <v>7382.2044505324357</v>
      </c>
      <c r="N1116" cm="1">
        <f t="array" ref="N1116">_xlfn.XLOOKUP(TEXT(A1116, "mmm-yy"), TEXT([2]RUNS!$B$5:$B$208, "mmm-yy"), [2]RUNS!$BM$5:$BM$208, "Not Found")</f>
        <v>0.8514277979168321</v>
      </c>
    </row>
    <row r="1117" spans="1:14" x14ac:dyDescent="0.25">
      <c r="A1117" s="1">
        <f>'[1]Global_Spot Prices'!$B2426</f>
        <v>43566</v>
      </c>
      <c r="B1117">
        <f>_xlfn.XLOOKUP(A1117,'[1]Global_Spot Prices'!$B:$B,'[1]Global_Spot Prices'!$BS:$BS)</f>
        <v>9.8100000000000023</v>
      </c>
      <c r="C1117">
        <f>_xlfn.XLOOKUP(A1117,'[1]Global_Spot Prices'!$B:$B,'[1]Global_Spot Prices'!$E:$E)</f>
        <v>70.5</v>
      </c>
      <c r="D1117">
        <f>_xlfn.XLOOKUP(A1117,'[1]Global_Spot Prices'!$B:$B,'[1]Global_Spot Prices'!$D:$D)</f>
        <v>71.194999999999993</v>
      </c>
      <c r="E1117">
        <f>_xlfn.XLOOKUP(A1117,'[1]Global_Spot Prices'!$B:$B,'[1]Global_Spot Prices'!$H:$H)</f>
        <v>63.18</v>
      </c>
      <c r="F1117">
        <f>_xlfn.XLOOKUP(A1117,'[1]Global_Spot Prices'!$B:$B,'[1]Global_Spot Prices'!$I:$I)</f>
        <v>80.31</v>
      </c>
      <c r="G1117" cm="1">
        <f t="array" ref="G1117">_xlfn.XLOOKUP(TEXT(A1117, "mmm-yy"), TEXT([2]RUNS!$B$5:$B$208, "mmm-yy"), [2]RUNS!$D$5:$D$208, "Not Found")</f>
        <v>30200.654848788789</v>
      </c>
      <c r="H1117" cm="1">
        <f t="array" ref="H1117">SUMPRODUCT(
    --(TEXT('[3]Global Weekly Stock (EWSuez'!$B$4:$B$2000,"mmm-yy")=TEXT(A1117,"mmm-yy")),
    '[3]Global Weekly Stock (EWSuez'!$E$4:$E$2000)
/
SUMPRODUCT(
    --(TEXT('[3]Global Weekly Stock (EWSuez'!$B$4:$B$2000,"mmm-yy")=TEXT(A1117,"mmm-yy"))
)</f>
        <v>14374</v>
      </c>
      <c r="I1117">
        <f>_xlfn.XLOOKUP(A1117,[1]ForwardDeriv!$D:$D,[1]ForwardDeriv!$AJ:$AJ)</f>
        <v>1.1299999999999955</v>
      </c>
      <c r="J1117" cm="1">
        <f t="array" ref="J1117">_xlfn.XLOOKUP(TEXT(A1117, "mmm-yy"), TEXT([2]GASOLINE!$B$5:$B$208, "mmm-yy"), [2]GASOLINE!$IR$5:$IR$208, "Not Found")</f>
        <v>-16.281197892082162</v>
      </c>
      <c r="K1117" cm="1">
        <f t="array" ref="K1117">_xlfn.XLOOKUP(TEXT(A1117, "mmm-yy"), TEXT([2]GASOLINE!$B$5:$B$208, "mmm-yy"), [2]GASOLINE!$IK$5:$IK$208, "Not Found")</f>
        <v>172.41567734606198</v>
      </c>
      <c r="L1117">
        <f t="shared" si="17"/>
        <v>0</v>
      </c>
      <c r="M1117" cm="1">
        <f t="array" ref="M1117">_xlfn.XLOOKUP(TEXT(A1117, "mmm-yy"), TEXT([2]GASOLINE!$B$5:$B$208, "mmm-yy"), [2]GASOLINE!$C$5:$C$208, "Not Found")</f>
        <v>7382.2044505324357</v>
      </c>
      <c r="N1117" cm="1">
        <f t="array" ref="N1117">_xlfn.XLOOKUP(TEXT(A1117, "mmm-yy"), TEXT([2]RUNS!$B$5:$B$208, "mmm-yy"), [2]RUNS!$BM$5:$BM$208, "Not Found")</f>
        <v>0.8514277979168321</v>
      </c>
    </row>
    <row r="1118" spans="1:14" x14ac:dyDescent="0.25">
      <c r="A1118" s="1">
        <f>'[1]Global_Spot Prices'!$B2427</f>
        <v>43567</v>
      </c>
      <c r="B1118">
        <f>_xlfn.XLOOKUP(A1118,'[1]Global_Spot Prices'!$B:$B,'[1]Global_Spot Prices'!$BS:$BS)</f>
        <v>10.409999999999997</v>
      </c>
      <c r="C1118">
        <f>_xlfn.XLOOKUP(A1118,'[1]Global_Spot Prices'!$B:$B,'[1]Global_Spot Prices'!$E:$E)</f>
        <v>70.25</v>
      </c>
      <c r="D1118">
        <f>_xlfn.XLOOKUP(A1118,'[1]Global_Spot Prices'!$B:$B,'[1]Global_Spot Prices'!$D:$D)</f>
        <v>71.584999999999994</v>
      </c>
      <c r="E1118">
        <f>_xlfn.XLOOKUP(A1118,'[1]Global_Spot Prices'!$B:$B,'[1]Global_Spot Prices'!$H:$H)</f>
        <v>62.99</v>
      </c>
      <c r="F1118">
        <f>_xlfn.XLOOKUP(A1118,'[1]Global_Spot Prices'!$B:$B,'[1]Global_Spot Prices'!$I:$I)</f>
        <v>80.66</v>
      </c>
      <c r="G1118" cm="1">
        <f t="array" ref="G1118">_xlfn.XLOOKUP(TEXT(A1118, "mmm-yy"), TEXT([2]RUNS!$B$5:$B$208, "mmm-yy"), [2]RUNS!$D$5:$D$208, "Not Found")</f>
        <v>30200.654848788789</v>
      </c>
      <c r="H1118" cm="1">
        <f t="array" ref="H1118">SUMPRODUCT(
    --(TEXT('[3]Global Weekly Stock (EWSuez'!$B$4:$B$2000,"mmm-yy")=TEXT(A1118,"mmm-yy")),
    '[3]Global Weekly Stock (EWSuez'!$E$4:$E$2000)
/
SUMPRODUCT(
    --(TEXT('[3]Global Weekly Stock (EWSuez'!$B$4:$B$2000,"mmm-yy")=TEXT(A1118,"mmm-yy"))
)</f>
        <v>14374</v>
      </c>
      <c r="I1118">
        <f>_xlfn.XLOOKUP(A1118,[1]ForwardDeriv!$D:$D,[1]ForwardDeriv!$AJ:$AJ)</f>
        <v>1.3400000000000034</v>
      </c>
      <c r="J1118" cm="1">
        <f t="array" ref="J1118">_xlfn.XLOOKUP(TEXT(A1118, "mmm-yy"), TEXT([2]GASOLINE!$B$5:$B$208, "mmm-yy"), [2]GASOLINE!$IR$5:$IR$208, "Not Found")</f>
        <v>-16.281197892082162</v>
      </c>
      <c r="K1118" cm="1">
        <f t="array" ref="K1118">_xlfn.XLOOKUP(TEXT(A1118, "mmm-yy"), TEXT([2]GASOLINE!$B$5:$B$208, "mmm-yy"), [2]GASOLINE!$IK$5:$IK$208, "Not Found")</f>
        <v>172.41567734606198</v>
      </c>
      <c r="L1118">
        <f t="shared" si="17"/>
        <v>0</v>
      </c>
      <c r="M1118" cm="1">
        <f t="array" ref="M1118">_xlfn.XLOOKUP(TEXT(A1118, "mmm-yy"), TEXT([2]GASOLINE!$B$5:$B$208, "mmm-yy"), [2]GASOLINE!$C$5:$C$208, "Not Found")</f>
        <v>7382.2044505324357</v>
      </c>
      <c r="N1118" cm="1">
        <f t="array" ref="N1118">_xlfn.XLOOKUP(TEXT(A1118, "mmm-yy"), TEXT([2]RUNS!$B$5:$B$208, "mmm-yy"), [2]RUNS!$BM$5:$BM$208, "Not Found")</f>
        <v>0.8514277979168321</v>
      </c>
    </row>
    <row r="1119" spans="1:14" x14ac:dyDescent="0.25">
      <c r="A1119" s="1">
        <f>'[1]Global_Spot Prices'!$B2428</f>
        <v>43570</v>
      </c>
      <c r="B1119">
        <f>_xlfn.XLOOKUP(A1119,'[1]Global_Spot Prices'!$B:$B,'[1]Global_Spot Prices'!$BS:$BS)</f>
        <v>9.6599999999999966</v>
      </c>
      <c r="C1119">
        <f>_xlfn.XLOOKUP(A1119,'[1]Global_Spot Prices'!$B:$B,'[1]Global_Spot Prices'!$E:$E)</f>
        <v>70.36</v>
      </c>
      <c r="D1119">
        <f>_xlfn.XLOOKUP(A1119,'[1]Global_Spot Prices'!$B:$B,'[1]Global_Spot Prices'!$D:$D)</f>
        <v>70.87</v>
      </c>
      <c r="E1119">
        <f>_xlfn.XLOOKUP(A1119,'[1]Global_Spot Prices'!$B:$B,'[1]Global_Spot Prices'!$H:$H)</f>
        <v>62.96</v>
      </c>
      <c r="F1119">
        <f>_xlfn.XLOOKUP(A1119,'[1]Global_Spot Prices'!$B:$B,'[1]Global_Spot Prices'!$I:$I)</f>
        <v>80.02</v>
      </c>
      <c r="G1119" cm="1">
        <f t="array" ref="G1119">_xlfn.XLOOKUP(TEXT(A1119, "mmm-yy"), TEXT([2]RUNS!$B$5:$B$208, "mmm-yy"), [2]RUNS!$D$5:$D$208, "Not Found")</f>
        <v>30200.654848788789</v>
      </c>
      <c r="H1119" cm="1">
        <f t="array" ref="H1119">SUMPRODUCT(
    --(TEXT('[3]Global Weekly Stock (EWSuez'!$B$4:$B$2000,"mmm-yy")=TEXT(A1119,"mmm-yy")),
    '[3]Global Weekly Stock (EWSuez'!$E$4:$E$2000)
/
SUMPRODUCT(
    --(TEXT('[3]Global Weekly Stock (EWSuez'!$B$4:$B$2000,"mmm-yy")=TEXT(A1119,"mmm-yy"))
)</f>
        <v>14374</v>
      </c>
      <c r="I1119">
        <f>_xlfn.XLOOKUP(A1119,[1]ForwardDeriv!$D:$D,[1]ForwardDeriv!$AJ:$AJ)</f>
        <v>1.1899999999999977</v>
      </c>
      <c r="J1119" cm="1">
        <f t="array" ref="J1119">_xlfn.XLOOKUP(TEXT(A1119, "mmm-yy"), TEXT([2]GASOLINE!$B$5:$B$208, "mmm-yy"), [2]GASOLINE!$IR$5:$IR$208, "Not Found")</f>
        <v>-16.281197892082162</v>
      </c>
      <c r="K1119" cm="1">
        <f t="array" ref="K1119">_xlfn.XLOOKUP(TEXT(A1119, "mmm-yy"), TEXT([2]GASOLINE!$B$5:$B$208, "mmm-yy"), [2]GASOLINE!$IK$5:$IK$208, "Not Found")</f>
        <v>172.41567734606198</v>
      </c>
      <c r="L1119">
        <f t="shared" si="17"/>
        <v>0</v>
      </c>
      <c r="M1119" cm="1">
        <f t="array" ref="M1119">_xlfn.XLOOKUP(TEXT(A1119, "mmm-yy"), TEXT([2]GASOLINE!$B$5:$B$208, "mmm-yy"), [2]GASOLINE!$C$5:$C$208, "Not Found")</f>
        <v>7382.2044505324357</v>
      </c>
      <c r="N1119" cm="1">
        <f t="array" ref="N1119">_xlfn.XLOOKUP(TEXT(A1119, "mmm-yy"), TEXT([2]RUNS!$B$5:$B$208, "mmm-yy"), [2]RUNS!$BM$5:$BM$208, "Not Found")</f>
        <v>0.8514277979168321</v>
      </c>
    </row>
    <row r="1120" spans="1:14" x14ac:dyDescent="0.25">
      <c r="A1120" s="1">
        <f>'[1]Global_Spot Prices'!$B2429</f>
        <v>43571</v>
      </c>
      <c r="B1120">
        <f>_xlfn.XLOOKUP(A1120,'[1]Global_Spot Prices'!$B:$B,'[1]Global_Spot Prices'!$BS:$BS)</f>
        <v>8.2099999999999937</v>
      </c>
      <c r="C1120">
        <f>_xlfn.XLOOKUP(A1120,'[1]Global_Spot Prices'!$B:$B,'[1]Global_Spot Prices'!$E:$E)</f>
        <v>70.260000000000005</v>
      </c>
      <c r="D1120">
        <f>_xlfn.XLOOKUP(A1120,'[1]Global_Spot Prices'!$B:$B,'[1]Global_Spot Prices'!$D:$D)</f>
        <v>70.915000000000006</v>
      </c>
      <c r="E1120">
        <f>_xlfn.XLOOKUP(A1120,'[1]Global_Spot Prices'!$B:$B,'[1]Global_Spot Prices'!$H:$H)</f>
        <v>62.28</v>
      </c>
      <c r="F1120">
        <f>_xlfn.XLOOKUP(A1120,'[1]Global_Spot Prices'!$B:$B,'[1]Global_Spot Prices'!$I:$I)</f>
        <v>78.47</v>
      </c>
      <c r="G1120" cm="1">
        <f t="array" ref="G1120">_xlfn.XLOOKUP(TEXT(A1120, "mmm-yy"), TEXT([2]RUNS!$B$5:$B$208, "mmm-yy"), [2]RUNS!$D$5:$D$208, "Not Found")</f>
        <v>30200.654848788789</v>
      </c>
      <c r="H1120" cm="1">
        <f t="array" ref="H1120">SUMPRODUCT(
    --(TEXT('[3]Global Weekly Stock (EWSuez'!$B$4:$B$2000,"mmm-yy")=TEXT(A1120,"mmm-yy")),
    '[3]Global Weekly Stock (EWSuez'!$E$4:$E$2000)
/
SUMPRODUCT(
    --(TEXT('[3]Global Weekly Stock (EWSuez'!$B$4:$B$2000,"mmm-yy")=TEXT(A1120,"mmm-yy"))
)</f>
        <v>14374</v>
      </c>
      <c r="I1120">
        <f>_xlfn.XLOOKUP(A1120,[1]ForwardDeriv!$D:$D,[1]ForwardDeriv!$AJ:$AJ)</f>
        <v>1</v>
      </c>
      <c r="J1120" cm="1">
        <f t="array" ref="J1120">_xlfn.XLOOKUP(TEXT(A1120, "mmm-yy"), TEXT([2]GASOLINE!$B$5:$B$208, "mmm-yy"), [2]GASOLINE!$IR$5:$IR$208, "Not Found")</f>
        <v>-16.281197892082162</v>
      </c>
      <c r="K1120" cm="1">
        <f t="array" ref="K1120">_xlfn.XLOOKUP(TEXT(A1120, "mmm-yy"), TEXT([2]GASOLINE!$B$5:$B$208, "mmm-yy"), [2]GASOLINE!$IK$5:$IK$208, "Not Found")</f>
        <v>172.41567734606198</v>
      </c>
      <c r="L1120">
        <f t="shared" si="17"/>
        <v>0</v>
      </c>
      <c r="M1120" cm="1">
        <f t="array" ref="M1120">_xlfn.XLOOKUP(TEXT(A1120, "mmm-yy"), TEXT([2]GASOLINE!$B$5:$B$208, "mmm-yy"), [2]GASOLINE!$C$5:$C$208, "Not Found")</f>
        <v>7382.2044505324357</v>
      </c>
      <c r="N1120" cm="1">
        <f t="array" ref="N1120">_xlfn.XLOOKUP(TEXT(A1120, "mmm-yy"), TEXT([2]RUNS!$B$5:$B$208, "mmm-yy"), [2]RUNS!$BM$5:$BM$208, "Not Found")</f>
        <v>0.8514277979168321</v>
      </c>
    </row>
    <row r="1121" spans="1:14" x14ac:dyDescent="0.25">
      <c r="A1121" s="1">
        <f>'[1]Global_Spot Prices'!$B2430</f>
        <v>43572</v>
      </c>
      <c r="B1121">
        <f>_xlfn.XLOOKUP(A1121,'[1]Global_Spot Prices'!$B:$B,'[1]Global_Spot Prices'!$BS:$BS)</f>
        <v>8.6800000000000068</v>
      </c>
      <c r="C1121">
        <f>_xlfn.XLOOKUP(A1121,'[1]Global_Spot Prices'!$B:$B,'[1]Global_Spot Prices'!$E:$E)</f>
        <v>71.349999999999994</v>
      </c>
      <c r="D1121">
        <f>_xlfn.XLOOKUP(A1121,'[1]Global_Spot Prices'!$B:$B,'[1]Global_Spot Prices'!$D:$D)</f>
        <v>71.185000000000002</v>
      </c>
      <c r="E1121">
        <f>_xlfn.XLOOKUP(A1121,'[1]Global_Spot Prices'!$B:$B,'[1]Global_Spot Prices'!$H:$H)</f>
        <v>63.45</v>
      </c>
      <c r="F1121">
        <f>_xlfn.XLOOKUP(A1121,'[1]Global_Spot Prices'!$B:$B,'[1]Global_Spot Prices'!$I:$I)</f>
        <v>80.03</v>
      </c>
      <c r="G1121" cm="1">
        <f t="array" ref="G1121">_xlfn.XLOOKUP(TEXT(A1121, "mmm-yy"), TEXT([2]RUNS!$B$5:$B$208, "mmm-yy"), [2]RUNS!$D$5:$D$208, "Not Found")</f>
        <v>30200.654848788789</v>
      </c>
      <c r="H1121" cm="1">
        <f t="array" ref="H1121">SUMPRODUCT(
    --(TEXT('[3]Global Weekly Stock (EWSuez'!$B$4:$B$2000,"mmm-yy")=TEXT(A1121,"mmm-yy")),
    '[3]Global Weekly Stock (EWSuez'!$E$4:$E$2000)
/
SUMPRODUCT(
    --(TEXT('[3]Global Weekly Stock (EWSuez'!$B$4:$B$2000,"mmm-yy")=TEXT(A1121,"mmm-yy"))
)</f>
        <v>14374</v>
      </c>
      <c r="I1121">
        <f>_xlfn.XLOOKUP(A1121,[1]ForwardDeriv!$D:$D,[1]ForwardDeriv!$AJ:$AJ)</f>
        <v>1.1800000000000068</v>
      </c>
      <c r="J1121" cm="1">
        <f t="array" ref="J1121">_xlfn.XLOOKUP(TEXT(A1121, "mmm-yy"), TEXT([2]GASOLINE!$B$5:$B$208, "mmm-yy"), [2]GASOLINE!$IR$5:$IR$208, "Not Found")</f>
        <v>-16.281197892082162</v>
      </c>
      <c r="K1121" cm="1">
        <f t="array" ref="K1121">_xlfn.XLOOKUP(TEXT(A1121, "mmm-yy"), TEXT([2]GASOLINE!$B$5:$B$208, "mmm-yy"), [2]GASOLINE!$IK$5:$IK$208, "Not Found")</f>
        <v>172.41567734606198</v>
      </c>
      <c r="L1121">
        <f t="shared" si="17"/>
        <v>0</v>
      </c>
      <c r="M1121" cm="1">
        <f t="array" ref="M1121">_xlfn.XLOOKUP(TEXT(A1121, "mmm-yy"), TEXT([2]GASOLINE!$B$5:$B$208, "mmm-yy"), [2]GASOLINE!$C$5:$C$208, "Not Found")</f>
        <v>7382.2044505324357</v>
      </c>
      <c r="N1121" cm="1">
        <f t="array" ref="N1121">_xlfn.XLOOKUP(TEXT(A1121, "mmm-yy"), TEXT([2]RUNS!$B$5:$B$208, "mmm-yy"), [2]RUNS!$BM$5:$BM$208, "Not Found")</f>
        <v>0.8514277979168321</v>
      </c>
    </row>
    <row r="1122" spans="1:14" x14ac:dyDescent="0.25">
      <c r="A1122" s="1">
        <f>'[1]Global_Spot Prices'!$B2431</f>
        <v>43573</v>
      </c>
      <c r="B1122">
        <f>_xlfn.XLOOKUP(A1122,'[1]Global_Spot Prices'!$B:$B,'[1]Global_Spot Prices'!$BS:$BS)</f>
        <v>8.4699999999999989</v>
      </c>
      <c r="C1122">
        <f>_xlfn.XLOOKUP(A1122,'[1]Global_Spot Prices'!$B:$B,'[1]Global_Spot Prices'!$E:$E)</f>
        <v>71.05</v>
      </c>
      <c r="D1122">
        <f>_xlfn.XLOOKUP(A1122,'[1]Global_Spot Prices'!$B:$B,'[1]Global_Spot Prices'!$D:$D)</f>
        <v>71</v>
      </c>
      <c r="E1122">
        <f>_xlfn.XLOOKUP(A1122,'[1]Global_Spot Prices'!$B:$B,'[1]Global_Spot Prices'!$H:$H)</f>
        <v>63.35</v>
      </c>
      <c r="F1122">
        <f>_xlfn.XLOOKUP(A1122,'[1]Global_Spot Prices'!$B:$B,'[1]Global_Spot Prices'!$I:$I)</f>
        <v>79.52</v>
      </c>
      <c r="G1122" cm="1">
        <f t="array" ref="G1122">_xlfn.XLOOKUP(TEXT(A1122, "mmm-yy"), TEXT([2]RUNS!$B$5:$B$208, "mmm-yy"), [2]RUNS!$D$5:$D$208, "Not Found")</f>
        <v>30200.654848788789</v>
      </c>
      <c r="H1122" cm="1">
        <f t="array" ref="H1122">SUMPRODUCT(
    --(TEXT('[3]Global Weekly Stock (EWSuez'!$B$4:$B$2000,"mmm-yy")=TEXT(A1122,"mmm-yy")),
    '[3]Global Weekly Stock (EWSuez'!$E$4:$E$2000)
/
SUMPRODUCT(
    --(TEXT('[3]Global Weekly Stock (EWSuez'!$B$4:$B$2000,"mmm-yy")=TEXT(A1122,"mmm-yy"))
)</f>
        <v>14374</v>
      </c>
      <c r="I1122">
        <f>_xlfn.XLOOKUP(A1122,[1]ForwardDeriv!$D:$D,[1]ForwardDeriv!$AJ:$AJ)</f>
        <v>1.1700000000000017</v>
      </c>
      <c r="J1122" cm="1">
        <f t="array" ref="J1122">_xlfn.XLOOKUP(TEXT(A1122, "mmm-yy"), TEXT([2]GASOLINE!$B$5:$B$208, "mmm-yy"), [2]GASOLINE!$IR$5:$IR$208, "Not Found")</f>
        <v>-16.281197892082162</v>
      </c>
      <c r="K1122" cm="1">
        <f t="array" ref="K1122">_xlfn.XLOOKUP(TEXT(A1122, "mmm-yy"), TEXT([2]GASOLINE!$B$5:$B$208, "mmm-yy"), [2]GASOLINE!$IK$5:$IK$208, "Not Found")</f>
        <v>172.41567734606198</v>
      </c>
      <c r="L1122">
        <f t="shared" si="17"/>
        <v>0</v>
      </c>
      <c r="M1122" cm="1">
        <f t="array" ref="M1122">_xlfn.XLOOKUP(TEXT(A1122, "mmm-yy"), TEXT([2]GASOLINE!$B$5:$B$208, "mmm-yy"), [2]GASOLINE!$C$5:$C$208, "Not Found")</f>
        <v>7382.2044505324357</v>
      </c>
      <c r="N1122" cm="1">
        <f t="array" ref="N1122">_xlfn.XLOOKUP(TEXT(A1122, "mmm-yy"), TEXT([2]RUNS!$B$5:$B$208, "mmm-yy"), [2]RUNS!$BM$5:$BM$208, "Not Found")</f>
        <v>0.8514277979168321</v>
      </c>
    </row>
    <row r="1123" spans="1:14" x14ac:dyDescent="0.25">
      <c r="A1123" s="1">
        <f>'[1]Global_Spot Prices'!$B2432</f>
        <v>43574</v>
      </c>
      <c r="B1123" t="e">
        <f>_xlfn.XLOOKUP(A1123,'[1]Global_Spot Prices'!$B:$B,'[1]Global_Spot Prices'!$BS:$BS)</f>
        <v>#N/A</v>
      </c>
      <c r="C1123" t="str">
        <f>_xlfn.XLOOKUP(A1123,'[1]Global_Spot Prices'!$B:$B,'[1]Global_Spot Prices'!$E:$E)</f>
        <v/>
      </c>
      <c r="D1123" t="str">
        <f>_xlfn.XLOOKUP(A1123,'[1]Global_Spot Prices'!$B:$B,'[1]Global_Spot Prices'!$D:$D)</f>
        <v/>
      </c>
      <c r="E1123">
        <f>_xlfn.XLOOKUP(A1123,'[1]Global_Spot Prices'!$B:$B,'[1]Global_Spot Prices'!$H:$H)</f>
        <v>0</v>
      </c>
      <c r="F1123">
        <f>_xlfn.XLOOKUP(A1123,'[1]Global_Spot Prices'!$B:$B,'[1]Global_Spot Prices'!$I:$I)</f>
        <v>0</v>
      </c>
      <c r="G1123" cm="1">
        <f t="array" ref="G1123">_xlfn.XLOOKUP(TEXT(A1123, "mmm-yy"), TEXT([2]RUNS!$B$5:$B$208, "mmm-yy"), [2]RUNS!$D$5:$D$208, "Not Found")</f>
        <v>30200.654848788789</v>
      </c>
      <c r="H1123" cm="1">
        <f t="array" ref="H1123">SUMPRODUCT(
    --(TEXT('[3]Global Weekly Stock (EWSuez'!$B$4:$B$2000,"mmm-yy")=TEXT(A1123,"mmm-yy")),
    '[3]Global Weekly Stock (EWSuez'!$E$4:$E$2000)
/
SUMPRODUCT(
    --(TEXT('[3]Global Weekly Stock (EWSuez'!$B$4:$B$2000,"mmm-yy")=TEXT(A1123,"mmm-yy"))
)</f>
        <v>14374</v>
      </c>
      <c r="I1123">
        <f>_xlfn.XLOOKUP(A1123,[1]ForwardDeriv!$D:$D,[1]ForwardDeriv!$AJ:$AJ)</f>
        <v>1.230000000000004</v>
      </c>
      <c r="J1123" cm="1">
        <f t="array" ref="J1123">_xlfn.XLOOKUP(TEXT(A1123, "mmm-yy"), TEXT([2]GASOLINE!$B$5:$B$208, "mmm-yy"), [2]GASOLINE!$IR$5:$IR$208, "Not Found")</f>
        <v>-16.281197892082162</v>
      </c>
      <c r="K1123" cm="1">
        <f t="array" ref="K1123">_xlfn.XLOOKUP(TEXT(A1123, "mmm-yy"), TEXT([2]GASOLINE!$B$5:$B$208, "mmm-yy"), [2]GASOLINE!$IK$5:$IK$208, "Not Found")</f>
        <v>172.41567734606198</v>
      </c>
      <c r="L1123">
        <f t="shared" si="17"/>
        <v>0</v>
      </c>
      <c r="M1123" cm="1">
        <f t="array" ref="M1123">_xlfn.XLOOKUP(TEXT(A1123, "mmm-yy"), TEXT([2]GASOLINE!$B$5:$B$208, "mmm-yy"), [2]GASOLINE!$C$5:$C$208, "Not Found")</f>
        <v>7382.2044505324357</v>
      </c>
      <c r="N1123" cm="1">
        <f t="array" ref="N1123">_xlfn.XLOOKUP(TEXT(A1123, "mmm-yy"), TEXT([2]RUNS!$B$5:$B$208, "mmm-yy"), [2]RUNS!$BM$5:$BM$208, "Not Found")</f>
        <v>0.8514277979168321</v>
      </c>
    </row>
    <row r="1124" spans="1:14" x14ac:dyDescent="0.25">
      <c r="A1124" s="1">
        <f>'[1]Global_Spot Prices'!$B2433</f>
        <v>43577</v>
      </c>
      <c r="B1124">
        <f>_xlfn.XLOOKUP(A1124,'[1]Global_Spot Prices'!$B:$B,'[1]Global_Spot Prices'!$BS:$BS)</f>
        <v>8.0300000000000011</v>
      </c>
      <c r="C1124">
        <f>_xlfn.XLOOKUP(A1124,'[1]Global_Spot Prices'!$B:$B,'[1]Global_Spot Prices'!$E:$E)</f>
        <v>73.400000000000006</v>
      </c>
      <c r="D1124" t="str">
        <f>_xlfn.XLOOKUP(A1124,'[1]Global_Spot Prices'!$B:$B,'[1]Global_Spot Prices'!$D:$D)</f>
        <v/>
      </c>
      <c r="E1124">
        <f>_xlfn.XLOOKUP(A1124,'[1]Global_Spot Prices'!$B:$B,'[1]Global_Spot Prices'!$H:$H)</f>
        <v>65.489999999999995</v>
      </c>
      <c r="F1124">
        <f>_xlfn.XLOOKUP(A1124,'[1]Global_Spot Prices'!$B:$B,'[1]Global_Spot Prices'!$I:$I)</f>
        <v>81.430000000000007</v>
      </c>
      <c r="G1124" cm="1">
        <f t="array" ref="G1124">_xlfn.XLOOKUP(TEXT(A1124, "mmm-yy"), TEXT([2]RUNS!$B$5:$B$208, "mmm-yy"), [2]RUNS!$D$5:$D$208, "Not Found")</f>
        <v>30200.654848788789</v>
      </c>
      <c r="H1124" cm="1">
        <f t="array" ref="H1124">SUMPRODUCT(
    --(TEXT('[3]Global Weekly Stock (EWSuez'!$B$4:$B$2000,"mmm-yy")=TEXT(A1124,"mmm-yy")),
    '[3]Global Weekly Stock (EWSuez'!$E$4:$E$2000)
/
SUMPRODUCT(
    --(TEXT('[3]Global Weekly Stock (EWSuez'!$B$4:$B$2000,"mmm-yy")=TEXT(A1124,"mmm-yy"))
)</f>
        <v>14374</v>
      </c>
      <c r="I1124">
        <f>_xlfn.XLOOKUP(A1124,[1]ForwardDeriv!$D:$D,[1]ForwardDeriv!$AJ:$AJ)</f>
        <v>1.230000000000004</v>
      </c>
      <c r="J1124" cm="1">
        <f t="array" ref="J1124">_xlfn.XLOOKUP(TEXT(A1124, "mmm-yy"), TEXT([2]GASOLINE!$B$5:$B$208, "mmm-yy"), [2]GASOLINE!$IR$5:$IR$208, "Not Found")</f>
        <v>-16.281197892082162</v>
      </c>
      <c r="K1124" cm="1">
        <f t="array" ref="K1124">_xlfn.XLOOKUP(TEXT(A1124, "mmm-yy"), TEXT([2]GASOLINE!$B$5:$B$208, "mmm-yy"), [2]GASOLINE!$IK$5:$IK$208, "Not Found")</f>
        <v>172.41567734606198</v>
      </c>
      <c r="L1124">
        <f t="shared" si="17"/>
        <v>0</v>
      </c>
      <c r="M1124" cm="1">
        <f t="array" ref="M1124">_xlfn.XLOOKUP(TEXT(A1124, "mmm-yy"), TEXT([2]GASOLINE!$B$5:$B$208, "mmm-yy"), [2]GASOLINE!$C$5:$C$208, "Not Found")</f>
        <v>7382.2044505324357</v>
      </c>
      <c r="N1124" cm="1">
        <f t="array" ref="N1124">_xlfn.XLOOKUP(TEXT(A1124, "mmm-yy"), TEXT([2]RUNS!$B$5:$B$208, "mmm-yy"), [2]RUNS!$BM$5:$BM$208, "Not Found")</f>
        <v>0.8514277979168321</v>
      </c>
    </row>
    <row r="1125" spans="1:14" x14ac:dyDescent="0.25">
      <c r="A1125" s="1">
        <f>'[1]Global_Spot Prices'!$B2434</f>
        <v>43578</v>
      </c>
      <c r="B1125">
        <f>_xlfn.XLOOKUP(A1125,'[1]Global_Spot Prices'!$B:$B,'[1]Global_Spot Prices'!$BS:$BS)</f>
        <v>7.4399999999999977</v>
      </c>
      <c r="C1125">
        <f>_xlfn.XLOOKUP(A1125,'[1]Global_Spot Prices'!$B:$B,'[1]Global_Spot Prices'!$E:$E)</f>
        <v>73.75</v>
      </c>
      <c r="D1125">
        <f>_xlfn.XLOOKUP(A1125,'[1]Global_Spot Prices'!$B:$B,'[1]Global_Spot Prices'!$D:$D)</f>
        <v>73.69</v>
      </c>
      <c r="E1125">
        <f>_xlfn.XLOOKUP(A1125,'[1]Global_Spot Prices'!$B:$B,'[1]Global_Spot Prices'!$H:$H)</f>
        <v>66.319999999999993</v>
      </c>
      <c r="F1125">
        <f>_xlfn.XLOOKUP(A1125,'[1]Global_Spot Prices'!$B:$B,'[1]Global_Spot Prices'!$I:$I)</f>
        <v>81.19</v>
      </c>
      <c r="G1125" cm="1">
        <f t="array" ref="G1125">_xlfn.XLOOKUP(TEXT(A1125, "mmm-yy"), TEXT([2]RUNS!$B$5:$B$208, "mmm-yy"), [2]RUNS!$D$5:$D$208, "Not Found")</f>
        <v>30200.654848788789</v>
      </c>
      <c r="H1125" cm="1">
        <f t="array" ref="H1125">SUMPRODUCT(
    --(TEXT('[3]Global Weekly Stock (EWSuez'!$B$4:$B$2000,"mmm-yy")=TEXT(A1125,"mmm-yy")),
    '[3]Global Weekly Stock (EWSuez'!$E$4:$E$2000)
/
SUMPRODUCT(
    --(TEXT('[3]Global Weekly Stock (EWSuez'!$B$4:$B$2000,"mmm-yy")=TEXT(A1125,"mmm-yy"))
)</f>
        <v>14374</v>
      </c>
      <c r="I1125">
        <f>_xlfn.XLOOKUP(A1125,[1]ForwardDeriv!$D:$D,[1]ForwardDeriv!$AJ:$AJ)</f>
        <v>1.019999999999996</v>
      </c>
      <c r="J1125" cm="1">
        <f t="array" ref="J1125">_xlfn.XLOOKUP(TEXT(A1125, "mmm-yy"), TEXT([2]GASOLINE!$B$5:$B$208, "mmm-yy"), [2]GASOLINE!$IR$5:$IR$208, "Not Found")</f>
        <v>-16.281197892082162</v>
      </c>
      <c r="K1125" cm="1">
        <f t="array" ref="K1125">_xlfn.XLOOKUP(TEXT(A1125, "mmm-yy"), TEXT([2]GASOLINE!$B$5:$B$208, "mmm-yy"), [2]GASOLINE!$IK$5:$IK$208, "Not Found")</f>
        <v>172.41567734606198</v>
      </c>
      <c r="L1125">
        <f t="shared" si="17"/>
        <v>0</v>
      </c>
      <c r="M1125" cm="1">
        <f t="array" ref="M1125">_xlfn.XLOOKUP(TEXT(A1125, "mmm-yy"), TEXT([2]GASOLINE!$B$5:$B$208, "mmm-yy"), [2]GASOLINE!$C$5:$C$208, "Not Found")</f>
        <v>7382.2044505324357</v>
      </c>
      <c r="N1125" cm="1">
        <f t="array" ref="N1125">_xlfn.XLOOKUP(TEXT(A1125, "mmm-yy"), TEXT([2]RUNS!$B$5:$B$208, "mmm-yy"), [2]RUNS!$BM$5:$BM$208, "Not Found")</f>
        <v>0.8514277979168321</v>
      </c>
    </row>
    <row r="1126" spans="1:14" x14ac:dyDescent="0.25">
      <c r="A1126" s="1">
        <f>'[1]Global_Spot Prices'!$B2435</f>
        <v>43579</v>
      </c>
      <c r="B1126">
        <f>_xlfn.XLOOKUP(A1126,'[1]Global_Spot Prices'!$B:$B,'[1]Global_Spot Prices'!$BS:$BS)</f>
        <v>6.6099999999999994</v>
      </c>
      <c r="C1126">
        <f>_xlfn.XLOOKUP(A1126,'[1]Global_Spot Prices'!$B:$B,'[1]Global_Spot Prices'!$E:$E)</f>
        <v>73.64</v>
      </c>
      <c r="D1126">
        <f>_xlfn.XLOOKUP(A1126,'[1]Global_Spot Prices'!$B:$B,'[1]Global_Spot Prices'!$D:$D)</f>
        <v>73.734999999999999</v>
      </c>
      <c r="E1126">
        <f>_xlfn.XLOOKUP(A1126,'[1]Global_Spot Prices'!$B:$B,'[1]Global_Spot Prices'!$H:$H)</f>
        <v>66.2</v>
      </c>
      <c r="F1126">
        <f>_xlfn.XLOOKUP(A1126,'[1]Global_Spot Prices'!$B:$B,'[1]Global_Spot Prices'!$I:$I)</f>
        <v>80.25</v>
      </c>
      <c r="G1126" cm="1">
        <f t="array" ref="G1126">_xlfn.XLOOKUP(TEXT(A1126, "mmm-yy"), TEXT([2]RUNS!$B$5:$B$208, "mmm-yy"), [2]RUNS!$D$5:$D$208, "Not Found")</f>
        <v>30200.654848788789</v>
      </c>
      <c r="H1126" cm="1">
        <f t="array" ref="H1126">SUMPRODUCT(
    --(TEXT('[3]Global Weekly Stock (EWSuez'!$B$4:$B$2000,"mmm-yy")=TEXT(A1126,"mmm-yy")),
    '[3]Global Weekly Stock (EWSuez'!$E$4:$E$2000)
/
SUMPRODUCT(
    --(TEXT('[3]Global Weekly Stock (EWSuez'!$B$4:$B$2000,"mmm-yy")=TEXT(A1126,"mmm-yy"))
)</f>
        <v>14374</v>
      </c>
      <c r="I1126">
        <f>_xlfn.XLOOKUP(A1126,[1]ForwardDeriv!$D:$D,[1]ForwardDeriv!$AJ:$AJ)</f>
        <v>0.84999999999999432</v>
      </c>
      <c r="J1126" cm="1">
        <f t="array" ref="J1126">_xlfn.XLOOKUP(TEXT(A1126, "mmm-yy"), TEXT([2]GASOLINE!$B$5:$B$208, "mmm-yy"), [2]GASOLINE!$IR$5:$IR$208, "Not Found")</f>
        <v>-16.281197892082162</v>
      </c>
      <c r="K1126" cm="1">
        <f t="array" ref="K1126">_xlfn.XLOOKUP(TEXT(A1126, "mmm-yy"), TEXT([2]GASOLINE!$B$5:$B$208, "mmm-yy"), [2]GASOLINE!$IK$5:$IK$208, "Not Found")</f>
        <v>172.41567734606198</v>
      </c>
      <c r="L1126">
        <f t="shared" si="17"/>
        <v>0</v>
      </c>
      <c r="M1126" cm="1">
        <f t="array" ref="M1126">_xlfn.XLOOKUP(TEXT(A1126, "mmm-yy"), TEXT([2]GASOLINE!$B$5:$B$208, "mmm-yy"), [2]GASOLINE!$C$5:$C$208, "Not Found")</f>
        <v>7382.2044505324357</v>
      </c>
      <c r="N1126" cm="1">
        <f t="array" ref="N1126">_xlfn.XLOOKUP(TEXT(A1126, "mmm-yy"), TEXT([2]RUNS!$B$5:$B$208, "mmm-yy"), [2]RUNS!$BM$5:$BM$208, "Not Found")</f>
        <v>0.8514277979168321</v>
      </c>
    </row>
    <row r="1127" spans="1:14" x14ac:dyDescent="0.25">
      <c r="A1127" s="1">
        <f>'[1]Global_Spot Prices'!$B2436</f>
        <v>43580</v>
      </c>
      <c r="B1127">
        <f>_xlfn.XLOOKUP(A1127,'[1]Global_Spot Prices'!$B:$B,'[1]Global_Spot Prices'!$BS:$BS)</f>
        <v>6.9300000000000068</v>
      </c>
      <c r="C1127">
        <f>_xlfn.XLOOKUP(A1127,'[1]Global_Spot Prices'!$B:$B,'[1]Global_Spot Prices'!$E:$E)</f>
        <v>74.489999999999995</v>
      </c>
      <c r="D1127">
        <f>_xlfn.XLOOKUP(A1127,'[1]Global_Spot Prices'!$B:$B,'[1]Global_Spot Prices'!$D:$D)</f>
        <v>74.31</v>
      </c>
      <c r="E1127">
        <f>_xlfn.XLOOKUP(A1127,'[1]Global_Spot Prices'!$B:$B,'[1]Global_Spot Prices'!$H:$H)</f>
        <v>66.989999999999995</v>
      </c>
      <c r="F1127">
        <f>_xlfn.XLOOKUP(A1127,'[1]Global_Spot Prices'!$B:$B,'[1]Global_Spot Prices'!$I:$I)</f>
        <v>81.42</v>
      </c>
      <c r="G1127" cm="1">
        <f t="array" ref="G1127">_xlfn.XLOOKUP(TEXT(A1127, "mmm-yy"), TEXT([2]RUNS!$B$5:$B$208, "mmm-yy"), [2]RUNS!$D$5:$D$208, "Not Found")</f>
        <v>30200.654848788789</v>
      </c>
      <c r="H1127" cm="1">
        <f t="array" ref="H1127">SUMPRODUCT(
    --(TEXT('[3]Global Weekly Stock (EWSuez'!$B$4:$B$2000,"mmm-yy")=TEXT(A1127,"mmm-yy")),
    '[3]Global Weekly Stock (EWSuez'!$E$4:$E$2000)
/
SUMPRODUCT(
    --(TEXT('[3]Global Weekly Stock (EWSuez'!$B$4:$B$2000,"mmm-yy")=TEXT(A1127,"mmm-yy"))
)</f>
        <v>14374</v>
      </c>
      <c r="I1127">
        <f>_xlfn.XLOOKUP(A1127,[1]ForwardDeriv!$D:$D,[1]ForwardDeriv!$AJ:$AJ)</f>
        <v>0.90000000000000568</v>
      </c>
      <c r="J1127" cm="1">
        <f t="array" ref="J1127">_xlfn.XLOOKUP(TEXT(A1127, "mmm-yy"), TEXT([2]GASOLINE!$B$5:$B$208, "mmm-yy"), [2]GASOLINE!$IR$5:$IR$208, "Not Found")</f>
        <v>-16.281197892082162</v>
      </c>
      <c r="K1127" cm="1">
        <f t="array" ref="K1127">_xlfn.XLOOKUP(TEXT(A1127, "mmm-yy"), TEXT([2]GASOLINE!$B$5:$B$208, "mmm-yy"), [2]GASOLINE!$IK$5:$IK$208, "Not Found")</f>
        <v>172.41567734606198</v>
      </c>
      <c r="L1127">
        <f t="shared" si="17"/>
        <v>0</v>
      </c>
      <c r="M1127" cm="1">
        <f t="array" ref="M1127">_xlfn.XLOOKUP(TEXT(A1127, "mmm-yy"), TEXT([2]GASOLINE!$B$5:$B$208, "mmm-yy"), [2]GASOLINE!$C$5:$C$208, "Not Found")</f>
        <v>7382.2044505324357</v>
      </c>
      <c r="N1127" cm="1">
        <f t="array" ref="N1127">_xlfn.XLOOKUP(TEXT(A1127, "mmm-yy"), TEXT([2]RUNS!$B$5:$B$208, "mmm-yy"), [2]RUNS!$BM$5:$BM$208, "Not Found")</f>
        <v>0.8514277979168321</v>
      </c>
    </row>
    <row r="1128" spans="1:14" x14ac:dyDescent="0.25">
      <c r="A1128" s="1">
        <f>'[1]Global_Spot Prices'!$B2437</f>
        <v>43581</v>
      </c>
      <c r="B1128">
        <f>_xlfn.XLOOKUP(A1128,'[1]Global_Spot Prices'!$B:$B,'[1]Global_Spot Prices'!$BS:$BS)</f>
        <v>7.3199999999999932</v>
      </c>
      <c r="C1128">
        <f>_xlfn.XLOOKUP(A1128,'[1]Global_Spot Prices'!$B:$B,'[1]Global_Spot Prices'!$E:$E)</f>
        <v>73.430000000000007</v>
      </c>
      <c r="D1128">
        <f>_xlfn.XLOOKUP(A1128,'[1]Global_Spot Prices'!$B:$B,'[1]Global_Spot Prices'!$D:$D)</f>
        <v>71.2</v>
      </c>
      <c r="E1128">
        <f>_xlfn.XLOOKUP(A1128,'[1]Global_Spot Prices'!$B:$B,'[1]Global_Spot Prices'!$H:$H)</f>
        <v>66.02</v>
      </c>
      <c r="F1128">
        <f>_xlfn.XLOOKUP(A1128,'[1]Global_Spot Prices'!$B:$B,'[1]Global_Spot Prices'!$I:$I)</f>
        <v>80.75</v>
      </c>
      <c r="G1128" cm="1">
        <f t="array" ref="G1128">_xlfn.XLOOKUP(TEXT(A1128, "mmm-yy"), TEXT([2]RUNS!$B$5:$B$208, "mmm-yy"), [2]RUNS!$D$5:$D$208, "Not Found")</f>
        <v>30200.654848788789</v>
      </c>
      <c r="H1128" cm="1">
        <f t="array" ref="H1128">SUMPRODUCT(
    --(TEXT('[3]Global Weekly Stock (EWSuez'!$B$4:$B$2000,"mmm-yy")=TEXT(A1128,"mmm-yy")),
    '[3]Global Weekly Stock (EWSuez'!$E$4:$E$2000)
/
SUMPRODUCT(
    --(TEXT('[3]Global Weekly Stock (EWSuez'!$B$4:$B$2000,"mmm-yy")=TEXT(A1128,"mmm-yy"))
)</f>
        <v>14374</v>
      </c>
      <c r="I1128">
        <f>_xlfn.XLOOKUP(A1128,[1]ForwardDeriv!$D:$D,[1]ForwardDeriv!$AJ:$AJ)</f>
        <v>1</v>
      </c>
      <c r="J1128" cm="1">
        <f t="array" ref="J1128">_xlfn.XLOOKUP(TEXT(A1128, "mmm-yy"), TEXT([2]GASOLINE!$B$5:$B$208, "mmm-yy"), [2]GASOLINE!$IR$5:$IR$208, "Not Found")</f>
        <v>-16.281197892082162</v>
      </c>
      <c r="K1128" cm="1">
        <f t="array" ref="K1128">_xlfn.XLOOKUP(TEXT(A1128, "mmm-yy"), TEXT([2]GASOLINE!$B$5:$B$208, "mmm-yy"), [2]GASOLINE!$IK$5:$IK$208, "Not Found")</f>
        <v>172.41567734606198</v>
      </c>
      <c r="L1128">
        <f t="shared" si="17"/>
        <v>0</v>
      </c>
      <c r="M1128" cm="1">
        <f t="array" ref="M1128">_xlfn.XLOOKUP(TEXT(A1128, "mmm-yy"), TEXT([2]GASOLINE!$B$5:$B$208, "mmm-yy"), [2]GASOLINE!$C$5:$C$208, "Not Found")</f>
        <v>7382.2044505324357</v>
      </c>
      <c r="N1128" cm="1">
        <f t="array" ref="N1128">_xlfn.XLOOKUP(TEXT(A1128, "mmm-yy"), TEXT([2]RUNS!$B$5:$B$208, "mmm-yy"), [2]RUNS!$BM$5:$BM$208, "Not Found")</f>
        <v>0.8514277979168321</v>
      </c>
    </row>
    <row r="1129" spans="1:14" x14ac:dyDescent="0.25">
      <c r="A1129" s="1">
        <f>'[1]Global_Spot Prices'!$B2438</f>
        <v>43584</v>
      </c>
      <c r="B1129">
        <f>_xlfn.XLOOKUP(A1129,'[1]Global_Spot Prices'!$B:$B,'[1]Global_Spot Prices'!$BS:$BS)</f>
        <v>8.0799999999999983</v>
      </c>
      <c r="C1129">
        <f>_xlfn.XLOOKUP(A1129,'[1]Global_Spot Prices'!$B:$B,'[1]Global_Spot Prices'!$E:$E)</f>
        <v>71.06</v>
      </c>
      <c r="D1129">
        <f>_xlfn.XLOOKUP(A1129,'[1]Global_Spot Prices'!$B:$B,'[1]Global_Spot Prices'!$D:$D)</f>
        <v>71.59</v>
      </c>
      <c r="E1129">
        <f>_xlfn.XLOOKUP(A1129,'[1]Global_Spot Prices'!$B:$B,'[1]Global_Spot Prices'!$H:$H)</f>
        <v>63.82</v>
      </c>
      <c r="F1129">
        <f>_xlfn.XLOOKUP(A1129,'[1]Global_Spot Prices'!$B:$B,'[1]Global_Spot Prices'!$I:$I)</f>
        <v>79.14</v>
      </c>
      <c r="G1129" cm="1">
        <f t="array" ref="G1129">_xlfn.XLOOKUP(TEXT(A1129, "mmm-yy"), TEXT([2]RUNS!$B$5:$B$208, "mmm-yy"), [2]RUNS!$D$5:$D$208, "Not Found")</f>
        <v>30200.654848788789</v>
      </c>
      <c r="H1129" cm="1">
        <f t="array" ref="H1129">SUMPRODUCT(
    --(TEXT('[3]Global Weekly Stock (EWSuez'!$B$4:$B$2000,"mmm-yy")=TEXT(A1129,"mmm-yy")),
    '[3]Global Weekly Stock (EWSuez'!$E$4:$E$2000)
/
SUMPRODUCT(
    --(TEXT('[3]Global Weekly Stock (EWSuez'!$B$4:$B$2000,"mmm-yy")=TEXT(A1129,"mmm-yy"))
)</f>
        <v>14374</v>
      </c>
      <c r="I1129">
        <f>_xlfn.XLOOKUP(A1129,[1]ForwardDeriv!$D:$D,[1]ForwardDeriv!$AJ:$AJ)</f>
        <v>1.1200000000000045</v>
      </c>
      <c r="J1129" cm="1">
        <f t="array" ref="J1129">_xlfn.XLOOKUP(TEXT(A1129, "mmm-yy"), TEXT([2]GASOLINE!$B$5:$B$208, "mmm-yy"), [2]GASOLINE!$IR$5:$IR$208, "Not Found")</f>
        <v>-16.281197892082162</v>
      </c>
      <c r="K1129" cm="1">
        <f t="array" ref="K1129">_xlfn.XLOOKUP(TEXT(A1129, "mmm-yy"), TEXT([2]GASOLINE!$B$5:$B$208, "mmm-yy"), [2]GASOLINE!$IK$5:$IK$208, "Not Found")</f>
        <v>172.41567734606198</v>
      </c>
      <c r="L1129">
        <f t="shared" si="17"/>
        <v>0</v>
      </c>
      <c r="M1129" cm="1">
        <f t="array" ref="M1129">_xlfn.XLOOKUP(TEXT(A1129, "mmm-yy"), TEXT([2]GASOLINE!$B$5:$B$208, "mmm-yy"), [2]GASOLINE!$C$5:$C$208, "Not Found")</f>
        <v>7382.2044505324357</v>
      </c>
      <c r="N1129" cm="1">
        <f t="array" ref="N1129">_xlfn.XLOOKUP(TEXT(A1129, "mmm-yy"), TEXT([2]RUNS!$B$5:$B$208, "mmm-yy"), [2]RUNS!$BM$5:$BM$208, "Not Found")</f>
        <v>0.8514277979168321</v>
      </c>
    </row>
    <row r="1130" spans="1:14" x14ac:dyDescent="0.25">
      <c r="A1130" s="1">
        <f>'[1]Global_Spot Prices'!$B2439</f>
        <v>43585</v>
      </c>
      <c r="B1130">
        <f>_xlfn.XLOOKUP(A1130,'[1]Global_Spot Prices'!$B:$B,'[1]Global_Spot Prices'!$BS:$BS)</f>
        <v>7.3200000000000074</v>
      </c>
      <c r="C1130">
        <f>_xlfn.XLOOKUP(A1130,'[1]Global_Spot Prices'!$B:$B,'[1]Global_Spot Prices'!$E:$E)</f>
        <v>71.599999999999994</v>
      </c>
      <c r="D1130">
        <f>_xlfn.XLOOKUP(A1130,'[1]Global_Spot Prices'!$B:$B,'[1]Global_Spot Prices'!$D:$D)</f>
        <v>72.45</v>
      </c>
      <c r="E1130">
        <f>_xlfn.XLOOKUP(A1130,'[1]Global_Spot Prices'!$B:$B,'[1]Global_Spot Prices'!$H:$H)</f>
        <v>63.64</v>
      </c>
      <c r="F1130">
        <f>_xlfn.XLOOKUP(A1130,'[1]Global_Spot Prices'!$B:$B,'[1]Global_Spot Prices'!$I:$I)</f>
        <v>78.92</v>
      </c>
      <c r="G1130" cm="1">
        <f t="array" ref="G1130">_xlfn.XLOOKUP(TEXT(A1130, "mmm-yy"), TEXT([2]RUNS!$B$5:$B$208, "mmm-yy"), [2]RUNS!$D$5:$D$208, "Not Found")</f>
        <v>30200.654848788789</v>
      </c>
      <c r="H1130" cm="1">
        <f t="array" ref="H1130">SUMPRODUCT(
    --(TEXT('[3]Global Weekly Stock (EWSuez'!$B$4:$B$2000,"mmm-yy")=TEXT(A1130,"mmm-yy")),
    '[3]Global Weekly Stock (EWSuez'!$E$4:$E$2000)
/
SUMPRODUCT(
    --(TEXT('[3]Global Weekly Stock (EWSuez'!$B$4:$B$2000,"mmm-yy")=TEXT(A1130,"mmm-yy"))
)</f>
        <v>14374</v>
      </c>
      <c r="I1130">
        <f>_xlfn.XLOOKUP(A1130,[1]ForwardDeriv!$D:$D,[1]ForwardDeriv!$AJ:$AJ)</f>
        <v>1.0400000000000063</v>
      </c>
      <c r="J1130" cm="1">
        <f t="array" ref="J1130">_xlfn.XLOOKUP(TEXT(A1130, "mmm-yy"), TEXT([2]GASOLINE!$B$5:$B$208, "mmm-yy"), [2]GASOLINE!$IR$5:$IR$208, "Not Found")</f>
        <v>-16.281197892082162</v>
      </c>
      <c r="K1130" cm="1">
        <f t="array" ref="K1130">_xlfn.XLOOKUP(TEXT(A1130, "mmm-yy"), TEXT([2]GASOLINE!$B$5:$B$208, "mmm-yy"), [2]GASOLINE!$IK$5:$IK$208, "Not Found")</f>
        <v>172.41567734606198</v>
      </c>
      <c r="L1130">
        <f t="shared" si="17"/>
        <v>0</v>
      </c>
      <c r="M1130" cm="1">
        <f t="array" ref="M1130">_xlfn.XLOOKUP(TEXT(A1130, "mmm-yy"), TEXT([2]GASOLINE!$B$5:$B$208, "mmm-yy"), [2]GASOLINE!$C$5:$C$208, "Not Found")</f>
        <v>7382.2044505324357</v>
      </c>
      <c r="N1130" cm="1">
        <f t="array" ref="N1130">_xlfn.XLOOKUP(TEXT(A1130, "mmm-yy"), TEXT([2]RUNS!$B$5:$B$208, "mmm-yy"), [2]RUNS!$BM$5:$BM$208, "Not Found")</f>
        <v>0.8514277979168321</v>
      </c>
    </row>
    <row r="1131" spans="1:14" x14ac:dyDescent="0.25">
      <c r="A1131" s="1">
        <f>'[1]Global_Spot Prices'!$B2440</f>
        <v>43586</v>
      </c>
      <c r="B1131" t="e">
        <f>_xlfn.XLOOKUP(A1131,'[1]Global_Spot Prices'!$B:$B,'[1]Global_Spot Prices'!$BS:$BS)</f>
        <v>#N/A</v>
      </c>
      <c r="C1131" t="str">
        <f>_xlfn.XLOOKUP(A1131,'[1]Global_Spot Prices'!$B:$B,'[1]Global_Spot Prices'!$E:$E)</f>
        <v/>
      </c>
      <c r="D1131">
        <f>_xlfn.XLOOKUP(A1131,'[1]Global_Spot Prices'!$B:$B,'[1]Global_Spot Prices'!$D:$D)</f>
        <v>71.915000000000006</v>
      </c>
      <c r="E1131">
        <f>_xlfn.XLOOKUP(A1131,'[1]Global_Spot Prices'!$B:$B,'[1]Global_Spot Prices'!$H:$H)</f>
        <v>0</v>
      </c>
      <c r="F1131">
        <f>_xlfn.XLOOKUP(A1131,'[1]Global_Spot Prices'!$B:$B,'[1]Global_Spot Prices'!$I:$I)</f>
        <v>0</v>
      </c>
      <c r="G1131" cm="1">
        <f t="array" ref="G1131">_xlfn.XLOOKUP(TEXT(A1131, "mmm-yy"), TEXT([2]RUNS!$B$5:$B$208, "mmm-yy"), [2]RUNS!$D$5:$D$208, "Not Found")</f>
        <v>29089.152750805766</v>
      </c>
      <c r="H1131" cm="1">
        <f t="array" ref="H1131">SUMPRODUCT(
    --(TEXT('[3]Global Weekly Stock (EWSuez'!$B$4:$B$2000,"mmm-yy")=TEXT(A1131,"mmm-yy")),
    '[3]Global Weekly Stock (EWSuez'!$E$4:$E$2000)
/
SUMPRODUCT(
    --(TEXT('[3]Global Weekly Stock (EWSuez'!$B$4:$B$2000,"mmm-yy")=TEXT(A1131,"mmm-yy"))
)</f>
        <v>11545.2</v>
      </c>
      <c r="I1131">
        <f>_xlfn.XLOOKUP(A1131,[1]ForwardDeriv!$D:$D,[1]ForwardDeriv!$AJ:$AJ)</f>
        <v>0.82000000000000739</v>
      </c>
      <c r="J1131" cm="1">
        <f t="array" ref="J1131">_xlfn.XLOOKUP(TEXT(A1131, "mmm-yy"), TEXT([2]GASOLINE!$B$5:$B$208, "mmm-yy"), [2]GASOLINE!$IR$5:$IR$208, "Not Found")</f>
        <v>-134.74715685924824</v>
      </c>
      <c r="K1131" cm="1">
        <f t="array" ref="K1131">_xlfn.XLOOKUP(TEXT(A1131, "mmm-yy"), TEXT([2]GASOLINE!$B$5:$B$208, "mmm-yy"), [2]GASOLINE!$IK$5:$IK$208, "Not Found")</f>
        <v>170.66256619124229</v>
      </c>
      <c r="L1131">
        <f t="shared" si="17"/>
        <v>0</v>
      </c>
      <c r="M1131" cm="1">
        <f t="array" ref="M1131">_xlfn.XLOOKUP(TEXT(A1131, "mmm-yy"), TEXT([2]GASOLINE!$B$5:$B$208, "mmm-yy"), [2]GASOLINE!$C$5:$C$208, "Not Found")</f>
        <v>7266.3354288643923</v>
      </c>
      <c r="N1131" cm="1">
        <f t="array" ref="N1131">_xlfn.XLOOKUP(TEXT(A1131, "mmm-yy"), TEXT([2]RUNS!$B$5:$B$208, "mmm-yy"), [2]RUNS!$BM$5:$BM$208, "Not Found")</f>
        <v>0.8192327531079302</v>
      </c>
    </row>
    <row r="1132" spans="1:14" x14ac:dyDescent="0.25">
      <c r="A1132" s="1">
        <f>'[1]Global_Spot Prices'!$B2441</f>
        <v>43587</v>
      </c>
      <c r="B1132">
        <f>_xlfn.XLOOKUP(A1132,'[1]Global_Spot Prices'!$B:$B,'[1]Global_Spot Prices'!$BS:$BS)</f>
        <v>7.1899999999999977</v>
      </c>
      <c r="C1132">
        <f>_xlfn.XLOOKUP(A1132,'[1]Global_Spot Prices'!$B:$B,'[1]Global_Spot Prices'!$E:$E)</f>
        <v>71.45</v>
      </c>
      <c r="D1132">
        <f>_xlfn.XLOOKUP(A1132,'[1]Global_Spot Prices'!$B:$B,'[1]Global_Spot Prices'!$D:$D)</f>
        <v>70.355000000000004</v>
      </c>
      <c r="E1132">
        <f>_xlfn.XLOOKUP(A1132,'[1]Global_Spot Prices'!$B:$B,'[1]Global_Spot Prices'!$H:$H)</f>
        <v>62.07</v>
      </c>
      <c r="F1132">
        <f>_xlfn.XLOOKUP(A1132,'[1]Global_Spot Prices'!$B:$B,'[1]Global_Spot Prices'!$I:$I)</f>
        <v>78.64</v>
      </c>
      <c r="G1132" cm="1">
        <f t="array" ref="G1132">_xlfn.XLOOKUP(TEXT(A1132, "mmm-yy"), TEXT([2]RUNS!$B$5:$B$208, "mmm-yy"), [2]RUNS!$D$5:$D$208, "Not Found")</f>
        <v>29089.152750805766</v>
      </c>
      <c r="H1132" cm="1">
        <f t="array" ref="H1132">SUMPRODUCT(
    --(TEXT('[3]Global Weekly Stock (EWSuez'!$B$4:$B$2000,"mmm-yy")=TEXT(A1132,"mmm-yy")),
    '[3]Global Weekly Stock (EWSuez'!$E$4:$E$2000)
/
SUMPRODUCT(
    --(TEXT('[3]Global Weekly Stock (EWSuez'!$B$4:$B$2000,"mmm-yy")=TEXT(A1132,"mmm-yy"))
)</f>
        <v>11545.2</v>
      </c>
      <c r="I1132">
        <f>_xlfn.XLOOKUP(A1132,[1]ForwardDeriv!$D:$D,[1]ForwardDeriv!$AJ:$AJ)</f>
        <v>0.82000000000000739</v>
      </c>
      <c r="J1132" cm="1">
        <f t="array" ref="J1132">_xlfn.XLOOKUP(TEXT(A1132, "mmm-yy"), TEXT([2]GASOLINE!$B$5:$B$208, "mmm-yy"), [2]GASOLINE!$IR$5:$IR$208, "Not Found")</f>
        <v>-134.74715685924824</v>
      </c>
      <c r="K1132" cm="1">
        <f t="array" ref="K1132">_xlfn.XLOOKUP(TEXT(A1132, "mmm-yy"), TEXT([2]GASOLINE!$B$5:$B$208, "mmm-yy"), [2]GASOLINE!$IK$5:$IK$208, "Not Found")</f>
        <v>170.66256619124229</v>
      </c>
      <c r="L1132">
        <f t="shared" si="17"/>
        <v>0</v>
      </c>
      <c r="M1132" cm="1">
        <f t="array" ref="M1132">_xlfn.XLOOKUP(TEXT(A1132, "mmm-yy"), TEXT([2]GASOLINE!$B$5:$B$208, "mmm-yy"), [2]GASOLINE!$C$5:$C$208, "Not Found")</f>
        <v>7266.3354288643923</v>
      </c>
      <c r="N1132" cm="1">
        <f t="array" ref="N1132">_xlfn.XLOOKUP(TEXT(A1132, "mmm-yy"), TEXT([2]RUNS!$B$5:$B$208, "mmm-yy"), [2]RUNS!$BM$5:$BM$208, "Not Found")</f>
        <v>0.8192327531079302</v>
      </c>
    </row>
    <row r="1133" spans="1:14" x14ac:dyDescent="0.25">
      <c r="A1133" s="1">
        <f>'[1]Global_Spot Prices'!$B2442</f>
        <v>43588</v>
      </c>
      <c r="B1133">
        <f>_xlfn.XLOOKUP(A1133,'[1]Global_Spot Prices'!$B:$B,'[1]Global_Spot Prices'!$BS:$BS)</f>
        <v>7.1900000000000119</v>
      </c>
      <c r="C1133">
        <f>_xlfn.XLOOKUP(A1133,'[1]Global_Spot Prices'!$B:$B,'[1]Global_Spot Prices'!$E:$E)</f>
        <v>69.959999999999994</v>
      </c>
      <c r="D1133">
        <f>_xlfn.XLOOKUP(A1133,'[1]Global_Spot Prices'!$B:$B,'[1]Global_Spot Prices'!$D:$D)</f>
        <v>71.984999999999999</v>
      </c>
      <c r="E1133">
        <f>_xlfn.XLOOKUP(A1133,'[1]Global_Spot Prices'!$B:$B,'[1]Global_Spot Prices'!$H:$H)</f>
        <v>61.06</v>
      </c>
      <c r="F1133">
        <f>_xlfn.XLOOKUP(A1133,'[1]Global_Spot Prices'!$B:$B,'[1]Global_Spot Prices'!$I:$I)</f>
        <v>77.150000000000006</v>
      </c>
      <c r="G1133" cm="1">
        <f t="array" ref="G1133">_xlfn.XLOOKUP(TEXT(A1133, "mmm-yy"), TEXT([2]RUNS!$B$5:$B$208, "mmm-yy"), [2]RUNS!$D$5:$D$208, "Not Found")</f>
        <v>29089.152750805766</v>
      </c>
      <c r="H1133" cm="1">
        <f t="array" ref="H1133">SUMPRODUCT(
    --(TEXT('[3]Global Weekly Stock (EWSuez'!$B$4:$B$2000,"mmm-yy")=TEXT(A1133,"mmm-yy")),
    '[3]Global Weekly Stock (EWSuez'!$E$4:$E$2000)
/
SUMPRODUCT(
    --(TEXT('[3]Global Weekly Stock (EWSuez'!$B$4:$B$2000,"mmm-yy")=TEXT(A1133,"mmm-yy"))
)</f>
        <v>11545.2</v>
      </c>
      <c r="I1133">
        <f>_xlfn.XLOOKUP(A1133,[1]ForwardDeriv!$D:$D,[1]ForwardDeriv!$AJ:$AJ)</f>
        <v>0.84000000000000341</v>
      </c>
      <c r="J1133" cm="1">
        <f t="array" ref="J1133">_xlfn.XLOOKUP(TEXT(A1133, "mmm-yy"), TEXT([2]GASOLINE!$B$5:$B$208, "mmm-yy"), [2]GASOLINE!$IR$5:$IR$208, "Not Found")</f>
        <v>-134.74715685924824</v>
      </c>
      <c r="K1133" cm="1">
        <f t="array" ref="K1133">_xlfn.XLOOKUP(TEXT(A1133, "mmm-yy"), TEXT([2]GASOLINE!$B$5:$B$208, "mmm-yy"), [2]GASOLINE!$IK$5:$IK$208, "Not Found")</f>
        <v>170.66256619124229</v>
      </c>
      <c r="L1133">
        <f t="shared" si="17"/>
        <v>0</v>
      </c>
      <c r="M1133" cm="1">
        <f t="array" ref="M1133">_xlfn.XLOOKUP(TEXT(A1133, "mmm-yy"), TEXT([2]GASOLINE!$B$5:$B$208, "mmm-yy"), [2]GASOLINE!$C$5:$C$208, "Not Found")</f>
        <v>7266.3354288643923</v>
      </c>
      <c r="N1133" cm="1">
        <f t="array" ref="N1133">_xlfn.XLOOKUP(TEXT(A1133, "mmm-yy"), TEXT([2]RUNS!$B$5:$B$208, "mmm-yy"), [2]RUNS!$BM$5:$BM$208, "Not Found")</f>
        <v>0.8192327531079302</v>
      </c>
    </row>
    <row r="1134" spans="1:14" x14ac:dyDescent="0.25">
      <c r="A1134" s="1">
        <f>'[1]Global_Spot Prices'!$B2443</f>
        <v>43591</v>
      </c>
      <c r="B1134">
        <f>_xlfn.XLOOKUP(A1134,'[1]Global_Spot Prices'!$B:$B,'[1]Global_Spot Prices'!$BS:$BS)</f>
        <v>6.5400000000000063</v>
      </c>
      <c r="C1134">
        <f>_xlfn.XLOOKUP(A1134,'[1]Global_Spot Prices'!$B:$B,'[1]Global_Spot Prices'!$E:$E)</f>
        <v>69.239999999999995</v>
      </c>
      <c r="D1134" t="str">
        <f>_xlfn.XLOOKUP(A1134,'[1]Global_Spot Prices'!$B:$B,'[1]Global_Spot Prices'!$D:$D)</f>
        <v/>
      </c>
      <c r="E1134">
        <f>_xlfn.XLOOKUP(A1134,'[1]Global_Spot Prices'!$B:$B,'[1]Global_Spot Prices'!$H:$H)</f>
        <v>61.28</v>
      </c>
      <c r="F1134">
        <f>_xlfn.XLOOKUP(A1134,'[1]Global_Spot Prices'!$B:$B,'[1]Global_Spot Prices'!$I:$I)</f>
        <v>75.78</v>
      </c>
      <c r="G1134" cm="1">
        <f t="array" ref="G1134">_xlfn.XLOOKUP(TEXT(A1134, "mmm-yy"), TEXT([2]RUNS!$B$5:$B$208, "mmm-yy"), [2]RUNS!$D$5:$D$208, "Not Found")</f>
        <v>29089.152750805766</v>
      </c>
      <c r="H1134" cm="1">
        <f t="array" ref="H1134">SUMPRODUCT(
    --(TEXT('[3]Global Weekly Stock (EWSuez'!$B$4:$B$2000,"mmm-yy")=TEXT(A1134,"mmm-yy")),
    '[3]Global Weekly Stock (EWSuez'!$E$4:$E$2000)
/
SUMPRODUCT(
    --(TEXT('[3]Global Weekly Stock (EWSuez'!$B$4:$B$2000,"mmm-yy")=TEXT(A1134,"mmm-yy"))
)</f>
        <v>11545.2</v>
      </c>
      <c r="I1134">
        <f>_xlfn.XLOOKUP(A1134,[1]ForwardDeriv!$D:$D,[1]ForwardDeriv!$AJ:$AJ)</f>
        <v>0.73000000000000398</v>
      </c>
      <c r="J1134" cm="1">
        <f t="array" ref="J1134">_xlfn.XLOOKUP(TEXT(A1134, "mmm-yy"), TEXT([2]GASOLINE!$B$5:$B$208, "mmm-yy"), [2]GASOLINE!$IR$5:$IR$208, "Not Found")</f>
        <v>-134.74715685924824</v>
      </c>
      <c r="K1134" cm="1">
        <f t="array" ref="K1134">_xlfn.XLOOKUP(TEXT(A1134, "mmm-yy"), TEXT([2]GASOLINE!$B$5:$B$208, "mmm-yy"), [2]GASOLINE!$IK$5:$IK$208, "Not Found")</f>
        <v>170.66256619124229</v>
      </c>
      <c r="L1134">
        <f t="shared" si="17"/>
        <v>0</v>
      </c>
      <c r="M1134" cm="1">
        <f t="array" ref="M1134">_xlfn.XLOOKUP(TEXT(A1134, "mmm-yy"), TEXT([2]GASOLINE!$B$5:$B$208, "mmm-yy"), [2]GASOLINE!$C$5:$C$208, "Not Found")</f>
        <v>7266.3354288643923</v>
      </c>
      <c r="N1134" cm="1">
        <f t="array" ref="N1134">_xlfn.XLOOKUP(TEXT(A1134, "mmm-yy"), TEXT([2]RUNS!$B$5:$B$208, "mmm-yy"), [2]RUNS!$BM$5:$BM$208, "Not Found")</f>
        <v>0.8192327531079302</v>
      </c>
    </row>
    <row r="1135" spans="1:14" x14ac:dyDescent="0.25">
      <c r="A1135" s="1">
        <f>'[1]Global_Spot Prices'!$B2444</f>
        <v>43592</v>
      </c>
      <c r="B1135">
        <f>_xlfn.XLOOKUP(A1135,'[1]Global_Spot Prices'!$B:$B,'[1]Global_Spot Prices'!$BS:$BS)</f>
        <v>5.25</v>
      </c>
      <c r="C1135">
        <f>_xlfn.XLOOKUP(A1135,'[1]Global_Spot Prices'!$B:$B,'[1]Global_Spot Prices'!$E:$E)</f>
        <v>70.25</v>
      </c>
      <c r="D1135">
        <f>_xlfn.XLOOKUP(A1135,'[1]Global_Spot Prices'!$B:$B,'[1]Global_Spot Prices'!$D:$D)</f>
        <v>70.819999999999993</v>
      </c>
      <c r="E1135">
        <f>_xlfn.XLOOKUP(A1135,'[1]Global_Spot Prices'!$B:$B,'[1]Global_Spot Prices'!$H:$H)</f>
        <v>62.31</v>
      </c>
      <c r="F1135">
        <f>_xlfn.XLOOKUP(A1135,'[1]Global_Spot Prices'!$B:$B,'[1]Global_Spot Prices'!$I:$I)</f>
        <v>75.5</v>
      </c>
      <c r="G1135" cm="1">
        <f t="array" ref="G1135">_xlfn.XLOOKUP(TEXT(A1135, "mmm-yy"), TEXT([2]RUNS!$B$5:$B$208, "mmm-yy"), [2]RUNS!$D$5:$D$208, "Not Found")</f>
        <v>29089.152750805766</v>
      </c>
      <c r="H1135" cm="1">
        <f t="array" ref="H1135">SUMPRODUCT(
    --(TEXT('[3]Global Weekly Stock (EWSuez'!$B$4:$B$2000,"mmm-yy")=TEXT(A1135,"mmm-yy")),
    '[3]Global Weekly Stock (EWSuez'!$E$4:$E$2000)
/
SUMPRODUCT(
    --(TEXT('[3]Global Weekly Stock (EWSuez'!$B$4:$B$2000,"mmm-yy")=TEXT(A1135,"mmm-yy"))
)</f>
        <v>11545.2</v>
      </c>
      <c r="I1135">
        <f>_xlfn.XLOOKUP(A1135,[1]ForwardDeriv!$D:$D,[1]ForwardDeriv!$AJ:$AJ)</f>
        <v>0.57000000000000739</v>
      </c>
      <c r="J1135" cm="1">
        <f t="array" ref="J1135">_xlfn.XLOOKUP(TEXT(A1135, "mmm-yy"), TEXT([2]GASOLINE!$B$5:$B$208, "mmm-yy"), [2]GASOLINE!$IR$5:$IR$208, "Not Found")</f>
        <v>-134.74715685924824</v>
      </c>
      <c r="K1135" cm="1">
        <f t="array" ref="K1135">_xlfn.XLOOKUP(TEXT(A1135, "mmm-yy"), TEXT([2]GASOLINE!$B$5:$B$208, "mmm-yy"), [2]GASOLINE!$IK$5:$IK$208, "Not Found")</f>
        <v>170.66256619124229</v>
      </c>
      <c r="L1135">
        <f t="shared" si="17"/>
        <v>0</v>
      </c>
      <c r="M1135" cm="1">
        <f t="array" ref="M1135">_xlfn.XLOOKUP(TEXT(A1135, "mmm-yy"), TEXT([2]GASOLINE!$B$5:$B$208, "mmm-yy"), [2]GASOLINE!$C$5:$C$208, "Not Found")</f>
        <v>7266.3354288643923</v>
      </c>
      <c r="N1135" cm="1">
        <f t="array" ref="N1135">_xlfn.XLOOKUP(TEXT(A1135, "mmm-yy"), TEXT([2]RUNS!$B$5:$B$208, "mmm-yy"), [2]RUNS!$BM$5:$BM$208, "Not Found")</f>
        <v>0.8192327531079302</v>
      </c>
    </row>
    <row r="1136" spans="1:14" x14ac:dyDescent="0.25">
      <c r="A1136" s="1">
        <f>'[1]Global_Spot Prices'!$B2445</f>
        <v>43593</v>
      </c>
      <c r="B1136">
        <f>_xlfn.XLOOKUP(A1136,'[1]Global_Spot Prices'!$B:$B,'[1]Global_Spot Prices'!$BS:$BS)</f>
        <v>3.3900000000000006</v>
      </c>
      <c r="C1136">
        <f>_xlfn.XLOOKUP(A1136,'[1]Global_Spot Prices'!$B:$B,'[1]Global_Spot Prices'!$E:$E)</f>
        <v>69.25</v>
      </c>
      <c r="D1136">
        <f>_xlfn.XLOOKUP(A1136,'[1]Global_Spot Prices'!$B:$B,'[1]Global_Spot Prices'!$D:$D)</f>
        <v>71.075000000000003</v>
      </c>
      <c r="E1136">
        <f>_xlfn.XLOOKUP(A1136,'[1]Global_Spot Prices'!$B:$B,'[1]Global_Spot Prices'!$H:$H)</f>
        <v>60.6</v>
      </c>
      <c r="F1136">
        <f>_xlfn.XLOOKUP(A1136,'[1]Global_Spot Prices'!$B:$B,'[1]Global_Spot Prices'!$I:$I)</f>
        <v>72.64</v>
      </c>
      <c r="G1136" cm="1">
        <f t="array" ref="G1136">_xlfn.XLOOKUP(TEXT(A1136, "mmm-yy"), TEXT([2]RUNS!$B$5:$B$208, "mmm-yy"), [2]RUNS!$D$5:$D$208, "Not Found")</f>
        <v>29089.152750805766</v>
      </c>
      <c r="H1136" cm="1">
        <f t="array" ref="H1136">SUMPRODUCT(
    --(TEXT('[3]Global Weekly Stock (EWSuez'!$B$4:$B$2000,"mmm-yy")=TEXT(A1136,"mmm-yy")),
    '[3]Global Weekly Stock (EWSuez'!$E$4:$E$2000)
/
SUMPRODUCT(
    --(TEXT('[3]Global Weekly Stock (EWSuez'!$B$4:$B$2000,"mmm-yy")=TEXT(A1136,"mmm-yy"))
)</f>
        <v>11545.2</v>
      </c>
      <c r="I1136">
        <f>_xlfn.XLOOKUP(A1136,[1]ForwardDeriv!$D:$D,[1]ForwardDeriv!$AJ:$AJ)</f>
        <v>0.34999999999999432</v>
      </c>
      <c r="J1136" cm="1">
        <f t="array" ref="J1136">_xlfn.XLOOKUP(TEXT(A1136, "mmm-yy"), TEXT([2]GASOLINE!$B$5:$B$208, "mmm-yy"), [2]GASOLINE!$IR$5:$IR$208, "Not Found")</f>
        <v>-134.74715685924824</v>
      </c>
      <c r="K1136" cm="1">
        <f t="array" ref="K1136">_xlfn.XLOOKUP(TEXT(A1136, "mmm-yy"), TEXT([2]GASOLINE!$B$5:$B$208, "mmm-yy"), [2]GASOLINE!$IK$5:$IK$208, "Not Found")</f>
        <v>170.66256619124229</v>
      </c>
      <c r="L1136">
        <f t="shared" si="17"/>
        <v>0</v>
      </c>
      <c r="M1136" cm="1">
        <f t="array" ref="M1136">_xlfn.XLOOKUP(TEXT(A1136, "mmm-yy"), TEXT([2]GASOLINE!$B$5:$B$208, "mmm-yy"), [2]GASOLINE!$C$5:$C$208, "Not Found")</f>
        <v>7266.3354288643923</v>
      </c>
      <c r="N1136" cm="1">
        <f t="array" ref="N1136">_xlfn.XLOOKUP(TEXT(A1136, "mmm-yy"), TEXT([2]RUNS!$B$5:$B$208, "mmm-yy"), [2]RUNS!$BM$5:$BM$208, "Not Found")</f>
        <v>0.8192327531079302</v>
      </c>
    </row>
    <row r="1137" spans="1:14" x14ac:dyDescent="0.25">
      <c r="A1137" s="1">
        <f>'[1]Global_Spot Prices'!$B2446</f>
        <v>43594</v>
      </c>
      <c r="B1137">
        <f>_xlfn.XLOOKUP(A1137,'[1]Global_Spot Prices'!$B:$B,'[1]Global_Spot Prices'!$BS:$BS)</f>
        <v>3.5200000000000102</v>
      </c>
      <c r="C1137">
        <f>_xlfn.XLOOKUP(A1137,'[1]Global_Spot Prices'!$B:$B,'[1]Global_Spot Prices'!$E:$E)</f>
        <v>69.099999999999994</v>
      </c>
      <c r="D1137">
        <f>_xlfn.XLOOKUP(A1137,'[1]Global_Spot Prices'!$B:$B,'[1]Global_Spot Prices'!$D:$D)</f>
        <v>70.349999999999994</v>
      </c>
      <c r="E1137">
        <f>_xlfn.XLOOKUP(A1137,'[1]Global_Spot Prices'!$B:$B,'[1]Global_Spot Prices'!$H:$H)</f>
        <v>60.74</v>
      </c>
      <c r="F1137">
        <f>_xlfn.XLOOKUP(A1137,'[1]Global_Spot Prices'!$B:$B,'[1]Global_Spot Prices'!$I:$I)</f>
        <v>72.62</v>
      </c>
      <c r="G1137" cm="1">
        <f t="array" ref="G1137">_xlfn.XLOOKUP(TEXT(A1137, "mmm-yy"), TEXT([2]RUNS!$B$5:$B$208, "mmm-yy"), [2]RUNS!$D$5:$D$208, "Not Found")</f>
        <v>29089.152750805766</v>
      </c>
      <c r="H1137" cm="1">
        <f t="array" ref="H1137">SUMPRODUCT(
    --(TEXT('[3]Global Weekly Stock (EWSuez'!$B$4:$B$2000,"mmm-yy")=TEXT(A1137,"mmm-yy")),
    '[3]Global Weekly Stock (EWSuez'!$E$4:$E$2000)
/
SUMPRODUCT(
    --(TEXT('[3]Global Weekly Stock (EWSuez'!$B$4:$B$2000,"mmm-yy")=TEXT(A1137,"mmm-yy"))
)</f>
        <v>11545.2</v>
      </c>
      <c r="I1137">
        <f>_xlfn.XLOOKUP(A1137,[1]ForwardDeriv!$D:$D,[1]ForwardDeriv!$AJ:$AJ)</f>
        <v>0.29999999999999716</v>
      </c>
      <c r="J1137" cm="1">
        <f t="array" ref="J1137">_xlfn.XLOOKUP(TEXT(A1137, "mmm-yy"), TEXT([2]GASOLINE!$B$5:$B$208, "mmm-yy"), [2]GASOLINE!$IR$5:$IR$208, "Not Found")</f>
        <v>-134.74715685924824</v>
      </c>
      <c r="K1137" cm="1">
        <f t="array" ref="K1137">_xlfn.XLOOKUP(TEXT(A1137, "mmm-yy"), TEXT([2]GASOLINE!$B$5:$B$208, "mmm-yy"), [2]GASOLINE!$IK$5:$IK$208, "Not Found")</f>
        <v>170.66256619124229</v>
      </c>
      <c r="L1137">
        <f t="shared" si="17"/>
        <v>0</v>
      </c>
      <c r="M1137" cm="1">
        <f t="array" ref="M1137">_xlfn.XLOOKUP(TEXT(A1137, "mmm-yy"), TEXT([2]GASOLINE!$B$5:$B$208, "mmm-yy"), [2]GASOLINE!$C$5:$C$208, "Not Found")</f>
        <v>7266.3354288643923</v>
      </c>
      <c r="N1137" cm="1">
        <f t="array" ref="N1137">_xlfn.XLOOKUP(TEXT(A1137, "mmm-yy"), TEXT([2]RUNS!$B$5:$B$208, "mmm-yy"), [2]RUNS!$BM$5:$BM$208, "Not Found")</f>
        <v>0.8192327531079302</v>
      </c>
    </row>
    <row r="1138" spans="1:14" x14ac:dyDescent="0.25">
      <c r="A1138" s="1">
        <f>'[1]Global_Spot Prices'!$B2447</f>
        <v>43595</v>
      </c>
      <c r="B1138">
        <f>_xlfn.XLOOKUP(A1138,'[1]Global_Spot Prices'!$B:$B,'[1]Global_Spot Prices'!$BS:$BS)</f>
        <v>5.3199999999999932</v>
      </c>
      <c r="C1138">
        <f>_xlfn.XLOOKUP(A1138,'[1]Global_Spot Prices'!$B:$B,'[1]Global_Spot Prices'!$E:$E)</f>
        <v>70.09</v>
      </c>
      <c r="D1138">
        <f>_xlfn.XLOOKUP(A1138,'[1]Global_Spot Prices'!$B:$B,'[1]Global_Spot Prices'!$D:$D)</f>
        <v>71.86</v>
      </c>
      <c r="E1138">
        <f>_xlfn.XLOOKUP(A1138,'[1]Global_Spot Prices'!$B:$B,'[1]Global_Spot Prices'!$H:$H)</f>
        <v>61.15</v>
      </c>
      <c r="F1138">
        <f>_xlfn.XLOOKUP(A1138,'[1]Global_Spot Prices'!$B:$B,'[1]Global_Spot Prices'!$I:$I)</f>
        <v>75.41</v>
      </c>
      <c r="G1138" cm="1">
        <f t="array" ref="G1138">_xlfn.XLOOKUP(TEXT(A1138, "mmm-yy"), TEXT([2]RUNS!$B$5:$B$208, "mmm-yy"), [2]RUNS!$D$5:$D$208, "Not Found")</f>
        <v>29089.152750805766</v>
      </c>
      <c r="H1138" cm="1">
        <f t="array" ref="H1138">SUMPRODUCT(
    --(TEXT('[3]Global Weekly Stock (EWSuez'!$B$4:$B$2000,"mmm-yy")=TEXT(A1138,"mmm-yy")),
    '[3]Global Weekly Stock (EWSuez'!$E$4:$E$2000)
/
SUMPRODUCT(
    --(TEXT('[3]Global Weekly Stock (EWSuez'!$B$4:$B$2000,"mmm-yy")=TEXT(A1138,"mmm-yy"))
)</f>
        <v>11545.2</v>
      </c>
      <c r="I1138">
        <f>_xlfn.XLOOKUP(A1138,[1]ForwardDeriv!$D:$D,[1]ForwardDeriv!$AJ:$AJ)</f>
        <v>0.61999999999999034</v>
      </c>
      <c r="J1138" cm="1">
        <f t="array" ref="J1138">_xlfn.XLOOKUP(TEXT(A1138, "mmm-yy"), TEXT([2]GASOLINE!$B$5:$B$208, "mmm-yy"), [2]GASOLINE!$IR$5:$IR$208, "Not Found")</f>
        <v>-134.74715685924824</v>
      </c>
      <c r="K1138" cm="1">
        <f t="array" ref="K1138">_xlfn.XLOOKUP(TEXT(A1138, "mmm-yy"), TEXT([2]GASOLINE!$B$5:$B$208, "mmm-yy"), [2]GASOLINE!$IK$5:$IK$208, "Not Found")</f>
        <v>170.66256619124229</v>
      </c>
      <c r="L1138">
        <f t="shared" si="17"/>
        <v>0</v>
      </c>
      <c r="M1138" cm="1">
        <f t="array" ref="M1138">_xlfn.XLOOKUP(TEXT(A1138, "mmm-yy"), TEXT([2]GASOLINE!$B$5:$B$208, "mmm-yy"), [2]GASOLINE!$C$5:$C$208, "Not Found")</f>
        <v>7266.3354288643923</v>
      </c>
      <c r="N1138" cm="1">
        <f t="array" ref="N1138">_xlfn.XLOOKUP(TEXT(A1138, "mmm-yy"), TEXT([2]RUNS!$B$5:$B$208, "mmm-yy"), [2]RUNS!$BM$5:$BM$208, "Not Found")</f>
        <v>0.8192327531079302</v>
      </c>
    </row>
    <row r="1139" spans="1:14" x14ac:dyDescent="0.25">
      <c r="A1139" s="1">
        <f>'[1]Global_Spot Prices'!$B2448</f>
        <v>43598</v>
      </c>
      <c r="B1139">
        <f>_xlfn.XLOOKUP(A1139,'[1]Global_Spot Prices'!$B:$B,'[1]Global_Spot Prices'!$BS:$BS)</f>
        <v>5.5799999999999983</v>
      </c>
      <c r="C1139">
        <f>_xlfn.XLOOKUP(A1139,'[1]Global_Spot Prices'!$B:$B,'[1]Global_Spot Prices'!$E:$E)</f>
        <v>70.94</v>
      </c>
      <c r="D1139">
        <f>_xlfn.XLOOKUP(A1139,'[1]Global_Spot Prices'!$B:$B,'[1]Global_Spot Prices'!$D:$D)</f>
        <v>72.33</v>
      </c>
      <c r="E1139">
        <f>_xlfn.XLOOKUP(A1139,'[1]Global_Spot Prices'!$B:$B,'[1]Global_Spot Prices'!$H:$H)</f>
        <v>61.99</v>
      </c>
      <c r="F1139">
        <f>_xlfn.XLOOKUP(A1139,'[1]Global_Spot Prices'!$B:$B,'[1]Global_Spot Prices'!$I:$I)</f>
        <v>76.52</v>
      </c>
      <c r="G1139" cm="1">
        <f t="array" ref="G1139">_xlfn.XLOOKUP(TEXT(A1139, "mmm-yy"), TEXT([2]RUNS!$B$5:$B$208, "mmm-yy"), [2]RUNS!$D$5:$D$208, "Not Found")</f>
        <v>29089.152750805766</v>
      </c>
      <c r="H1139" cm="1">
        <f t="array" ref="H1139">SUMPRODUCT(
    --(TEXT('[3]Global Weekly Stock (EWSuez'!$B$4:$B$2000,"mmm-yy")=TEXT(A1139,"mmm-yy")),
    '[3]Global Weekly Stock (EWSuez'!$E$4:$E$2000)
/
SUMPRODUCT(
    --(TEXT('[3]Global Weekly Stock (EWSuez'!$B$4:$B$2000,"mmm-yy")=TEXT(A1139,"mmm-yy"))
)</f>
        <v>11545.2</v>
      </c>
      <c r="I1139">
        <f>_xlfn.XLOOKUP(A1139,[1]ForwardDeriv!$D:$D,[1]ForwardDeriv!$AJ:$AJ)</f>
        <v>0.70000000000000284</v>
      </c>
      <c r="J1139" cm="1">
        <f t="array" ref="J1139">_xlfn.XLOOKUP(TEXT(A1139, "mmm-yy"), TEXT([2]GASOLINE!$B$5:$B$208, "mmm-yy"), [2]GASOLINE!$IR$5:$IR$208, "Not Found")</f>
        <v>-134.74715685924824</v>
      </c>
      <c r="K1139" cm="1">
        <f t="array" ref="K1139">_xlfn.XLOOKUP(TEXT(A1139, "mmm-yy"), TEXT([2]GASOLINE!$B$5:$B$208, "mmm-yy"), [2]GASOLINE!$IK$5:$IK$208, "Not Found")</f>
        <v>170.66256619124229</v>
      </c>
      <c r="L1139">
        <f t="shared" si="17"/>
        <v>0</v>
      </c>
      <c r="M1139" cm="1">
        <f t="array" ref="M1139">_xlfn.XLOOKUP(TEXT(A1139, "mmm-yy"), TEXT([2]GASOLINE!$B$5:$B$208, "mmm-yy"), [2]GASOLINE!$C$5:$C$208, "Not Found")</f>
        <v>7266.3354288643923</v>
      </c>
      <c r="N1139" cm="1">
        <f t="array" ref="N1139">_xlfn.XLOOKUP(TEXT(A1139, "mmm-yy"), TEXT([2]RUNS!$B$5:$B$208, "mmm-yy"), [2]RUNS!$BM$5:$BM$208, "Not Found")</f>
        <v>0.8192327531079302</v>
      </c>
    </row>
    <row r="1140" spans="1:14" x14ac:dyDescent="0.25">
      <c r="A1140" s="1">
        <f>'[1]Global_Spot Prices'!$B2449</f>
        <v>43599</v>
      </c>
      <c r="B1140">
        <f>_xlfn.XLOOKUP(A1140,'[1]Global_Spot Prices'!$B:$B,'[1]Global_Spot Prices'!$BS:$BS)</f>
        <v>5.0300000000000011</v>
      </c>
      <c r="C1140">
        <f>_xlfn.XLOOKUP(A1140,'[1]Global_Spot Prices'!$B:$B,'[1]Global_Spot Prices'!$E:$E)</f>
        <v>69.67</v>
      </c>
      <c r="D1140">
        <f>_xlfn.XLOOKUP(A1140,'[1]Global_Spot Prices'!$B:$B,'[1]Global_Spot Prices'!$D:$D)</f>
        <v>72.650000000000006</v>
      </c>
      <c r="E1140">
        <f>_xlfn.XLOOKUP(A1140,'[1]Global_Spot Prices'!$B:$B,'[1]Global_Spot Prices'!$H:$H)</f>
        <v>60.46</v>
      </c>
      <c r="F1140">
        <f>_xlfn.XLOOKUP(A1140,'[1]Global_Spot Prices'!$B:$B,'[1]Global_Spot Prices'!$I:$I)</f>
        <v>74.7</v>
      </c>
      <c r="G1140" cm="1">
        <f t="array" ref="G1140">_xlfn.XLOOKUP(TEXT(A1140, "mmm-yy"), TEXT([2]RUNS!$B$5:$B$208, "mmm-yy"), [2]RUNS!$D$5:$D$208, "Not Found")</f>
        <v>29089.152750805766</v>
      </c>
      <c r="H1140" cm="1">
        <f t="array" ref="H1140">SUMPRODUCT(
    --(TEXT('[3]Global Weekly Stock (EWSuez'!$B$4:$B$2000,"mmm-yy")=TEXT(A1140,"mmm-yy")),
    '[3]Global Weekly Stock (EWSuez'!$E$4:$E$2000)
/
SUMPRODUCT(
    --(TEXT('[3]Global Weekly Stock (EWSuez'!$B$4:$B$2000,"mmm-yy")=TEXT(A1140,"mmm-yy"))
)</f>
        <v>11545.2</v>
      </c>
      <c r="I1140">
        <f>_xlfn.XLOOKUP(A1140,[1]ForwardDeriv!$D:$D,[1]ForwardDeriv!$AJ:$AJ)</f>
        <v>0.70000000000000284</v>
      </c>
      <c r="J1140" cm="1">
        <f t="array" ref="J1140">_xlfn.XLOOKUP(TEXT(A1140, "mmm-yy"), TEXT([2]GASOLINE!$B$5:$B$208, "mmm-yy"), [2]GASOLINE!$IR$5:$IR$208, "Not Found")</f>
        <v>-134.74715685924824</v>
      </c>
      <c r="K1140" cm="1">
        <f t="array" ref="K1140">_xlfn.XLOOKUP(TEXT(A1140, "mmm-yy"), TEXT([2]GASOLINE!$B$5:$B$208, "mmm-yy"), [2]GASOLINE!$IK$5:$IK$208, "Not Found")</f>
        <v>170.66256619124229</v>
      </c>
      <c r="L1140">
        <f t="shared" si="17"/>
        <v>0</v>
      </c>
      <c r="M1140" cm="1">
        <f t="array" ref="M1140">_xlfn.XLOOKUP(TEXT(A1140, "mmm-yy"), TEXT([2]GASOLINE!$B$5:$B$208, "mmm-yy"), [2]GASOLINE!$C$5:$C$208, "Not Found")</f>
        <v>7266.3354288643923</v>
      </c>
      <c r="N1140" cm="1">
        <f t="array" ref="N1140">_xlfn.XLOOKUP(TEXT(A1140, "mmm-yy"), TEXT([2]RUNS!$B$5:$B$208, "mmm-yy"), [2]RUNS!$BM$5:$BM$208, "Not Found")</f>
        <v>0.8192327531079302</v>
      </c>
    </row>
    <row r="1141" spans="1:14" x14ac:dyDescent="0.25">
      <c r="A1141" s="1">
        <f>'[1]Global_Spot Prices'!$B2450</f>
        <v>43600</v>
      </c>
      <c r="B1141">
        <f>_xlfn.XLOOKUP(A1141,'[1]Global_Spot Prices'!$B:$B,'[1]Global_Spot Prices'!$BS:$BS)</f>
        <v>4.8100000000000023</v>
      </c>
      <c r="C1141">
        <f>_xlfn.XLOOKUP(A1141,'[1]Global_Spot Prices'!$B:$B,'[1]Global_Spot Prices'!$E:$E)</f>
        <v>70.44</v>
      </c>
      <c r="D1141">
        <f>_xlfn.XLOOKUP(A1141,'[1]Global_Spot Prices'!$B:$B,'[1]Global_Spot Prices'!$D:$D)</f>
        <v>73.489999999999995</v>
      </c>
      <c r="E1141">
        <f>_xlfn.XLOOKUP(A1141,'[1]Global_Spot Prices'!$B:$B,'[1]Global_Spot Prices'!$H:$H)</f>
        <v>61.02</v>
      </c>
      <c r="F1141">
        <f>_xlfn.XLOOKUP(A1141,'[1]Global_Spot Prices'!$B:$B,'[1]Global_Spot Prices'!$I:$I)</f>
        <v>75.25</v>
      </c>
      <c r="G1141" cm="1">
        <f t="array" ref="G1141">_xlfn.XLOOKUP(TEXT(A1141, "mmm-yy"), TEXT([2]RUNS!$B$5:$B$208, "mmm-yy"), [2]RUNS!$D$5:$D$208, "Not Found")</f>
        <v>29089.152750805766</v>
      </c>
      <c r="H1141" cm="1">
        <f t="array" ref="H1141">SUMPRODUCT(
    --(TEXT('[3]Global Weekly Stock (EWSuez'!$B$4:$B$2000,"mmm-yy")=TEXT(A1141,"mmm-yy")),
    '[3]Global Weekly Stock (EWSuez'!$E$4:$E$2000)
/
SUMPRODUCT(
    --(TEXT('[3]Global Weekly Stock (EWSuez'!$B$4:$B$2000,"mmm-yy")=TEXT(A1141,"mmm-yy"))
)</f>
        <v>11545.2</v>
      </c>
      <c r="I1141">
        <f>_xlfn.XLOOKUP(A1141,[1]ForwardDeriv!$D:$D,[1]ForwardDeriv!$AJ:$AJ)</f>
        <v>0.67000000000000171</v>
      </c>
      <c r="J1141" cm="1">
        <f t="array" ref="J1141">_xlfn.XLOOKUP(TEXT(A1141, "mmm-yy"), TEXT([2]GASOLINE!$B$5:$B$208, "mmm-yy"), [2]GASOLINE!$IR$5:$IR$208, "Not Found")</f>
        <v>-134.74715685924824</v>
      </c>
      <c r="K1141" cm="1">
        <f t="array" ref="K1141">_xlfn.XLOOKUP(TEXT(A1141, "mmm-yy"), TEXT([2]GASOLINE!$B$5:$B$208, "mmm-yy"), [2]GASOLINE!$IK$5:$IK$208, "Not Found")</f>
        <v>170.66256619124229</v>
      </c>
      <c r="L1141">
        <f t="shared" si="17"/>
        <v>0</v>
      </c>
      <c r="M1141" cm="1">
        <f t="array" ref="M1141">_xlfn.XLOOKUP(TEXT(A1141, "mmm-yy"), TEXT([2]GASOLINE!$B$5:$B$208, "mmm-yy"), [2]GASOLINE!$C$5:$C$208, "Not Found")</f>
        <v>7266.3354288643923</v>
      </c>
      <c r="N1141" cm="1">
        <f t="array" ref="N1141">_xlfn.XLOOKUP(TEXT(A1141, "mmm-yy"), TEXT([2]RUNS!$B$5:$B$208, "mmm-yy"), [2]RUNS!$BM$5:$BM$208, "Not Found")</f>
        <v>0.8192327531079302</v>
      </c>
    </row>
    <row r="1142" spans="1:14" x14ac:dyDescent="0.25">
      <c r="A1142" s="1">
        <f>'[1]Global_Spot Prices'!$B2451</f>
        <v>43601</v>
      </c>
      <c r="B1142">
        <f>_xlfn.XLOOKUP(A1142,'[1]Global_Spot Prices'!$B:$B,'[1]Global_Spot Prices'!$BS:$BS)</f>
        <v>5.230000000000004</v>
      </c>
      <c r="C1142">
        <f>_xlfn.XLOOKUP(A1142,'[1]Global_Spot Prices'!$B:$B,'[1]Global_Spot Prices'!$E:$E)</f>
        <v>72</v>
      </c>
      <c r="D1142">
        <f>_xlfn.XLOOKUP(A1142,'[1]Global_Spot Prices'!$B:$B,'[1]Global_Spot Prices'!$D:$D)</f>
        <v>74.69</v>
      </c>
      <c r="E1142">
        <f>_xlfn.XLOOKUP(A1142,'[1]Global_Spot Prices'!$B:$B,'[1]Global_Spot Prices'!$H:$H)</f>
        <v>62.54</v>
      </c>
      <c r="F1142">
        <f>_xlfn.XLOOKUP(A1142,'[1]Global_Spot Prices'!$B:$B,'[1]Global_Spot Prices'!$I:$I)</f>
        <v>77.23</v>
      </c>
      <c r="G1142" cm="1">
        <f t="array" ref="G1142">_xlfn.XLOOKUP(TEXT(A1142, "mmm-yy"), TEXT([2]RUNS!$B$5:$B$208, "mmm-yy"), [2]RUNS!$D$5:$D$208, "Not Found")</f>
        <v>29089.152750805766</v>
      </c>
      <c r="H1142" cm="1">
        <f t="array" ref="H1142">SUMPRODUCT(
    --(TEXT('[3]Global Weekly Stock (EWSuez'!$B$4:$B$2000,"mmm-yy")=TEXT(A1142,"mmm-yy")),
    '[3]Global Weekly Stock (EWSuez'!$E$4:$E$2000)
/
SUMPRODUCT(
    --(TEXT('[3]Global Weekly Stock (EWSuez'!$B$4:$B$2000,"mmm-yy")=TEXT(A1142,"mmm-yy"))
)</f>
        <v>11545.2</v>
      </c>
      <c r="I1142">
        <f>_xlfn.XLOOKUP(A1142,[1]ForwardDeriv!$D:$D,[1]ForwardDeriv!$AJ:$AJ)</f>
        <v>0.73000000000000398</v>
      </c>
      <c r="J1142" cm="1">
        <f t="array" ref="J1142">_xlfn.XLOOKUP(TEXT(A1142, "mmm-yy"), TEXT([2]GASOLINE!$B$5:$B$208, "mmm-yy"), [2]GASOLINE!$IR$5:$IR$208, "Not Found")</f>
        <v>-134.74715685924824</v>
      </c>
      <c r="K1142" cm="1">
        <f t="array" ref="K1142">_xlfn.XLOOKUP(TEXT(A1142, "mmm-yy"), TEXT([2]GASOLINE!$B$5:$B$208, "mmm-yy"), [2]GASOLINE!$IK$5:$IK$208, "Not Found")</f>
        <v>170.66256619124229</v>
      </c>
      <c r="L1142">
        <f t="shared" si="17"/>
        <v>0</v>
      </c>
      <c r="M1142" cm="1">
        <f t="array" ref="M1142">_xlfn.XLOOKUP(TEXT(A1142, "mmm-yy"), TEXT([2]GASOLINE!$B$5:$B$208, "mmm-yy"), [2]GASOLINE!$C$5:$C$208, "Not Found")</f>
        <v>7266.3354288643923</v>
      </c>
      <c r="N1142" cm="1">
        <f t="array" ref="N1142">_xlfn.XLOOKUP(TEXT(A1142, "mmm-yy"), TEXT([2]RUNS!$B$5:$B$208, "mmm-yy"), [2]RUNS!$BM$5:$BM$208, "Not Found")</f>
        <v>0.8192327531079302</v>
      </c>
    </row>
    <row r="1143" spans="1:14" x14ac:dyDescent="0.25">
      <c r="A1143" s="1">
        <f>'[1]Global_Spot Prices'!$B2452</f>
        <v>43602</v>
      </c>
      <c r="B1143">
        <f>_xlfn.XLOOKUP(A1143,'[1]Global_Spot Prices'!$B:$B,'[1]Global_Spot Prices'!$BS:$BS)</f>
        <v>6.4899999999999949</v>
      </c>
      <c r="C1143">
        <f>_xlfn.XLOOKUP(A1143,'[1]Global_Spot Prices'!$B:$B,'[1]Global_Spot Prices'!$E:$E)</f>
        <v>72.45</v>
      </c>
      <c r="D1143">
        <f>_xlfn.XLOOKUP(A1143,'[1]Global_Spot Prices'!$B:$B,'[1]Global_Spot Prices'!$D:$D)</f>
        <v>73.819999999999993</v>
      </c>
      <c r="E1143">
        <f>_xlfn.XLOOKUP(A1143,'[1]Global_Spot Prices'!$B:$B,'[1]Global_Spot Prices'!$H:$H)</f>
        <v>62.58</v>
      </c>
      <c r="F1143">
        <f>_xlfn.XLOOKUP(A1143,'[1]Global_Spot Prices'!$B:$B,'[1]Global_Spot Prices'!$I:$I)</f>
        <v>78.94</v>
      </c>
      <c r="G1143" cm="1">
        <f t="array" ref="G1143">_xlfn.XLOOKUP(TEXT(A1143, "mmm-yy"), TEXT([2]RUNS!$B$5:$B$208, "mmm-yy"), [2]RUNS!$D$5:$D$208, "Not Found")</f>
        <v>29089.152750805766</v>
      </c>
      <c r="H1143" cm="1">
        <f t="array" ref="H1143">SUMPRODUCT(
    --(TEXT('[3]Global Weekly Stock (EWSuez'!$B$4:$B$2000,"mmm-yy")=TEXT(A1143,"mmm-yy")),
    '[3]Global Weekly Stock (EWSuez'!$E$4:$E$2000)
/
SUMPRODUCT(
    --(TEXT('[3]Global Weekly Stock (EWSuez'!$B$4:$B$2000,"mmm-yy")=TEXT(A1143,"mmm-yy"))
)</f>
        <v>11545.2</v>
      </c>
      <c r="I1143">
        <f>_xlfn.XLOOKUP(A1143,[1]ForwardDeriv!$D:$D,[1]ForwardDeriv!$AJ:$AJ)</f>
        <v>1</v>
      </c>
      <c r="J1143" cm="1">
        <f t="array" ref="J1143">_xlfn.XLOOKUP(TEXT(A1143, "mmm-yy"), TEXT([2]GASOLINE!$B$5:$B$208, "mmm-yy"), [2]GASOLINE!$IR$5:$IR$208, "Not Found")</f>
        <v>-134.74715685924824</v>
      </c>
      <c r="K1143" cm="1">
        <f t="array" ref="K1143">_xlfn.XLOOKUP(TEXT(A1143, "mmm-yy"), TEXT([2]GASOLINE!$B$5:$B$208, "mmm-yy"), [2]GASOLINE!$IK$5:$IK$208, "Not Found")</f>
        <v>170.66256619124229</v>
      </c>
      <c r="L1143">
        <f t="shared" si="17"/>
        <v>0</v>
      </c>
      <c r="M1143" cm="1">
        <f t="array" ref="M1143">_xlfn.XLOOKUP(TEXT(A1143, "mmm-yy"), TEXT([2]GASOLINE!$B$5:$B$208, "mmm-yy"), [2]GASOLINE!$C$5:$C$208, "Not Found")</f>
        <v>7266.3354288643923</v>
      </c>
      <c r="N1143" cm="1">
        <f t="array" ref="N1143">_xlfn.XLOOKUP(TEXT(A1143, "mmm-yy"), TEXT([2]RUNS!$B$5:$B$208, "mmm-yy"), [2]RUNS!$BM$5:$BM$208, "Not Found")</f>
        <v>0.8192327531079302</v>
      </c>
    </row>
    <row r="1144" spans="1:14" x14ac:dyDescent="0.25">
      <c r="A1144" s="1">
        <f>'[1]Global_Spot Prices'!$B2453</f>
        <v>43605</v>
      </c>
      <c r="B1144" t="e">
        <f>_xlfn.XLOOKUP(A1144,'[1]Global_Spot Prices'!$B:$B,'[1]Global_Spot Prices'!$BS:$BS)</f>
        <v>#N/A</v>
      </c>
      <c r="C1144" t="str">
        <f>_xlfn.XLOOKUP(A1144,'[1]Global_Spot Prices'!$B:$B,'[1]Global_Spot Prices'!$E:$E)</f>
        <v/>
      </c>
      <c r="D1144">
        <f>_xlfn.XLOOKUP(A1144,'[1]Global_Spot Prices'!$B:$B,'[1]Global_Spot Prices'!$D:$D)</f>
        <v>73.2</v>
      </c>
      <c r="E1144">
        <f>_xlfn.XLOOKUP(A1144,'[1]Global_Spot Prices'!$B:$B,'[1]Global_Spot Prices'!$H:$H)</f>
        <v>0</v>
      </c>
      <c r="F1144">
        <f>_xlfn.XLOOKUP(A1144,'[1]Global_Spot Prices'!$B:$B,'[1]Global_Spot Prices'!$I:$I)</f>
        <v>0</v>
      </c>
      <c r="G1144" cm="1">
        <f t="array" ref="G1144">_xlfn.XLOOKUP(TEXT(A1144, "mmm-yy"), TEXT([2]RUNS!$B$5:$B$208, "mmm-yy"), [2]RUNS!$D$5:$D$208, "Not Found")</f>
        <v>29089.152750805766</v>
      </c>
      <c r="H1144" cm="1">
        <f t="array" ref="H1144">SUMPRODUCT(
    --(TEXT('[3]Global Weekly Stock (EWSuez'!$B$4:$B$2000,"mmm-yy")=TEXT(A1144,"mmm-yy")),
    '[3]Global Weekly Stock (EWSuez'!$E$4:$E$2000)
/
SUMPRODUCT(
    --(TEXT('[3]Global Weekly Stock (EWSuez'!$B$4:$B$2000,"mmm-yy")=TEXT(A1144,"mmm-yy"))
)</f>
        <v>11545.2</v>
      </c>
      <c r="I1144">
        <f>_xlfn.XLOOKUP(A1144,[1]ForwardDeriv!$D:$D,[1]ForwardDeriv!$AJ:$AJ)</f>
        <v>0.96000000000000796</v>
      </c>
      <c r="J1144" cm="1">
        <f t="array" ref="J1144">_xlfn.XLOOKUP(TEXT(A1144, "mmm-yy"), TEXT([2]GASOLINE!$B$5:$B$208, "mmm-yy"), [2]GASOLINE!$IR$5:$IR$208, "Not Found")</f>
        <v>-134.74715685924824</v>
      </c>
      <c r="K1144" cm="1">
        <f t="array" ref="K1144">_xlfn.XLOOKUP(TEXT(A1144, "mmm-yy"), TEXT([2]GASOLINE!$B$5:$B$208, "mmm-yy"), [2]GASOLINE!$IK$5:$IK$208, "Not Found")</f>
        <v>170.66256619124229</v>
      </c>
      <c r="L1144">
        <f t="shared" si="17"/>
        <v>0</v>
      </c>
      <c r="M1144" cm="1">
        <f t="array" ref="M1144">_xlfn.XLOOKUP(TEXT(A1144, "mmm-yy"), TEXT([2]GASOLINE!$B$5:$B$208, "mmm-yy"), [2]GASOLINE!$C$5:$C$208, "Not Found")</f>
        <v>7266.3354288643923</v>
      </c>
      <c r="N1144" cm="1">
        <f t="array" ref="N1144">_xlfn.XLOOKUP(TEXT(A1144, "mmm-yy"), TEXT([2]RUNS!$B$5:$B$208, "mmm-yy"), [2]RUNS!$BM$5:$BM$208, "Not Found")</f>
        <v>0.8192327531079302</v>
      </c>
    </row>
    <row r="1145" spans="1:14" x14ac:dyDescent="0.25">
      <c r="A1145" s="1">
        <f>'[1]Global_Spot Prices'!$B2454</f>
        <v>43606</v>
      </c>
      <c r="B1145">
        <f>_xlfn.XLOOKUP(A1145,'[1]Global_Spot Prices'!$B:$B,'[1]Global_Spot Prices'!$BS:$BS)</f>
        <v>5.3500000000000085</v>
      </c>
      <c r="C1145">
        <f>_xlfn.XLOOKUP(A1145,'[1]Global_Spot Prices'!$B:$B,'[1]Global_Spot Prices'!$E:$E)</f>
        <v>71.599999999999994</v>
      </c>
      <c r="D1145">
        <f>_xlfn.XLOOKUP(A1145,'[1]Global_Spot Prices'!$B:$B,'[1]Global_Spot Prices'!$D:$D)</f>
        <v>72.55</v>
      </c>
      <c r="E1145">
        <f>_xlfn.XLOOKUP(A1145,'[1]Global_Spot Prices'!$B:$B,'[1]Global_Spot Prices'!$H:$H)</f>
        <v>61.06</v>
      </c>
      <c r="F1145">
        <f>_xlfn.XLOOKUP(A1145,'[1]Global_Spot Prices'!$B:$B,'[1]Global_Spot Prices'!$I:$I)</f>
        <v>76.95</v>
      </c>
      <c r="G1145" cm="1">
        <f t="array" ref="G1145">_xlfn.XLOOKUP(TEXT(A1145, "mmm-yy"), TEXT([2]RUNS!$B$5:$B$208, "mmm-yy"), [2]RUNS!$D$5:$D$208, "Not Found")</f>
        <v>29089.152750805766</v>
      </c>
      <c r="H1145" cm="1">
        <f t="array" ref="H1145">SUMPRODUCT(
    --(TEXT('[3]Global Weekly Stock (EWSuez'!$B$4:$B$2000,"mmm-yy")=TEXT(A1145,"mmm-yy")),
    '[3]Global Weekly Stock (EWSuez'!$E$4:$E$2000)
/
SUMPRODUCT(
    --(TEXT('[3]Global Weekly Stock (EWSuez'!$B$4:$B$2000,"mmm-yy")=TEXT(A1145,"mmm-yy"))
)</f>
        <v>11545.2</v>
      </c>
      <c r="I1145">
        <f>_xlfn.XLOOKUP(A1145,[1]ForwardDeriv!$D:$D,[1]ForwardDeriv!$AJ:$AJ)</f>
        <v>0.96000000000000796</v>
      </c>
      <c r="J1145" cm="1">
        <f t="array" ref="J1145">_xlfn.XLOOKUP(TEXT(A1145, "mmm-yy"), TEXT([2]GASOLINE!$B$5:$B$208, "mmm-yy"), [2]GASOLINE!$IR$5:$IR$208, "Not Found")</f>
        <v>-134.74715685924824</v>
      </c>
      <c r="K1145" cm="1">
        <f t="array" ref="K1145">_xlfn.XLOOKUP(TEXT(A1145, "mmm-yy"), TEXT([2]GASOLINE!$B$5:$B$208, "mmm-yy"), [2]GASOLINE!$IK$5:$IK$208, "Not Found")</f>
        <v>170.66256619124229</v>
      </c>
      <c r="L1145">
        <f t="shared" si="17"/>
        <v>0</v>
      </c>
      <c r="M1145" cm="1">
        <f t="array" ref="M1145">_xlfn.XLOOKUP(TEXT(A1145, "mmm-yy"), TEXT([2]GASOLINE!$B$5:$B$208, "mmm-yy"), [2]GASOLINE!$C$5:$C$208, "Not Found")</f>
        <v>7266.3354288643923</v>
      </c>
      <c r="N1145" cm="1">
        <f t="array" ref="N1145">_xlfn.XLOOKUP(TEXT(A1145, "mmm-yy"), TEXT([2]RUNS!$B$5:$B$208, "mmm-yy"), [2]RUNS!$BM$5:$BM$208, "Not Found")</f>
        <v>0.8192327531079302</v>
      </c>
    </row>
    <row r="1146" spans="1:14" x14ac:dyDescent="0.25">
      <c r="A1146" s="1">
        <f>'[1]Global_Spot Prices'!$B2455</f>
        <v>43607</v>
      </c>
      <c r="B1146">
        <f>_xlfn.XLOOKUP(A1146,'[1]Global_Spot Prices'!$B:$B,'[1]Global_Spot Prices'!$BS:$BS)</f>
        <v>5.4300000000000068</v>
      </c>
      <c r="C1146">
        <f>_xlfn.XLOOKUP(A1146,'[1]Global_Spot Prices'!$B:$B,'[1]Global_Spot Prices'!$E:$E)</f>
        <v>71.239999999999995</v>
      </c>
      <c r="D1146">
        <f>_xlfn.XLOOKUP(A1146,'[1]Global_Spot Prices'!$B:$B,'[1]Global_Spot Prices'!$D:$D)</f>
        <v>71.825000000000003</v>
      </c>
      <c r="E1146">
        <f>_xlfn.XLOOKUP(A1146,'[1]Global_Spot Prices'!$B:$B,'[1]Global_Spot Prices'!$H:$H)</f>
        <v>60.19</v>
      </c>
      <c r="F1146">
        <f>_xlfn.XLOOKUP(A1146,'[1]Global_Spot Prices'!$B:$B,'[1]Global_Spot Prices'!$I:$I)</f>
        <v>76.67</v>
      </c>
      <c r="G1146" cm="1">
        <f t="array" ref="G1146">_xlfn.XLOOKUP(TEXT(A1146, "mmm-yy"), TEXT([2]RUNS!$B$5:$B$208, "mmm-yy"), [2]RUNS!$D$5:$D$208, "Not Found")</f>
        <v>29089.152750805766</v>
      </c>
      <c r="H1146" cm="1">
        <f t="array" ref="H1146">SUMPRODUCT(
    --(TEXT('[3]Global Weekly Stock (EWSuez'!$B$4:$B$2000,"mmm-yy")=TEXT(A1146,"mmm-yy")),
    '[3]Global Weekly Stock (EWSuez'!$E$4:$E$2000)
/
SUMPRODUCT(
    --(TEXT('[3]Global Weekly Stock (EWSuez'!$B$4:$B$2000,"mmm-yy")=TEXT(A1146,"mmm-yy"))
)</f>
        <v>11545.2</v>
      </c>
      <c r="I1146">
        <f>_xlfn.XLOOKUP(A1146,[1]ForwardDeriv!$D:$D,[1]ForwardDeriv!$AJ:$AJ)</f>
        <v>1.1600000000000108</v>
      </c>
      <c r="J1146" cm="1">
        <f t="array" ref="J1146">_xlfn.XLOOKUP(TEXT(A1146, "mmm-yy"), TEXT([2]GASOLINE!$B$5:$B$208, "mmm-yy"), [2]GASOLINE!$IR$5:$IR$208, "Not Found")</f>
        <v>-134.74715685924824</v>
      </c>
      <c r="K1146" cm="1">
        <f t="array" ref="K1146">_xlfn.XLOOKUP(TEXT(A1146, "mmm-yy"), TEXT([2]GASOLINE!$B$5:$B$208, "mmm-yy"), [2]GASOLINE!$IK$5:$IK$208, "Not Found")</f>
        <v>170.66256619124229</v>
      </c>
      <c r="L1146">
        <f t="shared" si="17"/>
        <v>0</v>
      </c>
      <c r="M1146" cm="1">
        <f t="array" ref="M1146">_xlfn.XLOOKUP(TEXT(A1146, "mmm-yy"), TEXT([2]GASOLINE!$B$5:$B$208, "mmm-yy"), [2]GASOLINE!$C$5:$C$208, "Not Found")</f>
        <v>7266.3354288643923</v>
      </c>
      <c r="N1146" cm="1">
        <f t="array" ref="N1146">_xlfn.XLOOKUP(TEXT(A1146, "mmm-yy"), TEXT([2]RUNS!$B$5:$B$208, "mmm-yy"), [2]RUNS!$BM$5:$BM$208, "Not Found")</f>
        <v>0.8192327531079302</v>
      </c>
    </row>
    <row r="1147" spans="1:14" x14ac:dyDescent="0.25">
      <c r="A1147" s="1">
        <f>'[1]Global_Spot Prices'!$B2456</f>
        <v>43608</v>
      </c>
      <c r="B1147">
        <f>_xlfn.XLOOKUP(A1147,'[1]Global_Spot Prices'!$B:$B,'[1]Global_Spot Prices'!$BS:$BS)</f>
        <v>5.480000000000004</v>
      </c>
      <c r="C1147">
        <f>_xlfn.XLOOKUP(A1147,'[1]Global_Spot Prices'!$B:$B,'[1]Global_Spot Prices'!$E:$E)</f>
        <v>69.19</v>
      </c>
      <c r="D1147">
        <f>_xlfn.XLOOKUP(A1147,'[1]Global_Spot Prices'!$B:$B,'[1]Global_Spot Prices'!$D:$D)</f>
        <v>68.489999999999995</v>
      </c>
      <c r="E1147">
        <f>_xlfn.XLOOKUP(A1147,'[1]Global_Spot Prices'!$B:$B,'[1]Global_Spot Prices'!$H:$H)</f>
        <v>58.83</v>
      </c>
      <c r="F1147">
        <f>_xlfn.XLOOKUP(A1147,'[1]Global_Spot Prices'!$B:$B,'[1]Global_Spot Prices'!$I:$I)</f>
        <v>74.67</v>
      </c>
      <c r="G1147" cm="1">
        <f t="array" ref="G1147">_xlfn.XLOOKUP(TEXT(A1147, "mmm-yy"), TEXT([2]RUNS!$B$5:$B$208, "mmm-yy"), [2]RUNS!$D$5:$D$208, "Not Found")</f>
        <v>29089.152750805766</v>
      </c>
      <c r="H1147" cm="1">
        <f t="array" ref="H1147">SUMPRODUCT(
    --(TEXT('[3]Global Weekly Stock (EWSuez'!$B$4:$B$2000,"mmm-yy")=TEXT(A1147,"mmm-yy")),
    '[3]Global Weekly Stock (EWSuez'!$E$4:$E$2000)
/
SUMPRODUCT(
    --(TEXT('[3]Global Weekly Stock (EWSuez'!$B$4:$B$2000,"mmm-yy")=TEXT(A1147,"mmm-yy"))
)</f>
        <v>11545.2</v>
      </c>
      <c r="I1147">
        <f>_xlfn.XLOOKUP(A1147,[1]ForwardDeriv!$D:$D,[1]ForwardDeriv!$AJ:$AJ)</f>
        <v>0.81999999999999318</v>
      </c>
      <c r="J1147" cm="1">
        <f t="array" ref="J1147">_xlfn.XLOOKUP(TEXT(A1147, "mmm-yy"), TEXT([2]GASOLINE!$B$5:$B$208, "mmm-yy"), [2]GASOLINE!$IR$5:$IR$208, "Not Found")</f>
        <v>-134.74715685924824</v>
      </c>
      <c r="K1147" cm="1">
        <f t="array" ref="K1147">_xlfn.XLOOKUP(TEXT(A1147, "mmm-yy"), TEXT([2]GASOLINE!$B$5:$B$208, "mmm-yy"), [2]GASOLINE!$IK$5:$IK$208, "Not Found")</f>
        <v>170.66256619124229</v>
      </c>
      <c r="L1147">
        <f t="shared" si="17"/>
        <v>0</v>
      </c>
      <c r="M1147" cm="1">
        <f t="array" ref="M1147">_xlfn.XLOOKUP(TEXT(A1147, "mmm-yy"), TEXT([2]GASOLINE!$B$5:$B$208, "mmm-yy"), [2]GASOLINE!$C$5:$C$208, "Not Found")</f>
        <v>7266.3354288643923</v>
      </c>
      <c r="N1147" cm="1">
        <f t="array" ref="N1147">_xlfn.XLOOKUP(TEXT(A1147, "mmm-yy"), TEXT([2]RUNS!$B$5:$B$208, "mmm-yy"), [2]RUNS!$BM$5:$BM$208, "Not Found")</f>
        <v>0.8192327531079302</v>
      </c>
    </row>
    <row r="1148" spans="1:14" x14ac:dyDescent="0.25">
      <c r="A1148" s="1">
        <f>'[1]Global_Spot Prices'!$B2457</f>
        <v>43609</v>
      </c>
      <c r="B1148">
        <f>_xlfn.XLOOKUP(A1148,'[1]Global_Spot Prices'!$B:$B,'[1]Global_Spot Prices'!$BS:$BS)</f>
        <v>5.960000000000008</v>
      </c>
      <c r="C1148">
        <f>_xlfn.XLOOKUP(A1148,'[1]Global_Spot Prices'!$B:$B,'[1]Global_Spot Prices'!$E:$E)</f>
        <v>66.739999999999995</v>
      </c>
      <c r="D1148">
        <f>_xlfn.XLOOKUP(A1148,'[1]Global_Spot Prices'!$B:$B,'[1]Global_Spot Prices'!$D:$D)</f>
        <v>68.495000000000005</v>
      </c>
      <c r="E1148">
        <f>_xlfn.XLOOKUP(A1148,'[1]Global_Spot Prices'!$B:$B,'[1]Global_Spot Prices'!$H:$H)</f>
        <v>56.77</v>
      </c>
      <c r="F1148">
        <f>_xlfn.XLOOKUP(A1148,'[1]Global_Spot Prices'!$B:$B,'[1]Global_Spot Prices'!$I:$I)</f>
        <v>72.7</v>
      </c>
      <c r="G1148" cm="1">
        <f t="array" ref="G1148">_xlfn.XLOOKUP(TEXT(A1148, "mmm-yy"), TEXT([2]RUNS!$B$5:$B$208, "mmm-yy"), [2]RUNS!$D$5:$D$208, "Not Found")</f>
        <v>29089.152750805766</v>
      </c>
      <c r="H1148" cm="1">
        <f t="array" ref="H1148">SUMPRODUCT(
    --(TEXT('[3]Global Weekly Stock (EWSuez'!$B$4:$B$2000,"mmm-yy")=TEXT(A1148,"mmm-yy")),
    '[3]Global Weekly Stock (EWSuez'!$E$4:$E$2000)
/
SUMPRODUCT(
    --(TEXT('[3]Global Weekly Stock (EWSuez'!$B$4:$B$2000,"mmm-yy")=TEXT(A1148,"mmm-yy"))
)</f>
        <v>11545.2</v>
      </c>
      <c r="I1148">
        <f>_xlfn.XLOOKUP(A1148,[1]ForwardDeriv!$D:$D,[1]ForwardDeriv!$AJ:$AJ)</f>
        <v>0.85999999999999943</v>
      </c>
      <c r="J1148" cm="1">
        <f t="array" ref="J1148">_xlfn.XLOOKUP(TEXT(A1148, "mmm-yy"), TEXT([2]GASOLINE!$B$5:$B$208, "mmm-yy"), [2]GASOLINE!$IR$5:$IR$208, "Not Found")</f>
        <v>-134.74715685924824</v>
      </c>
      <c r="K1148" cm="1">
        <f t="array" ref="K1148">_xlfn.XLOOKUP(TEXT(A1148, "mmm-yy"), TEXT([2]GASOLINE!$B$5:$B$208, "mmm-yy"), [2]GASOLINE!$IK$5:$IK$208, "Not Found")</f>
        <v>170.66256619124229</v>
      </c>
      <c r="L1148">
        <f t="shared" si="17"/>
        <v>0</v>
      </c>
      <c r="M1148" cm="1">
        <f t="array" ref="M1148">_xlfn.XLOOKUP(TEXT(A1148, "mmm-yy"), TEXT([2]GASOLINE!$B$5:$B$208, "mmm-yy"), [2]GASOLINE!$C$5:$C$208, "Not Found")</f>
        <v>7266.3354288643923</v>
      </c>
      <c r="N1148" cm="1">
        <f t="array" ref="N1148">_xlfn.XLOOKUP(TEXT(A1148, "mmm-yy"), TEXT([2]RUNS!$B$5:$B$208, "mmm-yy"), [2]RUNS!$BM$5:$BM$208, "Not Found")</f>
        <v>0.8192327531079302</v>
      </c>
    </row>
    <row r="1149" spans="1:14" x14ac:dyDescent="0.25">
      <c r="A1149" s="1">
        <f>'[1]Global_Spot Prices'!$B2458</f>
        <v>43612</v>
      </c>
      <c r="B1149">
        <f>_xlfn.XLOOKUP(A1149,'[1]Global_Spot Prices'!$B:$B,'[1]Global_Spot Prices'!$BS:$BS)</f>
        <v>5.2600000000000051</v>
      </c>
      <c r="C1149">
        <f>_xlfn.XLOOKUP(A1149,'[1]Global_Spot Prices'!$B:$B,'[1]Global_Spot Prices'!$E:$E)</f>
        <v>66.849999999999994</v>
      </c>
      <c r="D1149" t="str">
        <f>_xlfn.XLOOKUP(A1149,'[1]Global_Spot Prices'!$B:$B,'[1]Global_Spot Prices'!$D:$D)</f>
        <v/>
      </c>
      <c r="E1149">
        <f>_xlfn.XLOOKUP(A1149,'[1]Global_Spot Prices'!$B:$B,'[1]Global_Spot Prices'!$H:$H)</f>
        <v>57.08</v>
      </c>
      <c r="F1149">
        <f>_xlfn.XLOOKUP(A1149,'[1]Global_Spot Prices'!$B:$B,'[1]Global_Spot Prices'!$I:$I)</f>
        <v>72.11</v>
      </c>
      <c r="G1149" cm="1">
        <f t="array" ref="G1149">_xlfn.XLOOKUP(TEXT(A1149, "mmm-yy"), TEXT([2]RUNS!$B$5:$B$208, "mmm-yy"), [2]RUNS!$D$5:$D$208, "Not Found")</f>
        <v>29089.152750805766</v>
      </c>
      <c r="H1149" cm="1">
        <f t="array" ref="H1149">SUMPRODUCT(
    --(TEXT('[3]Global Weekly Stock (EWSuez'!$B$4:$B$2000,"mmm-yy")=TEXT(A1149,"mmm-yy")),
    '[3]Global Weekly Stock (EWSuez'!$E$4:$E$2000)
/
SUMPRODUCT(
    --(TEXT('[3]Global Weekly Stock (EWSuez'!$B$4:$B$2000,"mmm-yy")=TEXT(A1149,"mmm-yy"))
)</f>
        <v>11545.2</v>
      </c>
      <c r="I1149">
        <f>_xlfn.XLOOKUP(A1149,[1]ForwardDeriv!$D:$D,[1]ForwardDeriv!$AJ:$AJ)</f>
        <v>0.94000000000001194</v>
      </c>
      <c r="J1149" cm="1">
        <f t="array" ref="J1149">_xlfn.XLOOKUP(TEXT(A1149, "mmm-yy"), TEXT([2]GASOLINE!$B$5:$B$208, "mmm-yy"), [2]GASOLINE!$IR$5:$IR$208, "Not Found")</f>
        <v>-134.74715685924824</v>
      </c>
      <c r="K1149" cm="1">
        <f t="array" ref="K1149">_xlfn.XLOOKUP(TEXT(A1149, "mmm-yy"), TEXT([2]GASOLINE!$B$5:$B$208, "mmm-yy"), [2]GASOLINE!$IK$5:$IK$208, "Not Found")</f>
        <v>170.66256619124229</v>
      </c>
      <c r="L1149">
        <f t="shared" si="17"/>
        <v>0</v>
      </c>
      <c r="M1149" cm="1">
        <f t="array" ref="M1149">_xlfn.XLOOKUP(TEXT(A1149, "mmm-yy"), TEXT([2]GASOLINE!$B$5:$B$208, "mmm-yy"), [2]GASOLINE!$C$5:$C$208, "Not Found")</f>
        <v>7266.3354288643923</v>
      </c>
      <c r="N1149" cm="1">
        <f t="array" ref="N1149">_xlfn.XLOOKUP(TEXT(A1149, "mmm-yy"), TEXT([2]RUNS!$B$5:$B$208, "mmm-yy"), [2]RUNS!$BM$5:$BM$208, "Not Found")</f>
        <v>0.8192327531079302</v>
      </c>
    </row>
    <row r="1150" spans="1:14" x14ac:dyDescent="0.25">
      <c r="A1150" s="1">
        <f>'[1]Global_Spot Prices'!$B2459</f>
        <v>43613</v>
      </c>
      <c r="B1150">
        <f>_xlfn.XLOOKUP(A1150,'[1]Global_Spot Prices'!$B:$B,'[1]Global_Spot Prices'!$BS:$BS)</f>
        <v>4.3599999999999994</v>
      </c>
      <c r="C1150">
        <f>_xlfn.XLOOKUP(A1150,'[1]Global_Spot Prices'!$B:$B,'[1]Global_Spot Prices'!$E:$E)</f>
        <v>68.3</v>
      </c>
      <c r="D1150">
        <f>_xlfn.XLOOKUP(A1150,'[1]Global_Spot Prices'!$B:$B,'[1]Global_Spot Prices'!$D:$D)</f>
        <v>70.424999999999997</v>
      </c>
      <c r="E1150">
        <f>_xlfn.XLOOKUP(A1150,'[1]Global_Spot Prices'!$B:$B,'[1]Global_Spot Prices'!$H:$H)</f>
        <v>58.44</v>
      </c>
      <c r="F1150">
        <f>_xlfn.XLOOKUP(A1150,'[1]Global_Spot Prices'!$B:$B,'[1]Global_Spot Prices'!$I:$I)</f>
        <v>72.66</v>
      </c>
      <c r="G1150" cm="1">
        <f t="array" ref="G1150">_xlfn.XLOOKUP(TEXT(A1150, "mmm-yy"), TEXT([2]RUNS!$B$5:$B$208, "mmm-yy"), [2]RUNS!$D$5:$D$208, "Not Found")</f>
        <v>29089.152750805766</v>
      </c>
      <c r="H1150" cm="1">
        <f t="array" ref="H1150">SUMPRODUCT(
    --(TEXT('[3]Global Weekly Stock (EWSuez'!$B$4:$B$2000,"mmm-yy")=TEXT(A1150,"mmm-yy")),
    '[3]Global Weekly Stock (EWSuez'!$E$4:$E$2000)
/
SUMPRODUCT(
    --(TEXT('[3]Global Weekly Stock (EWSuez'!$B$4:$B$2000,"mmm-yy")=TEXT(A1150,"mmm-yy"))
)</f>
        <v>11545.2</v>
      </c>
      <c r="I1150">
        <f>_xlfn.XLOOKUP(A1150,[1]ForwardDeriv!$D:$D,[1]ForwardDeriv!$AJ:$AJ)</f>
        <v>0.76000000000000512</v>
      </c>
      <c r="J1150" cm="1">
        <f t="array" ref="J1150">_xlfn.XLOOKUP(TEXT(A1150, "mmm-yy"), TEXT([2]GASOLINE!$B$5:$B$208, "mmm-yy"), [2]GASOLINE!$IR$5:$IR$208, "Not Found")</f>
        <v>-134.74715685924824</v>
      </c>
      <c r="K1150" cm="1">
        <f t="array" ref="K1150">_xlfn.XLOOKUP(TEXT(A1150, "mmm-yy"), TEXT([2]GASOLINE!$B$5:$B$208, "mmm-yy"), [2]GASOLINE!$IK$5:$IK$208, "Not Found")</f>
        <v>170.66256619124229</v>
      </c>
      <c r="L1150">
        <f t="shared" si="17"/>
        <v>0</v>
      </c>
      <c r="M1150" cm="1">
        <f t="array" ref="M1150">_xlfn.XLOOKUP(TEXT(A1150, "mmm-yy"), TEXT([2]GASOLINE!$B$5:$B$208, "mmm-yy"), [2]GASOLINE!$C$5:$C$208, "Not Found")</f>
        <v>7266.3354288643923</v>
      </c>
      <c r="N1150" cm="1">
        <f t="array" ref="N1150">_xlfn.XLOOKUP(TEXT(A1150, "mmm-yy"), TEXT([2]RUNS!$B$5:$B$208, "mmm-yy"), [2]RUNS!$BM$5:$BM$208, "Not Found")</f>
        <v>0.8192327531079302</v>
      </c>
    </row>
    <row r="1151" spans="1:14" x14ac:dyDescent="0.25">
      <c r="A1151" s="1">
        <f>'[1]Global_Spot Prices'!$B2460</f>
        <v>43614</v>
      </c>
      <c r="B1151">
        <f>_xlfn.XLOOKUP(A1151,'[1]Global_Spot Prices'!$B:$B,'[1]Global_Spot Prices'!$BS:$BS)</f>
        <v>2.664999999999992</v>
      </c>
      <c r="C1151">
        <f>_xlfn.XLOOKUP(A1151,'[1]Global_Spot Prices'!$B:$B,'[1]Global_Spot Prices'!$E:$E)</f>
        <v>67.155000000000001</v>
      </c>
      <c r="D1151">
        <f>_xlfn.XLOOKUP(A1151,'[1]Global_Spot Prices'!$B:$B,'[1]Global_Spot Prices'!$D:$D)</f>
        <v>69.38</v>
      </c>
      <c r="E1151">
        <f>_xlfn.XLOOKUP(A1151,'[1]Global_Spot Prices'!$B:$B,'[1]Global_Spot Prices'!$H:$H)</f>
        <v>57.44</v>
      </c>
      <c r="F1151">
        <f>_xlfn.XLOOKUP(A1151,'[1]Global_Spot Prices'!$B:$B,'[1]Global_Spot Prices'!$I:$I)</f>
        <v>69.819999999999993</v>
      </c>
      <c r="G1151" cm="1">
        <f t="array" ref="G1151">_xlfn.XLOOKUP(TEXT(A1151, "mmm-yy"), TEXT([2]RUNS!$B$5:$B$208, "mmm-yy"), [2]RUNS!$D$5:$D$208, "Not Found")</f>
        <v>29089.152750805766</v>
      </c>
      <c r="H1151" cm="1">
        <f t="array" ref="H1151">SUMPRODUCT(
    --(TEXT('[3]Global Weekly Stock (EWSuez'!$B$4:$B$2000,"mmm-yy")=TEXT(A1151,"mmm-yy")),
    '[3]Global Weekly Stock (EWSuez'!$E$4:$E$2000)
/
SUMPRODUCT(
    --(TEXT('[3]Global Weekly Stock (EWSuez'!$B$4:$B$2000,"mmm-yy")=TEXT(A1151,"mmm-yy"))
)</f>
        <v>11545.2</v>
      </c>
      <c r="I1151">
        <f>_xlfn.XLOOKUP(A1151,[1]ForwardDeriv!$D:$D,[1]ForwardDeriv!$AJ:$AJ)</f>
        <v>0.45000000000000284</v>
      </c>
      <c r="J1151" cm="1">
        <f t="array" ref="J1151">_xlfn.XLOOKUP(TEXT(A1151, "mmm-yy"), TEXT([2]GASOLINE!$B$5:$B$208, "mmm-yy"), [2]GASOLINE!$IR$5:$IR$208, "Not Found")</f>
        <v>-134.74715685924824</v>
      </c>
      <c r="K1151" cm="1">
        <f t="array" ref="K1151">_xlfn.XLOOKUP(TEXT(A1151, "mmm-yy"), TEXT([2]GASOLINE!$B$5:$B$208, "mmm-yy"), [2]GASOLINE!$IK$5:$IK$208, "Not Found")</f>
        <v>170.66256619124229</v>
      </c>
      <c r="L1151">
        <f t="shared" si="17"/>
        <v>0</v>
      </c>
      <c r="M1151" cm="1">
        <f t="array" ref="M1151">_xlfn.XLOOKUP(TEXT(A1151, "mmm-yy"), TEXT([2]GASOLINE!$B$5:$B$208, "mmm-yy"), [2]GASOLINE!$C$5:$C$208, "Not Found")</f>
        <v>7266.3354288643923</v>
      </c>
      <c r="N1151" cm="1">
        <f t="array" ref="N1151">_xlfn.XLOOKUP(TEXT(A1151, "mmm-yy"), TEXT([2]RUNS!$B$5:$B$208, "mmm-yy"), [2]RUNS!$BM$5:$BM$208, "Not Found")</f>
        <v>0.8192327531079302</v>
      </c>
    </row>
    <row r="1152" spans="1:14" x14ac:dyDescent="0.25">
      <c r="A1152" s="1">
        <f>'[1]Global_Spot Prices'!$B2461</f>
        <v>43615</v>
      </c>
      <c r="B1152">
        <f>_xlfn.XLOOKUP(A1152,'[1]Global_Spot Prices'!$B:$B,'[1]Global_Spot Prices'!$BS:$BS)</f>
        <v>4.3199999999999932</v>
      </c>
      <c r="C1152">
        <f>_xlfn.XLOOKUP(A1152,'[1]Global_Spot Prices'!$B:$B,'[1]Global_Spot Prices'!$E:$E)</f>
        <v>67.150000000000006</v>
      </c>
      <c r="D1152">
        <f>_xlfn.XLOOKUP(A1152,'[1]Global_Spot Prices'!$B:$B,'[1]Global_Spot Prices'!$D:$D)</f>
        <v>68.16</v>
      </c>
      <c r="E1152">
        <f>_xlfn.XLOOKUP(A1152,'[1]Global_Spot Prices'!$B:$B,'[1]Global_Spot Prices'!$H:$H)</f>
        <v>57.48</v>
      </c>
      <c r="F1152">
        <f>_xlfn.XLOOKUP(A1152,'[1]Global_Spot Prices'!$B:$B,'[1]Global_Spot Prices'!$I:$I)</f>
        <v>71.47</v>
      </c>
      <c r="G1152" cm="1">
        <f t="array" ref="G1152">_xlfn.XLOOKUP(TEXT(A1152, "mmm-yy"), TEXT([2]RUNS!$B$5:$B$208, "mmm-yy"), [2]RUNS!$D$5:$D$208, "Not Found")</f>
        <v>29089.152750805766</v>
      </c>
      <c r="H1152" cm="1">
        <f t="array" ref="H1152">SUMPRODUCT(
    --(TEXT('[3]Global Weekly Stock (EWSuez'!$B$4:$B$2000,"mmm-yy")=TEXT(A1152,"mmm-yy")),
    '[3]Global Weekly Stock (EWSuez'!$E$4:$E$2000)
/
SUMPRODUCT(
    --(TEXT('[3]Global Weekly Stock (EWSuez'!$B$4:$B$2000,"mmm-yy")=TEXT(A1152,"mmm-yy"))
)</f>
        <v>11545.2</v>
      </c>
      <c r="I1152">
        <f>_xlfn.XLOOKUP(A1152,[1]ForwardDeriv!$D:$D,[1]ForwardDeriv!$AJ:$AJ)</f>
        <v>0.59000000000000341</v>
      </c>
      <c r="J1152" cm="1">
        <f t="array" ref="J1152">_xlfn.XLOOKUP(TEXT(A1152, "mmm-yy"), TEXT([2]GASOLINE!$B$5:$B$208, "mmm-yy"), [2]GASOLINE!$IR$5:$IR$208, "Not Found")</f>
        <v>-134.74715685924824</v>
      </c>
      <c r="K1152" cm="1">
        <f t="array" ref="K1152">_xlfn.XLOOKUP(TEXT(A1152, "mmm-yy"), TEXT([2]GASOLINE!$B$5:$B$208, "mmm-yy"), [2]GASOLINE!$IK$5:$IK$208, "Not Found")</f>
        <v>170.66256619124229</v>
      </c>
      <c r="L1152">
        <f t="shared" si="17"/>
        <v>0</v>
      </c>
      <c r="M1152" cm="1">
        <f t="array" ref="M1152">_xlfn.XLOOKUP(TEXT(A1152, "mmm-yy"), TEXT([2]GASOLINE!$B$5:$B$208, "mmm-yy"), [2]GASOLINE!$C$5:$C$208, "Not Found")</f>
        <v>7266.3354288643923</v>
      </c>
      <c r="N1152" cm="1">
        <f t="array" ref="N1152">_xlfn.XLOOKUP(TEXT(A1152, "mmm-yy"), TEXT([2]RUNS!$B$5:$B$208, "mmm-yy"), [2]RUNS!$BM$5:$BM$208, "Not Found")</f>
        <v>0.8192327531079302</v>
      </c>
    </row>
    <row r="1153" spans="1:14" x14ac:dyDescent="0.25">
      <c r="A1153" s="1">
        <f>'[1]Global_Spot Prices'!$B2462</f>
        <v>43616</v>
      </c>
      <c r="B1153">
        <f>_xlfn.XLOOKUP(A1153,'[1]Global_Spot Prices'!$B:$B,'[1]Global_Spot Prices'!$BS:$BS)</f>
        <v>3.0999999999999943</v>
      </c>
      <c r="C1153">
        <f>_xlfn.XLOOKUP(A1153,'[1]Global_Spot Prices'!$B:$B,'[1]Global_Spot Prices'!$E:$E)</f>
        <v>63.81</v>
      </c>
      <c r="D1153">
        <f>_xlfn.XLOOKUP(A1153,'[1]Global_Spot Prices'!$B:$B,'[1]Global_Spot Prices'!$D:$D)</f>
        <v>65.61</v>
      </c>
      <c r="E1153">
        <f>_xlfn.XLOOKUP(A1153,'[1]Global_Spot Prices'!$B:$B,'[1]Global_Spot Prices'!$H:$H)</f>
        <v>53.69</v>
      </c>
      <c r="F1153">
        <f>_xlfn.XLOOKUP(A1153,'[1]Global_Spot Prices'!$B:$B,'[1]Global_Spot Prices'!$I:$I)</f>
        <v>66.91</v>
      </c>
      <c r="G1153" cm="1">
        <f t="array" ref="G1153">_xlfn.XLOOKUP(TEXT(A1153, "mmm-yy"), TEXT([2]RUNS!$B$5:$B$208, "mmm-yy"), [2]RUNS!$D$5:$D$208, "Not Found")</f>
        <v>29089.152750805766</v>
      </c>
      <c r="H1153" cm="1">
        <f t="array" ref="H1153">SUMPRODUCT(
    --(TEXT('[3]Global Weekly Stock (EWSuez'!$B$4:$B$2000,"mmm-yy")=TEXT(A1153,"mmm-yy")),
    '[3]Global Weekly Stock (EWSuez'!$E$4:$E$2000)
/
SUMPRODUCT(
    --(TEXT('[3]Global Weekly Stock (EWSuez'!$B$4:$B$2000,"mmm-yy")=TEXT(A1153,"mmm-yy"))
)</f>
        <v>11545.2</v>
      </c>
      <c r="I1153">
        <f>_xlfn.XLOOKUP(A1153,[1]ForwardDeriv!$D:$D,[1]ForwardDeriv!$AJ:$AJ)</f>
        <v>0.34999999999999432</v>
      </c>
      <c r="J1153" cm="1">
        <f t="array" ref="J1153">_xlfn.XLOOKUP(TEXT(A1153, "mmm-yy"), TEXT([2]GASOLINE!$B$5:$B$208, "mmm-yy"), [2]GASOLINE!$IR$5:$IR$208, "Not Found")</f>
        <v>-134.74715685924824</v>
      </c>
      <c r="K1153" cm="1">
        <f t="array" ref="K1153">_xlfn.XLOOKUP(TEXT(A1153, "mmm-yy"), TEXT([2]GASOLINE!$B$5:$B$208, "mmm-yy"), [2]GASOLINE!$IK$5:$IK$208, "Not Found")</f>
        <v>170.66256619124229</v>
      </c>
      <c r="L1153">
        <f t="shared" si="17"/>
        <v>0</v>
      </c>
      <c r="M1153" cm="1">
        <f t="array" ref="M1153">_xlfn.XLOOKUP(TEXT(A1153, "mmm-yy"), TEXT([2]GASOLINE!$B$5:$B$208, "mmm-yy"), [2]GASOLINE!$C$5:$C$208, "Not Found")</f>
        <v>7266.3354288643923</v>
      </c>
      <c r="N1153" cm="1">
        <f t="array" ref="N1153">_xlfn.XLOOKUP(TEXT(A1153, "mmm-yy"), TEXT([2]RUNS!$B$5:$B$208, "mmm-yy"), [2]RUNS!$BM$5:$BM$208, "Not Found")</f>
        <v>0.8192327531079302</v>
      </c>
    </row>
    <row r="1154" spans="1:14" x14ac:dyDescent="0.25">
      <c r="A1154" s="1">
        <f>'[1]Global_Spot Prices'!$B2463</f>
        <v>43619</v>
      </c>
      <c r="B1154">
        <f>_xlfn.XLOOKUP(A1154,'[1]Global_Spot Prices'!$B:$B,'[1]Global_Spot Prices'!$BS:$BS)</f>
        <v>3.0500000000000043</v>
      </c>
      <c r="C1154">
        <f>_xlfn.XLOOKUP(A1154,'[1]Global_Spot Prices'!$B:$B,'[1]Global_Spot Prices'!$E:$E)</f>
        <v>60.16</v>
      </c>
      <c r="D1154">
        <f>_xlfn.XLOOKUP(A1154,'[1]Global_Spot Prices'!$B:$B,'[1]Global_Spot Prices'!$D:$D)</f>
        <v>63.335000000000001</v>
      </c>
      <c r="E1154">
        <f>_xlfn.XLOOKUP(A1154,'[1]Global_Spot Prices'!$B:$B,'[1]Global_Spot Prices'!$H:$H)</f>
        <v>49.68</v>
      </c>
      <c r="F1154">
        <f>_xlfn.XLOOKUP(A1154,'[1]Global_Spot Prices'!$B:$B,'[1]Global_Spot Prices'!$I:$I)</f>
        <v>63.21</v>
      </c>
      <c r="G1154" cm="1">
        <f t="array" ref="G1154">_xlfn.XLOOKUP(TEXT(A1154, "mmm-yy"), TEXT([2]RUNS!$B$5:$B$208, "mmm-yy"), [2]RUNS!$D$5:$D$208, "Not Found")</f>
        <v>29619.950286115112</v>
      </c>
      <c r="H1154" cm="1">
        <f t="array" ref="H1154">SUMPRODUCT(
    --(TEXT('[3]Global Weekly Stock (EWSuez'!$B$4:$B$2000,"mmm-yy")=TEXT(A1154,"mmm-yy")),
    '[3]Global Weekly Stock (EWSuez'!$E$4:$E$2000)
/
SUMPRODUCT(
    --(TEXT('[3]Global Weekly Stock (EWSuez'!$B$4:$B$2000,"mmm-yy")=TEXT(A1154,"mmm-yy"))
)</f>
        <v>12112.5</v>
      </c>
      <c r="I1154">
        <f>_xlfn.XLOOKUP(A1154,[1]ForwardDeriv!$D:$D,[1]ForwardDeriv!$AJ:$AJ)</f>
        <v>0.24000000000000199</v>
      </c>
      <c r="J1154" cm="1">
        <f t="array" ref="J1154">_xlfn.XLOOKUP(TEXT(A1154, "mmm-yy"), TEXT([2]GASOLINE!$B$5:$B$208, "mmm-yy"), [2]GASOLINE!$IR$5:$IR$208, "Not Found")</f>
        <v>-197.13472960209555</v>
      </c>
      <c r="K1154" cm="1">
        <f t="array" ref="K1154">_xlfn.XLOOKUP(TEXT(A1154, "mmm-yy"), TEXT([2]GASOLINE!$B$5:$B$208, "mmm-yy"), [2]GASOLINE!$IK$5:$IK$208, "Not Found")</f>
        <v>171.24501238547114</v>
      </c>
      <c r="L1154">
        <f t="shared" si="17"/>
        <v>1</v>
      </c>
      <c r="M1154" cm="1">
        <f t="array" ref="M1154">_xlfn.XLOOKUP(TEXT(A1154, "mmm-yy"), TEXT([2]GASOLINE!$B$5:$B$208, "mmm-yy"), [2]GASOLINE!$C$5:$C$208, "Not Found")</f>
        <v>7307.9948449545409</v>
      </c>
      <c r="N1154" cm="1">
        <f t="array" ref="N1154">_xlfn.XLOOKUP(TEXT(A1154, "mmm-yy"), TEXT([2]RUNS!$B$5:$B$208, "mmm-yy"), [2]RUNS!$BM$5:$BM$208, "Not Found")</f>
        <v>0.82502918486074783</v>
      </c>
    </row>
    <row r="1155" spans="1:14" x14ac:dyDescent="0.25">
      <c r="A1155" s="1">
        <f>'[1]Global_Spot Prices'!$B2464</f>
        <v>43620</v>
      </c>
      <c r="B1155">
        <f>_xlfn.XLOOKUP(A1155,'[1]Global_Spot Prices'!$B:$B,'[1]Global_Spot Prices'!$BS:$BS)</f>
        <v>3.6000000000000014</v>
      </c>
      <c r="C1155">
        <f>_xlfn.XLOOKUP(A1155,'[1]Global_Spot Prices'!$B:$B,'[1]Global_Spot Prices'!$E:$E)</f>
        <v>60.05</v>
      </c>
      <c r="D1155">
        <f>_xlfn.XLOOKUP(A1155,'[1]Global_Spot Prices'!$B:$B,'[1]Global_Spot Prices'!$D:$D)</f>
        <v>63.704999999999998</v>
      </c>
      <c r="E1155">
        <f>_xlfn.XLOOKUP(A1155,'[1]Global_Spot Prices'!$B:$B,'[1]Global_Spot Prices'!$H:$H)</f>
        <v>49.39</v>
      </c>
      <c r="F1155">
        <f>_xlfn.XLOOKUP(A1155,'[1]Global_Spot Prices'!$B:$B,'[1]Global_Spot Prices'!$I:$I)</f>
        <v>63.65</v>
      </c>
      <c r="G1155" cm="1">
        <f t="array" ref="G1155">_xlfn.XLOOKUP(TEXT(A1155, "mmm-yy"), TEXT([2]RUNS!$B$5:$B$208, "mmm-yy"), [2]RUNS!$D$5:$D$208, "Not Found")</f>
        <v>29619.950286115112</v>
      </c>
      <c r="H1155" cm="1">
        <f t="array" ref="H1155">SUMPRODUCT(
    --(TEXT('[3]Global Weekly Stock (EWSuez'!$B$4:$B$2000,"mmm-yy")=TEXT(A1155,"mmm-yy")),
    '[3]Global Weekly Stock (EWSuez'!$E$4:$E$2000)
/
SUMPRODUCT(
    --(TEXT('[3]Global Weekly Stock (EWSuez'!$B$4:$B$2000,"mmm-yy")=TEXT(A1155,"mmm-yy"))
)</f>
        <v>12112.5</v>
      </c>
      <c r="I1155">
        <f>_xlfn.XLOOKUP(A1155,[1]ForwardDeriv!$D:$D,[1]ForwardDeriv!$AJ:$AJ)</f>
        <v>0.42999999999999972</v>
      </c>
      <c r="J1155" cm="1">
        <f t="array" ref="J1155">_xlfn.XLOOKUP(TEXT(A1155, "mmm-yy"), TEXT([2]GASOLINE!$B$5:$B$208, "mmm-yy"), [2]GASOLINE!$IR$5:$IR$208, "Not Found")</f>
        <v>-197.13472960209555</v>
      </c>
      <c r="K1155" cm="1">
        <f t="array" ref="K1155">_xlfn.XLOOKUP(TEXT(A1155, "mmm-yy"), TEXT([2]GASOLINE!$B$5:$B$208, "mmm-yy"), [2]GASOLINE!$IK$5:$IK$208, "Not Found")</f>
        <v>171.24501238547114</v>
      </c>
      <c r="L1155">
        <f t="shared" ref="L1155:L1218" si="18">IF(OR(MONTH(A1155)=6, MONTH(A1155)=7, MONTH(A1155)=8, MONTH(A1155)=9), 1, 0)</f>
        <v>1</v>
      </c>
      <c r="M1155" cm="1">
        <f t="array" ref="M1155">_xlfn.XLOOKUP(TEXT(A1155, "mmm-yy"), TEXT([2]GASOLINE!$B$5:$B$208, "mmm-yy"), [2]GASOLINE!$C$5:$C$208, "Not Found")</f>
        <v>7307.9948449545409</v>
      </c>
      <c r="N1155" cm="1">
        <f t="array" ref="N1155">_xlfn.XLOOKUP(TEXT(A1155, "mmm-yy"), TEXT([2]RUNS!$B$5:$B$208, "mmm-yy"), [2]RUNS!$BM$5:$BM$208, "Not Found")</f>
        <v>0.82502918486074783</v>
      </c>
    </row>
    <row r="1156" spans="1:14" x14ac:dyDescent="0.25">
      <c r="A1156" s="1">
        <f>'[1]Global_Spot Prices'!$B2465</f>
        <v>43621</v>
      </c>
      <c r="B1156" t="e">
        <f>_xlfn.XLOOKUP(A1156,'[1]Global_Spot Prices'!$B:$B,'[1]Global_Spot Prices'!$BS:$BS)</f>
        <v>#N/A</v>
      </c>
      <c r="C1156" t="str">
        <f>_xlfn.XLOOKUP(A1156,'[1]Global_Spot Prices'!$B:$B,'[1]Global_Spot Prices'!$E:$E)</f>
        <v/>
      </c>
      <c r="D1156">
        <f>_xlfn.XLOOKUP(A1156,'[1]Global_Spot Prices'!$B:$B,'[1]Global_Spot Prices'!$D:$D)</f>
        <v>62.104999999999997</v>
      </c>
      <c r="E1156">
        <f>_xlfn.XLOOKUP(A1156,'[1]Global_Spot Prices'!$B:$B,'[1]Global_Spot Prices'!$H:$H)</f>
        <v>0</v>
      </c>
      <c r="F1156">
        <f>_xlfn.XLOOKUP(A1156,'[1]Global_Spot Prices'!$B:$B,'[1]Global_Spot Prices'!$I:$I)</f>
        <v>0</v>
      </c>
      <c r="G1156" cm="1">
        <f t="array" ref="G1156">_xlfn.XLOOKUP(TEXT(A1156, "mmm-yy"), TEXT([2]RUNS!$B$5:$B$208, "mmm-yy"), [2]RUNS!$D$5:$D$208, "Not Found")</f>
        <v>29619.950286115112</v>
      </c>
      <c r="H1156" cm="1">
        <f t="array" ref="H1156">SUMPRODUCT(
    --(TEXT('[3]Global Weekly Stock (EWSuez'!$B$4:$B$2000,"mmm-yy")=TEXT(A1156,"mmm-yy")),
    '[3]Global Weekly Stock (EWSuez'!$E$4:$E$2000)
/
SUMPRODUCT(
    --(TEXT('[3]Global Weekly Stock (EWSuez'!$B$4:$B$2000,"mmm-yy")=TEXT(A1156,"mmm-yy"))
)</f>
        <v>12112.5</v>
      </c>
      <c r="I1156">
        <f>_xlfn.XLOOKUP(A1156,[1]ForwardDeriv!$D:$D,[1]ForwardDeriv!$AJ:$AJ)</f>
        <v>0.53000000000000114</v>
      </c>
      <c r="J1156" cm="1">
        <f t="array" ref="J1156">_xlfn.XLOOKUP(TEXT(A1156, "mmm-yy"), TEXT([2]GASOLINE!$B$5:$B$208, "mmm-yy"), [2]GASOLINE!$IR$5:$IR$208, "Not Found")</f>
        <v>-197.13472960209555</v>
      </c>
      <c r="K1156" cm="1">
        <f t="array" ref="K1156">_xlfn.XLOOKUP(TEXT(A1156, "mmm-yy"), TEXT([2]GASOLINE!$B$5:$B$208, "mmm-yy"), [2]GASOLINE!$IK$5:$IK$208, "Not Found")</f>
        <v>171.24501238547114</v>
      </c>
      <c r="L1156">
        <f t="shared" si="18"/>
        <v>1</v>
      </c>
      <c r="M1156" cm="1">
        <f t="array" ref="M1156">_xlfn.XLOOKUP(TEXT(A1156, "mmm-yy"), TEXT([2]GASOLINE!$B$5:$B$208, "mmm-yy"), [2]GASOLINE!$C$5:$C$208, "Not Found")</f>
        <v>7307.9948449545409</v>
      </c>
      <c r="N1156" cm="1">
        <f t="array" ref="N1156">_xlfn.XLOOKUP(TEXT(A1156, "mmm-yy"), TEXT([2]RUNS!$B$5:$B$208, "mmm-yy"), [2]RUNS!$BM$5:$BM$208, "Not Found")</f>
        <v>0.82502918486074783</v>
      </c>
    </row>
    <row r="1157" spans="1:14" x14ac:dyDescent="0.25">
      <c r="A1157" s="1">
        <f>'[1]Global_Spot Prices'!$B2466</f>
        <v>43622</v>
      </c>
      <c r="B1157">
        <f>_xlfn.XLOOKUP(A1157,'[1]Global_Spot Prices'!$B:$B,'[1]Global_Spot Prices'!$BS:$BS)</f>
        <v>3.8400000000000034</v>
      </c>
      <c r="C1157">
        <f>_xlfn.XLOOKUP(A1157,'[1]Global_Spot Prices'!$B:$B,'[1]Global_Spot Prices'!$E:$E)</f>
        <v>59.33</v>
      </c>
      <c r="D1157">
        <f>_xlfn.XLOOKUP(A1157,'[1]Global_Spot Prices'!$B:$B,'[1]Global_Spot Prices'!$D:$D)</f>
        <v>62.44</v>
      </c>
      <c r="E1157">
        <f>_xlfn.XLOOKUP(A1157,'[1]Global_Spot Prices'!$B:$B,'[1]Global_Spot Prices'!$H:$H)</f>
        <v>48.33</v>
      </c>
      <c r="F1157">
        <f>_xlfn.XLOOKUP(A1157,'[1]Global_Spot Prices'!$B:$B,'[1]Global_Spot Prices'!$I:$I)</f>
        <v>63.17</v>
      </c>
      <c r="G1157" cm="1">
        <f t="array" ref="G1157">_xlfn.XLOOKUP(TEXT(A1157, "mmm-yy"), TEXT([2]RUNS!$B$5:$B$208, "mmm-yy"), [2]RUNS!$D$5:$D$208, "Not Found")</f>
        <v>29619.950286115112</v>
      </c>
      <c r="H1157" cm="1">
        <f t="array" ref="H1157">SUMPRODUCT(
    --(TEXT('[3]Global Weekly Stock (EWSuez'!$B$4:$B$2000,"mmm-yy")=TEXT(A1157,"mmm-yy")),
    '[3]Global Weekly Stock (EWSuez'!$E$4:$E$2000)
/
SUMPRODUCT(
    --(TEXT('[3]Global Weekly Stock (EWSuez'!$B$4:$B$2000,"mmm-yy")=TEXT(A1157,"mmm-yy"))
)</f>
        <v>12112.5</v>
      </c>
      <c r="I1157">
        <f>_xlfn.XLOOKUP(A1157,[1]ForwardDeriv!$D:$D,[1]ForwardDeriv!$AJ:$AJ)</f>
        <v>0.53000000000000114</v>
      </c>
      <c r="J1157" cm="1">
        <f t="array" ref="J1157">_xlfn.XLOOKUP(TEXT(A1157, "mmm-yy"), TEXT([2]GASOLINE!$B$5:$B$208, "mmm-yy"), [2]GASOLINE!$IR$5:$IR$208, "Not Found")</f>
        <v>-197.13472960209555</v>
      </c>
      <c r="K1157" cm="1">
        <f t="array" ref="K1157">_xlfn.XLOOKUP(TEXT(A1157, "mmm-yy"), TEXT([2]GASOLINE!$B$5:$B$208, "mmm-yy"), [2]GASOLINE!$IK$5:$IK$208, "Not Found")</f>
        <v>171.24501238547114</v>
      </c>
      <c r="L1157">
        <f t="shared" si="18"/>
        <v>1</v>
      </c>
      <c r="M1157" cm="1">
        <f t="array" ref="M1157">_xlfn.XLOOKUP(TEXT(A1157, "mmm-yy"), TEXT([2]GASOLINE!$B$5:$B$208, "mmm-yy"), [2]GASOLINE!$C$5:$C$208, "Not Found")</f>
        <v>7307.9948449545409</v>
      </c>
      <c r="N1157" cm="1">
        <f t="array" ref="N1157">_xlfn.XLOOKUP(TEXT(A1157, "mmm-yy"), TEXT([2]RUNS!$B$5:$B$208, "mmm-yy"), [2]RUNS!$BM$5:$BM$208, "Not Found")</f>
        <v>0.82502918486074783</v>
      </c>
    </row>
    <row r="1158" spans="1:14" x14ac:dyDescent="0.25">
      <c r="A1158" s="1">
        <f>'[1]Global_Spot Prices'!$B2467</f>
        <v>43623</v>
      </c>
      <c r="B1158">
        <f>_xlfn.XLOOKUP(A1158,'[1]Global_Spot Prices'!$B:$B,'[1]Global_Spot Prices'!$BS:$BS)</f>
        <v>4.0499999999999972</v>
      </c>
      <c r="C1158">
        <f>_xlfn.XLOOKUP(A1158,'[1]Global_Spot Prices'!$B:$B,'[1]Global_Spot Prices'!$E:$E)</f>
        <v>61.19</v>
      </c>
      <c r="D1158">
        <f>_xlfn.XLOOKUP(A1158,'[1]Global_Spot Prices'!$B:$B,'[1]Global_Spot Prices'!$D:$D)</f>
        <v>64.534999999999997</v>
      </c>
      <c r="E1158">
        <f>_xlfn.XLOOKUP(A1158,'[1]Global_Spot Prices'!$B:$B,'[1]Global_Spot Prices'!$H:$H)</f>
        <v>48.78</v>
      </c>
      <c r="F1158">
        <f>_xlfn.XLOOKUP(A1158,'[1]Global_Spot Prices'!$B:$B,'[1]Global_Spot Prices'!$I:$I)</f>
        <v>65.239999999999995</v>
      </c>
      <c r="G1158" cm="1">
        <f t="array" ref="G1158">_xlfn.XLOOKUP(TEXT(A1158, "mmm-yy"), TEXT([2]RUNS!$B$5:$B$208, "mmm-yy"), [2]RUNS!$D$5:$D$208, "Not Found")</f>
        <v>29619.950286115112</v>
      </c>
      <c r="H1158" cm="1">
        <f t="array" ref="H1158">SUMPRODUCT(
    --(TEXT('[3]Global Weekly Stock (EWSuez'!$B$4:$B$2000,"mmm-yy")=TEXT(A1158,"mmm-yy")),
    '[3]Global Weekly Stock (EWSuez'!$E$4:$E$2000)
/
SUMPRODUCT(
    --(TEXT('[3]Global Weekly Stock (EWSuez'!$B$4:$B$2000,"mmm-yy")=TEXT(A1158,"mmm-yy"))
)</f>
        <v>12112.5</v>
      </c>
      <c r="I1158">
        <f>_xlfn.XLOOKUP(A1158,[1]ForwardDeriv!$D:$D,[1]ForwardDeriv!$AJ:$AJ)</f>
        <v>0.65000000000000568</v>
      </c>
      <c r="J1158" cm="1">
        <f t="array" ref="J1158">_xlfn.XLOOKUP(TEXT(A1158, "mmm-yy"), TEXT([2]GASOLINE!$B$5:$B$208, "mmm-yy"), [2]GASOLINE!$IR$5:$IR$208, "Not Found")</f>
        <v>-197.13472960209555</v>
      </c>
      <c r="K1158" cm="1">
        <f t="array" ref="K1158">_xlfn.XLOOKUP(TEXT(A1158, "mmm-yy"), TEXT([2]GASOLINE!$B$5:$B$208, "mmm-yy"), [2]GASOLINE!$IK$5:$IK$208, "Not Found")</f>
        <v>171.24501238547114</v>
      </c>
      <c r="L1158">
        <f t="shared" si="18"/>
        <v>1</v>
      </c>
      <c r="M1158" cm="1">
        <f t="array" ref="M1158">_xlfn.XLOOKUP(TEXT(A1158, "mmm-yy"), TEXT([2]GASOLINE!$B$5:$B$208, "mmm-yy"), [2]GASOLINE!$C$5:$C$208, "Not Found")</f>
        <v>7307.9948449545409</v>
      </c>
      <c r="N1158" cm="1">
        <f t="array" ref="N1158">_xlfn.XLOOKUP(TEXT(A1158, "mmm-yy"), TEXT([2]RUNS!$B$5:$B$208, "mmm-yy"), [2]RUNS!$BM$5:$BM$208, "Not Found")</f>
        <v>0.82502918486074783</v>
      </c>
    </row>
    <row r="1159" spans="1:14" x14ac:dyDescent="0.25">
      <c r="A1159" s="1">
        <f>'[1]Global_Spot Prices'!$B2468</f>
        <v>43626</v>
      </c>
      <c r="B1159">
        <f>_xlfn.XLOOKUP(A1159,'[1]Global_Spot Prices'!$B:$B,'[1]Global_Spot Prices'!$BS:$BS)</f>
        <v>4.1299999999999955</v>
      </c>
      <c r="C1159">
        <f>_xlfn.XLOOKUP(A1159,'[1]Global_Spot Prices'!$B:$B,'[1]Global_Spot Prices'!$E:$E)</f>
        <v>61.89</v>
      </c>
      <c r="D1159">
        <f>_xlfn.XLOOKUP(A1159,'[1]Global_Spot Prices'!$B:$B,'[1]Global_Spot Prices'!$D:$D)</f>
        <v>64.42</v>
      </c>
      <c r="E1159">
        <f>_xlfn.XLOOKUP(A1159,'[1]Global_Spot Prices'!$B:$B,'[1]Global_Spot Prices'!$H:$H)</f>
        <v>49.92</v>
      </c>
      <c r="F1159">
        <f>_xlfn.XLOOKUP(A1159,'[1]Global_Spot Prices'!$B:$B,'[1]Global_Spot Prices'!$I:$I)</f>
        <v>66.02</v>
      </c>
      <c r="G1159" cm="1">
        <f t="array" ref="G1159">_xlfn.XLOOKUP(TEXT(A1159, "mmm-yy"), TEXT([2]RUNS!$B$5:$B$208, "mmm-yy"), [2]RUNS!$D$5:$D$208, "Not Found")</f>
        <v>29619.950286115112</v>
      </c>
      <c r="H1159" cm="1">
        <f t="array" ref="H1159">SUMPRODUCT(
    --(TEXT('[3]Global Weekly Stock (EWSuez'!$B$4:$B$2000,"mmm-yy")=TEXT(A1159,"mmm-yy")),
    '[3]Global Weekly Stock (EWSuez'!$E$4:$E$2000)
/
SUMPRODUCT(
    --(TEXT('[3]Global Weekly Stock (EWSuez'!$B$4:$B$2000,"mmm-yy")=TEXT(A1159,"mmm-yy"))
)</f>
        <v>12112.5</v>
      </c>
      <c r="I1159">
        <f>_xlfn.XLOOKUP(A1159,[1]ForwardDeriv!$D:$D,[1]ForwardDeriv!$AJ:$AJ)</f>
        <v>0.62999999999999545</v>
      </c>
      <c r="J1159" cm="1">
        <f t="array" ref="J1159">_xlfn.XLOOKUP(TEXT(A1159, "mmm-yy"), TEXT([2]GASOLINE!$B$5:$B$208, "mmm-yy"), [2]GASOLINE!$IR$5:$IR$208, "Not Found")</f>
        <v>-197.13472960209555</v>
      </c>
      <c r="K1159" cm="1">
        <f t="array" ref="K1159">_xlfn.XLOOKUP(TEXT(A1159, "mmm-yy"), TEXT([2]GASOLINE!$B$5:$B$208, "mmm-yy"), [2]GASOLINE!$IK$5:$IK$208, "Not Found")</f>
        <v>171.24501238547114</v>
      </c>
      <c r="L1159">
        <f t="shared" si="18"/>
        <v>1</v>
      </c>
      <c r="M1159" cm="1">
        <f t="array" ref="M1159">_xlfn.XLOOKUP(TEXT(A1159, "mmm-yy"), TEXT([2]GASOLINE!$B$5:$B$208, "mmm-yy"), [2]GASOLINE!$C$5:$C$208, "Not Found")</f>
        <v>7307.9948449545409</v>
      </c>
      <c r="N1159" cm="1">
        <f t="array" ref="N1159">_xlfn.XLOOKUP(TEXT(A1159, "mmm-yy"), TEXT([2]RUNS!$B$5:$B$208, "mmm-yy"), [2]RUNS!$BM$5:$BM$208, "Not Found")</f>
        <v>0.82502918486074783</v>
      </c>
    </row>
    <row r="1160" spans="1:14" x14ac:dyDescent="0.25">
      <c r="A1160" s="1">
        <f>'[1]Global_Spot Prices'!$B2469</f>
        <v>43627</v>
      </c>
      <c r="B1160">
        <f>_xlfn.XLOOKUP(A1160,'[1]Global_Spot Prices'!$B:$B,'[1]Global_Spot Prices'!$BS:$BS)</f>
        <v>4</v>
      </c>
      <c r="C1160">
        <f>_xlfn.XLOOKUP(A1160,'[1]Global_Spot Prices'!$B:$B,'[1]Global_Spot Prices'!$E:$E)</f>
        <v>61.25</v>
      </c>
      <c r="D1160">
        <f>_xlfn.XLOOKUP(A1160,'[1]Global_Spot Prices'!$B:$B,'[1]Global_Spot Prices'!$D:$D)</f>
        <v>64.144999999999996</v>
      </c>
      <c r="E1160">
        <f>_xlfn.XLOOKUP(A1160,'[1]Global_Spot Prices'!$B:$B,'[1]Global_Spot Prices'!$H:$H)</f>
        <v>49.74</v>
      </c>
      <c r="F1160">
        <f>_xlfn.XLOOKUP(A1160,'[1]Global_Spot Prices'!$B:$B,'[1]Global_Spot Prices'!$I:$I)</f>
        <v>65.25</v>
      </c>
      <c r="G1160" cm="1">
        <f t="array" ref="G1160">_xlfn.XLOOKUP(TEXT(A1160, "mmm-yy"), TEXT([2]RUNS!$B$5:$B$208, "mmm-yy"), [2]RUNS!$D$5:$D$208, "Not Found")</f>
        <v>29619.950286115112</v>
      </c>
      <c r="H1160" cm="1">
        <f t="array" ref="H1160">SUMPRODUCT(
    --(TEXT('[3]Global Weekly Stock (EWSuez'!$B$4:$B$2000,"mmm-yy")=TEXT(A1160,"mmm-yy")),
    '[3]Global Weekly Stock (EWSuez'!$E$4:$E$2000)
/
SUMPRODUCT(
    --(TEXT('[3]Global Weekly Stock (EWSuez'!$B$4:$B$2000,"mmm-yy")=TEXT(A1160,"mmm-yy"))
)</f>
        <v>12112.5</v>
      </c>
      <c r="I1160">
        <f>_xlfn.XLOOKUP(A1160,[1]ForwardDeriv!$D:$D,[1]ForwardDeriv!$AJ:$AJ)</f>
        <v>0.54999999999999716</v>
      </c>
      <c r="J1160" cm="1">
        <f t="array" ref="J1160">_xlfn.XLOOKUP(TEXT(A1160, "mmm-yy"), TEXT([2]GASOLINE!$B$5:$B$208, "mmm-yy"), [2]GASOLINE!$IR$5:$IR$208, "Not Found")</f>
        <v>-197.13472960209555</v>
      </c>
      <c r="K1160" cm="1">
        <f t="array" ref="K1160">_xlfn.XLOOKUP(TEXT(A1160, "mmm-yy"), TEXT([2]GASOLINE!$B$5:$B$208, "mmm-yy"), [2]GASOLINE!$IK$5:$IK$208, "Not Found")</f>
        <v>171.24501238547114</v>
      </c>
      <c r="L1160">
        <f t="shared" si="18"/>
        <v>1</v>
      </c>
      <c r="M1160" cm="1">
        <f t="array" ref="M1160">_xlfn.XLOOKUP(TEXT(A1160, "mmm-yy"), TEXT([2]GASOLINE!$B$5:$B$208, "mmm-yy"), [2]GASOLINE!$C$5:$C$208, "Not Found")</f>
        <v>7307.9948449545409</v>
      </c>
      <c r="N1160" cm="1">
        <f t="array" ref="N1160">_xlfn.XLOOKUP(TEXT(A1160, "mmm-yy"), TEXT([2]RUNS!$B$5:$B$208, "mmm-yy"), [2]RUNS!$BM$5:$BM$208, "Not Found")</f>
        <v>0.82502918486074783</v>
      </c>
    </row>
    <row r="1161" spans="1:14" x14ac:dyDescent="0.25">
      <c r="A1161" s="1">
        <f>'[1]Global_Spot Prices'!$B2470</f>
        <v>43628</v>
      </c>
      <c r="B1161">
        <f>_xlfn.XLOOKUP(A1161,'[1]Global_Spot Prices'!$B:$B,'[1]Global_Spot Prices'!$BS:$BS)</f>
        <v>4.2149999999999963</v>
      </c>
      <c r="C1161">
        <f>_xlfn.XLOOKUP(A1161,'[1]Global_Spot Prices'!$B:$B,'[1]Global_Spot Prices'!$E:$E)</f>
        <v>59.884999999999998</v>
      </c>
      <c r="D1161">
        <f>_xlfn.XLOOKUP(A1161,'[1]Global_Spot Prices'!$B:$B,'[1]Global_Spot Prices'!$D:$D)</f>
        <v>62.354999999999997</v>
      </c>
      <c r="E1161">
        <f>_xlfn.XLOOKUP(A1161,'[1]Global_Spot Prices'!$B:$B,'[1]Global_Spot Prices'!$H:$H)</f>
        <v>48.7</v>
      </c>
      <c r="F1161">
        <f>_xlfn.XLOOKUP(A1161,'[1]Global_Spot Prices'!$B:$B,'[1]Global_Spot Prices'!$I:$I)</f>
        <v>64.099999999999994</v>
      </c>
      <c r="G1161" cm="1">
        <f t="array" ref="G1161">_xlfn.XLOOKUP(TEXT(A1161, "mmm-yy"), TEXT([2]RUNS!$B$5:$B$208, "mmm-yy"), [2]RUNS!$D$5:$D$208, "Not Found")</f>
        <v>29619.950286115112</v>
      </c>
      <c r="H1161" cm="1">
        <f t="array" ref="H1161">SUMPRODUCT(
    --(TEXT('[3]Global Weekly Stock (EWSuez'!$B$4:$B$2000,"mmm-yy")=TEXT(A1161,"mmm-yy")),
    '[3]Global Weekly Stock (EWSuez'!$E$4:$E$2000)
/
SUMPRODUCT(
    --(TEXT('[3]Global Weekly Stock (EWSuez'!$B$4:$B$2000,"mmm-yy")=TEXT(A1161,"mmm-yy"))
)</f>
        <v>12112.5</v>
      </c>
      <c r="I1161">
        <f>_xlfn.XLOOKUP(A1161,[1]ForwardDeriv!$D:$D,[1]ForwardDeriv!$AJ:$AJ)</f>
        <v>0.52000000000000313</v>
      </c>
      <c r="J1161" cm="1">
        <f t="array" ref="J1161">_xlfn.XLOOKUP(TEXT(A1161, "mmm-yy"), TEXT([2]GASOLINE!$B$5:$B$208, "mmm-yy"), [2]GASOLINE!$IR$5:$IR$208, "Not Found")</f>
        <v>-197.13472960209555</v>
      </c>
      <c r="K1161" cm="1">
        <f t="array" ref="K1161">_xlfn.XLOOKUP(TEXT(A1161, "mmm-yy"), TEXT([2]GASOLINE!$B$5:$B$208, "mmm-yy"), [2]GASOLINE!$IK$5:$IK$208, "Not Found")</f>
        <v>171.24501238547114</v>
      </c>
      <c r="L1161">
        <f t="shared" si="18"/>
        <v>1</v>
      </c>
      <c r="M1161" cm="1">
        <f t="array" ref="M1161">_xlfn.XLOOKUP(TEXT(A1161, "mmm-yy"), TEXT([2]GASOLINE!$B$5:$B$208, "mmm-yy"), [2]GASOLINE!$C$5:$C$208, "Not Found")</f>
        <v>7307.9948449545409</v>
      </c>
      <c r="N1161" cm="1">
        <f t="array" ref="N1161">_xlfn.XLOOKUP(TEXT(A1161, "mmm-yy"), TEXT([2]RUNS!$B$5:$B$208, "mmm-yy"), [2]RUNS!$BM$5:$BM$208, "Not Found")</f>
        <v>0.82502918486074783</v>
      </c>
    </row>
    <row r="1162" spans="1:14" x14ac:dyDescent="0.25">
      <c r="A1162" s="1">
        <f>'[1]Global_Spot Prices'!$B2471</f>
        <v>43629</v>
      </c>
      <c r="B1162">
        <f>_xlfn.XLOOKUP(A1162,'[1]Global_Spot Prices'!$B:$B,'[1]Global_Spot Prices'!$BS:$BS)</f>
        <v>3.7600000000000051</v>
      </c>
      <c r="C1162">
        <f>_xlfn.XLOOKUP(A1162,'[1]Global_Spot Prices'!$B:$B,'[1]Global_Spot Prices'!$E:$E)</f>
        <v>60.3</v>
      </c>
      <c r="D1162">
        <f>_xlfn.XLOOKUP(A1162,'[1]Global_Spot Prices'!$B:$B,'[1]Global_Spot Prices'!$D:$D)</f>
        <v>62.865000000000002</v>
      </c>
      <c r="E1162">
        <f>_xlfn.XLOOKUP(A1162,'[1]Global_Spot Prices'!$B:$B,'[1]Global_Spot Prices'!$H:$H)</f>
        <v>49.26</v>
      </c>
      <c r="F1162">
        <f>_xlfn.XLOOKUP(A1162,'[1]Global_Spot Prices'!$B:$B,'[1]Global_Spot Prices'!$I:$I)</f>
        <v>64.06</v>
      </c>
      <c r="G1162" cm="1">
        <f t="array" ref="G1162">_xlfn.XLOOKUP(TEXT(A1162, "mmm-yy"), TEXT([2]RUNS!$B$5:$B$208, "mmm-yy"), [2]RUNS!$D$5:$D$208, "Not Found")</f>
        <v>29619.950286115112</v>
      </c>
      <c r="H1162" cm="1">
        <f t="array" ref="H1162">SUMPRODUCT(
    --(TEXT('[3]Global Weekly Stock (EWSuez'!$B$4:$B$2000,"mmm-yy")=TEXT(A1162,"mmm-yy")),
    '[3]Global Weekly Stock (EWSuez'!$E$4:$E$2000)
/
SUMPRODUCT(
    --(TEXT('[3]Global Weekly Stock (EWSuez'!$B$4:$B$2000,"mmm-yy")=TEXT(A1162,"mmm-yy"))
)</f>
        <v>12112.5</v>
      </c>
      <c r="I1162">
        <f>_xlfn.XLOOKUP(A1162,[1]ForwardDeriv!$D:$D,[1]ForwardDeriv!$AJ:$AJ)</f>
        <v>0.55999999999999517</v>
      </c>
      <c r="J1162" cm="1">
        <f t="array" ref="J1162">_xlfn.XLOOKUP(TEXT(A1162, "mmm-yy"), TEXT([2]GASOLINE!$B$5:$B$208, "mmm-yy"), [2]GASOLINE!$IR$5:$IR$208, "Not Found")</f>
        <v>-197.13472960209555</v>
      </c>
      <c r="K1162" cm="1">
        <f t="array" ref="K1162">_xlfn.XLOOKUP(TEXT(A1162, "mmm-yy"), TEXT([2]GASOLINE!$B$5:$B$208, "mmm-yy"), [2]GASOLINE!$IK$5:$IK$208, "Not Found")</f>
        <v>171.24501238547114</v>
      </c>
      <c r="L1162">
        <f t="shared" si="18"/>
        <v>1</v>
      </c>
      <c r="M1162" cm="1">
        <f t="array" ref="M1162">_xlfn.XLOOKUP(TEXT(A1162, "mmm-yy"), TEXT([2]GASOLINE!$B$5:$B$208, "mmm-yy"), [2]GASOLINE!$C$5:$C$208, "Not Found")</f>
        <v>7307.9948449545409</v>
      </c>
      <c r="N1162" cm="1">
        <f t="array" ref="N1162">_xlfn.XLOOKUP(TEXT(A1162, "mmm-yy"), TEXT([2]RUNS!$B$5:$B$208, "mmm-yy"), [2]RUNS!$BM$5:$BM$208, "Not Found")</f>
        <v>0.82502918486074783</v>
      </c>
    </row>
    <row r="1163" spans="1:14" x14ac:dyDescent="0.25">
      <c r="A1163" s="1">
        <f>'[1]Global_Spot Prices'!$B2472</f>
        <v>43630</v>
      </c>
      <c r="B1163">
        <f>_xlfn.XLOOKUP(A1163,'[1]Global_Spot Prices'!$B:$B,'[1]Global_Spot Prices'!$BS:$BS)</f>
        <v>3.9600000000000009</v>
      </c>
      <c r="C1163">
        <f>_xlfn.XLOOKUP(A1163,'[1]Global_Spot Prices'!$B:$B,'[1]Global_Spot Prices'!$E:$E)</f>
        <v>59.89</v>
      </c>
      <c r="D1163">
        <f>_xlfn.XLOOKUP(A1163,'[1]Global_Spot Prices'!$B:$B,'[1]Global_Spot Prices'!$D:$D)</f>
        <v>63.094999999999999</v>
      </c>
      <c r="E1163">
        <f>_xlfn.XLOOKUP(A1163,'[1]Global_Spot Prices'!$B:$B,'[1]Global_Spot Prices'!$H:$H)</f>
        <v>49.31</v>
      </c>
      <c r="F1163">
        <f>_xlfn.XLOOKUP(A1163,'[1]Global_Spot Prices'!$B:$B,'[1]Global_Spot Prices'!$I:$I)</f>
        <v>63.85</v>
      </c>
      <c r="G1163" cm="1">
        <f t="array" ref="G1163">_xlfn.XLOOKUP(TEXT(A1163, "mmm-yy"), TEXT([2]RUNS!$B$5:$B$208, "mmm-yy"), [2]RUNS!$D$5:$D$208, "Not Found")</f>
        <v>29619.950286115112</v>
      </c>
      <c r="H1163" cm="1">
        <f t="array" ref="H1163">SUMPRODUCT(
    --(TEXT('[3]Global Weekly Stock (EWSuez'!$B$4:$B$2000,"mmm-yy")=TEXT(A1163,"mmm-yy")),
    '[3]Global Weekly Stock (EWSuez'!$E$4:$E$2000)
/
SUMPRODUCT(
    --(TEXT('[3]Global Weekly Stock (EWSuez'!$B$4:$B$2000,"mmm-yy")=TEXT(A1163,"mmm-yy"))
)</f>
        <v>12112.5</v>
      </c>
      <c r="I1163">
        <f>_xlfn.XLOOKUP(A1163,[1]ForwardDeriv!$D:$D,[1]ForwardDeriv!$AJ:$AJ)</f>
        <v>0.58999999999999631</v>
      </c>
      <c r="J1163" cm="1">
        <f t="array" ref="J1163">_xlfn.XLOOKUP(TEXT(A1163, "mmm-yy"), TEXT([2]GASOLINE!$B$5:$B$208, "mmm-yy"), [2]GASOLINE!$IR$5:$IR$208, "Not Found")</f>
        <v>-197.13472960209555</v>
      </c>
      <c r="K1163" cm="1">
        <f t="array" ref="K1163">_xlfn.XLOOKUP(TEXT(A1163, "mmm-yy"), TEXT([2]GASOLINE!$B$5:$B$208, "mmm-yy"), [2]GASOLINE!$IK$5:$IK$208, "Not Found")</f>
        <v>171.24501238547114</v>
      </c>
      <c r="L1163">
        <f t="shared" si="18"/>
        <v>1</v>
      </c>
      <c r="M1163" cm="1">
        <f t="array" ref="M1163">_xlfn.XLOOKUP(TEXT(A1163, "mmm-yy"), TEXT([2]GASOLINE!$B$5:$B$208, "mmm-yy"), [2]GASOLINE!$C$5:$C$208, "Not Found")</f>
        <v>7307.9948449545409</v>
      </c>
      <c r="N1163" cm="1">
        <f t="array" ref="N1163">_xlfn.XLOOKUP(TEXT(A1163, "mmm-yy"), TEXT([2]RUNS!$B$5:$B$208, "mmm-yy"), [2]RUNS!$BM$5:$BM$208, "Not Found")</f>
        <v>0.82502918486074783</v>
      </c>
    </row>
    <row r="1164" spans="1:14" x14ac:dyDescent="0.25">
      <c r="A1164" s="1">
        <f>'[1]Global_Spot Prices'!$B2473</f>
        <v>43633</v>
      </c>
      <c r="B1164">
        <f>_xlfn.XLOOKUP(A1164,'[1]Global_Spot Prices'!$B:$B,'[1]Global_Spot Prices'!$BS:$BS)</f>
        <v>3.0899999999999963</v>
      </c>
      <c r="C1164">
        <f>_xlfn.XLOOKUP(A1164,'[1]Global_Spot Prices'!$B:$B,'[1]Global_Spot Prices'!$E:$E)</f>
        <v>60.71</v>
      </c>
      <c r="D1164">
        <f>_xlfn.XLOOKUP(A1164,'[1]Global_Spot Prices'!$B:$B,'[1]Global_Spot Prices'!$D:$D)</f>
        <v>62.424999999999997</v>
      </c>
      <c r="E1164">
        <f>_xlfn.XLOOKUP(A1164,'[1]Global_Spot Prices'!$B:$B,'[1]Global_Spot Prices'!$H:$H)</f>
        <v>50.42</v>
      </c>
      <c r="F1164">
        <f>_xlfn.XLOOKUP(A1164,'[1]Global_Spot Prices'!$B:$B,'[1]Global_Spot Prices'!$I:$I)</f>
        <v>63.8</v>
      </c>
      <c r="G1164" cm="1">
        <f t="array" ref="G1164">_xlfn.XLOOKUP(TEXT(A1164, "mmm-yy"), TEXT([2]RUNS!$B$5:$B$208, "mmm-yy"), [2]RUNS!$D$5:$D$208, "Not Found")</f>
        <v>29619.950286115112</v>
      </c>
      <c r="H1164" cm="1">
        <f t="array" ref="H1164">SUMPRODUCT(
    --(TEXT('[3]Global Weekly Stock (EWSuez'!$B$4:$B$2000,"mmm-yy")=TEXT(A1164,"mmm-yy")),
    '[3]Global Weekly Stock (EWSuez'!$E$4:$E$2000)
/
SUMPRODUCT(
    --(TEXT('[3]Global Weekly Stock (EWSuez'!$B$4:$B$2000,"mmm-yy")=TEXT(A1164,"mmm-yy"))
)</f>
        <v>12112.5</v>
      </c>
      <c r="I1164">
        <f>_xlfn.XLOOKUP(A1164,[1]ForwardDeriv!$D:$D,[1]ForwardDeriv!$AJ:$AJ)</f>
        <v>0.53000000000000114</v>
      </c>
      <c r="J1164" cm="1">
        <f t="array" ref="J1164">_xlfn.XLOOKUP(TEXT(A1164, "mmm-yy"), TEXT([2]GASOLINE!$B$5:$B$208, "mmm-yy"), [2]GASOLINE!$IR$5:$IR$208, "Not Found")</f>
        <v>-197.13472960209555</v>
      </c>
      <c r="K1164" cm="1">
        <f t="array" ref="K1164">_xlfn.XLOOKUP(TEXT(A1164, "mmm-yy"), TEXT([2]GASOLINE!$B$5:$B$208, "mmm-yy"), [2]GASOLINE!$IK$5:$IK$208, "Not Found")</f>
        <v>171.24501238547114</v>
      </c>
      <c r="L1164">
        <f t="shared" si="18"/>
        <v>1</v>
      </c>
      <c r="M1164" cm="1">
        <f t="array" ref="M1164">_xlfn.XLOOKUP(TEXT(A1164, "mmm-yy"), TEXT([2]GASOLINE!$B$5:$B$208, "mmm-yy"), [2]GASOLINE!$C$5:$C$208, "Not Found")</f>
        <v>7307.9948449545409</v>
      </c>
      <c r="N1164" cm="1">
        <f t="array" ref="N1164">_xlfn.XLOOKUP(TEXT(A1164, "mmm-yy"), TEXT([2]RUNS!$B$5:$B$208, "mmm-yy"), [2]RUNS!$BM$5:$BM$208, "Not Found")</f>
        <v>0.82502918486074783</v>
      </c>
    </row>
    <row r="1165" spans="1:14" x14ac:dyDescent="0.25">
      <c r="A1165" s="1">
        <f>'[1]Global_Spot Prices'!$B2474</f>
        <v>43634</v>
      </c>
      <c r="B1165">
        <f>_xlfn.XLOOKUP(A1165,'[1]Global_Spot Prices'!$B:$B,'[1]Global_Spot Prices'!$BS:$BS)</f>
        <v>3.0799999999999983</v>
      </c>
      <c r="C1165">
        <f>_xlfn.XLOOKUP(A1165,'[1]Global_Spot Prices'!$B:$B,'[1]Global_Spot Prices'!$E:$E)</f>
        <v>59.89</v>
      </c>
      <c r="D1165">
        <f>_xlfn.XLOOKUP(A1165,'[1]Global_Spot Prices'!$B:$B,'[1]Global_Spot Prices'!$D:$D)</f>
        <v>63.075000000000003</v>
      </c>
      <c r="E1165">
        <f>_xlfn.XLOOKUP(A1165,'[1]Global_Spot Prices'!$B:$B,'[1]Global_Spot Prices'!$H:$H)</f>
        <v>49.73</v>
      </c>
      <c r="F1165">
        <f>_xlfn.XLOOKUP(A1165,'[1]Global_Spot Prices'!$B:$B,'[1]Global_Spot Prices'!$I:$I)</f>
        <v>62.97</v>
      </c>
      <c r="G1165" cm="1">
        <f t="array" ref="G1165">_xlfn.XLOOKUP(TEXT(A1165, "mmm-yy"), TEXT([2]RUNS!$B$5:$B$208, "mmm-yy"), [2]RUNS!$D$5:$D$208, "Not Found")</f>
        <v>29619.950286115112</v>
      </c>
      <c r="H1165" cm="1">
        <f t="array" ref="H1165">SUMPRODUCT(
    --(TEXT('[3]Global Weekly Stock (EWSuez'!$B$4:$B$2000,"mmm-yy")=TEXT(A1165,"mmm-yy")),
    '[3]Global Weekly Stock (EWSuez'!$E$4:$E$2000)
/
SUMPRODUCT(
    --(TEXT('[3]Global Weekly Stock (EWSuez'!$B$4:$B$2000,"mmm-yy")=TEXT(A1165,"mmm-yy"))
)</f>
        <v>12112.5</v>
      </c>
      <c r="I1165">
        <f>_xlfn.XLOOKUP(A1165,[1]ForwardDeriv!$D:$D,[1]ForwardDeriv!$AJ:$AJ)</f>
        <v>0.48000000000000398</v>
      </c>
      <c r="J1165" cm="1">
        <f t="array" ref="J1165">_xlfn.XLOOKUP(TEXT(A1165, "mmm-yy"), TEXT([2]GASOLINE!$B$5:$B$208, "mmm-yy"), [2]GASOLINE!$IR$5:$IR$208, "Not Found")</f>
        <v>-197.13472960209555</v>
      </c>
      <c r="K1165" cm="1">
        <f t="array" ref="K1165">_xlfn.XLOOKUP(TEXT(A1165, "mmm-yy"), TEXT([2]GASOLINE!$B$5:$B$208, "mmm-yy"), [2]GASOLINE!$IK$5:$IK$208, "Not Found")</f>
        <v>171.24501238547114</v>
      </c>
      <c r="L1165">
        <f t="shared" si="18"/>
        <v>1</v>
      </c>
      <c r="M1165" cm="1">
        <f t="array" ref="M1165">_xlfn.XLOOKUP(TEXT(A1165, "mmm-yy"), TEXT([2]GASOLINE!$B$5:$B$208, "mmm-yy"), [2]GASOLINE!$C$5:$C$208, "Not Found")</f>
        <v>7307.9948449545409</v>
      </c>
      <c r="N1165" cm="1">
        <f t="array" ref="N1165">_xlfn.XLOOKUP(TEXT(A1165, "mmm-yy"), TEXT([2]RUNS!$B$5:$B$208, "mmm-yy"), [2]RUNS!$BM$5:$BM$208, "Not Found")</f>
        <v>0.82502918486074783</v>
      </c>
    </row>
    <row r="1166" spans="1:14" x14ac:dyDescent="0.25">
      <c r="A1166" s="1">
        <f>'[1]Global_Spot Prices'!$B2475</f>
        <v>43635</v>
      </c>
      <c r="B1166">
        <f>_xlfn.XLOOKUP(A1166,'[1]Global_Spot Prices'!$B:$B,'[1]Global_Spot Prices'!$BS:$BS)</f>
        <v>3.3500000000000085</v>
      </c>
      <c r="C1166">
        <f>_xlfn.XLOOKUP(A1166,'[1]Global_Spot Prices'!$B:$B,'[1]Global_Spot Prices'!$E:$E)</f>
        <v>61.19</v>
      </c>
      <c r="D1166">
        <f>_xlfn.XLOOKUP(A1166,'[1]Global_Spot Prices'!$B:$B,'[1]Global_Spot Prices'!$D:$D)</f>
        <v>62.594999999999999</v>
      </c>
      <c r="E1166">
        <f>_xlfn.XLOOKUP(A1166,'[1]Global_Spot Prices'!$B:$B,'[1]Global_Spot Prices'!$H:$H)</f>
        <v>51.89</v>
      </c>
      <c r="F1166">
        <f>_xlfn.XLOOKUP(A1166,'[1]Global_Spot Prices'!$B:$B,'[1]Global_Spot Prices'!$I:$I)</f>
        <v>64.540000000000006</v>
      </c>
      <c r="G1166" cm="1">
        <f t="array" ref="G1166">_xlfn.XLOOKUP(TEXT(A1166, "mmm-yy"), TEXT([2]RUNS!$B$5:$B$208, "mmm-yy"), [2]RUNS!$D$5:$D$208, "Not Found")</f>
        <v>29619.950286115112</v>
      </c>
      <c r="H1166" cm="1">
        <f t="array" ref="H1166">SUMPRODUCT(
    --(TEXT('[3]Global Weekly Stock (EWSuez'!$B$4:$B$2000,"mmm-yy")=TEXT(A1166,"mmm-yy")),
    '[3]Global Weekly Stock (EWSuez'!$E$4:$E$2000)
/
SUMPRODUCT(
    --(TEXT('[3]Global Weekly Stock (EWSuez'!$B$4:$B$2000,"mmm-yy")=TEXT(A1166,"mmm-yy"))
)</f>
        <v>12112.5</v>
      </c>
      <c r="I1166">
        <f>_xlfn.XLOOKUP(A1166,[1]ForwardDeriv!$D:$D,[1]ForwardDeriv!$AJ:$AJ)</f>
        <v>0.48999999999999488</v>
      </c>
      <c r="J1166" cm="1">
        <f t="array" ref="J1166">_xlfn.XLOOKUP(TEXT(A1166, "mmm-yy"), TEXT([2]GASOLINE!$B$5:$B$208, "mmm-yy"), [2]GASOLINE!$IR$5:$IR$208, "Not Found")</f>
        <v>-197.13472960209555</v>
      </c>
      <c r="K1166" cm="1">
        <f t="array" ref="K1166">_xlfn.XLOOKUP(TEXT(A1166, "mmm-yy"), TEXT([2]GASOLINE!$B$5:$B$208, "mmm-yy"), [2]GASOLINE!$IK$5:$IK$208, "Not Found")</f>
        <v>171.24501238547114</v>
      </c>
      <c r="L1166">
        <f t="shared" si="18"/>
        <v>1</v>
      </c>
      <c r="M1166" cm="1">
        <f t="array" ref="M1166">_xlfn.XLOOKUP(TEXT(A1166, "mmm-yy"), TEXT([2]GASOLINE!$B$5:$B$208, "mmm-yy"), [2]GASOLINE!$C$5:$C$208, "Not Found")</f>
        <v>7307.9948449545409</v>
      </c>
      <c r="N1166" cm="1">
        <f t="array" ref="N1166">_xlfn.XLOOKUP(TEXT(A1166, "mmm-yy"), TEXT([2]RUNS!$B$5:$B$208, "mmm-yy"), [2]RUNS!$BM$5:$BM$208, "Not Found")</f>
        <v>0.82502918486074783</v>
      </c>
    </row>
    <row r="1167" spans="1:14" x14ac:dyDescent="0.25">
      <c r="A1167" s="1">
        <f>'[1]Global_Spot Prices'!$B2476</f>
        <v>43636</v>
      </c>
      <c r="B1167">
        <f>_xlfn.XLOOKUP(A1167,'[1]Global_Spot Prices'!$B:$B,'[1]Global_Spot Prices'!$BS:$BS)</f>
        <v>3.769999999999996</v>
      </c>
      <c r="C1167">
        <f>_xlfn.XLOOKUP(A1167,'[1]Global_Spot Prices'!$B:$B,'[1]Global_Spot Prices'!$E:$E)</f>
        <v>62.59</v>
      </c>
      <c r="D1167">
        <f>_xlfn.XLOOKUP(A1167,'[1]Global_Spot Prices'!$B:$B,'[1]Global_Spot Prices'!$D:$D)</f>
        <v>64.97</v>
      </c>
      <c r="E1167">
        <f>_xlfn.XLOOKUP(A1167,'[1]Global_Spot Prices'!$B:$B,'[1]Global_Spot Prices'!$H:$H)</f>
        <v>53.62</v>
      </c>
      <c r="F1167">
        <f>_xlfn.XLOOKUP(A1167,'[1]Global_Spot Prices'!$B:$B,'[1]Global_Spot Prices'!$I:$I)</f>
        <v>66.36</v>
      </c>
      <c r="G1167" cm="1">
        <f t="array" ref="G1167">_xlfn.XLOOKUP(TEXT(A1167, "mmm-yy"), TEXT([2]RUNS!$B$5:$B$208, "mmm-yy"), [2]RUNS!$D$5:$D$208, "Not Found")</f>
        <v>29619.950286115112</v>
      </c>
      <c r="H1167" cm="1">
        <f t="array" ref="H1167">SUMPRODUCT(
    --(TEXT('[3]Global Weekly Stock (EWSuez'!$B$4:$B$2000,"mmm-yy")=TEXT(A1167,"mmm-yy")),
    '[3]Global Weekly Stock (EWSuez'!$E$4:$E$2000)
/
SUMPRODUCT(
    --(TEXT('[3]Global Weekly Stock (EWSuez'!$B$4:$B$2000,"mmm-yy")=TEXT(A1167,"mmm-yy"))
)</f>
        <v>12112.5</v>
      </c>
      <c r="I1167">
        <f>_xlfn.XLOOKUP(A1167,[1]ForwardDeriv!$D:$D,[1]ForwardDeriv!$AJ:$AJ)</f>
        <v>0.63000000000000966</v>
      </c>
      <c r="J1167" cm="1">
        <f t="array" ref="J1167">_xlfn.XLOOKUP(TEXT(A1167, "mmm-yy"), TEXT([2]GASOLINE!$B$5:$B$208, "mmm-yy"), [2]GASOLINE!$IR$5:$IR$208, "Not Found")</f>
        <v>-197.13472960209555</v>
      </c>
      <c r="K1167" cm="1">
        <f t="array" ref="K1167">_xlfn.XLOOKUP(TEXT(A1167, "mmm-yy"), TEXT([2]GASOLINE!$B$5:$B$208, "mmm-yy"), [2]GASOLINE!$IK$5:$IK$208, "Not Found")</f>
        <v>171.24501238547114</v>
      </c>
      <c r="L1167">
        <f t="shared" si="18"/>
        <v>1</v>
      </c>
      <c r="M1167" cm="1">
        <f t="array" ref="M1167">_xlfn.XLOOKUP(TEXT(A1167, "mmm-yy"), TEXT([2]GASOLINE!$B$5:$B$208, "mmm-yy"), [2]GASOLINE!$C$5:$C$208, "Not Found")</f>
        <v>7307.9948449545409</v>
      </c>
      <c r="N1167" cm="1">
        <f t="array" ref="N1167">_xlfn.XLOOKUP(TEXT(A1167, "mmm-yy"), TEXT([2]RUNS!$B$5:$B$208, "mmm-yy"), [2]RUNS!$BM$5:$BM$208, "Not Found")</f>
        <v>0.82502918486074783</v>
      </c>
    </row>
    <row r="1168" spans="1:14" x14ac:dyDescent="0.25">
      <c r="A1168" s="1">
        <f>'[1]Global_Spot Prices'!$B2477</f>
        <v>43637</v>
      </c>
      <c r="B1168">
        <f>_xlfn.XLOOKUP(A1168,'[1]Global_Spot Prices'!$B:$B,'[1]Global_Spot Prices'!$BS:$BS)</f>
        <v>4.3599999999999994</v>
      </c>
      <c r="C1168">
        <f>_xlfn.XLOOKUP(A1168,'[1]Global_Spot Prices'!$B:$B,'[1]Global_Spot Prices'!$E:$E)</f>
        <v>64.2</v>
      </c>
      <c r="D1168">
        <f>_xlfn.XLOOKUP(A1168,'[1]Global_Spot Prices'!$B:$B,'[1]Global_Spot Prices'!$D:$D)</f>
        <v>66.025000000000006</v>
      </c>
      <c r="E1168">
        <f>_xlfn.XLOOKUP(A1168,'[1]Global_Spot Prices'!$B:$B,'[1]Global_Spot Prices'!$H:$H)</f>
        <v>54.94</v>
      </c>
      <c r="F1168">
        <f>_xlfn.XLOOKUP(A1168,'[1]Global_Spot Prices'!$B:$B,'[1]Global_Spot Prices'!$I:$I)</f>
        <v>68.56</v>
      </c>
      <c r="G1168" cm="1">
        <f t="array" ref="G1168">_xlfn.XLOOKUP(TEXT(A1168, "mmm-yy"), TEXT([2]RUNS!$B$5:$B$208, "mmm-yy"), [2]RUNS!$D$5:$D$208, "Not Found")</f>
        <v>29619.950286115112</v>
      </c>
      <c r="H1168" cm="1">
        <f t="array" ref="H1168">SUMPRODUCT(
    --(TEXT('[3]Global Weekly Stock (EWSuez'!$B$4:$B$2000,"mmm-yy")=TEXT(A1168,"mmm-yy")),
    '[3]Global Weekly Stock (EWSuez'!$E$4:$E$2000)
/
SUMPRODUCT(
    --(TEXT('[3]Global Weekly Stock (EWSuez'!$B$4:$B$2000,"mmm-yy")=TEXT(A1168,"mmm-yy"))
)</f>
        <v>12112.5</v>
      </c>
      <c r="I1168">
        <f>_xlfn.XLOOKUP(A1168,[1]ForwardDeriv!$D:$D,[1]ForwardDeriv!$AJ:$AJ)</f>
        <v>0.67999999999999261</v>
      </c>
      <c r="J1168" cm="1">
        <f t="array" ref="J1168">_xlfn.XLOOKUP(TEXT(A1168, "mmm-yy"), TEXT([2]GASOLINE!$B$5:$B$208, "mmm-yy"), [2]GASOLINE!$IR$5:$IR$208, "Not Found")</f>
        <v>-197.13472960209555</v>
      </c>
      <c r="K1168" cm="1">
        <f t="array" ref="K1168">_xlfn.XLOOKUP(TEXT(A1168, "mmm-yy"), TEXT([2]GASOLINE!$B$5:$B$208, "mmm-yy"), [2]GASOLINE!$IK$5:$IK$208, "Not Found")</f>
        <v>171.24501238547114</v>
      </c>
      <c r="L1168">
        <f t="shared" si="18"/>
        <v>1</v>
      </c>
      <c r="M1168" cm="1">
        <f t="array" ref="M1168">_xlfn.XLOOKUP(TEXT(A1168, "mmm-yy"), TEXT([2]GASOLINE!$B$5:$B$208, "mmm-yy"), [2]GASOLINE!$C$5:$C$208, "Not Found")</f>
        <v>7307.9948449545409</v>
      </c>
      <c r="N1168" cm="1">
        <f t="array" ref="N1168">_xlfn.XLOOKUP(TEXT(A1168, "mmm-yy"), TEXT([2]RUNS!$B$5:$B$208, "mmm-yy"), [2]RUNS!$BM$5:$BM$208, "Not Found")</f>
        <v>0.82502918486074783</v>
      </c>
    </row>
    <row r="1169" spans="1:14" x14ac:dyDescent="0.25">
      <c r="A1169" s="1">
        <f>'[1]Global_Spot Prices'!$B2478</f>
        <v>43640</v>
      </c>
      <c r="B1169">
        <f>_xlfn.XLOOKUP(A1169,'[1]Global_Spot Prices'!$B:$B,'[1]Global_Spot Prices'!$BS:$BS)</f>
        <v>5.3950000000000031</v>
      </c>
      <c r="C1169">
        <f>_xlfn.XLOOKUP(A1169,'[1]Global_Spot Prices'!$B:$B,'[1]Global_Spot Prices'!$E:$E)</f>
        <v>63.994999999999997</v>
      </c>
      <c r="D1169">
        <f>_xlfn.XLOOKUP(A1169,'[1]Global_Spot Prices'!$B:$B,'[1]Global_Spot Prices'!$D:$D)</f>
        <v>64.91</v>
      </c>
      <c r="E1169">
        <f>_xlfn.XLOOKUP(A1169,'[1]Global_Spot Prices'!$B:$B,'[1]Global_Spot Prices'!$H:$H)</f>
        <v>55.5</v>
      </c>
      <c r="F1169">
        <f>_xlfn.XLOOKUP(A1169,'[1]Global_Spot Prices'!$B:$B,'[1]Global_Spot Prices'!$I:$I)</f>
        <v>69.39</v>
      </c>
      <c r="G1169" cm="1">
        <f t="array" ref="G1169">_xlfn.XLOOKUP(TEXT(A1169, "mmm-yy"), TEXT([2]RUNS!$B$5:$B$208, "mmm-yy"), [2]RUNS!$D$5:$D$208, "Not Found")</f>
        <v>29619.950286115112</v>
      </c>
      <c r="H1169" cm="1">
        <f t="array" ref="H1169">SUMPRODUCT(
    --(TEXT('[3]Global Weekly Stock (EWSuez'!$B$4:$B$2000,"mmm-yy")=TEXT(A1169,"mmm-yy")),
    '[3]Global Weekly Stock (EWSuez'!$E$4:$E$2000)
/
SUMPRODUCT(
    --(TEXT('[3]Global Weekly Stock (EWSuez'!$B$4:$B$2000,"mmm-yy")=TEXT(A1169,"mmm-yy"))
)</f>
        <v>12112.5</v>
      </c>
      <c r="I1169">
        <f>_xlfn.XLOOKUP(A1169,[1]ForwardDeriv!$D:$D,[1]ForwardDeriv!$AJ:$AJ)</f>
        <v>0.79000000000000625</v>
      </c>
      <c r="J1169" cm="1">
        <f t="array" ref="J1169">_xlfn.XLOOKUP(TEXT(A1169, "mmm-yy"), TEXT([2]GASOLINE!$B$5:$B$208, "mmm-yy"), [2]GASOLINE!$IR$5:$IR$208, "Not Found")</f>
        <v>-197.13472960209555</v>
      </c>
      <c r="K1169" cm="1">
        <f t="array" ref="K1169">_xlfn.XLOOKUP(TEXT(A1169, "mmm-yy"), TEXT([2]GASOLINE!$B$5:$B$208, "mmm-yy"), [2]GASOLINE!$IK$5:$IK$208, "Not Found")</f>
        <v>171.24501238547114</v>
      </c>
      <c r="L1169">
        <f t="shared" si="18"/>
        <v>1</v>
      </c>
      <c r="M1169" cm="1">
        <f t="array" ref="M1169">_xlfn.XLOOKUP(TEXT(A1169, "mmm-yy"), TEXT([2]GASOLINE!$B$5:$B$208, "mmm-yy"), [2]GASOLINE!$C$5:$C$208, "Not Found")</f>
        <v>7307.9948449545409</v>
      </c>
      <c r="N1169" cm="1">
        <f t="array" ref="N1169">_xlfn.XLOOKUP(TEXT(A1169, "mmm-yy"), TEXT([2]RUNS!$B$5:$B$208, "mmm-yy"), [2]RUNS!$BM$5:$BM$208, "Not Found")</f>
        <v>0.82502918486074783</v>
      </c>
    </row>
    <row r="1170" spans="1:14" x14ac:dyDescent="0.25">
      <c r="A1170" s="1">
        <f>'[1]Global_Spot Prices'!$B2479</f>
        <v>43641</v>
      </c>
      <c r="B1170">
        <f>_xlfn.XLOOKUP(A1170,'[1]Global_Spot Prices'!$B:$B,'[1]Global_Spot Prices'!$BS:$BS)</f>
        <v>4.3300000000000054</v>
      </c>
      <c r="C1170">
        <f>_xlfn.XLOOKUP(A1170,'[1]Global_Spot Prices'!$B:$B,'[1]Global_Spot Prices'!$E:$E)</f>
        <v>63.35</v>
      </c>
      <c r="D1170">
        <f>_xlfn.XLOOKUP(A1170,'[1]Global_Spot Prices'!$B:$B,'[1]Global_Spot Prices'!$D:$D)</f>
        <v>65.97</v>
      </c>
      <c r="E1170">
        <f>_xlfn.XLOOKUP(A1170,'[1]Global_Spot Prices'!$B:$B,'[1]Global_Spot Prices'!$H:$H)</f>
        <v>54.33</v>
      </c>
      <c r="F1170">
        <f>_xlfn.XLOOKUP(A1170,'[1]Global_Spot Prices'!$B:$B,'[1]Global_Spot Prices'!$I:$I)</f>
        <v>67.680000000000007</v>
      </c>
      <c r="G1170" cm="1">
        <f t="array" ref="G1170">_xlfn.XLOOKUP(TEXT(A1170, "mmm-yy"), TEXT([2]RUNS!$B$5:$B$208, "mmm-yy"), [2]RUNS!$D$5:$D$208, "Not Found")</f>
        <v>29619.950286115112</v>
      </c>
      <c r="H1170" cm="1">
        <f t="array" ref="H1170">SUMPRODUCT(
    --(TEXT('[3]Global Weekly Stock (EWSuez'!$B$4:$B$2000,"mmm-yy")=TEXT(A1170,"mmm-yy")),
    '[3]Global Weekly Stock (EWSuez'!$E$4:$E$2000)
/
SUMPRODUCT(
    --(TEXT('[3]Global Weekly Stock (EWSuez'!$B$4:$B$2000,"mmm-yy")=TEXT(A1170,"mmm-yy"))
)</f>
        <v>12112.5</v>
      </c>
      <c r="I1170">
        <f>_xlfn.XLOOKUP(A1170,[1]ForwardDeriv!$D:$D,[1]ForwardDeriv!$AJ:$AJ)</f>
        <v>0.56999999999999318</v>
      </c>
      <c r="J1170" cm="1">
        <f t="array" ref="J1170">_xlfn.XLOOKUP(TEXT(A1170, "mmm-yy"), TEXT([2]GASOLINE!$B$5:$B$208, "mmm-yy"), [2]GASOLINE!$IR$5:$IR$208, "Not Found")</f>
        <v>-197.13472960209555</v>
      </c>
      <c r="K1170" cm="1">
        <f t="array" ref="K1170">_xlfn.XLOOKUP(TEXT(A1170, "mmm-yy"), TEXT([2]GASOLINE!$B$5:$B$208, "mmm-yy"), [2]GASOLINE!$IK$5:$IK$208, "Not Found")</f>
        <v>171.24501238547114</v>
      </c>
      <c r="L1170">
        <f t="shared" si="18"/>
        <v>1</v>
      </c>
      <c r="M1170" cm="1">
        <f t="array" ref="M1170">_xlfn.XLOOKUP(TEXT(A1170, "mmm-yy"), TEXT([2]GASOLINE!$B$5:$B$208, "mmm-yy"), [2]GASOLINE!$C$5:$C$208, "Not Found")</f>
        <v>7307.9948449545409</v>
      </c>
      <c r="N1170" cm="1">
        <f t="array" ref="N1170">_xlfn.XLOOKUP(TEXT(A1170, "mmm-yy"), TEXT([2]RUNS!$B$5:$B$208, "mmm-yy"), [2]RUNS!$BM$5:$BM$208, "Not Found")</f>
        <v>0.82502918486074783</v>
      </c>
    </row>
    <row r="1171" spans="1:14" x14ac:dyDescent="0.25">
      <c r="A1171" s="1">
        <f>'[1]Global_Spot Prices'!$B2480</f>
        <v>43642</v>
      </c>
      <c r="B1171">
        <f>_xlfn.XLOOKUP(A1171,'[1]Global_Spot Prices'!$B:$B,'[1]Global_Spot Prices'!$BS:$BS)</f>
        <v>5.289999999999992</v>
      </c>
      <c r="C1171">
        <f>_xlfn.XLOOKUP(A1171,'[1]Global_Spot Prices'!$B:$B,'[1]Global_Spot Prices'!$E:$E)</f>
        <v>64.260000000000005</v>
      </c>
      <c r="D1171">
        <f>_xlfn.XLOOKUP(A1171,'[1]Global_Spot Prices'!$B:$B,'[1]Global_Spot Prices'!$D:$D)</f>
        <v>66.685000000000002</v>
      </c>
      <c r="E1171">
        <f>_xlfn.XLOOKUP(A1171,'[1]Global_Spot Prices'!$B:$B,'[1]Global_Spot Prices'!$H:$H)</f>
        <v>55.65</v>
      </c>
      <c r="F1171">
        <f>_xlfn.XLOOKUP(A1171,'[1]Global_Spot Prices'!$B:$B,'[1]Global_Spot Prices'!$I:$I)</f>
        <v>69.55</v>
      </c>
      <c r="G1171" cm="1">
        <f t="array" ref="G1171">_xlfn.XLOOKUP(TEXT(A1171, "mmm-yy"), TEXT([2]RUNS!$B$5:$B$208, "mmm-yy"), [2]RUNS!$D$5:$D$208, "Not Found")</f>
        <v>29619.950286115112</v>
      </c>
      <c r="H1171" cm="1">
        <f t="array" ref="H1171">SUMPRODUCT(
    --(TEXT('[3]Global Weekly Stock (EWSuez'!$B$4:$B$2000,"mmm-yy")=TEXT(A1171,"mmm-yy")),
    '[3]Global Weekly Stock (EWSuez'!$E$4:$E$2000)
/
SUMPRODUCT(
    --(TEXT('[3]Global Weekly Stock (EWSuez'!$B$4:$B$2000,"mmm-yy")=TEXT(A1171,"mmm-yy"))
)</f>
        <v>12112.5</v>
      </c>
      <c r="I1171">
        <f>_xlfn.XLOOKUP(A1171,[1]ForwardDeriv!$D:$D,[1]ForwardDeriv!$AJ:$AJ)</f>
        <v>0.66999999999998749</v>
      </c>
      <c r="J1171" cm="1">
        <f t="array" ref="J1171">_xlfn.XLOOKUP(TEXT(A1171, "mmm-yy"), TEXT([2]GASOLINE!$B$5:$B$208, "mmm-yy"), [2]GASOLINE!$IR$5:$IR$208, "Not Found")</f>
        <v>-197.13472960209555</v>
      </c>
      <c r="K1171" cm="1">
        <f t="array" ref="K1171">_xlfn.XLOOKUP(TEXT(A1171, "mmm-yy"), TEXT([2]GASOLINE!$B$5:$B$208, "mmm-yy"), [2]GASOLINE!$IK$5:$IK$208, "Not Found")</f>
        <v>171.24501238547114</v>
      </c>
      <c r="L1171">
        <f t="shared" si="18"/>
        <v>1</v>
      </c>
      <c r="M1171" cm="1">
        <f t="array" ref="M1171">_xlfn.XLOOKUP(TEXT(A1171, "mmm-yy"), TEXT([2]GASOLINE!$B$5:$B$208, "mmm-yy"), [2]GASOLINE!$C$5:$C$208, "Not Found")</f>
        <v>7307.9948449545409</v>
      </c>
      <c r="N1171" cm="1">
        <f t="array" ref="N1171">_xlfn.XLOOKUP(TEXT(A1171, "mmm-yy"), TEXT([2]RUNS!$B$5:$B$208, "mmm-yy"), [2]RUNS!$BM$5:$BM$208, "Not Found")</f>
        <v>0.82502918486074783</v>
      </c>
    </row>
    <row r="1172" spans="1:14" x14ac:dyDescent="0.25">
      <c r="A1172" s="1">
        <f>'[1]Global_Spot Prices'!$B2481</f>
        <v>43643</v>
      </c>
      <c r="B1172">
        <f>_xlfn.XLOOKUP(A1172,'[1]Global_Spot Prices'!$B:$B,'[1]Global_Spot Prices'!$BS:$BS)</f>
        <v>5.4899999999999949</v>
      </c>
      <c r="C1172">
        <f>_xlfn.XLOOKUP(A1172,'[1]Global_Spot Prices'!$B:$B,'[1]Global_Spot Prices'!$E:$E)</f>
        <v>64.400000000000006</v>
      </c>
      <c r="D1172">
        <f>_xlfn.XLOOKUP(A1172,'[1]Global_Spot Prices'!$B:$B,'[1]Global_Spot Prices'!$D:$D)</f>
        <v>66.099999999999994</v>
      </c>
      <c r="E1172">
        <f>_xlfn.XLOOKUP(A1172,'[1]Global_Spot Prices'!$B:$B,'[1]Global_Spot Prices'!$H:$H)</f>
        <v>56.49</v>
      </c>
      <c r="F1172">
        <f>_xlfn.XLOOKUP(A1172,'[1]Global_Spot Prices'!$B:$B,'[1]Global_Spot Prices'!$I:$I)</f>
        <v>69.89</v>
      </c>
      <c r="G1172" cm="1">
        <f t="array" ref="G1172">_xlfn.XLOOKUP(TEXT(A1172, "mmm-yy"), TEXT([2]RUNS!$B$5:$B$208, "mmm-yy"), [2]RUNS!$D$5:$D$208, "Not Found")</f>
        <v>29619.950286115112</v>
      </c>
      <c r="H1172" cm="1">
        <f t="array" ref="H1172">SUMPRODUCT(
    --(TEXT('[3]Global Weekly Stock (EWSuez'!$B$4:$B$2000,"mmm-yy")=TEXT(A1172,"mmm-yy")),
    '[3]Global Weekly Stock (EWSuez'!$E$4:$E$2000)
/
SUMPRODUCT(
    --(TEXT('[3]Global Weekly Stock (EWSuez'!$B$4:$B$2000,"mmm-yy")=TEXT(A1172,"mmm-yy"))
)</f>
        <v>12112.5</v>
      </c>
      <c r="I1172">
        <f>_xlfn.XLOOKUP(A1172,[1]ForwardDeriv!$D:$D,[1]ForwardDeriv!$AJ:$AJ)</f>
        <v>0.71999999999999886</v>
      </c>
      <c r="J1172" cm="1">
        <f t="array" ref="J1172">_xlfn.XLOOKUP(TEXT(A1172, "mmm-yy"), TEXT([2]GASOLINE!$B$5:$B$208, "mmm-yy"), [2]GASOLINE!$IR$5:$IR$208, "Not Found")</f>
        <v>-197.13472960209555</v>
      </c>
      <c r="K1172" cm="1">
        <f t="array" ref="K1172">_xlfn.XLOOKUP(TEXT(A1172, "mmm-yy"), TEXT([2]GASOLINE!$B$5:$B$208, "mmm-yy"), [2]GASOLINE!$IK$5:$IK$208, "Not Found")</f>
        <v>171.24501238547114</v>
      </c>
      <c r="L1172">
        <f t="shared" si="18"/>
        <v>1</v>
      </c>
      <c r="M1172" cm="1">
        <f t="array" ref="M1172">_xlfn.XLOOKUP(TEXT(A1172, "mmm-yy"), TEXT([2]GASOLINE!$B$5:$B$208, "mmm-yy"), [2]GASOLINE!$C$5:$C$208, "Not Found")</f>
        <v>7307.9948449545409</v>
      </c>
      <c r="N1172" cm="1">
        <f t="array" ref="N1172">_xlfn.XLOOKUP(TEXT(A1172, "mmm-yy"), TEXT([2]RUNS!$B$5:$B$208, "mmm-yy"), [2]RUNS!$BM$5:$BM$208, "Not Found")</f>
        <v>0.82502918486074783</v>
      </c>
    </row>
    <row r="1173" spans="1:14" x14ac:dyDescent="0.25">
      <c r="A1173" s="1">
        <f>'[1]Global_Spot Prices'!$B2482</f>
        <v>43644</v>
      </c>
      <c r="B1173">
        <f>_xlfn.XLOOKUP(A1173,'[1]Global_Spot Prices'!$B:$B,'[1]Global_Spot Prices'!$BS:$BS)</f>
        <v>5.2600000000000051</v>
      </c>
      <c r="C1173">
        <f>_xlfn.XLOOKUP(A1173,'[1]Global_Spot Prices'!$B:$B,'[1]Global_Spot Prices'!$E:$E)</f>
        <v>64.89</v>
      </c>
      <c r="D1173">
        <f>_xlfn.XLOOKUP(A1173,'[1]Global_Spot Prices'!$B:$B,'[1]Global_Spot Prices'!$D:$D)</f>
        <v>66.144999999999996</v>
      </c>
      <c r="E1173">
        <f>_xlfn.XLOOKUP(A1173,'[1]Global_Spot Prices'!$B:$B,'[1]Global_Spot Prices'!$H:$H)</f>
        <v>55.62</v>
      </c>
      <c r="F1173">
        <f>_xlfn.XLOOKUP(A1173,'[1]Global_Spot Prices'!$B:$B,'[1]Global_Spot Prices'!$I:$I)</f>
        <v>70.150000000000006</v>
      </c>
      <c r="G1173" cm="1">
        <f t="array" ref="G1173">_xlfn.XLOOKUP(TEXT(A1173, "mmm-yy"), TEXT([2]RUNS!$B$5:$B$208, "mmm-yy"), [2]RUNS!$D$5:$D$208, "Not Found")</f>
        <v>29619.950286115112</v>
      </c>
      <c r="H1173" cm="1">
        <f t="array" ref="H1173">SUMPRODUCT(
    --(TEXT('[3]Global Weekly Stock (EWSuez'!$B$4:$B$2000,"mmm-yy")=TEXT(A1173,"mmm-yy")),
    '[3]Global Weekly Stock (EWSuez'!$E$4:$E$2000)
/
SUMPRODUCT(
    --(TEXT('[3]Global Weekly Stock (EWSuez'!$B$4:$B$2000,"mmm-yy")=TEXT(A1173,"mmm-yy"))
)</f>
        <v>12112.5</v>
      </c>
      <c r="I1173">
        <f>_xlfn.XLOOKUP(A1173,[1]ForwardDeriv!$D:$D,[1]ForwardDeriv!$AJ:$AJ)</f>
        <v>0.70999999999999375</v>
      </c>
      <c r="J1173" cm="1">
        <f t="array" ref="J1173">_xlfn.XLOOKUP(TEXT(A1173, "mmm-yy"), TEXT([2]GASOLINE!$B$5:$B$208, "mmm-yy"), [2]GASOLINE!$IR$5:$IR$208, "Not Found")</f>
        <v>-197.13472960209555</v>
      </c>
      <c r="K1173" cm="1">
        <f t="array" ref="K1173">_xlfn.XLOOKUP(TEXT(A1173, "mmm-yy"), TEXT([2]GASOLINE!$B$5:$B$208, "mmm-yy"), [2]GASOLINE!$IK$5:$IK$208, "Not Found")</f>
        <v>171.24501238547114</v>
      </c>
      <c r="L1173">
        <f t="shared" si="18"/>
        <v>1</v>
      </c>
      <c r="M1173" cm="1">
        <f t="array" ref="M1173">_xlfn.XLOOKUP(TEXT(A1173, "mmm-yy"), TEXT([2]GASOLINE!$B$5:$B$208, "mmm-yy"), [2]GASOLINE!$C$5:$C$208, "Not Found")</f>
        <v>7307.9948449545409</v>
      </c>
      <c r="N1173" cm="1">
        <f t="array" ref="N1173">_xlfn.XLOOKUP(TEXT(A1173, "mmm-yy"), TEXT([2]RUNS!$B$5:$B$208, "mmm-yy"), [2]RUNS!$BM$5:$BM$208, "Not Found")</f>
        <v>0.82502918486074783</v>
      </c>
    </row>
    <row r="1174" spans="1:14" x14ac:dyDescent="0.25">
      <c r="A1174" s="1">
        <f>'[1]Global_Spot Prices'!$B2483</f>
        <v>43647</v>
      </c>
      <c r="B1174">
        <f>_xlfn.XLOOKUP(A1174,'[1]Global_Spot Prices'!$B:$B,'[1]Global_Spot Prices'!$BS:$BS)</f>
        <v>6.7999999999999972</v>
      </c>
      <c r="C1174">
        <f>_xlfn.XLOOKUP(A1174,'[1]Global_Spot Prices'!$B:$B,'[1]Global_Spot Prices'!$E:$E)</f>
        <v>64.900000000000006</v>
      </c>
      <c r="D1174">
        <f>_xlfn.XLOOKUP(A1174,'[1]Global_Spot Prices'!$B:$B,'[1]Global_Spot Prices'!$D:$D)</f>
        <v>64.930000000000007</v>
      </c>
      <c r="E1174">
        <f>_xlfn.XLOOKUP(A1174,'[1]Global_Spot Prices'!$B:$B,'[1]Global_Spot Prices'!$H:$H)</f>
        <v>56.76</v>
      </c>
      <c r="F1174">
        <f>_xlfn.XLOOKUP(A1174,'[1]Global_Spot Prices'!$B:$B,'[1]Global_Spot Prices'!$I:$I)</f>
        <v>71.7</v>
      </c>
      <c r="G1174" cm="1">
        <f t="array" ref="G1174">_xlfn.XLOOKUP(TEXT(A1174, "mmm-yy"), TEXT([2]RUNS!$B$5:$B$208, "mmm-yy"), [2]RUNS!$D$5:$D$208, "Not Found")</f>
        <v>29318.84755977281</v>
      </c>
      <c r="H1174" cm="1">
        <f t="array" ref="H1174">SUMPRODUCT(
    --(TEXT('[3]Global Weekly Stock (EWSuez'!$B$4:$B$2000,"mmm-yy")=TEXT(A1174,"mmm-yy")),
    '[3]Global Weekly Stock (EWSuez'!$E$4:$E$2000)
/
SUMPRODUCT(
    --(TEXT('[3]Global Weekly Stock (EWSuez'!$B$4:$B$2000,"mmm-yy")=TEXT(A1174,"mmm-yy"))
)</f>
        <v>10169.5</v>
      </c>
      <c r="I1174">
        <f>_xlfn.XLOOKUP(A1174,[1]ForwardDeriv!$D:$D,[1]ForwardDeriv!$AJ:$AJ)</f>
        <v>0.64000000000000057</v>
      </c>
      <c r="J1174" cm="1">
        <f t="array" ref="J1174">_xlfn.XLOOKUP(TEXT(A1174, "mmm-yy"), TEXT([2]GASOLINE!$B$5:$B$208, "mmm-yy"), [2]GASOLINE!$IR$5:$IR$208, "Not Found")</f>
        <v>50.581045850300995</v>
      </c>
      <c r="K1174" cm="1">
        <f t="array" ref="K1174">_xlfn.XLOOKUP(TEXT(A1174, "mmm-yy"), TEXT([2]GASOLINE!$B$5:$B$208, "mmm-yy"), [2]GASOLINE!$IK$5:$IK$208, "Not Found")</f>
        <v>171.621431695502</v>
      </c>
      <c r="L1174">
        <f t="shared" si="18"/>
        <v>1</v>
      </c>
      <c r="M1174" cm="1">
        <f t="array" ref="M1174">_xlfn.XLOOKUP(TEXT(A1174, "mmm-yy"), TEXT([2]GASOLINE!$B$5:$B$208, "mmm-yy"), [2]GASOLINE!$C$5:$C$208, "Not Found")</f>
        <v>7118.7755977158231</v>
      </c>
      <c r="N1174" cm="1">
        <f t="array" ref="N1174">_xlfn.XLOOKUP(TEXT(A1174, "mmm-yy"), TEXT([2]RUNS!$B$5:$B$208, "mmm-yy"), [2]RUNS!$BM$5:$BM$208, "Not Found")</f>
        <v>0.81664231943815491</v>
      </c>
    </row>
    <row r="1175" spans="1:14" x14ac:dyDescent="0.25">
      <c r="A1175" s="1">
        <f>'[1]Global_Spot Prices'!$B2484</f>
        <v>43648</v>
      </c>
      <c r="B1175">
        <f>_xlfn.XLOOKUP(A1175,'[1]Global_Spot Prices'!$B:$B,'[1]Global_Spot Prices'!$BS:$BS)</f>
        <v>6.9650000000000034</v>
      </c>
      <c r="C1175">
        <f>_xlfn.XLOOKUP(A1175,'[1]Global_Spot Prices'!$B:$B,'[1]Global_Spot Prices'!$E:$E)</f>
        <v>63.405000000000001</v>
      </c>
      <c r="D1175">
        <f>_xlfn.XLOOKUP(A1175,'[1]Global_Spot Prices'!$B:$B,'[1]Global_Spot Prices'!$D:$D)</f>
        <v>62.685000000000002</v>
      </c>
      <c r="E1175">
        <f>_xlfn.XLOOKUP(A1175,'[1]Global_Spot Prices'!$B:$B,'[1]Global_Spot Prices'!$H:$H)</f>
        <v>55.31</v>
      </c>
      <c r="F1175">
        <f>_xlfn.XLOOKUP(A1175,'[1]Global_Spot Prices'!$B:$B,'[1]Global_Spot Prices'!$I:$I)</f>
        <v>70.37</v>
      </c>
      <c r="G1175" cm="1">
        <f t="array" ref="G1175">_xlfn.XLOOKUP(TEXT(A1175, "mmm-yy"), TEXT([2]RUNS!$B$5:$B$208, "mmm-yy"), [2]RUNS!$D$5:$D$208, "Not Found")</f>
        <v>29318.84755977281</v>
      </c>
      <c r="H1175" cm="1">
        <f t="array" ref="H1175">SUMPRODUCT(
    --(TEXT('[3]Global Weekly Stock (EWSuez'!$B$4:$B$2000,"mmm-yy")=TEXT(A1175,"mmm-yy")),
    '[3]Global Weekly Stock (EWSuez'!$E$4:$E$2000)
/
SUMPRODUCT(
    --(TEXT('[3]Global Weekly Stock (EWSuez'!$B$4:$B$2000,"mmm-yy")=TEXT(A1175,"mmm-yy"))
)</f>
        <v>10169.5</v>
      </c>
      <c r="I1175">
        <f>_xlfn.XLOOKUP(A1175,[1]ForwardDeriv!$D:$D,[1]ForwardDeriv!$AJ:$AJ)</f>
        <v>0.70999999999999375</v>
      </c>
      <c r="J1175" cm="1">
        <f t="array" ref="J1175">_xlfn.XLOOKUP(TEXT(A1175, "mmm-yy"), TEXT([2]GASOLINE!$B$5:$B$208, "mmm-yy"), [2]GASOLINE!$IR$5:$IR$208, "Not Found")</f>
        <v>50.581045850300995</v>
      </c>
      <c r="K1175" cm="1">
        <f t="array" ref="K1175">_xlfn.XLOOKUP(TEXT(A1175, "mmm-yy"), TEXT([2]GASOLINE!$B$5:$B$208, "mmm-yy"), [2]GASOLINE!$IK$5:$IK$208, "Not Found")</f>
        <v>171.621431695502</v>
      </c>
      <c r="L1175">
        <f t="shared" si="18"/>
        <v>1</v>
      </c>
      <c r="M1175" cm="1">
        <f t="array" ref="M1175">_xlfn.XLOOKUP(TEXT(A1175, "mmm-yy"), TEXT([2]GASOLINE!$B$5:$B$208, "mmm-yy"), [2]GASOLINE!$C$5:$C$208, "Not Found")</f>
        <v>7118.7755977158231</v>
      </c>
      <c r="N1175" cm="1">
        <f t="array" ref="N1175">_xlfn.XLOOKUP(TEXT(A1175, "mmm-yy"), TEXT([2]RUNS!$B$5:$B$208, "mmm-yy"), [2]RUNS!$BM$5:$BM$208, "Not Found")</f>
        <v>0.81664231943815491</v>
      </c>
    </row>
    <row r="1176" spans="1:14" x14ac:dyDescent="0.25">
      <c r="A1176" s="1">
        <f>'[1]Global_Spot Prices'!$B2485</f>
        <v>43649</v>
      </c>
      <c r="B1176">
        <f>_xlfn.XLOOKUP(A1176,'[1]Global_Spot Prices'!$B:$B,'[1]Global_Spot Prices'!$BS:$BS)</f>
        <v>7.7550000000000026</v>
      </c>
      <c r="C1176">
        <f>_xlfn.XLOOKUP(A1176,'[1]Global_Spot Prices'!$B:$B,'[1]Global_Spot Prices'!$E:$E)</f>
        <v>60.645000000000003</v>
      </c>
      <c r="D1176">
        <f>_xlfn.XLOOKUP(A1176,'[1]Global_Spot Prices'!$B:$B,'[1]Global_Spot Prices'!$D:$D)</f>
        <v>63.27</v>
      </c>
      <c r="E1176">
        <f>_xlfn.XLOOKUP(A1176,'[1]Global_Spot Prices'!$B:$B,'[1]Global_Spot Prices'!$H:$H)</f>
        <v>53.52</v>
      </c>
      <c r="F1176">
        <f>_xlfn.XLOOKUP(A1176,'[1]Global_Spot Prices'!$B:$B,'[1]Global_Spot Prices'!$I:$I)</f>
        <v>68.400000000000006</v>
      </c>
      <c r="G1176" cm="1">
        <f t="array" ref="G1176">_xlfn.XLOOKUP(TEXT(A1176, "mmm-yy"), TEXT([2]RUNS!$B$5:$B$208, "mmm-yy"), [2]RUNS!$D$5:$D$208, "Not Found")</f>
        <v>29318.84755977281</v>
      </c>
      <c r="H1176" cm="1">
        <f t="array" ref="H1176">SUMPRODUCT(
    --(TEXT('[3]Global Weekly Stock (EWSuez'!$B$4:$B$2000,"mmm-yy")=TEXT(A1176,"mmm-yy")),
    '[3]Global Weekly Stock (EWSuez'!$E$4:$E$2000)
/
SUMPRODUCT(
    --(TEXT('[3]Global Weekly Stock (EWSuez'!$B$4:$B$2000,"mmm-yy")=TEXT(A1176,"mmm-yy"))
)</f>
        <v>10169.5</v>
      </c>
      <c r="I1176">
        <f>_xlfn.XLOOKUP(A1176,[1]ForwardDeriv!$D:$D,[1]ForwardDeriv!$AJ:$AJ)</f>
        <v>0.84999999999999432</v>
      </c>
      <c r="J1176" cm="1">
        <f t="array" ref="J1176">_xlfn.XLOOKUP(TEXT(A1176, "mmm-yy"), TEXT([2]GASOLINE!$B$5:$B$208, "mmm-yy"), [2]GASOLINE!$IR$5:$IR$208, "Not Found")</f>
        <v>50.581045850300995</v>
      </c>
      <c r="K1176" cm="1">
        <f t="array" ref="K1176">_xlfn.XLOOKUP(TEXT(A1176, "mmm-yy"), TEXT([2]GASOLINE!$B$5:$B$208, "mmm-yy"), [2]GASOLINE!$IK$5:$IK$208, "Not Found")</f>
        <v>171.621431695502</v>
      </c>
      <c r="L1176">
        <f t="shared" si="18"/>
        <v>1</v>
      </c>
      <c r="M1176" cm="1">
        <f t="array" ref="M1176">_xlfn.XLOOKUP(TEXT(A1176, "mmm-yy"), TEXT([2]GASOLINE!$B$5:$B$208, "mmm-yy"), [2]GASOLINE!$C$5:$C$208, "Not Found")</f>
        <v>7118.7755977158231</v>
      </c>
      <c r="N1176" cm="1">
        <f t="array" ref="N1176">_xlfn.XLOOKUP(TEXT(A1176, "mmm-yy"), TEXT([2]RUNS!$B$5:$B$208, "mmm-yy"), [2]RUNS!$BM$5:$BM$208, "Not Found")</f>
        <v>0.81664231943815491</v>
      </c>
    </row>
    <row r="1177" spans="1:14" x14ac:dyDescent="0.25">
      <c r="A1177" s="1">
        <f>'[1]Global_Spot Prices'!$B2486</f>
        <v>43650</v>
      </c>
      <c r="B1177">
        <f>_xlfn.XLOOKUP(A1177,'[1]Global_Spot Prices'!$B:$B,'[1]Global_Spot Prices'!$BS:$BS)</f>
        <v>8.36</v>
      </c>
      <c r="C1177">
        <f>_xlfn.XLOOKUP(A1177,'[1]Global_Spot Prices'!$B:$B,'[1]Global_Spot Prices'!$E:$E)</f>
        <v>61.72</v>
      </c>
      <c r="D1177">
        <f>_xlfn.XLOOKUP(A1177,'[1]Global_Spot Prices'!$B:$B,'[1]Global_Spot Prices'!$D:$D)</f>
        <v>63.725000000000001</v>
      </c>
      <c r="E1177">
        <f>_xlfn.XLOOKUP(A1177,'[1]Global_Spot Prices'!$B:$B,'[1]Global_Spot Prices'!$H:$H)</f>
        <v>55.08</v>
      </c>
      <c r="F1177">
        <f>_xlfn.XLOOKUP(A1177,'[1]Global_Spot Prices'!$B:$B,'[1]Global_Spot Prices'!$I:$I)</f>
        <v>70.08</v>
      </c>
      <c r="G1177" cm="1">
        <f t="array" ref="G1177">_xlfn.XLOOKUP(TEXT(A1177, "mmm-yy"), TEXT([2]RUNS!$B$5:$B$208, "mmm-yy"), [2]RUNS!$D$5:$D$208, "Not Found")</f>
        <v>29318.84755977281</v>
      </c>
      <c r="H1177" cm="1">
        <f t="array" ref="H1177">SUMPRODUCT(
    --(TEXT('[3]Global Weekly Stock (EWSuez'!$B$4:$B$2000,"mmm-yy")=TEXT(A1177,"mmm-yy")),
    '[3]Global Weekly Stock (EWSuez'!$E$4:$E$2000)
/
SUMPRODUCT(
    --(TEXT('[3]Global Weekly Stock (EWSuez'!$B$4:$B$2000,"mmm-yy")=TEXT(A1177,"mmm-yy"))
)</f>
        <v>10169.5</v>
      </c>
      <c r="I1177">
        <f>_xlfn.XLOOKUP(A1177,[1]ForwardDeriv!$D:$D,[1]ForwardDeriv!$AJ:$AJ)</f>
        <v>0.87999999999999545</v>
      </c>
      <c r="J1177" cm="1">
        <f t="array" ref="J1177">_xlfn.XLOOKUP(TEXT(A1177, "mmm-yy"), TEXT([2]GASOLINE!$B$5:$B$208, "mmm-yy"), [2]GASOLINE!$IR$5:$IR$208, "Not Found")</f>
        <v>50.581045850300995</v>
      </c>
      <c r="K1177" cm="1">
        <f t="array" ref="K1177">_xlfn.XLOOKUP(TEXT(A1177, "mmm-yy"), TEXT([2]GASOLINE!$B$5:$B$208, "mmm-yy"), [2]GASOLINE!$IK$5:$IK$208, "Not Found")</f>
        <v>171.621431695502</v>
      </c>
      <c r="L1177">
        <f t="shared" si="18"/>
        <v>1</v>
      </c>
      <c r="M1177" cm="1">
        <f t="array" ref="M1177">_xlfn.XLOOKUP(TEXT(A1177, "mmm-yy"), TEXT([2]GASOLINE!$B$5:$B$208, "mmm-yy"), [2]GASOLINE!$C$5:$C$208, "Not Found")</f>
        <v>7118.7755977158231</v>
      </c>
      <c r="N1177" cm="1">
        <f t="array" ref="N1177">_xlfn.XLOOKUP(TEXT(A1177, "mmm-yy"), TEXT([2]RUNS!$B$5:$B$208, "mmm-yy"), [2]RUNS!$BM$5:$BM$208, "Not Found")</f>
        <v>0.81664231943815491</v>
      </c>
    </row>
    <row r="1178" spans="1:14" x14ac:dyDescent="0.25">
      <c r="A1178" s="1">
        <f>'[1]Global_Spot Prices'!$B2487</f>
        <v>43651</v>
      </c>
      <c r="B1178">
        <f>_xlfn.XLOOKUP(A1178,'[1]Global_Spot Prices'!$B:$B,'[1]Global_Spot Prices'!$BS:$BS)</f>
        <v>8.7700000000000031</v>
      </c>
      <c r="C1178">
        <f>_xlfn.XLOOKUP(A1178,'[1]Global_Spot Prices'!$B:$B,'[1]Global_Spot Prices'!$E:$E)</f>
        <v>61.6</v>
      </c>
      <c r="D1178">
        <f>_xlfn.XLOOKUP(A1178,'[1]Global_Spot Prices'!$B:$B,'[1]Global_Spot Prices'!$D:$D)</f>
        <v>64.37</v>
      </c>
      <c r="E1178">
        <f>_xlfn.XLOOKUP(A1178,'[1]Global_Spot Prices'!$B:$B,'[1]Global_Spot Prices'!$H:$H)</f>
        <v>54.82</v>
      </c>
      <c r="F1178">
        <f>_xlfn.XLOOKUP(A1178,'[1]Global_Spot Prices'!$B:$B,'[1]Global_Spot Prices'!$I:$I)</f>
        <v>70.37</v>
      </c>
      <c r="G1178" cm="1">
        <f t="array" ref="G1178">_xlfn.XLOOKUP(TEXT(A1178, "mmm-yy"), TEXT([2]RUNS!$B$5:$B$208, "mmm-yy"), [2]RUNS!$D$5:$D$208, "Not Found")</f>
        <v>29318.84755977281</v>
      </c>
      <c r="H1178" cm="1">
        <f t="array" ref="H1178">SUMPRODUCT(
    --(TEXT('[3]Global Weekly Stock (EWSuez'!$B$4:$B$2000,"mmm-yy")=TEXT(A1178,"mmm-yy")),
    '[3]Global Weekly Stock (EWSuez'!$E$4:$E$2000)
/
SUMPRODUCT(
    --(TEXT('[3]Global Weekly Stock (EWSuez'!$B$4:$B$2000,"mmm-yy")=TEXT(A1178,"mmm-yy"))
)</f>
        <v>10169.5</v>
      </c>
      <c r="I1178">
        <f>_xlfn.XLOOKUP(A1178,[1]ForwardDeriv!$D:$D,[1]ForwardDeriv!$AJ:$AJ)</f>
        <v>0.92000000000000171</v>
      </c>
      <c r="J1178" cm="1">
        <f t="array" ref="J1178">_xlfn.XLOOKUP(TEXT(A1178, "mmm-yy"), TEXT([2]GASOLINE!$B$5:$B$208, "mmm-yy"), [2]GASOLINE!$IR$5:$IR$208, "Not Found")</f>
        <v>50.581045850300995</v>
      </c>
      <c r="K1178" cm="1">
        <f t="array" ref="K1178">_xlfn.XLOOKUP(TEXT(A1178, "mmm-yy"), TEXT([2]GASOLINE!$B$5:$B$208, "mmm-yy"), [2]GASOLINE!$IK$5:$IK$208, "Not Found")</f>
        <v>171.621431695502</v>
      </c>
      <c r="L1178">
        <f t="shared" si="18"/>
        <v>1</v>
      </c>
      <c r="M1178" cm="1">
        <f t="array" ref="M1178">_xlfn.XLOOKUP(TEXT(A1178, "mmm-yy"), TEXT([2]GASOLINE!$B$5:$B$208, "mmm-yy"), [2]GASOLINE!$C$5:$C$208, "Not Found")</f>
        <v>7118.7755977158231</v>
      </c>
      <c r="N1178" cm="1">
        <f t="array" ref="N1178">_xlfn.XLOOKUP(TEXT(A1178, "mmm-yy"), TEXT([2]RUNS!$B$5:$B$208, "mmm-yy"), [2]RUNS!$BM$5:$BM$208, "Not Found")</f>
        <v>0.81664231943815491</v>
      </c>
    </row>
    <row r="1179" spans="1:14" x14ac:dyDescent="0.25">
      <c r="A1179" s="1">
        <f>'[1]Global_Spot Prices'!$B2488</f>
        <v>43654</v>
      </c>
      <c r="B1179">
        <f>_xlfn.XLOOKUP(A1179,'[1]Global_Spot Prices'!$B:$B,'[1]Global_Spot Prices'!$BS:$BS)</f>
        <v>7.9500000000000028</v>
      </c>
      <c r="C1179">
        <f>_xlfn.XLOOKUP(A1179,'[1]Global_Spot Prices'!$B:$B,'[1]Global_Spot Prices'!$E:$E)</f>
        <v>63.3</v>
      </c>
      <c r="D1179">
        <f>_xlfn.XLOOKUP(A1179,'[1]Global_Spot Prices'!$B:$B,'[1]Global_Spot Prices'!$D:$D)</f>
        <v>65.064999999999998</v>
      </c>
      <c r="E1179">
        <f>_xlfn.XLOOKUP(A1179,'[1]Global_Spot Prices'!$B:$B,'[1]Global_Spot Prices'!$H:$H)</f>
        <v>56.24</v>
      </c>
      <c r="F1179">
        <f>_xlfn.XLOOKUP(A1179,'[1]Global_Spot Prices'!$B:$B,'[1]Global_Spot Prices'!$I:$I)</f>
        <v>71.25</v>
      </c>
      <c r="G1179" cm="1">
        <f t="array" ref="G1179">_xlfn.XLOOKUP(TEXT(A1179, "mmm-yy"), TEXT([2]RUNS!$B$5:$B$208, "mmm-yy"), [2]RUNS!$D$5:$D$208, "Not Found")</f>
        <v>29318.84755977281</v>
      </c>
      <c r="H1179" cm="1">
        <f t="array" ref="H1179">SUMPRODUCT(
    --(TEXT('[3]Global Weekly Stock (EWSuez'!$B$4:$B$2000,"mmm-yy")=TEXT(A1179,"mmm-yy")),
    '[3]Global Weekly Stock (EWSuez'!$E$4:$E$2000)
/
SUMPRODUCT(
    --(TEXT('[3]Global Weekly Stock (EWSuez'!$B$4:$B$2000,"mmm-yy")=TEXT(A1179,"mmm-yy"))
)</f>
        <v>10169.5</v>
      </c>
      <c r="I1179">
        <f>_xlfn.XLOOKUP(A1179,[1]ForwardDeriv!$D:$D,[1]ForwardDeriv!$AJ:$AJ)</f>
        <v>0.9100000000000108</v>
      </c>
      <c r="J1179" cm="1">
        <f t="array" ref="J1179">_xlfn.XLOOKUP(TEXT(A1179, "mmm-yy"), TEXT([2]GASOLINE!$B$5:$B$208, "mmm-yy"), [2]GASOLINE!$IR$5:$IR$208, "Not Found")</f>
        <v>50.581045850300995</v>
      </c>
      <c r="K1179" cm="1">
        <f t="array" ref="K1179">_xlfn.XLOOKUP(TEXT(A1179, "mmm-yy"), TEXT([2]GASOLINE!$B$5:$B$208, "mmm-yy"), [2]GASOLINE!$IK$5:$IK$208, "Not Found")</f>
        <v>171.621431695502</v>
      </c>
      <c r="L1179">
        <f t="shared" si="18"/>
        <v>1</v>
      </c>
      <c r="M1179" cm="1">
        <f t="array" ref="M1179">_xlfn.XLOOKUP(TEXT(A1179, "mmm-yy"), TEXT([2]GASOLINE!$B$5:$B$208, "mmm-yy"), [2]GASOLINE!$C$5:$C$208, "Not Found")</f>
        <v>7118.7755977158231</v>
      </c>
      <c r="N1179" cm="1">
        <f t="array" ref="N1179">_xlfn.XLOOKUP(TEXT(A1179, "mmm-yy"), TEXT([2]RUNS!$B$5:$B$208, "mmm-yy"), [2]RUNS!$BM$5:$BM$208, "Not Found")</f>
        <v>0.81664231943815491</v>
      </c>
    </row>
    <row r="1180" spans="1:14" x14ac:dyDescent="0.25">
      <c r="A1180" s="1">
        <f>'[1]Global_Spot Prices'!$B2489</f>
        <v>43655</v>
      </c>
      <c r="B1180">
        <f>_xlfn.XLOOKUP(A1180,'[1]Global_Spot Prices'!$B:$B,'[1]Global_Spot Prices'!$BS:$BS)</f>
        <v>7.7199999999999918</v>
      </c>
      <c r="C1180">
        <f>_xlfn.XLOOKUP(A1180,'[1]Global_Spot Prices'!$B:$B,'[1]Global_Spot Prices'!$E:$E)</f>
        <v>62.6</v>
      </c>
      <c r="D1180">
        <f>_xlfn.XLOOKUP(A1180,'[1]Global_Spot Prices'!$B:$B,'[1]Global_Spot Prices'!$D:$D)</f>
        <v>64.284999999999997</v>
      </c>
      <c r="E1180">
        <f>_xlfn.XLOOKUP(A1180,'[1]Global_Spot Prices'!$B:$B,'[1]Global_Spot Prices'!$H:$H)</f>
        <v>55.58</v>
      </c>
      <c r="F1180">
        <f>_xlfn.XLOOKUP(A1180,'[1]Global_Spot Prices'!$B:$B,'[1]Global_Spot Prices'!$I:$I)</f>
        <v>70.319999999999993</v>
      </c>
      <c r="G1180" cm="1">
        <f t="array" ref="G1180">_xlfn.XLOOKUP(TEXT(A1180, "mmm-yy"), TEXT([2]RUNS!$B$5:$B$208, "mmm-yy"), [2]RUNS!$D$5:$D$208, "Not Found")</f>
        <v>29318.84755977281</v>
      </c>
      <c r="H1180" cm="1">
        <f t="array" ref="H1180">SUMPRODUCT(
    --(TEXT('[3]Global Weekly Stock (EWSuez'!$B$4:$B$2000,"mmm-yy")=TEXT(A1180,"mmm-yy")),
    '[3]Global Weekly Stock (EWSuez'!$E$4:$E$2000)
/
SUMPRODUCT(
    --(TEXT('[3]Global Weekly Stock (EWSuez'!$B$4:$B$2000,"mmm-yy")=TEXT(A1180,"mmm-yy"))
)</f>
        <v>10169.5</v>
      </c>
      <c r="I1180">
        <f>_xlfn.XLOOKUP(A1180,[1]ForwardDeriv!$D:$D,[1]ForwardDeriv!$AJ:$AJ)</f>
        <v>0.82999999999999829</v>
      </c>
      <c r="J1180" cm="1">
        <f t="array" ref="J1180">_xlfn.XLOOKUP(TEXT(A1180, "mmm-yy"), TEXT([2]GASOLINE!$B$5:$B$208, "mmm-yy"), [2]GASOLINE!$IR$5:$IR$208, "Not Found")</f>
        <v>50.581045850300995</v>
      </c>
      <c r="K1180" cm="1">
        <f t="array" ref="K1180">_xlfn.XLOOKUP(TEXT(A1180, "mmm-yy"), TEXT([2]GASOLINE!$B$5:$B$208, "mmm-yy"), [2]GASOLINE!$IK$5:$IK$208, "Not Found")</f>
        <v>171.621431695502</v>
      </c>
      <c r="L1180">
        <f t="shared" si="18"/>
        <v>1</v>
      </c>
      <c r="M1180" cm="1">
        <f t="array" ref="M1180">_xlfn.XLOOKUP(TEXT(A1180, "mmm-yy"), TEXT([2]GASOLINE!$B$5:$B$208, "mmm-yy"), [2]GASOLINE!$C$5:$C$208, "Not Found")</f>
        <v>7118.7755977158231</v>
      </c>
      <c r="N1180" cm="1">
        <f t="array" ref="N1180">_xlfn.XLOOKUP(TEXT(A1180, "mmm-yy"), TEXT([2]RUNS!$B$5:$B$208, "mmm-yy"), [2]RUNS!$BM$5:$BM$208, "Not Found")</f>
        <v>0.81664231943815491</v>
      </c>
    </row>
    <row r="1181" spans="1:14" x14ac:dyDescent="0.25">
      <c r="A1181" s="1">
        <f>'[1]Global_Spot Prices'!$B2490</f>
        <v>43656</v>
      </c>
      <c r="B1181">
        <f>_xlfn.XLOOKUP(A1181,'[1]Global_Spot Prices'!$B:$B,'[1]Global_Spot Prices'!$BS:$BS)</f>
        <v>8.6450000000000031</v>
      </c>
      <c r="C1181">
        <f>_xlfn.XLOOKUP(A1181,'[1]Global_Spot Prices'!$B:$B,'[1]Global_Spot Prices'!$E:$E)</f>
        <v>63.854999999999997</v>
      </c>
      <c r="D1181">
        <f>_xlfn.XLOOKUP(A1181,'[1]Global_Spot Prices'!$B:$B,'[1]Global_Spot Prices'!$D:$D)</f>
        <v>66.655000000000001</v>
      </c>
      <c r="E1181">
        <f>_xlfn.XLOOKUP(A1181,'[1]Global_Spot Prices'!$B:$B,'[1]Global_Spot Prices'!$H:$H)</f>
        <v>57.08</v>
      </c>
      <c r="F1181">
        <f>_xlfn.XLOOKUP(A1181,'[1]Global_Spot Prices'!$B:$B,'[1]Global_Spot Prices'!$I:$I)</f>
        <v>72.5</v>
      </c>
      <c r="G1181" cm="1">
        <f t="array" ref="G1181">_xlfn.XLOOKUP(TEXT(A1181, "mmm-yy"), TEXT([2]RUNS!$B$5:$B$208, "mmm-yy"), [2]RUNS!$D$5:$D$208, "Not Found")</f>
        <v>29318.84755977281</v>
      </c>
      <c r="H1181" cm="1">
        <f t="array" ref="H1181">SUMPRODUCT(
    --(TEXT('[3]Global Weekly Stock (EWSuez'!$B$4:$B$2000,"mmm-yy")=TEXT(A1181,"mmm-yy")),
    '[3]Global Weekly Stock (EWSuez'!$E$4:$E$2000)
/
SUMPRODUCT(
    --(TEXT('[3]Global Weekly Stock (EWSuez'!$B$4:$B$2000,"mmm-yy")=TEXT(A1181,"mmm-yy"))
)</f>
        <v>10169.5</v>
      </c>
      <c r="I1181">
        <f>_xlfn.XLOOKUP(A1181,[1]ForwardDeriv!$D:$D,[1]ForwardDeriv!$AJ:$AJ)</f>
        <v>0.95000000000000284</v>
      </c>
      <c r="J1181" cm="1">
        <f t="array" ref="J1181">_xlfn.XLOOKUP(TEXT(A1181, "mmm-yy"), TEXT([2]GASOLINE!$B$5:$B$208, "mmm-yy"), [2]GASOLINE!$IR$5:$IR$208, "Not Found")</f>
        <v>50.581045850300995</v>
      </c>
      <c r="K1181" cm="1">
        <f t="array" ref="K1181">_xlfn.XLOOKUP(TEXT(A1181, "mmm-yy"), TEXT([2]GASOLINE!$B$5:$B$208, "mmm-yy"), [2]GASOLINE!$IK$5:$IK$208, "Not Found")</f>
        <v>171.621431695502</v>
      </c>
      <c r="L1181">
        <f t="shared" si="18"/>
        <v>1</v>
      </c>
      <c r="M1181" cm="1">
        <f t="array" ref="M1181">_xlfn.XLOOKUP(TEXT(A1181, "mmm-yy"), TEXT([2]GASOLINE!$B$5:$B$208, "mmm-yy"), [2]GASOLINE!$C$5:$C$208, "Not Found")</f>
        <v>7118.7755977158231</v>
      </c>
      <c r="N1181" cm="1">
        <f t="array" ref="N1181">_xlfn.XLOOKUP(TEXT(A1181, "mmm-yy"), TEXT([2]RUNS!$B$5:$B$208, "mmm-yy"), [2]RUNS!$BM$5:$BM$208, "Not Found")</f>
        <v>0.81664231943815491</v>
      </c>
    </row>
    <row r="1182" spans="1:14" x14ac:dyDescent="0.25">
      <c r="A1182" s="1">
        <f>'[1]Global_Spot Prices'!$B2491</f>
        <v>43657</v>
      </c>
      <c r="B1182">
        <f>_xlfn.XLOOKUP(A1182,'[1]Global_Spot Prices'!$B:$B,'[1]Global_Spot Prices'!$BS:$BS)</f>
        <v>9.7199999999999989</v>
      </c>
      <c r="C1182">
        <f>_xlfn.XLOOKUP(A1182,'[1]Global_Spot Prices'!$B:$B,'[1]Global_Spot Prices'!$E:$E)</f>
        <v>65.930000000000007</v>
      </c>
      <c r="D1182">
        <f>_xlfn.XLOOKUP(A1182,'[1]Global_Spot Prices'!$B:$B,'[1]Global_Spot Prices'!$D:$D)</f>
        <v>67.344999999999999</v>
      </c>
      <c r="E1182">
        <f>_xlfn.XLOOKUP(A1182,'[1]Global_Spot Prices'!$B:$B,'[1]Global_Spot Prices'!$H:$H)</f>
        <v>58.96</v>
      </c>
      <c r="F1182">
        <f>_xlfn.XLOOKUP(A1182,'[1]Global_Spot Prices'!$B:$B,'[1]Global_Spot Prices'!$I:$I)</f>
        <v>75.650000000000006</v>
      </c>
      <c r="G1182" cm="1">
        <f t="array" ref="G1182">_xlfn.XLOOKUP(TEXT(A1182, "mmm-yy"), TEXT([2]RUNS!$B$5:$B$208, "mmm-yy"), [2]RUNS!$D$5:$D$208, "Not Found")</f>
        <v>29318.84755977281</v>
      </c>
      <c r="H1182" cm="1">
        <f t="array" ref="H1182">SUMPRODUCT(
    --(TEXT('[3]Global Weekly Stock (EWSuez'!$B$4:$B$2000,"mmm-yy")=TEXT(A1182,"mmm-yy")),
    '[3]Global Weekly Stock (EWSuez'!$E$4:$E$2000)
/
SUMPRODUCT(
    --(TEXT('[3]Global Weekly Stock (EWSuez'!$B$4:$B$2000,"mmm-yy")=TEXT(A1182,"mmm-yy"))
)</f>
        <v>10169.5</v>
      </c>
      <c r="I1182">
        <f>_xlfn.XLOOKUP(A1182,[1]ForwardDeriv!$D:$D,[1]ForwardDeriv!$AJ:$AJ)</f>
        <v>1.25</v>
      </c>
      <c r="J1182" cm="1">
        <f t="array" ref="J1182">_xlfn.XLOOKUP(TEXT(A1182, "mmm-yy"), TEXT([2]GASOLINE!$B$5:$B$208, "mmm-yy"), [2]GASOLINE!$IR$5:$IR$208, "Not Found")</f>
        <v>50.581045850300995</v>
      </c>
      <c r="K1182" cm="1">
        <f t="array" ref="K1182">_xlfn.XLOOKUP(TEXT(A1182, "mmm-yy"), TEXT([2]GASOLINE!$B$5:$B$208, "mmm-yy"), [2]GASOLINE!$IK$5:$IK$208, "Not Found")</f>
        <v>171.621431695502</v>
      </c>
      <c r="L1182">
        <f t="shared" si="18"/>
        <v>1</v>
      </c>
      <c r="M1182" cm="1">
        <f t="array" ref="M1182">_xlfn.XLOOKUP(TEXT(A1182, "mmm-yy"), TEXT([2]GASOLINE!$B$5:$B$208, "mmm-yy"), [2]GASOLINE!$C$5:$C$208, "Not Found")</f>
        <v>7118.7755977158231</v>
      </c>
      <c r="N1182" cm="1">
        <f t="array" ref="N1182">_xlfn.XLOOKUP(TEXT(A1182, "mmm-yy"), TEXT([2]RUNS!$B$5:$B$208, "mmm-yy"), [2]RUNS!$BM$5:$BM$208, "Not Found")</f>
        <v>0.81664231943815491</v>
      </c>
    </row>
    <row r="1183" spans="1:14" x14ac:dyDescent="0.25">
      <c r="A1183" s="1">
        <f>'[1]Global_Spot Prices'!$B2492</f>
        <v>43658</v>
      </c>
      <c r="B1183">
        <f>_xlfn.XLOOKUP(A1183,'[1]Global_Spot Prices'!$B:$B,'[1]Global_Spot Prices'!$BS:$BS)</f>
        <v>10.155000000000001</v>
      </c>
      <c r="C1183">
        <f>_xlfn.XLOOKUP(A1183,'[1]Global_Spot Prices'!$B:$B,'[1]Global_Spot Prices'!$E:$E)</f>
        <v>65.855000000000004</v>
      </c>
      <c r="D1183">
        <f>_xlfn.XLOOKUP(A1183,'[1]Global_Spot Prices'!$B:$B,'[1]Global_Spot Prices'!$D:$D)</f>
        <v>67.09</v>
      </c>
      <c r="E1183">
        <f>_xlfn.XLOOKUP(A1183,'[1]Global_Spot Prices'!$B:$B,'[1]Global_Spot Prices'!$H:$H)</f>
        <v>58.2</v>
      </c>
      <c r="F1183">
        <f>_xlfn.XLOOKUP(A1183,'[1]Global_Spot Prices'!$B:$B,'[1]Global_Spot Prices'!$I:$I)</f>
        <v>76.010000000000005</v>
      </c>
      <c r="G1183" cm="1">
        <f t="array" ref="G1183">_xlfn.XLOOKUP(TEXT(A1183, "mmm-yy"), TEXT([2]RUNS!$B$5:$B$208, "mmm-yy"), [2]RUNS!$D$5:$D$208, "Not Found")</f>
        <v>29318.84755977281</v>
      </c>
      <c r="H1183" cm="1">
        <f t="array" ref="H1183">SUMPRODUCT(
    --(TEXT('[3]Global Weekly Stock (EWSuez'!$B$4:$B$2000,"mmm-yy")=TEXT(A1183,"mmm-yy")),
    '[3]Global Weekly Stock (EWSuez'!$E$4:$E$2000)
/
SUMPRODUCT(
    --(TEXT('[3]Global Weekly Stock (EWSuez'!$B$4:$B$2000,"mmm-yy")=TEXT(A1183,"mmm-yy"))
)</f>
        <v>10169.5</v>
      </c>
      <c r="I1183">
        <f>_xlfn.XLOOKUP(A1183,[1]ForwardDeriv!$D:$D,[1]ForwardDeriv!$AJ:$AJ)</f>
        <v>1.2199999999999989</v>
      </c>
      <c r="J1183" cm="1">
        <f t="array" ref="J1183">_xlfn.XLOOKUP(TEXT(A1183, "mmm-yy"), TEXT([2]GASOLINE!$B$5:$B$208, "mmm-yy"), [2]GASOLINE!$IR$5:$IR$208, "Not Found")</f>
        <v>50.581045850300995</v>
      </c>
      <c r="K1183" cm="1">
        <f t="array" ref="K1183">_xlfn.XLOOKUP(TEXT(A1183, "mmm-yy"), TEXT([2]GASOLINE!$B$5:$B$208, "mmm-yy"), [2]GASOLINE!$IK$5:$IK$208, "Not Found")</f>
        <v>171.621431695502</v>
      </c>
      <c r="L1183">
        <f t="shared" si="18"/>
        <v>1</v>
      </c>
      <c r="M1183" cm="1">
        <f t="array" ref="M1183">_xlfn.XLOOKUP(TEXT(A1183, "mmm-yy"), TEXT([2]GASOLINE!$B$5:$B$208, "mmm-yy"), [2]GASOLINE!$C$5:$C$208, "Not Found")</f>
        <v>7118.7755977158231</v>
      </c>
      <c r="N1183" cm="1">
        <f t="array" ref="N1183">_xlfn.XLOOKUP(TEXT(A1183, "mmm-yy"), TEXT([2]RUNS!$B$5:$B$208, "mmm-yy"), [2]RUNS!$BM$5:$BM$208, "Not Found")</f>
        <v>0.81664231943815491</v>
      </c>
    </row>
    <row r="1184" spans="1:14" x14ac:dyDescent="0.25">
      <c r="A1184" s="1">
        <f>'[1]Global_Spot Prices'!$B2493</f>
        <v>43661</v>
      </c>
      <c r="B1184">
        <f>_xlfn.XLOOKUP(A1184,'[1]Global_Spot Prices'!$B:$B,'[1]Global_Spot Prices'!$BS:$BS)</f>
        <v>9.2600000000000051</v>
      </c>
      <c r="C1184">
        <f>_xlfn.XLOOKUP(A1184,'[1]Global_Spot Prices'!$B:$B,'[1]Global_Spot Prices'!$E:$E)</f>
        <v>65.19</v>
      </c>
      <c r="D1184">
        <f>_xlfn.XLOOKUP(A1184,'[1]Global_Spot Prices'!$B:$B,'[1]Global_Spot Prices'!$D:$D)</f>
        <v>66.83</v>
      </c>
      <c r="E1184">
        <f>_xlfn.XLOOKUP(A1184,'[1]Global_Spot Prices'!$B:$B,'[1]Global_Spot Prices'!$H:$H)</f>
        <v>57.49</v>
      </c>
      <c r="F1184">
        <f>_xlfn.XLOOKUP(A1184,'[1]Global_Spot Prices'!$B:$B,'[1]Global_Spot Prices'!$I:$I)</f>
        <v>74.45</v>
      </c>
      <c r="G1184" cm="1">
        <f t="array" ref="G1184">_xlfn.XLOOKUP(TEXT(A1184, "mmm-yy"), TEXT([2]RUNS!$B$5:$B$208, "mmm-yy"), [2]RUNS!$D$5:$D$208, "Not Found")</f>
        <v>29318.84755977281</v>
      </c>
      <c r="H1184" cm="1">
        <f t="array" ref="H1184">SUMPRODUCT(
    --(TEXT('[3]Global Weekly Stock (EWSuez'!$B$4:$B$2000,"mmm-yy")=TEXT(A1184,"mmm-yy")),
    '[3]Global Weekly Stock (EWSuez'!$E$4:$E$2000)
/
SUMPRODUCT(
    --(TEXT('[3]Global Weekly Stock (EWSuez'!$B$4:$B$2000,"mmm-yy")=TEXT(A1184,"mmm-yy"))
)</f>
        <v>10169.5</v>
      </c>
      <c r="I1184">
        <f>_xlfn.XLOOKUP(A1184,[1]ForwardDeriv!$D:$D,[1]ForwardDeriv!$AJ:$AJ)</f>
        <v>1.2800000000000011</v>
      </c>
      <c r="J1184" cm="1">
        <f t="array" ref="J1184">_xlfn.XLOOKUP(TEXT(A1184, "mmm-yy"), TEXT([2]GASOLINE!$B$5:$B$208, "mmm-yy"), [2]GASOLINE!$IR$5:$IR$208, "Not Found")</f>
        <v>50.581045850300995</v>
      </c>
      <c r="K1184" cm="1">
        <f t="array" ref="K1184">_xlfn.XLOOKUP(TEXT(A1184, "mmm-yy"), TEXT([2]GASOLINE!$B$5:$B$208, "mmm-yy"), [2]GASOLINE!$IK$5:$IK$208, "Not Found")</f>
        <v>171.621431695502</v>
      </c>
      <c r="L1184">
        <f t="shared" si="18"/>
        <v>1</v>
      </c>
      <c r="M1184" cm="1">
        <f t="array" ref="M1184">_xlfn.XLOOKUP(TEXT(A1184, "mmm-yy"), TEXT([2]GASOLINE!$B$5:$B$208, "mmm-yy"), [2]GASOLINE!$C$5:$C$208, "Not Found")</f>
        <v>7118.7755977158231</v>
      </c>
      <c r="N1184" cm="1">
        <f t="array" ref="N1184">_xlfn.XLOOKUP(TEXT(A1184, "mmm-yy"), TEXT([2]RUNS!$B$5:$B$208, "mmm-yy"), [2]RUNS!$BM$5:$BM$208, "Not Found")</f>
        <v>0.81664231943815491</v>
      </c>
    </row>
    <row r="1185" spans="1:14" x14ac:dyDescent="0.25">
      <c r="A1185" s="1">
        <f>'[1]Global_Spot Prices'!$B2494</f>
        <v>43662</v>
      </c>
      <c r="B1185">
        <f>_xlfn.XLOOKUP(A1185,'[1]Global_Spot Prices'!$B:$B,'[1]Global_Spot Prices'!$BS:$BS)</f>
        <v>9.2399999999999949</v>
      </c>
      <c r="C1185">
        <f>_xlfn.XLOOKUP(A1185,'[1]Global_Spot Prices'!$B:$B,'[1]Global_Spot Prices'!$E:$E)</f>
        <v>64.56</v>
      </c>
      <c r="D1185">
        <f>_xlfn.XLOOKUP(A1185,'[1]Global_Spot Prices'!$B:$B,'[1]Global_Spot Prices'!$D:$D)</f>
        <v>66.02</v>
      </c>
      <c r="E1185">
        <f>_xlfn.XLOOKUP(A1185,'[1]Global_Spot Prices'!$B:$B,'[1]Global_Spot Prices'!$H:$H)</f>
        <v>56.49</v>
      </c>
      <c r="F1185">
        <f>_xlfn.XLOOKUP(A1185,'[1]Global_Spot Prices'!$B:$B,'[1]Global_Spot Prices'!$I:$I)</f>
        <v>73.8</v>
      </c>
      <c r="G1185" cm="1">
        <f t="array" ref="G1185">_xlfn.XLOOKUP(TEXT(A1185, "mmm-yy"), TEXT([2]RUNS!$B$5:$B$208, "mmm-yy"), [2]RUNS!$D$5:$D$208, "Not Found")</f>
        <v>29318.84755977281</v>
      </c>
      <c r="H1185" cm="1">
        <f t="array" ref="H1185">SUMPRODUCT(
    --(TEXT('[3]Global Weekly Stock (EWSuez'!$B$4:$B$2000,"mmm-yy")=TEXT(A1185,"mmm-yy")),
    '[3]Global Weekly Stock (EWSuez'!$E$4:$E$2000)
/
SUMPRODUCT(
    --(TEXT('[3]Global Weekly Stock (EWSuez'!$B$4:$B$2000,"mmm-yy")=TEXT(A1185,"mmm-yy"))
)</f>
        <v>10169.5</v>
      </c>
      <c r="I1185">
        <f>_xlfn.XLOOKUP(A1185,[1]ForwardDeriv!$D:$D,[1]ForwardDeriv!$AJ:$AJ)</f>
        <v>1.4500000000000028</v>
      </c>
      <c r="J1185" cm="1">
        <f t="array" ref="J1185">_xlfn.XLOOKUP(TEXT(A1185, "mmm-yy"), TEXT([2]GASOLINE!$B$5:$B$208, "mmm-yy"), [2]GASOLINE!$IR$5:$IR$208, "Not Found")</f>
        <v>50.581045850300995</v>
      </c>
      <c r="K1185" cm="1">
        <f t="array" ref="K1185">_xlfn.XLOOKUP(TEXT(A1185, "mmm-yy"), TEXT([2]GASOLINE!$B$5:$B$208, "mmm-yy"), [2]GASOLINE!$IK$5:$IK$208, "Not Found")</f>
        <v>171.621431695502</v>
      </c>
      <c r="L1185">
        <f t="shared" si="18"/>
        <v>1</v>
      </c>
      <c r="M1185" cm="1">
        <f t="array" ref="M1185">_xlfn.XLOOKUP(TEXT(A1185, "mmm-yy"), TEXT([2]GASOLINE!$B$5:$B$208, "mmm-yy"), [2]GASOLINE!$C$5:$C$208, "Not Found")</f>
        <v>7118.7755977158231</v>
      </c>
      <c r="N1185" cm="1">
        <f t="array" ref="N1185">_xlfn.XLOOKUP(TEXT(A1185, "mmm-yy"), TEXT([2]RUNS!$B$5:$B$208, "mmm-yy"), [2]RUNS!$BM$5:$BM$208, "Not Found")</f>
        <v>0.81664231943815491</v>
      </c>
    </row>
    <row r="1186" spans="1:14" x14ac:dyDescent="0.25">
      <c r="A1186" s="1">
        <f>'[1]Global_Spot Prices'!$B2495</f>
        <v>43663</v>
      </c>
      <c r="B1186">
        <f>_xlfn.XLOOKUP(A1186,'[1]Global_Spot Prices'!$B:$B,'[1]Global_Spot Prices'!$BS:$BS)</f>
        <v>9.2099999999999937</v>
      </c>
      <c r="C1186">
        <f>_xlfn.XLOOKUP(A1186,'[1]Global_Spot Prices'!$B:$B,'[1]Global_Spot Prices'!$E:$E)</f>
        <v>63.2</v>
      </c>
      <c r="D1186">
        <f>_xlfn.XLOOKUP(A1186,'[1]Global_Spot Prices'!$B:$B,'[1]Global_Spot Prices'!$D:$D)</f>
        <v>63.86</v>
      </c>
      <c r="E1186">
        <f>_xlfn.XLOOKUP(A1186,'[1]Global_Spot Prices'!$B:$B,'[1]Global_Spot Prices'!$H:$H)</f>
        <v>55.33</v>
      </c>
      <c r="F1186">
        <f>_xlfn.XLOOKUP(A1186,'[1]Global_Spot Prices'!$B:$B,'[1]Global_Spot Prices'!$I:$I)</f>
        <v>72.41</v>
      </c>
      <c r="G1186" cm="1">
        <f t="array" ref="G1186">_xlfn.XLOOKUP(TEXT(A1186, "mmm-yy"), TEXT([2]RUNS!$B$5:$B$208, "mmm-yy"), [2]RUNS!$D$5:$D$208, "Not Found")</f>
        <v>29318.84755977281</v>
      </c>
      <c r="H1186" cm="1">
        <f t="array" ref="H1186">SUMPRODUCT(
    --(TEXT('[3]Global Weekly Stock (EWSuez'!$B$4:$B$2000,"mmm-yy")=TEXT(A1186,"mmm-yy")),
    '[3]Global Weekly Stock (EWSuez'!$E$4:$E$2000)
/
SUMPRODUCT(
    --(TEXT('[3]Global Weekly Stock (EWSuez'!$B$4:$B$2000,"mmm-yy")=TEXT(A1186,"mmm-yy"))
)</f>
        <v>10169.5</v>
      </c>
      <c r="I1186">
        <f>_xlfn.XLOOKUP(A1186,[1]ForwardDeriv!$D:$D,[1]ForwardDeriv!$AJ:$AJ)</f>
        <v>1.3900000000000006</v>
      </c>
      <c r="J1186" cm="1">
        <f t="array" ref="J1186">_xlfn.XLOOKUP(TEXT(A1186, "mmm-yy"), TEXT([2]GASOLINE!$B$5:$B$208, "mmm-yy"), [2]GASOLINE!$IR$5:$IR$208, "Not Found")</f>
        <v>50.581045850300995</v>
      </c>
      <c r="K1186" cm="1">
        <f t="array" ref="K1186">_xlfn.XLOOKUP(TEXT(A1186, "mmm-yy"), TEXT([2]GASOLINE!$B$5:$B$208, "mmm-yy"), [2]GASOLINE!$IK$5:$IK$208, "Not Found")</f>
        <v>171.621431695502</v>
      </c>
      <c r="L1186">
        <f t="shared" si="18"/>
        <v>1</v>
      </c>
      <c r="M1186" cm="1">
        <f t="array" ref="M1186">_xlfn.XLOOKUP(TEXT(A1186, "mmm-yy"), TEXT([2]GASOLINE!$B$5:$B$208, "mmm-yy"), [2]GASOLINE!$C$5:$C$208, "Not Found")</f>
        <v>7118.7755977158231</v>
      </c>
      <c r="N1186" cm="1">
        <f t="array" ref="N1186">_xlfn.XLOOKUP(TEXT(A1186, "mmm-yy"), TEXT([2]RUNS!$B$5:$B$208, "mmm-yy"), [2]RUNS!$BM$5:$BM$208, "Not Found")</f>
        <v>0.81664231943815491</v>
      </c>
    </row>
    <row r="1187" spans="1:14" x14ac:dyDescent="0.25">
      <c r="A1187" s="1">
        <f>'[1]Global_Spot Prices'!$B2496</f>
        <v>43664</v>
      </c>
      <c r="B1187">
        <f>_xlfn.XLOOKUP(A1187,'[1]Global_Spot Prices'!$B:$B,'[1]Global_Spot Prices'!$BS:$BS)</f>
        <v>9.2850000000000037</v>
      </c>
      <c r="C1187">
        <f>_xlfn.XLOOKUP(A1187,'[1]Global_Spot Prices'!$B:$B,'[1]Global_Spot Prices'!$E:$E)</f>
        <v>62.104999999999997</v>
      </c>
      <c r="D1187">
        <f>_xlfn.XLOOKUP(A1187,'[1]Global_Spot Prices'!$B:$B,'[1]Global_Spot Prices'!$D:$D)</f>
        <v>61.064999999999998</v>
      </c>
      <c r="E1187">
        <f>_xlfn.XLOOKUP(A1187,'[1]Global_Spot Prices'!$B:$B,'[1]Global_Spot Prices'!$H:$H)</f>
        <v>54.56</v>
      </c>
      <c r="F1187">
        <f>_xlfn.XLOOKUP(A1187,'[1]Global_Spot Prices'!$B:$B,'[1]Global_Spot Prices'!$I:$I)</f>
        <v>71.39</v>
      </c>
      <c r="G1187" cm="1">
        <f t="array" ref="G1187">_xlfn.XLOOKUP(TEXT(A1187, "mmm-yy"), TEXT([2]RUNS!$B$5:$B$208, "mmm-yy"), [2]RUNS!$D$5:$D$208, "Not Found")</f>
        <v>29318.84755977281</v>
      </c>
      <c r="H1187" cm="1">
        <f t="array" ref="H1187">SUMPRODUCT(
    --(TEXT('[3]Global Weekly Stock (EWSuez'!$B$4:$B$2000,"mmm-yy")=TEXT(A1187,"mmm-yy")),
    '[3]Global Weekly Stock (EWSuez'!$E$4:$E$2000)
/
SUMPRODUCT(
    --(TEXT('[3]Global Weekly Stock (EWSuez'!$B$4:$B$2000,"mmm-yy")=TEXT(A1187,"mmm-yy"))
)</f>
        <v>10169.5</v>
      </c>
      <c r="I1187">
        <f>_xlfn.XLOOKUP(A1187,[1]ForwardDeriv!$D:$D,[1]ForwardDeriv!$AJ:$AJ)</f>
        <v>1.5</v>
      </c>
      <c r="J1187" cm="1">
        <f t="array" ref="J1187">_xlfn.XLOOKUP(TEXT(A1187, "mmm-yy"), TEXT([2]GASOLINE!$B$5:$B$208, "mmm-yy"), [2]GASOLINE!$IR$5:$IR$208, "Not Found")</f>
        <v>50.581045850300995</v>
      </c>
      <c r="K1187" cm="1">
        <f t="array" ref="K1187">_xlfn.XLOOKUP(TEXT(A1187, "mmm-yy"), TEXT([2]GASOLINE!$B$5:$B$208, "mmm-yy"), [2]GASOLINE!$IK$5:$IK$208, "Not Found")</f>
        <v>171.621431695502</v>
      </c>
      <c r="L1187">
        <f t="shared" si="18"/>
        <v>1</v>
      </c>
      <c r="M1187" cm="1">
        <f t="array" ref="M1187">_xlfn.XLOOKUP(TEXT(A1187, "mmm-yy"), TEXT([2]GASOLINE!$B$5:$B$208, "mmm-yy"), [2]GASOLINE!$C$5:$C$208, "Not Found")</f>
        <v>7118.7755977158231</v>
      </c>
      <c r="N1187" cm="1">
        <f t="array" ref="N1187">_xlfn.XLOOKUP(TEXT(A1187, "mmm-yy"), TEXT([2]RUNS!$B$5:$B$208, "mmm-yy"), [2]RUNS!$BM$5:$BM$208, "Not Found")</f>
        <v>0.81664231943815491</v>
      </c>
    </row>
    <row r="1188" spans="1:14" x14ac:dyDescent="0.25">
      <c r="A1188" s="1">
        <f>'[1]Global_Spot Prices'!$B2497</f>
        <v>43665</v>
      </c>
      <c r="B1188">
        <f>_xlfn.XLOOKUP(A1188,'[1]Global_Spot Prices'!$B:$B,'[1]Global_Spot Prices'!$BS:$BS)</f>
        <v>9.57</v>
      </c>
      <c r="C1188">
        <f>_xlfn.XLOOKUP(A1188,'[1]Global_Spot Prices'!$B:$B,'[1]Global_Spot Prices'!$E:$E)</f>
        <v>61.54</v>
      </c>
      <c r="D1188">
        <f>_xlfn.XLOOKUP(A1188,'[1]Global_Spot Prices'!$B:$B,'[1]Global_Spot Prices'!$D:$D)</f>
        <v>61.265000000000001</v>
      </c>
      <c r="E1188">
        <f>_xlfn.XLOOKUP(A1188,'[1]Global_Spot Prices'!$B:$B,'[1]Global_Spot Prices'!$H:$H)</f>
        <v>54.11</v>
      </c>
      <c r="F1188">
        <f>_xlfn.XLOOKUP(A1188,'[1]Global_Spot Prices'!$B:$B,'[1]Global_Spot Prices'!$I:$I)</f>
        <v>71.11</v>
      </c>
      <c r="G1188" cm="1">
        <f t="array" ref="G1188">_xlfn.XLOOKUP(TEXT(A1188, "mmm-yy"), TEXT([2]RUNS!$B$5:$B$208, "mmm-yy"), [2]RUNS!$D$5:$D$208, "Not Found")</f>
        <v>29318.84755977281</v>
      </c>
      <c r="H1188" cm="1">
        <f t="array" ref="H1188">SUMPRODUCT(
    --(TEXT('[3]Global Weekly Stock (EWSuez'!$B$4:$B$2000,"mmm-yy")=TEXT(A1188,"mmm-yy")),
    '[3]Global Weekly Stock (EWSuez'!$E$4:$E$2000)
/
SUMPRODUCT(
    --(TEXT('[3]Global Weekly Stock (EWSuez'!$B$4:$B$2000,"mmm-yy")=TEXT(A1188,"mmm-yy"))
)</f>
        <v>10169.5</v>
      </c>
      <c r="I1188">
        <f>_xlfn.XLOOKUP(A1188,[1]ForwardDeriv!$D:$D,[1]ForwardDeriv!$AJ:$AJ)</f>
        <v>1.5499999999999972</v>
      </c>
      <c r="J1188" cm="1">
        <f t="array" ref="J1188">_xlfn.XLOOKUP(TEXT(A1188, "mmm-yy"), TEXT([2]GASOLINE!$B$5:$B$208, "mmm-yy"), [2]GASOLINE!$IR$5:$IR$208, "Not Found")</f>
        <v>50.581045850300995</v>
      </c>
      <c r="K1188" cm="1">
        <f t="array" ref="K1188">_xlfn.XLOOKUP(TEXT(A1188, "mmm-yy"), TEXT([2]GASOLINE!$B$5:$B$208, "mmm-yy"), [2]GASOLINE!$IK$5:$IK$208, "Not Found")</f>
        <v>171.621431695502</v>
      </c>
      <c r="L1188">
        <f t="shared" si="18"/>
        <v>1</v>
      </c>
      <c r="M1188" cm="1">
        <f t="array" ref="M1188">_xlfn.XLOOKUP(TEXT(A1188, "mmm-yy"), TEXT([2]GASOLINE!$B$5:$B$208, "mmm-yy"), [2]GASOLINE!$C$5:$C$208, "Not Found")</f>
        <v>7118.7755977158231</v>
      </c>
      <c r="N1188" cm="1">
        <f t="array" ref="N1188">_xlfn.XLOOKUP(TEXT(A1188, "mmm-yy"), TEXT([2]RUNS!$B$5:$B$208, "mmm-yy"), [2]RUNS!$BM$5:$BM$208, "Not Found")</f>
        <v>0.81664231943815491</v>
      </c>
    </row>
    <row r="1189" spans="1:14" x14ac:dyDescent="0.25">
      <c r="A1189" s="1">
        <f>'[1]Global_Spot Prices'!$B2498</f>
        <v>43668</v>
      </c>
      <c r="B1189">
        <f>_xlfn.XLOOKUP(A1189,'[1]Global_Spot Prices'!$B:$B,'[1]Global_Spot Prices'!$BS:$BS)</f>
        <v>8.4999999999999929</v>
      </c>
      <c r="C1189">
        <f>_xlfn.XLOOKUP(A1189,'[1]Global_Spot Prices'!$B:$B,'[1]Global_Spot Prices'!$E:$E)</f>
        <v>62.71</v>
      </c>
      <c r="D1189">
        <f>_xlfn.XLOOKUP(A1189,'[1]Global_Spot Prices'!$B:$B,'[1]Global_Spot Prices'!$D:$D)</f>
        <v>62.71</v>
      </c>
      <c r="E1189">
        <f>_xlfn.XLOOKUP(A1189,'[1]Global_Spot Prices'!$B:$B,'[1]Global_Spot Prices'!$H:$H)</f>
        <v>54.99</v>
      </c>
      <c r="F1189">
        <f>_xlfn.XLOOKUP(A1189,'[1]Global_Spot Prices'!$B:$B,'[1]Global_Spot Prices'!$I:$I)</f>
        <v>71.209999999999994</v>
      </c>
      <c r="G1189" cm="1">
        <f t="array" ref="G1189">_xlfn.XLOOKUP(TEXT(A1189, "mmm-yy"), TEXT([2]RUNS!$B$5:$B$208, "mmm-yy"), [2]RUNS!$D$5:$D$208, "Not Found")</f>
        <v>29318.84755977281</v>
      </c>
      <c r="H1189" cm="1">
        <f t="array" ref="H1189">SUMPRODUCT(
    --(TEXT('[3]Global Weekly Stock (EWSuez'!$B$4:$B$2000,"mmm-yy")=TEXT(A1189,"mmm-yy")),
    '[3]Global Weekly Stock (EWSuez'!$E$4:$E$2000)
/
SUMPRODUCT(
    --(TEXT('[3]Global Weekly Stock (EWSuez'!$B$4:$B$2000,"mmm-yy")=TEXT(A1189,"mmm-yy"))
)</f>
        <v>10169.5</v>
      </c>
      <c r="I1189">
        <f>_xlfn.XLOOKUP(A1189,[1]ForwardDeriv!$D:$D,[1]ForwardDeriv!$AJ:$AJ)</f>
        <v>1.3999999999999915</v>
      </c>
      <c r="J1189" cm="1">
        <f t="array" ref="J1189">_xlfn.XLOOKUP(TEXT(A1189, "mmm-yy"), TEXT([2]GASOLINE!$B$5:$B$208, "mmm-yy"), [2]GASOLINE!$IR$5:$IR$208, "Not Found")</f>
        <v>50.581045850300995</v>
      </c>
      <c r="K1189" cm="1">
        <f t="array" ref="K1189">_xlfn.XLOOKUP(TEXT(A1189, "mmm-yy"), TEXT([2]GASOLINE!$B$5:$B$208, "mmm-yy"), [2]GASOLINE!$IK$5:$IK$208, "Not Found")</f>
        <v>171.621431695502</v>
      </c>
      <c r="L1189">
        <f t="shared" si="18"/>
        <v>1</v>
      </c>
      <c r="M1189" cm="1">
        <f t="array" ref="M1189">_xlfn.XLOOKUP(TEXT(A1189, "mmm-yy"), TEXT([2]GASOLINE!$B$5:$B$208, "mmm-yy"), [2]GASOLINE!$C$5:$C$208, "Not Found")</f>
        <v>7118.7755977158231</v>
      </c>
      <c r="N1189" cm="1">
        <f t="array" ref="N1189">_xlfn.XLOOKUP(TEXT(A1189, "mmm-yy"), TEXT([2]RUNS!$B$5:$B$208, "mmm-yy"), [2]RUNS!$BM$5:$BM$208, "Not Found")</f>
        <v>0.81664231943815491</v>
      </c>
    </row>
    <row r="1190" spans="1:14" x14ac:dyDescent="0.25">
      <c r="A1190" s="1">
        <f>'[1]Global_Spot Prices'!$B2499</f>
        <v>43669</v>
      </c>
      <c r="B1190">
        <f ca="1">_xlfn.XLOOKUP(A1190,'[1]Global_Spot Prices'!$B:$B,'[1]Global_Spot Prices'!$BS:$BS)</f>
        <v>6.730000000000004</v>
      </c>
      <c r="C1190">
        <f ca="1">_xlfn.XLOOKUP(A1190,'[1]Global_Spot Prices'!$B:$B,'[1]Global_Spot Prices'!$E:$E)</f>
        <v>62.08</v>
      </c>
      <c r="D1190">
        <f>_xlfn.XLOOKUP(A1190,'[1]Global_Spot Prices'!$B:$B,'[1]Global_Spot Prices'!$D:$D)</f>
        <v>62.75</v>
      </c>
      <c r="E1190">
        <f>_xlfn.XLOOKUP(A1190,'[1]Global_Spot Prices'!$B:$B,'[1]Global_Spot Prices'!$H:$H)</f>
        <v>54.15</v>
      </c>
      <c r="F1190">
        <f ca="1">_xlfn.XLOOKUP(A1190,'[1]Global_Spot Prices'!$B:$B,'[1]Global_Spot Prices'!$I:$I)</f>
        <v>68.81</v>
      </c>
      <c r="G1190" cm="1">
        <f t="array" ref="G1190">_xlfn.XLOOKUP(TEXT(A1190, "mmm-yy"), TEXT([2]RUNS!$B$5:$B$208, "mmm-yy"), [2]RUNS!$D$5:$D$208, "Not Found")</f>
        <v>29318.84755977281</v>
      </c>
      <c r="H1190" cm="1">
        <f t="array" ref="H1190">SUMPRODUCT(
    --(TEXT('[3]Global Weekly Stock (EWSuez'!$B$4:$B$2000,"mmm-yy")=TEXT(A1190,"mmm-yy")),
    '[3]Global Weekly Stock (EWSuez'!$E$4:$E$2000)
/
SUMPRODUCT(
    --(TEXT('[3]Global Weekly Stock (EWSuez'!$B$4:$B$2000,"mmm-yy")=TEXT(A1190,"mmm-yy"))
)</f>
        <v>10169.5</v>
      </c>
      <c r="I1190">
        <f>_xlfn.XLOOKUP(A1190,[1]ForwardDeriv!$D:$D,[1]ForwardDeriv!$AJ:$AJ)</f>
        <v>0.95000000000000284</v>
      </c>
      <c r="J1190" cm="1">
        <f t="array" ref="J1190">_xlfn.XLOOKUP(TEXT(A1190, "mmm-yy"), TEXT([2]GASOLINE!$B$5:$B$208, "mmm-yy"), [2]GASOLINE!$IR$5:$IR$208, "Not Found")</f>
        <v>50.581045850300995</v>
      </c>
      <c r="K1190" cm="1">
        <f t="array" ref="K1190">_xlfn.XLOOKUP(TEXT(A1190, "mmm-yy"), TEXT([2]GASOLINE!$B$5:$B$208, "mmm-yy"), [2]GASOLINE!$IK$5:$IK$208, "Not Found")</f>
        <v>171.621431695502</v>
      </c>
      <c r="L1190">
        <f t="shared" si="18"/>
        <v>1</v>
      </c>
      <c r="M1190" cm="1">
        <f t="array" ref="M1190">_xlfn.XLOOKUP(TEXT(A1190, "mmm-yy"), TEXT([2]GASOLINE!$B$5:$B$208, "mmm-yy"), [2]GASOLINE!$C$5:$C$208, "Not Found")</f>
        <v>7118.7755977158231</v>
      </c>
      <c r="N1190" cm="1">
        <f t="array" ref="N1190">_xlfn.XLOOKUP(TEXT(A1190, "mmm-yy"), TEXT([2]RUNS!$B$5:$B$208, "mmm-yy"), [2]RUNS!$BM$5:$BM$208, "Not Found")</f>
        <v>0.81664231943815491</v>
      </c>
    </row>
    <row r="1191" spans="1:14" x14ac:dyDescent="0.25">
      <c r="A1191" s="1">
        <f>'[1]Global_Spot Prices'!$B2500</f>
        <v>43670</v>
      </c>
      <c r="B1191">
        <f>_xlfn.XLOOKUP(A1191,'[1]Global_Spot Prices'!$B:$B,'[1]Global_Spot Prices'!$BS:$BS)</f>
        <v>5.3100000000000023</v>
      </c>
      <c r="C1191">
        <f>_xlfn.XLOOKUP(A1191,'[1]Global_Spot Prices'!$B:$B,'[1]Global_Spot Prices'!$E:$E)</f>
        <v>63.17</v>
      </c>
      <c r="D1191">
        <f>_xlfn.XLOOKUP(A1191,'[1]Global_Spot Prices'!$B:$B,'[1]Global_Spot Prices'!$D:$D)</f>
        <v>63.914999999999999</v>
      </c>
      <c r="E1191">
        <f>_xlfn.XLOOKUP(A1191,'[1]Global_Spot Prices'!$B:$B,'[1]Global_Spot Prices'!$H:$H)</f>
        <v>54.82</v>
      </c>
      <c r="F1191">
        <f>_xlfn.XLOOKUP(A1191,'[1]Global_Spot Prices'!$B:$B,'[1]Global_Spot Prices'!$I:$I)</f>
        <v>68.48</v>
      </c>
      <c r="G1191" cm="1">
        <f t="array" ref="G1191">_xlfn.XLOOKUP(TEXT(A1191, "mmm-yy"), TEXT([2]RUNS!$B$5:$B$208, "mmm-yy"), [2]RUNS!$D$5:$D$208, "Not Found")</f>
        <v>29318.84755977281</v>
      </c>
      <c r="H1191" cm="1">
        <f t="array" ref="H1191">SUMPRODUCT(
    --(TEXT('[3]Global Weekly Stock (EWSuez'!$B$4:$B$2000,"mmm-yy")=TEXT(A1191,"mmm-yy")),
    '[3]Global Weekly Stock (EWSuez'!$E$4:$E$2000)
/
SUMPRODUCT(
    --(TEXT('[3]Global Weekly Stock (EWSuez'!$B$4:$B$2000,"mmm-yy")=TEXT(A1191,"mmm-yy"))
)</f>
        <v>10169.5</v>
      </c>
      <c r="I1191">
        <f>_xlfn.XLOOKUP(A1191,[1]ForwardDeriv!$D:$D,[1]ForwardDeriv!$AJ:$AJ)</f>
        <v>0.84000000000000341</v>
      </c>
      <c r="J1191" cm="1">
        <f t="array" ref="J1191">_xlfn.XLOOKUP(TEXT(A1191, "mmm-yy"), TEXT([2]GASOLINE!$B$5:$B$208, "mmm-yy"), [2]GASOLINE!$IR$5:$IR$208, "Not Found")</f>
        <v>50.581045850300995</v>
      </c>
      <c r="K1191" cm="1">
        <f t="array" ref="K1191">_xlfn.XLOOKUP(TEXT(A1191, "mmm-yy"), TEXT([2]GASOLINE!$B$5:$B$208, "mmm-yy"), [2]GASOLINE!$IK$5:$IK$208, "Not Found")</f>
        <v>171.621431695502</v>
      </c>
      <c r="L1191">
        <f t="shared" si="18"/>
        <v>1</v>
      </c>
      <c r="M1191" cm="1">
        <f t="array" ref="M1191">_xlfn.XLOOKUP(TEXT(A1191, "mmm-yy"), TEXT([2]GASOLINE!$B$5:$B$208, "mmm-yy"), [2]GASOLINE!$C$5:$C$208, "Not Found")</f>
        <v>7118.7755977158231</v>
      </c>
      <c r="N1191" cm="1">
        <f t="array" ref="N1191">_xlfn.XLOOKUP(TEXT(A1191, "mmm-yy"), TEXT([2]RUNS!$B$5:$B$208, "mmm-yy"), [2]RUNS!$BM$5:$BM$208, "Not Found")</f>
        <v>0.81664231943815491</v>
      </c>
    </row>
    <row r="1192" spans="1:14" x14ac:dyDescent="0.25">
      <c r="A1192" s="1">
        <f>'[1]Global_Spot Prices'!$B2501</f>
        <v>43671</v>
      </c>
      <c r="B1192">
        <f>_xlfn.XLOOKUP(A1192,'[1]Global_Spot Prices'!$B:$B,'[1]Global_Spot Prices'!$BS:$BS)</f>
        <v>5.7100000000000009</v>
      </c>
      <c r="C1192">
        <f>_xlfn.XLOOKUP(A1192,'[1]Global_Spot Prices'!$B:$B,'[1]Global_Spot Prices'!$E:$E)</f>
        <v>63.01</v>
      </c>
      <c r="D1192">
        <f>_xlfn.XLOOKUP(A1192,'[1]Global_Spot Prices'!$B:$B,'[1]Global_Spot Prices'!$D:$D)</f>
        <v>63.424999999999997</v>
      </c>
      <c r="E1192">
        <f>_xlfn.XLOOKUP(A1192,'[1]Global_Spot Prices'!$B:$B,'[1]Global_Spot Prices'!$H:$H)</f>
        <v>54.3</v>
      </c>
      <c r="F1192">
        <f>_xlfn.XLOOKUP(A1192,'[1]Global_Spot Prices'!$B:$B,'[1]Global_Spot Prices'!$I:$I)</f>
        <v>68.72</v>
      </c>
      <c r="G1192" cm="1">
        <f t="array" ref="G1192">_xlfn.XLOOKUP(TEXT(A1192, "mmm-yy"), TEXT([2]RUNS!$B$5:$B$208, "mmm-yy"), [2]RUNS!$D$5:$D$208, "Not Found")</f>
        <v>29318.84755977281</v>
      </c>
      <c r="H1192" cm="1">
        <f t="array" ref="H1192">SUMPRODUCT(
    --(TEXT('[3]Global Weekly Stock (EWSuez'!$B$4:$B$2000,"mmm-yy")=TEXT(A1192,"mmm-yy")),
    '[3]Global Weekly Stock (EWSuez'!$E$4:$E$2000)
/
SUMPRODUCT(
    --(TEXT('[3]Global Weekly Stock (EWSuez'!$B$4:$B$2000,"mmm-yy")=TEXT(A1192,"mmm-yy"))
)</f>
        <v>10169.5</v>
      </c>
      <c r="I1192">
        <f>_xlfn.XLOOKUP(A1192,[1]ForwardDeriv!$D:$D,[1]ForwardDeriv!$AJ:$AJ)</f>
        <v>0.89999999999999147</v>
      </c>
      <c r="J1192" cm="1">
        <f t="array" ref="J1192">_xlfn.XLOOKUP(TEXT(A1192, "mmm-yy"), TEXT([2]GASOLINE!$B$5:$B$208, "mmm-yy"), [2]GASOLINE!$IR$5:$IR$208, "Not Found")</f>
        <v>50.581045850300995</v>
      </c>
      <c r="K1192" cm="1">
        <f t="array" ref="K1192">_xlfn.XLOOKUP(TEXT(A1192, "mmm-yy"), TEXT([2]GASOLINE!$B$5:$B$208, "mmm-yy"), [2]GASOLINE!$IK$5:$IK$208, "Not Found")</f>
        <v>171.621431695502</v>
      </c>
      <c r="L1192">
        <f t="shared" si="18"/>
        <v>1</v>
      </c>
      <c r="M1192" cm="1">
        <f t="array" ref="M1192">_xlfn.XLOOKUP(TEXT(A1192, "mmm-yy"), TEXT([2]GASOLINE!$B$5:$B$208, "mmm-yy"), [2]GASOLINE!$C$5:$C$208, "Not Found")</f>
        <v>7118.7755977158231</v>
      </c>
      <c r="N1192" cm="1">
        <f t="array" ref="N1192">_xlfn.XLOOKUP(TEXT(A1192, "mmm-yy"), TEXT([2]RUNS!$B$5:$B$208, "mmm-yy"), [2]RUNS!$BM$5:$BM$208, "Not Found")</f>
        <v>0.81664231943815491</v>
      </c>
    </row>
    <row r="1193" spans="1:14" x14ac:dyDescent="0.25">
      <c r="A1193" s="1">
        <f>'[1]Global_Spot Prices'!$B2502</f>
        <v>43672</v>
      </c>
      <c r="B1193">
        <f>_xlfn.XLOOKUP(A1193,'[1]Global_Spot Prices'!$B:$B,'[1]Global_Spot Prices'!$BS:$BS)</f>
        <v>6.1700000000000017</v>
      </c>
      <c r="C1193">
        <f>_xlfn.XLOOKUP(A1193,'[1]Global_Spot Prices'!$B:$B,'[1]Global_Spot Prices'!$E:$E)</f>
        <v>62.81</v>
      </c>
      <c r="D1193">
        <f>_xlfn.XLOOKUP(A1193,'[1]Global_Spot Prices'!$B:$B,'[1]Global_Spot Prices'!$D:$D)</f>
        <v>62.28</v>
      </c>
      <c r="E1193">
        <f>_xlfn.XLOOKUP(A1193,'[1]Global_Spot Prices'!$B:$B,'[1]Global_Spot Prices'!$H:$H)</f>
        <v>54.47</v>
      </c>
      <c r="F1193">
        <f>_xlfn.XLOOKUP(A1193,'[1]Global_Spot Prices'!$B:$B,'[1]Global_Spot Prices'!$I:$I)</f>
        <v>68.98</v>
      </c>
      <c r="G1193" cm="1">
        <f t="array" ref="G1193">_xlfn.XLOOKUP(TEXT(A1193, "mmm-yy"), TEXT([2]RUNS!$B$5:$B$208, "mmm-yy"), [2]RUNS!$D$5:$D$208, "Not Found")</f>
        <v>29318.84755977281</v>
      </c>
      <c r="H1193" cm="1">
        <f t="array" ref="H1193">SUMPRODUCT(
    --(TEXT('[3]Global Weekly Stock (EWSuez'!$B$4:$B$2000,"mmm-yy")=TEXT(A1193,"mmm-yy")),
    '[3]Global Weekly Stock (EWSuez'!$E$4:$E$2000)
/
SUMPRODUCT(
    --(TEXT('[3]Global Weekly Stock (EWSuez'!$B$4:$B$2000,"mmm-yy")=TEXT(A1193,"mmm-yy"))
)</f>
        <v>10169.5</v>
      </c>
      <c r="I1193">
        <f>_xlfn.XLOOKUP(A1193,[1]ForwardDeriv!$D:$D,[1]ForwardDeriv!$AJ:$AJ)</f>
        <v>0.95999999999999375</v>
      </c>
      <c r="J1193" cm="1">
        <f t="array" ref="J1193">_xlfn.XLOOKUP(TEXT(A1193, "mmm-yy"), TEXT([2]GASOLINE!$B$5:$B$208, "mmm-yy"), [2]GASOLINE!$IR$5:$IR$208, "Not Found")</f>
        <v>50.581045850300995</v>
      </c>
      <c r="K1193" cm="1">
        <f t="array" ref="K1193">_xlfn.XLOOKUP(TEXT(A1193, "mmm-yy"), TEXT([2]GASOLINE!$B$5:$B$208, "mmm-yy"), [2]GASOLINE!$IK$5:$IK$208, "Not Found")</f>
        <v>171.621431695502</v>
      </c>
      <c r="L1193">
        <f t="shared" si="18"/>
        <v>1</v>
      </c>
      <c r="M1193" cm="1">
        <f t="array" ref="M1193">_xlfn.XLOOKUP(TEXT(A1193, "mmm-yy"), TEXT([2]GASOLINE!$B$5:$B$208, "mmm-yy"), [2]GASOLINE!$C$5:$C$208, "Not Found")</f>
        <v>7118.7755977158231</v>
      </c>
      <c r="N1193" cm="1">
        <f t="array" ref="N1193">_xlfn.XLOOKUP(TEXT(A1193, "mmm-yy"), TEXT([2]RUNS!$B$5:$B$208, "mmm-yy"), [2]RUNS!$BM$5:$BM$208, "Not Found")</f>
        <v>0.81664231943815491</v>
      </c>
    </row>
    <row r="1194" spans="1:14" x14ac:dyDescent="0.25">
      <c r="A1194" s="1">
        <f>'[1]Global_Spot Prices'!$B2503</f>
        <v>43675</v>
      </c>
      <c r="B1194">
        <f>_xlfn.XLOOKUP(A1194,'[1]Global_Spot Prices'!$B:$B,'[1]Global_Spot Prices'!$BS:$BS)</f>
        <v>6.1400000000000006</v>
      </c>
      <c r="C1194">
        <f>_xlfn.XLOOKUP(A1194,'[1]Global_Spot Prices'!$B:$B,'[1]Global_Spot Prices'!$E:$E)</f>
        <v>62.5</v>
      </c>
      <c r="D1194">
        <f>_xlfn.XLOOKUP(A1194,'[1]Global_Spot Prices'!$B:$B,'[1]Global_Spot Prices'!$D:$D)</f>
        <v>62.454999999999998</v>
      </c>
      <c r="E1194">
        <f>_xlfn.XLOOKUP(A1194,'[1]Global_Spot Prices'!$B:$B,'[1]Global_Spot Prices'!$H:$H)</f>
        <v>54.17</v>
      </c>
      <c r="F1194">
        <f>_xlfn.XLOOKUP(A1194,'[1]Global_Spot Prices'!$B:$B,'[1]Global_Spot Prices'!$I:$I)</f>
        <v>68.64</v>
      </c>
      <c r="G1194" cm="1">
        <f t="array" ref="G1194">_xlfn.XLOOKUP(TEXT(A1194, "mmm-yy"), TEXT([2]RUNS!$B$5:$B$208, "mmm-yy"), [2]RUNS!$D$5:$D$208, "Not Found")</f>
        <v>29318.84755977281</v>
      </c>
      <c r="H1194" cm="1">
        <f t="array" ref="H1194">SUMPRODUCT(
    --(TEXT('[3]Global Weekly Stock (EWSuez'!$B$4:$B$2000,"mmm-yy")=TEXT(A1194,"mmm-yy")),
    '[3]Global Weekly Stock (EWSuez'!$E$4:$E$2000)
/
SUMPRODUCT(
    --(TEXT('[3]Global Weekly Stock (EWSuez'!$B$4:$B$2000,"mmm-yy")=TEXT(A1194,"mmm-yy"))
)</f>
        <v>10169.5</v>
      </c>
      <c r="I1194">
        <f>_xlfn.XLOOKUP(A1194,[1]ForwardDeriv!$D:$D,[1]ForwardDeriv!$AJ:$AJ)</f>
        <v>1.1700000000000017</v>
      </c>
      <c r="J1194" cm="1">
        <f t="array" ref="J1194">_xlfn.XLOOKUP(TEXT(A1194, "mmm-yy"), TEXT([2]GASOLINE!$B$5:$B$208, "mmm-yy"), [2]GASOLINE!$IR$5:$IR$208, "Not Found")</f>
        <v>50.581045850300995</v>
      </c>
      <c r="K1194" cm="1">
        <f t="array" ref="K1194">_xlfn.XLOOKUP(TEXT(A1194, "mmm-yy"), TEXT([2]GASOLINE!$B$5:$B$208, "mmm-yy"), [2]GASOLINE!$IK$5:$IK$208, "Not Found")</f>
        <v>171.621431695502</v>
      </c>
      <c r="L1194">
        <f t="shared" si="18"/>
        <v>1</v>
      </c>
      <c r="M1194" cm="1">
        <f t="array" ref="M1194">_xlfn.XLOOKUP(TEXT(A1194, "mmm-yy"), TEXT([2]GASOLINE!$B$5:$B$208, "mmm-yy"), [2]GASOLINE!$C$5:$C$208, "Not Found")</f>
        <v>7118.7755977158231</v>
      </c>
      <c r="N1194" cm="1">
        <f t="array" ref="N1194">_xlfn.XLOOKUP(TEXT(A1194, "mmm-yy"), TEXT([2]RUNS!$B$5:$B$208, "mmm-yy"), [2]RUNS!$BM$5:$BM$208, "Not Found")</f>
        <v>0.81664231943815491</v>
      </c>
    </row>
    <row r="1195" spans="1:14" x14ac:dyDescent="0.25">
      <c r="A1195" s="1">
        <f>'[1]Global_Spot Prices'!$B2504</f>
        <v>43676</v>
      </c>
      <c r="B1195">
        <f ca="1">_xlfn.XLOOKUP(A1195,'[1]Global_Spot Prices'!$B:$B,'[1]Global_Spot Prices'!$BS:$BS)</f>
        <v>6.1699999999999946</v>
      </c>
      <c r="C1195">
        <f>_xlfn.XLOOKUP(A1195,'[1]Global_Spot Prices'!$B:$B,'[1]Global_Spot Prices'!$E:$E)</f>
        <v>63.6</v>
      </c>
      <c r="D1195">
        <f>_xlfn.XLOOKUP(A1195,'[1]Global_Spot Prices'!$B:$B,'[1]Global_Spot Prices'!$D:$D)</f>
        <v>63.05</v>
      </c>
      <c r="E1195">
        <f ca="1">_xlfn.XLOOKUP(A1195,'[1]Global_Spot Prices'!$B:$B,'[1]Global_Spot Prices'!$H:$H)</f>
        <v>55.18</v>
      </c>
      <c r="F1195">
        <f>_xlfn.XLOOKUP(A1195,'[1]Global_Spot Prices'!$B:$B,'[1]Global_Spot Prices'!$I:$I)</f>
        <v>69.77</v>
      </c>
      <c r="G1195" cm="1">
        <f t="array" ref="G1195">_xlfn.XLOOKUP(TEXT(A1195, "mmm-yy"), TEXT([2]RUNS!$B$5:$B$208, "mmm-yy"), [2]RUNS!$D$5:$D$208, "Not Found")</f>
        <v>29318.84755977281</v>
      </c>
      <c r="H1195" cm="1">
        <f t="array" ref="H1195">SUMPRODUCT(
    --(TEXT('[3]Global Weekly Stock (EWSuez'!$B$4:$B$2000,"mmm-yy")=TEXT(A1195,"mmm-yy")),
    '[3]Global Weekly Stock (EWSuez'!$E$4:$E$2000)
/
SUMPRODUCT(
    --(TEXT('[3]Global Weekly Stock (EWSuez'!$B$4:$B$2000,"mmm-yy")=TEXT(A1195,"mmm-yy"))
)</f>
        <v>10169.5</v>
      </c>
      <c r="I1195">
        <f>_xlfn.XLOOKUP(A1195,[1]ForwardDeriv!$D:$D,[1]ForwardDeriv!$AJ:$AJ)</f>
        <v>1.2000000000000028</v>
      </c>
      <c r="J1195" cm="1">
        <f t="array" ref="J1195">_xlfn.XLOOKUP(TEXT(A1195, "mmm-yy"), TEXT([2]GASOLINE!$B$5:$B$208, "mmm-yy"), [2]GASOLINE!$IR$5:$IR$208, "Not Found")</f>
        <v>50.581045850300995</v>
      </c>
      <c r="K1195" cm="1">
        <f t="array" ref="K1195">_xlfn.XLOOKUP(TEXT(A1195, "mmm-yy"), TEXT([2]GASOLINE!$B$5:$B$208, "mmm-yy"), [2]GASOLINE!$IK$5:$IK$208, "Not Found")</f>
        <v>171.621431695502</v>
      </c>
      <c r="L1195">
        <f t="shared" si="18"/>
        <v>1</v>
      </c>
      <c r="M1195" cm="1">
        <f t="array" ref="M1195">_xlfn.XLOOKUP(TEXT(A1195, "mmm-yy"), TEXT([2]GASOLINE!$B$5:$B$208, "mmm-yy"), [2]GASOLINE!$C$5:$C$208, "Not Found")</f>
        <v>7118.7755977158231</v>
      </c>
      <c r="N1195" cm="1">
        <f t="array" ref="N1195">_xlfn.XLOOKUP(TEXT(A1195, "mmm-yy"), TEXT([2]RUNS!$B$5:$B$208, "mmm-yy"), [2]RUNS!$BM$5:$BM$208, "Not Found")</f>
        <v>0.81664231943815491</v>
      </c>
    </row>
    <row r="1196" spans="1:14" x14ac:dyDescent="0.25">
      <c r="A1196" s="1">
        <f>'[1]Global_Spot Prices'!$B2505</f>
        <v>43677</v>
      </c>
      <c r="B1196">
        <f>_xlfn.XLOOKUP(A1196,'[1]Global_Spot Prices'!$B:$B,'[1]Global_Spot Prices'!$BS:$BS)</f>
        <v>6.2400000000000091</v>
      </c>
      <c r="C1196">
        <f>_xlfn.XLOOKUP(A1196,'[1]Global_Spot Prices'!$B:$B,'[1]Global_Spot Prices'!$E:$E)</f>
        <v>64.55</v>
      </c>
      <c r="D1196">
        <f>_xlfn.XLOOKUP(A1196,'[1]Global_Spot Prices'!$B:$B,'[1]Global_Spot Prices'!$D:$D)</f>
        <v>63.91</v>
      </c>
      <c r="E1196">
        <f>_xlfn.XLOOKUP(A1196,'[1]Global_Spot Prices'!$B:$B,'[1]Global_Spot Prices'!$H:$H)</f>
        <v>56.21</v>
      </c>
      <c r="F1196">
        <f>_xlfn.XLOOKUP(A1196,'[1]Global_Spot Prices'!$B:$B,'[1]Global_Spot Prices'!$I:$I)</f>
        <v>70.790000000000006</v>
      </c>
      <c r="G1196" cm="1">
        <f t="array" ref="G1196">_xlfn.XLOOKUP(TEXT(A1196, "mmm-yy"), TEXT([2]RUNS!$B$5:$B$208, "mmm-yy"), [2]RUNS!$D$5:$D$208, "Not Found")</f>
        <v>29318.84755977281</v>
      </c>
      <c r="H1196" cm="1">
        <f t="array" ref="H1196">SUMPRODUCT(
    --(TEXT('[3]Global Weekly Stock (EWSuez'!$B$4:$B$2000,"mmm-yy")=TEXT(A1196,"mmm-yy")),
    '[3]Global Weekly Stock (EWSuez'!$E$4:$E$2000)
/
SUMPRODUCT(
    --(TEXT('[3]Global Weekly Stock (EWSuez'!$B$4:$B$2000,"mmm-yy")=TEXT(A1196,"mmm-yy"))
)</f>
        <v>10169.5</v>
      </c>
      <c r="I1196">
        <f>_xlfn.XLOOKUP(A1196,[1]ForwardDeriv!$D:$D,[1]ForwardDeriv!$AJ:$AJ)</f>
        <v>1.2700000000000102</v>
      </c>
      <c r="J1196" cm="1">
        <f t="array" ref="J1196">_xlfn.XLOOKUP(TEXT(A1196, "mmm-yy"), TEXT([2]GASOLINE!$B$5:$B$208, "mmm-yy"), [2]GASOLINE!$IR$5:$IR$208, "Not Found")</f>
        <v>50.581045850300995</v>
      </c>
      <c r="K1196" cm="1">
        <f t="array" ref="K1196">_xlfn.XLOOKUP(TEXT(A1196, "mmm-yy"), TEXT([2]GASOLINE!$B$5:$B$208, "mmm-yy"), [2]GASOLINE!$IK$5:$IK$208, "Not Found")</f>
        <v>171.621431695502</v>
      </c>
      <c r="L1196">
        <f t="shared" si="18"/>
        <v>1</v>
      </c>
      <c r="M1196" cm="1">
        <f t="array" ref="M1196">_xlfn.XLOOKUP(TEXT(A1196, "mmm-yy"), TEXT([2]GASOLINE!$B$5:$B$208, "mmm-yy"), [2]GASOLINE!$C$5:$C$208, "Not Found")</f>
        <v>7118.7755977158231</v>
      </c>
      <c r="N1196" cm="1">
        <f t="array" ref="N1196">_xlfn.XLOOKUP(TEXT(A1196, "mmm-yy"), TEXT([2]RUNS!$B$5:$B$208, "mmm-yy"), [2]RUNS!$BM$5:$BM$208, "Not Found")</f>
        <v>0.81664231943815491</v>
      </c>
    </row>
    <row r="1197" spans="1:14" x14ac:dyDescent="0.25">
      <c r="A1197" s="1">
        <f>'[1]Global_Spot Prices'!$B2506</f>
        <v>43678</v>
      </c>
      <c r="B1197">
        <f>_xlfn.XLOOKUP(A1197,'[1]Global_Spot Prices'!$B:$B,'[1]Global_Spot Prices'!$BS:$BS)</f>
        <v>6.8900000000000077</v>
      </c>
      <c r="C1197">
        <f>_xlfn.XLOOKUP(A1197,'[1]Global_Spot Prices'!$B:$B,'[1]Global_Spot Prices'!$E:$E)</f>
        <v>63.01</v>
      </c>
      <c r="D1197">
        <f>_xlfn.XLOOKUP(A1197,'[1]Global_Spot Prices'!$B:$B,'[1]Global_Spot Prices'!$D:$D)</f>
        <v>62.55</v>
      </c>
      <c r="E1197">
        <f>_xlfn.XLOOKUP(A1197,'[1]Global_Spot Prices'!$B:$B,'[1]Global_Spot Prices'!$H:$H)</f>
        <v>55.68</v>
      </c>
      <c r="F1197">
        <f>_xlfn.XLOOKUP(A1197,'[1]Global_Spot Prices'!$B:$B,'[1]Global_Spot Prices'!$I:$I)</f>
        <v>69.900000000000006</v>
      </c>
      <c r="G1197" cm="1">
        <f t="array" ref="G1197">_xlfn.XLOOKUP(TEXT(A1197, "mmm-yy"), TEXT([2]RUNS!$B$5:$B$208, "mmm-yy"), [2]RUNS!$D$5:$D$208, "Not Found")</f>
        <v>29708.438854252308</v>
      </c>
      <c r="H1197" cm="1">
        <f t="array" ref="H1197">SUMPRODUCT(
    --(TEXT('[3]Global Weekly Stock (EWSuez'!$B$4:$B$2000,"mmm-yy")=TEXT(A1197,"mmm-yy")),
    '[3]Global Weekly Stock (EWSuez'!$E$4:$E$2000)
/
SUMPRODUCT(
    --(TEXT('[3]Global Weekly Stock (EWSuez'!$B$4:$B$2000,"mmm-yy")=TEXT(A1197,"mmm-yy"))
)</f>
        <v>10638.2</v>
      </c>
      <c r="I1197">
        <f>_xlfn.XLOOKUP(A1197,[1]ForwardDeriv!$D:$D,[1]ForwardDeriv!$AJ:$AJ)</f>
        <v>0.90999999999999659</v>
      </c>
      <c r="J1197" cm="1">
        <f t="array" ref="J1197">_xlfn.XLOOKUP(TEXT(A1197, "mmm-yy"), TEXT([2]GASOLINE!$B$5:$B$208, "mmm-yy"), [2]GASOLINE!$IR$5:$IR$208, "Not Found")</f>
        <v>-289.62245852779188</v>
      </c>
      <c r="K1197" cm="1">
        <f t="array" ref="K1197">_xlfn.XLOOKUP(TEXT(A1197, "mmm-yy"), TEXT([2]GASOLINE!$B$5:$B$208, "mmm-yy"), [2]GASOLINE!$IK$5:$IK$208, "Not Found")</f>
        <v>173.4010447013888</v>
      </c>
      <c r="L1197">
        <f t="shared" si="18"/>
        <v>1</v>
      </c>
      <c r="M1197" cm="1">
        <f t="array" ref="M1197">_xlfn.XLOOKUP(TEXT(A1197, "mmm-yy"), TEXT([2]GASOLINE!$B$5:$B$208, "mmm-yy"), [2]GASOLINE!$C$5:$C$208, "Not Found")</f>
        <v>7404.0917774406562</v>
      </c>
      <c r="N1197" cm="1">
        <f t="array" ref="N1197">_xlfn.XLOOKUP(TEXT(A1197, "mmm-yy"), TEXT([2]RUNS!$B$5:$B$208, "mmm-yy"), [2]RUNS!$BM$5:$BM$208, "Not Found")</f>
        <v>0.82749393076796651</v>
      </c>
    </row>
    <row r="1198" spans="1:14" x14ac:dyDescent="0.25">
      <c r="A1198" s="1">
        <f>'[1]Global_Spot Prices'!$B2507</f>
        <v>43679</v>
      </c>
      <c r="B1198">
        <f>_xlfn.XLOOKUP(A1198,'[1]Global_Spot Prices'!$B:$B,'[1]Global_Spot Prices'!$BS:$BS)</f>
        <v>6.7700000000000031</v>
      </c>
      <c r="C1198">
        <f>_xlfn.XLOOKUP(A1198,'[1]Global_Spot Prices'!$B:$B,'[1]Global_Spot Prices'!$E:$E)</f>
        <v>60.35</v>
      </c>
      <c r="D1198">
        <f>_xlfn.XLOOKUP(A1198,'[1]Global_Spot Prices'!$B:$B,'[1]Global_Spot Prices'!$D:$D)</f>
        <v>61.25</v>
      </c>
      <c r="E1198">
        <f>_xlfn.XLOOKUP(A1198,'[1]Global_Spot Prices'!$B:$B,'[1]Global_Spot Prices'!$H:$H)</f>
        <v>53.33</v>
      </c>
      <c r="F1198">
        <f>_xlfn.XLOOKUP(A1198,'[1]Global_Spot Prices'!$B:$B,'[1]Global_Spot Prices'!$I:$I)</f>
        <v>67.12</v>
      </c>
      <c r="G1198" cm="1">
        <f t="array" ref="G1198">_xlfn.XLOOKUP(TEXT(A1198, "mmm-yy"), TEXT([2]RUNS!$B$5:$B$208, "mmm-yy"), [2]RUNS!$D$5:$D$208, "Not Found")</f>
        <v>29708.438854252308</v>
      </c>
      <c r="H1198" cm="1">
        <f t="array" ref="H1198">SUMPRODUCT(
    --(TEXT('[3]Global Weekly Stock (EWSuez'!$B$4:$B$2000,"mmm-yy")=TEXT(A1198,"mmm-yy")),
    '[3]Global Weekly Stock (EWSuez'!$E$4:$E$2000)
/
SUMPRODUCT(
    --(TEXT('[3]Global Weekly Stock (EWSuez'!$B$4:$B$2000,"mmm-yy")=TEXT(A1198,"mmm-yy"))
)</f>
        <v>10638.2</v>
      </c>
      <c r="I1198">
        <f>_xlfn.XLOOKUP(A1198,[1]ForwardDeriv!$D:$D,[1]ForwardDeriv!$AJ:$AJ)</f>
        <v>0.89999999999999147</v>
      </c>
      <c r="J1198" cm="1">
        <f t="array" ref="J1198">_xlfn.XLOOKUP(TEXT(A1198, "mmm-yy"), TEXT([2]GASOLINE!$B$5:$B$208, "mmm-yy"), [2]GASOLINE!$IR$5:$IR$208, "Not Found")</f>
        <v>-289.62245852779188</v>
      </c>
      <c r="K1198" cm="1">
        <f t="array" ref="K1198">_xlfn.XLOOKUP(TEXT(A1198, "mmm-yy"), TEXT([2]GASOLINE!$B$5:$B$208, "mmm-yy"), [2]GASOLINE!$IK$5:$IK$208, "Not Found")</f>
        <v>173.4010447013888</v>
      </c>
      <c r="L1198">
        <f t="shared" si="18"/>
        <v>1</v>
      </c>
      <c r="M1198" cm="1">
        <f t="array" ref="M1198">_xlfn.XLOOKUP(TEXT(A1198, "mmm-yy"), TEXT([2]GASOLINE!$B$5:$B$208, "mmm-yy"), [2]GASOLINE!$C$5:$C$208, "Not Found")</f>
        <v>7404.0917774406562</v>
      </c>
      <c r="N1198" cm="1">
        <f t="array" ref="N1198">_xlfn.XLOOKUP(TEXT(A1198, "mmm-yy"), TEXT([2]RUNS!$B$5:$B$208, "mmm-yy"), [2]RUNS!$BM$5:$BM$208, "Not Found")</f>
        <v>0.82749393076796651</v>
      </c>
    </row>
    <row r="1199" spans="1:14" x14ac:dyDescent="0.25">
      <c r="A1199" s="1">
        <f>'[1]Global_Spot Prices'!$B2508</f>
        <v>43682</v>
      </c>
      <c r="B1199">
        <f>_xlfn.XLOOKUP(A1199,'[1]Global_Spot Prices'!$B:$B,'[1]Global_Spot Prices'!$BS:$BS)</f>
        <v>7.3900000000000077</v>
      </c>
      <c r="C1199">
        <f>_xlfn.XLOOKUP(A1199,'[1]Global_Spot Prices'!$B:$B,'[1]Global_Spot Prices'!$E:$E)</f>
        <v>59.65</v>
      </c>
      <c r="D1199">
        <f>_xlfn.XLOOKUP(A1199,'[1]Global_Spot Prices'!$B:$B,'[1]Global_Spot Prices'!$D:$D)</f>
        <v>59.52</v>
      </c>
      <c r="E1199">
        <f>_xlfn.XLOOKUP(A1199,'[1]Global_Spot Prices'!$B:$B,'[1]Global_Spot Prices'!$H:$H)</f>
        <v>52.26</v>
      </c>
      <c r="F1199">
        <f>_xlfn.XLOOKUP(A1199,'[1]Global_Spot Prices'!$B:$B,'[1]Global_Spot Prices'!$I:$I)</f>
        <v>67.040000000000006</v>
      </c>
      <c r="G1199" cm="1">
        <f t="array" ref="G1199">_xlfn.XLOOKUP(TEXT(A1199, "mmm-yy"), TEXT([2]RUNS!$B$5:$B$208, "mmm-yy"), [2]RUNS!$D$5:$D$208, "Not Found")</f>
        <v>29708.438854252308</v>
      </c>
      <c r="H1199" cm="1">
        <f t="array" ref="H1199">SUMPRODUCT(
    --(TEXT('[3]Global Weekly Stock (EWSuez'!$B$4:$B$2000,"mmm-yy")=TEXT(A1199,"mmm-yy")),
    '[3]Global Weekly Stock (EWSuez'!$E$4:$E$2000)
/
SUMPRODUCT(
    --(TEXT('[3]Global Weekly Stock (EWSuez'!$B$4:$B$2000,"mmm-yy")=TEXT(A1199,"mmm-yy"))
)</f>
        <v>10638.2</v>
      </c>
      <c r="I1199">
        <f>_xlfn.XLOOKUP(A1199,[1]ForwardDeriv!$D:$D,[1]ForwardDeriv!$AJ:$AJ)</f>
        <v>0.96999999999999886</v>
      </c>
      <c r="J1199" cm="1">
        <f t="array" ref="J1199">_xlfn.XLOOKUP(TEXT(A1199, "mmm-yy"), TEXT([2]GASOLINE!$B$5:$B$208, "mmm-yy"), [2]GASOLINE!$IR$5:$IR$208, "Not Found")</f>
        <v>-289.62245852779188</v>
      </c>
      <c r="K1199" cm="1">
        <f t="array" ref="K1199">_xlfn.XLOOKUP(TEXT(A1199, "mmm-yy"), TEXT([2]GASOLINE!$B$5:$B$208, "mmm-yy"), [2]GASOLINE!$IK$5:$IK$208, "Not Found")</f>
        <v>173.4010447013888</v>
      </c>
      <c r="L1199">
        <f t="shared" si="18"/>
        <v>1</v>
      </c>
      <c r="M1199" cm="1">
        <f t="array" ref="M1199">_xlfn.XLOOKUP(TEXT(A1199, "mmm-yy"), TEXT([2]GASOLINE!$B$5:$B$208, "mmm-yy"), [2]GASOLINE!$C$5:$C$208, "Not Found")</f>
        <v>7404.0917774406562</v>
      </c>
      <c r="N1199" cm="1">
        <f t="array" ref="N1199">_xlfn.XLOOKUP(TEXT(A1199, "mmm-yy"), TEXT([2]RUNS!$B$5:$B$208, "mmm-yy"), [2]RUNS!$BM$5:$BM$208, "Not Found")</f>
        <v>0.82749393076796651</v>
      </c>
    </row>
    <row r="1200" spans="1:14" x14ac:dyDescent="0.25">
      <c r="A1200" s="1">
        <f>'[1]Global_Spot Prices'!$B2509</f>
        <v>43683</v>
      </c>
      <c r="B1200">
        <f>_xlfn.XLOOKUP(A1200,'[1]Global_Spot Prices'!$B:$B,'[1]Global_Spot Prices'!$BS:$BS)</f>
        <v>7.57</v>
      </c>
      <c r="C1200">
        <f>_xlfn.XLOOKUP(A1200,'[1]Global_Spot Prices'!$B:$B,'[1]Global_Spot Prices'!$E:$E)</f>
        <v>58.71</v>
      </c>
      <c r="D1200">
        <f>_xlfn.XLOOKUP(A1200,'[1]Global_Spot Prices'!$B:$B,'[1]Global_Spot Prices'!$D:$D)</f>
        <v>58.795000000000002</v>
      </c>
      <c r="E1200">
        <f>_xlfn.XLOOKUP(A1200,'[1]Global_Spot Prices'!$B:$B,'[1]Global_Spot Prices'!$H:$H)</f>
        <v>50.72</v>
      </c>
      <c r="F1200">
        <f ca="1">_xlfn.XLOOKUP(A1200,'[1]Global_Spot Prices'!$B:$B,'[1]Global_Spot Prices'!$I:$I)</f>
        <v>66.28</v>
      </c>
      <c r="G1200" cm="1">
        <f t="array" ref="G1200">_xlfn.XLOOKUP(TEXT(A1200, "mmm-yy"), TEXT([2]RUNS!$B$5:$B$208, "mmm-yy"), [2]RUNS!$D$5:$D$208, "Not Found")</f>
        <v>29708.438854252308</v>
      </c>
      <c r="H1200" cm="1">
        <f t="array" ref="H1200">SUMPRODUCT(
    --(TEXT('[3]Global Weekly Stock (EWSuez'!$B$4:$B$2000,"mmm-yy")=TEXT(A1200,"mmm-yy")),
    '[3]Global Weekly Stock (EWSuez'!$E$4:$E$2000)
/
SUMPRODUCT(
    --(TEXT('[3]Global Weekly Stock (EWSuez'!$B$4:$B$2000,"mmm-yy")=TEXT(A1200,"mmm-yy"))
)</f>
        <v>10638.2</v>
      </c>
      <c r="I1200">
        <f>_xlfn.XLOOKUP(A1200,[1]ForwardDeriv!$D:$D,[1]ForwardDeriv!$AJ:$AJ)</f>
        <v>1.0000000000000071</v>
      </c>
      <c r="J1200" cm="1">
        <f t="array" ref="J1200">_xlfn.XLOOKUP(TEXT(A1200, "mmm-yy"), TEXT([2]GASOLINE!$B$5:$B$208, "mmm-yy"), [2]GASOLINE!$IR$5:$IR$208, "Not Found")</f>
        <v>-289.62245852779188</v>
      </c>
      <c r="K1200" cm="1">
        <f t="array" ref="K1200">_xlfn.XLOOKUP(TEXT(A1200, "mmm-yy"), TEXT([2]GASOLINE!$B$5:$B$208, "mmm-yy"), [2]GASOLINE!$IK$5:$IK$208, "Not Found")</f>
        <v>173.4010447013888</v>
      </c>
      <c r="L1200">
        <f t="shared" si="18"/>
        <v>1</v>
      </c>
      <c r="M1200" cm="1">
        <f t="array" ref="M1200">_xlfn.XLOOKUP(TEXT(A1200, "mmm-yy"), TEXT([2]GASOLINE!$B$5:$B$208, "mmm-yy"), [2]GASOLINE!$C$5:$C$208, "Not Found")</f>
        <v>7404.0917774406562</v>
      </c>
      <c r="N1200" cm="1">
        <f t="array" ref="N1200">_xlfn.XLOOKUP(TEXT(A1200, "mmm-yy"), TEXT([2]RUNS!$B$5:$B$208, "mmm-yy"), [2]RUNS!$BM$5:$BM$208, "Not Found")</f>
        <v>0.82749393076796651</v>
      </c>
    </row>
    <row r="1201" spans="1:14" x14ac:dyDescent="0.25">
      <c r="A1201" s="1">
        <f>'[1]Global_Spot Prices'!$B2510</f>
        <v>43684</v>
      </c>
      <c r="B1201">
        <f>_xlfn.XLOOKUP(A1201,'[1]Global_Spot Prices'!$B:$B,'[1]Global_Spot Prices'!$BS:$BS)</f>
        <v>8.6000000000000014</v>
      </c>
      <c r="C1201">
        <f>_xlfn.XLOOKUP(A1201,'[1]Global_Spot Prices'!$B:$B,'[1]Global_Spot Prices'!$E:$E)</f>
        <v>57.87</v>
      </c>
      <c r="D1201">
        <f>_xlfn.XLOOKUP(A1201,'[1]Global_Spot Prices'!$B:$B,'[1]Global_Spot Prices'!$D:$D)</f>
        <v>55.244999999999997</v>
      </c>
      <c r="E1201">
        <f>_xlfn.XLOOKUP(A1201,'[1]Global_Spot Prices'!$B:$B,'[1]Global_Spot Prices'!$H:$H)</f>
        <v>49.58</v>
      </c>
      <c r="F1201">
        <f>_xlfn.XLOOKUP(A1201,'[1]Global_Spot Prices'!$B:$B,'[1]Global_Spot Prices'!$I:$I)</f>
        <v>66.47</v>
      </c>
      <c r="G1201" cm="1">
        <f t="array" ref="G1201">_xlfn.XLOOKUP(TEXT(A1201, "mmm-yy"), TEXT([2]RUNS!$B$5:$B$208, "mmm-yy"), [2]RUNS!$D$5:$D$208, "Not Found")</f>
        <v>29708.438854252308</v>
      </c>
      <c r="H1201" cm="1">
        <f t="array" ref="H1201">SUMPRODUCT(
    --(TEXT('[3]Global Weekly Stock (EWSuez'!$B$4:$B$2000,"mmm-yy")=TEXT(A1201,"mmm-yy")),
    '[3]Global Weekly Stock (EWSuez'!$E$4:$E$2000)
/
SUMPRODUCT(
    --(TEXT('[3]Global Weekly Stock (EWSuez'!$B$4:$B$2000,"mmm-yy")=TEXT(A1201,"mmm-yy"))
)</f>
        <v>10638.2</v>
      </c>
      <c r="I1201">
        <f>_xlfn.XLOOKUP(A1201,[1]ForwardDeriv!$D:$D,[1]ForwardDeriv!$AJ:$AJ)</f>
        <v>1.0900000000000034</v>
      </c>
      <c r="J1201" cm="1">
        <f t="array" ref="J1201">_xlfn.XLOOKUP(TEXT(A1201, "mmm-yy"), TEXT([2]GASOLINE!$B$5:$B$208, "mmm-yy"), [2]GASOLINE!$IR$5:$IR$208, "Not Found")</f>
        <v>-289.62245852779188</v>
      </c>
      <c r="K1201" cm="1">
        <f t="array" ref="K1201">_xlfn.XLOOKUP(TEXT(A1201, "mmm-yy"), TEXT([2]GASOLINE!$B$5:$B$208, "mmm-yy"), [2]GASOLINE!$IK$5:$IK$208, "Not Found")</f>
        <v>173.4010447013888</v>
      </c>
      <c r="L1201">
        <f t="shared" si="18"/>
        <v>1</v>
      </c>
      <c r="M1201" cm="1">
        <f t="array" ref="M1201">_xlfn.XLOOKUP(TEXT(A1201, "mmm-yy"), TEXT([2]GASOLINE!$B$5:$B$208, "mmm-yy"), [2]GASOLINE!$C$5:$C$208, "Not Found")</f>
        <v>7404.0917774406562</v>
      </c>
      <c r="N1201" cm="1">
        <f t="array" ref="N1201">_xlfn.XLOOKUP(TEXT(A1201, "mmm-yy"), TEXT([2]RUNS!$B$5:$B$208, "mmm-yy"), [2]RUNS!$BM$5:$BM$208, "Not Found")</f>
        <v>0.82749393076796651</v>
      </c>
    </row>
    <row r="1202" spans="1:14" x14ac:dyDescent="0.25">
      <c r="A1202" s="1">
        <f>'[1]Global_Spot Prices'!$B2511</f>
        <v>43685</v>
      </c>
      <c r="B1202">
        <f>_xlfn.XLOOKUP(A1202,'[1]Global_Spot Prices'!$B:$B,'[1]Global_Spot Prices'!$BS:$BS)</f>
        <v>8.0799999999999983</v>
      </c>
      <c r="C1202">
        <f>_xlfn.XLOOKUP(A1202,'[1]Global_Spot Prices'!$B:$B,'[1]Global_Spot Prices'!$E:$E)</f>
        <v>56.8</v>
      </c>
      <c r="D1202">
        <f>_xlfn.XLOOKUP(A1202,'[1]Global_Spot Prices'!$B:$B,'[1]Global_Spot Prices'!$D:$D)</f>
        <v>56.515000000000001</v>
      </c>
      <c r="E1202">
        <f>_xlfn.XLOOKUP(A1202,'[1]Global_Spot Prices'!$B:$B,'[1]Global_Spot Prices'!$H:$H)</f>
        <v>48.36</v>
      </c>
      <c r="F1202">
        <f>_xlfn.XLOOKUP(A1202,'[1]Global_Spot Prices'!$B:$B,'[1]Global_Spot Prices'!$I:$I)</f>
        <v>64.88</v>
      </c>
      <c r="G1202" cm="1">
        <f t="array" ref="G1202">_xlfn.XLOOKUP(TEXT(A1202, "mmm-yy"), TEXT([2]RUNS!$B$5:$B$208, "mmm-yy"), [2]RUNS!$D$5:$D$208, "Not Found")</f>
        <v>29708.438854252308</v>
      </c>
      <c r="H1202" cm="1">
        <f t="array" ref="H1202">SUMPRODUCT(
    --(TEXT('[3]Global Weekly Stock (EWSuez'!$B$4:$B$2000,"mmm-yy")=TEXT(A1202,"mmm-yy")),
    '[3]Global Weekly Stock (EWSuez'!$E$4:$E$2000)
/
SUMPRODUCT(
    --(TEXT('[3]Global Weekly Stock (EWSuez'!$B$4:$B$2000,"mmm-yy")=TEXT(A1202,"mmm-yy"))
)</f>
        <v>10638.2</v>
      </c>
      <c r="I1202">
        <f>_xlfn.XLOOKUP(A1202,[1]ForwardDeriv!$D:$D,[1]ForwardDeriv!$AJ:$AJ)</f>
        <v>1.2399999999999949</v>
      </c>
      <c r="J1202" cm="1">
        <f t="array" ref="J1202">_xlfn.XLOOKUP(TEXT(A1202, "mmm-yy"), TEXT([2]GASOLINE!$B$5:$B$208, "mmm-yy"), [2]GASOLINE!$IR$5:$IR$208, "Not Found")</f>
        <v>-289.62245852779188</v>
      </c>
      <c r="K1202" cm="1">
        <f t="array" ref="K1202">_xlfn.XLOOKUP(TEXT(A1202, "mmm-yy"), TEXT([2]GASOLINE!$B$5:$B$208, "mmm-yy"), [2]GASOLINE!$IK$5:$IK$208, "Not Found")</f>
        <v>173.4010447013888</v>
      </c>
      <c r="L1202">
        <f t="shared" si="18"/>
        <v>1</v>
      </c>
      <c r="M1202" cm="1">
        <f t="array" ref="M1202">_xlfn.XLOOKUP(TEXT(A1202, "mmm-yy"), TEXT([2]GASOLINE!$B$5:$B$208, "mmm-yy"), [2]GASOLINE!$C$5:$C$208, "Not Found")</f>
        <v>7404.0917774406562</v>
      </c>
      <c r="N1202" cm="1">
        <f t="array" ref="N1202">_xlfn.XLOOKUP(TEXT(A1202, "mmm-yy"), TEXT([2]RUNS!$B$5:$B$208, "mmm-yy"), [2]RUNS!$BM$5:$BM$208, "Not Found")</f>
        <v>0.82749393076796651</v>
      </c>
    </row>
    <row r="1203" spans="1:14" x14ac:dyDescent="0.25">
      <c r="A1203" s="1">
        <f>'[1]Global_Spot Prices'!$B2512</f>
        <v>43686</v>
      </c>
      <c r="B1203" t="e">
        <f>_xlfn.XLOOKUP(A1203,'[1]Global_Spot Prices'!$B:$B,'[1]Global_Spot Prices'!$BS:$BS)</f>
        <v>#N/A</v>
      </c>
      <c r="C1203" t="str">
        <f>_xlfn.XLOOKUP(A1203,'[1]Global_Spot Prices'!$B:$B,'[1]Global_Spot Prices'!$E:$E)</f>
        <v/>
      </c>
      <c r="D1203">
        <f>_xlfn.XLOOKUP(A1203,'[1]Global_Spot Prices'!$B:$B,'[1]Global_Spot Prices'!$D:$D)</f>
        <v>57.615000000000002</v>
      </c>
      <c r="E1203">
        <f>_xlfn.XLOOKUP(A1203,'[1]Global_Spot Prices'!$B:$B,'[1]Global_Spot Prices'!$H:$H)</f>
        <v>0</v>
      </c>
      <c r="F1203">
        <f>_xlfn.XLOOKUP(A1203,'[1]Global_Spot Prices'!$B:$B,'[1]Global_Spot Prices'!$I:$I)</f>
        <v>0</v>
      </c>
      <c r="G1203" cm="1">
        <f t="array" ref="G1203">_xlfn.XLOOKUP(TEXT(A1203, "mmm-yy"), TEXT([2]RUNS!$B$5:$B$208, "mmm-yy"), [2]RUNS!$D$5:$D$208, "Not Found")</f>
        <v>29708.438854252308</v>
      </c>
      <c r="H1203" cm="1">
        <f t="array" ref="H1203">SUMPRODUCT(
    --(TEXT('[3]Global Weekly Stock (EWSuez'!$B$4:$B$2000,"mmm-yy")=TEXT(A1203,"mmm-yy")),
    '[3]Global Weekly Stock (EWSuez'!$E$4:$E$2000)
/
SUMPRODUCT(
    --(TEXT('[3]Global Weekly Stock (EWSuez'!$B$4:$B$2000,"mmm-yy")=TEXT(A1203,"mmm-yy"))
)</f>
        <v>10638.2</v>
      </c>
      <c r="I1203">
        <f>_xlfn.XLOOKUP(A1203,[1]ForwardDeriv!$D:$D,[1]ForwardDeriv!$AJ:$AJ)</f>
        <v>1.2700000000000031</v>
      </c>
      <c r="J1203" cm="1">
        <f t="array" ref="J1203">_xlfn.XLOOKUP(TEXT(A1203, "mmm-yy"), TEXT([2]GASOLINE!$B$5:$B$208, "mmm-yy"), [2]GASOLINE!$IR$5:$IR$208, "Not Found")</f>
        <v>-289.62245852779188</v>
      </c>
      <c r="K1203" cm="1">
        <f t="array" ref="K1203">_xlfn.XLOOKUP(TEXT(A1203, "mmm-yy"), TEXT([2]GASOLINE!$B$5:$B$208, "mmm-yy"), [2]GASOLINE!$IK$5:$IK$208, "Not Found")</f>
        <v>173.4010447013888</v>
      </c>
      <c r="L1203">
        <f t="shared" si="18"/>
        <v>1</v>
      </c>
      <c r="M1203" cm="1">
        <f t="array" ref="M1203">_xlfn.XLOOKUP(TEXT(A1203, "mmm-yy"), TEXT([2]GASOLINE!$B$5:$B$208, "mmm-yy"), [2]GASOLINE!$C$5:$C$208, "Not Found")</f>
        <v>7404.0917774406562</v>
      </c>
      <c r="N1203" cm="1">
        <f t="array" ref="N1203">_xlfn.XLOOKUP(TEXT(A1203, "mmm-yy"), TEXT([2]RUNS!$B$5:$B$208, "mmm-yy"), [2]RUNS!$BM$5:$BM$208, "Not Found")</f>
        <v>0.82749393076796651</v>
      </c>
    </row>
    <row r="1204" spans="1:14" x14ac:dyDescent="0.25">
      <c r="A1204" s="1">
        <f>'[1]Global_Spot Prices'!$B2513</f>
        <v>43689</v>
      </c>
      <c r="B1204" t="e">
        <f>_xlfn.XLOOKUP(A1204,'[1]Global_Spot Prices'!$B:$B,'[1]Global_Spot Prices'!$BS:$BS)</f>
        <v>#N/A</v>
      </c>
      <c r="C1204" t="str">
        <f>_xlfn.XLOOKUP(A1204,'[1]Global_Spot Prices'!$B:$B,'[1]Global_Spot Prices'!$E:$E)</f>
        <v/>
      </c>
      <c r="D1204">
        <f>_xlfn.XLOOKUP(A1204,'[1]Global_Spot Prices'!$B:$B,'[1]Global_Spot Prices'!$D:$D)</f>
        <v>57.45</v>
      </c>
      <c r="E1204">
        <f>_xlfn.XLOOKUP(A1204,'[1]Global_Spot Prices'!$B:$B,'[1]Global_Spot Prices'!$H:$H)</f>
        <v>0</v>
      </c>
      <c r="F1204">
        <f>_xlfn.XLOOKUP(A1204,'[1]Global_Spot Prices'!$B:$B,'[1]Global_Spot Prices'!$I:$I)</f>
        <v>0</v>
      </c>
      <c r="G1204" cm="1">
        <f t="array" ref="G1204">_xlfn.XLOOKUP(TEXT(A1204, "mmm-yy"), TEXT([2]RUNS!$B$5:$B$208, "mmm-yy"), [2]RUNS!$D$5:$D$208, "Not Found")</f>
        <v>29708.438854252308</v>
      </c>
      <c r="H1204" cm="1">
        <f t="array" ref="H1204">SUMPRODUCT(
    --(TEXT('[3]Global Weekly Stock (EWSuez'!$B$4:$B$2000,"mmm-yy")=TEXT(A1204,"mmm-yy")),
    '[3]Global Weekly Stock (EWSuez'!$E$4:$E$2000)
/
SUMPRODUCT(
    --(TEXT('[3]Global Weekly Stock (EWSuez'!$B$4:$B$2000,"mmm-yy")=TEXT(A1204,"mmm-yy"))
)</f>
        <v>10638.2</v>
      </c>
      <c r="I1204">
        <f>_xlfn.XLOOKUP(A1204,[1]ForwardDeriv!$D:$D,[1]ForwardDeriv!$AJ:$AJ)</f>
        <v>1.2700000000000031</v>
      </c>
      <c r="J1204" cm="1">
        <f t="array" ref="J1204">_xlfn.XLOOKUP(TEXT(A1204, "mmm-yy"), TEXT([2]GASOLINE!$B$5:$B$208, "mmm-yy"), [2]GASOLINE!$IR$5:$IR$208, "Not Found")</f>
        <v>-289.62245852779188</v>
      </c>
      <c r="K1204" cm="1">
        <f t="array" ref="K1204">_xlfn.XLOOKUP(TEXT(A1204, "mmm-yy"), TEXT([2]GASOLINE!$B$5:$B$208, "mmm-yy"), [2]GASOLINE!$IK$5:$IK$208, "Not Found")</f>
        <v>173.4010447013888</v>
      </c>
      <c r="L1204">
        <f t="shared" si="18"/>
        <v>1</v>
      </c>
      <c r="M1204" cm="1">
        <f t="array" ref="M1204">_xlfn.XLOOKUP(TEXT(A1204, "mmm-yy"), TEXT([2]GASOLINE!$B$5:$B$208, "mmm-yy"), [2]GASOLINE!$C$5:$C$208, "Not Found")</f>
        <v>7404.0917774406562</v>
      </c>
      <c r="N1204" cm="1">
        <f t="array" ref="N1204">_xlfn.XLOOKUP(TEXT(A1204, "mmm-yy"), TEXT([2]RUNS!$B$5:$B$208, "mmm-yy"), [2]RUNS!$BM$5:$BM$208, "Not Found")</f>
        <v>0.82749393076796651</v>
      </c>
    </row>
    <row r="1205" spans="1:14" x14ac:dyDescent="0.25">
      <c r="A1205" s="1">
        <f>'[1]Global_Spot Prices'!$B2514</f>
        <v>43690</v>
      </c>
      <c r="B1205">
        <f>_xlfn.XLOOKUP(A1205,'[1]Global_Spot Prices'!$B:$B,'[1]Global_Spot Prices'!$BS:$BS)</f>
        <v>8.1700000000000017</v>
      </c>
      <c r="C1205">
        <f>_xlfn.XLOOKUP(A1205,'[1]Global_Spot Prices'!$B:$B,'[1]Global_Spot Prices'!$E:$E)</f>
        <v>57.75</v>
      </c>
      <c r="D1205">
        <f>_xlfn.XLOOKUP(A1205,'[1]Global_Spot Prices'!$B:$B,'[1]Global_Spot Prices'!$D:$D)</f>
        <v>60.27</v>
      </c>
      <c r="E1205">
        <f>_xlfn.XLOOKUP(A1205,'[1]Global_Spot Prices'!$B:$B,'[1]Global_Spot Prices'!$H:$H)</f>
        <v>49.04</v>
      </c>
      <c r="F1205">
        <f>_xlfn.XLOOKUP(A1205,'[1]Global_Spot Prices'!$B:$B,'[1]Global_Spot Prices'!$I:$I)</f>
        <v>65.92</v>
      </c>
      <c r="G1205" cm="1">
        <f t="array" ref="G1205">_xlfn.XLOOKUP(TEXT(A1205, "mmm-yy"), TEXT([2]RUNS!$B$5:$B$208, "mmm-yy"), [2]RUNS!$D$5:$D$208, "Not Found")</f>
        <v>29708.438854252308</v>
      </c>
      <c r="H1205" cm="1">
        <f t="array" ref="H1205">SUMPRODUCT(
    --(TEXT('[3]Global Weekly Stock (EWSuez'!$B$4:$B$2000,"mmm-yy")=TEXT(A1205,"mmm-yy")),
    '[3]Global Weekly Stock (EWSuez'!$E$4:$E$2000)
/
SUMPRODUCT(
    --(TEXT('[3]Global Weekly Stock (EWSuez'!$B$4:$B$2000,"mmm-yy")=TEXT(A1205,"mmm-yy"))
)</f>
        <v>10638.2</v>
      </c>
      <c r="I1205">
        <f>_xlfn.XLOOKUP(A1205,[1]ForwardDeriv!$D:$D,[1]ForwardDeriv!$AJ:$AJ)</f>
        <v>1.2700000000000031</v>
      </c>
      <c r="J1205" cm="1">
        <f t="array" ref="J1205">_xlfn.XLOOKUP(TEXT(A1205, "mmm-yy"), TEXT([2]GASOLINE!$B$5:$B$208, "mmm-yy"), [2]GASOLINE!$IR$5:$IR$208, "Not Found")</f>
        <v>-289.62245852779188</v>
      </c>
      <c r="K1205" cm="1">
        <f t="array" ref="K1205">_xlfn.XLOOKUP(TEXT(A1205, "mmm-yy"), TEXT([2]GASOLINE!$B$5:$B$208, "mmm-yy"), [2]GASOLINE!$IK$5:$IK$208, "Not Found")</f>
        <v>173.4010447013888</v>
      </c>
      <c r="L1205">
        <f t="shared" si="18"/>
        <v>1</v>
      </c>
      <c r="M1205" cm="1">
        <f t="array" ref="M1205">_xlfn.XLOOKUP(TEXT(A1205, "mmm-yy"), TEXT([2]GASOLINE!$B$5:$B$208, "mmm-yy"), [2]GASOLINE!$C$5:$C$208, "Not Found")</f>
        <v>7404.0917774406562</v>
      </c>
      <c r="N1205" cm="1">
        <f t="array" ref="N1205">_xlfn.XLOOKUP(TEXT(A1205, "mmm-yy"), TEXT([2]RUNS!$B$5:$B$208, "mmm-yy"), [2]RUNS!$BM$5:$BM$208, "Not Found")</f>
        <v>0.82749393076796651</v>
      </c>
    </row>
    <row r="1206" spans="1:14" x14ac:dyDescent="0.25">
      <c r="A1206" s="1">
        <f>'[1]Global_Spot Prices'!$B2515</f>
        <v>43691</v>
      </c>
      <c r="B1206">
        <f>_xlfn.XLOOKUP(A1206,'[1]Global_Spot Prices'!$B:$B,'[1]Global_Spot Prices'!$BS:$BS)</f>
        <v>8.5200000000000031</v>
      </c>
      <c r="C1206">
        <f>_xlfn.XLOOKUP(A1206,'[1]Global_Spot Prices'!$B:$B,'[1]Global_Spot Prices'!$E:$E)</f>
        <v>59.63</v>
      </c>
      <c r="D1206">
        <f>_xlfn.XLOOKUP(A1206,'[1]Global_Spot Prices'!$B:$B,'[1]Global_Spot Prices'!$D:$D)</f>
        <v>57.954999999999998</v>
      </c>
      <c r="E1206">
        <f>_xlfn.XLOOKUP(A1206,'[1]Global_Spot Prices'!$B:$B,'[1]Global_Spot Prices'!$H:$H)</f>
        <v>51.07</v>
      </c>
      <c r="F1206">
        <f>_xlfn.XLOOKUP(A1206,'[1]Global_Spot Prices'!$B:$B,'[1]Global_Spot Prices'!$I:$I)</f>
        <v>68.150000000000006</v>
      </c>
      <c r="G1206" cm="1">
        <f t="array" ref="G1206">_xlfn.XLOOKUP(TEXT(A1206, "mmm-yy"), TEXT([2]RUNS!$B$5:$B$208, "mmm-yy"), [2]RUNS!$D$5:$D$208, "Not Found")</f>
        <v>29708.438854252308</v>
      </c>
      <c r="H1206" cm="1">
        <f t="array" ref="H1206">SUMPRODUCT(
    --(TEXT('[3]Global Weekly Stock (EWSuez'!$B$4:$B$2000,"mmm-yy")=TEXT(A1206,"mmm-yy")),
    '[3]Global Weekly Stock (EWSuez'!$E$4:$E$2000)
/
SUMPRODUCT(
    --(TEXT('[3]Global Weekly Stock (EWSuez'!$B$4:$B$2000,"mmm-yy")=TEXT(A1206,"mmm-yy"))
)</f>
        <v>10638.2</v>
      </c>
      <c r="I1206">
        <f>_xlfn.XLOOKUP(A1206,[1]ForwardDeriv!$D:$D,[1]ForwardDeriv!$AJ:$AJ)</f>
        <v>1.4300000000000068</v>
      </c>
      <c r="J1206" cm="1">
        <f t="array" ref="J1206">_xlfn.XLOOKUP(TEXT(A1206, "mmm-yy"), TEXT([2]GASOLINE!$B$5:$B$208, "mmm-yy"), [2]GASOLINE!$IR$5:$IR$208, "Not Found")</f>
        <v>-289.62245852779188</v>
      </c>
      <c r="K1206" cm="1">
        <f t="array" ref="K1206">_xlfn.XLOOKUP(TEXT(A1206, "mmm-yy"), TEXT([2]GASOLINE!$B$5:$B$208, "mmm-yy"), [2]GASOLINE!$IK$5:$IK$208, "Not Found")</f>
        <v>173.4010447013888</v>
      </c>
      <c r="L1206">
        <f t="shared" si="18"/>
        <v>1</v>
      </c>
      <c r="M1206" cm="1">
        <f t="array" ref="M1206">_xlfn.XLOOKUP(TEXT(A1206, "mmm-yy"), TEXT([2]GASOLINE!$B$5:$B$208, "mmm-yy"), [2]GASOLINE!$C$5:$C$208, "Not Found")</f>
        <v>7404.0917774406562</v>
      </c>
      <c r="N1206" cm="1">
        <f t="array" ref="N1206">_xlfn.XLOOKUP(TEXT(A1206, "mmm-yy"), TEXT([2]RUNS!$B$5:$B$208, "mmm-yy"), [2]RUNS!$BM$5:$BM$208, "Not Found")</f>
        <v>0.82749393076796651</v>
      </c>
    </row>
    <row r="1207" spans="1:14" x14ac:dyDescent="0.25">
      <c r="A1207" s="1">
        <f>'[1]Global_Spot Prices'!$B2516</f>
        <v>43692</v>
      </c>
      <c r="B1207">
        <f>_xlfn.XLOOKUP(A1207,'[1]Global_Spot Prices'!$B:$B,'[1]Global_Spot Prices'!$BS:$BS)</f>
        <v>8.6200000000000045</v>
      </c>
      <c r="C1207">
        <f>_xlfn.XLOOKUP(A1207,'[1]Global_Spot Prices'!$B:$B,'[1]Global_Spot Prices'!$E:$E)</f>
        <v>58.31</v>
      </c>
      <c r="D1207">
        <f>_xlfn.XLOOKUP(A1207,'[1]Global_Spot Prices'!$B:$B,'[1]Global_Spot Prices'!$D:$D)</f>
        <v>57.625</v>
      </c>
      <c r="E1207">
        <f>_xlfn.XLOOKUP(A1207,'[1]Global_Spot Prices'!$B:$B,'[1]Global_Spot Prices'!$H:$H)</f>
        <v>50</v>
      </c>
      <c r="F1207">
        <f>_xlfn.XLOOKUP(A1207,'[1]Global_Spot Prices'!$B:$B,'[1]Global_Spot Prices'!$I:$I)</f>
        <v>66.930000000000007</v>
      </c>
      <c r="G1207" cm="1">
        <f t="array" ref="G1207">_xlfn.XLOOKUP(TEXT(A1207, "mmm-yy"), TEXT([2]RUNS!$B$5:$B$208, "mmm-yy"), [2]RUNS!$D$5:$D$208, "Not Found")</f>
        <v>29708.438854252308</v>
      </c>
      <c r="H1207" cm="1">
        <f t="array" ref="H1207">SUMPRODUCT(
    --(TEXT('[3]Global Weekly Stock (EWSuez'!$B$4:$B$2000,"mmm-yy")=TEXT(A1207,"mmm-yy")),
    '[3]Global Weekly Stock (EWSuez'!$E$4:$E$2000)
/
SUMPRODUCT(
    --(TEXT('[3]Global Weekly Stock (EWSuez'!$B$4:$B$2000,"mmm-yy")=TEXT(A1207,"mmm-yy"))
)</f>
        <v>10638.2</v>
      </c>
      <c r="I1207">
        <f>_xlfn.XLOOKUP(A1207,[1]ForwardDeriv!$D:$D,[1]ForwardDeriv!$AJ:$AJ)</f>
        <v>1.4399999999999977</v>
      </c>
      <c r="J1207" cm="1">
        <f t="array" ref="J1207">_xlfn.XLOOKUP(TEXT(A1207, "mmm-yy"), TEXT([2]GASOLINE!$B$5:$B$208, "mmm-yy"), [2]GASOLINE!$IR$5:$IR$208, "Not Found")</f>
        <v>-289.62245852779188</v>
      </c>
      <c r="K1207" cm="1">
        <f t="array" ref="K1207">_xlfn.XLOOKUP(TEXT(A1207, "mmm-yy"), TEXT([2]GASOLINE!$B$5:$B$208, "mmm-yy"), [2]GASOLINE!$IK$5:$IK$208, "Not Found")</f>
        <v>173.4010447013888</v>
      </c>
      <c r="L1207">
        <f t="shared" si="18"/>
        <v>1</v>
      </c>
      <c r="M1207" cm="1">
        <f t="array" ref="M1207">_xlfn.XLOOKUP(TEXT(A1207, "mmm-yy"), TEXT([2]GASOLINE!$B$5:$B$208, "mmm-yy"), [2]GASOLINE!$C$5:$C$208, "Not Found")</f>
        <v>7404.0917774406562</v>
      </c>
      <c r="N1207" cm="1">
        <f t="array" ref="N1207">_xlfn.XLOOKUP(TEXT(A1207, "mmm-yy"), TEXT([2]RUNS!$B$5:$B$208, "mmm-yy"), [2]RUNS!$BM$5:$BM$208, "Not Found")</f>
        <v>0.82749393076796651</v>
      </c>
    </row>
    <row r="1208" spans="1:14" x14ac:dyDescent="0.25">
      <c r="A1208" s="1">
        <f>'[1]Global_Spot Prices'!$B2517</f>
        <v>43693</v>
      </c>
      <c r="B1208">
        <f>_xlfn.XLOOKUP(A1208,'[1]Global_Spot Prices'!$B:$B,'[1]Global_Spot Prices'!$BS:$BS)</f>
        <v>8.1900000000000048</v>
      </c>
      <c r="C1208">
        <f>_xlfn.XLOOKUP(A1208,'[1]Global_Spot Prices'!$B:$B,'[1]Global_Spot Prices'!$E:$E)</f>
        <v>58.18</v>
      </c>
      <c r="D1208">
        <f>_xlfn.XLOOKUP(A1208,'[1]Global_Spot Prices'!$B:$B,'[1]Global_Spot Prices'!$D:$D)</f>
        <v>58.225000000000001</v>
      </c>
      <c r="E1208">
        <f>_xlfn.XLOOKUP(A1208,'[1]Global_Spot Prices'!$B:$B,'[1]Global_Spot Prices'!$H:$H)</f>
        <v>49.75</v>
      </c>
      <c r="F1208">
        <f>_xlfn.XLOOKUP(A1208,'[1]Global_Spot Prices'!$B:$B,'[1]Global_Spot Prices'!$I:$I)</f>
        <v>66.37</v>
      </c>
      <c r="G1208" cm="1">
        <f t="array" ref="G1208">_xlfn.XLOOKUP(TEXT(A1208, "mmm-yy"), TEXT([2]RUNS!$B$5:$B$208, "mmm-yy"), [2]RUNS!$D$5:$D$208, "Not Found")</f>
        <v>29708.438854252308</v>
      </c>
      <c r="H1208" cm="1">
        <f t="array" ref="H1208">SUMPRODUCT(
    --(TEXT('[3]Global Weekly Stock (EWSuez'!$B$4:$B$2000,"mmm-yy")=TEXT(A1208,"mmm-yy")),
    '[3]Global Weekly Stock (EWSuez'!$E$4:$E$2000)
/
SUMPRODUCT(
    --(TEXT('[3]Global Weekly Stock (EWSuez'!$B$4:$B$2000,"mmm-yy")=TEXT(A1208,"mmm-yy"))
)</f>
        <v>10638.2</v>
      </c>
      <c r="I1208">
        <f>_xlfn.XLOOKUP(A1208,[1]ForwardDeriv!$D:$D,[1]ForwardDeriv!$AJ:$AJ)</f>
        <v>1.4399999999999977</v>
      </c>
      <c r="J1208" cm="1">
        <f t="array" ref="J1208">_xlfn.XLOOKUP(TEXT(A1208, "mmm-yy"), TEXT([2]GASOLINE!$B$5:$B$208, "mmm-yy"), [2]GASOLINE!$IR$5:$IR$208, "Not Found")</f>
        <v>-289.62245852779188</v>
      </c>
      <c r="K1208" cm="1">
        <f t="array" ref="K1208">_xlfn.XLOOKUP(TEXT(A1208, "mmm-yy"), TEXT([2]GASOLINE!$B$5:$B$208, "mmm-yy"), [2]GASOLINE!$IK$5:$IK$208, "Not Found")</f>
        <v>173.4010447013888</v>
      </c>
      <c r="L1208">
        <f t="shared" si="18"/>
        <v>1</v>
      </c>
      <c r="M1208" cm="1">
        <f t="array" ref="M1208">_xlfn.XLOOKUP(TEXT(A1208, "mmm-yy"), TEXT([2]GASOLINE!$B$5:$B$208, "mmm-yy"), [2]GASOLINE!$C$5:$C$208, "Not Found")</f>
        <v>7404.0917774406562</v>
      </c>
      <c r="N1208" cm="1">
        <f t="array" ref="N1208">_xlfn.XLOOKUP(TEXT(A1208, "mmm-yy"), TEXT([2]RUNS!$B$5:$B$208, "mmm-yy"), [2]RUNS!$BM$5:$BM$208, "Not Found")</f>
        <v>0.82749393076796651</v>
      </c>
    </row>
    <row r="1209" spans="1:14" x14ac:dyDescent="0.25">
      <c r="A1209" s="1">
        <f>'[1]Global_Spot Prices'!$B2518</f>
        <v>43696</v>
      </c>
      <c r="B1209">
        <f>_xlfn.XLOOKUP(A1209,'[1]Global_Spot Prices'!$B:$B,'[1]Global_Spot Prices'!$BS:$BS)</f>
        <v>6.8399999999999963</v>
      </c>
      <c r="C1209">
        <f>_xlfn.XLOOKUP(A1209,'[1]Global_Spot Prices'!$B:$B,'[1]Global_Spot Prices'!$E:$E)</f>
        <v>58.38</v>
      </c>
      <c r="D1209">
        <f>_xlfn.XLOOKUP(A1209,'[1]Global_Spot Prices'!$B:$B,'[1]Global_Spot Prices'!$D:$D)</f>
        <v>59.115000000000002</v>
      </c>
      <c r="E1209">
        <f>_xlfn.XLOOKUP(A1209,'[1]Global_Spot Prices'!$B:$B,'[1]Global_Spot Prices'!$H:$H)</f>
        <v>49.98</v>
      </c>
      <c r="F1209">
        <f>_xlfn.XLOOKUP(A1209,'[1]Global_Spot Prices'!$B:$B,'[1]Global_Spot Prices'!$I:$I)</f>
        <v>65.22</v>
      </c>
      <c r="G1209" cm="1">
        <f t="array" ref="G1209">_xlfn.XLOOKUP(TEXT(A1209, "mmm-yy"), TEXT([2]RUNS!$B$5:$B$208, "mmm-yy"), [2]RUNS!$D$5:$D$208, "Not Found")</f>
        <v>29708.438854252308</v>
      </c>
      <c r="H1209" cm="1">
        <f t="array" ref="H1209">SUMPRODUCT(
    --(TEXT('[3]Global Weekly Stock (EWSuez'!$B$4:$B$2000,"mmm-yy")=TEXT(A1209,"mmm-yy")),
    '[3]Global Weekly Stock (EWSuez'!$E$4:$E$2000)
/
SUMPRODUCT(
    --(TEXT('[3]Global Weekly Stock (EWSuez'!$B$4:$B$2000,"mmm-yy")=TEXT(A1209,"mmm-yy"))
)</f>
        <v>10638.2</v>
      </c>
      <c r="I1209">
        <f>_xlfn.XLOOKUP(A1209,[1]ForwardDeriv!$D:$D,[1]ForwardDeriv!$AJ:$AJ)</f>
        <v>1.1799999999999997</v>
      </c>
      <c r="J1209" cm="1">
        <f t="array" ref="J1209">_xlfn.XLOOKUP(TEXT(A1209, "mmm-yy"), TEXT([2]GASOLINE!$B$5:$B$208, "mmm-yy"), [2]GASOLINE!$IR$5:$IR$208, "Not Found")</f>
        <v>-289.62245852779188</v>
      </c>
      <c r="K1209" cm="1">
        <f t="array" ref="K1209">_xlfn.XLOOKUP(TEXT(A1209, "mmm-yy"), TEXT([2]GASOLINE!$B$5:$B$208, "mmm-yy"), [2]GASOLINE!$IK$5:$IK$208, "Not Found")</f>
        <v>173.4010447013888</v>
      </c>
      <c r="L1209">
        <f t="shared" si="18"/>
        <v>1</v>
      </c>
      <c r="M1209" cm="1">
        <f t="array" ref="M1209">_xlfn.XLOOKUP(TEXT(A1209, "mmm-yy"), TEXT([2]GASOLINE!$B$5:$B$208, "mmm-yy"), [2]GASOLINE!$C$5:$C$208, "Not Found")</f>
        <v>7404.0917774406562</v>
      </c>
      <c r="N1209" cm="1">
        <f t="array" ref="N1209">_xlfn.XLOOKUP(TEXT(A1209, "mmm-yy"), TEXT([2]RUNS!$B$5:$B$208, "mmm-yy"), [2]RUNS!$BM$5:$BM$208, "Not Found")</f>
        <v>0.82749393076796651</v>
      </c>
    </row>
    <row r="1210" spans="1:14" x14ac:dyDescent="0.25">
      <c r="A1210" s="1">
        <f>'[1]Global_Spot Prices'!$B2519</f>
        <v>43697</v>
      </c>
      <c r="B1210">
        <f>_xlfn.XLOOKUP(A1210,'[1]Global_Spot Prices'!$B:$B,'[1]Global_Spot Prices'!$BS:$BS)</f>
        <v>6.8000000000000043</v>
      </c>
      <c r="C1210">
        <f>_xlfn.XLOOKUP(A1210,'[1]Global_Spot Prices'!$B:$B,'[1]Global_Spot Prices'!$E:$E)</f>
        <v>59.21</v>
      </c>
      <c r="D1210">
        <f>_xlfn.XLOOKUP(A1210,'[1]Global_Spot Prices'!$B:$B,'[1]Global_Spot Prices'!$D:$D)</f>
        <v>59.274999999999999</v>
      </c>
      <c r="E1210">
        <f>_xlfn.XLOOKUP(A1210,'[1]Global_Spot Prices'!$B:$B,'[1]Global_Spot Prices'!$H:$H)</f>
        <v>50.5</v>
      </c>
      <c r="F1210">
        <f>_xlfn.XLOOKUP(A1210,'[1]Global_Spot Prices'!$B:$B,'[1]Global_Spot Prices'!$I:$I)</f>
        <v>66.010000000000005</v>
      </c>
      <c r="G1210" cm="1">
        <f t="array" ref="G1210">_xlfn.XLOOKUP(TEXT(A1210, "mmm-yy"), TEXT([2]RUNS!$B$5:$B$208, "mmm-yy"), [2]RUNS!$D$5:$D$208, "Not Found")</f>
        <v>29708.438854252308</v>
      </c>
      <c r="H1210" cm="1">
        <f t="array" ref="H1210">SUMPRODUCT(
    --(TEXT('[3]Global Weekly Stock (EWSuez'!$B$4:$B$2000,"mmm-yy")=TEXT(A1210,"mmm-yy")),
    '[3]Global Weekly Stock (EWSuez'!$E$4:$E$2000)
/
SUMPRODUCT(
    --(TEXT('[3]Global Weekly Stock (EWSuez'!$B$4:$B$2000,"mmm-yy")=TEXT(A1210,"mmm-yy"))
)</f>
        <v>10638.2</v>
      </c>
      <c r="I1210">
        <f>_xlfn.XLOOKUP(A1210,[1]ForwardDeriv!$D:$D,[1]ForwardDeriv!$AJ:$AJ)</f>
        <v>1.2100000000000009</v>
      </c>
      <c r="J1210" cm="1">
        <f t="array" ref="J1210">_xlfn.XLOOKUP(TEXT(A1210, "mmm-yy"), TEXT([2]GASOLINE!$B$5:$B$208, "mmm-yy"), [2]GASOLINE!$IR$5:$IR$208, "Not Found")</f>
        <v>-289.62245852779188</v>
      </c>
      <c r="K1210" cm="1">
        <f t="array" ref="K1210">_xlfn.XLOOKUP(TEXT(A1210, "mmm-yy"), TEXT([2]GASOLINE!$B$5:$B$208, "mmm-yy"), [2]GASOLINE!$IK$5:$IK$208, "Not Found")</f>
        <v>173.4010447013888</v>
      </c>
      <c r="L1210">
        <f t="shared" si="18"/>
        <v>1</v>
      </c>
      <c r="M1210" cm="1">
        <f t="array" ref="M1210">_xlfn.XLOOKUP(TEXT(A1210, "mmm-yy"), TEXT([2]GASOLINE!$B$5:$B$208, "mmm-yy"), [2]GASOLINE!$C$5:$C$208, "Not Found")</f>
        <v>7404.0917774406562</v>
      </c>
      <c r="N1210" cm="1">
        <f t="array" ref="N1210">_xlfn.XLOOKUP(TEXT(A1210, "mmm-yy"), TEXT([2]RUNS!$B$5:$B$208, "mmm-yy"), [2]RUNS!$BM$5:$BM$208, "Not Found")</f>
        <v>0.82749393076796651</v>
      </c>
    </row>
    <row r="1211" spans="1:14" x14ac:dyDescent="0.25">
      <c r="A1211" s="1">
        <f>'[1]Global_Spot Prices'!$B2520</f>
        <v>43698</v>
      </c>
      <c r="B1211">
        <f>_xlfn.XLOOKUP(A1211,'[1]Global_Spot Prices'!$B:$B,'[1]Global_Spot Prices'!$BS:$BS)</f>
        <v>7.3400000000000034</v>
      </c>
      <c r="C1211">
        <f>_xlfn.XLOOKUP(A1211,'[1]Global_Spot Prices'!$B:$B,'[1]Global_Spot Prices'!$E:$E)</f>
        <v>60.05</v>
      </c>
      <c r="D1211">
        <f>_xlfn.XLOOKUP(A1211,'[1]Global_Spot Prices'!$B:$B,'[1]Global_Spot Prices'!$D:$D)</f>
        <v>60.64</v>
      </c>
      <c r="E1211">
        <f>_xlfn.XLOOKUP(A1211,'[1]Global_Spot Prices'!$B:$B,'[1]Global_Spot Prices'!$H:$H)</f>
        <v>50.82</v>
      </c>
      <c r="F1211">
        <f>_xlfn.XLOOKUP(A1211,'[1]Global_Spot Prices'!$B:$B,'[1]Global_Spot Prices'!$I:$I)</f>
        <v>67.39</v>
      </c>
      <c r="G1211" cm="1">
        <f t="array" ref="G1211">_xlfn.XLOOKUP(TEXT(A1211, "mmm-yy"), TEXT([2]RUNS!$B$5:$B$208, "mmm-yy"), [2]RUNS!$D$5:$D$208, "Not Found")</f>
        <v>29708.438854252308</v>
      </c>
      <c r="H1211" cm="1">
        <f t="array" ref="H1211">SUMPRODUCT(
    --(TEXT('[3]Global Weekly Stock (EWSuez'!$B$4:$B$2000,"mmm-yy")=TEXT(A1211,"mmm-yy")),
    '[3]Global Weekly Stock (EWSuez'!$E$4:$E$2000)
/
SUMPRODUCT(
    --(TEXT('[3]Global Weekly Stock (EWSuez'!$B$4:$B$2000,"mmm-yy")=TEXT(A1211,"mmm-yy"))
)</f>
        <v>10638.2</v>
      </c>
      <c r="I1211">
        <f>_xlfn.XLOOKUP(A1211,[1]ForwardDeriv!$D:$D,[1]ForwardDeriv!$AJ:$AJ)</f>
        <v>1.2299999999999969</v>
      </c>
      <c r="J1211" cm="1">
        <f t="array" ref="J1211">_xlfn.XLOOKUP(TEXT(A1211, "mmm-yy"), TEXT([2]GASOLINE!$B$5:$B$208, "mmm-yy"), [2]GASOLINE!$IR$5:$IR$208, "Not Found")</f>
        <v>-289.62245852779188</v>
      </c>
      <c r="K1211" cm="1">
        <f t="array" ref="K1211">_xlfn.XLOOKUP(TEXT(A1211, "mmm-yy"), TEXT([2]GASOLINE!$B$5:$B$208, "mmm-yy"), [2]GASOLINE!$IK$5:$IK$208, "Not Found")</f>
        <v>173.4010447013888</v>
      </c>
      <c r="L1211">
        <f t="shared" si="18"/>
        <v>1</v>
      </c>
      <c r="M1211" cm="1">
        <f t="array" ref="M1211">_xlfn.XLOOKUP(TEXT(A1211, "mmm-yy"), TEXT([2]GASOLINE!$B$5:$B$208, "mmm-yy"), [2]GASOLINE!$C$5:$C$208, "Not Found")</f>
        <v>7404.0917774406562</v>
      </c>
      <c r="N1211" cm="1">
        <f t="array" ref="N1211">_xlfn.XLOOKUP(TEXT(A1211, "mmm-yy"), TEXT([2]RUNS!$B$5:$B$208, "mmm-yy"), [2]RUNS!$BM$5:$BM$208, "Not Found")</f>
        <v>0.82749393076796651</v>
      </c>
    </row>
    <row r="1212" spans="1:14" x14ac:dyDescent="0.25">
      <c r="A1212" s="1">
        <f>'[1]Global_Spot Prices'!$B2521</f>
        <v>43699</v>
      </c>
      <c r="B1212">
        <f>_xlfn.XLOOKUP(A1212,'[1]Global_Spot Prices'!$B:$B,'[1]Global_Spot Prices'!$BS:$BS)</f>
        <v>6.68</v>
      </c>
      <c r="C1212">
        <f>_xlfn.XLOOKUP(A1212,'[1]Global_Spot Prices'!$B:$B,'[1]Global_Spot Prices'!$E:$E)</f>
        <v>60.26</v>
      </c>
      <c r="D1212">
        <f>_xlfn.XLOOKUP(A1212,'[1]Global_Spot Prices'!$B:$B,'[1]Global_Spot Prices'!$D:$D)</f>
        <v>59.6</v>
      </c>
      <c r="E1212">
        <f>_xlfn.XLOOKUP(A1212,'[1]Global_Spot Prices'!$B:$B,'[1]Global_Spot Prices'!$H:$H)</f>
        <v>51.07</v>
      </c>
      <c r="F1212">
        <f>_xlfn.XLOOKUP(A1212,'[1]Global_Spot Prices'!$B:$B,'[1]Global_Spot Prices'!$I:$I)</f>
        <v>66.94</v>
      </c>
      <c r="G1212" cm="1">
        <f t="array" ref="G1212">_xlfn.XLOOKUP(TEXT(A1212, "mmm-yy"), TEXT([2]RUNS!$B$5:$B$208, "mmm-yy"), [2]RUNS!$D$5:$D$208, "Not Found")</f>
        <v>29708.438854252308</v>
      </c>
      <c r="H1212" cm="1">
        <f t="array" ref="H1212">SUMPRODUCT(
    --(TEXT('[3]Global Weekly Stock (EWSuez'!$B$4:$B$2000,"mmm-yy")=TEXT(A1212,"mmm-yy")),
    '[3]Global Weekly Stock (EWSuez'!$E$4:$E$2000)
/
SUMPRODUCT(
    --(TEXT('[3]Global Weekly Stock (EWSuez'!$B$4:$B$2000,"mmm-yy")=TEXT(A1212,"mmm-yy"))
)</f>
        <v>10638.2</v>
      </c>
      <c r="I1212">
        <f>_xlfn.XLOOKUP(A1212,[1]ForwardDeriv!$D:$D,[1]ForwardDeriv!$AJ:$AJ)</f>
        <v>1.2899999999999991</v>
      </c>
      <c r="J1212" cm="1">
        <f t="array" ref="J1212">_xlfn.XLOOKUP(TEXT(A1212, "mmm-yy"), TEXT([2]GASOLINE!$B$5:$B$208, "mmm-yy"), [2]GASOLINE!$IR$5:$IR$208, "Not Found")</f>
        <v>-289.62245852779188</v>
      </c>
      <c r="K1212" cm="1">
        <f t="array" ref="K1212">_xlfn.XLOOKUP(TEXT(A1212, "mmm-yy"), TEXT([2]GASOLINE!$B$5:$B$208, "mmm-yy"), [2]GASOLINE!$IK$5:$IK$208, "Not Found")</f>
        <v>173.4010447013888</v>
      </c>
      <c r="L1212">
        <f t="shared" si="18"/>
        <v>1</v>
      </c>
      <c r="M1212" cm="1">
        <f t="array" ref="M1212">_xlfn.XLOOKUP(TEXT(A1212, "mmm-yy"), TEXT([2]GASOLINE!$B$5:$B$208, "mmm-yy"), [2]GASOLINE!$C$5:$C$208, "Not Found")</f>
        <v>7404.0917774406562</v>
      </c>
      <c r="N1212" cm="1">
        <f t="array" ref="N1212">_xlfn.XLOOKUP(TEXT(A1212, "mmm-yy"), TEXT([2]RUNS!$B$5:$B$208, "mmm-yy"), [2]RUNS!$BM$5:$BM$208, "Not Found")</f>
        <v>0.82749393076796651</v>
      </c>
    </row>
    <row r="1213" spans="1:14" x14ac:dyDescent="0.25">
      <c r="A1213" s="1">
        <f>'[1]Global_Spot Prices'!$B2522</f>
        <v>43700</v>
      </c>
      <c r="B1213">
        <f>_xlfn.XLOOKUP(A1213,'[1]Global_Spot Prices'!$B:$B,'[1]Global_Spot Prices'!$BS:$BS)</f>
        <v>6.6299999999999955</v>
      </c>
      <c r="C1213">
        <f>_xlfn.XLOOKUP(A1213,'[1]Global_Spot Prices'!$B:$B,'[1]Global_Spot Prices'!$E:$E)</f>
        <v>59.42</v>
      </c>
      <c r="D1213">
        <f>_xlfn.XLOOKUP(A1213,'[1]Global_Spot Prices'!$B:$B,'[1]Global_Spot Prices'!$D:$D)</f>
        <v>58.744999999999997</v>
      </c>
      <c r="E1213">
        <f>_xlfn.XLOOKUP(A1213,'[1]Global_Spot Prices'!$B:$B,'[1]Global_Spot Prices'!$H:$H)</f>
        <v>50.37</v>
      </c>
      <c r="F1213">
        <f>_xlfn.XLOOKUP(A1213,'[1]Global_Spot Prices'!$B:$B,'[1]Global_Spot Prices'!$I:$I)</f>
        <v>66.05</v>
      </c>
      <c r="G1213" cm="1">
        <f t="array" ref="G1213">_xlfn.XLOOKUP(TEXT(A1213, "mmm-yy"), TEXT([2]RUNS!$B$5:$B$208, "mmm-yy"), [2]RUNS!$D$5:$D$208, "Not Found")</f>
        <v>29708.438854252308</v>
      </c>
      <c r="H1213" cm="1">
        <f t="array" ref="H1213">SUMPRODUCT(
    --(TEXT('[3]Global Weekly Stock (EWSuez'!$B$4:$B$2000,"mmm-yy")=TEXT(A1213,"mmm-yy")),
    '[3]Global Weekly Stock (EWSuez'!$E$4:$E$2000)
/
SUMPRODUCT(
    --(TEXT('[3]Global Weekly Stock (EWSuez'!$B$4:$B$2000,"mmm-yy")=TEXT(A1213,"mmm-yy"))
)</f>
        <v>10638.2</v>
      </c>
      <c r="I1213">
        <f>_xlfn.XLOOKUP(A1213,[1]ForwardDeriv!$D:$D,[1]ForwardDeriv!$AJ:$AJ)</f>
        <v>1.3599999999999923</v>
      </c>
      <c r="J1213" cm="1">
        <f t="array" ref="J1213">_xlfn.XLOOKUP(TEXT(A1213, "mmm-yy"), TEXT([2]GASOLINE!$B$5:$B$208, "mmm-yy"), [2]GASOLINE!$IR$5:$IR$208, "Not Found")</f>
        <v>-289.62245852779188</v>
      </c>
      <c r="K1213" cm="1">
        <f t="array" ref="K1213">_xlfn.XLOOKUP(TEXT(A1213, "mmm-yy"), TEXT([2]GASOLINE!$B$5:$B$208, "mmm-yy"), [2]GASOLINE!$IK$5:$IK$208, "Not Found")</f>
        <v>173.4010447013888</v>
      </c>
      <c r="L1213">
        <f t="shared" si="18"/>
        <v>1</v>
      </c>
      <c r="M1213" cm="1">
        <f t="array" ref="M1213">_xlfn.XLOOKUP(TEXT(A1213, "mmm-yy"), TEXT([2]GASOLINE!$B$5:$B$208, "mmm-yy"), [2]GASOLINE!$C$5:$C$208, "Not Found")</f>
        <v>7404.0917774406562</v>
      </c>
      <c r="N1213" cm="1">
        <f t="array" ref="N1213">_xlfn.XLOOKUP(TEXT(A1213, "mmm-yy"), TEXT([2]RUNS!$B$5:$B$208, "mmm-yy"), [2]RUNS!$BM$5:$BM$208, "Not Found")</f>
        <v>0.82749393076796651</v>
      </c>
    </row>
    <row r="1214" spans="1:14" x14ac:dyDescent="0.25">
      <c r="A1214" s="1">
        <f>'[1]Global_Spot Prices'!$B2523</f>
        <v>43703</v>
      </c>
      <c r="B1214">
        <f>_xlfn.XLOOKUP(A1214,'[1]Global_Spot Prices'!$B:$B,'[1]Global_Spot Prices'!$BS:$BS)</f>
        <v>6.7100000000000009</v>
      </c>
      <c r="C1214">
        <f>_xlfn.XLOOKUP(A1214,'[1]Global_Spot Prices'!$B:$B,'[1]Global_Spot Prices'!$E:$E)</f>
        <v>58.57</v>
      </c>
      <c r="D1214" t="str">
        <f>_xlfn.XLOOKUP(A1214,'[1]Global_Spot Prices'!$B:$B,'[1]Global_Spot Prices'!$D:$D)</f>
        <v/>
      </c>
      <c r="E1214">
        <f>_xlfn.XLOOKUP(A1214,'[1]Global_Spot Prices'!$B:$B,'[1]Global_Spot Prices'!$H:$H)</f>
        <v>49.76</v>
      </c>
      <c r="F1214">
        <f>_xlfn.XLOOKUP(A1214,'[1]Global_Spot Prices'!$B:$B,'[1]Global_Spot Prices'!$I:$I)</f>
        <v>65.28</v>
      </c>
      <c r="G1214" cm="1">
        <f t="array" ref="G1214">_xlfn.XLOOKUP(TEXT(A1214, "mmm-yy"), TEXT([2]RUNS!$B$5:$B$208, "mmm-yy"), [2]RUNS!$D$5:$D$208, "Not Found")</f>
        <v>29708.438854252308</v>
      </c>
      <c r="H1214" cm="1">
        <f t="array" ref="H1214">SUMPRODUCT(
    --(TEXT('[3]Global Weekly Stock (EWSuez'!$B$4:$B$2000,"mmm-yy")=TEXT(A1214,"mmm-yy")),
    '[3]Global Weekly Stock (EWSuez'!$E$4:$E$2000)
/
SUMPRODUCT(
    --(TEXT('[3]Global Weekly Stock (EWSuez'!$B$4:$B$2000,"mmm-yy")=TEXT(A1214,"mmm-yy"))
)</f>
        <v>10638.2</v>
      </c>
      <c r="I1214">
        <f>_xlfn.XLOOKUP(A1214,[1]ForwardDeriv!$D:$D,[1]ForwardDeriv!$AJ:$AJ)</f>
        <v>1.3999999999999986</v>
      </c>
      <c r="J1214" cm="1">
        <f t="array" ref="J1214">_xlfn.XLOOKUP(TEXT(A1214, "mmm-yy"), TEXT([2]GASOLINE!$B$5:$B$208, "mmm-yy"), [2]GASOLINE!$IR$5:$IR$208, "Not Found")</f>
        <v>-289.62245852779188</v>
      </c>
      <c r="K1214" cm="1">
        <f t="array" ref="K1214">_xlfn.XLOOKUP(TEXT(A1214, "mmm-yy"), TEXT([2]GASOLINE!$B$5:$B$208, "mmm-yy"), [2]GASOLINE!$IK$5:$IK$208, "Not Found")</f>
        <v>173.4010447013888</v>
      </c>
      <c r="L1214">
        <f t="shared" si="18"/>
        <v>1</v>
      </c>
      <c r="M1214" cm="1">
        <f t="array" ref="M1214">_xlfn.XLOOKUP(TEXT(A1214, "mmm-yy"), TEXT([2]GASOLINE!$B$5:$B$208, "mmm-yy"), [2]GASOLINE!$C$5:$C$208, "Not Found")</f>
        <v>7404.0917774406562</v>
      </c>
      <c r="N1214" cm="1">
        <f t="array" ref="N1214">_xlfn.XLOOKUP(TEXT(A1214, "mmm-yy"), TEXT([2]RUNS!$B$5:$B$208, "mmm-yy"), [2]RUNS!$BM$5:$BM$208, "Not Found")</f>
        <v>0.82749393076796651</v>
      </c>
    </row>
    <row r="1215" spans="1:14" x14ac:dyDescent="0.25">
      <c r="A1215" s="1">
        <f>'[1]Global_Spot Prices'!$B2524</f>
        <v>43704</v>
      </c>
      <c r="B1215">
        <f ca="1">_xlfn.XLOOKUP(A1215,'[1]Global_Spot Prices'!$B:$B,'[1]Global_Spot Prices'!$BS:$BS)</f>
        <v>6.8499999999999943</v>
      </c>
      <c r="C1215">
        <f>_xlfn.XLOOKUP(A1215,'[1]Global_Spot Prices'!$B:$B,'[1]Global_Spot Prices'!$E:$E)</f>
        <v>58.06</v>
      </c>
      <c r="D1215">
        <f>_xlfn.XLOOKUP(A1215,'[1]Global_Spot Prices'!$B:$B,'[1]Global_Spot Prices'!$D:$D)</f>
        <v>58.37</v>
      </c>
      <c r="E1215">
        <f>_xlfn.XLOOKUP(A1215,'[1]Global_Spot Prices'!$B:$B,'[1]Global_Spot Prices'!$H:$H)</f>
        <v>48.73</v>
      </c>
      <c r="F1215">
        <f>_xlfn.XLOOKUP(A1215,'[1]Global_Spot Prices'!$B:$B,'[1]Global_Spot Prices'!$I:$I)</f>
        <v>64.91</v>
      </c>
      <c r="G1215" cm="1">
        <f t="array" ref="G1215">_xlfn.XLOOKUP(TEXT(A1215, "mmm-yy"), TEXT([2]RUNS!$B$5:$B$208, "mmm-yy"), [2]RUNS!$D$5:$D$208, "Not Found")</f>
        <v>29708.438854252308</v>
      </c>
      <c r="H1215" cm="1">
        <f t="array" ref="H1215">SUMPRODUCT(
    --(TEXT('[3]Global Weekly Stock (EWSuez'!$B$4:$B$2000,"mmm-yy")=TEXT(A1215,"mmm-yy")),
    '[3]Global Weekly Stock (EWSuez'!$E$4:$E$2000)
/
SUMPRODUCT(
    --(TEXT('[3]Global Weekly Stock (EWSuez'!$B$4:$B$2000,"mmm-yy")=TEXT(A1215,"mmm-yy"))
)</f>
        <v>10638.2</v>
      </c>
      <c r="I1215">
        <f>_xlfn.XLOOKUP(A1215,[1]ForwardDeriv!$D:$D,[1]ForwardDeriv!$AJ:$AJ)</f>
        <v>1.2999999999999972</v>
      </c>
      <c r="J1215" cm="1">
        <f t="array" ref="J1215">_xlfn.XLOOKUP(TEXT(A1215, "mmm-yy"), TEXT([2]GASOLINE!$B$5:$B$208, "mmm-yy"), [2]GASOLINE!$IR$5:$IR$208, "Not Found")</f>
        <v>-289.62245852779188</v>
      </c>
      <c r="K1215" cm="1">
        <f t="array" ref="K1215">_xlfn.XLOOKUP(TEXT(A1215, "mmm-yy"), TEXT([2]GASOLINE!$B$5:$B$208, "mmm-yy"), [2]GASOLINE!$IK$5:$IK$208, "Not Found")</f>
        <v>173.4010447013888</v>
      </c>
      <c r="L1215">
        <f t="shared" si="18"/>
        <v>1</v>
      </c>
      <c r="M1215" cm="1">
        <f t="array" ref="M1215">_xlfn.XLOOKUP(TEXT(A1215, "mmm-yy"), TEXT([2]GASOLINE!$B$5:$B$208, "mmm-yy"), [2]GASOLINE!$C$5:$C$208, "Not Found")</f>
        <v>7404.0917774406562</v>
      </c>
      <c r="N1215" cm="1">
        <f t="array" ref="N1215">_xlfn.XLOOKUP(TEXT(A1215, "mmm-yy"), TEXT([2]RUNS!$B$5:$B$208, "mmm-yy"), [2]RUNS!$BM$5:$BM$208, "Not Found")</f>
        <v>0.82749393076796651</v>
      </c>
    </row>
    <row r="1216" spans="1:14" x14ac:dyDescent="0.25">
      <c r="A1216" s="1">
        <f>'[1]Global_Spot Prices'!$B2525</f>
        <v>43705</v>
      </c>
      <c r="B1216">
        <f>_xlfn.XLOOKUP(A1216,'[1]Global_Spot Prices'!$B:$B,'[1]Global_Spot Prices'!$BS:$BS)</f>
        <v>7.25</v>
      </c>
      <c r="C1216">
        <f>_xlfn.XLOOKUP(A1216,'[1]Global_Spot Prices'!$B:$B,'[1]Global_Spot Prices'!$E:$E)</f>
        <v>59</v>
      </c>
      <c r="D1216">
        <f>_xlfn.XLOOKUP(A1216,'[1]Global_Spot Prices'!$B:$B,'[1]Global_Spot Prices'!$D:$D)</f>
        <v>60.454999999999998</v>
      </c>
      <c r="E1216">
        <f>_xlfn.XLOOKUP(A1216,'[1]Global_Spot Prices'!$B:$B,'[1]Global_Spot Prices'!$H:$H)</f>
        <v>49.67</v>
      </c>
      <c r="F1216">
        <f>_xlfn.XLOOKUP(A1216,'[1]Global_Spot Prices'!$B:$B,'[1]Global_Spot Prices'!$I:$I)</f>
        <v>66.25</v>
      </c>
      <c r="G1216" cm="1">
        <f t="array" ref="G1216">_xlfn.XLOOKUP(TEXT(A1216, "mmm-yy"), TEXT([2]RUNS!$B$5:$B$208, "mmm-yy"), [2]RUNS!$D$5:$D$208, "Not Found")</f>
        <v>29708.438854252308</v>
      </c>
      <c r="H1216" cm="1">
        <f t="array" ref="H1216">SUMPRODUCT(
    --(TEXT('[3]Global Weekly Stock (EWSuez'!$B$4:$B$2000,"mmm-yy")=TEXT(A1216,"mmm-yy")),
    '[3]Global Weekly Stock (EWSuez'!$E$4:$E$2000)
/
SUMPRODUCT(
    --(TEXT('[3]Global Weekly Stock (EWSuez'!$B$4:$B$2000,"mmm-yy")=TEXT(A1216,"mmm-yy"))
)</f>
        <v>10638.2</v>
      </c>
      <c r="I1216">
        <f>_xlfn.XLOOKUP(A1216,[1]ForwardDeriv!$D:$D,[1]ForwardDeriv!$AJ:$AJ)</f>
        <v>1.4000000000000057</v>
      </c>
      <c r="J1216" cm="1">
        <f t="array" ref="J1216">_xlfn.XLOOKUP(TEXT(A1216, "mmm-yy"), TEXT([2]GASOLINE!$B$5:$B$208, "mmm-yy"), [2]GASOLINE!$IR$5:$IR$208, "Not Found")</f>
        <v>-289.62245852779188</v>
      </c>
      <c r="K1216" cm="1">
        <f t="array" ref="K1216">_xlfn.XLOOKUP(TEXT(A1216, "mmm-yy"), TEXT([2]GASOLINE!$B$5:$B$208, "mmm-yy"), [2]GASOLINE!$IK$5:$IK$208, "Not Found")</f>
        <v>173.4010447013888</v>
      </c>
      <c r="L1216">
        <f t="shared" si="18"/>
        <v>1</v>
      </c>
      <c r="M1216" cm="1">
        <f t="array" ref="M1216">_xlfn.XLOOKUP(TEXT(A1216, "mmm-yy"), TEXT([2]GASOLINE!$B$5:$B$208, "mmm-yy"), [2]GASOLINE!$C$5:$C$208, "Not Found")</f>
        <v>7404.0917774406562</v>
      </c>
      <c r="N1216" cm="1">
        <f t="array" ref="N1216">_xlfn.XLOOKUP(TEXT(A1216, "mmm-yy"), TEXT([2]RUNS!$B$5:$B$208, "mmm-yy"), [2]RUNS!$BM$5:$BM$208, "Not Found")</f>
        <v>0.82749393076796651</v>
      </c>
    </row>
    <row r="1217" spans="1:14" x14ac:dyDescent="0.25">
      <c r="A1217" s="1">
        <f>'[1]Global_Spot Prices'!$B2526</f>
        <v>43706</v>
      </c>
      <c r="B1217">
        <f>_xlfn.XLOOKUP(A1217,'[1]Global_Spot Prices'!$B:$B,'[1]Global_Spot Prices'!$BS:$BS)</f>
        <v>7.9200000000000017</v>
      </c>
      <c r="C1217">
        <f>_xlfn.XLOOKUP(A1217,'[1]Global_Spot Prices'!$B:$B,'[1]Global_Spot Prices'!$E:$E)</f>
        <v>59.3</v>
      </c>
      <c r="D1217">
        <f>_xlfn.XLOOKUP(A1217,'[1]Global_Spot Prices'!$B:$B,'[1]Global_Spot Prices'!$D:$D)</f>
        <v>60.51</v>
      </c>
      <c r="E1217">
        <f>_xlfn.XLOOKUP(A1217,'[1]Global_Spot Prices'!$B:$B,'[1]Global_Spot Prices'!$H:$H)</f>
        <v>50.14</v>
      </c>
      <c r="F1217">
        <f>_xlfn.XLOOKUP(A1217,'[1]Global_Spot Prices'!$B:$B,'[1]Global_Spot Prices'!$I:$I)</f>
        <v>67.22</v>
      </c>
      <c r="G1217" cm="1">
        <f t="array" ref="G1217">_xlfn.XLOOKUP(TEXT(A1217, "mmm-yy"), TEXT([2]RUNS!$B$5:$B$208, "mmm-yy"), [2]RUNS!$D$5:$D$208, "Not Found")</f>
        <v>29708.438854252308</v>
      </c>
      <c r="H1217" cm="1">
        <f t="array" ref="H1217">SUMPRODUCT(
    --(TEXT('[3]Global Weekly Stock (EWSuez'!$B$4:$B$2000,"mmm-yy")=TEXT(A1217,"mmm-yy")),
    '[3]Global Weekly Stock (EWSuez'!$E$4:$E$2000)
/
SUMPRODUCT(
    --(TEXT('[3]Global Weekly Stock (EWSuez'!$B$4:$B$2000,"mmm-yy")=TEXT(A1217,"mmm-yy"))
)</f>
        <v>10638.2</v>
      </c>
      <c r="I1217">
        <f>_xlfn.XLOOKUP(A1217,[1]ForwardDeriv!$D:$D,[1]ForwardDeriv!$AJ:$AJ)</f>
        <v>1.6500000000000057</v>
      </c>
      <c r="J1217" cm="1">
        <f t="array" ref="J1217">_xlfn.XLOOKUP(TEXT(A1217, "mmm-yy"), TEXT([2]GASOLINE!$B$5:$B$208, "mmm-yy"), [2]GASOLINE!$IR$5:$IR$208, "Not Found")</f>
        <v>-289.62245852779188</v>
      </c>
      <c r="K1217" cm="1">
        <f t="array" ref="K1217">_xlfn.XLOOKUP(TEXT(A1217, "mmm-yy"), TEXT([2]GASOLINE!$B$5:$B$208, "mmm-yy"), [2]GASOLINE!$IK$5:$IK$208, "Not Found")</f>
        <v>173.4010447013888</v>
      </c>
      <c r="L1217">
        <f t="shared" si="18"/>
        <v>1</v>
      </c>
      <c r="M1217" cm="1">
        <f t="array" ref="M1217">_xlfn.XLOOKUP(TEXT(A1217, "mmm-yy"), TEXT([2]GASOLINE!$B$5:$B$208, "mmm-yy"), [2]GASOLINE!$C$5:$C$208, "Not Found")</f>
        <v>7404.0917774406562</v>
      </c>
      <c r="N1217" cm="1">
        <f t="array" ref="N1217">_xlfn.XLOOKUP(TEXT(A1217, "mmm-yy"), TEXT([2]RUNS!$B$5:$B$208, "mmm-yy"), [2]RUNS!$BM$5:$BM$208, "Not Found")</f>
        <v>0.82749393076796651</v>
      </c>
    </row>
    <row r="1218" spans="1:14" x14ac:dyDescent="0.25">
      <c r="A1218" s="1">
        <f>'[1]Global_Spot Prices'!$B2527</f>
        <v>43707</v>
      </c>
      <c r="B1218">
        <f>_xlfn.XLOOKUP(A1218,'[1]Global_Spot Prices'!$B:$B,'[1]Global_Spot Prices'!$BS:$BS)</f>
        <v>7.5899999999999963</v>
      </c>
      <c r="C1218">
        <f>_xlfn.XLOOKUP(A1218,'[1]Global_Spot Prices'!$B:$B,'[1]Global_Spot Prices'!$E:$E)</f>
        <v>59.6</v>
      </c>
      <c r="D1218">
        <f>_xlfn.XLOOKUP(A1218,'[1]Global_Spot Prices'!$B:$B,'[1]Global_Spot Prices'!$D:$D)</f>
        <v>59.17</v>
      </c>
      <c r="E1218">
        <f>_xlfn.XLOOKUP(A1218,'[1]Global_Spot Prices'!$B:$B,'[1]Global_Spot Prices'!$H:$H)</f>
        <v>50</v>
      </c>
      <c r="F1218">
        <f>_xlfn.XLOOKUP(A1218,'[1]Global_Spot Prices'!$B:$B,'[1]Global_Spot Prices'!$I:$I)</f>
        <v>67.19</v>
      </c>
      <c r="G1218" cm="1">
        <f t="array" ref="G1218">_xlfn.XLOOKUP(TEXT(A1218, "mmm-yy"), TEXT([2]RUNS!$B$5:$B$208, "mmm-yy"), [2]RUNS!$D$5:$D$208, "Not Found")</f>
        <v>29708.438854252308</v>
      </c>
      <c r="H1218" cm="1">
        <f t="array" ref="H1218">SUMPRODUCT(
    --(TEXT('[3]Global Weekly Stock (EWSuez'!$B$4:$B$2000,"mmm-yy")=TEXT(A1218,"mmm-yy")),
    '[3]Global Weekly Stock (EWSuez'!$E$4:$E$2000)
/
SUMPRODUCT(
    --(TEXT('[3]Global Weekly Stock (EWSuez'!$B$4:$B$2000,"mmm-yy")=TEXT(A1218,"mmm-yy"))
)</f>
        <v>10638.2</v>
      </c>
      <c r="I1218">
        <f>_xlfn.XLOOKUP(A1218,[1]ForwardDeriv!$D:$D,[1]ForwardDeriv!$AJ:$AJ)</f>
        <v>1.6500000000000057</v>
      </c>
      <c r="J1218" cm="1">
        <f t="array" ref="J1218">_xlfn.XLOOKUP(TEXT(A1218, "mmm-yy"), TEXT([2]GASOLINE!$B$5:$B$208, "mmm-yy"), [2]GASOLINE!$IR$5:$IR$208, "Not Found")</f>
        <v>-289.62245852779188</v>
      </c>
      <c r="K1218" cm="1">
        <f t="array" ref="K1218">_xlfn.XLOOKUP(TEXT(A1218, "mmm-yy"), TEXT([2]GASOLINE!$B$5:$B$208, "mmm-yy"), [2]GASOLINE!$IK$5:$IK$208, "Not Found")</f>
        <v>173.4010447013888</v>
      </c>
      <c r="L1218">
        <f t="shared" si="18"/>
        <v>1</v>
      </c>
      <c r="M1218" cm="1">
        <f t="array" ref="M1218">_xlfn.XLOOKUP(TEXT(A1218, "mmm-yy"), TEXT([2]GASOLINE!$B$5:$B$208, "mmm-yy"), [2]GASOLINE!$C$5:$C$208, "Not Found")</f>
        <v>7404.0917774406562</v>
      </c>
      <c r="N1218" cm="1">
        <f t="array" ref="N1218">_xlfn.XLOOKUP(TEXT(A1218, "mmm-yy"), TEXT([2]RUNS!$B$5:$B$208, "mmm-yy"), [2]RUNS!$BM$5:$BM$208, "Not Found")</f>
        <v>0.82749393076796651</v>
      </c>
    </row>
    <row r="1219" spans="1:14" x14ac:dyDescent="0.25">
      <c r="A1219" s="1">
        <f>'[1]Global_Spot Prices'!$B2528</f>
        <v>43710</v>
      </c>
      <c r="B1219">
        <f>_xlfn.XLOOKUP(A1219,'[1]Global_Spot Prices'!$B:$B,'[1]Global_Spot Prices'!$BS:$BS)</f>
        <v>7.2100000000000009</v>
      </c>
      <c r="C1219">
        <f>_xlfn.XLOOKUP(A1219,'[1]Global_Spot Prices'!$B:$B,'[1]Global_Spot Prices'!$E:$E)</f>
        <v>57.6</v>
      </c>
      <c r="D1219">
        <f>_xlfn.XLOOKUP(A1219,'[1]Global_Spot Prices'!$B:$B,'[1]Global_Spot Prices'!$D:$D)</f>
        <v>58.56</v>
      </c>
      <c r="E1219">
        <f>_xlfn.XLOOKUP(A1219,'[1]Global_Spot Prices'!$B:$B,'[1]Global_Spot Prices'!$H:$H)</f>
        <v>48.69</v>
      </c>
      <c r="F1219">
        <f>_xlfn.XLOOKUP(A1219,'[1]Global_Spot Prices'!$B:$B,'[1]Global_Spot Prices'!$I:$I)</f>
        <v>64.81</v>
      </c>
      <c r="G1219" cm="1">
        <f t="array" ref="G1219">_xlfn.XLOOKUP(TEXT(A1219, "mmm-yy"), TEXT([2]RUNS!$B$5:$B$208, "mmm-yy"), [2]RUNS!$D$5:$D$208, "Not Found")</f>
        <v>30273.571130683948</v>
      </c>
      <c r="H1219" cm="1">
        <f t="array" ref="H1219">SUMPRODUCT(
    --(TEXT('[3]Global Weekly Stock (EWSuez'!$B$4:$B$2000,"mmm-yy")=TEXT(A1219,"mmm-yy")),
    '[3]Global Weekly Stock (EWSuez'!$E$4:$E$2000)
/
SUMPRODUCT(
    --(TEXT('[3]Global Weekly Stock (EWSuez'!$B$4:$B$2000,"mmm-yy")=TEXT(A1219,"mmm-yy"))
)</f>
        <v>10343.75</v>
      </c>
      <c r="I1219">
        <f>_xlfn.XLOOKUP(A1219,[1]ForwardDeriv!$D:$D,[1]ForwardDeriv!$AJ:$AJ)</f>
        <v>1.1299999999999955</v>
      </c>
      <c r="J1219" cm="1">
        <f t="array" ref="J1219">_xlfn.XLOOKUP(TEXT(A1219, "mmm-yy"), TEXT([2]GASOLINE!$B$5:$B$208, "mmm-yy"), [2]GASOLINE!$IR$5:$IR$208, "Not Found")</f>
        <v>73.83495793694749</v>
      </c>
      <c r="K1219" cm="1">
        <f t="array" ref="K1219">_xlfn.XLOOKUP(TEXT(A1219, "mmm-yy"), TEXT([2]GASOLINE!$B$5:$B$208, "mmm-yy"), [2]GASOLINE!$IK$5:$IK$208, "Not Found")</f>
        <v>171.73958738399085</v>
      </c>
      <c r="L1219">
        <f t="shared" ref="L1219:L1282" si="19">IF(OR(MONTH(A1219)=6, MONTH(A1219)=7, MONTH(A1219)=8, MONTH(A1219)=9), 1, 0)</f>
        <v>1</v>
      </c>
      <c r="M1219" cm="1">
        <f t="array" ref="M1219">_xlfn.XLOOKUP(TEXT(A1219, "mmm-yy"), TEXT([2]GASOLINE!$B$5:$B$208, "mmm-yy"), [2]GASOLINE!$C$5:$C$208, "Not Found")</f>
        <v>7315.5430619778872</v>
      </c>
      <c r="N1219" cm="1">
        <f t="array" ref="N1219">_xlfn.XLOOKUP(TEXT(A1219, "mmm-yy"), TEXT([2]RUNS!$B$5:$B$208, "mmm-yy"), [2]RUNS!$BM$5:$BM$208, "Not Found")</f>
        <v>0.84314813734658145</v>
      </c>
    </row>
    <row r="1220" spans="1:14" x14ac:dyDescent="0.25">
      <c r="A1220" s="1">
        <f>'[1]Global_Spot Prices'!$B2529</f>
        <v>43711</v>
      </c>
      <c r="B1220">
        <f>_xlfn.XLOOKUP(A1220,'[1]Global_Spot Prices'!$B:$B,'[1]Global_Spot Prices'!$BS:$BS)</f>
        <v>6.18</v>
      </c>
      <c r="C1220">
        <f>_xlfn.XLOOKUP(A1220,'[1]Global_Spot Prices'!$B:$B,'[1]Global_Spot Prices'!$E:$E)</f>
        <v>56.45</v>
      </c>
      <c r="D1220">
        <f>_xlfn.XLOOKUP(A1220,'[1]Global_Spot Prices'!$B:$B,'[1]Global_Spot Prices'!$D:$D)</f>
        <v>58.05</v>
      </c>
      <c r="E1220">
        <f>_xlfn.XLOOKUP(A1220,'[1]Global_Spot Prices'!$B:$B,'[1]Global_Spot Prices'!$H:$H)</f>
        <v>48.05</v>
      </c>
      <c r="F1220">
        <f>_xlfn.XLOOKUP(A1220,'[1]Global_Spot Prices'!$B:$B,'[1]Global_Spot Prices'!$I:$I)</f>
        <v>62.63</v>
      </c>
      <c r="G1220" cm="1">
        <f t="array" ref="G1220">_xlfn.XLOOKUP(TEXT(A1220, "mmm-yy"), TEXT([2]RUNS!$B$5:$B$208, "mmm-yy"), [2]RUNS!$D$5:$D$208, "Not Found")</f>
        <v>30273.571130683948</v>
      </c>
      <c r="H1220" cm="1">
        <f t="array" ref="H1220">SUMPRODUCT(
    --(TEXT('[3]Global Weekly Stock (EWSuez'!$B$4:$B$2000,"mmm-yy")=TEXT(A1220,"mmm-yy")),
    '[3]Global Weekly Stock (EWSuez'!$E$4:$E$2000)
/
SUMPRODUCT(
    --(TEXT('[3]Global Weekly Stock (EWSuez'!$B$4:$B$2000,"mmm-yy")=TEXT(A1220,"mmm-yy"))
)</f>
        <v>10343.75</v>
      </c>
      <c r="I1220">
        <f>_xlfn.XLOOKUP(A1220,[1]ForwardDeriv!$D:$D,[1]ForwardDeriv!$AJ:$AJ)</f>
        <v>0.92999999999999972</v>
      </c>
      <c r="J1220" cm="1">
        <f t="array" ref="J1220">_xlfn.XLOOKUP(TEXT(A1220, "mmm-yy"), TEXT([2]GASOLINE!$B$5:$B$208, "mmm-yy"), [2]GASOLINE!$IR$5:$IR$208, "Not Found")</f>
        <v>73.83495793694749</v>
      </c>
      <c r="K1220" cm="1">
        <f t="array" ref="K1220">_xlfn.XLOOKUP(TEXT(A1220, "mmm-yy"), TEXT([2]GASOLINE!$B$5:$B$208, "mmm-yy"), [2]GASOLINE!$IK$5:$IK$208, "Not Found")</f>
        <v>171.73958738399085</v>
      </c>
      <c r="L1220">
        <f t="shared" si="19"/>
        <v>1</v>
      </c>
      <c r="M1220" cm="1">
        <f t="array" ref="M1220">_xlfn.XLOOKUP(TEXT(A1220, "mmm-yy"), TEXT([2]GASOLINE!$B$5:$B$208, "mmm-yy"), [2]GASOLINE!$C$5:$C$208, "Not Found")</f>
        <v>7315.5430619778872</v>
      </c>
      <c r="N1220" cm="1">
        <f t="array" ref="N1220">_xlfn.XLOOKUP(TEXT(A1220, "mmm-yy"), TEXT([2]RUNS!$B$5:$B$208, "mmm-yy"), [2]RUNS!$BM$5:$BM$208, "Not Found")</f>
        <v>0.84314813734658145</v>
      </c>
    </row>
    <row r="1221" spans="1:14" x14ac:dyDescent="0.25">
      <c r="A1221" s="1">
        <f>'[1]Global_Spot Prices'!$B2530</f>
        <v>43712</v>
      </c>
      <c r="B1221">
        <f>_xlfn.XLOOKUP(A1221,'[1]Global_Spot Prices'!$B:$B,'[1]Global_Spot Prices'!$BS:$BS)</f>
        <v>6.57</v>
      </c>
      <c r="C1221">
        <f>_xlfn.XLOOKUP(A1221,'[1]Global_Spot Prices'!$B:$B,'[1]Global_Spot Prices'!$E:$E)</f>
        <v>56.69</v>
      </c>
      <c r="D1221">
        <f>_xlfn.XLOOKUP(A1221,'[1]Global_Spot Prices'!$B:$B,'[1]Global_Spot Prices'!$D:$D)</f>
        <v>60.74</v>
      </c>
      <c r="E1221">
        <f>_xlfn.XLOOKUP(A1221,'[1]Global_Spot Prices'!$B:$B,'[1]Global_Spot Prices'!$H:$H)</f>
        <v>48.74</v>
      </c>
      <c r="F1221">
        <f>_xlfn.XLOOKUP(A1221,'[1]Global_Spot Prices'!$B:$B,'[1]Global_Spot Prices'!$I:$I)</f>
        <v>63.26</v>
      </c>
      <c r="G1221" cm="1">
        <f t="array" ref="G1221">_xlfn.XLOOKUP(TEXT(A1221, "mmm-yy"), TEXT([2]RUNS!$B$5:$B$208, "mmm-yy"), [2]RUNS!$D$5:$D$208, "Not Found")</f>
        <v>30273.571130683948</v>
      </c>
      <c r="H1221" cm="1">
        <f t="array" ref="H1221">SUMPRODUCT(
    --(TEXT('[3]Global Weekly Stock (EWSuez'!$B$4:$B$2000,"mmm-yy")=TEXT(A1221,"mmm-yy")),
    '[3]Global Weekly Stock (EWSuez'!$E$4:$E$2000)
/
SUMPRODUCT(
    --(TEXT('[3]Global Weekly Stock (EWSuez'!$B$4:$B$2000,"mmm-yy")=TEXT(A1221,"mmm-yy"))
)</f>
        <v>10343.75</v>
      </c>
      <c r="I1221">
        <f>_xlfn.XLOOKUP(A1221,[1]ForwardDeriv!$D:$D,[1]ForwardDeriv!$AJ:$AJ)</f>
        <v>0.88000000000000256</v>
      </c>
      <c r="J1221" cm="1">
        <f t="array" ref="J1221">_xlfn.XLOOKUP(TEXT(A1221, "mmm-yy"), TEXT([2]GASOLINE!$B$5:$B$208, "mmm-yy"), [2]GASOLINE!$IR$5:$IR$208, "Not Found")</f>
        <v>73.83495793694749</v>
      </c>
      <c r="K1221" cm="1">
        <f t="array" ref="K1221">_xlfn.XLOOKUP(TEXT(A1221, "mmm-yy"), TEXT([2]GASOLINE!$B$5:$B$208, "mmm-yy"), [2]GASOLINE!$IK$5:$IK$208, "Not Found")</f>
        <v>171.73958738399085</v>
      </c>
      <c r="L1221">
        <f t="shared" si="19"/>
        <v>1</v>
      </c>
      <c r="M1221" cm="1">
        <f t="array" ref="M1221">_xlfn.XLOOKUP(TEXT(A1221, "mmm-yy"), TEXT([2]GASOLINE!$B$5:$B$208, "mmm-yy"), [2]GASOLINE!$C$5:$C$208, "Not Found")</f>
        <v>7315.5430619778872</v>
      </c>
      <c r="N1221" cm="1">
        <f t="array" ref="N1221">_xlfn.XLOOKUP(TEXT(A1221, "mmm-yy"), TEXT([2]RUNS!$B$5:$B$208, "mmm-yy"), [2]RUNS!$BM$5:$BM$208, "Not Found")</f>
        <v>0.84314813734658145</v>
      </c>
    </row>
    <row r="1222" spans="1:14" x14ac:dyDescent="0.25">
      <c r="A1222" s="1">
        <f>'[1]Global_Spot Prices'!$B2531</f>
        <v>43713</v>
      </c>
      <c r="B1222">
        <f>_xlfn.XLOOKUP(A1222,'[1]Global_Spot Prices'!$B:$B,'[1]Global_Spot Prices'!$BS:$BS)</f>
        <v>6.8700000000000045</v>
      </c>
      <c r="C1222">
        <f>_xlfn.XLOOKUP(A1222,'[1]Global_Spot Prices'!$B:$B,'[1]Global_Spot Prices'!$E:$E)</f>
        <v>58.5</v>
      </c>
      <c r="D1222">
        <f>_xlfn.XLOOKUP(A1222,'[1]Global_Spot Prices'!$B:$B,'[1]Global_Spot Prices'!$D:$D)</f>
        <v>62.61</v>
      </c>
      <c r="E1222">
        <f>_xlfn.XLOOKUP(A1222,'[1]Global_Spot Prices'!$B:$B,'[1]Global_Spot Prices'!$H:$H)</f>
        <v>50.51</v>
      </c>
      <c r="F1222">
        <f>_xlfn.XLOOKUP(A1222,'[1]Global_Spot Prices'!$B:$B,'[1]Global_Spot Prices'!$I:$I)</f>
        <v>65.37</v>
      </c>
      <c r="G1222" cm="1">
        <f t="array" ref="G1222">_xlfn.XLOOKUP(TEXT(A1222, "mmm-yy"), TEXT([2]RUNS!$B$5:$B$208, "mmm-yy"), [2]RUNS!$D$5:$D$208, "Not Found")</f>
        <v>30273.571130683948</v>
      </c>
      <c r="H1222" cm="1">
        <f t="array" ref="H1222">SUMPRODUCT(
    --(TEXT('[3]Global Weekly Stock (EWSuez'!$B$4:$B$2000,"mmm-yy")=TEXT(A1222,"mmm-yy")),
    '[3]Global Weekly Stock (EWSuez'!$E$4:$E$2000)
/
SUMPRODUCT(
    --(TEXT('[3]Global Weekly Stock (EWSuez'!$B$4:$B$2000,"mmm-yy")=TEXT(A1222,"mmm-yy"))
)</f>
        <v>10343.75</v>
      </c>
      <c r="I1222">
        <f>_xlfn.XLOOKUP(A1222,[1]ForwardDeriv!$D:$D,[1]ForwardDeriv!$AJ:$AJ)</f>
        <v>1.019999999999996</v>
      </c>
      <c r="J1222" cm="1">
        <f t="array" ref="J1222">_xlfn.XLOOKUP(TEXT(A1222, "mmm-yy"), TEXT([2]GASOLINE!$B$5:$B$208, "mmm-yy"), [2]GASOLINE!$IR$5:$IR$208, "Not Found")</f>
        <v>73.83495793694749</v>
      </c>
      <c r="K1222" cm="1">
        <f t="array" ref="K1222">_xlfn.XLOOKUP(TEXT(A1222, "mmm-yy"), TEXT([2]GASOLINE!$B$5:$B$208, "mmm-yy"), [2]GASOLINE!$IK$5:$IK$208, "Not Found")</f>
        <v>171.73958738399085</v>
      </c>
      <c r="L1222">
        <f t="shared" si="19"/>
        <v>1</v>
      </c>
      <c r="M1222" cm="1">
        <f t="array" ref="M1222">_xlfn.XLOOKUP(TEXT(A1222, "mmm-yy"), TEXT([2]GASOLINE!$B$5:$B$208, "mmm-yy"), [2]GASOLINE!$C$5:$C$208, "Not Found")</f>
        <v>7315.5430619778872</v>
      </c>
      <c r="N1222" cm="1">
        <f t="array" ref="N1222">_xlfn.XLOOKUP(TEXT(A1222, "mmm-yy"), TEXT([2]RUNS!$B$5:$B$208, "mmm-yy"), [2]RUNS!$BM$5:$BM$208, "Not Found")</f>
        <v>0.84314813734658145</v>
      </c>
    </row>
    <row r="1223" spans="1:14" x14ac:dyDescent="0.25">
      <c r="A1223" s="1">
        <f>'[1]Global_Spot Prices'!$B2532</f>
        <v>43714</v>
      </c>
      <c r="B1223">
        <f>_xlfn.XLOOKUP(A1223,'[1]Global_Spot Prices'!$B:$B,'[1]Global_Spot Prices'!$BS:$BS)</f>
        <v>7.4350000000000094</v>
      </c>
      <c r="C1223">
        <f>_xlfn.XLOOKUP(A1223,'[1]Global_Spot Prices'!$B:$B,'[1]Global_Spot Prices'!$E:$E)</f>
        <v>59.244999999999997</v>
      </c>
      <c r="D1223">
        <f>_xlfn.XLOOKUP(A1223,'[1]Global_Spot Prices'!$B:$B,'[1]Global_Spot Prices'!$D:$D)</f>
        <v>61.325000000000003</v>
      </c>
      <c r="E1223">
        <f>_xlfn.XLOOKUP(A1223,'[1]Global_Spot Prices'!$B:$B,'[1]Global_Spot Prices'!$H:$H)</f>
        <v>51.31</v>
      </c>
      <c r="F1223">
        <f>_xlfn.XLOOKUP(A1223,'[1]Global_Spot Prices'!$B:$B,'[1]Global_Spot Prices'!$I:$I)</f>
        <v>66.680000000000007</v>
      </c>
      <c r="G1223" cm="1">
        <f t="array" ref="G1223">_xlfn.XLOOKUP(TEXT(A1223, "mmm-yy"), TEXT([2]RUNS!$B$5:$B$208, "mmm-yy"), [2]RUNS!$D$5:$D$208, "Not Found")</f>
        <v>30273.571130683948</v>
      </c>
      <c r="H1223" cm="1">
        <f t="array" ref="H1223">SUMPRODUCT(
    --(TEXT('[3]Global Weekly Stock (EWSuez'!$B$4:$B$2000,"mmm-yy")=TEXT(A1223,"mmm-yy")),
    '[3]Global Weekly Stock (EWSuez'!$E$4:$E$2000)
/
SUMPRODUCT(
    --(TEXT('[3]Global Weekly Stock (EWSuez'!$B$4:$B$2000,"mmm-yy")=TEXT(A1223,"mmm-yy"))
)</f>
        <v>10343.75</v>
      </c>
      <c r="I1223">
        <f>_xlfn.XLOOKUP(A1223,[1]ForwardDeriv!$D:$D,[1]ForwardDeriv!$AJ:$AJ)</f>
        <v>1.1499999999999986</v>
      </c>
      <c r="J1223" cm="1">
        <f t="array" ref="J1223">_xlfn.XLOOKUP(TEXT(A1223, "mmm-yy"), TEXT([2]GASOLINE!$B$5:$B$208, "mmm-yy"), [2]GASOLINE!$IR$5:$IR$208, "Not Found")</f>
        <v>73.83495793694749</v>
      </c>
      <c r="K1223" cm="1">
        <f t="array" ref="K1223">_xlfn.XLOOKUP(TEXT(A1223, "mmm-yy"), TEXT([2]GASOLINE!$B$5:$B$208, "mmm-yy"), [2]GASOLINE!$IK$5:$IK$208, "Not Found")</f>
        <v>171.73958738399085</v>
      </c>
      <c r="L1223">
        <f t="shared" si="19"/>
        <v>1</v>
      </c>
      <c r="M1223" cm="1">
        <f t="array" ref="M1223">_xlfn.XLOOKUP(TEXT(A1223, "mmm-yy"), TEXT([2]GASOLINE!$B$5:$B$208, "mmm-yy"), [2]GASOLINE!$C$5:$C$208, "Not Found")</f>
        <v>7315.5430619778872</v>
      </c>
      <c r="N1223" cm="1">
        <f t="array" ref="N1223">_xlfn.XLOOKUP(TEXT(A1223, "mmm-yy"), TEXT([2]RUNS!$B$5:$B$208, "mmm-yy"), [2]RUNS!$BM$5:$BM$208, "Not Found")</f>
        <v>0.84314813734658145</v>
      </c>
    </row>
    <row r="1224" spans="1:14" x14ac:dyDescent="0.25">
      <c r="A1224" s="1">
        <f>'[1]Global_Spot Prices'!$B2533</f>
        <v>43717</v>
      </c>
      <c r="B1224">
        <f>_xlfn.XLOOKUP(A1224,'[1]Global_Spot Prices'!$B:$B,'[1]Global_Spot Prices'!$BS:$BS)</f>
        <v>7.4600000000000009</v>
      </c>
      <c r="C1224">
        <f>_xlfn.XLOOKUP(A1224,'[1]Global_Spot Prices'!$B:$B,'[1]Global_Spot Prices'!$E:$E)</f>
        <v>60.1</v>
      </c>
      <c r="D1224">
        <f>_xlfn.XLOOKUP(A1224,'[1]Global_Spot Prices'!$B:$B,'[1]Global_Spot Prices'!$D:$D)</f>
        <v>63.86</v>
      </c>
      <c r="E1224">
        <f>_xlfn.XLOOKUP(A1224,'[1]Global_Spot Prices'!$B:$B,'[1]Global_Spot Prices'!$H:$H)</f>
        <v>52.25</v>
      </c>
      <c r="F1224">
        <f>_xlfn.XLOOKUP(A1224,'[1]Global_Spot Prices'!$B:$B,'[1]Global_Spot Prices'!$I:$I)</f>
        <v>67.56</v>
      </c>
      <c r="G1224" cm="1">
        <f t="array" ref="G1224">_xlfn.XLOOKUP(TEXT(A1224, "mmm-yy"), TEXT([2]RUNS!$B$5:$B$208, "mmm-yy"), [2]RUNS!$D$5:$D$208, "Not Found")</f>
        <v>30273.571130683948</v>
      </c>
      <c r="H1224" cm="1">
        <f t="array" ref="H1224">SUMPRODUCT(
    --(TEXT('[3]Global Weekly Stock (EWSuez'!$B$4:$B$2000,"mmm-yy")=TEXT(A1224,"mmm-yy")),
    '[3]Global Weekly Stock (EWSuez'!$E$4:$E$2000)
/
SUMPRODUCT(
    --(TEXT('[3]Global Weekly Stock (EWSuez'!$B$4:$B$2000,"mmm-yy")=TEXT(A1224,"mmm-yy"))
)</f>
        <v>10343.75</v>
      </c>
      <c r="I1224">
        <f>_xlfn.XLOOKUP(A1224,[1]ForwardDeriv!$D:$D,[1]ForwardDeriv!$AJ:$AJ)</f>
        <v>1.2999999999999972</v>
      </c>
      <c r="J1224" cm="1">
        <f t="array" ref="J1224">_xlfn.XLOOKUP(TEXT(A1224, "mmm-yy"), TEXT([2]GASOLINE!$B$5:$B$208, "mmm-yy"), [2]GASOLINE!$IR$5:$IR$208, "Not Found")</f>
        <v>73.83495793694749</v>
      </c>
      <c r="K1224" cm="1">
        <f t="array" ref="K1224">_xlfn.XLOOKUP(TEXT(A1224, "mmm-yy"), TEXT([2]GASOLINE!$B$5:$B$208, "mmm-yy"), [2]GASOLINE!$IK$5:$IK$208, "Not Found")</f>
        <v>171.73958738399085</v>
      </c>
      <c r="L1224">
        <f t="shared" si="19"/>
        <v>1</v>
      </c>
      <c r="M1224" cm="1">
        <f t="array" ref="M1224">_xlfn.XLOOKUP(TEXT(A1224, "mmm-yy"), TEXT([2]GASOLINE!$B$5:$B$208, "mmm-yy"), [2]GASOLINE!$C$5:$C$208, "Not Found")</f>
        <v>7315.5430619778872</v>
      </c>
      <c r="N1224" cm="1">
        <f t="array" ref="N1224">_xlfn.XLOOKUP(TEXT(A1224, "mmm-yy"), TEXT([2]RUNS!$B$5:$B$208, "mmm-yy"), [2]RUNS!$BM$5:$BM$208, "Not Found")</f>
        <v>0.84314813734658145</v>
      </c>
    </row>
    <row r="1225" spans="1:14" x14ac:dyDescent="0.25">
      <c r="A1225" s="1">
        <f>'[1]Global_Spot Prices'!$B2534</f>
        <v>43718</v>
      </c>
      <c r="B1225">
        <f ca="1">_xlfn.XLOOKUP(A1225,'[1]Global_Spot Prices'!$B:$B,'[1]Global_Spot Prices'!$BS:$BS)</f>
        <v>7.5500000000000043</v>
      </c>
      <c r="C1225">
        <f ca="1">_xlfn.XLOOKUP(A1225,'[1]Global_Spot Prices'!$B:$B,'[1]Global_Spot Prices'!$E:$E)</f>
        <v>60.85</v>
      </c>
      <c r="D1225">
        <f>_xlfn.XLOOKUP(A1225,'[1]Global_Spot Prices'!$B:$B,'[1]Global_Spot Prices'!$D:$D)</f>
        <v>64.575000000000003</v>
      </c>
      <c r="E1225">
        <f>_xlfn.XLOOKUP(A1225,'[1]Global_Spot Prices'!$B:$B,'[1]Global_Spot Prices'!$H:$H)</f>
        <v>53.04</v>
      </c>
      <c r="F1225">
        <f>_xlfn.XLOOKUP(A1225,'[1]Global_Spot Prices'!$B:$B,'[1]Global_Spot Prices'!$I:$I)</f>
        <v>68.400000000000006</v>
      </c>
      <c r="G1225" cm="1">
        <f t="array" ref="G1225">_xlfn.XLOOKUP(TEXT(A1225, "mmm-yy"), TEXT([2]RUNS!$B$5:$B$208, "mmm-yy"), [2]RUNS!$D$5:$D$208, "Not Found")</f>
        <v>30273.571130683948</v>
      </c>
      <c r="H1225" cm="1">
        <f t="array" ref="H1225">SUMPRODUCT(
    --(TEXT('[3]Global Weekly Stock (EWSuez'!$B$4:$B$2000,"mmm-yy")=TEXT(A1225,"mmm-yy")),
    '[3]Global Weekly Stock (EWSuez'!$E$4:$E$2000)
/
SUMPRODUCT(
    --(TEXT('[3]Global Weekly Stock (EWSuez'!$B$4:$B$2000,"mmm-yy")=TEXT(A1225,"mmm-yy"))
)</f>
        <v>10343.75</v>
      </c>
      <c r="I1225">
        <f>_xlfn.XLOOKUP(A1225,[1]ForwardDeriv!$D:$D,[1]ForwardDeriv!$AJ:$AJ)</f>
        <v>1.2800000000000011</v>
      </c>
      <c r="J1225" cm="1">
        <f t="array" ref="J1225">_xlfn.XLOOKUP(TEXT(A1225, "mmm-yy"), TEXT([2]GASOLINE!$B$5:$B$208, "mmm-yy"), [2]GASOLINE!$IR$5:$IR$208, "Not Found")</f>
        <v>73.83495793694749</v>
      </c>
      <c r="K1225" cm="1">
        <f t="array" ref="K1225">_xlfn.XLOOKUP(TEXT(A1225, "mmm-yy"), TEXT([2]GASOLINE!$B$5:$B$208, "mmm-yy"), [2]GASOLINE!$IK$5:$IK$208, "Not Found")</f>
        <v>171.73958738399085</v>
      </c>
      <c r="L1225">
        <f t="shared" si="19"/>
        <v>1</v>
      </c>
      <c r="M1225" cm="1">
        <f t="array" ref="M1225">_xlfn.XLOOKUP(TEXT(A1225, "mmm-yy"), TEXT([2]GASOLINE!$B$5:$B$208, "mmm-yy"), [2]GASOLINE!$C$5:$C$208, "Not Found")</f>
        <v>7315.5430619778872</v>
      </c>
      <c r="N1225" cm="1">
        <f t="array" ref="N1225">_xlfn.XLOOKUP(TEXT(A1225, "mmm-yy"), TEXT([2]RUNS!$B$5:$B$208, "mmm-yy"), [2]RUNS!$BM$5:$BM$208, "Not Found")</f>
        <v>0.84314813734658145</v>
      </c>
    </row>
    <row r="1226" spans="1:14" x14ac:dyDescent="0.25">
      <c r="A1226" s="1">
        <f>'[1]Global_Spot Prices'!$B2535</f>
        <v>43719</v>
      </c>
      <c r="B1226">
        <f>_xlfn.XLOOKUP(A1226,'[1]Global_Spot Prices'!$B:$B,'[1]Global_Spot Prices'!$BS:$BS)</f>
        <v>9.0399999999999991</v>
      </c>
      <c r="C1226">
        <f>_xlfn.XLOOKUP(A1226,'[1]Global_Spot Prices'!$B:$B,'[1]Global_Spot Prices'!$E:$E)</f>
        <v>60.85</v>
      </c>
      <c r="D1226">
        <f>_xlfn.XLOOKUP(A1226,'[1]Global_Spot Prices'!$B:$B,'[1]Global_Spot Prices'!$D:$D)</f>
        <v>63.07</v>
      </c>
      <c r="E1226">
        <f>_xlfn.XLOOKUP(A1226,'[1]Global_Spot Prices'!$B:$B,'[1]Global_Spot Prices'!$H:$H)</f>
        <v>53.04</v>
      </c>
      <c r="F1226">
        <f>_xlfn.XLOOKUP(A1226,'[1]Global_Spot Prices'!$B:$B,'[1]Global_Spot Prices'!$I:$I)</f>
        <v>69.89</v>
      </c>
      <c r="G1226" cm="1">
        <f t="array" ref="G1226">_xlfn.XLOOKUP(TEXT(A1226, "mmm-yy"), TEXT([2]RUNS!$B$5:$B$208, "mmm-yy"), [2]RUNS!$D$5:$D$208, "Not Found")</f>
        <v>30273.571130683948</v>
      </c>
      <c r="H1226" cm="1">
        <f t="array" ref="H1226">SUMPRODUCT(
    --(TEXT('[3]Global Weekly Stock (EWSuez'!$B$4:$B$2000,"mmm-yy")=TEXT(A1226,"mmm-yy")),
    '[3]Global Weekly Stock (EWSuez'!$E$4:$E$2000)
/
SUMPRODUCT(
    --(TEXT('[3]Global Weekly Stock (EWSuez'!$B$4:$B$2000,"mmm-yy")=TEXT(A1226,"mmm-yy"))
)</f>
        <v>10343.75</v>
      </c>
      <c r="I1226">
        <f>_xlfn.XLOOKUP(A1226,[1]ForwardDeriv!$D:$D,[1]ForwardDeriv!$AJ:$AJ)</f>
        <v>1.3700000000000045</v>
      </c>
      <c r="J1226" cm="1">
        <f t="array" ref="J1226">_xlfn.XLOOKUP(TEXT(A1226, "mmm-yy"), TEXT([2]GASOLINE!$B$5:$B$208, "mmm-yy"), [2]GASOLINE!$IR$5:$IR$208, "Not Found")</f>
        <v>73.83495793694749</v>
      </c>
      <c r="K1226" cm="1">
        <f t="array" ref="K1226">_xlfn.XLOOKUP(TEXT(A1226, "mmm-yy"), TEXT([2]GASOLINE!$B$5:$B$208, "mmm-yy"), [2]GASOLINE!$IK$5:$IK$208, "Not Found")</f>
        <v>171.73958738399085</v>
      </c>
      <c r="L1226">
        <f t="shared" si="19"/>
        <v>1</v>
      </c>
      <c r="M1226" cm="1">
        <f t="array" ref="M1226">_xlfn.XLOOKUP(TEXT(A1226, "mmm-yy"), TEXT([2]GASOLINE!$B$5:$B$208, "mmm-yy"), [2]GASOLINE!$C$5:$C$208, "Not Found")</f>
        <v>7315.5430619778872</v>
      </c>
      <c r="N1226" cm="1">
        <f t="array" ref="N1226">_xlfn.XLOOKUP(TEXT(A1226, "mmm-yy"), TEXT([2]RUNS!$B$5:$B$208, "mmm-yy"), [2]RUNS!$BM$5:$BM$208, "Not Found")</f>
        <v>0.84314813734658145</v>
      </c>
    </row>
    <row r="1227" spans="1:14" x14ac:dyDescent="0.25">
      <c r="A1227" s="1">
        <f>'[1]Global_Spot Prices'!$B2536</f>
        <v>43720</v>
      </c>
      <c r="B1227">
        <f>_xlfn.XLOOKUP(A1227,'[1]Global_Spot Prices'!$B:$B,'[1]Global_Spot Prices'!$BS:$BS)</f>
        <v>9.6500000000000057</v>
      </c>
      <c r="C1227">
        <f>_xlfn.XLOOKUP(A1227,'[1]Global_Spot Prices'!$B:$B,'[1]Global_Spot Prices'!$E:$E)</f>
        <v>59.3</v>
      </c>
      <c r="D1227">
        <f>_xlfn.XLOOKUP(A1227,'[1]Global_Spot Prices'!$B:$B,'[1]Global_Spot Prices'!$D:$D)</f>
        <v>60.82</v>
      </c>
      <c r="E1227">
        <f>_xlfn.XLOOKUP(A1227,'[1]Global_Spot Prices'!$B:$B,'[1]Global_Spot Prices'!$H:$H)</f>
        <v>51.51</v>
      </c>
      <c r="F1227">
        <f>_xlfn.XLOOKUP(A1227,'[1]Global_Spot Prices'!$B:$B,'[1]Global_Spot Prices'!$I:$I)</f>
        <v>68.95</v>
      </c>
      <c r="G1227" cm="1">
        <f t="array" ref="G1227">_xlfn.XLOOKUP(TEXT(A1227, "mmm-yy"), TEXT([2]RUNS!$B$5:$B$208, "mmm-yy"), [2]RUNS!$D$5:$D$208, "Not Found")</f>
        <v>30273.571130683948</v>
      </c>
      <c r="H1227" cm="1">
        <f t="array" ref="H1227">SUMPRODUCT(
    --(TEXT('[3]Global Weekly Stock (EWSuez'!$B$4:$B$2000,"mmm-yy")=TEXT(A1227,"mmm-yy")),
    '[3]Global Weekly Stock (EWSuez'!$E$4:$E$2000)
/
SUMPRODUCT(
    --(TEXT('[3]Global Weekly Stock (EWSuez'!$B$4:$B$2000,"mmm-yy")=TEXT(A1227,"mmm-yy"))
)</f>
        <v>10343.75</v>
      </c>
      <c r="I1227">
        <f>_xlfn.XLOOKUP(A1227,[1]ForwardDeriv!$D:$D,[1]ForwardDeriv!$AJ:$AJ)</f>
        <v>1.6199999999999903</v>
      </c>
      <c r="J1227" cm="1">
        <f t="array" ref="J1227">_xlfn.XLOOKUP(TEXT(A1227, "mmm-yy"), TEXT([2]GASOLINE!$B$5:$B$208, "mmm-yy"), [2]GASOLINE!$IR$5:$IR$208, "Not Found")</f>
        <v>73.83495793694749</v>
      </c>
      <c r="K1227" cm="1">
        <f t="array" ref="K1227">_xlfn.XLOOKUP(TEXT(A1227, "mmm-yy"), TEXT([2]GASOLINE!$B$5:$B$208, "mmm-yy"), [2]GASOLINE!$IK$5:$IK$208, "Not Found")</f>
        <v>171.73958738399085</v>
      </c>
      <c r="L1227">
        <f t="shared" si="19"/>
        <v>1</v>
      </c>
      <c r="M1227" cm="1">
        <f t="array" ref="M1227">_xlfn.XLOOKUP(TEXT(A1227, "mmm-yy"), TEXT([2]GASOLINE!$B$5:$B$208, "mmm-yy"), [2]GASOLINE!$C$5:$C$208, "Not Found")</f>
        <v>7315.5430619778872</v>
      </c>
      <c r="N1227" cm="1">
        <f t="array" ref="N1227">_xlfn.XLOOKUP(TEXT(A1227, "mmm-yy"), TEXT([2]RUNS!$B$5:$B$208, "mmm-yy"), [2]RUNS!$BM$5:$BM$208, "Not Found")</f>
        <v>0.84314813734658145</v>
      </c>
    </row>
    <row r="1228" spans="1:14" x14ac:dyDescent="0.25">
      <c r="A1228" s="1">
        <f>'[1]Global_Spot Prices'!$B2537</f>
        <v>43721</v>
      </c>
      <c r="B1228">
        <f>_xlfn.XLOOKUP(A1228,'[1]Global_Spot Prices'!$B:$B,'[1]Global_Spot Prices'!$BS:$BS)</f>
        <v>9.61</v>
      </c>
      <c r="C1228">
        <f>_xlfn.XLOOKUP(A1228,'[1]Global_Spot Prices'!$B:$B,'[1]Global_Spot Prices'!$E:$E)</f>
        <v>58.33</v>
      </c>
      <c r="D1228">
        <f>_xlfn.XLOOKUP(A1228,'[1]Global_Spot Prices'!$B:$B,'[1]Global_Spot Prices'!$D:$D)</f>
        <v>61.09</v>
      </c>
      <c r="E1228">
        <f>_xlfn.XLOOKUP(A1228,'[1]Global_Spot Prices'!$B:$B,'[1]Global_Spot Prices'!$H:$H)</f>
        <v>50.68</v>
      </c>
      <c r="F1228">
        <f>_xlfn.XLOOKUP(A1228,'[1]Global_Spot Prices'!$B:$B,'[1]Global_Spot Prices'!$I:$I)</f>
        <v>67.94</v>
      </c>
      <c r="G1228" cm="1">
        <f t="array" ref="G1228">_xlfn.XLOOKUP(TEXT(A1228, "mmm-yy"), TEXT([2]RUNS!$B$5:$B$208, "mmm-yy"), [2]RUNS!$D$5:$D$208, "Not Found")</f>
        <v>30273.571130683948</v>
      </c>
      <c r="H1228" cm="1">
        <f t="array" ref="H1228">SUMPRODUCT(
    --(TEXT('[3]Global Weekly Stock (EWSuez'!$B$4:$B$2000,"mmm-yy")=TEXT(A1228,"mmm-yy")),
    '[3]Global Weekly Stock (EWSuez'!$E$4:$E$2000)
/
SUMPRODUCT(
    --(TEXT('[3]Global Weekly Stock (EWSuez'!$B$4:$B$2000,"mmm-yy")=TEXT(A1228,"mmm-yy"))
)</f>
        <v>10343.75</v>
      </c>
      <c r="I1228">
        <f>_xlfn.XLOOKUP(A1228,[1]ForwardDeriv!$D:$D,[1]ForwardDeriv!$AJ:$AJ)</f>
        <v>1.730000000000004</v>
      </c>
      <c r="J1228" cm="1">
        <f t="array" ref="J1228">_xlfn.XLOOKUP(TEXT(A1228, "mmm-yy"), TEXT([2]GASOLINE!$B$5:$B$208, "mmm-yy"), [2]GASOLINE!$IR$5:$IR$208, "Not Found")</f>
        <v>73.83495793694749</v>
      </c>
      <c r="K1228" cm="1">
        <f t="array" ref="K1228">_xlfn.XLOOKUP(TEXT(A1228, "mmm-yy"), TEXT([2]GASOLINE!$B$5:$B$208, "mmm-yy"), [2]GASOLINE!$IK$5:$IK$208, "Not Found")</f>
        <v>171.73958738399085</v>
      </c>
      <c r="L1228">
        <f t="shared" si="19"/>
        <v>1</v>
      </c>
      <c r="M1228" cm="1">
        <f t="array" ref="M1228">_xlfn.XLOOKUP(TEXT(A1228, "mmm-yy"), TEXT([2]GASOLINE!$B$5:$B$208, "mmm-yy"), [2]GASOLINE!$C$5:$C$208, "Not Found")</f>
        <v>7315.5430619778872</v>
      </c>
      <c r="N1228" cm="1">
        <f t="array" ref="N1228">_xlfn.XLOOKUP(TEXT(A1228, "mmm-yy"), TEXT([2]RUNS!$B$5:$B$208, "mmm-yy"), [2]RUNS!$BM$5:$BM$208, "Not Found")</f>
        <v>0.84314813734658145</v>
      </c>
    </row>
    <row r="1229" spans="1:14" x14ac:dyDescent="0.25">
      <c r="A1229" s="1">
        <f>'[1]Global_Spot Prices'!$B2538</f>
        <v>43724</v>
      </c>
      <c r="B1229">
        <f>_xlfn.XLOOKUP(A1229,'[1]Global_Spot Prices'!$B:$B,'[1]Global_Spot Prices'!$BS:$BS)</f>
        <v>10.464999999999996</v>
      </c>
      <c r="C1229">
        <f>_xlfn.XLOOKUP(A1229,'[1]Global_Spot Prices'!$B:$B,'[1]Global_Spot Prices'!$E:$E)</f>
        <v>63.854999999999997</v>
      </c>
      <c r="D1229">
        <f>_xlfn.XLOOKUP(A1229,'[1]Global_Spot Prices'!$B:$B,'[1]Global_Spot Prices'!$D:$D)</f>
        <v>68.194999999999993</v>
      </c>
      <c r="E1229">
        <f>_xlfn.XLOOKUP(A1229,'[1]Global_Spot Prices'!$B:$B,'[1]Global_Spot Prices'!$H:$H)</f>
        <v>56.59</v>
      </c>
      <c r="F1229">
        <f>_xlfn.XLOOKUP(A1229,'[1]Global_Spot Prices'!$B:$B,'[1]Global_Spot Prices'!$I:$I)</f>
        <v>74.319999999999993</v>
      </c>
      <c r="G1229" cm="1">
        <f t="array" ref="G1229">_xlfn.XLOOKUP(TEXT(A1229, "mmm-yy"), TEXT([2]RUNS!$B$5:$B$208, "mmm-yy"), [2]RUNS!$D$5:$D$208, "Not Found")</f>
        <v>30273.571130683948</v>
      </c>
      <c r="H1229" cm="1">
        <f t="array" ref="H1229">SUMPRODUCT(
    --(TEXT('[3]Global Weekly Stock (EWSuez'!$B$4:$B$2000,"mmm-yy")=TEXT(A1229,"mmm-yy")),
    '[3]Global Weekly Stock (EWSuez'!$E$4:$E$2000)
/
SUMPRODUCT(
    --(TEXT('[3]Global Weekly Stock (EWSuez'!$B$4:$B$2000,"mmm-yy")=TEXT(A1229,"mmm-yy"))
)</f>
        <v>10343.75</v>
      </c>
      <c r="I1229">
        <f>_xlfn.XLOOKUP(A1229,[1]ForwardDeriv!$D:$D,[1]ForwardDeriv!$AJ:$AJ)</f>
        <v>2.5499999999999972</v>
      </c>
      <c r="J1229" cm="1">
        <f t="array" ref="J1229">_xlfn.XLOOKUP(TEXT(A1229, "mmm-yy"), TEXT([2]GASOLINE!$B$5:$B$208, "mmm-yy"), [2]GASOLINE!$IR$5:$IR$208, "Not Found")</f>
        <v>73.83495793694749</v>
      </c>
      <c r="K1229" cm="1">
        <f t="array" ref="K1229">_xlfn.XLOOKUP(TEXT(A1229, "mmm-yy"), TEXT([2]GASOLINE!$B$5:$B$208, "mmm-yy"), [2]GASOLINE!$IK$5:$IK$208, "Not Found")</f>
        <v>171.73958738399085</v>
      </c>
      <c r="L1229">
        <f t="shared" si="19"/>
        <v>1</v>
      </c>
      <c r="M1229" cm="1">
        <f t="array" ref="M1229">_xlfn.XLOOKUP(TEXT(A1229, "mmm-yy"), TEXT([2]GASOLINE!$B$5:$B$208, "mmm-yy"), [2]GASOLINE!$C$5:$C$208, "Not Found")</f>
        <v>7315.5430619778872</v>
      </c>
      <c r="N1229" cm="1">
        <f t="array" ref="N1229">_xlfn.XLOOKUP(TEXT(A1229, "mmm-yy"), TEXT([2]RUNS!$B$5:$B$208, "mmm-yy"), [2]RUNS!$BM$5:$BM$208, "Not Found")</f>
        <v>0.84314813734658145</v>
      </c>
    </row>
    <row r="1230" spans="1:14" x14ac:dyDescent="0.25">
      <c r="A1230" s="1">
        <f>'[1]Global_Spot Prices'!$B2539</f>
        <v>43725</v>
      </c>
      <c r="B1230">
        <f ca="1">_xlfn.XLOOKUP(A1230,'[1]Global_Spot Prices'!$B:$B,'[1]Global_Spot Prices'!$BS:$BS)</f>
        <v>10.780000000000001</v>
      </c>
      <c r="C1230">
        <f>_xlfn.XLOOKUP(A1230,'[1]Global_Spot Prices'!$B:$B,'[1]Global_Spot Prices'!$E:$E)</f>
        <v>67.55</v>
      </c>
      <c r="D1230">
        <f>_xlfn.XLOOKUP(A1230,'[1]Global_Spot Prices'!$B:$B,'[1]Global_Spot Prices'!$D:$D)</f>
        <v>65.685000000000002</v>
      </c>
      <c r="E1230">
        <f>_xlfn.XLOOKUP(A1230,'[1]Global_Spot Prices'!$B:$B,'[1]Global_Spot Prices'!$H:$H)</f>
        <v>63.31</v>
      </c>
      <c r="F1230">
        <f>_xlfn.XLOOKUP(A1230,'[1]Global_Spot Prices'!$B:$B,'[1]Global_Spot Prices'!$I:$I)</f>
        <v>78.33</v>
      </c>
      <c r="G1230" cm="1">
        <f t="array" ref="G1230">_xlfn.XLOOKUP(TEXT(A1230, "mmm-yy"), TEXT([2]RUNS!$B$5:$B$208, "mmm-yy"), [2]RUNS!$D$5:$D$208, "Not Found")</f>
        <v>30273.571130683948</v>
      </c>
      <c r="H1230" cm="1">
        <f t="array" ref="H1230">SUMPRODUCT(
    --(TEXT('[3]Global Weekly Stock (EWSuez'!$B$4:$B$2000,"mmm-yy")=TEXT(A1230,"mmm-yy")),
    '[3]Global Weekly Stock (EWSuez'!$E$4:$E$2000)
/
SUMPRODUCT(
    --(TEXT('[3]Global Weekly Stock (EWSuez'!$B$4:$B$2000,"mmm-yy")=TEXT(A1230,"mmm-yy"))
)</f>
        <v>10343.75</v>
      </c>
      <c r="I1230">
        <f>_xlfn.XLOOKUP(A1230,[1]ForwardDeriv!$D:$D,[1]ForwardDeriv!$AJ:$AJ)</f>
        <v>3.0499999999999972</v>
      </c>
      <c r="J1230" cm="1">
        <f t="array" ref="J1230">_xlfn.XLOOKUP(TEXT(A1230, "mmm-yy"), TEXT([2]GASOLINE!$B$5:$B$208, "mmm-yy"), [2]GASOLINE!$IR$5:$IR$208, "Not Found")</f>
        <v>73.83495793694749</v>
      </c>
      <c r="K1230" cm="1">
        <f t="array" ref="K1230">_xlfn.XLOOKUP(TEXT(A1230, "mmm-yy"), TEXT([2]GASOLINE!$B$5:$B$208, "mmm-yy"), [2]GASOLINE!$IK$5:$IK$208, "Not Found")</f>
        <v>171.73958738399085</v>
      </c>
      <c r="L1230">
        <f t="shared" si="19"/>
        <v>1</v>
      </c>
      <c r="M1230" cm="1">
        <f t="array" ref="M1230">_xlfn.XLOOKUP(TEXT(A1230, "mmm-yy"), TEXT([2]GASOLINE!$B$5:$B$208, "mmm-yy"), [2]GASOLINE!$C$5:$C$208, "Not Found")</f>
        <v>7315.5430619778872</v>
      </c>
      <c r="N1230" cm="1">
        <f t="array" ref="N1230">_xlfn.XLOOKUP(TEXT(A1230, "mmm-yy"), TEXT([2]RUNS!$B$5:$B$208, "mmm-yy"), [2]RUNS!$BM$5:$BM$208, "Not Found")</f>
        <v>0.84314813734658145</v>
      </c>
    </row>
    <row r="1231" spans="1:14" x14ac:dyDescent="0.25">
      <c r="A1231" s="1">
        <f>'[1]Global_Spot Prices'!$B2540</f>
        <v>43726</v>
      </c>
      <c r="B1231">
        <f>_xlfn.XLOOKUP(A1231,'[1]Global_Spot Prices'!$B:$B,'[1]Global_Spot Prices'!$BS:$BS)</f>
        <v>9.4400000000000048</v>
      </c>
      <c r="C1231">
        <f>_xlfn.XLOOKUP(A1231,'[1]Global_Spot Prices'!$B:$B,'[1]Global_Spot Prices'!$E:$E)</f>
        <v>63.32</v>
      </c>
      <c r="D1231">
        <f>_xlfn.XLOOKUP(A1231,'[1]Global_Spot Prices'!$B:$B,'[1]Global_Spot Prices'!$D:$D)</f>
        <v>64.25</v>
      </c>
      <c r="E1231">
        <f>_xlfn.XLOOKUP(A1231,'[1]Global_Spot Prices'!$B:$B,'[1]Global_Spot Prices'!$H:$H)</f>
        <v>58.05</v>
      </c>
      <c r="F1231">
        <f>_xlfn.XLOOKUP(A1231,'[1]Global_Spot Prices'!$B:$B,'[1]Global_Spot Prices'!$I:$I)</f>
        <v>72.760000000000005</v>
      </c>
      <c r="G1231" cm="1">
        <f t="array" ref="G1231">_xlfn.XLOOKUP(TEXT(A1231, "mmm-yy"), TEXT([2]RUNS!$B$5:$B$208, "mmm-yy"), [2]RUNS!$D$5:$D$208, "Not Found")</f>
        <v>30273.571130683948</v>
      </c>
      <c r="H1231" cm="1">
        <f t="array" ref="H1231">SUMPRODUCT(
    --(TEXT('[3]Global Weekly Stock (EWSuez'!$B$4:$B$2000,"mmm-yy")=TEXT(A1231,"mmm-yy")),
    '[3]Global Weekly Stock (EWSuez'!$E$4:$E$2000)
/
SUMPRODUCT(
    --(TEXT('[3]Global Weekly Stock (EWSuez'!$B$4:$B$2000,"mmm-yy")=TEXT(A1231,"mmm-yy"))
)</f>
        <v>10343.75</v>
      </c>
      <c r="I1231">
        <f>_xlfn.XLOOKUP(A1231,[1]ForwardDeriv!$D:$D,[1]ForwardDeriv!$AJ:$AJ)</f>
        <v>2.5</v>
      </c>
      <c r="J1231" cm="1">
        <f t="array" ref="J1231">_xlfn.XLOOKUP(TEXT(A1231, "mmm-yy"), TEXT([2]GASOLINE!$B$5:$B$208, "mmm-yy"), [2]GASOLINE!$IR$5:$IR$208, "Not Found")</f>
        <v>73.83495793694749</v>
      </c>
      <c r="K1231" cm="1">
        <f t="array" ref="K1231">_xlfn.XLOOKUP(TEXT(A1231, "mmm-yy"), TEXT([2]GASOLINE!$B$5:$B$208, "mmm-yy"), [2]GASOLINE!$IK$5:$IK$208, "Not Found")</f>
        <v>171.73958738399085</v>
      </c>
      <c r="L1231">
        <f t="shared" si="19"/>
        <v>1</v>
      </c>
      <c r="M1231" cm="1">
        <f t="array" ref="M1231">_xlfn.XLOOKUP(TEXT(A1231, "mmm-yy"), TEXT([2]GASOLINE!$B$5:$B$208, "mmm-yy"), [2]GASOLINE!$C$5:$C$208, "Not Found")</f>
        <v>7315.5430619778872</v>
      </c>
      <c r="N1231" cm="1">
        <f t="array" ref="N1231">_xlfn.XLOOKUP(TEXT(A1231, "mmm-yy"), TEXT([2]RUNS!$B$5:$B$208, "mmm-yy"), [2]RUNS!$BM$5:$BM$208, "Not Found")</f>
        <v>0.84314813734658145</v>
      </c>
    </row>
    <row r="1232" spans="1:14" x14ac:dyDescent="0.25">
      <c r="A1232" s="1">
        <f>'[1]Global_Spot Prices'!$B2541</f>
        <v>43727</v>
      </c>
      <c r="B1232">
        <f>_xlfn.XLOOKUP(A1232,'[1]Global_Spot Prices'!$B:$B,'[1]Global_Spot Prices'!$BS:$BS)</f>
        <v>10.284999999999997</v>
      </c>
      <c r="C1232">
        <f>_xlfn.XLOOKUP(A1232,'[1]Global_Spot Prices'!$B:$B,'[1]Global_Spot Prices'!$E:$E)</f>
        <v>63.204999999999998</v>
      </c>
      <c r="D1232">
        <f>_xlfn.XLOOKUP(A1232,'[1]Global_Spot Prices'!$B:$B,'[1]Global_Spot Prices'!$D:$D)</f>
        <v>64.495000000000005</v>
      </c>
      <c r="E1232">
        <f>_xlfn.XLOOKUP(A1232,'[1]Global_Spot Prices'!$B:$B,'[1]Global_Spot Prices'!$H:$H)</f>
        <v>56.72</v>
      </c>
      <c r="F1232">
        <f>_xlfn.XLOOKUP(A1232,'[1]Global_Spot Prices'!$B:$B,'[1]Global_Spot Prices'!$I:$I)</f>
        <v>73.489999999999995</v>
      </c>
      <c r="G1232" cm="1">
        <f t="array" ref="G1232">_xlfn.XLOOKUP(TEXT(A1232, "mmm-yy"), TEXT([2]RUNS!$B$5:$B$208, "mmm-yy"), [2]RUNS!$D$5:$D$208, "Not Found")</f>
        <v>30273.571130683948</v>
      </c>
      <c r="H1232" cm="1">
        <f t="array" ref="H1232">SUMPRODUCT(
    --(TEXT('[3]Global Weekly Stock (EWSuez'!$B$4:$B$2000,"mmm-yy")=TEXT(A1232,"mmm-yy")),
    '[3]Global Weekly Stock (EWSuez'!$E$4:$E$2000)
/
SUMPRODUCT(
    --(TEXT('[3]Global Weekly Stock (EWSuez'!$B$4:$B$2000,"mmm-yy")=TEXT(A1232,"mmm-yy"))
)</f>
        <v>10343.75</v>
      </c>
      <c r="I1232">
        <f>_xlfn.XLOOKUP(A1232,[1]ForwardDeriv!$D:$D,[1]ForwardDeriv!$AJ:$AJ)</f>
        <v>2.7199999999999989</v>
      </c>
      <c r="J1232" cm="1">
        <f t="array" ref="J1232">_xlfn.XLOOKUP(TEXT(A1232, "mmm-yy"), TEXT([2]GASOLINE!$B$5:$B$208, "mmm-yy"), [2]GASOLINE!$IR$5:$IR$208, "Not Found")</f>
        <v>73.83495793694749</v>
      </c>
      <c r="K1232" cm="1">
        <f t="array" ref="K1232">_xlfn.XLOOKUP(TEXT(A1232, "mmm-yy"), TEXT([2]GASOLINE!$B$5:$B$208, "mmm-yy"), [2]GASOLINE!$IK$5:$IK$208, "Not Found")</f>
        <v>171.73958738399085</v>
      </c>
      <c r="L1232">
        <f t="shared" si="19"/>
        <v>1</v>
      </c>
      <c r="M1232" cm="1">
        <f t="array" ref="M1232">_xlfn.XLOOKUP(TEXT(A1232, "mmm-yy"), TEXT([2]GASOLINE!$B$5:$B$208, "mmm-yy"), [2]GASOLINE!$C$5:$C$208, "Not Found")</f>
        <v>7315.5430619778872</v>
      </c>
      <c r="N1232" cm="1">
        <f t="array" ref="N1232">_xlfn.XLOOKUP(TEXT(A1232, "mmm-yy"), TEXT([2]RUNS!$B$5:$B$208, "mmm-yy"), [2]RUNS!$BM$5:$BM$208, "Not Found")</f>
        <v>0.84314813734658145</v>
      </c>
    </row>
    <row r="1233" spans="1:14" x14ac:dyDescent="0.25">
      <c r="A1233" s="1">
        <f>'[1]Global_Spot Prices'!$B2542</f>
        <v>43728</v>
      </c>
      <c r="B1233">
        <f>_xlfn.XLOOKUP(A1233,'[1]Global_Spot Prices'!$B:$B,'[1]Global_Spot Prices'!$BS:$BS)</f>
        <v>10.489999999999995</v>
      </c>
      <c r="C1233">
        <f>_xlfn.XLOOKUP(A1233,'[1]Global_Spot Prices'!$B:$B,'[1]Global_Spot Prices'!$E:$E)</f>
        <v>64.31</v>
      </c>
      <c r="D1233">
        <f>_xlfn.XLOOKUP(A1233,'[1]Global_Spot Prices'!$B:$B,'[1]Global_Spot Prices'!$D:$D)</f>
        <v>64.599999999999994</v>
      </c>
      <c r="E1233">
        <f>_xlfn.XLOOKUP(A1233,'[1]Global_Spot Prices'!$B:$B,'[1]Global_Spot Prices'!$H:$H)</f>
        <v>57.84</v>
      </c>
      <c r="F1233">
        <f>_xlfn.XLOOKUP(A1233,'[1]Global_Spot Prices'!$B:$B,'[1]Global_Spot Prices'!$I:$I)</f>
        <v>74.8</v>
      </c>
      <c r="G1233" cm="1">
        <f t="array" ref="G1233">_xlfn.XLOOKUP(TEXT(A1233, "mmm-yy"), TEXT([2]RUNS!$B$5:$B$208, "mmm-yy"), [2]RUNS!$D$5:$D$208, "Not Found")</f>
        <v>30273.571130683948</v>
      </c>
      <c r="H1233" cm="1">
        <f t="array" ref="H1233">SUMPRODUCT(
    --(TEXT('[3]Global Weekly Stock (EWSuez'!$B$4:$B$2000,"mmm-yy")=TEXT(A1233,"mmm-yy")),
    '[3]Global Weekly Stock (EWSuez'!$E$4:$E$2000)
/
SUMPRODUCT(
    --(TEXT('[3]Global Weekly Stock (EWSuez'!$B$4:$B$2000,"mmm-yy")=TEXT(A1233,"mmm-yy"))
)</f>
        <v>10343.75</v>
      </c>
      <c r="I1233">
        <f>_xlfn.XLOOKUP(A1233,[1]ForwardDeriv!$D:$D,[1]ForwardDeriv!$AJ:$AJ)</f>
        <v>2.8800000000000097</v>
      </c>
      <c r="J1233" cm="1">
        <f t="array" ref="J1233">_xlfn.XLOOKUP(TEXT(A1233, "mmm-yy"), TEXT([2]GASOLINE!$B$5:$B$208, "mmm-yy"), [2]GASOLINE!$IR$5:$IR$208, "Not Found")</f>
        <v>73.83495793694749</v>
      </c>
      <c r="K1233" cm="1">
        <f t="array" ref="K1233">_xlfn.XLOOKUP(TEXT(A1233, "mmm-yy"), TEXT([2]GASOLINE!$B$5:$B$208, "mmm-yy"), [2]GASOLINE!$IK$5:$IK$208, "Not Found")</f>
        <v>171.73958738399085</v>
      </c>
      <c r="L1233">
        <f t="shared" si="19"/>
        <v>1</v>
      </c>
      <c r="M1233" cm="1">
        <f t="array" ref="M1233">_xlfn.XLOOKUP(TEXT(A1233, "mmm-yy"), TEXT([2]GASOLINE!$B$5:$B$208, "mmm-yy"), [2]GASOLINE!$C$5:$C$208, "Not Found")</f>
        <v>7315.5430619778872</v>
      </c>
      <c r="N1233" cm="1">
        <f t="array" ref="N1233">_xlfn.XLOOKUP(TEXT(A1233, "mmm-yy"), TEXT([2]RUNS!$B$5:$B$208, "mmm-yy"), [2]RUNS!$BM$5:$BM$208, "Not Found")</f>
        <v>0.84314813734658145</v>
      </c>
    </row>
    <row r="1234" spans="1:14" x14ac:dyDescent="0.25">
      <c r="A1234" s="1">
        <f>'[1]Global_Spot Prices'!$B2543</f>
        <v>43731</v>
      </c>
      <c r="B1234">
        <f>_xlfn.XLOOKUP(A1234,'[1]Global_Spot Prices'!$B:$B,'[1]Global_Spot Prices'!$BS:$BS)</f>
        <v>8.7099999999999937</v>
      </c>
      <c r="C1234">
        <f>_xlfn.XLOOKUP(A1234,'[1]Global_Spot Prices'!$B:$B,'[1]Global_Spot Prices'!$E:$E)</f>
        <v>63.56</v>
      </c>
      <c r="D1234">
        <f>_xlfn.XLOOKUP(A1234,'[1]Global_Spot Prices'!$B:$B,'[1]Global_Spot Prices'!$D:$D)</f>
        <v>64.31</v>
      </c>
      <c r="E1234">
        <f>_xlfn.XLOOKUP(A1234,'[1]Global_Spot Prices'!$B:$B,'[1]Global_Spot Prices'!$H:$H)</f>
        <v>56.47</v>
      </c>
      <c r="F1234">
        <f>_xlfn.XLOOKUP(A1234,'[1]Global_Spot Prices'!$B:$B,'[1]Global_Spot Prices'!$I:$I)</f>
        <v>72.27</v>
      </c>
      <c r="G1234" cm="1">
        <f t="array" ref="G1234">_xlfn.XLOOKUP(TEXT(A1234, "mmm-yy"), TEXT([2]RUNS!$B$5:$B$208, "mmm-yy"), [2]RUNS!$D$5:$D$208, "Not Found")</f>
        <v>30273.571130683948</v>
      </c>
      <c r="H1234" cm="1">
        <f t="array" ref="H1234">SUMPRODUCT(
    --(TEXT('[3]Global Weekly Stock (EWSuez'!$B$4:$B$2000,"mmm-yy")=TEXT(A1234,"mmm-yy")),
    '[3]Global Weekly Stock (EWSuez'!$E$4:$E$2000)
/
SUMPRODUCT(
    --(TEXT('[3]Global Weekly Stock (EWSuez'!$B$4:$B$2000,"mmm-yy")=TEXT(A1234,"mmm-yy"))
)</f>
        <v>10343.75</v>
      </c>
      <c r="I1234">
        <f>_xlfn.XLOOKUP(A1234,[1]ForwardDeriv!$D:$D,[1]ForwardDeriv!$AJ:$AJ)</f>
        <v>2.4500000000000028</v>
      </c>
      <c r="J1234" cm="1">
        <f t="array" ref="J1234">_xlfn.XLOOKUP(TEXT(A1234, "mmm-yy"), TEXT([2]GASOLINE!$B$5:$B$208, "mmm-yy"), [2]GASOLINE!$IR$5:$IR$208, "Not Found")</f>
        <v>73.83495793694749</v>
      </c>
      <c r="K1234" cm="1">
        <f t="array" ref="K1234">_xlfn.XLOOKUP(TEXT(A1234, "mmm-yy"), TEXT([2]GASOLINE!$B$5:$B$208, "mmm-yy"), [2]GASOLINE!$IK$5:$IK$208, "Not Found")</f>
        <v>171.73958738399085</v>
      </c>
      <c r="L1234">
        <f t="shared" si="19"/>
        <v>1</v>
      </c>
      <c r="M1234" cm="1">
        <f t="array" ref="M1234">_xlfn.XLOOKUP(TEXT(A1234, "mmm-yy"), TEXT([2]GASOLINE!$B$5:$B$208, "mmm-yy"), [2]GASOLINE!$C$5:$C$208, "Not Found")</f>
        <v>7315.5430619778872</v>
      </c>
      <c r="N1234" cm="1">
        <f t="array" ref="N1234">_xlfn.XLOOKUP(TEXT(A1234, "mmm-yy"), TEXT([2]RUNS!$B$5:$B$208, "mmm-yy"), [2]RUNS!$BM$5:$BM$208, "Not Found")</f>
        <v>0.84314813734658145</v>
      </c>
    </row>
    <row r="1235" spans="1:14" x14ac:dyDescent="0.25">
      <c r="A1235" s="1">
        <f>'[1]Global_Spot Prices'!$B2544</f>
        <v>43732</v>
      </c>
      <c r="B1235">
        <f ca="1">_xlfn.XLOOKUP(A1235,'[1]Global_Spot Prices'!$B:$B,'[1]Global_Spot Prices'!$BS:$BS)</f>
        <v>8.3200000000000074</v>
      </c>
      <c r="C1235">
        <f ca="1">_xlfn.XLOOKUP(A1235,'[1]Global_Spot Prices'!$B:$B,'[1]Global_Spot Prices'!$E:$E)</f>
        <v>63.44</v>
      </c>
      <c r="D1235">
        <f>_xlfn.XLOOKUP(A1235,'[1]Global_Spot Prices'!$B:$B,'[1]Global_Spot Prices'!$D:$D)</f>
        <v>64.03</v>
      </c>
      <c r="E1235">
        <f>_xlfn.XLOOKUP(A1235,'[1]Global_Spot Prices'!$B:$B,'[1]Global_Spot Prices'!$H:$H)</f>
        <v>56.18</v>
      </c>
      <c r="F1235">
        <f>_xlfn.XLOOKUP(A1235,'[1]Global_Spot Prices'!$B:$B,'[1]Global_Spot Prices'!$I:$I)</f>
        <v>71.760000000000005</v>
      </c>
      <c r="G1235" cm="1">
        <f t="array" ref="G1235">_xlfn.XLOOKUP(TEXT(A1235, "mmm-yy"), TEXT([2]RUNS!$B$5:$B$208, "mmm-yy"), [2]RUNS!$D$5:$D$208, "Not Found")</f>
        <v>30273.571130683948</v>
      </c>
      <c r="H1235" cm="1">
        <f t="array" ref="H1235">SUMPRODUCT(
    --(TEXT('[3]Global Weekly Stock (EWSuez'!$B$4:$B$2000,"mmm-yy")=TEXT(A1235,"mmm-yy")),
    '[3]Global Weekly Stock (EWSuez'!$E$4:$E$2000)
/
SUMPRODUCT(
    --(TEXT('[3]Global Weekly Stock (EWSuez'!$B$4:$B$2000,"mmm-yy")=TEXT(A1235,"mmm-yy"))
)</f>
        <v>10343.75</v>
      </c>
      <c r="I1235">
        <f>_xlfn.XLOOKUP(A1235,[1]ForwardDeriv!$D:$D,[1]ForwardDeriv!$AJ:$AJ)</f>
        <v>2.4100000000000108</v>
      </c>
      <c r="J1235" cm="1">
        <f t="array" ref="J1235">_xlfn.XLOOKUP(TEXT(A1235, "mmm-yy"), TEXT([2]GASOLINE!$B$5:$B$208, "mmm-yy"), [2]GASOLINE!$IR$5:$IR$208, "Not Found")</f>
        <v>73.83495793694749</v>
      </c>
      <c r="K1235" cm="1">
        <f t="array" ref="K1235">_xlfn.XLOOKUP(TEXT(A1235, "mmm-yy"), TEXT([2]GASOLINE!$B$5:$B$208, "mmm-yy"), [2]GASOLINE!$IK$5:$IK$208, "Not Found")</f>
        <v>171.73958738399085</v>
      </c>
      <c r="L1235">
        <f t="shared" si="19"/>
        <v>1</v>
      </c>
      <c r="M1235" cm="1">
        <f t="array" ref="M1235">_xlfn.XLOOKUP(TEXT(A1235, "mmm-yy"), TEXT([2]GASOLINE!$B$5:$B$208, "mmm-yy"), [2]GASOLINE!$C$5:$C$208, "Not Found")</f>
        <v>7315.5430619778872</v>
      </c>
      <c r="N1235" cm="1">
        <f t="array" ref="N1235">_xlfn.XLOOKUP(TEXT(A1235, "mmm-yy"), TEXT([2]RUNS!$B$5:$B$208, "mmm-yy"), [2]RUNS!$BM$5:$BM$208, "Not Found")</f>
        <v>0.84314813734658145</v>
      </c>
    </row>
    <row r="1236" spans="1:14" x14ac:dyDescent="0.25">
      <c r="A1236" s="1">
        <f>'[1]Global_Spot Prices'!$B2545</f>
        <v>43733</v>
      </c>
      <c r="B1236">
        <f>_xlfn.XLOOKUP(A1236,'[1]Global_Spot Prices'!$B:$B,'[1]Global_Spot Prices'!$BS:$BS)</f>
        <v>7.4200000000000017</v>
      </c>
      <c r="C1236">
        <f>_xlfn.XLOOKUP(A1236,'[1]Global_Spot Prices'!$B:$B,'[1]Global_Spot Prices'!$E:$E)</f>
        <v>61.55</v>
      </c>
      <c r="D1236">
        <f>_xlfn.XLOOKUP(A1236,'[1]Global_Spot Prices'!$B:$B,'[1]Global_Spot Prices'!$D:$D)</f>
        <v>62.284999999999997</v>
      </c>
      <c r="E1236">
        <f>_xlfn.XLOOKUP(A1236,'[1]Global_Spot Prices'!$B:$B,'[1]Global_Spot Prices'!$H:$H)</f>
        <v>54.35</v>
      </c>
      <c r="F1236">
        <f>_xlfn.XLOOKUP(A1236,'[1]Global_Spot Prices'!$B:$B,'[1]Global_Spot Prices'!$I:$I)</f>
        <v>68.97</v>
      </c>
      <c r="G1236" cm="1">
        <f t="array" ref="G1236">_xlfn.XLOOKUP(TEXT(A1236, "mmm-yy"), TEXT([2]RUNS!$B$5:$B$208, "mmm-yy"), [2]RUNS!$D$5:$D$208, "Not Found")</f>
        <v>30273.571130683948</v>
      </c>
      <c r="H1236" cm="1">
        <f t="array" ref="H1236">SUMPRODUCT(
    --(TEXT('[3]Global Weekly Stock (EWSuez'!$B$4:$B$2000,"mmm-yy")=TEXT(A1236,"mmm-yy")),
    '[3]Global Weekly Stock (EWSuez'!$E$4:$E$2000)
/
SUMPRODUCT(
    --(TEXT('[3]Global Weekly Stock (EWSuez'!$B$4:$B$2000,"mmm-yy")=TEXT(A1236,"mmm-yy"))
)</f>
        <v>10343.75</v>
      </c>
      <c r="I1236">
        <f>_xlfn.XLOOKUP(A1236,[1]ForwardDeriv!$D:$D,[1]ForwardDeriv!$AJ:$AJ)</f>
        <v>2.3499999999999943</v>
      </c>
      <c r="J1236" cm="1">
        <f t="array" ref="J1236">_xlfn.XLOOKUP(TEXT(A1236, "mmm-yy"), TEXT([2]GASOLINE!$B$5:$B$208, "mmm-yy"), [2]GASOLINE!$IR$5:$IR$208, "Not Found")</f>
        <v>73.83495793694749</v>
      </c>
      <c r="K1236" cm="1">
        <f t="array" ref="K1236">_xlfn.XLOOKUP(TEXT(A1236, "mmm-yy"), TEXT([2]GASOLINE!$B$5:$B$208, "mmm-yy"), [2]GASOLINE!$IK$5:$IK$208, "Not Found")</f>
        <v>171.73958738399085</v>
      </c>
      <c r="L1236">
        <f t="shared" si="19"/>
        <v>1</v>
      </c>
      <c r="M1236" cm="1">
        <f t="array" ref="M1236">_xlfn.XLOOKUP(TEXT(A1236, "mmm-yy"), TEXT([2]GASOLINE!$B$5:$B$208, "mmm-yy"), [2]GASOLINE!$C$5:$C$208, "Not Found")</f>
        <v>7315.5430619778872</v>
      </c>
      <c r="N1236" cm="1">
        <f t="array" ref="N1236">_xlfn.XLOOKUP(TEXT(A1236, "mmm-yy"), TEXT([2]RUNS!$B$5:$B$208, "mmm-yy"), [2]RUNS!$BM$5:$BM$208, "Not Found")</f>
        <v>0.84314813734658145</v>
      </c>
    </row>
    <row r="1237" spans="1:14" x14ac:dyDescent="0.25">
      <c r="A1237" s="1">
        <f>'[1]Global_Spot Prices'!$B2546</f>
        <v>43734</v>
      </c>
      <c r="B1237">
        <f>_xlfn.XLOOKUP(A1237,'[1]Global_Spot Prices'!$B:$B,'[1]Global_Spot Prices'!$BS:$BS)</f>
        <v>6.9200000000000017</v>
      </c>
      <c r="C1237">
        <f>_xlfn.XLOOKUP(A1237,'[1]Global_Spot Prices'!$B:$B,'[1]Global_Spot Prices'!$E:$E)</f>
        <v>61.75</v>
      </c>
      <c r="D1237">
        <f ca="1">_xlfn.XLOOKUP(A1237,'[1]Global_Spot Prices'!$B:$B,'[1]Global_Spot Prices'!$D:$D)</f>
        <v>62.145000000000003</v>
      </c>
      <c r="E1237">
        <f ca="1">_xlfn.XLOOKUP(A1237,'[1]Global_Spot Prices'!$B:$B,'[1]Global_Spot Prices'!$H:$H)</f>
        <v>55.27</v>
      </c>
      <c r="F1237">
        <f>_xlfn.XLOOKUP(A1237,'[1]Global_Spot Prices'!$B:$B,'[1]Global_Spot Prices'!$I:$I)</f>
        <v>68.67</v>
      </c>
      <c r="G1237" cm="1">
        <f t="array" ref="G1237">_xlfn.XLOOKUP(TEXT(A1237, "mmm-yy"), TEXT([2]RUNS!$B$5:$B$208, "mmm-yy"), [2]RUNS!$D$5:$D$208, "Not Found")</f>
        <v>30273.571130683948</v>
      </c>
      <c r="H1237" cm="1">
        <f t="array" ref="H1237">SUMPRODUCT(
    --(TEXT('[3]Global Weekly Stock (EWSuez'!$B$4:$B$2000,"mmm-yy")=TEXT(A1237,"mmm-yy")),
    '[3]Global Weekly Stock (EWSuez'!$E$4:$E$2000)
/
SUMPRODUCT(
    --(TEXT('[3]Global Weekly Stock (EWSuez'!$B$4:$B$2000,"mmm-yy")=TEXT(A1237,"mmm-yy"))
)</f>
        <v>10343.75</v>
      </c>
      <c r="I1237">
        <f>_xlfn.XLOOKUP(A1237,[1]ForwardDeriv!$D:$D,[1]ForwardDeriv!$AJ:$AJ)</f>
        <v>2.1499999999999915</v>
      </c>
      <c r="J1237" cm="1">
        <f t="array" ref="J1237">_xlfn.XLOOKUP(TEXT(A1237, "mmm-yy"), TEXT([2]GASOLINE!$B$5:$B$208, "mmm-yy"), [2]GASOLINE!$IR$5:$IR$208, "Not Found")</f>
        <v>73.83495793694749</v>
      </c>
      <c r="K1237" cm="1">
        <f t="array" ref="K1237">_xlfn.XLOOKUP(TEXT(A1237, "mmm-yy"), TEXT([2]GASOLINE!$B$5:$B$208, "mmm-yy"), [2]GASOLINE!$IK$5:$IK$208, "Not Found")</f>
        <v>171.73958738399085</v>
      </c>
      <c r="L1237">
        <f t="shared" si="19"/>
        <v>1</v>
      </c>
      <c r="M1237" cm="1">
        <f t="array" ref="M1237">_xlfn.XLOOKUP(TEXT(A1237, "mmm-yy"), TEXT([2]GASOLINE!$B$5:$B$208, "mmm-yy"), [2]GASOLINE!$C$5:$C$208, "Not Found")</f>
        <v>7315.5430619778872</v>
      </c>
      <c r="N1237" cm="1">
        <f t="array" ref="N1237">_xlfn.XLOOKUP(TEXT(A1237, "mmm-yy"), TEXT([2]RUNS!$B$5:$B$208, "mmm-yy"), [2]RUNS!$BM$5:$BM$208, "Not Found")</f>
        <v>0.84314813734658145</v>
      </c>
    </row>
    <row r="1238" spans="1:14" x14ac:dyDescent="0.25">
      <c r="A1238" s="1">
        <f>'[1]Global_Spot Prices'!$B2547</f>
        <v>43735</v>
      </c>
      <c r="B1238">
        <f>_xlfn.XLOOKUP(A1238,'[1]Global_Spot Prices'!$B:$B,'[1]Global_Spot Prices'!$BS:$BS)</f>
        <v>7.8900000000000006</v>
      </c>
      <c r="C1238">
        <f>_xlfn.XLOOKUP(A1238,'[1]Global_Spot Prices'!$B:$B,'[1]Global_Spot Prices'!$E:$E)</f>
        <v>62.06</v>
      </c>
      <c r="D1238">
        <f>_xlfn.XLOOKUP(A1238,'[1]Global_Spot Prices'!$B:$B,'[1]Global_Spot Prices'!$D:$D)</f>
        <v>62.575000000000003</v>
      </c>
      <c r="E1238">
        <f>_xlfn.XLOOKUP(A1238,'[1]Global_Spot Prices'!$B:$B,'[1]Global_Spot Prices'!$H:$H)</f>
        <v>56.4</v>
      </c>
      <c r="F1238">
        <f>_xlfn.XLOOKUP(A1238,'[1]Global_Spot Prices'!$B:$B,'[1]Global_Spot Prices'!$I:$I)</f>
        <v>69.95</v>
      </c>
      <c r="G1238" cm="1">
        <f t="array" ref="G1238">_xlfn.XLOOKUP(TEXT(A1238, "mmm-yy"), TEXT([2]RUNS!$B$5:$B$208, "mmm-yy"), [2]RUNS!$D$5:$D$208, "Not Found")</f>
        <v>30273.571130683948</v>
      </c>
      <c r="H1238" cm="1">
        <f t="array" ref="H1238">SUMPRODUCT(
    --(TEXT('[3]Global Weekly Stock (EWSuez'!$B$4:$B$2000,"mmm-yy")=TEXT(A1238,"mmm-yy")),
    '[3]Global Weekly Stock (EWSuez'!$E$4:$E$2000)
/
SUMPRODUCT(
    --(TEXT('[3]Global Weekly Stock (EWSuez'!$B$4:$B$2000,"mmm-yy")=TEXT(A1238,"mmm-yy"))
)</f>
        <v>10343.75</v>
      </c>
      <c r="I1238">
        <f>_xlfn.XLOOKUP(A1238,[1]ForwardDeriv!$D:$D,[1]ForwardDeriv!$AJ:$AJ)</f>
        <v>2.4199999999999875</v>
      </c>
      <c r="J1238" cm="1">
        <f t="array" ref="J1238">_xlfn.XLOOKUP(TEXT(A1238, "mmm-yy"), TEXT([2]GASOLINE!$B$5:$B$208, "mmm-yy"), [2]GASOLINE!$IR$5:$IR$208, "Not Found")</f>
        <v>73.83495793694749</v>
      </c>
      <c r="K1238" cm="1">
        <f t="array" ref="K1238">_xlfn.XLOOKUP(TEXT(A1238, "mmm-yy"), TEXT([2]GASOLINE!$B$5:$B$208, "mmm-yy"), [2]GASOLINE!$IK$5:$IK$208, "Not Found")</f>
        <v>171.73958738399085</v>
      </c>
      <c r="L1238">
        <f t="shared" si="19"/>
        <v>1</v>
      </c>
      <c r="M1238" cm="1">
        <f t="array" ref="M1238">_xlfn.XLOOKUP(TEXT(A1238, "mmm-yy"), TEXT([2]GASOLINE!$B$5:$B$208, "mmm-yy"), [2]GASOLINE!$C$5:$C$208, "Not Found")</f>
        <v>7315.5430619778872</v>
      </c>
      <c r="N1238" cm="1">
        <f t="array" ref="N1238">_xlfn.XLOOKUP(TEXT(A1238, "mmm-yy"), TEXT([2]RUNS!$B$5:$B$208, "mmm-yy"), [2]RUNS!$BM$5:$BM$208, "Not Found")</f>
        <v>0.84314813734658145</v>
      </c>
    </row>
    <row r="1239" spans="1:14" x14ac:dyDescent="0.25">
      <c r="A1239" s="1">
        <f>'[1]Global_Spot Prices'!$B2548</f>
        <v>43738</v>
      </c>
      <c r="B1239">
        <f>_xlfn.XLOOKUP(A1239,'[1]Global_Spot Prices'!$B:$B,'[1]Global_Spot Prices'!$BS:$BS)</f>
        <v>7.8099999999999952</v>
      </c>
      <c r="C1239">
        <f>_xlfn.XLOOKUP(A1239,'[1]Global_Spot Prices'!$B:$B,'[1]Global_Spot Prices'!$E:$E)</f>
        <v>60.9</v>
      </c>
      <c r="D1239">
        <f>_xlfn.XLOOKUP(A1239,'[1]Global_Spot Prices'!$B:$B,'[1]Global_Spot Prices'!$D:$D)</f>
        <v>60.91</v>
      </c>
      <c r="E1239">
        <f>_xlfn.XLOOKUP(A1239,'[1]Global_Spot Prices'!$B:$B,'[1]Global_Spot Prices'!$H:$H)</f>
        <v>55.63</v>
      </c>
      <c r="F1239">
        <f>_xlfn.XLOOKUP(A1239,'[1]Global_Spot Prices'!$B:$B,'[1]Global_Spot Prices'!$I:$I)</f>
        <v>68.709999999999994</v>
      </c>
      <c r="G1239" cm="1">
        <f t="array" ref="G1239">_xlfn.XLOOKUP(TEXT(A1239, "mmm-yy"), TEXT([2]RUNS!$B$5:$B$208, "mmm-yy"), [2]RUNS!$D$5:$D$208, "Not Found")</f>
        <v>30273.571130683948</v>
      </c>
      <c r="H1239" cm="1">
        <f t="array" ref="H1239">SUMPRODUCT(
    --(TEXT('[3]Global Weekly Stock (EWSuez'!$B$4:$B$2000,"mmm-yy")=TEXT(A1239,"mmm-yy")),
    '[3]Global Weekly Stock (EWSuez'!$E$4:$E$2000)
/
SUMPRODUCT(
    --(TEXT('[3]Global Weekly Stock (EWSuez'!$B$4:$B$2000,"mmm-yy")=TEXT(A1239,"mmm-yy"))
)</f>
        <v>10343.75</v>
      </c>
      <c r="I1239">
        <f>_xlfn.XLOOKUP(A1239,[1]ForwardDeriv!$D:$D,[1]ForwardDeriv!$AJ:$AJ)</f>
        <v>2.5999999999999943</v>
      </c>
      <c r="J1239" cm="1">
        <f t="array" ref="J1239">_xlfn.XLOOKUP(TEXT(A1239, "mmm-yy"), TEXT([2]GASOLINE!$B$5:$B$208, "mmm-yy"), [2]GASOLINE!$IR$5:$IR$208, "Not Found")</f>
        <v>73.83495793694749</v>
      </c>
      <c r="K1239" cm="1">
        <f t="array" ref="K1239">_xlfn.XLOOKUP(TEXT(A1239, "mmm-yy"), TEXT([2]GASOLINE!$B$5:$B$208, "mmm-yy"), [2]GASOLINE!$IK$5:$IK$208, "Not Found")</f>
        <v>171.73958738399085</v>
      </c>
      <c r="L1239">
        <f t="shared" si="19"/>
        <v>1</v>
      </c>
      <c r="M1239" cm="1">
        <f t="array" ref="M1239">_xlfn.XLOOKUP(TEXT(A1239, "mmm-yy"), TEXT([2]GASOLINE!$B$5:$B$208, "mmm-yy"), [2]GASOLINE!$C$5:$C$208, "Not Found")</f>
        <v>7315.5430619778872</v>
      </c>
      <c r="N1239" cm="1">
        <f t="array" ref="N1239">_xlfn.XLOOKUP(TEXT(A1239, "mmm-yy"), TEXT([2]RUNS!$B$5:$B$208, "mmm-yy"), [2]RUNS!$BM$5:$BM$208, "Not Found")</f>
        <v>0.84314813734658145</v>
      </c>
    </row>
    <row r="1240" spans="1:14" x14ac:dyDescent="0.25">
      <c r="A1240" s="1">
        <f>'[1]Global_Spot Prices'!$B2549</f>
        <v>43739</v>
      </c>
      <c r="B1240">
        <f>_xlfn.XLOOKUP(A1240,'[1]Global_Spot Prices'!$B:$B,'[1]Global_Spot Prices'!$BS:$BS)</f>
        <v>8.9899999999999949</v>
      </c>
      <c r="C1240">
        <f>_xlfn.XLOOKUP(A1240,'[1]Global_Spot Prices'!$B:$B,'[1]Global_Spot Prices'!$E:$E)</f>
        <v>59.2</v>
      </c>
      <c r="D1240">
        <f ca="1">_xlfn.XLOOKUP(A1240,'[1]Global_Spot Prices'!$B:$B,'[1]Global_Spot Prices'!$D:$D)</f>
        <v>59.954999999999998</v>
      </c>
      <c r="E1240">
        <f>_xlfn.XLOOKUP(A1240,'[1]Global_Spot Prices'!$B:$B,'[1]Global_Spot Prices'!$H:$H)</f>
        <v>55.52</v>
      </c>
      <c r="F1240">
        <f>_xlfn.XLOOKUP(A1240,'[1]Global_Spot Prices'!$B:$B,'[1]Global_Spot Prices'!$I:$I)</f>
        <v>68.19</v>
      </c>
      <c r="G1240" cm="1">
        <f t="array" ref="G1240">_xlfn.XLOOKUP(TEXT(A1240, "mmm-yy"), TEXT([2]RUNS!$B$5:$B$208, "mmm-yy"), [2]RUNS!$D$5:$D$208, "Not Found")</f>
        <v>29415.119573986973</v>
      </c>
      <c r="H1240" cm="1">
        <f t="array" ref="H1240">SUMPRODUCT(
    --(TEXT('[3]Global Weekly Stock (EWSuez'!$B$4:$B$2000,"mmm-yy")=TEXT(A1240,"mmm-yy")),
    '[3]Global Weekly Stock (EWSuez'!$E$4:$E$2000)
/
SUMPRODUCT(
    --(TEXT('[3]Global Weekly Stock (EWSuez'!$B$4:$B$2000,"mmm-yy")=TEXT(A1240,"mmm-yy"))
)</f>
        <v>10865.5</v>
      </c>
      <c r="I1240">
        <f>_xlfn.XLOOKUP(A1240,[1]ForwardDeriv!$D:$D,[1]ForwardDeriv!$AJ:$AJ)</f>
        <v>1.6000000000000014</v>
      </c>
      <c r="J1240" cm="1">
        <f t="array" ref="J1240">_xlfn.XLOOKUP(TEXT(A1240, "mmm-yy"), TEXT([2]GASOLINE!$B$5:$B$208, "mmm-yy"), [2]GASOLINE!$IR$5:$IR$208, "Not Found")</f>
        <v>-77.691054157079122</v>
      </c>
      <c r="K1240" cm="1">
        <f t="array" ref="K1240">_xlfn.XLOOKUP(TEXT(A1240, "mmm-yy"), TEXT([2]GASOLINE!$B$5:$B$208, "mmm-yy"), [2]GASOLINE!$IK$5:$IK$208, "Not Found")</f>
        <v>171.08529940707612</v>
      </c>
      <c r="L1240">
        <f t="shared" si="19"/>
        <v>0</v>
      </c>
      <c r="M1240" cm="1">
        <f t="array" ref="M1240">_xlfn.XLOOKUP(TEXT(A1240, "mmm-yy"), TEXT([2]GASOLINE!$B$5:$B$208, "mmm-yy"), [2]GASOLINE!$C$5:$C$208, "Not Found")</f>
        <v>7355.6226273161701</v>
      </c>
      <c r="N1240" cm="1">
        <f t="array" ref="N1240">_xlfn.XLOOKUP(TEXT(A1240, "mmm-yy"), TEXT([2]RUNS!$B$5:$B$208, "mmm-yy"), [2]RUNS!$BM$5:$BM$208, "Not Found")</f>
        <v>0.81923943401234833</v>
      </c>
    </row>
    <row r="1241" spans="1:14" x14ac:dyDescent="0.25">
      <c r="A1241" s="1">
        <f>'[1]Global_Spot Prices'!$B2550</f>
        <v>43740</v>
      </c>
      <c r="B1241">
        <f>_xlfn.XLOOKUP(A1241,'[1]Global_Spot Prices'!$B:$B,'[1]Global_Spot Prices'!$BS:$BS)</f>
        <v>9.2299999999999969</v>
      </c>
      <c r="C1241">
        <f>_xlfn.XLOOKUP(A1241,'[1]Global_Spot Prices'!$B:$B,'[1]Global_Spot Prices'!$E:$E)</f>
        <v>58.65</v>
      </c>
      <c r="D1241">
        <f>_xlfn.XLOOKUP(A1241,'[1]Global_Spot Prices'!$B:$B,'[1]Global_Spot Prices'!$D:$D)</f>
        <v>58.05</v>
      </c>
      <c r="E1241">
        <f>_xlfn.XLOOKUP(A1241,'[1]Global_Spot Prices'!$B:$B,'[1]Global_Spot Prices'!$H:$H)</f>
        <v>55.74</v>
      </c>
      <c r="F1241">
        <f>_xlfn.XLOOKUP(A1241,'[1]Global_Spot Prices'!$B:$B,'[1]Global_Spot Prices'!$I:$I)</f>
        <v>67.88</v>
      </c>
      <c r="G1241" cm="1">
        <f t="array" ref="G1241">_xlfn.XLOOKUP(TEXT(A1241, "mmm-yy"), TEXT([2]RUNS!$B$5:$B$208, "mmm-yy"), [2]RUNS!$D$5:$D$208, "Not Found")</f>
        <v>29415.119573986973</v>
      </c>
      <c r="H1241" cm="1">
        <f t="array" ref="H1241">SUMPRODUCT(
    --(TEXT('[3]Global Weekly Stock (EWSuez'!$B$4:$B$2000,"mmm-yy")=TEXT(A1241,"mmm-yy")),
    '[3]Global Weekly Stock (EWSuez'!$E$4:$E$2000)
/
SUMPRODUCT(
    --(TEXT('[3]Global Weekly Stock (EWSuez'!$B$4:$B$2000,"mmm-yy")=TEXT(A1241,"mmm-yy"))
)</f>
        <v>10865.5</v>
      </c>
      <c r="I1241">
        <f>_xlfn.XLOOKUP(A1241,[1]ForwardDeriv!$D:$D,[1]ForwardDeriv!$AJ:$AJ)</f>
        <v>1.6299999999999955</v>
      </c>
      <c r="J1241" cm="1">
        <f t="array" ref="J1241">_xlfn.XLOOKUP(TEXT(A1241, "mmm-yy"), TEXT([2]GASOLINE!$B$5:$B$208, "mmm-yy"), [2]GASOLINE!$IR$5:$IR$208, "Not Found")</f>
        <v>-77.691054157079122</v>
      </c>
      <c r="K1241" cm="1">
        <f t="array" ref="K1241">_xlfn.XLOOKUP(TEXT(A1241, "mmm-yy"), TEXT([2]GASOLINE!$B$5:$B$208, "mmm-yy"), [2]GASOLINE!$IK$5:$IK$208, "Not Found")</f>
        <v>171.08529940707612</v>
      </c>
      <c r="L1241">
        <f t="shared" si="19"/>
        <v>0</v>
      </c>
      <c r="M1241" cm="1">
        <f t="array" ref="M1241">_xlfn.XLOOKUP(TEXT(A1241, "mmm-yy"), TEXT([2]GASOLINE!$B$5:$B$208, "mmm-yy"), [2]GASOLINE!$C$5:$C$208, "Not Found")</f>
        <v>7355.6226273161701</v>
      </c>
      <c r="N1241" cm="1">
        <f t="array" ref="N1241">_xlfn.XLOOKUP(TEXT(A1241, "mmm-yy"), TEXT([2]RUNS!$B$5:$B$208, "mmm-yy"), [2]RUNS!$BM$5:$BM$208, "Not Found")</f>
        <v>0.81923943401234833</v>
      </c>
    </row>
    <row r="1242" spans="1:14" x14ac:dyDescent="0.25">
      <c r="A1242" s="1">
        <f>'[1]Global_Spot Prices'!$B2551</f>
        <v>43741</v>
      </c>
      <c r="B1242">
        <f>_xlfn.XLOOKUP(A1242,'[1]Global_Spot Prices'!$B:$B,'[1]Global_Spot Prices'!$BS:$BS)</f>
        <v>10.149999999999999</v>
      </c>
      <c r="C1242">
        <f>_xlfn.XLOOKUP(A1242,'[1]Global_Spot Prices'!$B:$B,'[1]Global_Spot Prices'!$E:$E)</f>
        <v>57.4</v>
      </c>
      <c r="D1242">
        <f>_xlfn.XLOOKUP(A1242,'[1]Global_Spot Prices'!$B:$B,'[1]Global_Spot Prices'!$D:$D)</f>
        <v>57.81</v>
      </c>
      <c r="E1242">
        <f>_xlfn.XLOOKUP(A1242,'[1]Global_Spot Prices'!$B:$B,'[1]Global_Spot Prices'!$H:$H)</f>
        <v>54.16</v>
      </c>
      <c r="F1242">
        <f>_xlfn.XLOOKUP(A1242,'[1]Global_Spot Prices'!$B:$B,'[1]Global_Spot Prices'!$I:$I)</f>
        <v>67.55</v>
      </c>
      <c r="G1242" cm="1">
        <f t="array" ref="G1242">_xlfn.XLOOKUP(TEXT(A1242, "mmm-yy"), TEXT([2]RUNS!$B$5:$B$208, "mmm-yy"), [2]RUNS!$D$5:$D$208, "Not Found")</f>
        <v>29415.119573986973</v>
      </c>
      <c r="H1242" cm="1">
        <f t="array" ref="H1242">SUMPRODUCT(
    --(TEXT('[3]Global Weekly Stock (EWSuez'!$B$4:$B$2000,"mmm-yy")=TEXT(A1242,"mmm-yy")),
    '[3]Global Weekly Stock (EWSuez'!$E$4:$E$2000)
/
SUMPRODUCT(
    --(TEXT('[3]Global Weekly Stock (EWSuez'!$B$4:$B$2000,"mmm-yy")=TEXT(A1242,"mmm-yy"))
)</f>
        <v>10865.5</v>
      </c>
      <c r="I1242">
        <f>_xlfn.XLOOKUP(A1242,[1]ForwardDeriv!$D:$D,[1]ForwardDeriv!$AJ:$AJ)</f>
        <v>1.9500000000000028</v>
      </c>
      <c r="J1242" cm="1">
        <f t="array" ref="J1242">_xlfn.XLOOKUP(TEXT(A1242, "mmm-yy"), TEXT([2]GASOLINE!$B$5:$B$208, "mmm-yy"), [2]GASOLINE!$IR$5:$IR$208, "Not Found")</f>
        <v>-77.691054157079122</v>
      </c>
      <c r="K1242" cm="1">
        <f t="array" ref="K1242">_xlfn.XLOOKUP(TEXT(A1242, "mmm-yy"), TEXT([2]GASOLINE!$B$5:$B$208, "mmm-yy"), [2]GASOLINE!$IK$5:$IK$208, "Not Found")</f>
        <v>171.08529940707612</v>
      </c>
      <c r="L1242">
        <f t="shared" si="19"/>
        <v>0</v>
      </c>
      <c r="M1242" cm="1">
        <f t="array" ref="M1242">_xlfn.XLOOKUP(TEXT(A1242, "mmm-yy"), TEXT([2]GASOLINE!$B$5:$B$208, "mmm-yy"), [2]GASOLINE!$C$5:$C$208, "Not Found")</f>
        <v>7355.6226273161701</v>
      </c>
      <c r="N1242" cm="1">
        <f t="array" ref="N1242">_xlfn.XLOOKUP(TEXT(A1242, "mmm-yy"), TEXT([2]RUNS!$B$5:$B$208, "mmm-yy"), [2]RUNS!$BM$5:$BM$208, "Not Found")</f>
        <v>0.81923943401234833</v>
      </c>
    </row>
    <row r="1243" spans="1:14" x14ac:dyDescent="0.25">
      <c r="A1243" s="1">
        <f>'[1]Global_Spot Prices'!$B2552</f>
        <v>43742</v>
      </c>
      <c r="B1243">
        <f>_xlfn.XLOOKUP(A1243,'[1]Global_Spot Prices'!$B:$B,'[1]Global_Spot Prices'!$BS:$BS)</f>
        <v>11.499999999999993</v>
      </c>
      <c r="C1243">
        <f>_xlfn.XLOOKUP(A1243,'[1]Global_Spot Prices'!$B:$B,'[1]Global_Spot Prices'!$E:$E)</f>
        <v>57.85</v>
      </c>
      <c r="D1243">
        <f>_xlfn.XLOOKUP(A1243,'[1]Global_Spot Prices'!$B:$B,'[1]Global_Spot Prices'!$D:$D)</f>
        <v>58.875</v>
      </c>
      <c r="E1243">
        <f>_xlfn.XLOOKUP(A1243,'[1]Global_Spot Prices'!$B:$B,'[1]Global_Spot Prices'!$H:$H)</f>
        <v>54.4</v>
      </c>
      <c r="F1243">
        <f>_xlfn.XLOOKUP(A1243,'[1]Global_Spot Prices'!$B:$B,'[1]Global_Spot Prices'!$I:$I)</f>
        <v>69.349999999999994</v>
      </c>
      <c r="G1243" cm="1">
        <f t="array" ref="G1243">_xlfn.XLOOKUP(TEXT(A1243, "mmm-yy"), TEXT([2]RUNS!$B$5:$B$208, "mmm-yy"), [2]RUNS!$D$5:$D$208, "Not Found")</f>
        <v>29415.119573986973</v>
      </c>
      <c r="H1243" cm="1">
        <f t="array" ref="H1243">SUMPRODUCT(
    --(TEXT('[3]Global Weekly Stock (EWSuez'!$B$4:$B$2000,"mmm-yy")=TEXT(A1243,"mmm-yy")),
    '[3]Global Weekly Stock (EWSuez'!$E$4:$E$2000)
/
SUMPRODUCT(
    --(TEXT('[3]Global Weekly Stock (EWSuez'!$B$4:$B$2000,"mmm-yy")=TEXT(A1243,"mmm-yy"))
)</f>
        <v>10865.5</v>
      </c>
      <c r="I1243">
        <f>_xlfn.XLOOKUP(A1243,[1]ForwardDeriv!$D:$D,[1]ForwardDeriv!$AJ:$AJ)</f>
        <v>2.0500000000000043</v>
      </c>
      <c r="J1243" cm="1">
        <f t="array" ref="J1243">_xlfn.XLOOKUP(TEXT(A1243, "mmm-yy"), TEXT([2]GASOLINE!$B$5:$B$208, "mmm-yy"), [2]GASOLINE!$IR$5:$IR$208, "Not Found")</f>
        <v>-77.691054157079122</v>
      </c>
      <c r="K1243" cm="1">
        <f t="array" ref="K1243">_xlfn.XLOOKUP(TEXT(A1243, "mmm-yy"), TEXT([2]GASOLINE!$B$5:$B$208, "mmm-yy"), [2]GASOLINE!$IK$5:$IK$208, "Not Found")</f>
        <v>171.08529940707612</v>
      </c>
      <c r="L1243">
        <f t="shared" si="19"/>
        <v>0</v>
      </c>
      <c r="M1243" cm="1">
        <f t="array" ref="M1243">_xlfn.XLOOKUP(TEXT(A1243, "mmm-yy"), TEXT([2]GASOLINE!$B$5:$B$208, "mmm-yy"), [2]GASOLINE!$C$5:$C$208, "Not Found")</f>
        <v>7355.6226273161701</v>
      </c>
      <c r="N1243" cm="1">
        <f t="array" ref="N1243">_xlfn.XLOOKUP(TEXT(A1243, "mmm-yy"), TEXT([2]RUNS!$B$5:$B$208, "mmm-yy"), [2]RUNS!$BM$5:$BM$208, "Not Found")</f>
        <v>0.81923943401234833</v>
      </c>
    </row>
    <row r="1244" spans="1:14" x14ac:dyDescent="0.25">
      <c r="A1244" s="1">
        <f>'[1]Global_Spot Prices'!$B2553</f>
        <v>43745</v>
      </c>
      <c r="B1244">
        <f>_xlfn.XLOOKUP(A1244,'[1]Global_Spot Prices'!$B:$B,'[1]Global_Spot Prices'!$BS:$BS)</f>
        <v>11.064999999999991</v>
      </c>
      <c r="C1244">
        <f>_xlfn.XLOOKUP(A1244,'[1]Global_Spot Prices'!$B:$B,'[1]Global_Spot Prices'!$E:$E)</f>
        <v>58.255000000000003</v>
      </c>
      <c r="D1244">
        <f>_xlfn.XLOOKUP(A1244,'[1]Global_Spot Prices'!$B:$B,'[1]Global_Spot Prices'!$D:$D)</f>
        <v>60</v>
      </c>
      <c r="E1244">
        <f>_xlfn.XLOOKUP(A1244,'[1]Global_Spot Prices'!$B:$B,'[1]Global_Spot Prices'!$H:$H)</f>
        <v>54.47</v>
      </c>
      <c r="F1244">
        <f>_xlfn.XLOOKUP(A1244,'[1]Global_Spot Prices'!$B:$B,'[1]Global_Spot Prices'!$I:$I)</f>
        <v>69.319999999999993</v>
      </c>
      <c r="G1244" cm="1">
        <f t="array" ref="G1244">_xlfn.XLOOKUP(TEXT(A1244, "mmm-yy"), TEXT([2]RUNS!$B$5:$B$208, "mmm-yy"), [2]RUNS!$D$5:$D$208, "Not Found")</f>
        <v>29415.119573986973</v>
      </c>
      <c r="H1244" cm="1">
        <f t="array" ref="H1244">SUMPRODUCT(
    --(TEXT('[3]Global Weekly Stock (EWSuez'!$B$4:$B$2000,"mmm-yy")=TEXT(A1244,"mmm-yy")),
    '[3]Global Weekly Stock (EWSuez'!$E$4:$E$2000)
/
SUMPRODUCT(
    --(TEXT('[3]Global Weekly Stock (EWSuez'!$B$4:$B$2000,"mmm-yy")=TEXT(A1244,"mmm-yy"))
)</f>
        <v>10865.5</v>
      </c>
      <c r="I1244">
        <f>_xlfn.XLOOKUP(A1244,[1]ForwardDeriv!$D:$D,[1]ForwardDeriv!$AJ:$AJ)</f>
        <v>1.9699999999999989</v>
      </c>
      <c r="J1244" cm="1">
        <f t="array" ref="J1244">_xlfn.XLOOKUP(TEXT(A1244, "mmm-yy"), TEXT([2]GASOLINE!$B$5:$B$208, "mmm-yy"), [2]GASOLINE!$IR$5:$IR$208, "Not Found")</f>
        <v>-77.691054157079122</v>
      </c>
      <c r="K1244" cm="1">
        <f t="array" ref="K1244">_xlfn.XLOOKUP(TEXT(A1244, "mmm-yy"), TEXT([2]GASOLINE!$B$5:$B$208, "mmm-yy"), [2]GASOLINE!$IK$5:$IK$208, "Not Found")</f>
        <v>171.08529940707612</v>
      </c>
      <c r="L1244">
        <f t="shared" si="19"/>
        <v>0</v>
      </c>
      <c r="M1244" cm="1">
        <f t="array" ref="M1244">_xlfn.XLOOKUP(TEXT(A1244, "mmm-yy"), TEXT([2]GASOLINE!$B$5:$B$208, "mmm-yy"), [2]GASOLINE!$C$5:$C$208, "Not Found")</f>
        <v>7355.6226273161701</v>
      </c>
      <c r="N1244" cm="1">
        <f t="array" ref="N1244">_xlfn.XLOOKUP(TEXT(A1244, "mmm-yy"), TEXT([2]RUNS!$B$5:$B$208, "mmm-yy"), [2]RUNS!$BM$5:$BM$208, "Not Found")</f>
        <v>0.81923943401234833</v>
      </c>
    </row>
    <row r="1245" spans="1:14" x14ac:dyDescent="0.25">
      <c r="A1245" s="1">
        <f>'[1]Global_Spot Prices'!$B2554</f>
        <v>43746</v>
      </c>
      <c r="B1245">
        <f>_xlfn.XLOOKUP(A1245,'[1]Global_Spot Prices'!$B:$B,'[1]Global_Spot Prices'!$BS:$BS)</f>
        <v>11.21</v>
      </c>
      <c r="C1245">
        <f>_xlfn.XLOOKUP(A1245,'[1]Global_Spot Prices'!$B:$B,'[1]Global_Spot Prices'!$E:$E)</f>
        <v>58.01</v>
      </c>
      <c r="D1245">
        <f ca="1">_xlfn.XLOOKUP(A1245,'[1]Global_Spot Prices'!$B:$B,'[1]Global_Spot Prices'!$D:$D)</f>
        <v>58.39</v>
      </c>
      <c r="E1245">
        <f>_xlfn.XLOOKUP(A1245,'[1]Global_Spot Prices'!$B:$B,'[1]Global_Spot Prices'!$H:$H)</f>
        <v>54.61</v>
      </c>
      <c r="F1245">
        <f>_xlfn.XLOOKUP(A1245,'[1]Global_Spot Prices'!$B:$B,'[1]Global_Spot Prices'!$I:$I)</f>
        <v>69.22</v>
      </c>
      <c r="G1245" cm="1">
        <f t="array" ref="G1245">_xlfn.XLOOKUP(TEXT(A1245, "mmm-yy"), TEXT([2]RUNS!$B$5:$B$208, "mmm-yy"), [2]RUNS!$D$5:$D$208, "Not Found")</f>
        <v>29415.119573986973</v>
      </c>
      <c r="H1245" cm="1">
        <f t="array" ref="H1245">SUMPRODUCT(
    --(TEXT('[3]Global Weekly Stock (EWSuez'!$B$4:$B$2000,"mmm-yy")=TEXT(A1245,"mmm-yy")),
    '[3]Global Weekly Stock (EWSuez'!$E$4:$E$2000)
/
SUMPRODUCT(
    --(TEXT('[3]Global Weekly Stock (EWSuez'!$B$4:$B$2000,"mmm-yy")=TEXT(A1245,"mmm-yy"))
)</f>
        <v>10865.5</v>
      </c>
      <c r="I1245">
        <f>_xlfn.XLOOKUP(A1245,[1]ForwardDeriv!$D:$D,[1]ForwardDeriv!$AJ:$AJ)</f>
        <v>2.009999999999998</v>
      </c>
      <c r="J1245" cm="1">
        <f t="array" ref="J1245">_xlfn.XLOOKUP(TEXT(A1245, "mmm-yy"), TEXT([2]GASOLINE!$B$5:$B$208, "mmm-yy"), [2]GASOLINE!$IR$5:$IR$208, "Not Found")</f>
        <v>-77.691054157079122</v>
      </c>
      <c r="K1245" cm="1">
        <f t="array" ref="K1245">_xlfn.XLOOKUP(TEXT(A1245, "mmm-yy"), TEXT([2]GASOLINE!$B$5:$B$208, "mmm-yy"), [2]GASOLINE!$IK$5:$IK$208, "Not Found")</f>
        <v>171.08529940707612</v>
      </c>
      <c r="L1245">
        <f t="shared" si="19"/>
        <v>0</v>
      </c>
      <c r="M1245" cm="1">
        <f t="array" ref="M1245">_xlfn.XLOOKUP(TEXT(A1245, "mmm-yy"), TEXT([2]GASOLINE!$B$5:$B$208, "mmm-yy"), [2]GASOLINE!$C$5:$C$208, "Not Found")</f>
        <v>7355.6226273161701</v>
      </c>
      <c r="N1245" cm="1">
        <f t="array" ref="N1245">_xlfn.XLOOKUP(TEXT(A1245, "mmm-yy"), TEXT([2]RUNS!$B$5:$B$208, "mmm-yy"), [2]RUNS!$BM$5:$BM$208, "Not Found")</f>
        <v>0.81923943401234833</v>
      </c>
    </row>
    <row r="1246" spans="1:14" x14ac:dyDescent="0.25">
      <c r="A1246" s="1">
        <f>'[1]Global_Spot Prices'!$B2555</f>
        <v>43747</v>
      </c>
      <c r="B1246">
        <f>_xlfn.XLOOKUP(A1246,'[1]Global_Spot Prices'!$B:$B,'[1]Global_Spot Prices'!$BS:$BS)</f>
        <v>10.969999999999999</v>
      </c>
      <c r="C1246">
        <f>_xlfn.XLOOKUP(A1246,'[1]Global_Spot Prices'!$B:$B,'[1]Global_Spot Prices'!$E:$E)</f>
        <v>57.7</v>
      </c>
      <c r="D1246">
        <f>_xlfn.XLOOKUP(A1246,'[1]Global_Spot Prices'!$B:$B,'[1]Global_Spot Prices'!$D:$D)</f>
        <v>59.765000000000001</v>
      </c>
      <c r="E1246">
        <f>_xlfn.XLOOKUP(A1246,'[1]Global_Spot Prices'!$B:$B,'[1]Global_Spot Prices'!$H:$H)</f>
        <v>55.04</v>
      </c>
      <c r="F1246">
        <f>_xlfn.XLOOKUP(A1246,'[1]Global_Spot Prices'!$B:$B,'[1]Global_Spot Prices'!$I:$I)</f>
        <v>68.67</v>
      </c>
      <c r="G1246" cm="1">
        <f t="array" ref="G1246">_xlfn.XLOOKUP(TEXT(A1246, "mmm-yy"), TEXT([2]RUNS!$B$5:$B$208, "mmm-yy"), [2]RUNS!$D$5:$D$208, "Not Found")</f>
        <v>29415.119573986973</v>
      </c>
      <c r="H1246" cm="1">
        <f t="array" ref="H1246">SUMPRODUCT(
    --(TEXT('[3]Global Weekly Stock (EWSuez'!$B$4:$B$2000,"mmm-yy")=TEXT(A1246,"mmm-yy")),
    '[3]Global Weekly Stock (EWSuez'!$E$4:$E$2000)
/
SUMPRODUCT(
    --(TEXT('[3]Global Weekly Stock (EWSuez'!$B$4:$B$2000,"mmm-yy")=TEXT(A1246,"mmm-yy"))
)</f>
        <v>10865.5</v>
      </c>
      <c r="I1246">
        <f>_xlfn.XLOOKUP(A1246,[1]ForwardDeriv!$D:$D,[1]ForwardDeriv!$AJ:$AJ)</f>
        <v>2.1199999999999974</v>
      </c>
      <c r="J1246" cm="1">
        <f t="array" ref="J1246">_xlfn.XLOOKUP(TEXT(A1246, "mmm-yy"), TEXT([2]GASOLINE!$B$5:$B$208, "mmm-yy"), [2]GASOLINE!$IR$5:$IR$208, "Not Found")</f>
        <v>-77.691054157079122</v>
      </c>
      <c r="K1246" cm="1">
        <f t="array" ref="K1246">_xlfn.XLOOKUP(TEXT(A1246, "mmm-yy"), TEXT([2]GASOLINE!$B$5:$B$208, "mmm-yy"), [2]GASOLINE!$IK$5:$IK$208, "Not Found")</f>
        <v>171.08529940707612</v>
      </c>
      <c r="L1246">
        <f t="shared" si="19"/>
        <v>0</v>
      </c>
      <c r="M1246" cm="1">
        <f t="array" ref="M1246">_xlfn.XLOOKUP(TEXT(A1246, "mmm-yy"), TEXT([2]GASOLINE!$B$5:$B$208, "mmm-yy"), [2]GASOLINE!$C$5:$C$208, "Not Found")</f>
        <v>7355.6226273161701</v>
      </c>
      <c r="N1246" cm="1">
        <f t="array" ref="N1246">_xlfn.XLOOKUP(TEXT(A1246, "mmm-yy"), TEXT([2]RUNS!$B$5:$B$208, "mmm-yy"), [2]RUNS!$BM$5:$BM$208, "Not Found")</f>
        <v>0.81923943401234833</v>
      </c>
    </row>
    <row r="1247" spans="1:14" x14ac:dyDescent="0.25">
      <c r="A1247" s="1">
        <f>'[1]Global_Spot Prices'!$B2556</f>
        <v>43748</v>
      </c>
      <c r="B1247">
        <f>_xlfn.XLOOKUP(A1247,'[1]Global_Spot Prices'!$B:$B,'[1]Global_Spot Prices'!$BS:$BS)</f>
        <v>10.509999999999998</v>
      </c>
      <c r="C1247">
        <f ca="1">_xlfn.XLOOKUP(A1247,'[1]Global_Spot Prices'!$B:$B,'[1]Global_Spot Prices'!$E:$E)</f>
        <v>57.74</v>
      </c>
      <c r="D1247">
        <f>_xlfn.XLOOKUP(A1247,'[1]Global_Spot Prices'!$B:$B,'[1]Global_Spot Prices'!$D:$D)</f>
        <v>59.094999999999999</v>
      </c>
      <c r="E1247">
        <f ca="1">_xlfn.XLOOKUP(A1247,'[1]Global_Spot Prices'!$B:$B,'[1]Global_Spot Prices'!$H:$H)</f>
        <v>56.86</v>
      </c>
      <c r="F1247">
        <f>_xlfn.XLOOKUP(A1247,'[1]Global_Spot Prices'!$B:$B,'[1]Global_Spot Prices'!$I:$I)</f>
        <v>68.25</v>
      </c>
      <c r="G1247" cm="1">
        <f t="array" ref="G1247">_xlfn.XLOOKUP(TEXT(A1247, "mmm-yy"), TEXT([2]RUNS!$B$5:$B$208, "mmm-yy"), [2]RUNS!$D$5:$D$208, "Not Found")</f>
        <v>29415.119573986973</v>
      </c>
      <c r="H1247" cm="1">
        <f t="array" ref="H1247">SUMPRODUCT(
    --(TEXT('[3]Global Weekly Stock (EWSuez'!$B$4:$B$2000,"mmm-yy")=TEXT(A1247,"mmm-yy")),
    '[3]Global Weekly Stock (EWSuez'!$E$4:$E$2000)
/
SUMPRODUCT(
    --(TEXT('[3]Global Weekly Stock (EWSuez'!$B$4:$B$2000,"mmm-yy")=TEXT(A1247,"mmm-yy"))
)</f>
        <v>10865.5</v>
      </c>
      <c r="I1247">
        <f>_xlfn.XLOOKUP(A1247,[1]ForwardDeriv!$D:$D,[1]ForwardDeriv!$AJ:$AJ)</f>
        <v>2.1500000000000057</v>
      </c>
      <c r="J1247" cm="1">
        <f t="array" ref="J1247">_xlfn.XLOOKUP(TEXT(A1247, "mmm-yy"), TEXT([2]GASOLINE!$B$5:$B$208, "mmm-yy"), [2]GASOLINE!$IR$5:$IR$208, "Not Found")</f>
        <v>-77.691054157079122</v>
      </c>
      <c r="K1247" cm="1">
        <f t="array" ref="K1247">_xlfn.XLOOKUP(TEXT(A1247, "mmm-yy"), TEXT([2]GASOLINE!$B$5:$B$208, "mmm-yy"), [2]GASOLINE!$IK$5:$IK$208, "Not Found")</f>
        <v>171.08529940707612</v>
      </c>
      <c r="L1247">
        <f t="shared" si="19"/>
        <v>0</v>
      </c>
      <c r="M1247" cm="1">
        <f t="array" ref="M1247">_xlfn.XLOOKUP(TEXT(A1247, "mmm-yy"), TEXT([2]GASOLINE!$B$5:$B$208, "mmm-yy"), [2]GASOLINE!$C$5:$C$208, "Not Found")</f>
        <v>7355.6226273161701</v>
      </c>
      <c r="N1247" cm="1">
        <f t="array" ref="N1247">_xlfn.XLOOKUP(TEXT(A1247, "mmm-yy"), TEXT([2]RUNS!$B$5:$B$208, "mmm-yy"), [2]RUNS!$BM$5:$BM$208, "Not Found")</f>
        <v>0.81923943401234833</v>
      </c>
    </row>
    <row r="1248" spans="1:14" x14ac:dyDescent="0.25">
      <c r="A1248" s="1">
        <f>'[1]Global_Spot Prices'!$B2557</f>
        <v>43749</v>
      </c>
      <c r="B1248">
        <f>_xlfn.XLOOKUP(A1248,'[1]Global_Spot Prices'!$B:$B,'[1]Global_Spot Prices'!$BS:$BS)</f>
        <v>9.5900000000000034</v>
      </c>
      <c r="C1248">
        <f>_xlfn.XLOOKUP(A1248,'[1]Global_Spot Prices'!$B:$B,'[1]Global_Spot Prices'!$E:$E)</f>
        <v>60.45</v>
      </c>
      <c r="D1248">
        <f>_xlfn.XLOOKUP(A1248,'[1]Global_Spot Prices'!$B:$B,'[1]Global_Spot Prices'!$D:$D)</f>
        <v>60.914999999999999</v>
      </c>
      <c r="E1248">
        <f>_xlfn.XLOOKUP(A1248,'[1]Global_Spot Prices'!$B:$B,'[1]Global_Spot Prices'!$H:$H)</f>
        <v>59.86</v>
      </c>
      <c r="F1248">
        <f>_xlfn.XLOOKUP(A1248,'[1]Global_Spot Prices'!$B:$B,'[1]Global_Spot Prices'!$I:$I)</f>
        <v>70.040000000000006</v>
      </c>
      <c r="G1248" cm="1">
        <f t="array" ref="G1248">_xlfn.XLOOKUP(TEXT(A1248, "mmm-yy"), TEXT([2]RUNS!$B$5:$B$208, "mmm-yy"), [2]RUNS!$D$5:$D$208, "Not Found")</f>
        <v>29415.119573986973</v>
      </c>
      <c r="H1248" cm="1">
        <f t="array" ref="H1248">SUMPRODUCT(
    --(TEXT('[3]Global Weekly Stock (EWSuez'!$B$4:$B$2000,"mmm-yy")=TEXT(A1248,"mmm-yy")),
    '[3]Global Weekly Stock (EWSuez'!$E$4:$E$2000)
/
SUMPRODUCT(
    --(TEXT('[3]Global Weekly Stock (EWSuez'!$B$4:$B$2000,"mmm-yy")=TEXT(A1248,"mmm-yy"))
)</f>
        <v>10865.5</v>
      </c>
      <c r="I1248">
        <f>_xlfn.XLOOKUP(A1248,[1]ForwardDeriv!$D:$D,[1]ForwardDeriv!$AJ:$AJ)</f>
        <v>2.1799999999999926</v>
      </c>
      <c r="J1248" cm="1">
        <f t="array" ref="J1248">_xlfn.XLOOKUP(TEXT(A1248, "mmm-yy"), TEXT([2]GASOLINE!$B$5:$B$208, "mmm-yy"), [2]GASOLINE!$IR$5:$IR$208, "Not Found")</f>
        <v>-77.691054157079122</v>
      </c>
      <c r="K1248" cm="1">
        <f t="array" ref="K1248">_xlfn.XLOOKUP(TEXT(A1248, "mmm-yy"), TEXT([2]GASOLINE!$B$5:$B$208, "mmm-yy"), [2]GASOLINE!$IK$5:$IK$208, "Not Found")</f>
        <v>171.08529940707612</v>
      </c>
      <c r="L1248">
        <f t="shared" si="19"/>
        <v>0</v>
      </c>
      <c r="M1248" cm="1">
        <f t="array" ref="M1248">_xlfn.XLOOKUP(TEXT(A1248, "mmm-yy"), TEXT([2]GASOLINE!$B$5:$B$208, "mmm-yy"), [2]GASOLINE!$C$5:$C$208, "Not Found")</f>
        <v>7355.6226273161701</v>
      </c>
      <c r="N1248" cm="1">
        <f t="array" ref="N1248">_xlfn.XLOOKUP(TEXT(A1248, "mmm-yy"), TEXT([2]RUNS!$B$5:$B$208, "mmm-yy"), [2]RUNS!$BM$5:$BM$208, "Not Found")</f>
        <v>0.81923943401234833</v>
      </c>
    </row>
    <row r="1249" spans="1:14" x14ac:dyDescent="0.25">
      <c r="A1249" s="1">
        <f>'[1]Global_Spot Prices'!$B2558</f>
        <v>43752</v>
      </c>
      <c r="B1249">
        <f>_xlfn.XLOOKUP(A1249,'[1]Global_Spot Prices'!$B:$B,'[1]Global_Spot Prices'!$BS:$BS)</f>
        <v>9.36</v>
      </c>
      <c r="C1249">
        <f>_xlfn.XLOOKUP(A1249,'[1]Global_Spot Prices'!$B:$B,'[1]Global_Spot Prices'!$E:$E)</f>
        <v>60</v>
      </c>
      <c r="D1249">
        <f>_xlfn.XLOOKUP(A1249,'[1]Global_Spot Prices'!$B:$B,'[1]Global_Spot Prices'!$D:$D)</f>
        <v>59.09</v>
      </c>
      <c r="E1249">
        <f>_xlfn.XLOOKUP(A1249,'[1]Global_Spot Prices'!$B:$B,'[1]Global_Spot Prices'!$H:$H)</f>
        <v>59.73</v>
      </c>
      <c r="F1249">
        <f>_xlfn.XLOOKUP(A1249,'[1]Global_Spot Prices'!$B:$B,'[1]Global_Spot Prices'!$I:$I)</f>
        <v>69.36</v>
      </c>
      <c r="G1249" cm="1">
        <f t="array" ref="G1249">_xlfn.XLOOKUP(TEXT(A1249, "mmm-yy"), TEXT([2]RUNS!$B$5:$B$208, "mmm-yy"), [2]RUNS!$D$5:$D$208, "Not Found")</f>
        <v>29415.119573986973</v>
      </c>
      <c r="H1249" cm="1">
        <f t="array" ref="H1249">SUMPRODUCT(
    --(TEXT('[3]Global Weekly Stock (EWSuez'!$B$4:$B$2000,"mmm-yy")=TEXT(A1249,"mmm-yy")),
    '[3]Global Weekly Stock (EWSuez'!$E$4:$E$2000)
/
SUMPRODUCT(
    --(TEXT('[3]Global Weekly Stock (EWSuez'!$B$4:$B$2000,"mmm-yy")=TEXT(A1249,"mmm-yy"))
)</f>
        <v>10865.5</v>
      </c>
      <c r="I1249">
        <f>_xlfn.XLOOKUP(A1249,[1]ForwardDeriv!$D:$D,[1]ForwardDeriv!$AJ:$AJ)</f>
        <v>1.9499999999999886</v>
      </c>
      <c r="J1249" cm="1">
        <f t="array" ref="J1249">_xlfn.XLOOKUP(TEXT(A1249, "mmm-yy"), TEXT([2]GASOLINE!$B$5:$B$208, "mmm-yy"), [2]GASOLINE!$IR$5:$IR$208, "Not Found")</f>
        <v>-77.691054157079122</v>
      </c>
      <c r="K1249" cm="1">
        <f t="array" ref="K1249">_xlfn.XLOOKUP(TEXT(A1249, "mmm-yy"), TEXT([2]GASOLINE!$B$5:$B$208, "mmm-yy"), [2]GASOLINE!$IK$5:$IK$208, "Not Found")</f>
        <v>171.08529940707612</v>
      </c>
      <c r="L1249">
        <f t="shared" si="19"/>
        <v>0</v>
      </c>
      <c r="M1249" cm="1">
        <f t="array" ref="M1249">_xlfn.XLOOKUP(TEXT(A1249, "mmm-yy"), TEXT([2]GASOLINE!$B$5:$B$208, "mmm-yy"), [2]GASOLINE!$C$5:$C$208, "Not Found")</f>
        <v>7355.6226273161701</v>
      </c>
      <c r="N1249" cm="1">
        <f t="array" ref="N1249">_xlfn.XLOOKUP(TEXT(A1249, "mmm-yy"), TEXT([2]RUNS!$B$5:$B$208, "mmm-yy"), [2]RUNS!$BM$5:$BM$208, "Not Found")</f>
        <v>0.81923943401234833</v>
      </c>
    </row>
    <row r="1250" spans="1:14" x14ac:dyDescent="0.25">
      <c r="A1250" s="1">
        <f>'[1]Global_Spot Prices'!$B2559</f>
        <v>43753</v>
      </c>
      <c r="B1250">
        <f>_xlfn.XLOOKUP(A1250,'[1]Global_Spot Prices'!$B:$B,'[1]Global_Spot Prices'!$BS:$BS)</f>
        <v>9.3400000000000034</v>
      </c>
      <c r="C1250">
        <f>_xlfn.XLOOKUP(A1250,'[1]Global_Spot Prices'!$B:$B,'[1]Global_Spot Prices'!$E:$E)</f>
        <v>59.45</v>
      </c>
      <c r="D1250">
        <f>_xlfn.XLOOKUP(A1250,'[1]Global_Spot Prices'!$B:$B,'[1]Global_Spot Prices'!$D:$D)</f>
        <v>59.42</v>
      </c>
      <c r="E1250">
        <f>_xlfn.XLOOKUP(A1250,'[1]Global_Spot Prices'!$B:$B,'[1]Global_Spot Prices'!$H:$H)</f>
        <v>58.66</v>
      </c>
      <c r="F1250">
        <f>_xlfn.XLOOKUP(A1250,'[1]Global_Spot Prices'!$B:$B,'[1]Global_Spot Prices'!$I:$I)</f>
        <v>68.790000000000006</v>
      </c>
      <c r="G1250" cm="1">
        <f t="array" ref="G1250">_xlfn.XLOOKUP(TEXT(A1250, "mmm-yy"), TEXT([2]RUNS!$B$5:$B$208, "mmm-yy"), [2]RUNS!$D$5:$D$208, "Not Found")</f>
        <v>29415.119573986973</v>
      </c>
      <c r="H1250" cm="1">
        <f t="array" ref="H1250">SUMPRODUCT(
    --(TEXT('[3]Global Weekly Stock (EWSuez'!$B$4:$B$2000,"mmm-yy")=TEXT(A1250,"mmm-yy")),
    '[3]Global Weekly Stock (EWSuez'!$E$4:$E$2000)
/
SUMPRODUCT(
    --(TEXT('[3]Global Weekly Stock (EWSuez'!$B$4:$B$2000,"mmm-yy")=TEXT(A1250,"mmm-yy"))
)</f>
        <v>10865.5</v>
      </c>
      <c r="I1250">
        <f>_xlfn.XLOOKUP(A1250,[1]ForwardDeriv!$D:$D,[1]ForwardDeriv!$AJ:$AJ)</f>
        <v>1.8300000000000125</v>
      </c>
      <c r="J1250" cm="1">
        <f t="array" ref="J1250">_xlfn.XLOOKUP(TEXT(A1250, "mmm-yy"), TEXT([2]GASOLINE!$B$5:$B$208, "mmm-yy"), [2]GASOLINE!$IR$5:$IR$208, "Not Found")</f>
        <v>-77.691054157079122</v>
      </c>
      <c r="K1250" cm="1">
        <f t="array" ref="K1250">_xlfn.XLOOKUP(TEXT(A1250, "mmm-yy"), TEXT([2]GASOLINE!$B$5:$B$208, "mmm-yy"), [2]GASOLINE!$IK$5:$IK$208, "Not Found")</f>
        <v>171.08529940707612</v>
      </c>
      <c r="L1250">
        <f t="shared" si="19"/>
        <v>0</v>
      </c>
      <c r="M1250" cm="1">
        <f t="array" ref="M1250">_xlfn.XLOOKUP(TEXT(A1250, "mmm-yy"), TEXT([2]GASOLINE!$B$5:$B$208, "mmm-yy"), [2]GASOLINE!$C$5:$C$208, "Not Found")</f>
        <v>7355.6226273161701</v>
      </c>
      <c r="N1250" cm="1">
        <f t="array" ref="N1250">_xlfn.XLOOKUP(TEXT(A1250, "mmm-yy"), TEXT([2]RUNS!$B$5:$B$208, "mmm-yy"), [2]RUNS!$BM$5:$BM$208, "Not Found")</f>
        <v>0.81923943401234833</v>
      </c>
    </row>
    <row r="1251" spans="1:14" x14ac:dyDescent="0.25">
      <c r="A1251" s="1">
        <f>'[1]Global_Spot Prices'!$B2560</f>
        <v>43754</v>
      </c>
      <c r="B1251">
        <f>_xlfn.XLOOKUP(A1251,'[1]Global_Spot Prices'!$B:$B,'[1]Global_Spot Prices'!$BS:$BS)</f>
        <v>9.634999999999998</v>
      </c>
      <c r="C1251">
        <f>_xlfn.XLOOKUP(A1251,'[1]Global_Spot Prices'!$B:$B,'[1]Global_Spot Prices'!$E:$E)</f>
        <v>58.755000000000003</v>
      </c>
      <c r="D1251">
        <f>_xlfn.XLOOKUP(A1251,'[1]Global_Spot Prices'!$B:$B,'[1]Global_Spot Prices'!$D:$D)</f>
        <v>59.45</v>
      </c>
      <c r="E1251">
        <f>_xlfn.XLOOKUP(A1251,'[1]Global_Spot Prices'!$B:$B,'[1]Global_Spot Prices'!$H:$H)</f>
        <v>57.66</v>
      </c>
      <c r="F1251">
        <f>_xlfn.XLOOKUP(A1251,'[1]Global_Spot Prices'!$B:$B,'[1]Global_Spot Prices'!$I:$I)</f>
        <v>68.39</v>
      </c>
      <c r="G1251" cm="1">
        <f t="array" ref="G1251">_xlfn.XLOOKUP(TEXT(A1251, "mmm-yy"), TEXT([2]RUNS!$B$5:$B$208, "mmm-yy"), [2]RUNS!$D$5:$D$208, "Not Found")</f>
        <v>29415.119573986973</v>
      </c>
      <c r="H1251" cm="1">
        <f t="array" ref="H1251">SUMPRODUCT(
    --(TEXT('[3]Global Weekly Stock (EWSuez'!$B$4:$B$2000,"mmm-yy")=TEXT(A1251,"mmm-yy")),
    '[3]Global Weekly Stock (EWSuez'!$E$4:$E$2000)
/
SUMPRODUCT(
    --(TEXT('[3]Global Weekly Stock (EWSuez'!$B$4:$B$2000,"mmm-yy")=TEXT(A1251,"mmm-yy"))
)</f>
        <v>10865.5</v>
      </c>
      <c r="I1251">
        <f>_xlfn.XLOOKUP(A1251,[1]ForwardDeriv!$D:$D,[1]ForwardDeriv!$AJ:$AJ)</f>
        <v>1.8500000000000085</v>
      </c>
      <c r="J1251" cm="1">
        <f t="array" ref="J1251">_xlfn.XLOOKUP(TEXT(A1251, "mmm-yy"), TEXT([2]GASOLINE!$B$5:$B$208, "mmm-yy"), [2]GASOLINE!$IR$5:$IR$208, "Not Found")</f>
        <v>-77.691054157079122</v>
      </c>
      <c r="K1251" cm="1">
        <f t="array" ref="K1251">_xlfn.XLOOKUP(TEXT(A1251, "mmm-yy"), TEXT([2]GASOLINE!$B$5:$B$208, "mmm-yy"), [2]GASOLINE!$IK$5:$IK$208, "Not Found")</f>
        <v>171.08529940707612</v>
      </c>
      <c r="L1251">
        <f t="shared" si="19"/>
        <v>0</v>
      </c>
      <c r="M1251" cm="1">
        <f t="array" ref="M1251">_xlfn.XLOOKUP(TEXT(A1251, "mmm-yy"), TEXT([2]GASOLINE!$B$5:$B$208, "mmm-yy"), [2]GASOLINE!$C$5:$C$208, "Not Found")</f>
        <v>7355.6226273161701</v>
      </c>
      <c r="N1251" cm="1">
        <f t="array" ref="N1251">_xlfn.XLOOKUP(TEXT(A1251, "mmm-yy"), TEXT([2]RUNS!$B$5:$B$208, "mmm-yy"), [2]RUNS!$BM$5:$BM$208, "Not Found")</f>
        <v>0.81923943401234833</v>
      </c>
    </row>
    <row r="1252" spans="1:14" x14ac:dyDescent="0.25">
      <c r="A1252" s="1">
        <f>'[1]Global_Spot Prices'!$B2561</f>
        <v>43755</v>
      </c>
      <c r="B1252">
        <f>_xlfn.XLOOKUP(A1252,'[1]Global_Spot Prices'!$B:$B,'[1]Global_Spot Prices'!$BS:$BS)</f>
        <v>8.6999999999999957</v>
      </c>
      <c r="C1252">
        <f>_xlfn.XLOOKUP(A1252,'[1]Global_Spot Prices'!$B:$B,'[1]Global_Spot Prices'!$E:$E)</f>
        <v>59.21</v>
      </c>
      <c r="D1252">
        <f>_xlfn.XLOOKUP(A1252,'[1]Global_Spot Prices'!$B:$B,'[1]Global_Spot Prices'!$D:$D)</f>
        <v>58.98</v>
      </c>
      <c r="E1252">
        <f>_xlfn.XLOOKUP(A1252,'[1]Global_Spot Prices'!$B:$B,'[1]Global_Spot Prices'!$H:$H)</f>
        <v>56.92</v>
      </c>
      <c r="F1252">
        <f>_xlfn.XLOOKUP(A1252,'[1]Global_Spot Prices'!$B:$B,'[1]Global_Spot Prices'!$I:$I)</f>
        <v>67.91</v>
      </c>
      <c r="G1252" cm="1">
        <f t="array" ref="G1252">_xlfn.XLOOKUP(TEXT(A1252, "mmm-yy"), TEXT([2]RUNS!$B$5:$B$208, "mmm-yy"), [2]RUNS!$D$5:$D$208, "Not Found")</f>
        <v>29415.119573986973</v>
      </c>
      <c r="H1252" cm="1">
        <f t="array" ref="H1252">SUMPRODUCT(
    --(TEXT('[3]Global Weekly Stock (EWSuez'!$B$4:$B$2000,"mmm-yy")=TEXT(A1252,"mmm-yy")),
    '[3]Global Weekly Stock (EWSuez'!$E$4:$E$2000)
/
SUMPRODUCT(
    --(TEXT('[3]Global Weekly Stock (EWSuez'!$B$4:$B$2000,"mmm-yy")=TEXT(A1252,"mmm-yy"))
)</f>
        <v>10865.5</v>
      </c>
      <c r="I1252">
        <f>_xlfn.XLOOKUP(A1252,[1]ForwardDeriv!$D:$D,[1]ForwardDeriv!$AJ:$AJ)</f>
        <v>1.6300000000000097</v>
      </c>
      <c r="J1252" cm="1">
        <f t="array" ref="J1252">_xlfn.XLOOKUP(TEXT(A1252, "mmm-yy"), TEXT([2]GASOLINE!$B$5:$B$208, "mmm-yy"), [2]GASOLINE!$IR$5:$IR$208, "Not Found")</f>
        <v>-77.691054157079122</v>
      </c>
      <c r="K1252" cm="1">
        <f t="array" ref="K1252">_xlfn.XLOOKUP(TEXT(A1252, "mmm-yy"), TEXT([2]GASOLINE!$B$5:$B$208, "mmm-yy"), [2]GASOLINE!$IK$5:$IK$208, "Not Found")</f>
        <v>171.08529940707612</v>
      </c>
      <c r="L1252">
        <f t="shared" si="19"/>
        <v>0</v>
      </c>
      <c r="M1252" cm="1">
        <f t="array" ref="M1252">_xlfn.XLOOKUP(TEXT(A1252, "mmm-yy"), TEXT([2]GASOLINE!$B$5:$B$208, "mmm-yy"), [2]GASOLINE!$C$5:$C$208, "Not Found")</f>
        <v>7355.6226273161701</v>
      </c>
      <c r="N1252" cm="1">
        <f t="array" ref="N1252">_xlfn.XLOOKUP(TEXT(A1252, "mmm-yy"), TEXT([2]RUNS!$B$5:$B$208, "mmm-yy"), [2]RUNS!$BM$5:$BM$208, "Not Found")</f>
        <v>0.81923943401234833</v>
      </c>
    </row>
    <row r="1253" spans="1:14" x14ac:dyDescent="0.25">
      <c r="A1253" s="1">
        <f>'[1]Global_Spot Prices'!$B2562</f>
        <v>43756</v>
      </c>
      <c r="B1253">
        <f>_xlfn.XLOOKUP(A1253,'[1]Global_Spot Prices'!$B:$B,'[1]Global_Spot Prices'!$BS:$BS)</f>
        <v>8.18</v>
      </c>
      <c r="C1253">
        <f>_xlfn.XLOOKUP(A1253,'[1]Global_Spot Prices'!$B:$B,'[1]Global_Spot Prices'!$E:$E)</f>
        <v>59.71</v>
      </c>
      <c r="D1253">
        <f>_xlfn.XLOOKUP(A1253,'[1]Global_Spot Prices'!$B:$B,'[1]Global_Spot Prices'!$D:$D)</f>
        <v>59.765000000000001</v>
      </c>
      <c r="E1253">
        <f>_xlfn.XLOOKUP(A1253,'[1]Global_Spot Prices'!$B:$B,'[1]Global_Spot Prices'!$H:$H)</f>
        <v>56.92</v>
      </c>
      <c r="F1253">
        <f>_xlfn.XLOOKUP(A1253,'[1]Global_Spot Prices'!$B:$B,'[1]Global_Spot Prices'!$I:$I)</f>
        <v>67.89</v>
      </c>
      <c r="G1253" cm="1">
        <f t="array" ref="G1253">_xlfn.XLOOKUP(TEXT(A1253, "mmm-yy"), TEXT([2]RUNS!$B$5:$B$208, "mmm-yy"), [2]RUNS!$D$5:$D$208, "Not Found")</f>
        <v>29415.119573986973</v>
      </c>
      <c r="H1253" cm="1">
        <f t="array" ref="H1253">SUMPRODUCT(
    --(TEXT('[3]Global Weekly Stock (EWSuez'!$B$4:$B$2000,"mmm-yy")=TEXT(A1253,"mmm-yy")),
    '[3]Global Weekly Stock (EWSuez'!$E$4:$E$2000)
/
SUMPRODUCT(
    --(TEXT('[3]Global Weekly Stock (EWSuez'!$B$4:$B$2000,"mmm-yy")=TEXT(A1253,"mmm-yy"))
)</f>
        <v>10865.5</v>
      </c>
      <c r="I1253">
        <f>_xlfn.XLOOKUP(A1253,[1]ForwardDeriv!$D:$D,[1]ForwardDeriv!$AJ:$AJ)</f>
        <v>1.3500000000000085</v>
      </c>
      <c r="J1253" cm="1">
        <f t="array" ref="J1253">_xlfn.XLOOKUP(TEXT(A1253, "mmm-yy"), TEXT([2]GASOLINE!$B$5:$B$208, "mmm-yy"), [2]GASOLINE!$IR$5:$IR$208, "Not Found")</f>
        <v>-77.691054157079122</v>
      </c>
      <c r="K1253" cm="1">
        <f t="array" ref="K1253">_xlfn.XLOOKUP(TEXT(A1253, "mmm-yy"), TEXT([2]GASOLINE!$B$5:$B$208, "mmm-yy"), [2]GASOLINE!$IK$5:$IK$208, "Not Found")</f>
        <v>171.08529940707612</v>
      </c>
      <c r="L1253">
        <f t="shared" si="19"/>
        <v>0</v>
      </c>
      <c r="M1253" cm="1">
        <f t="array" ref="M1253">_xlfn.XLOOKUP(TEXT(A1253, "mmm-yy"), TEXT([2]GASOLINE!$B$5:$B$208, "mmm-yy"), [2]GASOLINE!$C$5:$C$208, "Not Found")</f>
        <v>7355.6226273161701</v>
      </c>
      <c r="N1253" cm="1">
        <f t="array" ref="N1253">_xlfn.XLOOKUP(TEXT(A1253, "mmm-yy"), TEXT([2]RUNS!$B$5:$B$208, "mmm-yy"), [2]RUNS!$BM$5:$BM$208, "Not Found")</f>
        <v>0.81923943401234833</v>
      </c>
    </row>
    <row r="1254" spans="1:14" x14ac:dyDescent="0.25">
      <c r="A1254" s="1">
        <f>'[1]Global_Spot Prices'!$B2563</f>
        <v>43759</v>
      </c>
      <c r="B1254">
        <f>_xlfn.XLOOKUP(A1254,'[1]Global_Spot Prices'!$B:$B,'[1]Global_Spot Prices'!$BS:$BS)</f>
        <v>8.4399999999999977</v>
      </c>
      <c r="C1254">
        <f>_xlfn.XLOOKUP(A1254,'[1]Global_Spot Prices'!$B:$B,'[1]Global_Spot Prices'!$E:$E)</f>
        <v>59.41</v>
      </c>
      <c r="D1254">
        <f>_xlfn.XLOOKUP(A1254,'[1]Global_Spot Prices'!$B:$B,'[1]Global_Spot Prices'!$D:$D)</f>
        <v>58.854999999999997</v>
      </c>
      <c r="E1254">
        <f>_xlfn.XLOOKUP(A1254,'[1]Global_Spot Prices'!$B:$B,'[1]Global_Spot Prices'!$H:$H)</f>
        <v>55.95</v>
      </c>
      <c r="F1254">
        <f>_xlfn.XLOOKUP(A1254,'[1]Global_Spot Prices'!$B:$B,'[1]Global_Spot Prices'!$I:$I)</f>
        <v>67.849999999999994</v>
      </c>
      <c r="G1254" cm="1">
        <f t="array" ref="G1254">_xlfn.XLOOKUP(TEXT(A1254, "mmm-yy"), TEXT([2]RUNS!$B$5:$B$208, "mmm-yy"), [2]RUNS!$D$5:$D$208, "Not Found")</f>
        <v>29415.119573986973</v>
      </c>
      <c r="H1254" cm="1">
        <f t="array" ref="H1254">SUMPRODUCT(
    --(TEXT('[3]Global Weekly Stock (EWSuez'!$B$4:$B$2000,"mmm-yy")=TEXT(A1254,"mmm-yy")),
    '[3]Global Weekly Stock (EWSuez'!$E$4:$E$2000)
/
SUMPRODUCT(
    --(TEXT('[3]Global Weekly Stock (EWSuez'!$B$4:$B$2000,"mmm-yy")=TEXT(A1254,"mmm-yy"))
)</f>
        <v>10865.5</v>
      </c>
      <c r="I1254">
        <f>_xlfn.XLOOKUP(A1254,[1]ForwardDeriv!$D:$D,[1]ForwardDeriv!$AJ:$AJ)</f>
        <v>1.5399999999999991</v>
      </c>
      <c r="J1254" cm="1">
        <f t="array" ref="J1254">_xlfn.XLOOKUP(TEXT(A1254, "mmm-yy"), TEXT([2]GASOLINE!$B$5:$B$208, "mmm-yy"), [2]GASOLINE!$IR$5:$IR$208, "Not Found")</f>
        <v>-77.691054157079122</v>
      </c>
      <c r="K1254" cm="1">
        <f t="array" ref="K1254">_xlfn.XLOOKUP(TEXT(A1254, "mmm-yy"), TEXT([2]GASOLINE!$B$5:$B$208, "mmm-yy"), [2]GASOLINE!$IK$5:$IK$208, "Not Found")</f>
        <v>171.08529940707612</v>
      </c>
      <c r="L1254">
        <f t="shared" si="19"/>
        <v>0</v>
      </c>
      <c r="M1254" cm="1">
        <f t="array" ref="M1254">_xlfn.XLOOKUP(TEXT(A1254, "mmm-yy"), TEXT([2]GASOLINE!$B$5:$B$208, "mmm-yy"), [2]GASOLINE!$C$5:$C$208, "Not Found")</f>
        <v>7355.6226273161701</v>
      </c>
      <c r="N1254" cm="1">
        <f t="array" ref="N1254">_xlfn.XLOOKUP(TEXT(A1254, "mmm-yy"), TEXT([2]RUNS!$B$5:$B$208, "mmm-yy"), [2]RUNS!$BM$5:$BM$208, "Not Found")</f>
        <v>0.81923943401234833</v>
      </c>
    </row>
    <row r="1255" spans="1:14" x14ac:dyDescent="0.25">
      <c r="A1255" s="1">
        <f>'[1]Global_Spot Prices'!$B2564</f>
        <v>43760</v>
      </c>
      <c r="B1255">
        <f>_xlfn.XLOOKUP(A1255,'[1]Global_Spot Prices'!$B:$B,'[1]Global_Spot Prices'!$BS:$BS)</f>
        <v>7.470000000000006</v>
      </c>
      <c r="C1255">
        <f>_xlfn.XLOOKUP(A1255,'[1]Global_Spot Prices'!$B:$B,'[1]Global_Spot Prices'!$E:$E)</f>
        <v>58.9</v>
      </c>
      <c r="D1255">
        <f>_xlfn.XLOOKUP(A1255,'[1]Global_Spot Prices'!$B:$B,'[1]Global_Spot Prices'!$D:$D)</f>
        <v>60.325000000000003</v>
      </c>
      <c r="E1255">
        <f>_xlfn.XLOOKUP(A1255,'[1]Global_Spot Prices'!$B:$B,'[1]Global_Spot Prices'!$H:$H)</f>
        <v>56.64</v>
      </c>
      <c r="F1255">
        <f>_xlfn.XLOOKUP(A1255,'[1]Global_Spot Prices'!$B:$B,'[1]Global_Spot Prices'!$I:$I)</f>
        <v>66.37</v>
      </c>
      <c r="G1255" cm="1">
        <f t="array" ref="G1255">_xlfn.XLOOKUP(TEXT(A1255, "mmm-yy"), TEXT([2]RUNS!$B$5:$B$208, "mmm-yy"), [2]RUNS!$D$5:$D$208, "Not Found")</f>
        <v>29415.119573986973</v>
      </c>
      <c r="H1255" cm="1">
        <f t="array" ref="H1255">SUMPRODUCT(
    --(TEXT('[3]Global Weekly Stock (EWSuez'!$B$4:$B$2000,"mmm-yy")=TEXT(A1255,"mmm-yy")),
    '[3]Global Weekly Stock (EWSuez'!$E$4:$E$2000)
/
SUMPRODUCT(
    --(TEXT('[3]Global Weekly Stock (EWSuez'!$B$4:$B$2000,"mmm-yy")=TEXT(A1255,"mmm-yy"))
)</f>
        <v>10865.5</v>
      </c>
      <c r="I1255">
        <f>_xlfn.XLOOKUP(A1255,[1]ForwardDeriv!$D:$D,[1]ForwardDeriv!$AJ:$AJ)</f>
        <v>1.5000000000000071</v>
      </c>
      <c r="J1255" cm="1">
        <f t="array" ref="J1255">_xlfn.XLOOKUP(TEXT(A1255, "mmm-yy"), TEXT([2]GASOLINE!$B$5:$B$208, "mmm-yy"), [2]GASOLINE!$IR$5:$IR$208, "Not Found")</f>
        <v>-77.691054157079122</v>
      </c>
      <c r="K1255" cm="1">
        <f t="array" ref="K1255">_xlfn.XLOOKUP(TEXT(A1255, "mmm-yy"), TEXT([2]GASOLINE!$B$5:$B$208, "mmm-yy"), [2]GASOLINE!$IK$5:$IK$208, "Not Found")</f>
        <v>171.08529940707612</v>
      </c>
      <c r="L1255">
        <f t="shared" si="19"/>
        <v>0</v>
      </c>
      <c r="M1255" cm="1">
        <f t="array" ref="M1255">_xlfn.XLOOKUP(TEXT(A1255, "mmm-yy"), TEXT([2]GASOLINE!$B$5:$B$208, "mmm-yy"), [2]GASOLINE!$C$5:$C$208, "Not Found")</f>
        <v>7355.6226273161701</v>
      </c>
      <c r="N1255" cm="1">
        <f t="array" ref="N1255">_xlfn.XLOOKUP(TEXT(A1255, "mmm-yy"), TEXT([2]RUNS!$B$5:$B$208, "mmm-yy"), [2]RUNS!$BM$5:$BM$208, "Not Found")</f>
        <v>0.81923943401234833</v>
      </c>
    </row>
    <row r="1256" spans="1:14" x14ac:dyDescent="0.25">
      <c r="A1256" s="1">
        <f>'[1]Global_Spot Prices'!$B2565</f>
        <v>43761</v>
      </c>
      <c r="B1256">
        <f>_xlfn.XLOOKUP(A1256,'[1]Global_Spot Prices'!$B:$B,'[1]Global_Spot Prices'!$BS:$BS)</f>
        <v>6.4699999999999989</v>
      </c>
      <c r="C1256">
        <f>_xlfn.XLOOKUP(A1256,'[1]Global_Spot Prices'!$B:$B,'[1]Global_Spot Prices'!$E:$E)</f>
        <v>59.61</v>
      </c>
      <c r="D1256">
        <f>_xlfn.XLOOKUP(A1256,'[1]Global_Spot Prices'!$B:$B,'[1]Global_Spot Prices'!$D:$D)</f>
        <v>60.43</v>
      </c>
      <c r="E1256">
        <f>_xlfn.XLOOKUP(A1256,'[1]Global_Spot Prices'!$B:$B,'[1]Global_Spot Prices'!$H:$H)</f>
        <v>57.22</v>
      </c>
      <c r="F1256">
        <f>_xlfn.XLOOKUP(A1256,'[1]Global_Spot Prices'!$B:$B,'[1]Global_Spot Prices'!$I:$I)</f>
        <v>66.08</v>
      </c>
      <c r="G1256" cm="1">
        <f t="array" ref="G1256">_xlfn.XLOOKUP(TEXT(A1256, "mmm-yy"), TEXT([2]RUNS!$B$5:$B$208, "mmm-yy"), [2]RUNS!$D$5:$D$208, "Not Found")</f>
        <v>29415.119573986973</v>
      </c>
      <c r="H1256" cm="1">
        <f t="array" ref="H1256">SUMPRODUCT(
    --(TEXT('[3]Global Weekly Stock (EWSuez'!$B$4:$B$2000,"mmm-yy")=TEXT(A1256,"mmm-yy")),
    '[3]Global Weekly Stock (EWSuez'!$E$4:$E$2000)
/
SUMPRODUCT(
    --(TEXT('[3]Global Weekly Stock (EWSuez'!$B$4:$B$2000,"mmm-yy")=TEXT(A1256,"mmm-yy"))
)</f>
        <v>10865.5</v>
      </c>
      <c r="I1256">
        <f>_xlfn.XLOOKUP(A1256,[1]ForwardDeriv!$D:$D,[1]ForwardDeriv!$AJ:$AJ)</f>
        <v>1.3000000000000043</v>
      </c>
      <c r="J1256" cm="1">
        <f t="array" ref="J1256">_xlfn.XLOOKUP(TEXT(A1256, "mmm-yy"), TEXT([2]GASOLINE!$B$5:$B$208, "mmm-yy"), [2]GASOLINE!$IR$5:$IR$208, "Not Found")</f>
        <v>-77.691054157079122</v>
      </c>
      <c r="K1256" cm="1">
        <f t="array" ref="K1256">_xlfn.XLOOKUP(TEXT(A1256, "mmm-yy"), TEXT([2]GASOLINE!$B$5:$B$208, "mmm-yy"), [2]GASOLINE!$IK$5:$IK$208, "Not Found")</f>
        <v>171.08529940707612</v>
      </c>
      <c r="L1256">
        <f t="shared" si="19"/>
        <v>0</v>
      </c>
      <c r="M1256" cm="1">
        <f t="array" ref="M1256">_xlfn.XLOOKUP(TEXT(A1256, "mmm-yy"), TEXT([2]GASOLINE!$B$5:$B$208, "mmm-yy"), [2]GASOLINE!$C$5:$C$208, "Not Found")</f>
        <v>7355.6226273161701</v>
      </c>
      <c r="N1256" cm="1">
        <f t="array" ref="N1256">_xlfn.XLOOKUP(TEXT(A1256, "mmm-yy"), TEXT([2]RUNS!$B$5:$B$208, "mmm-yy"), [2]RUNS!$BM$5:$BM$208, "Not Found")</f>
        <v>0.81923943401234833</v>
      </c>
    </row>
    <row r="1257" spans="1:14" x14ac:dyDescent="0.25">
      <c r="A1257" s="1">
        <f>'[1]Global_Spot Prices'!$B2566</f>
        <v>43762</v>
      </c>
      <c r="B1257">
        <f>_xlfn.XLOOKUP(A1257,'[1]Global_Spot Prices'!$B:$B,'[1]Global_Spot Prices'!$BS:$BS)</f>
        <v>6.3500000000000014</v>
      </c>
      <c r="C1257">
        <f ca="1">_xlfn.XLOOKUP(A1257,'[1]Global_Spot Prices'!$B:$B,'[1]Global_Spot Prices'!$E:$E)</f>
        <v>61.01</v>
      </c>
      <c r="D1257">
        <f>_xlfn.XLOOKUP(A1257,'[1]Global_Spot Prices'!$B:$B,'[1]Global_Spot Prices'!$D:$D)</f>
        <v>61.59</v>
      </c>
      <c r="E1257">
        <f>_xlfn.XLOOKUP(A1257,'[1]Global_Spot Prices'!$B:$B,'[1]Global_Spot Prices'!$H:$H)</f>
        <v>57.94</v>
      </c>
      <c r="F1257">
        <f>_xlfn.XLOOKUP(A1257,'[1]Global_Spot Prices'!$B:$B,'[1]Global_Spot Prices'!$I:$I)</f>
        <v>67.36</v>
      </c>
      <c r="G1257" cm="1">
        <f t="array" ref="G1257">_xlfn.XLOOKUP(TEXT(A1257, "mmm-yy"), TEXT([2]RUNS!$B$5:$B$208, "mmm-yy"), [2]RUNS!$D$5:$D$208, "Not Found")</f>
        <v>29415.119573986973</v>
      </c>
      <c r="H1257" cm="1">
        <f t="array" ref="H1257">SUMPRODUCT(
    --(TEXT('[3]Global Weekly Stock (EWSuez'!$B$4:$B$2000,"mmm-yy")=TEXT(A1257,"mmm-yy")),
    '[3]Global Weekly Stock (EWSuez'!$E$4:$E$2000)
/
SUMPRODUCT(
    --(TEXT('[3]Global Weekly Stock (EWSuez'!$B$4:$B$2000,"mmm-yy")=TEXT(A1257,"mmm-yy"))
)</f>
        <v>10865.5</v>
      </c>
      <c r="I1257">
        <f>_xlfn.XLOOKUP(A1257,[1]ForwardDeriv!$D:$D,[1]ForwardDeriv!$AJ:$AJ)</f>
        <v>1.3700000000000045</v>
      </c>
      <c r="J1257" cm="1">
        <f t="array" ref="J1257">_xlfn.XLOOKUP(TEXT(A1257, "mmm-yy"), TEXT([2]GASOLINE!$B$5:$B$208, "mmm-yy"), [2]GASOLINE!$IR$5:$IR$208, "Not Found")</f>
        <v>-77.691054157079122</v>
      </c>
      <c r="K1257" cm="1">
        <f t="array" ref="K1257">_xlfn.XLOOKUP(TEXT(A1257, "mmm-yy"), TEXT([2]GASOLINE!$B$5:$B$208, "mmm-yy"), [2]GASOLINE!$IK$5:$IK$208, "Not Found")</f>
        <v>171.08529940707612</v>
      </c>
      <c r="L1257">
        <f t="shared" si="19"/>
        <v>0</v>
      </c>
      <c r="M1257" cm="1">
        <f t="array" ref="M1257">_xlfn.XLOOKUP(TEXT(A1257, "mmm-yy"), TEXT([2]GASOLINE!$B$5:$B$208, "mmm-yy"), [2]GASOLINE!$C$5:$C$208, "Not Found")</f>
        <v>7355.6226273161701</v>
      </c>
      <c r="N1257" cm="1">
        <f t="array" ref="N1257">_xlfn.XLOOKUP(TEXT(A1257, "mmm-yy"), TEXT([2]RUNS!$B$5:$B$208, "mmm-yy"), [2]RUNS!$BM$5:$BM$208, "Not Found")</f>
        <v>0.81923943401234833</v>
      </c>
    </row>
    <row r="1258" spans="1:14" x14ac:dyDescent="0.25">
      <c r="A1258" s="1">
        <f>'[1]Global_Spot Prices'!$B2567</f>
        <v>43763</v>
      </c>
      <c r="B1258">
        <f>_xlfn.XLOOKUP(A1258,'[1]Global_Spot Prices'!$B:$B,'[1]Global_Spot Prices'!$BS:$BS)</f>
        <v>7.2599999999999909</v>
      </c>
      <c r="C1258">
        <f>_xlfn.XLOOKUP(A1258,'[1]Global_Spot Prices'!$B:$B,'[1]Global_Spot Prices'!$E:$E)</f>
        <v>61.45</v>
      </c>
      <c r="D1258">
        <f>_xlfn.XLOOKUP(A1258,'[1]Global_Spot Prices'!$B:$B,'[1]Global_Spot Prices'!$D:$D)</f>
        <v>61.88</v>
      </c>
      <c r="E1258">
        <f>_xlfn.XLOOKUP(A1258,'[1]Global_Spot Prices'!$B:$B,'[1]Global_Spot Prices'!$H:$H)</f>
        <v>57.79</v>
      </c>
      <c r="F1258">
        <f>_xlfn.XLOOKUP(A1258,'[1]Global_Spot Prices'!$B:$B,'[1]Global_Spot Prices'!$I:$I)</f>
        <v>68.709999999999994</v>
      </c>
      <c r="G1258" cm="1">
        <f t="array" ref="G1258">_xlfn.XLOOKUP(TEXT(A1258, "mmm-yy"), TEXT([2]RUNS!$B$5:$B$208, "mmm-yy"), [2]RUNS!$D$5:$D$208, "Not Found")</f>
        <v>29415.119573986973</v>
      </c>
      <c r="H1258" cm="1">
        <f t="array" ref="H1258">SUMPRODUCT(
    --(TEXT('[3]Global Weekly Stock (EWSuez'!$B$4:$B$2000,"mmm-yy")=TEXT(A1258,"mmm-yy")),
    '[3]Global Weekly Stock (EWSuez'!$E$4:$E$2000)
/
SUMPRODUCT(
    --(TEXT('[3]Global Weekly Stock (EWSuez'!$B$4:$B$2000,"mmm-yy")=TEXT(A1258,"mmm-yy"))
)</f>
        <v>10865.5</v>
      </c>
      <c r="I1258">
        <f>_xlfn.XLOOKUP(A1258,[1]ForwardDeriv!$D:$D,[1]ForwardDeriv!$AJ:$AJ)</f>
        <v>1.5</v>
      </c>
      <c r="J1258" cm="1">
        <f t="array" ref="J1258">_xlfn.XLOOKUP(TEXT(A1258, "mmm-yy"), TEXT([2]GASOLINE!$B$5:$B$208, "mmm-yy"), [2]GASOLINE!$IR$5:$IR$208, "Not Found")</f>
        <v>-77.691054157079122</v>
      </c>
      <c r="K1258" cm="1">
        <f t="array" ref="K1258">_xlfn.XLOOKUP(TEXT(A1258, "mmm-yy"), TEXT([2]GASOLINE!$B$5:$B$208, "mmm-yy"), [2]GASOLINE!$IK$5:$IK$208, "Not Found")</f>
        <v>171.08529940707612</v>
      </c>
      <c r="L1258">
        <f t="shared" si="19"/>
        <v>0</v>
      </c>
      <c r="M1258" cm="1">
        <f t="array" ref="M1258">_xlfn.XLOOKUP(TEXT(A1258, "mmm-yy"), TEXT([2]GASOLINE!$B$5:$B$208, "mmm-yy"), [2]GASOLINE!$C$5:$C$208, "Not Found")</f>
        <v>7355.6226273161701</v>
      </c>
      <c r="N1258" cm="1">
        <f t="array" ref="N1258">_xlfn.XLOOKUP(TEXT(A1258, "mmm-yy"), TEXT([2]RUNS!$B$5:$B$208, "mmm-yy"), [2]RUNS!$BM$5:$BM$208, "Not Found")</f>
        <v>0.81923943401234833</v>
      </c>
    </row>
    <row r="1259" spans="1:14" x14ac:dyDescent="0.25">
      <c r="A1259" s="1">
        <f>'[1]Global_Spot Prices'!$B2568</f>
        <v>43766</v>
      </c>
      <c r="B1259" t="e">
        <f>_xlfn.XLOOKUP(A1259,'[1]Global_Spot Prices'!$B:$B,'[1]Global_Spot Prices'!$BS:$BS)</f>
        <v>#N/A</v>
      </c>
      <c r="C1259" t="str">
        <f>_xlfn.XLOOKUP(A1259,'[1]Global_Spot Prices'!$B:$B,'[1]Global_Spot Prices'!$E:$E)</f>
        <v/>
      </c>
      <c r="D1259">
        <f>_xlfn.XLOOKUP(A1259,'[1]Global_Spot Prices'!$B:$B,'[1]Global_Spot Prices'!$D:$D)</f>
        <v>60.524999999999999</v>
      </c>
      <c r="E1259">
        <f>_xlfn.XLOOKUP(A1259,'[1]Global_Spot Prices'!$B:$B,'[1]Global_Spot Prices'!$H:$H)</f>
        <v>0</v>
      </c>
      <c r="F1259">
        <f>_xlfn.XLOOKUP(A1259,'[1]Global_Spot Prices'!$B:$B,'[1]Global_Spot Prices'!$I:$I)</f>
        <v>0</v>
      </c>
      <c r="G1259" cm="1">
        <f t="array" ref="G1259">_xlfn.XLOOKUP(TEXT(A1259, "mmm-yy"), TEXT([2]RUNS!$B$5:$B$208, "mmm-yy"), [2]RUNS!$D$5:$D$208, "Not Found")</f>
        <v>29415.119573986973</v>
      </c>
      <c r="H1259" cm="1">
        <f t="array" ref="H1259">SUMPRODUCT(
    --(TEXT('[3]Global Weekly Stock (EWSuez'!$B$4:$B$2000,"mmm-yy")=TEXT(A1259,"mmm-yy")),
    '[3]Global Weekly Stock (EWSuez'!$E$4:$E$2000)
/
SUMPRODUCT(
    --(TEXT('[3]Global Weekly Stock (EWSuez'!$B$4:$B$2000,"mmm-yy")=TEXT(A1259,"mmm-yy"))
)</f>
        <v>10865.5</v>
      </c>
      <c r="I1259">
        <f>_xlfn.XLOOKUP(A1259,[1]ForwardDeriv!$D:$D,[1]ForwardDeriv!$AJ:$AJ)</f>
        <v>1.539999999999992</v>
      </c>
      <c r="J1259" cm="1">
        <f t="array" ref="J1259">_xlfn.XLOOKUP(TEXT(A1259, "mmm-yy"), TEXT([2]GASOLINE!$B$5:$B$208, "mmm-yy"), [2]GASOLINE!$IR$5:$IR$208, "Not Found")</f>
        <v>-77.691054157079122</v>
      </c>
      <c r="K1259" cm="1">
        <f t="array" ref="K1259">_xlfn.XLOOKUP(TEXT(A1259, "mmm-yy"), TEXT([2]GASOLINE!$B$5:$B$208, "mmm-yy"), [2]GASOLINE!$IK$5:$IK$208, "Not Found")</f>
        <v>171.08529940707612</v>
      </c>
      <c r="L1259">
        <f t="shared" si="19"/>
        <v>0</v>
      </c>
      <c r="M1259" cm="1">
        <f t="array" ref="M1259">_xlfn.XLOOKUP(TEXT(A1259, "mmm-yy"), TEXT([2]GASOLINE!$B$5:$B$208, "mmm-yy"), [2]GASOLINE!$C$5:$C$208, "Not Found")</f>
        <v>7355.6226273161701</v>
      </c>
      <c r="N1259" cm="1">
        <f t="array" ref="N1259">_xlfn.XLOOKUP(TEXT(A1259, "mmm-yy"), TEXT([2]RUNS!$B$5:$B$208, "mmm-yy"), [2]RUNS!$BM$5:$BM$208, "Not Found")</f>
        <v>0.81923943401234833</v>
      </c>
    </row>
    <row r="1260" spans="1:14" x14ac:dyDescent="0.25">
      <c r="A1260" s="1">
        <f>'[1]Global_Spot Prices'!$B2569</f>
        <v>43767</v>
      </c>
      <c r="B1260">
        <f>_xlfn.XLOOKUP(A1260,'[1]Global_Spot Prices'!$B:$B,'[1]Global_Spot Prices'!$BS:$BS)</f>
        <v>6.259999999999998</v>
      </c>
      <c r="C1260">
        <f>_xlfn.XLOOKUP(A1260,'[1]Global_Spot Prices'!$B:$B,'[1]Global_Spot Prices'!$E:$E)</f>
        <v>60.99</v>
      </c>
      <c r="D1260">
        <f>_xlfn.XLOOKUP(A1260,'[1]Global_Spot Prices'!$B:$B,'[1]Global_Spot Prices'!$D:$D)</f>
        <v>61.094999999999999</v>
      </c>
      <c r="E1260">
        <f>_xlfn.XLOOKUP(A1260,'[1]Global_Spot Prices'!$B:$B,'[1]Global_Spot Prices'!$H:$H)</f>
        <v>57.62</v>
      </c>
      <c r="F1260">
        <f>_xlfn.XLOOKUP(A1260,'[1]Global_Spot Prices'!$B:$B,'[1]Global_Spot Prices'!$I:$I)</f>
        <v>67.25</v>
      </c>
      <c r="G1260" cm="1">
        <f t="array" ref="G1260">_xlfn.XLOOKUP(TEXT(A1260, "mmm-yy"), TEXT([2]RUNS!$B$5:$B$208, "mmm-yy"), [2]RUNS!$D$5:$D$208, "Not Found")</f>
        <v>29415.119573986973</v>
      </c>
      <c r="H1260" cm="1">
        <f t="array" ref="H1260">SUMPRODUCT(
    --(TEXT('[3]Global Weekly Stock (EWSuez'!$B$4:$B$2000,"mmm-yy")=TEXT(A1260,"mmm-yy")),
    '[3]Global Weekly Stock (EWSuez'!$E$4:$E$2000)
/
SUMPRODUCT(
    --(TEXT('[3]Global Weekly Stock (EWSuez'!$B$4:$B$2000,"mmm-yy")=TEXT(A1260,"mmm-yy"))
)</f>
        <v>10865.5</v>
      </c>
      <c r="I1260">
        <f>_xlfn.XLOOKUP(A1260,[1]ForwardDeriv!$D:$D,[1]ForwardDeriv!$AJ:$AJ)</f>
        <v>1.539999999999992</v>
      </c>
      <c r="J1260" cm="1">
        <f t="array" ref="J1260">_xlfn.XLOOKUP(TEXT(A1260, "mmm-yy"), TEXT([2]GASOLINE!$B$5:$B$208, "mmm-yy"), [2]GASOLINE!$IR$5:$IR$208, "Not Found")</f>
        <v>-77.691054157079122</v>
      </c>
      <c r="K1260" cm="1">
        <f t="array" ref="K1260">_xlfn.XLOOKUP(TEXT(A1260, "mmm-yy"), TEXT([2]GASOLINE!$B$5:$B$208, "mmm-yy"), [2]GASOLINE!$IK$5:$IK$208, "Not Found")</f>
        <v>171.08529940707612</v>
      </c>
      <c r="L1260">
        <f t="shared" si="19"/>
        <v>0</v>
      </c>
      <c r="M1260" cm="1">
        <f t="array" ref="M1260">_xlfn.XLOOKUP(TEXT(A1260, "mmm-yy"), TEXT([2]GASOLINE!$B$5:$B$208, "mmm-yy"), [2]GASOLINE!$C$5:$C$208, "Not Found")</f>
        <v>7355.6226273161701</v>
      </c>
      <c r="N1260" cm="1">
        <f t="array" ref="N1260">_xlfn.XLOOKUP(TEXT(A1260, "mmm-yy"), TEXT([2]RUNS!$B$5:$B$208, "mmm-yy"), [2]RUNS!$BM$5:$BM$208, "Not Found")</f>
        <v>0.81923943401234833</v>
      </c>
    </row>
    <row r="1261" spans="1:14" x14ac:dyDescent="0.25">
      <c r="A1261" s="1">
        <f>'[1]Global_Spot Prices'!$B2570</f>
        <v>43768</v>
      </c>
      <c r="B1261">
        <f>_xlfn.XLOOKUP(A1261,'[1]Global_Spot Prices'!$B:$B,'[1]Global_Spot Prices'!$BS:$BS)</f>
        <v>6.4099999999999966</v>
      </c>
      <c r="C1261">
        <f>_xlfn.XLOOKUP(A1261,'[1]Global_Spot Prices'!$B:$B,'[1]Global_Spot Prices'!$E:$E)</f>
        <v>61.31</v>
      </c>
      <c r="D1261">
        <f>_xlfn.XLOOKUP(A1261,'[1]Global_Spot Prices'!$B:$B,'[1]Global_Spot Prices'!$D:$D)</f>
        <v>60.104999999999997</v>
      </c>
      <c r="E1261">
        <f>_xlfn.XLOOKUP(A1261,'[1]Global_Spot Prices'!$B:$B,'[1]Global_Spot Prices'!$H:$H)</f>
        <v>57.95</v>
      </c>
      <c r="F1261">
        <f>_xlfn.XLOOKUP(A1261,'[1]Global_Spot Prices'!$B:$B,'[1]Global_Spot Prices'!$I:$I)</f>
        <v>67.72</v>
      </c>
      <c r="G1261" cm="1">
        <f t="array" ref="G1261">_xlfn.XLOOKUP(TEXT(A1261, "mmm-yy"), TEXT([2]RUNS!$B$5:$B$208, "mmm-yy"), [2]RUNS!$D$5:$D$208, "Not Found")</f>
        <v>29415.119573986973</v>
      </c>
      <c r="H1261" cm="1">
        <f t="array" ref="H1261">SUMPRODUCT(
    --(TEXT('[3]Global Weekly Stock (EWSuez'!$B$4:$B$2000,"mmm-yy")=TEXT(A1261,"mmm-yy")),
    '[3]Global Weekly Stock (EWSuez'!$E$4:$E$2000)
/
SUMPRODUCT(
    --(TEXT('[3]Global Weekly Stock (EWSuez'!$B$4:$B$2000,"mmm-yy")=TEXT(A1261,"mmm-yy"))
)</f>
        <v>10865.5</v>
      </c>
      <c r="I1261">
        <f>_xlfn.XLOOKUP(A1261,[1]ForwardDeriv!$D:$D,[1]ForwardDeriv!$AJ:$AJ)</f>
        <v>1.4399999999999977</v>
      </c>
      <c r="J1261" cm="1">
        <f t="array" ref="J1261">_xlfn.XLOOKUP(TEXT(A1261, "mmm-yy"), TEXT([2]GASOLINE!$B$5:$B$208, "mmm-yy"), [2]GASOLINE!$IR$5:$IR$208, "Not Found")</f>
        <v>-77.691054157079122</v>
      </c>
      <c r="K1261" cm="1">
        <f t="array" ref="K1261">_xlfn.XLOOKUP(TEXT(A1261, "mmm-yy"), TEXT([2]GASOLINE!$B$5:$B$208, "mmm-yy"), [2]GASOLINE!$IK$5:$IK$208, "Not Found")</f>
        <v>171.08529940707612</v>
      </c>
      <c r="L1261">
        <f t="shared" si="19"/>
        <v>0</v>
      </c>
      <c r="M1261" cm="1">
        <f t="array" ref="M1261">_xlfn.XLOOKUP(TEXT(A1261, "mmm-yy"), TEXT([2]GASOLINE!$B$5:$B$208, "mmm-yy"), [2]GASOLINE!$C$5:$C$208, "Not Found")</f>
        <v>7355.6226273161701</v>
      </c>
      <c r="N1261" cm="1">
        <f t="array" ref="N1261">_xlfn.XLOOKUP(TEXT(A1261, "mmm-yy"), TEXT([2]RUNS!$B$5:$B$208, "mmm-yy"), [2]RUNS!$BM$5:$BM$208, "Not Found")</f>
        <v>0.81923943401234833</v>
      </c>
    </row>
    <row r="1262" spans="1:14" x14ac:dyDescent="0.25">
      <c r="A1262" s="1">
        <f>'[1]Global_Spot Prices'!$B2571</f>
        <v>43769</v>
      </c>
      <c r="B1262">
        <f>_xlfn.XLOOKUP(A1262,'[1]Global_Spot Prices'!$B:$B,'[1]Global_Spot Prices'!$BS:$BS)</f>
        <v>5.960000000000008</v>
      </c>
      <c r="C1262">
        <f>_xlfn.XLOOKUP(A1262,'[1]Global_Spot Prices'!$B:$B,'[1]Global_Spot Prices'!$E:$E)</f>
        <v>61.05</v>
      </c>
      <c r="D1262">
        <f ca="1">_xlfn.XLOOKUP(A1262,'[1]Global_Spot Prices'!$B:$B,'[1]Global_Spot Prices'!$D:$D)</f>
        <v>59.22</v>
      </c>
      <c r="E1262">
        <f>_xlfn.XLOOKUP(A1262,'[1]Global_Spot Prices'!$B:$B,'[1]Global_Spot Prices'!$H:$H)</f>
        <v>58.31</v>
      </c>
      <c r="F1262">
        <f>_xlfn.XLOOKUP(A1262,'[1]Global_Spot Prices'!$B:$B,'[1]Global_Spot Prices'!$I:$I)</f>
        <v>67.010000000000005</v>
      </c>
      <c r="G1262" cm="1">
        <f t="array" ref="G1262">_xlfn.XLOOKUP(TEXT(A1262, "mmm-yy"), TEXT([2]RUNS!$B$5:$B$208, "mmm-yy"), [2]RUNS!$D$5:$D$208, "Not Found")</f>
        <v>29415.119573986973</v>
      </c>
      <c r="H1262" cm="1">
        <f t="array" ref="H1262">SUMPRODUCT(
    --(TEXT('[3]Global Weekly Stock (EWSuez'!$B$4:$B$2000,"mmm-yy")=TEXT(A1262,"mmm-yy")),
    '[3]Global Weekly Stock (EWSuez'!$E$4:$E$2000)
/
SUMPRODUCT(
    --(TEXT('[3]Global Weekly Stock (EWSuez'!$B$4:$B$2000,"mmm-yy")=TEXT(A1262,"mmm-yy"))
)</f>
        <v>10865.5</v>
      </c>
      <c r="I1262">
        <f>_xlfn.XLOOKUP(A1262,[1]ForwardDeriv!$D:$D,[1]ForwardDeriv!$AJ:$AJ)</f>
        <v>1.4699999999999989</v>
      </c>
      <c r="J1262" cm="1">
        <f t="array" ref="J1262">_xlfn.XLOOKUP(TEXT(A1262, "mmm-yy"), TEXT([2]GASOLINE!$B$5:$B$208, "mmm-yy"), [2]GASOLINE!$IR$5:$IR$208, "Not Found")</f>
        <v>-77.691054157079122</v>
      </c>
      <c r="K1262" cm="1">
        <f t="array" ref="K1262">_xlfn.XLOOKUP(TEXT(A1262, "mmm-yy"), TEXT([2]GASOLINE!$B$5:$B$208, "mmm-yy"), [2]GASOLINE!$IK$5:$IK$208, "Not Found")</f>
        <v>171.08529940707612</v>
      </c>
      <c r="L1262">
        <f t="shared" si="19"/>
        <v>0</v>
      </c>
      <c r="M1262" cm="1">
        <f t="array" ref="M1262">_xlfn.XLOOKUP(TEXT(A1262, "mmm-yy"), TEXT([2]GASOLINE!$B$5:$B$208, "mmm-yy"), [2]GASOLINE!$C$5:$C$208, "Not Found")</f>
        <v>7355.6226273161701</v>
      </c>
      <c r="N1262" cm="1">
        <f t="array" ref="N1262">_xlfn.XLOOKUP(TEXT(A1262, "mmm-yy"), TEXT([2]RUNS!$B$5:$B$208, "mmm-yy"), [2]RUNS!$BM$5:$BM$208, "Not Found")</f>
        <v>0.81923943401234833</v>
      </c>
    </row>
    <row r="1263" spans="1:14" x14ac:dyDescent="0.25">
      <c r="A1263" s="1">
        <f>'[1]Global_Spot Prices'!$B2572</f>
        <v>43770</v>
      </c>
      <c r="B1263">
        <f>_xlfn.XLOOKUP(A1263,'[1]Global_Spot Prices'!$B:$B,'[1]Global_Spot Prices'!$BS:$BS)</f>
        <v>7.8400000000000034</v>
      </c>
      <c r="C1263">
        <f>_xlfn.XLOOKUP(A1263,'[1]Global_Spot Prices'!$B:$B,'[1]Global_Spot Prices'!$E:$E)</f>
        <v>58.7</v>
      </c>
      <c r="D1263">
        <f>_xlfn.XLOOKUP(A1263,'[1]Global_Spot Prices'!$B:$B,'[1]Global_Spot Prices'!$D:$D)</f>
        <v>60.34</v>
      </c>
      <c r="E1263">
        <f>_xlfn.XLOOKUP(A1263,'[1]Global_Spot Prices'!$B:$B,'[1]Global_Spot Prices'!$H:$H)</f>
        <v>57.37</v>
      </c>
      <c r="F1263">
        <f>_xlfn.XLOOKUP(A1263,'[1]Global_Spot Prices'!$B:$B,'[1]Global_Spot Prices'!$I:$I)</f>
        <v>66.540000000000006</v>
      </c>
      <c r="G1263" cm="1">
        <f t="array" ref="G1263">_xlfn.XLOOKUP(TEXT(A1263, "mmm-yy"), TEXT([2]RUNS!$B$5:$B$208, "mmm-yy"), [2]RUNS!$D$5:$D$208, "Not Found")</f>
        <v>30592.037106424777</v>
      </c>
      <c r="H1263" cm="1">
        <f t="array" ref="H1263">SUMPRODUCT(
    --(TEXT('[3]Global Weekly Stock (EWSuez'!$B$4:$B$2000,"mmm-yy")=TEXT(A1263,"mmm-yy")),
    '[3]Global Weekly Stock (EWSuez'!$E$4:$E$2000)
/
SUMPRODUCT(
    --(TEXT('[3]Global Weekly Stock (EWSuez'!$B$4:$B$2000,"mmm-yy")=TEXT(A1263,"mmm-yy"))
)</f>
        <v>11148.4</v>
      </c>
      <c r="I1263">
        <f>_xlfn.XLOOKUP(A1263,[1]ForwardDeriv!$D:$D,[1]ForwardDeriv!$AJ:$AJ)</f>
        <v>0.38000000000000256</v>
      </c>
      <c r="J1263" cm="1">
        <f t="array" ref="J1263">_xlfn.XLOOKUP(TEXT(A1263, "mmm-yy"), TEXT([2]GASOLINE!$B$5:$B$208, "mmm-yy"), [2]GASOLINE!$IR$5:$IR$208, "Not Found")</f>
        <v>128.98500463479149</v>
      </c>
      <c r="K1263" cm="1">
        <f t="array" ref="K1263">_xlfn.XLOOKUP(TEXT(A1263, "mmm-yy"), TEXT([2]GASOLINE!$B$5:$B$208, "mmm-yy"), [2]GASOLINE!$IK$5:$IK$208, "Not Found")</f>
        <v>171.54643055336143</v>
      </c>
      <c r="L1263">
        <f t="shared" si="19"/>
        <v>0</v>
      </c>
      <c r="M1263" cm="1">
        <f t="array" ref="M1263">_xlfn.XLOOKUP(TEXT(A1263, "mmm-yy"), TEXT([2]GASOLINE!$B$5:$B$208, "mmm-yy"), [2]GASOLINE!$C$5:$C$208, "Not Found")</f>
        <v>7271.7408446849477</v>
      </c>
      <c r="N1263" cm="1">
        <f t="array" ref="N1263">_xlfn.XLOOKUP(TEXT(A1263, "mmm-yy"), TEXT([2]RUNS!$B$5:$B$208, "mmm-yy"), [2]RUNS!$BM$5:$BM$208, "Not Found")</f>
        <v>0.85201772174727974</v>
      </c>
    </row>
    <row r="1264" spans="1:14" x14ac:dyDescent="0.25">
      <c r="A1264" s="1">
        <f>'[1]Global_Spot Prices'!$B2573</f>
        <v>43773</v>
      </c>
      <c r="B1264">
        <f>_xlfn.XLOOKUP(A1264,'[1]Global_Spot Prices'!$B:$B,'[1]Global_Spot Prices'!$BS:$BS)</f>
        <v>7.6799999999999926</v>
      </c>
      <c r="C1264">
        <f>_xlfn.XLOOKUP(A1264,'[1]Global_Spot Prices'!$B:$B,'[1]Global_Spot Prices'!$E:$E)</f>
        <v>60.7</v>
      </c>
      <c r="D1264">
        <f>_xlfn.XLOOKUP(A1264,'[1]Global_Spot Prices'!$B:$B,'[1]Global_Spot Prices'!$D:$D)</f>
        <v>62.515000000000001</v>
      </c>
      <c r="E1264">
        <f>_xlfn.XLOOKUP(A1264,'[1]Global_Spot Prices'!$B:$B,'[1]Global_Spot Prices'!$H:$H)</f>
        <v>59.27</v>
      </c>
      <c r="F1264">
        <f>_xlfn.XLOOKUP(A1264,'[1]Global_Spot Prices'!$B:$B,'[1]Global_Spot Prices'!$I:$I)</f>
        <v>68.38</v>
      </c>
      <c r="G1264" cm="1">
        <f t="array" ref="G1264">_xlfn.XLOOKUP(TEXT(A1264, "mmm-yy"), TEXT([2]RUNS!$B$5:$B$208, "mmm-yy"), [2]RUNS!$D$5:$D$208, "Not Found")</f>
        <v>30592.037106424777</v>
      </c>
      <c r="H1264" cm="1">
        <f t="array" ref="H1264">SUMPRODUCT(
    --(TEXT('[3]Global Weekly Stock (EWSuez'!$B$4:$B$2000,"mmm-yy")=TEXT(A1264,"mmm-yy")),
    '[3]Global Weekly Stock (EWSuez'!$E$4:$E$2000)
/
SUMPRODUCT(
    --(TEXT('[3]Global Weekly Stock (EWSuez'!$B$4:$B$2000,"mmm-yy")=TEXT(A1264,"mmm-yy"))
)</f>
        <v>11148.4</v>
      </c>
      <c r="I1264">
        <f>_xlfn.XLOOKUP(A1264,[1]ForwardDeriv!$D:$D,[1]ForwardDeriv!$AJ:$AJ)</f>
        <v>0.39000000000000057</v>
      </c>
      <c r="J1264" cm="1">
        <f t="array" ref="J1264">_xlfn.XLOOKUP(TEXT(A1264, "mmm-yy"), TEXT([2]GASOLINE!$B$5:$B$208, "mmm-yy"), [2]GASOLINE!$IR$5:$IR$208, "Not Found")</f>
        <v>128.98500463479149</v>
      </c>
      <c r="K1264" cm="1">
        <f t="array" ref="K1264">_xlfn.XLOOKUP(TEXT(A1264, "mmm-yy"), TEXT([2]GASOLINE!$B$5:$B$208, "mmm-yy"), [2]GASOLINE!$IK$5:$IK$208, "Not Found")</f>
        <v>171.54643055336143</v>
      </c>
      <c r="L1264">
        <f t="shared" si="19"/>
        <v>0</v>
      </c>
      <c r="M1264" cm="1">
        <f t="array" ref="M1264">_xlfn.XLOOKUP(TEXT(A1264, "mmm-yy"), TEXT([2]GASOLINE!$B$5:$B$208, "mmm-yy"), [2]GASOLINE!$C$5:$C$208, "Not Found")</f>
        <v>7271.7408446849477</v>
      </c>
      <c r="N1264" cm="1">
        <f t="array" ref="N1264">_xlfn.XLOOKUP(TEXT(A1264, "mmm-yy"), TEXT([2]RUNS!$B$5:$B$208, "mmm-yy"), [2]RUNS!$BM$5:$BM$208, "Not Found")</f>
        <v>0.85201772174727974</v>
      </c>
    </row>
    <row r="1265" spans="1:14" x14ac:dyDescent="0.25">
      <c r="A1265" s="1">
        <f>'[1]Global_Spot Prices'!$B2574</f>
        <v>43774</v>
      </c>
      <c r="B1265">
        <f>_xlfn.XLOOKUP(A1265,'[1]Global_Spot Prices'!$B:$B,'[1]Global_Spot Prices'!$BS:$BS)</f>
        <v>8.539999999999992</v>
      </c>
      <c r="C1265">
        <f>_xlfn.XLOOKUP(A1265,'[1]Global_Spot Prices'!$B:$B,'[1]Global_Spot Prices'!$E:$E)</f>
        <v>61.31</v>
      </c>
      <c r="D1265">
        <f>_xlfn.XLOOKUP(A1265,'[1]Global_Spot Prices'!$B:$B,'[1]Global_Spot Prices'!$D:$D)</f>
        <v>62.664999999999999</v>
      </c>
      <c r="E1265">
        <f>_xlfn.XLOOKUP(A1265,'[1]Global_Spot Prices'!$B:$B,'[1]Global_Spot Prices'!$H:$H)</f>
        <v>58.85</v>
      </c>
      <c r="F1265">
        <f>_xlfn.XLOOKUP(A1265,'[1]Global_Spot Prices'!$B:$B,'[1]Global_Spot Prices'!$I:$I)</f>
        <v>69.849999999999994</v>
      </c>
      <c r="G1265" cm="1">
        <f t="array" ref="G1265">_xlfn.XLOOKUP(TEXT(A1265, "mmm-yy"), TEXT([2]RUNS!$B$5:$B$208, "mmm-yy"), [2]RUNS!$D$5:$D$208, "Not Found")</f>
        <v>30592.037106424777</v>
      </c>
      <c r="H1265" cm="1">
        <f t="array" ref="H1265">SUMPRODUCT(
    --(TEXT('[3]Global Weekly Stock (EWSuez'!$B$4:$B$2000,"mmm-yy")=TEXT(A1265,"mmm-yy")),
    '[3]Global Weekly Stock (EWSuez'!$E$4:$E$2000)
/
SUMPRODUCT(
    --(TEXT('[3]Global Weekly Stock (EWSuez'!$B$4:$B$2000,"mmm-yy")=TEXT(A1265,"mmm-yy"))
)</f>
        <v>11148.4</v>
      </c>
      <c r="I1265">
        <f>_xlfn.XLOOKUP(A1265,[1]ForwardDeriv!$D:$D,[1]ForwardDeriv!$AJ:$AJ)</f>
        <v>0.37999999999999545</v>
      </c>
      <c r="J1265" cm="1">
        <f t="array" ref="J1265">_xlfn.XLOOKUP(TEXT(A1265, "mmm-yy"), TEXT([2]GASOLINE!$B$5:$B$208, "mmm-yy"), [2]GASOLINE!$IR$5:$IR$208, "Not Found")</f>
        <v>128.98500463479149</v>
      </c>
      <c r="K1265" cm="1">
        <f t="array" ref="K1265">_xlfn.XLOOKUP(TEXT(A1265, "mmm-yy"), TEXT([2]GASOLINE!$B$5:$B$208, "mmm-yy"), [2]GASOLINE!$IK$5:$IK$208, "Not Found")</f>
        <v>171.54643055336143</v>
      </c>
      <c r="L1265">
        <f t="shared" si="19"/>
        <v>0</v>
      </c>
      <c r="M1265" cm="1">
        <f t="array" ref="M1265">_xlfn.XLOOKUP(TEXT(A1265, "mmm-yy"), TEXT([2]GASOLINE!$B$5:$B$208, "mmm-yy"), [2]GASOLINE!$C$5:$C$208, "Not Found")</f>
        <v>7271.7408446849477</v>
      </c>
      <c r="N1265" cm="1">
        <f t="array" ref="N1265">_xlfn.XLOOKUP(TEXT(A1265, "mmm-yy"), TEXT([2]RUNS!$B$5:$B$208, "mmm-yy"), [2]RUNS!$BM$5:$BM$208, "Not Found")</f>
        <v>0.85201772174727974</v>
      </c>
    </row>
    <row r="1266" spans="1:14" x14ac:dyDescent="0.25">
      <c r="A1266" s="1">
        <f>'[1]Global_Spot Prices'!$B2575</f>
        <v>43775</v>
      </c>
      <c r="B1266">
        <f>_xlfn.XLOOKUP(A1266,'[1]Global_Spot Prices'!$B:$B,'[1]Global_Spot Prices'!$BS:$BS)</f>
        <v>8.759999999999998</v>
      </c>
      <c r="C1266">
        <f>_xlfn.XLOOKUP(A1266,'[1]Global_Spot Prices'!$B:$B,'[1]Global_Spot Prices'!$E:$E)</f>
        <v>61.52</v>
      </c>
      <c r="D1266">
        <f>_xlfn.XLOOKUP(A1266,'[1]Global_Spot Prices'!$B:$B,'[1]Global_Spot Prices'!$D:$D)</f>
        <v>62.1</v>
      </c>
      <c r="E1266">
        <f>_xlfn.XLOOKUP(A1266,'[1]Global_Spot Prices'!$B:$B,'[1]Global_Spot Prices'!$H:$H)</f>
        <v>57.71</v>
      </c>
      <c r="F1266">
        <f>_xlfn.XLOOKUP(A1266,'[1]Global_Spot Prices'!$B:$B,'[1]Global_Spot Prices'!$I:$I)</f>
        <v>70.28</v>
      </c>
      <c r="G1266" cm="1">
        <f t="array" ref="G1266">_xlfn.XLOOKUP(TEXT(A1266, "mmm-yy"), TEXT([2]RUNS!$B$5:$B$208, "mmm-yy"), [2]RUNS!$D$5:$D$208, "Not Found")</f>
        <v>30592.037106424777</v>
      </c>
      <c r="H1266" cm="1">
        <f t="array" ref="H1266">SUMPRODUCT(
    --(TEXT('[3]Global Weekly Stock (EWSuez'!$B$4:$B$2000,"mmm-yy")=TEXT(A1266,"mmm-yy")),
    '[3]Global Weekly Stock (EWSuez'!$E$4:$E$2000)
/
SUMPRODUCT(
    --(TEXT('[3]Global Weekly Stock (EWSuez'!$B$4:$B$2000,"mmm-yy")=TEXT(A1266,"mmm-yy"))
)</f>
        <v>11148.4</v>
      </c>
      <c r="I1266">
        <f>_xlfn.XLOOKUP(A1266,[1]ForwardDeriv!$D:$D,[1]ForwardDeriv!$AJ:$AJ)</f>
        <v>0.46000000000000796</v>
      </c>
      <c r="J1266" cm="1">
        <f t="array" ref="J1266">_xlfn.XLOOKUP(TEXT(A1266, "mmm-yy"), TEXT([2]GASOLINE!$B$5:$B$208, "mmm-yy"), [2]GASOLINE!$IR$5:$IR$208, "Not Found")</f>
        <v>128.98500463479149</v>
      </c>
      <c r="K1266" cm="1">
        <f t="array" ref="K1266">_xlfn.XLOOKUP(TEXT(A1266, "mmm-yy"), TEXT([2]GASOLINE!$B$5:$B$208, "mmm-yy"), [2]GASOLINE!$IK$5:$IK$208, "Not Found")</f>
        <v>171.54643055336143</v>
      </c>
      <c r="L1266">
        <f t="shared" si="19"/>
        <v>0</v>
      </c>
      <c r="M1266" cm="1">
        <f t="array" ref="M1266">_xlfn.XLOOKUP(TEXT(A1266, "mmm-yy"), TEXT([2]GASOLINE!$B$5:$B$208, "mmm-yy"), [2]GASOLINE!$C$5:$C$208, "Not Found")</f>
        <v>7271.7408446849477</v>
      </c>
      <c r="N1266" cm="1">
        <f t="array" ref="N1266">_xlfn.XLOOKUP(TEXT(A1266, "mmm-yy"), TEXT([2]RUNS!$B$5:$B$208, "mmm-yy"), [2]RUNS!$BM$5:$BM$208, "Not Found")</f>
        <v>0.85201772174727974</v>
      </c>
    </row>
    <row r="1267" spans="1:14" x14ac:dyDescent="0.25">
      <c r="A1267" s="1">
        <f>'[1]Global_Spot Prices'!$B2576</f>
        <v>43776</v>
      </c>
      <c r="B1267">
        <f>_xlfn.XLOOKUP(A1267,'[1]Global_Spot Prices'!$B:$B,'[1]Global_Spot Prices'!$BS:$BS)</f>
        <v>9.8800000000000026</v>
      </c>
      <c r="C1267">
        <f>_xlfn.XLOOKUP(A1267,'[1]Global_Spot Prices'!$B:$B,'[1]Global_Spot Prices'!$E:$E)</f>
        <v>61.15</v>
      </c>
      <c r="D1267">
        <f>_xlfn.XLOOKUP(A1267,'[1]Global_Spot Prices'!$B:$B,'[1]Global_Spot Prices'!$D:$D)</f>
        <v>62.53</v>
      </c>
      <c r="E1267">
        <f>_xlfn.XLOOKUP(A1267,'[1]Global_Spot Prices'!$B:$B,'[1]Global_Spot Prices'!$H:$H)</f>
        <v>56.46</v>
      </c>
      <c r="F1267">
        <f>_xlfn.XLOOKUP(A1267,'[1]Global_Spot Prices'!$B:$B,'[1]Global_Spot Prices'!$I:$I)</f>
        <v>71.03</v>
      </c>
      <c r="G1267" cm="1">
        <f t="array" ref="G1267">_xlfn.XLOOKUP(TEXT(A1267, "mmm-yy"), TEXT([2]RUNS!$B$5:$B$208, "mmm-yy"), [2]RUNS!$D$5:$D$208, "Not Found")</f>
        <v>30592.037106424777</v>
      </c>
      <c r="H1267" cm="1">
        <f t="array" ref="H1267">SUMPRODUCT(
    --(TEXT('[3]Global Weekly Stock (EWSuez'!$B$4:$B$2000,"mmm-yy")=TEXT(A1267,"mmm-yy")),
    '[3]Global Weekly Stock (EWSuez'!$E$4:$E$2000)
/
SUMPRODUCT(
    --(TEXT('[3]Global Weekly Stock (EWSuez'!$B$4:$B$2000,"mmm-yy")=TEXT(A1267,"mmm-yy"))
)</f>
        <v>11148.4</v>
      </c>
      <c r="I1267">
        <f>_xlfn.XLOOKUP(A1267,[1]ForwardDeriv!$D:$D,[1]ForwardDeriv!$AJ:$AJ)</f>
        <v>0.84999999999999432</v>
      </c>
      <c r="J1267" cm="1">
        <f t="array" ref="J1267">_xlfn.XLOOKUP(TEXT(A1267, "mmm-yy"), TEXT([2]GASOLINE!$B$5:$B$208, "mmm-yy"), [2]GASOLINE!$IR$5:$IR$208, "Not Found")</f>
        <v>128.98500463479149</v>
      </c>
      <c r="K1267" cm="1">
        <f t="array" ref="K1267">_xlfn.XLOOKUP(TEXT(A1267, "mmm-yy"), TEXT([2]GASOLINE!$B$5:$B$208, "mmm-yy"), [2]GASOLINE!$IK$5:$IK$208, "Not Found")</f>
        <v>171.54643055336143</v>
      </c>
      <c r="L1267">
        <f t="shared" si="19"/>
        <v>0</v>
      </c>
      <c r="M1267" cm="1">
        <f t="array" ref="M1267">_xlfn.XLOOKUP(TEXT(A1267, "mmm-yy"), TEXT([2]GASOLINE!$B$5:$B$208, "mmm-yy"), [2]GASOLINE!$C$5:$C$208, "Not Found")</f>
        <v>7271.7408446849477</v>
      </c>
      <c r="N1267" cm="1">
        <f t="array" ref="N1267">_xlfn.XLOOKUP(TEXT(A1267, "mmm-yy"), TEXT([2]RUNS!$B$5:$B$208, "mmm-yy"), [2]RUNS!$BM$5:$BM$208, "Not Found")</f>
        <v>0.85201772174727974</v>
      </c>
    </row>
    <row r="1268" spans="1:14" x14ac:dyDescent="0.25">
      <c r="A1268" s="1">
        <f>'[1]Global_Spot Prices'!$B2577</f>
        <v>43777</v>
      </c>
      <c r="B1268">
        <f>_xlfn.XLOOKUP(A1268,'[1]Global_Spot Prices'!$B:$B,'[1]Global_Spot Prices'!$BS:$BS)</f>
        <v>10.82</v>
      </c>
      <c r="C1268">
        <f>_xlfn.XLOOKUP(A1268,'[1]Global_Spot Prices'!$B:$B,'[1]Global_Spot Prices'!$E:$E)</f>
        <v>60.85</v>
      </c>
      <c r="D1268">
        <f>_xlfn.XLOOKUP(A1268,'[1]Global_Spot Prices'!$B:$B,'[1]Global_Spot Prices'!$D:$D)</f>
        <v>61.67</v>
      </c>
      <c r="E1268">
        <f>_xlfn.XLOOKUP(A1268,'[1]Global_Spot Prices'!$B:$B,'[1]Global_Spot Prices'!$H:$H)</f>
        <v>57.05</v>
      </c>
      <c r="F1268">
        <f>_xlfn.XLOOKUP(A1268,'[1]Global_Spot Prices'!$B:$B,'[1]Global_Spot Prices'!$I:$I)</f>
        <v>71.67</v>
      </c>
      <c r="G1268" cm="1">
        <f t="array" ref="G1268">_xlfn.XLOOKUP(TEXT(A1268, "mmm-yy"), TEXT([2]RUNS!$B$5:$B$208, "mmm-yy"), [2]RUNS!$D$5:$D$208, "Not Found")</f>
        <v>30592.037106424777</v>
      </c>
      <c r="H1268" cm="1">
        <f t="array" ref="H1268">SUMPRODUCT(
    --(TEXT('[3]Global Weekly Stock (EWSuez'!$B$4:$B$2000,"mmm-yy")=TEXT(A1268,"mmm-yy")),
    '[3]Global Weekly Stock (EWSuez'!$E$4:$E$2000)
/
SUMPRODUCT(
    --(TEXT('[3]Global Weekly Stock (EWSuez'!$B$4:$B$2000,"mmm-yy")=TEXT(A1268,"mmm-yy"))
)</f>
        <v>11148.4</v>
      </c>
      <c r="I1268">
        <f>_xlfn.XLOOKUP(A1268,[1]ForwardDeriv!$D:$D,[1]ForwardDeriv!$AJ:$AJ)</f>
        <v>0.81000000000000227</v>
      </c>
      <c r="J1268" cm="1">
        <f t="array" ref="J1268">_xlfn.XLOOKUP(TEXT(A1268, "mmm-yy"), TEXT([2]GASOLINE!$B$5:$B$208, "mmm-yy"), [2]GASOLINE!$IR$5:$IR$208, "Not Found")</f>
        <v>128.98500463479149</v>
      </c>
      <c r="K1268" cm="1">
        <f t="array" ref="K1268">_xlfn.XLOOKUP(TEXT(A1268, "mmm-yy"), TEXT([2]GASOLINE!$B$5:$B$208, "mmm-yy"), [2]GASOLINE!$IK$5:$IK$208, "Not Found")</f>
        <v>171.54643055336143</v>
      </c>
      <c r="L1268">
        <f t="shared" si="19"/>
        <v>0</v>
      </c>
      <c r="M1268" cm="1">
        <f t="array" ref="M1268">_xlfn.XLOOKUP(TEXT(A1268, "mmm-yy"), TEXT([2]GASOLINE!$B$5:$B$208, "mmm-yy"), [2]GASOLINE!$C$5:$C$208, "Not Found")</f>
        <v>7271.7408446849477</v>
      </c>
      <c r="N1268" cm="1">
        <f t="array" ref="N1268">_xlfn.XLOOKUP(TEXT(A1268, "mmm-yy"), TEXT([2]RUNS!$B$5:$B$208, "mmm-yy"), [2]RUNS!$BM$5:$BM$208, "Not Found")</f>
        <v>0.85201772174727974</v>
      </c>
    </row>
    <row r="1269" spans="1:14" x14ac:dyDescent="0.25">
      <c r="A1269" s="1">
        <f>'[1]Global_Spot Prices'!$B2578</f>
        <v>43780</v>
      </c>
      <c r="B1269">
        <f>_xlfn.XLOOKUP(A1269,'[1]Global_Spot Prices'!$B:$B,'[1]Global_Spot Prices'!$BS:$BS)</f>
        <v>11.190000000000005</v>
      </c>
      <c r="C1269">
        <f>_xlfn.XLOOKUP(A1269,'[1]Global_Spot Prices'!$B:$B,'[1]Global_Spot Prices'!$E:$E)</f>
        <v>61.12</v>
      </c>
      <c r="D1269">
        <f>_xlfn.XLOOKUP(A1269,'[1]Global_Spot Prices'!$B:$B,'[1]Global_Spot Prices'!$D:$D)</f>
        <v>62.344999999999999</v>
      </c>
      <c r="E1269">
        <f>_xlfn.XLOOKUP(A1269,'[1]Global_Spot Prices'!$B:$B,'[1]Global_Spot Prices'!$H:$H)</f>
        <v>57.22</v>
      </c>
      <c r="F1269">
        <f>_xlfn.XLOOKUP(A1269,'[1]Global_Spot Prices'!$B:$B,'[1]Global_Spot Prices'!$I:$I)</f>
        <v>72.31</v>
      </c>
      <c r="G1269" cm="1">
        <f t="array" ref="G1269">_xlfn.XLOOKUP(TEXT(A1269, "mmm-yy"), TEXT([2]RUNS!$B$5:$B$208, "mmm-yy"), [2]RUNS!$D$5:$D$208, "Not Found")</f>
        <v>30592.037106424777</v>
      </c>
      <c r="H1269" cm="1">
        <f t="array" ref="H1269">SUMPRODUCT(
    --(TEXT('[3]Global Weekly Stock (EWSuez'!$B$4:$B$2000,"mmm-yy")=TEXT(A1269,"mmm-yy")),
    '[3]Global Weekly Stock (EWSuez'!$E$4:$E$2000)
/
SUMPRODUCT(
    --(TEXT('[3]Global Weekly Stock (EWSuez'!$B$4:$B$2000,"mmm-yy")=TEXT(A1269,"mmm-yy"))
)</f>
        <v>11148.4</v>
      </c>
      <c r="I1269">
        <f>_xlfn.XLOOKUP(A1269,[1]ForwardDeriv!$D:$D,[1]ForwardDeriv!$AJ:$AJ)</f>
        <v>1.0499999999999972</v>
      </c>
      <c r="J1269" cm="1">
        <f t="array" ref="J1269">_xlfn.XLOOKUP(TEXT(A1269, "mmm-yy"), TEXT([2]GASOLINE!$B$5:$B$208, "mmm-yy"), [2]GASOLINE!$IR$5:$IR$208, "Not Found")</f>
        <v>128.98500463479149</v>
      </c>
      <c r="K1269" cm="1">
        <f t="array" ref="K1269">_xlfn.XLOOKUP(TEXT(A1269, "mmm-yy"), TEXT([2]GASOLINE!$B$5:$B$208, "mmm-yy"), [2]GASOLINE!$IK$5:$IK$208, "Not Found")</f>
        <v>171.54643055336143</v>
      </c>
      <c r="L1269">
        <f t="shared" si="19"/>
        <v>0</v>
      </c>
      <c r="M1269" cm="1">
        <f t="array" ref="M1269">_xlfn.XLOOKUP(TEXT(A1269, "mmm-yy"), TEXT([2]GASOLINE!$B$5:$B$208, "mmm-yy"), [2]GASOLINE!$C$5:$C$208, "Not Found")</f>
        <v>7271.7408446849477</v>
      </c>
      <c r="N1269" cm="1">
        <f t="array" ref="N1269">_xlfn.XLOOKUP(TEXT(A1269, "mmm-yy"), TEXT([2]RUNS!$B$5:$B$208, "mmm-yy"), [2]RUNS!$BM$5:$BM$208, "Not Found")</f>
        <v>0.85201772174727974</v>
      </c>
    </row>
    <row r="1270" spans="1:14" x14ac:dyDescent="0.25">
      <c r="A1270" s="1">
        <f>'[1]Global_Spot Prices'!$B2579</f>
        <v>43781</v>
      </c>
      <c r="B1270">
        <f ca="1">_xlfn.XLOOKUP(A1270,'[1]Global_Spot Prices'!$B:$B,'[1]Global_Spot Prices'!$BS:$BS)</f>
        <v>10.870000000000005</v>
      </c>
      <c r="C1270">
        <f>_xlfn.XLOOKUP(A1270,'[1]Global_Spot Prices'!$B:$B,'[1]Global_Spot Prices'!$E:$E)</f>
        <v>62.11</v>
      </c>
      <c r="D1270">
        <f>_xlfn.XLOOKUP(A1270,'[1]Global_Spot Prices'!$B:$B,'[1]Global_Spot Prices'!$D:$D)</f>
        <v>62.31</v>
      </c>
      <c r="E1270">
        <f>_xlfn.XLOOKUP(A1270,'[1]Global_Spot Prices'!$B:$B,'[1]Global_Spot Prices'!$H:$H)</f>
        <v>57.84</v>
      </c>
      <c r="F1270">
        <f>_xlfn.XLOOKUP(A1270,'[1]Global_Spot Prices'!$B:$B,'[1]Global_Spot Prices'!$I:$I)</f>
        <v>72.98</v>
      </c>
      <c r="G1270" cm="1">
        <f t="array" ref="G1270">_xlfn.XLOOKUP(TEXT(A1270, "mmm-yy"), TEXT([2]RUNS!$B$5:$B$208, "mmm-yy"), [2]RUNS!$D$5:$D$208, "Not Found")</f>
        <v>30592.037106424777</v>
      </c>
      <c r="H1270" cm="1">
        <f t="array" ref="H1270">SUMPRODUCT(
    --(TEXT('[3]Global Weekly Stock (EWSuez'!$B$4:$B$2000,"mmm-yy")=TEXT(A1270,"mmm-yy")),
    '[3]Global Weekly Stock (EWSuez'!$E$4:$E$2000)
/
SUMPRODUCT(
    --(TEXT('[3]Global Weekly Stock (EWSuez'!$B$4:$B$2000,"mmm-yy")=TEXT(A1270,"mmm-yy"))
)</f>
        <v>11148.4</v>
      </c>
      <c r="I1270">
        <f>_xlfn.XLOOKUP(A1270,[1]ForwardDeriv!$D:$D,[1]ForwardDeriv!$AJ:$AJ)</f>
        <v>1.3299999999999983</v>
      </c>
      <c r="J1270" cm="1">
        <f t="array" ref="J1270">_xlfn.XLOOKUP(TEXT(A1270, "mmm-yy"), TEXT([2]GASOLINE!$B$5:$B$208, "mmm-yy"), [2]GASOLINE!$IR$5:$IR$208, "Not Found")</f>
        <v>128.98500463479149</v>
      </c>
      <c r="K1270" cm="1">
        <f t="array" ref="K1270">_xlfn.XLOOKUP(TEXT(A1270, "mmm-yy"), TEXT([2]GASOLINE!$B$5:$B$208, "mmm-yy"), [2]GASOLINE!$IK$5:$IK$208, "Not Found")</f>
        <v>171.54643055336143</v>
      </c>
      <c r="L1270">
        <f t="shared" si="19"/>
        <v>0</v>
      </c>
      <c r="M1270" cm="1">
        <f t="array" ref="M1270">_xlfn.XLOOKUP(TEXT(A1270, "mmm-yy"), TEXT([2]GASOLINE!$B$5:$B$208, "mmm-yy"), [2]GASOLINE!$C$5:$C$208, "Not Found")</f>
        <v>7271.7408446849477</v>
      </c>
      <c r="N1270" cm="1">
        <f t="array" ref="N1270">_xlfn.XLOOKUP(TEXT(A1270, "mmm-yy"), TEXT([2]RUNS!$B$5:$B$208, "mmm-yy"), [2]RUNS!$BM$5:$BM$208, "Not Found")</f>
        <v>0.85201772174727974</v>
      </c>
    </row>
    <row r="1271" spans="1:14" x14ac:dyDescent="0.25">
      <c r="A1271" s="1">
        <f>'[1]Global_Spot Prices'!$B2580</f>
        <v>43782</v>
      </c>
      <c r="B1271">
        <f>_xlfn.XLOOKUP(A1271,'[1]Global_Spot Prices'!$B:$B,'[1]Global_Spot Prices'!$BS:$BS)</f>
        <v>10.670000000000002</v>
      </c>
      <c r="C1271">
        <f ca="1">_xlfn.XLOOKUP(A1271,'[1]Global_Spot Prices'!$B:$B,'[1]Global_Spot Prices'!$E:$E)</f>
        <v>61.45</v>
      </c>
      <c r="D1271">
        <f>_xlfn.XLOOKUP(A1271,'[1]Global_Spot Prices'!$B:$B,'[1]Global_Spot Prices'!$D:$D)</f>
        <v>62.22</v>
      </c>
      <c r="E1271">
        <f>_xlfn.XLOOKUP(A1271,'[1]Global_Spot Prices'!$B:$B,'[1]Global_Spot Prices'!$H:$H)</f>
        <v>57.23</v>
      </c>
      <c r="F1271">
        <f>_xlfn.XLOOKUP(A1271,'[1]Global_Spot Prices'!$B:$B,'[1]Global_Spot Prices'!$I:$I)</f>
        <v>72.12</v>
      </c>
      <c r="G1271" cm="1">
        <f t="array" ref="G1271">_xlfn.XLOOKUP(TEXT(A1271, "mmm-yy"), TEXT([2]RUNS!$B$5:$B$208, "mmm-yy"), [2]RUNS!$D$5:$D$208, "Not Found")</f>
        <v>30592.037106424777</v>
      </c>
      <c r="H1271" cm="1">
        <f t="array" ref="H1271">SUMPRODUCT(
    --(TEXT('[3]Global Weekly Stock (EWSuez'!$B$4:$B$2000,"mmm-yy")=TEXT(A1271,"mmm-yy")),
    '[3]Global Weekly Stock (EWSuez'!$E$4:$E$2000)
/
SUMPRODUCT(
    --(TEXT('[3]Global Weekly Stock (EWSuez'!$B$4:$B$2000,"mmm-yy")=TEXT(A1271,"mmm-yy"))
)</f>
        <v>11148.4</v>
      </c>
      <c r="I1271">
        <f>_xlfn.XLOOKUP(A1271,[1]ForwardDeriv!$D:$D,[1]ForwardDeriv!$AJ:$AJ)</f>
        <v>1.25</v>
      </c>
      <c r="J1271" cm="1">
        <f t="array" ref="J1271">_xlfn.XLOOKUP(TEXT(A1271, "mmm-yy"), TEXT([2]GASOLINE!$B$5:$B$208, "mmm-yy"), [2]GASOLINE!$IR$5:$IR$208, "Not Found")</f>
        <v>128.98500463479149</v>
      </c>
      <c r="K1271" cm="1">
        <f t="array" ref="K1271">_xlfn.XLOOKUP(TEXT(A1271, "mmm-yy"), TEXT([2]GASOLINE!$B$5:$B$208, "mmm-yy"), [2]GASOLINE!$IK$5:$IK$208, "Not Found")</f>
        <v>171.54643055336143</v>
      </c>
      <c r="L1271">
        <f t="shared" si="19"/>
        <v>0</v>
      </c>
      <c r="M1271" cm="1">
        <f t="array" ref="M1271">_xlfn.XLOOKUP(TEXT(A1271, "mmm-yy"), TEXT([2]GASOLINE!$B$5:$B$208, "mmm-yy"), [2]GASOLINE!$C$5:$C$208, "Not Found")</f>
        <v>7271.7408446849477</v>
      </c>
      <c r="N1271" cm="1">
        <f t="array" ref="N1271">_xlfn.XLOOKUP(TEXT(A1271, "mmm-yy"), TEXT([2]RUNS!$B$5:$B$208, "mmm-yy"), [2]RUNS!$BM$5:$BM$208, "Not Found")</f>
        <v>0.85201772174727974</v>
      </c>
    </row>
    <row r="1272" spans="1:14" x14ac:dyDescent="0.25">
      <c r="A1272" s="1">
        <f>'[1]Global_Spot Prices'!$B2581</f>
        <v>43783</v>
      </c>
      <c r="B1272">
        <f>_xlfn.XLOOKUP(A1272,'[1]Global_Spot Prices'!$B:$B,'[1]Global_Spot Prices'!$BS:$BS)</f>
        <v>9.6199999999999974</v>
      </c>
      <c r="C1272">
        <f ca="1">_xlfn.XLOOKUP(A1272,'[1]Global_Spot Prices'!$B:$B,'[1]Global_Spot Prices'!$E:$E)</f>
        <v>62.51</v>
      </c>
      <c r="D1272">
        <f>_xlfn.XLOOKUP(A1272,'[1]Global_Spot Prices'!$B:$B,'[1]Global_Spot Prices'!$D:$D)</f>
        <v>62.4</v>
      </c>
      <c r="E1272">
        <f>_xlfn.XLOOKUP(A1272,'[1]Global_Spot Prices'!$B:$B,'[1]Global_Spot Prices'!$H:$H)</f>
        <v>59.03</v>
      </c>
      <c r="F1272">
        <f ca="1">_xlfn.XLOOKUP(A1272,'[1]Global_Spot Prices'!$B:$B,'[1]Global_Spot Prices'!$I:$I)</f>
        <v>72.13</v>
      </c>
      <c r="G1272" cm="1">
        <f t="array" ref="G1272">_xlfn.XLOOKUP(TEXT(A1272, "mmm-yy"), TEXT([2]RUNS!$B$5:$B$208, "mmm-yy"), [2]RUNS!$D$5:$D$208, "Not Found")</f>
        <v>30592.037106424777</v>
      </c>
      <c r="H1272" cm="1">
        <f t="array" ref="H1272">SUMPRODUCT(
    --(TEXT('[3]Global Weekly Stock (EWSuez'!$B$4:$B$2000,"mmm-yy")=TEXT(A1272,"mmm-yy")),
    '[3]Global Weekly Stock (EWSuez'!$E$4:$E$2000)
/
SUMPRODUCT(
    --(TEXT('[3]Global Weekly Stock (EWSuez'!$B$4:$B$2000,"mmm-yy")=TEXT(A1272,"mmm-yy"))
)</f>
        <v>11148.4</v>
      </c>
      <c r="I1272">
        <f>_xlfn.XLOOKUP(A1272,[1]ForwardDeriv!$D:$D,[1]ForwardDeriv!$AJ:$AJ)</f>
        <v>1.0700000000000074</v>
      </c>
      <c r="J1272" cm="1">
        <f t="array" ref="J1272">_xlfn.XLOOKUP(TEXT(A1272, "mmm-yy"), TEXT([2]GASOLINE!$B$5:$B$208, "mmm-yy"), [2]GASOLINE!$IR$5:$IR$208, "Not Found")</f>
        <v>128.98500463479149</v>
      </c>
      <c r="K1272" cm="1">
        <f t="array" ref="K1272">_xlfn.XLOOKUP(TEXT(A1272, "mmm-yy"), TEXT([2]GASOLINE!$B$5:$B$208, "mmm-yy"), [2]GASOLINE!$IK$5:$IK$208, "Not Found")</f>
        <v>171.54643055336143</v>
      </c>
      <c r="L1272">
        <f t="shared" si="19"/>
        <v>0</v>
      </c>
      <c r="M1272" cm="1">
        <f t="array" ref="M1272">_xlfn.XLOOKUP(TEXT(A1272, "mmm-yy"), TEXT([2]GASOLINE!$B$5:$B$208, "mmm-yy"), [2]GASOLINE!$C$5:$C$208, "Not Found")</f>
        <v>7271.7408446849477</v>
      </c>
      <c r="N1272" cm="1">
        <f t="array" ref="N1272">_xlfn.XLOOKUP(TEXT(A1272, "mmm-yy"), TEXT([2]RUNS!$B$5:$B$208, "mmm-yy"), [2]RUNS!$BM$5:$BM$208, "Not Found")</f>
        <v>0.85201772174727974</v>
      </c>
    </row>
    <row r="1273" spans="1:14" x14ac:dyDescent="0.25">
      <c r="A1273" s="1">
        <f>'[1]Global_Spot Prices'!$B2582</f>
        <v>43784</v>
      </c>
      <c r="B1273">
        <f>_xlfn.XLOOKUP(A1273,'[1]Global_Spot Prices'!$B:$B,'[1]Global_Spot Prices'!$BS:$BS)</f>
        <v>10.36</v>
      </c>
      <c r="C1273">
        <f>_xlfn.XLOOKUP(A1273,'[1]Global_Spot Prices'!$B:$B,'[1]Global_Spot Prices'!$E:$E)</f>
        <v>61.91</v>
      </c>
      <c r="D1273">
        <f>_xlfn.XLOOKUP(A1273,'[1]Global_Spot Prices'!$B:$B,'[1]Global_Spot Prices'!$D:$D)</f>
        <v>63.185000000000002</v>
      </c>
      <c r="E1273">
        <f>_xlfn.XLOOKUP(A1273,'[1]Global_Spot Prices'!$B:$B,'[1]Global_Spot Prices'!$H:$H)</f>
        <v>59.12</v>
      </c>
      <c r="F1273">
        <f>_xlfn.XLOOKUP(A1273,'[1]Global_Spot Prices'!$B:$B,'[1]Global_Spot Prices'!$I:$I)</f>
        <v>72.27</v>
      </c>
      <c r="G1273" cm="1">
        <f t="array" ref="G1273">_xlfn.XLOOKUP(TEXT(A1273, "mmm-yy"), TEXT([2]RUNS!$B$5:$B$208, "mmm-yy"), [2]RUNS!$D$5:$D$208, "Not Found")</f>
        <v>30592.037106424777</v>
      </c>
      <c r="H1273" cm="1">
        <f t="array" ref="H1273">SUMPRODUCT(
    --(TEXT('[3]Global Weekly Stock (EWSuez'!$B$4:$B$2000,"mmm-yy")=TEXT(A1273,"mmm-yy")),
    '[3]Global Weekly Stock (EWSuez'!$E$4:$E$2000)
/
SUMPRODUCT(
    --(TEXT('[3]Global Weekly Stock (EWSuez'!$B$4:$B$2000,"mmm-yy")=TEXT(A1273,"mmm-yy"))
)</f>
        <v>11148.4</v>
      </c>
      <c r="I1273">
        <f>_xlfn.XLOOKUP(A1273,[1]ForwardDeriv!$D:$D,[1]ForwardDeriv!$AJ:$AJ)</f>
        <v>0.95000000000000284</v>
      </c>
      <c r="J1273" cm="1">
        <f t="array" ref="J1273">_xlfn.XLOOKUP(TEXT(A1273, "mmm-yy"), TEXT([2]GASOLINE!$B$5:$B$208, "mmm-yy"), [2]GASOLINE!$IR$5:$IR$208, "Not Found")</f>
        <v>128.98500463479149</v>
      </c>
      <c r="K1273" cm="1">
        <f t="array" ref="K1273">_xlfn.XLOOKUP(TEXT(A1273, "mmm-yy"), TEXT([2]GASOLINE!$B$5:$B$208, "mmm-yy"), [2]GASOLINE!$IK$5:$IK$208, "Not Found")</f>
        <v>171.54643055336143</v>
      </c>
      <c r="L1273">
        <f t="shared" si="19"/>
        <v>0</v>
      </c>
      <c r="M1273" cm="1">
        <f t="array" ref="M1273">_xlfn.XLOOKUP(TEXT(A1273, "mmm-yy"), TEXT([2]GASOLINE!$B$5:$B$208, "mmm-yy"), [2]GASOLINE!$C$5:$C$208, "Not Found")</f>
        <v>7271.7408446849477</v>
      </c>
      <c r="N1273" cm="1">
        <f t="array" ref="N1273">_xlfn.XLOOKUP(TEXT(A1273, "mmm-yy"), TEXT([2]RUNS!$B$5:$B$208, "mmm-yy"), [2]RUNS!$BM$5:$BM$208, "Not Found")</f>
        <v>0.85201772174727974</v>
      </c>
    </row>
    <row r="1274" spans="1:14" x14ac:dyDescent="0.25">
      <c r="A1274" s="1">
        <f>'[1]Global_Spot Prices'!$B2583</f>
        <v>43787</v>
      </c>
      <c r="B1274">
        <f>_xlfn.XLOOKUP(A1274,'[1]Global_Spot Prices'!$B:$B,'[1]Global_Spot Prices'!$BS:$BS)</f>
        <v>9.0499999999999972</v>
      </c>
      <c r="C1274">
        <f>_xlfn.XLOOKUP(A1274,'[1]Global_Spot Prices'!$B:$B,'[1]Global_Spot Prices'!$E:$E)</f>
        <v>62.8</v>
      </c>
      <c r="D1274">
        <f>_xlfn.XLOOKUP(A1274,'[1]Global_Spot Prices'!$B:$B,'[1]Global_Spot Prices'!$D:$D)</f>
        <v>62.405000000000001</v>
      </c>
      <c r="E1274">
        <f>_xlfn.XLOOKUP(A1274,'[1]Global_Spot Prices'!$B:$B,'[1]Global_Spot Prices'!$H:$H)</f>
        <v>59.46</v>
      </c>
      <c r="F1274">
        <f>_xlfn.XLOOKUP(A1274,'[1]Global_Spot Prices'!$B:$B,'[1]Global_Spot Prices'!$I:$I)</f>
        <v>71.849999999999994</v>
      </c>
      <c r="G1274" cm="1">
        <f t="array" ref="G1274">_xlfn.XLOOKUP(TEXT(A1274, "mmm-yy"), TEXT([2]RUNS!$B$5:$B$208, "mmm-yy"), [2]RUNS!$D$5:$D$208, "Not Found")</f>
        <v>30592.037106424777</v>
      </c>
      <c r="H1274" cm="1">
        <f t="array" ref="H1274">SUMPRODUCT(
    --(TEXT('[3]Global Weekly Stock (EWSuez'!$B$4:$B$2000,"mmm-yy")=TEXT(A1274,"mmm-yy")),
    '[3]Global Weekly Stock (EWSuez'!$E$4:$E$2000)
/
SUMPRODUCT(
    --(TEXT('[3]Global Weekly Stock (EWSuez'!$B$4:$B$2000,"mmm-yy")=TEXT(A1274,"mmm-yy"))
)</f>
        <v>11148.4</v>
      </c>
      <c r="I1274">
        <f>_xlfn.XLOOKUP(A1274,[1]ForwardDeriv!$D:$D,[1]ForwardDeriv!$AJ:$AJ)</f>
        <v>0.92000000000000171</v>
      </c>
      <c r="J1274" cm="1">
        <f t="array" ref="J1274">_xlfn.XLOOKUP(TEXT(A1274, "mmm-yy"), TEXT([2]GASOLINE!$B$5:$B$208, "mmm-yy"), [2]GASOLINE!$IR$5:$IR$208, "Not Found")</f>
        <v>128.98500463479149</v>
      </c>
      <c r="K1274" cm="1">
        <f t="array" ref="K1274">_xlfn.XLOOKUP(TEXT(A1274, "mmm-yy"), TEXT([2]GASOLINE!$B$5:$B$208, "mmm-yy"), [2]GASOLINE!$IK$5:$IK$208, "Not Found")</f>
        <v>171.54643055336143</v>
      </c>
      <c r="L1274">
        <f t="shared" si="19"/>
        <v>0</v>
      </c>
      <c r="M1274" cm="1">
        <f t="array" ref="M1274">_xlfn.XLOOKUP(TEXT(A1274, "mmm-yy"), TEXT([2]GASOLINE!$B$5:$B$208, "mmm-yy"), [2]GASOLINE!$C$5:$C$208, "Not Found")</f>
        <v>7271.7408446849477</v>
      </c>
      <c r="N1274" cm="1">
        <f t="array" ref="N1274">_xlfn.XLOOKUP(TEXT(A1274, "mmm-yy"), TEXT([2]RUNS!$B$5:$B$208, "mmm-yy"), [2]RUNS!$BM$5:$BM$208, "Not Found")</f>
        <v>0.85201772174727974</v>
      </c>
    </row>
    <row r="1275" spans="1:14" x14ac:dyDescent="0.25">
      <c r="A1275" s="1">
        <f>'[1]Global_Spot Prices'!$B2584</f>
        <v>43788</v>
      </c>
      <c r="B1275">
        <f>_xlfn.XLOOKUP(A1275,'[1]Global_Spot Prices'!$B:$B,'[1]Global_Spot Prices'!$BS:$BS)</f>
        <v>9.6599999999999966</v>
      </c>
      <c r="C1275">
        <f>_xlfn.XLOOKUP(A1275,'[1]Global_Spot Prices'!$B:$B,'[1]Global_Spot Prices'!$E:$E)</f>
        <v>61.81</v>
      </c>
      <c r="D1275">
        <f ca="1">_xlfn.XLOOKUP(A1275,'[1]Global_Spot Prices'!$B:$B,'[1]Global_Spot Prices'!$D:$D)</f>
        <v>62.024999999999999</v>
      </c>
      <c r="E1275">
        <f>_xlfn.XLOOKUP(A1275,'[1]Global_Spot Prices'!$B:$B,'[1]Global_Spot Prices'!$H:$H)</f>
        <v>58.77</v>
      </c>
      <c r="F1275">
        <f>_xlfn.XLOOKUP(A1275,'[1]Global_Spot Prices'!$B:$B,'[1]Global_Spot Prices'!$I:$I)</f>
        <v>71.47</v>
      </c>
      <c r="G1275" cm="1">
        <f t="array" ref="G1275">_xlfn.XLOOKUP(TEXT(A1275, "mmm-yy"), TEXT([2]RUNS!$B$5:$B$208, "mmm-yy"), [2]RUNS!$D$5:$D$208, "Not Found")</f>
        <v>30592.037106424777</v>
      </c>
      <c r="H1275" cm="1">
        <f t="array" ref="H1275">SUMPRODUCT(
    --(TEXT('[3]Global Weekly Stock (EWSuez'!$B$4:$B$2000,"mmm-yy")=TEXT(A1275,"mmm-yy")),
    '[3]Global Weekly Stock (EWSuez'!$E$4:$E$2000)
/
SUMPRODUCT(
    --(TEXT('[3]Global Weekly Stock (EWSuez'!$B$4:$B$2000,"mmm-yy")=TEXT(A1275,"mmm-yy"))
)</f>
        <v>11148.4</v>
      </c>
      <c r="I1275">
        <f>_xlfn.XLOOKUP(A1275,[1]ForwardDeriv!$D:$D,[1]ForwardDeriv!$AJ:$AJ)</f>
        <v>1.1700000000000017</v>
      </c>
      <c r="J1275" cm="1">
        <f t="array" ref="J1275">_xlfn.XLOOKUP(TEXT(A1275, "mmm-yy"), TEXT([2]GASOLINE!$B$5:$B$208, "mmm-yy"), [2]GASOLINE!$IR$5:$IR$208, "Not Found")</f>
        <v>128.98500463479149</v>
      </c>
      <c r="K1275" cm="1">
        <f t="array" ref="K1275">_xlfn.XLOOKUP(TEXT(A1275, "mmm-yy"), TEXT([2]GASOLINE!$B$5:$B$208, "mmm-yy"), [2]GASOLINE!$IK$5:$IK$208, "Not Found")</f>
        <v>171.54643055336143</v>
      </c>
      <c r="L1275">
        <f t="shared" si="19"/>
        <v>0</v>
      </c>
      <c r="M1275" cm="1">
        <f t="array" ref="M1275">_xlfn.XLOOKUP(TEXT(A1275, "mmm-yy"), TEXT([2]GASOLINE!$B$5:$B$208, "mmm-yy"), [2]GASOLINE!$C$5:$C$208, "Not Found")</f>
        <v>7271.7408446849477</v>
      </c>
      <c r="N1275" cm="1">
        <f t="array" ref="N1275">_xlfn.XLOOKUP(TEXT(A1275, "mmm-yy"), TEXT([2]RUNS!$B$5:$B$208, "mmm-yy"), [2]RUNS!$BM$5:$BM$208, "Not Found")</f>
        <v>0.85201772174727974</v>
      </c>
    </row>
    <row r="1276" spans="1:14" x14ac:dyDescent="0.25">
      <c r="A1276" s="1">
        <f>'[1]Global_Spot Prices'!$B2585</f>
        <v>43789</v>
      </c>
      <c r="B1276">
        <f>_xlfn.XLOOKUP(A1276,'[1]Global_Spot Prices'!$B:$B,'[1]Global_Spot Prices'!$BS:$BS)</f>
        <v>9.4099999999999966</v>
      </c>
      <c r="C1276">
        <f>_xlfn.XLOOKUP(A1276,'[1]Global_Spot Prices'!$B:$B,'[1]Global_Spot Prices'!$E:$E)</f>
        <v>60.41</v>
      </c>
      <c r="D1276">
        <f>_xlfn.XLOOKUP(A1276,'[1]Global_Spot Prices'!$B:$B,'[1]Global_Spot Prices'!$D:$D)</f>
        <v>63.51</v>
      </c>
      <c r="E1276">
        <f>_xlfn.XLOOKUP(A1276,'[1]Global_Spot Prices'!$B:$B,'[1]Global_Spot Prices'!$H:$H)</f>
        <v>57.83</v>
      </c>
      <c r="F1276">
        <f>_xlfn.XLOOKUP(A1276,'[1]Global_Spot Prices'!$B:$B,'[1]Global_Spot Prices'!$I:$I)</f>
        <v>69.819999999999993</v>
      </c>
      <c r="G1276" cm="1">
        <f t="array" ref="G1276">_xlfn.XLOOKUP(TEXT(A1276, "mmm-yy"), TEXT([2]RUNS!$B$5:$B$208, "mmm-yy"), [2]RUNS!$D$5:$D$208, "Not Found")</f>
        <v>30592.037106424777</v>
      </c>
      <c r="H1276" cm="1">
        <f t="array" ref="H1276">SUMPRODUCT(
    --(TEXT('[3]Global Weekly Stock (EWSuez'!$B$4:$B$2000,"mmm-yy")=TEXT(A1276,"mmm-yy")),
    '[3]Global Weekly Stock (EWSuez'!$E$4:$E$2000)
/
SUMPRODUCT(
    --(TEXT('[3]Global Weekly Stock (EWSuez'!$B$4:$B$2000,"mmm-yy")=TEXT(A1276,"mmm-yy"))
)</f>
        <v>11148.4</v>
      </c>
      <c r="I1276">
        <f>_xlfn.XLOOKUP(A1276,[1]ForwardDeriv!$D:$D,[1]ForwardDeriv!$AJ:$AJ)</f>
        <v>1.3999999999999915</v>
      </c>
      <c r="J1276" cm="1">
        <f t="array" ref="J1276">_xlfn.XLOOKUP(TEXT(A1276, "mmm-yy"), TEXT([2]GASOLINE!$B$5:$B$208, "mmm-yy"), [2]GASOLINE!$IR$5:$IR$208, "Not Found")</f>
        <v>128.98500463479149</v>
      </c>
      <c r="K1276" cm="1">
        <f t="array" ref="K1276">_xlfn.XLOOKUP(TEXT(A1276, "mmm-yy"), TEXT([2]GASOLINE!$B$5:$B$208, "mmm-yy"), [2]GASOLINE!$IK$5:$IK$208, "Not Found")</f>
        <v>171.54643055336143</v>
      </c>
      <c r="L1276">
        <f t="shared" si="19"/>
        <v>0</v>
      </c>
      <c r="M1276" cm="1">
        <f t="array" ref="M1276">_xlfn.XLOOKUP(TEXT(A1276, "mmm-yy"), TEXT([2]GASOLINE!$B$5:$B$208, "mmm-yy"), [2]GASOLINE!$C$5:$C$208, "Not Found")</f>
        <v>7271.7408446849477</v>
      </c>
      <c r="N1276" cm="1">
        <f t="array" ref="N1276">_xlfn.XLOOKUP(TEXT(A1276, "mmm-yy"), TEXT([2]RUNS!$B$5:$B$208, "mmm-yy"), [2]RUNS!$BM$5:$BM$208, "Not Found")</f>
        <v>0.85201772174727974</v>
      </c>
    </row>
    <row r="1277" spans="1:14" x14ac:dyDescent="0.25">
      <c r="A1277" s="1">
        <f>'[1]Global_Spot Prices'!$B2586</f>
        <v>43790</v>
      </c>
      <c r="B1277">
        <f ca="1">_xlfn.XLOOKUP(A1277,'[1]Global_Spot Prices'!$B:$B,'[1]Global_Spot Prices'!$BS:$BS)</f>
        <v>9.509999999999998</v>
      </c>
      <c r="C1277">
        <f>_xlfn.XLOOKUP(A1277,'[1]Global_Spot Prices'!$B:$B,'[1]Global_Spot Prices'!$E:$E)</f>
        <v>62.1</v>
      </c>
      <c r="D1277">
        <f>_xlfn.XLOOKUP(A1277,'[1]Global_Spot Prices'!$B:$B,'[1]Global_Spot Prices'!$D:$D)</f>
        <v>64.415000000000006</v>
      </c>
      <c r="E1277">
        <f>_xlfn.XLOOKUP(A1277,'[1]Global_Spot Prices'!$B:$B,'[1]Global_Spot Prices'!$H:$H)</f>
        <v>59.43</v>
      </c>
      <c r="F1277">
        <f>_xlfn.XLOOKUP(A1277,'[1]Global_Spot Prices'!$B:$B,'[1]Global_Spot Prices'!$I:$I)</f>
        <v>71.61</v>
      </c>
      <c r="G1277" cm="1">
        <f t="array" ref="G1277">_xlfn.XLOOKUP(TEXT(A1277, "mmm-yy"), TEXT([2]RUNS!$B$5:$B$208, "mmm-yy"), [2]RUNS!$D$5:$D$208, "Not Found")</f>
        <v>30592.037106424777</v>
      </c>
      <c r="H1277" cm="1">
        <f t="array" ref="H1277">SUMPRODUCT(
    --(TEXT('[3]Global Weekly Stock (EWSuez'!$B$4:$B$2000,"mmm-yy")=TEXT(A1277,"mmm-yy")),
    '[3]Global Weekly Stock (EWSuez'!$E$4:$E$2000)
/
SUMPRODUCT(
    --(TEXT('[3]Global Weekly Stock (EWSuez'!$B$4:$B$2000,"mmm-yy")=TEXT(A1277,"mmm-yy"))
)</f>
        <v>11148.4</v>
      </c>
      <c r="I1277">
        <f>_xlfn.XLOOKUP(A1277,[1]ForwardDeriv!$D:$D,[1]ForwardDeriv!$AJ:$AJ)</f>
        <v>1.3700000000000045</v>
      </c>
      <c r="J1277" cm="1">
        <f t="array" ref="J1277">_xlfn.XLOOKUP(TEXT(A1277, "mmm-yy"), TEXT([2]GASOLINE!$B$5:$B$208, "mmm-yy"), [2]GASOLINE!$IR$5:$IR$208, "Not Found")</f>
        <v>128.98500463479149</v>
      </c>
      <c r="K1277" cm="1">
        <f t="array" ref="K1277">_xlfn.XLOOKUP(TEXT(A1277, "mmm-yy"), TEXT([2]GASOLINE!$B$5:$B$208, "mmm-yy"), [2]GASOLINE!$IK$5:$IK$208, "Not Found")</f>
        <v>171.54643055336143</v>
      </c>
      <c r="L1277">
        <f t="shared" si="19"/>
        <v>0</v>
      </c>
      <c r="M1277" cm="1">
        <f t="array" ref="M1277">_xlfn.XLOOKUP(TEXT(A1277, "mmm-yy"), TEXT([2]GASOLINE!$B$5:$B$208, "mmm-yy"), [2]GASOLINE!$C$5:$C$208, "Not Found")</f>
        <v>7271.7408446849477</v>
      </c>
      <c r="N1277" cm="1">
        <f t="array" ref="N1277">_xlfn.XLOOKUP(TEXT(A1277, "mmm-yy"), TEXT([2]RUNS!$B$5:$B$208, "mmm-yy"), [2]RUNS!$BM$5:$BM$208, "Not Found")</f>
        <v>0.85201772174727974</v>
      </c>
    </row>
    <row r="1278" spans="1:14" x14ac:dyDescent="0.25">
      <c r="A1278" s="1">
        <f>'[1]Global_Spot Prices'!$B2587</f>
        <v>43791</v>
      </c>
      <c r="B1278">
        <f>_xlfn.XLOOKUP(A1278,'[1]Global_Spot Prices'!$B:$B,'[1]Global_Spot Prices'!$BS:$BS)</f>
        <v>8.7099999999999937</v>
      </c>
      <c r="C1278">
        <f>_xlfn.XLOOKUP(A1278,'[1]Global_Spot Prices'!$B:$B,'[1]Global_Spot Prices'!$E:$E)</f>
        <v>63.75</v>
      </c>
      <c r="D1278">
        <f>_xlfn.XLOOKUP(A1278,'[1]Global_Spot Prices'!$B:$B,'[1]Global_Spot Prices'!$D:$D)</f>
        <v>64.364999999999995</v>
      </c>
      <c r="E1278">
        <f>_xlfn.XLOOKUP(A1278,'[1]Global_Spot Prices'!$B:$B,'[1]Global_Spot Prices'!$H:$H)</f>
        <v>61.29</v>
      </c>
      <c r="F1278">
        <f>_xlfn.XLOOKUP(A1278,'[1]Global_Spot Prices'!$B:$B,'[1]Global_Spot Prices'!$I:$I)</f>
        <v>72.459999999999994</v>
      </c>
      <c r="G1278" cm="1">
        <f t="array" ref="G1278">_xlfn.XLOOKUP(TEXT(A1278, "mmm-yy"), TEXT([2]RUNS!$B$5:$B$208, "mmm-yy"), [2]RUNS!$D$5:$D$208, "Not Found")</f>
        <v>30592.037106424777</v>
      </c>
      <c r="H1278" cm="1">
        <f t="array" ref="H1278">SUMPRODUCT(
    --(TEXT('[3]Global Weekly Stock (EWSuez'!$B$4:$B$2000,"mmm-yy")=TEXT(A1278,"mmm-yy")),
    '[3]Global Weekly Stock (EWSuez'!$E$4:$E$2000)
/
SUMPRODUCT(
    --(TEXT('[3]Global Weekly Stock (EWSuez'!$B$4:$B$2000,"mmm-yy")=TEXT(A1278,"mmm-yy"))
)</f>
        <v>11148.4</v>
      </c>
      <c r="I1278">
        <f>_xlfn.XLOOKUP(A1278,[1]ForwardDeriv!$D:$D,[1]ForwardDeriv!$AJ:$AJ)</f>
        <v>1.4000000000000057</v>
      </c>
      <c r="J1278" cm="1">
        <f t="array" ref="J1278">_xlfn.XLOOKUP(TEXT(A1278, "mmm-yy"), TEXT([2]GASOLINE!$B$5:$B$208, "mmm-yy"), [2]GASOLINE!$IR$5:$IR$208, "Not Found")</f>
        <v>128.98500463479149</v>
      </c>
      <c r="K1278" cm="1">
        <f t="array" ref="K1278">_xlfn.XLOOKUP(TEXT(A1278, "mmm-yy"), TEXT([2]GASOLINE!$B$5:$B$208, "mmm-yy"), [2]GASOLINE!$IK$5:$IK$208, "Not Found")</f>
        <v>171.54643055336143</v>
      </c>
      <c r="L1278">
        <f t="shared" si="19"/>
        <v>0</v>
      </c>
      <c r="M1278" cm="1">
        <f t="array" ref="M1278">_xlfn.XLOOKUP(TEXT(A1278, "mmm-yy"), TEXT([2]GASOLINE!$B$5:$B$208, "mmm-yy"), [2]GASOLINE!$C$5:$C$208, "Not Found")</f>
        <v>7271.7408446849477</v>
      </c>
      <c r="N1278" cm="1">
        <f t="array" ref="N1278">_xlfn.XLOOKUP(TEXT(A1278, "mmm-yy"), TEXT([2]RUNS!$B$5:$B$208, "mmm-yy"), [2]RUNS!$BM$5:$BM$208, "Not Found")</f>
        <v>0.85201772174727974</v>
      </c>
    </row>
    <row r="1279" spans="1:14" x14ac:dyDescent="0.25">
      <c r="A1279" s="1">
        <f>'[1]Global_Spot Prices'!$B2588</f>
        <v>43794</v>
      </c>
      <c r="B1279">
        <f>_xlfn.XLOOKUP(A1279,'[1]Global_Spot Prices'!$B:$B,'[1]Global_Spot Prices'!$BS:$BS)</f>
        <v>8.6199999999999974</v>
      </c>
      <c r="C1279">
        <f>_xlfn.XLOOKUP(A1279,'[1]Global_Spot Prices'!$B:$B,'[1]Global_Spot Prices'!$E:$E)</f>
        <v>63.4</v>
      </c>
      <c r="D1279">
        <f>_xlfn.XLOOKUP(A1279,'[1]Global_Spot Prices'!$B:$B,'[1]Global_Spot Prices'!$D:$D)</f>
        <v>64.575000000000003</v>
      </c>
      <c r="E1279">
        <f>_xlfn.XLOOKUP(A1279,'[1]Global_Spot Prices'!$B:$B,'[1]Global_Spot Prices'!$H:$H)</f>
        <v>61.43</v>
      </c>
      <c r="F1279">
        <f>_xlfn.XLOOKUP(A1279,'[1]Global_Spot Prices'!$B:$B,'[1]Global_Spot Prices'!$I:$I)</f>
        <v>72.02</v>
      </c>
      <c r="G1279" cm="1">
        <f t="array" ref="G1279">_xlfn.XLOOKUP(TEXT(A1279, "mmm-yy"), TEXT([2]RUNS!$B$5:$B$208, "mmm-yy"), [2]RUNS!$D$5:$D$208, "Not Found")</f>
        <v>30592.037106424777</v>
      </c>
      <c r="H1279" cm="1">
        <f t="array" ref="H1279">SUMPRODUCT(
    --(TEXT('[3]Global Weekly Stock (EWSuez'!$B$4:$B$2000,"mmm-yy")=TEXT(A1279,"mmm-yy")),
    '[3]Global Weekly Stock (EWSuez'!$E$4:$E$2000)
/
SUMPRODUCT(
    --(TEXT('[3]Global Weekly Stock (EWSuez'!$B$4:$B$2000,"mmm-yy")=TEXT(A1279,"mmm-yy"))
)</f>
        <v>11148.4</v>
      </c>
      <c r="I1279">
        <f>_xlfn.XLOOKUP(A1279,[1]ForwardDeriv!$D:$D,[1]ForwardDeriv!$AJ:$AJ)</f>
        <v>1.5600000000000023</v>
      </c>
      <c r="J1279" cm="1">
        <f t="array" ref="J1279">_xlfn.XLOOKUP(TEXT(A1279, "mmm-yy"), TEXT([2]GASOLINE!$B$5:$B$208, "mmm-yy"), [2]GASOLINE!$IR$5:$IR$208, "Not Found")</f>
        <v>128.98500463479149</v>
      </c>
      <c r="K1279" cm="1">
        <f t="array" ref="K1279">_xlfn.XLOOKUP(TEXT(A1279, "mmm-yy"), TEXT([2]GASOLINE!$B$5:$B$208, "mmm-yy"), [2]GASOLINE!$IK$5:$IK$208, "Not Found")</f>
        <v>171.54643055336143</v>
      </c>
      <c r="L1279">
        <f t="shared" si="19"/>
        <v>0</v>
      </c>
      <c r="M1279" cm="1">
        <f t="array" ref="M1279">_xlfn.XLOOKUP(TEXT(A1279, "mmm-yy"), TEXT([2]GASOLINE!$B$5:$B$208, "mmm-yy"), [2]GASOLINE!$C$5:$C$208, "Not Found")</f>
        <v>7271.7408446849477</v>
      </c>
      <c r="N1279" cm="1">
        <f t="array" ref="N1279">_xlfn.XLOOKUP(TEXT(A1279, "mmm-yy"), TEXT([2]RUNS!$B$5:$B$208, "mmm-yy"), [2]RUNS!$BM$5:$BM$208, "Not Found")</f>
        <v>0.85201772174727974</v>
      </c>
    </row>
    <row r="1280" spans="1:14" x14ac:dyDescent="0.25">
      <c r="A1280" s="1">
        <f>'[1]Global_Spot Prices'!$B2589</f>
        <v>43795</v>
      </c>
      <c r="B1280">
        <f>_xlfn.XLOOKUP(A1280,'[1]Global_Spot Prices'!$B:$B,'[1]Global_Spot Prices'!$BS:$BS)</f>
        <v>9.0900000000000034</v>
      </c>
      <c r="C1280">
        <f>_xlfn.XLOOKUP(A1280,'[1]Global_Spot Prices'!$B:$B,'[1]Global_Spot Prices'!$E:$E)</f>
        <v>63.06</v>
      </c>
      <c r="D1280">
        <f>_xlfn.XLOOKUP(A1280,'[1]Global_Spot Prices'!$B:$B,'[1]Global_Spot Prices'!$D:$D)</f>
        <v>65.010000000000005</v>
      </c>
      <c r="E1280">
        <f>_xlfn.XLOOKUP(A1280,'[1]Global_Spot Prices'!$B:$B,'[1]Global_Spot Prices'!$H:$H)</f>
        <v>62.18</v>
      </c>
      <c r="F1280">
        <f ca="1">_xlfn.XLOOKUP(A1280,'[1]Global_Spot Prices'!$B:$B,'[1]Global_Spot Prices'!$I:$I)</f>
        <v>72.150000000000006</v>
      </c>
      <c r="G1280" cm="1">
        <f t="array" ref="G1280">_xlfn.XLOOKUP(TEXT(A1280, "mmm-yy"), TEXT([2]RUNS!$B$5:$B$208, "mmm-yy"), [2]RUNS!$D$5:$D$208, "Not Found")</f>
        <v>30592.037106424777</v>
      </c>
      <c r="H1280" cm="1">
        <f t="array" ref="H1280">SUMPRODUCT(
    --(TEXT('[3]Global Weekly Stock (EWSuez'!$B$4:$B$2000,"mmm-yy")=TEXT(A1280,"mmm-yy")),
    '[3]Global Weekly Stock (EWSuez'!$E$4:$E$2000)
/
SUMPRODUCT(
    --(TEXT('[3]Global Weekly Stock (EWSuez'!$B$4:$B$2000,"mmm-yy")=TEXT(A1280,"mmm-yy"))
)</f>
        <v>11148.4</v>
      </c>
      <c r="I1280">
        <f>_xlfn.XLOOKUP(A1280,[1]ForwardDeriv!$D:$D,[1]ForwardDeriv!$AJ:$AJ)</f>
        <v>1.6000000000000085</v>
      </c>
      <c r="J1280" cm="1">
        <f t="array" ref="J1280">_xlfn.XLOOKUP(TEXT(A1280, "mmm-yy"), TEXT([2]GASOLINE!$B$5:$B$208, "mmm-yy"), [2]GASOLINE!$IR$5:$IR$208, "Not Found")</f>
        <v>128.98500463479149</v>
      </c>
      <c r="K1280" cm="1">
        <f t="array" ref="K1280">_xlfn.XLOOKUP(TEXT(A1280, "mmm-yy"), TEXT([2]GASOLINE!$B$5:$B$208, "mmm-yy"), [2]GASOLINE!$IK$5:$IK$208, "Not Found")</f>
        <v>171.54643055336143</v>
      </c>
      <c r="L1280">
        <f t="shared" si="19"/>
        <v>0</v>
      </c>
      <c r="M1280" cm="1">
        <f t="array" ref="M1280">_xlfn.XLOOKUP(TEXT(A1280, "mmm-yy"), TEXT([2]GASOLINE!$B$5:$B$208, "mmm-yy"), [2]GASOLINE!$C$5:$C$208, "Not Found")</f>
        <v>7271.7408446849477</v>
      </c>
      <c r="N1280" cm="1">
        <f t="array" ref="N1280">_xlfn.XLOOKUP(TEXT(A1280, "mmm-yy"), TEXT([2]RUNS!$B$5:$B$208, "mmm-yy"), [2]RUNS!$BM$5:$BM$208, "Not Found")</f>
        <v>0.85201772174727974</v>
      </c>
    </row>
    <row r="1281" spans="1:14" x14ac:dyDescent="0.25">
      <c r="A1281" s="1">
        <f>'[1]Global_Spot Prices'!$B2590</f>
        <v>43796</v>
      </c>
      <c r="B1281">
        <f>_xlfn.XLOOKUP(A1281,'[1]Global_Spot Prices'!$B:$B,'[1]Global_Spot Prices'!$BS:$BS)</f>
        <v>9.3700000000000045</v>
      </c>
      <c r="C1281">
        <f>_xlfn.XLOOKUP(A1281,'[1]Global_Spot Prices'!$B:$B,'[1]Global_Spot Prices'!$E:$E)</f>
        <v>63.64</v>
      </c>
      <c r="D1281">
        <f>_xlfn.XLOOKUP(A1281,'[1]Global_Spot Prices'!$B:$B,'[1]Global_Spot Prices'!$D:$D)</f>
        <v>64.974999999999994</v>
      </c>
      <c r="E1281">
        <f ca="1">_xlfn.XLOOKUP(A1281,'[1]Global_Spot Prices'!$B:$B,'[1]Global_Spot Prices'!$H:$H)</f>
        <v>63.56</v>
      </c>
      <c r="F1281">
        <f>_xlfn.XLOOKUP(A1281,'[1]Global_Spot Prices'!$B:$B,'[1]Global_Spot Prices'!$I:$I)</f>
        <v>73.010000000000005</v>
      </c>
      <c r="G1281" cm="1">
        <f t="array" ref="G1281">_xlfn.XLOOKUP(TEXT(A1281, "mmm-yy"), TEXT([2]RUNS!$B$5:$B$208, "mmm-yy"), [2]RUNS!$D$5:$D$208, "Not Found")</f>
        <v>30592.037106424777</v>
      </c>
      <c r="H1281" cm="1">
        <f t="array" ref="H1281">SUMPRODUCT(
    --(TEXT('[3]Global Weekly Stock (EWSuez'!$B$4:$B$2000,"mmm-yy")=TEXT(A1281,"mmm-yy")),
    '[3]Global Weekly Stock (EWSuez'!$E$4:$E$2000)
/
SUMPRODUCT(
    --(TEXT('[3]Global Weekly Stock (EWSuez'!$B$4:$B$2000,"mmm-yy")=TEXT(A1281,"mmm-yy"))
)</f>
        <v>11148.4</v>
      </c>
      <c r="I1281">
        <f>_xlfn.XLOOKUP(A1281,[1]ForwardDeriv!$D:$D,[1]ForwardDeriv!$AJ:$AJ)</f>
        <v>1.8200000000000074</v>
      </c>
      <c r="J1281" cm="1">
        <f t="array" ref="J1281">_xlfn.XLOOKUP(TEXT(A1281, "mmm-yy"), TEXT([2]GASOLINE!$B$5:$B$208, "mmm-yy"), [2]GASOLINE!$IR$5:$IR$208, "Not Found")</f>
        <v>128.98500463479149</v>
      </c>
      <c r="K1281" cm="1">
        <f t="array" ref="K1281">_xlfn.XLOOKUP(TEXT(A1281, "mmm-yy"), TEXT([2]GASOLINE!$B$5:$B$208, "mmm-yy"), [2]GASOLINE!$IK$5:$IK$208, "Not Found")</f>
        <v>171.54643055336143</v>
      </c>
      <c r="L1281">
        <f t="shared" si="19"/>
        <v>0</v>
      </c>
      <c r="M1281" cm="1">
        <f t="array" ref="M1281">_xlfn.XLOOKUP(TEXT(A1281, "mmm-yy"), TEXT([2]GASOLINE!$B$5:$B$208, "mmm-yy"), [2]GASOLINE!$C$5:$C$208, "Not Found")</f>
        <v>7271.7408446849477</v>
      </c>
      <c r="N1281" cm="1">
        <f t="array" ref="N1281">_xlfn.XLOOKUP(TEXT(A1281, "mmm-yy"), TEXT([2]RUNS!$B$5:$B$208, "mmm-yy"), [2]RUNS!$BM$5:$BM$208, "Not Found")</f>
        <v>0.85201772174727974</v>
      </c>
    </row>
    <row r="1282" spans="1:14" x14ac:dyDescent="0.25">
      <c r="A1282" s="1">
        <f>'[1]Global_Spot Prices'!$B2591</f>
        <v>43797</v>
      </c>
      <c r="B1282">
        <f>_xlfn.XLOOKUP(A1282,'[1]Global_Spot Prices'!$B:$B,'[1]Global_Spot Prices'!$BS:$BS)</f>
        <v>7.9299999999999926</v>
      </c>
      <c r="C1282">
        <f ca="1">_xlfn.XLOOKUP(A1282,'[1]Global_Spot Prices'!$B:$B,'[1]Global_Spot Prices'!$E:$E)</f>
        <v>63.31</v>
      </c>
      <c r="D1282">
        <f>_xlfn.XLOOKUP(A1282,'[1]Global_Spot Prices'!$B:$B,'[1]Global_Spot Prices'!$D:$D)</f>
        <v>64.795000000000002</v>
      </c>
      <c r="E1282">
        <f>_xlfn.XLOOKUP(A1282,'[1]Global_Spot Prices'!$B:$B,'[1]Global_Spot Prices'!$H:$H)</f>
        <v>63.28</v>
      </c>
      <c r="F1282">
        <f>_xlfn.XLOOKUP(A1282,'[1]Global_Spot Prices'!$B:$B,'[1]Global_Spot Prices'!$I:$I)</f>
        <v>71.239999999999995</v>
      </c>
      <c r="G1282" cm="1">
        <f t="array" ref="G1282">_xlfn.XLOOKUP(TEXT(A1282, "mmm-yy"), TEXT([2]RUNS!$B$5:$B$208, "mmm-yy"), [2]RUNS!$D$5:$D$208, "Not Found")</f>
        <v>30592.037106424777</v>
      </c>
      <c r="H1282" cm="1">
        <f t="array" ref="H1282">SUMPRODUCT(
    --(TEXT('[3]Global Weekly Stock (EWSuez'!$B$4:$B$2000,"mmm-yy")=TEXT(A1282,"mmm-yy")),
    '[3]Global Weekly Stock (EWSuez'!$E$4:$E$2000)
/
SUMPRODUCT(
    --(TEXT('[3]Global Weekly Stock (EWSuez'!$B$4:$B$2000,"mmm-yy")=TEXT(A1282,"mmm-yy"))
)</f>
        <v>11148.4</v>
      </c>
      <c r="I1282">
        <f>_xlfn.XLOOKUP(A1282,[1]ForwardDeriv!$D:$D,[1]ForwardDeriv!$AJ:$AJ)</f>
        <v>1.6400000000000006</v>
      </c>
      <c r="J1282" cm="1">
        <f t="array" ref="J1282">_xlfn.XLOOKUP(TEXT(A1282, "mmm-yy"), TEXT([2]GASOLINE!$B$5:$B$208, "mmm-yy"), [2]GASOLINE!$IR$5:$IR$208, "Not Found")</f>
        <v>128.98500463479149</v>
      </c>
      <c r="K1282" cm="1">
        <f t="array" ref="K1282">_xlfn.XLOOKUP(TEXT(A1282, "mmm-yy"), TEXT([2]GASOLINE!$B$5:$B$208, "mmm-yy"), [2]GASOLINE!$IK$5:$IK$208, "Not Found")</f>
        <v>171.54643055336143</v>
      </c>
      <c r="L1282">
        <f t="shared" si="19"/>
        <v>0</v>
      </c>
      <c r="M1282" cm="1">
        <f t="array" ref="M1282">_xlfn.XLOOKUP(TEXT(A1282, "mmm-yy"), TEXT([2]GASOLINE!$B$5:$B$208, "mmm-yy"), [2]GASOLINE!$C$5:$C$208, "Not Found")</f>
        <v>7271.7408446849477</v>
      </c>
      <c r="N1282" cm="1">
        <f t="array" ref="N1282">_xlfn.XLOOKUP(TEXT(A1282, "mmm-yy"), TEXT([2]RUNS!$B$5:$B$208, "mmm-yy"), [2]RUNS!$BM$5:$BM$208, "Not Found")</f>
        <v>0.85201772174727974</v>
      </c>
    </row>
    <row r="1283" spans="1:14" x14ac:dyDescent="0.25">
      <c r="A1283" s="1">
        <f>'[1]Global_Spot Prices'!$B2592</f>
        <v>43798</v>
      </c>
      <c r="B1283">
        <f>_xlfn.XLOOKUP(A1283,'[1]Global_Spot Prices'!$B:$B,'[1]Global_Spot Prices'!$BS:$BS)</f>
        <v>8.8599999999999923</v>
      </c>
      <c r="C1283">
        <f>_xlfn.XLOOKUP(A1283,'[1]Global_Spot Prices'!$B:$B,'[1]Global_Spot Prices'!$E:$E)</f>
        <v>63.85</v>
      </c>
      <c r="D1283">
        <f>_xlfn.XLOOKUP(A1283,'[1]Global_Spot Prices'!$B:$B,'[1]Global_Spot Prices'!$D:$D)</f>
        <v>62.98</v>
      </c>
      <c r="E1283">
        <f>_xlfn.XLOOKUP(A1283,'[1]Global_Spot Prices'!$B:$B,'[1]Global_Spot Prices'!$H:$H)</f>
        <v>64.44</v>
      </c>
      <c r="F1283">
        <f>_xlfn.XLOOKUP(A1283,'[1]Global_Spot Prices'!$B:$B,'[1]Global_Spot Prices'!$I:$I)</f>
        <v>72.709999999999994</v>
      </c>
      <c r="G1283" cm="1">
        <f t="array" ref="G1283">_xlfn.XLOOKUP(TEXT(A1283, "mmm-yy"), TEXT([2]RUNS!$B$5:$B$208, "mmm-yy"), [2]RUNS!$D$5:$D$208, "Not Found")</f>
        <v>30592.037106424777</v>
      </c>
      <c r="H1283" cm="1">
        <f t="array" ref="H1283">SUMPRODUCT(
    --(TEXT('[3]Global Weekly Stock (EWSuez'!$B$4:$B$2000,"mmm-yy")=TEXT(A1283,"mmm-yy")),
    '[3]Global Weekly Stock (EWSuez'!$E$4:$E$2000)
/
SUMPRODUCT(
    --(TEXT('[3]Global Weekly Stock (EWSuez'!$B$4:$B$2000,"mmm-yy")=TEXT(A1283,"mmm-yy"))
)</f>
        <v>11148.4</v>
      </c>
      <c r="I1283">
        <f>_xlfn.XLOOKUP(A1283,[1]ForwardDeriv!$D:$D,[1]ForwardDeriv!$AJ:$AJ)</f>
        <v>1.9200000000000017</v>
      </c>
      <c r="J1283" cm="1">
        <f t="array" ref="J1283">_xlfn.XLOOKUP(TEXT(A1283, "mmm-yy"), TEXT([2]GASOLINE!$B$5:$B$208, "mmm-yy"), [2]GASOLINE!$IR$5:$IR$208, "Not Found")</f>
        <v>128.98500463479149</v>
      </c>
      <c r="K1283" cm="1">
        <f t="array" ref="K1283">_xlfn.XLOOKUP(TEXT(A1283, "mmm-yy"), TEXT([2]GASOLINE!$B$5:$B$208, "mmm-yy"), [2]GASOLINE!$IK$5:$IK$208, "Not Found")</f>
        <v>171.54643055336143</v>
      </c>
      <c r="L1283">
        <f t="shared" ref="L1283:L1346" si="20">IF(OR(MONTH(A1283)=6, MONTH(A1283)=7, MONTH(A1283)=8, MONTH(A1283)=9), 1, 0)</f>
        <v>0</v>
      </c>
      <c r="M1283" cm="1">
        <f t="array" ref="M1283">_xlfn.XLOOKUP(TEXT(A1283, "mmm-yy"), TEXT([2]GASOLINE!$B$5:$B$208, "mmm-yy"), [2]GASOLINE!$C$5:$C$208, "Not Found")</f>
        <v>7271.7408446849477</v>
      </c>
      <c r="N1283" cm="1">
        <f t="array" ref="N1283">_xlfn.XLOOKUP(TEXT(A1283, "mmm-yy"), TEXT([2]RUNS!$B$5:$B$208, "mmm-yy"), [2]RUNS!$BM$5:$BM$208, "Not Found")</f>
        <v>0.85201772174727974</v>
      </c>
    </row>
    <row r="1284" spans="1:14" x14ac:dyDescent="0.25">
      <c r="A1284" s="1">
        <f>'[1]Global_Spot Prices'!$B2593</f>
        <v>43801</v>
      </c>
      <c r="B1284">
        <f>_xlfn.XLOOKUP(A1284,'[1]Global_Spot Prices'!$B:$B,'[1]Global_Spot Prices'!$BS:$BS)</f>
        <v>9.3700000000000045</v>
      </c>
      <c r="C1284">
        <f>_xlfn.XLOOKUP(A1284,'[1]Global_Spot Prices'!$B:$B,'[1]Global_Spot Prices'!$E:$E)</f>
        <v>60.8</v>
      </c>
      <c r="D1284">
        <f>_xlfn.XLOOKUP(A1284,'[1]Global_Spot Prices'!$B:$B,'[1]Global_Spot Prices'!$D:$D)</f>
        <v>63.575000000000003</v>
      </c>
      <c r="E1284">
        <f>_xlfn.XLOOKUP(A1284,'[1]Global_Spot Prices'!$B:$B,'[1]Global_Spot Prices'!$H:$H)</f>
        <v>62.43</v>
      </c>
      <c r="F1284">
        <f>_xlfn.XLOOKUP(A1284,'[1]Global_Spot Prices'!$B:$B,'[1]Global_Spot Prices'!$I:$I)</f>
        <v>70.17</v>
      </c>
      <c r="G1284" cm="1">
        <f t="array" ref="G1284">_xlfn.XLOOKUP(TEXT(A1284, "mmm-yy"), TEXT([2]RUNS!$B$5:$B$208, "mmm-yy"), [2]RUNS!$D$5:$D$208, "Not Found")</f>
        <v>30814.033399929856</v>
      </c>
      <c r="H1284" cm="1">
        <f t="array" ref="H1284">SUMPRODUCT(
    --(TEXT('[3]Global Weekly Stock (EWSuez'!$B$4:$B$2000,"mmm-yy")=TEXT(A1284,"mmm-yy")),
    '[3]Global Weekly Stock (EWSuez'!$E$4:$E$2000)
/
SUMPRODUCT(
    --(TEXT('[3]Global Weekly Stock (EWSuez'!$B$4:$B$2000,"mmm-yy")=TEXT(A1284,"mmm-yy"))
)</f>
        <v>12362.25</v>
      </c>
      <c r="I1284">
        <f>_xlfn.XLOOKUP(A1284,[1]ForwardDeriv!$D:$D,[1]ForwardDeriv!$AJ:$AJ)</f>
        <v>0.85000000000000853</v>
      </c>
      <c r="J1284" cm="1">
        <f t="array" ref="J1284">_xlfn.XLOOKUP(TEXT(A1284, "mmm-yy"), TEXT([2]GASOLINE!$B$5:$B$208, "mmm-yy"), [2]GASOLINE!$IR$5:$IR$208, "Not Found")</f>
        <v>204.66817788907264</v>
      </c>
      <c r="K1284" cm="1">
        <f t="array" ref="K1284">_xlfn.XLOOKUP(TEXT(A1284, "mmm-yy"), TEXT([2]GASOLINE!$B$5:$B$208, "mmm-yy"), [2]GASOLINE!$IK$5:$IK$208, "Not Found")</f>
        <v>173.42616526643724</v>
      </c>
      <c r="L1284">
        <f t="shared" si="20"/>
        <v>0</v>
      </c>
      <c r="M1284" cm="1">
        <f t="array" ref="M1284">_xlfn.XLOOKUP(TEXT(A1284, "mmm-yy"), TEXT([2]GASOLINE!$B$5:$B$208, "mmm-yy"), [2]GASOLINE!$C$5:$C$208, "Not Found")</f>
        <v>7325.0059613797739</v>
      </c>
      <c r="N1284" cm="1">
        <f t="array" ref="N1284">_xlfn.XLOOKUP(TEXT(A1284, "mmm-yy"), TEXT([2]RUNS!$B$5:$B$208, "mmm-yy"), [2]RUNS!$BM$5:$BM$208, "Not Found")</f>
        <v>0.84922938318161256</v>
      </c>
    </row>
    <row r="1285" spans="1:14" x14ac:dyDescent="0.25">
      <c r="A1285" s="1">
        <f>'[1]Global_Spot Prices'!$B2594</f>
        <v>43802</v>
      </c>
      <c r="B1285">
        <f>_xlfn.XLOOKUP(A1285,'[1]Global_Spot Prices'!$B:$B,'[1]Global_Spot Prices'!$BS:$BS)</f>
        <v>8.5350000000000037</v>
      </c>
      <c r="C1285">
        <f>_xlfn.XLOOKUP(A1285,'[1]Global_Spot Prices'!$B:$B,'[1]Global_Spot Prices'!$E:$E)</f>
        <v>61.005000000000003</v>
      </c>
      <c r="D1285">
        <f>_xlfn.XLOOKUP(A1285,'[1]Global_Spot Prices'!$B:$B,'[1]Global_Spot Prices'!$D:$D)</f>
        <v>63.3</v>
      </c>
      <c r="E1285">
        <f>_xlfn.XLOOKUP(A1285,'[1]Global_Spot Prices'!$B:$B,'[1]Global_Spot Prices'!$H:$H)</f>
        <v>61.83</v>
      </c>
      <c r="F1285">
        <f>_xlfn.XLOOKUP(A1285,'[1]Global_Spot Prices'!$B:$B,'[1]Global_Spot Prices'!$I:$I)</f>
        <v>69.540000000000006</v>
      </c>
      <c r="G1285" cm="1">
        <f t="array" ref="G1285">_xlfn.XLOOKUP(TEXT(A1285, "mmm-yy"), TEXT([2]RUNS!$B$5:$B$208, "mmm-yy"), [2]RUNS!$D$5:$D$208, "Not Found")</f>
        <v>30814.033399929856</v>
      </c>
      <c r="H1285" cm="1">
        <f t="array" ref="H1285">SUMPRODUCT(
    --(TEXT('[3]Global Weekly Stock (EWSuez'!$B$4:$B$2000,"mmm-yy")=TEXT(A1285,"mmm-yy")),
    '[3]Global Weekly Stock (EWSuez'!$E$4:$E$2000)
/
SUMPRODUCT(
    --(TEXT('[3]Global Weekly Stock (EWSuez'!$B$4:$B$2000,"mmm-yy")=TEXT(A1285,"mmm-yy"))
)</f>
        <v>12362.25</v>
      </c>
      <c r="I1285">
        <f>_xlfn.XLOOKUP(A1285,[1]ForwardDeriv!$D:$D,[1]ForwardDeriv!$AJ:$AJ)</f>
        <v>0.78000000000000114</v>
      </c>
      <c r="J1285" cm="1">
        <f t="array" ref="J1285">_xlfn.XLOOKUP(TEXT(A1285, "mmm-yy"), TEXT([2]GASOLINE!$B$5:$B$208, "mmm-yy"), [2]GASOLINE!$IR$5:$IR$208, "Not Found")</f>
        <v>204.66817788907264</v>
      </c>
      <c r="K1285" cm="1">
        <f t="array" ref="K1285">_xlfn.XLOOKUP(TEXT(A1285, "mmm-yy"), TEXT([2]GASOLINE!$B$5:$B$208, "mmm-yy"), [2]GASOLINE!$IK$5:$IK$208, "Not Found")</f>
        <v>173.42616526643724</v>
      </c>
      <c r="L1285">
        <f t="shared" si="20"/>
        <v>0</v>
      </c>
      <c r="M1285" cm="1">
        <f t="array" ref="M1285">_xlfn.XLOOKUP(TEXT(A1285, "mmm-yy"), TEXT([2]GASOLINE!$B$5:$B$208, "mmm-yy"), [2]GASOLINE!$C$5:$C$208, "Not Found")</f>
        <v>7325.0059613797739</v>
      </c>
      <c r="N1285" cm="1">
        <f t="array" ref="N1285">_xlfn.XLOOKUP(TEXT(A1285, "mmm-yy"), TEXT([2]RUNS!$B$5:$B$208, "mmm-yy"), [2]RUNS!$BM$5:$BM$208, "Not Found")</f>
        <v>0.84922938318161256</v>
      </c>
    </row>
    <row r="1286" spans="1:14" x14ac:dyDescent="0.25">
      <c r="A1286" s="1">
        <f>'[1]Global_Spot Prices'!$B2595</f>
        <v>43803</v>
      </c>
      <c r="B1286">
        <f>_xlfn.XLOOKUP(A1286,'[1]Global_Spot Prices'!$B:$B,'[1]Global_Spot Prices'!$BS:$BS)</f>
        <v>8.2950000000000017</v>
      </c>
      <c r="C1286">
        <f>_xlfn.XLOOKUP(A1286,'[1]Global_Spot Prices'!$B:$B,'[1]Global_Spot Prices'!$E:$E)</f>
        <v>61.094999999999999</v>
      </c>
      <c r="D1286">
        <f>_xlfn.XLOOKUP(A1286,'[1]Global_Spot Prices'!$B:$B,'[1]Global_Spot Prices'!$D:$D)</f>
        <v>65.41</v>
      </c>
      <c r="E1286">
        <f>_xlfn.XLOOKUP(A1286,'[1]Global_Spot Prices'!$B:$B,'[1]Global_Spot Prices'!$H:$H)</f>
        <v>60.91</v>
      </c>
      <c r="F1286">
        <f>_xlfn.XLOOKUP(A1286,'[1]Global_Spot Prices'!$B:$B,'[1]Global_Spot Prices'!$I:$I)</f>
        <v>69.39</v>
      </c>
      <c r="G1286" cm="1">
        <f t="array" ref="G1286">_xlfn.XLOOKUP(TEXT(A1286, "mmm-yy"), TEXT([2]RUNS!$B$5:$B$208, "mmm-yy"), [2]RUNS!$D$5:$D$208, "Not Found")</f>
        <v>30814.033399929856</v>
      </c>
      <c r="H1286" cm="1">
        <f t="array" ref="H1286">SUMPRODUCT(
    --(TEXT('[3]Global Weekly Stock (EWSuez'!$B$4:$B$2000,"mmm-yy")=TEXT(A1286,"mmm-yy")),
    '[3]Global Weekly Stock (EWSuez'!$E$4:$E$2000)
/
SUMPRODUCT(
    --(TEXT('[3]Global Weekly Stock (EWSuez'!$B$4:$B$2000,"mmm-yy")=TEXT(A1286,"mmm-yy"))
)</f>
        <v>12362.25</v>
      </c>
      <c r="I1286">
        <f>_xlfn.XLOOKUP(A1286,[1]ForwardDeriv!$D:$D,[1]ForwardDeriv!$AJ:$AJ)</f>
        <v>0.75</v>
      </c>
      <c r="J1286" cm="1">
        <f t="array" ref="J1286">_xlfn.XLOOKUP(TEXT(A1286, "mmm-yy"), TEXT([2]GASOLINE!$B$5:$B$208, "mmm-yy"), [2]GASOLINE!$IR$5:$IR$208, "Not Found")</f>
        <v>204.66817788907264</v>
      </c>
      <c r="K1286" cm="1">
        <f t="array" ref="K1286">_xlfn.XLOOKUP(TEXT(A1286, "mmm-yy"), TEXT([2]GASOLINE!$B$5:$B$208, "mmm-yy"), [2]GASOLINE!$IK$5:$IK$208, "Not Found")</f>
        <v>173.42616526643724</v>
      </c>
      <c r="L1286">
        <f t="shared" si="20"/>
        <v>0</v>
      </c>
      <c r="M1286" cm="1">
        <f t="array" ref="M1286">_xlfn.XLOOKUP(TEXT(A1286, "mmm-yy"), TEXT([2]GASOLINE!$B$5:$B$208, "mmm-yy"), [2]GASOLINE!$C$5:$C$208, "Not Found")</f>
        <v>7325.0059613797739</v>
      </c>
      <c r="N1286" cm="1">
        <f t="array" ref="N1286">_xlfn.XLOOKUP(TEXT(A1286, "mmm-yy"), TEXT([2]RUNS!$B$5:$B$208, "mmm-yy"), [2]RUNS!$BM$5:$BM$208, "Not Found")</f>
        <v>0.84922938318161256</v>
      </c>
    </row>
    <row r="1287" spans="1:14" x14ac:dyDescent="0.25">
      <c r="A1287" s="1">
        <f>'[1]Global_Spot Prices'!$B2596</f>
        <v>43804</v>
      </c>
      <c r="B1287">
        <f>_xlfn.XLOOKUP(A1287,'[1]Global_Spot Prices'!$B:$B,'[1]Global_Spot Prices'!$BS:$BS)</f>
        <v>8.6149999999999949</v>
      </c>
      <c r="C1287">
        <f>_xlfn.XLOOKUP(A1287,'[1]Global_Spot Prices'!$B:$B,'[1]Global_Spot Prices'!$E:$E)</f>
        <v>62.704999999999998</v>
      </c>
      <c r="D1287">
        <f>_xlfn.XLOOKUP(A1287,'[1]Global_Spot Prices'!$B:$B,'[1]Global_Spot Prices'!$D:$D)</f>
        <v>66.11</v>
      </c>
      <c r="E1287">
        <f ca="1">_xlfn.XLOOKUP(A1287,'[1]Global_Spot Prices'!$B:$B,'[1]Global_Spot Prices'!$H:$H)</f>
        <v>62.68</v>
      </c>
      <c r="F1287">
        <f>_xlfn.XLOOKUP(A1287,'[1]Global_Spot Prices'!$B:$B,'[1]Global_Spot Prices'!$I:$I)</f>
        <v>71.319999999999993</v>
      </c>
      <c r="G1287" cm="1">
        <f t="array" ref="G1287">_xlfn.XLOOKUP(TEXT(A1287, "mmm-yy"), TEXT([2]RUNS!$B$5:$B$208, "mmm-yy"), [2]RUNS!$D$5:$D$208, "Not Found")</f>
        <v>30814.033399929856</v>
      </c>
      <c r="H1287" cm="1">
        <f t="array" ref="H1287">SUMPRODUCT(
    --(TEXT('[3]Global Weekly Stock (EWSuez'!$B$4:$B$2000,"mmm-yy")=TEXT(A1287,"mmm-yy")),
    '[3]Global Weekly Stock (EWSuez'!$E$4:$E$2000)
/
SUMPRODUCT(
    --(TEXT('[3]Global Weekly Stock (EWSuez'!$B$4:$B$2000,"mmm-yy")=TEXT(A1287,"mmm-yy"))
)</f>
        <v>12362.25</v>
      </c>
      <c r="I1287">
        <f>_xlfn.XLOOKUP(A1287,[1]ForwardDeriv!$D:$D,[1]ForwardDeriv!$AJ:$AJ)</f>
        <v>0.96000000000000796</v>
      </c>
      <c r="J1287" cm="1">
        <f t="array" ref="J1287">_xlfn.XLOOKUP(TEXT(A1287, "mmm-yy"), TEXT([2]GASOLINE!$B$5:$B$208, "mmm-yy"), [2]GASOLINE!$IR$5:$IR$208, "Not Found")</f>
        <v>204.66817788907264</v>
      </c>
      <c r="K1287" cm="1">
        <f t="array" ref="K1287">_xlfn.XLOOKUP(TEXT(A1287, "mmm-yy"), TEXT([2]GASOLINE!$B$5:$B$208, "mmm-yy"), [2]GASOLINE!$IK$5:$IK$208, "Not Found")</f>
        <v>173.42616526643724</v>
      </c>
      <c r="L1287">
        <f t="shared" si="20"/>
        <v>0</v>
      </c>
      <c r="M1287" cm="1">
        <f t="array" ref="M1287">_xlfn.XLOOKUP(TEXT(A1287, "mmm-yy"), TEXT([2]GASOLINE!$B$5:$B$208, "mmm-yy"), [2]GASOLINE!$C$5:$C$208, "Not Found")</f>
        <v>7325.0059613797739</v>
      </c>
      <c r="N1287" cm="1">
        <f t="array" ref="N1287">_xlfn.XLOOKUP(TEXT(A1287, "mmm-yy"), TEXT([2]RUNS!$B$5:$B$208, "mmm-yy"), [2]RUNS!$BM$5:$BM$208, "Not Found")</f>
        <v>0.84922938318161256</v>
      </c>
    </row>
    <row r="1288" spans="1:14" x14ac:dyDescent="0.25">
      <c r="A1288" s="1">
        <f>'[1]Global_Spot Prices'!$B2597</f>
        <v>43805</v>
      </c>
      <c r="B1288">
        <f>_xlfn.XLOOKUP(A1288,'[1]Global_Spot Prices'!$B:$B,'[1]Global_Spot Prices'!$BS:$BS)</f>
        <v>9.509999999999998</v>
      </c>
      <c r="C1288">
        <f>_xlfn.XLOOKUP(A1288,'[1]Global_Spot Prices'!$B:$B,'[1]Global_Spot Prices'!$E:$E)</f>
        <v>63.01</v>
      </c>
      <c r="D1288">
        <f>_xlfn.XLOOKUP(A1288,'[1]Global_Spot Prices'!$B:$B,'[1]Global_Spot Prices'!$D:$D)</f>
        <v>66.894999999999996</v>
      </c>
      <c r="E1288">
        <f>_xlfn.XLOOKUP(A1288,'[1]Global_Spot Prices'!$B:$B,'[1]Global_Spot Prices'!$H:$H)</f>
        <v>62.83</v>
      </c>
      <c r="F1288">
        <f>_xlfn.XLOOKUP(A1288,'[1]Global_Spot Prices'!$B:$B,'[1]Global_Spot Prices'!$I:$I)</f>
        <v>72.52</v>
      </c>
      <c r="G1288" cm="1">
        <f t="array" ref="G1288">_xlfn.XLOOKUP(TEXT(A1288, "mmm-yy"), TEXT([2]RUNS!$B$5:$B$208, "mmm-yy"), [2]RUNS!$D$5:$D$208, "Not Found")</f>
        <v>30814.033399929856</v>
      </c>
      <c r="H1288" cm="1">
        <f t="array" ref="H1288">SUMPRODUCT(
    --(TEXT('[3]Global Weekly Stock (EWSuez'!$B$4:$B$2000,"mmm-yy")=TEXT(A1288,"mmm-yy")),
    '[3]Global Weekly Stock (EWSuez'!$E$4:$E$2000)
/
SUMPRODUCT(
    --(TEXT('[3]Global Weekly Stock (EWSuez'!$B$4:$B$2000,"mmm-yy")=TEXT(A1288,"mmm-yy"))
)</f>
        <v>12362.25</v>
      </c>
      <c r="I1288">
        <f>_xlfn.XLOOKUP(A1288,[1]ForwardDeriv!$D:$D,[1]ForwardDeriv!$AJ:$AJ)</f>
        <v>1.1200000000000045</v>
      </c>
      <c r="J1288" cm="1">
        <f t="array" ref="J1288">_xlfn.XLOOKUP(TEXT(A1288, "mmm-yy"), TEXT([2]GASOLINE!$B$5:$B$208, "mmm-yy"), [2]GASOLINE!$IR$5:$IR$208, "Not Found")</f>
        <v>204.66817788907264</v>
      </c>
      <c r="K1288" cm="1">
        <f t="array" ref="K1288">_xlfn.XLOOKUP(TEXT(A1288, "mmm-yy"), TEXT([2]GASOLINE!$B$5:$B$208, "mmm-yy"), [2]GASOLINE!$IK$5:$IK$208, "Not Found")</f>
        <v>173.42616526643724</v>
      </c>
      <c r="L1288">
        <f t="shared" si="20"/>
        <v>0</v>
      </c>
      <c r="M1288" cm="1">
        <f t="array" ref="M1288">_xlfn.XLOOKUP(TEXT(A1288, "mmm-yy"), TEXT([2]GASOLINE!$B$5:$B$208, "mmm-yy"), [2]GASOLINE!$C$5:$C$208, "Not Found")</f>
        <v>7325.0059613797739</v>
      </c>
      <c r="N1288" cm="1">
        <f t="array" ref="N1288">_xlfn.XLOOKUP(TEXT(A1288, "mmm-yy"), TEXT([2]RUNS!$B$5:$B$208, "mmm-yy"), [2]RUNS!$BM$5:$BM$208, "Not Found")</f>
        <v>0.84922938318161256</v>
      </c>
    </row>
    <row r="1289" spans="1:14" x14ac:dyDescent="0.25">
      <c r="A1289" s="1">
        <f>'[1]Global_Spot Prices'!$B2598</f>
        <v>43808</v>
      </c>
      <c r="B1289">
        <f>_xlfn.XLOOKUP(A1289,'[1]Global_Spot Prices'!$B:$B,'[1]Global_Spot Prices'!$BS:$BS)</f>
        <v>8.230000000000004</v>
      </c>
      <c r="C1289">
        <f>_xlfn.XLOOKUP(A1289,'[1]Global_Spot Prices'!$B:$B,'[1]Global_Spot Prices'!$E:$E)</f>
        <v>63.7</v>
      </c>
      <c r="D1289">
        <f>_xlfn.XLOOKUP(A1289,'[1]Global_Spot Prices'!$B:$B,'[1]Global_Spot Prices'!$D:$D)</f>
        <v>66.875</v>
      </c>
      <c r="E1289">
        <f>_xlfn.XLOOKUP(A1289,'[1]Global_Spot Prices'!$B:$B,'[1]Global_Spot Prices'!$H:$H)</f>
        <v>64.19</v>
      </c>
      <c r="F1289">
        <f>_xlfn.XLOOKUP(A1289,'[1]Global_Spot Prices'!$B:$B,'[1]Global_Spot Prices'!$I:$I)</f>
        <v>71.930000000000007</v>
      </c>
      <c r="G1289" cm="1">
        <f t="array" ref="G1289">_xlfn.XLOOKUP(TEXT(A1289, "mmm-yy"), TEXT([2]RUNS!$B$5:$B$208, "mmm-yy"), [2]RUNS!$D$5:$D$208, "Not Found")</f>
        <v>30814.033399929856</v>
      </c>
      <c r="H1289" cm="1">
        <f t="array" ref="H1289">SUMPRODUCT(
    --(TEXT('[3]Global Weekly Stock (EWSuez'!$B$4:$B$2000,"mmm-yy")=TEXT(A1289,"mmm-yy")),
    '[3]Global Weekly Stock (EWSuez'!$E$4:$E$2000)
/
SUMPRODUCT(
    --(TEXT('[3]Global Weekly Stock (EWSuez'!$B$4:$B$2000,"mmm-yy")=TEXT(A1289,"mmm-yy"))
)</f>
        <v>12362.25</v>
      </c>
      <c r="I1289">
        <f>_xlfn.XLOOKUP(A1289,[1]ForwardDeriv!$D:$D,[1]ForwardDeriv!$AJ:$AJ)</f>
        <v>0.89999999999999147</v>
      </c>
      <c r="J1289" cm="1">
        <f t="array" ref="J1289">_xlfn.XLOOKUP(TEXT(A1289, "mmm-yy"), TEXT([2]GASOLINE!$B$5:$B$208, "mmm-yy"), [2]GASOLINE!$IR$5:$IR$208, "Not Found")</f>
        <v>204.66817788907264</v>
      </c>
      <c r="K1289" cm="1">
        <f t="array" ref="K1289">_xlfn.XLOOKUP(TEXT(A1289, "mmm-yy"), TEXT([2]GASOLINE!$B$5:$B$208, "mmm-yy"), [2]GASOLINE!$IK$5:$IK$208, "Not Found")</f>
        <v>173.42616526643724</v>
      </c>
      <c r="L1289">
        <f t="shared" si="20"/>
        <v>0</v>
      </c>
      <c r="M1289" cm="1">
        <f t="array" ref="M1289">_xlfn.XLOOKUP(TEXT(A1289, "mmm-yy"), TEXT([2]GASOLINE!$B$5:$B$208, "mmm-yy"), [2]GASOLINE!$C$5:$C$208, "Not Found")</f>
        <v>7325.0059613797739</v>
      </c>
      <c r="N1289" cm="1">
        <f t="array" ref="N1289">_xlfn.XLOOKUP(TEXT(A1289, "mmm-yy"), TEXT([2]RUNS!$B$5:$B$208, "mmm-yy"), [2]RUNS!$BM$5:$BM$208, "Not Found")</f>
        <v>0.84922938318161256</v>
      </c>
    </row>
    <row r="1290" spans="1:14" x14ac:dyDescent="0.25">
      <c r="A1290" s="1">
        <f>'[1]Global_Spot Prices'!$B2599</f>
        <v>43809</v>
      </c>
      <c r="B1290">
        <f>_xlfn.XLOOKUP(A1290,'[1]Global_Spot Prices'!$B:$B,'[1]Global_Spot Prices'!$BS:$BS)</f>
        <v>6.9099999999999966</v>
      </c>
      <c r="C1290">
        <f>_xlfn.XLOOKUP(A1290,'[1]Global_Spot Prices'!$B:$B,'[1]Global_Spot Prices'!$E:$E)</f>
        <v>63.81</v>
      </c>
      <c r="D1290">
        <f>_xlfn.XLOOKUP(A1290,'[1]Global_Spot Prices'!$B:$B,'[1]Global_Spot Prices'!$D:$D)</f>
        <v>66.56</v>
      </c>
      <c r="E1290">
        <f>_xlfn.XLOOKUP(A1290,'[1]Global_Spot Prices'!$B:$B,'[1]Global_Spot Prices'!$H:$H)</f>
        <v>64.41</v>
      </c>
      <c r="F1290">
        <f>_xlfn.XLOOKUP(A1290,'[1]Global_Spot Prices'!$B:$B,'[1]Global_Spot Prices'!$I:$I)</f>
        <v>70.72</v>
      </c>
      <c r="G1290" cm="1">
        <f t="array" ref="G1290">_xlfn.XLOOKUP(TEXT(A1290, "mmm-yy"), TEXT([2]RUNS!$B$5:$B$208, "mmm-yy"), [2]RUNS!$D$5:$D$208, "Not Found")</f>
        <v>30814.033399929856</v>
      </c>
      <c r="H1290" cm="1">
        <f t="array" ref="H1290">SUMPRODUCT(
    --(TEXT('[3]Global Weekly Stock (EWSuez'!$B$4:$B$2000,"mmm-yy")=TEXT(A1290,"mmm-yy")),
    '[3]Global Weekly Stock (EWSuez'!$E$4:$E$2000)
/
SUMPRODUCT(
    --(TEXT('[3]Global Weekly Stock (EWSuez'!$B$4:$B$2000,"mmm-yy")=TEXT(A1290,"mmm-yy"))
)</f>
        <v>12362.25</v>
      </c>
      <c r="I1290">
        <f>_xlfn.XLOOKUP(A1290,[1]ForwardDeriv!$D:$D,[1]ForwardDeriv!$AJ:$AJ)</f>
        <v>0.79999999999999716</v>
      </c>
      <c r="J1290" cm="1">
        <f t="array" ref="J1290">_xlfn.XLOOKUP(TEXT(A1290, "mmm-yy"), TEXT([2]GASOLINE!$B$5:$B$208, "mmm-yy"), [2]GASOLINE!$IR$5:$IR$208, "Not Found")</f>
        <v>204.66817788907264</v>
      </c>
      <c r="K1290" cm="1">
        <f t="array" ref="K1290">_xlfn.XLOOKUP(TEXT(A1290, "mmm-yy"), TEXT([2]GASOLINE!$B$5:$B$208, "mmm-yy"), [2]GASOLINE!$IK$5:$IK$208, "Not Found")</f>
        <v>173.42616526643724</v>
      </c>
      <c r="L1290">
        <f t="shared" si="20"/>
        <v>0</v>
      </c>
      <c r="M1290" cm="1">
        <f t="array" ref="M1290">_xlfn.XLOOKUP(TEXT(A1290, "mmm-yy"), TEXT([2]GASOLINE!$B$5:$B$208, "mmm-yy"), [2]GASOLINE!$C$5:$C$208, "Not Found")</f>
        <v>7325.0059613797739</v>
      </c>
      <c r="N1290" cm="1">
        <f t="array" ref="N1290">_xlfn.XLOOKUP(TEXT(A1290, "mmm-yy"), TEXT([2]RUNS!$B$5:$B$208, "mmm-yy"), [2]RUNS!$BM$5:$BM$208, "Not Found")</f>
        <v>0.84922938318161256</v>
      </c>
    </row>
    <row r="1291" spans="1:14" x14ac:dyDescent="0.25">
      <c r="A1291" s="1">
        <f>'[1]Global_Spot Prices'!$B2600</f>
        <v>43810</v>
      </c>
      <c r="B1291">
        <f>_xlfn.XLOOKUP(A1291,'[1]Global_Spot Prices'!$B:$B,'[1]Global_Spot Prices'!$BS:$BS)</f>
        <v>7.1099999999999923</v>
      </c>
      <c r="C1291">
        <f>_xlfn.XLOOKUP(A1291,'[1]Global_Spot Prices'!$B:$B,'[1]Global_Spot Prices'!$E:$E)</f>
        <v>63.74</v>
      </c>
      <c r="D1291">
        <f>_xlfn.XLOOKUP(A1291,'[1]Global_Spot Prices'!$B:$B,'[1]Global_Spot Prices'!$D:$D)</f>
        <v>65.444999999999993</v>
      </c>
      <c r="E1291">
        <f>_xlfn.XLOOKUP(A1291,'[1]Global_Spot Prices'!$B:$B,'[1]Global_Spot Prices'!$H:$H)</f>
        <v>64.150000000000006</v>
      </c>
      <c r="F1291">
        <f>_xlfn.XLOOKUP(A1291,'[1]Global_Spot Prices'!$B:$B,'[1]Global_Spot Prices'!$I:$I)</f>
        <v>70.849999999999994</v>
      </c>
      <c r="G1291" cm="1">
        <f t="array" ref="G1291">_xlfn.XLOOKUP(TEXT(A1291, "mmm-yy"), TEXT([2]RUNS!$B$5:$B$208, "mmm-yy"), [2]RUNS!$D$5:$D$208, "Not Found")</f>
        <v>30814.033399929856</v>
      </c>
      <c r="H1291" cm="1">
        <f t="array" ref="H1291">SUMPRODUCT(
    --(TEXT('[3]Global Weekly Stock (EWSuez'!$B$4:$B$2000,"mmm-yy")=TEXT(A1291,"mmm-yy")),
    '[3]Global Weekly Stock (EWSuez'!$E$4:$E$2000)
/
SUMPRODUCT(
    --(TEXT('[3]Global Weekly Stock (EWSuez'!$B$4:$B$2000,"mmm-yy")=TEXT(A1291,"mmm-yy"))
)</f>
        <v>12362.25</v>
      </c>
      <c r="I1291">
        <f>_xlfn.XLOOKUP(A1291,[1]ForwardDeriv!$D:$D,[1]ForwardDeriv!$AJ:$AJ)</f>
        <v>0.79999999999999716</v>
      </c>
      <c r="J1291" cm="1">
        <f t="array" ref="J1291">_xlfn.XLOOKUP(TEXT(A1291, "mmm-yy"), TEXT([2]GASOLINE!$B$5:$B$208, "mmm-yy"), [2]GASOLINE!$IR$5:$IR$208, "Not Found")</f>
        <v>204.66817788907264</v>
      </c>
      <c r="K1291" cm="1">
        <f t="array" ref="K1291">_xlfn.XLOOKUP(TEXT(A1291, "mmm-yy"), TEXT([2]GASOLINE!$B$5:$B$208, "mmm-yy"), [2]GASOLINE!$IK$5:$IK$208, "Not Found")</f>
        <v>173.42616526643724</v>
      </c>
      <c r="L1291">
        <f t="shared" si="20"/>
        <v>0</v>
      </c>
      <c r="M1291" cm="1">
        <f t="array" ref="M1291">_xlfn.XLOOKUP(TEXT(A1291, "mmm-yy"), TEXT([2]GASOLINE!$B$5:$B$208, "mmm-yy"), [2]GASOLINE!$C$5:$C$208, "Not Found")</f>
        <v>7325.0059613797739</v>
      </c>
      <c r="N1291" cm="1">
        <f t="array" ref="N1291">_xlfn.XLOOKUP(TEXT(A1291, "mmm-yy"), TEXT([2]RUNS!$B$5:$B$208, "mmm-yy"), [2]RUNS!$BM$5:$BM$208, "Not Found")</f>
        <v>0.84922938318161256</v>
      </c>
    </row>
    <row r="1292" spans="1:14" x14ac:dyDescent="0.25">
      <c r="A1292" s="1">
        <f>'[1]Global_Spot Prices'!$B2601</f>
        <v>43811</v>
      </c>
      <c r="B1292">
        <f>_xlfn.XLOOKUP(A1292,'[1]Global_Spot Prices'!$B:$B,'[1]Global_Spot Prices'!$BS:$BS)</f>
        <v>5.9199999999999946</v>
      </c>
      <c r="C1292">
        <f>_xlfn.XLOOKUP(A1292,'[1]Global_Spot Prices'!$B:$B,'[1]Global_Spot Prices'!$E:$E)</f>
        <v>63.96</v>
      </c>
      <c r="D1292">
        <f>_xlfn.XLOOKUP(A1292,'[1]Global_Spot Prices'!$B:$B,'[1]Global_Spot Prices'!$D:$D)</f>
        <v>66.84</v>
      </c>
      <c r="E1292">
        <f ca="1">_xlfn.XLOOKUP(A1292,'[1]Global_Spot Prices'!$B:$B,'[1]Global_Spot Prices'!$H:$H)</f>
        <v>64.400000000000006</v>
      </c>
      <c r="F1292">
        <f>_xlfn.XLOOKUP(A1292,'[1]Global_Spot Prices'!$B:$B,'[1]Global_Spot Prices'!$I:$I)</f>
        <v>69.88</v>
      </c>
      <c r="G1292" cm="1">
        <f t="array" ref="G1292">_xlfn.XLOOKUP(TEXT(A1292, "mmm-yy"), TEXT([2]RUNS!$B$5:$B$208, "mmm-yy"), [2]RUNS!$D$5:$D$208, "Not Found")</f>
        <v>30814.033399929856</v>
      </c>
      <c r="H1292" cm="1">
        <f t="array" ref="H1292">SUMPRODUCT(
    --(TEXT('[3]Global Weekly Stock (EWSuez'!$B$4:$B$2000,"mmm-yy")=TEXT(A1292,"mmm-yy")),
    '[3]Global Weekly Stock (EWSuez'!$E$4:$E$2000)
/
SUMPRODUCT(
    --(TEXT('[3]Global Weekly Stock (EWSuez'!$B$4:$B$2000,"mmm-yy")=TEXT(A1292,"mmm-yy"))
)</f>
        <v>12362.25</v>
      </c>
      <c r="I1292">
        <f>_xlfn.XLOOKUP(A1292,[1]ForwardDeriv!$D:$D,[1]ForwardDeriv!$AJ:$AJ)</f>
        <v>0.64000000000000057</v>
      </c>
      <c r="J1292" cm="1">
        <f t="array" ref="J1292">_xlfn.XLOOKUP(TEXT(A1292, "mmm-yy"), TEXT([2]GASOLINE!$B$5:$B$208, "mmm-yy"), [2]GASOLINE!$IR$5:$IR$208, "Not Found")</f>
        <v>204.66817788907264</v>
      </c>
      <c r="K1292" cm="1">
        <f t="array" ref="K1292">_xlfn.XLOOKUP(TEXT(A1292, "mmm-yy"), TEXT([2]GASOLINE!$B$5:$B$208, "mmm-yy"), [2]GASOLINE!$IK$5:$IK$208, "Not Found")</f>
        <v>173.42616526643724</v>
      </c>
      <c r="L1292">
        <f t="shared" si="20"/>
        <v>0</v>
      </c>
      <c r="M1292" cm="1">
        <f t="array" ref="M1292">_xlfn.XLOOKUP(TEXT(A1292, "mmm-yy"), TEXT([2]GASOLINE!$B$5:$B$208, "mmm-yy"), [2]GASOLINE!$C$5:$C$208, "Not Found")</f>
        <v>7325.0059613797739</v>
      </c>
      <c r="N1292" cm="1">
        <f t="array" ref="N1292">_xlfn.XLOOKUP(TEXT(A1292, "mmm-yy"), TEXT([2]RUNS!$B$5:$B$208, "mmm-yy"), [2]RUNS!$BM$5:$BM$208, "Not Found")</f>
        <v>0.84922938318161256</v>
      </c>
    </row>
    <row r="1293" spans="1:14" x14ac:dyDescent="0.25">
      <c r="A1293" s="1">
        <f>'[1]Global_Spot Prices'!$B2602</f>
        <v>43812</v>
      </c>
      <c r="B1293">
        <f>_xlfn.XLOOKUP(A1293,'[1]Global_Spot Prices'!$B:$B,'[1]Global_Spot Prices'!$BS:$BS)</f>
        <v>5.3500000000000085</v>
      </c>
      <c r="C1293">
        <f>_xlfn.XLOOKUP(A1293,'[1]Global_Spot Prices'!$B:$B,'[1]Global_Spot Prices'!$E:$E)</f>
        <v>64.94</v>
      </c>
      <c r="D1293">
        <f>_xlfn.XLOOKUP(A1293,'[1]Global_Spot Prices'!$B:$B,'[1]Global_Spot Prices'!$D:$D)</f>
        <v>67.69</v>
      </c>
      <c r="E1293">
        <f>_xlfn.XLOOKUP(A1293,'[1]Global_Spot Prices'!$B:$B,'[1]Global_Spot Prices'!$H:$H)</f>
        <v>64.47</v>
      </c>
      <c r="F1293">
        <f>_xlfn.XLOOKUP(A1293,'[1]Global_Spot Prices'!$B:$B,'[1]Global_Spot Prices'!$I:$I)</f>
        <v>70.290000000000006</v>
      </c>
      <c r="G1293" cm="1">
        <f t="array" ref="G1293">_xlfn.XLOOKUP(TEXT(A1293, "mmm-yy"), TEXT([2]RUNS!$B$5:$B$208, "mmm-yy"), [2]RUNS!$D$5:$D$208, "Not Found")</f>
        <v>30814.033399929856</v>
      </c>
      <c r="H1293" cm="1">
        <f t="array" ref="H1293">SUMPRODUCT(
    --(TEXT('[3]Global Weekly Stock (EWSuez'!$B$4:$B$2000,"mmm-yy")=TEXT(A1293,"mmm-yy")),
    '[3]Global Weekly Stock (EWSuez'!$E$4:$E$2000)
/
SUMPRODUCT(
    --(TEXT('[3]Global Weekly Stock (EWSuez'!$B$4:$B$2000,"mmm-yy")=TEXT(A1293,"mmm-yy"))
)</f>
        <v>12362.25</v>
      </c>
      <c r="I1293">
        <f>_xlfn.XLOOKUP(A1293,[1]ForwardDeriv!$D:$D,[1]ForwardDeriv!$AJ:$AJ)</f>
        <v>0.66999999999998749</v>
      </c>
      <c r="J1293" cm="1">
        <f t="array" ref="J1293">_xlfn.XLOOKUP(TEXT(A1293, "mmm-yy"), TEXT([2]GASOLINE!$B$5:$B$208, "mmm-yy"), [2]GASOLINE!$IR$5:$IR$208, "Not Found")</f>
        <v>204.66817788907264</v>
      </c>
      <c r="K1293" cm="1">
        <f t="array" ref="K1293">_xlfn.XLOOKUP(TEXT(A1293, "mmm-yy"), TEXT([2]GASOLINE!$B$5:$B$208, "mmm-yy"), [2]GASOLINE!$IK$5:$IK$208, "Not Found")</f>
        <v>173.42616526643724</v>
      </c>
      <c r="L1293">
        <f t="shared" si="20"/>
        <v>0</v>
      </c>
      <c r="M1293" cm="1">
        <f t="array" ref="M1293">_xlfn.XLOOKUP(TEXT(A1293, "mmm-yy"), TEXT([2]GASOLINE!$B$5:$B$208, "mmm-yy"), [2]GASOLINE!$C$5:$C$208, "Not Found")</f>
        <v>7325.0059613797739</v>
      </c>
      <c r="N1293" cm="1">
        <f t="array" ref="N1293">_xlfn.XLOOKUP(TEXT(A1293, "mmm-yy"), TEXT([2]RUNS!$B$5:$B$208, "mmm-yy"), [2]RUNS!$BM$5:$BM$208, "Not Found")</f>
        <v>0.84922938318161256</v>
      </c>
    </row>
    <row r="1294" spans="1:14" x14ac:dyDescent="0.25">
      <c r="A1294" s="1">
        <f>'[1]Global_Spot Prices'!$B2603</f>
        <v>43815</v>
      </c>
      <c r="B1294">
        <f>_xlfn.XLOOKUP(A1294,'[1]Global_Spot Prices'!$B:$B,'[1]Global_Spot Prices'!$BS:$BS)</f>
        <v>4.7349999999999994</v>
      </c>
      <c r="C1294">
        <f>_xlfn.XLOOKUP(A1294,'[1]Global_Spot Prices'!$B:$B,'[1]Global_Spot Prices'!$E:$E)</f>
        <v>65.495000000000005</v>
      </c>
      <c r="D1294">
        <f>_xlfn.XLOOKUP(A1294,'[1]Global_Spot Prices'!$B:$B,'[1]Global_Spot Prices'!$D:$D)</f>
        <v>67.954999999999998</v>
      </c>
      <c r="E1294">
        <f>_xlfn.XLOOKUP(A1294,'[1]Global_Spot Prices'!$B:$B,'[1]Global_Spot Prices'!$H:$H)</f>
        <v>65.11</v>
      </c>
      <c r="F1294">
        <f>_xlfn.XLOOKUP(A1294,'[1]Global_Spot Prices'!$B:$B,'[1]Global_Spot Prices'!$I:$I)</f>
        <v>70.23</v>
      </c>
      <c r="G1294" cm="1">
        <f t="array" ref="G1294">_xlfn.XLOOKUP(TEXT(A1294, "mmm-yy"), TEXT([2]RUNS!$B$5:$B$208, "mmm-yy"), [2]RUNS!$D$5:$D$208, "Not Found")</f>
        <v>30814.033399929856</v>
      </c>
      <c r="H1294" cm="1">
        <f t="array" ref="H1294">SUMPRODUCT(
    --(TEXT('[3]Global Weekly Stock (EWSuez'!$B$4:$B$2000,"mmm-yy")=TEXT(A1294,"mmm-yy")),
    '[3]Global Weekly Stock (EWSuez'!$E$4:$E$2000)
/
SUMPRODUCT(
    --(TEXT('[3]Global Weekly Stock (EWSuez'!$B$4:$B$2000,"mmm-yy")=TEXT(A1294,"mmm-yy"))
)</f>
        <v>12362.25</v>
      </c>
      <c r="I1294">
        <f>_xlfn.XLOOKUP(A1294,[1]ForwardDeriv!$D:$D,[1]ForwardDeriv!$AJ:$AJ)</f>
        <v>0.59999999999999432</v>
      </c>
      <c r="J1294" cm="1">
        <f t="array" ref="J1294">_xlfn.XLOOKUP(TEXT(A1294, "mmm-yy"), TEXT([2]GASOLINE!$B$5:$B$208, "mmm-yy"), [2]GASOLINE!$IR$5:$IR$208, "Not Found")</f>
        <v>204.66817788907264</v>
      </c>
      <c r="K1294" cm="1">
        <f t="array" ref="K1294">_xlfn.XLOOKUP(TEXT(A1294, "mmm-yy"), TEXT([2]GASOLINE!$B$5:$B$208, "mmm-yy"), [2]GASOLINE!$IK$5:$IK$208, "Not Found")</f>
        <v>173.42616526643724</v>
      </c>
      <c r="L1294">
        <f t="shared" si="20"/>
        <v>0</v>
      </c>
      <c r="M1294" cm="1">
        <f t="array" ref="M1294">_xlfn.XLOOKUP(TEXT(A1294, "mmm-yy"), TEXT([2]GASOLINE!$B$5:$B$208, "mmm-yy"), [2]GASOLINE!$C$5:$C$208, "Not Found")</f>
        <v>7325.0059613797739</v>
      </c>
      <c r="N1294" cm="1">
        <f t="array" ref="N1294">_xlfn.XLOOKUP(TEXT(A1294, "mmm-yy"), TEXT([2]RUNS!$B$5:$B$208, "mmm-yy"), [2]RUNS!$BM$5:$BM$208, "Not Found")</f>
        <v>0.84922938318161256</v>
      </c>
    </row>
    <row r="1295" spans="1:14" x14ac:dyDescent="0.25">
      <c r="A1295" s="1">
        <f>'[1]Global_Spot Prices'!$B2604</f>
        <v>43816</v>
      </c>
      <c r="B1295">
        <f>_xlfn.XLOOKUP(A1295,'[1]Global_Spot Prices'!$B:$B,'[1]Global_Spot Prices'!$BS:$BS)</f>
        <v>4.2600000000000051</v>
      </c>
      <c r="C1295">
        <f ca="1">_xlfn.XLOOKUP(A1295,'[1]Global_Spot Prices'!$B:$B,'[1]Global_Spot Prices'!$E:$E)</f>
        <v>65.64</v>
      </c>
      <c r="D1295">
        <f>_xlfn.XLOOKUP(A1295,'[1]Global_Spot Prices'!$B:$B,'[1]Global_Spot Prices'!$D:$D)</f>
        <v>68.36</v>
      </c>
      <c r="E1295">
        <f>_xlfn.XLOOKUP(A1295,'[1]Global_Spot Prices'!$B:$B,'[1]Global_Spot Prices'!$H:$H)</f>
        <v>64.5</v>
      </c>
      <c r="F1295">
        <f>_xlfn.XLOOKUP(A1295,'[1]Global_Spot Prices'!$B:$B,'[1]Global_Spot Prices'!$I:$I)</f>
        <v>69.900000000000006</v>
      </c>
      <c r="G1295" cm="1">
        <f t="array" ref="G1295">_xlfn.XLOOKUP(TEXT(A1295, "mmm-yy"), TEXT([2]RUNS!$B$5:$B$208, "mmm-yy"), [2]RUNS!$D$5:$D$208, "Not Found")</f>
        <v>30814.033399929856</v>
      </c>
      <c r="H1295" cm="1">
        <f t="array" ref="H1295">SUMPRODUCT(
    --(TEXT('[3]Global Weekly Stock (EWSuez'!$B$4:$B$2000,"mmm-yy")=TEXT(A1295,"mmm-yy")),
    '[3]Global Weekly Stock (EWSuez'!$E$4:$E$2000)
/
SUMPRODUCT(
    --(TEXT('[3]Global Weekly Stock (EWSuez'!$B$4:$B$2000,"mmm-yy")=TEXT(A1295,"mmm-yy"))
)</f>
        <v>12362.25</v>
      </c>
      <c r="I1295">
        <f>_xlfn.XLOOKUP(A1295,[1]ForwardDeriv!$D:$D,[1]ForwardDeriv!$AJ:$AJ)</f>
        <v>0.57000000000000739</v>
      </c>
      <c r="J1295" cm="1">
        <f t="array" ref="J1295">_xlfn.XLOOKUP(TEXT(A1295, "mmm-yy"), TEXT([2]GASOLINE!$B$5:$B$208, "mmm-yy"), [2]GASOLINE!$IR$5:$IR$208, "Not Found")</f>
        <v>204.66817788907264</v>
      </c>
      <c r="K1295" cm="1">
        <f t="array" ref="K1295">_xlfn.XLOOKUP(TEXT(A1295, "mmm-yy"), TEXT([2]GASOLINE!$B$5:$B$208, "mmm-yy"), [2]GASOLINE!$IK$5:$IK$208, "Not Found")</f>
        <v>173.42616526643724</v>
      </c>
      <c r="L1295">
        <f t="shared" si="20"/>
        <v>0</v>
      </c>
      <c r="M1295" cm="1">
        <f t="array" ref="M1295">_xlfn.XLOOKUP(TEXT(A1295, "mmm-yy"), TEXT([2]GASOLINE!$B$5:$B$208, "mmm-yy"), [2]GASOLINE!$C$5:$C$208, "Not Found")</f>
        <v>7325.0059613797739</v>
      </c>
      <c r="N1295" cm="1">
        <f t="array" ref="N1295">_xlfn.XLOOKUP(TEXT(A1295, "mmm-yy"), TEXT([2]RUNS!$B$5:$B$208, "mmm-yy"), [2]RUNS!$BM$5:$BM$208, "Not Found")</f>
        <v>0.84922938318161256</v>
      </c>
    </row>
    <row r="1296" spans="1:14" x14ac:dyDescent="0.25">
      <c r="A1296" s="1">
        <f>'[1]Global_Spot Prices'!$B2605</f>
        <v>43817</v>
      </c>
      <c r="B1296">
        <f>_xlfn.XLOOKUP(A1296,'[1]Global_Spot Prices'!$B:$B,'[1]Global_Spot Prices'!$BS:$BS)</f>
        <v>4.0500000000000114</v>
      </c>
      <c r="C1296">
        <f>_xlfn.XLOOKUP(A1296,'[1]Global_Spot Prices'!$B:$B,'[1]Global_Spot Prices'!$E:$E)</f>
        <v>66.099999999999994</v>
      </c>
      <c r="D1296">
        <f>_xlfn.XLOOKUP(A1296,'[1]Global_Spot Prices'!$B:$B,'[1]Global_Spot Prices'!$D:$D)</f>
        <v>68.564999999999998</v>
      </c>
      <c r="E1296">
        <f>_xlfn.XLOOKUP(A1296,'[1]Global_Spot Prices'!$B:$B,'[1]Global_Spot Prices'!$H:$H)</f>
        <v>63.42</v>
      </c>
      <c r="F1296">
        <f>_xlfn.XLOOKUP(A1296,'[1]Global_Spot Prices'!$B:$B,'[1]Global_Spot Prices'!$I:$I)</f>
        <v>70.150000000000006</v>
      </c>
      <c r="G1296" cm="1">
        <f t="array" ref="G1296">_xlfn.XLOOKUP(TEXT(A1296, "mmm-yy"), TEXT([2]RUNS!$B$5:$B$208, "mmm-yy"), [2]RUNS!$D$5:$D$208, "Not Found")</f>
        <v>30814.033399929856</v>
      </c>
      <c r="H1296" cm="1">
        <f t="array" ref="H1296">SUMPRODUCT(
    --(TEXT('[3]Global Weekly Stock (EWSuez'!$B$4:$B$2000,"mmm-yy")=TEXT(A1296,"mmm-yy")),
    '[3]Global Weekly Stock (EWSuez'!$E$4:$E$2000)
/
SUMPRODUCT(
    --(TEXT('[3]Global Weekly Stock (EWSuez'!$B$4:$B$2000,"mmm-yy")=TEXT(A1296,"mmm-yy"))
)</f>
        <v>12362.25</v>
      </c>
      <c r="I1296">
        <f>_xlfn.XLOOKUP(A1296,[1]ForwardDeriv!$D:$D,[1]ForwardDeriv!$AJ:$AJ)</f>
        <v>0.34999999999999432</v>
      </c>
      <c r="J1296" cm="1">
        <f t="array" ref="J1296">_xlfn.XLOOKUP(TEXT(A1296, "mmm-yy"), TEXT([2]GASOLINE!$B$5:$B$208, "mmm-yy"), [2]GASOLINE!$IR$5:$IR$208, "Not Found")</f>
        <v>204.66817788907264</v>
      </c>
      <c r="K1296" cm="1">
        <f t="array" ref="K1296">_xlfn.XLOOKUP(TEXT(A1296, "mmm-yy"), TEXT([2]GASOLINE!$B$5:$B$208, "mmm-yy"), [2]GASOLINE!$IK$5:$IK$208, "Not Found")</f>
        <v>173.42616526643724</v>
      </c>
      <c r="L1296">
        <f t="shared" si="20"/>
        <v>0</v>
      </c>
      <c r="M1296" cm="1">
        <f t="array" ref="M1296">_xlfn.XLOOKUP(TEXT(A1296, "mmm-yy"), TEXT([2]GASOLINE!$B$5:$B$208, "mmm-yy"), [2]GASOLINE!$C$5:$C$208, "Not Found")</f>
        <v>7325.0059613797739</v>
      </c>
      <c r="N1296" cm="1">
        <f t="array" ref="N1296">_xlfn.XLOOKUP(TEXT(A1296, "mmm-yy"), TEXT([2]RUNS!$B$5:$B$208, "mmm-yy"), [2]RUNS!$BM$5:$BM$208, "Not Found")</f>
        <v>0.84922938318161256</v>
      </c>
    </row>
    <row r="1297" spans="1:14" x14ac:dyDescent="0.25">
      <c r="A1297" s="1">
        <f>'[1]Global_Spot Prices'!$B2606</f>
        <v>43818</v>
      </c>
      <c r="B1297">
        <f>_xlfn.XLOOKUP(A1297,'[1]Global_Spot Prices'!$B:$B,'[1]Global_Spot Prices'!$BS:$BS)</f>
        <v>4.2900000000000063</v>
      </c>
      <c r="C1297">
        <f>_xlfn.XLOOKUP(A1297,'[1]Global_Spot Prices'!$B:$B,'[1]Global_Spot Prices'!$E:$E)</f>
        <v>66.459999999999994</v>
      </c>
      <c r="D1297">
        <f>_xlfn.XLOOKUP(A1297,'[1]Global_Spot Prices'!$B:$B,'[1]Global_Spot Prices'!$D:$D)</f>
        <v>68.47</v>
      </c>
      <c r="E1297">
        <f ca="1">_xlfn.XLOOKUP(A1297,'[1]Global_Spot Prices'!$B:$B,'[1]Global_Spot Prices'!$H:$H)</f>
        <v>62.54</v>
      </c>
      <c r="F1297">
        <f>_xlfn.XLOOKUP(A1297,'[1]Global_Spot Prices'!$B:$B,'[1]Global_Spot Prices'!$I:$I)</f>
        <v>70.75</v>
      </c>
      <c r="G1297" cm="1">
        <f t="array" ref="G1297">_xlfn.XLOOKUP(TEXT(A1297, "mmm-yy"), TEXT([2]RUNS!$B$5:$B$208, "mmm-yy"), [2]RUNS!$D$5:$D$208, "Not Found")</f>
        <v>30814.033399929856</v>
      </c>
      <c r="H1297" cm="1">
        <f t="array" ref="H1297">SUMPRODUCT(
    --(TEXT('[3]Global Weekly Stock (EWSuez'!$B$4:$B$2000,"mmm-yy")=TEXT(A1297,"mmm-yy")),
    '[3]Global Weekly Stock (EWSuez'!$E$4:$E$2000)
/
SUMPRODUCT(
    --(TEXT('[3]Global Weekly Stock (EWSuez'!$B$4:$B$2000,"mmm-yy")=TEXT(A1297,"mmm-yy"))
)</f>
        <v>12362.25</v>
      </c>
      <c r="I1297">
        <f>_xlfn.XLOOKUP(A1297,[1]ForwardDeriv!$D:$D,[1]ForwardDeriv!$AJ:$AJ)</f>
        <v>0.29999999999999716</v>
      </c>
      <c r="J1297" cm="1">
        <f t="array" ref="J1297">_xlfn.XLOOKUP(TEXT(A1297, "mmm-yy"), TEXT([2]GASOLINE!$B$5:$B$208, "mmm-yy"), [2]GASOLINE!$IR$5:$IR$208, "Not Found")</f>
        <v>204.66817788907264</v>
      </c>
      <c r="K1297" cm="1">
        <f t="array" ref="K1297">_xlfn.XLOOKUP(TEXT(A1297, "mmm-yy"), TEXT([2]GASOLINE!$B$5:$B$208, "mmm-yy"), [2]GASOLINE!$IK$5:$IK$208, "Not Found")</f>
        <v>173.42616526643724</v>
      </c>
      <c r="L1297">
        <f t="shared" si="20"/>
        <v>0</v>
      </c>
      <c r="M1297" cm="1">
        <f t="array" ref="M1297">_xlfn.XLOOKUP(TEXT(A1297, "mmm-yy"), TEXT([2]GASOLINE!$B$5:$B$208, "mmm-yy"), [2]GASOLINE!$C$5:$C$208, "Not Found")</f>
        <v>7325.0059613797739</v>
      </c>
      <c r="N1297" cm="1">
        <f t="array" ref="N1297">_xlfn.XLOOKUP(TEXT(A1297, "mmm-yy"), TEXT([2]RUNS!$B$5:$B$208, "mmm-yy"), [2]RUNS!$BM$5:$BM$208, "Not Found")</f>
        <v>0.84922938318161256</v>
      </c>
    </row>
    <row r="1298" spans="1:14" x14ac:dyDescent="0.25">
      <c r="A1298" s="1">
        <f>'[1]Global_Spot Prices'!$B2607</f>
        <v>43819</v>
      </c>
      <c r="B1298">
        <f>_xlfn.XLOOKUP(A1298,'[1]Global_Spot Prices'!$B:$B,'[1]Global_Spot Prices'!$BS:$BS)</f>
        <v>5.3250000000000028</v>
      </c>
      <c r="C1298">
        <f>_xlfn.XLOOKUP(A1298,'[1]Global_Spot Prices'!$B:$B,'[1]Global_Spot Prices'!$E:$E)</f>
        <v>66.905000000000001</v>
      </c>
      <c r="D1298">
        <f>_xlfn.XLOOKUP(A1298,'[1]Global_Spot Prices'!$B:$B,'[1]Global_Spot Prices'!$D:$D)</f>
        <v>67.474999999999994</v>
      </c>
      <c r="E1298">
        <f>_xlfn.XLOOKUP(A1298,'[1]Global_Spot Prices'!$B:$B,'[1]Global_Spot Prices'!$H:$H)</f>
        <v>62.99</v>
      </c>
      <c r="F1298">
        <f>_xlfn.XLOOKUP(A1298,'[1]Global_Spot Prices'!$B:$B,'[1]Global_Spot Prices'!$I:$I)</f>
        <v>72.23</v>
      </c>
      <c r="G1298" cm="1">
        <f t="array" ref="G1298">_xlfn.XLOOKUP(TEXT(A1298, "mmm-yy"), TEXT([2]RUNS!$B$5:$B$208, "mmm-yy"), [2]RUNS!$D$5:$D$208, "Not Found")</f>
        <v>30814.033399929856</v>
      </c>
      <c r="H1298" cm="1">
        <f t="array" ref="H1298">SUMPRODUCT(
    --(TEXT('[3]Global Weekly Stock (EWSuez'!$B$4:$B$2000,"mmm-yy")=TEXT(A1298,"mmm-yy")),
    '[3]Global Weekly Stock (EWSuez'!$E$4:$E$2000)
/
SUMPRODUCT(
    --(TEXT('[3]Global Weekly Stock (EWSuez'!$B$4:$B$2000,"mmm-yy")=TEXT(A1298,"mmm-yy"))
)</f>
        <v>12362.25</v>
      </c>
      <c r="I1298">
        <f>_xlfn.XLOOKUP(A1298,[1]ForwardDeriv!$D:$D,[1]ForwardDeriv!$AJ:$AJ)</f>
        <v>0.4100000000000108</v>
      </c>
      <c r="J1298" cm="1">
        <f t="array" ref="J1298">_xlfn.XLOOKUP(TEXT(A1298, "mmm-yy"), TEXT([2]GASOLINE!$B$5:$B$208, "mmm-yy"), [2]GASOLINE!$IR$5:$IR$208, "Not Found")</f>
        <v>204.66817788907264</v>
      </c>
      <c r="K1298" cm="1">
        <f t="array" ref="K1298">_xlfn.XLOOKUP(TEXT(A1298, "mmm-yy"), TEXT([2]GASOLINE!$B$5:$B$208, "mmm-yy"), [2]GASOLINE!$IK$5:$IK$208, "Not Found")</f>
        <v>173.42616526643724</v>
      </c>
      <c r="L1298">
        <f t="shared" si="20"/>
        <v>0</v>
      </c>
      <c r="M1298" cm="1">
        <f t="array" ref="M1298">_xlfn.XLOOKUP(TEXT(A1298, "mmm-yy"), TEXT([2]GASOLINE!$B$5:$B$208, "mmm-yy"), [2]GASOLINE!$C$5:$C$208, "Not Found")</f>
        <v>7325.0059613797739</v>
      </c>
      <c r="N1298" cm="1">
        <f t="array" ref="N1298">_xlfn.XLOOKUP(TEXT(A1298, "mmm-yy"), TEXT([2]RUNS!$B$5:$B$208, "mmm-yy"), [2]RUNS!$BM$5:$BM$208, "Not Found")</f>
        <v>0.84922938318161256</v>
      </c>
    </row>
    <row r="1299" spans="1:14" x14ac:dyDescent="0.25">
      <c r="A1299" s="1">
        <f>'[1]Global_Spot Prices'!$B2608</f>
        <v>43822</v>
      </c>
      <c r="B1299">
        <f>_xlfn.XLOOKUP(A1299,'[1]Global_Spot Prices'!$B:$B,'[1]Global_Spot Prices'!$BS:$BS)</f>
        <v>5.5</v>
      </c>
      <c r="C1299">
        <f>_xlfn.XLOOKUP(A1299,'[1]Global_Spot Prices'!$B:$B,'[1]Global_Spot Prices'!$E:$E)</f>
        <v>66.150000000000006</v>
      </c>
      <c r="D1299">
        <f>_xlfn.XLOOKUP(A1299,'[1]Global_Spot Prices'!$B:$B,'[1]Global_Spot Prices'!$D:$D)</f>
        <v>67.834999999999994</v>
      </c>
      <c r="E1299">
        <f>_xlfn.XLOOKUP(A1299,'[1]Global_Spot Prices'!$B:$B,'[1]Global_Spot Prices'!$H:$H)</f>
        <v>62.23</v>
      </c>
      <c r="F1299">
        <f>_xlfn.XLOOKUP(A1299,'[1]Global_Spot Prices'!$B:$B,'[1]Global_Spot Prices'!$I:$I)</f>
        <v>71.650000000000006</v>
      </c>
      <c r="G1299" cm="1">
        <f t="array" ref="G1299">_xlfn.XLOOKUP(TEXT(A1299, "mmm-yy"), TEXT([2]RUNS!$B$5:$B$208, "mmm-yy"), [2]RUNS!$D$5:$D$208, "Not Found")</f>
        <v>30814.033399929856</v>
      </c>
      <c r="H1299" cm="1">
        <f t="array" ref="H1299">SUMPRODUCT(
    --(TEXT('[3]Global Weekly Stock (EWSuez'!$B$4:$B$2000,"mmm-yy")=TEXT(A1299,"mmm-yy")),
    '[3]Global Weekly Stock (EWSuez'!$E$4:$E$2000)
/
SUMPRODUCT(
    --(TEXT('[3]Global Weekly Stock (EWSuez'!$B$4:$B$2000,"mmm-yy")=TEXT(A1299,"mmm-yy"))
)</f>
        <v>12362.25</v>
      </c>
      <c r="I1299">
        <f>_xlfn.XLOOKUP(A1299,[1]ForwardDeriv!$D:$D,[1]ForwardDeriv!$AJ:$AJ)</f>
        <v>0.5</v>
      </c>
      <c r="J1299" cm="1">
        <f t="array" ref="J1299">_xlfn.XLOOKUP(TEXT(A1299, "mmm-yy"), TEXT([2]GASOLINE!$B$5:$B$208, "mmm-yy"), [2]GASOLINE!$IR$5:$IR$208, "Not Found")</f>
        <v>204.66817788907264</v>
      </c>
      <c r="K1299" cm="1">
        <f t="array" ref="K1299">_xlfn.XLOOKUP(TEXT(A1299, "mmm-yy"), TEXT([2]GASOLINE!$B$5:$B$208, "mmm-yy"), [2]GASOLINE!$IK$5:$IK$208, "Not Found")</f>
        <v>173.42616526643724</v>
      </c>
      <c r="L1299">
        <f t="shared" si="20"/>
        <v>0</v>
      </c>
      <c r="M1299" cm="1">
        <f t="array" ref="M1299">_xlfn.XLOOKUP(TEXT(A1299, "mmm-yy"), TEXT([2]GASOLINE!$B$5:$B$208, "mmm-yy"), [2]GASOLINE!$C$5:$C$208, "Not Found")</f>
        <v>7325.0059613797739</v>
      </c>
      <c r="N1299" cm="1">
        <f t="array" ref="N1299">_xlfn.XLOOKUP(TEXT(A1299, "mmm-yy"), TEXT([2]RUNS!$B$5:$B$208, "mmm-yy"), [2]RUNS!$BM$5:$BM$208, "Not Found")</f>
        <v>0.84922938318161256</v>
      </c>
    </row>
    <row r="1300" spans="1:14" x14ac:dyDescent="0.25">
      <c r="A1300" s="1">
        <f>'[1]Global_Spot Prices'!$B2609</f>
        <v>43823</v>
      </c>
      <c r="B1300">
        <f>_xlfn.XLOOKUP(A1300,'[1]Global_Spot Prices'!$B:$B,'[1]Global_Spot Prices'!$BS:$BS)</f>
        <v>6.1000000000000085</v>
      </c>
      <c r="C1300">
        <f>_xlfn.XLOOKUP(A1300,'[1]Global_Spot Prices'!$B:$B,'[1]Global_Spot Prices'!$E:$E)</f>
        <v>66.739999999999995</v>
      </c>
      <c r="D1300">
        <f>_xlfn.XLOOKUP(A1300,'[1]Global_Spot Prices'!$B:$B,'[1]Global_Spot Prices'!$D:$D)</f>
        <v>68.63</v>
      </c>
      <c r="E1300">
        <f>_xlfn.XLOOKUP(A1300,'[1]Global_Spot Prices'!$B:$B,'[1]Global_Spot Prices'!$H:$H)</f>
        <v>63.62</v>
      </c>
      <c r="F1300">
        <f>_xlfn.XLOOKUP(A1300,'[1]Global_Spot Prices'!$B:$B,'[1]Global_Spot Prices'!$I:$I)</f>
        <v>72.84</v>
      </c>
      <c r="G1300" cm="1">
        <f t="array" ref="G1300">_xlfn.XLOOKUP(TEXT(A1300, "mmm-yy"), TEXT([2]RUNS!$B$5:$B$208, "mmm-yy"), [2]RUNS!$D$5:$D$208, "Not Found")</f>
        <v>30814.033399929856</v>
      </c>
      <c r="H1300" cm="1">
        <f t="array" ref="H1300">SUMPRODUCT(
    --(TEXT('[3]Global Weekly Stock (EWSuez'!$B$4:$B$2000,"mmm-yy")=TEXT(A1300,"mmm-yy")),
    '[3]Global Weekly Stock (EWSuez'!$E$4:$E$2000)
/
SUMPRODUCT(
    --(TEXT('[3]Global Weekly Stock (EWSuez'!$B$4:$B$2000,"mmm-yy")=TEXT(A1300,"mmm-yy"))
)</f>
        <v>12362.25</v>
      </c>
      <c r="I1300">
        <f>_xlfn.XLOOKUP(A1300,[1]ForwardDeriv!$D:$D,[1]ForwardDeriv!$AJ:$AJ)</f>
        <v>0.65999999999999659</v>
      </c>
      <c r="J1300" cm="1">
        <f t="array" ref="J1300">_xlfn.XLOOKUP(TEXT(A1300, "mmm-yy"), TEXT([2]GASOLINE!$B$5:$B$208, "mmm-yy"), [2]GASOLINE!$IR$5:$IR$208, "Not Found")</f>
        <v>204.66817788907264</v>
      </c>
      <c r="K1300" cm="1">
        <f t="array" ref="K1300">_xlfn.XLOOKUP(TEXT(A1300, "mmm-yy"), TEXT([2]GASOLINE!$B$5:$B$208, "mmm-yy"), [2]GASOLINE!$IK$5:$IK$208, "Not Found")</f>
        <v>173.42616526643724</v>
      </c>
      <c r="L1300">
        <f t="shared" si="20"/>
        <v>0</v>
      </c>
      <c r="M1300" cm="1">
        <f t="array" ref="M1300">_xlfn.XLOOKUP(TEXT(A1300, "mmm-yy"), TEXT([2]GASOLINE!$B$5:$B$208, "mmm-yy"), [2]GASOLINE!$C$5:$C$208, "Not Found")</f>
        <v>7325.0059613797739</v>
      </c>
      <c r="N1300" cm="1">
        <f t="array" ref="N1300">_xlfn.XLOOKUP(TEXT(A1300, "mmm-yy"), TEXT([2]RUNS!$B$5:$B$208, "mmm-yy"), [2]RUNS!$BM$5:$BM$208, "Not Found")</f>
        <v>0.84922938318161256</v>
      </c>
    </row>
    <row r="1301" spans="1:14" x14ac:dyDescent="0.25">
      <c r="A1301" s="1">
        <f>'[1]Global_Spot Prices'!$B2610</f>
        <v>43824</v>
      </c>
      <c r="B1301" t="e">
        <f>_xlfn.XLOOKUP(A1301,'[1]Global_Spot Prices'!$B:$B,'[1]Global_Spot Prices'!$BS:$BS)</f>
        <v>#N/A</v>
      </c>
      <c r="C1301" t="str">
        <f>_xlfn.XLOOKUP(A1301,'[1]Global_Spot Prices'!$B:$B,'[1]Global_Spot Prices'!$E:$E)</f>
        <v/>
      </c>
      <c r="D1301" t="str">
        <f>_xlfn.XLOOKUP(A1301,'[1]Global_Spot Prices'!$B:$B,'[1]Global_Spot Prices'!$D:$D)</f>
        <v/>
      </c>
      <c r="E1301">
        <f>_xlfn.XLOOKUP(A1301,'[1]Global_Spot Prices'!$B:$B,'[1]Global_Spot Prices'!$H:$H)</f>
        <v>0</v>
      </c>
      <c r="F1301">
        <f>_xlfn.XLOOKUP(A1301,'[1]Global_Spot Prices'!$B:$B,'[1]Global_Spot Prices'!$I:$I)</f>
        <v>0</v>
      </c>
      <c r="G1301" cm="1">
        <f t="array" ref="G1301">_xlfn.XLOOKUP(TEXT(A1301, "mmm-yy"), TEXT([2]RUNS!$B$5:$B$208, "mmm-yy"), [2]RUNS!$D$5:$D$208, "Not Found")</f>
        <v>30814.033399929856</v>
      </c>
      <c r="H1301" cm="1">
        <f t="array" ref="H1301">SUMPRODUCT(
    --(TEXT('[3]Global Weekly Stock (EWSuez'!$B$4:$B$2000,"mmm-yy")=TEXT(A1301,"mmm-yy")),
    '[3]Global Weekly Stock (EWSuez'!$E$4:$E$2000)
/
SUMPRODUCT(
    --(TEXT('[3]Global Weekly Stock (EWSuez'!$B$4:$B$2000,"mmm-yy")=TEXT(A1301,"mmm-yy"))
)</f>
        <v>12362.25</v>
      </c>
      <c r="I1301">
        <f>_xlfn.XLOOKUP(A1301,[1]ForwardDeriv!$D:$D,[1]ForwardDeriv!$AJ:$AJ)</f>
        <v>0.69999999999998863</v>
      </c>
      <c r="J1301" cm="1">
        <f t="array" ref="J1301">_xlfn.XLOOKUP(TEXT(A1301, "mmm-yy"), TEXT([2]GASOLINE!$B$5:$B$208, "mmm-yy"), [2]GASOLINE!$IR$5:$IR$208, "Not Found")</f>
        <v>204.66817788907264</v>
      </c>
      <c r="K1301" cm="1">
        <f t="array" ref="K1301">_xlfn.XLOOKUP(TEXT(A1301, "mmm-yy"), TEXT([2]GASOLINE!$B$5:$B$208, "mmm-yy"), [2]GASOLINE!$IK$5:$IK$208, "Not Found")</f>
        <v>173.42616526643724</v>
      </c>
      <c r="L1301">
        <f t="shared" si="20"/>
        <v>0</v>
      </c>
      <c r="M1301" cm="1">
        <f t="array" ref="M1301">_xlfn.XLOOKUP(TEXT(A1301, "mmm-yy"), TEXT([2]GASOLINE!$B$5:$B$208, "mmm-yy"), [2]GASOLINE!$C$5:$C$208, "Not Found")</f>
        <v>7325.0059613797739</v>
      </c>
      <c r="N1301" cm="1">
        <f t="array" ref="N1301">_xlfn.XLOOKUP(TEXT(A1301, "mmm-yy"), TEXT([2]RUNS!$B$5:$B$208, "mmm-yy"), [2]RUNS!$BM$5:$BM$208, "Not Found")</f>
        <v>0.84922938318161256</v>
      </c>
    </row>
    <row r="1302" spans="1:14" x14ac:dyDescent="0.25">
      <c r="A1302" s="1">
        <f>'[1]Global_Spot Prices'!$B2611</f>
        <v>43825</v>
      </c>
      <c r="B1302">
        <f>_xlfn.XLOOKUP(A1302,'[1]Global_Spot Prices'!$B:$B,'[1]Global_Spot Prices'!$BS:$BS)</f>
        <v>5.5900000000000034</v>
      </c>
      <c r="C1302">
        <f>_xlfn.XLOOKUP(A1302,'[1]Global_Spot Prices'!$B:$B,'[1]Global_Spot Prices'!$E:$E)</f>
        <v>67.45</v>
      </c>
      <c r="D1302" t="str">
        <f>_xlfn.XLOOKUP(A1302,'[1]Global_Spot Prices'!$B:$B,'[1]Global_Spot Prices'!$D:$D)</f>
        <v/>
      </c>
      <c r="E1302">
        <f>_xlfn.XLOOKUP(A1302,'[1]Global_Spot Prices'!$B:$B,'[1]Global_Spot Prices'!$H:$H)</f>
        <v>64.02</v>
      </c>
      <c r="F1302">
        <f>_xlfn.XLOOKUP(A1302,'[1]Global_Spot Prices'!$B:$B,'[1]Global_Spot Prices'!$I:$I)</f>
        <v>73.040000000000006</v>
      </c>
      <c r="G1302" cm="1">
        <f t="array" ref="G1302">_xlfn.XLOOKUP(TEXT(A1302, "mmm-yy"), TEXT([2]RUNS!$B$5:$B$208, "mmm-yy"), [2]RUNS!$D$5:$D$208, "Not Found")</f>
        <v>30814.033399929856</v>
      </c>
      <c r="H1302" cm="1">
        <f t="array" ref="H1302">SUMPRODUCT(
    --(TEXT('[3]Global Weekly Stock (EWSuez'!$B$4:$B$2000,"mmm-yy")=TEXT(A1302,"mmm-yy")),
    '[3]Global Weekly Stock (EWSuez'!$E$4:$E$2000)
/
SUMPRODUCT(
    --(TEXT('[3]Global Weekly Stock (EWSuez'!$B$4:$B$2000,"mmm-yy")=TEXT(A1302,"mmm-yy"))
)</f>
        <v>12362.25</v>
      </c>
      <c r="I1302">
        <f>_xlfn.XLOOKUP(A1302,[1]ForwardDeriv!$D:$D,[1]ForwardDeriv!$AJ:$AJ)</f>
        <v>0.69999999999998863</v>
      </c>
      <c r="J1302" cm="1">
        <f t="array" ref="J1302">_xlfn.XLOOKUP(TEXT(A1302, "mmm-yy"), TEXT([2]GASOLINE!$B$5:$B$208, "mmm-yy"), [2]GASOLINE!$IR$5:$IR$208, "Not Found")</f>
        <v>204.66817788907264</v>
      </c>
      <c r="K1302" cm="1">
        <f t="array" ref="K1302">_xlfn.XLOOKUP(TEXT(A1302, "mmm-yy"), TEXT([2]GASOLINE!$B$5:$B$208, "mmm-yy"), [2]GASOLINE!$IK$5:$IK$208, "Not Found")</f>
        <v>173.42616526643724</v>
      </c>
      <c r="L1302">
        <f t="shared" si="20"/>
        <v>0</v>
      </c>
      <c r="M1302" cm="1">
        <f t="array" ref="M1302">_xlfn.XLOOKUP(TEXT(A1302, "mmm-yy"), TEXT([2]GASOLINE!$B$5:$B$208, "mmm-yy"), [2]GASOLINE!$C$5:$C$208, "Not Found")</f>
        <v>7325.0059613797739</v>
      </c>
      <c r="N1302" cm="1">
        <f t="array" ref="N1302">_xlfn.XLOOKUP(TEXT(A1302, "mmm-yy"), TEXT([2]RUNS!$B$5:$B$208, "mmm-yy"), [2]RUNS!$BM$5:$BM$208, "Not Found")</f>
        <v>0.84922938318161256</v>
      </c>
    </row>
    <row r="1303" spans="1:14" x14ac:dyDescent="0.25">
      <c r="A1303" s="1">
        <f>'[1]Global_Spot Prices'!$B2612</f>
        <v>43826</v>
      </c>
      <c r="B1303">
        <f>_xlfn.XLOOKUP(A1303,'[1]Global_Spot Prices'!$B:$B,'[1]Global_Spot Prices'!$BS:$BS)</f>
        <v>6.1699999999999875</v>
      </c>
      <c r="C1303">
        <f>_xlfn.XLOOKUP(A1303,'[1]Global_Spot Prices'!$B:$B,'[1]Global_Spot Prices'!$E:$E)</f>
        <v>67.900000000000006</v>
      </c>
      <c r="D1303">
        <f>_xlfn.XLOOKUP(A1303,'[1]Global_Spot Prices'!$B:$B,'[1]Global_Spot Prices'!$D:$D)</f>
        <v>69.364999999999995</v>
      </c>
      <c r="E1303">
        <f>_xlfn.XLOOKUP(A1303,'[1]Global_Spot Prices'!$B:$B,'[1]Global_Spot Prices'!$H:$H)</f>
        <v>65.099999999999994</v>
      </c>
      <c r="F1303">
        <f>_xlfn.XLOOKUP(A1303,'[1]Global_Spot Prices'!$B:$B,'[1]Global_Spot Prices'!$I:$I)</f>
        <v>74.069999999999993</v>
      </c>
      <c r="G1303" cm="1">
        <f t="array" ref="G1303">_xlfn.XLOOKUP(TEXT(A1303, "mmm-yy"), TEXT([2]RUNS!$B$5:$B$208, "mmm-yy"), [2]RUNS!$D$5:$D$208, "Not Found")</f>
        <v>30814.033399929856</v>
      </c>
      <c r="H1303" cm="1">
        <f t="array" ref="H1303">SUMPRODUCT(
    --(TEXT('[3]Global Weekly Stock (EWSuez'!$B$4:$B$2000,"mmm-yy")=TEXT(A1303,"mmm-yy")),
    '[3]Global Weekly Stock (EWSuez'!$E$4:$E$2000)
/
SUMPRODUCT(
    --(TEXT('[3]Global Weekly Stock (EWSuez'!$B$4:$B$2000,"mmm-yy")=TEXT(A1303,"mmm-yy"))
)</f>
        <v>12362.25</v>
      </c>
      <c r="I1303">
        <f>_xlfn.XLOOKUP(A1303,[1]ForwardDeriv!$D:$D,[1]ForwardDeriv!$AJ:$AJ)</f>
        <v>0.73999999999999488</v>
      </c>
      <c r="J1303" cm="1">
        <f t="array" ref="J1303">_xlfn.XLOOKUP(TEXT(A1303, "mmm-yy"), TEXT([2]GASOLINE!$B$5:$B$208, "mmm-yy"), [2]GASOLINE!$IR$5:$IR$208, "Not Found")</f>
        <v>204.66817788907264</v>
      </c>
      <c r="K1303" cm="1">
        <f t="array" ref="K1303">_xlfn.XLOOKUP(TEXT(A1303, "mmm-yy"), TEXT([2]GASOLINE!$B$5:$B$208, "mmm-yy"), [2]GASOLINE!$IK$5:$IK$208, "Not Found")</f>
        <v>173.42616526643724</v>
      </c>
      <c r="L1303">
        <f t="shared" si="20"/>
        <v>0</v>
      </c>
      <c r="M1303" cm="1">
        <f t="array" ref="M1303">_xlfn.XLOOKUP(TEXT(A1303, "mmm-yy"), TEXT([2]GASOLINE!$B$5:$B$208, "mmm-yy"), [2]GASOLINE!$C$5:$C$208, "Not Found")</f>
        <v>7325.0059613797739</v>
      </c>
      <c r="N1303" cm="1">
        <f t="array" ref="N1303">_xlfn.XLOOKUP(TEXT(A1303, "mmm-yy"), TEXT([2]RUNS!$B$5:$B$208, "mmm-yy"), [2]RUNS!$BM$5:$BM$208, "Not Found")</f>
        <v>0.84922938318161256</v>
      </c>
    </row>
    <row r="1304" spans="1:14" x14ac:dyDescent="0.25">
      <c r="A1304" s="1">
        <f>'[1]Global_Spot Prices'!$B2613</f>
        <v>43829</v>
      </c>
      <c r="B1304">
        <f>_xlfn.XLOOKUP(A1304,'[1]Global_Spot Prices'!$B:$B,'[1]Global_Spot Prices'!$BS:$BS)</f>
        <v>5.6000000000000085</v>
      </c>
      <c r="C1304">
        <f>_xlfn.XLOOKUP(A1304,'[1]Global_Spot Prices'!$B:$B,'[1]Global_Spot Prices'!$E:$E)</f>
        <v>67.8</v>
      </c>
      <c r="D1304">
        <f>_xlfn.XLOOKUP(A1304,'[1]Global_Spot Prices'!$B:$B,'[1]Global_Spot Prices'!$D:$D)</f>
        <v>68.37</v>
      </c>
      <c r="E1304">
        <f>_xlfn.XLOOKUP(A1304,'[1]Global_Spot Prices'!$B:$B,'[1]Global_Spot Prices'!$H:$H)</f>
        <v>63.87</v>
      </c>
      <c r="F1304">
        <f>_xlfn.XLOOKUP(A1304,'[1]Global_Spot Prices'!$B:$B,'[1]Global_Spot Prices'!$I:$I)</f>
        <v>73.400000000000006</v>
      </c>
      <c r="G1304" cm="1">
        <f t="array" ref="G1304">_xlfn.XLOOKUP(TEXT(A1304, "mmm-yy"), TEXT([2]RUNS!$B$5:$B$208, "mmm-yy"), [2]RUNS!$D$5:$D$208, "Not Found")</f>
        <v>30814.033399929856</v>
      </c>
      <c r="H1304" cm="1">
        <f t="array" ref="H1304">SUMPRODUCT(
    --(TEXT('[3]Global Weekly Stock (EWSuez'!$B$4:$B$2000,"mmm-yy")=TEXT(A1304,"mmm-yy")),
    '[3]Global Weekly Stock (EWSuez'!$E$4:$E$2000)
/
SUMPRODUCT(
    --(TEXT('[3]Global Weekly Stock (EWSuez'!$B$4:$B$2000,"mmm-yy")=TEXT(A1304,"mmm-yy"))
)</f>
        <v>12362.25</v>
      </c>
      <c r="I1304">
        <f>_xlfn.XLOOKUP(A1304,[1]ForwardDeriv!$D:$D,[1]ForwardDeriv!$AJ:$AJ)</f>
        <v>0.75</v>
      </c>
      <c r="J1304" cm="1">
        <f t="array" ref="J1304">_xlfn.XLOOKUP(TEXT(A1304, "mmm-yy"), TEXT([2]GASOLINE!$B$5:$B$208, "mmm-yy"), [2]GASOLINE!$IR$5:$IR$208, "Not Found")</f>
        <v>204.66817788907264</v>
      </c>
      <c r="K1304" cm="1">
        <f t="array" ref="K1304">_xlfn.XLOOKUP(TEXT(A1304, "mmm-yy"), TEXT([2]GASOLINE!$B$5:$B$208, "mmm-yy"), [2]GASOLINE!$IK$5:$IK$208, "Not Found")</f>
        <v>173.42616526643724</v>
      </c>
      <c r="L1304">
        <f t="shared" si="20"/>
        <v>0</v>
      </c>
      <c r="M1304" cm="1">
        <f t="array" ref="M1304">_xlfn.XLOOKUP(TEXT(A1304, "mmm-yy"), TEXT([2]GASOLINE!$B$5:$B$208, "mmm-yy"), [2]GASOLINE!$C$5:$C$208, "Not Found")</f>
        <v>7325.0059613797739</v>
      </c>
      <c r="N1304" cm="1">
        <f t="array" ref="N1304">_xlfn.XLOOKUP(TEXT(A1304, "mmm-yy"), TEXT([2]RUNS!$B$5:$B$208, "mmm-yy"), [2]RUNS!$BM$5:$BM$208, "Not Found")</f>
        <v>0.84922938318161256</v>
      </c>
    </row>
    <row r="1305" spans="1:14" x14ac:dyDescent="0.25">
      <c r="A1305" s="1">
        <f>'[1]Global_Spot Prices'!$B2614</f>
        <v>43830</v>
      </c>
      <c r="B1305">
        <f>_xlfn.XLOOKUP(A1305,'[1]Global_Spot Prices'!$B:$B,'[1]Global_Spot Prices'!$BS:$BS)</f>
        <v>5.0350000000000108</v>
      </c>
      <c r="C1305">
        <f>_xlfn.XLOOKUP(A1305,'[1]Global_Spot Prices'!$B:$B,'[1]Global_Spot Prices'!$E:$E)</f>
        <v>67.254999999999995</v>
      </c>
      <c r="D1305">
        <f>_xlfn.XLOOKUP(A1305,'[1]Global_Spot Prices'!$B:$B,'[1]Global_Spot Prices'!$D:$D)</f>
        <v>66.765000000000001</v>
      </c>
      <c r="E1305">
        <f>_xlfn.XLOOKUP(A1305,'[1]Global_Spot Prices'!$B:$B,'[1]Global_Spot Prices'!$H:$H)</f>
        <v>63.01</v>
      </c>
      <c r="F1305">
        <f>_xlfn.XLOOKUP(A1305,'[1]Global_Spot Prices'!$B:$B,'[1]Global_Spot Prices'!$I:$I)</f>
        <v>72.290000000000006</v>
      </c>
      <c r="G1305" cm="1">
        <f t="array" ref="G1305">_xlfn.XLOOKUP(TEXT(A1305, "mmm-yy"), TEXT([2]RUNS!$B$5:$B$208, "mmm-yy"), [2]RUNS!$D$5:$D$208, "Not Found")</f>
        <v>30814.033399929856</v>
      </c>
      <c r="H1305" cm="1">
        <f t="array" ref="H1305">SUMPRODUCT(
    --(TEXT('[3]Global Weekly Stock (EWSuez'!$B$4:$B$2000,"mmm-yy")=TEXT(A1305,"mmm-yy")),
    '[3]Global Weekly Stock (EWSuez'!$E$4:$E$2000)
/
SUMPRODUCT(
    --(TEXT('[3]Global Weekly Stock (EWSuez'!$B$4:$B$2000,"mmm-yy")=TEXT(A1305,"mmm-yy"))
)</f>
        <v>12362.25</v>
      </c>
      <c r="I1305">
        <f>_xlfn.XLOOKUP(A1305,[1]ForwardDeriv!$D:$D,[1]ForwardDeriv!$AJ:$AJ)</f>
        <v>0.53000000000000114</v>
      </c>
      <c r="J1305" cm="1">
        <f t="array" ref="J1305">_xlfn.XLOOKUP(TEXT(A1305, "mmm-yy"), TEXT([2]GASOLINE!$B$5:$B$208, "mmm-yy"), [2]GASOLINE!$IR$5:$IR$208, "Not Found")</f>
        <v>204.66817788907264</v>
      </c>
      <c r="K1305" cm="1">
        <f t="array" ref="K1305">_xlfn.XLOOKUP(TEXT(A1305, "mmm-yy"), TEXT([2]GASOLINE!$B$5:$B$208, "mmm-yy"), [2]GASOLINE!$IK$5:$IK$208, "Not Found")</f>
        <v>173.42616526643724</v>
      </c>
      <c r="L1305">
        <f t="shared" si="20"/>
        <v>0</v>
      </c>
      <c r="M1305" cm="1">
        <f t="array" ref="M1305">_xlfn.XLOOKUP(TEXT(A1305, "mmm-yy"), TEXT([2]GASOLINE!$B$5:$B$208, "mmm-yy"), [2]GASOLINE!$C$5:$C$208, "Not Found")</f>
        <v>7325.0059613797739</v>
      </c>
      <c r="N1305" cm="1">
        <f t="array" ref="N1305">_xlfn.XLOOKUP(TEXT(A1305, "mmm-yy"), TEXT([2]RUNS!$B$5:$B$208, "mmm-yy"), [2]RUNS!$BM$5:$BM$208, "Not Found")</f>
        <v>0.84922938318161256</v>
      </c>
    </row>
    <row r="1306" spans="1:14" x14ac:dyDescent="0.25">
      <c r="A1306" s="1">
        <f>'[1]Global_Spot Prices'!$B2615</f>
        <v>43831</v>
      </c>
      <c r="B1306" t="e">
        <f>_xlfn.XLOOKUP(A1306,'[1]Global_Spot Prices'!$B:$B,'[1]Global_Spot Prices'!$BS:$BS)</f>
        <v>#N/A</v>
      </c>
      <c r="C1306" t="str">
        <f>_xlfn.XLOOKUP(A1306,'[1]Global_Spot Prices'!$B:$B,'[1]Global_Spot Prices'!$E:$E)</f>
        <v/>
      </c>
      <c r="D1306" t="str">
        <f>_xlfn.XLOOKUP(A1306,'[1]Global_Spot Prices'!$B:$B,'[1]Global_Spot Prices'!$D:$D)</f>
        <v/>
      </c>
      <c r="E1306">
        <f>_xlfn.XLOOKUP(A1306,'[1]Global_Spot Prices'!$B:$B,'[1]Global_Spot Prices'!$H:$H)</f>
        <v>0</v>
      </c>
      <c r="F1306">
        <f>_xlfn.XLOOKUP(A1306,'[1]Global_Spot Prices'!$B:$B,'[1]Global_Spot Prices'!$I:$I)</f>
        <v>0</v>
      </c>
      <c r="G1306" cm="1">
        <f t="array" ref="G1306">_xlfn.XLOOKUP(TEXT(A1306, "mmm-yy"), TEXT([2]RUNS!$B$5:$B$208, "mmm-yy"), [2]RUNS!$D$5:$D$208, "Not Found")</f>
        <v>31304.816181225055</v>
      </c>
      <c r="H1306" cm="1">
        <f t="array" ref="H1306">SUMPRODUCT(
    --(TEXT('[3]Global Weekly Stock (EWSuez'!$B$4:$B$2000,"mmm-yy")=TEXT(A1306,"mmm-yy")),
    '[3]Global Weekly Stock (EWSuez'!$E$4:$E$2000)
/
SUMPRODUCT(
    --(TEXT('[3]Global Weekly Stock (EWSuez'!$B$4:$B$2000,"mmm-yy")=TEXT(A1306,"mmm-yy"))
)</f>
        <v>12949.2</v>
      </c>
      <c r="I1306">
        <f>_xlfn.XLOOKUP(A1306,[1]ForwardDeriv!$D:$D,[1]ForwardDeriv!$AJ:$AJ)</f>
        <v>0.5</v>
      </c>
      <c r="J1306" cm="1">
        <f t="array" ref="J1306">_xlfn.XLOOKUP(TEXT(A1306, "mmm-yy"), TEXT([2]GASOLINE!$B$5:$B$208, "mmm-yy"), [2]GASOLINE!$IR$5:$IR$208, "Not Found")</f>
        <v>225.9784436296091</v>
      </c>
      <c r="K1306" cm="1">
        <f t="array" ref="K1306">_xlfn.XLOOKUP(TEXT(A1306, "mmm-yy"), TEXT([2]GASOLINE!$B$5:$B$208, "mmm-yy"), [2]GASOLINE!$IK$5:$IK$208, "Not Found")</f>
        <v>163.87811718893548</v>
      </c>
      <c r="L1306">
        <f t="shared" si="20"/>
        <v>0</v>
      </c>
      <c r="M1306" cm="1">
        <f t="array" ref="M1306">_xlfn.XLOOKUP(TEXT(A1306, "mmm-yy"), TEXT([2]GASOLINE!$B$5:$B$208, "mmm-yy"), [2]GASOLINE!$C$5:$C$208, "Not Found")</f>
        <v>7176.6862871784497</v>
      </c>
      <c r="N1306" cm="1">
        <f t="array" ref="N1306">_xlfn.XLOOKUP(TEXT(A1306, "mmm-yy"), TEXT([2]RUNS!$B$5:$B$208, "mmm-yy"), [2]RUNS!$BM$5:$BM$208, "Not Found")</f>
        <v>0.85873196545918795</v>
      </c>
    </row>
    <row r="1307" spans="1:14" x14ac:dyDescent="0.25">
      <c r="A1307" s="1">
        <f>'[1]Global_Spot Prices'!$B2616</f>
        <v>43832</v>
      </c>
      <c r="B1307">
        <f>_xlfn.XLOOKUP(A1307,'[1]Global_Spot Prices'!$B:$B,'[1]Global_Spot Prices'!$BS:$BS)</f>
        <v>5.7600000000000051</v>
      </c>
      <c r="C1307">
        <f>_xlfn.XLOOKUP(A1307,'[1]Global_Spot Prices'!$B:$B,'[1]Global_Spot Prices'!$E:$E)</f>
        <v>65.66</v>
      </c>
      <c r="D1307">
        <f>_xlfn.XLOOKUP(A1307,'[1]Global_Spot Prices'!$B:$B,'[1]Global_Spot Prices'!$D:$D)</f>
        <v>66.09</v>
      </c>
      <c r="E1307">
        <f>_xlfn.XLOOKUP(A1307,'[1]Global_Spot Prices'!$B:$B,'[1]Global_Spot Prices'!$H:$H)</f>
        <v>62.94</v>
      </c>
      <c r="F1307">
        <f>_xlfn.XLOOKUP(A1307,'[1]Global_Spot Prices'!$B:$B,'[1]Global_Spot Prices'!$I:$I)</f>
        <v>71.42</v>
      </c>
      <c r="G1307" cm="1">
        <f t="array" ref="G1307">_xlfn.XLOOKUP(TEXT(A1307, "mmm-yy"), TEXT([2]RUNS!$B$5:$B$208, "mmm-yy"), [2]RUNS!$D$5:$D$208, "Not Found")</f>
        <v>31304.816181225055</v>
      </c>
      <c r="H1307" cm="1">
        <f t="array" ref="H1307">SUMPRODUCT(
    --(TEXT('[3]Global Weekly Stock (EWSuez'!$B$4:$B$2000,"mmm-yy")=TEXT(A1307,"mmm-yy")),
    '[3]Global Weekly Stock (EWSuez'!$E$4:$E$2000)
/
SUMPRODUCT(
    --(TEXT('[3]Global Weekly Stock (EWSuez'!$B$4:$B$2000,"mmm-yy")=TEXT(A1307,"mmm-yy"))
)</f>
        <v>12949.2</v>
      </c>
      <c r="I1307">
        <f>_xlfn.XLOOKUP(A1307,[1]ForwardDeriv!$D:$D,[1]ForwardDeriv!$AJ:$AJ)</f>
        <v>0.5</v>
      </c>
      <c r="J1307" cm="1">
        <f t="array" ref="J1307">_xlfn.XLOOKUP(TEXT(A1307, "mmm-yy"), TEXT([2]GASOLINE!$B$5:$B$208, "mmm-yy"), [2]GASOLINE!$IR$5:$IR$208, "Not Found")</f>
        <v>225.9784436296091</v>
      </c>
      <c r="K1307" cm="1">
        <f t="array" ref="K1307">_xlfn.XLOOKUP(TEXT(A1307, "mmm-yy"), TEXT([2]GASOLINE!$B$5:$B$208, "mmm-yy"), [2]GASOLINE!$IK$5:$IK$208, "Not Found")</f>
        <v>163.87811718893548</v>
      </c>
      <c r="L1307">
        <f t="shared" si="20"/>
        <v>0</v>
      </c>
      <c r="M1307" cm="1">
        <f t="array" ref="M1307">_xlfn.XLOOKUP(TEXT(A1307, "mmm-yy"), TEXT([2]GASOLINE!$B$5:$B$208, "mmm-yy"), [2]GASOLINE!$C$5:$C$208, "Not Found")</f>
        <v>7176.6862871784497</v>
      </c>
      <c r="N1307" cm="1">
        <f t="array" ref="N1307">_xlfn.XLOOKUP(TEXT(A1307, "mmm-yy"), TEXT([2]RUNS!$B$5:$B$208, "mmm-yy"), [2]RUNS!$BM$5:$BM$208, "Not Found")</f>
        <v>0.85873196545918795</v>
      </c>
    </row>
    <row r="1308" spans="1:14" x14ac:dyDescent="0.25">
      <c r="A1308" s="1">
        <f>'[1]Global_Spot Prices'!$B2617</f>
        <v>43833</v>
      </c>
      <c r="B1308">
        <f>_xlfn.XLOOKUP(A1308,'[1]Global_Spot Prices'!$B:$B,'[1]Global_Spot Prices'!$BS:$BS)</f>
        <v>5.8900000000000006</v>
      </c>
      <c r="C1308">
        <f>_xlfn.XLOOKUP(A1308,'[1]Global_Spot Prices'!$B:$B,'[1]Global_Spot Prices'!$E:$E)</f>
        <v>67.81</v>
      </c>
      <c r="D1308">
        <f>_xlfn.XLOOKUP(A1308,'[1]Global_Spot Prices'!$B:$B,'[1]Global_Spot Prices'!$D:$D)</f>
        <v>68.34</v>
      </c>
      <c r="E1308">
        <f>_xlfn.XLOOKUP(A1308,'[1]Global_Spot Prices'!$B:$B,'[1]Global_Spot Prices'!$H:$H)</f>
        <v>64.25</v>
      </c>
      <c r="F1308">
        <f>_xlfn.XLOOKUP(A1308,'[1]Global_Spot Prices'!$B:$B,'[1]Global_Spot Prices'!$I:$I)</f>
        <v>73.7</v>
      </c>
      <c r="G1308" cm="1">
        <f t="array" ref="G1308">_xlfn.XLOOKUP(TEXT(A1308, "mmm-yy"), TEXT([2]RUNS!$B$5:$B$208, "mmm-yy"), [2]RUNS!$D$5:$D$208, "Not Found")</f>
        <v>31304.816181225055</v>
      </c>
      <c r="H1308" cm="1">
        <f t="array" ref="H1308">SUMPRODUCT(
    --(TEXT('[3]Global Weekly Stock (EWSuez'!$B$4:$B$2000,"mmm-yy")=TEXT(A1308,"mmm-yy")),
    '[3]Global Weekly Stock (EWSuez'!$E$4:$E$2000)
/
SUMPRODUCT(
    --(TEXT('[3]Global Weekly Stock (EWSuez'!$B$4:$B$2000,"mmm-yy")=TEXT(A1308,"mmm-yy"))
)</f>
        <v>12949.2</v>
      </c>
      <c r="I1308">
        <f>_xlfn.XLOOKUP(A1308,[1]ForwardDeriv!$D:$D,[1]ForwardDeriv!$AJ:$AJ)</f>
        <v>0.60999999999999943</v>
      </c>
      <c r="J1308" cm="1">
        <f t="array" ref="J1308">_xlfn.XLOOKUP(TEXT(A1308, "mmm-yy"), TEXT([2]GASOLINE!$B$5:$B$208, "mmm-yy"), [2]GASOLINE!$IR$5:$IR$208, "Not Found")</f>
        <v>225.9784436296091</v>
      </c>
      <c r="K1308" cm="1">
        <f t="array" ref="K1308">_xlfn.XLOOKUP(TEXT(A1308, "mmm-yy"), TEXT([2]GASOLINE!$B$5:$B$208, "mmm-yy"), [2]GASOLINE!$IK$5:$IK$208, "Not Found")</f>
        <v>163.87811718893548</v>
      </c>
      <c r="L1308">
        <f t="shared" si="20"/>
        <v>0</v>
      </c>
      <c r="M1308" cm="1">
        <f t="array" ref="M1308">_xlfn.XLOOKUP(TEXT(A1308, "mmm-yy"), TEXT([2]GASOLINE!$B$5:$B$208, "mmm-yy"), [2]GASOLINE!$C$5:$C$208, "Not Found")</f>
        <v>7176.6862871784497</v>
      </c>
      <c r="N1308" cm="1">
        <f t="array" ref="N1308">_xlfn.XLOOKUP(TEXT(A1308, "mmm-yy"), TEXT([2]RUNS!$B$5:$B$208, "mmm-yy"), [2]RUNS!$BM$5:$BM$208, "Not Found")</f>
        <v>0.85873196545918795</v>
      </c>
    </row>
    <row r="1309" spans="1:14" x14ac:dyDescent="0.25">
      <c r="A1309" s="1">
        <f>'[1]Global_Spot Prices'!$B2618</f>
        <v>43836</v>
      </c>
      <c r="B1309">
        <f>_xlfn.XLOOKUP(A1309,'[1]Global_Spot Prices'!$B:$B,'[1]Global_Spot Prices'!$BS:$BS)</f>
        <v>5.3700000000000045</v>
      </c>
      <c r="C1309">
        <f>_xlfn.XLOOKUP(A1309,'[1]Global_Spot Prices'!$B:$B,'[1]Global_Spot Prices'!$E:$E)</f>
        <v>69.599999999999994</v>
      </c>
      <c r="D1309">
        <f>_xlfn.XLOOKUP(A1309,'[1]Global_Spot Prices'!$B:$B,'[1]Global_Spot Prices'!$D:$D)</f>
        <v>69.959999999999994</v>
      </c>
      <c r="E1309">
        <f>_xlfn.XLOOKUP(A1309,'[1]Global_Spot Prices'!$B:$B,'[1]Global_Spot Prices'!$H:$H)</f>
        <v>63.75</v>
      </c>
      <c r="F1309">
        <f>_xlfn.XLOOKUP(A1309,'[1]Global_Spot Prices'!$B:$B,'[1]Global_Spot Prices'!$I:$I)</f>
        <v>74.97</v>
      </c>
      <c r="G1309" cm="1">
        <f t="array" ref="G1309">_xlfn.XLOOKUP(TEXT(A1309, "mmm-yy"), TEXT([2]RUNS!$B$5:$B$208, "mmm-yy"), [2]RUNS!$D$5:$D$208, "Not Found")</f>
        <v>31304.816181225055</v>
      </c>
      <c r="H1309" cm="1">
        <f t="array" ref="H1309">SUMPRODUCT(
    --(TEXT('[3]Global Weekly Stock (EWSuez'!$B$4:$B$2000,"mmm-yy")=TEXT(A1309,"mmm-yy")),
    '[3]Global Weekly Stock (EWSuez'!$E$4:$E$2000)
/
SUMPRODUCT(
    --(TEXT('[3]Global Weekly Stock (EWSuez'!$B$4:$B$2000,"mmm-yy")=TEXT(A1309,"mmm-yy"))
)</f>
        <v>12949.2</v>
      </c>
      <c r="I1309">
        <f>_xlfn.XLOOKUP(A1309,[1]ForwardDeriv!$D:$D,[1]ForwardDeriv!$AJ:$AJ)</f>
        <v>0.59000000000000341</v>
      </c>
      <c r="J1309" cm="1">
        <f t="array" ref="J1309">_xlfn.XLOOKUP(TEXT(A1309, "mmm-yy"), TEXT([2]GASOLINE!$B$5:$B$208, "mmm-yy"), [2]GASOLINE!$IR$5:$IR$208, "Not Found")</f>
        <v>225.9784436296091</v>
      </c>
      <c r="K1309" cm="1">
        <f t="array" ref="K1309">_xlfn.XLOOKUP(TEXT(A1309, "mmm-yy"), TEXT([2]GASOLINE!$B$5:$B$208, "mmm-yy"), [2]GASOLINE!$IK$5:$IK$208, "Not Found")</f>
        <v>163.87811718893548</v>
      </c>
      <c r="L1309">
        <f t="shared" si="20"/>
        <v>0</v>
      </c>
      <c r="M1309" cm="1">
        <f t="array" ref="M1309">_xlfn.XLOOKUP(TEXT(A1309, "mmm-yy"), TEXT([2]GASOLINE!$B$5:$B$208, "mmm-yy"), [2]GASOLINE!$C$5:$C$208, "Not Found")</f>
        <v>7176.6862871784497</v>
      </c>
      <c r="N1309" cm="1">
        <f t="array" ref="N1309">_xlfn.XLOOKUP(TEXT(A1309, "mmm-yy"), TEXT([2]RUNS!$B$5:$B$208, "mmm-yy"), [2]RUNS!$BM$5:$BM$208, "Not Found")</f>
        <v>0.85873196545918795</v>
      </c>
    </row>
    <row r="1310" spans="1:14" x14ac:dyDescent="0.25">
      <c r="A1310" s="1">
        <f>'[1]Global_Spot Prices'!$B2619</f>
        <v>43837</v>
      </c>
      <c r="B1310">
        <f>_xlfn.XLOOKUP(A1310,'[1]Global_Spot Prices'!$B:$B,'[1]Global_Spot Prices'!$BS:$BS)</f>
        <v>5.2000000000000028</v>
      </c>
      <c r="C1310">
        <f>_xlfn.XLOOKUP(A1310,'[1]Global_Spot Prices'!$B:$B,'[1]Global_Spot Prices'!$E:$E)</f>
        <v>68.3</v>
      </c>
      <c r="D1310">
        <f ca="1">_xlfn.XLOOKUP(A1310,'[1]Global_Spot Prices'!$B:$B,'[1]Global_Spot Prices'!$D:$D)</f>
        <v>68.784999999999997</v>
      </c>
      <c r="E1310">
        <f>_xlfn.XLOOKUP(A1310,'[1]Global_Spot Prices'!$B:$B,'[1]Global_Spot Prices'!$H:$H)</f>
        <v>63.02</v>
      </c>
      <c r="F1310">
        <f>_xlfn.XLOOKUP(A1310,'[1]Global_Spot Prices'!$B:$B,'[1]Global_Spot Prices'!$I:$I)</f>
        <v>73.5</v>
      </c>
      <c r="G1310" cm="1">
        <f t="array" ref="G1310">_xlfn.XLOOKUP(TEXT(A1310, "mmm-yy"), TEXT([2]RUNS!$B$5:$B$208, "mmm-yy"), [2]RUNS!$D$5:$D$208, "Not Found")</f>
        <v>31304.816181225055</v>
      </c>
      <c r="H1310" cm="1">
        <f t="array" ref="H1310">SUMPRODUCT(
    --(TEXT('[3]Global Weekly Stock (EWSuez'!$B$4:$B$2000,"mmm-yy")=TEXT(A1310,"mmm-yy")),
    '[3]Global Weekly Stock (EWSuez'!$E$4:$E$2000)
/
SUMPRODUCT(
    --(TEXT('[3]Global Weekly Stock (EWSuez'!$B$4:$B$2000,"mmm-yy")=TEXT(A1310,"mmm-yy"))
)</f>
        <v>12949.2</v>
      </c>
      <c r="I1310">
        <f>_xlfn.XLOOKUP(A1310,[1]ForwardDeriv!$D:$D,[1]ForwardDeriv!$AJ:$AJ)</f>
        <v>0.39000000000000057</v>
      </c>
      <c r="J1310" cm="1">
        <f t="array" ref="J1310">_xlfn.XLOOKUP(TEXT(A1310, "mmm-yy"), TEXT([2]GASOLINE!$B$5:$B$208, "mmm-yy"), [2]GASOLINE!$IR$5:$IR$208, "Not Found")</f>
        <v>225.9784436296091</v>
      </c>
      <c r="K1310" cm="1">
        <f t="array" ref="K1310">_xlfn.XLOOKUP(TEXT(A1310, "mmm-yy"), TEXT([2]GASOLINE!$B$5:$B$208, "mmm-yy"), [2]GASOLINE!$IK$5:$IK$208, "Not Found")</f>
        <v>163.87811718893548</v>
      </c>
      <c r="L1310">
        <f t="shared" si="20"/>
        <v>0</v>
      </c>
      <c r="M1310" cm="1">
        <f t="array" ref="M1310">_xlfn.XLOOKUP(TEXT(A1310, "mmm-yy"), TEXT([2]GASOLINE!$B$5:$B$208, "mmm-yy"), [2]GASOLINE!$C$5:$C$208, "Not Found")</f>
        <v>7176.6862871784497</v>
      </c>
      <c r="N1310" cm="1">
        <f t="array" ref="N1310">_xlfn.XLOOKUP(TEXT(A1310, "mmm-yy"), TEXT([2]RUNS!$B$5:$B$208, "mmm-yy"), [2]RUNS!$BM$5:$BM$208, "Not Found")</f>
        <v>0.85873196545918795</v>
      </c>
    </row>
    <row r="1311" spans="1:14" x14ac:dyDescent="0.25">
      <c r="A1311" s="1">
        <f>'[1]Global_Spot Prices'!$B2620</f>
        <v>43838</v>
      </c>
      <c r="B1311">
        <f>_xlfn.XLOOKUP(A1311,'[1]Global_Spot Prices'!$B:$B,'[1]Global_Spot Prices'!$BS:$BS)</f>
        <v>3.6400000000000006</v>
      </c>
      <c r="C1311">
        <f>_xlfn.XLOOKUP(A1311,'[1]Global_Spot Prices'!$B:$B,'[1]Global_Spot Prices'!$E:$E)</f>
        <v>69.260000000000005</v>
      </c>
      <c r="D1311">
        <f>_xlfn.XLOOKUP(A1311,'[1]Global_Spot Prices'!$B:$B,'[1]Global_Spot Prices'!$D:$D)</f>
        <v>67.510000000000005</v>
      </c>
      <c r="E1311">
        <f>_xlfn.XLOOKUP(A1311,'[1]Global_Spot Prices'!$B:$B,'[1]Global_Spot Prices'!$H:$H)</f>
        <v>63.53</v>
      </c>
      <c r="F1311">
        <f>_xlfn.XLOOKUP(A1311,'[1]Global_Spot Prices'!$B:$B,'[1]Global_Spot Prices'!$I:$I)</f>
        <v>72.900000000000006</v>
      </c>
      <c r="G1311" cm="1">
        <f t="array" ref="G1311">_xlfn.XLOOKUP(TEXT(A1311, "mmm-yy"), TEXT([2]RUNS!$B$5:$B$208, "mmm-yy"), [2]RUNS!$D$5:$D$208, "Not Found")</f>
        <v>31304.816181225055</v>
      </c>
      <c r="H1311" cm="1">
        <f t="array" ref="H1311">SUMPRODUCT(
    --(TEXT('[3]Global Weekly Stock (EWSuez'!$B$4:$B$2000,"mmm-yy")=TEXT(A1311,"mmm-yy")),
    '[3]Global Weekly Stock (EWSuez'!$E$4:$E$2000)
/
SUMPRODUCT(
    --(TEXT('[3]Global Weekly Stock (EWSuez'!$B$4:$B$2000,"mmm-yy")=TEXT(A1311,"mmm-yy"))
)</f>
        <v>12949.2</v>
      </c>
      <c r="I1311">
        <f>_xlfn.XLOOKUP(A1311,[1]ForwardDeriv!$D:$D,[1]ForwardDeriv!$AJ:$AJ)</f>
        <v>9.9999999999994316E-2</v>
      </c>
      <c r="J1311" cm="1">
        <f t="array" ref="J1311">_xlfn.XLOOKUP(TEXT(A1311, "mmm-yy"), TEXT([2]GASOLINE!$B$5:$B$208, "mmm-yy"), [2]GASOLINE!$IR$5:$IR$208, "Not Found")</f>
        <v>225.9784436296091</v>
      </c>
      <c r="K1311" cm="1">
        <f t="array" ref="K1311">_xlfn.XLOOKUP(TEXT(A1311, "mmm-yy"), TEXT([2]GASOLINE!$B$5:$B$208, "mmm-yy"), [2]GASOLINE!$IK$5:$IK$208, "Not Found")</f>
        <v>163.87811718893548</v>
      </c>
      <c r="L1311">
        <f t="shared" si="20"/>
        <v>0</v>
      </c>
      <c r="M1311" cm="1">
        <f t="array" ref="M1311">_xlfn.XLOOKUP(TEXT(A1311, "mmm-yy"), TEXT([2]GASOLINE!$B$5:$B$208, "mmm-yy"), [2]GASOLINE!$C$5:$C$208, "Not Found")</f>
        <v>7176.6862871784497</v>
      </c>
      <c r="N1311" cm="1">
        <f t="array" ref="N1311">_xlfn.XLOOKUP(TEXT(A1311, "mmm-yy"), TEXT([2]RUNS!$B$5:$B$208, "mmm-yy"), [2]RUNS!$BM$5:$BM$208, "Not Found")</f>
        <v>0.85873196545918795</v>
      </c>
    </row>
    <row r="1312" spans="1:14" x14ac:dyDescent="0.25">
      <c r="A1312" s="1">
        <f>'[1]Global_Spot Prices'!$B2621</f>
        <v>43839</v>
      </c>
      <c r="B1312">
        <f>_xlfn.XLOOKUP(A1312,'[1]Global_Spot Prices'!$B:$B,'[1]Global_Spot Prices'!$BS:$BS)</f>
        <v>3.5800000000000125</v>
      </c>
      <c r="C1312">
        <f>_xlfn.XLOOKUP(A1312,'[1]Global_Spot Prices'!$B:$B,'[1]Global_Spot Prices'!$E:$E)</f>
        <v>66.209999999999994</v>
      </c>
      <c r="D1312">
        <f>_xlfn.XLOOKUP(A1312,'[1]Global_Spot Prices'!$B:$B,'[1]Global_Spot Prices'!$D:$D)</f>
        <v>66.385000000000005</v>
      </c>
      <c r="E1312">
        <f>_xlfn.XLOOKUP(A1312,'[1]Global_Spot Prices'!$B:$B,'[1]Global_Spot Prices'!$H:$H)</f>
        <v>61.39</v>
      </c>
      <c r="F1312">
        <f>_xlfn.XLOOKUP(A1312,'[1]Global_Spot Prices'!$B:$B,'[1]Global_Spot Prices'!$I:$I)</f>
        <v>69.790000000000006</v>
      </c>
      <c r="G1312" cm="1">
        <f t="array" ref="G1312">_xlfn.XLOOKUP(TEXT(A1312, "mmm-yy"), TEXT([2]RUNS!$B$5:$B$208, "mmm-yy"), [2]RUNS!$D$5:$D$208, "Not Found")</f>
        <v>31304.816181225055</v>
      </c>
      <c r="H1312" cm="1">
        <f t="array" ref="H1312">SUMPRODUCT(
    --(TEXT('[3]Global Weekly Stock (EWSuez'!$B$4:$B$2000,"mmm-yy")=TEXT(A1312,"mmm-yy")),
    '[3]Global Weekly Stock (EWSuez'!$E$4:$E$2000)
/
SUMPRODUCT(
    --(TEXT('[3]Global Weekly Stock (EWSuez'!$B$4:$B$2000,"mmm-yy")=TEXT(A1312,"mmm-yy"))
)</f>
        <v>12949.2</v>
      </c>
      <c r="I1312">
        <f>_xlfn.XLOOKUP(A1312,[1]ForwardDeriv!$D:$D,[1]ForwardDeriv!$AJ:$AJ)</f>
        <v>0.12999999999999545</v>
      </c>
      <c r="J1312" cm="1">
        <f t="array" ref="J1312">_xlfn.XLOOKUP(TEXT(A1312, "mmm-yy"), TEXT([2]GASOLINE!$B$5:$B$208, "mmm-yy"), [2]GASOLINE!$IR$5:$IR$208, "Not Found")</f>
        <v>225.9784436296091</v>
      </c>
      <c r="K1312" cm="1">
        <f t="array" ref="K1312">_xlfn.XLOOKUP(TEXT(A1312, "mmm-yy"), TEXT([2]GASOLINE!$B$5:$B$208, "mmm-yy"), [2]GASOLINE!$IK$5:$IK$208, "Not Found")</f>
        <v>163.87811718893548</v>
      </c>
      <c r="L1312">
        <f t="shared" si="20"/>
        <v>0</v>
      </c>
      <c r="M1312" cm="1">
        <f t="array" ref="M1312">_xlfn.XLOOKUP(TEXT(A1312, "mmm-yy"), TEXT([2]GASOLINE!$B$5:$B$208, "mmm-yy"), [2]GASOLINE!$C$5:$C$208, "Not Found")</f>
        <v>7176.6862871784497</v>
      </c>
      <c r="N1312" cm="1">
        <f t="array" ref="N1312">_xlfn.XLOOKUP(TEXT(A1312, "mmm-yy"), TEXT([2]RUNS!$B$5:$B$208, "mmm-yy"), [2]RUNS!$BM$5:$BM$208, "Not Found")</f>
        <v>0.85873196545918795</v>
      </c>
    </row>
    <row r="1313" spans="1:14" x14ac:dyDescent="0.25">
      <c r="A1313" s="1">
        <f>'[1]Global_Spot Prices'!$B2622</f>
        <v>43840</v>
      </c>
      <c r="B1313">
        <f>_xlfn.XLOOKUP(A1313,'[1]Global_Spot Prices'!$B:$B,'[1]Global_Spot Prices'!$BS:$BS)</f>
        <v>5.0300000000000011</v>
      </c>
      <c r="C1313">
        <f>_xlfn.XLOOKUP(A1313,'[1]Global_Spot Prices'!$B:$B,'[1]Global_Spot Prices'!$E:$E)</f>
        <v>65.900000000000006</v>
      </c>
      <c r="D1313">
        <f>_xlfn.XLOOKUP(A1313,'[1]Global_Spot Prices'!$B:$B,'[1]Global_Spot Prices'!$D:$D)</f>
        <v>66.424999999999997</v>
      </c>
      <c r="E1313">
        <f>_xlfn.XLOOKUP(A1313,'[1]Global_Spot Prices'!$B:$B,'[1]Global_Spot Prices'!$H:$H)</f>
        <v>61.31</v>
      </c>
      <c r="F1313">
        <f>_xlfn.XLOOKUP(A1313,'[1]Global_Spot Prices'!$B:$B,'[1]Global_Spot Prices'!$I:$I)</f>
        <v>70.930000000000007</v>
      </c>
      <c r="G1313" cm="1">
        <f t="array" ref="G1313">_xlfn.XLOOKUP(TEXT(A1313, "mmm-yy"), TEXT([2]RUNS!$B$5:$B$208, "mmm-yy"), [2]RUNS!$D$5:$D$208, "Not Found")</f>
        <v>31304.816181225055</v>
      </c>
      <c r="H1313" cm="1">
        <f t="array" ref="H1313">SUMPRODUCT(
    --(TEXT('[3]Global Weekly Stock (EWSuez'!$B$4:$B$2000,"mmm-yy")=TEXT(A1313,"mmm-yy")),
    '[3]Global Weekly Stock (EWSuez'!$E$4:$E$2000)
/
SUMPRODUCT(
    --(TEXT('[3]Global Weekly Stock (EWSuez'!$B$4:$B$2000,"mmm-yy")=TEXT(A1313,"mmm-yy"))
)</f>
        <v>12949.2</v>
      </c>
      <c r="I1313">
        <f>_xlfn.XLOOKUP(A1313,[1]ForwardDeriv!$D:$D,[1]ForwardDeriv!$AJ:$AJ)</f>
        <v>0.25</v>
      </c>
      <c r="J1313" cm="1">
        <f t="array" ref="J1313">_xlfn.XLOOKUP(TEXT(A1313, "mmm-yy"), TEXT([2]GASOLINE!$B$5:$B$208, "mmm-yy"), [2]GASOLINE!$IR$5:$IR$208, "Not Found")</f>
        <v>225.9784436296091</v>
      </c>
      <c r="K1313" cm="1">
        <f t="array" ref="K1313">_xlfn.XLOOKUP(TEXT(A1313, "mmm-yy"), TEXT([2]GASOLINE!$B$5:$B$208, "mmm-yy"), [2]GASOLINE!$IK$5:$IK$208, "Not Found")</f>
        <v>163.87811718893548</v>
      </c>
      <c r="L1313">
        <f t="shared" si="20"/>
        <v>0</v>
      </c>
      <c r="M1313" cm="1">
        <f t="array" ref="M1313">_xlfn.XLOOKUP(TEXT(A1313, "mmm-yy"), TEXT([2]GASOLINE!$B$5:$B$208, "mmm-yy"), [2]GASOLINE!$C$5:$C$208, "Not Found")</f>
        <v>7176.6862871784497</v>
      </c>
      <c r="N1313" cm="1">
        <f t="array" ref="N1313">_xlfn.XLOOKUP(TEXT(A1313, "mmm-yy"), TEXT([2]RUNS!$B$5:$B$208, "mmm-yy"), [2]RUNS!$BM$5:$BM$208, "Not Found")</f>
        <v>0.85873196545918795</v>
      </c>
    </row>
    <row r="1314" spans="1:14" x14ac:dyDescent="0.25">
      <c r="A1314" s="1">
        <f>'[1]Global_Spot Prices'!$B2623</f>
        <v>43843</v>
      </c>
      <c r="B1314">
        <f>_xlfn.XLOOKUP(A1314,'[1]Global_Spot Prices'!$B:$B,'[1]Global_Spot Prices'!$BS:$BS)</f>
        <v>4.9499999999999886</v>
      </c>
      <c r="C1314">
        <f>_xlfn.XLOOKUP(A1314,'[1]Global_Spot Prices'!$B:$B,'[1]Global_Spot Prices'!$E:$E)</f>
        <v>65.650000000000006</v>
      </c>
      <c r="D1314">
        <f>_xlfn.XLOOKUP(A1314,'[1]Global_Spot Prices'!$B:$B,'[1]Global_Spot Prices'!$D:$D)</f>
        <v>64.155000000000001</v>
      </c>
      <c r="E1314">
        <f>_xlfn.XLOOKUP(A1314,'[1]Global_Spot Prices'!$B:$B,'[1]Global_Spot Prices'!$H:$H)</f>
        <v>61.89</v>
      </c>
      <c r="F1314">
        <f>_xlfn.XLOOKUP(A1314,'[1]Global_Spot Prices'!$B:$B,'[1]Global_Spot Prices'!$I:$I)</f>
        <v>70.599999999999994</v>
      </c>
      <c r="G1314" cm="1">
        <f t="array" ref="G1314">_xlfn.XLOOKUP(TEXT(A1314, "mmm-yy"), TEXT([2]RUNS!$B$5:$B$208, "mmm-yy"), [2]RUNS!$D$5:$D$208, "Not Found")</f>
        <v>31304.816181225055</v>
      </c>
      <c r="H1314" cm="1">
        <f t="array" ref="H1314">SUMPRODUCT(
    --(TEXT('[3]Global Weekly Stock (EWSuez'!$B$4:$B$2000,"mmm-yy")=TEXT(A1314,"mmm-yy")),
    '[3]Global Weekly Stock (EWSuez'!$E$4:$E$2000)
/
SUMPRODUCT(
    --(TEXT('[3]Global Weekly Stock (EWSuez'!$B$4:$B$2000,"mmm-yy")=TEXT(A1314,"mmm-yy"))
)</f>
        <v>12949.2</v>
      </c>
      <c r="I1314">
        <f>_xlfn.XLOOKUP(A1314,[1]ForwardDeriv!$D:$D,[1]ForwardDeriv!$AJ:$AJ)</f>
        <v>0.37999999999999545</v>
      </c>
      <c r="J1314" cm="1">
        <f t="array" ref="J1314">_xlfn.XLOOKUP(TEXT(A1314, "mmm-yy"), TEXT([2]GASOLINE!$B$5:$B$208, "mmm-yy"), [2]GASOLINE!$IR$5:$IR$208, "Not Found")</f>
        <v>225.9784436296091</v>
      </c>
      <c r="K1314" cm="1">
        <f t="array" ref="K1314">_xlfn.XLOOKUP(TEXT(A1314, "mmm-yy"), TEXT([2]GASOLINE!$B$5:$B$208, "mmm-yy"), [2]GASOLINE!$IK$5:$IK$208, "Not Found")</f>
        <v>163.87811718893548</v>
      </c>
      <c r="L1314">
        <f t="shared" si="20"/>
        <v>0</v>
      </c>
      <c r="M1314" cm="1">
        <f t="array" ref="M1314">_xlfn.XLOOKUP(TEXT(A1314, "mmm-yy"), TEXT([2]GASOLINE!$B$5:$B$208, "mmm-yy"), [2]GASOLINE!$C$5:$C$208, "Not Found")</f>
        <v>7176.6862871784497</v>
      </c>
      <c r="N1314" cm="1">
        <f t="array" ref="N1314">_xlfn.XLOOKUP(TEXT(A1314, "mmm-yy"), TEXT([2]RUNS!$B$5:$B$208, "mmm-yy"), [2]RUNS!$BM$5:$BM$208, "Not Found")</f>
        <v>0.85873196545918795</v>
      </c>
    </row>
    <row r="1315" spans="1:14" x14ac:dyDescent="0.25">
      <c r="A1315" s="1">
        <f>'[1]Global_Spot Prices'!$B2624</f>
        <v>43844</v>
      </c>
      <c r="B1315">
        <f>_xlfn.XLOOKUP(A1315,'[1]Global_Spot Prices'!$B:$B,'[1]Global_Spot Prices'!$BS:$BS)</f>
        <v>5.1299999999999955</v>
      </c>
      <c r="C1315">
        <f>_xlfn.XLOOKUP(A1315,'[1]Global_Spot Prices'!$B:$B,'[1]Global_Spot Prices'!$E:$E)</f>
        <v>64.75</v>
      </c>
      <c r="D1315">
        <f>_xlfn.XLOOKUP(A1315,'[1]Global_Spot Prices'!$B:$B,'[1]Global_Spot Prices'!$D:$D)</f>
        <v>64.534999999999997</v>
      </c>
      <c r="E1315">
        <f>_xlfn.XLOOKUP(A1315,'[1]Global_Spot Prices'!$B:$B,'[1]Global_Spot Prices'!$H:$H)</f>
        <v>61.98</v>
      </c>
      <c r="F1315">
        <f>_xlfn.XLOOKUP(A1315,'[1]Global_Spot Prices'!$B:$B,'[1]Global_Spot Prices'!$I:$I)</f>
        <v>69.88</v>
      </c>
      <c r="G1315" cm="1">
        <f t="array" ref="G1315">_xlfn.XLOOKUP(TEXT(A1315, "mmm-yy"), TEXT([2]RUNS!$B$5:$B$208, "mmm-yy"), [2]RUNS!$D$5:$D$208, "Not Found")</f>
        <v>31304.816181225055</v>
      </c>
      <c r="H1315" cm="1">
        <f t="array" ref="H1315">SUMPRODUCT(
    --(TEXT('[3]Global Weekly Stock (EWSuez'!$B$4:$B$2000,"mmm-yy")=TEXT(A1315,"mmm-yy")),
    '[3]Global Weekly Stock (EWSuez'!$E$4:$E$2000)
/
SUMPRODUCT(
    --(TEXT('[3]Global Weekly Stock (EWSuez'!$B$4:$B$2000,"mmm-yy")=TEXT(A1315,"mmm-yy"))
)</f>
        <v>12949.2</v>
      </c>
      <c r="I1315">
        <f>_xlfn.XLOOKUP(A1315,[1]ForwardDeriv!$D:$D,[1]ForwardDeriv!$AJ:$AJ)</f>
        <v>0.32999999999999829</v>
      </c>
      <c r="J1315" cm="1">
        <f t="array" ref="J1315">_xlfn.XLOOKUP(TEXT(A1315, "mmm-yy"), TEXT([2]GASOLINE!$B$5:$B$208, "mmm-yy"), [2]GASOLINE!$IR$5:$IR$208, "Not Found")</f>
        <v>225.9784436296091</v>
      </c>
      <c r="K1315" cm="1">
        <f t="array" ref="K1315">_xlfn.XLOOKUP(TEXT(A1315, "mmm-yy"), TEXT([2]GASOLINE!$B$5:$B$208, "mmm-yy"), [2]GASOLINE!$IK$5:$IK$208, "Not Found")</f>
        <v>163.87811718893548</v>
      </c>
      <c r="L1315">
        <f t="shared" si="20"/>
        <v>0</v>
      </c>
      <c r="M1315" cm="1">
        <f t="array" ref="M1315">_xlfn.XLOOKUP(TEXT(A1315, "mmm-yy"), TEXT([2]GASOLINE!$B$5:$B$208, "mmm-yy"), [2]GASOLINE!$C$5:$C$208, "Not Found")</f>
        <v>7176.6862871784497</v>
      </c>
      <c r="N1315" cm="1">
        <f t="array" ref="N1315">_xlfn.XLOOKUP(TEXT(A1315, "mmm-yy"), TEXT([2]RUNS!$B$5:$B$208, "mmm-yy"), [2]RUNS!$BM$5:$BM$208, "Not Found")</f>
        <v>0.85873196545918795</v>
      </c>
    </row>
    <row r="1316" spans="1:14" x14ac:dyDescent="0.25">
      <c r="A1316" s="1">
        <f>'[1]Global_Spot Prices'!$B2625</f>
        <v>43845</v>
      </c>
      <c r="B1316">
        <f>_xlfn.XLOOKUP(A1316,'[1]Global_Spot Prices'!$B:$B,'[1]Global_Spot Prices'!$BS:$BS)</f>
        <v>4.8100000000000023</v>
      </c>
      <c r="C1316">
        <f>_xlfn.XLOOKUP(A1316,'[1]Global_Spot Prices'!$B:$B,'[1]Global_Spot Prices'!$E:$E)</f>
        <v>64.59</v>
      </c>
      <c r="D1316">
        <f>_xlfn.XLOOKUP(A1316,'[1]Global_Spot Prices'!$B:$B,'[1]Global_Spot Prices'!$D:$D)</f>
        <v>63.43</v>
      </c>
      <c r="E1316">
        <f>_xlfn.XLOOKUP(A1316,'[1]Global_Spot Prices'!$B:$B,'[1]Global_Spot Prices'!$H:$H)</f>
        <v>62.38</v>
      </c>
      <c r="F1316">
        <f>_xlfn.XLOOKUP(A1316,'[1]Global_Spot Prices'!$B:$B,'[1]Global_Spot Prices'!$I:$I)</f>
        <v>69.400000000000006</v>
      </c>
      <c r="G1316" cm="1">
        <f t="array" ref="G1316">_xlfn.XLOOKUP(TEXT(A1316, "mmm-yy"), TEXT([2]RUNS!$B$5:$B$208, "mmm-yy"), [2]RUNS!$D$5:$D$208, "Not Found")</f>
        <v>31304.816181225055</v>
      </c>
      <c r="H1316" cm="1">
        <f t="array" ref="H1316">SUMPRODUCT(
    --(TEXT('[3]Global Weekly Stock (EWSuez'!$B$4:$B$2000,"mmm-yy")=TEXT(A1316,"mmm-yy")),
    '[3]Global Weekly Stock (EWSuez'!$E$4:$E$2000)
/
SUMPRODUCT(
    --(TEXT('[3]Global Weekly Stock (EWSuez'!$B$4:$B$2000,"mmm-yy")=TEXT(A1316,"mmm-yy"))
)</f>
        <v>12949.2</v>
      </c>
      <c r="I1316">
        <f>_xlfn.XLOOKUP(A1316,[1]ForwardDeriv!$D:$D,[1]ForwardDeriv!$AJ:$AJ)</f>
        <v>7.9999999999998295E-2</v>
      </c>
      <c r="J1316" cm="1">
        <f t="array" ref="J1316">_xlfn.XLOOKUP(TEXT(A1316, "mmm-yy"), TEXT([2]GASOLINE!$B$5:$B$208, "mmm-yy"), [2]GASOLINE!$IR$5:$IR$208, "Not Found")</f>
        <v>225.9784436296091</v>
      </c>
      <c r="K1316" cm="1">
        <f t="array" ref="K1316">_xlfn.XLOOKUP(TEXT(A1316, "mmm-yy"), TEXT([2]GASOLINE!$B$5:$B$208, "mmm-yy"), [2]GASOLINE!$IK$5:$IK$208, "Not Found")</f>
        <v>163.87811718893548</v>
      </c>
      <c r="L1316">
        <f t="shared" si="20"/>
        <v>0</v>
      </c>
      <c r="M1316" cm="1">
        <f t="array" ref="M1316">_xlfn.XLOOKUP(TEXT(A1316, "mmm-yy"), TEXT([2]GASOLINE!$B$5:$B$208, "mmm-yy"), [2]GASOLINE!$C$5:$C$208, "Not Found")</f>
        <v>7176.6862871784497</v>
      </c>
      <c r="N1316" cm="1">
        <f t="array" ref="N1316">_xlfn.XLOOKUP(TEXT(A1316, "mmm-yy"), TEXT([2]RUNS!$B$5:$B$208, "mmm-yy"), [2]RUNS!$BM$5:$BM$208, "Not Found")</f>
        <v>0.85873196545918795</v>
      </c>
    </row>
    <row r="1317" spans="1:14" x14ac:dyDescent="0.25">
      <c r="A1317" s="1">
        <f>'[1]Global_Spot Prices'!$B2626</f>
        <v>43846</v>
      </c>
      <c r="B1317">
        <f ca="1">_xlfn.XLOOKUP(A1317,'[1]Global_Spot Prices'!$B:$B,'[1]Global_Spot Prices'!$BS:$BS)</f>
        <v>4.1900000000000119</v>
      </c>
      <c r="C1317">
        <f>_xlfn.XLOOKUP(A1317,'[1]Global_Spot Prices'!$B:$B,'[1]Global_Spot Prices'!$E:$E)</f>
        <v>64.709999999999994</v>
      </c>
      <c r="D1317">
        <f>_xlfn.XLOOKUP(A1317,'[1]Global_Spot Prices'!$B:$B,'[1]Global_Spot Prices'!$D:$D)</f>
        <v>64.349999999999994</v>
      </c>
      <c r="E1317">
        <f>_xlfn.XLOOKUP(A1317,'[1]Global_Spot Prices'!$B:$B,'[1]Global_Spot Prices'!$H:$H)</f>
        <v>62.21</v>
      </c>
      <c r="F1317">
        <f>_xlfn.XLOOKUP(A1317,'[1]Global_Spot Prices'!$B:$B,'[1]Global_Spot Prices'!$I:$I)</f>
        <v>68.900000000000006</v>
      </c>
      <c r="G1317" cm="1">
        <f t="array" ref="G1317">_xlfn.XLOOKUP(TEXT(A1317, "mmm-yy"), TEXT([2]RUNS!$B$5:$B$208, "mmm-yy"), [2]RUNS!$D$5:$D$208, "Not Found")</f>
        <v>31304.816181225055</v>
      </c>
      <c r="H1317" cm="1">
        <f t="array" ref="H1317">SUMPRODUCT(
    --(TEXT('[3]Global Weekly Stock (EWSuez'!$B$4:$B$2000,"mmm-yy")=TEXT(A1317,"mmm-yy")),
    '[3]Global Weekly Stock (EWSuez'!$E$4:$E$2000)
/
SUMPRODUCT(
    --(TEXT('[3]Global Weekly Stock (EWSuez'!$B$4:$B$2000,"mmm-yy")=TEXT(A1317,"mmm-yy"))
)</f>
        <v>12949.2</v>
      </c>
      <c r="I1317">
        <f>_xlfn.XLOOKUP(A1317,[1]ForwardDeriv!$D:$D,[1]ForwardDeriv!$AJ:$AJ)</f>
        <v>-6.9999999999993179E-2</v>
      </c>
      <c r="J1317" cm="1">
        <f t="array" ref="J1317">_xlfn.XLOOKUP(TEXT(A1317, "mmm-yy"), TEXT([2]GASOLINE!$B$5:$B$208, "mmm-yy"), [2]GASOLINE!$IR$5:$IR$208, "Not Found")</f>
        <v>225.9784436296091</v>
      </c>
      <c r="K1317" cm="1">
        <f t="array" ref="K1317">_xlfn.XLOOKUP(TEXT(A1317, "mmm-yy"), TEXT([2]GASOLINE!$B$5:$B$208, "mmm-yy"), [2]GASOLINE!$IK$5:$IK$208, "Not Found")</f>
        <v>163.87811718893548</v>
      </c>
      <c r="L1317">
        <f t="shared" si="20"/>
        <v>0</v>
      </c>
      <c r="M1317" cm="1">
        <f t="array" ref="M1317">_xlfn.XLOOKUP(TEXT(A1317, "mmm-yy"), TEXT([2]GASOLINE!$B$5:$B$208, "mmm-yy"), [2]GASOLINE!$C$5:$C$208, "Not Found")</f>
        <v>7176.6862871784497</v>
      </c>
      <c r="N1317" cm="1">
        <f t="array" ref="N1317">_xlfn.XLOOKUP(TEXT(A1317, "mmm-yy"), TEXT([2]RUNS!$B$5:$B$208, "mmm-yy"), [2]RUNS!$BM$5:$BM$208, "Not Found")</f>
        <v>0.85873196545918795</v>
      </c>
    </row>
    <row r="1318" spans="1:14" x14ac:dyDescent="0.25">
      <c r="A1318" s="1">
        <f>'[1]Global_Spot Prices'!$B2627</f>
        <v>43847</v>
      </c>
      <c r="B1318">
        <f>_xlfn.XLOOKUP(A1318,'[1]Global_Spot Prices'!$B:$B,'[1]Global_Spot Prices'!$BS:$BS)</f>
        <v>4.875</v>
      </c>
      <c r="C1318">
        <f>_xlfn.XLOOKUP(A1318,'[1]Global_Spot Prices'!$B:$B,'[1]Global_Spot Prices'!$E:$E)</f>
        <v>64.855000000000004</v>
      </c>
      <c r="D1318">
        <f>_xlfn.XLOOKUP(A1318,'[1]Global_Spot Prices'!$B:$B,'[1]Global_Spot Prices'!$D:$D)</f>
        <v>63.914999999999999</v>
      </c>
      <c r="E1318">
        <f>_xlfn.XLOOKUP(A1318,'[1]Global_Spot Prices'!$B:$B,'[1]Global_Spot Prices'!$H:$H)</f>
        <v>62.53</v>
      </c>
      <c r="F1318">
        <f>_xlfn.XLOOKUP(A1318,'[1]Global_Spot Prices'!$B:$B,'[1]Global_Spot Prices'!$I:$I)</f>
        <v>69.73</v>
      </c>
      <c r="G1318" cm="1">
        <f t="array" ref="G1318">_xlfn.XLOOKUP(TEXT(A1318, "mmm-yy"), TEXT([2]RUNS!$B$5:$B$208, "mmm-yy"), [2]RUNS!$D$5:$D$208, "Not Found")</f>
        <v>31304.816181225055</v>
      </c>
      <c r="H1318" cm="1">
        <f t="array" ref="H1318">SUMPRODUCT(
    --(TEXT('[3]Global Weekly Stock (EWSuez'!$B$4:$B$2000,"mmm-yy")=TEXT(A1318,"mmm-yy")),
    '[3]Global Weekly Stock (EWSuez'!$E$4:$E$2000)
/
SUMPRODUCT(
    --(TEXT('[3]Global Weekly Stock (EWSuez'!$B$4:$B$2000,"mmm-yy")=TEXT(A1318,"mmm-yy"))
)</f>
        <v>12949.2</v>
      </c>
      <c r="I1318">
        <f>_xlfn.XLOOKUP(A1318,[1]ForwardDeriv!$D:$D,[1]ForwardDeriv!$AJ:$AJ)</f>
        <v>-4.9999999999997158E-2</v>
      </c>
      <c r="J1318" cm="1">
        <f t="array" ref="J1318">_xlfn.XLOOKUP(TEXT(A1318, "mmm-yy"), TEXT([2]GASOLINE!$B$5:$B$208, "mmm-yy"), [2]GASOLINE!$IR$5:$IR$208, "Not Found")</f>
        <v>225.9784436296091</v>
      </c>
      <c r="K1318" cm="1">
        <f t="array" ref="K1318">_xlfn.XLOOKUP(TEXT(A1318, "mmm-yy"), TEXT([2]GASOLINE!$B$5:$B$208, "mmm-yy"), [2]GASOLINE!$IK$5:$IK$208, "Not Found")</f>
        <v>163.87811718893548</v>
      </c>
      <c r="L1318">
        <f t="shared" si="20"/>
        <v>0</v>
      </c>
      <c r="M1318" cm="1">
        <f t="array" ref="M1318">_xlfn.XLOOKUP(TEXT(A1318, "mmm-yy"), TEXT([2]GASOLINE!$B$5:$B$208, "mmm-yy"), [2]GASOLINE!$C$5:$C$208, "Not Found")</f>
        <v>7176.6862871784497</v>
      </c>
      <c r="N1318" cm="1">
        <f t="array" ref="N1318">_xlfn.XLOOKUP(TEXT(A1318, "mmm-yy"), TEXT([2]RUNS!$B$5:$B$208, "mmm-yy"), [2]RUNS!$BM$5:$BM$208, "Not Found")</f>
        <v>0.85873196545918795</v>
      </c>
    </row>
    <row r="1319" spans="1:14" x14ac:dyDescent="0.25">
      <c r="A1319" s="1">
        <f>'[1]Global_Spot Prices'!$B2628</f>
        <v>43850</v>
      </c>
      <c r="B1319">
        <f>_xlfn.XLOOKUP(A1319,'[1]Global_Spot Prices'!$B:$B,'[1]Global_Spot Prices'!$BS:$BS)</f>
        <v>4.75</v>
      </c>
      <c r="C1319">
        <f>_xlfn.XLOOKUP(A1319,'[1]Global_Spot Prices'!$B:$B,'[1]Global_Spot Prices'!$E:$E)</f>
        <v>65.209999999999994</v>
      </c>
      <c r="D1319">
        <f>_xlfn.XLOOKUP(A1319,'[1]Global_Spot Prices'!$B:$B,'[1]Global_Spot Prices'!$D:$D)</f>
        <v>64.42</v>
      </c>
      <c r="E1319">
        <f>_xlfn.XLOOKUP(A1319,'[1]Global_Spot Prices'!$B:$B,'[1]Global_Spot Prices'!$H:$H)</f>
        <v>62.23</v>
      </c>
      <c r="F1319">
        <f>_xlfn.XLOOKUP(A1319,'[1]Global_Spot Prices'!$B:$B,'[1]Global_Spot Prices'!$I:$I)</f>
        <v>69.959999999999994</v>
      </c>
      <c r="G1319" cm="1">
        <f t="array" ref="G1319">_xlfn.XLOOKUP(TEXT(A1319, "mmm-yy"), TEXT([2]RUNS!$B$5:$B$208, "mmm-yy"), [2]RUNS!$D$5:$D$208, "Not Found")</f>
        <v>31304.816181225055</v>
      </c>
      <c r="H1319" cm="1">
        <f t="array" ref="H1319">SUMPRODUCT(
    --(TEXT('[3]Global Weekly Stock (EWSuez'!$B$4:$B$2000,"mmm-yy")=TEXT(A1319,"mmm-yy")),
    '[3]Global Weekly Stock (EWSuez'!$E$4:$E$2000)
/
SUMPRODUCT(
    --(TEXT('[3]Global Weekly Stock (EWSuez'!$B$4:$B$2000,"mmm-yy")=TEXT(A1319,"mmm-yy"))
)</f>
        <v>12949.2</v>
      </c>
      <c r="I1319">
        <f>_xlfn.XLOOKUP(A1319,[1]ForwardDeriv!$D:$D,[1]ForwardDeriv!$AJ:$AJ)</f>
        <v>-6.0000000000002274E-2</v>
      </c>
      <c r="J1319" cm="1">
        <f t="array" ref="J1319">_xlfn.XLOOKUP(TEXT(A1319, "mmm-yy"), TEXT([2]GASOLINE!$B$5:$B$208, "mmm-yy"), [2]GASOLINE!$IR$5:$IR$208, "Not Found")</f>
        <v>225.9784436296091</v>
      </c>
      <c r="K1319" cm="1">
        <f t="array" ref="K1319">_xlfn.XLOOKUP(TEXT(A1319, "mmm-yy"), TEXT([2]GASOLINE!$B$5:$B$208, "mmm-yy"), [2]GASOLINE!$IK$5:$IK$208, "Not Found")</f>
        <v>163.87811718893548</v>
      </c>
      <c r="L1319">
        <f t="shared" si="20"/>
        <v>0</v>
      </c>
      <c r="M1319" cm="1">
        <f t="array" ref="M1319">_xlfn.XLOOKUP(TEXT(A1319, "mmm-yy"), TEXT([2]GASOLINE!$B$5:$B$208, "mmm-yy"), [2]GASOLINE!$C$5:$C$208, "Not Found")</f>
        <v>7176.6862871784497</v>
      </c>
      <c r="N1319" cm="1">
        <f t="array" ref="N1319">_xlfn.XLOOKUP(TEXT(A1319, "mmm-yy"), TEXT([2]RUNS!$B$5:$B$208, "mmm-yy"), [2]RUNS!$BM$5:$BM$208, "Not Found")</f>
        <v>0.85873196545918795</v>
      </c>
    </row>
    <row r="1320" spans="1:14" x14ac:dyDescent="0.25">
      <c r="A1320" s="1">
        <f>'[1]Global_Spot Prices'!$B2629</f>
        <v>43851</v>
      </c>
      <c r="B1320">
        <f>_xlfn.XLOOKUP(A1320,'[1]Global_Spot Prices'!$B:$B,'[1]Global_Spot Prices'!$BS:$BS)</f>
        <v>4.3799999999999955</v>
      </c>
      <c r="C1320">
        <f>_xlfn.XLOOKUP(A1320,'[1]Global_Spot Prices'!$B:$B,'[1]Global_Spot Prices'!$E:$E)</f>
        <v>64.25</v>
      </c>
      <c r="D1320">
        <f>_xlfn.XLOOKUP(A1320,'[1]Global_Spot Prices'!$B:$B,'[1]Global_Spot Prices'!$D:$D)</f>
        <v>63.92</v>
      </c>
      <c r="E1320">
        <f>_xlfn.XLOOKUP(A1320,'[1]Global_Spot Prices'!$B:$B,'[1]Global_Spot Prices'!$H:$H)</f>
        <v>60.81</v>
      </c>
      <c r="F1320">
        <f>_xlfn.XLOOKUP(A1320,'[1]Global_Spot Prices'!$B:$B,'[1]Global_Spot Prices'!$I:$I)</f>
        <v>68.63</v>
      </c>
      <c r="G1320" cm="1">
        <f t="array" ref="G1320">_xlfn.XLOOKUP(TEXT(A1320, "mmm-yy"), TEXT([2]RUNS!$B$5:$B$208, "mmm-yy"), [2]RUNS!$D$5:$D$208, "Not Found")</f>
        <v>31304.816181225055</v>
      </c>
      <c r="H1320" cm="1">
        <f t="array" ref="H1320">SUMPRODUCT(
    --(TEXT('[3]Global Weekly Stock (EWSuez'!$B$4:$B$2000,"mmm-yy")=TEXT(A1320,"mmm-yy")),
    '[3]Global Weekly Stock (EWSuez'!$E$4:$E$2000)
/
SUMPRODUCT(
    --(TEXT('[3]Global Weekly Stock (EWSuez'!$B$4:$B$2000,"mmm-yy")=TEXT(A1320,"mmm-yy"))
)</f>
        <v>12949.2</v>
      </c>
      <c r="I1320">
        <f>_xlfn.XLOOKUP(A1320,[1]ForwardDeriv!$D:$D,[1]ForwardDeriv!$AJ:$AJ)</f>
        <v>-0.15000000000000568</v>
      </c>
      <c r="J1320" cm="1">
        <f t="array" ref="J1320">_xlfn.XLOOKUP(TEXT(A1320, "mmm-yy"), TEXT([2]GASOLINE!$B$5:$B$208, "mmm-yy"), [2]GASOLINE!$IR$5:$IR$208, "Not Found")</f>
        <v>225.9784436296091</v>
      </c>
      <c r="K1320" cm="1">
        <f t="array" ref="K1320">_xlfn.XLOOKUP(TEXT(A1320, "mmm-yy"), TEXT([2]GASOLINE!$B$5:$B$208, "mmm-yy"), [2]GASOLINE!$IK$5:$IK$208, "Not Found")</f>
        <v>163.87811718893548</v>
      </c>
      <c r="L1320">
        <f t="shared" si="20"/>
        <v>0</v>
      </c>
      <c r="M1320" cm="1">
        <f t="array" ref="M1320">_xlfn.XLOOKUP(TEXT(A1320, "mmm-yy"), TEXT([2]GASOLINE!$B$5:$B$208, "mmm-yy"), [2]GASOLINE!$C$5:$C$208, "Not Found")</f>
        <v>7176.6862871784497</v>
      </c>
      <c r="N1320" cm="1">
        <f t="array" ref="N1320">_xlfn.XLOOKUP(TEXT(A1320, "mmm-yy"), TEXT([2]RUNS!$B$5:$B$208, "mmm-yy"), [2]RUNS!$BM$5:$BM$208, "Not Found")</f>
        <v>0.85873196545918795</v>
      </c>
    </row>
    <row r="1321" spans="1:14" x14ac:dyDescent="0.25">
      <c r="A1321" s="1">
        <f>'[1]Global_Spot Prices'!$B2630</f>
        <v>43852</v>
      </c>
      <c r="B1321">
        <f>_xlfn.XLOOKUP(A1321,'[1]Global_Spot Prices'!$B:$B,'[1]Global_Spot Prices'!$BS:$BS)</f>
        <v>4.7900000000000063</v>
      </c>
      <c r="C1321">
        <f>_xlfn.XLOOKUP(A1321,'[1]Global_Spot Prices'!$B:$B,'[1]Global_Spot Prices'!$E:$E)</f>
        <v>64.25</v>
      </c>
      <c r="D1321">
        <f>_xlfn.XLOOKUP(A1321,'[1]Global_Spot Prices'!$B:$B,'[1]Global_Spot Prices'!$D:$D)</f>
        <v>62.3</v>
      </c>
      <c r="E1321">
        <f>_xlfn.XLOOKUP(A1321,'[1]Global_Spot Prices'!$B:$B,'[1]Global_Spot Prices'!$H:$H)</f>
        <v>60.79</v>
      </c>
      <c r="F1321">
        <f>_xlfn.XLOOKUP(A1321,'[1]Global_Spot Prices'!$B:$B,'[1]Global_Spot Prices'!$I:$I)</f>
        <v>69.040000000000006</v>
      </c>
      <c r="G1321" cm="1">
        <f t="array" ref="G1321">_xlfn.XLOOKUP(TEXT(A1321, "mmm-yy"), TEXT([2]RUNS!$B$5:$B$208, "mmm-yy"), [2]RUNS!$D$5:$D$208, "Not Found")</f>
        <v>31304.816181225055</v>
      </c>
      <c r="H1321" cm="1">
        <f t="array" ref="H1321">SUMPRODUCT(
    --(TEXT('[3]Global Weekly Stock (EWSuez'!$B$4:$B$2000,"mmm-yy")=TEXT(A1321,"mmm-yy")),
    '[3]Global Weekly Stock (EWSuez'!$E$4:$E$2000)
/
SUMPRODUCT(
    --(TEXT('[3]Global Weekly Stock (EWSuez'!$B$4:$B$2000,"mmm-yy")=TEXT(A1321,"mmm-yy"))
)</f>
        <v>12949.2</v>
      </c>
      <c r="I1321">
        <f>_xlfn.XLOOKUP(A1321,[1]ForwardDeriv!$D:$D,[1]ForwardDeriv!$AJ:$AJ)</f>
        <v>-3.0000000000001137E-2</v>
      </c>
      <c r="J1321" cm="1">
        <f t="array" ref="J1321">_xlfn.XLOOKUP(TEXT(A1321, "mmm-yy"), TEXT([2]GASOLINE!$B$5:$B$208, "mmm-yy"), [2]GASOLINE!$IR$5:$IR$208, "Not Found")</f>
        <v>225.9784436296091</v>
      </c>
      <c r="K1321" cm="1">
        <f t="array" ref="K1321">_xlfn.XLOOKUP(TEXT(A1321, "mmm-yy"), TEXT([2]GASOLINE!$B$5:$B$208, "mmm-yy"), [2]GASOLINE!$IK$5:$IK$208, "Not Found")</f>
        <v>163.87811718893548</v>
      </c>
      <c r="L1321">
        <f t="shared" si="20"/>
        <v>0</v>
      </c>
      <c r="M1321" cm="1">
        <f t="array" ref="M1321">_xlfn.XLOOKUP(TEXT(A1321, "mmm-yy"), TEXT([2]GASOLINE!$B$5:$B$208, "mmm-yy"), [2]GASOLINE!$C$5:$C$208, "Not Found")</f>
        <v>7176.6862871784497</v>
      </c>
      <c r="N1321" cm="1">
        <f t="array" ref="N1321">_xlfn.XLOOKUP(TEXT(A1321, "mmm-yy"), TEXT([2]RUNS!$B$5:$B$208, "mmm-yy"), [2]RUNS!$BM$5:$BM$208, "Not Found")</f>
        <v>0.85873196545918795</v>
      </c>
    </row>
    <row r="1322" spans="1:14" x14ac:dyDescent="0.25">
      <c r="A1322" s="1">
        <f>'[1]Global_Spot Prices'!$B2631</f>
        <v>43853</v>
      </c>
      <c r="B1322">
        <f>_xlfn.XLOOKUP(A1322,'[1]Global_Spot Prices'!$B:$B,'[1]Global_Spot Prices'!$BS:$BS)</f>
        <v>4.3499999999999943</v>
      </c>
      <c r="C1322">
        <f>_xlfn.XLOOKUP(A1322,'[1]Global_Spot Prices'!$B:$B,'[1]Global_Spot Prices'!$E:$E)</f>
        <v>62.75</v>
      </c>
      <c r="D1322">
        <f ca="1">_xlfn.XLOOKUP(A1322,'[1]Global_Spot Prices'!$B:$B,'[1]Global_Spot Prices'!$D:$D)</f>
        <v>61.265000000000001</v>
      </c>
      <c r="E1322">
        <f ca="1">_xlfn.XLOOKUP(A1322,'[1]Global_Spot Prices'!$B:$B,'[1]Global_Spot Prices'!$H:$H)</f>
        <v>58.46</v>
      </c>
      <c r="F1322">
        <f>_xlfn.XLOOKUP(A1322,'[1]Global_Spot Prices'!$B:$B,'[1]Global_Spot Prices'!$I:$I)</f>
        <v>67.099999999999994</v>
      </c>
      <c r="G1322" cm="1">
        <f t="array" ref="G1322">_xlfn.XLOOKUP(TEXT(A1322, "mmm-yy"), TEXT([2]RUNS!$B$5:$B$208, "mmm-yy"), [2]RUNS!$D$5:$D$208, "Not Found")</f>
        <v>31304.816181225055</v>
      </c>
      <c r="H1322" cm="1">
        <f t="array" ref="H1322">SUMPRODUCT(
    --(TEXT('[3]Global Weekly Stock (EWSuez'!$B$4:$B$2000,"mmm-yy")=TEXT(A1322,"mmm-yy")),
    '[3]Global Weekly Stock (EWSuez'!$E$4:$E$2000)
/
SUMPRODUCT(
    --(TEXT('[3]Global Weekly Stock (EWSuez'!$B$4:$B$2000,"mmm-yy")=TEXT(A1322,"mmm-yy"))
)</f>
        <v>12949.2</v>
      </c>
      <c r="I1322">
        <f>_xlfn.XLOOKUP(A1322,[1]ForwardDeriv!$D:$D,[1]ForwardDeriv!$AJ:$AJ)</f>
        <v>4.9999999999997158E-2</v>
      </c>
      <c r="J1322" cm="1">
        <f t="array" ref="J1322">_xlfn.XLOOKUP(TEXT(A1322, "mmm-yy"), TEXT([2]GASOLINE!$B$5:$B$208, "mmm-yy"), [2]GASOLINE!$IR$5:$IR$208, "Not Found")</f>
        <v>225.9784436296091</v>
      </c>
      <c r="K1322" cm="1">
        <f t="array" ref="K1322">_xlfn.XLOOKUP(TEXT(A1322, "mmm-yy"), TEXT([2]GASOLINE!$B$5:$B$208, "mmm-yy"), [2]GASOLINE!$IK$5:$IK$208, "Not Found")</f>
        <v>163.87811718893548</v>
      </c>
      <c r="L1322">
        <f t="shared" si="20"/>
        <v>0</v>
      </c>
      <c r="M1322" cm="1">
        <f t="array" ref="M1322">_xlfn.XLOOKUP(TEXT(A1322, "mmm-yy"), TEXT([2]GASOLINE!$B$5:$B$208, "mmm-yy"), [2]GASOLINE!$C$5:$C$208, "Not Found")</f>
        <v>7176.6862871784497</v>
      </c>
      <c r="N1322" cm="1">
        <f t="array" ref="N1322">_xlfn.XLOOKUP(TEXT(A1322, "mmm-yy"), TEXT([2]RUNS!$B$5:$B$208, "mmm-yy"), [2]RUNS!$BM$5:$BM$208, "Not Found")</f>
        <v>0.85873196545918795</v>
      </c>
    </row>
    <row r="1323" spans="1:14" x14ac:dyDescent="0.25">
      <c r="A1323" s="1">
        <f>'[1]Global_Spot Prices'!$B2632</f>
        <v>43854</v>
      </c>
      <c r="B1323">
        <f>_xlfn.XLOOKUP(A1323,'[1]Global_Spot Prices'!$B:$B,'[1]Global_Spot Prices'!$BS:$BS)</f>
        <v>5.039999999999992</v>
      </c>
      <c r="C1323">
        <f>_xlfn.XLOOKUP(A1323,'[1]Global_Spot Prices'!$B:$B,'[1]Global_Spot Prices'!$E:$E)</f>
        <v>62.2</v>
      </c>
      <c r="D1323">
        <f>_xlfn.XLOOKUP(A1323,'[1]Global_Spot Prices'!$B:$B,'[1]Global_Spot Prices'!$D:$D)</f>
        <v>59.83</v>
      </c>
      <c r="E1323">
        <f>_xlfn.XLOOKUP(A1323,'[1]Global_Spot Prices'!$B:$B,'[1]Global_Spot Prices'!$H:$H)</f>
        <v>58.46</v>
      </c>
      <c r="F1323">
        <f>_xlfn.XLOOKUP(A1323,'[1]Global_Spot Prices'!$B:$B,'[1]Global_Spot Prices'!$I:$I)</f>
        <v>67.239999999999995</v>
      </c>
      <c r="G1323" cm="1">
        <f t="array" ref="G1323">_xlfn.XLOOKUP(TEXT(A1323, "mmm-yy"), TEXT([2]RUNS!$B$5:$B$208, "mmm-yy"), [2]RUNS!$D$5:$D$208, "Not Found")</f>
        <v>31304.816181225055</v>
      </c>
      <c r="H1323" cm="1">
        <f t="array" ref="H1323">SUMPRODUCT(
    --(TEXT('[3]Global Weekly Stock (EWSuez'!$B$4:$B$2000,"mmm-yy")=TEXT(A1323,"mmm-yy")),
    '[3]Global Weekly Stock (EWSuez'!$E$4:$E$2000)
/
SUMPRODUCT(
    --(TEXT('[3]Global Weekly Stock (EWSuez'!$B$4:$B$2000,"mmm-yy")=TEXT(A1323,"mmm-yy"))
)</f>
        <v>12949.2</v>
      </c>
      <c r="I1323">
        <f>_xlfn.XLOOKUP(A1323,[1]ForwardDeriv!$D:$D,[1]ForwardDeriv!$AJ:$AJ)</f>
        <v>0.18000000000000682</v>
      </c>
      <c r="J1323" cm="1">
        <f t="array" ref="J1323">_xlfn.XLOOKUP(TEXT(A1323, "mmm-yy"), TEXT([2]GASOLINE!$B$5:$B$208, "mmm-yy"), [2]GASOLINE!$IR$5:$IR$208, "Not Found")</f>
        <v>225.9784436296091</v>
      </c>
      <c r="K1323" cm="1">
        <f t="array" ref="K1323">_xlfn.XLOOKUP(TEXT(A1323, "mmm-yy"), TEXT([2]GASOLINE!$B$5:$B$208, "mmm-yy"), [2]GASOLINE!$IK$5:$IK$208, "Not Found")</f>
        <v>163.87811718893548</v>
      </c>
      <c r="L1323">
        <f t="shared" si="20"/>
        <v>0</v>
      </c>
      <c r="M1323" cm="1">
        <f t="array" ref="M1323">_xlfn.XLOOKUP(TEXT(A1323, "mmm-yy"), TEXT([2]GASOLINE!$B$5:$B$208, "mmm-yy"), [2]GASOLINE!$C$5:$C$208, "Not Found")</f>
        <v>7176.6862871784497</v>
      </c>
      <c r="N1323" cm="1">
        <f t="array" ref="N1323">_xlfn.XLOOKUP(TEXT(A1323, "mmm-yy"), TEXT([2]RUNS!$B$5:$B$208, "mmm-yy"), [2]RUNS!$BM$5:$BM$208, "Not Found")</f>
        <v>0.85873196545918795</v>
      </c>
    </row>
    <row r="1324" spans="1:14" x14ac:dyDescent="0.25">
      <c r="A1324" s="1">
        <f>'[1]Global_Spot Prices'!$B2633</f>
        <v>43857</v>
      </c>
      <c r="B1324" t="e">
        <f>_xlfn.XLOOKUP(A1324,'[1]Global_Spot Prices'!$B:$B,'[1]Global_Spot Prices'!$BS:$BS)</f>
        <v>#N/A</v>
      </c>
      <c r="C1324" t="str">
        <f>_xlfn.XLOOKUP(A1324,'[1]Global_Spot Prices'!$B:$B,'[1]Global_Spot Prices'!$E:$E)</f>
        <v/>
      </c>
      <c r="D1324">
        <f>_xlfn.XLOOKUP(A1324,'[1]Global_Spot Prices'!$B:$B,'[1]Global_Spot Prices'!$D:$D)</f>
        <v>58.35</v>
      </c>
      <c r="E1324">
        <f>_xlfn.XLOOKUP(A1324,'[1]Global_Spot Prices'!$B:$B,'[1]Global_Spot Prices'!$H:$H)</f>
        <v>0</v>
      </c>
      <c r="F1324">
        <f>_xlfn.XLOOKUP(A1324,'[1]Global_Spot Prices'!$B:$B,'[1]Global_Spot Prices'!$I:$I)</f>
        <v>0</v>
      </c>
      <c r="G1324" cm="1">
        <f t="array" ref="G1324">_xlfn.XLOOKUP(TEXT(A1324, "mmm-yy"), TEXT([2]RUNS!$B$5:$B$208, "mmm-yy"), [2]RUNS!$D$5:$D$208, "Not Found")</f>
        <v>31304.816181225055</v>
      </c>
      <c r="H1324" cm="1">
        <f t="array" ref="H1324">SUMPRODUCT(
    --(TEXT('[3]Global Weekly Stock (EWSuez'!$B$4:$B$2000,"mmm-yy")=TEXT(A1324,"mmm-yy")),
    '[3]Global Weekly Stock (EWSuez'!$E$4:$E$2000)
/
SUMPRODUCT(
    --(TEXT('[3]Global Weekly Stock (EWSuez'!$B$4:$B$2000,"mmm-yy")=TEXT(A1324,"mmm-yy"))
)</f>
        <v>12949.2</v>
      </c>
      <c r="I1324">
        <f>_xlfn.XLOOKUP(A1324,[1]ForwardDeriv!$D:$D,[1]ForwardDeriv!$AJ:$AJ)</f>
        <v>-3.0000000000001137E-2</v>
      </c>
      <c r="J1324" cm="1">
        <f t="array" ref="J1324">_xlfn.XLOOKUP(TEXT(A1324, "mmm-yy"), TEXT([2]GASOLINE!$B$5:$B$208, "mmm-yy"), [2]GASOLINE!$IR$5:$IR$208, "Not Found")</f>
        <v>225.9784436296091</v>
      </c>
      <c r="K1324" cm="1">
        <f t="array" ref="K1324">_xlfn.XLOOKUP(TEXT(A1324, "mmm-yy"), TEXT([2]GASOLINE!$B$5:$B$208, "mmm-yy"), [2]GASOLINE!$IK$5:$IK$208, "Not Found")</f>
        <v>163.87811718893548</v>
      </c>
      <c r="L1324">
        <f t="shared" si="20"/>
        <v>0</v>
      </c>
      <c r="M1324" cm="1">
        <f t="array" ref="M1324">_xlfn.XLOOKUP(TEXT(A1324, "mmm-yy"), TEXT([2]GASOLINE!$B$5:$B$208, "mmm-yy"), [2]GASOLINE!$C$5:$C$208, "Not Found")</f>
        <v>7176.6862871784497</v>
      </c>
      <c r="N1324" cm="1">
        <f t="array" ref="N1324">_xlfn.XLOOKUP(TEXT(A1324, "mmm-yy"), TEXT([2]RUNS!$B$5:$B$208, "mmm-yy"), [2]RUNS!$BM$5:$BM$208, "Not Found")</f>
        <v>0.85873196545918795</v>
      </c>
    </row>
    <row r="1325" spans="1:14" x14ac:dyDescent="0.25">
      <c r="A1325" s="1">
        <f>'[1]Global_Spot Prices'!$B2634</f>
        <v>43858</v>
      </c>
      <c r="B1325">
        <f ca="1">_xlfn.XLOOKUP(A1325,'[1]Global_Spot Prices'!$B:$B,'[1]Global_Spot Prices'!$BS:$BS)</f>
        <v>3.470000000000006</v>
      </c>
      <c r="C1325">
        <f ca="1">_xlfn.XLOOKUP(A1325,'[1]Global_Spot Prices'!$B:$B,'[1]Global_Spot Prices'!$E:$E)</f>
        <v>58.55</v>
      </c>
      <c r="D1325">
        <f>_xlfn.XLOOKUP(A1325,'[1]Global_Spot Prices'!$B:$B,'[1]Global_Spot Prices'!$D:$D)</f>
        <v>59.274999999999999</v>
      </c>
      <c r="E1325">
        <f>_xlfn.XLOOKUP(A1325,'[1]Global_Spot Prices'!$B:$B,'[1]Global_Spot Prices'!$H:$H)</f>
        <v>55.25</v>
      </c>
      <c r="F1325">
        <f>_xlfn.XLOOKUP(A1325,'[1]Global_Spot Prices'!$B:$B,'[1]Global_Spot Prices'!$I:$I)</f>
        <v>62.02</v>
      </c>
      <c r="G1325" cm="1">
        <f t="array" ref="G1325">_xlfn.XLOOKUP(TEXT(A1325, "mmm-yy"), TEXT([2]RUNS!$B$5:$B$208, "mmm-yy"), [2]RUNS!$D$5:$D$208, "Not Found")</f>
        <v>31304.816181225055</v>
      </c>
      <c r="H1325" cm="1">
        <f t="array" ref="H1325">SUMPRODUCT(
    --(TEXT('[3]Global Weekly Stock (EWSuez'!$B$4:$B$2000,"mmm-yy")=TEXT(A1325,"mmm-yy")),
    '[3]Global Weekly Stock (EWSuez'!$E$4:$E$2000)
/
SUMPRODUCT(
    --(TEXT('[3]Global Weekly Stock (EWSuez'!$B$4:$B$2000,"mmm-yy")=TEXT(A1325,"mmm-yy"))
)</f>
        <v>12949.2</v>
      </c>
      <c r="I1325">
        <f>_xlfn.XLOOKUP(A1325,[1]ForwardDeriv!$D:$D,[1]ForwardDeriv!$AJ:$AJ)</f>
        <v>-3.0000000000001137E-2</v>
      </c>
      <c r="J1325" cm="1">
        <f t="array" ref="J1325">_xlfn.XLOOKUP(TEXT(A1325, "mmm-yy"), TEXT([2]GASOLINE!$B$5:$B$208, "mmm-yy"), [2]GASOLINE!$IR$5:$IR$208, "Not Found")</f>
        <v>225.9784436296091</v>
      </c>
      <c r="K1325" cm="1">
        <f t="array" ref="K1325">_xlfn.XLOOKUP(TEXT(A1325, "mmm-yy"), TEXT([2]GASOLINE!$B$5:$B$208, "mmm-yy"), [2]GASOLINE!$IK$5:$IK$208, "Not Found")</f>
        <v>163.87811718893548</v>
      </c>
      <c r="L1325">
        <f t="shared" si="20"/>
        <v>0</v>
      </c>
      <c r="M1325" cm="1">
        <f t="array" ref="M1325">_xlfn.XLOOKUP(TEXT(A1325, "mmm-yy"), TEXT([2]GASOLINE!$B$5:$B$208, "mmm-yy"), [2]GASOLINE!$C$5:$C$208, "Not Found")</f>
        <v>7176.6862871784497</v>
      </c>
      <c r="N1325" cm="1">
        <f t="array" ref="N1325">_xlfn.XLOOKUP(TEXT(A1325, "mmm-yy"), TEXT([2]RUNS!$B$5:$B$208, "mmm-yy"), [2]RUNS!$BM$5:$BM$208, "Not Found")</f>
        <v>0.85873196545918795</v>
      </c>
    </row>
    <row r="1326" spans="1:14" x14ac:dyDescent="0.25">
      <c r="A1326" s="1">
        <f>'[1]Global_Spot Prices'!$B2635</f>
        <v>43859</v>
      </c>
      <c r="B1326">
        <f>_xlfn.XLOOKUP(A1326,'[1]Global_Spot Prices'!$B:$B,'[1]Global_Spot Prices'!$BS:$BS)</f>
        <v>4.7000000000000028</v>
      </c>
      <c r="C1326">
        <f>_xlfn.XLOOKUP(A1326,'[1]Global_Spot Prices'!$B:$B,'[1]Global_Spot Prices'!$E:$E)</f>
        <v>59.34</v>
      </c>
      <c r="D1326">
        <f>_xlfn.XLOOKUP(A1326,'[1]Global_Spot Prices'!$B:$B,'[1]Global_Spot Prices'!$D:$D)</f>
        <v>59.43</v>
      </c>
      <c r="E1326">
        <f>_xlfn.XLOOKUP(A1326,'[1]Global_Spot Prices'!$B:$B,'[1]Global_Spot Prices'!$H:$H)</f>
        <v>57.39</v>
      </c>
      <c r="F1326">
        <f>_xlfn.XLOOKUP(A1326,'[1]Global_Spot Prices'!$B:$B,'[1]Global_Spot Prices'!$I:$I)</f>
        <v>64.040000000000006</v>
      </c>
      <c r="G1326" cm="1">
        <f t="array" ref="G1326">_xlfn.XLOOKUP(TEXT(A1326, "mmm-yy"), TEXT([2]RUNS!$B$5:$B$208, "mmm-yy"), [2]RUNS!$D$5:$D$208, "Not Found")</f>
        <v>31304.816181225055</v>
      </c>
      <c r="H1326" cm="1">
        <f t="array" ref="H1326">SUMPRODUCT(
    --(TEXT('[3]Global Weekly Stock (EWSuez'!$B$4:$B$2000,"mmm-yy")=TEXT(A1326,"mmm-yy")),
    '[3]Global Weekly Stock (EWSuez'!$E$4:$E$2000)
/
SUMPRODUCT(
    --(TEXT('[3]Global Weekly Stock (EWSuez'!$B$4:$B$2000,"mmm-yy")=TEXT(A1326,"mmm-yy"))
)</f>
        <v>12949.2</v>
      </c>
      <c r="I1326">
        <f>_xlfn.XLOOKUP(A1326,[1]ForwardDeriv!$D:$D,[1]ForwardDeriv!$AJ:$AJ)</f>
        <v>7.0000000000000284E-2</v>
      </c>
      <c r="J1326" cm="1">
        <f t="array" ref="J1326">_xlfn.XLOOKUP(TEXT(A1326, "mmm-yy"), TEXT([2]GASOLINE!$B$5:$B$208, "mmm-yy"), [2]GASOLINE!$IR$5:$IR$208, "Not Found")</f>
        <v>225.9784436296091</v>
      </c>
      <c r="K1326" cm="1">
        <f t="array" ref="K1326">_xlfn.XLOOKUP(TEXT(A1326, "mmm-yy"), TEXT([2]GASOLINE!$B$5:$B$208, "mmm-yy"), [2]GASOLINE!$IK$5:$IK$208, "Not Found")</f>
        <v>163.87811718893548</v>
      </c>
      <c r="L1326">
        <f t="shared" si="20"/>
        <v>0</v>
      </c>
      <c r="M1326" cm="1">
        <f t="array" ref="M1326">_xlfn.XLOOKUP(TEXT(A1326, "mmm-yy"), TEXT([2]GASOLINE!$B$5:$B$208, "mmm-yy"), [2]GASOLINE!$C$5:$C$208, "Not Found")</f>
        <v>7176.6862871784497</v>
      </c>
      <c r="N1326" cm="1">
        <f t="array" ref="N1326">_xlfn.XLOOKUP(TEXT(A1326, "mmm-yy"), TEXT([2]RUNS!$B$5:$B$208, "mmm-yy"), [2]RUNS!$BM$5:$BM$208, "Not Found")</f>
        <v>0.85873196545918795</v>
      </c>
    </row>
    <row r="1327" spans="1:14" x14ac:dyDescent="0.25">
      <c r="A1327" s="1">
        <f>'[1]Global_Spot Prices'!$B2636</f>
        <v>43860</v>
      </c>
      <c r="B1327">
        <f>_xlfn.XLOOKUP(A1327,'[1]Global_Spot Prices'!$B:$B,'[1]Global_Spot Prices'!$BS:$BS)</f>
        <v>5.5799999999999983</v>
      </c>
      <c r="C1327">
        <f>_xlfn.XLOOKUP(A1327,'[1]Global_Spot Prices'!$B:$B,'[1]Global_Spot Prices'!$E:$E)</f>
        <v>57.71</v>
      </c>
      <c r="D1327">
        <f>_xlfn.XLOOKUP(A1327,'[1]Global_Spot Prices'!$B:$B,'[1]Global_Spot Prices'!$D:$D)</f>
        <v>57.765000000000001</v>
      </c>
      <c r="E1327">
        <f>_xlfn.XLOOKUP(A1327,'[1]Global_Spot Prices'!$B:$B,'[1]Global_Spot Prices'!$H:$H)</f>
        <v>57.01</v>
      </c>
      <c r="F1327">
        <f>_xlfn.XLOOKUP(A1327,'[1]Global_Spot Prices'!$B:$B,'[1]Global_Spot Prices'!$I:$I)</f>
        <v>63.29</v>
      </c>
      <c r="G1327" cm="1">
        <f t="array" ref="G1327">_xlfn.XLOOKUP(TEXT(A1327, "mmm-yy"), TEXT([2]RUNS!$B$5:$B$208, "mmm-yy"), [2]RUNS!$D$5:$D$208, "Not Found")</f>
        <v>31304.816181225055</v>
      </c>
      <c r="H1327" cm="1">
        <f t="array" ref="H1327">SUMPRODUCT(
    --(TEXT('[3]Global Weekly Stock (EWSuez'!$B$4:$B$2000,"mmm-yy")=TEXT(A1327,"mmm-yy")),
    '[3]Global Weekly Stock (EWSuez'!$E$4:$E$2000)
/
SUMPRODUCT(
    --(TEXT('[3]Global Weekly Stock (EWSuez'!$B$4:$B$2000,"mmm-yy")=TEXT(A1327,"mmm-yy"))
)</f>
        <v>12949.2</v>
      </c>
      <c r="I1327">
        <f>_xlfn.XLOOKUP(A1327,[1]ForwardDeriv!$D:$D,[1]ForwardDeriv!$AJ:$AJ)</f>
        <v>0.10000000000000142</v>
      </c>
      <c r="J1327" cm="1">
        <f t="array" ref="J1327">_xlfn.XLOOKUP(TEXT(A1327, "mmm-yy"), TEXT([2]GASOLINE!$B$5:$B$208, "mmm-yy"), [2]GASOLINE!$IR$5:$IR$208, "Not Found")</f>
        <v>225.9784436296091</v>
      </c>
      <c r="K1327" cm="1">
        <f t="array" ref="K1327">_xlfn.XLOOKUP(TEXT(A1327, "mmm-yy"), TEXT([2]GASOLINE!$B$5:$B$208, "mmm-yy"), [2]GASOLINE!$IK$5:$IK$208, "Not Found")</f>
        <v>163.87811718893548</v>
      </c>
      <c r="L1327">
        <f t="shared" si="20"/>
        <v>0</v>
      </c>
      <c r="M1327" cm="1">
        <f t="array" ref="M1327">_xlfn.XLOOKUP(TEXT(A1327, "mmm-yy"), TEXT([2]GASOLINE!$B$5:$B$208, "mmm-yy"), [2]GASOLINE!$C$5:$C$208, "Not Found")</f>
        <v>7176.6862871784497</v>
      </c>
      <c r="N1327" cm="1">
        <f t="array" ref="N1327">_xlfn.XLOOKUP(TEXT(A1327, "mmm-yy"), TEXT([2]RUNS!$B$5:$B$208, "mmm-yy"), [2]RUNS!$BM$5:$BM$208, "Not Found")</f>
        <v>0.85873196545918795</v>
      </c>
    </row>
    <row r="1328" spans="1:14" x14ac:dyDescent="0.25">
      <c r="A1328" s="1">
        <f>'[1]Global_Spot Prices'!$B2637</f>
        <v>43861</v>
      </c>
      <c r="B1328">
        <f>_xlfn.XLOOKUP(A1328,'[1]Global_Spot Prices'!$B:$B,'[1]Global_Spot Prices'!$BS:$BS)</f>
        <v>5.82</v>
      </c>
      <c r="C1328">
        <f>_xlfn.XLOOKUP(A1328,'[1]Global_Spot Prices'!$B:$B,'[1]Global_Spot Prices'!$E:$E)</f>
        <v>58.46</v>
      </c>
      <c r="D1328">
        <f>_xlfn.XLOOKUP(A1328,'[1]Global_Spot Prices'!$B:$B,'[1]Global_Spot Prices'!$D:$D)</f>
        <v>56.67</v>
      </c>
      <c r="E1328">
        <f>_xlfn.XLOOKUP(A1328,'[1]Global_Spot Prices'!$B:$B,'[1]Global_Spot Prices'!$H:$H)</f>
        <v>56.78</v>
      </c>
      <c r="F1328">
        <f>_xlfn.XLOOKUP(A1328,'[1]Global_Spot Prices'!$B:$B,'[1]Global_Spot Prices'!$I:$I)</f>
        <v>64.28</v>
      </c>
      <c r="G1328" cm="1">
        <f t="array" ref="G1328">_xlfn.XLOOKUP(TEXT(A1328, "mmm-yy"), TEXT([2]RUNS!$B$5:$B$208, "mmm-yy"), [2]RUNS!$D$5:$D$208, "Not Found")</f>
        <v>31304.816181225055</v>
      </c>
      <c r="H1328" cm="1">
        <f t="array" ref="H1328">SUMPRODUCT(
    --(TEXT('[3]Global Weekly Stock (EWSuez'!$B$4:$B$2000,"mmm-yy")=TEXT(A1328,"mmm-yy")),
    '[3]Global Weekly Stock (EWSuez'!$E$4:$E$2000)
/
SUMPRODUCT(
    --(TEXT('[3]Global Weekly Stock (EWSuez'!$B$4:$B$2000,"mmm-yy")=TEXT(A1328,"mmm-yy"))
)</f>
        <v>12949.2</v>
      </c>
      <c r="I1328">
        <f>_xlfn.XLOOKUP(A1328,[1]ForwardDeriv!$D:$D,[1]ForwardDeriv!$AJ:$AJ)</f>
        <v>0.32999999999999119</v>
      </c>
      <c r="J1328" cm="1">
        <f t="array" ref="J1328">_xlfn.XLOOKUP(TEXT(A1328, "mmm-yy"), TEXT([2]GASOLINE!$B$5:$B$208, "mmm-yy"), [2]GASOLINE!$IR$5:$IR$208, "Not Found")</f>
        <v>225.9784436296091</v>
      </c>
      <c r="K1328" cm="1">
        <f t="array" ref="K1328">_xlfn.XLOOKUP(TEXT(A1328, "mmm-yy"), TEXT([2]GASOLINE!$B$5:$B$208, "mmm-yy"), [2]GASOLINE!$IK$5:$IK$208, "Not Found")</f>
        <v>163.87811718893548</v>
      </c>
      <c r="L1328">
        <f t="shared" si="20"/>
        <v>0</v>
      </c>
      <c r="M1328" cm="1">
        <f t="array" ref="M1328">_xlfn.XLOOKUP(TEXT(A1328, "mmm-yy"), TEXT([2]GASOLINE!$B$5:$B$208, "mmm-yy"), [2]GASOLINE!$C$5:$C$208, "Not Found")</f>
        <v>7176.6862871784497</v>
      </c>
      <c r="N1328" cm="1">
        <f t="array" ref="N1328">_xlfn.XLOOKUP(TEXT(A1328, "mmm-yy"), TEXT([2]RUNS!$B$5:$B$208, "mmm-yy"), [2]RUNS!$BM$5:$BM$208, "Not Found")</f>
        <v>0.85873196545918795</v>
      </c>
    </row>
    <row r="1329" spans="1:14" x14ac:dyDescent="0.25">
      <c r="A1329" s="1">
        <f>'[1]Global_Spot Prices'!$B2638</f>
        <v>43864</v>
      </c>
      <c r="B1329">
        <f>_xlfn.XLOOKUP(A1329,'[1]Global_Spot Prices'!$B:$B,'[1]Global_Spot Prices'!$BS:$BS)</f>
        <v>7.5399999999999991</v>
      </c>
      <c r="C1329">
        <f>_xlfn.XLOOKUP(A1329,'[1]Global_Spot Prices'!$B:$B,'[1]Global_Spot Prices'!$E:$E)</f>
        <v>55.2</v>
      </c>
      <c r="D1329">
        <f>_xlfn.XLOOKUP(A1329,'[1]Global_Spot Prices'!$B:$B,'[1]Global_Spot Prices'!$D:$D)</f>
        <v>53.52</v>
      </c>
      <c r="E1329">
        <f>_xlfn.XLOOKUP(A1329,'[1]Global_Spot Prices'!$B:$B,'[1]Global_Spot Prices'!$H:$H)</f>
        <v>54.13</v>
      </c>
      <c r="F1329">
        <f>_xlfn.XLOOKUP(A1329,'[1]Global_Spot Prices'!$B:$B,'[1]Global_Spot Prices'!$I:$I)</f>
        <v>62.74</v>
      </c>
      <c r="G1329" cm="1">
        <f t="array" ref="G1329">_xlfn.XLOOKUP(TEXT(A1329, "mmm-yy"), TEXT([2]RUNS!$B$5:$B$208, "mmm-yy"), [2]RUNS!$D$5:$D$208, "Not Found")</f>
        <v>27752.487737525367</v>
      </c>
      <c r="H1329" cm="1">
        <f t="array" ref="H1329">SUMPRODUCT(
    --(TEXT('[3]Global Weekly Stock (EWSuez'!$B$4:$B$2000,"mmm-yy")=TEXT(A1329,"mmm-yy")),
    '[3]Global Weekly Stock (EWSuez'!$E$4:$E$2000)
/
SUMPRODUCT(
    --(TEXT('[3]Global Weekly Stock (EWSuez'!$B$4:$B$2000,"mmm-yy")=TEXT(A1329,"mmm-yy"))
)</f>
        <v>13437</v>
      </c>
      <c r="I1329">
        <f>_xlfn.XLOOKUP(A1329,[1]ForwardDeriv!$D:$D,[1]ForwardDeriv!$AJ:$AJ)</f>
        <v>0.60000000000000142</v>
      </c>
      <c r="J1329" cm="1">
        <f t="array" ref="J1329">_xlfn.XLOOKUP(TEXT(A1329, "mmm-yy"), TEXT([2]GASOLINE!$B$5:$B$208, "mmm-yy"), [2]GASOLINE!$IR$5:$IR$208, "Not Found")</f>
        <v>205.06304683049069</v>
      </c>
      <c r="K1329" cm="1">
        <f t="array" ref="K1329">_xlfn.XLOOKUP(TEXT(A1329, "mmm-yy"), TEXT([2]GASOLINE!$B$5:$B$208, "mmm-yy"), [2]GASOLINE!$IK$5:$IK$208, "Not Found")</f>
        <v>150.46545219509753</v>
      </c>
      <c r="L1329">
        <f t="shared" si="20"/>
        <v>0</v>
      </c>
      <c r="M1329" cm="1">
        <f t="array" ref="M1329">_xlfn.XLOOKUP(TEXT(A1329, "mmm-yy"), TEXT([2]GASOLINE!$B$5:$B$208, "mmm-yy"), [2]GASOLINE!$C$5:$C$208, "Not Found")</f>
        <v>6247.8185564722753</v>
      </c>
      <c r="N1329" cm="1">
        <f t="array" ref="N1329">_xlfn.XLOOKUP(TEXT(A1329, "mmm-yy"), TEXT([2]RUNS!$B$5:$B$208, "mmm-yy"), [2]RUNS!$BM$5:$BM$208, "Not Found")</f>
        <v>0.76109070942448509</v>
      </c>
    </row>
    <row r="1330" spans="1:14" x14ac:dyDescent="0.25">
      <c r="A1330" s="1">
        <f>'[1]Global_Spot Prices'!$B2639</f>
        <v>43865</v>
      </c>
      <c r="B1330">
        <f>_xlfn.XLOOKUP(A1330,'[1]Global_Spot Prices'!$B:$B,'[1]Global_Spot Prices'!$BS:$BS)</f>
        <v>8.2999999999999972</v>
      </c>
      <c r="C1330">
        <f>_xlfn.XLOOKUP(A1330,'[1]Global_Spot Prices'!$B:$B,'[1]Global_Spot Prices'!$E:$E)</f>
        <v>53.96</v>
      </c>
      <c r="D1330">
        <f>_xlfn.XLOOKUP(A1330,'[1]Global_Spot Prices'!$B:$B,'[1]Global_Spot Prices'!$D:$D)</f>
        <v>53.6</v>
      </c>
      <c r="E1330">
        <f ca="1">_xlfn.XLOOKUP(A1330,'[1]Global_Spot Prices'!$B:$B,'[1]Global_Spot Prices'!$H:$H)</f>
        <v>53.06</v>
      </c>
      <c r="F1330">
        <f>_xlfn.XLOOKUP(A1330,'[1]Global_Spot Prices'!$B:$B,'[1]Global_Spot Prices'!$I:$I)</f>
        <v>62.26</v>
      </c>
      <c r="G1330" cm="1">
        <f t="array" ref="G1330">_xlfn.XLOOKUP(TEXT(A1330, "mmm-yy"), TEXT([2]RUNS!$B$5:$B$208, "mmm-yy"), [2]RUNS!$D$5:$D$208, "Not Found")</f>
        <v>27752.487737525367</v>
      </c>
      <c r="H1330" cm="1">
        <f t="array" ref="H1330">SUMPRODUCT(
    --(TEXT('[3]Global Weekly Stock (EWSuez'!$B$4:$B$2000,"mmm-yy")=TEXT(A1330,"mmm-yy")),
    '[3]Global Weekly Stock (EWSuez'!$E$4:$E$2000)
/
SUMPRODUCT(
    --(TEXT('[3]Global Weekly Stock (EWSuez'!$B$4:$B$2000,"mmm-yy")=TEXT(A1330,"mmm-yy"))
)</f>
        <v>13437</v>
      </c>
      <c r="I1330">
        <f>_xlfn.XLOOKUP(A1330,[1]ForwardDeriv!$D:$D,[1]ForwardDeriv!$AJ:$AJ)</f>
        <v>0.5</v>
      </c>
      <c r="J1330" cm="1">
        <f t="array" ref="J1330">_xlfn.XLOOKUP(TEXT(A1330, "mmm-yy"), TEXT([2]GASOLINE!$B$5:$B$208, "mmm-yy"), [2]GASOLINE!$IR$5:$IR$208, "Not Found")</f>
        <v>205.06304683049069</v>
      </c>
      <c r="K1330" cm="1">
        <f t="array" ref="K1330">_xlfn.XLOOKUP(TEXT(A1330, "mmm-yy"), TEXT([2]GASOLINE!$B$5:$B$208, "mmm-yy"), [2]GASOLINE!$IK$5:$IK$208, "Not Found")</f>
        <v>150.46545219509753</v>
      </c>
      <c r="L1330">
        <f t="shared" si="20"/>
        <v>0</v>
      </c>
      <c r="M1330" cm="1">
        <f t="array" ref="M1330">_xlfn.XLOOKUP(TEXT(A1330, "mmm-yy"), TEXT([2]GASOLINE!$B$5:$B$208, "mmm-yy"), [2]GASOLINE!$C$5:$C$208, "Not Found")</f>
        <v>6247.8185564722753</v>
      </c>
      <c r="N1330" cm="1">
        <f t="array" ref="N1330">_xlfn.XLOOKUP(TEXT(A1330, "mmm-yy"), TEXT([2]RUNS!$B$5:$B$208, "mmm-yy"), [2]RUNS!$BM$5:$BM$208, "Not Found")</f>
        <v>0.76109070942448509</v>
      </c>
    </row>
    <row r="1331" spans="1:14" x14ac:dyDescent="0.25">
      <c r="A1331" s="1">
        <f>'[1]Global_Spot Prices'!$B2640</f>
        <v>43866</v>
      </c>
      <c r="B1331">
        <f ca="1">_xlfn.XLOOKUP(A1331,'[1]Global_Spot Prices'!$B:$B,'[1]Global_Spot Prices'!$BS:$BS)</f>
        <v>7.3099999999999952</v>
      </c>
      <c r="C1331">
        <f ca="1">_xlfn.XLOOKUP(A1331,'[1]Global_Spot Prices'!$B:$B,'[1]Global_Spot Prices'!$E:$E)</f>
        <v>53.6</v>
      </c>
      <c r="D1331">
        <f ca="1">_xlfn.XLOOKUP(A1331,'[1]Global_Spot Prices'!$B:$B,'[1]Global_Spot Prices'!$D:$D)</f>
        <v>54.86</v>
      </c>
      <c r="E1331">
        <f>_xlfn.XLOOKUP(A1331,'[1]Global_Spot Prices'!$B:$B,'[1]Global_Spot Prices'!$H:$H)</f>
        <v>52.05</v>
      </c>
      <c r="F1331">
        <f>_xlfn.XLOOKUP(A1331,'[1]Global_Spot Prices'!$B:$B,'[1]Global_Spot Prices'!$I:$I)</f>
        <v>60.91</v>
      </c>
      <c r="G1331" cm="1">
        <f t="array" ref="G1331">_xlfn.XLOOKUP(TEXT(A1331, "mmm-yy"), TEXT([2]RUNS!$B$5:$B$208, "mmm-yy"), [2]RUNS!$D$5:$D$208, "Not Found")</f>
        <v>27752.487737525367</v>
      </c>
      <c r="H1331" cm="1">
        <f t="array" ref="H1331">SUMPRODUCT(
    --(TEXT('[3]Global Weekly Stock (EWSuez'!$B$4:$B$2000,"mmm-yy")=TEXT(A1331,"mmm-yy")),
    '[3]Global Weekly Stock (EWSuez'!$E$4:$E$2000)
/
SUMPRODUCT(
    --(TEXT('[3]Global Weekly Stock (EWSuez'!$B$4:$B$2000,"mmm-yy")=TEXT(A1331,"mmm-yy"))
)</f>
        <v>13437</v>
      </c>
      <c r="I1331">
        <f>_xlfn.XLOOKUP(A1331,[1]ForwardDeriv!$D:$D,[1]ForwardDeriv!$AJ:$AJ)</f>
        <v>0.42999999999999972</v>
      </c>
      <c r="J1331" cm="1">
        <f t="array" ref="J1331">_xlfn.XLOOKUP(TEXT(A1331, "mmm-yy"), TEXT([2]GASOLINE!$B$5:$B$208, "mmm-yy"), [2]GASOLINE!$IR$5:$IR$208, "Not Found")</f>
        <v>205.06304683049069</v>
      </c>
      <c r="K1331" cm="1">
        <f t="array" ref="K1331">_xlfn.XLOOKUP(TEXT(A1331, "mmm-yy"), TEXT([2]GASOLINE!$B$5:$B$208, "mmm-yy"), [2]GASOLINE!$IK$5:$IK$208, "Not Found")</f>
        <v>150.46545219509753</v>
      </c>
      <c r="L1331">
        <f t="shared" si="20"/>
        <v>0</v>
      </c>
      <c r="M1331" cm="1">
        <f t="array" ref="M1331">_xlfn.XLOOKUP(TEXT(A1331, "mmm-yy"), TEXT([2]GASOLINE!$B$5:$B$208, "mmm-yy"), [2]GASOLINE!$C$5:$C$208, "Not Found")</f>
        <v>6247.8185564722753</v>
      </c>
      <c r="N1331" cm="1">
        <f t="array" ref="N1331">_xlfn.XLOOKUP(TEXT(A1331, "mmm-yy"), TEXT([2]RUNS!$B$5:$B$208, "mmm-yy"), [2]RUNS!$BM$5:$BM$208, "Not Found")</f>
        <v>0.76109070942448509</v>
      </c>
    </row>
    <row r="1332" spans="1:14" x14ac:dyDescent="0.25">
      <c r="A1332" s="1">
        <f>'[1]Global_Spot Prices'!$B2641</f>
        <v>43867</v>
      </c>
      <c r="B1332">
        <f>_xlfn.XLOOKUP(A1332,'[1]Global_Spot Prices'!$B:$B,'[1]Global_Spot Prices'!$BS:$BS)</f>
        <v>7.8700000000000045</v>
      </c>
      <c r="C1332">
        <f>_xlfn.XLOOKUP(A1332,'[1]Global_Spot Prices'!$B:$B,'[1]Global_Spot Prices'!$E:$E)</f>
        <v>55.19</v>
      </c>
      <c r="D1332">
        <f ca="1">_xlfn.XLOOKUP(A1332,'[1]Global_Spot Prices'!$B:$B,'[1]Global_Spot Prices'!$D:$D)</f>
        <v>53.97</v>
      </c>
      <c r="E1332">
        <f>_xlfn.XLOOKUP(A1332,'[1]Global_Spot Prices'!$B:$B,'[1]Global_Spot Prices'!$H:$H)</f>
        <v>53.88</v>
      </c>
      <c r="F1332">
        <f>_xlfn.XLOOKUP(A1332,'[1]Global_Spot Prices'!$B:$B,'[1]Global_Spot Prices'!$I:$I)</f>
        <v>63.06</v>
      </c>
      <c r="G1332" cm="1">
        <f t="array" ref="G1332">_xlfn.XLOOKUP(TEXT(A1332, "mmm-yy"), TEXT([2]RUNS!$B$5:$B$208, "mmm-yy"), [2]RUNS!$D$5:$D$208, "Not Found")</f>
        <v>27752.487737525367</v>
      </c>
      <c r="H1332" cm="1">
        <f t="array" ref="H1332">SUMPRODUCT(
    --(TEXT('[3]Global Weekly Stock (EWSuez'!$B$4:$B$2000,"mmm-yy")=TEXT(A1332,"mmm-yy")),
    '[3]Global Weekly Stock (EWSuez'!$E$4:$E$2000)
/
SUMPRODUCT(
    --(TEXT('[3]Global Weekly Stock (EWSuez'!$B$4:$B$2000,"mmm-yy")=TEXT(A1332,"mmm-yy"))
)</f>
        <v>13437</v>
      </c>
      <c r="I1332">
        <f>_xlfn.XLOOKUP(A1332,[1]ForwardDeriv!$D:$D,[1]ForwardDeriv!$AJ:$AJ)</f>
        <v>0.61999999999999744</v>
      </c>
      <c r="J1332" cm="1">
        <f t="array" ref="J1332">_xlfn.XLOOKUP(TEXT(A1332, "mmm-yy"), TEXT([2]GASOLINE!$B$5:$B$208, "mmm-yy"), [2]GASOLINE!$IR$5:$IR$208, "Not Found")</f>
        <v>205.06304683049069</v>
      </c>
      <c r="K1332" cm="1">
        <f t="array" ref="K1332">_xlfn.XLOOKUP(TEXT(A1332, "mmm-yy"), TEXT([2]GASOLINE!$B$5:$B$208, "mmm-yy"), [2]GASOLINE!$IK$5:$IK$208, "Not Found")</f>
        <v>150.46545219509753</v>
      </c>
      <c r="L1332">
        <f t="shared" si="20"/>
        <v>0</v>
      </c>
      <c r="M1332" cm="1">
        <f t="array" ref="M1332">_xlfn.XLOOKUP(TEXT(A1332, "mmm-yy"), TEXT([2]GASOLINE!$B$5:$B$208, "mmm-yy"), [2]GASOLINE!$C$5:$C$208, "Not Found")</f>
        <v>6247.8185564722753</v>
      </c>
      <c r="N1332" cm="1">
        <f t="array" ref="N1332">_xlfn.XLOOKUP(TEXT(A1332, "mmm-yy"), TEXT([2]RUNS!$B$5:$B$208, "mmm-yy"), [2]RUNS!$BM$5:$BM$208, "Not Found")</f>
        <v>0.76109070942448509</v>
      </c>
    </row>
    <row r="1333" spans="1:14" x14ac:dyDescent="0.25">
      <c r="A1333" s="1">
        <f>'[1]Global_Spot Prices'!$B2642</f>
        <v>43868</v>
      </c>
      <c r="B1333">
        <f>_xlfn.XLOOKUP(A1333,'[1]Global_Spot Prices'!$B:$B,'[1]Global_Spot Prices'!$BS:$BS)</f>
        <v>9.1699999999999946</v>
      </c>
      <c r="C1333">
        <f>_xlfn.XLOOKUP(A1333,'[1]Global_Spot Prices'!$B:$B,'[1]Global_Spot Prices'!$E:$E)</f>
        <v>54.34</v>
      </c>
      <c r="D1333">
        <f>_xlfn.XLOOKUP(A1333,'[1]Global_Spot Prices'!$B:$B,'[1]Global_Spot Prices'!$D:$D)</f>
        <v>53.975000000000001</v>
      </c>
      <c r="E1333">
        <f>_xlfn.XLOOKUP(A1333,'[1]Global_Spot Prices'!$B:$B,'[1]Global_Spot Prices'!$H:$H)</f>
        <v>53.02</v>
      </c>
      <c r="F1333">
        <f>_xlfn.XLOOKUP(A1333,'[1]Global_Spot Prices'!$B:$B,'[1]Global_Spot Prices'!$I:$I)</f>
        <v>63.51</v>
      </c>
      <c r="G1333" cm="1">
        <f t="array" ref="G1333">_xlfn.XLOOKUP(TEXT(A1333, "mmm-yy"), TEXT([2]RUNS!$B$5:$B$208, "mmm-yy"), [2]RUNS!$D$5:$D$208, "Not Found")</f>
        <v>27752.487737525367</v>
      </c>
      <c r="H1333" cm="1">
        <f t="array" ref="H1333">SUMPRODUCT(
    --(TEXT('[3]Global Weekly Stock (EWSuez'!$B$4:$B$2000,"mmm-yy")=TEXT(A1333,"mmm-yy")),
    '[3]Global Weekly Stock (EWSuez'!$E$4:$E$2000)
/
SUMPRODUCT(
    --(TEXT('[3]Global Weekly Stock (EWSuez'!$B$4:$B$2000,"mmm-yy")=TEXT(A1333,"mmm-yy"))
)</f>
        <v>13437</v>
      </c>
      <c r="I1333">
        <f>_xlfn.XLOOKUP(A1333,[1]ForwardDeriv!$D:$D,[1]ForwardDeriv!$AJ:$AJ)</f>
        <v>0.55000000000000426</v>
      </c>
      <c r="J1333" cm="1">
        <f t="array" ref="J1333">_xlfn.XLOOKUP(TEXT(A1333, "mmm-yy"), TEXT([2]GASOLINE!$B$5:$B$208, "mmm-yy"), [2]GASOLINE!$IR$5:$IR$208, "Not Found")</f>
        <v>205.06304683049069</v>
      </c>
      <c r="K1333" cm="1">
        <f t="array" ref="K1333">_xlfn.XLOOKUP(TEXT(A1333, "mmm-yy"), TEXT([2]GASOLINE!$B$5:$B$208, "mmm-yy"), [2]GASOLINE!$IK$5:$IK$208, "Not Found")</f>
        <v>150.46545219509753</v>
      </c>
      <c r="L1333">
        <f t="shared" si="20"/>
        <v>0</v>
      </c>
      <c r="M1333" cm="1">
        <f t="array" ref="M1333">_xlfn.XLOOKUP(TEXT(A1333, "mmm-yy"), TEXT([2]GASOLINE!$B$5:$B$208, "mmm-yy"), [2]GASOLINE!$C$5:$C$208, "Not Found")</f>
        <v>6247.8185564722753</v>
      </c>
      <c r="N1333" cm="1">
        <f t="array" ref="N1333">_xlfn.XLOOKUP(TEXT(A1333, "mmm-yy"), TEXT([2]RUNS!$B$5:$B$208, "mmm-yy"), [2]RUNS!$BM$5:$BM$208, "Not Found")</f>
        <v>0.76109070942448509</v>
      </c>
    </row>
    <row r="1334" spans="1:14" x14ac:dyDescent="0.25">
      <c r="A1334" s="1">
        <f>'[1]Global_Spot Prices'!$B2643</f>
        <v>43871</v>
      </c>
      <c r="B1334">
        <f>_xlfn.XLOOKUP(A1334,'[1]Global_Spot Prices'!$B:$B,'[1]Global_Spot Prices'!$BS:$BS)</f>
        <v>10.210000000000001</v>
      </c>
      <c r="C1334">
        <f>_xlfn.XLOOKUP(A1334,'[1]Global_Spot Prices'!$B:$B,'[1]Global_Spot Prices'!$E:$E)</f>
        <v>53.3</v>
      </c>
      <c r="D1334">
        <f>_xlfn.XLOOKUP(A1334,'[1]Global_Spot Prices'!$B:$B,'[1]Global_Spot Prices'!$D:$D)</f>
        <v>53.115000000000002</v>
      </c>
      <c r="E1334">
        <f>_xlfn.XLOOKUP(A1334,'[1]Global_Spot Prices'!$B:$B,'[1]Global_Spot Prices'!$H:$H)</f>
        <v>53.05</v>
      </c>
      <c r="F1334">
        <f>_xlfn.XLOOKUP(A1334,'[1]Global_Spot Prices'!$B:$B,'[1]Global_Spot Prices'!$I:$I)</f>
        <v>63.51</v>
      </c>
      <c r="G1334" cm="1">
        <f t="array" ref="G1334">_xlfn.XLOOKUP(TEXT(A1334, "mmm-yy"), TEXT([2]RUNS!$B$5:$B$208, "mmm-yy"), [2]RUNS!$D$5:$D$208, "Not Found")</f>
        <v>27752.487737525367</v>
      </c>
      <c r="H1334" cm="1">
        <f t="array" ref="H1334">SUMPRODUCT(
    --(TEXT('[3]Global Weekly Stock (EWSuez'!$B$4:$B$2000,"mmm-yy")=TEXT(A1334,"mmm-yy")),
    '[3]Global Weekly Stock (EWSuez'!$E$4:$E$2000)
/
SUMPRODUCT(
    --(TEXT('[3]Global Weekly Stock (EWSuez'!$B$4:$B$2000,"mmm-yy")=TEXT(A1334,"mmm-yy"))
)</f>
        <v>13437</v>
      </c>
      <c r="I1334">
        <f>_xlfn.XLOOKUP(A1334,[1]ForwardDeriv!$D:$D,[1]ForwardDeriv!$AJ:$AJ)</f>
        <v>0.67999999999999972</v>
      </c>
      <c r="J1334" cm="1">
        <f t="array" ref="J1334">_xlfn.XLOOKUP(TEXT(A1334, "mmm-yy"), TEXT([2]GASOLINE!$B$5:$B$208, "mmm-yy"), [2]GASOLINE!$IR$5:$IR$208, "Not Found")</f>
        <v>205.06304683049069</v>
      </c>
      <c r="K1334" cm="1">
        <f t="array" ref="K1334">_xlfn.XLOOKUP(TEXT(A1334, "mmm-yy"), TEXT([2]GASOLINE!$B$5:$B$208, "mmm-yy"), [2]GASOLINE!$IK$5:$IK$208, "Not Found")</f>
        <v>150.46545219509753</v>
      </c>
      <c r="L1334">
        <f t="shared" si="20"/>
        <v>0</v>
      </c>
      <c r="M1334" cm="1">
        <f t="array" ref="M1334">_xlfn.XLOOKUP(TEXT(A1334, "mmm-yy"), TEXT([2]GASOLINE!$B$5:$B$208, "mmm-yy"), [2]GASOLINE!$C$5:$C$208, "Not Found")</f>
        <v>6247.8185564722753</v>
      </c>
      <c r="N1334" cm="1">
        <f t="array" ref="N1334">_xlfn.XLOOKUP(TEXT(A1334, "mmm-yy"), TEXT([2]RUNS!$B$5:$B$208, "mmm-yy"), [2]RUNS!$BM$5:$BM$208, "Not Found")</f>
        <v>0.76109070942448509</v>
      </c>
    </row>
    <row r="1335" spans="1:14" x14ac:dyDescent="0.25">
      <c r="A1335" s="1">
        <f>'[1]Global_Spot Prices'!$B2644</f>
        <v>43872</v>
      </c>
      <c r="B1335">
        <f ca="1">_xlfn.XLOOKUP(A1335,'[1]Global_Spot Prices'!$B:$B,'[1]Global_Spot Prices'!$BS:$BS)</f>
        <v>10.200000000000003</v>
      </c>
      <c r="C1335">
        <f>_xlfn.XLOOKUP(A1335,'[1]Global_Spot Prices'!$B:$B,'[1]Global_Spot Prices'!$E:$E)</f>
        <v>53.05</v>
      </c>
      <c r="D1335">
        <f>_xlfn.XLOOKUP(A1335,'[1]Global_Spot Prices'!$B:$B,'[1]Global_Spot Prices'!$D:$D)</f>
        <v>53.74</v>
      </c>
      <c r="E1335">
        <f>_xlfn.XLOOKUP(A1335,'[1]Global_Spot Prices'!$B:$B,'[1]Global_Spot Prices'!$H:$H)</f>
        <v>53.35</v>
      </c>
      <c r="F1335">
        <f>_xlfn.XLOOKUP(A1335,'[1]Global_Spot Prices'!$B:$B,'[1]Global_Spot Prices'!$I:$I)</f>
        <v>63.25</v>
      </c>
      <c r="G1335" cm="1">
        <f t="array" ref="G1335">_xlfn.XLOOKUP(TEXT(A1335, "mmm-yy"), TEXT([2]RUNS!$B$5:$B$208, "mmm-yy"), [2]RUNS!$D$5:$D$208, "Not Found")</f>
        <v>27752.487737525367</v>
      </c>
      <c r="H1335" cm="1">
        <f t="array" ref="H1335">SUMPRODUCT(
    --(TEXT('[3]Global Weekly Stock (EWSuez'!$B$4:$B$2000,"mmm-yy")=TEXT(A1335,"mmm-yy")),
    '[3]Global Weekly Stock (EWSuez'!$E$4:$E$2000)
/
SUMPRODUCT(
    --(TEXT('[3]Global Weekly Stock (EWSuez'!$B$4:$B$2000,"mmm-yy")=TEXT(A1335,"mmm-yy"))
)</f>
        <v>13437</v>
      </c>
      <c r="I1335">
        <f>_xlfn.XLOOKUP(A1335,[1]ForwardDeriv!$D:$D,[1]ForwardDeriv!$AJ:$AJ)</f>
        <v>0.69000000000000483</v>
      </c>
      <c r="J1335" cm="1">
        <f t="array" ref="J1335">_xlfn.XLOOKUP(TEXT(A1335, "mmm-yy"), TEXT([2]GASOLINE!$B$5:$B$208, "mmm-yy"), [2]GASOLINE!$IR$5:$IR$208, "Not Found")</f>
        <v>205.06304683049069</v>
      </c>
      <c r="K1335" cm="1">
        <f t="array" ref="K1335">_xlfn.XLOOKUP(TEXT(A1335, "mmm-yy"), TEXT([2]GASOLINE!$B$5:$B$208, "mmm-yy"), [2]GASOLINE!$IK$5:$IK$208, "Not Found")</f>
        <v>150.46545219509753</v>
      </c>
      <c r="L1335">
        <f t="shared" si="20"/>
        <v>0</v>
      </c>
      <c r="M1335" cm="1">
        <f t="array" ref="M1335">_xlfn.XLOOKUP(TEXT(A1335, "mmm-yy"), TEXT([2]GASOLINE!$B$5:$B$208, "mmm-yy"), [2]GASOLINE!$C$5:$C$208, "Not Found")</f>
        <v>6247.8185564722753</v>
      </c>
      <c r="N1335" cm="1">
        <f t="array" ref="N1335">_xlfn.XLOOKUP(TEXT(A1335, "mmm-yy"), TEXT([2]RUNS!$B$5:$B$208, "mmm-yy"), [2]RUNS!$BM$5:$BM$208, "Not Found")</f>
        <v>0.76109070942448509</v>
      </c>
    </row>
    <row r="1336" spans="1:14" x14ac:dyDescent="0.25">
      <c r="A1336" s="1">
        <f>'[1]Global_Spot Prices'!$B2645</f>
        <v>43873</v>
      </c>
      <c r="B1336">
        <f>_xlfn.XLOOKUP(A1336,'[1]Global_Spot Prices'!$B:$B,'[1]Global_Spot Prices'!$BS:$BS)</f>
        <v>9.4400000000000048</v>
      </c>
      <c r="C1336">
        <f>_xlfn.XLOOKUP(A1336,'[1]Global_Spot Prices'!$B:$B,'[1]Global_Spot Prices'!$E:$E)</f>
        <v>54.26</v>
      </c>
      <c r="D1336">
        <f>_xlfn.XLOOKUP(A1336,'[1]Global_Spot Prices'!$B:$B,'[1]Global_Spot Prices'!$D:$D)</f>
        <v>55.65</v>
      </c>
      <c r="E1336">
        <f>_xlfn.XLOOKUP(A1336,'[1]Global_Spot Prices'!$B:$B,'[1]Global_Spot Prices'!$H:$H)</f>
        <v>54.05</v>
      </c>
      <c r="F1336">
        <f>_xlfn.XLOOKUP(A1336,'[1]Global_Spot Prices'!$B:$B,'[1]Global_Spot Prices'!$I:$I)</f>
        <v>63.7</v>
      </c>
      <c r="G1336" cm="1">
        <f t="array" ref="G1336">_xlfn.XLOOKUP(TEXT(A1336, "mmm-yy"), TEXT([2]RUNS!$B$5:$B$208, "mmm-yy"), [2]RUNS!$D$5:$D$208, "Not Found")</f>
        <v>27752.487737525367</v>
      </c>
      <c r="H1336" cm="1">
        <f t="array" ref="H1336">SUMPRODUCT(
    --(TEXT('[3]Global Weekly Stock (EWSuez'!$B$4:$B$2000,"mmm-yy")=TEXT(A1336,"mmm-yy")),
    '[3]Global Weekly Stock (EWSuez'!$E$4:$E$2000)
/
SUMPRODUCT(
    --(TEXT('[3]Global Weekly Stock (EWSuez'!$B$4:$B$2000,"mmm-yy")=TEXT(A1336,"mmm-yy"))
)</f>
        <v>13437</v>
      </c>
      <c r="I1336">
        <f>_xlfn.XLOOKUP(A1336,[1]ForwardDeriv!$D:$D,[1]ForwardDeriv!$AJ:$AJ)</f>
        <v>0.64999999999999858</v>
      </c>
      <c r="J1336" cm="1">
        <f t="array" ref="J1336">_xlfn.XLOOKUP(TEXT(A1336, "mmm-yy"), TEXT([2]GASOLINE!$B$5:$B$208, "mmm-yy"), [2]GASOLINE!$IR$5:$IR$208, "Not Found")</f>
        <v>205.06304683049069</v>
      </c>
      <c r="K1336" cm="1">
        <f t="array" ref="K1336">_xlfn.XLOOKUP(TEXT(A1336, "mmm-yy"), TEXT([2]GASOLINE!$B$5:$B$208, "mmm-yy"), [2]GASOLINE!$IK$5:$IK$208, "Not Found")</f>
        <v>150.46545219509753</v>
      </c>
      <c r="L1336">
        <f t="shared" si="20"/>
        <v>0</v>
      </c>
      <c r="M1336" cm="1">
        <f t="array" ref="M1336">_xlfn.XLOOKUP(TEXT(A1336, "mmm-yy"), TEXT([2]GASOLINE!$B$5:$B$208, "mmm-yy"), [2]GASOLINE!$C$5:$C$208, "Not Found")</f>
        <v>6247.8185564722753</v>
      </c>
      <c r="N1336" cm="1">
        <f t="array" ref="N1336">_xlfn.XLOOKUP(TEXT(A1336, "mmm-yy"), TEXT([2]RUNS!$B$5:$B$208, "mmm-yy"), [2]RUNS!$BM$5:$BM$208, "Not Found")</f>
        <v>0.76109070942448509</v>
      </c>
    </row>
    <row r="1337" spans="1:14" x14ac:dyDescent="0.25">
      <c r="A1337" s="1">
        <f>'[1]Global_Spot Prices'!$B2646</f>
        <v>43874</v>
      </c>
      <c r="B1337">
        <f ca="1">_xlfn.XLOOKUP(A1337,'[1]Global_Spot Prices'!$B:$B,'[1]Global_Spot Prices'!$BS:$BS)</f>
        <v>9.4400000000000048</v>
      </c>
      <c r="C1337">
        <f>_xlfn.XLOOKUP(A1337,'[1]Global_Spot Prices'!$B:$B,'[1]Global_Spot Prices'!$E:$E)</f>
        <v>54.51</v>
      </c>
      <c r="D1337">
        <f>_xlfn.XLOOKUP(A1337,'[1]Global_Spot Prices'!$B:$B,'[1]Global_Spot Prices'!$D:$D)</f>
        <v>56.17</v>
      </c>
      <c r="E1337">
        <f>_xlfn.XLOOKUP(A1337,'[1]Global_Spot Prices'!$B:$B,'[1]Global_Spot Prices'!$H:$H)</f>
        <v>53.84</v>
      </c>
      <c r="F1337">
        <f>_xlfn.XLOOKUP(A1337,'[1]Global_Spot Prices'!$B:$B,'[1]Global_Spot Prices'!$I:$I)</f>
        <v>63.95</v>
      </c>
      <c r="G1337" cm="1">
        <f t="array" ref="G1337">_xlfn.XLOOKUP(TEXT(A1337, "mmm-yy"), TEXT([2]RUNS!$B$5:$B$208, "mmm-yy"), [2]RUNS!$D$5:$D$208, "Not Found")</f>
        <v>27752.487737525367</v>
      </c>
      <c r="H1337" cm="1">
        <f t="array" ref="H1337">SUMPRODUCT(
    --(TEXT('[3]Global Weekly Stock (EWSuez'!$B$4:$B$2000,"mmm-yy")=TEXT(A1337,"mmm-yy")),
    '[3]Global Weekly Stock (EWSuez'!$E$4:$E$2000)
/
SUMPRODUCT(
    --(TEXT('[3]Global Weekly Stock (EWSuez'!$B$4:$B$2000,"mmm-yy")=TEXT(A1337,"mmm-yy"))
)</f>
        <v>13437</v>
      </c>
      <c r="I1337">
        <f>_xlfn.XLOOKUP(A1337,[1]ForwardDeriv!$D:$D,[1]ForwardDeriv!$AJ:$AJ)</f>
        <v>0.57999999999999829</v>
      </c>
      <c r="J1337" cm="1">
        <f t="array" ref="J1337">_xlfn.XLOOKUP(TEXT(A1337, "mmm-yy"), TEXT([2]GASOLINE!$B$5:$B$208, "mmm-yy"), [2]GASOLINE!$IR$5:$IR$208, "Not Found")</f>
        <v>205.06304683049069</v>
      </c>
      <c r="K1337" cm="1">
        <f t="array" ref="K1337">_xlfn.XLOOKUP(TEXT(A1337, "mmm-yy"), TEXT([2]GASOLINE!$B$5:$B$208, "mmm-yy"), [2]GASOLINE!$IK$5:$IK$208, "Not Found")</f>
        <v>150.46545219509753</v>
      </c>
      <c r="L1337">
        <f t="shared" si="20"/>
        <v>0</v>
      </c>
      <c r="M1337" cm="1">
        <f t="array" ref="M1337">_xlfn.XLOOKUP(TEXT(A1337, "mmm-yy"), TEXT([2]GASOLINE!$B$5:$B$208, "mmm-yy"), [2]GASOLINE!$C$5:$C$208, "Not Found")</f>
        <v>6247.8185564722753</v>
      </c>
      <c r="N1337" cm="1">
        <f t="array" ref="N1337">_xlfn.XLOOKUP(TEXT(A1337, "mmm-yy"), TEXT([2]RUNS!$B$5:$B$208, "mmm-yy"), [2]RUNS!$BM$5:$BM$208, "Not Found")</f>
        <v>0.76109070942448509</v>
      </c>
    </row>
    <row r="1338" spans="1:14" x14ac:dyDescent="0.25">
      <c r="A1338" s="1">
        <f>'[1]Global_Spot Prices'!$B2647</f>
        <v>43875</v>
      </c>
      <c r="B1338">
        <f>_xlfn.XLOOKUP(A1338,'[1]Global_Spot Prices'!$B:$B,'[1]Global_Spot Prices'!$BS:$BS)</f>
        <v>8.57</v>
      </c>
      <c r="C1338">
        <f>_xlfn.XLOOKUP(A1338,'[1]Global_Spot Prices'!$B:$B,'[1]Global_Spot Prices'!$E:$E)</f>
        <v>55.24</v>
      </c>
      <c r="D1338">
        <f>_xlfn.XLOOKUP(A1338,'[1]Global_Spot Prices'!$B:$B,'[1]Global_Spot Prices'!$D:$D)</f>
        <v>56.96</v>
      </c>
      <c r="E1338">
        <f>_xlfn.XLOOKUP(A1338,'[1]Global_Spot Prices'!$B:$B,'[1]Global_Spot Prices'!$H:$H)</f>
        <v>53.4</v>
      </c>
      <c r="F1338">
        <f>_xlfn.XLOOKUP(A1338,'[1]Global_Spot Prices'!$B:$B,'[1]Global_Spot Prices'!$I:$I)</f>
        <v>63.81</v>
      </c>
      <c r="G1338" cm="1">
        <f t="array" ref="G1338">_xlfn.XLOOKUP(TEXT(A1338, "mmm-yy"), TEXT([2]RUNS!$B$5:$B$208, "mmm-yy"), [2]RUNS!$D$5:$D$208, "Not Found")</f>
        <v>27752.487737525367</v>
      </c>
      <c r="H1338" cm="1">
        <f t="array" ref="H1338">SUMPRODUCT(
    --(TEXT('[3]Global Weekly Stock (EWSuez'!$B$4:$B$2000,"mmm-yy")=TEXT(A1338,"mmm-yy")),
    '[3]Global Weekly Stock (EWSuez'!$E$4:$E$2000)
/
SUMPRODUCT(
    --(TEXT('[3]Global Weekly Stock (EWSuez'!$B$4:$B$2000,"mmm-yy")=TEXT(A1338,"mmm-yy"))
)</f>
        <v>13437</v>
      </c>
      <c r="I1338">
        <f>_xlfn.XLOOKUP(A1338,[1]ForwardDeriv!$D:$D,[1]ForwardDeriv!$AJ:$AJ)</f>
        <v>0.47999999999999687</v>
      </c>
      <c r="J1338" cm="1">
        <f t="array" ref="J1338">_xlfn.XLOOKUP(TEXT(A1338, "mmm-yy"), TEXT([2]GASOLINE!$B$5:$B$208, "mmm-yy"), [2]GASOLINE!$IR$5:$IR$208, "Not Found")</f>
        <v>205.06304683049069</v>
      </c>
      <c r="K1338" cm="1">
        <f t="array" ref="K1338">_xlfn.XLOOKUP(TEXT(A1338, "mmm-yy"), TEXT([2]GASOLINE!$B$5:$B$208, "mmm-yy"), [2]GASOLINE!$IK$5:$IK$208, "Not Found")</f>
        <v>150.46545219509753</v>
      </c>
      <c r="L1338">
        <f t="shared" si="20"/>
        <v>0</v>
      </c>
      <c r="M1338" cm="1">
        <f t="array" ref="M1338">_xlfn.XLOOKUP(TEXT(A1338, "mmm-yy"), TEXT([2]GASOLINE!$B$5:$B$208, "mmm-yy"), [2]GASOLINE!$C$5:$C$208, "Not Found")</f>
        <v>6247.8185564722753</v>
      </c>
      <c r="N1338" cm="1">
        <f t="array" ref="N1338">_xlfn.XLOOKUP(TEXT(A1338, "mmm-yy"), TEXT([2]RUNS!$B$5:$B$208, "mmm-yy"), [2]RUNS!$BM$5:$BM$208, "Not Found")</f>
        <v>0.76109070942448509</v>
      </c>
    </row>
    <row r="1339" spans="1:14" x14ac:dyDescent="0.25">
      <c r="A1339" s="1">
        <f>'[1]Global_Spot Prices'!$B2648</f>
        <v>43878</v>
      </c>
      <c r="B1339">
        <f>_xlfn.XLOOKUP(A1339,'[1]Global_Spot Prices'!$B:$B,'[1]Global_Spot Prices'!$BS:$BS)</f>
        <v>8.3999999999999986</v>
      </c>
      <c r="C1339">
        <f>_xlfn.XLOOKUP(A1339,'[1]Global_Spot Prices'!$B:$B,'[1]Global_Spot Prices'!$E:$E)</f>
        <v>55.96</v>
      </c>
      <c r="D1339">
        <f>_xlfn.XLOOKUP(A1339,'[1]Global_Spot Prices'!$B:$B,'[1]Global_Spot Prices'!$D:$D)</f>
        <v>57.72</v>
      </c>
      <c r="E1339">
        <f>_xlfn.XLOOKUP(A1339,'[1]Global_Spot Prices'!$B:$B,'[1]Global_Spot Prices'!$H:$H)</f>
        <v>53.03</v>
      </c>
      <c r="F1339">
        <f>_xlfn.XLOOKUP(A1339,'[1]Global_Spot Prices'!$B:$B,'[1]Global_Spot Prices'!$I:$I)</f>
        <v>64.36</v>
      </c>
      <c r="G1339" cm="1">
        <f t="array" ref="G1339">_xlfn.XLOOKUP(TEXT(A1339, "mmm-yy"), TEXT([2]RUNS!$B$5:$B$208, "mmm-yy"), [2]RUNS!$D$5:$D$208, "Not Found")</f>
        <v>27752.487737525367</v>
      </c>
      <c r="H1339" cm="1">
        <f t="array" ref="H1339">SUMPRODUCT(
    --(TEXT('[3]Global Weekly Stock (EWSuez'!$B$4:$B$2000,"mmm-yy")=TEXT(A1339,"mmm-yy")),
    '[3]Global Weekly Stock (EWSuez'!$E$4:$E$2000)
/
SUMPRODUCT(
    --(TEXT('[3]Global Weekly Stock (EWSuez'!$B$4:$B$2000,"mmm-yy")=TEXT(A1339,"mmm-yy"))
)</f>
        <v>13437</v>
      </c>
      <c r="I1339">
        <f>_xlfn.XLOOKUP(A1339,[1]ForwardDeriv!$D:$D,[1]ForwardDeriv!$AJ:$AJ)</f>
        <v>0.48000000000000398</v>
      </c>
      <c r="J1339" cm="1">
        <f t="array" ref="J1339">_xlfn.XLOOKUP(TEXT(A1339, "mmm-yy"), TEXT([2]GASOLINE!$B$5:$B$208, "mmm-yy"), [2]GASOLINE!$IR$5:$IR$208, "Not Found")</f>
        <v>205.06304683049069</v>
      </c>
      <c r="K1339" cm="1">
        <f t="array" ref="K1339">_xlfn.XLOOKUP(TEXT(A1339, "mmm-yy"), TEXT([2]GASOLINE!$B$5:$B$208, "mmm-yy"), [2]GASOLINE!$IK$5:$IK$208, "Not Found")</f>
        <v>150.46545219509753</v>
      </c>
      <c r="L1339">
        <f t="shared" si="20"/>
        <v>0</v>
      </c>
      <c r="M1339" cm="1">
        <f t="array" ref="M1339">_xlfn.XLOOKUP(TEXT(A1339, "mmm-yy"), TEXT([2]GASOLINE!$B$5:$B$208, "mmm-yy"), [2]GASOLINE!$C$5:$C$208, "Not Found")</f>
        <v>6247.8185564722753</v>
      </c>
      <c r="N1339" cm="1">
        <f t="array" ref="N1339">_xlfn.XLOOKUP(TEXT(A1339, "mmm-yy"), TEXT([2]RUNS!$B$5:$B$208, "mmm-yy"), [2]RUNS!$BM$5:$BM$208, "Not Found")</f>
        <v>0.76109070942448509</v>
      </c>
    </row>
    <row r="1340" spans="1:14" x14ac:dyDescent="0.25">
      <c r="A1340" s="1">
        <f>'[1]Global_Spot Prices'!$B2649</f>
        <v>43879</v>
      </c>
      <c r="B1340">
        <f>_xlfn.XLOOKUP(A1340,'[1]Global_Spot Prices'!$B:$B,'[1]Global_Spot Prices'!$BS:$BS)</f>
        <v>7.8899999999999935</v>
      </c>
      <c r="C1340">
        <f>_xlfn.XLOOKUP(A1340,'[1]Global_Spot Prices'!$B:$B,'[1]Global_Spot Prices'!$E:$E)</f>
        <v>55.09</v>
      </c>
      <c r="D1340">
        <f>_xlfn.XLOOKUP(A1340,'[1]Global_Spot Prices'!$B:$B,'[1]Global_Spot Prices'!$D:$D)</f>
        <v>57.31</v>
      </c>
      <c r="E1340">
        <f>_xlfn.XLOOKUP(A1340,'[1]Global_Spot Prices'!$B:$B,'[1]Global_Spot Prices'!$H:$H)</f>
        <v>51.85</v>
      </c>
      <c r="F1340">
        <f>_xlfn.XLOOKUP(A1340,'[1]Global_Spot Prices'!$B:$B,'[1]Global_Spot Prices'!$I:$I)</f>
        <v>62.98</v>
      </c>
      <c r="G1340" cm="1">
        <f t="array" ref="G1340">_xlfn.XLOOKUP(TEXT(A1340, "mmm-yy"), TEXT([2]RUNS!$B$5:$B$208, "mmm-yy"), [2]RUNS!$D$5:$D$208, "Not Found")</f>
        <v>27752.487737525367</v>
      </c>
      <c r="H1340" cm="1">
        <f t="array" ref="H1340">SUMPRODUCT(
    --(TEXT('[3]Global Weekly Stock (EWSuez'!$B$4:$B$2000,"mmm-yy")=TEXT(A1340,"mmm-yy")),
    '[3]Global Weekly Stock (EWSuez'!$E$4:$E$2000)
/
SUMPRODUCT(
    --(TEXT('[3]Global Weekly Stock (EWSuez'!$B$4:$B$2000,"mmm-yy")=TEXT(A1340,"mmm-yy"))
)</f>
        <v>13437</v>
      </c>
      <c r="I1340">
        <f>_xlfn.XLOOKUP(A1340,[1]ForwardDeriv!$D:$D,[1]ForwardDeriv!$AJ:$AJ)</f>
        <v>0.35999999999999943</v>
      </c>
      <c r="J1340" cm="1">
        <f t="array" ref="J1340">_xlfn.XLOOKUP(TEXT(A1340, "mmm-yy"), TEXT([2]GASOLINE!$B$5:$B$208, "mmm-yy"), [2]GASOLINE!$IR$5:$IR$208, "Not Found")</f>
        <v>205.06304683049069</v>
      </c>
      <c r="K1340" cm="1">
        <f t="array" ref="K1340">_xlfn.XLOOKUP(TEXT(A1340, "mmm-yy"), TEXT([2]GASOLINE!$B$5:$B$208, "mmm-yy"), [2]GASOLINE!$IK$5:$IK$208, "Not Found")</f>
        <v>150.46545219509753</v>
      </c>
      <c r="L1340">
        <f t="shared" si="20"/>
        <v>0</v>
      </c>
      <c r="M1340" cm="1">
        <f t="array" ref="M1340">_xlfn.XLOOKUP(TEXT(A1340, "mmm-yy"), TEXT([2]GASOLINE!$B$5:$B$208, "mmm-yy"), [2]GASOLINE!$C$5:$C$208, "Not Found")</f>
        <v>6247.8185564722753</v>
      </c>
      <c r="N1340" cm="1">
        <f t="array" ref="N1340">_xlfn.XLOOKUP(TEXT(A1340, "mmm-yy"), TEXT([2]RUNS!$B$5:$B$208, "mmm-yy"), [2]RUNS!$BM$5:$BM$208, "Not Found")</f>
        <v>0.76109070942448509</v>
      </c>
    </row>
    <row r="1341" spans="1:14" x14ac:dyDescent="0.25">
      <c r="A1341" s="1">
        <f>'[1]Global_Spot Prices'!$B2650</f>
        <v>43880</v>
      </c>
      <c r="B1341">
        <f>_xlfn.XLOOKUP(A1341,'[1]Global_Spot Prices'!$B:$B,'[1]Global_Spot Prices'!$BS:$BS)</f>
        <v>8.4799999999999969</v>
      </c>
      <c r="C1341">
        <f>_xlfn.XLOOKUP(A1341,'[1]Global_Spot Prices'!$B:$B,'[1]Global_Spot Prices'!$E:$E)</f>
        <v>56.4</v>
      </c>
      <c r="D1341">
        <f>_xlfn.XLOOKUP(A1341,'[1]Global_Spot Prices'!$B:$B,'[1]Global_Spot Prices'!$D:$D)</f>
        <v>59.61</v>
      </c>
      <c r="E1341">
        <f>_xlfn.XLOOKUP(A1341,'[1]Global_Spot Prices'!$B:$B,'[1]Global_Spot Prices'!$H:$H)</f>
        <v>53.51</v>
      </c>
      <c r="F1341">
        <f>_xlfn.XLOOKUP(A1341,'[1]Global_Spot Prices'!$B:$B,'[1]Global_Spot Prices'!$I:$I)</f>
        <v>64.88</v>
      </c>
      <c r="G1341" cm="1">
        <f t="array" ref="G1341">_xlfn.XLOOKUP(TEXT(A1341, "mmm-yy"), TEXT([2]RUNS!$B$5:$B$208, "mmm-yy"), [2]RUNS!$D$5:$D$208, "Not Found")</f>
        <v>27752.487737525367</v>
      </c>
      <c r="H1341" cm="1">
        <f t="array" ref="H1341">SUMPRODUCT(
    --(TEXT('[3]Global Weekly Stock (EWSuez'!$B$4:$B$2000,"mmm-yy")=TEXT(A1341,"mmm-yy")),
    '[3]Global Weekly Stock (EWSuez'!$E$4:$E$2000)
/
SUMPRODUCT(
    --(TEXT('[3]Global Weekly Stock (EWSuez'!$B$4:$B$2000,"mmm-yy")=TEXT(A1341,"mmm-yy"))
)</f>
        <v>13437</v>
      </c>
      <c r="I1341">
        <f>_xlfn.XLOOKUP(A1341,[1]ForwardDeriv!$D:$D,[1]ForwardDeriv!$AJ:$AJ)</f>
        <v>0.54999999999999716</v>
      </c>
      <c r="J1341" cm="1">
        <f t="array" ref="J1341">_xlfn.XLOOKUP(TEXT(A1341, "mmm-yy"), TEXT([2]GASOLINE!$B$5:$B$208, "mmm-yy"), [2]GASOLINE!$IR$5:$IR$208, "Not Found")</f>
        <v>205.06304683049069</v>
      </c>
      <c r="K1341" cm="1">
        <f t="array" ref="K1341">_xlfn.XLOOKUP(TEXT(A1341, "mmm-yy"), TEXT([2]GASOLINE!$B$5:$B$208, "mmm-yy"), [2]GASOLINE!$IK$5:$IK$208, "Not Found")</f>
        <v>150.46545219509753</v>
      </c>
      <c r="L1341">
        <f t="shared" si="20"/>
        <v>0</v>
      </c>
      <c r="M1341" cm="1">
        <f t="array" ref="M1341">_xlfn.XLOOKUP(TEXT(A1341, "mmm-yy"), TEXT([2]GASOLINE!$B$5:$B$208, "mmm-yy"), [2]GASOLINE!$C$5:$C$208, "Not Found")</f>
        <v>6247.8185564722753</v>
      </c>
      <c r="N1341" cm="1">
        <f t="array" ref="N1341">_xlfn.XLOOKUP(TEXT(A1341, "mmm-yy"), TEXT([2]RUNS!$B$5:$B$208, "mmm-yy"), [2]RUNS!$BM$5:$BM$208, "Not Found")</f>
        <v>0.76109070942448509</v>
      </c>
    </row>
    <row r="1342" spans="1:14" x14ac:dyDescent="0.25">
      <c r="A1342" s="1">
        <f>'[1]Global_Spot Prices'!$B2651</f>
        <v>43881</v>
      </c>
      <c r="B1342">
        <f>_xlfn.XLOOKUP(A1342,'[1]Global_Spot Prices'!$B:$B,'[1]Global_Spot Prices'!$BS:$BS)</f>
        <v>8.9199999999999946</v>
      </c>
      <c r="C1342">
        <f ca="1">_xlfn.XLOOKUP(A1342,'[1]Global_Spot Prices'!$B:$B,'[1]Global_Spot Prices'!$E:$E)</f>
        <v>56.9</v>
      </c>
      <c r="D1342">
        <f>_xlfn.XLOOKUP(A1342,'[1]Global_Spot Prices'!$B:$B,'[1]Global_Spot Prices'!$D:$D)</f>
        <v>60.215000000000003</v>
      </c>
      <c r="E1342">
        <f>_xlfn.XLOOKUP(A1342,'[1]Global_Spot Prices'!$B:$B,'[1]Global_Spot Prices'!$H:$H)</f>
        <v>54.24</v>
      </c>
      <c r="F1342">
        <f>_xlfn.XLOOKUP(A1342,'[1]Global_Spot Prices'!$B:$B,'[1]Global_Spot Prices'!$I:$I)</f>
        <v>65.819999999999993</v>
      </c>
      <c r="G1342" cm="1">
        <f t="array" ref="G1342">_xlfn.XLOOKUP(TEXT(A1342, "mmm-yy"), TEXT([2]RUNS!$B$5:$B$208, "mmm-yy"), [2]RUNS!$D$5:$D$208, "Not Found")</f>
        <v>27752.487737525367</v>
      </c>
      <c r="H1342" cm="1">
        <f t="array" ref="H1342">SUMPRODUCT(
    --(TEXT('[3]Global Weekly Stock (EWSuez'!$B$4:$B$2000,"mmm-yy")=TEXT(A1342,"mmm-yy")),
    '[3]Global Weekly Stock (EWSuez'!$E$4:$E$2000)
/
SUMPRODUCT(
    --(TEXT('[3]Global Weekly Stock (EWSuez'!$B$4:$B$2000,"mmm-yy")=TEXT(A1342,"mmm-yy"))
)</f>
        <v>13437</v>
      </c>
      <c r="I1342">
        <f>_xlfn.XLOOKUP(A1342,[1]ForwardDeriv!$D:$D,[1]ForwardDeriv!$AJ:$AJ)</f>
        <v>0.51999999999999602</v>
      </c>
      <c r="J1342" cm="1">
        <f t="array" ref="J1342">_xlfn.XLOOKUP(TEXT(A1342, "mmm-yy"), TEXT([2]GASOLINE!$B$5:$B$208, "mmm-yy"), [2]GASOLINE!$IR$5:$IR$208, "Not Found")</f>
        <v>205.06304683049069</v>
      </c>
      <c r="K1342" cm="1">
        <f t="array" ref="K1342">_xlfn.XLOOKUP(TEXT(A1342, "mmm-yy"), TEXT([2]GASOLINE!$B$5:$B$208, "mmm-yy"), [2]GASOLINE!$IK$5:$IK$208, "Not Found")</f>
        <v>150.46545219509753</v>
      </c>
      <c r="L1342">
        <f t="shared" si="20"/>
        <v>0</v>
      </c>
      <c r="M1342" cm="1">
        <f t="array" ref="M1342">_xlfn.XLOOKUP(TEXT(A1342, "mmm-yy"), TEXT([2]GASOLINE!$B$5:$B$208, "mmm-yy"), [2]GASOLINE!$C$5:$C$208, "Not Found")</f>
        <v>6247.8185564722753</v>
      </c>
      <c r="N1342" cm="1">
        <f t="array" ref="N1342">_xlfn.XLOOKUP(TEXT(A1342, "mmm-yy"), TEXT([2]RUNS!$B$5:$B$208, "mmm-yy"), [2]RUNS!$BM$5:$BM$208, "Not Found")</f>
        <v>0.76109070942448509</v>
      </c>
    </row>
    <row r="1343" spans="1:14" x14ac:dyDescent="0.25">
      <c r="A1343" s="1">
        <f>'[1]Global_Spot Prices'!$B2652</f>
        <v>43882</v>
      </c>
      <c r="B1343">
        <f>_xlfn.XLOOKUP(A1343,'[1]Global_Spot Prices'!$B:$B,'[1]Global_Spot Prices'!$BS:$BS)</f>
        <v>8.2500000000000071</v>
      </c>
      <c r="C1343">
        <f>_xlfn.XLOOKUP(A1343,'[1]Global_Spot Prices'!$B:$B,'[1]Global_Spot Prices'!$E:$E)</f>
        <v>56.4</v>
      </c>
      <c r="D1343">
        <f>_xlfn.XLOOKUP(A1343,'[1]Global_Spot Prices'!$B:$B,'[1]Global_Spot Prices'!$D:$D)</f>
        <v>58.564999999999998</v>
      </c>
      <c r="E1343">
        <f>_xlfn.XLOOKUP(A1343,'[1]Global_Spot Prices'!$B:$B,'[1]Global_Spot Prices'!$H:$H)</f>
        <v>53.82</v>
      </c>
      <c r="F1343">
        <f>_xlfn.XLOOKUP(A1343,'[1]Global_Spot Prices'!$B:$B,'[1]Global_Spot Prices'!$I:$I)</f>
        <v>64.650000000000006</v>
      </c>
      <c r="G1343" cm="1">
        <f t="array" ref="G1343">_xlfn.XLOOKUP(TEXT(A1343, "mmm-yy"), TEXT([2]RUNS!$B$5:$B$208, "mmm-yy"), [2]RUNS!$D$5:$D$208, "Not Found")</f>
        <v>27752.487737525367</v>
      </c>
      <c r="H1343" cm="1">
        <f t="array" ref="H1343">SUMPRODUCT(
    --(TEXT('[3]Global Weekly Stock (EWSuez'!$B$4:$B$2000,"mmm-yy")=TEXT(A1343,"mmm-yy")),
    '[3]Global Weekly Stock (EWSuez'!$E$4:$E$2000)
/
SUMPRODUCT(
    --(TEXT('[3]Global Weekly Stock (EWSuez'!$B$4:$B$2000,"mmm-yy")=TEXT(A1343,"mmm-yy"))
)</f>
        <v>13437</v>
      </c>
      <c r="I1343">
        <f>_xlfn.XLOOKUP(A1343,[1]ForwardDeriv!$D:$D,[1]ForwardDeriv!$AJ:$AJ)</f>
        <v>0.48000000000000398</v>
      </c>
      <c r="J1343" cm="1">
        <f t="array" ref="J1343">_xlfn.XLOOKUP(TEXT(A1343, "mmm-yy"), TEXT([2]GASOLINE!$B$5:$B$208, "mmm-yy"), [2]GASOLINE!$IR$5:$IR$208, "Not Found")</f>
        <v>205.06304683049069</v>
      </c>
      <c r="K1343" cm="1">
        <f t="array" ref="K1343">_xlfn.XLOOKUP(TEXT(A1343, "mmm-yy"), TEXT([2]GASOLINE!$B$5:$B$208, "mmm-yy"), [2]GASOLINE!$IK$5:$IK$208, "Not Found")</f>
        <v>150.46545219509753</v>
      </c>
      <c r="L1343">
        <f t="shared" si="20"/>
        <v>0</v>
      </c>
      <c r="M1343" cm="1">
        <f t="array" ref="M1343">_xlfn.XLOOKUP(TEXT(A1343, "mmm-yy"), TEXT([2]GASOLINE!$B$5:$B$208, "mmm-yy"), [2]GASOLINE!$C$5:$C$208, "Not Found")</f>
        <v>6247.8185564722753</v>
      </c>
      <c r="N1343" cm="1">
        <f t="array" ref="N1343">_xlfn.XLOOKUP(TEXT(A1343, "mmm-yy"), TEXT([2]RUNS!$B$5:$B$208, "mmm-yy"), [2]RUNS!$BM$5:$BM$208, "Not Found")</f>
        <v>0.76109070942448509</v>
      </c>
    </row>
    <row r="1344" spans="1:14" x14ac:dyDescent="0.25">
      <c r="A1344" s="1">
        <f>'[1]Global_Spot Prices'!$B2653</f>
        <v>43885</v>
      </c>
      <c r="B1344">
        <f>_xlfn.XLOOKUP(A1344,'[1]Global_Spot Prices'!$B:$B,'[1]Global_Spot Prices'!$BS:$BS)</f>
        <v>8.14</v>
      </c>
      <c r="C1344">
        <f>_xlfn.XLOOKUP(A1344,'[1]Global_Spot Prices'!$B:$B,'[1]Global_Spot Prices'!$E:$E)</f>
        <v>54.61</v>
      </c>
      <c r="D1344">
        <f>_xlfn.XLOOKUP(A1344,'[1]Global_Spot Prices'!$B:$B,'[1]Global_Spot Prices'!$D:$D)</f>
        <v>55.975000000000001</v>
      </c>
      <c r="E1344">
        <f>_xlfn.XLOOKUP(A1344,'[1]Global_Spot Prices'!$B:$B,'[1]Global_Spot Prices'!$H:$H)</f>
        <v>51.52</v>
      </c>
      <c r="F1344">
        <f>_xlfn.XLOOKUP(A1344,'[1]Global_Spot Prices'!$B:$B,'[1]Global_Spot Prices'!$I:$I)</f>
        <v>62.75</v>
      </c>
      <c r="G1344" cm="1">
        <f t="array" ref="G1344">_xlfn.XLOOKUP(TEXT(A1344, "mmm-yy"), TEXT([2]RUNS!$B$5:$B$208, "mmm-yy"), [2]RUNS!$D$5:$D$208, "Not Found")</f>
        <v>27752.487737525367</v>
      </c>
      <c r="H1344" cm="1">
        <f t="array" ref="H1344">SUMPRODUCT(
    --(TEXT('[3]Global Weekly Stock (EWSuez'!$B$4:$B$2000,"mmm-yy")=TEXT(A1344,"mmm-yy")),
    '[3]Global Weekly Stock (EWSuez'!$E$4:$E$2000)
/
SUMPRODUCT(
    --(TEXT('[3]Global Weekly Stock (EWSuez'!$B$4:$B$2000,"mmm-yy")=TEXT(A1344,"mmm-yy"))
)</f>
        <v>13437</v>
      </c>
      <c r="I1344">
        <f>_xlfn.XLOOKUP(A1344,[1]ForwardDeriv!$D:$D,[1]ForwardDeriv!$AJ:$AJ)</f>
        <v>0.45000000000000284</v>
      </c>
      <c r="J1344" cm="1">
        <f t="array" ref="J1344">_xlfn.XLOOKUP(TEXT(A1344, "mmm-yy"), TEXT([2]GASOLINE!$B$5:$B$208, "mmm-yy"), [2]GASOLINE!$IR$5:$IR$208, "Not Found")</f>
        <v>205.06304683049069</v>
      </c>
      <c r="K1344" cm="1">
        <f t="array" ref="K1344">_xlfn.XLOOKUP(TEXT(A1344, "mmm-yy"), TEXT([2]GASOLINE!$B$5:$B$208, "mmm-yy"), [2]GASOLINE!$IK$5:$IK$208, "Not Found")</f>
        <v>150.46545219509753</v>
      </c>
      <c r="L1344">
        <f t="shared" si="20"/>
        <v>0</v>
      </c>
      <c r="M1344" cm="1">
        <f t="array" ref="M1344">_xlfn.XLOOKUP(TEXT(A1344, "mmm-yy"), TEXT([2]GASOLINE!$B$5:$B$208, "mmm-yy"), [2]GASOLINE!$C$5:$C$208, "Not Found")</f>
        <v>6247.8185564722753</v>
      </c>
      <c r="N1344" cm="1">
        <f t="array" ref="N1344">_xlfn.XLOOKUP(TEXT(A1344, "mmm-yy"), TEXT([2]RUNS!$B$5:$B$208, "mmm-yy"), [2]RUNS!$BM$5:$BM$208, "Not Found")</f>
        <v>0.76109070942448509</v>
      </c>
    </row>
    <row r="1345" spans="1:14" x14ac:dyDescent="0.25">
      <c r="A1345" s="1">
        <f>'[1]Global_Spot Prices'!$B2654</f>
        <v>43886</v>
      </c>
      <c r="B1345">
        <f>_xlfn.XLOOKUP(A1345,'[1]Global_Spot Prices'!$B:$B,'[1]Global_Spot Prices'!$BS:$BS)</f>
        <v>8.9499999999999957</v>
      </c>
      <c r="C1345">
        <f ca="1">_xlfn.XLOOKUP(A1345,'[1]Global_Spot Prices'!$B:$B,'[1]Global_Spot Prices'!$E:$E)</f>
        <v>54.45</v>
      </c>
      <c r="D1345">
        <f ca="1">_xlfn.XLOOKUP(A1345,'[1]Global_Spot Prices'!$B:$B,'[1]Global_Spot Prices'!$D:$D)</f>
        <v>56.17</v>
      </c>
      <c r="E1345">
        <f>_xlfn.XLOOKUP(A1345,'[1]Global_Spot Prices'!$B:$B,'[1]Global_Spot Prices'!$H:$H)</f>
        <v>51.53</v>
      </c>
      <c r="F1345">
        <f>_xlfn.XLOOKUP(A1345,'[1]Global_Spot Prices'!$B:$B,'[1]Global_Spot Prices'!$I:$I)</f>
        <v>63.4</v>
      </c>
      <c r="G1345" cm="1">
        <f t="array" ref="G1345">_xlfn.XLOOKUP(TEXT(A1345, "mmm-yy"), TEXT([2]RUNS!$B$5:$B$208, "mmm-yy"), [2]RUNS!$D$5:$D$208, "Not Found")</f>
        <v>27752.487737525367</v>
      </c>
      <c r="H1345" cm="1">
        <f t="array" ref="H1345">SUMPRODUCT(
    --(TEXT('[3]Global Weekly Stock (EWSuez'!$B$4:$B$2000,"mmm-yy")=TEXT(A1345,"mmm-yy")),
    '[3]Global Weekly Stock (EWSuez'!$E$4:$E$2000)
/
SUMPRODUCT(
    --(TEXT('[3]Global Weekly Stock (EWSuez'!$B$4:$B$2000,"mmm-yy")=TEXT(A1345,"mmm-yy"))
)</f>
        <v>13437</v>
      </c>
      <c r="I1345">
        <f>_xlfn.XLOOKUP(A1345,[1]ForwardDeriv!$D:$D,[1]ForwardDeriv!$AJ:$AJ)</f>
        <v>0.52000000000000313</v>
      </c>
      <c r="J1345" cm="1">
        <f t="array" ref="J1345">_xlfn.XLOOKUP(TEXT(A1345, "mmm-yy"), TEXT([2]GASOLINE!$B$5:$B$208, "mmm-yy"), [2]GASOLINE!$IR$5:$IR$208, "Not Found")</f>
        <v>205.06304683049069</v>
      </c>
      <c r="K1345" cm="1">
        <f t="array" ref="K1345">_xlfn.XLOOKUP(TEXT(A1345, "mmm-yy"), TEXT([2]GASOLINE!$B$5:$B$208, "mmm-yy"), [2]GASOLINE!$IK$5:$IK$208, "Not Found")</f>
        <v>150.46545219509753</v>
      </c>
      <c r="L1345">
        <f t="shared" si="20"/>
        <v>0</v>
      </c>
      <c r="M1345" cm="1">
        <f t="array" ref="M1345">_xlfn.XLOOKUP(TEXT(A1345, "mmm-yy"), TEXT([2]GASOLINE!$B$5:$B$208, "mmm-yy"), [2]GASOLINE!$C$5:$C$208, "Not Found")</f>
        <v>6247.8185564722753</v>
      </c>
      <c r="N1345" cm="1">
        <f t="array" ref="N1345">_xlfn.XLOOKUP(TEXT(A1345, "mmm-yy"), TEXT([2]RUNS!$B$5:$B$208, "mmm-yy"), [2]RUNS!$BM$5:$BM$208, "Not Found")</f>
        <v>0.76109070942448509</v>
      </c>
    </row>
    <row r="1346" spans="1:14" x14ac:dyDescent="0.25">
      <c r="A1346" s="1">
        <f>'[1]Global_Spot Prices'!$B2655</f>
        <v>43887</v>
      </c>
      <c r="B1346">
        <f>_xlfn.XLOOKUP(A1346,'[1]Global_Spot Prices'!$B:$B,'[1]Global_Spot Prices'!$BS:$BS)</f>
        <v>7.740000000000002</v>
      </c>
      <c r="C1346">
        <f>_xlfn.XLOOKUP(A1346,'[1]Global_Spot Prices'!$B:$B,'[1]Global_Spot Prices'!$E:$E)</f>
        <v>52.3</v>
      </c>
      <c r="D1346">
        <f>_xlfn.XLOOKUP(A1346,'[1]Global_Spot Prices'!$B:$B,'[1]Global_Spot Prices'!$D:$D)</f>
        <v>54.945</v>
      </c>
      <c r="E1346">
        <f>_xlfn.XLOOKUP(A1346,'[1]Global_Spot Prices'!$B:$B,'[1]Global_Spot Prices'!$H:$H)</f>
        <v>49.08</v>
      </c>
      <c r="F1346">
        <f>_xlfn.XLOOKUP(A1346,'[1]Global_Spot Prices'!$B:$B,'[1]Global_Spot Prices'!$I:$I)</f>
        <v>60.04</v>
      </c>
      <c r="G1346" cm="1">
        <f t="array" ref="G1346">_xlfn.XLOOKUP(TEXT(A1346, "mmm-yy"), TEXT([2]RUNS!$B$5:$B$208, "mmm-yy"), [2]RUNS!$D$5:$D$208, "Not Found")</f>
        <v>27752.487737525367</v>
      </c>
      <c r="H1346" cm="1">
        <f t="array" ref="H1346">SUMPRODUCT(
    --(TEXT('[3]Global Weekly Stock (EWSuez'!$B$4:$B$2000,"mmm-yy")=TEXT(A1346,"mmm-yy")),
    '[3]Global Weekly Stock (EWSuez'!$E$4:$E$2000)
/
SUMPRODUCT(
    --(TEXT('[3]Global Weekly Stock (EWSuez'!$B$4:$B$2000,"mmm-yy")=TEXT(A1346,"mmm-yy"))
)</f>
        <v>13437</v>
      </c>
      <c r="I1346">
        <f>_xlfn.XLOOKUP(A1346,[1]ForwardDeriv!$D:$D,[1]ForwardDeriv!$AJ:$AJ)</f>
        <v>0.39999999999999858</v>
      </c>
      <c r="J1346" cm="1">
        <f t="array" ref="J1346">_xlfn.XLOOKUP(TEXT(A1346, "mmm-yy"), TEXT([2]GASOLINE!$B$5:$B$208, "mmm-yy"), [2]GASOLINE!$IR$5:$IR$208, "Not Found")</f>
        <v>205.06304683049069</v>
      </c>
      <c r="K1346" cm="1">
        <f t="array" ref="K1346">_xlfn.XLOOKUP(TEXT(A1346, "mmm-yy"), TEXT([2]GASOLINE!$B$5:$B$208, "mmm-yy"), [2]GASOLINE!$IK$5:$IK$208, "Not Found")</f>
        <v>150.46545219509753</v>
      </c>
      <c r="L1346">
        <f t="shared" si="20"/>
        <v>0</v>
      </c>
      <c r="M1346" cm="1">
        <f t="array" ref="M1346">_xlfn.XLOOKUP(TEXT(A1346, "mmm-yy"), TEXT([2]GASOLINE!$B$5:$B$208, "mmm-yy"), [2]GASOLINE!$C$5:$C$208, "Not Found")</f>
        <v>6247.8185564722753</v>
      </c>
      <c r="N1346" cm="1">
        <f t="array" ref="N1346">_xlfn.XLOOKUP(TEXT(A1346, "mmm-yy"), TEXT([2]RUNS!$B$5:$B$208, "mmm-yy"), [2]RUNS!$BM$5:$BM$208, "Not Found")</f>
        <v>0.76109070942448509</v>
      </c>
    </row>
    <row r="1347" spans="1:14" x14ac:dyDescent="0.25">
      <c r="A1347" s="1">
        <f>'[1]Global_Spot Prices'!$B2656</f>
        <v>43888</v>
      </c>
      <c r="B1347">
        <f>_xlfn.XLOOKUP(A1347,'[1]Global_Spot Prices'!$B:$B,'[1]Global_Spot Prices'!$BS:$BS)</f>
        <v>6.2199999999999989</v>
      </c>
      <c r="C1347">
        <f>_xlfn.XLOOKUP(A1347,'[1]Global_Spot Prices'!$B:$B,'[1]Global_Spot Prices'!$E:$E)</f>
        <v>50.61</v>
      </c>
      <c r="D1347">
        <f ca="1">_xlfn.XLOOKUP(A1347,'[1]Global_Spot Prices'!$B:$B,'[1]Global_Spot Prices'!$D:$D)</f>
        <v>52.265000000000001</v>
      </c>
      <c r="E1347">
        <f>_xlfn.XLOOKUP(A1347,'[1]Global_Spot Prices'!$B:$B,'[1]Global_Spot Prices'!$H:$H)</f>
        <v>47.35</v>
      </c>
      <c r="F1347">
        <f>_xlfn.XLOOKUP(A1347,'[1]Global_Spot Prices'!$B:$B,'[1]Global_Spot Prices'!$I:$I)</f>
        <v>56.83</v>
      </c>
      <c r="G1347" cm="1">
        <f t="array" ref="G1347">_xlfn.XLOOKUP(TEXT(A1347, "mmm-yy"), TEXT([2]RUNS!$B$5:$B$208, "mmm-yy"), [2]RUNS!$D$5:$D$208, "Not Found")</f>
        <v>27752.487737525367</v>
      </c>
      <c r="H1347" cm="1">
        <f t="array" ref="H1347">SUMPRODUCT(
    --(TEXT('[3]Global Weekly Stock (EWSuez'!$B$4:$B$2000,"mmm-yy")=TEXT(A1347,"mmm-yy")),
    '[3]Global Weekly Stock (EWSuez'!$E$4:$E$2000)
/
SUMPRODUCT(
    --(TEXT('[3]Global Weekly Stock (EWSuez'!$B$4:$B$2000,"mmm-yy")=TEXT(A1347,"mmm-yy"))
)</f>
        <v>13437</v>
      </c>
      <c r="I1347">
        <f>_xlfn.XLOOKUP(A1347,[1]ForwardDeriv!$D:$D,[1]ForwardDeriv!$AJ:$AJ)</f>
        <v>0.32000000000000028</v>
      </c>
      <c r="J1347" cm="1">
        <f t="array" ref="J1347">_xlfn.XLOOKUP(TEXT(A1347, "mmm-yy"), TEXT([2]GASOLINE!$B$5:$B$208, "mmm-yy"), [2]GASOLINE!$IR$5:$IR$208, "Not Found")</f>
        <v>205.06304683049069</v>
      </c>
      <c r="K1347" cm="1">
        <f t="array" ref="K1347">_xlfn.XLOOKUP(TEXT(A1347, "mmm-yy"), TEXT([2]GASOLINE!$B$5:$B$208, "mmm-yy"), [2]GASOLINE!$IK$5:$IK$208, "Not Found")</f>
        <v>150.46545219509753</v>
      </c>
      <c r="L1347">
        <f t="shared" ref="L1347:L1410" si="21">IF(OR(MONTH(A1347)=6, MONTH(A1347)=7, MONTH(A1347)=8, MONTH(A1347)=9), 1, 0)</f>
        <v>0</v>
      </c>
      <c r="M1347" cm="1">
        <f t="array" ref="M1347">_xlfn.XLOOKUP(TEXT(A1347, "mmm-yy"), TEXT([2]GASOLINE!$B$5:$B$208, "mmm-yy"), [2]GASOLINE!$C$5:$C$208, "Not Found")</f>
        <v>6247.8185564722753</v>
      </c>
      <c r="N1347" cm="1">
        <f t="array" ref="N1347">_xlfn.XLOOKUP(TEXT(A1347, "mmm-yy"), TEXT([2]RUNS!$B$5:$B$208, "mmm-yy"), [2]RUNS!$BM$5:$BM$208, "Not Found")</f>
        <v>0.76109070942448509</v>
      </c>
    </row>
    <row r="1348" spans="1:14" x14ac:dyDescent="0.25">
      <c r="A1348" s="1">
        <f>'[1]Global_Spot Prices'!$B2657</f>
        <v>43889</v>
      </c>
      <c r="B1348">
        <f>_xlfn.XLOOKUP(A1348,'[1]Global_Spot Prices'!$B:$B,'[1]Global_Spot Prices'!$BS:$BS)</f>
        <v>5.9200000000000017</v>
      </c>
      <c r="C1348">
        <f>_xlfn.XLOOKUP(A1348,'[1]Global_Spot Prices'!$B:$B,'[1]Global_Spot Prices'!$E:$E)</f>
        <v>49.01</v>
      </c>
      <c r="D1348">
        <f>_xlfn.XLOOKUP(A1348,'[1]Global_Spot Prices'!$B:$B,'[1]Global_Spot Prices'!$D:$D)</f>
        <v>50.49</v>
      </c>
      <c r="E1348">
        <f>_xlfn.XLOOKUP(A1348,'[1]Global_Spot Prices'!$B:$B,'[1]Global_Spot Prices'!$H:$H)</f>
        <v>46.6</v>
      </c>
      <c r="F1348">
        <f>_xlfn.XLOOKUP(A1348,'[1]Global_Spot Prices'!$B:$B,'[1]Global_Spot Prices'!$I:$I)</f>
        <v>54.93</v>
      </c>
      <c r="G1348" cm="1">
        <f t="array" ref="G1348">_xlfn.XLOOKUP(TEXT(A1348, "mmm-yy"), TEXT([2]RUNS!$B$5:$B$208, "mmm-yy"), [2]RUNS!$D$5:$D$208, "Not Found")</f>
        <v>27752.487737525367</v>
      </c>
      <c r="H1348" cm="1">
        <f t="array" ref="H1348">SUMPRODUCT(
    --(TEXT('[3]Global Weekly Stock (EWSuez'!$B$4:$B$2000,"mmm-yy")=TEXT(A1348,"mmm-yy")),
    '[3]Global Weekly Stock (EWSuez'!$E$4:$E$2000)
/
SUMPRODUCT(
    --(TEXT('[3]Global Weekly Stock (EWSuez'!$B$4:$B$2000,"mmm-yy")=TEXT(A1348,"mmm-yy"))
)</f>
        <v>13437</v>
      </c>
      <c r="I1348">
        <f>_xlfn.XLOOKUP(A1348,[1]ForwardDeriv!$D:$D,[1]ForwardDeriv!$AJ:$AJ)</f>
        <v>0.49000000000000199</v>
      </c>
      <c r="J1348" cm="1">
        <f t="array" ref="J1348">_xlfn.XLOOKUP(TEXT(A1348, "mmm-yy"), TEXT([2]GASOLINE!$B$5:$B$208, "mmm-yy"), [2]GASOLINE!$IR$5:$IR$208, "Not Found")</f>
        <v>205.06304683049069</v>
      </c>
      <c r="K1348" cm="1">
        <f t="array" ref="K1348">_xlfn.XLOOKUP(TEXT(A1348, "mmm-yy"), TEXT([2]GASOLINE!$B$5:$B$208, "mmm-yy"), [2]GASOLINE!$IK$5:$IK$208, "Not Found")</f>
        <v>150.46545219509753</v>
      </c>
      <c r="L1348">
        <f t="shared" si="21"/>
        <v>0</v>
      </c>
      <c r="M1348" cm="1">
        <f t="array" ref="M1348">_xlfn.XLOOKUP(TEXT(A1348, "mmm-yy"), TEXT([2]GASOLINE!$B$5:$B$208, "mmm-yy"), [2]GASOLINE!$C$5:$C$208, "Not Found")</f>
        <v>6247.8185564722753</v>
      </c>
      <c r="N1348" cm="1">
        <f t="array" ref="N1348">_xlfn.XLOOKUP(TEXT(A1348, "mmm-yy"), TEXT([2]RUNS!$B$5:$B$208, "mmm-yy"), [2]RUNS!$BM$5:$BM$208, "Not Found")</f>
        <v>0.76109070942448509</v>
      </c>
    </row>
    <row r="1349" spans="1:14" x14ac:dyDescent="0.25">
      <c r="A1349" s="1">
        <f>'[1]Global_Spot Prices'!$B2658</f>
        <v>43892</v>
      </c>
      <c r="B1349">
        <f>_xlfn.XLOOKUP(A1349,'[1]Global_Spot Prices'!$B:$B,'[1]Global_Spot Prices'!$BS:$BS)</f>
        <v>5.2299999999999969</v>
      </c>
      <c r="C1349">
        <f>_xlfn.XLOOKUP(A1349,'[1]Global_Spot Prices'!$B:$B,'[1]Global_Spot Prices'!$E:$E)</f>
        <v>50.56</v>
      </c>
      <c r="D1349">
        <f>_xlfn.XLOOKUP(A1349,'[1]Global_Spot Prices'!$B:$B,'[1]Global_Spot Prices'!$D:$D)</f>
        <v>51.674999999999997</v>
      </c>
      <c r="E1349">
        <f>_xlfn.XLOOKUP(A1349,'[1]Global_Spot Prices'!$B:$B,'[1]Global_Spot Prices'!$H:$H)</f>
        <v>47.79</v>
      </c>
      <c r="F1349">
        <f>_xlfn.XLOOKUP(A1349,'[1]Global_Spot Prices'!$B:$B,'[1]Global_Spot Prices'!$I:$I)</f>
        <v>55.79</v>
      </c>
      <c r="G1349" cm="1">
        <f t="array" ref="G1349">_xlfn.XLOOKUP(TEXT(A1349, "mmm-yy"), TEXT([2]RUNS!$B$5:$B$208, "mmm-yy"), [2]RUNS!$D$5:$D$208, "Not Found")</f>
        <v>28341.826768721614</v>
      </c>
      <c r="H1349" cm="1">
        <f t="array" ref="H1349">SUMPRODUCT(
    --(TEXT('[3]Global Weekly Stock (EWSuez'!$B$4:$B$2000,"mmm-yy")=TEXT(A1349,"mmm-yy")),
    '[3]Global Weekly Stock (EWSuez'!$E$4:$E$2000)
/
SUMPRODUCT(
    --(TEXT('[3]Global Weekly Stock (EWSuez'!$B$4:$B$2000,"mmm-yy")=TEXT(A1349,"mmm-yy"))
)</f>
        <v>14525</v>
      </c>
      <c r="I1349">
        <f>_xlfn.XLOOKUP(A1349,[1]ForwardDeriv!$D:$D,[1]ForwardDeriv!$AJ:$AJ)</f>
        <v>0.31000000000000227</v>
      </c>
      <c r="J1349" cm="1">
        <f t="array" ref="J1349">_xlfn.XLOOKUP(TEXT(A1349, "mmm-yy"), TEXT([2]GASOLINE!$B$5:$B$208, "mmm-yy"), [2]GASOLINE!$IR$5:$IR$208, "Not Found")</f>
        <v>657.68657959165205</v>
      </c>
      <c r="K1349" cm="1">
        <f t="array" ref="K1349">_xlfn.XLOOKUP(TEXT(A1349, "mmm-yy"), TEXT([2]GASOLINE!$B$5:$B$208, "mmm-yy"), [2]GASOLINE!$IK$5:$IK$208, "Not Found")</f>
        <v>140.72870274099813</v>
      </c>
      <c r="L1349">
        <f t="shared" si="21"/>
        <v>0</v>
      </c>
      <c r="M1349" cm="1">
        <f t="array" ref="M1349">_xlfn.XLOOKUP(TEXT(A1349, "mmm-yy"), TEXT([2]GASOLINE!$B$5:$B$208, "mmm-yy"), [2]GASOLINE!$C$5:$C$208, "Not Found")</f>
        <v>5962.7695002232595</v>
      </c>
      <c r="N1349" cm="1">
        <f t="array" ref="N1349">_xlfn.XLOOKUP(TEXT(A1349, "mmm-yy"), TEXT([2]RUNS!$B$5:$B$208, "mmm-yy"), [2]RUNS!$BM$5:$BM$208, "Not Found")</f>
        <v>0.77700782903424792</v>
      </c>
    </row>
    <row r="1350" spans="1:14" x14ac:dyDescent="0.25">
      <c r="A1350" s="1">
        <f>'[1]Global_Spot Prices'!$B2659</f>
        <v>43893</v>
      </c>
      <c r="B1350">
        <f>_xlfn.XLOOKUP(A1350,'[1]Global_Spot Prices'!$B:$B,'[1]Global_Spot Prices'!$BS:$BS)</f>
        <v>5.6099999999999994</v>
      </c>
      <c r="C1350">
        <f ca="1">_xlfn.XLOOKUP(A1350,'[1]Global_Spot Prices'!$B:$B,'[1]Global_Spot Prices'!$E:$E)</f>
        <v>51.75</v>
      </c>
      <c r="D1350">
        <f>_xlfn.XLOOKUP(A1350,'[1]Global_Spot Prices'!$B:$B,'[1]Global_Spot Prices'!$D:$D)</f>
        <v>52.11</v>
      </c>
      <c r="E1350">
        <f ca="1">_xlfn.XLOOKUP(A1350,'[1]Global_Spot Prices'!$B:$B,'[1]Global_Spot Prices'!$H:$H)</f>
        <v>49.1</v>
      </c>
      <c r="F1350">
        <f>_xlfn.XLOOKUP(A1350,'[1]Global_Spot Prices'!$B:$B,'[1]Global_Spot Prices'!$I:$I)</f>
        <v>57.36</v>
      </c>
      <c r="G1350" cm="1">
        <f t="array" ref="G1350">_xlfn.XLOOKUP(TEXT(A1350, "mmm-yy"), TEXT([2]RUNS!$B$5:$B$208, "mmm-yy"), [2]RUNS!$D$5:$D$208, "Not Found")</f>
        <v>28341.826768721614</v>
      </c>
      <c r="H1350" cm="1">
        <f t="array" ref="H1350">SUMPRODUCT(
    --(TEXT('[3]Global Weekly Stock (EWSuez'!$B$4:$B$2000,"mmm-yy")=TEXT(A1350,"mmm-yy")),
    '[3]Global Weekly Stock (EWSuez'!$E$4:$E$2000)
/
SUMPRODUCT(
    --(TEXT('[3]Global Weekly Stock (EWSuez'!$B$4:$B$2000,"mmm-yy")=TEXT(A1350,"mmm-yy"))
)</f>
        <v>14525</v>
      </c>
      <c r="I1350">
        <f>_xlfn.XLOOKUP(A1350,[1]ForwardDeriv!$D:$D,[1]ForwardDeriv!$AJ:$AJ)</f>
        <v>0.37000000000000455</v>
      </c>
      <c r="J1350" cm="1">
        <f t="array" ref="J1350">_xlfn.XLOOKUP(TEXT(A1350, "mmm-yy"), TEXT([2]GASOLINE!$B$5:$B$208, "mmm-yy"), [2]GASOLINE!$IR$5:$IR$208, "Not Found")</f>
        <v>657.68657959165205</v>
      </c>
      <c r="K1350" cm="1">
        <f t="array" ref="K1350">_xlfn.XLOOKUP(TEXT(A1350, "mmm-yy"), TEXT([2]GASOLINE!$B$5:$B$208, "mmm-yy"), [2]GASOLINE!$IK$5:$IK$208, "Not Found")</f>
        <v>140.72870274099813</v>
      </c>
      <c r="L1350">
        <f t="shared" si="21"/>
        <v>0</v>
      </c>
      <c r="M1350" cm="1">
        <f t="array" ref="M1350">_xlfn.XLOOKUP(TEXT(A1350, "mmm-yy"), TEXT([2]GASOLINE!$B$5:$B$208, "mmm-yy"), [2]GASOLINE!$C$5:$C$208, "Not Found")</f>
        <v>5962.7695002232595</v>
      </c>
      <c r="N1350" cm="1">
        <f t="array" ref="N1350">_xlfn.XLOOKUP(TEXT(A1350, "mmm-yy"), TEXT([2]RUNS!$B$5:$B$208, "mmm-yy"), [2]RUNS!$BM$5:$BM$208, "Not Found")</f>
        <v>0.77700782903424792</v>
      </c>
    </row>
    <row r="1351" spans="1:14" x14ac:dyDescent="0.25">
      <c r="A1351" s="1">
        <f>'[1]Global_Spot Prices'!$B2660</f>
        <v>43894</v>
      </c>
      <c r="B1351">
        <f>_xlfn.XLOOKUP(A1351,'[1]Global_Spot Prices'!$B:$B,'[1]Global_Spot Prices'!$BS:$BS)</f>
        <v>5.5599999999999952</v>
      </c>
      <c r="C1351">
        <f>_xlfn.XLOOKUP(A1351,'[1]Global_Spot Prices'!$B:$B,'[1]Global_Spot Prices'!$E:$E)</f>
        <v>50.84</v>
      </c>
      <c r="D1351">
        <f>_xlfn.XLOOKUP(A1351,'[1]Global_Spot Prices'!$B:$B,'[1]Global_Spot Prices'!$D:$D)</f>
        <v>51.72</v>
      </c>
      <c r="E1351">
        <f>_xlfn.XLOOKUP(A1351,'[1]Global_Spot Prices'!$B:$B,'[1]Global_Spot Prices'!$H:$H)</f>
        <v>45.58</v>
      </c>
      <c r="F1351">
        <f>_xlfn.XLOOKUP(A1351,'[1]Global_Spot Prices'!$B:$B,'[1]Global_Spot Prices'!$I:$I)</f>
        <v>56.4</v>
      </c>
      <c r="G1351" cm="1">
        <f t="array" ref="G1351">_xlfn.XLOOKUP(TEXT(A1351, "mmm-yy"), TEXT([2]RUNS!$B$5:$B$208, "mmm-yy"), [2]RUNS!$D$5:$D$208, "Not Found")</f>
        <v>28341.826768721614</v>
      </c>
      <c r="H1351" cm="1">
        <f t="array" ref="H1351">SUMPRODUCT(
    --(TEXT('[3]Global Weekly Stock (EWSuez'!$B$4:$B$2000,"mmm-yy")=TEXT(A1351,"mmm-yy")),
    '[3]Global Weekly Stock (EWSuez'!$E$4:$E$2000)
/
SUMPRODUCT(
    --(TEXT('[3]Global Weekly Stock (EWSuez'!$B$4:$B$2000,"mmm-yy")=TEXT(A1351,"mmm-yy"))
)</f>
        <v>14525</v>
      </c>
      <c r="I1351">
        <f>_xlfn.XLOOKUP(A1351,[1]ForwardDeriv!$D:$D,[1]ForwardDeriv!$AJ:$AJ)</f>
        <v>0.26000000000000512</v>
      </c>
      <c r="J1351" cm="1">
        <f t="array" ref="J1351">_xlfn.XLOOKUP(TEXT(A1351, "mmm-yy"), TEXT([2]GASOLINE!$B$5:$B$208, "mmm-yy"), [2]GASOLINE!$IR$5:$IR$208, "Not Found")</f>
        <v>657.68657959165205</v>
      </c>
      <c r="K1351" cm="1">
        <f t="array" ref="K1351">_xlfn.XLOOKUP(TEXT(A1351, "mmm-yy"), TEXT([2]GASOLINE!$B$5:$B$208, "mmm-yy"), [2]GASOLINE!$IK$5:$IK$208, "Not Found")</f>
        <v>140.72870274099813</v>
      </c>
      <c r="L1351">
        <f t="shared" si="21"/>
        <v>0</v>
      </c>
      <c r="M1351" cm="1">
        <f t="array" ref="M1351">_xlfn.XLOOKUP(TEXT(A1351, "mmm-yy"), TEXT([2]GASOLINE!$B$5:$B$208, "mmm-yy"), [2]GASOLINE!$C$5:$C$208, "Not Found")</f>
        <v>5962.7695002232595</v>
      </c>
      <c r="N1351" cm="1">
        <f t="array" ref="N1351">_xlfn.XLOOKUP(TEXT(A1351, "mmm-yy"), TEXT([2]RUNS!$B$5:$B$208, "mmm-yy"), [2]RUNS!$BM$5:$BM$208, "Not Found")</f>
        <v>0.77700782903424792</v>
      </c>
    </row>
    <row r="1352" spans="1:14" x14ac:dyDescent="0.25">
      <c r="A1352" s="1">
        <f>'[1]Global_Spot Prices'!$B2661</f>
        <v>43895</v>
      </c>
      <c r="B1352">
        <f ca="1">_xlfn.XLOOKUP(A1352,'[1]Global_Spot Prices'!$B:$B,'[1]Global_Spot Prices'!$BS:$BS)</f>
        <v>6.07</v>
      </c>
      <c r="C1352">
        <f ca="1">_xlfn.XLOOKUP(A1352,'[1]Global_Spot Prices'!$B:$B,'[1]Global_Spot Prices'!$E:$E)</f>
        <v>50.8</v>
      </c>
      <c r="D1352">
        <f>_xlfn.XLOOKUP(A1352,'[1]Global_Spot Prices'!$B:$B,'[1]Global_Spot Prices'!$D:$D)</f>
        <v>51.505000000000003</v>
      </c>
      <c r="E1352">
        <f>_xlfn.XLOOKUP(A1352,'[1]Global_Spot Prices'!$B:$B,'[1]Global_Spot Prices'!$H:$H)</f>
        <v>45.71</v>
      </c>
      <c r="F1352">
        <f>_xlfn.XLOOKUP(A1352,'[1]Global_Spot Prices'!$B:$B,'[1]Global_Spot Prices'!$I:$I)</f>
        <v>56.87</v>
      </c>
      <c r="G1352" cm="1">
        <f t="array" ref="G1352">_xlfn.XLOOKUP(TEXT(A1352, "mmm-yy"), TEXT([2]RUNS!$B$5:$B$208, "mmm-yy"), [2]RUNS!$D$5:$D$208, "Not Found")</f>
        <v>28341.826768721614</v>
      </c>
      <c r="H1352" cm="1">
        <f t="array" ref="H1352">SUMPRODUCT(
    --(TEXT('[3]Global Weekly Stock (EWSuez'!$B$4:$B$2000,"mmm-yy")=TEXT(A1352,"mmm-yy")),
    '[3]Global Weekly Stock (EWSuez'!$E$4:$E$2000)
/
SUMPRODUCT(
    --(TEXT('[3]Global Weekly Stock (EWSuez'!$B$4:$B$2000,"mmm-yy")=TEXT(A1352,"mmm-yy"))
)</f>
        <v>14525</v>
      </c>
      <c r="I1352">
        <f>_xlfn.XLOOKUP(A1352,[1]ForwardDeriv!$D:$D,[1]ForwardDeriv!$AJ:$AJ)</f>
        <v>0.36999999999999744</v>
      </c>
      <c r="J1352" cm="1">
        <f t="array" ref="J1352">_xlfn.XLOOKUP(TEXT(A1352, "mmm-yy"), TEXT([2]GASOLINE!$B$5:$B$208, "mmm-yy"), [2]GASOLINE!$IR$5:$IR$208, "Not Found")</f>
        <v>657.68657959165205</v>
      </c>
      <c r="K1352" cm="1">
        <f t="array" ref="K1352">_xlfn.XLOOKUP(TEXT(A1352, "mmm-yy"), TEXT([2]GASOLINE!$B$5:$B$208, "mmm-yy"), [2]GASOLINE!$IK$5:$IK$208, "Not Found")</f>
        <v>140.72870274099813</v>
      </c>
      <c r="L1352">
        <f t="shared" si="21"/>
        <v>0</v>
      </c>
      <c r="M1352" cm="1">
        <f t="array" ref="M1352">_xlfn.XLOOKUP(TEXT(A1352, "mmm-yy"), TEXT([2]GASOLINE!$B$5:$B$208, "mmm-yy"), [2]GASOLINE!$C$5:$C$208, "Not Found")</f>
        <v>5962.7695002232595</v>
      </c>
      <c r="N1352" cm="1">
        <f t="array" ref="N1352">_xlfn.XLOOKUP(TEXT(A1352, "mmm-yy"), TEXT([2]RUNS!$B$5:$B$208, "mmm-yy"), [2]RUNS!$BM$5:$BM$208, "Not Found")</f>
        <v>0.77700782903424792</v>
      </c>
    </row>
    <row r="1353" spans="1:14" x14ac:dyDescent="0.25">
      <c r="A1353" s="1">
        <f>'[1]Global_Spot Prices'!$B2662</f>
        <v>43896</v>
      </c>
      <c r="B1353">
        <f>_xlfn.XLOOKUP(A1353,'[1]Global_Spot Prices'!$B:$B,'[1]Global_Spot Prices'!$BS:$BS)</f>
        <v>6.2800000000000011</v>
      </c>
      <c r="C1353">
        <f>_xlfn.XLOOKUP(A1353,'[1]Global_Spot Prices'!$B:$B,'[1]Global_Spot Prices'!$E:$E)</f>
        <v>48.56</v>
      </c>
      <c r="D1353">
        <f>_xlfn.XLOOKUP(A1353,'[1]Global_Spot Prices'!$B:$B,'[1]Global_Spot Prices'!$D:$D)</f>
        <v>45.51</v>
      </c>
      <c r="E1353">
        <f>_xlfn.XLOOKUP(A1353,'[1]Global_Spot Prices'!$B:$B,'[1]Global_Spot Prices'!$H:$H)</f>
        <v>43.69</v>
      </c>
      <c r="F1353">
        <f>_xlfn.XLOOKUP(A1353,'[1]Global_Spot Prices'!$B:$B,'[1]Global_Spot Prices'!$I:$I)</f>
        <v>54.84</v>
      </c>
      <c r="G1353" cm="1">
        <f t="array" ref="G1353">_xlfn.XLOOKUP(TEXT(A1353, "mmm-yy"), TEXT([2]RUNS!$B$5:$B$208, "mmm-yy"), [2]RUNS!$D$5:$D$208, "Not Found")</f>
        <v>28341.826768721614</v>
      </c>
      <c r="H1353" cm="1">
        <f t="array" ref="H1353">SUMPRODUCT(
    --(TEXT('[3]Global Weekly Stock (EWSuez'!$B$4:$B$2000,"mmm-yy")=TEXT(A1353,"mmm-yy")),
    '[3]Global Weekly Stock (EWSuez'!$E$4:$E$2000)
/
SUMPRODUCT(
    --(TEXT('[3]Global Weekly Stock (EWSuez'!$B$4:$B$2000,"mmm-yy")=TEXT(A1353,"mmm-yy"))
)</f>
        <v>14525</v>
      </c>
      <c r="I1353">
        <f>_xlfn.XLOOKUP(A1353,[1]ForwardDeriv!$D:$D,[1]ForwardDeriv!$AJ:$AJ)</f>
        <v>0.38000000000000256</v>
      </c>
      <c r="J1353" cm="1">
        <f t="array" ref="J1353">_xlfn.XLOOKUP(TEXT(A1353, "mmm-yy"), TEXT([2]GASOLINE!$B$5:$B$208, "mmm-yy"), [2]GASOLINE!$IR$5:$IR$208, "Not Found")</f>
        <v>657.68657959165205</v>
      </c>
      <c r="K1353" cm="1">
        <f t="array" ref="K1353">_xlfn.XLOOKUP(TEXT(A1353, "mmm-yy"), TEXT([2]GASOLINE!$B$5:$B$208, "mmm-yy"), [2]GASOLINE!$IK$5:$IK$208, "Not Found")</f>
        <v>140.72870274099813</v>
      </c>
      <c r="L1353">
        <f t="shared" si="21"/>
        <v>0</v>
      </c>
      <c r="M1353" cm="1">
        <f t="array" ref="M1353">_xlfn.XLOOKUP(TEXT(A1353, "mmm-yy"), TEXT([2]GASOLINE!$B$5:$B$208, "mmm-yy"), [2]GASOLINE!$C$5:$C$208, "Not Found")</f>
        <v>5962.7695002232595</v>
      </c>
      <c r="N1353" cm="1">
        <f t="array" ref="N1353">_xlfn.XLOOKUP(TEXT(A1353, "mmm-yy"), TEXT([2]RUNS!$B$5:$B$208, "mmm-yy"), [2]RUNS!$BM$5:$BM$208, "Not Found")</f>
        <v>0.77700782903424792</v>
      </c>
    </row>
    <row r="1354" spans="1:14" x14ac:dyDescent="0.25">
      <c r="A1354" s="1">
        <f>'[1]Global_Spot Prices'!$B2663</f>
        <v>43899</v>
      </c>
      <c r="B1354">
        <f>_xlfn.XLOOKUP(A1354,'[1]Global_Spot Prices'!$B:$B,'[1]Global_Spot Prices'!$BS:$BS)</f>
        <v>9.7999999999999972</v>
      </c>
      <c r="C1354">
        <f>_xlfn.XLOOKUP(A1354,'[1]Global_Spot Prices'!$B:$B,'[1]Global_Spot Prices'!$E:$E)</f>
        <v>32.85</v>
      </c>
      <c r="D1354">
        <f>_xlfn.XLOOKUP(A1354,'[1]Global_Spot Prices'!$B:$B,'[1]Global_Spot Prices'!$D:$D)</f>
        <v>35.450000000000003</v>
      </c>
      <c r="E1354">
        <f>_xlfn.XLOOKUP(A1354,'[1]Global_Spot Prices'!$B:$B,'[1]Global_Spot Prices'!$H:$H)</f>
        <v>32.15</v>
      </c>
      <c r="F1354">
        <f>_xlfn.XLOOKUP(A1354,'[1]Global_Spot Prices'!$B:$B,'[1]Global_Spot Prices'!$I:$I)</f>
        <v>42.65</v>
      </c>
      <c r="G1354" cm="1">
        <f t="array" ref="G1354">_xlfn.XLOOKUP(TEXT(A1354, "mmm-yy"), TEXT([2]RUNS!$B$5:$B$208, "mmm-yy"), [2]RUNS!$D$5:$D$208, "Not Found")</f>
        <v>28341.826768721614</v>
      </c>
      <c r="H1354" cm="1">
        <f t="array" ref="H1354">SUMPRODUCT(
    --(TEXT('[3]Global Weekly Stock (EWSuez'!$B$4:$B$2000,"mmm-yy")=TEXT(A1354,"mmm-yy")),
    '[3]Global Weekly Stock (EWSuez'!$E$4:$E$2000)
/
SUMPRODUCT(
    --(TEXT('[3]Global Weekly Stock (EWSuez'!$B$4:$B$2000,"mmm-yy")=TEXT(A1354,"mmm-yy"))
)</f>
        <v>14525</v>
      </c>
      <c r="I1354">
        <f>_xlfn.XLOOKUP(A1354,[1]ForwardDeriv!$D:$D,[1]ForwardDeriv!$AJ:$AJ)</f>
        <v>7.0000000000000284E-2</v>
      </c>
      <c r="J1354" cm="1">
        <f t="array" ref="J1354">_xlfn.XLOOKUP(TEXT(A1354, "mmm-yy"), TEXT([2]GASOLINE!$B$5:$B$208, "mmm-yy"), [2]GASOLINE!$IR$5:$IR$208, "Not Found")</f>
        <v>657.68657959165205</v>
      </c>
      <c r="K1354" cm="1">
        <f t="array" ref="K1354">_xlfn.XLOOKUP(TEXT(A1354, "mmm-yy"), TEXT([2]GASOLINE!$B$5:$B$208, "mmm-yy"), [2]GASOLINE!$IK$5:$IK$208, "Not Found")</f>
        <v>140.72870274099813</v>
      </c>
      <c r="L1354">
        <f t="shared" si="21"/>
        <v>0</v>
      </c>
      <c r="M1354" cm="1">
        <f t="array" ref="M1354">_xlfn.XLOOKUP(TEXT(A1354, "mmm-yy"), TEXT([2]GASOLINE!$B$5:$B$208, "mmm-yy"), [2]GASOLINE!$C$5:$C$208, "Not Found")</f>
        <v>5962.7695002232595</v>
      </c>
      <c r="N1354" cm="1">
        <f t="array" ref="N1354">_xlfn.XLOOKUP(TEXT(A1354, "mmm-yy"), TEXT([2]RUNS!$B$5:$B$208, "mmm-yy"), [2]RUNS!$BM$5:$BM$208, "Not Found")</f>
        <v>0.77700782903424792</v>
      </c>
    </row>
    <row r="1355" spans="1:14" x14ac:dyDescent="0.25">
      <c r="A1355" s="1">
        <f>'[1]Global_Spot Prices'!$B2664</f>
        <v>43900</v>
      </c>
      <c r="B1355">
        <f>_xlfn.XLOOKUP(A1355,'[1]Global_Spot Prices'!$B:$B,'[1]Global_Spot Prices'!$BS:$BS)</f>
        <v>9.57</v>
      </c>
      <c r="C1355">
        <f>_xlfn.XLOOKUP(A1355,'[1]Global_Spot Prices'!$B:$B,'[1]Global_Spot Prices'!$E:$E)</f>
        <v>34.159999999999997</v>
      </c>
      <c r="D1355">
        <f>_xlfn.XLOOKUP(A1355,'[1]Global_Spot Prices'!$B:$B,'[1]Global_Spot Prices'!$D:$D)</f>
        <v>35.564999999999998</v>
      </c>
      <c r="E1355">
        <f>_xlfn.XLOOKUP(A1355,'[1]Global_Spot Prices'!$B:$B,'[1]Global_Spot Prices'!$H:$H)</f>
        <v>33.770000000000003</v>
      </c>
      <c r="F1355">
        <f>_xlfn.XLOOKUP(A1355,'[1]Global_Spot Prices'!$B:$B,'[1]Global_Spot Prices'!$I:$I)</f>
        <v>43.73</v>
      </c>
      <c r="G1355" cm="1">
        <f t="array" ref="G1355">_xlfn.XLOOKUP(TEXT(A1355, "mmm-yy"), TEXT([2]RUNS!$B$5:$B$208, "mmm-yy"), [2]RUNS!$D$5:$D$208, "Not Found")</f>
        <v>28341.826768721614</v>
      </c>
      <c r="H1355" cm="1">
        <f t="array" ref="H1355">SUMPRODUCT(
    --(TEXT('[3]Global Weekly Stock (EWSuez'!$B$4:$B$2000,"mmm-yy")=TEXT(A1355,"mmm-yy")),
    '[3]Global Weekly Stock (EWSuez'!$E$4:$E$2000)
/
SUMPRODUCT(
    --(TEXT('[3]Global Weekly Stock (EWSuez'!$B$4:$B$2000,"mmm-yy")=TEXT(A1355,"mmm-yy"))
)</f>
        <v>14525</v>
      </c>
      <c r="I1355">
        <f>_xlfn.XLOOKUP(A1355,[1]ForwardDeriv!$D:$D,[1]ForwardDeriv!$AJ:$AJ)</f>
        <v>7.0000000000000284E-2</v>
      </c>
      <c r="J1355" cm="1">
        <f t="array" ref="J1355">_xlfn.XLOOKUP(TEXT(A1355, "mmm-yy"), TEXT([2]GASOLINE!$B$5:$B$208, "mmm-yy"), [2]GASOLINE!$IR$5:$IR$208, "Not Found")</f>
        <v>657.68657959165205</v>
      </c>
      <c r="K1355" cm="1">
        <f t="array" ref="K1355">_xlfn.XLOOKUP(TEXT(A1355, "mmm-yy"), TEXT([2]GASOLINE!$B$5:$B$208, "mmm-yy"), [2]GASOLINE!$IK$5:$IK$208, "Not Found")</f>
        <v>140.72870274099813</v>
      </c>
      <c r="L1355">
        <f t="shared" si="21"/>
        <v>0</v>
      </c>
      <c r="M1355" cm="1">
        <f t="array" ref="M1355">_xlfn.XLOOKUP(TEXT(A1355, "mmm-yy"), TEXT([2]GASOLINE!$B$5:$B$208, "mmm-yy"), [2]GASOLINE!$C$5:$C$208, "Not Found")</f>
        <v>5962.7695002232595</v>
      </c>
      <c r="N1355" cm="1">
        <f t="array" ref="N1355">_xlfn.XLOOKUP(TEXT(A1355, "mmm-yy"), TEXT([2]RUNS!$B$5:$B$208, "mmm-yy"), [2]RUNS!$BM$5:$BM$208, "Not Found")</f>
        <v>0.77700782903424792</v>
      </c>
    </row>
    <row r="1356" spans="1:14" x14ac:dyDescent="0.25">
      <c r="A1356" s="1">
        <f>'[1]Global_Spot Prices'!$B2665</f>
        <v>43901</v>
      </c>
      <c r="B1356">
        <f>_xlfn.XLOOKUP(A1356,'[1]Global_Spot Prices'!$B:$B,'[1]Global_Spot Prices'!$BS:$BS)</f>
        <v>7.9849999999999994</v>
      </c>
      <c r="C1356">
        <f>_xlfn.XLOOKUP(A1356,'[1]Global_Spot Prices'!$B:$B,'[1]Global_Spot Prices'!$E:$E)</f>
        <v>34.545000000000002</v>
      </c>
      <c r="D1356">
        <f>_xlfn.XLOOKUP(A1356,'[1]Global_Spot Prices'!$B:$B,'[1]Global_Spot Prices'!$D:$D)</f>
        <v>34.875</v>
      </c>
      <c r="E1356">
        <f ca="1">_xlfn.XLOOKUP(A1356,'[1]Global_Spot Prices'!$B:$B,'[1]Global_Spot Prices'!$H:$H)</f>
        <v>34</v>
      </c>
      <c r="F1356">
        <f>_xlfn.XLOOKUP(A1356,'[1]Global_Spot Prices'!$B:$B,'[1]Global_Spot Prices'!$I:$I)</f>
        <v>42.53</v>
      </c>
      <c r="G1356" cm="1">
        <f t="array" ref="G1356">_xlfn.XLOOKUP(TEXT(A1356, "mmm-yy"), TEXT([2]RUNS!$B$5:$B$208, "mmm-yy"), [2]RUNS!$D$5:$D$208, "Not Found")</f>
        <v>28341.826768721614</v>
      </c>
      <c r="H1356" cm="1">
        <f t="array" ref="H1356">SUMPRODUCT(
    --(TEXT('[3]Global Weekly Stock (EWSuez'!$B$4:$B$2000,"mmm-yy")=TEXT(A1356,"mmm-yy")),
    '[3]Global Weekly Stock (EWSuez'!$E$4:$E$2000)
/
SUMPRODUCT(
    --(TEXT('[3]Global Weekly Stock (EWSuez'!$B$4:$B$2000,"mmm-yy")=TEXT(A1356,"mmm-yy"))
)</f>
        <v>14525</v>
      </c>
      <c r="I1356">
        <f>_xlfn.XLOOKUP(A1356,[1]ForwardDeriv!$D:$D,[1]ForwardDeriv!$AJ:$AJ)</f>
        <v>0.10999999999999943</v>
      </c>
      <c r="J1356" cm="1">
        <f t="array" ref="J1356">_xlfn.XLOOKUP(TEXT(A1356, "mmm-yy"), TEXT([2]GASOLINE!$B$5:$B$208, "mmm-yy"), [2]GASOLINE!$IR$5:$IR$208, "Not Found")</f>
        <v>657.68657959165205</v>
      </c>
      <c r="K1356" cm="1">
        <f t="array" ref="K1356">_xlfn.XLOOKUP(TEXT(A1356, "mmm-yy"), TEXT([2]GASOLINE!$B$5:$B$208, "mmm-yy"), [2]GASOLINE!$IK$5:$IK$208, "Not Found")</f>
        <v>140.72870274099813</v>
      </c>
      <c r="L1356">
        <f t="shared" si="21"/>
        <v>0</v>
      </c>
      <c r="M1356" cm="1">
        <f t="array" ref="M1356">_xlfn.XLOOKUP(TEXT(A1356, "mmm-yy"), TEXT([2]GASOLINE!$B$5:$B$208, "mmm-yy"), [2]GASOLINE!$C$5:$C$208, "Not Found")</f>
        <v>5962.7695002232595</v>
      </c>
      <c r="N1356" cm="1">
        <f t="array" ref="N1356">_xlfn.XLOOKUP(TEXT(A1356, "mmm-yy"), TEXT([2]RUNS!$B$5:$B$208, "mmm-yy"), [2]RUNS!$BM$5:$BM$208, "Not Found")</f>
        <v>0.77700782903424792</v>
      </c>
    </row>
    <row r="1357" spans="1:14" x14ac:dyDescent="0.25">
      <c r="A1357" s="1">
        <f>'[1]Global_Spot Prices'!$B2666</f>
        <v>43902</v>
      </c>
      <c r="B1357">
        <f>_xlfn.XLOOKUP(A1357,'[1]Global_Spot Prices'!$B:$B,'[1]Global_Spot Prices'!$BS:$BS)</f>
        <v>6.740000000000002</v>
      </c>
      <c r="C1357">
        <f ca="1">_xlfn.XLOOKUP(A1357,'[1]Global_Spot Prices'!$B:$B,'[1]Global_Spot Prices'!$E:$E)</f>
        <v>32.659999999999997</v>
      </c>
      <c r="D1357">
        <f>_xlfn.XLOOKUP(A1357,'[1]Global_Spot Prices'!$B:$B,'[1]Global_Spot Prices'!$D:$D)</f>
        <v>30.805</v>
      </c>
      <c r="E1357">
        <f>_xlfn.XLOOKUP(A1357,'[1]Global_Spot Prices'!$B:$B,'[1]Global_Spot Prices'!$H:$H)</f>
        <v>32.15</v>
      </c>
      <c r="F1357">
        <f>_xlfn.XLOOKUP(A1357,'[1]Global_Spot Prices'!$B:$B,'[1]Global_Spot Prices'!$I:$I)</f>
        <v>39.4</v>
      </c>
      <c r="G1357" cm="1">
        <f t="array" ref="G1357">_xlfn.XLOOKUP(TEXT(A1357, "mmm-yy"), TEXT([2]RUNS!$B$5:$B$208, "mmm-yy"), [2]RUNS!$D$5:$D$208, "Not Found")</f>
        <v>28341.826768721614</v>
      </c>
      <c r="H1357" cm="1">
        <f t="array" ref="H1357">SUMPRODUCT(
    --(TEXT('[3]Global Weekly Stock (EWSuez'!$B$4:$B$2000,"mmm-yy")=TEXT(A1357,"mmm-yy")),
    '[3]Global Weekly Stock (EWSuez'!$E$4:$E$2000)
/
SUMPRODUCT(
    --(TEXT('[3]Global Weekly Stock (EWSuez'!$B$4:$B$2000,"mmm-yy")=TEXT(A1357,"mmm-yy"))
)</f>
        <v>14525</v>
      </c>
      <c r="I1357">
        <f>_xlfn.XLOOKUP(A1357,[1]ForwardDeriv!$D:$D,[1]ForwardDeriv!$AJ:$AJ)</f>
        <v>0</v>
      </c>
      <c r="J1357" cm="1">
        <f t="array" ref="J1357">_xlfn.XLOOKUP(TEXT(A1357, "mmm-yy"), TEXT([2]GASOLINE!$B$5:$B$208, "mmm-yy"), [2]GASOLINE!$IR$5:$IR$208, "Not Found")</f>
        <v>657.68657959165205</v>
      </c>
      <c r="K1357" cm="1">
        <f t="array" ref="K1357">_xlfn.XLOOKUP(TEXT(A1357, "mmm-yy"), TEXT([2]GASOLINE!$B$5:$B$208, "mmm-yy"), [2]GASOLINE!$IK$5:$IK$208, "Not Found")</f>
        <v>140.72870274099813</v>
      </c>
      <c r="L1357">
        <f t="shared" si="21"/>
        <v>0</v>
      </c>
      <c r="M1357" cm="1">
        <f t="array" ref="M1357">_xlfn.XLOOKUP(TEXT(A1357, "mmm-yy"), TEXT([2]GASOLINE!$B$5:$B$208, "mmm-yy"), [2]GASOLINE!$C$5:$C$208, "Not Found")</f>
        <v>5962.7695002232595</v>
      </c>
      <c r="N1357" cm="1">
        <f t="array" ref="N1357">_xlfn.XLOOKUP(TEXT(A1357, "mmm-yy"), TEXT([2]RUNS!$B$5:$B$208, "mmm-yy"), [2]RUNS!$BM$5:$BM$208, "Not Found")</f>
        <v>0.77700782903424792</v>
      </c>
    </row>
    <row r="1358" spans="1:14" x14ac:dyDescent="0.25">
      <c r="A1358" s="1">
        <f>'[1]Global_Spot Prices'!$B2667</f>
        <v>43903</v>
      </c>
      <c r="B1358">
        <f>_xlfn.XLOOKUP(A1358,'[1]Global_Spot Prices'!$B:$B,'[1]Global_Spot Prices'!$BS:$BS)</f>
        <v>3.3999999999999986</v>
      </c>
      <c r="C1358">
        <f>_xlfn.XLOOKUP(A1358,'[1]Global_Spot Prices'!$B:$B,'[1]Global_Spot Prices'!$E:$E)</f>
        <v>33.950000000000003</v>
      </c>
      <c r="D1358">
        <f>_xlfn.XLOOKUP(A1358,'[1]Global_Spot Prices'!$B:$B,'[1]Global_Spot Prices'!$D:$D)</f>
        <v>31.844999999999999</v>
      </c>
      <c r="E1358">
        <f>_xlfn.XLOOKUP(A1358,'[1]Global_Spot Prices'!$B:$B,'[1]Global_Spot Prices'!$H:$H)</f>
        <v>32.49</v>
      </c>
      <c r="F1358">
        <f>_xlfn.XLOOKUP(A1358,'[1]Global_Spot Prices'!$B:$B,'[1]Global_Spot Prices'!$I:$I)</f>
        <v>37.35</v>
      </c>
      <c r="G1358" cm="1">
        <f t="array" ref="G1358">_xlfn.XLOOKUP(TEXT(A1358, "mmm-yy"), TEXT([2]RUNS!$B$5:$B$208, "mmm-yy"), [2]RUNS!$D$5:$D$208, "Not Found")</f>
        <v>28341.826768721614</v>
      </c>
      <c r="H1358" cm="1">
        <f t="array" ref="H1358">SUMPRODUCT(
    --(TEXT('[3]Global Weekly Stock (EWSuez'!$B$4:$B$2000,"mmm-yy")=TEXT(A1358,"mmm-yy")),
    '[3]Global Weekly Stock (EWSuez'!$E$4:$E$2000)
/
SUMPRODUCT(
    --(TEXT('[3]Global Weekly Stock (EWSuez'!$B$4:$B$2000,"mmm-yy")=TEXT(A1358,"mmm-yy"))
)</f>
        <v>14525</v>
      </c>
      <c r="I1358">
        <f>_xlfn.XLOOKUP(A1358,[1]ForwardDeriv!$D:$D,[1]ForwardDeriv!$AJ:$AJ)</f>
        <v>-7.9999999999998295E-2</v>
      </c>
      <c r="J1358" cm="1">
        <f t="array" ref="J1358">_xlfn.XLOOKUP(TEXT(A1358, "mmm-yy"), TEXT([2]GASOLINE!$B$5:$B$208, "mmm-yy"), [2]GASOLINE!$IR$5:$IR$208, "Not Found")</f>
        <v>657.68657959165205</v>
      </c>
      <c r="K1358" cm="1">
        <f t="array" ref="K1358">_xlfn.XLOOKUP(TEXT(A1358, "mmm-yy"), TEXT([2]GASOLINE!$B$5:$B$208, "mmm-yy"), [2]GASOLINE!$IK$5:$IK$208, "Not Found")</f>
        <v>140.72870274099813</v>
      </c>
      <c r="L1358">
        <f t="shared" si="21"/>
        <v>0</v>
      </c>
      <c r="M1358" cm="1">
        <f t="array" ref="M1358">_xlfn.XLOOKUP(TEXT(A1358, "mmm-yy"), TEXT([2]GASOLINE!$B$5:$B$208, "mmm-yy"), [2]GASOLINE!$C$5:$C$208, "Not Found")</f>
        <v>5962.7695002232595</v>
      </c>
      <c r="N1358" cm="1">
        <f t="array" ref="N1358">_xlfn.XLOOKUP(TEXT(A1358, "mmm-yy"), TEXT([2]RUNS!$B$5:$B$208, "mmm-yy"), [2]RUNS!$BM$5:$BM$208, "Not Found")</f>
        <v>0.77700782903424792</v>
      </c>
    </row>
    <row r="1359" spans="1:14" x14ac:dyDescent="0.25">
      <c r="A1359" s="1">
        <f>'[1]Global_Spot Prices'!$B2668</f>
        <v>43906</v>
      </c>
      <c r="B1359">
        <f>_xlfn.XLOOKUP(A1359,'[1]Global_Spot Prices'!$B:$B,'[1]Global_Spot Prices'!$BS:$BS)</f>
        <v>-0.19999999999999929</v>
      </c>
      <c r="C1359">
        <f>_xlfn.XLOOKUP(A1359,'[1]Global_Spot Prices'!$B:$B,'[1]Global_Spot Prices'!$E:$E)</f>
        <v>31.45</v>
      </c>
      <c r="D1359">
        <f>_xlfn.XLOOKUP(A1359,'[1]Global_Spot Prices'!$B:$B,'[1]Global_Spot Prices'!$D:$D)</f>
        <v>27.945</v>
      </c>
      <c r="E1359">
        <f>_xlfn.XLOOKUP(A1359,'[1]Global_Spot Prices'!$B:$B,'[1]Global_Spot Prices'!$H:$H)</f>
        <v>27.73</v>
      </c>
      <c r="F1359">
        <f>_xlfn.XLOOKUP(A1359,'[1]Global_Spot Prices'!$B:$B,'[1]Global_Spot Prices'!$I:$I)</f>
        <v>31.25</v>
      </c>
      <c r="G1359" cm="1">
        <f t="array" ref="G1359">_xlfn.XLOOKUP(TEXT(A1359, "mmm-yy"), TEXT([2]RUNS!$B$5:$B$208, "mmm-yy"), [2]RUNS!$D$5:$D$208, "Not Found")</f>
        <v>28341.826768721614</v>
      </c>
      <c r="H1359" cm="1">
        <f t="array" ref="H1359">SUMPRODUCT(
    --(TEXT('[3]Global Weekly Stock (EWSuez'!$B$4:$B$2000,"mmm-yy")=TEXT(A1359,"mmm-yy")),
    '[3]Global Weekly Stock (EWSuez'!$E$4:$E$2000)
/
SUMPRODUCT(
    --(TEXT('[3]Global Weekly Stock (EWSuez'!$B$4:$B$2000,"mmm-yy")=TEXT(A1359,"mmm-yy"))
)</f>
        <v>14525</v>
      </c>
      <c r="I1359">
        <f>_xlfn.XLOOKUP(A1359,[1]ForwardDeriv!$D:$D,[1]ForwardDeriv!$AJ:$AJ)</f>
        <v>-0.68999999999999773</v>
      </c>
      <c r="J1359" cm="1">
        <f t="array" ref="J1359">_xlfn.XLOOKUP(TEXT(A1359, "mmm-yy"), TEXT([2]GASOLINE!$B$5:$B$208, "mmm-yy"), [2]GASOLINE!$IR$5:$IR$208, "Not Found")</f>
        <v>657.68657959165205</v>
      </c>
      <c r="K1359" cm="1">
        <f t="array" ref="K1359">_xlfn.XLOOKUP(TEXT(A1359, "mmm-yy"), TEXT([2]GASOLINE!$B$5:$B$208, "mmm-yy"), [2]GASOLINE!$IK$5:$IK$208, "Not Found")</f>
        <v>140.72870274099813</v>
      </c>
      <c r="L1359">
        <f t="shared" si="21"/>
        <v>0</v>
      </c>
      <c r="M1359" cm="1">
        <f t="array" ref="M1359">_xlfn.XLOOKUP(TEXT(A1359, "mmm-yy"), TEXT([2]GASOLINE!$B$5:$B$208, "mmm-yy"), [2]GASOLINE!$C$5:$C$208, "Not Found")</f>
        <v>5962.7695002232595</v>
      </c>
      <c r="N1359" cm="1">
        <f t="array" ref="N1359">_xlfn.XLOOKUP(TEXT(A1359, "mmm-yy"), TEXT([2]RUNS!$B$5:$B$208, "mmm-yy"), [2]RUNS!$BM$5:$BM$208, "Not Found")</f>
        <v>0.77700782903424792</v>
      </c>
    </row>
    <row r="1360" spans="1:14" x14ac:dyDescent="0.25">
      <c r="A1360" s="1">
        <f>'[1]Global_Spot Prices'!$B2669</f>
        <v>43907</v>
      </c>
      <c r="B1360">
        <f>_xlfn.XLOOKUP(A1360,'[1]Global_Spot Prices'!$B:$B,'[1]Global_Spot Prices'!$BS:$BS)</f>
        <v>-0.87000000000000099</v>
      </c>
      <c r="C1360">
        <f>_xlfn.XLOOKUP(A1360,'[1]Global_Spot Prices'!$B:$B,'[1]Global_Spot Prices'!$E:$E)</f>
        <v>30.85</v>
      </c>
      <c r="D1360">
        <f>_xlfn.XLOOKUP(A1360,'[1]Global_Spot Prices'!$B:$B,'[1]Global_Spot Prices'!$D:$D)</f>
        <v>27.8</v>
      </c>
      <c r="E1360">
        <f ca="1">_xlfn.XLOOKUP(A1360,'[1]Global_Spot Prices'!$B:$B,'[1]Global_Spot Prices'!$H:$H)</f>
        <v>27.78</v>
      </c>
      <c r="F1360">
        <f>_xlfn.XLOOKUP(A1360,'[1]Global_Spot Prices'!$B:$B,'[1]Global_Spot Prices'!$I:$I)</f>
        <v>29.98</v>
      </c>
      <c r="G1360" cm="1">
        <f t="array" ref="G1360">_xlfn.XLOOKUP(TEXT(A1360, "mmm-yy"), TEXT([2]RUNS!$B$5:$B$208, "mmm-yy"), [2]RUNS!$D$5:$D$208, "Not Found")</f>
        <v>28341.826768721614</v>
      </c>
      <c r="H1360" cm="1">
        <f t="array" ref="H1360">SUMPRODUCT(
    --(TEXT('[3]Global Weekly Stock (EWSuez'!$B$4:$B$2000,"mmm-yy")=TEXT(A1360,"mmm-yy")),
    '[3]Global Weekly Stock (EWSuez'!$E$4:$E$2000)
/
SUMPRODUCT(
    --(TEXT('[3]Global Weekly Stock (EWSuez'!$B$4:$B$2000,"mmm-yy")=TEXT(A1360,"mmm-yy"))
)</f>
        <v>14525</v>
      </c>
      <c r="I1360">
        <f>_xlfn.XLOOKUP(A1360,[1]ForwardDeriv!$D:$D,[1]ForwardDeriv!$AJ:$AJ)</f>
        <v>-0.75</v>
      </c>
      <c r="J1360" cm="1">
        <f t="array" ref="J1360">_xlfn.XLOOKUP(TEXT(A1360, "mmm-yy"), TEXT([2]GASOLINE!$B$5:$B$208, "mmm-yy"), [2]GASOLINE!$IR$5:$IR$208, "Not Found")</f>
        <v>657.68657959165205</v>
      </c>
      <c r="K1360" cm="1">
        <f t="array" ref="K1360">_xlfn.XLOOKUP(TEXT(A1360, "mmm-yy"), TEXT([2]GASOLINE!$B$5:$B$208, "mmm-yy"), [2]GASOLINE!$IK$5:$IK$208, "Not Found")</f>
        <v>140.72870274099813</v>
      </c>
      <c r="L1360">
        <f t="shared" si="21"/>
        <v>0</v>
      </c>
      <c r="M1360" cm="1">
        <f t="array" ref="M1360">_xlfn.XLOOKUP(TEXT(A1360, "mmm-yy"), TEXT([2]GASOLINE!$B$5:$B$208, "mmm-yy"), [2]GASOLINE!$C$5:$C$208, "Not Found")</f>
        <v>5962.7695002232595</v>
      </c>
      <c r="N1360" cm="1">
        <f t="array" ref="N1360">_xlfn.XLOOKUP(TEXT(A1360, "mmm-yy"), TEXT([2]RUNS!$B$5:$B$208, "mmm-yy"), [2]RUNS!$BM$5:$BM$208, "Not Found")</f>
        <v>0.77700782903424792</v>
      </c>
    </row>
    <row r="1361" spans="1:14" x14ac:dyDescent="0.25">
      <c r="A1361" s="1">
        <f>'[1]Global_Spot Prices'!$B2670</f>
        <v>43908</v>
      </c>
      <c r="B1361">
        <f>_xlfn.XLOOKUP(A1361,'[1]Global_Spot Prices'!$B:$B,'[1]Global_Spot Prices'!$BS:$BS)</f>
        <v>-0.82000000000000028</v>
      </c>
      <c r="C1361">
        <f>_xlfn.XLOOKUP(A1361,'[1]Global_Spot Prices'!$B:$B,'[1]Global_Spot Prices'!$E:$E)</f>
        <v>28.29</v>
      </c>
      <c r="D1361">
        <f>_xlfn.XLOOKUP(A1361,'[1]Global_Spot Prices'!$B:$B,'[1]Global_Spot Prices'!$D:$D)</f>
        <v>22.99</v>
      </c>
      <c r="E1361">
        <f>_xlfn.XLOOKUP(A1361,'[1]Global_Spot Prices'!$B:$B,'[1]Global_Spot Prices'!$H:$H)</f>
        <v>25.05</v>
      </c>
      <c r="F1361">
        <f>_xlfn.XLOOKUP(A1361,'[1]Global_Spot Prices'!$B:$B,'[1]Global_Spot Prices'!$I:$I)</f>
        <v>27.47</v>
      </c>
      <c r="G1361" cm="1">
        <f t="array" ref="G1361">_xlfn.XLOOKUP(TEXT(A1361, "mmm-yy"), TEXT([2]RUNS!$B$5:$B$208, "mmm-yy"), [2]RUNS!$D$5:$D$208, "Not Found")</f>
        <v>28341.826768721614</v>
      </c>
      <c r="H1361" cm="1">
        <f t="array" ref="H1361">SUMPRODUCT(
    --(TEXT('[3]Global Weekly Stock (EWSuez'!$B$4:$B$2000,"mmm-yy")=TEXT(A1361,"mmm-yy")),
    '[3]Global Weekly Stock (EWSuez'!$E$4:$E$2000)
/
SUMPRODUCT(
    --(TEXT('[3]Global Weekly Stock (EWSuez'!$B$4:$B$2000,"mmm-yy")=TEXT(A1361,"mmm-yy"))
)</f>
        <v>14525</v>
      </c>
      <c r="I1361">
        <f>_xlfn.XLOOKUP(A1361,[1]ForwardDeriv!$D:$D,[1]ForwardDeriv!$AJ:$AJ)</f>
        <v>-1.0199999999999996</v>
      </c>
      <c r="J1361" cm="1">
        <f t="array" ref="J1361">_xlfn.XLOOKUP(TEXT(A1361, "mmm-yy"), TEXT([2]GASOLINE!$B$5:$B$208, "mmm-yy"), [2]GASOLINE!$IR$5:$IR$208, "Not Found")</f>
        <v>657.68657959165205</v>
      </c>
      <c r="K1361" cm="1">
        <f t="array" ref="K1361">_xlfn.XLOOKUP(TEXT(A1361, "mmm-yy"), TEXT([2]GASOLINE!$B$5:$B$208, "mmm-yy"), [2]GASOLINE!$IK$5:$IK$208, "Not Found")</f>
        <v>140.72870274099813</v>
      </c>
      <c r="L1361">
        <f t="shared" si="21"/>
        <v>0</v>
      </c>
      <c r="M1361" cm="1">
        <f t="array" ref="M1361">_xlfn.XLOOKUP(TEXT(A1361, "mmm-yy"), TEXT([2]GASOLINE!$B$5:$B$208, "mmm-yy"), [2]GASOLINE!$C$5:$C$208, "Not Found")</f>
        <v>5962.7695002232595</v>
      </c>
      <c r="N1361" cm="1">
        <f t="array" ref="N1361">_xlfn.XLOOKUP(TEXT(A1361, "mmm-yy"), TEXT([2]RUNS!$B$5:$B$208, "mmm-yy"), [2]RUNS!$BM$5:$BM$208, "Not Found")</f>
        <v>0.77700782903424792</v>
      </c>
    </row>
    <row r="1362" spans="1:14" x14ac:dyDescent="0.25">
      <c r="A1362" s="1">
        <f>'[1]Global_Spot Prices'!$B2671</f>
        <v>43909</v>
      </c>
      <c r="B1362">
        <f>_xlfn.XLOOKUP(A1362,'[1]Global_Spot Prices'!$B:$B,'[1]Global_Spot Prices'!$BS:$BS)</f>
        <v>-2.7699999999999996</v>
      </c>
      <c r="C1362">
        <f>_xlfn.XLOOKUP(A1362,'[1]Global_Spot Prices'!$B:$B,'[1]Global_Spot Prices'!$E:$E)</f>
        <v>25.84</v>
      </c>
      <c r="D1362">
        <f ca="1">_xlfn.XLOOKUP(A1362,'[1]Global_Spot Prices'!$B:$B,'[1]Global_Spot Prices'!$D:$D)</f>
        <v>24.12</v>
      </c>
      <c r="E1362">
        <f>_xlfn.XLOOKUP(A1362,'[1]Global_Spot Prices'!$B:$B,'[1]Global_Spot Prices'!$H:$H)</f>
        <v>23.42</v>
      </c>
      <c r="F1362">
        <f>_xlfn.XLOOKUP(A1362,'[1]Global_Spot Prices'!$B:$B,'[1]Global_Spot Prices'!$I:$I)</f>
        <v>23.07</v>
      </c>
      <c r="G1362" cm="1">
        <f t="array" ref="G1362">_xlfn.XLOOKUP(TEXT(A1362, "mmm-yy"), TEXT([2]RUNS!$B$5:$B$208, "mmm-yy"), [2]RUNS!$D$5:$D$208, "Not Found")</f>
        <v>28341.826768721614</v>
      </c>
      <c r="H1362" cm="1">
        <f t="array" ref="H1362">SUMPRODUCT(
    --(TEXT('[3]Global Weekly Stock (EWSuez'!$B$4:$B$2000,"mmm-yy")=TEXT(A1362,"mmm-yy")),
    '[3]Global Weekly Stock (EWSuez'!$E$4:$E$2000)
/
SUMPRODUCT(
    --(TEXT('[3]Global Weekly Stock (EWSuez'!$B$4:$B$2000,"mmm-yy")=TEXT(A1362,"mmm-yy"))
)</f>
        <v>14525</v>
      </c>
      <c r="I1362">
        <f>_xlfn.XLOOKUP(A1362,[1]ForwardDeriv!$D:$D,[1]ForwardDeriv!$AJ:$AJ)</f>
        <v>-1.5</v>
      </c>
      <c r="J1362" cm="1">
        <f t="array" ref="J1362">_xlfn.XLOOKUP(TEXT(A1362, "mmm-yy"), TEXT([2]GASOLINE!$B$5:$B$208, "mmm-yy"), [2]GASOLINE!$IR$5:$IR$208, "Not Found")</f>
        <v>657.68657959165205</v>
      </c>
      <c r="K1362" cm="1">
        <f t="array" ref="K1362">_xlfn.XLOOKUP(TEXT(A1362, "mmm-yy"), TEXT([2]GASOLINE!$B$5:$B$208, "mmm-yy"), [2]GASOLINE!$IK$5:$IK$208, "Not Found")</f>
        <v>140.72870274099813</v>
      </c>
      <c r="L1362">
        <f t="shared" si="21"/>
        <v>0</v>
      </c>
      <c r="M1362" cm="1">
        <f t="array" ref="M1362">_xlfn.XLOOKUP(TEXT(A1362, "mmm-yy"), TEXT([2]GASOLINE!$B$5:$B$208, "mmm-yy"), [2]GASOLINE!$C$5:$C$208, "Not Found")</f>
        <v>5962.7695002232595</v>
      </c>
      <c r="N1362" cm="1">
        <f t="array" ref="N1362">_xlfn.XLOOKUP(TEXT(A1362, "mmm-yy"), TEXT([2]RUNS!$B$5:$B$208, "mmm-yy"), [2]RUNS!$BM$5:$BM$208, "Not Found")</f>
        <v>0.77700782903424792</v>
      </c>
    </row>
    <row r="1363" spans="1:14" x14ac:dyDescent="0.25">
      <c r="A1363" s="1">
        <f>'[1]Global_Spot Prices'!$B2672</f>
        <v>43910</v>
      </c>
      <c r="B1363">
        <f>_xlfn.XLOOKUP(A1363,'[1]Global_Spot Prices'!$B:$B,'[1]Global_Spot Prices'!$BS:$BS)</f>
        <v>-0.43999999999999773</v>
      </c>
      <c r="C1363">
        <f>_xlfn.XLOOKUP(A1363,'[1]Global_Spot Prices'!$B:$B,'[1]Global_Spot Prices'!$E:$E)</f>
        <v>28.7</v>
      </c>
      <c r="D1363">
        <f>_xlfn.XLOOKUP(A1363,'[1]Global_Spot Prices'!$B:$B,'[1]Global_Spot Prices'!$D:$D)</f>
        <v>25.38</v>
      </c>
      <c r="E1363">
        <f>_xlfn.XLOOKUP(A1363,'[1]Global_Spot Prices'!$B:$B,'[1]Global_Spot Prices'!$H:$H)</f>
        <v>26</v>
      </c>
      <c r="F1363">
        <f>_xlfn.XLOOKUP(A1363,'[1]Global_Spot Prices'!$B:$B,'[1]Global_Spot Prices'!$I:$I)</f>
        <v>28.26</v>
      </c>
      <c r="G1363" cm="1">
        <f t="array" ref="G1363">_xlfn.XLOOKUP(TEXT(A1363, "mmm-yy"), TEXT([2]RUNS!$B$5:$B$208, "mmm-yy"), [2]RUNS!$D$5:$D$208, "Not Found")</f>
        <v>28341.826768721614</v>
      </c>
      <c r="H1363" cm="1">
        <f t="array" ref="H1363">SUMPRODUCT(
    --(TEXT('[3]Global Weekly Stock (EWSuez'!$B$4:$B$2000,"mmm-yy")=TEXT(A1363,"mmm-yy")),
    '[3]Global Weekly Stock (EWSuez'!$E$4:$E$2000)
/
SUMPRODUCT(
    --(TEXT('[3]Global Weekly Stock (EWSuez'!$B$4:$B$2000,"mmm-yy")=TEXT(A1363,"mmm-yy"))
)</f>
        <v>14525</v>
      </c>
      <c r="I1363">
        <f>_xlfn.XLOOKUP(A1363,[1]ForwardDeriv!$D:$D,[1]ForwardDeriv!$AJ:$AJ)</f>
        <v>-0.90000000000000213</v>
      </c>
      <c r="J1363" cm="1">
        <f t="array" ref="J1363">_xlfn.XLOOKUP(TEXT(A1363, "mmm-yy"), TEXT([2]GASOLINE!$B$5:$B$208, "mmm-yy"), [2]GASOLINE!$IR$5:$IR$208, "Not Found")</f>
        <v>657.68657959165205</v>
      </c>
      <c r="K1363" cm="1">
        <f t="array" ref="K1363">_xlfn.XLOOKUP(TEXT(A1363, "mmm-yy"), TEXT([2]GASOLINE!$B$5:$B$208, "mmm-yy"), [2]GASOLINE!$IK$5:$IK$208, "Not Found")</f>
        <v>140.72870274099813</v>
      </c>
      <c r="L1363">
        <f t="shared" si="21"/>
        <v>0</v>
      </c>
      <c r="M1363" cm="1">
        <f t="array" ref="M1363">_xlfn.XLOOKUP(TEXT(A1363, "mmm-yy"), TEXT([2]GASOLINE!$B$5:$B$208, "mmm-yy"), [2]GASOLINE!$C$5:$C$208, "Not Found")</f>
        <v>5962.7695002232595</v>
      </c>
      <c r="N1363" cm="1">
        <f t="array" ref="N1363">_xlfn.XLOOKUP(TEXT(A1363, "mmm-yy"), TEXT([2]RUNS!$B$5:$B$208, "mmm-yy"), [2]RUNS!$BM$5:$BM$208, "Not Found")</f>
        <v>0.77700782903424792</v>
      </c>
    </row>
    <row r="1364" spans="1:14" x14ac:dyDescent="0.25">
      <c r="A1364" s="1">
        <f>'[1]Global_Spot Prices'!$B2673</f>
        <v>43913</v>
      </c>
      <c r="B1364">
        <f>_xlfn.XLOOKUP(A1364,'[1]Global_Spot Prices'!$B:$B,'[1]Global_Spot Prices'!$BS:$BS)</f>
        <v>-3.0399999999999991</v>
      </c>
      <c r="C1364">
        <f>_xlfn.XLOOKUP(A1364,'[1]Global_Spot Prices'!$B:$B,'[1]Global_Spot Prices'!$E:$E)</f>
        <v>24.57</v>
      </c>
      <c r="D1364">
        <f>_xlfn.XLOOKUP(A1364,'[1]Global_Spot Prices'!$B:$B,'[1]Global_Spot Prices'!$D:$D)</f>
        <v>22.195</v>
      </c>
      <c r="E1364">
        <f>_xlfn.XLOOKUP(A1364,'[1]Global_Spot Prices'!$B:$B,'[1]Global_Spot Prices'!$H:$H)</f>
        <v>19.86</v>
      </c>
      <c r="F1364">
        <f>_xlfn.XLOOKUP(A1364,'[1]Global_Spot Prices'!$B:$B,'[1]Global_Spot Prices'!$I:$I)</f>
        <v>21.53</v>
      </c>
      <c r="G1364" cm="1">
        <f t="array" ref="G1364">_xlfn.XLOOKUP(TEXT(A1364, "mmm-yy"), TEXT([2]RUNS!$B$5:$B$208, "mmm-yy"), [2]RUNS!$D$5:$D$208, "Not Found")</f>
        <v>28341.826768721614</v>
      </c>
      <c r="H1364" cm="1">
        <f t="array" ref="H1364">SUMPRODUCT(
    --(TEXT('[3]Global Weekly Stock (EWSuez'!$B$4:$B$2000,"mmm-yy")=TEXT(A1364,"mmm-yy")),
    '[3]Global Weekly Stock (EWSuez'!$E$4:$E$2000)
/
SUMPRODUCT(
    --(TEXT('[3]Global Weekly Stock (EWSuez'!$B$4:$B$2000,"mmm-yy")=TEXT(A1364,"mmm-yy"))
)</f>
        <v>14525</v>
      </c>
      <c r="I1364">
        <f>_xlfn.XLOOKUP(A1364,[1]ForwardDeriv!$D:$D,[1]ForwardDeriv!$AJ:$AJ)</f>
        <v>-1.4499999999999993</v>
      </c>
      <c r="J1364" cm="1">
        <f t="array" ref="J1364">_xlfn.XLOOKUP(TEXT(A1364, "mmm-yy"), TEXT([2]GASOLINE!$B$5:$B$208, "mmm-yy"), [2]GASOLINE!$IR$5:$IR$208, "Not Found")</f>
        <v>657.68657959165205</v>
      </c>
      <c r="K1364" cm="1">
        <f t="array" ref="K1364">_xlfn.XLOOKUP(TEXT(A1364, "mmm-yy"), TEXT([2]GASOLINE!$B$5:$B$208, "mmm-yy"), [2]GASOLINE!$IK$5:$IK$208, "Not Found")</f>
        <v>140.72870274099813</v>
      </c>
      <c r="L1364">
        <f t="shared" si="21"/>
        <v>0</v>
      </c>
      <c r="M1364" cm="1">
        <f t="array" ref="M1364">_xlfn.XLOOKUP(TEXT(A1364, "mmm-yy"), TEXT([2]GASOLINE!$B$5:$B$208, "mmm-yy"), [2]GASOLINE!$C$5:$C$208, "Not Found")</f>
        <v>5962.7695002232595</v>
      </c>
      <c r="N1364" cm="1">
        <f t="array" ref="N1364">_xlfn.XLOOKUP(TEXT(A1364, "mmm-yy"), TEXT([2]RUNS!$B$5:$B$208, "mmm-yy"), [2]RUNS!$BM$5:$BM$208, "Not Found")</f>
        <v>0.77700782903424792</v>
      </c>
    </row>
    <row r="1365" spans="1:14" x14ac:dyDescent="0.25">
      <c r="A1365" s="1">
        <f>'[1]Global_Spot Prices'!$B2674</f>
        <v>43914</v>
      </c>
      <c r="B1365">
        <f>_xlfn.XLOOKUP(A1365,'[1]Global_Spot Prices'!$B:$B,'[1]Global_Spot Prices'!$BS:$BS)</f>
        <v>-4.6000000000000014</v>
      </c>
      <c r="C1365">
        <f>_xlfn.XLOOKUP(A1365,'[1]Global_Spot Prices'!$B:$B,'[1]Global_Spot Prices'!$E:$E)</f>
        <v>26.62</v>
      </c>
      <c r="D1365">
        <f>_xlfn.XLOOKUP(A1365,'[1]Global_Spot Prices'!$B:$B,'[1]Global_Spot Prices'!$D:$D)</f>
        <v>24.594999999999999</v>
      </c>
      <c r="E1365">
        <f>_xlfn.XLOOKUP(A1365,'[1]Global_Spot Prices'!$B:$B,'[1]Global_Spot Prices'!$H:$H)</f>
        <v>19.36</v>
      </c>
      <c r="F1365">
        <f>_xlfn.XLOOKUP(A1365,'[1]Global_Spot Prices'!$B:$B,'[1]Global_Spot Prices'!$I:$I)</f>
        <v>22.02</v>
      </c>
      <c r="G1365" cm="1">
        <f t="array" ref="G1365">_xlfn.XLOOKUP(TEXT(A1365, "mmm-yy"), TEXT([2]RUNS!$B$5:$B$208, "mmm-yy"), [2]RUNS!$D$5:$D$208, "Not Found")</f>
        <v>28341.826768721614</v>
      </c>
      <c r="H1365" cm="1">
        <f t="array" ref="H1365">SUMPRODUCT(
    --(TEXT('[3]Global Weekly Stock (EWSuez'!$B$4:$B$2000,"mmm-yy")=TEXT(A1365,"mmm-yy")),
    '[3]Global Weekly Stock (EWSuez'!$E$4:$E$2000)
/
SUMPRODUCT(
    --(TEXT('[3]Global Weekly Stock (EWSuez'!$B$4:$B$2000,"mmm-yy")=TEXT(A1365,"mmm-yy"))
)</f>
        <v>14525</v>
      </c>
      <c r="I1365">
        <f>_xlfn.XLOOKUP(A1365,[1]ForwardDeriv!$D:$D,[1]ForwardDeriv!$AJ:$AJ)</f>
        <v>-1.3000000000000007</v>
      </c>
      <c r="J1365" cm="1">
        <f t="array" ref="J1365">_xlfn.XLOOKUP(TEXT(A1365, "mmm-yy"), TEXT([2]GASOLINE!$B$5:$B$208, "mmm-yy"), [2]GASOLINE!$IR$5:$IR$208, "Not Found")</f>
        <v>657.68657959165205</v>
      </c>
      <c r="K1365" cm="1">
        <f t="array" ref="K1365">_xlfn.XLOOKUP(TEXT(A1365, "mmm-yy"), TEXT([2]GASOLINE!$B$5:$B$208, "mmm-yy"), [2]GASOLINE!$IK$5:$IK$208, "Not Found")</f>
        <v>140.72870274099813</v>
      </c>
      <c r="L1365">
        <f t="shared" si="21"/>
        <v>0</v>
      </c>
      <c r="M1365" cm="1">
        <f t="array" ref="M1365">_xlfn.XLOOKUP(TEXT(A1365, "mmm-yy"), TEXT([2]GASOLINE!$B$5:$B$208, "mmm-yy"), [2]GASOLINE!$C$5:$C$208, "Not Found")</f>
        <v>5962.7695002232595</v>
      </c>
      <c r="N1365" cm="1">
        <f t="array" ref="N1365">_xlfn.XLOOKUP(TEXT(A1365, "mmm-yy"), TEXT([2]RUNS!$B$5:$B$208, "mmm-yy"), [2]RUNS!$BM$5:$BM$208, "Not Found")</f>
        <v>0.77700782903424792</v>
      </c>
    </row>
    <row r="1366" spans="1:14" x14ac:dyDescent="0.25">
      <c r="A1366" s="1">
        <f>'[1]Global_Spot Prices'!$B2675</f>
        <v>43915</v>
      </c>
      <c r="B1366">
        <f>_xlfn.XLOOKUP(A1366,'[1]Global_Spot Prices'!$B:$B,'[1]Global_Spot Prices'!$BS:$BS)</f>
        <v>-6.2100000000000009</v>
      </c>
      <c r="C1366">
        <f>_xlfn.XLOOKUP(A1366,'[1]Global_Spot Prices'!$B:$B,'[1]Global_Spot Prices'!$E:$E)</f>
        <v>27.01</v>
      </c>
      <c r="D1366">
        <f>_xlfn.XLOOKUP(A1366,'[1]Global_Spot Prices'!$B:$B,'[1]Global_Spot Prices'!$D:$D)</f>
        <v>24.04</v>
      </c>
      <c r="E1366">
        <f>_xlfn.XLOOKUP(A1366,'[1]Global_Spot Prices'!$B:$B,'[1]Global_Spot Prices'!$H:$H)</f>
        <v>21.34</v>
      </c>
      <c r="F1366">
        <f>_xlfn.XLOOKUP(A1366,'[1]Global_Spot Prices'!$B:$B,'[1]Global_Spot Prices'!$I:$I)</f>
        <v>20.8</v>
      </c>
      <c r="G1366" cm="1">
        <f t="array" ref="G1366">_xlfn.XLOOKUP(TEXT(A1366, "mmm-yy"), TEXT([2]RUNS!$B$5:$B$208, "mmm-yy"), [2]RUNS!$D$5:$D$208, "Not Found")</f>
        <v>28341.826768721614</v>
      </c>
      <c r="H1366" cm="1">
        <f t="array" ref="H1366">SUMPRODUCT(
    --(TEXT('[3]Global Weekly Stock (EWSuez'!$B$4:$B$2000,"mmm-yy")=TEXT(A1366,"mmm-yy")),
    '[3]Global Weekly Stock (EWSuez'!$E$4:$E$2000)
/
SUMPRODUCT(
    --(TEXT('[3]Global Weekly Stock (EWSuez'!$B$4:$B$2000,"mmm-yy")=TEXT(A1366,"mmm-yy"))
)</f>
        <v>14525</v>
      </c>
      <c r="I1366">
        <f>_xlfn.XLOOKUP(A1366,[1]ForwardDeriv!$D:$D,[1]ForwardDeriv!$AJ:$AJ)</f>
        <v>-1.5599999999999987</v>
      </c>
      <c r="J1366" cm="1">
        <f t="array" ref="J1366">_xlfn.XLOOKUP(TEXT(A1366, "mmm-yy"), TEXT([2]GASOLINE!$B$5:$B$208, "mmm-yy"), [2]GASOLINE!$IR$5:$IR$208, "Not Found")</f>
        <v>657.68657959165205</v>
      </c>
      <c r="K1366" cm="1">
        <f t="array" ref="K1366">_xlfn.XLOOKUP(TEXT(A1366, "mmm-yy"), TEXT([2]GASOLINE!$B$5:$B$208, "mmm-yy"), [2]GASOLINE!$IK$5:$IK$208, "Not Found")</f>
        <v>140.72870274099813</v>
      </c>
      <c r="L1366">
        <f t="shared" si="21"/>
        <v>0</v>
      </c>
      <c r="M1366" cm="1">
        <f t="array" ref="M1366">_xlfn.XLOOKUP(TEXT(A1366, "mmm-yy"), TEXT([2]GASOLINE!$B$5:$B$208, "mmm-yy"), [2]GASOLINE!$C$5:$C$208, "Not Found")</f>
        <v>5962.7695002232595</v>
      </c>
      <c r="N1366" cm="1">
        <f t="array" ref="N1366">_xlfn.XLOOKUP(TEXT(A1366, "mmm-yy"), TEXT([2]RUNS!$B$5:$B$208, "mmm-yy"), [2]RUNS!$BM$5:$BM$208, "Not Found")</f>
        <v>0.77700782903424792</v>
      </c>
    </row>
    <row r="1367" spans="1:14" x14ac:dyDescent="0.25">
      <c r="A1367" s="1">
        <f>'[1]Global_Spot Prices'!$B2676</f>
        <v>43916</v>
      </c>
      <c r="B1367">
        <f>_xlfn.XLOOKUP(A1367,'[1]Global_Spot Prices'!$B:$B,'[1]Global_Spot Prices'!$BS:$BS)</f>
        <v>-4.5999999999999979</v>
      </c>
      <c r="C1367">
        <f>_xlfn.XLOOKUP(A1367,'[1]Global_Spot Prices'!$B:$B,'[1]Global_Spot Prices'!$E:$E)</f>
        <v>25.7</v>
      </c>
      <c r="D1367">
        <f>_xlfn.XLOOKUP(A1367,'[1]Global_Spot Prices'!$B:$B,'[1]Global_Spot Prices'!$D:$D)</f>
        <v>23.55</v>
      </c>
      <c r="E1367">
        <f>_xlfn.XLOOKUP(A1367,'[1]Global_Spot Prices'!$B:$B,'[1]Global_Spot Prices'!$H:$H)</f>
        <v>21.85</v>
      </c>
      <c r="F1367">
        <f>_xlfn.XLOOKUP(A1367,'[1]Global_Spot Prices'!$B:$B,'[1]Global_Spot Prices'!$I:$I)</f>
        <v>21.1</v>
      </c>
      <c r="G1367" cm="1">
        <f t="array" ref="G1367">_xlfn.XLOOKUP(TEXT(A1367, "mmm-yy"), TEXT([2]RUNS!$B$5:$B$208, "mmm-yy"), [2]RUNS!$D$5:$D$208, "Not Found")</f>
        <v>28341.826768721614</v>
      </c>
      <c r="H1367" cm="1">
        <f t="array" ref="H1367">SUMPRODUCT(
    --(TEXT('[3]Global Weekly Stock (EWSuez'!$B$4:$B$2000,"mmm-yy")=TEXT(A1367,"mmm-yy")),
    '[3]Global Weekly Stock (EWSuez'!$E$4:$E$2000)
/
SUMPRODUCT(
    --(TEXT('[3]Global Weekly Stock (EWSuez'!$B$4:$B$2000,"mmm-yy")=TEXT(A1367,"mmm-yy"))
)</f>
        <v>14525</v>
      </c>
      <c r="I1367">
        <f>_xlfn.XLOOKUP(A1367,[1]ForwardDeriv!$D:$D,[1]ForwardDeriv!$AJ:$AJ)</f>
        <v>-1.6400000000000006</v>
      </c>
      <c r="J1367" cm="1">
        <f t="array" ref="J1367">_xlfn.XLOOKUP(TEXT(A1367, "mmm-yy"), TEXT([2]GASOLINE!$B$5:$B$208, "mmm-yy"), [2]GASOLINE!$IR$5:$IR$208, "Not Found")</f>
        <v>657.68657959165205</v>
      </c>
      <c r="K1367" cm="1">
        <f t="array" ref="K1367">_xlfn.XLOOKUP(TEXT(A1367, "mmm-yy"), TEXT([2]GASOLINE!$B$5:$B$208, "mmm-yy"), [2]GASOLINE!$IK$5:$IK$208, "Not Found")</f>
        <v>140.72870274099813</v>
      </c>
      <c r="L1367">
        <f t="shared" si="21"/>
        <v>0</v>
      </c>
      <c r="M1367" cm="1">
        <f t="array" ref="M1367">_xlfn.XLOOKUP(TEXT(A1367, "mmm-yy"), TEXT([2]GASOLINE!$B$5:$B$208, "mmm-yy"), [2]GASOLINE!$C$5:$C$208, "Not Found")</f>
        <v>5962.7695002232595</v>
      </c>
      <c r="N1367" cm="1">
        <f t="array" ref="N1367">_xlfn.XLOOKUP(TEXT(A1367, "mmm-yy"), TEXT([2]RUNS!$B$5:$B$208, "mmm-yy"), [2]RUNS!$BM$5:$BM$208, "Not Found")</f>
        <v>0.77700782903424792</v>
      </c>
    </row>
    <row r="1368" spans="1:14" x14ac:dyDescent="0.25">
      <c r="A1368" s="1">
        <f>'[1]Global_Spot Prices'!$B2677</f>
        <v>43917</v>
      </c>
      <c r="B1368">
        <f>_xlfn.XLOOKUP(A1368,'[1]Global_Spot Prices'!$B:$B,'[1]Global_Spot Prices'!$BS:$BS)</f>
        <v>-3.3300000000000018</v>
      </c>
      <c r="C1368">
        <f>_xlfn.XLOOKUP(A1368,'[1]Global_Spot Prices'!$B:$B,'[1]Global_Spot Prices'!$E:$E)</f>
        <v>25.1</v>
      </c>
      <c r="D1368">
        <f>_xlfn.XLOOKUP(A1368,'[1]Global_Spot Prices'!$B:$B,'[1]Global_Spot Prices'!$D:$D)</f>
        <v>21.1</v>
      </c>
      <c r="E1368">
        <f>_xlfn.XLOOKUP(A1368,'[1]Global_Spot Prices'!$B:$B,'[1]Global_Spot Prices'!$H:$H)</f>
        <v>19.829999999999998</v>
      </c>
      <c r="F1368">
        <f>_xlfn.XLOOKUP(A1368,'[1]Global_Spot Prices'!$B:$B,'[1]Global_Spot Prices'!$I:$I)</f>
        <v>21.77</v>
      </c>
      <c r="G1368" cm="1">
        <f t="array" ref="G1368">_xlfn.XLOOKUP(TEXT(A1368, "mmm-yy"), TEXT([2]RUNS!$B$5:$B$208, "mmm-yy"), [2]RUNS!$D$5:$D$208, "Not Found")</f>
        <v>28341.826768721614</v>
      </c>
      <c r="H1368" cm="1">
        <f t="array" ref="H1368">SUMPRODUCT(
    --(TEXT('[3]Global Weekly Stock (EWSuez'!$B$4:$B$2000,"mmm-yy")=TEXT(A1368,"mmm-yy")),
    '[3]Global Weekly Stock (EWSuez'!$E$4:$E$2000)
/
SUMPRODUCT(
    --(TEXT('[3]Global Weekly Stock (EWSuez'!$B$4:$B$2000,"mmm-yy")=TEXT(A1368,"mmm-yy"))
)</f>
        <v>14525</v>
      </c>
      <c r="I1368">
        <f>_xlfn.XLOOKUP(A1368,[1]ForwardDeriv!$D:$D,[1]ForwardDeriv!$AJ:$AJ)</f>
        <v>-1.3200000000000003</v>
      </c>
      <c r="J1368" cm="1">
        <f t="array" ref="J1368">_xlfn.XLOOKUP(TEXT(A1368, "mmm-yy"), TEXT([2]GASOLINE!$B$5:$B$208, "mmm-yy"), [2]GASOLINE!$IR$5:$IR$208, "Not Found")</f>
        <v>657.68657959165205</v>
      </c>
      <c r="K1368" cm="1">
        <f t="array" ref="K1368">_xlfn.XLOOKUP(TEXT(A1368, "mmm-yy"), TEXT([2]GASOLINE!$B$5:$B$208, "mmm-yy"), [2]GASOLINE!$IK$5:$IK$208, "Not Found")</f>
        <v>140.72870274099813</v>
      </c>
      <c r="L1368">
        <f t="shared" si="21"/>
        <v>0</v>
      </c>
      <c r="M1368" cm="1">
        <f t="array" ref="M1368">_xlfn.XLOOKUP(TEXT(A1368, "mmm-yy"), TEXT([2]GASOLINE!$B$5:$B$208, "mmm-yy"), [2]GASOLINE!$C$5:$C$208, "Not Found")</f>
        <v>5962.7695002232595</v>
      </c>
      <c r="N1368" cm="1">
        <f t="array" ref="N1368">_xlfn.XLOOKUP(TEXT(A1368, "mmm-yy"), TEXT([2]RUNS!$B$5:$B$208, "mmm-yy"), [2]RUNS!$BM$5:$BM$208, "Not Found")</f>
        <v>0.77700782903424792</v>
      </c>
    </row>
    <row r="1369" spans="1:14" x14ac:dyDescent="0.25">
      <c r="A1369" s="1">
        <f>'[1]Global_Spot Prices'!$B2678</f>
        <v>43920</v>
      </c>
      <c r="B1369">
        <f>_xlfn.XLOOKUP(A1369,'[1]Global_Spot Prices'!$B:$B,'[1]Global_Spot Prices'!$BS:$BS)</f>
        <v>-4.18</v>
      </c>
      <c r="C1369">
        <f>_xlfn.XLOOKUP(A1369,'[1]Global_Spot Prices'!$B:$B,'[1]Global_Spot Prices'!$E:$E)</f>
        <v>23.2</v>
      </c>
      <c r="D1369">
        <f>_xlfn.XLOOKUP(A1369,'[1]Global_Spot Prices'!$B:$B,'[1]Global_Spot Prices'!$D:$D)</f>
        <v>17.79</v>
      </c>
      <c r="E1369">
        <f>_xlfn.XLOOKUP(A1369,'[1]Global_Spot Prices'!$B:$B,'[1]Global_Spot Prices'!$H:$H)</f>
        <v>18.66</v>
      </c>
      <c r="F1369">
        <f>_xlfn.XLOOKUP(A1369,'[1]Global_Spot Prices'!$B:$B,'[1]Global_Spot Prices'!$I:$I)</f>
        <v>19.02</v>
      </c>
      <c r="G1369" cm="1">
        <f t="array" ref="G1369">_xlfn.XLOOKUP(TEXT(A1369, "mmm-yy"), TEXT([2]RUNS!$B$5:$B$208, "mmm-yy"), [2]RUNS!$D$5:$D$208, "Not Found")</f>
        <v>28341.826768721614</v>
      </c>
      <c r="H1369" cm="1">
        <f t="array" ref="H1369">SUMPRODUCT(
    --(TEXT('[3]Global Weekly Stock (EWSuez'!$B$4:$B$2000,"mmm-yy")=TEXT(A1369,"mmm-yy")),
    '[3]Global Weekly Stock (EWSuez'!$E$4:$E$2000)
/
SUMPRODUCT(
    --(TEXT('[3]Global Weekly Stock (EWSuez'!$B$4:$B$2000,"mmm-yy")=TEXT(A1369,"mmm-yy"))
)</f>
        <v>14525</v>
      </c>
      <c r="I1369">
        <f>_xlfn.XLOOKUP(A1369,[1]ForwardDeriv!$D:$D,[1]ForwardDeriv!$AJ:$AJ)</f>
        <v>-1.8999999999999986</v>
      </c>
      <c r="J1369" cm="1">
        <f t="array" ref="J1369">_xlfn.XLOOKUP(TEXT(A1369, "mmm-yy"), TEXT([2]GASOLINE!$B$5:$B$208, "mmm-yy"), [2]GASOLINE!$IR$5:$IR$208, "Not Found")</f>
        <v>657.68657959165205</v>
      </c>
      <c r="K1369" cm="1">
        <f t="array" ref="K1369">_xlfn.XLOOKUP(TEXT(A1369, "mmm-yy"), TEXT([2]GASOLINE!$B$5:$B$208, "mmm-yy"), [2]GASOLINE!$IK$5:$IK$208, "Not Found")</f>
        <v>140.72870274099813</v>
      </c>
      <c r="L1369">
        <f t="shared" si="21"/>
        <v>0</v>
      </c>
      <c r="M1369" cm="1">
        <f t="array" ref="M1369">_xlfn.XLOOKUP(TEXT(A1369, "mmm-yy"), TEXT([2]GASOLINE!$B$5:$B$208, "mmm-yy"), [2]GASOLINE!$C$5:$C$208, "Not Found")</f>
        <v>5962.7695002232595</v>
      </c>
      <c r="N1369" cm="1">
        <f t="array" ref="N1369">_xlfn.XLOOKUP(TEXT(A1369, "mmm-yy"), TEXT([2]RUNS!$B$5:$B$208, "mmm-yy"), [2]RUNS!$BM$5:$BM$208, "Not Found")</f>
        <v>0.77700782903424792</v>
      </c>
    </row>
    <row r="1370" spans="1:14" x14ac:dyDescent="0.25">
      <c r="A1370" s="1">
        <f>'[1]Global_Spot Prices'!$B2679</f>
        <v>43921</v>
      </c>
      <c r="B1370">
        <f>_xlfn.XLOOKUP(A1370,'[1]Global_Spot Prices'!$B:$B,'[1]Global_Spot Prices'!$BS:$BS)</f>
        <v>-2.3599999999999994</v>
      </c>
      <c r="C1370">
        <f>_xlfn.XLOOKUP(A1370,'[1]Global_Spot Prices'!$B:$B,'[1]Global_Spot Prices'!$E:$E)</f>
        <v>23.4</v>
      </c>
      <c r="D1370">
        <f>_xlfn.XLOOKUP(A1370,'[1]Global_Spot Prices'!$B:$B,'[1]Global_Spot Prices'!$D:$D)</f>
        <v>17.675000000000001</v>
      </c>
      <c r="E1370">
        <f>_xlfn.XLOOKUP(A1370,'[1]Global_Spot Prices'!$B:$B,'[1]Global_Spot Prices'!$H:$H)</f>
        <v>18.690000000000001</v>
      </c>
      <c r="F1370">
        <f>_xlfn.XLOOKUP(A1370,'[1]Global_Spot Prices'!$B:$B,'[1]Global_Spot Prices'!$I:$I)</f>
        <v>21.04</v>
      </c>
      <c r="G1370" cm="1">
        <f t="array" ref="G1370">_xlfn.XLOOKUP(TEXT(A1370, "mmm-yy"), TEXT([2]RUNS!$B$5:$B$208, "mmm-yy"), [2]RUNS!$D$5:$D$208, "Not Found")</f>
        <v>28341.826768721614</v>
      </c>
      <c r="H1370" cm="1">
        <f t="array" ref="H1370">SUMPRODUCT(
    --(TEXT('[3]Global Weekly Stock (EWSuez'!$B$4:$B$2000,"mmm-yy")=TEXT(A1370,"mmm-yy")),
    '[3]Global Weekly Stock (EWSuez'!$E$4:$E$2000)
/
SUMPRODUCT(
    --(TEXT('[3]Global Weekly Stock (EWSuez'!$B$4:$B$2000,"mmm-yy")=TEXT(A1370,"mmm-yy"))
)</f>
        <v>14525</v>
      </c>
      <c r="I1370">
        <f>_xlfn.XLOOKUP(A1370,[1]ForwardDeriv!$D:$D,[1]ForwardDeriv!$AJ:$AJ)</f>
        <v>-1.9499999999999993</v>
      </c>
      <c r="J1370" cm="1">
        <f t="array" ref="J1370">_xlfn.XLOOKUP(TEXT(A1370, "mmm-yy"), TEXT([2]GASOLINE!$B$5:$B$208, "mmm-yy"), [2]GASOLINE!$IR$5:$IR$208, "Not Found")</f>
        <v>657.68657959165205</v>
      </c>
      <c r="K1370" cm="1">
        <f t="array" ref="K1370">_xlfn.XLOOKUP(TEXT(A1370, "mmm-yy"), TEXT([2]GASOLINE!$B$5:$B$208, "mmm-yy"), [2]GASOLINE!$IK$5:$IK$208, "Not Found")</f>
        <v>140.72870274099813</v>
      </c>
      <c r="L1370">
        <f t="shared" si="21"/>
        <v>0</v>
      </c>
      <c r="M1370" cm="1">
        <f t="array" ref="M1370">_xlfn.XLOOKUP(TEXT(A1370, "mmm-yy"), TEXT([2]GASOLINE!$B$5:$B$208, "mmm-yy"), [2]GASOLINE!$C$5:$C$208, "Not Found")</f>
        <v>5962.7695002232595</v>
      </c>
      <c r="N1370" cm="1">
        <f t="array" ref="N1370">_xlfn.XLOOKUP(TEXT(A1370, "mmm-yy"), TEXT([2]RUNS!$B$5:$B$208, "mmm-yy"), [2]RUNS!$BM$5:$BM$208, "Not Found")</f>
        <v>0.77700782903424792</v>
      </c>
    </row>
    <row r="1371" spans="1:14" x14ac:dyDescent="0.25">
      <c r="A1371" s="1">
        <f>'[1]Global_Spot Prices'!$B2680</f>
        <v>43922</v>
      </c>
      <c r="B1371">
        <f>_xlfn.XLOOKUP(A1371,'[1]Global_Spot Prices'!$B:$B,'[1]Global_Spot Prices'!$BS:$BS)</f>
        <v>-3.1899999999999977</v>
      </c>
      <c r="C1371">
        <f>_xlfn.XLOOKUP(A1371,'[1]Global_Spot Prices'!$B:$B,'[1]Global_Spot Prices'!$E:$E)</f>
        <v>21.2</v>
      </c>
      <c r="D1371">
        <f>_xlfn.XLOOKUP(A1371,'[1]Global_Spot Prices'!$B:$B,'[1]Global_Spot Prices'!$D:$D)</f>
        <v>15.135</v>
      </c>
      <c r="E1371">
        <f>_xlfn.XLOOKUP(A1371,'[1]Global_Spot Prices'!$B:$B,'[1]Global_Spot Prices'!$H:$H)</f>
        <v>15.54</v>
      </c>
      <c r="F1371">
        <f>_xlfn.XLOOKUP(A1371,'[1]Global_Spot Prices'!$B:$B,'[1]Global_Spot Prices'!$I:$I)</f>
        <v>18.010000000000002</v>
      </c>
      <c r="G1371" cm="1">
        <f t="array" ref="G1371">_xlfn.XLOOKUP(TEXT(A1371, "mmm-yy"), TEXT([2]RUNS!$B$5:$B$208, "mmm-yy"), [2]RUNS!$D$5:$D$208, "Not Found")</f>
        <v>26677.243484221111</v>
      </c>
      <c r="H1371" cm="1">
        <f t="array" ref="H1371">SUMPRODUCT(
    --(TEXT('[3]Global Weekly Stock (EWSuez'!$B$4:$B$2000,"mmm-yy")=TEXT(A1371,"mmm-yy")),
    '[3]Global Weekly Stock (EWSuez'!$E$4:$E$2000)
/
SUMPRODUCT(
    --(TEXT('[3]Global Weekly Stock (EWSuez'!$B$4:$B$2000,"mmm-yy")=TEXT(A1371,"mmm-yy"))
)</f>
        <v>15696.25</v>
      </c>
      <c r="I1371">
        <f>_xlfn.XLOOKUP(A1371,[1]ForwardDeriv!$D:$D,[1]ForwardDeriv!$AJ:$AJ)</f>
        <v>-2.3500000000000014</v>
      </c>
      <c r="J1371" cm="1">
        <f t="array" ref="J1371">_xlfn.XLOOKUP(TEXT(A1371, "mmm-yy"), TEXT([2]GASOLINE!$B$5:$B$208, "mmm-yy"), [2]GASOLINE!$IR$5:$IR$208, "Not Found")</f>
        <v>727.93787489924136</v>
      </c>
      <c r="K1371" cm="1">
        <f t="array" ref="K1371">_xlfn.XLOOKUP(TEXT(A1371, "mmm-yy"), TEXT([2]GASOLINE!$B$5:$B$208, "mmm-yy"), [2]GASOLINE!$IK$5:$IK$208, "Not Found")</f>
        <v>126.88194083554508</v>
      </c>
      <c r="L1371">
        <f t="shared" si="21"/>
        <v>0</v>
      </c>
      <c r="M1371" cm="1">
        <f t="array" ref="M1371">_xlfn.XLOOKUP(TEXT(A1371, "mmm-yy"), TEXT([2]GASOLINE!$B$5:$B$208, "mmm-yy"), [2]GASOLINE!$C$5:$C$208, "Not Found")</f>
        <v>5338.3592741737684</v>
      </c>
      <c r="N1371" cm="1">
        <f t="array" ref="N1371">_xlfn.XLOOKUP(TEXT(A1371, "mmm-yy"), TEXT([2]RUNS!$B$5:$B$208, "mmm-yy"), [2]RUNS!$BM$5:$BM$208, "Not Found")</f>
        <v>0.73137230050283242</v>
      </c>
    </row>
    <row r="1372" spans="1:14" x14ac:dyDescent="0.25">
      <c r="A1372" s="1">
        <f>'[1]Global_Spot Prices'!$B2681</f>
        <v>43923</v>
      </c>
      <c r="B1372">
        <f>_xlfn.XLOOKUP(A1372,'[1]Global_Spot Prices'!$B:$B,'[1]Global_Spot Prices'!$BS:$BS)</f>
        <v>-0.85000000000000142</v>
      </c>
      <c r="C1372">
        <f ca="1">_xlfn.XLOOKUP(A1372,'[1]Global_Spot Prices'!$B:$B,'[1]Global_Spot Prices'!$E:$E)</f>
        <v>21.5</v>
      </c>
      <c r="D1372">
        <f>_xlfn.XLOOKUP(A1372,'[1]Global_Spot Prices'!$B:$B,'[1]Global_Spot Prices'!$D:$D)</f>
        <v>19.125</v>
      </c>
      <c r="E1372">
        <f>_xlfn.XLOOKUP(A1372,'[1]Global_Spot Prices'!$B:$B,'[1]Global_Spot Prices'!$H:$H)</f>
        <v>16.690000000000001</v>
      </c>
      <c r="F1372">
        <f>_xlfn.XLOOKUP(A1372,'[1]Global_Spot Prices'!$B:$B,'[1]Global_Spot Prices'!$I:$I)</f>
        <v>20.65</v>
      </c>
      <c r="G1372" cm="1">
        <f t="array" ref="G1372">_xlfn.XLOOKUP(TEXT(A1372, "mmm-yy"), TEXT([2]RUNS!$B$5:$B$208, "mmm-yy"), [2]RUNS!$D$5:$D$208, "Not Found")</f>
        <v>26677.243484221111</v>
      </c>
      <c r="H1372" cm="1">
        <f t="array" ref="H1372">SUMPRODUCT(
    --(TEXT('[3]Global Weekly Stock (EWSuez'!$B$4:$B$2000,"mmm-yy")=TEXT(A1372,"mmm-yy")),
    '[3]Global Weekly Stock (EWSuez'!$E$4:$E$2000)
/
SUMPRODUCT(
    --(TEXT('[3]Global Weekly Stock (EWSuez'!$B$4:$B$2000,"mmm-yy")=TEXT(A1372,"mmm-yy"))
)</f>
        <v>15696.25</v>
      </c>
      <c r="I1372">
        <f>_xlfn.XLOOKUP(A1372,[1]ForwardDeriv!$D:$D,[1]ForwardDeriv!$AJ:$AJ)</f>
        <v>-2.5</v>
      </c>
      <c r="J1372" cm="1">
        <f t="array" ref="J1372">_xlfn.XLOOKUP(TEXT(A1372, "mmm-yy"), TEXT([2]GASOLINE!$B$5:$B$208, "mmm-yy"), [2]GASOLINE!$IR$5:$IR$208, "Not Found")</f>
        <v>727.93787489924136</v>
      </c>
      <c r="K1372" cm="1">
        <f t="array" ref="K1372">_xlfn.XLOOKUP(TEXT(A1372, "mmm-yy"), TEXT([2]GASOLINE!$B$5:$B$208, "mmm-yy"), [2]GASOLINE!$IK$5:$IK$208, "Not Found")</f>
        <v>126.88194083554508</v>
      </c>
      <c r="L1372">
        <f t="shared" si="21"/>
        <v>0</v>
      </c>
      <c r="M1372" cm="1">
        <f t="array" ref="M1372">_xlfn.XLOOKUP(TEXT(A1372, "mmm-yy"), TEXT([2]GASOLINE!$B$5:$B$208, "mmm-yy"), [2]GASOLINE!$C$5:$C$208, "Not Found")</f>
        <v>5338.3592741737684</v>
      </c>
      <c r="N1372" cm="1">
        <f t="array" ref="N1372">_xlfn.XLOOKUP(TEXT(A1372, "mmm-yy"), TEXT([2]RUNS!$B$5:$B$208, "mmm-yy"), [2]RUNS!$BM$5:$BM$208, "Not Found")</f>
        <v>0.73137230050283242</v>
      </c>
    </row>
    <row r="1373" spans="1:14" x14ac:dyDescent="0.25">
      <c r="A1373" s="1">
        <f>'[1]Global_Spot Prices'!$B2682</f>
        <v>43924</v>
      </c>
      <c r="B1373">
        <f>_xlfn.XLOOKUP(A1373,'[1]Global_Spot Prices'!$B:$B,'[1]Global_Spot Prices'!$BS:$BS)</f>
        <v>-2.5199999999999996</v>
      </c>
      <c r="C1373">
        <f>_xlfn.XLOOKUP(A1373,'[1]Global_Spot Prices'!$B:$B,'[1]Global_Spot Prices'!$E:$E)</f>
        <v>24.49</v>
      </c>
      <c r="D1373">
        <f>_xlfn.XLOOKUP(A1373,'[1]Global_Spot Prices'!$B:$B,'[1]Global_Spot Prices'!$D:$D)</f>
        <v>23.67</v>
      </c>
      <c r="E1373">
        <f>_xlfn.XLOOKUP(A1373,'[1]Global_Spot Prices'!$B:$B,'[1]Global_Spot Prices'!$H:$H)</f>
        <v>19.760000000000002</v>
      </c>
      <c r="F1373">
        <f>_xlfn.XLOOKUP(A1373,'[1]Global_Spot Prices'!$B:$B,'[1]Global_Spot Prices'!$I:$I)</f>
        <v>21.97</v>
      </c>
      <c r="G1373" cm="1">
        <f t="array" ref="G1373">_xlfn.XLOOKUP(TEXT(A1373, "mmm-yy"), TEXT([2]RUNS!$B$5:$B$208, "mmm-yy"), [2]RUNS!$D$5:$D$208, "Not Found")</f>
        <v>26677.243484221111</v>
      </c>
      <c r="H1373" cm="1">
        <f t="array" ref="H1373">SUMPRODUCT(
    --(TEXT('[3]Global Weekly Stock (EWSuez'!$B$4:$B$2000,"mmm-yy")=TEXT(A1373,"mmm-yy")),
    '[3]Global Weekly Stock (EWSuez'!$E$4:$E$2000)
/
SUMPRODUCT(
    --(TEXT('[3]Global Weekly Stock (EWSuez'!$B$4:$B$2000,"mmm-yy")=TEXT(A1373,"mmm-yy"))
)</f>
        <v>15696.25</v>
      </c>
      <c r="I1373">
        <f>_xlfn.XLOOKUP(A1373,[1]ForwardDeriv!$D:$D,[1]ForwardDeriv!$AJ:$AJ)</f>
        <v>-2.8200000000000003</v>
      </c>
      <c r="J1373" cm="1">
        <f t="array" ref="J1373">_xlfn.XLOOKUP(TEXT(A1373, "mmm-yy"), TEXT([2]GASOLINE!$B$5:$B$208, "mmm-yy"), [2]GASOLINE!$IR$5:$IR$208, "Not Found")</f>
        <v>727.93787489924136</v>
      </c>
      <c r="K1373" cm="1">
        <f t="array" ref="K1373">_xlfn.XLOOKUP(TEXT(A1373, "mmm-yy"), TEXT([2]GASOLINE!$B$5:$B$208, "mmm-yy"), [2]GASOLINE!$IK$5:$IK$208, "Not Found")</f>
        <v>126.88194083554508</v>
      </c>
      <c r="L1373">
        <f t="shared" si="21"/>
        <v>0</v>
      </c>
      <c r="M1373" cm="1">
        <f t="array" ref="M1373">_xlfn.XLOOKUP(TEXT(A1373, "mmm-yy"), TEXT([2]GASOLINE!$B$5:$B$208, "mmm-yy"), [2]GASOLINE!$C$5:$C$208, "Not Found")</f>
        <v>5338.3592741737684</v>
      </c>
      <c r="N1373" cm="1">
        <f t="array" ref="N1373">_xlfn.XLOOKUP(TEXT(A1373, "mmm-yy"), TEXT([2]RUNS!$B$5:$B$208, "mmm-yy"), [2]RUNS!$BM$5:$BM$208, "Not Found")</f>
        <v>0.73137230050283242</v>
      </c>
    </row>
    <row r="1374" spans="1:14" x14ac:dyDescent="0.25">
      <c r="A1374" s="1">
        <f>'[1]Global_Spot Prices'!$B2683</f>
        <v>43927</v>
      </c>
      <c r="B1374">
        <f>_xlfn.XLOOKUP(A1374,'[1]Global_Spot Prices'!$B:$B,'[1]Global_Spot Prices'!$BS:$BS)</f>
        <v>-2.370000000000001</v>
      </c>
      <c r="C1374">
        <f>_xlfn.XLOOKUP(A1374,'[1]Global_Spot Prices'!$B:$B,'[1]Global_Spot Prices'!$E:$E)</f>
        <v>24.89</v>
      </c>
      <c r="D1374">
        <f>_xlfn.XLOOKUP(A1374,'[1]Global_Spot Prices'!$B:$B,'[1]Global_Spot Prices'!$D:$D)</f>
        <v>22.475000000000001</v>
      </c>
      <c r="E1374">
        <f>_xlfn.XLOOKUP(A1374,'[1]Global_Spot Prices'!$B:$B,'[1]Global_Spot Prices'!$H:$H)</f>
        <v>19.510000000000002</v>
      </c>
      <c r="F1374">
        <f>_xlfn.XLOOKUP(A1374,'[1]Global_Spot Prices'!$B:$B,'[1]Global_Spot Prices'!$I:$I)</f>
        <v>22.52</v>
      </c>
      <c r="G1374" cm="1">
        <f t="array" ref="G1374">_xlfn.XLOOKUP(TEXT(A1374, "mmm-yy"), TEXT([2]RUNS!$B$5:$B$208, "mmm-yy"), [2]RUNS!$D$5:$D$208, "Not Found")</f>
        <v>26677.243484221111</v>
      </c>
      <c r="H1374" cm="1">
        <f t="array" ref="H1374">SUMPRODUCT(
    --(TEXT('[3]Global Weekly Stock (EWSuez'!$B$4:$B$2000,"mmm-yy")=TEXT(A1374,"mmm-yy")),
    '[3]Global Weekly Stock (EWSuez'!$E$4:$E$2000)
/
SUMPRODUCT(
    --(TEXT('[3]Global Weekly Stock (EWSuez'!$B$4:$B$2000,"mmm-yy")=TEXT(A1374,"mmm-yy"))
)</f>
        <v>15696.25</v>
      </c>
      <c r="I1374">
        <f>_xlfn.XLOOKUP(A1374,[1]ForwardDeriv!$D:$D,[1]ForwardDeriv!$AJ:$AJ)</f>
        <v>-2.5500000000000007</v>
      </c>
      <c r="J1374" cm="1">
        <f t="array" ref="J1374">_xlfn.XLOOKUP(TEXT(A1374, "mmm-yy"), TEXT([2]GASOLINE!$B$5:$B$208, "mmm-yy"), [2]GASOLINE!$IR$5:$IR$208, "Not Found")</f>
        <v>727.93787489924136</v>
      </c>
      <c r="K1374" cm="1">
        <f t="array" ref="K1374">_xlfn.XLOOKUP(TEXT(A1374, "mmm-yy"), TEXT([2]GASOLINE!$B$5:$B$208, "mmm-yy"), [2]GASOLINE!$IK$5:$IK$208, "Not Found")</f>
        <v>126.88194083554508</v>
      </c>
      <c r="L1374">
        <f t="shared" si="21"/>
        <v>0</v>
      </c>
      <c r="M1374" cm="1">
        <f t="array" ref="M1374">_xlfn.XLOOKUP(TEXT(A1374, "mmm-yy"), TEXT([2]GASOLINE!$B$5:$B$208, "mmm-yy"), [2]GASOLINE!$C$5:$C$208, "Not Found")</f>
        <v>5338.3592741737684</v>
      </c>
      <c r="N1374" cm="1">
        <f t="array" ref="N1374">_xlfn.XLOOKUP(TEXT(A1374, "mmm-yy"), TEXT([2]RUNS!$B$5:$B$208, "mmm-yy"), [2]RUNS!$BM$5:$BM$208, "Not Found")</f>
        <v>0.73137230050283242</v>
      </c>
    </row>
    <row r="1375" spans="1:14" x14ac:dyDescent="0.25">
      <c r="A1375" s="1">
        <f>'[1]Global_Spot Prices'!$B2684</f>
        <v>43928</v>
      </c>
      <c r="B1375">
        <f>_xlfn.XLOOKUP(A1375,'[1]Global_Spot Prices'!$B:$B,'[1]Global_Spot Prices'!$BS:$BS)</f>
        <v>-1.9299999999999997</v>
      </c>
      <c r="C1375">
        <f>_xlfn.XLOOKUP(A1375,'[1]Global_Spot Prices'!$B:$B,'[1]Global_Spot Prices'!$E:$E)</f>
        <v>24.9</v>
      </c>
      <c r="D1375">
        <f>_xlfn.XLOOKUP(A1375,'[1]Global_Spot Prices'!$B:$B,'[1]Global_Spot Prices'!$D:$D)</f>
        <v>22.97</v>
      </c>
      <c r="E1375">
        <f>_xlfn.XLOOKUP(A1375,'[1]Global_Spot Prices'!$B:$B,'[1]Global_Spot Prices'!$H:$H)</f>
        <v>18.649999999999999</v>
      </c>
      <c r="F1375">
        <f>_xlfn.XLOOKUP(A1375,'[1]Global_Spot Prices'!$B:$B,'[1]Global_Spot Prices'!$I:$I)</f>
        <v>22.97</v>
      </c>
      <c r="G1375" cm="1">
        <f t="array" ref="G1375">_xlfn.XLOOKUP(TEXT(A1375, "mmm-yy"), TEXT([2]RUNS!$B$5:$B$208, "mmm-yy"), [2]RUNS!$D$5:$D$208, "Not Found")</f>
        <v>26677.243484221111</v>
      </c>
      <c r="H1375" cm="1">
        <f t="array" ref="H1375">SUMPRODUCT(
    --(TEXT('[3]Global Weekly Stock (EWSuez'!$B$4:$B$2000,"mmm-yy")=TEXT(A1375,"mmm-yy")),
    '[3]Global Weekly Stock (EWSuez'!$E$4:$E$2000)
/
SUMPRODUCT(
    --(TEXT('[3]Global Weekly Stock (EWSuez'!$B$4:$B$2000,"mmm-yy")=TEXT(A1375,"mmm-yy"))
)</f>
        <v>15696.25</v>
      </c>
      <c r="I1375">
        <f>_xlfn.XLOOKUP(A1375,[1]ForwardDeriv!$D:$D,[1]ForwardDeriv!$AJ:$AJ)</f>
        <v>-2.5500000000000007</v>
      </c>
      <c r="J1375" cm="1">
        <f t="array" ref="J1375">_xlfn.XLOOKUP(TEXT(A1375, "mmm-yy"), TEXT([2]GASOLINE!$B$5:$B$208, "mmm-yy"), [2]GASOLINE!$IR$5:$IR$208, "Not Found")</f>
        <v>727.93787489924136</v>
      </c>
      <c r="K1375" cm="1">
        <f t="array" ref="K1375">_xlfn.XLOOKUP(TEXT(A1375, "mmm-yy"), TEXT([2]GASOLINE!$B$5:$B$208, "mmm-yy"), [2]GASOLINE!$IK$5:$IK$208, "Not Found")</f>
        <v>126.88194083554508</v>
      </c>
      <c r="L1375">
        <f t="shared" si="21"/>
        <v>0</v>
      </c>
      <c r="M1375" cm="1">
        <f t="array" ref="M1375">_xlfn.XLOOKUP(TEXT(A1375, "mmm-yy"), TEXT([2]GASOLINE!$B$5:$B$208, "mmm-yy"), [2]GASOLINE!$C$5:$C$208, "Not Found")</f>
        <v>5338.3592741737684</v>
      </c>
      <c r="N1375" cm="1">
        <f t="array" ref="N1375">_xlfn.XLOOKUP(TEXT(A1375, "mmm-yy"), TEXT([2]RUNS!$B$5:$B$208, "mmm-yy"), [2]RUNS!$BM$5:$BM$208, "Not Found")</f>
        <v>0.73137230050283242</v>
      </c>
    </row>
    <row r="1376" spans="1:14" x14ac:dyDescent="0.25">
      <c r="A1376" s="1">
        <f>'[1]Global_Spot Prices'!$B2685</f>
        <v>43929</v>
      </c>
      <c r="B1376">
        <f>_xlfn.XLOOKUP(A1376,'[1]Global_Spot Prices'!$B:$B,'[1]Global_Spot Prices'!$BS:$BS)</f>
        <v>-4.18</v>
      </c>
      <c r="C1376">
        <f>_xlfn.XLOOKUP(A1376,'[1]Global_Spot Prices'!$B:$B,'[1]Global_Spot Prices'!$E:$E)</f>
        <v>23.5</v>
      </c>
      <c r="D1376">
        <f>_xlfn.XLOOKUP(A1376,'[1]Global_Spot Prices'!$B:$B,'[1]Global_Spot Prices'!$D:$D)</f>
        <v>22.32</v>
      </c>
      <c r="E1376">
        <f>_xlfn.XLOOKUP(A1376,'[1]Global_Spot Prices'!$B:$B,'[1]Global_Spot Prices'!$H:$H)</f>
        <v>16.829999999999998</v>
      </c>
      <c r="F1376">
        <f>_xlfn.XLOOKUP(A1376,'[1]Global_Spot Prices'!$B:$B,'[1]Global_Spot Prices'!$I:$I)</f>
        <v>19.32</v>
      </c>
      <c r="G1376" cm="1">
        <f t="array" ref="G1376">_xlfn.XLOOKUP(TEXT(A1376, "mmm-yy"), TEXT([2]RUNS!$B$5:$B$208, "mmm-yy"), [2]RUNS!$D$5:$D$208, "Not Found")</f>
        <v>26677.243484221111</v>
      </c>
      <c r="H1376" cm="1">
        <f t="array" ref="H1376">SUMPRODUCT(
    --(TEXT('[3]Global Weekly Stock (EWSuez'!$B$4:$B$2000,"mmm-yy")=TEXT(A1376,"mmm-yy")),
    '[3]Global Weekly Stock (EWSuez'!$E$4:$E$2000)
/
SUMPRODUCT(
    --(TEXT('[3]Global Weekly Stock (EWSuez'!$B$4:$B$2000,"mmm-yy")=TEXT(A1376,"mmm-yy"))
)</f>
        <v>15696.25</v>
      </c>
      <c r="I1376">
        <f>_xlfn.XLOOKUP(A1376,[1]ForwardDeriv!$D:$D,[1]ForwardDeriv!$AJ:$AJ)</f>
        <v>-3.3000000000000007</v>
      </c>
      <c r="J1376" cm="1">
        <f t="array" ref="J1376">_xlfn.XLOOKUP(TEXT(A1376, "mmm-yy"), TEXT([2]GASOLINE!$B$5:$B$208, "mmm-yy"), [2]GASOLINE!$IR$5:$IR$208, "Not Found")</f>
        <v>727.93787489924136</v>
      </c>
      <c r="K1376" cm="1">
        <f t="array" ref="K1376">_xlfn.XLOOKUP(TEXT(A1376, "mmm-yy"), TEXT([2]GASOLINE!$B$5:$B$208, "mmm-yy"), [2]GASOLINE!$IK$5:$IK$208, "Not Found")</f>
        <v>126.88194083554508</v>
      </c>
      <c r="L1376">
        <f t="shared" si="21"/>
        <v>0</v>
      </c>
      <c r="M1376" cm="1">
        <f t="array" ref="M1376">_xlfn.XLOOKUP(TEXT(A1376, "mmm-yy"), TEXT([2]GASOLINE!$B$5:$B$208, "mmm-yy"), [2]GASOLINE!$C$5:$C$208, "Not Found")</f>
        <v>5338.3592741737684</v>
      </c>
      <c r="N1376" cm="1">
        <f t="array" ref="N1376">_xlfn.XLOOKUP(TEXT(A1376, "mmm-yy"), TEXT([2]RUNS!$B$5:$B$208, "mmm-yy"), [2]RUNS!$BM$5:$BM$208, "Not Found")</f>
        <v>0.73137230050283242</v>
      </c>
    </row>
    <row r="1377" spans="1:14" x14ac:dyDescent="0.25">
      <c r="A1377" s="1">
        <f>'[1]Global_Spot Prices'!$B2686</f>
        <v>43930</v>
      </c>
      <c r="B1377">
        <f>_xlfn.XLOOKUP(A1377,'[1]Global_Spot Prices'!$B:$B,'[1]Global_Spot Prices'!$BS:$BS)</f>
        <v>-3.0600000000000023</v>
      </c>
      <c r="C1377">
        <f>_xlfn.XLOOKUP(A1377,'[1]Global_Spot Prices'!$B:$B,'[1]Global_Spot Prices'!$E:$E)</f>
        <v>23.35</v>
      </c>
      <c r="D1377">
        <f>_xlfn.XLOOKUP(A1377,'[1]Global_Spot Prices'!$B:$B,'[1]Global_Spot Prices'!$D:$D)</f>
        <v>23.73</v>
      </c>
      <c r="E1377">
        <f>_xlfn.XLOOKUP(A1377,'[1]Global_Spot Prices'!$B:$B,'[1]Global_Spot Prices'!$H:$H)</f>
        <v>17.579999999999998</v>
      </c>
      <c r="F1377">
        <f>_xlfn.XLOOKUP(A1377,'[1]Global_Spot Prices'!$B:$B,'[1]Global_Spot Prices'!$I:$I)</f>
        <v>20.29</v>
      </c>
      <c r="G1377" cm="1">
        <f t="array" ref="G1377">_xlfn.XLOOKUP(TEXT(A1377, "mmm-yy"), TEXT([2]RUNS!$B$5:$B$208, "mmm-yy"), [2]RUNS!$D$5:$D$208, "Not Found")</f>
        <v>26677.243484221111</v>
      </c>
      <c r="H1377" cm="1">
        <f t="array" ref="H1377">SUMPRODUCT(
    --(TEXT('[3]Global Weekly Stock (EWSuez'!$B$4:$B$2000,"mmm-yy")=TEXT(A1377,"mmm-yy")),
    '[3]Global Weekly Stock (EWSuez'!$E$4:$E$2000)
/
SUMPRODUCT(
    --(TEXT('[3]Global Weekly Stock (EWSuez'!$B$4:$B$2000,"mmm-yy")=TEXT(A1377,"mmm-yy"))
)</f>
        <v>15696.25</v>
      </c>
      <c r="I1377">
        <f>_xlfn.XLOOKUP(A1377,[1]ForwardDeriv!$D:$D,[1]ForwardDeriv!$AJ:$AJ)</f>
        <v>-3.2000000000000028</v>
      </c>
      <c r="J1377" cm="1">
        <f t="array" ref="J1377">_xlfn.XLOOKUP(TEXT(A1377, "mmm-yy"), TEXT([2]GASOLINE!$B$5:$B$208, "mmm-yy"), [2]GASOLINE!$IR$5:$IR$208, "Not Found")</f>
        <v>727.93787489924136</v>
      </c>
      <c r="K1377" cm="1">
        <f t="array" ref="K1377">_xlfn.XLOOKUP(TEXT(A1377, "mmm-yy"), TEXT([2]GASOLINE!$B$5:$B$208, "mmm-yy"), [2]GASOLINE!$IK$5:$IK$208, "Not Found")</f>
        <v>126.88194083554508</v>
      </c>
      <c r="L1377">
        <f t="shared" si="21"/>
        <v>0</v>
      </c>
      <c r="M1377" cm="1">
        <f t="array" ref="M1377">_xlfn.XLOOKUP(TEXT(A1377, "mmm-yy"), TEXT([2]GASOLINE!$B$5:$B$208, "mmm-yy"), [2]GASOLINE!$C$5:$C$208, "Not Found")</f>
        <v>5338.3592741737684</v>
      </c>
      <c r="N1377" cm="1">
        <f t="array" ref="N1377">_xlfn.XLOOKUP(TEXT(A1377, "mmm-yy"), TEXT([2]RUNS!$B$5:$B$208, "mmm-yy"), [2]RUNS!$BM$5:$BM$208, "Not Found")</f>
        <v>0.73137230050283242</v>
      </c>
    </row>
    <row r="1378" spans="1:14" x14ac:dyDescent="0.25">
      <c r="A1378" s="1">
        <f>'[1]Global_Spot Prices'!$B2687</f>
        <v>43931</v>
      </c>
      <c r="B1378" t="e">
        <f>_xlfn.XLOOKUP(A1378,'[1]Global_Spot Prices'!$B:$B,'[1]Global_Spot Prices'!$BS:$BS)</f>
        <v>#N/A</v>
      </c>
      <c r="C1378" t="str">
        <f>_xlfn.XLOOKUP(A1378,'[1]Global_Spot Prices'!$B:$B,'[1]Global_Spot Prices'!$E:$E)</f>
        <v/>
      </c>
      <c r="D1378" t="str">
        <f>_xlfn.XLOOKUP(A1378,'[1]Global_Spot Prices'!$B:$B,'[1]Global_Spot Prices'!$D:$D)</f>
        <v/>
      </c>
      <c r="E1378">
        <f>_xlfn.XLOOKUP(A1378,'[1]Global_Spot Prices'!$B:$B,'[1]Global_Spot Prices'!$H:$H)</f>
        <v>0</v>
      </c>
      <c r="F1378">
        <f>_xlfn.XLOOKUP(A1378,'[1]Global_Spot Prices'!$B:$B,'[1]Global_Spot Prices'!$I:$I)</f>
        <v>0</v>
      </c>
      <c r="G1378" cm="1">
        <f t="array" ref="G1378">_xlfn.XLOOKUP(TEXT(A1378, "mmm-yy"), TEXT([2]RUNS!$B$5:$B$208, "mmm-yy"), [2]RUNS!$D$5:$D$208, "Not Found")</f>
        <v>26677.243484221111</v>
      </c>
      <c r="H1378" cm="1">
        <f t="array" ref="H1378">SUMPRODUCT(
    --(TEXT('[3]Global Weekly Stock (EWSuez'!$B$4:$B$2000,"mmm-yy")=TEXT(A1378,"mmm-yy")),
    '[3]Global Weekly Stock (EWSuez'!$E$4:$E$2000)
/
SUMPRODUCT(
    --(TEXT('[3]Global Weekly Stock (EWSuez'!$B$4:$B$2000,"mmm-yy")=TEXT(A1378,"mmm-yy"))
)</f>
        <v>15696.25</v>
      </c>
      <c r="I1378">
        <f>_xlfn.XLOOKUP(A1378,[1]ForwardDeriv!$D:$D,[1]ForwardDeriv!$AJ:$AJ)</f>
        <v>-3.6000000000000014</v>
      </c>
      <c r="J1378" cm="1">
        <f t="array" ref="J1378">_xlfn.XLOOKUP(TEXT(A1378, "mmm-yy"), TEXT([2]GASOLINE!$B$5:$B$208, "mmm-yy"), [2]GASOLINE!$IR$5:$IR$208, "Not Found")</f>
        <v>727.93787489924136</v>
      </c>
      <c r="K1378" cm="1">
        <f t="array" ref="K1378">_xlfn.XLOOKUP(TEXT(A1378, "mmm-yy"), TEXT([2]GASOLINE!$B$5:$B$208, "mmm-yy"), [2]GASOLINE!$IK$5:$IK$208, "Not Found")</f>
        <v>126.88194083554508</v>
      </c>
      <c r="L1378">
        <f t="shared" si="21"/>
        <v>0</v>
      </c>
      <c r="M1378" cm="1">
        <f t="array" ref="M1378">_xlfn.XLOOKUP(TEXT(A1378, "mmm-yy"), TEXT([2]GASOLINE!$B$5:$B$208, "mmm-yy"), [2]GASOLINE!$C$5:$C$208, "Not Found")</f>
        <v>5338.3592741737684</v>
      </c>
      <c r="N1378" cm="1">
        <f t="array" ref="N1378">_xlfn.XLOOKUP(TEXT(A1378, "mmm-yy"), TEXT([2]RUNS!$B$5:$B$208, "mmm-yy"), [2]RUNS!$BM$5:$BM$208, "Not Found")</f>
        <v>0.73137230050283242</v>
      </c>
    </row>
    <row r="1379" spans="1:14" x14ac:dyDescent="0.25">
      <c r="A1379" s="1">
        <f>'[1]Global_Spot Prices'!$B2688</f>
        <v>43934</v>
      </c>
      <c r="B1379">
        <f>_xlfn.XLOOKUP(A1379,'[1]Global_Spot Prices'!$B:$B,'[1]Global_Spot Prices'!$BS:$BS)</f>
        <v>-5.370000000000001</v>
      </c>
      <c r="C1379">
        <f>_xlfn.XLOOKUP(A1379,'[1]Global_Spot Prices'!$B:$B,'[1]Global_Spot Prices'!$E:$E)</f>
        <v>22.34</v>
      </c>
      <c r="D1379" t="str">
        <f>_xlfn.XLOOKUP(A1379,'[1]Global_Spot Prices'!$B:$B,'[1]Global_Spot Prices'!$D:$D)</f>
        <v/>
      </c>
      <c r="E1379">
        <f>_xlfn.XLOOKUP(A1379,'[1]Global_Spot Prices'!$B:$B,'[1]Global_Spot Prices'!$H:$H)</f>
        <v>17.440000000000001</v>
      </c>
      <c r="F1379">
        <f>_xlfn.XLOOKUP(A1379,'[1]Global_Spot Prices'!$B:$B,'[1]Global_Spot Prices'!$I:$I)</f>
        <v>16.97</v>
      </c>
      <c r="G1379" cm="1">
        <f t="array" ref="G1379">_xlfn.XLOOKUP(TEXT(A1379, "mmm-yy"), TEXT([2]RUNS!$B$5:$B$208, "mmm-yy"), [2]RUNS!$D$5:$D$208, "Not Found")</f>
        <v>26677.243484221111</v>
      </c>
      <c r="H1379" cm="1">
        <f t="array" ref="H1379">SUMPRODUCT(
    --(TEXT('[3]Global Weekly Stock (EWSuez'!$B$4:$B$2000,"mmm-yy")=TEXT(A1379,"mmm-yy")),
    '[3]Global Weekly Stock (EWSuez'!$E$4:$E$2000)
/
SUMPRODUCT(
    --(TEXT('[3]Global Weekly Stock (EWSuez'!$B$4:$B$2000,"mmm-yy")=TEXT(A1379,"mmm-yy"))
)</f>
        <v>15696.25</v>
      </c>
      <c r="I1379">
        <f>_xlfn.XLOOKUP(A1379,[1]ForwardDeriv!$D:$D,[1]ForwardDeriv!$AJ:$AJ)</f>
        <v>-3.6000000000000014</v>
      </c>
      <c r="J1379" cm="1">
        <f t="array" ref="J1379">_xlfn.XLOOKUP(TEXT(A1379, "mmm-yy"), TEXT([2]GASOLINE!$B$5:$B$208, "mmm-yy"), [2]GASOLINE!$IR$5:$IR$208, "Not Found")</f>
        <v>727.93787489924136</v>
      </c>
      <c r="K1379" cm="1">
        <f t="array" ref="K1379">_xlfn.XLOOKUP(TEXT(A1379, "mmm-yy"), TEXT([2]GASOLINE!$B$5:$B$208, "mmm-yy"), [2]GASOLINE!$IK$5:$IK$208, "Not Found")</f>
        <v>126.88194083554508</v>
      </c>
      <c r="L1379">
        <f t="shared" si="21"/>
        <v>0</v>
      </c>
      <c r="M1379" cm="1">
        <f t="array" ref="M1379">_xlfn.XLOOKUP(TEXT(A1379, "mmm-yy"), TEXT([2]GASOLINE!$B$5:$B$208, "mmm-yy"), [2]GASOLINE!$C$5:$C$208, "Not Found")</f>
        <v>5338.3592741737684</v>
      </c>
      <c r="N1379" cm="1">
        <f t="array" ref="N1379">_xlfn.XLOOKUP(TEXT(A1379, "mmm-yy"), TEXT([2]RUNS!$B$5:$B$208, "mmm-yy"), [2]RUNS!$BM$5:$BM$208, "Not Found")</f>
        <v>0.73137230050283242</v>
      </c>
    </row>
    <row r="1380" spans="1:14" x14ac:dyDescent="0.25">
      <c r="A1380" s="1">
        <f>'[1]Global_Spot Prices'!$B2689</f>
        <v>43935</v>
      </c>
      <c r="B1380">
        <f>_xlfn.XLOOKUP(A1380,'[1]Global_Spot Prices'!$B:$B,'[1]Global_Spot Prices'!$BS:$BS)</f>
        <v>-3.4000000000000021</v>
      </c>
      <c r="C1380">
        <f>_xlfn.XLOOKUP(A1380,'[1]Global_Spot Prices'!$B:$B,'[1]Global_Spot Prices'!$E:$E)</f>
        <v>21.64</v>
      </c>
      <c r="D1380">
        <f>_xlfn.XLOOKUP(A1380,'[1]Global_Spot Prices'!$B:$B,'[1]Global_Spot Prices'!$D:$D)</f>
        <v>20.655000000000001</v>
      </c>
      <c r="E1380">
        <f>_xlfn.XLOOKUP(A1380,'[1]Global_Spot Prices'!$B:$B,'[1]Global_Spot Prices'!$H:$H)</f>
        <v>17.579999999999998</v>
      </c>
      <c r="F1380">
        <f>_xlfn.XLOOKUP(A1380,'[1]Global_Spot Prices'!$B:$B,'[1]Global_Spot Prices'!$I:$I)</f>
        <v>18.239999999999998</v>
      </c>
      <c r="G1380" cm="1">
        <f t="array" ref="G1380">_xlfn.XLOOKUP(TEXT(A1380, "mmm-yy"), TEXT([2]RUNS!$B$5:$B$208, "mmm-yy"), [2]RUNS!$D$5:$D$208, "Not Found")</f>
        <v>26677.243484221111</v>
      </c>
      <c r="H1380" cm="1">
        <f t="array" ref="H1380">SUMPRODUCT(
    --(TEXT('[3]Global Weekly Stock (EWSuez'!$B$4:$B$2000,"mmm-yy")=TEXT(A1380,"mmm-yy")),
    '[3]Global Weekly Stock (EWSuez'!$E$4:$E$2000)
/
SUMPRODUCT(
    --(TEXT('[3]Global Weekly Stock (EWSuez'!$B$4:$B$2000,"mmm-yy")=TEXT(A1380,"mmm-yy"))
)</f>
        <v>15696.25</v>
      </c>
      <c r="I1380">
        <f>_xlfn.XLOOKUP(A1380,[1]ForwardDeriv!$D:$D,[1]ForwardDeriv!$AJ:$AJ)</f>
        <v>-3.5199999999999996</v>
      </c>
      <c r="J1380" cm="1">
        <f t="array" ref="J1380">_xlfn.XLOOKUP(TEXT(A1380, "mmm-yy"), TEXT([2]GASOLINE!$B$5:$B$208, "mmm-yy"), [2]GASOLINE!$IR$5:$IR$208, "Not Found")</f>
        <v>727.93787489924136</v>
      </c>
      <c r="K1380" cm="1">
        <f t="array" ref="K1380">_xlfn.XLOOKUP(TEXT(A1380, "mmm-yy"), TEXT([2]GASOLINE!$B$5:$B$208, "mmm-yy"), [2]GASOLINE!$IK$5:$IK$208, "Not Found")</f>
        <v>126.88194083554508</v>
      </c>
      <c r="L1380">
        <f t="shared" si="21"/>
        <v>0</v>
      </c>
      <c r="M1380" cm="1">
        <f t="array" ref="M1380">_xlfn.XLOOKUP(TEXT(A1380, "mmm-yy"), TEXT([2]GASOLINE!$B$5:$B$208, "mmm-yy"), [2]GASOLINE!$C$5:$C$208, "Not Found")</f>
        <v>5338.3592741737684</v>
      </c>
      <c r="N1380" cm="1">
        <f t="array" ref="N1380">_xlfn.XLOOKUP(TEXT(A1380, "mmm-yy"), TEXT([2]RUNS!$B$5:$B$208, "mmm-yy"), [2]RUNS!$BM$5:$BM$208, "Not Found")</f>
        <v>0.73137230050283242</v>
      </c>
    </row>
    <row r="1381" spans="1:14" x14ac:dyDescent="0.25">
      <c r="A1381" s="1">
        <f>'[1]Global_Spot Prices'!$B2690</f>
        <v>43936</v>
      </c>
      <c r="B1381">
        <f>_xlfn.XLOOKUP(A1381,'[1]Global_Spot Prices'!$B:$B,'[1]Global_Spot Prices'!$BS:$BS)</f>
        <v>-0.69999999999999929</v>
      </c>
      <c r="C1381">
        <f>_xlfn.XLOOKUP(A1381,'[1]Global_Spot Prices'!$B:$B,'[1]Global_Spot Prices'!$E:$E)</f>
        <v>19.64</v>
      </c>
      <c r="D1381">
        <f>_xlfn.XLOOKUP(A1381,'[1]Global_Spot Prices'!$B:$B,'[1]Global_Spot Prices'!$D:$D)</f>
        <v>18.074999999999999</v>
      </c>
      <c r="E1381">
        <f>_xlfn.XLOOKUP(A1381,'[1]Global_Spot Prices'!$B:$B,'[1]Global_Spot Prices'!$H:$H)</f>
        <v>17.43</v>
      </c>
      <c r="F1381">
        <f>_xlfn.XLOOKUP(A1381,'[1]Global_Spot Prices'!$B:$B,'[1]Global_Spot Prices'!$I:$I)</f>
        <v>18.940000000000001</v>
      </c>
      <c r="G1381" cm="1">
        <f t="array" ref="G1381">_xlfn.XLOOKUP(TEXT(A1381, "mmm-yy"), TEXT([2]RUNS!$B$5:$B$208, "mmm-yy"), [2]RUNS!$D$5:$D$208, "Not Found")</f>
        <v>26677.243484221111</v>
      </c>
      <c r="H1381" cm="1">
        <f t="array" ref="H1381">SUMPRODUCT(
    --(TEXT('[3]Global Weekly Stock (EWSuez'!$B$4:$B$2000,"mmm-yy")=TEXT(A1381,"mmm-yy")),
    '[3]Global Weekly Stock (EWSuez'!$E$4:$E$2000)
/
SUMPRODUCT(
    --(TEXT('[3]Global Weekly Stock (EWSuez'!$B$4:$B$2000,"mmm-yy")=TEXT(A1381,"mmm-yy"))
)</f>
        <v>15696.25</v>
      </c>
      <c r="I1381">
        <f>_xlfn.XLOOKUP(A1381,[1]ForwardDeriv!$D:$D,[1]ForwardDeriv!$AJ:$AJ)</f>
        <v>-3.3000000000000007</v>
      </c>
      <c r="J1381" cm="1">
        <f t="array" ref="J1381">_xlfn.XLOOKUP(TEXT(A1381, "mmm-yy"), TEXT([2]GASOLINE!$B$5:$B$208, "mmm-yy"), [2]GASOLINE!$IR$5:$IR$208, "Not Found")</f>
        <v>727.93787489924136</v>
      </c>
      <c r="K1381" cm="1">
        <f t="array" ref="K1381">_xlfn.XLOOKUP(TEXT(A1381, "mmm-yy"), TEXT([2]GASOLINE!$B$5:$B$208, "mmm-yy"), [2]GASOLINE!$IK$5:$IK$208, "Not Found")</f>
        <v>126.88194083554508</v>
      </c>
      <c r="L1381">
        <f t="shared" si="21"/>
        <v>0</v>
      </c>
      <c r="M1381" cm="1">
        <f t="array" ref="M1381">_xlfn.XLOOKUP(TEXT(A1381, "mmm-yy"), TEXT([2]GASOLINE!$B$5:$B$208, "mmm-yy"), [2]GASOLINE!$C$5:$C$208, "Not Found")</f>
        <v>5338.3592741737684</v>
      </c>
      <c r="N1381" cm="1">
        <f t="array" ref="N1381">_xlfn.XLOOKUP(TEXT(A1381, "mmm-yy"), TEXT([2]RUNS!$B$5:$B$208, "mmm-yy"), [2]RUNS!$BM$5:$BM$208, "Not Found")</f>
        <v>0.73137230050283242</v>
      </c>
    </row>
    <row r="1382" spans="1:14" x14ac:dyDescent="0.25">
      <c r="A1382" s="1">
        <f>'[1]Global_Spot Prices'!$B2691</f>
        <v>43937</v>
      </c>
      <c r="B1382">
        <f>_xlfn.XLOOKUP(A1382,'[1]Global_Spot Prices'!$B:$B,'[1]Global_Spot Prices'!$BS:$BS)</f>
        <v>1.139999999999997</v>
      </c>
      <c r="C1382">
        <f>_xlfn.XLOOKUP(A1382,'[1]Global_Spot Prices'!$B:$B,'[1]Global_Spot Prices'!$E:$E)</f>
        <v>19.690000000000001</v>
      </c>
      <c r="D1382">
        <f ca="1">_xlfn.XLOOKUP(A1382,'[1]Global_Spot Prices'!$B:$B,'[1]Global_Spot Prices'!$D:$D)</f>
        <v>18.855</v>
      </c>
      <c r="E1382">
        <f>_xlfn.XLOOKUP(A1382,'[1]Global_Spot Prices'!$B:$B,'[1]Global_Spot Prices'!$H:$H)</f>
        <v>17.690000000000001</v>
      </c>
      <c r="F1382">
        <f>_xlfn.XLOOKUP(A1382,'[1]Global_Spot Prices'!$B:$B,'[1]Global_Spot Prices'!$I:$I)</f>
        <v>20.83</v>
      </c>
      <c r="G1382" cm="1">
        <f t="array" ref="G1382">_xlfn.XLOOKUP(TEXT(A1382, "mmm-yy"), TEXT([2]RUNS!$B$5:$B$208, "mmm-yy"), [2]RUNS!$D$5:$D$208, "Not Found")</f>
        <v>26677.243484221111</v>
      </c>
      <c r="H1382" cm="1">
        <f t="array" ref="H1382">SUMPRODUCT(
    --(TEXT('[3]Global Weekly Stock (EWSuez'!$B$4:$B$2000,"mmm-yy")=TEXT(A1382,"mmm-yy")),
    '[3]Global Weekly Stock (EWSuez'!$E$4:$E$2000)
/
SUMPRODUCT(
    --(TEXT('[3]Global Weekly Stock (EWSuez'!$B$4:$B$2000,"mmm-yy")=TEXT(A1382,"mmm-yy"))
)</f>
        <v>15696.25</v>
      </c>
      <c r="I1382">
        <f>_xlfn.XLOOKUP(A1382,[1]ForwardDeriv!$D:$D,[1]ForwardDeriv!$AJ:$AJ)</f>
        <v>-2.9400000000000013</v>
      </c>
      <c r="J1382" cm="1">
        <f t="array" ref="J1382">_xlfn.XLOOKUP(TEXT(A1382, "mmm-yy"), TEXT([2]GASOLINE!$B$5:$B$208, "mmm-yy"), [2]GASOLINE!$IR$5:$IR$208, "Not Found")</f>
        <v>727.93787489924136</v>
      </c>
      <c r="K1382" cm="1">
        <f t="array" ref="K1382">_xlfn.XLOOKUP(TEXT(A1382, "mmm-yy"), TEXT([2]GASOLINE!$B$5:$B$208, "mmm-yy"), [2]GASOLINE!$IK$5:$IK$208, "Not Found")</f>
        <v>126.88194083554508</v>
      </c>
      <c r="L1382">
        <f t="shared" si="21"/>
        <v>0</v>
      </c>
      <c r="M1382" cm="1">
        <f t="array" ref="M1382">_xlfn.XLOOKUP(TEXT(A1382, "mmm-yy"), TEXT([2]GASOLINE!$B$5:$B$208, "mmm-yy"), [2]GASOLINE!$C$5:$C$208, "Not Found")</f>
        <v>5338.3592741737684</v>
      </c>
      <c r="N1382" cm="1">
        <f t="array" ref="N1382">_xlfn.XLOOKUP(TEXT(A1382, "mmm-yy"), TEXT([2]RUNS!$B$5:$B$208, "mmm-yy"), [2]RUNS!$BM$5:$BM$208, "Not Found")</f>
        <v>0.73137230050283242</v>
      </c>
    </row>
    <row r="1383" spans="1:14" x14ac:dyDescent="0.25">
      <c r="A1383" s="1">
        <f>'[1]Global_Spot Prices'!$B2692</f>
        <v>43938</v>
      </c>
      <c r="B1383">
        <f>_xlfn.XLOOKUP(A1383,'[1]Global_Spot Prices'!$B:$B,'[1]Global_Spot Prices'!$BS:$BS)</f>
        <v>-0.30999999999999872</v>
      </c>
      <c r="C1383">
        <f>_xlfn.XLOOKUP(A1383,'[1]Global_Spot Prices'!$B:$B,'[1]Global_Spot Prices'!$E:$E)</f>
        <v>20.59</v>
      </c>
      <c r="D1383">
        <f>_xlfn.XLOOKUP(A1383,'[1]Global_Spot Prices'!$B:$B,'[1]Global_Spot Prices'!$D:$D)</f>
        <v>20.14</v>
      </c>
      <c r="E1383">
        <f>_xlfn.XLOOKUP(A1383,'[1]Global_Spot Prices'!$B:$B,'[1]Global_Spot Prices'!$H:$H)</f>
        <v>18.13</v>
      </c>
      <c r="F1383">
        <f>_xlfn.XLOOKUP(A1383,'[1]Global_Spot Prices'!$B:$B,'[1]Global_Spot Prices'!$I:$I)</f>
        <v>20.28</v>
      </c>
      <c r="G1383" cm="1">
        <f t="array" ref="G1383">_xlfn.XLOOKUP(TEXT(A1383, "mmm-yy"), TEXT([2]RUNS!$B$5:$B$208, "mmm-yy"), [2]RUNS!$D$5:$D$208, "Not Found")</f>
        <v>26677.243484221111</v>
      </c>
      <c r="H1383" cm="1">
        <f t="array" ref="H1383">SUMPRODUCT(
    --(TEXT('[3]Global Weekly Stock (EWSuez'!$B$4:$B$2000,"mmm-yy")=TEXT(A1383,"mmm-yy")),
    '[3]Global Weekly Stock (EWSuez'!$E$4:$E$2000)
/
SUMPRODUCT(
    --(TEXT('[3]Global Weekly Stock (EWSuez'!$B$4:$B$2000,"mmm-yy")=TEXT(A1383,"mmm-yy"))
)</f>
        <v>15696.25</v>
      </c>
      <c r="I1383">
        <f>_xlfn.XLOOKUP(A1383,[1]ForwardDeriv!$D:$D,[1]ForwardDeriv!$AJ:$AJ)</f>
        <v>-2.8499999999999979</v>
      </c>
      <c r="J1383" cm="1">
        <f t="array" ref="J1383">_xlfn.XLOOKUP(TEXT(A1383, "mmm-yy"), TEXT([2]GASOLINE!$B$5:$B$208, "mmm-yy"), [2]GASOLINE!$IR$5:$IR$208, "Not Found")</f>
        <v>727.93787489924136</v>
      </c>
      <c r="K1383" cm="1">
        <f t="array" ref="K1383">_xlfn.XLOOKUP(TEXT(A1383, "mmm-yy"), TEXT([2]GASOLINE!$B$5:$B$208, "mmm-yy"), [2]GASOLINE!$IK$5:$IK$208, "Not Found")</f>
        <v>126.88194083554508</v>
      </c>
      <c r="L1383">
        <f t="shared" si="21"/>
        <v>0</v>
      </c>
      <c r="M1383" cm="1">
        <f t="array" ref="M1383">_xlfn.XLOOKUP(TEXT(A1383, "mmm-yy"), TEXT([2]GASOLINE!$B$5:$B$208, "mmm-yy"), [2]GASOLINE!$C$5:$C$208, "Not Found")</f>
        <v>5338.3592741737684</v>
      </c>
      <c r="N1383" cm="1">
        <f t="array" ref="N1383">_xlfn.XLOOKUP(TEXT(A1383, "mmm-yy"), TEXT([2]RUNS!$B$5:$B$208, "mmm-yy"), [2]RUNS!$BM$5:$BM$208, "Not Found")</f>
        <v>0.73137230050283242</v>
      </c>
    </row>
    <row r="1384" spans="1:14" x14ac:dyDescent="0.25">
      <c r="A1384" s="1">
        <f>'[1]Global_Spot Prices'!$B2693</f>
        <v>43941</v>
      </c>
      <c r="B1384">
        <f>_xlfn.XLOOKUP(A1384,'[1]Global_Spot Prices'!$B:$B,'[1]Global_Spot Prices'!$BS:$BS)</f>
        <v>0.82000000000000028</v>
      </c>
      <c r="C1384">
        <f>_xlfn.XLOOKUP(A1384,'[1]Global_Spot Prices'!$B:$B,'[1]Global_Spot Prices'!$E:$E)</f>
        <v>20.8</v>
      </c>
      <c r="D1384">
        <f>_xlfn.XLOOKUP(A1384,'[1]Global_Spot Prices'!$B:$B,'[1]Global_Spot Prices'!$D:$D)</f>
        <v>19.094999999999999</v>
      </c>
      <c r="E1384">
        <f>_xlfn.XLOOKUP(A1384,'[1]Global_Spot Prices'!$B:$B,'[1]Global_Spot Prices'!$H:$H)</f>
        <v>19.079999999999998</v>
      </c>
      <c r="F1384">
        <f>_xlfn.XLOOKUP(A1384,'[1]Global_Spot Prices'!$B:$B,'[1]Global_Spot Prices'!$I:$I)</f>
        <v>21.62</v>
      </c>
      <c r="G1384" cm="1">
        <f t="array" ref="G1384">_xlfn.XLOOKUP(TEXT(A1384, "mmm-yy"), TEXT([2]RUNS!$B$5:$B$208, "mmm-yy"), [2]RUNS!$D$5:$D$208, "Not Found")</f>
        <v>26677.243484221111</v>
      </c>
      <c r="H1384" cm="1">
        <f t="array" ref="H1384">SUMPRODUCT(
    --(TEXT('[3]Global Weekly Stock (EWSuez'!$B$4:$B$2000,"mmm-yy")=TEXT(A1384,"mmm-yy")),
    '[3]Global Weekly Stock (EWSuez'!$E$4:$E$2000)
/
SUMPRODUCT(
    --(TEXT('[3]Global Weekly Stock (EWSuez'!$B$4:$B$2000,"mmm-yy")=TEXT(A1384,"mmm-yy"))
)</f>
        <v>15696.25</v>
      </c>
      <c r="I1384">
        <f>_xlfn.XLOOKUP(A1384,[1]ForwardDeriv!$D:$D,[1]ForwardDeriv!$AJ:$AJ)</f>
        <v>-2.3500000000000014</v>
      </c>
      <c r="J1384" cm="1">
        <f t="array" ref="J1384">_xlfn.XLOOKUP(TEXT(A1384, "mmm-yy"), TEXT([2]GASOLINE!$B$5:$B$208, "mmm-yy"), [2]GASOLINE!$IR$5:$IR$208, "Not Found")</f>
        <v>727.93787489924136</v>
      </c>
      <c r="K1384" cm="1">
        <f t="array" ref="K1384">_xlfn.XLOOKUP(TEXT(A1384, "mmm-yy"), TEXT([2]GASOLINE!$B$5:$B$208, "mmm-yy"), [2]GASOLINE!$IK$5:$IK$208, "Not Found")</f>
        <v>126.88194083554508</v>
      </c>
      <c r="L1384">
        <f t="shared" si="21"/>
        <v>0</v>
      </c>
      <c r="M1384" cm="1">
        <f t="array" ref="M1384">_xlfn.XLOOKUP(TEXT(A1384, "mmm-yy"), TEXT([2]GASOLINE!$B$5:$B$208, "mmm-yy"), [2]GASOLINE!$C$5:$C$208, "Not Found")</f>
        <v>5338.3592741737684</v>
      </c>
      <c r="N1384" cm="1">
        <f t="array" ref="N1384">_xlfn.XLOOKUP(TEXT(A1384, "mmm-yy"), TEXT([2]RUNS!$B$5:$B$208, "mmm-yy"), [2]RUNS!$BM$5:$BM$208, "Not Found")</f>
        <v>0.73137230050283242</v>
      </c>
    </row>
    <row r="1385" spans="1:14" x14ac:dyDescent="0.25">
      <c r="A1385" s="1">
        <f>'[1]Global_Spot Prices'!$B2694</f>
        <v>43942</v>
      </c>
      <c r="B1385">
        <f>_xlfn.XLOOKUP(A1385,'[1]Global_Spot Prices'!$B:$B,'[1]Global_Spot Prices'!$BS:$BS)</f>
        <v>-1.0299999999999976</v>
      </c>
      <c r="C1385">
        <f>_xlfn.XLOOKUP(A1385,'[1]Global_Spot Prices'!$B:$B,'[1]Global_Spot Prices'!$E:$E)</f>
        <v>17.399999999999999</v>
      </c>
      <c r="D1385">
        <f>_xlfn.XLOOKUP(A1385,'[1]Global_Spot Prices'!$B:$B,'[1]Global_Spot Prices'!$D:$D)</f>
        <v>13.24</v>
      </c>
      <c r="E1385">
        <f>_xlfn.XLOOKUP(A1385,'[1]Global_Spot Prices'!$B:$B,'[1]Global_Spot Prices'!$H:$H)</f>
        <v>17.05</v>
      </c>
      <c r="F1385">
        <f>_xlfn.XLOOKUP(A1385,'[1]Global_Spot Prices'!$B:$B,'[1]Global_Spot Prices'!$I:$I)</f>
        <v>16.37</v>
      </c>
      <c r="G1385" cm="1">
        <f t="array" ref="G1385">_xlfn.XLOOKUP(TEXT(A1385, "mmm-yy"), TEXT([2]RUNS!$B$5:$B$208, "mmm-yy"), [2]RUNS!$D$5:$D$208, "Not Found")</f>
        <v>26677.243484221111</v>
      </c>
      <c r="H1385" cm="1">
        <f t="array" ref="H1385">SUMPRODUCT(
    --(TEXT('[3]Global Weekly Stock (EWSuez'!$B$4:$B$2000,"mmm-yy")=TEXT(A1385,"mmm-yy")),
    '[3]Global Weekly Stock (EWSuez'!$E$4:$E$2000)
/
SUMPRODUCT(
    --(TEXT('[3]Global Weekly Stock (EWSuez'!$B$4:$B$2000,"mmm-yy")=TEXT(A1385,"mmm-yy"))
)</f>
        <v>15696.25</v>
      </c>
      <c r="I1385">
        <f>_xlfn.XLOOKUP(A1385,[1]ForwardDeriv!$D:$D,[1]ForwardDeriv!$AJ:$AJ)</f>
        <v>-2.8499999999999979</v>
      </c>
      <c r="J1385" cm="1">
        <f t="array" ref="J1385">_xlfn.XLOOKUP(TEXT(A1385, "mmm-yy"), TEXT([2]GASOLINE!$B$5:$B$208, "mmm-yy"), [2]GASOLINE!$IR$5:$IR$208, "Not Found")</f>
        <v>727.93787489924136</v>
      </c>
      <c r="K1385" cm="1">
        <f t="array" ref="K1385">_xlfn.XLOOKUP(TEXT(A1385, "mmm-yy"), TEXT([2]GASOLINE!$B$5:$B$208, "mmm-yy"), [2]GASOLINE!$IK$5:$IK$208, "Not Found")</f>
        <v>126.88194083554508</v>
      </c>
      <c r="L1385">
        <f t="shared" si="21"/>
        <v>0</v>
      </c>
      <c r="M1385" cm="1">
        <f t="array" ref="M1385">_xlfn.XLOOKUP(TEXT(A1385, "mmm-yy"), TEXT([2]GASOLINE!$B$5:$B$208, "mmm-yy"), [2]GASOLINE!$C$5:$C$208, "Not Found")</f>
        <v>5338.3592741737684</v>
      </c>
      <c r="N1385" cm="1">
        <f t="array" ref="N1385">_xlfn.XLOOKUP(TEXT(A1385, "mmm-yy"), TEXT([2]RUNS!$B$5:$B$208, "mmm-yy"), [2]RUNS!$BM$5:$BM$208, "Not Found")</f>
        <v>0.73137230050283242</v>
      </c>
    </row>
    <row r="1386" spans="1:14" x14ac:dyDescent="0.25">
      <c r="A1386" s="1">
        <f>'[1]Global_Spot Prices'!$B2695</f>
        <v>43943</v>
      </c>
      <c r="B1386">
        <f>_xlfn.XLOOKUP(A1386,'[1]Global_Spot Prices'!$B:$B,'[1]Global_Spot Prices'!$BS:$BS)</f>
        <v>1.0899999999999999</v>
      </c>
      <c r="C1386">
        <f>_xlfn.XLOOKUP(A1386,'[1]Global_Spot Prices'!$B:$B,'[1]Global_Spot Prices'!$E:$E)</f>
        <v>13.55</v>
      </c>
      <c r="D1386">
        <f>_xlfn.XLOOKUP(A1386,'[1]Global_Spot Prices'!$B:$B,'[1]Global_Spot Prices'!$D:$D)</f>
        <v>14.21</v>
      </c>
      <c r="E1386">
        <f>_xlfn.XLOOKUP(A1386,'[1]Global_Spot Prices'!$B:$B,'[1]Global_Spot Prices'!$H:$H)</f>
        <v>15.51</v>
      </c>
      <c r="F1386">
        <f>_xlfn.XLOOKUP(A1386,'[1]Global_Spot Prices'!$B:$B,'[1]Global_Spot Prices'!$I:$I)</f>
        <v>14.64</v>
      </c>
      <c r="G1386" cm="1">
        <f t="array" ref="G1386">_xlfn.XLOOKUP(TEXT(A1386, "mmm-yy"), TEXT([2]RUNS!$B$5:$B$208, "mmm-yy"), [2]RUNS!$D$5:$D$208, "Not Found")</f>
        <v>26677.243484221111</v>
      </c>
      <c r="H1386" cm="1">
        <f t="array" ref="H1386">SUMPRODUCT(
    --(TEXT('[3]Global Weekly Stock (EWSuez'!$B$4:$B$2000,"mmm-yy")=TEXT(A1386,"mmm-yy")),
    '[3]Global Weekly Stock (EWSuez'!$E$4:$E$2000)
/
SUMPRODUCT(
    --(TEXT('[3]Global Weekly Stock (EWSuez'!$B$4:$B$2000,"mmm-yy")=TEXT(A1386,"mmm-yy"))
)</f>
        <v>15696.25</v>
      </c>
      <c r="I1386">
        <f>_xlfn.XLOOKUP(A1386,[1]ForwardDeriv!$D:$D,[1]ForwardDeriv!$AJ:$AJ)</f>
        <v>-3.0499999999999989</v>
      </c>
      <c r="J1386" cm="1">
        <f t="array" ref="J1386">_xlfn.XLOOKUP(TEXT(A1386, "mmm-yy"), TEXT([2]GASOLINE!$B$5:$B$208, "mmm-yy"), [2]GASOLINE!$IR$5:$IR$208, "Not Found")</f>
        <v>727.93787489924136</v>
      </c>
      <c r="K1386" cm="1">
        <f t="array" ref="K1386">_xlfn.XLOOKUP(TEXT(A1386, "mmm-yy"), TEXT([2]GASOLINE!$B$5:$B$208, "mmm-yy"), [2]GASOLINE!$IK$5:$IK$208, "Not Found")</f>
        <v>126.88194083554508</v>
      </c>
      <c r="L1386">
        <f t="shared" si="21"/>
        <v>0</v>
      </c>
      <c r="M1386" cm="1">
        <f t="array" ref="M1386">_xlfn.XLOOKUP(TEXT(A1386, "mmm-yy"), TEXT([2]GASOLINE!$B$5:$B$208, "mmm-yy"), [2]GASOLINE!$C$5:$C$208, "Not Found")</f>
        <v>5338.3592741737684</v>
      </c>
      <c r="N1386" cm="1">
        <f t="array" ref="N1386">_xlfn.XLOOKUP(TEXT(A1386, "mmm-yy"), TEXT([2]RUNS!$B$5:$B$208, "mmm-yy"), [2]RUNS!$BM$5:$BM$208, "Not Found")</f>
        <v>0.73137230050283242</v>
      </c>
    </row>
    <row r="1387" spans="1:14" x14ac:dyDescent="0.25">
      <c r="A1387" s="1">
        <f>'[1]Global_Spot Prices'!$B2696</f>
        <v>43944</v>
      </c>
      <c r="B1387">
        <f>_xlfn.XLOOKUP(A1387,'[1]Global_Spot Prices'!$B:$B,'[1]Global_Spot Prices'!$BS:$BS)</f>
        <v>1.5599999999999987</v>
      </c>
      <c r="C1387">
        <f>_xlfn.XLOOKUP(A1387,'[1]Global_Spot Prices'!$B:$B,'[1]Global_Spot Prices'!$E:$E)</f>
        <v>18.100000000000001</v>
      </c>
      <c r="D1387">
        <f>_xlfn.XLOOKUP(A1387,'[1]Global_Spot Prices'!$B:$B,'[1]Global_Spot Prices'!$D:$D)</f>
        <v>16.295000000000002</v>
      </c>
      <c r="E1387">
        <f>_xlfn.XLOOKUP(A1387,'[1]Global_Spot Prices'!$B:$B,'[1]Global_Spot Prices'!$H:$H)</f>
        <v>20.100000000000001</v>
      </c>
      <c r="F1387">
        <f ca="1">_xlfn.XLOOKUP(A1387,'[1]Global_Spot Prices'!$B:$B,'[1]Global_Spot Prices'!$I:$I)</f>
        <v>19.66</v>
      </c>
      <c r="G1387" cm="1">
        <f t="array" ref="G1387">_xlfn.XLOOKUP(TEXT(A1387, "mmm-yy"), TEXT([2]RUNS!$B$5:$B$208, "mmm-yy"), [2]RUNS!$D$5:$D$208, "Not Found")</f>
        <v>26677.243484221111</v>
      </c>
      <c r="H1387" cm="1">
        <f t="array" ref="H1387">SUMPRODUCT(
    --(TEXT('[3]Global Weekly Stock (EWSuez'!$B$4:$B$2000,"mmm-yy")=TEXT(A1387,"mmm-yy")),
    '[3]Global Weekly Stock (EWSuez'!$E$4:$E$2000)
/
SUMPRODUCT(
    --(TEXT('[3]Global Weekly Stock (EWSuez'!$B$4:$B$2000,"mmm-yy")=TEXT(A1387,"mmm-yy"))
)</f>
        <v>15696.25</v>
      </c>
      <c r="I1387">
        <f>_xlfn.XLOOKUP(A1387,[1]ForwardDeriv!$D:$D,[1]ForwardDeriv!$AJ:$AJ)</f>
        <v>-2.4499999999999993</v>
      </c>
      <c r="J1387" cm="1">
        <f t="array" ref="J1387">_xlfn.XLOOKUP(TEXT(A1387, "mmm-yy"), TEXT([2]GASOLINE!$B$5:$B$208, "mmm-yy"), [2]GASOLINE!$IR$5:$IR$208, "Not Found")</f>
        <v>727.93787489924136</v>
      </c>
      <c r="K1387" cm="1">
        <f t="array" ref="K1387">_xlfn.XLOOKUP(TEXT(A1387, "mmm-yy"), TEXT([2]GASOLINE!$B$5:$B$208, "mmm-yy"), [2]GASOLINE!$IK$5:$IK$208, "Not Found")</f>
        <v>126.88194083554508</v>
      </c>
      <c r="L1387">
        <f t="shared" si="21"/>
        <v>0</v>
      </c>
      <c r="M1387" cm="1">
        <f t="array" ref="M1387">_xlfn.XLOOKUP(TEXT(A1387, "mmm-yy"), TEXT([2]GASOLINE!$B$5:$B$208, "mmm-yy"), [2]GASOLINE!$C$5:$C$208, "Not Found")</f>
        <v>5338.3592741737684</v>
      </c>
      <c r="N1387" cm="1">
        <f t="array" ref="N1387">_xlfn.XLOOKUP(TEXT(A1387, "mmm-yy"), TEXT([2]RUNS!$B$5:$B$208, "mmm-yy"), [2]RUNS!$BM$5:$BM$208, "Not Found")</f>
        <v>0.73137230050283242</v>
      </c>
    </row>
    <row r="1388" spans="1:14" x14ac:dyDescent="0.25">
      <c r="A1388" s="1">
        <f>'[1]Global_Spot Prices'!$B2697</f>
        <v>43945</v>
      </c>
      <c r="B1388">
        <f>_xlfn.XLOOKUP(A1388,'[1]Global_Spot Prices'!$B:$B,'[1]Global_Spot Prices'!$BS:$BS)</f>
        <v>-1.5499999999999972</v>
      </c>
      <c r="C1388">
        <f>_xlfn.XLOOKUP(A1388,'[1]Global_Spot Prices'!$B:$B,'[1]Global_Spot Prices'!$E:$E)</f>
        <v>18.149999999999999</v>
      </c>
      <c r="D1388">
        <f>_xlfn.XLOOKUP(A1388,'[1]Global_Spot Prices'!$B:$B,'[1]Global_Spot Prices'!$D:$D)</f>
        <v>16.010000000000002</v>
      </c>
      <c r="E1388">
        <f>_xlfn.XLOOKUP(A1388,'[1]Global_Spot Prices'!$B:$B,'[1]Global_Spot Prices'!$H:$H)</f>
        <v>17.05</v>
      </c>
      <c r="F1388">
        <f>_xlfn.XLOOKUP(A1388,'[1]Global_Spot Prices'!$B:$B,'[1]Global_Spot Prices'!$I:$I)</f>
        <v>16.600000000000001</v>
      </c>
      <c r="G1388" cm="1">
        <f t="array" ref="G1388">_xlfn.XLOOKUP(TEXT(A1388, "mmm-yy"), TEXT([2]RUNS!$B$5:$B$208, "mmm-yy"), [2]RUNS!$D$5:$D$208, "Not Found")</f>
        <v>26677.243484221111</v>
      </c>
      <c r="H1388" cm="1">
        <f t="array" ref="H1388">SUMPRODUCT(
    --(TEXT('[3]Global Weekly Stock (EWSuez'!$B$4:$B$2000,"mmm-yy")=TEXT(A1388,"mmm-yy")),
    '[3]Global Weekly Stock (EWSuez'!$E$4:$E$2000)
/
SUMPRODUCT(
    --(TEXT('[3]Global Weekly Stock (EWSuez'!$B$4:$B$2000,"mmm-yy")=TEXT(A1388,"mmm-yy"))
)</f>
        <v>15696.25</v>
      </c>
      <c r="I1388">
        <f>_xlfn.XLOOKUP(A1388,[1]ForwardDeriv!$D:$D,[1]ForwardDeriv!$AJ:$AJ)</f>
        <v>-3</v>
      </c>
      <c r="J1388" cm="1">
        <f t="array" ref="J1388">_xlfn.XLOOKUP(TEXT(A1388, "mmm-yy"), TEXT([2]GASOLINE!$B$5:$B$208, "mmm-yy"), [2]GASOLINE!$IR$5:$IR$208, "Not Found")</f>
        <v>727.93787489924136</v>
      </c>
      <c r="K1388" cm="1">
        <f t="array" ref="K1388">_xlfn.XLOOKUP(TEXT(A1388, "mmm-yy"), TEXT([2]GASOLINE!$B$5:$B$208, "mmm-yy"), [2]GASOLINE!$IK$5:$IK$208, "Not Found")</f>
        <v>126.88194083554508</v>
      </c>
      <c r="L1388">
        <f t="shared" si="21"/>
        <v>0</v>
      </c>
      <c r="M1388" cm="1">
        <f t="array" ref="M1388">_xlfn.XLOOKUP(TEXT(A1388, "mmm-yy"), TEXT([2]GASOLINE!$B$5:$B$208, "mmm-yy"), [2]GASOLINE!$C$5:$C$208, "Not Found")</f>
        <v>5338.3592741737684</v>
      </c>
      <c r="N1388" cm="1">
        <f t="array" ref="N1388">_xlfn.XLOOKUP(TEXT(A1388, "mmm-yy"), TEXT([2]RUNS!$B$5:$B$208, "mmm-yy"), [2]RUNS!$BM$5:$BM$208, "Not Found")</f>
        <v>0.73137230050283242</v>
      </c>
    </row>
    <row r="1389" spans="1:14" x14ac:dyDescent="0.25">
      <c r="A1389" s="1">
        <f>'[1]Global_Spot Prices'!$B2698</f>
        <v>43948</v>
      </c>
      <c r="B1389">
        <f>_xlfn.XLOOKUP(A1389,'[1]Global_Spot Prices'!$B:$B,'[1]Global_Spot Prices'!$BS:$BS)</f>
        <v>1.110000000000003</v>
      </c>
      <c r="C1389">
        <f>_xlfn.XLOOKUP(A1389,'[1]Global_Spot Prices'!$B:$B,'[1]Global_Spot Prices'!$E:$E)</f>
        <v>17.989999999999998</v>
      </c>
      <c r="D1389">
        <f>_xlfn.XLOOKUP(A1389,'[1]Global_Spot Prices'!$B:$B,'[1]Global_Spot Prices'!$D:$D)</f>
        <v>13.615</v>
      </c>
      <c r="E1389">
        <f>_xlfn.XLOOKUP(A1389,'[1]Global_Spot Prices'!$B:$B,'[1]Global_Spot Prices'!$H:$H)</f>
        <v>16.489999999999998</v>
      </c>
      <c r="F1389">
        <f>_xlfn.XLOOKUP(A1389,'[1]Global_Spot Prices'!$B:$B,'[1]Global_Spot Prices'!$I:$I)</f>
        <v>19.100000000000001</v>
      </c>
      <c r="G1389" cm="1">
        <f t="array" ref="G1389">_xlfn.XLOOKUP(TEXT(A1389, "mmm-yy"), TEXT([2]RUNS!$B$5:$B$208, "mmm-yy"), [2]RUNS!$D$5:$D$208, "Not Found")</f>
        <v>26677.243484221111</v>
      </c>
      <c r="H1389" cm="1">
        <f t="array" ref="H1389">SUMPRODUCT(
    --(TEXT('[3]Global Weekly Stock (EWSuez'!$B$4:$B$2000,"mmm-yy")=TEXT(A1389,"mmm-yy")),
    '[3]Global Weekly Stock (EWSuez'!$E$4:$E$2000)
/
SUMPRODUCT(
    --(TEXT('[3]Global Weekly Stock (EWSuez'!$B$4:$B$2000,"mmm-yy")=TEXT(A1389,"mmm-yy"))
)</f>
        <v>15696.25</v>
      </c>
      <c r="I1389">
        <f>_xlfn.XLOOKUP(A1389,[1]ForwardDeriv!$D:$D,[1]ForwardDeriv!$AJ:$AJ)</f>
        <v>-2.4499999999999993</v>
      </c>
      <c r="J1389" cm="1">
        <f t="array" ref="J1389">_xlfn.XLOOKUP(TEXT(A1389, "mmm-yy"), TEXT([2]GASOLINE!$B$5:$B$208, "mmm-yy"), [2]GASOLINE!$IR$5:$IR$208, "Not Found")</f>
        <v>727.93787489924136</v>
      </c>
      <c r="K1389" cm="1">
        <f t="array" ref="K1389">_xlfn.XLOOKUP(TEXT(A1389, "mmm-yy"), TEXT([2]GASOLINE!$B$5:$B$208, "mmm-yy"), [2]GASOLINE!$IK$5:$IK$208, "Not Found")</f>
        <v>126.88194083554508</v>
      </c>
      <c r="L1389">
        <f t="shared" si="21"/>
        <v>0</v>
      </c>
      <c r="M1389" cm="1">
        <f t="array" ref="M1389">_xlfn.XLOOKUP(TEXT(A1389, "mmm-yy"), TEXT([2]GASOLINE!$B$5:$B$208, "mmm-yy"), [2]GASOLINE!$C$5:$C$208, "Not Found")</f>
        <v>5338.3592741737684</v>
      </c>
      <c r="N1389" cm="1">
        <f t="array" ref="N1389">_xlfn.XLOOKUP(TEXT(A1389, "mmm-yy"), TEXT([2]RUNS!$B$5:$B$208, "mmm-yy"), [2]RUNS!$BM$5:$BM$208, "Not Found")</f>
        <v>0.73137230050283242</v>
      </c>
    </row>
    <row r="1390" spans="1:14" x14ac:dyDescent="0.25">
      <c r="A1390" s="1">
        <f>'[1]Global_Spot Prices'!$B2699</f>
        <v>43949</v>
      </c>
      <c r="B1390">
        <f ca="1">_xlfn.XLOOKUP(A1390,'[1]Global_Spot Prices'!$B:$B,'[1]Global_Spot Prices'!$BS:$BS)</f>
        <v>0.7099999999999973</v>
      </c>
      <c r="C1390">
        <f>_xlfn.XLOOKUP(A1390,'[1]Global_Spot Prices'!$B:$B,'[1]Global_Spot Prices'!$E:$E)</f>
        <v>16.600000000000001</v>
      </c>
      <c r="D1390">
        <f>_xlfn.XLOOKUP(A1390,'[1]Global_Spot Prices'!$B:$B,'[1]Global_Spot Prices'!$D:$D)</f>
        <v>14.675000000000001</v>
      </c>
      <c r="E1390">
        <f>_xlfn.XLOOKUP(A1390,'[1]Global_Spot Prices'!$B:$B,'[1]Global_Spot Prices'!$H:$H)</f>
        <v>13.6</v>
      </c>
      <c r="F1390">
        <f>_xlfn.XLOOKUP(A1390,'[1]Global_Spot Prices'!$B:$B,'[1]Global_Spot Prices'!$I:$I)</f>
        <v>17.309999999999999</v>
      </c>
      <c r="G1390" cm="1">
        <f t="array" ref="G1390">_xlfn.XLOOKUP(TEXT(A1390, "mmm-yy"), TEXT([2]RUNS!$B$5:$B$208, "mmm-yy"), [2]RUNS!$D$5:$D$208, "Not Found")</f>
        <v>26677.243484221111</v>
      </c>
      <c r="H1390" cm="1">
        <f t="array" ref="H1390">SUMPRODUCT(
    --(TEXT('[3]Global Weekly Stock (EWSuez'!$B$4:$B$2000,"mmm-yy")=TEXT(A1390,"mmm-yy")),
    '[3]Global Weekly Stock (EWSuez'!$E$4:$E$2000)
/
SUMPRODUCT(
    --(TEXT('[3]Global Weekly Stock (EWSuez'!$B$4:$B$2000,"mmm-yy")=TEXT(A1390,"mmm-yy"))
)</f>
        <v>15696.25</v>
      </c>
      <c r="I1390">
        <f>_xlfn.XLOOKUP(A1390,[1]ForwardDeriv!$D:$D,[1]ForwardDeriv!$AJ:$AJ)</f>
        <v>-2.5</v>
      </c>
      <c r="J1390" cm="1">
        <f t="array" ref="J1390">_xlfn.XLOOKUP(TEXT(A1390, "mmm-yy"), TEXT([2]GASOLINE!$B$5:$B$208, "mmm-yy"), [2]GASOLINE!$IR$5:$IR$208, "Not Found")</f>
        <v>727.93787489924136</v>
      </c>
      <c r="K1390" cm="1">
        <f t="array" ref="K1390">_xlfn.XLOOKUP(TEXT(A1390, "mmm-yy"), TEXT([2]GASOLINE!$B$5:$B$208, "mmm-yy"), [2]GASOLINE!$IK$5:$IK$208, "Not Found")</f>
        <v>126.88194083554508</v>
      </c>
      <c r="L1390">
        <f t="shared" si="21"/>
        <v>0</v>
      </c>
      <c r="M1390" cm="1">
        <f t="array" ref="M1390">_xlfn.XLOOKUP(TEXT(A1390, "mmm-yy"), TEXT([2]GASOLINE!$B$5:$B$208, "mmm-yy"), [2]GASOLINE!$C$5:$C$208, "Not Found")</f>
        <v>5338.3592741737684</v>
      </c>
      <c r="N1390" cm="1">
        <f t="array" ref="N1390">_xlfn.XLOOKUP(TEXT(A1390, "mmm-yy"), TEXT([2]RUNS!$B$5:$B$208, "mmm-yy"), [2]RUNS!$BM$5:$BM$208, "Not Found")</f>
        <v>0.73137230050283242</v>
      </c>
    </row>
    <row r="1391" spans="1:14" x14ac:dyDescent="0.25">
      <c r="A1391" s="1">
        <f>'[1]Global_Spot Prices'!$B2700</f>
        <v>43950</v>
      </c>
      <c r="B1391">
        <f>_xlfn.XLOOKUP(A1391,'[1]Global_Spot Prices'!$B:$B,'[1]Global_Spot Prices'!$BS:$BS)</f>
        <v>2.5499999999999972</v>
      </c>
      <c r="C1391">
        <f>_xlfn.XLOOKUP(A1391,'[1]Global_Spot Prices'!$B:$B,'[1]Global_Spot Prices'!$E:$E)</f>
        <v>17.100000000000001</v>
      </c>
      <c r="D1391">
        <f>_xlfn.XLOOKUP(A1391,'[1]Global_Spot Prices'!$B:$B,'[1]Global_Spot Prices'!$D:$D)</f>
        <v>16.945</v>
      </c>
      <c r="E1391">
        <f>_xlfn.XLOOKUP(A1391,'[1]Global_Spot Prices'!$B:$B,'[1]Global_Spot Prices'!$H:$H)</f>
        <v>14.32</v>
      </c>
      <c r="F1391">
        <f>_xlfn.XLOOKUP(A1391,'[1]Global_Spot Prices'!$B:$B,'[1]Global_Spot Prices'!$I:$I)</f>
        <v>19.649999999999999</v>
      </c>
      <c r="G1391" cm="1">
        <f t="array" ref="G1391">_xlfn.XLOOKUP(TEXT(A1391, "mmm-yy"), TEXT([2]RUNS!$B$5:$B$208, "mmm-yy"), [2]RUNS!$D$5:$D$208, "Not Found")</f>
        <v>26677.243484221111</v>
      </c>
      <c r="H1391" cm="1">
        <f t="array" ref="H1391">SUMPRODUCT(
    --(TEXT('[3]Global Weekly Stock (EWSuez'!$B$4:$B$2000,"mmm-yy")=TEXT(A1391,"mmm-yy")),
    '[3]Global Weekly Stock (EWSuez'!$E$4:$E$2000)
/
SUMPRODUCT(
    --(TEXT('[3]Global Weekly Stock (EWSuez'!$B$4:$B$2000,"mmm-yy")=TEXT(A1391,"mmm-yy"))
)</f>
        <v>15696.25</v>
      </c>
      <c r="I1391">
        <f>_xlfn.XLOOKUP(A1391,[1]ForwardDeriv!$D:$D,[1]ForwardDeriv!$AJ:$AJ)</f>
        <v>-2.3599999999999994</v>
      </c>
      <c r="J1391" cm="1">
        <f t="array" ref="J1391">_xlfn.XLOOKUP(TEXT(A1391, "mmm-yy"), TEXT([2]GASOLINE!$B$5:$B$208, "mmm-yy"), [2]GASOLINE!$IR$5:$IR$208, "Not Found")</f>
        <v>727.93787489924136</v>
      </c>
      <c r="K1391" cm="1">
        <f t="array" ref="K1391">_xlfn.XLOOKUP(TEXT(A1391, "mmm-yy"), TEXT([2]GASOLINE!$B$5:$B$208, "mmm-yy"), [2]GASOLINE!$IK$5:$IK$208, "Not Found")</f>
        <v>126.88194083554508</v>
      </c>
      <c r="L1391">
        <f t="shared" si="21"/>
        <v>0</v>
      </c>
      <c r="M1391" cm="1">
        <f t="array" ref="M1391">_xlfn.XLOOKUP(TEXT(A1391, "mmm-yy"), TEXT([2]GASOLINE!$B$5:$B$208, "mmm-yy"), [2]GASOLINE!$C$5:$C$208, "Not Found")</f>
        <v>5338.3592741737684</v>
      </c>
      <c r="N1391" cm="1">
        <f t="array" ref="N1391">_xlfn.XLOOKUP(TEXT(A1391, "mmm-yy"), TEXT([2]RUNS!$B$5:$B$208, "mmm-yy"), [2]RUNS!$BM$5:$BM$208, "Not Found")</f>
        <v>0.73137230050283242</v>
      </c>
    </row>
    <row r="1392" spans="1:14" x14ac:dyDescent="0.25">
      <c r="A1392" s="1">
        <f>'[1]Global_Spot Prices'!$B2701</f>
        <v>43951</v>
      </c>
      <c r="B1392">
        <f>_xlfn.XLOOKUP(A1392,'[1]Global_Spot Prices'!$B:$B,'[1]Global_Spot Prices'!$BS:$BS)</f>
        <v>1.629999999999999</v>
      </c>
      <c r="C1392">
        <f>_xlfn.XLOOKUP(A1392,'[1]Global_Spot Prices'!$B:$B,'[1]Global_Spot Prices'!$E:$E)</f>
        <v>20.7</v>
      </c>
      <c r="D1392">
        <f>_xlfn.XLOOKUP(A1392,'[1]Global_Spot Prices'!$B:$B,'[1]Global_Spot Prices'!$D:$D)</f>
        <v>19.670000000000002</v>
      </c>
      <c r="E1392">
        <f>_xlfn.XLOOKUP(A1392,'[1]Global_Spot Prices'!$B:$B,'[1]Global_Spot Prices'!$H:$H)</f>
        <v>17.350000000000001</v>
      </c>
      <c r="F1392">
        <f>_xlfn.XLOOKUP(A1392,'[1]Global_Spot Prices'!$B:$B,'[1]Global_Spot Prices'!$I:$I)</f>
        <v>22.33</v>
      </c>
      <c r="G1392" cm="1">
        <f t="array" ref="G1392">_xlfn.XLOOKUP(TEXT(A1392, "mmm-yy"), TEXT([2]RUNS!$B$5:$B$208, "mmm-yy"), [2]RUNS!$D$5:$D$208, "Not Found")</f>
        <v>26677.243484221111</v>
      </c>
      <c r="H1392" cm="1">
        <f t="array" ref="H1392">SUMPRODUCT(
    --(TEXT('[3]Global Weekly Stock (EWSuez'!$B$4:$B$2000,"mmm-yy")=TEXT(A1392,"mmm-yy")),
    '[3]Global Weekly Stock (EWSuez'!$E$4:$E$2000)
/
SUMPRODUCT(
    --(TEXT('[3]Global Weekly Stock (EWSuez'!$B$4:$B$2000,"mmm-yy")=TEXT(A1392,"mmm-yy"))
)</f>
        <v>15696.25</v>
      </c>
      <c r="I1392">
        <f>_xlfn.XLOOKUP(A1392,[1]ForwardDeriv!$D:$D,[1]ForwardDeriv!$AJ:$AJ)</f>
        <v>-2.1999999999999993</v>
      </c>
      <c r="J1392" cm="1">
        <f t="array" ref="J1392">_xlfn.XLOOKUP(TEXT(A1392, "mmm-yy"), TEXT([2]GASOLINE!$B$5:$B$208, "mmm-yy"), [2]GASOLINE!$IR$5:$IR$208, "Not Found")</f>
        <v>727.93787489924136</v>
      </c>
      <c r="K1392" cm="1">
        <f t="array" ref="K1392">_xlfn.XLOOKUP(TEXT(A1392, "mmm-yy"), TEXT([2]GASOLINE!$B$5:$B$208, "mmm-yy"), [2]GASOLINE!$IK$5:$IK$208, "Not Found")</f>
        <v>126.88194083554508</v>
      </c>
      <c r="L1392">
        <f t="shared" si="21"/>
        <v>0</v>
      </c>
      <c r="M1392" cm="1">
        <f t="array" ref="M1392">_xlfn.XLOOKUP(TEXT(A1392, "mmm-yy"), TEXT([2]GASOLINE!$B$5:$B$208, "mmm-yy"), [2]GASOLINE!$C$5:$C$208, "Not Found")</f>
        <v>5338.3592741737684</v>
      </c>
      <c r="N1392" cm="1">
        <f t="array" ref="N1392">_xlfn.XLOOKUP(TEXT(A1392, "mmm-yy"), TEXT([2]RUNS!$B$5:$B$208, "mmm-yy"), [2]RUNS!$BM$5:$BM$208, "Not Found")</f>
        <v>0.73137230050283242</v>
      </c>
    </row>
    <row r="1393" spans="1:14" x14ac:dyDescent="0.25">
      <c r="A1393" s="1">
        <f>'[1]Global_Spot Prices'!$B2702</f>
        <v>43952</v>
      </c>
      <c r="B1393" t="e">
        <f>_xlfn.XLOOKUP(A1393,'[1]Global_Spot Prices'!$B:$B,'[1]Global_Spot Prices'!$BS:$BS)</f>
        <v>#N/A</v>
      </c>
      <c r="C1393" t="str">
        <f>_xlfn.XLOOKUP(A1393,'[1]Global_Spot Prices'!$B:$B,'[1]Global_Spot Prices'!$E:$E)</f>
        <v/>
      </c>
      <c r="D1393">
        <f>_xlfn.XLOOKUP(A1393,'[1]Global_Spot Prices'!$B:$B,'[1]Global_Spot Prices'!$D:$D)</f>
        <v>19.36</v>
      </c>
      <c r="E1393">
        <f>_xlfn.XLOOKUP(A1393,'[1]Global_Spot Prices'!$B:$B,'[1]Global_Spot Prices'!$H:$H)</f>
        <v>0</v>
      </c>
      <c r="F1393">
        <f>_xlfn.XLOOKUP(A1393,'[1]Global_Spot Prices'!$B:$B,'[1]Global_Spot Prices'!$I:$I)</f>
        <v>0</v>
      </c>
      <c r="G1393" cm="1">
        <f t="array" ref="G1393">_xlfn.XLOOKUP(TEXT(A1393, "mmm-yy"), TEXT([2]RUNS!$B$5:$B$208, "mmm-yy"), [2]RUNS!$D$5:$D$208, "Not Found")</f>
        <v>26845.419100598894</v>
      </c>
      <c r="H1393" cm="1">
        <f t="array" ref="H1393">SUMPRODUCT(
    --(TEXT('[3]Global Weekly Stock (EWSuez'!$B$4:$B$2000,"mmm-yy")=TEXT(A1393,"mmm-yy")),
    '[3]Global Weekly Stock (EWSuez'!$E$4:$E$2000)
/
SUMPRODUCT(
    --(TEXT('[3]Global Weekly Stock (EWSuez'!$B$4:$B$2000,"mmm-yy")=TEXT(A1393,"mmm-yy"))
)</f>
        <v>15383.2</v>
      </c>
      <c r="I1393">
        <f>_xlfn.XLOOKUP(A1393,[1]ForwardDeriv!$D:$D,[1]ForwardDeriv!$AJ:$AJ)</f>
        <v>-2</v>
      </c>
      <c r="J1393" cm="1">
        <f t="array" ref="J1393">_xlfn.XLOOKUP(TEXT(A1393, "mmm-yy"), TEXT([2]GASOLINE!$B$5:$B$208, "mmm-yy"), [2]GASOLINE!$IR$5:$IR$208, "Not Found")</f>
        <v>-254.3526170268311</v>
      </c>
      <c r="K1393" cm="1">
        <f t="array" ref="K1393">_xlfn.XLOOKUP(TEXT(A1393, "mmm-yy"), TEXT([2]GASOLINE!$B$5:$B$208, "mmm-yy"), [2]GASOLINE!$IK$5:$IK$208, "Not Found")</f>
        <v>130.34374965770905</v>
      </c>
      <c r="L1393">
        <f t="shared" si="21"/>
        <v>0</v>
      </c>
      <c r="M1393" cm="1">
        <f t="array" ref="M1393">_xlfn.XLOOKUP(TEXT(A1393, "mmm-yy"), TEXT([2]GASOLINE!$B$5:$B$208, "mmm-yy"), [2]GASOLINE!$C$5:$C$208, "Not Found")</f>
        <v>6533.0436997415527</v>
      </c>
      <c r="N1393" cm="1">
        <f t="array" ref="N1393">_xlfn.XLOOKUP(TEXT(A1393, "mmm-yy"), TEXT([2]RUNS!$B$5:$B$208, "mmm-yy"), [2]RUNS!$BM$5:$BM$208, "Not Found")</f>
        <v>0.737675666854407</v>
      </c>
    </row>
    <row r="1394" spans="1:14" x14ac:dyDescent="0.25">
      <c r="A1394" s="1">
        <f>'[1]Global_Spot Prices'!$B2703</f>
        <v>43955</v>
      </c>
      <c r="B1394">
        <f>_xlfn.XLOOKUP(A1394,'[1]Global_Spot Prices'!$B:$B,'[1]Global_Spot Prices'!$BS:$BS)</f>
        <v>-2.990000000000002</v>
      </c>
      <c r="C1394">
        <f>_xlfn.XLOOKUP(A1394,'[1]Global_Spot Prices'!$B:$B,'[1]Global_Spot Prices'!$E:$E)</f>
        <v>24.3</v>
      </c>
      <c r="D1394">
        <f>_xlfn.XLOOKUP(A1394,'[1]Global_Spot Prices'!$B:$B,'[1]Global_Spot Prices'!$D:$D)</f>
        <v>19.32</v>
      </c>
      <c r="E1394">
        <f>_xlfn.XLOOKUP(A1394,'[1]Global_Spot Prices'!$B:$B,'[1]Global_Spot Prices'!$H:$H)</f>
        <v>15.65</v>
      </c>
      <c r="F1394">
        <f>_xlfn.XLOOKUP(A1394,'[1]Global_Spot Prices'!$B:$B,'[1]Global_Spot Prices'!$I:$I)</f>
        <v>21.31</v>
      </c>
      <c r="G1394" cm="1">
        <f t="array" ref="G1394">_xlfn.XLOOKUP(TEXT(A1394, "mmm-yy"), TEXT([2]RUNS!$B$5:$B$208, "mmm-yy"), [2]RUNS!$D$5:$D$208, "Not Found")</f>
        <v>26845.419100598894</v>
      </c>
      <c r="H1394" cm="1">
        <f t="array" ref="H1394">SUMPRODUCT(
    --(TEXT('[3]Global Weekly Stock (EWSuez'!$B$4:$B$2000,"mmm-yy")=TEXT(A1394,"mmm-yy")),
    '[3]Global Weekly Stock (EWSuez'!$E$4:$E$2000)
/
SUMPRODUCT(
    --(TEXT('[3]Global Weekly Stock (EWSuez'!$B$4:$B$2000,"mmm-yy")=TEXT(A1394,"mmm-yy"))
)</f>
        <v>15383.2</v>
      </c>
      <c r="I1394">
        <f>_xlfn.XLOOKUP(A1394,[1]ForwardDeriv!$D:$D,[1]ForwardDeriv!$AJ:$AJ)</f>
        <v>-2</v>
      </c>
      <c r="J1394" cm="1">
        <f t="array" ref="J1394">_xlfn.XLOOKUP(TEXT(A1394, "mmm-yy"), TEXT([2]GASOLINE!$B$5:$B$208, "mmm-yy"), [2]GASOLINE!$IR$5:$IR$208, "Not Found")</f>
        <v>-254.3526170268311</v>
      </c>
      <c r="K1394" cm="1">
        <f t="array" ref="K1394">_xlfn.XLOOKUP(TEXT(A1394, "mmm-yy"), TEXT([2]GASOLINE!$B$5:$B$208, "mmm-yy"), [2]GASOLINE!$IK$5:$IK$208, "Not Found")</f>
        <v>130.34374965770905</v>
      </c>
      <c r="L1394">
        <f t="shared" si="21"/>
        <v>0</v>
      </c>
      <c r="M1394" cm="1">
        <f t="array" ref="M1394">_xlfn.XLOOKUP(TEXT(A1394, "mmm-yy"), TEXT([2]GASOLINE!$B$5:$B$208, "mmm-yy"), [2]GASOLINE!$C$5:$C$208, "Not Found")</f>
        <v>6533.0436997415527</v>
      </c>
      <c r="N1394" cm="1">
        <f t="array" ref="N1394">_xlfn.XLOOKUP(TEXT(A1394, "mmm-yy"), TEXT([2]RUNS!$B$5:$B$208, "mmm-yy"), [2]RUNS!$BM$5:$BM$208, "Not Found")</f>
        <v>0.737675666854407</v>
      </c>
    </row>
    <row r="1395" spans="1:14" x14ac:dyDescent="0.25">
      <c r="A1395" s="1">
        <f>'[1]Global_Spot Prices'!$B2704</f>
        <v>43956</v>
      </c>
      <c r="B1395">
        <f ca="1">_xlfn.XLOOKUP(A1395,'[1]Global_Spot Prices'!$B:$B,'[1]Global_Spot Prices'!$BS:$BS)</f>
        <v>-0.86499999999999844</v>
      </c>
      <c r="C1395">
        <f>_xlfn.XLOOKUP(A1395,'[1]Global_Spot Prices'!$B:$B,'[1]Global_Spot Prices'!$E:$E)</f>
        <v>25.954999999999998</v>
      </c>
      <c r="D1395">
        <f>_xlfn.XLOOKUP(A1395,'[1]Global_Spot Prices'!$B:$B,'[1]Global_Spot Prices'!$D:$D)</f>
        <v>23.835000000000001</v>
      </c>
      <c r="E1395">
        <f>_xlfn.XLOOKUP(A1395,'[1]Global_Spot Prices'!$B:$B,'[1]Global_Spot Prices'!$H:$H)</f>
        <v>20.440000000000001</v>
      </c>
      <c r="F1395">
        <f ca="1">_xlfn.XLOOKUP(A1395,'[1]Global_Spot Prices'!$B:$B,'[1]Global_Spot Prices'!$I:$I)</f>
        <v>25.09</v>
      </c>
      <c r="G1395" cm="1">
        <f t="array" ref="G1395">_xlfn.XLOOKUP(TEXT(A1395, "mmm-yy"), TEXT([2]RUNS!$B$5:$B$208, "mmm-yy"), [2]RUNS!$D$5:$D$208, "Not Found")</f>
        <v>26845.419100598894</v>
      </c>
      <c r="H1395" cm="1">
        <f t="array" ref="H1395">SUMPRODUCT(
    --(TEXT('[3]Global Weekly Stock (EWSuez'!$B$4:$B$2000,"mmm-yy")=TEXT(A1395,"mmm-yy")),
    '[3]Global Weekly Stock (EWSuez'!$E$4:$E$2000)
/
SUMPRODUCT(
    --(TEXT('[3]Global Weekly Stock (EWSuez'!$B$4:$B$2000,"mmm-yy")=TEXT(A1395,"mmm-yy"))
)</f>
        <v>15383.2</v>
      </c>
      <c r="I1395">
        <f>_xlfn.XLOOKUP(A1395,[1]ForwardDeriv!$D:$D,[1]ForwardDeriv!$AJ:$AJ)</f>
        <v>-1.7000000000000028</v>
      </c>
      <c r="J1395" cm="1">
        <f t="array" ref="J1395">_xlfn.XLOOKUP(TEXT(A1395, "mmm-yy"), TEXT([2]GASOLINE!$B$5:$B$208, "mmm-yy"), [2]GASOLINE!$IR$5:$IR$208, "Not Found")</f>
        <v>-254.3526170268311</v>
      </c>
      <c r="K1395" cm="1">
        <f t="array" ref="K1395">_xlfn.XLOOKUP(TEXT(A1395, "mmm-yy"), TEXT([2]GASOLINE!$B$5:$B$208, "mmm-yy"), [2]GASOLINE!$IK$5:$IK$208, "Not Found")</f>
        <v>130.34374965770905</v>
      </c>
      <c r="L1395">
        <f t="shared" si="21"/>
        <v>0</v>
      </c>
      <c r="M1395" cm="1">
        <f t="array" ref="M1395">_xlfn.XLOOKUP(TEXT(A1395, "mmm-yy"), TEXT([2]GASOLINE!$B$5:$B$208, "mmm-yy"), [2]GASOLINE!$C$5:$C$208, "Not Found")</f>
        <v>6533.0436997415527</v>
      </c>
      <c r="N1395" cm="1">
        <f t="array" ref="N1395">_xlfn.XLOOKUP(TEXT(A1395, "mmm-yy"), TEXT([2]RUNS!$B$5:$B$208, "mmm-yy"), [2]RUNS!$BM$5:$BM$208, "Not Found")</f>
        <v>0.737675666854407</v>
      </c>
    </row>
    <row r="1396" spans="1:14" x14ac:dyDescent="0.25">
      <c r="A1396" s="1">
        <f>'[1]Global_Spot Prices'!$B2705</f>
        <v>43957</v>
      </c>
      <c r="B1396">
        <f>_xlfn.XLOOKUP(A1396,'[1]Global_Spot Prices'!$B:$B,'[1]Global_Spot Prices'!$BS:$BS)</f>
        <v>0.37999999999999901</v>
      </c>
      <c r="C1396">
        <f>_xlfn.XLOOKUP(A1396,'[1]Global_Spot Prices'!$B:$B,'[1]Global_Spot Prices'!$E:$E)</f>
        <v>26.85</v>
      </c>
      <c r="D1396">
        <f>_xlfn.XLOOKUP(A1396,'[1]Global_Spot Prices'!$B:$B,'[1]Global_Spot Prices'!$D:$D)</f>
        <v>23.02</v>
      </c>
      <c r="E1396">
        <f>_xlfn.XLOOKUP(A1396,'[1]Global_Spot Prices'!$B:$B,'[1]Global_Spot Prices'!$H:$H)</f>
        <v>22.44</v>
      </c>
      <c r="F1396">
        <f>_xlfn.XLOOKUP(A1396,'[1]Global_Spot Prices'!$B:$B,'[1]Global_Spot Prices'!$I:$I)</f>
        <v>27.23</v>
      </c>
      <c r="G1396" cm="1">
        <f t="array" ref="G1396">_xlfn.XLOOKUP(TEXT(A1396, "mmm-yy"), TEXT([2]RUNS!$B$5:$B$208, "mmm-yy"), [2]RUNS!$D$5:$D$208, "Not Found")</f>
        <v>26845.419100598894</v>
      </c>
      <c r="H1396" cm="1">
        <f t="array" ref="H1396">SUMPRODUCT(
    --(TEXT('[3]Global Weekly Stock (EWSuez'!$B$4:$B$2000,"mmm-yy")=TEXT(A1396,"mmm-yy")),
    '[3]Global Weekly Stock (EWSuez'!$E$4:$E$2000)
/
SUMPRODUCT(
    --(TEXT('[3]Global Weekly Stock (EWSuez'!$B$4:$B$2000,"mmm-yy")=TEXT(A1396,"mmm-yy"))
)</f>
        <v>15383.2</v>
      </c>
      <c r="I1396">
        <f>_xlfn.XLOOKUP(A1396,[1]ForwardDeriv!$D:$D,[1]ForwardDeriv!$AJ:$AJ)</f>
        <v>-1.8299999999999983</v>
      </c>
      <c r="J1396" cm="1">
        <f t="array" ref="J1396">_xlfn.XLOOKUP(TEXT(A1396, "mmm-yy"), TEXT([2]GASOLINE!$B$5:$B$208, "mmm-yy"), [2]GASOLINE!$IR$5:$IR$208, "Not Found")</f>
        <v>-254.3526170268311</v>
      </c>
      <c r="K1396" cm="1">
        <f t="array" ref="K1396">_xlfn.XLOOKUP(TEXT(A1396, "mmm-yy"), TEXT([2]GASOLINE!$B$5:$B$208, "mmm-yy"), [2]GASOLINE!$IK$5:$IK$208, "Not Found")</f>
        <v>130.34374965770905</v>
      </c>
      <c r="L1396">
        <f t="shared" si="21"/>
        <v>0</v>
      </c>
      <c r="M1396" cm="1">
        <f t="array" ref="M1396">_xlfn.XLOOKUP(TEXT(A1396, "mmm-yy"), TEXT([2]GASOLINE!$B$5:$B$208, "mmm-yy"), [2]GASOLINE!$C$5:$C$208, "Not Found")</f>
        <v>6533.0436997415527</v>
      </c>
      <c r="N1396" cm="1">
        <f t="array" ref="N1396">_xlfn.XLOOKUP(TEXT(A1396, "mmm-yy"), TEXT([2]RUNS!$B$5:$B$208, "mmm-yy"), [2]RUNS!$BM$5:$BM$208, "Not Found")</f>
        <v>0.737675666854407</v>
      </c>
    </row>
    <row r="1397" spans="1:14" x14ac:dyDescent="0.25">
      <c r="A1397" s="1">
        <f>'[1]Global_Spot Prices'!$B2706</f>
        <v>43958</v>
      </c>
      <c r="B1397" t="e">
        <f>_xlfn.XLOOKUP(A1397,'[1]Global_Spot Prices'!$B:$B,'[1]Global_Spot Prices'!$BS:$BS)</f>
        <v>#N/A</v>
      </c>
      <c r="C1397" t="str">
        <f>_xlfn.XLOOKUP(A1397,'[1]Global_Spot Prices'!$B:$B,'[1]Global_Spot Prices'!$E:$E)</f>
        <v/>
      </c>
      <c r="D1397">
        <f ca="1">_xlfn.XLOOKUP(A1397,'[1]Global_Spot Prices'!$B:$B,'[1]Global_Spot Prices'!$D:$D)</f>
        <v>25.094999999999999</v>
      </c>
      <c r="E1397">
        <f>_xlfn.XLOOKUP(A1397,'[1]Global_Spot Prices'!$B:$B,'[1]Global_Spot Prices'!$H:$H)</f>
        <v>0</v>
      </c>
      <c r="F1397">
        <f>_xlfn.XLOOKUP(A1397,'[1]Global_Spot Prices'!$B:$B,'[1]Global_Spot Prices'!$I:$I)</f>
        <v>0</v>
      </c>
      <c r="G1397" cm="1">
        <f t="array" ref="G1397">_xlfn.XLOOKUP(TEXT(A1397, "mmm-yy"), TEXT([2]RUNS!$B$5:$B$208, "mmm-yy"), [2]RUNS!$D$5:$D$208, "Not Found")</f>
        <v>26845.419100598894</v>
      </c>
      <c r="H1397" cm="1">
        <f t="array" ref="H1397">SUMPRODUCT(
    --(TEXT('[3]Global Weekly Stock (EWSuez'!$B$4:$B$2000,"mmm-yy")=TEXT(A1397,"mmm-yy")),
    '[3]Global Weekly Stock (EWSuez'!$E$4:$E$2000)
/
SUMPRODUCT(
    --(TEXT('[3]Global Weekly Stock (EWSuez'!$B$4:$B$2000,"mmm-yy")=TEXT(A1397,"mmm-yy"))
)</f>
        <v>15383.2</v>
      </c>
      <c r="I1397">
        <f>_xlfn.XLOOKUP(A1397,[1]ForwardDeriv!$D:$D,[1]ForwardDeriv!$AJ:$AJ)</f>
        <v>-1.5700000000000003</v>
      </c>
      <c r="J1397" cm="1">
        <f t="array" ref="J1397">_xlfn.XLOOKUP(TEXT(A1397, "mmm-yy"), TEXT([2]GASOLINE!$B$5:$B$208, "mmm-yy"), [2]GASOLINE!$IR$5:$IR$208, "Not Found")</f>
        <v>-254.3526170268311</v>
      </c>
      <c r="K1397" cm="1">
        <f t="array" ref="K1397">_xlfn.XLOOKUP(TEXT(A1397, "mmm-yy"), TEXT([2]GASOLINE!$B$5:$B$208, "mmm-yy"), [2]GASOLINE!$IK$5:$IK$208, "Not Found")</f>
        <v>130.34374965770905</v>
      </c>
      <c r="L1397">
        <f t="shared" si="21"/>
        <v>0</v>
      </c>
      <c r="M1397" cm="1">
        <f t="array" ref="M1397">_xlfn.XLOOKUP(TEXT(A1397, "mmm-yy"), TEXT([2]GASOLINE!$B$5:$B$208, "mmm-yy"), [2]GASOLINE!$C$5:$C$208, "Not Found")</f>
        <v>6533.0436997415527</v>
      </c>
      <c r="N1397" cm="1">
        <f t="array" ref="N1397">_xlfn.XLOOKUP(TEXT(A1397, "mmm-yy"), TEXT([2]RUNS!$B$5:$B$208, "mmm-yy"), [2]RUNS!$BM$5:$BM$208, "Not Found")</f>
        <v>0.737675666854407</v>
      </c>
    </row>
    <row r="1398" spans="1:14" x14ac:dyDescent="0.25">
      <c r="A1398" s="1">
        <f>'[1]Global_Spot Prices'!$B2707</f>
        <v>43959</v>
      </c>
      <c r="B1398">
        <f>_xlfn.XLOOKUP(A1398,'[1]Global_Spot Prices'!$B:$B,'[1]Global_Spot Prices'!$BS:$BS)</f>
        <v>2.0200000000000031</v>
      </c>
      <c r="C1398">
        <f>_xlfn.XLOOKUP(A1398,'[1]Global_Spot Prices'!$B:$B,'[1]Global_Spot Prices'!$E:$E)</f>
        <v>25.9</v>
      </c>
      <c r="D1398" t="str">
        <f>_xlfn.XLOOKUP(A1398,'[1]Global_Spot Prices'!$B:$B,'[1]Global_Spot Prices'!$D:$D)</f>
        <v/>
      </c>
      <c r="E1398">
        <f>_xlfn.XLOOKUP(A1398,'[1]Global_Spot Prices'!$B:$B,'[1]Global_Spot Prices'!$H:$H)</f>
        <v>22.39</v>
      </c>
      <c r="F1398">
        <f>_xlfn.XLOOKUP(A1398,'[1]Global_Spot Prices'!$B:$B,'[1]Global_Spot Prices'!$I:$I)</f>
        <v>27.92</v>
      </c>
      <c r="G1398" cm="1">
        <f t="array" ref="G1398">_xlfn.XLOOKUP(TEXT(A1398, "mmm-yy"), TEXT([2]RUNS!$B$5:$B$208, "mmm-yy"), [2]RUNS!$D$5:$D$208, "Not Found")</f>
        <v>26845.419100598894</v>
      </c>
      <c r="H1398" cm="1">
        <f t="array" ref="H1398">SUMPRODUCT(
    --(TEXT('[3]Global Weekly Stock (EWSuez'!$B$4:$B$2000,"mmm-yy")=TEXT(A1398,"mmm-yy")),
    '[3]Global Weekly Stock (EWSuez'!$E$4:$E$2000)
/
SUMPRODUCT(
    --(TEXT('[3]Global Weekly Stock (EWSuez'!$B$4:$B$2000,"mmm-yy")=TEXT(A1398,"mmm-yy"))
)</f>
        <v>15383.2</v>
      </c>
      <c r="I1398">
        <f>_xlfn.XLOOKUP(A1398,[1]ForwardDeriv!$D:$D,[1]ForwardDeriv!$AJ:$AJ)</f>
        <v>-1.5700000000000003</v>
      </c>
      <c r="J1398" cm="1">
        <f t="array" ref="J1398">_xlfn.XLOOKUP(TEXT(A1398, "mmm-yy"), TEXT([2]GASOLINE!$B$5:$B$208, "mmm-yy"), [2]GASOLINE!$IR$5:$IR$208, "Not Found")</f>
        <v>-254.3526170268311</v>
      </c>
      <c r="K1398" cm="1">
        <f t="array" ref="K1398">_xlfn.XLOOKUP(TEXT(A1398, "mmm-yy"), TEXT([2]GASOLINE!$B$5:$B$208, "mmm-yy"), [2]GASOLINE!$IK$5:$IK$208, "Not Found")</f>
        <v>130.34374965770905</v>
      </c>
      <c r="L1398">
        <f t="shared" si="21"/>
        <v>0</v>
      </c>
      <c r="M1398" cm="1">
        <f t="array" ref="M1398">_xlfn.XLOOKUP(TEXT(A1398, "mmm-yy"), TEXT([2]GASOLINE!$B$5:$B$208, "mmm-yy"), [2]GASOLINE!$C$5:$C$208, "Not Found")</f>
        <v>6533.0436997415527</v>
      </c>
      <c r="N1398" cm="1">
        <f t="array" ref="N1398">_xlfn.XLOOKUP(TEXT(A1398, "mmm-yy"), TEXT([2]RUNS!$B$5:$B$208, "mmm-yy"), [2]RUNS!$BM$5:$BM$208, "Not Found")</f>
        <v>0.737675666854407</v>
      </c>
    </row>
    <row r="1399" spans="1:14" x14ac:dyDescent="0.25">
      <c r="A1399" s="1">
        <f>'[1]Global_Spot Prices'!$B2708</f>
        <v>43962</v>
      </c>
      <c r="B1399">
        <f>_xlfn.XLOOKUP(A1399,'[1]Global_Spot Prices'!$B:$B,'[1]Global_Spot Prices'!$BS:$BS)</f>
        <v>3.120000000000001</v>
      </c>
      <c r="C1399">
        <f>_xlfn.XLOOKUP(A1399,'[1]Global_Spot Prices'!$B:$B,'[1]Global_Spot Prices'!$E:$E)</f>
        <v>26.75</v>
      </c>
      <c r="D1399">
        <f>_xlfn.XLOOKUP(A1399,'[1]Global_Spot Prices'!$B:$B,'[1]Global_Spot Prices'!$D:$D)</f>
        <v>25.465</v>
      </c>
      <c r="E1399">
        <f>_xlfn.XLOOKUP(A1399,'[1]Global_Spot Prices'!$B:$B,'[1]Global_Spot Prices'!$H:$H)</f>
        <v>22.75</v>
      </c>
      <c r="F1399">
        <f>_xlfn.XLOOKUP(A1399,'[1]Global_Spot Prices'!$B:$B,'[1]Global_Spot Prices'!$I:$I)</f>
        <v>29.87</v>
      </c>
      <c r="G1399" cm="1">
        <f t="array" ref="G1399">_xlfn.XLOOKUP(TEXT(A1399, "mmm-yy"), TEXT([2]RUNS!$B$5:$B$208, "mmm-yy"), [2]RUNS!$D$5:$D$208, "Not Found")</f>
        <v>26845.419100598894</v>
      </c>
      <c r="H1399" cm="1">
        <f t="array" ref="H1399">SUMPRODUCT(
    --(TEXT('[3]Global Weekly Stock (EWSuez'!$B$4:$B$2000,"mmm-yy")=TEXT(A1399,"mmm-yy")),
    '[3]Global Weekly Stock (EWSuez'!$E$4:$E$2000)
/
SUMPRODUCT(
    --(TEXT('[3]Global Weekly Stock (EWSuez'!$B$4:$B$2000,"mmm-yy")=TEXT(A1399,"mmm-yy"))
)</f>
        <v>15383.2</v>
      </c>
      <c r="I1399">
        <f>_xlfn.XLOOKUP(A1399,[1]ForwardDeriv!$D:$D,[1]ForwardDeriv!$AJ:$AJ)</f>
        <v>-1.0600000000000023</v>
      </c>
      <c r="J1399" cm="1">
        <f t="array" ref="J1399">_xlfn.XLOOKUP(TEXT(A1399, "mmm-yy"), TEXT([2]GASOLINE!$B$5:$B$208, "mmm-yy"), [2]GASOLINE!$IR$5:$IR$208, "Not Found")</f>
        <v>-254.3526170268311</v>
      </c>
      <c r="K1399" cm="1">
        <f t="array" ref="K1399">_xlfn.XLOOKUP(TEXT(A1399, "mmm-yy"), TEXT([2]GASOLINE!$B$5:$B$208, "mmm-yy"), [2]GASOLINE!$IK$5:$IK$208, "Not Found")</f>
        <v>130.34374965770905</v>
      </c>
      <c r="L1399">
        <f t="shared" si="21"/>
        <v>0</v>
      </c>
      <c r="M1399" cm="1">
        <f t="array" ref="M1399">_xlfn.XLOOKUP(TEXT(A1399, "mmm-yy"), TEXT([2]GASOLINE!$B$5:$B$208, "mmm-yy"), [2]GASOLINE!$C$5:$C$208, "Not Found")</f>
        <v>6533.0436997415527</v>
      </c>
      <c r="N1399" cm="1">
        <f t="array" ref="N1399">_xlfn.XLOOKUP(TEXT(A1399, "mmm-yy"), TEXT([2]RUNS!$B$5:$B$208, "mmm-yy"), [2]RUNS!$BM$5:$BM$208, "Not Found")</f>
        <v>0.737675666854407</v>
      </c>
    </row>
    <row r="1400" spans="1:14" x14ac:dyDescent="0.25">
      <c r="A1400" s="1">
        <f>'[1]Global_Spot Prices'!$B2709</f>
        <v>43963</v>
      </c>
      <c r="B1400">
        <f>_xlfn.XLOOKUP(A1400,'[1]Global_Spot Prices'!$B:$B,'[1]Global_Spot Prices'!$BS:$BS)</f>
        <v>2.1700000000000017</v>
      </c>
      <c r="C1400">
        <f>_xlfn.XLOOKUP(A1400,'[1]Global_Spot Prices'!$B:$B,'[1]Global_Spot Prices'!$E:$E)</f>
        <v>26.9</v>
      </c>
      <c r="D1400">
        <f>_xlfn.XLOOKUP(A1400,'[1]Global_Spot Prices'!$B:$B,'[1]Global_Spot Prices'!$D:$D)</f>
        <v>26.445</v>
      </c>
      <c r="E1400">
        <f>_xlfn.XLOOKUP(A1400,'[1]Global_Spot Prices'!$B:$B,'[1]Global_Spot Prices'!$H:$H)</f>
        <v>22.24</v>
      </c>
      <c r="F1400">
        <f>_xlfn.XLOOKUP(A1400,'[1]Global_Spot Prices'!$B:$B,'[1]Global_Spot Prices'!$I:$I)</f>
        <v>29.07</v>
      </c>
      <c r="G1400" cm="1">
        <f t="array" ref="G1400">_xlfn.XLOOKUP(TEXT(A1400, "mmm-yy"), TEXT([2]RUNS!$B$5:$B$208, "mmm-yy"), [2]RUNS!$D$5:$D$208, "Not Found")</f>
        <v>26845.419100598894</v>
      </c>
      <c r="H1400" cm="1">
        <f t="array" ref="H1400">SUMPRODUCT(
    --(TEXT('[3]Global Weekly Stock (EWSuez'!$B$4:$B$2000,"mmm-yy")=TEXT(A1400,"mmm-yy")),
    '[3]Global Weekly Stock (EWSuez'!$E$4:$E$2000)
/
SUMPRODUCT(
    --(TEXT('[3]Global Weekly Stock (EWSuez'!$B$4:$B$2000,"mmm-yy")=TEXT(A1400,"mmm-yy"))
)</f>
        <v>15383.2</v>
      </c>
      <c r="I1400">
        <f>_xlfn.XLOOKUP(A1400,[1]ForwardDeriv!$D:$D,[1]ForwardDeriv!$AJ:$AJ)</f>
        <v>-0.96999999999999886</v>
      </c>
      <c r="J1400" cm="1">
        <f t="array" ref="J1400">_xlfn.XLOOKUP(TEXT(A1400, "mmm-yy"), TEXT([2]GASOLINE!$B$5:$B$208, "mmm-yy"), [2]GASOLINE!$IR$5:$IR$208, "Not Found")</f>
        <v>-254.3526170268311</v>
      </c>
      <c r="K1400" cm="1">
        <f t="array" ref="K1400">_xlfn.XLOOKUP(TEXT(A1400, "mmm-yy"), TEXT([2]GASOLINE!$B$5:$B$208, "mmm-yy"), [2]GASOLINE!$IK$5:$IK$208, "Not Found")</f>
        <v>130.34374965770905</v>
      </c>
      <c r="L1400">
        <f t="shared" si="21"/>
        <v>0</v>
      </c>
      <c r="M1400" cm="1">
        <f t="array" ref="M1400">_xlfn.XLOOKUP(TEXT(A1400, "mmm-yy"), TEXT([2]GASOLINE!$B$5:$B$208, "mmm-yy"), [2]GASOLINE!$C$5:$C$208, "Not Found")</f>
        <v>6533.0436997415527</v>
      </c>
      <c r="N1400" cm="1">
        <f t="array" ref="N1400">_xlfn.XLOOKUP(TEXT(A1400, "mmm-yy"), TEXT([2]RUNS!$B$5:$B$208, "mmm-yy"), [2]RUNS!$BM$5:$BM$208, "Not Found")</f>
        <v>0.737675666854407</v>
      </c>
    </row>
    <row r="1401" spans="1:14" x14ac:dyDescent="0.25">
      <c r="A1401" s="1">
        <f>'[1]Global_Spot Prices'!$B2710</f>
        <v>43964</v>
      </c>
      <c r="B1401">
        <f>_xlfn.XLOOKUP(A1401,'[1]Global_Spot Prices'!$B:$B,'[1]Global_Spot Prices'!$BS:$BS)</f>
        <v>0.58000000000000185</v>
      </c>
      <c r="C1401">
        <f>_xlfn.XLOOKUP(A1401,'[1]Global_Spot Prices'!$B:$B,'[1]Global_Spot Prices'!$E:$E)</f>
        <v>26.86</v>
      </c>
      <c r="D1401">
        <f>_xlfn.XLOOKUP(A1401,'[1]Global_Spot Prices'!$B:$B,'[1]Global_Spot Prices'!$D:$D)</f>
        <v>28</v>
      </c>
      <c r="E1401">
        <f>_xlfn.XLOOKUP(A1401,'[1]Global_Spot Prices'!$B:$B,'[1]Global_Spot Prices'!$H:$H)</f>
        <v>22.3</v>
      </c>
      <c r="F1401">
        <f>_xlfn.XLOOKUP(A1401,'[1]Global_Spot Prices'!$B:$B,'[1]Global_Spot Prices'!$I:$I)</f>
        <v>27.44</v>
      </c>
      <c r="G1401" cm="1">
        <f t="array" ref="G1401">_xlfn.XLOOKUP(TEXT(A1401, "mmm-yy"), TEXT([2]RUNS!$B$5:$B$208, "mmm-yy"), [2]RUNS!$D$5:$D$208, "Not Found")</f>
        <v>26845.419100598894</v>
      </c>
      <c r="H1401" cm="1">
        <f t="array" ref="H1401">SUMPRODUCT(
    --(TEXT('[3]Global Weekly Stock (EWSuez'!$B$4:$B$2000,"mmm-yy")=TEXT(A1401,"mmm-yy")),
    '[3]Global Weekly Stock (EWSuez'!$E$4:$E$2000)
/
SUMPRODUCT(
    --(TEXT('[3]Global Weekly Stock (EWSuez'!$B$4:$B$2000,"mmm-yy")=TEXT(A1401,"mmm-yy"))
)</f>
        <v>15383.2</v>
      </c>
      <c r="I1401">
        <f>_xlfn.XLOOKUP(A1401,[1]ForwardDeriv!$D:$D,[1]ForwardDeriv!$AJ:$AJ)</f>
        <v>-1.1499999999999986</v>
      </c>
      <c r="J1401" cm="1">
        <f t="array" ref="J1401">_xlfn.XLOOKUP(TEXT(A1401, "mmm-yy"), TEXT([2]GASOLINE!$B$5:$B$208, "mmm-yy"), [2]GASOLINE!$IR$5:$IR$208, "Not Found")</f>
        <v>-254.3526170268311</v>
      </c>
      <c r="K1401" cm="1">
        <f t="array" ref="K1401">_xlfn.XLOOKUP(TEXT(A1401, "mmm-yy"), TEXT([2]GASOLINE!$B$5:$B$208, "mmm-yy"), [2]GASOLINE!$IK$5:$IK$208, "Not Found")</f>
        <v>130.34374965770905</v>
      </c>
      <c r="L1401">
        <f t="shared" si="21"/>
        <v>0</v>
      </c>
      <c r="M1401" cm="1">
        <f t="array" ref="M1401">_xlfn.XLOOKUP(TEXT(A1401, "mmm-yy"), TEXT([2]GASOLINE!$B$5:$B$208, "mmm-yy"), [2]GASOLINE!$C$5:$C$208, "Not Found")</f>
        <v>6533.0436997415527</v>
      </c>
      <c r="N1401" cm="1">
        <f t="array" ref="N1401">_xlfn.XLOOKUP(TEXT(A1401, "mmm-yy"), TEXT([2]RUNS!$B$5:$B$208, "mmm-yy"), [2]RUNS!$BM$5:$BM$208, "Not Found")</f>
        <v>0.737675666854407</v>
      </c>
    </row>
    <row r="1402" spans="1:14" x14ac:dyDescent="0.25">
      <c r="A1402" s="1">
        <f>'[1]Global_Spot Prices'!$B2711</f>
        <v>43965</v>
      </c>
      <c r="B1402">
        <f>_xlfn.XLOOKUP(A1402,'[1]Global_Spot Prices'!$B:$B,'[1]Global_Spot Prices'!$BS:$BS)</f>
        <v>-1.0899999999999999</v>
      </c>
      <c r="C1402">
        <f>_xlfn.XLOOKUP(A1402,'[1]Global_Spot Prices'!$B:$B,'[1]Global_Spot Prices'!$E:$E)</f>
        <v>29.86</v>
      </c>
      <c r="D1402">
        <f>_xlfn.XLOOKUP(A1402,'[1]Global_Spot Prices'!$B:$B,'[1]Global_Spot Prices'!$D:$D)</f>
        <v>28.335000000000001</v>
      </c>
      <c r="E1402">
        <f>_xlfn.XLOOKUP(A1402,'[1]Global_Spot Prices'!$B:$B,'[1]Global_Spot Prices'!$H:$H)</f>
        <v>21.76</v>
      </c>
      <c r="F1402">
        <f>_xlfn.XLOOKUP(A1402,'[1]Global_Spot Prices'!$B:$B,'[1]Global_Spot Prices'!$I:$I)</f>
        <v>28.77</v>
      </c>
      <c r="G1402" cm="1">
        <f t="array" ref="G1402">_xlfn.XLOOKUP(TEXT(A1402, "mmm-yy"), TEXT([2]RUNS!$B$5:$B$208, "mmm-yy"), [2]RUNS!$D$5:$D$208, "Not Found")</f>
        <v>26845.419100598894</v>
      </c>
      <c r="H1402" cm="1">
        <f t="array" ref="H1402">SUMPRODUCT(
    --(TEXT('[3]Global Weekly Stock (EWSuez'!$B$4:$B$2000,"mmm-yy")=TEXT(A1402,"mmm-yy")),
    '[3]Global Weekly Stock (EWSuez'!$E$4:$E$2000)
/
SUMPRODUCT(
    --(TEXT('[3]Global Weekly Stock (EWSuez'!$B$4:$B$2000,"mmm-yy")=TEXT(A1402,"mmm-yy"))
)</f>
        <v>15383.2</v>
      </c>
      <c r="I1402">
        <f>_xlfn.XLOOKUP(A1402,[1]ForwardDeriv!$D:$D,[1]ForwardDeriv!$AJ:$AJ)</f>
        <v>-0.88000000000000256</v>
      </c>
      <c r="J1402" cm="1">
        <f t="array" ref="J1402">_xlfn.XLOOKUP(TEXT(A1402, "mmm-yy"), TEXT([2]GASOLINE!$B$5:$B$208, "mmm-yy"), [2]GASOLINE!$IR$5:$IR$208, "Not Found")</f>
        <v>-254.3526170268311</v>
      </c>
      <c r="K1402" cm="1">
        <f t="array" ref="K1402">_xlfn.XLOOKUP(TEXT(A1402, "mmm-yy"), TEXT([2]GASOLINE!$B$5:$B$208, "mmm-yy"), [2]GASOLINE!$IK$5:$IK$208, "Not Found")</f>
        <v>130.34374965770905</v>
      </c>
      <c r="L1402">
        <f t="shared" si="21"/>
        <v>0</v>
      </c>
      <c r="M1402" cm="1">
        <f t="array" ref="M1402">_xlfn.XLOOKUP(TEXT(A1402, "mmm-yy"), TEXT([2]GASOLINE!$B$5:$B$208, "mmm-yy"), [2]GASOLINE!$C$5:$C$208, "Not Found")</f>
        <v>6533.0436997415527</v>
      </c>
      <c r="N1402" cm="1">
        <f t="array" ref="N1402">_xlfn.XLOOKUP(TEXT(A1402, "mmm-yy"), TEXT([2]RUNS!$B$5:$B$208, "mmm-yy"), [2]RUNS!$BM$5:$BM$208, "Not Found")</f>
        <v>0.737675666854407</v>
      </c>
    </row>
    <row r="1403" spans="1:14" x14ac:dyDescent="0.25">
      <c r="A1403" s="1">
        <f>'[1]Global_Spot Prices'!$B2712</f>
        <v>43966</v>
      </c>
      <c r="B1403">
        <f>_xlfn.XLOOKUP(A1403,'[1]Global_Spot Prices'!$B:$B,'[1]Global_Spot Prices'!$BS:$BS)</f>
        <v>-0.58000000000000185</v>
      </c>
      <c r="C1403">
        <f>_xlfn.XLOOKUP(A1403,'[1]Global_Spot Prices'!$B:$B,'[1]Global_Spot Prices'!$E:$E)</f>
        <v>31.96</v>
      </c>
      <c r="D1403">
        <f>_xlfn.XLOOKUP(A1403,'[1]Global_Spot Prices'!$B:$B,'[1]Global_Spot Prices'!$D:$D)</f>
        <v>30.184999999999999</v>
      </c>
      <c r="E1403">
        <f>_xlfn.XLOOKUP(A1403,'[1]Global_Spot Prices'!$B:$B,'[1]Global_Spot Prices'!$H:$H)</f>
        <v>25.41</v>
      </c>
      <c r="F1403">
        <f>_xlfn.XLOOKUP(A1403,'[1]Global_Spot Prices'!$B:$B,'[1]Global_Spot Prices'!$I:$I)</f>
        <v>31.38</v>
      </c>
      <c r="G1403" cm="1">
        <f t="array" ref="G1403">_xlfn.XLOOKUP(TEXT(A1403, "mmm-yy"), TEXT([2]RUNS!$B$5:$B$208, "mmm-yy"), [2]RUNS!$D$5:$D$208, "Not Found")</f>
        <v>26845.419100598894</v>
      </c>
      <c r="H1403" cm="1">
        <f t="array" ref="H1403">SUMPRODUCT(
    --(TEXT('[3]Global Weekly Stock (EWSuez'!$B$4:$B$2000,"mmm-yy")=TEXT(A1403,"mmm-yy")),
    '[3]Global Weekly Stock (EWSuez'!$E$4:$E$2000)
/
SUMPRODUCT(
    --(TEXT('[3]Global Weekly Stock (EWSuez'!$B$4:$B$2000,"mmm-yy")=TEXT(A1403,"mmm-yy"))
)</f>
        <v>15383.2</v>
      </c>
      <c r="I1403">
        <f>_xlfn.XLOOKUP(A1403,[1]ForwardDeriv!$D:$D,[1]ForwardDeriv!$AJ:$AJ)</f>
        <v>-0.79999999999999716</v>
      </c>
      <c r="J1403" cm="1">
        <f t="array" ref="J1403">_xlfn.XLOOKUP(TEXT(A1403, "mmm-yy"), TEXT([2]GASOLINE!$B$5:$B$208, "mmm-yy"), [2]GASOLINE!$IR$5:$IR$208, "Not Found")</f>
        <v>-254.3526170268311</v>
      </c>
      <c r="K1403" cm="1">
        <f t="array" ref="K1403">_xlfn.XLOOKUP(TEXT(A1403, "mmm-yy"), TEXT([2]GASOLINE!$B$5:$B$208, "mmm-yy"), [2]GASOLINE!$IK$5:$IK$208, "Not Found")</f>
        <v>130.34374965770905</v>
      </c>
      <c r="L1403">
        <f t="shared" si="21"/>
        <v>0</v>
      </c>
      <c r="M1403" cm="1">
        <f t="array" ref="M1403">_xlfn.XLOOKUP(TEXT(A1403, "mmm-yy"), TEXT([2]GASOLINE!$B$5:$B$208, "mmm-yy"), [2]GASOLINE!$C$5:$C$208, "Not Found")</f>
        <v>6533.0436997415527</v>
      </c>
      <c r="N1403" cm="1">
        <f t="array" ref="N1403">_xlfn.XLOOKUP(TEXT(A1403, "mmm-yy"), TEXT([2]RUNS!$B$5:$B$208, "mmm-yy"), [2]RUNS!$BM$5:$BM$208, "Not Found")</f>
        <v>0.737675666854407</v>
      </c>
    </row>
    <row r="1404" spans="1:14" x14ac:dyDescent="0.25">
      <c r="A1404" s="1">
        <f>'[1]Global_Spot Prices'!$B2713</f>
        <v>43969</v>
      </c>
      <c r="B1404">
        <f>_xlfn.XLOOKUP(A1404,'[1]Global_Spot Prices'!$B:$B,'[1]Global_Spot Prices'!$BS:$BS)</f>
        <v>0.67000000000000171</v>
      </c>
      <c r="C1404">
        <f>_xlfn.XLOOKUP(A1404,'[1]Global_Spot Prices'!$B:$B,'[1]Global_Spot Prices'!$E:$E)</f>
        <v>32.96</v>
      </c>
      <c r="D1404">
        <f>_xlfn.XLOOKUP(A1404,'[1]Global_Spot Prices'!$B:$B,'[1]Global_Spot Prices'!$D:$D)</f>
        <v>34.064999999999998</v>
      </c>
      <c r="E1404">
        <f>_xlfn.XLOOKUP(A1404,'[1]Global_Spot Prices'!$B:$B,'[1]Global_Spot Prices'!$H:$H)</f>
        <v>29.37</v>
      </c>
      <c r="F1404">
        <f>_xlfn.XLOOKUP(A1404,'[1]Global_Spot Prices'!$B:$B,'[1]Global_Spot Prices'!$I:$I)</f>
        <v>33.630000000000003</v>
      </c>
      <c r="G1404" cm="1">
        <f t="array" ref="G1404">_xlfn.XLOOKUP(TEXT(A1404, "mmm-yy"), TEXT([2]RUNS!$B$5:$B$208, "mmm-yy"), [2]RUNS!$D$5:$D$208, "Not Found")</f>
        <v>26845.419100598894</v>
      </c>
      <c r="H1404" cm="1">
        <f t="array" ref="H1404">SUMPRODUCT(
    --(TEXT('[3]Global Weekly Stock (EWSuez'!$B$4:$B$2000,"mmm-yy")=TEXT(A1404,"mmm-yy")),
    '[3]Global Weekly Stock (EWSuez'!$E$4:$E$2000)
/
SUMPRODUCT(
    --(TEXT('[3]Global Weekly Stock (EWSuez'!$B$4:$B$2000,"mmm-yy")=TEXT(A1404,"mmm-yy"))
)</f>
        <v>15383.2</v>
      </c>
      <c r="I1404">
        <f>_xlfn.XLOOKUP(A1404,[1]ForwardDeriv!$D:$D,[1]ForwardDeriv!$AJ:$AJ)</f>
        <v>-0.60000000000000142</v>
      </c>
      <c r="J1404" cm="1">
        <f t="array" ref="J1404">_xlfn.XLOOKUP(TEXT(A1404, "mmm-yy"), TEXT([2]GASOLINE!$B$5:$B$208, "mmm-yy"), [2]GASOLINE!$IR$5:$IR$208, "Not Found")</f>
        <v>-254.3526170268311</v>
      </c>
      <c r="K1404" cm="1">
        <f t="array" ref="K1404">_xlfn.XLOOKUP(TEXT(A1404, "mmm-yy"), TEXT([2]GASOLINE!$B$5:$B$208, "mmm-yy"), [2]GASOLINE!$IK$5:$IK$208, "Not Found")</f>
        <v>130.34374965770905</v>
      </c>
      <c r="L1404">
        <f t="shared" si="21"/>
        <v>0</v>
      </c>
      <c r="M1404" cm="1">
        <f t="array" ref="M1404">_xlfn.XLOOKUP(TEXT(A1404, "mmm-yy"), TEXT([2]GASOLINE!$B$5:$B$208, "mmm-yy"), [2]GASOLINE!$C$5:$C$208, "Not Found")</f>
        <v>6533.0436997415527</v>
      </c>
      <c r="N1404" cm="1">
        <f t="array" ref="N1404">_xlfn.XLOOKUP(TEXT(A1404, "mmm-yy"), TEXT([2]RUNS!$B$5:$B$208, "mmm-yy"), [2]RUNS!$BM$5:$BM$208, "Not Found")</f>
        <v>0.737675666854407</v>
      </c>
    </row>
    <row r="1405" spans="1:14" x14ac:dyDescent="0.25">
      <c r="A1405" s="1">
        <f>'[1]Global_Spot Prices'!$B2714</f>
        <v>43970</v>
      </c>
      <c r="B1405">
        <f>_xlfn.XLOOKUP(A1405,'[1]Global_Spot Prices'!$B:$B,'[1]Global_Spot Prices'!$BS:$BS)</f>
        <v>1.9500000000000028</v>
      </c>
      <c r="C1405">
        <f>_xlfn.XLOOKUP(A1405,'[1]Global_Spot Prices'!$B:$B,'[1]Global_Spot Prices'!$E:$E)</f>
        <v>33.15</v>
      </c>
      <c r="D1405">
        <f>_xlfn.XLOOKUP(A1405,'[1]Global_Spot Prices'!$B:$B,'[1]Global_Spot Prices'!$D:$D)</f>
        <v>32.695</v>
      </c>
      <c r="E1405">
        <f>_xlfn.XLOOKUP(A1405,'[1]Global_Spot Prices'!$B:$B,'[1]Global_Spot Prices'!$H:$H)</f>
        <v>29.8</v>
      </c>
      <c r="F1405">
        <f>_xlfn.XLOOKUP(A1405,'[1]Global_Spot Prices'!$B:$B,'[1]Global_Spot Prices'!$I:$I)</f>
        <v>35.1</v>
      </c>
      <c r="G1405" cm="1">
        <f t="array" ref="G1405">_xlfn.XLOOKUP(TEXT(A1405, "mmm-yy"), TEXT([2]RUNS!$B$5:$B$208, "mmm-yy"), [2]RUNS!$D$5:$D$208, "Not Found")</f>
        <v>26845.419100598894</v>
      </c>
      <c r="H1405" cm="1">
        <f t="array" ref="H1405">SUMPRODUCT(
    --(TEXT('[3]Global Weekly Stock (EWSuez'!$B$4:$B$2000,"mmm-yy")=TEXT(A1405,"mmm-yy")),
    '[3]Global Weekly Stock (EWSuez'!$E$4:$E$2000)
/
SUMPRODUCT(
    --(TEXT('[3]Global Weekly Stock (EWSuez'!$B$4:$B$2000,"mmm-yy")=TEXT(A1405,"mmm-yy"))
)</f>
        <v>15383.2</v>
      </c>
      <c r="I1405">
        <f>_xlfn.XLOOKUP(A1405,[1]ForwardDeriv!$D:$D,[1]ForwardDeriv!$AJ:$AJ)</f>
        <v>-0.46999999999999886</v>
      </c>
      <c r="J1405" cm="1">
        <f t="array" ref="J1405">_xlfn.XLOOKUP(TEXT(A1405, "mmm-yy"), TEXT([2]GASOLINE!$B$5:$B$208, "mmm-yy"), [2]GASOLINE!$IR$5:$IR$208, "Not Found")</f>
        <v>-254.3526170268311</v>
      </c>
      <c r="K1405" cm="1">
        <f t="array" ref="K1405">_xlfn.XLOOKUP(TEXT(A1405, "mmm-yy"), TEXT([2]GASOLINE!$B$5:$B$208, "mmm-yy"), [2]GASOLINE!$IK$5:$IK$208, "Not Found")</f>
        <v>130.34374965770905</v>
      </c>
      <c r="L1405">
        <f t="shared" si="21"/>
        <v>0</v>
      </c>
      <c r="M1405" cm="1">
        <f t="array" ref="M1405">_xlfn.XLOOKUP(TEXT(A1405, "mmm-yy"), TEXT([2]GASOLINE!$B$5:$B$208, "mmm-yy"), [2]GASOLINE!$C$5:$C$208, "Not Found")</f>
        <v>6533.0436997415527</v>
      </c>
      <c r="N1405" cm="1">
        <f t="array" ref="N1405">_xlfn.XLOOKUP(TEXT(A1405, "mmm-yy"), TEXT([2]RUNS!$B$5:$B$208, "mmm-yy"), [2]RUNS!$BM$5:$BM$208, "Not Found")</f>
        <v>0.737675666854407</v>
      </c>
    </row>
    <row r="1406" spans="1:14" x14ac:dyDescent="0.25">
      <c r="A1406" s="1">
        <f>'[1]Global_Spot Prices'!$B2715</f>
        <v>43971</v>
      </c>
      <c r="B1406">
        <f>_xlfn.XLOOKUP(A1406,'[1]Global_Spot Prices'!$B:$B,'[1]Global_Spot Prices'!$BS:$BS)</f>
        <v>2.0800000000000054</v>
      </c>
      <c r="C1406">
        <f>_xlfn.XLOOKUP(A1406,'[1]Global_Spot Prices'!$B:$B,'[1]Global_Spot Prices'!$E:$E)</f>
        <v>32.94</v>
      </c>
      <c r="D1406">
        <f>_xlfn.XLOOKUP(A1406,'[1]Global_Spot Prices'!$B:$B,'[1]Global_Spot Prices'!$D:$D)</f>
        <v>34.134999999999998</v>
      </c>
      <c r="E1406">
        <f>_xlfn.XLOOKUP(A1406,'[1]Global_Spot Prices'!$B:$B,'[1]Global_Spot Prices'!$H:$H)</f>
        <v>30.08</v>
      </c>
      <c r="F1406">
        <f>_xlfn.XLOOKUP(A1406,'[1]Global_Spot Prices'!$B:$B,'[1]Global_Spot Prices'!$I:$I)</f>
        <v>35.020000000000003</v>
      </c>
      <c r="G1406" cm="1">
        <f t="array" ref="G1406">_xlfn.XLOOKUP(TEXT(A1406, "mmm-yy"), TEXT([2]RUNS!$B$5:$B$208, "mmm-yy"), [2]RUNS!$D$5:$D$208, "Not Found")</f>
        <v>26845.419100598894</v>
      </c>
      <c r="H1406" cm="1">
        <f t="array" ref="H1406">SUMPRODUCT(
    --(TEXT('[3]Global Weekly Stock (EWSuez'!$B$4:$B$2000,"mmm-yy")=TEXT(A1406,"mmm-yy")),
    '[3]Global Weekly Stock (EWSuez'!$E$4:$E$2000)
/
SUMPRODUCT(
    --(TEXT('[3]Global Weekly Stock (EWSuez'!$B$4:$B$2000,"mmm-yy")=TEXT(A1406,"mmm-yy"))
)</f>
        <v>15383.2</v>
      </c>
      <c r="I1406">
        <f>_xlfn.XLOOKUP(A1406,[1]ForwardDeriv!$D:$D,[1]ForwardDeriv!$AJ:$AJ)</f>
        <v>-0.53000000000000114</v>
      </c>
      <c r="J1406" cm="1">
        <f t="array" ref="J1406">_xlfn.XLOOKUP(TEXT(A1406, "mmm-yy"), TEXT([2]GASOLINE!$B$5:$B$208, "mmm-yy"), [2]GASOLINE!$IR$5:$IR$208, "Not Found")</f>
        <v>-254.3526170268311</v>
      </c>
      <c r="K1406" cm="1">
        <f t="array" ref="K1406">_xlfn.XLOOKUP(TEXT(A1406, "mmm-yy"), TEXT([2]GASOLINE!$B$5:$B$208, "mmm-yy"), [2]GASOLINE!$IK$5:$IK$208, "Not Found")</f>
        <v>130.34374965770905</v>
      </c>
      <c r="L1406">
        <f t="shared" si="21"/>
        <v>0</v>
      </c>
      <c r="M1406" cm="1">
        <f t="array" ref="M1406">_xlfn.XLOOKUP(TEXT(A1406, "mmm-yy"), TEXT([2]GASOLINE!$B$5:$B$208, "mmm-yy"), [2]GASOLINE!$C$5:$C$208, "Not Found")</f>
        <v>6533.0436997415527</v>
      </c>
      <c r="N1406" cm="1">
        <f t="array" ref="N1406">_xlfn.XLOOKUP(TEXT(A1406, "mmm-yy"), TEXT([2]RUNS!$B$5:$B$208, "mmm-yy"), [2]RUNS!$BM$5:$BM$208, "Not Found")</f>
        <v>0.737675666854407</v>
      </c>
    </row>
    <row r="1407" spans="1:14" x14ac:dyDescent="0.25">
      <c r="A1407" s="1">
        <f>'[1]Global_Spot Prices'!$B2716</f>
        <v>43972</v>
      </c>
      <c r="B1407">
        <f>_xlfn.XLOOKUP(A1407,'[1]Global_Spot Prices'!$B:$B,'[1]Global_Spot Prices'!$BS:$BS)</f>
        <v>1.4600000000000009</v>
      </c>
      <c r="C1407">
        <f>_xlfn.XLOOKUP(A1407,'[1]Global_Spot Prices'!$B:$B,'[1]Global_Spot Prices'!$E:$E)</f>
        <v>34.049999999999997</v>
      </c>
      <c r="D1407">
        <f>_xlfn.XLOOKUP(A1407,'[1]Global_Spot Prices'!$B:$B,'[1]Global_Spot Prices'!$D:$D)</f>
        <v>34.130000000000003</v>
      </c>
      <c r="E1407">
        <f>_xlfn.XLOOKUP(A1407,'[1]Global_Spot Prices'!$B:$B,'[1]Global_Spot Prices'!$H:$H)</f>
        <v>31.77</v>
      </c>
      <c r="F1407">
        <f>_xlfn.XLOOKUP(A1407,'[1]Global_Spot Prices'!$B:$B,'[1]Global_Spot Prices'!$I:$I)</f>
        <v>35.51</v>
      </c>
      <c r="G1407" cm="1">
        <f t="array" ref="G1407">_xlfn.XLOOKUP(TEXT(A1407, "mmm-yy"), TEXT([2]RUNS!$B$5:$B$208, "mmm-yy"), [2]RUNS!$D$5:$D$208, "Not Found")</f>
        <v>26845.419100598894</v>
      </c>
      <c r="H1407" cm="1">
        <f t="array" ref="H1407">SUMPRODUCT(
    --(TEXT('[3]Global Weekly Stock (EWSuez'!$B$4:$B$2000,"mmm-yy")=TEXT(A1407,"mmm-yy")),
    '[3]Global Weekly Stock (EWSuez'!$E$4:$E$2000)
/
SUMPRODUCT(
    --(TEXT('[3]Global Weekly Stock (EWSuez'!$B$4:$B$2000,"mmm-yy")=TEXT(A1407,"mmm-yy"))
)</f>
        <v>15383.2</v>
      </c>
      <c r="I1407">
        <f>_xlfn.XLOOKUP(A1407,[1]ForwardDeriv!$D:$D,[1]ForwardDeriv!$AJ:$AJ)</f>
        <v>-0.5800000000000054</v>
      </c>
      <c r="J1407" cm="1">
        <f t="array" ref="J1407">_xlfn.XLOOKUP(TEXT(A1407, "mmm-yy"), TEXT([2]GASOLINE!$B$5:$B$208, "mmm-yy"), [2]GASOLINE!$IR$5:$IR$208, "Not Found")</f>
        <v>-254.3526170268311</v>
      </c>
      <c r="K1407" cm="1">
        <f t="array" ref="K1407">_xlfn.XLOOKUP(TEXT(A1407, "mmm-yy"), TEXT([2]GASOLINE!$B$5:$B$208, "mmm-yy"), [2]GASOLINE!$IK$5:$IK$208, "Not Found")</f>
        <v>130.34374965770905</v>
      </c>
      <c r="L1407">
        <f t="shared" si="21"/>
        <v>0</v>
      </c>
      <c r="M1407" cm="1">
        <f t="array" ref="M1407">_xlfn.XLOOKUP(TEXT(A1407, "mmm-yy"), TEXT([2]GASOLINE!$B$5:$B$208, "mmm-yy"), [2]GASOLINE!$C$5:$C$208, "Not Found")</f>
        <v>6533.0436997415527</v>
      </c>
      <c r="N1407" cm="1">
        <f t="array" ref="N1407">_xlfn.XLOOKUP(TEXT(A1407, "mmm-yy"), TEXT([2]RUNS!$B$5:$B$208, "mmm-yy"), [2]RUNS!$BM$5:$BM$208, "Not Found")</f>
        <v>0.737675666854407</v>
      </c>
    </row>
    <row r="1408" spans="1:14" x14ac:dyDescent="0.25">
      <c r="A1408" s="1">
        <f>'[1]Global_Spot Prices'!$B2717</f>
        <v>43973</v>
      </c>
      <c r="B1408">
        <f>_xlfn.XLOOKUP(A1408,'[1]Global_Spot Prices'!$B:$B,'[1]Global_Spot Prices'!$BS:$BS)</f>
        <v>0.25999999999999801</v>
      </c>
      <c r="C1408">
        <f>_xlfn.XLOOKUP(A1408,'[1]Global_Spot Prices'!$B:$B,'[1]Global_Spot Prices'!$E:$E)</f>
        <v>32.56</v>
      </c>
      <c r="D1408">
        <f>_xlfn.XLOOKUP(A1408,'[1]Global_Spot Prices'!$B:$B,'[1]Global_Spot Prices'!$D:$D)</f>
        <v>32.85</v>
      </c>
      <c r="E1408">
        <f>_xlfn.XLOOKUP(A1408,'[1]Global_Spot Prices'!$B:$B,'[1]Global_Spot Prices'!$H:$H)</f>
        <v>30.23</v>
      </c>
      <c r="F1408">
        <f>_xlfn.XLOOKUP(A1408,'[1]Global_Spot Prices'!$B:$B,'[1]Global_Spot Prices'!$I:$I)</f>
        <v>32.82</v>
      </c>
      <c r="G1408" cm="1">
        <f t="array" ref="G1408">_xlfn.XLOOKUP(TEXT(A1408, "mmm-yy"), TEXT([2]RUNS!$B$5:$B$208, "mmm-yy"), [2]RUNS!$D$5:$D$208, "Not Found")</f>
        <v>26845.419100598894</v>
      </c>
      <c r="H1408" cm="1">
        <f t="array" ref="H1408">SUMPRODUCT(
    --(TEXT('[3]Global Weekly Stock (EWSuez'!$B$4:$B$2000,"mmm-yy")=TEXT(A1408,"mmm-yy")),
    '[3]Global Weekly Stock (EWSuez'!$E$4:$E$2000)
/
SUMPRODUCT(
    --(TEXT('[3]Global Weekly Stock (EWSuez'!$B$4:$B$2000,"mmm-yy")=TEXT(A1408,"mmm-yy"))
)</f>
        <v>15383.2</v>
      </c>
      <c r="I1408">
        <f>_xlfn.XLOOKUP(A1408,[1]ForwardDeriv!$D:$D,[1]ForwardDeriv!$AJ:$AJ)</f>
        <v>-0.98000000000000398</v>
      </c>
      <c r="J1408" cm="1">
        <f t="array" ref="J1408">_xlfn.XLOOKUP(TEXT(A1408, "mmm-yy"), TEXT([2]GASOLINE!$B$5:$B$208, "mmm-yy"), [2]GASOLINE!$IR$5:$IR$208, "Not Found")</f>
        <v>-254.3526170268311</v>
      </c>
      <c r="K1408" cm="1">
        <f t="array" ref="K1408">_xlfn.XLOOKUP(TEXT(A1408, "mmm-yy"), TEXT([2]GASOLINE!$B$5:$B$208, "mmm-yy"), [2]GASOLINE!$IK$5:$IK$208, "Not Found")</f>
        <v>130.34374965770905</v>
      </c>
      <c r="L1408">
        <f t="shared" si="21"/>
        <v>0</v>
      </c>
      <c r="M1408" cm="1">
        <f t="array" ref="M1408">_xlfn.XLOOKUP(TEXT(A1408, "mmm-yy"), TEXT([2]GASOLINE!$B$5:$B$208, "mmm-yy"), [2]GASOLINE!$C$5:$C$208, "Not Found")</f>
        <v>6533.0436997415527</v>
      </c>
      <c r="N1408" cm="1">
        <f t="array" ref="N1408">_xlfn.XLOOKUP(TEXT(A1408, "mmm-yy"), TEXT([2]RUNS!$B$5:$B$208, "mmm-yy"), [2]RUNS!$BM$5:$BM$208, "Not Found")</f>
        <v>0.737675666854407</v>
      </c>
    </row>
    <row r="1409" spans="1:14" x14ac:dyDescent="0.25">
      <c r="A1409" s="1">
        <f>'[1]Global_Spot Prices'!$B2718</f>
        <v>43976</v>
      </c>
      <c r="B1409" t="e">
        <f>_xlfn.XLOOKUP(A1409,'[1]Global_Spot Prices'!$B:$B,'[1]Global_Spot Prices'!$BS:$BS)</f>
        <v>#N/A</v>
      </c>
      <c r="C1409" t="str">
        <f>_xlfn.XLOOKUP(A1409,'[1]Global_Spot Prices'!$B:$B,'[1]Global_Spot Prices'!$E:$E)</f>
        <v/>
      </c>
      <c r="D1409" t="str">
        <f>_xlfn.XLOOKUP(A1409,'[1]Global_Spot Prices'!$B:$B,'[1]Global_Spot Prices'!$D:$D)</f>
        <v/>
      </c>
      <c r="E1409">
        <f>_xlfn.XLOOKUP(A1409,'[1]Global_Spot Prices'!$B:$B,'[1]Global_Spot Prices'!$H:$H)</f>
        <v>0</v>
      </c>
      <c r="F1409">
        <f>_xlfn.XLOOKUP(A1409,'[1]Global_Spot Prices'!$B:$B,'[1]Global_Spot Prices'!$I:$I)</f>
        <v>0</v>
      </c>
      <c r="G1409" cm="1">
        <f t="array" ref="G1409">_xlfn.XLOOKUP(TEXT(A1409, "mmm-yy"), TEXT([2]RUNS!$B$5:$B$208, "mmm-yy"), [2]RUNS!$D$5:$D$208, "Not Found")</f>
        <v>26845.419100598894</v>
      </c>
      <c r="H1409" cm="1">
        <f t="array" ref="H1409">SUMPRODUCT(
    --(TEXT('[3]Global Weekly Stock (EWSuez'!$B$4:$B$2000,"mmm-yy")=TEXT(A1409,"mmm-yy")),
    '[3]Global Weekly Stock (EWSuez'!$E$4:$E$2000)
/
SUMPRODUCT(
    --(TEXT('[3]Global Weekly Stock (EWSuez'!$B$4:$B$2000,"mmm-yy")=TEXT(A1409,"mmm-yy"))
)</f>
        <v>15383.2</v>
      </c>
      <c r="I1409">
        <f>_xlfn.XLOOKUP(A1409,[1]ForwardDeriv!$D:$D,[1]ForwardDeriv!$AJ:$AJ)</f>
        <v>-1.1899999999999977</v>
      </c>
      <c r="J1409" cm="1">
        <f t="array" ref="J1409">_xlfn.XLOOKUP(TEXT(A1409, "mmm-yy"), TEXT([2]GASOLINE!$B$5:$B$208, "mmm-yy"), [2]GASOLINE!$IR$5:$IR$208, "Not Found")</f>
        <v>-254.3526170268311</v>
      </c>
      <c r="K1409" cm="1">
        <f t="array" ref="K1409">_xlfn.XLOOKUP(TEXT(A1409, "mmm-yy"), TEXT([2]GASOLINE!$B$5:$B$208, "mmm-yy"), [2]GASOLINE!$IK$5:$IK$208, "Not Found")</f>
        <v>130.34374965770905</v>
      </c>
      <c r="L1409">
        <f t="shared" si="21"/>
        <v>0</v>
      </c>
      <c r="M1409" cm="1">
        <f t="array" ref="M1409">_xlfn.XLOOKUP(TEXT(A1409, "mmm-yy"), TEXT([2]GASOLINE!$B$5:$B$208, "mmm-yy"), [2]GASOLINE!$C$5:$C$208, "Not Found")</f>
        <v>6533.0436997415527</v>
      </c>
      <c r="N1409" cm="1">
        <f t="array" ref="N1409">_xlfn.XLOOKUP(TEXT(A1409, "mmm-yy"), TEXT([2]RUNS!$B$5:$B$208, "mmm-yy"), [2]RUNS!$BM$5:$BM$208, "Not Found")</f>
        <v>0.737675666854407</v>
      </c>
    </row>
    <row r="1410" spans="1:14" x14ac:dyDescent="0.25">
      <c r="A1410" s="1">
        <f>'[1]Global_Spot Prices'!$B2719</f>
        <v>43977</v>
      </c>
      <c r="B1410">
        <f>_xlfn.XLOOKUP(A1410,'[1]Global_Spot Prices'!$B:$B,'[1]Global_Spot Prices'!$BS:$BS)</f>
        <v>-0.10999999999999943</v>
      </c>
      <c r="C1410">
        <f>_xlfn.XLOOKUP(A1410,'[1]Global_Spot Prices'!$B:$B,'[1]Global_Spot Prices'!$E:$E)</f>
        <v>34.85</v>
      </c>
      <c r="D1410">
        <f>_xlfn.XLOOKUP(A1410,'[1]Global_Spot Prices'!$B:$B,'[1]Global_Spot Prices'!$D:$D)</f>
        <v>33.4</v>
      </c>
      <c r="E1410">
        <f>_xlfn.XLOOKUP(A1410,'[1]Global_Spot Prices'!$B:$B,'[1]Global_Spot Prices'!$H:$H)</f>
        <v>32.67</v>
      </c>
      <c r="F1410">
        <f>_xlfn.XLOOKUP(A1410,'[1]Global_Spot Prices'!$B:$B,'[1]Global_Spot Prices'!$I:$I)</f>
        <v>34.74</v>
      </c>
      <c r="G1410" cm="1">
        <f t="array" ref="G1410">_xlfn.XLOOKUP(TEXT(A1410, "mmm-yy"), TEXT([2]RUNS!$B$5:$B$208, "mmm-yy"), [2]RUNS!$D$5:$D$208, "Not Found")</f>
        <v>26845.419100598894</v>
      </c>
      <c r="H1410" cm="1">
        <f t="array" ref="H1410">SUMPRODUCT(
    --(TEXT('[3]Global Weekly Stock (EWSuez'!$B$4:$B$2000,"mmm-yy")=TEXT(A1410,"mmm-yy")),
    '[3]Global Weekly Stock (EWSuez'!$E$4:$E$2000)
/
SUMPRODUCT(
    --(TEXT('[3]Global Weekly Stock (EWSuez'!$B$4:$B$2000,"mmm-yy")=TEXT(A1410,"mmm-yy"))
)</f>
        <v>15383.2</v>
      </c>
      <c r="I1410">
        <f>_xlfn.XLOOKUP(A1410,[1]ForwardDeriv!$D:$D,[1]ForwardDeriv!$AJ:$AJ)</f>
        <v>-1.1899999999999977</v>
      </c>
      <c r="J1410" cm="1">
        <f t="array" ref="J1410">_xlfn.XLOOKUP(TEXT(A1410, "mmm-yy"), TEXT([2]GASOLINE!$B$5:$B$208, "mmm-yy"), [2]GASOLINE!$IR$5:$IR$208, "Not Found")</f>
        <v>-254.3526170268311</v>
      </c>
      <c r="K1410" cm="1">
        <f t="array" ref="K1410">_xlfn.XLOOKUP(TEXT(A1410, "mmm-yy"), TEXT([2]GASOLINE!$B$5:$B$208, "mmm-yy"), [2]GASOLINE!$IK$5:$IK$208, "Not Found")</f>
        <v>130.34374965770905</v>
      </c>
      <c r="L1410">
        <f t="shared" si="21"/>
        <v>0</v>
      </c>
      <c r="M1410" cm="1">
        <f t="array" ref="M1410">_xlfn.XLOOKUP(TEXT(A1410, "mmm-yy"), TEXT([2]GASOLINE!$B$5:$B$208, "mmm-yy"), [2]GASOLINE!$C$5:$C$208, "Not Found")</f>
        <v>6533.0436997415527</v>
      </c>
      <c r="N1410" cm="1">
        <f t="array" ref="N1410">_xlfn.XLOOKUP(TEXT(A1410, "mmm-yy"), TEXT([2]RUNS!$B$5:$B$208, "mmm-yy"), [2]RUNS!$BM$5:$BM$208, "Not Found")</f>
        <v>0.737675666854407</v>
      </c>
    </row>
    <row r="1411" spans="1:14" x14ac:dyDescent="0.25">
      <c r="A1411" s="1">
        <f>'[1]Global_Spot Prices'!$B2720</f>
        <v>43978</v>
      </c>
      <c r="B1411">
        <f>_xlfn.XLOOKUP(A1411,'[1]Global_Spot Prices'!$B:$B,'[1]Global_Spot Prices'!$BS:$BS)</f>
        <v>-0.85000000000000142</v>
      </c>
      <c r="C1411">
        <f>_xlfn.XLOOKUP(A1411,'[1]Global_Spot Prices'!$B:$B,'[1]Global_Spot Prices'!$E:$E)</f>
        <v>34.5</v>
      </c>
      <c r="D1411">
        <f>_xlfn.XLOOKUP(A1411,'[1]Global_Spot Prices'!$B:$B,'[1]Global_Spot Prices'!$D:$D)</f>
        <v>32.61</v>
      </c>
      <c r="E1411">
        <f ca="1">_xlfn.XLOOKUP(A1411,'[1]Global_Spot Prices'!$B:$B,'[1]Global_Spot Prices'!$H:$H)</f>
        <v>32.229999999999997</v>
      </c>
      <c r="F1411">
        <f ca="1">_xlfn.XLOOKUP(A1411,'[1]Global_Spot Prices'!$B:$B,'[1]Global_Spot Prices'!$I:$I)</f>
        <v>33.65</v>
      </c>
      <c r="G1411" cm="1">
        <f t="array" ref="G1411">_xlfn.XLOOKUP(TEXT(A1411, "mmm-yy"), TEXT([2]RUNS!$B$5:$B$208, "mmm-yy"), [2]RUNS!$D$5:$D$208, "Not Found")</f>
        <v>26845.419100598894</v>
      </c>
      <c r="H1411" cm="1">
        <f t="array" ref="H1411">SUMPRODUCT(
    --(TEXT('[3]Global Weekly Stock (EWSuez'!$B$4:$B$2000,"mmm-yy")=TEXT(A1411,"mmm-yy")),
    '[3]Global Weekly Stock (EWSuez'!$E$4:$E$2000)
/
SUMPRODUCT(
    --(TEXT('[3]Global Weekly Stock (EWSuez'!$B$4:$B$2000,"mmm-yy")=TEXT(A1411,"mmm-yy"))
)</f>
        <v>15383.2</v>
      </c>
      <c r="I1411">
        <f>_xlfn.XLOOKUP(A1411,[1]ForwardDeriv!$D:$D,[1]ForwardDeriv!$AJ:$AJ)</f>
        <v>-1.230000000000004</v>
      </c>
      <c r="J1411" cm="1">
        <f t="array" ref="J1411">_xlfn.XLOOKUP(TEXT(A1411, "mmm-yy"), TEXT([2]GASOLINE!$B$5:$B$208, "mmm-yy"), [2]GASOLINE!$IR$5:$IR$208, "Not Found")</f>
        <v>-254.3526170268311</v>
      </c>
      <c r="K1411" cm="1">
        <f t="array" ref="K1411">_xlfn.XLOOKUP(TEXT(A1411, "mmm-yy"), TEXT([2]GASOLINE!$B$5:$B$208, "mmm-yy"), [2]GASOLINE!$IK$5:$IK$208, "Not Found")</f>
        <v>130.34374965770905</v>
      </c>
      <c r="L1411">
        <f t="shared" ref="L1411:L1474" si="22">IF(OR(MONTH(A1411)=6, MONTH(A1411)=7, MONTH(A1411)=8, MONTH(A1411)=9), 1, 0)</f>
        <v>0</v>
      </c>
      <c r="M1411" cm="1">
        <f t="array" ref="M1411">_xlfn.XLOOKUP(TEXT(A1411, "mmm-yy"), TEXT([2]GASOLINE!$B$5:$B$208, "mmm-yy"), [2]GASOLINE!$C$5:$C$208, "Not Found")</f>
        <v>6533.0436997415527</v>
      </c>
      <c r="N1411" cm="1">
        <f t="array" ref="N1411">_xlfn.XLOOKUP(TEXT(A1411, "mmm-yy"), TEXT([2]RUNS!$B$5:$B$208, "mmm-yy"), [2]RUNS!$BM$5:$BM$208, "Not Found")</f>
        <v>0.737675666854407</v>
      </c>
    </row>
    <row r="1412" spans="1:14" x14ac:dyDescent="0.25">
      <c r="A1412" s="1">
        <f>'[1]Global_Spot Prices'!$B2721</f>
        <v>43979</v>
      </c>
      <c r="B1412">
        <f>_xlfn.XLOOKUP(A1412,'[1]Global_Spot Prices'!$B:$B,'[1]Global_Spot Prices'!$BS:$BS)</f>
        <v>-0.67000000000000171</v>
      </c>
      <c r="C1412">
        <f>_xlfn.XLOOKUP(A1412,'[1]Global_Spot Prices'!$B:$B,'[1]Global_Spot Prices'!$E:$E)</f>
        <v>33.21</v>
      </c>
      <c r="D1412">
        <f>_xlfn.XLOOKUP(A1412,'[1]Global_Spot Prices'!$B:$B,'[1]Global_Spot Prices'!$D:$D)</f>
        <v>33.270000000000003</v>
      </c>
      <c r="E1412">
        <f>_xlfn.XLOOKUP(A1412,'[1]Global_Spot Prices'!$B:$B,'[1]Global_Spot Prices'!$H:$H)</f>
        <v>30.67</v>
      </c>
      <c r="F1412">
        <f>_xlfn.XLOOKUP(A1412,'[1]Global_Spot Prices'!$B:$B,'[1]Global_Spot Prices'!$I:$I)</f>
        <v>32.54</v>
      </c>
      <c r="G1412" cm="1">
        <f t="array" ref="G1412">_xlfn.XLOOKUP(TEXT(A1412, "mmm-yy"), TEXT([2]RUNS!$B$5:$B$208, "mmm-yy"), [2]RUNS!$D$5:$D$208, "Not Found")</f>
        <v>26845.419100598894</v>
      </c>
      <c r="H1412" cm="1">
        <f t="array" ref="H1412">SUMPRODUCT(
    --(TEXT('[3]Global Weekly Stock (EWSuez'!$B$4:$B$2000,"mmm-yy")=TEXT(A1412,"mmm-yy")),
    '[3]Global Weekly Stock (EWSuez'!$E$4:$E$2000)
/
SUMPRODUCT(
    --(TEXT('[3]Global Weekly Stock (EWSuez'!$B$4:$B$2000,"mmm-yy")=TEXT(A1412,"mmm-yy"))
)</f>
        <v>15383.2</v>
      </c>
      <c r="I1412">
        <f>_xlfn.XLOOKUP(A1412,[1]ForwardDeriv!$D:$D,[1]ForwardDeriv!$AJ:$AJ)</f>
        <v>-1.1899999999999977</v>
      </c>
      <c r="J1412" cm="1">
        <f t="array" ref="J1412">_xlfn.XLOOKUP(TEXT(A1412, "mmm-yy"), TEXT([2]GASOLINE!$B$5:$B$208, "mmm-yy"), [2]GASOLINE!$IR$5:$IR$208, "Not Found")</f>
        <v>-254.3526170268311</v>
      </c>
      <c r="K1412" cm="1">
        <f t="array" ref="K1412">_xlfn.XLOOKUP(TEXT(A1412, "mmm-yy"), TEXT([2]GASOLINE!$B$5:$B$208, "mmm-yy"), [2]GASOLINE!$IK$5:$IK$208, "Not Found")</f>
        <v>130.34374965770905</v>
      </c>
      <c r="L1412">
        <f t="shared" si="22"/>
        <v>0</v>
      </c>
      <c r="M1412" cm="1">
        <f t="array" ref="M1412">_xlfn.XLOOKUP(TEXT(A1412, "mmm-yy"), TEXT([2]GASOLINE!$B$5:$B$208, "mmm-yy"), [2]GASOLINE!$C$5:$C$208, "Not Found")</f>
        <v>6533.0436997415527</v>
      </c>
      <c r="N1412" cm="1">
        <f t="array" ref="N1412">_xlfn.XLOOKUP(TEXT(A1412, "mmm-yy"), TEXT([2]RUNS!$B$5:$B$208, "mmm-yy"), [2]RUNS!$BM$5:$BM$208, "Not Found")</f>
        <v>0.737675666854407</v>
      </c>
    </row>
    <row r="1413" spans="1:14" x14ac:dyDescent="0.25">
      <c r="A1413" s="1">
        <f>'[1]Global_Spot Prices'!$B2722</f>
        <v>43980</v>
      </c>
      <c r="B1413">
        <f>_xlfn.XLOOKUP(A1413,'[1]Global_Spot Prices'!$B:$B,'[1]Global_Spot Prices'!$BS:$BS)</f>
        <v>-0.91000000000000369</v>
      </c>
      <c r="C1413">
        <f>_xlfn.XLOOKUP(A1413,'[1]Global_Spot Prices'!$B:$B,'[1]Global_Spot Prices'!$E:$E)</f>
        <v>34.85</v>
      </c>
      <c r="D1413">
        <f>_xlfn.XLOOKUP(A1413,'[1]Global_Spot Prices'!$B:$B,'[1]Global_Spot Prices'!$D:$D)</f>
        <v>34.380000000000003</v>
      </c>
      <c r="E1413">
        <f>_xlfn.XLOOKUP(A1413,'[1]Global_Spot Prices'!$B:$B,'[1]Global_Spot Prices'!$H:$H)</f>
        <v>31.18</v>
      </c>
      <c r="F1413">
        <f>_xlfn.XLOOKUP(A1413,'[1]Global_Spot Prices'!$B:$B,'[1]Global_Spot Prices'!$I:$I)</f>
        <v>33.94</v>
      </c>
      <c r="G1413" cm="1">
        <f t="array" ref="G1413">_xlfn.XLOOKUP(TEXT(A1413, "mmm-yy"), TEXT([2]RUNS!$B$5:$B$208, "mmm-yy"), [2]RUNS!$D$5:$D$208, "Not Found")</f>
        <v>26845.419100598894</v>
      </c>
      <c r="H1413" cm="1">
        <f t="array" ref="H1413">SUMPRODUCT(
    --(TEXT('[3]Global Weekly Stock (EWSuez'!$B$4:$B$2000,"mmm-yy")=TEXT(A1413,"mmm-yy")),
    '[3]Global Weekly Stock (EWSuez'!$E$4:$E$2000)
/
SUMPRODUCT(
    --(TEXT('[3]Global Weekly Stock (EWSuez'!$B$4:$B$2000,"mmm-yy")=TEXT(A1413,"mmm-yy"))
)</f>
        <v>15383.2</v>
      </c>
      <c r="I1413">
        <f>_xlfn.XLOOKUP(A1413,[1]ForwardDeriv!$D:$D,[1]ForwardDeriv!$AJ:$AJ)</f>
        <v>-1</v>
      </c>
      <c r="J1413" cm="1">
        <f t="array" ref="J1413">_xlfn.XLOOKUP(TEXT(A1413, "mmm-yy"), TEXT([2]GASOLINE!$B$5:$B$208, "mmm-yy"), [2]GASOLINE!$IR$5:$IR$208, "Not Found")</f>
        <v>-254.3526170268311</v>
      </c>
      <c r="K1413" cm="1">
        <f t="array" ref="K1413">_xlfn.XLOOKUP(TEXT(A1413, "mmm-yy"), TEXT([2]GASOLINE!$B$5:$B$208, "mmm-yy"), [2]GASOLINE!$IK$5:$IK$208, "Not Found")</f>
        <v>130.34374965770905</v>
      </c>
      <c r="L1413">
        <f t="shared" si="22"/>
        <v>0</v>
      </c>
      <c r="M1413" cm="1">
        <f t="array" ref="M1413">_xlfn.XLOOKUP(TEXT(A1413, "mmm-yy"), TEXT([2]GASOLINE!$B$5:$B$208, "mmm-yy"), [2]GASOLINE!$C$5:$C$208, "Not Found")</f>
        <v>6533.0436997415527</v>
      </c>
      <c r="N1413" cm="1">
        <f t="array" ref="N1413">_xlfn.XLOOKUP(TEXT(A1413, "mmm-yy"), TEXT([2]RUNS!$B$5:$B$208, "mmm-yy"), [2]RUNS!$BM$5:$BM$208, "Not Found")</f>
        <v>0.737675666854407</v>
      </c>
    </row>
    <row r="1414" spans="1:14" x14ac:dyDescent="0.25">
      <c r="A1414" s="1">
        <f>'[1]Global_Spot Prices'!$B2723</f>
        <v>43983</v>
      </c>
      <c r="B1414">
        <f>_xlfn.XLOOKUP(A1414,'[1]Global_Spot Prices'!$B:$B,'[1]Global_Spot Prices'!$BS:$BS)</f>
        <v>-1.6400000000000006</v>
      </c>
      <c r="C1414">
        <f>_xlfn.XLOOKUP(A1414,'[1]Global_Spot Prices'!$B:$B,'[1]Global_Spot Prices'!$E:$E)</f>
        <v>38</v>
      </c>
      <c r="D1414">
        <f>_xlfn.XLOOKUP(A1414,'[1]Global_Spot Prices'!$B:$B,'[1]Global_Spot Prices'!$D:$D)</f>
        <v>35.46</v>
      </c>
      <c r="E1414">
        <f>_xlfn.XLOOKUP(A1414,'[1]Global_Spot Prices'!$B:$B,'[1]Global_Spot Prices'!$H:$H)</f>
        <v>34.04</v>
      </c>
      <c r="F1414">
        <f>_xlfn.XLOOKUP(A1414,'[1]Global_Spot Prices'!$B:$B,'[1]Global_Spot Prices'!$I:$I)</f>
        <v>36.36</v>
      </c>
      <c r="G1414" cm="1">
        <f t="array" ref="G1414">_xlfn.XLOOKUP(TEXT(A1414, "mmm-yy"), TEXT([2]RUNS!$B$5:$B$208, "mmm-yy"), [2]RUNS!$D$5:$D$208, "Not Found")</f>
        <v>28090.906706146743</v>
      </c>
      <c r="H1414" cm="1">
        <f t="array" ref="H1414">SUMPRODUCT(
    --(TEXT('[3]Global Weekly Stock (EWSuez'!$B$4:$B$2000,"mmm-yy")=TEXT(A1414,"mmm-yy")),
    '[3]Global Weekly Stock (EWSuez'!$E$4:$E$2000)
/
SUMPRODUCT(
    --(TEXT('[3]Global Weekly Stock (EWSuez'!$B$4:$B$2000,"mmm-yy")=TEXT(A1414,"mmm-yy"))
)</f>
        <v>15162.75</v>
      </c>
      <c r="I1414">
        <f>_xlfn.XLOOKUP(A1414,[1]ForwardDeriv!$D:$D,[1]ForwardDeriv!$AJ:$AJ)</f>
        <v>-0.5800000000000054</v>
      </c>
      <c r="J1414" cm="1">
        <f t="array" ref="J1414">_xlfn.XLOOKUP(TEXT(A1414, "mmm-yy"), TEXT([2]GASOLINE!$B$5:$B$208, "mmm-yy"), [2]GASOLINE!$IR$5:$IR$208, "Not Found")</f>
        <v>-389.19244988750734</v>
      </c>
      <c r="K1414" cm="1">
        <f t="array" ref="K1414">_xlfn.XLOOKUP(TEXT(A1414, "mmm-yy"), TEXT([2]GASOLINE!$B$5:$B$208, "mmm-yy"), [2]GASOLINE!$IK$5:$IK$208, "Not Found")</f>
        <v>147.52023916407794</v>
      </c>
      <c r="L1414">
        <f t="shared" si="22"/>
        <v>1</v>
      </c>
      <c r="M1414" cm="1">
        <f t="array" ref="M1414">_xlfn.XLOOKUP(TEXT(A1414, "mmm-yy"), TEXT([2]GASOLINE!$B$5:$B$208, "mmm-yy"), [2]GASOLINE!$C$5:$C$208, "Not Found")</f>
        <v>7050.2947285372784</v>
      </c>
      <c r="N1414" cm="1">
        <f t="array" ref="N1414">_xlfn.XLOOKUP(TEXT(A1414, "mmm-yy"), TEXT([2]RUNS!$B$5:$B$208, "mmm-yy"), [2]RUNS!$BM$5:$BM$208, "Not Found")</f>
        <v>0.76642429740741247</v>
      </c>
    </row>
    <row r="1415" spans="1:14" x14ac:dyDescent="0.25">
      <c r="A1415" s="1">
        <f>'[1]Global_Spot Prices'!$B2724</f>
        <v>43984</v>
      </c>
      <c r="B1415">
        <f>_xlfn.XLOOKUP(A1415,'[1]Global_Spot Prices'!$B:$B,'[1]Global_Spot Prices'!$BS:$BS)</f>
        <v>-1.2899999999999991</v>
      </c>
      <c r="C1415">
        <f>_xlfn.XLOOKUP(A1415,'[1]Global_Spot Prices'!$B:$B,'[1]Global_Spot Prices'!$E:$E)</f>
        <v>38.96</v>
      </c>
      <c r="D1415">
        <f>_xlfn.XLOOKUP(A1415,'[1]Global_Spot Prices'!$B:$B,'[1]Global_Spot Prices'!$D:$D)</f>
        <v>37.49</v>
      </c>
      <c r="E1415">
        <f>_xlfn.XLOOKUP(A1415,'[1]Global_Spot Prices'!$B:$B,'[1]Global_Spot Prices'!$H:$H)</f>
        <v>36.049999999999997</v>
      </c>
      <c r="F1415">
        <f>_xlfn.XLOOKUP(A1415,'[1]Global_Spot Prices'!$B:$B,'[1]Global_Spot Prices'!$I:$I)</f>
        <v>37.67</v>
      </c>
      <c r="G1415" cm="1">
        <f t="array" ref="G1415">_xlfn.XLOOKUP(TEXT(A1415, "mmm-yy"), TEXT([2]RUNS!$B$5:$B$208, "mmm-yy"), [2]RUNS!$D$5:$D$208, "Not Found")</f>
        <v>28090.906706146743</v>
      </c>
      <c r="H1415" cm="1">
        <f t="array" ref="H1415">SUMPRODUCT(
    --(TEXT('[3]Global Weekly Stock (EWSuez'!$B$4:$B$2000,"mmm-yy")=TEXT(A1415,"mmm-yy")),
    '[3]Global Weekly Stock (EWSuez'!$E$4:$E$2000)
/
SUMPRODUCT(
    --(TEXT('[3]Global Weekly Stock (EWSuez'!$B$4:$B$2000,"mmm-yy")=TEXT(A1415,"mmm-yy"))
)</f>
        <v>15162.75</v>
      </c>
      <c r="I1415">
        <f>_xlfn.XLOOKUP(A1415,[1]ForwardDeriv!$D:$D,[1]ForwardDeriv!$AJ:$AJ)</f>
        <v>-0.5</v>
      </c>
      <c r="J1415" cm="1">
        <f t="array" ref="J1415">_xlfn.XLOOKUP(TEXT(A1415, "mmm-yy"), TEXT([2]GASOLINE!$B$5:$B$208, "mmm-yy"), [2]GASOLINE!$IR$5:$IR$208, "Not Found")</f>
        <v>-389.19244988750734</v>
      </c>
      <c r="K1415" cm="1">
        <f t="array" ref="K1415">_xlfn.XLOOKUP(TEXT(A1415, "mmm-yy"), TEXT([2]GASOLINE!$B$5:$B$208, "mmm-yy"), [2]GASOLINE!$IK$5:$IK$208, "Not Found")</f>
        <v>147.52023916407794</v>
      </c>
      <c r="L1415">
        <f t="shared" si="22"/>
        <v>1</v>
      </c>
      <c r="M1415" cm="1">
        <f t="array" ref="M1415">_xlfn.XLOOKUP(TEXT(A1415, "mmm-yy"), TEXT([2]GASOLINE!$B$5:$B$208, "mmm-yy"), [2]GASOLINE!$C$5:$C$208, "Not Found")</f>
        <v>7050.2947285372784</v>
      </c>
      <c r="N1415" cm="1">
        <f t="array" ref="N1415">_xlfn.XLOOKUP(TEXT(A1415, "mmm-yy"), TEXT([2]RUNS!$B$5:$B$208, "mmm-yy"), [2]RUNS!$BM$5:$BM$208, "Not Found")</f>
        <v>0.76642429740741247</v>
      </c>
    </row>
    <row r="1416" spans="1:14" x14ac:dyDescent="0.25">
      <c r="A1416" s="1">
        <f>'[1]Global_Spot Prices'!$B2725</f>
        <v>43985</v>
      </c>
      <c r="B1416">
        <f>_xlfn.XLOOKUP(A1416,'[1]Global_Spot Prices'!$B:$B,'[1]Global_Spot Prices'!$BS:$BS)</f>
        <v>0.62000000000000455</v>
      </c>
      <c r="C1416">
        <f>_xlfn.XLOOKUP(A1416,'[1]Global_Spot Prices'!$B:$B,'[1]Global_Spot Prices'!$E:$E)</f>
        <v>39.9</v>
      </c>
      <c r="D1416">
        <f>_xlfn.XLOOKUP(A1416,'[1]Global_Spot Prices'!$B:$B,'[1]Global_Spot Prices'!$D:$D)</f>
        <v>37.604999999999997</v>
      </c>
      <c r="E1416">
        <f>_xlfn.XLOOKUP(A1416,'[1]Global_Spot Prices'!$B:$B,'[1]Global_Spot Prices'!$H:$H)</f>
        <v>36.950000000000003</v>
      </c>
      <c r="F1416">
        <f>_xlfn.XLOOKUP(A1416,'[1]Global_Spot Prices'!$B:$B,'[1]Global_Spot Prices'!$I:$I)</f>
        <v>40.520000000000003</v>
      </c>
      <c r="G1416" cm="1">
        <f t="array" ref="G1416">_xlfn.XLOOKUP(TEXT(A1416, "mmm-yy"), TEXT([2]RUNS!$B$5:$B$208, "mmm-yy"), [2]RUNS!$D$5:$D$208, "Not Found")</f>
        <v>28090.906706146743</v>
      </c>
      <c r="H1416" cm="1">
        <f t="array" ref="H1416">SUMPRODUCT(
    --(TEXT('[3]Global Weekly Stock (EWSuez'!$B$4:$B$2000,"mmm-yy")=TEXT(A1416,"mmm-yy")),
    '[3]Global Weekly Stock (EWSuez'!$E$4:$E$2000)
/
SUMPRODUCT(
    --(TEXT('[3]Global Weekly Stock (EWSuez'!$B$4:$B$2000,"mmm-yy")=TEXT(A1416,"mmm-yy"))
)</f>
        <v>15162.75</v>
      </c>
      <c r="I1416">
        <f>_xlfn.XLOOKUP(A1416,[1]ForwardDeriv!$D:$D,[1]ForwardDeriv!$AJ:$AJ)</f>
        <v>-0.21999999999999886</v>
      </c>
      <c r="J1416" cm="1">
        <f t="array" ref="J1416">_xlfn.XLOOKUP(TEXT(A1416, "mmm-yy"), TEXT([2]GASOLINE!$B$5:$B$208, "mmm-yy"), [2]GASOLINE!$IR$5:$IR$208, "Not Found")</f>
        <v>-389.19244988750734</v>
      </c>
      <c r="K1416" cm="1">
        <f t="array" ref="K1416">_xlfn.XLOOKUP(TEXT(A1416, "mmm-yy"), TEXT([2]GASOLINE!$B$5:$B$208, "mmm-yy"), [2]GASOLINE!$IK$5:$IK$208, "Not Found")</f>
        <v>147.52023916407794</v>
      </c>
      <c r="L1416">
        <f t="shared" si="22"/>
        <v>1</v>
      </c>
      <c r="M1416" cm="1">
        <f t="array" ref="M1416">_xlfn.XLOOKUP(TEXT(A1416, "mmm-yy"), TEXT([2]GASOLINE!$B$5:$B$208, "mmm-yy"), [2]GASOLINE!$C$5:$C$208, "Not Found")</f>
        <v>7050.2947285372784</v>
      </c>
      <c r="N1416" cm="1">
        <f t="array" ref="N1416">_xlfn.XLOOKUP(TEXT(A1416, "mmm-yy"), TEXT([2]RUNS!$B$5:$B$208, "mmm-yy"), [2]RUNS!$BM$5:$BM$208, "Not Found")</f>
        <v>0.76642429740741247</v>
      </c>
    </row>
    <row r="1417" spans="1:14" x14ac:dyDescent="0.25">
      <c r="A1417" s="1">
        <f>'[1]Global_Spot Prices'!$B2726</f>
        <v>43986</v>
      </c>
      <c r="B1417">
        <f>_xlfn.XLOOKUP(A1417,'[1]Global_Spot Prices'!$B:$B,'[1]Global_Spot Prices'!$BS:$BS)</f>
        <v>1.0700000000000003</v>
      </c>
      <c r="C1417">
        <f>_xlfn.XLOOKUP(A1417,'[1]Global_Spot Prices'!$B:$B,'[1]Global_Spot Prices'!$E:$E)</f>
        <v>38.85</v>
      </c>
      <c r="D1417">
        <f ca="1">_xlfn.XLOOKUP(A1417,'[1]Global_Spot Prices'!$B:$B,'[1]Global_Spot Prices'!$D:$D)</f>
        <v>37.71</v>
      </c>
      <c r="E1417">
        <f>_xlfn.XLOOKUP(A1417,'[1]Global_Spot Prices'!$B:$B,'[1]Global_Spot Prices'!$H:$H)</f>
        <v>36.35</v>
      </c>
      <c r="F1417">
        <f>_xlfn.XLOOKUP(A1417,'[1]Global_Spot Prices'!$B:$B,'[1]Global_Spot Prices'!$I:$I)</f>
        <v>39.92</v>
      </c>
      <c r="G1417" cm="1">
        <f t="array" ref="G1417">_xlfn.XLOOKUP(TEXT(A1417, "mmm-yy"), TEXT([2]RUNS!$B$5:$B$208, "mmm-yy"), [2]RUNS!$D$5:$D$208, "Not Found")</f>
        <v>28090.906706146743</v>
      </c>
      <c r="H1417" cm="1">
        <f t="array" ref="H1417">SUMPRODUCT(
    --(TEXT('[3]Global Weekly Stock (EWSuez'!$B$4:$B$2000,"mmm-yy")=TEXT(A1417,"mmm-yy")),
    '[3]Global Weekly Stock (EWSuez'!$E$4:$E$2000)
/
SUMPRODUCT(
    --(TEXT('[3]Global Weekly Stock (EWSuez'!$B$4:$B$2000,"mmm-yy")=TEXT(A1417,"mmm-yy"))
)</f>
        <v>15162.75</v>
      </c>
      <c r="I1417">
        <f>_xlfn.XLOOKUP(A1417,[1]ForwardDeriv!$D:$D,[1]ForwardDeriv!$AJ:$AJ)</f>
        <v>-0.25999999999999801</v>
      </c>
      <c r="J1417" cm="1">
        <f t="array" ref="J1417">_xlfn.XLOOKUP(TEXT(A1417, "mmm-yy"), TEXT([2]GASOLINE!$B$5:$B$208, "mmm-yy"), [2]GASOLINE!$IR$5:$IR$208, "Not Found")</f>
        <v>-389.19244988750734</v>
      </c>
      <c r="K1417" cm="1">
        <f t="array" ref="K1417">_xlfn.XLOOKUP(TEXT(A1417, "mmm-yy"), TEXT([2]GASOLINE!$B$5:$B$208, "mmm-yy"), [2]GASOLINE!$IK$5:$IK$208, "Not Found")</f>
        <v>147.52023916407794</v>
      </c>
      <c r="L1417">
        <f t="shared" si="22"/>
        <v>1</v>
      </c>
      <c r="M1417" cm="1">
        <f t="array" ref="M1417">_xlfn.XLOOKUP(TEXT(A1417, "mmm-yy"), TEXT([2]GASOLINE!$B$5:$B$208, "mmm-yy"), [2]GASOLINE!$C$5:$C$208, "Not Found")</f>
        <v>7050.2947285372784</v>
      </c>
      <c r="N1417" cm="1">
        <f t="array" ref="N1417">_xlfn.XLOOKUP(TEXT(A1417, "mmm-yy"), TEXT([2]RUNS!$B$5:$B$208, "mmm-yy"), [2]RUNS!$BM$5:$BM$208, "Not Found")</f>
        <v>0.76642429740741247</v>
      </c>
    </row>
    <row r="1418" spans="1:14" x14ac:dyDescent="0.25">
      <c r="A1418" s="1">
        <f>'[1]Global_Spot Prices'!$B2727</f>
        <v>43987</v>
      </c>
      <c r="B1418">
        <f>_xlfn.XLOOKUP(A1418,'[1]Global_Spot Prices'!$B:$B,'[1]Global_Spot Prices'!$BS:$BS)</f>
        <v>1.0700000000000003</v>
      </c>
      <c r="C1418">
        <f>_xlfn.XLOOKUP(A1418,'[1]Global_Spot Prices'!$B:$B,'[1]Global_Spot Prices'!$E:$E)</f>
        <v>40.65</v>
      </c>
      <c r="D1418">
        <f>_xlfn.XLOOKUP(A1418,'[1]Global_Spot Prices'!$B:$B,'[1]Global_Spot Prices'!$D:$D)</f>
        <v>41</v>
      </c>
      <c r="E1418">
        <f>_xlfn.XLOOKUP(A1418,'[1]Global_Spot Prices'!$B:$B,'[1]Global_Spot Prices'!$H:$H)</f>
        <v>37.89</v>
      </c>
      <c r="F1418">
        <f>_xlfn.XLOOKUP(A1418,'[1]Global_Spot Prices'!$B:$B,'[1]Global_Spot Prices'!$I:$I)</f>
        <v>41.72</v>
      </c>
      <c r="G1418" cm="1">
        <f t="array" ref="G1418">_xlfn.XLOOKUP(TEXT(A1418, "mmm-yy"), TEXT([2]RUNS!$B$5:$B$208, "mmm-yy"), [2]RUNS!$D$5:$D$208, "Not Found")</f>
        <v>28090.906706146743</v>
      </c>
      <c r="H1418" cm="1">
        <f t="array" ref="H1418">SUMPRODUCT(
    --(TEXT('[3]Global Weekly Stock (EWSuez'!$B$4:$B$2000,"mmm-yy")=TEXT(A1418,"mmm-yy")),
    '[3]Global Weekly Stock (EWSuez'!$E$4:$E$2000)
/
SUMPRODUCT(
    --(TEXT('[3]Global Weekly Stock (EWSuez'!$B$4:$B$2000,"mmm-yy")=TEXT(A1418,"mmm-yy"))
)</f>
        <v>15162.75</v>
      </c>
      <c r="I1418">
        <f>_xlfn.XLOOKUP(A1418,[1]ForwardDeriv!$D:$D,[1]ForwardDeriv!$AJ:$AJ)</f>
        <v>-0.15000000000000568</v>
      </c>
      <c r="J1418" cm="1">
        <f t="array" ref="J1418">_xlfn.XLOOKUP(TEXT(A1418, "mmm-yy"), TEXT([2]GASOLINE!$B$5:$B$208, "mmm-yy"), [2]GASOLINE!$IR$5:$IR$208, "Not Found")</f>
        <v>-389.19244988750734</v>
      </c>
      <c r="K1418" cm="1">
        <f t="array" ref="K1418">_xlfn.XLOOKUP(TEXT(A1418, "mmm-yy"), TEXT([2]GASOLINE!$B$5:$B$208, "mmm-yy"), [2]GASOLINE!$IK$5:$IK$208, "Not Found")</f>
        <v>147.52023916407794</v>
      </c>
      <c r="L1418">
        <f t="shared" si="22"/>
        <v>1</v>
      </c>
      <c r="M1418" cm="1">
        <f t="array" ref="M1418">_xlfn.XLOOKUP(TEXT(A1418, "mmm-yy"), TEXT([2]GASOLINE!$B$5:$B$208, "mmm-yy"), [2]GASOLINE!$C$5:$C$208, "Not Found")</f>
        <v>7050.2947285372784</v>
      </c>
      <c r="N1418" cm="1">
        <f t="array" ref="N1418">_xlfn.XLOOKUP(TEXT(A1418, "mmm-yy"), TEXT([2]RUNS!$B$5:$B$208, "mmm-yy"), [2]RUNS!$BM$5:$BM$208, "Not Found")</f>
        <v>0.76642429740741247</v>
      </c>
    </row>
    <row r="1419" spans="1:14" x14ac:dyDescent="0.25">
      <c r="A1419" s="1">
        <f>'[1]Global_Spot Prices'!$B2728</f>
        <v>43990</v>
      </c>
      <c r="B1419">
        <f>_xlfn.XLOOKUP(A1419,'[1]Global_Spot Prices'!$B:$B,'[1]Global_Spot Prices'!$BS:$BS)</f>
        <v>1.7100000000000009</v>
      </c>
      <c r="C1419">
        <f>_xlfn.XLOOKUP(A1419,'[1]Global_Spot Prices'!$B:$B,'[1]Global_Spot Prices'!$E:$E)</f>
        <v>42.91</v>
      </c>
      <c r="D1419">
        <f>_xlfn.XLOOKUP(A1419,'[1]Global_Spot Prices'!$B:$B,'[1]Global_Spot Prices'!$D:$D)</f>
        <v>40.270000000000003</v>
      </c>
      <c r="E1419">
        <f>_xlfn.XLOOKUP(A1419,'[1]Global_Spot Prices'!$B:$B,'[1]Global_Spot Prices'!$H:$H)</f>
        <v>39.83</v>
      </c>
      <c r="F1419">
        <f>_xlfn.XLOOKUP(A1419,'[1]Global_Spot Prices'!$B:$B,'[1]Global_Spot Prices'!$I:$I)</f>
        <v>44.62</v>
      </c>
      <c r="G1419" cm="1">
        <f t="array" ref="G1419">_xlfn.XLOOKUP(TEXT(A1419, "mmm-yy"), TEXT([2]RUNS!$B$5:$B$208, "mmm-yy"), [2]RUNS!$D$5:$D$208, "Not Found")</f>
        <v>28090.906706146743</v>
      </c>
      <c r="H1419" cm="1">
        <f t="array" ref="H1419">SUMPRODUCT(
    --(TEXT('[3]Global Weekly Stock (EWSuez'!$B$4:$B$2000,"mmm-yy")=TEXT(A1419,"mmm-yy")),
    '[3]Global Weekly Stock (EWSuez'!$E$4:$E$2000)
/
SUMPRODUCT(
    --(TEXT('[3]Global Weekly Stock (EWSuez'!$B$4:$B$2000,"mmm-yy")=TEXT(A1419,"mmm-yy"))
)</f>
        <v>15162.75</v>
      </c>
      <c r="I1419">
        <f>_xlfn.XLOOKUP(A1419,[1]ForwardDeriv!$D:$D,[1]ForwardDeriv!$AJ:$AJ)</f>
        <v>0</v>
      </c>
      <c r="J1419" cm="1">
        <f t="array" ref="J1419">_xlfn.XLOOKUP(TEXT(A1419, "mmm-yy"), TEXT([2]GASOLINE!$B$5:$B$208, "mmm-yy"), [2]GASOLINE!$IR$5:$IR$208, "Not Found")</f>
        <v>-389.19244988750734</v>
      </c>
      <c r="K1419" cm="1">
        <f t="array" ref="K1419">_xlfn.XLOOKUP(TEXT(A1419, "mmm-yy"), TEXT([2]GASOLINE!$B$5:$B$208, "mmm-yy"), [2]GASOLINE!$IK$5:$IK$208, "Not Found")</f>
        <v>147.52023916407794</v>
      </c>
      <c r="L1419">
        <f t="shared" si="22"/>
        <v>1</v>
      </c>
      <c r="M1419" cm="1">
        <f t="array" ref="M1419">_xlfn.XLOOKUP(TEXT(A1419, "mmm-yy"), TEXT([2]GASOLINE!$B$5:$B$208, "mmm-yy"), [2]GASOLINE!$C$5:$C$208, "Not Found")</f>
        <v>7050.2947285372784</v>
      </c>
      <c r="N1419" cm="1">
        <f t="array" ref="N1419">_xlfn.XLOOKUP(TEXT(A1419, "mmm-yy"), TEXT([2]RUNS!$B$5:$B$208, "mmm-yy"), [2]RUNS!$BM$5:$BM$208, "Not Found")</f>
        <v>0.76642429740741247</v>
      </c>
    </row>
    <row r="1420" spans="1:14" x14ac:dyDescent="0.25">
      <c r="A1420" s="1">
        <f>'[1]Global_Spot Prices'!$B2729</f>
        <v>43991</v>
      </c>
      <c r="B1420">
        <f ca="1">_xlfn.XLOOKUP(A1420,'[1]Global_Spot Prices'!$B:$B,'[1]Global_Spot Prices'!$BS:$BS)</f>
        <v>1.9799999999999969</v>
      </c>
      <c r="C1420">
        <f>_xlfn.XLOOKUP(A1420,'[1]Global_Spot Prices'!$B:$B,'[1]Global_Spot Prices'!$E:$E)</f>
        <v>40.81</v>
      </c>
      <c r="D1420">
        <f>_xlfn.XLOOKUP(A1420,'[1]Global_Spot Prices'!$B:$B,'[1]Global_Spot Prices'!$D:$D)</f>
        <v>39.65</v>
      </c>
      <c r="E1420">
        <f>_xlfn.XLOOKUP(A1420,'[1]Global_Spot Prices'!$B:$B,'[1]Global_Spot Prices'!$H:$H)</f>
        <v>37.04</v>
      </c>
      <c r="F1420">
        <f>_xlfn.XLOOKUP(A1420,'[1]Global_Spot Prices'!$B:$B,'[1]Global_Spot Prices'!$I:$I)</f>
        <v>42.79</v>
      </c>
      <c r="G1420" cm="1">
        <f t="array" ref="G1420">_xlfn.XLOOKUP(TEXT(A1420, "mmm-yy"), TEXT([2]RUNS!$B$5:$B$208, "mmm-yy"), [2]RUNS!$D$5:$D$208, "Not Found")</f>
        <v>28090.906706146743</v>
      </c>
      <c r="H1420" cm="1">
        <f t="array" ref="H1420">SUMPRODUCT(
    --(TEXT('[3]Global Weekly Stock (EWSuez'!$B$4:$B$2000,"mmm-yy")=TEXT(A1420,"mmm-yy")),
    '[3]Global Weekly Stock (EWSuez'!$E$4:$E$2000)
/
SUMPRODUCT(
    --(TEXT('[3]Global Weekly Stock (EWSuez'!$B$4:$B$2000,"mmm-yy")=TEXT(A1420,"mmm-yy"))
)</f>
        <v>15162.75</v>
      </c>
      <c r="I1420">
        <f>_xlfn.XLOOKUP(A1420,[1]ForwardDeriv!$D:$D,[1]ForwardDeriv!$AJ:$AJ)</f>
        <v>-3.0000000000001137E-2</v>
      </c>
      <c r="J1420" cm="1">
        <f t="array" ref="J1420">_xlfn.XLOOKUP(TEXT(A1420, "mmm-yy"), TEXT([2]GASOLINE!$B$5:$B$208, "mmm-yy"), [2]GASOLINE!$IR$5:$IR$208, "Not Found")</f>
        <v>-389.19244988750734</v>
      </c>
      <c r="K1420" cm="1">
        <f t="array" ref="K1420">_xlfn.XLOOKUP(TEXT(A1420, "mmm-yy"), TEXT([2]GASOLINE!$B$5:$B$208, "mmm-yy"), [2]GASOLINE!$IK$5:$IK$208, "Not Found")</f>
        <v>147.52023916407794</v>
      </c>
      <c r="L1420">
        <f t="shared" si="22"/>
        <v>1</v>
      </c>
      <c r="M1420" cm="1">
        <f t="array" ref="M1420">_xlfn.XLOOKUP(TEXT(A1420, "mmm-yy"), TEXT([2]GASOLINE!$B$5:$B$208, "mmm-yy"), [2]GASOLINE!$C$5:$C$208, "Not Found")</f>
        <v>7050.2947285372784</v>
      </c>
      <c r="N1420" cm="1">
        <f t="array" ref="N1420">_xlfn.XLOOKUP(TEXT(A1420, "mmm-yy"), TEXT([2]RUNS!$B$5:$B$208, "mmm-yy"), [2]RUNS!$BM$5:$BM$208, "Not Found")</f>
        <v>0.76642429740741247</v>
      </c>
    </row>
    <row r="1421" spans="1:14" x14ac:dyDescent="0.25">
      <c r="A1421" s="1">
        <f>'[1]Global_Spot Prices'!$B2730</f>
        <v>43992</v>
      </c>
      <c r="B1421">
        <f>_xlfn.XLOOKUP(A1421,'[1]Global_Spot Prices'!$B:$B,'[1]Global_Spot Prices'!$BS:$BS)</f>
        <v>2.0799999999999983</v>
      </c>
      <c r="C1421">
        <f>_xlfn.XLOOKUP(A1421,'[1]Global_Spot Prices'!$B:$B,'[1]Global_Spot Prices'!$E:$E)</f>
        <v>40.85</v>
      </c>
      <c r="D1421">
        <f>_xlfn.XLOOKUP(A1421,'[1]Global_Spot Prices'!$B:$B,'[1]Global_Spot Prices'!$D:$D)</f>
        <v>40.07</v>
      </c>
      <c r="E1421">
        <f>_xlfn.XLOOKUP(A1421,'[1]Global_Spot Prices'!$B:$B,'[1]Global_Spot Prices'!$H:$H)</f>
        <v>37.69</v>
      </c>
      <c r="F1421">
        <f>_xlfn.XLOOKUP(A1421,'[1]Global_Spot Prices'!$B:$B,'[1]Global_Spot Prices'!$I:$I)</f>
        <v>42.93</v>
      </c>
      <c r="G1421" cm="1">
        <f t="array" ref="G1421">_xlfn.XLOOKUP(TEXT(A1421, "mmm-yy"), TEXT([2]RUNS!$B$5:$B$208, "mmm-yy"), [2]RUNS!$D$5:$D$208, "Not Found")</f>
        <v>28090.906706146743</v>
      </c>
      <c r="H1421" cm="1">
        <f t="array" ref="H1421">SUMPRODUCT(
    --(TEXT('[3]Global Weekly Stock (EWSuez'!$B$4:$B$2000,"mmm-yy")=TEXT(A1421,"mmm-yy")),
    '[3]Global Weekly Stock (EWSuez'!$E$4:$E$2000)
/
SUMPRODUCT(
    --(TEXT('[3]Global Weekly Stock (EWSuez'!$B$4:$B$2000,"mmm-yy")=TEXT(A1421,"mmm-yy"))
)</f>
        <v>15162.75</v>
      </c>
      <c r="I1421">
        <f>_xlfn.XLOOKUP(A1421,[1]ForwardDeriv!$D:$D,[1]ForwardDeriv!$AJ:$AJ)</f>
        <v>-0.11999999999999744</v>
      </c>
      <c r="J1421" cm="1">
        <f t="array" ref="J1421">_xlfn.XLOOKUP(TEXT(A1421, "mmm-yy"), TEXT([2]GASOLINE!$B$5:$B$208, "mmm-yy"), [2]GASOLINE!$IR$5:$IR$208, "Not Found")</f>
        <v>-389.19244988750734</v>
      </c>
      <c r="K1421" cm="1">
        <f t="array" ref="K1421">_xlfn.XLOOKUP(TEXT(A1421, "mmm-yy"), TEXT([2]GASOLINE!$B$5:$B$208, "mmm-yy"), [2]GASOLINE!$IK$5:$IK$208, "Not Found")</f>
        <v>147.52023916407794</v>
      </c>
      <c r="L1421">
        <f t="shared" si="22"/>
        <v>1</v>
      </c>
      <c r="M1421" cm="1">
        <f t="array" ref="M1421">_xlfn.XLOOKUP(TEXT(A1421, "mmm-yy"), TEXT([2]GASOLINE!$B$5:$B$208, "mmm-yy"), [2]GASOLINE!$C$5:$C$208, "Not Found")</f>
        <v>7050.2947285372784</v>
      </c>
      <c r="N1421" cm="1">
        <f t="array" ref="N1421">_xlfn.XLOOKUP(TEXT(A1421, "mmm-yy"), TEXT([2]RUNS!$B$5:$B$208, "mmm-yy"), [2]RUNS!$BM$5:$BM$208, "Not Found")</f>
        <v>0.76642429740741247</v>
      </c>
    </row>
    <row r="1422" spans="1:14" x14ac:dyDescent="0.25">
      <c r="A1422" s="1">
        <f>'[1]Global_Spot Prices'!$B2731</f>
        <v>43993</v>
      </c>
      <c r="B1422">
        <f>_xlfn.XLOOKUP(A1422,'[1]Global_Spot Prices'!$B:$B,'[1]Global_Spot Prices'!$BS:$BS)</f>
        <v>1.6099999999999994</v>
      </c>
      <c r="C1422">
        <f>_xlfn.XLOOKUP(A1422,'[1]Global_Spot Prices'!$B:$B,'[1]Global_Spot Prices'!$E:$E)</f>
        <v>40.64</v>
      </c>
      <c r="D1422">
        <f ca="1">_xlfn.XLOOKUP(A1422,'[1]Global_Spot Prices'!$B:$B,'[1]Global_Spot Prices'!$D:$D)</f>
        <v>38.39</v>
      </c>
      <c r="E1422">
        <f>_xlfn.XLOOKUP(A1422,'[1]Global_Spot Prices'!$B:$B,'[1]Global_Spot Prices'!$H:$H)</f>
        <v>37.72</v>
      </c>
      <c r="F1422">
        <f>_xlfn.XLOOKUP(A1422,'[1]Global_Spot Prices'!$B:$B,'[1]Global_Spot Prices'!$I:$I)</f>
        <v>42.25</v>
      </c>
      <c r="G1422" cm="1">
        <f t="array" ref="G1422">_xlfn.XLOOKUP(TEXT(A1422, "mmm-yy"), TEXT([2]RUNS!$B$5:$B$208, "mmm-yy"), [2]RUNS!$D$5:$D$208, "Not Found")</f>
        <v>28090.906706146743</v>
      </c>
      <c r="H1422" cm="1">
        <f t="array" ref="H1422">SUMPRODUCT(
    --(TEXT('[3]Global Weekly Stock (EWSuez'!$B$4:$B$2000,"mmm-yy")=TEXT(A1422,"mmm-yy")),
    '[3]Global Weekly Stock (EWSuez'!$E$4:$E$2000)
/
SUMPRODUCT(
    --(TEXT('[3]Global Weekly Stock (EWSuez'!$B$4:$B$2000,"mmm-yy")=TEXT(A1422,"mmm-yy"))
)</f>
        <v>15162.75</v>
      </c>
      <c r="I1422">
        <f>_xlfn.XLOOKUP(A1422,[1]ForwardDeriv!$D:$D,[1]ForwardDeriv!$AJ:$AJ)</f>
        <v>-0.17999999999999972</v>
      </c>
      <c r="J1422" cm="1">
        <f t="array" ref="J1422">_xlfn.XLOOKUP(TEXT(A1422, "mmm-yy"), TEXT([2]GASOLINE!$B$5:$B$208, "mmm-yy"), [2]GASOLINE!$IR$5:$IR$208, "Not Found")</f>
        <v>-389.19244988750734</v>
      </c>
      <c r="K1422" cm="1">
        <f t="array" ref="K1422">_xlfn.XLOOKUP(TEXT(A1422, "mmm-yy"), TEXT([2]GASOLINE!$B$5:$B$208, "mmm-yy"), [2]GASOLINE!$IK$5:$IK$208, "Not Found")</f>
        <v>147.52023916407794</v>
      </c>
      <c r="L1422">
        <f t="shared" si="22"/>
        <v>1</v>
      </c>
      <c r="M1422" cm="1">
        <f t="array" ref="M1422">_xlfn.XLOOKUP(TEXT(A1422, "mmm-yy"), TEXT([2]GASOLINE!$B$5:$B$208, "mmm-yy"), [2]GASOLINE!$C$5:$C$208, "Not Found")</f>
        <v>7050.2947285372784</v>
      </c>
      <c r="N1422" cm="1">
        <f t="array" ref="N1422">_xlfn.XLOOKUP(TEXT(A1422, "mmm-yy"), TEXT([2]RUNS!$B$5:$B$208, "mmm-yy"), [2]RUNS!$BM$5:$BM$208, "Not Found")</f>
        <v>0.76642429740741247</v>
      </c>
    </row>
    <row r="1423" spans="1:14" x14ac:dyDescent="0.25">
      <c r="A1423" s="1">
        <f>'[1]Global_Spot Prices'!$B2732</f>
        <v>43994</v>
      </c>
      <c r="B1423">
        <f>_xlfn.XLOOKUP(A1423,'[1]Global_Spot Prices'!$B:$B,'[1]Global_Spot Prices'!$BS:$BS)</f>
        <v>1.2299999999999969</v>
      </c>
      <c r="C1423">
        <f>_xlfn.XLOOKUP(A1423,'[1]Global_Spot Prices'!$B:$B,'[1]Global_Spot Prices'!$E:$E)</f>
        <v>38.450000000000003</v>
      </c>
      <c r="D1423">
        <f>_xlfn.XLOOKUP(A1423,'[1]Global_Spot Prices'!$B:$B,'[1]Global_Spot Prices'!$D:$D)</f>
        <v>38.64</v>
      </c>
      <c r="E1423">
        <f>_xlfn.XLOOKUP(A1423,'[1]Global_Spot Prices'!$B:$B,'[1]Global_Spot Prices'!$H:$H)</f>
        <v>35.99</v>
      </c>
      <c r="F1423">
        <f>_xlfn.XLOOKUP(A1423,'[1]Global_Spot Prices'!$B:$B,'[1]Global_Spot Prices'!$I:$I)</f>
        <v>39.68</v>
      </c>
      <c r="G1423" cm="1">
        <f t="array" ref="G1423">_xlfn.XLOOKUP(TEXT(A1423, "mmm-yy"), TEXT([2]RUNS!$B$5:$B$208, "mmm-yy"), [2]RUNS!$D$5:$D$208, "Not Found")</f>
        <v>28090.906706146743</v>
      </c>
      <c r="H1423" cm="1">
        <f t="array" ref="H1423">SUMPRODUCT(
    --(TEXT('[3]Global Weekly Stock (EWSuez'!$B$4:$B$2000,"mmm-yy")=TEXT(A1423,"mmm-yy")),
    '[3]Global Weekly Stock (EWSuez'!$E$4:$E$2000)
/
SUMPRODUCT(
    --(TEXT('[3]Global Weekly Stock (EWSuez'!$B$4:$B$2000,"mmm-yy")=TEXT(A1423,"mmm-yy"))
)</f>
        <v>15162.75</v>
      </c>
      <c r="I1423">
        <f>_xlfn.XLOOKUP(A1423,[1]ForwardDeriv!$D:$D,[1]ForwardDeriv!$AJ:$AJ)</f>
        <v>-0.21000000000000085</v>
      </c>
      <c r="J1423" cm="1">
        <f t="array" ref="J1423">_xlfn.XLOOKUP(TEXT(A1423, "mmm-yy"), TEXT([2]GASOLINE!$B$5:$B$208, "mmm-yy"), [2]GASOLINE!$IR$5:$IR$208, "Not Found")</f>
        <v>-389.19244988750734</v>
      </c>
      <c r="K1423" cm="1">
        <f t="array" ref="K1423">_xlfn.XLOOKUP(TEXT(A1423, "mmm-yy"), TEXT([2]GASOLINE!$B$5:$B$208, "mmm-yy"), [2]GASOLINE!$IK$5:$IK$208, "Not Found")</f>
        <v>147.52023916407794</v>
      </c>
      <c r="L1423">
        <f t="shared" si="22"/>
        <v>1</v>
      </c>
      <c r="M1423" cm="1">
        <f t="array" ref="M1423">_xlfn.XLOOKUP(TEXT(A1423, "mmm-yy"), TEXT([2]GASOLINE!$B$5:$B$208, "mmm-yy"), [2]GASOLINE!$C$5:$C$208, "Not Found")</f>
        <v>7050.2947285372784</v>
      </c>
      <c r="N1423" cm="1">
        <f t="array" ref="N1423">_xlfn.XLOOKUP(TEXT(A1423, "mmm-yy"), TEXT([2]RUNS!$B$5:$B$208, "mmm-yy"), [2]RUNS!$BM$5:$BM$208, "Not Found")</f>
        <v>0.76642429740741247</v>
      </c>
    </row>
    <row r="1424" spans="1:14" x14ac:dyDescent="0.25">
      <c r="A1424" s="1">
        <f>'[1]Global_Spot Prices'!$B2733</f>
        <v>43997</v>
      </c>
      <c r="B1424">
        <f>_xlfn.XLOOKUP(A1424,'[1]Global_Spot Prices'!$B:$B,'[1]Global_Spot Prices'!$BS:$BS)</f>
        <v>1.7000000000000028</v>
      </c>
      <c r="C1424">
        <f>_xlfn.XLOOKUP(A1424,'[1]Global_Spot Prices'!$B:$B,'[1]Global_Spot Prices'!$E:$E)</f>
        <v>38.299999999999997</v>
      </c>
      <c r="D1424">
        <f>_xlfn.XLOOKUP(A1424,'[1]Global_Spot Prices'!$B:$B,'[1]Global_Spot Prices'!$D:$D)</f>
        <v>38.76</v>
      </c>
      <c r="E1424">
        <f>_xlfn.XLOOKUP(A1424,'[1]Global_Spot Prices'!$B:$B,'[1]Global_Spot Prices'!$H:$H)</f>
        <v>36.57</v>
      </c>
      <c r="F1424">
        <f>_xlfn.XLOOKUP(A1424,'[1]Global_Spot Prices'!$B:$B,'[1]Global_Spot Prices'!$I:$I)</f>
        <v>40</v>
      </c>
      <c r="G1424" cm="1">
        <f t="array" ref="G1424">_xlfn.XLOOKUP(TEXT(A1424, "mmm-yy"), TEXT([2]RUNS!$B$5:$B$208, "mmm-yy"), [2]RUNS!$D$5:$D$208, "Not Found")</f>
        <v>28090.906706146743</v>
      </c>
      <c r="H1424" cm="1">
        <f t="array" ref="H1424">SUMPRODUCT(
    --(TEXT('[3]Global Weekly Stock (EWSuez'!$B$4:$B$2000,"mmm-yy")=TEXT(A1424,"mmm-yy")),
    '[3]Global Weekly Stock (EWSuez'!$E$4:$E$2000)
/
SUMPRODUCT(
    --(TEXT('[3]Global Weekly Stock (EWSuez'!$B$4:$B$2000,"mmm-yy")=TEXT(A1424,"mmm-yy"))
)</f>
        <v>15162.75</v>
      </c>
      <c r="I1424">
        <f>_xlfn.XLOOKUP(A1424,[1]ForwardDeriv!$D:$D,[1]ForwardDeriv!$AJ:$AJ)</f>
        <v>-0.14000000000000057</v>
      </c>
      <c r="J1424" cm="1">
        <f t="array" ref="J1424">_xlfn.XLOOKUP(TEXT(A1424, "mmm-yy"), TEXT([2]GASOLINE!$B$5:$B$208, "mmm-yy"), [2]GASOLINE!$IR$5:$IR$208, "Not Found")</f>
        <v>-389.19244988750734</v>
      </c>
      <c r="K1424" cm="1">
        <f t="array" ref="K1424">_xlfn.XLOOKUP(TEXT(A1424, "mmm-yy"), TEXT([2]GASOLINE!$B$5:$B$208, "mmm-yy"), [2]GASOLINE!$IK$5:$IK$208, "Not Found")</f>
        <v>147.52023916407794</v>
      </c>
      <c r="L1424">
        <f t="shared" si="22"/>
        <v>1</v>
      </c>
      <c r="M1424" cm="1">
        <f t="array" ref="M1424">_xlfn.XLOOKUP(TEXT(A1424, "mmm-yy"), TEXT([2]GASOLINE!$B$5:$B$208, "mmm-yy"), [2]GASOLINE!$C$5:$C$208, "Not Found")</f>
        <v>7050.2947285372784</v>
      </c>
      <c r="N1424" cm="1">
        <f t="array" ref="N1424">_xlfn.XLOOKUP(TEXT(A1424, "mmm-yy"), TEXT([2]RUNS!$B$5:$B$208, "mmm-yy"), [2]RUNS!$BM$5:$BM$208, "Not Found")</f>
        <v>0.76642429740741247</v>
      </c>
    </row>
    <row r="1425" spans="1:14" x14ac:dyDescent="0.25">
      <c r="A1425" s="1">
        <f>'[1]Global_Spot Prices'!$B2734</f>
        <v>43998</v>
      </c>
      <c r="B1425">
        <f>_xlfn.XLOOKUP(A1425,'[1]Global_Spot Prices'!$B:$B,'[1]Global_Spot Prices'!$BS:$BS)</f>
        <v>3.0200000000000031</v>
      </c>
      <c r="C1425">
        <f ca="1">_xlfn.XLOOKUP(A1425,'[1]Global_Spot Prices'!$B:$B,'[1]Global_Spot Prices'!$E:$E)</f>
        <v>40.25</v>
      </c>
      <c r="D1425">
        <f>_xlfn.XLOOKUP(A1425,'[1]Global_Spot Prices'!$B:$B,'[1]Global_Spot Prices'!$D:$D)</f>
        <v>40.08</v>
      </c>
      <c r="E1425">
        <f>_xlfn.XLOOKUP(A1425,'[1]Global_Spot Prices'!$B:$B,'[1]Global_Spot Prices'!$H:$H)</f>
        <v>39.24</v>
      </c>
      <c r="F1425">
        <f ca="1">_xlfn.XLOOKUP(A1425,'[1]Global_Spot Prices'!$B:$B,'[1]Global_Spot Prices'!$I:$I)</f>
        <v>43.27</v>
      </c>
      <c r="G1425" cm="1">
        <f t="array" ref="G1425">_xlfn.XLOOKUP(TEXT(A1425, "mmm-yy"), TEXT([2]RUNS!$B$5:$B$208, "mmm-yy"), [2]RUNS!$D$5:$D$208, "Not Found")</f>
        <v>28090.906706146743</v>
      </c>
      <c r="H1425" cm="1">
        <f t="array" ref="H1425">SUMPRODUCT(
    --(TEXT('[3]Global Weekly Stock (EWSuez'!$B$4:$B$2000,"mmm-yy")=TEXT(A1425,"mmm-yy")),
    '[3]Global Weekly Stock (EWSuez'!$E$4:$E$2000)
/
SUMPRODUCT(
    --(TEXT('[3]Global Weekly Stock (EWSuez'!$B$4:$B$2000,"mmm-yy")=TEXT(A1425,"mmm-yy"))
)</f>
        <v>15162.75</v>
      </c>
      <c r="I1425">
        <f>_xlfn.XLOOKUP(A1425,[1]ForwardDeriv!$D:$D,[1]ForwardDeriv!$AJ:$AJ)</f>
        <v>3.0000000000001137E-2</v>
      </c>
      <c r="J1425" cm="1">
        <f t="array" ref="J1425">_xlfn.XLOOKUP(TEXT(A1425, "mmm-yy"), TEXT([2]GASOLINE!$B$5:$B$208, "mmm-yy"), [2]GASOLINE!$IR$5:$IR$208, "Not Found")</f>
        <v>-389.19244988750734</v>
      </c>
      <c r="K1425" cm="1">
        <f t="array" ref="K1425">_xlfn.XLOOKUP(TEXT(A1425, "mmm-yy"), TEXT([2]GASOLINE!$B$5:$B$208, "mmm-yy"), [2]GASOLINE!$IK$5:$IK$208, "Not Found")</f>
        <v>147.52023916407794</v>
      </c>
      <c r="L1425">
        <f t="shared" si="22"/>
        <v>1</v>
      </c>
      <c r="M1425" cm="1">
        <f t="array" ref="M1425">_xlfn.XLOOKUP(TEXT(A1425, "mmm-yy"), TEXT([2]GASOLINE!$B$5:$B$208, "mmm-yy"), [2]GASOLINE!$C$5:$C$208, "Not Found")</f>
        <v>7050.2947285372784</v>
      </c>
      <c r="N1425" cm="1">
        <f t="array" ref="N1425">_xlfn.XLOOKUP(TEXT(A1425, "mmm-yy"), TEXT([2]RUNS!$B$5:$B$208, "mmm-yy"), [2]RUNS!$BM$5:$BM$208, "Not Found")</f>
        <v>0.76642429740741247</v>
      </c>
    </row>
    <row r="1426" spans="1:14" x14ac:dyDescent="0.25">
      <c r="A1426" s="1">
        <f>'[1]Global_Spot Prices'!$B2735</f>
        <v>43999</v>
      </c>
      <c r="B1426">
        <f>_xlfn.XLOOKUP(A1426,'[1]Global_Spot Prices'!$B:$B,'[1]Global_Spot Prices'!$BS:$BS)</f>
        <v>3.9200000000000017</v>
      </c>
      <c r="C1426">
        <f>_xlfn.XLOOKUP(A1426,'[1]Global_Spot Prices'!$B:$B,'[1]Global_Spot Prices'!$E:$E)</f>
        <v>41.5</v>
      </c>
      <c r="D1426">
        <f>_xlfn.XLOOKUP(A1426,'[1]Global_Spot Prices'!$B:$B,'[1]Global_Spot Prices'!$D:$D)</f>
        <v>40.325000000000003</v>
      </c>
      <c r="E1426">
        <f ca="1">_xlfn.XLOOKUP(A1426,'[1]Global_Spot Prices'!$B:$B,'[1]Global_Spot Prices'!$H:$H)</f>
        <v>39.83</v>
      </c>
      <c r="F1426">
        <f>_xlfn.XLOOKUP(A1426,'[1]Global_Spot Prices'!$B:$B,'[1]Global_Spot Prices'!$I:$I)</f>
        <v>45.42</v>
      </c>
      <c r="G1426" cm="1">
        <f t="array" ref="G1426">_xlfn.XLOOKUP(TEXT(A1426, "mmm-yy"), TEXT([2]RUNS!$B$5:$B$208, "mmm-yy"), [2]RUNS!$D$5:$D$208, "Not Found")</f>
        <v>28090.906706146743</v>
      </c>
      <c r="H1426" cm="1">
        <f t="array" ref="H1426">SUMPRODUCT(
    --(TEXT('[3]Global Weekly Stock (EWSuez'!$B$4:$B$2000,"mmm-yy")=TEXT(A1426,"mmm-yy")),
    '[3]Global Weekly Stock (EWSuez'!$E$4:$E$2000)
/
SUMPRODUCT(
    --(TEXT('[3]Global Weekly Stock (EWSuez'!$B$4:$B$2000,"mmm-yy")=TEXT(A1426,"mmm-yy"))
)</f>
        <v>15162.75</v>
      </c>
      <c r="I1426">
        <f>_xlfn.XLOOKUP(A1426,[1]ForwardDeriv!$D:$D,[1]ForwardDeriv!$AJ:$AJ)</f>
        <v>0.30999999999999517</v>
      </c>
      <c r="J1426" cm="1">
        <f t="array" ref="J1426">_xlfn.XLOOKUP(TEXT(A1426, "mmm-yy"), TEXT([2]GASOLINE!$B$5:$B$208, "mmm-yy"), [2]GASOLINE!$IR$5:$IR$208, "Not Found")</f>
        <v>-389.19244988750734</v>
      </c>
      <c r="K1426" cm="1">
        <f t="array" ref="K1426">_xlfn.XLOOKUP(TEXT(A1426, "mmm-yy"), TEXT([2]GASOLINE!$B$5:$B$208, "mmm-yy"), [2]GASOLINE!$IK$5:$IK$208, "Not Found")</f>
        <v>147.52023916407794</v>
      </c>
      <c r="L1426">
        <f t="shared" si="22"/>
        <v>1</v>
      </c>
      <c r="M1426" cm="1">
        <f t="array" ref="M1426">_xlfn.XLOOKUP(TEXT(A1426, "mmm-yy"), TEXT([2]GASOLINE!$B$5:$B$208, "mmm-yy"), [2]GASOLINE!$C$5:$C$208, "Not Found")</f>
        <v>7050.2947285372784</v>
      </c>
      <c r="N1426" cm="1">
        <f t="array" ref="N1426">_xlfn.XLOOKUP(TEXT(A1426, "mmm-yy"), TEXT([2]RUNS!$B$5:$B$208, "mmm-yy"), [2]RUNS!$BM$5:$BM$208, "Not Found")</f>
        <v>0.76642429740741247</v>
      </c>
    </row>
    <row r="1427" spans="1:14" x14ac:dyDescent="0.25">
      <c r="A1427" s="1">
        <f>'[1]Global_Spot Prices'!$B2736</f>
        <v>44000</v>
      </c>
      <c r="B1427">
        <f ca="1">_xlfn.XLOOKUP(A1427,'[1]Global_Spot Prices'!$B:$B,'[1]Global_Spot Prices'!$BS:$BS)</f>
        <v>4.1200000000000045</v>
      </c>
      <c r="C1427">
        <f>_xlfn.XLOOKUP(A1427,'[1]Global_Spot Prices'!$B:$B,'[1]Global_Spot Prices'!$E:$E)</f>
        <v>41.05</v>
      </c>
      <c r="D1427">
        <f>_xlfn.XLOOKUP(A1427,'[1]Global_Spot Prices'!$B:$B,'[1]Global_Spot Prices'!$D:$D)</f>
        <v>41.424999999999997</v>
      </c>
      <c r="E1427">
        <f>_xlfn.XLOOKUP(A1427,'[1]Global_Spot Prices'!$B:$B,'[1]Global_Spot Prices'!$H:$H)</f>
        <v>39.72</v>
      </c>
      <c r="F1427">
        <f ca="1">_xlfn.XLOOKUP(A1427,'[1]Global_Spot Prices'!$B:$B,'[1]Global_Spot Prices'!$I:$I)</f>
        <v>45.17</v>
      </c>
      <c r="G1427" cm="1">
        <f t="array" ref="G1427">_xlfn.XLOOKUP(TEXT(A1427, "mmm-yy"), TEXT([2]RUNS!$B$5:$B$208, "mmm-yy"), [2]RUNS!$D$5:$D$208, "Not Found")</f>
        <v>28090.906706146743</v>
      </c>
      <c r="H1427" cm="1">
        <f t="array" ref="H1427">SUMPRODUCT(
    --(TEXT('[3]Global Weekly Stock (EWSuez'!$B$4:$B$2000,"mmm-yy")=TEXT(A1427,"mmm-yy")),
    '[3]Global Weekly Stock (EWSuez'!$E$4:$E$2000)
/
SUMPRODUCT(
    --(TEXT('[3]Global Weekly Stock (EWSuez'!$B$4:$B$2000,"mmm-yy")=TEXT(A1427,"mmm-yy"))
)</f>
        <v>15162.75</v>
      </c>
      <c r="I1427">
        <f>_xlfn.XLOOKUP(A1427,[1]ForwardDeriv!$D:$D,[1]ForwardDeriv!$AJ:$AJ)</f>
        <v>0.39999999999999858</v>
      </c>
      <c r="J1427" cm="1">
        <f t="array" ref="J1427">_xlfn.XLOOKUP(TEXT(A1427, "mmm-yy"), TEXT([2]GASOLINE!$B$5:$B$208, "mmm-yy"), [2]GASOLINE!$IR$5:$IR$208, "Not Found")</f>
        <v>-389.19244988750734</v>
      </c>
      <c r="K1427" cm="1">
        <f t="array" ref="K1427">_xlfn.XLOOKUP(TEXT(A1427, "mmm-yy"), TEXT([2]GASOLINE!$B$5:$B$208, "mmm-yy"), [2]GASOLINE!$IK$5:$IK$208, "Not Found")</f>
        <v>147.52023916407794</v>
      </c>
      <c r="L1427">
        <f t="shared" si="22"/>
        <v>1</v>
      </c>
      <c r="M1427" cm="1">
        <f t="array" ref="M1427">_xlfn.XLOOKUP(TEXT(A1427, "mmm-yy"), TEXT([2]GASOLINE!$B$5:$B$208, "mmm-yy"), [2]GASOLINE!$C$5:$C$208, "Not Found")</f>
        <v>7050.2947285372784</v>
      </c>
      <c r="N1427" cm="1">
        <f t="array" ref="N1427">_xlfn.XLOOKUP(TEXT(A1427, "mmm-yy"), TEXT([2]RUNS!$B$5:$B$208, "mmm-yy"), [2]RUNS!$BM$5:$BM$208, "Not Found")</f>
        <v>0.76642429740741247</v>
      </c>
    </row>
    <row r="1428" spans="1:14" x14ac:dyDescent="0.25">
      <c r="A1428" s="1">
        <f>'[1]Global_Spot Prices'!$B2737</f>
        <v>44001</v>
      </c>
      <c r="B1428">
        <f>_xlfn.XLOOKUP(A1428,'[1]Global_Spot Prices'!$B:$B,'[1]Global_Spot Prices'!$BS:$BS)</f>
        <v>4.3300000000000054</v>
      </c>
      <c r="C1428">
        <f>_xlfn.XLOOKUP(A1428,'[1]Global_Spot Prices'!$B:$B,'[1]Global_Spot Prices'!$E:$E)</f>
        <v>42.94</v>
      </c>
      <c r="D1428">
        <f>_xlfn.XLOOKUP(A1428,'[1]Global_Spot Prices'!$B:$B,'[1]Global_Spot Prices'!$D:$D)</f>
        <v>42.695</v>
      </c>
      <c r="E1428">
        <f>_xlfn.XLOOKUP(A1428,'[1]Global_Spot Prices'!$B:$B,'[1]Global_Spot Prices'!$H:$H)</f>
        <v>42.18</v>
      </c>
      <c r="F1428">
        <f>_xlfn.XLOOKUP(A1428,'[1]Global_Spot Prices'!$B:$B,'[1]Global_Spot Prices'!$I:$I)</f>
        <v>47.27</v>
      </c>
      <c r="G1428" cm="1">
        <f t="array" ref="G1428">_xlfn.XLOOKUP(TEXT(A1428, "mmm-yy"), TEXT([2]RUNS!$B$5:$B$208, "mmm-yy"), [2]RUNS!$D$5:$D$208, "Not Found")</f>
        <v>28090.906706146743</v>
      </c>
      <c r="H1428" cm="1">
        <f t="array" ref="H1428">SUMPRODUCT(
    --(TEXT('[3]Global Weekly Stock (EWSuez'!$B$4:$B$2000,"mmm-yy")=TEXT(A1428,"mmm-yy")),
    '[3]Global Weekly Stock (EWSuez'!$E$4:$E$2000)
/
SUMPRODUCT(
    --(TEXT('[3]Global Weekly Stock (EWSuez'!$B$4:$B$2000,"mmm-yy")=TEXT(A1428,"mmm-yy"))
)</f>
        <v>15162.75</v>
      </c>
      <c r="I1428">
        <f>_xlfn.XLOOKUP(A1428,[1]ForwardDeriv!$D:$D,[1]ForwardDeriv!$AJ:$AJ)</f>
        <v>0.31000000000000227</v>
      </c>
      <c r="J1428" cm="1">
        <f t="array" ref="J1428">_xlfn.XLOOKUP(TEXT(A1428, "mmm-yy"), TEXT([2]GASOLINE!$B$5:$B$208, "mmm-yy"), [2]GASOLINE!$IR$5:$IR$208, "Not Found")</f>
        <v>-389.19244988750734</v>
      </c>
      <c r="K1428" cm="1">
        <f t="array" ref="K1428">_xlfn.XLOOKUP(TEXT(A1428, "mmm-yy"), TEXT([2]GASOLINE!$B$5:$B$208, "mmm-yy"), [2]GASOLINE!$IK$5:$IK$208, "Not Found")</f>
        <v>147.52023916407794</v>
      </c>
      <c r="L1428">
        <f t="shared" si="22"/>
        <v>1</v>
      </c>
      <c r="M1428" cm="1">
        <f t="array" ref="M1428">_xlfn.XLOOKUP(TEXT(A1428, "mmm-yy"), TEXT([2]GASOLINE!$B$5:$B$208, "mmm-yy"), [2]GASOLINE!$C$5:$C$208, "Not Found")</f>
        <v>7050.2947285372784</v>
      </c>
      <c r="N1428" cm="1">
        <f t="array" ref="N1428">_xlfn.XLOOKUP(TEXT(A1428, "mmm-yy"), TEXT([2]RUNS!$B$5:$B$208, "mmm-yy"), [2]RUNS!$BM$5:$BM$208, "Not Found")</f>
        <v>0.76642429740741247</v>
      </c>
    </row>
    <row r="1429" spans="1:14" x14ac:dyDescent="0.25">
      <c r="A1429" s="1">
        <f>'[1]Global_Spot Prices'!$B2738</f>
        <v>44004</v>
      </c>
      <c r="B1429">
        <f>_xlfn.XLOOKUP(A1429,'[1]Global_Spot Prices'!$B:$B,'[1]Global_Spot Prices'!$BS:$BS)</f>
        <v>3.8699999999999974</v>
      </c>
      <c r="C1429">
        <f>_xlfn.XLOOKUP(A1429,'[1]Global_Spot Prices'!$B:$B,'[1]Global_Spot Prices'!$E:$E)</f>
        <v>42.29</v>
      </c>
      <c r="D1429">
        <f>_xlfn.XLOOKUP(A1429,'[1]Global_Spot Prices'!$B:$B,'[1]Global_Spot Prices'!$D:$D)</f>
        <v>42.8</v>
      </c>
      <c r="E1429">
        <f>_xlfn.XLOOKUP(A1429,'[1]Global_Spot Prices'!$B:$B,'[1]Global_Spot Prices'!$H:$H)</f>
        <v>41.79</v>
      </c>
      <c r="F1429">
        <f>_xlfn.XLOOKUP(A1429,'[1]Global_Spot Prices'!$B:$B,'[1]Global_Spot Prices'!$I:$I)</f>
        <v>46.16</v>
      </c>
      <c r="G1429" cm="1">
        <f t="array" ref="G1429">_xlfn.XLOOKUP(TEXT(A1429, "mmm-yy"), TEXT([2]RUNS!$B$5:$B$208, "mmm-yy"), [2]RUNS!$D$5:$D$208, "Not Found")</f>
        <v>28090.906706146743</v>
      </c>
      <c r="H1429" cm="1">
        <f t="array" ref="H1429">SUMPRODUCT(
    --(TEXT('[3]Global Weekly Stock (EWSuez'!$B$4:$B$2000,"mmm-yy")=TEXT(A1429,"mmm-yy")),
    '[3]Global Weekly Stock (EWSuez'!$E$4:$E$2000)
/
SUMPRODUCT(
    --(TEXT('[3]Global Weekly Stock (EWSuez'!$B$4:$B$2000,"mmm-yy")=TEXT(A1429,"mmm-yy"))
)</f>
        <v>15162.75</v>
      </c>
      <c r="I1429">
        <f>_xlfn.XLOOKUP(A1429,[1]ForwardDeriv!$D:$D,[1]ForwardDeriv!$AJ:$AJ)</f>
        <v>0.28000000000000114</v>
      </c>
      <c r="J1429" cm="1">
        <f t="array" ref="J1429">_xlfn.XLOOKUP(TEXT(A1429, "mmm-yy"), TEXT([2]GASOLINE!$B$5:$B$208, "mmm-yy"), [2]GASOLINE!$IR$5:$IR$208, "Not Found")</f>
        <v>-389.19244988750734</v>
      </c>
      <c r="K1429" cm="1">
        <f t="array" ref="K1429">_xlfn.XLOOKUP(TEXT(A1429, "mmm-yy"), TEXT([2]GASOLINE!$B$5:$B$208, "mmm-yy"), [2]GASOLINE!$IK$5:$IK$208, "Not Found")</f>
        <v>147.52023916407794</v>
      </c>
      <c r="L1429">
        <f t="shared" si="22"/>
        <v>1</v>
      </c>
      <c r="M1429" cm="1">
        <f t="array" ref="M1429">_xlfn.XLOOKUP(TEXT(A1429, "mmm-yy"), TEXT([2]GASOLINE!$B$5:$B$208, "mmm-yy"), [2]GASOLINE!$C$5:$C$208, "Not Found")</f>
        <v>7050.2947285372784</v>
      </c>
      <c r="N1429" cm="1">
        <f t="array" ref="N1429">_xlfn.XLOOKUP(TEXT(A1429, "mmm-yy"), TEXT([2]RUNS!$B$5:$B$208, "mmm-yy"), [2]RUNS!$BM$5:$BM$208, "Not Found")</f>
        <v>0.76642429740741247</v>
      </c>
    </row>
    <row r="1430" spans="1:14" x14ac:dyDescent="0.25">
      <c r="A1430" s="1">
        <f>'[1]Global_Spot Prices'!$B2739</f>
        <v>44005</v>
      </c>
      <c r="B1430">
        <f ca="1">_xlfn.XLOOKUP(A1430,'[1]Global_Spot Prices'!$B:$B,'[1]Global_Spot Prices'!$BS:$BS)</f>
        <v>4.990000000000002</v>
      </c>
      <c r="C1430">
        <f>_xlfn.XLOOKUP(A1430,'[1]Global_Spot Prices'!$B:$B,'[1]Global_Spot Prices'!$E:$E)</f>
        <v>43.35</v>
      </c>
      <c r="D1430">
        <f>_xlfn.XLOOKUP(A1430,'[1]Global_Spot Prices'!$B:$B,'[1]Global_Spot Prices'!$D:$D)</f>
        <v>43.604999999999997</v>
      </c>
      <c r="E1430">
        <f>_xlfn.XLOOKUP(A1430,'[1]Global_Spot Prices'!$B:$B,'[1]Global_Spot Prices'!$H:$H)</f>
        <v>43.24</v>
      </c>
      <c r="F1430">
        <f>_xlfn.XLOOKUP(A1430,'[1]Global_Spot Prices'!$B:$B,'[1]Global_Spot Prices'!$I:$I)</f>
        <v>48.34</v>
      </c>
      <c r="G1430" cm="1">
        <f t="array" ref="G1430">_xlfn.XLOOKUP(TEXT(A1430, "mmm-yy"), TEXT([2]RUNS!$B$5:$B$208, "mmm-yy"), [2]RUNS!$D$5:$D$208, "Not Found")</f>
        <v>28090.906706146743</v>
      </c>
      <c r="H1430" cm="1">
        <f t="array" ref="H1430">SUMPRODUCT(
    --(TEXT('[3]Global Weekly Stock (EWSuez'!$B$4:$B$2000,"mmm-yy")=TEXT(A1430,"mmm-yy")),
    '[3]Global Weekly Stock (EWSuez'!$E$4:$E$2000)
/
SUMPRODUCT(
    --(TEXT('[3]Global Weekly Stock (EWSuez'!$B$4:$B$2000,"mmm-yy")=TEXT(A1430,"mmm-yy"))
)</f>
        <v>15162.75</v>
      </c>
      <c r="I1430">
        <f>_xlfn.XLOOKUP(A1430,[1]ForwardDeriv!$D:$D,[1]ForwardDeriv!$AJ:$AJ)</f>
        <v>0.33999999999999631</v>
      </c>
      <c r="J1430" cm="1">
        <f t="array" ref="J1430">_xlfn.XLOOKUP(TEXT(A1430, "mmm-yy"), TEXT([2]GASOLINE!$B$5:$B$208, "mmm-yy"), [2]GASOLINE!$IR$5:$IR$208, "Not Found")</f>
        <v>-389.19244988750734</v>
      </c>
      <c r="K1430" cm="1">
        <f t="array" ref="K1430">_xlfn.XLOOKUP(TEXT(A1430, "mmm-yy"), TEXT([2]GASOLINE!$B$5:$B$208, "mmm-yy"), [2]GASOLINE!$IK$5:$IK$208, "Not Found")</f>
        <v>147.52023916407794</v>
      </c>
      <c r="L1430">
        <f t="shared" si="22"/>
        <v>1</v>
      </c>
      <c r="M1430" cm="1">
        <f t="array" ref="M1430">_xlfn.XLOOKUP(TEXT(A1430, "mmm-yy"), TEXT([2]GASOLINE!$B$5:$B$208, "mmm-yy"), [2]GASOLINE!$C$5:$C$208, "Not Found")</f>
        <v>7050.2947285372784</v>
      </c>
      <c r="N1430" cm="1">
        <f t="array" ref="N1430">_xlfn.XLOOKUP(TEXT(A1430, "mmm-yy"), TEXT([2]RUNS!$B$5:$B$208, "mmm-yy"), [2]RUNS!$BM$5:$BM$208, "Not Found")</f>
        <v>0.76642429740741247</v>
      </c>
    </row>
    <row r="1431" spans="1:14" x14ac:dyDescent="0.25">
      <c r="A1431" s="1">
        <f>'[1]Global_Spot Prices'!$B2740</f>
        <v>44006</v>
      </c>
      <c r="B1431">
        <f>_xlfn.XLOOKUP(A1431,'[1]Global_Spot Prices'!$B:$B,'[1]Global_Spot Prices'!$BS:$BS)</f>
        <v>4.5899999999999963</v>
      </c>
      <c r="C1431">
        <f>_xlfn.XLOOKUP(A1431,'[1]Global_Spot Prices'!$B:$B,'[1]Global_Spot Prices'!$E:$E)</f>
        <v>42.45</v>
      </c>
      <c r="D1431">
        <f>_xlfn.XLOOKUP(A1431,'[1]Global_Spot Prices'!$B:$B,'[1]Global_Spot Prices'!$D:$D)</f>
        <v>40.454999999999998</v>
      </c>
      <c r="E1431">
        <f>_xlfn.XLOOKUP(A1431,'[1]Global_Spot Prices'!$B:$B,'[1]Global_Spot Prices'!$H:$H)</f>
        <v>42.74</v>
      </c>
      <c r="F1431">
        <f>_xlfn.XLOOKUP(A1431,'[1]Global_Spot Prices'!$B:$B,'[1]Global_Spot Prices'!$I:$I)</f>
        <v>47.04</v>
      </c>
      <c r="G1431" cm="1">
        <f t="array" ref="G1431">_xlfn.XLOOKUP(TEXT(A1431, "mmm-yy"), TEXT([2]RUNS!$B$5:$B$208, "mmm-yy"), [2]RUNS!$D$5:$D$208, "Not Found")</f>
        <v>28090.906706146743</v>
      </c>
      <c r="H1431" cm="1">
        <f t="array" ref="H1431">SUMPRODUCT(
    --(TEXT('[3]Global Weekly Stock (EWSuez'!$B$4:$B$2000,"mmm-yy")=TEXT(A1431,"mmm-yy")),
    '[3]Global Weekly Stock (EWSuez'!$E$4:$E$2000)
/
SUMPRODUCT(
    --(TEXT('[3]Global Weekly Stock (EWSuez'!$B$4:$B$2000,"mmm-yy")=TEXT(A1431,"mmm-yy"))
)</f>
        <v>15162.75</v>
      </c>
      <c r="I1431">
        <f>_xlfn.XLOOKUP(A1431,[1]ForwardDeriv!$D:$D,[1]ForwardDeriv!$AJ:$AJ)</f>
        <v>0.32999999999999829</v>
      </c>
      <c r="J1431" cm="1">
        <f t="array" ref="J1431">_xlfn.XLOOKUP(TEXT(A1431, "mmm-yy"), TEXT([2]GASOLINE!$B$5:$B$208, "mmm-yy"), [2]GASOLINE!$IR$5:$IR$208, "Not Found")</f>
        <v>-389.19244988750734</v>
      </c>
      <c r="K1431" cm="1">
        <f t="array" ref="K1431">_xlfn.XLOOKUP(TEXT(A1431, "mmm-yy"), TEXT([2]GASOLINE!$B$5:$B$208, "mmm-yy"), [2]GASOLINE!$IK$5:$IK$208, "Not Found")</f>
        <v>147.52023916407794</v>
      </c>
      <c r="L1431">
        <f t="shared" si="22"/>
        <v>1</v>
      </c>
      <c r="M1431" cm="1">
        <f t="array" ref="M1431">_xlfn.XLOOKUP(TEXT(A1431, "mmm-yy"), TEXT([2]GASOLINE!$B$5:$B$208, "mmm-yy"), [2]GASOLINE!$C$5:$C$208, "Not Found")</f>
        <v>7050.2947285372784</v>
      </c>
      <c r="N1431" cm="1">
        <f t="array" ref="N1431">_xlfn.XLOOKUP(TEXT(A1431, "mmm-yy"), TEXT([2]RUNS!$B$5:$B$208, "mmm-yy"), [2]RUNS!$BM$5:$BM$208, "Not Found")</f>
        <v>0.76642429740741247</v>
      </c>
    </row>
    <row r="1432" spans="1:14" x14ac:dyDescent="0.25">
      <c r="A1432" s="1">
        <f>'[1]Global_Spot Prices'!$B2741</f>
        <v>44007</v>
      </c>
      <c r="B1432">
        <f>_xlfn.XLOOKUP(A1432,'[1]Global_Spot Prices'!$B:$B,'[1]Global_Spot Prices'!$BS:$BS)</f>
        <v>1.8500000000000014</v>
      </c>
      <c r="C1432">
        <f>_xlfn.XLOOKUP(A1432,'[1]Global_Spot Prices'!$B:$B,'[1]Global_Spot Prices'!$E:$E)</f>
        <v>40.549999999999997</v>
      </c>
      <c r="D1432">
        <f>_xlfn.XLOOKUP(A1432,'[1]Global_Spot Prices'!$B:$B,'[1]Global_Spot Prices'!$D:$D)</f>
        <v>41.01</v>
      </c>
      <c r="E1432">
        <f>_xlfn.XLOOKUP(A1432,'[1]Global_Spot Prices'!$B:$B,'[1]Global_Spot Prices'!$H:$H)</f>
        <v>39.9</v>
      </c>
      <c r="F1432">
        <f>_xlfn.XLOOKUP(A1432,'[1]Global_Spot Prices'!$B:$B,'[1]Global_Spot Prices'!$I:$I)</f>
        <v>42.4</v>
      </c>
      <c r="G1432" cm="1">
        <f t="array" ref="G1432">_xlfn.XLOOKUP(TEXT(A1432, "mmm-yy"), TEXT([2]RUNS!$B$5:$B$208, "mmm-yy"), [2]RUNS!$D$5:$D$208, "Not Found")</f>
        <v>28090.906706146743</v>
      </c>
      <c r="H1432" cm="1">
        <f t="array" ref="H1432">SUMPRODUCT(
    --(TEXT('[3]Global Weekly Stock (EWSuez'!$B$4:$B$2000,"mmm-yy")=TEXT(A1432,"mmm-yy")),
    '[3]Global Weekly Stock (EWSuez'!$E$4:$E$2000)
/
SUMPRODUCT(
    --(TEXT('[3]Global Weekly Stock (EWSuez'!$B$4:$B$2000,"mmm-yy")=TEXT(A1432,"mmm-yy"))
)</f>
        <v>15162.75</v>
      </c>
      <c r="I1432">
        <f>_xlfn.XLOOKUP(A1432,[1]ForwardDeriv!$D:$D,[1]ForwardDeriv!$AJ:$AJ)</f>
        <v>4.9999999999997158E-2</v>
      </c>
      <c r="J1432" cm="1">
        <f t="array" ref="J1432">_xlfn.XLOOKUP(TEXT(A1432, "mmm-yy"), TEXT([2]GASOLINE!$B$5:$B$208, "mmm-yy"), [2]GASOLINE!$IR$5:$IR$208, "Not Found")</f>
        <v>-389.19244988750734</v>
      </c>
      <c r="K1432" cm="1">
        <f t="array" ref="K1432">_xlfn.XLOOKUP(TEXT(A1432, "mmm-yy"), TEXT([2]GASOLINE!$B$5:$B$208, "mmm-yy"), [2]GASOLINE!$IK$5:$IK$208, "Not Found")</f>
        <v>147.52023916407794</v>
      </c>
      <c r="L1432">
        <f t="shared" si="22"/>
        <v>1</v>
      </c>
      <c r="M1432" cm="1">
        <f t="array" ref="M1432">_xlfn.XLOOKUP(TEXT(A1432, "mmm-yy"), TEXT([2]GASOLINE!$B$5:$B$208, "mmm-yy"), [2]GASOLINE!$C$5:$C$208, "Not Found")</f>
        <v>7050.2947285372784</v>
      </c>
      <c r="N1432" cm="1">
        <f t="array" ref="N1432">_xlfn.XLOOKUP(TEXT(A1432, "mmm-yy"), TEXT([2]RUNS!$B$5:$B$208, "mmm-yy"), [2]RUNS!$BM$5:$BM$208, "Not Found")</f>
        <v>0.76642429740741247</v>
      </c>
    </row>
    <row r="1433" spans="1:14" x14ac:dyDescent="0.25">
      <c r="A1433" s="1">
        <f>'[1]Global_Spot Prices'!$B2742</f>
        <v>44008</v>
      </c>
      <c r="B1433">
        <f>_xlfn.XLOOKUP(A1433,'[1]Global_Spot Prices'!$B:$B,'[1]Global_Spot Prices'!$BS:$BS)</f>
        <v>1.6199999999999974</v>
      </c>
      <c r="C1433">
        <f>_xlfn.XLOOKUP(A1433,'[1]Global_Spot Prices'!$B:$B,'[1]Global_Spot Prices'!$E:$E)</f>
        <v>42</v>
      </c>
      <c r="D1433">
        <f>_xlfn.XLOOKUP(A1433,'[1]Global_Spot Prices'!$B:$B,'[1]Global_Spot Prices'!$D:$D)</f>
        <v>40.770000000000003</v>
      </c>
      <c r="E1433">
        <f>_xlfn.XLOOKUP(A1433,'[1]Global_Spot Prices'!$B:$B,'[1]Global_Spot Prices'!$H:$H)</f>
        <v>41.69</v>
      </c>
      <c r="F1433">
        <f>_xlfn.XLOOKUP(A1433,'[1]Global_Spot Prices'!$B:$B,'[1]Global_Spot Prices'!$I:$I)</f>
        <v>43.62</v>
      </c>
      <c r="G1433" cm="1">
        <f t="array" ref="G1433">_xlfn.XLOOKUP(TEXT(A1433, "mmm-yy"), TEXT([2]RUNS!$B$5:$B$208, "mmm-yy"), [2]RUNS!$D$5:$D$208, "Not Found")</f>
        <v>28090.906706146743</v>
      </c>
      <c r="H1433" cm="1">
        <f t="array" ref="H1433">SUMPRODUCT(
    --(TEXT('[3]Global Weekly Stock (EWSuez'!$B$4:$B$2000,"mmm-yy")=TEXT(A1433,"mmm-yy")),
    '[3]Global Weekly Stock (EWSuez'!$E$4:$E$2000)
/
SUMPRODUCT(
    --(TEXT('[3]Global Weekly Stock (EWSuez'!$B$4:$B$2000,"mmm-yy")=TEXT(A1433,"mmm-yy"))
)</f>
        <v>15162.75</v>
      </c>
      <c r="I1433">
        <f>_xlfn.XLOOKUP(A1433,[1]ForwardDeriv!$D:$D,[1]ForwardDeriv!$AJ:$AJ)</f>
        <v>7.9999999999998295E-2</v>
      </c>
      <c r="J1433" cm="1">
        <f t="array" ref="J1433">_xlfn.XLOOKUP(TEXT(A1433, "mmm-yy"), TEXT([2]GASOLINE!$B$5:$B$208, "mmm-yy"), [2]GASOLINE!$IR$5:$IR$208, "Not Found")</f>
        <v>-389.19244988750734</v>
      </c>
      <c r="K1433" cm="1">
        <f t="array" ref="K1433">_xlfn.XLOOKUP(TEXT(A1433, "mmm-yy"), TEXT([2]GASOLINE!$B$5:$B$208, "mmm-yy"), [2]GASOLINE!$IK$5:$IK$208, "Not Found")</f>
        <v>147.52023916407794</v>
      </c>
      <c r="L1433">
        <f t="shared" si="22"/>
        <v>1</v>
      </c>
      <c r="M1433" cm="1">
        <f t="array" ref="M1433">_xlfn.XLOOKUP(TEXT(A1433, "mmm-yy"), TEXT([2]GASOLINE!$B$5:$B$208, "mmm-yy"), [2]GASOLINE!$C$5:$C$208, "Not Found")</f>
        <v>7050.2947285372784</v>
      </c>
      <c r="N1433" cm="1">
        <f t="array" ref="N1433">_xlfn.XLOOKUP(TEXT(A1433, "mmm-yy"), TEXT([2]RUNS!$B$5:$B$208, "mmm-yy"), [2]RUNS!$BM$5:$BM$208, "Not Found")</f>
        <v>0.76642429740741247</v>
      </c>
    </row>
    <row r="1434" spans="1:14" x14ac:dyDescent="0.25">
      <c r="A1434" s="1">
        <f>'[1]Global_Spot Prices'!$B2743</f>
        <v>44011</v>
      </c>
      <c r="B1434">
        <f>_xlfn.XLOOKUP(A1434,'[1]Global_Spot Prices'!$B:$B,'[1]Global_Spot Prices'!$BS:$BS)</f>
        <v>6.0000000000002274E-2</v>
      </c>
      <c r="C1434">
        <f>_xlfn.XLOOKUP(A1434,'[1]Global_Spot Prices'!$B:$B,'[1]Global_Spot Prices'!$E:$E)</f>
        <v>40.65</v>
      </c>
      <c r="D1434">
        <f>_xlfn.XLOOKUP(A1434,'[1]Global_Spot Prices'!$B:$B,'[1]Global_Spot Prices'!$D:$D)</f>
        <v>41.39</v>
      </c>
      <c r="E1434">
        <f>_xlfn.XLOOKUP(A1434,'[1]Global_Spot Prices'!$B:$B,'[1]Global_Spot Prices'!$H:$H)</f>
        <v>39.229999999999997</v>
      </c>
      <c r="F1434">
        <f>_xlfn.XLOOKUP(A1434,'[1]Global_Spot Prices'!$B:$B,'[1]Global_Spot Prices'!$I:$I)</f>
        <v>40.71</v>
      </c>
      <c r="G1434" cm="1">
        <f t="array" ref="G1434">_xlfn.XLOOKUP(TEXT(A1434, "mmm-yy"), TEXT([2]RUNS!$B$5:$B$208, "mmm-yy"), [2]RUNS!$D$5:$D$208, "Not Found")</f>
        <v>28090.906706146743</v>
      </c>
      <c r="H1434" cm="1">
        <f t="array" ref="H1434">SUMPRODUCT(
    --(TEXT('[3]Global Weekly Stock (EWSuez'!$B$4:$B$2000,"mmm-yy")=TEXT(A1434,"mmm-yy")),
    '[3]Global Weekly Stock (EWSuez'!$E$4:$E$2000)
/
SUMPRODUCT(
    --(TEXT('[3]Global Weekly Stock (EWSuez'!$B$4:$B$2000,"mmm-yy")=TEXT(A1434,"mmm-yy"))
)</f>
        <v>15162.75</v>
      </c>
      <c r="I1434">
        <f>_xlfn.XLOOKUP(A1434,[1]ForwardDeriv!$D:$D,[1]ForwardDeriv!$AJ:$AJ)</f>
        <v>5.0000000000004263E-2</v>
      </c>
      <c r="J1434" cm="1">
        <f t="array" ref="J1434">_xlfn.XLOOKUP(TEXT(A1434, "mmm-yy"), TEXT([2]GASOLINE!$B$5:$B$208, "mmm-yy"), [2]GASOLINE!$IR$5:$IR$208, "Not Found")</f>
        <v>-389.19244988750734</v>
      </c>
      <c r="K1434" cm="1">
        <f t="array" ref="K1434">_xlfn.XLOOKUP(TEXT(A1434, "mmm-yy"), TEXT([2]GASOLINE!$B$5:$B$208, "mmm-yy"), [2]GASOLINE!$IK$5:$IK$208, "Not Found")</f>
        <v>147.52023916407794</v>
      </c>
      <c r="L1434">
        <f t="shared" si="22"/>
        <v>1</v>
      </c>
      <c r="M1434" cm="1">
        <f t="array" ref="M1434">_xlfn.XLOOKUP(TEXT(A1434, "mmm-yy"), TEXT([2]GASOLINE!$B$5:$B$208, "mmm-yy"), [2]GASOLINE!$C$5:$C$208, "Not Found")</f>
        <v>7050.2947285372784</v>
      </c>
      <c r="N1434" cm="1">
        <f t="array" ref="N1434">_xlfn.XLOOKUP(TEXT(A1434, "mmm-yy"), TEXT([2]RUNS!$B$5:$B$208, "mmm-yy"), [2]RUNS!$BM$5:$BM$208, "Not Found")</f>
        <v>0.76642429740741247</v>
      </c>
    </row>
    <row r="1435" spans="1:14" x14ac:dyDescent="0.25">
      <c r="A1435" s="1">
        <f>'[1]Global_Spot Prices'!$B2744</f>
        <v>44012</v>
      </c>
      <c r="B1435">
        <f ca="1">_xlfn.XLOOKUP(A1435,'[1]Global_Spot Prices'!$B:$B,'[1]Global_Spot Prices'!$BS:$BS)</f>
        <v>1.490000000000002</v>
      </c>
      <c r="C1435">
        <f ca="1">_xlfn.XLOOKUP(A1435,'[1]Global_Spot Prices'!$B:$B,'[1]Global_Spot Prices'!$E:$E)</f>
        <v>42.05</v>
      </c>
      <c r="D1435">
        <f>_xlfn.XLOOKUP(A1435,'[1]Global_Spot Prices'!$B:$B,'[1]Global_Spot Prices'!$D:$D)</f>
        <v>41.83</v>
      </c>
      <c r="E1435">
        <f>_xlfn.XLOOKUP(A1435,'[1]Global_Spot Prices'!$B:$B,'[1]Global_Spot Prices'!$H:$H)</f>
        <v>41.73</v>
      </c>
      <c r="F1435">
        <f>_xlfn.XLOOKUP(A1435,'[1]Global_Spot Prices'!$B:$B,'[1]Global_Spot Prices'!$I:$I)</f>
        <v>43.54</v>
      </c>
      <c r="G1435" cm="1">
        <f t="array" ref="G1435">_xlfn.XLOOKUP(TEXT(A1435, "mmm-yy"), TEXT([2]RUNS!$B$5:$B$208, "mmm-yy"), [2]RUNS!$D$5:$D$208, "Not Found")</f>
        <v>28090.906706146743</v>
      </c>
      <c r="H1435" cm="1">
        <f t="array" ref="H1435">SUMPRODUCT(
    --(TEXT('[3]Global Weekly Stock (EWSuez'!$B$4:$B$2000,"mmm-yy")=TEXT(A1435,"mmm-yy")),
    '[3]Global Weekly Stock (EWSuez'!$E$4:$E$2000)
/
SUMPRODUCT(
    --(TEXT('[3]Global Weekly Stock (EWSuez'!$B$4:$B$2000,"mmm-yy")=TEXT(A1435,"mmm-yy"))
)</f>
        <v>15162.75</v>
      </c>
      <c r="I1435">
        <f>_xlfn.XLOOKUP(A1435,[1]ForwardDeriv!$D:$D,[1]ForwardDeriv!$AJ:$AJ)</f>
        <v>0.14999999999999858</v>
      </c>
      <c r="J1435" cm="1">
        <f t="array" ref="J1435">_xlfn.XLOOKUP(TEXT(A1435, "mmm-yy"), TEXT([2]GASOLINE!$B$5:$B$208, "mmm-yy"), [2]GASOLINE!$IR$5:$IR$208, "Not Found")</f>
        <v>-389.19244988750734</v>
      </c>
      <c r="K1435" cm="1">
        <f t="array" ref="K1435">_xlfn.XLOOKUP(TEXT(A1435, "mmm-yy"), TEXT([2]GASOLINE!$B$5:$B$208, "mmm-yy"), [2]GASOLINE!$IK$5:$IK$208, "Not Found")</f>
        <v>147.52023916407794</v>
      </c>
      <c r="L1435">
        <f t="shared" si="22"/>
        <v>1</v>
      </c>
      <c r="M1435" cm="1">
        <f t="array" ref="M1435">_xlfn.XLOOKUP(TEXT(A1435, "mmm-yy"), TEXT([2]GASOLINE!$B$5:$B$208, "mmm-yy"), [2]GASOLINE!$C$5:$C$208, "Not Found")</f>
        <v>7050.2947285372784</v>
      </c>
      <c r="N1435" cm="1">
        <f t="array" ref="N1435">_xlfn.XLOOKUP(TEXT(A1435, "mmm-yy"), TEXT([2]RUNS!$B$5:$B$208, "mmm-yy"), [2]RUNS!$BM$5:$BM$208, "Not Found")</f>
        <v>0.76642429740741247</v>
      </c>
    </row>
    <row r="1436" spans="1:14" x14ac:dyDescent="0.25">
      <c r="A1436" s="1">
        <f>'[1]Global_Spot Prices'!$B2745</f>
        <v>44013</v>
      </c>
      <c r="B1436">
        <f>_xlfn.XLOOKUP(A1436,'[1]Global_Spot Prices'!$B:$B,'[1]Global_Spot Prices'!$BS:$BS)</f>
        <v>1.980000000000004</v>
      </c>
      <c r="C1436">
        <f>_xlfn.XLOOKUP(A1436,'[1]Global_Spot Prices'!$B:$B,'[1]Global_Spot Prices'!$E:$E)</f>
        <v>42.66</v>
      </c>
      <c r="D1436">
        <f>_xlfn.XLOOKUP(A1436,'[1]Global_Spot Prices'!$B:$B,'[1]Global_Spot Prices'!$D:$D)</f>
        <v>42.56</v>
      </c>
      <c r="E1436">
        <f>_xlfn.XLOOKUP(A1436,'[1]Global_Spot Prices'!$B:$B,'[1]Global_Spot Prices'!$H:$H)</f>
        <v>43.6</v>
      </c>
      <c r="F1436">
        <f>_xlfn.XLOOKUP(A1436,'[1]Global_Spot Prices'!$B:$B,'[1]Global_Spot Prices'!$I:$I)</f>
        <v>44.64</v>
      </c>
      <c r="G1436" cm="1">
        <f t="array" ref="G1436">_xlfn.XLOOKUP(TEXT(A1436, "mmm-yy"), TEXT([2]RUNS!$B$5:$B$208, "mmm-yy"), [2]RUNS!$D$5:$D$208, "Not Found")</f>
        <v>27960.283342449427</v>
      </c>
      <c r="H1436" cm="1">
        <f t="array" ref="H1436">SUMPRODUCT(
    --(TEXT('[3]Global Weekly Stock (EWSuez'!$B$4:$B$2000,"mmm-yy")=TEXT(A1436,"mmm-yy")),
    '[3]Global Weekly Stock (EWSuez'!$E$4:$E$2000)
/
SUMPRODUCT(
    --(TEXT('[3]Global Weekly Stock (EWSuez'!$B$4:$B$2000,"mmm-yy")=TEXT(A1436,"mmm-yy"))
)</f>
        <v>15999.4</v>
      </c>
      <c r="I1436">
        <f>_xlfn.XLOOKUP(A1436,[1]ForwardDeriv!$D:$D,[1]ForwardDeriv!$AJ:$AJ)</f>
        <v>0.35000000000000142</v>
      </c>
      <c r="J1436" cm="1">
        <f t="array" ref="J1436">_xlfn.XLOOKUP(TEXT(A1436, "mmm-yy"), TEXT([2]GASOLINE!$B$5:$B$208, "mmm-yy"), [2]GASOLINE!$IR$5:$IR$208, "Not Found")</f>
        <v>-266.4044128701118</v>
      </c>
      <c r="K1436" cm="1">
        <f t="array" ref="K1436">_xlfn.XLOOKUP(TEXT(A1436, "mmm-yy"), TEXT([2]GASOLINE!$B$5:$B$208, "mmm-yy"), [2]GASOLINE!$IK$5:$IK$208, "Not Found")</f>
        <v>145.40967684550256</v>
      </c>
      <c r="L1436">
        <f t="shared" si="22"/>
        <v>1</v>
      </c>
      <c r="M1436" cm="1">
        <f t="array" ref="M1436">_xlfn.XLOOKUP(TEXT(A1436, "mmm-yy"), TEXT([2]GASOLINE!$B$5:$B$208, "mmm-yy"), [2]GASOLINE!$C$5:$C$208, "Not Found")</f>
        <v>7155.3817379312413</v>
      </c>
      <c r="N1436" cm="1">
        <f t="array" ref="N1436">_xlfn.XLOOKUP(TEXT(A1436, "mmm-yy"), TEXT([2]RUNS!$B$5:$B$208, "mmm-yy"), [2]RUNS!$BM$5:$BM$208, "Not Found")</f>
        <v>0.7628604067578878</v>
      </c>
    </row>
    <row r="1437" spans="1:14" x14ac:dyDescent="0.25">
      <c r="A1437" s="1">
        <f>'[1]Global_Spot Prices'!$B2746</f>
        <v>44014</v>
      </c>
      <c r="B1437">
        <f>_xlfn.XLOOKUP(A1437,'[1]Global_Spot Prices'!$B:$B,'[1]Global_Spot Prices'!$BS:$BS)</f>
        <v>1.0999999999999943</v>
      </c>
      <c r="C1437">
        <f ca="1">_xlfn.XLOOKUP(A1437,'[1]Global_Spot Prices'!$B:$B,'[1]Global_Spot Prices'!$E:$E)</f>
        <v>42.81</v>
      </c>
      <c r="D1437">
        <f>_xlfn.XLOOKUP(A1437,'[1]Global_Spot Prices'!$B:$B,'[1]Global_Spot Prices'!$D:$D)</f>
        <v>43.12</v>
      </c>
      <c r="E1437">
        <f>_xlfn.XLOOKUP(A1437,'[1]Global_Spot Prices'!$B:$B,'[1]Global_Spot Prices'!$H:$H)</f>
        <v>43.78</v>
      </c>
      <c r="F1437">
        <f>_xlfn.XLOOKUP(A1437,'[1]Global_Spot Prices'!$B:$B,'[1]Global_Spot Prices'!$I:$I)</f>
        <v>43.91</v>
      </c>
      <c r="G1437" cm="1">
        <f t="array" ref="G1437">_xlfn.XLOOKUP(TEXT(A1437, "mmm-yy"), TEXT([2]RUNS!$B$5:$B$208, "mmm-yy"), [2]RUNS!$D$5:$D$208, "Not Found")</f>
        <v>27960.283342449427</v>
      </c>
      <c r="H1437" cm="1">
        <f t="array" ref="H1437">SUMPRODUCT(
    --(TEXT('[3]Global Weekly Stock (EWSuez'!$B$4:$B$2000,"mmm-yy")=TEXT(A1437,"mmm-yy")),
    '[3]Global Weekly Stock (EWSuez'!$E$4:$E$2000)
/
SUMPRODUCT(
    --(TEXT('[3]Global Weekly Stock (EWSuez'!$B$4:$B$2000,"mmm-yy")=TEXT(A1437,"mmm-yy"))
)</f>
        <v>15999.4</v>
      </c>
      <c r="I1437">
        <f>_xlfn.XLOOKUP(A1437,[1]ForwardDeriv!$D:$D,[1]ForwardDeriv!$AJ:$AJ)</f>
        <v>0.17999999999999972</v>
      </c>
      <c r="J1437" cm="1">
        <f t="array" ref="J1437">_xlfn.XLOOKUP(TEXT(A1437, "mmm-yy"), TEXT([2]GASOLINE!$B$5:$B$208, "mmm-yy"), [2]GASOLINE!$IR$5:$IR$208, "Not Found")</f>
        <v>-266.4044128701118</v>
      </c>
      <c r="K1437" cm="1">
        <f t="array" ref="K1437">_xlfn.XLOOKUP(TEXT(A1437, "mmm-yy"), TEXT([2]GASOLINE!$B$5:$B$208, "mmm-yy"), [2]GASOLINE!$IK$5:$IK$208, "Not Found")</f>
        <v>145.40967684550256</v>
      </c>
      <c r="L1437">
        <f t="shared" si="22"/>
        <v>1</v>
      </c>
      <c r="M1437" cm="1">
        <f t="array" ref="M1437">_xlfn.XLOOKUP(TEXT(A1437, "mmm-yy"), TEXT([2]GASOLINE!$B$5:$B$208, "mmm-yy"), [2]GASOLINE!$C$5:$C$208, "Not Found")</f>
        <v>7155.3817379312413</v>
      </c>
      <c r="N1437" cm="1">
        <f t="array" ref="N1437">_xlfn.XLOOKUP(TEXT(A1437, "mmm-yy"), TEXT([2]RUNS!$B$5:$B$208, "mmm-yy"), [2]RUNS!$BM$5:$BM$208, "Not Found")</f>
        <v>0.7628604067578878</v>
      </c>
    </row>
    <row r="1438" spans="1:14" x14ac:dyDescent="0.25">
      <c r="A1438" s="1">
        <f>'[1]Global_Spot Prices'!$B2747</f>
        <v>44015</v>
      </c>
      <c r="B1438">
        <f>_xlfn.XLOOKUP(A1438,'[1]Global_Spot Prices'!$B:$B,'[1]Global_Spot Prices'!$BS:$BS)</f>
        <v>2</v>
      </c>
      <c r="C1438">
        <f>_xlfn.XLOOKUP(A1438,'[1]Global_Spot Prices'!$B:$B,'[1]Global_Spot Prices'!$E:$E)</f>
        <v>42.7</v>
      </c>
      <c r="D1438">
        <f>_xlfn.XLOOKUP(A1438,'[1]Global_Spot Prices'!$B:$B,'[1]Global_Spot Prices'!$D:$D)</f>
        <v>43.145000000000003</v>
      </c>
      <c r="E1438">
        <f>_xlfn.XLOOKUP(A1438,'[1]Global_Spot Prices'!$B:$B,'[1]Global_Spot Prices'!$H:$H)</f>
        <v>43.65</v>
      </c>
      <c r="F1438">
        <f>_xlfn.XLOOKUP(A1438,'[1]Global_Spot Prices'!$B:$B,'[1]Global_Spot Prices'!$I:$I)</f>
        <v>44.7</v>
      </c>
      <c r="G1438" cm="1">
        <f t="array" ref="G1438">_xlfn.XLOOKUP(TEXT(A1438, "mmm-yy"), TEXT([2]RUNS!$B$5:$B$208, "mmm-yy"), [2]RUNS!$D$5:$D$208, "Not Found")</f>
        <v>27960.283342449427</v>
      </c>
      <c r="H1438" cm="1">
        <f t="array" ref="H1438">SUMPRODUCT(
    --(TEXT('[3]Global Weekly Stock (EWSuez'!$B$4:$B$2000,"mmm-yy")=TEXT(A1438,"mmm-yy")),
    '[3]Global Weekly Stock (EWSuez'!$E$4:$E$2000)
/
SUMPRODUCT(
    --(TEXT('[3]Global Weekly Stock (EWSuez'!$B$4:$B$2000,"mmm-yy")=TEXT(A1438,"mmm-yy"))
)</f>
        <v>15999.4</v>
      </c>
      <c r="I1438">
        <f>_xlfn.XLOOKUP(A1438,[1]ForwardDeriv!$D:$D,[1]ForwardDeriv!$AJ:$AJ)</f>
        <v>0.19000000000000483</v>
      </c>
      <c r="J1438" cm="1">
        <f t="array" ref="J1438">_xlfn.XLOOKUP(TEXT(A1438, "mmm-yy"), TEXT([2]GASOLINE!$B$5:$B$208, "mmm-yy"), [2]GASOLINE!$IR$5:$IR$208, "Not Found")</f>
        <v>-266.4044128701118</v>
      </c>
      <c r="K1438" cm="1">
        <f t="array" ref="K1438">_xlfn.XLOOKUP(TEXT(A1438, "mmm-yy"), TEXT([2]GASOLINE!$B$5:$B$208, "mmm-yy"), [2]GASOLINE!$IK$5:$IK$208, "Not Found")</f>
        <v>145.40967684550256</v>
      </c>
      <c r="L1438">
        <f t="shared" si="22"/>
        <v>1</v>
      </c>
      <c r="M1438" cm="1">
        <f t="array" ref="M1438">_xlfn.XLOOKUP(TEXT(A1438, "mmm-yy"), TEXT([2]GASOLINE!$B$5:$B$208, "mmm-yy"), [2]GASOLINE!$C$5:$C$208, "Not Found")</f>
        <v>7155.3817379312413</v>
      </c>
      <c r="N1438" cm="1">
        <f t="array" ref="N1438">_xlfn.XLOOKUP(TEXT(A1438, "mmm-yy"), TEXT([2]RUNS!$B$5:$B$208, "mmm-yy"), [2]RUNS!$BM$5:$BM$208, "Not Found")</f>
        <v>0.7628604067578878</v>
      </c>
    </row>
    <row r="1439" spans="1:14" x14ac:dyDescent="0.25">
      <c r="A1439" s="1">
        <f>'[1]Global_Spot Prices'!$B2748</f>
        <v>44018</v>
      </c>
      <c r="B1439">
        <f>_xlfn.XLOOKUP(A1439,'[1]Global_Spot Prices'!$B:$B,'[1]Global_Spot Prices'!$BS:$BS)</f>
        <v>2.1600000000000037</v>
      </c>
      <c r="C1439">
        <f>_xlfn.XLOOKUP(A1439,'[1]Global_Spot Prices'!$B:$B,'[1]Global_Spot Prices'!$E:$E)</f>
        <v>43.69</v>
      </c>
      <c r="D1439">
        <f>_xlfn.XLOOKUP(A1439,'[1]Global_Spot Prices'!$B:$B,'[1]Global_Spot Prices'!$D:$D)</f>
        <v>43.424999999999997</v>
      </c>
      <c r="E1439">
        <f>_xlfn.XLOOKUP(A1439,'[1]Global_Spot Prices'!$B:$B,'[1]Global_Spot Prices'!$H:$H)</f>
        <v>45.34</v>
      </c>
      <c r="F1439">
        <f>_xlfn.XLOOKUP(A1439,'[1]Global_Spot Prices'!$B:$B,'[1]Global_Spot Prices'!$I:$I)</f>
        <v>45.85</v>
      </c>
      <c r="G1439" cm="1">
        <f t="array" ref="G1439">_xlfn.XLOOKUP(TEXT(A1439, "mmm-yy"), TEXT([2]RUNS!$B$5:$B$208, "mmm-yy"), [2]RUNS!$D$5:$D$208, "Not Found")</f>
        <v>27960.283342449427</v>
      </c>
      <c r="H1439" cm="1">
        <f t="array" ref="H1439">SUMPRODUCT(
    --(TEXT('[3]Global Weekly Stock (EWSuez'!$B$4:$B$2000,"mmm-yy")=TEXT(A1439,"mmm-yy")),
    '[3]Global Weekly Stock (EWSuez'!$E$4:$E$2000)
/
SUMPRODUCT(
    --(TEXT('[3]Global Weekly Stock (EWSuez'!$B$4:$B$2000,"mmm-yy")=TEXT(A1439,"mmm-yy"))
)</f>
        <v>15999.4</v>
      </c>
      <c r="I1439">
        <f>_xlfn.XLOOKUP(A1439,[1]ForwardDeriv!$D:$D,[1]ForwardDeriv!$AJ:$AJ)</f>
        <v>0.18000000000000682</v>
      </c>
      <c r="J1439" cm="1">
        <f t="array" ref="J1439">_xlfn.XLOOKUP(TEXT(A1439, "mmm-yy"), TEXT([2]GASOLINE!$B$5:$B$208, "mmm-yy"), [2]GASOLINE!$IR$5:$IR$208, "Not Found")</f>
        <v>-266.4044128701118</v>
      </c>
      <c r="K1439" cm="1">
        <f t="array" ref="K1439">_xlfn.XLOOKUP(TEXT(A1439, "mmm-yy"), TEXT([2]GASOLINE!$B$5:$B$208, "mmm-yy"), [2]GASOLINE!$IK$5:$IK$208, "Not Found")</f>
        <v>145.40967684550256</v>
      </c>
      <c r="L1439">
        <f t="shared" si="22"/>
        <v>1</v>
      </c>
      <c r="M1439" cm="1">
        <f t="array" ref="M1439">_xlfn.XLOOKUP(TEXT(A1439, "mmm-yy"), TEXT([2]GASOLINE!$B$5:$B$208, "mmm-yy"), [2]GASOLINE!$C$5:$C$208, "Not Found")</f>
        <v>7155.3817379312413</v>
      </c>
      <c r="N1439" cm="1">
        <f t="array" ref="N1439">_xlfn.XLOOKUP(TEXT(A1439, "mmm-yy"), TEXT([2]RUNS!$B$5:$B$208, "mmm-yy"), [2]RUNS!$BM$5:$BM$208, "Not Found")</f>
        <v>0.7628604067578878</v>
      </c>
    </row>
    <row r="1440" spans="1:14" x14ac:dyDescent="0.25">
      <c r="A1440" s="1">
        <f>'[1]Global_Spot Prices'!$B2749</f>
        <v>44019</v>
      </c>
      <c r="B1440">
        <f>_xlfn.XLOOKUP(A1440,'[1]Global_Spot Prices'!$B:$B,'[1]Global_Spot Prices'!$BS:$BS)</f>
        <v>1.6499999999999986</v>
      </c>
      <c r="C1440">
        <f>_xlfn.XLOOKUP(A1440,'[1]Global_Spot Prices'!$B:$B,'[1]Global_Spot Prices'!$E:$E)</f>
        <v>42.86</v>
      </c>
      <c r="D1440">
        <f>_xlfn.XLOOKUP(A1440,'[1]Global_Spot Prices'!$B:$B,'[1]Global_Spot Prices'!$D:$D)</f>
        <v>43.545000000000002</v>
      </c>
      <c r="E1440">
        <f>_xlfn.XLOOKUP(A1440,'[1]Global_Spot Prices'!$B:$B,'[1]Global_Spot Prices'!$H:$H)</f>
        <v>44.5</v>
      </c>
      <c r="F1440">
        <f>_xlfn.XLOOKUP(A1440,'[1]Global_Spot Prices'!$B:$B,'[1]Global_Spot Prices'!$I:$I)</f>
        <v>44.51</v>
      </c>
      <c r="G1440" cm="1">
        <f t="array" ref="G1440">_xlfn.XLOOKUP(TEXT(A1440, "mmm-yy"), TEXT([2]RUNS!$B$5:$B$208, "mmm-yy"), [2]RUNS!$D$5:$D$208, "Not Found")</f>
        <v>27960.283342449427</v>
      </c>
      <c r="H1440" cm="1">
        <f t="array" ref="H1440">SUMPRODUCT(
    --(TEXT('[3]Global Weekly Stock (EWSuez'!$B$4:$B$2000,"mmm-yy")=TEXT(A1440,"mmm-yy")),
    '[3]Global Weekly Stock (EWSuez'!$E$4:$E$2000)
/
SUMPRODUCT(
    --(TEXT('[3]Global Weekly Stock (EWSuez'!$B$4:$B$2000,"mmm-yy")=TEXT(A1440,"mmm-yy"))
)</f>
        <v>15999.4</v>
      </c>
      <c r="I1440">
        <f>_xlfn.XLOOKUP(A1440,[1]ForwardDeriv!$D:$D,[1]ForwardDeriv!$AJ:$AJ)</f>
        <v>1.9999999999996021E-2</v>
      </c>
      <c r="J1440" cm="1">
        <f t="array" ref="J1440">_xlfn.XLOOKUP(TEXT(A1440, "mmm-yy"), TEXT([2]GASOLINE!$B$5:$B$208, "mmm-yy"), [2]GASOLINE!$IR$5:$IR$208, "Not Found")</f>
        <v>-266.4044128701118</v>
      </c>
      <c r="K1440" cm="1">
        <f t="array" ref="K1440">_xlfn.XLOOKUP(TEXT(A1440, "mmm-yy"), TEXT([2]GASOLINE!$B$5:$B$208, "mmm-yy"), [2]GASOLINE!$IK$5:$IK$208, "Not Found")</f>
        <v>145.40967684550256</v>
      </c>
      <c r="L1440">
        <f t="shared" si="22"/>
        <v>1</v>
      </c>
      <c r="M1440" cm="1">
        <f t="array" ref="M1440">_xlfn.XLOOKUP(TEXT(A1440, "mmm-yy"), TEXT([2]GASOLINE!$B$5:$B$208, "mmm-yy"), [2]GASOLINE!$C$5:$C$208, "Not Found")</f>
        <v>7155.3817379312413</v>
      </c>
      <c r="N1440" cm="1">
        <f t="array" ref="N1440">_xlfn.XLOOKUP(TEXT(A1440, "mmm-yy"), TEXT([2]RUNS!$B$5:$B$208, "mmm-yy"), [2]RUNS!$BM$5:$BM$208, "Not Found")</f>
        <v>0.7628604067578878</v>
      </c>
    </row>
    <row r="1441" spans="1:14" x14ac:dyDescent="0.25">
      <c r="A1441" s="1">
        <f>'[1]Global_Spot Prices'!$B2750</f>
        <v>44020</v>
      </c>
      <c r="B1441">
        <f>_xlfn.XLOOKUP(A1441,'[1]Global_Spot Prices'!$B:$B,'[1]Global_Spot Prices'!$BS:$BS)</f>
        <v>1.875</v>
      </c>
      <c r="C1441">
        <f>_xlfn.XLOOKUP(A1441,'[1]Global_Spot Prices'!$B:$B,'[1]Global_Spot Prices'!$E:$E)</f>
        <v>43.305</v>
      </c>
      <c r="D1441">
        <f>_xlfn.XLOOKUP(A1441,'[1]Global_Spot Prices'!$B:$B,'[1]Global_Spot Prices'!$D:$D)</f>
        <v>43.225000000000001</v>
      </c>
      <c r="E1441">
        <f>_xlfn.XLOOKUP(A1441,'[1]Global_Spot Prices'!$B:$B,'[1]Global_Spot Prices'!$H:$H)</f>
        <v>44.52</v>
      </c>
      <c r="F1441">
        <f>_xlfn.XLOOKUP(A1441,'[1]Global_Spot Prices'!$B:$B,'[1]Global_Spot Prices'!$I:$I)</f>
        <v>45.18</v>
      </c>
      <c r="G1441" cm="1">
        <f t="array" ref="G1441">_xlfn.XLOOKUP(TEXT(A1441, "mmm-yy"), TEXT([2]RUNS!$B$5:$B$208, "mmm-yy"), [2]RUNS!$D$5:$D$208, "Not Found")</f>
        <v>27960.283342449427</v>
      </c>
      <c r="H1441" cm="1">
        <f t="array" ref="H1441">SUMPRODUCT(
    --(TEXT('[3]Global Weekly Stock (EWSuez'!$B$4:$B$2000,"mmm-yy")=TEXT(A1441,"mmm-yy")),
    '[3]Global Weekly Stock (EWSuez'!$E$4:$E$2000)
/
SUMPRODUCT(
    --(TEXT('[3]Global Weekly Stock (EWSuez'!$B$4:$B$2000,"mmm-yy")=TEXT(A1441,"mmm-yy"))
)</f>
        <v>15999.4</v>
      </c>
      <c r="I1441">
        <f>_xlfn.XLOOKUP(A1441,[1]ForwardDeriv!$D:$D,[1]ForwardDeriv!$AJ:$AJ)</f>
        <v>9.0000000000003411E-2</v>
      </c>
      <c r="J1441" cm="1">
        <f t="array" ref="J1441">_xlfn.XLOOKUP(TEXT(A1441, "mmm-yy"), TEXT([2]GASOLINE!$B$5:$B$208, "mmm-yy"), [2]GASOLINE!$IR$5:$IR$208, "Not Found")</f>
        <v>-266.4044128701118</v>
      </c>
      <c r="K1441" cm="1">
        <f t="array" ref="K1441">_xlfn.XLOOKUP(TEXT(A1441, "mmm-yy"), TEXT([2]GASOLINE!$B$5:$B$208, "mmm-yy"), [2]GASOLINE!$IK$5:$IK$208, "Not Found")</f>
        <v>145.40967684550256</v>
      </c>
      <c r="L1441">
        <f t="shared" si="22"/>
        <v>1</v>
      </c>
      <c r="M1441" cm="1">
        <f t="array" ref="M1441">_xlfn.XLOOKUP(TEXT(A1441, "mmm-yy"), TEXT([2]GASOLINE!$B$5:$B$208, "mmm-yy"), [2]GASOLINE!$C$5:$C$208, "Not Found")</f>
        <v>7155.3817379312413</v>
      </c>
      <c r="N1441" cm="1">
        <f t="array" ref="N1441">_xlfn.XLOOKUP(TEXT(A1441, "mmm-yy"), TEXT([2]RUNS!$B$5:$B$208, "mmm-yy"), [2]RUNS!$BM$5:$BM$208, "Not Found")</f>
        <v>0.7628604067578878</v>
      </c>
    </row>
    <row r="1442" spans="1:14" x14ac:dyDescent="0.25">
      <c r="A1442" s="1">
        <f>'[1]Global_Spot Prices'!$B2751</f>
        <v>44021</v>
      </c>
      <c r="B1442">
        <f>_xlfn.XLOOKUP(A1442,'[1]Global_Spot Prices'!$B:$B,'[1]Global_Spot Prices'!$BS:$BS)</f>
        <v>2.3900000000000006</v>
      </c>
      <c r="C1442">
        <f>_xlfn.XLOOKUP(A1442,'[1]Global_Spot Prices'!$B:$B,'[1]Global_Spot Prices'!$E:$E)</f>
        <v>43.66</v>
      </c>
      <c r="D1442">
        <f>_xlfn.XLOOKUP(A1442,'[1]Global_Spot Prices'!$B:$B,'[1]Global_Spot Prices'!$D:$D)</f>
        <v>42.625</v>
      </c>
      <c r="E1442">
        <f>_xlfn.XLOOKUP(A1442,'[1]Global_Spot Prices'!$B:$B,'[1]Global_Spot Prices'!$H:$H)</f>
        <v>45.04</v>
      </c>
      <c r="F1442">
        <f>_xlfn.XLOOKUP(A1442,'[1]Global_Spot Prices'!$B:$B,'[1]Global_Spot Prices'!$I:$I)</f>
        <v>46.05</v>
      </c>
      <c r="G1442" cm="1">
        <f t="array" ref="G1442">_xlfn.XLOOKUP(TEXT(A1442, "mmm-yy"), TEXT([2]RUNS!$B$5:$B$208, "mmm-yy"), [2]RUNS!$D$5:$D$208, "Not Found")</f>
        <v>27960.283342449427</v>
      </c>
      <c r="H1442" cm="1">
        <f t="array" ref="H1442">SUMPRODUCT(
    --(TEXT('[3]Global Weekly Stock (EWSuez'!$B$4:$B$2000,"mmm-yy")=TEXT(A1442,"mmm-yy")),
    '[3]Global Weekly Stock (EWSuez'!$E$4:$E$2000)
/
SUMPRODUCT(
    --(TEXT('[3]Global Weekly Stock (EWSuez'!$B$4:$B$2000,"mmm-yy")=TEXT(A1442,"mmm-yy"))
)</f>
        <v>15999.4</v>
      </c>
      <c r="I1442">
        <f>_xlfn.XLOOKUP(A1442,[1]ForwardDeriv!$D:$D,[1]ForwardDeriv!$AJ:$AJ)</f>
        <v>0.14999999999999858</v>
      </c>
      <c r="J1442" cm="1">
        <f t="array" ref="J1442">_xlfn.XLOOKUP(TEXT(A1442, "mmm-yy"), TEXT([2]GASOLINE!$B$5:$B$208, "mmm-yy"), [2]GASOLINE!$IR$5:$IR$208, "Not Found")</f>
        <v>-266.4044128701118</v>
      </c>
      <c r="K1442" cm="1">
        <f t="array" ref="K1442">_xlfn.XLOOKUP(TEXT(A1442, "mmm-yy"), TEXT([2]GASOLINE!$B$5:$B$208, "mmm-yy"), [2]GASOLINE!$IK$5:$IK$208, "Not Found")</f>
        <v>145.40967684550256</v>
      </c>
      <c r="L1442">
        <f t="shared" si="22"/>
        <v>1</v>
      </c>
      <c r="M1442" cm="1">
        <f t="array" ref="M1442">_xlfn.XLOOKUP(TEXT(A1442, "mmm-yy"), TEXT([2]GASOLINE!$B$5:$B$208, "mmm-yy"), [2]GASOLINE!$C$5:$C$208, "Not Found")</f>
        <v>7155.3817379312413</v>
      </c>
      <c r="N1442" cm="1">
        <f t="array" ref="N1442">_xlfn.XLOOKUP(TEXT(A1442, "mmm-yy"), TEXT([2]RUNS!$B$5:$B$208, "mmm-yy"), [2]RUNS!$BM$5:$BM$208, "Not Found")</f>
        <v>0.7628604067578878</v>
      </c>
    </row>
    <row r="1443" spans="1:14" x14ac:dyDescent="0.25">
      <c r="A1443" s="1">
        <f>'[1]Global_Spot Prices'!$B2752</f>
        <v>44022</v>
      </c>
      <c r="B1443" t="e">
        <f>_xlfn.XLOOKUP(A1443,'[1]Global_Spot Prices'!$B:$B,'[1]Global_Spot Prices'!$BS:$BS)</f>
        <v>#N/A</v>
      </c>
      <c r="C1443" t="str">
        <f>_xlfn.XLOOKUP(A1443,'[1]Global_Spot Prices'!$B:$B,'[1]Global_Spot Prices'!$E:$E)</f>
        <v/>
      </c>
      <c r="D1443">
        <f>_xlfn.XLOOKUP(A1443,'[1]Global_Spot Prices'!$B:$B,'[1]Global_Spot Prices'!$D:$D)</f>
        <v>43.12</v>
      </c>
      <c r="E1443">
        <f>_xlfn.XLOOKUP(A1443,'[1]Global_Spot Prices'!$B:$B,'[1]Global_Spot Prices'!$H:$H)</f>
        <v>0</v>
      </c>
      <c r="F1443">
        <f>_xlfn.XLOOKUP(A1443,'[1]Global_Spot Prices'!$B:$B,'[1]Global_Spot Prices'!$I:$I)</f>
        <v>0</v>
      </c>
      <c r="G1443" cm="1">
        <f t="array" ref="G1443">_xlfn.XLOOKUP(TEXT(A1443, "mmm-yy"), TEXT([2]RUNS!$B$5:$B$208, "mmm-yy"), [2]RUNS!$D$5:$D$208, "Not Found")</f>
        <v>27960.283342449427</v>
      </c>
      <c r="H1443" cm="1">
        <f t="array" ref="H1443">SUMPRODUCT(
    --(TEXT('[3]Global Weekly Stock (EWSuez'!$B$4:$B$2000,"mmm-yy")=TEXT(A1443,"mmm-yy")),
    '[3]Global Weekly Stock (EWSuez'!$E$4:$E$2000)
/
SUMPRODUCT(
    --(TEXT('[3]Global Weekly Stock (EWSuez'!$B$4:$B$2000,"mmm-yy")=TEXT(A1443,"mmm-yy"))
)</f>
        <v>15999.4</v>
      </c>
      <c r="I1443">
        <f>_xlfn.XLOOKUP(A1443,[1]ForwardDeriv!$D:$D,[1]ForwardDeriv!$AJ:$AJ)</f>
        <v>9.0000000000003411E-2</v>
      </c>
      <c r="J1443" cm="1">
        <f t="array" ref="J1443">_xlfn.XLOOKUP(TEXT(A1443, "mmm-yy"), TEXT([2]GASOLINE!$B$5:$B$208, "mmm-yy"), [2]GASOLINE!$IR$5:$IR$208, "Not Found")</f>
        <v>-266.4044128701118</v>
      </c>
      <c r="K1443" cm="1">
        <f t="array" ref="K1443">_xlfn.XLOOKUP(TEXT(A1443, "mmm-yy"), TEXT([2]GASOLINE!$B$5:$B$208, "mmm-yy"), [2]GASOLINE!$IK$5:$IK$208, "Not Found")</f>
        <v>145.40967684550256</v>
      </c>
      <c r="L1443">
        <f t="shared" si="22"/>
        <v>1</v>
      </c>
      <c r="M1443" cm="1">
        <f t="array" ref="M1443">_xlfn.XLOOKUP(TEXT(A1443, "mmm-yy"), TEXT([2]GASOLINE!$B$5:$B$208, "mmm-yy"), [2]GASOLINE!$C$5:$C$208, "Not Found")</f>
        <v>7155.3817379312413</v>
      </c>
      <c r="N1443" cm="1">
        <f t="array" ref="N1443">_xlfn.XLOOKUP(TEXT(A1443, "mmm-yy"), TEXT([2]RUNS!$B$5:$B$208, "mmm-yy"), [2]RUNS!$BM$5:$BM$208, "Not Found")</f>
        <v>0.7628604067578878</v>
      </c>
    </row>
    <row r="1444" spans="1:14" x14ac:dyDescent="0.25">
      <c r="A1444" s="1">
        <f>'[1]Global_Spot Prices'!$B2753</f>
        <v>44025</v>
      </c>
      <c r="B1444">
        <f>_xlfn.XLOOKUP(A1444,'[1]Global_Spot Prices'!$B:$B,'[1]Global_Spot Prices'!$BS:$BS)</f>
        <v>1.4299999999999997</v>
      </c>
      <c r="C1444">
        <f>_xlfn.XLOOKUP(A1444,'[1]Global_Spot Prices'!$B:$B,'[1]Global_Spot Prices'!$E:$E)</f>
        <v>43.35</v>
      </c>
      <c r="D1444">
        <f>_xlfn.XLOOKUP(A1444,'[1]Global_Spot Prices'!$B:$B,'[1]Global_Spot Prices'!$D:$D)</f>
        <v>43.64</v>
      </c>
      <c r="E1444">
        <f>_xlfn.XLOOKUP(A1444,'[1]Global_Spot Prices'!$B:$B,'[1]Global_Spot Prices'!$H:$H)</f>
        <v>43.46</v>
      </c>
      <c r="F1444">
        <f>_xlfn.XLOOKUP(A1444,'[1]Global_Spot Prices'!$B:$B,'[1]Global_Spot Prices'!$I:$I)</f>
        <v>44.78</v>
      </c>
      <c r="G1444" cm="1">
        <f t="array" ref="G1444">_xlfn.XLOOKUP(TEXT(A1444, "mmm-yy"), TEXT([2]RUNS!$B$5:$B$208, "mmm-yy"), [2]RUNS!$D$5:$D$208, "Not Found")</f>
        <v>27960.283342449427</v>
      </c>
      <c r="H1444" cm="1">
        <f t="array" ref="H1444">SUMPRODUCT(
    --(TEXT('[3]Global Weekly Stock (EWSuez'!$B$4:$B$2000,"mmm-yy")=TEXT(A1444,"mmm-yy")),
    '[3]Global Weekly Stock (EWSuez'!$E$4:$E$2000)
/
SUMPRODUCT(
    --(TEXT('[3]Global Weekly Stock (EWSuez'!$B$4:$B$2000,"mmm-yy")=TEXT(A1444,"mmm-yy"))
)</f>
        <v>15999.4</v>
      </c>
      <c r="I1444">
        <f>_xlfn.XLOOKUP(A1444,[1]ForwardDeriv!$D:$D,[1]ForwardDeriv!$AJ:$AJ)</f>
        <v>9.0000000000003411E-2</v>
      </c>
      <c r="J1444" cm="1">
        <f t="array" ref="J1444">_xlfn.XLOOKUP(TEXT(A1444, "mmm-yy"), TEXT([2]GASOLINE!$B$5:$B$208, "mmm-yy"), [2]GASOLINE!$IR$5:$IR$208, "Not Found")</f>
        <v>-266.4044128701118</v>
      </c>
      <c r="K1444" cm="1">
        <f t="array" ref="K1444">_xlfn.XLOOKUP(TEXT(A1444, "mmm-yy"), TEXT([2]GASOLINE!$B$5:$B$208, "mmm-yy"), [2]GASOLINE!$IK$5:$IK$208, "Not Found")</f>
        <v>145.40967684550256</v>
      </c>
      <c r="L1444">
        <f t="shared" si="22"/>
        <v>1</v>
      </c>
      <c r="M1444" cm="1">
        <f t="array" ref="M1444">_xlfn.XLOOKUP(TEXT(A1444, "mmm-yy"), TEXT([2]GASOLINE!$B$5:$B$208, "mmm-yy"), [2]GASOLINE!$C$5:$C$208, "Not Found")</f>
        <v>7155.3817379312413</v>
      </c>
      <c r="N1444" cm="1">
        <f t="array" ref="N1444">_xlfn.XLOOKUP(TEXT(A1444, "mmm-yy"), TEXT([2]RUNS!$B$5:$B$208, "mmm-yy"), [2]RUNS!$BM$5:$BM$208, "Not Found")</f>
        <v>0.7628604067578878</v>
      </c>
    </row>
    <row r="1445" spans="1:14" x14ac:dyDescent="0.25">
      <c r="A1445" s="1">
        <f>'[1]Global_Spot Prices'!$B2754</f>
        <v>44026</v>
      </c>
      <c r="B1445">
        <f>_xlfn.XLOOKUP(A1445,'[1]Global_Spot Prices'!$B:$B,'[1]Global_Spot Prices'!$BS:$BS)</f>
        <v>0.97999999999999687</v>
      </c>
      <c r="C1445">
        <f>_xlfn.XLOOKUP(A1445,'[1]Global_Spot Prices'!$B:$B,'[1]Global_Spot Prices'!$E:$E)</f>
        <v>42.75</v>
      </c>
      <c r="D1445">
        <f>_xlfn.XLOOKUP(A1445,'[1]Global_Spot Prices'!$B:$B,'[1]Global_Spot Prices'!$D:$D)</f>
        <v>43.67</v>
      </c>
      <c r="E1445">
        <f>_xlfn.XLOOKUP(A1445,'[1]Global_Spot Prices'!$B:$B,'[1]Global_Spot Prices'!$H:$H)</f>
        <v>42.18</v>
      </c>
      <c r="F1445">
        <f>_xlfn.XLOOKUP(A1445,'[1]Global_Spot Prices'!$B:$B,'[1]Global_Spot Prices'!$I:$I)</f>
        <v>43.73</v>
      </c>
      <c r="G1445" cm="1">
        <f t="array" ref="G1445">_xlfn.XLOOKUP(TEXT(A1445, "mmm-yy"), TEXT([2]RUNS!$B$5:$B$208, "mmm-yy"), [2]RUNS!$D$5:$D$208, "Not Found")</f>
        <v>27960.283342449427</v>
      </c>
      <c r="H1445" cm="1">
        <f t="array" ref="H1445">SUMPRODUCT(
    --(TEXT('[3]Global Weekly Stock (EWSuez'!$B$4:$B$2000,"mmm-yy")=TEXT(A1445,"mmm-yy")),
    '[3]Global Weekly Stock (EWSuez'!$E$4:$E$2000)
/
SUMPRODUCT(
    --(TEXT('[3]Global Weekly Stock (EWSuez'!$B$4:$B$2000,"mmm-yy")=TEXT(A1445,"mmm-yy"))
)</f>
        <v>15999.4</v>
      </c>
      <c r="I1445">
        <f>_xlfn.XLOOKUP(A1445,[1]ForwardDeriv!$D:$D,[1]ForwardDeriv!$AJ:$AJ)</f>
        <v>0</v>
      </c>
      <c r="J1445" cm="1">
        <f t="array" ref="J1445">_xlfn.XLOOKUP(TEXT(A1445, "mmm-yy"), TEXT([2]GASOLINE!$B$5:$B$208, "mmm-yy"), [2]GASOLINE!$IR$5:$IR$208, "Not Found")</f>
        <v>-266.4044128701118</v>
      </c>
      <c r="K1445" cm="1">
        <f t="array" ref="K1445">_xlfn.XLOOKUP(TEXT(A1445, "mmm-yy"), TEXT([2]GASOLINE!$B$5:$B$208, "mmm-yy"), [2]GASOLINE!$IK$5:$IK$208, "Not Found")</f>
        <v>145.40967684550256</v>
      </c>
      <c r="L1445">
        <f t="shared" si="22"/>
        <v>1</v>
      </c>
      <c r="M1445" cm="1">
        <f t="array" ref="M1445">_xlfn.XLOOKUP(TEXT(A1445, "mmm-yy"), TEXT([2]GASOLINE!$B$5:$B$208, "mmm-yy"), [2]GASOLINE!$C$5:$C$208, "Not Found")</f>
        <v>7155.3817379312413</v>
      </c>
      <c r="N1445" cm="1">
        <f t="array" ref="N1445">_xlfn.XLOOKUP(TEXT(A1445, "mmm-yy"), TEXT([2]RUNS!$B$5:$B$208, "mmm-yy"), [2]RUNS!$BM$5:$BM$208, "Not Found")</f>
        <v>0.7628604067578878</v>
      </c>
    </row>
    <row r="1446" spans="1:14" x14ac:dyDescent="0.25">
      <c r="A1446" s="1">
        <f>'[1]Global_Spot Prices'!$B2755</f>
        <v>44027</v>
      </c>
      <c r="B1446">
        <f>_xlfn.XLOOKUP(A1446,'[1]Global_Spot Prices'!$B:$B,'[1]Global_Spot Prices'!$BS:$BS)</f>
        <v>1.5500000000000043</v>
      </c>
      <c r="C1446">
        <f>_xlfn.XLOOKUP(A1446,'[1]Global_Spot Prices'!$B:$B,'[1]Global_Spot Prices'!$E:$E)</f>
        <v>44.15</v>
      </c>
      <c r="D1446">
        <f>_xlfn.XLOOKUP(A1446,'[1]Global_Spot Prices'!$B:$B,'[1]Global_Spot Prices'!$D:$D)</f>
        <v>44.284999999999997</v>
      </c>
      <c r="E1446">
        <f>_xlfn.XLOOKUP(A1446,'[1]Global_Spot Prices'!$B:$B,'[1]Global_Spot Prices'!$H:$H)</f>
        <v>43.43</v>
      </c>
      <c r="F1446">
        <f>_xlfn.XLOOKUP(A1446,'[1]Global_Spot Prices'!$B:$B,'[1]Global_Spot Prices'!$I:$I)</f>
        <v>45.7</v>
      </c>
      <c r="G1446" cm="1">
        <f t="array" ref="G1446">_xlfn.XLOOKUP(TEXT(A1446, "mmm-yy"), TEXT([2]RUNS!$B$5:$B$208, "mmm-yy"), [2]RUNS!$D$5:$D$208, "Not Found")</f>
        <v>27960.283342449427</v>
      </c>
      <c r="H1446" cm="1">
        <f t="array" ref="H1446">SUMPRODUCT(
    --(TEXT('[3]Global Weekly Stock (EWSuez'!$B$4:$B$2000,"mmm-yy")=TEXT(A1446,"mmm-yy")),
    '[3]Global Weekly Stock (EWSuez'!$E$4:$E$2000)
/
SUMPRODUCT(
    --(TEXT('[3]Global Weekly Stock (EWSuez'!$B$4:$B$2000,"mmm-yy")=TEXT(A1446,"mmm-yy"))
)</f>
        <v>15999.4</v>
      </c>
      <c r="I1446">
        <f>_xlfn.XLOOKUP(A1446,[1]ForwardDeriv!$D:$D,[1]ForwardDeriv!$AJ:$AJ)</f>
        <v>4.9999999999997158E-2</v>
      </c>
      <c r="J1446" cm="1">
        <f t="array" ref="J1446">_xlfn.XLOOKUP(TEXT(A1446, "mmm-yy"), TEXT([2]GASOLINE!$B$5:$B$208, "mmm-yy"), [2]GASOLINE!$IR$5:$IR$208, "Not Found")</f>
        <v>-266.4044128701118</v>
      </c>
      <c r="K1446" cm="1">
        <f t="array" ref="K1446">_xlfn.XLOOKUP(TEXT(A1446, "mmm-yy"), TEXT([2]GASOLINE!$B$5:$B$208, "mmm-yy"), [2]GASOLINE!$IK$5:$IK$208, "Not Found")</f>
        <v>145.40967684550256</v>
      </c>
      <c r="L1446">
        <f t="shared" si="22"/>
        <v>1</v>
      </c>
      <c r="M1446" cm="1">
        <f t="array" ref="M1446">_xlfn.XLOOKUP(TEXT(A1446, "mmm-yy"), TEXT([2]GASOLINE!$B$5:$B$208, "mmm-yy"), [2]GASOLINE!$C$5:$C$208, "Not Found")</f>
        <v>7155.3817379312413</v>
      </c>
      <c r="N1446" cm="1">
        <f t="array" ref="N1446">_xlfn.XLOOKUP(TEXT(A1446, "mmm-yy"), TEXT([2]RUNS!$B$5:$B$208, "mmm-yy"), [2]RUNS!$BM$5:$BM$208, "Not Found")</f>
        <v>0.7628604067578878</v>
      </c>
    </row>
    <row r="1447" spans="1:14" x14ac:dyDescent="0.25">
      <c r="A1447" s="1">
        <f>'[1]Global_Spot Prices'!$B2756</f>
        <v>44028</v>
      </c>
      <c r="B1447">
        <f>_xlfn.XLOOKUP(A1447,'[1]Global_Spot Prices'!$B:$B,'[1]Global_Spot Prices'!$BS:$BS)</f>
        <v>2.0899999999999963</v>
      </c>
      <c r="C1447">
        <f>_xlfn.XLOOKUP(A1447,'[1]Global_Spot Prices'!$B:$B,'[1]Global_Spot Prices'!$E:$E)</f>
        <v>43.35</v>
      </c>
      <c r="D1447">
        <f>_xlfn.XLOOKUP(A1447,'[1]Global_Spot Prices'!$B:$B,'[1]Global_Spot Prices'!$D:$D)</f>
        <v>44.42</v>
      </c>
      <c r="E1447">
        <f>_xlfn.XLOOKUP(A1447,'[1]Global_Spot Prices'!$B:$B,'[1]Global_Spot Prices'!$H:$H)</f>
        <v>42.68</v>
      </c>
      <c r="F1447">
        <f>_xlfn.XLOOKUP(A1447,'[1]Global_Spot Prices'!$B:$B,'[1]Global_Spot Prices'!$I:$I)</f>
        <v>45.44</v>
      </c>
      <c r="G1447" cm="1">
        <f t="array" ref="G1447">_xlfn.XLOOKUP(TEXT(A1447, "mmm-yy"), TEXT([2]RUNS!$B$5:$B$208, "mmm-yy"), [2]RUNS!$D$5:$D$208, "Not Found")</f>
        <v>27960.283342449427</v>
      </c>
      <c r="H1447" cm="1">
        <f t="array" ref="H1447">SUMPRODUCT(
    --(TEXT('[3]Global Weekly Stock (EWSuez'!$B$4:$B$2000,"mmm-yy")=TEXT(A1447,"mmm-yy")),
    '[3]Global Weekly Stock (EWSuez'!$E$4:$E$2000)
/
SUMPRODUCT(
    --(TEXT('[3]Global Weekly Stock (EWSuez'!$B$4:$B$2000,"mmm-yy")=TEXT(A1447,"mmm-yy"))
)</f>
        <v>15999.4</v>
      </c>
      <c r="I1447">
        <f>_xlfn.XLOOKUP(A1447,[1]ForwardDeriv!$D:$D,[1]ForwardDeriv!$AJ:$AJ)</f>
        <v>2.0000000000003126E-2</v>
      </c>
      <c r="J1447" cm="1">
        <f t="array" ref="J1447">_xlfn.XLOOKUP(TEXT(A1447, "mmm-yy"), TEXT([2]GASOLINE!$B$5:$B$208, "mmm-yy"), [2]GASOLINE!$IR$5:$IR$208, "Not Found")</f>
        <v>-266.4044128701118</v>
      </c>
      <c r="K1447" cm="1">
        <f t="array" ref="K1447">_xlfn.XLOOKUP(TEXT(A1447, "mmm-yy"), TEXT([2]GASOLINE!$B$5:$B$208, "mmm-yy"), [2]GASOLINE!$IK$5:$IK$208, "Not Found")</f>
        <v>145.40967684550256</v>
      </c>
      <c r="L1447">
        <f t="shared" si="22"/>
        <v>1</v>
      </c>
      <c r="M1447" cm="1">
        <f t="array" ref="M1447">_xlfn.XLOOKUP(TEXT(A1447, "mmm-yy"), TEXT([2]GASOLINE!$B$5:$B$208, "mmm-yy"), [2]GASOLINE!$C$5:$C$208, "Not Found")</f>
        <v>7155.3817379312413</v>
      </c>
      <c r="N1447" cm="1">
        <f t="array" ref="N1447">_xlfn.XLOOKUP(TEXT(A1447, "mmm-yy"), TEXT([2]RUNS!$B$5:$B$208, "mmm-yy"), [2]RUNS!$BM$5:$BM$208, "Not Found")</f>
        <v>0.7628604067578878</v>
      </c>
    </row>
    <row r="1448" spans="1:14" x14ac:dyDescent="0.25">
      <c r="A1448" s="1">
        <f>'[1]Global_Spot Prices'!$B2757</f>
        <v>44029</v>
      </c>
      <c r="B1448">
        <f>_xlfn.XLOOKUP(A1448,'[1]Global_Spot Prices'!$B:$B,'[1]Global_Spot Prices'!$BS:$BS)</f>
        <v>1.6699999999999946</v>
      </c>
      <c r="C1448">
        <f>_xlfn.XLOOKUP(A1448,'[1]Global_Spot Prices'!$B:$B,'[1]Global_Spot Prices'!$E:$E)</f>
        <v>42.84</v>
      </c>
      <c r="D1448">
        <f>_xlfn.XLOOKUP(A1448,'[1]Global_Spot Prices'!$B:$B,'[1]Global_Spot Prices'!$D:$D)</f>
        <v>43.71</v>
      </c>
      <c r="E1448">
        <f>_xlfn.XLOOKUP(A1448,'[1]Global_Spot Prices'!$B:$B,'[1]Global_Spot Prices'!$H:$H)</f>
        <v>42.13</v>
      </c>
      <c r="F1448">
        <f>_xlfn.XLOOKUP(A1448,'[1]Global_Spot Prices'!$B:$B,'[1]Global_Spot Prices'!$I:$I)</f>
        <v>44.51</v>
      </c>
      <c r="G1448" cm="1">
        <f t="array" ref="G1448">_xlfn.XLOOKUP(TEXT(A1448, "mmm-yy"), TEXT([2]RUNS!$B$5:$B$208, "mmm-yy"), [2]RUNS!$D$5:$D$208, "Not Found")</f>
        <v>27960.283342449427</v>
      </c>
      <c r="H1448" cm="1">
        <f t="array" ref="H1448">SUMPRODUCT(
    --(TEXT('[3]Global Weekly Stock (EWSuez'!$B$4:$B$2000,"mmm-yy")=TEXT(A1448,"mmm-yy")),
    '[3]Global Weekly Stock (EWSuez'!$E$4:$E$2000)
/
SUMPRODUCT(
    --(TEXT('[3]Global Weekly Stock (EWSuez'!$B$4:$B$2000,"mmm-yy")=TEXT(A1448,"mmm-yy"))
)</f>
        <v>15999.4</v>
      </c>
      <c r="I1448">
        <f>_xlfn.XLOOKUP(A1448,[1]ForwardDeriv!$D:$D,[1]ForwardDeriv!$AJ:$AJ)</f>
        <v>-7.0000000000000284E-2</v>
      </c>
      <c r="J1448" cm="1">
        <f t="array" ref="J1448">_xlfn.XLOOKUP(TEXT(A1448, "mmm-yy"), TEXT([2]GASOLINE!$B$5:$B$208, "mmm-yy"), [2]GASOLINE!$IR$5:$IR$208, "Not Found")</f>
        <v>-266.4044128701118</v>
      </c>
      <c r="K1448" cm="1">
        <f t="array" ref="K1448">_xlfn.XLOOKUP(TEXT(A1448, "mmm-yy"), TEXT([2]GASOLINE!$B$5:$B$208, "mmm-yy"), [2]GASOLINE!$IK$5:$IK$208, "Not Found")</f>
        <v>145.40967684550256</v>
      </c>
      <c r="L1448">
        <f t="shared" si="22"/>
        <v>1</v>
      </c>
      <c r="M1448" cm="1">
        <f t="array" ref="M1448">_xlfn.XLOOKUP(TEXT(A1448, "mmm-yy"), TEXT([2]GASOLINE!$B$5:$B$208, "mmm-yy"), [2]GASOLINE!$C$5:$C$208, "Not Found")</f>
        <v>7155.3817379312413</v>
      </c>
      <c r="N1448" cm="1">
        <f t="array" ref="N1448">_xlfn.XLOOKUP(TEXT(A1448, "mmm-yy"), TEXT([2]RUNS!$B$5:$B$208, "mmm-yy"), [2]RUNS!$BM$5:$BM$208, "Not Found")</f>
        <v>0.7628604067578878</v>
      </c>
    </row>
    <row r="1449" spans="1:14" x14ac:dyDescent="0.25">
      <c r="A1449" s="1">
        <f>'[1]Global_Spot Prices'!$B2758</f>
        <v>44032</v>
      </c>
      <c r="B1449">
        <f>_xlfn.XLOOKUP(A1449,'[1]Global_Spot Prices'!$B:$B,'[1]Global_Spot Prices'!$BS:$BS)</f>
        <v>1.2250000000000014</v>
      </c>
      <c r="C1449">
        <f>_xlfn.XLOOKUP(A1449,'[1]Global_Spot Prices'!$B:$B,'[1]Global_Spot Prices'!$E:$E)</f>
        <v>42.704999999999998</v>
      </c>
      <c r="D1449">
        <f>_xlfn.XLOOKUP(A1449,'[1]Global_Spot Prices'!$B:$B,'[1]Global_Spot Prices'!$D:$D)</f>
        <v>43.145000000000003</v>
      </c>
      <c r="E1449">
        <f>_xlfn.XLOOKUP(A1449,'[1]Global_Spot Prices'!$B:$B,'[1]Global_Spot Prices'!$H:$H)</f>
        <v>41.45</v>
      </c>
      <c r="F1449">
        <f>_xlfn.XLOOKUP(A1449,'[1]Global_Spot Prices'!$B:$B,'[1]Global_Spot Prices'!$I:$I)</f>
        <v>43.93</v>
      </c>
      <c r="G1449" cm="1">
        <f t="array" ref="G1449">_xlfn.XLOOKUP(TEXT(A1449, "mmm-yy"), TEXT([2]RUNS!$B$5:$B$208, "mmm-yy"), [2]RUNS!$D$5:$D$208, "Not Found")</f>
        <v>27960.283342449427</v>
      </c>
      <c r="H1449" cm="1">
        <f t="array" ref="H1449">SUMPRODUCT(
    --(TEXT('[3]Global Weekly Stock (EWSuez'!$B$4:$B$2000,"mmm-yy")=TEXT(A1449,"mmm-yy")),
    '[3]Global Weekly Stock (EWSuez'!$E$4:$E$2000)
/
SUMPRODUCT(
    --(TEXT('[3]Global Weekly Stock (EWSuez'!$B$4:$B$2000,"mmm-yy")=TEXT(A1449,"mmm-yy"))
)</f>
        <v>15999.4</v>
      </c>
      <c r="I1449">
        <f>_xlfn.XLOOKUP(A1449,[1]ForwardDeriv!$D:$D,[1]ForwardDeriv!$AJ:$AJ)</f>
        <v>-0.10000000000000142</v>
      </c>
      <c r="J1449" cm="1">
        <f t="array" ref="J1449">_xlfn.XLOOKUP(TEXT(A1449, "mmm-yy"), TEXT([2]GASOLINE!$B$5:$B$208, "mmm-yy"), [2]GASOLINE!$IR$5:$IR$208, "Not Found")</f>
        <v>-266.4044128701118</v>
      </c>
      <c r="K1449" cm="1">
        <f t="array" ref="K1449">_xlfn.XLOOKUP(TEXT(A1449, "mmm-yy"), TEXT([2]GASOLINE!$B$5:$B$208, "mmm-yy"), [2]GASOLINE!$IK$5:$IK$208, "Not Found")</f>
        <v>145.40967684550256</v>
      </c>
      <c r="L1449">
        <f t="shared" si="22"/>
        <v>1</v>
      </c>
      <c r="M1449" cm="1">
        <f t="array" ref="M1449">_xlfn.XLOOKUP(TEXT(A1449, "mmm-yy"), TEXT([2]GASOLINE!$B$5:$B$208, "mmm-yy"), [2]GASOLINE!$C$5:$C$208, "Not Found")</f>
        <v>7155.3817379312413</v>
      </c>
      <c r="N1449" cm="1">
        <f t="array" ref="N1449">_xlfn.XLOOKUP(TEXT(A1449, "mmm-yy"), TEXT([2]RUNS!$B$5:$B$208, "mmm-yy"), [2]RUNS!$BM$5:$BM$208, "Not Found")</f>
        <v>0.7628604067578878</v>
      </c>
    </row>
    <row r="1450" spans="1:14" x14ac:dyDescent="0.25">
      <c r="A1450" s="1">
        <f>'[1]Global_Spot Prices'!$B2759</f>
        <v>44033</v>
      </c>
      <c r="B1450">
        <f>_xlfn.XLOOKUP(A1450,'[1]Global_Spot Prices'!$B:$B,'[1]Global_Spot Prices'!$BS:$BS)</f>
        <v>1.0050000000000026</v>
      </c>
      <c r="C1450">
        <f>_xlfn.XLOOKUP(A1450,'[1]Global_Spot Prices'!$B:$B,'[1]Global_Spot Prices'!$E:$E)</f>
        <v>43.844999999999999</v>
      </c>
      <c r="D1450">
        <f>_xlfn.XLOOKUP(A1450,'[1]Global_Spot Prices'!$B:$B,'[1]Global_Spot Prices'!$D:$D)</f>
        <v>44.734999999999999</v>
      </c>
      <c r="E1450">
        <f>_xlfn.XLOOKUP(A1450,'[1]Global_Spot Prices'!$B:$B,'[1]Global_Spot Prices'!$H:$H)</f>
        <v>43.26</v>
      </c>
      <c r="F1450">
        <f>_xlfn.XLOOKUP(A1450,'[1]Global_Spot Prices'!$B:$B,'[1]Global_Spot Prices'!$I:$I)</f>
        <v>44.85</v>
      </c>
      <c r="G1450" cm="1">
        <f t="array" ref="G1450">_xlfn.XLOOKUP(TEXT(A1450, "mmm-yy"), TEXT([2]RUNS!$B$5:$B$208, "mmm-yy"), [2]RUNS!$D$5:$D$208, "Not Found")</f>
        <v>27960.283342449427</v>
      </c>
      <c r="H1450" cm="1">
        <f t="array" ref="H1450">SUMPRODUCT(
    --(TEXT('[3]Global Weekly Stock (EWSuez'!$B$4:$B$2000,"mmm-yy")=TEXT(A1450,"mmm-yy")),
    '[3]Global Weekly Stock (EWSuez'!$E$4:$E$2000)
/
SUMPRODUCT(
    --(TEXT('[3]Global Weekly Stock (EWSuez'!$B$4:$B$2000,"mmm-yy")=TEXT(A1450,"mmm-yy"))
)</f>
        <v>15999.4</v>
      </c>
      <c r="I1450">
        <f>_xlfn.XLOOKUP(A1450,[1]ForwardDeriv!$D:$D,[1]ForwardDeriv!$AJ:$AJ)</f>
        <v>-0.25</v>
      </c>
      <c r="J1450" cm="1">
        <f t="array" ref="J1450">_xlfn.XLOOKUP(TEXT(A1450, "mmm-yy"), TEXT([2]GASOLINE!$B$5:$B$208, "mmm-yy"), [2]GASOLINE!$IR$5:$IR$208, "Not Found")</f>
        <v>-266.4044128701118</v>
      </c>
      <c r="K1450" cm="1">
        <f t="array" ref="K1450">_xlfn.XLOOKUP(TEXT(A1450, "mmm-yy"), TEXT([2]GASOLINE!$B$5:$B$208, "mmm-yy"), [2]GASOLINE!$IK$5:$IK$208, "Not Found")</f>
        <v>145.40967684550256</v>
      </c>
      <c r="L1450">
        <f t="shared" si="22"/>
        <v>1</v>
      </c>
      <c r="M1450" cm="1">
        <f t="array" ref="M1450">_xlfn.XLOOKUP(TEXT(A1450, "mmm-yy"), TEXT([2]GASOLINE!$B$5:$B$208, "mmm-yy"), [2]GASOLINE!$C$5:$C$208, "Not Found")</f>
        <v>7155.3817379312413</v>
      </c>
      <c r="N1450" cm="1">
        <f t="array" ref="N1450">_xlfn.XLOOKUP(TEXT(A1450, "mmm-yy"), TEXT([2]RUNS!$B$5:$B$208, "mmm-yy"), [2]RUNS!$BM$5:$BM$208, "Not Found")</f>
        <v>0.7628604067578878</v>
      </c>
    </row>
    <row r="1451" spans="1:14" x14ac:dyDescent="0.25">
      <c r="A1451" s="1">
        <f>'[1]Global_Spot Prices'!$B2760</f>
        <v>44034</v>
      </c>
      <c r="B1451">
        <f>_xlfn.XLOOKUP(A1451,'[1]Global_Spot Prices'!$B:$B,'[1]Global_Spot Prices'!$BS:$BS)</f>
        <v>1.259999999999998</v>
      </c>
      <c r="C1451">
        <f>_xlfn.XLOOKUP(A1451,'[1]Global_Spot Prices'!$B:$B,'[1]Global_Spot Prices'!$E:$E)</f>
        <v>44.1</v>
      </c>
      <c r="D1451">
        <f>_xlfn.XLOOKUP(A1451,'[1]Global_Spot Prices'!$B:$B,'[1]Global_Spot Prices'!$D:$D)</f>
        <v>43.465000000000003</v>
      </c>
      <c r="E1451">
        <f>_xlfn.XLOOKUP(A1451,'[1]Global_Spot Prices'!$B:$B,'[1]Global_Spot Prices'!$H:$H)</f>
        <v>43.2</v>
      </c>
      <c r="F1451">
        <f>_xlfn.XLOOKUP(A1451,'[1]Global_Spot Prices'!$B:$B,'[1]Global_Spot Prices'!$I:$I)</f>
        <v>45.36</v>
      </c>
      <c r="G1451" cm="1">
        <f t="array" ref="G1451">_xlfn.XLOOKUP(TEXT(A1451, "mmm-yy"), TEXT([2]RUNS!$B$5:$B$208, "mmm-yy"), [2]RUNS!$D$5:$D$208, "Not Found")</f>
        <v>27960.283342449427</v>
      </c>
      <c r="H1451" cm="1">
        <f t="array" ref="H1451">SUMPRODUCT(
    --(TEXT('[3]Global Weekly Stock (EWSuez'!$B$4:$B$2000,"mmm-yy")=TEXT(A1451,"mmm-yy")),
    '[3]Global Weekly Stock (EWSuez'!$E$4:$E$2000)
/
SUMPRODUCT(
    --(TEXT('[3]Global Weekly Stock (EWSuez'!$B$4:$B$2000,"mmm-yy")=TEXT(A1451,"mmm-yy"))
)</f>
        <v>15999.4</v>
      </c>
      <c r="I1451">
        <f>_xlfn.XLOOKUP(A1451,[1]ForwardDeriv!$D:$D,[1]ForwardDeriv!$AJ:$AJ)</f>
        <v>-0.32999999999999829</v>
      </c>
      <c r="J1451" cm="1">
        <f t="array" ref="J1451">_xlfn.XLOOKUP(TEXT(A1451, "mmm-yy"), TEXT([2]GASOLINE!$B$5:$B$208, "mmm-yy"), [2]GASOLINE!$IR$5:$IR$208, "Not Found")</f>
        <v>-266.4044128701118</v>
      </c>
      <c r="K1451" cm="1">
        <f t="array" ref="K1451">_xlfn.XLOOKUP(TEXT(A1451, "mmm-yy"), TEXT([2]GASOLINE!$B$5:$B$208, "mmm-yy"), [2]GASOLINE!$IK$5:$IK$208, "Not Found")</f>
        <v>145.40967684550256</v>
      </c>
      <c r="L1451">
        <f t="shared" si="22"/>
        <v>1</v>
      </c>
      <c r="M1451" cm="1">
        <f t="array" ref="M1451">_xlfn.XLOOKUP(TEXT(A1451, "mmm-yy"), TEXT([2]GASOLINE!$B$5:$B$208, "mmm-yy"), [2]GASOLINE!$C$5:$C$208, "Not Found")</f>
        <v>7155.3817379312413</v>
      </c>
      <c r="N1451" cm="1">
        <f t="array" ref="N1451">_xlfn.XLOOKUP(TEXT(A1451, "mmm-yy"), TEXT([2]RUNS!$B$5:$B$208, "mmm-yy"), [2]RUNS!$BM$5:$BM$208, "Not Found")</f>
        <v>0.7628604067578878</v>
      </c>
    </row>
    <row r="1452" spans="1:14" x14ac:dyDescent="0.25">
      <c r="A1452" s="1">
        <f>'[1]Global_Spot Prices'!$B2761</f>
        <v>44035</v>
      </c>
      <c r="B1452">
        <f>_xlfn.XLOOKUP(A1452,'[1]Global_Spot Prices'!$B:$B,'[1]Global_Spot Prices'!$BS:$BS)</f>
        <v>1.5300000000000011</v>
      </c>
      <c r="C1452">
        <f>_xlfn.XLOOKUP(A1452,'[1]Global_Spot Prices'!$B:$B,'[1]Global_Spot Prices'!$E:$E)</f>
        <v>44.39</v>
      </c>
      <c r="D1452">
        <f>_xlfn.XLOOKUP(A1452,'[1]Global_Spot Prices'!$B:$B,'[1]Global_Spot Prices'!$D:$D)</f>
        <v>44.134999999999998</v>
      </c>
      <c r="E1452">
        <f>_xlfn.XLOOKUP(A1452,'[1]Global_Spot Prices'!$B:$B,'[1]Global_Spot Prices'!$H:$H)</f>
        <v>44.61</v>
      </c>
      <c r="F1452">
        <f>_xlfn.XLOOKUP(A1452,'[1]Global_Spot Prices'!$B:$B,'[1]Global_Spot Prices'!$I:$I)</f>
        <v>45.92</v>
      </c>
      <c r="G1452" cm="1">
        <f t="array" ref="G1452">_xlfn.XLOOKUP(TEXT(A1452, "mmm-yy"), TEXT([2]RUNS!$B$5:$B$208, "mmm-yy"), [2]RUNS!$D$5:$D$208, "Not Found")</f>
        <v>27960.283342449427</v>
      </c>
      <c r="H1452" cm="1">
        <f t="array" ref="H1452">SUMPRODUCT(
    --(TEXT('[3]Global Weekly Stock (EWSuez'!$B$4:$B$2000,"mmm-yy")=TEXT(A1452,"mmm-yy")),
    '[3]Global Weekly Stock (EWSuez'!$E$4:$E$2000)
/
SUMPRODUCT(
    --(TEXT('[3]Global Weekly Stock (EWSuez'!$B$4:$B$2000,"mmm-yy")=TEXT(A1452,"mmm-yy"))
)</f>
        <v>15999.4</v>
      </c>
      <c r="I1452">
        <f>_xlfn.XLOOKUP(A1452,[1]ForwardDeriv!$D:$D,[1]ForwardDeriv!$AJ:$AJ)</f>
        <v>-0.34000000000000341</v>
      </c>
      <c r="J1452" cm="1">
        <f t="array" ref="J1452">_xlfn.XLOOKUP(TEXT(A1452, "mmm-yy"), TEXT([2]GASOLINE!$B$5:$B$208, "mmm-yy"), [2]GASOLINE!$IR$5:$IR$208, "Not Found")</f>
        <v>-266.4044128701118</v>
      </c>
      <c r="K1452" cm="1">
        <f t="array" ref="K1452">_xlfn.XLOOKUP(TEXT(A1452, "mmm-yy"), TEXT([2]GASOLINE!$B$5:$B$208, "mmm-yy"), [2]GASOLINE!$IK$5:$IK$208, "Not Found")</f>
        <v>145.40967684550256</v>
      </c>
      <c r="L1452">
        <f t="shared" si="22"/>
        <v>1</v>
      </c>
      <c r="M1452" cm="1">
        <f t="array" ref="M1452">_xlfn.XLOOKUP(TEXT(A1452, "mmm-yy"), TEXT([2]GASOLINE!$B$5:$B$208, "mmm-yy"), [2]GASOLINE!$C$5:$C$208, "Not Found")</f>
        <v>7155.3817379312413</v>
      </c>
      <c r="N1452" cm="1">
        <f t="array" ref="N1452">_xlfn.XLOOKUP(TEXT(A1452, "mmm-yy"), TEXT([2]RUNS!$B$5:$B$208, "mmm-yy"), [2]RUNS!$BM$5:$BM$208, "Not Found")</f>
        <v>0.7628604067578878</v>
      </c>
    </row>
    <row r="1453" spans="1:14" x14ac:dyDescent="0.25">
      <c r="A1453" s="1">
        <f>'[1]Global_Spot Prices'!$B2762</f>
        <v>44036</v>
      </c>
      <c r="B1453">
        <f>_xlfn.XLOOKUP(A1453,'[1]Global_Spot Prices'!$B:$B,'[1]Global_Spot Prices'!$BS:$BS)</f>
        <v>1.6499999999999986</v>
      </c>
      <c r="C1453">
        <f>_xlfn.XLOOKUP(A1453,'[1]Global_Spot Prices'!$B:$B,'[1]Global_Spot Prices'!$E:$E)</f>
        <v>43.1</v>
      </c>
      <c r="D1453">
        <f>_xlfn.XLOOKUP(A1453,'[1]Global_Spot Prices'!$B:$B,'[1]Global_Spot Prices'!$D:$D)</f>
        <v>42.895000000000003</v>
      </c>
      <c r="E1453">
        <f>_xlfn.XLOOKUP(A1453,'[1]Global_Spot Prices'!$B:$B,'[1]Global_Spot Prices'!$H:$H)</f>
        <v>43.64</v>
      </c>
      <c r="F1453">
        <f>_xlfn.XLOOKUP(A1453,'[1]Global_Spot Prices'!$B:$B,'[1]Global_Spot Prices'!$I:$I)</f>
        <v>44.75</v>
      </c>
      <c r="G1453" cm="1">
        <f t="array" ref="G1453">_xlfn.XLOOKUP(TEXT(A1453, "mmm-yy"), TEXT([2]RUNS!$B$5:$B$208, "mmm-yy"), [2]RUNS!$D$5:$D$208, "Not Found")</f>
        <v>27960.283342449427</v>
      </c>
      <c r="H1453" cm="1">
        <f t="array" ref="H1453">SUMPRODUCT(
    --(TEXT('[3]Global Weekly Stock (EWSuez'!$B$4:$B$2000,"mmm-yy")=TEXT(A1453,"mmm-yy")),
    '[3]Global Weekly Stock (EWSuez'!$E$4:$E$2000)
/
SUMPRODUCT(
    --(TEXT('[3]Global Weekly Stock (EWSuez'!$B$4:$B$2000,"mmm-yy")=TEXT(A1453,"mmm-yy"))
)</f>
        <v>15999.4</v>
      </c>
      <c r="I1453">
        <f>_xlfn.XLOOKUP(A1453,[1]ForwardDeriv!$D:$D,[1]ForwardDeriv!$AJ:$AJ)</f>
        <v>-0.21000000000000085</v>
      </c>
      <c r="J1453" cm="1">
        <f t="array" ref="J1453">_xlfn.XLOOKUP(TEXT(A1453, "mmm-yy"), TEXT([2]GASOLINE!$B$5:$B$208, "mmm-yy"), [2]GASOLINE!$IR$5:$IR$208, "Not Found")</f>
        <v>-266.4044128701118</v>
      </c>
      <c r="K1453" cm="1">
        <f t="array" ref="K1453">_xlfn.XLOOKUP(TEXT(A1453, "mmm-yy"), TEXT([2]GASOLINE!$B$5:$B$208, "mmm-yy"), [2]GASOLINE!$IK$5:$IK$208, "Not Found")</f>
        <v>145.40967684550256</v>
      </c>
      <c r="L1453">
        <f t="shared" si="22"/>
        <v>1</v>
      </c>
      <c r="M1453" cm="1">
        <f t="array" ref="M1453">_xlfn.XLOOKUP(TEXT(A1453, "mmm-yy"), TEXT([2]GASOLINE!$B$5:$B$208, "mmm-yy"), [2]GASOLINE!$C$5:$C$208, "Not Found")</f>
        <v>7155.3817379312413</v>
      </c>
      <c r="N1453" cm="1">
        <f t="array" ref="N1453">_xlfn.XLOOKUP(TEXT(A1453, "mmm-yy"), TEXT([2]RUNS!$B$5:$B$208, "mmm-yy"), [2]RUNS!$BM$5:$BM$208, "Not Found")</f>
        <v>0.7628604067578878</v>
      </c>
    </row>
    <row r="1454" spans="1:14" x14ac:dyDescent="0.25">
      <c r="A1454" s="1">
        <f>'[1]Global_Spot Prices'!$B2763</f>
        <v>44039</v>
      </c>
      <c r="B1454">
        <f>_xlfn.XLOOKUP(A1454,'[1]Global_Spot Prices'!$B:$B,'[1]Global_Spot Prices'!$BS:$BS)</f>
        <v>1.5499999999999972</v>
      </c>
      <c r="C1454">
        <f>_xlfn.XLOOKUP(A1454,'[1]Global_Spot Prices'!$B:$B,'[1]Global_Spot Prices'!$E:$E)</f>
        <v>43.1</v>
      </c>
      <c r="D1454">
        <f>_xlfn.XLOOKUP(A1454,'[1]Global_Spot Prices'!$B:$B,'[1]Global_Spot Prices'!$D:$D)</f>
        <v>42.1</v>
      </c>
      <c r="E1454">
        <f>_xlfn.XLOOKUP(A1454,'[1]Global_Spot Prices'!$B:$B,'[1]Global_Spot Prices'!$H:$H)</f>
        <v>43.98</v>
      </c>
      <c r="F1454">
        <f>_xlfn.XLOOKUP(A1454,'[1]Global_Spot Prices'!$B:$B,'[1]Global_Spot Prices'!$I:$I)</f>
        <v>44.65</v>
      </c>
      <c r="G1454" cm="1">
        <f t="array" ref="G1454">_xlfn.XLOOKUP(TEXT(A1454, "mmm-yy"), TEXT([2]RUNS!$B$5:$B$208, "mmm-yy"), [2]RUNS!$D$5:$D$208, "Not Found")</f>
        <v>27960.283342449427</v>
      </c>
      <c r="H1454" cm="1">
        <f t="array" ref="H1454">SUMPRODUCT(
    --(TEXT('[3]Global Weekly Stock (EWSuez'!$B$4:$B$2000,"mmm-yy")=TEXT(A1454,"mmm-yy")),
    '[3]Global Weekly Stock (EWSuez'!$E$4:$E$2000)
/
SUMPRODUCT(
    --(TEXT('[3]Global Weekly Stock (EWSuez'!$B$4:$B$2000,"mmm-yy")=TEXT(A1454,"mmm-yy"))
)</f>
        <v>15999.4</v>
      </c>
      <c r="I1454">
        <f>_xlfn.XLOOKUP(A1454,[1]ForwardDeriv!$D:$D,[1]ForwardDeriv!$AJ:$AJ)</f>
        <v>-0.25</v>
      </c>
      <c r="J1454" cm="1">
        <f t="array" ref="J1454">_xlfn.XLOOKUP(TEXT(A1454, "mmm-yy"), TEXT([2]GASOLINE!$B$5:$B$208, "mmm-yy"), [2]GASOLINE!$IR$5:$IR$208, "Not Found")</f>
        <v>-266.4044128701118</v>
      </c>
      <c r="K1454" cm="1">
        <f t="array" ref="K1454">_xlfn.XLOOKUP(TEXT(A1454, "mmm-yy"), TEXT([2]GASOLINE!$B$5:$B$208, "mmm-yy"), [2]GASOLINE!$IK$5:$IK$208, "Not Found")</f>
        <v>145.40967684550256</v>
      </c>
      <c r="L1454">
        <f t="shared" si="22"/>
        <v>1</v>
      </c>
      <c r="M1454" cm="1">
        <f t="array" ref="M1454">_xlfn.XLOOKUP(TEXT(A1454, "mmm-yy"), TEXT([2]GASOLINE!$B$5:$B$208, "mmm-yy"), [2]GASOLINE!$C$5:$C$208, "Not Found")</f>
        <v>7155.3817379312413</v>
      </c>
      <c r="N1454" cm="1">
        <f t="array" ref="N1454">_xlfn.XLOOKUP(TEXT(A1454, "mmm-yy"), TEXT([2]RUNS!$B$5:$B$208, "mmm-yy"), [2]RUNS!$BM$5:$BM$208, "Not Found")</f>
        <v>0.7628604067578878</v>
      </c>
    </row>
    <row r="1455" spans="1:14" x14ac:dyDescent="0.25">
      <c r="A1455" s="1">
        <f>'[1]Global_Spot Prices'!$B2764</f>
        <v>44040</v>
      </c>
      <c r="B1455">
        <f>_xlfn.XLOOKUP(A1455,'[1]Global_Spot Prices'!$B:$B,'[1]Global_Spot Prices'!$BS:$BS)</f>
        <v>1.3099999999999952</v>
      </c>
      <c r="C1455">
        <f>_xlfn.XLOOKUP(A1455,'[1]Global_Spot Prices'!$B:$B,'[1]Global_Spot Prices'!$E:$E)</f>
        <v>43.09</v>
      </c>
      <c r="D1455">
        <f>_xlfn.XLOOKUP(A1455,'[1]Global_Spot Prices'!$B:$B,'[1]Global_Spot Prices'!$D:$D)</f>
        <v>43.115000000000002</v>
      </c>
      <c r="E1455">
        <f>_xlfn.XLOOKUP(A1455,'[1]Global_Spot Prices'!$B:$B,'[1]Global_Spot Prices'!$H:$H)</f>
        <v>43.87</v>
      </c>
      <c r="F1455">
        <f>_xlfn.XLOOKUP(A1455,'[1]Global_Spot Prices'!$B:$B,'[1]Global_Spot Prices'!$I:$I)</f>
        <v>44.4</v>
      </c>
      <c r="G1455" cm="1">
        <f t="array" ref="G1455">_xlfn.XLOOKUP(TEXT(A1455, "mmm-yy"), TEXT([2]RUNS!$B$5:$B$208, "mmm-yy"), [2]RUNS!$D$5:$D$208, "Not Found")</f>
        <v>27960.283342449427</v>
      </c>
      <c r="H1455" cm="1">
        <f t="array" ref="H1455">SUMPRODUCT(
    --(TEXT('[3]Global Weekly Stock (EWSuez'!$B$4:$B$2000,"mmm-yy")=TEXT(A1455,"mmm-yy")),
    '[3]Global Weekly Stock (EWSuez'!$E$4:$E$2000)
/
SUMPRODUCT(
    --(TEXT('[3]Global Weekly Stock (EWSuez'!$B$4:$B$2000,"mmm-yy")=TEXT(A1455,"mmm-yy"))
)</f>
        <v>15999.4</v>
      </c>
      <c r="I1455">
        <f>_xlfn.XLOOKUP(A1455,[1]ForwardDeriv!$D:$D,[1]ForwardDeriv!$AJ:$AJ)</f>
        <v>-0.38000000000000256</v>
      </c>
      <c r="J1455" cm="1">
        <f t="array" ref="J1455">_xlfn.XLOOKUP(TEXT(A1455, "mmm-yy"), TEXT([2]GASOLINE!$B$5:$B$208, "mmm-yy"), [2]GASOLINE!$IR$5:$IR$208, "Not Found")</f>
        <v>-266.4044128701118</v>
      </c>
      <c r="K1455" cm="1">
        <f t="array" ref="K1455">_xlfn.XLOOKUP(TEXT(A1455, "mmm-yy"), TEXT([2]GASOLINE!$B$5:$B$208, "mmm-yy"), [2]GASOLINE!$IK$5:$IK$208, "Not Found")</f>
        <v>145.40967684550256</v>
      </c>
      <c r="L1455">
        <f t="shared" si="22"/>
        <v>1</v>
      </c>
      <c r="M1455" cm="1">
        <f t="array" ref="M1455">_xlfn.XLOOKUP(TEXT(A1455, "mmm-yy"), TEXT([2]GASOLINE!$B$5:$B$208, "mmm-yy"), [2]GASOLINE!$C$5:$C$208, "Not Found")</f>
        <v>7155.3817379312413</v>
      </c>
      <c r="N1455" cm="1">
        <f t="array" ref="N1455">_xlfn.XLOOKUP(TEXT(A1455, "mmm-yy"), TEXT([2]RUNS!$B$5:$B$208, "mmm-yy"), [2]RUNS!$BM$5:$BM$208, "Not Found")</f>
        <v>0.7628604067578878</v>
      </c>
    </row>
    <row r="1456" spans="1:14" x14ac:dyDescent="0.25">
      <c r="A1456" s="1">
        <f>'[1]Global_Spot Prices'!$B2765</f>
        <v>44041</v>
      </c>
      <c r="B1456">
        <f>_xlfn.XLOOKUP(A1456,'[1]Global_Spot Prices'!$B:$B,'[1]Global_Spot Prices'!$BS:$BS)</f>
        <v>1.0500000000000043</v>
      </c>
      <c r="C1456">
        <f>_xlfn.XLOOKUP(A1456,'[1]Global_Spot Prices'!$B:$B,'[1]Global_Spot Prices'!$E:$E)</f>
        <v>43.29</v>
      </c>
      <c r="D1456">
        <f>_xlfn.XLOOKUP(A1456,'[1]Global_Spot Prices'!$B:$B,'[1]Global_Spot Prices'!$D:$D)</f>
        <v>43.74</v>
      </c>
      <c r="E1456">
        <f>_xlfn.XLOOKUP(A1456,'[1]Global_Spot Prices'!$B:$B,'[1]Global_Spot Prices'!$H:$H)</f>
        <v>42.87</v>
      </c>
      <c r="F1456">
        <f>_xlfn.XLOOKUP(A1456,'[1]Global_Spot Prices'!$B:$B,'[1]Global_Spot Prices'!$I:$I)</f>
        <v>44.34</v>
      </c>
      <c r="G1456" cm="1">
        <f t="array" ref="G1456">_xlfn.XLOOKUP(TEXT(A1456, "mmm-yy"), TEXT([2]RUNS!$B$5:$B$208, "mmm-yy"), [2]RUNS!$D$5:$D$208, "Not Found")</f>
        <v>27960.283342449427</v>
      </c>
      <c r="H1456" cm="1">
        <f t="array" ref="H1456">SUMPRODUCT(
    --(TEXT('[3]Global Weekly Stock (EWSuez'!$B$4:$B$2000,"mmm-yy")=TEXT(A1456,"mmm-yy")),
    '[3]Global Weekly Stock (EWSuez'!$E$4:$E$2000)
/
SUMPRODUCT(
    --(TEXT('[3]Global Weekly Stock (EWSuez'!$B$4:$B$2000,"mmm-yy")=TEXT(A1456,"mmm-yy"))
)</f>
        <v>15999.4</v>
      </c>
      <c r="I1456">
        <f>_xlfn.XLOOKUP(A1456,[1]ForwardDeriv!$D:$D,[1]ForwardDeriv!$AJ:$AJ)</f>
        <v>-0.32000000000000028</v>
      </c>
      <c r="J1456" cm="1">
        <f t="array" ref="J1456">_xlfn.XLOOKUP(TEXT(A1456, "mmm-yy"), TEXT([2]GASOLINE!$B$5:$B$208, "mmm-yy"), [2]GASOLINE!$IR$5:$IR$208, "Not Found")</f>
        <v>-266.4044128701118</v>
      </c>
      <c r="K1456" cm="1">
        <f t="array" ref="K1456">_xlfn.XLOOKUP(TEXT(A1456, "mmm-yy"), TEXT([2]GASOLINE!$B$5:$B$208, "mmm-yy"), [2]GASOLINE!$IK$5:$IK$208, "Not Found")</f>
        <v>145.40967684550256</v>
      </c>
      <c r="L1456">
        <f t="shared" si="22"/>
        <v>1</v>
      </c>
      <c r="M1456" cm="1">
        <f t="array" ref="M1456">_xlfn.XLOOKUP(TEXT(A1456, "mmm-yy"), TEXT([2]GASOLINE!$B$5:$B$208, "mmm-yy"), [2]GASOLINE!$C$5:$C$208, "Not Found")</f>
        <v>7155.3817379312413</v>
      </c>
      <c r="N1456" cm="1">
        <f t="array" ref="N1456">_xlfn.XLOOKUP(TEXT(A1456, "mmm-yy"), TEXT([2]RUNS!$B$5:$B$208, "mmm-yy"), [2]RUNS!$BM$5:$BM$208, "Not Found")</f>
        <v>0.7628604067578878</v>
      </c>
    </row>
    <row r="1457" spans="1:14" x14ac:dyDescent="0.25">
      <c r="A1457" s="1">
        <f>'[1]Global_Spot Prices'!$B2766</f>
        <v>44042</v>
      </c>
      <c r="B1457">
        <f>_xlfn.XLOOKUP(A1457,'[1]Global_Spot Prices'!$B:$B,'[1]Global_Spot Prices'!$BS:$BS)</f>
        <v>0.40999999999999659</v>
      </c>
      <c r="C1457">
        <f>_xlfn.XLOOKUP(A1457,'[1]Global_Spot Prices'!$B:$B,'[1]Global_Spot Prices'!$E:$E)</f>
        <v>43.1</v>
      </c>
      <c r="D1457">
        <f>_xlfn.XLOOKUP(A1457,'[1]Global_Spot Prices'!$B:$B,'[1]Global_Spot Prices'!$D:$D)</f>
        <v>42.454999999999998</v>
      </c>
      <c r="E1457">
        <f>_xlfn.XLOOKUP(A1457,'[1]Global_Spot Prices'!$B:$B,'[1]Global_Spot Prices'!$H:$H)</f>
        <v>41.67</v>
      </c>
      <c r="F1457">
        <f>_xlfn.XLOOKUP(A1457,'[1]Global_Spot Prices'!$B:$B,'[1]Global_Spot Prices'!$I:$I)</f>
        <v>43.51</v>
      </c>
      <c r="G1457" cm="1">
        <f t="array" ref="G1457">_xlfn.XLOOKUP(TEXT(A1457, "mmm-yy"), TEXT([2]RUNS!$B$5:$B$208, "mmm-yy"), [2]RUNS!$D$5:$D$208, "Not Found")</f>
        <v>27960.283342449427</v>
      </c>
      <c r="H1457" cm="1">
        <f t="array" ref="H1457">SUMPRODUCT(
    --(TEXT('[3]Global Weekly Stock (EWSuez'!$B$4:$B$2000,"mmm-yy")=TEXT(A1457,"mmm-yy")),
    '[3]Global Weekly Stock (EWSuez'!$E$4:$E$2000)
/
SUMPRODUCT(
    --(TEXT('[3]Global Weekly Stock (EWSuez'!$B$4:$B$2000,"mmm-yy")=TEXT(A1457,"mmm-yy"))
)</f>
        <v>15999.4</v>
      </c>
      <c r="I1457">
        <f>_xlfn.XLOOKUP(A1457,[1]ForwardDeriv!$D:$D,[1]ForwardDeriv!$AJ:$AJ)</f>
        <v>-0.33999999999999631</v>
      </c>
      <c r="J1457" cm="1">
        <f t="array" ref="J1457">_xlfn.XLOOKUP(TEXT(A1457, "mmm-yy"), TEXT([2]GASOLINE!$B$5:$B$208, "mmm-yy"), [2]GASOLINE!$IR$5:$IR$208, "Not Found")</f>
        <v>-266.4044128701118</v>
      </c>
      <c r="K1457" cm="1">
        <f t="array" ref="K1457">_xlfn.XLOOKUP(TEXT(A1457, "mmm-yy"), TEXT([2]GASOLINE!$B$5:$B$208, "mmm-yy"), [2]GASOLINE!$IK$5:$IK$208, "Not Found")</f>
        <v>145.40967684550256</v>
      </c>
      <c r="L1457">
        <f t="shared" si="22"/>
        <v>1</v>
      </c>
      <c r="M1457" cm="1">
        <f t="array" ref="M1457">_xlfn.XLOOKUP(TEXT(A1457, "mmm-yy"), TEXT([2]GASOLINE!$B$5:$B$208, "mmm-yy"), [2]GASOLINE!$C$5:$C$208, "Not Found")</f>
        <v>7155.3817379312413</v>
      </c>
      <c r="N1457" cm="1">
        <f t="array" ref="N1457">_xlfn.XLOOKUP(TEXT(A1457, "mmm-yy"), TEXT([2]RUNS!$B$5:$B$208, "mmm-yy"), [2]RUNS!$BM$5:$BM$208, "Not Found")</f>
        <v>0.7628604067578878</v>
      </c>
    </row>
    <row r="1458" spans="1:14" x14ac:dyDescent="0.25">
      <c r="A1458" s="1">
        <f>'[1]Global_Spot Prices'!$B2767</f>
        <v>44043</v>
      </c>
      <c r="B1458" t="e">
        <f>_xlfn.XLOOKUP(A1458,'[1]Global_Spot Prices'!$B:$B,'[1]Global_Spot Prices'!$BS:$BS)</f>
        <v>#N/A</v>
      </c>
      <c r="C1458" t="str">
        <f>_xlfn.XLOOKUP(A1458,'[1]Global_Spot Prices'!$B:$B,'[1]Global_Spot Prices'!$E:$E)</f>
        <v/>
      </c>
      <c r="D1458">
        <f>_xlfn.XLOOKUP(A1458,'[1]Global_Spot Prices'!$B:$B,'[1]Global_Spot Prices'!$D:$D)</f>
        <v>42.884999999999998</v>
      </c>
      <c r="E1458">
        <f>_xlfn.XLOOKUP(A1458,'[1]Global_Spot Prices'!$B:$B,'[1]Global_Spot Prices'!$H:$H)</f>
        <v>0</v>
      </c>
      <c r="F1458">
        <f>_xlfn.XLOOKUP(A1458,'[1]Global_Spot Prices'!$B:$B,'[1]Global_Spot Prices'!$I:$I)</f>
        <v>0</v>
      </c>
      <c r="G1458" cm="1">
        <f t="array" ref="G1458">_xlfn.XLOOKUP(TEXT(A1458, "mmm-yy"), TEXT([2]RUNS!$B$5:$B$208, "mmm-yy"), [2]RUNS!$D$5:$D$208, "Not Found")</f>
        <v>27960.283342449427</v>
      </c>
      <c r="H1458" cm="1">
        <f t="array" ref="H1458">SUMPRODUCT(
    --(TEXT('[3]Global Weekly Stock (EWSuez'!$B$4:$B$2000,"mmm-yy")=TEXT(A1458,"mmm-yy")),
    '[3]Global Weekly Stock (EWSuez'!$E$4:$E$2000)
/
SUMPRODUCT(
    --(TEXT('[3]Global Weekly Stock (EWSuez'!$B$4:$B$2000,"mmm-yy")=TEXT(A1458,"mmm-yy"))
)</f>
        <v>15999.4</v>
      </c>
      <c r="I1458">
        <f>_xlfn.XLOOKUP(A1458,[1]ForwardDeriv!$D:$D,[1]ForwardDeriv!$AJ:$AJ)</f>
        <v>-0.25</v>
      </c>
      <c r="J1458" cm="1">
        <f t="array" ref="J1458">_xlfn.XLOOKUP(TEXT(A1458, "mmm-yy"), TEXT([2]GASOLINE!$B$5:$B$208, "mmm-yy"), [2]GASOLINE!$IR$5:$IR$208, "Not Found")</f>
        <v>-266.4044128701118</v>
      </c>
      <c r="K1458" cm="1">
        <f t="array" ref="K1458">_xlfn.XLOOKUP(TEXT(A1458, "mmm-yy"), TEXT([2]GASOLINE!$B$5:$B$208, "mmm-yy"), [2]GASOLINE!$IK$5:$IK$208, "Not Found")</f>
        <v>145.40967684550256</v>
      </c>
      <c r="L1458">
        <f t="shared" si="22"/>
        <v>1</v>
      </c>
      <c r="M1458" cm="1">
        <f t="array" ref="M1458">_xlfn.XLOOKUP(TEXT(A1458, "mmm-yy"), TEXT([2]GASOLINE!$B$5:$B$208, "mmm-yy"), [2]GASOLINE!$C$5:$C$208, "Not Found")</f>
        <v>7155.3817379312413</v>
      </c>
      <c r="N1458" cm="1">
        <f t="array" ref="N1458">_xlfn.XLOOKUP(TEXT(A1458, "mmm-yy"), TEXT([2]RUNS!$B$5:$B$208, "mmm-yy"), [2]RUNS!$BM$5:$BM$208, "Not Found")</f>
        <v>0.7628604067578878</v>
      </c>
    </row>
    <row r="1459" spans="1:14" x14ac:dyDescent="0.25">
      <c r="A1459" s="1">
        <f>'[1]Global_Spot Prices'!$B2768</f>
        <v>44046</v>
      </c>
      <c r="B1459">
        <f>_xlfn.XLOOKUP(A1459,'[1]Global_Spot Prices'!$B:$B,'[1]Global_Spot Prices'!$BS:$BS)</f>
        <v>-0.10999999999999943</v>
      </c>
      <c r="C1459">
        <f>_xlfn.XLOOKUP(A1459,'[1]Global_Spot Prices'!$B:$B,'[1]Global_Spot Prices'!$E:$E)</f>
        <v>42.51</v>
      </c>
      <c r="D1459">
        <f>_xlfn.XLOOKUP(A1459,'[1]Global_Spot Prices'!$B:$B,'[1]Global_Spot Prices'!$D:$D)</f>
        <v>44.045000000000002</v>
      </c>
      <c r="E1459">
        <f>_xlfn.XLOOKUP(A1459,'[1]Global_Spot Prices'!$B:$B,'[1]Global_Spot Prices'!$H:$H)</f>
        <v>40.270000000000003</v>
      </c>
      <c r="F1459">
        <f>_xlfn.XLOOKUP(A1459,'[1]Global_Spot Prices'!$B:$B,'[1]Global_Spot Prices'!$I:$I)</f>
        <v>42.4</v>
      </c>
      <c r="G1459" cm="1">
        <f t="array" ref="G1459">_xlfn.XLOOKUP(TEXT(A1459, "mmm-yy"), TEXT([2]RUNS!$B$5:$B$208, "mmm-yy"), [2]RUNS!$D$5:$D$208, "Not Found")</f>
        <v>27600.053704726481</v>
      </c>
      <c r="H1459" cm="1">
        <f t="array" ref="H1459">SUMPRODUCT(
    --(TEXT('[3]Global Weekly Stock (EWSuez'!$B$4:$B$2000,"mmm-yy")=TEXT(A1459,"mmm-yy")),
    '[3]Global Weekly Stock (EWSuez'!$E$4:$E$2000)
/
SUMPRODUCT(
    --(TEXT('[3]Global Weekly Stock (EWSuez'!$B$4:$B$2000,"mmm-yy")=TEXT(A1459,"mmm-yy"))
)</f>
        <v>14584.25</v>
      </c>
      <c r="I1459">
        <f>_xlfn.XLOOKUP(A1459,[1]ForwardDeriv!$D:$D,[1]ForwardDeriv!$AJ:$AJ)</f>
        <v>-0.25</v>
      </c>
      <c r="J1459" cm="1">
        <f t="array" ref="J1459">_xlfn.XLOOKUP(TEXT(A1459, "mmm-yy"), TEXT([2]GASOLINE!$B$5:$B$208, "mmm-yy"), [2]GASOLINE!$IR$5:$IR$208, "Not Found")</f>
        <v>-441.09308750522791</v>
      </c>
      <c r="K1459" cm="1">
        <f t="array" ref="K1459">_xlfn.XLOOKUP(TEXT(A1459, "mmm-yy"), TEXT([2]GASOLINE!$B$5:$B$208, "mmm-yy"), [2]GASOLINE!$IK$5:$IK$208, "Not Found")</f>
        <v>154.10031653202574</v>
      </c>
      <c r="L1459">
        <f t="shared" si="22"/>
        <v>1</v>
      </c>
      <c r="M1459" cm="1">
        <f t="array" ref="M1459">_xlfn.XLOOKUP(TEXT(A1459, "mmm-yy"), TEXT([2]GASOLINE!$B$5:$B$208, "mmm-yy"), [2]GASOLINE!$C$5:$C$208, "Not Found")</f>
        <v>7244.7581463575407</v>
      </c>
      <c r="N1459" cm="1">
        <f t="array" ref="N1459">_xlfn.XLOOKUP(TEXT(A1459, "mmm-yy"), TEXT([2]RUNS!$B$5:$B$208, "mmm-yy"), [2]RUNS!$BM$5:$BM$208, "Not Found")</f>
        <v>0.7530320039268491</v>
      </c>
    </row>
    <row r="1460" spans="1:14" x14ac:dyDescent="0.25">
      <c r="A1460" s="1">
        <f>'[1]Global_Spot Prices'!$B2769</f>
        <v>44047</v>
      </c>
      <c r="B1460">
        <f>_xlfn.XLOOKUP(A1460,'[1]Global_Spot Prices'!$B:$B,'[1]Global_Spot Prices'!$BS:$BS)</f>
        <v>0.95499999999999829</v>
      </c>
      <c r="C1460">
        <f>_xlfn.XLOOKUP(A1460,'[1]Global_Spot Prices'!$B:$B,'[1]Global_Spot Prices'!$E:$E)</f>
        <v>42.954999999999998</v>
      </c>
      <c r="D1460">
        <f>_xlfn.XLOOKUP(A1460,'[1]Global_Spot Prices'!$B:$B,'[1]Global_Spot Prices'!$D:$D)</f>
        <v>44.17</v>
      </c>
      <c r="E1460">
        <f>_xlfn.XLOOKUP(A1460,'[1]Global_Spot Prices'!$B:$B,'[1]Global_Spot Prices'!$H:$H)</f>
        <v>41.73</v>
      </c>
      <c r="F1460">
        <f>_xlfn.XLOOKUP(A1460,'[1]Global_Spot Prices'!$B:$B,'[1]Global_Spot Prices'!$I:$I)</f>
        <v>43.91</v>
      </c>
      <c r="G1460" cm="1">
        <f t="array" ref="G1460">_xlfn.XLOOKUP(TEXT(A1460, "mmm-yy"), TEXT([2]RUNS!$B$5:$B$208, "mmm-yy"), [2]RUNS!$D$5:$D$208, "Not Found")</f>
        <v>27600.053704726481</v>
      </c>
      <c r="H1460" cm="1">
        <f t="array" ref="H1460">SUMPRODUCT(
    --(TEXT('[3]Global Weekly Stock (EWSuez'!$B$4:$B$2000,"mmm-yy")=TEXT(A1460,"mmm-yy")),
    '[3]Global Weekly Stock (EWSuez'!$E$4:$E$2000)
/
SUMPRODUCT(
    --(TEXT('[3]Global Weekly Stock (EWSuez'!$B$4:$B$2000,"mmm-yy")=TEXT(A1460,"mmm-yy"))
)</f>
        <v>14584.25</v>
      </c>
      <c r="I1460">
        <f>_xlfn.XLOOKUP(A1460,[1]ForwardDeriv!$D:$D,[1]ForwardDeriv!$AJ:$AJ)</f>
        <v>-0.14999999999999858</v>
      </c>
      <c r="J1460" cm="1">
        <f t="array" ref="J1460">_xlfn.XLOOKUP(TEXT(A1460, "mmm-yy"), TEXT([2]GASOLINE!$B$5:$B$208, "mmm-yy"), [2]GASOLINE!$IR$5:$IR$208, "Not Found")</f>
        <v>-441.09308750522791</v>
      </c>
      <c r="K1460" cm="1">
        <f t="array" ref="K1460">_xlfn.XLOOKUP(TEXT(A1460, "mmm-yy"), TEXT([2]GASOLINE!$B$5:$B$208, "mmm-yy"), [2]GASOLINE!$IK$5:$IK$208, "Not Found")</f>
        <v>154.10031653202574</v>
      </c>
      <c r="L1460">
        <f t="shared" si="22"/>
        <v>1</v>
      </c>
      <c r="M1460" cm="1">
        <f t="array" ref="M1460">_xlfn.XLOOKUP(TEXT(A1460, "mmm-yy"), TEXT([2]GASOLINE!$B$5:$B$208, "mmm-yy"), [2]GASOLINE!$C$5:$C$208, "Not Found")</f>
        <v>7244.7581463575407</v>
      </c>
      <c r="N1460" cm="1">
        <f t="array" ref="N1460">_xlfn.XLOOKUP(TEXT(A1460, "mmm-yy"), TEXT([2]RUNS!$B$5:$B$208, "mmm-yy"), [2]RUNS!$BM$5:$BM$208, "Not Found")</f>
        <v>0.7530320039268491</v>
      </c>
    </row>
    <row r="1461" spans="1:14" x14ac:dyDescent="0.25">
      <c r="A1461" s="1">
        <f>'[1]Global_Spot Prices'!$B2770</f>
        <v>44048</v>
      </c>
      <c r="B1461">
        <f>_xlfn.XLOOKUP(A1461,'[1]Global_Spot Prices'!$B:$B,'[1]Global_Spot Prices'!$BS:$BS)</f>
        <v>1.759999999999998</v>
      </c>
      <c r="C1461">
        <f>_xlfn.XLOOKUP(A1461,'[1]Global_Spot Prices'!$B:$B,'[1]Global_Spot Prices'!$E:$E)</f>
        <v>43.74</v>
      </c>
      <c r="D1461">
        <f>_xlfn.XLOOKUP(A1461,'[1]Global_Spot Prices'!$B:$B,'[1]Global_Spot Prices'!$D:$D)</f>
        <v>45.92</v>
      </c>
      <c r="E1461">
        <f>_xlfn.XLOOKUP(A1461,'[1]Global_Spot Prices'!$B:$B,'[1]Global_Spot Prices'!$H:$H)</f>
        <v>42.27</v>
      </c>
      <c r="F1461">
        <f>_xlfn.XLOOKUP(A1461,'[1]Global_Spot Prices'!$B:$B,'[1]Global_Spot Prices'!$I:$I)</f>
        <v>45.5</v>
      </c>
      <c r="G1461" cm="1">
        <f t="array" ref="G1461">_xlfn.XLOOKUP(TEXT(A1461, "mmm-yy"), TEXT([2]RUNS!$B$5:$B$208, "mmm-yy"), [2]RUNS!$D$5:$D$208, "Not Found")</f>
        <v>27600.053704726481</v>
      </c>
      <c r="H1461" cm="1">
        <f t="array" ref="H1461">SUMPRODUCT(
    --(TEXT('[3]Global Weekly Stock (EWSuez'!$B$4:$B$2000,"mmm-yy")=TEXT(A1461,"mmm-yy")),
    '[3]Global Weekly Stock (EWSuez'!$E$4:$E$2000)
/
SUMPRODUCT(
    --(TEXT('[3]Global Weekly Stock (EWSuez'!$B$4:$B$2000,"mmm-yy")=TEXT(A1461,"mmm-yy"))
)</f>
        <v>14584.25</v>
      </c>
      <c r="I1461">
        <f>_xlfn.XLOOKUP(A1461,[1]ForwardDeriv!$D:$D,[1]ForwardDeriv!$AJ:$AJ)</f>
        <v>-0.11999999999999744</v>
      </c>
      <c r="J1461" cm="1">
        <f t="array" ref="J1461">_xlfn.XLOOKUP(TEXT(A1461, "mmm-yy"), TEXT([2]GASOLINE!$B$5:$B$208, "mmm-yy"), [2]GASOLINE!$IR$5:$IR$208, "Not Found")</f>
        <v>-441.09308750522791</v>
      </c>
      <c r="K1461" cm="1">
        <f t="array" ref="K1461">_xlfn.XLOOKUP(TEXT(A1461, "mmm-yy"), TEXT([2]GASOLINE!$B$5:$B$208, "mmm-yy"), [2]GASOLINE!$IK$5:$IK$208, "Not Found")</f>
        <v>154.10031653202574</v>
      </c>
      <c r="L1461">
        <f t="shared" si="22"/>
        <v>1</v>
      </c>
      <c r="M1461" cm="1">
        <f t="array" ref="M1461">_xlfn.XLOOKUP(TEXT(A1461, "mmm-yy"), TEXT([2]GASOLINE!$B$5:$B$208, "mmm-yy"), [2]GASOLINE!$C$5:$C$208, "Not Found")</f>
        <v>7244.7581463575407</v>
      </c>
      <c r="N1461" cm="1">
        <f t="array" ref="N1461">_xlfn.XLOOKUP(TEXT(A1461, "mmm-yy"), TEXT([2]RUNS!$B$5:$B$208, "mmm-yy"), [2]RUNS!$BM$5:$BM$208, "Not Found")</f>
        <v>0.7530320039268491</v>
      </c>
    </row>
    <row r="1462" spans="1:14" x14ac:dyDescent="0.25">
      <c r="A1462" s="1">
        <f>'[1]Global_Spot Prices'!$B2771</f>
        <v>44049</v>
      </c>
      <c r="B1462">
        <f>_xlfn.XLOOKUP(A1462,'[1]Global_Spot Prices'!$B:$B,'[1]Global_Spot Prices'!$BS:$BS)</f>
        <v>2.4000000000000057</v>
      </c>
      <c r="C1462">
        <f>_xlfn.XLOOKUP(A1462,'[1]Global_Spot Prices'!$B:$B,'[1]Global_Spot Prices'!$E:$E)</f>
        <v>43.69</v>
      </c>
      <c r="D1462">
        <f>_xlfn.XLOOKUP(A1462,'[1]Global_Spot Prices'!$B:$B,'[1]Global_Spot Prices'!$D:$D)</f>
        <v>45.255000000000003</v>
      </c>
      <c r="E1462">
        <f>_xlfn.XLOOKUP(A1462,'[1]Global_Spot Prices'!$B:$B,'[1]Global_Spot Prices'!$H:$H)</f>
        <v>42.18</v>
      </c>
      <c r="F1462">
        <f>_xlfn.XLOOKUP(A1462,'[1]Global_Spot Prices'!$B:$B,'[1]Global_Spot Prices'!$I:$I)</f>
        <v>46.09</v>
      </c>
      <c r="G1462" cm="1">
        <f t="array" ref="G1462">_xlfn.XLOOKUP(TEXT(A1462, "mmm-yy"), TEXT([2]RUNS!$B$5:$B$208, "mmm-yy"), [2]RUNS!$D$5:$D$208, "Not Found")</f>
        <v>27600.053704726481</v>
      </c>
      <c r="H1462" cm="1">
        <f t="array" ref="H1462">SUMPRODUCT(
    --(TEXT('[3]Global Weekly Stock (EWSuez'!$B$4:$B$2000,"mmm-yy")=TEXT(A1462,"mmm-yy")),
    '[3]Global Weekly Stock (EWSuez'!$E$4:$E$2000)
/
SUMPRODUCT(
    --(TEXT('[3]Global Weekly Stock (EWSuez'!$B$4:$B$2000,"mmm-yy")=TEXT(A1462,"mmm-yy"))
)</f>
        <v>14584.25</v>
      </c>
      <c r="I1462">
        <f>_xlfn.XLOOKUP(A1462,[1]ForwardDeriv!$D:$D,[1]ForwardDeriv!$AJ:$AJ)</f>
        <v>-4.9999999999997158E-2</v>
      </c>
      <c r="J1462" cm="1">
        <f t="array" ref="J1462">_xlfn.XLOOKUP(TEXT(A1462, "mmm-yy"), TEXT([2]GASOLINE!$B$5:$B$208, "mmm-yy"), [2]GASOLINE!$IR$5:$IR$208, "Not Found")</f>
        <v>-441.09308750522791</v>
      </c>
      <c r="K1462" cm="1">
        <f t="array" ref="K1462">_xlfn.XLOOKUP(TEXT(A1462, "mmm-yy"), TEXT([2]GASOLINE!$B$5:$B$208, "mmm-yy"), [2]GASOLINE!$IK$5:$IK$208, "Not Found")</f>
        <v>154.10031653202574</v>
      </c>
      <c r="L1462">
        <f t="shared" si="22"/>
        <v>1</v>
      </c>
      <c r="M1462" cm="1">
        <f t="array" ref="M1462">_xlfn.XLOOKUP(TEXT(A1462, "mmm-yy"), TEXT([2]GASOLINE!$B$5:$B$208, "mmm-yy"), [2]GASOLINE!$C$5:$C$208, "Not Found")</f>
        <v>7244.7581463575407</v>
      </c>
      <c r="N1462" cm="1">
        <f t="array" ref="N1462">_xlfn.XLOOKUP(TEXT(A1462, "mmm-yy"), TEXT([2]RUNS!$B$5:$B$208, "mmm-yy"), [2]RUNS!$BM$5:$BM$208, "Not Found")</f>
        <v>0.7530320039268491</v>
      </c>
    </row>
    <row r="1463" spans="1:14" x14ac:dyDescent="0.25">
      <c r="A1463" s="1">
        <f>'[1]Global_Spot Prices'!$B2772</f>
        <v>44050</v>
      </c>
      <c r="B1463">
        <f>_xlfn.XLOOKUP(A1463,'[1]Global_Spot Prices'!$B:$B,'[1]Global_Spot Prices'!$BS:$BS)</f>
        <v>2.7700000000000031</v>
      </c>
      <c r="C1463">
        <f>_xlfn.XLOOKUP(A1463,'[1]Global_Spot Prices'!$B:$B,'[1]Global_Spot Prices'!$E:$E)</f>
        <v>43.9</v>
      </c>
      <c r="D1463">
        <f>_xlfn.XLOOKUP(A1463,'[1]Global_Spot Prices'!$B:$B,'[1]Global_Spot Prices'!$D:$D)</f>
        <v>44.26</v>
      </c>
      <c r="E1463">
        <f>_xlfn.XLOOKUP(A1463,'[1]Global_Spot Prices'!$B:$B,'[1]Global_Spot Prices'!$H:$H)</f>
        <v>42.03</v>
      </c>
      <c r="F1463">
        <f>_xlfn.XLOOKUP(A1463,'[1]Global_Spot Prices'!$B:$B,'[1]Global_Spot Prices'!$I:$I)</f>
        <v>46.67</v>
      </c>
      <c r="G1463" cm="1">
        <f t="array" ref="G1463">_xlfn.XLOOKUP(TEXT(A1463, "mmm-yy"), TEXT([2]RUNS!$B$5:$B$208, "mmm-yy"), [2]RUNS!$D$5:$D$208, "Not Found")</f>
        <v>27600.053704726481</v>
      </c>
      <c r="H1463" cm="1">
        <f t="array" ref="H1463">SUMPRODUCT(
    --(TEXT('[3]Global Weekly Stock (EWSuez'!$B$4:$B$2000,"mmm-yy")=TEXT(A1463,"mmm-yy")),
    '[3]Global Weekly Stock (EWSuez'!$E$4:$E$2000)
/
SUMPRODUCT(
    --(TEXT('[3]Global Weekly Stock (EWSuez'!$B$4:$B$2000,"mmm-yy")=TEXT(A1463,"mmm-yy"))
)</f>
        <v>14584.25</v>
      </c>
      <c r="I1463">
        <f>_xlfn.XLOOKUP(A1463,[1]ForwardDeriv!$D:$D,[1]ForwardDeriv!$AJ:$AJ)</f>
        <v>2.0000000000003126E-2</v>
      </c>
      <c r="J1463" cm="1">
        <f t="array" ref="J1463">_xlfn.XLOOKUP(TEXT(A1463, "mmm-yy"), TEXT([2]GASOLINE!$B$5:$B$208, "mmm-yy"), [2]GASOLINE!$IR$5:$IR$208, "Not Found")</f>
        <v>-441.09308750522791</v>
      </c>
      <c r="K1463" cm="1">
        <f t="array" ref="K1463">_xlfn.XLOOKUP(TEXT(A1463, "mmm-yy"), TEXT([2]GASOLINE!$B$5:$B$208, "mmm-yy"), [2]GASOLINE!$IK$5:$IK$208, "Not Found")</f>
        <v>154.10031653202574</v>
      </c>
      <c r="L1463">
        <f t="shared" si="22"/>
        <v>1</v>
      </c>
      <c r="M1463" cm="1">
        <f t="array" ref="M1463">_xlfn.XLOOKUP(TEXT(A1463, "mmm-yy"), TEXT([2]GASOLINE!$B$5:$B$208, "mmm-yy"), [2]GASOLINE!$C$5:$C$208, "Not Found")</f>
        <v>7244.7581463575407</v>
      </c>
      <c r="N1463" cm="1">
        <f t="array" ref="N1463">_xlfn.XLOOKUP(TEXT(A1463, "mmm-yy"), TEXT([2]RUNS!$B$5:$B$208, "mmm-yy"), [2]RUNS!$BM$5:$BM$208, "Not Found")</f>
        <v>0.7530320039268491</v>
      </c>
    </row>
    <row r="1464" spans="1:14" x14ac:dyDescent="0.25">
      <c r="A1464" s="1">
        <f>'[1]Global_Spot Prices'!$B2773</f>
        <v>44053</v>
      </c>
      <c r="B1464" t="e">
        <f>_xlfn.XLOOKUP(A1464,'[1]Global_Spot Prices'!$B:$B,'[1]Global_Spot Prices'!$BS:$BS)</f>
        <v>#N/A</v>
      </c>
      <c r="C1464" t="str">
        <f>_xlfn.XLOOKUP(A1464,'[1]Global_Spot Prices'!$B:$B,'[1]Global_Spot Prices'!$E:$E)</f>
        <v/>
      </c>
      <c r="D1464">
        <f>_xlfn.XLOOKUP(A1464,'[1]Global_Spot Prices'!$B:$B,'[1]Global_Spot Prices'!$D:$D)</f>
        <v>44.484999999999999</v>
      </c>
      <c r="E1464">
        <f>_xlfn.XLOOKUP(A1464,'[1]Global_Spot Prices'!$B:$B,'[1]Global_Spot Prices'!$H:$H)</f>
        <v>0</v>
      </c>
      <c r="F1464">
        <f>_xlfn.XLOOKUP(A1464,'[1]Global_Spot Prices'!$B:$B,'[1]Global_Spot Prices'!$I:$I)</f>
        <v>0</v>
      </c>
      <c r="G1464" cm="1">
        <f t="array" ref="G1464">_xlfn.XLOOKUP(TEXT(A1464, "mmm-yy"), TEXT([2]RUNS!$B$5:$B$208, "mmm-yy"), [2]RUNS!$D$5:$D$208, "Not Found")</f>
        <v>27600.053704726481</v>
      </c>
      <c r="H1464" cm="1">
        <f t="array" ref="H1464">SUMPRODUCT(
    --(TEXT('[3]Global Weekly Stock (EWSuez'!$B$4:$B$2000,"mmm-yy")=TEXT(A1464,"mmm-yy")),
    '[3]Global Weekly Stock (EWSuez'!$E$4:$E$2000)
/
SUMPRODUCT(
    --(TEXT('[3]Global Weekly Stock (EWSuez'!$B$4:$B$2000,"mmm-yy")=TEXT(A1464,"mmm-yy"))
)</f>
        <v>14584.25</v>
      </c>
      <c r="I1464">
        <f>_xlfn.XLOOKUP(A1464,[1]ForwardDeriv!$D:$D,[1]ForwardDeriv!$AJ:$AJ)</f>
        <v>0</v>
      </c>
      <c r="J1464" cm="1">
        <f t="array" ref="J1464">_xlfn.XLOOKUP(TEXT(A1464, "mmm-yy"), TEXT([2]GASOLINE!$B$5:$B$208, "mmm-yy"), [2]GASOLINE!$IR$5:$IR$208, "Not Found")</f>
        <v>-441.09308750522791</v>
      </c>
      <c r="K1464" cm="1">
        <f t="array" ref="K1464">_xlfn.XLOOKUP(TEXT(A1464, "mmm-yy"), TEXT([2]GASOLINE!$B$5:$B$208, "mmm-yy"), [2]GASOLINE!$IK$5:$IK$208, "Not Found")</f>
        <v>154.10031653202574</v>
      </c>
      <c r="L1464">
        <f t="shared" si="22"/>
        <v>1</v>
      </c>
      <c r="M1464" cm="1">
        <f t="array" ref="M1464">_xlfn.XLOOKUP(TEXT(A1464, "mmm-yy"), TEXT([2]GASOLINE!$B$5:$B$208, "mmm-yy"), [2]GASOLINE!$C$5:$C$208, "Not Found")</f>
        <v>7244.7581463575407</v>
      </c>
      <c r="N1464" cm="1">
        <f t="array" ref="N1464">_xlfn.XLOOKUP(TEXT(A1464, "mmm-yy"), TEXT([2]RUNS!$B$5:$B$208, "mmm-yy"), [2]RUNS!$BM$5:$BM$208, "Not Found")</f>
        <v>0.7530320039268491</v>
      </c>
    </row>
    <row r="1465" spans="1:14" x14ac:dyDescent="0.25">
      <c r="A1465" s="1">
        <f>'[1]Global_Spot Prices'!$B2774</f>
        <v>44054</v>
      </c>
      <c r="B1465">
        <f>_xlfn.XLOOKUP(A1465,'[1]Global_Spot Prices'!$B:$B,'[1]Global_Spot Prices'!$BS:$BS)</f>
        <v>3.0300000000000011</v>
      </c>
      <c r="C1465">
        <f>_xlfn.XLOOKUP(A1465,'[1]Global_Spot Prices'!$B:$B,'[1]Global_Spot Prices'!$E:$E)</f>
        <v>44.1</v>
      </c>
      <c r="D1465">
        <f>_xlfn.XLOOKUP(A1465,'[1]Global_Spot Prices'!$B:$B,'[1]Global_Spot Prices'!$D:$D)</f>
        <v>44.825000000000003</v>
      </c>
      <c r="E1465">
        <f>_xlfn.XLOOKUP(A1465,'[1]Global_Spot Prices'!$B:$B,'[1]Global_Spot Prices'!$H:$H)</f>
        <v>42.73</v>
      </c>
      <c r="F1465">
        <f>_xlfn.XLOOKUP(A1465,'[1]Global_Spot Prices'!$B:$B,'[1]Global_Spot Prices'!$I:$I)</f>
        <v>47.13</v>
      </c>
      <c r="G1465" cm="1">
        <f t="array" ref="G1465">_xlfn.XLOOKUP(TEXT(A1465, "mmm-yy"), TEXT([2]RUNS!$B$5:$B$208, "mmm-yy"), [2]RUNS!$D$5:$D$208, "Not Found")</f>
        <v>27600.053704726481</v>
      </c>
      <c r="H1465" cm="1">
        <f t="array" ref="H1465">SUMPRODUCT(
    --(TEXT('[3]Global Weekly Stock (EWSuez'!$B$4:$B$2000,"mmm-yy")=TEXT(A1465,"mmm-yy")),
    '[3]Global Weekly Stock (EWSuez'!$E$4:$E$2000)
/
SUMPRODUCT(
    --(TEXT('[3]Global Weekly Stock (EWSuez'!$B$4:$B$2000,"mmm-yy")=TEXT(A1465,"mmm-yy"))
)</f>
        <v>14584.25</v>
      </c>
      <c r="I1465">
        <f>_xlfn.XLOOKUP(A1465,[1]ForwardDeriv!$D:$D,[1]ForwardDeriv!$AJ:$AJ)</f>
        <v>0</v>
      </c>
      <c r="J1465" cm="1">
        <f t="array" ref="J1465">_xlfn.XLOOKUP(TEXT(A1465, "mmm-yy"), TEXT([2]GASOLINE!$B$5:$B$208, "mmm-yy"), [2]GASOLINE!$IR$5:$IR$208, "Not Found")</f>
        <v>-441.09308750522791</v>
      </c>
      <c r="K1465" cm="1">
        <f t="array" ref="K1465">_xlfn.XLOOKUP(TEXT(A1465, "mmm-yy"), TEXT([2]GASOLINE!$B$5:$B$208, "mmm-yy"), [2]GASOLINE!$IK$5:$IK$208, "Not Found")</f>
        <v>154.10031653202574</v>
      </c>
      <c r="L1465">
        <f t="shared" si="22"/>
        <v>1</v>
      </c>
      <c r="M1465" cm="1">
        <f t="array" ref="M1465">_xlfn.XLOOKUP(TEXT(A1465, "mmm-yy"), TEXT([2]GASOLINE!$B$5:$B$208, "mmm-yy"), [2]GASOLINE!$C$5:$C$208, "Not Found")</f>
        <v>7244.7581463575407</v>
      </c>
      <c r="N1465" cm="1">
        <f t="array" ref="N1465">_xlfn.XLOOKUP(TEXT(A1465, "mmm-yy"), TEXT([2]RUNS!$B$5:$B$208, "mmm-yy"), [2]RUNS!$BM$5:$BM$208, "Not Found")</f>
        <v>0.7530320039268491</v>
      </c>
    </row>
    <row r="1466" spans="1:14" x14ac:dyDescent="0.25">
      <c r="A1466" s="1">
        <f>'[1]Global_Spot Prices'!$B2775</f>
        <v>44055</v>
      </c>
      <c r="B1466">
        <f>_xlfn.XLOOKUP(A1466,'[1]Global_Spot Prices'!$B:$B,'[1]Global_Spot Prices'!$BS:$BS)</f>
        <v>3.0500000000000043</v>
      </c>
      <c r="C1466">
        <f>_xlfn.XLOOKUP(A1466,'[1]Global_Spot Prices'!$B:$B,'[1]Global_Spot Prices'!$E:$E)</f>
        <v>43.65</v>
      </c>
      <c r="D1466">
        <f>_xlfn.XLOOKUP(A1466,'[1]Global_Spot Prices'!$B:$B,'[1]Global_Spot Prices'!$D:$D)</f>
        <v>45.094999999999999</v>
      </c>
      <c r="E1466">
        <f>_xlfn.XLOOKUP(A1466,'[1]Global_Spot Prices'!$B:$B,'[1]Global_Spot Prices'!$H:$H)</f>
        <v>41.84</v>
      </c>
      <c r="F1466">
        <f>_xlfn.XLOOKUP(A1466,'[1]Global_Spot Prices'!$B:$B,'[1]Global_Spot Prices'!$I:$I)</f>
        <v>46.7</v>
      </c>
      <c r="G1466" cm="1">
        <f t="array" ref="G1466">_xlfn.XLOOKUP(TEXT(A1466, "mmm-yy"), TEXT([2]RUNS!$B$5:$B$208, "mmm-yy"), [2]RUNS!$D$5:$D$208, "Not Found")</f>
        <v>27600.053704726481</v>
      </c>
      <c r="H1466" cm="1">
        <f t="array" ref="H1466">SUMPRODUCT(
    --(TEXT('[3]Global Weekly Stock (EWSuez'!$B$4:$B$2000,"mmm-yy")=TEXT(A1466,"mmm-yy")),
    '[3]Global Weekly Stock (EWSuez'!$E$4:$E$2000)
/
SUMPRODUCT(
    --(TEXT('[3]Global Weekly Stock (EWSuez'!$B$4:$B$2000,"mmm-yy")=TEXT(A1466,"mmm-yy"))
)</f>
        <v>14584.25</v>
      </c>
      <c r="I1466">
        <f>_xlfn.XLOOKUP(A1466,[1]ForwardDeriv!$D:$D,[1]ForwardDeriv!$AJ:$AJ)</f>
        <v>-7.9999999999998295E-2</v>
      </c>
      <c r="J1466" cm="1">
        <f t="array" ref="J1466">_xlfn.XLOOKUP(TEXT(A1466, "mmm-yy"), TEXT([2]GASOLINE!$B$5:$B$208, "mmm-yy"), [2]GASOLINE!$IR$5:$IR$208, "Not Found")</f>
        <v>-441.09308750522791</v>
      </c>
      <c r="K1466" cm="1">
        <f t="array" ref="K1466">_xlfn.XLOOKUP(TEXT(A1466, "mmm-yy"), TEXT([2]GASOLINE!$B$5:$B$208, "mmm-yy"), [2]GASOLINE!$IK$5:$IK$208, "Not Found")</f>
        <v>154.10031653202574</v>
      </c>
      <c r="L1466">
        <f t="shared" si="22"/>
        <v>1</v>
      </c>
      <c r="M1466" cm="1">
        <f t="array" ref="M1466">_xlfn.XLOOKUP(TEXT(A1466, "mmm-yy"), TEXT([2]GASOLINE!$B$5:$B$208, "mmm-yy"), [2]GASOLINE!$C$5:$C$208, "Not Found")</f>
        <v>7244.7581463575407</v>
      </c>
      <c r="N1466" cm="1">
        <f t="array" ref="N1466">_xlfn.XLOOKUP(TEXT(A1466, "mmm-yy"), TEXT([2]RUNS!$B$5:$B$208, "mmm-yy"), [2]RUNS!$BM$5:$BM$208, "Not Found")</f>
        <v>0.7530320039268491</v>
      </c>
    </row>
    <row r="1467" spans="1:14" x14ac:dyDescent="0.25">
      <c r="A1467" s="1">
        <f>'[1]Global_Spot Prices'!$B2776</f>
        <v>44056</v>
      </c>
      <c r="B1467">
        <f>_xlfn.XLOOKUP(A1467,'[1]Global_Spot Prices'!$B:$B,'[1]Global_Spot Prices'!$BS:$BS)</f>
        <v>2.8900000000000006</v>
      </c>
      <c r="C1467">
        <f>_xlfn.XLOOKUP(A1467,'[1]Global_Spot Prices'!$B:$B,'[1]Global_Spot Prices'!$E:$E)</f>
        <v>44.16</v>
      </c>
      <c r="D1467">
        <f>_xlfn.XLOOKUP(A1467,'[1]Global_Spot Prices'!$B:$B,'[1]Global_Spot Prices'!$D:$D)</f>
        <v>45.06</v>
      </c>
      <c r="E1467">
        <f>_xlfn.XLOOKUP(A1467,'[1]Global_Spot Prices'!$B:$B,'[1]Global_Spot Prices'!$H:$H)</f>
        <v>42.67</v>
      </c>
      <c r="F1467">
        <f>_xlfn.XLOOKUP(A1467,'[1]Global_Spot Prices'!$B:$B,'[1]Global_Spot Prices'!$I:$I)</f>
        <v>47.05</v>
      </c>
      <c r="G1467" cm="1">
        <f t="array" ref="G1467">_xlfn.XLOOKUP(TEXT(A1467, "mmm-yy"), TEXT([2]RUNS!$B$5:$B$208, "mmm-yy"), [2]RUNS!$D$5:$D$208, "Not Found")</f>
        <v>27600.053704726481</v>
      </c>
      <c r="H1467" cm="1">
        <f t="array" ref="H1467">SUMPRODUCT(
    --(TEXT('[3]Global Weekly Stock (EWSuez'!$B$4:$B$2000,"mmm-yy")=TEXT(A1467,"mmm-yy")),
    '[3]Global Weekly Stock (EWSuez'!$E$4:$E$2000)
/
SUMPRODUCT(
    --(TEXT('[3]Global Weekly Stock (EWSuez'!$B$4:$B$2000,"mmm-yy")=TEXT(A1467,"mmm-yy"))
)</f>
        <v>14584.25</v>
      </c>
      <c r="I1467">
        <f>_xlfn.XLOOKUP(A1467,[1]ForwardDeriv!$D:$D,[1]ForwardDeriv!$AJ:$AJ)</f>
        <v>-0.17000000000000171</v>
      </c>
      <c r="J1467" cm="1">
        <f t="array" ref="J1467">_xlfn.XLOOKUP(TEXT(A1467, "mmm-yy"), TEXT([2]GASOLINE!$B$5:$B$208, "mmm-yy"), [2]GASOLINE!$IR$5:$IR$208, "Not Found")</f>
        <v>-441.09308750522791</v>
      </c>
      <c r="K1467" cm="1">
        <f t="array" ref="K1467">_xlfn.XLOOKUP(TEXT(A1467, "mmm-yy"), TEXT([2]GASOLINE!$B$5:$B$208, "mmm-yy"), [2]GASOLINE!$IK$5:$IK$208, "Not Found")</f>
        <v>154.10031653202574</v>
      </c>
      <c r="L1467">
        <f t="shared" si="22"/>
        <v>1</v>
      </c>
      <c r="M1467" cm="1">
        <f t="array" ref="M1467">_xlfn.XLOOKUP(TEXT(A1467, "mmm-yy"), TEXT([2]GASOLINE!$B$5:$B$208, "mmm-yy"), [2]GASOLINE!$C$5:$C$208, "Not Found")</f>
        <v>7244.7581463575407</v>
      </c>
      <c r="N1467" cm="1">
        <f t="array" ref="N1467">_xlfn.XLOOKUP(TEXT(A1467, "mmm-yy"), TEXT([2]RUNS!$B$5:$B$208, "mmm-yy"), [2]RUNS!$BM$5:$BM$208, "Not Found")</f>
        <v>0.7530320039268491</v>
      </c>
    </row>
    <row r="1468" spans="1:14" x14ac:dyDescent="0.25">
      <c r="A1468" s="1">
        <f>'[1]Global_Spot Prices'!$B2777</f>
        <v>44057</v>
      </c>
      <c r="B1468">
        <f>_xlfn.XLOOKUP(A1468,'[1]Global_Spot Prices'!$B:$B,'[1]Global_Spot Prices'!$BS:$BS)</f>
        <v>3.5949999999999989</v>
      </c>
      <c r="C1468">
        <f>_xlfn.XLOOKUP(A1468,'[1]Global_Spot Prices'!$B:$B,'[1]Global_Spot Prices'!$E:$E)</f>
        <v>43.405000000000001</v>
      </c>
      <c r="D1468">
        <f>_xlfn.XLOOKUP(A1468,'[1]Global_Spot Prices'!$B:$B,'[1]Global_Spot Prices'!$D:$D)</f>
        <v>44.515000000000001</v>
      </c>
      <c r="E1468">
        <f>_xlfn.XLOOKUP(A1468,'[1]Global_Spot Prices'!$B:$B,'[1]Global_Spot Prices'!$H:$H)</f>
        <v>42.56</v>
      </c>
      <c r="F1468">
        <f>_xlfn.XLOOKUP(A1468,'[1]Global_Spot Prices'!$B:$B,'[1]Global_Spot Prices'!$I:$I)</f>
        <v>47</v>
      </c>
      <c r="G1468" cm="1">
        <f t="array" ref="G1468">_xlfn.XLOOKUP(TEXT(A1468, "mmm-yy"), TEXT([2]RUNS!$B$5:$B$208, "mmm-yy"), [2]RUNS!$D$5:$D$208, "Not Found")</f>
        <v>27600.053704726481</v>
      </c>
      <c r="H1468" cm="1">
        <f t="array" ref="H1468">SUMPRODUCT(
    --(TEXT('[3]Global Weekly Stock (EWSuez'!$B$4:$B$2000,"mmm-yy")=TEXT(A1468,"mmm-yy")),
    '[3]Global Weekly Stock (EWSuez'!$E$4:$E$2000)
/
SUMPRODUCT(
    --(TEXT('[3]Global Weekly Stock (EWSuez'!$B$4:$B$2000,"mmm-yy")=TEXT(A1468,"mmm-yy"))
)</f>
        <v>14584.25</v>
      </c>
      <c r="I1468">
        <f>_xlfn.XLOOKUP(A1468,[1]ForwardDeriv!$D:$D,[1]ForwardDeriv!$AJ:$AJ)</f>
        <v>-0.10999999999999943</v>
      </c>
      <c r="J1468" cm="1">
        <f t="array" ref="J1468">_xlfn.XLOOKUP(TEXT(A1468, "mmm-yy"), TEXT([2]GASOLINE!$B$5:$B$208, "mmm-yy"), [2]GASOLINE!$IR$5:$IR$208, "Not Found")</f>
        <v>-441.09308750522791</v>
      </c>
      <c r="K1468" cm="1">
        <f t="array" ref="K1468">_xlfn.XLOOKUP(TEXT(A1468, "mmm-yy"), TEXT([2]GASOLINE!$B$5:$B$208, "mmm-yy"), [2]GASOLINE!$IK$5:$IK$208, "Not Found")</f>
        <v>154.10031653202574</v>
      </c>
      <c r="L1468">
        <f t="shared" si="22"/>
        <v>1</v>
      </c>
      <c r="M1468" cm="1">
        <f t="array" ref="M1468">_xlfn.XLOOKUP(TEXT(A1468, "mmm-yy"), TEXT([2]GASOLINE!$B$5:$B$208, "mmm-yy"), [2]GASOLINE!$C$5:$C$208, "Not Found")</f>
        <v>7244.7581463575407</v>
      </c>
      <c r="N1468" cm="1">
        <f t="array" ref="N1468">_xlfn.XLOOKUP(TEXT(A1468, "mmm-yy"), TEXT([2]RUNS!$B$5:$B$208, "mmm-yy"), [2]RUNS!$BM$5:$BM$208, "Not Found")</f>
        <v>0.7530320039268491</v>
      </c>
    </row>
    <row r="1469" spans="1:14" x14ac:dyDescent="0.25">
      <c r="A1469" s="1">
        <f>'[1]Global_Spot Prices'!$B2778</f>
        <v>44060</v>
      </c>
      <c r="B1469">
        <f>_xlfn.XLOOKUP(A1469,'[1]Global_Spot Prices'!$B:$B,'[1]Global_Spot Prices'!$BS:$BS)</f>
        <v>3.6099999999999994</v>
      </c>
      <c r="C1469">
        <f>_xlfn.XLOOKUP(A1469,'[1]Global_Spot Prices'!$B:$B,'[1]Global_Spot Prices'!$E:$E)</f>
        <v>43.7</v>
      </c>
      <c r="D1469">
        <f>_xlfn.XLOOKUP(A1469,'[1]Global_Spot Prices'!$B:$B,'[1]Global_Spot Prices'!$D:$D)</f>
        <v>44.765000000000001</v>
      </c>
      <c r="E1469">
        <f>_xlfn.XLOOKUP(A1469,'[1]Global_Spot Prices'!$B:$B,'[1]Global_Spot Prices'!$H:$H)</f>
        <v>42.53</v>
      </c>
      <c r="F1469">
        <f>_xlfn.XLOOKUP(A1469,'[1]Global_Spot Prices'!$B:$B,'[1]Global_Spot Prices'!$I:$I)</f>
        <v>47.31</v>
      </c>
      <c r="G1469" cm="1">
        <f t="array" ref="G1469">_xlfn.XLOOKUP(TEXT(A1469, "mmm-yy"), TEXT([2]RUNS!$B$5:$B$208, "mmm-yy"), [2]RUNS!$D$5:$D$208, "Not Found")</f>
        <v>27600.053704726481</v>
      </c>
      <c r="H1469" cm="1">
        <f t="array" ref="H1469">SUMPRODUCT(
    --(TEXT('[3]Global Weekly Stock (EWSuez'!$B$4:$B$2000,"mmm-yy")=TEXT(A1469,"mmm-yy")),
    '[3]Global Weekly Stock (EWSuez'!$E$4:$E$2000)
/
SUMPRODUCT(
    --(TEXT('[3]Global Weekly Stock (EWSuez'!$B$4:$B$2000,"mmm-yy")=TEXT(A1469,"mmm-yy"))
)</f>
        <v>14584.25</v>
      </c>
      <c r="I1469">
        <f>_xlfn.XLOOKUP(A1469,[1]ForwardDeriv!$D:$D,[1]ForwardDeriv!$AJ:$AJ)</f>
        <v>-0.14000000000000057</v>
      </c>
      <c r="J1469" cm="1">
        <f t="array" ref="J1469">_xlfn.XLOOKUP(TEXT(A1469, "mmm-yy"), TEXT([2]GASOLINE!$B$5:$B$208, "mmm-yy"), [2]GASOLINE!$IR$5:$IR$208, "Not Found")</f>
        <v>-441.09308750522791</v>
      </c>
      <c r="K1469" cm="1">
        <f t="array" ref="K1469">_xlfn.XLOOKUP(TEXT(A1469, "mmm-yy"), TEXT([2]GASOLINE!$B$5:$B$208, "mmm-yy"), [2]GASOLINE!$IK$5:$IK$208, "Not Found")</f>
        <v>154.10031653202574</v>
      </c>
      <c r="L1469">
        <f t="shared" si="22"/>
        <v>1</v>
      </c>
      <c r="M1469" cm="1">
        <f t="array" ref="M1469">_xlfn.XLOOKUP(TEXT(A1469, "mmm-yy"), TEXT([2]GASOLINE!$B$5:$B$208, "mmm-yy"), [2]GASOLINE!$C$5:$C$208, "Not Found")</f>
        <v>7244.7581463575407</v>
      </c>
      <c r="N1469" cm="1">
        <f t="array" ref="N1469">_xlfn.XLOOKUP(TEXT(A1469, "mmm-yy"), TEXT([2]RUNS!$B$5:$B$208, "mmm-yy"), [2]RUNS!$BM$5:$BM$208, "Not Found")</f>
        <v>0.7530320039268491</v>
      </c>
    </row>
    <row r="1470" spans="1:14" x14ac:dyDescent="0.25">
      <c r="A1470" s="1">
        <f>'[1]Global_Spot Prices'!$B2779</f>
        <v>44061</v>
      </c>
      <c r="B1470">
        <f>_xlfn.XLOOKUP(A1470,'[1]Global_Spot Prices'!$B:$B,'[1]Global_Spot Prices'!$BS:$BS)</f>
        <v>3.5599999999999952</v>
      </c>
      <c r="C1470">
        <f>_xlfn.XLOOKUP(A1470,'[1]Global_Spot Prices'!$B:$B,'[1]Global_Spot Prices'!$E:$E)</f>
        <v>44.45</v>
      </c>
      <c r="D1470">
        <f>_xlfn.XLOOKUP(A1470,'[1]Global_Spot Prices'!$B:$B,'[1]Global_Spot Prices'!$D:$D)</f>
        <v>45.125</v>
      </c>
      <c r="E1470">
        <f>_xlfn.XLOOKUP(A1470,'[1]Global_Spot Prices'!$B:$B,'[1]Global_Spot Prices'!$H:$H)</f>
        <v>43.04</v>
      </c>
      <c r="F1470">
        <f>_xlfn.XLOOKUP(A1470,'[1]Global_Spot Prices'!$B:$B,'[1]Global_Spot Prices'!$I:$I)</f>
        <v>48.01</v>
      </c>
      <c r="G1470" cm="1">
        <f t="array" ref="G1470">_xlfn.XLOOKUP(TEXT(A1470, "mmm-yy"), TEXT([2]RUNS!$B$5:$B$208, "mmm-yy"), [2]RUNS!$D$5:$D$208, "Not Found")</f>
        <v>27600.053704726481</v>
      </c>
      <c r="H1470" cm="1">
        <f t="array" ref="H1470">SUMPRODUCT(
    --(TEXT('[3]Global Weekly Stock (EWSuez'!$B$4:$B$2000,"mmm-yy")=TEXT(A1470,"mmm-yy")),
    '[3]Global Weekly Stock (EWSuez'!$E$4:$E$2000)
/
SUMPRODUCT(
    --(TEXT('[3]Global Weekly Stock (EWSuez'!$B$4:$B$2000,"mmm-yy")=TEXT(A1470,"mmm-yy"))
)</f>
        <v>14584.25</v>
      </c>
      <c r="I1470">
        <f>_xlfn.XLOOKUP(A1470,[1]ForwardDeriv!$D:$D,[1]ForwardDeriv!$AJ:$AJ)</f>
        <v>-7.0000000000000284E-2</v>
      </c>
      <c r="J1470" cm="1">
        <f t="array" ref="J1470">_xlfn.XLOOKUP(TEXT(A1470, "mmm-yy"), TEXT([2]GASOLINE!$B$5:$B$208, "mmm-yy"), [2]GASOLINE!$IR$5:$IR$208, "Not Found")</f>
        <v>-441.09308750522791</v>
      </c>
      <c r="K1470" cm="1">
        <f t="array" ref="K1470">_xlfn.XLOOKUP(TEXT(A1470, "mmm-yy"), TEXT([2]GASOLINE!$B$5:$B$208, "mmm-yy"), [2]GASOLINE!$IK$5:$IK$208, "Not Found")</f>
        <v>154.10031653202574</v>
      </c>
      <c r="L1470">
        <f t="shared" si="22"/>
        <v>1</v>
      </c>
      <c r="M1470" cm="1">
        <f t="array" ref="M1470">_xlfn.XLOOKUP(TEXT(A1470, "mmm-yy"), TEXT([2]GASOLINE!$B$5:$B$208, "mmm-yy"), [2]GASOLINE!$C$5:$C$208, "Not Found")</f>
        <v>7244.7581463575407</v>
      </c>
      <c r="N1470" cm="1">
        <f t="array" ref="N1470">_xlfn.XLOOKUP(TEXT(A1470, "mmm-yy"), TEXT([2]RUNS!$B$5:$B$208, "mmm-yy"), [2]RUNS!$BM$5:$BM$208, "Not Found")</f>
        <v>0.7530320039268491</v>
      </c>
    </row>
    <row r="1471" spans="1:14" x14ac:dyDescent="0.25">
      <c r="A1471" s="1">
        <f>'[1]Global_Spot Prices'!$B2780</f>
        <v>44062</v>
      </c>
      <c r="B1471">
        <f>_xlfn.XLOOKUP(A1471,'[1]Global_Spot Prices'!$B:$B,'[1]Global_Spot Prices'!$BS:$BS)</f>
        <v>3.7100000000000009</v>
      </c>
      <c r="C1471">
        <f>_xlfn.XLOOKUP(A1471,'[1]Global_Spot Prices'!$B:$B,'[1]Global_Spot Prices'!$E:$E)</f>
        <v>43.79</v>
      </c>
      <c r="D1471">
        <f>_xlfn.XLOOKUP(A1471,'[1]Global_Spot Prices'!$B:$B,'[1]Global_Spot Prices'!$D:$D)</f>
        <v>45.034999999999997</v>
      </c>
      <c r="E1471">
        <f>_xlfn.XLOOKUP(A1471,'[1]Global_Spot Prices'!$B:$B,'[1]Global_Spot Prices'!$H:$H)</f>
        <v>42.2</v>
      </c>
      <c r="F1471">
        <f>_xlfn.XLOOKUP(A1471,'[1]Global_Spot Prices'!$B:$B,'[1]Global_Spot Prices'!$I:$I)</f>
        <v>47.5</v>
      </c>
      <c r="G1471" cm="1">
        <f t="array" ref="G1471">_xlfn.XLOOKUP(TEXT(A1471, "mmm-yy"), TEXT([2]RUNS!$B$5:$B$208, "mmm-yy"), [2]RUNS!$D$5:$D$208, "Not Found")</f>
        <v>27600.053704726481</v>
      </c>
      <c r="H1471" cm="1">
        <f t="array" ref="H1471">SUMPRODUCT(
    --(TEXT('[3]Global Weekly Stock (EWSuez'!$B$4:$B$2000,"mmm-yy")=TEXT(A1471,"mmm-yy")),
    '[3]Global Weekly Stock (EWSuez'!$E$4:$E$2000)
/
SUMPRODUCT(
    --(TEXT('[3]Global Weekly Stock (EWSuez'!$B$4:$B$2000,"mmm-yy")=TEXT(A1471,"mmm-yy"))
)</f>
        <v>14584.25</v>
      </c>
      <c r="I1471">
        <f>_xlfn.XLOOKUP(A1471,[1]ForwardDeriv!$D:$D,[1]ForwardDeriv!$AJ:$AJ)</f>
        <v>-9.9999999999994316E-2</v>
      </c>
      <c r="J1471" cm="1">
        <f t="array" ref="J1471">_xlfn.XLOOKUP(TEXT(A1471, "mmm-yy"), TEXT([2]GASOLINE!$B$5:$B$208, "mmm-yy"), [2]GASOLINE!$IR$5:$IR$208, "Not Found")</f>
        <v>-441.09308750522791</v>
      </c>
      <c r="K1471" cm="1">
        <f t="array" ref="K1471">_xlfn.XLOOKUP(TEXT(A1471, "mmm-yy"), TEXT([2]GASOLINE!$B$5:$B$208, "mmm-yy"), [2]GASOLINE!$IK$5:$IK$208, "Not Found")</f>
        <v>154.10031653202574</v>
      </c>
      <c r="L1471">
        <f t="shared" si="22"/>
        <v>1</v>
      </c>
      <c r="M1471" cm="1">
        <f t="array" ref="M1471">_xlfn.XLOOKUP(TEXT(A1471, "mmm-yy"), TEXT([2]GASOLINE!$B$5:$B$208, "mmm-yy"), [2]GASOLINE!$C$5:$C$208, "Not Found")</f>
        <v>7244.7581463575407</v>
      </c>
      <c r="N1471" cm="1">
        <f t="array" ref="N1471">_xlfn.XLOOKUP(TEXT(A1471, "mmm-yy"), TEXT([2]RUNS!$B$5:$B$208, "mmm-yy"), [2]RUNS!$BM$5:$BM$208, "Not Found")</f>
        <v>0.7530320039268491</v>
      </c>
    </row>
    <row r="1472" spans="1:14" x14ac:dyDescent="0.25">
      <c r="A1472" s="1">
        <f>'[1]Global_Spot Prices'!$B2781</f>
        <v>44063</v>
      </c>
      <c r="B1472">
        <f>_xlfn.XLOOKUP(A1472,'[1]Global_Spot Prices'!$B:$B,'[1]Global_Spot Prices'!$BS:$BS)</f>
        <v>3.7999999999999972</v>
      </c>
      <c r="C1472">
        <f>_xlfn.XLOOKUP(A1472,'[1]Global_Spot Prices'!$B:$B,'[1]Global_Spot Prices'!$E:$E)</f>
        <v>43.86</v>
      </c>
      <c r="D1472">
        <f>_xlfn.XLOOKUP(A1472,'[1]Global_Spot Prices'!$B:$B,'[1]Global_Spot Prices'!$D:$D)</f>
        <v>44.375</v>
      </c>
      <c r="E1472">
        <f>_xlfn.XLOOKUP(A1472,'[1]Global_Spot Prices'!$B:$B,'[1]Global_Spot Prices'!$H:$H)</f>
        <v>42.84</v>
      </c>
      <c r="F1472">
        <f>_xlfn.XLOOKUP(A1472,'[1]Global_Spot Prices'!$B:$B,'[1]Global_Spot Prices'!$I:$I)</f>
        <v>47.66</v>
      </c>
      <c r="G1472" cm="1">
        <f t="array" ref="G1472">_xlfn.XLOOKUP(TEXT(A1472, "mmm-yy"), TEXT([2]RUNS!$B$5:$B$208, "mmm-yy"), [2]RUNS!$D$5:$D$208, "Not Found")</f>
        <v>27600.053704726481</v>
      </c>
      <c r="H1472" cm="1">
        <f t="array" ref="H1472">SUMPRODUCT(
    --(TEXT('[3]Global Weekly Stock (EWSuez'!$B$4:$B$2000,"mmm-yy")=TEXT(A1472,"mmm-yy")),
    '[3]Global Weekly Stock (EWSuez'!$E$4:$E$2000)
/
SUMPRODUCT(
    --(TEXT('[3]Global Weekly Stock (EWSuez'!$B$4:$B$2000,"mmm-yy")=TEXT(A1472,"mmm-yy"))
)</f>
        <v>14584.25</v>
      </c>
      <c r="I1472">
        <f>_xlfn.XLOOKUP(A1472,[1]ForwardDeriv!$D:$D,[1]ForwardDeriv!$AJ:$AJ)</f>
        <v>-9.9999999999994316E-2</v>
      </c>
      <c r="J1472" cm="1">
        <f t="array" ref="J1472">_xlfn.XLOOKUP(TEXT(A1472, "mmm-yy"), TEXT([2]GASOLINE!$B$5:$B$208, "mmm-yy"), [2]GASOLINE!$IR$5:$IR$208, "Not Found")</f>
        <v>-441.09308750522791</v>
      </c>
      <c r="K1472" cm="1">
        <f t="array" ref="K1472">_xlfn.XLOOKUP(TEXT(A1472, "mmm-yy"), TEXT([2]GASOLINE!$B$5:$B$208, "mmm-yy"), [2]GASOLINE!$IK$5:$IK$208, "Not Found")</f>
        <v>154.10031653202574</v>
      </c>
      <c r="L1472">
        <f t="shared" si="22"/>
        <v>1</v>
      </c>
      <c r="M1472" cm="1">
        <f t="array" ref="M1472">_xlfn.XLOOKUP(TEXT(A1472, "mmm-yy"), TEXT([2]GASOLINE!$B$5:$B$208, "mmm-yy"), [2]GASOLINE!$C$5:$C$208, "Not Found")</f>
        <v>7244.7581463575407</v>
      </c>
      <c r="N1472" cm="1">
        <f t="array" ref="N1472">_xlfn.XLOOKUP(TEXT(A1472, "mmm-yy"), TEXT([2]RUNS!$B$5:$B$208, "mmm-yy"), [2]RUNS!$BM$5:$BM$208, "Not Found")</f>
        <v>0.7530320039268491</v>
      </c>
    </row>
    <row r="1473" spans="1:14" x14ac:dyDescent="0.25">
      <c r="A1473" s="1">
        <f>'[1]Global_Spot Prices'!$B2782</f>
        <v>44064</v>
      </c>
      <c r="B1473">
        <f>_xlfn.XLOOKUP(A1473,'[1]Global_Spot Prices'!$B:$B,'[1]Global_Spot Prices'!$BS:$BS)</f>
        <v>3.8399999999999963</v>
      </c>
      <c r="C1473">
        <f>_xlfn.XLOOKUP(A1473,'[1]Global_Spot Prices'!$B:$B,'[1]Global_Spot Prices'!$E:$E)</f>
        <v>43.95</v>
      </c>
      <c r="D1473">
        <f>_xlfn.XLOOKUP(A1473,'[1]Global_Spot Prices'!$B:$B,'[1]Global_Spot Prices'!$D:$D)</f>
        <v>43.57</v>
      </c>
      <c r="E1473">
        <f>_xlfn.XLOOKUP(A1473,'[1]Global_Spot Prices'!$B:$B,'[1]Global_Spot Prices'!$H:$H)</f>
        <v>43.23</v>
      </c>
      <c r="F1473">
        <f>_xlfn.XLOOKUP(A1473,'[1]Global_Spot Prices'!$B:$B,'[1]Global_Spot Prices'!$I:$I)</f>
        <v>47.79</v>
      </c>
      <c r="G1473" cm="1">
        <f t="array" ref="G1473">_xlfn.XLOOKUP(TEXT(A1473, "mmm-yy"), TEXT([2]RUNS!$B$5:$B$208, "mmm-yy"), [2]RUNS!$D$5:$D$208, "Not Found")</f>
        <v>27600.053704726481</v>
      </c>
      <c r="H1473" cm="1">
        <f t="array" ref="H1473">SUMPRODUCT(
    --(TEXT('[3]Global Weekly Stock (EWSuez'!$B$4:$B$2000,"mmm-yy")=TEXT(A1473,"mmm-yy")),
    '[3]Global Weekly Stock (EWSuez'!$E$4:$E$2000)
/
SUMPRODUCT(
    --(TEXT('[3]Global Weekly Stock (EWSuez'!$B$4:$B$2000,"mmm-yy")=TEXT(A1473,"mmm-yy"))
)</f>
        <v>14584.25</v>
      </c>
      <c r="I1473">
        <f>_xlfn.XLOOKUP(A1473,[1]ForwardDeriv!$D:$D,[1]ForwardDeriv!$AJ:$AJ)</f>
        <v>-7.9999999999998295E-2</v>
      </c>
      <c r="J1473" cm="1">
        <f t="array" ref="J1473">_xlfn.XLOOKUP(TEXT(A1473, "mmm-yy"), TEXT([2]GASOLINE!$B$5:$B$208, "mmm-yy"), [2]GASOLINE!$IR$5:$IR$208, "Not Found")</f>
        <v>-441.09308750522791</v>
      </c>
      <c r="K1473" cm="1">
        <f t="array" ref="K1473">_xlfn.XLOOKUP(TEXT(A1473, "mmm-yy"), TEXT([2]GASOLINE!$B$5:$B$208, "mmm-yy"), [2]GASOLINE!$IK$5:$IK$208, "Not Found")</f>
        <v>154.10031653202574</v>
      </c>
      <c r="L1473">
        <f t="shared" si="22"/>
        <v>1</v>
      </c>
      <c r="M1473" cm="1">
        <f t="array" ref="M1473">_xlfn.XLOOKUP(TEXT(A1473, "mmm-yy"), TEXT([2]GASOLINE!$B$5:$B$208, "mmm-yy"), [2]GASOLINE!$C$5:$C$208, "Not Found")</f>
        <v>7244.7581463575407</v>
      </c>
      <c r="N1473" cm="1">
        <f t="array" ref="N1473">_xlfn.XLOOKUP(TEXT(A1473, "mmm-yy"), TEXT([2]RUNS!$B$5:$B$208, "mmm-yy"), [2]RUNS!$BM$5:$BM$208, "Not Found")</f>
        <v>0.7530320039268491</v>
      </c>
    </row>
    <row r="1474" spans="1:14" x14ac:dyDescent="0.25">
      <c r="A1474" s="1">
        <f>'[1]Global_Spot Prices'!$B2783</f>
        <v>44067</v>
      </c>
      <c r="B1474">
        <f>_xlfn.XLOOKUP(A1474,'[1]Global_Spot Prices'!$B:$B,'[1]Global_Spot Prices'!$BS:$BS)</f>
        <v>4.009999999999998</v>
      </c>
      <c r="C1474">
        <f>_xlfn.XLOOKUP(A1474,'[1]Global_Spot Prices'!$B:$B,'[1]Global_Spot Prices'!$E:$E)</f>
        <v>43.75</v>
      </c>
      <c r="D1474">
        <f>_xlfn.XLOOKUP(A1474,'[1]Global_Spot Prices'!$B:$B,'[1]Global_Spot Prices'!$D:$D)</f>
        <v>44.805</v>
      </c>
      <c r="E1474">
        <f>_xlfn.XLOOKUP(A1474,'[1]Global_Spot Prices'!$B:$B,'[1]Global_Spot Prices'!$H:$H)</f>
        <v>43.87</v>
      </c>
      <c r="F1474">
        <f>_xlfn.XLOOKUP(A1474,'[1]Global_Spot Prices'!$B:$B,'[1]Global_Spot Prices'!$I:$I)</f>
        <v>47.76</v>
      </c>
      <c r="G1474" cm="1">
        <f t="array" ref="G1474">_xlfn.XLOOKUP(TEXT(A1474, "mmm-yy"), TEXT([2]RUNS!$B$5:$B$208, "mmm-yy"), [2]RUNS!$D$5:$D$208, "Not Found")</f>
        <v>27600.053704726481</v>
      </c>
      <c r="H1474" cm="1">
        <f t="array" ref="H1474">SUMPRODUCT(
    --(TEXT('[3]Global Weekly Stock (EWSuez'!$B$4:$B$2000,"mmm-yy")=TEXT(A1474,"mmm-yy")),
    '[3]Global Weekly Stock (EWSuez'!$E$4:$E$2000)
/
SUMPRODUCT(
    --(TEXT('[3]Global Weekly Stock (EWSuez'!$B$4:$B$2000,"mmm-yy")=TEXT(A1474,"mmm-yy"))
)</f>
        <v>14584.25</v>
      </c>
      <c r="I1474">
        <f>_xlfn.XLOOKUP(A1474,[1]ForwardDeriv!$D:$D,[1]ForwardDeriv!$AJ:$AJ)</f>
        <v>-7.0000000000000284E-2</v>
      </c>
      <c r="J1474" cm="1">
        <f t="array" ref="J1474">_xlfn.XLOOKUP(TEXT(A1474, "mmm-yy"), TEXT([2]GASOLINE!$B$5:$B$208, "mmm-yy"), [2]GASOLINE!$IR$5:$IR$208, "Not Found")</f>
        <v>-441.09308750522791</v>
      </c>
      <c r="K1474" cm="1">
        <f t="array" ref="K1474">_xlfn.XLOOKUP(TEXT(A1474, "mmm-yy"), TEXT([2]GASOLINE!$B$5:$B$208, "mmm-yy"), [2]GASOLINE!$IK$5:$IK$208, "Not Found")</f>
        <v>154.10031653202574</v>
      </c>
      <c r="L1474">
        <f t="shared" si="22"/>
        <v>1</v>
      </c>
      <c r="M1474" cm="1">
        <f t="array" ref="M1474">_xlfn.XLOOKUP(TEXT(A1474, "mmm-yy"), TEXT([2]GASOLINE!$B$5:$B$208, "mmm-yy"), [2]GASOLINE!$C$5:$C$208, "Not Found")</f>
        <v>7244.7581463575407</v>
      </c>
      <c r="N1474" cm="1">
        <f t="array" ref="N1474">_xlfn.XLOOKUP(TEXT(A1474, "mmm-yy"), TEXT([2]RUNS!$B$5:$B$208, "mmm-yy"), [2]RUNS!$BM$5:$BM$208, "Not Found")</f>
        <v>0.7530320039268491</v>
      </c>
    </row>
    <row r="1475" spans="1:14" x14ac:dyDescent="0.25">
      <c r="A1475" s="1">
        <f>'[1]Global_Spot Prices'!$B2784</f>
        <v>44068</v>
      </c>
      <c r="B1475">
        <f>_xlfn.XLOOKUP(A1475,'[1]Global_Spot Prices'!$B:$B,'[1]Global_Spot Prices'!$BS:$BS)</f>
        <v>4.0900000000000034</v>
      </c>
      <c r="C1475">
        <f>_xlfn.XLOOKUP(A1475,'[1]Global_Spot Prices'!$B:$B,'[1]Global_Spot Prices'!$E:$E)</f>
        <v>44.36</v>
      </c>
      <c r="D1475">
        <f>_xlfn.XLOOKUP(A1475,'[1]Global_Spot Prices'!$B:$B,'[1]Global_Spot Prices'!$D:$D)</f>
        <v>45.984999999999999</v>
      </c>
      <c r="E1475">
        <f>_xlfn.XLOOKUP(A1475,'[1]Global_Spot Prices'!$B:$B,'[1]Global_Spot Prices'!$H:$H)</f>
        <v>44.62</v>
      </c>
      <c r="F1475">
        <f>_xlfn.XLOOKUP(A1475,'[1]Global_Spot Prices'!$B:$B,'[1]Global_Spot Prices'!$I:$I)</f>
        <v>48.45</v>
      </c>
      <c r="G1475" cm="1">
        <f t="array" ref="G1475">_xlfn.XLOOKUP(TEXT(A1475, "mmm-yy"), TEXT([2]RUNS!$B$5:$B$208, "mmm-yy"), [2]RUNS!$D$5:$D$208, "Not Found")</f>
        <v>27600.053704726481</v>
      </c>
      <c r="H1475" cm="1">
        <f t="array" ref="H1475">SUMPRODUCT(
    --(TEXT('[3]Global Weekly Stock (EWSuez'!$B$4:$B$2000,"mmm-yy")=TEXT(A1475,"mmm-yy")),
    '[3]Global Weekly Stock (EWSuez'!$E$4:$E$2000)
/
SUMPRODUCT(
    --(TEXT('[3]Global Weekly Stock (EWSuez'!$B$4:$B$2000,"mmm-yy")=TEXT(A1475,"mmm-yy"))
)</f>
        <v>14584.25</v>
      </c>
      <c r="I1475">
        <f>_xlfn.XLOOKUP(A1475,[1]ForwardDeriv!$D:$D,[1]ForwardDeriv!$AJ:$AJ)</f>
        <v>-0.11000000000000654</v>
      </c>
      <c r="J1475" cm="1">
        <f t="array" ref="J1475">_xlfn.XLOOKUP(TEXT(A1475, "mmm-yy"), TEXT([2]GASOLINE!$B$5:$B$208, "mmm-yy"), [2]GASOLINE!$IR$5:$IR$208, "Not Found")</f>
        <v>-441.09308750522791</v>
      </c>
      <c r="K1475" cm="1">
        <f t="array" ref="K1475">_xlfn.XLOOKUP(TEXT(A1475, "mmm-yy"), TEXT([2]GASOLINE!$B$5:$B$208, "mmm-yy"), [2]GASOLINE!$IK$5:$IK$208, "Not Found")</f>
        <v>154.10031653202574</v>
      </c>
      <c r="L1475">
        <f t="shared" ref="L1475:L1538" si="23">IF(OR(MONTH(A1475)=6, MONTH(A1475)=7, MONTH(A1475)=8, MONTH(A1475)=9), 1, 0)</f>
        <v>1</v>
      </c>
      <c r="M1475" cm="1">
        <f t="array" ref="M1475">_xlfn.XLOOKUP(TEXT(A1475, "mmm-yy"), TEXT([2]GASOLINE!$B$5:$B$208, "mmm-yy"), [2]GASOLINE!$C$5:$C$208, "Not Found")</f>
        <v>7244.7581463575407</v>
      </c>
      <c r="N1475" cm="1">
        <f t="array" ref="N1475">_xlfn.XLOOKUP(TEXT(A1475, "mmm-yy"), TEXT([2]RUNS!$B$5:$B$208, "mmm-yy"), [2]RUNS!$BM$5:$BM$208, "Not Found")</f>
        <v>0.7530320039268491</v>
      </c>
    </row>
    <row r="1476" spans="1:14" x14ac:dyDescent="0.25">
      <c r="A1476" s="1">
        <f>'[1]Global_Spot Prices'!$B2785</f>
        <v>44069</v>
      </c>
      <c r="B1476">
        <f>_xlfn.XLOOKUP(A1476,'[1]Global_Spot Prices'!$B:$B,'[1]Global_Spot Prices'!$BS:$BS)</f>
        <v>3.5350000000000037</v>
      </c>
      <c r="C1476">
        <f>_xlfn.XLOOKUP(A1476,'[1]Global_Spot Prices'!$B:$B,'[1]Global_Spot Prices'!$E:$E)</f>
        <v>44.805</v>
      </c>
      <c r="D1476">
        <f>_xlfn.XLOOKUP(A1476,'[1]Global_Spot Prices'!$B:$B,'[1]Global_Spot Prices'!$D:$D)</f>
        <v>45.5</v>
      </c>
      <c r="E1476">
        <f>_xlfn.XLOOKUP(A1476,'[1]Global_Spot Prices'!$B:$B,'[1]Global_Spot Prices'!$H:$H)</f>
        <v>44.7</v>
      </c>
      <c r="F1476">
        <f>_xlfn.XLOOKUP(A1476,'[1]Global_Spot Prices'!$B:$B,'[1]Global_Spot Prices'!$I:$I)</f>
        <v>48.34</v>
      </c>
      <c r="G1476" cm="1">
        <f t="array" ref="G1476">_xlfn.XLOOKUP(TEXT(A1476, "mmm-yy"), TEXT([2]RUNS!$B$5:$B$208, "mmm-yy"), [2]RUNS!$D$5:$D$208, "Not Found")</f>
        <v>27600.053704726481</v>
      </c>
      <c r="H1476" cm="1">
        <f t="array" ref="H1476">SUMPRODUCT(
    --(TEXT('[3]Global Weekly Stock (EWSuez'!$B$4:$B$2000,"mmm-yy")=TEXT(A1476,"mmm-yy")),
    '[3]Global Weekly Stock (EWSuez'!$E$4:$E$2000)
/
SUMPRODUCT(
    --(TEXT('[3]Global Weekly Stock (EWSuez'!$B$4:$B$2000,"mmm-yy")=TEXT(A1476,"mmm-yy"))
)</f>
        <v>14584.25</v>
      </c>
      <c r="I1476">
        <f>_xlfn.XLOOKUP(A1476,[1]ForwardDeriv!$D:$D,[1]ForwardDeriv!$AJ:$AJ)</f>
        <v>-0.10999999999999943</v>
      </c>
      <c r="J1476" cm="1">
        <f t="array" ref="J1476">_xlfn.XLOOKUP(TEXT(A1476, "mmm-yy"), TEXT([2]GASOLINE!$B$5:$B$208, "mmm-yy"), [2]GASOLINE!$IR$5:$IR$208, "Not Found")</f>
        <v>-441.09308750522791</v>
      </c>
      <c r="K1476" cm="1">
        <f t="array" ref="K1476">_xlfn.XLOOKUP(TEXT(A1476, "mmm-yy"), TEXT([2]GASOLINE!$B$5:$B$208, "mmm-yy"), [2]GASOLINE!$IK$5:$IK$208, "Not Found")</f>
        <v>154.10031653202574</v>
      </c>
      <c r="L1476">
        <f t="shared" si="23"/>
        <v>1</v>
      </c>
      <c r="M1476" cm="1">
        <f t="array" ref="M1476">_xlfn.XLOOKUP(TEXT(A1476, "mmm-yy"), TEXT([2]GASOLINE!$B$5:$B$208, "mmm-yy"), [2]GASOLINE!$C$5:$C$208, "Not Found")</f>
        <v>7244.7581463575407</v>
      </c>
      <c r="N1476" cm="1">
        <f t="array" ref="N1476">_xlfn.XLOOKUP(TEXT(A1476, "mmm-yy"), TEXT([2]RUNS!$B$5:$B$208, "mmm-yy"), [2]RUNS!$BM$5:$BM$208, "Not Found")</f>
        <v>0.7530320039268491</v>
      </c>
    </row>
    <row r="1477" spans="1:14" x14ac:dyDescent="0.25">
      <c r="A1477" s="1">
        <f>'[1]Global_Spot Prices'!$B2786</f>
        <v>44070</v>
      </c>
      <c r="B1477">
        <f>_xlfn.XLOOKUP(A1477,'[1]Global_Spot Prices'!$B:$B,'[1]Global_Spot Prices'!$BS:$BS)</f>
        <v>3.6899999999999977</v>
      </c>
      <c r="C1477">
        <f>_xlfn.XLOOKUP(A1477,'[1]Global_Spot Prices'!$B:$B,'[1]Global_Spot Prices'!$E:$E)</f>
        <v>44.96</v>
      </c>
      <c r="D1477">
        <f>_xlfn.XLOOKUP(A1477,'[1]Global_Spot Prices'!$B:$B,'[1]Global_Spot Prices'!$D:$D)</f>
        <v>44.814999999999998</v>
      </c>
      <c r="E1477">
        <f>_xlfn.XLOOKUP(A1477,'[1]Global_Spot Prices'!$B:$B,'[1]Global_Spot Prices'!$H:$H)</f>
        <v>44.54</v>
      </c>
      <c r="F1477">
        <f>_xlfn.XLOOKUP(A1477,'[1]Global_Spot Prices'!$B:$B,'[1]Global_Spot Prices'!$I:$I)</f>
        <v>48.65</v>
      </c>
      <c r="G1477" cm="1">
        <f t="array" ref="G1477">_xlfn.XLOOKUP(TEXT(A1477, "mmm-yy"), TEXT([2]RUNS!$B$5:$B$208, "mmm-yy"), [2]RUNS!$D$5:$D$208, "Not Found")</f>
        <v>27600.053704726481</v>
      </c>
      <c r="H1477" cm="1">
        <f t="array" ref="H1477">SUMPRODUCT(
    --(TEXT('[3]Global Weekly Stock (EWSuez'!$B$4:$B$2000,"mmm-yy")=TEXT(A1477,"mmm-yy")),
    '[3]Global Weekly Stock (EWSuez'!$E$4:$E$2000)
/
SUMPRODUCT(
    --(TEXT('[3]Global Weekly Stock (EWSuez'!$B$4:$B$2000,"mmm-yy")=TEXT(A1477,"mmm-yy"))
)</f>
        <v>14584.25</v>
      </c>
      <c r="I1477">
        <f>_xlfn.XLOOKUP(A1477,[1]ForwardDeriv!$D:$D,[1]ForwardDeriv!$AJ:$AJ)</f>
        <v>-0.10000000000000142</v>
      </c>
      <c r="J1477" cm="1">
        <f t="array" ref="J1477">_xlfn.XLOOKUP(TEXT(A1477, "mmm-yy"), TEXT([2]GASOLINE!$B$5:$B$208, "mmm-yy"), [2]GASOLINE!$IR$5:$IR$208, "Not Found")</f>
        <v>-441.09308750522791</v>
      </c>
      <c r="K1477" cm="1">
        <f t="array" ref="K1477">_xlfn.XLOOKUP(TEXT(A1477, "mmm-yy"), TEXT([2]GASOLINE!$B$5:$B$208, "mmm-yy"), [2]GASOLINE!$IK$5:$IK$208, "Not Found")</f>
        <v>154.10031653202574</v>
      </c>
      <c r="L1477">
        <f t="shared" si="23"/>
        <v>1</v>
      </c>
      <c r="M1477" cm="1">
        <f t="array" ref="M1477">_xlfn.XLOOKUP(TEXT(A1477, "mmm-yy"), TEXT([2]GASOLINE!$B$5:$B$208, "mmm-yy"), [2]GASOLINE!$C$5:$C$208, "Not Found")</f>
        <v>7244.7581463575407</v>
      </c>
      <c r="N1477" cm="1">
        <f t="array" ref="N1477">_xlfn.XLOOKUP(TEXT(A1477, "mmm-yy"), TEXT([2]RUNS!$B$5:$B$208, "mmm-yy"), [2]RUNS!$BM$5:$BM$208, "Not Found")</f>
        <v>0.7530320039268491</v>
      </c>
    </row>
    <row r="1478" spans="1:14" x14ac:dyDescent="0.25">
      <c r="A1478" s="1">
        <f>'[1]Global_Spot Prices'!$B2787</f>
        <v>44071</v>
      </c>
      <c r="B1478">
        <f>_xlfn.XLOOKUP(A1478,'[1]Global_Spot Prices'!$B:$B,'[1]Global_Spot Prices'!$BS:$BS)</f>
        <v>2.6999999999999957</v>
      </c>
      <c r="C1478">
        <f>_xlfn.XLOOKUP(A1478,'[1]Global_Spot Prices'!$B:$B,'[1]Global_Spot Prices'!$E:$E)</f>
        <v>44.1</v>
      </c>
      <c r="D1478">
        <f>_xlfn.XLOOKUP(A1478,'[1]Global_Spot Prices'!$B:$B,'[1]Global_Spot Prices'!$D:$D)</f>
        <v>44.875</v>
      </c>
      <c r="E1478">
        <f>_xlfn.XLOOKUP(A1478,'[1]Global_Spot Prices'!$B:$B,'[1]Global_Spot Prices'!$H:$H)</f>
        <v>43.44</v>
      </c>
      <c r="F1478">
        <f>_xlfn.XLOOKUP(A1478,'[1]Global_Spot Prices'!$B:$B,'[1]Global_Spot Prices'!$I:$I)</f>
        <v>46.8</v>
      </c>
      <c r="G1478" cm="1">
        <f t="array" ref="G1478">_xlfn.XLOOKUP(TEXT(A1478, "mmm-yy"), TEXT([2]RUNS!$B$5:$B$208, "mmm-yy"), [2]RUNS!$D$5:$D$208, "Not Found")</f>
        <v>27600.053704726481</v>
      </c>
      <c r="H1478" cm="1">
        <f t="array" ref="H1478">SUMPRODUCT(
    --(TEXT('[3]Global Weekly Stock (EWSuez'!$B$4:$B$2000,"mmm-yy")=TEXT(A1478,"mmm-yy")),
    '[3]Global Weekly Stock (EWSuez'!$E$4:$E$2000)
/
SUMPRODUCT(
    --(TEXT('[3]Global Weekly Stock (EWSuez'!$B$4:$B$2000,"mmm-yy")=TEXT(A1478,"mmm-yy"))
)</f>
        <v>14584.25</v>
      </c>
      <c r="I1478">
        <f>_xlfn.XLOOKUP(A1478,[1]ForwardDeriv!$D:$D,[1]ForwardDeriv!$AJ:$AJ)</f>
        <v>-0.21000000000000085</v>
      </c>
      <c r="J1478" cm="1">
        <f t="array" ref="J1478">_xlfn.XLOOKUP(TEXT(A1478, "mmm-yy"), TEXT([2]GASOLINE!$B$5:$B$208, "mmm-yy"), [2]GASOLINE!$IR$5:$IR$208, "Not Found")</f>
        <v>-441.09308750522791</v>
      </c>
      <c r="K1478" cm="1">
        <f t="array" ref="K1478">_xlfn.XLOOKUP(TEXT(A1478, "mmm-yy"), TEXT([2]GASOLINE!$B$5:$B$208, "mmm-yy"), [2]GASOLINE!$IK$5:$IK$208, "Not Found")</f>
        <v>154.10031653202574</v>
      </c>
      <c r="L1478">
        <f t="shared" si="23"/>
        <v>1</v>
      </c>
      <c r="M1478" cm="1">
        <f t="array" ref="M1478">_xlfn.XLOOKUP(TEXT(A1478, "mmm-yy"), TEXT([2]GASOLINE!$B$5:$B$208, "mmm-yy"), [2]GASOLINE!$C$5:$C$208, "Not Found")</f>
        <v>7244.7581463575407</v>
      </c>
      <c r="N1478" cm="1">
        <f t="array" ref="N1478">_xlfn.XLOOKUP(TEXT(A1478, "mmm-yy"), TEXT([2]RUNS!$B$5:$B$208, "mmm-yy"), [2]RUNS!$BM$5:$BM$208, "Not Found")</f>
        <v>0.7530320039268491</v>
      </c>
    </row>
    <row r="1479" spans="1:14" x14ac:dyDescent="0.25">
      <c r="A1479" s="1">
        <f>'[1]Global_Spot Prices'!$B2788</f>
        <v>44074</v>
      </c>
      <c r="B1479">
        <f>_xlfn.XLOOKUP(A1479,'[1]Global_Spot Prices'!$B:$B,'[1]Global_Spot Prices'!$BS:$BS)</f>
        <v>2.740000000000002</v>
      </c>
      <c r="C1479">
        <f>_xlfn.XLOOKUP(A1479,'[1]Global_Spot Prices'!$B:$B,'[1]Global_Spot Prices'!$E:$E)</f>
        <v>45.91</v>
      </c>
      <c r="D1479" t="str">
        <f>_xlfn.XLOOKUP(A1479,'[1]Global_Spot Prices'!$B:$B,'[1]Global_Spot Prices'!$D:$D)</f>
        <v/>
      </c>
      <c r="E1479">
        <f>_xlfn.XLOOKUP(A1479,'[1]Global_Spot Prices'!$B:$B,'[1]Global_Spot Prices'!$H:$H)</f>
        <v>44.71</v>
      </c>
      <c r="F1479">
        <f>_xlfn.XLOOKUP(A1479,'[1]Global_Spot Prices'!$B:$B,'[1]Global_Spot Prices'!$I:$I)</f>
        <v>48.65</v>
      </c>
      <c r="G1479" cm="1">
        <f t="array" ref="G1479">_xlfn.XLOOKUP(TEXT(A1479, "mmm-yy"), TEXT([2]RUNS!$B$5:$B$208, "mmm-yy"), [2]RUNS!$D$5:$D$208, "Not Found")</f>
        <v>27600.053704726481</v>
      </c>
      <c r="H1479" cm="1">
        <f t="array" ref="H1479">SUMPRODUCT(
    --(TEXT('[3]Global Weekly Stock (EWSuez'!$B$4:$B$2000,"mmm-yy")=TEXT(A1479,"mmm-yy")),
    '[3]Global Weekly Stock (EWSuez'!$E$4:$E$2000)
/
SUMPRODUCT(
    --(TEXT('[3]Global Weekly Stock (EWSuez'!$B$4:$B$2000,"mmm-yy")=TEXT(A1479,"mmm-yy"))
)</f>
        <v>14584.25</v>
      </c>
      <c r="I1479">
        <f>_xlfn.XLOOKUP(A1479,[1]ForwardDeriv!$D:$D,[1]ForwardDeriv!$AJ:$AJ)</f>
        <v>-0.15000000000000568</v>
      </c>
      <c r="J1479" cm="1">
        <f t="array" ref="J1479">_xlfn.XLOOKUP(TEXT(A1479, "mmm-yy"), TEXT([2]GASOLINE!$B$5:$B$208, "mmm-yy"), [2]GASOLINE!$IR$5:$IR$208, "Not Found")</f>
        <v>-441.09308750522791</v>
      </c>
      <c r="K1479" cm="1">
        <f t="array" ref="K1479">_xlfn.XLOOKUP(TEXT(A1479, "mmm-yy"), TEXT([2]GASOLINE!$B$5:$B$208, "mmm-yy"), [2]GASOLINE!$IK$5:$IK$208, "Not Found")</f>
        <v>154.10031653202574</v>
      </c>
      <c r="L1479">
        <f t="shared" si="23"/>
        <v>1</v>
      </c>
      <c r="M1479" cm="1">
        <f t="array" ref="M1479">_xlfn.XLOOKUP(TEXT(A1479, "mmm-yy"), TEXT([2]GASOLINE!$B$5:$B$208, "mmm-yy"), [2]GASOLINE!$C$5:$C$208, "Not Found")</f>
        <v>7244.7581463575407</v>
      </c>
      <c r="N1479" cm="1">
        <f t="array" ref="N1479">_xlfn.XLOOKUP(TEXT(A1479, "mmm-yy"), TEXT([2]RUNS!$B$5:$B$208, "mmm-yy"), [2]RUNS!$BM$5:$BM$208, "Not Found")</f>
        <v>0.7530320039268491</v>
      </c>
    </row>
    <row r="1480" spans="1:14" x14ac:dyDescent="0.25">
      <c r="A1480" s="1">
        <f>'[1]Global_Spot Prices'!$B2789</f>
        <v>44075</v>
      </c>
      <c r="B1480">
        <f>_xlfn.XLOOKUP(A1480,'[1]Global_Spot Prices'!$B:$B,'[1]Global_Spot Prices'!$BS:$BS)</f>
        <v>1.5350000000000037</v>
      </c>
      <c r="C1480">
        <f>_xlfn.XLOOKUP(A1480,'[1]Global_Spot Prices'!$B:$B,'[1]Global_Spot Prices'!$E:$E)</f>
        <v>45.094999999999999</v>
      </c>
      <c r="D1480">
        <f>_xlfn.XLOOKUP(A1480,'[1]Global_Spot Prices'!$B:$B,'[1]Global_Spot Prices'!$D:$D)</f>
        <v>44.305</v>
      </c>
      <c r="E1480">
        <f>_xlfn.XLOOKUP(A1480,'[1]Global_Spot Prices'!$B:$B,'[1]Global_Spot Prices'!$H:$H)</f>
        <v>44.71</v>
      </c>
      <c r="F1480">
        <f>_xlfn.XLOOKUP(A1480,'[1]Global_Spot Prices'!$B:$B,'[1]Global_Spot Prices'!$I:$I)</f>
        <v>46.63</v>
      </c>
      <c r="G1480" cm="1">
        <f t="array" ref="G1480">_xlfn.XLOOKUP(TEXT(A1480, "mmm-yy"), TEXT([2]RUNS!$B$5:$B$208, "mmm-yy"), [2]RUNS!$D$5:$D$208, "Not Found")</f>
        <v>27974.368714499051</v>
      </c>
      <c r="H1480" cm="1">
        <f t="array" ref="H1480">SUMPRODUCT(
    --(TEXT('[3]Global Weekly Stock (EWSuez'!$B$4:$B$2000,"mmm-yy")=TEXT(A1480,"mmm-yy")),
    '[3]Global Weekly Stock (EWSuez'!$E$4:$E$2000)
/
SUMPRODUCT(
    --(TEXT('[3]Global Weekly Stock (EWSuez'!$B$4:$B$2000,"mmm-yy")=TEXT(A1480,"mmm-yy"))
)</f>
        <v>15004.75</v>
      </c>
      <c r="I1480">
        <f>_xlfn.XLOOKUP(A1480,[1]ForwardDeriv!$D:$D,[1]ForwardDeriv!$AJ:$AJ)</f>
        <v>-0.39999999999999858</v>
      </c>
      <c r="J1480" cm="1">
        <f t="array" ref="J1480">_xlfn.XLOOKUP(TEXT(A1480, "mmm-yy"), TEXT([2]GASOLINE!$B$5:$B$208, "mmm-yy"), [2]GASOLINE!$IR$5:$IR$208, "Not Found")</f>
        <v>-348.17998057542007</v>
      </c>
      <c r="K1480" cm="1">
        <f t="array" ref="K1480">_xlfn.XLOOKUP(TEXT(A1480, "mmm-yy"), TEXT([2]GASOLINE!$B$5:$B$208, "mmm-yy"), [2]GASOLINE!$IK$5:$IK$208, "Not Found")</f>
        <v>153.12583000838427</v>
      </c>
      <c r="L1480">
        <f t="shared" si="23"/>
        <v>1</v>
      </c>
      <c r="M1480" cm="1">
        <f t="array" ref="M1480">_xlfn.XLOOKUP(TEXT(A1480, "mmm-yy"), TEXT([2]GASOLINE!$B$5:$B$208, "mmm-yy"), [2]GASOLINE!$C$5:$C$208, "Not Found")</f>
        <v>7207.7195502677168</v>
      </c>
      <c r="N1480" cm="1">
        <f t="array" ref="N1480">_xlfn.XLOOKUP(TEXT(A1480, "mmm-yy"), TEXT([2]RUNS!$B$5:$B$208, "mmm-yy"), [2]RUNS!$BM$5:$BM$208, "Not Found")</f>
        <v>0.763244708036938</v>
      </c>
    </row>
    <row r="1481" spans="1:14" x14ac:dyDescent="0.25">
      <c r="A1481" s="1">
        <f>'[1]Global_Spot Prices'!$B2790</f>
        <v>44076</v>
      </c>
      <c r="B1481">
        <f>_xlfn.XLOOKUP(A1481,'[1]Global_Spot Prices'!$B:$B,'[1]Global_Spot Prices'!$BS:$BS)</f>
        <v>2.230000000000004</v>
      </c>
      <c r="C1481">
        <f>_xlfn.XLOOKUP(A1481,'[1]Global_Spot Prices'!$B:$B,'[1]Global_Spot Prices'!$E:$E)</f>
        <v>45.29</v>
      </c>
      <c r="D1481">
        <f>_xlfn.XLOOKUP(A1481,'[1]Global_Spot Prices'!$B:$B,'[1]Global_Spot Prices'!$D:$D)</f>
        <v>43.034999999999997</v>
      </c>
      <c r="E1481">
        <f>_xlfn.XLOOKUP(A1481,'[1]Global_Spot Prices'!$B:$B,'[1]Global_Spot Prices'!$H:$H)</f>
        <v>45.17</v>
      </c>
      <c r="F1481">
        <f>_xlfn.XLOOKUP(A1481,'[1]Global_Spot Prices'!$B:$B,'[1]Global_Spot Prices'!$I:$I)</f>
        <v>47.52</v>
      </c>
      <c r="G1481" cm="1">
        <f t="array" ref="G1481">_xlfn.XLOOKUP(TEXT(A1481, "mmm-yy"), TEXT([2]RUNS!$B$5:$B$208, "mmm-yy"), [2]RUNS!$D$5:$D$208, "Not Found")</f>
        <v>27974.368714499051</v>
      </c>
      <c r="H1481" cm="1">
        <f t="array" ref="H1481">SUMPRODUCT(
    --(TEXT('[3]Global Weekly Stock (EWSuez'!$B$4:$B$2000,"mmm-yy")=TEXT(A1481,"mmm-yy")),
    '[3]Global Weekly Stock (EWSuez'!$E$4:$E$2000)
/
SUMPRODUCT(
    --(TEXT('[3]Global Weekly Stock (EWSuez'!$B$4:$B$2000,"mmm-yy")=TEXT(A1481,"mmm-yy"))
)</f>
        <v>15004.75</v>
      </c>
      <c r="I1481">
        <f>_xlfn.XLOOKUP(A1481,[1]ForwardDeriv!$D:$D,[1]ForwardDeriv!$AJ:$AJ)</f>
        <v>-0.38999999999999346</v>
      </c>
      <c r="J1481" cm="1">
        <f t="array" ref="J1481">_xlfn.XLOOKUP(TEXT(A1481, "mmm-yy"), TEXT([2]GASOLINE!$B$5:$B$208, "mmm-yy"), [2]GASOLINE!$IR$5:$IR$208, "Not Found")</f>
        <v>-348.17998057542007</v>
      </c>
      <c r="K1481" cm="1">
        <f t="array" ref="K1481">_xlfn.XLOOKUP(TEXT(A1481, "mmm-yy"), TEXT([2]GASOLINE!$B$5:$B$208, "mmm-yy"), [2]GASOLINE!$IK$5:$IK$208, "Not Found")</f>
        <v>153.12583000838427</v>
      </c>
      <c r="L1481">
        <f t="shared" si="23"/>
        <v>1</v>
      </c>
      <c r="M1481" cm="1">
        <f t="array" ref="M1481">_xlfn.XLOOKUP(TEXT(A1481, "mmm-yy"), TEXT([2]GASOLINE!$B$5:$B$208, "mmm-yy"), [2]GASOLINE!$C$5:$C$208, "Not Found")</f>
        <v>7207.7195502677168</v>
      </c>
      <c r="N1481" cm="1">
        <f t="array" ref="N1481">_xlfn.XLOOKUP(TEXT(A1481, "mmm-yy"), TEXT([2]RUNS!$B$5:$B$208, "mmm-yy"), [2]RUNS!$BM$5:$BM$208, "Not Found")</f>
        <v>0.763244708036938</v>
      </c>
    </row>
    <row r="1482" spans="1:14" x14ac:dyDescent="0.25">
      <c r="A1482" s="1">
        <f>'[1]Global_Spot Prices'!$B2791</f>
        <v>44077</v>
      </c>
      <c r="B1482">
        <f>_xlfn.XLOOKUP(A1482,'[1]Global_Spot Prices'!$B:$B,'[1]Global_Spot Prices'!$BS:$BS)</f>
        <v>2.1950000000000003</v>
      </c>
      <c r="C1482">
        <f>_xlfn.XLOOKUP(A1482,'[1]Global_Spot Prices'!$B:$B,'[1]Global_Spot Prices'!$E:$E)</f>
        <v>43.405000000000001</v>
      </c>
      <c r="D1482">
        <f>_xlfn.XLOOKUP(A1482,'[1]Global_Spot Prices'!$B:$B,'[1]Global_Spot Prices'!$D:$D)</f>
        <v>41.57</v>
      </c>
      <c r="E1482">
        <f>_xlfn.XLOOKUP(A1482,'[1]Global_Spot Prices'!$B:$B,'[1]Global_Spot Prices'!$H:$H)</f>
        <v>43.91</v>
      </c>
      <c r="F1482">
        <f>_xlfn.XLOOKUP(A1482,'[1]Global_Spot Prices'!$B:$B,'[1]Global_Spot Prices'!$I:$I)</f>
        <v>45.6</v>
      </c>
      <c r="G1482" cm="1">
        <f t="array" ref="G1482">_xlfn.XLOOKUP(TEXT(A1482, "mmm-yy"), TEXT([2]RUNS!$B$5:$B$208, "mmm-yy"), [2]RUNS!$D$5:$D$208, "Not Found")</f>
        <v>27974.368714499051</v>
      </c>
      <c r="H1482" cm="1">
        <f t="array" ref="H1482">SUMPRODUCT(
    --(TEXT('[3]Global Weekly Stock (EWSuez'!$B$4:$B$2000,"mmm-yy")=TEXT(A1482,"mmm-yy")),
    '[3]Global Weekly Stock (EWSuez'!$E$4:$E$2000)
/
SUMPRODUCT(
    --(TEXT('[3]Global Weekly Stock (EWSuez'!$B$4:$B$2000,"mmm-yy")=TEXT(A1482,"mmm-yy"))
)</f>
        <v>15004.75</v>
      </c>
      <c r="I1482">
        <f>_xlfn.XLOOKUP(A1482,[1]ForwardDeriv!$D:$D,[1]ForwardDeriv!$AJ:$AJ)</f>
        <v>-0.35999999999999943</v>
      </c>
      <c r="J1482" cm="1">
        <f t="array" ref="J1482">_xlfn.XLOOKUP(TEXT(A1482, "mmm-yy"), TEXT([2]GASOLINE!$B$5:$B$208, "mmm-yy"), [2]GASOLINE!$IR$5:$IR$208, "Not Found")</f>
        <v>-348.17998057542007</v>
      </c>
      <c r="K1482" cm="1">
        <f t="array" ref="K1482">_xlfn.XLOOKUP(TEXT(A1482, "mmm-yy"), TEXT([2]GASOLINE!$B$5:$B$208, "mmm-yy"), [2]GASOLINE!$IK$5:$IK$208, "Not Found")</f>
        <v>153.12583000838427</v>
      </c>
      <c r="L1482">
        <f t="shared" si="23"/>
        <v>1</v>
      </c>
      <c r="M1482" cm="1">
        <f t="array" ref="M1482">_xlfn.XLOOKUP(TEXT(A1482, "mmm-yy"), TEXT([2]GASOLINE!$B$5:$B$208, "mmm-yy"), [2]GASOLINE!$C$5:$C$208, "Not Found")</f>
        <v>7207.7195502677168</v>
      </c>
      <c r="N1482" cm="1">
        <f t="array" ref="N1482">_xlfn.XLOOKUP(TEXT(A1482, "mmm-yy"), TEXT([2]RUNS!$B$5:$B$208, "mmm-yy"), [2]RUNS!$BM$5:$BM$208, "Not Found")</f>
        <v>0.763244708036938</v>
      </c>
    </row>
    <row r="1483" spans="1:14" x14ac:dyDescent="0.25">
      <c r="A1483" s="1">
        <f>'[1]Global_Spot Prices'!$B2792</f>
        <v>44078</v>
      </c>
      <c r="B1483">
        <f>_xlfn.XLOOKUP(A1483,'[1]Global_Spot Prices'!$B:$B,'[1]Global_Spot Prices'!$BS:$BS)</f>
        <v>2.5899999999999963</v>
      </c>
      <c r="C1483">
        <f>_xlfn.XLOOKUP(A1483,'[1]Global_Spot Prices'!$B:$B,'[1]Global_Spot Prices'!$E:$E)</f>
        <v>43.81</v>
      </c>
      <c r="D1483">
        <f>_xlfn.XLOOKUP(A1483,'[1]Global_Spot Prices'!$B:$B,'[1]Global_Spot Prices'!$D:$D)</f>
        <v>41.21</v>
      </c>
      <c r="E1483">
        <f>_xlfn.XLOOKUP(A1483,'[1]Global_Spot Prices'!$B:$B,'[1]Global_Spot Prices'!$H:$H)</f>
        <v>44.43</v>
      </c>
      <c r="F1483">
        <f>_xlfn.XLOOKUP(A1483,'[1]Global_Spot Prices'!$B:$B,'[1]Global_Spot Prices'!$I:$I)</f>
        <v>46.4</v>
      </c>
      <c r="G1483" cm="1">
        <f t="array" ref="G1483">_xlfn.XLOOKUP(TEXT(A1483, "mmm-yy"), TEXT([2]RUNS!$B$5:$B$208, "mmm-yy"), [2]RUNS!$D$5:$D$208, "Not Found")</f>
        <v>27974.368714499051</v>
      </c>
      <c r="H1483" cm="1">
        <f t="array" ref="H1483">SUMPRODUCT(
    --(TEXT('[3]Global Weekly Stock (EWSuez'!$B$4:$B$2000,"mmm-yy")=TEXT(A1483,"mmm-yy")),
    '[3]Global Weekly Stock (EWSuez'!$E$4:$E$2000)
/
SUMPRODUCT(
    --(TEXT('[3]Global Weekly Stock (EWSuez'!$B$4:$B$2000,"mmm-yy")=TEXT(A1483,"mmm-yy"))
)</f>
        <v>15004.75</v>
      </c>
      <c r="I1483">
        <f>_xlfn.XLOOKUP(A1483,[1]ForwardDeriv!$D:$D,[1]ForwardDeriv!$AJ:$AJ)</f>
        <v>-0.39000000000000057</v>
      </c>
      <c r="J1483" cm="1">
        <f t="array" ref="J1483">_xlfn.XLOOKUP(TEXT(A1483, "mmm-yy"), TEXT([2]GASOLINE!$B$5:$B$208, "mmm-yy"), [2]GASOLINE!$IR$5:$IR$208, "Not Found")</f>
        <v>-348.17998057542007</v>
      </c>
      <c r="K1483" cm="1">
        <f t="array" ref="K1483">_xlfn.XLOOKUP(TEXT(A1483, "mmm-yy"), TEXT([2]GASOLINE!$B$5:$B$208, "mmm-yy"), [2]GASOLINE!$IK$5:$IK$208, "Not Found")</f>
        <v>153.12583000838427</v>
      </c>
      <c r="L1483">
        <f t="shared" si="23"/>
        <v>1</v>
      </c>
      <c r="M1483" cm="1">
        <f t="array" ref="M1483">_xlfn.XLOOKUP(TEXT(A1483, "mmm-yy"), TEXT([2]GASOLINE!$B$5:$B$208, "mmm-yy"), [2]GASOLINE!$C$5:$C$208, "Not Found")</f>
        <v>7207.7195502677168</v>
      </c>
      <c r="N1483" cm="1">
        <f t="array" ref="N1483">_xlfn.XLOOKUP(TEXT(A1483, "mmm-yy"), TEXT([2]RUNS!$B$5:$B$208, "mmm-yy"), [2]RUNS!$BM$5:$BM$208, "Not Found")</f>
        <v>0.763244708036938</v>
      </c>
    </row>
    <row r="1484" spans="1:14" x14ac:dyDescent="0.25">
      <c r="A1484" s="1">
        <f>'[1]Global_Spot Prices'!$B2793</f>
        <v>44081</v>
      </c>
      <c r="B1484">
        <f>_xlfn.XLOOKUP(A1484,'[1]Global_Spot Prices'!$B:$B,'[1]Global_Spot Prices'!$BS:$BS)</f>
        <v>3.5700000000000003</v>
      </c>
      <c r="C1484">
        <f>_xlfn.XLOOKUP(A1484,'[1]Global_Spot Prices'!$B:$B,'[1]Global_Spot Prices'!$E:$E)</f>
        <v>41.45</v>
      </c>
      <c r="D1484">
        <f>_xlfn.XLOOKUP(A1484,'[1]Global_Spot Prices'!$B:$B,'[1]Global_Spot Prices'!$D:$D)</f>
        <v>40.5</v>
      </c>
      <c r="E1484">
        <f>_xlfn.XLOOKUP(A1484,'[1]Global_Spot Prices'!$B:$B,'[1]Global_Spot Prices'!$H:$H)</f>
        <v>42.48</v>
      </c>
      <c r="F1484">
        <f>_xlfn.XLOOKUP(A1484,'[1]Global_Spot Prices'!$B:$B,'[1]Global_Spot Prices'!$I:$I)</f>
        <v>45.02</v>
      </c>
      <c r="G1484" cm="1">
        <f t="array" ref="G1484">_xlfn.XLOOKUP(TEXT(A1484, "mmm-yy"), TEXT([2]RUNS!$B$5:$B$208, "mmm-yy"), [2]RUNS!$D$5:$D$208, "Not Found")</f>
        <v>27974.368714499051</v>
      </c>
      <c r="H1484" cm="1">
        <f t="array" ref="H1484">SUMPRODUCT(
    --(TEXT('[3]Global Weekly Stock (EWSuez'!$B$4:$B$2000,"mmm-yy")=TEXT(A1484,"mmm-yy")),
    '[3]Global Weekly Stock (EWSuez'!$E$4:$E$2000)
/
SUMPRODUCT(
    --(TEXT('[3]Global Weekly Stock (EWSuez'!$B$4:$B$2000,"mmm-yy")=TEXT(A1484,"mmm-yy"))
)</f>
        <v>15004.75</v>
      </c>
      <c r="I1484">
        <f>_xlfn.XLOOKUP(A1484,[1]ForwardDeriv!$D:$D,[1]ForwardDeriv!$AJ:$AJ)</f>
        <v>-0.23999999999999488</v>
      </c>
      <c r="J1484" cm="1">
        <f t="array" ref="J1484">_xlfn.XLOOKUP(TEXT(A1484, "mmm-yy"), TEXT([2]GASOLINE!$B$5:$B$208, "mmm-yy"), [2]GASOLINE!$IR$5:$IR$208, "Not Found")</f>
        <v>-348.17998057542007</v>
      </c>
      <c r="K1484" cm="1">
        <f t="array" ref="K1484">_xlfn.XLOOKUP(TEXT(A1484, "mmm-yy"), TEXT([2]GASOLINE!$B$5:$B$208, "mmm-yy"), [2]GASOLINE!$IK$5:$IK$208, "Not Found")</f>
        <v>153.12583000838427</v>
      </c>
      <c r="L1484">
        <f t="shared" si="23"/>
        <v>1</v>
      </c>
      <c r="M1484" cm="1">
        <f t="array" ref="M1484">_xlfn.XLOOKUP(TEXT(A1484, "mmm-yy"), TEXT([2]GASOLINE!$B$5:$B$208, "mmm-yy"), [2]GASOLINE!$C$5:$C$208, "Not Found")</f>
        <v>7207.7195502677168</v>
      </c>
      <c r="N1484" cm="1">
        <f t="array" ref="N1484">_xlfn.XLOOKUP(TEXT(A1484, "mmm-yy"), TEXT([2]RUNS!$B$5:$B$208, "mmm-yy"), [2]RUNS!$BM$5:$BM$208, "Not Found")</f>
        <v>0.763244708036938</v>
      </c>
    </row>
    <row r="1485" spans="1:14" x14ac:dyDescent="0.25">
      <c r="A1485" s="1">
        <f>'[1]Global_Spot Prices'!$B2794</f>
        <v>44082</v>
      </c>
      <c r="B1485">
        <f>_xlfn.XLOOKUP(A1485,'[1]Global_Spot Prices'!$B:$B,'[1]Global_Spot Prices'!$BS:$BS)</f>
        <v>3.7000000000000028</v>
      </c>
      <c r="C1485">
        <f>_xlfn.XLOOKUP(A1485,'[1]Global_Spot Prices'!$B:$B,'[1]Global_Spot Prices'!$E:$E)</f>
        <v>40.65</v>
      </c>
      <c r="D1485">
        <f>_xlfn.XLOOKUP(A1485,'[1]Global_Spot Prices'!$B:$B,'[1]Global_Spot Prices'!$D:$D)</f>
        <v>38.505000000000003</v>
      </c>
      <c r="E1485">
        <f>_xlfn.XLOOKUP(A1485,'[1]Global_Spot Prices'!$B:$B,'[1]Global_Spot Prices'!$H:$H)</f>
        <v>42.44</v>
      </c>
      <c r="F1485">
        <f>_xlfn.XLOOKUP(A1485,'[1]Global_Spot Prices'!$B:$B,'[1]Global_Spot Prices'!$I:$I)</f>
        <v>44.35</v>
      </c>
      <c r="G1485" cm="1">
        <f t="array" ref="G1485">_xlfn.XLOOKUP(TEXT(A1485, "mmm-yy"), TEXT([2]RUNS!$B$5:$B$208, "mmm-yy"), [2]RUNS!$D$5:$D$208, "Not Found")</f>
        <v>27974.368714499051</v>
      </c>
      <c r="H1485" cm="1">
        <f t="array" ref="H1485">SUMPRODUCT(
    --(TEXT('[3]Global Weekly Stock (EWSuez'!$B$4:$B$2000,"mmm-yy")=TEXT(A1485,"mmm-yy")),
    '[3]Global Weekly Stock (EWSuez'!$E$4:$E$2000)
/
SUMPRODUCT(
    --(TEXT('[3]Global Weekly Stock (EWSuez'!$B$4:$B$2000,"mmm-yy")=TEXT(A1485,"mmm-yy"))
)</f>
        <v>15004.75</v>
      </c>
      <c r="I1485">
        <f>_xlfn.XLOOKUP(A1485,[1]ForwardDeriv!$D:$D,[1]ForwardDeriv!$AJ:$AJ)</f>
        <v>-0.17000000000000171</v>
      </c>
      <c r="J1485" cm="1">
        <f t="array" ref="J1485">_xlfn.XLOOKUP(TEXT(A1485, "mmm-yy"), TEXT([2]GASOLINE!$B$5:$B$208, "mmm-yy"), [2]GASOLINE!$IR$5:$IR$208, "Not Found")</f>
        <v>-348.17998057542007</v>
      </c>
      <c r="K1485" cm="1">
        <f t="array" ref="K1485">_xlfn.XLOOKUP(TEXT(A1485, "mmm-yy"), TEXT([2]GASOLINE!$B$5:$B$208, "mmm-yy"), [2]GASOLINE!$IK$5:$IK$208, "Not Found")</f>
        <v>153.12583000838427</v>
      </c>
      <c r="L1485">
        <f t="shared" si="23"/>
        <v>1</v>
      </c>
      <c r="M1485" cm="1">
        <f t="array" ref="M1485">_xlfn.XLOOKUP(TEXT(A1485, "mmm-yy"), TEXT([2]GASOLINE!$B$5:$B$208, "mmm-yy"), [2]GASOLINE!$C$5:$C$208, "Not Found")</f>
        <v>7207.7195502677168</v>
      </c>
      <c r="N1485" cm="1">
        <f t="array" ref="N1485">_xlfn.XLOOKUP(TEXT(A1485, "mmm-yy"), TEXT([2]RUNS!$B$5:$B$208, "mmm-yy"), [2]RUNS!$BM$5:$BM$208, "Not Found")</f>
        <v>0.763244708036938</v>
      </c>
    </row>
    <row r="1486" spans="1:14" x14ac:dyDescent="0.25">
      <c r="A1486" s="1">
        <f>'[1]Global_Spot Prices'!$B2795</f>
        <v>44083</v>
      </c>
      <c r="B1486">
        <f>_xlfn.XLOOKUP(A1486,'[1]Global_Spot Prices'!$B:$B,'[1]Global_Spot Prices'!$BS:$BS)</f>
        <v>3.2199999999999989</v>
      </c>
      <c r="C1486">
        <f>_xlfn.XLOOKUP(A1486,'[1]Global_Spot Prices'!$B:$B,'[1]Global_Spot Prices'!$E:$E)</f>
        <v>39.46</v>
      </c>
      <c r="D1486">
        <f>_xlfn.XLOOKUP(A1486,'[1]Global_Spot Prices'!$B:$B,'[1]Global_Spot Prices'!$D:$D)</f>
        <v>39.75</v>
      </c>
      <c r="E1486">
        <f>_xlfn.XLOOKUP(A1486,'[1]Global_Spot Prices'!$B:$B,'[1]Global_Spot Prices'!$H:$H)</f>
        <v>41.55</v>
      </c>
      <c r="F1486">
        <f>_xlfn.XLOOKUP(A1486,'[1]Global_Spot Prices'!$B:$B,'[1]Global_Spot Prices'!$I:$I)</f>
        <v>42.68</v>
      </c>
      <c r="G1486" cm="1">
        <f t="array" ref="G1486">_xlfn.XLOOKUP(TEXT(A1486, "mmm-yy"), TEXT([2]RUNS!$B$5:$B$208, "mmm-yy"), [2]RUNS!$D$5:$D$208, "Not Found")</f>
        <v>27974.368714499051</v>
      </c>
      <c r="H1486" cm="1">
        <f t="array" ref="H1486">SUMPRODUCT(
    --(TEXT('[3]Global Weekly Stock (EWSuez'!$B$4:$B$2000,"mmm-yy")=TEXT(A1486,"mmm-yy")),
    '[3]Global Weekly Stock (EWSuez'!$E$4:$E$2000)
/
SUMPRODUCT(
    --(TEXT('[3]Global Weekly Stock (EWSuez'!$B$4:$B$2000,"mmm-yy")=TEXT(A1486,"mmm-yy"))
)</f>
        <v>15004.75</v>
      </c>
      <c r="I1486">
        <f>_xlfn.XLOOKUP(A1486,[1]ForwardDeriv!$D:$D,[1]ForwardDeriv!$AJ:$AJ)</f>
        <v>-0.18000000000000682</v>
      </c>
      <c r="J1486" cm="1">
        <f t="array" ref="J1486">_xlfn.XLOOKUP(TEXT(A1486, "mmm-yy"), TEXT([2]GASOLINE!$B$5:$B$208, "mmm-yy"), [2]GASOLINE!$IR$5:$IR$208, "Not Found")</f>
        <v>-348.17998057542007</v>
      </c>
      <c r="K1486" cm="1">
        <f t="array" ref="K1486">_xlfn.XLOOKUP(TEXT(A1486, "mmm-yy"), TEXT([2]GASOLINE!$B$5:$B$208, "mmm-yy"), [2]GASOLINE!$IK$5:$IK$208, "Not Found")</f>
        <v>153.12583000838427</v>
      </c>
      <c r="L1486">
        <f t="shared" si="23"/>
        <v>1</v>
      </c>
      <c r="M1486" cm="1">
        <f t="array" ref="M1486">_xlfn.XLOOKUP(TEXT(A1486, "mmm-yy"), TEXT([2]GASOLINE!$B$5:$B$208, "mmm-yy"), [2]GASOLINE!$C$5:$C$208, "Not Found")</f>
        <v>7207.7195502677168</v>
      </c>
      <c r="N1486" cm="1">
        <f t="array" ref="N1486">_xlfn.XLOOKUP(TEXT(A1486, "mmm-yy"), TEXT([2]RUNS!$B$5:$B$208, "mmm-yy"), [2]RUNS!$BM$5:$BM$208, "Not Found")</f>
        <v>0.763244708036938</v>
      </c>
    </row>
    <row r="1487" spans="1:14" x14ac:dyDescent="0.25">
      <c r="A1487" s="1">
        <f>'[1]Global_Spot Prices'!$B2796</f>
        <v>44084</v>
      </c>
      <c r="B1487">
        <f>_xlfn.XLOOKUP(A1487,'[1]Global_Spot Prices'!$B:$B,'[1]Global_Spot Prices'!$BS:$BS)</f>
        <v>3.5850000000000009</v>
      </c>
      <c r="C1487">
        <f>_xlfn.XLOOKUP(A1487,'[1]Global_Spot Prices'!$B:$B,'[1]Global_Spot Prices'!$E:$E)</f>
        <v>39.704999999999998</v>
      </c>
      <c r="D1487">
        <f>_xlfn.XLOOKUP(A1487,'[1]Global_Spot Prices'!$B:$B,'[1]Global_Spot Prices'!$D:$D)</f>
        <v>39.435000000000002</v>
      </c>
      <c r="E1487">
        <f>_xlfn.XLOOKUP(A1487,'[1]Global_Spot Prices'!$B:$B,'[1]Global_Spot Prices'!$H:$H)</f>
        <v>41.81</v>
      </c>
      <c r="F1487">
        <f>_xlfn.XLOOKUP(A1487,'[1]Global_Spot Prices'!$B:$B,'[1]Global_Spot Prices'!$I:$I)</f>
        <v>43.29</v>
      </c>
      <c r="G1487" cm="1">
        <f t="array" ref="G1487">_xlfn.XLOOKUP(TEXT(A1487, "mmm-yy"), TEXT([2]RUNS!$B$5:$B$208, "mmm-yy"), [2]RUNS!$D$5:$D$208, "Not Found")</f>
        <v>27974.368714499051</v>
      </c>
      <c r="H1487" cm="1">
        <f t="array" ref="H1487">SUMPRODUCT(
    --(TEXT('[3]Global Weekly Stock (EWSuez'!$B$4:$B$2000,"mmm-yy")=TEXT(A1487,"mmm-yy")),
    '[3]Global Weekly Stock (EWSuez'!$E$4:$E$2000)
/
SUMPRODUCT(
    --(TEXT('[3]Global Weekly Stock (EWSuez'!$B$4:$B$2000,"mmm-yy")=TEXT(A1487,"mmm-yy"))
)</f>
        <v>15004.75</v>
      </c>
      <c r="I1487">
        <f>_xlfn.XLOOKUP(A1487,[1]ForwardDeriv!$D:$D,[1]ForwardDeriv!$AJ:$AJ)</f>
        <v>-0.26999999999999602</v>
      </c>
      <c r="J1487" cm="1">
        <f t="array" ref="J1487">_xlfn.XLOOKUP(TEXT(A1487, "mmm-yy"), TEXT([2]GASOLINE!$B$5:$B$208, "mmm-yy"), [2]GASOLINE!$IR$5:$IR$208, "Not Found")</f>
        <v>-348.17998057542007</v>
      </c>
      <c r="K1487" cm="1">
        <f t="array" ref="K1487">_xlfn.XLOOKUP(TEXT(A1487, "mmm-yy"), TEXT([2]GASOLINE!$B$5:$B$208, "mmm-yy"), [2]GASOLINE!$IK$5:$IK$208, "Not Found")</f>
        <v>153.12583000838427</v>
      </c>
      <c r="L1487">
        <f t="shared" si="23"/>
        <v>1</v>
      </c>
      <c r="M1487" cm="1">
        <f t="array" ref="M1487">_xlfn.XLOOKUP(TEXT(A1487, "mmm-yy"), TEXT([2]GASOLINE!$B$5:$B$208, "mmm-yy"), [2]GASOLINE!$C$5:$C$208, "Not Found")</f>
        <v>7207.7195502677168</v>
      </c>
      <c r="N1487" cm="1">
        <f t="array" ref="N1487">_xlfn.XLOOKUP(TEXT(A1487, "mmm-yy"), TEXT([2]RUNS!$B$5:$B$208, "mmm-yy"), [2]RUNS!$BM$5:$BM$208, "Not Found")</f>
        <v>0.763244708036938</v>
      </c>
    </row>
    <row r="1488" spans="1:14" x14ac:dyDescent="0.25">
      <c r="A1488" s="1">
        <f>'[1]Global_Spot Prices'!$B2797</f>
        <v>44085</v>
      </c>
      <c r="B1488">
        <f>_xlfn.XLOOKUP(A1488,'[1]Global_Spot Prices'!$B:$B,'[1]Global_Spot Prices'!$BS:$BS)</f>
        <v>3.9149999999999991</v>
      </c>
      <c r="C1488">
        <f>_xlfn.XLOOKUP(A1488,'[1]Global_Spot Prices'!$B:$B,'[1]Global_Spot Prices'!$E:$E)</f>
        <v>39.255000000000003</v>
      </c>
      <c r="D1488">
        <f>_xlfn.XLOOKUP(A1488,'[1]Global_Spot Prices'!$B:$B,'[1]Global_Spot Prices'!$D:$D)</f>
        <v>39.045000000000002</v>
      </c>
      <c r="E1488">
        <f>_xlfn.XLOOKUP(A1488,'[1]Global_Spot Prices'!$B:$B,'[1]Global_Spot Prices'!$H:$H)</f>
        <v>41.04</v>
      </c>
      <c r="F1488">
        <f>_xlfn.XLOOKUP(A1488,'[1]Global_Spot Prices'!$B:$B,'[1]Global_Spot Prices'!$I:$I)</f>
        <v>43.17</v>
      </c>
      <c r="G1488" cm="1">
        <f t="array" ref="G1488">_xlfn.XLOOKUP(TEXT(A1488, "mmm-yy"), TEXT([2]RUNS!$B$5:$B$208, "mmm-yy"), [2]RUNS!$D$5:$D$208, "Not Found")</f>
        <v>27974.368714499051</v>
      </c>
      <c r="H1488" cm="1">
        <f t="array" ref="H1488">SUMPRODUCT(
    --(TEXT('[3]Global Weekly Stock (EWSuez'!$B$4:$B$2000,"mmm-yy")=TEXT(A1488,"mmm-yy")),
    '[3]Global Weekly Stock (EWSuez'!$E$4:$E$2000)
/
SUMPRODUCT(
    --(TEXT('[3]Global Weekly Stock (EWSuez'!$B$4:$B$2000,"mmm-yy")=TEXT(A1488,"mmm-yy"))
)</f>
        <v>15004.75</v>
      </c>
      <c r="I1488">
        <f>_xlfn.XLOOKUP(A1488,[1]ForwardDeriv!$D:$D,[1]ForwardDeriv!$AJ:$AJ)</f>
        <v>-0.14999999999999858</v>
      </c>
      <c r="J1488" cm="1">
        <f t="array" ref="J1488">_xlfn.XLOOKUP(TEXT(A1488, "mmm-yy"), TEXT([2]GASOLINE!$B$5:$B$208, "mmm-yy"), [2]GASOLINE!$IR$5:$IR$208, "Not Found")</f>
        <v>-348.17998057542007</v>
      </c>
      <c r="K1488" cm="1">
        <f t="array" ref="K1488">_xlfn.XLOOKUP(TEXT(A1488, "mmm-yy"), TEXT([2]GASOLINE!$B$5:$B$208, "mmm-yy"), [2]GASOLINE!$IK$5:$IK$208, "Not Found")</f>
        <v>153.12583000838427</v>
      </c>
      <c r="L1488">
        <f t="shared" si="23"/>
        <v>1</v>
      </c>
      <c r="M1488" cm="1">
        <f t="array" ref="M1488">_xlfn.XLOOKUP(TEXT(A1488, "mmm-yy"), TEXT([2]GASOLINE!$B$5:$B$208, "mmm-yy"), [2]GASOLINE!$C$5:$C$208, "Not Found")</f>
        <v>7207.7195502677168</v>
      </c>
      <c r="N1488" cm="1">
        <f t="array" ref="N1488">_xlfn.XLOOKUP(TEXT(A1488, "mmm-yy"), TEXT([2]RUNS!$B$5:$B$208, "mmm-yy"), [2]RUNS!$BM$5:$BM$208, "Not Found")</f>
        <v>0.763244708036938</v>
      </c>
    </row>
    <row r="1489" spans="1:14" x14ac:dyDescent="0.25">
      <c r="A1489" s="1">
        <f>'[1]Global_Spot Prices'!$B2798</f>
        <v>44088</v>
      </c>
      <c r="B1489">
        <f>_xlfn.XLOOKUP(A1489,'[1]Global_Spot Prices'!$B:$B,'[1]Global_Spot Prices'!$BS:$BS)</f>
        <v>4.7150000000000034</v>
      </c>
      <c r="C1489">
        <f>_xlfn.XLOOKUP(A1489,'[1]Global_Spot Prices'!$B:$B,'[1]Global_Spot Prices'!$E:$E)</f>
        <v>38.854999999999997</v>
      </c>
      <c r="D1489">
        <f>_xlfn.XLOOKUP(A1489,'[1]Global_Spot Prices'!$B:$B,'[1]Global_Spot Prices'!$D:$D)</f>
        <v>38.395000000000003</v>
      </c>
      <c r="E1489">
        <f>_xlfn.XLOOKUP(A1489,'[1]Global_Spot Prices'!$B:$B,'[1]Global_Spot Prices'!$H:$H)</f>
        <v>41.2</v>
      </c>
      <c r="F1489">
        <f>_xlfn.XLOOKUP(A1489,'[1]Global_Spot Prices'!$B:$B,'[1]Global_Spot Prices'!$I:$I)</f>
        <v>43.57</v>
      </c>
      <c r="G1489" cm="1">
        <f t="array" ref="G1489">_xlfn.XLOOKUP(TEXT(A1489, "mmm-yy"), TEXT([2]RUNS!$B$5:$B$208, "mmm-yy"), [2]RUNS!$D$5:$D$208, "Not Found")</f>
        <v>27974.368714499051</v>
      </c>
      <c r="H1489" cm="1">
        <f t="array" ref="H1489">SUMPRODUCT(
    --(TEXT('[3]Global Weekly Stock (EWSuez'!$B$4:$B$2000,"mmm-yy")=TEXT(A1489,"mmm-yy")),
    '[3]Global Weekly Stock (EWSuez'!$E$4:$E$2000)
/
SUMPRODUCT(
    --(TEXT('[3]Global Weekly Stock (EWSuez'!$B$4:$B$2000,"mmm-yy")=TEXT(A1489,"mmm-yy"))
)</f>
        <v>15004.75</v>
      </c>
      <c r="I1489">
        <f>_xlfn.XLOOKUP(A1489,[1]ForwardDeriv!$D:$D,[1]ForwardDeriv!$AJ:$AJ)</f>
        <v>-3.0000000000001137E-2</v>
      </c>
      <c r="J1489" cm="1">
        <f t="array" ref="J1489">_xlfn.XLOOKUP(TEXT(A1489, "mmm-yy"), TEXT([2]GASOLINE!$B$5:$B$208, "mmm-yy"), [2]GASOLINE!$IR$5:$IR$208, "Not Found")</f>
        <v>-348.17998057542007</v>
      </c>
      <c r="K1489" cm="1">
        <f t="array" ref="K1489">_xlfn.XLOOKUP(TEXT(A1489, "mmm-yy"), TEXT([2]GASOLINE!$B$5:$B$208, "mmm-yy"), [2]GASOLINE!$IK$5:$IK$208, "Not Found")</f>
        <v>153.12583000838427</v>
      </c>
      <c r="L1489">
        <f t="shared" si="23"/>
        <v>1</v>
      </c>
      <c r="M1489" cm="1">
        <f t="array" ref="M1489">_xlfn.XLOOKUP(TEXT(A1489, "mmm-yy"), TEXT([2]GASOLINE!$B$5:$B$208, "mmm-yy"), [2]GASOLINE!$C$5:$C$208, "Not Found")</f>
        <v>7207.7195502677168</v>
      </c>
      <c r="N1489" cm="1">
        <f t="array" ref="N1489">_xlfn.XLOOKUP(TEXT(A1489, "mmm-yy"), TEXT([2]RUNS!$B$5:$B$208, "mmm-yy"), [2]RUNS!$BM$5:$BM$208, "Not Found")</f>
        <v>0.763244708036938</v>
      </c>
    </row>
    <row r="1490" spans="1:14" x14ac:dyDescent="0.25">
      <c r="A1490" s="1">
        <f>'[1]Global_Spot Prices'!$B2799</f>
        <v>44089</v>
      </c>
      <c r="B1490">
        <f>_xlfn.XLOOKUP(A1490,'[1]Global_Spot Prices'!$B:$B,'[1]Global_Spot Prices'!$BS:$BS)</f>
        <v>4.7550000000000026</v>
      </c>
      <c r="C1490">
        <f>_xlfn.XLOOKUP(A1490,'[1]Global_Spot Prices'!$B:$B,'[1]Global_Spot Prices'!$E:$E)</f>
        <v>39.195</v>
      </c>
      <c r="D1490">
        <f>_xlfn.XLOOKUP(A1490,'[1]Global_Spot Prices'!$B:$B,'[1]Global_Spot Prices'!$D:$D)</f>
        <v>39.119999999999997</v>
      </c>
      <c r="E1490">
        <f>_xlfn.XLOOKUP(A1490,'[1]Global_Spot Prices'!$B:$B,'[1]Global_Spot Prices'!$H:$H)</f>
        <v>41.37</v>
      </c>
      <c r="F1490">
        <f>_xlfn.XLOOKUP(A1490,'[1]Global_Spot Prices'!$B:$B,'[1]Global_Spot Prices'!$I:$I)</f>
        <v>43.95</v>
      </c>
      <c r="G1490" cm="1">
        <f t="array" ref="G1490">_xlfn.XLOOKUP(TEXT(A1490, "mmm-yy"), TEXT([2]RUNS!$B$5:$B$208, "mmm-yy"), [2]RUNS!$D$5:$D$208, "Not Found")</f>
        <v>27974.368714499051</v>
      </c>
      <c r="H1490" cm="1">
        <f t="array" ref="H1490">SUMPRODUCT(
    --(TEXT('[3]Global Weekly Stock (EWSuez'!$B$4:$B$2000,"mmm-yy")=TEXT(A1490,"mmm-yy")),
    '[3]Global Weekly Stock (EWSuez'!$E$4:$E$2000)
/
SUMPRODUCT(
    --(TEXT('[3]Global Weekly Stock (EWSuez'!$B$4:$B$2000,"mmm-yy")=TEXT(A1490,"mmm-yy"))
)</f>
        <v>15004.75</v>
      </c>
      <c r="I1490">
        <f>_xlfn.XLOOKUP(A1490,[1]ForwardDeriv!$D:$D,[1]ForwardDeriv!$AJ:$AJ)</f>
        <v>9.9999999999980105E-3</v>
      </c>
      <c r="J1490" cm="1">
        <f t="array" ref="J1490">_xlfn.XLOOKUP(TEXT(A1490, "mmm-yy"), TEXT([2]GASOLINE!$B$5:$B$208, "mmm-yy"), [2]GASOLINE!$IR$5:$IR$208, "Not Found")</f>
        <v>-348.17998057542007</v>
      </c>
      <c r="K1490" cm="1">
        <f t="array" ref="K1490">_xlfn.XLOOKUP(TEXT(A1490, "mmm-yy"), TEXT([2]GASOLINE!$B$5:$B$208, "mmm-yy"), [2]GASOLINE!$IK$5:$IK$208, "Not Found")</f>
        <v>153.12583000838427</v>
      </c>
      <c r="L1490">
        <f t="shared" si="23"/>
        <v>1</v>
      </c>
      <c r="M1490" cm="1">
        <f t="array" ref="M1490">_xlfn.XLOOKUP(TEXT(A1490, "mmm-yy"), TEXT([2]GASOLINE!$B$5:$B$208, "mmm-yy"), [2]GASOLINE!$C$5:$C$208, "Not Found")</f>
        <v>7207.7195502677168</v>
      </c>
      <c r="N1490" cm="1">
        <f t="array" ref="N1490">_xlfn.XLOOKUP(TEXT(A1490, "mmm-yy"), TEXT([2]RUNS!$B$5:$B$208, "mmm-yy"), [2]RUNS!$BM$5:$BM$208, "Not Found")</f>
        <v>0.763244708036938</v>
      </c>
    </row>
    <row r="1491" spans="1:14" x14ac:dyDescent="0.25">
      <c r="A1491" s="1">
        <f>'[1]Global_Spot Prices'!$B2800</f>
        <v>44090</v>
      </c>
      <c r="B1491">
        <f>_xlfn.XLOOKUP(A1491,'[1]Global_Spot Prices'!$B:$B,'[1]Global_Spot Prices'!$BS:$BS)</f>
        <v>4.3049999999999997</v>
      </c>
      <c r="C1491">
        <f>_xlfn.XLOOKUP(A1491,'[1]Global_Spot Prices'!$B:$B,'[1]Global_Spot Prices'!$E:$E)</f>
        <v>41.195</v>
      </c>
      <c r="D1491">
        <f>_xlfn.XLOOKUP(A1491,'[1]Global_Spot Prices'!$B:$B,'[1]Global_Spot Prices'!$D:$D)</f>
        <v>40.914999999999999</v>
      </c>
      <c r="E1491">
        <f>_xlfn.XLOOKUP(A1491,'[1]Global_Spot Prices'!$B:$B,'[1]Global_Spot Prices'!$H:$H)</f>
        <v>43.02</v>
      </c>
      <c r="F1491">
        <f>_xlfn.XLOOKUP(A1491,'[1]Global_Spot Prices'!$B:$B,'[1]Global_Spot Prices'!$I:$I)</f>
        <v>45.5</v>
      </c>
      <c r="G1491" cm="1">
        <f t="array" ref="G1491">_xlfn.XLOOKUP(TEXT(A1491, "mmm-yy"), TEXT([2]RUNS!$B$5:$B$208, "mmm-yy"), [2]RUNS!$D$5:$D$208, "Not Found")</f>
        <v>27974.368714499051</v>
      </c>
      <c r="H1491" cm="1">
        <f t="array" ref="H1491">SUMPRODUCT(
    --(TEXT('[3]Global Weekly Stock (EWSuez'!$B$4:$B$2000,"mmm-yy")=TEXT(A1491,"mmm-yy")),
    '[3]Global Weekly Stock (EWSuez'!$E$4:$E$2000)
/
SUMPRODUCT(
    --(TEXT('[3]Global Weekly Stock (EWSuez'!$B$4:$B$2000,"mmm-yy")=TEXT(A1491,"mmm-yy"))
)</f>
        <v>15004.75</v>
      </c>
      <c r="I1491">
        <f>_xlfn.XLOOKUP(A1491,[1]ForwardDeriv!$D:$D,[1]ForwardDeriv!$AJ:$AJ)</f>
        <v>1.9999999999996021E-2</v>
      </c>
      <c r="J1491" cm="1">
        <f t="array" ref="J1491">_xlfn.XLOOKUP(TEXT(A1491, "mmm-yy"), TEXT([2]GASOLINE!$B$5:$B$208, "mmm-yy"), [2]GASOLINE!$IR$5:$IR$208, "Not Found")</f>
        <v>-348.17998057542007</v>
      </c>
      <c r="K1491" cm="1">
        <f t="array" ref="K1491">_xlfn.XLOOKUP(TEXT(A1491, "mmm-yy"), TEXT([2]GASOLINE!$B$5:$B$208, "mmm-yy"), [2]GASOLINE!$IK$5:$IK$208, "Not Found")</f>
        <v>153.12583000838427</v>
      </c>
      <c r="L1491">
        <f t="shared" si="23"/>
        <v>1</v>
      </c>
      <c r="M1491" cm="1">
        <f t="array" ref="M1491">_xlfn.XLOOKUP(TEXT(A1491, "mmm-yy"), TEXT([2]GASOLINE!$B$5:$B$208, "mmm-yy"), [2]GASOLINE!$C$5:$C$208, "Not Found")</f>
        <v>7207.7195502677168</v>
      </c>
      <c r="N1491" cm="1">
        <f t="array" ref="N1491">_xlfn.XLOOKUP(TEXT(A1491, "mmm-yy"), TEXT([2]RUNS!$B$5:$B$208, "mmm-yy"), [2]RUNS!$BM$5:$BM$208, "Not Found")</f>
        <v>0.763244708036938</v>
      </c>
    </row>
    <row r="1492" spans="1:14" x14ac:dyDescent="0.25">
      <c r="A1492" s="1">
        <f>'[1]Global_Spot Prices'!$B2801</f>
        <v>44091</v>
      </c>
      <c r="B1492">
        <f>_xlfn.XLOOKUP(A1492,'[1]Global_Spot Prices'!$B:$B,'[1]Global_Spot Prices'!$BS:$BS)</f>
        <v>4.7600000000000051</v>
      </c>
      <c r="C1492">
        <f>_xlfn.XLOOKUP(A1492,'[1]Global_Spot Prices'!$B:$B,'[1]Global_Spot Prices'!$E:$E)</f>
        <v>41.69</v>
      </c>
      <c r="D1492">
        <f>_xlfn.XLOOKUP(A1492,'[1]Global_Spot Prices'!$B:$B,'[1]Global_Spot Prices'!$D:$D)</f>
        <v>42.42</v>
      </c>
      <c r="E1492">
        <f>_xlfn.XLOOKUP(A1492,'[1]Global_Spot Prices'!$B:$B,'[1]Global_Spot Prices'!$H:$H)</f>
        <v>43.72</v>
      </c>
      <c r="F1492">
        <f>_xlfn.XLOOKUP(A1492,'[1]Global_Spot Prices'!$B:$B,'[1]Global_Spot Prices'!$I:$I)</f>
        <v>46.45</v>
      </c>
      <c r="G1492" cm="1">
        <f t="array" ref="G1492">_xlfn.XLOOKUP(TEXT(A1492, "mmm-yy"), TEXT([2]RUNS!$B$5:$B$208, "mmm-yy"), [2]RUNS!$D$5:$D$208, "Not Found")</f>
        <v>27974.368714499051</v>
      </c>
      <c r="H1492" cm="1">
        <f t="array" ref="H1492">SUMPRODUCT(
    --(TEXT('[3]Global Weekly Stock (EWSuez'!$B$4:$B$2000,"mmm-yy")=TEXT(A1492,"mmm-yy")),
    '[3]Global Weekly Stock (EWSuez'!$E$4:$E$2000)
/
SUMPRODUCT(
    --(TEXT('[3]Global Weekly Stock (EWSuez'!$B$4:$B$2000,"mmm-yy")=TEXT(A1492,"mmm-yy"))
)</f>
        <v>15004.75</v>
      </c>
      <c r="I1492">
        <f>_xlfn.XLOOKUP(A1492,[1]ForwardDeriv!$D:$D,[1]ForwardDeriv!$AJ:$AJ)</f>
        <v>9.9999999999994316E-2</v>
      </c>
      <c r="J1492" cm="1">
        <f t="array" ref="J1492">_xlfn.XLOOKUP(TEXT(A1492, "mmm-yy"), TEXT([2]GASOLINE!$B$5:$B$208, "mmm-yy"), [2]GASOLINE!$IR$5:$IR$208, "Not Found")</f>
        <v>-348.17998057542007</v>
      </c>
      <c r="K1492" cm="1">
        <f t="array" ref="K1492">_xlfn.XLOOKUP(TEXT(A1492, "mmm-yy"), TEXT([2]GASOLINE!$B$5:$B$208, "mmm-yy"), [2]GASOLINE!$IK$5:$IK$208, "Not Found")</f>
        <v>153.12583000838427</v>
      </c>
      <c r="L1492">
        <f t="shared" si="23"/>
        <v>1</v>
      </c>
      <c r="M1492" cm="1">
        <f t="array" ref="M1492">_xlfn.XLOOKUP(TEXT(A1492, "mmm-yy"), TEXT([2]GASOLINE!$B$5:$B$208, "mmm-yy"), [2]GASOLINE!$C$5:$C$208, "Not Found")</f>
        <v>7207.7195502677168</v>
      </c>
      <c r="N1492" cm="1">
        <f t="array" ref="N1492">_xlfn.XLOOKUP(TEXT(A1492, "mmm-yy"), TEXT([2]RUNS!$B$5:$B$208, "mmm-yy"), [2]RUNS!$BM$5:$BM$208, "Not Found")</f>
        <v>0.763244708036938</v>
      </c>
    </row>
    <row r="1493" spans="1:14" x14ac:dyDescent="0.25">
      <c r="A1493" s="1">
        <f>'[1]Global_Spot Prices'!$B2802</f>
        <v>44092</v>
      </c>
      <c r="B1493">
        <f>_xlfn.XLOOKUP(A1493,'[1]Global_Spot Prices'!$B:$B,'[1]Global_Spot Prices'!$BS:$BS)</f>
        <v>5.5300000000000011</v>
      </c>
      <c r="C1493">
        <f>_xlfn.XLOOKUP(A1493,'[1]Global_Spot Prices'!$B:$B,'[1]Global_Spot Prices'!$E:$E)</f>
        <v>43</v>
      </c>
      <c r="D1493">
        <f>_xlfn.XLOOKUP(A1493,'[1]Global_Spot Prices'!$B:$B,'[1]Global_Spot Prices'!$D:$D)</f>
        <v>42.49</v>
      </c>
      <c r="E1493">
        <f>_xlfn.XLOOKUP(A1493,'[1]Global_Spot Prices'!$B:$B,'[1]Global_Spot Prices'!$H:$H)</f>
        <v>44.9</v>
      </c>
      <c r="F1493">
        <f>_xlfn.XLOOKUP(A1493,'[1]Global_Spot Prices'!$B:$B,'[1]Global_Spot Prices'!$I:$I)</f>
        <v>48.53</v>
      </c>
      <c r="G1493" cm="1">
        <f t="array" ref="G1493">_xlfn.XLOOKUP(TEXT(A1493, "mmm-yy"), TEXT([2]RUNS!$B$5:$B$208, "mmm-yy"), [2]RUNS!$D$5:$D$208, "Not Found")</f>
        <v>27974.368714499051</v>
      </c>
      <c r="H1493" cm="1">
        <f t="array" ref="H1493">SUMPRODUCT(
    --(TEXT('[3]Global Weekly Stock (EWSuez'!$B$4:$B$2000,"mmm-yy")=TEXT(A1493,"mmm-yy")),
    '[3]Global Weekly Stock (EWSuez'!$E$4:$E$2000)
/
SUMPRODUCT(
    --(TEXT('[3]Global Weekly Stock (EWSuez'!$B$4:$B$2000,"mmm-yy")=TEXT(A1493,"mmm-yy"))
)</f>
        <v>15004.75</v>
      </c>
      <c r="I1493">
        <f>_xlfn.XLOOKUP(A1493,[1]ForwardDeriv!$D:$D,[1]ForwardDeriv!$AJ:$AJ)</f>
        <v>0.35000000000000142</v>
      </c>
      <c r="J1493" cm="1">
        <f t="array" ref="J1493">_xlfn.XLOOKUP(TEXT(A1493, "mmm-yy"), TEXT([2]GASOLINE!$B$5:$B$208, "mmm-yy"), [2]GASOLINE!$IR$5:$IR$208, "Not Found")</f>
        <v>-348.17998057542007</v>
      </c>
      <c r="K1493" cm="1">
        <f t="array" ref="K1493">_xlfn.XLOOKUP(TEXT(A1493, "mmm-yy"), TEXT([2]GASOLINE!$B$5:$B$208, "mmm-yy"), [2]GASOLINE!$IK$5:$IK$208, "Not Found")</f>
        <v>153.12583000838427</v>
      </c>
      <c r="L1493">
        <f t="shared" si="23"/>
        <v>1</v>
      </c>
      <c r="M1493" cm="1">
        <f t="array" ref="M1493">_xlfn.XLOOKUP(TEXT(A1493, "mmm-yy"), TEXT([2]GASOLINE!$B$5:$B$208, "mmm-yy"), [2]GASOLINE!$C$5:$C$208, "Not Found")</f>
        <v>7207.7195502677168</v>
      </c>
      <c r="N1493" cm="1">
        <f t="array" ref="N1493">_xlfn.XLOOKUP(TEXT(A1493, "mmm-yy"), TEXT([2]RUNS!$B$5:$B$208, "mmm-yy"), [2]RUNS!$BM$5:$BM$208, "Not Found")</f>
        <v>0.763244708036938</v>
      </c>
    </row>
    <row r="1494" spans="1:14" x14ac:dyDescent="0.25">
      <c r="A1494" s="1">
        <f>'[1]Global_Spot Prices'!$B2803</f>
        <v>44095</v>
      </c>
      <c r="B1494">
        <f>_xlfn.XLOOKUP(A1494,'[1]Global_Spot Prices'!$B:$B,'[1]Global_Spot Prices'!$BS:$BS)</f>
        <v>5.2899999999999991</v>
      </c>
      <c r="C1494">
        <f>_xlfn.XLOOKUP(A1494,'[1]Global_Spot Prices'!$B:$B,'[1]Global_Spot Prices'!$E:$E)</f>
        <v>41.59</v>
      </c>
      <c r="D1494">
        <f>_xlfn.XLOOKUP(A1494,'[1]Global_Spot Prices'!$B:$B,'[1]Global_Spot Prices'!$D:$D)</f>
        <v>40.314999999999998</v>
      </c>
      <c r="E1494">
        <f>_xlfn.XLOOKUP(A1494,'[1]Global_Spot Prices'!$B:$B,'[1]Global_Spot Prices'!$H:$H)</f>
        <v>43.42</v>
      </c>
      <c r="F1494">
        <f>_xlfn.XLOOKUP(A1494,'[1]Global_Spot Prices'!$B:$B,'[1]Global_Spot Prices'!$I:$I)</f>
        <v>46.88</v>
      </c>
      <c r="G1494" cm="1">
        <f t="array" ref="G1494">_xlfn.XLOOKUP(TEXT(A1494, "mmm-yy"), TEXT([2]RUNS!$B$5:$B$208, "mmm-yy"), [2]RUNS!$D$5:$D$208, "Not Found")</f>
        <v>27974.368714499051</v>
      </c>
      <c r="H1494" cm="1">
        <f t="array" ref="H1494">SUMPRODUCT(
    --(TEXT('[3]Global Weekly Stock (EWSuez'!$B$4:$B$2000,"mmm-yy")=TEXT(A1494,"mmm-yy")),
    '[3]Global Weekly Stock (EWSuez'!$E$4:$E$2000)
/
SUMPRODUCT(
    --(TEXT('[3]Global Weekly Stock (EWSuez'!$B$4:$B$2000,"mmm-yy")=TEXT(A1494,"mmm-yy"))
)</f>
        <v>15004.75</v>
      </c>
      <c r="I1494">
        <f>_xlfn.XLOOKUP(A1494,[1]ForwardDeriv!$D:$D,[1]ForwardDeriv!$AJ:$AJ)</f>
        <v>0.21000000000000085</v>
      </c>
      <c r="J1494" cm="1">
        <f t="array" ref="J1494">_xlfn.XLOOKUP(TEXT(A1494, "mmm-yy"), TEXT([2]GASOLINE!$B$5:$B$208, "mmm-yy"), [2]GASOLINE!$IR$5:$IR$208, "Not Found")</f>
        <v>-348.17998057542007</v>
      </c>
      <c r="K1494" cm="1">
        <f t="array" ref="K1494">_xlfn.XLOOKUP(TEXT(A1494, "mmm-yy"), TEXT([2]GASOLINE!$B$5:$B$208, "mmm-yy"), [2]GASOLINE!$IK$5:$IK$208, "Not Found")</f>
        <v>153.12583000838427</v>
      </c>
      <c r="L1494">
        <f t="shared" si="23"/>
        <v>1</v>
      </c>
      <c r="M1494" cm="1">
        <f t="array" ref="M1494">_xlfn.XLOOKUP(TEXT(A1494, "mmm-yy"), TEXT([2]GASOLINE!$B$5:$B$208, "mmm-yy"), [2]GASOLINE!$C$5:$C$208, "Not Found")</f>
        <v>7207.7195502677168</v>
      </c>
      <c r="N1494" cm="1">
        <f t="array" ref="N1494">_xlfn.XLOOKUP(TEXT(A1494, "mmm-yy"), TEXT([2]RUNS!$B$5:$B$208, "mmm-yy"), [2]RUNS!$BM$5:$BM$208, "Not Found")</f>
        <v>0.763244708036938</v>
      </c>
    </row>
    <row r="1495" spans="1:14" x14ac:dyDescent="0.25">
      <c r="A1495" s="1">
        <f>'[1]Global_Spot Prices'!$B2804</f>
        <v>44096</v>
      </c>
      <c r="B1495">
        <f>_xlfn.XLOOKUP(A1495,'[1]Global_Spot Prices'!$B:$B,'[1]Global_Spot Prices'!$BS:$BS)</f>
        <v>4.6499999999999986</v>
      </c>
      <c r="C1495">
        <f>_xlfn.XLOOKUP(A1495,'[1]Global_Spot Prices'!$B:$B,'[1]Global_Spot Prices'!$E:$E)</f>
        <v>41.15</v>
      </c>
      <c r="D1495">
        <f>_xlfn.XLOOKUP(A1495,'[1]Global_Spot Prices'!$B:$B,'[1]Global_Spot Prices'!$D:$D)</f>
        <v>41.064999999999998</v>
      </c>
      <c r="E1495">
        <f>_xlfn.XLOOKUP(A1495,'[1]Global_Spot Prices'!$B:$B,'[1]Global_Spot Prices'!$H:$H)</f>
        <v>42.82</v>
      </c>
      <c r="F1495">
        <f>_xlfn.XLOOKUP(A1495,'[1]Global_Spot Prices'!$B:$B,'[1]Global_Spot Prices'!$I:$I)</f>
        <v>45.8</v>
      </c>
      <c r="G1495" cm="1">
        <f t="array" ref="G1495">_xlfn.XLOOKUP(TEXT(A1495, "mmm-yy"), TEXT([2]RUNS!$B$5:$B$208, "mmm-yy"), [2]RUNS!$D$5:$D$208, "Not Found")</f>
        <v>27974.368714499051</v>
      </c>
      <c r="H1495" cm="1">
        <f t="array" ref="H1495">SUMPRODUCT(
    --(TEXT('[3]Global Weekly Stock (EWSuez'!$B$4:$B$2000,"mmm-yy")=TEXT(A1495,"mmm-yy")),
    '[3]Global Weekly Stock (EWSuez'!$E$4:$E$2000)
/
SUMPRODUCT(
    --(TEXT('[3]Global Weekly Stock (EWSuez'!$B$4:$B$2000,"mmm-yy")=TEXT(A1495,"mmm-yy"))
)</f>
        <v>15004.75</v>
      </c>
      <c r="I1495">
        <f>_xlfn.XLOOKUP(A1495,[1]ForwardDeriv!$D:$D,[1]ForwardDeriv!$AJ:$AJ)</f>
        <v>0.17000000000000171</v>
      </c>
      <c r="J1495" cm="1">
        <f t="array" ref="J1495">_xlfn.XLOOKUP(TEXT(A1495, "mmm-yy"), TEXT([2]GASOLINE!$B$5:$B$208, "mmm-yy"), [2]GASOLINE!$IR$5:$IR$208, "Not Found")</f>
        <v>-348.17998057542007</v>
      </c>
      <c r="K1495" cm="1">
        <f t="array" ref="K1495">_xlfn.XLOOKUP(TEXT(A1495, "mmm-yy"), TEXT([2]GASOLINE!$B$5:$B$208, "mmm-yy"), [2]GASOLINE!$IK$5:$IK$208, "Not Found")</f>
        <v>153.12583000838427</v>
      </c>
      <c r="L1495">
        <f t="shared" si="23"/>
        <v>1</v>
      </c>
      <c r="M1495" cm="1">
        <f t="array" ref="M1495">_xlfn.XLOOKUP(TEXT(A1495, "mmm-yy"), TEXT([2]GASOLINE!$B$5:$B$208, "mmm-yy"), [2]GASOLINE!$C$5:$C$208, "Not Found")</f>
        <v>7207.7195502677168</v>
      </c>
      <c r="N1495" cm="1">
        <f t="array" ref="N1495">_xlfn.XLOOKUP(TEXT(A1495, "mmm-yy"), TEXT([2]RUNS!$B$5:$B$208, "mmm-yy"), [2]RUNS!$BM$5:$BM$208, "Not Found")</f>
        <v>0.763244708036938</v>
      </c>
    </row>
    <row r="1496" spans="1:14" x14ac:dyDescent="0.25">
      <c r="A1496" s="1">
        <f>'[1]Global_Spot Prices'!$B2805</f>
        <v>44097</v>
      </c>
      <c r="B1496">
        <f>_xlfn.XLOOKUP(A1496,'[1]Global_Spot Prices'!$B:$B,'[1]Global_Spot Prices'!$BS:$BS)</f>
        <v>4.7199999999999989</v>
      </c>
      <c r="C1496">
        <f>_xlfn.XLOOKUP(A1496,'[1]Global_Spot Prices'!$B:$B,'[1]Global_Spot Prices'!$E:$E)</f>
        <v>41.36</v>
      </c>
      <c r="D1496">
        <f>_xlfn.XLOOKUP(A1496,'[1]Global_Spot Prices'!$B:$B,'[1]Global_Spot Prices'!$D:$D)</f>
        <v>41.44</v>
      </c>
      <c r="E1496">
        <f>_xlfn.XLOOKUP(A1496,'[1]Global_Spot Prices'!$B:$B,'[1]Global_Spot Prices'!$H:$H)</f>
        <v>42.77</v>
      </c>
      <c r="F1496">
        <f>_xlfn.XLOOKUP(A1496,'[1]Global_Spot Prices'!$B:$B,'[1]Global_Spot Prices'!$I:$I)</f>
        <v>46.08</v>
      </c>
      <c r="G1496" cm="1">
        <f t="array" ref="G1496">_xlfn.XLOOKUP(TEXT(A1496, "mmm-yy"), TEXT([2]RUNS!$B$5:$B$208, "mmm-yy"), [2]RUNS!$D$5:$D$208, "Not Found")</f>
        <v>27974.368714499051</v>
      </c>
      <c r="H1496" cm="1">
        <f t="array" ref="H1496">SUMPRODUCT(
    --(TEXT('[3]Global Weekly Stock (EWSuez'!$B$4:$B$2000,"mmm-yy")=TEXT(A1496,"mmm-yy")),
    '[3]Global Weekly Stock (EWSuez'!$E$4:$E$2000)
/
SUMPRODUCT(
    --(TEXT('[3]Global Weekly Stock (EWSuez'!$B$4:$B$2000,"mmm-yy")=TEXT(A1496,"mmm-yy"))
)</f>
        <v>15004.75</v>
      </c>
      <c r="I1496">
        <f>_xlfn.XLOOKUP(A1496,[1]ForwardDeriv!$D:$D,[1]ForwardDeriv!$AJ:$AJ)</f>
        <v>0.24000000000000199</v>
      </c>
      <c r="J1496" cm="1">
        <f t="array" ref="J1496">_xlfn.XLOOKUP(TEXT(A1496, "mmm-yy"), TEXT([2]GASOLINE!$B$5:$B$208, "mmm-yy"), [2]GASOLINE!$IR$5:$IR$208, "Not Found")</f>
        <v>-348.17998057542007</v>
      </c>
      <c r="K1496" cm="1">
        <f t="array" ref="K1496">_xlfn.XLOOKUP(TEXT(A1496, "mmm-yy"), TEXT([2]GASOLINE!$B$5:$B$208, "mmm-yy"), [2]GASOLINE!$IK$5:$IK$208, "Not Found")</f>
        <v>153.12583000838427</v>
      </c>
      <c r="L1496">
        <f t="shared" si="23"/>
        <v>1</v>
      </c>
      <c r="M1496" cm="1">
        <f t="array" ref="M1496">_xlfn.XLOOKUP(TEXT(A1496, "mmm-yy"), TEXT([2]GASOLINE!$B$5:$B$208, "mmm-yy"), [2]GASOLINE!$C$5:$C$208, "Not Found")</f>
        <v>7207.7195502677168</v>
      </c>
      <c r="N1496" cm="1">
        <f t="array" ref="N1496">_xlfn.XLOOKUP(TEXT(A1496, "mmm-yy"), TEXT([2]RUNS!$B$5:$B$208, "mmm-yy"), [2]RUNS!$BM$5:$BM$208, "Not Found")</f>
        <v>0.763244708036938</v>
      </c>
    </row>
    <row r="1497" spans="1:14" x14ac:dyDescent="0.25">
      <c r="A1497" s="1">
        <f>'[1]Global_Spot Prices'!$B2806</f>
        <v>44098</v>
      </c>
      <c r="B1497">
        <f>_xlfn.XLOOKUP(A1497,'[1]Global_Spot Prices'!$B:$B,'[1]Global_Spot Prices'!$BS:$BS)</f>
        <v>4.3500000000000014</v>
      </c>
      <c r="C1497">
        <f>_xlfn.XLOOKUP(A1497,'[1]Global_Spot Prices'!$B:$B,'[1]Global_Spot Prices'!$E:$E)</f>
        <v>41.19</v>
      </c>
      <c r="D1497">
        <f>_xlfn.XLOOKUP(A1497,'[1]Global_Spot Prices'!$B:$B,'[1]Global_Spot Prices'!$D:$D)</f>
        <v>40.865000000000002</v>
      </c>
      <c r="E1497">
        <f>_xlfn.XLOOKUP(A1497,'[1]Global_Spot Prices'!$B:$B,'[1]Global_Spot Prices'!$H:$H)</f>
        <v>42.69</v>
      </c>
      <c r="F1497">
        <f>_xlfn.XLOOKUP(A1497,'[1]Global_Spot Prices'!$B:$B,'[1]Global_Spot Prices'!$I:$I)</f>
        <v>45.54</v>
      </c>
      <c r="G1497" cm="1">
        <f t="array" ref="G1497">_xlfn.XLOOKUP(TEXT(A1497, "mmm-yy"), TEXT([2]RUNS!$B$5:$B$208, "mmm-yy"), [2]RUNS!$D$5:$D$208, "Not Found")</f>
        <v>27974.368714499051</v>
      </c>
      <c r="H1497" cm="1">
        <f t="array" ref="H1497">SUMPRODUCT(
    --(TEXT('[3]Global Weekly Stock (EWSuez'!$B$4:$B$2000,"mmm-yy")=TEXT(A1497,"mmm-yy")),
    '[3]Global Weekly Stock (EWSuez'!$E$4:$E$2000)
/
SUMPRODUCT(
    --(TEXT('[3]Global Weekly Stock (EWSuez'!$B$4:$B$2000,"mmm-yy")=TEXT(A1497,"mmm-yy"))
)</f>
        <v>15004.75</v>
      </c>
      <c r="I1497">
        <f>_xlfn.XLOOKUP(A1497,[1]ForwardDeriv!$D:$D,[1]ForwardDeriv!$AJ:$AJ)</f>
        <v>0.27000000000000313</v>
      </c>
      <c r="J1497" cm="1">
        <f t="array" ref="J1497">_xlfn.XLOOKUP(TEXT(A1497, "mmm-yy"), TEXT([2]GASOLINE!$B$5:$B$208, "mmm-yy"), [2]GASOLINE!$IR$5:$IR$208, "Not Found")</f>
        <v>-348.17998057542007</v>
      </c>
      <c r="K1497" cm="1">
        <f t="array" ref="K1497">_xlfn.XLOOKUP(TEXT(A1497, "mmm-yy"), TEXT([2]GASOLINE!$B$5:$B$208, "mmm-yy"), [2]GASOLINE!$IK$5:$IK$208, "Not Found")</f>
        <v>153.12583000838427</v>
      </c>
      <c r="L1497">
        <f t="shared" si="23"/>
        <v>1</v>
      </c>
      <c r="M1497" cm="1">
        <f t="array" ref="M1497">_xlfn.XLOOKUP(TEXT(A1497, "mmm-yy"), TEXT([2]GASOLINE!$B$5:$B$208, "mmm-yy"), [2]GASOLINE!$C$5:$C$208, "Not Found")</f>
        <v>7207.7195502677168</v>
      </c>
      <c r="N1497" cm="1">
        <f t="array" ref="N1497">_xlfn.XLOOKUP(TEXT(A1497, "mmm-yy"), TEXT([2]RUNS!$B$5:$B$208, "mmm-yy"), [2]RUNS!$BM$5:$BM$208, "Not Found")</f>
        <v>0.763244708036938</v>
      </c>
    </row>
    <row r="1498" spans="1:14" x14ac:dyDescent="0.25">
      <c r="A1498" s="1">
        <f>'[1]Global_Spot Prices'!$B2807</f>
        <v>44099</v>
      </c>
      <c r="B1498">
        <f>_xlfn.XLOOKUP(A1498,'[1]Global_Spot Prices'!$B:$B,'[1]Global_Spot Prices'!$BS:$BS)</f>
        <v>4.9450000000000003</v>
      </c>
      <c r="C1498">
        <f>_xlfn.XLOOKUP(A1498,'[1]Global_Spot Prices'!$B:$B,'[1]Global_Spot Prices'!$E:$E)</f>
        <v>41.994999999999997</v>
      </c>
      <c r="D1498">
        <f>_xlfn.XLOOKUP(A1498,'[1]Global_Spot Prices'!$B:$B,'[1]Global_Spot Prices'!$D:$D)</f>
        <v>41.055</v>
      </c>
      <c r="E1498">
        <f>_xlfn.XLOOKUP(A1498,'[1]Global_Spot Prices'!$B:$B,'[1]Global_Spot Prices'!$H:$H)</f>
        <v>43.84</v>
      </c>
      <c r="F1498">
        <f>_xlfn.XLOOKUP(A1498,'[1]Global_Spot Prices'!$B:$B,'[1]Global_Spot Prices'!$I:$I)</f>
        <v>46.94</v>
      </c>
      <c r="G1498" cm="1">
        <f t="array" ref="G1498">_xlfn.XLOOKUP(TEXT(A1498, "mmm-yy"), TEXT([2]RUNS!$B$5:$B$208, "mmm-yy"), [2]RUNS!$D$5:$D$208, "Not Found")</f>
        <v>27974.368714499051</v>
      </c>
      <c r="H1498" cm="1">
        <f t="array" ref="H1498">SUMPRODUCT(
    --(TEXT('[3]Global Weekly Stock (EWSuez'!$B$4:$B$2000,"mmm-yy")=TEXT(A1498,"mmm-yy")),
    '[3]Global Weekly Stock (EWSuez'!$E$4:$E$2000)
/
SUMPRODUCT(
    --(TEXT('[3]Global Weekly Stock (EWSuez'!$B$4:$B$2000,"mmm-yy")=TEXT(A1498,"mmm-yy"))
)</f>
        <v>15004.75</v>
      </c>
      <c r="I1498">
        <f>_xlfn.XLOOKUP(A1498,[1]ForwardDeriv!$D:$D,[1]ForwardDeriv!$AJ:$AJ)</f>
        <v>0.35999999999999943</v>
      </c>
      <c r="J1498" cm="1">
        <f t="array" ref="J1498">_xlfn.XLOOKUP(TEXT(A1498, "mmm-yy"), TEXT([2]GASOLINE!$B$5:$B$208, "mmm-yy"), [2]GASOLINE!$IR$5:$IR$208, "Not Found")</f>
        <v>-348.17998057542007</v>
      </c>
      <c r="K1498" cm="1">
        <f t="array" ref="K1498">_xlfn.XLOOKUP(TEXT(A1498, "mmm-yy"), TEXT([2]GASOLINE!$B$5:$B$208, "mmm-yy"), [2]GASOLINE!$IK$5:$IK$208, "Not Found")</f>
        <v>153.12583000838427</v>
      </c>
      <c r="L1498">
        <f t="shared" si="23"/>
        <v>1</v>
      </c>
      <c r="M1498" cm="1">
        <f t="array" ref="M1498">_xlfn.XLOOKUP(TEXT(A1498, "mmm-yy"), TEXT([2]GASOLINE!$B$5:$B$208, "mmm-yy"), [2]GASOLINE!$C$5:$C$208, "Not Found")</f>
        <v>7207.7195502677168</v>
      </c>
      <c r="N1498" cm="1">
        <f t="array" ref="N1498">_xlfn.XLOOKUP(TEXT(A1498, "mmm-yy"), TEXT([2]RUNS!$B$5:$B$208, "mmm-yy"), [2]RUNS!$BM$5:$BM$208, "Not Found")</f>
        <v>0.763244708036938</v>
      </c>
    </row>
    <row r="1499" spans="1:14" x14ac:dyDescent="0.25">
      <c r="A1499" s="1">
        <f>'[1]Global_Spot Prices'!$B2808</f>
        <v>44102</v>
      </c>
      <c r="B1499">
        <f>_xlfn.XLOOKUP(A1499,'[1]Global_Spot Prices'!$B:$B,'[1]Global_Spot Prices'!$BS:$BS)</f>
        <v>6.1199999999999974</v>
      </c>
      <c r="C1499">
        <f>_xlfn.XLOOKUP(A1499,'[1]Global_Spot Prices'!$B:$B,'[1]Global_Spot Prices'!$E:$E)</f>
        <v>41.38</v>
      </c>
      <c r="D1499">
        <f>_xlfn.XLOOKUP(A1499,'[1]Global_Spot Prices'!$B:$B,'[1]Global_Spot Prices'!$D:$D)</f>
        <v>41.53</v>
      </c>
      <c r="E1499">
        <f>_xlfn.XLOOKUP(A1499,'[1]Global_Spot Prices'!$B:$B,'[1]Global_Spot Prices'!$H:$H)</f>
        <v>43.48</v>
      </c>
      <c r="F1499">
        <f>_xlfn.XLOOKUP(A1499,'[1]Global_Spot Prices'!$B:$B,'[1]Global_Spot Prices'!$I:$I)</f>
        <v>47.5</v>
      </c>
      <c r="G1499" cm="1">
        <f t="array" ref="G1499">_xlfn.XLOOKUP(TEXT(A1499, "mmm-yy"), TEXT([2]RUNS!$B$5:$B$208, "mmm-yy"), [2]RUNS!$D$5:$D$208, "Not Found")</f>
        <v>27974.368714499051</v>
      </c>
      <c r="H1499" cm="1">
        <f t="array" ref="H1499">SUMPRODUCT(
    --(TEXT('[3]Global Weekly Stock (EWSuez'!$B$4:$B$2000,"mmm-yy")=TEXT(A1499,"mmm-yy")),
    '[3]Global Weekly Stock (EWSuez'!$E$4:$E$2000)
/
SUMPRODUCT(
    --(TEXT('[3]Global Weekly Stock (EWSuez'!$B$4:$B$2000,"mmm-yy")=TEXT(A1499,"mmm-yy"))
)</f>
        <v>15004.75</v>
      </c>
      <c r="I1499">
        <f>_xlfn.XLOOKUP(A1499,[1]ForwardDeriv!$D:$D,[1]ForwardDeriv!$AJ:$AJ)</f>
        <v>0.5</v>
      </c>
      <c r="J1499" cm="1">
        <f t="array" ref="J1499">_xlfn.XLOOKUP(TEXT(A1499, "mmm-yy"), TEXT([2]GASOLINE!$B$5:$B$208, "mmm-yy"), [2]GASOLINE!$IR$5:$IR$208, "Not Found")</f>
        <v>-348.17998057542007</v>
      </c>
      <c r="K1499" cm="1">
        <f t="array" ref="K1499">_xlfn.XLOOKUP(TEXT(A1499, "mmm-yy"), TEXT([2]GASOLINE!$B$5:$B$208, "mmm-yy"), [2]GASOLINE!$IK$5:$IK$208, "Not Found")</f>
        <v>153.12583000838427</v>
      </c>
      <c r="L1499">
        <f t="shared" si="23"/>
        <v>1</v>
      </c>
      <c r="M1499" cm="1">
        <f t="array" ref="M1499">_xlfn.XLOOKUP(TEXT(A1499, "mmm-yy"), TEXT([2]GASOLINE!$B$5:$B$208, "mmm-yy"), [2]GASOLINE!$C$5:$C$208, "Not Found")</f>
        <v>7207.7195502677168</v>
      </c>
      <c r="N1499" cm="1">
        <f t="array" ref="N1499">_xlfn.XLOOKUP(TEXT(A1499, "mmm-yy"), TEXT([2]RUNS!$B$5:$B$208, "mmm-yy"), [2]RUNS!$BM$5:$BM$208, "Not Found")</f>
        <v>0.763244708036938</v>
      </c>
    </row>
    <row r="1500" spans="1:14" x14ac:dyDescent="0.25">
      <c r="A1500" s="1">
        <f>'[1]Global_Spot Prices'!$B2809</f>
        <v>44103</v>
      </c>
      <c r="B1500">
        <f>_xlfn.XLOOKUP(A1500,'[1]Global_Spot Prices'!$B:$B,'[1]Global_Spot Prices'!$BS:$BS)</f>
        <v>5.7749999999999986</v>
      </c>
      <c r="C1500">
        <f>_xlfn.XLOOKUP(A1500,'[1]Global_Spot Prices'!$B:$B,'[1]Global_Spot Prices'!$E:$E)</f>
        <v>41.844999999999999</v>
      </c>
      <c r="D1500">
        <f>_xlfn.XLOOKUP(A1500,'[1]Global_Spot Prices'!$B:$B,'[1]Global_Spot Prices'!$D:$D)</f>
        <v>40.15</v>
      </c>
      <c r="E1500">
        <f>_xlfn.XLOOKUP(A1500,'[1]Global_Spot Prices'!$B:$B,'[1]Global_Spot Prices'!$H:$H)</f>
        <v>43.24</v>
      </c>
      <c r="F1500">
        <f>_xlfn.XLOOKUP(A1500,'[1]Global_Spot Prices'!$B:$B,'[1]Global_Spot Prices'!$I:$I)</f>
        <v>47.62</v>
      </c>
      <c r="G1500" cm="1">
        <f t="array" ref="G1500">_xlfn.XLOOKUP(TEXT(A1500, "mmm-yy"), TEXT([2]RUNS!$B$5:$B$208, "mmm-yy"), [2]RUNS!$D$5:$D$208, "Not Found")</f>
        <v>27974.368714499051</v>
      </c>
      <c r="H1500" cm="1">
        <f t="array" ref="H1500">SUMPRODUCT(
    --(TEXT('[3]Global Weekly Stock (EWSuez'!$B$4:$B$2000,"mmm-yy")=TEXT(A1500,"mmm-yy")),
    '[3]Global Weekly Stock (EWSuez'!$E$4:$E$2000)
/
SUMPRODUCT(
    --(TEXT('[3]Global Weekly Stock (EWSuez'!$B$4:$B$2000,"mmm-yy")=TEXT(A1500,"mmm-yy"))
)</f>
        <v>15004.75</v>
      </c>
      <c r="I1500">
        <f>_xlfn.XLOOKUP(A1500,[1]ForwardDeriv!$D:$D,[1]ForwardDeriv!$AJ:$AJ)</f>
        <v>0.47999999999999687</v>
      </c>
      <c r="J1500" cm="1">
        <f t="array" ref="J1500">_xlfn.XLOOKUP(TEXT(A1500, "mmm-yy"), TEXT([2]GASOLINE!$B$5:$B$208, "mmm-yy"), [2]GASOLINE!$IR$5:$IR$208, "Not Found")</f>
        <v>-348.17998057542007</v>
      </c>
      <c r="K1500" cm="1">
        <f t="array" ref="K1500">_xlfn.XLOOKUP(TEXT(A1500, "mmm-yy"), TEXT([2]GASOLINE!$B$5:$B$208, "mmm-yy"), [2]GASOLINE!$IK$5:$IK$208, "Not Found")</f>
        <v>153.12583000838427</v>
      </c>
      <c r="L1500">
        <f t="shared" si="23"/>
        <v>1</v>
      </c>
      <c r="M1500" cm="1">
        <f t="array" ref="M1500">_xlfn.XLOOKUP(TEXT(A1500, "mmm-yy"), TEXT([2]GASOLINE!$B$5:$B$208, "mmm-yy"), [2]GASOLINE!$C$5:$C$208, "Not Found")</f>
        <v>7207.7195502677168</v>
      </c>
      <c r="N1500" cm="1">
        <f t="array" ref="N1500">_xlfn.XLOOKUP(TEXT(A1500, "mmm-yy"), TEXT([2]RUNS!$B$5:$B$208, "mmm-yy"), [2]RUNS!$BM$5:$BM$208, "Not Found")</f>
        <v>0.763244708036938</v>
      </c>
    </row>
    <row r="1501" spans="1:14" x14ac:dyDescent="0.25">
      <c r="A1501" s="1">
        <f>'[1]Global_Spot Prices'!$B2810</f>
        <v>44104</v>
      </c>
      <c r="B1501">
        <f>_xlfn.XLOOKUP(A1501,'[1]Global_Spot Prices'!$B:$B,'[1]Global_Spot Prices'!$BS:$BS)</f>
        <v>5.2700000000000031</v>
      </c>
      <c r="C1501">
        <f>_xlfn.XLOOKUP(A1501,'[1]Global_Spot Prices'!$B:$B,'[1]Global_Spot Prices'!$E:$E)</f>
        <v>40.33</v>
      </c>
      <c r="D1501">
        <f>_xlfn.XLOOKUP(A1501,'[1]Global_Spot Prices'!$B:$B,'[1]Global_Spot Prices'!$D:$D)</f>
        <v>40.664999999999999</v>
      </c>
      <c r="E1501">
        <f>_xlfn.XLOOKUP(A1501,'[1]Global_Spot Prices'!$B:$B,'[1]Global_Spot Prices'!$H:$H)</f>
        <v>41.73</v>
      </c>
      <c r="F1501">
        <f>_xlfn.XLOOKUP(A1501,'[1]Global_Spot Prices'!$B:$B,'[1]Global_Spot Prices'!$I:$I)</f>
        <v>45.6</v>
      </c>
      <c r="G1501" cm="1">
        <f t="array" ref="G1501">_xlfn.XLOOKUP(TEXT(A1501, "mmm-yy"), TEXT([2]RUNS!$B$5:$B$208, "mmm-yy"), [2]RUNS!$D$5:$D$208, "Not Found")</f>
        <v>27974.368714499051</v>
      </c>
      <c r="H1501" cm="1">
        <f t="array" ref="H1501">SUMPRODUCT(
    --(TEXT('[3]Global Weekly Stock (EWSuez'!$B$4:$B$2000,"mmm-yy")=TEXT(A1501,"mmm-yy")),
    '[3]Global Weekly Stock (EWSuez'!$E$4:$E$2000)
/
SUMPRODUCT(
    --(TEXT('[3]Global Weekly Stock (EWSuez'!$B$4:$B$2000,"mmm-yy")=TEXT(A1501,"mmm-yy"))
)</f>
        <v>15004.75</v>
      </c>
      <c r="I1501">
        <f>_xlfn.XLOOKUP(A1501,[1]ForwardDeriv!$D:$D,[1]ForwardDeriv!$AJ:$AJ)</f>
        <v>0.46999999999999886</v>
      </c>
      <c r="J1501" cm="1">
        <f t="array" ref="J1501">_xlfn.XLOOKUP(TEXT(A1501, "mmm-yy"), TEXT([2]GASOLINE!$B$5:$B$208, "mmm-yy"), [2]GASOLINE!$IR$5:$IR$208, "Not Found")</f>
        <v>-348.17998057542007</v>
      </c>
      <c r="K1501" cm="1">
        <f t="array" ref="K1501">_xlfn.XLOOKUP(TEXT(A1501, "mmm-yy"), TEXT([2]GASOLINE!$B$5:$B$208, "mmm-yy"), [2]GASOLINE!$IK$5:$IK$208, "Not Found")</f>
        <v>153.12583000838427</v>
      </c>
      <c r="L1501">
        <f t="shared" si="23"/>
        <v>1</v>
      </c>
      <c r="M1501" cm="1">
        <f t="array" ref="M1501">_xlfn.XLOOKUP(TEXT(A1501, "mmm-yy"), TEXT([2]GASOLINE!$B$5:$B$208, "mmm-yy"), [2]GASOLINE!$C$5:$C$208, "Not Found")</f>
        <v>7207.7195502677168</v>
      </c>
      <c r="N1501" cm="1">
        <f t="array" ref="N1501">_xlfn.XLOOKUP(TEXT(A1501, "mmm-yy"), TEXT([2]RUNS!$B$5:$B$208, "mmm-yy"), [2]RUNS!$BM$5:$BM$208, "Not Found")</f>
        <v>0.763244708036938</v>
      </c>
    </row>
    <row r="1502" spans="1:14" x14ac:dyDescent="0.25">
      <c r="A1502" s="1">
        <f>'[1]Global_Spot Prices'!$B2811</f>
        <v>44105</v>
      </c>
      <c r="B1502">
        <f>_xlfn.XLOOKUP(A1502,'[1]Global_Spot Prices'!$B:$B,'[1]Global_Spot Prices'!$BS:$BS)</f>
        <v>6.009999999999998</v>
      </c>
      <c r="C1502">
        <f>_xlfn.XLOOKUP(A1502,'[1]Global_Spot Prices'!$B:$B,'[1]Global_Spot Prices'!$E:$E)</f>
        <v>41.14</v>
      </c>
      <c r="D1502">
        <f>_xlfn.XLOOKUP(A1502,'[1]Global_Spot Prices'!$B:$B,'[1]Global_Spot Prices'!$D:$D)</f>
        <v>38.914999999999999</v>
      </c>
      <c r="E1502">
        <f>_xlfn.XLOOKUP(A1502,'[1]Global_Spot Prices'!$B:$B,'[1]Global_Spot Prices'!$H:$H)</f>
        <v>42.75</v>
      </c>
      <c r="F1502">
        <f>_xlfn.XLOOKUP(A1502,'[1]Global_Spot Prices'!$B:$B,'[1]Global_Spot Prices'!$I:$I)</f>
        <v>47.15</v>
      </c>
      <c r="G1502" cm="1">
        <f t="array" ref="G1502">_xlfn.XLOOKUP(TEXT(A1502, "mmm-yy"), TEXT([2]RUNS!$B$5:$B$208, "mmm-yy"), [2]RUNS!$D$5:$D$208, "Not Found")</f>
        <v>28491.811791756532</v>
      </c>
      <c r="H1502" cm="1">
        <f t="array" ref="H1502">SUMPRODUCT(
    --(TEXT('[3]Global Weekly Stock (EWSuez'!$B$4:$B$2000,"mmm-yy")=TEXT(A1502,"mmm-yy")),
    '[3]Global Weekly Stock (EWSuez'!$E$4:$E$2000)
/
SUMPRODUCT(
    --(TEXT('[3]Global Weekly Stock (EWSuez'!$B$4:$B$2000,"mmm-yy")=TEXT(A1502,"mmm-yy"))
)</f>
        <v>12997.6</v>
      </c>
      <c r="I1502">
        <f>_xlfn.XLOOKUP(A1502,[1]ForwardDeriv!$D:$D,[1]ForwardDeriv!$AJ:$AJ)</f>
        <v>0.28000000000000114</v>
      </c>
      <c r="J1502" cm="1">
        <f t="array" ref="J1502">_xlfn.XLOOKUP(TEXT(A1502, "mmm-yy"), TEXT([2]GASOLINE!$B$5:$B$208, "mmm-yy"), [2]GASOLINE!$IR$5:$IR$208, "Not Found")</f>
        <v>18.452188498266764</v>
      </c>
      <c r="K1502" cm="1">
        <f t="array" ref="K1502">_xlfn.XLOOKUP(TEXT(A1502, "mmm-yy"), TEXT([2]GASOLINE!$B$5:$B$208, "mmm-yy"), [2]GASOLINE!$IK$5:$IK$208, "Not Found")</f>
        <v>145.29158228863474</v>
      </c>
      <c r="L1502">
        <f t="shared" si="23"/>
        <v>0</v>
      </c>
      <c r="M1502" cm="1">
        <f t="array" ref="M1502">_xlfn.XLOOKUP(TEXT(A1502, "mmm-yy"), TEXT([2]GASOLINE!$B$5:$B$208, "mmm-yy"), [2]GASOLINE!$C$5:$C$208, "Not Found")</f>
        <v>6982.0058355180981</v>
      </c>
      <c r="N1502" cm="1">
        <f t="array" ref="N1502">_xlfn.XLOOKUP(TEXT(A1502, "mmm-yy"), TEXT([2]RUNS!$B$5:$B$208, "mmm-yy"), [2]RUNS!$BM$5:$BM$208, "Not Found")</f>
        <v>0.77863712438426347</v>
      </c>
    </row>
    <row r="1503" spans="1:14" x14ac:dyDescent="0.25">
      <c r="A1503" s="1">
        <f>'[1]Global_Spot Prices'!$B2812</f>
        <v>44106</v>
      </c>
      <c r="B1503">
        <f>_xlfn.XLOOKUP(A1503,'[1]Global_Spot Prices'!$B:$B,'[1]Global_Spot Prices'!$BS:$BS)</f>
        <v>6.1000000000000014</v>
      </c>
      <c r="C1503">
        <f>_xlfn.XLOOKUP(A1503,'[1]Global_Spot Prices'!$B:$B,'[1]Global_Spot Prices'!$E:$E)</f>
        <v>38.65</v>
      </c>
      <c r="D1503">
        <f>_xlfn.XLOOKUP(A1503,'[1]Global_Spot Prices'!$B:$B,'[1]Global_Spot Prices'!$D:$D)</f>
        <v>38.61</v>
      </c>
      <c r="E1503">
        <f>_xlfn.XLOOKUP(A1503,'[1]Global_Spot Prices'!$B:$B,'[1]Global_Spot Prices'!$H:$H)</f>
        <v>41.43</v>
      </c>
      <c r="F1503">
        <f>_xlfn.XLOOKUP(A1503,'[1]Global_Spot Prices'!$B:$B,'[1]Global_Spot Prices'!$I:$I)</f>
        <v>44.75</v>
      </c>
      <c r="G1503" cm="1">
        <f t="array" ref="G1503">_xlfn.XLOOKUP(TEXT(A1503, "mmm-yy"), TEXT([2]RUNS!$B$5:$B$208, "mmm-yy"), [2]RUNS!$D$5:$D$208, "Not Found")</f>
        <v>28491.811791756532</v>
      </c>
      <c r="H1503" cm="1">
        <f t="array" ref="H1503">SUMPRODUCT(
    --(TEXT('[3]Global Weekly Stock (EWSuez'!$B$4:$B$2000,"mmm-yy")=TEXT(A1503,"mmm-yy")),
    '[3]Global Weekly Stock (EWSuez'!$E$4:$E$2000)
/
SUMPRODUCT(
    --(TEXT('[3]Global Weekly Stock (EWSuez'!$B$4:$B$2000,"mmm-yy")=TEXT(A1503,"mmm-yy"))
)</f>
        <v>12997.6</v>
      </c>
      <c r="I1503">
        <f>_xlfn.XLOOKUP(A1503,[1]ForwardDeriv!$D:$D,[1]ForwardDeriv!$AJ:$AJ)</f>
        <v>0.19000000000000483</v>
      </c>
      <c r="J1503" cm="1">
        <f t="array" ref="J1503">_xlfn.XLOOKUP(TEXT(A1503, "mmm-yy"), TEXT([2]GASOLINE!$B$5:$B$208, "mmm-yy"), [2]GASOLINE!$IR$5:$IR$208, "Not Found")</f>
        <v>18.452188498266764</v>
      </c>
      <c r="K1503" cm="1">
        <f t="array" ref="K1503">_xlfn.XLOOKUP(TEXT(A1503, "mmm-yy"), TEXT([2]GASOLINE!$B$5:$B$208, "mmm-yy"), [2]GASOLINE!$IK$5:$IK$208, "Not Found")</f>
        <v>145.29158228863474</v>
      </c>
      <c r="L1503">
        <f t="shared" si="23"/>
        <v>0</v>
      </c>
      <c r="M1503" cm="1">
        <f t="array" ref="M1503">_xlfn.XLOOKUP(TEXT(A1503, "mmm-yy"), TEXT([2]GASOLINE!$B$5:$B$208, "mmm-yy"), [2]GASOLINE!$C$5:$C$208, "Not Found")</f>
        <v>6982.0058355180981</v>
      </c>
      <c r="N1503" cm="1">
        <f t="array" ref="N1503">_xlfn.XLOOKUP(TEXT(A1503, "mmm-yy"), TEXT([2]RUNS!$B$5:$B$208, "mmm-yy"), [2]RUNS!$BM$5:$BM$208, "Not Found")</f>
        <v>0.77863712438426347</v>
      </c>
    </row>
    <row r="1504" spans="1:14" x14ac:dyDescent="0.25">
      <c r="A1504" s="1">
        <f>'[1]Global_Spot Prices'!$B2813</f>
        <v>44109</v>
      </c>
      <c r="B1504">
        <f>_xlfn.XLOOKUP(A1504,'[1]Global_Spot Prices'!$B:$B,'[1]Global_Spot Prices'!$BS:$BS)</f>
        <v>5.9050000000000011</v>
      </c>
      <c r="C1504">
        <f>_xlfn.XLOOKUP(A1504,'[1]Global_Spot Prices'!$B:$B,'[1]Global_Spot Prices'!$E:$E)</f>
        <v>39.295000000000002</v>
      </c>
      <c r="D1504">
        <f>_xlfn.XLOOKUP(A1504,'[1]Global_Spot Prices'!$B:$B,'[1]Global_Spot Prices'!$D:$D)</f>
        <v>39.975000000000001</v>
      </c>
      <c r="E1504">
        <f>_xlfn.XLOOKUP(A1504,'[1]Global_Spot Prices'!$B:$B,'[1]Global_Spot Prices'!$H:$H)</f>
        <v>42.31</v>
      </c>
      <c r="F1504">
        <f>_xlfn.XLOOKUP(A1504,'[1]Global_Spot Prices'!$B:$B,'[1]Global_Spot Prices'!$I:$I)</f>
        <v>45.2</v>
      </c>
      <c r="G1504" cm="1">
        <f t="array" ref="G1504">_xlfn.XLOOKUP(TEXT(A1504, "mmm-yy"), TEXT([2]RUNS!$B$5:$B$208, "mmm-yy"), [2]RUNS!$D$5:$D$208, "Not Found")</f>
        <v>28491.811791756532</v>
      </c>
      <c r="H1504" cm="1">
        <f t="array" ref="H1504">SUMPRODUCT(
    --(TEXT('[3]Global Weekly Stock (EWSuez'!$B$4:$B$2000,"mmm-yy")=TEXT(A1504,"mmm-yy")),
    '[3]Global Weekly Stock (EWSuez'!$E$4:$E$2000)
/
SUMPRODUCT(
    --(TEXT('[3]Global Weekly Stock (EWSuez'!$B$4:$B$2000,"mmm-yy")=TEXT(A1504,"mmm-yy"))
)</f>
        <v>12997.6</v>
      </c>
      <c r="I1504">
        <f>_xlfn.XLOOKUP(A1504,[1]ForwardDeriv!$D:$D,[1]ForwardDeriv!$AJ:$AJ)</f>
        <v>0.17999999999999972</v>
      </c>
      <c r="J1504" cm="1">
        <f t="array" ref="J1504">_xlfn.XLOOKUP(TEXT(A1504, "mmm-yy"), TEXT([2]GASOLINE!$B$5:$B$208, "mmm-yy"), [2]GASOLINE!$IR$5:$IR$208, "Not Found")</f>
        <v>18.452188498266764</v>
      </c>
      <c r="K1504" cm="1">
        <f t="array" ref="K1504">_xlfn.XLOOKUP(TEXT(A1504, "mmm-yy"), TEXT([2]GASOLINE!$B$5:$B$208, "mmm-yy"), [2]GASOLINE!$IK$5:$IK$208, "Not Found")</f>
        <v>145.29158228863474</v>
      </c>
      <c r="L1504">
        <f t="shared" si="23"/>
        <v>0</v>
      </c>
      <c r="M1504" cm="1">
        <f t="array" ref="M1504">_xlfn.XLOOKUP(TEXT(A1504, "mmm-yy"), TEXT([2]GASOLINE!$B$5:$B$208, "mmm-yy"), [2]GASOLINE!$C$5:$C$208, "Not Found")</f>
        <v>6982.0058355180981</v>
      </c>
      <c r="N1504" cm="1">
        <f t="array" ref="N1504">_xlfn.XLOOKUP(TEXT(A1504, "mmm-yy"), TEXT([2]RUNS!$B$5:$B$208, "mmm-yy"), [2]RUNS!$BM$5:$BM$208, "Not Found")</f>
        <v>0.77863712438426347</v>
      </c>
    </row>
    <row r="1505" spans="1:14" x14ac:dyDescent="0.25">
      <c r="A1505" s="1">
        <f>'[1]Global_Spot Prices'!$B2814</f>
        <v>44110</v>
      </c>
      <c r="B1505">
        <f>_xlfn.XLOOKUP(A1505,'[1]Global_Spot Prices'!$B:$B,'[1]Global_Spot Prices'!$BS:$BS)</f>
        <v>5.7100000000000009</v>
      </c>
      <c r="C1505">
        <f>_xlfn.XLOOKUP(A1505,'[1]Global_Spot Prices'!$B:$B,'[1]Global_Spot Prices'!$E:$E)</f>
        <v>40.51</v>
      </c>
      <c r="D1505">
        <f>_xlfn.XLOOKUP(A1505,'[1]Global_Spot Prices'!$B:$B,'[1]Global_Spot Prices'!$D:$D)</f>
        <v>41.064999999999998</v>
      </c>
      <c r="E1505">
        <f>_xlfn.XLOOKUP(A1505,'[1]Global_Spot Prices'!$B:$B,'[1]Global_Spot Prices'!$H:$H)</f>
        <v>43.39</v>
      </c>
      <c r="F1505">
        <f>_xlfn.XLOOKUP(A1505,'[1]Global_Spot Prices'!$B:$B,'[1]Global_Spot Prices'!$I:$I)</f>
        <v>46.22</v>
      </c>
      <c r="G1505" cm="1">
        <f t="array" ref="G1505">_xlfn.XLOOKUP(TEXT(A1505, "mmm-yy"), TEXT([2]RUNS!$B$5:$B$208, "mmm-yy"), [2]RUNS!$D$5:$D$208, "Not Found")</f>
        <v>28491.811791756532</v>
      </c>
      <c r="H1505" cm="1">
        <f t="array" ref="H1505">SUMPRODUCT(
    --(TEXT('[3]Global Weekly Stock (EWSuez'!$B$4:$B$2000,"mmm-yy")=TEXT(A1505,"mmm-yy")),
    '[3]Global Weekly Stock (EWSuez'!$E$4:$E$2000)
/
SUMPRODUCT(
    --(TEXT('[3]Global Weekly Stock (EWSuez'!$B$4:$B$2000,"mmm-yy")=TEXT(A1505,"mmm-yy"))
)</f>
        <v>12997.6</v>
      </c>
      <c r="I1505">
        <f>_xlfn.XLOOKUP(A1505,[1]ForwardDeriv!$D:$D,[1]ForwardDeriv!$AJ:$AJ)</f>
        <v>6.0000000000002274E-2</v>
      </c>
      <c r="J1505" cm="1">
        <f t="array" ref="J1505">_xlfn.XLOOKUP(TEXT(A1505, "mmm-yy"), TEXT([2]GASOLINE!$B$5:$B$208, "mmm-yy"), [2]GASOLINE!$IR$5:$IR$208, "Not Found")</f>
        <v>18.452188498266764</v>
      </c>
      <c r="K1505" cm="1">
        <f t="array" ref="K1505">_xlfn.XLOOKUP(TEXT(A1505, "mmm-yy"), TEXT([2]GASOLINE!$B$5:$B$208, "mmm-yy"), [2]GASOLINE!$IK$5:$IK$208, "Not Found")</f>
        <v>145.29158228863474</v>
      </c>
      <c r="L1505">
        <f t="shared" si="23"/>
        <v>0</v>
      </c>
      <c r="M1505" cm="1">
        <f t="array" ref="M1505">_xlfn.XLOOKUP(TEXT(A1505, "mmm-yy"), TEXT([2]GASOLINE!$B$5:$B$208, "mmm-yy"), [2]GASOLINE!$C$5:$C$208, "Not Found")</f>
        <v>6982.0058355180981</v>
      </c>
      <c r="N1505" cm="1">
        <f t="array" ref="N1505">_xlfn.XLOOKUP(TEXT(A1505, "mmm-yy"), TEXT([2]RUNS!$B$5:$B$208, "mmm-yy"), [2]RUNS!$BM$5:$BM$208, "Not Found")</f>
        <v>0.77863712438426347</v>
      </c>
    </row>
    <row r="1506" spans="1:14" x14ac:dyDescent="0.25">
      <c r="A1506" s="1">
        <f>'[1]Global_Spot Prices'!$B2815</f>
        <v>44111</v>
      </c>
      <c r="B1506">
        <f>_xlfn.XLOOKUP(A1506,'[1]Global_Spot Prices'!$B:$B,'[1]Global_Spot Prices'!$BS:$BS)</f>
        <v>5.3100000000000023</v>
      </c>
      <c r="C1506">
        <f>_xlfn.XLOOKUP(A1506,'[1]Global_Spot Prices'!$B:$B,'[1]Global_Spot Prices'!$E:$E)</f>
        <v>41.21</v>
      </c>
      <c r="D1506">
        <f>_xlfn.XLOOKUP(A1506,'[1]Global_Spot Prices'!$B:$B,'[1]Global_Spot Prices'!$D:$D)</f>
        <v>40.185000000000002</v>
      </c>
      <c r="E1506">
        <f>_xlfn.XLOOKUP(A1506,'[1]Global_Spot Prices'!$B:$B,'[1]Global_Spot Prices'!$H:$H)</f>
        <v>43.34</v>
      </c>
      <c r="F1506">
        <f>_xlfn.XLOOKUP(A1506,'[1]Global_Spot Prices'!$B:$B,'[1]Global_Spot Prices'!$I:$I)</f>
        <v>46.52</v>
      </c>
      <c r="G1506" cm="1">
        <f t="array" ref="G1506">_xlfn.XLOOKUP(TEXT(A1506, "mmm-yy"), TEXT([2]RUNS!$B$5:$B$208, "mmm-yy"), [2]RUNS!$D$5:$D$208, "Not Found")</f>
        <v>28491.811791756532</v>
      </c>
      <c r="H1506" cm="1">
        <f t="array" ref="H1506">SUMPRODUCT(
    --(TEXT('[3]Global Weekly Stock (EWSuez'!$B$4:$B$2000,"mmm-yy")=TEXT(A1506,"mmm-yy")),
    '[3]Global Weekly Stock (EWSuez'!$E$4:$E$2000)
/
SUMPRODUCT(
    --(TEXT('[3]Global Weekly Stock (EWSuez'!$B$4:$B$2000,"mmm-yy")=TEXT(A1506,"mmm-yy"))
)</f>
        <v>12997.6</v>
      </c>
      <c r="I1506">
        <f>_xlfn.XLOOKUP(A1506,[1]ForwardDeriv!$D:$D,[1]ForwardDeriv!$AJ:$AJ)</f>
        <v>-2.0000000000003126E-2</v>
      </c>
      <c r="J1506" cm="1">
        <f t="array" ref="J1506">_xlfn.XLOOKUP(TEXT(A1506, "mmm-yy"), TEXT([2]GASOLINE!$B$5:$B$208, "mmm-yy"), [2]GASOLINE!$IR$5:$IR$208, "Not Found")</f>
        <v>18.452188498266764</v>
      </c>
      <c r="K1506" cm="1">
        <f t="array" ref="K1506">_xlfn.XLOOKUP(TEXT(A1506, "mmm-yy"), TEXT([2]GASOLINE!$B$5:$B$208, "mmm-yy"), [2]GASOLINE!$IK$5:$IK$208, "Not Found")</f>
        <v>145.29158228863474</v>
      </c>
      <c r="L1506">
        <f t="shared" si="23"/>
        <v>0</v>
      </c>
      <c r="M1506" cm="1">
        <f t="array" ref="M1506">_xlfn.XLOOKUP(TEXT(A1506, "mmm-yy"), TEXT([2]GASOLINE!$B$5:$B$208, "mmm-yy"), [2]GASOLINE!$C$5:$C$208, "Not Found")</f>
        <v>6982.0058355180981</v>
      </c>
      <c r="N1506" cm="1">
        <f t="array" ref="N1506">_xlfn.XLOOKUP(TEXT(A1506, "mmm-yy"), TEXT([2]RUNS!$B$5:$B$208, "mmm-yy"), [2]RUNS!$BM$5:$BM$208, "Not Found")</f>
        <v>0.77863712438426347</v>
      </c>
    </row>
    <row r="1507" spans="1:14" x14ac:dyDescent="0.25">
      <c r="A1507" s="1">
        <f>'[1]Global_Spot Prices'!$B2816</f>
        <v>44112</v>
      </c>
      <c r="B1507">
        <f>_xlfn.XLOOKUP(A1507,'[1]Global_Spot Prices'!$B:$B,'[1]Global_Spot Prices'!$BS:$BS)</f>
        <v>5.2049999999999983</v>
      </c>
      <c r="C1507">
        <f>_xlfn.XLOOKUP(A1507,'[1]Global_Spot Prices'!$B:$B,'[1]Global_Spot Prices'!$E:$E)</f>
        <v>41.454999999999998</v>
      </c>
      <c r="D1507">
        <f>_xlfn.XLOOKUP(A1507,'[1]Global_Spot Prices'!$B:$B,'[1]Global_Spot Prices'!$D:$D)</f>
        <v>41.555</v>
      </c>
      <c r="E1507">
        <f>_xlfn.XLOOKUP(A1507,'[1]Global_Spot Prices'!$B:$B,'[1]Global_Spot Prices'!$H:$H)</f>
        <v>43.8</v>
      </c>
      <c r="F1507">
        <f>_xlfn.XLOOKUP(A1507,'[1]Global_Spot Prices'!$B:$B,'[1]Global_Spot Prices'!$I:$I)</f>
        <v>46.66</v>
      </c>
      <c r="G1507" cm="1">
        <f t="array" ref="G1507">_xlfn.XLOOKUP(TEXT(A1507, "mmm-yy"), TEXT([2]RUNS!$B$5:$B$208, "mmm-yy"), [2]RUNS!$D$5:$D$208, "Not Found")</f>
        <v>28491.811791756532</v>
      </c>
      <c r="H1507" cm="1">
        <f t="array" ref="H1507">SUMPRODUCT(
    --(TEXT('[3]Global Weekly Stock (EWSuez'!$B$4:$B$2000,"mmm-yy")=TEXT(A1507,"mmm-yy")),
    '[3]Global Weekly Stock (EWSuez'!$E$4:$E$2000)
/
SUMPRODUCT(
    --(TEXT('[3]Global Weekly Stock (EWSuez'!$B$4:$B$2000,"mmm-yy")=TEXT(A1507,"mmm-yy"))
)</f>
        <v>12997.6</v>
      </c>
      <c r="I1507">
        <f>_xlfn.XLOOKUP(A1507,[1]ForwardDeriv!$D:$D,[1]ForwardDeriv!$AJ:$AJ)</f>
        <v>-6.0000000000002274E-2</v>
      </c>
      <c r="J1507" cm="1">
        <f t="array" ref="J1507">_xlfn.XLOOKUP(TEXT(A1507, "mmm-yy"), TEXT([2]GASOLINE!$B$5:$B$208, "mmm-yy"), [2]GASOLINE!$IR$5:$IR$208, "Not Found")</f>
        <v>18.452188498266764</v>
      </c>
      <c r="K1507" cm="1">
        <f t="array" ref="K1507">_xlfn.XLOOKUP(TEXT(A1507, "mmm-yy"), TEXT([2]GASOLINE!$B$5:$B$208, "mmm-yy"), [2]GASOLINE!$IK$5:$IK$208, "Not Found")</f>
        <v>145.29158228863474</v>
      </c>
      <c r="L1507">
        <f t="shared" si="23"/>
        <v>0</v>
      </c>
      <c r="M1507" cm="1">
        <f t="array" ref="M1507">_xlfn.XLOOKUP(TEXT(A1507, "mmm-yy"), TEXT([2]GASOLINE!$B$5:$B$208, "mmm-yy"), [2]GASOLINE!$C$5:$C$208, "Not Found")</f>
        <v>6982.0058355180981</v>
      </c>
      <c r="N1507" cm="1">
        <f t="array" ref="N1507">_xlfn.XLOOKUP(TEXT(A1507, "mmm-yy"), TEXT([2]RUNS!$B$5:$B$208, "mmm-yy"), [2]RUNS!$BM$5:$BM$208, "Not Found")</f>
        <v>0.77863712438426347</v>
      </c>
    </row>
    <row r="1508" spans="1:14" x14ac:dyDescent="0.25">
      <c r="A1508" s="1">
        <f>'[1]Global_Spot Prices'!$B2817</f>
        <v>44113</v>
      </c>
      <c r="B1508">
        <f>_xlfn.XLOOKUP(A1508,'[1]Global_Spot Prices'!$B:$B,'[1]Global_Spot Prices'!$BS:$BS)</f>
        <v>4.4500000000000028</v>
      </c>
      <c r="C1508">
        <f>_xlfn.XLOOKUP(A1508,'[1]Global_Spot Prices'!$B:$B,'[1]Global_Spot Prices'!$E:$E)</f>
        <v>42.07</v>
      </c>
      <c r="D1508">
        <f>_xlfn.XLOOKUP(A1508,'[1]Global_Spot Prices'!$B:$B,'[1]Global_Spot Prices'!$D:$D)</f>
        <v>41.954999999999998</v>
      </c>
      <c r="E1508">
        <f>_xlfn.XLOOKUP(A1508,'[1]Global_Spot Prices'!$B:$B,'[1]Global_Spot Prices'!$H:$H)</f>
        <v>44.59</v>
      </c>
      <c r="F1508">
        <f>_xlfn.XLOOKUP(A1508,'[1]Global_Spot Prices'!$B:$B,'[1]Global_Spot Prices'!$I:$I)</f>
        <v>46.52</v>
      </c>
      <c r="G1508" cm="1">
        <f t="array" ref="G1508">_xlfn.XLOOKUP(TEXT(A1508, "mmm-yy"), TEXT([2]RUNS!$B$5:$B$208, "mmm-yy"), [2]RUNS!$D$5:$D$208, "Not Found")</f>
        <v>28491.811791756532</v>
      </c>
      <c r="H1508" cm="1">
        <f t="array" ref="H1508">SUMPRODUCT(
    --(TEXT('[3]Global Weekly Stock (EWSuez'!$B$4:$B$2000,"mmm-yy")=TEXT(A1508,"mmm-yy")),
    '[3]Global Weekly Stock (EWSuez'!$E$4:$E$2000)
/
SUMPRODUCT(
    --(TEXT('[3]Global Weekly Stock (EWSuez'!$B$4:$B$2000,"mmm-yy")=TEXT(A1508,"mmm-yy"))
)</f>
        <v>12997.6</v>
      </c>
      <c r="I1508">
        <f>_xlfn.XLOOKUP(A1508,[1]ForwardDeriv!$D:$D,[1]ForwardDeriv!$AJ:$AJ)</f>
        <v>-0.20000000000000284</v>
      </c>
      <c r="J1508" cm="1">
        <f t="array" ref="J1508">_xlfn.XLOOKUP(TEXT(A1508, "mmm-yy"), TEXT([2]GASOLINE!$B$5:$B$208, "mmm-yy"), [2]GASOLINE!$IR$5:$IR$208, "Not Found")</f>
        <v>18.452188498266764</v>
      </c>
      <c r="K1508" cm="1">
        <f t="array" ref="K1508">_xlfn.XLOOKUP(TEXT(A1508, "mmm-yy"), TEXT([2]GASOLINE!$B$5:$B$208, "mmm-yy"), [2]GASOLINE!$IK$5:$IK$208, "Not Found")</f>
        <v>145.29158228863474</v>
      </c>
      <c r="L1508">
        <f t="shared" si="23"/>
        <v>0</v>
      </c>
      <c r="M1508" cm="1">
        <f t="array" ref="M1508">_xlfn.XLOOKUP(TEXT(A1508, "mmm-yy"), TEXT([2]GASOLINE!$B$5:$B$208, "mmm-yy"), [2]GASOLINE!$C$5:$C$208, "Not Found")</f>
        <v>6982.0058355180981</v>
      </c>
      <c r="N1508" cm="1">
        <f t="array" ref="N1508">_xlfn.XLOOKUP(TEXT(A1508, "mmm-yy"), TEXT([2]RUNS!$B$5:$B$208, "mmm-yy"), [2]RUNS!$BM$5:$BM$208, "Not Found")</f>
        <v>0.77863712438426347</v>
      </c>
    </row>
    <row r="1509" spans="1:14" x14ac:dyDescent="0.25">
      <c r="A1509" s="1">
        <f>'[1]Global_Spot Prices'!$B2818</f>
        <v>44116</v>
      </c>
      <c r="B1509">
        <f>_xlfn.XLOOKUP(A1509,'[1]Global_Spot Prices'!$B:$B,'[1]Global_Spot Prices'!$BS:$BS)</f>
        <v>4.3100000000000023</v>
      </c>
      <c r="C1509">
        <f>_xlfn.XLOOKUP(A1509,'[1]Global_Spot Prices'!$B:$B,'[1]Global_Spot Prices'!$E:$E)</f>
        <v>41.26</v>
      </c>
      <c r="D1509">
        <f>_xlfn.XLOOKUP(A1509,'[1]Global_Spot Prices'!$B:$B,'[1]Global_Spot Prices'!$D:$D)</f>
        <v>40.19</v>
      </c>
      <c r="E1509">
        <f>_xlfn.XLOOKUP(A1509,'[1]Global_Spot Prices'!$B:$B,'[1]Global_Spot Prices'!$H:$H)</f>
        <v>43.59</v>
      </c>
      <c r="F1509">
        <f>_xlfn.XLOOKUP(A1509,'[1]Global_Spot Prices'!$B:$B,'[1]Global_Spot Prices'!$I:$I)</f>
        <v>45.57</v>
      </c>
      <c r="G1509" cm="1">
        <f t="array" ref="G1509">_xlfn.XLOOKUP(TEXT(A1509, "mmm-yy"), TEXT([2]RUNS!$B$5:$B$208, "mmm-yy"), [2]RUNS!$D$5:$D$208, "Not Found")</f>
        <v>28491.811791756532</v>
      </c>
      <c r="H1509" cm="1">
        <f t="array" ref="H1509">SUMPRODUCT(
    --(TEXT('[3]Global Weekly Stock (EWSuez'!$B$4:$B$2000,"mmm-yy")=TEXT(A1509,"mmm-yy")),
    '[3]Global Weekly Stock (EWSuez'!$E$4:$E$2000)
/
SUMPRODUCT(
    --(TEXT('[3]Global Weekly Stock (EWSuez'!$B$4:$B$2000,"mmm-yy")=TEXT(A1509,"mmm-yy"))
)</f>
        <v>12997.6</v>
      </c>
      <c r="I1509">
        <f>_xlfn.XLOOKUP(A1509,[1]ForwardDeriv!$D:$D,[1]ForwardDeriv!$AJ:$AJ)</f>
        <v>-0.30000000000000426</v>
      </c>
      <c r="J1509" cm="1">
        <f t="array" ref="J1509">_xlfn.XLOOKUP(TEXT(A1509, "mmm-yy"), TEXT([2]GASOLINE!$B$5:$B$208, "mmm-yy"), [2]GASOLINE!$IR$5:$IR$208, "Not Found")</f>
        <v>18.452188498266764</v>
      </c>
      <c r="K1509" cm="1">
        <f t="array" ref="K1509">_xlfn.XLOOKUP(TEXT(A1509, "mmm-yy"), TEXT([2]GASOLINE!$B$5:$B$208, "mmm-yy"), [2]GASOLINE!$IK$5:$IK$208, "Not Found")</f>
        <v>145.29158228863474</v>
      </c>
      <c r="L1509">
        <f t="shared" si="23"/>
        <v>0</v>
      </c>
      <c r="M1509" cm="1">
        <f t="array" ref="M1509">_xlfn.XLOOKUP(TEXT(A1509, "mmm-yy"), TEXT([2]GASOLINE!$B$5:$B$208, "mmm-yy"), [2]GASOLINE!$C$5:$C$208, "Not Found")</f>
        <v>6982.0058355180981</v>
      </c>
      <c r="N1509" cm="1">
        <f t="array" ref="N1509">_xlfn.XLOOKUP(TEXT(A1509, "mmm-yy"), TEXT([2]RUNS!$B$5:$B$208, "mmm-yy"), [2]RUNS!$BM$5:$BM$208, "Not Found")</f>
        <v>0.77863712438426347</v>
      </c>
    </row>
    <row r="1510" spans="1:14" x14ac:dyDescent="0.25">
      <c r="A1510" s="1">
        <f>'[1]Global_Spot Prices'!$B2819</f>
        <v>44117</v>
      </c>
      <c r="B1510">
        <f>_xlfn.XLOOKUP(A1510,'[1]Global_Spot Prices'!$B:$B,'[1]Global_Spot Prices'!$BS:$BS)</f>
        <v>3.7749999999999986</v>
      </c>
      <c r="C1510">
        <f>_xlfn.XLOOKUP(A1510,'[1]Global_Spot Prices'!$B:$B,'[1]Global_Spot Prices'!$E:$E)</f>
        <v>41.155000000000001</v>
      </c>
      <c r="D1510">
        <f>_xlfn.XLOOKUP(A1510,'[1]Global_Spot Prices'!$B:$B,'[1]Global_Spot Prices'!$D:$D)</f>
        <v>41.005000000000003</v>
      </c>
      <c r="E1510">
        <f>_xlfn.XLOOKUP(A1510,'[1]Global_Spot Prices'!$B:$B,'[1]Global_Spot Prices'!$H:$H)</f>
        <v>43.45</v>
      </c>
      <c r="F1510">
        <f>_xlfn.XLOOKUP(A1510,'[1]Global_Spot Prices'!$B:$B,'[1]Global_Spot Prices'!$I:$I)</f>
        <v>44.93</v>
      </c>
      <c r="G1510" cm="1">
        <f t="array" ref="G1510">_xlfn.XLOOKUP(TEXT(A1510, "mmm-yy"), TEXT([2]RUNS!$B$5:$B$208, "mmm-yy"), [2]RUNS!$D$5:$D$208, "Not Found")</f>
        <v>28491.811791756532</v>
      </c>
      <c r="H1510" cm="1">
        <f t="array" ref="H1510">SUMPRODUCT(
    --(TEXT('[3]Global Weekly Stock (EWSuez'!$B$4:$B$2000,"mmm-yy")=TEXT(A1510,"mmm-yy")),
    '[3]Global Weekly Stock (EWSuez'!$E$4:$E$2000)
/
SUMPRODUCT(
    --(TEXT('[3]Global Weekly Stock (EWSuez'!$B$4:$B$2000,"mmm-yy")=TEXT(A1510,"mmm-yy"))
)</f>
        <v>12997.6</v>
      </c>
      <c r="I1510">
        <f>_xlfn.XLOOKUP(A1510,[1]ForwardDeriv!$D:$D,[1]ForwardDeriv!$AJ:$AJ)</f>
        <v>-0.32000000000000028</v>
      </c>
      <c r="J1510" cm="1">
        <f t="array" ref="J1510">_xlfn.XLOOKUP(TEXT(A1510, "mmm-yy"), TEXT([2]GASOLINE!$B$5:$B$208, "mmm-yy"), [2]GASOLINE!$IR$5:$IR$208, "Not Found")</f>
        <v>18.452188498266764</v>
      </c>
      <c r="K1510" cm="1">
        <f t="array" ref="K1510">_xlfn.XLOOKUP(TEXT(A1510, "mmm-yy"), TEXT([2]GASOLINE!$B$5:$B$208, "mmm-yy"), [2]GASOLINE!$IK$5:$IK$208, "Not Found")</f>
        <v>145.29158228863474</v>
      </c>
      <c r="L1510">
        <f t="shared" si="23"/>
        <v>0</v>
      </c>
      <c r="M1510" cm="1">
        <f t="array" ref="M1510">_xlfn.XLOOKUP(TEXT(A1510, "mmm-yy"), TEXT([2]GASOLINE!$B$5:$B$208, "mmm-yy"), [2]GASOLINE!$C$5:$C$208, "Not Found")</f>
        <v>6982.0058355180981</v>
      </c>
      <c r="N1510" cm="1">
        <f t="array" ref="N1510">_xlfn.XLOOKUP(TEXT(A1510, "mmm-yy"), TEXT([2]RUNS!$B$5:$B$208, "mmm-yy"), [2]RUNS!$BM$5:$BM$208, "Not Found")</f>
        <v>0.77863712438426347</v>
      </c>
    </row>
    <row r="1511" spans="1:14" x14ac:dyDescent="0.25">
      <c r="A1511" s="1">
        <f>'[1]Global_Spot Prices'!$B2820</f>
        <v>44118</v>
      </c>
      <c r="B1511">
        <f>_xlfn.XLOOKUP(A1511,'[1]Global_Spot Prices'!$B:$B,'[1]Global_Spot Prices'!$BS:$BS)</f>
        <v>3.009999999999998</v>
      </c>
      <c r="C1511">
        <f>_xlfn.XLOOKUP(A1511,'[1]Global_Spot Prices'!$B:$B,'[1]Global_Spot Prices'!$E:$E)</f>
        <v>41.59</v>
      </c>
      <c r="D1511">
        <f>_xlfn.XLOOKUP(A1511,'[1]Global_Spot Prices'!$B:$B,'[1]Global_Spot Prices'!$D:$D)</f>
        <v>41.75</v>
      </c>
      <c r="E1511">
        <f>_xlfn.XLOOKUP(A1511,'[1]Global_Spot Prices'!$B:$B,'[1]Global_Spot Prices'!$H:$H)</f>
        <v>42.89</v>
      </c>
      <c r="F1511">
        <f>_xlfn.XLOOKUP(A1511,'[1]Global_Spot Prices'!$B:$B,'[1]Global_Spot Prices'!$I:$I)</f>
        <v>44.6</v>
      </c>
      <c r="G1511" cm="1">
        <f t="array" ref="G1511">_xlfn.XLOOKUP(TEXT(A1511, "mmm-yy"), TEXT([2]RUNS!$B$5:$B$208, "mmm-yy"), [2]RUNS!$D$5:$D$208, "Not Found")</f>
        <v>28491.811791756532</v>
      </c>
      <c r="H1511" cm="1">
        <f t="array" ref="H1511">SUMPRODUCT(
    --(TEXT('[3]Global Weekly Stock (EWSuez'!$B$4:$B$2000,"mmm-yy")=TEXT(A1511,"mmm-yy")),
    '[3]Global Weekly Stock (EWSuez'!$E$4:$E$2000)
/
SUMPRODUCT(
    --(TEXT('[3]Global Weekly Stock (EWSuez'!$B$4:$B$2000,"mmm-yy")=TEXT(A1511,"mmm-yy"))
)</f>
        <v>12997.6</v>
      </c>
      <c r="I1511">
        <f>_xlfn.XLOOKUP(A1511,[1]ForwardDeriv!$D:$D,[1]ForwardDeriv!$AJ:$AJ)</f>
        <v>-0.40999999999999659</v>
      </c>
      <c r="J1511" cm="1">
        <f t="array" ref="J1511">_xlfn.XLOOKUP(TEXT(A1511, "mmm-yy"), TEXT([2]GASOLINE!$B$5:$B$208, "mmm-yy"), [2]GASOLINE!$IR$5:$IR$208, "Not Found")</f>
        <v>18.452188498266764</v>
      </c>
      <c r="K1511" cm="1">
        <f t="array" ref="K1511">_xlfn.XLOOKUP(TEXT(A1511, "mmm-yy"), TEXT([2]GASOLINE!$B$5:$B$208, "mmm-yy"), [2]GASOLINE!$IK$5:$IK$208, "Not Found")</f>
        <v>145.29158228863474</v>
      </c>
      <c r="L1511">
        <f t="shared" si="23"/>
        <v>0</v>
      </c>
      <c r="M1511" cm="1">
        <f t="array" ref="M1511">_xlfn.XLOOKUP(TEXT(A1511, "mmm-yy"), TEXT([2]GASOLINE!$B$5:$B$208, "mmm-yy"), [2]GASOLINE!$C$5:$C$208, "Not Found")</f>
        <v>6982.0058355180981</v>
      </c>
      <c r="N1511" cm="1">
        <f t="array" ref="N1511">_xlfn.XLOOKUP(TEXT(A1511, "mmm-yy"), TEXT([2]RUNS!$B$5:$B$208, "mmm-yy"), [2]RUNS!$BM$5:$BM$208, "Not Found")</f>
        <v>0.77863712438426347</v>
      </c>
    </row>
    <row r="1512" spans="1:14" x14ac:dyDescent="0.25">
      <c r="A1512" s="1">
        <f>'[1]Global_Spot Prices'!$B2821</f>
        <v>44119</v>
      </c>
      <c r="B1512">
        <f>_xlfn.XLOOKUP(A1512,'[1]Global_Spot Prices'!$B:$B,'[1]Global_Spot Prices'!$BS:$BS)</f>
        <v>3.4500000000000028</v>
      </c>
      <c r="C1512">
        <f>_xlfn.XLOOKUP(A1512,'[1]Global_Spot Prices'!$B:$B,'[1]Global_Spot Prices'!$E:$E)</f>
        <v>41.98</v>
      </c>
      <c r="D1512">
        <f>_xlfn.XLOOKUP(A1512,'[1]Global_Spot Prices'!$B:$B,'[1]Global_Spot Prices'!$D:$D)</f>
        <v>41.075000000000003</v>
      </c>
      <c r="E1512">
        <f>_xlfn.XLOOKUP(A1512,'[1]Global_Spot Prices'!$B:$B,'[1]Global_Spot Prices'!$H:$H)</f>
        <v>42.95</v>
      </c>
      <c r="F1512">
        <f>_xlfn.XLOOKUP(A1512,'[1]Global_Spot Prices'!$B:$B,'[1]Global_Spot Prices'!$I:$I)</f>
        <v>45.43</v>
      </c>
      <c r="G1512" cm="1">
        <f t="array" ref="G1512">_xlfn.XLOOKUP(TEXT(A1512, "mmm-yy"), TEXT([2]RUNS!$B$5:$B$208, "mmm-yy"), [2]RUNS!$D$5:$D$208, "Not Found")</f>
        <v>28491.811791756532</v>
      </c>
      <c r="H1512" cm="1">
        <f t="array" ref="H1512">SUMPRODUCT(
    --(TEXT('[3]Global Weekly Stock (EWSuez'!$B$4:$B$2000,"mmm-yy")=TEXT(A1512,"mmm-yy")),
    '[3]Global Weekly Stock (EWSuez'!$E$4:$E$2000)
/
SUMPRODUCT(
    --(TEXT('[3]Global Weekly Stock (EWSuez'!$B$4:$B$2000,"mmm-yy")=TEXT(A1512,"mmm-yy"))
)</f>
        <v>12997.6</v>
      </c>
      <c r="I1512">
        <f>_xlfn.XLOOKUP(A1512,[1]ForwardDeriv!$D:$D,[1]ForwardDeriv!$AJ:$AJ)</f>
        <v>-0.31000000000000227</v>
      </c>
      <c r="J1512" cm="1">
        <f t="array" ref="J1512">_xlfn.XLOOKUP(TEXT(A1512, "mmm-yy"), TEXT([2]GASOLINE!$B$5:$B$208, "mmm-yy"), [2]GASOLINE!$IR$5:$IR$208, "Not Found")</f>
        <v>18.452188498266764</v>
      </c>
      <c r="K1512" cm="1">
        <f t="array" ref="K1512">_xlfn.XLOOKUP(TEXT(A1512, "mmm-yy"), TEXT([2]GASOLINE!$B$5:$B$208, "mmm-yy"), [2]GASOLINE!$IK$5:$IK$208, "Not Found")</f>
        <v>145.29158228863474</v>
      </c>
      <c r="L1512">
        <f t="shared" si="23"/>
        <v>0</v>
      </c>
      <c r="M1512" cm="1">
        <f t="array" ref="M1512">_xlfn.XLOOKUP(TEXT(A1512, "mmm-yy"), TEXT([2]GASOLINE!$B$5:$B$208, "mmm-yy"), [2]GASOLINE!$C$5:$C$208, "Not Found")</f>
        <v>6982.0058355180981</v>
      </c>
      <c r="N1512" cm="1">
        <f t="array" ref="N1512">_xlfn.XLOOKUP(TEXT(A1512, "mmm-yy"), TEXT([2]RUNS!$B$5:$B$208, "mmm-yy"), [2]RUNS!$BM$5:$BM$208, "Not Found")</f>
        <v>0.77863712438426347</v>
      </c>
    </row>
    <row r="1513" spans="1:14" x14ac:dyDescent="0.25">
      <c r="A1513" s="1">
        <f>'[1]Global_Spot Prices'!$B2822</f>
        <v>44120</v>
      </c>
      <c r="B1513">
        <f>_xlfn.XLOOKUP(A1513,'[1]Global_Spot Prices'!$B:$B,'[1]Global_Spot Prices'!$BS:$BS)</f>
        <v>3.3399999999999963</v>
      </c>
      <c r="C1513">
        <f>_xlfn.XLOOKUP(A1513,'[1]Global_Spot Prices'!$B:$B,'[1]Global_Spot Prices'!$E:$E)</f>
        <v>41.89</v>
      </c>
      <c r="D1513">
        <f>_xlfn.XLOOKUP(A1513,'[1]Global_Spot Prices'!$B:$B,'[1]Global_Spot Prices'!$D:$D)</f>
        <v>41.65</v>
      </c>
      <c r="E1513">
        <f>_xlfn.XLOOKUP(A1513,'[1]Global_Spot Prices'!$B:$B,'[1]Global_Spot Prices'!$H:$H)</f>
        <v>42.48</v>
      </c>
      <c r="F1513">
        <f>_xlfn.XLOOKUP(A1513,'[1]Global_Spot Prices'!$B:$B,'[1]Global_Spot Prices'!$I:$I)</f>
        <v>45.23</v>
      </c>
      <c r="G1513" cm="1">
        <f t="array" ref="G1513">_xlfn.XLOOKUP(TEXT(A1513, "mmm-yy"), TEXT([2]RUNS!$B$5:$B$208, "mmm-yy"), [2]RUNS!$D$5:$D$208, "Not Found")</f>
        <v>28491.811791756532</v>
      </c>
      <c r="H1513" cm="1">
        <f t="array" ref="H1513">SUMPRODUCT(
    --(TEXT('[3]Global Weekly Stock (EWSuez'!$B$4:$B$2000,"mmm-yy")=TEXT(A1513,"mmm-yy")),
    '[3]Global Weekly Stock (EWSuez'!$E$4:$E$2000)
/
SUMPRODUCT(
    --(TEXT('[3]Global Weekly Stock (EWSuez'!$B$4:$B$2000,"mmm-yy")=TEXT(A1513,"mmm-yy"))
)</f>
        <v>12997.6</v>
      </c>
      <c r="I1513">
        <f>_xlfn.XLOOKUP(A1513,[1]ForwardDeriv!$D:$D,[1]ForwardDeriv!$AJ:$AJ)</f>
        <v>-0.29000000000000625</v>
      </c>
      <c r="J1513" cm="1">
        <f t="array" ref="J1513">_xlfn.XLOOKUP(TEXT(A1513, "mmm-yy"), TEXT([2]GASOLINE!$B$5:$B$208, "mmm-yy"), [2]GASOLINE!$IR$5:$IR$208, "Not Found")</f>
        <v>18.452188498266764</v>
      </c>
      <c r="K1513" cm="1">
        <f t="array" ref="K1513">_xlfn.XLOOKUP(TEXT(A1513, "mmm-yy"), TEXT([2]GASOLINE!$B$5:$B$208, "mmm-yy"), [2]GASOLINE!$IK$5:$IK$208, "Not Found")</f>
        <v>145.29158228863474</v>
      </c>
      <c r="L1513">
        <f t="shared" si="23"/>
        <v>0</v>
      </c>
      <c r="M1513" cm="1">
        <f t="array" ref="M1513">_xlfn.XLOOKUP(TEXT(A1513, "mmm-yy"), TEXT([2]GASOLINE!$B$5:$B$208, "mmm-yy"), [2]GASOLINE!$C$5:$C$208, "Not Found")</f>
        <v>6982.0058355180981</v>
      </c>
      <c r="N1513" cm="1">
        <f t="array" ref="N1513">_xlfn.XLOOKUP(TEXT(A1513, "mmm-yy"), TEXT([2]RUNS!$B$5:$B$208, "mmm-yy"), [2]RUNS!$BM$5:$BM$208, "Not Found")</f>
        <v>0.77863712438426347</v>
      </c>
    </row>
    <row r="1514" spans="1:14" x14ac:dyDescent="0.25">
      <c r="A1514" s="1">
        <f>'[1]Global_Spot Prices'!$B2823</f>
        <v>44123</v>
      </c>
      <c r="B1514">
        <f>_xlfn.XLOOKUP(A1514,'[1]Global_Spot Prices'!$B:$B,'[1]Global_Spot Prices'!$BS:$BS)</f>
        <v>3.1700000000000017</v>
      </c>
      <c r="C1514">
        <f>_xlfn.XLOOKUP(A1514,'[1]Global_Spot Prices'!$B:$B,'[1]Global_Spot Prices'!$E:$E)</f>
        <v>41.75</v>
      </c>
      <c r="D1514">
        <f>_xlfn.XLOOKUP(A1514,'[1]Global_Spot Prices'!$B:$B,'[1]Global_Spot Prices'!$D:$D)</f>
        <v>41.78</v>
      </c>
      <c r="E1514">
        <f>_xlfn.XLOOKUP(A1514,'[1]Global_Spot Prices'!$B:$B,'[1]Global_Spot Prices'!$H:$H)</f>
        <v>41.6</v>
      </c>
      <c r="F1514">
        <f>_xlfn.XLOOKUP(A1514,'[1]Global_Spot Prices'!$B:$B,'[1]Global_Spot Prices'!$I:$I)</f>
        <v>44.92</v>
      </c>
      <c r="G1514" cm="1">
        <f t="array" ref="G1514">_xlfn.XLOOKUP(TEXT(A1514, "mmm-yy"), TEXT([2]RUNS!$B$5:$B$208, "mmm-yy"), [2]RUNS!$D$5:$D$208, "Not Found")</f>
        <v>28491.811791756532</v>
      </c>
      <c r="H1514" cm="1">
        <f t="array" ref="H1514">SUMPRODUCT(
    --(TEXT('[3]Global Weekly Stock (EWSuez'!$B$4:$B$2000,"mmm-yy")=TEXT(A1514,"mmm-yy")),
    '[3]Global Weekly Stock (EWSuez'!$E$4:$E$2000)
/
SUMPRODUCT(
    --(TEXT('[3]Global Weekly Stock (EWSuez'!$B$4:$B$2000,"mmm-yy")=TEXT(A1514,"mmm-yy"))
)</f>
        <v>12997.6</v>
      </c>
      <c r="I1514">
        <f>_xlfn.XLOOKUP(A1514,[1]ForwardDeriv!$D:$D,[1]ForwardDeriv!$AJ:$AJ)</f>
        <v>-0.32000000000000028</v>
      </c>
      <c r="J1514" cm="1">
        <f t="array" ref="J1514">_xlfn.XLOOKUP(TEXT(A1514, "mmm-yy"), TEXT([2]GASOLINE!$B$5:$B$208, "mmm-yy"), [2]GASOLINE!$IR$5:$IR$208, "Not Found")</f>
        <v>18.452188498266764</v>
      </c>
      <c r="K1514" cm="1">
        <f t="array" ref="K1514">_xlfn.XLOOKUP(TEXT(A1514, "mmm-yy"), TEXT([2]GASOLINE!$B$5:$B$208, "mmm-yy"), [2]GASOLINE!$IK$5:$IK$208, "Not Found")</f>
        <v>145.29158228863474</v>
      </c>
      <c r="L1514">
        <f t="shared" si="23"/>
        <v>0</v>
      </c>
      <c r="M1514" cm="1">
        <f t="array" ref="M1514">_xlfn.XLOOKUP(TEXT(A1514, "mmm-yy"), TEXT([2]GASOLINE!$B$5:$B$208, "mmm-yy"), [2]GASOLINE!$C$5:$C$208, "Not Found")</f>
        <v>6982.0058355180981</v>
      </c>
      <c r="N1514" cm="1">
        <f t="array" ref="N1514">_xlfn.XLOOKUP(TEXT(A1514, "mmm-yy"), TEXT([2]RUNS!$B$5:$B$208, "mmm-yy"), [2]RUNS!$BM$5:$BM$208, "Not Found")</f>
        <v>0.77863712438426347</v>
      </c>
    </row>
    <row r="1515" spans="1:14" x14ac:dyDescent="0.25">
      <c r="A1515" s="1">
        <f>'[1]Global_Spot Prices'!$B2824</f>
        <v>44124</v>
      </c>
      <c r="B1515">
        <f>_xlfn.XLOOKUP(A1515,'[1]Global_Spot Prices'!$B:$B,'[1]Global_Spot Prices'!$BS:$BS)</f>
        <v>3.4099999999999966</v>
      </c>
      <c r="C1515">
        <f>_xlfn.XLOOKUP(A1515,'[1]Global_Spot Prices'!$B:$B,'[1]Global_Spot Prices'!$E:$E)</f>
        <v>41.59</v>
      </c>
      <c r="D1515">
        <f>_xlfn.XLOOKUP(A1515,'[1]Global_Spot Prices'!$B:$B,'[1]Global_Spot Prices'!$D:$D)</f>
        <v>41.14</v>
      </c>
      <c r="E1515">
        <f>_xlfn.XLOOKUP(A1515,'[1]Global_Spot Prices'!$B:$B,'[1]Global_Spot Prices'!$H:$H)</f>
        <v>41.13</v>
      </c>
      <c r="F1515">
        <f>_xlfn.XLOOKUP(A1515,'[1]Global_Spot Prices'!$B:$B,'[1]Global_Spot Prices'!$I:$I)</f>
        <v>45</v>
      </c>
      <c r="G1515" cm="1">
        <f t="array" ref="G1515">_xlfn.XLOOKUP(TEXT(A1515, "mmm-yy"), TEXT([2]RUNS!$B$5:$B$208, "mmm-yy"), [2]RUNS!$D$5:$D$208, "Not Found")</f>
        <v>28491.811791756532</v>
      </c>
      <c r="H1515" cm="1">
        <f t="array" ref="H1515">SUMPRODUCT(
    --(TEXT('[3]Global Weekly Stock (EWSuez'!$B$4:$B$2000,"mmm-yy")=TEXT(A1515,"mmm-yy")),
    '[3]Global Weekly Stock (EWSuez'!$E$4:$E$2000)
/
SUMPRODUCT(
    --(TEXT('[3]Global Weekly Stock (EWSuez'!$B$4:$B$2000,"mmm-yy")=TEXT(A1515,"mmm-yy"))
)</f>
        <v>12997.6</v>
      </c>
      <c r="I1515">
        <f>_xlfn.XLOOKUP(A1515,[1]ForwardDeriv!$D:$D,[1]ForwardDeriv!$AJ:$AJ)</f>
        <v>-0.22999999999999687</v>
      </c>
      <c r="J1515" cm="1">
        <f t="array" ref="J1515">_xlfn.XLOOKUP(TEXT(A1515, "mmm-yy"), TEXT([2]GASOLINE!$B$5:$B$208, "mmm-yy"), [2]GASOLINE!$IR$5:$IR$208, "Not Found")</f>
        <v>18.452188498266764</v>
      </c>
      <c r="K1515" cm="1">
        <f t="array" ref="K1515">_xlfn.XLOOKUP(TEXT(A1515, "mmm-yy"), TEXT([2]GASOLINE!$B$5:$B$208, "mmm-yy"), [2]GASOLINE!$IK$5:$IK$208, "Not Found")</f>
        <v>145.29158228863474</v>
      </c>
      <c r="L1515">
        <f t="shared" si="23"/>
        <v>0</v>
      </c>
      <c r="M1515" cm="1">
        <f t="array" ref="M1515">_xlfn.XLOOKUP(TEXT(A1515, "mmm-yy"), TEXT([2]GASOLINE!$B$5:$B$208, "mmm-yy"), [2]GASOLINE!$C$5:$C$208, "Not Found")</f>
        <v>6982.0058355180981</v>
      </c>
      <c r="N1515" cm="1">
        <f t="array" ref="N1515">_xlfn.XLOOKUP(TEXT(A1515, "mmm-yy"), TEXT([2]RUNS!$B$5:$B$208, "mmm-yy"), [2]RUNS!$BM$5:$BM$208, "Not Found")</f>
        <v>0.77863712438426347</v>
      </c>
    </row>
    <row r="1516" spans="1:14" x14ac:dyDescent="0.25">
      <c r="A1516" s="1">
        <f>'[1]Global_Spot Prices'!$B2825</f>
        <v>44125</v>
      </c>
      <c r="B1516">
        <f>_xlfn.XLOOKUP(A1516,'[1]Global_Spot Prices'!$B:$B,'[1]Global_Spot Prices'!$BS:$BS)</f>
        <v>4</v>
      </c>
      <c r="C1516">
        <f>_xlfn.XLOOKUP(A1516,'[1]Global_Spot Prices'!$B:$B,'[1]Global_Spot Prices'!$E:$E)</f>
        <v>41.69</v>
      </c>
      <c r="D1516">
        <f>_xlfn.XLOOKUP(A1516,'[1]Global_Spot Prices'!$B:$B,'[1]Global_Spot Prices'!$D:$D)</f>
        <v>40.465000000000003</v>
      </c>
      <c r="E1516">
        <f>_xlfn.XLOOKUP(A1516,'[1]Global_Spot Prices'!$B:$B,'[1]Global_Spot Prices'!$H:$H)</f>
        <v>42.1</v>
      </c>
      <c r="F1516">
        <f>_xlfn.XLOOKUP(A1516,'[1]Global_Spot Prices'!$B:$B,'[1]Global_Spot Prices'!$I:$I)</f>
        <v>45.69</v>
      </c>
      <c r="G1516" cm="1">
        <f t="array" ref="G1516">_xlfn.XLOOKUP(TEXT(A1516, "mmm-yy"), TEXT([2]RUNS!$B$5:$B$208, "mmm-yy"), [2]RUNS!$D$5:$D$208, "Not Found")</f>
        <v>28491.811791756532</v>
      </c>
      <c r="H1516" cm="1">
        <f t="array" ref="H1516">SUMPRODUCT(
    --(TEXT('[3]Global Weekly Stock (EWSuez'!$B$4:$B$2000,"mmm-yy")=TEXT(A1516,"mmm-yy")),
    '[3]Global Weekly Stock (EWSuez'!$E$4:$E$2000)
/
SUMPRODUCT(
    --(TEXT('[3]Global Weekly Stock (EWSuez'!$B$4:$B$2000,"mmm-yy")=TEXT(A1516,"mmm-yy"))
)</f>
        <v>12997.6</v>
      </c>
      <c r="I1516">
        <f>_xlfn.XLOOKUP(A1516,[1]ForwardDeriv!$D:$D,[1]ForwardDeriv!$AJ:$AJ)</f>
        <v>-0.15999999999999659</v>
      </c>
      <c r="J1516" cm="1">
        <f t="array" ref="J1516">_xlfn.XLOOKUP(TEXT(A1516, "mmm-yy"), TEXT([2]GASOLINE!$B$5:$B$208, "mmm-yy"), [2]GASOLINE!$IR$5:$IR$208, "Not Found")</f>
        <v>18.452188498266764</v>
      </c>
      <c r="K1516" cm="1">
        <f t="array" ref="K1516">_xlfn.XLOOKUP(TEXT(A1516, "mmm-yy"), TEXT([2]GASOLINE!$B$5:$B$208, "mmm-yy"), [2]GASOLINE!$IK$5:$IK$208, "Not Found")</f>
        <v>145.29158228863474</v>
      </c>
      <c r="L1516">
        <f t="shared" si="23"/>
        <v>0</v>
      </c>
      <c r="M1516" cm="1">
        <f t="array" ref="M1516">_xlfn.XLOOKUP(TEXT(A1516, "mmm-yy"), TEXT([2]GASOLINE!$B$5:$B$208, "mmm-yy"), [2]GASOLINE!$C$5:$C$208, "Not Found")</f>
        <v>6982.0058355180981</v>
      </c>
      <c r="N1516" cm="1">
        <f t="array" ref="N1516">_xlfn.XLOOKUP(TEXT(A1516, "mmm-yy"), TEXT([2]RUNS!$B$5:$B$208, "mmm-yy"), [2]RUNS!$BM$5:$BM$208, "Not Found")</f>
        <v>0.77863712438426347</v>
      </c>
    </row>
    <row r="1517" spans="1:14" x14ac:dyDescent="0.25">
      <c r="A1517" s="1">
        <f>'[1]Global_Spot Prices'!$B2826</f>
        <v>44126</v>
      </c>
      <c r="B1517">
        <f>_xlfn.XLOOKUP(A1517,'[1]Global_Spot Prices'!$B:$B,'[1]Global_Spot Prices'!$BS:$BS)</f>
        <v>3.5</v>
      </c>
      <c r="C1517">
        <f>_xlfn.XLOOKUP(A1517,'[1]Global_Spot Prices'!$B:$B,'[1]Global_Spot Prices'!$E:$E)</f>
        <v>41.34</v>
      </c>
      <c r="D1517">
        <f>_xlfn.XLOOKUP(A1517,'[1]Global_Spot Prices'!$B:$B,'[1]Global_Spot Prices'!$D:$D)</f>
        <v>41.515000000000001</v>
      </c>
      <c r="E1517">
        <f>_xlfn.XLOOKUP(A1517,'[1]Global_Spot Prices'!$B:$B,'[1]Global_Spot Prices'!$H:$H)</f>
        <v>41.11</v>
      </c>
      <c r="F1517">
        <f>_xlfn.XLOOKUP(A1517,'[1]Global_Spot Prices'!$B:$B,'[1]Global_Spot Prices'!$I:$I)</f>
        <v>44.84</v>
      </c>
      <c r="G1517" cm="1">
        <f t="array" ref="G1517">_xlfn.XLOOKUP(TEXT(A1517, "mmm-yy"), TEXT([2]RUNS!$B$5:$B$208, "mmm-yy"), [2]RUNS!$D$5:$D$208, "Not Found")</f>
        <v>28491.811791756532</v>
      </c>
      <c r="H1517" cm="1">
        <f t="array" ref="H1517">SUMPRODUCT(
    --(TEXT('[3]Global Weekly Stock (EWSuez'!$B$4:$B$2000,"mmm-yy")=TEXT(A1517,"mmm-yy")),
    '[3]Global Weekly Stock (EWSuez'!$E$4:$E$2000)
/
SUMPRODUCT(
    --(TEXT('[3]Global Weekly Stock (EWSuez'!$B$4:$B$2000,"mmm-yy")=TEXT(A1517,"mmm-yy"))
)</f>
        <v>12997.6</v>
      </c>
      <c r="I1517">
        <f>_xlfn.XLOOKUP(A1517,[1]ForwardDeriv!$D:$D,[1]ForwardDeriv!$AJ:$AJ)</f>
        <v>-0.16000000000000369</v>
      </c>
      <c r="J1517" cm="1">
        <f t="array" ref="J1517">_xlfn.XLOOKUP(TEXT(A1517, "mmm-yy"), TEXT([2]GASOLINE!$B$5:$B$208, "mmm-yy"), [2]GASOLINE!$IR$5:$IR$208, "Not Found")</f>
        <v>18.452188498266764</v>
      </c>
      <c r="K1517" cm="1">
        <f t="array" ref="K1517">_xlfn.XLOOKUP(TEXT(A1517, "mmm-yy"), TEXT([2]GASOLINE!$B$5:$B$208, "mmm-yy"), [2]GASOLINE!$IK$5:$IK$208, "Not Found")</f>
        <v>145.29158228863474</v>
      </c>
      <c r="L1517">
        <f t="shared" si="23"/>
        <v>0</v>
      </c>
      <c r="M1517" cm="1">
        <f t="array" ref="M1517">_xlfn.XLOOKUP(TEXT(A1517, "mmm-yy"), TEXT([2]GASOLINE!$B$5:$B$208, "mmm-yy"), [2]GASOLINE!$C$5:$C$208, "Not Found")</f>
        <v>6982.0058355180981</v>
      </c>
      <c r="N1517" cm="1">
        <f t="array" ref="N1517">_xlfn.XLOOKUP(TEXT(A1517, "mmm-yy"), TEXT([2]RUNS!$B$5:$B$208, "mmm-yy"), [2]RUNS!$BM$5:$BM$208, "Not Found")</f>
        <v>0.77863712438426347</v>
      </c>
    </row>
    <row r="1518" spans="1:14" x14ac:dyDescent="0.25">
      <c r="A1518" s="1">
        <f>'[1]Global_Spot Prices'!$B2827</f>
        <v>44127</v>
      </c>
      <c r="B1518">
        <f>_xlfn.XLOOKUP(A1518,'[1]Global_Spot Prices'!$B:$B,'[1]Global_Spot Prices'!$BS:$BS)</f>
        <v>2.990000000000002</v>
      </c>
      <c r="C1518">
        <f>_xlfn.XLOOKUP(A1518,'[1]Global_Spot Prices'!$B:$B,'[1]Global_Spot Prices'!$E:$E)</f>
        <v>41.66</v>
      </c>
      <c r="D1518">
        <f>_xlfn.XLOOKUP(A1518,'[1]Global_Spot Prices'!$B:$B,'[1]Global_Spot Prices'!$D:$D)</f>
        <v>41.234999999999999</v>
      </c>
      <c r="E1518">
        <f>_xlfn.XLOOKUP(A1518,'[1]Global_Spot Prices'!$B:$B,'[1]Global_Spot Prices'!$H:$H)</f>
        <v>40.81</v>
      </c>
      <c r="F1518">
        <f>_xlfn.XLOOKUP(A1518,'[1]Global_Spot Prices'!$B:$B,'[1]Global_Spot Prices'!$I:$I)</f>
        <v>44.65</v>
      </c>
      <c r="G1518" cm="1">
        <f t="array" ref="G1518">_xlfn.XLOOKUP(TEXT(A1518, "mmm-yy"), TEXT([2]RUNS!$B$5:$B$208, "mmm-yy"), [2]RUNS!$D$5:$D$208, "Not Found")</f>
        <v>28491.811791756532</v>
      </c>
      <c r="H1518" cm="1">
        <f t="array" ref="H1518">SUMPRODUCT(
    --(TEXT('[3]Global Weekly Stock (EWSuez'!$B$4:$B$2000,"mmm-yy")=TEXT(A1518,"mmm-yy")),
    '[3]Global Weekly Stock (EWSuez'!$E$4:$E$2000)
/
SUMPRODUCT(
    --(TEXT('[3]Global Weekly Stock (EWSuez'!$B$4:$B$2000,"mmm-yy")=TEXT(A1518,"mmm-yy"))
)</f>
        <v>12997.6</v>
      </c>
      <c r="I1518">
        <f>_xlfn.XLOOKUP(A1518,[1]ForwardDeriv!$D:$D,[1]ForwardDeriv!$AJ:$AJ)</f>
        <v>-0.25999999999999801</v>
      </c>
      <c r="J1518" cm="1">
        <f t="array" ref="J1518">_xlfn.XLOOKUP(TEXT(A1518, "mmm-yy"), TEXT([2]GASOLINE!$B$5:$B$208, "mmm-yy"), [2]GASOLINE!$IR$5:$IR$208, "Not Found")</f>
        <v>18.452188498266764</v>
      </c>
      <c r="K1518" cm="1">
        <f t="array" ref="K1518">_xlfn.XLOOKUP(TEXT(A1518, "mmm-yy"), TEXT([2]GASOLINE!$B$5:$B$208, "mmm-yy"), [2]GASOLINE!$IK$5:$IK$208, "Not Found")</f>
        <v>145.29158228863474</v>
      </c>
      <c r="L1518">
        <f t="shared" si="23"/>
        <v>0</v>
      </c>
      <c r="M1518" cm="1">
        <f t="array" ref="M1518">_xlfn.XLOOKUP(TEXT(A1518, "mmm-yy"), TEXT([2]GASOLINE!$B$5:$B$208, "mmm-yy"), [2]GASOLINE!$C$5:$C$208, "Not Found")</f>
        <v>6982.0058355180981</v>
      </c>
      <c r="N1518" cm="1">
        <f t="array" ref="N1518">_xlfn.XLOOKUP(TEXT(A1518, "mmm-yy"), TEXT([2]RUNS!$B$5:$B$208, "mmm-yy"), [2]RUNS!$BM$5:$BM$208, "Not Found")</f>
        <v>0.77863712438426347</v>
      </c>
    </row>
    <row r="1519" spans="1:14" x14ac:dyDescent="0.25">
      <c r="A1519" s="1">
        <f>'[1]Global_Spot Prices'!$B2828</f>
        <v>44130</v>
      </c>
      <c r="B1519">
        <f>_xlfn.XLOOKUP(A1519,'[1]Global_Spot Prices'!$B:$B,'[1]Global_Spot Prices'!$BS:$BS)</f>
        <v>3.5999999999999943</v>
      </c>
      <c r="C1519">
        <f>_xlfn.XLOOKUP(A1519,'[1]Global_Spot Prices'!$B:$B,'[1]Global_Spot Prices'!$E:$E)</f>
        <v>39.81</v>
      </c>
      <c r="D1519">
        <f>_xlfn.XLOOKUP(A1519,'[1]Global_Spot Prices'!$B:$B,'[1]Global_Spot Prices'!$D:$D)</f>
        <v>39.115000000000002</v>
      </c>
      <c r="E1519">
        <f>_xlfn.XLOOKUP(A1519,'[1]Global_Spot Prices'!$B:$B,'[1]Global_Spot Prices'!$H:$H)</f>
        <v>39.159999999999997</v>
      </c>
      <c r="F1519">
        <f>_xlfn.XLOOKUP(A1519,'[1]Global_Spot Prices'!$B:$B,'[1]Global_Spot Prices'!$I:$I)</f>
        <v>43.41</v>
      </c>
      <c r="G1519" cm="1">
        <f t="array" ref="G1519">_xlfn.XLOOKUP(TEXT(A1519, "mmm-yy"), TEXT([2]RUNS!$B$5:$B$208, "mmm-yy"), [2]RUNS!$D$5:$D$208, "Not Found")</f>
        <v>28491.811791756532</v>
      </c>
      <c r="H1519" cm="1">
        <f t="array" ref="H1519">SUMPRODUCT(
    --(TEXT('[3]Global Weekly Stock (EWSuez'!$B$4:$B$2000,"mmm-yy")=TEXT(A1519,"mmm-yy")),
    '[3]Global Weekly Stock (EWSuez'!$E$4:$E$2000)
/
SUMPRODUCT(
    --(TEXT('[3]Global Weekly Stock (EWSuez'!$B$4:$B$2000,"mmm-yy")=TEXT(A1519,"mmm-yy"))
)</f>
        <v>12997.6</v>
      </c>
      <c r="I1519">
        <f>_xlfn.XLOOKUP(A1519,[1]ForwardDeriv!$D:$D,[1]ForwardDeriv!$AJ:$AJ)</f>
        <v>-0.19999999999999574</v>
      </c>
      <c r="J1519" cm="1">
        <f t="array" ref="J1519">_xlfn.XLOOKUP(TEXT(A1519, "mmm-yy"), TEXT([2]GASOLINE!$B$5:$B$208, "mmm-yy"), [2]GASOLINE!$IR$5:$IR$208, "Not Found")</f>
        <v>18.452188498266764</v>
      </c>
      <c r="K1519" cm="1">
        <f t="array" ref="K1519">_xlfn.XLOOKUP(TEXT(A1519, "mmm-yy"), TEXT([2]GASOLINE!$B$5:$B$208, "mmm-yy"), [2]GASOLINE!$IK$5:$IK$208, "Not Found")</f>
        <v>145.29158228863474</v>
      </c>
      <c r="L1519">
        <f t="shared" si="23"/>
        <v>0</v>
      </c>
      <c r="M1519" cm="1">
        <f t="array" ref="M1519">_xlfn.XLOOKUP(TEXT(A1519, "mmm-yy"), TEXT([2]GASOLINE!$B$5:$B$208, "mmm-yy"), [2]GASOLINE!$C$5:$C$208, "Not Found")</f>
        <v>6982.0058355180981</v>
      </c>
      <c r="N1519" cm="1">
        <f t="array" ref="N1519">_xlfn.XLOOKUP(TEXT(A1519, "mmm-yy"), TEXT([2]RUNS!$B$5:$B$208, "mmm-yy"), [2]RUNS!$BM$5:$BM$208, "Not Found")</f>
        <v>0.77863712438426347</v>
      </c>
    </row>
    <row r="1520" spans="1:14" x14ac:dyDescent="0.25">
      <c r="A1520" s="1">
        <f>'[1]Global_Spot Prices'!$B2829</f>
        <v>44131</v>
      </c>
      <c r="B1520">
        <f>_xlfn.XLOOKUP(A1520,'[1]Global_Spot Prices'!$B:$B,'[1]Global_Spot Prices'!$BS:$BS)</f>
        <v>3.4699999999999989</v>
      </c>
      <c r="C1520">
        <f>_xlfn.XLOOKUP(A1520,'[1]Global_Spot Prices'!$B:$B,'[1]Global_Spot Prices'!$E:$E)</f>
        <v>39.86</v>
      </c>
      <c r="D1520">
        <f>_xlfn.XLOOKUP(A1520,'[1]Global_Spot Prices'!$B:$B,'[1]Global_Spot Prices'!$D:$D)</f>
        <v>40.01</v>
      </c>
      <c r="E1520">
        <f>_xlfn.XLOOKUP(A1520,'[1]Global_Spot Prices'!$B:$B,'[1]Global_Spot Prices'!$H:$H)</f>
        <v>39.71</v>
      </c>
      <c r="F1520">
        <f>_xlfn.XLOOKUP(A1520,'[1]Global_Spot Prices'!$B:$B,'[1]Global_Spot Prices'!$I:$I)</f>
        <v>43.33</v>
      </c>
      <c r="G1520" cm="1">
        <f t="array" ref="G1520">_xlfn.XLOOKUP(TEXT(A1520, "mmm-yy"), TEXT([2]RUNS!$B$5:$B$208, "mmm-yy"), [2]RUNS!$D$5:$D$208, "Not Found")</f>
        <v>28491.811791756532</v>
      </c>
      <c r="H1520" cm="1">
        <f t="array" ref="H1520">SUMPRODUCT(
    --(TEXT('[3]Global Weekly Stock (EWSuez'!$B$4:$B$2000,"mmm-yy")=TEXT(A1520,"mmm-yy")),
    '[3]Global Weekly Stock (EWSuez'!$E$4:$E$2000)
/
SUMPRODUCT(
    --(TEXT('[3]Global Weekly Stock (EWSuez'!$B$4:$B$2000,"mmm-yy")=TEXT(A1520,"mmm-yy"))
)</f>
        <v>12997.6</v>
      </c>
      <c r="I1520">
        <f>_xlfn.XLOOKUP(A1520,[1]ForwardDeriv!$D:$D,[1]ForwardDeriv!$AJ:$AJ)</f>
        <v>-0.27000000000000313</v>
      </c>
      <c r="J1520" cm="1">
        <f t="array" ref="J1520">_xlfn.XLOOKUP(TEXT(A1520, "mmm-yy"), TEXT([2]GASOLINE!$B$5:$B$208, "mmm-yy"), [2]GASOLINE!$IR$5:$IR$208, "Not Found")</f>
        <v>18.452188498266764</v>
      </c>
      <c r="K1520" cm="1">
        <f t="array" ref="K1520">_xlfn.XLOOKUP(TEXT(A1520, "mmm-yy"), TEXT([2]GASOLINE!$B$5:$B$208, "mmm-yy"), [2]GASOLINE!$IK$5:$IK$208, "Not Found")</f>
        <v>145.29158228863474</v>
      </c>
      <c r="L1520">
        <f t="shared" si="23"/>
        <v>0</v>
      </c>
      <c r="M1520" cm="1">
        <f t="array" ref="M1520">_xlfn.XLOOKUP(TEXT(A1520, "mmm-yy"), TEXT([2]GASOLINE!$B$5:$B$208, "mmm-yy"), [2]GASOLINE!$C$5:$C$208, "Not Found")</f>
        <v>6982.0058355180981</v>
      </c>
      <c r="N1520" cm="1">
        <f t="array" ref="N1520">_xlfn.XLOOKUP(TEXT(A1520, "mmm-yy"), TEXT([2]RUNS!$B$5:$B$208, "mmm-yy"), [2]RUNS!$BM$5:$BM$208, "Not Found")</f>
        <v>0.77863712438426347</v>
      </c>
    </row>
    <row r="1521" spans="1:14" x14ac:dyDescent="0.25">
      <c r="A1521" s="1">
        <f>'[1]Global_Spot Prices'!$B2830</f>
        <v>44132</v>
      </c>
      <c r="B1521">
        <f>_xlfn.XLOOKUP(A1521,'[1]Global_Spot Prices'!$B:$B,'[1]Global_Spot Prices'!$BS:$BS)</f>
        <v>3.3699999999999974</v>
      </c>
      <c r="C1521">
        <f>_xlfn.XLOOKUP(A1521,'[1]Global_Spot Prices'!$B:$B,'[1]Global_Spot Prices'!$E:$E)</f>
        <v>39.24</v>
      </c>
      <c r="D1521">
        <f>_xlfn.XLOOKUP(A1521,'[1]Global_Spot Prices'!$B:$B,'[1]Global_Spot Prices'!$D:$D)</f>
        <v>37.770000000000003</v>
      </c>
      <c r="E1521">
        <f>_xlfn.XLOOKUP(A1521,'[1]Global_Spot Prices'!$B:$B,'[1]Global_Spot Prices'!$H:$H)</f>
        <v>39.15</v>
      </c>
      <c r="F1521">
        <f>_xlfn.XLOOKUP(A1521,'[1]Global_Spot Prices'!$B:$B,'[1]Global_Spot Prices'!$I:$I)</f>
        <v>42.61</v>
      </c>
      <c r="G1521" cm="1">
        <f t="array" ref="G1521">_xlfn.XLOOKUP(TEXT(A1521, "mmm-yy"), TEXT([2]RUNS!$B$5:$B$208, "mmm-yy"), [2]RUNS!$D$5:$D$208, "Not Found")</f>
        <v>28491.811791756532</v>
      </c>
      <c r="H1521" cm="1">
        <f t="array" ref="H1521">SUMPRODUCT(
    --(TEXT('[3]Global Weekly Stock (EWSuez'!$B$4:$B$2000,"mmm-yy")=TEXT(A1521,"mmm-yy")),
    '[3]Global Weekly Stock (EWSuez'!$E$4:$E$2000)
/
SUMPRODUCT(
    --(TEXT('[3]Global Weekly Stock (EWSuez'!$B$4:$B$2000,"mmm-yy")=TEXT(A1521,"mmm-yy"))
)</f>
        <v>12997.6</v>
      </c>
      <c r="I1521">
        <f>_xlfn.XLOOKUP(A1521,[1]ForwardDeriv!$D:$D,[1]ForwardDeriv!$AJ:$AJ)</f>
        <v>-0.21999999999999886</v>
      </c>
      <c r="J1521" cm="1">
        <f t="array" ref="J1521">_xlfn.XLOOKUP(TEXT(A1521, "mmm-yy"), TEXT([2]GASOLINE!$B$5:$B$208, "mmm-yy"), [2]GASOLINE!$IR$5:$IR$208, "Not Found")</f>
        <v>18.452188498266764</v>
      </c>
      <c r="K1521" cm="1">
        <f t="array" ref="K1521">_xlfn.XLOOKUP(TEXT(A1521, "mmm-yy"), TEXT([2]GASOLINE!$B$5:$B$208, "mmm-yy"), [2]GASOLINE!$IK$5:$IK$208, "Not Found")</f>
        <v>145.29158228863474</v>
      </c>
      <c r="L1521">
        <f t="shared" si="23"/>
        <v>0</v>
      </c>
      <c r="M1521" cm="1">
        <f t="array" ref="M1521">_xlfn.XLOOKUP(TEXT(A1521, "mmm-yy"), TEXT([2]GASOLINE!$B$5:$B$208, "mmm-yy"), [2]GASOLINE!$C$5:$C$208, "Not Found")</f>
        <v>6982.0058355180981</v>
      </c>
      <c r="N1521" cm="1">
        <f t="array" ref="N1521">_xlfn.XLOOKUP(TEXT(A1521, "mmm-yy"), TEXT([2]RUNS!$B$5:$B$208, "mmm-yy"), [2]RUNS!$BM$5:$BM$208, "Not Found")</f>
        <v>0.77863712438426347</v>
      </c>
    </row>
    <row r="1522" spans="1:14" x14ac:dyDescent="0.25">
      <c r="A1522" s="1">
        <f>'[1]Global_Spot Prices'!$B2831</f>
        <v>44133</v>
      </c>
      <c r="B1522">
        <f>_xlfn.XLOOKUP(A1522,'[1]Global_Spot Prices'!$B:$B,'[1]Global_Spot Prices'!$BS:$BS)</f>
        <v>3.5799999999999983</v>
      </c>
      <c r="C1522">
        <f>_xlfn.XLOOKUP(A1522,'[1]Global_Spot Prices'!$B:$B,'[1]Global_Spot Prices'!$E:$E)</f>
        <v>38.25</v>
      </c>
      <c r="D1522">
        <f>_xlfn.XLOOKUP(A1522,'[1]Global_Spot Prices'!$B:$B,'[1]Global_Spot Prices'!$D:$D)</f>
        <v>36.215000000000003</v>
      </c>
      <c r="E1522">
        <f>_xlfn.XLOOKUP(A1522,'[1]Global_Spot Prices'!$B:$B,'[1]Global_Spot Prices'!$H:$H)</f>
        <v>38.69</v>
      </c>
      <c r="F1522">
        <f>_xlfn.XLOOKUP(A1522,'[1]Global_Spot Prices'!$B:$B,'[1]Global_Spot Prices'!$I:$I)</f>
        <v>41.83</v>
      </c>
      <c r="G1522" cm="1">
        <f t="array" ref="G1522">_xlfn.XLOOKUP(TEXT(A1522, "mmm-yy"), TEXT([2]RUNS!$B$5:$B$208, "mmm-yy"), [2]RUNS!$D$5:$D$208, "Not Found")</f>
        <v>28491.811791756532</v>
      </c>
      <c r="H1522" cm="1">
        <f t="array" ref="H1522">SUMPRODUCT(
    --(TEXT('[3]Global Weekly Stock (EWSuez'!$B$4:$B$2000,"mmm-yy")=TEXT(A1522,"mmm-yy")),
    '[3]Global Weekly Stock (EWSuez'!$E$4:$E$2000)
/
SUMPRODUCT(
    --(TEXT('[3]Global Weekly Stock (EWSuez'!$B$4:$B$2000,"mmm-yy")=TEXT(A1522,"mmm-yy"))
)</f>
        <v>12997.6</v>
      </c>
      <c r="I1522">
        <f>_xlfn.XLOOKUP(A1522,[1]ForwardDeriv!$D:$D,[1]ForwardDeriv!$AJ:$AJ)</f>
        <v>-0.14999999999999858</v>
      </c>
      <c r="J1522" cm="1">
        <f t="array" ref="J1522">_xlfn.XLOOKUP(TEXT(A1522, "mmm-yy"), TEXT([2]GASOLINE!$B$5:$B$208, "mmm-yy"), [2]GASOLINE!$IR$5:$IR$208, "Not Found")</f>
        <v>18.452188498266764</v>
      </c>
      <c r="K1522" cm="1">
        <f t="array" ref="K1522">_xlfn.XLOOKUP(TEXT(A1522, "mmm-yy"), TEXT([2]GASOLINE!$B$5:$B$208, "mmm-yy"), [2]GASOLINE!$IK$5:$IK$208, "Not Found")</f>
        <v>145.29158228863474</v>
      </c>
      <c r="L1522">
        <f t="shared" si="23"/>
        <v>0</v>
      </c>
      <c r="M1522" cm="1">
        <f t="array" ref="M1522">_xlfn.XLOOKUP(TEXT(A1522, "mmm-yy"), TEXT([2]GASOLINE!$B$5:$B$208, "mmm-yy"), [2]GASOLINE!$C$5:$C$208, "Not Found")</f>
        <v>6982.0058355180981</v>
      </c>
      <c r="N1522" cm="1">
        <f t="array" ref="N1522">_xlfn.XLOOKUP(TEXT(A1522, "mmm-yy"), TEXT([2]RUNS!$B$5:$B$208, "mmm-yy"), [2]RUNS!$BM$5:$BM$208, "Not Found")</f>
        <v>0.77863712438426347</v>
      </c>
    </row>
    <row r="1523" spans="1:14" x14ac:dyDescent="0.25">
      <c r="A1523" s="1">
        <f>'[1]Global_Spot Prices'!$B2832</f>
        <v>44134</v>
      </c>
      <c r="B1523">
        <f>_xlfn.XLOOKUP(A1523,'[1]Global_Spot Prices'!$B:$B,'[1]Global_Spot Prices'!$BS:$BS)</f>
        <v>3.8900000000000006</v>
      </c>
      <c r="C1523">
        <f>_xlfn.XLOOKUP(A1523,'[1]Global_Spot Prices'!$B:$B,'[1]Global_Spot Prices'!$E:$E)</f>
        <v>37.15</v>
      </c>
      <c r="D1523">
        <f>_xlfn.XLOOKUP(A1523,'[1]Global_Spot Prices'!$B:$B,'[1]Global_Spot Prices'!$D:$D)</f>
        <v>36.204999999999998</v>
      </c>
      <c r="E1523">
        <f>_xlfn.XLOOKUP(A1523,'[1]Global_Spot Prices'!$B:$B,'[1]Global_Spot Prices'!$H:$H)</f>
        <v>37.630000000000003</v>
      </c>
      <c r="F1523">
        <f>_xlfn.XLOOKUP(A1523,'[1]Global_Spot Prices'!$B:$B,'[1]Global_Spot Prices'!$I:$I)</f>
        <v>41.04</v>
      </c>
      <c r="G1523" cm="1">
        <f t="array" ref="G1523">_xlfn.XLOOKUP(TEXT(A1523, "mmm-yy"), TEXT([2]RUNS!$B$5:$B$208, "mmm-yy"), [2]RUNS!$D$5:$D$208, "Not Found")</f>
        <v>28491.811791756532</v>
      </c>
      <c r="H1523" cm="1">
        <f t="array" ref="H1523">SUMPRODUCT(
    --(TEXT('[3]Global Weekly Stock (EWSuez'!$B$4:$B$2000,"mmm-yy")=TEXT(A1523,"mmm-yy")),
    '[3]Global Weekly Stock (EWSuez'!$E$4:$E$2000)
/
SUMPRODUCT(
    --(TEXT('[3]Global Weekly Stock (EWSuez'!$B$4:$B$2000,"mmm-yy")=TEXT(A1523,"mmm-yy"))
)</f>
        <v>12997.6</v>
      </c>
      <c r="I1523">
        <f>_xlfn.XLOOKUP(A1523,[1]ForwardDeriv!$D:$D,[1]ForwardDeriv!$AJ:$AJ)</f>
        <v>7.0000000000000284E-2</v>
      </c>
      <c r="J1523" cm="1">
        <f t="array" ref="J1523">_xlfn.XLOOKUP(TEXT(A1523, "mmm-yy"), TEXT([2]GASOLINE!$B$5:$B$208, "mmm-yy"), [2]GASOLINE!$IR$5:$IR$208, "Not Found")</f>
        <v>18.452188498266764</v>
      </c>
      <c r="K1523" cm="1">
        <f t="array" ref="K1523">_xlfn.XLOOKUP(TEXT(A1523, "mmm-yy"), TEXT([2]GASOLINE!$B$5:$B$208, "mmm-yy"), [2]GASOLINE!$IK$5:$IK$208, "Not Found")</f>
        <v>145.29158228863474</v>
      </c>
      <c r="L1523">
        <f t="shared" si="23"/>
        <v>0</v>
      </c>
      <c r="M1523" cm="1">
        <f t="array" ref="M1523">_xlfn.XLOOKUP(TEXT(A1523, "mmm-yy"), TEXT([2]GASOLINE!$B$5:$B$208, "mmm-yy"), [2]GASOLINE!$C$5:$C$208, "Not Found")</f>
        <v>6982.0058355180981</v>
      </c>
      <c r="N1523" cm="1">
        <f t="array" ref="N1523">_xlfn.XLOOKUP(TEXT(A1523, "mmm-yy"), TEXT([2]RUNS!$B$5:$B$208, "mmm-yy"), [2]RUNS!$BM$5:$BM$208, "Not Found")</f>
        <v>0.77863712438426347</v>
      </c>
    </row>
    <row r="1524" spans="1:14" x14ac:dyDescent="0.25">
      <c r="A1524" s="1">
        <f>'[1]Global_Spot Prices'!$B2833</f>
        <v>44137</v>
      </c>
      <c r="B1524">
        <f>_xlfn.XLOOKUP(A1524,'[1]Global_Spot Prices'!$B:$B,'[1]Global_Spot Prices'!$BS:$BS)</f>
        <v>2.5900000000000034</v>
      </c>
      <c r="C1524">
        <f>_xlfn.XLOOKUP(A1524,'[1]Global_Spot Prices'!$B:$B,'[1]Global_Spot Prices'!$E:$E)</f>
        <v>36.26</v>
      </c>
      <c r="D1524">
        <f>_xlfn.XLOOKUP(A1524,'[1]Global_Spot Prices'!$B:$B,'[1]Global_Spot Prices'!$D:$D)</f>
        <v>36.524999999999999</v>
      </c>
      <c r="E1524">
        <f>_xlfn.XLOOKUP(A1524,'[1]Global_Spot Prices'!$B:$B,'[1]Global_Spot Prices'!$H:$H)</f>
        <v>36.47</v>
      </c>
      <c r="F1524">
        <f>_xlfn.XLOOKUP(A1524,'[1]Global_Spot Prices'!$B:$B,'[1]Global_Spot Prices'!$I:$I)</f>
        <v>38.85</v>
      </c>
      <c r="G1524" cm="1">
        <f t="array" ref="G1524">_xlfn.XLOOKUP(TEXT(A1524, "mmm-yy"), TEXT([2]RUNS!$B$5:$B$208, "mmm-yy"), [2]RUNS!$D$5:$D$208, "Not Found")</f>
        <v>29655.226470247751</v>
      </c>
      <c r="H1524" cm="1">
        <f t="array" ref="H1524">SUMPRODUCT(
    --(TEXT('[3]Global Weekly Stock (EWSuez'!$B$4:$B$2000,"mmm-yy")=TEXT(A1524,"mmm-yy")),
    '[3]Global Weekly Stock (EWSuez'!$E$4:$E$2000)
/
SUMPRODUCT(
    --(TEXT('[3]Global Weekly Stock (EWSuez'!$B$4:$B$2000,"mmm-yy")=TEXT(A1524,"mmm-yy"))
)</f>
        <v>12635.5</v>
      </c>
      <c r="I1524">
        <f>_xlfn.XLOOKUP(A1524,[1]ForwardDeriv!$D:$D,[1]ForwardDeriv!$AJ:$AJ)</f>
        <v>-0.29999999999999716</v>
      </c>
      <c r="J1524" cm="1">
        <f t="array" ref="J1524">_xlfn.XLOOKUP(TEXT(A1524, "mmm-yy"), TEXT([2]GASOLINE!$B$5:$B$208, "mmm-yy"), [2]GASOLINE!$IR$5:$IR$208, "Not Found")</f>
        <v>-46.215436136665232</v>
      </c>
      <c r="K1524" cm="1">
        <f t="array" ref="K1524">_xlfn.XLOOKUP(TEXT(A1524, "mmm-yy"), TEXT([2]GASOLINE!$B$5:$B$208, "mmm-yy"), [2]GASOLINE!$IK$5:$IK$208, "Not Found")</f>
        <v>151.80123194363097</v>
      </c>
      <c r="L1524">
        <f t="shared" si="23"/>
        <v>0</v>
      </c>
      <c r="M1524" cm="1">
        <f t="array" ref="M1524">_xlfn.XLOOKUP(TEXT(A1524, "mmm-yy"), TEXT([2]GASOLINE!$B$5:$B$208, "mmm-yy"), [2]GASOLINE!$C$5:$C$208, "Not Found")</f>
        <v>7254.4404202348678</v>
      </c>
      <c r="N1524" cm="1">
        <f t="array" ref="N1524">_xlfn.XLOOKUP(TEXT(A1524, "mmm-yy"), TEXT([2]RUNS!$B$5:$B$208, "mmm-yy"), [2]RUNS!$BM$5:$BM$208, "Not Found")</f>
        <v>0.81001970664830447</v>
      </c>
    </row>
    <row r="1525" spans="1:14" x14ac:dyDescent="0.25">
      <c r="A1525" s="1">
        <f>'[1]Global_Spot Prices'!$B2834</f>
        <v>44138</v>
      </c>
      <c r="B1525">
        <f>_xlfn.XLOOKUP(A1525,'[1]Global_Spot Prices'!$B:$B,'[1]Global_Spot Prices'!$BS:$BS)</f>
        <v>2.5399999999999991</v>
      </c>
      <c r="C1525">
        <f>_xlfn.XLOOKUP(A1525,'[1]Global_Spot Prices'!$B:$B,'[1]Global_Spot Prices'!$E:$E)</f>
        <v>39.46</v>
      </c>
      <c r="D1525">
        <f>_xlfn.XLOOKUP(A1525,'[1]Global_Spot Prices'!$B:$B,'[1]Global_Spot Prices'!$D:$D)</f>
        <v>38.01</v>
      </c>
      <c r="E1525">
        <f>_xlfn.XLOOKUP(A1525,'[1]Global_Spot Prices'!$B:$B,'[1]Global_Spot Prices'!$H:$H)</f>
        <v>39.590000000000003</v>
      </c>
      <c r="F1525">
        <f>_xlfn.XLOOKUP(A1525,'[1]Global_Spot Prices'!$B:$B,'[1]Global_Spot Prices'!$I:$I)</f>
        <v>42</v>
      </c>
      <c r="G1525" cm="1">
        <f t="array" ref="G1525">_xlfn.XLOOKUP(TEXT(A1525, "mmm-yy"), TEXT([2]RUNS!$B$5:$B$208, "mmm-yy"), [2]RUNS!$D$5:$D$208, "Not Found")</f>
        <v>29655.226470247751</v>
      </c>
      <c r="H1525" cm="1">
        <f t="array" ref="H1525">SUMPRODUCT(
    --(TEXT('[3]Global Weekly Stock (EWSuez'!$B$4:$B$2000,"mmm-yy")=TEXT(A1525,"mmm-yy")),
    '[3]Global Weekly Stock (EWSuez'!$E$4:$E$2000)
/
SUMPRODUCT(
    --(TEXT('[3]Global Weekly Stock (EWSuez'!$B$4:$B$2000,"mmm-yy")=TEXT(A1525,"mmm-yy"))
)</f>
        <v>12635.5</v>
      </c>
      <c r="I1525">
        <f>_xlfn.XLOOKUP(A1525,[1]ForwardDeriv!$D:$D,[1]ForwardDeriv!$AJ:$AJ)</f>
        <v>-0.38999999999999346</v>
      </c>
      <c r="J1525" cm="1">
        <f t="array" ref="J1525">_xlfn.XLOOKUP(TEXT(A1525, "mmm-yy"), TEXT([2]GASOLINE!$B$5:$B$208, "mmm-yy"), [2]GASOLINE!$IR$5:$IR$208, "Not Found")</f>
        <v>-46.215436136665232</v>
      </c>
      <c r="K1525" cm="1">
        <f t="array" ref="K1525">_xlfn.XLOOKUP(TEXT(A1525, "mmm-yy"), TEXT([2]GASOLINE!$B$5:$B$208, "mmm-yy"), [2]GASOLINE!$IK$5:$IK$208, "Not Found")</f>
        <v>151.80123194363097</v>
      </c>
      <c r="L1525">
        <f t="shared" si="23"/>
        <v>0</v>
      </c>
      <c r="M1525" cm="1">
        <f t="array" ref="M1525">_xlfn.XLOOKUP(TEXT(A1525, "mmm-yy"), TEXT([2]GASOLINE!$B$5:$B$208, "mmm-yy"), [2]GASOLINE!$C$5:$C$208, "Not Found")</f>
        <v>7254.4404202348678</v>
      </c>
      <c r="N1525" cm="1">
        <f t="array" ref="N1525">_xlfn.XLOOKUP(TEXT(A1525, "mmm-yy"), TEXT([2]RUNS!$B$5:$B$208, "mmm-yy"), [2]RUNS!$BM$5:$BM$208, "Not Found")</f>
        <v>0.81001970664830447</v>
      </c>
    </row>
    <row r="1526" spans="1:14" x14ac:dyDescent="0.25">
      <c r="A1526" s="1">
        <f>'[1]Global_Spot Prices'!$B2835</f>
        <v>44139</v>
      </c>
      <c r="B1526">
        <f>_xlfn.XLOOKUP(A1526,'[1]Global_Spot Prices'!$B:$B,'[1]Global_Spot Prices'!$BS:$BS)</f>
        <v>2.1999999999999957</v>
      </c>
      <c r="C1526">
        <f>_xlfn.XLOOKUP(A1526,'[1]Global_Spot Prices'!$B:$B,'[1]Global_Spot Prices'!$E:$E)</f>
        <v>39.74</v>
      </c>
      <c r="D1526">
        <f>_xlfn.XLOOKUP(A1526,'[1]Global_Spot Prices'!$B:$B,'[1]Global_Spot Prices'!$D:$D)</f>
        <v>39.435000000000002</v>
      </c>
      <c r="E1526">
        <f>_xlfn.XLOOKUP(A1526,'[1]Global_Spot Prices'!$B:$B,'[1]Global_Spot Prices'!$H:$H)</f>
        <v>39.53</v>
      </c>
      <c r="F1526">
        <f>_xlfn.XLOOKUP(A1526,'[1]Global_Spot Prices'!$B:$B,'[1]Global_Spot Prices'!$I:$I)</f>
        <v>41.94</v>
      </c>
      <c r="G1526" cm="1">
        <f t="array" ref="G1526">_xlfn.XLOOKUP(TEXT(A1526, "mmm-yy"), TEXT([2]RUNS!$B$5:$B$208, "mmm-yy"), [2]RUNS!$D$5:$D$208, "Not Found")</f>
        <v>29655.226470247751</v>
      </c>
      <c r="H1526" cm="1">
        <f t="array" ref="H1526">SUMPRODUCT(
    --(TEXT('[3]Global Weekly Stock (EWSuez'!$B$4:$B$2000,"mmm-yy")=TEXT(A1526,"mmm-yy")),
    '[3]Global Weekly Stock (EWSuez'!$E$4:$E$2000)
/
SUMPRODUCT(
    --(TEXT('[3]Global Weekly Stock (EWSuez'!$B$4:$B$2000,"mmm-yy")=TEXT(A1526,"mmm-yy"))
)</f>
        <v>12635.5</v>
      </c>
      <c r="I1526">
        <f>_xlfn.XLOOKUP(A1526,[1]ForwardDeriv!$D:$D,[1]ForwardDeriv!$AJ:$AJ)</f>
        <v>-0.38000000000000256</v>
      </c>
      <c r="J1526" cm="1">
        <f t="array" ref="J1526">_xlfn.XLOOKUP(TEXT(A1526, "mmm-yy"), TEXT([2]GASOLINE!$B$5:$B$208, "mmm-yy"), [2]GASOLINE!$IR$5:$IR$208, "Not Found")</f>
        <v>-46.215436136665232</v>
      </c>
      <c r="K1526" cm="1">
        <f t="array" ref="K1526">_xlfn.XLOOKUP(TEXT(A1526, "mmm-yy"), TEXT([2]GASOLINE!$B$5:$B$208, "mmm-yy"), [2]GASOLINE!$IK$5:$IK$208, "Not Found")</f>
        <v>151.80123194363097</v>
      </c>
      <c r="L1526">
        <f t="shared" si="23"/>
        <v>0</v>
      </c>
      <c r="M1526" cm="1">
        <f t="array" ref="M1526">_xlfn.XLOOKUP(TEXT(A1526, "mmm-yy"), TEXT([2]GASOLINE!$B$5:$B$208, "mmm-yy"), [2]GASOLINE!$C$5:$C$208, "Not Found")</f>
        <v>7254.4404202348678</v>
      </c>
      <c r="N1526" cm="1">
        <f t="array" ref="N1526">_xlfn.XLOOKUP(TEXT(A1526, "mmm-yy"), TEXT([2]RUNS!$B$5:$B$208, "mmm-yy"), [2]RUNS!$BM$5:$BM$208, "Not Found")</f>
        <v>0.81001970664830447</v>
      </c>
    </row>
    <row r="1527" spans="1:14" x14ac:dyDescent="0.25">
      <c r="A1527" s="1">
        <f>'[1]Global_Spot Prices'!$B2836</f>
        <v>44140</v>
      </c>
      <c r="B1527">
        <f>_xlfn.XLOOKUP(A1527,'[1]Global_Spot Prices'!$B:$B,'[1]Global_Spot Prices'!$BS:$BS)</f>
        <v>2.5399999999999991</v>
      </c>
      <c r="C1527">
        <f>_xlfn.XLOOKUP(A1527,'[1]Global_Spot Prices'!$B:$B,'[1]Global_Spot Prices'!$E:$E)</f>
        <v>40.71</v>
      </c>
      <c r="D1527">
        <f>_xlfn.XLOOKUP(A1527,'[1]Global_Spot Prices'!$B:$B,'[1]Global_Spot Prices'!$D:$D)</f>
        <v>39.494999999999997</v>
      </c>
      <c r="E1527">
        <f>_xlfn.XLOOKUP(A1527,'[1]Global_Spot Prices'!$B:$B,'[1]Global_Spot Prices'!$H:$H)</f>
        <v>39.880000000000003</v>
      </c>
      <c r="F1527">
        <f>_xlfn.XLOOKUP(A1527,'[1]Global_Spot Prices'!$B:$B,'[1]Global_Spot Prices'!$I:$I)</f>
        <v>43.25</v>
      </c>
      <c r="G1527" cm="1">
        <f t="array" ref="G1527">_xlfn.XLOOKUP(TEXT(A1527, "mmm-yy"), TEXT([2]RUNS!$B$5:$B$208, "mmm-yy"), [2]RUNS!$D$5:$D$208, "Not Found")</f>
        <v>29655.226470247751</v>
      </c>
      <c r="H1527" cm="1">
        <f t="array" ref="H1527">SUMPRODUCT(
    --(TEXT('[3]Global Weekly Stock (EWSuez'!$B$4:$B$2000,"mmm-yy")=TEXT(A1527,"mmm-yy")),
    '[3]Global Weekly Stock (EWSuez'!$E$4:$E$2000)
/
SUMPRODUCT(
    --(TEXT('[3]Global Weekly Stock (EWSuez'!$B$4:$B$2000,"mmm-yy")=TEXT(A1527,"mmm-yy"))
)</f>
        <v>12635.5</v>
      </c>
      <c r="I1527">
        <f>_xlfn.XLOOKUP(A1527,[1]ForwardDeriv!$D:$D,[1]ForwardDeriv!$AJ:$AJ)</f>
        <v>-0.38000000000000256</v>
      </c>
      <c r="J1527" cm="1">
        <f t="array" ref="J1527">_xlfn.XLOOKUP(TEXT(A1527, "mmm-yy"), TEXT([2]GASOLINE!$B$5:$B$208, "mmm-yy"), [2]GASOLINE!$IR$5:$IR$208, "Not Found")</f>
        <v>-46.215436136665232</v>
      </c>
      <c r="K1527" cm="1">
        <f t="array" ref="K1527">_xlfn.XLOOKUP(TEXT(A1527, "mmm-yy"), TEXT([2]GASOLINE!$B$5:$B$208, "mmm-yy"), [2]GASOLINE!$IK$5:$IK$208, "Not Found")</f>
        <v>151.80123194363097</v>
      </c>
      <c r="L1527">
        <f t="shared" si="23"/>
        <v>0</v>
      </c>
      <c r="M1527" cm="1">
        <f t="array" ref="M1527">_xlfn.XLOOKUP(TEXT(A1527, "mmm-yy"), TEXT([2]GASOLINE!$B$5:$B$208, "mmm-yy"), [2]GASOLINE!$C$5:$C$208, "Not Found")</f>
        <v>7254.4404202348678</v>
      </c>
      <c r="N1527" cm="1">
        <f t="array" ref="N1527">_xlfn.XLOOKUP(TEXT(A1527, "mmm-yy"), TEXT([2]RUNS!$B$5:$B$208, "mmm-yy"), [2]RUNS!$BM$5:$BM$208, "Not Found")</f>
        <v>0.81001970664830447</v>
      </c>
    </row>
    <row r="1528" spans="1:14" x14ac:dyDescent="0.25">
      <c r="A1528" s="1">
        <f>'[1]Global_Spot Prices'!$B2837</f>
        <v>44141</v>
      </c>
      <c r="B1528">
        <f>_xlfn.XLOOKUP(A1528,'[1]Global_Spot Prices'!$B:$B,'[1]Global_Spot Prices'!$BS:$BS)</f>
        <v>2.5899999999999963</v>
      </c>
      <c r="C1528">
        <f>_xlfn.XLOOKUP(A1528,'[1]Global_Spot Prices'!$B:$B,'[1]Global_Spot Prices'!$E:$E)</f>
        <v>40.56</v>
      </c>
      <c r="D1528">
        <f>_xlfn.XLOOKUP(A1528,'[1]Global_Spot Prices'!$B:$B,'[1]Global_Spot Prices'!$D:$D)</f>
        <v>38.299999999999997</v>
      </c>
      <c r="E1528">
        <f>_xlfn.XLOOKUP(A1528,'[1]Global_Spot Prices'!$B:$B,'[1]Global_Spot Prices'!$H:$H)</f>
        <v>38.81</v>
      </c>
      <c r="F1528">
        <f>_xlfn.XLOOKUP(A1528,'[1]Global_Spot Prices'!$B:$B,'[1]Global_Spot Prices'!$I:$I)</f>
        <v>43.15</v>
      </c>
      <c r="G1528" cm="1">
        <f t="array" ref="G1528">_xlfn.XLOOKUP(TEXT(A1528, "mmm-yy"), TEXT([2]RUNS!$B$5:$B$208, "mmm-yy"), [2]RUNS!$D$5:$D$208, "Not Found")</f>
        <v>29655.226470247751</v>
      </c>
      <c r="H1528" cm="1">
        <f t="array" ref="H1528">SUMPRODUCT(
    --(TEXT('[3]Global Weekly Stock (EWSuez'!$B$4:$B$2000,"mmm-yy")=TEXT(A1528,"mmm-yy")),
    '[3]Global Weekly Stock (EWSuez'!$E$4:$E$2000)
/
SUMPRODUCT(
    --(TEXT('[3]Global Weekly Stock (EWSuez'!$B$4:$B$2000,"mmm-yy")=TEXT(A1528,"mmm-yy"))
)</f>
        <v>12635.5</v>
      </c>
      <c r="I1528">
        <f>_xlfn.XLOOKUP(A1528,[1]ForwardDeriv!$D:$D,[1]ForwardDeriv!$AJ:$AJ)</f>
        <v>-0.38000000000000256</v>
      </c>
      <c r="J1528" cm="1">
        <f t="array" ref="J1528">_xlfn.XLOOKUP(TEXT(A1528, "mmm-yy"), TEXT([2]GASOLINE!$B$5:$B$208, "mmm-yy"), [2]GASOLINE!$IR$5:$IR$208, "Not Found")</f>
        <v>-46.215436136665232</v>
      </c>
      <c r="K1528" cm="1">
        <f t="array" ref="K1528">_xlfn.XLOOKUP(TEXT(A1528, "mmm-yy"), TEXT([2]GASOLINE!$B$5:$B$208, "mmm-yy"), [2]GASOLINE!$IK$5:$IK$208, "Not Found")</f>
        <v>151.80123194363097</v>
      </c>
      <c r="L1528">
        <f t="shared" si="23"/>
        <v>0</v>
      </c>
      <c r="M1528" cm="1">
        <f t="array" ref="M1528">_xlfn.XLOOKUP(TEXT(A1528, "mmm-yy"), TEXT([2]GASOLINE!$B$5:$B$208, "mmm-yy"), [2]GASOLINE!$C$5:$C$208, "Not Found")</f>
        <v>7254.4404202348678</v>
      </c>
      <c r="N1528" cm="1">
        <f t="array" ref="N1528">_xlfn.XLOOKUP(TEXT(A1528, "mmm-yy"), TEXT([2]RUNS!$B$5:$B$208, "mmm-yy"), [2]RUNS!$BM$5:$BM$208, "Not Found")</f>
        <v>0.81001970664830447</v>
      </c>
    </row>
    <row r="1529" spans="1:14" x14ac:dyDescent="0.25">
      <c r="A1529" s="1">
        <f>'[1]Global_Spot Prices'!$B2838</f>
        <v>44144</v>
      </c>
      <c r="B1529">
        <f>_xlfn.XLOOKUP(A1529,'[1]Global_Spot Prices'!$B:$B,'[1]Global_Spot Prices'!$BS:$BS)</f>
        <v>2.519999999999996</v>
      </c>
      <c r="C1529">
        <f>_xlfn.XLOOKUP(A1529,'[1]Global_Spot Prices'!$B:$B,'[1]Global_Spot Prices'!$E:$E)</f>
        <v>40.31</v>
      </c>
      <c r="D1529">
        <f>_xlfn.XLOOKUP(A1529,'[1]Global_Spot Prices'!$B:$B,'[1]Global_Spot Prices'!$D:$D)</f>
        <v>41.31</v>
      </c>
      <c r="E1529">
        <f>_xlfn.XLOOKUP(A1529,'[1]Global_Spot Prices'!$B:$B,'[1]Global_Spot Prices'!$H:$H)</f>
        <v>38.06</v>
      </c>
      <c r="F1529">
        <f>_xlfn.XLOOKUP(A1529,'[1]Global_Spot Prices'!$B:$B,'[1]Global_Spot Prices'!$I:$I)</f>
        <v>42.83</v>
      </c>
      <c r="G1529" cm="1">
        <f t="array" ref="G1529">_xlfn.XLOOKUP(TEXT(A1529, "mmm-yy"), TEXT([2]RUNS!$B$5:$B$208, "mmm-yy"), [2]RUNS!$D$5:$D$208, "Not Found")</f>
        <v>29655.226470247751</v>
      </c>
      <c r="H1529" cm="1">
        <f t="array" ref="H1529">SUMPRODUCT(
    --(TEXT('[3]Global Weekly Stock (EWSuez'!$B$4:$B$2000,"mmm-yy")=TEXT(A1529,"mmm-yy")),
    '[3]Global Weekly Stock (EWSuez'!$E$4:$E$2000)
/
SUMPRODUCT(
    --(TEXT('[3]Global Weekly Stock (EWSuez'!$B$4:$B$2000,"mmm-yy")=TEXT(A1529,"mmm-yy"))
)</f>
        <v>12635.5</v>
      </c>
      <c r="I1529">
        <f>_xlfn.XLOOKUP(A1529,[1]ForwardDeriv!$D:$D,[1]ForwardDeriv!$AJ:$AJ)</f>
        <v>-0.35999999999999943</v>
      </c>
      <c r="J1529" cm="1">
        <f t="array" ref="J1529">_xlfn.XLOOKUP(TEXT(A1529, "mmm-yy"), TEXT([2]GASOLINE!$B$5:$B$208, "mmm-yy"), [2]GASOLINE!$IR$5:$IR$208, "Not Found")</f>
        <v>-46.215436136665232</v>
      </c>
      <c r="K1529" cm="1">
        <f t="array" ref="K1529">_xlfn.XLOOKUP(TEXT(A1529, "mmm-yy"), TEXT([2]GASOLINE!$B$5:$B$208, "mmm-yy"), [2]GASOLINE!$IK$5:$IK$208, "Not Found")</f>
        <v>151.80123194363097</v>
      </c>
      <c r="L1529">
        <f t="shared" si="23"/>
        <v>0</v>
      </c>
      <c r="M1529" cm="1">
        <f t="array" ref="M1529">_xlfn.XLOOKUP(TEXT(A1529, "mmm-yy"), TEXT([2]GASOLINE!$B$5:$B$208, "mmm-yy"), [2]GASOLINE!$C$5:$C$208, "Not Found")</f>
        <v>7254.4404202348678</v>
      </c>
      <c r="N1529" cm="1">
        <f t="array" ref="N1529">_xlfn.XLOOKUP(TEXT(A1529, "mmm-yy"), TEXT([2]RUNS!$B$5:$B$208, "mmm-yy"), [2]RUNS!$BM$5:$BM$208, "Not Found")</f>
        <v>0.81001970664830447</v>
      </c>
    </row>
    <row r="1530" spans="1:14" x14ac:dyDescent="0.25">
      <c r="A1530" s="1">
        <f>'[1]Global_Spot Prices'!$B2839</f>
        <v>44145</v>
      </c>
      <c r="B1530">
        <f>_xlfn.XLOOKUP(A1530,'[1]Global_Spot Prices'!$B:$B,'[1]Global_Spot Prices'!$BS:$BS)</f>
        <v>2.8200000000000003</v>
      </c>
      <c r="C1530">
        <f>_xlfn.XLOOKUP(A1530,'[1]Global_Spot Prices'!$B:$B,'[1]Global_Spot Prices'!$E:$E)</f>
        <v>42.47</v>
      </c>
      <c r="D1530">
        <f>_xlfn.XLOOKUP(A1530,'[1]Global_Spot Prices'!$B:$B,'[1]Global_Spot Prices'!$D:$D)</f>
        <v>41.715000000000003</v>
      </c>
      <c r="E1530">
        <f>_xlfn.XLOOKUP(A1530,'[1]Global_Spot Prices'!$B:$B,'[1]Global_Spot Prices'!$H:$H)</f>
        <v>40.049999999999997</v>
      </c>
      <c r="F1530">
        <f>_xlfn.XLOOKUP(A1530,'[1]Global_Spot Prices'!$B:$B,'[1]Global_Spot Prices'!$I:$I)</f>
        <v>45.29</v>
      </c>
      <c r="G1530" cm="1">
        <f t="array" ref="G1530">_xlfn.XLOOKUP(TEXT(A1530, "mmm-yy"), TEXT([2]RUNS!$B$5:$B$208, "mmm-yy"), [2]RUNS!$D$5:$D$208, "Not Found")</f>
        <v>29655.226470247751</v>
      </c>
      <c r="H1530" cm="1">
        <f t="array" ref="H1530">SUMPRODUCT(
    --(TEXT('[3]Global Weekly Stock (EWSuez'!$B$4:$B$2000,"mmm-yy")=TEXT(A1530,"mmm-yy")),
    '[3]Global Weekly Stock (EWSuez'!$E$4:$E$2000)
/
SUMPRODUCT(
    --(TEXT('[3]Global Weekly Stock (EWSuez'!$B$4:$B$2000,"mmm-yy")=TEXT(A1530,"mmm-yy"))
)</f>
        <v>12635.5</v>
      </c>
      <c r="I1530">
        <f>_xlfn.XLOOKUP(A1530,[1]ForwardDeriv!$D:$D,[1]ForwardDeriv!$AJ:$AJ)</f>
        <v>-0.34999999999999432</v>
      </c>
      <c r="J1530" cm="1">
        <f t="array" ref="J1530">_xlfn.XLOOKUP(TEXT(A1530, "mmm-yy"), TEXT([2]GASOLINE!$B$5:$B$208, "mmm-yy"), [2]GASOLINE!$IR$5:$IR$208, "Not Found")</f>
        <v>-46.215436136665232</v>
      </c>
      <c r="K1530" cm="1">
        <f t="array" ref="K1530">_xlfn.XLOOKUP(TEXT(A1530, "mmm-yy"), TEXT([2]GASOLINE!$B$5:$B$208, "mmm-yy"), [2]GASOLINE!$IK$5:$IK$208, "Not Found")</f>
        <v>151.80123194363097</v>
      </c>
      <c r="L1530">
        <f t="shared" si="23"/>
        <v>0</v>
      </c>
      <c r="M1530" cm="1">
        <f t="array" ref="M1530">_xlfn.XLOOKUP(TEXT(A1530, "mmm-yy"), TEXT([2]GASOLINE!$B$5:$B$208, "mmm-yy"), [2]GASOLINE!$C$5:$C$208, "Not Found")</f>
        <v>7254.4404202348678</v>
      </c>
      <c r="N1530" cm="1">
        <f t="array" ref="N1530">_xlfn.XLOOKUP(TEXT(A1530, "mmm-yy"), TEXT([2]RUNS!$B$5:$B$208, "mmm-yy"), [2]RUNS!$BM$5:$BM$208, "Not Found")</f>
        <v>0.81001970664830447</v>
      </c>
    </row>
    <row r="1531" spans="1:14" x14ac:dyDescent="0.25">
      <c r="A1531" s="1">
        <f>'[1]Global_Spot Prices'!$B2840</f>
        <v>44146</v>
      </c>
      <c r="B1531">
        <f>_xlfn.XLOOKUP(A1531,'[1]Global_Spot Prices'!$B:$B,'[1]Global_Spot Prices'!$BS:$BS)</f>
        <v>3.1499999999999986</v>
      </c>
      <c r="C1531">
        <f>_xlfn.XLOOKUP(A1531,'[1]Global_Spot Prices'!$B:$B,'[1]Global_Spot Prices'!$E:$E)</f>
        <v>44.4</v>
      </c>
      <c r="D1531">
        <f>_xlfn.XLOOKUP(A1531,'[1]Global_Spot Prices'!$B:$B,'[1]Global_Spot Prices'!$D:$D)</f>
        <v>43.195</v>
      </c>
      <c r="E1531">
        <f>_xlfn.XLOOKUP(A1531,'[1]Global_Spot Prices'!$B:$B,'[1]Global_Spot Prices'!$H:$H)</f>
        <v>41.47</v>
      </c>
      <c r="F1531">
        <f>_xlfn.XLOOKUP(A1531,'[1]Global_Spot Prices'!$B:$B,'[1]Global_Spot Prices'!$I:$I)</f>
        <v>47.55</v>
      </c>
      <c r="G1531" cm="1">
        <f t="array" ref="G1531">_xlfn.XLOOKUP(TEXT(A1531, "mmm-yy"), TEXT([2]RUNS!$B$5:$B$208, "mmm-yy"), [2]RUNS!$D$5:$D$208, "Not Found")</f>
        <v>29655.226470247751</v>
      </c>
      <c r="H1531" cm="1">
        <f t="array" ref="H1531">SUMPRODUCT(
    --(TEXT('[3]Global Weekly Stock (EWSuez'!$B$4:$B$2000,"mmm-yy")=TEXT(A1531,"mmm-yy")),
    '[3]Global Weekly Stock (EWSuez'!$E$4:$E$2000)
/
SUMPRODUCT(
    --(TEXT('[3]Global Weekly Stock (EWSuez'!$B$4:$B$2000,"mmm-yy")=TEXT(A1531,"mmm-yy"))
)</f>
        <v>12635.5</v>
      </c>
      <c r="I1531">
        <f>_xlfn.XLOOKUP(A1531,[1]ForwardDeriv!$D:$D,[1]ForwardDeriv!$AJ:$AJ)</f>
        <v>-0.32999999999999829</v>
      </c>
      <c r="J1531" cm="1">
        <f t="array" ref="J1531">_xlfn.XLOOKUP(TEXT(A1531, "mmm-yy"), TEXT([2]GASOLINE!$B$5:$B$208, "mmm-yy"), [2]GASOLINE!$IR$5:$IR$208, "Not Found")</f>
        <v>-46.215436136665232</v>
      </c>
      <c r="K1531" cm="1">
        <f t="array" ref="K1531">_xlfn.XLOOKUP(TEXT(A1531, "mmm-yy"), TEXT([2]GASOLINE!$B$5:$B$208, "mmm-yy"), [2]GASOLINE!$IK$5:$IK$208, "Not Found")</f>
        <v>151.80123194363097</v>
      </c>
      <c r="L1531">
        <f t="shared" si="23"/>
        <v>0</v>
      </c>
      <c r="M1531" cm="1">
        <f t="array" ref="M1531">_xlfn.XLOOKUP(TEXT(A1531, "mmm-yy"), TEXT([2]GASOLINE!$B$5:$B$208, "mmm-yy"), [2]GASOLINE!$C$5:$C$208, "Not Found")</f>
        <v>7254.4404202348678</v>
      </c>
      <c r="N1531" cm="1">
        <f t="array" ref="N1531">_xlfn.XLOOKUP(TEXT(A1531, "mmm-yy"), TEXT([2]RUNS!$B$5:$B$208, "mmm-yy"), [2]RUNS!$BM$5:$BM$208, "Not Found")</f>
        <v>0.81001970664830447</v>
      </c>
    </row>
    <row r="1532" spans="1:14" x14ac:dyDescent="0.25">
      <c r="A1532" s="1">
        <f>'[1]Global_Spot Prices'!$B2841</f>
        <v>44147</v>
      </c>
      <c r="B1532">
        <f>_xlfn.XLOOKUP(A1532,'[1]Global_Spot Prices'!$B:$B,'[1]Global_Spot Prices'!$BS:$BS)</f>
        <v>2.2549999999999955</v>
      </c>
      <c r="C1532">
        <f>_xlfn.XLOOKUP(A1532,'[1]Global_Spot Prices'!$B:$B,'[1]Global_Spot Prices'!$E:$E)</f>
        <v>43.905000000000001</v>
      </c>
      <c r="D1532">
        <f>_xlfn.XLOOKUP(A1532,'[1]Global_Spot Prices'!$B:$B,'[1]Global_Spot Prices'!$D:$D)</f>
        <v>42.87</v>
      </c>
      <c r="E1532">
        <f>_xlfn.XLOOKUP(A1532,'[1]Global_Spot Prices'!$B:$B,'[1]Global_Spot Prices'!$H:$H)</f>
        <v>40.159999999999997</v>
      </c>
      <c r="F1532">
        <f>_xlfn.XLOOKUP(A1532,'[1]Global_Spot Prices'!$B:$B,'[1]Global_Spot Prices'!$I:$I)</f>
        <v>46.16</v>
      </c>
      <c r="G1532" cm="1">
        <f t="array" ref="G1532">_xlfn.XLOOKUP(TEXT(A1532, "mmm-yy"), TEXT([2]RUNS!$B$5:$B$208, "mmm-yy"), [2]RUNS!$D$5:$D$208, "Not Found")</f>
        <v>29655.226470247751</v>
      </c>
      <c r="H1532" cm="1">
        <f t="array" ref="H1532">SUMPRODUCT(
    --(TEXT('[3]Global Weekly Stock (EWSuez'!$B$4:$B$2000,"mmm-yy")=TEXT(A1532,"mmm-yy")),
    '[3]Global Weekly Stock (EWSuez'!$E$4:$E$2000)
/
SUMPRODUCT(
    --(TEXT('[3]Global Weekly Stock (EWSuez'!$B$4:$B$2000,"mmm-yy")=TEXT(A1532,"mmm-yy"))
)</f>
        <v>12635.5</v>
      </c>
      <c r="I1532">
        <f>_xlfn.XLOOKUP(A1532,[1]ForwardDeriv!$D:$D,[1]ForwardDeriv!$AJ:$AJ)</f>
        <v>-0.36999999999999744</v>
      </c>
      <c r="J1532" cm="1">
        <f t="array" ref="J1532">_xlfn.XLOOKUP(TEXT(A1532, "mmm-yy"), TEXT([2]GASOLINE!$B$5:$B$208, "mmm-yy"), [2]GASOLINE!$IR$5:$IR$208, "Not Found")</f>
        <v>-46.215436136665232</v>
      </c>
      <c r="K1532" cm="1">
        <f t="array" ref="K1532">_xlfn.XLOOKUP(TEXT(A1532, "mmm-yy"), TEXT([2]GASOLINE!$B$5:$B$208, "mmm-yy"), [2]GASOLINE!$IK$5:$IK$208, "Not Found")</f>
        <v>151.80123194363097</v>
      </c>
      <c r="L1532">
        <f t="shared" si="23"/>
        <v>0</v>
      </c>
      <c r="M1532" cm="1">
        <f t="array" ref="M1532">_xlfn.XLOOKUP(TEXT(A1532, "mmm-yy"), TEXT([2]GASOLINE!$B$5:$B$208, "mmm-yy"), [2]GASOLINE!$C$5:$C$208, "Not Found")</f>
        <v>7254.4404202348678</v>
      </c>
      <c r="N1532" cm="1">
        <f t="array" ref="N1532">_xlfn.XLOOKUP(TEXT(A1532, "mmm-yy"), TEXT([2]RUNS!$B$5:$B$208, "mmm-yy"), [2]RUNS!$BM$5:$BM$208, "Not Found")</f>
        <v>0.81001970664830447</v>
      </c>
    </row>
    <row r="1533" spans="1:14" x14ac:dyDescent="0.25">
      <c r="A1533" s="1">
        <f>'[1]Global_Spot Prices'!$B2842</f>
        <v>44148</v>
      </c>
      <c r="B1533">
        <f>_xlfn.XLOOKUP(A1533,'[1]Global_Spot Prices'!$B:$B,'[1]Global_Spot Prices'!$BS:$BS)</f>
        <v>1.845000000000006</v>
      </c>
      <c r="C1533">
        <f>_xlfn.XLOOKUP(A1533,'[1]Global_Spot Prices'!$B:$B,'[1]Global_Spot Prices'!$E:$E)</f>
        <v>43.104999999999997</v>
      </c>
      <c r="D1533">
        <f>_xlfn.XLOOKUP(A1533,'[1]Global_Spot Prices'!$B:$B,'[1]Global_Spot Prices'!$D:$D)</f>
        <v>41.784999999999997</v>
      </c>
      <c r="E1533">
        <f>_xlfn.XLOOKUP(A1533,'[1]Global_Spot Prices'!$B:$B,'[1]Global_Spot Prices'!$H:$H)</f>
        <v>39.44</v>
      </c>
      <c r="F1533">
        <f>_xlfn.XLOOKUP(A1533,'[1]Global_Spot Prices'!$B:$B,'[1]Global_Spot Prices'!$I:$I)</f>
        <v>44.95</v>
      </c>
      <c r="G1533" cm="1">
        <f t="array" ref="G1533">_xlfn.XLOOKUP(TEXT(A1533, "mmm-yy"), TEXT([2]RUNS!$B$5:$B$208, "mmm-yy"), [2]RUNS!$D$5:$D$208, "Not Found")</f>
        <v>29655.226470247751</v>
      </c>
      <c r="H1533" cm="1">
        <f t="array" ref="H1533">SUMPRODUCT(
    --(TEXT('[3]Global Weekly Stock (EWSuez'!$B$4:$B$2000,"mmm-yy")=TEXT(A1533,"mmm-yy")),
    '[3]Global Weekly Stock (EWSuez'!$E$4:$E$2000)
/
SUMPRODUCT(
    --(TEXT('[3]Global Weekly Stock (EWSuez'!$B$4:$B$2000,"mmm-yy")=TEXT(A1533,"mmm-yy"))
)</f>
        <v>12635.5</v>
      </c>
      <c r="I1533">
        <f>_xlfn.XLOOKUP(A1533,[1]ForwardDeriv!$D:$D,[1]ForwardDeriv!$AJ:$AJ)</f>
        <v>-0.39999999999999858</v>
      </c>
      <c r="J1533" cm="1">
        <f t="array" ref="J1533">_xlfn.XLOOKUP(TEXT(A1533, "mmm-yy"), TEXT([2]GASOLINE!$B$5:$B$208, "mmm-yy"), [2]GASOLINE!$IR$5:$IR$208, "Not Found")</f>
        <v>-46.215436136665232</v>
      </c>
      <c r="K1533" cm="1">
        <f t="array" ref="K1533">_xlfn.XLOOKUP(TEXT(A1533, "mmm-yy"), TEXT([2]GASOLINE!$B$5:$B$208, "mmm-yy"), [2]GASOLINE!$IK$5:$IK$208, "Not Found")</f>
        <v>151.80123194363097</v>
      </c>
      <c r="L1533">
        <f t="shared" si="23"/>
        <v>0</v>
      </c>
      <c r="M1533" cm="1">
        <f t="array" ref="M1533">_xlfn.XLOOKUP(TEXT(A1533, "mmm-yy"), TEXT([2]GASOLINE!$B$5:$B$208, "mmm-yy"), [2]GASOLINE!$C$5:$C$208, "Not Found")</f>
        <v>7254.4404202348678</v>
      </c>
      <c r="N1533" cm="1">
        <f t="array" ref="N1533">_xlfn.XLOOKUP(TEXT(A1533, "mmm-yy"), TEXT([2]RUNS!$B$5:$B$208, "mmm-yy"), [2]RUNS!$BM$5:$BM$208, "Not Found")</f>
        <v>0.81001970664830447</v>
      </c>
    </row>
    <row r="1534" spans="1:14" x14ac:dyDescent="0.25">
      <c r="A1534" s="1">
        <f>'[1]Global_Spot Prices'!$B2843</f>
        <v>44151</v>
      </c>
      <c r="B1534">
        <f>_xlfn.XLOOKUP(A1534,'[1]Global_Spot Prices'!$B:$B,'[1]Global_Spot Prices'!$BS:$BS)</f>
        <v>1.5600000000000023</v>
      </c>
      <c r="C1534">
        <f>_xlfn.XLOOKUP(A1534,'[1]Global_Spot Prices'!$B:$B,'[1]Global_Spot Prices'!$E:$E)</f>
        <v>43.69</v>
      </c>
      <c r="D1534">
        <f>_xlfn.XLOOKUP(A1534,'[1]Global_Spot Prices'!$B:$B,'[1]Global_Spot Prices'!$D:$D)</f>
        <v>43.115000000000002</v>
      </c>
      <c r="E1534">
        <f>_xlfn.XLOOKUP(A1534,'[1]Global_Spot Prices'!$B:$B,'[1]Global_Spot Prices'!$H:$H)</f>
        <v>40.159999999999997</v>
      </c>
      <c r="F1534">
        <f>_xlfn.XLOOKUP(A1534,'[1]Global_Spot Prices'!$B:$B,'[1]Global_Spot Prices'!$I:$I)</f>
        <v>45.25</v>
      </c>
      <c r="G1534" cm="1">
        <f t="array" ref="G1534">_xlfn.XLOOKUP(TEXT(A1534, "mmm-yy"), TEXT([2]RUNS!$B$5:$B$208, "mmm-yy"), [2]RUNS!$D$5:$D$208, "Not Found")</f>
        <v>29655.226470247751</v>
      </c>
      <c r="H1534" cm="1">
        <f t="array" ref="H1534">SUMPRODUCT(
    --(TEXT('[3]Global Weekly Stock (EWSuez'!$B$4:$B$2000,"mmm-yy")=TEXT(A1534,"mmm-yy")),
    '[3]Global Weekly Stock (EWSuez'!$E$4:$E$2000)
/
SUMPRODUCT(
    --(TEXT('[3]Global Weekly Stock (EWSuez'!$B$4:$B$2000,"mmm-yy")=TEXT(A1534,"mmm-yy"))
)</f>
        <v>12635.5</v>
      </c>
      <c r="I1534">
        <f>_xlfn.XLOOKUP(A1534,[1]ForwardDeriv!$D:$D,[1]ForwardDeriv!$AJ:$AJ)</f>
        <v>-0.44000000000000483</v>
      </c>
      <c r="J1534" cm="1">
        <f t="array" ref="J1534">_xlfn.XLOOKUP(TEXT(A1534, "mmm-yy"), TEXT([2]GASOLINE!$B$5:$B$208, "mmm-yy"), [2]GASOLINE!$IR$5:$IR$208, "Not Found")</f>
        <v>-46.215436136665232</v>
      </c>
      <c r="K1534" cm="1">
        <f t="array" ref="K1534">_xlfn.XLOOKUP(TEXT(A1534, "mmm-yy"), TEXT([2]GASOLINE!$B$5:$B$208, "mmm-yy"), [2]GASOLINE!$IK$5:$IK$208, "Not Found")</f>
        <v>151.80123194363097</v>
      </c>
      <c r="L1534">
        <f t="shared" si="23"/>
        <v>0</v>
      </c>
      <c r="M1534" cm="1">
        <f t="array" ref="M1534">_xlfn.XLOOKUP(TEXT(A1534, "mmm-yy"), TEXT([2]GASOLINE!$B$5:$B$208, "mmm-yy"), [2]GASOLINE!$C$5:$C$208, "Not Found")</f>
        <v>7254.4404202348678</v>
      </c>
      <c r="N1534" cm="1">
        <f t="array" ref="N1534">_xlfn.XLOOKUP(TEXT(A1534, "mmm-yy"), TEXT([2]RUNS!$B$5:$B$208, "mmm-yy"), [2]RUNS!$BM$5:$BM$208, "Not Found")</f>
        <v>0.81001970664830447</v>
      </c>
    </row>
    <row r="1535" spans="1:14" x14ac:dyDescent="0.25">
      <c r="A1535" s="1">
        <f>'[1]Global_Spot Prices'!$B2844</f>
        <v>44152</v>
      </c>
      <c r="B1535">
        <f>_xlfn.XLOOKUP(A1535,'[1]Global_Spot Prices'!$B:$B,'[1]Global_Spot Prices'!$BS:$BS)</f>
        <v>1.230000000000004</v>
      </c>
      <c r="C1535">
        <f>_xlfn.XLOOKUP(A1535,'[1]Global_Spot Prices'!$B:$B,'[1]Global_Spot Prices'!$E:$E)</f>
        <v>43.86</v>
      </c>
      <c r="D1535">
        <f>_xlfn.XLOOKUP(A1535,'[1]Global_Spot Prices'!$B:$B,'[1]Global_Spot Prices'!$D:$D)</f>
        <v>42.045000000000002</v>
      </c>
      <c r="E1535">
        <f>_xlfn.XLOOKUP(A1535,'[1]Global_Spot Prices'!$B:$B,'[1]Global_Spot Prices'!$H:$H)</f>
        <v>40.49</v>
      </c>
      <c r="F1535">
        <f>_xlfn.XLOOKUP(A1535,'[1]Global_Spot Prices'!$B:$B,'[1]Global_Spot Prices'!$I:$I)</f>
        <v>45.09</v>
      </c>
      <c r="G1535" cm="1">
        <f t="array" ref="G1535">_xlfn.XLOOKUP(TEXT(A1535, "mmm-yy"), TEXT([2]RUNS!$B$5:$B$208, "mmm-yy"), [2]RUNS!$D$5:$D$208, "Not Found")</f>
        <v>29655.226470247751</v>
      </c>
      <c r="H1535" cm="1">
        <f t="array" ref="H1535">SUMPRODUCT(
    --(TEXT('[3]Global Weekly Stock (EWSuez'!$B$4:$B$2000,"mmm-yy")=TEXT(A1535,"mmm-yy")),
    '[3]Global Weekly Stock (EWSuez'!$E$4:$E$2000)
/
SUMPRODUCT(
    --(TEXT('[3]Global Weekly Stock (EWSuez'!$B$4:$B$2000,"mmm-yy")=TEXT(A1535,"mmm-yy"))
)</f>
        <v>12635.5</v>
      </c>
      <c r="I1535">
        <f>_xlfn.XLOOKUP(A1535,[1]ForwardDeriv!$D:$D,[1]ForwardDeriv!$AJ:$AJ)</f>
        <v>-0.47999999999999687</v>
      </c>
      <c r="J1535" cm="1">
        <f t="array" ref="J1535">_xlfn.XLOOKUP(TEXT(A1535, "mmm-yy"), TEXT([2]GASOLINE!$B$5:$B$208, "mmm-yy"), [2]GASOLINE!$IR$5:$IR$208, "Not Found")</f>
        <v>-46.215436136665232</v>
      </c>
      <c r="K1535" cm="1">
        <f t="array" ref="K1535">_xlfn.XLOOKUP(TEXT(A1535, "mmm-yy"), TEXT([2]GASOLINE!$B$5:$B$208, "mmm-yy"), [2]GASOLINE!$IK$5:$IK$208, "Not Found")</f>
        <v>151.80123194363097</v>
      </c>
      <c r="L1535">
        <f t="shared" si="23"/>
        <v>0</v>
      </c>
      <c r="M1535" cm="1">
        <f t="array" ref="M1535">_xlfn.XLOOKUP(TEXT(A1535, "mmm-yy"), TEXT([2]GASOLINE!$B$5:$B$208, "mmm-yy"), [2]GASOLINE!$C$5:$C$208, "Not Found")</f>
        <v>7254.4404202348678</v>
      </c>
      <c r="N1535" cm="1">
        <f t="array" ref="N1535">_xlfn.XLOOKUP(TEXT(A1535, "mmm-yy"), TEXT([2]RUNS!$B$5:$B$208, "mmm-yy"), [2]RUNS!$BM$5:$BM$208, "Not Found")</f>
        <v>0.81001970664830447</v>
      </c>
    </row>
    <row r="1536" spans="1:14" x14ac:dyDescent="0.25">
      <c r="A1536" s="1">
        <f>'[1]Global_Spot Prices'!$B2845</f>
        <v>44153</v>
      </c>
      <c r="B1536">
        <f>_xlfn.XLOOKUP(A1536,'[1]Global_Spot Prices'!$B:$B,'[1]Global_Spot Prices'!$BS:$BS)</f>
        <v>1.5</v>
      </c>
      <c r="C1536">
        <f>_xlfn.XLOOKUP(A1536,'[1]Global_Spot Prices'!$B:$B,'[1]Global_Spot Prices'!$E:$E)</f>
        <v>43.8</v>
      </c>
      <c r="D1536">
        <f>_xlfn.XLOOKUP(A1536,'[1]Global_Spot Prices'!$B:$B,'[1]Global_Spot Prices'!$D:$D)</f>
        <v>43.395000000000003</v>
      </c>
      <c r="E1536">
        <f>_xlfn.XLOOKUP(A1536,'[1]Global_Spot Prices'!$B:$B,'[1]Global_Spot Prices'!$H:$H)</f>
        <v>41.1</v>
      </c>
      <c r="F1536">
        <f>_xlfn.XLOOKUP(A1536,'[1]Global_Spot Prices'!$B:$B,'[1]Global_Spot Prices'!$I:$I)</f>
        <v>45.3</v>
      </c>
      <c r="G1536" cm="1">
        <f t="array" ref="G1536">_xlfn.XLOOKUP(TEXT(A1536, "mmm-yy"), TEXT([2]RUNS!$B$5:$B$208, "mmm-yy"), [2]RUNS!$D$5:$D$208, "Not Found")</f>
        <v>29655.226470247751</v>
      </c>
      <c r="H1536" cm="1">
        <f t="array" ref="H1536">SUMPRODUCT(
    --(TEXT('[3]Global Weekly Stock (EWSuez'!$B$4:$B$2000,"mmm-yy")=TEXT(A1536,"mmm-yy")),
    '[3]Global Weekly Stock (EWSuez'!$E$4:$E$2000)
/
SUMPRODUCT(
    --(TEXT('[3]Global Weekly Stock (EWSuez'!$B$4:$B$2000,"mmm-yy")=TEXT(A1536,"mmm-yy"))
)</f>
        <v>12635.5</v>
      </c>
      <c r="I1536">
        <f>_xlfn.XLOOKUP(A1536,[1]ForwardDeriv!$D:$D,[1]ForwardDeriv!$AJ:$AJ)</f>
        <v>-0.5</v>
      </c>
      <c r="J1536" cm="1">
        <f t="array" ref="J1536">_xlfn.XLOOKUP(TEXT(A1536, "mmm-yy"), TEXT([2]GASOLINE!$B$5:$B$208, "mmm-yy"), [2]GASOLINE!$IR$5:$IR$208, "Not Found")</f>
        <v>-46.215436136665232</v>
      </c>
      <c r="K1536" cm="1">
        <f t="array" ref="K1536">_xlfn.XLOOKUP(TEXT(A1536, "mmm-yy"), TEXT([2]GASOLINE!$B$5:$B$208, "mmm-yy"), [2]GASOLINE!$IK$5:$IK$208, "Not Found")</f>
        <v>151.80123194363097</v>
      </c>
      <c r="L1536">
        <f t="shared" si="23"/>
        <v>0</v>
      </c>
      <c r="M1536" cm="1">
        <f t="array" ref="M1536">_xlfn.XLOOKUP(TEXT(A1536, "mmm-yy"), TEXT([2]GASOLINE!$B$5:$B$208, "mmm-yy"), [2]GASOLINE!$C$5:$C$208, "Not Found")</f>
        <v>7254.4404202348678</v>
      </c>
      <c r="N1536" cm="1">
        <f t="array" ref="N1536">_xlfn.XLOOKUP(TEXT(A1536, "mmm-yy"), TEXT([2]RUNS!$B$5:$B$208, "mmm-yy"), [2]RUNS!$BM$5:$BM$208, "Not Found")</f>
        <v>0.81001970664830447</v>
      </c>
    </row>
    <row r="1537" spans="1:14" x14ac:dyDescent="0.25">
      <c r="A1537" s="1">
        <f>'[1]Global_Spot Prices'!$B2846</f>
        <v>44154</v>
      </c>
      <c r="B1537">
        <f>_xlfn.XLOOKUP(A1537,'[1]Global_Spot Prices'!$B:$B,'[1]Global_Spot Prices'!$BS:$BS)</f>
        <v>1.2899999999999991</v>
      </c>
      <c r="C1537">
        <f>_xlfn.XLOOKUP(A1537,'[1]Global_Spot Prices'!$B:$B,'[1]Global_Spot Prices'!$E:$E)</f>
        <v>43.97</v>
      </c>
      <c r="D1537">
        <f>_xlfn.XLOOKUP(A1537,'[1]Global_Spot Prices'!$B:$B,'[1]Global_Spot Prices'!$D:$D)</f>
        <v>42.865000000000002</v>
      </c>
      <c r="E1537">
        <f>_xlfn.XLOOKUP(A1537,'[1]Global_Spot Prices'!$B:$B,'[1]Global_Spot Prices'!$H:$H)</f>
        <v>40.99</v>
      </c>
      <c r="F1537">
        <f>_xlfn.XLOOKUP(A1537,'[1]Global_Spot Prices'!$B:$B,'[1]Global_Spot Prices'!$I:$I)</f>
        <v>45.26</v>
      </c>
      <c r="G1537" cm="1">
        <f t="array" ref="G1537">_xlfn.XLOOKUP(TEXT(A1537, "mmm-yy"), TEXT([2]RUNS!$B$5:$B$208, "mmm-yy"), [2]RUNS!$D$5:$D$208, "Not Found")</f>
        <v>29655.226470247751</v>
      </c>
      <c r="H1537" cm="1">
        <f t="array" ref="H1537">SUMPRODUCT(
    --(TEXT('[3]Global Weekly Stock (EWSuez'!$B$4:$B$2000,"mmm-yy")=TEXT(A1537,"mmm-yy")),
    '[3]Global Weekly Stock (EWSuez'!$E$4:$E$2000)
/
SUMPRODUCT(
    --(TEXT('[3]Global Weekly Stock (EWSuez'!$B$4:$B$2000,"mmm-yy")=TEXT(A1537,"mmm-yy"))
)</f>
        <v>12635.5</v>
      </c>
      <c r="I1537">
        <f>_xlfn.XLOOKUP(A1537,[1]ForwardDeriv!$D:$D,[1]ForwardDeriv!$AJ:$AJ)</f>
        <v>-0.46999999999999886</v>
      </c>
      <c r="J1537" cm="1">
        <f t="array" ref="J1537">_xlfn.XLOOKUP(TEXT(A1537, "mmm-yy"), TEXT([2]GASOLINE!$B$5:$B$208, "mmm-yy"), [2]GASOLINE!$IR$5:$IR$208, "Not Found")</f>
        <v>-46.215436136665232</v>
      </c>
      <c r="K1537" cm="1">
        <f t="array" ref="K1537">_xlfn.XLOOKUP(TEXT(A1537, "mmm-yy"), TEXT([2]GASOLINE!$B$5:$B$208, "mmm-yy"), [2]GASOLINE!$IK$5:$IK$208, "Not Found")</f>
        <v>151.80123194363097</v>
      </c>
      <c r="L1537">
        <f t="shared" si="23"/>
        <v>0</v>
      </c>
      <c r="M1537" cm="1">
        <f t="array" ref="M1537">_xlfn.XLOOKUP(TEXT(A1537, "mmm-yy"), TEXT([2]GASOLINE!$B$5:$B$208, "mmm-yy"), [2]GASOLINE!$C$5:$C$208, "Not Found")</f>
        <v>7254.4404202348678</v>
      </c>
      <c r="N1537" cm="1">
        <f t="array" ref="N1537">_xlfn.XLOOKUP(TEXT(A1537, "mmm-yy"), TEXT([2]RUNS!$B$5:$B$208, "mmm-yy"), [2]RUNS!$BM$5:$BM$208, "Not Found")</f>
        <v>0.81001970664830447</v>
      </c>
    </row>
    <row r="1538" spans="1:14" x14ac:dyDescent="0.25">
      <c r="A1538" s="1">
        <f>'[1]Global_Spot Prices'!$B2847</f>
        <v>44155</v>
      </c>
      <c r="B1538">
        <f>_xlfn.XLOOKUP(A1538,'[1]Global_Spot Prices'!$B:$B,'[1]Global_Spot Prices'!$BS:$BS)</f>
        <v>1.5899999999999963</v>
      </c>
      <c r="C1538">
        <f>_xlfn.XLOOKUP(A1538,'[1]Global_Spot Prices'!$B:$B,'[1]Global_Spot Prices'!$E:$E)</f>
        <v>44.21</v>
      </c>
      <c r="D1538">
        <f>_xlfn.XLOOKUP(A1538,'[1]Global_Spot Prices'!$B:$B,'[1]Global_Spot Prices'!$D:$D)</f>
        <v>43.435000000000002</v>
      </c>
      <c r="E1538">
        <f>_xlfn.XLOOKUP(A1538,'[1]Global_Spot Prices'!$B:$B,'[1]Global_Spot Prices'!$H:$H)</f>
        <v>40.869999999999997</v>
      </c>
      <c r="F1538">
        <f>_xlfn.XLOOKUP(A1538,'[1]Global_Spot Prices'!$B:$B,'[1]Global_Spot Prices'!$I:$I)</f>
        <v>45.8</v>
      </c>
      <c r="G1538" cm="1">
        <f t="array" ref="G1538">_xlfn.XLOOKUP(TEXT(A1538, "mmm-yy"), TEXT([2]RUNS!$B$5:$B$208, "mmm-yy"), [2]RUNS!$D$5:$D$208, "Not Found")</f>
        <v>29655.226470247751</v>
      </c>
      <c r="H1538" cm="1">
        <f t="array" ref="H1538">SUMPRODUCT(
    --(TEXT('[3]Global Weekly Stock (EWSuez'!$B$4:$B$2000,"mmm-yy")=TEXT(A1538,"mmm-yy")),
    '[3]Global Weekly Stock (EWSuez'!$E$4:$E$2000)
/
SUMPRODUCT(
    --(TEXT('[3]Global Weekly Stock (EWSuez'!$B$4:$B$2000,"mmm-yy")=TEXT(A1538,"mmm-yy"))
)</f>
        <v>12635.5</v>
      </c>
      <c r="I1538">
        <f>_xlfn.XLOOKUP(A1538,[1]ForwardDeriv!$D:$D,[1]ForwardDeriv!$AJ:$AJ)</f>
        <v>-0.39999999999999858</v>
      </c>
      <c r="J1538" cm="1">
        <f t="array" ref="J1538">_xlfn.XLOOKUP(TEXT(A1538, "mmm-yy"), TEXT([2]GASOLINE!$B$5:$B$208, "mmm-yy"), [2]GASOLINE!$IR$5:$IR$208, "Not Found")</f>
        <v>-46.215436136665232</v>
      </c>
      <c r="K1538" cm="1">
        <f t="array" ref="K1538">_xlfn.XLOOKUP(TEXT(A1538, "mmm-yy"), TEXT([2]GASOLINE!$B$5:$B$208, "mmm-yy"), [2]GASOLINE!$IK$5:$IK$208, "Not Found")</f>
        <v>151.80123194363097</v>
      </c>
      <c r="L1538">
        <f t="shared" si="23"/>
        <v>0</v>
      </c>
      <c r="M1538" cm="1">
        <f t="array" ref="M1538">_xlfn.XLOOKUP(TEXT(A1538, "mmm-yy"), TEXT([2]GASOLINE!$B$5:$B$208, "mmm-yy"), [2]GASOLINE!$C$5:$C$208, "Not Found")</f>
        <v>7254.4404202348678</v>
      </c>
      <c r="N1538" cm="1">
        <f t="array" ref="N1538">_xlfn.XLOOKUP(TEXT(A1538, "mmm-yy"), TEXT([2]RUNS!$B$5:$B$208, "mmm-yy"), [2]RUNS!$BM$5:$BM$208, "Not Found")</f>
        <v>0.81001970664830447</v>
      </c>
    </row>
    <row r="1539" spans="1:14" x14ac:dyDescent="0.25">
      <c r="A1539" s="1">
        <f>'[1]Global_Spot Prices'!$B2848</f>
        <v>44158</v>
      </c>
      <c r="B1539">
        <f>_xlfn.XLOOKUP(A1539,'[1]Global_Spot Prices'!$B:$B,'[1]Global_Spot Prices'!$BS:$BS)</f>
        <v>1.4199999999999946</v>
      </c>
      <c r="C1539">
        <f>_xlfn.XLOOKUP(A1539,'[1]Global_Spot Prices'!$B:$B,'[1]Global_Spot Prices'!$E:$E)</f>
        <v>45.59</v>
      </c>
      <c r="D1539">
        <f>_xlfn.XLOOKUP(A1539,'[1]Global_Spot Prices'!$B:$B,'[1]Global_Spot Prices'!$D:$D)</f>
        <v>44.94</v>
      </c>
      <c r="E1539">
        <f>_xlfn.XLOOKUP(A1539,'[1]Global_Spot Prices'!$B:$B,'[1]Global_Spot Prices'!$H:$H)</f>
        <v>42.56</v>
      </c>
      <c r="F1539">
        <f>_xlfn.XLOOKUP(A1539,'[1]Global_Spot Prices'!$B:$B,'[1]Global_Spot Prices'!$I:$I)</f>
        <v>47.01</v>
      </c>
      <c r="G1539" cm="1">
        <f t="array" ref="G1539">_xlfn.XLOOKUP(TEXT(A1539, "mmm-yy"), TEXT([2]RUNS!$B$5:$B$208, "mmm-yy"), [2]RUNS!$D$5:$D$208, "Not Found")</f>
        <v>29655.226470247751</v>
      </c>
      <c r="H1539" cm="1">
        <f t="array" ref="H1539">SUMPRODUCT(
    --(TEXT('[3]Global Weekly Stock (EWSuez'!$B$4:$B$2000,"mmm-yy")=TEXT(A1539,"mmm-yy")),
    '[3]Global Weekly Stock (EWSuez'!$E$4:$E$2000)
/
SUMPRODUCT(
    --(TEXT('[3]Global Weekly Stock (EWSuez'!$B$4:$B$2000,"mmm-yy")=TEXT(A1539,"mmm-yy"))
)</f>
        <v>12635.5</v>
      </c>
      <c r="I1539">
        <f>_xlfn.XLOOKUP(A1539,[1]ForwardDeriv!$D:$D,[1]ForwardDeriv!$AJ:$AJ)</f>
        <v>-0.49000000000000199</v>
      </c>
      <c r="J1539" cm="1">
        <f t="array" ref="J1539">_xlfn.XLOOKUP(TEXT(A1539, "mmm-yy"), TEXT([2]GASOLINE!$B$5:$B$208, "mmm-yy"), [2]GASOLINE!$IR$5:$IR$208, "Not Found")</f>
        <v>-46.215436136665232</v>
      </c>
      <c r="K1539" cm="1">
        <f t="array" ref="K1539">_xlfn.XLOOKUP(TEXT(A1539, "mmm-yy"), TEXT([2]GASOLINE!$B$5:$B$208, "mmm-yy"), [2]GASOLINE!$IK$5:$IK$208, "Not Found")</f>
        <v>151.80123194363097</v>
      </c>
      <c r="L1539">
        <f t="shared" ref="L1539:L1602" si="24">IF(OR(MONTH(A1539)=6, MONTH(A1539)=7, MONTH(A1539)=8, MONTH(A1539)=9), 1, 0)</f>
        <v>0</v>
      </c>
      <c r="M1539" cm="1">
        <f t="array" ref="M1539">_xlfn.XLOOKUP(TEXT(A1539, "mmm-yy"), TEXT([2]GASOLINE!$B$5:$B$208, "mmm-yy"), [2]GASOLINE!$C$5:$C$208, "Not Found")</f>
        <v>7254.4404202348678</v>
      </c>
      <c r="N1539" cm="1">
        <f t="array" ref="N1539">_xlfn.XLOOKUP(TEXT(A1539, "mmm-yy"), TEXT([2]RUNS!$B$5:$B$208, "mmm-yy"), [2]RUNS!$BM$5:$BM$208, "Not Found")</f>
        <v>0.81001970664830447</v>
      </c>
    </row>
    <row r="1540" spans="1:14" x14ac:dyDescent="0.25">
      <c r="A1540" s="1">
        <f>'[1]Global_Spot Prices'!$B2849</f>
        <v>44159</v>
      </c>
      <c r="B1540">
        <f>_xlfn.XLOOKUP(A1540,'[1]Global_Spot Prices'!$B:$B,'[1]Global_Spot Prices'!$BS:$BS)</f>
        <v>2</v>
      </c>
      <c r="C1540">
        <f>_xlfn.XLOOKUP(A1540,'[1]Global_Spot Prices'!$B:$B,'[1]Global_Spot Prices'!$E:$E)</f>
        <v>45.83</v>
      </c>
      <c r="D1540">
        <f>_xlfn.XLOOKUP(A1540,'[1]Global_Spot Prices'!$B:$B,'[1]Global_Spot Prices'!$D:$D)</f>
        <v>46.774999999999999</v>
      </c>
      <c r="E1540">
        <f>_xlfn.XLOOKUP(A1540,'[1]Global_Spot Prices'!$B:$B,'[1]Global_Spot Prices'!$H:$H)</f>
        <v>42.41</v>
      </c>
      <c r="F1540">
        <f>_xlfn.XLOOKUP(A1540,'[1]Global_Spot Prices'!$B:$B,'[1]Global_Spot Prices'!$I:$I)</f>
        <v>47.83</v>
      </c>
      <c r="G1540" cm="1">
        <f t="array" ref="G1540">_xlfn.XLOOKUP(TEXT(A1540, "mmm-yy"), TEXT([2]RUNS!$B$5:$B$208, "mmm-yy"), [2]RUNS!$D$5:$D$208, "Not Found")</f>
        <v>29655.226470247751</v>
      </c>
      <c r="H1540" cm="1">
        <f t="array" ref="H1540">SUMPRODUCT(
    --(TEXT('[3]Global Weekly Stock (EWSuez'!$B$4:$B$2000,"mmm-yy")=TEXT(A1540,"mmm-yy")),
    '[3]Global Weekly Stock (EWSuez'!$E$4:$E$2000)
/
SUMPRODUCT(
    --(TEXT('[3]Global Weekly Stock (EWSuez'!$B$4:$B$2000,"mmm-yy")=TEXT(A1540,"mmm-yy"))
)</f>
        <v>12635.5</v>
      </c>
      <c r="I1540">
        <f>_xlfn.XLOOKUP(A1540,[1]ForwardDeriv!$D:$D,[1]ForwardDeriv!$AJ:$AJ)</f>
        <v>-0.44999999999999574</v>
      </c>
      <c r="J1540" cm="1">
        <f t="array" ref="J1540">_xlfn.XLOOKUP(TEXT(A1540, "mmm-yy"), TEXT([2]GASOLINE!$B$5:$B$208, "mmm-yy"), [2]GASOLINE!$IR$5:$IR$208, "Not Found")</f>
        <v>-46.215436136665232</v>
      </c>
      <c r="K1540" cm="1">
        <f t="array" ref="K1540">_xlfn.XLOOKUP(TEXT(A1540, "mmm-yy"), TEXT([2]GASOLINE!$B$5:$B$208, "mmm-yy"), [2]GASOLINE!$IK$5:$IK$208, "Not Found")</f>
        <v>151.80123194363097</v>
      </c>
      <c r="L1540">
        <f t="shared" si="24"/>
        <v>0</v>
      </c>
      <c r="M1540" cm="1">
        <f t="array" ref="M1540">_xlfn.XLOOKUP(TEXT(A1540, "mmm-yy"), TEXT([2]GASOLINE!$B$5:$B$208, "mmm-yy"), [2]GASOLINE!$C$5:$C$208, "Not Found")</f>
        <v>7254.4404202348678</v>
      </c>
      <c r="N1540" cm="1">
        <f t="array" ref="N1540">_xlfn.XLOOKUP(TEXT(A1540, "mmm-yy"), TEXT([2]RUNS!$B$5:$B$208, "mmm-yy"), [2]RUNS!$BM$5:$BM$208, "Not Found")</f>
        <v>0.81001970664830447</v>
      </c>
    </row>
    <row r="1541" spans="1:14" x14ac:dyDescent="0.25">
      <c r="A1541" s="1">
        <f>'[1]Global_Spot Prices'!$B2850</f>
        <v>44160</v>
      </c>
      <c r="B1541">
        <f>_xlfn.XLOOKUP(A1541,'[1]Global_Spot Prices'!$B:$B,'[1]Global_Spot Prices'!$BS:$BS)</f>
        <v>2.1099999999999994</v>
      </c>
      <c r="C1541">
        <f>_xlfn.XLOOKUP(A1541,'[1]Global_Spot Prices'!$B:$B,'[1]Global_Spot Prices'!$E:$E)</f>
        <v>47.84</v>
      </c>
      <c r="D1541">
        <f>_xlfn.XLOOKUP(A1541,'[1]Global_Spot Prices'!$B:$B,'[1]Global_Spot Prices'!$D:$D)</f>
        <v>46.74</v>
      </c>
      <c r="E1541">
        <f>_xlfn.XLOOKUP(A1541,'[1]Global_Spot Prices'!$B:$B,'[1]Global_Spot Prices'!$H:$H)</f>
        <v>42.82</v>
      </c>
      <c r="F1541">
        <f>_xlfn.XLOOKUP(A1541,'[1]Global_Spot Prices'!$B:$B,'[1]Global_Spot Prices'!$I:$I)</f>
        <v>49.95</v>
      </c>
      <c r="G1541" cm="1">
        <f t="array" ref="G1541">_xlfn.XLOOKUP(TEXT(A1541, "mmm-yy"), TEXT([2]RUNS!$B$5:$B$208, "mmm-yy"), [2]RUNS!$D$5:$D$208, "Not Found")</f>
        <v>29655.226470247751</v>
      </c>
      <c r="H1541" cm="1">
        <f t="array" ref="H1541">SUMPRODUCT(
    --(TEXT('[3]Global Weekly Stock (EWSuez'!$B$4:$B$2000,"mmm-yy")=TEXT(A1541,"mmm-yy")),
    '[3]Global Weekly Stock (EWSuez'!$E$4:$E$2000)
/
SUMPRODUCT(
    --(TEXT('[3]Global Weekly Stock (EWSuez'!$B$4:$B$2000,"mmm-yy")=TEXT(A1541,"mmm-yy"))
)</f>
        <v>12635.5</v>
      </c>
      <c r="I1541">
        <f>_xlfn.XLOOKUP(A1541,[1]ForwardDeriv!$D:$D,[1]ForwardDeriv!$AJ:$AJ)</f>
        <v>-0.35000000000000142</v>
      </c>
      <c r="J1541" cm="1">
        <f t="array" ref="J1541">_xlfn.XLOOKUP(TEXT(A1541, "mmm-yy"), TEXT([2]GASOLINE!$B$5:$B$208, "mmm-yy"), [2]GASOLINE!$IR$5:$IR$208, "Not Found")</f>
        <v>-46.215436136665232</v>
      </c>
      <c r="K1541" cm="1">
        <f t="array" ref="K1541">_xlfn.XLOOKUP(TEXT(A1541, "mmm-yy"), TEXT([2]GASOLINE!$B$5:$B$208, "mmm-yy"), [2]GASOLINE!$IK$5:$IK$208, "Not Found")</f>
        <v>151.80123194363097</v>
      </c>
      <c r="L1541">
        <f t="shared" si="24"/>
        <v>0</v>
      </c>
      <c r="M1541" cm="1">
        <f t="array" ref="M1541">_xlfn.XLOOKUP(TEXT(A1541, "mmm-yy"), TEXT([2]GASOLINE!$B$5:$B$208, "mmm-yy"), [2]GASOLINE!$C$5:$C$208, "Not Found")</f>
        <v>7254.4404202348678</v>
      </c>
      <c r="N1541" cm="1">
        <f t="array" ref="N1541">_xlfn.XLOOKUP(TEXT(A1541, "mmm-yy"), TEXT([2]RUNS!$B$5:$B$208, "mmm-yy"), [2]RUNS!$BM$5:$BM$208, "Not Found")</f>
        <v>0.81001970664830447</v>
      </c>
    </row>
    <row r="1542" spans="1:14" x14ac:dyDescent="0.25">
      <c r="A1542" s="1">
        <f>'[1]Global_Spot Prices'!$B2851</f>
        <v>44161</v>
      </c>
      <c r="B1542">
        <f>_xlfn.XLOOKUP(A1542,'[1]Global_Spot Prices'!$B:$B,'[1]Global_Spot Prices'!$BS:$BS)</f>
        <v>2.0650000000000048</v>
      </c>
      <c r="C1542">
        <f>_xlfn.XLOOKUP(A1542,'[1]Global_Spot Prices'!$B:$B,'[1]Global_Spot Prices'!$E:$E)</f>
        <v>47.454999999999998</v>
      </c>
      <c r="D1542">
        <f>_xlfn.XLOOKUP(A1542,'[1]Global_Spot Prices'!$B:$B,'[1]Global_Spot Prices'!$D:$D)</f>
        <v>46.57</v>
      </c>
      <c r="E1542">
        <f>_xlfn.XLOOKUP(A1542,'[1]Global_Spot Prices'!$B:$B,'[1]Global_Spot Prices'!$H:$H)</f>
        <v>42.24</v>
      </c>
      <c r="F1542">
        <f>_xlfn.XLOOKUP(A1542,'[1]Global_Spot Prices'!$B:$B,'[1]Global_Spot Prices'!$I:$I)</f>
        <v>49.52</v>
      </c>
      <c r="G1542" cm="1">
        <f t="array" ref="G1542">_xlfn.XLOOKUP(TEXT(A1542, "mmm-yy"), TEXT([2]RUNS!$B$5:$B$208, "mmm-yy"), [2]RUNS!$D$5:$D$208, "Not Found")</f>
        <v>29655.226470247751</v>
      </c>
      <c r="H1542" cm="1">
        <f t="array" ref="H1542">SUMPRODUCT(
    --(TEXT('[3]Global Weekly Stock (EWSuez'!$B$4:$B$2000,"mmm-yy")=TEXT(A1542,"mmm-yy")),
    '[3]Global Weekly Stock (EWSuez'!$E$4:$E$2000)
/
SUMPRODUCT(
    --(TEXT('[3]Global Weekly Stock (EWSuez'!$B$4:$B$2000,"mmm-yy")=TEXT(A1542,"mmm-yy"))
)</f>
        <v>12635.5</v>
      </c>
      <c r="I1542">
        <f>_xlfn.XLOOKUP(A1542,[1]ForwardDeriv!$D:$D,[1]ForwardDeriv!$AJ:$AJ)</f>
        <v>-0.27999999999999403</v>
      </c>
      <c r="J1542" cm="1">
        <f t="array" ref="J1542">_xlfn.XLOOKUP(TEXT(A1542, "mmm-yy"), TEXT([2]GASOLINE!$B$5:$B$208, "mmm-yy"), [2]GASOLINE!$IR$5:$IR$208, "Not Found")</f>
        <v>-46.215436136665232</v>
      </c>
      <c r="K1542" cm="1">
        <f t="array" ref="K1542">_xlfn.XLOOKUP(TEXT(A1542, "mmm-yy"), TEXT([2]GASOLINE!$B$5:$B$208, "mmm-yy"), [2]GASOLINE!$IK$5:$IK$208, "Not Found")</f>
        <v>151.80123194363097</v>
      </c>
      <c r="L1542">
        <f t="shared" si="24"/>
        <v>0</v>
      </c>
      <c r="M1542" cm="1">
        <f t="array" ref="M1542">_xlfn.XLOOKUP(TEXT(A1542, "mmm-yy"), TEXT([2]GASOLINE!$B$5:$B$208, "mmm-yy"), [2]GASOLINE!$C$5:$C$208, "Not Found")</f>
        <v>7254.4404202348678</v>
      </c>
      <c r="N1542" cm="1">
        <f t="array" ref="N1542">_xlfn.XLOOKUP(TEXT(A1542, "mmm-yy"), TEXT([2]RUNS!$B$5:$B$208, "mmm-yy"), [2]RUNS!$BM$5:$BM$208, "Not Found")</f>
        <v>0.81001970664830447</v>
      </c>
    </row>
    <row r="1543" spans="1:14" x14ac:dyDescent="0.25">
      <c r="A1543" s="1">
        <f>'[1]Global_Spot Prices'!$B2852</f>
        <v>44162</v>
      </c>
      <c r="B1543">
        <f>_xlfn.XLOOKUP(A1543,'[1]Global_Spot Prices'!$B:$B,'[1]Global_Spot Prices'!$BS:$BS)</f>
        <v>2.6300000000000026</v>
      </c>
      <c r="C1543">
        <f>_xlfn.XLOOKUP(A1543,'[1]Global_Spot Prices'!$B:$B,'[1]Global_Spot Prices'!$E:$E)</f>
        <v>47.12</v>
      </c>
      <c r="D1543">
        <f>_xlfn.XLOOKUP(A1543,'[1]Global_Spot Prices'!$B:$B,'[1]Global_Spot Prices'!$D:$D)</f>
        <v>47.024999999999999</v>
      </c>
      <c r="E1543">
        <f>_xlfn.XLOOKUP(A1543,'[1]Global_Spot Prices'!$B:$B,'[1]Global_Spot Prices'!$H:$H)</f>
        <v>42.18</v>
      </c>
      <c r="F1543">
        <f>_xlfn.XLOOKUP(A1543,'[1]Global_Spot Prices'!$B:$B,'[1]Global_Spot Prices'!$I:$I)</f>
        <v>49.75</v>
      </c>
      <c r="G1543" cm="1">
        <f t="array" ref="G1543">_xlfn.XLOOKUP(TEXT(A1543, "mmm-yy"), TEXT([2]RUNS!$B$5:$B$208, "mmm-yy"), [2]RUNS!$D$5:$D$208, "Not Found")</f>
        <v>29655.226470247751</v>
      </c>
      <c r="H1543" cm="1">
        <f t="array" ref="H1543">SUMPRODUCT(
    --(TEXT('[3]Global Weekly Stock (EWSuez'!$B$4:$B$2000,"mmm-yy")=TEXT(A1543,"mmm-yy")),
    '[3]Global Weekly Stock (EWSuez'!$E$4:$E$2000)
/
SUMPRODUCT(
    --(TEXT('[3]Global Weekly Stock (EWSuez'!$B$4:$B$2000,"mmm-yy")=TEXT(A1543,"mmm-yy"))
)</f>
        <v>12635.5</v>
      </c>
      <c r="I1543">
        <f>_xlfn.XLOOKUP(A1543,[1]ForwardDeriv!$D:$D,[1]ForwardDeriv!$AJ:$AJ)</f>
        <v>-0.25999999999999801</v>
      </c>
      <c r="J1543" cm="1">
        <f t="array" ref="J1543">_xlfn.XLOOKUP(TEXT(A1543, "mmm-yy"), TEXT([2]GASOLINE!$B$5:$B$208, "mmm-yy"), [2]GASOLINE!$IR$5:$IR$208, "Not Found")</f>
        <v>-46.215436136665232</v>
      </c>
      <c r="K1543" cm="1">
        <f t="array" ref="K1543">_xlfn.XLOOKUP(TEXT(A1543, "mmm-yy"), TEXT([2]GASOLINE!$B$5:$B$208, "mmm-yy"), [2]GASOLINE!$IK$5:$IK$208, "Not Found")</f>
        <v>151.80123194363097</v>
      </c>
      <c r="L1543">
        <f t="shared" si="24"/>
        <v>0</v>
      </c>
      <c r="M1543" cm="1">
        <f t="array" ref="M1543">_xlfn.XLOOKUP(TEXT(A1543, "mmm-yy"), TEXT([2]GASOLINE!$B$5:$B$208, "mmm-yy"), [2]GASOLINE!$C$5:$C$208, "Not Found")</f>
        <v>7254.4404202348678</v>
      </c>
      <c r="N1543" cm="1">
        <f t="array" ref="N1543">_xlfn.XLOOKUP(TEXT(A1543, "mmm-yy"), TEXT([2]RUNS!$B$5:$B$208, "mmm-yy"), [2]RUNS!$BM$5:$BM$208, "Not Found")</f>
        <v>0.81001970664830447</v>
      </c>
    </row>
    <row r="1544" spans="1:14" x14ac:dyDescent="0.25">
      <c r="A1544" s="1">
        <f>'[1]Global_Spot Prices'!$B2853</f>
        <v>44165</v>
      </c>
      <c r="B1544">
        <f>_xlfn.XLOOKUP(A1544,'[1]Global_Spot Prices'!$B:$B,'[1]Global_Spot Prices'!$BS:$BS)</f>
        <v>2.1199999999999974</v>
      </c>
      <c r="C1544">
        <f>_xlfn.XLOOKUP(A1544,'[1]Global_Spot Prices'!$B:$B,'[1]Global_Spot Prices'!$E:$E)</f>
        <v>46.99</v>
      </c>
      <c r="D1544">
        <f>_xlfn.XLOOKUP(A1544,'[1]Global_Spot Prices'!$B:$B,'[1]Global_Spot Prices'!$D:$D)</f>
        <v>46.39</v>
      </c>
      <c r="E1544">
        <f>_xlfn.XLOOKUP(A1544,'[1]Global_Spot Prices'!$B:$B,'[1]Global_Spot Prices'!$H:$H)</f>
        <v>42.21</v>
      </c>
      <c r="F1544">
        <f>_xlfn.XLOOKUP(A1544,'[1]Global_Spot Prices'!$B:$B,'[1]Global_Spot Prices'!$I:$I)</f>
        <v>49.11</v>
      </c>
      <c r="G1544" cm="1">
        <f t="array" ref="G1544">_xlfn.XLOOKUP(TEXT(A1544, "mmm-yy"), TEXT([2]RUNS!$B$5:$B$208, "mmm-yy"), [2]RUNS!$D$5:$D$208, "Not Found")</f>
        <v>29655.226470247751</v>
      </c>
      <c r="H1544" cm="1">
        <f t="array" ref="H1544">SUMPRODUCT(
    --(TEXT('[3]Global Weekly Stock (EWSuez'!$B$4:$B$2000,"mmm-yy")=TEXT(A1544,"mmm-yy")),
    '[3]Global Weekly Stock (EWSuez'!$E$4:$E$2000)
/
SUMPRODUCT(
    --(TEXT('[3]Global Weekly Stock (EWSuez'!$B$4:$B$2000,"mmm-yy")=TEXT(A1544,"mmm-yy"))
)</f>
        <v>12635.5</v>
      </c>
      <c r="I1544">
        <f>_xlfn.XLOOKUP(A1544,[1]ForwardDeriv!$D:$D,[1]ForwardDeriv!$AJ:$AJ)</f>
        <v>-0.28999999999999915</v>
      </c>
      <c r="J1544" cm="1">
        <f t="array" ref="J1544">_xlfn.XLOOKUP(TEXT(A1544, "mmm-yy"), TEXT([2]GASOLINE!$B$5:$B$208, "mmm-yy"), [2]GASOLINE!$IR$5:$IR$208, "Not Found")</f>
        <v>-46.215436136665232</v>
      </c>
      <c r="K1544" cm="1">
        <f t="array" ref="K1544">_xlfn.XLOOKUP(TEXT(A1544, "mmm-yy"), TEXT([2]GASOLINE!$B$5:$B$208, "mmm-yy"), [2]GASOLINE!$IK$5:$IK$208, "Not Found")</f>
        <v>151.80123194363097</v>
      </c>
      <c r="L1544">
        <f t="shared" si="24"/>
        <v>0</v>
      </c>
      <c r="M1544" cm="1">
        <f t="array" ref="M1544">_xlfn.XLOOKUP(TEXT(A1544, "mmm-yy"), TEXT([2]GASOLINE!$B$5:$B$208, "mmm-yy"), [2]GASOLINE!$C$5:$C$208, "Not Found")</f>
        <v>7254.4404202348678</v>
      </c>
      <c r="N1544" cm="1">
        <f t="array" ref="N1544">_xlfn.XLOOKUP(TEXT(A1544, "mmm-yy"), TEXT([2]RUNS!$B$5:$B$208, "mmm-yy"), [2]RUNS!$BM$5:$BM$208, "Not Found")</f>
        <v>0.81001970664830447</v>
      </c>
    </row>
    <row r="1545" spans="1:14" x14ac:dyDescent="0.25">
      <c r="A1545" s="1">
        <f>'[1]Global_Spot Prices'!$B2854</f>
        <v>44166</v>
      </c>
      <c r="B1545">
        <f>_xlfn.XLOOKUP(A1545,'[1]Global_Spot Prices'!$B:$B,'[1]Global_Spot Prices'!$BS:$BS)</f>
        <v>1.8200000000000003</v>
      </c>
      <c r="C1545">
        <f>_xlfn.XLOOKUP(A1545,'[1]Global_Spot Prices'!$B:$B,'[1]Global_Spot Prices'!$E:$E)</f>
        <v>47.56</v>
      </c>
      <c r="D1545">
        <f>_xlfn.XLOOKUP(A1545,'[1]Global_Spot Prices'!$B:$B,'[1]Global_Spot Prices'!$D:$D)</f>
        <v>47.015000000000001</v>
      </c>
      <c r="E1545">
        <f>_xlfn.XLOOKUP(A1545,'[1]Global_Spot Prices'!$B:$B,'[1]Global_Spot Prices'!$H:$H)</f>
        <v>42.43</v>
      </c>
      <c r="F1545">
        <f>_xlfn.XLOOKUP(A1545,'[1]Global_Spot Prices'!$B:$B,'[1]Global_Spot Prices'!$I:$I)</f>
        <v>49.38</v>
      </c>
      <c r="G1545" cm="1">
        <f t="array" ref="G1545">_xlfn.XLOOKUP(TEXT(A1545, "mmm-yy"), TEXT([2]RUNS!$B$5:$B$208, "mmm-yy"), [2]RUNS!$D$5:$D$208, "Not Found")</f>
        <v>29877.491178077318</v>
      </c>
      <c r="H1545" cm="1">
        <f t="array" ref="H1545">SUMPRODUCT(
    --(TEXT('[3]Global Weekly Stock (EWSuez'!$B$4:$B$2000,"mmm-yy")=TEXT(A1545,"mmm-yy")),
    '[3]Global Weekly Stock (EWSuez'!$E$4:$E$2000)
/
SUMPRODUCT(
    --(TEXT('[3]Global Weekly Stock (EWSuez'!$B$4:$B$2000,"mmm-yy")=TEXT(A1545,"mmm-yy"))
)</f>
        <v>13146.5</v>
      </c>
      <c r="I1545">
        <f>_xlfn.XLOOKUP(A1545,[1]ForwardDeriv!$D:$D,[1]ForwardDeriv!$AJ:$AJ)</f>
        <v>-0.40999999999999659</v>
      </c>
      <c r="J1545" cm="1">
        <f t="array" ref="J1545">_xlfn.XLOOKUP(TEXT(A1545, "mmm-yy"), TEXT([2]GASOLINE!$B$5:$B$208, "mmm-yy"), [2]GASOLINE!$IR$5:$IR$208, "Not Found")</f>
        <v>-35.378211063437732</v>
      </c>
      <c r="K1545" cm="1">
        <f t="array" ref="K1545">_xlfn.XLOOKUP(TEXT(A1545, "mmm-yy"), TEXT([2]GASOLINE!$B$5:$B$208, "mmm-yy"), [2]GASOLINE!$IK$5:$IK$208, "Not Found")</f>
        <v>167.20326521314584</v>
      </c>
      <c r="L1545">
        <f t="shared" si="24"/>
        <v>0</v>
      </c>
      <c r="M1545" cm="1">
        <f t="array" ref="M1545">_xlfn.XLOOKUP(TEXT(A1545, "mmm-yy"), TEXT([2]GASOLINE!$B$5:$B$208, "mmm-yy"), [2]GASOLINE!$C$5:$C$208, "Not Found")</f>
        <v>7185.8206266621028</v>
      </c>
      <c r="N1545" cm="1">
        <f t="array" ref="N1545">_xlfn.XLOOKUP(TEXT(A1545, "mmm-yy"), TEXT([2]RUNS!$B$5:$B$208, "mmm-yy"), [2]RUNS!$BM$5:$BM$208, "Not Found")</f>
        <v>0.81819153473299244</v>
      </c>
    </row>
    <row r="1546" spans="1:14" x14ac:dyDescent="0.25">
      <c r="A1546" s="1">
        <f>'[1]Global_Spot Prices'!$B2855</f>
        <v>44167</v>
      </c>
      <c r="B1546">
        <f>_xlfn.XLOOKUP(A1546,'[1]Global_Spot Prices'!$B:$B,'[1]Global_Spot Prices'!$BS:$BS)</f>
        <v>1.7049999999999983</v>
      </c>
      <c r="C1546">
        <f>_xlfn.XLOOKUP(A1546,'[1]Global_Spot Prices'!$B:$B,'[1]Global_Spot Prices'!$E:$E)</f>
        <v>47.045000000000002</v>
      </c>
      <c r="D1546">
        <f>_xlfn.XLOOKUP(A1546,'[1]Global_Spot Prices'!$B:$B,'[1]Global_Spot Prices'!$D:$D)</f>
        <v>47.73</v>
      </c>
      <c r="E1546">
        <f>_xlfn.XLOOKUP(A1546,'[1]Global_Spot Prices'!$B:$B,'[1]Global_Spot Prices'!$H:$H)</f>
        <v>41.89</v>
      </c>
      <c r="F1546">
        <f>_xlfn.XLOOKUP(A1546,'[1]Global_Spot Prices'!$B:$B,'[1]Global_Spot Prices'!$I:$I)</f>
        <v>48.75</v>
      </c>
      <c r="G1546" cm="1">
        <f t="array" ref="G1546">_xlfn.XLOOKUP(TEXT(A1546, "mmm-yy"), TEXT([2]RUNS!$B$5:$B$208, "mmm-yy"), [2]RUNS!$D$5:$D$208, "Not Found")</f>
        <v>29877.491178077318</v>
      </c>
      <c r="H1546" cm="1">
        <f t="array" ref="H1546">SUMPRODUCT(
    --(TEXT('[3]Global Weekly Stock (EWSuez'!$B$4:$B$2000,"mmm-yy")=TEXT(A1546,"mmm-yy")),
    '[3]Global Weekly Stock (EWSuez'!$E$4:$E$2000)
/
SUMPRODUCT(
    --(TEXT('[3]Global Weekly Stock (EWSuez'!$B$4:$B$2000,"mmm-yy")=TEXT(A1546,"mmm-yy"))
)</f>
        <v>13146.5</v>
      </c>
      <c r="I1546">
        <f>_xlfn.XLOOKUP(A1546,[1]ForwardDeriv!$D:$D,[1]ForwardDeriv!$AJ:$AJ)</f>
        <v>-0.37999999999999545</v>
      </c>
      <c r="J1546" cm="1">
        <f t="array" ref="J1546">_xlfn.XLOOKUP(TEXT(A1546, "mmm-yy"), TEXT([2]GASOLINE!$B$5:$B$208, "mmm-yy"), [2]GASOLINE!$IR$5:$IR$208, "Not Found")</f>
        <v>-35.378211063437732</v>
      </c>
      <c r="K1546" cm="1">
        <f t="array" ref="K1546">_xlfn.XLOOKUP(TEXT(A1546, "mmm-yy"), TEXT([2]GASOLINE!$B$5:$B$208, "mmm-yy"), [2]GASOLINE!$IK$5:$IK$208, "Not Found")</f>
        <v>167.20326521314584</v>
      </c>
      <c r="L1546">
        <f t="shared" si="24"/>
        <v>0</v>
      </c>
      <c r="M1546" cm="1">
        <f t="array" ref="M1546">_xlfn.XLOOKUP(TEXT(A1546, "mmm-yy"), TEXT([2]GASOLINE!$B$5:$B$208, "mmm-yy"), [2]GASOLINE!$C$5:$C$208, "Not Found")</f>
        <v>7185.8206266621028</v>
      </c>
      <c r="N1546" cm="1">
        <f t="array" ref="N1546">_xlfn.XLOOKUP(TEXT(A1546, "mmm-yy"), TEXT([2]RUNS!$B$5:$B$208, "mmm-yy"), [2]RUNS!$BM$5:$BM$208, "Not Found")</f>
        <v>0.81819153473299244</v>
      </c>
    </row>
    <row r="1547" spans="1:14" x14ac:dyDescent="0.25">
      <c r="A1547" s="1">
        <f>'[1]Global_Spot Prices'!$B2856</f>
        <v>44168</v>
      </c>
      <c r="B1547">
        <f>_xlfn.XLOOKUP(A1547,'[1]Global_Spot Prices'!$B:$B,'[1]Global_Spot Prices'!$BS:$BS)</f>
        <v>1.5300000000000011</v>
      </c>
      <c r="C1547">
        <f>_xlfn.XLOOKUP(A1547,'[1]Global_Spot Prices'!$B:$B,'[1]Global_Spot Prices'!$E:$E)</f>
        <v>48.03</v>
      </c>
      <c r="D1547">
        <f>_xlfn.XLOOKUP(A1547,'[1]Global_Spot Prices'!$B:$B,'[1]Global_Spot Prices'!$D:$D)</f>
        <v>48.41</v>
      </c>
      <c r="E1547">
        <f>_xlfn.XLOOKUP(A1547,'[1]Global_Spot Prices'!$B:$B,'[1]Global_Spot Prices'!$H:$H)</f>
        <v>43.11</v>
      </c>
      <c r="F1547">
        <f>_xlfn.XLOOKUP(A1547,'[1]Global_Spot Prices'!$B:$B,'[1]Global_Spot Prices'!$I:$I)</f>
        <v>49.56</v>
      </c>
      <c r="G1547" cm="1">
        <f t="array" ref="G1547">_xlfn.XLOOKUP(TEXT(A1547, "mmm-yy"), TEXT([2]RUNS!$B$5:$B$208, "mmm-yy"), [2]RUNS!$D$5:$D$208, "Not Found")</f>
        <v>29877.491178077318</v>
      </c>
      <c r="H1547" cm="1">
        <f t="array" ref="H1547">SUMPRODUCT(
    --(TEXT('[3]Global Weekly Stock (EWSuez'!$B$4:$B$2000,"mmm-yy")=TEXT(A1547,"mmm-yy")),
    '[3]Global Weekly Stock (EWSuez'!$E$4:$E$2000)
/
SUMPRODUCT(
    --(TEXT('[3]Global Weekly Stock (EWSuez'!$B$4:$B$2000,"mmm-yy")=TEXT(A1547,"mmm-yy"))
)</f>
        <v>13146.5</v>
      </c>
      <c r="I1547">
        <f>_xlfn.XLOOKUP(A1547,[1]ForwardDeriv!$D:$D,[1]ForwardDeriv!$AJ:$AJ)</f>
        <v>-0.39999999999999858</v>
      </c>
      <c r="J1547" cm="1">
        <f t="array" ref="J1547">_xlfn.XLOOKUP(TEXT(A1547, "mmm-yy"), TEXT([2]GASOLINE!$B$5:$B$208, "mmm-yy"), [2]GASOLINE!$IR$5:$IR$208, "Not Found")</f>
        <v>-35.378211063437732</v>
      </c>
      <c r="K1547" cm="1">
        <f t="array" ref="K1547">_xlfn.XLOOKUP(TEXT(A1547, "mmm-yy"), TEXT([2]GASOLINE!$B$5:$B$208, "mmm-yy"), [2]GASOLINE!$IK$5:$IK$208, "Not Found")</f>
        <v>167.20326521314584</v>
      </c>
      <c r="L1547">
        <f t="shared" si="24"/>
        <v>0</v>
      </c>
      <c r="M1547" cm="1">
        <f t="array" ref="M1547">_xlfn.XLOOKUP(TEXT(A1547, "mmm-yy"), TEXT([2]GASOLINE!$B$5:$B$208, "mmm-yy"), [2]GASOLINE!$C$5:$C$208, "Not Found")</f>
        <v>7185.8206266621028</v>
      </c>
      <c r="N1547" cm="1">
        <f t="array" ref="N1547">_xlfn.XLOOKUP(TEXT(A1547, "mmm-yy"), TEXT([2]RUNS!$B$5:$B$208, "mmm-yy"), [2]RUNS!$BM$5:$BM$208, "Not Found")</f>
        <v>0.81819153473299244</v>
      </c>
    </row>
    <row r="1548" spans="1:14" x14ac:dyDescent="0.25">
      <c r="A1548" s="1">
        <f>'[1]Global_Spot Prices'!$B2857</f>
        <v>44169</v>
      </c>
      <c r="B1548">
        <f>_xlfn.XLOOKUP(A1548,'[1]Global_Spot Prices'!$B:$B,'[1]Global_Spot Prices'!$BS:$BS)</f>
        <v>2.1950000000000003</v>
      </c>
      <c r="C1548">
        <f>_xlfn.XLOOKUP(A1548,'[1]Global_Spot Prices'!$B:$B,'[1]Global_Spot Prices'!$E:$E)</f>
        <v>49.055</v>
      </c>
      <c r="D1548">
        <f>_xlfn.XLOOKUP(A1548,'[1]Global_Spot Prices'!$B:$B,'[1]Global_Spot Prices'!$D:$D)</f>
        <v>48.875</v>
      </c>
      <c r="E1548">
        <f>_xlfn.XLOOKUP(A1548,'[1]Global_Spot Prices'!$B:$B,'[1]Global_Spot Prices'!$H:$H)</f>
        <v>44.69</v>
      </c>
      <c r="F1548">
        <f>_xlfn.XLOOKUP(A1548,'[1]Global_Spot Prices'!$B:$B,'[1]Global_Spot Prices'!$I:$I)</f>
        <v>51.25</v>
      </c>
      <c r="G1548" cm="1">
        <f t="array" ref="G1548">_xlfn.XLOOKUP(TEXT(A1548, "mmm-yy"), TEXT([2]RUNS!$B$5:$B$208, "mmm-yy"), [2]RUNS!$D$5:$D$208, "Not Found")</f>
        <v>29877.491178077318</v>
      </c>
      <c r="H1548" cm="1">
        <f t="array" ref="H1548">SUMPRODUCT(
    --(TEXT('[3]Global Weekly Stock (EWSuez'!$B$4:$B$2000,"mmm-yy")=TEXT(A1548,"mmm-yy")),
    '[3]Global Weekly Stock (EWSuez'!$E$4:$E$2000)
/
SUMPRODUCT(
    --(TEXT('[3]Global Weekly Stock (EWSuez'!$B$4:$B$2000,"mmm-yy")=TEXT(A1548,"mmm-yy"))
)</f>
        <v>13146.5</v>
      </c>
      <c r="I1548">
        <f>_xlfn.XLOOKUP(A1548,[1]ForwardDeriv!$D:$D,[1]ForwardDeriv!$AJ:$AJ)</f>
        <v>-0.38000000000000256</v>
      </c>
      <c r="J1548" cm="1">
        <f t="array" ref="J1548">_xlfn.XLOOKUP(TEXT(A1548, "mmm-yy"), TEXT([2]GASOLINE!$B$5:$B$208, "mmm-yy"), [2]GASOLINE!$IR$5:$IR$208, "Not Found")</f>
        <v>-35.378211063437732</v>
      </c>
      <c r="K1548" cm="1">
        <f t="array" ref="K1548">_xlfn.XLOOKUP(TEXT(A1548, "mmm-yy"), TEXT([2]GASOLINE!$B$5:$B$208, "mmm-yy"), [2]GASOLINE!$IK$5:$IK$208, "Not Found")</f>
        <v>167.20326521314584</v>
      </c>
      <c r="L1548">
        <f t="shared" si="24"/>
        <v>0</v>
      </c>
      <c r="M1548" cm="1">
        <f t="array" ref="M1548">_xlfn.XLOOKUP(TEXT(A1548, "mmm-yy"), TEXT([2]GASOLINE!$B$5:$B$208, "mmm-yy"), [2]GASOLINE!$C$5:$C$208, "Not Found")</f>
        <v>7185.8206266621028</v>
      </c>
      <c r="N1548" cm="1">
        <f t="array" ref="N1548">_xlfn.XLOOKUP(TEXT(A1548, "mmm-yy"), TEXT([2]RUNS!$B$5:$B$208, "mmm-yy"), [2]RUNS!$BM$5:$BM$208, "Not Found")</f>
        <v>0.81819153473299244</v>
      </c>
    </row>
    <row r="1549" spans="1:14" x14ac:dyDescent="0.25">
      <c r="A1549" s="1">
        <f>'[1]Global_Spot Prices'!$B2858</f>
        <v>44172</v>
      </c>
      <c r="B1549">
        <f>_xlfn.XLOOKUP(A1549,'[1]Global_Spot Prices'!$B:$B,'[1]Global_Spot Prices'!$BS:$BS)</f>
        <v>1.904999999999994</v>
      </c>
      <c r="C1549">
        <f>_xlfn.XLOOKUP(A1549,'[1]Global_Spot Prices'!$B:$B,'[1]Global_Spot Prices'!$E:$E)</f>
        <v>48.255000000000003</v>
      </c>
      <c r="D1549">
        <f>_xlfn.XLOOKUP(A1549,'[1]Global_Spot Prices'!$B:$B,'[1]Global_Spot Prices'!$D:$D)</f>
        <v>48.83</v>
      </c>
      <c r="E1549">
        <f>_xlfn.XLOOKUP(A1549,'[1]Global_Spot Prices'!$B:$B,'[1]Global_Spot Prices'!$H:$H)</f>
        <v>44.4</v>
      </c>
      <c r="F1549">
        <f>_xlfn.XLOOKUP(A1549,'[1]Global_Spot Prices'!$B:$B,'[1]Global_Spot Prices'!$I:$I)</f>
        <v>50.16</v>
      </c>
      <c r="G1549" cm="1">
        <f t="array" ref="G1549">_xlfn.XLOOKUP(TEXT(A1549, "mmm-yy"), TEXT([2]RUNS!$B$5:$B$208, "mmm-yy"), [2]RUNS!$D$5:$D$208, "Not Found")</f>
        <v>29877.491178077318</v>
      </c>
      <c r="H1549" cm="1">
        <f t="array" ref="H1549">SUMPRODUCT(
    --(TEXT('[3]Global Weekly Stock (EWSuez'!$B$4:$B$2000,"mmm-yy")=TEXT(A1549,"mmm-yy")),
    '[3]Global Weekly Stock (EWSuez'!$E$4:$E$2000)
/
SUMPRODUCT(
    --(TEXT('[3]Global Weekly Stock (EWSuez'!$B$4:$B$2000,"mmm-yy")=TEXT(A1549,"mmm-yy"))
)</f>
        <v>13146.5</v>
      </c>
      <c r="I1549">
        <f>_xlfn.XLOOKUP(A1549,[1]ForwardDeriv!$D:$D,[1]ForwardDeriv!$AJ:$AJ)</f>
        <v>-0.37999999999999545</v>
      </c>
      <c r="J1549" cm="1">
        <f t="array" ref="J1549">_xlfn.XLOOKUP(TEXT(A1549, "mmm-yy"), TEXT([2]GASOLINE!$B$5:$B$208, "mmm-yy"), [2]GASOLINE!$IR$5:$IR$208, "Not Found")</f>
        <v>-35.378211063437732</v>
      </c>
      <c r="K1549" cm="1">
        <f t="array" ref="K1549">_xlfn.XLOOKUP(TEXT(A1549, "mmm-yy"), TEXT([2]GASOLINE!$B$5:$B$208, "mmm-yy"), [2]GASOLINE!$IK$5:$IK$208, "Not Found")</f>
        <v>167.20326521314584</v>
      </c>
      <c r="L1549">
        <f t="shared" si="24"/>
        <v>0</v>
      </c>
      <c r="M1549" cm="1">
        <f t="array" ref="M1549">_xlfn.XLOOKUP(TEXT(A1549, "mmm-yy"), TEXT([2]GASOLINE!$B$5:$B$208, "mmm-yy"), [2]GASOLINE!$C$5:$C$208, "Not Found")</f>
        <v>7185.8206266621028</v>
      </c>
      <c r="N1549" cm="1">
        <f t="array" ref="N1549">_xlfn.XLOOKUP(TEXT(A1549, "mmm-yy"), TEXT([2]RUNS!$B$5:$B$208, "mmm-yy"), [2]RUNS!$BM$5:$BM$208, "Not Found")</f>
        <v>0.81819153473299244</v>
      </c>
    </row>
    <row r="1550" spans="1:14" x14ac:dyDescent="0.25">
      <c r="A1550" s="1">
        <f>'[1]Global_Spot Prices'!$B2859</f>
        <v>44173</v>
      </c>
      <c r="B1550">
        <f>_xlfn.XLOOKUP(A1550,'[1]Global_Spot Prices'!$B:$B,'[1]Global_Spot Prices'!$BS:$BS)</f>
        <v>1.730000000000004</v>
      </c>
      <c r="C1550">
        <f>_xlfn.XLOOKUP(A1550,'[1]Global_Spot Prices'!$B:$B,'[1]Global_Spot Prices'!$E:$E)</f>
        <v>48.29</v>
      </c>
      <c r="D1550">
        <f>_xlfn.XLOOKUP(A1550,'[1]Global_Spot Prices'!$B:$B,'[1]Global_Spot Prices'!$D:$D)</f>
        <v>48.685000000000002</v>
      </c>
      <c r="E1550">
        <f>_xlfn.XLOOKUP(A1550,'[1]Global_Spot Prices'!$B:$B,'[1]Global_Spot Prices'!$H:$H)</f>
        <v>45.12</v>
      </c>
      <c r="F1550">
        <f>_xlfn.XLOOKUP(A1550,'[1]Global_Spot Prices'!$B:$B,'[1]Global_Spot Prices'!$I:$I)</f>
        <v>50.02</v>
      </c>
      <c r="G1550" cm="1">
        <f t="array" ref="G1550">_xlfn.XLOOKUP(TEXT(A1550, "mmm-yy"), TEXT([2]RUNS!$B$5:$B$208, "mmm-yy"), [2]RUNS!$D$5:$D$208, "Not Found")</f>
        <v>29877.491178077318</v>
      </c>
      <c r="H1550" cm="1">
        <f t="array" ref="H1550">SUMPRODUCT(
    --(TEXT('[3]Global Weekly Stock (EWSuez'!$B$4:$B$2000,"mmm-yy")=TEXT(A1550,"mmm-yy")),
    '[3]Global Weekly Stock (EWSuez'!$E$4:$E$2000)
/
SUMPRODUCT(
    --(TEXT('[3]Global Weekly Stock (EWSuez'!$B$4:$B$2000,"mmm-yy")=TEXT(A1550,"mmm-yy"))
)</f>
        <v>13146.5</v>
      </c>
      <c r="I1550">
        <f>_xlfn.XLOOKUP(A1550,[1]ForwardDeriv!$D:$D,[1]ForwardDeriv!$AJ:$AJ)</f>
        <v>-0.42999999999999972</v>
      </c>
      <c r="J1550" cm="1">
        <f t="array" ref="J1550">_xlfn.XLOOKUP(TEXT(A1550, "mmm-yy"), TEXT([2]GASOLINE!$B$5:$B$208, "mmm-yy"), [2]GASOLINE!$IR$5:$IR$208, "Not Found")</f>
        <v>-35.378211063437732</v>
      </c>
      <c r="K1550" cm="1">
        <f t="array" ref="K1550">_xlfn.XLOOKUP(TEXT(A1550, "mmm-yy"), TEXT([2]GASOLINE!$B$5:$B$208, "mmm-yy"), [2]GASOLINE!$IK$5:$IK$208, "Not Found")</f>
        <v>167.20326521314584</v>
      </c>
      <c r="L1550">
        <f t="shared" si="24"/>
        <v>0</v>
      </c>
      <c r="M1550" cm="1">
        <f t="array" ref="M1550">_xlfn.XLOOKUP(TEXT(A1550, "mmm-yy"), TEXT([2]GASOLINE!$B$5:$B$208, "mmm-yy"), [2]GASOLINE!$C$5:$C$208, "Not Found")</f>
        <v>7185.8206266621028</v>
      </c>
      <c r="N1550" cm="1">
        <f t="array" ref="N1550">_xlfn.XLOOKUP(TEXT(A1550, "mmm-yy"), TEXT([2]RUNS!$B$5:$B$208, "mmm-yy"), [2]RUNS!$BM$5:$BM$208, "Not Found")</f>
        <v>0.81819153473299244</v>
      </c>
    </row>
    <row r="1551" spans="1:14" x14ac:dyDescent="0.25">
      <c r="A1551" s="1">
        <f>'[1]Global_Spot Prices'!$B2860</f>
        <v>44174</v>
      </c>
      <c r="B1551">
        <f>_xlfn.XLOOKUP(A1551,'[1]Global_Spot Prices'!$B:$B,'[1]Global_Spot Prices'!$BS:$BS)</f>
        <v>2.2800000000000011</v>
      </c>
      <c r="C1551">
        <f>_xlfn.XLOOKUP(A1551,'[1]Global_Spot Prices'!$B:$B,'[1]Global_Spot Prices'!$E:$E)</f>
        <v>49.11</v>
      </c>
      <c r="D1551">
        <f>_xlfn.XLOOKUP(A1551,'[1]Global_Spot Prices'!$B:$B,'[1]Global_Spot Prices'!$D:$D)</f>
        <v>48.44</v>
      </c>
      <c r="E1551">
        <f>_xlfn.XLOOKUP(A1551,'[1]Global_Spot Prices'!$B:$B,'[1]Global_Spot Prices'!$H:$H)</f>
        <v>46.04</v>
      </c>
      <c r="F1551">
        <f>_xlfn.XLOOKUP(A1551,'[1]Global_Spot Prices'!$B:$B,'[1]Global_Spot Prices'!$I:$I)</f>
        <v>51.39</v>
      </c>
      <c r="G1551" cm="1">
        <f t="array" ref="G1551">_xlfn.XLOOKUP(TEXT(A1551, "mmm-yy"), TEXT([2]RUNS!$B$5:$B$208, "mmm-yy"), [2]RUNS!$D$5:$D$208, "Not Found")</f>
        <v>29877.491178077318</v>
      </c>
      <c r="H1551" cm="1">
        <f t="array" ref="H1551">SUMPRODUCT(
    --(TEXT('[3]Global Weekly Stock (EWSuez'!$B$4:$B$2000,"mmm-yy")=TEXT(A1551,"mmm-yy")),
    '[3]Global Weekly Stock (EWSuez'!$E$4:$E$2000)
/
SUMPRODUCT(
    --(TEXT('[3]Global Weekly Stock (EWSuez'!$B$4:$B$2000,"mmm-yy")=TEXT(A1551,"mmm-yy"))
)</f>
        <v>13146.5</v>
      </c>
      <c r="I1551">
        <f>_xlfn.XLOOKUP(A1551,[1]ForwardDeriv!$D:$D,[1]ForwardDeriv!$AJ:$AJ)</f>
        <v>-0.38000000000000256</v>
      </c>
      <c r="J1551" cm="1">
        <f t="array" ref="J1551">_xlfn.XLOOKUP(TEXT(A1551, "mmm-yy"), TEXT([2]GASOLINE!$B$5:$B$208, "mmm-yy"), [2]GASOLINE!$IR$5:$IR$208, "Not Found")</f>
        <v>-35.378211063437732</v>
      </c>
      <c r="K1551" cm="1">
        <f t="array" ref="K1551">_xlfn.XLOOKUP(TEXT(A1551, "mmm-yy"), TEXT([2]GASOLINE!$B$5:$B$208, "mmm-yy"), [2]GASOLINE!$IK$5:$IK$208, "Not Found")</f>
        <v>167.20326521314584</v>
      </c>
      <c r="L1551">
        <f t="shared" si="24"/>
        <v>0</v>
      </c>
      <c r="M1551" cm="1">
        <f t="array" ref="M1551">_xlfn.XLOOKUP(TEXT(A1551, "mmm-yy"), TEXT([2]GASOLINE!$B$5:$B$208, "mmm-yy"), [2]GASOLINE!$C$5:$C$208, "Not Found")</f>
        <v>7185.8206266621028</v>
      </c>
      <c r="N1551" cm="1">
        <f t="array" ref="N1551">_xlfn.XLOOKUP(TEXT(A1551, "mmm-yy"), TEXT([2]RUNS!$B$5:$B$208, "mmm-yy"), [2]RUNS!$BM$5:$BM$208, "Not Found")</f>
        <v>0.81819153473299244</v>
      </c>
    </row>
    <row r="1552" spans="1:14" x14ac:dyDescent="0.25">
      <c r="A1552" s="1">
        <f>'[1]Global_Spot Prices'!$B2861</f>
        <v>44175</v>
      </c>
      <c r="B1552">
        <f>_xlfn.XLOOKUP(A1552,'[1]Global_Spot Prices'!$B:$B,'[1]Global_Spot Prices'!$BS:$BS)</f>
        <v>2.3250000000000028</v>
      </c>
      <c r="C1552">
        <f>_xlfn.XLOOKUP(A1552,'[1]Global_Spot Prices'!$B:$B,'[1]Global_Spot Prices'!$E:$E)</f>
        <v>48.994999999999997</v>
      </c>
      <c r="D1552">
        <f>_xlfn.XLOOKUP(A1552,'[1]Global_Spot Prices'!$B:$B,'[1]Global_Spot Prices'!$D:$D)</f>
        <v>50.92</v>
      </c>
      <c r="E1552">
        <f>_xlfn.XLOOKUP(A1552,'[1]Global_Spot Prices'!$B:$B,'[1]Global_Spot Prices'!$H:$H)</f>
        <v>46.4</v>
      </c>
      <c r="F1552">
        <f>_xlfn.XLOOKUP(A1552,'[1]Global_Spot Prices'!$B:$B,'[1]Global_Spot Prices'!$I:$I)</f>
        <v>51.32</v>
      </c>
      <c r="G1552" cm="1">
        <f t="array" ref="G1552">_xlfn.XLOOKUP(TEXT(A1552, "mmm-yy"), TEXT([2]RUNS!$B$5:$B$208, "mmm-yy"), [2]RUNS!$D$5:$D$208, "Not Found")</f>
        <v>29877.491178077318</v>
      </c>
      <c r="H1552" cm="1">
        <f t="array" ref="H1552">SUMPRODUCT(
    --(TEXT('[3]Global Weekly Stock (EWSuez'!$B$4:$B$2000,"mmm-yy")=TEXT(A1552,"mmm-yy")),
    '[3]Global Weekly Stock (EWSuez'!$E$4:$E$2000)
/
SUMPRODUCT(
    --(TEXT('[3]Global Weekly Stock (EWSuez'!$B$4:$B$2000,"mmm-yy")=TEXT(A1552,"mmm-yy"))
)</f>
        <v>13146.5</v>
      </c>
      <c r="I1552">
        <f>_xlfn.XLOOKUP(A1552,[1]ForwardDeriv!$D:$D,[1]ForwardDeriv!$AJ:$AJ)</f>
        <v>-0.32999999999999829</v>
      </c>
      <c r="J1552" cm="1">
        <f t="array" ref="J1552">_xlfn.XLOOKUP(TEXT(A1552, "mmm-yy"), TEXT([2]GASOLINE!$B$5:$B$208, "mmm-yy"), [2]GASOLINE!$IR$5:$IR$208, "Not Found")</f>
        <v>-35.378211063437732</v>
      </c>
      <c r="K1552" cm="1">
        <f t="array" ref="K1552">_xlfn.XLOOKUP(TEXT(A1552, "mmm-yy"), TEXT([2]GASOLINE!$B$5:$B$208, "mmm-yy"), [2]GASOLINE!$IK$5:$IK$208, "Not Found")</f>
        <v>167.20326521314584</v>
      </c>
      <c r="L1552">
        <f t="shared" si="24"/>
        <v>0</v>
      </c>
      <c r="M1552" cm="1">
        <f t="array" ref="M1552">_xlfn.XLOOKUP(TEXT(A1552, "mmm-yy"), TEXT([2]GASOLINE!$B$5:$B$208, "mmm-yy"), [2]GASOLINE!$C$5:$C$208, "Not Found")</f>
        <v>7185.8206266621028</v>
      </c>
      <c r="N1552" cm="1">
        <f t="array" ref="N1552">_xlfn.XLOOKUP(TEXT(A1552, "mmm-yy"), TEXT([2]RUNS!$B$5:$B$208, "mmm-yy"), [2]RUNS!$BM$5:$BM$208, "Not Found")</f>
        <v>0.81819153473299244</v>
      </c>
    </row>
    <row r="1553" spans="1:14" x14ac:dyDescent="0.25">
      <c r="A1553" s="1">
        <f>'[1]Global_Spot Prices'!$B2862</f>
        <v>44176</v>
      </c>
      <c r="B1553">
        <f>_xlfn.XLOOKUP(A1553,'[1]Global_Spot Prices'!$B:$B,'[1]Global_Spot Prices'!$BS:$BS)</f>
        <v>2.5650000000000048</v>
      </c>
      <c r="C1553">
        <f>_xlfn.XLOOKUP(A1553,'[1]Global_Spot Prices'!$B:$B,'[1]Global_Spot Prices'!$E:$E)</f>
        <v>50.454999999999998</v>
      </c>
      <c r="D1553">
        <f>_xlfn.XLOOKUP(A1553,'[1]Global_Spot Prices'!$B:$B,'[1]Global_Spot Prices'!$D:$D)</f>
        <v>50.03</v>
      </c>
      <c r="E1553">
        <f>_xlfn.XLOOKUP(A1553,'[1]Global_Spot Prices'!$B:$B,'[1]Global_Spot Prices'!$H:$H)</f>
        <v>47.57</v>
      </c>
      <c r="F1553">
        <f>_xlfn.XLOOKUP(A1553,'[1]Global_Spot Prices'!$B:$B,'[1]Global_Spot Prices'!$I:$I)</f>
        <v>53.02</v>
      </c>
      <c r="G1553" cm="1">
        <f t="array" ref="G1553">_xlfn.XLOOKUP(TEXT(A1553, "mmm-yy"), TEXT([2]RUNS!$B$5:$B$208, "mmm-yy"), [2]RUNS!$D$5:$D$208, "Not Found")</f>
        <v>29877.491178077318</v>
      </c>
      <c r="H1553" cm="1">
        <f t="array" ref="H1553">SUMPRODUCT(
    --(TEXT('[3]Global Weekly Stock (EWSuez'!$B$4:$B$2000,"mmm-yy")=TEXT(A1553,"mmm-yy")),
    '[3]Global Weekly Stock (EWSuez'!$E$4:$E$2000)
/
SUMPRODUCT(
    --(TEXT('[3]Global Weekly Stock (EWSuez'!$B$4:$B$2000,"mmm-yy")=TEXT(A1553,"mmm-yy"))
)</f>
        <v>13146.5</v>
      </c>
      <c r="I1553">
        <f>_xlfn.XLOOKUP(A1553,[1]ForwardDeriv!$D:$D,[1]ForwardDeriv!$AJ:$AJ)</f>
        <v>-0.25</v>
      </c>
      <c r="J1553" cm="1">
        <f t="array" ref="J1553">_xlfn.XLOOKUP(TEXT(A1553, "mmm-yy"), TEXT([2]GASOLINE!$B$5:$B$208, "mmm-yy"), [2]GASOLINE!$IR$5:$IR$208, "Not Found")</f>
        <v>-35.378211063437732</v>
      </c>
      <c r="K1553" cm="1">
        <f t="array" ref="K1553">_xlfn.XLOOKUP(TEXT(A1553, "mmm-yy"), TEXT([2]GASOLINE!$B$5:$B$208, "mmm-yy"), [2]GASOLINE!$IK$5:$IK$208, "Not Found")</f>
        <v>167.20326521314584</v>
      </c>
      <c r="L1553">
        <f t="shared" si="24"/>
        <v>0</v>
      </c>
      <c r="M1553" cm="1">
        <f t="array" ref="M1553">_xlfn.XLOOKUP(TEXT(A1553, "mmm-yy"), TEXT([2]GASOLINE!$B$5:$B$208, "mmm-yy"), [2]GASOLINE!$C$5:$C$208, "Not Found")</f>
        <v>7185.8206266621028</v>
      </c>
      <c r="N1553" cm="1">
        <f t="array" ref="N1553">_xlfn.XLOOKUP(TEXT(A1553, "mmm-yy"), TEXT([2]RUNS!$B$5:$B$208, "mmm-yy"), [2]RUNS!$BM$5:$BM$208, "Not Found")</f>
        <v>0.81819153473299244</v>
      </c>
    </row>
    <row r="1554" spans="1:14" x14ac:dyDescent="0.25">
      <c r="A1554" s="1">
        <f>'[1]Global_Spot Prices'!$B2863</f>
        <v>44179</v>
      </c>
      <c r="B1554">
        <f>_xlfn.XLOOKUP(A1554,'[1]Global_Spot Prices'!$B:$B,'[1]Global_Spot Prices'!$BS:$BS)</f>
        <v>2.7999999999999972</v>
      </c>
      <c r="C1554">
        <f>_xlfn.XLOOKUP(A1554,'[1]Global_Spot Prices'!$B:$B,'[1]Global_Spot Prices'!$E:$E)</f>
        <v>50.6</v>
      </c>
      <c r="D1554">
        <f>_xlfn.XLOOKUP(A1554,'[1]Global_Spot Prices'!$B:$B,'[1]Global_Spot Prices'!$D:$D)</f>
        <v>49.59</v>
      </c>
      <c r="E1554">
        <f>_xlfn.XLOOKUP(A1554,'[1]Global_Spot Prices'!$B:$B,'[1]Global_Spot Prices'!$H:$H)</f>
        <v>47.71</v>
      </c>
      <c r="F1554">
        <f>_xlfn.XLOOKUP(A1554,'[1]Global_Spot Prices'!$B:$B,'[1]Global_Spot Prices'!$I:$I)</f>
        <v>53.4</v>
      </c>
      <c r="G1554" cm="1">
        <f t="array" ref="G1554">_xlfn.XLOOKUP(TEXT(A1554, "mmm-yy"), TEXT([2]RUNS!$B$5:$B$208, "mmm-yy"), [2]RUNS!$D$5:$D$208, "Not Found")</f>
        <v>29877.491178077318</v>
      </c>
      <c r="H1554" cm="1">
        <f t="array" ref="H1554">SUMPRODUCT(
    --(TEXT('[3]Global Weekly Stock (EWSuez'!$B$4:$B$2000,"mmm-yy")=TEXT(A1554,"mmm-yy")),
    '[3]Global Weekly Stock (EWSuez'!$E$4:$E$2000)
/
SUMPRODUCT(
    --(TEXT('[3]Global Weekly Stock (EWSuez'!$B$4:$B$2000,"mmm-yy")=TEXT(A1554,"mmm-yy"))
)</f>
        <v>13146.5</v>
      </c>
      <c r="I1554">
        <f>_xlfn.XLOOKUP(A1554,[1]ForwardDeriv!$D:$D,[1]ForwardDeriv!$AJ:$AJ)</f>
        <v>-0.27000000000000313</v>
      </c>
      <c r="J1554" cm="1">
        <f t="array" ref="J1554">_xlfn.XLOOKUP(TEXT(A1554, "mmm-yy"), TEXT([2]GASOLINE!$B$5:$B$208, "mmm-yy"), [2]GASOLINE!$IR$5:$IR$208, "Not Found")</f>
        <v>-35.378211063437732</v>
      </c>
      <c r="K1554" cm="1">
        <f t="array" ref="K1554">_xlfn.XLOOKUP(TEXT(A1554, "mmm-yy"), TEXT([2]GASOLINE!$B$5:$B$208, "mmm-yy"), [2]GASOLINE!$IK$5:$IK$208, "Not Found")</f>
        <v>167.20326521314584</v>
      </c>
      <c r="L1554">
        <f t="shared" si="24"/>
        <v>0</v>
      </c>
      <c r="M1554" cm="1">
        <f t="array" ref="M1554">_xlfn.XLOOKUP(TEXT(A1554, "mmm-yy"), TEXT([2]GASOLINE!$B$5:$B$208, "mmm-yy"), [2]GASOLINE!$C$5:$C$208, "Not Found")</f>
        <v>7185.8206266621028</v>
      </c>
      <c r="N1554" cm="1">
        <f t="array" ref="N1554">_xlfn.XLOOKUP(TEXT(A1554, "mmm-yy"), TEXT([2]RUNS!$B$5:$B$208, "mmm-yy"), [2]RUNS!$BM$5:$BM$208, "Not Found")</f>
        <v>0.81819153473299244</v>
      </c>
    </row>
    <row r="1555" spans="1:14" x14ac:dyDescent="0.25">
      <c r="A1555" s="1">
        <f>'[1]Global_Spot Prices'!$B2864</f>
        <v>44180</v>
      </c>
      <c r="B1555">
        <f>_xlfn.XLOOKUP(A1555,'[1]Global_Spot Prices'!$B:$B,'[1]Global_Spot Prices'!$BS:$BS)</f>
        <v>2.2749999999999986</v>
      </c>
      <c r="C1555">
        <f>_xlfn.XLOOKUP(A1555,'[1]Global_Spot Prices'!$B:$B,'[1]Global_Spot Prices'!$E:$E)</f>
        <v>50.155000000000001</v>
      </c>
      <c r="D1555">
        <f>_xlfn.XLOOKUP(A1555,'[1]Global_Spot Prices'!$B:$B,'[1]Global_Spot Prices'!$D:$D)</f>
        <v>50.674999999999997</v>
      </c>
      <c r="E1555">
        <f>_xlfn.XLOOKUP(A1555,'[1]Global_Spot Prices'!$B:$B,'[1]Global_Spot Prices'!$H:$H)</f>
        <v>47.35</v>
      </c>
      <c r="F1555">
        <f>_xlfn.XLOOKUP(A1555,'[1]Global_Spot Prices'!$B:$B,'[1]Global_Spot Prices'!$I:$I)</f>
        <v>52.43</v>
      </c>
      <c r="G1555" cm="1">
        <f t="array" ref="G1555">_xlfn.XLOOKUP(TEXT(A1555, "mmm-yy"), TEXT([2]RUNS!$B$5:$B$208, "mmm-yy"), [2]RUNS!$D$5:$D$208, "Not Found")</f>
        <v>29877.491178077318</v>
      </c>
      <c r="H1555" cm="1">
        <f t="array" ref="H1555">SUMPRODUCT(
    --(TEXT('[3]Global Weekly Stock (EWSuez'!$B$4:$B$2000,"mmm-yy")=TEXT(A1555,"mmm-yy")),
    '[3]Global Weekly Stock (EWSuez'!$E$4:$E$2000)
/
SUMPRODUCT(
    --(TEXT('[3]Global Weekly Stock (EWSuez'!$B$4:$B$2000,"mmm-yy")=TEXT(A1555,"mmm-yy"))
)</f>
        <v>13146.5</v>
      </c>
      <c r="I1555">
        <f>_xlfn.XLOOKUP(A1555,[1]ForwardDeriv!$D:$D,[1]ForwardDeriv!$AJ:$AJ)</f>
        <v>-0.29999999999999716</v>
      </c>
      <c r="J1555" cm="1">
        <f t="array" ref="J1555">_xlfn.XLOOKUP(TEXT(A1555, "mmm-yy"), TEXT([2]GASOLINE!$B$5:$B$208, "mmm-yy"), [2]GASOLINE!$IR$5:$IR$208, "Not Found")</f>
        <v>-35.378211063437732</v>
      </c>
      <c r="K1555" cm="1">
        <f t="array" ref="K1555">_xlfn.XLOOKUP(TEXT(A1555, "mmm-yy"), TEXT([2]GASOLINE!$B$5:$B$208, "mmm-yy"), [2]GASOLINE!$IK$5:$IK$208, "Not Found")</f>
        <v>167.20326521314584</v>
      </c>
      <c r="L1555">
        <f t="shared" si="24"/>
        <v>0</v>
      </c>
      <c r="M1555" cm="1">
        <f t="array" ref="M1555">_xlfn.XLOOKUP(TEXT(A1555, "mmm-yy"), TEXT([2]GASOLINE!$B$5:$B$208, "mmm-yy"), [2]GASOLINE!$C$5:$C$208, "Not Found")</f>
        <v>7185.8206266621028</v>
      </c>
      <c r="N1555" cm="1">
        <f t="array" ref="N1555">_xlfn.XLOOKUP(TEXT(A1555, "mmm-yy"), TEXT([2]RUNS!$B$5:$B$208, "mmm-yy"), [2]RUNS!$BM$5:$BM$208, "Not Found")</f>
        <v>0.81819153473299244</v>
      </c>
    </row>
    <row r="1556" spans="1:14" x14ac:dyDescent="0.25">
      <c r="A1556" s="1">
        <f>'[1]Global_Spot Prices'!$B2865</f>
        <v>44181</v>
      </c>
      <c r="B1556">
        <f>_xlfn.XLOOKUP(A1556,'[1]Global_Spot Prices'!$B:$B,'[1]Global_Spot Prices'!$BS:$BS)</f>
        <v>1.75</v>
      </c>
      <c r="C1556">
        <f>_xlfn.XLOOKUP(A1556,'[1]Global_Spot Prices'!$B:$B,'[1]Global_Spot Prices'!$E:$E)</f>
        <v>50.8</v>
      </c>
      <c r="D1556">
        <f>_xlfn.XLOOKUP(A1556,'[1]Global_Spot Prices'!$B:$B,'[1]Global_Spot Prices'!$D:$D)</f>
        <v>50.645000000000003</v>
      </c>
      <c r="E1556">
        <f>_xlfn.XLOOKUP(A1556,'[1]Global_Spot Prices'!$B:$B,'[1]Global_Spot Prices'!$H:$H)</f>
        <v>48.66</v>
      </c>
      <c r="F1556">
        <f>_xlfn.XLOOKUP(A1556,'[1]Global_Spot Prices'!$B:$B,'[1]Global_Spot Prices'!$I:$I)</f>
        <v>52.55</v>
      </c>
      <c r="G1556" cm="1">
        <f t="array" ref="G1556">_xlfn.XLOOKUP(TEXT(A1556, "mmm-yy"), TEXT([2]RUNS!$B$5:$B$208, "mmm-yy"), [2]RUNS!$D$5:$D$208, "Not Found")</f>
        <v>29877.491178077318</v>
      </c>
      <c r="H1556" cm="1">
        <f t="array" ref="H1556">SUMPRODUCT(
    --(TEXT('[3]Global Weekly Stock (EWSuez'!$B$4:$B$2000,"mmm-yy")=TEXT(A1556,"mmm-yy")),
    '[3]Global Weekly Stock (EWSuez'!$E$4:$E$2000)
/
SUMPRODUCT(
    --(TEXT('[3]Global Weekly Stock (EWSuez'!$B$4:$B$2000,"mmm-yy")=TEXT(A1556,"mmm-yy"))
)</f>
        <v>13146.5</v>
      </c>
      <c r="I1556">
        <f>_xlfn.XLOOKUP(A1556,[1]ForwardDeriv!$D:$D,[1]ForwardDeriv!$AJ:$AJ)</f>
        <v>-0.37999999999999545</v>
      </c>
      <c r="J1556" cm="1">
        <f t="array" ref="J1556">_xlfn.XLOOKUP(TEXT(A1556, "mmm-yy"), TEXT([2]GASOLINE!$B$5:$B$208, "mmm-yy"), [2]GASOLINE!$IR$5:$IR$208, "Not Found")</f>
        <v>-35.378211063437732</v>
      </c>
      <c r="K1556" cm="1">
        <f t="array" ref="K1556">_xlfn.XLOOKUP(TEXT(A1556, "mmm-yy"), TEXT([2]GASOLINE!$B$5:$B$208, "mmm-yy"), [2]GASOLINE!$IK$5:$IK$208, "Not Found")</f>
        <v>167.20326521314584</v>
      </c>
      <c r="L1556">
        <f t="shared" si="24"/>
        <v>0</v>
      </c>
      <c r="M1556" cm="1">
        <f t="array" ref="M1556">_xlfn.XLOOKUP(TEXT(A1556, "mmm-yy"), TEXT([2]GASOLINE!$B$5:$B$208, "mmm-yy"), [2]GASOLINE!$C$5:$C$208, "Not Found")</f>
        <v>7185.8206266621028</v>
      </c>
      <c r="N1556" cm="1">
        <f t="array" ref="N1556">_xlfn.XLOOKUP(TEXT(A1556, "mmm-yy"), TEXT([2]RUNS!$B$5:$B$208, "mmm-yy"), [2]RUNS!$BM$5:$BM$208, "Not Found")</f>
        <v>0.81819153473299244</v>
      </c>
    </row>
    <row r="1557" spans="1:14" x14ac:dyDescent="0.25">
      <c r="A1557" s="1">
        <f>'[1]Global_Spot Prices'!$B2866</f>
        <v>44182</v>
      </c>
      <c r="B1557">
        <f>_xlfn.XLOOKUP(A1557,'[1]Global_Spot Prices'!$B:$B,'[1]Global_Spot Prices'!$BS:$BS)</f>
        <v>2.7600000000000051</v>
      </c>
      <c r="C1557">
        <f>_xlfn.XLOOKUP(A1557,'[1]Global_Spot Prices'!$B:$B,'[1]Global_Spot Prices'!$E:$E)</f>
        <v>51.44</v>
      </c>
      <c r="D1557">
        <f>_xlfn.XLOOKUP(A1557,'[1]Global_Spot Prices'!$B:$B,'[1]Global_Spot Prices'!$D:$D)</f>
        <v>51.354999999999997</v>
      </c>
      <c r="E1557">
        <f>_xlfn.XLOOKUP(A1557,'[1]Global_Spot Prices'!$B:$B,'[1]Global_Spot Prices'!$H:$H)</f>
        <v>50.45</v>
      </c>
      <c r="F1557">
        <f>_xlfn.XLOOKUP(A1557,'[1]Global_Spot Prices'!$B:$B,'[1]Global_Spot Prices'!$I:$I)</f>
        <v>54.2</v>
      </c>
      <c r="G1557" cm="1">
        <f t="array" ref="G1557">_xlfn.XLOOKUP(TEXT(A1557, "mmm-yy"), TEXT([2]RUNS!$B$5:$B$208, "mmm-yy"), [2]RUNS!$D$5:$D$208, "Not Found")</f>
        <v>29877.491178077318</v>
      </c>
      <c r="H1557" cm="1">
        <f t="array" ref="H1557">SUMPRODUCT(
    --(TEXT('[3]Global Weekly Stock (EWSuez'!$B$4:$B$2000,"mmm-yy")=TEXT(A1557,"mmm-yy")),
    '[3]Global Weekly Stock (EWSuez'!$E$4:$E$2000)
/
SUMPRODUCT(
    --(TEXT('[3]Global Weekly Stock (EWSuez'!$B$4:$B$2000,"mmm-yy")=TEXT(A1557,"mmm-yy"))
)</f>
        <v>13146.5</v>
      </c>
      <c r="I1557">
        <f>_xlfn.XLOOKUP(A1557,[1]ForwardDeriv!$D:$D,[1]ForwardDeriv!$AJ:$AJ)</f>
        <v>-0.33999999999999631</v>
      </c>
      <c r="J1557" cm="1">
        <f t="array" ref="J1557">_xlfn.XLOOKUP(TEXT(A1557, "mmm-yy"), TEXT([2]GASOLINE!$B$5:$B$208, "mmm-yy"), [2]GASOLINE!$IR$5:$IR$208, "Not Found")</f>
        <v>-35.378211063437732</v>
      </c>
      <c r="K1557" cm="1">
        <f t="array" ref="K1557">_xlfn.XLOOKUP(TEXT(A1557, "mmm-yy"), TEXT([2]GASOLINE!$B$5:$B$208, "mmm-yy"), [2]GASOLINE!$IK$5:$IK$208, "Not Found")</f>
        <v>167.20326521314584</v>
      </c>
      <c r="L1557">
        <f t="shared" si="24"/>
        <v>0</v>
      </c>
      <c r="M1557" cm="1">
        <f t="array" ref="M1557">_xlfn.XLOOKUP(TEXT(A1557, "mmm-yy"), TEXT([2]GASOLINE!$B$5:$B$208, "mmm-yy"), [2]GASOLINE!$C$5:$C$208, "Not Found")</f>
        <v>7185.8206266621028</v>
      </c>
      <c r="N1557" cm="1">
        <f t="array" ref="N1557">_xlfn.XLOOKUP(TEXT(A1557, "mmm-yy"), TEXT([2]RUNS!$B$5:$B$208, "mmm-yy"), [2]RUNS!$BM$5:$BM$208, "Not Found")</f>
        <v>0.81819153473299244</v>
      </c>
    </row>
    <row r="1558" spans="1:14" x14ac:dyDescent="0.25">
      <c r="A1558" s="1">
        <f>'[1]Global_Spot Prices'!$B2867</f>
        <v>44183</v>
      </c>
      <c r="B1558">
        <f>_xlfn.XLOOKUP(A1558,'[1]Global_Spot Prices'!$B:$B,'[1]Global_Spot Prices'!$BS:$BS)</f>
        <v>3.5</v>
      </c>
      <c r="C1558">
        <f>_xlfn.XLOOKUP(A1558,'[1]Global_Spot Prices'!$B:$B,'[1]Global_Spot Prices'!$E:$E)</f>
        <v>51.1</v>
      </c>
      <c r="D1558">
        <f>_xlfn.XLOOKUP(A1558,'[1]Global_Spot Prices'!$B:$B,'[1]Global_Spot Prices'!$D:$D)</f>
        <v>51.97</v>
      </c>
      <c r="E1558">
        <f>_xlfn.XLOOKUP(A1558,'[1]Global_Spot Prices'!$B:$B,'[1]Global_Spot Prices'!$H:$H)</f>
        <v>50.01</v>
      </c>
      <c r="F1558">
        <f>_xlfn.XLOOKUP(A1558,'[1]Global_Spot Prices'!$B:$B,'[1]Global_Spot Prices'!$I:$I)</f>
        <v>54.6</v>
      </c>
      <c r="G1558" cm="1">
        <f t="array" ref="G1558">_xlfn.XLOOKUP(TEXT(A1558, "mmm-yy"), TEXT([2]RUNS!$B$5:$B$208, "mmm-yy"), [2]RUNS!$D$5:$D$208, "Not Found")</f>
        <v>29877.491178077318</v>
      </c>
      <c r="H1558" cm="1">
        <f t="array" ref="H1558">SUMPRODUCT(
    --(TEXT('[3]Global Weekly Stock (EWSuez'!$B$4:$B$2000,"mmm-yy")=TEXT(A1558,"mmm-yy")),
    '[3]Global Weekly Stock (EWSuez'!$E$4:$E$2000)
/
SUMPRODUCT(
    --(TEXT('[3]Global Weekly Stock (EWSuez'!$B$4:$B$2000,"mmm-yy")=TEXT(A1558,"mmm-yy"))
)</f>
        <v>13146.5</v>
      </c>
      <c r="I1558">
        <f>_xlfn.XLOOKUP(A1558,[1]ForwardDeriv!$D:$D,[1]ForwardDeriv!$AJ:$AJ)</f>
        <v>-0.28999999999999915</v>
      </c>
      <c r="J1558" cm="1">
        <f t="array" ref="J1558">_xlfn.XLOOKUP(TEXT(A1558, "mmm-yy"), TEXT([2]GASOLINE!$B$5:$B$208, "mmm-yy"), [2]GASOLINE!$IR$5:$IR$208, "Not Found")</f>
        <v>-35.378211063437732</v>
      </c>
      <c r="K1558" cm="1">
        <f t="array" ref="K1558">_xlfn.XLOOKUP(TEXT(A1558, "mmm-yy"), TEXT([2]GASOLINE!$B$5:$B$208, "mmm-yy"), [2]GASOLINE!$IK$5:$IK$208, "Not Found")</f>
        <v>167.20326521314584</v>
      </c>
      <c r="L1558">
        <f t="shared" si="24"/>
        <v>0</v>
      </c>
      <c r="M1558" cm="1">
        <f t="array" ref="M1558">_xlfn.XLOOKUP(TEXT(A1558, "mmm-yy"), TEXT([2]GASOLINE!$B$5:$B$208, "mmm-yy"), [2]GASOLINE!$C$5:$C$208, "Not Found")</f>
        <v>7185.8206266621028</v>
      </c>
      <c r="N1558" cm="1">
        <f t="array" ref="N1558">_xlfn.XLOOKUP(TEXT(A1558, "mmm-yy"), TEXT([2]RUNS!$B$5:$B$208, "mmm-yy"), [2]RUNS!$BM$5:$BM$208, "Not Found")</f>
        <v>0.81819153473299244</v>
      </c>
    </row>
    <row r="1559" spans="1:14" x14ac:dyDescent="0.25">
      <c r="A1559" s="1">
        <f>'[1]Global_Spot Prices'!$B2868</f>
        <v>44186</v>
      </c>
      <c r="B1559">
        <f>_xlfn.XLOOKUP(A1559,'[1]Global_Spot Prices'!$B:$B,'[1]Global_Spot Prices'!$BS:$BS)</f>
        <v>2.8599999999999994</v>
      </c>
      <c r="C1559">
        <f>_xlfn.XLOOKUP(A1559,'[1]Global_Spot Prices'!$B:$B,'[1]Global_Spot Prices'!$E:$E)</f>
        <v>50.29</v>
      </c>
      <c r="D1559">
        <f>_xlfn.XLOOKUP(A1559,'[1]Global_Spot Prices'!$B:$B,'[1]Global_Spot Prices'!$D:$D)</f>
        <v>50.064999999999998</v>
      </c>
      <c r="E1559">
        <f>_xlfn.XLOOKUP(A1559,'[1]Global_Spot Prices'!$B:$B,'[1]Global_Spot Prices'!$H:$H)</f>
        <v>49.03</v>
      </c>
      <c r="F1559">
        <f>_xlfn.XLOOKUP(A1559,'[1]Global_Spot Prices'!$B:$B,'[1]Global_Spot Prices'!$I:$I)</f>
        <v>53.15</v>
      </c>
      <c r="G1559" cm="1">
        <f t="array" ref="G1559">_xlfn.XLOOKUP(TEXT(A1559, "mmm-yy"), TEXT([2]RUNS!$B$5:$B$208, "mmm-yy"), [2]RUNS!$D$5:$D$208, "Not Found")</f>
        <v>29877.491178077318</v>
      </c>
      <c r="H1559" cm="1">
        <f t="array" ref="H1559">SUMPRODUCT(
    --(TEXT('[3]Global Weekly Stock (EWSuez'!$B$4:$B$2000,"mmm-yy")=TEXT(A1559,"mmm-yy")),
    '[3]Global Weekly Stock (EWSuez'!$E$4:$E$2000)
/
SUMPRODUCT(
    --(TEXT('[3]Global Weekly Stock (EWSuez'!$B$4:$B$2000,"mmm-yy")=TEXT(A1559,"mmm-yy"))
)</f>
        <v>13146.5</v>
      </c>
      <c r="I1559">
        <f>_xlfn.XLOOKUP(A1559,[1]ForwardDeriv!$D:$D,[1]ForwardDeriv!$AJ:$AJ)</f>
        <v>-0.35999999999999943</v>
      </c>
      <c r="J1559" cm="1">
        <f t="array" ref="J1559">_xlfn.XLOOKUP(TEXT(A1559, "mmm-yy"), TEXT([2]GASOLINE!$B$5:$B$208, "mmm-yy"), [2]GASOLINE!$IR$5:$IR$208, "Not Found")</f>
        <v>-35.378211063437732</v>
      </c>
      <c r="K1559" cm="1">
        <f t="array" ref="K1559">_xlfn.XLOOKUP(TEXT(A1559, "mmm-yy"), TEXT([2]GASOLINE!$B$5:$B$208, "mmm-yy"), [2]GASOLINE!$IK$5:$IK$208, "Not Found")</f>
        <v>167.20326521314584</v>
      </c>
      <c r="L1559">
        <f t="shared" si="24"/>
        <v>0</v>
      </c>
      <c r="M1559" cm="1">
        <f t="array" ref="M1559">_xlfn.XLOOKUP(TEXT(A1559, "mmm-yy"), TEXT([2]GASOLINE!$B$5:$B$208, "mmm-yy"), [2]GASOLINE!$C$5:$C$208, "Not Found")</f>
        <v>7185.8206266621028</v>
      </c>
      <c r="N1559" cm="1">
        <f t="array" ref="N1559">_xlfn.XLOOKUP(TEXT(A1559, "mmm-yy"), TEXT([2]RUNS!$B$5:$B$208, "mmm-yy"), [2]RUNS!$BM$5:$BM$208, "Not Found")</f>
        <v>0.81819153473299244</v>
      </c>
    </row>
    <row r="1560" spans="1:14" x14ac:dyDescent="0.25">
      <c r="A1560" s="1">
        <f>'[1]Global_Spot Prices'!$B2869</f>
        <v>44187</v>
      </c>
      <c r="B1560">
        <f>_xlfn.XLOOKUP(A1560,'[1]Global_Spot Prices'!$B:$B,'[1]Global_Spot Prices'!$BS:$BS)</f>
        <v>2.8999999999999986</v>
      </c>
      <c r="C1560">
        <f>_xlfn.XLOOKUP(A1560,'[1]Global_Spot Prices'!$B:$B,'[1]Global_Spot Prices'!$E:$E)</f>
        <v>49.79</v>
      </c>
      <c r="D1560">
        <f>_xlfn.XLOOKUP(A1560,'[1]Global_Spot Prices'!$B:$B,'[1]Global_Spot Prices'!$D:$D)</f>
        <v>50.295000000000002</v>
      </c>
      <c r="E1560">
        <f>_xlfn.XLOOKUP(A1560,'[1]Global_Spot Prices'!$B:$B,'[1]Global_Spot Prices'!$H:$H)</f>
        <v>48.14</v>
      </c>
      <c r="F1560">
        <f>_xlfn.XLOOKUP(A1560,'[1]Global_Spot Prices'!$B:$B,'[1]Global_Spot Prices'!$I:$I)</f>
        <v>52.69</v>
      </c>
      <c r="G1560" cm="1">
        <f t="array" ref="G1560">_xlfn.XLOOKUP(TEXT(A1560, "mmm-yy"), TEXT([2]RUNS!$B$5:$B$208, "mmm-yy"), [2]RUNS!$D$5:$D$208, "Not Found")</f>
        <v>29877.491178077318</v>
      </c>
      <c r="H1560" cm="1">
        <f t="array" ref="H1560">SUMPRODUCT(
    --(TEXT('[3]Global Weekly Stock (EWSuez'!$B$4:$B$2000,"mmm-yy")=TEXT(A1560,"mmm-yy")),
    '[3]Global Weekly Stock (EWSuez'!$E$4:$E$2000)
/
SUMPRODUCT(
    --(TEXT('[3]Global Weekly Stock (EWSuez'!$B$4:$B$2000,"mmm-yy")=TEXT(A1560,"mmm-yy"))
)</f>
        <v>13146.5</v>
      </c>
      <c r="I1560">
        <f>_xlfn.XLOOKUP(A1560,[1]ForwardDeriv!$D:$D,[1]ForwardDeriv!$AJ:$AJ)</f>
        <v>-0.27000000000000313</v>
      </c>
      <c r="J1560" cm="1">
        <f t="array" ref="J1560">_xlfn.XLOOKUP(TEXT(A1560, "mmm-yy"), TEXT([2]GASOLINE!$B$5:$B$208, "mmm-yy"), [2]GASOLINE!$IR$5:$IR$208, "Not Found")</f>
        <v>-35.378211063437732</v>
      </c>
      <c r="K1560" cm="1">
        <f t="array" ref="K1560">_xlfn.XLOOKUP(TEXT(A1560, "mmm-yy"), TEXT([2]GASOLINE!$B$5:$B$208, "mmm-yy"), [2]GASOLINE!$IK$5:$IK$208, "Not Found")</f>
        <v>167.20326521314584</v>
      </c>
      <c r="L1560">
        <f t="shared" si="24"/>
        <v>0</v>
      </c>
      <c r="M1560" cm="1">
        <f t="array" ref="M1560">_xlfn.XLOOKUP(TEXT(A1560, "mmm-yy"), TEXT([2]GASOLINE!$B$5:$B$208, "mmm-yy"), [2]GASOLINE!$C$5:$C$208, "Not Found")</f>
        <v>7185.8206266621028</v>
      </c>
      <c r="N1560" cm="1">
        <f t="array" ref="N1560">_xlfn.XLOOKUP(TEXT(A1560, "mmm-yy"), TEXT([2]RUNS!$B$5:$B$208, "mmm-yy"), [2]RUNS!$BM$5:$BM$208, "Not Found")</f>
        <v>0.81819153473299244</v>
      </c>
    </row>
    <row r="1561" spans="1:14" x14ac:dyDescent="0.25">
      <c r="A1561" s="1">
        <f>'[1]Global_Spot Prices'!$B2870</f>
        <v>44188</v>
      </c>
      <c r="B1561">
        <f>_xlfn.XLOOKUP(A1561,'[1]Global_Spot Prices'!$B:$B,'[1]Global_Spot Prices'!$BS:$BS)</f>
        <v>3.2250000000000014</v>
      </c>
      <c r="C1561">
        <f>_xlfn.XLOOKUP(A1561,'[1]Global_Spot Prices'!$B:$B,'[1]Global_Spot Prices'!$E:$E)</f>
        <v>49.594999999999999</v>
      </c>
      <c r="D1561">
        <f>_xlfn.XLOOKUP(A1561,'[1]Global_Spot Prices'!$B:$B,'[1]Global_Spot Prices'!$D:$D)</f>
        <v>51.27</v>
      </c>
      <c r="E1561">
        <f>_xlfn.XLOOKUP(A1561,'[1]Global_Spot Prices'!$B:$B,'[1]Global_Spot Prices'!$H:$H)</f>
        <v>48.7</v>
      </c>
      <c r="F1561">
        <f>_xlfn.XLOOKUP(A1561,'[1]Global_Spot Prices'!$B:$B,'[1]Global_Spot Prices'!$I:$I)</f>
        <v>52.82</v>
      </c>
      <c r="G1561" cm="1">
        <f t="array" ref="G1561">_xlfn.XLOOKUP(TEXT(A1561, "mmm-yy"), TEXT([2]RUNS!$B$5:$B$208, "mmm-yy"), [2]RUNS!$D$5:$D$208, "Not Found")</f>
        <v>29877.491178077318</v>
      </c>
      <c r="H1561" cm="1">
        <f t="array" ref="H1561">SUMPRODUCT(
    --(TEXT('[3]Global Weekly Stock (EWSuez'!$B$4:$B$2000,"mmm-yy")=TEXT(A1561,"mmm-yy")),
    '[3]Global Weekly Stock (EWSuez'!$E$4:$E$2000)
/
SUMPRODUCT(
    --(TEXT('[3]Global Weekly Stock (EWSuez'!$B$4:$B$2000,"mmm-yy")=TEXT(A1561,"mmm-yy"))
)</f>
        <v>13146.5</v>
      </c>
      <c r="I1561">
        <f>_xlfn.XLOOKUP(A1561,[1]ForwardDeriv!$D:$D,[1]ForwardDeriv!$AJ:$AJ)</f>
        <v>-0.17999999999999972</v>
      </c>
      <c r="J1561" cm="1">
        <f t="array" ref="J1561">_xlfn.XLOOKUP(TEXT(A1561, "mmm-yy"), TEXT([2]GASOLINE!$B$5:$B$208, "mmm-yy"), [2]GASOLINE!$IR$5:$IR$208, "Not Found")</f>
        <v>-35.378211063437732</v>
      </c>
      <c r="K1561" cm="1">
        <f t="array" ref="K1561">_xlfn.XLOOKUP(TEXT(A1561, "mmm-yy"), TEXT([2]GASOLINE!$B$5:$B$208, "mmm-yy"), [2]GASOLINE!$IK$5:$IK$208, "Not Found")</f>
        <v>167.20326521314584</v>
      </c>
      <c r="L1561">
        <f t="shared" si="24"/>
        <v>0</v>
      </c>
      <c r="M1561" cm="1">
        <f t="array" ref="M1561">_xlfn.XLOOKUP(TEXT(A1561, "mmm-yy"), TEXT([2]GASOLINE!$B$5:$B$208, "mmm-yy"), [2]GASOLINE!$C$5:$C$208, "Not Found")</f>
        <v>7185.8206266621028</v>
      </c>
      <c r="N1561" cm="1">
        <f t="array" ref="N1561">_xlfn.XLOOKUP(TEXT(A1561, "mmm-yy"), TEXT([2]RUNS!$B$5:$B$208, "mmm-yy"), [2]RUNS!$BM$5:$BM$208, "Not Found")</f>
        <v>0.81819153473299244</v>
      </c>
    </row>
    <row r="1562" spans="1:14" x14ac:dyDescent="0.25">
      <c r="A1562" s="1">
        <f>'[1]Global_Spot Prices'!$B2871</f>
        <v>44189</v>
      </c>
      <c r="B1562">
        <f>_xlfn.XLOOKUP(A1562,'[1]Global_Spot Prices'!$B:$B,'[1]Global_Spot Prices'!$BS:$BS)</f>
        <v>3.480000000000004</v>
      </c>
      <c r="C1562">
        <f>_xlfn.XLOOKUP(A1562,'[1]Global_Spot Prices'!$B:$B,'[1]Global_Spot Prices'!$E:$E)</f>
        <v>51.26</v>
      </c>
      <c r="D1562">
        <f>_xlfn.XLOOKUP(A1562,'[1]Global_Spot Prices'!$B:$B,'[1]Global_Spot Prices'!$D:$D)</f>
        <v>50.395000000000003</v>
      </c>
      <c r="E1562">
        <f>_xlfn.XLOOKUP(A1562,'[1]Global_Spot Prices'!$B:$B,'[1]Global_Spot Prices'!$H:$H)</f>
        <v>50.61</v>
      </c>
      <c r="F1562">
        <f>_xlfn.XLOOKUP(A1562,'[1]Global_Spot Prices'!$B:$B,'[1]Global_Spot Prices'!$I:$I)</f>
        <v>54.74</v>
      </c>
      <c r="G1562" cm="1">
        <f t="array" ref="G1562">_xlfn.XLOOKUP(TEXT(A1562, "mmm-yy"), TEXT([2]RUNS!$B$5:$B$208, "mmm-yy"), [2]RUNS!$D$5:$D$208, "Not Found")</f>
        <v>29877.491178077318</v>
      </c>
      <c r="H1562" cm="1">
        <f t="array" ref="H1562">SUMPRODUCT(
    --(TEXT('[3]Global Weekly Stock (EWSuez'!$B$4:$B$2000,"mmm-yy")=TEXT(A1562,"mmm-yy")),
    '[3]Global Weekly Stock (EWSuez'!$E$4:$E$2000)
/
SUMPRODUCT(
    --(TEXT('[3]Global Weekly Stock (EWSuez'!$B$4:$B$2000,"mmm-yy")=TEXT(A1562,"mmm-yy"))
)</f>
        <v>13146.5</v>
      </c>
      <c r="I1562">
        <f>_xlfn.XLOOKUP(A1562,[1]ForwardDeriv!$D:$D,[1]ForwardDeriv!$AJ:$AJ)</f>
        <v>-0.1699999999999946</v>
      </c>
      <c r="J1562" cm="1">
        <f t="array" ref="J1562">_xlfn.XLOOKUP(TEXT(A1562, "mmm-yy"), TEXT([2]GASOLINE!$B$5:$B$208, "mmm-yy"), [2]GASOLINE!$IR$5:$IR$208, "Not Found")</f>
        <v>-35.378211063437732</v>
      </c>
      <c r="K1562" cm="1">
        <f t="array" ref="K1562">_xlfn.XLOOKUP(TEXT(A1562, "mmm-yy"), TEXT([2]GASOLINE!$B$5:$B$208, "mmm-yy"), [2]GASOLINE!$IK$5:$IK$208, "Not Found")</f>
        <v>167.20326521314584</v>
      </c>
      <c r="L1562">
        <f t="shared" si="24"/>
        <v>0</v>
      </c>
      <c r="M1562" cm="1">
        <f t="array" ref="M1562">_xlfn.XLOOKUP(TEXT(A1562, "mmm-yy"), TEXT([2]GASOLINE!$B$5:$B$208, "mmm-yy"), [2]GASOLINE!$C$5:$C$208, "Not Found")</f>
        <v>7185.8206266621028</v>
      </c>
      <c r="N1562" cm="1">
        <f t="array" ref="N1562">_xlfn.XLOOKUP(TEXT(A1562, "mmm-yy"), TEXT([2]RUNS!$B$5:$B$208, "mmm-yy"), [2]RUNS!$BM$5:$BM$208, "Not Found")</f>
        <v>0.81819153473299244</v>
      </c>
    </row>
    <row r="1563" spans="1:14" x14ac:dyDescent="0.25">
      <c r="A1563" s="1">
        <f>'[1]Global_Spot Prices'!$B2872</f>
        <v>44190</v>
      </c>
      <c r="B1563" t="e">
        <f>_xlfn.XLOOKUP(A1563,'[1]Global_Spot Prices'!$B:$B,'[1]Global_Spot Prices'!$BS:$BS)</f>
        <v>#N/A</v>
      </c>
      <c r="C1563" t="str">
        <f>_xlfn.XLOOKUP(A1563,'[1]Global_Spot Prices'!$B:$B,'[1]Global_Spot Prices'!$E:$E)</f>
        <v/>
      </c>
      <c r="D1563" t="str">
        <f>_xlfn.XLOOKUP(A1563,'[1]Global_Spot Prices'!$B:$B,'[1]Global_Spot Prices'!$D:$D)</f>
        <v/>
      </c>
      <c r="E1563">
        <f>_xlfn.XLOOKUP(A1563,'[1]Global_Spot Prices'!$B:$B,'[1]Global_Spot Prices'!$H:$H)</f>
        <v>0</v>
      </c>
      <c r="F1563">
        <f>_xlfn.XLOOKUP(A1563,'[1]Global_Spot Prices'!$B:$B,'[1]Global_Spot Prices'!$I:$I)</f>
        <v>0</v>
      </c>
      <c r="G1563" cm="1">
        <f t="array" ref="G1563">_xlfn.XLOOKUP(TEXT(A1563, "mmm-yy"), TEXT([2]RUNS!$B$5:$B$208, "mmm-yy"), [2]RUNS!$D$5:$D$208, "Not Found")</f>
        <v>29877.491178077318</v>
      </c>
      <c r="H1563" cm="1">
        <f t="array" ref="H1563">SUMPRODUCT(
    --(TEXT('[3]Global Weekly Stock (EWSuez'!$B$4:$B$2000,"mmm-yy")=TEXT(A1563,"mmm-yy")),
    '[3]Global Weekly Stock (EWSuez'!$E$4:$E$2000)
/
SUMPRODUCT(
    --(TEXT('[3]Global Weekly Stock (EWSuez'!$B$4:$B$2000,"mmm-yy")=TEXT(A1563,"mmm-yy"))
)</f>
        <v>13146.5</v>
      </c>
      <c r="I1563">
        <f>_xlfn.XLOOKUP(A1563,[1]ForwardDeriv!$D:$D,[1]ForwardDeriv!$AJ:$AJ)</f>
        <v>-0.20000000000000284</v>
      </c>
      <c r="J1563" cm="1">
        <f t="array" ref="J1563">_xlfn.XLOOKUP(TEXT(A1563, "mmm-yy"), TEXT([2]GASOLINE!$B$5:$B$208, "mmm-yy"), [2]GASOLINE!$IR$5:$IR$208, "Not Found")</f>
        <v>-35.378211063437732</v>
      </c>
      <c r="K1563" cm="1">
        <f t="array" ref="K1563">_xlfn.XLOOKUP(TEXT(A1563, "mmm-yy"), TEXT([2]GASOLINE!$B$5:$B$208, "mmm-yy"), [2]GASOLINE!$IK$5:$IK$208, "Not Found")</f>
        <v>167.20326521314584</v>
      </c>
      <c r="L1563">
        <f t="shared" si="24"/>
        <v>0</v>
      </c>
      <c r="M1563" cm="1">
        <f t="array" ref="M1563">_xlfn.XLOOKUP(TEXT(A1563, "mmm-yy"), TEXT([2]GASOLINE!$B$5:$B$208, "mmm-yy"), [2]GASOLINE!$C$5:$C$208, "Not Found")</f>
        <v>7185.8206266621028</v>
      </c>
      <c r="N1563" cm="1">
        <f t="array" ref="N1563">_xlfn.XLOOKUP(TEXT(A1563, "mmm-yy"), TEXT([2]RUNS!$B$5:$B$208, "mmm-yy"), [2]RUNS!$BM$5:$BM$208, "Not Found")</f>
        <v>0.81819153473299244</v>
      </c>
    </row>
    <row r="1564" spans="1:14" x14ac:dyDescent="0.25">
      <c r="A1564" s="1">
        <f>'[1]Global_Spot Prices'!$B2873</f>
        <v>44193</v>
      </c>
      <c r="B1564">
        <f>_xlfn.XLOOKUP(A1564,'[1]Global_Spot Prices'!$B:$B,'[1]Global_Spot Prices'!$BS:$BS)</f>
        <v>2.980000000000004</v>
      </c>
      <c r="C1564">
        <f>_xlfn.XLOOKUP(A1564,'[1]Global_Spot Prices'!$B:$B,'[1]Global_Spot Prices'!$E:$E)</f>
        <v>51.05</v>
      </c>
      <c r="D1564" t="str">
        <f>_xlfn.XLOOKUP(A1564,'[1]Global_Spot Prices'!$B:$B,'[1]Global_Spot Prices'!$D:$D)</f>
        <v/>
      </c>
      <c r="E1564">
        <f>_xlfn.XLOOKUP(A1564,'[1]Global_Spot Prices'!$B:$B,'[1]Global_Spot Prices'!$H:$H)</f>
        <v>50.67</v>
      </c>
      <c r="F1564">
        <f>_xlfn.XLOOKUP(A1564,'[1]Global_Spot Prices'!$B:$B,'[1]Global_Spot Prices'!$I:$I)</f>
        <v>54.03</v>
      </c>
      <c r="G1564" cm="1">
        <f t="array" ref="G1564">_xlfn.XLOOKUP(TEXT(A1564, "mmm-yy"), TEXT([2]RUNS!$B$5:$B$208, "mmm-yy"), [2]RUNS!$D$5:$D$208, "Not Found")</f>
        <v>29877.491178077318</v>
      </c>
      <c r="H1564" cm="1">
        <f t="array" ref="H1564">SUMPRODUCT(
    --(TEXT('[3]Global Weekly Stock (EWSuez'!$B$4:$B$2000,"mmm-yy")=TEXT(A1564,"mmm-yy")),
    '[3]Global Weekly Stock (EWSuez'!$E$4:$E$2000)
/
SUMPRODUCT(
    --(TEXT('[3]Global Weekly Stock (EWSuez'!$B$4:$B$2000,"mmm-yy")=TEXT(A1564,"mmm-yy"))
)</f>
        <v>13146.5</v>
      </c>
      <c r="I1564">
        <f>_xlfn.XLOOKUP(A1564,[1]ForwardDeriv!$D:$D,[1]ForwardDeriv!$AJ:$AJ)</f>
        <v>-0.20000000000000284</v>
      </c>
      <c r="J1564" cm="1">
        <f t="array" ref="J1564">_xlfn.XLOOKUP(TEXT(A1564, "mmm-yy"), TEXT([2]GASOLINE!$B$5:$B$208, "mmm-yy"), [2]GASOLINE!$IR$5:$IR$208, "Not Found")</f>
        <v>-35.378211063437732</v>
      </c>
      <c r="K1564" cm="1">
        <f t="array" ref="K1564">_xlfn.XLOOKUP(TEXT(A1564, "mmm-yy"), TEXT([2]GASOLINE!$B$5:$B$208, "mmm-yy"), [2]GASOLINE!$IK$5:$IK$208, "Not Found")</f>
        <v>167.20326521314584</v>
      </c>
      <c r="L1564">
        <f t="shared" si="24"/>
        <v>0</v>
      </c>
      <c r="M1564" cm="1">
        <f t="array" ref="M1564">_xlfn.XLOOKUP(TEXT(A1564, "mmm-yy"), TEXT([2]GASOLINE!$B$5:$B$208, "mmm-yy"), [2]GASOLINE!$C$5:$C$208, "Not Found")</f>
        <v>7185.8206266621028</v>
      </c>
      <c r="N1564" cm="1">
        <f t="array" ref="N1564">_xlfn.XLOOKUP(TEXT(A1564, "mmm-yy"), TEXT([2]RUNS!$B$5:$B$208, "mmm-yy"), [2]RUNS!$BM$5:$BM$208, "Not Found")</f>
        <v>0.81819153473299244</v>
      </c>
    </row>
    <row r="1565" spans="1:14" x14ac:dyDescent="0.25">
      <c r="A1565" s="1">
        <f>'[1]Global_Spot Prices'!$B2874</f>
        <v>44194</v>
      </c>
      <c r="B1565">
        <f>_xlfn.XLOOKUP(A1565,'[1]Global_Spot Prices'!$B:$B,'[1]Global_Spot Prices'!$BS:$BS)</f>
        <v>3.009999999999998</v>
      </c>
      <c r="C1565">
        <f>_xlfn.XLOOKUP(A1565,'[1]Global_Spot Prices'!$B:$B,'[1]Global_Spot Prices'!$E:$E)</f>
        <v>50.95</v>
      </c>
      <c r="D1565">
        <f>_xlfn.XLOOKUP(A1565,'[1]Global_Spot Prices'!$B:$B,'[1]Global_Spot Prices'!$D:$D)</f>
        <v>50.66</v>
      </c>
      <c r="E1565">
        <f>_xlfn.XLOOKUP(A1565,'[1]Global_Spot Prices'!$B:$B,'[1]Global_Spot Prices'!$H:$H)</f>
        <v>50.89</v>
      </c>
      <c r="F1565">
        <f>_xlfn.XLOOKUP(A1565,'[1]Global_Spot Prices'!$B:$B,'[1]Global_Spot Prices'!$I:$I)</f>
        <v>53.96</v>
      </c>
      <c r="G1565" cm="1">
        <f t="array" ref="G1565">_xlfn.XLOOKUP(TEXT(A1565, "mmm-yy"), TEXT([2]RUNS!$B$5:$B$208, "mmm-yy"), [2]RUNS!$D$5:$D$208, "Not Found")</f>
        <v>29877.491178077318</v>
      </c>
      <c r="H1565" cm="1">
        <f t="array" ref="H1565">SUMPRODUCT(
    --(TEXT('[3]Global Weekly Stock (EWSuez'!$B$4:$B$2000,"mmm-yy")=TEXT(A1565,"mmm-yy")),
    '[3]Global Weekly Stock (EWSuez'!$E$4:$E$2000)
/
SUMPRODUCT(
    --(TEXT('[3]Global Weekly Stock (EWSuez'!$B$4:$B$2000,"mmm-yy")=TEXT(A1565,"mmm-yy"))
)</f>
        <v>13146.5</v>
      </c>
      <c r="I1565">
        <f>_xlfn.XLOOKUP(A1565,[1]ForwardDeriv!$D:$D,[1]ForwardDeriv!$AJ:$AJ)</f>
        <v>-0.24000000000000199</v>
      </c>
      <c r="J1565" cm="1">
        <f t="array" ref="J1565">_xlfn.XLOOKUP(TEXT(A1565, "mmm-yy"), TEXT([2]GASOLINE!$B$5:$B$208, "mmm-yy"), [2]GASOLINE!$IR$5:$IR$208, "Not Found")</f>
        <v>-35.378211063437732</v>
      </c>
      <c r="K1565" cm="1">
        <f t="array" ref="K1565">_xlfn.XLOOKUP(TEXT(A1565, "mmm-yy"), TEXT([2]GASOLINE!$B$5:$B$208, "mmm-yy"), [2]GASOLINE!$IK$5:$IK$208, "Not Found")</f>
        <v>167.20326521314584</v>
      </c>
      <c r="L1565">
        <f t="shared" si="24"/>
        <v>0</v>
      </c>
      <c r="M1565" cm="1">
        <f t="array" ref="M1565">_xlfn.XLOOKUP(TEXT(A1565, "mmm-yy"), TEXT([2]GASOLINE!$B$5:$B$208, "mmm-yy"), [2]GASOLINE!$C$5:$C$208, "Not Found")</f>
        <v>7185.8206266621028</v>
      </c>
      <c r="N1565" cm="1">
        <f t="array" ref="N1565">_xlfn.XLOOKUP(TEXT(A1565, "mmm-yy"), TEXT([2]RUNS!$B$5:$B$208, "mmm-yy"), [2]RUNS!$BM$5:$BM$208, "Not Found")</f>
        <v>0.81819153473299244</v>
      </c>
    </row>
    <row r="1566" spans="1:14" x14ac:dyDescent="0.25">
      <c r="A1566" s="1">
        <f>'[1]Global_Spot Prices'!$B2875</f>
        <v>44195</v>
      </c>
      <c r="B1566">
        <f>_xlfn.XLOOKUP(A1566,'[1]Global_Spot Prices'!$B:$B,'[1]Global_Spot Prices'!$BS:$BS)</f>
        <v>3.5</v>
      </c>
      <c r="C1566">
        <f>_xlfn.XLOOKUP(A1566,'[1]Global_Spot Prices'!$B:$B,'[1]Global_Spot Prices'!$E:$E)</f>
        <v>51.01</v>
      </c>
      <c r="D1566">
        <f>_xlfn.XLOOKUP(A1566,'[1]Global_Spot Prices'!$B:$B,'[1]Global_Spot Prices'!$D:$D)</f>
        <v>50.765000000000001</v>
      </c>
      <c r="E1566">
        <f>_xlfn.XLOOKUP(A1566,'[1]Global_Spot Prices'!$B:$B,'[1]Global_Spot Prices'!$H:$H)</f>
        <v>50.86</v>
      </c>
      <c r="F1566">
        <f>_xlfn.XLOOKUP(A1566,'[1]Global_Spot Prices'!$B:$B,'[1]Global_Spot Prices'!$I:$I)</f>
        <v>54.51</v>
      </c>
      <c r="G1566" cm="1">
        <f t="array" ref="G1566">_xlfn.XLOOKUP(TEXT(A1566, "mmm-yy"), TEXT([2]RUNS!$B$5:$B$208, "mmm-yy"), [2]RUNS!$D$5:$D$208, "Not Found")</f>
        <v>29877.491178077318</v>
      </c>
      <c r="H1566" cm="1">
        <f t="array" ref="H1566">SUMPRODUCT(
    --(TEXT('[3]Global Weekly Stock (EWSuez'!$B$4:$B$2000,"mmm-yy")=TEXT(A1566,"mmm-yy")),
    '[3]Global Weekly Stock (EWSuez'!$E$4:$E$2000)
/
SUMPRODUCT(
    --(TEXT('[3]Global Weekly Stock (EWSuez'!$B$4:$B$2000,"mmm-yy")=TEXT(A1566,"mmm-yy"))
)</f>
        <v>13146.5</v>
      </c>
      <c r="I1566">
        <f>_xlfn.XLOOKUP(A1566,[1]ForwardDeriv!$D:$D,[1]ForwardDeriv!$AJ:$AJ)</f>
        <v>-0.22000000000000597</v>
      </c>
      <c r="J1566" cm="1">
        <f t="array" ref="J1566">_xlfn.XLOOKUP(TEXT(A1566, "mmm-yy"), TEXT([2]GASOLINE!$B$5:$B$208, "mmm-yy"), [2]GASOLINE!$IR$5:$IR$208, "Not Found")</f>
        <v>-35.378211063437732</v>
      </c>
      <c r="K1566" cm="1">
        <f t="array" ref="K1566">_xlfn.XLOOKUP(TEXT(A1566, "mmm-yy"), TEXT([2]GASOLINE!$B$5:$B$208, "mmm-yy"), [2]GASOLINE!$IK$5:$IK$208, "Not Found")</f>
        <v>167.20326521314584</v>
      </c>
      <c r="L1566">
        <f t="shared" si="24"/>
        <v>0</v>
      </c>
      <c r="M1566" cm="1">
        <f t="array" ref="M1566">_xlfn.XLOOKUP(TEXT(A1566, "mmm-yy"), TEXT([2]GASOLINE!$B$5:$B$208, "mmm-yy"), [2]GASOLINE!$C$5:$C$208, "Not Found")</f>
        <v>7185.8206266621028</v>
      </c>
      <c r="N1566" cm="1">
        <f t="array" ref="N1566">_xlfn.XLOOKUP(TEXT(A1566, "mmm-yy"), TEXT([2]RUNS!$B$5:$B$208, "mmm-yy"), [2]RUNS!$BM$5:$BM$208, "Not Found")</f>
        <v>0.81819153473299244</v>
      </c>
    </row>
    <row r="1567" spans="1:14" x14ac:dyDescent="0.25">
      <c r="A1567" s="1">
        <f>'[1]Global_Spot Prices'!$B2876</f>
        <v>44196</v>
      </c>
      <c r="B1567">
        <f>_xlfn.XLOOKUP(A1567,'[1]Global_Spot Prices'!$B:$B,'[1]Global_Spot Prices'!$BS:$BS)</f>
        <v>4.0799999999999983</v>
      </c>
      <c r="C1567">
        <f>_xlfn.XLOOKUP(A1567,'[1]Global_Spot Prices'!$B:$B,'[1]Global_Spot Prices'!$E:$E)</f>
        <v>51.1</v>
      </c>
      <c r="D1567">
        <f>_xlfn.XLOOKUP(A1567,'[1]Global_Spot Prices'!$B:$B,'[1]Global_Spot Prices'!$D:$D)</f>
        <v>50.484999999999999</v>
      </c>
      <c r="E1567">
        <f>_xlfn.XLOOKUP(A1567,'[1]Global_Spot Prices'!$B:$B,'[1]Global_Spot Prices'!$H:$H)</f>
        <v>52.25</v>
      </c>
      <c r="F1567">
        <f>_xlfn.XLOOKUP(A1567,'[1]Global_Spot Prices'!$B:$B,'[1]Global_Spot Prices'!$I:$I)</f>
        <v>55.18</v>
      </c>
      <c r="G1567" cm="1">
        <f t="array" ref="G1567">_xlfn.XLOOKUP(TEXT(A1567, "mmm-yy"), TEXT([2]RUNS!$B$5:$B$208, "mmm-yy"), [2]RUNS!$D$5:$D$208, "Not Found")</f>
        <v>29877.491178077318</v>
      </c>
      <c r="H1567" cm="1">
        <f t="array" ref="H1567">SUMPRODUCT(
    --(TEXT('[3]Global Weekly Stock (EWSuez'!$B$4:$B$2000,"mmm-yy")=TEXT(A1567,"mmm-yy")),
    '[3]Global Weekly Stock (EWSuez'!$E$4:$E$2000)
/
SUMPRODUCT(
    --(TEXT('[3]Global Weekly Stock (EWSuez'!$B$4:$B$2000,"mmm-yy")=TEXT(A1567,"mmm-yy"))
)</f>
        <v>13146.5</v>
      </c>
      <c r="I1567">
        <f>_xlfn.XLOOKUP(A1567,[1]ForwardDeriv!$D:$D,[1]ForwardDeriv!$AJ:$AJ)</f>
        <v>-0.20000000000000284</v>
      </c>
      <c r="J1567" cm="1">
        <f t="array" ref="J1567">_xlfn.XLOOKUP(TEXT(A1567, "mmm-yy"), TEXT([2]GASOLINE!$B$5:$B$208, "mmm-yy"), [2]GASOLINE!$IR$5:$IR$208, "Not Found")</f>
        <v>-35.378211063437732</v>
      </c>
      <c r="K1567" cm="1">
        <f t="array" ref="K1567">_xlfn.XLOOKUP(TEXT(A1567, "mmm-yy"), TEXT([2]GASOLINE!$B$5:$B$208, "mmm-yy"), [2]GASOLINE!$IK$5:$IK$208, "Not Found")</f>
        <v>167.20326521314584</v>
      </c>
      <c r="L1567">
        <f t="shared" si="24"/>
        <v>0</v>
      </c>
      <c r="M1567" cm="1">
        <f t="array" ref="M1567">_xlfn.XLOOKUP(TEXT(A1567, "mmm-yy"), TEXT([2]GASOLINE!$B$5:$B$208, "mmm-yy"), [2]GASOLINE!$C$5:$C$208, "Not Found")</f>
        <v>7185.8206266621028</v>
      </c>
      <c r="N1567" cm="1">
        <f t="array" ref="N1567">_xlfn.XLOOKUP(TEXT(A1567, "mmm-yy"), TEXT([2]RUNS!$B$5:$B$208, "mmm-yy"), [2]RUNS!$BM$5:$BM$208, "Not Found")</f>
        <v>0.81819153473299244</v>
      </c>
    </row>
    <row r="1568" spans="1:14" x14ac:dyDescent="0.25">
      <c r="A1568" s="1">
        <f>'[1]Global_Spot Prices'!$B2877</f>
        <v>44197</v>
      </c>
      <c r="B1568" t="e">
        <f>_xlfn.XLOOKUP(A1568,'[1]Global_Spot Prices'!$B:$B,'[1]Global_Spot Prices'!$BS:$BS)</f>
        <v>#N/A</v>
      </c>
      <c r="C1568" t="str">
        <f>_xlfn.XLOOKUP(A1568,'[1]Global_Spot Prices'!$B:$B,'[1]Global_Spot Prices'!$E:$E)</f>
        <v/>
      </c>
      <c r="D1568" t="str">
        <f>_xlfn.XLOOKUP(A1568,'[1]Global_Spot Prices'!$B:$B,'[1]Global_Spot Prices'!$D:$D)</f>
        <v/>
      </c>
      <c r="E1568">
        <f>_xlfn.XLOOKUP(A1568,'[1]Global_Spot Prices'!$B:$B,'[1]Global_Spot Prices'!$H:$H)</f>
        <v>0</v>
      </c>
      <c r="F1568">
        <f>_xlfn.XLOOKUP(A1568,'[1]Global_Spot Prices'!$B:$B,'[1]Global_Spot Prices'!$I:$I)</f>
        <v>0</v>
      </c>
      <c r="G1568" cm="1">
        <f t="array" ref="G1568">_xlfn.XLOOKUP(TEXT(A1568, "mmm-yy"), TEXT([2]RUNS!$B$5:$B$208, "mmm-yy"), [2]RUNS!$D$5:$D$208, "Not Found")</f>
        <v>29712.239300284047</v>
      </c>
      <c r="H1568" cm="1">
        <f t="array" ref="H1568">SUMPRODUCT(
    --(TEXT('[3]Global Weekly Stock (EWSuez'!$B$4:$B$2000,"mmm-yy")=TEXT(A1568,"mmm-yy")),
    '[3]Global Weekly Stock (EWSuez'!$E$4:$E$2000)
/
SUMPRODUCT(
    --(TEXT('[3]Global Weekly Stock (EWSuez'!$B$4:$B$2000,"mmm-yy")=TEXT(A1568,"mmm-yy"))
)</f>
        <v>14990</v>
      </c>
      <c r="I1568">
        <f>_xlfn.XLOOKUP(A1568,[1]ForwardDeriv!$D:$D,[1]ForwardDeriv!$AJ:$AJ)</f>
        <v>-0.14000000000000057</v>
      </c>
      <c r="J1568" cm="1">
        <f t="array" ref="J1568">_xlfn.XLOOKUP(TEXT(A1568, "mmm-yy"), TEXT([2]GASOLINE!$B$5:$B$208, "mmm-yy"), [2]GASOLINE!$IR$5:$IR$208, "Not Found")</f>
        <v>350.83015728222267</v>
      </c>
      <c r="K1568" cm="1">
        <f t="array" ref="K1568">_xlfn.XLOOKUP(TEXT(A1568, "mmm-yy"), TEXT([2]GASOLINE!$B$5:$B$208, "mmm-yy"), [2]GASOLINE!$IK$5:$IK$208, "Not Found")</f>
        <v>174.84409244329524</v>
      </c>
      <c r="L1568">
        <f t="shared" si="24"/>
        <v>0</v>
      </c>
      <c r="M1568" cm="1">
        <f t="array" ref="M1568">_xlfn.XLOOKUP(TEXT(A1568, "mmm-yy"), TEXT([2]GASOLINE!$B$5:$B$208, "mmm-yy"), [2]GASOLINE!$C$5:$C$208, "Not Found")</f>
        <v>6982.2497839871357</v>
      </c>
      <c r="N1568" cm="1">
        <f t="array" ref="N1568">_xlfn.XLOOKUP(TEXT(A1568, "mmm-yy"), TEXT([2]RUNS!$B$5:$B$208, "mmm-yy"), [2]RUNS!$BM$5:$BM$208, "Not Found")</f>
        <v>0.81449587300973547</v>
      </c>
    </row>
    <row r="1569" spans="1:14" x14ac:dyDescent="0.25">
      <c r="A1569" s="1">
        <f>'[1]Global_Spot Prices'!$B2878</f>
        <v>44200</v>
      </c>
      <c r="B1569">
        <f>_xlfn.XLOOKUP(A1569,'[1]Global_Spot Prices'!$B:$B,'[1]Global_Spot Prices'!$BS:$BS)</f>
        <v>4.1200000000000045</v>
      </c>
      <c r="C1569">
        <f>_xlfn.XLOOKUP(A1569,'[1]Global_Spot Prices'!$B:$B,'[1]Global_Spot Prices'!$E:$E)</f>
        <v>52.44</v>
      </c>
      <c r="D1569">
        <f>_xlfn.XLOOKUP(A1569,'[1]Global_Spot Prices'!$B:$B,'[1]Global_Spot Prices'!$D:$D)</f>
        <v>50.335000000000001</v>
      </c>
      <c r="E1569">
        <f>_xlfn.XLOOKUP(A1569,'[1]Global_Spot Prices'!$B:$B,'[1]Global_Spot Prices'!$H:$H)</f>
        <v>53.39</v>
      </c>
      <c r="F1569">
        <f>_xlfn.XLOOKUP(A1569,'[1]Global_Spot Prices'!$B:$B,'[1]Global_Spot Prices'!$I:$I)</f>
        <v>56.56</v>
      </c>
      <c r="G1569" cm="1">
        <f t="array" ref="G1569">_xlfn.XLOOKUP(TEXT(A1569, "mmm-yy"), TEXT([2]RUNS!$B$5:$B$208, "mmm-yy"), [2]RUNS!$D$5:$D$208, "Not Found")</f>
        <v>29712.239300284047</v>
      </c>
      <c r="H1569" cm="1">
        <f t="array" ref="H1569">SUMPRODUCT(
    --(TEXT('[3]Global Weekly Stock (EWSuez'!$B$4:$B$2000,"mmm-yy")=TEXT(A1569,"mmm-yy")),
    '[3]Global Weekly Stock (EWSuez'!$E$4:$E$2000)
/
SUMPRODUCT(
    --(TEXT('[3]Global Weekly Stock (EWSuez'!$B$4:$B$2000,"mmm-yy")=TEXT(A1569,"mmm-yy"))
)</f>
        <v>14990</v>
      </c>
      <c r="I1569">
        <f>_xlfn.XLOOKUP(A1569,[1]ForwardDeriv!$D:$D,[1]ForwardDeriv!$AJ:$AJ)</f>
        <v>-0.14000000000000057</v>
      </c>
      <c r="J1569" cm="1">
        <f t="array" ref="J1569">_xlfn.XLOOKUP(TEXT(A1569, "mmm-yy"), TEXT([2]GASOLINE!$B$5:$B$208, "mmm-yy"), [2]GASOLINE!$IR$5:$IR$208, "Not Found")</f>
        <v>350.83015728222267</v>
      </c>
      <c r="K1569" cm="1">
        <f t="array" ref="K1569">_xlfn.XLOOKUP(TEXT(A1569, "mmm-yy"), TEXT([2]GASOLINE!$B$5:$B$208, "mmm-yy"), [2]GASOLINE!$IK$5:$IK$208, "Not Found")</f>
        <v>174.84409244329524</v>
      </c>
      <c r="L1569">
        <f t="shared" si="24"/>
        <v>0</v>
      </c>
      <c r="M1569" cm="1">
        <f t="array" ref="M1569">_xlfn.XLOOKUP(TEXT(A1569, "mmm-yy"), TEXT([2]GASOLINE!$B$5:$B$208, "mmm-yy"), [2]GASOLINE!$C$5:$C$208, "Not Found")</f>
        <v>6982.2497839871357</v>
      </c>
      <c r="N1569" cm="1">
        <f t="array" ref="N1569">_xlfn.XLOOKUP(TEXT(A1569, "mmm-yy"), TEXT([2]RUNS!$B$5:$B$208, "mmm-yy"), [2]RUNS!$BM$5:$BM$208, "Not Found")</f>
        <v>0.81449587300973547</v>
      </c>
    </row>
    <row r="1570" spans="1:14" x14ac:dyDescent="0.25">
      <c r="A1570" s="1">
        <f>'[1]Global_Spot Prices'!$B2879</f>
        <v>44201</v>
      </c>
      <c r="B1570">
        <f>_xlfn.XLOOKUP(A1570,'[1]Global_Spot Prices'!$B:$B,'[1]Global_Spot Prices'!$BS:$BS)</f>
        <v>3.75</v>
      </c>
      <c r="C1570">
        <f>_xlfn.XLOOKUP(A1570,'[1]Global_Spot Prices'!$B:$B,'[1]Global_Spot Prices'!$E:$E)</f>
        <v>50.45</v>
      </c>
      <c r="D1570">
        <f>_xlfn.XLOOKUP(A1570,'[1]Global_Spot Prices'!$B:$B,'[1]Global_Spot Prices'!$D:$D)</f>
        <v>52.41</v>
      </c>
      <c r="E1570">
        <f>_xlfn.XLOOKUP(A1570,'[1]Global_Spot Prices'!$B:$B,'[1]Global_Spot Prices'!$H:$H)</f>
        <v>51.15</v>
      </c>
      <c r="F1570">
        <f>_xlfn.XLOOKUP(A1570,'[1]Global_Spot Prices'!$B:$B,'[1]Global_Spot Prices'!$I:$I)</f>
        <v>54.2</v>
      </c>
      <c r="G1570" cm="1">
        <f t="array" ref="G1570">_xlfn.XLOOKUP(TEXT(A1570, "mmm-yy"), TEXT([2]RUNS!$B$5:$B$208, "mmm-yy"), [2]RUNS!$D$5:$D$208, "Not Found")</f>
        <v>29712.239300284047</v>
      </c>
      <c r="H1570" cm="1">
        <f t="array" ref="H1570">SUMPRODUCT(
    --(TEXT('[3]Global Weekly Stock (EWSuez'!$B$4:$B$2000,"mmm-yy")=TEXT(A1570,"mmm-yy")),
    '[3]Global Weekly Stock (EWSuez'!$E$4:$E$2000)
/
SUMPRODUCT(
    --(TEXT('[3]Global Weekly Stock (EWSuez'!$B$4:$B$2000,"mmm-yy")=TEXT(A1570,"mmm-yy"))
)</f>
        <v>14990</v>
      </c>
      <c r="I1570">
        <f>_xlfn.XLOOKUP(A1570,[1]ForwardDeriv!$D:$D,[1]ForwardDeriv!$AJ:$AJ)</f>
        <v>-0.15999999999999659</v>
      </c>
      <c r="J1570" cm="1">
        <f t="array" ref="J1570">_xlfn.XLOOKUP(TEXT(A1570, "mmm-yy"), TEXT([2]GASOLINE!$B$5:$B$208, "mmm-yy"), [2]GASOLINE!$IR$5:$IR$208, "Not Found")</f>
        <v>350.83015728222267</v>
      </c>
      <c r="K1570" cm="1">
        <f t="array" ref="K1570">_xlfn.XLOOKUP(TEXT(A1570, "mmm-yy"), TEXT([2]GASOLINE!$B$5:$B$208, "mmm-yy"), [2]GASOLINE!$IK$5:$IK$208, "Not Found")</f>
        <v>174.84409244329524</v>
      </c>
      <c r="L1570">
        <f t="shared" si="24"/>
        <v>0</v>
      </c>
      <c r="M1570" cm="1">
        <f t="array" ref="M1570">_xlfn.XLOOKUP(TEXT(A1570, "mmm-yy"), TEXT([2]GASOLINE!$B$5:$B$208, "mmm-yy"), [2]GASOLINE!$C$5:$C$208, "Not Found")</f>
        <v>6982.2497839871357</v>
      </c>
      <c r="N1570" cm="1">
        <f t="array" ref="N1570">_xlfn.XLOOKUP(TEXT(A1570, "mmm-yy"), TEXT([2]RUNS!$B$5:$B$208, "mmm-yy"), [2]RUNS!$BM$5:$BM$208, "Not Found")</f>
        <v>0.81449587300973547</v>
      </c>
    </row>
    <row r="1571" spans="1:14" x14ac:dyDescent="0.25">
      <c r="A1571" s="1">
        <f>'[1]Global_Spot Prices'!$B2880</f>
        <v>44202</v>
      </c>
      <c r="B1571">
        <f>_xlfn.XLOOKUP(A1571,'[1]Global_Spot Prices'!$B:$B,'[1]Global_Spot Prices'!$BS:$BS)</f>
        <v>4.0399999999999991</v>
      </c>
      <c r="C1571">
        <f>_xlfn.XLOOKUP(A1571,'[1]Global_Spot Prices'!$B:$B,'[1]Global_Spot Prices'!$E:$E)</f>
        <v>53.44</v>
      </c>
      <c r="D1571">
        <f>_xlfn.XLOOKUP(A1571,'[1]Global_Spot Prices'!$B:$B,'[1]Global_Spot Prices'!$D:$D)</f>
        <v>54.23</v>
      </c>
      <c r="E1571">
        <f>_xlfn.XLOOKUP(A1571,'[1]Global_Spot Prices'!$B:$B,'[1]Global_Spot Prices'!$H:$H)</f>
        <v>53.38</v>
      </c>
      <c r="F1571">
        <f>_xlfn.XLOOKUP(A1571,'[1]Global_Spot Prices'!$B:$B,'[1]Global_Spot Prices'!$I:$I)</f>
        <v>57.48</v>
      </c>
      <c r="G1571" cm="1">
        <f t="array" ref="G1571">_xlfn.XLOOKUP(TEXT(A1571, "mmm-yy"), TEXT([2]RUNS!$B$5:$B$208, "mmm-yy"), [2]RUNS!$D$5:$D$208, "Not Found")</f>
        <v>29712.239300284047</v>
      </c>
      <c r="H1571" cm="1">
        <f t="array" ref="H1571">SUMPRODUCT(
    --(TEXT('[3]Global Weekly Stock (EWSuez'!$B$4:$B$2000,"mmm-yy")=TEXT(A1571,"mmm-yy")),
    '[3]Global Weekly Stock (EWSuez'!$E$4:$E$2000)
/
SUMPRODUCT(
    --(TEXT('[3]Global Weekly Stock (EWSuez'!$B$4:$B$2000,"mmm-yy")=TEXT(A1571,"mmm-yy"))
)</f>
        <v>14990</v>
      </c>
      <c r="I1571">
        <f>_xlfn.XLOOKUP(A1571,[1]ForwardDeriv!$D:$D,[1]ForwardDeriv!$AJ:$AJ)</f>
        <v>-0.13000000000000256</v>
      </c>
      <c r="J1571" cm="1">
        <f t="array" ref="J1571">_xlfn.XLOOKUP(TEXT(A1571, "mmm-yy"), TEXT([2]GASOLINE!$B$5:$B$208, "mmm-yy"), [2]GASOLINE!$IR$5:$IR$208, "Not Found")</f>
        <v>350.83015728222267</v>
      </c>
      <c r="K1571" cm="1">
        <f t="array" ref="K1571">_xlfn.XLOOKUP(TEXT(A1571, "mmm-yy"), TEXT([2]GASOLINE!$B$5:$B$208, "mmm-yy"), [2]GASOLINE!$IK$5:$IK$208, "Not Found")</f>
        <v>174.84409244329524</v>
      </c>
      <c r="L1571">
        <f t="shared" si="24"/>
        <v>0</v>
      </c>
      <c r="M1571" cm="1">
        <f t="array" ref="M1571">_xlfn.XLOOKUP(TEXT(A1571, "mmm-yy"), TEXT([2]GASOLINE!$B$5:$B$208, "mmm-yy"), [2]GASOLINE!$C$5:$C$208, "Not Found")</f>
        <v>6982.2497839871357</v>
      </c>
      <c r="N1571" cm="1">
        <f t="array" ref="N1571">_xlfn.XLOOKUP(TEXT(A1571, "mmm-yy"), TEXT([2]RUNS!$B$5:$B$208, "mmm-yy"), [2]RUNS!$BM$5:$BM$208, "Not Found")</f>
        <v>0.81449587300973547</v>
      </c>
    </row>
    <row r="1572" spans="1:14" x14ac:dyDescent="0.25">
      <c r="A1572" s="1">
        <f>'[1]Global_Spot Prices'!$B2881</f>
        <v>44203</v>
      </c>
      <c r="B1572">
        <f>_xlfn.XLOOKUP(A1572,'[1]Global_Spot Prices'!$B:$B,'[1]Global_Spot Prices'!$BS:$BS)</f>
        <v>3.7800000000000011</v>
      </c>
      <c r="C1572">
        <f>_xlfn.XLOOKUP(A1572,'[1]Global_Spot Prices'!$B:$B,'[1]Global_Spot Prices'!$E:$E)</f>
        <v>54.46</v>
      </c>
      <c r="D1572">
        <f>_xlfn.XLOOKUP(A1572,'[1]Global_Spot Prices'!$B:$B,'[1]Global_Spot Prices'!$D:$D)</f>
        <v>54.145000000000003</v>
      </c>
      <c r="E1572">
        <f>_xlfn.XLOOKUP(A1572,'[1]Global_Spot Prices'!$B:$B,'[1]Global_Spot Prices'!$H:$H)</f>
        <v>54.56</v>
      </c>
      <c r="F1572">
        <f>_xlfn.XLOOKUP(A1572,'[1]Global_Spot Prices'!$B:$B,'[1]Global_Spot Prices'!$I:$I)</f>
        <v>58.24</v>
      </c>
      <c r="G1572" cm="1">
        <f t="array" ref="G1572">_xlfn.XLOOKUP(TEXT(A1572, "mmm-yy"), TEXT([2]RUNS!$B$5:$B$208, "mmm-yy"), [2]RUNS!$D$5:$D$208, "Not Found")</f>
        <v>29712.239300284047</v>
      </c>
      <c r="H1572" cm="1">
        <f t="array" ref="H1572">SUMPRODUCT(
    --(TEXT('[3]Global Weekly Stock (EWSuez'!$B$4:$B$2000,"mmm-yy")=TEXT(A1572,"mmm-yy")),
    '[3]Global Weekly Stock (EWSuez'!$E$4:$E$2000)
/
SUMPRODUCT(
    --(TEXT('[3]Global Weekly Stock (EWSuez'!$B$4:$B$2000,"mmm-yy")=TEXT(A1572,"mmm-yy"))
)</f>
        <v>14990</v>
      </c>
      <c r="I1572">
        <f>_xlfn.XLOOKUP(A1572,[1]ForwardDeriv!$D:$D,[1]ForwardDeriv!$AJ:$AJ)</f>
        <v>-7.0000000000000284E-2</v>
      </c>
      <c r="J1572" cm="1">
        <f t="array" ref="J1572">_xlfn.XLOOKUP(TEXT(A1572, "mmm-yy"), TEXT([2]GASOLINE!$B$5:$B$208, "mmm-yy"), [2]GASOLINE!$IR$5:$IR$208, "Not Found")</f>
        <v>350.83015728222267</v>
      </c>
      <c r="K1572" cm="1">
        <f t="array" ref="K1572">_xlfn.XLOOKUP(TEXT(A1572, "mmm-yy"), TEXT([2]GASOLINE!$B$5:$B$208, "mmm-yy"), [2]GASOLINE!$IK$5:$IK$208, "Not Found")</f>
        <v>174.84409244329524</v>
      </c>
      <c r="L1572">
        <f t="shared" si="24"/>
        <v>0</v>
      </c>
      <c r="M1572" cm="1">
        <f t="array" ref="M1572">_xlfn.XLOOKUP(TEXT(A1572, "mmm-yy"), TEXT([2]GASOLINE!$B$5:$B$208, "mmm-yy"), [2]GASOLINE!$C$5:$C$208, "Not Found")</f>
        <v>6982.2497839871357</v>
      </c>
      <c r="N1572" cm="1">
        <f t="array" ref="N1572">_xlfn.XLOOKUP(TEXT(A1572, "mmm-yy"), TEXT([2]RUNS!$B$5:$B$208, "mmm-yy"), [2]RUNS!$BM$5:$BM$208, "Not Found")</f>
        <v>0.81449587300973547</v>
      </c>
    </row>
    <row r="1573" spans="1:14" x14ac:dyDescent="0.25">
      <c r="A1573" s="1">
        <f>'[1]Global_Spot Prices'!$B2882</f>
        <v>44204</v>
      </c>
      <c r="B1573">
        <f>_xlfn.XLOOKUP(A1573,'[1]Global_Spot Prices'!$B:$B,'[1]Global_Spot Prices'!$BS:$BS)</f>
        <v>3.9549999999999983</v>
      </c>
      <c r="C1573">
        <f>_xlfn.XLOOKUP(A1573,'[1]Global_Spot Prices'!$B:$B,'[1]Global_Spot Prices'!$E:$E)</f>
        <v>54.555</v>
      </c>
      <c r="D1573">
        <f>_xlfn.XLOOKUP(A1573,'[1]Global_Spot Prices'!$B:$B,'[1]Global_Spot Prices'!$D:$D)</f>
        <v>55.29</v>
      </c>
      <c r="E1573">
        <f>_xlfn.XLOOKUP(A1573,'[1]Global_Spot Prices'!$B:$B,'[1]Global_Spot Prices'!$H:$H)</f>
        <v>55.34</v>
      </c>
      <c r="F1573">
        <f>_xlfn.XLOOKUP(A1573,'[1]Global_Spot Prices'!$B:$B,'[1]Global_Spot Prices'!$I:$I)</f>
        <v>58.51</v>
      </c>
      <c r="G1573" cm="1">
        <f t="array" ref="G1573">_xlfn.XLOOKUP(TEXT(A1573, "mmm-yy"), TEXT([2]RUNS!$B$5:$B$208, "mmm-yy"), [2]RUNS!$D$5:$D$208, "Not Found")</f>
        <v>29712.239300284047</v>
      </c>
      <c r="H1573" cm="1">
        <f t="array" ref="H1573">SUMPRODUCT(
    --(TEXT('[3]Global Weekly Stock (EWSuez'!$B$4:$B$2000,"mmm-yy")=TEXT(A1573,"mmm-yy")),
    '[3]Global Weekly Stock (EWSuez'!$E$4:$E$2000)
/
SUMPRODUCT(
    --(TEXT('[3]Global Weekly Stock (EWSuez'!$B$4:$B$2000,"mmm-yy")=TEXT(A1573,"mmm-yy"))
)</f>
        <v>14990</v>
      </c>
      <c r="I1573">
        <f>_xlfn.XLOOKUP(A1573,[1]ForwardDeriv!$D:$D,[1]ForwardDeriv!$AJ:$AJ)</f>
        <v>-7.9999999999998295E-2</v>
      </c>
      <c r="J1573" cm="1">
        <f t="array" ref="J1573">_xlfn.XLOOKUP(TEXT(A1573, "mmm-yy"), TEXT([2]GASOLINE!$B$5:$B$208, "mmm-yy"), [2]GASOLINE!$IR$5:$IR$208, "Not Found")</f>
        <v>350.83015728222267</v>
      </c>
      <c r="K1573" cm="1">
        <f t="array" ref="K1573">_xlfn.XLOOKUP(TEXT(A1573, "mmm-yy"), TEXT([2]GASOLINE!$B$5:$B$208, "mmm-yy"), [2]GASOLINE!$IK$5:$IK$208, "Not Found")</f>
        <v>174.84409244329524</v>
      </c>
      <c r="L1573">
        <f t="shared" si="24"/>
        <v>0</v>
      </c>
      <c r="M1573" cm="1">
        <f t="array" ref="M1573">_xlfn.XLOOKUP(TEXT(A1573, "mmm-yy"), TEXT([2]GASOLINE!$B$5:$B$208, "mmm-yy"), [2]GASOLINE!$C$5:$C$208, "Not Found")</f>
        <v>6982.2497839871357</v>
      </c>
      <c r="N1573" cm="1">
        <f t="array" ref="N1573">_xlfn.XLOOKUP(TEXT(A1573, "mmm-yy"), TEXT([2]RUNS!$B$5:$B$208, "mmm-yy"), [2]RUNS!$BM$5:$BM$208, "Not Found")</f>
        <v>0.81449587300973547</v>
      </c>
    </row>
    <row r="1574" spans="1:14" x14ac:dyDescent="0.25">
      <c r="A1574" s="1">
        <f>'[1]Global_Spot Prices'!$B2883</f>
        <v>44207</v>
      </c>
      <c r="B1574">
        <f>_xlfn.XLOOKUP(A1574,'[1]Global_Spot Prices'!$B:$B,'[1]Global_Spot Prices'!$BS:$BS)</f>
        <v>3.7749999999999986</v>
      </c>
      <c r="C1574">
        <f>_xlfn.XLOOKUP(A1574,'[1]Global_Spot Prices'!$B:$B,'[1]Global_Spot Prices'!$E:$E)</f>
        <v>55.255000000000003</v>
      </c>
      <c r="D1574">
        <f>_xlfn.XLOOKUP(A1574,'[1]Global_Spot Prices'!$B:$B,'[1]Global_Spot Prices'!$D:$D)</f>
        <v>54.98</v>
      </c>
      <c r="E1574">
        <f>_xlfn.XLOOKUP(A1574,'[1]Global_Spot Prices'!$B:$B,'[1]Global_Spot Prices'!$H:$H)</f>
        <v>55.87</v>
      </c>
      <c r="F1574">
        <f>_xlfn.XLOOKUP(A1574,'[1]Global_Spot Prices'!$B:$B,'[1]Global_Spot Prices'!$I:$I)</f>
        <v>59.03</v>
      </c>
      <c r="G1574" cm="1">
        <f t="array" ref="G1574">_xlfn.XLOOKUP(TEXT(A1574, "mmm-yy"), TEXT([2]RUNS!$B$5:$B$208, "mmm-yy"), [2]RUNS!$D$5:$D$208, "Not Found")</f>
        <v>29712.239300284047</v>
      </c>
      <c r="H1574" cm="1">
        <f t="array" ref="H1574">SUMPRODUCT(
    --(TEXT('[3]Global Weekly Stock (EWSuez'!$B$4:$B$2000,"mmm-yy")=TEXT(A1574,"mmm-yy")),
    '[3]Global Weekly Stock (EWSuez'!$E$4:$E$2000)
/
SUMPRODUCT(
    --(TEXT('[3]Global Weekly Stock (EWSuez'!$B$4:$B$2000,"mmm-yy")=TEXT(A1574,"mmm-yy"))
)</f>
        <v>14990</v>
      </c>
      <c r="I1574">
        <f>_xlfn.XLOOKUP(A1574,[1]ForwardDeriv!$D:$D,[1]ForwardDeriv!$AJ:$AJ)</f>
        <v>-0.14999999999999858</v>
      </c>
      <c r="J1574" cm="1">
        <f t="array" ref="J1574">_xlfn.XLOOKUP(TEXT(A1574, "mmm-yy"), TEXT([2]GASOLINE!$B$5:$B$208, "mmm-yy"), [2]GASOLINE!$IR$5:$IR$208, "Not Found")</f>
        <v>350.83015728222267</v>
      </c>
      <c r="K1574" cm="1">
        <f t="array" ref="K1574">_xlfn.XLOOKUP(TEXT(A1574, "mmm-yy"), TEXT([2]GASOLINE!$B$5:$B$208, "mmm-yy"), [2]GASOLINE!$IK$5:$IK$208, "Not Found")</f>
        <v>174.84409244329524</v>
      </c>
      <c r="L1574">
        <f t="shared" si="24"/>
        <v>0</v>
      </c>
      <c r="M1574" cm="1">
        <f t="array" ref="M1574">_xlfn.XLOOKUP(TEXT(A1574, "mmm-yy"), TEXT([2]GASOLINE!$B$5:$B$208, "mmm-yy"), [2]GASOLINE!$C$5:$C$208, "Not Found")</f>
        <v>6982.2497839871357</v>
      </c>
      <c r="N1574" cm="1">
        <f t="array" ref="N1574">_xlfn.XLOOKUP(TEXT(A1574, "mmm-yy"), TEXT([2]RUNS!$B$5:$B$208, "mmm-yy"), [2]RUNS!$BM$5:$BM$208, "Not Found")</f>
        <v>0.81449587300973547</v>
      </c>
    </row>
    <row r="1575" spans="1:14" x14ac:dyDescent="0.25">
      <c r="A1575" s="1">
        <f>'[1]Global_Spot Prices'!$B2884</f>
        <v>44208</v>
      </c>
      <c r="B1575">
        <f>_xlfn.XLOOKUP(A1575,'[1]Global_Spot Prices'!$B:$B,'[1]Global_Spot Prices'!$BS:$BS)</f>
        <v>4.230000000000004</v>
      </c>
      <c r="C1575">
        <f>_xlfn.XLOOKUP(A1575,'[1]Global_Spot Prices'!$B:$B,'[1]Global_Spot Prices'!$E:$E)</f>
        <v>55.65</v>
      </c>
      <c r="D1575">
        <f>_xlfn.XLOOKUP(A1575,'[1]Global_Spot Prices'!$B:$B,'[1]Global_Spot Prices'!$D:$D)</f>
        <v>56.115000000000002</v>
      </c>
      <c r="E1575">
        <f>_xlfn.XLOOKUP(A1575,'[1]Global_Spot Prices'!$B:$B,'[1]Global_Spot Prices'!$H:$H)</f>
        <v>56.76</v>
      </c>
      <c r="F1575">
        <f>_xlfn.XLOOKUP(A1575,'[1]Global_Spot Prices'!$B:$B,'[1]Global_Spot Prices'!$I:$I)</f>
        <v>59.88</v>
      </c>
      <c r="G1575" cm="1">
        <f t="array" ref="G1575">_xlfn.XLOOKUP(TEXT(A1575, "mmm-yy"), TEXT([2]RUNS!$B$5:$B$208, "mmm-yy"), [2]RUNS!$D$5:$D$208, "Not Found")</f>
        <v>29712.239300284047</v>
      </c>
      <c r="H1575" cm="1">
        <f t="array" ref="H1575">SUMPRODUCT(
    --(TEXT('[3]Global Weekly Stock (EWSuez'!$B$4:$B$2000,"mmm-yy")=TEXT(A1575,"mmm-yy")),
    '[3]Global Weekly Stock (EWSuez'!$E$4:$E$2000)
/
SUMPRODUCT(
    --(TEXT('[3]Global Weekly Stock (EWSuez'!$B$4:$B$2000,"mmm-yy")=TEXT(A1575,"mmm-yy"))
)</f>
        <v>14990</v>
      </c>
      <c r="I1575">
        <f>_xlfn.XLOOKUP(A1575,[1]ForwardDeriv!$D:$D,[1]ForwardDeriv!$AJ:$AJ)</f>
        <v>-0.12999999999999545</v>
      </c>
      <c r="J1575" cm="1">
        <f t="array" ref="J1575">_xlfn.XLOOKUP(TEXT(A1575, "mmm-yy"), TEXT([2]GASOLINE!$B$5:$B$208, "mmm-yy"), [2]GASOLINE!$IR$5:$IR$208, "Not Found")</f>
        <v>350.83015728222267</v>
      </c>
      <c r="K1575" cm="1">
        <f t="array" ref="K1575">_xlfn.XLOOKUP(TEXT(A1575, "mmm-yy"), TEXT([2]GASOLINE!$B$5:$B$208, "mmm-yy"), [2]GASOLINE!$IK$5:$IK$208, "Not Found")</f>
        <v>174.84409244329524</v>
      </c>
      <c r="L1575">
        <f t="shared" si="24"/>
        <v>0</v>
      </c>
      <c r="M1575" cm="1">
        <f t="array" ref="M1575">_xlfn.XLOOKUP(TEXT(A1575, "mmm-yy"), TEXT([2]GASOLINE!$B$5:$B$208, "mmm-yy"), [2]GASOLINE!$C$5:$C$208, "Not Found")</f>
        <v>6982.2497839871357</v>
      </c>
      <c r="N1575" cm="1">
        <f t="array" ref="N1575">_xlfn.XLOOKUP(TEXT(A1575, "mmm-yy"), TEXT([2]RUNS!$B$5:$B$208, "mmm-yy"), [2]RUNS!$BM$5:$BM$208, "Not Found")</f>
        <v>0.81449587300973547</v>
      </c>
    </row>
    <row r="1576" spans="1:14" x14ac:dyDescent="0.25">
      <c r="A1576" s="1">
        <f>'[1]Global_Spot Prices'!$B2885</f>
        <v>44209</v>
      </c>
      <c r="B1576">
        <f>_xlfn.XLOOKUP(A1576,'[1]Global_Spot Prices'!$B:$B,'[1]Global_Spot Prices'!$BS:$BS)</f>
        <v>4.269999999999996</v>
      </c>
      <c r="C1576">
        <f>_xlfn.XLOOKUP(A1576,'[1]Global_Spot Prices'!$B:$B,'[1]Global_Spot Prices'!$E:$E)</f>
        <v>56.38</v>
      </c>
      <c r="D1576">
        <f>_xlfn.XLOOKUP(A1576,'[1]Global_Spot Prices'!$B:$B,'[1]Global_Spot Prices'!$D:$D)</f>
        <v>55.86</v>
      </c>
      <c r="E1576">
        <f>_xlfn.XLOOKUP(A1576,'[1]Global_Spot Prices'!$B:$B,'[1]Global_Spot Prices'!$H:$H)</f>
        <v>57.58</v>
      </c>
      <c r="F1576">
        <f>_xlfn.XLOOKUP(A1576,'[1]Global_Spot Prices'!$B:$B,'[1]Global_Spot Prices'!$I:$I)</f>
        <v>60.65</v>
      </c>
      <c r="G1576" cm="1">
        <f t="array" ref="G1576">_xlfn.XLOOKUP(TEXT(A1576, "mmm-yy"), TEXT([2]RUNS!$B$5:$B$208, "mmm-yy"), [2]RUNS!$D$5:$D$208, "Not Found")</f>
        <v>29712.239300284047</v>
      </c>
      <c r="H1576" cm="1">
        <f t="array" ref="H1576">SUMPRODUCT(
    --(TEXT('[3]Global Weekly Stock (EWSuez'!$B$4:$B$2000,"mmm-yy")=TEXT(A1576,"mmm-yy")),
    '[3]Global Weekly Stock (EWSuez'!$E$4:$E$2000)
/
SUMPRODUCT(
    --(TEXT('[3]Global Weekly Stock (EWSuez'!$B$4:$B$2000,"mmm-yy")=TEXT(A1576,"mmm-yy"))
)</f>
        <v>14990</v>
      </c>
      <c r="I1576">
        <f>_xlfn.XLOOKUP(A1576,[1]ForwardDeriv!$D:$D,[1]ForwardDeriv!$AJ:$AJ)</f>
        <v>-0.15999999999999659</v>
      </c>
      <c r="J1576" cm="1">
        <f t="array" ref="J1576">_xlfn.XLOOKUP(TEXT(A1576, "mmm-yy"), TEXT([2]GASOLINE!$B$5:$B$208, "mmm-yy"), [2]GASOLINE!$IR$5:$IR$208, "Not Found")</f>
        <v>350.83015728222267</v>
      </c>
      <c r="K1576" cm="1">
        <f t="array" ref="K1576">_xlfn.XLOOKUP(TEXT(A1576, "mmm-yy"), TEXT([2]GASOLINE!$B$5:$B$208, "mmm-yy"), [2]GASOLINE!$IK$5:$IK$208, "Not Found")</f>
        <v>174.84409244329524</v>
      </c>
      <c r="L1576">
        <f t="shared" si="24"/>
        <v>0</v>
      </c>
      <c r="M1576" cm="1">
        <f t="array" ref="M1576">_xlfn.XLOOKUP(TEXT(A1576, "mmm-yy"), TEXT([2]GASOLINE!$B$5:$B$208, "mmm-yy"), [2]GASOLINE!$C$5:$C$208, "Not Found")</f>
        <v>6982.2497839871357</v>
      </c>
      <c r="N1576" cm="1">
        <f t="array" ref="N1576">_xlfn.XLOOKUP(TEXT(A1576, "mmm-yy"), TEXT([2]RUNS!$B$5:$B$208, "mmm-yy"), [2]RUNS!$BM$5:$BM$208, "Not Found")</f>
        <v>0.81449587300973547</v>
      </c>
    </row>
    <row r="1577" spans="1:14" x14ac:dyDescent="0.25">
      <c r="A1577" s="1">
        <f>'[1]Global_Spot Prices'!$B2886</f>
        <v>44210</v>
      </c>
      <c r="B1577">
        <f>_xlfn.XLOOKUP(A1577,'[1]Global_Spot Prices'!$B:$B,'[1]Global_Spot Prices'!$BS:$BS)</f>
        <v>4.4600000000000009</v>
      </c>
      <c r="C1577">
        <f>_xlfn.XLOOKUP(A1577,'[1]Global_Spot Prices'!$B:$B,'[1]Global_Spot Prices'!$E:$E)</f>
        <v>55.64</v>
      </c>
      <c r="D1577">
        <f>_xlfn.XLOOKUP(A1577,'[1]Global_Spot Prices'!$B:$B,'[1]Global_Spot Prices'!$D:$D)</f>
        <v>55.284999999999997</v>
      </c>
      <c r="E1577">
        <f>_xlfn.XLOOKUP(A1577,'[1]Global_Spot Prices'!$B:$B,'[1]Global_Spot Prices'!$H:$H)</f>
        <v>57.03</v>
      </c>
      <c r="F1577">
        <f>_xlfn.XLOOKUP(A1577,'[1]Global_Spot Prices'!$B:$B,'[1]Global_Spot Prices'!$I:$I)</f>
        <v>60.1</v>
      </c>
      <c r="G1577" cm="1">
        <f t="array" ref="G1577">_xlfn.XLOOKUP(TEXT(A1577, "mmm-yy"), TEXT([2]RUNS!$B$5:$B$208, "mmm-yy"), [2]RUNS!$D$5:$D$208, "Not Found")</f>
        <v>29712.239300284047</v>
      </c>
      <c r="H1577" cm="1">
        <f t="array" ref="H1577">SUMPRODUCT(
    --(TEXT('[3]Global Weekly Stock (EWSuez'!$B$4:$B$2000,"mmm-yy")=TEXT(A1577,"mmm-yy")),
    '[3]Global Weekly Stock (EWSuez'!$E$4:$E$2000)
/
SUMPRODUCT(
    --(TEXT('[3]Global Weekly Stock (EWSuez'!$B$4:$B$2000,"mmm-yy")=TEXT(A1577,"mmm-yy"))
)</f>
        <v>14990</v>
      </c>
      <c r="I1577">
        <f>_xlfn.XLOOKUP(A1577,[1]ForwardDeriv!$D:$D,[1]ForwardDeriv!$AJ:$AJ)</f>
        <v>-0.22999999999999687</v>
      </c>
      <c r="J1577" cm="1">
        <f t="array" ref="J1577">_xlfn.XLOOKUP(TEXT(A1577, "mmm-yy"), TEXT([2]GASOLINE!$B$5:$B$208, "mmm-yy"), [2]GASOLINE!$IR$5:$IR$208, "Not Found")</f>
        <v>350.83015728222267</v>
      </c>
      <c r="K1577" cm="1">
        <f t="array" ref="K1577">_xlfn.XLOOKUP(TEXT(A1577, "mmm-yy"), TEXT([2]GASOLINE!$B$5:$B$208, "mmm-yy"), [2]GASOLINE!$IK$5:$IK$208, "Not Found")</f>
        <v>174.84409244329524</v>
      </c>
      <c r="L1577">
        <f t="shared" si="24"/>
        <v>0</v>
      </c>
      <c r="M1577" cm="1">
        <f t="array" ref="M1577">_xlfn.XLOOKUP(TEXT(A1577, "mmm-yy"), TEXT([2]GASOLINE!$B$5:$B$208, "mmm-yy"), [2]GASOLINE!$C$5:$C$208, "Not Found")</f>
        <v>6982.2497839871357</v>
      </c>
      <c r="N1577" cm="1">
        <f t="array" ref="N1577">_xlfn.XLOOKUP(TEXT(A1577, "mmm-yy"), TEXT([2]RUNS!$B$5:$B$208, "mmm-yy"), [2]RUNS!$BM$5:$BM$208, "Not Found")</f>
        <v>0.81449587300973547</v>
      </c>
    </row>
    <row r="1578" spans="1:14" x14ac:dyDescent="0.25">
      <c r="A1578" s="1">
        <f>'[1]Global_Spot Prices'!$B2887</f>
        <v>44211</v>
      </c>
      <c r="B1578">
        <f>_xlfn.XLOOKUP(A1578,'[1]Global_Spot Prices'!$B:$B,'[1]Global_Spot Prices'!$BS:$BS)</f>
        <v>3.7899999999999991</v>
      </c>
      <c r="C1578">
        <f>_xlfn.XLOOKUP(A1578,'[1]Global_Spot Prices'!$B:$B,'[1]Global_Spot Prices'!$E:$E)</f>
        <v>55.34</v>
      </c>
      <c r="D1578">
        <f>_xlfn.XLOOKUP(A1578,'[1]Global_Spot Prices'!$B:$B,'[1]Global_Spot Prices'!$D:$D)</f>
        <v>54.515000000000001</v>
      </c>
      <c r="E1578">
        <f>_xlfn.XLOOKUP(A1578,'[1]Global_Spot Prices'!$B:$B,'[1]Global_Spot Prices'!$H:$H)</f>
        <v>57.29</v>
      </c>
      <c r="F1578">
        <f>_xlfn.XLOOKUP(A1578,'[1]Global_Spot Prices'!$B:$B,'[1]Global_Spot Prices'!$I:$I)</f>
        <v>59.13</v>
      </c>
      <c r="G1578" cm="1">
        <f t="array" ref="G1578">_xlfn.XLOOKUP(TEXT(A1578, "mmm-yy"), TEXT([2]RUNS!$B$5:$B$208, "mmm-yy"), [2]RUNS!$D$5:$D$208, "Not Found")</f>
        <v>29712.239300284047</v>
      </c>
      <c r="H1578" cm="1">
        <f t="array" ref="H1578">SUMPRODUCT(
    --(TEXT('[3]Global Weekly Stock (EWSuez'!$B$4:$B$2000,"mmm-yy")=TEXT(A1578,"mmm-yy")),
    '[3]Global Weekly Stock (EWSuez'!$E$4:$E$2000)
/
SUMPRODUCT(
    --(TEXT('[3]Global Weekly Stock (EWSuez'!$B$4:$B$2000,"mmm-yy")=TEXT(A1578,"mmm-yy"))
)</f>
        <v>14990</v>
      </c>
      <c r="I1578">
        <f>_xlfn.XLOOKUP(A1578,[1]ForwardDeriv!$D:$D,[1]ForwardDeriv!$AJ:$AJ)</f>
        <v>-0.35000000000000142</v>
      </c>
      <c r="J1578" cm="1">
        <f t="array" ref="J1578">_xlfn.XLOOKUP(TEXT(A1578, "mmm-yy"), TEXT([2]GASOLINE!$B$5:$B$208, "mmm-yy"), [2]GASOLINE!$IR$5:$IR$208, "Not Found")</f>
        <v>350.83015728222267</v>
      </c>
      <c r="K1578" cm="1">
        <f t="array" ref="K1578">_xlfn.XLOOKUP(TEXT(A1578, "mmm-yy"), TEXT([2]GASOLINE!$B$5:$B$208, "mmm-yy"), [2]GASOLINE!$IK$5:$IK$208, "Not Found")</f>
        <v>174.84409244329524</v>
      </c>
      <c r="L1578">
        <f t="shared" si="24"/>
        <v>0</v>
      </c>
      <c r="M1578" cm="1">
        <f t="array" ref="M1578">_xlfn.XLOOKUP(TEXT(A1578, "mmm-yy"), TEXT([2]GASOLINE!$B$5:$B$208, "mmm-yy"), [2]GASOLINE!$C$5:$C$208, "Not Found")</f>
        <v>6982.2497839871357</v>
      </c>
      <c r="N1578" cm="1">
        <f t="array" ref="N1578">_xlfn.XLOOKUP(TEXT(A1578, "mmm-yy"), TEXT([2]RUNS!$B$5:$B$208, "mmm-yy"), [2]RUNS!$BM$5:$BM$208, "Not Found")</f>
        <v>0.81449587300973547</v>
      </c>
    </row>
    <row r="1579" spans="1:14" x14ac:dyDescent="0.25">
      <c r="A1579" s="1">
        <f>'[1]Global_Spot Prices'!$B2888</f>
        <v>44214</v>
      </c>
      <c r="B1579">
        <f>_xlfn.XLOOKUP(A1579,'[1]Global_Spot Prices'!$B:$B,'[1]Global_Spot Prices'!$BS:$BS)</f>
        <v>4.0899999999999963</v>
      </c>
      <c r="C1579">
        <f>_xlfn.XLOOKUP(A1579,'[1]Global_Spot Prices'!$B:$B,'[1]Global_Spot Prices'!$E:$E)</f>
        <v>54.14</v>
      </c>
      <c r="D1579">
        <f>_xlfn.XLOOKUP(A1579,'[1]Global_Spot Prices'!$B:$B,'[1]Global_Spot Prices'!$D:$D)</f>
        <v>54.62</v>
      </c>
      <c r="E1579">
        <f>_xlfn.XLOOKUP(A1579,'[1]Global_Spot Prices'!$B:$B,'[1]Global_Spot Prices'!$H:$H)</f>
        <v>56.24</v>
      </c>
      <c r="F1579">
        <f>_xlfn.XLOOKUP(A1579,'[1]Global_Spot Prices'!$B:$B,'[1]Global_Spot Prices'!$I:$I)</f>
        <v>58.23</v>
      </c>
      <c r="G1579" cm="1">
        <f t="array" ref="G1579">_xlfn.XLOOKUP(TEXT(A1579, "mmm-yy"), TEXT([2]RUNS!$B$5:$B$208, "mmm-yy"), [2]RUNS!$D$5:$D$208, "Not Found")</f>
        <v>29712.239300284047</v>
      </c>
      <c r="H1579" cm="1">
        <f t="array" ref="H1579">SUMPRODUCT(
    --(TEXT('[3]Global Weekly Stock (EWSuez'!$B$4:$B$2000,"mmm-yy")=TEXT(A1579,"mmm-yy")),
    '[3]Global Weekly Stock (EWSuez'!$E$4:$E$2000)
/
SUMPRODUCT(
    --(TEXT('[3]Global Weekly Stock (EWSuez'!$B$4:$B$2000,"mmm-yy")=TEXT(A1579,"mmm-yy"))
)</f>
        <v>14990</v>
      </c>
      <c r="I1579">
        <f>_xlfn.XLOOKUP(A1579,[1]ForwardDeriv!$D:$D,[1]ForwardDeriv!$AJ:$AJ)</f>
        <v>-0.3300000000000054</v>
      </c>
      <c r="J1579" cm="1">
        <f t="array" ref="J1579">_xlfn.XLOOKUP(TEXT(A1579, "mmm-yy"), TEXT([2]GASOLINE!$B$5:$B$208, "mmm-yy"), [2]GASOLINE!$IR$5:$IR$208, "Not Found")</f>
        <v>350.83015728222267</v>
      </c>
      <c r="K1579" cm="1">
        <f t="array" ref="K1579">_xlfn.XLOOKUP(TEXT(A1579, "mmm-yy"), TEXT([2]GASOLINE!$B$5:$B$208, "mmm-yy"), [2]GASOLINE!$IK$5:$IK$208, "Not Found")</f>
        <v>174.84409244329524</v>
      </c>
      <c r="L1579">
        <f t="shared" si="24"/>
        <v>0</v>
      </c>
      <c r="M1579" cm="1">
        <f t="array" ref="M1579">_xlfn.XLOOKUP(TEXT(A1579, "mmm-yy"), TEXT([2]GASOLINE!$B$5:$B$208, "mmm-yy"), [2]GASOLINE!$C$5:$C$208, "Not Found")</f>
        <v>6982.2497839871357</v>
      </c>
      <c r="N1579" cm="1">
        <f t="array" ref="N1579">_xlfn.XLOOKUP(TEXT(A1579, "mmm-yy"), TEXT([2]RUNS!$B$5:$B$208, "mmm-yy"), [2]RUNS!$BM$5:$BM$208, "Not Found")</f>
        <v>0.81449587300973547</v>
      </c>
    </row>
    <row r="1580" spans="1:14" x14ac:dyDescent="0.25">
      <c r="A1580" s="1">
        <f>'[1]Global_Spot Prices'!$B2889</f>
        <v>44215</v>
      </c>
      <c r="B1580">
        <f>_xlfn.XLOOKUP(A1580,'[1]Global_Spot Prices'!$B:$B,'[1]Global_Spot Prices'!$BS:$BS)</f>
        <v>3.8500000000000014</v>
      </c>
      <c r="C1580">
        <f>_xlfn.XLOOKUP(A1580,'[1]Global_Spot Prices'!$B:$B,'[1]Global_Spot Prices'!$E:$E)</f>
        <v>55.15</v>
      </c>
      <c r="D1580">
        <f>_xlfn.XLOOKUP(A1580,'[1]Global_Spot Prices'!$B:$B,'[1]Global_Spot Prices'!$D:$D)</f>
        <v>55.63</v>
      </c>
      <c r="E1580">
        <f>_xlfn.XLOOKUP(A1580,'[1]Global_Spot Prices'!$B:$B,'[1]Global_Spot Prices'!$H:$H)</f>
        <v>56.68</v>
      </c>
      <c r="F1580">
        <f>_xlfn.XLOOKUP(A1580,'[1]Global_Spot Prices'!$B:$B,'[1]Global_Spot Prices'!$I:$I)</f>
        <v>59</v>
      </c>
      <c r="G1580" cm="1">
        <f t="array" ref="G1580">_xlfn.XLOOKUP(TEXT(A1580, "mmm-yy"), TEXT([2]RUNS!$B$5:$B$208, "mmm-yy"), [2]RUNS!$D$5:$D$208, "Not Found")</f>
        <v>29712.239300284047</v>
      </c>
      <c r="H1580" cm="1">
        <f t="array" ref="H1580">SUMPRODUCT(
    --(TEXT('[3]Global Weekly Stock (EWSuez'!$B$4:$B$2000,"mmm-yy")=TEXT(A1580,"mmm-yy")),
    '[3]Global Weekly Stock (EWSuez'!$E$4:$E$2000)
/
SUMPRODUCT(
    --(TEXT('[3]Global Weekly Stock (EWSuez'!$B$4:$B$2000,"mmm-yy")=TEXT(A1580,"mmm-yy"))
)</f>
        <v>14990</v>
      </c>
      <c r="I1580">
        <f>_xlfn.XLOOKUP(A1580,[1]ForwardDeriv!$D:$D,[1]ForwardDeriv!$AJ:$AJ)</f>
        <v>-0.25</v>
      </c>
      <c r="J1580" cm="1">
        <f t="array" ref="J1580">_xlfn.XLOOKUP(TEXT(A1580, "mmm-yy"), TEXT([2]GASOLINE!$B$5:$B$208, "mmm-yy"), [2]GASOLINE!$IR$5:$IR$208, "Not Found")</f>
        <v>350.83015728222267</v>
      </c>
      <c r="K1580" cm="1">
        <f t="array" ref="K1580">_xlfn.XLOOKUP(TEXT(A1580, "mmm-yy"), TEXT([2]GASOLINE!$B$5:$B$208, "mmm-yy"), [2]GASOLINE!$IK$5:$IK$208, "Not Found")</f>
        <v>174.84409244329524</v>
      </c>
      <c r="L1580">
        <f t="shared" si="24"/>
        <v>0</v>
      </c>
      <c r="M1580" cm="1">
        <f t="array" ref="M1580">_xlfn.XLOOKUP(TEXT(A1580, "mmm-yy"), TEXT([2]GASOLINE!$B$5:$B$208, "mmm-yy"), [2]GASOLINE!$C$5:$C$208, "Not Found")</f>
        <v>6982.2497839871357</v>
      </c>
      <c r="N1580" cm="1">
        <f t="array" ref="N1580">_xlfn.XLOOKUP(TEXT(A1580, "mmm-yy"), TEXT([2]RUNS!$B$5:$B$208, "mmm-yy"), [2]RUNS!$BM$5:$BM$208, "Not Found")</f>
        <v>0.81449587300973547</v>
      </c>
    </row>
    <row r="1581" spans="1:14" x14ac:dyDescent="0.25">
      <c r="A1581" s="1">
        <f>'[1]Global_Spot Prices'!$B2890</f>
        <v>44216</v>
      </c>
      <c r="B1581">
        <f>_xlfn.XLOOKUP(A1581,'[1]Global_Spot Prices'!$B:$B,'[1]Global_Spot Prices'!$BS:$BS)</f>
        <v>3.7550000000000026</v>
      </c>
      <c r="C1581">
        <f>_xlfn.XLOOKUP(A1581,'[1]Global_Spot Prices'!$B:$B,'[1]Global_Spot Prices'!$E:$E)</f>
        <v>56.204999999999998</v>
      </c>
      <c r="D1581">
        <f>_xlfn.XLOOKUP(A1581,'[1]Global_Spot Prices'!$B:$B,'[1]Global_Spot Prices'!$D:$D)</f>
        <v>56.125</v>
      </c>
      <c r="E1581">
        <f>_xlfn.XLOOKUP(A1581,'[1]Global_Spot Prices'!$B:$B,'[1]Global_Spot Prices'!$H:$H)</f>
        <v>56.7</v>
      </c>
      <c r="F1581">
        <f>_xlfn.XLOOKUP(A1581,'[1]Global_Spot Prices'!$B:$B,'[1]Global_Spot Prices'!$I:$I)</f>
        <v>59.96</v>
      </c>
      <c r="G1581" cm="1">
        <f t="array" ref="G1581">_xlfn.XLOOKUP(TEXT(A1581, "mmm-yy"), TEXT([2]RUNS!$B$5:$B$208, "mmm-yy"), [2]RUNS!$D$5:$D$208, "Not Found")</f>
        <v>29712.239300284047</v>
      </c>
      <c r="H1581" cm="1">
        <f t="array" ref="H1581">SUMPRODUCT(
    --(TEXT('[3]Global Weekly Stock (EWSuez'!$B$4:$B$2000,"mmm-yy")=TEXT(A1581,"mmm-yy")),
    '[3]Global Weekly Stock (EWSuez'!$E$4:$E$2000)
/
SUMPRODUCT(
    --(TEXT('[3]Global Weekly Stock (EWSuez'!$B$4:$B$2000,"mmm-yy")=TEXT(A1581,"mmm-yy"))
)</f>
        <v>14990</v>
      </c>
      <c r="I1581">
        <f>_xlfn.XLOOKUP(A1581,[1]ForwardDeriv!$D:$D,[1]ForwardDeriv!$AJ:$AJ)</f>
        <v>-0.20000000000000284</v>
      </c>
      <c r="J1581" cm="1">
        <f t="array" ref="J1581">_xlfn.XLOOKUP(TEXT(A1581, "mmm-yy"), TEXT([2]GASOLINE!$B$5:$B$208, "mmm-yy"), [2]GASOLINE!$IR$5:$IR$208, "Not Found")</f>
        <v>350.83015728222267</v>
      </c>
      <c r="K1581" cm="1">
        <f t="array" ref="K1581">_xlfn.XLOOKUP(TEXT(A1581, "mmm-yy"), TEXT([2]GASOLINE!$B$5:$B$208, "mmm-yy"), [2]GASOLINE!$IK$5:$IK$208, "Not Found")</f>
        <v>174.84409244329524</v>
      </c>
      <c r="L1581">
        <f t="shared" si="24"/>
        <v>0</v>
      </c>
      <c r="M1581" cm="1">
        <f t="array" ref="M1581">_xlfn.XLOOKUP(TEXT(A1581, "mmm-yy"), TEXT([2]GASOLINE!$B$5:$B$208, "mmm-yy"), [2]GASOLINE!$C$5:$C$208, "Not Found")</f>
        <v>6982.2497839871357</v>
      </c>
      <c r="N1581" cm="1">
        <f t="array" ref="N1581">_xlfn.XLOOKUP(TEXT(A1581, "mmm-yy"), TEXT([2]RUNS!$B$5:$B$208, "mmm-yy"), [2]RUNS!$BM$5:$BM$208, "Not Found")</f>
        <v>0.81449587300973547</v>
      </c>
    </row>
    <row r="1582" spans="1:14" x14ac:dyDescent="0.25">
      <c r="A1582" s="1">
        <f>'[1]Global_Spot Prices'!$B2891</f>
        <v>44217</v>
      </c>
      <c r="B1582">
        <f ca="1">_xlfn.XLOOKUP(A1582,'[1]Global_Spot Prices'!$B:$B,'[1]Global_Spot Prices'!$BS:$BS)</f>
        <v>3.8900000000000006</v>
      </c>
      <c r="C1582">
        <f ca="1">_xlfn.XLOOKUP(A1582,'[1]Global_Spot Prices'!$B:$B,'[1]Global_Spot Prices'!$E:$E)</f>
        <v>55.45</v>
      </c>
      <c r="D1582">
        <f>_xlfn.XLOOKUP(A1582,'[1]Global_Spot Prices'!$B:$B,'[1]Global_Spot Prices'!$D:$D)</f>
        <v>55.755000000000003</v>
      </c>
      <c r="E1582">
        <f ca="1">_xlfn.XLOOKUP(A1582,'[1]Global_Spot Prices'!$B:$B,'[1]Global_Spot Prices'!$H:$H)</f>
        <v>55.86</v>
      </c>
      <c r="F1582">
        <f>_xlfn.XLOOKUP(A1582,'[1]Global_Spot Prices'!$B:$B,'[1]Global_Spot Prices'!$I:$I)</f>
        <v>59.34</v>
      </c>
      <c r="G1582" cm="1">
        <f t="array" ref="G1582">_xlfn.XLOOKUP(TEXT(A1582, "mmm-yy"), TEXT([2]RUNS!$B$5:$B$208, "mmm-yy"), [2]RUNS!$D$5:$D$208, "Not Found")</f>
        <v>29712.239300284047</v>
      </c>
      <c r="H1582" cm="1">
        <f t="array" ref="H1582">SUMPRODUCT(
    --(TEXT('[3]Global Weekly Stock (EWSuez'!$B$4:$B$2000,"mmm-yy")=TEXT(A1582,"mmm-yy")),
    '[3]Global Weekly Stock (EWSuez'!$E$4:$E$2000)
/
SUMPRODUCT(
    --(TEXT('[3]Global Weekly Stock (EWSuez'!$B$4:$B$2000,"mmm-yy")=TEXT(A1582,"mmm-yy"))
)</f>
        <v>14990</v>
      </c>
      <c r="I1582">
        <f>_xlfn.XLOOKUP(A1582,[1]ForwardDeriv!$D:$D,[1]ForwardDeriv!$AJ:$AJ)</f>
        <v>-0.19000000000000483</v>
      </c>
      <c r="J1582" cm="1">
        <f t="array" ref="J1582">_xlfn.XLOOKUP(TEXT(A1582, "mmm-yy"), TEXT([2]GASOLINE!$B$5:$B$208, "mmm-yy"), [2]GASOLINE!$IR$5:$IR$208, "Not Found")</f>
        <v>350.83015728222267</v>
      </c>
      <c r="K1582" cm="1">
        <f t="array" ref="K1582">_xlfn.XLOOKUP(TEXT(A1582, "mmm-yy"), TEXT([2]GASOLINE!$B$5:$B$208, "mmm-yy"), [2]GASOLINE!$IK$5:$IK$208, "Not Found")</f>
        <v>174.84409244329524</v>
      </c>
      <c r="L1582">
        <f t="shared" si="24"/>
        <v>0</v>
      </c>
      <c r="M1582" cm="1">
        <f t="array" ref="M1582">_xlfn.XLOOKUP(TEXT(A1582, "mmm-yy"), TEXT([2]GASOLINE!$B$5:$B$208, "mmm-yy"), [2]GASOLINE!$C$5:$C$208, "Not Found")</f>
        <v>6982.2497839871357</v>
      </c>
      <c r="N1582" cm="1">
        <f t="array" ref="N1582">_xlfn.XLOOKUP(TEXT(A1582, "mmm-yy"), TEXT([2]RUNS!$B$5:$B$208, "mmm-yy"), [2]RUNS!$BM$5:$BM$208, "Not Found")</f>
        <v>0.81449587300973547</v>
      </c>
    </row>
    <row r="1583" spans="1:14" x14ac:dyDescent="0.25">
      <c r="A1583" s="1">
        <f>'[1]Global_Spot Prices'!$B2892</f>
        <v>44218</v>
      </c>
      <c r="B1583">
        <f>_xlfn.XLOOKUP(A1583,'[1]Global_Spot Prices'!$B:$B,'[1]Global_Spot Prices'!$BS:$BS)</f>
        <v>3.9200000000000017</v>
      </c>
      <c r="C1583">
        <f>_xlfn.XLOOKUP(A1583,'[1]Global_Spot Prices'!$B:$B,'[1]Global_Spot Prices'!$E:$E)</f>
        <v>55.15</v>
      </c>
      <c r="D1583">
        <f>_xlfn.XLOOKUP(A1583,'[1]Global_Spot Prices'!$B:$B,'[1]Global_Spot Prices'!$D:$D)</f>
        <v>55.22</v>
      </c>
      <c r="E1583">
        <f>_xlfn.XLOOKUP(A1583,'[1]Global_Spot Prices'!$B:$B,'[1]Global_Spot Prices'!$H:$H)</f>
        <v>55.09</v>
      </c>
      <c r="F1583">
        <f>_xlfn.XLOOKUP(A1583,'[1]Global_Spot Prices'!$B:$B,'[1]Global_Spot Prices'!$I:$I)</f>
        <v>59.07</v>
      </c>
      <c r="G1583" cm="1">
        <f t="array" ref="G1583">_xlfn.XLOOKUP(TEXT(A1583, "mmm-yy"), TEXT([2]RUNS!$B$5:$B$208, "mmm-yy"), [2]RUNS!$D$5:$D$208, "Not Found")</f>
        <v>29712.239300284047</v>
      </c>
      <c r="H1583" cm="1">
        <f t="array" ref="H1583">SUMPRODUCT(
    --(TEXT('[3]Global Weekly Stock (EWSuez'!$B$4:$B$2000,"mmm-yy")=TEXT(A1583,"mmm-yy")),
    '[3]Global Weekly Stock (EWSuez'!$E$4:$E$2000)
/
SUMPRODUCT(
    --(TEXT('[3]Global Weekly Stock (EWSuez'!$B$4:$B$2000,"mmm-yy")=TEXT(A1583,"mmm-yy"))
)</f>
        <v>14990</v>
      </c>
      <c r="I1583">
        <f>_xlfn.XLOOKUP(A1583,[1]ForwardDeriv!$D:$D,[1]ForwardDeriv!$AJ:$AJ)</f>
        <v>-0.21999999999999886</v>
      </c>
      <c r="J1583" cm="1">
        <f t="array" ref="J1583">_xlfn.XLOOKUP(TEXT(A1583, "mmm-yy"), TEXT([2]GASOLINE!$B$5:$B$208, "mmm-yy"), [2]GASOLINE!$IR$5:$IR$208, "Not Found")</f>
        <v>350.83015728222267</v>
      </c>
      <c r="K1583" cm="1">
        <f t="array" ref="K1583">_xlfn.XLOOKUP(TEXT(A1583, "mmm-yy"), TEXT([2]GASOLINE!$B$5:$B$208, "mmm-yy"), [2]GASOLINE!$IK$5:$IK$208, "Not Found")</f>
        <v>174.84409244329524</v>
      </c>
      <c r="L1583">
        <f t="shared" si="24"/>
        <v>0</v>
      </c>
      <c r="M1583" cm="1">
        <f t="array" ref="M1583">_xlfn.XLOOKUP(TEXT(A1583, "mmm-yy"), TEXT([2]GASOLINE!$B$5:$B$208, "mmm-yy"), [2]GASOLINE!$C$5:$C$208, "Not Found")</f>
        <v>6982.2497839871357</v>
      </c>
      <c r="N1583" cm="1">
        <f t="array" ref="N1583">_xlfn.XLOOKUP(TEXT(A1583, "mmm-yy"), TEXT([2]RUNS!$B$5:$B$208, "mmm-yy"), [2]RUNS!$BM$5:$BM$208, "Not Found")</f>
        <v>0.81449587300973547</v>
      </c>
    </row>
    <row r="1584" spans="1:14" x14ac:dyDescent="0.25">
      <c r="A1584" s="1">
        <f>'[1]Global_Spot Prices'!$B2893</f>
        <v>44221</v>
      </c>
      <c r="B1584">
        <f>_xlfn.XLOOKUP(A1584,'[1]Global_Spot Prices'!$B:$B,'[1]Global_Spot Prices'!$BS:$BS)</f>
        <v>4.2650000000000006</v>
      </c>
      <c r="C1584">
        <f>_xlfn.XLOOKUP(A1584,'[1]Global_Spot Prices'!$B:$B,'[1]Global_Spot Prices'!$E:$E)</f>
        <v>55.344999999999999</v>
      </c>
      <c r="D1584">
        <f>_xlfn.XLOOKUP(A1584,'[1]Global_Spot Prices'!$B:$B,'[1]Global_Spot Prices'!$D:$D)</f>
        <v>54.98</v>
      </c>
      <c r="E1584">
        <f>_xlfn.XLOOKUP(A1584,'[1]Global_Spot Prices'!$B:$B,'[1]Global_Spot Prices'!$H:$H)</f>
        <v>55.73</v>
      </c>
      <c r="F1584">
        <f>_xlfn.XLOOKUP(A1584,'[1]Global_Spot Prices'!$B:$B,'[1]Global_Spot Prices'!$I:$I)</f>
        <v>59.61</v>
      </c>
      <c r="G1584" cm="1">
        <f t="array" ref="G1584">_xlfn.XLOOKUP(TEXT(A1584, "mmm-yy"), TEXT([2]RUNS!$B$5:$B$208, "mmm-yy"), [2]RUNS!$D$5:$D$208, "Not Found")</f>
        <v>29712.239300284047</v>
      </c>
      <c r="H1584" cm="1">
        <f t="array" ref="H1584">SUMPRODUCT(
    --(TEXT('[3]Global Weekly Stock (EWSuez'!$B$4:$B$2000,"mmm-yy")=TEXT(A1584,"mmm-yy")),
    '[3]Global Weekly Stock (EWSuez'!$E$4:$E$2000)
/
SUMPRODUCT(
    --(TEXT('[3]Global Weekly Stock (EWSuez'!$B$4:$B$2000,"mmm-yy")=TEXT(A1584,"mmm-yy"))
)</f>
        <v>14990</v>
      </c>
      <c r="I1584">
        <f>_xlfn.XLOOKUP(A1584,[1]ForwardDeriv!$D:$D,[1]ForwardDeriv!$AJ:$AJ)</f>
        <v>-0.17999999999999972</v>
      </c>
      <c r="J1584" cm="1">
        <f t="array" ref="J1584">_xlfn.XLOOKUP(TEXT(A1584, "mmm-yy"), TEXT([2]GASOLINE!$B$5:$B$208, "mmm-yy"), [2]GASOLINE!$IR$5:$IR$208, "Not Found")</f>
        <v>350.83015728222267</v>
      </c>
      <c r="K1584" cm="1">
        <f t="array" ref="K1584">_xlfn.XLOOKUP(TEXT(A1584, "mmm-yy"), TEXT([2]GASOLINE!$B$5:$B$208, "mmm-yy"), [2]GASOLINE!$IK$5:$IK$208, "Not Found")</f>
        <v>174.84409244329524</v>
      </c>
      <c r="L1584">
        <f t="shared" si="24"/>
        <v>0</v>
      </c>
      <c r="M1584" cm="1">
        <f t="array" ref="M1584">_xlfn.XLOOKUP(TEXT(A1584, "mmm-yy"), TEXT([2]GASOLINE!$B$5:$B$208, "mmm-yy"), [2]GASOLINE!$C$5:$C$208, "Not Found")</f>
        <v>6982.2497839871357</v>
      </c>
      <c r="N1584" cm="1">
        <f t="array" ref="N1584">_xlfn.XLOOKUP(TEXT(A1584, "mmm-yy"), TEXT([2]RUNS!$B$5:$B$208, "mmm-yy"), [2]RUNS!$BM$5:$BM$208, "Not Found")</f>
        <v>0.81449587300973547</v>
      </c>
    </row>
    <row r="1585" spans="1:14" x14ac:dyDescent="0.25">
      <c r="A1585" s="1">
        <f>'[1]Global_Spot Prices'!$B2894</f>
        <v>44222</v>
      </c>
      <c r="B1585">
        <f>_xlfn.XLOOKUP(A1585,'[1]Global_Spot Prices'!$B:$B,'[1]Global_Spot Prices'!$BS:$BS)</f>
        <v>4.3000000000000043</v>
      </c>
      <c r="C1585">
        <f>_xlfn.XLOOKUP(A1585,'[1]Global_Spot Prices'!$B:$B,'[1]Global_Spot Prices'!$E:$E)</f>
        <v>55.26</v>
      </c>
      <c r="D1585">
        <f>_xlfn.XLOOKUP(A1585,'[1]Global_Spot Prices'!$B:$B,'[1]Global_Spot Prices'!$D:$D)</f>
        <v>55.38</v>
      </c>
      <c r="E1585">
        <f>_xlfn.XLOOKUP(A1585,'[1]Global_Spot Prices'!$B:$B,'[1]Global_Spot Prices'!$H:$H)</f>
        <v>55.57</v>
      </c>
      <c r="F1585">
        <f>_xlfn.XLOOKUP(A1585,'[1]Global_Spot Prices'!$B:$B,'[1]Global_Spot Prices'!$I:$I)</f>
        <v>59.56</v>
      </c>
      <c r="G1585" cm="1">
        <f t="array" ref="G1585">_xlfn.XLOOKUP(TEXT(A1585, "mmm-yy"), TEXT([2]RUNS!$B$5:$B$208, "mmm-yy"), [2]RUNS!$D$5:$D$208, "Not Found")</f>
        <v>29712.239300284047</v>
      </c>
      <c r="H1585" cm="1">
        <f t="array" ref="H1585">SUMPRODUCT(
    --(TEXT('[3]Global Weekly Stock (EWSuez'!$B$4:$B$2000,"mmm-yy")=TEXT(A1585,"mmm-yy")),
    '[3]Global Weekly Stock (EWSuez'!$E$4:$E$2000)
/
SUMPRODUCT(
    --(TEXT('[3]Global Weekly Stock (EWSuez'!$B$4:$B$2000,"mmm-yy")=TEXT(A1585,"mmm-yy"))
)</f>
        <v>14990</v>
      </c>
      <c r="I1585">
        <f>_xlfn.XLOOKUP(A1585,[1]ForwardDeriv!$D:$D,[1]ForwardDeriv!$AJ:$AJ)</f>
        <v>-0.18999999999999773</v>
      </c>
      <c r="J1585" cm="1">
        <f t="array" ref="J1585">_xlfn.XLOOKUP(TEXT(A1585, "mmm-yy"), TEXT([2]GASOLINE!$B$5:$B$208, "mmm-yy"), [2]GASOLINE!$IR$5:$IR$208, "Not Found")</f>
        <v>350.83015728222267</v>
      </c>
      <c r="K1585" cm="1">
        <f t="array" ref="K1585">_xlfn.XLOOKUP(TEXT(A1585, "mmm-yy"), TEXT([2]GASOLINE!$B$5:$B$208, "mmm-yy"), [2]GASOLINE!$IK$5:$IK$208, "Not Found")</f>
        <v>174.84409244329524</v>
      </c>
      <c r="L1585">
        <f t="shared" si="24"/>
        <v>0</v>
      </c>
      <c r="M1585" cm="1">
        <f t="array" ref="M1585">_xlfn.XLOOKUP(TEXT(A1585, "mmm-yy"), TEXT([2]GASOLINE!$B$5:$B$208, "mmm-yy"), [2]GASOLINE!$C$5:$C$208, "Not Found")</f>
        <v>6982.2497839871357</v>
      </c>
      <c r="N1585" cm="1">
        <f t="array" ref="N1585">_xlfn.XLOOKUP(TEXT(A1585, "mmm-yy"), TEXT([2]RUNS!$B$5:$B$208, "mmm-yy"), [2]RUNS!$BM$5:$BM$208, "Not Found")</f>
        <v>0.81449587300973547</v>
      </c>
    </row>
    <row r="1586" spans="1:14" x14ac:dyDescent="0.25">
      <c r="A1586" s="1">
        <f>'[1]Global_Spot Prices'!$B2895</f>
        <v>44223</v>
      </c>
      <c r="B1586">
        <f>_xlfn.XLOOKUP(A1586,'[1]Global_Spot Prices'!$B:$B,'[1]Global_Spot Prices'!$BS:$BS)</f>
        <v>4.7999999999999972</v>
      </c>
      <c r="C1586">
        <f>_xlfn.XLOOKUP(A1586,'[1]Global_Spot Prices'!$B:$B,'[1]Global_Spot Prices'!$E:$E)</f>
        <v>55.7</v>
      </c>
      <c r="D1586">
        <f>_xlfn.XLOOKUP(A1586,'[1]Global_Spot Prices'!$B:$B,'[1]Global_Spot Prices'!$D:$D)</f>
        <v>55.73</v>
      </c>
      <c r="E1586">
        <f>_xlfn.XLOOKUP(A1586,'[1]Global_Spot Prices'!$B:$B,'[1]Global_Spot Prices'!$H:$H)</f>
        <v>56.23</v>
      </c>
      <c r="F1586">
        <f>_xlfn.XLOOKUP(A1586,'[1]Global_Spot Prices'!$B:$B,'[1]Global_Spot Prices'!$I:$I)</f>
        <v>60.5</v>
      </c>
      <c r="G1586" cm="1">
        <f t="array" ref="G1586">_xlfn.XLOOKUP(TEXT(A1586, "mmm-yy"), TEXT([2]RUNS!$B$5:$B$208, "mmm-yy"), [2]RUNS!$D$5:$D$208, "Not Found")</f>
        <v>29712.239300284047</v>
      </c>
      <c r="H1586" cm="1">
        <f t="array" ref="H1586">SUMPRODUCT(
    --(TEXT('[3]Global Weekly Stock (EWSuez'!$B$4:$B$2000,"mmm-yy")=TEXT(A1586,"mmm-yy")),
    '[3]Global Weekly Stock (EWSuez'!$E$4:$E$2000)
/
SUMPRODUCT(
    --(TEXT('[3]Global Weekly Stock (EWSuez'!$B$4:$B$2000,"mmm-yy")=TEXT(A1586,"mmm-yy"))
)</f>
        <v>14990</v>
      </c>
      <c r="I1586">
        <f>_xlfn.XLOOKUP(A1586,[1]ForwardDeriv!$D:$D,[1]ForwardDeriv!$AJ:$AJ)</f>
        <v>-0.10000000000000142</v>
      </c>
      <c r="J1586" cm="1">
        <f t="array" ref="J1586">_xlfn.XLOOKUP(TEXT(A1586, "mmm-yy"), TEXT([2]GASOLINE!$B$5:$B$208, "mmm-yy"), [2]GASOLINE!$IR$5:$IR$208, "Not Found")</f>
        <v>350.83015728222267</v>
      </c>
      <c r="K1586" cm="1">
        <f t="array" ref="K1586">_xlfn.XLOOKUP(TEXT(A1586, "mmm-yy"), TEXT([2]GASOLINE!$B$5:$B$208, "mmm-yy"), [2]GASOLINE!$IK$5:$IK$208, "Not Found")</f>
        <v>174.84409244329524</v>
      </c>
      <c r="L1586">
        <f t="shared" si="24"/>
        <v>0</v>
      </c>
      <c r="M1586" cm="1">
        <f t="array" ref="M1586">_xlfn.XLOOKUP(TEXT(A1586, "mmm-yy"), TEXT([2]GASOLINE!$B$5:$B$208, "mmm-yy"), [2]GASOLINE!$C$5:$C$208, "Not Found")</f>
        <v>6982.2497839871357</v>
      </c>
      <c r="N1586" cm="1">
        <f t="array" ref="N1586">_xlfn.XLOOKUP(TEXT(A1586, "mmm-yy"), TEXT([2]RUNS!$B$5:$B$208, "mmm-yy"), [2]RUNS!$BM$5:$BM$208, "Not Found")</f>
        <v>0.81449587300973547</v>
      </c>
    </row>
    <row r="1587" spans="1:14" x14ac:dyDescent="0.25">
      <c r="A1587" s="1">
        <f>'[1]Global_Spot Prices'!$B2896</f>
        <v>44224</v>
      </c>
      <c r="B1587">
        <f>_xlfn.XLOOKUP(A1587,'[1]Global_Spot Prices'!$B:$B,'[1]Global_Spot Prices'!$BS:$BS)</f>
        <v>4.8599999999999994</v>
      </c>
      <c r="C1587">
        <f>_xlfn.XLOOKUP(A1587,'[1]Global_Spot Prices'!$B:$B,'[1]Global_Spot Prices'!$E:$E)</f>
        <v>54.79</v>
      </c>
      <c r="D1587">
        <f>_xlfn.XLOOKUP(A1587,'[1]Global_Spot Prices'!$B:$B,'[1]Global_Spot Prices'!$D:$D)</f>
        <v>55.134999999999998</v>
      </c>
      <c r="E1587">
        <f ca="1">_xlfn.XLOOKUP(A1587,'[1]Global_Spot Prices'!$B:$B,'[1]Global_Spot Prices'!$H:$H)</f>
        <v>55.73</v>
      </c>
      <c r="F1587">
        <f>_xlfn.XLOOKUP(A1587,'[1]Global_Spot Prices'!$B:$B,'[1]Global_Spot Prices'!$I:$I)</f>
        <v>59.65</v>
      </c>
      <c r="G1587" cm="1">
        <f t="array" ref="G1587">_xlfn.XLOOKUP(TEXT(A1587, "mmm-yy"), TEXT([2]RUNS!$B$5:$B$208, "mmm-yy"), [2]RUNS!$D$5:$D$208, "Not Found")</f>
        <v>29712.239300284047</v>
      </c>
      <c r="H1587" cm="1">
        <f t="array" ref="H1587">SUMPRODUCT(
    --(TEXT('[3]Global Weekly Stock (EWSuez'!$B$4:$B$2000,"mmm-yy")=TEXT(A1587,"mmm-yy")),
    '[3]Global Weekly Stock (EWSuez'!$E$4:$E$2000)
/
SUMPRODUCT(
    --(TEXT('[3]Global Weekly Stock (EWSuez'!$B$4:$B$2000,"mmm-yy")=TEXT(A1587,"mmm-yy"))
)</f>
        <v>14990</v>
      </c>
      <c r="I1587">
        <f>_xlfn.XLOOKUP(A1587,[1]ForwardDeriv!$D:$D,[1]ForwardDeriv!$AJ:$AJ)</f>
        <v>-9.0000000000003411E-2</v>
      </c>
      <c r="J1587" cm="1">
        <f t="array" ref="J1587">_xlfn.XLOOKUP(TEXT(A1587, "mmm-yy"), TEXT([2]GASOLINE!$B$5:$B$208, "mmm-yy"), [2]GASOLINE!$IR$5:$IR$208, "Not Found")</f>
        <v>350.83015728222267</v>
      </c>
      <c r="K1587" cm="1">
        <f t="array" ref="K1587">_xlfn.XLOOKUP(TEXT(A1587, "mmm-yy"), TEXT([2]GASOLINE!$B$5:$B$208, "mmm-yy"), [2]GASOLINE!$IK$5:$IK$208, "Not Found")</f>
        <v>174.84409244329524</v>
      </c>
      <c r="L1587">
        <f t="shared" si="24"/>
        <v>0</v>
      </c>
      <c r="M1587" cm="1">
        <f t="array" ref="M1587">_xlfn.XLOOKUP(TEXT(A1587, "mmm-yy"), TEXT([2]GASOLINE!$B$5:$B$208, "mmm-yy"), [2]GASOLINE!$C$5:$C$208, "Not Found")</f>
        <v>6982.2497839871357</v>
      </c>
      <c r="N1587" cm="1">
        <f t="array" ref="N1587">_xlfn.XLOOKUP(TEXT(A1587, "mmm-yy"), TEXT([2]RUNS!$B$5:$B$208, "mmm-yy"), [2]RUNS!$BM$5:$BM$208, "Not Found")</f>
        <v>0.81449587300973547</v>
      </c>
    </row>
    <row r="1588" spans="1:14" x14ac:dyDescent="0.25">
      <c r="A1588" s="1">
        <f>'[1]Global_Spot Prices'!$B2897</f>
        <v>44225</v>
      </c>
      <c r="B1588">
        <f>_xlfn.XLOOKUP(A1588,'[1]Global_Spot Prices'!$B:$B,'[1]Global_Spot Prices'!$BS:$BS)</f>
        <v>4.9500000000000028</v>
      </c>
      <c r="C1588">
        <f>_xlfn.XLOOKUP(A1588,'[1]Global_Spot Prices'!$B:$B,'[1]Global_Spot Prices'!$E:$E)</f>
        <v>54.64</v>
      </c>
      <c r="D1588">
        <f>_xlfn.XLOOKUP(A1588,'[1]Global_Spot Prices'!$B:$B,'[1]Global_Spot Prices'!$D:$D)</f>
        <v>55.125</v>
      </c>
      <c r="E1588">
        <f>_xlfn.XLOOKUP(A1588,'[1]Global_Spot Prices'!$B:$B,'[1]Global_Spot Prices'!$H:$H)</f>
        <v>55.5</v>
      </c>
      <c r="F1588">
        <f>_xlfn.XLOOKUP(A1588,'[1]Global_Spot Prices'!$B:$B,'[1]Global_Spot Prices'!$I:$I)</f>
        <v>59.59</v>
      </c>
      <c r="G1588" cm="1">
        <f t="array" ref="G1588">_xlfn.XLOOKUP(TEXT(A1588, "mmm-yy"), TEXT([2]RUNS!$B$5:$B$208, "mmm-yy"), [2]RUNS!$D$5:$D$208, "Not Found")</f>
        <v>29712.239300284047</v>
      </c>
      <c r="H1588" cm="1">
        <f t="array" ref="H1588">SUMPRODUCT(
    --(TEXT('[3]Global Weekly Stock (EWSuez'!$B$4:$B$2000,"mmm-yy")=TEXT(A1588,"mmm-yy")),
    '[3]Global Weekly Stock (EWSuez'!$E$4:$E$2000)
/
SUMPRODUCT(
    --(TEXT('[3]Global Weekly Stock (EWSuez'!$B$4:$B$2000,"mmm-yy")=TEXT(A1588,"mmm-yy"))
)</f>
        <v>14990</v>
      </c>
      <c r="I1588">
        <f>_xlfn.XLOOKUP(A1588,[1]ForwardDeriv!$D:$D,[1]ForwardDeriv!$AJ:$AJ)</f>
        <v>-0.10999999999999943</v>
      </c>
      <c r="J1588" cm="1">
        <f t="array" ref="J1588">_xlfn.XLOOKUP(TEXT(A1588, "mmm-yy"), TEXT([2]GASOLINE!$B$5:$B$208, "mmm-yy"), [2]GASOLINE!$IR$5:$IR$208, "Not Found")</f>
        <v>350.83015728222267</v>
      </c>
      <c r="K1588" cm="1">
        <f t="array" ref="K1588">_xlfn.XLOOKUP(TEXT(A1588, "mmm-yy"), TEXT([2]GASOLINE!$B$5:$B$208, "mmm-yy"), [2]GASOLINE!$IK$5:$IK$208, "Not Found")</f>
        <v>174.84409244329524</v>
      </c>
      <c r="L1588">
        <f t="shared" si="24"/>
        <v>0</v>
      </c>
      <c r="M1588" cm="1">
        <f t="array" ref="M1588">_xlfn.XLOOKUP(TEXT(A1588, "mmm-yy"), TEXT([2]GASOLINE!$B$5:$B$208, "mmm-yy"), [2]GASOLINE!$C$5:$C$208, "Not Found")</f>
        <v>6982.2497839871357</v>
      </c>
      <c r="N1588" cm="1">
        <f t="array" ref="N1588">_xlfn.XLOOKUP(TEXT(A1588, "mmm-yy"), TEXT([2]RUNS!$B$5:$B$208, "mmm-yy"), [2]RUNS!$BM$5:$BM$208, "Not Found")</f>
        <v>0.81449587300973547</v>
      </c>
    </row>
    <row r="1589" spans="1:14" x14ac:dyDescent="0.25">
      <c r="A1589" s="1">
        <f>'[1]Global_Spot Prices'!$B2898</f>
        <v>44228</v>
      </c>
      <c r="B1589">
        <f>_xlfn.XLOOKUP(A1589,'[1]Global_Spot Prices'!$B:$B,'[1]Global_Spot Prices'!$BS:$BS)</f>
        <v>4.5899999999999963</v>
      </c>
      <c r="C1589">
        <f>_xlfn.XLOOKUP(A1589,'[1]Global_Spot Prices'!$B:$B,'[1]Global_Spot Prices'!$E:$E)</f>
        <v>54.95</v>
      </c>
      <c r="D1589">
        <f>_xlfn.XLOOKUP(A1589,'[1]Global_Spot Prices'!$B:$B,'[1]Global_Spot Prices'!$D:$D)</f>
        <v>55.814999999999998</v>
      </c>
      <c r="E1589">
        <f>_xlfn.XLOOKUP(A1589,'[1]Global_Spot Prices'!$B:$B,'[1]Global_Spot Prices'!$H:$H)</f>
        <v>56.26</v>
      </c>
      <c r="F1589">
        <f>_xlfn.XLOOKUP(A1589,'[1]Global_Spot Prices'!$B:$B,'[1]Global_Spot Prices'!$I:$I)</f>
        <v>59.54</v>
      </c>
      <c r="G1589" cm="1">
        <f t="array" ref="G1589">_xlfn.XLOOKUP(TEXT(A1589, "mmm-yy"), TEXT([2]RUNS!$B$5:$B$208, "mmm-yy"), [2]RUNS!$D$5:$D$208, "Not Found")</f>
        <v>29191.330968813723</v>
      </c>
      <c r="H1589" cm="1">
        <f t="array" ref="H1589">SUMPRODUCT(
    --(TEXT('[3]Global Weekly Stock (EWSuez'!$B$4:$B$2000,"mmm-yy")=TEXT(A1589,"mmm-yy")),
    '[3]Global Weekly Stock (EWSuez'!$E$4:$E$2000)
/
SUMPRODUCT(
    --(TEXT('[3]Global Weekly Stock (EWSuez'!$B$4:$B$2000,"mmm-yy")=TEXT(A1589,"mmm-yy"))
)</f>
        <v>15660.75</v>
      </c>
      <c r="I1589">
        <f>_xlfn.XLOOKUP(A1589,[1]ForwardDeriv!$D:$D,[1]ForwardDeriv!$AJ:$AJ)</f>
        <v>0.10999999999999943</v>
      </c>
      <c r="J1589" cm="1">
        <f t="array" ref="J1589">_xlfn.XLOOKUP(TEXT(A1589, "mmm-yy"), TEXT([2]GASOLINE!$B$5:$B$208, "mmm-yy"), [2]GASOLINE!$IR$5:$IR$208, "Not Found")</f>
        <v>148.93868804729419</v>
      </c>
      <c r="K1589" cm="1">
        <f t="array" ref="K1589">_xlfn.XLOOKUP(TEXT(A1589, "mmm-yy"), TEXT([2]GASOLINE!$B$5:$B$208, "mmm-yy"), [2]GASOLINE!$IK$5:$IK$208, "Not Found")</f>
        <v>190.29077658508757</v>
      </c>
      <c r="L1589">
        <f t="shared" si="24"/>
        <v>0</v>
      </c>
      <c r="M1589" cm="1">
        <f t="array" ref="M1589">_xlfn.XLOOKUP(TEXT(A1589, "mmm-yy"), TEXT([2]GASOLINE!$B$5:$B$208, "mmm-yy"), [2]GASOLINE!$C$5:$C$208, "Not Found")</f>
        <v>6971.4506267471215</v>
      </c>
      <c r="N1589" cm="1">
        <f t="array" ref="N1589">_xlfn.XLOOKUP(TEXT(A1589, "mmm-yy"), TEXT([2]RUNS!$B$5:$B$208, "mmm-yy"), [2]RUNS!$BM$5:$BM$208, "Not Found")</f>
        <v>0.80021631360288492</v>
      </c>
    </row>
    <row r="1590" spans="1:14" x14ac:dyDescent="0.25">
      <c r="A1590" s="1">
        <f>'[1]Global_Spot Prices'!$B2899</f>
        <v>44229</v>
      </c>
      <c r="B1590">
        <f>_xlfn.XLOOKUP(A1590,'[1]Global_Spot Prices'!$B:$B,'[1]Global_Spot Prices'!$BS:$BS)</f>
        <v>4.3150000000000048</v>
      </c>
      <c r="C1590">
        <f>_xlfn.XLOOKUP(A1590,'[1]Global_Spot Prices'!$B:$B,'[1]Global_Spot Prices'!$E:$E)</f>
        <v>56.704999999999998</v>
      </c>
      <c r="D1590">
        <f>_xlfn.XLOOKUP(A1590,'[1]Global_Spot Prices'!$B:$B,'[1]Global_Spot Prices'!$D:$D)</f>
        <v>57.74</v>
      </c>
      <c r="E1590">
        <f>_xlfn.XLOOKUP(A1590,'[1]Global_Spot Prices'!$B:$B,'[1]Global_Spot Prices'!$H:$H)</f>
        <v>58.31</v>
      </c>
      <c r="F1590">
        <f>_xlfn.XLOOKUP(A1590,'[1]Global_Spot Prices'!$B:$B,'[1]Global_Spot Prices'!$I:$I)</f>
        <v>61.02</v>
      </c>
      <c r="G1590" cm="1">
        <f t="array" ref="G1590">_xlfn.XLOOKUP(TEXT(A1590, "mmm-yy"), TEXT([2]RUNS!$B$5:$B$208, "mmm-yy"), [2]RUNS!$D$5:$D$208, "Not Found")</f>
        <v>29191.330968813723</v>
      </c>
      <c r="H1590" cm="1">
        <f t="array" ref="H1590">SUMPRODUCT(
    --(TEXT('[3]Global Weekly Stock (EWSuez'!$B$4:$B$2000,"mmm-yy")=TEXT(A1590,"mmm-yy")),
    '[3]Global Weekly Stock (EWSuez'!$E$4:$E$2000)
/
SUMPRODUCT(
    --(TEXT('[3]Global Weekly Stock (EWSuez'!$B$4:$B$2000,"mmm-yy")=TEXT(A1590,"mmm-yy"))
)</f>
        <v>15660.75</v>
      </c>
      <c r="I1590">
        <f>_xlfn.XLOOKUP(A1590,[1]ForwardDeriv!$D:$D,[1]ForwardDeriv!$AJ:$AJ)</f>
        <v>7.0000000000000284E-2</v>
      </c>
      <c r="J1590" cm="1">
        <f t="array" ref="J1590">_xlfn.XLOOKUP(TEXT(A1590, "mmm-yy"), TEXT([2]GASOLINE!$B$5:$B$208, "mmm-yy"), [2]GASOLINE!$IR$5:$IR$208, "Not Found")</f>
        <v>148.93868804729419</v>
      </c>
      <c r="K1590" cm="1">
        <f t="array" ref="K1590">_xlfn.XLOOKUP(TEXT(A1590, "mmm-yy"), TEXT([2]GASOLINE!$B$5:$B$208, "mmm-yy"), [2]GASOLINE!$IK$5:$IK$208, "Not Found")</f>
        <v>190.29077658508757</v>
      </c>
      <c r="L1590">
        <f t="shared" si="24"/>
        <v>0</v>
      </c>
      <c r="M1590" cm="1">
        <f t="array" ref="M1590">_xlfn.XLOOKUP(TEXT(A1590, "mmm-yy"), TEXT([2]GASOLINE!$B$5:$B$208, "mmm-yy"), [2]GASOLINE!$C$5:$C$208, "Not Found")</f>
        <v>6971.4506267471215</v>
      </c>
      <c r="N1590" cm="1">
        <f t="array" ref="N1590">_xlfn.XLOOKUP(TEXT(A1590, "mmm-yy"), TEXT([2]RUNS!$B$5:$B$208, "mmm-yy"), [2]RUNS!$BM$5:$BM$208, "Not Found")</f>
        <v>0.80021631360288492</v>
      </c>
    </row>
    <row r="1591" spans="1:14" x14ac:dyDescent="0.25">
      <c r="A1591" s="1">
        <f>'[1]Global_Spot Prices'!$B2900</f>
        <v>44230</v>
      </c>
      <c r="B1591">
        <f>_xlfn.XLOOKUP(A1591,'[1]Global_Spot Prices'!$B:$B,'[1]Global_Spot Prices'!$BS:$BS)</f>
        <v>5.1000000000000014</v>
      </c>
      <c r="C1591">
        <f>_xlfn.XLOOKUP(A1591,'[1]Global_Spot Prices'!$B:$B,'[1]Global_Spot Prices'!$E:$E)</f>
        <v>57.61</v>
      </c>
      <c r="D1591">
        <f>_xlfn.XLOOKUP(A1591,'[1]Global_Spot Prices'!$B:$B,'[1]Global_Spot Prices'!$D:$D)</f>
        <v>58.77</v>
      </c>
      <c r="E1591">
        <f>_xlfn.XLOOKUP(A1591,'[1]Global_Spot Prices'!$B:$B,'[1]Global_Spot Prices'!$H:$H)</f>
        <v>58.89</v>
      </c>
      <c r="F1591">
        <f>_xlfn.XLOOKUP(A1591,'[1]Global_Spot Prices'!$B:$B,'[1]Global_Spot Prices'!$I:$I)</f>
        <v>62.71</v>
      </c>
      <c r="G1591" cm="1">
        <f t="array" ref="G1591">_xlfn.XLOOKUP(TEXT(A1591, "mmm-yy"), TEXT([2]RUNS!$B$5:$B$208, "mmm-yy"), [2]RUNS!$D$5:$D$208, "Not Found")</f>
        <v>29191.330968813723</v>
      </c>
      <c r="H1591" cm="1">
        <f t="array" ref="H1591">SUMPRODUCT(
    --(TEXT('[3]Global Weekly Stock (EWSuez'!$B$4:$B$2000,"mmm-yy")=TEXT(A1591,"mmm-yy")),
    '[3]Global Weekly Stock (EWSuez'!$E$4:$E$2000)
/
SUMPRODUCT(
    --(TEXT('[3]Global Weekly Stock (EWSuez'!$B$4:$B$2000,"mmm-yy")=TEXT(A1591,"mmm-yy"))
)</f>
        <v>15660.75</v>
      </c>
      <c r="I1591">
        <f>_xlfn.XLOOKUP(A1591,[1]ForwardDeriv!$D:$D,[1]ForwardDeriv!$AJ:$AJ)</f>
        <v>0.17000000000000171</v>
      </c>
      <c r="J1591" cm="1">
        <f t="array" ref="J1591">_xlfn.XLOOKUP(TEXT(A1591, "mmm-yy"), TEXT([2]GASOLINE!$B$5:$B$208, "mmm-yy"), [2]GASOLINE!$IR$5:$IR$208, "Not Found")</f>
        <v>148.93868804729419</v>
      </c>
      <c r="K1591" cm="1">
        <f t="array" ref="K1591">_xlfn.XLOOKUP(TEXT(A1591, "mmm-yy"), TEXT([2]GASOLINE!$B$5:$B$208, "mmm-yy"), [2]GASOLINE!$IK$5:$IK$208, "Not Found")</f>
        <v>190.29077658508757</v>
      </c>
      <c r="L1591">
        <f t="shared" si="24"/>
        <v>0</v>
      </c>
      <c r="M1591" cm="1">
        <f t="array" ref="M1591">_xlfn.XLOOKUP(TEXT(A1591, "mmm-yy"), TEXT([2]GASOLINE!$B$5:$B$208, "mmm-yy"), [2]GASOLINE!$C$5:$C$208, "Not Found")</f>
        <v>6971.4506267471215</v>
      </c>
      <c r="N1591" cm="1">
        <f t="array" ref="N1591">_xlfn.XLOOKUP(TEXT(A1591, "mmm-yy"), TEXT([2]RUNS!$B$5:$B$208, "mmm-yy"), [2]RUNS!$BM$5:$BM$208, "Not Found")</f>
        <v>0.80021631360288492</v>
      </c>
    </row>
    <row r="1592" spans="1:14" x14ac:dyDescent="0.25">
      <c r="A1592" s="1">
        <f>'[1]Global_Spot Prices'!$B2901</f>
        <v>44231</v>
      </c>
      <c r="B1592">
        <f>_xlfn.XLOOKUP(A1592,'[1]Global_Spot Prices'!$B:$B,'[1]Global_Spot Prices'!$BS:$BS)</f>
        <v>5.3999999999999986</v>
      </c>
      <c r="C1592">
        <f>_xlfn.XLOOKUP(A1592,'[1]Global_Spot Prices'!$B:$B,'[1]Global_Spot Prices'!$E:$E)</f>
        <v>58.31</v>
      </c>
      <c r="D1592">
        <f>_xlfn.XLOOKUP(A1592,'[1]Global_Spot Prices'!$B:$B,'[1]Global_Spot Prices'!$D:$D)</f>
        <v>58.634999999999998</v>
      </c>
      <c r="E1592">
        <f>_xlfn.XLOOKUP(A1592,'[1]Global_Spot Prices'!$B:$B,'[1]Global_Spot Prices'!$H:$H)</f>
        <v>59.61</v>
      </c>
      <c r="F1592">
        <f>_xlfn.XLOOKUP(A1592,'[1]Global_Spot Prices'!$B:$B,'[1]Global_Spot Prices'!$I:$I)</f>
        <v>63.71</v>
      </c>
      <c r="G1592" cm="1">
        <f t="array" ref="G1592">_xlfn.XLOOKUP(TEXT(A1592, "mmm-yy"), TEXT([2]RUNS!$B$5:$B$208, "mmm-yy"), [2]RUNS!$D$5:$D$208, "Not Found")</f>
        <v>29191.330968813723</v>
      </c>
      <c r="H1592" cm="1">
        <f t="array" ref="H1592">SUMPRODUCT(
    --(TEXT('[3]Global Weekly Stock (EWSuez'!$B$4:$B$2000,"mmm-yy")=TEXT(A1592,"mmm-yy")),
    '[3]Global Weekly Stock (EWSuez'!$E$4:$E$2000)
/
SUMPRODUCT(
    --(TEXT('[3]Global Weekly Stock (EWSuez'!$B$4:$B$2000,"mmm-yy")=TEXT(A1592,"mmm-yy"))
)</f>
        <v>15660.75</v>
      </c>
      <c r="I1592">
        <f>_xlfn.XLOOKUP(A1592,[1]ForwardDeriv!$D:$D,[1]ForwardDeriv!$AJ:$AJ)</f>
        <v>0.17000000000000171</v>
      </c>
      <c r="J1592" cm="1">
        <f t="array" ref="J1592">_xlfn.XLOOKUP(TEXT(A1592, "mmm-yy"), TEXT([2]GASOLINE!$B$5:$B$208, "mmm-yy"), [2]GASOLINE!$IR$5:$IR$208, "Not Found")</f>
        <v>148.93868804729419</v>
      </c>
      <c r="K1592" cm="1">
        <f t="array" ref="K1592">_xlfn.XLOOKUP(TEXT(A1592, "mmm-yy"), TEXT([2]GASOLINE!$B$5:$B$208, "mmm-yy"), [2]GASOLINE!$IK$5:$IK$208, "Not Found")</f>
        <v>190.29077658508757</v>
      </c>
      <c r="L1592">
        <f t="shared" si="24"/>
        <v>0</v>
      </c>
      <c r="M1592" cm="1">
        <f t="array" ref="M1592">_xlfn.XLOOKUP(TEXT(A1592, "mmm-yy"), TEXT([2]GASOLINE!$B$5:$B$208, "mmm-yy"), [2]GASOLINE!$C$5:$C$208, "Not Found")</f>
        <v>6971.4506267471215</v>
      </c>
      <c r="N1592" cm="1">
        <f t="array" ref="N1592">_xlfn.XLOOKUP(TEXT(A1592, "mmm-yy"), TEXT([2]RUNS!$B$5:$B$208, "mmm-yy"), [2]RUNS!$BM$5:$BM$208, "Not Found")</f>
        <v>0.80021631360288492</v>
      </c>
    </row>
    <row r="1593" spans="1:14" x14ac:dyDescent="0.25">
      <c r="A1593" s="1">
        <f>'[1]Global_Spot Prices'!$B2902</f>
        <v>44232</v>
      </c>
      <c r="B1593">
        <f>_xlfn.XLOOKUP(A1593,'[1]Global_Spot Prices'!$B:$B,'[1]Global_Spot Prices'!$BS:$BS)</f>
        <v>5.3599999999999994</v>
      </c>
      <c r="C1593">
        <f>_xlfn.XLOOKUP(A1593,'[1]Global_Spot Prices'!$B:$B,'[1]Global_Spot Prices'!$E:$E)</f>
        <v>58.91</v>
      </c>
      <c r="D1593">
        <f>_xlfn.XLOOKUP(A1593,'[1]Global_Spot Prices'!$B:$B,'[1]Global_Spot Prices'!$D:$D)</f>
        <v>59.765000000000001</v>
      </c>
      <c r="E1593">
        <f>_xlfn.XLOOKUP(A1593,'[1]Global_Spot Prices'!$B:$B,'[1]Global_Spot Prices'!$H:$H)</f>
        <v>59.83</v>
      </c>
      <c r="F1593">
        <f>_xlfn.XLOOKUP(A1593,'[1]Global_Spot Prices'!$B:$B,'[1]Global_Spot Prices'!$I:$I)</f>
        <v>64.27</v>
      </c>
      <c r="G1593" cm="1">
        <f t="array" ref="G1593">_xlfn.XLOOKUP(TEXT(A1593, "mmm-yy"), TEXT([2]RUNS!$B$5:$B$208, "mmm-yy"), [2]RUNS!$D$5:$D$208, "Not Found")</f>
        <v>29191.330968813723</v>
      </c>
      <c r="H1593" cm="1">
        <f t="array" ref="H1593">SUMPRODUCT(
    --(TEXT('[3]Global Weekly Stock (EWSuez'!$B$4:$B$2000,"mmm-yy")=TEXT(A1593,"mmm-yy")),
    '[3]Global Weekly Stock (EWSuez'!$E$4:$E$2000)
/
SUMPRODUCT(
    --(TEXT('[3]Global Weekly Stock (EWSuez'!$B$4:$B$2000,"mmm-yy")=TEXT(A1593,"mmm-yy"))
)</f>
        <v>15660.75</v>
      </c>
      <c r="I1593">
        <f>_xlfn.XLOOKUP(A1593,[1]ForwardDeriv!$D:$D,[1]ForwardDeriv!$AJ:$AJ)</f>
        <v>0.21999999999999886</v>
      </c>
      <c r="J1593" cm="1">
        <f t="array" ref="J1593">_xlfn.XLOOKUP(TEXT(A1593, "mmm-yy"), TEXT([2]GASOLINE!$B$5:$B$208, "mmm-yy"), [2]GASOLINE!$IR$5:$IR$208, "Not Found")</f>
        <v>148.93868804729419</v>
      </c>
      <c r="K1593" cm="1">
        <f t="array" ref="K1593">_xlfn.XLOOKUP(TEXT(A1593, "mmm-yy"), TEXT([2]GASOLINE!$B$5:$B$208, "mmm-yy"), [2]GASOLINE!$IK$5:$IK$208, "Not Found")</f>
        <v>190.29077658508757</v>
      </c>
      <c r="L1593">
        <f t="shared" si="24"/>
        <v>0</v>
      </c>
      <c r="M1593" cm="1">
        <f t="array" ref="M1593">_xlfn.XLOOKUP(TEXT(A1593, "mmm-yy"), TEXT([2]GASOLINE!$B$5:$B$208, "mmm-yy"), [2]GASOLINE!$C$5:$C$208, "Not Found")</f>
        <v>6971.4506267471215</v>
      </c>
      <c r="N1593" cm="1">
        <f t="array" ref="N1593">_xlfn.XLOOKUP(TEXT(A1593, "mmm-yy"), TEXT([2]RUNS!$B$5:$B$208, "mmm-yy"), [2]RUNS!$BM$5:$BM$208, "Not Found")</f>
        <v>0.80021631360288492</v>
      </c>
    </row>
    <row r="1594" spans="1:14" x14ac:dyDescent="0.25">
      <c r="A1594" s="1">
        <f>'[1]Global_Spot Prices'!$B2903</f>
        <v>44235</v>
      </c>
      <c r="B1594">
        <f>_xlfn.XLOOKUP(A1594,'[1]Global_Spot Prices'!$B:$B,'[1]Global_Spot Prices'!$BS:$BS)</f>
        <v>5.1099999999999923</v>
      </c>
      <c r="C1594">
        <f>_xlfn.XLOOKUP(A1594,'[1]Global_Spot Prices'!$B:$B,'[1]Global_Spot Prices'!$E:$E)</f>
        <v>59.74</v>
      </c>
      <c r="D1594">
        <f>_xlfn.XLOOKUP(A1594,'[1]Global_Spot Prices'!$B:$B,'[1]Global_Spot Prices'!$D:$D)</f>
        <v>59.905000000000001</v>
      </c>
      <c r="E1594">
        <f>_xlfn.XLOOKUP(A1594,'[1]Global_Spot Prices'!$B:$B,'[1]Global_Spot Prices'!$H:$H)</f>
        <v>60.56</v>
      </c>
      <c r="F1594">
        <f>_xlfn.XLOOKUP(A1594,'[1]Global_Spot Prices'!$B:$B,'[1]Global_Spot Prices'!$I:$I)</f>
        <v>64.849999999999994</v>
      </c>
      <c r="G1594" cm="1">
        <f t="array" ref="G1594">_xlfn.XLOOKUP(TEXT(A1594, "mmm-yy"), TEXT([2]RUNS!$B$5:$B$208, "mmm-yy"), [2]RUNS!$D$5:$D$208, "Not Found")</f>
        <v>29191.330968813723</v>
      </c>
      <c r="H1594" cm="1">
        <f t="array" ref="H1594">SUMPRODUCT(
    --(TEXT('[3]Global Weekly Stock (EWSuez'!$B$4:$B$2000,"mmm-yy")=TEXT(A1594,"mmm-yy")),
    '[3]Global Weekly Stock (EWSuez'!$E$4:$E$2000)
/
SUMPRODUCT(
    --(TEXT('[3]Global Weekly Stock (EWSuez'!$B$4:$B$2000,"mmm-yy")=TEXT(A1594,"mmm-yy"))
)</f>
        <v>15660.75</v>
      </c>
      <c r="I1594">
        <f>_xlfn.XLOOKUP(A1594,[1]ForwardDeriv!$D:$D,[1]ForwardDeriv!$AJ:$AJ)</f>
        <v>0.17000000000000171</v>
      </c>
      <c r="J1594" cm="1">
        <f t="array" ref="J1594">_xlfn.XLOOKUP(TEXT(A1594, "mmm-yy"), TEXT([2]GASOLINE!$B$5:$B$208, "mmm-yy"), [2]GASOLINE!$IR$5:$IR$208, "Not Found")</f>
        <v>148.93868804729419</v>
      </c>
      <c r="K1594" cm="1">
        <f t="array" ref="K1594">_xlfn.XLOOKUP(TEXT(A1594, "mmm-yy"), TEXT([2]GASOLINE!$B$5:$B$208, "mmm-yy"), [2]GASOLINE!$IK$5:$IK$208, "Not Found")</f>
        <v>190.29077658508757</v>
      </c>
      <c r="L1594">
        <f t="shared" si="24"/>
        <v>0</v>
      </c>
      <c r="M1594" cm="1">
        <f t="array" ref="M1594">_xlfn.XLOOKUP(TEXT(A1594, "mmm-yy"), TEXT([2]GASOLINE!$B$5:$B$208, "mmm-yy"), [2]GASOLINE!$C$5:$C$208, "Not Found")</f>
        <v>6971.4506267471215</v>
      </c>
      <c r="N1594" cm="1">
        <f t="array" ref="N1594">_xlfn.XLOOKUP(TEXT(A1594, "mmm-yy"), TEXT([2]RUNS!$B$5:$B$208, "mmm-yy"), [2]RUNS!$BM$5:$BM$208, "Not Found")</f>
        <v>0.80021631360288492</v>
      </c>
    </row>
    <row r="1595" spans="1:14" x14ac:dyDescent="0.25">
      <c r="A1595" s="1">
        <f>'[1]Global_Spot Prices'!$B2904</f>
        <v>44236</v>
      </c>
      <c r="B1595">
        <f>_xlfn.XLOOKUP(A1595,'[1]Global_Spot Prices'!$B:$B,'[1]Global_Spot Prices'!$BS:$BS)</f>
        <v>4.490000000000002</v>
      </c>
      <c r="C1595">
        <f>_xlfn.XLOOKUP(A1595,'[1]Global_Spot Prices'!$B:$B,'[1]Global_Spot Prices'!$E:$E)</f>
        <v>60.46</v>
      </c>
      <c r="D1595">
        <f>_xlfn.XLOOKUP(A1595,'[1]Global_Spot Prices'!$B:$B,'[1]Global_Spot Prices'!$D:$D)</f>
        <v>60.594999999999999</v>
      </c>
      <c r="E1595">
        <f>_xlfn.XLOOKUP(A1595,'[1]Global_Spot Prices'!$B:$B,'[1]Global_Spot Prices'!$H:$H)</f>
        <v>61.24</v>
      </c>
      <c r="F1595">
        <f>_xlfn.XLOOKUP(A1595,'[1]Global_Spot Prices'!$B:$B,'[1]Global_Spot Prices'!$I:$I)</f>
        <v>64.95</v>
      </c>
      <c r="G1595" cm="1">
        <f t="array" ref="G1595">_xlfn.XLOOKUP(TEXT(A1595, "mmm-yy"), TEXT([2]RUNS!$B$5:$B$208, "mmm-yy"), [2]RUNS!$D$5:$D$208, "Not Found")</f>
        <v>29191.330968813723</v>
      </c>
      <c r="H1595" cm="1">
        <f t="array" ref="H1595">SUMPRODUCT(
    --(TEXT('[3]Global Weekly Stock (EWSuez'!$B$4:$B$2000,"mmm-yy")=TEXT(A1595,"mmm-yy")),
    '[3]Global Weekly Stock (EWSuez'!$E$4:$E$2000)
/
SUMPRODUCT(
    --(TEXT('[3]Global Weekly Stock (EWSuez'!$B$4:$B$2000,"mmm-yy")=TEXT(A1595,"mmm-yy"))
)</f>
        <v>15660.75</v>
      </c>
      <c r="I1595">
        <f>_xlfn.XLOOKUP(A1595,[1]ForwardDeriv!$D:$D,[1]ForwardDeriv!$AJ:$AJ)</f>
        <v>6.0000000000002274E-2</v>
      </c>
      <c r="J1595" cm="1">
        <f t="array" ref="J1595">_xlfn.XLOOKUP(TEXT(A1595, "mmm-yy"), TEXT([2]GASOLINE!$B$5:$B$208, "mmm-yy"), [2]GASOLINE!$IR$5:$IR$208, "Not Found")</f>
        <v>148.93868804729419</v>
      </c>
      <c r="K1595" cm="1">
        <f t="array" ref="K1595">_xlfn.XLOOKUP(TEXT(A1595, "mmm-yy"), TEXT([2]GASOLINE!$B$5:$B$208, "mmm-yy"), [2]GASOLINE!$IK$5:$IK$208, "Not Found")</f>
        <v>190.29077658508757</v>
      </c>
      <c r="L1595">
        <f t="shared" si="24"/>
        <v>0</v>
      </c>
      <c r="M1595" cm="1">
        <f t="array" ref="M1595">_xlfn.XLOOKUP(TEXT(A1595, "mmm-yy"), TEXT([2]GASOLINE!$B$5:$B$208, "mmm-yy"), [2]GASOLINE!$C$5:$C$208, "Not Found")</f>
        <v>6971.4506267471215</v>
      </c>
      <c r="N1595" cm="1">
        <f t="array" ref="N1595">_xlfn.XLOOKUP(TEXT(A1595, "mmm-yy"), TEXT([2]RUNS!$B$5:$B$208, "mmm-yy"), [2]RUNS!$BM$5:$BM$208, "Not Found")</f>
        <v>0.80021631360288492</v>
      </c>
    </row>
    <row r="1596" spans="1:14" x14ac:dyDescent="0.25">
      <c r="A1596" s="1">
        <f>'[1]Global_Spot Prices'!$B2905</f>
        <v>44237</v>
      </c>
      <c r="B1596">
        <f>_xlfn.XLOOKUP(A1596,'[1]Global_Spot Prices'!$B:$B,'[1]Global_Spot Prices'!$BS:$BS)</f>
        <v>3.8699999999999974</v>
      </c>
      <c r="C1596">
        <f>_xlfn.XLOOKUP(A1596,'[1]Global_Spot Prices'!$B:$B,'[1]Global_Spot Prices'!$E:$E)</f>
        <v>60.35</v>
      </c>
      <c r="D1596">
        <f>_xlfn.XLOOKUP(A1596,'[1]Global_Spot Prices'!$B:$B,'[1]Global_Spot Prices'!$D:$D)</f>
        <v>61.234999999999999</v>
      </c>
      <c r="E1596">
        <f>_xlfn.XLOOKUP(A1596,'[1]Global_Spot Prices'!$B:$B,'[1]Global_Spot Prices'!$H:$H)</f>
        <v>59.96</v>
      </c>
      <c r="F1596">
        <f>_xlfn.XLOOKUP(A1596,'[1]Global_Spot Prices'!$B:$B,'[1]Global_Spot Prices'!$I:$I)</f>
        <v>64.22</v>
      </c>
      <c r="G1596" cm="1">
        <f t="array" ref="G1596">_xlfn.XLOOKUP(TEXT(A1596, "mmm-yy"), TEXT([2]RUNS!$B$5:$B$208, "mmm-yy"), [2]RUNS!$D$5:$D$208, "Not Found")</f>
        <v>29191.330968813723</v>
      </c>
      <c r="H1596" cm="1">
        <f t="array" ref="H1596">SUMPRODUCT(
    --(TEXT('[3]Global Weekly Stock (EWSuez'!$B$4:$B$2000,"mmm-yy")=TEXT(A1596,"mmm-yy")),
    '[3]Global Weekly Stock (EWSuez'!$E$4:$E$2000)
/
SUMPRODUCT(
    --(TEXT('[3]Global Weekly Stock (EWSuez'!$B$4:$B$2000,"mmm-yy")=TEXT(A1596,"mmm-yy"))
)</f>
        <v>15660.75</v>
      </c>
      <c r="I1596">
        <f>_xlfn.XLOOKUP(A1596,[1]ForwardDeriv!$D:$D,[1]ForwardDeriv!$AJ:$AJ)</f>
        <v>-3.0000000000001137E-2</v>
      </c>
      <c r="J1596" cm="1">
        <f t="array" ref="J1596">_xlfn.XLOOKUP(TEXT(A1596, "mmm-yy"), TEXT([2]GASOLINE!$B$5:$B$208, "mmm-yy"), [2]GASOLINE!$IR$5:$IR$208, "Not Found")</f>
        <v>148.93868804729419</v>
      </c>
      <c r="K1596" cm="1">
        <f t="array" ref="K1596">_xlfn.XLOOKUP(TEXT(A1596, "mmm-yy"), TEXT([2]GASOLINE!$B$5:$B$208, "mmm-yy"), [2]GASOLINE!$IK$5:$IK$208, "Not Found")</f>
        <v>190.29077658508757</v>
      </c>
      <c r="L1596">
        <f t="shared" si="24"/>
        <v>0</v>
      </c>
      <c r="M1596" cm="1">
        <f t="array" ref="M1596">_xlfn.XLOOKUP(TEXT(A1596, "mmm-yy"), TEXT([2]GASOLINE!$B$5:$B$208, "mmm-yy"), [2]GASOLINE!$C$5:$C$208, "Not Found")</f>
        <v>6971.4506267471215</v>
      </c>
      <c r="N1596" cm="1">
        <f t="array" ref="N1596">_xlfn.XLOOKUP(TEXT(A1596, "mmm-yy"), TEXT([2]RUNS!$B$5:$B$208, "mmm-yy"), [2]RUNS!$BM$5:$BM$208, "Not Found")</f>
        <v>0.80021631360288492</v>
      </c>
    </row>
    <row r="1597" spans="1:14" x14ac:dyDescent="0.25">
      <c r="A1597" s="1">
        <f>'[1]Global_Spot Prices'!$B2906</f>
        <v>44238</v>
      </c>
      <c r="B1597">
        <f>_xlfn.XLOOKUP(A1597,'[1]Global_Spot Prices'!$B:$B,'[1]Global_Spot Prices'!$BS:$BS)</f>
        <v>3.6199999999999974</v>
      </c>
      <c r="C1597">
        <f>_xlfn.XLOOKUP(A1597,'[1]Global_Spot Prices'!$B:$B,'[1]Global_Spot Prices'!$E:$E)</f>
        <v>60.51</v>
      </c>
      <c r="D1597">
        <f>_xlfn.XLOOKUP(A1597,'[1]Global_Spot Prices'!$B:$B,'[1]Global_Spot Prices'!$D:$D)</f>
        <v>61.314999999999998</v>
      </c>
      <c r="E1597">
        <f>_xlfn.XLOOKUP(A1597,'[1]Global_Spot Prices'!$B:$B,'[1]Global_Spot Prices'!$H:$H)</f>
        <v>59.74</v>
      </c>
      <c r="F1597">
        <f>_xlfn.XLOOKUP(A1597,'[1]Global_Spot Prices'!$B:$B,'[1]Global_Spot Prices'!$I:$I)</f>
        <v>64.13</v>
      </c>
      <c r="G1597" cm="1">
        <f t="array" ref="G1597">_xlfn.XLOOKUP(TEXT(A1597, "mmm-yy"), TEXT([2]RUNS!$B$5:$B$208, "mmm-yy"), [2]RUNS!$D$5:$D$208, "Not Found")</f>
        <v>29191.330968813723</v>
      </c>
      <c r="H1597" cm="1">
        <f t="array" ref="H1597">SUMPRODUCT(
    --(TEXT('[3]Global Weekly Stock (EWSuez'!$B$4:$B$2000,"mmm-yy")=TEXT(A1597,"mmm-yy")),
    '[3]Global Weekly Stock (EWSuez'!$E$4:$E$2000)
/
SUMPRODUCT(
    --(TEXT('[3]Global Weekly Stock (EWSuez'!$B$4:$B$2000,"mmm-yy")=TEXT(A1597,"mmm-yy"))
)</f>
        <v>15660.75</v>
      </c>
      <c r="I1597">
        <f>_xlfn.XLOOKUP(A1597,[1]ForwardDeriv!$D:$D,[1]ForwardDeriv!$AJ:$AJ)</f>
        <v>-0.12000000000000455</v>
      </c>
      <c r="J1597" cm="1">
        <f t="array" ref="J1597">_xlfn.XLOOKUP(TEXT(A1597, "mmm-yy"), TEXT([2]GASOLINE!$B$5:$B$208, "mmm-yy"), [2]GASOLINE!$IR$5:$IR$208, "Not Found")</f>
        <v>148.93868804729419</v>
      </c>
      <c r="K1597" cm="1">
        <f t="array" ref="K1597">_xlfn.XLOOKUP(TEXT(A1597, "mmm-yy"), TEXT([2]GASOLINE!$B$5:$B$208, "mmm-yy"), [2]GASOLINE!$IK$5:$IK$208, "Not Found")</f>
        <v>190.29077658508757</v>
      </c>
      <c r="L1597">
        <f t="shared" si="24"/>
        <v>0</v>
      </c>
      <c r="M1597" cm="1">
        <f t="array" ref="M1597">_xlfn.XLOOKUP(TEXT(A1597, "mmm-yy"), TEXT([2]GASOLINE!$B$5:$B$208, "mmm-yy"), [2]GASOLINE!$C$5:$C$208, "Not Found")</f>
        <v>6971.4506267471215</v>
      </c>
      <c r="N1597" cm="1">
        <f t="array" ref="N1597">_xlfn.XLOOKUP(TEXT(A1597, "mmm-yy"), TEXT([2]RUNS!$B$5:$B$208, "mmm-yy"), [2]RUNS!$BM$5:$BM$208, "Not Found")</f>
        <v>0.80021631360288492</v>
      </c>
    </row>
    <row r="1598" spans="1:14" x14ac:dyDescent="0.25">
      <c r="A1598" s="1">
        <f>'[1]Global_Spot Prices'!$B2907</f>
        <v>44239</v>
      </c>
      <c r="B1598" t="e">
        <f>_xlfn.XLOOKUP(A1598,'[1]Global_Spot Prices'!$B:$B,'[1]Global_Spot Prices'!$BS:$BS)</f>
        <v>#N/A</v>
      </c>
      <c r="C1598" t="str">
        <f>_xlfn.XLOOKUP(A1598,'[1]Global_Spot Prices'!$B:$B,'[1]Global_Spot Prices'!$E:$E)</f>
        <v/>
      </c>
      <c r="D1598">
        <f>_xlfn.XLOOKUP(A1598,'[1]Global_Spot Prices'!$B:$B,'[1]Global_Spot Prices'!$D:$D)</f>
        <v>62.045000000000002</v>
      </c>
      <c r="E1598">
        <f>_xlfn.XLOOKUP(A1598,'[1]Global_Spot Prices'!$B:$B,'[1]Global_Spot Prices'!$H:$H)</f>
        <v>0</v>
      </c>
      <c r="F1598">
        <f>_xlfn.XLOOKUP(A1598,'[1]Global_Spot Prices'!$B:$B,'[1]Global_Spot Prices'!$I:$I)</f>
        <v>0</v>
      </c>
      <c r="G1598" cm="1">
        <f t="array" ref="G1598">_xlfn.XLOOKUP(TEXT(A1598, "mmm-yy"), TEXT([2]RUNS!$B$5:$B$208, "mmm-yy"), [2]RUNS!$D$5:$D$208, "Not Found")</f>
        <v>29191.330968813723</v>
      </c>
      <c r="H1598" cm="1">
        <f t="array" ref="H1598">SUMPRODUCT(
    --(TEXT('[3]Global Weekly Stock (EWSuez'!$B$4:$B$2000,"mmm-yy")=TEXT(A1598,"mmm-yy")),
    '[3]Global Weekly Stock (EWSuez'!$E$4:$E$2000)
/
SUMPRODUCT(
    --(TEXT('[3]Global Weekly Stock (EWSuez'!$B$4:$B$2000,"mmm-yy")=TEXT(A1598,"mmm-yy"))
)</f>
        <v>15660.75</v>
      </c>
      <c r="I1598">
        <f>_xlfn.XLOOKUP(A1598,[1]ForwardDeriv!$D:$D,[1]ForwardDeriv!$AJ:$AJ)</f>
        <v>-1.9999999999996021E-2</v>
      </c>
      <c r="J1598" cm="1">
        <f t="array" ref="J1598">_xlfn.XLOOKUP(TEXT(A1598, "mmm-yy"), TEXT([2]GASOLINE!$B$5:$B$208, "mmm-yy"), [2]GASOLINE!$IR$5:$IR$208, "Not Found")</f>
        <v>148.93868804729419</v>
      </c>
      <c r="K1598" cm="1">
        <f t="array" ref="K1598">_xlfn.XLOOKUP(TEXT(A1598, "mmm-yy"), TEXT([2]GASOLINE!$B$5:$B$208, "mmm-yy"), [2]GASOLINE!$IK$5:$IK$208, "Not Found")</f>
        <v>190.29077658508757</v>
      </c>
      <c r="L1598">
        <f t="shared" si="24"/>
        <v>0</v>
      </c>
      <c r="M1598" cm="1">
        <f t="array" ref="M1598">_xlfn.XLOOKUP(TEXT(A1598, "mmm-yy"), TEXT([2]GASOLINE!$B$5:$B$208, "mmm-yy"), [2]GASOLINE!$C$5:$C$208, "Not Found")</f>
        <v>6971.4506267471215</v>
      </c>
      <c r="N1598" cm="1">
        <f t="array" ref="N1598">_xlfn.XLOOKUP(TEXT(A1598, "mmm-yy"), TEXT([2]RUNS!$B$5:$B$208, "mmm-yy"), [2]RUNS!$BM$5:$BM$208, "Not Found")</f>
        <v>0.80021631360288492</v>
      </c>
    </row>
    <row r="1599" spans="1:14" x14ac:dyDescent="0.25">
      <c r="A1599" s="1">
        <f>'[1]Global_Spot Prices'!$B2908</f>
        <v>44242</v>
      </c>
      <c r="B1599">
        <f>_xlfn.XLOOKUP(A1599,'[1]Global_Spot Prices'!$B:$B,'[1]Global_Spot Prices'!$BS:$BS)</f>
        <v>4.2499999999999929</v>
      </c>
      <c r="C1599">
        <f>_xlfn.XLOOKUP(A1599,'[1]Global_Spot Prices'!$B:$B,'[1]Global_Spot Prices'!$E:$E)</f>
        <v>62.46</v>
      </c>
      <c r="D1599">
        <f>_xlfn.XLOOKUP(A1599,'[1]Global_Spot Prices'!$B:$B,'[1]Global_Spot Prices'!$D:$D)</f>
        <v>64.064999999999998</v>
      </c>
      <c r="E1599">
        <f>_xlfn.XLOOKUP(A1599,'[1]Global_Spot Prices'!$B:$B,'[1]Global_Spot Prices'!$H:$H)</f>
        <v>61.3</v>
      </c>
      <c r="F1599">
        <f>_xlfn.XLOOKUP(A1599,'[1]Global_Spot Prices'!$B:$B,'[1]Global_Spot Prices'!$I:$I)</f>
        <v>66.709999999999994</v>
      </c>
      <c r="G1599" cm="1">
        <f t="array" ref="G1599">_xlfn.XLOOKUP(TEXT(A1599, "mmm-yy"), TEXT([2]RUNS!$B$5:$B$208, "mmm-yy"), [2]RUNS!$D$5:$D$208, "Not Found")</f>
        <v>29191.330968813723</v>
      </c>
      <c r="H1599" cm="1">
        <f t="array" ref="H1599">SUMPRODUCT(
    --(TEXT('[3]Global Weekly Stock (EWSuez'!$B$4:$B$2000,"mmm-yy")=TEXT(A1599,"mmm-yy")),
    '[3]Global Weekly Stock (EWSuez'!$E$4:$E$2000)
/
SUMPRODUCT(
    --(TEXT('[3]Global Weekly Stock (EWSuez'!$B$4:$B$2000,"mmm-yy")=TEXT(A1599,"mmm-yy"))
)</f>
        <v>15660.75</v>
      </c>
      <c r="I1599">
        <f>_xlfn.XLOOKUP(A1599,[1]ForwardDeriv!$D:$D,[1]ForwardDeriv!$AJ:$AJ)</f>
        <v>-1.9999999999996021E-2</v>
      </c>
      <c r="J1599" cm="1">
        <f t="array" ref="J1599">_xlfn.XLOOKUP(TEXT(A1599, "mmm-yy"), TEXT([2]GASOLINE!$B$5:$B$208, "mmm-yy"), [2]GASOLINE!$IR$5:$IR$208, "Not Found")</f>
        <v>148.93868804729419</v>
      </c>
      <c r="K1599" cm="1">
        <f t="array" ref="K1599">_xlfn.XLOOKUP(TEXT(A1599, "mmm-yy"), TEXT([2]GASOLINE!$B$5:$B$208, "mmm-yy"), [2]GASOLINE!$IK$5:$IK$208, "Not Found")</f>
        <v>190.29077658508757</v>
      </c>
      <c r="L1599">
        <f t="shared" si="24"/>
        <v>0</v>
      </c>
      <c r="M1599" cm="1">
        <f t="array" ref="M1599">_xlfn.XLOOKUP(TEXT(A1599, "mmm-yy"), TEXT([2]GASOLINE!$B$5:$B$208, "mmm-yy"), [2]GASOLINE!$C$5:$C$208, "Not Found")</f>
        <v>6971.4506267471215</v>
      </c>
      <c r="N1599" cm="1">
        <f t="array" ref="N1599">_xlfn.XLOOKUP(TEXT(A1599, "mmm-yy"), TEXT([2]RUNS!$B$5:$B$208, "mmm-yy"), [2]RUNS!$BM$5:$BM$208, "Not Found")</f>
        <v>0.80021631360288492</v>
      </c>
    </row>
    <row r="1600" spans="1:14" x14ac:dyDescent="0.25">
      <c r="A1600" s="1">
        <f>'[1]Global_Spot Prices'!$B2909</f>
        <v>44243</v>
      </c>
      <c r="B1600">
        <f>_xlfn.XLOOKUP(A1600,'[1]Global_Spot Prices'!$B:$B,'[1]Global_Spot Prices'!$BS:$BS)</f>
        <v>5.3350000000000009</v>
      </c>
      <c r="C1600">
        <f>_xlfn.XLOOKUP(A1600,'[1]Global_Spot Prices'!$B:$B,'[1]Global_Spot Prices'!$E:$E)</f>
        <v>62.255000000000003</v>
      </c>
      <c r="D1600">
        <f>_xlfn.XLOOKUP(A1600,'[1]Global_Spot Prices'!$B:$B,'[1]Global_Spot Prices'!$D:$D)</f>
        <v>63.564999999999998</v>
      </c>
      <c r="E1600">
        <f>_xlfn.XLOOKUP(A1600,'[1]Global_Spot Prices'!$B:$B,'[1]Global_Spot Prices'!$H:$H)</f>
        <v>61.67</v>
      </c>
      <c r="F1600">
        <f>_xlfn.XLOOKUP(A1600,'[1]Global_Spot Prices'!$B:$B,'[1]Global_Spot Prices'!$I:$I)</f>
        <v>67.59</v>
      </c>
      <c r="G1600" cm="1">
        <f t="array" ref="G1600">_xlfn.XLOOKUP(TEXT(A1600, "mmm-yy"), TEXT([2]RUNS!$B$5:$B$208, "mmm-yy"), [2]RUNS!$D$5:$D$208, "Not Found")</f>
        <v>29191.330968813723</v>
      </c>
      <c r="H1600" cm="1">
        <f t="array" ref="H1600">SUMPRODUCT(
    --(TEXT('[3]Global Weekly Stock (EWSuez'!$B$4:$B$2000,"mmm-yy")=TEXT(A1600,"mmm-yy")),
    '[3]Global Weekly Stock (EWSuez'!$E$4:$E$2000)
/
SUMPRODUCT(
    --(TEXT('[3]Global Weekly Stock (EWSuez'!$B$4:$B$2000,"mmm-yy")=TEXT(A1600,"mmm-yy"))
)</f>
        <v>15660.75</v>
      </c>
      <c r="I1600">
        <f>_xlfn.XLOOKUP(A1600,[1]ForwardDeriv!$D:$D,[1]ForwardDeriv!$AJ:$AJ)</f>
        <v>6.0000000000002274E-2</v>
      </c>
      <c r="J1600" cm="1">
        <f t="array" ref="J1600">_xlfn.XLOOKUP(TEXT(A1600, "mmm-yy"), TEXT([2]GASOLINE!$B$5:$B$208, "mmm-yy"), [2]GASOLINE!$IR$5:$IR$208, "Not Found")</f>
        <v>148.93868804729419</v>
      </c>
      <c r="K1600" cm="1">
        <f t="array" ref="K1600">_xlfn.XLOOKUP(TEXT(A1600, "mmm-yy"), TEXT([2]GASOLINE!$B$5:$B$208, "mmm-yy"), [2]GASOLINE!$IK$5:$IK$208, "Not Found")</f>
        <v>190.29077658508757</v>
      </c>
      <c r="L1600">
        <f t="shared" si="24"/>
        <v>0</v>
      </c>
      <c r="M1600" cm="1">
        <f t="array" ref="M1600">_xlfn.XLOOKUP(TEXT(A1600, "mmm-yy"), TEXT([2]GASOLINE!$B$5:$B$208, "mmm-yy"), [2]GASOLINE!$C$5:$C$208, "Not Found")</f>
        <v>6971.4506267471215</v>
      </c>
      <c r="N1600" cm="1">
        <f t="array" ref="N1600">_xlfn.XLOOKUP(TEXT(A1600, "mmm-yy"), TEXT([2]RUNS!$B$5:$B$208, "mmm-yy"), [2]RUNS!$BM$5:$BM$208, "Not Found")</f>
        <v>0.80021631360288492</v>
      </c>
    </row>
    <row r="1601" spans="1:14" x14ac:dyDescent="0.25">
      <c r="A1601" s="1">
        <f>'[1]Global_Spot Prices'!$B2910</f>
        <v>44244</v>
      </c>
      <c r="B1601">
        <f>_xlfn.XLOOKUP(A1601,'[1]Global_Spot Prices'!$B:$B,'[1]Global_Spot Prices'!$BS:$BS)</f>
        <v>5.3000000000000043</v>
      </c>
      <c r="C1601">
        <f>_xlfn.XLOOKUP(A1601,'[1]Global_Spot Prices'!$B:$B,'[1]Global_Spot Prices'!$E:$E)</f>
        <v>62.76</v>
      </c>
      <c r="D1601">
        <f>_xlfn.XLOOKUP(A1601,'[1]Global_Spot Prices'!$B:$B,'[1]Global_Spot Prices'!$D:$D)</f>
        <v>64.155000000000001</v>
      </c>
      <c r="E1601">
        <f>_xlfn.XLOOKUP(A1601,'[1]Global_Spot Prices'!$B:$B,'[1]Global_Spot Prices'!$H:$H)</f>
        <v>62.1</v>
      </c>
      <c r="F1601">
        <f>_xlfn.XLOOKUP(A1601,'[1]Global_Spot Prices'!$B:$B,'[1]Global_Spot Prices'!$I:$I)</f>
        <v>68.06</v>
      </c>
      <c r="G1601" cm="1">
        <f t="array" ref="G1601">_xlfn.XLOOKUP(TEXT(A1601, "mmm-yy"), TEXT([2]RUNS!$B$5:$B$208, "mmm-yy"), [2]RUNS!$D$5:$D$208, "Not Found")</f>
        <v>29191.330968813723</v>
      </c>
      <c r="H1601" cm="1">
        <f t="array" ref="H1601">SUMPRODUCT(
    --(TEXT('[3]Global Weekly Stock (EWSuez'!$B$4:$B$2000,"mmm-yy")=TEXT(A1601,"mmm-yy")),
    '[3]Global Weekly Stock (EWSuez'!$E$4:$E$2000)
/
SUMPRODUCT(
    --(TEXT('[3]Global Weekly Stock (EWSuez'!$B$4:$B$2000,"mmm-yy")=TEXT(A1601,"mmm-yy"))
)</f>
        <v>15660.75</v>
      </c>
      <c r="I1601">
        <f>_xlfn.XLOOKUP(A1601,[1]ForwardDeriv!$D:$D,[1]ForwardDeriv!$AJ:$AJ)</f>
        <v>9.9999999999994316E-2</v>
      </c>
      <c r="J1601" cm="1">
        <f t="array" ref="J1601">_xlfn.XLOOKUP(TEXT(A1601, "mmm-yy"), TEXT([2]GASOLINE!$B$5:$B$208, "mmm-yy"), [2]GASOLINE!$IR$5:$IR$208, "Not Found")</f>
        <v>148.93868804729419</v>
      </c>
      <c r="K1601" cm="1">
        <f t="array" ref="K1601">_xlfn.XLOOKUP(TEXT(A1601, "mmm-yy"), TEXT([2]GASOLINE!$B$5:$B$208, "mmm-yy"), [2]GASOLINE!$IK$5:$IK$208, "Not Found")</f>
        <v>190.29077658508757</v>
      </c>
      <c r="L1601">
        <f t="shared" si="24"/>
        <v>0</v>
      </c>
      <c r="M1601" cm="1">
        <f t="array" ref="M1601">_xlfn.XLOOKUP(TEXT(A1601, "mmm-yy"), TEXT([2]GASOLINE!$B$5:$B$208, "mmm-yy"), [2]GASOLINE!$C$5:$C$208, "Not Found")</f>
        <v>6971.4506267471215</v>
      </c>
      <c r="N1601" cm="1">
        <f t="array" ref="N1601">_xlfn.XLOOKUP(TEXT(A1601, "mmm-yy"), TEXT([2]RUNS!$B$5:$B$208, "mmm-yy"), [2]RUNS!$BM$5:$BM$208, "Not Found")</f>
        <v>0.80021631360288492</v>
      </c>
    </row>
    <row r="1602" spans="1:14" x14ac:dyDescent="0.25">
      <c r="A1602" s="1">
        <f>'[1]Global_Spot Prices'!$B2911</f>
        <v>44245</v>
      </c>
      <c r="B1602">
        <f>_xlfn.XLOOKUP(A1602,'[1]Global_Spot Prices'!$B:$B,'[1]Global_Spot Prices'!$BS:$BS)</f>
        <v>6.3699999999999974</v>
      </c>
      <c r="C1602">
        <f ca="1">_xlfn.XLOOKUP(A1602,'[1]Global_Spot Prices'!$B:$B,'[1]Global_Spot Prices'!$E:$E)</f>
        <v>63.21</v>
      </c>
      <c r="D1602">
        <f>_xlfn.XLOOKUP(A1602,'[1]Global_Spot Prices'!$B:$B,'[1]Global_Spot Prices'!$D:$D)</f>
        <v>64.66</v>
      </c>
      <c r="E1602">
        <f>_xlfn.XLOOKUP(A1602,'[1]Global_Spot Prices'!$B:$B,'[1]Global_Spot Prices'!$H:$H)</f>
        <v>63.42</v>
      </c>
      <c r="F1602">
        <f>_xlfn.XLOOKUP(A1602,'[1]Global_Spot Prices'!$B:$B,'[1]Global_Spot Prices'!$I:$I)</f>
        <v>69.58</v>
      </c>
      <c r="G1602" cm="1">
        <f t="array" ref="G1602">_xlfn.XLOOKUP(TEXT(A1602, "mmm-yy"), TEXT([2]RUNS!$B$5:$B$208, "mmm-yy"), [2]RUNS!$D$5:$D$208, "Not Found")</f>
        <v>29191.330968813723</v>
      </c>
      <c r="H1602" cm="1">
        <f t="array" ref="H1602">SUMPRODUCT(
    --(TEXT('[3]Global Weekly Stock (EWSuez'!$B$4:$B$2000,"mmm-yy")=TEXT(A1602,"mmm-yy")),
    '[3]Global Weekly Stock (EWSuez'!$E$4:$E$2000)
/
SUMPRODUCT(
    --(TEXT('[3]Global Weekly Stock (EWSuez'!$B$4:$B$2000,"mmm-yy")=TEXT(A1602,"mmm-yy"))
)</f>
        <v>15660.75</v>
      </c>
      <c r="I1602">
        <f>_xlfn.XLOOKUP(A1602,[1]ForwardDeriv!$D:$D,[1]ForwardDeriv!$AJ:$AJ)</f>
        <v>0.21000000000000796</v>
      </c>
      <c r="J1602" cm="1">
        <f t="array" ref="J1602">_xlfn.XLOOKUP(TEXT(A1602, "mmm-yy"), TEXT([2]GASOLINE!$B$5:$B$208, "mmm-yy"), [2]GASOLINE!$IR$5:$IR$208, "Not Found")</f>
        <v>148.93868804729419</v>
      </c>
      <c r="K1602" cm="1">
        <f t="array" ref="K1602">_xlfn.XLOOKUP(TEXT(A1602, "mmm-yy"), TEXT([2]GASOLINE!$B$5:$B$208, "mmm-yy"), [2]GASOLINE!$IK$5:$IK$208, "Not Found")</f>
        <v>190.29077658508757</v>
      </c>
      <c r="L1602">
        <f t="shared" si="24"/>
        <v>0</v>
      </c>
      <c r="M1602" cm="1">
        <f t="array" ref="M1602">_xlfn.XLOOKUP(TEXT(A1602, "mmm-yy"), TEXT([2]GASOLINE!$B$5:$B$208, "mmm-yy"), [2]GASOLINE!$C$5:$C$208, "Not Found")</f>
        <v>6971.4506267471215</v>
      </c>
      <c r="N1602" cm="1">
        <f t="array" ref="N1602">_xlfn.XLOOKUP(TEXT(A1602, "mmm-yy"), TEXT([2]RUNS!$B$5:$B$208, "mmm-yy"), [2]RUNS!$BM$5:$BM$208, "Not Found")</f>
        <v>0.80021631360288492</v>
      </c>
    </row>
    <row r="1603" spans="1:14" x14ac:dyDescent="0.25">
      <c r="A1603" s="1">
        <f>'[1]Global_Spot Prices'!$B2912</f>
        <v>44246</v>
      </c>
      <c r="B1603">
        <f>_xlfn.XLOOKUP(A1603,'[1]Global_Spot Prices'!$B:$B,'[1]Global_Spot Prices'!$BS:$BS)</f>
        <v>6.9249999999999972</v>
      </c>
      <c r="C1603">
        <f>_xlfn.XLOOKUP(A1603,'[1]Global_Spot Prices'!$B:$B,'[1]Global_Spot Prices'!$E:$E)</f>
        <v>60.795000000000002</v>
      </c>
      <c r="D1603">
        <f>_xlfn.XLOOKUP(A1603,'[1]Global_Spot Prices'!$B:$B,'[1]Global_Spot Prices'!$D:$D)</f>
        <v>63.44</v>
      </c>
      <c r="E1603">
        <f>_xlfn.XLOOKUP(A1603,'[1]Global_Spot Prices'!$B:$B,'[1]Global_Spot Prices'!$H:$H)</f>
        <v>62.7</v>
      </c>
      <c r="F1603">
        <f>_xlfn.XLOOKUP(A1603,'[1]Global_Spot Prices'!$B:$B,'[1]Global_Spot Prices'!$I:$I)</f>
        <v>67.72</v>
      </c>
      <c r="G1603" cm="1">
        <f t="array" ref="G1603">_xlfn.XLOOKUP(TEXT(A1603, "mmm-yy"), TEXT([2]RUNS!$B$5:$B$208, "mmm-yy"), [2]RUNS!$D$5:$D$208, "Not Found")</f>
        <v>29191.330968813723</v>
      </c>
      <c r="H1603" cm="1">
        <f t="array" ref="H1603">SUMPRODUCT(
    --(TEXT('[3]Global Weekly Stock (EWSuez'!$B$4:$B$2000,"mmm-yy")=TEXT(A1603,"mmm-yy")),
    '[3]Global Weekly Stock (EWSuez'!$E$4:$E$2000)
/
SUMPRODUCT(
    --(TEXT('[3]Global Weekly Stock (EWSuez'!$B$4:$B$2000,"mmm-yy")=TEXT(A1603,"mmm-yy"))
)</f>
        <v>15660.75</v>
      </c>
      <c r="I1603">
        <f>_xlfn.XLOOKUP(A1603,[1]ForwardDeriv!$D:$D,[1]ForwardDeriv!$AJ:$AJ)</f>
        <v>0.25999999999999091</v>
      </c>
      <c r="J1603" cm="1">
        <f t="array" ref="J1603">_xlfn.XLOOKUP(TEXT(A1603, "mmm-yy"), TEXT([2]GASOLINE!$B$5:$B$208, "mmm-yy"), [2]GASOLINE!$IR$5:$IR$208, "Not Found")</f>
        <v>148.93868804729419</v>
      </c>
      <c r="K1603" cm="1">
        <f t="array" ref="K1603">_xlfn.XLOOKUP(TEXT(A1603, "mmm-yy"), TEXT([2]GASOLINE!$B$5:$B$208, "mmm-yy"), [2]GASOLINE!$IK$5:$IK$208, "Not Found")</f>
        <v>190.29077658508757</v>
      </c>
      <c r="L1603">
        <f t="shared" ref="L1603:L1666" si="25">IF(OR(MONTH(A1603)=6, MONTH(A1603)=7, MONTH(A1603)=8, MONTH(A1603)=9), 1, 0)</f>
        <v>0</v>
      </c>
      <c r="M1603" cm="1">
        <f t="array" ref="M1603">_xlfn.XLOOKUP(TEXT(A1603, "mmm-yy"), TEXT([2]GASOLINE!$B$5:$B$208, "mmm-yy"), [2]GASOLINE!$C$5:$C$208, "Not Found")</f>
        <v>6971.4506267471215</v>
      </c>
      <c r="N1603" cm="1">
        <f t="array" ref="N1603">_xlfn.XLOOKUP(TEXT(A1603, "mmm-yy"), TEXT([2]RUNS!$B$5:$B$208, "mmm-yy"), [2]RUNS!$BM$5:$BM$208, "Not Found")</f>
        <v>0.80021631360288492</v>
      </c>
    </row>
    <row r="1604" spans="1:14" x14ac:dyDescent="0.25">
      <c r="A1604" s="1">
        <f>'[1]Global_Spot Prices'!$B2913</f>
        <v>44249</v>
      </c>
      <c r="B1604">
        <f>_xlfn.XLOOKUP(A1604,'[1]Global_Spot Prices'!$B:$B,'[1]Global_Spot Prices'!$BS:$BS)</f>
        <v>7.0500000000000043</v>
      </c>
      <c r="C1604">
        <f>_xlfn.XLOOKUP(A1604,'[1]Global_Spot Prices'!$B:$B,'[1]Global_Spot Prices'!$E:$E)</f>
        <v>61.24</v>
      </c>
      <c r="D1604">
        <f>_xlfn.XLOOKUP(A1604,'[1]Global_Spot Prices'!$B:$B,'[1]Global_Spot Prices'!$D:$D)</f>
        <v>64.25</v>
      </c>
      <c r="E1604">
        <f>_xlfn.XLOOKUP(A1604,'[1]Global_Spot Prices'!$B:$B,'[1]Global_Spot Prices'!$H:$H)</f>
        <v>63.04</v>
      </c>
      <c r="F1604">
        <f>_xlfn.XLOOKUP(A1604,'[1]Global_Spot Prices'!$B:$B,'[1]Global_Spot Prices'!$I:$I)</f>
        <v>68.290000000000006</v>
      </c>
      <c r="G1604" cm="1">
        <f t="array" ref="G1604">_xlfn.XLOOKUP(TEXT(A1604, "mmm-yy"), TEXT([2]RUNS!$B$5:$B$208, "mmm-yy"), [2]RUNS!$D$5:$D$208, "Not Found")</f>
        <v>29191.330968813723</v>
      </c>
      <c r="H1604" cm="1">
        <f t="array" ref="H1604">SUMPRODUCT(
    --(TEXT('[3]Global Weekly Stock (EWSuez'!$B$4:$B$2000,"mmm-yy")=TEXT(A1604,"mmm-yy")),
    '[3]Global Weekly Stock (EWSuez'!$E$4:$E$2000)
/
SUMPRODUCT(
    --(TEXT('[3]Global Weekly Stock (EWSuez'!$B$4:$B$2000,"mmm-yy")=TEXT(A1604,"mmm-yy"))
)</f>
        <v>15660.75</v>
      </c>
      <c r="I1604">
        <f>_xlfn.XLOOKUP(A1604,[1]ForwardDeriv!$D:$D,[1]ForwardDeriv!$AJ:$AJ)</f>
        <v>0.25</v>
      </c>
      <c r="J1604" cm="1">
        <f t="array" ref="J1604">_xlfn.XLOOKUP(TEXT(A1604, "mmm-yy"), TEXT([2]GASOLINE!$B$5:$B$208, "mmm-yy"), [2]GASOLINE!$IR$5:$IR$208, "Not Found")</f>
        <v>148.93868804729419</v>
      </c>
      <c r="K1604" cm="1">
        <f t="array" ref="K1604">_xlfn.XLOOKUP(TEXT(A1604, "mmm-yy"), TEXT([2]GASOLINE!$B$5:$B$208, "mmm-yy"), [2]GASOLINE!$IK$5:$IK$208, "Not Found")</f>
        <v>190.29077658508757</v>
      </c>
      <c r="L1604">
        <f t="shared" si="25"/>
        <v>0</v>
      </c>
      <c r="M1604" cm="1">
        <f t="array" ref="M1604">_xlfn.XLOOKUP(TEXT(A1604, "mmm-yy"), TEXT([2]GASOLINE!$B$5:$B$208, "mmm-yy"), [2]GASOLINE!$C$5:$C$208, "Not Found")</f>
        <v>6971.4506267471215</v>
      </c>
      <c r="N1604" cm="1">
        <f t="array" ref="N1604">_xlfn.XLOOKUP(TEXT(A1604, "mmm-yy"), TEXT([2]RUNS!$B$5:$B$208, "mmm-yy"), [2]RUNS!$BM$5:$BM$208, "Not Found")</f>
        <v>0.80021631360288492</v>
      </c>
    </row>
    <row r="1605" spans="1:14" x14ac:dyDescent="0.25">
      <c r="A1605" s="1">
        <f>'[1]Global_Spot Prices'!$B2914</f>
        <v>44250</v>
      </c>
      <c r="B1605">
        <f>_xlfn.XLOOKUP(A1605,'[1]Global_Spot Prices'!$B:$B,'[1]Global_Spot Prices'!$BS:$BS)</f>
        <v>6.8799999999999955</v>
      </c>
      <c r="C1605">
        <f>_xlfn.XLOOKUP(A1605,'[1]Global_Spot Prices'!$B:$B,'[1]Global_Spot Prices'!$E:$E)</f>
        <v>63.5</v>
      </c>
      <c r="D1605">
        <f>_xlfn.XLOOKUP(A1605,'[1]Global_Spot Prices'!$B:$B,'[1]Global_Spot Prices'!$D:$D)</f>
        <v>65.08</v>
      </c>
      <c r="E1605">
        <f>_xlfn.XLOOKUP(A1605,'[1]Global_Spot Prices'!$B:$B,'[1]Global_Spot Prices'!$H:$H)</f>
        <v>65.349999999999994</v>
      </c>
      <c r="F1605">
        <f>_xlfn.XLOOKUP(A1605,'[1]Global_Spot Prices'!$B:$B,'[1]Global_Spot Prices'!$I:$I)</f>
        <v>70.38</v>
      </c>
      <c r="G1605" cm="1">
        <f t="array" ref="G1605">_xlfn.XLOOKUP(TEXT(A1605, "mmm-yy"), TEXT([2]RUNS!$B$5:$B$208, "mmm-yy"), [2]RUNS!$D$5:$D$208, "Not Found")</f>
        <v>29191.330968813723</v>
      </c>
      <c r="H1605" cm="1">
        <f t="array" ref="H1605">SUMPRODUCT(
    --(TEXT('[3]Global Weekly Stock (EWSuez'!$B$4:$B$2000,"mmm-yy")=TEXT(A1605,"mmm-yy")),
    '[3]Global Weekly Stock (EWSuez'!$E$4:$E$2000)
/
SUMPRODUCT(
    --(TEXT('[3]Global Weekly Stock (EWSuez'!$B$4:$B$2000,"mmm-yy")=TEXT(A1605,"mmm-yy"))
)</f>
        <v>15660.75</v>
      </c>
      <c r="I1605">
        <f>_xlfn.XLOOKUP(A1605,[1]ForwardDeriv!$D:$D,[1]ForwardDeriv!$AJ:$AJ)</f>
        <v>0.25999999999999091</v>
      </c>
      <c r="J1605" cm="1">
        <f t="array" ref="J1605">_xlfn.XLOOKUP(TEXT(A1605, "mmm-yy"), TEXT([2]GASOLINE!$B$5:$B$208, "mmm-yy"), [2]GASOLINE!$IR$5:$IR$208, "Not Found")</f>
        <v>148.93868804729419</v>
      </c>
      <c r="K1605" cm="1">
        <f t="array" ref="K1605">_xlfn.XLOOKUP(TEXT(A1605, "mmm-yy"), TEXT([2]GASOLINE!$B$5:$B$208, "mmm-yy"), [2]GASOLINE!$IK$5:$IK$208, "Not Found")</f>
        <v>190.29077658508757</v>
      </c>
      <c r="L1605">
        <f t="shared" si="25"/>
        <v>0</v>
      </c>
      <c r="M1605" cm="1">
        <f t="array" ref="M1605">_xlfn.XLOOKUP(TEXT(A1605, "mmm-yy"), TEXT([2]GASOLINE!$B$5:$B$208, "mmm-yy"), [2]GASOLINE!$C$5:$C$208, "Not Found")</f>
        <v>6971.4506267471215</v>
      </c>
      <c r="N1605" cm="1">
        <f t="array" ref="N1605">_xlfn.XLOOKUP(TEXT(A1605, "mmm-yy"), TEXT([2]RUNS!$B$5:$B$208, "mmm-yy"), [2]RUNS!$BM$5:$BM$208, "Not Found")</f>
        <v>0.80021631360288492</v>
      </c>
    </row>
    <row r="1606" spans="1:14" x14ac:dyDescent="0.25">
      <c r="A1606" s="1">
        <f>'[1]Global_Spot Prices'!$B2915</f>
        <v>44251</v>
      </c>
      <c r="B1606">
        <f>_xlfn.XLOOKUP(A1606,'[1]Global_Spot Prices'!$B:$B,'[1]Global_Spot Prices'!$BS:$BS)</f>
        <v>6.9199999999999946</v>
      </c>
      <c r="C1606">
        <f>_xlfn.XLOOKUP(A1606,'[1]Global_Spot Prices'!$B:$B,'[1]Global_Spot Prices'!$E:$E)</f>
        <v>62.85</v>
      </c>
      <c r="D1606">
        <f>_xlfn.XLOOKUP(A1606,'[1]Global_Spot Prices'!$B:$B,'[1]Global_Spot Prices'!$D:$D)</f>
        <v>66.680000000000007</v>
      </c>
      <c r="E1606">
        <f>_xlfn.XLOOKUP(A1606,'[1]Global_Spot Prices'!$B:$B,'[1]Global_Spot Prices'!$H:$H)</f>
        <v>64.53</v>
      </c>
      <c r="F1606">
        <f>_xlfn.XLOOKUP(A1606,'[1]Global_Spot Prices'!$B:$B,'[1]Global_Spot Prices'!$I:$I)</f>
        <v>69.77</v>
      </c>
      <c r="G1606" cm="1">
        <f t="array" ref="G1606">_xlfn.XLOOKUP(TEXT(A1606, "mmm-yy"), TEXT([2]RUNS!$B$5:$B$208, "mmm-yy"), [2]RUNS!$D$5:$D$208, "Not Found")</f>
        <v>29191.330968813723</v>
      </c>
      <c r="H1606" cm="1">
        <f t="array" ref="H1606">SUMPRODUCT(
    --(TEXT('[3]Global Weekly Stock (EWSuez'!$B$4:$B$2000,"mmm-yy")=TEXT(A1606,"mmm-yy")),
    '[3]Global Weekly Stock (EWSuez'!$E$4:$E$2000)
/
SUMPRODUCT(
    --(TEXT('[3]Global Weekly Stock (EWSuez'!$B$4:$B$2000,"mmm-yy")=TEXT(A1606,"mmm-yy"))
)</f>
        <v>15660.75</v>
      </c>
      <c r="I1606">
        <f>_xlfn.XLOOKUP(A1606,[1]ForwardDeriv!$D:$D,[1]ForwardDeriv!$AJ:$AJ)</f>
        <v>0.18999999999999773</v>
      </c>
      <c r="J1606" cm="1">
        <f t="array" ref="J1606">_xlfn.XLOOKUP(TEXT(A1606, "mmm-yy"), TEXT([2]GASOLINE!$B$5:$B$208, "mmm-yy"), [2]GASOLINE!$IR$5:$IR$208, "Not Found")</f>
        <v>148.93868804729419</v>
      </c>
      <c r="K1606" cm="1">
        <f t="array" ref="K1606">_xlfn.XLOOKUP(TEXT(A1606, "mmm-yy"), TEXT([2]GASOLINE!$B$5:$B$208, "mmm-yy"), [2]GASOLINE!$IK$5:$IK$208, "Not Found")</f>
        <v>190.29077658508757</v>
      </c>
      <c r="L1606">
        <f t="shared" si="25"/>
        <v>0</v>
      </c>
      <c r="M1606" cm="1">
        <f t="array" ref="M1606">_xlfn.XLOOKUP(TEXT(A1606, "mmm-yy"), TEXT([2]GASOLINE!$B$5:$B$208, "mmm-yy"), [2]GASOLINE!$C$5:$C$208, "Not Found")</f>
        <v>6971.4506267471215</v>
      </c>
      <c r="N1606" cm="1">
        <f t="array" ref="N1606">_xlfn.XLOOKUP(TEXT(A1606, "mmm-yy"), TEXT([2]RUNS!$B$5:$B$208, "mmm-yy"), [2]RUNS!$BM$5:$BM$208, "Not Found")</f>
        <v>0.80021631360288492</v>
      </c>
    </row>
    <row r="1607" spans="1:14" x14ac:dyDescent="0.25">
      <c r="A1607" s="1">
        <f>'[1]Global_Spot Prices'!$B2916</f>
        <v>44252</v>
      </c>
      <c r="B1607">
        <f>_xlfn.XLOOKUP(A1607,'[1]Global_Spot Prices'!$B:$B,'[1]Global_Spot Prices'!$BS:$BS)</f>
        <v>6.6600000000000108</v>
      </c>
      <c r="C1607">
        <f>_xlfn.XLOOKUP(A1607,'[1]Global_Spot Prices'!$B:$B,'[1]Global_Spot Prices'!$E:$E)</f>
        <v>65.349999999999994</v>
      </c>
      <c r="D1607">
        <f>_xlfn.XLOOKUP(A1607,'[1]Global_Spot Prices'!$B:$B,'[1]Global_Spot Prices'!$D:$D)</f>
        <v>66.805000000000007</v>
      </c>
      <c r="E1607">
        <f>_xlfn.XLOOKUP(A1607,'[1]Global_Spot Prices'!$B:$B,'[1]Global_Spot Prices'!$H:$H)</f>
        <v>66.5</v>
      </c>
      <c r="F1607">
        <f>_xlfn.XLOOKUP(A1607,'[1]Global_Spot Prices'!$B:$B,'[1]Global_Spot Prices'!$I:$I)</f>
        <v>72.010000000000005</v>
      </c>
      <c r="G1607" cm="1">
        <f t="array" ref="G1607">_xlfn.XLOOKUP(TEXT(A1607, "mmm-yy"), TEXT([2]RUNS!$B$5:$B$208, "mmm-yy"), [2]RUNS!$D$5:$D$208, "Not Found")</f>
        <v>29191.330968813723</v>
      </c>
      <c r="H1607" cm="1">
        <f t="array" ref="H1607">SUMPRODUCT(
    --(TEXT('[3]Global Weekly Stock (EWSuez'!$B$4:$B$2000,"mmm-yy")=TEXT(A1607,"mmm-yy")),
    '[3]Global Weekly Stock (EWSuez'!$E$4:$E$2000)
/
SUMPRODUCT(
    --(TEXT('[3]Global Weekly Stock (EWSuez'!$B$4:$B$2000,"mmm-yy")=TEXT(A1607,"mmm-yy"))
)</f>
        <v>15660.75</v>
      </c>
      <c r="I1607">
        <f>_xlfn.XLOOKUP(A1607,[1]ForwardDeriv!$D:$D,[1]ForwardDeriv!$AJ:$AJ)</f>
        <v>0.21999999999999886</v>
      </c>
      <c r="J1607" cm="1">
        <f t="array" ref="J1607">_xlfn.XLOOKUP(TEXT(A1607, "mmm-yy"), TEXT([2]GASOLINE!$B$5:$B$208, "mmm-yy"), [2]GASOLINE!$IR$5:$IR$208, "Not Found")</f>
        <v>148.93868804729419</v>
      </c>
      <c r="K1607" cm="1">
        <f t="array" ref="K1607">_xlfn.XLOOKUP(TEXT(A1607, "mmm-yy"), TEXT([2]GASOLINE!$B$5:$B$208, "mmm-yy"), [2]GASOLINE!$IK$5:$IK$208, "Not Found")</f>
        <v>190.29077658508757</v>
      </c>
      <c r="L1607">
        <f t="shared" si="25"/>
        <v>0</v>
      </c>
      <c r="M1607" cm="1">
        <f t="array" ref="M1607">_xlfn.XLOOKUP(TEXT(A1607, "mmm-yy"), TEXT([2]GASOLINE!$B$5:$B$208, "mmm-yy"), [2]GASOLINE!$C$5:$C$208, "Not Found")</f>
        <v>6971.4506267471215</v>
      </c>
      <c r="N1607" cm="1">
        <f t="array" ref="N1607">_xlfn.XLOOKUP(TEXT(A1607, "mmm-yy"), TEXT([2]RUNS!$B$5:$B$208, "mmm-yy"), [2]RUNS!$BM$5:$BM$208, "Not Found")</f>
        <v>0.80021631360288492</v>
      </c>
    </row>
    <row r="1608" spans="1:14" x14ac:dyDescent="0.25">
      <c r="A1608" s="1">
        <f>'[1]Global_Spot Prices'!$B2917</f>
        <v>44253</v>
      </c>
      <c r="B1608">
        <f>_xlfn.XLOOKUP(A1608,'[1]Global_Spot Prices'!$B:$B,'[1]Global_Spot Prices'!$BS:$BS)</f>
        <v>7.1099999999999994</v>
      </c>
      <c r="C1608">
        <f>_xlfn.XLOOKUP(A1608,'[1]Global_Spot Prices'!$B:$B,'[1]Global_Spot Prices'!$E:$E)</f>
        <v>64.28</v>
      </c>
      <c r="D1608">
        <f>_xlfn.XLOOKUP(A1608,'[1]Global_Spot Prices'!$B:$B,'[1]Global_Spot Prices'!$D:$D)</f>
        <v>65.92</v>
      </c>
      <c r="E1608">
        <f>_xlfn.XLOOKUP(A1608,'[1]Global_Spot Prices'!$B:$B,'[1]Global_Spot Prices'!$H:$H)</f>
        <v>65.44</v>
      </c>
      <c r="F1608">
        <f>_xlfn.XLOOKUP(A1608,'[1]Global_Spot Prices'!$B:$B,'[1]Global_Spot Prices'!$I:$I)</f>
        <v>71.39</v>
      </c>
      <c r="G1608" cm="1">
        <f t="array" ref="G1608">_xlfn.XLOOKUP(TEXT(A1608, "mmm-yy"), TEXT([2]RUNS!$B$5:$B$208, "mmm-yy"), [2]RUNS!$D$5:$D$208, "Not Found")</f>
        <v>29191.330968813723</v>
      </c>
      <c r="H1608" cm="1">
        <f t="array" ref="H1608">SUMPRODUCT(
    --(TEXT('[3]Global Weekly Stock (EWSuez'!$B$4:$B$2000,"mmm-yy")=TEXT(A1608,"mmm-yy")),
    '[3]Global Weekly Stock (EWSuez'!$E$4:$E$2000)
/
SUMPRODUCT(
    --(TEXT('[3]Global Weekly Stock (EWSuez'!$B$4:$B$2000,"mmm-yy")=TEXT(A1608,"mmm-yy"))
)</f>
        <v>15660.75</v>
      </c>
      <c r="I1608">
        <f>_xlfn.XLOOKUP(A1608,[1]ForwardDeriv!$D:$D,[1]ForwardDeriv!$AJ:$AJ)</f>
        <v>0.21999999999999886</v>
      </c>
      <c r="J1608" cm="1">
        <f t="array" ref="J1608">_xlfn.XLOOKUP(TEXT(A1608, "mmm-yy"), TEXT([2]GASOLINE!$B$5:$B$208, "mmm-yy"), [2]GASOLINE!$IR$5:$IR$208, "Not Found")</f>
        <v>148.93868804729419</v>
      </c>
      <c r="K1608" cm="1">
        <f t="array" ref="K1608">_xlfn.XLOOKUP(TEXT(A1608, "mmm-yy"), TEXT([2]GASOLINE!$B$5:$B$208, "mmm-yy"), [2]GASOLINE!$IK$5:$IK$208, "Not Found")</f>
        <v>190.29077658508757</v>
      </c>
      <c r="L1608">
        <f t="shared" si="25"/>
        <v>0</v>
      </c>
      <c r="M1608" cm="1">
        <f t="array" ref="M1608">_xlfn.XLOOKUP(TEXT(A1608, "mmm-yy"), TEXT([2]GASOLINE!$B$5:$B$208, "mmm-yy"), [2]GASOLINE!$C$5:$C$208, "Not Found")</f>
        <v>6971.4506267471215</v>
      </c>
      <c r="N1608" cm="1">
        <f t="array" ref="N1608">_xlfn.XLOOKUP(TEXT(A1608, "mmm-yy"), TEXT([2]RUNS!$B$5:$B$208, "mmm-yy"), [2]RUNS!$BM$5:$BM$208, "Not Found")</f>
        <v>0.80021631360288492</v>
      </c>
    </row>
    <row r="1609" spans="1:14" x14ac:dyDescent="0.25">
      <c r="A1609" s="1">
        <f>'[1]Global_Spot Prices'!$B2918</f>
        <v>44256</v>
      </c>
      <c r="B1609">
        <f>_xlfn.XLOOKUP(A1609,'[1]Global_Spot Prices'!$B:$B,'[1]Global_Spot Prices'!$BS:$BS)</f>
        <v>7.2000000000000028</v>
      </c>
      <c r="C1609">
        <f>_xlfn.XLOOKUP(A1609,'[1]Global_Spot Prices'!$B:$B,'[1]Global_Spot Prices'!$E:$E)</f>
        <v>64.19</v>
      </c>
      <c r="D1609">
        <f>_xlfn.XLOOKUP(A1609,'[1]Global_Spot Prices'!$B:$B,'[1]Global_Spot Prices'!$D:$D)</f>
        <v>65.625</v>
      </c>
      <c r="E1609">
        <f>_xlfn.XLOOKUP(A1609,'[1]Global_Spot Prices'!$B:$B,'[1]Global_Spot Prices'!$H:$H)</f>
        <v>66.180000000000007</v>
      </c>
      <c r="F1609">
        <f>_xlfn.XLOOKUP(A1609,'[1]Global_Spot Prices'!$B:$B,'[1]Global_Spot Prices'!$I:$I)</f>
        <v>71.39</v>
      </c>
      <c r="G1609" cm="1">
        <f t="array" ref="G1609">_xlfn.XLOOKUP(TEXT(A1609, "mmm-yy"), TEXT([2]RUNS!$B$5:$B$208, "mmm-yy"), [2]RUNS!$D$5:$D$208, "Not Found")</f>
        <v>29157.044074199977</v>
      </c>
      <c r="H1609" cm="1">
        <f t="array" ref="H1609">SUMPRODUCT(
    --(TEXT('[3]Global Weekly Stock (EWSuez'!$B$4:$B$2000,"mmm-yy")=TEXT(A1609,"mmm-yy")),
    '[3]Global Weekly Stock (EWSuez'!$E$4:$E$2000)
/
SUMPRODUCT(
    --(TEXT('[3]Global Weekly Stock (EWSuez'!$B$4:$B$2000,"mmm-yy")=TEXT(A1609,"mmm-yy"))
)</f>
        <v>15088.25</v>
      </c>
      <c r="I1609">
        <f>_xlfn.XLOOKUP(A1609,[1]ForwardDeriv!$D:$D,[1]ForwardDeriv!$AJ:$AJ)</f>
        <v>0.35999999999999943</v>
      </c>
      <c r="J1609" cm="1">
        <f t="array" ref="J1609">_xlfn.XLOOKUP(TEXT(A1609, "mmm-yy"), TEXT([2]GASOLINE!$B$5:$B$208, "mmm-yy"), [2]GASOLINE!$IR$5:$IR$208, "Not Found")</f>
        <v>98.040698537341996</v>
      </c>
      <c r="K1609" cm="1">
        <f t="array" ref="K1609">_xlfn.XLOOKUP(TEXT(A1609, "mmm-yy"), TEXT([2]GASOLINE!$B$5:$B$208, "mmm-yy"), [2]GASOLINE!$IK$5:$IK$208, "Not Found")</f>
        <v>194.03489535158312</v>
      </c>
      <c r="L1609">
        <f t="shared" si="25"/>
        <v>0</v>
      </c>
      <c r="M1609" cm="1">
        <f t="array" ref="M1609">_xlfn.XLOOKUP(TEXT(A1609, "mmm-yy"), TEXT([2]GASOLINE!$B$5:$B$208, "mmm-yy"), [2]GASOLINE!$C$5:$C$208, "Not Found")</f>
        <v>7092.5864407828594</v>
      </c>
      <c r="N1609" cm="1">
        <f t="array" ref="N1609">_xlfn.XLOOKUP(TEXT(A1609, "mmm-yy"), TEXT([2]RUNS!$B$5:$B$208, "mmm-yy"), [2]RUNS!$BM$5:$BM$208, "Not Found")</f>
        <v>0.7992764135879793</v>
      </c>
    </row>
    <row r="1610" spans="1:14" x14ac:dyDescent="0.25">
      <c r="A1610" s="1">
        <f>'[1]Global_Spot Prices'!$B2919</f>
        <v>44257</v>
      </c>
      <c r="B1610">
        <f>_xlfn.XLOOKUP(A1610,'[1]Global_Spot Prices'!$B:$B,'[1]Global_Spot Prices'!$BS:$BS)</f>
        <v>7.0050000000000026</v>
      </c>
      <c r="C1610">
        <f>_xlfn.XLOOKUP(A1610,'[1]Global_Spot Prices'!$B:$B,'[1]Global_Spot Prices'!$E:$E)</f>
        <v>61.354999999999997</v>
      </c>
      <c r="D1610">
        <f>_xlfn.XLOOKUP(A1610,'[1]Global_Spot Prices'!$B:$B,'[1]Global_Spot Prices'!$D:$D)</f>
        <v>64.055000000000007</v>
      </c>
      <c r="E1610">
        <f>_xlfn.XLOOKUP(A1610,'[1]Global_Spot Prices'!$B:$B,'[1]Global_Spot Prices'!$H:$H)</f>
        <v>63.59</v>
      </c>
      <c r="F1610">
        <f>_xlfn.XLOOKUP(A1610,'[1]Global_Spot Prices'!$B:$B,'[1]Global_Spot Prices'!$I:$I)</f>
        <v>68.36</v>
      </c>
      <c r="G1610" cm="1">
        <f t="array" ref="G1610">_xlfn.XLOOKUP(TEXT(A1610, "mmm-yy"), TEXT([2]RUNS!$B$5:$B$208, "mmm-yy"), [2]RUNS!$D$5:$D$208, "Not Found")</f>
        <v>29157.044074199977</v>
      </c>
      <c r="H1610" cm="1">
        <f t="array" ref="H1610">SUMPRODUCT(
    --(TEXT('[3]Global Weekly Stock (EWSuez'!$B$4:$B$2000,"mmm-yy")=TEXT(A1610,"mmm-yy")),
    '[3]Global Weekly Stock (EWSuez'!$E$4:$E$2000)
/
SUMPRODUCT(
    --(TEXT('[3]Global Weekly Stock (EWSuez'!$B$4:$B$2000,"mmm-yy")=TEXT(A1610,"mmm-yy"))
)</f>
        <v>15088.25</v>
      </c>
      <c r="I1610">
        <f>_xlfn.XLOOKUP(A1610,[1]ForwardDeriv!$D:$D,[1]ForwardDeriv!$AJ:$AJ)</f>
        <v>0.31999999999999318</v>
      </c>
      <c r="J1610" cm="1">
        <f t="array" ref="J1610">_xlfn.XLOOKUP(TEXT(A1610, "mmm-yy"), TEXT([2]GASOLINE!$B$5:$B$208, "mmm-yy"), [2]GASOLINE!$IR$5:$IR$208, "Not Found")</f>
        <v>98.040698537341996</v>
      </c>
      <c r="K1610" cm="1">
        <f t="array" ref="K1610">_xlfn.XLOOKUP(TEXT(A1610, "mmm-yy"), TEXT([2]GASOLINE!$B$5:$B$208, "mmm-yy"), [2]GASOLINE!$IK$5:$IK$208, "Not Found")</f>
        <v>194.03489535158312</v>
      </c>
      <c r="L1610">
        <f t="shared" si="25"/>
        <v>0</v>
      </c>
      <c r="M1610" cm="1">
        <f t="array" ref="M1610">_xlfn.XLOOKUP(TEXT(A1610, "mmm-yy"), TEXT([2]GASOLINE!$B$5:$B$208, "mmm-yy"), [2]GASOLINE!$C$5:$C$208, "Not Found")</f>
        <v>7092.5864407828594</v>
      </c>
      <c r="N1610" cm="1">
        <f t="array" ref="N1610">_xlfn.XLOOKUP(TEXT(A1610, "mmm-yy"), TEXT([2]RUNS!$B$5:$B$208, "mmm-yy"), [2]RUNS!$BM$5:$BM$208, "Not Found")</f>
        <v>0.7992764135879793</v>
      </c>
    </row>
    <row r="1611" spans="1:14" x14ac:dyDescent="0.25">
      <c r="A1611" s="1">
        <f>'[1]Global_Spot Prices'!$B2920</f>
        <v>44258</v>
      </c>
      <c r="B1611">
        <f>_xlfn.XLOOKUP(A1611,'[1]Global_Spot Prices'!$B:$B,'[1]Global_Spot Prices'!$BS:$BS)</f>
        <v>7.0499999999999972</v>
      </c>
      <c r="C1611">
        <f>_xlfn.XLOOKUP(A1611,'[1]Global_Spot Prices'!$B:$B,'[1]Global_Spot Prices'!$E:$E)</f>
        <v>61.39</v>
      </c>
      <c r="D1611">
        <f>_xlfn.XLOOKUP(A1611,'[1]Global_Spot Prices'!$B:$B,'[1]Global_Spot Prices'!$D:$D)</f>
        <v>64.555000000000007</v>
      </c>
      <c r="E1611">
        <f>_xlfn.XLOOKUP(A1611,'[1]Global_Spot Prices'!$B:$B,'[1]Global_Spot Prices'!$H:$H)</f>
        <v>63.25</v>
      </c>
      <c r="F1611">
        <f>_xlfn.XLOOKUP(A1611,'[1]Global_Spot Prices'!$B:$B,'[1]Global_Spot Prices'!$I:$I)</f>
        <v>68.44</v>
      </c>
      <c r="G1611" cm="1">
        <f t="array" ref="G1611">_xlfn.XLOOKUP(TEXT(A1611, "mmm-yy"), TEXT([2]RUNS!$B$5:$B$208, "mmm-yy"), [2]RUNS!$D$5:$D$208, "Not Found")</f>
        <v>29157.044074199977</v>
      </c>
      <c r="H1611" cm="1">
        <f t="array" ref="H1611">SUMPRODUCT(
    --(TEXT('[3]Global Weekly Stock (EWSuez'!$B$4:$B$2000,"mmm-yy")=TEXT(A1611,"mmm-yy")),
    '[3]Global Weekly Stock (EWSuez'!$E$4:$E$2000)
/
SUMPRODUCT(
    --(TEXT('[3]Global Weekly Stock (EWSuez'!$B$4:$B$2000,"mmm-yy")=TEXT(A1611,"mmm-yy"))
)</f>
        <v>15088.25</v>
      </c>
      <c r="I1611">
        <f>_xlfn.XLOOKUP(A1611,[1]ForwardDeriv!$D:$D,[1]ForwardDeriv!$AJ:$AJ)</f>
        <v>0.21999999999999886</v>
      </c>
      <c r="J1611" cm="1">
        <f t="array" ref="J1611">_xlfn.XLOOKUP(TEXT(A1611, "mmm-yy"), TEXT([2]GASOLINE!$B$5:$B$208, "mmm-yy"), [2]GASOLINE!$IR$5:$IR$208, "Not Found")</f>
        <v>98.040698537341996</v>
      </c>
      <c r="K1611" cm="1">
        <f t="array" ref="K1611">_xlfn.XLOOKUP(TEXT(A1611, "mmm-yy"), TEXT([2]GASOLINE!$B$5:$B$208, "mmm-yy"), [2]GASOLINE!$IK$5:$IK$208, "Not Found")</f>
        <v>194.03489535158312</v>
      </c>
      <c r="L1611">
        <f t="shared" si="25"/>
        <v>0</v>
      </c>
      <c r="M1611" cm="1">
        <f t="array" ref="M1611">_xlfn.XLOOKUP(TEXT(A1611, "mmm-yy"), TEXT([2]GASOLINE!$B$5:$B$208, "mmm-yy"), [2]GASOLINE!$C$5:$C$208, "Not Found")</f>
        <v>7092.5864407828594</v>
      </c>
      <c r="N1611" cm="1">
        <f t="array" ref="N1611">_xlfn.XLOOKUP(TEXT(A1611, "mmm-yy"), TEXT([2]RUNS!$B$5:$B$208, "mmm-yy"), [2]RUNS!$BM$5:$BM$208, "Not Found")</f>
        <v>0.7992764135879793</v>
      </c>
    </row>
    <row r="1612" spans="1:14" x14ac:dyDescent="0.25">
      <c r="A1612" s="1">
        <f>'[1]Global_Spot Prices'!$B2921</f>
        <v>44259</v>
      </c>
      <c r="B1612">
        <f ca="1">_xlfn.XLOOKUP(A1612,'[1]Global_Spot Prices'!$B:$B,'[1]Global_Spot Prices'!$BS:$BS)</f>
        <v>6.9199999999999946</v>
      </c>
      <c r="C1612">
        <f>_xlfn.XLOOKUP(A1612,'[1]Global_Spot Prices'!$B:$B,'[1]Global_Spot Prices'!$E:$E)</f>
        <v>63.04</v>
      </c>
      <c r="D1612">
        <f>_xlfn.XLOOKUP(A1612,'[1]Global_Spot Prices'!$B:$B,'[1]Global_Spot Prices'!$D:$D)</f>
        <v>67.474999999999994</v>
      </c>
      <c r="E1612">
        <f>_xlfn.XLOOKUP(A1612,'[1]Global_Spot Prices'!$B:$B,'[1]Global_Spot Prices'!$H:$H)</f>
        <v>64.650000000000006</v>
      </c>
      <c r="F1612">
        <f>_xlfn.XLOOKUP(A1612,'[1]Global_Spot Prices'!$B:$B,'[1]Global_Spot Prices'!$I:$I)</f>
        <v>69.959999999999994</v>
      </c>
      <c r="G1612" cm="1">
        <f t="array" ref="G1612">_xlfn.XLOOKUP(TEXT(A1612, "mmm-yy"), TEXT([2]RUNS!$B$5:$B$208, "mmm-yy"), [2]RUNS!$D$5:$D$208, "Not Found")</f>
        <v>29157.044074199977</v>
      </c>
      <c r="H1612" cm="1">
        <f t="array" ref="H1612">SUMPRODUCT(
    --(TEXT('[3]Global Weekly Stock (EWSuez'!$B$4:$B$2000,"mmm-yy")=TEXT(A1612,"mmm-yy")),
    '[3]Global Weekly Stock (EWSuez'!$E$4:$E$2000)
/
SUMPRODUCT(
    --(TEXT('[3]Global Weekly Stock (EWSuez'!$B$4:$B$2000,"mmm-yy")=TEXT(A1612,"mmm-yy"))
)</f>
        <v>15088.25</v>
      </c>
      <c r="I1612">
        <f>_xlfn.XLOOKUP(A1612,[1]ForwardDeriv!$D:$D,[1]ForwardDeriv!$AJ:$AJ)</f>
        <v>0.23999999999999488</v>
      </c>
      <c r="J1612" cm="1">
        <f t="array" ref="J1612">_xlfn.XLOOKUP(TEXT(A1612, "mmm-yy"), TEXT([2]GASOLINE!$B$5:$B$208, "mmm-yy"), [2]GASOLINE!$IR$5:$IR$208, "Not Found")</f>
        <v>98.040698537341996</v>
      </c>
      <c r="K1612" cm="1">
        <f t="array" ref="K1612">_xlfn.XLOOKUP(TEXT(A1612, "mmm-yy"), TEXT([2]GASOLINE!$B$5:$B$208, "mmm-yy"), [2]GASOLINE!$IK$5:$IK$208, "Not Found")</f>
        <v>194.03489535158312</v>
      </c>
      <c r="L1612">
        <f t="shared" si="25"/>
        <v>0</v>
      </c>
      <c r="M1612" cm="1">
        <f t="array" ref="M1612">_xlfn.XLOOKUP(TEXT(A1612, "mmm-yy"), TEXT([2]GASOLINE!$B$5:$B$208, "mmm-yy"), [2]GASOLINE!$C$5:$C$208, "Not Found")</f>
        <v>7092.5864407828594</v>
      </c>
      <c r="N1612" cm="1">
        <f t="array" ref="N1612">_xlfn.XLOOKUP(TEXT(A1612, "mmm-yy"), TEXT([2]RUNS!$B$5:$B$208, "mmm-yy"), [2]RUNS!$BM$5:$BM$208, "Not Found")</f>
        <v>0.7992764135879793</v>
      </c>
    </row>
    <row r="1613" spans="1:14" x14ac:dyDescent="0.25">
      <c r="A1613" s="1">
        <f>'[1]Global_Spot Prices'!$B2922</f>
        <v>44260</v>
      </c>
      <c r="B1613">
        <f>_xlfn.XLOOKUP(A1613,'[1]Global_Spot Prices'!$B:$B,'[1]Global_Spot Prices'!$BS:$BS)</f>
        <v>6.1099999999999994</v>
      </c>
      <c r="C1613">
        <f>_xlfn.XLOOKUP(A1613,'[1]Global_Spot Prices'!$B:$B,'[1]Global_Spot Prices'!$E:$E)</f>
        <v>66.42</v>
      </c>
      <c r="D1613">
        <f>_xlfn.XLOOKUP(A1613,'[1]Global_Spot Prices'!$B:$B,'[1]Global_Spot Prices'!$D:$D)</f>
        <v>69.004999999999995</v>
      </c>
      <c r="E1613">
        <f>_xlfn.XLOOKUP(A1613,'[1]Global_Spot Prices'!$B:$B,'[1]Global_Spot Prices'!$H:$H)</f>
        <v>67.760000000000005</v>
      </c>
      <c r="F1613">
        <f>_xlfn.XLOOKUP(A1613,'[1]Global_Spot Prices'!$B:$B,'[1]Global_Spot Prices'!$I:$I)</f>
        <v>72.53</v>
      </c>
      <c r="G1613" cm="1">
        <f t="array" ref="G1613">_xlfn.XLOOKUP(TEXT(A1613, "mmm-yy"), TEXT([2]RUNS!$B$5:$B$208, "mmm-yy"), [2]RUNS!$D$5:$D$208, "Not Found")</f>
        <v>29157.044074199977</v>
      </c>
      <c r="H1613" cm="1">
        <f t="array" ref="H1613">SUMPRODUCT(
    --(TEXT('[3]Global Weekly Stock (EWSuez'!$B$4:$B$2000,"mmm-yy")=TEXT(A1613,"mmm-yy")),
    '[3]Global Weekly Stock (EWSuez'!$E$4:$E$2000)
/
SUMPRODUCT(
    --(TEXT('[3]Global Weekly Stock (EWSuez'!$B$4:$B$2000,"mmm-yy")=TEXT(A1613,"mmm-yy"))
)</f>
        <v>15088.25</v>
      </c>
      <c r="I1613">
        <f>_xlfn.XLOOKUP(A1613,[1]ForwardDeriv!$D:$D,[1]ForwardDeriv!$AJ:$AJ)</f>
        <v>0.27000000000001023</v>
      </c>
      <c r="J1613" cm="1">
        <f t="array" ref="J1613">_xlfn.XLOOKUP(TEXT(A1613, "mmm-yy"), TEXT([2]GASOLINE!$B$5:$B$208, "mmm-yy"), [2]GASOLINE!$IR$5:$IR$208, "Not Found")</f>
        <v>98.040698537341996</v>
      </c>
      <c r="K1613" cm="1">
        <f t="array" ref="K1613">_xlfn.XLOOKUP(TEXT(A1613, "mmm-yy"), TEXT([2]GASOLINE!$B$5:$B$208, "mmm-yy"), [2]GASOLINE!$IK$5:$IK$208, "Not Found")</f>
        <v>194.03489535158312</v>
      </c>
      <c r="L1613">
        <f t="shared" si="25"/>
        <v>0</v>
      </c>
      <c r="M1613" cm="1">
        <f t="array" ref="M1613">_xlfn.XLOOKUP(TEXT(A1613, "mmm-yy"), TEXT([2]GASOLINE!$B$5:$B$208, "mmm-yy"), [2]GASOLINE!$C$5:$C$208, "Not Found")</f>
        <v>7092.5864407828594</v>
      </c>
      <c r="N1613" cm="1">
        <f t="array" ref="N1613">_xlfn.XLOOKUP(TEXT(A1613, "mmm-yy"), TEXT([2]RUNS!$B$5:$B$208, "mmm-yy"), [2]RUNS!$BM$5:$BM$208, "Not Found")</f>
        <v>0.7992764135879793</v>
      </c>
    </row>
    <row r="1614" spans="1:14" x14ac:dyDescent="0.25">
      <c r="A1614" s="1">
        <f>'[1]Global_Spot Prices'!$B2923</f>
        <v>44263</v>
      </c>
      <c r="B1614">
        <f>_xlfn.XLOOKUP(A1614,'[1]Global_Spot Prices'!$B:$B,'[1]Global_Spot Prices'!$BS:$BS)</f>
        <v>6.2600000000000051</v>
      </c>
      <c r="C1614">
        <f>_xlfn.XLOOKUP(A1614,'[1]Global_Spot Prices'!$B:$B,'[1]Global_Spot Prices'!$E:$E)</f>
        <v>68.3</v>
      </c>
      <c r="D1614">
        <f>_xlfn.XLOOKUP(A1614,'[1]Global_Spot Prices'!$B:$B,'[1]Global_Spot Prices'!$D:$D)</f>
        <v>68.734999999999999</v>
      </c>
      <c r="E1614">
        <f>_xlfn.XLOOKUP(A1614,'[1]Global_Spot Prices'!$B:$B,'[1]Global_Spot Prices'!$H:$H)</f>
        <v>69.02</v>
      </c>
      <c r="F1614">
        <f>_xlfn.XLOOKUP(A1614,'[1]Global_Spot Prices'!$B:$B,'[1]Global_Spot Prices'!$I:$I)</f>
        <v>74.56</v>
      </c>
      <c r="G1614" cm="1">
        <f t="array" ref="G1614">_xlfn.XLOOKUP(TEXT(A1614, "mmm-yy"), TEXT([2]RUNS!$B$5:$B$208, "mmm-yy"), [2]RUNS!$D$5:$D$208, "Not Found")</f>
        <v>29157.044074199977</v>
      </c>
      <c r="H1614" cm="1">
        <f t="array" ref="H1614">SUMPRODUCT(
    --(TEXT('[3]Global Weekly Stock (EWSuez'!$B$4:$B$2000,"mmm-yy")=TEXT(A1614,"mmm-yy")),
    '[3]Global Weekly Stock (EWSuez'!$E$4:$E$2000)
/
SUMPRODUCT(
    --(TEXT('[3]Global Weekly Stock (EWSuez'!$B$4:$B$2000,"mmm-yy")=TEXT(A1614,"mmm-yy"))
)</f>
        <v>15088.25</v>
      </c>
      <c r="I1614">
        <f>_xlfn.XLOOKUP(A1614,[1]ForwardDeriv!$D:$D,[1]ForwardDeriv!$AJ:$AJ)</f>
        <v>0.29999999999999716</v>
      </c>
      <c r="J1614" cm="1">
        <f t="array" ref="J1614">_xlfn.XLOOKUP(TEXT(A1614, "mmm-yy"), TEXT([2]GASOLINE!$B$5:$B$208, "mmm-yy"), [2]GASOLINE!$IR$5:$IR$208, "Not Found")</f>
        <v>98.040698537341996</v>
      </c>
      <c r="K1614" cm="1">
        <f t="array" ref="K1614">_xlfn.XLOOKUP(TEXT(A1614, "mmm-yy"), TEXT([2]GASOLINE!$B$5:$B$208, "mmm-yy"), [2]GASOLINE!$IK$5:$IK$208, "Not Found")</f>
        <v>194.03489535158312</v>
      </c>
      <c r="L1614">
        <f t="shared" si="25"/>
        <v>0</v>
      </c>
      <c r="M1614" cm="1">
        <f t="array" ref="M1614">_xlfn.XLOOKUP(TEXT(A1614, "mmm-yy"), TEXT([2]GASOLINE!$B$5:$B$208, "mmm-yy"), [2]GASOLINE!$C$5:$C$208, "Not Found")</f>
        <v>7092.5864407828594</v>
      </c>
      <c r="N1614" cm="1">
        <f t="array" ref="N1614">_xlfn.XLOOKUP(TEXT(A1614, "mmm-yy"), TEXT([2]RUNS!$B$5:$B$208, "mmm-yy"), [2]RUNS!$BM$5:$BM$208, "Not Found")</f>
        <v>0.7992764135879793</v>
      </c>
    </row>
    <row r="1615" spans="1:14" x14ac:dyDescent="0.25">
      <c r="A1615" s="1">
        <f>'[1]Global_Spot Prices'!$B2924</f>
        <v>44264</v>
      </c>
      <c r="B1615">
        <f>_xlfn.XLOOKUP(A1615,'[1]Global_Spot Prices'!$B:$B,'[1]Global_Spot Prices'!$BS:$BS)</f>
        <v>6.0300000000000011</v>
      </c>
      <c r="C1615">
        <f>_xlfn.XLOOKUP(A1615,'[1]Global_Spot Prices'!$B:$B,'[1]Global_Spot Prices'!$E:$E)</f>
        <v>66.36</v>
      </c>
      <c r="D1615">
        <f ca="1">_xlfn.XLOOKUP(A1615,'[1]Global_Spot Prices'!$B:$B,'[1]Global_Spot Prices'!$D:$D)</f>
        <v>67.254999999999995</v>
      </c>
      <c r="E1615">
        <f>_xlfn.XLOOKUP(A1615,'[1]Global_Spot Prices'!$B:$B,'[1]Global_Spot Prices'!$H:$H)</f>
        <v>66.930000000000007</v>
      </c>
      <c r="F1615">
        <f>_xlfn.XLOOKUP(A1615,'[1]Global_Spot Prices'!$B:$B,'[1]Global_Spot Prices'!$I:$I)</f>
        <v>72.39</v>
      </c>
      <c r="G1615" cm="1">
        <f t="array" ref="G1615">_xlfn.XLOOKUP(TEXT(A1615, "mmm-yy"), TEXT([2]RUNS!$B$5:$B$208, "mmm-yy"), [2]RUNS!$D$5:$D$208, "Not Found")</f>
        <v>29157.044074199977</v>
      </c>
      <c r="H1615" cm="1">
        <f t="array" ref="H1615">SUMPRODUCT(
    --(TEXT('[3]Global Weekly Stock (EWSuez'!$B$4:$B$2000,"mmm-yy")=TEXT(A1615,"mmm-yy")),
    '[3]Global Weekly Stock (EWSuez'!$E$4:$E$2000)
/
SUMPRODUCT(
    --(TEXT('[3]Global Weekly Stock (EWSuez'!$B$4:$B$2000,"mmm-yy")=TEXT(A1615,"mmm-yy"))
)</f>
        <v>15088.25</v>
      </c>
      <c r="I1615">
        <f>_xlfn.XLOOKUP(A1615,[1]ForwardDeriv!$D:$D,[1]ForwardDeriv!$AJ:$AJ)</f>
        <v>0.18000000000000682</v>
      </c>
      <c r="J1615" cm="1">
        <f t="array" ref="J1615">_xlfn.XLOOKUP(TEXT(A1615, "mmm-yy"), TEXT([2]GASOLINE!$B$5:$B$208, "mmm-yy"), [2]GASOLINE!$IR$5:$IR$208, "Not Found")</f>
        <v>98.040698537341996</v>
      </c>
      <c r="K1615" cm="1">
        <f t="array" ref="K1615">_xlfn.XLOOKUP(TEXT(A1615, "mmm-yy"), TEXT([2]GASOLINE!$B$5:$B$208, "mmm-yy"), [2]GASOLINE!$IK$5:$IK$208, "Not Found")</f>
        <v>194.03489535158312</v>
      </c>
      <c r="L1615">
        <f t="shared" si="25"/>
        <v>0</v>
      </c>
      <c r="M1615" cm="1">
        <f t="array" ref="M1615">_xlfn.XLOOKUP(TEXT(A1615, "mmm-yy"), TEXT([2]GASOLINE!$B$5:$B$208, "mmm-yy"), [2]GASOLINE!$C$5:$C$208, "Not Found")</f>
        <v>7092.5864407828594</v>
      </c>
      <c r="N1615" cm="1">
        <f t="array" ref="N1615">_xlfn.XLOOKUP(TEXT(A1615, "mmm-yy"), TEXT([2]RUNS!$B$5:$B$208, "mmm-yy"), [2]RUNS!$BM$5:$BM$208, "Not Found")</f>
        <v>0.7992764135879793</v>
      </c>
    </row>
    <row r="1616" spans="1:14" x14ac:dyDescent="0.25">
      <c r="A1616" s="1">
        <f>'[1]Global_Spot Prices'!$B2925</f>
        <v>44265</v>
      </c>
      <c r="B1616">
        <f>_xlfn.XLOOKUP(A1616,'[1]Global_Spot Prices'!$B:$B,'[1]Global_Spot Prices'!$BS:$BS)</f>
        <v>6.7199999999999989</v>
      </c>
      <c r="C1616">
        <f>_xlfn.XLOOKUP(A1616,'[1]Global_Spot Prices'!$B:$B,'[1]Global_Spot Prices'!$E:$E)</f>
        <v>65.25</v>
      </c>
      <c r="D1616">
        <f>_xlfn.XLOOKUP(A1616,'[1]Global_Spot Prices'!$B:$B,'[1]Global_Spot Prices'!$D:$D)</f>
        <v>66.760000000000005</v>
      </c>
      <c r="E1616">
        <f ca="1">_xlfn.XLOOKUP(A1616,'[1]Global_Spot Prices'!$B:$B,'[1]Global_Spot Prices'!$H:$H)</f>
        <v>65.790000000000006</v>
      </c>
      <c r="F1616">
        <f>_xlfn.XLOOKUP(A1616,'[1]Global_Spot Prices'!$B:$B,'[1]Global_Spot Prices'!$I:$I)</f>
        <v>71.97</v>
      </c>
      <c r="G1616" cm="1">
        <f t="array" ref="G1616">_xlfn.XLOOKUP(TEXT(A1616, "mmm-yy"), TEXT([2]RUNS!$B$5:$B$208, "mmm-yy"), [2]RUNS!$D$5:$D$208, "Not Found")</f>
        <v>29157.044074199977</v>
      </c>
      <c r="H1616" cm="1">
        <f t="array" ref="H1616">SUMPRODUCT(
    --(TEXT('[3]Global Weekly Stock (EWSuez'!$B$4:$B$2000,"mmm-yy")=TEXT(A1616,"mmm-yy")),
    '[3]Global Weekly Stock (EWSuez'!$E$4:$E$2000)
/
SUMPRODUCT(
    --(TEXT('[3]Global Weekly Stock (EWSuez'!$B$4:$B$2000,"mmm-yy")=TEXT(A1616,"mmm-yy"))
)</f>
        <v>15088.25</v>
      </c>
      <c r="I1616">
        <f>_xlfn.XLOOKUP(A1616,[1]ForwardDeriv!$D:$D,[1]ForwardDeriv!$AJ:$AJ)</f>
        <v>0.20999999999999375</v>
      </c>
      <c r="J1616" cm="1">
        <f t="array" ref="J1616">_xlfn.XLOOKUP(TEXT(A1616, "mmm-yy"), TEXT([2]GASOLINE!$B$5:$B$208, "mmm-yy"), [2]GASOLINE!$IR$5:$IR$208, "Not Found")</f>
        <v>98.040698537341996</v>
      </c>
      <c r="K1616" cm="1">
        <f t="array" ref="K1616">_xlfn.XLOOKUP(TEXT(A1616, "mmm-yy"), TEXT([2]GASOLINE!$B$5:$B$208, "mmm-yy"), [2]GASOLINE!$IK$5:$IK$208, "Not Found")</f>
        <v>194.03489535158312</v>
      </c>
      <c r="L1616">
        <f t="shared" si="25"/>
        <v>0</v>
      </c>
      <c r="M1616" cm="1">
        <f t="array" ref="M1616">_xlfn.XLOOKUP(TEXT(A1616, "mmm-yy"), TEXT([2]GASOLINE!$B$5:$B$208, "mmm-yy"), [2]GASOLINE!$C$5:$C$208, "Not Found")</f>
        <v>7092.5864407828594</v>
      </c>
      <c r="N1616" cm="1">
        <f t="array" ref="N1616">_xlfn.XLOOKUP(TEXT(A1616, "mmm-yy"), TEXT([2]RUNS!$B$5:$B$208, "mmm-yy"), [2]RUNS!$BM$5:$BM$208, "Not Found")</f>
        <v>0.7992764135879793</v>
      </c>
    </row>
    <row r="1617" spans="1:14" x14ac:dyDescent="0.25">
      <c r="A1617" s="1">
        <f>'[1]Global_Spot Prices'!$B2926</f>
        <v>44266</v>
      </c>
      <c r="B1617">
        <f>_xlfn.XLOOKUP(A1617,'[1]Global_Spot Prices'!$B:$B,'[1]Global_Spot Prices'!$BS:$BS)</f>
        <v>7.1099999999999994</v>
      </c>
      <c r="C1617">
        <f>_xlfn.XLOOKUP(A1617,'[1]Global_Spot Prices'!$B:$B,'[1]Global_Spot Prices'!$E:$E)</f>
        <v>66.790000000000006</v>
      </c>
      <c r="D1617">
        <f>_xlfn.XLOOKUP(A1617,'[1]Global_Spot Prices'!$B:$B,'[1]Global_Spot Prices'!$D:$D)</f>
        <v>69.16</v>
      </c>
      <c r="E1617">
        <f>_xlfn.XLOOKUP(A1617,'[1]Global_Spot Prices'!$B:$B,'[1]Global_Spot Prices'!$H:$H)</f>
        <v>67.13</v>
      </c>
      <c r="F1617">
        <f>_xlfn.XLOOKUP(A1617,'[1]Global_Spot Prices'!$B:$B,'[1]Global_Spot Prices'!$I:$I)</f>
        <v>73.900000000000006</v>
      </c>
      <c r="G1617" cm="1">
        <f t="array" ref="G1617">_xlfn.XLOOKUP(TEXT(A1617, "mmm-yy"), TEXT([2]RUNS!$B$5:$B$208, "mmm-yy"), [2]RUNS!$D$5:$D$208, "Not Found")</f>
        <v>29157.044074199977</v>
      </c>
      <c r="H1617" cm="1">
        <f t="array" ref="H1617">SUMPRODUCT(
    --(TEXT('[3]Global Weekly Stock (EWSuez'!$B$4:$B$2000,"mmm-yy")=TEXT(A1617,"mmm-yy")),
    '[3]Global Weekly Stock (EWSuez'!$E$4:$E$2000)
/
SUMPRODUCT(
    --(TEXT('[3]Global Weekly Stock (EWSuez'!$B$4:$B$2000,"mmm-yy")=TEXT(A1617,"mmm-yy"))
)</f>
        <v>15088.25</v>
      </c>
      <c r="I1617">
        <f>_xlfn.XLOOKUP(A1617,[1]ForwardDeriv!$D:$D,[1]ForwardDeriv!$AJ:$AJ)</f>
        <v>0.25</v>
      </c>
      <c r="J1617" cm="1">
        <f t="array" ref="J1617">_xlfn.XLOOKUP(TEXT(A1617, "mmm-yy"), TEXT([2]GASOLINE!$B$5:$B$208, "mmm-yy"), [2]GASOLINE!$IR$5:$IR$208, "Not Found")</f>
        <v>98.040698537341996</v>
      </c>
      <c r="K1617" cm="1">
        <f t="array" ref="K1617">_xlfn.XLOOKUP(TEXT(A1617, "mmm-yy"), TEXT([2]GASOLINE!$B$5:$B$208, "mmm-yy"), [2]GASOLINE!$IK$5:$IK$208, "Not Found")</f>
        <v>194.03489535158312</v>
      </c>
      <c r="L1617">
        <f t="shared" si="25"/>
        <v>0</v>
      </c>
      <c r="M1617" cm="1">
        <f t="array" ref="M1617">_xlfn.XLOOKUP(TEXT(A1617, "mmm-yy"), TEXT([2]GASOLINE!$B$5:$B$208, "mmm-yy"), [2]GASOLINE!$C$5:$C$208, "Not Found")</f>
        <v>7092.5864407828594</v>
      </c>
      <c r="N1617" cm="1">
        <f t="array" ref="N1617">_xlfn.XLOOKUP(TEXT(A1617, "mmm-yy"), TEXT([2]RUNS!$B$5:$B$208, "mmm-yy"), [2]RUNS!$BM$5:$BM$208, "Not Found")</f>
        <v>0.7992764135879793</v>
      </c>
    </row>
    <row r="1618" spans="1:14" x14ac:dyDescent="0.25">
      <c r="A1618" s="1">
        <f>'[1]Global_Spot Prices'!$B2927</f>
        <v>44267</v>
      </c>
      <c r="B1618">
        <f>_xlfn.XLOOKUP(A1618,'[1]Global_Spot Prices'!$B:$B,'[1]Global_Spot Prices'!$BS:$BS)</f>
        <v>7.3650000000000091</v>
      </c>
      <c r="C1618">
        <f>_xlfn.XLOOKUP(A1618,'[1]Global_Spot Prices'!$B:$B,'[1]Global_Spot Prices'!$E:$E)</f>
        <v>67.894999999999996</v>
      </c>
      <c r="D1618">
        <f>_xlfn.XLOOKUP(A1618,'[1]Global_Spot Prices'!$B:$B,'[1]Global_Spot Prices'!$D:$D)</f>
        <v>69.284999999999997</v>
      </c>
      <c r="E1618">
        <f>_xlfn.XLOOKUP(A1618,'[1]Global_Spot Prices'!$B:$B,'[1]Global_Spot Prices'!$H:$H)</f>
        <v>67.88</v>
      </c>
      <c r="F1618">
        <f>_xlfn.XLOOKUP(A1618,'[1]Global_Spot Prices'!$B:$B,'[1]Global_Spot Prices'!$I:$I)</f>
        <v>75.260000000000005</v>
      </c>
      <c r="G1618" cm="1">
        <f t="array" ref="G1618">_xlfn.XLOOKUP(TEXT(A1618, "mmm-yy"), TEXT([2]RUNS!$B$5:$B$208, "mmm-yy"), [2]RUNS!$D$5:$D$208, "Not Found")</f>
        <v>29157.044074199977</v>
      </c>
      <c r="H1618" cm="1">
        <f t="array" ref="H1618">SUMPRODUCT(
    --(TEXT('[3]Global Weekly Stock (EWSuez'!$B$4:$B$2000,"mmm-yy")=TEXT(A1618,"mmm-yy")),
    '[3]Global Weekly Stock (EWSuez'!$E$4:$E$2000)
/
SUMPRODUCT(
    --(TEXT('[3]Global Weekly Stock (EWSuez'!$B$4:$B$2000,"mmm-yy")=TEXT(A1618,"mmm-yy"))
)</f>
        <v>15088.25</v>
      </c>
      <c r="I1618">
        <f>_xlfn.XLOOKUP(A1618,[1]ForwardDeriv!$D:$D,[1]ForwardDeriv!$AJ:$AJ)</f>
        <v>0.37000000000000455</v>
      </c>
      <c r="J1618" cm="1">
        <f t="array" ref="J1618">_xlfn.XLOOKUP(TEXT(A1618, "mmm-yy"), TEXT([2]GASOLINE!$B$5:$B$208, "mmm-yy"), [2]GASOLINE!$IR$5:$IR$208, "Not Found")</f>
        <v>98.040698537341996</v>
      </c>
      <c r="K1618" cm="1">
        <f t="array" ref="K1618">_xlfn.XLOOKUP(TEXT(A1618, "mmm-yy"), TEXT([2]GASOLINE!$B$5:$B$208, "mmm-yy"), [2]GASOLINE!$IK$5:$IK$208, "Not Found")</f>
        <v>194.03489535158312</v>
      </c>
      <c r="L1618">
        <f t="shared" si="25"/>
        <v>0</v>
      </c>
      <c r="M1618" cm="1">
        <f t="array" ref="M1618">_xlfn.XLOOKUP(TEXT(A1618, "mmm-yy"), TEXT([2]GASOLINE!$B$5:$B$208, "mmm-yy"), [2]GASOLINE!$C$5:$C$208, "Not Found")</f>
        <v>7092.5864407828594</v>
      </c>
      <c r="N1618" cm="1">
        <f t="array" ref="N1618">_xlfn.XLOOKUP(TEXT(A1618, "mmm-yy"), TEXT([2]RUNS!$B$5:$B$208, "mmm-yy"), [2]RUNS!$BM$5:$BM$208, "Not Found")</f>
        <v>0.7992764135879793</v>
      </c>
    </row>
    <row r="1619" spans="1:14" x14ac:dyDescent="0.25">
      <c r="A1619" s="1">
        <f>'[1]Global_Spot Prices'!$B2928</f>
        <v>44270</v>
      </c>
      <c r="B1619">
        <f>_xlfn.XLOOKUP(A1619,'[1]Global_Spot Prices'!$B:$B,'[1]Global_Spot Prices'!$BS:$BS)</f>
        <v>8.11</v>
      </c>
      <c r="C1619">
        <f>_xlfn.XLOOKUP(A1619,'[1]Global_Spot Prices'!$B:$B,'[1]Global_Spot Prices'!$E:$E)</f>
        <v>68.2</v>
      </c>
      <c r="D1619">
        <f>_xlfn.XLOOKUP(A1619,'[1]Global_Spot Prices'!$B:$B,'[1]Global_Spot Prices'!$D:$D)</f>
        <v>68.510000000000005</v>
      </c>
      <c r="E1619">
        <f>_xlfn.XLOOKUP(A1619,'[1]Global_Spot Prices'!$B:$B,'[1]Global_Spot Prices'!$H:$H)</f>
        <v>68.650000000000006</v>
      </c>
      <c r="F1619">
        <f>_xlfn.XLOOKUP(A1619,'[1]Global_Spot Prices'!$B:$B,'[1]Global_Spot Prices'!$I:$I)</f>
        <v>76.31</v>
      </c>
      <c r="G1619" cm="1">
        <f t="array" ref="G1619">_xlfn.XLOOKUP(TEXT(A1619, "mmm-yy"), TEXT([2]RUNS!$B$5:$B$208, "mmm-yy"), [2]RUNS!$D$5:$D$208, "Not Found")</f>
        <v>29157.044074199977</v>
      </c>
      <c r="H1619" cm="1">
        <f t="array" ref="H1619">SUMPRODUCT(
    --(TEXT('[3]Global Weekly Stock (EWSuez'!$B$4:$B$2000,"mmm-yy")=TEXT(A1619,"mmm-yy")),
    '[3]Global Weekly Stock (EWSuez'!$E$4:$E$2000)
/
SUMPRODUCT(
    --(TEXT('[3]Global Weekly Stock (EWSuez'!$B$4:$B$2000,"mmm-yy")=TEXT(A1619,"mmm-yy"))
)</f>
        <v>15088.25</v>
      </c>
      <c r="I1619">
        <f>_xlfn.XLOOKUP(A1619,[1]ForwardDeriv!$D:$D,[1]ForwardDeriv!$AJ:$AJ)</f>
        <v>0.40000000000000568</v>
      </c>
      <c r="J1619" cm="1">
        <f t="array" ref="J1619">_xlfn.XLOOKUP(TEXT(A1619, "mmm-yy"), TEXT([2]GASOLINE!$B$5:$B$208, "mmm-yy"), [2]GASOLINE!$IR$5:$IR$208, "Not Found")</f>
        <v>98.040698537341996</v>
      </c>
      <c r="K1619" cm="1">
        <f t="array" ref="K1619">_xlfn.XLOOKUP(TEXT(A1619, "mmm-yy"), TEXT([2]GASOLINE!$B$5:$B$208, "mmm-yy"), [2]GASOLINE!$IK$5:$IK$208, "Not Found")</f>
        <v>194.03489535158312</v>
      </c>
      <c r="L1619">
        <f t="shared" si="25"/>
        <v>0</v>
      </c>
      <c r="M1619" cm="1">
        <f t="array" ref="M1619">_xlfn.XLOOKUP(TEXT(A1619, "mmm-yy"), TEXT([2]GASOLINE!$B$5:$B$208, "mmm-yy"), [2]GASOLINE!$C$5:$C$208, "Not Found")</f>
        <v>7092.5864407828594</v>
      </c>
      <c r="N1619" cm="1">
        <f t="array" ref="N1619">_xlfn.XLOOKUP(TEXT(A1619, "mmm-yy"), TEXT([2]RUNS!$B$5:$B$208, "mmm-yy"), [2]RUNS!$BM$5:$BM$208, "Not Found")</f>
        <v>0.7992764135879793</v>
      </c>
    </row>
    <row r="1620" spans="1:14" x14ac:dyDescent="0.25">
      <c r="A1620" s="1">
        <f>'[1]Global_Spot Prices'!$B2929</f>
        <v>44271</v>
      </c>
      <c r="B1620">
        <f ca="1">_xlfn.XLOOKUP(A1620,'[1]Global_Spot Prices'!$B:$B,'[1]Global_Spot Prices'!$BS:$BS)</f>
        <v>7.5350000000000108</v>
      </c>
      <c r="C1620">
        <f>_xlfn.XLOOKUP(A1620,'[1]Global_Spot Prices'!$B:$B,'[1]Global_Spot Prices'!$E:$E)</f>
        <v>66.504999999999995</v>
      </c>
      <c r="D1620">
        <f>_xlfn.XLOOKUP(A1620,'[1]Global_Spot Prices'!$B:$B,'[1]Global_Spot Prices'!$D:$D)</f>
        <v>67.965000000000003</v>
      </c>
      <c r="E1620">
        <f>_xlfn.XLOOKUP(A1620,'[1]Global_Spot Prices'!$B:$B,'[1]Global_Spot Prices'!$H:$H)</f>
        <v>66.849999999999994</v>
      </c>
      <c r="F1620">
        <f>_xlfn.XLOOKUP(A1620,'[1]Global_Spot Prices'!$B:$B,'[1]Global_Spot Prices'!$I:$I)</f>
        <v>74.040000000000006</v>
      </c>
      <c r="G1620" cm="1">
        <f t="array" ref="G1620">_xlfn.XLOOKUP(TEXT(A1620, "mmm-yy"), TEXT([2]RUNS!$B$5:$B$208, "mmm-yy"), [2]RUNS!$D$5:$D$208, "Not Found")</f>
        <v>29157.044074199977</v>
      </c>
      <c r="H1620" cm="1">
        <f t="array" ref="H1620">SUMPRODUCT(
    --(TEXT('[3]Global Weekly Stock (EWSuez'!$B$4:$B$2000,"mmm-yy")=TEXT(A1620,"mmm-yy")),
    '[3]Global Weekly Stock (EWSuez'!$E$4:$E$2000)
/
SUMPRODUCT(
    --(TEXT('[3]Global Weekly Stock (EWSuez'!$B$4:$B$2000,"mmm-yy")=TEXT(A1620,"mmm-yy"))
)</f>
        <v>15088.25</v>
      </c>
      <c r="I1620">
        <f>_xlfn.XLOOKUP(A1620,[1]ForwardDeriv!$D:$D,[1]ForwardDeriv!$AJ:$AJ)</f>
        <v>0.38000000000000966</v>
      </c>
      <c r="J1620" cm="1">
        <f t="array" ref="J1620">_xlfn.XLOOKUP(TEXT(A1620, "mmm-yy"), TEXT([2]GASOLINE!$B$5:$B$208, "mmm-yy"), [2]GASOLINE!$IR$5:$IR$208, "Not Found")</f>
        <v>98.040698537341996</v>
      </c>
      <c r="K1620" cm="1">
        <f t="array" ref="K1620">_xlfn.XLOOKUP(TEXT(A1620, "mmm-yy"), TEXT([2]GASOLINE!$B$5:$B$208, "mmm-yy"), [2]GASOLINE!$IK$5:$IK$208, "Not Found")</f>
        <v>194.03489535158312</v>
      </c>
      <c r="L1620">
        <f t="shared" si="25"/>
        <v>0</v>
      </c>
      <c r="M1620" cm="1">
        <f t="array" ref="M1620">_xlfn.XLOOKUP(TEXT(A1620, "mmm-yy"), TEXT([2]GASOLINE!$B$5:$B$208, "mmm-yy"), [2]GASOLINE!$C$5:$C$208, "Not Found")</f>
        <v>7092.5864407828594</v>
      </c>
      <c r="N1620" cm="1">
        <f t="array" ref="N1620">_xlfn.XLOOKUP(TEXT(A1620, "mmm-yy"), TEXT([2]RUNS!$B$5:$B$208, "mmm-yy"), [2]RUNS!$BM$5:$BM$208, "Not Found")</f>
        <v>0.7992764135879793</v>
      </c>
    </row>
    <row r="1621" spans="1:14" x14ac:dyDescent="0.25">
      <c r="A1621" s="1">
        <f>'[1]Global_Spot Prices'!$B2930</f>
        <v>44272</v>
      </c>
      <c r="B1621">
        <f>_xlfn.XLOOKUP(A1621,'[1]Global_Spot Prices'!$B:$B,'[1]Global_Spot Prices'!$BS:$BS)</f>
        <v>8.0800000000000125</v>
      </c>
      <c r="C1621">
        <f>_xlfn.XLOOKUP(A1621,'[1]Global_Spot Prices'!$B:$B,'[1]Global_Spot Prices'!$E:$E)</f>
        <v>66.599999999999994</v>
      </c>
      <c r="D1621">
        <f>_xlfn.XLOOKUP(A1621,'[1]Global_Spot Prices'!$B:$B,'[1]Global_Spot Prices'!$D:$D)</f>
        <v>67.45</v>
      </c>
      <c r="E1621">
        <f>_xlfn.XLOOKUP(A1621,'[1]Global_Spot Prices'!$B:$B,'[1]Global_Spot Prices'!$H:$H)</f>
        <v>66.78</v>
      </c>
      <c r="F1621">
        <f>_xlfn.XLOOKUP(A1621,'[1]Global_Spot Prices'!$B:$B,'[1]Global_Spot Prices'!$I:$I)</f>
        <v>74.680000000000007</v>
      </c>
      <c r="G1621" cm="1">
        <f t="array" ref="G1621">_xlfn.XLOOKUP(TEXT(A1621, "mmm-yy"), TEXT([2]RUNS!$B$5:$B$208, "mmm-yy"), [2]RUNS!$D$5:$D$208, "Not Found")</f>
        <v>29157.044074199977</v>
      </c>
      <c r="H1621" cm="1">
        <f t="array" ref="H1621">SUMPRODUCT(
    --(TEXT('[3]Global Weekly Stock (EWSuez'!$B$4:$B$2000,"mmm-yy")=TEXT(A1621,"mmm-yy")),
    '[3]Global Weekly Stock (EWSuez'!$E$4:$E$2000)
/
SUMPRODUCT(
    --(TEXT('[3]Global Weekly Stock (EWSuez'!$B$4:$B$2000,"mmm-yy")=TEXT(A1621,"mmm-yy"))
)</f>
        <v>15088.25</v>
      </c>
      <c r="I1621">
        <f>_xlfn.XLOOKUP(A1621,[1]ForwardDeriv!$D:$D,[1]ForwardDeriv!$AJ:$AJ)</f>
        <v>0.38000000000000966</v>
      </c>
      <c r="J1621" cm="1">
        <f t="array" ref="J1621">_xlfn.XLOOKUP(TEXT(A1621, "mmm-yy"), TEXT([2]GASOLINE!$B$5:$B$208, "mmm-yy"), [2]GASOLINE!$IR$5:$IR$208, "Not Found")</f>
        <v>98.040698537341996</v>
      </c>
      <c r="K1621" cm="1">
        <f t="array" ref="K1621">_xlfn.XLOOKUP(TEXT(A1621, "mmm-yy"), TEXT([2]GASOLINE!$B$5:$B$208, "mmm-yy"), [2]GASOLINE!$IK$5:$IK$208, "Not Found")</f>
        <v>194.03489535158312</v>
      </c>
      <c r="L1621">
        <f t="shared" si="25"/>
        <v>0</v>
      </c>
      <c r="M1621" cm="1">
        <f t="array" ref="M1621">_xlfn.XLOOKUP(TEXT(A1621, "mmm-yy"), TEXT([2]GASOLINE!$B$5:$B$208, "mmm-yy"), [2]GASOLINE!$C$5:$C$208, "Not Found")</f>
        <v>7092.5864407828594</v>
      </c>
      <c r="N1621" cm="1">
        <f t="array" ref="N1621">_xlfn.XLOOKUP(TEXT(A1621, "mmm-yy"), TEXT([2]RUNS!$B$5:$B$208, "mmm-yy"), [2]RUNS!$BM$5:$BM$208, "Not Found")</f>
        <v>0.7992764135879793</v>
      </c>
    </row>
    <row r="1622" spans="1:14" x14ac:dyDescent="0.25">
      <c r="A1622" s="1">
        <f>'[1]Global_Spot Prices'!$B2931</f>
        <v>44273</v>
      </c>
      <c r="B1622">
        <f ca="1">_xlfn.XLOOKUP(A1622,'[1]Global_Spot Prices'!$B:$B,'[1]Global_Spot Prices'!$BS:$BS)</f>
        <v>7.1400000000000006</v>
      </c>
      <c r="C1622">
        <f>_xlfn.XLOOKUP(A1622,'[1]Global_Spot Prices'!$B:$B,'[1]Global_Spot Prices'!$E:$E)</f>
        <v>65.25</v>
      </c>
      <c r="D1622">
        <f>_xlfn.XLOOKUP(A1622,'[1]Global_Spot Prices'!$B:$B,'[1]Global_Spot Prices'!$D:$D)</f>
        <v>64.92</v>
      </c>
      <c r="E1622">
        <f>_xlfn.XLOOKUP(A1622,'[1]Global_Spot Prices'!$B:$B,'[1]Global_Spot Prices'!$H:$H)</f>
        <v>64.69</v>
      </c>
      <c r="F1622">
        <f>_xlfn.XLOOKUP(A1622,'[1]Global_Spot Prices'!$B:$B,'[1]Global_Spot Prices'!$I:$I)</f>
        <v>72.39</v>
      </c>
      <c r="G1622" cm="1">
        <f t="array" ref="G1622">_xlfn.XLOOKUP(TEXT(A1622, "mmm-yy"), TEXT([2]RUNS!$B$5:$B$208, "mmm-yy"), [2]RUNS!$D$5:$D$208, "Not Found")</f>
        <v>29157.044074199977</v>
      </c>
      <c r="H1622" cm="1">
        <f t="array" ref="H1622">SUMPRODUCT(
    --(TEXT('[3]Global Weekly Stock (EWSuez'!$B$4:$B$2000,"mmm-yy")=TEXT(A1622,"mmm-yy")),
    '[3]Global Weekly Stock (EWSuez'!$E$4:$E$2000)
/
SUMPRODUCT(
    --(TEXT('[3]Global Weekly Stock (EWSuez'!$B$4:$B$2000,"mmm-yy")=TEXT(A1622,"mmm-yy"))
)</f>
        <v>15088.25</v>
      </c>
      <c r="I1622">
        <f>_xlfn.XLOOKUP(A1622,[1]ForwardDeriv!$D:$D,[1]ForwardDeriv!$AJ:$AJ)</f>
        <v>0.26000000000000512</v>
      </c>
      <c r="J1622" cm="1">
        <f t="array" ref="J1622">_xlfn.XLOOKUP(TEXT(A1622, "mmm-yy"), TEXT([2]GASOLINE!$B$5:$B$208, "mmm-yy"), [2]GASOLINE!$IR$5:$IR$208, "Not Found")</f>
        <v>98.040698537341996</v>
      </c>
      <c r="K1622" cm="1">
        <f t="array" ref="K1622">_xlfn.XLOOKUP(TEXT(A1622, "mmm-yy"), TEXT([2]GASOLINE!$B$5:$B$208, "mmm-yy"), [2]GASOLINE!$IK$5:$IK$208, "Not Found")</f>
        <v>194.03489535158312</v>
      </c>
      <c r="L1622">
        <f t="shared" si="25"/>
        <v>0</v>
      </c>
      <c r="M1622" cm="1">
        <f t="array" ref="M1622">_xlfn.XLOOKUP(TEXT(A1622, "mmm-yy"), TEXT([2]GASOLINE!$B$5:$B$208, "mmm-yy"), [2]GASOLINE!$C$5:$C$208, "Not Found")</f>
        <v>7092.5864407828594</v>
      </c>
      <c r="N1622" cm="1">
        <f t="array" ref="N1622">_xlfn.XLOOKUP(TEXT(A1622, "mmm-yy"), TEXT([2]RUNS!$B$5:$B$208, "mmm-yy"), [2]RUNS!$BM$5:$BM$208, "Not Found")</f>
        <v>0.7992764135879793</v>
      </c>
    </row>
    <row r="1623" spans="1:14" x14ac:dyDescent="0.25">
      <c r="A1623" s="1">
        <f>'[1]Global_Spot Prices'!$B2932</f>
        <v>44274</v>
      </c>
      <c r="B1623">
        <f>_xlfn.XLOOKUP(A1623,'[1]Global_Spot Prices'!$B:$B,'[1]Global_Spot Prices'!$BS:$BS)</f>
        <v>7.4000000000000057</v>
      </c>
      <c r="C1623">
        <f>_xlfn.XLOOKUP(A1623,'[1]Global_Spot Prices'!$B:$B,'[1]Global_Spot Prices'!$E:$E)</f>
        <v>62.25</v>
      </c>
      <c r="D1623">
        <f>_xlfn.XLOOKUP(A1623,'[1]Global_Spot Prices'!$B:$B,'[1]Global_Spot Prices'!$D:$D)</f>
        <v>63.72</v>
      </c>
      <c r="E1623">
        <f>_xlfn.XLOOKUP(A1623,'[1]Global_Spot Prices'!$B:$B,'[1]Global_Spot Prices'!$H:$H)</f>
        <v>62.57</v>
      </c>
      <c r="F1623">
        <f>_xlfn.XLOOKUP(A1623,'[1]Global_Spot Prices'!$B:$B,'[1]Global_Spot Prices'!$I:$I)</f>
        <v>69.650000000000006</v>
      </c>
      <c r="G1623" cm="1">
        <f t="array" ref="G1623">_xlfn.XLOOKUP(TEXT(A1623, "mmm-yy"), TEXT([2]RUNS!$B$5:$B$208, "mmm-yy"), [2]RUNS!$D$5:$D$208, "Not Found")</f>
        <v>29157.044074199977</v>
      </c>
      <c r="H1623" cm="1">
        <f t="array" ref="H1623">SUMPRODUCT(
    --(TEXT('[3]Global Weekly Stock (EWSuez'!$B$4:$B$2000,"mmm-yy")=TEXT(A1623,"mmm-yy")),
    '[3]Global Weekly Stock (EWSuez'!$E$4:$E$2000)
/
SUMPRODUCT(
    --(TEXT('[3]Global Weekly Stock (EWSuez'!$B$4:$B$2000,"mmm-yy")=TEXT(A1623,"mmm-yy"))
)</f>
        <v>15088.25</v>
      </c>
      <c r="I1623">
        <f>_xlfn.XLOOKUP(A1623,[1]ForwardDeriv!$D:$D,[1]ForwardDeriv!$AJ:$AJ)</f>
        <v>0.29000000000000625</v>
      </c>
      <c r="J1623" cm="1">
        <f t="array" ref="J1623">_xlfn.XLOOKUP(TEXT(A1623, "mmm-yy"), TEXT([2]GASOLINE!$B$5:$B$208, "mmm-yy"), [2]GASOLINE!$IR$5:$IR$208, "Not Found")</f>
        <v>98.040698537341996</v>
      </c>
      <c r="K1623" cm="1">
        <f t="array" ref="K1623">_xlfn.XLOOKUP(TEXT(A1623, "mmm-yy"), TEXT([2]GASOLINE!$B$5:$B$208, "mmm-yy"), [2]GASOLINE!$IK$5:$IK$208, "Not Found")</f>
        <v>194.03489535158312</v>
      </c>
      <c r="L1623">
        <f t="shared" si="25"/>
        <v>0</v>
      </c>
      <c r="M1623" cm="1">
        <f t="array" ref="M1623">_xlfn.XLOOKUP(TEXT(A1623, "mmm-yy"), TEXT([2]GASOLINE!$B$5:$B$208, "mmm-yy"), [2]GASOLINE!$C$5:$C$208, "Not Found")</f>
        <v>7092.5864407828594</v>
      </c>
      <c r="N1623" cm="1">
        <f t="array" ref="N1623">_xlfn.XLOOKUP(TEXT(A1623, "mmm-yy"), TEXT([2]RUNS!$B$5:$B$208, "mmm-yy"), [2]RUNS!$BM$5:$BM$208, "Not Found")</f>
        <v>0.7992764135879793</v>
      </c>
    </row>
    <row r="1624" spans="1:14" x14ac:dyDescent="0.25">
      <c r="A1624" s="1">
        <f>'[1]Global_Spot Prices'!$B2933</f>
        <v>44277</v>
      </c>
      <c r="B1624">
        <f>_xlfn.XLOOKUP(A1624,'[1]Global_Spot Prices'!$B:$B,'[1]Global_Spot Prices'!$BS:$BS)</f>
        <v>6.5900000000000034</v>
      </c>
      <c r="C1624">
        <f>_xlfn.XLOOKUP(A1624,'[1]Global_Spot Prices'!$B:$B,'[1]Global_Spot Prices'!$E:$E)</f>
        <v>63.16</v>
      </c>
      <c r="D1624">
        <f>_xlfn.XLOOKUP(A1624,'[1]Global_Spot Prices'!$B:$B,'[1]Global_Spot Prices'!$D:$D)</f>
        <v>63.805</v>
      </c>
      <c r="E1624">
        <f>_xlfn.XLOOKUP(A1624,'[1]Global_Spot Prices'!$B:$B,'[1]Global_Spot Prices'!$H:$H)</f>
        <v>62.71</v>
      </c>
      <c r="F1624">
        <f>_xlfn.XLOOKUP(A1624,'[1]Global_Spot Prices'!$B:$B,'[1]Global_Spot Prices'!$I:$I)</f>
        <v>69.75</v>
      </c>
      <c r="G1624" cm="1">
        <f t="array" ref="G1624">_xlfn.XLOOKUP(TEXT(A1624, "mmm-yy"), TEXT([2]RUNS!$B$5:$B$208, "mmm-yy"), [2]RUNS!$D$5:$D$208, "Not Found")</f>
        <v>29157.044074199977</v>
      </c>
      <c r="H1624" cm="1">
        <f t="array" ref="H1624">SUMPRODUCT(
    --(TEXT('[3]Global Weekly Stock (EWSuez'!$B$4:$B$2000,"mmm-yy")=TEXT(A1624,"mmm-yy")),
    '[3]Global Weekly Stock (EWSuez'!$E$4:$E$2000)
/
SUMPRODUCT(
    --(TEXT('[3]Global Weekly Stock (EWSuez'!$B$4:$B$2000,"mmm-yy")=TEXT(A1624,"mmm-yy"))
)</f>
        <v>15088.25</v>
      </c>
      <c r="I1624">
        <f>_xlfn.XLOOKUP(A1624,[1]ForwardDeriv!$D:$D,[1]ForwardDeriv!$AJ:$AJ)</f>
        <v>0.34000000000000341</v>
      </c>
      <c r="J1624" cm="1">
        <f t="array" ref="J1624">_xlfn.XLOOKUP(TEXT(A1624, "mmm-yy"), TEXT([2]GASOLINE!$B$5:$B$208, "mmm-yy"), [2]GASOLINE!$IR$5:$IR$208, "Not Found")</f>
        <v>98.040698537341996</v>
      </c>
      <c r="K1624" cm="1">
        <f t="array" ref="K1624">_xlfn.XLOOKUP(TEXT(A1624, "mmm-yy"), TEXT([2]GASOLINE!$B$5:$B$208, "mmm-yy"), [2]GASOLINE!$IK$5:$IK$208, "Not Found")</f>
        <v>194.03489535158312</v>
      </c>
      <c r="L1624">
        <f t="shared" si="25"/>
        <v>0</v>
      </c>
      <c r="M1624" cm="1">
        <f t="array" ref="M1624">_xlfn.XLOOKUP(TEXT(A1624, "mmm-yy"), TEXT([2]GASOLINE!$B$5:$B$208, "mmm-yy"), [2]GASOLINE!$C$5:$C$208, "Not Found")</f>
        <v>7092.5864407828594</v>
      </c>
      <c r="N1624" cm="1">
        <f t="array" ref="N1624">_xlfn.XLOOKUP(TEXT(A1624, "mmm-yy"), TEXT([2]RUNS!$B$5:$B$208, "mmm-yy"), [2]RUNS!$BM$5:$BM$208, "Not Found")</f>
        <v>0.7992764135879793</v>
      </c>
    </row>
    <row r="1625" spans="1:14" x14ac:dyDescent="0.25">
      <c r="A1625" s="1">
        <f>'[1]Global_Spot Prices'!$B2934</f>
        <v>44278</v>
      </c>
      <c r="B1625">
        <f>_xlfn.XLOOKUP(A1625,'[1]Global_Spot Prices'!$B:$B,'[1]Global_Spot Prices'!$BS:$BS)</f>
        <v>6.1850000000000023</v>
      </c>
      <c r="C1625">
        <f>_xlfn.XLOOKUP(A1625,'[1]Global_Spot Prices'!$B:$B,'[1]Global_Spot Prices'!$E:$E)</f>
        <v>62.954999999999998</v>
      </c>
      <c r="D1625">
        <f>_xlfn.XLOOKUP(A1625,'[1]Global_Spot Prices'!$B:$B,'[1]Global_Spot Prices'!$D:$D)</f>
        <v>61.884999999999998</v>
      </c>
      <c r="E1625">
        <f ca="1">_xlfn.XLOOKUP(A1625,'[1]Global_Spot Prices'!$B:$B,'[1]Global_Spot Prices'!$H:$H)</f>
        <v>62.13</v>
      </c>
      <c r="F1625">
        <f>_xlfn.XLOOKUP(A1625,'[1]Global_Spot Prices'!$B:$B,'[1]Global_Spot Prices'!$I:$I)</f>
        <v>69.14</v>
      </c>
      <c r="G1625" cm="1">
        <f t="array" ref="G1625">_xlfn.XLOOKUP(TEXT(A1625, "mmm-yy"), TEXT([2]RUNS!$B$5:$B$208, "mmm-yy"), [2]RUNS!$D$5:$D$208, "Not Found")</f>
        <v>29157.044074199977</v>
      </c>
      <c r="H1625" cm="1">
        <f t="array" ref="H1625">SUMPRODUCT(
    --(TEXT('[3]Global Weekly Stock (EWSuez'!$B$4:$B$2000,"mmm-yy")=TEXT(A1625,"mmm-yy")),
    '[3]Global Weekly Stock (EWSuez'!$E$4:$E$2000)
/
SUMPRODUCT(
    --(TEXT('[3]Global Weekly Stock (EWSuez'!$B$4:$B$2000,"mmm-yy")=TEXT(A1625,"mmm-yy"))
)</f>
        <v>15088.25</v>
      </c>
      <c r="I1625">
        <f>_xlfn.XLOOKUP(A1625,[1]ForwardDeriv!$D:$D,[1]ForwardDeriv!$AJ:$AJ)</f>
        <v>0.32000000000000739</v>
      </c>
      <c r="J1625" cm="1">
        <f t="array" ref="J1625">_xlfn.XLOOKUP(TEXT(A1625, "mmm-yy"), TEXT([2]GASOLINE!$B$5:$B$208, "mmm-yy"), [2]GASOLINE!$IR$5:$IR$208, "Not Found")</f>
        <v>98.040698537341996</v>
      </c>
      <c r="K1625" cm="1">
        <f t="array" ref="K1625">_xlfn.XLOOKUP(TEXT(A1625, "mmm-yy"), TEXT([2]GASOLINE!$B$5:$B$208, "mmm-yy"), [2]GASOLINE!$IK$5:$IK$208, "Not Found")</f>
        <v>194.03489535158312</v>
      </c>
      <c r="L1625">
        <f t="shared" si="25"/>
        <v>0</v>
      </c>
      <c r="M1625" cm="1">
        <f t="array" ref="M1625">_xlfn.XLOOKUP(TEXT(A1625, "mmm-yy"), TEXT([2]GASOLINE!$B$5:$B$208, "mmm-yy"), [2]GASOLINE!$C$5:$C$208, "Not Found")</f>
        <v>7092.5864407828594</v>
      </c>
      <c r="N1625" cm="1">
        <f t="array" ref="N1625">_xlfn.XLOOKUP(TEXT(A1625, "mmm-yy"), TEXT([2]RUNS!$B$5:$B$208, "mmm-yy"), [2]RUNS!$BM$5:$BM$208, "Not Found")</f>
        <v>0.7992764135879793</v>
      </c>
    </row>
    <row r="1626" spans="1:14" x14ac:dyDescent="0.25">
      <c r="A1626" s="1">
        <f>'[1]Global_Spot Prices'!$B2935</f>
        <v>44279</v>
      </c>
      <c r="B1626">
        <f>_xlfn.XLOOKUP(A1626,'[1]Global_Spot Prices'!$B:$B,'[1]Global_Spot Prices'!$BS:$BS)</f>
        <v>6.5</v>
      </c>
      <c r="C1626">
        <f>_xlfn.XLOOKUP(A1626,'[1]Global_Spot Prices'!$B:$B,'[1]Global_Spot Prices'!$E:$E)</f>
        <v>60.95</v>
      </c>
      <c r="D1626">
        <f>_xlfn.XLOOKUP(A1626,'[1]Global_Spot Prices'!$B:$B,'[1]Global_Spot Prices'!$D:$D)</f>
        <v>63.634999999999998</v>
      </c>
      <c r="E1626">
        <f>_xlfn.XLOOKUP(A1626,'[1]Global_Spot Prices'!$B:$B,'[1]Global_Spot Prices'!$H:$H)</f>
        <v>60.77</v>
      </c>
      <c r="F1626">
        <f>_xlfn.XLOOKUP(A1626,'[1]Global_Spot Prices'!$B:$B,'[1]Global_Spot Prices'!$I:$I)</f>
        <v>67.45</v>
      </c>
      <c r="G1626" cm="1">
        <f t="array" ref="G1626">_xlfn.XLOOKUP(TEXT(A1626, "mmm-yy"), TEXT([2]RUNS!$B$5:$B$208, "mmm-yy"), [2]RUNS!$D$5:$D$208, "Not Found")</f>
        <v>29157.044074199977</v>
      </c>
      <c r="H1626" cm="1">
        <f t="array" ref="H1626">SUMPRODUCT(
    --(TEXT('[3]Global Weekly Stock (EWSuez'!$B$4:$B$2000,"mmm-yy")=TEXT(A1626,"mmm-yy")),
    '[3]Global Weekly Stock (EWSuez'!$E$4:$E$2000)
/
SUMPRODUCT(
    --(TEXT('[3]Global Weekly Stock (EWSuez'!$B$4:$B$2000,"mmm-yy")=TEXT(A1626,"mmm-yy"))
)</f>
        <v>15088.25</v>
      </c>
      <c r="I1626">
        <f>_xlfn.XLOOKUP(A1626,[1]ForwardDeriv!$D:$D,[1]ForwardDeriv!$AJ:$AJ)</f>
        <v>0.26000000000000512</v>
      </c>
      <c r="J1626" cm="1">
        <f t="array" ref="J1626">_xlfn.XLOOKUP(TEXT(A1626, "mmm-yy"), TEXT([2]GASOLINE!$B$5:$B$208, "mmm-yy"), [2]GASOLINE!$IR$5:$IR$208, "Not Found")</f>
        <v>98.040698537341996</v>
      </c>
      <c r="K1626" cm="1">
        <f t="array" ref="K1626">_xlfn.XLOOKUP(TEXT(A1626, "mmm-yy"), TEXT([2]GASOLINE!$B$5:$B$208, "mmm-yy"), [2]GASOLINE!$IK$5:$IK$208, "Not Found")</f>
        <v>194.03489535158312</v>
      </c>
      <c r="L1626">
        <f t="shared" si="25"/>
        <v>0</v>
      </c>
      <c r="M1626" cm="1">
        <f t="array" ref="M1626">_xlfn.XLOOKUP(TEXT(A1626, "mmm-yy"), TEXT([2]GASOLINE!$B$5:$B$208, "mmm-yy"), [2]GASOLINE!$C$5:$C$208, "Not Found")</f>
        <v>7092.5864407828594</v>
      </c>
      <c r="N1626" cm="1">
        <f t="array" ref="N1626">_xlfn.XLOOKUP(TEXT(A1626, "mmm-yy"), TEXT([2]RUNS!$B$5:$B$208, "mmm-yy"), [2]RUNS!$BM$5:$BM$208, "Not Found")</f>
        <v>0.7992764135879793</v>
      </c>
    </row>
    <row r="1627" spans="1:14" x14ac:dyDescent="0.25">
      <c r="A1627" s="1">
        <f>'[1]Global_Spot Prices'!$B2936</f>
        <v>44280</v>
      </c>
      <c r="B1627">
        <f>_xlfn.XLOOKUP(A1627,'[1]Global_Spot Prices'!$B:$B,'[1]Global_Spot Prices'!$BS:$BS)</f>
        <v>7.0300000000000082</v>
      </c>
      <c r="C1627">
        <f>_xlfn.XLOOKUP(A1627,'[1]Global_Spot Prices'!$B:$B,'[1]Global_Spot Prices'!$E:$E)</f>
        <v>62.4</v>
      </c>
      <c r="D1627">
        <f>_xlfn.XLOOKUP(A1627,'[1]Global_Spot Prices'!$B:$B,'[1]Global_Spot Prices'!$D:$D)</f>
        <v>61.255000000000003</v>
      </c>
      <c r="E1627">
        <f>_xlfn.XLOOKUP(A1627,'[1]Global_Spot Prices'!$B:$B,'[1]Global_Spot Prices'!$H:$H)</f>
        <v>61.93</v>
      </c>
      <c r="F1627">
        <f>_xlfn.XLOOKUP(A1627,'[1]Global_Spot Prices'!$B:$B,'[1]Global_Spot Prices'!$I:$I)</f>
        <v>69.430000000000007</v>
      </c>
      <c r="G1627" cm="1">
        <f t="array" ref="G1627">_xlfn.XLOOKUP(TEXT(A1627, "mmm-yy"), TEXT([2]RUNS!$B$5:$B$208, "mmm-yy"), [2]RUNS!$D$5:$D$208, "Not Found")</f>
        <v>29157.044074199977</v>
      </c>
      <c r="H1627" cm="1">
        <f t="array" ref="H1627">SUMPRODUCT(
    --(TEXT('[3]Global Weekly Stock (EWSuez'!$B$4:$B$2000,"mmm-yy")=TEXT(A1627,"mmm-yy")),
    '[3]Global Weekly Stock (EWSuez'!$E$4:$E$2000)
/
SUMPRODUCT(
    --(TEXT('[3]Global Weekly Stock (EWSuez'!$B$4:$B$2000,"mmm-yy")=TEXT(A1627,"mmm-yy"))
)</f>
        <v>15088.25</v>
      </c>
      <c r="I1627">
        <f>_xlfn.XLOOKUP(A1627,[1]ForwardDeriv!$D:$D,[1]ForwardDeriv!$AJ:$AJ)</f>
        <v>0.28000000000000114</v>
      </c>
      <c r="J1627" cm="1">
        <f t="array" ref="J1627">_xlfn.XLOOKUP(TEXT(A1627, "mmm-yy"), TEXT([2]GASOLINE!$B$5:$B$208, "mmm-yy"), [2]GASOLINE!$IR$5:$IR$208, "Not Found")</f>
        <v>98.040698537341996</v>
      </c>
      <c r="K1627" cm="1">
        <f t="array" ref="K1627">_xlfn.XLOOKUP(TEXT(A1627, "mmm-yy"), TEXT([2]GASOLINE!$B$5:$B$208, "mmm-yy"), [2]GASOLINE!$IK$5:$IK$208, "Not Found")</f>
        <v>194.03489535158312</v>
      </c>
      <c r="L1627">
        <f t="shared" si="25"/>
        <v>0</v>
      </c>
      <c r="M1627" cm="1">
        <f t="array" ref="M1627">_xlfn.XLOOKUP(TEXT(A1627, "mmm-yy"), TEXT([2]GASOLINE!$B$5:$B$208, "mmm-yy"), [2]GASOLINE!$C$5:$C$208, "Not Found")</f>
        <v>7092.5864407828594</v>
      </c>
      <c r="N1627" cm="1">
        <f t="array" ref="N1627">_xlfn.XLOOKUP(TEXT(A1627, "mmm-yy"), TEXT([2]RUNS!$B$5:$B$208, "mmm-yy"), [2]RUNS!$BM$5:$BM$208, "Not Found")</f>
        <v>0.7992764135879793</v>
      </c>
    </row>
    <row r="1628" spans="1:14" x14ac:dyDescent="0.25">
      <c r="A1628" s="1">
        <f>'[1]Global_Spot Prices'!$B2937</f>
        <v>44281</v>
      </c>
      <c r="B1628">
        <f>_xlfn.XLOOKUP(A1628,'[1]Global_Spot Prices'!$B:$B,'[1]Global_Spot Prices'!$BS:$BS)</f>
        <v>7.1200000000000045</v>
      </c>
      <c r="C1628">
        <f>_xlfn.XLOOKUP(A1628,'[1]Global_Spot Prices'!$B:$B,'[1]Global_Spot Prices'!$E:$E)</f>
        <v>62.05</v>
      </c>
      <c r="D1628">
        <f>_xlfn.XLOOKUP(A1628,'[1]Global_Spot Prices'!$B:$B,'[1]Global_Spot Prices'!$D:$D)</f>
        <v>63.8</v>
      </c>
      <c r="E1628">
        <f>_xlfn.XLOOKUP(A1628,'[1]Global_Spot Prices'!$B:$B,'[1]Global_Spot Prices'!$H:$H)</f>
        <v>62.82</v>
      </c>
      <c r="F1628">
        <f>_xlfn.XLOOKUP(A1628,'[1]Global_Spot Prices'!$B:$B,'[1]Global_Spot Prices'!$I:$I)</f>
        <v>69.17</v>
      </c>
      <c r="G1628" cm="1">
        <f t="array" ref="G1628">_xlfn.XLOOKUP(TEXT(A1628, "mmm-yy"), TEXT([2]RUNS!$B$5:$B$208, "mmm-yy"), [2]RUNS!$D$5:$D$208, "Not Found")</f>
        <v>29157.044074199977</v>
      </c>
      <c r="H1628" cm="1">
        <f t="array" ref="H1628">SUMPRODUCT(
    --(TEXT('[3]Global Weekly Stock (EWSuez'!$B$4:$B$2000,"mmm-yy")=TEXT(A1628,"mmm-yy")),
    '[3]Global Weekly Stock (EWSuez'!$E$4:$E$2000)
/
SUMPRODUCT(
    --(TEXT('[3]Global Weekly Stock (EWSuez'!$B$4:$B$2000,"mmm-yy")=TEXT(A1628,"mmm-yy"))
)</f>
        <v>15088.25</v>
      </c>
      <c r="I1628">
        <f>_xlfn.XLOOKUP(A1628,[1]ForwardDeriv!$D:$D,[1]ForwardDeriv!$AJ:$AJ)</f>
        <v>0.28999999999999204</v>
      </c>
      <c r="J1628" cm="1">
        <f t="array" ref="J1628">_xlfn.XLOOKUP(TEXT(A1628, "mmm-yy"), TEXT([2]GASOLINE!$B$5:$B$208, "mmm-yy"), [2]GASOLINE!$IR$5:$IR$208, "Not Found")</f>
        <v>98.040698537341996</v>
      </c>
      <c r="K1628" cm="1">
        <f t="array" ref="K1628">_xlfn.XLOOKUP(TEXT(A1628, "mmm-yy"), TEXT([2]GASOLINE!$B$5:$B$208, "mmm-yy"), [2]GASOLINE!$IK$5:$IK$208, "Not Found")</f>
        <v>194.03489535158312</v>
      </c>
      <c r="L1628">
        <f t="shared" si="25"/>
        <v>0</v>
      </c>
      <c r="M1628" cm="1">
        <f t="array" ref="M1628">_xlfn.XLOOKUP(TEXT(A1628, "mmm-yy"), TEXT([2]GASOLINE!$B$5:$B$208, "mmm-yy"), [2]GASOLINE!$C$5:$C$208, "Not Found")</f>
        <v>7092.5864407828594</v>
      </c>
      <c r="N1628" cm="1">
        <f t="array" ref="N1628">_xlfn.XLOOKUP(TEXT(A1628, "mmm-yy"), TEXT([2]RUNS!$B$5:$B$208, "mmm-yy"), [2]RUNS!$BM$5:$BM$208, "Not Found")</f>
        <v>0.7992764135879793</v>
      </c>
    </row>
    <row r="1629" spans="1:14" x14ac:dyDescent="0.25">
      <c r="A1629" s="1">
        <f>'[1]Global_Spot Prices'!$B2938</f>
        <v>44284</v>
      </c>
      <c r="B1629">
        <f>_xlfn.XLOOKUP(A1629,'[1]Global_Spot Prices'!$B:$B,'[1]Global_Spot Prices'!$BS:$BS)</f>
        <v>7.4300000000000068</v>
      </c>
      <c r="C1629">
        <f>_xlfn.XLOOKUP(A1629,'[1]Global_Spot Prices'!$B:$B,'[1]Global_Spot Prices'!$E:$E)</f>
        <v>63.05</v>
      </c>
      <c r="D1629">
        <f>_xlfn.XLOOKUP(A1629,'[1]Global_Spot Prices'!$B:$B,'[1]Global_Spot Prices'!$D:$D)</f>
        <v>63.265000000000001</v>
      </c>
      <c r="E1629">
        <f>_xlfn.XLOOKUP(A1629,'[1]Global_Spot Prices'!$B:$B,'[1]Global_Spot Prices'!$H:$H)</f>
        <v>62.24</v>
      </c>
      <c r="F1629">
        <f>_xlfn.XLOOKUP(A1629,'[1]Global_Spot Prices'!$B:$B,'[1]Global_Spot Prices'!$I:$I)</f>
        <v>70.48</v>
      </c>
      <c r="G1629" cm="1">
        <f t="array" ref="G1629">_xlfn.XLOOKUP(TEXT(A1629, "mmm-yy"), TEXT([2]RUNS!$B$5:$B$208, "mmm-yy"), [2]RUNS!$D$5:$D$208, "Not Found")</f>
        <v>29157.044074199977</v>
      </c>
      <c r="H1629" cm="1">
        <f t="array" ref="H1629">SUMPRODUCT(
    --(TEXT('[3]Global Weekly Stock (EWSuez'!$B$4:$B$2000,"mmm-yy")=TEXT(A1629,"mmm-yy")),
    '[3]Global Weekly Stock (EWSuez'!$E$4:$E$2000)
/
SUMPRODUCT(
    --(TEXT('[3]Global Weekly Stock (EWSuez'!$B$4:$B$2000,"mmm-yy")=TEXT(A1629,"mmm-yy"))
)</f>
        <v>15088.25</v>
      </c>
      <c r="I1629">
        <f>_xlfn.XLOOKUP(A1629,[1]ForwardDeriv!$D:$D,[1]ForwardDeriv!$AJ:$AJ)</f>
        <v>0.40999999999999659</v>
      </c>
      <c r="J1629" cm="1">
        <f t="array" ref="J1629">_xlfn.XLOOKUP(TEXT(A1629, "mmm-yy"), TEXT([2]GASOLINE!$B$5:$B$208, "mmm-yy"), [2]GASOLINE!$IR$5:$IR$208, "Not Found")</f>
        <v>98.040698537341996</v>
      </c>
      <c r="K1629" cm="1">
        <f t="array" ref="K1629">_xlfn.XLOOKUP(TEXT(A1629, "mmm-yy"), TEXT([2]GASOLINE!$B$5:$B$208, "mmm-yy"), [2]GASOLINE!$IK$5:$IK$208, "Not Found")</f>
        <v>194.03489535158312</v>
      </c>
      <c r="L1629">
        <f t="shared" si="25"/>
        <v>0</v>
      </c>
      <c r="M1629" cm="1">
        <f t="array" ref="M1629">_xlfn.XLOOKUP(TEXT(A1629, "mmm-yy"), TEXT([2]GASOLINE!$B$5:$B$208, "mmm-yy"), [2]GASOLINE!$C$5:$C$208, "Not Found")</f>
        <v>7092.5864407828594</v>
      </c>
      <c r="N1629" cm="1">
        <f t="array" ref="N1629">_xlfn.XLOOKUP(TEXT(A1629, "mmm-yy"), TEXT([2]RUNS!$B$5:$B$208, "mmm-yy"), [2]RUNS!$BM$5:$BM$208, "Not Found")</f>
        <v>0.7992764135879793</v>
      </c>
    </row>
    <row r="1630" spans="1:14" x14ac:dyDescent="0.25">
      <c r="A1630" s="1">
        <f>'[1]Global_Spot Prices'!$B2939</f>
        <v>44285</v>
      </c>
      <c r="B1630">
        <f>_xlfn.XLOOKUP(A1630,'[1]Global_Spot Prices'!$B:$B,'[1]Global_Spot Prices'!$BS:$BS)</f>
        <v>7.9300000000000068</v>
      </c>
      <c r="C1630">
        <f>_xlfn.XLOOKUP(A1630,'[1]Global_Spot Prices'!$B:$B,'[1]Global_Spot Prices'!$E:$E)</f>
        <v>63.86</v>
      </c>
      <c r="D1630">
        <f>_xlfn.XLOOKUP(A1630,'[1]Global_Spot Prices'!$B:$B,'[1]Global_Spot Prices'!$D:$D)</f>
        <v>63.534999999999997</v>
      </c>
      <c r="E1630">
        <f>_xlfn.XLOOKUP(A1630,'[1]Global_Spot Prices'!$B:$B,'[1]Global_Spot Prices'!$H:$H)</f>
        <v>62.71</v>
      </c>
      <c r="F1630">
        <f>_xlfn.XLOOKUP(A1630,'[1]Global_Spot Prices'!$B:$B,'[1]Global_Spot Prices'!$I:$I)</f>
        <v>71.790000000000006</v>
      </c>
      <c r="G1630" cm="1">
        <f t="array" ref="G1630">_xlfn.XLOOKUP(TEXT(A1630, "mmm-yy"), TEXT([2]RUNS!$B$5:$B$208, "mmm-yy"), [2]RUNS!$D$5:$D$208, "Not Found")</f>
        <v>29157.044074199977</v>
      </c>
      <c r="H1630" cm="1">
        <f t="array" ref="H1630">SUMPRODUCT(
    --(TEXT('[3]Global Weekly Stock (EWSuez'!$B$4:$B$2000,"mmm-yy")=TEXT(A1630,"mmm-yy")),
    '[3]Global Weekly Stock (EWSuez'!$E$4:$E$2000)
/
SUMPRODUCT(
    --(TEXT('[3]Global Weekly Stock (EWSuez'!$B$4:$B$2000,"mmm-yy")=TEXT(A1630,"mmm-yy"))
)</f>
        <v>15088.25</v>
      </c>
      <c r="I1630">
        <f>_xlfn.XLOOKUP(A1630,[1]ForwardDeriv!$D:$D,[1]ForwardDeriv!$AJ:$AJ)</f>
        <v>0.43000000000000682</v>
      </c>
      <c r="J1630" cm="1">
        <f t="array" ref="J1630">_xlfn.XLOOKUP(TEXT(A1630, "mmm-yy"), TEXT([2]GASOLINE!$B$5:$B$208, "mmm-yy"), [2]GASOLINE!$IR$5:$IR$208, "Not Found")</f>
        <v>98.040698537341996</v>
      </c>
      <c r="K1630" cm="1">
        <f t="array" ref="K1630">_xlfn.XLOOKUP(TEXT(A1630, "mmm-yy"), TEXT([2]GASOLINE!$B$5:$B$208, "mmm-yy"), [2]GASOLINE!$IK$5:$IK$208, "Not Found")</f>
        <v>194.03489535158312</v>
      </c>
      <c r="L1630">
        <f t="shared" si="25"/>
        <v>0</v>
      </c>
      <c r="M1630" cm="1">
        <f t="array" ref="M1630">_xlfn.XLOOKUP(TEXT(A1630, "mmm-yy"), TEXT([2]GASOLINE!$B$5:$B$208, "mmm-yy"), [2]GASOLINE!$C$5:$C$208, "Not Found")</f>
        <v>7092.5864407828594</v>
      </c>
      <c r="N1630" cm="1">
        <f t="array" ref="N1630">_xlfn.XLOOKUP(TEXT(A1630, "mmm-yy"), TEXT([2]RUNS!$B$5:$B$208, "mmm-yy"), [2]RUNS!$BM$5:$BM$208, "Not Found")</f>
        <v>0.7992764135879793</v>
      </c>
    </row>
    <row r="1631" spans="1:14" x14ac:dyDescent="0.25">
      <c r="A1631" s="1">
        <f>'[1]Global_Spot Prices'!$B2940</f>
        <v>44286</v>
      </c>
      <c r="B1631">
        <f>_xlfn.XLOOKUP(A1631,'[1]Global_Spot Prices'!$B:$B,'[1]Global_Spot Prices'!$BS:$BS)</f>
        <v>8.3999999999999915</v>
      </c>
      <c r="C1631">
        <f>_xlfn.XLOOKUP(A1631,'[1]Global_Spot Prices'!$B:$B,'[1]Global_Spot Prices'!$E:$E)</f>
        <v>63.31</v>
      </c>
      <c r="D1631">
        <f>_xlfn.XLOOKUP(A1631,'[1]Global_Spot Prices'!$B:$B,'[1]Global_Spot Prices'!$D:$D)</f>
        <v>63.744999999999997</v>
      </c>
      <c r="E1631">
        <f>_xlfn.XLOOKUP(A1631,'[1]Global_Spot Prices'!$B:$B,'[1]Global_Spot Prices'!$H:$H)</f>
        <v>62.54</v>
      </c>
      <c r="F1631">
        <f>_xlfn.XLOOKUP(A1631,'[1]Global_Spot Prices'!$B:$B,'[1]Global_Spot Prices'!$I:$I)</f>
        <v>71.709999999999994</v>
      </c>
      <c r="G1631" cm="1">
        <f t="array" ref="G1631">_xlfn.XLOOKUP(TEXT(A1631, "mmm-yy"), TEXT([2]RUNS!$B$5:$B$208, "mmm-yy"), [2]RUNS!$D$5:$D$208, "Not Found")</f>
        <v>29157.044074199977</v>
      </c>
      <c r="H1631" cm="1">
        <f t="array" ref="H1631">SUMPRODUCT(
    --(TEXT('[3]Global Weekly Stock (EWSuez'!$B$4:$B$2000,"mmm-yy")=TEXT(A1631,"mmm-yy")),
    '[3]Global Weekly Stock (EWSuez'!$E$4:$E$2000)
/
SUMPRODUCT(
    --(TEXT('[3]Global Weekly Stock (EWSuez'!$B$4:$B$2000,"mmm-yy")=TEXT(A1631,"mmm-yy"))
)</f>
        <v>15088.25</v>
      </c>
      <c r="I1631">
        <f>_xlfn.XLOOKUP(A1631,[1]ForwardDeriv!$D:$D,[1]ForwardDeriv!$AJ:$AJ)</f>
        <v>0.45999999999999375</v>
      </c>
      <c r="J1631" cm="1">
        <f t="array" ref="J1631">_xlfn.XLOOKUP(TEXT(A1631, "mmm-yy"), TEXT([2]GASOLINE!$B$5:$B$208, "mmm-yy"), [2]GASOLINE!$IR$5:$IR$208, "Not Found")</f>
        <v>98.040698537341996</v>
      </c>
      <c r="K1631" cm="1">
        <f t="array" ref="K1631">_xlfn.XLOOKUP(TEXT(A1631, "mmm-yy"), TEXT([2]GASOLINE!$B$5:$B$208, "mmm-yy"), [2]GASOLINE!$IK$5:$IK$208, "Not Found")</f>
        <v>194.03489535158312</v>
      </c>
      <c r="L1631">
        <f t="shared" si="25"/>
        <v>0</v>
      </c>
      <c r="M1631" cm="1">
        <f t="array" ref="M1631">_xlfn.XLOOKUP(TEXT(A1631, "mmm-yy"), TEXT([2]GASOLINE!$B$5:$B$208, "mmm-yy"), [2]GASOLINE!$C$5:$C$208, "Not Found")</f>
        <v>7092.5864407828594</v>
      </c>
      <c r="N1631" cm="1">
        <f t="array" ref="N1631">_xlfn.XLOOKUP(TEXT(A1631, "mmm-yy"), TEXT([2]RUNS!$B$5:$B$208, "mmm-yy"), [2]RUNS!$BM$5:$BM$208, "Not Found")</f>
        <v>0.7992764135879793</v>
      </c>
    </row>
    <row r="1632" spans="1:14" x14ac:dyDescent="0.25">
      <c r="A1632" s="1">
        <f>'[1]Global_Spot Prices'!$B2941</f>
        <v>44287</v>
      </c>
      <c r="B1632">
        <f>_xlfn.XLOOKUP(A1632,'[1]Global_Spot Prices'!$B:$B,'[1]Global_Spot Prices'!$BS:$BS)</f>
        <v>8.7599999999999909</v>
      </c>
      <c r="C1632">
        <f>_xlfn.XLOOKUP(A1632,'[1]Global_Spot Prices'!$B:$B,'[1]Global_Spot Prices'!$E:$E)</f>
        <v>61.45</v>
      </c>
      <c r="D1632">
        <f ca="1">_xlfn.XLOOKUP(A1632,'[1]Global_Spot Prices'!$B:$B,'[1]Global_Spot Prices'!$D:$D)</f>
        <v>62.19</v>
      </c>
      <c r="E1632">
        <f>_xlfn.XLOOKUP(A1632,'[1]Global_Spot Prices'!$B:$B,'[1]Global_Spot Prices'!$H:$H)</f>
        <v>61.67</v>
      </c>
      <c r="F1632">
        <f>_xlfn.XLOOKUP(A1632,'[1]Global_Spot Prices'!$B:$B,'[1]Global_Spot Prices'!$I:$I)</f>
        <v>70.209999999999994</v>
      </c>
      <c r="G1632" cm="1">
        <f t="array" ref="G1632">_xlfn.XLOOKUP(TEXT(A1632, "mmm-yy"), TEXT([2]RUNS!$B$5:$B$208, "mmm-yy"), [2]RUNS!$D$5:$D$208, "Not Found")</f>
        <v>29199.40995212871</v>
      </c>
      <c r="H1632" cm="1">
        <f t="array" ref="H1632">SUMPRODUCT(
    --(TEXT('[3]Global Weekly Stock (EWSuez'!$B$4:$B$2000,"mmm-yy")=TEXT(A1632,"mmm-yy")),
    '[3]Global Weekly Stock (EWSuez'!$E$4:$E$2000)
/
SUMPRODUCT(
    --(TEXT('[3]Global Weekly Stock (EWSuez'!$B$4:$B$2000,"mmm-yy")=TEXT(A1632,"mmm-yy"))
)</f>
        <v>13418</v>
      </c>
      <c r="I1632">
        <f>_xlfn.XLOOKUP(A1632,[1]ForwardDeriv!$D:$D,[1]ForwardDeriv!$AJ:$AJ)</f>
        <v>0.56999999999999318</v>
      </c>
      <c r="J1632" cm="1">
        <f t="array" ref="J1632">_xlfn.XLOOKUP(TEXT(A1632, "mmm-yy"), TEXT([2]GASOLINE!$B$5:$B$208, "mmm-yy"), [2]GASOLINE!$IR$5:$IR$208, "Not Found")</f>
        <v>79.885957928316031</v>
      </c>
      <c r="K1632" cm="1">
        <f t="array" ref="K1632">_xlfn.XLOOKUP(TEXT(A1632, "mmm-yy"), TEXT([2]GASOLINE!$B$5:$B$208, "mmm-yy"), [2]GASOLINE!$IK$5:$IK$208, "Not Found")</f>
        <v>180.34868430434818</v>
      </c>
      <c r="L1632">
        <f t="shared" si="25"/>
        <v>0</v>
      </c>
      <c r="M1632" cm="1">
        <f t="array" ref="M1632">_xlfn.XLOOKUP(TEXT(A1632, "mmm-yy"), TEXT([2]GASOLINE!$B$5:$B$208, "mmm-yy"), [2]GASOLINE!$C$5:$C$208, "Not Found")</f>
        <v>6978.0931705184121</v>
      </c>
      <c r="N1632" cm="1">
        <f t="array" ref="N1632">_xlfn.XLOOKUP(TEXT(A1632, "mmm-yy"), TEXT([2]RUNS!$B$5:$B$208, "mmm-yy"), [2]RUNS!$BM$5:$BM$208, "Not Found")</f>
        <v>0.80349057536395019</v>
      </c>
    </row>
    <row r="1633" spans="1:14" x14ac:dyDescent="0.25">
      <c r="A1633" s="1">
        <f>'[1]Global_Spot Prices'!$B2942</f>
        <v>44288</v>
      </c>
      <c r="B1633" t="e">
        <f>_xlfn.XLOOKUP(A1633,'[1]Global_Spot Prices'!$B:$B,'[1]Global_Spot Prices'!$BS:$BS)</f>
        <v>#N/A</v>
      </c>
      <c r="C1633" t="str">
        <f>_xlfn.XLOOKUP(A1633,'[1]Global_Spot Prices'!$B:$B,'[1]Global_Spot Prices'!$E:$E)</f>
        <v/>
      </c>
      <c r="D1633" t="str">
        <f>_xlfn.XLOOKUP(A1633,'[1]Global_Spot Prices'!$B:$B,'[1]Global_Spot Prices'!$D:$D)</f>
        <v/>
      </c>
      <c r="E1633">
        <f>_xlfn.XLOOKUP(A1633,'[1]Global_Spot Prices'!$B:$B,'[1]Global_Spot Prices'!$H:$H)</f>
        <v>0</v>
      </c>
      <c r="F1633">
        <f>_xlfn.XLOOKUP(A1633,'[1]Global_Spot Prices'!$B:$B,'[1]Global_Spot Prices'!$I:$I)</f>
        <v>0</v>
      </c>
      <c r="G1633" cm="1">
        <f t="array" ref="G1633">_xlfn.XLOOKUP(TEXT(A1633, "mmm-yy"), TEXT([2]RUNS!$B$5:$B$208, "mmm-yy"), [2]RUNS!$D$5:$D$208, "Not Found")</f>
        <v>29199.40995212871</v>
      </c>
      <c r="H1633" cm="1">
        <f t="array" ref="H1633">SUMPRODUCT(
    --(TEXT('[3]Global Weekly Stock (EWSuez'!$B$4:$B$2000,"mmm-yy")=TEXT(A1633,"mmm-yy")),
    '[3]Global Weekly Stock (EWSuez'!$E$4:$E$2000)
/
SUMPRODUCT(
    --(TEXT('[3]Global Weekly Stock (EWSuez'!$B$4:$B$2000,"mmm-yy")=TEXT(A1633,"mmm-yy"))
)</f>
        <v>13418</v>
      </c>
      <c r="I1633">
        <f>_xlfn.XLOOKUP(A1633,[1]ForwardDeriv!$D:$D,[1]ForwardDeriv!$AJ:$AJ)</f>
        <v>0.60999999999999943</v>
      </c>
      <c r="J1633" cm="1">
        <f t="array" ref="J1633">_xlfn.XLOOKUP(TEXT(A1633, "mmm-yy"), TEXT([2]GASOLINE!$B$5:$B$208, "mmm-yy"), [2]GASOLINE!$IR$5:$IR$208, "Not Found")</f>
        <v>79.885957928316031</v>
      </c>
      <c r="K1633" cm="1">
        <f t="array" ref="K1633">_xlfn.XLOOKUP(TEXT(A1633, "mmm-yy"), TEXT([2]GASOLINE!$B$5:$B$208, "mmm-yy"), [2]GASOLINE!$IK$5:$IK$208, "Not Found")</f>
        <v>180.34868430434818</v>
      </c>
      <c r="L1633">
        <f t="shared" si="25"/>
        <v>0</v>
      </c>
      <c r="M1633" cm="1">
        <f t="array" ref="M1633">_xlfn.XLOOKUP(TEXT(A1633, "mmm-yy"), TEXT([2]GASOLINE!$B$5:$B$208, "mmm-yy"), [2]GASOLINE!$C$5:$C$208, "Not Found")</f>
        <v>6978.0931705184121</v>
      </c>
      <c r="N1633" cm="1">
        <f t="array" ref="N1633">_xlfn.XLOOKUP(TEXT(A1633, "mmm-yy"), TEXT([2]RUNS!$B$5:$B$208, "mmm-yy"), [2]RUNS!$BM$5:$BM$208, "Not Found")</f>
        <v>0.80349057536395019</v>
      </c>
    </row>
    <row r="1634" spans="1:14" x14ac:dyDescent="0.25">
      <c r="A1634" s="1">
        <f>'[1]Global_Spot Prices'!$B2943</f>
        <v>44291</v>
      </c>
      <c r="B1634">
        <f>_xlfn.XLOOKUP(A1634,'[1]Global_Spot Prices'!$B:$B,'[1]Global_Spot Prices'!$BS:$BS)</f>
        <v>8.9200000000000017</v>
      </c>
      <c r="C1634">
        <f>_xlfn.XLOOKUP(A1634,'[1]Global_Spot Prices'!$B:$B,'[1]Global_Spot Prices'!$E:$E)</f>
        <v>61.95</v>
      </c>
      <c r="D1634" t="str">
        <f>_xlfn.XLOOKUP(A1634,'[1]Global_Spot Prices'!$B:$B,'[1]Global_Spot Prices'!$D:$D)</f>
        <v/>
      </c>
      <c r="E1634">
        <f>_xlfn.XLOOKUP(A1634,'[1]Global_Spot Prices'!$B:$B,'[1]Global_Spot Prices'!$H:$H)</f>
        <v>62.31</v>
      </c>
      <c r="F1634">
        <f>_xlfn.XLOOKUP(A1634,'[1]Global_Spot Prices'!$B:$B,'[1]Global_Spot Prices'!$I:$I)</f>
        <v>70.87</v>
      </c>
      <c r="G1634" cm="1">
        <f t="array" ref="G1634">_xlfn.XLOOKUP(TEXT(A1634, "mmm-yy"), TEXT([2]RUNS!$B$5:$B$208, "mmm-yy"), [2]RUNS!$D$5:$D$208, "Not Found")</f>
        <v>29199.40995212871</v>
      </c>
      <c r="H1634" cm="1">
        <f t="array" ref="H1634">SUMPRODUCT(
    --(TEXT('[3]Global Weekly Stock (EWSuez'!$B$4:$B$2000,"mmm-yy")=TEXT(A1634,"mmm-yy")),
    '[3]Global Weekly Stock (EWSuez'!$E$4:$E$2000)
/
SUMPRODUCT(
    --(TEXT('[3]Global Weekly Stock (EWSuez'!$B$4:$B$2000,"mmm-yy")=TEXT(A1634,"mmm-yy"))
)</f>
        <v>13418</v>
      </c>
      <c r="I1634">
        <f>_xlfn.XLOOKUP(A1634,[1]ForwardDeriv!$D:$D,[1]ForwardDeriv!$AJ:$AJ)</f>
        <v>0.60999999999999943</v>
      </c>
      <c r="J1634" cm="1">
        <f t="array" ref="J1634">_xlfn.XLOOKUP(TEXT(A1634, "mmm-yy"), TEXT([2]GASOLINE!$B$5:$B$208, "mmm-yy"), [2]GASOLINE!$IR$5:$IR$208, "Not Found")</f>
        <v>79.885957928316031</v>
      </c>
      <c r="K1634" cm="1">
        <f t="array" ref="K1634">_xlfn.XLOOKUP(TEXT(A1634, "mmm-yy"), TEXT([2]GASOLINE!$B$5:$B$208, "mmm-yy"), [2]GASOLINE!$IK$5:$IK$208, "Not Found")</f>
        <v>180.34868430434818</v>
      </c>
      <c r="L1634">
        <f t="shared" si="25"/>
        <v>0</v>
      </c>
      <c r="M1634" cm="1">
        <f t="array" ref="M1634">_xlfn.XLOOKUP(TEXT(A1634, "mmm-yy"), TEXT([2]GASOLINE!$B$5:$B$208, "mmm-yy"), [2]GASOLINE!$C$5:$C$208, "Not Found")</f>
        <v>6978.0931705184121</v>
      </c>
      <c r="N1634" cm="1">
        <f t="array" ref="N1634">_xlfn.XLOOKUP(TEXT(A1634, "mmm-yy"), TEXT([2]RUNS!$B$5:$B$208, "mmm-yy"), [2]RUNS!$BM$5:$BM$208, "Not Found")</f>
        <v>0.80349057536395019</v>
      </c>
    </row>
    <row r="1635" spans="1:14" x14ac:dyDescent="0.25">
      <c r="A1635" s="1">
        <f>'[1]Global_Spot Prices'!$B2944</f>
        <v>44292</v>
      </c>
      <c r="B1635">
        <f>_xlfn.XLOOKUP(A1635,'[1]Global_Spot Prices'!$B:$B,'[1]Global_Spot Prices'!$BS:$BS)</f>
        <v>9.2199999999999989</v>
      </c>
      <c r="C1635">
        <f>_xlfn.XLOOKUP(A1635,'[1]Global_Spot Prices'!$B:$B,'[1]Global_Spot Prices'!$E:$E)</f>
        <v>61.31</v>
      </c>
      <c r="D1635">
        <f>_xlfn.XLOOKUP(A1635,'[1]Global_Spot Prices'!$B:$B,'[1]Global_Spot Prices'!$D:$D)</f>
        <v>62.365000000000002</v>
      </c>
      <c r="E1635">
        <f>_xlfn.XLOOKUP(A1635,'[1]Global_Spot Prices'!$B:$B,'[1]Global_Spot Prices'!$H:$H)</f>
        <v>61.7</v>
      </c>
      <c r="F1635">
        <f>_xlfn.XLOOKUP(A1635,'[1]Global_Spot Prices'!$B:$B,'[1]Global_Spot Prices'!$I:$I)</f>
        <v>70.53</v>
      </c>
      <c r="G1635" cm="1">
        <f t="array" ref="G1635">_xlfn.XLOOKUP(TEXT(A1635, "mmm-yy"), TEXT([2]RUNS!$B$5:$B$208, "mmm-yy"), [2]RUNS!$D$5:$D$208, "Not Found")</f>
        <v>29199.40995212871</v>
      </c>
      <c r="H1635" cm="1">
        <f t="array" ref="H1635">SUMPRODUCT(
    --(TEXT('[3]Global Weekly Stock (EWSuez'!$B$4:$B$2000,"mmm-yy")=TEXT(A1635,"mmm-yy")),
    '[3]Global Weekly Stock (EWSuez'!$E$4:$E$2000)
/
SUMPRODUCT(
    --(TEXT('[3]Global Weekly Stock (EWSuez'!$B$4:$B$2000,"mmm-yy")=TEXT(A1635,"mmm-yy"))
)</f>
        <v>13418</v>
      </c>
      <c r="I1635">
        <f>_xlfn.XLOOKUP(A1635,[1]ForwardDeriv!$D:$D,[1]ForwardDeriv!$AJ:$AJ)</f>
        <v>0.56999999999999318</v>
      </c>
      <c r="J1635" cm="1">
        <f t="array" ref="J1635">_xlfn.XLOOKUP(TEXT(A1635, "mmm-yy"), TEXT([2]GASOLINE!$B$5:$B$208, "mmm-yy"), [2]GASOLINE!$IR$5:$IR$208, "Not Found")</f>
        <v>79.885957928316031</v>
      </c>
      <c r="K1635" cm="1">
        <f t="array" ref="K1635">_xlfn.XLOOKUP(TEXT(A1635, "mmm-yy"), TEXT([2]GASOLINE!$B$5:$B$208, "mmm-yy"), [2]GASOLINE!$IK$5:$IK$208, "Not Found")</f>
        <v>180.34868430434818</v>
      </c>
      <c r="L1635">
        <f t="shared" si="25"/>
        <v>0</v>
      </c>
      <c r="M1635" cm="1">
        <f t="array" ref="M1635">_xlfn.XLOOKUP(TEXT(A1635, "mmm-yy"), TEXT([2]GASOLINE!$B$5:$B$208, "mmm-yy"), [2]GASOLINE!$C$5:$C$208, "Not Found")</f>
        <v>6978.0931705184121</v>
      </c>
      <c r="N1635" cm="1">
        <f t="array" ref="N1635">_xlfn.XLOOKUP(TEXT(A1635, "mmm-yy"), TEXT([2]RUNS!$B$5:$B$208, "mmm-yy"), [2]RUNS!$BM$5:$BM$208, "Not Found")</f>
        <v>0.80349057536395019</v>
      </c>
    </row>
    <row r="1636" spans="1:14" x14ac:dyDescent="0.25">
      <c r="A1636" s="1">
        <f>'[1]Global_Spot Prices'!$B2945</f>
        <v>44293</v>
      </c>
      <c r="B1636">
        <f>_xlfn.XLOOKUP(A1636,'[1]Global_Spot Prices'!$B:$B,'[1]Global_Spot Prices'!$BS:$BS)</f>
        <v>8.6600000000000037</v>
      </c>
      <c r="C1636">
        <f>_xlfn.XLOOKUP(A1636,'[1]Global_Spot Prices'!$B:$B,'[1]Global_Spot Prices'!$E:$E)</f>
        <v>60.85</v>
      </c>
      <c r="D1636">
        <f>_xlfn.XLOOKUP(A1636,'[1]Global_Spot Prices'!$B:$B,'[1]Global_Spot Prices'!$D:$D)</f>
        <v>61.024999999999999</v>
      </c>
      <c r="E1636">
        <f>_xlfn.XLOOKUP(A1636,'[1]Global_Spot Prices'!$B:$B,'[1]Global_Spot Prices'!$H:$H)</f>
        <v>60.9</v>
      </c>
      <c r="F1636">
        <f ca="1">_xlfn.XLOOKUP(A1636,'[1]Global_Spot Prices'!$B:$B,'[1]Global_Spot Prices'!$I:$I)</f>
        <v>69.510000000000005</v>
      </c>
      <c r="G1636" cm="1">
        <f t="array" ref="G1636">_xlfn.XLOOKUP(TEXT(A1636, "mmm-yy"), TEXT([2]RUNS!$B$5:$B$208, "mmm-yy"), [2]RUNS!$D$5:$D$208, "Not Found")</f>
        <v>29199.40995212871</v>
      </c>
      <c r="H1636" cm="1">
        <f t="array" ref="H1636">SUMPRODUCT(
    --(TEXT('[3]Global Weekly Stock (EWSuez'!$B$4:$B$2000,"mmm-yy")=TEXT(A1636,"mmm-yy")),
    '[3]Global Weekly Stock (EWSuez'!$E$4:$E$2000)
/
SUMPRODUCT(
    --(TEXT('[3]Global Weekly Stock (EWSuez'!$B$4:$B$2000,"mmm-yy")=TEXT(A1636,"mmm-yy"))
)</f>
        <v>13418</v>
      </c>
      <c r="I1636">
        <f>_xlfn.XLOOKUP(A1636,[1]ForwardDeriv!$D:$D,[1]ForwardDeriv!$AJ:$AJ)</f>
        <v>0.53999999999999204</v>
      </c>
      <c r="J1636" cm="1">
        <f t="array" ref="J1636">_xlfn.XLOOKUP(TEXT(A1636, "mmm-yy"), TEXT([2]GASOLINE!$B$5:$B$208, "mmm-yy"), [2]GASOLINE!$IR$5:$IR$208, "Not Found")</f>
        <v>79.885957928316031</v>
      </c>
      <c r="K1636" cm="1">
        <f t="array" ref="K1636">_xlfn.XLOOKUP(TEXT(A1636, "mmm-yy"), TEXT([2]GASOLINE!$B$5:$B$208, "mmm-yy"), [2]GASOLINE!$IK$5:$IK$208, "Not Found")</f>
        <v>180.34868430434818</v>
      </c>
      <c r="L1636">
        <f t="shared" si="25"/>
        <v>0</v>
      </c>
      <c r="M1636" cm="1">
        <f t="array" ref="M1636">_xlfn.XLOOKUP(TEXT(A1636, "mmm-yy"), TEXT([2]GASOLINE!$B$5:$B$208, "mmm-yy"), [2]GASOLINE!$C$5:$C$208, "Not Found")</f>
        <v>6978.0931705184121</v>
      </c>
      <c r="N1636" cm="1">
        <f t="array" ref="N1636">_xlfn.XLOOKUP(TEXT(A1636, "mmm-yy"), TEXT([2]RUNS!$B$5:$B$208, "mmm-yy"), [2]RUNS!$BM$5:$BM$208, "Not Found")</f>
        <v>0.80349057536395019</v>
      </c>
    </row>
    <row r="1637" spans="1:14" x14ac:dyDescent="0.25">
      <c r="A1637" s="1">
        <f>'[1]Global_Spot Prices'!$B2946</f>
        <v>44294</v>
      </c>
      <c r="B1637">
        <f ca="1">_xlfn.XLOOKUP(A1637,'[1]Global_Spot Prices'!$B:$B,'[1]Global_Spot Prices'!$BS:$BS)</f>
        <v>8.2999999999999972</v>
      </c>
      <c r="C1637">
        <f>_xlfn.XLOOKUP(A1637,'[1]Global_Spot Prices'!$B:$B,'[1]Global_Spot Prices'!$E:$E)</f>
        <v>61.2</v>
      </c>
      <c r="D1637">
        <f>_xlfn.XLOOKUP(A1637,'[1]Global_Spot Prices'!$B:$B,'[1]Global_Spot Prices'!$D:$D)</f>
        <v>62</v>
      </c>
      <c r="E1637">
        <f>_xlfn.XLOOKUP(A1637,'[1]Global_Spot Prices'!$B:$B,'[1]Global_Spot Prices'!$H:$H)</f>
        <v>61.02</v>
      </c>
      <c r="F1637">
        <f>_xlfn.XLOOKUP(A1637,'[1]Global_Spot Prices'!$B:$B,'[1]Global_Spot Prices'!$I:$I)</f>
        <v>69.5</v>
      </c>
      <c r="G1637" cm="1">
        <f t="array" ref="G1637">_xlfn.XLOOKUP(TEXT(A1637, "mmm-yy"), TEXT([2]RUNS!$B$5:$B$208, "mmm-yy"), [2]RUNS!$D$5:$D$208, "Not Found")</f>
        <v>29199.40995212871</v>
      </c>
      <c r="H1637" cm="1">
        <f t="array" ref="H1637">SUMPRODUCT(
    --(TEXT('[3]Global Weekly Stock (EWSuez'!$B$4:$B$2000,"mmm-yy")=TEXT(A1637,"mmm-yy")),
    '[3]Global Weekly Stock (EWSuez'!$E$4:$E$2000)
/
SUMPRODUCT(
    --(TEXT('[3]Global Weekly Stock (EWSuez'!$B$4:$B$2000,"mmm-yy")=TEXT(A1637,"mmm-yy"))
)</f>
        <v>13418</v>
      </c>
      <c r="I1637">
        <f>_xlfn.XLOOKUP(A1637,[1]ForwardDeriv!$D:$D,[1]ForwardDeriv!$AJ:$AJ)</f>
        <v>0.55000000000001137</v>
      </c>
      <c r="J1637" cm="1">
        <f t="array" ref="J1637">_xlfn.XLOOKUP(TEXT(A1637, "mmm-yy"), TEXT([2]GASOLINE!$B$5:$B$208, "mmm-yy"), [2]GASOLINE!$IR$5:$IR$208, "Not Found")</f>
        <v>79.885957928316031</v>
      </c>
      <c r="K1637" cm="1">
        <f t="array" ref="K1637">_xlfn.XLOOKUP(TEXT(A1637, "mmm-yy"), TEXT([2]GASOLINE!$B$5:$B$208, "mmm-yy"), [2]GASOLINE!$IK$5:$IK$208, "Not Found")</f>
        <v>180.34868430434818</v>
      </c>
      <c r="L1637">
        <f t="shared" si="25"/>
        <v>0</v>
      </c>
      <c r="M1637" cm="1">
        <f t="array" ref="M1637">_xlfn.XLOOKUP(TEXT(A1637, "mmm-yy"), TEXT([2]GASOLINE!$B$5:$B$208, "mmm-yy"), [2]GASOLINE!$C$5:$C$208, "Not Found")</f>
        <v>6978.0931705184121</v>
      </c>
      <c r="N1637" cm="1">
        <f t="array" ref="N1637">_xlfn.XLOOKUP(TEXT(A1637, "mmm-yy"), TEXT([2]RUNS!$B$5:$B$208, "mmm-yy"), [2]RUNS!$BM$5:$BM$208, "Not Found")</f>
        <v>0.80349057536395019</v>
      </c>
    </row>
    <row r="1638" spans="1:14" x14ac:dyDescent="0.25">
      <c r="A1638" s="1">
        <f>'[1]Global_Spot Prices'!$B2947</f>
        <v>44295</v>
      </c>
      <c r="B1638">
        <f>_xlfn.XLOOKUP(A1638,'[1]Global_Spot Prices'!$B:$B,'[1]Global_Spot Prices'!$BS:$BS)</f>
        <v>8.2700000000000031</v>
      </c>
      <c r="C1638">
        <f>_xlfn.XLOOKUP(A1638,'[1]Global_Spot Prices'!$B:$B,'[1]Global_Spot Prices'!$E:$E)</f>
        <v>60.9</v>
      </c>
      <c r="D1638">
        <f>_xlfn.XLOOKUP(A1638,'[1]Global_Spot Prices'!$B:$B,'[1]Global_Spot Prices'!$D:$D)</f>
        <v>62.27</v>
      </c>
      <c r="E1638">
        <f>_xlfn.XLOOKUP(A1638,'[1]Global_Spot Prices'!$B:$B,'[1]Global_Spot Prices'!$H:$H)</f>
        <v>60.67</v>
      </c>
      <c r="F1638">
        <f>_xlfn.XLOOKUP(A1638,'[1]Global_Spot Prices'!$B:$B,'[1]Global_Spot Prices'!$I:$I)</f>
        <v>69.17</v>
      </c>
      <c r="G1638" cm="1">
        <f t="array" ref="G1638">_xlfn.XLOOKUP(TEXT(A1638, "mmm-yy"), TEXT([2]RUNS!$B$5:$B$208, "mmm-yy"), [2]RUNS!$D$5:$D$208, "Not Found")</f>
        <v>29199.40995212871</v>
      </c>
      <c r="H1638" cm="1">
        <f t="array" ref="H1638">SUMPRODUCT(
    --(TEXT('[3]Global Weekly Stock (EWSuez'!$B$4:$B$2000,"mmm-yy")=TEXT(A1638,"mmm-yy")),
    '[3]Global Weekly Stock (EWSuez'!$E$4:$E$2000)
/
SUMPRODUCT(
    --(TEXT('[3]Global Weekly Stock (EWSuez'!$B$4:$B$2000,"mmm-yy")=TEXT(A1638,"mmm-yy"))
)</f>
        <v>13418</v>
      </c>
      <c r="I1638">
        <f>_xlfn.XLOOKUP(A1638,[1]ForwardDeriv!$D:$D,[1]ForwardDeriv!$AJ:$AJ)</f>
        <v>0.56000000000000227</v>
      </c>
      <c r="J1638" cm="1">
        <f t="array" ref="J1638">_xlfn.XLOOKUP(TEXT(A1638, "mmm-yy"), TEXT([2]GASOLINE!$B$5:$B$208, "mmm-yy"), [2]GASOLINE!$IR$5:$IR$208, "Not Found")</f>
        <v>79.885957928316031</v>
      </c>
      <c r="K1638" cm="1">
        <f t="array" ref="K1638">_xlfn.XLOOKUP(TEXT(A1638, "mmm-yy"), TEXT([2]GASOLINE!$B$5:$B$208, "mmm-yy"), [2]GASOLINE!$IK$5:$IK$208, "Not Found")</f>
        <v>180.34868430434818</v>
      </c>
      <c r="L1638">
        <f t="shared" si="25"/>
        <v>0</v>
      </c>
      <c r="M1638" cm="1">
        <f t="array" ref="M1638">_xlfn.XLOOKUP(TEXT(A1638, "mmm-yy"), TEXT([2]GASOLINE!$B$5:$B$208, "mmm-yy"), [2]GASOLINE!$C$5:$C$208, "Not Found")</f>
        <v>6978.0931705184121</v>
      </c>
      <c r="N1638" cm="1">
        <f t="array" ref="N1638">_xlfn.XLOOKUP(TEXT(A1638, "mmm-yy"), TEXT([2]RUNS!$B$5:$B$208, "mmm-yy"), [2]RUNS!$BM$5:$BM$208, "Not Found")</f>
        <v>0.80349057536395019</v>
      </c>
    </row>
    <row r="1639" spans="1:14" x14ac:dyDescent="0.25">
      <c r="A1639" s="1">
        <f>'[1]Global_Spot Prices'!$B2948</f>
        <v>44298</v>
      </c>
      <c r="B1639">
        <f>_xlfn.XLOOKUP(A1639,'[1]Global_Spot Prices'!$B:$B,'[1]Global_Spot Prices'!$BS:$BS)</f>
        <v>8.4850000000000065</v>
      </c>
      <c r="C1639">
        <f>_xlfn.XLOOKUP(A1639,'[1]Global_Spot Prices'!$B:$B,'[1]Global_Spot Prices'!$E:$E)</f>
        <v>61.055</v>
      </c>
      <c r="D1639">
        <f>_xlfn.XLOOKUP(A1639,'[1]Global_Spot Prices'!$B:$B,'[1]Global_Spot Prices'!$D:$D)</f>
        <v>62.57</v>
      </c>
      <c r="E1639">
        <f>_xlfn.XLOOKUP(A1639,'[1]Global_Spot Prices'!$B:$B,'[1]Global_Spot Prices'!$H:$H)</f>
        <v>60.61</v>
      </c>
      <c r="F1639">
        <f>_xlfn.XLOOKUP(A1639,'[1]Global_Spot Prices'!$B:$B,'[1]Global_Spot Prices'!$I:$I)</f>
        <v>69.540000000000006</v>
      </c>
      <c r="G1639" cm="1">
        <f t="array" ref="G1639">_xlfn.XLOOKUP(TEXT(A1639, "mmm-yy"), TEXT([2]RUNS!$B$5:$B$208, "mmm-yy"), [2]RUNS!$D$5:$D$208, "Not Found")</f>
        <v>29199.40995212871</v>
      </c>
      <c r="H1639" cm="1">
        <f t="array" ref="H1639">SUMPRODUCT(
    --(TEXT('[3]Global Weekly Stock (EWSuez'!$B$4:$B$2000,"mmm-yy")=TEXT(A1639,"mmm-yy")),
    '[3]Global Weekly Stock (EWSuez'!$E$4:$E$2000)
/
SUMPRODUCT(
    --(TEXT('[3]Global Weekly Stock (EWSuez'!$B$4:$B$2000,"mmm-yy")=TEXT(A1639,"mmm-yy"))
)</f>
        <v>13418</v>
      </c>
      <c r="I1639">
        <f>_xlfn.XLOOKUP(A1639,[1]ForwardDeriv!$D:$D,[1]ForwardDeriv!$AJ:$AJ)</f>
        <v>0.59000000000000341</v>
      </c>
      <c r="J1639" cm="1">
        <f t="array" ref="J1639">_xlfn.XLOOKUP(TEXT(A1639, "mmm-yy"), TEXT([2]GASOLINE!$B$5:$B$208, "mmm-yy"), [2]GASOLINE!$IR$5:$IR$208, "Not Found")</f>
        <v>79.885957928316031</v>
      </c>
      <c r="K1639" cm="1">
        <f t="array" ref="K1639">_xlfn.XLOOKUP(TEXT(A1639, "mmm-yy"), TEXT([2]GASOLINE!$B$5:$B$208, "mmm-yy"), [2]GASOLINE!$IK$5:$IK$208, "Not Found")</f>
        <v>180.34868430434818</v>
      </c>
      <c r="L1639">
        <f t="shared" si="25"/>
        <v>0</v>
      </c>
      <c r="M1639" cm="1">
        <f t="array" ref="M1639">_xlfn.XLOOKUP(TEXT(A1639, "mmm-yy"), TEXT([2]GASOLINE!$B$5:$B$208, "mmm-yy"), [2]GASOLINE!$C$5:$C$208, "Not Found")</f>
        <v>6978.0931705184121</v>
      </c>
      <c r="N1639" cm="1">
        <f t="array" ref="N1639">_xlfn.XLOOKUP(TEXT(A1639, "mmm-yy"), TEXT([2]RUNS!$B$5:$B$208, "mmm-yy"), [2]RUNS!$BM$5:$BM$208, "Not Found")</f>
        <v>0.80349057536395019</v>
      </c>
    </row>
    <row r="1640" spans="1:14" x14ac:dyDescent="0.25">
      <c r="A1640" s="1">
        <f>'[1]Global_Spot Prices'!$B2949</f>
        <v>44299</v>
      </c>
      <c r="B1640">
        <f>_xlfn.XLOOKUP(A1640,'[1]Global_Spot Prices'!$B:$B,'[1]Global_Spot Prices'!$BS:$BS)</f>
        <v>8.39</v>
      </c>
      <c r="C1640">
        <f>_xlfn.XLOOKUP(A1640,'[1]Global_Spot Prices'!$B:$B,'[1]Global_Spot Prices'!$E:$E)</f>
        <v>61.55</v>
      </c>
      <c r="D1640">
        <f>_xlfn.XLOOKUP(A1640,'[1]Global_Spot Prices'!$B:$B,'[1]Global_Spot Prices'!$D:$D)</f>
        <v>63.09</v>
      </c>
      <c r="E1640">
        <f>_xlfn.XLOOKUP(A1640,'[1]Global_Spot Prices'!$B:$B,'[1]Global_Spot Prices'!$H:$H)</f>
        <v>60.58</v>
      </c>
      <c r="F1640">
        <f>_xlfn.XLOOKUP(A1640,'[1]Global_Spot Prices'!$B:$B,'[1]Global_Spot Prices'!$I:$I)</f>
        <v>69.94</v>
      </c>
      <c r="G1640" cm="1">
        <f t="array" ref="G1640">_xlfn.XLOOKUP(TEXT(A1640, "mmm-yy"), TEXT([2]RUNS!$B$5:$B$208, "mmm-yy"), [2]RUNS!$D$5:$D$208, "Not Found")</f>
        <v>29199.40995212871</v>
      </c>
      <c r="H1640" cm="1">
        <f t="array" ref="H1640">SUMPRODUCT(
    --(TEXT('[3]Global Weekly Stock (EWSuez'!$B$4:$B$2000,"mmm-yy")=TEXT(A1640,"mmm-yy")),
    '[3]Global Weekly Stock (EWSuez'!$E$4:$E$2000)
/
SUMPRODUCT(
    --(TEXT('[3]Global Weekly Stock (EWSuez'!$B$4:$B$2000,"mmm-yy")=TEXT(A1640,"mmm-yy"))
)</f>
        <v>13418</v>
      </c>
      <c r="I1640">
        <f>_xlfn.XLOOKUP(A1640,[1]ForwardDeriv!$D:$D,[1]ForwardDeriv!$AJ:$AJ)</f>
        <v>0.57999999999999829</v>
      </c>
      <c r="J1640" cm="1">
        <f t="array" ref="J1640">_xlfn.XLOOKUP(TEXT(A1640, "mmm-yy"), TEXT([2]GASOLINE!$B$5:$B$208, "mmm-yy"), [2]GASOLINE!$IR$5:$IR$208, "Not Found")</f>
        <v>79.885957928316031</v>
      </c>
      <c r="K1640" cm="1">
        <f t="array" ref="K1640">_xlfn.XLOOKUP(TEXT(A1640, "mmm-yy"), TEXT([2]GASOLINE!$B$5:$B$208, "mmm-yy"), [2]GASOLINE!$IK$5:$IK$208, "Not Found")</f>
        <v>180.34868430434818</v>
      </c>
      <c r="L1640">
        <f t="shared" si="25"/>
        <v>0</v>
      </c>
      <c r="M1640" cm="1">
        <f t="array" ref="M1640">_xlfn.XLOOKUP(TEXT(A1640, "mmm-yy"), TEXT([2]GASOLINE!$B$5:$B$208, "mmm-yy"), [2]GASOLINE!$C$5:$C$208, "Not Found")</f>
        <v>6978.0931705184121</v>
      </c>
      <c r="N1640" cm="1">
        <f t="array" ref="N1640">_xlfn.XLOOKUP(TEXT(A1640, "mmm-yy"), TEXT([2]RUNS!$B$5:$B$208, "mmm-yy"), [2]RUNS!$BM$5:$BM$208, "Not Found")</f>
        <v>0.80349057536395019</v>
      </c>
    </row>
    <row r="1641" spans="1:14" x14ac:dyDescent="0.25">
      <c r="A1641" s="1">
        <f>'[1]Global_Spot Prices'!$B2950</f>
        <v>44300</v>
      </c>
      <c r="B1641">
        <f>_xlfn.XLOOKUP(A1641,'[1]Global_Spot Prices'!$B:$B,'[1]Global_Spot Prices'!$BS:$BS)</f>
        <v>8.5500000000000043</v>
      </c>
      <c r="C1641">
        <f>_xlfn.XLOOKUP(A1641,'[1]Global_Spot Prices'!$B:$B,'[1]Global_Spot Prices'!$E:$E)</f>
        <v>62.54</v>
      </c>
      <c r="D1641">
        <f>_xlfn.XLOOKUP(A1641,'[1]Global_Spot Prices'!$B:$B,'[1]Global_Spot Prices'!$D:$D)</f>
        <v>65.665000000000006</v>
      </c>
      <c r="E1641">
        <f>_xlfn.XLOOKUP(A1641,'[1]Global_Spot Prices'!$B:$B,'[1]Global_Spot Prices'!$H:$H)</f>
        <v>61.28</v>
      </c>
      <c r="F1641">
        <f ca="1">_xlfn.XLOOKUP(A1641,'[1]Global_Spot Prices'!$B:$B,'[1]Global_Spot Prices'!$I:$I)</f>
        <v>71.09</v>
      </c>
      <c r="G1641" cm="1">
        <f t="array" ref="G1641">_xlfn.XLOOKUP(TEXT(A1641, "mmm-yy"), TEXT([2]RUNS!$B$5:$B$208, "mmm-yy"), [2]RUNS!$D$5:$D$208, "Not Found")</f>
        <v>29199.40995212871</v>
      </c>
      <c r="H1641" cm="1">
        <f t="array" ref="H1641">SUMPRODUCT(
    --(TEXT('[3]Global Weekly Stock (EWSuez'!$B$4:$B$2000,"mmm-yy")=TEXT(A1641,"mmm-yy")),
    '[3]Global Weekly Stock (EWSuez'!$E$4:$E$2000)
/
SUMPRODUCT(
    --(TEXT('[3]Global Weekly Stock (EWSuez'!$B$4:$B$2000,"mmm-yy")=TEXT(A1641,"mmm-yy"))
)</f>
        <v>13418</v>
      </c>
      <c r="I1641">
        <f>_xlfn.XLOOKUP(A1641,[1]ForwardDeriv!$D:$D,[1]ForwardDeriv!$AJ:$AJ)</f>
        <v>0.64999999999999147</v>
      </c>
      <c r="J1641" cm="1">
        <f t="array" ref="J1641">_xlfn.XLOOKUP(TEXT(A1641, "mmm-yy"), TEXT([2]GASOLINE!$B$5:$B$208, "mmm-yy"), [2]GASOLINE!$IR$5:$IR$208, "Not Found")</f>
        <v>79.885957928316031</v>
      </c>
      <c r="K1641" cm="1">
        <f t="array" ref="K1641">_xlfn.XLOOKUP(TEXT(A1641, "mmm-yy"), TEXT([2]GASOLINE!$B$5:$B$208, "mmm-yy"), [2]GASOLINE!$IK$5:$IK$208, "Not Found")</f>
        <v>180.34868430434818</v>
      </c>
      <c r="L1641">
        <f t="shared" si="25"/>
        <v>0</v>
      </c>
      <c r="M1641" cm="1">
        <f t="array" ref="M1641">_xlfn.XLOOKUP(TEXT(A1641, "mmm-yy"), TEXT([2]GASOLINE!$B$5:$B$208, "mmm-yy"), [2]GASOLINE!$C$5:$C$208, "Not Found")</f>
        <v>6978.0931705184121</v>
      </c>
      <c r="N1641" cm="1">
        <f t="array" ref="N1641">_xlfn.XLOOKUP(TEXT(A1641, "mmm-yy"), TEXT([2]RUNS!$B$5:$B$208, "mmm-yy"), [2]RUNS!$BM$5:$BM$208, "Not Found")</f>
        <v>0.80349057536395019</v>
      </c>
    </row>
    <row r="1642" spans="1:14" x14ac:dyDescent="0.25">
      <c r="A1642" s="1">
        <f>'[1]Global_Spot Prices'!$B2951</f>
        <v>44301</v>
      </c>
      <c r="B1642">
        <f>_xlfn.XLOOKUP(A1642,'[1]Global_Spot Prices'!$B:$B,'[1]Global_Spot Prices'!$BS:$BS)</f>
        <v>8.7250000000000085</v>
      </c>
      <c r="C1642">
        <f>_xlfn.XLOOKUP(A1642,'[1]Global_Spot Prices'!$B:$B,'[1]Global_Spot Prices'!$E:$E)</f>
        <v>64.144999999999996</v>
      </c>
      <c r="D1642">
        <f>_xlfn.XLOOKUP(A1642,'[1]Global_Spot Prices'!$B:$B,'[1]Global_Spot Prices'!$D:$D)</f>
        <v>65.534999999999997</v>
      </c>
      <c r="E1642">
        <f>_xlfn.XLOOKUP(A1642,'[1]Global_Spot Prices'!$B:$B,'[1]Global_Spot Prices'!$H:$H)</f>
        <v>62.72</v>
      </c>
      <c r="F1642">
        <f>_xlfn.XLOOKUP(A1642,'[1]Global_Spot Prices'!$B:$B,'[1]Global_Spot Prices'!$I:$I)</f>
        <v>72.87</v>
      </c>
      <c r="G1642" cm="1">
        <f t="array" ref="G1642">_xlfn.XLOOKUP(TEXT(A1642, "mmm-yy"), TEXT([2]RUNS!$B$5:$B$208, "mmm-yy"), [2]RUNS!$D$5:$D$208, "Not Found")</f>
        <v>29199.40995212871</v>
      </c>
      <c r="H1642" cm="1">
        <f t="array" ref="H1642">SUMPRODUCT(
    --(TEXT('[3]Global Weekly Stock (EWSuez'!$B$4:$B$2000,"mmm-yy")=TEXT(A1642,"mmm-yy")),
    '[3]Global Weekly Stock (EWSuez'!$E$4:$E$2000)
/
SUMPRODUCT(
    --(TEXT('[3]Global Weekly Stock (EWSuez'!$B$4:$B$2000,"mmm-yy")=TEXT(A1642,"mmm-yy"))
)</f>
        <v>13418</v>
      </c>
      <c r="I1642">
        <f>_xlfn.XLOOKUP(A1642,[1]ForwardDeriv!$D:$D,[1]ForwardDeriv!$AJ:$AJ)</f>
        <v>0.65000000000000568</v>
      </c>
      <c r="J1642" cm="1">
        <f t="array" ref="J1642">_xlfn.XLOOKUP(TEXT(A1642, "mmm-yy"), TEXT([2]GASOLINE!$B$5:$B$208, "mmm-yy"), [2]GASOLINE!$IR$5:$IR$208, "Not Found")</f>
        <v>79.885957928316031</v>
      </c>
      <c r="K1642" cm="1">
        <f t="array" ref="K1642">_xlfn.XLOOKUP(TEXT(A1642, "mmm-yy"), TEXT([2]GASOLINE!$B$5:$B$208, "mmm-yy"), [2]GASOLINE!$IK$5:$IK$208, "Not Found")</f>
        <v>180.34868430434818</v>
      </c>
      <c r="L1642">
        <f t="shared" si="25"/>
        <v>0</v>
      </c>
      <c r="M1642" cm="1">
        <f t="array" ref="M1642">_xlfn.XLOOKUP(TEXT(A1642, "mmm-yy"), TEXT([2]GASOLINE!$B$5:$B$208, "mmm-yy"), [2]GASOLINE!$C$5:$C$208, "Not Found")</f>
        <v>6978.0931705184121</v>
      </c>
      <c r="N1642" cm="1">
        <f t="array" ref="N1642">_xlfn.XLOOKUP(TEXT(A1642, "mmm-yy"), TEXT([2]RUNS!$B$5:$B$208, "mmm-yy"), [2]RUNS!$BM$5:$BM$208, "Not Found")</f>
        <v>0.80349057536395019</v>
      </c>
    </row>
    <row r="1643" spans="1:14" x14ac:dyDescent="0.25">
      <c r="A1643" s="1">
        <f>'[1]Global_Spot Prices'!$B2952</f>
        <v>44302</v>
      </c>
      <c r="B1643">
        <f>_xlfn.XLOOKUP(A1643,'[1]Global_Spot Prices'!$B:$B,'[1]Global_Spot Prices'!$BS:$BS)</f>
        <v>8.7600000000000051</v>
      </c>
      <c r="C1643">
        <f>_xlfn.XLOOKUP(A1643,'[1]Global_Spot Prices'!$B:$B,'[1]Global_Spot Prices'!$E:$E)</f>
        <v>65.11</v>
      </c>
      <c r="D1643">
        <f>_xlfn.XLOOKUP(A1643,'[1]Global_Spot Prices'!$B:$B,'[1]Global_Spot Prices'!$D:$D)</f>
        <v>65.91</v>
      </c>
      <c r="E1643">
        <f>_xlfn.XLOOKUP(A1643,'[1]Global_Spot Prices'!$B:$B,'[1]Global_Spot Prices'!$H:$H)</f>
        <v>64.33</v>
      </c>
      <c r="F1643">
        <f>_xlfn.XLOOKUP(A1643,'[1]Global_Spot Prices'!$B:$B,'[1]Global_Spot Prices'!$I:$I)</f>
        <v>73.87</v>
      </c>
      <c r="G1643" cm="1">
        <f t="array" ref="G1643">_xlfn.XLOOKUP(TEXT(A1643, "mmm-yy"), TEXT([2]RUNS!$B$5:$B$208, "mmm-yy"), [2]RUNS!$D$5:$D$208, "Not Found")</f>
        <v>29199.40995212871</v>
      </c>
      <c r="H1643" cm="1">
        <f t="array" ref="H1643">SUMPRODUCT(
    --(TEXT('[3]Global Weekly Stock (EWSuez'!$B$4:$B$2000,"mmm-yy")=TEXT(A1643,"mmm-yy")),
    '[3]Global Weekly Stock (EWSuez'!$E$4:$E$2000)
/
SUMPRODUCT(
    --(TEXT('[3]Global Weekly Stock (EWSuez'!$B$4:$B$2000,"mmm-yy")=TEXT(A1643,"mmm-yy"))
)</f>
        <v>13418</v>
      </c>
      <c r="I1643">
        <f>_xlfn.XLOOKUP(A1643,[1]ForwardDeriv!$D:$D,[1]ForwardDeriv!$AJ:$AJ)</f>
        <v>0.62999999999999545</v>
      </c>
      <c r="J1643" cm="1">
        <f t="array" ref="J1643">_xlfn.XLOOKUP(TEXT(A1643, "mmm-yy"), TEXT([2]GASOLINE!$B$5:$B$208, "mmm-yy"), [2]GASOLINE!$IR$5:$IR$208, "Not Found")</f>
        <v>79.885957928316031</v>
      </c>
      <c r="K1643" cm="1">
        <f t="array" ref="K1643">_xlfn.XLOOKUP(TEXT(A1643, "mmm-yy"), TEXT([2]GASOLINE!$B$5:$B$208, "mmm-yy"), [2]GASOLINE!$IK$5:$IK$208, "Not Found")</f>
        <v>180.34868430434818</v>
      </c>
      <c r="L1643">
        <f t="shared" si="25"/>
        <v>0</v>
      </c>
      <c r="M1643" cm="1">
        <f t="array" ref="M1643">_xlfn.XLOOKUP(TEXT(A1643, "mmm-yy"), TEXT([2]GASOLINE!$B$5:$B$208, "mmm-yy"), [2]GASOLINE!$C$5:$C$208, "Not Found")</f>
        <v>6978.0931705184121</v>
      </c>
      <c r="N1643" cm="1">
        <f t="array" ref="N1643">_xlfn.XLOOKUP(TEXT(A1643, "mmm-yy"), TEXT([2]RUNS!$B$5:$B$208, "mmm-yy"), [2]RUNS!$BM$5:$BM$208, "Not Found")</f>
        <v>0.80349057536395019</v>
      </c>
    </row>
    <row r="1644" spans="1:14" x14ac:dyDescent="0.25">
      <c r="A1644" s="1">
        <f>'[1]Global_Spot Prices'!$B2953</f>
        <v>44305</v>
      </c>
      <c r="B1644">
        <f>_xlfn.XLOOKUP(A1644,'[1]Global_Spot Prices'!$B:$B,'[1]Global_Spot Prices'!$BS:$BS)</f>
        <v>8.7599999999999909</v>
      </c>
      <c r="C1644">
        <f>_xlfn.XLOOKUP(A1644,'[1]Global_Spot Prices'!$B:$B,'[1]Global_Spot Prices'!$E:$E)</f>
        <v>64.790000000000006</v>
      </c>
      <c r="D1644">
        <f>_xlfn.XLOOKUP(A1644,'[1]Global_Spot Prices'!$B:$B,'[1]Global_Spot Prices'!$D:$D)</f>
        <v>66.254999999999995</v>
      </c>
      <c r="E1644">
        <f>_xlfn.XLOOKUP(A1644,'[1]Global_Spot Prices'!$B:$B,'[1]Global_Spot Prices'!$H:$H)</f>
        <v>63.28</v>
      </c>
      <c r="F1644">
        <f>_xlfn.XLOOKUP(A1644,'[1]Global_Spot Prices'!$B:$B,'[1]Global_Spot Prices'!$I:$I)</f>
        <v>73.55</v>
      </c>
      <c r="G1644" cm="1">
        <f t="array" ref="G1644">_xlfn.XLOOKUP(TEXT(A1644, "mmm-yy"), TEXT([2]RUNS!$B$5:$B$208, "mmm-yy"), [2]RUNS!$D$5:$D$208, "Not Found")</f>
        <v>29199.40995212871</v>
      </c>
      <c r="H1644" cm="1">
        <f t="array" ref="H1644">SUMPRODUCT(
    --(TEXT('[3]Global Weekly Stock (EWSuez'!$B$4:$B$2000,"mmm-yy")=TEXT(A1644,"mmm-yy")),
    '[3]Global Weekly Stock (EWSuez'!$E$4:$E$2000)
/
SUMPRODUCT(
    --(TEXT('[3]Global Weekly Stock (EWSuez'!$B$4:$B$2000,"mmm-yy")=TEXT(A1644,"mmm-yy"))
)</f>
        <v>13418</v>
      </c>
      <c r="I1644">
        <f>_xlfn.XLOOKUP(A1644,[1]ForwardDeriv!$D:$D,[1]ForwardDeriv!$AJ:$AJ)</f>
        <v>0.6600000000000108</v>
      </c>
      <c r="J1644" cm="1">
        <f t="array" ref="J1644">_xlfn.XLOOKUP(TEXT(A1644, "mmm-yy"), TEXT([2]GASOLINE!$B$5:$B$208, "mmm-yy"), [2]GASOLINE!$IR$5:$IR$208, "Not Found")</f>
        <v>79.885957928316031</v>
      </c>
      <c r="K1644" cm="1">
        <f t="array" ref="K1644">_xlfn.XLOOKUP(TEXT(A1644, "mmm-yy"), TEXT([2]GASOLINE!$B$5:$B$208, "mmm-yy"), [2]GASOLINE!$IK$5:$IK$208, "Not Found")</f>
        <v>180.34868430434818</v>
      </c>
      <c r="L1644">
        <f t="shared" si="25"/>
        <v>0</v>
      </c>
      <c r="M1644" cm="1">
        <f t="array" ref="M1644">_xlfn.XLOOKUP(TEXT(A1644, "mmm-yy"), TEXT([2]GASOLINE!$B$5:$B$208, "mmm-yy"), [2]GASOLINE!$C$5:$C$208, "Not Found")</f>
        <v>6978.0931705184121</v>
      </c>
      <c r="N1644" cm="1">
        <f t="array" ref="N1644">_xlfn.XLOOKUP(TEXT(A1644, "mmm-yy"), TEXT([2]RUNS!$B$5:$B$208, "mmm-yy"), [2]RUNS!$BM$5:$BM$208, "Not Found")</f>
        <v>0.80349057536395019</v>
      </c>
    </row>
    <row r="1645" spans="1:14" x14ac:dyDescent="0.25">
      <c r="A1645" s="1">
        <f>'[1]Global_Spot Prices'!$B2954</f>
        <v>44306</v>
      </c>
      <c r="B1645">
        <f>_xlfn.XLOOKUP(A1645,'[1]Global_Spot Prices'!$B:$B,'[1]Global_Spot Prices'!$BS:$BS)</f>
        <v>9.0699999999999932</v>
      </c>
      <c r="C1645">
        <f>_xlfn.XLOOKUP(A1645,'[1]Global_Spot Prices'!$B:$B,'[1]Global_Spot Prices'!$E:$E)</f>
        <v>65.7</v>
      </c>
      <c r="D1645">
        <f>_xlfn.XLOOKUP(A1645,'[1]Global_Spot Prices'!$B:$B,'[1]Global_Spot Prices'!$D:$D)</f>
        <v>65.064999999999998</v>
      </c>
      <c r="E1645">
        <f>_xlfn.XLOOKUP(A1645,'[1]Global_Spot Prices'!$B:$B,'[1]Global_Spot Prices'!$H:$H)</f>
        <v>63.41</v>
      </c>
      <c r="F1645">
        <f>_xlfn.XLOOKUP(A1645,'[1]Global_Spot Prices'!$B:$B,'[1]Global_Spot Prices'!$I:$I)</f>
        <v>74.77</v>
      </c>
      <c r="G1645" cm="1">
        <f t="array" ref="G1645">_xlfn.XLOOKUP(TEXT(A1645, "mmm-yy"), TEXT([2]RUNS!$B$5:$B$208, "mmm-yy"), [2]RUNS!$D$5:$D$208, "Not Found")</f>
        <v>29199.40995212871</v>
      </c>
      <c r="H1645" cm="1">
        <f t="array" ref="H1645">SUMPRODUCT(
    --(TEXT('[3]Global Weekly Stock (EWSuez'!$B$4:$B$2000,"mmm-yy")=TEXT(A1645,"mmm-yy")),
    '[3]Global Weekly Stock (EWSuez'!$E$4:$E$2000)
/
SUMPRODUCT(
    --(TEXT('[3]Global Weekly Stock (EWSuez'!$B$4:$B$2000,"mmm-yy")=TEXT(A1645,"mmm-yy"))
)</f>
        <v>13418</v>
      </c>
      <c r="I1645">
        <f>_xlfn.XLOOKUP(A1645,[1]ForwardDeriv!$D:$D,[1]ForwardDeriv!$AJ:$AJ)</f>
        <v>0.73000000000000398</v>
      </c>
      <c r="J1645" cm="1">
        <f t="array" ref="J1645">_xlfn.XLOOKUP(TEXT(A1645, "mmm-yy"), TEXT([2]GASOLINE!$B$5:$B$208, "mmm-yy"), [2]GASOLINE!$IR$5:$IR$208, "Not Found")</f>
        <v>79.885957928316031</v>
      </c>
      <c r="K1645" cm="1">
        <f t="array" ref="K1645">_xlfn.XLOOKUP(TEXT(A1645, "mmm-yy"), TEXT([2]GASOLINE!$B$5:$B$208, "mmm-yy"), [2]GASOLINE!$IK$5:$IK$208, "Not Found")</f>
        <v>180.34868430434818</v>
      </c>
      <c r="L1645">
        <f t="shared" si="25"/>
        <v>0</v>
      </c>
      <c r="M1645" cm="1">
        <f t="array" ref="M1645">_xlfn.XLOOKUP(TEXT(A1645, "mmm-yy"), TEXT([2]GASOLINE!$B$5:$B$208, "mmm-yy"), [2]GASOLINE!$C$5:$C$208, "Not Found")</f>
        <v>6978.0931705184121</v>
      </c>
      <c r="N1645" cm="1">
        <f t="array" ref="N1645">_xlfn.XLOOKUP(TEXT(A1645, "mmm-yy"), TEXT([2]RUNS!$B$5:$B$208, "mmm-yy"), [2]RUNS!$BM$5:$BM$208, "Not Found")</f>
        <v>0.80349057536395019</v>
      </c>
    </row>
    <row r="1646" spans="1:14" x14ac:dyDescent="0.25">
      <c r="A1646" s="1">
        <f>'[1]Global_Spot Prices'!$B2955</f>
        <v>44307</v>
      </c>
      <c r="B1646">
        <f>_xlfn.XLOOKUP(A1646,'[1]Global_Spot Prices'!$B:$B,'[1]Global_Spot Prices'!$BS:$BS)</f>
        <v>9.1200000000000045</v>
      </c>
      <c r="C1646">
        <f>_xlfn.XLOOKUP(A1646,'[1]Global_Spot Prices'!$B:$B,'[1]Global_Spot Prices'!$E:$E)</f>
        <v>63.69</v>
      </c>
      <c r="D1646">
        <f>_xlfn.XLOOKUP(A1646,'[1]Global_Spot Prices'!$B:$B,'[1]Global_Spot Prices'!$D:$D)</f>
        <v>65.33</v>
      </c>
      <c r="E1646">
        <f>_xlfn.XLOOKUP(A1646,'[1]Global_Spot Prices'!$B:$B,'[1]Global_Spot Prices'!$H:$H)</f>
        <v>61.67</v>
      </c>
      <c r="F1646">
        <f>_xlfn.XLOOKUP(A1646,'[1]Global_Spot Prices'!$B:$B,'[1]Global_Spot Prices'!$I:$I)</f>
        <v>72.81</v>
      </c>
      <c r="G1646" cm="1">
        <f t="array" ref="G1646">_xlfn.XLOOKUP(TEXT(A1646, "mmm-yy"), TEXT([2]RUNS!$B$5:$B$208, "mmm-yy"), [2]RUNS!$D$5:$D$208, "Not Found")</f>
        <v>29199.40995212871</v>
      </c>
      <c r="H1646" cm="1">
        <f t="array" ref="H1646">SUMPRODUCT(
    --(TEXT('[3]Global Weekly Stock (EWSuez'!$B$4:$B$2000,"mmm-yy")=TEXT(A1646,"mmm-yy")),
    '[3]Global Weekly Stock (EWSuez'!$E$4:$E$2000)
/
SUMPRODUCT(
    --(TEXT('[3]Global Weekly Stock (EWSuez'!$B$4:$B$2000,"mmm-yy")=TEXT(A1646,"mmm-yy"))
)</f>
        <v>13418</v>
      </c>
      <c r="I1646">
        <f>_xlfn.XLOOKUP(A1646,[1]ForwardDeriv!$D:$D,[1]ForwardDeriv!$AJ:$AJ)</f>
        <v>0.68999999999999773</v>
      </c>
      <c r="J1646" cm="1">
        <f t="array" ref="J1646">_xlfn.XLOOKUP(TEXT(A1646, "mmm-yy"), TEXT([2]GASOLINE!$B$5:$B$208, "mmm-yy"), [2]GASOLINE!$IR$5:$IR$208, "Not Found")</f>
        <v>79.885957928316031</v>
      </c>
      <c r="K1646" cm="1">
        <f t="array" ref="K1646">_xlfn.XLOOKUP(TEXT(A1646, "mmm-yy"), TEXT([2]GASOLINE!$B$5:$B$208, "mmm-yy"), [2]GASOLINE!$IK$5:$IK$208, "Not Found")</f>
        <v>180.34868430434818</v>
      </c>
      <c r="L1646">
        <f t="shared" si="25"/>
        <v>0</v>
      </c>
      <c r="M1646" cm="1">
        <f t="array" ref="M1646">_xlfn.XLOOKUP(TEXT(A1646, "mmm-yy"), TEXT([2]GASOLINE!$B$5:$B$208, "mmm-yy"), [2]GASOLINE!$C$5:$C$208, "Not Found")</f>
        <v>6978.0931705184121</v>
      </c>
      <c r="N1646" cm="1">
        <f t="array" ref="N1646">_xlfn.XLOOKUP(TEXT(A1646, "mmm-yy"), TEXT([2]RUNS!$B$5:$B$208, "mmm-yy"), [2]RUNS!$BM$5:$BM$208, "Not Found")</f>
        <v>0.80349057536395019</v>
      </c>
    </row>
    <row r="1647" spans="1:14" x14ac:dyDescent="0.25">
      <c r="A1647" s="1">
        <f>'[1]Global_Spot Prices'!$B2956</f>
        <v>44308</v>
      </c>
      <c r="B1647">
        <f>_xlfn.XLOOKUP(A1647,'[1]Global_Spot Prices'!$B:$B,'[1]Global_Spot Prices'!$BS:$BS)</f>
        <v>8.9799999999999969</v>
      </c>
      <c r="C1647">
        <f>_xlfn.XLOOKUP(A1647,'[1]Global_Spot Prices'!$B:$B,'[1]Global_Spot Prices'!$E:$E)</f>
        <v>62.21</v>
      </c>
      <c r="D1647">
        <f ca="1">_xlfn.XLOOKUP(A1647,'[1]Global_Spot Prices'!$B:$B,'[1]Global_Spot Prices'!$D:$D)</f>
        <v>65.165000000000006</v>
      </c>
      <c r="E1647">
        <f>_xlfn.XLOOKUP(A1647,'[1]Global_Spot Prices'!$B:$B,'[1]Global_Spot Prices'!$H:$H)</f>
        <v>60.58</v>
      </c>
      <c r="F1647">
        <f>_xlfn.XLOOKUP(A1647,'[1]Global_Spot Prices'!$B:$B,'[1]Global_Spot Prices'!$I:$I)</f>
        <v>71.19</v>
      </c>
      <c r="G1647" cm="1">
        <f t="array" ref="G1647">_xlfn.XLOOKUP(TEXT(A1647, "mmm-yy"), TEXT([2]RUNS!$B$5:$B$208, "mmm-yy"), [2]RUNS!$D$5:$D$208, "Not Found")</f>
        <v>29199.40995212871</v>
      </c>
      <c r="H1647" cm="1">
        <f t="array" ref="H1647">SUMPRODUCT(
    --(TEXT('[3]Global Weekly Stock (EWSuez'!$B$4:$B$2000,"mmm-yy")=TEXT(A1647,"mmm-yy")),
    '[3]Global Weekly Stock (EWSuez'!$E$4:$E$2000)
/
SUMPRODUCT(
    --(TEXT('[3]Global Weekly Stock (EWSuez'!$B$4:$B$2000,"mmm-yy")=TEXT(A1647,"mmm-yy"))
)</f>
        <v>13418</v>
      </c>
      <c r="I1647">
        <f>_xlfn.XLOOKUP(A1647,[1]ForwardDeriv!$D:$D,[1]ForwardDeriv!$AJ:$AJ)</f>
        <v>0.63999999999998636</v>
      </c>
      <c r="J1647" cm="1">
        <f t="array" ref="J1647">_xlfn.XLOOKUP(TEXT(A1647, "mmm-yy"), TEXT([2]GASOLINE!$B$5:$B$208, "mmm-yy"), [2]GASOLINE!$IR$5:$IR$208, "Not Found")</f>
        <v>79.885957928316031</v>
      </c>
      <c r="K1647" cm="1">
        <f t="array" ref="K1647">_xlfn.XLOOKUP(TEXT(A1647, "mmm-yy"), TEXT([2]GASOLINE!$B$5:$B$208, "mmm-yy"), [2]GASOLINE!$IK$5:$IK$208, "Not Found")</f>
        <v>180.34868430434818</v>
      </c>
      <c r="L1647">
        <f t="shared" si="25"/>
        <v>0</v>
      </c>
      <c r="M1647" cm="1">
        <f t="array" ref="M1647">_xlfn.XLOOKUP(TEXT(A1647, "mmm-yy"), TEXT([2]GASOLINE!$B$5:$B$208, "mmm-yy"), [2]GASOLINE!$C$5:$C$208, "Not Found")</f>
        <v>6978.0931705184121</v>
      </c>
      <c r="N1647" cm="1">
        <f t="array" ref="N1647">_xlfn.XLOOKUP(TEXT(A1647, "mmm-yy"), TEXT([2]RUNS!$B$5:$B$208, "mmm-yy"), [2]RUNS!$BM$5:$BM$208, "Not Found")</f>
        <v>0.80349057536395019</v>
      </c>
    </row>
    <row r="1648" spans="1:14" x14ac:dyDescent="0.25">
      <c r="A1648" s="1">
        <f>'[1]Global_Spot Prices'!$B2957</f>
        <v>44309</v>
      </c>
      <c r="B1648">
        <f>_xlfn.XLOOKUP(A1648,'[1]Global_Spot Prices'!$B:$B,'[1]Global_Spot Prices'!$BS:$BS)</f>
        <v>9.019999999999996</v>
      </c>
      <c r="C1648">
        <f>_xlfn.XLOOKUP(A1648,'[1]Global_Spot Prices'!$B:$B,'[1]Global_Spot Prices'!$E:$E)</f>
        <v>62.89</v>
      </c>
      <c r="D1648">
        <f>_xlfn.XLOOKUP(A1648,'[1]Global_Spot Prices'!$B:$B,'[1]Global_Spot Prices'!$D:$D)</f>
        <v>65.564999999999998</v>
      </c>
      <c r="E1648">
        <f>_xlfn.XLOOKUP(A1648,'[1]Global_Spot Prices'!$B:$B,'[1]Global_Spot Prices'!$H:$H)</f>
        <v>61.11</v>
      </c>
      <c r="F1648">
        <f>_xlfn.XLOOKUP(A1648,'[1]Global_Spot Prices'!$B:$B,'[1]Global_Spot Prices'!$I:$I)</f>
        <v>71.91</v>
      </c>
      <c r="G1648" cm="1">
        <f t="array" ref="G1648">_xlfn.XLOOKUP(TEXT(A1648, "mmm-yy"), TEXT([2]RUNS!$B$5:$B$208, "mmm-yy"), [2]RUNS!$D$5:$D$208, "Not Found")</f>
        <v>29199.40995212871</v>
      </c>
      <c r="H1648" cm="1">
        <f t="array" ref="H1648">SUMPRODUCT(
    --(TEXT('[3]Global Weekly Stock (EWSuez'!$B$4:$B$2000,"mmm-yy")=TEXT(A1648,"mmm-yy")),
    '[3]Global Weekly Stock (EWSuez'!$E$4:$E$2000)
/
SUMPRODUCT(
    --(TEXT('[3]Global Weekly Stock (EWSuez'!$B$4:$B$2000,"mmm-yy")=TEXT(A1648,"mmm-yy"))
)</f>
        <v>13418</v>
      </c>
      <c r="I1648">
        <f>_xlfn.XLOOKUP(A1648,[1]ForwardDeriv!$D:$D,[1]ForwardDeriv!$AJ:$AJ)</f>
        <v>0.65000000000000568</v>
      </c>
      <c r="J1648" cm="1">
        <f t="array" ref="J1648">_xlfn.XLOOKUP(TEXT(A1648, "mmm-yy"), TEXT([2]GASOLINE!$B$5:$B$208, "mmm-yy"), [2]GASOLINE!$IR$5:$IR$208, "Not Found")</f>
        <v>79.885957928316031</v>
      </c>
      <c r="K1648" cm="1">
        <f t="array" ref="K1648">_xlfn.XLOOKUP(TEXT(A1648, "mmm-yy"), TEXT([2]GASOLINE!$B$5:$B$208, "mmm-yy"), [2]GASOLINE!$IK$5:$IK$208, "Not Found")</f>
        <v>180.34868430434818</v>
      </c>
      <c r="L1648">
        <f t="shared" si="25"/>
        <v>0</v>
      </c>
      <c r="M1648" cm="1">
        <f t="array" ref="M1648">_xlfn.XLOOKUP(TEXT(A1648, "mmm-yy"), TEXT([2]GASOLINE!$B$5:$B$208, "mmm-yy"), [2]GASOLINE!$C$5:$C$208, "Not Found")</f>
        <v>6978.0931705184121</v>
      </c>
      <c r="N1648" cm="1">
        <f t="array" ref="N1648">_xlfn.XLOOKUP(TEXT(A1648, "mmm-yy"), TEXT([2]RUNS!$B$5:$B$208, "mmm-yy"), [2]RUNS!$BM$5:$BM$208, "Not Found")</f>
        <v>0.80349057536395019</v>
      </c>
    </row>
    <row r="1649" spans="1:14" x14ac:dyDescent="0.25">
      <c r="A1649" s="1">
        <f>'[1]Global_Spot Prices'!$B2958</f>
        <v>44312</v>
      </c>
      <c r="B1649">
        <f>_xlfn.XLOOKUP(A1649,'[1]Global_Spot Prices'!$B:$B,'[1]Global_Spot Prices'!$BS:$BS)</f>
        <v>8.759999999999998</v>
      </c>
      <c r="C1649">
        <f>_xlfn.XLOOKUP(A1649,'[1]Global_Spot Prices'!$B:$B,'[1]Global_Spot Prices'!$E:$E)</f>
        <v>62.35</v>
      </c>
      <c r="D1649">
        <f>_xlfn.XLOOKUP(A1649,'[1]Global_Spot Prices'!$B:$B,'[1]Global_Spot Prices'!$D:$D)</f>
        <v>65.56</v>
      </c>
      <c r="E1649">
        <f>_xlfn.XLOOKUP(A1649,'[1]Global_Spot Prices'!$B:$B,'[1]Global_Spot Prices'!$H:$H)</f>
        <v>61.33</v>
      </c>
      <c r="F1649">
        <f>_xlfn.XLOOKUP(A1649,'[1]Global_Spot Prices'!$B:$B,'[1]Global_Spot Prices'!$I:$I)</f>
        <v>71.11</v>
      </c>
      <c r="G1649" cm="1">
        <f t="array" ref="G1649">_xlfn.XLOOKUP(TEXT(A1649, "mmm-yy"), TEXT([2]RUNS!$B$5:$B$208, "mmm-yy"), [2]RUNS!$D$5:$D$208, "Not Found")</f>
        <v>29199.40995212871</v>
      </c>
      <c r="H1649" cm="1">
        <f t="array" ref="H1649">SUMPRODUCT(
    --(TEXT('[3]Global Weekly Stock (EWSuez'!$B$4:$B$2000,"mmm-yy")=TEXT(A1649,"mmm-yy")),
    '[3]Global Weekly Stock (EWSuez'!$E$4:$E$2000)
/
SUMPRODUCT(
    --(TEXT('[3]Global Weekly Stock (EWSuez'!$B$4:$B$2000,"mmm-yy")=TEXT(A1649,"mmm-yy"))
)</f>
        <v>13418</v>
      </c>
      <c r="I1649">
        <f>_xlfn.XLOOKUP(A1649,[1]ForwardDeriv!$D:$D,[1]ForwardDeriv!$AJ:$AJ)</f>
        <v>0.51999999999999602</v>
      </c>
      <c r="J1649" cm="1">
        <f t="array" ref="J1649">_xlfn.XLOOKUP(TEXT(A1649, "mmm-yy"), TEXT([2]GASOLINE!$B$5:$B$208, "mmm-yy"), [2]GASOLINE!$IR$5:$IR$208, "Not Found")</f>
        <v>79.885957928316031</v>
      </c>
      <c r="K1649" cm="1">
        <f t="array" ref="K1649">_xlfn.XLOOKUP(TEXT(A1649, "mmm-yy"), TEXT([2]GASOLINE!$B$5:$B$208, "mmm-yy"), [2]GASOLINE!$IK$5:$IK$208, "Not Found")</f>
        <v>180.34868430434818</v>
      </c>
      <c r="L1649">
        <f t="shared" si="25"/>
        <v>0</v>
      </c>
      <c r="M1649" cm="1">
        <f t="array" ref="M1649">_xlfn.XLOOKUP(TEXT(A1649, "mmm-yy"), TEXT([2]GASOLINE!$B$5:$B$208, "mmm-yy"), [2]GASOLINE!$C$5:$C$208, "Not Found")</f>
        <v>6978.0931705184121</v>
      </c>
      <c r="N1649" cm="1">
        <f t="array" ref="N1649">_xlfn.XLOOKUP(TEXT(A1649, "mmm-yy"), TEXT([2]RUNS!$B$5:$B$208, "mmm-yy"), [2]RUNS!$BM$5:$BM$208, "Not Found")</f>
        <v>0.80349057536395019</v>
      </c>
    </row>
    <row r="1650" spans="1:14" x14ac:dyDescent="0.25">
      <c r="A1650" s="1">
        <f>'[1]Global_Spot Prices'!$B2959</f>
        <v>44313</v>
      </c>
      <c r="B1650">
        <f>_xlfn.XLOOKUP(A1650,'[1]Global_Spot Prices'!$B:$B,'[1]Global_Spot Prices'!$BS:$BS)</f>
        <v>8.4799999999999969</v>
      </c>
      <c r="C1650">
        <f>_xlfn.XLOOKUP(A1650,'[1]Global_Spot Prices'!$B:$B,'[1]Global_Spot Prices'!$E:$E)</f>
        <v>63.24</v>
      </c>
      <c r="D1650">
        <f ca="1">_xlfn.XLOOKUP(A1650,'[1]Global_Spot Prices'!$B:$B,'[1]Global_Spot Prices'!$D:$D)</f>
        <v>65.680000000000007</v>
      </c>
      <c r="E1650">
        <f>_xlfn.XLOOKUP(A1650,'[1]Global_Spot Prices'!$B:$B,'[1]Global_Spot Prices'!$H:$H)</f>
        <v>62.89</v>
      </c>
      <c r="F1650">
        <f>_xlfn.XLOOKUP(A1650,'[1]Global_Spot Prices'!$B:$B,'[1]Global_Spot Prices'!$I:$I)</f>
        <v>71.72</v>
      </c>
      <c r="G1650" cm="1">
        <f t="array" ref="G1650">_xlfn.XLOOKUP(TEXT(A1650, "mmm-yy"), TEXT([2]RUNS!$B$5:$B$208, "mmm-yy"), [2]RUNS!$D$5:$D$208, "Not Found")</f>
        <v>29199.40995212871</v>
      </c>
      <c r="H1650" cm="1">
        <f t="array" ref="H1650">SUMPRODUCT(
    --(TEXT('[3]Global Weekly Stock (EWSuez'!$B$4:$B$2000,"mmm-yy")=TEXT(A1650,"mmm-yy")),
    '[3]Global Weekly Stock (EWSuez'!$E$4:$E$2000)
/
SUMPRODUCT(
    --(TEXT('[3]Global Weekly Stock (EWSuez'!$B$4:$B$2000,"mmm-yy")=TEXT(A1650,"mmm-yy"))
)</f>
        <v>13418</v>
      </c>
      <c r="I1650">
        <f>_xlfn.XLOOKUP(A1650,[1]ForwardDeriv!$D:$D,[1]ForwardDeriv!$AJ:$AJ)</f>
        <v>0.40000000000000568</v>
      </c>
      <c r="J1650" cm="1">
        <f t="array" ref="J1650">_xlfn.XLOOKUP(TEXT(A1650, "mmm-yy"), TEXT([2]GASOLINE!$B$5:$B$208, "mmm-yy"), [2]GASOLINE!$IR$5:$IR$208, "Not Found")</f>
        <v>79.885957928316031</v>
      </c>
      <c r="K1650" cm="1">
        <f t="array" ref="K1650">_xlfn.XLOOKUP(TEXT(A1650, "mmm-yy"), TEXT([2]GASOLINE!$B$5:$B$208, "mmm-yy"), [2]GASOLINE!$IK$5:$IK$208, "Not Found")</f>
        <v>180.34868430434818</v>
      </c>
      <c r="L1650">
        <f t="shared" si="25"/>
        <v>0</v>
      </c>
      <c r="M1650" cm="1">
        <f t="array" ref="M1650">_xlfn.XLOOKUP(TEXT(A1650, "mmm-yy"), TEXT([2]GASOLINE!$B$5:$B$208, "mmm-yy"), [2]GASOLINE!$C$5:$C$208, "Not Found")</f>
        <v>6978.0931705184121</v>
      </c>
      <c r="N1650" cm="1">
        <f t="array" ref="N1650">_xlfn.XLOOKUP(TEXT(A1650, "mmm-yy"), TEXT([2]RUNS!$B$5:$B$208, "mmm-yy"), [2]RUNS!$BM$5:$BM$208, "Not Found")</f>
        <v>0.80349057536395019</v>
      </c>
    </row>
    <row r="1651" spans="1:14" x14ac:dyDescent="0.25">
      <c r="A1651" s="1">
        <f>'[1]Global_Spot Prices'!$B2960</f>
        <v>44314</v>
      </c>
      <c r="B1651">
        <f>_xlfn.XLOOKUP(A1651,'[1]Global_Spot Prices'!$B:$B,'[1]Global_Spot Prices'!$BS:$BS)</f>
        <v>8.9199999999999946</v>
      </c>
      <c r="C1651">
        <f>_xlfn.XLOOKUP(A1651,'[1]Global_Spot Prices'!$B:$B,'[1]Global_Spot Prices'!$E:$E)</f>
        <v>63.54</v>
      </c>
      <c r="D1651">
        <f>_xlfn.XLOOKUP(A1651,'[1]Global_Spot Prices'!$B:$B,'[1]Global_Spot Prices'!$D:$D)</f>
        <v>67.5</v>
      </c>
      <c r="E1651">
        <f>_xlfn.XLOOKUP(A1651,'[1]Global_Spot Prices'!$B:$B,'[1]Global_Spot Prices'!$H:$H)</f>
        <v>63.29</v>
      </c>
      <c r="F1651">
        <f>_xlfn.XLOOKUP(A1651,'[1]Global_Spot Prices'!$B:$B,'[1]Global_Spot Prices'!$I:$I)</f>
        <v>72.459999999999994</v>
      </c>
      <c r="G1651" cm="1">
        <f t="array" ref="G1651">_xlfn.XLOOKUP(TEXT(A1651, "mmm-yy"), TEXT([2]RUNS!$B$5:$B$208, "mmm-yy"), [2]RUNS!$D$5:$D$208, "Not Found")</f>
        <v>29199.40995212871</v>
      </c>
      <c r="H1651" cm="1">
        <f t="array" ref="H1651">SUMPRODUCT(
    --(TEXT('[3]Global Weekly Stock (EWSuez'!$B$4:$B$2000,"mmm-yy")=TEXT(A1651,"mmm-yy")),
    '[3]Global Weekly Stock (EWSuez'!$E$4:$E$2000)
/
SUMPRODUCT(
    --(TEXT('[3]Global Weekly Stock (EWSuez'!$B$4:$B$2000,"mmm-yy")=TEXT(A1651,"mmm-yy"))
)</f>
        <v>13418</v>
      </c>
      <c r="I1651">
        <f>_xlfn.XLOOKUP(A1651,[1]ForwardDeriv!$D:$D,[1]ForwardDeriv!$AJ:$AJ)</f>
        <v>0.52000000000001023</v>
      </c>
      <c r="J1651" cm="1">
        <f t="array" ref="J1651">_xlfn.XLOOKUP(TEXT(A1651, "mmm-yy"), TEXT([2]GASOLINE!$B$5:$B$208, "mmm-yy"), [2]GASOLINE!$IR$5:$IR$208, "Not Found")</f>
        <v>79.885957928316031</v>
      </c>
      <c r="K1651" cm="1">
        <f t="array" ref="K1651">_xlfn.XLOOKUP(TEXT(A1651, "mmm-yy"), TEXT([2]GASOLINE!$B$5:$B$208, "mmm-yy"), [2]GASOLINE!$IK$5:$IK$208, "Not Found")</f>
        <v>180.34868430434818</v>
      </c>
      <c r="L1651">
        <f t="shared" si="25"/>
        <v>0</v>
      </c>
      <c r="M1651" cm="1">
        <f t="array" ref="M1651">_xlfn.XLOOKUP(TEXT(A1651, "mmm-yy"), TEXT([2]GASOLINE!$B$5:$B$208, "mmm-yy"), [2]GASOLINE!$C$5:$C$208, "Not Found")</f>
        <v>6978.0931705184121</v>
      </c>
      <c r="N1651" cm="1">
        <f t="array" ref="N1651">_xlfn.XLOOKUP(TEXT(A1651, "mmm-yy"), TEXT([2]RUNS!$B$5:$B$208, "mmm-yy"), [2]RUNS!$BM$5:$BM$208, "Not Found")</f>
        <v>0.80349057536395019</v>
      </c>
    </row>
    <row r="1652" spans="1:14" x14ac:dyDescent="0.25">
      <c r="A1652" s="1">
        <f>'[1]Global_Spot Prices'!$B2961</f>
        <v>44315</v>
      </c>
      <c r="B1652">
        <f>_xlfn.XLOOKUP(A1652,'[1]Global_Spot Prices'!$B:$B,'[1]Global_Spot Prices'!$BS:$BS)</f>
        <v>9.1500000000000057</v>
      </c>
      <c r="C1652">
        <f>_xlfn.XLOOKUP(A1652,'[1]Global_Spot Prices'!$B:$B,'[1]Global_Spot Prices'!$E:$E)</f>
        <v>65.05</v>
      </c>
      <c r="D1652">
        <f>_xlfn.XLOOKUP(A1652,'[1]Global_Spot Prices'!$B:$B,'[1]Global_Spot Prices'!$D:$D)</f>
        <v>68.150000000000006</v>
      </c>
      <c r="E1652">
        <f>_xlfn.XLOOKUP(A1652,'[1]Global_Spot Prices'!$B:$B,'[1]Global_Spot Prices'!$H:$H)</f>
        <v>64.459999999999994</v>
      </c>
      <c r="F1652">
        <f>_xlfn.XLOOKUP(A1652,'[1]Global_Spot Prices'!$B:$B,'[1]Global_Spot Prices'!$I:$I)</f>
        <v>74.2</v>
      </c>
      <c r="G1652" cm="1">
        <f t="array" ref="G1652">_xlfn.XLOOKUP(TEXT(A1652, "mmm-yy"), TEXT([2]RUNS!$B$5:$B$208, "mmm-yy"), [2]RUNS!$D$5:$D$208, "Not Found")</f>
        <v>29199.40995212871</v>
      </c>
      <c r="H1652" cm="1">
        <f t="array" ref="H1652">SUMPRODUCT(
    --(TEXT('[3]Global Weekly Stock (EWSuez'!$B$4:$B$2000,"mmm-yy")=TEXT(A1652,"mmm-yy")),
    '[3]Global Weekly Stock (EWSuez'!$E$4:$E$2000)
/
SUMPRODUCT(
    --(TEXT('[3]Global Weekly Stock (EWSuez'!$B$4:$B$2000,"mmm-yy")=TEXT(A1652,"mmm-yy"))
)</f>
        <v>13418</v>
      </c>
      <c r="I1652">
        <f>_xlfn.XLOOKUP(A1652,[1]ForwardDeriv!$D:$D,[1]ForwardDeriv!$AJ:$AJ)</f>
        <v>0.57999999999999829</v>
      </c>
      <c r="J1652" cm="1">
        <f t="array" ref="J1652">_xlfn.XLOOKUP(TEXT(A1652, "mmm-yy"), TEXT([2]GASOLINE!$B$5:$B$208, "mmm-yy"), [2]GASOLINE!$IR$5:$IR$208, "Not Found")</f>
        <v>79.885957928316031</v>
      </c>
      <c r="K1652" cm="1">
        <f t="array" ref="K1652">_xlfn.XLOOKUP(TEXT(A1652, "mmm-yy"), TEXT([2]GASOLINE!$B$5:$B$208, "mmm-yy"), [2]GASOLINE!$IK$5:$IK$208, "Not Found")</f>
        <v>180.34868430434818</v>
      </c>
      <c r="L1652">
        <f t="shared" si="25"/>
        <v>0</v>
      </c>
      <c r="M1652" cm="1">
        <f t="array" ref="M1652">_xlfn.XLOOKUP(TEXT(A1652, "mmm-yy"), TEXT([2]GASOLINE!$B$5:$B$208, "mmm-yy"), [2]GASOLINE!$C$5:$C$208, "Not Found")</f>
        <v>6978.0931705184121</v>
      </c>
      <c r="N1652" cm="1">
        <f t="array" ref="N1652">_xlfn.XLOOKUP(TEXT(A1652, "mmm-yy"), TEXT([2]RUNS!$B$5:$B$208, "mmm-yy"), [2]RUNS!$BM$5:$BM$208, "Not Found")</f>
        <v>0.80349057536395019</v>
      </c>
    </row>
    <row r="1653" spans="1:14" x14ac:dyDescent="0.25">
      <c r="A1653" s="1">
        <f>'[1]Global_Spot Prices'!$B2962</f>
        <v>44316</v>
      </c>
      <c r="B1653">
        <f>_xlfn.XLOOKUP(A1653,'[1]Global_Spot Prices'!$B:$B,'[1]Global_Spot Prices'!$BS:$BS)</f>
        <v>9.5499999999999972</v>
      </c>
      <c r="C1653">
        <f>_xlfn.XLOOKUP(A1653,'[1]Global_Spot Prices'!$B:$B,'[1]Global_Spot Prices'!$E:$E)</f>
        <v>65.260000000000005</v>
      </c>
      <c r="D1653">
        <f>_xlfn.XLOOKUP(A1653,'[1]Global_Spot Prices'!$B:$B,'[1]Global_Spot Prices'!$D:$D)</f>
        <v>67.025000000000006</v>
      </c>
      <c r="E1653">
        <f>_xlfn.XLOOKUP(A1653,'[1]Global_Spot Prices'!$B:$B,'[1]Global_Spot Prices'!$H:$H)</f>
        <v>65.349999999999994</v>
      </c>
      <c r="F1653">
        <f>_xlfn.XLOOKUP(A1653,'[1]Global_Spot Prices'!$B:$B,'[1]Global_Spot Prices'!$I:$I)</f>
        <v>74.81</v>
      </c>
      <c r="G1653" cm="1">
        <f t="array" ref="G1653">_xlfn.XLOOKUP(TEXT(A1653, "mmm-yy"), TEXT([2]RUNS!$B$5:$B$208, "mmm-yy"), [2]RUNS!$D$5:$D$208, "Not Found")</f>
        <v>29199.40995212871</v>
      </c>
      <c r="H1653" cm="1">
        <f t="array" ref="H1653">SUMPRODUCT(
    --(TEXT('[3]Global Weekly Stock (EWSuez'!$B$4:$B$2000,"mmm-yy")=TEXT(A1653,"mmm-yy")),
    '[3]Global Weekly Stock (EWSuez'!$E$4:$E$2000)
/
SUMPRODUCT(
    --(TEXT('[3]Global Weekly Stock (EWSuez'!$B$4:$B$2000,"mmm-yy")=TEXT(A1653,"mmm-yy"))
)</f>
        <v>13418</v>
      </c>
      <c r="I1653">
        <f>_xlfn.XLOOKUP(A1653,[1]ForwardDeriv!$D:$D,[1]ForwardDeriv!$AJ:$AJ)</f>
        <v>0.53000000000000114</v>
      </c>
      <c r="J1653" cm="1">
        <f t="array" ref="J1653">_xlfn.XLOOKUP(TEXT(A1653, "mmm-yy"), TEXT([2]GASOLINE!$B$5:$B$208, "mmm-yy"), [2]GASOLINE!$IR$5:$IR$208, "Not Found")</f>
        <v>79.885957928316031</v>
      </c>
      <c r="K1653" cm="1">
        <f t="array" ref="K1653">_xlfn.XLOOKUP(TEXT(A1653, "mmm-yy"), TEXT([2]GASOLINE!$B$5:$B$208, "mmm-yy"), [2]GASOLINE!$IK$5:$IK$208, "Not Found")</f>
        <v>180.34868430434818</v>
      </c>
      <c r="L1653">
        <f t="shared" si="25"/>
        <v>0</v>
      </c>
      <c r="M1653" cm="1">
        <f t="array" ref="M1653">_xlfn.XLOOKUP(TEXT(A1653, "mmm-yy"), TEXT([2]GASOLINE!$B$5:$B$208, "mmm-yy"), [2]GASOLINE!$C$5:$C$208, "Not Found")</f>
        <v>6978.0931705184121</v>
      </c>
      <c r="N1653" cm="1">
        <f t="array" ref="N1653">_xlfn.XLOOKUP(TEXT(A1653, "mmm-yy"), TEXT([2]RUNS!$B$5:$B$208, "mmm-yy"), [2]RUNS!$BM$5:$BM$208, "Not Found")</f>
        <v>0.80349057536395019</v>
      </c>
    </row>
    <row r="1654" spans="1:14" x14ac:dyDescent="0.25">
      <c r="A1654" s="1">
        <f>'[1]Global_Spot Prices'!$B2963</f>
        <v>44319</v>
      </c>
      <c r="B1654">
        <f>_xlfn.XLOOKUP(A1654,'[1]Global_Spot Prices'!$B:$B,'[1]Global_Spot Prices'!$BS:$BS)</f>
        <v>8.9900000000000091</v>
      </c>
      <c r="C1654">
        <f>_xlfn.XLOOKUP(A1654,'[1]Global_Spot Prices'!$B:$B,'[1]Global_Spot Prices'!$E:$E)</f>
        <v>64.349999999999994</v>
      </c>
      <c r="D1654" t="str">
        <f>_xlfn.XLOOKUP(A1654,'[1]Global_Spot Prices'!$B:$B,'[1]Global_Spot Prices'!$D:$D)</f>
        <v/>
      </c>
      <c r="E1654">
        <f>_xlfn.XLOOKUP(A1654,'[1]Global_Spot Prices'!$B:$B,'[1]Global_Spot Prices'!$H:$H)</f>
        <v>64.45</v>
      </c>
      <c r="F1654">
        <f>_xlfn.XLOOKUP(A1654,'[1]Global_Spot Prices'!$B:$B,'[1]Global_Spot Prices'!$I:$I)</f>
        <v>73.34</v>
      </c>
      <c r="G1654" cm="1">
        <f t="array" ref="G1654">_xlfn.XLOOKUP(TEXT(A1654, "mmm-yy"), TEXT([2]RUNS!$B$5:$B$208, "mmm-yy"), [2]RUNS!$D$5:$D$208, "Not Found")</f>
        <v>28791.741197661584</v>
      </c>
      <c r="H1654" cm="1">
        <f t="array" ref="H1654">SUMPRODUCT(
    --(TEXT('[3]Global Weekly Stock (EWSuez'!$B$4:$B$2000,"mmm-yy")=TEXT(A1654,"mmm-yy")),
    '[3]Global Weekly Stock (EWSuez'!$E$4:$E$2000)
/
SUMPRODUCT(
    --(TEXT('[3]Global Weekly Stock (EWSuez'!$B$4:$B$2000,"mmm-yy")=TEXT(A1654,"mmm-yy"))
)</f>
        <v>12769.5</v>
      </c>
      <c r="I1654">
        <f>_xlfn.XLOOKUP(A1654,[1]ForwardDeriv!$D:$D,[1]ForwardDeriv!$AJ:$AJ)</f>
        <v>0.55999999999998806</v>
      </c>
      <c r="J1654" cm="1">
        <f t="array" ref="J1654">_xlfn.XLOOKUP(TEXT(A1654, "mmm-yy"), TEXT([2]GASOLINE!$B$5:$B$208, "mmm-yy"), [2]GASOLINE!$IR$5:$IR$208, "Not Found")</f>
        <v>233.1275595505021</v>
      </c>
      <c r="K1654" cm="1">
        <f t="array" ref="K1654">_xlfn.XLOOKUP(TEXT(A1654, "mmm-yy"), TEXT([2]GASOLINE!$B$5:$B$208, "mmm-yy"), [2]GASOLINE!$IK$5:$IK$208, "Not Found")</f>
        <v>169.79792859147545</v>
      </c>
      <c r="L1654">
        <f t="shared" si="25"/>
        <v>0</v>
      </c>
      <c r="M1654" cm="1">
        <f t="array" ref="M1654">_xlfn.XLOOKUP(TEXT(A1654, "mmm-yy"), TEXT([2]GASOLINE!$B$5:$B$208, "mmm-yy"), [2]GASOLINE!$C$5:$C$208, "Not Found")</f>
        <v>6858.2314687409453</v>
      </c>
      <c r="N1654" cm="1">
        <f t="array" ref="N1654">_xlfn.XLOOKUP(TEXT(A1654, "mmm-yy"), TEXT([2]RUNS!$B$5:$B$208, "mmm-yy"), [2]RUNS!$BM$5:$BM$208, "Not Found")</f>
        <v>0.79227260888374684</v>
      </c>
    </row>
    <row r="1655" spans="1:14" x14ac:dyDescent="0.25">
      <c r="A1655" s="1">
        <f>'[1]Global_Spot Prices'!$B2964</f>
        <v>44320</v>
      </c>
      <c r="B1655">
        <f>_xlfn.XLOOKUP(A1655,'[1]Global_Spot Prices'!$B:$B,'[1]Global_Spot Prices'!$BS:$BS)</f>
        <v>9.4699999999999989</v>
      </c>
      <c r="C1655">
        <f>_xlfn.XLOOKUP(A1655,'[1]Global_Spot Prices'!$B:$B,'[1]Global_Spot Prices'!$E:$E)</f>
        <v>65.790000000000006</v>
      </c>
      <c r="D1655">
        <f>_xlfn.XLOOKUP(A1655,'[1]Global_Spot Prices'!$B:$B,'[1]Global_Spot Prices'!$D:$D)</f>
        <v>69.234999999999999</v>
      </c>
      <c r="E1655">
        <f>_xlfn.XLOOKUP(A1655,'[1]Global_Spot Prices'!$B:$B,'[1]Global_Spot Prices'!$H:$H)</f>
        <v>66.25</v>
      </c>
      <c r="F1655">
        <f>_xlfn.XLOOKUP(A1655,'[1]Global_Spot Prices'!$B:$B,'[1]Global_Spot Prices'!$I:$I)</f>
        <v>75.260000000000005</v>
      </c>
      <c r="G1655" cm="1">
        <f t="array" ref="G1655">_xlfn.XLOOKUP(TEXT(A1655, "mmm-yy"), TEXT([2]RUNS!$B$5:$B$208, "mmm-yy"), [2]RUNS!$D$5:$D$208, "Not Found")</f>
        <v>28791.741197661584</v>
      </c>
      <c r="H1655" cm="1">
        <f t="array" ref="H1655">SUMPRODUCT(
    --(TEXT('[3]Global Weekly Stock (EWSuez'!$B$4:$B$2000,"mmm-yy")=TEXT(A1655,"mmm-yy")),
    '[3]Global Weekly Stock (EWSuez'!$E$4:$E$2000)
/
SUMPRODUCT(
    --(TEXT('[3]Global Weekly Stock (EWSuez'!$B$4:$B$2000,"mmm-yy")=TEXT(A1655,"mmm-yy"))
)</f>
        <v>12769.5</v>
      </c>
      <c r="I1655">
        <f>_xlfn.XLOOKUP(A1655,[1]ForwardDeriv!$D:$D,[1]ForwardDeriv!$AJ:$AJ)</f>
        <v>0.54999999999999716</v>
      </c>
      <c r="J1655" cm="1">
        <f t="array" ref="J1655">_xlfn.XLOOKUP(TEXT(A1655, "mmm-yy"), TEXT([2]GASOLINE!$B$5:$B$208, "mmm-yy"), [2]GASOLINE!$IR$5:$IR$208, "Not Found")</f>
        <v>233.1275595505021</v>
      </c>
      <c r="K1655" cm="1">
        <f t="array" ref="K1655">_xlfn.XLOOKUP(TEXT(A1655, "mmm-yy"), TEXT([2]GASOLINE!$B$5:$B$208, "mmm-yy"), [2]GASOLINE!$IK$5:$IK$208, "Not Found")</f>
        <v>169.79792859147545</v>
      </c>
      <c r="L1655">
        <f t="shared" si="25"/>
        <v>0</v>
      </c>
      <c r="M1655" cm="1">
        <f t="array" ref="M1655">_xlfn.XLOOKUP(TEXT(A1655, "mmm-yy"), TEXT([2]GASOLINE!$B$5:$B$208, "mmm-yy"), [2]GASOLINE!$C$5:$C$208, "Not Found")</f>
        <v>6858.2314687409453</v>
      </c>
      <c r="N1655" cm="1">
        <f t="array" ref="N1655">_xlfn.XLOOKUP(TEXT(A1655, "mmm-yy"), TEXT([2]RUNS!$B$5:$B$208, "mmm-yy"), [2]RUNS!$BM$5:$BM$208, "Not Found")</f>
        <v>0.79227260888374684</v>
      </c>
    </row>
    <row r="1656" spans="1:14" x14ac:dyDescent="0.25">
      <c r="A1656" s="1">
        <f>'[1]Global_Spot Prices'!$B2965</f>
        <v>44321</v>
      </c>
      <c r="B1656">
        <f>_xlfn.XLOOKUP(A1656,'[1]Global_Spot Prices'!$B:$B,'[1]Global_Spot Prices'!$BS:$BS)</f>
        <v>8.9400000000000119</v>
      </c>
      <c r="C1656">
        <f>_xlfn.XLOOKUP(A1656,'[1]Global_Spot Prices'!$B:$B,'[1]Global_Spot Prices'!$E:$E)</f>
        <v>67.709999999999994</v>
      </c>
      <c r="D1656">
        <f>_xlfn.XLOOKUP(A1656,'[1]Global_Spot Prices'!$B:$B,'[1]Global_Spot Prices'!$D:$D)</f>
        <v>70.3</v>
      </c>
      <c r="E1656">
        <f>_xlfn.XLOOKUP(A1656,'[1]Global_Spot Prices'!$B:$B,'[1]Global_Spot Prices'!$H:$H)</f>
        <v>67.63</v>
      </c>
      <c r="F1656">
        <f>_xlfn.XLOOKUP(A1656,'[1]Global_Spot Prices'!$B:$B,'[1]Global_Spot Prices'!$I:$I)</f>
        <v>76.650000000000006</v>
      </c>
      <c r="G1656" cm="1">
        <f t="array" ref="G1656">_xlfn.XLOOKUP(TEXT(A1656, "mmm-yy"), TEXT([2]RUNS!$B$5:$B$208, "mmm-yy"), [2]RUNS!$D$5:$D$208, "Not Found")</f>
        <v>28791.741197661584</v>
      </c>
      <c r="H1656" cm="1">
        <f t="array" ref="H1656">SUMPRODUCT(
    --(TEXT('[3]Global Weekly Stock (EWSuez'!$B$4:$B$2000,"mmm-yy")=TEXT(A1656,"mmm-yy")),
    '[3]Global Weekly Stock (EWSuez'!$E$4:$E$2000)
/
SUMPRODUCT(
    --(TEXT('[3]Global Weekly Stock (EWSuez'!$B$4:$B$2000,"mmm-yy")=TEXT(A1656,"mmm-yy"))
)</f>
        <v>12769.5</v>
      </c>
      <c r="I1656">
        <f>_xlfn.XLOOKUP(A1656,[1]ForwardDeriv!$D:$D,[1]ForwardDeriv!$AJ:$AJ)</f>
        <v>0.59000000000000341</v>
      </c>
      <c r="J1656" cm="1">
        <f t="array" ref="J1656">_xlfn.XLOOKUP(TEXT(A1656, "mmm-yy"), TEXT([2]GASOLINE!$B$5:$B$208, "mmm-yy"), [2]GASOLINE!$IR$5:$IR$208, "Not Found")</f>
        <v>233.1275595505021</v>
      </c>
      <c r="K1656" cm="1">
        <f t="array" ref="K1656">_xlfn.XLOOKUP(TEXT(A1656, "mmm-yy"), TEXT([2]GASOLINE!$B$5:$B$208, "mmm-yy"), [2]GASOLINE!$IK$5:$IK$208, "Not Found")</f>
        <v>169.79792859147545</v>
      </c>
      <c r="L1656">
        <f t="shared" si="25"/>
        <v>0</v>
      </c>
      <c r="M1656" cm="1">
        <f t="array" ref="M1656">_xlfn.XLOOKUP(TEXT(A1656, "mmm-yy"), TEXT([2]GASOLINE!$B$5:$B$208, "mmm-yy"), [2]GASOLINE!$C$5:$C$208, "Not Found")</f>
        <v>6858.2314687409453</v>
      </c>
      <c r="N1656" cm="1">
        <f t="array" ref="N1656">_xlfn.XLOOKUP(TEXT(A1656, "mmm-yy"), TEXT([2]RUNS!$B$5:$B$208, "mmm-yy"), [2]RUNS!$BM$5:$BM$208, "Not Found")</f>
        <v>0.79227260888374684</v>
      </c>
    </row>
    <row r="1657" spans="1:14" x14ac:dyDescent="0.25">
      <c r="A1657" s="1">
        <f>'[1]Global_Spot Prices'!$B2966</f>
        <v>44322</v>
      </c>
      <c r="B1657">
        <f ca="1">_xlfn.XLOOKUP(A1657,'[1]Global_Spot Prices'!$B:$B,'[1]Global_Spot Prices'!$BS:$BS)</f>
        <v>9.019999999999996</v>
      </c>
      <c r="C1657">
        <f ca="1">_xlfn.XLOOKUP(A1657,'[1]Global_Spot Prices'!$B:$B,'[1]Global_Spot Prices'!$E:$E)</f>
        <v>67.11</v>
      </c>
      <c r="D1657">
        <f>_xlfn.XLOOKUP(A1657,'[1]Global_Spot Prices'!$B:$B,'[1]Global_Spot Prices'!$D:$D)</f>
        <v>69.09</v>
      </c>
      <c r="E1657">
        <f>_xlfn.XLOOKUP(A1657,'[1]Global_Spot Prices'!$B:$B,'[1]Global_Spot Prices'!$H:$H)</f>
        <v>66.42</v>
      </c>
      <c r="F1657">
        <f>_xlfn.XLOOKUP(A1657,'[1]Global_Spot Prices'!$B:$B,'[1]Global_Spot Prices'!$I:$I)</f>
        <v>76.13</v>
      </c>
      <c r="G1657" cm="1">
        <f t="array" ref="G1657">_xlfn.XLOOKUP(TEXT(A1657, "mmm-yy"), TEXT([2]RUNS!$B$5:$B$208, "mmm-yy"), [2]RUNS!$D$5:$D$208, "Not Found")</f>
        <v>28791.741197661584</v>
      </c>
      <c r="H1657" cm="1">
        <f t="array" ref="H1657">SUMPRODUCT(
    --(TEXT('[3]Global Weekly Stock (EWSuez'!$B$4:$B$2000,"mmm-yy")=TEXT(A1657,"mmm-yy")),
    '[3]Global Weekly Stock (EWSuez'!$E$4:$E$2000)
/
SUMPRODUCT(
    --(TEXT('[3]Global Weekly Stock (EWSuez'!$B$4:$B$2000,"mmm-yy")=TEXT(A1657,"mmm-yy"))
)</f>
        <v>12769.5</v>
      </c>
      <c r="I1657">
        <f>_xlfn.XLOOKUP(A1657,[1]ForwardDeriv!$D:$D,[1]ForwardDeriv!$AJ:$AJ)</f>
        <v>0.56000000000000227</v>
      </c>
      <c r="J1657" cm="1">
        <f t="array" ref="J1657">_xlfn.XLOOKUP(TEXT(A1657, "mmm-yy"), TEXT([2]GASOLINE!$B$5:$B$208, "mmm-yy"), [2]GASOLINE!$IR$5:$IR$208, "Not Found")</f>
        <v>233.1275595505021</v>
      </c>
      <c r="K1657" cm="1">
        <f t="array" ref="K1657">_xlfn.XLOOKUP(TEXT(A1657, "mmm-yy"), TEXT([2]GASOLINE!$B$5:$B$208, "mmm-yy"), [2]GASOLINE!$IK$5:$IK$208, "Not Found")</f>
        <v>169.79792859147545</v>
      </c>
      <c r="L1657">
        <f t="shared" si="25"/>
        <v>0</v>
      </c>
      <c r="M1657" cm="1">
        <f t="array" ref="M1657">_xlfn.XLOOKUP(TEXT(A1657, "mmm-yy"), TEXT([2]GASOLINE!$B$5:$B$208, "mmm-yy"), [2]GASOLINE!$C$5:$C$208, "Not Found")</f>
        <v>6858.2314687409453</v>
      </c>
      <c r="N1657" cm="1">
        <f t="array" ref="N1657">_xlfn.XLOOKUP(TEXT(A1657, "mmm-yy"), TEXT([2]RUNS!$B$5:$B$208, "mmm-yy"), [2]RUNS!$BM$5:$BM$208, "Not Found")</f>
        <v>0.79227260888374684</v>
      </c>
    </row>
    <row r="1658" spans="1:14" x14ac:dyDescent="0.25">
      <c r="A1658" s="1">
        <f>'[1]Global_Spot Prices'!$B2967</f>
        <v>44323</v>
      </c>
      <c r="B1658">
        <f>_xlfn.XLOOKUP(A1658,'[1]Global_Spot Prices'!$B:$B,'[1]Global_Spot Prices'!$BS:$BS)</f>
        <v>8.6599999999999966</v>
      </c>
      <c r="C1658">
        <f>_xlfn.XLOOKUP(A1658,'[1]Global_Spot Prices'!$B:$B,'[1]Global_Spot Prices'!$E:$E)</f>
        <v>65.89</v>
      </c>
      <c r="D1658">
        <f>_xlfn.XLOOKUP(A1658,'[1]Global_Spot Prices'!$B:$B,'[1]Global_Spot Prices'!$D:$D)</f>
        <v>68.8</v>
      </c>
      <c r="E1658">
        <f>_xlfn.XLOOKUP(A1658,'[1]Global_Spot Prices'!$B:$B,'[1]Global_Spot Prices'!$H:$H)</f>
        <v>65.33</v>
      </c>
      <c r="F1658">
        <f>_xlfn.XLOOKUP(A1658,'[1]Global_Spot Prices'!$B:$B,'[1]Global_Spot Prices'!$I:$I)</f>
        <v>74.55</v>
      </c>
      <c r="G1658" cm="1">
        <f t="array" ref="G1658">_xlfn.XLOOKUP(TEXT(A1658, "mmm-yy"), TEXT([2]RUNS!$B$5:$B$208, "mmm-yy"), [2]RUNS!$D$5:$D$208, "Not Found")</f>
        <v>28791.741197661584</v>
      </c>
      <c r="H1658" cm="1">
        <f t="array" ref="H1658">SUMPRODUCT(
    --(TEXT('[3]Global Weekly Stock (EWSuez'!$B$4:$B$2000,"mmm-yy")=TEXT(A1658,"mmm-yy")),
    '[3]Global Weekly Stock (EWSuez'!$E$4:$E$2000)
/
SUMPRODUCT(
    --(TEXT('[3]Global Weekly Stock (EWSuez'!$B$4:$B$2000,"mmm-yy")=TEXT(A1658,"mmm-yy"))
)</f>
        <v>12769.5</v>
      </c>
      <c r="I1658">
        <f>_xlfn.XLOOKUP(A1658,[1]ForwardDeriv!$D:$D,[1]ForwardDeriv!$AJ:$AJ)</f>
        <v>0.5</v>
      </c>
      <c r="J1658" cm="1">
        <f t="array" ref="J1658">_xlfn.XLOOKUP(TEXT(A1658, "mmm-yy"), TEXT([2]GASOLINE!$B$5:$B$208, "mmm-yy"), [2]GASOLINE!$IR$5:$IR$208, "Not Found")</f>
        <v>233.1275595505021</v>
      </c>
      <c r="K1658" cm="1">
        <f t="array" ref="K1658">_xlfn.XLOOKUP(TEXT(A1658, "mmm-yy"), TEXT([2]GASOLINE!$B$5:$B$208, "mmm-yy"), [2]GASOLINE!$IK$5:$IK$208, "Not Found")</f>
        <v>169.79792859147545</v>
      </c>
      <c r="L1658">
        <f t="shared" si="25"/>
        <v>0</v>
      </c>
      <c r="M1658" cm="1">
        <f t="array" ref="M1658">_xlfn.XLOOKUP(TEXT(A1658, "mmm-yy"), TEXT([2]GASOLINE!$B$5:$B$208, "mmm-yy"), [2]GASOLINE!$C$5:$C$208, "Not Found")</f>
        <v>6858.2314687409453</v>
      </c>
      <c r="N1658" cm="1">
        <f t="array" ref="N1658">_xlfn.XLOOKUP(TEXT(A1658, "mmm-yy"), TEXT([2]RUNS!$B$5:$B$208, "mmm-yy"), [2]RUNS!$BM$5:$BM$208, "Not Found")</f>
        <v>0.79227260888374684</v>
      </c>
    </row>
    <row r="1659" spans="1:14" x14ac:dyDescent="0.25">
      <c r="A1659" s="1">
        <f>'[1]Global_Spot Prices'!$B2968</f>
        <v>44326</v>
      </c>
      <c r="B1659">
        <f>_xlfn.XLOOKUP(A1659,'[1]Global_Spot Prices'!$B:$B,'[1]Global_Spot Prices'!$BS:$BS)</f>
        <v>8.8400000000000034</v>
      </c>
      <c r="C1659">
        <f>_xlfn.XLOOKUP(A1659,'[1]Global_Spot Prices'!$B:$B,'[1]Global_Spot Prices'!$E:$E)</f>
        <v>66.709999999999994</v>
      </c>
      <c r="D1659">
        <f>_xlfn.XLOOKUP(A1659,'[1]Global_Spot Prices'!$B:$B,'[1]Global_Spot Prices'!$D:$D)</f>
        <v>68.644999999999996</v>
      </c>
      <c r="E1659">
        <f>_xlfn.XLOOKUP(A1659,'[1]Global_Spot Prices'!$B:$B,'[1]Global_Spot Prices'!$H:$H)</f>
        <v>66</v>
      </c>
      <c r="F1659">
        <f>_xlfn.XLOOKUP(A1659,'[1]Global_Spot Prices'!$B:$B,'[1]Global_Spot Prices'!$I:$I)</f>
        <v>75.55</v>
      </c>
      <c r="G1659" cm="1">
        <f t="array" ref="G1659">_xlfn.XLOOKUP(TEXT(A1659, "mmm-yy"), TEXT([2]RUNS!$B$5:$B$208, "mmm-yy"), [2]RUNS!$D$5:$D$208, "Not Found")</f>
        <v>28791.741197661584</v>
      </c>
      <c r="H1659" cm="1">
        <f t="array" ref="H1659">SUMPRODUCT(
    --(TEXT('[3]Global Weekly Stock (EWSuez'!$B$4:$B$2000,"mmm-yy")=TEXT(A1659,"mmm-yy")),
    '[3]Global Weekly Stock (EWSuez'!$E$4:$E$2000)
/
SUMPRODUCT(
    --(TEXT('[3]Global Weekly Stock (EWSuez'!$B$4:$B$2000,"mmm-yy")=TEXT(A1659,"mmm-yy"))
)</f>
        <v>12769.5</v>
      </c>
      <c r="I1659">
        <f>_xlfn.XLOOKUP(A1659,[1]ForwardDeriv!$D:$D,[1]ForwardDeriv!$AJ:$AJ)</f>
        <v>0.45000000000000284</v>
      </c>
      <c r="J1659" cm="1">
        <f t="array" ref="J1659">_xlfn.XLOOKUP(TEXT(A1659, "mmm-yy"), TEXT([2]GASOLINE!$B$5:$B$208, "mmm-yy"), [2]GASOLINE!$IR$5:$IR$208, "Not Found")</f>
        <v>233.1275595505021</v>
      </c>
      <c r="K1659" cm="1">
        <f t="array" ref="K1659">_xlfn.XLOOKUP(TEXT(A1659, "mmm-yy"), TEXT([2]GASOLINE!$B$5:$B$208, "mmm-yy"), [2]GASOLINE!$IK$5:$IK$208, "Not Found")</f>
        <v>169.79792859147545</v>
      </c>
      <c r="L1659">
        <f t="shared" si="25"/>
        <v>0</v>
      </c>
      <c r="M1659" cm="1">
        <f t="array" ref="M1659">_xlfn.XLOOKUP(TEXT(A1659, "mmm-yy"), TEXT([2]GASOLINE!$B$5:$B$208, "mmm-yy"), [2]GASOLINE!$C$5:$C$208, "Not Found")</f>
        <v>6858.2314687409453</v>
      </c>
      <c r="N1659" cm="1">
        <f t="array" ref="N1659">_xlfn.XLOOKUP(TEXT(A1659, "mmm-yy"), TEXT([2]RUNS!$B$5:$B$208, "mmm-yy"), [2]RUNS!$BM$5:$BM$208, "Not Found")</f>
        <v>0.79227260888374684</v>
      </c>
    </row>
    <row r="1660" spans="1:14" x14ac:dyDescent="0.25">
      <c r="A1660" s="1">
        <f>'[1]Global_Spot Prices'!$B2969</f>
        <v>44327</v>
      </c>
      <c r="B1660">
        <f>_xlfn.XLOOKUP(A1660,'[1]Global_Spot Prices'!$B:$B,'[1]Global_Spot Prices'!$BS:$BS)</f>
        <v>8.36</v>
      </c>
      <c r="C1660">
        <f ca="1">_xlfn.XLOOKUP(A1660,'[1]Global_Spot Prices'!$B:$B,'[1]Global_Spot Prices'!$E:$E)</f>
        <v>65.5</v>
      </c>
      <c r="D1660">
        <f>_xlfn.XLOOKUP(A1660,'[1]Global_Spot Prices'!$B:$B,'[1]Global_Spot Prices'!$D:$D)</f>
        <v>68.905000000000001</v>
      </c>
      <c r="E1660">
        <f ca="1">_xlfn.XLOOKUP(A1660,'[1]Global_Spot Prices'!$B:$B,'[1]Global_Spot Prices'!$H:$H)</f>
        <v>64.45</v>
      </c>
      <c r="F1660">
        <f>_xlfn.XLOOKUP(A1660,'[1]Global_Spot Prices'!$B:$B,'[1]Global_Spot Prices'!$I:$I)</f>
        <v>73.86</v>
      </c>
      <c r="G1660" cm="1">
        <f t="array" ref="G1660">_xlfn.XLOOKUP(TEXT(A1660, "mmm-yy"), TEXT([2]RUNS!$B$5:$B$208, "mmm-yy"), [2]RUNS!$D$5:$D$208, "Not Found")</f>
        <v>28791.741197661584</v>
      </c>
      <c r="H1660" cm="1">
        <f t="array" ref="H1660">SUMPRODUCT(
    --(TEXT('[3]Global Weekly Stock (EWSuez'!$B$4:$B$2000,"mmm-yy")=TEXT(A1660,"mmm-yy")),
    '[3]Global Weekly Stock (EWSuez'!$E$4:$E$2000)
/
SUMPRODUCT(
    --(TEXT('[3]Global Weekly Stock (EWSuez'!$B$4:$B$2000,"mmm-yy")=TEXT(A1660,"mmm-yy"))
)</f>
        <v>12769.5</v>
      </c>
      <c r="I1660">
        <f>_xlfn.XLOOKUP(A1660,[1]ForwardDeriv!$D:$D,[1]ForwardDeriv!$AJ:$AJ)</f>
        <v>0.32999999999999829</v>
      </c>
      <c r="J1660" cm="1">
        <f t="array" ref="J1660">_xlfn.XLOOKUP(TEXT(A1660, "mmm-yy"), TEXT([2]GASOLINE!$B$5:$B$208, "mmm-yy"), [2]GASOLINE!$IR$5:$IR$208, "Not Found")</f>
        <v>233.1275595505021</v>
      </c>
      <c r="K1660" cm="1">
        <f t="array" ref="K1660">_xlfn.XLOOKUP(TEXT(A1660, "mmm-yy"), TEXT([2]GASOLINE!$B$5:$B$208, "mmm-yy"), [2]GASOLINE!$IK$5:$IK$208, "Not Found")</f>
        <v>169.79792859147545</v>
      </c>
      <c r="L1660">
        <f t="shared" si="25"/>
        <v>0</v>
      </c>
      <c r="M1660" cm="1">
        <f t="array" ref="M1660">_xlfn.XLOOKUP(TEXT(A1660, "mmm-yy"), TEXT([2]GASOLINE!$B$5:$B$208, "mmm-yy"), [2]GASOLINE!$C$5:$C$208, "Not Found")</f>
        <v>6858.2314687409453</v>
      </c>
      <c r="N1660" cm="1">
        <f t="array" ref="N1660">_xlfn.XLOOKUP(TEXT(A1660, "mmm-yy"), TEXT([2]RUNS!$B$5:$B$208, "mmm-yy"), [2]RUNS!$BM$5:$BM$208, "Not Found")</f>
        <v>0.79227260888374684</v>
      </c>
    </row>
    <row r="1661" spans="1:14" x14ac:dyDescent="0.25">
      <c r="A1661" s="1">
        <f>'[1]Global_Spot Prices'!$B2970</f>
        <v>44328</v>
      </c>
      <c r="B1661">
        <f>_xlfn.XLOOKUP(A1661,'[1]Global_Spot Prices'!$B:$B,'[1]Global_Spot Prices'!$BS:$BS)</f>
        <v>8.6300000000000097</v>
      </c>
      <c r="C1661">
        <f>_xlfn.XLOOKUP(A1661,'[1]Global_Spot Prices'!$B:$B,'[1]Global_Spot Prices'!$E:$E)</f>
        <v>66.52</v>
      </c>
      <c r="D1661">
        <f>_xlfn.XLOOKUP(A1661,'[1]Global_Spot Prices'!$B:$B,'[1]Global_Spot Prices'!$D:$D)</f>
        <v>70.209999999999994</v>
      </c>
      <c r="E1661">
        <f ca="1">_xlfn.XLOOKUP(A1661,'[1]Global_Spot Prices'!$B:$B,'[1]Global_Spot Prices'!$H:$H)</f>
        <v>65.900000000000006</v>
      </c>
      <c r="F1661">
        <f>_xlfn.XLOOKUP(A1661,'[1]Global_Spot Prices'!$B:$B,'[1]Global_Spot Prices'!$I:$I)</f>
        <v>75.150000000000006</v>
      </c>
      <c r="G1661" cm="1">
        <f t="array" ref="G1661">_xlfn.XLOOKUP(TEXT(A1661, "mmm-yy"), TEXT([2]RUNS!$B$5:$B$208, "mmm-yy"), [2]RUNS!$D$5:$D$208, "Not Found")</f>
        <v>28791.741197661584</v>
      </c>
      <c r="H1661" cm="1">
        <f t="array" ref="H1661">SUMPRODUCT(
    --(TEXT('[3]Global Weekly Stock (EWSuez'!$B$4:$B$2000,"mmm-yy")=TEXT(A1661,"mmm-yy")),
    '[3]Global Weekly Stock (EWSuez'!$E$4:$E$2000)
/
SUMPRODUCT(
    --(TEXT('[3]Global Weekly Stock (EWSuez'!$B$4:$B$2000,"mmm-yy")=TEXT(A1661,"mmm-yy"))
)</f>
        <v>12769.5</v>
      </c>
      <c r="I1661">
        <f>_xlfn.XLOOKUP(A1661,[1]ForwardDeriv!$D:$D,[1]ForwardDeriv!$AJ:$AJ)</f>
        <v>0.39999999999999147</v>
      </c>
      <c r="J1661" cm="1">
        <f t="array" ref="J1661">_xlfn.XLOOKUP(TEXT(A1661, "mmm-yy"), TEXT([2]GASOLINE!$B$5:$B$208, "mmm-yy"), [2]GASOLINE!$IR$5:$IR$208, "Not Found")</f>
        <v>233.1275595505021</v>
      </c>
      <c r="K1661" cm="1">
        <f t="array" ref="K1661">_xlfn.XLOOKUP(TEXT(A1661, "mmm-yy"), TEXT([2]GASOLINE!$B$5:$B$208, "mmm-yy"), [2]GASOLINE!$IK$5:$IK$208, "Not Found")</f>
        <v>169.79792859147545</v>
      </c>
      <c r="L1661">
        <f t="shared" si="25"/>
        <v>0</v>
      </c>
      <c r="M1661" cm="1">
        <f t="array" ref="M1661">_xlfn.XLOOKUP(TEXT(A1661, "mmm-yy"), TEXT([2]GASOLINE!$B$5:$B$208, "mmm-yy"), [2]GASOLINE!$C$5:$C$208, "Not Found")</f>
        <v>6858.2314687409453</v>
      </c>
      <c r="N1661" cm="1">
        <f t="array" ref="N1661">_xlfn.XLOOKUP(TEXT(A1661, "mmm-yy"), TEXT([2]RUNS!$B$5:$B$208, "mmm-yy"), [2]RUNS!$BM$5:$BM$208, "Not Found")</f>
        <v>0.79227260888374684</v>
      </c>
    </row>
    <row r="1662" spans="1:14" x14ac:dyDescent="0.25">
      <c r="A1662" s="1">
        <f>'[1]Global_Spot Prices'!$B2971</f>
        <v>44329</v>
      </c>
      <c r="B1662" t="e">
        <f ca="1">_xlfn.XLOOKUP(A1662,'[1]Global_Spot Prices'!$B:$B,'[1]Global_Spot Prices'!$BS:$BS)</f>
        <v>#N/A</v>
      </c>
      <c r="C1662" t="str">
        <f>_xlfn.XLOOKUP(A1662,'[1]Global_Spot Prices'!$B:$B,'[1]Global_Spot Prices'!$E:$E)</f>
        <v/>
      </c>
      <c r="D1662">
        <f>_xlfn.XLOOKUP(A1662,'[1]Global_Spot Prices'!$B:$B,'[1]Global_Spot Prices'!$D:$D)</f>
        <v>68.004999999999995</v>
      </c>
      <c r="E1662">
        <f ca="1">_xlfn.XLOOKUP(A1662,'[1]Global_Spot Prices'!$B:$B,'[1]Global_Spot Prices'!$H:$H)</f>
        <v>0</v>
      </c>
      <c r="F1662">
        <f>_xlfn.XLOOKUP(A1662,'[1]Global_Spot Prices'!$B:$B,'[1]Global_Spot Prices'!$I:$I)</f>
        <v>0</v>
      </c>
      <c r="G1662" cm="1">
        <f t="array" ref="G1662">_xlfn.XLOOKUP(TEXT(A1662, "mmm-yy"), TEXT([2]RUNS!$B$5:$B$208, "mmm-yy"), [2]RUNS!$D$5:$D$208, "Not Found")</f>
        <v>28791.741197661584</v>
      </c>
      <c r="H1662" cm="1">
        <f t="array" ref="H1662">SUMPRODUCT(
    --(TEXT('[3]Global Weekly Stock (EWSuez'!$B$4:$B$2000,"mmm-yy")=TEXT(A1662,"mmm-yy")),
    '[3]Global Weekly Stock (EWSuez'!$E$4:$E$2000)
/
SUMPRODUCT(
    --(TEXT('[3]Global Weekly Stock (EWSuez'!$B$4:$B$2000,"mmm-yy")=TEXT(A1662,"mmm-yy"))
)</f>
        <v>12769.5</v>
      </c>
      <c r="I1662">
        <f>_xlfn.XLOOKUP(A1662,[1]ForwardDeriv!$D:$D,[1]ForwardDeriv!$AJ:$AJ)</f>
        <v>0.17999999999999261</v>
      </c>
      <c r="J1662" cm="1">
        <f t="array" ref="J1662">_xlfn.XLOOKUP(TEXT(A1662, "mmm-yy"), TEXT([2]GASOLINE!$B$5:$B$208, "mmm-yy"), [2]GASOLINE!$IR$5:$IR$208, "Not Found")</f>
        <v>233.1275595505021</v>
      </c>
      <c r="K1662" cm="1">
        <f t="array" ref="K1662">_xlfn.XLOOKUP(TEXT(A1662, "mmm-yy"), TEXT([2]GASOLINE!$B$5:$B$208, "mmm-yy"), [2]GASOLINE!$IK$5:$IK$208, "Not Found")</f>
        <v>169.79792859147545</v>
      </c>
      <c r="L1662">
        <f t="shared" si="25"/>
        <v>0</v>
      </c>
      <c r="M1662" cm="1">
        <f t="array" ref="M1662">_xlfn.XLOOKUP(TEXT(A1662, "mmm-yy"), TEXT([2]GASOLINE!$B$5:$B$208, "mmm-yy"), [2]GASOLINE!$C$5:$C$208, "Not Found")</f>
        <v>6858.2314687409453</v>
      </c>
      <c r="N1662" cm="1">
        <f t="array" ref="N1662">_xlfn.XLOOKUP(TEXT(A1662, "mmm-yy"), TEXT([2]RUNS!$B$5:$B$208, "mmm-yy"), [2]RUNS!$BM$5:$BM$208, "Not Found")</f>
        <v>0.79227260888374684</v>
      </c>
    </row>
    <row r="1663" spans="1:14" x14ac:dyDescent="0.25">
      <c r="A1663" s="1">
        <f>'[1]Global_Spot Prices'!$B2972</f>
        <v>44330</v>
      </c>
      <c r="B1663">
        <f>_xlfn.XLOOKUP(A1663,'[1]Global_Spot Prices'!$B:$B,'[1]Global_Spot Prices'!$BS:$BS)</f>
        <v>6.3199999999999932</v>
      </c>
      <c r="C1663">
        <f>_xlfn.XLOOKUP(A1663,'[1]Global_Spot Prices'!$B:$B,'[1]Global_Spot Prices'!$E:$E)</f>
        <v>65.290000000000006</v>
      </c>
      <c r="D1663">
        <f>_xlfn.XLOOKUP(A1663,'[1]Global_Spot Prices'!$B:$B,'[1]Global_Spot Prices'!$D:$D)</f>
        <v>69.034999999999997</v>
      </c>
      <c r="E1663">
        <f>_xlfn.XLOOKUP(A1663,'[1]Global_Spot Prices'!$B:$B,'[1]Global_Spot Prices'!$H:$H)</f>
        <v>64.3</v>
      </c>
      <c r="F1663">
        <f>_xlfn.XLOOKUP(A1663,'[1]Global_Spot Prices'!$B:$B,'[1]Global_Spot Prices'!$I:$I)</f>
        <v>71.61</v>
      </c>
      <c r="G1663" cm="1">
        <f t="array" ref="G1663">_xlfn.XLOOKUP(TEXT(A1663, "mmm-yy"), TEXT([2]RUNS!$B$5:$B$208, "mmm-yy"), [2]RUNS!$D$5:$D$208, "Not Found")</f>
        <v>28791.741197661584</v>
      </c>
      <c r="H1663" cm="1">
        <f t="array" ref="H1663">SUMPRODUCT(
    --(TEXT('[3]Global Weekly Stock (EWSuez'!$B$4:$B$2000,"mmm-yy")=TEXT(A1663,"mmm-yy")),
    '[3]Global Weekly Stock (EWSuez'!$E$4:$E$2000)
/
SUMPRODUCT(
    --(TEXT('[3]Global Weekly Stock (EWSuez'!$B$4:$B$2000,"mmm-yy")=TEXT(A1663,"mmm-yy"))
)</f>
        <v>12769.5</v>
      </c>
      <c r="I1663">
        <f>_xlfn.XLOOKUP(A1663,[1]ForwardDeriv!$D:$D,[1]ForwardDeriv!$AJ:$AJ)</f>
        <v>0.17999999999999261</v>
      </c>
      <c r="J1663" cm="1">
        <f t="array" ref="J1663">_xlfn.XLOOKUP(TEXT(A1663, "mmm-yy"), TEXT([2]GASOLINE!$B$5:$B$208, "mmm-yy"), [2]GASOLINE!$IR$5:$IR$208, "Not Found")</f>
        <v>233.1275595505021</v>
      </c>
      <c r="K1663" cm="1">
        <f t="array" ref="K1663">_xlfn.XLOOKUP(TEXT(A1663, "mmm-yy"), TEXT([2]GASOLINE!$B$5:$B$208, "mmm-yy"), [2]GASOLINE!$IK$5:$IK$208, "Not Found")</f>
        <v>169.79792859147545</v>
      </c>
      <c r="L1663">
        <f t="shared" si="25"/>
        <v>0</v>
      </c>
      <c r="M1663" cm="1">
        <f t="array" ref="M1663">_xlfn.XLOOKUP(TEXT(A1663, "mmm-yy"), TEXT([2]GASOLINE!$B$5:$B$208, "mmm-yy"), [2]GASOLINE!$C$5:$C$208, "Not Found")</f>
        <v>6858.2314687409453</v>
      </c>
      <c r="N1663" cm="1">
        <f t="array" ref="N1663">_xlfn.XLOOKUP(TEXT(A1663, "mmm-yy"), TEXT([2]RUNS!$B$5:$B$208, "mmm-yy"), [2]RUNS!$BM$5:$BM$208, "Not Found")</f>
        <v>0.79227260888374684</v>
      </c>
    </row>
    <row r="1664" spans="1:14" x14ac:dyDescent="0.25">
      <c r="A1664" s="1">
        <f>'[1]Global_Spot Prices'!$B2973</f>
        <v>44333</v>
      </c>
      <c r="B1664">
        <f>_xlfn.XLOOKUP(A1664,'[1]Global_Spot Prices'!$B:$B,'[1]Global_Spot Prices'!$BS:$BS)</f>
        <v>6.5300000000000011</v>
      </c>
      <c r="C1664">
        <f>_xlfn.XLOOKUP(A1664,'[1]Global_Spot Prices'!$B:$B,'[1]Global_Spot Prices'!$E:$E)</f>
        <v>67.13</v>
      </c>
      <c r="D1664">
        <f>_xlfn.XLOOKUP(A1664,'[1]Global_Spot Prices'!$B:$B,'[1]Global_Spot Prices'!$D:$D)</f>
        <v>69.72</v>
      </c>
      <c r="E1664">
        <f>_xlfn.XLOOKUP(A1664,'[1]Global_Spot Prices'!$B:$B,'[1]Global_Spot Prices'!$H:$H)</f>
        <v>65.5</v>
      </c>
      <c r="F1664">
        <f>_xlfn.XLOOKUP(A1664,'[1]Global_Spot Prices'!$B:$B,'[1]Global_Spot Prices'!$I:$I)</f>
        <v>73.66</v>
      </c>
      <c r="G1664" cm="1">
        <f t="array" ref="G1664">_xlfn.XLOOKUP(TEXT(A1664, "mmm-yy"), TEXT([2]RUNS!$B$5:$B$208, "mmm-yy"), [2]RUNS!$D$5:$D$208, "Not Found")</f>
        <v>28791.741197661584</v>
      </c>
      <c r="H1664" cm="1">
        <f t="array" ref="H1664">SUMPRODUCT(
    --(TEXT('[3]Global Weekly Stock (EWSuez'!$B$4:$B$2000,"mmm-yy")=TEXT(A1664,"mmm-yy")),
    '[3]Global Weekly Stock (EWSuez'!$E$4:$E$2000)
/
SUMPRODUCT(
    --(TEXT('[3]Global Weekly Stock (EWSuez'!$B$4:$B$2000,"mmm-yy")=TEXT(A1664,"mmm-yy"))
)</f>
        <v>12769.5</v>
      </c>
      <c r="I1664">
        <f>_xlfn.XLOOKUP(A1664,[1]ForwardDeriv!$D:$D,[1]ForwardDeriv!$AJ:$AJ)</f>
        <v>0.25</v>
      </c>
      <c r="J1664" cm="1">
        <f t="array" ref="J1664">_xlfn.XLOOKUP(TEXT(A1664, "mmm-yy"), TEXT([2]GASOLINE!$B$5:$B$208, "mmm-yy"), [2]GASOLINE!$IR$5:$IR$208, "Not Found")</f>
        <v>233.1275595505021</v>
      </c>
      <c r="K1664" cm="1">
        <f t="array" ref="K1664">_xlfn.XLOOKUP(TEXT(A1664, "mmm-yy"), TEXT([2]GASOLINE!$B$5:$B$208, "mmm-yy"), [2]GASOLINE!$IK$5:$IK$208, "Not Found")</f>
        <v>169.79792859147545</v>
      </c>
      <c r="L1664">
        <f t="shared" si="25"/>
        <v>0</v>
      </c>
      <c r="M1664" cm="1">
        <f t="array" ref="M1664">_xlfn.XLOOKUP(TEXT(A1664, "mmm-yy"), TEXT([2]GASOLINE!$B$5:$B$208, "mmm-yy"), [2]GASOLINE!$C$5:$C$208, "Not Found")</f>
        <v>6858.2314687409453</v>
      </c>
      <c r="N1664" cm="1">
        <f t="array" ref="N1664">_xlfn.XLOOKUP(TEXT(A1664, "mmm-yy"), TEXT([2]RUNS!$B$5:$B$208, "mmm-yy"), [2]RUNS!$BM$5:$BM$208, "Not Found")</f>
        <v>0.79227260888374684</v>
      </c>
    </row>
    <row r="1665" spans="1:14" x14ac:dyDescent="0.25">
      <c r="A1665" s="1">
        <f>'[1]Global_Spot Prices'!$B2974</f>
        <v>44334</v>
      </c>
      <c r="B1665">
        <f>_xlfn.XLOOKUP(A1665,'[1]Global_Spot Prices'!$B:$B,'[1]Global_Spot Prices'!$BS:$BS)</f>
        <v>7.2000000000000028</v>
      </c>
      <c r="C1665">
        <f>_xlfn.XLOOKUP(A1665,'[1]Global_Spot Prices'!$B:$B,'[1]Global_Spot Prices'!$E:$E)</f>
        <v>68.38</v>
      </c>
      <c r="D1665">
        <f>_xlfn.XLOOKUP(A1665,'[1]Global_Spot Prices'!$B:$B,'[1]Global_Spot Prices'!$D:$D)</f>
        <v>69.67</v>
      </c>
      <c r="E1665">
        <f>_xlfn.XLOOKUP(A1665,'[1]Global_Spot Prices'!$B:$B,'[1]Global_Spot Prices'!$H:$H)</f>
        <v>66.83</v>
      </c>
      <c r="F1665">
        <f>_xlfn.XLOOKUP(A1665,'[1]Global_Spot Prices'!$B:$B,'[1]Global_Spot Prices'!$I:$I)</f>
        <v>75.58</v>
      </c>
      <c r="G1665" cm="1">
        <f t="array" ref="G1665">_xlfn.XLOOKUP(TEXT(A1665, "mmm-yy"), TEXT([2]RUNS!$B$5:$B$208, "mmm-yy"), [2]RUNS!$D$5:$D$208, "Not Found")</f>
        <v>28791.741197661584</v>
      </c>
      <c r="H1665" cm="1">
        <f t="array" ref="H1665">SUMPRODUCT(
    --(TEXT('[3]Global Weekly Stock (EWSuez'!$B$4:$B$2000,"mmm-yy")=TEXT(A1665,"mmm-yy")),
    '[3]Global Weekly Stock (EWSuez'!$E$4:$E$2000)
/
SUMPRODUCT(
    --(TEXT('[3]Global Weekly Stock (EWSuez'!$B$4:$B$2000,"mmm-yy")=TEXT(A1665,"mmm-yy"))
)</f>
        <v>12769.5</v>
      </c>
      <c r="I1665">
        <f>_xlfn.XLOOKUP(A1665,[1]ForwardDeriv!$D:$D,[1]ForwardDeriv!$AJ:$AJ)</f>
        <v>0.37999999999999545</v>
      </c>
      <c r="J1665" cm="1">
        <f t="array" ref="J1665">_xlfn.XLOOKUP(TEXT(A1665, "mmm-yy"), TEXT([2]GASOLINE!$B$5:$B$208, "mmm-yy"), [2]GASOLINE!$IR$5:$IR$208, "Not Found")</f>
        <v>233.1275595505021</v>
      </c>
      <c r="K1665" cm="1">
        <f t="array" ref="K1665">_xlfn.XLOOKUP(TEXT(A1665, "mmm-yy"), TEXT([2]GASOLINE!$B$5:$B$208, "mmm-yy"), [2]GASOLINE!$IK$5:$IK$208, "Not Found")</f>
        <v>169.79792859147545</v>
      </c>
      <c r="L1665">
        <f t="shared" si="25"/>
        <v>0</v>
      </c>
      <c r="M1665" cm="1">
        <f t="array" ref="M1665">_xlfn.XLOOKUP(TEXT(A1665, "mmm-yy"), TEXT([2]GASOLINE!$B$5:$B$208, "mmm-yy"), [2]GASOLINE!$C$5:$C$208, "Not Found")</f>
        <v>6858.2314687409453</v>
      </c>
      <c r="N1665" cm="1">
        <f t="array" ref="N1665">_xlfn.XLOOKUP(TEXT(A1665, "mmm-yy"), TEXT([2]RUNS!$B$5:$B$208, "mmm-yy"), [2]RUNS!$BM$5:$BM$208, "Not Found")</f>
        <v>0.79227260888374684</v>
      </c>
    </row>
    <row r="1666" spans="1:14" x14ac:dyDescent="0.25">
      <c r="A1666" s="1">
        <f>'[1]Global_Spot Prices'!$B2975</f>
        <v>44335</v>
      </c>
      <c r="B1666">
        <f>_xlfn.XLOOKUP(A1666,'[1]Global_Spot Prices'!$B:$B,'[1]Global_Spot Prices'!$BS:$BS)</f>
        <v>7.7000000000000028</v>
      </c>
      <c r="C1666">
        <f>_xlfn.XLOOKUP(A1666,'[1]Global_Spot Prices'!$B:$B,'[1]Global_Spot Prices'!$E:$E)</f>
        <v>66.09</v>
      </c>
      <c r="D1666">
        <f>_xlfn.XLOOKUP(A1666,'[1]Global_Spot Prices'!$B:$B,'[1]Global_Spot Prices'!$D:$D)</f>
        <v>66.44</v>
      </c>
      <c r="E1666">
        <f>_xlfn.XLOOKUP(A1666,'[1]Global_Spot Prices'!$B:$B,'[1]Global_Spot Prices'!$H:$H)</f>
        <v>64.760000000000005</v>
      </c>
      <c r="F1666">
        <f>_xlfn.XLOOKUP(A1666,'[1]Global_Spot Prices'!$B:$B,'[1]Global_Spot Prices'!$I:$I)</f>
        <v>73.790000000000006</v>
      </c>
      <c r="G1666" cm="1">
        <f t="array" ref="G1666">_xlfn.XLOOKUP(TEXT(A1666, "mmm-yy"), TEXT([2]RUNS!$B$5:$B$208, "mmm-yy"), [2]RUNS!$D$5:$D$208, "Not Found")</f>
        <v>28791.741197661584</v>
      </c>
      <c r="H1666" cm="1">
        <f t="array" ref="H1666">SUMPRODUCT(
    --(TEXT('[3]Global Weekly Stock (EWSuez'!$B$4:$B$2000,"mmm-yy")=TEXT(A1666,"mmm-yy")),
    '[3]Global Weekly Stock (EWSuez'!$E$4:$E$2000)
/
SUMPRODUCT(
    --(TEXT('[3]Global Weekly Stock (EWSuez'!$B$4:$B$2000,"mmm-yy")=TEXT(A1666,"mmm-yy"))
)</f>
        <v>12769.5</v>
      </c>
      <c r="I1666">
        <f>_xlfn.XLOOKUP(A1666,[1]ForwardDeriv!$D:$D,[1]ForwardDeriv!$AJ:$AJ)</f>
        <v>0.39999999999999147</v>
      </c>
      <c r="J1666" cm="1">
        <f t="array" ref="J1666">_xlfn.XLOOKUP(TEXT(A1666, "mmm-yy"), TEXT([2]GASOLINE!$B$5:$B$208, "mmm-yy"), [2]GASOLINE!$IR$5:$IR$208, "Not Found")</f>
        <v>233.1275595505021</v>
      </c>
      <c r="K1666" cm="1">
        <f t="array" ref="K1666">_xlfn.XLOOKUP(TEXT(A1666, "mmm-yy"), TEXT([2]GASOLINE!$B$5:$B$208, "mmm-yy"), [2]GASOLINE!$IK$5:$IK$208, "Not Found")</f>
        <v>169.79792859147545</v>
      </c>
      <c r="L1666">
        <f t="shared" si="25"/>
        <v>0</v>
      </c>
      <c r="M1666" cm="1">
        <f t="array" ref="M1666">_xlfn.XLOOKUP(TEXT(A1666, "mmm-yy"), TEXT([2]GASOLINE!$B$5:$B$208, "mmm-yy"), [2]GASOLINE!$C$5:$C$208, "Not Found")</f>
        <v>6858.2314687409453</v>
      </c>
      <c r="N1666" cm="1">
        <f t="array" ref="N1666">_xlfn.XLOOKUP(TEXT(A1666, "mmm-yy"), TEXT([2]RUNS!$B$5:$B$208, "mmm-yy"), [2]RUNS!$BM$5:$BM$208, "Not Found")</f>
        <v>0.79227260888374684</v>
      </c>
    </row>
    <row r="1667" spans="1:14" x14ac:dyDescent="0.25">
      <c r="A1667" s="1">
        <f>'[1]Global_Spot Prices'!$B2976</f>
        <v>44336</v>
      </c>
      <c r="B1667">
        <f>_xlfn.XLOOKUP(A1667,'[1]Global_Spot Prices'!$B:$B,'[1]Global_Spot Prices'!$BS:$BS)</f>
        <v>8.3499999999999943</v>
      </c>
      <c r="C1667">
        <f>_xlfn.XLOOKUP(A1667,'[1]Global_Spot Prices'!$B:$B,'[1]Global_Spot Prices'!$E:$E)</f>
        <v>65</v>
      </c>
      <c r="D1667">
        <f>_xlfn.XLOOKUP(A1667,'[1]Global_Spot Prices'!$B:$B,'[1]Global_Spot Prices'!$D:$D)</f>
        <v>66.599999999999994</v>
      </c>
      <c r="E1667">
        <f>_xlfn.XLOOKUP(A1667,'[1]Global_Spot Prices'!$B:$B,'[1]Global_Spot Prices'!$H:$H)</f>
        <v>64.33</v>
      </c>
      <c r="F1667">
        <f>_xlfn.XLOOKUP(A1667,'[1]Global_Spot Prices'!$B:$B,'[1]Global_Spot Prices'!$I:$I)</f>
        <v>73.349999999999994</v>
      </c>
      <c r="G1667" cm="1">
        <f t="array" ref="G1667">_xlfn.XLOOKUP(TEXT(A1667, "mmm-yy"), TEXT([2]RUNS!$B$5:$B$208, "mmm-yy"), [2]RUNS!$D$5:$D$208, "Not Found")</f>
        <v>28791.741197661584</v>
      </c>
      <c r="H1667" cm="1">
        <f t="array" ref="H1667">SUMPRODUCT(
    --(TEXT('[3]Global Weekly Stock (EWSuez'!$B$4:$B$2000,"mmm-yy")=TEXT(A1667,"mmm-yy")),
    '[3]Global Weekly Stock (EWSuez'!$E$4:$E$2000)
/
SUMPRODUCT(
    --(TEXT('[3]Global Weekly Stock (EWSuez'!$B$4:$B$2000,"mmm-yy")=TEXT(A1667,"mmm-yy"))
)</f>
        <v>12769.5</v>
      </c>
      <c r="I1667">
        <f>_xlfn.XLOOKUP(A1667,[1]ForwardDeriv!$D:$D,[1]ForwardDeriv!$AJ:$AJ)</f>
        <v>0.51000000000000512</v>
      </c>
      <c r="J1667" cm="1">
        <f t="array" ref="J1667">_xlfn.XLOOKUP(TEXT(A1667, "mmm-yy"), TEXT([2]GASOLINE!$B$5:$B$208, "mmm-yy"), [2]GASOLINE!$IR$5:$IR$208, "Not Found")</f>
        <v>233.1275595505021</v>
      </c>
      <c r="K1667" cm="1">
        <f t="array" ref="K1667">_xlfn.XLOOKUP(TEXT(A1667, "mmm-yy"), TEXT([2]GASOLINE!$B$5:$B$208, "mmm-yy"), [2]GASOLINE!$IK$5:$IK$208, "Not Found")</f>
        <v>169.79792859147545</v>
      </c>
      <c r="L1667">
        <f t="shared" ref="L1667:L1730" si="26">IF(OR(MONTH(A1667)=6, MONTH(A1667)=7, MONTH(A1667)=8, MONTH(A1667)=9), 1, 0)</f>
        <v>0</v>
      </c>
      <c r="M1667" cm="1">
        <f t="array" ref="M1667">_xlfn.XLOOKUP(TEXT(A1667, "mmm-yy"), TEXT([2]GASOLINE!$B$5:$B$208, "mmm-yy"), [2]GASOLINE!$C$5:$C$208, "Not Found")</f>
        <v>6858.2314687409453</v>
      </c>
      <c r="N1667" cm="1">
        <f t="array" ref="N1667">_xlfn.XLOOKUP(TEXT(A1667, "mmm-yy"), TEXT([2]RUNS!$B$5:$B$208, "mmm-yy"), [2]RUNS!$BM$5:$BM$208, "Not Found")</f>
        <v>0.79227260888374684</v>
      </c>
    </row>
    <row r="1668" spans="1:14" x14ac:dyDescent="0.25">
      <c r="A1668" s="1">
        <f>'[1]Global_Spot Prices'!$B2977</f>
        <v>44337</v>
      </c>
      <c r="B1668">
        <f>_xlfn.XLOOKUP(A1668,'[1]Global_Spot Prices'!$B:$B,'[1]Global_Spot Prices'!$BS:$BS)</f>
        <v>7.8400000000000034</v>
      </c>
      <c r="C1668">
        <f>_xlfn.XLOOKUP(A1668,'[1]Global_Spot Prices'!$B:$B,'[1]Global_Spot Prices'!$E:$E)</f>
        <v>63.2</v>
      </c>
      <c r="D1668">
        <f>_xlfn.XLOOKUP(A1668,'[1]Global_Spot Prices'!$B:$B,'[1]Global_Spot Prices'!$D:$D)</f>
        <v>66.885000000000005</v>
      </c>
      <c r="E1668">
        <f>_xlfn.XLOOKUP(A1668,'[1]Global_Spot Prices'!$B:$B,'[1]Global_Spot Prices'!$H:$H)</f>
        <v>62.55</v>
      </c>
      <c r="F1668">
        <f>_xlfn.XLOOKUP(A1668,'[1]Global_Spot Prices'!$B:$B,'[1]Global_Spot Prices'!$I:$I)</f>
        <v>71.040000000000006</v>
      </c>
      <c r="G1668" cm="1">
        <f t="array" ref="G1668">_xlfn.XLOOKUP(TEXT(A1668, "mmm-yy"), TEXT([2]RUNS!$B$5:$B$208, "mmm-yy"), [2]RUNS!$D$5:$D$208, "Not Found")</f>
        <v>28791.741197661584</v>
      </c>
      <c r="H1668" cm="1">
        <f t="array" ref="H1668">SUMPRODUCT(
    --(TEXT('[3]Global Weekly Stock (EWSuez'!$B$4:$B$2000,"mmm-yy")=TEXT(A1668,"mmm-yy")),
    '[3]Global Weekly Stock (EWSuez'!$E$4:$E$2000)
/
SUMPRODUCT(
    --(TEXT('[3]Global Weekly Stock (EWSuez'!$B$4:$B$2000,"mmm-yy")=TEXT(A1668,"mmm-yy"))
)</f>
        <v>12769.5</v>
      </c>
      <c r="I1668">
        <f>_xlfn.XLOOKUP(A1668,[1]ForwardDeriv!$D:$D,[1]ForwardDeriv!$AJ:$AJ)</f>
        <v>0.39000000000000057</v>
      </c>
      <c r="J1668" cm="1">
        <f t="array" ref="J1668">_xlfn.XLOOKUP(TEXT(A1668, "mmm-yy"), TEXT([2]GASOLINE!$B$5:$B$208, "mmm-yy"), [2]GASOLINE!$IR$5:$IR$208, "Not Found")</f>
        <v>233.1275595505021</v>
      </c>
      <c r="K1668" cm="1">
        <f t="array" ref="K1668">_xlfn.XLOOKUP(TEXT(A1668, "mmm-yy"), TEXT([2]GASOLINE!$B$5:$B$208, "mmm-yy"), [2]GASOLINE!$IK$5:$IK$208, "Not Found")</f>
        <v>169.79792859147545</v>
      </c>
      <c r="L1668">
        <f t="shared" si="26"/>
        <v>0</v>
      </c>
      <c r="M1668" cm="1">
        <f t="array" ref="M1668">_xlfn.XLOOKUP(TEXT(A1668, "mmm-yy"), TEXT([2]GASOLINE!$B$5:$B$208, "mmm-yy"), [2]GASOLINE!$C$5:$C$208, "Not Found")</f>
        <v>6858.2314687409453</v>
      </c>
      <c r="N1668" cm="1">
        <f t="array" ref="N1668">_xlfn.XLOOKUP(TEXT(A1668, "mmm-yy"), TEXT([2]RUNS!$B$5:$B$208, "mmm-yy"), [2]RUNS!$BM$5:$BM$208, "Not Found")</f>
        <v>0.79227260888374684</v>
      </c>
    </row>
    <row r="1669" spans="1:14" x14ac:dyDescent="0.25">
      <c r="A1669" s="1">
        <f>'[1]Global_Spot Prices'!$B2978</f>
        <v>44340</v>
      </c>
      <c r="B1669">
        <f>_xlfn.XLOOKUP(A1669,'[1]Global_Spot Prices'!$B:$B,'[1]Global_Spot Prices'!$BS:$BS)</f>
        <v>7.9399999999999977</v>
      </c>
      <c r="C1669">
        <f>_xlfn.XLOOKUP(A1669,'[1]Global_Spot Prices'!$B:$B,'[1]Global_Spot Prices'!$E:$E)</f>
        <v>66.22</v>
      </c>
      <c r="D1669">
        <f>_xlfn.XLOOKUP(A1669,'[1]Global_Spot Prices'!$B:$B,'[1]Global_Spot Prices'!$D:$D)</f>
        <v>68.364999999999995</v>
      </c>
      <c r="E1669">
        <f>_xlfn.XLOOKUP(A1669,'[1]Global_Spot Prices'!$B:$B,'[1]Global_Spot Prices'!$H:$H)</f>
        <v>65.099999999999994</v>
      </c>
      <c r="F1669">
        <f>_xlfn.XLOOKUP(A1669,'[1]Global_Spot Prices'!$B:$B,'[1]Global_Spot Prices'!$I:$I)</f>
        <v>74.16</v>
      </c>
      <c r="G1669" cm="1">
        <f t="array" ref="G1669">_xlfn.XLOOKUP(TEXT(A1669, "mmm-yy"), TEXT([2]RUNS!$B$5:$B$208, "mmm-yy"), [2]RUNS!$D$5:$D$208, "Not Found")</f>
        <v>28791.741197661584</v>
      </c>
      <c r="H1669" cm="1">
        <f t="array" ref="H1669">SUMPRODUCT(
    --(TEXT('[3]Global Weekly Stock (EWSuez'!$B$4:$B$2000,"mmm-yy")=TEXT(A1669,"mmm-yy")),
    '[3]Global Weekly Stock (EWSuez'!$E$4:$E$2000)
/
SUMPRODUCT(
    --(TEXT('[3]Global Weekly Stock (EWSuez'!$B$4:$B$2000,"mmm-yy")=TEXT(A1669,"mmm-yy"))
)</f>
        <v>12769.5</v>
      </c>
      <c r="I1669">
        <f>_xlfn.XLOOKUP(A1669,[1]ForwardDeriv!$D:$D,[1]ForwardDeriv!$AJ:$AJ)</f>
        <v>0.48000000000000398</v>
      </c>
      <c r="J1669" cm="1">
        <f t="array" ref="J1669">_xlfn.XLOOKUP(TEXT(A1669, "mmm-yy"), TEXT([2]GASOLINE!$B$5:$B$208, "mmm-yy"), [2]GASOLINE!$IR$5:$IR$208, "Not Found")</f>
        <v>233.1275595505021</v>
      </c>
      <c r="K1669" cm="1">
        <f t="array" ref="K1669">_xlfn.XLOOKUP(TEXT(A1669, "mmm-yy"), TEXT([2]GASOLINE!$B$5:$B$208, "mmm-yy"), [2]GASOLINE!$IK$5:$IK$208, "Not Found")</f>
        <v>169.79792859147545</v>
      </c>
      <c r="L1669">
        <f t="shared" si="26"/>
        <v>0</v>
      </c>
      <c r="M1669" cm="1">
        <f t="array" ref="M1669">_xlfn.XLOOKUP(TEXT(A1669, "mmm-yy"), TEXT([2]GASOLINE!$B$5:$B$208, "mmm-yy"), [2]GASOLINE!$C$5:$C$208, "Not Found")</f>
        <v>6858.2314687409453</v>
      </c>
      <c r="N1669" cm="1">
        <f t="array" ref="N1669">_xlfn.XLOOKUP(TEXT(A1669, "mmm-yy"), TEXT([2]RUNS!$B$5:$B$208, "mmm-yy"), [2]RUNS!$BM$5:$BM$208, "Not Found")</f>
        <v>0.79227260888374684</v>
      </c>
    </row>
    <row r="1670" spans="1:14" x14ac:dyDescent="0.25">
      <c r="A1670" s="1">
        <f>'[1]Global_Spot Prices'!$B2979</f>
        <v>44341</v>
      </c>
      <c r="B1670">
        <f>_xlfn.XLOOKUP(A1670,'[1]Global_Spot Prices'!$B:$B,'[1]Global_Spot Prices'!$BS:$BS)</f>
        <v>7.9050000000000011</v>
      </c>
      <c r="C1670">
        <f>_xlfn.XLOOKUP(A1670,'[1]Global_Spot Prices'!$B:$B,'[1]Global_Spot Prices'!$E:$E)</f>
        <v>67.344999999999999</v>
      </c>
      <c r="D1670">
        <f>_xlfn.XLOOKUP(A1670,'[1]Global_Spot Prices'!$B:$B,'[1]Global_Spot Prices'!$D:$D)</f>
        <v>68.75</v>
      </c>
      <c r="E1670">
        <f>_xlfn.XLOOKUP(A1670,'[1]Global_Spot Prices'!$B:$B,'[1]Global_Spot Prices'!$H:$H)</f>
        <v>66.459999999999994</v>
      </c>
      <c r="F1670">
        <f>_xlfn.XLOOKUP(A1670,'[1]Global_Spot Prices'!$B:$B,'[1]Global_Spot Prices'!$I:$I)</f>
        <v>75.25</v>
      </c>
      <c r="G1670" cm="1">
        <f t="array" ref="G1670">_xlfn.XLOOKUP(TEXT(A1670, "mmm-yy"), TEXT([2]RUNS!$B$5:$B$208, "mmm-yy"), [2]RUNS!$D$5:$D$208, "Not Found")</f>
        <v>28791.741197661584</v>
      </c>
      <c r="H1670" cm="1">
        <f t="array" ref="H1670">SUMPRODUCT(
    --(TEXT('[3]Global Weekly Stock (EWSuez'!$B$4:$B$2000,"mmm-yy")=TEXT(A1670,"mmm-yy")),
    '[3]Global Weekly Stock (EWSuez'!$E$4:$E$2000)
/
SUMPRODUCT(
    --(TEXT('[3]Global Weekly Stock (EWSuez'!$B$4:$B$2000,"mmm-yy")=TEXT(A1670,"mmm-yy"))
)</f>
        <v>12769.5</v>
      </c>
      <c r="I1670">
        <f>_xlfn.XLOOKUP(A1670,[1]ForwardDeriv!$D:$D,[1]ForwardDeriv!$AJ:$AJ)</f>
        <v>0.45000000000000284</v>
      </c>
      <c r="J1670" cm="1">
        <f t="array" ref="J1670">_xlfn.XLOOKUP(TEXT(A1670, "mmm-yy"), TEXT([2]GASOLINE!$B$5:$B$208, "mmm-yy"), [2]GASOLINE!$IR$5:$IR$208, "Not Found")</f>
        <v>233.1275595505021</v>
      </c>
      <c r="K1670" cm="1">
        <f t="array" ref="K1670">_xlfn.XLOOKUP(TEXT(A1670, "mmm-yy"), TEXT([2]GASOLINE!$B$5:$B$208, "mmm-yy"), [2]GASOLINE!$IK$5:$IK$208, "Not Found")</f>
        <v>169.79792859147545</v>
      </c>
      <c r="L1670">
        <f t="shared" si="26"/>
        <v>0</v>
      </c>
      <c r="M1670" cm="1">
        <f t="array" ref="M1670">_xlfn.XLOOKUP(TEXT(A1670, "mmm-yy"), TEXT([2]GASOLINE!$B$5:$B$208, "mmm-yy"), [2]GASOLINE!$C$5:$C$208, "Not Found")</f>
        <v>6858.2314687409453</v>
      </c>
      <c r="N1670" cm="1">
        <f t="array" ref="N1670">_xlfn.XLOOKUP(TEXT(A1670, "mmm-yy"), TEXT([2]RUNS!$B$5:$B$208, "mmm-yy"), [2]RUNS!$BM$5:$BM$208, "Not Found")</f>
        <v>0.79227260888374684</v>
      </c>
    </row>
    <row r="1671" spans="1:14" x14ac:dyDescent="0.25">
      <c r="A1671" s="1">
        <f>'[1]Global_Spot Prices'!$B2980</f>
        <v>44342</v>
      </c>
      <c r="B1671" t="e">
        <f>_xlfn.XLOOKUP(A1671,'[1]Global_Spot Prices'!$B:$B,'[1]Global_Spot Prices'!$BS:$BS)</f>
        <v>#N/A</v>
      </c>
      <c r="C1671" t="str">
        <f>_xlfn.XLOOKUP(A1671,'[1]Global_Spot Prices'!$B:$B,'[1]Global_Spot Prices'!$E:$E)</f>
        <v/>
      </c>
      <c r="D1671">
        <f>_xlfn.XLOOKUP(A1671,'[1]Global_Spot Prices'!$B:$B,'[1]Global_Spot Prices'!$D:$D)</f>
        <v>68.930000000000007</v>
      </c>
      <c r="E1671">
        <f>_xlfn.XLOOKUP(A1671,'[1]Global_Spot Prices'!$B:$B,'[1]Global_Spot Prices'!$H:$H)</f>
        <v>0</v>
      </c>
      <c r="F1671">
        <f>_xlfn.XLOOKUP(A1671,'[1]Global_Spot Prices'!$B:$B,'[1]Global_Spot Prices'!$I:$I)</f>
        <v>0</v>
      </c>
      <c r="G1671" cm="1">
        <f t="array" ref="G1671">_xlfn.XLOOKUP(TEXT(A1671, "mmm-yy"), TEXT([2]RUNS!$B$5:$B$208, "mmm-yy"), [2]RUNS!$D$5:$D$208, "Not Found")</f>
        <v>28791.741197661584</v>
      </c>
      <c r="H1671" cm="1">
        <f t="array" ref="H1671">SUMPRODUCT(
    --(TEXT('[3]Global Weekly Stock (EWSuez'!$B$4:$B$2000,"mmm-yy")=TEXT(A1671,"mmm-yy")),
    '[3]Global Weekly Stock (EWSuez'!$E$4:$E$2000)
/
SUMPRODUCT(
    --(TEXT('[3]Global Weekly Stock (EWSuez'!$B$4:$B$2000,"mmm-yy")=TEXT(A1671,"mmm-yy"))
)</f>
        <v>12769.5</v>
      </c>
      <c r="I1671">
        <f>_xlfn.XLOOKUP(A1671,[1]ForwardDeriv!$D:$D,[1]ForwardDeriv!$AJ:$AJ)</f>
        <v>0.45000000000000284</v>
      </c>
      <c r="J1671" cm="1">
        <f t="array" ref="J1671">_xlfn.XLOOKUP(TEXT(A1671, "mmm-yy"), TEXT([2]GASOLINE!$B$5:$B$208, "mmm-yy"), [2]GASOLINE!$IR$5:$IR$208, "Not Found")</f>
        <v>233.1275595505021</v>
      </c>
      <c r="K1671" cm="1">
        <f t="array" ref="K1671">_xlfn.XLOOKUP(TEXT(A1671, "mmm-yy"), TEXT([2]GASOLINE!$B$5:$B$208, "mmm-yy"), [2]GASOLINE!$IK$5:$IK$208, "Not Found")</f>
        <v>169.79792859147545</v>
      </c>
      <c r="L1671">
        <f t="shared" si="26"/>
        <v>0</v>
      </c>
      <c r="M1671" cm="1">
        <f t="array" ref="M1671">_xlfn.XLOOKUP(TEXT(A1671, "mmm-yy"), TEXT([2]GASOLINE!$B$5:$B$208, "mmm-yy"), [2]GASOLINE!$C$5:$C$208, "Not Found")</f>
        <v>6858.2314687409453</v>
      </c>
      <c r="N1671" cm="1">
        <f t="array" ref="N1671">_xlfn.XLOOKUP(TEXT(A1671, "mmm-yy"), TEXT([2]RUNS!$B$5:$B$208, "mmm-yy"), [2]RUNS!$BM$5:$BM$208, "Not Found")</f>
        <v>0.79227260888374684</v>
      </c>
    </row>
    <row r="1672" spans="1:14" x14ac:dyDescent="0.25">
      <c r="A1672" s="1">
        <f>'[1]Global_Spot Prices'!$B2981</f>
        <v>44343</v>
      </c>
      <c r="B1672">
        <f>_xlfn.XLOOKUP(A1672,'[1]Global_Spot Prices'!$B:$B,'[1]Global_Spot Prices'!$BS:$BS)</f>
        <v>8.1700000000000017</v>
      </c>
      <c r="C1672">
        <f>_xlfn.XLOOKUP(A1672,'[1]Global_Spot Prices'!$B:$B,'[1]Global_Spot Prices'!$E:$E)</f>
        <v>66.38</v>
      </c>
      <c r="D1672">
        <f>_xlfn.XLOOKUP(A1672,'[1]Global_Spot Prices'!$B:$B,'[1]Global_Spot Prices'!$D:$D)</f>
        <v>69.08</v>
      </c>
      <c r="E1672">
        <f>_xlfn.XLOOKUP(A1672,'[1]Global_Spot Prices'!$B:$B,'[1]Global_Spot Prices'!$H:$H)</f>
        <v>65.959999999999994</v>
      </c>
      <c r="F1672">
        <f>_xlfn.XLOOKUP(A1672,'[1]Global_Spot Prices'!$B:$B,'[1]Global_Spot Prices'!$I:$I)</f>
        <v>74.55</v>
      </c>
      <c r="G1672" cm="1">
        <f t="array" ref="G1672">_xlfn.XLOOKUP(TEXT(A1672, "mmm-yy"), TEXT([2]RUNS!$B$5:$B$208, "mmm-yy"), [2]RUNS!$D$5:$D$208, "Not Found")</f>
        <v>28791.741197661584</v>
      </c>
      <c r="H1672" cm="1">
        <f t="array" ref="H1672">SUMPRODUCT(
    --(TEXT('[3]Global Weekly Stock (EWSuez'!$B$4:$B$2000,"mmm-yy")=TEXT(A1672,"mmm-yy")),
    '[3]Global Weekly Stock (EWSuez'!$E$4:$E$2000)
/
SUMPRODUCT(
    --(TEXT('[3]Global Weekly Stock (EWSuez'!$B$4:$B$2000,"mmm-yy")=TEXT(A1672,"mmm-yy"))
)</f>
        <v>12769.5</v>
      </c>
      <c r="I1672">
        <f>_xlfn.XLOOKUP(A1672,[1]ForwardDeriv!$D:$D,[1]ForwardDeriv!$AJ:$AJ)</f>
        <v>0.45000000000000284</v>
      </c>
      <c r="J1672" cm="1">
        <f t="array" ref="J1672">_xlfn.XLOOKUP(TEXT(A1672, "mmm-yy"), TEXT([2]GASOLINE!$B$5:$B$208, "mmm-yy"), [2]GASOLINE!$IR$5:$IR$208, "Not Found")</f>
        <v>233.1275595505021</v>
      </c>
      <c r="K1672" cm="1">
        <f t="array" ref="K1672">_xlfn.XLOOKUP(TEXT(A1672, "mmm-yy"), TEXT([2]GASOLINE!$B$5:$B$208, "mmm-yy"), [2]GASOLINE!$IK$5:$IK$208, "Not Found")</f>
        <v>169.79792859147545</v>
      </c>
      <c r="L1672">
        <f t="shared" si="26"/>
        <v>0</v>
      </c>
      <c r="M1672" cm="1">
        <f t="array" ref="M1672">_xlfn.XLOOKUP(TEXT(A1672, "mmm-yy"), TEXT([2]GASOLINE!$B$5:$B$208, "mmm-yy"), [2]GASOLINE!$C$5:$C$208, "Not Found")</f>
        <v>6858.2314687409453</v>
      </c>
      <c r="N1672" cm="1">
        <f t="array" ref="N1672">_xlfn.XLOOKUP(TEXT(A1672, "mmm-yy"), TEXT([2]RUNS!$B$5:$B$208, "mmm-yy"), [2]RUNS!$BM$5:$BM$208, "Not Found")</f>
        <v>0.79227260888374684</v>
      </c>
    </row>
    <row r="1673" spans="1:14" x14ac:dyDescent="0.25">
      <c r="A1673" s="1">
        <f>'[1]Global_Spot Prices'!$B2982</f>
        <v>44344</v>
      </c>
      <c r="B1673">
        <f>_xlfn.XLOOKUP(A1673,'[1]Global_Spot Prices'!$B:$B,'[1]Global_Spot Prices'!$BS:$BS)</f>
        <v>8.3000000000000114</v>
      </c>
      <c r="C1673">
        <f>_xlfn.XLOOKUP(A1673,'[1]Global_Spot Prices'!$B:$B,'[1]Global_Spot Prices'!$E:$E)</f>
        <v>67.459999999999994</v>
      </c>
      <c r="D1673">
        <f>_xlfn.XLOOKUP(A1673,'[1]Global_Spot Prices'!$B:$B,'[1]Global_Spot Prices'!$D:$D)</f>
        <v>69.504999999999995</v>
      </c>
      <c r="E1673">
        <f>_xlfn.XLOOKUP(A1673,'[1]Global_Spot Prices'!$B:$B,'[1]Global_Spot Prices'!$H:$H)</f>
        <v>67.14</v>
      </c>
      <c r="F1673">
        <f>_xlfn.XLOOKUP(A1673,'[1]Global_Spot Prices'!$B:$B,'[1]Global_Spot Prices'!$I:$I)</f>
        <v>75.760000000000005</v>
      </c>
      <c r="G1673" cm="1">
        <f t="array" ref="G1673">_xlfn.XLOOKUP(TEXT(A1673, "mmm-yy"), TEXT([2]RUNS!$B$5:$B$208, "mmm-yy"), [2]RUNS!$D$5:$D$208, "Not Found")</f>
        <v>28791.741197661584</v>
      </c>
      <c r="H1673" cm="1">
        <f t="array" ref="H1673">SUMPRODUCT(
    --(TEXT('[3]Global Weekly Stock (EWSuez'!$B$4:$B$2000,"mmm-yy")=TEXT(A1673,"mmm-yy")),
    '[3]Global Weekly Stock (EWSuez'!$E$4:$E$2000)
/
SUMPRODUCT(
    --(TEXT('[3]Global Weekly Stock (EWSuez'!$B$4:$B$2000,"mmm-yy")=TEXT(A1673,"mmm-yy"))
)</f>
        <v>12769.5</v>
      </c>
      <c r="I1673">
        <f>_xlfn.XLOOKUP(A1673,[1]ForwardDeriv!$D:$D,[1]ForwardDeriv!$AJ:$AJ)</f>
        <v>0.45999999999999375</v>
      </c>
      <c r="J1673" cm="1">
        <f t="array" ref="J1673">_xlfn.XLOOKUP(TEXT(A1673, "mmm-yy"), TEXT([2]GASOLINE!$B$5:$B$208, "mmm-yy"), [2]GASOLINE!$IR$5:$IR$208, "Not Found")</f>
        <v>233.1275595505021</v>
      </c>
      <c r="K1673" cm="1">
        <f t="array" ref="K1673">_xlfn.XLOOKUP(TEXT(A1673, "mmm-yy"), TEXT([2]GASOLINE!$B$5:$B$208, "mmm-yy"), [2]GASOLINE!$IK$5:$IK$208, "Not Found")</f>
        <v>169.79792859147545</v>
      </c>
      <c r="L1673">
        <f t="shared" si="26"/>
        <v>0</v>
      </c>
      <c r="M1673" cm="1">
        <f t="array" ref="M1673">_xlfn.XLOOKUP(TEXT(A1673, "mmm-yy"), TEXT([2]GASOLINE!$B$5:$B$208, "mmm-yy"), [2]GASOLINE!$C$5:$C$208, "Not Found")</f>
        <v>6858.2314687409453</v>
      </c>
      <c r="N1673" cm="1">
        <f t="array" ref="N1673">_xlfn.XLOOKUP(TEXT(A1673, "mmm-yy"), TEXT([2]RUNS!$B$5:$B$208, "mmm-yy"), [2]RUNS!$BM$5:$BM$208, "Not Found")</f>
        <v>0.79227260888374684</v>
      </c>
    </row>
    <row r="1674" spans="1:14" x14ac:dyDescent="0.25">
      <c r="A1674" s="1">
        <f>'[1]Global_Spot Prices'!$B2983</f>
        <v>44347</v>
      </c>
      <c r="B1674">
        <f>_xlfn.XLOOKUP(A1674,'[1]Global_Spot Prices'!$B:$B,'[1]Global_Spot Prices'!$BS:$BS)</f>
        <v>6.789999999999992</v>
      </c>
      <c r="C1674">
        <f>_xlfn.XLOOKUP(A1674,'[1]Global_Spot Prices'!$B:$B,'[1]Global_Spot Prices'!$E:$E)</f>
        <v>67.900000000000006</v>
      </c>
      <c r="D1674" t="str">
        <f>_xlfn.XLOOKUP(A1674,'[1]Global_Spot Prices'!$B:$B,'[1]Global_Spot Prices'!$D:$D)</f>
        <v/>
      </c>
      <c r="E1674">
        <f>_xlfn.XLOOKUP(A1674,'[1]Global_Spot Prices'!$B:$B,'[1]Global_Spot Prices'!$H:$H)</f>
        <v>67.66</v>
      </c>
      <c r="F1674">
        <f>_xlfn.XLOOKUP(A1674,'[1]Global_Spot Prices'!$B:$B,'[1]Global_Spot Prices'!$I:$I)</f>
        <v>74.69</v>
      </c>
      <c r="G1674" cm="1">
        <f t="array" ref="G1674">_xlfn.XLOOKUP(TEXT(A1674, "mmm-yy"), TEXT([2]RUNS!$B$5:$B$208, "mmm-yy"), [2]RUNS!$D$5:$D$208, "Not Found")</f>
        <v>28791.741197661584</v>
      </c>
      <c r="H1674" cm="1">
        <f t="array" ref="H1674">SUMPRODUCT(
    --(TEXT('[3]Global Weekly Stock (EWSuez'!$B$4:$B$2000,"mmm-yy")=TEXT(A1674,"mmm-yy")),
    '[3]Global Weekly Stock (EWSuez'!$E$4:$E$2000)
/
SUMPRODUCT(
    --(TEXT('[3]Global Weekly Stock (EWSuez'!$B$4:$B$2000,"mmm-yy")=TEXT(A1674,"mmm-yy"))
)</f>
        <v>12769.5</v>
      </c>
      <c r="I1674">
        <f>_xlfn.XLOOKUP(A1674,[1]ForwardDeriv!$D:$D,[1]ForwardDeriv!$AJ:$AJ)</f>
        <v>0.29999999999999716</v>
      </c>
      <c r="J1674" cm="1">
        <f t="array" ref="J1674">_xlfn.XLOOKUP(TEXT(A1674, "mmm-yy"), TEXT([2]GASOLINE!$B$5:$B$208, "mmm-yy"), [2]GASOLINE!$IR$5:$IR$208, "Not Found")</f>
        <v>233.1275595505021</v>
      </c>
      <c r="K1674" cm="1">
        <f t="array" ref="K1674">_xlfn.XLOOKUP(TEXT(A1674, "mmm-yy"), TEXT([2]GASOLINE!$B$5:$B$208, "mmm-yy"), [2]GASOLINE!$IK$5:$IK$208, "Not Found")</f>
        <v>169.79792859147545</v>
      </c>
      <c r="L1674">
        <f t="shared" si="26"/>
        <v>0</v>
      </c>
      <c r="M1674" cm="1">
        <f t="array" ref="M1674">_xlfn.XLOOKUP(TEXT(A1674, "mmm-yy"), TEXT([2]GASOLINE!$B$5:$B$208, "mmm-yy"), [2]GASOLINE!$C$5:$C$208, "Not Found")</f>
        <v>6858.2314687409453</v>
      </c>
      <c r="N1674" cm="1">
        <f t="array" ref="N1674">_xlfn.XLOOKUP(TEXT(A1674, "mmm-yy"), TEXT([2]RUNS!$B$5:$B$208, "mmm-yy"), [2]RUNS!$BM$5:$BM$208, "Not Found")</f>
        <v>0.79227260888374684</v>
      </c>
    </row>
    <row r="1675" spans="1:14" x14ac:dyDescent="0.25">
      <c r="A1675" s="1">
        <f>'[1]Global_Spot Prices'!$B2984</f>
        <v>44348</v>
      </c>
      <c r="B1675">
        <f ca="1">_xlfn.XLOOKUP(A1675,'[1]Global_Spot Prices'!$B:$B,'[1]Global_Spot Prices'!$BS:$BS)</f>
        <v>6.2800000000000011</v>
      </c>
      <c r="C1675">
        <f>_xlfn.XLOOKUP(A1675,'[1]Global_Spot Prices'!$B:$B,'[1]Global_Spot Prices'!$E:$E)</f>
        <v>69.06</v>
      </c>
      <c r="D1675">
        <f>_xlfn.XLOOKUP(A1675,'[1]Global_Spot Prices'!$B:$B,'[1]Global_Spot Prices'!$D:$D)</f>
        <v>69.319999999999993</v>
      </c>
      <c r="E1675">
        <f>_xlfn.XLOOKUP(A1675,'[1]Global_Spot Prices'!$B:$B,'[1]Global_Spot Prices'!$H:$H)</f>
        <v>68.88</v>
      </c>
      <c r="F1675">
        <f>_xlfn.XLOOKUP(A1675,'[1]Global_Spot Prices'!$B:$B,'[1]Global_Spot Prices'!$I:$I)</f>
        <v>75.34</v>
      </c>
      <c r="G1675" cm="1">
        <f t="array" ref="G1675">_xlfn.XLOOKUP(TEXT(A1675, "mmm-yy"), TEXT([2]RUNS!$B$5:$B$208, "mmm-yy"), [2]RUNS!$D$5:$D$208, "Not Found")</f>
        <v>29531.247736325378</v>
      </c>
      <c r="H1675" cm="1">
        <f t="array" ref="H1675">SUMPRODUCT(
    --(TEXT('[3]Global Weekly Stock (EWSuez'!$B$4:$B$2000,"mmm-yy")=TEXT(A1675,"mmm-yy")),
    '[3]Global Weekly Stock (EWSuez'!$E$4:$E$2000)
/
SUMPRODUCT(
    --(TEXT('[3]Global Weekly Stock (EWSuez'!$B$4:$B$2000,"mmm-yy")=TEXT(A1675,"mmm-yy"))
)</f>
        <v>13142.5</v>
      </c>
      <c r="I1675">
        <f>_xlfn.XLOOKUP(A1675,[1]ForwardDeriv!$D:$D,[1]ForwardDeriv!$AJ:$AJ)</f>
        <v>0.34000000000000341</v>
      </c>
      <c r="J1675" cm="1">
        <f t="array" ref="J1675">_xlfn.XLOOKUP(TEXT(A1675, "mmm-yy"), TEXT([2]GASOLINE!$B$5:$B$208, "mmm-yy"), [2]GASOLINE!$IR$5:$IR$208, "Not Found")</f>
        <v>60.277045065214907</v>
      </c>
      <c r="K1675" cm="1">
        <f t="array" ref="K1675">_xlfn.XLOOKUP(TEXT(A1675, "mmm-yy"), TEXT([2]GASOLINE!$B$5:$B$208, "mmm-yy"), [2]GASOLINE!$IK$5:$IK$208, "Not Found")</f>
        <v>185.11206120685122</v>
      </c>
      <c r="L1675">
        <f t="shared" si="26"/>
        <v>1</v>
      </c>
      <c r="M1675" cm="1">
        <f t="array" ref="M1675">_xlfn.XLOOKUP(TEXT(A1675, "mmm-yy"), TEXT([2]GASOLINE!$B$5:$B$208, "mmm-yy"), [2]GASOLINE!$C$5:$C$208, "Not Found")</f>
        <v>7263.9104499851283</v>
      </c>
      <c r="N1675" cm="1">
        <f t="array" ref="N1675">_xlfn.XLOOKUP(TEXT(A1675, "mmm-yy"), TEXT([2]RUNS!$B$5:$B$208, "mmm-yy"), [2]RUNS!$BM$5:$BM$208, "Not Found")</f>
        <v>0.81231117207520842</v>
      </c>
    </row>
    <row r="1676" spans="1:14" x14ac:dyDescent="0.25">
      <c r="A1676" s="1">
        <f>'[1]Global_Spot Prices'!$B2985</f>
        <v>44349</v>
      </c>
      <c r="B1676">
        <f>_xlfn.XLOOKUP(A1676,'[1]Global_Spot Prices'!$B:$B,'[1]Global_Spot Prices'!$BS:$BS)</f>
        <v>6.269999999999996</v>
      </c>
      <c r="C1676">
        <f>_xlfn.XLOOKUP(A1676,'[1]Global_Spot Prices'!$B:$B,'[1]Global_Spot Prices'!$E:$E)</f>
        <v>69.19</v>
      </c>
      <c r="D1676">
        <f>_xlfn.XLOOKUP(A1676,'[1]Global_Spot Prices'!$B:$B,'[1]Global_Spot Prices'!$D:$D)</f>
        <v>69.87</v>
      </c>
      <c r="E1676">
        <f>_xlfn.XLOOKUP(A1676,'[1]Global_Spot Prices'!$B:$B,'[1]Global_Spot Prices'!$H:$H)</f>
        <v>68.989999999999995</v>
      </c>
      <c r="F1676">
        <f>_xlfn.XLOOKUP(A1676,'[1]Global_Spot Prices'!$B:$B,'[1]Global_Spot Prices'!$I:$I)</f>
        <v>75.459999999999994</v>
      </c>
      <c r="G1676" cm="1">
        <f t="array" ref="G1676">_xlfn.XLOOKUP(TEXT(A1676, "mmm-yy"), TEXT([2]RUNS!$B$5:$B$208, "mmm-yy"), [2]RUNS!$D$5:$D$208, "Not Found")</f>
        <v>29531.247736325378</v>
      </c>
      <c r="H1676" cm="1">
        <f t="array" ref="H1676">SUMPRODUCT(
    --(TEXT('[3]Global Weekly Stock (EWSuez'!$B$4:$B$2000,"mmm-yy")=TEXT(A1676,"mmm-yy")),
    '[3]Global Weekly Stock (EWSuez'!$E$4:$E$2000)
/
SUMPRODUCT(
    --(TEXT('[3]Global Weekly Stock (EWSuez'!$B$4:$B$2000,"mmm-yy")=TEXT(A1676,"mmm-yy"))
)</f>
        <v>13142.5</v>
      </c>
      <c r="I1676">
        <f>_xlfn.XLOOKUP(A1676,[1]ForwardDeriv!$D:$D,[1]ForwardDeriv!$AJ:$AJ)</f>
        <v>0.37000000000000455</v>
      </c>
      <c r="J1676" cm="1">
        <f t="array" ref="J1676">_xlfn.XLOOKUP(TEXT(A1676, "mmm-yy"), TEXT([2]GASOLINE!$B$5:$B$208, "mmm-yy"), [2]GASOLINE!$IR$5:$IR$208, "Not Found")</f>
        <v>60.277045065214907</v>
      </c>
      <c r="K1676" cm="1">
        <f t="array" ref="K1676">_xlfn.XLOOKUP(TEXT(A1676, "mmm-yy"), TEXT([2]GASOLINE!$B$5:$B$208, "mmm-yy"), [2]GASOLINE!$IK$5:$IK$208, "Not Found")</f>
        <v>185.11206120685122</v>
      </c>
      <c r="L1676">
        <f t="shared" si="26"/>
        <v>1</v>
      </c>
      <c r="M1676" cm="1">
        <f t="array" ref="M1676">_xlfn.XLOOKUP(TEXT(A1676, "mmm-yy"), TEXT([2]GASOLINE!$B$5:$B$208, "mmm-yy"), [2]GASOLINE!$C$5:$C$208, "Not Found")</f>
        <v>7263.9104499851283</v>
      </c>
      <c r="N1676" cm="1">
        <f t="array" ref="N1676">_xlfn.XLOOKUP(TEXT(A1676, "mmm-yy"), TEXT([2]RUNS!$B$5:$B$208, "mmm-yy"), [2]RUNS!$BM$5:$BM$208, "Not Found")</f>
        <v>0.81231117207520842</v>
      </c>
    </row>
    <row r="1677" spans="1:14" x14ac:dyDescent="0.25">
      <c r="A1677" s="1">
        <f>'[1]Global_Spot Prices'!$B2986</f>
        <v>44350</v>
      </c>
      <c r="B1677">
        <f>_xlfn.XLOOKUP(A1677,'[1]Global_Spot Prices'!$B:$B,'[1]Global_Spot Prices'!$BS:$BS)</f>
        <v>6.6650000000000063</v>
      </c>
      <c r="C1677">
        <f>_xlfn.XLOOKUP(A1677,'[1]Global_Spot Prices'!$B:$B,'[1]Global_Spot Prices'!$E:$E)</f>
        <v>69.944999999999993</v>
      </c>
      <c r="D1677">
        <f>_xlfn.XLOOKUP(A1677,'[1]Global_Spot Prices'!$B:$B,'[1]Global_Spot Prices'!$D:$D)</f>
        <v>69.885000000000005</v>
      </c>
      <c r="E1677">
        <f>_xlfn.XLOOKUP(A1677,'[1]Global_Spot Prices'!$B:$B,'[1]Global_Spot Prices'!$H:$H)</f>
        <v>69.55</v>
      </c>
      <c r="F1677">
        <f ca="1">_xlfn.XLOOKUP(A1677,'[1]Global_Spot Prices'!$B:$B,'[1]Global_Spot Prices'!$I:$I)</f>
        <v>76.61</v>
      </c>
      <c r="G1677" cm="1">
        <f t="array" ref="G1677">_xlfn.XLOOKUP(TEXT(A1677, "mmm-yy"), TEXT([2]RUNS!$B$5:$B$208, "mmm-yy"), [2]RUNS!$D$5:$D$208, "Not Found")</f>
        <v>29531.247736325378</v>
      </c>
      <c r="H1677" cm="1">
        <f t="array" ref="H1677">SUMPRODUCT(
    --(TEXT('[3]Global Weekly Stock (EWSuez'!$B$4:$B$2000,"mmm-yy")=TEXT(A1677,"mmm-yy")),
    '[3]Global Weekly Stock (EWSuez'!$E$4:$E$2000)
/
SUMPRODUCT(
    --(TEXT('[3]Global Weekly Stock (EWSuez'!$B$4:$B$2000,"mmm-yy")=TEXT(A1677,"mmm-yy"))
)</f>
        <v>13142.5</v>
      </c>
      <c r="I1677">
        <f>_xlfn.XLOOKUP(A1677,[1]ForwardDeriv!$D:$D,[1]ForwardDeriv!$AJ:$AJ)</f>
        <v>0.37999999999999545</v>
      </c>
      <c r="J1677" cm="1">
        <f t="array" ref="J1677">_xlfn.XLOOKUP(TEXT(A1677, "mmm-yy"), TEXT([2]GASOLINE!$B$5:$B$208, "mmm-yy"), [2]GASOLINE!$IR$5:$IR$208, "Not Found")</f>
        <v>60.277045065214907</v>
      </c>
      <c r="K1677" cm="1">
        <f t="array" ref="K1677">_xlfn.XLOOKUP(TEXT(A1677, "mmm-yy"), TEXT([2]GASOLINE!$B$5:$B$208, "mmm-yy"), [2]GASOLINE!$IK$5:$IK$208, "Not Found")</f>
        <v>185.11206120685122</v>
      </c>
      <c r="L1677">
        <f t="shared" si="26"/>
        <v>1</v>
      </c>
      <c r="M1677" cm="1">
        <f t="array" ref="M1677">_xlfn.XLOOKUP(TEXT(A1677, "mmm-yy"), TEXT([2]GASOLINE!$B$5:$B$208, "mmm-yy"), [2]GASOLINE!$C$5:$C$208, "Not Found")</f>
        <v>7263.9104499851283</v>
      </c>
      <c r="N1677" cm="1">
        <f t="array" ref="N1677">_xlfn.XLOOKUP(TEXT(A1677, "mmm-yy"), TEXT([2]RUNS!$B$5:$B$208, "mmm-yy"), [2]RUNS!$BM$5:$BM$208, "Not Found")</f>
        <v>0.81231117207520842</v>
      </c>
    </row>
    <row r="1678" spans="1:14" x14ac:dyDescent="0.25">
      <c r="A1678" s="1">
        <f>'[1]Global_Spot Prices'!$B2987</f>
        <v>44351</v>
      </c>
      <c r="B1678">
        <f>_xlfn.XLOOKUP(A1678,'[1]Global_Spot Prices'!$B:$B,'[1]Global_Spot Prices'!$BS:$BS)</f>
        <v>6.75</v>
      </c>
      <c r="C1678">
        <f>_xlfn.XLOOKUP(A1678,'[1]Global_Spot Prices'!$B:$B,'[1]Global_Spot Prices'!$E:$E)</f>
        <v>70.09</v>
      </c>
      <c r="D1678">
        <f>_xlfn.XLOOKUP(A1678,'[1]Global_Spot Prices'!$B:$B,'[1]Global_Spot Prices'!$D:$D)</f>
        <v>70.680000000000007</v>
      </c>
      <c r="E1678">
        <f>_xlfn.XLOOKUP(A1678,'[1]Global_Spot Prices'!$B:$B,'[1]Global_Spot Prices'!$H:$H)</f>
        <v>69.709999999999994</v>
      </c>
      <c r="F1678">
        <f>_xlfn.XLOOKUP(A1678,'[1]Global_Spot Prices'!$B:$B,'[1]Global_Spot Prices'!$I:$I)</f>
        <v>76.84</v>
      </c>
      <c r="G1678" cm="1">
        <f t="array" ref="G1678">_xlfn.XLOOKUP(TEXT(A1678, "mmm-yy"), TEXT([2]RUNS!$B$5:$B$208, "mmm-yy"), [2]RUNS!$D$5:$D$208, "Not Found")</f>
        <v>29531.247736325378</v>
      </c>
      <c r="H1678" cm="1">
        <f t="array" ref="H1678">SUMPRODUCT(
    --(TEXT('[3]Global Weekly Stock (EWSuez'!$B$4:$B$2000,"mmm-yy")=TEXT(A1678,"mmm-yy")),
    '[3]Global Weekly Stock (EWSuez'!$E$4:$E$2000)
/
SUMPRODUCT(
    --(TEXT('[3]Global Weekly Stock (EWSuez'!$B$4:$B$2000,"mmm-yy")=TEXT(A1678,"mmm-yy"))
)</f>
        <v>13142.5</v>
      </c>
      <c r="I1678">
        <f>_xlfn.XLOOKUP(A1678,[1]ForwardDeriv!$D:$D,[1]ForwardDeriv!$AJ:$AJ)</f>
        <v>0.42000000000000171</v>
      </c>
      <c r="J1678" cm="1">
        <f t="array" ref="J1678">_xlfn.XLOOKUP(TEXT(A1678, "mmm-yy"), TEXT([2]GASOLINE!$B$5:$B$208, "mmm-yy"), [2]GASOLINE!$IR$5:$IR$208, "Not Found")</f>
        <v>60.277045065214907</v>
      </c>
      <c r="K1678" cm="1">
        <f t="array" ref="K1678">_xlfn.XLOOKUP(TEXT(A1678, "mmm-yy"), TEXT([2]GASOLINE!$B$5:$B$208, "mmm-yy"), [2]GASOLINE!$IK$5:$IK$208, "Not Found")</f>
        <v>185.11206120685122</v>
      </c>
      <c r="L1678">
        <f t="shared" si="26"/>
        <v>1</v>
      </c>
      <c r="M1678" cm="1">
        <f t="array" ref="M1678">_xlfn.XLOOKUP(TEXT(A1678, "mmm-yy"), TEXT([2]GASOLINE!$B$5:$B$208, "mmm-yy"), [2]GASOLINE!$C$5:$C$208, "Not Found")</f>
        <v>7263.9104499851283</v>
      </c>
      <c r="N1678" cm="1">
        <f t="array" ref="N1678">_xlfn.XLOOKUP(TEXT(A1678, "mmm-yy"), TEXT([2]RUNS!$B$5:$B$208, "mmm-yy"), [2]RUNS!$BM$5:$BM$208, "Not Found")</f>
        <v>0.81231117207520842</v>
      </c>
    </row>
    <row r="1679" spans="1:14" x14ac:dyDescent="0.25">
      <c r="A1679" s="1">
        <f>'[1]Global_Spot Prices'!$B2988</f>
        <v>44354</v>
      </c>
      <c r="B1679">
        <f>_xlfn.XLOOKUP(A1679,'[1]Global_Spot Prices'!$B:$B,'[1]Global_Spot Prices'!$BS:$BS)</f>
        <v>6.5799999999999983</v>
      </c>
      <c r="C1679">
        <f>_xlfn.XLOOKUP(A1679,'[1]Global_Spot Prices'!$B:$B,'[1]Global_Spot Prices'!$E:$E)</f>
        <v>70</v>
      </c>
      <c r="D1679">
        <f>_xlfn.XLOOKUP(A1679,'[1]Global_Spot Prices'!$B:$B,'[1]Global_Spot Prices'!$D:$D)</f>
        <v>70.515000000000001</v>
      </c>
      <c r="E1679">
        <f>_xlfn.XLOOKUP(A1679,'[1]Global_Spot Prices'!$B:$B,'[1]Global_Spot Prices'!$H:$H)</f>
        <v>69.36</v>
      </c>
      <c r="F1679">
        <f>_xlfn.XLOOKUP(A1679,'[1]Global_Spot Prices'!$B:$B,'[1]Global_Spot Prices'!$I:$I)</f>
        <v>76.58</v>
      </c>
      <c r="G1679" cm="1">
        <f t="array" ref="G1679">_xlfn.XLOOKUP(TEXT(A1679, "mmm-yy"), TEXT([2]RUNS!$B$5:$B$208, "mmm-yy"), [2]RUNS!$D$5:$D$208, "Not Found")</f>
        <v>29531.247736325378</v>
      </c>
      <c r="H1679" cm="1">
        <f t="array" ref="H1679">SUMPRODUCT(
    --(TEXT('[3]Global Weekly Stock (EWSuez'!$B$4:$B$2000,"mmm-yy")=TEXT(A1679,"mmm-yy")),
    '[3]Global Weekly Stock (EWSuez'!$E$4:$E$2000)
/
SUMPRODUCT(
    --(TEXT('[3]Global Weekly Stock (EWSuez'!$B$4:$B$2000,"mmm-yy")=TEXT(A1679,"mmm-yy"))
)</f>
        <v>13142.5</v>
      </c>
      <c r="I1679">
        <f>_xlfn.XLOOKUP(A1679,[1]ForwardDeriv!$D:$D,[1]ForwardDeriv!$AJ:$AJ)</f>
        <v>0.37000000000000455</v>
      </c>
      <c r="J1679" cm="1">
        <f t="array" ref="J1679">_xlfn.XLOOKUP(TEXT(A1679, "mmm-yy"), TEXT([2]GASOLINE!$B$5:$B$208, "mmm-yy"), [2]GASOLINE!$IR$5:$IR$208, "Not Found")</f>
        <v>60.277045065214907</v>
      </c>
      <c r="K1679" cm="1">
        <f t="array" ref="K1679">_xlfn.XLOOKUP(TEXT(A1679, "mmm-yy"), TEXT([2]GASOLINE!$B$5:$B$208, "mmm-yy"), [2]GASOLINE!$IK$5:$IK$208, "Not Found")</f>
        <v>185.11206120685122</v>
      </c>
      <c r="L1679">
        <f t="shared" si="26"/>
        <v>1</v>
      </c>
      <c r="M1679" cm="1">
        <f t="array" ref="M1679">_xlfn.XLOOKUP(TEXT(A1679, "mmm-yy"), TEXT([2]GASOLINE!$B$5:$B$208, "mmm-yy"), [2]GASOLINE!$C$5:$C$208, "Not Found")</f>
        <v>7263.9104499851283</v>
      </c>
      <c r="N1679" cm="1">
        <f t="array" ref="N1679">_xlfn.XLOOKUP(TEXT(A1679, "mmm-yy"), TEXT([2]RUNS!$B$5:$B$208, "mmm-yy"), [2]RUNS!$BM$5:$BM$208, "Not Found")</f>
        <v>0.81231117207520842</v>
      </c>
    </row>
    <row r="1680" spans="1:14" x14ac:dyDescent="0.25">
      <c r="A1680" s="1">
        <f>'[1]Global_Spot Prices'!$B2989</f>
        <v>44355</v>
      </c>
      <c r="B1680">
        <f>_xlfn.XLOOKUP(A1680,'[1]Global_Spot Prices'!$B:$B,'[1]Global_Spot Prices'!$BS:$BS)</f>
        <v>6.4699999999999989</v>
      </c>
      <c r="C1680">
        <f>_xlfn.XLOOKUP(A1680,'[1]Global_Spot Prices'!$B:$B,'[1]Global_Spot Prices'!$E:$E)</f>
        <v>69.3</v>
      </c>
      <c r="D1680">
        <f>_xlfn.XLOOKUP(A1680,'[1]Global_Spot Prices'!$B:$B,'[1]Global_Spot Prices'!$D:$D)</f>
        <v>70.92</v>
      </c>
      <c r="E1680">
        <f>_xlfn.XLOOKUP(A1680,'[1]Global_Spot Prices'!$B:$B,'[1]Global_Spot Prices'!$H:$H)</f>
        <v>68.83</v>
      </c>
      <c r="F1680">
        <f>_xlfn.XLOOKUP(A1680,'[1]Global_Spot Prices'!$B:$B,'[1]Global_Spot Prices'!$I:$I)</f>
        <v>75.77</v>
      </c>
      <c r="G1680" cm="1">
        <f t="array" ref="G1680">_xlfn.XLOOKUP(TEXT(A1680, "mmm-yy"), TEXT([2]RUNS!$B$5:$B$208, "mmm-yy"), [2]RUNS!$D$5:$D$208, "Not Found")</f>
        <v>29531.247736325378</v>
      </c>
      <c r="H1680" cm="1">
        <f t="array" ref="H1680">SUMPRODUCT(
    --(TEXT('[3]Global Weekly Stock (EWSuez'!$B$4:$B$2000,"mmm-yy")=TEXT(A1680,"mmm-yy")),
    '[3]Global Weekly Stock (EWSuez'!$E$4:$E$2000)
/
SUMPRODUCT(
    --(TEXT('[3]Global Weekly Stock (EWSuez'!$B$4:$B$2000,"mmm-yy")=TEXT(A1680,"mmm-yy"))
)</f>
        <v>13142.5</v>
      </c>
      <c r="I1680">
        <f>_xlfn.XLOOKUP(A1680,[1]ForwardDeriv!$D:$D,[1]ForwardDeriv!$AJ:$AJ)</f>
        <v>0.26000000000000512</v>
      </c>
      <c r="J1680" cm="1">
        <f t="array" ref="J1680">_xlfn.XLOOKUP(TEXT(A1680, "mmm-yy"), TEXT([2]GASOLINE!$B$5:$B$208, "mmm-yy"), [2]GASOLINE!$IR$5:$IR$208, "Not Found")</f>
        <v>60.277045065214907</v>
      </c>
      <c r="K1680" cm="1">
        <f t="array" ref="K1680">_xlfn.XLOOKUP(TEXT(A1680, "mmm-yy"), TEXT([2]GASOLINE!$B$5:$B$208, "mmm-yy"), [2]GASOLINE!$IK$5:$IK$208, "Not Found")</f>
        <v>185.11206120685122</v>
      </c>
      <c r="L1680">
        <f t="shared" si="26"/>
        <v>1</v>
      </c>
      <c r="M1680" cm="1">
        <f t="array" ref="M1680">_xlfn.XLOOKUP(TEXT(A1680, "mmm-yy"), TEXT([2]GASOLINE!$B$5:$B$208, "mmm-yy"), [2]GASOLINE!$C$5:$C$208, "Not Found")</f>
        <v>7263.9104499851283</v>
      </c>
      <c r="N1680" cm="1">
        <f t="array" ref="N1680">_xlfn.XLOOKUP(TEXT(A1680, "mmm-yy"), TEXT([2]RUNS!$B$5:$B$208, "mmm-yy"), [2]RUNS!$BM$5:$BM$208, "Not Found")</f>
        <v>0.81231117207520842</v>
      </c>
    </row>
    <row r="1681" spans="1:14" x14ac:dyDescent="0.25">
      <c r="A1681" s="1">
        <f>'[1]Global_Spot Prices'!$B2990</f>
        <v>44356</v>
      </c>
      <c r="B1681">
        <f>_xlfn.XLOOKUP(A1681,'[1]Global_Spot Prices'!$B:$B,'[1]Global_Spot Prices'!$BS:$BS)</f>
        <v>7.3000000000000114</v>
      </c>
      <c r="C1681">
        <f>_xlfn.XLOOKUP(A1681,'[1]Global_Spot Prices'!$B:$B,'[1]Global_Spot Prices'!$E:$E)</f>
        <v>71.099999999999994</v>
      </c>
      <c r="D1681">
        <f>_xlfn.XLOOKUP(A1681,'[1]Global_Spot Prices'!$B:$B,'[1]Global_Spot Prices'!$D:$D)</f>
        <v>71.39</v>
      </c>
      <c r="E1681">
        <f>_xlfn.XLOOKUP(A1681,'[1]Global_Spot Prices'!$B:$B,'[1]Global_Spot Prices'!$H:$H)</f>
        <v>70.349999999999994</v>
      </c>
      <c r="F1681">
        <f>_xlfn.XLOOKUP(A1681,'[1]Global_Spot Prices'!$B:$B,'[1]Global_Spot Prices'!$I:$I)</f>
        <v>78.400000000000006</v>
      </c>
      <c r="G1681" cm="1">
        <f t="array" ref="G1681">_xlfn.XLOOKUP(TEXT(A1681, "mmm-yy"), TEXT([2]RUNS!$B$5:$B$208, "mmm-yy"), [2]RUNS!$D$5:$D$208, "Not Found")</f>
        <v>29531.247736325378</v>
      </c>
      <c r="H1681" cm="1">
        <f t="array" ref="H1681">SUMPRODUCT(
    --(TEXT('[3]Global Weekly Stock (EWSuez'!$B$4:$B$2000,"mmm-yy")=TEXT(A1681,"mmm-yy")),
    '[3]Global Weekly Stock (EWSuez'!$E$4:$E$2000)
/
SUMPRODUCT(
    --(TEXT('[3]Global Weekly Stock (EWSuez'!$B$4:$B$2000,"mmm-yy")=TEXT(A1681,"mmm-yy"))
)</f>
        <v>13142.5</v>
      </c>
      <c r="I1681">
        <f>_xlfn.XLOOKUP(A1681,[1]ForwardDeriv!$D:$D,[1]ForwardDeriv!$AJ:$AJ)</f>
        <v>0.43000000000000682</v>
      </c>
      <c r="J1681" cm="1">
        <f t="array" ref="J1681">_xlfn.XLOOKUP(TEXT(A1681, "mmm-yy"), TEXT([2]GASOLINE!$B$5:$B$208, "mmm-yy"), [2]GASOLINE!$IR$5:$IR$208, "Not Found")</f>
        <v>60.277045065214907</v>
      </c>
      <c r="K1681" cm="1">
        <f t="array" ref="K1681">_xlfn.XLOOKUP(TEXT(A1681, "mmm-yy"), TEXT([2]GASOLINE!$B$5:$B$208, "mmm-yy"), [2]GASOLINE!$IK$5:$IK$208, "Not Found")</f>
        <v>185.11206120685122</v>
      </c>
      <c r="L1681">
        <f t="shared" si="26"/>
        <v>1</v>
      </c>
      <c r="M1681" cm="1">
        <f t="array" ref="M1681">_xlfn.XLOOKUP(TEXT(A1681, "mmm-yy"), TEXT([2]GASOLINE!$B$5:$B$208, "mmm-yy"), [2]GASOLINE!$C$5:$C$208, "Not Found")</f>
        <v>7263.9104499851283</v>
      </c>
      <c r="N1681" cm="1">
        <f t="array" ref="N1681">_xlfn.XLOOKUP(TEXT(A1681, "mmm-yy"), TEXT([2]RUNS!$B$5:$B$208, "mmm-yy"), [2]RUNS!$BM$5:$BM$208, "Not Found")</f>
        <v>0.81231117207520842</v>
      </c>
    </row>
    <row r="1682" spans="1:14" x14ac:dyDescent="0.25">
      <c r="A1682" s="1">
        <f>'[1]Global_Spot Prices'!$B2991</f>
        <v>44357</v>
      </c>
      <c r="B1682">
        <f>_xlfn.XLOOKUP(A1682,'[1]Global_Spot Prices'!$B:$B,'[1]Global_Spot Prices'!$BS:$BS)</f>
        <v>7.0849999999999937</v>
      </c>
      <c r="C1682">
        <f>_xlfn.XLOOKUP(A1682,'[1]Global_Spot Prices'!$B:$B,'[1]Global_Spot Prices'!$E:$E)</f>
        <v>70.655000000000001</v>
      </c>
      <c r="D1682">
        <f>_xlfn.XLOOKUP(A1682,'[1]Global_Spot Prices'!$B:$B,'[1]Global_Spot Prices'!$D:$D)</f>
        <v>71.709999999999994</v>
      </c>
      <c r="E1682">
        <f>_xlfn.XLOOKUP(A1682,'[1]Global_Spot Prices'!$B:$B,'[1]Global_Spot Prices'!$H:$H)</f>
        <v>69.75</v>
      </c>
      <c r="F1682">
        <f>_xlfn.XLOOKUP(A1682,'[1]Global_Spot Prices'!$B:$B,'[1]Global_Spot Prices'!$I:$I)</f>
        <v>77.739999999999995</v>
      </c>
      <c r="G1682" cm="1">
        <f t="array" ref="G1682">_xlfn.XLOOKUP(TEXT(A1682, "mmm-yy"), TEXT([2]RUNS!$B$5:$B$208, "mmm-yy"), [2]RUNS!$D$5:$D$208, "Not Found")</f>
        <v>29531.247736325378</v>
      </c>
      <c r="H1682" cm="1">
        <f t="array" ref="H1682">SUMPRODUCT(
    --(TEXT('[3]Global Weekly Stock (EWSuez'!$B$4:$B$2000,"mmm-yy")=TEXT(A1682,"mmm-yy")),
    '[3]Global Weekly Stock (EWSuez'!$E$4:$E$2000)
/
SUMPRODUCT(
    --(TEXT('[3]Global Weekly Stock (EWSuez'!$B$4:$B$2000,"mmm-yy")=TEXT(A1682,"mmm-yy"))
)</f>
        <v>13142.5</v>
      </c>
      <c r="I1682">
        <f>_xlfn.XLOOKUP(A1682,[1]ForwardDeriv!$D:$D,[1]ForwardDeriv!$AJ:$AJ)</f>
        <v>0.42000000000000171</v>
      </c>
      <c r="J1682" cm="1">
        <f t="array" ref="J1682">_xlfn.XLOOKUP(TEXT(A1682, "mmm-yy"), TEXT([2]GASOLINE!$B$5:$B$208, "mmm-yy"), [2]GASOLINE!$IR$5:$IR$208, "Not Found")</f>
        <v>60.277045065214907</v>
      </c>
      <c r="K1682" cm="1">
        <f t="array" ref="K1682">_xlfn.XLOOKUP(TEXT(A1682, "mmm-yy"), TEXT([2]GASOLINE!$B$5:$B$208, "mmm-yy"), [2]GASOLINE!$IK$5:$IK$208, "Not Found")</f>
        <v>185.11206120685122</v>
      </c>
      <c r="L1682">
        <f t="shared" si="26"/>
        <v>1</v>
      </c>
      <c r="M1682" cm="1">
        <f t="array" ref="M1682">_xlfn.XLOOKUP(TEXT(A1682, "mmm-yy"), TEXT([2]GASOLINE!$B$5:$B$208, "mmm-yy"), [2]GASOLINE!$C$5:$C$208, "Not Found")</f>
        <v>7263.9104499851283</v>
      </c>
      <c r="N1682" cm="1">
        <f t="array" ref="N1682">_xlfn.XLOOKUP(TEXT(A1682, "mmm-yy"), TEXT([2]RUNS!$B$5:$B$208, "mmm-yy"), [2]RUNS!$BM$5:$BM$208, "Not Found")</f>
        <v>0.81231117207520842</v>
      </c>
    </row>
    <row r="1683" spans="1:14" x14ac:dyDescent="0.25">
      <c r="A1683" s="1">
        <f>'[1]Global_Spot Prices'!$B2992</f>
        <v>44358</v>
      </c>
      <c r="B1683">
        <f>_xlfn.XLOOKUP(A1683,'[1]Global_Spot Prices'!$B:$B,'[1]Global_Spot Prices'!$BS:$BS)</f>
        <v>7.3599999999999994</v>
      </c>
      <c r="C1683">
        <f>_xlfn.XLOOKUP(A1683,'[1]Global_Spot Prices'!$B:$B,'[1]Global_Spot Prices'!$E:$E)</f>
        <v>71.16</v>
      </c>
      <c r="D1683">
        <f>_xlfn.XLOOKUP(A1683,'[1]Global_Spot Prices'!$B:$B,'[1]Global_Spot Prices'!$D:$D)</f>
        <v>72.045000000000002</v>
      </c>
      <c r="E1683">
        <f>_xlfn.XLOOKUP(A1683,'[1]Global_Spot Prices'!$B:$B,'[1]Global_Spot Prices'!$H:$H)</f>
        <v>70.260000000000005</v>
      </c>
      <c r="F1683">
        <f>_xlfn.XLOOKUP(A1683,'[1]Global_Spot Prices'!$B:$B,'[1]Global_Spot Prices'!$I:$I)</f>
        <v>78.52</v>
      </c>
      <c r="G1683" cm="1">
        <f t="array" ref="G1683">_xlfn.XLOOKUP(TEXT(A1683, "mmm-yy"), TEXT([2]RUNS!$B$5:$B$208, "mmm-yy"), [2]RUNS!$D$5:$D$208, "Not Found")</f>
        <v>29531.247736325378</v>
      </c>
      <c r="H1683" cm="1">
        <f t="array" ref="H1683">SUMPRODUCT(
    --(TEXT('[3]Global Weekly Stock (EWSuez'!$B$4:$B$2000,"mmm-yy")=TEXT(A1683,"mmm-yy")),
    '[3]Global Weekly Stock (EWSuez'!$E$4:$E$2000)
/
SUMPRODUCT(
    --(TEXT('[3]Global Weekly Stock (EWSuez'!$B$4:$B$2000,"mmm-yy")=TEXT(A1683,"mmm-yy"))
)</f>
        <v>13142.5</v>
      </c>
      <c r="I1683">
        <f>_xlfn.XLOOKUP(A1683,[1]ForwardDeriv!$D:$D,[1]ForwardDeriv!$AJ:$AJ)</f>
        <v>0.46000000000000796</v>
      </c>
      <c r="J1683" cm="1">
        <f t="array" ref="J1683">_xlfn.XLOOKUP(TEXT(A1683, "mmm-yy"), TEXT([2]GASOLINE!$B$5:$B$208, "mmm-yy"), [2]GASOLINE!$IR$5:$IR$208, "Not Found")</f>
        <v>60.277045065214907</v>
      </c>
      <c r="K1683" cm="1">
        <f t="array" ref="K1683">_xlfn.XLOOKUP(TEXT(A1683, "mmm-yy"), TEXT([2]GASOLINE!$B$5:$B$208, "mmm-yy"), [2]GASOLINE!$IK$5:$IK$208, "Not Found")</f>
        <v>185.11206120685122</v>
      </c>
      <c r="L1683">
        <f t="shared" si="26"/>
        <v>1</v>
      </c>
      <c r="M1683" cm="1">
        <f t="array" ref="M1683">_xlfn.XLOOKUP(TEXT(A1683, "mmm-yy"), TEXT([2]GASOLINE!$B$5:$B$208, "mmm-yy"), [2]GASOLINE!$C$5:$C$208, "Not Found")</f>
        <v>7263.9104499851283</v>
      </c>
      <c r="N1683" cm="1">
        <f t="array" ref="N1683">_xlfn.XLOOKUP(TEXT(A1683, "mmm-yy"), TEXT([2]RUNS!$B$5:$B$208, "mmm-yy"), [2]RUNS!$BM$5:$BM$208, "Not Found")</f>
        <v>0.81231117207520842</v>
      </c>
    </row>
    <row r="1684" spans="1:14" x14ac:dyDescent="0.25">
      <c r="A1684" s="1">
        <f>'[1]Global_Spot Prices'!$B2993</f>
        <v>44361</v>
      </c>
      <c r="B1684">
        <f>_xlfn.XLOOKUP(A1684,'[1]Global_Spot Prices'!$B:$B,'[1]Global_Spot Prices'!$BS:$BS)</f>
        <v>7.5599999999999881</v>
      </c>
      <c r="C1684">
        <f>_xlfn.XLOOKUP(A1684,'[1]Global_Spot Prices'!$B:$B,'[1]Global_Spot Prices'!$E:$E)</f>
        <v>72.040000000000006</v>
      </c>
      <c r="D1684">
        <f>_xlfn.XLOOKUP(A1684,'[1]Global_Spot Prices'!$B:$B,'[1]Global_Spot Prices'!$D:$D)</f>
        <v>72.534999999999997</v>
      </c>
      <c r="E1684">
        <f>_xlfn.XLOOKUP(A1684,'[1]Global_Spot Prices'!$B:$B,'[1]Global_Spot Prices'!$H:$H)</f>
        <v>70.53</v>
      </c>
      <c r="F1684">
        <f>_xlfn.XLOOKUP(A1684,'[1]Global_Spot Prices'!$B:$B,'[1]Global_Spot Prices'!$I:$I)</f>
        <v>79.599999999999994</v>
      </c>
      <c r="G1684" cm="1">
        <f t="array" ref="G1684">_xlfn.XLOOKUP(TEXT(A1684, "mmm-yy"), TEXT([2]RUNS!$B$5:$B$208, "mmm-yy"), [2]RUNS!$D$5:$D$208, "Not Found")</f>
        <v>29531.247736325378</v>
      </c>
      <c r="H1684" cm="1">
        <f t="array" ref="H1684">SUMPRODUCT(
    --(TEXT('[3]Global Weekly Stock (EWSuez'!$B$4:$B$2000,"mmm-yy")=TEXT(A1684,"mmm-yy")),
    '[3]Global Weekly Stock (EWSuez'!$E$4:$E$2000)
/
SUMPRODUCT(
    --(TEXT('[3]Global Weekly Stock (EWSuez'!$B$4:$B$2000,"mmm-yy")=TEXT(A1684,"mmm-yy"))
)</f>
        <v>13142.5</v>
      </c>
      <c r="I1684">
        <f>_xlfn.XLOOKUP(A1684,[1]ForwardDeriv!$D:$D,[1]ForwardDeriv!$AJ:$AJ)</f>
        <v>0.46999999999999886</v>
      </c>
      <c r="J1684" cm="1">
        <f t="array" ref="J1684">_xlfn.XLOOKUP(TEXT(A1684, "mmm-yy"), TEXT([2]GASOLINE!$B$5:$B$208, "mmm-yy"), [2]GASOLINE!$IR$5:$IR$208, "Not Found")</f>
        <v>60.277045065214907</v>
      </c>
      <c r="K1684" cm="1">
        <f t="array" ref="K1684">_xlfn.XLOOKUP(TEXT(A1684, "mmm-yy"), TEXT([2]GASOLINE!$B$5:$B$208, "mmm-yy"), [2]GASOLINE!$IK$5:$IK$208, "Not Found")</f>
        <v>185.11206120685122</v>
      </c>
      <c r="L1684">
        <f t="shared" si="26"/>
        <v>1</v>
      </c>
      <c r="M1684" cm="1">
        <f t="array" ref="M1684">_xlfn.XLOOKUP(TEXT(A1684, "mmm-yy"), TEXT([2]GASOLINE!$B$5:$B$208, "mmm-yy"), [2]GASOLINE!$C$5:$C$208, "Not Found")</f>
        <v>7263.9104499851283</v>
      </c>
      <c r="N1684" cm="1">
        <f t="array" ref="N1684">_xlfn.XLOOKUP(TEXT(A1684, "mmm-yy"), TEXT([2]RUNS!$B$5:$B$208, "mmm-yy"), [2]RUNS!$BM$5:$BM$208, "Not Found")</f>
        <v>0.81231117207520842</v>
      </c>
    </row>
    <row r="1685" spans="1:14" x14ac:dyDescent="0.25">
      <c r="A1685" s="1">
        <f>'[1]Global_Spot Prices'!$B2994</f>
        <v>44362</v>
      </c>
      <c r="B1685">
        <f>_xlfn.XLOOKUP(A1685,'[1]Global_Spot Prices'!$B:$B,'[1]Global_Spot Prices'!$BS:$BS)</f>
        <v>6.6150000000000091</v>
      </c>
      <c r="C1685">
        <f>_xlfn.XLOOKUP(A1685,'[1]Global_Spot Prices'!$B:$B,'[1]Global_Spot Prices'!$E:$E)</f>
        <v>71.754999999999995</v>
      </c>
      <c r="D1685">
        <f>_xlfn.XLOOKUP(A1685,'[1]Global_Spot Prices'!$B:$B,'[1]Global_Spot Prices'!$D:$D)</f>
        <v>73.135000000000005</v>
      </c>
      <c r="E1685">
        <f>_xlfn.XLOOKUP(A1685,'[1]Global_Spot Prices'!$B:$B,'[1]Global_Spot Prices'!$H:$H)</f>
        <v>69.42</v>
      </c>
      <c r="F1685">
        <f ca="1">_xlfn.XLOOKUP(A1685,'[1]Global_Spot Prices'!$B:$B,'[1]Global_Spot Prices'!$I:$I)</f>
        <v>78.37</v>
      </c>
      <c r="G1685" cm="1">
        <f t="array" ref="G1685">_xlfn.XLOOKUP(TEXT(A1685, "mmm-yy"), TEXT([2]RUNS!$B$5:$B$208, "mmm-yy"), [2]RUNS!$D$5:$D$208, "Not Found")</f>
        <v>29531.247736325378</v>
      </c>
      <c r="H1685" cm="1">
        <f t="array" ref="H1685">SUMPRODUCT(
    --(TEXT('[3]Global Weekly Stock (EWSuez'!$B$4:$B$2000,"mmm-yy")=TEXT(A1685,"mmm-yy")),
    '[3]Global Weekly Stock (EWSuez'!$E$4:$E$2000)
/
SUMPRODUCT(
    --(TEXT('[3]Global Weekly Stock (EWSuez'!$B$4:$B$2000,"mmm-yy")=TEXT(A1685,"mmm-yy"))
)</f>
        <v>13142.5</v>
      </c>
      <c r="I1685">
        <f>_xlfn.XLOOKUP(A1685,[1]ForwardDeriv!$D:$D,[1]ForwardDeriv!$AJ:$AJ)</f>
        <v>0.28999999999999204</v>
      </c>
      <c r="J1685" cm="1">
        <f t="array" ref="J1685">_xlfn.XLOOKUP(TEXT(A1685, "mmm-yy"), TEXT([2]GASOLINE!$B$5:$B$208, "mmm-yy"), [2]GASOLINE!$IR$5:$IR$208, "Not Found")</f>
        <v>60.277045065214907</v>
      </c>
      <c r="K1685" cm="1">
        <f t="array" ref="K1685">_xlfn.XLOOKUP(TEXT(A1685, "mmm-yy"), TEXT([2]GASOLINE!$B$5:$B$208, "mmm-yy"), [2]GASOLINE!$IK$5:$IK$208, "Not Found")</f>
        <v>185.11206120685122</v>
      </c>
      <c r="L1685">
        <f t="shared" si="26"/>
        <v>1</v>
      </c>
      <c r="M1685" cm="1">
        <f t="array" ref="M1685">_xlfn.XLOOKUP(TEXT(A1685, "mmm-yy"), TEXT([2]GASOLINE!$B$5:$B$208, "mmm-yy"), [2]GASOLINE!$C$5:$C$208, "Not Found")</f>
        <v>7263.9104499851283</v>
      </c>
      <c r="N1685" cm="1">
        <f t="array" ref="N1685">_xlfn.XLOOKUP(TEXT(A1685, "mmm-yy"), TEXT([2]RUNS!$B$5:$B$208, "mmm-yy"), [2]RUNS!$BM$5:$BM$208, "Not Found")</f>
        <v>0.81231117207520842</v>
      </c>
    </row>
    <row r="1686" spans="1:14" x14ac:dyDescent="0.25">
      <c r="A1686" s="1">
        <f>'[1]Global_Spot Prices'!$B2995</f>
        <v>44363</v>
      </c>
      <c r="B1686">
        <f>_xlfn.XLOOKUP(A1686,'[1]Global_Spot Prices'!$B:$B,'[1]Global_Spot Prices'!$BS:$BS)</f>
        <v>6.5200000000000102</v>
      </c>
      <c r="C1686">
        <f>_xlfn.XLOOKUP(A1686,'[1]Global_Spot Prices'!$B:$B,'[1]Global_Spot Prices'!$E:$E)</f>
        <v>72.739999999999995</v>
      </c>
      <c r="D1686">
        <f>_xlfn.XLOOKUP(A1686,'[1]Global_Spot Prices'!$B:$B,'[1]Global_Spot Prices'!$D:$D)</f>
        <v>74.465000000000003</v>
      </c>
      <c r="E1686">
        <f>_xlfn.XLOOKUP(A1686,'[1]Global_Spot Prices'!$B:$B,'[1]Global_Spot Prices'!$H:$H)</f>
        <v>70.62</v>
      </c>
      <c r="F1686">
        <f>_xlfn.XLOOKUP(A1686,'[1]Global_Spot Prices'!$B:$B,'[1]Global_Spot Prices'!$I:$I)</f>
        <v>79.260000000000005</v>
      </c>
      <c r="G1686" cm="1">
        <f t="array" ref="G1686">_xlfn.XLOOKUP(TEXT(A1686, "mmm-yy"), TEXT([2]RUNS!$B$5:$B$208, "mmm-yy"), [2]RUNS!$D$5:$D$208, "Not Found")</f>
        <v>29531.247736325378</v>
      </c>
      <c r="H1686" cm="1">
        <f t="array" ref="H1686">SUMPRODUCT(
    --(TEXT('[3]Global Weekly Stock (EWSuez'!$B$4:$B$2000,"mmm-yy")=TEXT(A1686,"mmm-yy")),
    '[3]Global Weekly Stock (EWSuez'!$E$4:$E$2000)
/
SUMPRODUCT(
    --(TEXT('[3]Global Weekly Stock (EWSuez'!$B$4:$B$2000,"mmm-yy")=TEXT(A1686,"mmm-yy"))
)</f>
        <v>13142.5</v>
      </c>
      <c r="I1686">
        <f>_xlfn.XLOOKUP(A1686,[1]ForwardDeriv!$D:$D,[1]ForwardDeriv!$AJ:$AJ)</f>
        <v>0.18999999999999773</v>
      </c>
      <c r="J1686" cm="1">
        <f t="array" ref="J1686">_xlfn.XLOOKUP(TEXT(A1686, "mmm-yy"), TEXT([2]GASOLINE!$B$5:$B$208, "mmm-yy"), [2]GASOLINE!$IR$5:$IR$208, "Not Found")</f>
        <v>60.277045065214907</v>
      </c>
      <c r="K1686" cm="1">
        <f t="array" ref="K1686">_xlfn.XLOOKUP(TEXT(A1686, "mmm-yy"), TEXT([2]GASOLINE!$B$5:$B$208, "mmm-yy"), [2]GASOLINE!$IK$5:$IK$208, "Not Found")</f>
        <v>185.11206120685122</v>
      </c>
      <c r="L1686">
        <f t="shared" si="26"/>
        <v>1</v>
      </c>
      <c r="M1686" cm="1">
        <f t="array" ref="M1686">_xlfn.XLOOKUP(TEXT(A1686, "mmm-yy"), TEXT([2]GASOLINE!$B$5:$B$208, "mmm-yy"), [2]GASOLINE!$C$5:$C$208, "Not Found")</f>
        <v>7263.9104499851283</v>
      </c>
      <c r="N1686" cm="1">
        <f t="array" ref="N1686">_xlfn.XLOOKUP(TEXT(A1686, "mmm-yy"), TEXT([2]RUNS!$B$5:$B$208, "mmm-yy"), [2]RUNS!$BM$5:$BM$208, "Not Found")</f>
        <v>0.81231117207520842</v>
      </c>
    </row>
    <row r="1687" spans="1:14" x14ac:dyDescent="0.25">
      <c r="A1687" s="1">
        <f>'[1]Global_Spot Prices'!$B2996</f>
        <v>44364</v>
      </c>
      <c r="B1687">
        <f>_xlfn.XLOOKUP(A1687,'[1]Global_Spot Prices'!$B:$B,'[1]Global_Spot Prices'!$BS:$BS)</f>
        <v>6.7099999999999937</v>
      </c>
      <c r="C1687">
        <f>_xlfn.XLOOKUP(A1687,'[1]Global_Spot Prices'!$B:$B,'[1]Global_Spot Prices'!$E:$E)</f>
        <v>72.31</v>
      </c>
      <c r="D1687">
        <f>_xlfn.XLOOKUP(A1687,'[1]Global_Spot Prices'!$B:$B,'[1]Global_Spot Prices'!$D:$D)</f>
        <v>72.575000000000003</v>
      </c>
      <c r="E1687">
        <f>_xlfn.XLOOKUP(A1687,'[1]Global_Spot Prices'!$B:$B,'[1]Global_Spot Prices'!$H:$H)</f>
        <v>70.209999999999994</v>
      </c>
      <c r="F1687">
        <f>_xlfn.XLOOKUP(A1687,'[1]Global_Spot Prices'!$B:$B,'[1]Global_Spot Prices'!$I:$I)</f>
        <v>79.02</v>
      </c>
      <c r="G1687" cm="1">
        <f t="array" ref="G1687">_xlfn.XLOOKUP(TEXT(A1687, "mmm-yy"), TEXT([2]RUNS!$B$5:$B$208, "mmm-yy"), [2]RUNS!$D$5:$D$208, "Not Found")</f>
        <v>29531.247736325378</v>
      </c>
      <c r="H1687" cm="1">
        <f t="array" ref="H1687">SUMPRODUCT(
    --(TEXT('[3]Global Weekly Stock (EWSuez'!$B$4:$B$2000,"mmm-yy")=TEXT(A1687,"mmm-yy")),
    '[3]Global Weekly Stock (EWSuez'!$E$4:$E$2000)
/
SUMPRODUCT(
    --(TEXT('[3]Global Weekly Stock (EWSuez'!$B$4:$B$2000,"mmm-yy")=TEXT(A1687,"mmm-yy"))
)</f>
        <v>13142.5</v>
      </c>
      <c r="I1687">
        <f>_xlfn.XLOOKUP(A1687,[1]ForwardDeriv!$D:$D,[1]ForwardDeriv!$AJ:$AJ)</f>
        <v>0.22999999999998977</v>
      </c>
      <c r="J1687" cm="1">
        <f t="array" ref="J1687">_xlfn.XLOOKUP(TEXT(A1687, "mmm-yy"), TEXT([2]GASOLINE!$B$5:$B$208, "mmm-yy"), [2]GASOLINE!$IR$5:$IR$208, "Not Found")</f>
        <v>60.277045065214907</v>
      </c>
      <c r="K1687" cm="1">
        <f t="array" ref="K1687">_xlfn.XLOOKUP(TEXT(A1687, "mmm-yy"), TEXT([2]GASOLINE!$B$5:$B$208, "mmm-yy"), [2]GASOLINE!$IK$5:$IK$208, "Not Found")</f>
        <v>185.11206120685122</v>
      </c>
      <c r="L1687">
        <f t="shared" si="26"/>
        <v>1</v>
      </c>
      <c r="M1687" cm="1">
        <f t="array" ref="M1687">_xlfn.XLOOKUP(TEXT(A1687, "mmm-yy"), TEXT([2]GASOLINE!$B$5:$B$208, "mmm-yy"), [2]GASOLINE!$C$5:$C$208, "Not Found")</f>
        <v>7263.9104499851283</v>
      </c>
      <c r="N1687" cm="1">
        <f t="array" ref="N1687">_xlfn.XLOOKUP(TEXT(A1687, "mmm-yy"), TEXT([2]RUNS!$B$5:$B$208, "mmm-yy"), [2]RUNS!$BM$5:$BM$208, "Not Found")</f>
        <v>0.81231117207520842</v>
      </c>
    </row>
    <row r="1688" spans="1:14" x14ac:dyDescent="0.25">
      <c r="A1688" s="1">
        <f>'[1]Global_Spot Prices'!$B2997</f>
        <v>44365</v>
      </c>
      <c r="B1688">
        <f>_xlfn.XLOOKUP(A1688,'[1]Global_Spot Prices'!$B:$B,'[1]Global_Spot Prices'!$BS:$BS)</f>
        <v>6.9699999999999989</v>
      </c>
      <c r="C1688">
        <f>_xlfn.XLOOKUP(A1688,'[1]Global_Spot Prices'!$B:$B,'[1]Global_Spot Prices'!$E:$E)</f>
        <v>70.95</v>
      </c>
      <c r="D1688">
        <f>_xlfn.XLOOKUP(A1688,'[1]Global_Spot Prices'!$B:$B,'[1]Global_Spot Prices'!$D:$D)</f>
        <v>73.375</v>
      </c>
      <c r="E1688">
        <f>_xlfn.XLOOKUP(A1688,'[1]Global_Spot Prices'!$B:$B,'[1]Global_Spot Prices'!$H:$H)</f>
        <v>69.12</v>
      </c>
      <c r="F1688">
        <f>_xlfn.XLOOKUP(A1688,'[1]Global_Spot Prices'!$B:$B,'[1]Global_Spot Prices'!$I:$I)</f>
        <v>77.92</v>
      </c>
      <c r="G1688" cm="1">
        <f t="array" ref="G1688">_xlfn.XLOOKUP(TEXT(A1688, "mmm-yy"), TEXT([2]RUNS!$B$5:$B$208, "mmm-yy"), [2]RUNS!$D$5:$D$208, "Not Found")</f>
        <v>29531.247736325378</v>
      </c>
      <c r="H1688" cm="1">
        <f t="array" ref="H1688">SUMPRODUCT(
    --(TEXT('[3]Global Weekly Stock (EWSuez'!$B$4:$B$2000,"mmm-yy")=TEXT(A1688,"mmm-yy")),
    '[3]Global Weekly Stock (EWSuez'!$E$4:$E$2000)
/
SUMPRODUCT(
    --(TEXT('[3]Global Weekly Stock (EWSuez'!$B$4:$B$2000,"mmm-yy")=TEXT(A1688,"mmm-yy"))
)</f>
        <v>13142.5</v>
      </c>
      <c r="I1688">
        <f>_xlfn.XLOOKUP(A1688,[1]ForwardDeriv!$D:$D,[1]ForwardDeriv!$AJ:$AJ)</f>
        <v>0.29000000000000625</v>
      </c>
      <c r="J1688" cm="1">
        <f t="array" ref="J1688">_xlfn.XLOOKUP(TEXT(A1688, "mmm-yy"), TEXT([2]GASOLINE!$B$5:$B$208, "mmm-yy"), [2]GASOLINE!$IR$5:$IR$208, "Not Found")</f>
        <v>60.277045065214907</v>
      </c>
      <c r="K1688" cm="1">
        <f t="array" ref="K1688">_xlfn.XLOOKUP(TEXT(A1688, "mmm-yy"), TEXT([2]GASOLINE!$B$5:$B$208, "mmm-yy"), [2]GASOLINE!$IK$5:$IK$208, "Not Found")</f>
        <v>185.11206120685122</v>
      </c>
      <c r="L1688">
        <f t="shared" si="26"/>
        <v>1</v>
      </c>
      <c r="M1688" cm="1">
        <f t="array" ref="M1688">_xlfn.XLOOKUP(TEXT(A1688, "mmm-yy"), TEXT([2]GASOLINE!$B$5:$B$208, "mmm-yy"), [2]GASOLINE!$C$5:$C$208, "Not Found")</f>
        <v>7263.9104499851283</v>
      </c>
      <c r="N1688" cm="1">
        <f t="array" ref="N1688">_xlfn.XLOOKUP(TEXT(A1688, "mmm-yy"), TEXT([2]RUNS!$B$5:$B$208, "mmm-yy"), [2]RUNS!$BM$5:$BM$208, "Not Found")</f>
        <v>0.81231117207520842</v>
      </c>
    </row>
    <row r="1689" spans="1:14" x14ac:dyDescent="0.25">
      <c r="A1689" s="1">
        <f>'[1]Global_Spot Prices'!$B2998</f>
        <v>44368</v>
      </c>
      <c r="B1689">
        <f>_xlfn.XLOOKUP(A1689,'[1]Global_Spot Prices'!$B:$B,'[1]Global_Spot Prices'!$BS:$BS)</f>
        <v>7.3700000000000045</v>
      </c>
      <c r="C1689">
        <f>_xlfn.XLOOKUP(A1689,'[1]Global_Spot Prices'!$B:$B,'[1]Global_Spot Prices'!$E:$E)</f>
        <v>71.75</v>
      </c>
      <c r="D1689">
        <f>_xlfn.XLOOKUP(A1689,'[1]Global_Spot Prices'!$B:$B,'[1]Global_Spot Prices'!$D:$D)</f>
        <v>74.284999999999997</v>
      </c>
      <c r="E1689">
        <f>_xlfn.XLOOKUP(A1689,'[1]Global_Spot Prices'!$B:$B,'[1]Global_Spot Prices'!$H:$H)</f>
        <v>69.900000000000006</v>
      </c>
      <c r="F1689">
        <f>_xlfn.XLOOKUP(A1689,'[1]Global_Spot Prices'!$B:$B,'[1]Global_Spot Prices'!$I:$I)</f>
        <v>79.12</v>
      </c>
      <c r="G1689" cm="1">
        <f t="array" ref="G1689">_xlfn.XLOOKUP(TEXT(A1689, "mmm-yy"), TEXT([2]RUNS!$B$5:$B$208, "mmm-yy"), [2]RUNS!$D$5:$D$208, "Not Found")</f>
        <v>29531.247736325378</v>
      </c>
      <c r="H1689" cm="1">
        <f t="array" ref="H1689">SUMPRODUCT(
    --(TEXT('[3]Global Weekly Stock (EWSuez'!$B$4:$B$2000,"mmm-yy")=TEXT(A1689,"mmm-yy")),
    '[3]Global Weekly Stock (EWSuez'!$E$4:$E$2000)
/
SUMPRODUCT(
    --(TEXT('[3]Global Weekly Stock (EWSuez'!$B$4:$B$2000,"mmm-yy")=TEXT(A1689,"mmm-yy"))
)</f>
        <v>13142.5</v>
      </c>
      <c r="I1689">
        <f>_xlfn.XLOOKUP(A1689,[1]ForwardDeriv!$D:$D,[1]ForwardDeriv!$AJ:$AJ)</f>
        <v>0.31000000000000227</v>
      </c>
      <c r="J1689" cm="1">
        <f t="array" ref="J1689">_xlfn.XLOOKUP(TEXT(A1689, "mmm-yy"), TEXT([2]GASOLINE!$B$5:$B$208, "mmm-yy"), [2]GASOLINE!$IR$5:$IR$208, "Not Found")</f>
        <v>60.277045065214907</v>
      </c>
      <c r="K1689" cm="1">
        <f t="array" ref="K1689">_xlfn.XLOOKUP(TEXT(A1689, "mmm-yy"), TEXT([2]GASOLINE!$B$5:$B$208, "mmm-yy"), [2]GASOLINE!$IK$5:$IK$208, "Not Found")</f>
        <v>185.11206120685122</v>
      </c>
      <c r="L1689">
        <f t="shared" si="26"/>
        <v>1</v>
      </c>
      <c r="M1689" cm="1">
        <f t="array" ref="M1689">_xlfn.XLOOKUP(TEXT(A1689, "mmm-yy"), TEXT([2]GASOLINE!$B$5:$B$208, "mmm-yy"), [2]GASOLINE!$C$5:$C$208, "Not Found")</f>
        <v>7263.9104499851283</v>
      </c>
      <c r="N1689" cm="1">
        <f t="array" ref="N1689">_xlfn.XLOOKUP(TEXT(A1689, "mmm-yy"), TEXT([2]RUNS!$B$5:$B$208, "mmm-yy"), [2]RUNS!$BM$5:$BM$208, "Not Found")</f>
        <v>0.81231117207520842</v>
      </c>
    </row>
    <row r="1690" spans="1:14" x14ac:dyDescent="0.25">
      <c r="A1690" s="1">
        <f>'[1]Global_Spot Prices'!$B2999</f>
        <v>44369</v>
      </c>
      <c r="B1690">
        <f>_xlfn.XLOOKUP(A1690,'[1]Global_Spot Prices'!$B:$B,'[1]Global_Spot Prices'!$BS:$BS)</f>
        <v>7.6800000000000068</v>
      </c>
      <c r="C1690">
        <f>_xlfn.XLOOKUP(A1690,'[1]Global_Spot Prices'!$B:$B,'[1]Global_Spot Prices'!$E:$E)</f>
        <v>72.5</v>
      </c>
      <c r="D1690">
        <f>_xlfn.XLOOKUP(A1690,'[1]Global_Spot Prices'!$B:$B,'[1]Global_Spot Prices'!$D:$D)</f>
        <v>74.844999999999999</v>
      </c>
      <c r="E1690">
        <f>_xlfn.XLOOKUP(A1690,'[1]Global_Spot Prices'!$B:$B,'[1]Global_Spot Prices'!$H:$H)</f>
        <v>70.5</v>
      </c>
      <c r="F1690">
        <f>_xlfn.XLOOKUP(A1690,'[1]Global_Spot Prices'!$B:$B,'[1]Global_Spot Prices'!$I:$I)</f>
        <v>80.180000000000007</v>
      </c>
      <c r="G1690" cm="1">
        <f t="array" ref="G1690">_xlfn.XLOOKUP(TEXT(A1690, "mmm-yy"), TEXT([2]RUNS!$B$5:$B$208, "mmm-yy"), [2]RUNS!$D$5:$D$208, "Not Found")</f>
        <v>29531.247736325378</v>
      </c>
      <c r="H1690" cm="1">
        <f t="array" ref="H1690">SUMPRODUCT(
    --(TEXT('[3]Global Weekly Stock (EWSuez'!$B$4:$B$2000,"mmm-yy")=TEXT(A1690,"mmm-yy")),
    '[3]Global Weekly Stock (EWSuez'!$E$4:$E$2000)
/
SUMPRODUCT(
    --(TEXT('[3]Global Weekly Stock (EWSuez'!$B$4:$B$2000,"mmm-yy")=TEXT(A1690,"mmm-yy"))
)</f>
        <v>13142.5</v>
      </c>
      <c r="I1690">
        <f>_xlfn.XLOOKUP(A1690,[1]ForwardDeriv!$D:$D,[1]ForwardDeriv!$AJ:$AJ)</f>
        <v>0.34999999999999432</v>
      </c>
      <c r="J1690" cm="1">
        <f t="array" ref="J1690">_xlfn.XLOOKUP(TEXT(A1690, "mmm-yy"), TEXT([2]GASOLINE!$B$5:$B$208, "mmm-yy"), [2]GASOLINE!$IR$5:$IR$208, "Not Found")</f>
        <v>60.277045065214907</v>
      </c>
      <c r="K1690" cm="1">
        <f t="array" ref="K1690">_xlfn.XLOOKUP(TEXT(A1690, "mmm-yy"), TEXT([2]GASOLINE!$B$5:$B$208, "mmm-yy"), [2]GASOLINE!$IK$5:$IK$208, "Not Found")</f>
        <v>185.11206120685122</v>
      </c>
      <c r="L1690">
        <f t="shared" si="26"/>
        <v>1</v>
      </c>
      <c r="M1690" cm="1">
        <f t="array" ref="M1690">_xlfn.XLOOKUP(TEXT(A1690, "mmm-yy"), TEXT([2]GASOLINE!$B$5:$B$208, "mmm-yy"), [2]GASOLINE!$C$5:$C$208, "Not Found")</f>
        <v>7263.9104499851283</v>
      </c>
      <c r="N1690" cm="1">
        <f t="array" ref="N1690">_xlfn.XLOOKUP(TEXT(A1690, "mmm-yy"), TEXT([2]RUNS!$B$5:$B$208, "mmm-yy"), [2]RUNS!$BM$5:$BM$208, "Not Found")</f>
        <v>0.81231117207520842</v>
      </c>
    </row>
    <row r="1691" spans="1:14" x14ac:dyDescent="0.25">
      <c r="A1691" s="1">
        <f>'[1]Global_Spot Prices'!$B3000</f>
        <v>44370</v>
      </c>
      <c r="B1691">
        <f>_xlfn.XLOOKUP(A1691,'[1]Global_Spot Prices'!$B:$B,'[1]Global_Spot Prices'!$BS:$BS)</f>
        <v>8.1299999999999955</v>
      </c>
      <c r="C1691">
        <f>_xlfn.XLOOKUP(A1691,'[1]Global_Spot Prices'!$B:$B,'[1]Global_Spot Prices'!$E:$E)</f>
        <v>73.400000000000006</v>
      </c>
      <c r="D1691">
        <f>_xlfn.XLOOKUP(A1691,'[1]Global_Spot Prices'!$B:$B,'[1]Global_Spot Prices'!$D:$D)</f>
        <v>75.87</v>
      </c>
      <c r="E1691">
        <f>_xlfn.XLOOKUP(A1691,'[1]Global_Spot Prices'!$B:$B,'[1]Global_Spot Prices'!$H:$H)</f>
        <v>72.08</v>
      </c>
      <c r="F1691">
        <f>_xlfn.XLOOKUP(A1691,'[1]Global_Spot Prices'!$B:$B,'[1]Global_Spot Prices'!$I:$I)</f>
        <v>81.53</v>
      </c>
      <c r="G1691" cm="1">
        <f t="array" ref="G1691">_xlfn.XLOOKUP(TEXT(A1691, "mmm-yy"), TEXT([2]RUNS!$B$5:$B$208, "mmm-yy"), [2]RUNS!$D$5:$D$208, "Not Found")</f>
        <v>29531.247736325378</v>
      </c>
      <c r="H1691" cm="1">
        <f t="array" ref="H1691">SUMPRODUCT(
    --(TEXT('[3]Global Weekly Stock (EWSuez'!$B$4:$B$2000,"mmm-yy")=TEXT(A1691,"mmm-yy")),
    '[3]Global Weekly Stock (EWSuez'!$E$4:$E$2000)
/
SUMPRODUCT(
    --(TEXT('[3]Global Weekly Stock (EWSuez'!$B$4:$B$2000,"mmm-yy")=TEXT(A1691,"mmm-yy"))
)</f>
        <v>13142.5</v>
      </c>
      <c r="I1691">
        <f>_xlfn.XLOOKUP(A1691,[1]ForwardDeriv!$D:$D,[1]ForwardDeriv!$AJ:$AJ)</f>
        <v>0.45999999999999375</v>
      </c>
      <c r="J1691" cm="1">
        <f t="array" ref="J1691">_xlfn.XLOOKUP(TEXT(A1691, "mmm-yy"), TEXT([2]GASOLINE!$B$5:$B$208, "mmm-yy"), [2]GASOLINE!$IR$5:$IR$208, "Not Found")</f>
        <v>60.277045065214907</v>
      </c>
      <c r="K1691" cm="1">
        <f t="array" ref="K1691">_xlfn.XLOOKUP(TEXT(A1691, "mmm-yy"), TEXT([2]GASOLINE!$B$5:$B$208, "mmm-yy"), [2]GASOLINE!$IK$5:$IK$208, "Not Found")</f>
        <v>185.11206120685122</v>
      </c>
      <c r="L1691">
        <f t="shared" si="26"/>
        <v>1</v>
      </c>
      <c r="M1691" cm="1">
        <f t="array" ref="M1691">_xlfn.XLOOKUP(TEXT(A1691, "mmm-yy"), TEXT([2]GASOLINE!$B$5:$B$208, "mmm-yy"), [2]GASOLINE!$C$5:$C$208, "Not Found")</f>
        <v>7263.9104499851283</v>
      </c>
      <c r="N1691" cm="1">
        <f t="array" ref="N1691">_xlfn.XLOOKUP(TEXT(A1691, "mmm-yy"), TEXT([2]RUNS!$B$5:$B$208, "mmm-yy"), [2]RUNS!$BM$5:$BM$208, "Not Found")</f>
        <v>0.81231117207520842</v>
      </c>
    </row>
    <row r="1692" spans="1:14" x14ac:dyDescent="0.25">
      <c r="A1692" s="1">
        <f>'[1]Global_Spot Prices'!$B3001</f>
        <v>44371</v>
      </c>
      <c r="B1692">
        <f ca="1">_xlfn.XLOOKUP(A1692,'[1]Global_Spot Prices'!$B:$B,'[1]Global_Spot Prices'!$BS:$BS)</f>
        <v>8.4599999999999937</v>
      </c>
      <c r="C1692">
        <f ca="1">_xlfn.XLOOKUP(A1692,'[1]Global_Spot Prices'!$B:$B,'[1]Global_Spot Prices'!$E:$E)</f>
        <v>73.7</v>
      </c>
      <c r="D1692">
        <f>_xlfn.XLOOKUP(A1692,'[1]Global_Spot Prices'!$B:$B,'[1]Global_Spot Prices'!$D:$D)</f>
        <v>75.77</v>
      </c>
      <c r="E1692">
        <f>_xlfn.XLOOKUP(A1692,'[1]Global_Spot Prices'!$B:$B,'[1]Global_Spot Prices'!$H:$H)</f>
        <v>72.5</v>
      </c>
      <c r="F1692">
        <f>_xlfn.XLOOKUP(A1692,'[1]Global_Spot Prices'!$B:$B,'[1]Global_Spot Prices'!$I:$I)</f>
        <v>82.16</v>
      </c>
      <c r="G1692" cm="1">
        <f t="array" ref="G1692">_xlfn.XLOOKUP(TEXT(A1692, "mmm-yy"), TEXT([2]RUNS!$B$5:$B$208, "mmm-yy"), [2]RUNS!$D$5:$D$208, "Not Found")</f>
        <v>29531.247736325378</v>
      </c>
      <c r="H1692" cm="1">
        <f t="array" ref="H1692">SUMPRODUCT(
    --(TEXT('[3]Global Weekly Stock (EWSuez'!$B$4:$B$2000,"mmm-yy")=TEXT(A1692,"mmm-yy")),
    '[3]Global Weekly Stock (EWSuez'!$E$4:$E$2000)
/
SUMPRODUCT(
    --(TEXT('[3]Global Weekly Stock (EWSuez'!$B$4:$B$2000,"mmm-yy")=TEXT(A1692,"mmm-yy"))
)</f>
        <v>13142.5</v>
      </c>
      <c r="I1692">
        <f>_xlfn.XLOOKUP(A1692,[1]ForwardDeriv!$D:$D,[1]ForwardDeriv!$AJ:$AJ)</f>
        <v>0.48999999999999488</v>
      </c>
      <c r="J1692" cm="1">
        <f t="array" ref="J1692">_xlfn.XLOOKUP(TEXT(A1692, "mmm-yy"), TEXT([2]GASOLINE!$B$5:$B$208, "mmm-yy"), [2]GASOLINE!$IR$5:$IR$208, "Not Found")</f>
        <v>60.277045065214907</v>
      </c>
      <c r="K1692" cm="1">
        <f t="array" ref="K1692">_xlfn.XLOOKUP(TEXT(A1692, "mmm-yy"), TEXT([2]GASOLINE!$B$5:$B$208, "mmm-yy"), [2]GASOLINE!$IK$5:$IK$208, "Not Found")</f>
        <v>185.11206120685122</v>
      </c>
      <c r="L1692">
        <f t="shared" si="26"/>
        <v>1</v>
      </c>
      <c r="M1692" cm="1">
        <f t="array" ref="M1692">_xlfn.XLOOKUP(TEXT(A1692, "mmm-yy"), TEXT([2]GASOLINE!$B$5:$B$208, "mmm-yy"), [2]GASOLINE!$C$5:$C$208, "Not Found")</f>
        <v>7263.9104499851283</v>
      </c>
      <c r="N1692" cm="1">
        <f t="array" ref="N1692">_xlfn.XLOOKUP(TEXT(A1692, "mmm-yy"), TEXT([2]RUNS!$B$5:$B$208, "mmm-yy"), [2]RUNS!$BM$5:$BM$208, "Not Found")</f>
        <v>0.81231117207520842</v>
      </c>
    </row>
    <row r="1693" spans="1:14" x14ac:dyDescent="0.25">
      <c r="A1693" s="1">
        <f>'[1]Global_Spot Prices'!$B3002</f>
        <v>44372</v>
      </c>
      <c r="B1693">
        <f>_xlfn.XLOOKUP(A1693,'[1]Global_Spot Prices'!$B:$B,'[1]Global_Spot Prices'!$BS:$BS)</f>
        <v>8.7199999999999989</v>
      </c>
      <c r="C1693">
        <f>_xlfn.XLOOKUP(A1693,'[1]Global_Spot Prices'!$B:$B,'[1]Global_Spot Prices'!$E:$E)</f>
        <v>73.45</v>
      </c>
      <c r="D1693">
        <f>_xlfn.XLOOKUP(A1693,'[1]Global_Spot Prices'!$B:$B,'[1]Global_Spot Prices'!$D:$D)</f>
        <v>76.435000000000002</v>
      </c>
      <c r="E1693">
        <f>_xlfn.XLOOKUP(A1693,'[1]Global_Spot Prices'!$B:$B,'[1]Global_Spot Prices'!$H:$H)</f>
        <v>72.87</v>
      </c>
      <c r="F1693">
        <f>_xlfn.XLOOKUP(A1693,'[1]Global_Spot Prices'!$B:$B,'[1]Global_Spot Prices'!$I:$I)</f>
        <v>82.17</v>
      </c>
      <c r="G1693" cm="1">
        <f t="array" ref="G1693">_xlfn.XLOOKUP(TEXT(A1693, "mmm-yy"), TEXT([2]RUNS!$B$5:$B$208, "mmm-yy"), [2]RUNS!$D$5:$D$208, "Not Found")</f>
        <v>29531.247736325378</v>
      </c>
      <c r="H1693" cm="1">
        <f t="array" ref="H1693">SUMPRODUCT(
    --(TEXT('[3]Global Weekly Stock (EWSuez'!$B$4:$B$2000,"mmm-yy")=TEXT(A1693,"mmm-yy")),
    '[3]Global Weekly Stock (EWSuez'!$E$4:$E$2000)
/
SUMPRODUCT(
    --(TEXT('[3]Global Weekly Stock (EWSuez'!$B$4:$B$2000,"mmm-yy")=TEXT(A1693,"mmm-yy"))
)</f>
        <v>13142.5</v>
      </c>
      <c r="I1693">
        <f>_xlfn.XLOOKUP(A1693,[1]ForwardDeriv!$D:$D,[1]ForwardDeriv!$AJ:$AJ)</f>
        <v>0.46000000000000796</v>
      </c>
      <c r="J1693" cm="1">
        <f t="array" ref="J1693">_xlfn.XLOOKUP(TEXT(A1693, "mmm-yy"), TEXT([2]GASOLINE!$B$5:$B$208, "mmm-yy"), [2]GASOLINE!$IR$5:$IR$208, "Not Found")</f>
        <v>60.277045065214907</v>
      </c>
      <c r="K1693" cm="1">
        <f t="array" ref="K1693">_xlfn.XLOOKUP(TEXT(A1693, "mmm-yy"), TEXT([2]GASOLINE!$B$5:$B$208, "mmm-yy"), [2]GASOLINE!$IK$5:$IK$208, "Not Found")</f>
        <v>185.11206120685122</v>
      </c>
      <c r="L1693">
        <f t="shared" si="26"/>
        <v>1</v>
      </c>
      <c r="M1693" cm="1">
        <f t="array" ref="M1693">_xlfn.XLOOKUP(TEXT(A1693, "mmm-yy"), TEXT([2]GASOLINE!$B$5:$B$208, "mmm-yy"), [2]GASOLINE!$C$5:$C$208, "Not Found")</f>
        <v>7263.9104499851283</v>
      </c>
      <c r="N1693" cm="1">
        <f t="array" ref="N1693">_xlfn.XLOOKUP(TEXT(A1693, "mmm-yy"), TEXT([2]RUNS!$B$5:$B$208, "mmm-yy"), [2]RUNS!$BM$5:$BM$208, "Not Found")</f>
        <v>0.81231117207520842</v>
      </c>
    </row>
    <row r="1694" spans="1:14" x14ac:dyDescent="0.25">
      <c r="A1694" s="1">
        <f>'[1]Global_Spot Prices'!$B3003</f>
        <v>44375</v>
      </c>
      <c r="B1694">
        <f>_xlfn.XLOOKUP(A1694,'[1]Global_Spot Prices'!$B:$B,'[1]Global_Spot Prices'!$BS:$BS)</f>
        <v>7.7400000000000091</v>
      </c>
      <c r="C1694">
        <f>_xlfn.XLOOKUP(A1694,'[1]Global_Spot Prices'!$B:$B,'[1]Global_Spot Prices'!$E:$E)</f>
        <v>73.849999999999994</v>
      </c>
      <c r="D1694">
        <f>_xlfn.XLOOKUP(A1694,'[1]Global_Spot Prices'!$B:$B,'[1]Global_Spot Prices'!$D:$D)</f>
        <v>75.165000000000006</v>
      </c>
      <c r="E1694">
        <f>_xlfn.XLOOKUP(A1694,'[1]Global_Spot Prices'!$B:$B,'[1]Global_Spot Prices'!$H:$H)</f>
        <v>72.7</v>
      </c>
      <c r="F1694">
        <f>_xlfn.XLOOKUP(A1694,'[1]Global_Spot Prices'!$B:$B,'[1]Global_Spot Prices'!$I:$I)</f>
        <v>81.59</v>
      </c>
      <c r="G1694" cm="1">
        <f t="array" ref="G1694">_xlfn.XLOOKUP(TEXT(A1694, "mmm-yy"), TEXT([2]RUNS!$B$5:$B$208, "mmm-yy"), [2]RUNS!$D$5:$D$208, "Not Found")</f>
        <v>29531.247736325378</v>
      </c>
      <c r="H1694" cm="1">
        <f t="array" ref="H1694">SUMPRODUCT(
    --(TEXT('[3]Global Weekly Stock (EWSuez'!$B$4:$B$2000,"mmm-yy")=TEXT(A1694,"mmm-yy")),
    '[3]Global Weekly Stock (EWSuez'!$E$4:$E$2000)
/
SUMPRODUCT(
    --(TEXT('[3]Global Weekly Stock (EWSuez'!$B$4:$B$2000,"mmm-yy")=TEXT(A1694,"mmm-yy"))
)</f>
        <v>13142.5</v>
      </c>
      <c r="I1694">
        <f>_xlfn.XLOOKUP(A1694,[1]ForwardDeriv!$D:$D,[1]ForwardDeriv!$AJ:$AJ)</f>
        <v>0.32999999999999829</v>
      </c>
      <c r="J1694" cm="1">
        <f t="array" ref="J1694">_xlfn.XLOOKUP(TEXT(A1694, "mmm-yy"), TEXT([2]GASOLINE!$B$5:$B$208, "mmm-yy"), [2]GASOLINE!$IR$5:$IR$208, "Not Found")</f>
        <v>60.277045065214907</v>
      </c>
      <c r="K1694" cm="1">
        <f t="array" ref="K1694">_xlfn.XLOOKUP(TEXT(A1694, "mmm-yy"), TEXT([2]GASOLINE!$B$5:$B$208, "mmm-yy"), [2]GASOLINE!$IK$5:$IK$208, "Not Found")</f>
        <v>185.11206120685122</v>
      </c>
      <c r="L1694">
        <f t="shared" si="26"/>
        <v>1</v>
      </c>
      <c r="M1694" cm="1">
        <f t="array" ref="M1694">_xlfn.XLOOKUP(TEXT(A1694, "mmm-yy"), TEXT([2]GASOLINE!$B$5:$B$208, "mmm-yy"), [2]GASOLINE!$C$5:$C$208, "Not Found")</f>
        <v>7263.9104499851283</v>
      </c>
      <c r="N1694" cm="1">
        <f t="array" ref="N1694">_xlfn.XLOOKUP(TEXT(A1694, "mmm-yy"), TEXT([2]RUNS!$B$5:$B$208, "mmm-yy"), [2]RUNS!$BM$5:$BM$208, "Not Found")</f>
        <v>0.81231117207520842</v>
      </c>
    </row>
    <row r="1695" spans="1:14" x14ac:dyDescent="0.25">
      <c r="A1695" s="1">
        <f>'[1]Global_Spot Prices'!$B3004</f>
        <v>44376</v>
      </c>
      <c r="B1695">
        <f ca="1">_xlfn.XLOOKUP(A1695,'[1]Global_Spot Prices'!$B:$B,'[1]Global_Spot Prices'!$BS:$BS)</f>
        <v>7.980000000000004</v>
      </c>
      <c r="C1695">
        <f>_xlfn.XLOOKUP(A1695,'[1]Global_Spot Prices'!$B:$B,'[1]Global_Spot Prices'!$E:$E)</f>
        <v>72.81</v>
      </c>
      <c r="D1695">
        <f>_xlfn.XLOOKUP(A1695,'[1]Global_Spot Prices'!$B:$B,'[1]Global_Spot Prices'!$D:$D)</f>
        <v>75.95</v>
      </c>
      <c r="E1695">
        <f>_xlfn.XLOOKUP(A1695,'[1]Global_Spot Prices'!$B:$B,'[1]Global_Spot Prices'!$H:$H)</f>
        <v>72.010000000000005</v>
      </c>
      <c r="F1695">
        <f>_xlfn.XLOOKUP(A1695,'[1]Global_Spot Prices'!$B:$B,'[1]Global_Spot Prices'!$I:$I)</f>
        <v>80.790000000000006</v>
      </c>
      <c r="G1695" cm="1">
        <f t="array" ref="G1695">_xlfn.XLOOKUP(TEXT(A1695, "mmm-yy"), TEXT([2]RUNS!$B$5:$B$208, "mmm-yy"), [2]RUNS!$D$5:$D$208, "Not Found")</f>
        <v>29531.247736325378</v>
      </c>
      <c r="H1695" cm="1">
        <f t="array" ref="H1695">SUMPRODUCT(
    --(TEXT('[3]Global Weekly Stock (EWSuez'!$B$4:$B$2000,"mmm-yy")=TEXT(A1695,"mmm-yy")),
    '[3]Global Weekly Stock (EWSuez'!$E$4:$E$2000)
/
SUMPRODUCT(
    --(TEXT('[3]Global Weekly Stock (EWSuez'!$B$4:$B$2000,"mmm-yy")=TEXT(A1695,"mmm-yy"))
)</f>
        <v>13142.5</v>
      </c>
      <c r="I1695">
        <f>_xlfn.XLOOKUP(A1695,[1]ForwardDeriv!$D:$D,[1]ForwardDeriv!$AJ:$AJ)</f>
        <v>0.34000000000000341</v>
      </c>
      <c r="J1695" cm="1">
        <f t="array" ref="J1695">_xlfn.XLOOKUP(TEXT(A1695, "mmm-yy"), TEXT([2]GASOLINE!$B$5:$B$208, "mmm-yy"), [2]GASOLINE!$IR$5:$IR$208, "Not Found")</f>
        <v>60.277045065214907</v>
      </c>
      <c r="K1695" cm="1">
        <f t="array" ref="K1695">_xlfn.XLOOKUP(TEXT(A1695, "mmm-yy"), TEXT([2]GASOLINE!$B$5:$B$208, "mmm-yy"), [2]GASOLINE!$IK$5:$IK$208, "Not Found")</f>
        <v>185.11206120685122</v>
      </c>
      <c r="L1695">
        <f t="shared" si="26"/>
        <v>1</v>
      </c>
      <c r="M1695" cm="1">
        <f t="array" ref="M1695">_xlfn.XLOOKUP(TEXT(A1695, "mmm-yy"), TEXT([2]GASOLINE!$B$5:$B$208, "mmm-yy"), [2]GASOLINE!$C$5:$C$208, "Not Found")</f>
        <v>7263.9104499851283</v>
      </c>
      <c r="N1695" cm="1">
        <f t="array" ref="N1695">_xlfn.XLOOKUP(TEXT(A1695, "mmm-yy"), TEXT([2]RUNS!$B$5:$B$208, "mmm-yy"), [2]RUNS!$BM$5:$BM$208, "Not Found")</f>
        <v>0.81231117207520842</v>
      </c>
    </row>
    <row r="1696" spans="1:14" x14ac:dyDescent="0.25">
      <c r="A1696" s="1">
        <f>'[1]Global_Spot Prices'!$B3005</f>
        <v>44377</v>
      </c>
      <c r="B1696">
        <f>_xlfn.XLOOKUP(A1696,'[1]Global_Spot Prices'!$B:$B,'[1]Global_Spot Prices'!$BS:$BS)</f>
        <v>8.9500000000000028</v>
      </c>
      <c r="C1696">
        <f>_xlfn.XLOOKUP(A1696,'[1]Global_Spot Prices'!$B:$B,'[1]Global_Spot Prices'!$E:$E)</f>
        <v>72.849999999999994</v>
      </c>
      <c r="D1696">
        <f>_xlfn.XLOOKUP(A1696,'[1]Global_Spot Prices'!$B:$B,'[1]Global_Spot Prices'!$D:$D)</f>
        <v>76.19</v>
      </c>
      <c r="E1696">
        <f>_xlfn.XLOOKUP(A1696,'[1]Global_Spot Prices'!$B:$B,'[1]Global_Spot Prices'!$H:$H)</f>
        <v>72.67</v>
      </c>
      <c r="F1696">
        <f>_xlfn.XLOOKUP(A1696,'[1]Global_Spot Prices'!$B:$B,'[1]Global_Spot Prices'!$I:$I)</f>
        <v>81.8</v>
      </c>
      <c r="G1696" cm="1">
        <f t="array" ref="G1696">_xlfn.XLOOKUP(TEXT(A1696, "mmm-yy"), TEXT([2]RUNS!$B$5:$B$208, "mmm-yy"), [2]RUNS!$D$5:$D$208, "Not Found")</f>
        <v>29531.247736325378</v>
      </c>
      <c r="H1696" cm="1">
        <f t="array" ref="H1696">SUMPRODUCT(
    --(TEXT('[3]Global Weekly Stock (EWSuez'!$B$4:$B$2000,"mmm-yy")=TEXT(A1696,"mmm-yy")),
    '[3]Global Weekly Stock (EWSuez'!$E$4:$E$2000)
/
SUMPRODUCT(
    --(TEXT('[3]Global Weekly Stock (EWSuez'!$B$4:$B$2000,"mmm-yy")=TEXT(A1696,"mmm-yy"))
)</f>
        <v>13142.5</v>
      </c>
      <c r="I1696">
        <f>_xlfn.XLOOKUP(A1696,[1]ForwardDeriv!$D:$D,[1]ForwardDeriv!$AJ:$AJ)</f>
        <v>0.42999999999999261</v>
      </c>
      <c r="J1696" cm="1">
        <f t="array" ref="J1696">_xlfn.XLOOKUP(TEXT(A1696, "mmm-yy"), TEXT([2]GASOLINE!$B$5:$B$208, "mmm-yy"), [2]GASOLINE!$IR$5:$IR$208, "Not Found")</f>
        <v>60.277045065214907</v>
      </c>
      <c r="K1696" cm="1">
        <f t="array" ref="K1696">_xlfn.XLOOKUP(TEXT(A1696, "mmm-yy"), TEXT([2]GASOLINE!$B$5:$B$208, "mmm-yy"), [2]GASOLINE!$IK$5:$IK$208, "Not Found")</f>
        <v>185.11206120685122</v>
      </c>
      <c r="L1696">
        <f t="shared" si="26"/>
        <v>1</v>
      </c>
      <c r="M1696" cm="1">
        <f t="array" ref="M1696">_xlfn.XLOOKUP(TEXT(A1696, "mmm-yy"), TEXT([2]GASOLINE!$B$5:$B$208, "mmm-yy"), [2]GASOLINE!$C$5:$C$208, "Not Found")</f>
        <v>7263.9104499851283</v>
      </c>
      <c r="N1696" cm="1">
        <f t="array" ref="N1696">_xlfn.XLOOKUP(TEXT(A1696, "mmm-yy"), TEXT([2]RUNS!$B$5:$B$208, "mmm-yy"), [2]RUNS!$BM$5:$BM$208, "Not Found")</f>
        <v>0.81231117207520842</v>
      </c>
    </row>
    <row r="1697" spans="1:14" x14ac:dyDescent="0.25">
      <c r="A1697" s="1">
        <f>'[1]Global_Spot Prices'!$B3006</f>
        <v>44378</v>
      </c>
      <c r="B1697">
        <f>_xlfn.XLOOKUP(A1697,'[1]Global_Spot Prices'!$B:$B,'[1]Global_Spot Prices'!$BS:$BS)</f>
        <v>9.269999999999996</v>
      </c>
      <c r="C1697">
        <f>_xlfn.XLOOKUP(A1697,'[1]Global_Spot Prices'!$B:$B,'[1]Global_Spot Prices'!$E:$E)</f>
        <v>73.790000000000006</v>
      </c>
      <c r="D1697">
        <f ca="1">_xlfn.XLOOKUP(A1697,'[1]Global_Spot Prices'!$B:$B,'[1]Global_Spot Prices'!$D:$D)</f>
        <v>77.254999999999995</v>
      </c>
      <c r="E1697">
        <f>_xlfn.XLOOKUP(A1697,'[1]Global_Spot Prices'!$B:$B,'[1]Global_Spot Prices'!$H:$H)</f>
        <v>74.91</v>
      </c>
      <c r="F1697">
        <f>_xlfn.XLOOKUP(A1697,'[1]Global_Spot Prices'!$B:$B,'[1]Global_Spot Prices'!$I:$I)</f>
        <v>83.06</v>
      </c>
      <c r="G1697" cm="1">
        <f t="array" ref="G1697">_xlfn.XLOOKUP(TEXT(A1697, "mmm-yy"), TEXT([2]RUNS!$B$5:$B$208, "mmm-yy"), [2]RUNS!$D$5:$D$208, "Not Found")</f>
        <v>28658.658920451613</v>
      </c>
      <c r="H1697" cm="1">
        <f t="array" ref="H1697">SUMPRODUCT(
    --(TEXT('[3]Global Weekly Stock (EWSuez'!$B$4:$B$2000,"mmm-yy")=TEXT(A1697,"mmm-yy")),
    '[3]Global Weekly Stock (EWSuez'!$E$4:$E$2000)
/
SUMPRODUCT(
    --(TEXT('[3]Global Weekly Stock (EWSuez'!$B$4:$B$2000,"mmm-yy")=TEXT(A1697,"mmm-yy"))
)</f>
        <v>13682</v>
      </c>
      <c r="I1697">
        <f>_xlfn.XLOOKUP(A1697,[1]ForwardDeriv!$D:$D,[1]ForwardDeriv!$AJ:$AJ)</f>
        <v>1.0300000000000011</v>
      </c>
      <c r="J1697" cm="1">
        <f t="array" ref="J1697">_xlfn.XLOOKUP(TEXT(A1697, "mmm-yy"), TEXT([2]GASOLINE!$B$5:$B$208, "mmm-yy"), [2]GASOLINE!$IR$5:$IR$208, "Not Found")</f>
        <v>-58.815130799659329</v>
      </c>
      <c r="K1697" cm="1">
        <f t="array" ref="K1697">_xlfn.XLOOKUP(TEXT(A1697, "mmm-yy"), TEXT([2]GASOLINE!$B$5:$B$208, "mmm-yy"), [2]GASOLINE!$IK$5:$IK$208, "Not Found")</f>
        <v>184.91734090768301</v>
      </c>
      <c r="L1697">
        <f t="shared" si="26"/>
        <v>1</v>
      </c>
      <c r="M1697" cm="1">
        <f t="array" ref="M1697">_xlfn.XLOOKUP(TEXT(A1697, "mmm-yy"), TEXT([2]GASOLINE!$B$5:$B$208, "mmm-yy"), [2]GASOLINE!$C$5:$C$208, "Not Found")</f>
        <v>7505.0530760403517</v>
      </c>
      <c r="N1697" cm="1">
        <f t="array" ref="N1697">_xlfn.XLOOKUP(TEXT(A1697, "mmm-yy"), TEXT([2]RUNS!$B$5:$B$208, "mmm-yy"), [2]RUNS!$BM$5:$BM$208, "Not Found")</f>
        <v>0.78766336453127195</v>
      </c>
    </row>
    <row r="1698" spans="1:14" x14ac:dyDescent="0.25">
      <c r="A1698" s="1">
        <f>'[1]Global_Spot Prices'!$B3007</f>
        <v>44379</v>
      </c>
      <c r="B1698">
        <f>_xlfn.XLOOKUP(A1698,'[1]Global_Spot Prices'!$B:$B,'[1]Global_Spot Prices'!$BS:$BS)</f>
        <v>9.769999999999996</v>
      </c>
      <c r="C1698">
        <f>_xlfn.XLOOKUP(A1698,'[1]Global_Spot Prices'!$B:$B,'[1]Global_Spot Prices'!$E:$E)</f>
        <v>74.05</v>
      </c>
      <c r="D1698">
        <f>_xlfn.XLOOKUP(A1698,'[1]Global_Spot Prices'!$B:$B,'[1]Global_Spot Prices'!$D:$D)</f>
        <v>77.614999999999995</v>
      </c>
      <c r="E1698">
        <f>_xlfn.XLOOKUP(A1698,'[1]Global_Spot Prices'!$B:$B,'[1]Global_Spot Prices'!$H:$H)</f>
        <v>75.17</v>
      </c>
      <c r="F1698">
        <f>_xlfn.XLOOKUP(A1698,'[1]Global_Spot Prices'!$B:$B,'[1]Global_Spot Prices'!$I:$I)</f>
        <v>83.82</v>
      </c>
      <c r="G1698" cm="1">
        <f t="array" ref="G1698">_xlfn.XLOOKUP(TEXT(A1698, "mmm-yy"), TEXT([2]RUNS!$B$5:$B$208, "mmm-yy"), [2]RUNS!$D$5:$D$208, "Not Found")</f>
        <v>28658.658920451613</v>
      </c>
      <c r="H1698" cm="1">
        <f t="array" ref="H1698">SUMPRODUCT(
    --(TEXT('[3]Global Weekly Stock (EWSuez'!$B$4:$B$2000,"mmm-yy")=TEXT(A1698,"mmm-yy")),
    '[3]Global Weekly Stock (EWSuez'!$E$4:$E$2000)
/
SUMPRODUCT(
    --(TEXT('[3]Global Weekly Stock (EWSuez'!$B$4:$B$2000,"mmm-yy")=TEXT(A1698,"mmm-yy"))
)</f>
        <v>13682</v>
      </c>
      <c r="I1698">
        <f>_xlfn.XLOOKUP(A1698,[1]ForwardDeriv!$D:$D,[1]ForwardDeriv!$AJ:$AJ)</f>
        <v>1.1899999999999977</v>
      </c>
      <c r="J1698" cm="1">
        <f t="array" ref="J1698">_xlfn.XLOOKUP(TEXT(A1698, "mmm-yy"), TEXT([2]GASOLINE!$B$5:$B$208, "mmm-yy"), [2]GASOLINE!$IR$5:$IR$208, "Not Found")</f>
        <v>-58.815130799659329</v>
      </c>
      <c r="K1698" cm="1">
        <f t="array" ref="K1698">_xlfn.XLOOKUP(TEXT(A1698, "mmm-yy"), TEXT([2]GASOLINE!$B$5:$B$208, "mmm-yy"), [2]GASOLINE!$IK$5:$IK$208, "Not Found")</f>
        <v>184.91734090768301</v>
      </c>
      <c r="L1698">
        <f t="shared" si="26"/>
        <v>1</v>
      </c>
      <c r="M1698" cm="1">
        <f t="array" ref="M1698">_xlfn.XLOOKUP(TEXT(A1698, "mmm-yy"), TEXT([2]GASOLINE!$B$5:$B$208, "mmm-yy"), [2]GASOLINE!$C$5:$C$208, "Not Found")</f>
        <v>7505.0530760403517</v>
      </c>
      <c r="N1698" cm="1">
        <f t="array" ref="N1698">_xlfn.XLOOKUP(TEXT(A1698, "mmm-yy"), TEXT([2]RUNS!$B$5:$B$208, "mmm-yy"), [2]RUNS!$BM$5:$BM$208, "Not Found")</f>
        <v>0.78766336453127195</v>
      </c>
    </row>
    <row r="1699" spans="1:14" x14ac:dyDescent="0.25">
      <c r="A1699" s="1">
        <f>'[1]Global_Spot Prices'!$B3008</f>
        <v>44382</v>
      </c>
      <c r="B1699">
        <f>_xlfn.XLOOKUP(A1699,'[1]Global_Spot Prices'!$B:$B,'[1]Global_Spot Prices'!$BS:$BS)</f>
        <v>10.759999999999991</v>
      </c>
      <c r="C1699">
        <f>_xlfn.XLOOKUP(A1699,'[1]Global_Spot Prices'!$B:$B,'[1]Global_Spot Prices'!$E:$E)</f>
        <v>74.650000000000006</v>
      </c>
      <c r="D1699">
        <f>_xlfn.XLOOKUP(A1699,'[1]Global_Spot Prices'!$B:$B,'[1]Global_Spot Prices'!$D:$D)</f>
        <v>78.385000000000005</v>
      </c>
      <c r="E1699">
        <f>_xlfn.XLOOKUP(A1699,'[1]Global_Spot Prices'!$B:$B,'[1]Global_Spot Prices'!$H:$H)</f>
        <v>76.349999999999994</v>
      </c>
      <c r="F1699">
        <f>_xlfn.XLOOKUP(A1699,'[1]Global_Spot Prices'!$B:$B,'[1]Global_Spot Prices'!$I:$I)</f>
        <v>85.41</v>
      </c>
      <c r="G1699" cm="1">
        <f t="array" ref="G1699">_xlfn.XLOOKUP(TEXT(A1699, "mmm-yy"), TEXT([2]RUNS!$B$5:$B$208, "mmm-yy"), [2]RUNS!$D$5:$D$208, "Not Found")</f>
        <v>28658.658920451613</v>
      </c>
      <c r="H1699" cm="1">
        <f t="array" ref="H1699">SUMPRODUCT(
    --(TEXT('[3]Global Weekly Stock (EWSuez'!$B$4:$B$2000,"mmm-yy")=TEXT(A1699,"mmm-yy")),
    '[3]Global Weekly Stock (EWSuez'!$E$4:$E$2000)
/
SUMPRODUCT(
    --(TEXT('[3]Global Weekly Stock (EWSuez'!$B$4:$B$2000,"mmm-yy")=TEXT(A1699,"mmm-yy"))
)</f>
        <v>13682</v>
      </c>
      <c r="I1699">
        <f>_xlfn.XLOOKUP(A1699,[1]ForwardDeriv!$D:$D,[1]ForwardDeriv!$AJ:$AJ)</f>
        <v>1.289999999999992</v>
      </c>
      <c r="J1699" cm="1">
        <f t="array" ref="J1699">_xlfn.XLOOKUP(TEXT(A1699, "mmm-yy"), TEXT([2]GASOLINE!$B$5:$B$208, "mmm-yy"), [2]GASOLINE!$IR$5:$IR$208, "Not Found")</f>
        <v>-58.815130799659329</v>
      </c>
      <c r="K1699" cm="1">
        <f t="array" ref="K1699">_xlfn.XLOOKUP(TEXT(A1699, "mmm-yy"), TEXT([2]GASOLINE!$B$5:$B$208, "mmm-yy"), [2]GASOLINE!$IK$5:$IK$208, "Not Found")</f>
        <v>184.91734090768301</v>
      </c>
      <c r="L1699">
        <f t="shared" si="26"/>
        <v>1</v>
      </c>
      <c r="M1699" cm="1">
        <f t="array" ref="M1699">_xlfn.XLOOKUP(TEXT(A1699, "mmm-yy"), TEXT([2]GASOLINE!$B$5:$B$208, "mmm-yy"), [2]GASOLINE!$C$5:$C$208, "Not Found")</f>
        <v>7505.0530760403517</v>
      </c>
      <c r="N1699" cm="1">
        <f t="array" ref="N1699">_xlfn.XLOOKUP(TEXT(A1699, "mmm-yy"), TEXT([2]RUNS!$B$5:$B$208, "mmm-yy"), [2]RUNS!$BM$5:$BM$208, "Not Found")</f>
        <v>0.78766336453127195</v>
      </c>
    </row>
    <row r="1700" spans="1:14" x14ac:dyDescent="0.25">
      <c r="A1700" s="1">
        <f>'[1]Global_Spot Prices'!$B3009</f>
        <v>44383</v>
      </c>
      <c r="B1700">
        <f>_xlfn.XLOOKUP(A1700,'[1]Global_Spot Prices'!$B:$B,'[1]Global_Spot Prices'!$BS:$BS)</f>
        <v>11.260000000000005</v>
      </c>
      <c r="C1700">
        <f>_xlfn.XLOOKUP(A1700,'[1]Global_Spot Prices'!$B:$B,'[1]Global_Spot Prices'!$E:$E)</f>
        <v>75.849999999999994</v>
      </c>
      <c r="D1700">
        <f>_xlfn.XLOOKUP(A1700,'[1]Global_Spot Prices'!$B:$B,'[1]Global_Spot Prices'!$D:$D)</f>
        <v>76.114999999999995</v>
      </c>
      <c r="E1700">
        <f>_xlfn.XLOOKUP(A1700,'[1]Global_Spot Prices'!$B:$B,'[1]Global_Spot Prices'!$H:$H)</f>
        <v>77.84</v>
      </c>
      <c r="F1700">
        <f>_xlfn.XLOOKUP(A1700,'[1]Global_Spot Prices'!$B:$B,'[1]Global_Spot Prices'!$I:$I)</f>
        <v>87.11</v>
      </c>
      <c r="G1700" cm="1">
        <f t="array" ref="G1700">_xlfn.XLOOKUP(TEXT(A1700, "mmm-yy"), TEXT([2]RUNS!$B$5:$B$208, "mmm-yy"), [2]RUNS!$D$5:$D$208, "Not Found")</f>
        <v>28658.658920451613</v>
      </c>
      <c r="H1700" cm="1">
        <f t="array" ref="H1700">SUMPRODUCT(
    --(TEXT('[3]Global Weekly Stock (EWSuez'!$B$4:$B$2000,"mmm-yy")=TEXT(A1700,"mmm-yy")),
    '[3]Global Weekly Stock (EWSuez'!$E$4:$E$2000)
/
SUMPRODUCT(
    --(TEXT('[3]Global Weekly Stock (EWSuez'!$B$4:$B$2000,"mmm-yy")=TEXT(A1700,"mmm-yy"))
)</f>
        <v>13682</v>
      </c>
      <c r="I1700">
        <f>_xlfn.XLOOKUP(A1700,[1]ForwardDeriv!$D:$D,[1]ForwardDeriv!$AJ:$AJ)</f>
        <v>1.960000000000008</v>
      </c>
      <c r="J1700" cm="1">
        <f t="array" ref="J1700">_xlfn.XLOOKUP(TEXT(A1700, "mmm-yy"), TEXT([2]GASOLINE!$B$5:$B$208, "mmm-yy"), [2]GASOLINE!$IR$5:$IR$208, "Not Found")</f>
        <v>-58.815130799659329</v>
      </c>
      <c r="K1700" cm="1">
        <f t="array" ref="K1700">_xlfn.XLOOKUP(TEXT(A1700, "mmm-yy"), TEXT([2]GASOLINE!$B$5:$B$208, "mmm-yy"), [2]GASOLINE!$IK$5:$IK$208, "Not Found")</f>
        <v>184.91734090768301</v>
      </c>
      <c r="L1700">
        <f t="shared" si="26"/>
        <v>1</v>
      </c>
      <c r="M1700" cm="1">
        <f t="array" ref="M1700">_xlfn.XLOOKUP(TEXT(A1700, "mmm-yy"), TEXT([2]GASOLINE!$B$5:$B$208, "mmm-yy"), [2]GASOLINE!$C$5:$C$208, "Not Found")</f>
        <v>7505.0530760403517</v>
      </c>
      <c r="N1700" cm="1">
        <f t="array" ref="N1700">_xlfn.XLOOKUP(TEXT(A1700, "mmm-yy"), TEXT([2]RUNS!$B$5:$B$208, "mmm-yy"), [2]RUNS!$BM$5:$BM$208, "Not Found")</f>
        <v>0.78766336453127195</v>
      </c>
    </row>
    <row r="1701" spans="1:14" x14ac:dyDescent="0.25">
      <c r="A1701" s="1">
        <f>'[1]Global_Spot Prices'!$B3010</f>
        <v>44384</v>
      </c>
      <c r="B1701">
        <f ca="1">_xlfn.XLOOKUP(A1701,'[1]Global_Spot Prices'!$B:$B,'[1]Global_Spot Prices'!$BS:$BS)</f>
        <v>10.569999999999993</v>
      </c>
      <c r="C1701">
        <f>_xlfn.XLOOKUP(A1701,'[1]Global_Spot Prices'!$B:$B,'[1]Global_Spot Prices'!$E:$E)</f>
        <v>73.25</v>
      </c>
      <c r="D1701">
        <f>_xlfn.XLOOKUP(A1701,'[1]Global_Spot Prices'!$B:$B,'[1]Global_Spot Prices'!$D:$D)</f>
        <v>74.194999999999993</v>
      </c>
      <c r="E1701">
        <f ca="1">_xlfn.XLOOKUP(A1701,'[1]Global_Spot Prices'!$B:$B,'[1]Global_Spot Prices'!$H:$H)</f>
        <v>74.73</v>
      </c>
      <c r="F1701">
        <f>_xlfn.XLOOKUP(A1701,'[1]Global_Spot Prices'!$B:$B,'[1]Global_Spot Prices'!$I:$I)</f>
        <v>83.82</v>
      </c>
      <c r="G1701" cm="1">
        <f t="array" ref="G1701">_xlfn.XLOOKUP(TEXT(A1701, "mmm-yy"), TEXT([2]RUNS!$B$5:$B$208, "mmm-yy"), [2]RUNS!$D$5:$D$208, "Not Found")</f>
        <v>28658.658920451613</v>
      </c>
      <c r="H1701" cm="1">
        <f t="array" ref="H1701">SUMPRODUCT(
    --(TEXT('[3]Global Weekly Stock (EWSuez'!$B$4:$B$2000,"mmm-yy")=TEXT(A1701,"mmm-yy")),
    '[3]Global Weekly Stock (EWSuez'!$E$4:$E$2000)
/
SUMPRODUCT(
    --(TEXT('[3]Global Weekly Stock (EWSuez'!$B$4:$B$2000,"mmm-yy")=TEXT(A1701,"mmm-yy"))
)</f>
        <v>13682</v>
      </c>
      <c r="I1701">
        <f>_xlfn.XLOOKUP(A1701,[1]ForwardDeriv!$D:$D,[1]ForwardDeriv!$AJ:$AJ)</f>
        <v>1.4799999999999898</v>
      </c>
      <c r="J1701" cm="1">
        <f t="array" ref="J1701">_xlfn.XLOOKUP(TEXT(A1701, "mmm-yy"), TEXT([2]GASOLINE!$B$5:$B$208, "mmm-yy"), [2]GASOLINE!$IR$5:$IR$208, "Not Found")</f>
        <v>-58.815130799659329</v>
      </c>
      <c r="K1701" cm="1">
        <f t="array" ref="K1701">_xlfn.XLOOKUP(TEXT(A1701, "mmm-yy"), TEXT([2]GASOLINE!$B$5:$B$208, "mmm-yy"), [2]GASOLINE!$IK$5:$IK$208, "Not Found")</f>
        <v>184.91734090768301</v>
      </c>
      <c r="L1701">
        <f t="shared" si="26"/>
        <v>1</v>
      </c>
      <c r="M1701" cm="1">
        <f t="array" ref="M1701">_xlfn.XLOOKUP(TEXT(A1701, "mmm-yy"), TEXT([2]GASOLINE!$B$5:$B$208, "mmm-yy"), [2]GASOLINE!$C$5:$C$208, "Not Found")</f>
        <v>7505.0530760403517</v>
      </c>
      <c r="N1701" cm="1">
        <f t="array" ref="N1701">_xlfn.XLOOKUP(TEXT(A1701, "mmm-yy"), TEXT([2]RUNS!$B$5:$B$208, "mmm-yy"), [2]RUNS!$BM$5:$BM$208, "Not Found")</f>
        <v>0.78766336453127195</v>
      </c>
    </row>
    <row r="1702" spans="1:14" x14ac:dyDescent="0.25">
      <c r="A1702" s="1">
        <f>'[1]Global_Spot Prices'!$B3011</f>
        <v>44385</v>
      </c>
      <c r="B1702">
        <f>_xlfn.XLOOKUP(A1702,'[1]Global_Spot Prices'!$B:$B,'[1]Global_Spot Prices'!$BS:$BS)</f>
        <v>9.8400000000000034</v>
      </c>
      <c r="C1702">
        <f>_xlfn.XLOOKUP(A1702,'[1]Global_Spot Prices'!$B:$B,'[1]Global_Spot Prices'!$E:$E)</f>
        <v>70.59</v>
      </c>
      <c r="D1702">
        <f>_xlfn.XLOOKUP(A1702,'[1]Global_Spot Prices'!$B:$B,'[1]Global_Spot Prices'!$D:$D)</f>
        <v>74.885000000000005</v>
      </c>
      <c r="E1702">
        <f>_xlfn.XLOOKUP(A1702,'[1]Global_Spot Prices'!$B:$B,'[1]Global_Spot Prices'!$H:$H)</f>
        <v>72.59</v>
      </c>
      <c r="F1702">
        <f>_xlfn.XLOOKUP(A1702,'[1]Global_Spot Prices'!$B:$B,'[1]Global_Spot Prices'!$I:$I)</f>
        <v>80.430000000000007</v>
      </c>
      <c r="G1702" cm="1">
        <f t="array" ref="G1702">_xlfn.XLOOKUP(TEXT(A1702, "mmm-yy"), TEXT([2]RUNS!$B$5:$B$208, "mmm-yy"), [2]RUNS!$D$5:$D$208, "Not Found")</f>
        <v>28658.658920451613</v>
      </c>
      <c r="H1702" cm="1">
        <f t="array" ref="H1702">SUMPRODUCT(
    --(TEXT('[3]Global Weekly Stock (EWSuez'!$B$4:$B$2000,"mmm-yy")=TEXT(A1702,"mmm-yy")),
    '[3]Global Weekly Stock (EWSuez'!$E$4:$E$2000)
/
SUMPRODUCT(
    --(TEXT('[3]Global Weekly Stock (EWSuez'!$B$4:$B$2000,"mmm-yy")=TEXT(A1702,"mmm-yy"))
)</f>
        <v>13682</v>
      </c>
      <c r="I1702">
        <f>_xlfn.XLOOKUP(A1702,[1]ForwardDeriv!$D:$D,[1]ForwardDeriv!$AJ:$AJ)</f>
        <v>1.2700000000000102</v>
      </c>
      <c r="J1702" cm="1">
        <f t="array" ref="J1702">_xlfn.XLOOKUP(TEXT(A1702, "mmm-yy"), TEXT([2]GASOLINE!$B$5:$B$208, "mmm-yy"), [2]GASOLINE!$IR$5:$IR$208, "Not Found")</f>
        <v>-58.815130799659329</v>
      </c>
      <c r="K1702" cm="1">
        <f t="array" ref="K1702">_xlfn.XLOOKUP(TEXT(A1702, "mmm-yy"), TEXT([2]GASOLINE!$B$5:$B$208, "mmm-yy"), [2]GASOLINE!$IK$5:$IK$208, "Not Found")</f>
        <v>184.91734090768301</v>
      </c>
      <c r="L1702">
        <f t="shared" si="26"/>
        <v>1</v>
      </c>
      <c r="M1702" cm="1">
        <f t="array" ref="M1702">_xlfn.XLOOKUP(TEXT(A1702, "mmm-yy"), TEXT([2]GASOLINE!$B$5:$B$208, "mmm-yy"), [2]GASOLINE!$C$5:$C$208, "Not Found")</f>
        <v>7505.0530760403517</v>
      </c>
      <c r="N1702" cm="1">
        <f t="array" ref="N1702">_xlfn.XLOOKUP(TEXT(A1702, "mmm-yy"), TEXT([2]RUNS!$B$5:$B$208, "mmm-yy"), [2]RUNS!$BM$5:$BM$208, "Not Found")</f>
        <v>0.78766336453127195</v>
      </c>
    </row>
    <row r="1703" spans="1:14" x14ac:dyDescent="0.25">
      <c r="A1703" s="1">
        <f>'[1]Global_Spot Prices'!$B3012</f>
        <v>44386</v>
      </c>
      <c r="B1703">
        <f>_xlfn.XLOOKUP(A1703,'[1]Global_Spot Prices'!$B:$B,'[1]Global_Spot Prices'!$BS:$BS)</f>
        <v>10.629999999999995</v>
      </c>
      <c r="C1703">
        <f>_xlfn.XLOOKUP(A1703,'[1]Global_Spot Prices'!$B:$B,'[1]Global_Spot Prices'!$E:$E)</f>
        <v>73</v>
      </c>
      <c r="D1703">
        <f>_xlfn.XLOOKUP(A1703,'[1]Global_Spot Prices'!$B:$B,'[1]Global_Spot Prices'!$D:$D)</f>
        <v>77.010000000000005</v>
      </c>
      <c r="E1703">
        <f>_xlfn.XLOOKUP(A1703,'[1]Global_Spot Prices'!$B:$B,'[1]Global_Spot Prices'!$H:$H)</f>
        <v>75.11</v>
      </c>
      <c r="F1703">
        <f>_xlfn.XLOOKUP(A1703,'[1]Global_Spot Prices'!$B:$B,'[1]Global_Spot Prices'!$I:$I)</f>
        <v>83.63</v>
      </c>
      <c r="G1703" cm="1">
        <f t="array" ref="G1703">_xlfn.XLOOKUP(TEXT(A1703, "mmm-yy"), TEXT([2]RUNS!$B$5:$B$208, "mmm-yy"), [2]RUNS!$D$5:$D$208, "Not Found")</f>
        <v>28658.658920451613</v>
      </c>
      <c r="H1703" cm="1">
        <f t="array" ref="H1703">SUMPRODUCT(
    --(TEXT('[3]Global Weekly Stock (EWSuez'!$B$4:$B$2000,"mmm-yy")=TEXT(A1703,"mmm-yy")),
    '[3]Global Weekly Stock (EWSuez'!$E$4:$E$2000)
/
SUMPRODUCT(
    --(TEXT('[3]Global Weekly Stock (EWSuez'!$B$4:$B$2000,"mmm-yy")=TEXT(A1703,"mmm-yy"))
)</f>
        <v>13682</v>
      </c>
      <c r="I1703">
        <f>_xlfn.XLOOKUP(A1703,[1]ForwardDeriv!$D:$D,[1]ForwardDeriv!$AJ:$AJ)</f>
        <v>1.4099999999999966</v>
      </c>
      <c r="J1703" cm="1">
        <f t="array" ref="J1703">_xlfn.XLOOKUP(TEXT(A1703, "mmm-yy"), TEXT([2]GASOLINE!$B$5:$B$208, "mmm-yy"), [2]GASOLINE!$IR$5:$IR$208, "Not Found")</f>
        <v>-58.815130799659329</v>
      </c>
      <c r="K1703" cm="1">
        <f t="array" ref="K1703">_xlfn.XLOOKUP(TEXT(A1703, "mmm-yy"), TEXT([2]GASOLINE!$B$5:$B$208, "mmm-yy"), [2]GASOLINE!$IK$5:$IK$208, "Not Found")</f>
        <v>184.91734090768301</v>
      </c>
      <c r="L1703">
        <f t="shared" si="26"/>
        <v>1</v>
      </c>
      <c r="M1703" cm="1">
        <f t="array" ref="M1703">_xlfn.XLOOKUP(TEXT(A1703, "mmm-yy"), TEXT([2]GASOLINE!$B$5:$B$208, "mmm-yy"), [2]GASOLINE!$C$5:$C$208, "Not Found")</f>
        <v>7505.0530760403517</v>
      </c>
      <c r="N1703" cm="1">
        <f t="array" ref="N1703">_xlfn.XLOOKUP(TEXT(A1703, "mmm-yy"), TEXT([2]RUNS!$B$5:$B$208, "mmm-yy"), [2]RUNS!$BM$5:$BM$208, "Not Found")</f>
        <v>0.78766336453127195</v>
      </c>
    </row>
    <row r="1704" spans="1:14" x14ac:dyDescent="0.25">
      <c r="A1704" s="1">
        <f>'[1]Global_Spot Prices'!$B3013</f>
        <v>44389</v>
      </c>
      <c r="B1704">
        <f>_xlfn.XLOOKUP(A1704,'[1]Global_Spot Prices'!$B:$B,'[1]Global_Spot Prices'!$BS:$BS)</f>
        <v>10.430000000000007</v>
      </c>
      <c r="C1704">
        <f>_xlfn.XLOOKUP(A1704,'[1]Global_Spot Prices'!$B:$B,'[1]Global_Spot Prices'!$E:$E)</f>
        <v>73.5</v>
      </c>
      <c r="D1704">
        <f>_xlfn.XLOOKUP(A1704,'[1]Global_Spot Prices'!$B:$B,'[1]Global_Spot Prices'!$D:$D)</f>
        <v>76.27</v>
      </c>
      <c r="E1704">
        <f>_xlfn.XLOOKUP(A1704,'[1]Global_Spot Prices'!$B:$B,'[1]Global_Spot Prices'!$H:$H)</f>
        <v>75.900000000000006</v>
      </c>
      <c r="F1704">
        <f>_xlfn.XLOOKUP(A1704,'[1]Global_Spot Prices'!$B:$B,'[1]Global_Spot Prices'!$I:$I)</f>
        <v>83.93</v>
      </c>
      <c r="G1704" cm="1">
        <f t="array" ref="G1704">_xlfn.XLOOKUP(TEXT(A1704, "mmm-yy"), TEXT([2]RUNS!$B$5:$B$208, "mmm-yy"), [2]RUNS!$D$5:$D$208, "Not Found")</f>
        <v>28658.658920451613</v>
      </c>
      <c r="H1704" cm="1">
        <f t="array" ref="H1704">SUMPRODUCT(
    --(TEXT('[3]Global Weekly Stock (EWSuez'!$B$4:$B$2000,"mmm-yy")=TEXT(A1704,"mmm-yy")),
    '[3]Global Weekly Stock (EWSuez'!$E$4:$E$2000)
/
SUMPRODUCT(
    --(TEXT('[3]Global Weekly Stock (EWSuez'!$B$4:$B$2000,"mmm-yy")=TEXT(A1704,"mmm-yy"))
)</f>
        <v>13682</v>
      </c>
      <c r="I1704">
        <f>_xlfn.XLOOKUP(A1704,[1]ForwardDeriv!$D:$D,[1]ForwardDeriv!$AJ:$AJ)</f>
        <v>1.4199999999999875</v>
      </c>
      <c r="J1704" cm="1">
        <f t="array" ref="J1704">_xlfn.XLOOKUP(TEXT(A1704, "mmm-yy"), TEXT([2]GASOLINE!$B$5:$B$208, "mmm-yy"), [2]GASOLINE!$IR$5:$IR$208, "Not Found")</f>
        <v>-58.815130799659329</v>
      </c>
      <c r="K1704" cm="1">
        <f t="array" ref="K1704">_xlfn.XLOOKUP(TEXT(A1704, "mmm-yy"), TEXT([2]GASOLINE!$B$5:$B$208, "mmm-yy"), [2]GASOLINE!$IK$5:$IK$208, "Not Found")</f>
        <v>184.91734090768301</v>
      </c>
      <c r="L1704">
        <f t="shared" si="26"/>
        <v>1</v>
      </c>
      <c r="M1704" cm="1">
        <f t="array" ref="M1704">_xlfn.XLOOKUP(TEXT(A1704, "mmm-yy"), TEXT([2]GASOLINE!$B$5:$B$208, "mmm-yy"), [2]GASOLINE!$C$5:$C$208, "Not Found")</f>
        <v>7505.0530760403517</v>
      </c>
      <c r="N1704" cm="1">
        <f t="array" ref="N1704">_xlfn.XLOOKUP(TEXT(A1704, "mmm-yy"), TEXT([2]RUNS!$B$5:$B$208, "mmm-yy"), [2]RUNS!$BM$5:$BM$208, "Not Found")</f>
        <v>0.78766336453127195</v>
      </c>
    </row>
    <row r="1705" spans="1:14" x14ac:dyDescent="0.25">
      <c r="A1705" s="1">
        <f>'[1]Global_Spot Prices'!$B3014</f>
        <v>44390</v>
      </c>
      <c r="B1705">
        <f ca="1">_xlfn.XLOOKUP(A1705,'[1]Global_Spot Prices'!$B:$B,'[1]Global_Spot Prices'!$BS:$BS)</f>
        <v>10.030000000000001</v>
      </c>
      <c r="C1705">
        <f>_xlfn.XLOOKUP(A1705,'[1]Global_Spot Prices'!$B:$B,'[1]Global_Spot Prices'!$E:$E)</f>
        <v>74.34</v>
      </c>
      <c r="D1705">
        <f>_xlfn.XLOOKUP(A1705,'[1]Global_Spot Prices'!$B:$B,'[1]Global_Spot Prices'!$D:$D)</f>
        <v>76.78</v>
      </c>
      <c r="E1705">
        <f ca="1">_xlfn.XLOOKUP(A1705,'[1]Global_Spot Prices'!$B:$B,'[1]Global_Spot Prices'!$H:$H)</f>
        <v>76.45</v>
      </c>
      <c r="F1705">
        <f>_xlfn.XLOOKUP(A1705,'[1]Global_Spot Prices'!$B:$B,'[1]Global_Spot Prices'!$I:$I)</f>
        <v>84.37</v>
      </c>
      <c r="G1705" cm="1">
        <f t="array" ref="G1705">_xlfn.XLOOKUP(TEXT(A1705, "mmm-yy"), TEXT([2]RUNS!$B$5:$B$208, "mmm-yy"), [2]RUNS!$D$5:$D$208, "Not Found")</f>
        <v>28658.658920451613</v>
      </c>
      <c r="H1705" cm="1">
        <f t="array" ref="H1705">SUMPRODUCT(
    --(TEXT('[3]Global Weekly Stock (EWSuez'!$B$4:$B$2000,"mmm-yy")=TEXT(A1705,"mmm-yy")),
    '[3]Global Weekly Stock (EWSuez'!$E$4:$E$2000)
/
SUMPRODUCT(
    --(TEXT('[3]Global Weekly Stock (EWSuez'!$B$4:$B$2000,"mmm-yy")=TEXT(A1705,"mmm-yy"))
)</f>
        <v>13682</v>
      </c>
      <c r="I1705">
        <f>_xlfn.XLOOKUP(A1705,[1]ForwardDeriv!$D:$D,[1]ForwardDeriv!$AJ:$AJ)</f>
        <v>1.3499999999999943</v>
      </c>
      <c r="J1705" cm="1">
        <f t="array" ref="J1705">_xlfn.XLOOKUP(TEXT(A1705, "mmm-yy"), TEXT([2]GASOLINE!$B$5:$B$208, "mmm-yy"), [2]GASOLINE!$IR$5:$IR$208, "Not Found")</f>
        <v>-58.815130799659329</v>
      </c>
      <c r="K1705" cm="1">
        <f t="array" ref="K1705">_xlfn.XLOOKUP(TEXT(A1705, "mmm-yy"), TEXT([2]GASOLINE!$B$5:$B$208, "mmm-yy"), [2]GASOLINE!$IK$5:$IK$208, "Not Found")</f>
        <v>184.91734090768301</v>
      </c>
      <c r="L1705">
        <f t="shared" si="26"/>
        <v>1</v>
      </c>
      <c r="M1705" cm="1">
        <f t="array" ref="M1705">_xlfn.XLOOKUP(TEXT(A1705, "mmm-yy"), TEXT([2]GASOLINE!$B$5:$B$208, "mmm-yy"), [2]GASOLINE!$C$5:$C$208, "Not Found")</f>
        <v>7505.0530760403517</v>
      </c>
      <c r="N1705" cm="1">
        <f t="array" ref="N1705">_xlfn.XLOOKUP(TEXT(A1705, "mmm-yy"), TEXT([2]RUNS!$B$5:$B$208, "mmm-yy"), [2]RUNS!$BM$5:$BM$208, "Not Found")</f>
        <v>0.78766336453127195</v>
      </c>
    </row>
    <row r="1706" spans="1:14" x14ac:dyDescent="0.25">
      <c r="A1706" s="1">
        <f>'[1]Global_Spot Prices'!$B3015</f>
        <v>44391</v>
      </c>
      <c r="B1706">
        <f>_xlfn.XLOOKUP(A1706,'[1]Global_Spot Prices'!$B:$B,'[1]Global_Spot Prices'!$BS:$BS)</f>
        <v>9.8500000000000085</v>
      </c>
      <c r="C1706">
        <f>_xlfn.XLOOKUP(A1706,'[1]Global_Spot Prices'!$B:$B,'[1]Global_Spot Prices'!$E:$E)</f>
        <v>74.69</v>
      </c>
      <c r="D1706">
        <f>_xlfn.XLOOKUP(A1706,'[1]Global_Spot Prices'!$B:$B,'[1]Global_Spot Prices'!$D:$D)</f>
        <v>76.97</v>
      </c>
      <c r="E1706">
        <f>_xlfn.XLOOKUP(A1706,'[1]Global_Spot Prices'!$B:$B,'[1]Global_Spot Prices'!$H:$H)</f>
        <v>76.84</v>
      </c>
      <c r="F1706">
        <f>_xlfn.XLOOKUP(A1706,'[1]Global_Spot Prices'!$B:$B,'[1]Global_Spot Prices'!$I:$I)</f>
        <v>84.54</v>
      </c>
      <c r="G1706" cm="1">
        <f t="array" ref="G1706">_xlfn.XLOOKUP(TEXT(A1706, "mmm-yy"), TEXT([2]RUNS!$B$5:$B$208, "mmm-yy"), [2]RUNS!$D$5:$D$208, "Not Found")</f>
        <v>28658.658920451613</v>
      </c>
      <c r="H1706" cm="1">
        <f t="array" ref="H1706">SUMPRODUCT(
    --(TEXT('[3]Global Weekly Stock (EWSuez'!$B$4:$B$2000,"mmm-yy")=TEXT(A1706,"mmm-yy")),
    '[3]Global Weekly Stock (EWSuez'!$E$4:$E$2000)
/
SUMPRODUCT(
    --(TEXT('[3]Global Weekly Stock (EWSuez'!$B$4:$B$2000,"mmm-yy")=TEXT(A1706,"mmm-yy"))
)</f>
        <v>13682</v>
      </c>
      <c r="I1706">
        <f>_xlfn.XLOOKUP(A1706,[1]ForwardDeriv!$D:$D,[1]ForwardDeriv!$AJ:$AJ)</f>
        <v>1.2000000000000028</v>
      </c>
      <c r="J1706" cm="1">
        <f t="array" ref="J1706">_xlfn.XLOOKUP(TEXT(A1706, "mmm-yy"), TEXT([2]GASOLINE!$B$5:$B$208, "mmm-yy"), [2]GASOLINE!$IR$5:$IR$208, "Not Found")</f>
        <v>-58.815130799659329</v>
      </c>
      <c r="K1706" cm="1">
        <f t="array" ref="K1706">_xlfn.XLOOKUP(TEXT(A1706, "mmm-yy"), TEXT([2]GASOLINE!$B$5:$B$208, "mmm-yy"), [2]GASOLINE!$IK$5:$IK$208, "Not Found")</f>
        <v>184.91734090768301</v>
      </c>
      <c r="L1706">
        <f t="shared" si="26"/>
        <v>1</v>
      </c>
      <c r="M1706" cm="1">
        <f t="array" ref="M1706">_xlfn.XLOOKUP(TEXT(A1706, "mmm-yy"), TEXT([2]GASOLINE!$B$5:$B$208, "mmm-yy"), [2]GASOLINE!$C$5:$C$208, "Not Found")</f>
        <v>7505.0530760403517</v>
      </c>
      <c r="N1706" cm="1">
        <f t="array" ref="N1706">_xlfn.XLOOKUP(TEXT(A1706, "mmm-yy"), TEXT([2]RUNS!$B$5:$B$208, "mmm-yy"), [2]RUNS!$BM$5:$BM$208, "Not Found")</f>
        <v>0.78766336453127195</v>
      </c>
    </row>
    <row r="1707" spans="1:14" x14ac:dyDescent="0.25">
      <c r="A1707" s="1">
        <f>'[1]Global_Spot Prices'!$B3016</f>
        <v>44392</v>
      </c>
      <c r="B1707">
        <f ca="1">_xlfn.XLOOKUP(A1707,'[1]Global_Spot Prices'!$B:$B,'[1]Global_Spot Prices'!$BS:$BS)</f>
        <v>10.049999999999997</v>
      </c>
      <c r="C1707">
        <f>_xlfn.XLOOKUP(A1707,'[1]Global_Spot Prices'!$B:$B,'[1]Global_Spot Prices'!$E:$E)</f>
        <v>72.2</v>
      </c>
      <c r="D1707">
        <f>_xlfn.XLOOKUP(A1707,'[1]Global_Spot Prices'!$B:$B,'[1]Global_Spot Prices'!$D:$D)</f>
        <v>75.415000000000006</v>
      </c>
      <c r="E1707">
        <f>_xlfn.XLOOKUP(A1707,'[1]Global_Spot Prices'!$B:$B,'[1]Global_Spot Prices'!$H:$H)</f>
        <v>74.78</v>
      </c>
      <c r="F1707">
        <f>_xlfn.XLOOKUP(A1707,'[1]Global_Spot Prices'!$B:$B,'[1]Global_Spot Prices'!$I:$I)</f>
        <v>82.25</v>
      </c>
      <c r="G1707" cm="1">
        <f t="array" ref="G1707">_xlfn.XLOOKUP(TEXT(A1707, "mmm-yy"), TEXT([2]RUNS!$B$5:$B$208, "mmm-yy"), [2]RUNS!$D$5:$D$208, "Not Found")</f>
        <v>28658.658920451613</v>
      </c>
      <c r="H1707" cm="1">
        <f t="array" ref="H1707">SUMPRODUCT(
    --(TEXT('[3]Global Weekly Stock (EWSuez'!$B$4:$B$2000,"mmm-yy")=TEXT(A1707,"mmm-yy")),
    '[3]Global Weekly Stock (EWSuez'!$E$4:$E$2000)
/
SUMPRODUCT(
    --(TEXT('[3]Global Weekly Stock (EWSuez'!$B$4:$B$2000,"mmm-yy")=TEXT(A1707,"mmm-yy"))
)</f>
        <v>13682</v>
      </c>
      <c r="I1707">
        <f>_xlfn.XLOOKUP(A1707,[1]ForwardDeriv!$D:$D,[1]ForwardDeriv!$AJ:$AJ)</f>
        <v>1.269999999999996</v>
      </c>
      <c r="J1707" cm="1">
        <f t="array" ref="J1707">_xlfn.XLOOKUP(TEXT(A1707, "mmm-yy"), TEXT([2]GASOLINE!$B$5:$B$208, "mmm-yy"), [2]GASOLINE!$IR$5:$IR$208, "Not Found")</f>
        <v>-58.815130799659329</v>
      </c>
      <c r="K1707" cm="1">
        <f t="array" ref="K1707">_xlfn.XLOOKUP(TEXT(A1707, "mmm-yy"), TEXT([2]GASOLINE!$B$5:$B$208, "mmm-yy"), [2]GASOLINE!$IK$5:$IK$208, "Not Found")</f>
        <v>184.91734090768301</v>
      </c>
      <c r="L1707">
        <f t="shared" si="26"/>
        <v>1</v>
      </c>
      <c r="M1707" cm="1">
        <f t="array" ref="M1707">_xlfn.XLOOKUP(TEXT(A1707, "mmm-yy"), TEXT([2]GASOLINE!$B$5:$B$208, "mmm-yy"), [2]GASOLINE!$C$5:$C$208, "Not Found")</f>
        <v>7505.0530760403517</v>
      </c>
      <c r="N1707" cm="1">
        <f t="array" ref="N1707">_xlfn.XLOOKUP(TEXT(A1707, "mmm-yy"), TEXT([2]RUNS!$B$5:$B$208, "mmm-yy"), [2]RUNS!$BM$5:$BM$208, "Not Found")</f>
        <v>0.78766336453127195</v>
      </c>
    </row>
    <row r="1708" spans="1:14" x14ac:dyDescent="0.25">
      <c r="A1708" s="1">
        <f>'[1]Global_Spot Prices'!$B3017</f>
        <v>44393</v>
      </c>
      <c r="B1708">
        <f>_xlfn.XLOOKUP(A1708,'[1]Global_Spot Prices'!$B:$B,'[1]Global_Spot Prices'!$BS:$BS)</f>
        <v>10</v>
      </c>
      <c r="C1708">
        <f>_xlfn.XLOOKUP(A1708,'[1]Global_Spot Prices'!$B:$B,'[1]Global_Spot Prices'!$E:$E)</f>
        <v>72.2</v>
      </c>
      <c r="D1708">
        <f>_xlfn.XLOOKUP(A1708,'[1]Global_Spot Prices'!$B:$B,'[1]Global_Spot Prices'!$D:$D)</f>
        <v>74.515000000000001</v>
      </c>
      <c r="E1708">
        <f>_xlfn.XLOOKUP(A1708,'[1]Global_Spot Prices'!$B:$B,'[1]Global_Spot Prices'!$H:$H)</f>
        <v>75.39</v>
      </c>
      <c r="F1708">
        <f>_xlfn.XLOOKUP(A1708,'[1]Global_Spot Prices'!$B:$B,'[1]Global_Spot Prices'!$I:$I)</f>
        <v>82.2</v>
      </c>
      <c r="G1708" cm="1">
        <f t="array" ref="G1708">_xlfn.XLOOKUP(TEXT(A1708, "mmm-yy"), TEXT([2]RUNS!$B$5:$B$208, "mmm-yy"), [2]RUNS!$D$5:$D$208, "Not Found")</f>
        <v>28658.658920451613</v>
      </c>
      <c r="H1708" cm="1">
        <f t="array" ref="H1708">SUMPRODUCT(
    --(TEXT('[3]Global Weekly Stock (EWSuez'!$B$4:$B$2000,"mmm-yy")=TEXT(A1708,"mmm-yy")),
    '[3]Global Weekly Stock (EWSuez'!$E$4:$E$2000)
/
SUMPRODUCT(
    --(TEXT('[3]Global Weekly Stock (EWSuez'!$B$4:$B$2000,"mmm-yy")=TEXT(A1708,"mmm-yy"))
)</f>
        <v>13682</v>
      </c>
      <c r="I1708">
        <f>_xlfn.XLOOKUP(A1708,[1]ForwardDeriv!$D:$D,[1]ForwardDeriv!$AJ:$AJ)</f>
        <v>1.2600000000000051</v>
      </c>
      <c r="J1708" cm="1">
        <f t="array" ref="J1708">_xlfn.XLOOKUP(TEXT(A1708, "mmm-yy"), TEXT([2]GASOLINE!$B$5:$B$208, "mmm-yy"), [2]GASOLINE!$IR$5:$IR$208, "Not Found")</f>
        <v>-58.815130799659329</v>
      </c>
      <c r="K1708" cm="1">
        <f t="array" ref="K1708">_xlfn.XLOOKUP(TEXT(A1708, "mmm-yy"), TEXT([2]GASOLINE!$B$5:$B$208, "mmm-yy"), [2]GASOLINE!$IK$5:$IK$208, "Not Found")</f>
        <v>184.91734090768301</v>
      </c>
      <c r="L1708">
        <f t="shared" si="26"/>
        <v>1</v>
      </c>
      <c r="M1708" cm="1">
        <f t="array" ref="M1708">_xlfn.XLOOKUP(TEXT(A1708, "mmm-yy"), TEXT([2]GASOLINE!$B$5:$B$208, "mmm-yy"), [2]GASOLINE!$C$5:$C$208, "Not Found")</f>
        <v>7505.0530760403517</v>
      </c>
      <c r="N1708" cm="1">
        <f t="array" ref="N1708">_xlfn.XLOOKUP(TEXT(A1708, "mmm-yy"), TEXT([2]RUNS!$B$5:$B$208, "mmm-yy"), [2]RUNS!$BM$5:$BM$208, "Not Found")</f>
        <v>0.78766336453127195</v>
      </c>
    </row>
    <row r="1709" spans="1:14" x14ac:dyDescent="0.25">
      <c r="A1709" s="1">
        <f>'[1]Global_Spot Prices'!$B3018</f>
        <v>44396</v>
      </c>
      <c r="B1709">
        <f>_xlfn.XLOOKUP(A1709,'[1]Global_Spot Prices'!$B:$B,'[1]Global_Spot Prices'!$BS:$BS)</f>
        <v>9.5400000000000063</v>
      </c>
      <c r="C1709">
        <f>_xlfn.XLOOKUP(A1709,'[1]Global_Spot Prices'!$B:$B,'[1]Global_Spot Prices'!$E:$E)</f>
        <v>71.64</v>
      </c>
      <c r="D1709">
        <f>_xlfn.XLOOKUP(A1709,'[1]Global_Spot Prices'!$B:$B,'[1]Global_Spot Prices'!$D:$D)</f>
        <v>69.75</v>
      </c>
      <c r="E1709">
        <f>_xlfn.XLOOKUP(A1709,'[1]Global_Spot Prices'!$B:$B,'[1]Global_Spot Prices'!$H:$H)</f>
        <v>75.16</v>
      </c>
      <c r="F1709">
        <f>_xlfn.XLOOKUP(A1709,'[1]Global_Spot Prices'!$B:$B,'[1]Global_Spot Prices'!$I:$I)</f>
        <v>81.180000000000007</v>
      </c>
      <c r="G1709" cm="1">
        <f t="array" ref="G1709">_xlfn.XLOOKUP(TEXT(A1709, "mmm-yy"), TEXT([2]RUNS!$B$5:$B$208, "mmm-yy"), [2]RUNS!$D$5:$D$208, "Not Found")</f>
        <v>28658.658920451613</v>
      </c>
      <c r="H1709" cm="1">
        <f t="array" ref="H1709">SUMPRODUCT(
    --(TEXT('[3]Global Weekly Stock (EWSuez'!$B$4:$B$2000,"mmm-yy")=TEXT(A1709,"mmm-yy")),
    '[3]Global Weekly Stock (EWSuez'!$E$4:$E$2000)
/
SUMPRODUCT(
    --(TEXT('[3]Global Weekly Stock (EWSuez'!$B$4:$B$2000,"mmm-yy")=TEXT(A1709,"mmm-yy"))
)</f>
        <v>13682</v>
      </c>
      <c r="I1709">
        <f>_xlfn.XLOOKUP(A1709,[1]ForwardDeriv!$D:$D,[1]ForwardDeriv!$AJ:$AJ)</f>
        <v>1.2000000000000028</v>
      </c>
      <c r="J1709" cm="1">
        <f t="array" ref="J1709">_xlfn.XLOOKUP(TEXT(A1709, "mmm-yy"), TEXT([2]GASOLINE!$B$5:$B$208, "mmm-yy"), [2]GASOLINE!$IR$5:$IR$208, "Not Found")</f>
        <v>-58.815130799659329</v>
      </c>
      <c r="K1709" cm="1">
        <f t="array" ref="K1709">_xlfn.XLOOKUP(TEXT(A1709, "mmm-yy"), TEXT([2]GASOLINE!$B$5:$B$208, "mmm-yy"), [2]GASOLINE!$IK$5:$IK$208, "Not Found")</f>
        <v>184.91734090768301</v>
      </c>
      <c r="L1709">
        <f t="shared" si="26"/>
        <v>1</v>
      </c>
      <c r="M1709" cm="1">
        <f t="array" ref="M1709">_xlfn.XLOOKUP(TEXT(A1709, "mmm-yy"), TEXT([2]GASOLINE!$B$5:$B$208, "mmm-yy"), [2]GASOLINE!$C$5:$C$208, "Not Found")</f>
        <v>7505.0530760403517</v>
      </c>
      <c r="N1709" cm="1">
        <f t="array" ref="N1709">_xlfn.XLOOKUP(TEXT(A1709, "mmm-yy"), TEXT([2]RUNS!$B$5:$B$208, "mmm-yy"), [2]RUNS!$BM$5:$BM$208, "Not Found")</f>
        <v>0.78766336453127195</v>
      </c>
    </row>
    <row r="1710" spans="1:14" x14ac:dyDescent="0.25">
      <c r="A1710" s="1">
        <f>'[1]Global_Spot Prices'!$B3019</f>
        <v>44397</v>
      </c>
      <c r="B1710" t="e">
        <f>_xlfn.XLOOKUP(A1710,'[1]Global_Spot Prices'!$B:$B,'[1]Global_Spot Prices'!$BS:$BS)</f>
        <v>#N/A</v>
      </c>
      <c r="C1710" t="str">
        <f>_xlfn.XLOOKUP(A1710,'[1]Global_Spot Prices'!$B:$B,'[1]Global_Spot Prices'!$E:$E)</f>
        <v/>
      </c>
      <c r="D1710">
        <f>_xlfn.XLOOKUP(A1710,'[1]Global_Spot Prices'!$B:$B,'[1]Global_Spot Prices'!$D:$D)</f>
        <v>69.62</v>
      </c>
      <c r="E1710">
        <f>_xlfn.XLOOKUP(A1710,'[1]Global_Spot Prices'!$B:$B,'[1]Global_Spot Prices'!$H:$H)</f>
        <v>0</v>
      </c>
      <c r="F1710">
        <f>_xlfn.XLOOKUP(A1710,'[1]Global_Spot Prices'!$B:$B,'[1]Global_Spot Prices'!$I:$I)</f>
        <v>0</v>
      </c>
      <c r="G1710" cm="1">
        <f t="array" ref="G1710">_xlfn.XLOOKUP(TEXT(A1710, "mmm-yy"), TEXT([2]RUNS!$B$5:$B$208, "mmm-yy"), [2]RUNS!$D$5:$D$208, "Not Found")</f>
        <v>28658.658920451613</v>
      </c>
      <c r="H1710" cm="1">
        <f t="array" ref="H1710">SUMPRODUCT(
    --(TEXT('[3]Global Weekly Stock (EWSuez'!$B$4:$B$2000,"mmm-yy")=TEXT(A1710,"mmm-yy")),
    '[3]Global Weekly Stock (EWSuez'!$E$4:$E$2000)
/
SUMPRODUCT(
    --(TEXT('[3]Global Weekly Stock (EWSuez'!$B$4:$B$2000,"mmm-yy")=TEXT(A1710,"mmm-yy"))
)</f>
        <v>13682</v>
      </c>
      <c r="I1710">
        <f>_xlfn.XLOOKUP(A1710,[1]ForwardDeriv!$D:$D,[1]ForwardDeriv!$AJ:$AJ)</f>
        <v>1.1899999999999977</v>
      </c>
      <c r="J1710" cm="1">
        <f t="array" ref="J1710">_xlfn.XLOOKUP(TEXT(A1710, "mmm-yy"), TEXT([2]GASOLINE!$B$5:$B$208, "mmm-yy"), [2]GASOLINE!$IR$5:$IR$208, "Not Found")</f>
        <v>-58.815130799659329</v>
      </c>
      <c r="K1710" cm="1">
        <f t="array" ref="K1710">_xlfn.XLOOKUP(TEXT(A1710, "mmm-yy"), TEXT([2]GASOLINE!$B$5:$B$208, "mmm-yy"), [2]GASOLINE!$IK$5:$IK$208, "Not Found")</f>
        <v>184.91734090768301</v>
      </c>
      <c r="L1710">
        <f t="shared" si="26"/>
        <v>1</v>
      </c>
      <c r="M1710" cm="1">
        <f t="array" ref="M1710">_xlfn.XLOOKUP(TEXT(A1710, "mmm-yy"), TEXT([2]GASOLINE!$B$5:$B$208, "mmm-yy"), [2]GASOLINE!$C$5:$C$208, "Not Found")</f>
        <v>7505.0530760403517</v>
      </c>
      <c r="N1710" cm="1">
        <f t="array" ref="N1710">_xlfn.XLOOKUP(TEXT(A1710, "mmm-yy"), TEXT([2]RUNS!$B$5:$B$208, "mmm-yy"), [2]RUNS!$BM$5:$BM$208, "Not Found")</f>
        <v>0.78766336453127195</v>
      </c>
    </row>
    <row r="1711" spans="1:14" x14ac:dyDescent="0.25">
      <c r="A1711" s="1">
        <f>'[1]Global_Spot Prices'!$B3020</f>
        <v>44398</v>
      </c>
      <c r="B1711">
        <f>_xlfn.XLOOKUP(A1711,'[1]Global_Spot Prices'!$B:$B,'[1]Global_Spot Prices'!$BS:$BS)</f>
        <v>9.3100000000000023</v>
      </c>
      <c r="C1711">
        <f>_xlfn.XLOOKUP(A1711,'[1]Global_Spot Prices'!$B:$B,'[1]Global_Spot Prices'!$E:$E)</f>
        <v>68.64</v>
      </c>
      <c r="D1711">
        <f>_xlfn.XLOOKUP(A1711,'[1]Global_Spot Prices'!$B:$B,'[1]Global_Spot Prices'!$D:$D)</f>
        <v>72.265000000000001</v>
      </c>
      <c r="E1711">
        <f>_xlfn.XLOOKUP(A1711,'[1]Global_Spot Prices'!$B:$B,'[1]Global_Spot Prices'!$H:$H)</f>
        <v>71.53</v>
      </c>
      <c r="F1711">
        <f>_xlfn.XLOOKUP(A1711,'[1]Global_Spot Prices'!$B:$B,'[1]Global_Spot Prices'!$I:$I)</f>
        <v>77.95</v>
      </c>
      <c r="G1711" cm="1">
        <f t="array" ref="G1711">_xlfn.XLOOKUP(TEXT(A1711, "mmm-yy"), TEXT([2]RUNS!$B$5:$B$208, "mmm-yy"), [2]RUNS!$D$5:$D$208, "Not Found")</f>
        <v>28658.658920451613</v>
      </c>
      <c r="H1711" cm="1">
        <f t="array" ref="H1711">SUMPRODUCT(
    --(TEXT('[3]Global Weekly Stock (EWSuez'!$B$4:$B$2000,"mmm-yy")=TEXT(A1711,"mmm-yy")),
    '[3]Global Weekly Stock (EWSuez'!$E$4:$E$2000)
/
SUMPRODUCT(
    --(TEXT('[3]Global Weekly Stock (EWSuez'!$B$4:$B$2000,"mmm-yy")=TEXT(A1711,"mmm-yy"))
)</f>
        <v>13682</v>
      </c>
      <c r="I1711">
        <f>_xlfn.XLOOKUP(A1711,[1]ForwardDeriv!$D:$D,[1]ForwardDeriv!$AJ:$AJ)</f>
        <v>1.1899999999999977</v>
      </c>
      <c r="J1711" cm="1">
        <f t="array" ref="J1711">_xlfn.XLOOKUP(TEXT(A1711, "mmm-yy"), TEXT([2]GASOLINE!$B$5:$B$208, "mmm-yy"), [2]GASOLINE!$IR$5:$IR$208, "Not Found")</f>
        <v>-58.815130799659329</v>
      </c>
      <c r="K1711" cm="1">
        <f t="array" ref="K1711">_xlfn.XLOOKUP(TEXT(A1711, "mmm-yy"), TEXT([2]GASOLINE!$B$5:$B$208, "mmm-yy"), [2]GASOLINE!$IK$5:$IK$208, "Not Found")</f>
        <v>184.91734090768301</v>
      </c>
      <c r="L1711">
        <f t="shared" si="26"/>
        <v>1</v>
      </c>
      <c r="M1711" cm="1">
        <f t="array" ref="M1711">_xlfn.XLOOKUP(TEXT(A1711, "mmm-yy"), TEXT([2]GASOLINE!$B$5:$B$208, "mmm-yy"), [2]GASOLINE!$C$5:$C$208, "Not Found")</f>
        <v>7505.0530760403517</v>
      </c>
      <c r="N1711" cm="1">
        <f t="array" ref="N1711">_xlfn.XLOOKUP(TEXT(A1711, "mmm-yy"), TEXT([2]RUNS!$B$5:$B$208, "mmm-yy"), [2]RUNS!$BM$5:$BM$208, "Not Found")</f>
        <v>0.78766336453127195</v>
      </c>
    </row>
    <row r="1712" spans="1:14" x14ac:dyDescent="0.25">
      <c r="A1712" s="1">
        <f>'[1]Global_Spot Prices'!$B3021</f>
        <v>44399</v>
      </c>
      <c r="B1712">
        <f>_xlfn.XLOOKUP(A1712,'[1]Global_Spot Prices'!$B:$B,'[1]Global_Spot Prices'!$BS:$BS)</f>
        <v>9.769999999999996</v>
      </c>
      <c r="C1712">
        <f ca="1">_xlfn.XLOOKUP(A1712,'[1]Global_Spot Prices'!$B:$B,'[1]Global_Spot Prices'!$E:$E)</f>
        <v>71.400000000000006</v>
      </c>
      <c r="D1712">
        <f>_xlfn.XLOOKUP(A1712,'[1]Global_Spot Prices'!$B:$B,'[1]Global_Spot Prices'!$D:$D)</f>
        <v>73.2</v>
      </c>
      <c r="E1712">
        <f ca="1">_xlfn.XLOOKUP(A1712,'[1]Global_Spot Prices'!$B:$B,'[1]Global_Spot Prices'!$H:$H)</f>
        <v>74.22</v>
      </c>
      <c r="F1712">
        <f>_xlfn.XLOOKUP(A1712,'[1]Global_Spot Prices'!$B:$B,'[1]Global_Spot Prices'!$I:$I)</f>
        <v>81.17</v>
      </c>
      <c r="G1712" cm="1">
        <f t="array" ref="G1712">_xlfn.XLOOKUP(TEXT(A1712, "mmm-yy"), TEXT([2]RUNS!$B$5:$B$208, "mmm-yy"), [2]RUNS!$D$5:$D$208, "Not Found")</f>
        <v>28658.658920451613</v>
      </c>
      <c r="H1712" cm="1">
        <f t="array" ref="H1712">SUMPRODUCT(
    --(TEXT('[3]Global Weekly Stock (EWSuez'!$B$4:$B$2000,"mmm-yy")=TEXT(A1712,"mmm-yy")),
    '[3]Global Weekly Stock (EWSuez'!$E$4:$E$2000)
/
SUMPRODUCT(
    --(TEXT('[3]Global Weekly Stock (EWSuez'!$B$4:$B$2000,"mmm-yy")=TEXT(A1712,"mmm-yy"))
)</f>
        <v>13682</v>
      </c>
      <c r="I1712">
        <f>_xlfn.XLOOKUP(A1712,[1]ForwardDeriv!$D:$D,[1]ForwardDeriv!$AJ:$AJ)</f>
        <v>1.4500000000000028</v>
      </c>
      <c r="J1712" cm="1">
        <f t="array" ref="J1712">_xlfn.XLOOKUP(TEXT(A1712, "mmm-yy"), TEXT([2]GASOLINE!$B$5:$B$208, "mmm-yy"), [2]GASOLINE!$IR$5:$IR$208, "Not Found")</f>
        <v>-58.815130799659329</v>
      </c>
      <c r="K1712" cm="1">
        <f t="array" ref="K1712">_xlfn.XLOOKUP(TEXT(A1712, "mmm-yy"), TEXT([2]GASOLINE!$B$5:$B$208, "mmm-yy"), [2]GASOLINE!$IK$5:$IK$208, "Not Found")</f>
        <v>184.91734090768301</v>
      </c>
      <c r="L1712">
        <f t="shared" si="26"/>
        <v>1</v>
      </c>
      <c r="M1712" cm="1">
        <f t="array" ref="M1712">_xlfn.XLOOKUP(TEXT(A1712, "mmm-yy"), TEXT([2]GASOLINE!$B$5:$B$208, "mmm-yy"), [2]GASOLINE!$C$5:$C$208, "Not Found")</f>
        <v>7505.0530760403517</v>
      </c>
      <c r="N1712" cm="1">
        <f t="array" ref="N1712">_xlfn.XLOOKUP(TEXT(A1712, "mmm-yy"), TEXT([2]RUNS!$B$5:$B$208, "mmm-yy"), [2]RUNS!$BM$5:$BM$208, "Not Found")</f>
        <v>0.78766336453127195</v>
      </c>
    </row>
    <row r="1713" spans="1:14" x14ac:dyDescent="0.25">
      <c r="A1713" s="1">
        <f>'[1]Global_Spot Prices'!$B3022</f>
        <v>44400</v>
      </c>
      <c r="B1713">
        <f>_xlfn.XLOOKUP(A1713,'[1]Global_Spot Prices'!$B:$B,'[1]Global_Spot Prices'!$BS:$BS)</f>
        <v>10.010000000000005</v>
      </c>
      <c r="C1713">
        <f>_xlfn.XLOOKUP(A1713,'[1]Global_Spot Prices'!$B:$B,'[1]Global_Spot Prices'!$E:$E)</f>
        <v>72.239999999999995</v>
      </c>
      <c r="D1713">
        <f>_xlfn.XLOOKUP(A1713,'[1]Global_Spot Prices'!$B:$B,'[1]Global_Spot Prices'!$D:$D)</f>
        <v>74.194999999999993</v>
      </c>
      <c r="E1713">
        <f>_xlfn.XLOOKUP(A1713,'[1]Global_Spot Prices'!$B:$B,'[1]Global_Spot Prices'!$H:$H)</f>
        <v>75.25</v>
      </c>
      <c r="F1713">
        <f>_xlfn.XLOOKUP(A1713,'[1]Global_Spot Prices'!$B:$B,'[1]Global_Spot Prices'!$I:$I)</f>
        <v>82.25</v>
      </c>
      <c r="G1713" cm="1">
        <f t="array" ref="G1713">_xlfn.XLOOKUP(TEXT(A1713, "mmm-yy"), TEXT([2]RUNS!$B$5:$B$208, "mmm-yy"), [2]RUNS!$D$5:$D$208, "Not Found")</f>
        <v>28658.658920451613</v>
      </c>
      <c r="H1713" cm="1">
        <f t="array" ref="H1713">SUMPRODUCT(
    --(TEXT('[3]Global Weekly Stock (EWSuez'!$B$4:$B$2000,"mmm-yy")=TEXT(A1713,"mmm-yy")),
    '[3]Global Weekly Stock (EWSuez'!$E$4:$E$2000)
/
SUMPRODUCT(
    --(TEXT('[3]Global Weekly Stock (EWSuez'!$B$4:$B$2000,"mmm-yy")=TEXT(A1713,"mmm-yy"))
)</f>
        <v>13682</v>
      </c>
      <c r="I1713">
        <f>_xlfn.XLOOKUP(A1713,[1]ForwardDeriv!$D:$D,[1]ForwardDeriv!$AJ:$AJ)</f>
        <v>1.519999999999996</v>
      </c>
      <c r="J1713" cm="1">
        <f t="array" ref="J1713">_xlfn.XLOOKUP(TEXT(A1713, "mmm-yy"), TEXT([2]GASOLINE!$B$5:$B$208, "mmm-yy"), [2]GASOLINE!$IR$5:$IR$208, "Not Found")</f>
        <v>-58.815130799659329</v>
      </c>
      <c r="K1713" cm="1">
        <f t="array" ref="K1713">_xlfn.XLOOKUP(TEXT(A1713, "mmm-yy"), TEXT([2]GASOLINE!$B$5:$B$208, "mmm-yy"), [2]GASOLINE!$IK$5:$IK$208, "Not Found")</f>
        <v>184.91734090768301</v>
      </c>
      <c r="L1713">
        <f t="shared" si="26"/>
        <v>1</v>
      </c>
      <c r="M1713" cm="1">
        <f t="array" ref="M1713">_xlfn.XLOOKUP(TEXT(A1713, "mmm-yy"), TEXT([2]GASOLINE!$B$5:$B$208, "mmm-yy"), [2]GASOLINE!$C$5:$C$208, "Not Found")</f>
        <v>7505.0530760403517</v>
      </c>
      <c r="N1713" cm="1">
        <f t="array" ref="N1713">_xlfn.XLOOKUP(TEXT(A1713, "mmm-yy"), TEXT([2]RUNS!$B$5:$B$208, "mmm-yy"), [2]RUNS!$BM$5:$BM$208, "Not Found")</f>
        <v>0.78766336453127195</v>
      </c>
    </row>
    <row r="1714" spans="1:14" x14ac:dyDescent="0.25">
      <c r="A1714" s="1">
        <f>'[1]Global_Spot Prices'!$B3023</f>
        <v>44403</v>
      </c>
      <c r="B1714">
        <f>_xlfn.XLOOKUP(A1714,'[1]Global_Spot Prices'!$B:$B,'[1]Global_Spot Prices'!$BS:$BS)</f>
        <v>10.350000000000009</v>
      </c>
      <c r="C1714">
        <f>_xlfn.XLOOKUP(A1714,'[1]Global_Spot Prices'!$B:$B,'[1]Global_Spot Prices'!$E:$E)</f>
        <v>71.55</v>
      </c>
      <c r="D1714">
        <f>_xlfn.XLOOKUP(A1714,'[1]Global_Spot Prices'!$B:$B,'[1]Global_Spot Prices'!$D:$D)</f>
        <v>74.66</v>
      </c>
      <c r="E1714">
        <f>_xlfn.XLOOKUP(A1714,'[1]Global_Spot Prices'!$B:$B,'[1]Global_Spot Prices'!$H:$H)</f>
        <v>74.78</v>
      </c>
      <c r="F1714">
        <f>_xlfn.XLOOKUP(A1714,'[1]Global_Spot Prices'!$B:$B,'[1]Global_Spot Prices'!$I:$I)</f>
        <v>81.900000000000006</v>
      </c>
      <c r="G1714" cm="1">
        <f t="array" ref="G1714">_xlfn.XLOOKUP(TEXT(A1714, "mmm-yy"), TEXT([2]RUNS!$B$5:$B$208, "mmm-yy"), [2]RUNS!$D$5:$D$208, "Not Found")</f>
        <v>28658.658920451613</v>
      </c>
      <c r="H1714" cm="1">
        <f t="array" ref="H1714">SUMPRODUCT(
    --(TEXT('[3]Global Weekly Stock (EWSuez'!$B$4:$B$2000,"mmm-yy")=TEXT(A1714,"mmm-yy")),
    '[3]Global Weekly Stock (EWSuez'!$E$4:$E$2000)
/
SUMPRODUCT(
    --(TEXT('[3]Global Weekly Stock (EWSuez'!$B$4:$B$2000,"mmm-yy")=TEXT(A1714,"mmm-yy"))
)</f>
        <v>13682</v>
      </c>
      <c r="I1714">
        <f>_xlfn.XLOOKUP(A1714,[1]ForwardDeriv!$D:$D,[1]ForwardDeriv!$AJ:$AJ)</f>
        <v>1.5299999999999869</v>
      </c>
      <c r="J1714" cm="1">
        <f t="array" ref="J1714">_xlfn.XLOOKUP(TEXT(A1714, "mmm-yy"), TEXT([2]GASOLINE!$B$5:$B$208, "mmm-yy"), [2]GASOLINE!$IR$5:$IR$208, "Not Found")</f>
        <v>-58.815130799659329</v>
      </c>
      <c r="K1714" cm="1">
        <f t="array" ref="K1714">_xlfn.XLOOKUP(TEXT(A1714, "mmm-yy"), TEXT([2]GASOLINE!$B$5:$B$208, "mmm-yy"), [2]GASOLINE!$IK$5:$IK$208, "Not Found")</f>
        <v>184.91734090768301</v>
      </c>
      <c r="L1714">
        <f t="shared" si="26"/>
        <v>1</v>
      </c>
      <c r="M1714" cm="1">
        <f t="array" ref="M1714">_xlfn.XLOOKUP(TEXT(A1714, "mmm-yy"), TEXT([2]GASOLINE!$B$5:$B$208, "mmm-yy"), [2]GASOLINE!$C$5:$C$208, "Not Found")</f>
        <v>7505.0530760403517</v>
      </c>
      <c r="N1714" cm="1">
        <f t="array" ref="N1714">_xlfn.XLOOKUP(TEXT(A1714, "mmm-yy"), TEXT([2]RUNS!$B$5:$B$208, "mmm-yy"), [2]RUNS!$BM$5:$BM$208, "Not Found")</f>
        <v>0.78766336453127195</v>
      </c>
    </row>
    <row r="1715" spans="1:14" x14ac:dyDescent="0.25">
      <c r="A1715" s="1">
        <f>'[1]Global_Spot Prices'!$B3024</f>
        <v>44404</v>
      </c>
      <c r="B1715">
        <f>_xlfn.XLOOKUP(A1715,'[1]Global_Spot Prices'!$B:$B,'[1]Global_Spot Prices'!$BS:$BS)</f>
        <v>10.52000000000001</v>
      </c>
      <c r="C1715">
        <f>_xlfn.XLOOKUP(A1715,'[1]Global_Spot Prices'!$B:$B,'[1]Global_Spot Prices'!$E:$E)</f>
        <v>72.989999999999995</v>
      </c>
      <c r="D1715">
        <f>_xlfn.XLOOKUP(A1715,'[1]Global_Spot Prices'!$B:$B,'[1]Global_Spot Prices'!$D:$D)</f>
        <v>74.790000000000006</v>
      </c>
      <c r="E1715">
        <f ca="1">_xlfn.XLOOKUP(A1715,'[1]Global_Spot Prices'!$B:$B,'[1]Global_Spot Prices'!$H:$H)</f>
        <v>76.58</v>
      </c>
      <c r="F1715">
        <f>_xlfn.XLOOKUP(A1715,'[1]Global_Spot Prices'!$B:$B,'[1]Global_Spot Prices'!$I:$I)</f>
        <v>83.51</v>
      </c>
      <c r="G1715" cm="1">
        <f t="array" ref="G1715">_xlfn.XLOOKUP(TEXT(A1715, "mmm-yy"), TEXT([2]RUNS!$B$5:$B$208, "mmm-yy"), [2]RUNS!$D$5:$D$208, "Not Found")</f>
        <v>28658.658920451613</v>
      </c>
      <c r="H1715" cm="1">
        <f t="array" ref="H1715">SUMPRODUCT(
    --(TEXT('[3]Global Weekly Stock (EWSuez'!$B$4:$B$2000,"mmm-yy")=TEXT(A1715,"mmm-yy")),
    '[3]Global Weekly Stock (EWSuez'!$E$4:$E$2000)
/
SUMPRODUCT(
    --(TEXT('[3]Global Weekly Stock (EWSuez'!$B$4:$B$2000,"mmm-yy")=TEXT(A1715,"mmm-yy"))
)</f>
        <v>13682</v>
      </c>
      <c r="I1715">
        <f>_xlfn.XLOOKUP(A1715,[1]ForwardDeriv!$D:$D,[1]ForwardDeriv!$AJ:$AJ)</f>
        <v>1.5700000000000074</v>
      </c>
      <c r="J1715" cm="1">
        <f t="array" ref="J1715">_xlfn.XLOOKUP(TEXT(A1715, "mmm-yy"), TEXT([2]GASOLINE!$B$5:$B$208, "mmm-yy"), [2]GASOLINE!$IR$5:$IR$208, "Not Found")</f>
        <v>-58.815130799659329</v>
      </c>
      <c r="K1715" cm="1">
        <f t="array" ref="K1715">_xlfn.XLOOKUP(TEXT(A1715, "mmm-yy"), TEXT([2]GASOLINE!$B$5:$B$208, "mmm-yy"), [2]GASOLINE!$IK$5:$IK$208, "Not Found")</f>
        <v>184.91734090768301</v>
      </c>
      <c r="L1715">
        <f t="shared" si="26"/>
        <v>1</v>
      </c>
      <c r="M1715" cm="1">
        <f t="array" ref="M1715">_xlfn.XLOOKUP(TEXT(A1715, "mmm-yy"), TEXT([2]GASOLINE!$B$5:$B$208, "mmm-yy"), [2]GASOLINE!$C$5:$C$208, "Not Found")</f>
        <v>7505.0530760403517</v>
      </c>
      <c r="N1715" cm="1">
        <f t="array" ref="N1715">_xlfn.XLOOKUP(TEXT(A1715, "mmm-yy"), TEXT([2]RUNS!$B$5:$B$208, "mmm-yy"), [2]RUNS!$BM$5:$BM$208, "Not Found")</f>
        <v>0.78766336453127195</v>
      </c>
    </row>
    <row r="1716" spans="1:14" x14ac:dyDescent="0.25">
      <c r="A1716" s="1">
        <f>'[1]Global_Spot Prices'!$B3025</f>
        <v>44405</v>
      </c>
      <c r="B1716">
        <f>_xlfn.XLOOKUP(A1716,'[1]Global_Spot Prices'!$B:$B,'[1]Global_Spot Prices'!$BS:$BS)</f>
        <v>10.939999999999998</v>
      </c>
      <c r="C1716">
        <f>_xlfn.XLOOKUP(A1716,'[1]Global_Spot Prices'!$B:$B,'[1]Global_Spot Prices'!$E:$E)</f>
        <v>72.790000000000006</v>
      </c>
      <c r="D1716">
        <f>_xlfn.XLOOKUP(A1716,'[1]Global_Spot Prices'!$B:$B,'[1]Global_Spot Prices'!$D:$D)</f>
        <v>74.83</v>
      </c>
      <c r="E1716">
        <f>_xlfn.XLOOKUP(A1716,'[1]Global_Spot Prices'!$B:$B,'[1]Global_Spot Prices'!$H:$H)</f>
        <v>76.540000000000006</v>
      </c>
      <c r="F1716">
        <f>_xlfn.XLOOKUP(A1716,'[1]Global_Spot Prices'!$B:$B,'[1]Global_Spot Prices'!$I:$I)</f>
        <v>83.73</v>
      </c>
      <c r="G1716" cm="1">
        <f t="array" ref="G1716">_xlfn.XLOOKUP(TEXT(A1716, "mmm-yy"), TEXT([2]RUNS!$B$5:$B$208, "mmm-yy"), [2]RUNS!$D$5:$D$208, "Not Found")</f>
        <v>28658.658920451613</v>
      </c>
      <c r="H1716" cm="1">
        <f t="array" ref="H1716">SUMPRODUCT(
    --(TEXT('[3]Global Weekly Stock (EWSuez'!$B$4:$B$2000,"mmm-yy")=TEXT(A1716,"mmm-yy")),
    '[3]Global Weekly Stock (EWSuez'!$E$4:$E$2000)
/
SUMPRODUCT(
    --(TEXT('[3]Global Weekly Stock (EWSuez'!$B$4:$B$2000,"mmm-yy")=TEXT(A1716,"mmm-yy"))
)</f>
        <v>13682</v>
      </c>
      <c r="I1716">
        <f>_xlfn.XLOOKUP(A1716,[1]ForwardDeriv!$D:$D,[1]ForwardDeriv!$AJ:$AJ)</f>
        <v>1.5299999999999869</v>
      </c>
      <c r="J1716" cm="1">
        <f t="array" ref="J1716">_xlfn.XLOOKUP(TEXT(A1716, "mmm-yy"), TEXT([2]GASOLINE!$B$5:$B$208, "mmm-yy"), [2]GASOLINE!$IR$5:$IR$208, "Not Found")</f>
        <v>-58.815130799659329</v>
      </c>
      <c r="K1716" cm="1">
        <f t="array" ref="K1716">_xlfn.XLOOKUP(TEXT(A1716, "mmm-yy"), TEXT([2]GASOLINE!$B$5:$B$208, "mmm-yy"), [2]GASOLINE!$IK$5:$IK$208, "Not Found")</f>
        <v>184.91734090768301</v>
      </c>
      <c r="L1716">
        <f t="shared" si="26"/>
        <v>1</v>
      </c>
      <c r="M1716" cm="1">
        <f t="array" ref="M1716">_xlfn.XLOOKUP(TEXT(A1716, "mmm-yy"), TEXT([2]GASOLINE!$B$5:$B$208, "mmm-yy"), [2]GASOLINE!$C$5:$C$208, "Not Found")</f>
        <v>7505.0530760403517</v>
      </c>
      <c r="N1716" cm="1">
        <f t="array" ref="N1716">_xlfn.XLOOKUP(TEXT(A1716, "mmm-yy"), TEXT([2]RUNS!$B$5:$B$208, "mmm-yy"), [2]RUNS!$BM$5:$BM$208, "Not Found")</f>
        <v>0.78766336453127195</v>
      </c>
    </row>
    <row r="1717" spans="1:14" x14ac:dyDescent="0.25">
      <c r="A1717" s="1">
        <f>'[1]Global_Spot Prices'!$B3026</f>
        <v>44406</v>
      </c>
      <c r="B1717">
        <f>_xlfn.XLOOKUP(A1717,'[1]Global_Spot Prices'!$B:$B,'[1]Global_Spot Prices'!$BS:$BS)</f>
        <v>10.289999999999992</v>
      </c>
      <c r="C1717">
        <f>_xlfn.XLOOKUP(A1717,'[1]Global_Spot Prices'!$B:$B,'[1]Global_Spot Prices'!$E:$E)</f>
        <v>73.7</v>
      </c>
      <c r="D1717">
        <f>_xlfn.XLOOKUP(A1717,'[1]Global_Spot Prices'!$B:$B,'[1]Global_Spot Prices'!$D:$D)</f>
        <v>75.625</v>
      </c>
      <c r="E1717">
        <f ca="1">_xlfn.XLOOKUP(A1717,'[1]Global_Spot Prices'!$B:$B,'[1]Global_Spot Prices'!$H:$H)</f>
        <v>77.319999999999993</v>
      </c>
      <c r="F1717">
        <f ca="1">_xlfn.XLOOKUP(A1717,'[1]Global_Spot Prices'!$B:$B,'[1]Global_Spot Prices'!$I:$I)</f>
        <v>83.99</v>
      </c>
      <c r="G1717" cm="1">
        <f t="array" ref="G1717">_xlfn.XLOOKUP(TEXT(A1717, "mmm-yy"), TEXT([2]RUNS!$B$5:$B$208, "mmm-yy"), [2]RUNS!$D$5:$D$208, "Not Found")</f>
        <v>28658.658920451613</v>
      </c>
      <c r="H1717" cm="1">
        <f t="array" ref="H1717">SUMPRODUCT(
    --(TEXT('[3]Global Weekly Stock (EWSuez'!$B$4:$B$2000,"mmm-yy")=TEXT(A1717,"mmm-yy")),
    '[3]Global Weekly Stock (EWSuez'!$E$4:$E$2000)
/
SUMPRODUCT(
    --(TEXT('[3]Global Weekly Stock (EWSuez'!$B$4:$B$2000,"mmm-yy")=TEXT(A1717,"mmm-yy"))
)</f>
        <v>13682</v>
      </c>
      <c r="I1717">
        <f>_xlfn.XLOOKUP(A1717,[1]ForwardDeriv!$D:$D,[1]ForwardDeriv!$AJ:$AJ)</f>
        <v>1.460000000000008</v>
      </c>
      <c r="J1717" cm="1">
        <f t="array" ref="J1717">_xlfn.XLOOKUP(TEXT(A1717, "mmm-yy"), TEXT([2]GASOLINE!$B$5:$B$208, "mmm-yy"), [2]GASOLINE!$IR$5:$IR$208, "Not Found")</f>
        <v>-58.815130799659329</v>
      </c>
      <c r="K1717" cm="1">
        <f t="array" ref="K1717">_xlfn.XLOOKUP(TEXT(A1717, "mmm-yy"), TEXT([2]GASOLINE!$B$5:$B$208, "mmm-yy"), [2]GASOLINE!$IK$5:$IK$208, "Not Found")</f>
        <v>184.91734090768301</v>
      </c>
      <c r="L1717">
        <f t="shared" si="26"/>
        <v>1</v>
      </c>
      <c r="M1717" cm="1">
        <f t="array" ref="M1717">_xlfn.XLOOKUP(TEXT(A1717, "mmm-yy"), TEXT([2]GASOLINE!$B$5:$B$208, "mmm-yy"), [2]GASOLINE!$C$5:$C$208, "Not Found")</f>
        <v>7505.0530760403517</v>
      </c>
      <c r="N1717" cm="1">
        <f t="array" ref="N1717">_xlfn.XLOOKUP(TEXT(A1717, "mmm-yy"), TEXT([2]RUNS!$B$5:$B$208, "mmm-yy"), [2]RUNS!$BM$5:$BM$208, "Not Found")</f>
        <v>0.78766336453127195</v>
      </c>
    </row>
    <row r="1718" spans="1:14" x14ac:dyDescent="0.25">
      <c r="A1718" s="1">
        <f>'[1]Global_Spot Prices'!$B3027</f>
        <v>44407</v>
      </c>
      <c r="B1718">
        <f>_xlfn.XLOOKUP(A1718,'[1]Global_Spot Prices'!$B:$B,'[1]Global_Spot Prices'!$BS:$BS)</f>
        <v>10.929999999999993</v>
      </c>
      <c r="C1718">
        <f>_xlfn.XLOOKUP(A1718,'[1]Global_Spot Prices'!$B:$B,'[1]Global_Spot Prices'!$E:$E)</f>
        <v>73.900000000000006</v>
      </c>
      <c r="D1718">
        <f>_xlfn.XLOOKUP(A1718,'[1]Global_Spot Prices'!$B:$B,'[1]Global_Spot Prices'!$D:$D)</f>
        <v>76.305000000000007</v>
      </c>
      <c r="E1718">
        <f ca="1">_xlfn.XLOOKUP(A1718,'[1]Global_Spot Prices'!$B:$B,'[1]Global_Spot Prices'!$H:$H)</f>
        <v>77.25</v>
      </c>
      <c r="F1718">
        <f>_xlfn.XLOOKUP(A1718,'[1]Global_Spot Prices'!$B:$B,'[1]Global_Spot Prices'!$I:$I)</f>
        <v>84.83</v>
      </c>
      <c r="G1718" cm="1">
        <f t="array" ref="G1718">_xlfn.XLOOKUP(TEXT(A1718, "mmm-yy"), TEXT([2]RUNS!$B$5:$B$208, "mmm-yy"), [2]RUNS!$D$5:$D$208, "Not Found")</f>
        <v>28658.658920451613</v>
      </c>
      <c r="H1718" cm="1">
        <f t="array" ref="H1718">SUMPRODUCT(
    --(TEXT('[3]Global Weekly Stock (EWSuez'!$B$4:$B$2000,"mmm-yy")=TEXT(A1718,"mmm-yy")),
    '[3]Global Weekly Stock (EWSuez'!$E$4:$E$2000)
/
SUMPRODUCT(
    --(TEXT('[3]Global Weekly Stock (EWSuez'!$B$4:$B$2000,"mmm-yy")=TEXT(A1718,"mmm-yy"))
)</f>
        <v>13682</v>
      </c>
      <c r="I1718">
        <f>_xlfn.XLOOKUP(A1718,[1]ForwardDeriv!$D:$D,[1]ForwardDeriv!$AJ:$AJ)</f>
        <v>1.6699999999999875</v>
      </c>
      <c r="J1718" cm="1">
        <f t="array" ref="J1718">_xlfn.XLOOKUP(TEXT(A1718, "mmm-yy"), TEXT([2]GASOLINE!$B$5:$B$208, "mmm-yy"), [2]GASOLINE!$IR$5:$IR$208, "Not Found")</f>
        <v>-58.815130799659329</v>
      </c>
      <c r="K1718" cm="1">
        <f t="array" ref="K1718">_xlfn.XLOOKUP(TEXT(A1718, "mmm-yy"), TEXT([2]GASOLINE!$B$5:$B$208, "mmm-yy"), [2]GASOLINE!$IK$5:$IK$208, "Not Found")</f>
        <v>184.91734090768301</v>
      </c>
      <c r="L1718">
        <f t="shared" si="26"/>
        <v>1</v>
      </c>
      <c r="M1718" cm="1">
        <f t="array" ref="M1718">_xlfn.XLOOKUP(TEXT(A1718, "mmm-yy"), TEXT([2]GASOLINE!$B$5:$B$208, "mmm-yy"), [2]GASOLINE!$C$5:$C$208, "Not Found")</f>
        <v>7505.0530760403517</v>
      </c>
      <c r="N1718" cm="1">
        <f t="array" ref="N1718">_xlfn.XLOOKUP(TEXT(A1718, "mmm-yy"), TEXT([2]RUNS!$B$5:$B$208, "mmm-yy"), [2]RUNS!$BM$5:$BM$208, "Not Found")</f>
        <v>0.78766336453127195</v>
      </c>
    </row>
    <row r="1719" spans="1:14" x14ac:dyDescent="0.25">
      <c r="A1719" s="1">
        <f>'[1]Global_Spot Prices'!$B3028</f>
        <v>44410</v>
      </c>
      <c r="B1719">
        <f>_xlfn.XLOOKUP(A1719,'[1]Global_Spot Prices'!$B:$B,'[1]Global_Spot Prices'!$BS:$BS)</f>
        <v>10.194999999999993</v>
      </c>
      <c r="C1719">
        <f>_xlfn.XLOOKUP(A1719,'[1]Global_Spot Prices'!$B:$B,'[1]Global_Spot Prices'!$E:$E)</f>
        <v>73.245000000000005</v>
      </c>
      <c r="D1719">
        <f>_xlfn.XLOOKUP(A1719,'[1]Global_Spot Prices'!$B:$B,'[1]Global_Spot Prices'!$D:$D)</f>
        <v>73.95</v>
      </c>
      <c r="E1719">
        <f>_xlfn.XLOOKUP(A1719,'[1]Global_Spot Prices'!$B:$B,'[1]Global_Spot Prices'!$H:$H)</f>
        <v>75.959999999999994</v>
      </c>
      <c r="F1719">
        <f>_xlfn.XLOOKUP(A1719,'[1]Global_Spot Prices'!$B:$B,'[1]Global_Spot Prices'!$I:$I)</f>
        <v>83.44</v>
      </c>
      <c r="G1719" cm="1">
        <f t="array" ref="G1719">_xlfn.XLOOKUP(TEXT(A1719, "mmm-yy"), TEXT([2]RUNS!$B$5:$B$208, "mmm-yy"), [2]RUNS!$D$5:$D$208, "Not Found")</f>
        <v>28633.858927501638</v>
      </c>
      <c r="H1719" cm="1">
        <f t="array" ref="H1719">SUMPRODUCT(
    --(TEXT('[3]Global Weekly Stock (EWSuez'!$B$4:$B$2000,"mmm-yy")=TEXT(A1719,"mmm-yy")),
    '[3]Global Weekly Stock (EWSuez'!$E$4:$E$2000)
/
SUMPRODUCT(
    --(TEXT('[3]Global Weekly Stock (EWSuez'!$B$4:$B$2000,"mmm-yy")=TEXT(A1719,"mmm-yy"))
)</f>
        <v>13169.5</v>
      </c>
      <c r="I1719">
        <f>_xlfn.XLOOKUP(A1719,[1]ForwardDeriv!$D:$D,[1]ForwardDeriv!$AJ:$AJ)</f>
        <v>1.3200000000000074</v>
      </c>
      <c r="J1719" cm="1">
        <f t="array" ref="J1719">_xlfn.XLOOKUP(TEXT(A1719, "mmm-yy"), TEXT([2]GASOLINE!$B$5:$B$208, "mmm-yy"), [2]GASOLINE!$IR$5:$IR$208, "Not Found")</f>
        <v>-181.97180324111542</v>
      </c>
      <c r="K1719" cm="1">
        <f t="array" ref="K1719">_xlfn.XLOOKUP(TEXT(A1719, "mmm-yy"), TEXT([2]GASOLINE!$B$5:$B$208, "mmm-yy"), [2]GASOLINE!$IK$5:$IK$208, "Not Found")</f>
        <v>174.82399668503282</v>
      </c>
      <c r="L1719">
        <f t="shared" si="26"/>
        <v>1</v>
      </c>
      <c r="M1719" cm="1">
        <f t="array" ref="M1719">_xlfn.XLOOKUP(TEXT(A1719, "mmm-yy"), TEXT([2]GASOLINE!$B$5:$B$208, "mmm-yy"), [2]GASOLINE!$C$5:$C$208, "Not Found")</f>
        <v>7464.2421545829702</v>
      </c>
      <c r="N1719" cm="1">
        <f t="array" ref="N1719">_xlfn.XLOOKUP(TEXT(A1719, "mmm-yy"), TEXT([2]RUNS!$B$5:$B$208, "mmm-yy"), [2]RUNS!$BM$5:$BM$208, "Not Found")</f>
        <v>0.79301254102315111</v>
      </c>
    </row>
    <row r="1720" spans="1:14" x14ac:dyDescent="0.25">
      <c r="A1720" s="1">
        <f>'[1]Global_Spot Prices'!$B3029</f>
        <v>44411</v>
      </c>
      <c r="B1720">
        <f>_xlfn.XLOOKUP(A1720,'[1]Global_Spot Prices'!$B:$B,'[1]Global_Spot Prices'!$BS:$BS)</f>
        <v>10.200000000000003</v>
      </c>
      <c r="C1720">
        <f>_xlfn.XLOOKUP(A1720,'[1]Global_Spot Prices'!$B:$B,'[1]Global_Spot Prices'!$E:$E)</f>
        <v>71.849999999999994</v>
      </c>
      <c r="D1720">
        <f>_xlfn.XLOOKUP(A1720,'[1]Global_Spot Prices'!$B:$B,'[1]Global_Spot Prices'!$D:$D)</f>
        <v>73.394999999999996</v>
      </c>
      <c r="E1720">
        <f>_xlfn.XLOOKUP(A1720,'[1]Global_Spot Prices'!$B:$B,'[1]Global_Spot Prices'!$H:$H)</f>
        <v>74.849999999999994</v>
      </c>
      <c r="F1720">
        <f>_xlfn.XLOOKUP(A1720,'[1]Global_Spot Prices'!$B:$B,'[1]Global_Spot Prices'!$I:$I)</f>
        <v>82.05</v>
      </c>
      <c r="G1720" cm="1">
        <f t="array" ref="G1720">_xlfn.XLOOKUP(TEXT(A1720, "mmm-yy"), TEXT([2]RUNS!$B$5:$B$208, "mmm-yy"), [2]RUNS!$D$5:$D$208, "Not Found")</f>
        <v>28633.858927501638</v>
      </c>
      <c r="H1720" cm="1">
        <f t="array" ref="H1720">SUMPRODUCT(
    --(TEXT('[3]Global Weekly Stock (EWSuez'!$B$4:$B$2000,"mmm-yy")=TEXT(A1720,"mmm-yy")),
    '[3]Global Weekly Stock (EWSuez'!$E$4:$E$2000)
/
SUMPRODUCT(
    --(TEXT('[3]Global Weekly Stock (EWSuez'!$B$4:$B$2000,"mmm-yy")=TEXT(A1720,"mmm-yy"))
)</f>
        <v>13169.5</v>
      </c>
      <c r="I1720">
        <f>_xlfn.XLOOKUP(A1720,[1]ForwardDeriv!$D:$D,[1]ForwardDeriv!$AJ:$AJ)</f>
        <v>1.210000000000008</v>
      </c>
      <c r="J1720" cm="1">
        <f t="array" ref="J1720">_xlfn.XLOOKUP(TEXT(A1720, "mmm-yy"), TEXT([2]GASOLINE!$B$5:$B$208, "mmm-yy"), [2]GASOLINE!$IR$5:$IR$208, "Not Found")</f>
        <v>-181.97180324111542</v>
      </c>
      <c r="K1720" cm="1">
        <f t="array" ref="K1720">_xlfn.XLOOKUP(TEXT(A1720, "mmm-yy"), TEXT([2]GASOLINE!$B$5:$B$208, "mmm-yy"), [2]GASOLINE!$IK$5:$IK$208, "Not Found")</f>
        <v>174.82399668503282</v>
      </c>
      <c r="L1720">
        <f t="shared" si="26"/>
        <v>1</v>
      </c>
      <c r="M1720" cm="1">
        <f t="array" ref="M1720">_xlfn.XLOOKUP(TEXT(A1720, "mmm-yy"), TEXT([2]GASOLINE!$B$5:$B$208, "mmm-yy"), [2]GASOLINE!$C$5:$C$208, "Not Found")</f>
        <v>7464.2421545829702</v>
      </c>
      <c r="N1720" cm="1">
        <f t="array" ref="N1720">_xlfn.XLOOKUP(TEXT(A1720, "mmm-yy"), TEXT([2]RUNS!$B$5:$B$208, "mmm-yy"), [2]RUNS!$BM$5:$BM$208, "Not Found")</f>
        <v>0.79301254102315111</v>
      </c>
    </row>
    <row r="1721" spans="1:14" x14ac:dyDescent="0.25">
      <c r="A1721" s="1">
        <f>'[1]Global_Spot Prices'!$B3030</f>
        <v>44412</v>
      </c>
      <c r="B1721">
        <f>_xlfn.XLOOKUP(A1721,'[1]Global_Spot Prices'!$B:$B,'[1]Global_Spot Prices'!$BS:$BS)</f>
        <v>10.599999999999994</v>
      </c>
      <c r="C1721">
        <f>_xlfn.XLOOKUP(A1721,'[1]Global_Spot Prices'!$B:$B,'[1]Global_Spot Prices'!$E:$E)</f>
        <v>71.39</v>
      </c>
      <c r="D1721">
        <f>_xlfn.XLOOKUP(A1721,'[1]Global_Spot Prices'!$B:$B,'[1]Global_Spot Prices'!$D:$D)</f>
        <v>71.92</v>
      </c>
      <c r="E1721">
        <f>_xlfn.XLOOKUP(A1721,'[1]Global_Spot Prices'!$B:$B,'[1]Global_Spot Prices'!$H:$H)</f>
        <v>74.56</v>
      </c>
      <c r="F1721">
        <f>_xlfn.XLOOKUP(A1721,'[1]Global_Spot Prices'!$B:$B,'[1]Global_Spot Prices'!$I:$I)</f>
        <v>81.99</v>
      </c>
      <c r="G1721" cm="1">
        <f t="array" ref="G1721">_xlfn.XLOOKUP(TEXT(A1721, "mmm-yy"), TEXT([2]RUNS!$B$5:$B$208, "mmm-yy"), [2]RUNS!$D$5:$D$208, "Not Found")</f>
        <v>28633.858927501638</v>
      </c>
      <c r="H1721" cm="1">
        <f t="array" ref="H1721">SUMPRODUCT(
    --(TEXT('[3]Global Weekly Stock (EWSuez'!$B$4:$B$2000,"mmm-yy")=TEXT(A1721,"mmm-yy")),
    '[3]Global Weekly Stock (EWSuez'!$E$4:$E$2000)
/
SUMPRODUCT(
    --(TEXT('[3]Global Weekly Stock (EWSuez'!$B$4:$B$2000,"mmm-yy")=TEXT(A1721,"mmm-yy"))
)</f>
        <v>13169.5</v>
      </c>
      <c r="I1721">
        <f>_xlfn.XLOOKUP(A1721,[1]ForwardDeriv!$D:$D,[1]ForwardDeriv!$AJ:$AJ)</f>
        <v>1.230000000000004</v>
      </c>
      <c r="J1721" cm="1">
        <f t="array" ref="J1721">_xlfn.XLOOKUP(TEXT(A1721, "mmm-yy"), TEXT([2]GASOLINE!$B$5:$B$208, "mmm-yy"), [2]GASOLINE!$IR$5:$IR$208, "Not Found")</f>
        <v>-181.97180324111542</v>
      </c>
      <c r="K1721" cm="1">
        <f t="array" ref="K1721">_xlfn.XLOOKUP(TEXT(A1721, "mmm-yy"), TEXT([2]GASOLINE!$B$5:$B$208, "mmm-yy"), [2]GASOLINE!$IK$5:$IK$208, "Not Found")</f>
        <v>174.82399668503282</v>
      </c>
      <c r="L1721">
        <f t="shared" si="26"/>
        <v>1</v>
      </c>
      <c r="M1721" cm="1">
        <f t="array" ref="M1721">_xlfn.XLOOKUP(TEXT(A1721, "mmm-yy"), TEXT([2]GASOLINE!$B$5:$B$208, "mmm-yy"), [2]GASOLINE!$C$5:$C$208, "Not Found")</f>
        <v>7464.2421545829702</v>
      </c>
      <c r="N1721" cm="1">
        <f t="array" ref="N1721">_xlfn.XLOOKUP(TEXT(A1721, "mmm-yy"), TEXT([2]RUNS!$B$5:$B$208, "mmm-yy"), [2]RUNS!$BM$5:$BM$208, "Not Found")</f>
        <v>0.79301254102315111</v>
      </c>
    </row>
    <row r="1722" spans="1:14" x14ac:dyDescent="0.25">
      <c r="A1722" s="1">
        <f>'[1]Global_Spot Prices'!$B3031</f>
        <v>44413</v>
      </c>
      <c r="B1722">
        <f>_xlfn.XLOOKUP(A1722,'[1]Global_Spot Prices'!$B:$B,'[1]Global_Spot Prices'!$BS:$BS)</f>
        <v>10.849999999999994</v>
      </c>
      <c r="C1722">
        <f>_xlfn.XLOOKUP(A1722,'[1]Global_Spot Prices'!$B:$B,'[1]Global_Spot Prices'!$E:$E)</f>
        <v>68.81</v>
      </c>
      <c r="D1722">
        <f>_xlfn.XLOOKUP(A1722,'[1]Global_Spot Prices'!$B:$B,'[1]Global_Spot Prices'!$D:$D)</f>
        <v>72.135000000000005</v>
      </c>
      <c r="E1722">
        <f>_xlfn.XLOOKUP(A1722,'[1]Global_Spot Prices'!$B:$B,'[1]Global_Spot Prices'!$H:$H)</f>
        <v>71.83</v>
      </c>
      <c r="F1722">
        <f>_xlfn.XLOOKUP(A1722,'[1]Global_Spot Prices'!$B:$B,'[1]Global_Spot Prices'!$I:$I)</f>
        <v>79.66</v>
      </c>
      <c r="G1722" cm="1">
        <f t="array" ref="G1722">_xlfn.XLOOKUP(TEXT(A1722, "mmm-yy"), TEXT([2]RUNS!$B$5:$B$208, "mmm-yy"), [2]RUNS!$D$5:$D$208, "Not Found")</f>
        <v>28633.858927501638</v>
      </c>
      <c r="H1722" cm="1">
        <f t="array" ref="H1722">SUMPRODUCT(
    --(TEXT('[3]Global Weekly Stock (EWSuez'!$B$4:$B$2000,"mmm-yy")=TEXT(A1722,"mmm-yy")),
    '[3]Global Weekly Stock (EWSuez'!$E$4:$E$2000)
/
SUMPRODUCT(
    --(TEXT('[3]Global Weekly Stock (EWSuez'!$B$4:$B$2000,"mmm-yy")=TEXT(A1722,"mmm-yy"))
)</f>
        <v>13169.5</v>
      </c>
      <c r="I1722">
        <f>_xlfn.XLOOKUP(A1722,[1]ForwardDeriv!$D:$D,[1]ForwardDeriv!$AJ:$AJ)</f>
        <v>1.2000000000000028</v>
      </c>
      <c r="J1722" cm="1">
        <f t="array" ref="J1722">_xlfn.XLOOKUP(TEXT(A1722, "mmm-yy"), TEXT([2]GASOLINE!$B$5:$B$208, "mmm-yy"), [2]GASOLINE!$IR$5:$IR$208, "Not Found")</f>
        <v>-181.97180324111542</v>
      </c>
      <c r="K1722" cm="1">
        <f t="array" ref="K1722">_xlfn.XLOOKUP(TEXT(A1722, "mmm-yy"), TEXT([2]GASOLINE!$B$5:$B$208, "mmm-yy"), [2]GASOLINE!$IK$5:$IK$208, "Not Found")</f>
        <v>174.82399668503282</v>
      </c>
      <c r="L1722">
        <f t="shared" si="26"/>
        <v>1</v>
      </c>
      <c r="M1722" cm="1">
        <f t="array" ref="M1722">_xlfn.XLOOKUP(TEXT(A1722, "mmm-yy"), TEXT([2]GASOLINE!$B$5:$B$208, "mmm-yy"), [2]GASOLINE!$C$5:$C$208, "Not Found")</f>
        <v>7464.2421545829702</v>
      </c>
      <c r="N1722" cm="1">
        <f t="array" ref="N1722">_xlfn.XLOOKUP(TEXT(A1722, "mmm-yy"), TEXT([2]RUNS!$B$5:$B$208, "mmm-yy"), [2]RUNS!$BM$5:$BM$208, "Not Found")</f>
        <v>0.79301254102315111</v>
      </c>
    </row>
    <row r="1723" spans="1:14" x14ac:dyDescent="0.25">
      <c r="A1723" s="1">
        <f>'[1]Global_Spot Prices'!$B3032</f>
        <v>44414</v>
      </c>
      <c r="B1723">
        <f>_xlfn.XLOOKUP(A1723,'[1]Global_Spot Prices'!$B:$B,'[1]Global_Spot Prices'!$BS:$BS)</f>
        <v>10.519999999999996</v>
      </c>
      <c r="C1723">
        <f ca="1">_xlfn.XLOOKUP(A1723,'[1]Global_Spot Prices'!$B:$B,'[1]Global_Spot Prices'!$E:$E)</f>
        <v>70.75</v>
      </c>
      <c r="D1723">
        <f>_xlfn.XLOOKUP(A1723,'[1]Global_Spot Prices'!$B:$B,'[1]Global_Spot Prices'!$D:$D)</f>
        <v>71.265000000000001</v>
      </c>
      <c r="E1723">
        <f>_xlfn.XLOOKUP(A1723,'[1]Global_Spot Prices'!$B:$B,'[1]Global_Spot Prices'!$H:$H)</f>
        <v>73.61</v>
      </c>
      <c r="F1723">
        <f>_xlfn.XLOOKUP(A1723,'[1]Global_Spot Prices'!$B:$B,'[1]Global_Spot Prices'!$I:$I)</f>
        <v>81.27</v>
      </c>
      <c r="G1723" cm="1">
        <f t="array" ref="G1723">_xlfn.XLOOKUP(TEXT(A1723, "mmm-yy"), TEXT([2]RUNS!$B$5:$B$208, "mmm-yy"), [2]RUNS!$D$5:$D$208, "Not Found")</f>
        <v>28633.858927501638</v>
      </c>
      <c r="H1723" cm="1">
        <f t="array" ref="H1723">SUMPRODUCT(
    --(TEXT('[3]Global Weekly Stock (EWSuez'!$B$4:$B$2000,"mmm-yy")=TEXT(A1723,"mmm-yy")),
    '[3]Global Weekly Stock (EWSuez'!$E$4:$E$2000)
/
SUMPRODUCT(
    --(TEXT('[3]Global Weekly Stock (EWSuez'!$B$4:$B$2000,"mmm-yy")=TEXT(A1723,"mmm-yy"))
)</f>
        <v>13169.5</v>
      </c>
      <c r="I1723">
        <f>_xlfn.XLOOKUP(A1723,[1]ForwardDeriv!$D:$D,[1]ForwardDeriv!$AJ:$AJ)</f>
        <v>1.1700000000000017</v>
      </c>
      <c r="J1723" cm="1">
        <f t="array" ref="J1723">_xlfn.XLOOKUP(TEXT(A1723, "mmm-yy"), TEXT([2]GASOLINE!$B$5:$B$208, "mmm-yy"), [2]GASOLINE!$IR$5:$IR$208, "Not Found")</f>
        <v>-181.97180324111542</v>
      </c>
      <c r="K1723" cm="1">
        <f t="array" ref="K1723">_xlfn.XLOOKUP(TEXT(A1723, "mmm-yy"), TEXT([2]GASOLINE!$B$5:$B$208, "mmm-yy"), [2]GASOLINE!$IK$5:$IK$208, "Not Found")</f>
        <v>174.82399668503282</v>
      </c>
      <c r="L1723">
        <f t="shared" si="26"/>
        <v>1</v>
      </c>
      <c r="M1723" cm="1">
        <f t="array" ref="M1723">_xlfn.XLOOKUP(TEXT(A1723, "mmm-yy"), TEXT([2]GASOLINE!$B$5:$B$208, "mmm-yy"), [2]GASOLINE!$C$5:$C$208, "Not Found")</f>
        <v>7464.2421545829702</v>
      </c>
      <c r="N1723" cm="1">
        <f t="array" ref="N1723">_xlfn.XLOOKUP(TEXT(A1723, "mmm-yy"), TEXT([2]RUNS!$B$5:$B$208, "mmm-yy"), [2]RUNS!$BM$5:$BM$208, "Not Found")</f>
        <v>0.79301254102315111</v>
      </c>
    </row>
    <row r="1724" spans="1:14" x14ac:dyDescent="0.25">
      <c r="A1724" s="1">
        <f>'[1]Global_Spot Prices'!$B3033</f>
        <v>44417</v>
      </c>
      <c r="B1724" t="e">
        <f>_xlfn.XLOOKUP(A1724,'[1]Global_Spot Prices'!$B:$B,'[1]Global_Spot Prices'!$BS:$BS)</f>
        <v>#N/A</v>
      </c>
      <c r="C1724" t="str">
        <f>_xlfn.XLOOKUP(A1724,'[1]Global_Spot Prices'!$B:$B,'[1]Global_Spot Prices'!$E:$E)</f>
        <v/>
      </c>
      <c r="D1724">
        <f>_xlfn.XLOOKUP(A1724,'[1]Global_Spot Prices'!$B:$B,'[1]Global_Spot Prices'!$D:$D)</f>
        <v>69.605000000000004</v>
      </c>
      <c r="E1724">
        <f>_xlfn.XLOOKUP(A1724,'[1]Global_Spot Prices'!$B:$B,'[1]Global_Spot Prices'!$H:$H)</f>
        <v>0</v>
      </c>
      <c r="F1724">
        <f>_xlfn.XLOOKUP(A1724,'[1]Global_Spot Prices'!$B:$B,'[1]Global_Spot Prices'!$I:$I)</f>
        <v>0</v>
      </c>
      <c r="G1724" cm="1">
        <f t="array" ref="G1724">_xlfn.XLOOKUP(TEXT(A1724, "mmm-yy"), TEXT([2]RUNS!$B$5:$B$208, "mmm-yy"), [2]RUNS!$D$5:$D$208, "Not Found")</f>
        <v>28633.858927501638</v>
      </c>
      <c r="H1724" cm="1">
        <f t="array" ref="H1724">SUMPRODUCT(
    --(TEXT('[3]Global Weekly Stock (EWSuez'!$B$4:$B$2000,"mmm-yy")=TEXT(A1724,"mmm-yy")),
    '[3]Global Weekly Stock (EWSuez'!$E$4:$E$2000)
/
SUMPRODUCT(
    --(TEXT('[3]Global Weekly Stock (EWSuez'!$B$4:$B$2000,"mmm-yy")=TEXT(A1724,"mmm-yy"))
)</f>
        <v>13169.5</v>
      </c>
      <c r="I1724">
        <f>_xlfn.XLOOKUP(A1724,[1]ForwardDeriv!$D:$D,[1]ForwardDeriv!$AJ:$AJ)</f>
        <v>1.2800000000000011</v>
      </c>
      <c r="J1724" cm="1">
        <f t="array" ref="J1724">_xlfn.XLOOKUP(TEXT(A1724, "mmm-yy"), TEXT([2]GASOLINE!$B$5:$B$208, "mmm-yy"), [2]GASOLINE!$IR$5:$IR$208, "Not Found")</f>
        <v>-181.97180324111542</v>
      </c>
      <c r="K1724" cm="1">
        <f t="array" ref="K1724">_xlfn.XLOOKUP(TEXT(A1724, "mmm-yy"), TEXT([2]GASOLINE!$B$5:$B$208, "mmm-yy"), [2]GASOLINE!$IK$5:$IK$208, "Not Found")</f>
        <v>174.82399668503282</v>
      </c>
      <c r="L1724">
        <f t="shared" si="26"/>
        <v>1</v>
      </c>
      <c r="M1724" cm="1">
        <f t="array" ref="M1724">_xlfn.XLOOKUP(TEXT(A1724, "mmm-yy"), TEXT([2]GASOLINE!$B$5:$B$208, "mmm-yy"), [2]GASOLINE!$C$5:$C$208, "Not Found")</f>
        <v>7464.2421545829702</v>
      </c>
      <c r="N1724" cm="1">
        <f t="array" ref="N1724">_xlfn.XLOOKUP(TEXT(A1724, "mmm-yy"), TEXT([2]RUNS!$B$5:$B$208, "mmm-yy"), [2]RUNS!$BM$5:$BM$208, "Not Found")</f>
        <v>0.79301254102315111</v>
      </c>
    </row>
    <row r="1725" spans="1:14" x14ac:dyDescent="0.25">
      <c r="A1725" s="1">
        <f>'[1]Global_Spot Prices'!$B3034</f>
        <v>44418</v>
      </c>
      <c r="B1725">
        <f>_xlfn.XLOOKUP(A1725,'[1]Global_Spot Prices'!$B:$B,'[1]Global_Spot Prices'!$BS:$BS)</f>
        <v>10.780000000000001</v>
      </c>
      <c r="C1725">
        <f ca="1">_xlfn.XLOOKUP(A1725,'[1]Global_Spot Prices'!$B:$B,'[1]Global_Spot Prices'!$E:$E)</f>
        <v>68.89</v>
      </c>
      <c r="D1725">
        <f>_xlfn.XLOOKUP(A1725,'[1]Global_Spot Prices'!$B:$B,'[1]Global_Spot Prices'!$D:$D)</f>
        <v>71.69</v>
      </c>
      <c r="E1725">
        <f>_xlfn.XLOOKUP(A1725,'[1]Global_Spot Prices'!$B:$B,'[1]Global_Spot Prices'!$H:$H)</f>
        <v>72.569999999999993</v>
      </c>
      <c r="F1725">
        <f>_xlfn.XLOOKUP(A1725,'[1]Global_Spot Prices'!$B:$B,'[1]Global_Spot Prices'!$I:$I)</f>
        <v>79.67</v>
      </c>
      <c r="G1725" cm="1">
        <f t="array" ref="G1725">_xlfn.XLOOKUP(TEXT(A1725, "mmm-yy"), TEXT([2]RUNS!$B$5:$B$208, "mmm-yy"), [2]RUNS!$D$5:$D$208, "Not Found")</f>
        <v>28633.858927501638</v>
      </c>
      <c r="H1725" cm="1">
        <f t="array" ref="H1725">SUMPRODUCT(
    --(TEXT('[3]Global Weekly Stock (EWSuez'!$B$4:$B$2000,"mmm-yy")=TEXT(A1725,"mmm-yy")),
    '[3]Global Weekly Stock (EWSuez'!$E$4:$E$2000)
/
SUMPRODUCT(
    --(TEXT('[3]Global Weekly Stock (EWSuez'!$B$4:$B$2000,"mmm-yy")=TEXT(A1725,"mmm-yy"))
)</f>
        <v>13169.5</v>
      </c>
      <c r="I1725">
        <f>_xlfn.XLOOKUP(A1725,[1]ForwardDeriv!$D:$D,[1]ForwardDeriv!$AJ:$AJ)</f>
        <v>1.2800000000000011</v>
      </c>
      <c r="J1725" cm="1">
        <f t="array" ref="J1725">_xlfn.XLOOKUP(TEXT(A1725, "mmm-yy"), TEXT([2]GASOLINE!$B$5:$B$208, "mmm-yy"), [2]GASOLINE!$IR$5:$IR$208, "Not Found")</f>
        <v>-181.97180324111542</v>
      </c>
      <c r="K1725" cm="1">
        <f t="array" ref="K1725">_xlfn.XLOOKUP(TEXT(A1725, "mmm-yy"), TEXT([2]GASOLINE!$B$5:$B$208, "mmm-yy"), [2]GASOLINE!$IK$5:$IK$208, "Not Found")</f>
        <v>174.82399668503282</v>
      </c>
      <c r="L1725">
        <f t="shared" si="26"/>
        <v>1</v>
      </c>
      <c r="M1725" cm="1">
        <f t="array" ref="M1725">_xlfn.XLOOKUP(TEXT(A1725, "mmm-yy"), TEXT([2]GASOLINE!$B$5:$B$208, "mmm-yy"), [2]GASOLINE!$C$5:$C$208, "Not Found")</f>
        <v>7464.2421545829702</v>
      </c>
      <c r="N1725" cm="1">
        <f t="array" ref="N1725">_xlfn.XLOOKUP(TEXT(A1725, "mmm-yy"), TEXT([2]RUNS!$B$5:$B$208, "mmm-yy"), [2]RUNS!$BM$5:$BM$208, "Not Found")</f>
        <v>0.79301254102315111</v>
      </c>
    </row>
    <row r="1726" spans="1:14" x14ac:dyDescent="0.25">
      <c r="A1726" s="1">
        <f>'[1]Global_Spot Prices'!$B3035</f>
        <v>44419</v>
      </c>
      <c r="B1726">
        <f>_xlfn.XLOOKUP(A1726,'[1]Global_Spot Prices'!$B:$B,'[1]Global_Spot Prices'!$BS:$BS)</f>
        <v>10.629999999999995</v>
      </c>
      <c r="C1726">
        <f>_xlfn.XLOOKUP(A1726,'[1]Global_Spot Prices'!$B:$B,'[1]Global_Spot Prices'!$E:$E)</f>
        <v>69.75</v>
      </c>
      <c r="D1726">
        <f>_xlfn.XLOOKUP(A1726,'[1]Global_Spot Prices'!$B:$B,'[1]Global_Spot Prices'!$D:$D)</f>
        <v>70.69</v>
      </c>
      <c r="E1726">
        <f>_xlfn.XLOOKUP(A1726,'[1]Global_Spot Prices'!$B:$B,'[1]Global_Spot Prices'!$H:$H)</f>
        <v>72.7</v>
      </c>
      <c r="F1726">
        <f>_xlfn.XLOOKUP(A1726,'[1]Global_Spot Prices'!$B:$B,'[1]Global_Spot Prices'!$I:$I)</f>
        <v>80.38</v>
      </c>
      <c r="G1726" cm="1">
        <f t="array" ref="G1726">_xlfn.XLOOKUP(TEXT(A1726, "mmm-yy"), TEXT([2]RUNS!$B$5:$B$208, "mmm-yy"), [2]RUNS!$D$5:$D$208, "Not Found")</f>
        <v>28633.858927501638</v>
      </c>
      <c r="H1726" cm="1">
        <f t="array" ref="H1726">SUMPRODUCT(
    --(TEXT('[3]Global Weekly Stock (EWSuez'!$B$4:$B$2000,"mmm-yy")=TEXT(A1726,"mmm-yy")),
    '[3]Global Weekly Stock (EWSuez'!$E$4:$E$2000)
/
SUMPRODUCT(
    --(TEXT('[3]Global Weekly Stock (EWSuez'!$B$4:$B$2000,"mmm-yy")=TEXT(A1726,"mmm-yy"))
)</f>
        <v>13169.5</v>
      </c>
      <c r="I1726">
        <f>_xlfn.XLOOKUP(A1726,[1]ForwardDeriv!$D:$D,[1]ForwardDeriv!$AJ:$AJ)</f>
        <v>1.2599999999999909</v>
      </c>
      <c r="J1726" cm="1">
        <f t="array" ref="J1726">_xlfn.XLOOKUP(TEXT(A1726, "mmm-yy"), TEXT([2]GASOLINE!$B$5:$B$208, "mmm-yy"), [2]GASOLINE!$IR$5:$IR$208, "Not Found")</f>
        <v>-181.97180324111542</v>
      </c>
      <c r="K1726" cm="1">
        <f t="array" ref="K1726">_xlfn.XLOOKUP(TEXT(A1726, "mmm-yy"), TEXT([2]GASOLINE!$B$5:$B$208, "mmm-yy"), [2]GASOLINE!$IK$5:$IK$208, "Not Found")</f>
        <v>174.82399668503282</v>
      </c>
      <c r="L1726">
        <f t="shared" si="26"/>
        <v>1</v>
      </c>
      <c r="M1726" cm="1">
        <f t="array" ref="M1726">_xlfn.XLOOKUP(TEXT(A1726, "mmm-yy"), TEXT([2]GASOLINE!$B$5:$B$208, "mmm-yy"), [2]GASOLINE!$C$5:$C$208, "Not Found")</f>
        <v>7464.2421545829702</v>
      </c>
      <c r="N1726" cm="1">
        <f t="array" ref="N1726">_xlfn.XLOOKUP(TEXT(A1726, "mmm-yy"), TEXT([2]RUNS!$B$5:$B$208, "mmm-yy"), [2]RUNS!$BM$5:$BM$208, "Not Found")</f>
        <v>0.79301254102315111</v>
      </c>
    </row>
    <row r="1727" spans="1:14" x14ac:dyDescent="0.25">
      <c r="A1727" s="1">
        <f>'[1]Global_Spot Prices'!$B3036</f>
        <v>44420</v>
      </c>
      <c r="B1727">
        <f>_xlfn.XLOOKUP(A1727,'[1]Global_Spot Prices'!$B:$B,'[1]Global_Spot Prices'!$BS:$BS)</f>
        <v>10.170000000000002</v>
      </c>
      <c r="C1727">
        <f>_xlfn.XLOOKUP(A1727,'[1]Global_Spot Prices'!$B:$B,'[1]Global_Spot Prices'!$E:$E)</f>
        <v>70.5</v>
      </c>
      <c r="D1727">
        <f>_xlfn.XLOOKUP(A1727,'[1]Global_Spot Prices'!$B:$B,'[1]Global_Spot Prices'!$D:$D)</f>
        <v>71.62</v>
      </c>
      <c r="E1727">
        <f>_xlfn.XLOOKUP(A1727,'[1]Global_Spot Prices'!$B:$B,'[1]Global_Spot Prices'!$H:$H)</f>
        <v>72.760000000000005</v>
      </c>
      <c r="F1727">
        <f>_xlfn.XLOOKUP(A1727,'[1]Global_Spot Prices'!$B:$B,'[1]Global_Spot Prices'!$I:$I)</f>
        <v>80.67</v>
      </c>
      <c r="G1727" cm="1">
        <f t="array" ref="G1727">_xlfn.XLOOKUP(TEXT(A1727, "mmm-yy"), TEXT([2]RUNS!$B$5:$B$208, "mmm-yy"), [2]RUNS!$D$5:$D$208, "Not Found")</f>
        <v>28633.858927501638</v>
      </c>
      <c r="H1727" cm="1">
        <f t="array" ref="H1727">SUMPRODUCT(
    --(TEXT('[3]Global Weekly Stock (EWSuez'!$B$4:$B$2000,"mmm-yy")=TEXT(A1727,"mmm-yy")),
    '[3]Global Weekly Stock (EWSuez'!$E$4:$E$2000)
/
SUMPRODUCT(
    --(TEXT('[3]Global Weekly Stock (EWSuez'!$B$4:$B$2000,"mmm-yy")=TEXT(A1727,"mmm-yy"))
)</f>
        <v>13169.5</v>
      </c>
      <c r="I1727">
        <f>_xlfn.XLOOKUP(A1727,[1]ForwardDeriv!$D:$D,[1]ForwardDeriv!$AJ:$AJ)</f>
        <v>1.25</v>
      </c>
      <c r="J1727" cm="1">
        <f t="array" ref="J1727">_xlfn.XLOOKUP(TEXT(A1727, "mmm-yy"), TEXT([2]GASOLINE!$B$5:$B$208, "mmm-yy"), [2]GASOLINE!$IR$5:$IR$208, "Not Found")</f>
        <v>-181.97180324111542</v>
      </c>
      <c r="K1727" cm="1">
        <f t="array" ref="K1727">_xlfn.XLOOKUP(TEXT(A1727, "mmm-yy"), TEXT([2]GASOLINE!$B$5:$B$208, "mmm-yy"), [2]GASOLINE!$IK$5:$IK$208, "Not Found")</f>
        <v>174.82399668503282</v>
      </c>
      <c r="L1727">
        <f t="shared" si="26"/>
        <v>1</v>
      </c>
      <c r="M1727" cm="1">
        <f t="array" ref="M1727">_xlfn.XLOOKUP(TEXT(A1727, "mmm-yy"), TEXT([2]GASOLINE!$B$5:$B$208, "mmm-yy"), [2]GASOLINE!$C$5:$C$208, "Not Found")</f>
        <v>7464.2421545829702</v>
      </c>
      <c r="N1727" cm="1">
        <f t="array" ref="N1727">_xlfn.XLOOKUP(TEXT(A1727, "mmm-yy"), TEXT([2]RUNS!$B$5:$B$208, "mmm-yy"), [2]RUNS!$BM$5:$BM$208, "Not Found")</f>
        <v>0.79301254102315111</v>
      </c>
    </row>
    <row r="1728" spans="1:14" x14ac:dyDescent="0.25">
      <c r="A1728" s="1">
        <f>'[1]Global_Spot Prices'!$B3037</f>
        <v>44421</v>
      </c>
      <c r="B1728">
        <f>_xlfn.XLOOKUP(A1728,'[1]Global_Spot Prices'!$B:$B,'[1]Global_Spot Prices'!$BS:$BS)</f>
        <v>9.9200000000000017</v>
      </c>
      <c r="C1728">
        <f>_xlfn.XLOOKUP(A1728,'[1]Global_Spot Prices'!$B:$B,'[1]Global_Spot Prices'!$E:$E)</f>
        <v>70.02</v>
      </c>
      <c r="D1728">
        <f>_xlfn.XLOOKUP(A1728,'[1]Global_Spot Prices'!$B:$B,'[1]Global_Spot Prices'!$D:$D)</f>
        <v>71.58</v>
      </c>
      <c r="E1728">
        <f>_xlfn.XLOOKUP(A1728,'[1]Global_Spot Prices'!$B:$B,'[1]Global_Spot Prices'!$H:$H)</f>
        <v>71.63</v>
      </c>
      <c r="F1728">
        <f>_xlfn.XLOOKUP(A1728,'[1]Global_Spot Prices'!$B:$B,'[1]Global_Spot Prices'!$I:$I)</f>
        <v>79.94</v>
      </c>
      <c r="G1728" cm="1">
        <f t="array" ref="G1728">_xlfn.XLOOKUP(TEXT(A1728, "mmm-yy"), TEXT([2]RUNS!$B$5:$B$208, "mmm-yy"), [2]RUNS!$D$5:$D$208, "Not Found")</f>
        <v>28633.858927501638</v>
      </c>
      <c r="H1728" cm="1">
        <f t="array" ref="H1728">SUMPRODUCT(
    --(TEXT('[3]Global Weekly Stock (EWSuez'!$B$4:$B$2000,"mmm-yy")=TEXT(A1728,"mmm-yy")),
    '[3]Global Weekly Stock (EWSuez'!$E$4:$E$2000)
/
SUMPRODUCT(
    --(TEXT('[3]Global Weekly Stock (EWSuez'!$B$4:$B$2000,"mmm-yy")=TEXT(A1728,"mmm-yy"))
)</f>
        <v>13169.5</v>
      </c>
      <c r="I1728">
        <f>_xlfn.XLOOKUP(A1728,[1]ForwardDeriv!$D:$D,[1]ForwardDeriv!$AJ:$AJ)</f>
        <v>1.2800000000000011</v>
      </c>
      <c r="J1728" cm="1">
        <f t="array" ref="J1728">_xlfn.XLOOKUP(TEXT(A1728, "mmm-yy"), TEXT([2]GASOLINE!$B$5:$B$208, "mmm-yy"), [2]GASOLINE!$IR$5:$IR$208, "Not Found")</f>
        <v>-181.97180324111542</v>
      </c>
      <c r="K1728" cm="1">
        <f t="array" ref="K1728">_xlfn.XLOOKUP(TEXT(A1728, "mmm-yy"), TEXT([2]GASOLINE!$B$5:$B$208, "mmm-yy"), [2]GASOLINE!$IK$5:$IK$208, "Not Found")</f>
        <v>174.82399668503282</v>
      </c>
      <c r="L1728">
        <f t="shared" si="26"/>
        <v>1</v>
      </c>
      <c r="M1728" cm="1">
        <f t="array" ref="M1728">_xlfn.XLOOKUP(TEXT(A1728, "mmm-yy"), TEXT([2]GASOLINE!$B$5:$B$208, "mmm-yy"), [2]GASOLINE!$C$5:$C$208, "Not Found")</f>
        <v>7464.2421545829702</v>
      </c>
      <c r="N1728" cm="1">
        <f t="array" ref="N1728">_xlfn.XLOOKUP(TEXT(A1728, "mmm-yy"), TEXT([2]RUNS!$B$5:$B$208, "mmm-yy"), [2]RUNS!$BM$5:$BM$208, "Not Found")</f>
        <v>0.79301254102315111</v>
      </c>
    </row>
    <row r="1729" spans="1:14" x14ac:dyDescent="0.25">
      <c r="A1729" s="1">
        <f>'[1]Global_Spot Prices'!$B3038</f>
        <v>44424</v>
      </c>
      <c r="B1729">
        <f>_xlfn.XLOOKUP(A1729,'[1]Global_Spot Prices'!$B:$B,'[1]Global_Spot Prices'!$BS:$BS)</f>
        <v>9.5300000000000011</v>
      </c>
      <c r="C1729">
        <f>_xlfn.XLOOKUP(A1729,'[1]Global_Spot Prices'!$B:$B,'[1]Global_Spot Prices'!$E:$E)</f>
        <v>68.89</v>
      </c>
      <c r="D1729">
        <f>_xlfn.XLOOKUP(A1729,'[1]Global_Spot Prices'!$B:$B,'[1]Global_Spot Prices'!$D:$D)</f>
        <v>70.150000000000006</v>
      </c>
      <c r="E1729">
        <f>_xlfn.XLOOKUP(A1729,'[1]Global_Spot Prices'!$B:$B,'[1]Global_Spot Prices'!$H:$H)</f>
        <v>69.650000000000006</v>
      </c>
      <c r="F1729">
        <f>_xlfn.XLOOKUP(A1729,'[1]Global_Spot Prices'!$B:$B,'[1]Global_Spot Prices'!$I:$I)</f>
        <v>78.42</v>
      </c>
      <c r="G1729" cm="1">
        <f t="array" ref="G1729">_xlfn.XLOOKUP(TEXT(A1729, "mmm-yy"), TEXT([2]RUNS!$B$5:$B$208, "mmm-yy"), [2]RUNS!$D$5:$D$208, "Not Found")</f>
        <v>28633.858927501638</v>
      </c>
      <c r="H1729" cm="1">
        <f t="array" ref="H1729">SUMPRODUCT(
    --(TEXT('[3]Global Weekly Stock (EWSuez'!$B$4:$B$2000,"mmm-yy")=TEXT(A1729,"mmm-yy")),
    '[3]Global Weekly Stock (EWSuez'!$E$4:$E$2000)
/
SUMPRODUCT(
    --(TEXT('[3]Global Weekly Stock (EWSuez'!$B$4:$B$2000,"mmm-yy")=TEXT(A1729,"mmm-yy"))
)</f>
        <v>13169.5</v>
      </c>
      <c r="I1729">
        <f>_xlfn.XLOOKUP(A1729,[1]ForwardDeriv!$D:$D,[1]ForwardDeriv!$AJ:$AJ)</f>
        <v>1.2000000000000028</v>
      </c>
      <c r="J1729" cm="1">
        <f t="array" ref="J1729">_xlfn.XLOOKUP(TEXT(A1729, "mmm-yy"), TEXT([2]GASOLINE!$B$5:$B$208, "mmm-yy"), [2]GASOLINE!$IR$5:$IR$208, "Not Found")</f>
        <v>-181.97180324111542</v>
      </c>
      <c r="K1729" cm="1">
        <f t="array" ref="K1729">_xlfn.XLOOKUP(TEXT(A1729, "mmm-yy"), TEXT([2]GASOLINE!$B$5:$B$208, "mmm-yy"), [2]GASOLINE!$IK$5:$IK$208, "Not Found")</f>
        <v>174.82399668503282</v>
      </c>
      <c r="L1729">
        <f t="shared" si="26"/>
        <v>1</v>
      </c>
      <c r="M1729" cm="1">
        <f t="array" ref="M1729">_xlfn.XLOOKUP(TEXT(A1729, "mmm-yy"), TEXT([2]GASOLINE!$B$5:$B$208, "mmm-yy"), [2]GASOLINE!$C$5:$C$208, "Not Found")</f>
        <v>7464.2421545829702</v>
      </c>
      <c r="N1729" cm="1">
        <f t="array" ref="N1729">_xlfn.XLOOKUP(TEXT(A1729, "mmm-yy"), TEXT([2]RUNS!$B$5:$B$208, "mmm-yy"), [2]RUNS!$BM$5:$BM$208, "Not Found")</f>
        <v>0.79301254102315111</v>
      </c>
    </row>
    <row r="1730" spans="1:14" x14ac:dyDescent="0.25">
      <c r="A1730" s="1">
        <f>'[1]Global_Spot Prices'!$B3039</f>
        <v>44425</v>
      </c>
      <c r="B1730">
        <f>_xlfn.XLOOKUP(A1730,'[1]Global_Spot Prices'!$B:$B,'[1]Global_Spot Prices'!$BS:$BS)</f>
        <v>8.9000000000000057</v>
      </c>
      <c r="C1730">
        <f>_xlfn.XLOOKUP(A1730,'[1]Global_Spot Prices'!$B:$B,'[1]Global_Spot Prices'!$E:$E)</f>
        <v>68.41</v>
      </c>
      <c r="D1730">
        <f>_xlfn.XLOOKUP(A1730,'[1]Global_Spot Prices'!$B:$B,'[1]Global_Spot Prices'!$D:$D)</f>
        <v>70.375</v>
      </c>
      <c r="E1730">
        <f>_xlfn.XLOOKUP(A1730,'[1]Global_Spot Prices'!$B:$B,'[1]Global_Spot Prices'!$H:$H)</f>
        <v>68.64</v>
      </c>
      <c r="F1730">
        <f>_xlfn.XLOOKUP(A1730,'[1]Global_Spot Prices'!$B:$B,'[1]Global_Spot Prices'!$I:$I)</f>
        <v>77.31</v>
      </c>
      <c r="G1730" cm="1">
        <f t="array" ref="G1730">_xlfn.XLOOKUP(TEXT(A1730, "mmm-yy"), TEXT([2]RUNS!$B$5:$B$208, "mmm-yy"), [2]RUNS!$D$5:$D$208, "Not Found")</f>
        <v>28633.858927501638</v>
      </c>
      <c r="H1730" cm="1">
        <f t="array" ref="H1730">SUMPRODUCT(
    --(TEXT('[3]Global Weekly Stock (EWSuez'!$B$4:$B$2000,"mmm-yy")=TEXT(A1730,"mmm-yy")),
    '[3]Global Weekly Stock (EWSuez'!$E$4:$E$2000)
/
SUMPRODUCT(
    --(TEXT('[3]Global Weekly Stock (EWSuez'!$B$4:$B$2000,"mmm-yy")=TEXT(A1730,"mmm-yy"))
)</f>
        <v>13169.5</v>
      </c>
      <c r="I1730">
        <f>_xlfn.XLOOKUP(A1730,[1]ForwardDeriv!$D:$D,[1]ForwardDeriv!$AJ:$AJ)</f>
        <v>1.2399999999999949</v>
      </c>
      <c r="J1730" cm="1">
        <f t="array" ref="J1730">_xlfn.XLOOKUP(TEXT(A1730, "mmm-yy"), TEXT([2]GASOLINE!$B$5:$B$208, "mmm-yy"), [2]GASOLINE!$IR$5:$IR$208, "Not Found")</f>
        <v>-181.97180324111542</v>
      </c>
      <c r="K1730" cm="1">
        <f t="array" ref="K1730">_xlfn.XLOOKUP(TEXT(A1730, "mmm-yy"), TEXT([2]GASOLINE!$B$5:$B$208, "mmm-yy"), [2]GASOLINE!$IK$5:$IK$208, "Not Found")</f>
        <v>174.82399668503282</v>
      </c>
      <c r="L1730">
        <f t="shared" si="26"/>
        <v>1</v>
      </c>
      <c r="M1730" cm="1">
        <f t="array" ref="M1730">_xlfn.XLOOKUP(TEXT(A1730, "mmm-yy"), TEXT([2]GASOLINE!$B$5:$B$208, "mmm-yy"), [2]GASOLINE!$C$5:$C$208, "Not Found")</f>
        <v>7464.2421545829702</v>
      </c>
      <c r="N1730" cm="1">
        <f t="array" ref="N1730">_xlfn.XLOOKUP(TEXT(A1730, "mmm-yy"), TEXT([2]RUNS!$B$5:$B$208, "mmm-yy"), [2]RUNS!$BM$5:$BM$208, "Not Found")</f>
        <v>0.79301254102315111</v>
      </c>
    </row>
    <row r="1731" spans="1:14" x14ac:dyDescent="0.25">
      <c r="A1731" s="1">
        <f>'[1]Global_Spot Prices'!$B3040</f>
        <v>44426</v>
      </c>
      <c r="B1731">
        <f>_xlfn.XLOOKUP(A1731,'[1]Global_Spot Prices'!$B:$B,'[1]Global_Spot Prices'!$BS:$BS)</f>
        <v>9.7799999999999869</v>
      </c>
      <c r="C1731">
        <f>_xlfn.XLOOKUP(A1731,'[1]Global_Spot Prices'!$B:$B,'[1]Global_Spot Prices'!$E:$E)</f>
        <v>68.540000000000006</v>
      </c>
      <c r="D1731">
        <f ca="1">_xlfn.XLOOKUP(A1731,'[1]Global_Spot Prices'!$B:$B,'[1]Global_Spot Prices'!$D:$D)</f>
        <v>69.75</v>
      </c>
      <c r="E1731">
        <f>_xlfn.XLOOKUP(A1731,'[1]Global_Spot Prices'!$B:$B,'[1]Global_Spot Prices'!$H:$H)</f>
        <v>68.459999999999994</v>
      </c>
      <c r="F1731">
        <f>_xlfn.XLOOKUP(A1731,'[1]Global_Spot Prices'!$B:$B,'[1]Global_Spot Prices'!$I:$I)</f>
        <v>78.319999999999993</v>
      </c>
      <c r="G1731" cm="1">
        <f t="array" ref="G1731">_xlfn.XLOOKUP(TEXT(A1731, "mmm-yy"), TEXT([2]RUNS!$B$5:$B$208, "mmm-yy"), [2]RUNS!$D$5:$D$208, "Not Found")</f>
        <v>28633.858927501638</v>
      </c>
      <c r="H1731" cm="1">
        <f t="array" ref="H1731">SUMPRODUCT(
    --(TEXT('[3]Global Weekly Stock (EWSuez'!$B$4:$B$2000,"mmm-yy")=TEXT(A1731,"mmm-yy")),
    '[3]Global Weekly Stock (EWSuez'!$E$4:$E$2000)
/
SUMPRODUCT(
    --(TEXT('[3]Global Weekly Stock (EWSuez'!$B$4:$B$2000,"mmm-yy")=TEXT(A1731,"mmm-yy"))
)</f>
        <v>13169.5</v>
      </c>
      <c r="I1731">
        <f>_xlfn.XLOOKUP(A1731,[1]ForwardDeriv!$D:$D,[1]ForwardDeriv!$AJ:$AJ)</f>
        <v>1.3499999999999943</v>
      </c>
      <c r="J1731" cm="1">
        <f t="array" ref="J1731">_xlfn.XLOOKUP(TEXT(A1731, "mmm-yy"), TEXT([2]GASOLINE!$B$5:$B$208, "mmm-yy"), [2]GASOLINE!$IR$5:$IR$208, "Not Found")</f>
        <v>-181.97180324111542</v>
      </c>
      <c r="K1731" cm="1">
        <f t="array" ref="K1731">_xlfn.XLOOKUP(TEXT(A1731, "mmm-yy"), TEXT([2]GASOLINE!$B$5:$B$208, "mmm-yy"), [2]GASOLINE!$IK$5:$IK$208, "Not Found")</f>
        <v>174.82399668503282</v>
      </c>
      <c r="L1731">
        <f t="shared" ref="L1731:L1794" si="27">IF(OR(MONTH(A1731)=6, MONTH(A1731)=7, MONTH(A1731)=8, MONTH(A1731)=9), 1, 0)</f>
        <v>1</v>
      </c>
      <c r="M1731" cm="1">
        <f t="array" ref="M1731">_xlfn.XLOOKUP(TEXT(A1731, "mmm-yy"), TEXT([2]GASOLINE!$B$5:$B$208, "mmm-yy"), [2]GASOLINE!$C$5:$C$208, "Not Found")</f>
        <v>7464.2421545829702</v>
      </c>
      <c r="N1731" cm="1">
        <f t="array" ref="N1731">_xlfn.XLOOKUP(TEXT(A1731, "mmm-yy"), TEXT([2]RUNS!$B$5:$B$208, "mmm-yy"), [2]RUNS!$BM$5:$BM$208, "Not Found")</f>
        <v>0.79301254102315111</v>
      </c>
    </row>
    <row r="1732" spans="1:14" x14ac:dyDescent="0.25">
      <c r="A1732" s="1">
        <f>'[1]Global_Spot Prices'!$B3041</f>
        <v>44427</v>
      </c>
      <c r="B1732">
        <f>_xlfn.XLOOKUP(A1732,'[1]Global_Spot Prices'!$B:$B,'[1]Global_Spot Prices'!$BS:$BS)</f>
        <v>9.3799999999999955</v>
      </c>
      <c r="C1732">
        <f>_xlfn.XLOOKUP(A1732,'[1]Global_Spot Prices'!$B:$B,'[1]Global_Spot Prices'!$E:$E)</f>
        <v>65.34</v>
      </c>
      <c r="D1732">
        <f>_xlfn.XLOOKUP(A1732,'[1]Global_Spot Prices'!$B:$B,'[1]Global_Spot Prices'!$D:$D)</f>
        <v>66.165000000000006</v>
      </c>
      <c r="E1732">
        <f>_xlfn.XLOOKUP(A1732,'[1]Global_Spot Prices'!$B:$B,'[1]Global_Spot Prices'!$H:$H)</f>
        <v>65.31</v>
      </c>
      <c r="F1732">
        <f>_xlfn.XLOOKUP(A1732,'[1]Global_Spot Prices'!$B:$B,'[1]Global_Spot Prices'!$I:$I)</f>
        <v>74.72</v>
      </c>
      <c r="G1732" cm="1">
        <f t="array" ref="G1732">_xlfn.XLOOKUP(TEXT(A1732, "mmm-yy"), TEXT([2]RUNS!$B$5:$B$208, "mmm-yy"), [2]RUNS!$D$5:$D$208, "Not Found")</f>
        <v>28633.858927501638</v>
      </c>
      <c r="H1732" cm="1">
        <f t="array" ref="H1732">SUMPRODUCT(
    --(TEXT('[3]Global Weekly Stock (EWSuez'!$B$4:$B$2000,"mmm-yy")=TEXT(A1732,"mmm-yy")),
    '[3]Global Weekly Stock (EWSuez'!$E$4:$E$2000)
/
SUMPRODUCT(
    --(TEXT('[3]Global Weekly Stock (EWSuez'!$B$4:$B$2000,"mmm-yy")=TEXT(A1732,"mmm-yy"))
)</f>
        <v>13169.5</v>
      </c>
      <c r="I1732">
        <f>_xlfn.XLOOKUP(A1732,[1]ForwardDeriv!$D:$D,[1]ForwardDeriv!$AJ:$AJ)</f>
        <v>1.2999999999999972</v>
      </c>
      <c r="J1732" cm="1">
        <f t="array" ref="J1732">_xlfn.XLOOKUP(TEXT(A1732, "mmm-yy"), TEXT([2]GASOLINE!$B$5:$B$208, "mmm-yy"), [2]GASOLINE!$IR$5:$IR$208, "Not Found")</f>
        <v>-181.97180324111542</v>
      </c>
      <c r="K1732" cm="1">
        <f t="array" ref="K1732">_xlfn.XLOOKUP(TEXT(A1732, "mmm-yy"), TEXT([2]GASOLINE!$B$5:$B$208, "mmm-yy"), [2]GASOLINE!$IK$5:$IK$208, "Not Found")</f>
        <v>174.82399668503282</v>
      </c>
      <c r="L1732">
        <f t="shared" si="27"/>
        <v>1</v>
      </c>
      <c r="M1732" cm="1">
        <f t="array" ref="M1732">_xlfn.XLOOKUP(TEXT(A1732, "mmm-yy"), TEXT([2]GASOLINE!$B$5:$B$208, "mmm-yy"), [2]GASOLINE!$C$5:$C$208, "Not Found")</f>
        <v>7464.2421545829702</v>
      </c>
      <c r="N1732" cm="1">
        <f t="array" ref="N1732">_xlfn.XLOOKUP(TEXT(A1732, "mmm-yy"), TEXT([2]RUNS!$B$5:$B$208, "mmm-yy"), [2]RUNS!$BM$5:$BM$208, "Not Found")</f>
        <v>0.79301254102315111</v>
      </c>
    </row>
    <row r="1733" spans="1:14" x14ac:dyDescent="0.25">
      <c r="A1733" s="1">
        <f>'[1]Global_Spot Prices'!$B3042</f>
        <v>44428</v>
      </c>
      <c r="B1733">
        <f>_xlfn.XLOOKUP(A1733,'[1]Global_Spot Prices'!$B:$B,'[1]Global_Spot Prices'!$BS:$BS)</f>
        <v>8.6800000000000068</v>
      </c>
      <c r="C1733">
        <f>_xlfn.XLOOKUP(A1733,'[1]Global_Spot Prices'!$B:$B,'[1]Global_Spot Prices'!$E:$E)</f>
        <v>65.349999999999994</v>
      </c>
      <c r="D1733">
        <f>_xlfn.XLOOKUP(A1733,'[1]Global_Spot Prices'!$B:$B,'[1]Global_Spot Prices'!$D:$D)</f>
        <v>66.44</v>
      </c>
      <c r="E1733">
        <f>_xlfn.XLOOKUP(A1733,'[1]Global_Spot Prices'!$B:$B,'[1]Global_Spot Prices'!$H:$H)</f>
        <v>64.92</v>
      </c>
      <c r="F1733">
        <f>_xlfn.XLOOKUP(A1733,'[1]Global_Spot Prices'!$B:$B,'[1]Global_Spot Prices'!$I:$I)</f>
        <v>74.03</v>
      </c>
      <c r="G1733" cm="1">
        <f t="array" ref="G1733">_xlfn.XLOOKUP(TEXT(A1733, "mmm-yy"), TEXT([2]RUNS!$B$5:$B$208, "mmm-yy"), [2]RUNS!$D$5:$D$208, "Not Found")</f>
        <v>28633.858927501638</v>
      </c>
      <c r="H1733" cm="1">
        <f t="array" ref="H1733">SUMPRODUCT(
    --(TEXT('[3]Global Weekly Stock (EWSuez'!$B$4:$B$2000,"mmm-yy")=TEXT(A1733,"mmm-yy")),
    '[3]Global Weekly Stock (EWSuez'!$E$4:$E$2000)
/
SUMPRODUCT(
    --(TEXT('[3]Global Weekly Stock (EWSuez'!$B$4:$B$2000,"mmm-yy")=TEXT(A1733,"mmm-yy"))
)</f>
        <v>13169.5</v>
      </c>
      <c r="I1733">
        <f>_xlfn.XLOOKUP(A1733,[1]ForwardDeriv!$D:$D,[1]ForwardDeriv!$AJ:$AJ)</f>
        <v>1.2800000000000011</v>
      </c>
      <c r="J1733" cm="1">
        <f t="array" ref="J1733">_xlfn.XLOOKUP(TEXT(A1733, "mmm-yy"), TEXT([2]GASOLINE!$B$5:$B$208, "mmm-yy"), [2]GASOLINE!$IR$5:$IR$208, "Not Found")</f>
        <v>-181.97180324111542</v>
      </c>
      <c r="K1733" cm="1">
        <f t="array" ref="K1733">_xlfn.XLOOKUP(TEXT(A1733, "mmm-yy"), TEXT([2]GASOLINE!$B$5:$B$208, "mmm-yy"), [2]GASOLINE!$IK$5:$IK$208, "Not Found")</f>
        <v>174.82399668503282</v>
      </c>
      <c r="L1733">
        <f t="shared" si="27"/>
        <v>1</v>
      </c>
      <c r="M1733" cm="1">
        <f t="array" ref="M1733">_xlfn.XLOOKUP(TEXT(A1733, "mmm-yy"), TEXT([2]GASOLINE!$B$5:$B$208, "mmm-yy"), [2]GASOLINE!$C$5:$C$208, "Not Found")</f>
        <v>7464.2421545829702</v>
      </c>
      <c r="N1733" cm="1">
        <f t="array" ref="N1733">_xlfn.XLOOKUP(TEXT(A1733, "mmm-yy"), TEXT([2]RUNS!$B$5:$B$208, "mmm-yy"), [2]RUNS!$BM$5:$BM$208, "Not Found")</f>
        <v>0.79301254102315111</v>
      </c>
    </row>
    <row r="1734" spans="1:14" x14ac:dyDescent="0.25">
      <c r="A1734" s="1">
        <f>'[1]Global_Spot Prices'!$B3043</f>
        <v>44431</v>
      </c>
      <c r="B1734">
        <f>_xlfn.XLOOKUP(A1734,'[1]Global_Spot Prices'!$B:$B,'[1]Global_Spot Prices'!$BS:$BS)</f>
        <v>7.8200000000000074</v>
      </c>
      <c r="C1734">
        <f>_xlfn.XLOOKUP(A1734,'[1]Global_Spot Prices'!$B:$B,'[1]Global_Spot Prices'!$E:$E)</f>
        <v>66.05</v>
      </c>
      <c r="D1734">
        <f>_xlfn.XLOOKUP(A1734,'[1]Global_Spot Prices'!$B:$B,'[1]Global_Spot Prices'!$D:$D)</f>
        <v>68.94</v>
      </c>
      <c r="E1734">
        <f>_xlfn.XLOOKUP(A1734,'[1]Global_Spot Prices'!$B:$B,'[1]Global_Spot Prices'!$H:$H)</f>
        <v>65.73</v>
      </c>
      <c r="F1734">
        <f>_xlfn.XLOOKUP(A1734,'[1]Global_Spot Prices'!$B:$B,'[1]Global_Spot Prices'!$I:$I)</f>
        <v>73.87</v>
      </c>
      <c r="G1734" cm="1">
        <f t="array" ref="G1734">_xlfn.XLOOKUP(TEXT(A1734, "mmm-yy"), TEXT([2]RUNS!$B$5:$B$208, "mmm-yy"), [2]RUNS!$D$5:$D$208, "Not Found")</f>
        <v>28633.858927501638</v>
      </c>
      <c r="H1734" cm="1">
        <f t="array" ref="H1734">SUMPRODUCT(
    --(TEXT('[3]Global Weekly Stock (EWSuez'!$B$4:$B$2000,"mmm-yy")=TEXT(A1734,"mmm-yy")),
    '[3]Global Weekly Stock (EWSuez'!$E$4:$E$2000)
/
SUMPRODUCT(
    --(TEXT('[3]Global Weekly Stock (EWSuez'!$B$4:$B$2000,"mmm-yy")=TEXT(A1734,"mmm-yy"))
)</f>
        <v>13169.5</v>
      </c>
      <c r="I1734">
        <f>_xlfn.XLOOKUP(A1734,[1]ForwardDeriv!$D:$D,[1]ForwardDeriv!$AJ:$AJ)</f>
        <v>1.2099999999999937</v>
      </c>
      <c r="J1734" cm="1">
        <f t="array" ref="J1734">_xlfn.XLOOKUP(TEXT(A1734, "mmm-yy"), TEXT([2]GASOLINE!$B$5:$B$208, "mmm-yy"), [2]GASOLINE!$IR$5:$IR$208, "Not Found")</f>
        <v>-181.97180324111542</v>
      </c>
      <c r="K1734" cm="1">
        <f t="array" ref="K1734">_xlfn.XLOOKUP(TEXT(A1734, "mmm-yy"), TEXT([2]GASOLINE!$B$5:$B$208, "mmm-yy"), [2]GASOLINE!$IK$5:$IK$208, "Not Found")</f>
        <v>174.82399668503282</v>
      </c>
      <c r="L1734">
        <f t="shared" si="27"/>
        <v>1</v>
      </c>
      <c r="M1734" cm="1">
        <f t="array" ref="M1734">_xlfn.XLOOKUP(TEXT(A1734, "mmm-yy"), TEXT([2]GASOLINE!$B$5:$B$208, "mmm-yy"), [2]GASOLINE!$C$5:$C$208, "Not Found")</f>
        <v>7464.2421545829702</v>
      </c>
      <c r="N1734" cm="1">
        <f t="array" ref="N1734">_xlfn.XLOOKUP(TEXT(A1734, "mmm-yy"), TEXT([2]RUNS!$B$5:$B$208, "mmm-yy"), [2]RUNS!$BM$5:$BM$208, "Not Found")</f>
        <v>0.79301254102315111</v>
      </c>
    </row>
    <row r="1735" spans="1:14" x14ac:dyDescent="0.25">
      <c r="A1735" s="1">
        <f>'[1]Global_Spot Prices'!$B3044</f>
        <v>44432</v>
      </c>
      <c r="B1735">
        <f>_xlfn.XLOOKUP(A1735,'[1]Global_Spot Prices'!$B:$B,'[1]Global_Spot Prices'!$BS:$BS)</f>
        <v>8.4899999999999949</v>
      </c>
      <c r="C1735">
        <f>_xlfn.XLOOKUP(A1735,'[1]Global_Spot Prices'!$B:$B,'[1]Global_Spot Prices'!$E:$E)</f>
        <v>68.650000000000006</v>
      </c>
      <c r="D1735">
        <f>_xlfn.XLOOKUP(A1735,'[1]Global_Spot Prices'!$B:$B,'[1]Global_Spot Prices'!$D:$D)</f>
        <v>70.89</v>
      </c>
      <c r="E1735">
        <f>_xlfn.XLOOKUP(A1735,'[1]Global_Spot Prices'!$B:$B,'[1]Global_Spot Prices'!$H:$H)</f>
        <v>68.510000000000005</v>
      </c>
      <c r="F1735">
        <f ca="1">_xlfn.XLOOKUP(A1735,'[1]Global_Spot Prices'!$B:$B,'[1]Global_Spot Prices'!$I:$I)</f>
        <v>77.14</v>
      </c>
      <c r="G1735" cm="1">
        <f t="array" ref="G1735">_xlfn.XLOOKUP(TEXT(A1735, "mmm-yy"), TEXT([2]RUNS!$B$5:$B$208, "mmm-yy"), [2]RUNS!$D$5:$D$208, "Not Found")</f>
        <v>28633.858927501638</v>
      </c>
      <c r="H1735" cm="1">
        <f t="array" ref="H1735">SUMPRODUCT(
    --(TEXT('[3]Global Weekly Stock (EWSuez'!$B$4:$B$2000,"mmm-yy")=TEXT(A1735,"mmm-yy")),
    '[3]Global Weekly Stock (EWSuez'!$E$4:$E$2000)
/
SUMPRODUCT(
    --(TEXT('[3]Global Weekly Stock (EWSuez'!$B$4:$B$2000,"mmm-yy")=TEXT(A1735,"mmm-yy"))
)</f>
        <v>13169.5</v>
      </c>
      <c r="I1735">
        <f>_xlfn.XLOOKUP(A1735,[1]ForwardDeriv!$D:$D,[1]ForwardDeriv!$AJ:$AJ)</f>
        <v>1.1700000000000017</v>
      </c>
      <c r="J1735" cm="1">
        <f t="array" ref="J1735">_xlfn.XLOOKUP(TEXT(A1735, "mmm-yy"), TEXT([2]GASOLINE!$B$5:$B$208, "mmm-yy"), [2]GASOLINE!$IR$5:$IR$208, "Not Found")</f>
        <v>-181.97180324111542</v>
      </c>
      <c r="K1735" cm="1">
        <f t="array" ref="K1735">_xlfn.XLOOKUP(TEXT(A1735, "mmm-yy"), TEXT([2]GASOLINE!$B$5:$B$208, "mmm-yy"), [2]GASOLINE!$IK$5:$IK$208, "Not Found")</f>
        <v>174.82399668503282</v>
      </c>
      <c r="L1735">
        <f t="shared" si="27"/>
        <v>1</v>
      </c>
      <c r="M1735" cm="1">
        <f t="array" ref="M1735">_xlfn.XLOOKUP(TEXT(A1735, "mmm-yy"), TEXT([2]GASOLINE!$B$5:$B$208, "mmm-yy"), [2]GASOLINE!$C$5:$C$208, "Not Found")</f>
        <v>7464.2421545829702</v>
      </c>
      <c r="N1735" cm="1">
        <f t="array" ref="N1735">_xlfn.XLOOKUP(TEXT(A1735, "mmm-yy"), TEXT([2]RUNS!$B$5:$B$208, "mmm-yy"), [2]RUNS!$BM$5:$BM$208, "Not Found")</f>
        <v>0.79301254102315111</v>
      </c>
    </row>
    <row r="1736" spans="1:14" x14ac:dyDescent="0.25">
      <c r="A1736" s="1">
        <f>'[1]Global_Spot Prices'!$B3045</f>
        <v>44433</v>
      </c>
      <c r="B1736">
        <f>_xlfn.XLOOKUP(A1736,'[1]Global_Spot Prices'!$B:$B,'[1]Global_Spot Prices'!$BS:$BS)</f>
        <v>9</v>
      </c>
      <c r="C1736">
        <f>_xlfn.XLOOKUP(A1736,'[1]Global_Spot Prices'!$B:$B,'[1]Global_Spot Prices'!$E:$E)</f>
        <v>69.650000000000006</v>
      </c>
      <c r="D1736">
        <f>_xlfn.XLOOKUP(A1736,'[1]Global_Spot Prices'!$B:$B,'[1]Global_Spot Prices'!$D:$D)</f>
        <v>71.325000000000003</v>
      </c>
      <c r="E1736">
        <f>_xlfn.XLOOKUP(A1736,'[1]Global_Spot Prices'!$B:$B,'[1]Global_Spot Prices'!$H:$H)</f>
        <v>69.540000000000006</v>
      </c>
      <c r="F1736">
        <f>_xlfn.XLOOKUP(A1736,'[1]Global_Spot Prices'!$B:$B,'[1]Global_Spot Prices'!$I:$I)</f>
        <v>78.650000000000006</v>
      </c>
      <c r="G1736" cm="1">
        <f t="array" ref="G1736">_xlfn.XLOOKUP(TEXT(A1736, "mmm-yy"), TEXT([2]RUNS!$B$5:$B$208, "mmm-yy"), [2]RUNS!$D$5:$D$208, "Not Found")</f>
        <v>28633.858927501638</v>
      </c>
      <c r="H1736" cm="1">
        <f t="array" ref="H1736">SUMPRODUCT(
    --(TEXT('[3]Global Weekly Stock (EWSuez'!$B$4:$B$2000,"mmm-yy")=TEXT(A1736,"mmm-yy")),
    '[3]Global Weekly Stock (EWSuez'!$E$4:$E$2000)
/
SUMPRODUCT(
    --(TEXT('[3]Global Weekly Stock (EWSuez'!$B$4:$B$2000,"mmm-yy")=TEXT(A1736,"mmm-yy"))
)</f>
        <v>13169.5</v>
      </c>
      <c r="I1736">
        <f>_xlfn.XLOOKUP(A1736,[1]ForwardDeriv!$D:$D,[1]ForwardDeriv!$AJ:$AJ)</f>
        <v>1.1600000000000108</v>
      </c>
      <c r="J1736" cm="1">
        <f t="array" ref="J1736">_xlfn.XLOOKUP(TEXT(A1736, "mmm-yy"), TEXT([2]GASOLINE!$B$5:$B$208, "mmm-yy"), [2]GASOLINE!$IR$5:$IR$208, "Not Found")</f>
        <v>-181.97180324111542</v>
      </c>
      <c r="K1736" cm="1">
        <f t="array" ref="K1736">_xlfn.XLOOKUP(TEXT(A1736, "mmm-yy"), TEXT([2]GASOLINE!$B$5:$B$208, "mmm-yy"), [2]GASOLINE!$IK$5:$IK$208, "Not Found")</f>
        <v>174.82399668503282</v>
      </c>
      <c r="L1736">
        <f t="shared" si="27"/>
        <v>1</v>
      </c>
      <c r="M1736" cm="1">
        <f t="array" ref="M1736">_xlfn.XLOOKUP(TEXT(A1736, "mmm-yy"), TEXT([2]GASOLINE!$B$5:$B$208, "mmm-yy"), [2]GASOLINE!$C$5:$C$208, "Not Found")</f>
        <v>7464.2421545829702</v>
      </c>
      <c r="N1736" cm="1">
        <f t="array" ref="N1736">_xlfn.XLOOKUP(TEXT(A1736, "mmm-yy"), TEXT([2]RUNS!$B$5:$B$208, "mmm-yy"), [2]RUNS!$BM$5:$BM$208, "Not Found")</f>
        <v>0.79301254102315111</v>
      </c>
    </row>
    <row r="1737" spans="1:14" x14ac:dyDescent="0.25">
      <c r="A1737" s="1">
        <f>'[1]Global_Spot Prices'!$B3046</f>
        <v>44434</v>
      </c>
      <c r="B1737">
        <f>_xlfn.XLOOKUP(A1737,'[1]Global_Spot Prices'!$B:$B,'[1]Global_Spot Prices'!$BS:$BS)</f>
        <v>8.8699999999999903</v>
      </c>
      <c r="C1737">
        <f>_xlfn.XLOOKUP(A1737,'[1]Global_Spot Prices'!$B:$B,'[1]Global_Spot Prices'!$E:$E)</f>
        <v>70.09</v>
      </c>
      <c r="D1737">
        <f>_xlfn.XLOOKUP(A1737,'[1]Global_Spot Prices'!$B:$B,'[1]Global_Spot Prices'!$D:$D)</f>
        <v>70.935000000000002</v>
      </c>
      <c r="E1737">
        <f ca="1">_xlfn.XLOOKUP(A1737,'[1]Global_Spot Prices'!$B:$B,'[1]Global_Spot Prices'!$H:$H)</f>
        <v>70.459999999999994</v>
      </c>
      <c r="F1737">
        <f ca="1">_xlfn.XLOOKUP(A1737,'[1]Global_Spot Prices'!$B:$B,'[1]Global_Spot Prices'!$I:$I)</f>
        <v>78.959999999999994</v>
      </c>
      <c r="G1737" cm="1">
        <f t="array" ref="G1737">_xlfn.XLOOKUP(TEXT(A1737, "mmm-yy"), TEXT([2]RUNS!$B$5:$B$208, "mmm-yy"), [2]RUNS!$D$5:$D$208, "Not Found")</f>
        <v>28633.858927501638</v>
      </c>
      <c r="H1737" cm="1">
        <f t="array" ref="H1737">SUMPRODUCT(
    --(TEXT('[3]Global Weekly Stock (EWSuez'!$B$4:$B$2000,"mmm-yy")=TEXT(A1737,"mmm-yy")),
    '[3]Global Weekly Stock (EWSuez'!$E$4:$E$2000)
/
SUMPRODUCT(
    --(TEXT('[3]Global Weekly Stock (EWSuez'!$B$4:$B$2000,"mmm-yy")=TEXT(A1737,"mmm-yy"))
)</f>
        <v>13169.5</v>
      </c>
      <c r="I1737">
        <f>_xlfn.XLOOKUP(A1737,[1]ForwardDeriv!$D:$D,[1]ForwardDeriv!$AJ:$AJ)</f>
        <v>1.1700000000000017</v>
      </c>
      <c r="J1737" cm="1">
        <f t="array" ref="J1737">_xlfn.XLOOKUP(TEXT(A1737, "mmm-yy"), TEXT([2]GASOLINE!$B$5:$B$208, "mmm-yy"), [2]GASOLINE!$IR$5:$IR$208, "Not Found")</f>
        <v>-181.97180324111542</v>
      </c>
      <c r="K1737" cm="1">
        <f t="array" ref="K1737">_xlfn.XLOOKUP(TEXT(A1737, "mmm-yy"), TEXT([2]GASOLINE!$B$5:$B$208, "mmm-yy"), [2]GASOLINE!$IK$5:$IK$208, "Not Found")</f>
        <v>174.82399668503282</v>
      </c>
      <c r="L1737">
        <f t="shared" si="27"/>
        <v>1</v>
      </c>
      <c r="M1737" cm="1">
        <f t="array" ref="M1737">_xlfn.XLOOKUP(TEXT(A1737, "mmm-yy"), TEXT([2]GASOLINE!$B$5:$B$208, "mmm-yy"), [2]GASOLINE!$C$5:$C$208, "Not Found")</f>
        <v>7464.2421545829702</v>
      </c>
      <c r="N1737" cm="1">
        <f t="array" ref="N1737">_xlfn.XLOOKUP(TEXT(A1737, "mmm-yy"), TEXT([2]RUNS!$B$5:$B$208, "mmm-yy"), [2]RUNS!$BM$5:$BM$208, "Not Found")</f>
        <v>0.79301254102315111</v>
      </c>
    </row>
    <row r="1738" spans="1:14" x14ac:dyDescent="0.25">
      <c r="A1738" s="1">
        <f>'[1]Global_Spot Prices'!$B3047</f>
        <v>44435</v>
      </c>
      <c r="B1738">
        <f>_xlfn.XLOOKUP(A1738,'[1]Global_Spot Prices'!$B:$B,'[1]Global_Spot Prices'!$BS:$BS)</f>
        <v>8.3499999999999943</v>
      </c>
      <c r="C1738">
        <f>_xlfn.XLOOKUP(A1738,'[1]Global_Spot Prices'!$B:$B,'[1]Global_Spot Prices'!$E:$E)</f>
        <v>70.75</v>
      </c>
      <c r="D1738">
        <f>_xlfn.XLOOKUP(A1738,'[1]Global_Spot Prices'!$B:$B,'[1]Global_Spot Prices'!$D:$D)</f>
        <v>71.805000000000007</v>
      </c>
      <c r="E1738">
        <f>_xlfn.XLOOKUP(A1738,'[1]Global_Spot Prices'!$B:$B,'[1]Global_Spot Prices'!$H:$H)</f>
        <v>70.959999999999994</v>
      </c>
      <c r="F1738">
        <f>_xlfn.XLOOKUP(A1738,'[1]Global_Spot Prices'!$B:$B,'[1]Global_Spot Prices'!$I:$I)</f>
        <v>79.099999999999994</v>
      </c>
      <c r="G1738" cm="1">
        <f t="array" ref="G1738">_xlfn.XLOOKUP(TEXT(A1738, "mmm-yy"), TEXT([2]RUNS!$B$5:$B$208, "mmm-yy"), [2]RUNS!$D$5:$D$208, "Not Found")</f>
        <v>28633.858927501638</v>
      </c>
      <c r="H1738" cm="1">
        <f t="array" ref="H1738">SUMPRODUCT(
    --(TEXT('[3]Global Weekly Stock (EWSuez'!$B$4:$B$2000,"mmm-yy")=TEXT(A1738,"mmm-yy")),
    '[3]Global Weekly Stock (EWSuez'!$E$4:$E$2000)
/
SUMPRODUCT(
    --(TEXT('[3]Global Weekly Stock (EWSuez'!$B$4:$B$2000,"mmm-yy")=TEXT(A1738,"mmm-yy"))
)</f>
        <v>13169.5</v>
      </c>
      <c r="I1738">
        <f>_xlfn.XLOOKUP(A1738,[1]ForwardDeriv!$D:$D,[1]ForwardDeriv!$AJ:$AJ)</f>
        <v>1.2000000000000028</v>
      </c>
      <c r="J1738" cm="1">
        <f t="array" ref="J1738">_xlfn.XLOOKUP(TEXT(A1738, "mmm-yy"), TEXT([2]GASOLINE!$B$5:$B$208, "mmm-yy"), [2]GASOLINE!$IR$5:$IR$208, "Not Found")</f>
        <v>-181.97180324111542</v>
      </c>
      <c r="K1738" cm="1">
        <f t="array" ref="K1738">_xlfn.XLOOKUP(TEXT(A1738, "mmm-yy"), TEXT([2]GASOLINE!$B$5:$B$208, "mmm-yy"), [2]GASOLINE!$IK$5:$IK$208, "Not Found")</f>
        <v>174.82399668503282</v>
      </c>
      <c r="L1738">
        <f t="shared" si="27"/>
        <v>1</v>
      </c>
      <c r="M1738" cm="1">
        <f t="array" ref="M1738">_xlfn.XLOOKUP(TEXT(A1738, "mmm-yy"), TEXT([2]GASOLINE!$B$5:$B$208, "mmm-yy"), [2]GASOLINE!$C$5:$C$208, "Not Found")</f>
        <v>7464.2421545829702</v>
      </c>
      <c r="N1738" cm="1">
        <f t="array" ref="N1738">_xlfn.XLOOKUP(TEXT(A1738, "mmm-yy"), TEXT([2]RUNS!$B$5:$B$208, "mmm-yy"), [2]RUNS!$BM$5:$BM$208, "Not Found")</f>
        <v>0.79301254102315111</v>
      </c>
    </row>
    <row r="1739" spans="1:14" x14ac:dyDescent="0.25">
      <c r="A1739" s="1">
        <f>'[1]Global_Spot Prices'!$B3048</f>
        <v>44438</v>
      </c>
      <c r="B1739">
        <f>_xlfn.XLOOKUP(A1739,'[1]Global_Spot Prices'!$B:$B,'[1]Global_Spot Prices'!$BS:$BS)</f>
        <v>7.7399999999999949</v>
      </c>
      <c r="C1739">
        <f>_xlfn.XLOOKUP(A1739,'[1]Global_Spot Prices'!$B:$B,'[1]Global_Spot Prices'!$E:$E)</f>
        <v>71.11</v>
      </c>
      <c r="D1739" t="str">
        <f>_xlfn.XLOOKUP(A1739,'[1]Global_Spot Prices'!$B:$B,'[1]Global_Spot Prices'!$D:$D)</f>
        <v/>
      </c>
      <c r="E1739">
        <f>_xlfn.XLOOKUP(A1739,'[1]Global_Spot Prices'!$B:$B,'[1]Global_Spot Prices'!$H:$H)</f>
        <v>71.239999999999995</v>
      </c>
      <c r="F1739">
        <f>_xlfn.XLOOKUP(A1739,'[1]Global_Spot Prices'!$B:$B,'[1]Global_Spot Prices'!$I:$I)</f>
        <v>78.849999999999994</v>
      </c>
      <c r="G1739" cm="1">
        <f t="array" ref="G1739">_xlfn.XLOOKUP(TEXT(A1739, "mmm-yy"), TEXT([2]RUNS!$B$5:$B$208, "mmm-yy"), [2]RUNS!$D$5:$D$208, "Not Found")</f>
        <v>28633.858927501638</v>
      </c>
      <c r="H1739" cm="1">
        <f t="array" ref="H1739">SUMPRODUCT(
    --(TEXT('[3]Global Weekly Stock (EWSuez'!$B$4:$B$2000,"mmm-yy")=TEXT(A1739,"mmm-yy")),
    '[3]Global Weekly Stock (EWSuez'!$E$4:$E$2000)
/
SUMPRODUCT(
    --(TEXT('[3]Global Weekly Stock (EWSuez'!$B$4:$B$2000,"mmm-yy")=TEXT(A1739,"mmm-yy"))
)</f>
        <v>13169.5</v>
      </c>
      <c r="I1739">
        <f>_xlfn.XLOOKUP(A1739,[1]ForwardDeriv!$D:$D,[1]ForwardDeriv!$AJ:$AJ)</f>
        <v>1.1599999999999966</v>
      </c>
      <c r="J1739" cm="1">
        <f t="array" ref="J1739">_xlfn.XLOOKUP(TEXT(A1739, "mmm-yy"), TEXT([2]GASOLINE!$B$5:$B$208, "mmm-yy"), [2]GASOLINE!$IR$5:$IR$208, "Not Found")</f>
        <v>-181.97180324111542</v>
      </c>
      <c r="K1739" cm="1">
        <f t="array" ref="K1739">_xlfn.XLOOKUP(TEXT(A1739, "mmm-yy"), TEXT([2]GASOLINE!$B$5:$B$208, "mmm-yy"), [2]GASOLINE!$IK$5:$IK$208, "Not Found")</f>
        <v>174.82399668503282</v>
      </c>
      <c r="L1739">
        <f t="shared" si="27"/>
        <v>1</v>
      </c>
      <c r="M1739" cm="1">
        <f t="array" ref="M1739">_xlfn.XLOOKUP(TEXT(A1739, "mmm-yy"), TEXT([2]GASOLINE!$B$5:$B$208, "mmm-yy"), [2]GASOLINE!$C$5:$C$208, "Not Found")</f>
        <v>7464.2421545829702</v>
      </c>
      <c r="N1739" cm="1">
        <f t="array" ref="N1739">_xlfn.XLOOKUP(TEXT(A1739, "mmm-yy"), TEXT([2]RUNS!$B$5:$B$208, "mmm-yy"), [2]RUNS!$BM$5:$BM$208, "Not Found")</f>
        <v>0.79301254102315111</v>
      </c>
    </row>
    <row r="1740" spans="1:14" x14ac:dyDescent="0.25">
      <c r="A1740" s="1">
        <f>'[1]Global_Spot Prices'!$B3049</f>
        <v>44439</v>
      </c>
      <c r="B1740">
        <f>_xlfn.XLOOKUP(A1740,'[1]Global_Spot Prices'!$B:$B,'[1]Global_Spot Prices'!$BS:$BS)</f>
        <v>7.6499999999999915</v>
      </c>
      <c r="C1740">
        <f>_xlfn.XLOOKUP(A1740,'[1]Global_Spot Prices'!$B:$B,'[1]Global_Spot Prices'!$E:$E)</f>
        <v>71.150000000000006</v>
      </c>
      <c r="D1740">
        <f ca="1">_xlfn.XLOOKUP(A1740,'[1]Global_Spot Prices'!$B:$B,'[1]Global_Spot Prices'!$D:$D)</f>
        <v>72.405000000000001</v>
      </c>
      <c r="E1740">
        <f>_xlfn.XLOOKUP(A1740,'[1]Global_Spot Prices'!$B:$B,'[1]Global_Spot Prices'!$H:$H)</f>
        <v>71.09</v>
      </c>
      <c r="F1740">
        <f>_xlfn.XLOOKUP(A1740,'[1]Global_Spot Prices'!$B:$B,'[1]Global_Spot Prices'!$I:$I)</f>
        <v>78.8</v>
      </c>
      <c r="G1740" cm="1">
        <f t="array" ref="G1740">_xlfn.XLOOKUP(TEXT(A1740, "mmm-yy"), TEXT([2]RUNS!$B$5:$B$208, "mmm-yy"), [2]RUNS!$D$5:$D$208, "Not Found")</f>
        <v>28633.858927501638</v>
      </c>
      <c r="H1740" cm="1">
        <f t="array" ref="H1740">SUMPRODUCT(
    --(TEXT('[3]Global Weekly Stock (EWSuez'!$B$4:$B$2000,"mmm-yy")=TEXT(A1740,"mmm-yy")),
    '[3]Global Weekly Stock (EWSuez'!$E$4:$E$2000)
/
SUMPRODUCT(
    --(TEXT('[3]Global Weekly Stock (EWSuez'!$B$4:$B$2000,"mmm-yy")=TEXT(A1740,"mmm-yy"))
)</f>
        <v>13169.5</v>
      </c>
      <c r="I1740">
        <f>_xlfn.XLOOKUP(A1740,[1]ForwardDeriv!$D:$D,[1]ForwardDeriv!$AJ:$AJ)</f>
        <v>1.0499999999999972</v>
      </c>
      <c r="J1740" cm="1">
        <f t="array" ref="J1740">_xlfn.XLOOKUP(TEXT(A1740, "mmm-yy"), TEXT([2]GASOLINE!$B$5:$B$208, "mmm-yy"), [2]GASOLINE!$IR$5:$IR$208, "Not Found")</f>
        <v>-181.97180324111542</v>
      </c>
      <c r="K1740" cm="1">
        <f t="array" ref="K1740">_xlfn.XLOOKUP(TEXT(A1740, "mmm-yy"), TEXT([2]GASOLINE!$B$5:$B$208, "mmm-yy"), [2]GASOLINE!$IK$5:$IK$208, "Not Found")</f>
        <v>174.82399668503282</v>
      </c>
      <c r="L1740">
        <f t="shared" si="27"/>
        <v>1</v>
      </c>
      <c r="M1740" cm="1">
        <f t="array" ref="M1740">_xlfn.XLOOKUP(TEXT(A1740, "mmm-yy"), TEXT([2]GASOLINE!$B$5:$B$208, "mmm-yy"), [2]GASOLINE!$C$5:$C$208, "Not Found")</f>
        <v>7464.2421545829702</v>
      </c>
      <c r="N1740" cm="1">
        <f t="array" ref="N1740">_xlfn.XLOOKUP(TEXT(A1740, "mmm-yy"), TEXT([2]RUNS!$B$5:$B$208, "mmm-yy"), [2]RUNS!$BM$5:$BM$208, "Not Found")</f>
        <v>0.79301254102315111</v>
      </c>
    </row>
    <row r="1741" spans="1:14" x14ac:dyDescent="0.25">
      <c r="A1741" s="1">
        <f>'[1]Global_Spot Prices'!$B3050</f>
        <v>44440</v>
      </c>
      <c r="B1741">
        <f>_xlfn.XLOOKUP(A1741,'[1]Global_Spot Prices'!$B:$B,'[1]Global_Spot Prices'!$BS:$BS)</f>
        <v>8.0499999999999972</v>
      </c>
      <c r="C1741">
        <f>_xlfn.XLOOKUP(A1741,'[1]Global_Spot Prices'!$B:$B,'[1]Global_Spot Prices'!$E:$E)</f>
        <v>70.400000000000006</v>
      </c>
      <c r="D1741">
        <f>_xlfn.XLOOKUP(A1741,'[1]Global_Spot Prices'!$B:$B,'[1]Global_Spot Prices'!$D:$D)</f>
        <v>71.36</v>
      </c>
      <c r="E1741">
        <f>_xlfn.XLOOKUP(A1741,'[1]Global_Spot Prices'!$B:$B,'[1]Global_Spot Prices'!$H:$H)</f>
        <v>71.16</v>
      </c>
      <c r="F1741">
        <f>_xlfn.XLOOKUP(A1741,'[1]Global_Spot Prices'!$B:$B,'[1]Global_Spot Prices'!$I:$I)</f>
        <v>78.45</v>
      </c>
      <c r="G1741" cm="1">
        <f t="array" ref="G1741">_xlfn.XLOOKUP(TEXT(A1741, "mmm-yy"), TEXT([2]RUNS!$B$5:$B$208, "mmm-yy"), [2]RUNS!$D$5:$D$208, "Not Found")</f>
        <v>28398.341369528531</v>
      </c>
      <c r="H1741" cm="1">
        <f t="array" ref="H1741">SUMPRODUCT(
    --(TEXT('[3]Global Weekly Stock (EWSuez'!$B$4:$B$2000,"mmm-yy")=TEXT(A1741,"mmm-yy")),
    '[3]Global Weekly Stock (EWSuez'!$E$4:$E$2000)
/
SUMPRODUCT(
    --(TEXT('[3]Global Weekly Stock (EWSuez'!$B$4:$B$2000,"mmm-yy")=TEXT(A1741,"mmm-yy"))
)</f>
        <v>13033.25</v>
      </c>
      <c r="I1741">
        <f>_xlfn.XLOOKUP(A1741,[1]ForwardDeriv!$D:$D,[1]ForwardDeriv!$AJ:$AJ)</f>
        <v>0.90000000000000568</v>
      </c>
      <c r="J1741" cm="1">
        <f t="array" ref="J1741">_xlfn.XLOOKUP(TEXT(A1741, "mmm-yy"), TEXT([2]GASOLINE!$B$5:$B$208, "mmm-yy"), [2]GASOLINE!$IR$5:$IR$208, "Not Found")</f>
        <v>-31.999351993012226</v>
      </c>
      <c r="K1741" cm="1">
        <f t="array" ref="K1741">_xlfn.XLOOKUP(TEXT(A1741, "mmm-yy"), TEXT([2]GASOLINE!$B$5:$B$208, "mmm-yy"), [2]GASOLINE!$IK$5:$IK$208, "Not Found")</f>
        <v>169.96777874250964</v>
      </c>
      <c r="L1741">
        <f t="shared" si="27"/>
        <v>1</v>
      </c>
      <c r="M1741" cm="1">
        <f t="array" ref="M1741">_xlfn.XLOOKUP(TEXT(A1741, "mmm-yy"), TEXT([2]GASOLINE!$B$5:$B$208, "mmm-yy"), [2]GASOLINE!$C$5:$C$208, "Not Found")</f>
        <v>7322.2868616434471</v>
      </c>
      <c r="N1741" cm="1">
        <f t="array" ref="N1741">_xlfn.XLOOKUP(TEXT(A1741, "mmm-yy"), TEXT([2]RUNS!$B$5:$B$208, "mmm-yy"), [2]RUNS!$BM$5:$BM$208, "Not Found")</f>
        <v>0.78927911177368948</v>
      </c>
    </row>
    <row r="1742" spans="1:14" x14ac:dyDescent="0.25">
      <c r="A1742" s="1">
        <f>'[1]Global_Spot Prices'!$B3051</f>
        <v>44441</v>
      </c>
      <c r="B1742">
        <f ca="1">_xlfn.XLOOKUP(A1742,'[1]Global_Spot Prices'!$B:$B,'[1]Global_Spot Prices'!$BS:$BS)</f>
        <v>8.36</v>
      </c>
      <c r="C1742">
        <f ca="1">_xlfn.XLOOKUP(A1742,'[1]Global_Spot Prices'!$B:$B,'[1]Global_Spot Prices'!$E:$E)</f>
        <v>69.709999999999994</v>
      </c>
      <c r="D1742">
        <f ca="1">_xlfn.XLOOKUP(A1742,'[1]Global_Spot Prices'!$B:$B,'[1]Global_Spot Prices'!$D:$D)</f>
        <v>73.97</v>
      </c>
      <c r="E1742">
        <f>_xlfn.XLOOKUP(A1742,'[1]Global_Spot Prices'!$B:$B,'[1]Global_Spot Prices'!$H:$H)</f>
        <v>70.680000000000007</v>
      </c>
      <c r="F1742">
        <f>_xlfn.XLOOKUP(A1742,'[1]Global_Spot Prices'!$B:$B,'[1]Global_Spot Prices'!$I:$I)</f>
        <v>78.069999999999993</v>
      </c>
      <c r="G1742" cm="1">
        <f t="array" ref="G1742">_xlfn.XLOOKUP(TEXT(A1742, "mmm-yy"), TEXT([2]RUNS!$B$5:$B$208, "mmm-yy"), [2]RUNS!$D$5:$D$208, "Not Found")</f>
        <v>28398.341369528531</v>
      </c>
      <c r="H1742" cm="1">
        <f t="array" ref="H1742">SUMPRODUCT(
    --(TEXT('[3]Global Weekly Stock (EWSuez'!$B$4:$B$2000,"mmm-yy")=TEXT(A1742,"mmm-yy")),
    '[3]Global Weekly Stock (EWSuez'!$E$4:$E$2000)
/
SUMPRODUCT(
    --(TEXT('[3]Global Weekly Stock (EWSuez'!$B$4:$B$2000,"mmm-yy")=TEXT(A1742,"mmm-yy"))
)</f>
        <v>13033.25</v>
      </c>
      <c r="I1742">
        <f>_xlfn.XLOOKUP(A1742,[1]ForwardDeriv!$D:$D,[1]ForwardDeriv!$AJ:$AJ)</f>
        <v>0.90000000000000568</v>
      </c>
      <c r="J1742" cm="1">
        <f t="array" ref="J1742">_xlfn.XLOOKUP(TEXT(A1742, "mmm-yy"), TEXT([2]GASOLINE!$B$5:$B$208, "mmm-yy"), [2]GASOLINE!$IR$5:$IR$208, "Not Found")</f>
        <v>-31.999351993012226</v>
      </c>
      <c r="K1742" cm="1">
        <f t="array" ref="K1742">_xlfn.XLOOKUP(TEXT(A1742, "mmm-yy"), TEXT([2]GASOLINE!$B$5:$B$208, "mmm-yy"), [2]GASOLINE!$IK$5:$IK$208, "Not Found")</f>
        <v>169.96777874250964</v>
      </c>
      <c r="L1742">
        <f t="shared" si="27"/>
        <v>1</v>
      </c>
      <c r="M1742" cm="1">
        <f t="array" ref="M1742">_xlfn.XLOOKUP(TEXT(A1742, "mmm-yy"), TEXT([2]GASOLINE!$B$5:$B$208, "mmm-yy"), [2]GASOLINE!$C$5:$C$208, "Not Found")</f>
        <v>7322.2868616434471</v>
      </c>
      <c r="N1742" cm="1">
        <f t="array" ref="N1742">_xlfn.XLOOKUP(TEXT(A1742, "mmm-yy"), TEXT([2]RUNS!$B$5:$B$208, "mmm-yy"), [2]RUNS!$BM$5:$BM$208, "Not Found")</f>
        <v>0.78927911177368948</v>
      </c>
    </row>
    <row r="1743" spans="1:14" x14ac:dyDescent="0.25">
      <c r="A1743" s="1">
        <f>'[1]Global_Spot Prices'!$B3052</f>
        <v>44442</v>
      </c>
      <c r="B1743">
        <f ca="1">_xlfn.XLOOKUP(A1743,'[1]Global_Spot Prices'!$B:$B,'[1]Global_Spot Prices'!$BS:$BS)</f>
        <v>9.480000000000004</v>
      </c>
      <c r="C1743">
        <f>_xlfn.XLOOKUP(A1743,'[1]Global_Spot Prices'!$B:$B,'[1]Global_Spot Prices'!$E:$E)</f>
        <v>71.3</v>
      </c>
      <c r="D1743">
        <f>_xlfn.XLOOKUP(A1743,'[1]Global_Spot Prices'!$B:$B,'[1]Global_Spot Prices'!$D:$D)</f>
        <v>73.474999999999994</v>
      </c>
      <c r="E1743">
        <f>_xlfn.XLOOKUP(A1743,'[1]Global_Spot Prices'!$B:$B,'[1]Global_Spot Prices'!$H:$H)</f>
        <v>72.69</v>
      </c>
      <c r="F1743">
        <f>_xlfn.XLOOKUP(A1743,'[1]Global_Spot Prices'!$B:$B,'[1]Global_Spot Prices'!$I:$I)</f>
        <v>80.78</v>
      </c>
      <c r="G1743" cm="1">
        <f t="array" ref="G1743">_xlfn.XLOOKUP(TEXT(A1743, "mmm-yy"), TEXT([2]RUNS!$B$5:$B$208, "mmm-yy"), [2]RUNS!$D$5:$D$208, "Not Found")</f>
        <v>28398.341369528531</v>
      </c>
      <c r="H1743" cm="1">
        <f t="array" ref="H1743">SUMPRODUCT(
    --(TEXT('[3]Global Weekly Stock (EWSuez'!$B$4:$B$2000,"mmm-yy")=TEXT(A1743,"mmm-yy")),
    '[3]Global Weekly Stock (EWSuez'!$E$4:$E$2000)
/
SUMPRODUCT(
    --(TEXT('[3]Global Weekly Stock (EWSuez'!$B$4:$B$2000,"mmm-yy")=TEXT(A1743,"mmm-yy"))
)</f>
        <v>13033.25</v>
      </c>
      <c r="I1743">
        <f>_xlfn.XLOOKUP(A1743,[1]ForwardDeriv!$D:$D,[1]ForwardDeriv!$AJ:$AJ)</f>
        <v>1.1200000000000045</v>
      </c>
      <c r="J1743" cm="1">
        <f t="array" ref="J1743">_xlfn.XLOOKUP(TEXT(A1743, "mmm-yy"), TEXT([2]GASOLINE!$B$5:$B$208, "mmm-yy"), [2]GASOLINE!$IR$5:$IR$208, "Not Found")</f>
        <v>-31.999351993012226</v>
      </c>
      <c r="K1743" cm="1">
        <f t="array" ref="K1743">_xlfn.XLOOKUP(TEXT(A1743, "mmm-yy"), TEXT([2]GASOLINE!$B$5:$B$208, "mmm-yy"), [2]GASOLINE!$IK$5:$IK$208, "Not Found")</f>
        <v>169.96777874250964</v>
      </c>
      <c r="L1743">
        <f t="shared" si="27"/>
        <v>1</v>
      </c>
      <c r="M1743" cm="1">
        <f t="array" ref="M1743">_xlfn.XLOOKUP(TEXT(A1743, "mmm-yy"), TEXT([2]GASOLINE!$B$5:$B$208, "mmm-yy"), [2]GASOLINE!$C$5:$C$208, "Not Found")</f>
        <v>7322.2868616434471</v>
      </c>
      <c r="N1743" cm="1">
        <f t="array" ref="N1743">_xlfn.XLOOKUP(TEXT(A1743, "mmm-yy"), TEXT([2]RUNS!$B$5:$B$208, "mmm-yy"), [2]RUNS!$BM$5:$BM$208, "Not Found")</f>
        <v>0.78927911177368948</v>
      </c>
    </row>
    <row r="1744" spans="1:14" x14ac:dyDescent="0.25">
      <c r="A1744" s="1">
        <f>'[1]Global_Spot Prices'!$B3053</f>
        <v>44445</v>
      </c>
      <c r="B1744">
        <f>_xlfn.XLOOKUP(A1744,'[1]Global_Spot Prices'!$B:$B,'[1]Global_Spot Prices'!$BS:$BS)</f>
        <v>9.6500000000000057</v>
      </c>
      <c r="C1744">
        <f>_xlfn.XLOOKUP(A1744,'[1]Global_Spot Prices'!$B:$B,'[1]Global_Spot Prices'!$E:$E)</f>
        <v>69.959999999999994</v>
      </c>
      <c r="D1744">
        <f>_xlfn.XLOOKUP(A1744,'[1]Global_Spot Prices'!$B:$B,'[1]Global_Spot Prices'!$D:$D)</f>
        <v>72.3</v>
      </c>
      <c r="E1744">
        <f>_xlfn.XLOOKUP(A1744,'[1]Global_Spot Prices'!$B:$B,'[1]Global_Spot Prices'!$H:$H)</f>
        <v>72.16</v>
      </c>
      <c r="F1744">
        <f>_xlfn.XLOOKUP(A1744,'[1]Global_Spot Prices'!$B:$B,'[1]Global_Spot Prices'!$I:$I)</f>
        <v>79.61</v>
      </c>
      <c r="G1744" cm="1">
        <f t="array" ref="G1744">_xlfn.XLOOKUP(TEXT(A1744, "mmm-yy"), TEXT([2]RUNS!$B$5:$B$208, "mmm-yy"), [2]RUNS!$D$5:$D$208, "Not Found")</f>
        <v>28398.341369528531</v>
      </c>
      <c r="H1744" cm="1">
        <f t="array" ref="H1744">SUMPRODUCT(
    --(TEXT('[3]Global Weekly Stock (EWSuez'!$B$4:$B$2000,"mmm-yy")=TEXT(A1744,"mmm-yy")),
    '[3]Global Weekly Stock (EWSuez'!$E$4:$E$2000)
/
SUMPRODUCT(
    --(TEXT('[3]Global Weekly Stock (EWSuez'!$B$4:$B$2000,"mmm-yy")=TEXT(A1744,"mmm-yy"))
)</f>
        <v>13033.25</v>
      </c>
      <c r="I1744">
        <f>_xlfn.XLOOKUP(A1744,[1]ForwardDeriv!$D:$D,[1]ForwardDeriv!$AJ:$AJ)</f>
        <v>1.25</v>
      </c>
      <c r="J1744" cm="1">
        <f t="array" ref="J1744">_xlfn.XLOOKUP(TEXT(A1744, "mmm-yy"), TEXT([2]GASOLINE!$B$5:$B$208, "mmm-yy"), [2]GASOLINE!$IR$5:$IR$208, "Not Found")</f>
        <v>-31.999351993012226</v>
      </c>
      <c r="K1744" cm="1">
        <f t="array" ref="K1744">_xlfn.XLOOKUP(TEXT(A1744, "mmm-yy"), TEXT([2]GASOLINE!$B$5:$B$208, "mmm-yy"), [2]GASOLINE!$IK$5:$IK$208, "Not Found")</f>
        <v>169.96777874250964</v>
      </c>
      <c r="L1744">
        <f t="shared" si="27"/>
        <v>1</v>
      </c>
      <c r="M1744" cm="1">
        <f t="array" ref="M1744">_xlfn.XLOOKUP(TEXT(A1744, "mmm-yy"), TEXT([2]GASOLINE!$B$5:$B$208, "mmm-yy"), [2]GASOLINE!$C$5:$C$208, "Not Found")</f>
        <v>7322.2868616434471</v>
      </c>
      <c r="N1744" cm="1">
        <f t="array" ref="N1744">_xlfn.XLOOKUP(TEXT(A1744, "mmm-yy"), TEXT([2]RUNS!$B$5:$B$208, "mmm-yy"), [2]RUNS!$BM$5:$BM$208, "Not Found")</f>
        <v>0.78927911177368948</v>
      </c>
    </row>
    <row r="1745" spans="1:14" x14ac:dyDescent="0.25">
      <c r="A1745" s="1">
        <f>'[1]Global_Spot Prices'!$B3054</f>
        <v>44446</v>
      </c>
      <c r="B1745">
        <f ca="1">_xlfn.XLOOKUP(A1745,'[1]Global_Spot Prices'!$B:$B,'[1]Global_Spot Prices'!$BS:$BS)</f>
        <v>9.6499999999999915</v>
      </c>
      <c r="C1745">
        <f>_xlfn.XLOOKUP(A1745,'[1]Global_Spot Prices'!$B:$B,'[1]Global_Spot Prices'!$E:$E)</f>
        <v>70.31</v>
      </c>
      <c r="D1745">
        <f ca="1">_xlfn.XLOOKUP(A1745,'[1]Global_Spot Prices'!$B:$B,'[1]Global_Spot Prices'!$D:$D)</f>
        <v>71.754999999999995</v>
      </c>
      <c r="E1745">
        <f>_xlfn.XLOOKUP(A1745,'[1]Global_Spot Prices'!$B:$B,'[1]Global_Spot Prices'!$H:$H)</f>
        <v>73.08</v>
      </c>
      <c r="F1745">
        <f ca="1">_xlfn.XLOOKUP(A1745,'[1]Global_Spot Prices'!$B:$B,'[1]Global_Spot Prices'!$I:$I)</f>
        <v>79.959999999999994</v>
      </c>
      <c r="G1745" cm="1">
        <f t="array" ref="G1745">_xlfn.XLOOKUP(TEXT(A1745, "mmm-yy"), TEXT([2]RUNS!$B$5:$B$208, "mmm-yy"), [2]RUNS!$D$5:$D$208, "Not Found")</f>
        <v>28398.341369528531</v>
      </c>
      <c r="H1745" cm="1">
        <f t="array" ref="H1745">SUMPRODUCT(
    --(TEXT('[3]Global Weekly Stock (EWSuez'!$B$4:$B$2000,"mmm-yy")=TEXT(A1745,"mmm-yy")),
    '[3]Global Weekly Stock (EWSuez'!$E$4:$E$2000)
/
SUMPRODUCT(
    --(TEXT('[3]Global Weekly Stock (EWSuez'!$B$4:$B$2000,"mmm-yy")=TEXT(A1745,"mmm-yy"))
)</f>
        <v>13033.25</v>
      </c>
      <c r="I1745">
        <f>_xlfn.XLOOKUP(A1745,[1]ForwardDeriv!$D:$D,[1]ForwardDeriv!$AJ:$AJ)</f>
        <v>1.1500000000000057</v>
      </c>
      <c r="J1745" cm="1">
        <f t="array" ref="J1745">_xlfn.XLOOKUP(TEXT(A1745, "mmm-yy"), TEXT([2]GASOLINE!$B$5:$B$208, "mmm-yy"), [2]GASOLINE!$IR$5:$IR$208, "Not Found")</f>
        <v>-31.999351993012226</v>
      </c>
      <c r="K1745" cm="1">
        <f t="array" ref="K1745">_xlfn.XLOOKUP(TEXT(A1745, "mmm-yy"), TEXT([2]GASOLINE!$B$5:$B$208, "mmm-yy"), [2]GASOLINE!$IK$5:$IK$208, "Not Found")</f>
        <v>169.96777874250964</v>
      </c>
      <c r="L1745">
        <f t="shared" si="27"/>
        <v>1</v>
      </c>
      <c r="M1745" cm="1">
        <f t="array" ref="M1745">_xlfn.XLOOKUP(TEXT(A1745, "mmm-yy"), TEXT([2]GASOLINE!$B$5:$B$208, "mmm-yy"), [2]GASOLINE!$C$5:$C$208, "Not Found")</f>
        <v>7322.2868616434471</v>
      </c>
      <c r="N1745" cm="1">
        <f t="array" ref="N1745">_xlfn.XLOOKUP(TEXT(A1745, "mmm-yy"), TEXT([2]RUNS!$B$5:$B$208, "mmm-yy"), [2]RUNS!$BM$5:$BM$208, "Not Found")</f>
        <v>0.78927911177368948</v>
      </c>
    </row>
    <row r="1746" spans="1:14" x14ac:dyDescent="0.25">
      <c r="A1746" s="1">
        <f>'[1]Global_Spot Prices'!$B3055</f>
        <v>44447</v>
      </c>
      <c r="B1746">
        <f>_xlfn.XLOOKUP(A1746,'[1]Global_Spot Prices'!$B:$B,'[1]Global_Spot Prices'!$BS:$BS)</f>
        <v>9.2199999999999989</v>
      </c>
      <c r="C1746">
        <f>_xlfn.XLOOKUP(A1746,'[1]Global_Spot Prices'!$B:$B,'[1]Global_Spot Prices'!$E:$E)</f>
        <v>69.75</v>
      </c>
      <c r="D1746">
        <f>_xlfn.XLOOKUP(A1746,'[1]Global_Spot Prices'!$B:$B,'[1]Global_Spot Prices'!$D:$D)</f>
        <v>72.334999999999994</v>
      </c>
      <c r="E1746">
        <f>_xlfn.XLOOKUP(A1746,'[1]Global_Spot Prices'!$B:$B,'[1]Global_Spot Prices'!$H:$H)</f>
        <v>71.97</v>
      </c>
      <c r="F1746">
        <f>_xlfn.XLOOKUP(A1746,'[1]Global_Spot Prices'!$B:$B,'[1]Global_Spot Prices'!$I:$I)</f>
        <v>78.97</v>
      </c>
      <c r="G1746" cm="1">
        <f t="array" ref="G1746">_xlfn.XLOOKUP(TEXT(A1746, "mmm-yy"), TEXT([2]RUNS!$B$5:$B$208, "mmm-yy"), [2]RUNS!$D$5:$D$208, "Not Found")</f>
        <v>28398.341369528531</v>
      </c>
      <c r="H1746" cm="1">
        <f t="array" ref="H1746">SUMPRODUCT(
    --(TEXT('[3]Global Weekly Stock (EWSuez'!$B$4:$B$2000,"mmm-yy")=TEXT(A1746,"mmm-yy")),
    '[3]Global Weekly Stock (EWSuez'!$E$4:$E$2000)
/
SUMPRODUCT(
    --(TEXT('[3]Global Weekly Stock (EWSuez'!$B$4:$B$2000,"mmm-yy")=TEXT(A1746,"mmm-yy"))
)</f>
        <v>13033.25</v>
      </c>
      <c r="I1746">
        <f>_xlfn.XLOOKUP(A1746,[1]ForwardDeriv!$D:$D,[1]ForwardDeriv!$AJ:$AJ)</f>
        <v>1.0799999999999983</v>
      </c>
      <c r="J1746" cm="1">
        <f t="array" ref="J1746">_xlfn.XLOOKUP(TEXT(A1746, "mmm-yy"), TEXT([2]GASOLINE!$B$5:$B$208, "mmm-yy"), [2]GASOLINE!$IR$5:$IR$208, "Not Found")</f>
        <v>-31.999351993012226</v>
      </c>
      <c r="K1746" cm="1">
        <f t="array" ref="K1746">_xlfn.XLOOKUP(TEXT(A1746, "mmm-yy"), TEXT([2]GASOLINE!$B$5:$B$208, "mmm-yy"), [2]GASOLINE!$IK$5:$IK$208, "Not Found")</f>
        <v>169.96777874250964</v>
      </c>
      <c r="L1746">
        <f t="shared" si="27"/>
        <v>1</v>
      </c>
      <c r="M1746" cm="1">
        <f t="array" ref="M1746">_xlfn.XLOOKUP(TEXT(A1746, "mmm-yy"), TEXT([2]GASOLINE!$B$5:$B$208, "mmm-yy"), [2]GASOLINE!$C$5:$C$208, "Not Found")</f>
        <v>7322.2868616434471</v>
      </c>
      <c r="N1746" cm="1">
        <f t="array" ref="N1746">_xlfn.XLOOKUP(TEXT(A1746, "mmm-yy"), TEXT([2]RUNS!$B$5:$B$208, "mmm-yy"), [2]RUNS!$BM$5:$BM$208, "Not Found")</f>
        <v>0.78927911177368948</v>
      </c>
    </row>
    <row r="1747" spans="1:14" x14ac:dyDescent="0.25">
      <c r="A1747" s="1">
        <f>'[1]Global_Spot Prices'!$B3056</f>
        <v>44448</v>
      </c>
      <c r="B1747">
        <f>_xlfn.XLOOKUP(A1747,'[1]Global_Spot Prices'!$B:$B,'[1]Global_Spot Prices'!$BS:$BS)</f>
        <v>9.085000000000008</v>
      </c>
      <c r="C1747">
        <f>_xlfn.XLOOKUP(A1747,'[1]Global_Spot Prices'!$B:$B,'[1]Global_Spot Prices'!$E:$E)</f>
        <v>70.644999999999996</v>
      </c>
      <c r="D1747">
        <f ca="1">_xlfn.XLOOKUP(A1747,'[1]Global_Spot Prices'!$B:$B,'[1]Global_Spot Prices'!$D:$D)</f>
        <v>72.504999999999995</v>
      </c>
      <c r="E1747">
        <f>_xlfn.XLOOKUP(A1747,'[1]Global_Spot Prices'!$B:$B,'[1]Global_Spot Prices'!$H:$H)</f>
        <v>72.89</v>
      </c>
      <c r="F1747">
        <f>_xlfn.XLOOKUP(A1747,'[1]Global_Spot Prices'!$B:$B,'[1]Global_Spot Prices'!$I:$I)</f>
        <v>79.73</v>
      </c>
      <c r="G1747" cm="1">
        <f t="array" ref="G1747">_xlfn.XLOOKUP(TEXT(A1747, "mmm-yy"), TEXT([2]RUNS!$B$5:$B$208, "mmm-yy"), [2]RUNS!$D$5:$D$208, "Not Found")</f>
        <v>28398.341369528531</v>
      </c>
      <c r="H1747" cm="1">
        <f t="array" ref="H1747">SUMPRODUCT(
    --(TEXT('[3]Global Weekly Stock (EWSuez'!$B$4:$B$2000,"mmm-yy")=TEXT(A1747,"mmm-yy")),
    '[3]Global Weekly Stock (EWSuez'!$E$4:$E$2000)
/
SUMPRODUCT(
    --(TEXT('[3]Global Weekly Stock (EWSuez'!$B$4:$B$2000,"mmm-yy")=TEXT(A1747,"mmm-yy"))
)</f>
        <v>13033.25</v>
      </c>
      <c r="I1747">
        <f>_xlfn.XLOOKUP(A1747,[1]ForwardDeriv!$D:$D,[1]ForwardDeriv!$AJ:$AJ)</f>
        <v>1.1400000000000006</v>
      </c>
      <c r="J1747" cm="1">
        <f t="array" ref="J1747">_xlfn.XLOOKUP(TEXT(A1747, "mmm-yy"), TEXT([2]GASOLINE!$B$5:$B$208, "mmm-yy"), [2]GASOLINE!$IR$5:$IR$208, "Not Found")</f>
        <v>-31.999351993012226</v>
      </c>
      <c r="K1747" cm="1">
        <f t="array" ref="K1747">_xlfn.XLOOKUP(TEXT(A1747, "mmm-yy"), TEXT([2]GASOLINE!$B$5:$B$208, "mmm-yy"), [2]GASOLINE!$IK$5:$IK$208, "Not Found")</f>
        <v>169.96777874250964</v>
      </c>
      <c r="L1747">
        <f t="shared" si="27"/>
        <v>1</v>
      </c>
      <c r="M1747" cm="1">
        <f t="array" ref="M1747">_xlfn.XLOOKUP(TEXT(A1747, "mmm-yy"), TEXT([2]GASOLINE!$B$5:$B$208, "mmm-yy"), [2]GASOLINE!$C$5:$C$208, "Not Found")</f>
        <v>7322.2868616434471</v>
      </c>
      <c r="N1747" cm="1">
        <f t="array" ref="N1747">_xlfn.XLOOKUP(TEXT(A1747, "mmm-yy"), TEXT([2]RUNS!$B$5:$B$208, "mmm-yy"), [2]RUNS!$BM$5:$BM$208, "Not Found")</f>
        <v>0.78927911177368948</v>
      </c>
    </row>
    <row r="1748" spans="1:14" x14ac:dyDescent="0.25">
      <c r="A1748" s="1">
        <f>'[1]Global_Spot Prices'!$B3057</f>
        <v>44449</v>
      </c>
      <c r="B1748">
        <f ca="1">_xlfn.XLOOKUP(A1748,'[1]Global_Spot Prices'!$B:$B,'[1]Global_Spot Prices'!$BS:$BS)</f>
        <v>8.9500000000000028</v>
      </c>
      <c r="C1748">
        <f>_xlfn.XLOOKUP(A1748,'[1]Global_Spot Prices'!$B:$B,'[1]Global_Spot Prices'!$E:$E)</f>
        <v>70.86</v>
      </c>
      <c r="D1748">
        <f>_xlfn.XLOOKUP(A1748,'[1]Global_Spot Prices'!$B:$B,'[1]Global_Spot Prices'!$D:$D)</f>
        <v>72.385000000000005</v>
      </c>
      <c r="E1748">
        <f>_xlfn.XLOOKUP(A1748,'[1]Global_Spot Prices'!$B:$B,'[1]Global_Spot Prices'!$H:$H)</f>
        <v>73.08</v>
      </c>
      <c r="F1748">
        <f>_xlfn.XLOOKUP(A1748,'[1]Global_Spot Prices'!$B:$B,'[1]Global_Spot Prices'!$I:$I)</f>
        <v>79.81</v>
      </c>
      <c r="G1748" cm="1">
        <f t="array" ref="G1748">_xlfn.XLOOKUP(TEXT(A1748, "mmm-yy"), TEXT([2]RUNS!$B$5:$B$208, "mmm-yy"), [2]RUNS!$D$5:$D$208, "Not Found")</f>
        <v>28398.341369528531</v>
      </c>
      <c r="H1748" cm="1">
        <f t="array" ref="H1748">SUMPRODUCT(
    --(TEXT('[3]Global Weekly Stock (EWSuez'!$B$4:$B$2000,"mmm-yy")=TEXT(A1748,"mmm-yy")),
    '[3]Global Weekly Stock (EWSuez'!$E$4:$E$2000)
/
SUMPRODUCT(
    --(TEXT('[3]Global Weekly Stock (EWSuez'!$B$4:$B$2000,"mmm-yy")=TEXT(A1748,"mmm-yy"))
)</f>
        <v>13033.25</v>
      </c>
      <c r="I1748">
        <f>_xlfn.XLOOKUP(A1748,[1]ForwardDeriv!$D:$D,[1]ForwardDeriv!$AJ:$AJ)</f>
        <v>1.0900000000000034</v>
      </c>
      <c r="J1748" cm="1">
        <f t="array" ref="J1748">_xlfn.XLOOKUP(TEXT(A1748, "mmm-yy"), TEXT([2]GASOLINE!$B$5:$B$208, "mmm-yy"), [2]GASOLINE!$IR$5:$IR$208, "Not Found")</f>
        <v>-31.999351993012226</v>
      </c>
      <c r="K1748" cm="1">
        <f t="array" ref="K1748">_xlfn.XLOOKUP(TEXT(A1748, "mmm-yy"), TEXT([2]GASOLINE!$B$5:$B$208, "mmm-yy"), [2]GASOLINE!$IK$5:$IK$208, "Not Found")</f>
        <v>169.96777874250964</v>
      </c>
      <c r="L1748">
        <f t="shared" si="27"/>
        <v>1</v>
      </c>
      <c r="M1748" cm="1">
        <f t="array" ref="M1748">_xlfn.XLOOKUP(TEXT(A1748, "mmm-yy"), TEXT([2]GASOLINE!$B$5:$B$208, "mmm-yy"), [2]GASOLINE!$C$5:$C$208, "Not Found")</f>
        <v>7322.2868616434471</v>
      </c>
      <c r="N1748" cm="1">
        <f t="array" ref="N1748">_xlfn.XLOOKUP(TEXT(A1748, "mmm-yy"), TEXT([2]RUNS!$B$5:$B$208, "mmm-yy"), [2]RUNS!$BM$5:$BM$208, "Not Found")</f>
        <v>0.78927911177368948</v>
      </c>
    </row>
    <row r="1749" spans="1:14" x14ac:dyDescent="0.25">
      <c r="A1749" s="1">
        <f>'[1]Global_Spot Prices'!$B3058</f>
        <v>44452</v>
      </c>
      <c r="B1749">
        <f>_xlfn.XLOOKUP(A1749,'[1]Global_Spot Prices'!$B:$B,'[1]Global_Spot Prices'!$BS:$BS)</f>
        <v>9.1000000000000085</v>
      </c>
      <c r="C1749">
        <f>_xlfn.XLOOKUP(A1749,'[1]Global_Spot Prices'!$B:$B,'[1]Global_Spot Prices'!$E:$E)</f>
        <v>71.69</v>
      </c>
      <c r="D1749">
        <f>_xlfn.XLOOKUP(A1749,'[1]Global_Spot Prices'!$B:$B,'[1]Global_Spot Prices'!$D:$D)</f>
        <v>72.834999999999994</v>
      </c>
      <c r="E1749">
        <f>_xlfn.XLOOKUP(A1749,'[1]Global_Spot Prices'!$B:$B,'[1]Global_Spot Prices'!$H:$H)</f>
        <v>73.81</v>
      </c>
      <c r="F1749">
        <f>_xlfn.XLOOKUP(A1749,'[1]Global_Spot Prices'!$B:$B,'[1]Global_Spot Prices'!$I:$I)</f>
        <v>80.790000000000006</v>
      </c>
      <c r="G1749" cm="1">
        <f t="array" ref="G1749">_xlfn.XLOOKUP(TEXT(A1749, "mmm-yy"), TEXT([2]RUNS!$B$5:$B$208, "mmm-yy"), [2]RUNS!$D$5:$D$208, "Not Found")</f>
        <v>28398.341369528531</v>
      </c>
      <c r="H1749" cm="1">
        <f t="array" ref="H1749">SUMPRODUCT(
    --(TEXT('[3]Global Weekly Stock (EWSuez'!$B$4:$B$2000,"mmm-yy")=TEXT(A1749,"mmm-yy")),
    '[3]Global Weekly Stock (EWSuez'!$E$4:$E$2000)
/
SUMPRODUCT(
    --(TEXT('[3]Global Weekly Stock (EWSuez'!$B$4:$B$2000,"mmm-yy")=TEXT(A1749,"mmm-yy"))
)</f>
        <v>13033.25</v>
      </c>
      <c r="I1749">
        <f>_xlfn.XLOOKUP(A1749,[1]ForwardDeriv!$D:$D,[1]ForwardDeriv!$AJ:$AJ)</f>
        <v>1.0300000000000011</v>
      </c>
      <c r="J1749" cm="1">
        <f t="array" ref="J1749">_xlfn.XLOOKUP(TEXT(A1749, "mmm-yy"), TEXT([2]GASOLINE!$B$5:$B$208, "mmm-yy"), [2]GASOLINE!$IR$5:$IR$208, "Not Found")</f>
        <v>-31.999351993012226</v>
      </c>
      <c r="K1749" cm="1">
        <f t="array" ref="K1749">_xlfn.XLOOKUP(TEXT(A1749, "mmm-yy"), TEXT([2]GASOLINE!$B$5:$B$208, "mmm-yy"), [2]GASOLINE!$IK$5:$IK$208, "Not Found")</f>
        <v>169.96777874250964</v>
      </c>
      <c r="L1749">
        <f t="shared" si="27"/>
        <v>1</v>
      </c>
      <c r="M1749" cm="1">
        <f t="array" ref="M1749">_xlfn.XLOOKUP(TEXT(A1749, "mmm-yy"), TEXT([2]GASOLINE!$B$5:$B$208, "mmm-yy"), [2]GASOLINE!$C$5:$C$208, "Not Found")</f>
        <v>7322.2868616434471</v>
      </c>
      <c r="N1749" cm="1">
        <f t="array" ref="N1749">_xlfn.XLOOKUP(TEXT(A1749, "mmm-yy"), TEXT([2]RUNS!$B$5:$B$208, "mmm-yy"), [2]RUNS!$BM$5:$BM$208, "Not Found")</f>
        <v>0.78927911177368948</v>
      </c>
    </row>
    <row r="1750" spans="1:14" x14ac:dyDescent="0.25">
      <c r="A1750" s="1">
        <f>'[1]Global_Spot Prices'!$B3059</f>
        <v>44453</v>
      </c>
      <c r="B1750">
        <f>_xlfn.XLOOKUP(A1750,'[1]Global_Spot Prices'!$B:$B,'[1]Global_Spot Prices'!$BS:$BS)</f>
        <v>9.5</v>
      </c>
      <c r="C1750">
        <f>_xlfn.XLOOKUP(A1750,'[1]Global_Spot Prices'!$B:$B,'[1]Global_Spot Prices'!$E:$E)</f>
        <v>72.260000000000005</v>
      </c>
      <c r="D1750">
        <f>_xlfn.XLOOKUP(A1750,'[1]Global_Spot Prices'!$B:$B,'[1]Global_Spot Prices'!$D:$D)</f>
        <v>73.099999999999994</v>
      </c>
      <c r="E1750">
        <f>_xlfn.XLOOKUP(A1750,'[1]Global_Spot Prices'!$B:$B,'[1]Global_Spot Prices'!$H:$H)</f>
        <v>74.06</v>
      </c>
      <c r="F1750">
        <f>_xlfn.XLOOKUP(A1750,'[1]Global_Spot Prices'!$B:$B,'[1]Global_Spot Prices'!$I:$I)</f>
        <v>81.760000000000005</v>
      </c>
      <c r="G1750" cm="1">
        <f t="array" ref="G1750">_xlfn.XLOOKUP(TEXT(A1750, "mmm-yy"), TEXT([2]RUNS!$B$5:$B$208, "mmm-yy"), [2]RUNS!$D$5:$D$208, "Not Found")</f>
        <v>28398.341369528531</v>
      </c>
      <c r="H1750" cm="1">
        <f t="array" ref="H1750">SUMPRODUCT(
    --(TEXT('[3]Global Weekly Stock (EWSuez'!$B$4:$B$2000,"mmm-yy")=TEXT(A1750,"mmm-yy")),
    '[3]Global Weekly Stock (EWSuez'!$E$4:$E$2000)
/
SUMPRODUCT(
    --(TEXT('[3]Global Weekly Stock (EWSuez'!$B$4:$B$2000,"mmm-yy")=TEXT(A1750,"mmm-yy"))
)</f>
        <v>13033.25</v>
      </c>
      <c r="I1750">
        <f>_xlfn.XLOOKUP(A1750,[1]ForwardDeriv!$D:$D,[1]ForwardDeriv!$AJ:$AJ)</f>
        <v>1.2599999999999909</v>
      </c>
      <c r="J1750" cm="1">
        <f t="array" ref="J1750">_xlfn.XLOOKUP(TEXT(A1750, "mmm-yy"), TEXT([2]GASOLINE!$B$5:$B$208, "mmm-yy"), [2]GASOLINE!$IR$5:$IR$208, "Not Found")</f>
        <v>-31.999351993012226</v>
      </c>
      <c r="K1750" cm="1">
        <f t="array" ref="K1750">_xlfn.XLOOKUP(TEXT(A1750, "mmm-yy"), TEXT([2]GASOLINE!$B$5:$B$208, "mmm-yy"), [2]GASOLINE!$IK$5:$IK$208, "Not Found")</f>
        <v>169.96777874250964</v>
      </c>
      <c r="L1750">
        <f t="shared" si="27"/>
        <v>1</v>
      </c>
      <c r="M1750" cm="1">
        <f t="array" ref="M1750">_xlfn.XLOOKUP(TEXT(A1750, "mmm-yy"), TEXT([2]GASOLINE!$B$5:$B$208, "mmm-yy"), [2]GASOLINE!$C$5:$C$208, "Not Found")</f>
        <v>7322.2868616434471</v>
      </c>
      <c r="N1750" cm="1">
        <f t="array" ref="N1750">_xlfn.XLOOKUP(TEXT(A1750, "mmm-yy"), TEXT([2]RUNS!$B$5:$B$208, "mmm-yy"), [2]RUNS!$BM$5:$BM$208, "Not Found")</f>
        <v>0.78927911177368948</v>
      </c>
    </row>
    <row r="1751" spans="1:14" x14ac:dyDescent="0.25">
      <c r="A1751" s="1">
        <f>'[1]Global_Spot Prices'!$B3060</f>
        <v>44454</v>
      </c>
      <c r="B1751">
        <f>_xlfn.XLOOKUP(A1751,'[1]Global_Spot Prices'!$B:$B,'[1]Global_Spot Prices'!$BS:$BS)</f>
        <v>9.8000000000000114</v>
      </c>
      <c r="C1751">
        <f>_xlfn.XLOOKUP(A1751,'[1]Global_Spot Prices'!$B:$B,'[1]Global_Spot Prices'!$E:$E)</f>
        <v>72.239999999999995</v>
      </c>
      <c r="D1751">
        <f>_xlfn.XLOOKUP(A1751,'[1]Global_Spot Prices'!$B:$B,'[1]Global_Spot Prices'!$D:$D)</f>
        <v>75.17</v>
      </c>
      <c r="E1751">
        <f ca="1">_xlfn.XLOOKUP(A1751,'[1]Global_Spot Prices'!$B:$B,'[1]Global_Spot Prices'!$H:$H)</f>
        <v>74.64</v>
      </c>
      <c r="F1751">
        <f>_xlfn.XLOOKUP(A1751,'[1]Global_Spot Prices'!$B:$B,'[1]Global_Spot Prices'!$I:$I)</f>
        <v>82.04</v>
      </c>
      <c r="G1751" cm="1">
        <f t="array" ref="G1751">_xlfn.XLOOKUP(TEXT(A1751, "mmm-yy"), TEXT([2]RUNS!$B$5:$B$208, "mmm-yy"), [2]RUNS!$D$5:$D$208, "Not Found")</f>
        <v>28398.341369528531</v>
      </c>
      <c r="H1751" cm="1">
        <f t="array" ref="H1751">SUMPRODUCT(
    --(TEXT('[3]Global Weekly Stock (EWSuez'!$B$4:$B$2000,"mmm-yy")=TEXT(A1751,"mmm-yy")),
    '[3]Global Weekly Stock (EWSuez'!$E$4:$E$2000)
/
SUMPRODUCT(
    --(TEXT('[3]Global Weekly Stock (EWSuez'!$B$4:$B$2000,"mmm-yy")=TEXT(A1751,"mmm-yy"))
)</f>
        <v>13033.25</v>
      </c>
      <c r="I1751">
        <f>_xlfn.XLOOKUP(A1751,[1]ForwardDeriv!$D:$D,[1]ForwardDeriv!$AJ:$AJ)</f>
        <v>1.2800000000000011</v>
      </c>
      <c r="J1751" cm="1">
        <f t="array" ref="J1751">_xlfn.XLOOKUP(TEXT(A1751, "mmm-yy"), TEXT([2]GASOLINE!$B$5:$B$208, "mmm-yy"), [2]GASOLINE!$IR$5:$IR$208, "Not Found")</f>
        <v>-31.999351993012226</v>
      </c>
      <c r="K1751" cm="1">
        <f t="array" ref="K1751">_xlfn.XLOOKUP(TEXT(A1751, "mmm-yy"), TEXT([2]GASOLINE!$B$5:$B$208, "mmm-yy"), [2]GASOLINE!$IK$5:$IK$208, "Not Found")</f>
        <v>169.96777874250964</v>
      </c>
      <c r="L1751">
        <f t="shared" si="27"/>
        <v>1</v>
      </c>
      <c r="M1751" cm="1">
        <f t="array" ref="M1751">_xlfn.XLOOKUP(TEXT(A1751, "mmm-yy"), TEXT([2]GASOLINE!$B$5:$B$208, "mmm-yy"), [2]GASOLINE!$C$5:$C$208, "Not Found")</f>
        <v>7322.2868616434471</v>
      </c>
      <c r="N1751" cm="1">
        <f t="array" ref="N1751">_xlfn.XLOOKUP(TEXT(A1751, "mmm-yy"), TEXT([2]RUNS!$B$5:$B$208, "mmm-yy"), [2]RUNS!$BM$5:$BM$208, "Not Found")</f>
        <v>0.78927911177368948</v>
      </c>
    </row>
    <row r="1752" spans="1:14" x14ac:dyDescent="0.25">
      <c r="A1752" s="1">
        <f>'[1]Global_Spot Prices'!$B3061</f>
        <v>44455</v>
      </c>
      <c r="B1752">
        <f>_xlfn.XLOOKUP(A1752,'[1]Global_Spot Prices'!$B:$B,'[1]Global_Spot Prices'!$BS:$BS)</f>
        <v>9.75</v>
      </c>
      <c r="C1752">
        <f ca="1">_xlfn.XLOOKUP(A1752,'[1]Global_Spot Prices'!$B:$B,'[1]Global_Spot Prices'!$E:$E)</f>
        <v>73.069999999999993</v>
      </c>
      <c r="D1752">
        <f ca="1">_xlfn.XLOOKUP(A1752,'[1]Global_Spot Prices'!$B:$B,'[1]Global_Spot Prices'!$D:$D)</f>
        <v>74.055000000000007</v>
      </c>
      <c r="E1752">
        <f ca="1">_xlfn.XLOOKUP(A1752,'[1]Global_Spot Prices'!$B:$B,'[1]Global_Spot Prices'!$H:$H)</f>
        <v>75.81</v>
      </c>
      <c r="F1752">
        <f>_xlfn.XLOOKUP(A1752,'[1]Global_Spot Prices'!$B:$B,'[1]Global_Spot Prices'!$I:$I)</f>
        <v>82.82</v>
      </c>
      <c r="G1752" cm="1">
        <f t="array" ref="G1752">_xlfn.XLOOKUP(TEXT(A1752, "mmm-yy"), TEXT([2]RUNS!$B$5:$B$208, "mmm-yy"), [2]RUNS!$D$5:$D$208, "Not Found")</f>
        <v>28398.341369528531</v>
      </c>
      <c r="H1752" cm="1">
        <f t="array" ref="H1752">SUMPRODUCT(
    --(TEXT('[3]Global Weekly Stock (EWSuez'!$B$4:$B$2000,"mmm-yy")=TEXT(A1752,"mmm-yy")),
    '[3]Global Weekly Stock (EWSuez'!$E$4:$E$2000)
/
SUMPRODUCT(
    --(TEXT('[3]Global Weekly Stock (EWSuez'!$B$4:$B$2000,"mmm-yy")=TEXT(A1752,"mmm-yy"))
)</f>
        <v>13033.25</v>
      </c>
      <c r="I1752">
        <f>_xlfn.XLOOKUP(A1752,[1]ForwardDeriv!$D:$D,[1]ForwardDeriv!$AJ:$AJ)</f>
        <v>1.2299999999999898</v>
      </c>
      <c r="J1752" cm="1">
        <f t="array" ref="J1752">_xlfn.XLOOKUP(TEXT(A1752, "mmm-yy"), TEXT([2]GASOLINE!$B$5:$B$208, "mmm-yy"), [2]GASOLINE!$IR$5:$IR$208, "Not Found")</f>
        <v>-31.999351993012226</v>
      </c>
      <c r="K1752" cm="1">
        <f t="array" ref="K1752">_xlfn.XLOOKUP(TEXT(A1752, "mmm-yy"), TEXT([2]GASOLINE!$B$5:$B$208, "mmm-yy"), [2]GASOLINE!$IK$5:$IK$208, "Not Found")</f>
        <v>169.96777874250964</v>
      </c>
      <c r="L1752">
        <f t="shared" si="27"/>
        <v>1</v>
      </c>
      <c r="M1752" cm="1">
        <f t="array" ref="M1752">_xlfn.XLOOKUP(TEXT(A1752, "mmm-yy"), TEXT([2]GASOLINE!$B$5:$B$208, "mmm-yy"), [2]GASOLINE!$C$5:$C$208, "Not Found")</f>
        <v>7322.2868616434471</v>
      </c>
      <c r="N1752" cm="1">
        <f t="array" ref="N1752">_xlfn.XLOOKUP(TEXT(A1752, "mmm-yy"), TEXT([2]RUNS!$B$5:$B$208, "mmm-yy"), [2]RUNS!$BM$5:$BM$208, "Not Found")</f>
        <v>0.78927911177368948</v>
      </c>
    </row>
    <row r="1753" spans="1:14" x14ac:dyDescent="0.25">
      <c r="A1753" s="1">
        <f>'[1]Global_Spot Prices'!$B3062</f>
        <v>44456</v>
      </c>
      <c r="B1753">
        <f>_xlfn.XLOOKUP(A1753,'[1]Global_Spot Prices'!$B:$B,'[1]Global_Spot Prices'!$BS:$BS)</f>
        <v>9.4900000000000091</v>
      </c>
      <c r="C1753">
        <f ca="1">_xlfn.XLOOKUP(A1753,'[1]Global_Spot Prices'!$B:$B,'[1]Global_Spot Prices'!$E:$E)</f>
        <v>73.05</v>
      </c>
      <c r="D1753">
        <f>_xlfn.XLOOKUP(A1753,'[1]Global_Spot Prices'!$B:$B,'[1]Global_Spot Prices'!$D:$D)</f>
        <v>74.245000000000005</v>
      </c>
      <c r="E1753">
        <f>_xlfn.XLOOKUP(A1753,'[1]Global_Spot Prices'!$B:$B,'[1]Global_Spot Prices'!$H:$H)</f>
        <v>75.959999999999994</v>
      </c>
      <c r="F1753">
        <f>_xlfn.XLOOKUP(A1753,'[1]Global_Spot Prices'!$B:$B,'[1]Global_Spot Prices'!$I:$I)</f>
        <v>82.54</v>
      </c>
      <c r="G1753" cm="1">
        <f t="array" ref="G1753">_xlfn.XLOOKUP(TEXT(A1753, "mmm-yy"), TEXT([2]RUNS!$B$5:$B$208, "mmm-yy"), [2]RUNS!$D$5:$D$208, "Not Found")</f>
        <v>28398.341369528531</v>
      </c>
      <c r="H1753" cm="1">
        <f t="array" ref="H1753">SUMPRODUCT(
    --(TEXT('[3]Global Weekly Stock (EWSuez'!$B$4:$B$2000,"mmm-yy")=TEXT(A1753,"mmm-yy")),
    '[3]Global Weekly Stock (EWSuez'!$E$4:$E$2000)
/
SUMPRODUCT(
    --(TEXT('[3]Global Weekly Stock (EWSuez'!$B$4:$B$2000,"mmm-yy")=TEXT(A1753,"mmm-yy"))
)</f>
        <v>13033.25</v>
      </c>
      <c r="I1753">
        <f>_xlfn.XLOOKUP(A1753,[1]ForwardDeriv!$D:$D,[1]ForwardDeriv!$AJ:$AJ)</f>
        <v>1.2399999999999949</v>
      </c>
      <c r="J1753" cm="1">
        <f t="array" ref="J1753">_xlfn.XLOOKUP(TEXT(A1753, "mmm-yy"), TEXT([2]GASOLINE!$B$5:$B$208, "mmm-yy"), [2]GASOLINE!$IR$5:$IR$208, "Not Found")</f>
        <v>-31.999351993012226</v>
      </c>
      <c r="K1753" cm="1">
        <f t="array" ref="K1753">_xlfn.XLOOKUP(TEXT(A1753, "mmm-yy"), TEXT([2]GASOLINE!$B$5:$B$208, "mmm-yy"), [2]GASOLINE!$IK$5:$IK$208, "Not Found")</f>
        <v>169.96777874250964</v>
      </c>
      <c r="L1753">
        <f t="shared" si="27"/>
        <v>1</v>
      </c>
      <c r="M1753" cm="1">
        <f t="array" ref="M1753">_xlfn.XLOOKUP(TEXT(A1753, "mmm-yy"), TEXT([2]GASOLINE!$B$5:$B$208, "mmm-yy"), [2]GASOLINE!$C$5:$C$208, "Not Found")</f>
        <v>7322.2868616434471</v>
      </c>
      <c r="N1753" cm="1">
        <f t="array" ref="N1753">_xlfn.XLOOKUP(TEXT(A1753, "mmm-yy"), TEXT([2]RUNS!$B$5:$B$208, "mmm-yy"), [2]RUNS!$BM$5:$BM$208, "Not Found")</f>
        <v>0.78927911177368948</v>
      </c>
    </row>
    <row r="1754" spans="1:14" x14ac:dyDescent="0.25">
      <c r="A1754" s="1">
        <f>'[1]Global_Spot Prices'!$B3063</f>
        <v>44459</v>
      </c>
      <c r="B1754">
        <f>_xlfn.XLOOKUP(A1754,'[1]Global_Spot Prices'!$B:$B,'[1]Global_Spot Prices'!$BS:$BS)</f>
        <v>9.2800000000000011</v>
      </c>
      <c r="C1754">
        <f>_xlfn.XLOOKUP(A1754,'[1]Global_Spot Prices'!$B:$B,'[1]Global_Spot Prices'!$E:$E)</f>
        <v>72.099999999999994</v>
      </c>
      <c r="D1754">
        <f>_xlfn.XLOOKUP(A1754,'[1]Global_Spot Prices'!$B:$B,'[1]Global_Spot Prices'!$D:$D)</f>
        <v>74.105000000000004</v>
      </c>
      <c r="E1754">
        <f>_xlfn.XLOOKUP(A1754,'[1]Global_Spot Prices'!$B:$B,'[1]Global_Spot Prices'!$H:$H)</f>
        <v>75.36</v>
      </c>
      <c r="F1754">
        <f>_xlfn.XLOOKUP(A1754,'[1]Global_Spot Prices'!$B:$B,'[1]Global_Spot Prices'!$I:$I)</f>
        <v>81.38</v>
      </c>
      <c r="G1754" cm="1">
        <f t="array" ref="G1754">_xlfn.XLOOKUP(TEXT(A1754, "mmm-yy"), TEXT([2]RUNS!$B$5:$B$208, "mmm-yy"), [2]RUNS!$D$5:$D$208, "Not Found")</f>
        <v>28398.341369528531</v>
      </c>
      <c r="H1754" cm="1">
        <f t="array" ref="H1754">SUMPRODUCT(
    --(TEXT('[3]Global Weekly Stock (EWSuez'!$B$4:$B$2000,"mmm-yy")=TEXT(A1754,"mmm-yy")),
    '[3]Global Weekly Stock (EWSuez'!$E$4:$E$2000)
/
SUMPRODUCT(
    --(TEXT('[3]Global Weekly Stock (EWSuez'!$B$4:$B$2000,"mmm-yy")=TEXT(A1754,"mmm-yy"))
)</f>
        <v>13033.25</v>
      </c>
      <c r="I1754">
        <f>_xlfn.XLOOKUP(A1754,[1]ForwardDeriv!$D:$D,[1]ForwardDeriv!$AJ:$AJ)</f>
        <v>1.1600000000000108</v>
      </c>
      <c r="J1754" cm="1">
        <f t="array" ref="J1754">_xlfn.XLOOKUP(TEXT(A1754, "mmm-yy"), TEXT([2]GASOLINE!$B$5:$B$208, "mmm-yy"), [2]GASOLINE!$IR$5:$IR$208, "Not Found")</f>
        <v>-31.999351993012226</v>
      </c>
      <c r="K1754" cm="1">
        <f t="array" ref="K1754">_xlfn.XLOOKUP(TEXT(A1754, "mmm-yy"), TEXT([2]GASOLINE!$B$5:$B$208, "mmm-yy"), [2]GASOLINE!$IK$5:$IK$208, "Not Found")</f>
        <v>169.96777874250964</v>
      </c>
      <c r="L1754">
        <f t="shared" si="27"/>
        <v>1</v>
      </c>
      <c r="M1754" cm="1">
        <f t="array" ref="M1754">_xlfn.XLOOKUP(TEXT(A1754, "mmm-yy"), TEXT([2]GASOLINE!$B$5:$B$208, "mmm-yy"), [2]GASOLINE!$C$5:$C$208, "Not Found")</f>
        <v>7322.2868616434471</v>
      </c>
      <c r="N1754" cm="1">
        <f t="array" ref="N1754">_xlfn.XLOOKUP(TEXT(A1754, "mmm-yy"), TEXT([2]RUNS!$B$5:$B$208, "mmm-yy"), [2]RUNS!$BM$5:$BM$208, "Not Found")</f>
        <v>0.78927911177368948</v>
      </c>
    </row>
    <row r="1755" spans="1:14" x14ac:dyDescent="0.25">
      <c r="A1755" s="1">
        <f>'[1]Global_Spot Prices'!$B3064</f>
        <v>44460</v>
      </c>
      <c r="B1755">
        <f>_xlfn.XLOOKUP(A1755,'[1]Global_Spot Prices'!$B:$B,'[1]Global_Spot Prices'!$BS:$BS)</f>
        <v>9.3799999999999955</v>
      </c>
      <c r="C1755">
        <f>_xlfn.XLOOKUP(A1755,'[1]Global_Spot Prices'!$B:$B,'[1]Global_Spot Prices'!$E:$E)</f>
        <v>72.86</v>
      </c>
      <c r="D1755">
        <f>_xlfn.XLOOKUP(A1755,'[1]Global_Spot Prices'!$B:$B,'[1]Global_Spot Prices'!$D:$D)</f>
        <v>73.185000000000002</v>
      </c>
      <c r="E1755">
        <f ca="1">_xlfn.XLOOKUP(A1755,'[1]Global_Spot Prices'!$B:$B,'[1]Global_Spot Prices'!$H:$H)</f>
        <v>76.150000000000006</v>
      </c>
      <c r="F1755">
        <f>_xlfn.XLOOKUP(A1755,'[1]Global_Spot Prices'!$B:$B,'[1]Global_Spot Prices'!$I:$I)</f>
        <v>82.24</v>
      </c>
      <c r="G1755" cm="1">
        <f t="array" ref="G1755">_xlfn.XLOOKUP(TEXT(A1755, "mmm-yy"), TEXT([2]RUNS!$B$5:$B$208, "mmm-yy"), [2]RUNS!$D$5:$D$208, "Not Found")</f>
        <v>28398.341369528531</v>
      </c>
      <c r="H1755" cm="1">
        <f t="array" ref="H1755">SUMPRODUCT(
    --(TEXT('[3]Global Weekly Stock (EWSuez'!$B$4:$B$2000,"mmm-yy")=TEXT(A1755,"mmm-yy")),
    '[3]Global Weekly Stock (EWSuez'!$E$4:$E$2000)
/
SUMPRODUCT(
    --(TEXT('[3]Global Weekly Stock (EWSuez'!$B$4:$B$2000,"mmm-yy")=TEXT(A1755,"mmm-yy"))
)</f>
        <v>13033.25</v>
      </c>
      <c r="I1755">
        <f>_xlfn.XLOOKUP(A1755,[1]ForwardDeriv!$D:$D,[1]ForwardDeriv!$AJ:$AJ)</f>
        <v>1.3299999999999983</v>
      </c>
      <c r="J1755" cm="1">
        <f t="array" ref="J1755">_xlfn.XLOOKUP(TEXT(A1755, "mmm-yy"), TEXT([2]GASOLINE!$B$5:$B$208, "mmm-yy"), [2]GASOLINE!$IR$5:$IR$208, "Not Found")</f>
        <v>-31.999351993012226</v>
      </c>
      <c r="K1755" cm="1">
        <f t="array" ref="K1755">_xlfn.XLOOKUP(TEXT(A1755, "mmm-yy"), TEXT([2]GASOLINE!$B$5:$B$208, "mmm-yy"), [2]GASOLINE!$IK$5:$IK$208, "Not Found")</f>
        <v>169.96777874250964</v>
      </c>
      <c r="L1755">
        <f t="shared" si="27"/>
        <v>1</v>
      </c>
      <c r="M1755" cm="1">
        <f t="array" ref="M1755">_xlfn.XLOOKUP(TEXT(A1755, "mmm-yy"), TEXT([2]GASOLINE!$B$5:$B$208, "mmm-yy"), [2]GASOLINE!$C$5:$C$208, "Not Found")</f>
        <v>7322.2868616434471</v>
      </c>
      <c r="N1755" cm="1">
        <f t="array" ref="N1755">_xlfn.XLOOKUP(TEXT(A1755, "mmm-yy"), TEXT([2]RUNS!$B$5:$B$208, "mmm-yy"), [2]RUNS!$BM$5:$BM$208, "Not Found")</f>
        <v>0.78927911177368948</v>
      </c>
    </row>
    <row r="1756" spans="1:14" x14ac:dyDescent="0.25">
      <c r="A1756" s="1">
        <f>'[1]Global_Spot Prices'!$B3065</f>
        <v>44461</v>
      </c>
      <c r="B1756">
        <f>_xlfn.XLOOKUP(A1756,'[1]Global_Spot Prices'!$B:$B,'[1]Global_Spot Prices'!$BS:$BS)</f>
        <v>9.7599999999999909</v>
      </c>
      <c r="C1756">
        <f>_xlfn.XLOOKUP(A1756,'[1]Global_Spot Prices'!$B:$B,'[1]Global_Spot Prices'!$E:$E)</f>
        <v>73.260000000000005</v>
      </c>
      <c r="D1756">
        <f ca="1">_xlfn.XLOOKUP(A1756,'[1]Global_Spot Prices'!$B:$B,'[1]Global_Spot Prices'!$D:$D)</f>
        <v>75.02</v>
      </c>
      <c r="E1756">
        <f>_xlfn.XLOOKUP(A1756,'[1]Global_Spot Prices'!$B:$B,'[1]Global_Spot Prices'!$H:$H)</f>
        <v>76.37</v>
      </c>
      <c r="F1756">
        <f>_xlfn.XLOOKUP(A1756,'[1]Global_Spot Prices'!$B:$B,'[1]Global_Spot Prices'!$I:$I)</f>
        <v>83.02</v>
      </c>
      <c r="G1756" cm="1">
        <f t="array" ref="G1756">_xlfn.XLOOKUP(TEXT(A1756, "mmm-yy"), TEXT([2]RUNS!$B$5:$B$208, "mmm-yy"), [2]RUNS!$D$5:$D$208, "Not Found")</f>
        <v>28398.341369528531</v>
      </c>
      <c r="H1756" cm="1">
        <f t="array" ref="H1756">SUMPRODUCT(
    --(TEXT('[3]Global Weekly Stock (EWSuez'!$B$4:$B$2000,"mmm-yy")=TEXT(A1756,"mmm-yy")),
    '[3]Global Weekly Stock (EWSuez'!$E$4:$E$2000)
/
SUMPRODUCT(
    --(TEXT('[3]Global Weekly Stock (EWSuez'!$B$4:$B$2000,"mmm-yy")=TEXT(A1756,"mmm-yy"))
)</f>
        <v>13033.25</v>
      </c>
      <c r="I1756">
        <f>_xlfn.XLOOKUP(A1756,[1]ForwardDeriv!$D:$D,[1]ForwardDeriv!$AJ:$AJ)</f>
        <v>1.4300000000000068</v>
      </c>
      <c r="J1756" cm="1">
        <f t="array" ref="J1756">_xlfn.XLOOKUP(TEXT(A1756, "mmm-yy"), TEXT([2]GASOLINE!$B$5:$B$208, "mmm-yy"), [2]GASOLINE!$IR$5:$IR$208, "Not Found")</f>
        <v>-31.999351993012226</v>
      </c>
      <c r="K1756" cm="1">
        <f t="array" ref="K1756">_xlfn.XLOOKUP(TEXT(A1756, "mmm-yy"), TEXT([2]GASOLINE!$B$5:$B$208, "mmm-yy"), [2]GASOLINE!$IK$5:$IK$208, "Not Found")</f>
        <v>169.96777874250964</v>
      </c>
      <c r="L1756">
        <f t="shared" si="27"/>
        <v>1</v>
      </c>
      <c r="M1756" cm="1">
        <f t="array" ref="M1756">_xlfn.XLOOKUP(TEXT(A1756, "mmm-yy"), TEXT([2]GASOLINE!$B$5:$B$208, "mmm-yy"), [2]GASOLINE!$C$5:$C$208, "Not Found")</f>
        <v>7322.2868616434471</v>
      </c>
      <c r="N1756" cm="1">
        <f t="array" ref="N1756">_xlfn.XLOOKUP(TEXT(A1756, "mmm-yy"), TEXT([2]RUNS!$B$5:$B$208, "mmm-yy"), [2]RUNS!$BM$5:$BM$208, "Not Found")</f>
        <v>0.78927911177368948</v>
      </c>
    </row>
    <row r="1757" spans="1:14" x14ac:dyDescent="0.25">
      <c r="A1757" s="1">
        <f>'[1]Global_Spot Prices'!$B3066</f>
        <v>44462</v>
      </c>
      <c r="B1757">
        <f>_xlfn.XLOOKUP(A1757,'[1]Global_Spot Prices'!$B:$B,'[1]Global_Spot Prices'!$BS:$BS)</f>
        <v>9.7399999999999949</v>
      </c>
      <c r="C1757">
        <f ca="1">_xlfn.XLOOKUP(A1757,'[1]Global_Spot Prices'!$B:$B,'[1]Global_Spot Prices'!$E:$E)</f>
        <v>74.09</v>
      </c>
      <c r="D1757">
        <f>_xlfn.XLOOKUP(A1757,'[1]Global_Spot Prices'!$B:$B,'[1]Global_Spot Prices'!$D:$D)</f>
        <v>76.64</v>
      </c>
      <c r="E1757">
        <f>_xlfn.XLOOKUP(A1757,'[1]Global_Spot Prices'!$B:$B,'[1]Global_Spot Prices'!$H:$H)</f>
        <v>76.81</v>
      </c>
      <c r="F1757">
        <f>_xlfn.XLOOKUP(A1757,'[1]Global_Spot Prices'!$B:$B,'[1]Global_Spot Prices'!$I:$I)</f>
        <v>83.83</v>
      </c>
      <c r="G1757" cm="1">
        <f t="array" ref="G1757">_xlfn.XLOOKUP(TEXT(A1757, "mmm-yy"), TEXT([2]RUNS!$B$5:$B$208, "mmm-yy"), [2]RUNS!$D$5:$D$208, "Not Found")</f>
        <v>28398.341369528531</v>
      </c>
      <c r="H1757" cm="1">
        <f t="array" ref="H1757">SUMPRODUCT(
    --(TEXT('[3]Global Weekly Stock (EWSuez'!$B$4:$B$2000,"mmm-yy")=TEXT(A1757,"mmm-yy")),
    '[3]Global Weekly Stock (EWSuez'!$E$4:$E$2000)
/
SUMPRODUCT(
    --(TEXT('[3]Global Weekly Stock (EWSuez'!$B$4:$B$2000,"mmm-yy")=TEXT(A1757,"mmm-yy"))
)</f>
        <v>13033.25</v>
      </c>
      <c r="I1757">
        <f>_xlfn.XLOOKUP(A1757,[1]ForwardDeriv!$D:$D,[1]ForwardDeriv!$AJ:$AJ)</f>
        <v>1.2900000000000063</v>
      </c>
      <c r="J1757" cm="1">
        <f t="array" ref="J1757">_xlfn.XLOOKUP(TEXT(A1757, "mmm-yy"), TEXT([2]GASOLINE!$B$5:$B$208, "mmm-yy"), [2]GASOLINE!$IR$5:$IR$208, "Not Found")</f>
        <v>-31.999351993012226</v>
      </c>
      <c r="K1757" cm="1">
        <f t="array" ref="K1757">_xlfn.XLOOKUP(TEXT(A1757, "mmm-yy"), TEXT([2]GASOLINE!$B$5:$B$208, "mmm-yy"), [2]GASOLINE!$IK$5:$IK$208, "Not Found")</f>
        <v>169.96777874250964</v>
      </c>
      <c r="L1757">
        <f t="shared" si="27"/>
        <v>1</v>
      </c>
      <c r="M1757" cm="1">
        <f t="array" ref="M1757">_xlfn.XLOOKUP(TEXT(A1757, "mmm-yy"), TEXT([2]GASOLINE!$B$5:$B$208, "mmm-yy"), [2]GASOLINE!$C$5:$C$208, "Not Found")</f>
        <v>7322.2868616434471</v>
      </c>
      <c r="N1757" cm="1">
        <f t="array" ref="N1757">_xlfn.XLOOKUP(TEXT(A1757, "mmm-yy"), TEXT([2]RUNS!$B$5:$B$208, "mmm-yy"), [2]RUNS!$BM$5:$BM$208, "Not Found")</f>
        <v>0.78927911177368948</v>
      </c>
    </row>
    <row r="1758" spans="1:14" x14ac:dyDescent="0.25">
      <c r="A1758" s="1">
        <f>'[1]Global_Spot Prices'!$B3067</f>
        <v>44463</v>
      </c>
      <c r="B1758">
        <f ca="1">_xlfn.XLOOKUP(A1758,'[1]Global_Spot Prices'!$B:$B,'[1]Global_Spot Prices'!$BS:$BS)</f>
        <v>10.22999999999999</v>
      </c>
      <c r="C1758">
        <f>_xlfn.XLOOKUP(A1758,'[1]Global_Spot Prices'!$B:$B,'[1]Global_Spot Prices'!$E:$E)</f>
        <v>74.760000000000005</v>
      </c>
      <c r="D1758">
        <f>_xlfn.XLOOKUP(A1758,'[1]Global_Spot Prices'!$B:$B,'[1]Global_Spot Prices'!$D:$D)</f>
        <v>77.334999999999994</v>
      </c>
      <c r="E1758">
        <f>_xlfn.XLOOKUP(A1758,'[1]Global_Spot Prices'!$B:$B,'[1]Global_Spot Prices'!$H:$H)</f>
        <v>77.63</v>
      </c>
      <c r="F1758">
        <f>_xlfn.XLOOKUP(A1758,'[1]Global_Spot Prices'!$B:$B,'[1]Global_Spot Prices'!$I:$I)</f>
        <v>84.99</v>
      </c>
      <c r="G1758" cm="1">
        <f t="array" ref="G1758">_xlfn.XLOOKUP(TEXT(A1758, "mmm-yy"), TEXT([2]RUNS!$B$5:$B$208, "mmm-yy"), [2]RUNS!$D$5:$D$208, "Not Found")</f>
        <v>28398.341369528531</v>
      </c>
      <c r="H1758" cm="1">
        <f t="array" ref="H1758">SUMPRODUCT(
    --(TEXT('[3]Global Weekly Stock (EWSuez'!$B$4:$B$2000,"mmm-yy")=TEXT(A1758,"mmm-yy")),
    '[3]Global Weekly Stock (EWSuez'!$E$4:$E$2000)
/
SUMPRODUCT(
    --(TEXT('[3]Global Weekly Stock (EWSuez'!$B$4:$B$2000,"mmm-yy")=TEXT(A1758,"mmm-yy"))
)</f>
        <v>13033.25</v>
      </c>
      <c r="I1758">
        <f>_xlfn.XLOOKUP(A1758,[1]ForwardDeriv!$D:$D,[1]ForwardDeriv!$AJ:$AJ)</f>
        <v>1.3100000000000023</v>
      </c>
      <c r="J1758" cm="1">
        <f t="array" ref="J1758">_xlfn.XLOOKUP(TEXT(A1758, "mmm-yy"), TEXT([2]GASOLINE!$B$5:$B$208, "mmm-yy"), [2]GASOLINE!$IR$5:$IR$208, "Not Found")</f>
        <v>-31.999351993012226</v>
      </c>
      <c r="K1758" cm="1">
        <f t="array" ref="K1758">_xlfn.XLOOKUP(TEXT(A1758, "mmm-yy"), TEXT([2]GASOLINE!$B$5:$B$208, "mmm-yy"), [2]GASOLINE!$IK$5:$IK$208, "Not Found")</f>
        <v>169.96777874250964</v>
      </c>
      <c r="L1758">
        <f t="shared" si="27"/>
        <v>1</v>
      </c>
      <c r="M1758" cm="1">
        <f t="array" ref="M1758">_xlfn.XLOOKUP(TEXT(A1758, "mmm-yy"), TEXT([2]GASOLINE!$B$5:$B$208, "mmm-yy"), [2]GASOLINE!$C$5:$C$208, "Not Found")</f>
        <v>7322.2868616434471</v>
      </c>
      <c r="N1758" cm="1">
        <f t="array" ref="N1758">_xlfn.XLOOKUP(TEXT(A1758, "mmm-yy"), TEXT([2]RUNS!$B$5:$B$208, "mmm-yy"), [2]RUNS!$BM$5:$BM$208, "Not Found")</f>
        <v>0.78927911177368948</v>
      </c>
    </row>
    <row r="1759" spans="1:14" x14ac:dyDescent="0.25">
      <c r="A1759" s="1">
        <f>'[1]Global_Spot Prices'!$B3068</f>
        <v>44466</v>
      </c>
      <c r="B1759">
        <f>_xlfn.XLOOKUP(A1759,'[1]Global_Spot Prices'!$B:$B,'[1]Global_Spot Prices'!$BS:$BS)</f>
        <v>9.9299999999999926</v>
      </c>
      <c r="C1759">
        <f>_xlfn.XLOOKUP(A1759,'[1]Global_Spot Prices'!$B:$B,'[1]Global_Spot Prices'!$E:$E)</f>
        <v>76.150000000000006</v>
      </c>
      <c r="D1759">
        <f>_xlfn.XLOOKUP(A1759,'[1]Global_Spot Prices'!$B:$B,'[1]Global_Spot Prices'!$D:$D)</f>
        <v>79.114999999999995</v>
      </c>
      <c r="E1759">
        <f>_xlfn.XLOOKUP(A1759,'[1]Global_Spot Prices'!$B:$B,'[1]Global_Spot Prices'!$H:$H)</f>
        <v>79.069999999999993</v>
      </c>
      <c r="F1759">
        <f>_xlfn.XLOOKUP(A1759,'[1]Global_Spot Prices'!$B:$B,'[1]Global_Spot Prices'!$I:$I)</f>
        <v>86.08</v>
      </c>
      <c r="G1759" cm="1">
        <f t="array" ref="G1759">_xlfn.XLOOKUP(TEXT(A1759, "mmm-yy"), TEXT([2]RUNS!$B$5:$B$208, "mmm-yy"), [2]RUNS!$D$5:$D$208, "Not Found")</f>
        <v>28398.341369528531</v>
      </c>
      <c r="H1759" cm="1">
        <f t="array" ref="H1759">SUMPRODUCT(
    --(TEXT('[3]Global Weekly Stock (EWSuez'!$B$4:$B$2000,"mmm-yy")=TEXT(A1759,"mmm-yy")),
    '[3]Global Weekly Stock (EWSuez'!$E$4:$E$2000)
/
SUMPRODUCT(
    --(TEXT('[3]Global Weekly Stock (EWSuez'!$B$4:$B$2000,"mmm-yy")=TEXT(A1759,"mmm-yy"))
)</f>
        <v>13033.25</v>
      </c>
      <c r="I1759">
        <f>_xlfn.XLOOKUP(A1759,[1]ForwardDeriv!$D:$D,[1]ForwardDeriv!$AJ:$AJ)</f>
        <v>1.4000000000000057</v>
      </c>
      <c r="J1759" cm="1">
        <f t="array" ref="J1759">_xlfn.XLOOKUP(TEXT(A1759, "mmm-yy"), TEXT([2]GASOLINE!$B$5:$B$208, "mmm-yy"), [2]GASOLINE!$IR$5:$IR$208, "Not Found")</f>
        <v>-31.999351993012226</v>
      </c>
      <c r="K1759" cm="1">
        <f t="array" ref="K1759">_xlfn.XLOOKUP(TEXT(A1759, "mmm-yy"), TEXT([2]GASOLINE!$B$5:$B$208, "mmm-yy"), [2]GASOLINE!$IK$5:$IK$208, "Not Found")</f>
        <v>169.96777874250964</v>
      </c>
      <c r="L1759">
        <f t="shared" si="27"/>
        <v>1</v>
      </c>
      <c r="M1759" cm="1">
        <f t="array" ref="M1759">_xlfn.XLOOKUP(TEXT(A1759, "mmm-yy"), TEXT([2]GASOLINE!$B$5:$B$208, "mmm-yy"), [2]GASOLINE!$C$5:$C$208, "Not Found")</f>
        <v>7322.2868616434471</v>
      </c>
      <c r="N1759" cm="1">
        <f t="array" ref="N1759">_xlfn.XLOOKUP(TEXT(A1759, "mmm-yy"), TEXT([2]RUNS!$B$5:$B$208, "mmm-yy"), [2]RUNS!$BM$5:$BM$208, "Not Found")</f>
        <v>0.78927911177368948</v>
      </c>
    </row>
    <row r="1760" spans="1:14" x14ac:dyDescent="0.25">
      <c r="A1760" s="1">
        <f>'[1]Global_Spot Prices'!$B3069</f>
        <v>44467</v>
      </c>
      <c r="B1760">
        <f ca="1">_xlfn.XLOOKUP(A1760,'[1]Global_Spot Prices'!$B:$B,'[1]Global_Spot Prices'!$BS:$BS)</f>
        <v>9.480000000000004</v>
      </c>
      <c r="C1760">
        <f>_xlfn.XLOOKUP(A1760,'[1]Global_Spot Prices'!$B:$B,'[1]Global_Spot Prices'!$E:$E)</f>
        <v>77.3</v>
      </c>
      <c r="D1760">
        <f>_xlfn.XLOOKUP(A1760,'[1]Global_Spot Prices'!$B:$B,'[1]Global_Spot Prices'!$D:$D)</f>
        <v>78.545000000000002</v>
      </c>
      <c r="E1760">
        <f ca="1">_xlfn.XLOOKUP(A1760,'[1]Global_Spot Prices'!$B:$B,'[1]Global_Spot Prices'!$H:$H)</f>
        <v>79.53</v>
      </c>
      <c r="F1760">
        <f>_xlfn.XLOOKUP(A1760,'[1]Global_Spot Prices'!$B:$B,'[1]Global_Spot Prices'!$I:$I)</f>
        <v>86.78</v>
      </c>
      <c r="G1760" cm="1">
        <f t="array" ref="G1760">_xlfn.XLOOKUP(TEXT(A1760, "mmm-yy"), TEXT([2]RUNS!$B$5:$B$208, "mmm-yy"), [2]RUNS!$D$5:$D$208, "Not Found")</f>
        <v>28398.341369528531</v>
      </c>
      <c r="H1760" cm="1">
        <f t="array" ref="H1760">SUMPRODUCT(
    --(TEXT('[3]Global Weekly Stock (EWSuez'!$B$4:$B$2000,"mmm-yy")=TEXT(A1760,"mmm-yy")),
    '[3]Global Weekly Stock (EWSuez'!$E$4:$E$2000)
/
SUMPRODUCT(
    --(TEXT('[3]Global Weekly Stock (EWSuez'!$B$4:$B$2000,"mmm-yy")=TEXT(A1760,"mmm-yy"))
)</f>
        <v>13033.25</v>
      </c>
      <c r="I1760">
        <f>_xlfn.XLOOKUP(A1760,[1]ForwardDeriv!$D:$D,[1]ForwardDeriv!$AJ:$AJ)</f>
        <v>1.3799999999999955</v>
      </c>
      <c r="J1760" cm="1">
        <f t="array" ref="J1760">_xlfn.XLOOKUP(TEXT(A1760, "mmm-yy"), TEXT([2]GASOLINE!$B$5:$B$208, "mmm-yy"), [2]GASOLINE!$IR$5:$IR$208, "Not Found")</f>
        <v>-31.999351993012226</v>
      </c>
      <c r="K1760" cm="1">
        <f t="array" ref="K1760">_xlfn.XLOOKUP(TEXT(A1760, "mmm-yy"), TEXT([2]GASOLINE!$B$5:$B$208, "mmm-yy"), [2]GASOLINE!$IK$5:$IK$208, "Not Found")</f>
        <v>169.96777874250964</v>
      </c>
      <c r="L1760">
        <f t="shared" si="27"/>
        <v>1</v>
      </c>
      <c r="M1760" cm="1">
        <f t="array" ref="M1760">_xlfn.XLOOKUP(TEXT(A1760, "mmm-yy"), TEXT([2]GASOLINE!$B$5:$B$208, "mmm-yy"), [2]GASOLINE!$C$5:$C$208, "Not Found")</f>
        <v>7322.2868616434471</v>
      </c>
      <c r="N1760" cm="1">
        <f t="array" ref="N1760">_xlfn.XLOOKUP(TEXT(A1760, "mmm-yy"), TEXT([2]RUNS!$B$5:$B$208, "mmm-yy"), [2]RUNS!$BM$5:$BM$208, "Not Found")</f>
        <v>0.78927911177368948</v>
      </c>
    </row>
    <row r="1761" spans="1:14" x14ac:dyDescent="0.25">
      <c r="A1761" s="1">
        <f>'[1]Global_Spot Prices'!$B3070</f>
        <v>44468</v>
      </c>
      <c r="B1761">
        <f>_xlfn.XLOOKUP(A1761,'[1]Global_Spot Prices'!$B:$B,'[1]Global_Spot Prices'!$BS:$BS)</f>
        <v>9.4399999999999977</v>
      </c>
      <c r="C1761">
        <f ca="1">_xlfn.XLOOKUP(A1761,'[1]Global_Spot Prices'!$B:$B,'[1]Global_Spot Prices'!$E:$E)</f>
        <v>75.66</v>
      </c>
      <c r="D1761">
        <f>_xlfn.XLOOKUP(A1761,'[1]Global_Spot Prices'!$B:$B,'[1]Global_Spot Prices'!$D:$D)</f>
        <v>78.415000000000006</v>
      </c>
      <c r="E1761">
        <f>_xlfn.XLOOKUP(A1761,'[1]Global_Spot Prices'!$B:$B,'[1]Global_Spot Prices'!$H:$H)</f>
        <v>78.11</v>
      </c>
      <c r="F1761">
        <f>_xlfn.XLOOKUP(A1761,'[1]Global_Spot Prices'!$B:$B,'[1]Global_Spot Prices'!$I:$I)</f>
        <v>85.1</v>
      </c>
      <c r="G1761" cm="1">
        <f t="array" ref="G1761">_xlfn.XLOOKUP(TEXT(A1761, "mmm-yy"), TEXT([2]RUNS!$B$5:$B$208, "mmm-yy"), [2]RUNS!$D$5:$D$208, "Not Found")</f>
        <v>28398.341369528531</v>
      </c>
      <c r="H1761" cm="1">
        <f t="array" ref="H1761">SUMPRODUCT(
    --(TEXT('[3]Global Weekly Stock (EWSuez'!$B$4:$B$2000,"mmm-yy")=TEXT(A1761,"mmm-yy")),
    '[3]Global Weekly Stock (EWSuez'!$E$4:$E$2000)
/
SUMPRODUCT(
    --(TEXT('[3]Global Weekly Stock (EWSuez'!$B$4:$B$2000,"mmm-yy")=TEXT(A1761,"mmm-yy"))
)</f>
        <v>13033.25</v>
      </c>
      <c r="I1761">
        <f>_xlfn.XLOOKUP(A1761,[1]ForwardDeriv!$D:$D,[1]ForwardDeriv!$AJ:$AJ)</f>
        <v>1.3999999999999915</v>
      </c>
      <c r="J1761" cm="1">
        <f t="array" ref="J1761">_xlfn.XLOOKUP(TEXT(A1761, "mmm-yy"), TEXT([2]GASOLINE!$B$5:$B$208, "mmm-yy"), [2]GASOLINE!$IR$5:$IR$208, "Not Found")</f>
        <v>-31.999351993012226</v>
      </c>
      <c r="K1761" cm="1">
        <f t="array" ref="K1761">_xlfn.XLOOKUP(TEXT(A1761, "mmm-yy"), TEXT([2]GASOLINE!$B$5:$B$208, "mmm-yy"), [2]GASOLINE!$IK$5:$IK$208, "Not Found")</f>
        <v>169.96777874250964</v>
      </c>
      <c r="L1761">
        <f t="shared" si="27"/>
        <v>1</v>
      </c>
      <c r="M1761" cm="1">
        <f t="array" ref="M1761">_xlfn.XLOOKUP(TEXT(A1761, "mmm-yy"), TEXT([2]GASOLINE!$B$5:$B$208, "mmm-yy"), [2]GASOLINE!$C$5:$C$208, "Not Found")</f>
        <v>7322.2868616434471</v>
      </c>
      <c r="N1761" cm="1">
        <f t="array" ref="N1761">_xlfn.XLOOKUP(TEXT(A1761, "mmm-yy"), TEXT([2]RUNS!$B$5:$B$208, "mmm-yy"), [2]RUNS!$BM$5:$BM$208, "Not Found")</f>
        <v>0.78927911177368948</v>
      </c>
    </row>
    <row r="1762" spans="1:14" x14ac:dyDescent="0.25">
      <c r="A1762" s="1">
        <f>'[1]Global_Spot Prices'!$B3071</f>
        <v>44469</v>
      </c>
      <c r="B1762">
        <f ca="1">_xlfn.XLOOKUP(A1762,'[1]Global_Spot Prices'!$B:$B,'[1]Global_Spot Prices'!$BS:$BS)</f>
        <v>11.159999999999997</v>
      </c>
      <c r="C1762">
        <f>_xlfn.XLOOKUP(A1762,'[1]Global_Spot Prices'!$B:$B,'[1]Global_Spot Prices'!$E:$E)</f>
        <v>75.95</v>
      </c>
      <c r="D1762">
        <f>_xlfn.XLOOKUP(A1762,'[1]Global_Spot Prices'!$B:$B,'[1]Global_Spot Prices'!$D:$D)</f>
        <v>78.814999999999998</v>
      </c>
      <c r="E1762">
        <f>_xlfn.XLOOKUP(A1762,'[1]Global_Spot Prices'!$B:$B,'[1]Global_Spot Prices'!$H:$H)</f>
        <v>78.83</v>
      </c>
      <c r="F1762">
        <f ca="1">_xlfn.XLOOKUP(A1762,'[1]Global_Spot Prices'!$B:$B,'[1]Global_Spot Prices'!$I:$I)</f>
        <v>87.11</v>
      </c>
      <c r="G1762" cm="1">
        <f t="array" ref="G1762">_xlfn.XLOOKUP(TEXT(A1762, "mmm-yy"), TEXT([2]RUNS!$B$5:$B$208, "mmm-yy"), [2]RUNS!$D$5:$D$208, "Not Found")</f>
        <v>28398.341369528531</v>
      </c>
      <c r="H1762" cm="1">
        <f t="array" ref="H1762">SUMPRODUCT(
    --(TEXT('[3]Global Weekly Stock (EWSuez'!$B$4:$B$2000,"mmm-yy")=TEXT(A1762,"mmm-yy")),
    '[3]Global Weekly Stock (EWSuez'!$E$4:$E$2000)
/
SUMPRODUCT(
    --(TEXT('[3]Global Weekly Stock (EWSuez'!$B$4:$B$2000,"mmm-yy")=TEXT(A1762,"mmm-yy"))
)</f>
        <v>13033.25</v>
      </c>
      <c r="I1762">
        <f>_xlfn.XLOOKUP(A1762,[1]ForwardDeriv!$D:$D,[1]ForwardDeriv!$AJ:$AJ)</f>
        <v>1.6900000000000119</v>
      </c>
      <c r="J1762" cm="1">
        <f t="array" ref="J1762">_xlfn.XLOOKUP(TEXT(A1762, "mmm-yy"), TEXT([2]GASOLINE!$B$5:$B$208, "mmm-yy"), [2]GASOLINE!$IR$5:$IR$208, "Not Found")</f>
        <v>-31.999351993012226</v>
      </c>
      <c r="K1762" cm="1">
        <f t="array" ref="K1762">_xlfn.XLOOKUP(TEXT(A1762, "mmm-yy"), TEXT([2]GASOLINE!$B$5:$B$208, "mmm-yy"), [2]GASOLINE!$IK$5:$IK$208, "Not Found")</f>
        <v>169.96777874250964</v>
      </c>
      <c r="L1762">
        <f t="shared" si="27"/>
        <v>1</v>
      </c>
      <c r="M1762" cm="1">
        <f t="array" ref="M1762">_xlfn.XLOOKUP(TEXT(A1762, "mmm-yy"), TEXT([2]GASOLINE!$B$5:$B$208, "mmm-yy"), [2]GASOLINE!$C$5:$C$208, "Not Found")</f>
        <v>7322.2868616434471</v>
      </c>
      <c r="N1762" cm="1">
        <f t="array" ref="N1762">_xlfn.XLOOKUP(TEXT(A1762, "mmm-yy"), TEXT([2]RUNS!$B$5:$B$208, "mmm-yy"), [2]RUNS!$BM$5:$BM$208, "Not Found")</f>
        <v>0.78927911177368948</v>
      </c>
    </row>
    <row r="1763" spans="1:14" x14ac:dyDescent="0.25">
      <c r="A1763" s="1">
        <f>'[1]Global_Spot Prices'!$B3072</f>
        <v>44470</v>
      </c>
      <c r="B1763">
        <f>_xlfn.XLOOKUP(A1763,'[1]Global_Spot Prices'!$B:$B,'[1]Global_Spot Prices'!$BS:$BS)</f>
        <v>10.149999999999991</v>
      </c>
      <c r="C1763">
        <f ca="1">_xlfn.XLOOKUP(A1763,'[1]Global_Spot Prices'!$B:$B,'[1]Global_Spot Prices'!$E:$E)</f>
        <v>75.650000000000006</v>
      </c>
      <c r="D1763">
        <f>_xlfn.XLOOKUP(A1763,'[1]Global_Spot Prices'!$B:$B,'[1]Global_Spot Prices'!$D:$D)</f>
        <v>78.715000000000003</v>
      </c>
      <c r="E1763">
        <f>_xlfn.XLOOKUP(A1763,'[1]Global_Spot Prices'!$B:$B,'[1]Global_Spot Prices'!$H:$H)</f>
        <v>78.22</v>
      </c>
      <c r="F1763">
        <f>_xlfn.XLOOKUP(A1763,'[1]Global_Spot Prices'!$B:$B,'[1]Global_Spot Prices'!$I:$I)</f>
        <v>85.8</v>
      </c>
      <c r="G1763" cm="1">
        <f t="array" ref="G1763">_xlfn.XLOOKUP(TEXT(A1763, "mmm-yy"), TEXT([2]RUNS!$B$5:$B$208, "mmm-yy"), [2]RUNS!$D$5:$D$208, "Not Found")</f>
        <v>29046.347239858362</v>
      </c>
      <c r="H1763" cm="1">
        <f t="array" ref="H1763">SUMPRODUCT(
    --(TEXT('[3]Global Weekly Stock (EWSuez'!$B$4:$B$2000,"mmm-yy")=TEXT(A1763,"mmm-yy")),
    '[3]Global Weekly Stock (EWSuez'!$E$4:$E$2000)
/
SUMPRODUCT(
    --(TEXT('[3]Global Weekly Stock (EWSuez'!$B$4:$B$2000,"mmm-yy")=TEXT(A1763,"mmm-yy"))
)</f>
        <v>11615.4</v>
      </c>
      <c r="I1763">
        <f>_xlfn.XLOOKUP(A1763,[1]ForwardDeriv!$D:$D,[1]ForwardDeriv!$AJ:$AJ)</f>
        <v>1.3499999999999943</v>
      </c>
      <c r="J1763" cm="1">
        <f t="array" ref="J1763">_xlfn.XLOOKUP(TEXT(A1763, "mmm-yy"), TEXT([2]GASOLINE!$B$5:$B$208, "mmm-yy"), [2]GASOLINE!$IR$5:$IR$208, "Not Found")</f>
        <v>-16.114878308389564</v>
      </c>
      <c r="K1763" cm="1">
        <f t="array" ref="K1763">_xlfn.XLOOKUP(TEXT(A1763, "mmm-yy"), TEXT([2]GASOLINE!$B$5:$B$208, "mmm-yy"), [2]GASOLINE!$IK$5:$IK$208, "Not Found")</f>
        <v>160.09153708991747</v>
      </c>
      <c r="L1763">
        <f t="shared" si="27"/>
        <v>0</v>
      </c>
      <c r="M1763" cm="1">
        <f t="array" ref="M1763">_xlfn.XLOOKUP(TEXT(A1763, "mmm-yy"), TEXT([2]GASOLINE!$B$5:$B$208, "mmm-yy"), [2]GASOLINE!$C$5:$C$208, "Not Found")</f>
        <v>7307.948908302219</v>
      </c>
      <c r="N1763" cm="1">
        <f t="array" ref="N1763">_xlfn.XLOOKUP(TEXT(A1763, "mmm-yy"), TEXT([2]RUNS!$B$5:$B$208, "mmm-yy"), [2]RUNS!$BM$5:$BM$208, "Not Found")</f>
        <v>0.80547814092394432</v>
      </c>
    </row>
    <row r="1764" spans="1:14" x14ac:dyDescent="0.25">
      <c r="A1764" s="1">
        <f>'[1]Global_Spot Prices'!$B3073</f>
        <v>44473</v>
      </c>
      <c r="B1764">
        <f>_xlfn.XLOOKUP(A1764,'[1]Global_Spot Prices'!$B:$B,'[1]Global_Spot Prices'!$BS:$BS)</f>
        <v>10.150000000000006</v>
      </c>
      <c r="C1764">
        <f>_xlfn.XLOOKUP(A1764,'[1]Global_Spot Prices'!$B:$B,'[1]Global_Spot Prices'!$E:$E)</f>
        <v>77.14</v>
      </c>
      <c r="D1764">
        <f>_xlfn.XLOOKUP(A1764,'[1]Global_Spot Prices'!$B:$B,'[1]Global_Spot Prices'!$D:$D)</f>
        <v>81.765000000000001</v>
      </c>
      <c r="E1764">
        <f>_xlfn.XLOOKUP(A1764,'[1]Global_Spot Prices'!$B:$B,'[1]Global_Spot Prices'!$H:$H)</f>
        <v>79.13</v>
      </c>
      <c r="F1764">
        <f>_xlfn.XLOOKUP(A1764,'[1]Global_Spot Prices'!$B:$B,'[1]Global_Spot Prices'!$I:$I)</f>
        <v>87.29</v>
      </c>
      <c r="G1764" cm="1">
        <f t="array" ref="G1764">_xlfn.XLOOKUP(TEXT(A1764, "mmm-yy"), TEXT([2]RUNS!$B$5:$B$208, "mmm-yy"), [2]RUNS!$D$5:$D$208, "Not Found")</f>
        <v>29046.347239858362</v>
      </c>
      <c r="H1764" cm="1">
        <f t="array" ref="H1764">SUMPRODUCT(
    --(TEXT('[3]Global Weekly Stock (EWSuez'!$B$4:$B$2000,"mmm-yy")=TEXT(A1764,"mmm-yy")),
    '[3]Global Weekly Stock (EWSuez'!$E$4:$E$2000)
/
SUMPRODUCT(
    --(TEXT('[3]Global Weekly Stock (EWSuez'!$B$4:$B$2000,"mmm-yy")=TEXT(A1764,"mmm-yy"))
)</f>
        <v>11615.4</v>
      </c>
      <c r="I1764">
        <f>_xlfn.XLOOKUP(A1764,[1]ForwardDeriv!$D:$D,[1]ForwardDeriv!$AJ:$AJ)</f>
        <v>1.3299999999999983</v>
      </c>
      <c r="J1764" cm="1">
        <f t="array" ref="J1764">_xlfn.XLOOKUP(TEXT(A1764, "mmm-yy"), TEXT([2]GASOLINE!$B$5:$B$208, "mmm-yy"), [2]GASOLINE!$IR$5:$IR$208, "Not Found")</f>
        <v>-16.114878308389564</v>
      </c>
      <c r="K1764" cm="1">
        <f t="array" ref="K1764">_xlfn.XLOOKUP(TEXT(A1764, "mmm-yy"), TEXT([2]GASOLINE!$B$5:$B$208, "mmm-yy"), [2]GASOLINE!$IK$5:$IK$208, "Not Found")</f>
        <v>160.09153708991747</v>
      </c>
      <c r="L1764">
        <f t="shared" si="27"/>
        <v>0</v>
      </c>
      <c r="M1764" cm="1">
        <f t="array" ref="M1764">_xlfn.XLOOKUP(TEXT(A1764, "mmm-yy"), TEXT([2]GASOLINE!$B$5:$B$208, "mmm-yy"), [2]GASOLINE!$C$5:$C$208, "Not Found")</f>
        <v>7307.948908302219</v>
      </c>
      <c r="N1764" cm="1">
        <f t="array" ref="N1764">_xlfn.XLOOKUP(TEXT(A1764, "mmm-yy"), TEXT([2]RUNS!$B$5:$B$208, "mmm-yy"), [2]RUNS!$BM$5:$BM$208, "Not Found")</f>
        <v>0.80547814092394432</v>
      </c>
    </row>
    <row r="1765" spans="1:14" x14ac:dyDescent="0.25">
      <c r="A1765" s="1">
        <f>'[1]Global_Spot Prices'!$B3074</f>
        <v>44474</v>
      </c>
      <c r="B1765">
        <f>_xlfn.XLOOKUP(A1765,'[1]Global_Spot Prices'!$B:$B,'[1]Global_Spot Prices'!$BS:$BS)</f>
        <v>10.539999999999992</v>
      </c>
      <c r="C1765">
        <f ca="1">_xlfn.XLOOKUP(A1765,'[1]Global_Spot Prices'!$B:$B,'[1]Global_Spot Prices'!$E:$E)</f>
        <v>79.540000000000006</v>
      </c>
      <c r="D1765">
        <f ca="1">_xlfn.XLOOKUP(A1765,'[1]Global_Spot Prices'!$B:$B,'[1]Global_Spot Prices'!$D:$D)</f>
        <v>83.454999999999998</v>
      </c>
      <c r="E1765">
        <f>_xlfn.XLOOKUP(A1765,'[1]Global_Spot Prices'!$B:$B,'[1]Global_Spot Prices'!$H:$H)</f>
        <v>81.23</v>
      </c>
      <c r="F1765">
        <f>_xlfn.XLOOKUP(A1765,'[1]Global_Spot Prices'!$B:$B,'[1]Global_Spot Prices'!$I:$I)</f>
        <v>90.08</v>
      </c>
      <c r="G1765" cm="1">
        <f t="array" ref="G1765">_xlfn.XLOOKUP(TEXT(A1765, "mmm-yy"), TEXT([2]RUNS!$B$5:$B$208, "mmm-yy"), [2]RUNS!$D$5:$D$208, "Not Found")</f>
        <v>29046.347239858362</v>
      </c>
      <c r="H1765" cm="1">
        <f t="array" ref="H1765">SUMPRODUCT(
    --(TEXT('[3]Global Weekly Stock (EWSuez'!$B$4:$B$2000,"mmm-yy")=TEXT(A1765,"mmm-yy")),
    '[3]Global Weekly Stock (EWSuez'!$E$4:$E$2000)
/
SUMPRODUCT(
    --(TEXT('[3]Global Weekly Stock (EWSuez'!$B$4:$B$2000,"mmm-yy")=TEXT(A1765,"mmm-yy"))
)</f>
        <v>11615.4</v>
      </c>
      <c r="I1765">
        <f>_xlfn.XLOOKUP(A1765,[1]ForwardDeriv!$D:$D,[1]ForwardDeriv!$AJ:$AJ)</f>
        <v>1.3200000000000074</v>
      </c>
      <c r="J1765" cm="1">
        <f t="array" ref="J1765">_xlfn.XLOOKUP(TEXT(A1765, "mmm-yy"), TEXT([2]GASOLINE!$B$5:$B$208, "mmm-yy"), [2]GASOLINE!$IR$5:$IR$208, "Not Found")</f>
        <v>-16.114878308389564</v>
      </c>
      <c r="K1765" cm="1">
        <f t="array" ref="K1765">_xlfn.XLOOKUP(TEXT(A1765, "mmm-yy"), TEXT([2]GASOLINE!$B$5:$B$208, "mmm-yy"), [2]GASOLINE!$IK$5:$IK$208, "Not Found")</f>
        <v>160.09153708991747</v>
      </c>
      <c r="L1765">
        <f t="shared" si="27"/>
        <v>0</v>
      </c>
      <c r="M1765" cm="1">
        <f t="array" ref="M1765">_xlfn.XLOOKUP(TEXT(A1765, "mmm-yy"), TEXT([2]GASOLINE!$B$5:$B$208, "mmm-yy"), [2]GASOLINE!$C$5:$C$208, "Not Found")</f>
        <v>7307.948908302219</v>
      </c>
      <c r="N1765" cm="1">
        <f t="array" ref="N1765">_xlfn.XLOOKUP(TEXT(A1765, "mmm-yy"), TEXT([2]RUNS!$B$5:$B$208, "mmm-yy"), [2]RUNS!$BM$5:$BM$208, "Not Found")</f>
        <v>0.80547814092394432</v>
      </c>
    </row>
    <row r="1766" spans="1:14" x14ac:dyDescent="0.25">
      <c r="A1766" s="1">
        <f>'[1]Global_Spot Prices'!$B3075</f>
        <v>44475</v>
      </c>
      <c r="B1766">
        <f>_xlfn.XLOOKUP(A1766,'[1]Global_Spot Prices'!$B:$B,'[1]Global_Spot Prices'!$BS:$BS)</f>
        <v>11.469999999999999</v>
      </c>
      <c r="C1766">
        <f>_xlfn.XLOOKUP(A1766,'[1]Global_Spot Prices'!$B:$B,'[1]Global_Spot Prices'!$E:$E)</f>
        <v>80.540000000000006</v>
      </c>
      <c r="D1766">
        <f>_xlfn.XLOOKUP(A1766,'[1]Global_Spot Prices'!$B:$B,'[1]Global_Spot Prices'!$D:$D)</f>
        <v>81.41</v>
      </c>
      <c r="E1766">
        <f>_xlfn.XLOOKUP(A1766,'[1]Global_Spot Prices'!$B:$B,'[1]Global_Spot Prices'!$H:$H)</f>
        <v>82.23</v>
      </c>
      <c r="F1766">
        <f>_xlfn.XLOOKUP(A1766,'[1]Global_Spot Prices'!$B:$B,'[1]Global_Spot Prices'!$I:$I)</f>
        <v>92.01</v>
      </c>
      <c r="G1766" cm="1">
        <f t="array" ref="G1766">_xlfn.XLOOKUP(TEXT(A1766, "mmm-yy"), TEXT([2]RUNS!$B$5:$B$208, "mmm-yy"), [2]RUNS!$D$5:$D$208, "Not Found")</f>
        <v>29046.347239858362</v>
      </c>
      <c r="H1766" cm="1">
        <f t="array" ref="H1766">SUMPRODUCT(
    --(TEXT('[3]Global Weekly Stock (EWSuez'!$B$4:$B$2000,"mmm-yy")=TEXT(A1766,"mmm-yy")),
    '[3]Global Weekly Stock (EWSuez'!$E$4:$E$2000)
/
SUMPRODUCT(
    --(TEXT('[3]Global Weekly Stock (EWSuez'!$B$4:$B$2000,"mmm-yy")=TEXT(A1766,"mmm-yy"))
)</f>
        <v>11615.4</v>
      </c>
      <c r="I1766">
        <f>_xlfn.XLOOKUP(A1766,[1]ForwardDeriv!$D:$D,[1]ForwardDeriv!$AJ:$AJ)</f>
        <v>1.4200000000000017</v>
      </c>
      <c r="J1766" cm="1">
        <f t="array" ref="J1766">_xlfn.XLOOKUP(TEXT(A1766, "mmm-yy"), TEXT([2]GASOLINE!$B$5:$B$208, "mmm-yy"), [2]GASOLINE!$IR$5:$IR$208, "Not Found")</f>
        <v>-16.114878308389564</v>
      </c>
      <c r="K1766" cm="1">
        <f t="array" ref="K1766">_xlfn.XLOOKUP(TEXT(A1766, "mmm-yy"), TEXT([2]GASOLINE!$B$5:$B$208, "mmm-yy"), [2]GASOLINE!$IK$5:$IK$208, "Not Found")</f>
        <v>160.09153708991747</v>
      </c>
      <c r="L1766">
        <f t="shared" si="27"/>
        <v>0</v>
      </c>
      <c r="M1766" cm="1">
        <f t="array" ref="M1766">_xlfn.XLOOKUP(TEXT(A1766, "mmm-yy"), TEXT([2]GASOLINE!$B$5:$B$208, "mmm-yy"), [2]GASOLINE!$C$5:$C$208, "Not Found")</f>
        <v>7307.948908302219</v>
      </c>
      <c r="N1766" cm="1">
        <f t="array" ref="N1766">_xlfn.XLOOKUP(TEXT(A1766, "mmm-yy"), TEXT([2]RUNS!$B$5:$B$208, "mmm-yy"), [2]RUNS!$BM$5:$BM$208, "Not Found")</f>
        <v>0.80547814092394432</v>
      </c>
    </row>
    <row r="1767" spans="1:14" x14ac:dyDescent="0.25">
      <c r="A1767" s="1">
        <f>'[1]Global_Spot Prices'!$B3076</f>
        <v>44476</v>
      </c>
      <c r="B1767">
        <f>_xlfn.XLOOKUP(A1767,'[1]Global_Spot Prices'!$B:$B,'[1]Global_Spot Prices'!$BS:$BS)</f>
        <v>11.069999999999993</v>
      </c>
      <c r="C1767">
        <f>_xlfn.XLOOKUP(A1767,'[1]Global_Spot Prices'!$B:$B,'[1]Global_Spot Prices'!$E:$E)</f>
        <v>77.39</v>
      </c>
      <c r="D1767">
        <f ca="1">_xlfn.XLOOKUP(A1767,'[1]Global_Spot Prices'!$B:$B,'[1]Global_Spot Prices'!$D:$D)</f>
        <v>81.99</v>
      </c>
      <c r="E1767">
        <f>_xlfn.XLOOKUP(A1767,'[1]Global_Spot Prices'!$B:$B,'[1]Global_Spot Prices'!$H:$H)</f>
        <v>79.33</v>
      </c>
      <c r="F1767">
        <f>_xlfn.XLOOKUP(A1767,'[1]Global_Spot Prices'!$B:$B,'[1]Global_Spot Prices'!$I:$I)</f>
        <v>88.46</v>
      </c>
      <c r="G1767" cm="1">
        <f t="array" ref="G1767">_xlfn.XLOOKUP(TEXT(A1767, "mmm-yy"), TEXT([2]RUNS!$B$5:$B$208, "mmm-yy"), [2]RUNS!$D$5:$D$208, "Not Found")</f>
        <v>29046.347239858362</v>
      </c>
      <c r="H1767" cm="1">
        <f t="array" ref="H1767">SUMPRODUCT(
    --(TEXT('[3]Global Weekly Stock (EWSuez'!$B$4:$B$2000,"mmm-yy")=TEXT(A1767,"mmm-yy")),
    '[3]Global Weekly Stock (EWSuez'!$E$4:$E$2000)
/
SUMPRODUCT(
    --(TEXT('[3]Global Weekly Stock (EWSuez'!$B$4:$B$2000,"mmm-yy")=TEXT(A1767,"mmm-yy"))
)</f>
        <v>11615.4</v>
      </c>
      <c r="I1767">
        <f>_xlfn.XLOOKUP(A1767,[1]ForwardDeriv!$D:$D,[1]ForwardDeriv!$AJ:$AJ)</f>
        <v>1.4300000000000068</v>
      </c>
      <c r="J1767" cm="1">
        <f t="array" ref="J1767">_xlfn.XLOOKUP(TEXT(A1767, "mmm-yy"), TEXT([2]GASOLINE!$B$5:$B$208, "mmm-yy"), [2]GASOLINE!$IR$5:$IR$208, "Not Found")</f>
        <v>-16.114878308389564</v>
      </c>
      <c r="K1767" cm="1">
        <f t="array" ref="K1767">_xlfn.XLOOKUP(TEXT(A1767, "mmm-yy"), TEXT([2]GASOLINE!$B$5:$B$208, "mmm-yy"), [2]GASOLINE!$IK$5:$IK$208, "Not Found")</f>
        <v>160.09153708991747</v>
      </c>
      <c r="L1767">
        <f t="shared" si="27"/>
        <v>0</v>
      </c>
      <c r="M1767" cm="1">
        <f t="array" ref="M1767">_xlfn.XLOOKUP(TEXT(A1767, "mmm-yy"), TEXT([2]GASOLINE!$B$5:$B$208, "mmm-yy"), [2]GASOLINE!$C$5:$C$208, "Not Found")</f>
        <v>7307.948908302219</v>
      </c>
      <c r="N1767" cm="1">
        <f t="array" ref="N1767">_xlfn.XLOOKUP(TEXT(A1767, "mmm-yy"), TEXT([2]RUNS!$B$5:$B$208, "mmm-yy"), [2]RUNS!$BM$5:$BM$208, "Not Found")</f>
        <v>0.80547814092394432</v>
      </c>
    </row>
    <row r="1768" spans="1:14" x14ac:dyDescent="0.25">
      <c r="A1768" s="1">
        <f>'[1]Global_Spot Prices'!$B3077</f>
        <v>44477</v>
      </c>
      <c r="B1768">
        <f>_xlfn.XLOOKUP(A1768,'[1]Global_Spot Prices'!$B:$B,'[1]Global_Spot Prices'!$BS:$BS)</f>
        <v>11.655000000000001</v>
      </c>
      <c r="C1768">
        <f>_xlfn.XLOOKUP(A1768,'[1]Global_Spot Prices'!$B:$B,'[1]Global_Spot Prices'!$E:$E)</f>
        <v>81.194999999999993</v>
      </c>
      <c r="D1768">
        <f>_xlfn.XLOOKUP(A1768,'[1]Global_Spot Prices'!$B:$B,'[1]Global_Spot Prices'!$D:$D)</f>
        <v>82.974999999999994</v>
      </c>
      <c r="E1768">
        <f>_xlfn.XLOOKUP(A1768,'[1]Global_Spot Prices'!$B:$B,'[1]Global_Spot Prices'!$H:$H)</f>
        <v>83.57</v>
      </c>
      <c r="F1768">
        <f>_xlfn.XLOOKUP(A1768,'[1]Global_Spot Prices'!$B:$B,'[1]Global_Spot Prices'!$I:$I)</f>
        <v>92.85</v>
      </c>
      <c r="G1768" cm="1">
        <f t="array" ref="G1768">_xlfn.XLOOKUP(TEXT(A1768, "mmm-yy"), TEXT([2]RUNS!$B$5:$B$208, "mmm-yy"), [2]RUNS!$D$5:$D$208, "Not Found")</f>
        <v>29046.347239858362</v>
      </c>
      <c r="H1768" cm="1">
        <f t="array" ref="H1768">SUMPRODUCT(
    --(TEXT('[3]Global Weekly Stock (EWSuez'!$B$4:$B$2000,"mmm-yy")=TEXT(A1768,"mmm-yy")),
    '[3]Global Weekly Stock (EWSuez'!$E$4:$E$2000)
/
SUMPRODUCT(
    --(TEXT('[3]Global Weekly Stock (EWSuez'!$B$4:$B$2000,"mmm-yy")=TEXT(A1768,"mmm-yy"))
)</f>
        <v>11615.4</v>
      </c>
      <c r="I1768">
        <f>_xlfn.XLOOKUP(A1768,[1]ForwardDeriv!$D:$D,[1]ForwardDeriv!$AJ:$AJ)</f>
        <v>1.5799999999999983</v>
      </c>
      <c r="J1768" cm="1">
        <f t="array" ref="J1768">_xlfn.XLOOKUP(TEXT(A1768, "mmm-yy"), TEXT([2]GASOLINE!$B$5:$B$208, "mmm-yy"), [2]GASOLINE!$IR$5:$IR$208, "Not Found")</f>
        <v>-16.114878308389564</v>
      </c>
      <c r="K1768" cm="1">
        <f t="array" ref="K1768">_xlfn.XLOOKUP(TEXT(A1768, "mmm-yy"), TEXT([2]GASOLINE!$B$5:$B$208, "mmm-yy"), [2]GASOLINE!$IK$5:$IK$208, "Not Found")</f>
        <v>160.09153708991747</v>
      </c>
      <c r="L1768">
        <f t="shared" si="27"/>
        <v>0</v>
      </c>
      <c r="M1768" cm="1">
        <f t="array" ref="M1768">_xlfn.XLOOKUP(TEXT(A1768, "mmm-yy"), TEXT([2]GASOLINE!$B$5:$B$208, "mmm-yy"), [2]GASOLINE!$C$5:$C$208, "Not Found")</f>
        <v>7307.948908302219</v>
      </c>
      <c r="N1768" cm="1">
        <f t="array" ref="N1768">_xlfn.XLOOKUP(TEXT(A1768, "mmm-yy"), TEXT([2]RUNS!$B$5:$B$208, "mmm-yy"), [2]RUNS!$BM$5:$BM$208, "Not Found")</f>
        <v>0.80547814092394432</v>
      </c>
    </row>
    <row r="1769" spans="1:14" x14ac:dyDescent="0.25">
      <c r="A1769" s="1">
        <f>'[1]Global_Spot Prices'!$B3078</f>
        <v>44480</v>
      </c>
      <c r="B1769">
        <f>_xlfn.XLOOKUP(A1769,'[1]Global_Spot Prices'!$B:$B,'[1]Global_Spot Prices'!$BS:$BS)</f>
        <v>12.824999999999989</v>
      </c>
      <c r="C1769">
        <f>_xlfn.XLOOKUP(A1769,'[1]Global_Spot Prices'!$B:$B,'[1]Global_Spot Prices'!$E:$E)</f>
        <v>81.995000000000005</v>
      </c>
      <c r="D1769">
        <f>_xlfn.XLOOKUP(A1769,'[1]Global_Spot Prices'!$B:$B,'[1]Global_Spot Prices'!$D:$D)</f>
        <v>84.43</v>
      </c>
      <c r="E1769">
        <f>_xlfn.XLOOKUP(A1769,'[1]Global_Spot Prices'!$B:$B,'[1]Global_Spot Prices'!$H:$H)</f>
        <v>84.48</v>
      </c>
      <c r="F1769">
        <f>_xlfn.XLOOKUP(A1769,'[1]Global_Spot Prices'!$B:$B,'[1]Global_Spot Prices'!$I:$I)</f>
        <v>94.82</v>
      </c>
      <c r="G1769" cm="1">
        <f t="array" ref="G1769">_xlfn.XLOOKUP(TEXT(A1769, "mmm-yy"), TEXT([2]RUNS!$B$5:$B$208, "mmm-yy"), [2]RUNS!$D$5:$D$208, "Not Found")</f>
        <v>29046.347239858362</v>
      </c>
      <c r="H1769" cm="1">
        <f t="array" ref="H1769">SUMPRODUCT(
    --(TEXT('[3]Global Weekly Stock (EWSuez'!$B$4:$B$2000,"mmm-yy")=TEXT(A1769,"mmm-yy")),
    '[3]Global Weekly Stock (EWSuez'!$E$4:$E$2000)
/
SUMPRODUCT(
    --(TEXT('[3]Global Weekly Stock (EWSuez'!$B$4:$B$2000,"mmm-yy")=TEXT(A1769,"mmm-yy"))
)</f>
        <v>11615.4</v>
      </c>
      <c r="I1769">
        <f>_xlfn.XLOOKUP(A1769,[1]ForwardDeriv!$D:$D,[1]ForwardDeriv!$AJ:$AJ)</f>
        <v>1.8200000000000074</v>
      </c>
      <c r="J1769" cm="1">
        <f t="array" ref="J1769">_xlfn.XLOOKUP(TEXT(A1769, "mmm-yy"), TEXT([2]GASOLINE!$B$5:$B$208, "mmm-yy"), [2]GASOLINE!$IR$5:$IR$208, "Not Found")</f>
        <v>-16.114878308389564</v>
      </c>
      <c r="K1769" cm="1">
        <f t="array" ref="K1769">_xlfn.XLOOKUP(TEXT(A1769, "mmm-yy"), TEXT([2]GASOLINE!$B$5:$B$208, "mmm-yy"), [2]GASOLINE!$IK$5:$IK$208, "Not Found")</f>
        <v>160.09153708991747</v>
      </c>
      <c r="L1769">
        <f t="shared" si="27"/>
        <v>0</v>
      </c>
      <c r="M1769" cm="1">
        <f t="array" ref="M1769">_xlfn.XLOOKUP(TEXT(A1769, "mmm-yy"), TEXT([2]GASOLINE!$B$5:$B$208, "mmm-yy"), [2]GASOLINE!$C$5:$C$208, "Not Found")</f>
        <v>7307.948908302219</v>
      </c>
      <c r="N1769" cm="1">
        <f t="array" ref="N1769">_xlfn.XLOOKUP(TEXT(A1769, "mmm-yy"), TEXT([2]RUNS!$B$5:$B$208, "mmm-yy"), [2]RUNS!$BM$5:$BM$208, "Not Found")</f>
        <v>0.80547814092394432</v>
      </c>
    </row>
    <row r="1770" spans="1:14" x14ac:dyDescent="0.25">
      <c r="A1770" s="1">
        <f>'[1]Global_Spot Prices'!$B3079</f>
        <v>44481</v>
      </c>
      <c r="B1770">
        <f>_xlfn.XLOOKUP(A1770,'[1]Global_Spot Prices'!$B:$B,'[1]Global_Spot Prices'!$BS:$BS)</f>
        <v>12.450000000000003</v>
      </c>
      <c r="C1770">
        <f>_xlfn.XLOOKUP(A1770,'[1]Global_Spot Prices'!$B:$B,'[1]Global_Spot Prices'!$E:$E)</f>
        <v>82.05</v>
      </c>
      <c r="D1770">
        <f>_xlfn.XLOOKUP(A1770,'[1]Global_Spot Prices'!$B:$B,'[1]Global_Spot Prices'!$D:$D)</f>
        <v>83.64</v>
      </c>
      <c r="E1770">
        <f ca="1">_xlfn.XLOOKUP(A1770,'[1]Global_Spot Prices'!$B:$B,'[1]Global_Spot Prices'!$H:$H)</f>
        <v>84.35</v>
      </c>
      <c r="F1770">
        <f>_xlfn.XLOOKUP(A1770,'[1]Global_Spot Prices'!$B:$B,'[1]Global_Spot Prices'!$I:$I)</f>
        <v>94.5</v>
      </c>
      <c r="G1770" cm="1">
        <f t="array" ref="G1770">_xlfn.XLOOKUP(TEXT(A1770, "mmm-yy"), TEXT([2]RUNS!$B$5:$B$208, "mmm-yy"), [2]RUNS!$D$5:$D$208, "Not Found")</f>
        <v>29046.347239858362</v>
      </c>
      <c r="H1770" cm="1">
        <f t="array" ref="H1770">SUMPRODUCT(
    --(TEXT('[3]Global Weekly Stock (EWSuez'!$B$4:$B$2000,"mmm-yy")=TEXT(A1770,"mmm-yy")),
    '[3]Global Weekly Stock (EWSuez'!$E$4:$E$2000)
/
SUMPRODUCT(
    --(TEXT('[3]Global Weekly Stock (EWSuez'!$B$4:$B$2000,"mmm-yy")=TEXT(A1770,"mmm-yy"))
)</f>
        <v>11615.4</v>
      </c>
      <c r="I1770">
        <f>_xlfn.XLOOKUP(A1770,[1]ForwardDeriv!$D:$D,[1]ForwardDeriv!$AJ:$AJ)</f>
        <v>1.7900000000000063</v>
      </c>
      <c r="J1770" cm="1">
        <f t="array" ref="J1770">_xlfn.XLOOKUP(TEXT(A1770, "mmm-yy"), TEXT([2]GASOLINE!$B$5:$B$208, "mmm-yy"), [2]GASOLINE!$IR$5:$IR$208, "Not Found")</f>
        <v>-16.114878308389564</v>
      </c>
      <c r="K1770" cm="1">
        <f t="array" ref="K1770">_xlfn.XLOOKUP(TEXT(A1770, "mmm-yy"), TEXT([2]GASOLINE!$B$5:$B$208, "mmm-yy"), [2]GASOLINE!$IK$5:$IK$208, "Not Found")</f>
        <v>160.09153708991747</v>
      </c>
      <c r="L1770">
        <f t="shared" si="27"/>
        <v>0</v>
      </c>
      <c r="M1770" cm="1">
        <f t="array" ref="M1770">_xlfn.XLOOKUP(TEXT(A1770, "mmm-yy"), TEXT([2]GASOLINE!$B$5:$B$208, "mmm-yy"), [2]GASOLINE!$C$5:$C$208, "Not Found")</f>
        <v>7307.948908302219</v>
      </c>
      <c r="N1770" cm="1">
        <f t="array" ref="N1770">_xlfn.XLOOKUP(TEXT(A1770, "mmm-yy"), TEXT([2]RUNS!$B$5:$B$208, "mmm-yy"), [2]RUNS!$BM$5:$BM$208, "Not Found")</f>
        <v>0.80547814092394432</v>
      </c>
    </row>
    <row r="1771" spans="1:14" x14ac:dyDescent="0.25">
      <c r="A1771" s="1">
        <f>'[1]Global_Spot Prices'!$B3080</f>
        <v>44482</v>
      </c>
      <c r="B1771">
        <f>_xlfn.XLOOKUP(A1771,'[1]Global_Spot Prices'!$B:$B,'[1]Global_Spot Prices'!$BS:$BS)</f>
        <v>12.61999999999999</v>
      </c>
      <c r="C1771">
        <f ca="1">_xlfn.XLOOKUP(A1771,'[1]Global_Spot Prices'!$B:$B,'[1]Global_Spot Prices'!$E:$E)</f>
        <v>81.400000000000006</v>
      </c>
      <c r="D1771">
        <f>_xlfn.XLOOKUP(A1771,'[1]Global_Spot Prices'!$B:$B,'[1]Global_Spot Prices'!$D:$D)</f>
        <v>83.325000000000003</v>
      </c>
      <c r="E1771">
        <f>_xlfn.XLOOKUP(A1771,'[1]Global_Spot Prices'!$B:$B,'[1]Global_Spot Prices'!$H:$H)</f>
        <v>83.76</v>
      </c>
      <c r="F1771">
        <f>_xlfn.XLOOKUP(A1771,'[1]Global_Spot Prices'!$B:$B,'[1]Global_Spot Prices'!$I:$I)</f>
        <v>94.02</v>
      </c>
      <c r="G1771" cm="1">
        <f t="array" ref="G1771">_xlfn.XLOOKUP(TEXT(A1771, "mmm-yy"), TEXT([2]RUNS!$B$5:$B$208, "mmm-yy"), [2]RUNS!$D$5:$D$208, "Not Found")</f>
        <v>29046.347239858362</v>
      </c>
      <c r="H1771" cm="1">
        <f t="array" ref="H1771">SUMPRODUCT(
    --(TEXT('[3]Global Weekly Stock (EWSuez'!$B$4:$B$2000,"mmm-yy")=TEXT(A1771,"mmm-yy")),
    '[3]Global Weekly Stock (EWSuez'!$E$4:$E$2000)
/
SUMPRODUCT(
    --(TEXT('[3]Global Weekly Stock (EWSuez'!$B$4:$B$2000,"mmm-yy")=TEXT(A1771,"mmm-yy"))
)</f>
        <v>11615.4</v>
      </c>
      <c r="I1771">
        <f>_xlfn.XLOOKUP(A1771,[1]ForwardDeriv!$D:$D,[1]ForwardDeriv!$AJ:$AJ)</f>
        <v>1.7599999999999909</v>
      </c>
      <c r="J1771" cm="1">
        <f t="array" ref="J1771">_xlfn.XLOOKUP(TEXT(A1771, "mmm-yy"), TEXT([2]GASOLINE!$B$5:$B$208, "mmm-yy"), [2]GASOLINE!$IR$5:$IR$208, "Not Found")</f>
        <v>-16.114878308389564</v>
      </c>
      <c r="K1771" cm="1">
        <f t="array" ref="K1771">_xlfn.XLOOKUP(TEXT(A1771, "mmm-yy"), TEXT([2]GASOLINE!$B$5:$B$208, "mmm-yy"), [2]GASOLINE!$IK$5:$IK$208, "Not Found")</f>
        <v>160.09153708991747</v>
      </c>
      <c r="L1771">
        <f t="shared" si="27"/>
        <v>0</v>
      </c>
      <c r="M1771" cm="1">
        <f t="array" ref="M1771">_xlfn.XLOOKUP(TEXT(A1771, "mmm-yy"), TEXT([2]GASOLINE!$B$5:$B$208, "mmm-yy"), [2]GASOLINE!$C$5:$C$208, "Not Found")</f>
        <v>7307.948908302219</v>
      </c>
      <c r="N1771" cm="1">
        <f t="array" ref="N1771">_xlfn.XLOOKUP(TEXT(A1771, "mmm-yy"), TEXT([2]RUNS!$B$5:$B$208, "mmm-yy"), [2]RUNS!$BM$5:$BM$208, "Not Found")</f>
        <v>0.80547814092394432</v>
      </c>
    </row>
    <row r="1772" spans="1:14" x14ac:dyDescent="0.25">
      <c r="A1772" s="1">
        <f>'[1]Global_Spot Prices'!$B3081</f>
        <v>44483</v>
      </c>
      <c r="B1772">
        <f>_xlfn.XLOOKUP(A1772,'[1]Global_Spot Prices'!$B:$B,'[1]Global_Spot Prices'!$BS:$BS)</f>
        <v>14.090000000000003</v>
      </c>
      <c r="C1772">
        <f ca="1">_xlfn.XLOOKUP(A1772,'[1]Global_Spot Prices'!$B:$B,'[1]Global_Spot Prices'!$E:$E)</f>
        <v>82.25</v>
      </c>
      <c r="D1772">
        <f>_xlfn.XLOOKUP(A1772,'[1]Global_Spot Prices'!$B:$B,'[1]Global_Spot Prices'!$D:$D)</f>
        <v>83.334999999999994</v>
      </c>
      <c r="E1772">
        <f>_xlfn.XLOOKUP(A1772,'[1]Global_Spot Prices'!$B:$B,'[1]Global_Spot Prices'!$H:$H)</f>
        <v>84.93</v>
      </c>
      <c r="F1772">
        <f>_xlfn.XLOOKUP(A1772,'[1]Global_Spot Prices'!$B:$B,'[1]Global_Spot Prices'!$I:$I)</f>
        <v>96.34</v>
      </c>
      <c r="G1772" cm="1">
        <f t="array" ref="G1772">_xlfn.XLOOKUP(TEXT(A1772, "mmm-yy"), TEXT([2]RUNS!$B$5:$B$208, "mmm-yy"), [2]RUNS!$D$5:$D$208, "Not Found")</f>
        <v>29046.347239858362</v>
      </c>
      <c r="H1772" cm="1">
        <f t="array" ref="H1772">SUMPRODUCT(
    --(TEXT('[3]Global Weekly Stock (EWSuez'!$B$4:$B$2000,"mmm-yy")=TEXT(A1772,"mmm-yy")),
    '[3]Global Weekly Stock (EWSuez'!$E$4:$E$2000)
/
SUMPRODUCT(
    --(TEXT('[3]Global Weekly Stock (EWSuez'!$B$4:$B$2000,"mmm-yy")=TEXT(A1772,"mmm-yy"))
)</f>
        <v>11615.4</v>
      </c>
      <c r="I1772">
        <f>_xlfn.XLOOKUP(A1772,[1]ForwardDeriv!$D:$D,[1]ForwardDeriv!$AJ:$AJ)</f>
        <v>1.8799999999999955</v>
      </c>
      <c r="J1772" cm="1">
        <f t="array" ref="J1772">_xlfn.XLOOKUP(TEXT(A1772, "mmm-yy"), TEXT([2]GASOLINE!$B$5:$B$208, "mmm-yy"), [2]GASOLINE!$IR$5:$IR$208, "Not Found")</f>
        <v>-16.114878308389564</v>
      </c>
      <c r="K1772" cm="1">
        <f t="array" ref="K1772">_xlfn.XLOOKUP(TEXT(A1772, "mmm-yy"), TEXT([2]GASOLINE!$B$5:$B$208, "mmm-yy"), [2]GASOLINE!$IK$5:$IK$208, "Not Found")</f>
        <v>160.09153708991747</v>
      </c>
      <c r="L1772">
        <f t="shared" si="27"/>
        <v>0</v>
      </c>
      <c r="M1772" cm="1">
        <f t="array" ref="M1772">_xlfn.XLOOKUP(TEXT(A1772, "mmm-yy"), TEXT([2]GASOLINE!$B$5:$B$208, "mmm-yy"), [2]GASOLINE!$C$5:$C$208, "Not Found")</f>
        <v>7307.948908302219</v>
      </c>
      <c r="N1772" cm="1">
        <f t="array" ref="N1772">_xlfn.XLOOKUP(TEXT(A1772, "mmm-yy"), TEXT([2]RUNS!$B$5:$B$208, "mmm-yy"), [2]RUNS!$BM$5:$BM$208, "Not Found")</f>
        <v>0.80547814092394432</v>
      </c>
    </row>
    <row r="1773" spans="1:14" x14ac:dyDescent="0.25">
      <c r="A1773" s="1">
        <f>'[1]Global_Spot Prices'!$B3082</f>
        <v>44484</v>
      </c>
      <c r="B1773">
        <f>_xlfn.XLOOKUP(A1773,'[1]Global_Spot Prices'!$B:$B,'[1]Global_Spot Prices'!$BS:$BS)</f>
        <v>14.134999999999991</v>
      </c>
      <c r="C1773">
        <f>_xlfn.XLOOKUP(A1773,'[1]Global_Spot Prices'!$B:$B,'[1]Global_Spot Prices'!$E:$E)</f>
        <v>82.995000000000005</v>
      </c>
      <c r="D1773">
        <f>_xlfn.XLOOKUP(A1773,'[1]Global_Spot Prices'!$B:$B,'[1]Global_Spot Prices'!$D:$D)</f>
        <v>84.96</v>
      </c>
      <c r="E1773">
        <f>_xlfn.XLOOKUP(A1773,'[1]Global_Spot Prices'!$B:$B,'[1]Global_Spot Prices'!$H:$H)</f>
        <v>85.6</v>
      </c>
      <c r="F1773">
        <f>_xlfn.XLOOKUP(A1773,'[1]Global_Spot Prices'!$B:$B,'[1]Global_Spot Prices'!$I:$I)</f>
        <v>97.13</v>
      </c>
      <c r="G1773" cm="1">
        <f t="array" ref="G1773">_xlfn.XLOOKUP(TEXT(A1773, "mmm-yy"), TEXT([2]RUNS!$B$5:$B$208, "mmm-yy"), [2]RUNS!$D$5:$D$208, "Not Found")</f>
        <v>29046.347239858362</v>
      </c>
      <c r="H1773" cm="1">
        <f t="array" ref="H1773">SUMPRODUCT(
    --(TEXT('[3]Global Weekly Stock (EWSuez'!$B$4:$B$2000,"mmm-yy")=TEXT(A1773,"mmm-yy")),
    '[3]Global Weekly Stock (EWSuez'!$E$4:$E$2000)
/
SUMPRODUCT(
    --(TEXT('[3]Global Weekly Stock (EWSuez'!$B$4:$B$2000,"mmm-yy")=TEXT(A1773,"mmm-yy"))
)</f>
        <v>11615.4</v>
      </c>
      <c r="I1773">
        <f>_xlfn.XLOOKUP(A1773,[1]ForwardDeriv!$D:$D,[1]ForwardDeriv!$AJ:$AJ)</f>
        <v>2</v>
      </c>
      <c r="J1773" cm="1">
        <f t="array" ref="J1773">_xlfn.XLOOKUP(TEXT(A1773, "mmm-yy"), TEXT([2]GASOLINE!$B$5:$B$208, "mmm-yy"), [2]GASOLINE!$IR$5:$IR$208, "Not Found")</f>
        <v>-16.114878308389564</v>
      </c>
      <c r="K1773" cm="1">
        <f t="array" ref="K1773">_xlfn.XLOOKUP(TEXT(A1773, "mmm-yy"), TEXT([2]GASOLINE!$B$5:$B$208, "mmm-yy"), [2]GASOLINE!$IK$5:$IK$208, "Not Found")</f>
        <v>160.09153708991747</v>
      </c>
      <c r="L1773">
        <f t="shared" si="27"/>
        <v>0</v>
      </c>
      <c r="M1773" cm="1">
        <f t="array" ref="M1773">_xlfn.XLOOKUP(TEXT(A1773, "mmm-yy"), TEXT([2]GASOLINE!$B$5:$B$208, "mmm-yy"), [2]GASOLINE!$C$5:$C$208, "Not Found")</f>
        <v>7307.948908302219</v>
      </c>
      <c r="N1773" cm="1">
        <f t="array" ref="N1773">_xlfn.XLOOKUP(TEXT(A1773, "mmm-yy"), TEXT([2]RUNS!$B$5:$B$208, "mmm-yy"), [2]RUNS!$BM$5:$BM$208, "Not Found")</f>
        <v>0.80547814092394432</v>
      </c>
    </row>
    <row r="1774" spans="1:14" x14ac:dyDescent="0.25">
      <c r="A1774" s="1">
        <f>'[1]Global_Spot Prices'!$B3083</f>
        <v>44487</v>
      </c>
      <c r="B1774">
        <f>_xlfn.XLOOKUP(A1774,'[1]Global_Spot Prices'!$B:$B,'[1]Global_Spot Prices'!$BS:$BS)</f>
        <v>14.450000000000003</v>
      </c>
      <c r="C1774">
        <f>_xlfn.XLOOKUP(A1774,'[1]Global_Spot Prices'!$B:$B,'[1]Global_Spot Prices'!$E:$E)</f>
        <v>83.86</v>
      </c>
      <c r="D1774">
        <f>_xlfn.XLOOKUP(A1774,'[1]Global_Spot Prices'!$B:$B,'[1]Global_Spot Prices'!$D:$D)</f>
        <v>84.63</v>
      </c>
      <c r="E1774">
        <f>_xlfn.XLOOKUP(A1774,'[1]Global_Spot Prices'!$B:$B,'[1]Global_Spot Prices'!$H:$H)</f>
        <v>86.48</v>
      </c>
      <c r="F1774">
        <f>_xlfn.XLOOKUP(A1774,'[1]Global_Spot Prices'!$B:$B,'[1]Global_Spot Prices'!$I:$I)</f>
        <v>98.31</v>
      </c>
      <c r="G1774" cm="1">
        <f t="array" ref="G1774">_xlfn.XLOOKUP(TEXT(A1774, "mmm-yy"), TEXT([2]RUNS!$B$5:$B$208, "mmm-yy"), [2]RUNS!$D$5:$D$208, "Not Found")</f>
        <v>29046.347239858362</v>
      </c>
      <c r="H1774" cm="1">
        <f t="array" ref="H1774">SUMPRODUCT(
    --(TEXT('[3]Global Weekly Stock (EWSuez'!$B$4:$B$2000,"mmm-yy")=TEXT(A1774,"mmm-yy")),
    '[3]Global Weekly Stock (EWSuez'!$E$4:$E$2000)
/
SUMPRODUCT(
    --(TEXT('[3]Global Weekly Stock (EWSuez'!$B$4:$B$2000,"mmm-yy")=TEXT(A1774,"mmm-yy"))
)</f>
        <v>11615.4</v>
      </c>
      <c r="I1774">
        <f>_xlfn.XLOOKUP(A1774,[1]ForwardDeriv!$D:$D,[1]ForwardDeriv!$AJ:$AJ)</f>
        <v>2.1500000000000057</v>
      </c>
      <c r="J1774" cm="1">
        <f t="array" ref="J1774">_xlfn.XLOOKUP(TEXT(A1774, "mmm-yy"), TEXT([2]GASOLINE!$B$5:$B$208, "mmm-yy"), [2]GASOLINE!$IR$5:$IR$208, "Not Found")</f>
        <v>-16.114878308389564</v>
      </c>
      <c r="K1774" cm="1">
        <f t="array" ref="K1774">_xlfn.XLOOKUP(TEXT(A1774, "mmm-yy"), TEXT([2]GASOLINE!$B$5:$B$208, "mmm-yy"), [2]GASOLINE!$IK$5:$IK$208, "Not Found")</f>
        <v>160.09153708991747</v>
      </c>
      <c r="L1774">
        <f t="shared" si="27"/>
        <v>0</v>
      </c>
      <c r="M1774" cm="1">
        <f t="array" ref="M1774">_xlfn.XLOOKUP(TEXT(A1774, "mmm-yy"), TEXT([2]GASOLINE!$B$5:$B$208, "mmm-yy"), [2]GASOLINE!$C$5:$C$208, "Not Found")</f>
        <v>7307.948908302219</v>
      </c>
      <c r="N1774" cm="1">
        <f t="array" ref="N1774">_xlfn.XLOOKUP(TEXT(A1774, "mmm-yy"), TEXT([2]RUNS!$B$5:$B$208, "mmm-yy"), [2]RUNS!$BM$5:$BM$208, "Not Found")</f>
        <v>0.80547814092394432</v>
      </c>
    </row>
    <row r="1775" spans="1:14" x14ac:dyDescent="0.25">
      <c r="A1775" s="1">
        <f>'[1]Global_Spot Prices'!$B3084</f>
        <v>44488</v>
      </c>
      <c r="B1775">
        <f>_xlfn.XLOOKUP(A1775,'[1]Global_Spot Prices'!$B:$B,'[1]Global_Spot Prices'!$BS:$BS)</f>
        <v>14.800000000000011</v>
      </c>
      <c r="C1775">
        <f>_xlfn.XLOOKUP(A1775,'[1]Global_Spot Prices'!$B:$B,'[1]Global_Spot Prices'!$E:$E)</f>
        <v>82.99</v>
      </c>
      <c r="D1775">
        <f>_xlfn.XLOOKUP(A1775,'[1]Global_Spot Prices'!$B:$B,'[1]Global_Spot Prices'!$D:$D)</f>
        <v>85.03</v>
      </c>
      <c r="E1775">
        <f ca="1">_xlfn.XLOOKUP(A1775,'[1]Global_Spot Prices'!$B:$B,'[1]Global_Spot Prices'!$H:$H)</f>
        <v>85.35</v>
      </c>
      <c r="F1775">
        <f>_xlfn.XLOOKUP(A1775,'[1]Global_Spot Prices'!$B:$B,'[1]Global_Spot Prices'!$I:$I)</f>
        <v>97.79</v>
      </c>
      <c r="G1775" cm="1">
        <f t="array" ref="G1775">_xlfn.XLOOKUP(TEXT(A1775, "mmm-yy"), TEXT([2]RUNS!$B$5:$B$208, "mmm-yy"), [2]RUNS!$D$5:$D$208, "Not Found")</f>
        <v>29046.347239858362</v>
      </c>
      <c r="H1775" cm="1">
        <f t="array" ref="H1775">SUMPRODUCT(
    --(TEXT('[3]Global Weekly Stock (EWSuez'!$B$4:$B$2000,"mmm-yy")=TEXT(A1775,"mmm-yy")),
    '[3]Global Weekly Stock (EWSuez'!$E$4:$E$2000)
/
SUMPRODUCT(
    --(TEXT('[3]Global Weekly Stock (EWSuez'!$B$4:$B$2000,"mmm-yy")=TEXT(A1775,"mmm-yy"))
)</f>
        <v>11615.4</v>
      </c>
      <c r="I1775">
        <f>_xlfn.XLOOKUP(A1775,[1]ForwardDeriv!$D:$D,[1]ForwardDeriv!$AJ:$AJ)</f>
        <v>2.3200000000000074</v>
      </c>
      <c r="J1775" cm="1">
        <f t="array" ref="J1775">_xlfn.XLOOKUP(TEXT(A1775, "mmm-yy"), TEXT([2]GASOLINE!$B$5:$B$208, "mmm-yy"), [2]GASOLINE!$IR$5:$IR$208, "Not Found")</f>
        <v>-16.114878308389564</v>
      </c>
      <c r="K1775" cm="1">
        <f t="array" ref="K1775">_xlfn.XLOOKUP(TEXT(A1775, "mmm-yy"), TEXT([2]GASOLINE!$B$5:$B$208, "mmm-yy"), [2]GASOLINE!$IK$5:$IK$208, "Not Found")</f>
        <v>160.09153708991747</v>
      </c>
      <c r="L1775">
        <f t="shared" si="27"/>
        <v>0</v>
      </c>
      <c r="M1775" cm="1">
        <f t="array" ref="M1775">_xlfn.XLOOKUP(TEXT(A1775, "mmm-yy"), TEXT([2]GASOLINE!$B$5:$B$208, "mmm-yy"), [2]GASOLINE!$C$5:$C$208, "Not Found")</f>
        <v>7307.948908302219</v>
      </c>
      <c r="N1775" cm="1">
        <f t="array" ref="N1775">_xlfn.XLOOKUP(TEXT(A1775, "mmm-yy"), TEXT([2]RUNS!$B$5:$B$208, "mmm-yy"), [2]RUNS!$BM$5:$BM$208, "Not Found")</f>
        <v>0.80547814092394432</v>
      </c>
    </row>
    <row r="1776" spans="1:14" x14ac:dyDescent="0.25">
      <c r="A1776" s="1">
        <f>'[1]Global_Spot Prices'!$B3085</f>
        <v>44489</v>
      </c>
      <c r="B1776">
        <f ca="1">_xlfn.XLOOKUP(A1776,'[1]Global_Spot Prices'!$B:$B,'[1]Global_Spot Prices'!$BS:$BS)</f>
        <v>13.819999999999993</v>
      </c>
      <c r="C1776">
        <f>_xlfn.XLOOKUP(A1776,'[1]Global_Spot Prices'!$B:$B,'[1]Global_Spot Prices'!$E:$E)</f>
        <v>82.54</v>
      </c>
      <c r="D1776">
        <f>_xlfn.XLOOKUP(A1776,'[1]Global_Spot Prices'!$B:$B,'[1]Global_Spot Prices'!$D:$D)</f>
        <v>85.12</v>
      </c>
      <c r="E1776">
        <f>_xlfn.XLOOKUP(A1776,'[1]Global_Spot Prices'!$B:$B,'[1]Global_Spot Prices'!$H:$H)</f>
        <v>84.65</v>
      </c>
      <c r="F1776">
        <f>_xlfn.XLOOKUP(A1776,'[1]Global_Spot Prices'!$B:$B,'[1]Global_Spot Prices'!$I:$I)</f>
        <v>96.36</v>
      </c>
      <c r="G1776" cm="1">
        <f t="array" ref="G1776">_xlfn.XLOOKUP(TEXT(A1776, "mmm-yy"), TEXT([2]RUNS!$B$5:$B$208, "mmm-yy"), [2]RUNS!$D$5:$D$208, "Not Found")</f>
        <v>29046.347239858362</v>
      </c>
      <c r="H1776" cm="1">
        <f t="array" ref="H1776">SUMPRODUCT(
    --(TEXT('[3]Global Weekly Stock (EWSuez'!$B$4:$B$2000,"mmm-yy")=TEXT(A1776,"mmm-yy")),
    '[3]Global Weekly Stock (EWSuez'!$E$4:$E$2000)
/
SUMPRODUCT(
    --(TEXT('[3]Global Weekly Stock (EWSuez'!$B$4:$B$2000,"mmm-yy")=TEXT(A1776,"mmm-yy"))
)</f>
        <v>11615.4</v>
      </c>
      <c r="I1776">
        <f>_xlfn.XLOOKUP(A1776,[1]ForwardDeriv!$D:$D,[1]ForwardDeriv!$AJ:$AJ)</f>
        <v>2.2400000000000091</v>
      </c>
      <c r="J1776" cm="1">
        <f t="array" ref="J1776">_xlfn.XLOOKUP(TEXT(A1776, "mmm-yy"), TEXT([2]GASOLINE!$B$5:$B$208, "mmm-yy"), [2]GASOLINE!$IR$5:$IR$208, "Not Found")</f>
        <v>-16.114878308389564</v>
      </c>
      <c r="K1776" cm="1">
        <f t="array" ref="K1776">_xlfn.XLOOKUP(TEXT(A1776, "mmm-yy"), TEXT([2]GASOLINE!$B$5:$B$208, "mmm-yy"), [2]GASOLINE!$IK$5:$IK$208, "Not Found")</f>
        <v>160.09153708991747</v>
      </c>
      <c r="L1776">
        <f t="shared" si="27"/>
        <v>0</v>
      </c>
      <c r="M1776" cm="1">
        <f t="array" ref="M1776">_xlfn.XLOOKUP(TEXT(A1776, "mmm-yy"), TEXT([2]GASOLINE!$B$5:$B$208, "mmm-yy"), [2]GASOLINE!$C$5:$C$208, "Not Found")</f>
        <v>7307.948908302219</v>
      </c>
      <c r="N1776" cm="1">
        <f t="array" ref="N1776">_xlfn.XLOOKUP(TEXT(A1776, "mmm-yy"), TEXT([2]RUNS!$B$5:$B$208, "mmm-yy"), [2]RUNS!$BM$5:$BM$208, "Not Found")</f>
        <v>0.80547814092394432</v>
      </c>
    </row>
    <row r="1777" spans="1:14" x14ac:dyDescent="0.25">
      <c r="A1777" s="1">
        <f>'[1]Global_Spot Prices'!$B3086</f>
        <v>44490</v>
      </c>
      <c r="B1777">
        <f>_xlfn.XLOOKUP(A1777,'[1]Global_Spot Prices'!$B:$B,'[1]Global_Spot Prices'!$BS:$BS)</f>
        <v>16.27000000000001</v>
      </c>
      <c r="C1777">
        <f>_xlfn.XLOOKUP(A1777,'[1]Global_Spot Prices'!$B:$B,'[1]Global_Spot Prices'!$E:$E)</f>
        <v>83.1</v>
      </c>
      <c r="D1777">
        <f>_xlfn.XLOOKUP(A1777,'[1]Global_Spot Prices'!$B:$B,'[1]Global_Spot Prices'!$D:$D)</f>
        <v>83.7</v>
      </c>
      <c r="E1777">
        <f>_xlfn.XLOOKUP(A1777,'[1]Global_Spot Prices'!$B:$B,'[1]Global_Spot Prices'!$H:$H)</f>
        <v>85.31</v>
      </c>
      <c r="F1777">
        <f>_xlfn.XLOOKUP(A1777,'[1]Global_Spot Prices'!$B:$B,'[1]Global_Spot Prices'!$I:$I)</f>
        <v>99.37</v>
      </c>
      <c r="G1777" cm="1">
        <f t="array" ref="G1777">_xlfn.XLOOKUP(TEXT(A1777, "mmm-yy"), TEXT([2]RUNS!$B$5:$B$208, "mmm-yy"), [2]RUNS!$D$5:$D$208, "Not Found")</f>
        <v>29046.347239858362</v>
      </c>
      <c r="H1777" cm="1">
        <f t="array" ref="H1777">SUMPRODUCT(
    --(TEXT('[3]Global Weekly Stock (EWSuez'!$B$4:$B$2000,"mmm-yy")=TEXT(A1777,"mmm-yy")),
    '[3]Global Weekly Stock (EWSuez'!$E$4:$E$2000)
/
SUMPRODUCT(
    --(TEXT('[3]Global Weekly Stock (EWSuez'!$B$4:$B$2000,"mmm-yy")=TEXT(A1777,"mmm-yy"))
)</f>
        <v>11615.4</v>
      </c>
      <c r="I1777">
        <f>_xlfn.XLOOKUP(A1777,[1]ForwardDeriv!$D:$D,[1]ForwardDeriv!$AJ:$AJ)</f>
        <v>2.3199999999999932</v>
      </c>
      <c r="J1777" cm="1">
        <f t="array" ref="J1777">_xlfn.XLOOKUP(TEXT(A1777, "mmm-yy"), TEXT([2]GASOLINE!$B$5:$B$208, "mmm-yy"), [2]GASOLINE!$IR$5:$IR$208, "Not Found")</f>
        <v>-16.114878308389564</v>
      </c>
      <c r="K1777" cm="1">
        <f t="array" ref="K1777">_xlfn.XLOOKUP(TEXT(A1777, "mmm-yy"), TEXT([2]GASOLINE!$B$5:$B$208, "mmm-yy"), [2]GASOLINE!$IK$5:$IK$208, "Not Found")</f>
        <v>160.09153708991747</v>
      </c>
      <c r="L1777">
        <f t="shared" si="27"/>
        <v>0</v>
      </c>
      <c r="M1777" cm="1">
        <f t="array" ref="M1777">_xlfn.XLOOKUP(TEXT(A1777, "mmm-yy"), TEXT([2]GASOLINE!$B$5:$B$208, "mmm-yy"), [2]GASOLINE!$C$5:$C$208, "Not Found")</f>
        <v>7307.948908302219</v>
      </c>
      <c r="N1777" cm="1">
        <f t="array" ref="N1777">_xlfn.XLOOKUP(TEXT(A1777, "mmm-yy"), TEXT([2]RUNS!$B$5:$B$208, "mmm-yy"), [2]RUNS!$BM$5:$BM$208, "Not Found")</f>
        <v>0.80547814092394432</v>
      </c>
    </row>
    <row r="1778" spans="1:14" x14ac:dyDescent="0.25">
      <c r="A1778" s="1">
        <f>'[1]Global_Spot Prices'!$B3087</f>
        <v>44491</v>
      </c>
      <c r="B1778">
        <f>_xlfn.XLOOKUP(A1778,'[1]Global_Spot Prices'!$B:$B,'[1]Global_Spot Prices'!$BS:$BS)</f>
        <v>16.820000000000007</v>
      </c>
      <c r="C1778">
        <f>_xlfn.XLOOKUP(A1778,'[1]Global_Spot Prices'!$B:$B,'[1]Global_Spot Prices'!$E:$E)</f>
        <v>82.55</v>
      </c>
      <c r="D1778">
        <f>_xlfn.XLOOKUP(A1778,'[1]Global_Spot Prices'!$B:$B,'[1]Global_Spot Prices'!$D:$D)</f>
        <v>84.97</v>
      </c>
      <c r="E1778">
        <f>_xlfn.XLOOKUP(A1778,'[1]Global_Spot Prices'!$B:$B,'[1]Global_Spot Prices'!$H:$H)</f>
        <v>85.76</v>
      </c>
      <c r="F1778">
        <f>_xlfn.XLOOKUP(A1778,'[1]Global_Spot Prices'!$B:$B,'[1]Global_Spot Prices'!$I:$I)</f>
        <v>99.37</v>
      </c>
      <c r="G1778" cm="1">
        <f t="array" ref="G1778">_xlfn.XLOOKUP(TEXT(A1778, "mmm-yy"), TEXT([2]RUNS!$B$5:$B$208, "mmm-yy"), [2]RUNS!$D$5:$D$208, "Not Found")</f>
        <v>29046.347239858362</v>
      </c>
      <c r="H1778" cm="1">
        <f t="array" ref="H1778">SUMPRODUCT(
    --(TEXT('[3]Global Weekly Stock (EWSuez'!$B$4:$B$2000,"mmm-yy")=TEXT(A1778,"mmm-yy")),
    '[3]Global Weekly Stock (EWSuez'!$E$4:$E$2000)
/
SUMPRODUCT(
    --(TEXT('[3]Global Weekly Stock (EWSuez'!$B$4:$B$2000,"mmm-yy")=TEXT(A1778,"mmm-yy"))
)</f>
        <v>11615.4</v>
      </c>
      <c r="I1778">
        <f>_xlfn.XLOOKUP(A1778,[1]ForwardDeriv!$D:$D,[1]ForwardDeriv!$AJ:$AJ)</f>
        <v>2.7599999999999909</v>
      </c>
      <c r="J1778" cm="1">
        <f t="array" ref="J1778">_xlfn.XLOOKUP(TEXT(A1778, "mmm-yy"), TEXT([2]GASOLINE!$B$5:$B$208, "mmm-yy"), [2]GASOLINE!$IR$5:$IR$208, "Not Found")</f>
        <v>-16.114878308389564</v>
      </c>
      <c r="K1778" cm="1">
        <f t="array" ref="K1778">_xlfn.XLOOKUP(TEXT(A1778, "mmm-yy"), TEXT([2]GASOLINE!$B$5:$B$208, "mmm-yy"), [2]GASOLINE!$IK$5:$IK$208, "Not Found")</f>
        <v>160.09153708991747</v>
      </c>
      <c r="L1778">
        <f t="shared" si="27"/>
        <v>0</v>
      </c>
      <c r="M1778" cm="1">
        <f t="array" ref="M1778">_xlfn.XLOOKUP(TEXT(A1778, "mmm-yy"), TEXT([2]GASOLINE!$B$5:$B$208, "mmm-yy"), [2]GASOLINE!$C$5:$C$208, "Not Found")</f>
        <v>7307.948908302219</v>
      </c>
      <c r="N1778" cm="1">
        <f t="array" ref="N1778">_xlfn.XLOOKUP(TEXT(A1778, "mmm-yy"), TEXT([2]RUNS!$B$5:$B$208, "mmm-yy"), [2]RUNS!$BM$5:$BM$208, "Not Found")</f>
        <v>0.80547814092394432</v>
      </c>
    </row>
    <row r="1779" spans="1:14" x14ac:dyDescent="0.25">
      <c r="A1779" s="1">
        <f>'[1]Global_Spot Prices'!$B3088</f>
        <v>44494</v>
      </c>
      <c r="B1779">
        <f>_xlfn.XLOOKUP(A1779,'[1]Global_Spot Prices'!$B:$B,'[1]Global_Spot Prices'!$BS:$BS)</f>
        <v>18.689999999999998</v>
      </c>
      <c r="C1779">
        <f>_xlfn.XLOOKUP(A1779,'[1]Global_Spot Prices'!$B:$B,'[1]Global_Spot Prices'!$E:$E)</f>
        <v>84.34</v>
      </c>
      <c r="D1779">
        <f>_xlfn.XLOOKUP(A1779,'[1]Global_Spot Prices'!$B:$B,'[1]Global_Spot Prices'!$D:$D)</f>
        <v>86.114999999999995</v>
      </c>
      <c r="E1779">
        <f>_xlfn.XLOOKUP(A1779,'[1]Global_Spot Prices'!$B:$B,'[1]Global_Spot Prices'!$H:$H)</f>
        <v>87.67</v>
      </c>
      <c r="F1779">
        <f>_xlfn.XLOOKUP(A1779,'[1]Global_Spot Prices'!$B:$B,'[1]Global_Spot Prices'!$I:$I)</f>
        <v>103.03</v>
      </c>
      <c r="G1779" cm="1">
        <f t="array" ref="G1779">_xlfn.XLOOKUP(TEXT(A1779, "mmm-yy"), TEXT([2]RUNS!$B$5:$B$208, "mmm-yy"), [2]RUNS!$D$5:$D$208, "Not Found")</f>
        <v>29046.347239858362</v>
      </c>
      <c r="H1779" cm="1">
        <f t="array" ref="H1779">SUMPRODUCT(
    --(TEXT('[3]Global Weekly Stock (EWSuez'!$B$4:$B$2000,"mmm-yy")=TEXT(A1779,"mmm-yy")),
    '[3]Global Weekly Stock (EWSuez'!$E$4:$E$2000)
/
SUMPRODUCT(
    --(TEXT('[3]Global Weekly Stock (EWSuez'!$B$4:$B$2000,"mmm-yy")=TEXT(A1779,"mmm-yy"))
)</f>
        <v>11615.4</v>
      </c>
      <c r="I1779">
        <f>_xlfn.XLOOKUP(A1779,[1]ForwardDeriv!$D:$D,[1]ForwardDeriv!$AJ:$AJ)</f>
        <v>3.3599999999999994</v>
      </c>
      <c r="J1779" cm="1">
        <f t="array" ref="J1779">_xlfn.XLOOKUP(TEXT(A1779, "mmm-yy"), TEXT([2]GASOLINE!$B$5:$B$208, "mmm-yy"), [2]GASOLINE!$IR$5:$IR$208, "Not Found")</f>
        <v>-16.114878308389564</v>
      </c>
      <c r="K1779" cm="1">
        <f t="array" ref="K1779">_xlfn.XLOOKUP(TEXT(A1779, "mmm-yy"), TEXT([2]GASOLINE!$B$5:$B$208, "mmm-yy"), [2]GASOLINE!$IK$5:$IK$208, "Not Found")</f>
        <v>160.09153708991747</v>
      </c>
      <c r="L1779">
        <f t="shared" si="27"/>
        <v>0</v>
      </c>
      <c r="M1779" cm="1">
        <f t="array" ref="M1779">_xlfn.XLOOKUP(TEXT(A1779, "mmm-yy"), TEXT([2]GASOLINE!$B$5:$B$208, "mmm-yy"), [2]GASOLINE!$C$5:$C$208, "Not Found")</f>
        <v>7307.948908302219</v>
      </c>
      <c r="N1779" cm="1">
        <f t="array" ref="N1779">_xlfn.XLOOKUP(TEXT(A1779, "mmm-yy"), TEXT([2]RUNS!$B$5:$B$208, "mmm-yy"), [2]RUNS!$BM$5:$BM$208, "Not Found")</f>
        <v>0.80547814092394432</v>
      </c>
    </row>
    <row r="1780" spans="1:14" x14ac:dyDescent="0.25">
      <c r="A1780" s="1">
        <f>'[1]Global_Spot Prices'!$B3089</f>
        <v>44495</v>
      </c>
      <c r="B1780">
        <f>_xlfn.XLOOKUP(A1780,'[1]Global_Spot Prices'!$B:$B,'[1]Global_Spot Prices'!$BS:$BS)</f>
        <v>19.700000000000003</v>
      </c>
      <c r="C1780">
        <f>_xlfn.XLOOKUP(A1780,'[1]Global_Spot Prices'!$B:$B,'[1]Global_Spot Prices'!$E:$E)</f>
        <v>83.91</v>
      </c>
      <c r="D1780">
        <f>_xlfn.XLOOKUP(A1780,'[1]Global_Spot Prices'!$B:$B,'[1]Global_Spot Prices'!$D:$D)</f>
        <v>85.844999999999999</v>
      </c>
      <c r="E1780">
        <f>_xlfn.XLOOKUP(A1780,'[1]Global_Spot Prices'!$B:$B,'[1]Global_Spot Prices'!$H:$H)</f>
        <v>87.76</v>
      </c>
      <c r="F1780">
        <f>_xlfn.XLOOKUP(A1780,'[1]Global_Spot Prices'!$B:$B,'[1]Global_Spot Prices'!$I:$I)</f>
        <v>103.61</v>
      </c>
      <c r="G1780" cm="1">
        <f t="array" ref="G1780">_xlfn.XLOOKUP(TEXT(A1780, "mmm-yy"), TEXT([2]RUNS!$B$5:$B$208, "mmm-yy"), [2]RUNS!$D$5:$D$208, "Not Found")</f>
        <v>29046.347239858362</v>
      </c>
      <c r="H1780" cm="1">
        <f t="array" ref="H1780">SUMPRODUCT(
    --(TEXT('[3]Global Weekly Stock (EWSuez'!$B$4:$B$2000,"mmm-yy")=TEXT(A1780,"mmm-yy")),
    '[3]Global Weekly Stock (EWSuez'!$E$4:$E$2000)
/
SUMPRODUCT(
    --(TEXT('[3]Global Weekly Stock (EWSuez'!$B$4:$B$2000,"mmm-yy")=TEXT(A1780,"mmm-yy"))
)</f>
        <v>11615.4</v>
      </c>
      <c r="I1780">
        <f>_xlfn.XLOOKUP(A1780,[1]ForwardDeriv!$D:$D,[1]ForwardDeriv!$AJ:$AJ)</f>
        <v>3.3900000000000006</v>
      </c>
      <c r="J1780" cm="1">
        <f t="array" ref="J1780">_xlfn.XLOOKUP(TEXT(A1780, "mmm-yy"), TEXT([2]GASOLINE!$B$5:$B$208, "mmm-yy"), [2]GASOLINE!$IR$5:$IR$208, "Not Found")</f>
        <v>-16.114878308389564</v>
      </c>
      <c r="K1780" cm="1">
        <f t="array" ref="K1780">_xlfn.XLOOKUP(TEXT(A1780, "mmm-yy"), TEXT([2]GASOLINE!$B$5:$B$208, "mmm-yy"), [2]GASOLINE!$IK$5:$IK$208, "Not Found")</f>
        <v>160.09153708991747</v>
      </c>
      <c r="L1780">
        <f t="shared" si="27"/>
        <v>0</v>
      </c>
      <c r="M1780" cm="1">
        <f t="array" ref="M1780">_xlfn.XLOOKUP(TEXT(A1780, "mmm-yy"), TEXT([2]GASOLINE!$B$5:$B$208, "mmm-yy"), [2]GASOLINE!$C$5:$C$208, "Not Found")</f>
        <v>7307.948908302219</v>
      </c>
      <c r="N1780" cm="1">
        <f t="array" ref="N1780">_xlfn.XLOOKUP(TEXT(A1780, "mmm-yy"), TEXT([2]RUNS!$B$5:$B$208, "mmm-yy"), [2]RUNS!$BM$5:$BM$208, "Not Found")</f>
        <v>0.80547814092394432</v>
      </c>
    </row>
    <row r="1781" spans="1:14" x14ac:dyDescent="0.25">
      <c r="A1781" s="1">
        <f>'[1]Global_Spot Prices'!$B3090</f>
        <v>44496</v>
      </c>
      <c r="B1781">
        <f>_xlfn.XLOOKUP(A1781,'[1]Global_Spot Prices'!$B:$B,'[1]Global_Spot Prices'!$BS:$BS)</f>
        <v>18.829999999999998</v>
      </c>
      <c r="C1781">
        <f>_xlfn.XLOOKUP(A1781,'[1]Global_Spot Prices'!$B:$B,'[1]Global_Spot Prices'!$E:$E)</f>
        <v>83.44</v>
      </c>
      <c r="D1781">
        <f>_xlfn.XLOOKUP(A1781,'[1]Global_Spot Prices'!$B:$B,'[1]Global_Spot Prices'!$D:$D)</f>
        <v>84.474999999999994</v>
      </c>
      <c r="E1781">
        <f>_xlfn.XLOOKUP(A1781,'[1]Global_Spot Prices'!$B:$B,'[1]Global_Spot Prices'!$H:$H)</f>
        <v>86.42</v>
      </c>
      <c r="F1781">
        <f>_xlfn.XLOOKUP(A1781,'[1]Global_Spot Prices'!$B:$B,'[1]Global_Spot Prices'!$I:$I)</f>
        <v>102.27</v>
      </c>
      <c r="G1781" cm="1">
        <f t="array" ref="G1781">_xlfn.XLOOKUP(TEXT(A1781, "mmm-yy"), TEXT([2]RUNS!$B$5:$B$208, "mmm-yy"), [2]RUNS!$D$5:$D$208, "Not Found")</f>
        <v>29046.347239858362</v>
      </c>
      <c r="H1781" cm="1">
        <f t="array" ref="H1781">SUMPRODUCT(
    --(TEXT('[3]Global Weekly Stock (EWSuez'!$B$4:$B$2000,"mmm-yy")=TEXT(A1781,"mmm-yy")),
    '[3]Global Weekly Stock (EWSuez'!$E$4:$E$2000)
/
SUMPRODUCT(
    --(TEXT('[3]Global Weekly Stock (EWSuez'!$B$4:$B$2000,"mmm-yy")=TEXT(A1781,"mmm-yy"))
)</f>
        <v>11615.4</v>
      </c>
      <c r="I1781">
        <f>_xlfn.XLOOKUP(A1781,[1]ForwardDeriv!$D:$D,[1]ForwardDeriv!$AJ:$AJ)</f>
        <v>3.1200000000000045</v>
      </c>
      <c r="J1781" cm="1">
        <f t="array" ref="J1781">_xlfn.XLOOKUP(TEXT(A1781, "mmm-yy"), TEXT([2]GASOLINE!$B$5:$B$208, "mmm-yy"), [2]GASOLINE!$IR$5:$IR$208, "Not Found")</f>
        <v>-16.114878308389564</v>
      </c>
      <c r="K1781" cm="1">
        <f t="array" ref="K1781">_xlfn.XLOOKUP(TEXT(A1781, "mmm-yy"), TEXT([2]GASOLINE!$B$5:$B$208, "mmm-yy"), [2]GASOLINE!$IK$5:$IK$208, "Not Found")</f>
        <v>160.09153708991747</v>
      </c>
      <c r="L1781">
        <f t="shared" si="27"/>
        <v>0</v>
      </c>
      <c r="M1781" cm="1">
        <f t="array" ref="M1781">_xlfn.XLOOKUP(TEXT(A1781, "mmm-yy"), TEXT([2]GASOLINE!$B$5:$B$208, "mmm-yy"), [2]GASOLINE!$C$5:$C$208, "Not Found")</f>
        <v>7307.948908302219</v>
      </c>
      <c r="N1781" cm="1">
        <f t="array" ref="N1781">_xlfn.XLOOKUP(TEXT(A1781, "mmm-yy"), TEXT([2]RUNS!$B$5:$B$208, "mmm-yy"), [2]RUNS!$BM$5:$BM$208, "Not Found")</f>
        <v>0.80547814092394432</v>
      </c>
    </row>
    <row r="1782" spans="1:14" x14ac:dyDescent="0.25">
      <c r="A1782" s="1">
        <f>'[1]Global_Spot Prices'!$B3091</f>
        <v>44497</v>
      </c>
      <c r="B1782">
        <f>_xlfn.XLOOKUP(A1782,'[1]Global_Spot Prices'!$B:$B,'[1]Global_Spot Prices'!$BS:$BS)</f>
        <v>16.72999999999999</v>
      </c>
      <c r="C1782">
        <f>_xlfn.XLOOKUP(A1782,'[1]Global_Spot Prices'!$B:$B,'[1]Global_Spot Prices'!$E:$E)</f>
        <v>81.87</v>
      </c>
      <c r="D1782">
        <f>_xlfn.XLOOKUP(A1782,'[1]Global_Spot Prices'!$B:$B,'[1]Global_Spot Prices'!$D:$D)</f>
        <v>83.41</v>
      </c>
      <c r="E1782">
        <f>_xlfn.XLOOKUP(A1782,'[1]Global_Spot Prices'!$B:$B,'[1]Global_Spot Prices'!$H:$H)</f>
        <v>85.73</v>
      </c>
      <c r="F1782">
        <f>_xlfn.XLOOKUP(A1782,'[1]Global_Spot Prices'!$B:$B,'[1]Global_Spot Prices'!$I:$I)</f>
        <v>98.6</v>
      </c>
      <c r="G1782" cm="1">
        <f t="array" ref="G1782">_xlfn.XLOOKUP(TEXT(A1782, "mmm-yy"), TEXT([2]RUNS!$B$5:$B$208, "mmm-yy"), [2]RUNS!$D$5:$D$208, "Not Found")</f>
        <v>29046.347239858362</v>
      </c>
      <c r="H1782" cm="1">
        <f t="array" ref="H1782">SUMPRODUCT(
    --(TEXT('[3]Global Weekly Stock (EWSuez'!$B$4:$B$2000,"mmm-yy")=TEXT(A1782,"mmm-yy")),
    '[3]Global Weekly Stock (EWSuez'!$E$4:$E$2000)
/
SUMPRODUCT(
    --(TEXT('[3]Global Weekly Stock (EWSuez'!$B$4:$B$2000,"mmm-yy")=TEXT(A1782,"mmm-yy"))
)</f>
        <v>11615.4</v>
      </c>
      <c r="I1782">
        <f>_xlfn.XLOOKUP(A1782,[1]ForwardDeriv!$D:$D,[1]ForwardDeriv!$AJ:$AJ)</f>
        <v>3.3599999999999994</v>
      </c>
      <c r="J1782" cm="1">
        <f t="array" ref="J1782">_xlfn.XLOOKUP(TEXT(A1782, "mmm-yy"), TEXT([2]GASOLINE!$B$5:$B$208, "mmm-yy"), [2]GASOLINE!$IR$5:$IR$208, "Not Found")</f>
        <v>-16.114878308389564</v>
      </c>
      <c r="K1782" cm="1">
        <f t="array" ref="K1782">_xlfn.XLOOKUP(TEXT(A1782, "mmm-yy"), TEXT([2]GASOLINE!$B$5:$B$208, "mmm-yy"), [2]GASOLINE!$IK$5:$IK$208, "Not Found")</f>
        <v>160.09153708991747</v>
      </c>
      <c r="L1782">
        <f t="shared" si="27"/>
        <v>0</v>
      </c>
      <c r="M1782" cm="1">
        <f t="array" ref="M1782">_xlfn.XLOOKUP(TEXT(A1782, "mmm-yy"), TEXT([2]GASOLINE!$B$5:$B$208, "mmm-yy"), [2]GASOLINE!$C$5:$C$208, "Not Found")</f>
        <v>7307.948908302219</v>
      </c>
      <c r="N1782" cm="1">
        <f t="array" ref="N1782">_xlfn.XLOOKUP(TEXT(A1782, "mmm-yy"), TEXT([2]RUNS!$B$5:$B$208, "mmm-yy"), [2]RUNS!$BM$5:$BM$208, "Not Found")</f>
        <v>0.80547814092394432</v>
      </c>
    </row>
    <row r="1783" spans="1:14" x14ac:dyDescent="0.25">
      <c r="A1783" s="1">
        <f>'[1]Global_Spot Prices'!$B3092</f>
        <v>44498</v>
      </c>
      <c r="B1783">
        <f>_xlfn.XLOOKUP(A1783,'[1]Global_Spot Prices'!$B:$B,'[1]Global_Spot Prices'!$BS:$BS)</f>
        <v>16.510000000000005</v>
      </c>
      <c r="C1783">
        <f>_xlfn.XLOOKUP(A1783,'[1]Global_Spot Prices'!$B:$B,'[1]Global_Spot Prices'!$E:$E)</f>
        <v>82.55</v>
      </c>
      <c r="D1783">
        <f>_xlfn.XLOOKUP(A1783,'[1]Global_Spot Prices'!$B:$B,'[1]Global_Spot Prices'!$D:$D)</f>
        <v>83.63</v>
      </c>
      <c r="E1783">
        <f>_xlfn.XLOOKUP(A1783,'[1]Global_Spot Prices'!$B:$B,'[1]Global_Spot Prices'!$H:$H)</f>
        <v>86.8</v>
      </c>
      <c r="F1783">
        <f>_xlfn.XLOOKUP(A1783,'[1]Global_Spot Prices'!$B:$B,'[1]Global_Spot Prices'!$I:$I)</f>
        <v>99.06</v>
      </c>
      <c r="G1783" cm="1">
        <f t="array" ref="G1783">_xlfn.XLOOKUP(TEXT(A1783, "mmm-yy"), TEXT([2]RUNS!$B$5:$B$208, "mmm-yy"), [2]RUNS!$D$5:$D$208, "Not Found")</f>
        <v>29046.347239858362</v>
      </c>
      <c r="H1783" cm="1">
        <f t="array" ref="H1783">SUMPRODUCT(
    --(TEXT('[3]Global Weekly Stock (EWSuez'!$B$4:$B$2000,"mmm-yy")=TEXT(A1783,"mmm-yy")),
    '[3]Global Weekly Stock (EWSuez'!$E$4:$E$2000)
/
SUMPRODUCT(
    --(TEXT('[3]Global Weekly Stock (EWSuez'!$B$4:$B$2000,"mmm-yy")=TEXT(A1783,"mmm-yy"))
)</f>
        <v>11615.4</v>
      </c>
      <c r="I1783">
        <f>_xlfn.XLOOKUP(A1783,[1]ForwardDeriv!$D:$D,[1]ForwardDeriv!$AJ:$AJ)</f>
        <v>3.5</v>
      </c>
      <c r="J1783" cm="1">
        <f t="array" ref="J1783">_xlfn.XLOOKUP(TEXT(A1783, "mmm-yy"), TEXT([2]GASOLINE!$B$5:$B$208, "mmm-yy"), [2]GASOLINE!$IR$5:$IR$208, "Not Found")</f>
        <v>-16.114878308389564</v>
      </c>
      <c r="K1783" cm="1">
        <f t="array" ref="K1783">_xlfn.XLOOKUP(TEXT(A1783, "mmm-yy"), TEXT([2]GASOLINE!$B$5:$B$208, "mmm-yy"), [2]GASOLINE!$IK$5:$IK$208, "Not Found")</f>
        <v>160.09153708991747</v>
      </c>
      <c r="L1783">
        <f t="shared" si="27"/>
        <v>0</v>
      </c>
      <c r="M1783" cm="1">
        <f t="array" ref="M1783">_xlfn.XLOOKUP(TEXT(A1783, "mmm-yy"), TEXT([2]GASOLINE!$B$5:$B$208, "mmm-yy"), [2]GASOLINE!$C$5:$C$208, "Not Found")</f>
        <v>7307.948908302219</v>
      </c>
      <c r="N1783" cm="1">
        <f t="array" ref="N1783">_xlfn.XLOOKUP(TEXT(A1783, "mmm-yy"), TEXT([2]RUNS!$B$5:$B$208, "mmm-yy"), [2]RUNS!$BM$5:$BM$208, "Not Found")</f>
        <v>0.80547814092394432</v>
      </c>
    </row>
    <row r="1784" spans="1:14" x14ac:dyDescent="0.25">
      <c r="A1784" s="1">
        <f>'[1]Global_Spot Prices'!$B3093</f>
        <v>44501</v>
      </c>
      <c r="B1784">
        <f>_xlfn.XLOOKUP(A1784,'[1]Global_Spot Prices'!$B:$B,'[1]Global_Spot Prices'!$BS:$BS)</f>
        <v>17.320000000000007</v>
      </c>
      <c r="C1784">
        <f>_xlfn.XLOOKUP(A1784,'[1]Global_Spot Prices'!$B:$B,'[1]Global_Spot Prices'!$E:$E)</f>
        <v>81.96</v>
      </c>
      <c r="D1784">
        <f>_xlfn.XLOOKUP(A1784,'[1]Global_Spot Prices'!$B:$B,'[1]Global_Spot Prices'!$D:$D)</f>
        <v>84.694999999999993</v>
      </c>
      <c r="E1784">
        <f>_xlfn.XLOOKUP(A1784,'[1]Global_Spot Prices'!$B:$B,'[1]Global_Spot Prices'!$H:$H)</f>
        <v>87.29</v>
      </c>
      <c r="F1784">
        <f>_xlfn.XLOOKUP(A1784,'[1]Global_Spot Prices'!$B:$B,'[1]Global_Spot Prices'!$I:$I)</f>
        <v>99.28</v>
      </c>
      <c r="G1784" cm="1">
        <f t="array" ref="G1784">_xlfn.XLOOKUP(TEXT(A1784, "mmm-yy"), TEXT([2]RUNS!$B$5:$B$208, "mmm-yy"), [2]RUNS!$D$5:$D$208, "Not Found")</f>
        <v>30344.311167558713</v>
      </c>
      <c r="H1784" cm="1">
        <f t="array" ref="H1784">SUMPRODUCT(
    --(TEXT('[3]Global Weekly Stock (EWSuez'!$B$4:$B$2000,"mmm-yy")=TEXT(A1784,"mmm-yy")),
    '[3]Global Weekly Stock (EWSuez'!$E$4:$E$2000)
/
SUMPRODUCT(
    --(TEXT('[3]Global Weekly Stock (EWSuez'!$B$4:$B$2000,"mmm-yy")=TEXT(A1784,"mmm-yy"))
)</f>
        <v>11082</v>
      </c>
      <c r="I1784">
        <f>_xlfn.XLOOKUP(A1784,[1]ForwardDeriv!$D:$D,[1]ForwardDeriv!$AJ:$AJ)</f>
        <v>1.769999999999996</v>
      </c>
      <c r="J1784" cm="1">
        <f t="array" ref="J1784">_xlfn.XLOOKUP(TEXT(A1784, "mmm-yy"), TEXT([2]GASOLINE!$B$5:$B$208, "mmm-yy"), [2]GASOLINE!$IR$5:$IR$208, "Not Found")</f>
        <v>116.22244506314399</v>
      </c>
      <c r="K1784" cm="1">
        <f t="array" ref="K1784">_xlfn.XLOOKUP(TEXT(A1784, "mmm-yy"), TEXT([2]GASOLINE!$B$5:$B$208, "mmm-yy"), [2]GASOLINE!$IK$5:$IK$208, "Not Found")</f>
        <v>180.34299614230832</v>
      </c>
      <c r="L1784">
        <f t="shared" si="27"/>
        <v>0</v>
      </c>
      <c r="M1784" cm="1">
        <f t="array" ref="M1784">_xlfn.XLOOKUP(TEXT(A1784, "mmm-yy"), TEXT([2]GASOLINE!$B$5:$B$208, "mmm-yy"), [2]GASOLINE!$C$5:$C$208, "Not Found")</f>
        <v>7606.402061176228</v>
      </c>
      <c r="N1784" cm="1">
        <f t="array" ref="N1784">_xlfn.XLOOKUP(TEXT(A1784, "mmm-yy"), TEXT([2]RUNS!$B$5:$B$208, "mmm-yy"), [2]RUNS!$BM$5:$BM$208, "Not Found")</f>
        <v>0.84147170537585503</v>
      </c>
    </row>
    <row r="1785" spans="1:14" x14ac:dyDescent="0.25">
      <c r="A1785" s="1">
        <f>'[1]Global_Spot Prices'!$B3094</f>
        <v>44502</v>
      </c>
      <c r="B1785">
        <f>_xlfn.XLOOKUP(A1785,'[1]Global_Spot Prices'!$B:$B,'[1]Global_Spot Prices'!$BS:$BS)</f>
        <v>17.819999999999993</v>
      </c>
      <c r="C1785">
        <f ca="1">_xlfn.XLOOKUP(A1785,'[1]Global_Spot Prices'!$B:$B,'[1]Global_Spot Prices'!$E:$E)</f>
        <v>83.29</v>
      </c>
      <c r="D1785">
        <f ca="1">_xlfn.XLOOKUP(A1785,'[1]Global_Spot Prices'!$B:$B,'[1]Global_Spot Prices'!$D:$D)</f>
        <v>84.52</v>
      </c>
      <c r="E1785">
        <f>_xlfn.XLOOKUP(A1785,'[1]Global_Spot Prices'!$B:$B,'[1]Global_Spot Prices'!$H:$H)</f>
        <v>88.82</v>
      </c>
      <c r="F1785">
        <f>_xlfn.XLOOKUP(A1785,'[1]Global_Spot Prices'!$B:$B,'[1]Global_Spot Prices'!$I:$I)</f>
        <v>101.11</v>
      </c>
      <c r="G1785" cm="1">
        <f t="array" ref="G1785">_xlfn.XLOOKUP(TEXT(A1785, "mmm-yy"), TEXT([2]RUNS!$B$5:$B$208, "mmm-yy"), [2]RUNS!$D$5:$D$208, "Not Found")</f>
        <v>30344.311167558713</v>
      </c>
      <c r="H1785" cm="1">
        <f t="array" ref="H1785">SUMPRODUCT(
    --(TEXT('[3]Global Weekly Stock (EWSuez'!$B$4:$B$2000,"mmm-yy")=TEXT(A1785,"mmm-yy")),
    '[3]Global Weekly Stock (EWSuez'!$E$4:$E$2000)
/
SUMPRODUCT(
    --(TEXT('[3]Global Weekly Stock (EWSuez'!$B$4:$B$2000,"mmm-yy")=TEXT(A1785,"mmm-yy"))
)</f>
        <v>11082</v>
      </c>
      <c r="I1785">
        <f>_xlfn.XLOOKUP(A1785,[1]ForwardDeriv!$D:$D,[1]ForwardDeriv!$AJ:$AJ)</f>
        <v>1.9500000000000028</v>
      </c>
      <c r="J1785" cm="1">
        <f t="array" ref="J1785">_xlfn.XLOOKUP(TEXT(A1785, "mmm-yy"), TEXT([2]GASOLINE!$B$5:$B$208, "mmm-yy"), [2]GASOLINE!$IR$5:$IR$208, "Not Found")</f>
        <v>116.22244506314399</v>
      </c>
      <c r="K1785" cm="1">
        <f t="array" ref="K1785">_xlfn.XLOOKUP(TEXT(A1785, "mmm-yy"), TEXT([2]GASOLINE!$B$5:$B$208, "mmm-yy"), [2]GASOLINE!$IK$5:$IK$208, "Not Found")</f>
        <v>180.34299614230832</v>
      </c>
      <c r="L1785">
        <f t="shared" si="27"/>
        <v>0</v>
      </c>
      <c r="M1785" cm="1">
        <f t="array" ref="M1785">_xlfn.XLOOKUP(TEXT(A1785, "mmm-yy"), TEXT([2]GASOLINE!$B$5:$B$208, "mmm-yy"), [2]GASOLINE!$C$5:$C$208, "Not Found")</f>
        <v>7606.402061176228</v>
      </c>
      <c r="N1785" cm="1">
        <f t="array" ref="N1785">_xlfn.XLOOKUP(TEXT(A1785, "mmm-yy"), TEXT([2]RUNS!$B$5:$B$208, "mmm-yy"), [2]RUNS!$BM$5:$BM$208, "Not Found")</f>
        <v>0.84147170537585503</v>
      </c>
    </row>
    <row r="1786" spans="1:14" x14ac:dyDescent="0.25">
      <c r="A1786" s="1">
        <f>'[1]Global_Spot Prices'!$B3095</f>
        <v>44503</v>
      </c>
      <c r="B1786">
        <f>_xlfn.XLOOKUP(A1786,'[1]Global_Spot Prices'!$B:$B,'[1]Global_Spot Prices'!$BS:$BS)</f>
        <v>16.689999999999998</v>
      </c>
      <c r="C1786">
        <f>_xlfn.XLOOKUP(A1786,'[1]Global_Spot Prices'!$B:$B,'[1]Global_Spot Prices'!$E:$E)</f>
        <v>81.900000000000006</v>
      </c>
      <c r="D1786">
        <f>_xlfn.XLOOKUP(A1786,'[1]Global_Spot Prices'!$B:$B,'[1]Global_Spot Prices'!$D:$D)</f>
        <v>82.215000000000003</v>
      </c>
      <c r="E1786">
        <f>_xlfn.XLOOKUP(A1786,'[1]Global_Spot Prices'!$B:$B,'[1]Global_Spot Prices'!$H:$H)</f>
        <v>87.79</v>
      </c>
      <c r="F1786">
        <f>_xlfn.XLOOKUP(A1786,'[1]Global_Spot Prices'!$B:$B,'[1]Global_Spot Prices'!$I:$I)</f>
        <v>98.59</v>
      </c>
      <c r="G1786" cm="1">
        <f t="array" ref="G1786">_xlfn.XLOOKUP(TEXT(A1786, "mmm-yy"), TEXT([2]RUNS!$B$5:$B$208, "mmm-yy"), [2]RUNS!$D$5:$D$208, "Not Found")</f>
        <v>30344.311167558713</v>
      </c>
      <c r="H1786" cm="1">
        <f t="array" ref="H1786">SUMPRODUCT(
    --(TEXT('[3]Global Weekly Stock (EWSuez'!$B$4:$B$2000,"mmm-yy")=TEXT(A1786,"mmm-yy")),
    '[3]Global Weekly Stock (EWSuez'!$E$4:$E$2000)
/
SUMPRODUCT(
    --(TEXT('[3]Global Weekly Stock (EWSuez'!$B$4:$B$2000,"mmm-yy")=TEXT(A1786,"mmm-yy"))
)</f>
        <v>11082</v>
      </c>
      <c r="I1786">
        <f>_xlfn.XLOOKUP(A1786,[1]ForwardDeriv!$D:$D,[1]ForwardDeriv!$AJ:$AJ)</f>
        <v>1.8700000000000045</v>
      </c>
      <c r="J1786" cm="1">
        <f t="array" ref="J1786">_xlfn.XLOOKUP(TEXT(A1786, "mmm-yy"), TEXT([2]GASOLINE!$B$5:$B$208, "mmm-yy"), [2]GASOLINE!$IR$5:$IR$208, "Not Found")</f>
        <v>116.22244506314399</v>
      </c>
      <c r="K1786" cm="1">
        <f t="array" ref="K1786">_xlfn.XLOOKUP(TEXT(A1786, "mmm-yy"), TEXT([2]GASOLINE!$B$5:$B$208, "mmm-yy"), [2]GASOLINE!$IK$5:$IK$208, "Not Found")</f>
        <v>180.34299614230832</v>
      </c>
      <c r="L1786">
        <f t="shared" si="27"/>
        <v>0</v>
      </c>
      <c r="M1786" cm="1">
        <f t="array" ref="M1786">_xlfn.XLOOKUP(TEXT(A1786, "mmm-yy"), TEXT([2]GASOLINE!$B$5:$B$208, "mmm-yy"), [2]GASOLINE!$C$5:$C$208, "Not Found")</f>
        <v>7606.402061176228</v>
      </c>
      <c r="N1786" cm="1">
        <f t="array" ref="N1786">_xlfn.XLOOKUP(TEXT(A1786, "mmm-yy"), TEXT([2]RUNS!$B$5:$B$208, "mmm-yy"), [2]RUNS!$BM$5:$BM$208, "Not Found")</f>
        <v>0.84147170537585503</v>
      </c>
    </row>
    <row r="1787" spans="1:14" x14ac:dyDescent="0.25">
      <c r="A1787" s="1">
        <f>'[1]Global_Spot Prices'!$B3096</f>
        <v>44504</v>
      </c>
      <c r="B1787" t="e">
        <f>_xlfn.XLOOKUP(A1787,'[1]Global_Spot Prices'!$B:$B,'[1]Global_Spot Prices'!$BS:$BS)</f>
        <v>#N/A</v>
      </c>
      <c r="C1787" t="str">
        <f>_xlfn.XLOOKUP(A1787,'[1]Global_Spot Prices'!$B:$B,'[1]Global_Spot Prices'!$E:$E)</f>
        <v/>
      </c>
      <c r="D1787">
        <f>_xlfn.XLOOKUP(A1787,'[1]Global_Spot Prices'!$B:$B,'[1]Global_Spot Prices'!$D:$D)</f>
        <v>81.885000000000005</v>
      </c>
      <c r="E1787">
        <f>_xlfn.XLOOKUP(A1787,'[1]Global_Spot Prices'!$B:$B,'[1]Global_Spot Prices'!$H:$H)</f>
        <v>0</v>
      </c>
      <c r="F1787">
        <f>_xlfn.XLOOKUP(A1787,'[1]Global_Spot Prices'!$B:$B,'[1]Global_Spot Prices'!$I:$I)</f>
        <v>0</v>
      </c>
      <c r="G1787" cm="1">
        <f t="array" ref="G1787">_xlfn.XLOOKUP(TEXT(A1787, "mmm-yy"), TEXT([2]RUNS!$B$5:$B$208, "mmm-yy"), [2]RUNS!$D$5:$D$208, "Not Found")</f>
        <v>30344.311167558713</v>
      </c>
      <c r="H1787" cm="1">
        <f t="array" ref="H1787">SUMPRODUCT(
    --(TEXT('[3]Global Weekly Stock (EWSuez'!$B$4:$B$2000,"mmm-yy")=TEXT(A1787,"mmm-yy")),
    '[3]Global Weekly Stock (EWSuez'!$E$4:$E$2000)
/
SUMPRODUCT(
    --(TEXT('[3]Global Weekly Stock (EWSuez'!$B$4:$B$2000,"mmm-yy")=TEXT(A1787,"mmm-yy"))
)</f>
        <v>11082</v>
      </c>
      <c r="I1787">
        <f>_xlfn.XLOOKUP(A1787,[1]ForwardDeriv!$D:$D,[1]ForwardDeriv!$AJ:$AJ)</f>
        <v>1.6700000000000017</v>
      </c>
      <c r="J1787" cm="1">
        <f t="array" ref="J1787">_xlfn.XLOOKUP(TEXT(A1787, "mmm-yy"), TEXT([2]GASOLINE!$B$5:$B$208, "mmm-yy"), [2]GASOLINE!$IR$5:$IR$208, "Not Found")</f>
        <v>116.22244506314399</v>
      </c>
      <c r="K1787" cm="1">
        <f t="array" ref="K1787">_xlfn.XLOOKUP(TEXT(A1787, "mmm-yy"), TEXT([2]GASOLINE!$B$5:$B$208, "mmm-yy"), [2]GASOLINE!$IK$5:$IK$208, "Not Found")</f>
        <v>180.34299614230832</v>
      </c>
      <c r="L1787">
        <f t="shared" si="27"/>
        <v>0</v>
      </c>
      <c r="M1787" cm="1">
        <f t="array" ref="M1787">_xlfn.XLOOKUP(TEXT(A1787, "mmm-yy"), TEXT([2]GASOLINE!$B$5:$B$208, "mmm-yy"), [2]GASOLINE!$C$5:$C$208, "Not Found")</f>
        <v>7606.402061176228</v>
      </c>
      <c r="N1787" cm="1">
        <f t="array" ref="N1787">_xlfn.XLOOKUP(TEXT(A1787, "mmm-yy"), TEXT([2]RUNS!$B$5:$B$208, "mmm-yy"), [2]RUNS!$BM$5:$BM$208, "Not Found")</f>
        <v>0.84147170537585503</v>
      </c>
    </row>
    <row r="1788" spans="1:14" x14ac:dyDescent="0.25">
      <c r="A1788" s="1">
        <f>'[1]Global_Spot Prices'!$B3097</f>
        <v>44505</v>
      </c>
      <c r="B1788">
        <f>_xlfn.XLOOKUP(A1788,'[1]Global_Spot Prices'!$B:$B,'[1]Global_Spot Prices'!$BS:$BS)</f>
        <v>15.11999999999999</v>
      </c>
      <c r="C1788">
        <f>_xlfn.XLOOKUP(A1788,'[1]Global_Spot Prices'!$B:$B,'[1]Global_Spot Prices'!$E:$E)</f>
        <v>79.45</v>
      </c>
      <c r="D1788">
        <f ca="1">_xlfn.XLOOKUP(A1788,'[1]Global_Spot Prices'!$B:$B,'[1]Global_Spot Prices'!$D:$D)</f>
        <v>82.75</v>
      </c>
      <c r="E1788">
        <f>_xlfn.XLOOKUP(A1788,'[1]Global_Spot Prices'!$B:$B,'[1]Global_Spot Prices'!$H:$H)</f>
        <v>84.4</v>
      </c>
      <c r="F1788">
        <f ca="1">_xlfn.XLOOKUP(A1788,'[1]Global_Spot Prices'!$B:$B,'[1]Global_Spot Prices'!$I:$I)</f>
        <v>94.57</v>
      </c>
      <c r="G1788" cm="1">
        <f t="array" ref="G1788">_xlfn.XLOOKUP(TEXT(A1788, "mmm-yy"), TEXT([2]RUNS!$B$5:$B$208, "mmm-yy"), [2]RUNS!$D$5:$D$208, "Not Found")</f>
        <v>30344.311167558713</v>
      </c>
      <c r="H1788" cm="1">
        <f t="array" ref="H1788">SUMPRODUCT(
    --(TEXT('[3]Global Weekly Stock (EWSuez'!$B$4:$B$2000,"mmm-yy")=TEXT(A1788,"mmm-yy")),
    '[3]Global Weekly Stock (EWSuez'!$E$4:$E$2000)
/
SUMPRODUCT(
    --(TEXT('[3]Global Weekly Stock (EWSuez'!$B$4:$B$2000,"mmm-yy")=TEXT(A1788,"mmm-yy"))
)</f>
        <v>11082</v>
      </c>
      <c r="I1788">
        <f>_xlfn.XLOOKUP(A1788,[1]ForwardDeriv!$D:$D,[1]ForwardDeriv!$AJ:$AJ)</f>
        <v>1.6700000000000017</v>
      </c>
      <c r="J1788" cm="1">
        <f t="array" ref="J1788">_xlfn.XLOOKUP(TEXT(A1788, "mmm-yy"), TEXT([2]GASOLINE!$B$5:$B$208, "mmm-yy"), [2]GASOLINE!$IR$5:$IR$208, "Not Found")</f>
        <v>116.22244506314399</v>
      </c>
      <c r="K1788" cm="1">
        <f t="array" ref="K1788">_xlfn.XLOOKUP(TEXT(A1788, "mmm-yy"), TEXT([2]GASOLINE!$B$5:$B$208, "mmm-yy"), [2]GASOLINE!$IK$5:$IK$208, "Not Found")</f>
        <v>180.34299614230832</v>
      </c>
      <c r="L1788">
        <f t="shared" si="27"/>
        <v>0</v>
      </c>
      <c r="M1788" cm="1">
        <f t="array" ref="M1788">_xlfn.XLOOKUP(TEXT(A1788, "mmm-yy"), TEXT([2]GASOLINE!$B$5:$B$208, "mmm-yy"), [2]GASOLINE!$C$5:$C$208, "Not Found")</f>
        <v>7606.402061176228</v>
      </c>
      <c r="N1788" cm="1">
        <f t="array" ref="N1788">_xlfn.XLOOKUP(TEXT(A1788, "mmm-yy"), TEXT([2]RUNS!$B$5:$B$208, "mmm-yy"), [2]RUNS!$BM$5:$BM$208, "Not Found")</f>
        <v>0.84147170537585503</v>
      </c>
    </row>
    <row r="1789" spans="1:14" x14ac:dyDescent="0.25">
      <c r="A1789" s="1">
        <f>'[1]Global_Spot Prices'!$B3098</f>
        <v>44508</v>
      </c>
      <c r="B1789">
        <f>_xlfn.XLOOKUP(A1789,'[1]Global_Spot Prices'!$B:$B,'[1]Global_Spot Prices'!$BS:$BS)</f>
        <v>14.829999999999998</v>
      </c>
      <c r="C1789">
        <f>_xlfn.XLOOKUP(A1789,'[1]Global_Spot Prices'!$B:$B,'[1]Global_Spot Prices'!$E:$E)</f>
        <v>81.95</v>
      </c>
      <c r="D1789">
        <f>_xlfn.XLOOKUP(A1789,'[1]Global_Spot Prices'!$B:$B,'[1]Global_Spot Prices'!$D:$D)</f>
        <v>84.084999999999994</v>
      </c>
      <c r="E1789">
        <f>_xlfn.XLOOKUP(A1789,'[1]Global_Spot Prices'!$B:$B,'[1]Global_Spot Prices'!$H:$H)</f>
        <v>86.12</v>
      </c>
      <c r="F1789">
        <f>_xlfn.XLOOKUP(A1789,'[1]Global_Spot Prices'!$B:$B,'[1]Global_Spot Prices'!$I:$I)</f>
        <v>96.78</v>
      </c>
      <c r="G1789" cm="1">
        <f t="array" ref="G1789">_xlfn.XLOOKUP(TEXT(A1789, "mmm-yy"), TEXT([2]RUNS!$B$5:$B$208, "mmm-yy"), [2]RUNS!$D$5:$D$208, "Not Found")</f>
        <v>30344.311167558713</v>
      </c>
      <c r="H1789" cm="1">
        <f t="array" ref="H1789">SUMPRODUCT(
    --(TEXT('[3]Global Weekly Stock (EWSuez'!$B$4:$B$2000,"mmm-yy")=TEXT(A1789,"mmm-yy")),
    '[3]Global Weekly Stock (EWSuez'!$E$4:$E$2000)
/
SUMPRODUCT(
    --(TEXT('[3]Global Weekly Stock (EWSuez'!$B$4:$B$2000,"mmm-yy")=TEXT(A1789,"mmm-yy"))
)</f>
        <v>11082</v>
      </c>
      <c r="I1789">
        <f>_xlfn.XLOOKUP(A1789,[1]ForwardDeriv!$D:$D,[1]ForwardDeriv!$AJ:$AJ)</f>
        <v>1.8599999999999994</v>
      </c>
      <c r="J1789" cm="1">
        <f t="array" ref="J1789">_xlfn.XLOOKUP(TEXT(A1789, "mmm-yy"), TEXT([2]GASOLINE!$B$5:$B$208, "mmm-yy"), [2]GASOLINE!$IR$5:$IR$208, "Not Found")</f>
        <v>116.22244506314399</v>
      </c>
      <c r="K1789" cm="1">
        <f t="array" ref="K1789">_xlfn.XLOOKUP(TEXT(A1789, "mmm-yy"), TEXT([2]GASOLINE!$B$5:$B$208, "mmm-yy"), [2]GASOLINE!$IK$5:$IK$208, "Not Found")</f>
        <v>180.34299614230832</v>
      </c>
      <c r="L1789">
        <f t="shared" si="27"/>
        <v>0</v>
      </c>
      <c r="M1789" cm="1">
        <f t="array" ref="M1789">_xlfn.XLOOKUP(TEXT(A1789, "mmm-yy"), TEXT([2]GASOLINE!$B$5:$B$208, "mmm-yy"), [2]GASOLINE!$C$5:$C$208, "Not Found")</f>
        <v>7606.402061176228</v>
      </c>
      <c r="N1789" cm="1">
        <f t="array" ref="N1789">_xlfn.XLOOKUP(TEXT(A1789, "mmm-yy"), TEXT([2]RUNS!$B$5:$B$208, "mmm-yy"), [2]RUNS!$BM$5:$BM$208, "Not Found")</f>
        <v>0.84147170537585503</v>
      </c>
    </row>
    <row r="1790" spans="1:14" x14ac:dyDescent="0.25">
      <c r="A1790" s="1">
        <f>'[1]Global_Spot Prices'!$B3099</f>
        <v>44509</v>
      </c>
      <c r="B1790">
        <f>_xlfn.XLOOKUP(A1790,'[1]Global_Spot Prices'!$B:$B,'[1]Global_Spot Prices'!$BS:$BS)</f>
        <v>14.135000000000005</v>
      </c>
      <c r="C1790">
        <f>_xlfn.XLOOKUP(A1790,'[1]Global_Spot Prices'!$B:$B,'[1]Global_Spot Prices'!$E:$E)</f>
        <v>82.204999999999998</v>
      </c>
      <c r="D1790">
        <f>_xlfn.XLOOKUP(A1790,'[1]Global_Spot Prices'!$B:$B,'[1]Global_Spot Prices'!$D:$D)</f>
        <v>84.564999999999998</v>
      </c>
      <c r="E1790">
        <f>_xlfn.XLOOKUP(A1790,'[1]Global_Spot Prices'!$B:$B,'[1]Global_Spot Prices'!$H:$H)</f>
        <v>86.57</v>
      </c>
      <c r="F1790">
        <f>_xlfn.XLOOKUP(A1790,'[1]Global_Spot Prices'!$B:$B,'[1]Global_Spot Prices'!$I:$I)</f>
        <v>96.34</v>
      </c>
      <c r="G1790" cm="1">
        <f t="array" ref="G1790">_xlfn.XLOOKUP(TEXT(A1790, "mmm-yy"), TEXT([2]RUNS!$B$5:$B$208, "mmm-yy"), [2]RUNS!$D$5:$D$208, "Not Found")</f>
        <v>30344.311167558713</v>
      </c>
      <c r="H1790" cm="1">
        <f t="array" ref="H1790">SUMPRODUCT(
    --(TEXT('[3]Global Weekly Stock (EWSuez'!$B$4:$B$2000,"mmm-yy")=TEXT(A1790,"mmm-yy")),
    '[3]Global Weekly Stock (EWSuez'!$E$4:$E$2000)
/
SUMPRODUCT(
    --(TEXT('[3]Global Weekly Stock (EWSuez'!$B$4:$B$2000,"mmm-yy")=TEXT(A1790,"mmm-yy"))
)</f>
        <v>11082</v>
      </c>
      <c r="I1790">
        <f>_xlfn.XLOOKUP(A1790,[1]ForwardDeriv!$D:$D,[1]ForwardDeriv!$AJ:$AJ)</f>
        <v>1.8199999999999932</v>
      </c>
      <c r="J1790" cm="1">
        <f t="array" ref="J1790">_xlfn.XLOOKUP(TEXT(A1790, "mmm-yy"), TEXT([2]GASOLINE!$B$5:$B$208, "mmm-yy"), [2]GASOLINE!$IR$5:$IR$208, "Not Found")</f>
        <v>116.22244506314399</v>
      </c>
      <c r="K1790" cm="1">
        <f t="array" ref="K1790">_xlfn.XLOOKUP(TEXT(A1790, "mmm-yy"), TEXT([2]GASOLINE!$B$5:$B$208, "mmm-yy"), [2]GASOLINE!$IK$5:$IK$208, "Not Found")</f>
        <v>180.34299614230832</v>
      </c>
      <c r="L1790">
        <f t="shared" si="27"/>
        <v>0</v>
      </c>
      <c r="M1790" cm="1">
        <f t="array" ref="M1790">_xlfn.XLOOKUP(TEXT(A1790, "mmm-yy"), TEXT([2]GASOLINE!$B$5:$B$208, "mmm-yy"), [2]GASOLINE!$C$5:$C$208, "Not Found")</f>
        <v>7606.402061176228</v>
      </c>
      <c r="N1790" cm="1">
        <f t="array" ref="N1790">_xlfn.XLOOKUP(TEXT(A1790, "mmm-yy"), TEXT([2]RUNS!$B$5:$B$208, "mmm-yy"), [2]RUNS!$BM$5:$BM$208, "Not Found")</f>
        <v>0.84147170537585503</v>
      </c>
    </row>
    <row r="1791" spans="1:14" x14ac:dyDescent="0.25">
      <c r="A1791" s="1">
        <f>'[1]Global_Spot Prices'!$B3100</f>
        <v>44510</v>
      </c>
      <c r="B1791">
        <f>_xlfn.XLOOKUP(A1791,'[1]Global_Spot Prices'!$B:$B,'[1]Global_Spot Prices'!$BS:$BS)</f>
        <v>13.275000000000006</v>
      </c>
      <c r="C1791">
        <f>_xlfn.XLOOKUP(A1791,'[1]Global_Spot Prices'!$B:$B,'[1]Global_Spot Prices'!$E:$E)</f>
        <v>83.944999999999993</v>
      </c>
      <c r="D1791">
        <f>_xlfn.XLOOKUP(A1791,'[1]Global_Spot Prices'!$B:$B,'[1]Global_Spot Prices'!$D:$D)</f>
        <v>84.3</v>
      </c>
      <c r="E1791">
        <f ca="1">_xlfn.XLOOKUP(A1791,'[1]Global_Spot Prices'!$B:$B,'[1]Global_Spot Prices'!$H:$H)</f>
        <v>88.35</v>
      </c>
      <c r="F1791">
        <f>_xlfn.XLOOKUP(A1791,'[1]Global_Spot Prices'!$B:$B,'[1]Global_Spot Prices'!$I:$I)</f>
        <v>97.22</v>
      </c>
      <c r="G1791" cm="1">
        <f t="array" ref="G1791">_xlfn.XLOOKUP(TEXT(A1791, "mmm-yy"), TEXT([2]RUNS!$B$5:$B$208, "mmm-yy"), [2]RUNS!$D$5:$D$208, "Not Found")</f>
        <v>30344.311167558713</v>
      </c>
      <c r="H1791" cm="1">
        <f t="array" ref="H1791">SUMPRODUCT(
    --(TEXT('[3]Global Weekly Stock (EWSuez'!$B$4:$B$2000,"mmm-yy")=TEXT(A1791,"mmm-yy")),
    '[3]Global Weekly Stock (EWSuez'!$E$4:$E$2000)
/
SUMPRODUCT(
    --(TEXT('[3]Global Weekly Stock (EWSuez'!$B$4:$B$2000,"mmm-yy")=TEXT(A1791,"mmm-yy"))
)</f>
        <v>11082</v>
      </c>
      <c r="I1791">
        <f>_xlfn.XLOOKUP(A1791,[1]ForwardDeriv!$D:$D,[1]ForwardDeriv!$AJ:$AJ)</f>
        <v>1.6400000000000006</v>
      </c>
      <c r="J1791" cm="1">
        <f t="array" ref="J1791">_xlfn.XLOOKUP(TEXT(A1791, "mmm-yy"), TEXT([2]GASOLINE!$B$5:$B$208, "mmm-yy"), [2]GASOLINE!$IR$5:$IR$208, "Not Found")</f>
        <v>116.22244506314399</v>
      </c>
      <c r="K1791" cm="1">
        <f t="array" ref="K1791">_xlfn.XLOOKUP(TEXT(A1791, "mmm-yy"), TEXT([2]GASOLINE!$B$5:$B$208, "mmm-yy"), [2]GASOLINE!$IK$5:$IK$208, "Not Found")</f>
        <v>180.34299614230832</v>
      </c>
      <c r="L1791">
        <f t="shared" si="27"/>
        <v>0</v>
      </c>
      <c r="M1791" cm="1">
        <f t="array" ref="M1791">_xlfn.XLOOKUP(TEXT(A1791, "mmm-yy"), TEXT([2]GASOLINE!$B$5:$B$208, "mmm-yy"), [2]GASOLINE!$C$5:$C$208, "Not Found")</f>
        <v>7606.402061176228</v>
      </c>
      <c r="N1791" cm="1">
        <f t="array" ref="N1791">_xlfn.XLOOKUP(TEXT(A1791, "mmm-yy"), TEXT([2]RUNS!$B$5:$B$208, "mmm-yy"), [2]RUNS!$BM$5:$BM$208, "Not Found")</f>
        <v>0.84147170537585503</v>
      </c>
    </row>
    <row r="1792" spans="1:14" x14ac:dyDescent="0.25">
      <c r="A1792" s="1">
        <f>'[1]Global_Spot Prices'!$B3101</f>
        <v>44511</v>
      </c>
      <c r="B1792">
        <f>_xlfn.XLOOKUP(A1792,'[1]Global_Spot Prices'!$B:$B,'[1]Global_Spot Prices'!$BS:$BS)</f>
        <v>13.274999999999991</v>
      </c>
      <c r="C1792">
        <f>_xlfn.XLOOKUP(A1792,'[1]Global_Spot Prices'!$B:$B,'[1]Global_Spot Prices'!$E:$E)</f>
        <v>81.795000000000002</v>
      </c>
      <c r="D1792">
        <f>_xlfn.XLOOKUP(A1792,'[1]Global_Spot Prices'!$B:$B,'[1]Global_Spot Prices'!$D:$D)</f>
        <v>83.02</v>
      </c>
      <c r="E1792">
        <f>_xlfn.XLOOKUP(A1792,'[1]Global_Spot Prices'!$B:$B,'[1]Global_Spot Prices'!$H:$H)</f>
        <v>85.79</v>
      </c>
      <c r="F1792">
        <f>_xlfn.XLOOKUP(A1792,'[1]Global_Spot Prices'!$B:$B,'[1]Global_Spot Prices'!$I:$I)</f>
        <v>95.07</v>
      </c>
      <c r="G1792" cm="1">
        <f t="array" ref="G1792">_xlfn.XLOOKUP(TEXT(A1792, "mmm-yy"), TEXT([2]RUNS!$B$5:$B$208, "mmm-yy"), [2]RUNS!$D$5:$D$208, "Not Found")</f>
        <v>30344.311167558713</v>
      </c>
      <c r="H1792" cm="1">
        <f t="array" ref="H1792">SUMPRODUCT(
    --(TEXT('[3]Global Weekly Stock (EWSuez'!$B$4:$B$2000,"mmm-yy")=TEXT(A1792,"mmm-yy")),
    '[3]Global Weekly Stock (EWSuez'!$E$4:$E$2000)
/
SUMPRODUCT(
    --(TEXT('[3]Global Weekly Stock (EWSuez'!$B$4:$B$2000,"mmm-yy")=TEXT(A1792,"mmm-yy"))
)</f>
        <v>11082</v>
      </c>
      <c r="I1792">
        <f>_xlfn.XLOOKUP(A1792,[1]ForwardDeriv!$D:$D,[1]ForwardDeriv!$AJ:$AJ)</f>
        <v>1.6500000000000057</v>
      </c>
      <c r="J1792" cm="1">
        <f t="array" ref="J1792">_xlfn.XLOOKUP(TEXT(A1792, "mmm-yy"), TEXT([2]GASOLINE!$B$5:$B$208, "mmm-yy"), [2]GASOLINE!$IR$5:$IR$208, "Not Found")</f>
        <v>116.22244506314399</v>
      </c>
      <c r="K1792" cm="1">
        <f t="array" ref="K1792">_xlfn.XLOOKUP(TEXT(A1792, "mmm-yy"), TEXT([2]GASOLINE!$B$5:$B$208, "mmm-yy"), [2]GASOLINE!$IK$5:$IK$208, "Not Found")</f>
        <v>180.34299614230832</v>
      </c>
      <c r="L1792">
        <f t="shared" si="27"/>
        <v>0</v>
      </c>
      <c r="M1792" cm="1">
        <f t="array" ref="M1792">_xlfn.XLOOKUP(TEXT(A1792, "mmm-yy"), TEXT([2]GASOLINE!$B$5:$B$208, "mmm-yy"), [2]GASOLINE!$C$5:$C$208, "Not Found")</f>
        <v>7606.402061176228</v>
      </c>
      <c r="N1792" cm="1">
        <f t="array" ref="N1792">_xlfn.XLOOKUP(TEXT(A1792, "mmm-yy"), TEXT([2]RUNS!$B$5:$B$208, "mmm-yy"), [2]RUNS!$BM$5:$BM$208, "Not Found")</f>
        <v>0.84147170537585503</v>
      </c>
    </row>
    <row r="1793" spans="1:14" x14ac:dyDescent="0.25">
      <c r="A1793" s="1">
        <f>'[1]Global_Spot Prices'!$B3102</f>
        <v>44512</v>
      </c>
      <c r="B1793">
        <f>_xlfn.XLOOKUP(A1793,'[1]Global_Spot Prices'!$B:$B,'[1]Global_Spot Prices'!$BS:$BS)</f>
        <v>11.960000000000008</v>
      </c>
      <c r="C1793">
        <f>_xlfn.XLOOKUP(A1793,'[1]Global_Spot Prices'!$B:$B,'[1]Global_Spot Prices'!$E:$E)</f>
        <v>81.55</v>
      </c>
      <c r="D1793">
        <f>_xlfn.XLOOKUP(A1793,'[1]Global_Spot Prices'!$B:$B,'[1]Global_Spot Prices'!$D:$D)</f>
        <v>82.65</v>
      </c>
      <c r="E1793">
        <f>_xlfn.XLOOKUP(A1793,'[1]Global_Spot Prices'!$B:$B,'[1]Global_Spot Prices'!$H:$H)</f>
        <v>85.82</v>
      </c>
      <c r="F1793">
        <f ca="1">_xlfn.XLOOKUP(A1793,'[1]Global_Spot Prices'!$B:$B,'[1]Global_Spot Prices'!$I:$I)</f>
        <v>93.51</v>
      </c>
      <c r="G1793" cm="1">
        <f t="array" ref="G1793">_xlfn.XLOOKUP(TEXT(A1793, "mmm-yy"), TEXT([2]RUNS!$B$5:$B$208, "mmm-yy"), [2]RUNS!$D$5:$D$208, "Not Found")</f>
        <v>30344.311167558713</v>
      </c>
      <c r="H1793" cm="1">
        <f t="array" ref="H1793">SUMPRODUCT(
    --(TEXT('[3]Global Weekly Stock (EWSuez'!$B$4:$B$2000,"mmm-yy")=TEXT(A1793,"mmm-yy")),
    '[3]Global Weekly Stock (EWSuez'!$E$4:$E$2000)
/
SUMPRODUCT(
    --(TEXT('[3]Global Weekly Stock (EWSuez'!$B$4:$B$2000,"mmm-yy")=TEXT(A1793,"mmm-yy"))
)</f>
        <v>11082</v>
      </c>
      <c r="I1793">
        <f>_xlfn.XLOOKUP(A1793,[1]ForwardDeriv!$D:$D,[1]ForwardDeriv!$AJ:$AJ)</f>
        <v>1.4100000000000108</v>
      </c>
      <c r="J1793" cm="1">
        <f t="array" ref="J1793">_xlfn.XLOOKUP(TEXT(A1793, "mmm-yy"), TEXT([2]GASOLINE!$B$5:$B$208, "mmm-yy"), [2]GASOLINE!$IR$5:$IR$208, "Not Found")</f>
        <v>116.22244506314399</v>
      </c>
      <c r="K1793" cm="1">
        <f t="array" ref="K1793">_xlfn.XLOOKUP(TEXT(A1793, "mmm-yy"), TEXT([2]GASOLINE!$B$5:$B$208, "mmm-yy"), [2]GASOLINE!$IK$5:$IK$208, "Not Found")</f>
        <v>180.34299614230832</v>
      </c>
      <c r="L1793">
        <f t="shared" si="27"/>
        <v>0</v>
      </c>
      <c r="M1793" cm="1">
        <f t="array" ref="M1793">_xlfn.XLOOKUP(TEXT(A1793, "mmm-yy"), TEXT([2]GASOLINE!$B$5:$B$208, "mmm-yy"), [2]GASOLINE!$C$5:$C$208, "Not Found")</f>
        <v>7606.402061176228</v>
      </c>
      <c r="N1793" cm="1">
        <f t="array" ref="N1793">_xlfn.XLOOKUP(TEXT(A1793, "mmm-yy"), TEXT([2]RUNS!$B$5:$B$208, "mmm-yy"), [2]RUNS!$BM$5:$BM$208, "Not Found")</f>
        <v>0.84147170537585503</v>
      </c>
    </row>
    <row r="1794" spans="1:14" x14ac:dyDescent="0.25">
      <c r="A1794" s="1">
        <f>'[1]Global_Spot Prices'!$B3103</f>
        <v>44515</v>
      </c>
      <c r="B1794">
        <f>_xlfn.XLOOKUP(A1794,'[1]Global_Spot Prices'!$B:$B,'[1]Global_Spot Prices'!$BS:$BS)</f>
        <v>12.010000000000005</v>
      </c>
      <c r="C1794">
        <f>_xlfn.XLOOKUP(A1794,'[1]Global_Spot Prices'!$B:$B,'[1]Global_Spot Prices'!$E:$E)</f>
        <v>80.849999999999994</v>
      </c>
      <c r="D1794">
        <f>_xlfn.XLOOKUP(A1794,'[1]Global_Spot Prices'!$B:$B,'[1]Global_Spot Prices'!$D:$D)</f>
        <v>81.53</v>
      </c>
      <c r="E1794">
        <f>_xlfn.XLOOKUP(A1794,'[1]Global_Spot Prices'!$B:$B,'[1]Global_Spot Prices'!$H:$H)</f>
        <v>84.98</v>
      </c>
      <c r="F1794">
        <f>_xlfn.XLOOKUP(A1794,'[1]Global_Spot Prices'!$B:$B,'[1]Global_Spot Prices'!$I:$I)</f>
        <v>92.86</v>
      </c>
      <c r="G1794" cm="1">
        <f t="array" ref="G1794">_xlfn.XLOOKUP(TEXT(A1794, "mmm-yy"), TEXT([2]RUNS!$B$5:$B$208, "mmm-yy"), [2]RUNS!$D$5:$D$208, "Not Found")</f>
        <v>30344.311167558713</v>
      </c>
      <c r="H1794" cm="1">
        <f t="array" ref="H1794">SUMPRODUCT(
    --(TEXT('[3]Global Weekly Stock (EWSuez'!$B$4:$B$2000,"mmm-yy")=TEXT(A1794,"mmm-yy")),
    '[3]Global Weekly Stock (EWSuez'!$E$4:$E$2000)
/
SUMPRODUCT(
    --(TEXT('[3]Global Weekly Stock (EWSuez'!$B$4:$B$2000,"mmm-yy")=TEXT(A1794,"mmm-yy"))
)</f>
        <v>11082</v>
      </c>
      <c r="I1794">
        <f>_xlfn.XLOOKUP(A1794,[1]ForwardDeriv!$D:$D,[1]ForwardDeriv!$AJ:$AJ)</f>
        <v>1.2600000000000051</v>
      </c>
      <c r="J1794" cm="1">
        <f t="array" ref="J1794">_xlfn.XLOOKUP(TEXT(A1794, "mmm-yy"), TEXT([2]GASOLINE!$B$5:$B$208, "mmm-yy"), [2]GASOLINE!$IR$5:$IR$208, "Not Found")</f>
        <v>116.22244506314399</v>
      </c>
      <c r="K1794" cm="1">
        <f t="array" ref="K1794">_xlfn.XLOOKUP(TEXT(A1794, "mmm-yy"), TEXT([2]GASOLINE!$B$5:$B$208, "mmm-yy"), [2]GASOLINE!$IK$5:$IK$208, "Not Found")</f>
        <v>180.34299614230832</v>
      </c>
      <c r="L1794">
        <f t="shared" si="27"/>
        <v>0</v>
      </c>
      <c r="M1794" cm="1">
        <f t="array" ref="M1794">_xlfn.XLOOKUP(TEXT(A1794, "mmm-yy"), TEXT([2]GASOLINE!$B$5:$B$208, "mmm-yy"), [2]GASOLINE!$C$5:$C$208, "Not Found")</f>
        <v>7606.402061176228</v>
      </c>
      <c r="N1794" cm="1">
        <f t="array" ref="N1794">_xlfn.XLOOKUP(TEXT(A1794, "mmm-yy"), TEXT([2]RUNS!$B$5:$B$208, "mmm-yy"), [2]RUNS!$BM$5:$BM$208, "Not Found")</f>
        <v>0.84147170537585503</v>
      </c>
    </row>
    <row r="1795" spans="1:14" x14ac:dyDescent="0.25">
      <c r="A1795" s="1">
        <f>'[1]Global_Spot Prices'!$B3104</f>
        <v>44516</v>
      </c>
      <c r="B1795">
        <f>_xlfn.XLOOKUP(A1795,'[1]Global_Spot Prices'!$B:$B,'[1]Global_Spot Prices'!$BS:$BS)</f>
        <v>12.11</v>
      </c>
      <c r="C1795">
        <f>_xlfn.XLOOKUP(A1795,'[1]Global_Spot Prices'!$B:$B,'[1]Global_Spot Prices'!$E:$E)</f>
        <v>81.95</v>
      </c>
      <c r="D1795">
        <f>_xlfn.XLOOKUP(A1795,'[1]Global_Spot Prices'!$B:$B,'[1]Global_Spot Prices'!$D:$D)</f>
        <v>82.76</v>
      </c>
      <c r="E1795">
        <f>_xlfn.XLOOKUP(A1795,'[1]Global_Spot Prices'!$B:$B,'[1]Global_Spot Prices'!$H:$H)</f>
        <v>85.68</v>
      </c>
      <c r="F1795">
        <f>_xlfn.XLOOKUP(A1795,'[1]Global_Spot Prices'!$B:$B,'[1]Global_Spot Prices'!$I:$I)</f>
        <v>94.06</v>
      </c>
      <c r="G1795" cm="1">
        <f t="array" ref="G1795">_xlfn.XLOOKUP(TEXT(A1795, "mmm-yy"), TEXT([2]RUNS!$B$5:$B$208, "mmm-yy"), [2]RUNS!$D$5:$D$208, "Not Found")</f>
        <v>30344.311167558713</v>
      </c>
      <c r="H1795" cm="1">
        <f t="array" ref="H1795">SUMPRODUCT(
    --(TEXT('[3]Global Weekly Stock (EWSuez'!$B$4:$B$2000,"mmm-yy")=TEXT(A1795,"mmm-yy")),
    '[3]Global Weekly Stock (EWSuez'!$E$4:$E$2000)
/
SUMPRODUCT(
    --(TEXT('[3]Global Weekly Stock (EWSuez'!$B$4:$B$2000,"mmm-yy")=TEXT(A1795,"mmm-yy"))
)</f>
        <v>11082</v>
      </c>
      <c r="I1795">
        <f>_xlfn.XLOOKUP(A1795,[1]ForwardDeriv!$D:$D,[1]ForwardDeriv!$AJ:$AJ)</f>
        <v>1.3799999999999955</v>
      </c>
      <c r="J1795" cm="1">
        <f t="array" ref="J1795">_xlfn.XLOOKUP(TEXT(A1795, "mmm-yy"), TEXT([2]GASOLINE!$B$5:$B$208, "mmm-yy"), [2]GASOLINE!$IR$5:$IR$208, "Not Found")</f>
        <v>116.22244506314399</v>
      </c>
      <c r="K1795" cm="1">
        <f t="array" ref="K1795">_xlfn.XLOOKUP(TEXT(A1795, "mmm-yy"), TEXT([2]GASOLINE!$B$5:$B$208, "mmm-yy"), [2]GASOLINE!$IK$5:$IK$208, "Not Found")</f>
        <v>180.34299614230832</v>
      </c>
      <c r="L1795">
        <f t="shared" ref="L1795:L1858" si="28">IF(OR(MONTH(A1795)=6, MONTH(A1795)=7, MONTH(A1795)=8, MONTH(A1795)=9), 1, 0)</f>
        <v>0</v>
      </c>
      <c r="M1795" cm="1">
        <f t="array" ref="M1795">_xlfn.XLOOKUP(TEXT(A1795, "mmm-yy"), TEXT([2]GASOLINE!$B$5:$B$208, "mmm-yy"), [2]GASOLINE!$C$5:$C$208, "Not Found")</f>
        <v>7606.402061176228</v>
      </c>
      <c r="N1795" cm="1">
        <f t="array" ref="N1795">_xlfn.XLOOKUP(TEXT(A1795, "mmm-yy"), TEXT([2]RUNS!$B$5:$B$208, "mmm-yy"), [2]RUNS!$BM$5:$BM$208, "Not Found")</f>
        <v>0.84147170537585503</v>
      </c>
    </row>
    <row r="1796" spans="1:14" x14ac:dyDescent="0.25">
      <c r="A1796" s="1">
        <f>'[1]Global_Spot Prices'!$B3105</f>
        <v>44517</v>
      </c>
      <c r="B1796">
        <f>_xlfn.XLOOKUP(A1796,'[1]Global_Spot Prices'!$B:$B,'[1]Global_Spot Prices'!$BS:$BS)</f>
        <v>12.120000000000005</v>
      </c>
      <c r="C1796">
        <f>_xlfn.XLOOKUP(A1796,'[1]Global_Spot Prices'!$B:$B,'[1]Global_Spot Prices'!$E:$E)</f>
        <v>80.989999999999995</v>
      </c>
      <c r="D1796">
        <f ca="1">_xlfn.XLOOKUP(A1796,'[1]Global_Spot Prices'!$B:$B,'[1]Global_Spot Prices'!$D:$D)</f>
        <v>82.394999999999996</v>
      </c>
      <c r="E1796">
        <f>_xlfn.XLOOKUP(A1796,'[1]Global_Spot Prices'!$B:$B,'[1]Global_Spot Prices'!$H:$H)</f>
        <v>84.86</v>
      </c>
      <c r="F1796">
        <f>_xlfn.XLOOKUP(A1796,'[1]Global_Spot Prices'!$B:$B,'[1]Global_Spot Prices'!$I:$I)</f>
        <v>93.11</v>
      </c>
      <c r="G1796" cm="1">
        <f t="array" ref="G1796">_xlfn.XLOOKUP(TEXT(A1796, "mmm-yy"), TEXT([2]RUNS!$B$5:$B$208, "mmm-yy"), [2]RUNS!$D$5:$D$208, "Not Found")</f>
        <v>30344.311167558713</v>
      </c>
      <c r="H1796" cm="1">
        <f t="array" ref="H1796">SUMPRODUCT(
    --(TEXT('[3]Global Weekly Stock (EWSuez'!$B$4:$B$2000,"mmm-yy")=TEXT(A1796,"mmm-yy")),
    '[3]Global Weekly Stock (EWSuez'!$E$4:$E$2000)
/
SUMPRODUCT(
    --(TEXT('[3]Global Weekly Stock (EWSuez'!$B$4:$B$2000,"mmm-yy")=TEXT(A1796,"mmm-yy"))
)</f>
        <v>11082</v>
      </c>
      <c r="I1796">
        <f>_xlfn.XLOOKUP(A1796,[1]ForwardDeriv!$D:$D,[1]ForwardDeriv!$AJ:$AJ)</f>
        <v>1.3100000000000023</v>
      </c>
      <c r="J1796" cm="1">
        <f t="array" ref="J1796">_xlfn.XLOOKUP(TEXT(A1796, "mmm-yy"), TEXT([2]GASOLINE!$B$5:$B$208, "mmm-yy"), [2]GASOLINE!$IR$5:$IR$208, "Not Found")</f>
        <v>116.22244506314399</v>
      </c>
      <c r="K1796" cm="1">
        <f t="array" ref="K1796">_xlfn.XLOOKUP(TEXT(A1796, "mmm-yy"), TEXT([2]GASOLINE!$B$5:$B$208, "mmm-yy"), [2]GASOLINE!$IK$5:$IK$208, "Not Found")</f>
        <v>180.34299614230832</v>
      </c>
      <c r="L1796">
        <f t="shared" si="28"/>
        <v>0</v>
      </c>
      <c r="M1796" cm="1">
        <f t="array" ref="M1796">_xlfn.XLOOKUP(TEXT(A1796, "mmm-yy"), TEXT([2]GASOLINE!$B$5:$B$208, "mmm-yy"), [2]GASOLINE!$C$5:$C$208, "Not Found")</f>
        <v>7606.402061176228</v>
      </c>
      <c r="N1796" cm="1">
        <f t="array" ref="N1796">_xlfn.XLOOKUP(TEXT(A1796, "mmm-yy"), TEXT([2]RUNS!$B$5:$B$208, "mmm-yy"), [2]RUNS!$BM$5:$BM$208, "Not Found")</f>
        <v>0.84147170537585503</v>
      </c>
    </row>
    <row r="1797" spans="1:14" x14ac:dyDescent="0.25">
      <c r="A1797" s="1">
        <f>'[1]Global_Spot Prices'!$B3106</f>
        <v>44518</v>
      </c>
      <c r="B1797">
        <f>_xlfn.XLOOKUP(A1797,'[1]Global_Spot Prices'!$B:$B,'[1]Global_Spot Prices'!$BS:$BS)</f>
        <v>10.920000000000002</v>
      </c>
      <c r="C1797">
        <f>_xlfn.XLOOKUP(A1797,'[1]Global_Spot Prices'!$B:$B,'[1]Global_Spot Prices'!$E:$E)</f>
        <v>78.64</v>
      </c>
      <c r="D1797">
        <f ca="1">_xlfn.XLOOKUP(A1797,'[1]Global_Spot Prices'!$B:$B,'[1]Global_Spot Prices'!$D:$D)</f>
        <v>82.15</v>
      </c>
      <c r="E1797">
        <f>_xlfn.XLOOKUP(A1797,'[1]Global_Spot Prices'!$B:$B,'[1]Global_Spot Prices'!$H:$H)</f>
        <v>81.94</v>
      </c>
      <c r="F1797">
        <f>_xlfn.XLOOKUP(A1797,'[1]Global_Spot Prices'!$B:$B,'[1]Global_Spot Prices'!$I:$I)</f>
        <v>89.56</v>
      </c>
      <c r="G1797" cm="1">
        <f t="array" ref="G1797">_xlfn.XLOOKUP(TEXT(A1797, "mmm-yy"), TEXT([2]RUNS!$B$5:$B$208, "mmm-yy"), [2]RUNS!$D$5:$D$208, "Not Found")</f>
        <v>30344.311167558713</v>
      </c>
      <c r="H1797" cm="1">
        <f t="array" ref="H1797">SUMPRODUCT(
    --(TEXT('[3]Global Weekly Stock (EWSuez'!$B$4:$B$2000,"mmm-yy")=TEXT(A1797,"mmm-yy")),
    '[3]Global Weekly Stock (EWSuez'!$E$4:$E$2000)
/
SUMPRODUCT(
    --(TEXT('[3]Global Weekly Stock (EWSuez'!$B$4:$B$2000,"mmm-yy")=TEXT(A1797,"mmm-yy"))
)</f>
        <v>11082</v>
      </c>
      <c r="I1797">
        <f>_xlfn.XLOOKUP(A1797,[1]ForwardDeriv!$D:$D,[1]ForwardDeriv!$AJ:$AJ)</f>
        <v>1.0900000000000034</v>
      </c>
      <c r="J1797" cm="1">
        <f t="array" ref="J1797">_xlfn.XLOOKUP(TEXT(A1797, "mmm-yy"), TEXT([2]GASOLINE!$B$5:$B$208, "mmm-yy"), [2]GASOLINE!$IR$5:$IR$208, "Not Found")</f>
        <v>116.22244506314399</v>
      </c>
      <c r="K1797" cm="1">
        <f t="array" ref="K1797">_xlfn.XLOOKUP(TEXT(A1797, "mmm-yy"), TEXT([2]GASOLINE!$B$5:$B$208, "mmm-yy"), [2]GASOLINE!$IK$5:$IK$208, "Not Found")</f>
        <v>180.34299614230832</v>
      </c>
      <c r="L1797">
        <f t="shared" si="28"/>
        <v>0</v>
      </c>
      <c r="M1797" cm="1">
        <f t="array" ref="M1797">_xlfn.XLOOKUP(TEXT(A1797, "mmm-yy"), TEXT([2]GASOLINE!$B$5:$B$208, "mmm-yy"), [2]GASOLINE!$C$5:$C$208, "Not Found")</f>
        <v>7606.402061176228</v>
      </c>
      <c r="N1797" cm="1">
        <f t="array" ref="N1797">_xlfn.XLOOKUP(TEXT(A1797, "mmm-yy"), TEXT([2]RUNS!$B$5:$B$208, "mmm-yy"), [2]RUNS!$BM$5:$BM$208, "Not Found")</f>
        <v>0.84147170537585503</v>
      </c>
    </row>
    <row r="1798" spans="1:14" x14ac:dyDescent="0.25">
      <c r="A1798" s="1">
        <f>'[1]Global_Spot Prices'!$B3107</f>
        <v>44519</v>
      </c>
      <c r="B1798">
        <f>_xlfn.XLOOKUP(A1798,'[1]Global_Spot Prices'!$B:$B,'[1]Global_Spot Prices'!$BS:$BS)</f>
        <v>10.689999999999998</v>
      </c>
      <c r="C1798">
        <f>_xlfn.XLOOKUP(A1798,'[1]Global_Spot Prices'!$B:$B,'[1]Global_Spot Prices'!$E:$E)</f>
        <v>80.900000000000006</v>
      </c>
      <c r="D1798">
        <f>_xlfn.XLOOKUP(A1798,'[1]Global_Spot Prices'!$B:$B,'[1]Global_Spot Prices'!$D:$D)</f>
        <v>79.694999999999993</v>
      </c>
      <c r="E1798">
        <f>_xlfn.XLOOKUP(A1798,'[1]Global_Spot Prices'!$B:$B,'[1]Global_Spot Prices'!$H:$H)</f>
        <v>83.88</v>
      </c>
      <c r="F1798">
        <f ca="1">_xlfn.XLOOKUP(A1798,'[1]Global_Spot Prices'!$B:$B,'[1]Global_Spot Prices'!$I:$I)</f>
        <v>91.59</v>
      </c>
      <c r="G1798" cm="1">
        <f t="array" ref="G1798">_xlfn.XLOOKUP(TEXT(A1798, "mmm-yy"), TEXT([2]RUNS!$B$5:$B$208, "mmm-yy"), [2]RUNS!$D$5:$D$208, "Not Found")</f>
        <v>30344.311167558713</v>
      </c>
      <c r="H1798" cm="1">
        <f t="array" ref="H1798">SUMPRODUCT(
    --(TEXT('[3]Global Weekly Stock (EWSuez'!$B$4:$B$2000,"mmm-yy")=TEXT(A1798,"mmm-yy")),
    '[3]Global Weekly Stock (EWSuez'!$E$4:$E$2000)
/
SUMPRODUCT(
    --(TEXT('[3]Global Weekly Stock (EWSuez'!$B$4:$B$2000,"mmm-yy")=TEXT(A1798,"mmm-yy"))
)</f>
        <v>11082</v>
      </c>
      <c r="I1798">
        <f>_xlfn.XLOOKUP(A1798,[1]ForwardDeriv!$D:$D,[1]ForwardDeriv!$AJ:$AJ)</f>
        <v>0.85000000000000853</v>
      </c>
      <c r="J1798" cm="1">
        <f t="array" ref="J1798">_xlfn.XLOOKUP(TEXT(A1798, "mmm-yy"), TEXT([2]GASOLINE!$B$5:$B$208, "mmm-yy"), [2]GASOLINE!$IR$5:$IR$208, "Not Found")</f>
        <v>116.22244506314399</v>
      </c>
      <c r="K1798" cm="1">
        <f t="array" ref="K1798">_xlfn.XLOOKUP(TEXT(A1798, "mmm-yy"), TEXT([2]GASOLINE!$B$5:$B$208, "mmm-yy"), [2]GASOLINE!$IK$5:$IK$208, "Not Found")</f>
        <v>180.34299614230832</v>
      </c>
      <c r="L1798">
        <f t="shared" si="28"/>
        <v>0</v>
      </c>
      <c r="M1798" cm="1">
        <f t="array" ref="M1798">_xlfn.XLOOKUP(TEXT(A1798, "mmm-yy"), TEXT([2]GASOLINE!$B$5:$B$208, "mmm-yy"), [2]GASOLINE!$C$5:$C$208, "Not Found")</f>
        <v>7606.402061176228</v>
      </c>
      <c r="N1798" cm="1">
        <f t="array" ref="N1798">_xlfn.XLOOKUP(TEXT(A1798, "mmm-yy"), TEXT([2]RUNS!$B$5:$B$208, "mmm-yy"), [2]RUNS!$BM$5:$BM$208, "Not Found")</f>
        <v>0.84147170537585503</v>
      </c>
    </row>
    <row r="1799" spans="1:14" x14ac:dyDescent="0.25">
      <c r="A1799" s="1">
        <f>'[1]Global_Spot Prices'!$B3108</f>
        <v>44522</v>
      </c>
      <c r="B1799">
        <f>_xlfn.XLOOKUP(A1799,'[1]Global_Spot Prices'!$B:$B,'[1]Global_Spot Prices'!$BS:$BS)</f>
        <v>8.5900000000000034</v>
      </c>
      <c r="C1799">
        <f>_xlfn.XLOOKUP(A1799,'[1]Global_Spot Prices'!$B:$B,'[1]Global_Spot Prices'!$E:$E)</f>
        <v>78.39</v>
      </c>
      <c r="D1799">
        <f>_xlfn.XLOOKUP(A1799,'[1]Global_Spot Prices'!$B:$B,'[1]Global_Spot Prices'!$D:$D)</f>
        <v>81.105000000000004</v>
      </c>
      <c r="E1799">
        <f>_xlfn.XLOOKUP(A1799,'[1]Global_Spot Prices'!$B:$B,'[1]Global_Spot Prices'!$H:$H)</f>
        <v>80.73</v>
      </c>
      <c r="F1799">
        <f>_xlfn.XLOOKUP(A1799,'[1]Global_Spot Prices'!$B:$B,'[1]Global_Spot Prices'!$I:$I)</f>
        <v>86.98</v>
      </c>
      <c r="G1799" cm="1">
        <f t="array" ref="G1799">_xlfn.XLOOKUP(TEXT(A1799, "mmm-yy"), TEXT([2]RUNS!$B$5:$B$208, "mmm-yy"), [2]RUNS!$D$5:$D$208, "Not Found")</f>
        <v>30344.311167558713</v>
      </c>
      <c r="H1799" cm="1">
        <f t="array" ref="H1799">SUMPRODUCT(
    --(TEXT('[3]Global Weekly Stock (EWSuez'!$B$4:$B$2000,"mmm-yy")=TEXT(A1799,"mmm-yy")),
    '[3]Global Weekly Stock (EWSuez'!$E$4:$E$2000)
/
SUMPRODUCT(
    --(TEXT('[3]Global Weekly Stock (EWSuez'!$B$4:$B$2000,"mmm-yy")=TEXT(A1799,"mmm-yy"))
)</f>
        <v>11082</v>
      </c>
      <c r="I1799">
        <f>_xlfn.XLOOKUP(A1799,[1]ForwardDeriv!$D:$D,[1]ForwardDeriv!$AJ:$AJ)</f>
        <v>0.79999999999999716</v>
      </c>
      <c r="J1799" cm="1">
        <f t="array" ref="J1799">_xlfn.XLOOKUP(TEXT(A1799, "mmm-yy"), TEXT([2]GASOLINE!$B$5:$B$208, "mmm-yy"), [2]GASOLINE!$IR$5:$IR$208, "Not Found")</f>
        <v>116.22244506314399</v>
      </c>
      <c r="K1799" cm="1">
        <f t="array" ref="K1799">_xlfn.XLOOKUP(TEXT(A1799, "mmm-yy"), TEXT([2]GASOLINE!$B$5:$B$208, "mmm-yy"), [2]GASOLINE!$IK$5:$IK$208, "Not Found")</f>
        <v>180.34299614230832</v>
      </c>
      <c r="L1799">
        <f t="shared" si="28"/>
        <v>0</v>
      </c>
      <c r="M1799" cm="1">
        <f t="array" ref="M1799">_xlfn.XLOOKUP(TEXT(A1799, "mmm-yy"), TEXT([2]GASOLINE!$B$5:$B$208, "mmm-yy"), [2]GASOLINE!$C$5:$C$208, "Not Found")</f>
        <v>7606.402061176228</v>
      </c>
      <c r="N1799" cm="1">
        <f t="array" ref="N1799">_xlfn.XLOOKUP(TEXT(A1799, "mmm-yy"), TEXT([2]RUNS!$B$5:$B$208, "mmm-yy"), [2]RUNS!$BM$5:$BM$208, "Not Found")</f>
        <v>0.84147170537585503</v>
      </c>
    </row>
    <row r="1800" spans="1:14" x14ac:dyDescent="0.25">
      <c r="A1800" s="1">
        <f>'[1]Global_Spot Prices'!$B3109</f>
        <v>44523</v>
      </c>
      <c r="B1800">
        <f ca="1">_xlfn.XLOOKUP(A1800,'[1]Global_Spot Prices'!$B:$B,'[1]Global_Spot Prices'!$BS:$BS)</f>
        <v>8.9200000000000017</v>
      </c>
      <c r="C1800">
        <f>_xlfn.XLOOKUP(A1800,'[1]Global_Spot Prices'!$B:$B,'[1]Global_Spot Prices'!$E:$E)</f>
        <v>78.45</v>
      </c>
      <c r="D1800">
        <f ca="1">_xlfn.XLOOKUP(A1800,'[1]Global_Spot Prices'!$B:$B,'[1]Global_Spot Prices'!$D:$D)</f>
        <v>82.825000000000003</v>
      </c>
      <c r="E1800">
        <f ca="1">_xlfn.XLOOKUP(A1800,'[1]Global_Spot Prices'!$B:$B,'[1]Global_Spot Prices'!$H:$H)</f>
        <v>80.819999999999993</v>
      </c>
      <c r="F1800">
        <f>_xlfn.XLOOKUP(A1800,'[1]Global_Spot Prices'!$B:$B,'[1]Global_Spot Prices'!$I:$I)</f>
        <v>87.37</v>
      </c>
      <c r="G1800" cm="1">
        <f t="array" ref="G1800">_xlfn.XLOOKUP(TEXT(A1800, "mmm-yy"), TEXT([2]RUNS!$B$5:$B$208, "mmm-yy"), [2]RUNS!$D$5:$D$208, "Not Found")</f>
        <v>30344.311167558713</v>
      </c>
      <c r="H1800" cm="1">
        <f t="array" ref="H1800">SUMPRODUCT(
    --(TEXT('[3]Global Weekly Stock (EWSuez'!$B$4:$B$2000,"mmm-yy")=TEXT(A1800,"mmm-yy")),
    '[3]Global Weekly Stock (EWSuez'!$E$4:$E$2000)
/
SUMPRODUCT(
    --(TEXT('[3]Global Weekly Stock (EWSuez'!$B$4:$B$2000,"mmm-yy")=TEXT(A1800,"mmm-yy"))
)</f>
        <v>11082</v>
      </c>
      <c r="I1800">
        <f>_xlfn.XLOOKUP(A1800,[1]ForwardDeriv!$D:$D,[1]ForwardDeriv!$AJ:$AJ)</f>
        <v>0.85999999999999943</v>
      </c>
      <c r="J1800" cm="1">
        <f t="array" ref="J1800">_xlfn.XLOOKUP(TEXT(A1800, "mmm-yy"), TEXT([2]GASOLINE!$B$5:$B$208, "mmm-yy"), [2]GASOLINE!$IR$5:$IR$208, "Not Found")</f>
        <v>116.22244506314399</v>
      </c>
      <c r="K1800" cm="1">
        <f t="array" ref="K1800">_xlfn.XLOOKUP(TEXT(A1800, "mmm-yy"), TEXT([2]GASOLINE!$B$5:$B$208, "mmm-yy"), [2]GASOLINE!$IK$5:$IK$208, "Not Found")</f>
        <v>180.34299614230832</v>
      </c>
      <c r="L1800">
        <f t="shared" si="28"/>
        <v>0</v>
      </c>
      <c r="M1800" cm="1">
        <f t="array" ref="M1800">_xlfn.XLOOKUP(TEXT(A1800, "mmm-yy"), TEXT([2]GASOLINE!$B$5:$B$208, "mmm-yy"), [2]GASOLINE!$C$5:$C$208, "Not Found")</f>
        <v>7606.402061176228</v>
      </c>
      <c r="N1800" cm="1">
        <f t="array" ref="N1800">_xlfn.XLOOKUP(TEXT(A1800, "mmm-yy"), TEXT([2]RUNS!$B$5:$B$208, "mmm-yy"), [2]RUNS!$BM$5:$BM$208, "Not Found")</f>
        <v>0.84147170537585503</v>
      </c>
    </row>
    <row r="1801" spans="1:14" x14ac:dyDescent="0.25">
      <c r="A1801" s="1">
        <f>'[1]Global_Spot Prices'!$B3110</f>
        <v>44524</v>
      </c>
      <c r="B1801">
        <f>_xlfn.XLOOKUP(A1801,'[1]Global_Spot Prices'!$B:$B,'[1]Global_Spot Prices'!$BS:$BS)</f>
        <v>8.6799999999999926</v>
      </c>
      <c r="C1801">
        <f>_xlfn.XLOOKUP(A1801,'[1]Global_Spot Prices'!$B:$B,'[1]Global_Spot Prices'!$E:$E)</f>
        <v>81.84</v>
      </c>
      <c r="D1801">
        <f>_xlfn.XLOOKUP(A1801,'[1]Global_Spot Prices'!$B:$B,'[1]Global_Spot Prices'!$D:$D)</f>
        <v>83.125</v>
      </c>
      <c r="E1801">
        <f>_xlfn.XLOOKUP(A1801,'[1]Global_Spot Prices'!$B:$B,'[1]Global_Spot Prices'!$H:$H)</f>
        <v>83.54</v>
      </c>
      <c r="F1801">
        <f>_xlfn.XLOOKUP(A1801,'[1]Global_Spot Prices'!$B:$B,'[1]Global_Spot Prices'!$I:$I)</f>
        <v>90.52</v>
      </c>
      <c r="G1801" cm="1">
        <f t="array" ref="G1801">_xlfn.XLOOKUP(TEXT(A1801, "mmm-yy"), TEXT([2]RUNS!$B$5:$B$208, "mmm-yy"), [2]RUNS!$D$5:$D$208, "Not Found")</f>
        <v>30344.311167558713</v>
      </c>
      <c r="H1801" cm="1">
        <f t="array" ref="H1801">SUMPRODUCT(
    --(TEXT('[3]Global Weekly Stock (EWSuez'!$B$4:$B$2000,"mmm-yy")=TEXT(A1801,"mmm-yy")),
    '[3]Global Weekly Stock (EWSuez'!$E$4:$E$2000)
/
SUMPRODUCT(
    --(TEXT('[3]Global Weekly Stock (EWSuez'!$B$4:$B$2000,"mmm-yy")=TEXT(A1801,"mmm-yy"))
)</f>
        <v>11082</v>
      </c>
      <c r="I1801">
        <f>_xlfn.XLOOKUP(A1801,[1]ForwardDeriv!$D:$D,[1]ForwardDeriv!$AJ:$AJ)</f>
        <v>0.78000000000000114</v>
      </c>
      <c r="J1801" cm="1">
        <f t="array" ref="J1801">_xlfn.XLOOKUP(TEXT(A1801, "mmm-yy"), TEXT([2]GASOLINE!$B$5:$B$208, "mmm-yy"), [2]GASOLINE!$IR$5:$IR$208, "Not Found")</f>
        <v>116.22244506314399</v>
      </c>
      <c r="K1801" cm="1">
        <f t="array" ref="K1801">_xlfn.XLOOKUP(TEXT(A1801, "mmm-yy"), TEXT([2]GASOLINE!$B$5:$B$208, "mmm-yy"), [2]GASOLINE!$IK$5:$IK$208, "Not Found")</f>
        <v>180.34299614230832</v>
      </c>
      <c r="L1801">
        <f t="shared" si="28"/>
        <v>0</v>
      </c>
      <c r="M1801" cm="1">
        <f t="array" ref="M1801">_xlfn.XLOOKUP(TEXT(A1801, "mmm-yy"), TEXT([2]GASOLINE!$B$5:$B$208, "mmm-yy"), [2]GASOLINE!$C$5:$C$208, "Not Found")</f>
        <v>7606.402061176228</v>
      </c>
      <c r="N1801" cm="1">
        <f t="array" ref="N1801">_xlfn.XLOOKUP(TEXT(A1801, "mmm-yy"), TEXT([2]RUNS!$B$5:$B$208, "mmm-yy"), [2]RUNS!$BM$5:$BM$208, "Not Found")</f>
        <v>0.84147170537585503</v>
      </c>
    </row>
    <row r="1802" spans="1:14" x14ac:dyDescent="0.25">
      <c r="A1802" s="1">
        <f>'[1]Global_Spot Prices'!$B3111</f>
        <v>44525</v>
      </c>
      <c r="B1802">
        <f>_xlfn.XLOOKUP(A1802,'[1]Global_Spot Prices'!$B:$B,'[1]Global_Spot Prices'!$BS:$BS)</f>
        <v>8.4599999999999937</v>
      </c>
      <c r="C1802">
        <f>_xlfn.XLOOKUP(A1802,'[1]Global_Spot Prices'!$B:$B,'[1]Global_Spot Prices'!$E:$E)</f>
        <v>81.400000000000006</v>
      </c>
      <c r="D1802">
        <f>_xlfn.XLOOKUP(A1802,'[1]Global_Spot Prices'!$B:$B,'[1]Global_Spot Prices'!$D:$D)</f>
        <v>82.26</v>
      </c>
      <c r="E1802">
        <f ca="1">_xlfn.XLOOKUP(A1802,'[1]Global_Spot Prices'!$B:$B,'[1]Global_Spot Prices'!$H:$H)</f>
        <v>83.21</v>
      </c>
      <c r="F1802">
        <f ca="1">_xlfn.XLOOKUP(A1802,'[1]Global_Spot Prices'!$B:$B,'[1]Global_Spot Prices'!$I:$I)</f>
        <v>89.86</v>
      </c>
      <c r="G1802" cm="1">
        <f t="array" ref="G1802">_xlfn.XLOOKUP(TEXT(A1802, "mmm-yy"), TEXT([2]RUNS!$B$5:$B$208, "mmm-yy"), [2]RUNS!$D$5:$D$208, "Not Found")</f>
        <v>30344.311167558713</v>
      </c>
      <c r="H1802" cm="1">
        <f t="array" ref="H1802">SUMPRODUCT(
    --(TEXT('[3]Global Weekly Stock (EWSuez'!$B$4:$B$2000,"mmm-yy")=TEXT(A1802,"mmm-yy")),
    '[3]Global Weekly Stock (EWSuez'!$E$4:$E$2000)
/
SUMPRODUCT(
    --(TEXT('[3]Global Weekly Stock (EWSuez'!$B$4:$B$2000,"mmm-yy")=TEXT(A1802,"mmm-yy"))
)</f>
        <v>11082</v>
      </c>
      <c r="I1802">
        <f>_xlfn.XLOOKUP(A1802,[1]ForwardDeriv!$D:$D,[1]ForwardDeriv!$AJ:$AJ)</f>
        <v>0.60000000000000853</v>
      </c>
      <c r="J1802" cm="1">
        <f t="array" ref="J1802">_xlfn.XLOOKUP(TEXT(A1802, "mmm-yy"), TEXT([2]GASOLINE!$B$5:$B$208, "mmm-yy"), [2]GASOLINE!$IR$5:$IR$208, "Not Found")</f>
        <v>116.22244506314399</v>
      </c>
      <c r="K1802" cm="1">
        <f t="array" ref="K1802">_xlfn.XLOOKUP(TEXT(A1802, "mmm-yy"), TEXT([2]GASOLINE!$B$5:$B$208, "mmm-yy"), [2]GASOLINE!$IK$5:$IK$208, "Not Found")</f>
        <v>180.34299614230832</v>
      </c>
      <c r="L1802">
        <f t="shared" si="28"/>
        <v>0</v>
      </c>
      <c r="M1802" cm="1">
        <f t="array" ref="M1802">_xlfn.XLOOKUP(TEXT(A1802, "mmm-yy"), TEXT([2]GASOLINE!$B$5:$B$208, "mmm-yy"), [2]GASOLINE!$C$5:$C$208, "Not Found")</f>
        <v>7606.402061176228</v>
      </c>
      <c r="N1802" cm="1">
        <f t="array" ref="N1802">_xlfn.XLOOKUP(TEXT(A1802, "mmm-yy"), TEXT([2]RUNS!$B$5:$B$208, "mmm-yy"), [2]RUNS!$BM$5:$BM$208, "Not Found")</f>
        <v>0.84147170537585503</v>
      </c>
    </row>
    <row r="1803" spans="1:14" x14ac:dyDescent="0.25">
      <c r="A1803" s="1">
        <f>'[1]Global_Spot Prices'!$B3112</f>
        <v>44526</v>
      </c>
      <c r="B1803">
        <f>_xlfn.XLOOKUP(A1803,'[1]Global_Spot Prices'!$B:$B,'[1]Global_Spot Prices'!$BS:$BS)</f>
        <v>7.2800000000000011</v>
      </c>
      <c r="C1803">
        <f ca="1">_xlfn.XLOOKUP(A1803,'[1]Global_Spot Prices'!$B:$B,'[1]Global_Spot Prices'!$E:$E)</f>
        <v>77.349999999999994</v>
      </c>
      <c r="D1803">
        <f>_xlfn.XLOOKUP(A1803,'[1]Global_Spot Prices'!$B:$B,'[1]Global_Spot Prices'!$D:$D)</f>
        <v>73.27</v>
      </c>
      <c r="E1803">
        <f>_xlfn.XLOOKUP(A1803,'[1]Global_Spot Prices'!$B:$B,'[1]Global_Spot Prices'!$H:$H)</f>
        <v>79.400000000000006</v>
      </c>
      <c r="F1803">
        <f>_xlfn.XLOOKUP(A1803,'[1]Global_Spot Prices'!$B:$B,'[1]Global_Spot Prices'!$I:$I)</f>
        <v>84.63</v>
      </c>
      <c r="G1803" cm="1">
        <f t="array" ref="G1803">_xlfn.XLOOKUP(TEXT(A1803, "mmm-yy"), TEXT([2]RUNS!$B$5:$B$208, "mmm-yy"), [2]RUNS!$D$5:$D$208, "Not Found")</f>
        <v>30344.311167558713</v>
      </c>
      <c r="H1803" cm="1">
        <f t="array" ref="H1803">SUMPRODUCT(
    --(TEXT('[3]Global Weekly Stock (EWSuez'!$B$4:$B$2000,"mmm-yy")=TEXT(A1803,"mmm-yy")),
    '[3]Global Weekly Stock (EWSuez'!$E$4:$E$2000)
/
SUMPRODUCT(
    --(TEXT('[3]Global Weekly Stock (EWSuez'!$B$4:$B$2000,"mmm-yy")=TEXT(A1803,"mmm-yy"))
)</f>
        <v>11082</v>
      </c>
      <c r="I1803">
        <f>_xlfn.XLOOKUP(A1803,[1]ForwardDeriv!$D:$D,[1]ForwardDeriv!$AJ:$AJ)</f>
        <v>0.45999999999999375</v>
      </c>
      <c r="J1803" cm="1">
        <f t="array" ref="J1803">_xlfn.XLOOKUP(TEXT(A1803, "mmm-yy"), TEXT([2]GASOLINE!$B$5:$B$208, "mmm-yy"), [2]GASOLINE!$IR$5:$IR$208, "Not Found")</f>
        <v>116.22244506314399</v>
      </c>
      <c r="K1803" cm="1">
        <f t="array" ref="K1803">_xlfn.XLOOKUP(TEXT(A1803, "mmm-yy"), TEXT([2]GASOLINE!$B$5:$B$208, "mmm-yy"), [2]GASOLINE!$IK$5:$IK$208, "Not Found")</f>
        <v>180.34299614230832</v>
      </c>
      <c r="L1803">
        <f t="shared" si="28"/>
        <v>0</v>
      </c>
      <c r="M1803" cm="1">
        <f t="array" ref="M1803">_xlfn.XLOOKUP(TEXT(A1803, "mmm-yy"), TEXT([2]GASOLINE!$B$5:$B$208, "mmm-yy"), [2]GASOLINE!$C$5:$C$208, "Not Found")</f>
        <v>7606.402061176228</v>
      </c>
      <c r="N1803" cm="1">
        <f t="array" ref="N1803">_xlfn.XLOOKUP(TEXT(A1803, "mmm-yy"), TEXT([2]RUNS!$B$5:$B$208, "mmm-yy"), [2]RUNS!$BM$5:$BM$208, "Not Found")</f>
        <v>0.84147170537585503</v>
      </c>
    </row>
    <row r="1804" spans="1:14" x14ac:dyDescent="0.25">
      <c r="A1804" s="1">
        <f>'[1]Global_Spot Prices'!$B3113</f>
        <v>44529</v>
      </c>
      <c r="B1804">
        <f>_xlfn.XLOOKUP(A1804,'[1]Global_Spot Prices'!$B:$B,'[1]Global_Spot Prices'!$BS:$BS)</f>
        <v>7.5599999999999881</v>
      </c>
      <c r="C1804">
        <f>_xlfn.XLOOKUP(A1804,'[1]Global_Spot Prices'!$B:$B,'[1]Global_Spot Prices'!$E:$E)</f>
        <v>75.150000000000006</v>
      </c>
      <c r="D1804">
        <f>_xlfn.XLOOKUP(A1804,'[1]Global_Spot Prices'!$B:$B,'[1]Global_Spot Prices'!$D:$D)</f>
        <v>74.95</v>
      </c>
      <c r="E1804">
        <f>_xlfn.XLOOKUP(A1804,'[1]Global_Spot Prices'!$B:$B,'[1]Global_Spot Prices'!$H:$H)</f>
        <v>78.209999999999994</v>
      </c>
      <c r="F1804">
        <f>_xlfn.XLOOKUP(A1804,'[1]Global_Spot Prices'!$B:$B,'[1]Global_Spot Prices'!$I:$I)</f>
        <v>82.71</v>
      </c>
      <c r="G1804" cm="1">
        <f t="array" ref="G1804">_xlfn.XLOOKUP(TEXT(A1804, "mmm-yy"), TEXT([2]RUNS!$B$5:$B$208, "mmm-yy"), [2]RUNS!$D$5:$D$208, "Not Found")</f>
        <v>30344.311167558713</v>
      </c>
      <c r="H1804" cm="1">
        <f t="array" ref="H1804">SUMPRODUCT(
    --(TEXT('[3]Global Weekly Stock (EWSuez'!$B$4:$B$2000,"mmm-yy")=TEXT(A1804,"mmm-yy")),
    '[3]Global Weekly Stock (EWSuez'!$E$4:$E$2000)
/
SUMPRODUCT(
    --(TEXT('[3]Global Weekly Stock (EWSuez'!$B$4:$B$2000,"mmm-yy")=TEXT(A1804,"mmm-yy"))
)</f>
        <v>11082</v>
      </c>
      <c r="I1804">
        <f>_xlfn.XLOOKUP(A1804,[1]ForwardDeriv!$D:$D,[1]ForwardDeriv!$AJ:$AJ)</f>
        <v>0.47999999999998977</v>
      </c>
      <c r="J1804" cm="1">
        <f t="array" ref="J1804">_xlfn.XLOOKUP(TEXT(A1804, "mmm-yy"), TEXT([2]GASOLINE!$B$5:$B$208, "mmm-yy"), [2]GASOLINE!$IR$5:$IR$208, "Not Found")</f>
        <v>116.22244506314399</v>
      </c>
      <c r="K1804" cm="1">
        <f t="array" ref="K1804">_xlfn.XLOOKUP(TEXT(A1804, "mmm-yy"), TEXT([2]GASOLINE!$B$5:$B$208, "mmm-yy"), [2]GASOLINE!$IK$5:$IK$208, "Not Found")</f>
        <v>180.34299614230832</v>
      </c>
      <c r="L1804">
        <f t="shared" si="28"/>
        <v>0</v>
      </c>
      <c r="M1804" cm="1">
        <f t="array" ref="M1804">_xlfn.XLOOKUP(TEXT(A1804, "mmm-yy"), TEXT([2]GASOLINE!$B$5:$B$208, "mmm-yy"), [2]GASOLINE!$C$5:$C$208, "Not Found")</f>
        <v>7606.402061176228</v>
      </c>
      <c r="N1804" cm="1">
        <f t="array" ref="N1804">_xlfn.XLOOKUP(TEXT(A1804, "mmm-yy"), TEXT([2]RUNS!$B$5:$B$208, "mmm-yy"), [2]RUNS!$BM$5:$BM$208, "Not Found")</f>
        <v>0.84147170537585503</v>
      </c>
    </row>
    <row r="1805" spans="1:14" x14ac:dyDescent="0.25">
      <c r="A1805" s="1">
        <f>'[1]Global_Spot Prices'!$B3114</f>
        <v>44530</v>
      </c>
      <c r="B1805">
        <f>_xlfn.XLOOKUP(A1805,'[1]Global_Spot Prices'!$B:$B,'[1]Global_Spot Prices'!$BS:$BS)</f>
        <v>8.3000000000000114</v>
      </c>
      <c r="C1805">
        <f>_xlfn.XLOOKUP(A1805,'[1]Global_Spot Prices'!$B:$B,'[1]Global_Spot Prices'!$E:$E)</f>
        <v>71.849999999999994</v>
      </c>
      <c r="D1805">
        <f>_xlfn.XLOOKUP(A1805,'[1]Global_Spot Prices'!$B:$B,'[1]Global_Spot Prices'!$D:$D)</f>
        <v>70.959999999999994</v>
      </c>
      <c r="E1805">
        <f>_xlfn.XLOOKUP(A1805,'[1]Global_Spot Prices'!$B:$B,'[1]Global_Spot Prices'!$H:$H)</f>
        <v>75.84</v>
      </c>
      <c r="F1805">
        <f>_xlfn.XLOOKUP(A1805,'[1]Global_Spot Prices'!$B:$B,'[1]Global_Spot Prices'!$I:$I)</f>
        <v>80.150000000000006</v>
      </c>
      <c r="G1805" cm="1">
        <f t="array" ref="G1805">_xlfn.XLOOKUP(TEXT(A1805, "mmm-yy"), TEXT([2]RUNS!$B$5:$B$208, "mmm-yy"), [2]RUNS!$D$5:$D$208, "Not Found")</f>
        <v>30344.311167558713</v>
      </c>
      <c r="H1805" cm="1">
        <f t="array" ref="H1805">SUMPRODUCT(
    --(TEXT('[3]Global Weekly Stock (EWSuez'!$B$4:$B$2000,"mmm-yy")=TEXT(A1805,"mmm-yy")),
    '[3]Global Weekly Stock (EWSuez'!$E$4:$E$2000)
/
SUMPRODUCT(
    --(TEXT('[3]Global Weekly Stock (EWSuez'!$B$4:$B$2000,"mmm-yy")=TEXT(A1805,"mmm-yy"))
)</f>
        <v>11082</v>
      </c>
      <c r="I1805">
        <f>_xlfn.XLOOKUP(A1805,[1]ForwardDeriv!$D:$D,[1]ForwardDeriv!$AJ:$AJ)</f>
        <v>0.62999999999999545</v>
      </c>
      <c r="J1805" cm="1">
        <f t="array" ref="J1805">_xlfn.XLOOKUP(TEXT(A1805, "mmm-yy"), TEXT([2]GASOLINE!$B$5:$B$208, "mmm-yy"), [2]GASOLINE!$IR$5:$IR$208, "Not Found")</f>
        <v>116.22244506314399</v>
      </c>
      <c r="K1805" cm="1">
        <f t="array" ref="K1805">_xlfn.XLOOKUP(TEXT(A1805, "mmm-yy"), TEXT([2]GASOLINE!$B$5:$B$208, "mmm-yy"), [2]GASOLINE!$IK$5:$IK$208, "Not Found")</f>
        <v>180.34299614230832</v>
      </c>
      <c r="L1805">
        <f t="shared" si="28"/>
        <v>0</v>
      </c>
      <c r="M1805" cm="1">
        <f t="array" ref="M1805">_xlfn.XLOOKUP(TEXT(A1805, "mmm-yy"), TEXT([2]GASOLINE!$B$5:$B$208, "mmm-yy"), [2]GASOLINE!$C$5:$C$208, "Not Found")</f>
        <v>7606.402061176228</v>
      </c>
      <c r="N1805" cm="1">
        <f t="array" ref="N1805">_xlfn.XLOOKUP(TEXT(A1805, "mmm-yy"), TEXT([2]RUNS!$B$5:$B$208, "mmm-yy"), [2]RUNS!$BM$5:$BM$208, "Not Found")</f>
        <v>0.84147170537585503</v>
      </c>
    </row>
    <row r="1806" spans="1:14" x14ac:dyDescent="0.25">
      <c r="A1806" s="1">
        <f>'[1]Global_Spot Prices'!$B3115</f>
        <v>44531</v>
      </c>
      <c r="B1806">
        <f ca="1">_xlfn.XLOOKUP(A1806,'[1]Global_Spot Prices'!$B:$B,'[1]Global_Spot Prices'!$BS:$BS)</f>
        <v>8.4500000000000028</v>
      </c>
      <c r="C1806">
        <f>_xlfn.XLOOKUP(A1806,'[1]Global_Spot Prices'!$B:$B,'[1]Global_Spot Prices'!$E:$E)</f>
        <v>71.099999999999994</v>
      </c>
      <c r="D1806">
        <f ca="1">_xlfn.XLOOKUP(A1806,'[1]Global_Spot Prices'!$B:$B,'[1]Global_Spot Prices'!$D:$D)</f>
        <v>71.944999999999993</v>
      </c>
      <c r="E1806">
        <f>_xlfn.XLOOKUP(A1806,'[1]Global_Spot Prices'!$B:$B,'[1]Global_Spot Prices'!$H:$H)</f>
        <v>75.150000000000006</v>
      </c>
      <c r="F1806">
        <f>_xlfn.XLOOKUP(A1806,'[1]Global_Spot Prices'!$B:$B,'[1]Global_Spot Prices'!$I:$I)</f>
        <v>79.55</v>
      </c>
      <c r="G1806" cm="1">
        <f t="array" ref="G1806">_xlfn.XLOOKUP(TEXT(A1806, "mmm-yy"), TEXT([2]RUNS!$B$5:$B$208, "mmm-yy"), [2]RUNS!$D$5:$D$208, "Not Found")</f>
        <v>30146.443822304802</v>
      </c>
      <c r="H1806" cm="1">
        <f t="array" ref="H1806">SUMPRODUCT(
    --(TEXT('[3]Global Weekly Stock (EWSuez'!$B$4:$B$2000,"mmm-yy")=TEXT(A1806,"mmm-yy")),
    '[3]Global Weekly Stock (EWSuez'!$E$4:$E$2000)
/
SUMPRODUCT(
    --(TEXT('[3]Global Weekly Stock (EWSuez'!$B$4:$B$2000,"mmm-yy")=TEXT(A1806,"mmm-yy"))
)</f>
        <v>12124.4</v>
      </c>
      <c r="I1806">
        <f>_xlfn.XLOOKUP(A1806,[1]ForwardDeriv!$D:$D,[1]ForwardDeriv!$AJ:$AJ)</f>
        <v>0.42999999999999261</v>
      </c>
      <c r="J1806" cm="1">
        <f t="array" ref="J1806">_xlfn.XLOOKUP(TEXT(A1806, "mmm-yy"), TEXT([2]GASOLINE!$B$5:$B$208, "mmm-yy"), [2]GASOLINE!$IR$5:$IR$208, "Not Found")</f>
        <v>74.183131015526499</v>
      </c>
      <c r="K1806" cm="1">
        <f t="array" ref="K1806">_xlfn.XLOOKUP(TEXT(A1806, "mmm-yy"), TEXT([2]GASOLINE!$B$5:$B$208, "mmm-yy"), [2]GASOLINE!$IK$5:$IK$208, "Not Found")</f>
        <v>190.85890212466958</v>
      </c>
      <c r="L1806">
        <f t="shared" si="28"/>
        <v>0</v>
      </c>
      <c r="M1806" cm="1">
        <f t="array" ref="M1806">_xlfn.XLOOKUP(TEXT(A1806, "mmm-yy"), TEXT([2]GASOLINE!$B$5:$B$208, "mmm-yy"), [2]GASOLINE!$C$5:$C$208, "Not Found")</f>
        <v>7607.024566770725</v>
      </c>
      <c r="N1806" cm="1">
        <f t="array" ref="N1806">_xlfn.XLOOKUP(TEXT(A1806, "mmm-yy"), TEXT([2]RUNS!$B$5:$B$208, "mmm-yy"), [2]RUNS!$BM$5:$BM$208, "Not Found")</f>
        <v>0.83598468767657019</v>
      </c>
    </row>
    <row r="1807" spans="1:14" x14ac:dyDescent="0.25">
      <c r="A1807" s="1">
        <f>'[1]Global_Spot Prices'!$B3116</f>
        <v>44532</v>
      </c>
      <c r="B1807">
        <f>_xlfn.XLOOKUP(A1807,'[1]Global_Spot Prices'!$B:$B,'[1]Global_Spot Prices'!$BS:$BS)</f>
        <v>9.7000000000000028</v>
      </c>
      <c r="C1807">
        <f>_xlfn.XLOOKUP(A1807,'[1]Global_Spot Prices'!$B:$B,'[1]Global_Spot Prices'!$E:$E)</f>
        <v>69.11</v>
      </c>
      <c r="D1807">
        <f>_xlfn.XLOOKUP(A1807,'[1]Global_Spot Prices'!$B:$B,'[1]Global_Spot Prices'!$D:$D)</f>
        <v>70.704999999999998</v>
      </c>
      <c r="E1807">
        <f>_xlfn.XLOOKUP(A1807,'[1]Global_Spot Prices'!$B:$B,'[1]Global_Spot Prices'!$H:$H)</f>
        <v>73.459999999999994</v>
      </c>
      <c r="F1807">
        <f>_xlfn.XLOOKUP(A1807,'[1]Global_Spot Prices'!$B:$B,'[1]Global_Spot Prices'!$I:$I)</f>
        <v>78.81</v>
      </c>
      <c r="G1807" cm="1">
        <f t="array" ref="G1807">_xlfn.XLOOKUP(TEXT(A1807, "mmm-yy"), TEXT([2]RUNS!$B$5:$B$208, "mmm-yy"), [2]RUNS!$D$5:$D$208, "Not Found")</f>
        <v>30146.443822304802</v>
      </c>
      <c r="H1807" cm="1">
        <f t="array" ref="H1807">SUMPRODUCT(
    --(TEXT('[3]Global Weekly Stock (EWSuez'!$B$4:$B$2000,"mmm-yy")=TEXT(A1807,"mmm-yy")),
    '[3]Global Weekly Stock (EWSuez'!$E$4:$E$2000)
/
SUMPRODUCT(
    --(TEXT('[3]Global Weekly Stock (EWSuez'!$B$4:$B$2000,"mmm-yy")=TEXT(A1807,"mmm-yy"))
)</f>
        <v>12124.4</v>
      </c>
      <c r="I1807">
        <f>_xlfn.XLOOKUP(A1807,[1]ForwardDeriv!$D:$D,[1]ForwardDeriv!$AJ:$AJ)</f>
        <v>0.5</v>
      </c>
      <c r="J1807" cm="1">
        <f t="array" ref="J1807">_xlfn.XLOOKUP(TEXT(A1807, "mmm-yy"), TEXT([2]GASOLINE!$B$5:$B$208, "mmm-yy"), [2]GASOLINE!$IR$5:$IR$208, "Not Found")</f>
        <v>74.183131015526499</v>
      </c>
      <c r="K1807" cm="1">
        <f t="array" ref="K1807">_xlfn.XLOOKUP(TEXT(A1807, "mmm-yy"), TEXT([2]GASOLINE!$B$5:$B$208, "mmm-yy"), [2]GASOLINE!$IK$5:$IK$208, "Not Found")</f>
        <v>190.85890212466958</v>
      </c>
      <c r="L1807">
        <f t="shared" si="28"/>
        <v>0</v>
      </c>
      <c r="M1807" cm="1">
        <f t="array" ref="M1807">_xlfn.XLOOKUP(TEXT(A1807, "mmm-yy"), TEXT([2]GASOLINE!$B$5:$B$208, "mmm-yy"), [2]GASOLINE!$C$5:$C$208, "Not Found")</f>
        <v>7607.024566770725</v>
      </c>
      <c r="N1807" cm="1">
        <f t="array" ref="N1807">_xlfn.XLOOKUP(TEXT(A1807, "mmm-yy"), TEXT([2]RUNS!$B$5:$B$208, "mmm-yy"), [2]RUNS!$BM$5:$BM$208, "Not Found")</f>
        <v>0.83598468767657019</v>
      </c>
    </row>
    <row r="1808" spans="1:14" x14ac:dyDescent="0.25">
      <c r="A1808" s="1">
        <f>'[1]Global_Spot Prices'!$B3117</f>
        <v>44533</v>
      </c>
      <c r="B1808">
        <f>_xlfn.XLOOKUP(A1808,'[1]Global_Spot Prices'!$B:$B,'[1]Global_Spot Prices'!$BS:$BS)</f>
        <v>9.769999999999996</v>
      </c>
      <c r="C1808">
        <f>_xlfn.XLOOKUP(A1808,'[1]Global_Spot Prices'!$B:$B,'[1]Global_Spot Prices'!$E:$E)</f>
        <v>70.760000000000005</v>
      </c>
      <c r="D1808">
        <f>_xlfn.XLOOKUP(A1808,'[1]Global_Spot Prices'!$B:$B,'[1]Global_Spot Prices'!$D:$D)</f>
        <v>71.92</v>
      </c>
      <c r="E1808">
        <f ca="1">_xlfn.XLOOKUP(A1808,'[1]Global_Spot Prices'!$B:$B,'[1]Global_Spot Prices'!$H:$H)</f>
        <v>74.33</v>
      </c>
      <c r="F1808">
        <f>_xlfn.XLOOKUP(A1808,'[1]Global_Spot Prices'!$B:$B,'[1]Global_Spot Prices'!$I:$I)</f>
        <v>80.53</v>
      </c>
      <c r="G1808" cm="1">
        <f t="array" ref="G1808">_xlfn.XLOOKUP(TEXT(A1808, "mmm-yy"), TEXT([2]RUNS!$B$5:$B$208, "mmm-yy"), [2]RUNS!$D$5:$D$208, "Not Found")</f>
        <v>30146.443822304802</v>
      </c>
      <c r="H1808" cm="1">
        <f t="array" ref="H1808">SUMPRODUCT(
    --(TEXT('[3]Global Weekly Stock (EWSuez'!$B$4:$B$2000,"mmm-yy")=TEXT(A1808,"mmm-yy")),
    '[3]Global Weekly Stock (EWSuez'!$E$4:$E$2000)
/
SUMPRODUCT(
    --(TEXT('[3]Global Weekly Stock (EWSuez'!$B$4:$B$2000,"mmm-yy")=TEXT(A1808,"mmm-yy"))
)</f>
        <v>12124.4</v>
      </c>
      <c r="I1808">
        <f>_xlfn.XLOOKUP(A1808,[1]ForwardDeriv!$D:$D,[1]ForwardDeriv!$AJ:$AJ)</f>
        <v>0.54000000000000625</v>
      </c>
      <c r="J1808" cm="1">
        <f t="array" ref="J1808">_xlfn.XLOOKUP(TEXT(A1808, "mmm-yy"), TEXT([2]GASOLINE!$B$5:$B$208, "mmm-yy"), [2]GASOLINE!$IR$5:$IR$208, "Not Found")</f>
        <v>74.183131015526499</v>
      </c>
      <c r="K1808" cm="1">
        <f t="array" ref="K1808">_xlfn.XLOOKUP(TEXT(A1808, "mmm-yy"), TEXT([2]GASOLINE!$B$5:$B$208, "mmm-yy"), [2]GASOLINE!$IK$5:$IK$208, "Not Found")</f>
        <v>190.85890212466958</v>
      </c>
      <c r="L1808">
        <f t="shared" si="28"/>
        <v>0</v>
      </c>
      <c r="M1808" cm="1">
        <f t="array" ref="M1808">_xlfn.XLOOKUP(TEXT(A1808, "mmm-yy"), TEXT([2]GASOLINE!$B$5:$B$208, "mmm-yy"), [2]GASOLINE!$C$5:$C$208, "Not Found")</f>
        <v>7607.024566770725</v>
      </c>
      <c r="N1808" cm="1">
        <f t="array" ref="N1808">_xlfn.XLOOKUP(TEXT(A1808, "mmm-yy"), TEXT([2]RUNS!$B$5:$B$208, "mmm-yy"), [2]RUNS!$BM$5:$BM$208, "Not Found")</f>
        <v>0.83598468767657019</v>
      </c>
    </row>
    <row r="1809" spans="1:14" x14ac:dyDescent="0.25">
      <c r="A1809" s="1">
        <f>'[1]Global_Spot Prices'!$B3118</f>
        <v>44536</v>
      </c>
      <c r="B1809">
        <f>_xlfn.XLOOKUP(A1809,'[1]Global_Spot Prices'!$B:$B,'[1]Global_Spot Prices'!$BS:$BS)</f>
        <v>9.9699999999999989</v>
      </c>
      <c r="C1809">
        <f>_xlfn.XLOOKUP(A1809,'[1]Global_Spot Prices'!$B:$B,'[1]Global_Spot Prices'!$E:$E)</f>
        <v>70.09</v>
      </c>
      <c r="D1809">
        <f>_xlfn.XLOOKUP(A1809,'[1]Global_Spot Prices'!$B:$B,'[1]Global_Spot Prices'!$D:$D)</f>
        <v>72.19</v>
      </c>
      <c r="E1809">
        <f>_xlfn.XLOOKUP(A1809,'[1]Global_Spot Prices'!$B:$B,'[1]Global_Spot Prices'!$H:$H)</f>
        <v>73.11</v>
      </c>
      <c r="F1809">
        <f>_xlfn.XLOOKUP(A1809,'[1]Global_Spot Prices'!$B:$B,'[1]Global_Spot Prices'!$I:$I)</f>
        <v>80.06</v>
      </c>
      <c r="G1809" cm="1">
        <f t="array" ref="G1809">_xlfn.XLOOKUP(TEXT(A1809, "mmm-yy"), TEXT([2]RUNS!$B$5:$B$208, "mmm-yy"), [2]RUNS!$D$5:$D$208, "Not Found")</f>
        <v>30146.443822304802</v>
      </c>
      <c r="H1809" cm="1">
        <f t="array" ref="H1809">SUMPRODUCT(
    --(TEXT('[3]Global Weekly Stock (EWSuez'!$B$4:$B$2000,"mmm-yy")=TEXT(A1809,"mmm-yy")),
    '[3]Global Weekly Stock (EWSuez'!$E$4:$E$2000)
/
SUMPRODUCT(
    --(TEXT('[3]Global Weekly Stock (EWSuez'!$B$4:$B$2000,"mmm-yy")=TEXT(A1809,"mmm-yy"))
)</f>
        <v>12124.4</v>
      </c>
      <c r="I1809">
        <f>_xlfn.XLOOKUP(A1809,[1]ForwardDeriv!$D:$D,[1]ForwardDeriv!$AJ:$AJ)</f>
        <v>0.56000000000000227</v>
      </c>
      <c r="J1809" cm="1">
        <f t="array" ref="J1809">_xlfn.XLOOKUP(TEXT(A1809, "mmm-yy"), TEXT([2]GASOLINE!$B$5:$B$208, "mmm-yy"), [2]GASOLINE!$IR$5:$IR$208, "Not Found")</f>
        <v>74.183131015526499</v>
      </c>
      <c r="K1809" cm="1">
        <f t="array" ref="K1809">_xlfn.XLOOKUP(TEXT(A1809, "mmm-yy"), TEXT([2]GASOLINE!$B$5:$B$208, "mmm-yy"), [2]GASOLINE!$IK$5:$IK$208, "Not Found")</f>
        <v>190.85890212466958</v>
      </c>
      <c r="L1809">
        <f t="shared" si="28"/>
        <v>0</v>
      </c>
      <c r="M1809" cm="1">
        <f t="array" ref="M1809">_xlfn.XLOOKUP(TEXT(A1809, "mmm-yy"), TEXT([2]GASOLINE!$B$5:$B$208, "mmm-yy"), [2]GASOLINE!$C$5:$C$208, "Not Found")</f>
        <v>7607.024566770725</v>
      </c>
      <c r="N1809" cm="1">
        <f t="array" ref="N1809">_xlfn.XLOOKUP(TEXT(A1809, "mmm-yy"), TEXT([2]RUNS!$B$5:$B$208, "mmm-yy"), [2]RUNS!$BM$5:$BM$208, "Not Found")</f>
        <v>0.83598468767657019</v>
      </c>
    </row>
    <row r="1810" spans="1:14" x14ac:dyDescent="0.25">
      <c r="A1810" s="1">
        <f>'[1]Global_Spot Prices'!$B3119</f>
        <v>44537</v>
      </c>
      <c r="B1810">
        <f>_xlfn.XLOOKUP(A1810,'[1]Global_Spot Prices'!$B:$B,'[1]Global_Spot Prices'!$BS:$BS)</f>
        <v>10.760000000000005</v>
      </c>
      <c r="C1810">
        <f>_xlfn.XLOOKUP(A1810,'[1]Global_Spot Prices'!$B:$B,'[1]Global_Spot Prices'!$E:$E)</f>
        <v>73.19</v>
      </c>
      <c r="D1810">
        <f>_xlfn.XLOOKUP(A1810,'[1]Global_Spot Prices'!$B:$B,'[1]Global_Spot Prices'!$D:$D)</f>
        <v>75.81</v>
      </c>
      <c r="E1810">
        <f>_xlfn.XLOOKUP(A1810,'[1]Global_Spot Prices'!$B:$B,'[1]Global_Spot Prices'!$H:$H)</f>
        <v>76.61</v>
      </c>
      <c r="F1810">
        <f>_xlfn.XLOOKUP(A1810,'[1]Global_Spot Prices'!$B:$B,'[1]Global_Spot Prices'!$I:$I)</f>
        <v>83.95</v>
      </c>
      <c r="G1810" cm="1">
        <f t="array" ref="G1810">_xlfn.XLOOKUP(TEXT(A1810, "mmm-yy"), TEXT([2]RUNS!$B$5:$B$208, "mmm-yy"), [2]RUNS!$D$5:$D$208, "Not Found")</f>
        <v>30146.443822304802</v>
      </c>
      <c r="H1810" cm="1">
        <f t="array" ref="H1810">SUMPRODUCT(
    --(TEXT('[3]Global Weekly Stock (EWSuez'!$B$4:$B$2000,"mmm-yy")=TEXT(A1810,"mmm-yy")),
    '[3]Global Weekly Stock (EWSuez'!$E$4:$E$2000)
/
SUMPRODUCT(
    --(TEXT('[3]Global Weekly Stock (EWSuez'!$B$4:$B$2000,"mmm-yy")=TEXT(A1810,"mmm-yy"))
)</f>
        <v>12124.4</v>
      </c>
      <c r="I1810">
        <f>_xlfn.XLOOKUP(A1810,[1]ForwardDeriv!$D:$D,[1]ForwardDeriv!$AJ:$AJ)</f>
        <v>0.71999999999999886</v>
      </c>
      <c r="J1810" cm="1">
        <f t="array" ref="J1810">_xlfn.XLOOKUP(TEXT(A1810, "mmm-yy"), TEXT([2]GASOLINE!$B$5:$B$208, "mmm-yy"), [2]GASOLINE!$IR$5:$IR$208, "Not Found")</f>
        <v>74.183131015526499</v>
      </c>
      <c r="K1810" cm="1">
        <f t="array" ref="K1810">_xlfn.XLOOKUP(TEXT(A1810, "mmm-yy"), TEXT([2]GASOLINE!$B$5:$B$208, "mmm-yy"), [2]GASOLINE!$IK$5:$IK$208, "Not Found")</f>
        <v>190.85890212466958</v>
      </c>
      <c r="L1810">
        <f t="shared" si="28"/>
        <v>0</v>
      </c>
      <c r="M1810" cm="1">
        <f t="array" ref="M1810">_xlfn.XLOOKUP(TEXT(A1810, "mmm-yy"), TEXT([2]GASOLINE!$B$5:$B$208, "mmm-yy"), [2]GASOLINE!$C$5:$C$208, "Not Found")</f>
        <v>7607.024566770725</v>
      </c>
      <c r="N1810" cm="1">
        <f t="array" ref="N1810">_xlfn.XLOOKUP(TEXT(A1810, "mmm-yy"), TEXT([2]RUNS!$B$5:$B$208, "mmm-yy"), [2]RUNS!$BM$5:$BM$208, "Not Found")</f>
        <v>0.83598468767657019</v>
      </c>
    </row>
    <row r="1811" spans="1:14" x14ac:dyDescent="0.25">
      <c r="A1811" s="1">
        <f>'[1]Global_Spot Prices'!$B3120</f>
        <v>44538</v>
      </c>
      <c r="B1811">
        <f>_xlfn.XLOOKUP(A1811,'[1]Global_Spot Prices'!$B:$B,'[1]Global_Spot Prices'!$BS:$BS)</f>
        <v>12.044999999999987</v>
      </c>
      <c r="C1811">
        <f>_xlfn.XLOOKUP(A1811,'[1]Global_Spot Prices'!$B:$B,'[1]Global_Spot Prices'!$E:$E)</f>
        <v>73.805000000000007</v>
      </c>
      <c r="D1811">
        <f>_xlfn.XLOOKUP(A1811,'[1]Global_Spot Prices'!$B:$B,'[1]Global_Spot Prices'!$D:$D)</f>
        <v>75.734999999999999</v>
      </c>
      <c r="E1811">
        <f>_xlfn.XLOOKUP(A1811,'[1]Global_Spot Prices'!$B:$B,'[1]Global_Spot Prices'!$H:$H)</f>
        <v>77.61</v>
      </c>
      <c r="F1811">
        <f>_xlfn.XLOOKUP(A1811,'[1]Global_Spot Prices'!$B:$B,'[1]Global_Spot Prices'!$I:$I)</f>
        <v>85.85</v>
      </c>
      <c r="G1811" cm="1">
        <f t="array" ref="G1811">_xlfn.XLOOKUP(TEXT(A1811, "mmm-yy"), TEXT([2]RUNS!$B$5:$B$208, "mmm-yy"), [2]RUNS!$D$5:$D$208, "Not Found")</f>
        <v>30146.443822304802</v>
      </c>
      <c r="H1811" cm="1">
        <f t="array" ref="H1811">SUMPRODUCT(
    --(TEXT('[3]Global Weekly Stock (EWSuez'!$B$4:$B$2000,"mmm-yy")=TEXT(A1811,"mmm-yy")),
    '[3]Global Weekly Stock (EWSuez'!$E$4:$E$2000)
/
SUMPRODUCT(
    --(TEXT('[3]Global Weekly Stock (EWSuez'!$B$4:$B$2000,"mmm-yy")=TEXT(A1811,"mmm-yy"))
)</f>
        <v>12124.4</v>
      </c>
      <c r="I1811">
        <f>_xlfn.XLOOKUP(A1811,[1]ForwardDeriv!$D:$D,[1]ForwardDeriv!$AJ:$AJ)</f>
        <v>0.79999999999999716</v>
      </c>
      <c r="J1811" cm="1">
        <f t="array" ref="J1811">_xlfn.XLOOKUP(TEXT(A1811, "mmm-yy"), TEXT([2]GASOLINE!$B$5:$B$208, "mmm-yy"), [2]GASOLINE!$IR$5:$IR$208, "Not Found")</f>
        <v>74.183131015526499</v>
      </c>
      <c r="K1811" cm="1">
        <f t="array" ref="K1811">_xlfn.XLOOKUP(TEXT(A1811, "mmm-yy"), TEXT([2]GASOLINE!$B$5:$B$208, "mmm-yy"), [2]GASOLINE!$IK$5:$IK$208, "Not Found")</f>
        <v>190.85890212466958</v>
      </c>
      <c r="L1811">
        <f t="shared" si="28"/>
        <v>0</v>
      </c>
      <c r="M1811" cm="1">
        <f t="array" ref="M1811">_xlfn.XLOOKUP(TEXT(A1811, "mmm-yy"), TEXT([2]GASOLINE!$B$5:$B$208, "mmm-yy"), [2]GASOLINE!$C$5:$C$208, "Not Found")</f>
        <v>7607.024566770725</v>
      </c>
      <c r="N1811" cm="1">
        <f t="array" ref="N1811">_xlfn.XLOOKUP(TEXT(A1811, "mmm-yy"), TEXT([2]RUNS!$B$5:$B$208, "mmm-yy"), [2]RUNS!$BM$5:$BM$208, "Not Found")</f>
        <v>0.83598468767657019</v>
      </c>
    </row>
    <row r="1812" spans="1:14" x14ac:dyDescent="0.25">
      <c r="A1812" s="1">
        <f>'[1]Global_Spot Prices'!$B3121</f>
        <v>44539</v>
      </c>
      <c r="B1812">
        <f>_xlfn.XLOOKUP(A1812,'[1]Global_Spot Prices'!$B:$B,'[1]Global_Spot Prices'!$BS:$BS)</f>
        <v>12.555000000000007</v>
      </c>
      <c r="C1812">
        <f>_xlfn.XLOOKUP(A1812,'[1]Global_Spot Prices'!$B:$B,'[1]Global_Spot Prices'!$E:$E)</f>
        <v>74.444999999999993</v>
      </c>
      <c r="D1812">
        <f>_xlfn.XLOOKUP(A1812,'[1]Global_Spot Prices'!$B:$B,'[1]Global_Spot Prices'!$D:$D)</f>
        <v>75.25</v>
      </c>
      <c r="E1812">
        <f>_xlfn.XLOOKUP(A1812,'[1]Global_Spot Prices'!$B:$B,'[1]Global_Spot Prices'!$H:$H)</f>
        <v>78.790000000000006</v>
      </c>
      <c r="F1812">
        <f>_xlfn.XLOOKUP(A1812,'[1]Global_Spot Prices'!$B:$B,'[1]Global_Spot Prices'!$I:$I)</f>
        <v>87</v>
      </c>
      <c r="G1812" cm="1">
        <f t="array" ref="G1812">_xlfn.XLOOKUP(TEXT(A1812, "mmm-yy"), TEXT([2]RUNS!$B$5:$B$208, "mmm-yy"), [2]RUNS!$D$5:$D$208, "Not Found")</f>
        <v>30146.443822304802</v>
      </c>
      <c r="H1812" cm="1">
        <f t="array" ref="H1812">SUMPRODUCT(
    --(TEXT('[3]Global Weekly Stock (EWSuez'!$B$4:$B$2000,"mmm-yy")=TEXT(A1812,"mmm-yy")),
    '[3]Global Weekly Stock (EWSuez'!$E$4:$E$2000)
/
SUMPRODUCT(
    --(TEXT('[3]Global Weekly Stock (EWSuez'!$B$4:$B$2000,"mmm-yy")=TEXT(A1812,"mmm-yy"))
)</f>
        <v>12124.4</v>
      </c>
      <c r="I1812">
        <f>_xlfn.XLOOKUP(A1812,[1]ForwardDeriv!$D:$D,[1]ForwardDeriv!$AJ:$AJ)</f>
        <v>0.90000000000000568</v>
      </c>
      <c r="J1812" cm="1">
        <f t="array" ref="J1812">_xlfn.XLOOKUP(TEXT(A1812, "mmm-yy"), TEXT([2]GASOLINE!$B$5:$B$208, "mmm-yy"), [2]GASOLINE!$IR$5:$IR$208, "Not Found")</f>
        <v>74.183131015526499</v>
      </c>
      <c r="K1812" cm="1">
        <f t="array" ref="K1812">_xlfn.XLOOKUP(TEXT(A1812, "mmm-yy"), TEXT([2]GASOLINE!$B$5:$B$208, "mmm-yy"), [2]GASOLINE!$IK$5:$IK$208, "Not Found")</f>
        <v>190.85890212466958</v>
      </c>
      <c r="L1812">
        <f t="shared" si="28"/>
        <v>0</v>
      </c>
      <c r="M1812" cm="1">
        <f t="array" ref="M1812">_xlfn.XLOOKUP(TEXT(A1812, "mmm-yy"), TEXT([2]GASOLINE!$B$5:$B$208, "mmm-yy"), [2]GASOLINE!$C$5:$C$208, "Not Found")</f>
        <v>7607.024566770725</v>
      </c>
      <c r="N1812" cm="1">
        <f t="array" ref="N1812">_xlfn.XLOOKUP(TEXT(A1812, "mmm-yy"), TEXT([2]RUNS!$B$5:$B$208, "mmm-yy"), [2]RUNS!$BM$5:$BM$208, "Not Found")</f>
        <v>0.83598468767657019</v>
      </c>
    </row>
    <row r="1813" spans="1:14" x14ac:dyDescent="0.25">
      <c r="A1813" s="1">
        <f>'[1]Global_Spot Prices'!$B3122</f>
        <v>44540</v>
      </c>
      <c r="B1813">
        <f>_xlfn.XLOOKUP(A1813,'[1]Global_Spot Prices'!$B:$B,'[1]Global_Spot Prices'!$BS:$BS)</f>
        <v>14.019999999999996</v>
      </c>
      <c r="C1813">
        <f>_xlfn.XLOOKUP(A1813,'[1]Global_Spot Prices'!$B:$B,'[1]Global_Spot Prices'!$E:$E)</f>
        <v>72.69</v>
      </c>
      <c r="D1813">
        <f>_xlfn.XLOOKUP(A1813,'[1]Global_Spot Prices'!$B:$B,'[1]Global_Spot Prices'!$D:$D)</f>
        <v>74.314999999999998</v>
      </c>
      <c r="E1813">
        <f>_xlfn.XLOOKUP(A1813,'[1]Global_Spot Prices'!$B:$B,'[1]Global_Spot Prices'!$H:$H)</f>
        <v>77.59</v>
      </c>
      <c r="F1813">
        <f>_xlfn.XLOOKUP(A1813,'[1]Global_Spot Prices'!$B:$B,'[1]Global_Spot Prices'!$I:$I)</f>
        <v>86.71</v>
      </c>
      <c r="G1813" cm="1">
        <f t="array" ref="G1813">_xlfn.XLOOKUP(TEXT(A1813, "mmm-yy"), TEXT([2]RUNS!$B$5:$B$208, "mmm-yy"), [2]RUNS!$D$5:$D$208, "Not Found")</f>
        <v>30146.443822304802</v>
      </c>
      <c r="H1813" cm="1">
        <f t="array" ref="H1813">SUMPRODUCT(
    --(TEXT('[3]Global Weekly Stock (EWSuez'!$B$4:$B$2000,"mmm-yy")=TEXT(A1813,"mmm-yy")),
    '[3]Global Weekly Stock (EWSuez'!$E$4:$E$2000)
/
SUMPRODUCT(
    --(TEXT('[3]Global Weekly Stock (EWSuez'!$B$4:$B$2000,"mmm-yy")=TEXT(A1813,"mmm-yy"))
)</f>
        <v>12124.4</v>
      </c>
      <c r="I1813">
        <f>_xlfn.XLOOKUP(A1813,[1]ForwardDeriv!$D:$D,[1]ForwardDeriv!$AJ:$AJ)</f>
        <v>1.2199999999999989</v>
      </c>
      <c r="J1813" cm="1">
        <f t="array" ref="J1813">_xlfn.XLOOKUP(TEXT(A1813, "mmm-yy"), TEXT([2]GASOLINE!$B$5:$B$208, "mmm-yy"), [2]GASOLINE!$IR$5:$IR$208, "Not Found")</f>
        <v>74.183131015526499</v>
      </c>
      <c r="K1813" cm="1">
        <f t="array" ref="K1813">_xlfn.XLOOKUP(TEXT(A1813, "mmm-yy"), TEXT([2]GASOLINE!$B$5:$B$208, "mmm-yy"), [2]GASOLINE!$IK$5:$IK$208, "Not Found")</f>
        <v>190.85890212466958</v>
      </c>
      <c r="L1813">
        <f t="shared" si="28"/>
        <v>0</v>
      </c>
      <c r="M1813" cm="1">
        <f t="array" ref="M1813">_xlfn.XLOOKUP(TEXT(A1813, "mmm-yy"), TEXT([2]GASOLINE!$B$5:$B$208, "mmm-yy"), [2]GASOLINE!$C$5:$C$208, "Not Found")</f>
        <v>7607.024566770725</v>
      </c>
      <c r="N1813" cm="1">
        <f t="array" ref="N1813">_xlfn.XLOOKUP(TEXT(A1813, "mmm-yy"), TEXT([2]RUNS!$B$5:$B$208, "mmm-yy"), [2]RUNS!$BM$5:$BM$208, "Not Found")</f>
        <v>0.83598468767657019</v>
      </c>
    </row>
    <row r="1814" spans="1:14" x14ac:dyDescent="0.25">
      <c r="A1814" s="1">
        <f>'[1]Global_Spot Prices'!$B3123</f>
        <v>44543</v>
      </c>
      <c r="B1814">
        <f>_xlfn.XLOOKUP(A1814,'[1]Global_Spot Prices'!$B:$B,'[1]Global_Spot Prices'!$BS:$BS)</f>
        <v>14.239999999999995</v>
      </c>
      <c r="C1814">
        <f>_xlfn.XLOOKUP(A1814,'[1]Global_Spot Prices'!$B:$B,'[1]Global_Spot Prices'!$E:$E)</f>
        <v>74.09</v>
      </c>
      <c r="D1814">
        <f>_xlfn.XLOOKUP(A1814,'[1]Global_Spot Prices'!$B:$B,'[1]Global_Spot Prices'!$D:$D)</f>
        <v>74.25</v>
      </c>
      <c r="E1814">
        <f>_xlfn.XLOOKUP(A1814,'[1]Global_Spot Prices'!$B:$B,'[1]Global_Spot Prices'!$H:$H)</f>
        <v>78.97</v>
      </c>
      <c r="F1814">
        <f>_xlfn.XLOOKUP(A1814,'[1]Global_Spot Prices'!$B:$B,'[1]Global_Spot Prices'!$I:$I)</f>
        <v>88.33</v>
      </c>
      <c r="G1814" cm="1">
        <f t="array" ref="G1814">_xlfn.XLOOKUP(TEXT(A1814, "mmm-yy"), TEXT([2]RUNS!$B$5:$B$208, "mmm-yy"), [2]RUNS!$D$5:$D$208, "Not Found")</f>
        <v>30146.443822304802</v>
      </c>
      <c r="H1814" cm="1">
        <f t="array" ref="H1814">SUMPRODUCT(
    --(TEXT('[3]Global Weekly Stock (EWSuez'!$B$4:$B$2000,"mmm-yy")=TEXT(A1814,"mmm-yy")),
    '[3]Global Weekly Stock (EWSuez'!$E$4:$E$2000)
/
SUMPRODUCT(
    --(TEXT('[3]Global Weekly Stock (EWSuez'!$B$4:$B$2000,"mmm-yy")=TEXT(A1814,"mmm-yy"))
)</f>
        <v>12124.4</v>
      </c>
      <c r="I1814">
        <f>_xlfn.XLOOKUP(A1814,[1]ForwardDeriv!$D:$D,[1]ForwardDeriv!$AJ:$AJ)</f>
        <v>1.4399999999999977</v>
      </c>
      <c r="J1814" cm="1">
        <f t="array" ref="J1814">_xlfn.XLOOKUP(TEXT(A1814, "mmm-yy"), TEXT([2]GASOLINE!$B$5:$B$208, "mmm-yy"), [2]GASOLINE!$IR$5:$IR$208, "Not Found")</f>
        <v>74.183131015526499</v>
      </c>
      <c r="K1814" cm="1">
        <f t="array" ref="K1814">_xlfn.XLOOKUP(TEXT(A1814, "mmm-yy"), TEXT([2]GASOLINE!$B$5:$B$208, "mmm-yy"), [2]GASOLINE!$IK$5:$IK$208, "Not Found")</f>
        <v>190.85890212466958</v>
      </c>
      <c r="L1814">
        <f t="shared" si="28"/>
        <v>0</v>
      </c>
      <c r="M1814" cm="1">
        <f t="array" ref="M1814">_xlfn.XLOOKUP(TEXT(A1814, "mmm-yy"), TEXT([2]GASOLINE!$B$5:$B$208, "mmm-yy"), [2]GASOLINE!$C$5:$C$208, "Not Found")</f>
        <v>7607.024566770725</v>
      </c>
      <c r="N1814" cm="1">
        <f t="array" ref="N1814">_xlfn.XLOOKUP(TEXT(A1814, "mmm-yy"), TEXT([2]RUNS!$B$5:$B$208, "mmm-yy"), [2]RUNS!$BM$5:$BM$208, "Not Found")</f>
        <v>0.83598468767657019</v>
      </c>
    </row>
    <row r="1815" spans="1:14" x14ac:dyDescent="0.25">
      <c r="A1815" s="1">
        <f>'[1]Global_Spot Prices'!$B3124</f>
        <v>44544</v>
      </c>
      <c r="B1815">
        <f>_xlfn.XLOOKUP(A1815,'[1]Global_Spot Prices'!$B:$B,'[1]Global_Spot Prices'!$BS:$BS)</f>
        <v>14.149999999999991</v>
      </c>
      <c r="C1815">
        <f ca="1">_xlfn.XLOOKUP(A1815,'[1]Global_Spot Prices'!$B:$B,'[1]Global_Spot Prices'!$E:$E)</f>
        <v>73.34</v>
      </c>
      <c r="D1815">
        <f>_xlfn.XLOOKUP(A1815,'[1]Global_Spot Prices'!$B:$B,'[1]Global_Spot Prices'!$D:$D)</f>
        <v>73.540000000000006</v>
      </c>
      <c r="E1815">
        <f>_xlfn.XLOOKUP(A1815,'[1]Global_Spot Prices'!$B:$B,'[1]Global_Spot Prices'!$H:$H)</f>
        <v>78.83</v>
      </c>
      <c r="F1815">
        <f>_xlfn.XLOOKUP(A1815,'[1]Global_Spot Prices'!$B:$B,'[1]Global_Spot Prices'!$I:$I)</f>
        <v>87.49</v>
      </c>
      <c r="G1815" cm="1">
        <f t="array" ref="G1815">_xlfn.XLOOKUP(TEXT(A1815, "mmm-yy"), TEXT([2]RUNS!$B$5:$B$208, "mmm-yy"), [2]RUNS!$D$5:$D$208, "Not Found")</f>
        <v>30146.443822304802</v>
      </c>
      <c r="H1815" cm="1">
        <f t="array" ref="H1815">SUMPRODUCT(
    --(TEXT('[3]Global Weekly Stock (EWSuez'!$B$4:$B$2000,"mmm-yy")=TEXT(A1815,"mmm-yy")),
    '[3]Global Weekly Stock (EWSuez'!$E$4:$E$2000)
/
SUMPRODUCT(
    --(TEXT('[3]Global Weekly Stock (EWSuez'!$B$4:$B$2000,"mmm-yy")=TEXT(A1815,"mmm-yy"))
)</f>
        <v>12124.4</v>
      </c>
      <c r="I1815">
        <f>_xlfn.XLOOKUP(A1815,[1]ForwardDeriv!$D:$D,[1]ForwardDeriv!$AJ:$AJ)</f>
        <v>1.4200000000000017</v>
      </c>
      <c r="J1815" cm="1">
        <f t="array" ref="J1815">_xlfn.XLOOKUP(TEXT(A1815, "mmm-yy"), TEXT([2]GASOLINE!$B$5:$B$208, "mmm-yy"), [2]GASOLINE!$IR$5:$IR$208, "Not Found")</f>
        <v>74.183131015526499</v>
      </c>
      <c r="K1815" cm="1">
        <f t="array" ref="K1815">_xlfn.XLOOKUP(TEXT(A1815, "mmm-yy"), TEXT([2]GASOLINE!$B$5:$B$208, "mmm-yy"), [2]GASOLINE!$IK$5:$IK$208, "Not Found")</f>
        <v>190.85890212466958</v>
      </c>
      <c r="L1815">
        <f t="shared" si="28"/>
        <v>0</v>
      </c>
      <c r="M1815" cm="1">
        <f t="array" ref="M1815">_xlfn.XLOOKUP(TEXT(A1815, "mmm-yy"), TEXT([2]GASOLINE!$B$5:$B$208, "mmm-yy"), [2]GASOLINE!$C$5:$C$208, "Not Found")</f>
        <v>7607.024566770725</v>
      </c>
      <c r="N1815" cm="1">
        <f t="array" ref="N1815">_xlfn.XLOOKUP(TEXT(A1815, "mmm-yy"), TEXT([2]RUNS!$B$5:$B$208, "mmm-yy"), [2]RUNS!$BM$5:$BM$208, "Not Found")</f>
        <v>0.83598468767657019</v>
      </c>
    </row>
    <row r="1816" spans="1:14" x14ac:dyDescent="0.25">
      <c r="A1816" s="1">
        <f>'[1]Global_Spot Prices'!$B3125</f>
        <v>44545</v>
      </c>
      <c r="B1816">
        <f>_xlfn.XLOOKUP(A1816,'[1]Global_Spot Prices'!$B:$B,'[1]Global_Spot Prices'!$BS:$BS)</f>
        <v>12.829999999999998</v>
      </c>
      <c r="C1816">
        <f>_xlfn.XLOOKUP(A1816,'[1]Global_Spot Prices'!$B:$B,'[1]Global_Spot Prices'!$E:$E)</f>
        <v>71.98</v>
      </c>
      <c r="D1816">
        <f>_xlfn.XLOOKUP(A1816,'[1]Global_Spot Prices'!$B:$B,'[1]Global_Spot Prices'!$D:$D)</f>
        <v>72.83</v>
      </c>
      <c r="E1816">
        <f>_xlfn.XLOOKUP(A1816,'[1]Global_Spot Prices'!$B:$B,'[1]Global_Spot Prices'!$H:$H)</f>
        <v>77.33</v>
      </c>
      <c r="F1816">
        <f>_xlfn.XLOOKUP(A1816,'[1]Global_Spot Prices'!$B:$B,'[1]Global_Spot Prices'!$I:$I)</f>
        <v>84.81</v>
      </c>
      <c r="G1816" cm="1">
        <f t="array" ref="G1816">_xlfn.XLOOKUP(TEXT(A1816, "mmm-yy"), TEXT([2]RUNS!$B$5:$B$208, "mmm-yy"), [2]RUNS!$D$5:$D$208, "Not Found")</f>
        <v>30146.443822304802</v>
      </c>
      <c r="H1816" cm="1">
        <f t="array" ref="H1816">SUMPRODUCT(
    --(TEXT('[3]Global Weekly Stock (EWSuez'!$B$4:$B$2000,"mmm-yy")=TEXT(A1816,"mmm-yy")),
    '[3]Global Weekly Stock (EWSuez'!$E$4:$E$2000)
/
SUMPRODUCT(
    --(TEXT('[3]Global Weekly Stock (EWSuez'!$B$4:$B$2000,"mmm-yy")=TEXT(A1816,"mmm-yy"))
)</f>
        <v>12124.4</v>
      </c>
      <c r="I1816">
        <f>_xlfn.XLOOKUP(A1816,[1]ForwardDeriv!$D:$D,[1]ForwardDeriv!$AJ:$AJ)</f>
        <v>1.1400000000000006</v>
      </c>
      <c r="J1816" cm="1">
        <f t="array" ref="J1816">_xlfn.XLOOKUP(TEXT(A1816, "mmm-yy"), TEXT([2]GASOLINE!$B$5:$B$208, "mmm-yy"), [2]GASOLINE!$IR$5:$IR$208, "Not Found")</f>
        <v>74.183131015526499</v>
      </c>
      <c r="K1816" cm="1">
        <f t="array" ref="K1816">_xlfn.XLOOKUP(TEXT(A1816, "mmm-yy"), TEXT([2]GASOLINE!$B$5:$B$208, "mmm-yy"), [2]GASOLINE!$IK$5:$IK$208, "Not Found")</f>
        <v>190.85890212466958</v>
      </c>
      <c r="L1816">
        <f t="shared" si="28"/>
        <v>0</v>
      </c>
      <c r="M1816" cm="1">
        <f t="array" ref="M1816">_xlfn.XLOOKUP(TEXT(A1816, "mmm-yy"), TEXT([2]GASOLINE!$B$5:$B$208, "mmm-yy"), [2]GASOLINE!$C$5:$C$208, "Not Found")</f>
        <v>7607.024566770725</v>
      </c>
      <c r="N1816" cm="1">
        <f t="array" ref="N1816">_xlfn.XLOOKUP(TEXT(A1816, "mmm-yy"), TEXT([2]RUNS!$B$5:$B$208, "mmm-yy"), [2]RUNS!$BM$5:$BM$208, "Not Found")</f>
        <v>0.83598468767657019</v>
      </c>
    </row>
    <row r="1817" spans="1:14" x14ac:dyDescent="0.25">
      <c r="A1817" s="1">
        <f>'[1]Global_Spot Prices'!$B3126</f>
        <v>44546</v>
      </c>
      <c r="B1817">
        <f>_xlfn.XLOOKUP(A1817,'[1]Global_Spot Prices'!$B:$B,'[1]Global_Spot Prices'!$BS:$BS)</f>
        <v>11.77000000000001</v>
      </c>
      <c r="C1817">
        <f>_xlfn.XLOOKUP(A1817,'[1]Global_Spot Prices'!$B:$B,'[1]Global_Spot Prices'!$E:$E)</f>
        <v>73.349999999999994</v>
      </c>
      <c r="D1817">
        <f>_xlfn.XLOOKUP(A1817,'[1]Global_Spot Prices'!$B:$B,'[1]Global_Spot Prices'!$D:$D)</f>
        <v>74.760000000000005</v>
      </c>
      <c r="E1817">
        <f ca="1">_xlfn.XLOOKUP(A1817,'[1]Global_Spot Prices'!$B:$B,'[1]Global_Spot Prices'!$H:$H)</f>
        <v>78.650000000000006</v>
      </c>
      <c r="F1817">
        <f>_xlfn.XLOOKUP(A1817,'[1]Global_Spot Prices'!$B:$B,'[1]Global_Spot Prices'!$I:$I)</f>
        <v>85.12</v>
      </c>
      <c r="G1817" cm="1">
        <f t="array" ref="G1817">_xlfn.XLOOKUP(TEXT(A1817, "mmm-yy"), TEXT([2]RUNS!$B$5:$B$208, "mmm-yy"), [2]RUNS!$D$5:$D$208, "Not Found")</f>
        <v>30146.443822304802</v>
      </c>
      <c r="H1817" cm="1">
        <f t="array" ref="H1817">SUMPRODUCT(
    --(TEXT('[3]Global Weekly Stock (EWSuez'!$B$4:$B$2000,"mmm-yy")=TEXT(A1817,"mmm-yy")),
    '[3]Global Weekly Stock (EWSuez'!$E$4:$E$2000)
/
SUMPRODUCT(
    --(TEXT('[3]Global Weekly Stock (EWSuez'!$B$4:$B$2000,"mmm-yy")=TEXT(A1817,"mmm-yy"))
)</f>
        <v>12124.4</v>
      </c>
      <c r="I1817">
        <f>_xlfn.XLOOKUP(A1817,[1]ForwardDeriv!$D:$D,[1]ForwardDeriv!$AJ:$AJ)</f>
        <v>1.1500000000000057</v>
      </c>
      <c r="J1817" cm="1">
        <f t="array" ref="J1817">_xlfn.XLOOKUP(TEXT(A1817, "mmm-yy"), TEXT([2]GASOLINE!$B$5:$B$208, "mmm-yy"), [2]GASOLINE!$IR$5:$IR$208, "Not Found")</f>
        <v>74.183131015526499</v>
      </c>
      <c r="K1817" cm="1">
        <f t="array" ref="K1817">_xlfn.XLOOKUP(TEXT(A1817, "mmm-yy"), TEXT([2]GASOLINE!$B$5:$B$208, "mmm-yy"), [2]GASOLINE!$IK$5:$IK$208, "Not Found")</f>
        <v>190.85890212466958</v>
      </c>
      <c r="L1817">
        <f t="shared" si="28"/>
        <v>0</v>
      </c>
      <c r="M1817" cm="1">
        <f t="array" ref="M1817">_xlfn.XLOOKUP(TEXT(A1817, "mmm-yy"), TEXT([2]GASOLINE!$B$5:$B$208, "mmm-yy"), [2]GASOLINE!$C$5:$C$208, "Not Found")</f>
        <v>7607.024566770725</v>
      </c>
      <c r="N1817" cm="1">
        <f t="array" ref="N1817">_xlfn.XLOOKUP(TEXT(A1817, "mmm-yy"), TEXT([2]RUNS!$B$5:$B$208, "mmm-yy"), [2]RUNS!$BM$5:$BM$208, "Not Found")</f>
        <v>0.83598468767657019</v>
      </c>
    </row>
    <row r="1818" spans="1:14" x14ac:dyDescent="0.25">
      <c r="A1818" s="1">
        <f>'[1]Global_Spot Prices'!$B3127</f>
        <v>44547</v>
      </c>
      <c r="B1818">
        <f>_xlfn.XLOOKUP(A1818,'[1]Global_Spot Prices'!$B:$B,'[1]Global_Spot Prices'!$BS:$BS)</f>
        <v>12.670000000000002</v>
      </c>
      <c r="C1818">
        <f ca="1">_xlfn.XLOOKUP(A1818,'[1]Global_Spot Prices'!$B:$B,'[1]Global_Spot Prices'!$E:$E)</f>
        <v>73.33</v>
      </c>
      <c r="D1818">
        <f>_xlfn.XLOOKUP(A1818,'[1]Global_Spot Prices'!$B:$B,'[1]Global_Spot Prices'!$D:$D)</f>
        <v>72.995000000000005</v>
      </c>
      <c r="E1818">
        <f>_xlfn.XLOOKUP(A1818,'[1]Global_Spot Prices'!$B:$B,'[1]Global_Spot Prices'!$H:$H)</f>
        <v>78.53</v>
      </c>
      <c r="F1818">
        <f>_xlfn.XLOOKUP(A1818,'[1]Global_Spot Prices'!$B:$B,'[1]Global_Spot Prices'!$I:$I)</f>
        <v>86</v>
      </c>
      <c r="G1818" cm="1">
        <f t="array" ref="G1818">_xlfn.XLOOKUP(TEXT(A1818, "mmm-yy"), TEXT([2]RUNS!$B$5:$B$208, "mmm-yy"), [2]RUNS!$D$5:$D$208, "Not Found")</f>
        <v>30146.443822304802</v>
      </c>
      <c r="H1818" cm="1">
        <f t="array" ref="H1818">SUMPRODUCT(
    --(TEXT('[3]Global Weekly Stock (EWSuez'!$B$4:$B$2000,"mmm-yy")=TEXT(A1818,"mmm-yy")),
    '[3]Global Weekly Stock (EWSuez'!$E$4:$E$2000)
/
SUMPRODUCT(
    --(TEXT('[3]Global Weekly Stock (EWSuez'!$B$4:$B$2000,"mmm-yy")=TEXT(A1818,"mmm-yy"))
)</f>
        <v>12124.4</v>
      </c>
      <c r="I1818">
        <f>_xlfn.XLOOKUP(A1818,[1]ForwardDeriv!$D:$D,[1]ForwardDeriv!$AJ:$AJ)</f>
        <v>1.2799999999999869</v>
      </c>
      <c r="J1818" cm="1">
        <f t="array" ref="J1818">_xlfn.XLOOKUP(TEXT(A1818, "mmm-yy"), TEXT([2]GASOLINE!$B$5:$B$208, "mmm-yy"), [2]GASOLINE!$IR$5:$IR$208, "Not Found")</f>
        <v>74.183131015526499</v>
      </c>
      <c r="K1818" cm="1">
        <f t="array" ref="K1818">_xlfn.XLOOKUP(TEXT(A1818, "mmm-yy"), TEXT([2]GASOLINE!$B$5:$B$208, "mmm-yy"), [2]GASOLINE!$IK$5:$IK$208, "Not Found")</f>
        <v>190.85890212466958</v>
      </c>
      <c r="L1818">
        <f t="shared" si="28"/>
        <v>0</v>
      </c>
      <c r="M1818" cm="1">
        <f t="array" ref="M1818">_xlfn.XLOOKUP(TEXT(A1818, "mmm-yy"), TEXT([2]GASOLINE!$B$5:$B$208, "mmm-yy"), [2]GASOLINE!$C$5:$C$208, "Not Found")</f>
        <v>7607.024566770725</v>
      </c>
      <c r="N1818" cm="1">
        <f t="array" ref="N1818">_xlfn.XLOOKUP(TEXT(A1818, "mmm-yy"), TEXT([2]RUNS!$B$5:$B$208, "mmm-yy"), [2]RUNS!$BM$5:$BM$208, "Not Found")</f>
        <v>0.83598468767657019</v>
      </c>
    </row>
    <row r="1819" spans="1:14" x14ac:dyDescent="0.25">
      <c r="A1819" s="1">
        <f>'[1]Global_Spot Prices'!$B3128</f>
        <v>44550</v>
      </c>
      <c r="B1819">
        <f>_xlfn.XLOOKUP(A1819,'[1]Global_Spot Prices'!$B:$B,'[1]Global_Spot Prices'!$BS:$BS)</f>
        <v>12.759999999999991</v>
      </c>
      <c r="C1819">
        <f>_xlfn.XLOOKUP(A1819,'[1]Global_Spot Prices'!$B:$B,'[1]Global_Spot Prices'!$E:$E)</f>
        <v>70.09</v>
      </c>
      <c r="D1819">
        <f>_xlfn.XLOOKUP(A1819,'[1]Global_Spot Prices'!$B:$B,'[1]Global_Spot Prices'!$D:$D)</f>
        <v>69.03</v>
      </c>
      <c r="E1819">
        <f>_xlfn.XLOOKUP(A1819,'[1]Global_Spot Prices'!$B:$B,'[1]Global_Spot Prices'!$H:$H)</f>
        <v>74.66</v>
      </c>
      <c r="F1819">
        <f>_xlfn.XLOOKUP(A1819,'[1]Global_Spot Prices'!$B:$B,'[1]Global_Spot Prices'!$I:$I)</f>
        <v>82.85</v>
      </c>
      <c r="G1819" cm="1">
        <f t="array" ref="G1819">_xlfn.XLOOKUP(TEXT(A1819, "mmm-yy"), TEXT([2]RUNS!$B$5:$B$208, "mmm-yy"), [2]RUNS!$D$5:$D$208, "Not Found")</f>
        <v>30146.443822304802</v>
      </c>
      <c r="H1819" cm="1">
        <f t="array" ref="H1819">SUMPRODUCT(
    --(TEXT('[3]Global Weekly Stock (EWSuez'!$B$4:$B$2000,"mmm-yy")=TEXT(A1819,"mmm-yy")),
    '[3]Global Weekly Stock (EWSuez'!$E$4:$E$2000)
/
SUMPRODUCT(
    --(TEXT('[3]Global Weekly Stock (EWSuez'!$B$4:$B$2000,"mmm-yy")=TEXT(A1819,"mmm-yy"))
)</f>
        <v>12124.4</v>
      </c>
      <c r="I1819">
        <f>_xlfn.XLOOKUP(A1819,[1]ForwardDeriv!$D:$D,[1]ForwardDeriv!$AJ:$AJ)</f>
        <v>1.1799999999999926</v>
      </c>
      <c r="J1819" cm="1">
        <f t="array" ref="J1819">_xlfn.XLOOKUP(TEXT(A1819, "mmm-yy"), TEXT([2]GASOLINE!$B$5:$B$208, "mmm-yy"), [2]GASOLINE!$IR$5:$IR$208, "Not Found")</f>
        <v>74.183131015526499</v>
      </c>
      <c r="K1819" cm="1">
        <f t="array" ref="K1819">_xlfn.XLOOKUP(TEXT(A1819, "mmm-yy"), TEXT([2]GASOLINE!$B$5:$B$208, "mmm-yy"), [2]GASOLINE!$IK$5:$IK$208, "Not Found")</f>
        <v>190.85890212466958</v>
      </c>
      <c r="L1819">
        <f t="shared" si="28"/>
        <v>0</v>
      </c>
      <c r="M1819" cm="1">
        <f t="array" ref="M1819">_xlfn.XLOOKUP(TEXT(A1819, "mmm-yy"), TEXT([2]GASOLINE!$B$5:$B$208, "mmm-yy"), [2]GASOLINE!$C$5:$C$208, "Not Found")</f>
        <v>7607.024566770725</v>
      </c>
      <c r="N1819" cm="1">
        <f t="array" ref="N1819">_xlfn.XLOOKUP(TEXT(A1819, "mmm-yy"), TEXT([2]RUNS!$B$5:$B$208, "mmm-yy"), [2]RUNS!$BM$5:$BM$208, "Not Found")</f>
        <v>0.83598468767657019</v>
      </c>
    </row>
    <row r="1820" spans="1:14" x14ac:dyDescent="0.25">
      <c r="A1820" s="1">
        <f>'[1]Global_Spot Prices'!$B3129</f>
        <v>44551</v>
      </c>
      <c r="B1820">
        <f ca="1">_xlfn.XLOOKUP(A1820,'[1]Global_Spot Prices'!$B:$B,'[1]Global_Spot Prices'!$BS:$BS)</f>
        <v>13.489999999999995</v>
      </c>
      <c r="C1820">
        <f>_xlfn.XLOOKUP(A1820,'[1]Global_Spot Prices'!$B:$B,'[1]Global_Spot Prices'!$E:$E)</f>
        <v>70.540000000000006</v>
      </c>
      <c r="D1820">
        <f>_xlfn.XLOOKUP(A1820,'[1]Global_Spot Prices'!$B:$B,'[1]Global_Spot Prices'!$D:$D)</f>
        <v>72.72</v>
      </c>
      <c r="E1820">
        <f>_xlfn.XLOOKUP(A1820,'[1]Global_Spot Prices'!$B:$B,'[1]Global_Spot Prices'!$H:$H)</f>
        <v>74.739999999999995</v>
      </c>
      <c r="F1820">
        <f ca="1">_xlfn.XLOOKUP(A1820,'[1]Global_Spot Prices'!$B:$B,'[1]Global_Spot Prices'!$I:$I)</f>
        <v>84.03</v>
      </c>
      <c r="G1820" cm="1">
        <f t="array" ref="G1820">_xlfn.XLOOKUP(TEXT(A1820, "mmm-yy"), TEXT([2]RUNS!$B$5:$B$208, "mmm-yy"), [2]RUNS!$D$5:$D$208, "Not Found")</f>
        <v>30146.443822304802</v>
      </c>
      <c r="H1820" cm="1">
        <f t="array" ref="H1820">SUMPRODUCT(
    --(TEXT('[3]Global Weekly Stock (EWSuez'!$B$4:$B$2000,"mmm-yy")=TEXT(A1820,"mmm-yy")),
    '[3]Global Weekly Stock (EWSuez'!$E$4:$E$2000)
/
SUMPRODUCT(
    --(TEXT('[3]Global Weekly Stock (EWSuez'!$B$4:$B$2000,"mmm-yy")=TEXT(A1820,"mmm-yy"))
)</f>
        <v>12124.4</v>
      </c>
      <c r="I1820">
        <f>_xlfn.XLOOKUP(A1820,[1]ForwardDeriv!$D:$D,[1]ForwardDeriv!$AJ:$AJ)</f>
        <v>1.269999999999996</v>
      </c>
      <c r="J1820" cm="1">
        <f t="array" ref="J1820">_xlfn.XLOOKUP(TEXT(A1820, "mmm-yy"), TEXT([2]GASOLINE!$B$5:$B$208, "mmm-yy"), [2]GASOLINE!$IR$5:$IR$208, "Not Found")</f>
        <v>74.183131015526499</v>
      </c>
      <c r="K1820" cm="1">
        <f t="array" ref="K1820">_xlfn.XLOOKUP(TEXT(A1820, "mmm-yy"), TEXT([2]GASOLINE!$B$5:$B$208, "mmm-yy"), [2]GASOLINE!$IK$5:$IK$208, "Not Found")</f>
        <v>190.85890212466958</v>
      </c>
      <c r="L1820">
        <f t="shared" si="28"/>
        <v>0</v>
      </c>
      <c r="M1820" cm="1">
        <f t="array" ref="M1820">_xlfn.XLOOKUP(TEXT(A1820, "mmm-yy"), TEXT([2]GASOLINE!$B$5:$B$208, "mmm-yy"), [2]GASOLINE!$C$5:$C$208, "Not Found")</f>
        <v>7607.024566770725</v>
      </c>
      <c r="N1820" cm="1">
        <f t="array" ref="N1820">_xlfn.XLOOKUP(TEXT(A1820, "mmm-yy"), TEXT([2]RUNS!$B$5:$B$208, "mmm-yy"), [2]RUNS!$BM$5:$BM$208, "Not Found")</f>
        <v>0.83598468767657019</v>
      </c>
    </row>
    <row r="1821" spans="1:14" x14ac:dyDescent="0.25">
      <c r="A1821" s="1">
        <f>'[1]Global_Spot Prices'!$B3130</f>
        <v>44552</v>
      </c>
      <c r="B1821">
        <f>_xlfn.XLOOKUP(A1821,'[1]Global_Spot Prices'!$B:$B,'[1]Global_Spot Prices'!$BS:$BS)</f>
        <v>13.534999999999997</v>
      </c>
      <c r="C1821">
        <f>_xlfn.XLOOKUP(A1821,'[1]Global_Spot Prices'!$B:$B,'[1]Global_Spot Prices'!$E:$E)</f>
        <v>72.545000000000002</v>
      </c>
      <c r="D1821">
        <f>_xlfn.XLOOKUP(A1821,'[1]Global_Spot Prices'!$B:$B,'[1]Global_Spot Prices'!$D:$D)</f>
        <v>74.11</v>
      </c>
      <c r="E1821">
        <f>_xlfn.XLOOKUP(A1821,'[1]Global_Spot Prices'!$B:$B,'[1]Global_Spot Prices'!$H:$H)</f>
        <v>76.63</v>
      </c>
      <c r="F1821">
        <f>_xlfn.XLOOKUP(A1821,'[1]Global_Spot Prices'!$B:$B,'[1]Global_Spot Prices'!$I:$I)</f>
        <v>86.08</v>
      </c>
      <c r="G1821" cm="1">
        <f t="array" ref="G1821">_xlfn.XLOOKUP(TEXT(A1821, "mmm-yy"), TEXT([2]RUNS!$B$5:$B$208, "mmm-yy"), [2]RUNS!$D$5:$D$208, "Not Found")</f>
        <v>30146.443822304802</v>
      </c>
      <c r="H1821" cm="1">
        <f t="array" ref="H1821">SUMPRODUCT(
    --(TEXT('[3]Global Weekly Stock (EWSuez'!$B$4:$B$2000,"mmm-yy")=TEXT(A1821,"mmm-yy")),
    '[3]Global Weekly Stock (EWSuez'!$E$4:$E$2000)
/
SUMPRODUCT(
    --(TEXT('[3]Global Weekly Stock (EWSuez'!$B$4:$B$2000,"mmm-yy")=TEXT(A1821,"mmm-yy"))
)</f>
        <v>12124.4</v>
      </c>
      <c r="I1821">
        <f>_xlfn.XLOOKUP(A1821,[1]ForwardDeriv!$D:$D,[1]ForwardDeriv!$AJ:$AJ)</f>
        <v>1.4599999999999937</v>
      </c>
      <c r="J1821" cm="1">
        <f t="array" ref="J1821">_xlfn.XLOOKUP(TEXT(A1821, "mmm-yy"), TEXT([2]GASOLINE!$B$5:$B$208, "mmm-yy"), [2]GASOLINE!$IR$5:$IR$208, "Not Found")</f>
        <v>74.183131015526499</v>
      </c>
      <c r="K1821" cm="1">
        <f t="array" ref="K1821">_xlfn.XLOOKUP(TEXT(A1821, "mmm-yy"), TEXT([2]GASOLINE!$B$5:$B$208, "mmm-yy"), [2]GASOLINE!$IK$5:$IK$208, "Not Found")</f>
        <v>190.85890212466958</v>
      </c>
      <c r="L1821">
        <f t="shared" si="28"/>
        <v>0</v>
      </c>
      <c r="M1821" cm="1">
        <f t="array" ref="M1821">_xlfn.XLOOKUP(TEXT(A1821, "mmm-yy"), TEXT([2]GASOLINE!$B$5:$B$208, "mmm-yy"), [2]GASOLINE!$C$5:$C$208, "Not Found")</f>
        <v>7607.024566770725</v>
      </c>
      <c r="N1821" cm="1">
        <f t="array" ref="N1821">_xlfn.XLOOKUP(TEXT(A1821, "mmm-yy"), TEXT([2]RUNS!$B$5:$B$208, "mmm-yy"), [2]RUNS!$BM$5:$BM$208, "Not Found")</f>
        <v>0.83598468767657019</v>
      </c>
    </row>
    <row r="1822" spans="1:14" x14ac:dyDescent="0.25">
      <c r="A1822" s="1">
        <f>'[1]Global_Spot Prices'!$B3131</f>
        <v>44553</v>
      </c>
      <c r="B1822">
        <f>_xlfn.XLOOKUP(A1822,'[1]Global_Spot Prices'!$B:$B,'[1]Global_Spot Prices'!$BS:$BS)</f>
        <v>14.079999999999998</v>
      </c>
      <c r="C1822">
        <f ca="1">_xlfn.XLOOKUP(A1822,'[1]Global_Spot Prices'!$B:$B,'[1]Global_Spot Prices'!$E:$E)</f>
        <v>73.510000000000005</v>
      </c>
      <c r="D1822">
        <f>_xlfn.XLOOKUP(A1822,'[1]Global_Spot Prices'!$B:$B,'[1]Global_Spot Prices'!$D:$D)</f>
        <v>75.674999999999997</v>
      </c>
      <c r="E1822">
        <f>_xlfn.XLOOKUP(A1822,'[1]Global_Spot Prices'!$B:$B,'[1]Global_Spot Prices'!$H:$H)</f>
        <v>77.81</v>
      </c>
      <c r="F1822">
        <f ca="1">_xlfn.XLOOKUP(A1822,'[1]Global_Spot Prices'!$B:$B,'[1]Global_Spot Prices'!$I:$I)</f>
        <v>87.59</v>
      </c>
      <c r="G1822" cm="1">
        <f t="array" ref="G1822">_xlfn.XLOOKUP(TEXT(A1822, "mmm-yy"), TEXT([2]RUNS!$B$5:$B$208, "mmm-yy"), [2]RUNS!$D$5:$D$208, "Not Found")</f>
        <v>30146.443822304802</v>
      </c>
      <c r="H1822" cm="1">
        <f t="array" ref="H1822">SUMPRODUCT(
    --(TEXT('[3]Global Weekly Stock (EWSuez'!$B$4:$B$2000,"mmm-yy")=TEXT(A1822,"mmm-yy")),
    '[3]Global Weekly Stock (EWSuez'!$E$4:$E$2000)
/
SUMPRODUCT(
    --(TEXT('[3]Global Weekly Stock (EWSuez'!$B$4:$B$2000,"mmm-yy")=TEXT(A1822,"mmm-yy"))
)</f>
        <v>12124.4</v>
      </c>
      <c r="I1822">
        <f>_xlfn.XLOOKUP(A1822,[1]ForwardDeriv!$D:$D,[1]ForwardDeriv!$AJ:$AJ)</f>
        <v>1.3999999999999915</v>
      </c>
      <c r="J1822" cm="1">
        <f t="array" ref="J1822">_xlfn.XLOOKUP(TEXT(A1822, "mmm-yy"), TEXT([2]GASOLINE!$B$5:$B$208, "mmm-yy"), [2]GASOLINE!$IR$5:$IR$208, "Not Found")</f>
        <v>74.183131015526499</v>
      </c>
      <c r="K1822" cm="1">
        <f t="array" ref="K1822">_xlfn.XLOOKUP(TEXT(A1822, "mmm-yy"), TEXT([2]GASOLINE!$B$5:$B$208, "mmm-yy"), [2]GASOLINE!$IK$5:$IK$208, "Not Found")</f>
        <v>190.85890212466958</v>
      </c>
      <c r="L1822">
        <f t="shared" si="28"/>
        <v>0</v>
      </c>
      <c r="M1822" cm="1">
        <f t="array" ref="M1822">_xlfn.XLOOKUP(TEXT(A1822, "mmm-yy"), TEXT([2]GASOLINE!$B$5:$B$208, "mmm-yy"), [2]GASOLINE!$C$5:$C$208, "Not Found")</f>
        <v>7607.024566770725</v>
      </c>
      <c r="N1822" cm="1">
        <f t="array" ref="N1822">_xlfn.XLOOKUP(TEXT(A1822, "mmm-yy"), TEXT([2]RUNS!$B$5:$B$208, "mmm-yy"), [2]RUNS!$BM$5:$BM$208, "Not Found")</f>
        <v>0.83598468767657019</v>
      </c>
    </row>
    <row r="1823" spans="1:14" x14ac:dyDescent="0.25">
      <c r="A1823" s="1">
        <f>'[1]Global_Spot Prices'!$B3132</f>
        <v>44554</v>
      </c>
      <c r="B1823">
        <f ca="1">_xlfn.XLOOKUP(A1823,'[1]Global_Spot Prices'!$B:$B,'[1]Global_Spot Prices'!$BS:$BS)</f>
        <v>14.11</v>
      </c>
      <c r="C1823">
        <f>_xlfn.XLOOKUP(A1823,'[1]Global_Spot Prices'!$B:$B,'[1]Global_Spot Prices'!$E:$E)</f>
        <v>74.349999999999994</v>
      </c>
      <c r="D1823">
        <f>_xlfn.XLOOKUP(A1823,'[1]Global_Spot Prices'!$B:$B,'[1]Global_Spot Prices'!$D:$D)</f>
        <v>75.364999999999995</v>
      </c>
      <c r="E1823">
        <f ca="1">_xlfn.XLOOKUP(A1823,'[1]Global_Spot Prices'!$B:$B,'[1]Global_Spot Prices'!$H:$H)</f>
        <v>78.38</v>
      </c>
      <c r="F1823">
        <f>_xlfn.XLOOKUP(A1823,'[1]Global_Spot Prices'!$B:$B,'[1]Global_Spot Prices'!$I:$I)</f>
        <v>88.46</v>
      </c>
      <c r="G1823" cm="1">
        <f t="array" ref="G1823">_xlfn.XLOOKUP(TEXT(A1823, "mmm-yy"), TEXT([2]RUNS!$B$5:$B$208, "mmm-yy"), [2]RUNS!$D$5:$D$208, "Not Found")</f>
        <v>30146.443822304802</v>
      </c>
      <c r="H1823" cm="1">
        <f t="array" ref="H1823">SUMPRODUCT(
    --(TEXT('[3]Global Weekly Stock (EWSuez'!$B$4:$B$2000,"mmm-yy")=TEXT(A1823,"mmm-yy")),
    '[3]Global Weekly Stock (EWSuez'!$E$4:$E$2000)
/
SUMPRODUCT(
    --(TEXT('[3]Global Weekly Stock (EWSuez'!$B$4:$B$2000,"mmm-yy")=TEXT(A1823,"mmm-yy"))
)</f>
        <v>12124.4</v>
      </c>
      <c r="I1823">
        <f>_xlfn.XLOOKUP(A1823,[1]ForwardDeriv!$D:$D,[1]ForwardDeriv!$AJ:$AJ)</f>
        <v>1.3900000000000006</v>
      </c>
      <c r="J1823" cm="1">
        <f t="array" ref="J1823">_xlfn.XLOOKUP(TEXT(A1823, "mmm-yy"), TEXT([2]GASOLINE!$B$5:$B$208, "mmm-yy"), [2]GASOLINE!$IR$5:$IR$208, "Not Found")</f>
        <v>74.183131015526499</v>
      </c>
      <c r="K1823" cm="1">
        <f t="array" ref="K1823">_xlfn.XLOOKUP(TEXT(A1823, "mmm-yy"), TEXT([2]GASOLINE!$B$5:$B$208, "mmm-yy"), [2]GASOLINE!$IK$5:$IK$208, "Not Found")</f>
        <v>190.85890212466958</v>
      </c>
      <c r="L1823">
        <f t="shared" si="28"/>
        <v>0</v>
      </c>
      <c r="M1823" cm="1">
        <f t="array" ref="M1823">_xlfn.XLOOKUP(TEXT(A1823, "mmm-yy"), TEXT([2]GASOLINE!$B$5:$B$208, "mmm-yy"), [2]GASOLINE!$C$5:$C$208, "Not Found")</f>
        <v>7607.024566770725</v>
      </c>
      <c r="N1823" cm="1">
        <f t="array" ref="N1823">_xlfn.XLOOKUP(TEXT(A1823, "mmm-yy"), TEXT([2]RUNS!$B$5:$B$208, "mmm-yy"), [2]RUNS!$BM$5:$BM$208, "Not Found")</f>
        <v>0.83598468767657019</v>
      </c>
    </row>
    <row r="1824" spans="1:14" x14ac:dyDescent="0.25">
      <c r="A1824" s="1">
        <f>'[1]Global_Spot Prices'!$B3133</f>
        <v>44557</v>
      </c>
      <c r="B1824" t="e">
        <f>_xlfn.XLOOKUP(A1824,'[1]Global_Spot Prices'!$B:$B,'[1]Global_Spot Prices'!$BS:$BS)</f>
        <v>#N/A</v>
      </c>
      <c r="C1824" t="str">
        <f>_xlfn.XLOOKUP(A1824,'[1]Global_Spot Prices'!$B:$B,'[1]Global_Spot Prices'!$E:$E)</f>
        <v/>
      </c>
      <c r="D1824" t="str">
        <f>_xlfn.XLOOKUP(A1824,'[1]Global_Spot Prices'!$B:$B,'[1]Global_Spot Prices'!$D:$D)</f>
        <v/>
      </c>
      <c r="E1824">
        <f>_xlfn.XLOOKUP(A1824,'[1]Global_Spot Prices'!$B:$B,'[1]Global_Spot Prices'!$H:$H)</f>
        <v>0</v>
      </c>
      <c r="F1824">
        <f>_xlfn.XLOOKUP(A1824,'[1]Global_Spot Prices'!$B:$B,'[1]Global_Spot Prices'!$I:$I)</f>
        <v>0</v>
      </c>
      <c r="G1824" cm="1">
        <f t="array" ref="G1824">_xlfn.XLOOKUP(TEXT(A1824, "mmm-yy"), TEXT([2]RUNS!$B$5:$B$208, "mmm-yy"), [2]RUNS!$D$5:$D$208, "Not Found")</f>
        <v>30146.443822304802</v>
      </c>
      <c r="H1824" cm="1">
        <f t="array" ref="H1824">SUMPRODUCT(
    --(TEXT('[3]Global Weekly Stock (EWSuez'!$B$4:$B$2000,"mmm-yy")=TEXT(A1824,"mmm-yy")),
    '[3]Global Weekly Stock (EWSuez'!$E$4:$E$2000)
/
SUMPRODUCT(
    --(TEXT('[3]Global Weekly Stock (EWSuez'!$B$4:$B$2000,"mmm-yy")=TEXT(A1824,"mmm-yy"))
)</f>
        <v>12124.4</v>
      </c>
      <c r="I1824">
        <f>_xlfn.XLOOKUP(A1824,[1]ForwardDeriv!$D:$D,[1]ForwardDeriv!$AJ:$AJ)</f>
        <v>1.2799999999999869</v>
      </c>
      <c r="J1824" cm="1">
        <f t="array" ref="J1824">_xlfn.XLOOKUP(TEXT(A1824, "mmm-yy"), TEXT([2]GASOLINE!$B$5:$B$208, "mmm-yy"), [2]GASOLINE!$IR$5:$IR$208, "Not Found")</f>
        <v>74.183131015526499</v>
      </c>
      <c r="K1824" cm="1">
        <f t="array" ref="K1824">_xlfn.XLOOKUP(TEXT(A1824, "mmm-yy"), TEXT([2]GASOLINE!$B$5:$B$208, "mmm-yy"), [2]GASOLINE!$IK$5:$IK$208, "Not Found")</f>
        <v>190.85890212466958</v>
      </c>
      <c r="L1824">
        <f t="shared" si="28"/>
        <v>0</v>
      </c>
      <c r="M1824" cm="1">
        <f t="array" ref="M1824">_xlfn.XLOOKUP(TEXT(A1824, "mmm-yy"), TEXT([2]GASOLINE!$B$5:$B$208, "mmm-yy"), [2]GASOLINE!$C$5:$C$208, "Not Found")</f>
        <v>7607.024566770725</v>
      </c>
      <c r="N1824" cm="1">
        <f t="array" ref="N1824">_xlfn.XLOOKUP(TEXT(A1824, "mmm-yy"), TEXT([2]RUNS!$B$5:$B$208, "mmm-yy"), [2]RUNS!$BM$5:$BM$208, "Not Found")</f>
        <v>0.83598468767657019</v>
      </c>
    </row>
    <row r="1825" spans="1:14" x14ac:dyDescent="0.25">
      <c r="A1825" s="1">
        <f>'[1]Global_Spot Prices'!$B3134</f>
        <v>44558</v>
      </c>
      <c r="B1825">
        <f>_xlfn.XLOOKUP(A1825,'[1]Global_Spot Prices'!$B:$B,'[1]Global_Spot Prices'!$BS:$BS)</f>
        <v>13.11</v>
      </c>
      <c r="C1825">
        <f ca="1">_xlfn.XLOOKUP(A1825,'[1]Global_Spot Prices'!$B:$B,'[1]Global_Spot Prices'!$E:$E)</f>
        <v>76.45</v>
      </c>
      <c r="D1825" t="str">
        <f>_xlfn.XLOOKUP(A1825,'[1]Global_Spot Prices'!$B:$B,'[1]Global_Spot Prices'!$D:$D)</f>
        <v/>
      </c>
      <c r="E1825">
        <f>_xlfn.XLOOKUP(A1825,'[1]Global_Spot Prices'!$B:$B,'[1]Global_Spot Prices'!$H:$H)</f>
        <v>81.13</v>
      </c>
      <c r="F1825">
        <f ca="1">_xlfn.XLOOKUP(A1825,'[1]Global_Spot Prices'!$B:$B,'[1]Global_Spot Prices'!$I:$I)</f>
        <v>89.56</v>
      </c>
      <c r="G1825" cm="1">
        <f t="array" ref="G1825">_xlfn.XLOOKUP(TEXT(A1825, "mmm-yy"), TEXT([2]RUNS!$B$5:$B$208, "mmm-yy"), [2]RUNS!$D$5:$D$208, "Not Found")</f>
        <v>30146.443822304802</v>
      </c>
      <c r="H1825" cm="1">
        <f t="array" ref="H1825">SUMPRODUCT(
    --(TEXT('[3]Global Weekly Stock (EWSuez'!$B$4:$B$2000,"mmm-yy")=TEXT(A1825,"mmm-yy")),
    '[3]Global Weekly Stock (EWSuez'!$E$4:$E$2000)
/
SUMPRODUCT(
    --(TEXT('[3]Global Weekly Stock (EWSuez'!$B$4:$B$2000,"mmm-yy")=TEXT(A1825,"mmm-yy"))
)</f>
        <v>12124.4</v>
      </c>
      <c r="I1825">
        <f>_xlfn.XLOOKUP(A1825,[1]ForwardDeriv!$D:$D,[1]ForwardDeriv!$AJ:$AJ)</f>
        <v>1.2799999999999869</v>
      </c>
      <c r="J1825" cm="1">
        <f t="array" ref="J1825">_xlfn.XLOOKUP(TEXT(A1825, "mmm-yy"), TEXT([2]GASOLINE!$B$5:$B$208, "mmm-yy"), [2]GASOLINE!$IR$5:$IR$208, "Not Found")</f>
        <v>74.183131015526499</v>
      </c>
      <c r="K1825" cm="1">
        <f t="array" ref="K1825">_xlfn.XLOOKUP(TEXT(A1825, "mmm-yy"), TEXT([2]GASOLINE!$B$5:$B$208, "mmm-yy"), [2]GASOLINE!$IK$5:$IK$208, "Not Found")</f>
        <v>190.85890212466958</v>
      </c>
      <c r="L1825">
        <f t="shared" si="28"/>
        <v>0</v>
      </c>
      <c r="M1825" cm="1">
        <f t="array" ref="M1825">_xlfn.XLOOKUP(TEXT(A1825, "mmm-yy"), TEXT([2]GASOLINE!$B$5:$B$208, "mmm-yy"), [2]GASOLINE!$C$5:$C$208, "Not Found")</f>
        <v>7607.024566770725</v>
      </c>
      <c r="N1825" cm="1">
        <f t="array" ref="N1825">_xlfn.XLOOKUP(TEXT(A1825, "mmm-yy"), TEXT([2]RUNS!$B$5:$B$208, "mmm-yy"), [2]RUNS!$BM$5:$BM$208, "Not Found")</f>
        <v>0.83598468767657019</v>
      </c>
    </row>
    <row r="1826" spans="1:14" x14ac:dyDescent="0.25">
      <c r="A1826" s="1">
        <f>'[1]Global_Spot Prices'!$B3135</f>
        <v>44559</v>
      </c>
      <c r="B1826">
        <f>_xlfn.XLOOKUP(A1826,'[1]Global_Spot Prices'!$B:$B,'[1]Global_Spot Prices'!$BS:$BS)</f>
        <v>13.38000000000001</v>
      </c>
      <c r="C1826">
        <f>_xlfn.XLOOKUP(A1826,'[1]Global_Spot Prices'!$B:$B,'[1]Global_Spot Prices'!$E:$E)</f>
        <v>76.959999999999994</v>
      </c>
      <c r="D1826">
        <f>_xlfn.XLOOKUP(A1826,'[1]Global_Spot Prices'!$B:$B,'[1]Global_Spot Prices'!$D:$D)</f>
        <v>77.53</v>
      </c>
      <c r="E1826">
        <f>_xlfn.XLOOKUP(A1826,'[1]Global_Spot Prices'!$B:$B,'[1]Global_Spot Prices'!$H:$H)</f>
        <v>81.010000000000005</v>
      </c>
      <c r="F1826">
        <f>_xlfn.XLOOKUP(A1826,'[1]Global_Spot Prices'!$B:$B,'[1]Global_Spot Prices'!$I:$I)</f>
        <v>90.34</v>
      </c>
      <c r="G1826" cm="1">
        <f t="array" ref="G1826">_xlfn.XLOOKUP(TEXT(A1826, "mmm-yy"), TEXT([2]RUNS!$B$5:$B$208, "mmm-yy"), [2]RUNS!$D$5:$D$208, "Not Found")</f>
        <v>30146.443822304802</v>
      </c>
      <c r="H1826" cm="1">
        <f t="array" ref="H1826">SUMPRODUCT(
    --(TEXT('[3]Global Weekly Stock (EWSuez'!$B$4:$B$2000,"mmm-yy")=TEXT(A1826,"mmm-yy")),
    '[3]Global Weekly Stock (EWSuez'!$E$4:$E$2000)
/
SUMPRODUCT(
    --(TEXT('[3]Global Weekly Stock (EWSuez'!$B$4:$B$2000,"mmm-yy")=TEXT(A1826,"mmm-yy"))
)</f>
        <v>12124.4</v>
      </c>
      <c r="I1826">
        <f>_xlfn.XLOOKUP(A1826,[1]ForwardDeriv!$D:$D,[1]ForwardDeriv!$AJ:$AJ)</f>
        <v>1.3299999999999983</v>
      </c>
      <c r="J1826" cm="1">
        <f t="array" ref="J1826">_xlfn.XLOOKUP(TEXT(A1826, "mmm-yy"), TEXT([2]GASOLINE!$B$5:$B$208, "mmm-yy"), [2]GASOLINE!$IR$5:$IR$208, "Not Found")</f>
        <v>74.183131015526499</v>
      </c>
      <c r="K1826" cm="1">
        <f t="array" ref="K1826">_xlfn.XLOOKUP(TEXT(A1826, "mmm-yy"), TEXT([2]GASOLINE!$B$5:$B$208, "mmm-yy"), [2]GASOLINE!$IK$5:$IK$208, "Not Found")</f>
        <v>190.85890212466958</v>
      </c>
      <c r="L1826">
        <f t="shared" si="28"/>
        <v>0</v>
      </c>
      <c r="M1826" cm="1">
        <f t="array" ref="M1826">_xlfn.XLOOKUP(TEXT(A1826, "mmm-yy"), TEXT([2]GASOLINE!$B$5:$B$208, "mmm-yy"), [2]GASOLINE!$C$5:$C$208, "Not Found")</f>
        <v>7607.024566770725</v>
      </c>
      <c r="N1826" cm="1">
        <f t="array" ref="N1826">_xlfn.XLOOKUP(TEXT(A1826, "mmm-yy"), TEXT([2]RUNS!$B$5:$B$208, "mmm-yy"), [2]RUNS!$BM$5:$BM$208, "Not Found")</f>
        <v>0.83598468767657019</v>
      </c>
    </row>
    <row r="1827" spans="1:14" x14ac:dyDescent="0.25">
      <c r="A1827" s="1">
        <f>'[1]Global_Spot Prices'!$B3136</f>
        <v>44560</v>
      </c>
      <c r="B1827">
        <f ca="1">_xlfn.XLOOKUP(A1827,'[1]Global_Spot Prices'!$B:$B,'[1]Global_Spot Prices'!$BS:$BS)</f>
        <v>13.675000000000011</v>
      </c>
      <c r="C1827">
        <f>_xlfn.XLOOKUP(A1827,'[1]Global_Spot Prices'!$B:$B,'[1]Global_Spot Prices'!$E:$E)</f>
        <v>77.254999999999995</v>
      </c>
      <c r="D1827">
        <f>_xlfn.XLOOKUP(A1827,'[1]Global_Spot Prices'!$B:$B,'[1]Global_Spot Prices'!$D:$D)</f>
        <v>78.314999999999998</v>
      </c>
      <c r="E1827">
        <f>_xlfn.XLOOKUP(A1827,'[1]Global_Spot Prices'!$B:$B,'[1]Global_Spot Prices'!$H:$H)</f>
        <v>81.69</v>
      </c>
      <c r="F1827">
        <f>_xlfn.XLOOKUP(A1827,'[1]Global_Spot Prices'!$B:$B,'[1]Global_Spot Prices'!$I:$I)</f>
        <v>90.93</v>
      </c>
      <c r="G1827" cm="1">
        <f t="array" ref="G1827">_xlfn.XLOOKUP(TEXT(A1827, "mmm-yy"), TEXT([2]RUNS!$B$5:$B$208, "mmm-yy"), [2]RUNS!$D$5:$D$208, "Not Found")</f>
        <v>30146.443822304802</v>
      </c>
      <c r="H1827" cm="1">
        <f t="array" ref="H1827">SUMPRODUCT(
    --(TEXT('[3]Global Weekly Stock (EWSuez'!$B$4:$B$2000,"mmm-yy")=TEXT(A1827,"mmm-yy")),
    '[3]Global Weekly Stock (EWSuez'!$E$4:$E$2000)
/
SUMPRODUCT(
    --(TEXT('[3]Global Weekly Stock (EWSuez'!$B$4:$B$2000,"mmm-yy")=TEXT(A1827,"mmm-yy"))
)</f>
        <v>12124.4</v>
      </c>
      <c r="I1827">
        <f>_xlfn.XLOOKUP(A1827,[1]ForwardDeriv!$D:$D,[1]ForwardDeriv!$AJ:$AJ)</f>
        <v>1.3500000000000085</v>
      </c>
      <c r="J1827" cm="1">
        <f t="array" ref="J1827">_xlfn.XLOOKUP(TEXT(A1827, "mmm-yy"), TEXT([2]GASOLINE!$B$5:$B$208, "mmm-yy"), [2]GASOLINE!$IR$5:$IR$208, "Not Found")</f>
        <v>74.183131015526499</v>
      </c>
      <c r="K1827" cm="1">
        <f t="array" ref="K1827">_xlfn.XLOOKUP(TEXT(A1827, "mmm-yy"), TEXT([2]GASOLINE!$B$5:$B$208, "mmm-yy"), [2]GASOLINE!$IK$5:$IK$208, "Not Found")</f>
        <v>190.85890212466958</v>
      </c>
      <c r="L1827">
        <f t="shared" si="28"/>
        <v>0</v>
      </c>
      <c r="M1827" cm="1">
        <f t="array" ref="M1827">_xlfn.XLOOKUP(TEXT(A1827, "mmm-yy"), TEXT([2]GASOLINE!$B$5:$B$208, "mmm-yy"), [2]GASOLINE!$C$5:$C$208, "Not Found")</f>
        <v>7607.024566770725</v>
      </c>
      <c r="N1827" cm="1">
        <f t="array" ref="N1827">_xlfn.XLOOKUP(TEXT(A1827, "mmm-yy"), TEXT([2]RUNS!$B$5:$B$208, "mmm-yy"), [2]RUNS!$BM$5:$BM$208, "Not Found")</f>
        <v>0.83598468767657019</v>
      </c>
    </row>
    <row r="1828" spans="1:14" x14ac:dyDescent="0.25">
      <c r="A1828" s="1">
        <f>'[1]Global_Spot Prices'!$B3137</f>
        <v>44561</v>
      </c>
      <c r="B1828">
        <f>_xlfn.XLOOKUP(A1828,'[1]Global_Spot Prices'!$B:$B,'[1]Global_Spot Prices'!$BS:$BS)</f>
        <v>13.570000000000007</v>
      </c>
      <c r="C1828">
        <f>_xlfn.XLOOKUP(A1828,'[1]Global_Spot Prices'!$B:$B,'[1]Global_Spot Prices'!$E:$E)</f>
        <v>77.099999999999994</v>
      </c>
      <c r="D1828">
        <f>_xlfn.XLOOKUP(A1828,'[1]Global_Spot Prices'!$B:$B,'[1]Global_Spot Prices'!$D:$D)</f>
        <v>77.02</v>
      </c>
      <c r="E1828">
        <f>_xlfn.XLOOKUP(A1828,'[1]Global_Spot Prices'!$B:$B,'[1]Global_Spot Prices'!$H:$H)</f>
        <v>82.22</v>
      </c>
      <c r="F1828">
        <f>_xlfn.XLOOKUP(A1828,'[1]Global_Spot Prices'!$B:$B,'[1]Global_Spot Prices'!$I:$I)</f>
        <v>90.67</v>
      </c>
      <c r="G1828" cm="1">
        <f t="array" ref="G1828">_xlfn.XLOOKUP(TEXT(A1828, "mmm-yy"), TEXT([2]RUNS!$B$5:$B$208, "mmm-yy"), [2]RUNS!$D$5:$D$208, "Not Found")</f>
        <v>30146.443822304802</v>
      </c>
      <c r="H1828" cm="1">
        <f t="array" ref="H1828">SUMPRODUCT(
    --(TEXT('[3]Global Weekly Stock (EWSuez'!$B$4:$B$2000,"mmm-yy")=TEXT(A1828,"mmm-yy")),
    '[3]Global Weekly Stock (EWSuez'!$E$4:$E$2000)
/
SUMPRODUCT(
    --(TEXT('[3]Global Weekly Stock (EWSuez'!$B$4:$B$2000,"mmm-yy")=TEXT(A1828,"mmm-yy"))
)</f>
        <v>12124.4</v>
      </c>
      <c r="I1828">
        <f>_xlfn.XLOOKUP(A1828,[1]ForwardDeriv!$D:$D,[1]ForwardDeriv!$AJ:$AJ)</f>
        <v>1.480000000000004</v>
      </c>
      <c r="J1828" cm="1">
        <f t="array" ref="J1828">_xlfn.XLOOKUP(TEXT(A1828, "mmm-yy"), TEXT([2]GASOLINE!$B$5:$B$208, "mmm-yy"), [2]GASOLINE!$IR$5:$IR$208, "Not Found")</f>
        <v>74.183131015526499</v>
      </c>
      <c r="K1828" cm="1">
        <f t="array" ref="K1828">_xlfn.XLOOKUP(TEXT(A1828, "mmm-yy"), TEXT([2]GASOLINE!$B$5:$B$208, "mmm-yy"), [2]GASOLINE!$IK$5:$IK$208, "Not Found")</f>
        <v>190.85890212466958</v>
      </c>
      <c r="L1828">
        <f t="shared" si="28"/>
        <v>0</v>
      </c>
      <c r="M1828" cm="1">
        <f t="array" ref="M1828">_xlfn.XLOOKUP(TEXT(A1828, "mmm-yy"), TEXT([2]GASOLINE!$B$5:$B$208, "mmm-yy"), [2]GASOLINE!$C$5:$C$208, "Not Found")</f>
        <v>7607.024566770725</v>
      </c>
      <c r="N1828" cm="1">
        <f t="array" ref="N1828">_xlfn.XLOOKUP(TEXT(A1828, "mmm-yy"), TEXT([2]RUNS!$B$5:$B$208, "mmm-yy"), [2]RUNS!$BM$5:$BM$208, "Not Found")</f>
        <v>0.83598468767657019</v>
      </c>
    </row>
    <row r="1829" spans="1:14" x14ac:dyDescent="0.25">
      <c r="A1829" s="1">
        <f>'[1]Global_Spot Prices'!$B3138</f>
        <v>44564</v>
      </c>
      <c r="B1829">
        <f>_xlfn.XLOOKUP(A1829,'[1]Global_Spot Prices'!$B:$B,'[1]Global_Spot Prices'!$BS:$BS)</f>
        <v>13.820000000000007</v>
      </c>
      <c r="C1829">
        <f>_xlfn.XLOOKUP(A1829,'[1]Global_Spot Prices'!$B:$B,'[1]Global_Spot Prices'!$E:$E)</f>
        <v>76.849999999999994</v>
      </c>
      <c r="D1829" t="str">
        <f>_xlfn.XLOOKUP(A1829,'[1]Global_Spot Prices'!$B:$B,'[1]Global_Spot Prices'!$D:$D)</f>
        <v/>
      </c>
      <c r="E1829">
        <f>_xlfn.XLOOKUP(A1829,'[1]Global_Spot Prices'!$B:$B,'[1]Global_Spot Prices'!$H:$H)</f>
        <v>81.37</v>
      </c>
      <c r="F1829">
        <f>_xlfn.XLOOKUP(A1829,'[1]Global_Spot Prices'!$B:$B,'[1]Global_Spot Prices'!$I:$I)</f>
        <v>90.67</v>
      </c>
      <c r="G1829" cm="1">
        <f t="array" ref="G1829">_xlfn.XLOOKUP(TEXT(A1829, "mmm-yy"), TEXT([2]RUNS!$B$5:$B$208, "mmm-yy"), [2]RUNS!$D$5:$D$208, "Not Found")</f>
        <v>30270.59075604301</v>
      </c>
      <c r="H1829" cm="1">
        <f t="array" ref="H1829">SUMPRODUCT(
    --(TEXT('[3]Global Weekly Stock (EWSuez'!$B$4:$B$2000,"mmm-yy")=TEXT(A1829,"mmm-yy")),
    '[3]Global Weekly Stock (EWSuez'!$E$4:$E$2000)
/
SUMPRODUCT(
    --(TEXT('[3]Global Weekly Stock (EWSuez'!$B$4:$B$2000,"mmm-yy")=TEXT(A1829,"mmm-yy"))
)</f>
        <v>14222.75</v>
      </c>
      <c r="I1829">
        <f>_xlfn.XLOOKUP(A1829,[1]ForwardDeriv!$D:$D,[1]ForwardDeriv!$AJ:$AJ)</f>
        <v>0.78999999999999204</v>
      </c>
      <c r="J1829" cm="1">
        <f t="array" ref="J1829">_xlfn.XLOOKUP(TEXT(A1829, "mmm-yy"), TEXT([2]GASOLINE!$B$5:$B$208, "mmm-yy"), [2]GASOLINE!$IR$5:$IR$208, "Not Found")</f>
        <v>110.74282671414724</v>
      </c>
      <c r="K1829" cm="1">
        <f t="array" ref="K1829">_xlfn.XLOOKUP(TEXT(A1829, "mmm-yy"), TEXT([2]GASOLINE!$B$5:$B$208, "mmm-yy"), [2]GASOLINE!$IK$5:$IK$208, "Not Found")</f>
        <v>183.38081506246203</v>
      </c>
      <c r="L1829">
        <f t="shared" si="28"/>
        <v>0</v>
      </c>
      <c r="M1829" cm="1">
        <f t="array" ref="M1829">_xlfn.XLOOKUP(TEXT(A1829, "mmm-yy"), TEXT([2]GASOLINE!$B$5:$B$208, "mmm-yy"), [2]GASOLINE!$C$5:$C$208, "Not Found")</f>
        <v>7610.982027012853</v>
      </c>
      <c r="N1829" cm="1">
        <f t="array" ref="N1829">_xlfn.XLOOKUP(TEXT(A1829, "mmm-yy"), TEXT([2]RUNS!$B$5:$B$208, "mmm-yy"), [2]RUNS!$BM$5:$BM$208, "Not Found")</f>
        <v>0.82931080483064812</v>
      </c>
    </row>
    <row r="1830" spans="1:14" x14ac:dyDescent="0.25">
      <c r="A1830" s="1">
        <f>'[1]Global_Spot Prices'!$B3139</f>
        <v>44565</v>
      </c>
      <c r="B1830">
        <f>_xlfn.XLOOKUP(A1830,'[1]Global_Spot Prices'!$B:$B,'[1]Global_Spot Prices'!$BS:$BS)</f>
        <v>13.840000000000003</v>
      </c>
      <c r="C1830">
        <f>_xlfn.XLOOKUP(A1830,'[1]Global_Spot Prices'!$B:$B,'[1]Global_Spot Prices'!$E:$E)</f>
        <v>77.489999999999995</v>
      </c>
      <c r="D1830">
        <f>_xlfn.XLOOKUP(A1830,'[1]Global_Spot Prices'!$B:$B,'[1]Global_Spot Prices'!$D:$D)</f>
        <v>78.989999999999995</v>
      </c>
      <c r="E1830">
        <f>_xlfn.XLOOKUP(A1830,'[1]Global_Spot Prices'!$B:$B,'[1]Global_Spot Prices'!$H:$H)</f>
        <v>81</v>
      </c>
      <c r="F1830">
        <f>_xlfn.XLOOKUP(A1830,'[1]Global_Spot Prices'!$B:$B,'[1]Global_Spot Prices'!$I:$I)</f>
        <v>91.33</v>
      </c>
      <c r="G1830" cm="1">
        <f t="array" ref="G1830">_xlfn.XLOOKUP(TEXT(A1830, "mmm-yy"), TEXT([2]RUNS!$B$5:$B$208, "mmm-yy"), [2]RUNS!$D$5:$D$208, "Not Found")</f>
        <v>30270.59075604301</v>
      </c>
      <c r="H1830" cm="1">
        <f t="array" ref="H1830">SUMPRODUCT(
    --(TEXT('[3]Global Weekly Stock (EWSuez'!$B$4:$B$2000,"mmm-yy")=TEXT(A1830,"mmm-yy")),
    '[3]Global Weekly Stock (EWSuez'!$E$4:$E$2000)
/
SUMPRODUCT(
    --(TEXT('[3]Global Weekly Stock (EWSuez'!$B$4:$B$2000,"mmm-yy")=TEXT(A1830,"mmm-yy"))
)</f>
        <v>14222.75</v>
      </c>
      <c r="I1830">
        <f>_xlfn.XLOOKUP(A1830,[1]ForwardDeriv!$D:$D,[1]ForwardDeriv!$AJ:$AJ)</f>
        <v>1.0300000000000011</v>
      </c>
      <c r="J1830" cm="1">
        <f t="array" ref="J1830">_xlfn.XLOOKUP(TEXT(A1830, "mmm-yy"), TEXT([2]GASOLINE!$B$5:$B$208, "mmm-yy"), [2]GASOLINE!$IR$5:$IR$208, "Not Found")</f>
        <v>110.74282671414724</v>
      </c>
      <c r="K1830" cm="1">
        <f t="array" ref="K1830">_xlfn.XLOOKUP(TEXT(A1830, "mmm-yy"), TEXT([2]GASOLINE!$B$5:$B$208, "mmm-yy"), [2]GASOLINE!$IK$5:$IK$208, "Not Found")</f>
        <v>183.38081506246203</v>
      </c>
      <c r="L1830">
        <f t="shared" si="28"/>
        <v>0</v>
      </c>
      <c r="M1830" cm="1">
        <f t="array" ref="M1830">_xlfn.XLOOKUP(TEXT(A1830, "mmm-yy"), TEXT([2]GASOLINE!$B$5:$B$208, "mmm-yy"), [2]GASOLINE!$C$5:$C$208, "Not Found")</f>
        <v>7610.982027012853</v>
      </c>
      <c r="N1830" cm="1">
        <f t="array" ref="N1830">_xlfn.XLOOKUP(TEXT(A1830, "mmm-yy"), TEXT([2]RUNS!$B$5:$B$208, "mmm-yy"), [2]RUNS!$BM$5:$BM$208, "Not Found")</f>
        <v>0.82931080483064812</v>
      </c>
    </row>
    <row r="1831" spans="1:14" x14ac:dyDescent="0.25">
      <c r="A1831" s="1">
        <f>'[1]Global_Spot Prices'!$B3140</f>
        <v>44566</v>
      </c>
      <c r="B1831">
        <f>_xlfn.XLOOKUP(A1831,'[1]Global_Spot Prices'!$B:$B,'[1]Global_Spot Prices'!$BS:$BS)</f>
        <v>12.855000000000004</v>
      </c>
      <c r="C1831">
        <f>_xlfn.XLOOKUP(A1831,'[1]Global_Spot Prices'!$B:$B,'[1]Global_Spot Prices'!$E:$E)</f>
        <v>78.394999999999996</v>
      </c>
      <c r="D1831">
        <f>_xlfn.XLOOKUP(A1831,'[1]Global_Spot Prices'!$B:$B,'[1]Global_Spot Prices'!$D:$D)</f>
        <v>80.900000000000006</v>
      </c>
      <c r="E1831">
        <f>_xlfn.XLOOKUP(A1831,'[1]Global_Spot Prices'!$B:$B,'[1]Global_Spot Prices'!$H:$H)</f>
        <v>79.97</v>
      </c>
      <c r="F1831">
        <f>_xlfn.XLOOKUP(A1831,'[1]Global_Spot Prices'!$B:$B,'[1]Global_Spot Prices'!$I:$I)</f>
        <v>91.25</v>
      </c>
      <c r="G1831" cm="1">
        <f t="array" ref="G1831">_xlfn.XLOOKUP(TEXT(A1831, "mmm-yy"), TEXT([2]RUNS!$B$5:$B$208, "mmm-yy"), [2]RUNS!$D$5:$D$208, "Not Found")</f>
        <v>30270.59075604301</v>
      </c>
      <c r="H1831" cm="1">
        <f t="array" ref="H1831">SUMPRODUCT(
    --(TEXT('[3]Global Weekly Stock (EWSuez'!$B$4:$B$2000,"mmm-yy")=TEXT(A1831,"mmm-yy")),
    '[3]Global Weekly Stock (EWSuez'!$E$4:$E$2000)
/
SUMPRODUCT(
    --(TEXT('[3]Global Weekly Stock (EWSuez'!$B$4:$B$2000,"mmm-yy")=TEXT(A1831,"mmm-yy"))
)</f>
        <v>14222.75</v>
      </c>
      <c r="I1831">
        <f>_xlfn.XLOOKUP(A1831,[1]ForwardDeriv!$D:$D,[1]ForwardDeriv!$AJ:$AJ)</f>
        <v>0.76999999999999602</v>
      </c>
      <c r="J1831" cm="1">
        <f t="array" ref="J1831">_xlfn.XLOOKUP(TEXT(A1831, "mmm-yy"), TEXT([2]GASOLINE!$B$5:$B$208, "mmm-yy"), [2]GASOLINE!$IR$5:$IR$208, "Not Found")</f>
        <v>110.74282671414724</v>
      </c>
      <c r="K1831" cm="1">
        <f t="array" ref="K1831">_xlfn.XLOOKUP(TEXT(A1831, "mmm-yy"), TEXT([2]GASOLINE!$B$5:$B$208, "mmm-yy"), [2]GASOLINE!$IK$5:$IK$208, "Not Found")</f>
        <v>183.38081506246203</v>
      </c>
      <c r="L1831">
        <f t="shared" si="28"/>
        <v>0</v>
      </c>
      <c r="M1831" cm="1">
        <f t="array" ref="M1831">_xlfn.XLOOKUP(TEXT(A1831, "mmm-yy"), TEXT([2]GASOLINE!$B$5:$B$208, "mmm-yy"), [2]GASOLINE!$C$5:$C$208, "Not Found")</f>
        <v>7610.982027012853</v>
      </c>
      <c r="N1831" cm="1">
        <f t="array" ref="N1831">_xlfn.XLOOKUP(TEXT(A1831, "mmm-yy"), TEXT([2]RUNS!$B$5:$B$208, "mmm-yy"), [2]RUNS!$BM$5:$BM$208, "Not Found")</f>
        <v>0.82931080483064812</v>
      </c>
    </row>
    <row r="1832" spans="1:14" x14ac:dyDescent="0.25">
      <c r="A1832" s="1">
        <f>'[1]Global_Spot Prices'!$B3141</f>
        <v>44567</v>
      </c>
      <c r="B1832">
        <f>_xlfn.XLOOKUP(A1832,'[1]Global_Spot Prices'!$B:$B,'[1]Global_Spot Prices'!$BS:$BS)</f>
        <v>12.620000000000005</v>
      </c>
      <c r="C1832">
        <f>_xlfn.XLOOKUP(A1832,'[1]Global_Spot Prices'!$B:$B,'[1]Global_Spot Prices'!$E:$E)</f>
        <v>78.81</v>
      </c>
      <c r="D1832">
        <f>_xlfn.XLOOKUP(A1832,'[1]Global_Spot Prices'!$B:$B,'[1]Global_Spot Prices'!$D:$D)</f>
        <v>82.305000000000007</v>
      </c>
      <c r="E1832">
        <f>_xlfn.XLOOKUP(A1832,'[1]Global_Spot Prices'!$B:$B,'[1]Global_Spot Prices'!$H:$H)</f>
        <v>79.349999999999994</v>
      </c>
      <c r="F1832">
        <f>_xlfn.XLOOKUP(A1832,'[1]Global_Spot Prices'!$B:$B,'[1]Global_Spot Prices'!$I:$I)</f>
        <v>91.43</v>
      </c>
      <c r="G1832" cm="1">
        <f t="array" ref="G1832">_xlfn.XLOOKUP(TEXT(A1832, "mmm-yy"), TEXT([2]RUNS!$B$5:$B$208, "mmm-yy"), [2]RUNS!$D$5:$D$208, "Not Found")</f>
        <v>30270.59075604301</v>
      </c>
      <c r="H1832" cm="1">
        <f t="array" ref="H1832">SUMPRODUCT(
    --(TEXT('[3]Global Weekly Stock (EWSuez'!$B$4:$B$2000,"mmm-yy")=TEXT(A1832,"mmm-yy")),
    '[3]Global Weekly Stock (EWSuez'!$E$4:$E$2000)
/
SUMPRODUCT(
    --(TEXT('[3]Global Weekly Stock (EWSuez'!$B$4:$B$2000,"mmm-yy")=TEXT(A1832,"mmm-yy"))
)</f>
        <v>14222.75</v>
      </c>
      <c r="I1832">
        <f>_xlfn.XLOOKUP(A1832,[1]ForwardDeriv!$D:$D,[1]ForwardDeriv!$AJ:$AJ)</f>
        <v>0.92999999999999261</v>
      </c>
      <c r="J1832" cm="1">
        <f t="array" ref="J1832">_xlfn.XLOOKUP(TEXT(A1832, "mmm-yy"), TEXT([2]GASOLINE!$B$5:$B$208, "mmm-yy"), [2]GASOLINE!$IR$5:$IR$208, "Not Found")</f>
        <v>110.74282671414724</v>
      </c>
      <c r="K1832" cm="1">
        <f t="array" ref="K1832">_xlfn.XLOOKUP(TEXT(A1832, "mmm-yy"), TEXT([2]GASOLINE!$B$5:$B$208, "mmm-yy"), [2]GASOLINE!$IK$5:$IK$208, "Not Found")</f>
        <v>183.38081506246203</v>
      </c>
      <c r="L1832">
        <f t="shared" si="28"/>
        <v>0</v>
      </c>
      <c r="M1832" cm="1">
        <f t="array" ref="M1832">_xlfn.XLOOKUP(TEXT(A1832, "mmm-yy"), TEXT([2]GASOLINE!$B$5:$B$208, "mmm-yy"), [2]GASOLINE!$C$5:$C$208, "Not Found")</f>
        <v>7610.982027012853</v>
      </c>
      <c r="N1832" cm="1">
        <f t="array" ref="N1832">_xlfn.XLOOKUP(TEXT(A1832, "mmm-yy"), TEXT([2]RUNS!$B$5:$B$208, "mmm-yy"), [2]RUNS!$BM$5:$BM$208, "Not Found")</f>
        <v>0.82931080483064812</v>
      </c>
    </row>
    <row r="1833" spans="1:14" x14ac:dyDescent="0.25">
      <c r="A1833" s="1">
        <f>'[1]Global_Spot Prices'!$B3142</f>
        <v>44568</v>
      </c>
      <c r="B1833">
        <f>_xlfn.XLOOKUP(A1833,'[1]Global_Spot Prices'!$B:$B,'[1]Global_Spot Prices'!$BS:$BS)</f>
        <v>12.245000000000005</v>
      </c>
      <c r="C1833">
        <f>_xlfn.XLOOKUP(A1833,'[1]Global_Spot Prices'!$B:$B,'[1]Global_Spot Prices'!$E:$E)</f>
        <v>80.584999999999994</v>
      </c>
      <c r="D1833">
        <f>_xlfn.XLOOKUP(A1833,'[1]Global_Spot Prices'!$B:$B,'[1]Global_Spot Prices'!$D:$D)</f>
        <v>82.48</v>
      </c>
      <c r="E1833">
        <f>_xlfn.XLOOKUP(A1833,'[1]Global_Spot Prices'!$B:$B,'[1]Global_Spot Prices'!$H:$H)</f>
        <v>81.33</v>
      </c>
      <c r="F1833">
        <f>_xlfn.XLOOKUP(A1833,'[1]Global_Spot Prices'!$B:$B,'[1]Global_Spot Prices'!$I:$I)</f>
        <v>92.83</v>
      </c>
      <c r="G1833" cm="1">
        <f t="array" ref="G1833">_xlfn.XLOOKUP(TEXT(A1833, "mmm-yy"), TEXT([2]RUNS!$B$5:$B$208, "mmm-yy"), [2]RUNS!$D$5:$D$208, "Not Found")</f>
        <v>30270.59075604301</v>
      </c>
      <c r="H1833" cm="1">
        <f t="array" ref="H1833">SUMPRODUCT(
    --(TEXT('[3]Global Weekly Stock (EWSuez'!$B$4:$B$2000,"mmm-yy")=TEXT(A1833,"mmm-yy")),
    '[3]Global Weekly Stock (EWSuez'!$E$4:$E$2000)
/
SUMPRODUCT(
    --(TEXT('[3]Global Weekly Stock (EWSuez'!$B$4:$B$2000,"mmm-yy")=TEXT(A1833,"mmm-yy"))
)</f>
        <v>14222.75</v>
      </c>
      <c r="I1833">
        <f>_xlfn.XLOOKUP(A1833,[1]ForwardDeriv!$D:$D,[1]ForwardDeriv!$AJ:$AJ)</f>
        <v>0.90999999999999659</v>
      </c>
      <c r="J1833" cm="1">
        <f t="array" ref="J1833">_xlfn.XLOOKUP(TEXT(A1833, "mmm-yy"), TEXT([2]GASOLINE!$B$5:$B$208, "mmm-yy"), [2]GASOLINE!$IR$5:$IR$208, "Not Found")</f>
        <v>110.74282671414724</v>
      </c>
      <c r="K1833" cm="1">
        <f t="array" ref="K1833">_xlfn.XLOOKUP(TEXT(A1833, "mmm-yy"), TEXT([2]GASOLINE!$B$5:$B$208, "mmm-yy"), [2]GASOLINE!$IK$5:$IK$208, "Not Found")</f>
        <v>183.38081506246203</v>
      </c>
      <c r="L1833">
        <f t="shared" si="28"/>
        <v>0</v>
      </c>
      <c r="M1833" cm="1">
        <f t="array" ref="M1833">_xlfn.XLOOKUP(TEXT(A1833, "mmm-yy"), TEXT([2]GASOLINE!$B$5:$B$208, "mmm-yy"), [2]GASOLINE!$C$5:$C$208, "Not Found")</f>
        <v>7610.982027012853</v>
      </c>
      <c r="N1833" cm="1">
        <f t="array" ref="N1833">_xlfn.XLOOKUP(TEXT(A1833, "mmm-yy"), TEXT([2]RUNS!$B$5:$B$208, "mmm-yy"), [2]RUNS!$BM$5:$BM$208, "Not Found")</f>
        <v>0.82931080483064812</v>
      </c>
    </row>
    <row r="1834" spans="1:14" x14ac:dyDescent="0.25">
      <c r="A1834" s="1">
        <f>'[1]Global_Spot Prices'!$B3143</f>
        <v>44571</v>
      </c>
      <c r="B1834">
        <f>_xlfn.XLOOKUP(A1834,'[1]Global_Spot Prices'!$B:$B,'[1]Global_Spot Prices'!$BS:$BS)</f>
        <v>12.39</v>
      </c>
      <c r="C1834">
        <f>_xlfn.XLOOKUP(A1834,'[1]Global_Spot Prices'!$B:$B,'[1]Global_Spot Prices'!$E:$E)</f>
        <v>80.34</v>
      </c>
      <c r="D1834">
        <f>_xlfn.XLOOKUP(A1834,'[1]Global_Spot Prices'!$B:$B,'[1]Global_Spot Prices'!$D:$D)</f>
        <v>82.245000000000005</v>
      </c>
      <c r="E1834">
        <f>_xlfn.XLOOKUP(A1834,'[1]Global_Spot Prices'!$B:$B,'[1]Global_Spot Prices'!$H:$H)</f>
        <v>81.67</v>
      </c>
      <c r="F1834">
        <f>_xlfn.XLOOKUP(A1834,'[1]Global_Spot Prices'!$B:$B,'[1]Global_Spot Prices'!$I:$I)</f>
        <v>92.73</v>
      </c>
      <c r="G1834" cm="1">
        <f t="array" ref="G1834">_xlfn.XLOOKUP(TEXT(A1834, "mmm-yy"), TEXT([2]RUNS!$B$5:$B$208, "mmm-yy"), [2]RUNS!$D$5:$D$208, "Not Found")</f>
        <v>30270.59075604301</v>
      </c>
      <c r="H1834" cm="1">
        <f t="array" ref="H1834">SUMPRODUCT(
    --(TEXT('[3]Global Weekly Stock (EWSuez'!$B$4:$B$2000,"mmm-yy")=TEXT(A1834,"mmm-yy")),
    '[3]Global Weekly Stock (EWSuez'!$E$4:$E$2000)
/
SUMPRODUCT(
    --(TEXT('[3]Global Weekly Stock (EWSuez'!$B$4:$B$2000,"mmm-yy")=TEXT(A1834,"mmm-yy"))
)</f>
        <v>14222.75</v>
      </c>
      <c r="I1834">
        <f>_xlfn.XLOOKUP(A1834,[1]ForwardDeriv!$D:$D,[1]ForwardDeriv!$AJ:$AJ)</f>
        <v>0.82999999999999829</v>
      </c>
      <c r="J1834" cm="1">
        <f t="array" ref="J1834">_xlfn.XLOOKUP(TEXT(A1834, "mmm-yy"), TEXT([2]GASOLINE!$B$5:$B$208, "mmm-yy"), [2]GASOLINE!$IR$5:$IR$208, "Not Found")</f>
        <v>110.74282671414724</v>
      </c>
      <c r="K1834" cm="1">
        <f t="array" ref="K1834">_xlfn.XLOOKUP(TEXT(A1834, "mmm-yy"), TEXT([2]GASOLINE!$B$5:$B$208, "mmm-yy"), [2]GASOLINE!$IK$5:$IK$208, "Not Found")</f>
        <v>183.38081506246203</v>
      </c>
      <c r="L1834">
        <f t="shared" si="28"/>
        <v>0</v>
      </c>
      <c r="M1834" cm="1">
        <f t="array" ref="M1834">_xlfn.XLOOKUP(TEXT(A1834, "mmm-yy"), TEXT([2]GASOLINE!$B$5:$B$208, "mmm-yy"), [2]GASOLINE!$C$5:$C$208, "Not Found")</f>
        <v>7610.982027012853</v>
      </c>
      <c r="N1834" cm="1">
        <f t="array" ref="N1834">_xlfn.XLOOKUP(TEXT(A1834, "mmm-yy"), TEXT([2]RUNS!$B$5:$B$208, "mmm-yy"), [2]RUNS!$BM$5:$BM$208, "Not Found")</f>
        <v>0.82931080483064812</v>
      </c>
    </row>
    <row r="1835" spans="1:14" x14ac:dyDescent="0.25">
      <c r="A1835" s="1">
        <f>'[1]Global_Spot Prices'!$B3144</f>
        <v>44572</v>
      </c>
      <c r="B1835">
        <f>_xlfn.XLOOKUP(A1835,'[1]Global_Spot Prices'!$B:$B,'[1]Global_Spot Prices'!$BS:$BS)</f>
        <v>11.799999999999997</v>
      </c>
      <c r="C1835">
        <f>_xlfn.XLOOKUP(A1835,'[1]Global_Spot Prices'!$B:$B,'[1]Global_Spot Prices'!$E:$E)</f>
        <v>79.98</v>
      </c>
      <c r="D1835">
        <f>_xlfn.XLOOKUP(A1835,'[1]Global_Spot Prices'!$B:$B,'[1]Global_Spot Prices'!$D:$D)</f>
        <v>84.65</v>
      </c>
      <c r="E1835">
        <f>_xlfn.XLOOKUP(A1835,'[1]Global_Spot Prices'!$B:$B,'[1]Global_Spot Prices'!$H:$H)</f>
        <v>81.34</v>
      </c>
      <c r="F1835">
        <f>_xlfn.XLOOKUP(A1835,'[1]Global_Spot Prices'!$B:$B,'[1]Global_Spot Prices'!$I:$I)</f>
        <v>91.78</v>
      </c>
      <c r="G1835" cm="1">
        <f t="array" ref="G1835">_xlfn.XLOOKUP(TEXT(A1835, "mmm-yy"), TEXT([2]RUNS!$B$5:$B$208, "mmm-yy"), [2]RUNS!$D$5:$D$208, "Not Found")</f>
        <v>30270.59075604301</v>
      </c>
      <c r="H1835" cm="1">
        <f t="array" ref="H1835">SUMPRODUCT(
    --(TEXT('[3]Global Weekly Stock (EWSuez'!$B$4:$B$2000,"mmm-yy")=TEXT(A1835,"mmm-yy")),
    '[3]Global Weekly Stock (EWSuez'!$E$4:$E$2000)
/
SUMPRODUCT(
    --(TEXT('[3]Global Weekly Stock (EWSuez'!$B$4:$B$2000,"mmm-yy")=TEXT(A1835,"mmm-yy"))
)</f>
        <v>14222.75</v>
      </c>
      <c r="I1835">
        <f>_xlfn.XLOOKUP(A1835,[1]ForwardDeriv!$D:$D,[1]ForwardDeriv!$AJ:$AJ)</f>
        <v>0.76999999999999602</v>
      </c>
      <c r="J1835" cm="1">
        <f t="array" ref="J1835">_xlfn.XLOOKUP(TEXT(A1835, "mmm-yy"), TEXT([2]GASOLINE!$B$5:$B$208, "mmm-yy"), [2]GASOLINE!$IR$5:$IR$208, "Not Found")</f>
        <v>110.74282671414724</v>
      </c>
      <c r="K1835" cm="1">
        <f t="array" ref="K1835">_xlfn.XLOOKUP(TEXT(A1835, "mmm-yy"), TEXT([2]GASOLINE!$B$5:$B$208, "mmm-yy"), [2]GASOLINE!$IK$5:$IK$208, "Not Found")</f>
        <v>183.38081506246203</v>
      </c>
      <c r="L1835">
        <f t="shared" si="28"/>
        <v>0</v>
      </c>
      <c r="M1835" cm="1">
        <f t="array" ref="M1835">_xlfn.XLOOKUP(TEXT(A1835, "mmm-yy"), TEXT([2]GASOLINE!$B$5:$B$208, "mmm-yy"), [2]GASOLINE!$C$5:$C$208, "Not Found")</f>
        <v>7610.982027012853</v>
      </c>
      <c r="N1835" cm="1">
        <f t="array" ref="N1835">_xlfn.XLOOKUP(TEXT(A1835, "mmm-yy"), TEXT([2]RUNS!$B$5:$B$208, "mmm-yy"), [2]RUNS!$BM$5:$BM$208, "Not Found")</f>
        <v>0.82931080483064812</v>
      </c>
    </row>
    <row r="1836" spans="1:14" x14ac:dyDescent="0.25">
      <c r="A1836" s="1">
        <f>'[1]Global_Spot Prices'!$B3145</f>
        <v>44573</v>
      </c>
      <c r="B1836">
        <f>_xlfn.XLOOKUP(A1836,'[1]Global_Spot Prices'!$B:$B,'[1]Global_Spot Prices'!$BS:$BS)</f>
        <v>12.310000000000002</v>
      </c>
      <c r="C1836">
        <f>_xlfn.XLOOKUP(A1836,'[1]Global_Spot Prices'!$B:$B,'[1]Global_Spot Prices'!$E:$E)</f>
        <v>82.21</v>
      </c>
      <c r="D1836">
        <f>_xlfn.XLOOKUP(A1836,'[1]Global_Spot Prices'!$B:$B,'[1]Global_Spot Prices'!$D:$D)</f>
        <v>86.53</v>
      </c>
      <c r="E1836">
        <f>_xlfn.XLOOKUP(A1836,'[1]Global_Spot Prices'!$B:$B,'[1]Global_Spot Prices'!$H:$H)</f>
        <v>83.36</v>
      </c>
      <c r="F1836">
        <f>_xlfn.XLOOKUP(A1836,'[1]Global_Spot Prices'!$B:$B,'[1]Global_Spot Prices'!$I:$I)</f>
        <v>94.52</v>
      </c>
      <c r="G1836" cm="1">
        <f t="array" ref="G1836">_xlfn.XLOOKUP(TEXT(A1836, "mmm-yy"), TEXT([2]RUNS!$B$5:$B$208, "mmm-yy"), [2]RUNS!$D$5:$D$208, "Not Found")</f>
        <v>30270.59075604301</v>
      </c>
      <c r="H1836" cm="1">
        <f t="array" ref="H1836">SUMPRODUCT(
    --(TEXT('[3]Global Weekly Stock (EWSuez'!$B$4:$B$2000,"mmm-yy")=TEXT(A1836,"mmm-yy")),
    '[3]Global Weekly Stock (EWSuez'!$E$4:$E$2000)
/
SUMPRODUCT(
    --(TEXT('[3]Global Weekly Stock (EWSuez'!$B$4:$B$2000,"mmm-yy")=TEXT(A1836,"mmm-yy"))
)</f>
        <v>14222.75</v>
      </c>
      <c r="I1836">
        <f>_xlfn.XLOOKUP(A1836,[1]ForwardDeriv!$D:$D,[1]ForwardDeriv!$AJ:$AJ)</f>
        <v>0.84000000000000341</v>
      </c>
      <c r="J1836" cm="1">
        <f t="array" ref="J1836">_xlfn.XLOOKUP(TEXT(A1836, "mmm-yy"), TEXT([2]GASOLINE!$B$5:$B$208, "mmm-yy"), [2]GASOLINE!$IR$5:$IR$208, "Not Found")</f>
        <v>110.74282671414724</v>
      </c>
      <c r="K1836" cm="1">
        <f t="array" ref="K1836">_xlfn.XLOOKUP(TEXT(A1836, "mmm-yy"), TEXT([2]GASOLINE!$B$5:$B$208, "mmm-yy"), [2]GASOLINE!$IK$5:$IK$208, "Not Found")</f>
        <v>183.38081506246203</v>
      </c>
      <c r="L1836">
        <f t="shared" si="28"/>
        <v>0</v>
      </c>
      <c r="M1836" cm="1">
        <f t="array" ref="M1836">_xlfn.XLOOKUP(TEXT(A1836, "mmm-yy"), TEXT([2]GASOLINE!$B$5:$B$208, "mmm-yy"), [2]GASOLINE!$C$5:$C$208, "Not Found")</f>
        <v>7610.982027012853</v>
      </c>
      <c r="N1836" cm="1">
        <f t="array" ref="N1836">_xlfn.XLOOKUP(TEXT(A1836, "mmm-yy"), TEXT([2]RUNS!$B$5:$B$208, "mmm-yy"), [2]RUNS!$BM$5:$BM$208, "Not Found")</f>
        <v>0.82931080483064812</v>
      </c>
    </row>
    <row r="1837" spans="1:14" x14ac:dyDescent="0.25">
      <c r="A1837" s="1">
        <f>'[1]Global_Spot Prices'!$B3146</f>
        <v>44574</v>
      </c>
      <c r="B1837">
        <f>_xlfn.XLOOKUP(A1837,'[1]Global_Spot Prices'!$B:$B,'[1]Global_Spot Prices'!$BS:$BS)</f>
        <v>12.75500000000001</v>
      </c>
      <c r="C1837">
        <f>_xlfn.XLOOKUP(A1837,'[1]Global_Spot Prices'!$B:$B,'[1]Global_Spot Prices'!$E:$E)</f>
        <v>82.944999999999993</v>
      </c>
      <c r="D1837">
        <f>_xlfn.XLOOKUP(A1837,'[1]Global_Spot Prices'!$B:$B,'[1]Global_Spot Prices'!$D:$D)</f>
        <v>86.194999999999993</v>
      </c>
      <c r="E1837">
        <f>_xlfn.XLOOKUP(A1837,'[1]Global_Spot Prices'!$B:$B,'[1]Global_Spot Prices'!$H:$H)</f>
        <v>84.09</v>
      </c>
      <c r="F1837">
        <f>_xlfn.XLOOKUP(A1837,'[1]Global_Spot Prices'!$B:$B,'[1]Global_Spot Prices'!$I:$I)</f>
        <v>95.7</v>
      </c>
      <c r="G1837" cm="1">
        <f t="array" ref="G1837">_xlfn.XLOOKUP(TEXT(A1837, "mmm-yy"), TEXT([2]RUNS!$B$5:$B$208, "mmm-yy"), [2]RUNS!$D$5:$D$208, "Not Found")</f>
        <v>30270.59075604301</v>
      </c>
      <c r="H1837" cm="1">
        <f t="array" ref="H1837">SUMPRODUCT(
    --(TEXT('[3]Global Weekly Stock (EWSuez'!$B$4:$B$2000,"mmm-yy")=TEXT(A1837,"mmm-yy")),
    '[3]Global Weekly Stock (EWSuez'!$E$4:$E$2000)
/
SUMPRODUCT(
    --(TEXT('[3]Global Weekly Stock (EWSuez'!$B$4:$B$2000,"mmm-yy")=TEXT(A1837,"mmm-yy"))
)</f>
        <v>14222.75</v>
      </c>
      <c r="I1837">
        <f>_xlfn.XLOOKUP(A1837,[1]ForwardDeriv!$D:$D,[1]ForwardDeriv!$AJ:$AJ)</f>
        <v>0.92000000000000171</v>
      </c>
      <c r="J1837" cm="1">
        <f t="array" ref="J1837">_xlfn.XLOOKUP(TEXT(A1837, "mmm-yy"), TEXT([2]GASOLINE!$B$5:$B$208, "mmm-yy"), [2]GASOLINE!$IR$5:$IR$208, "Not Found")</f>
        <v>110.74282671414724</v>
      </c>
      <c r="K1837" cm="1">
        <f t="array" ref="K1837">_xlfn.XLOOKUP(TEXT(A1837, "mmm-yy"), TEXT([2]GASOLINE!$B$5:$B$208, "mmm-yy"), [2]GASOLINE!$IK$5:$IK$208, "Not Found")</f>
        <v>183.38081506246203</v>
      </c>
      <c r="L1837">
        <f t="shared" si="28"/>
        <v>0</v>
      </c>
      <c r="M1837" cm="1">
        <f t="array" ref="M1837">_xlfn.XLOOKUP(TEXT(A1837, "mmm-yy"), TEXT([2]GASOLINE!$B$5:$B$208, "mmm-yy"), [2]GASOLINE!$C$5:$C$208, "Not Found")</f>
        <v>7610.982027012853</v>
      </c>
      <c r="N1837" cm="1">
        <f t="array" ref="N1837">_xlfn.XLOOKUP(TEXT(A1837, "mmm-yy"), TEXT([2]RUNS!$B$5:$B$208, "mmm-yy"), [2]RUNS!$BM$5:$BM$208, "Not Found")</f>
        <v>0.82931080483064812</v>
      </c>
    </row>
    <row r="1838" spans="1:14" x14ac:dyDescent="0.25">
      <c r="A1838" s="1">
        <f>'[1]Global_Spot Prices'!$B3147</f>
        <v>44575</v>
      </c>
      <c r="B1838">
        <f>_xlfn.XLOOKUP(A1838,'[1]Global_Spot Prices'!$B:$B,'[1]Global_Spot Prices'!$BS:$BS)</f>
        <v>11.980000000000004</v>
      </c>
      <c r="C1838">
        <f>_xlfn.XLOOKUP(A1838,'[1]Global_Spot Prices'!$B:$B,'[1]Global_Spot Prices'!$E:$E)</f>
        <v>83.74</v>
      </c>
      <c r="D1838">
        <f>_xlfn.XLOOKUP(A1838,'[1]Global_Spot Prices'!$B:$B,'[1]Global_Spot Prices'!$D:$D)</f>
        <v>86.965000000000003</v>
      </c>
      <c r="E1838">
        <f>_xlfn.XLOOKUP(A1838,'[1]Global_Spot Prices'!$B:$B,'[1]Global_Spot Prices'!$H:$H)</f>
        <v>84.82</v>
      </c>
      <c r="F1838">
        <f>_xlfn.XLOOKUP(A1838,'[1]Global_Spot Prices'!$B:$B,'[1]Global_Spot Prices'!$I:$I)</f>
        <v>95.72</v>
      </c>
      <c r="G1838" cm="1">
        <f t="array" ref="G1838">_xlfn.XLOOKUP(TEXT(A1838, "mmm-yy"), TEXT([2]RUNS!$B$5:$B$208, "mmm-yy"), [2]RUNS!$D$5:$D$208, "Not Found")</f>
        <v>30270.59075604301</v>
      </c>
      <c r="H1838" cm="1">
        <f t="array" ref="H1838">SUMPRODUCT(
    --(TEXT('[3]Global Weekly Stock (EWSuez'!$B$4:$B$2000,"mmm-yy")=TEXT(A1838,"mmm-yy")),
    '[3]Global Weekly Stock (EWSuez'!$E$4:$E$2000)
/
SUMPRODUCT(
    --(TEXT('[3]Global Weekly Stock (EWSuez'!$B$4:$B$2000,"mmm-yy")=TEXT(A1838,"mmm-yy"))
)</f>
        <v>14222.75</v>
      </c>
      <c r="I1838">
        <f>_xlfn.XLOOKUP(A1838,[1]ForwardDeriv!$D:$D,[1]ForwardDeriv!$AJ:$AJ)</f>
        <v>0.92999999999999261</v>
      </c>
      <c r="J1838" cm="1">
        <f t="array" ref="J1838">_xlfn.XLOOKUP(TEXT(A1838, "mmm-yy"), TEXT([2]GASOLINE!$B$5:$B$208, "mmm-yy"), [2]GASOLINE!$IR$5:$IR$208, "Not Found")</f>
        <v>110.74282671414724</v>
      </c>
      <c r="K1838" cm="1">
        <f t="array" ref="K1838">_xlfn.XLOOKUP(TEXT(A1838, "mmm-yy"), TEXT([2]GASOLINE!$B$5:$B$208, "mmm-yy"), [2]GASOLINE!$IK$5:$IK$208, "Not Found")</f>
        <v>183.38081506246203</v>
      </c>
      <c r="L1838">
        <f t="shared" si="28"/>
        <v>0</v>
      </c>
      <c r="M1838" cm="1">
        <f t="array" ref="M1838">_xlfn.XLOOKUP(TEXT(A1838, "mmm-yy"), TEXT([2]GASOLINE!$B$5:$B$208, "mmm-yy"), [2]GASOLINE!$C$5:$C$208, "Not Found")</f>
        <v>7610.982027012853</v>
      </c>
      <c r="N1838" cm="1">
        <f t="array" ref="N1838">_xlfn.XLOOKUP(TEXT(A1838, "mmm-yy"), TEXT([2]RUNS!$B$5:$B$208, "mmm-yy"), [2]RUNS!$BM$5:$BM$208, "Not Found")</f>
        <v>0.82931080483064812</v>
      </c>
    </row>
    <row r="1839" spans="1:14" x14ac:dyDescent="0.25">
      <c r="A1839" s="1">
        <f>'[1]Global_Spot Prices'!$B3148</f>
        <v>44578</v>
      </c>
      <c r="B1839">
        <f>_xlfn.XLOOKUP(A1839,'[1]Global_Spot Prices'!$B:$B,'[1]Global_Spot Prices'!$BS:$BS)</f>
        <v>12.280000000000001</v>
      </c>
      <c r="C1839">
        <f>_xlfn.XLOOKUP(A1839,'[1]Global_Spot Prices'!$B:$B,'[1]Global_Spot Prices'!$E:$E)</f>
        <v>84.9</v>
      </c>
      <c r="D1839">
        <f>_xlfn.XLOOKUP(A1839,'[1]Global_Spot Prices'!$B:$B,'[1]Global_Spot Prices'!$D:$D)</f>
        <v>87.72</v>
      </c>
      <c r="E1839">
        <f>_xlfn.XLOOKUP(A1839,'[1]Global_Spot Prices'!$B:$B,'[1]Global_Spot Prices'!$H:$H)</f>
        <v>85.15</v>
      </c>
      <c r="F1839">
        <f>_xlfn.XLOOKUP(A1839,'[1]Global_Spot Prices'!$B:$B,'[1]Global_Spot Prices'!$I:$I)</f>
        <v>97.18</v>
      </c>
      <c r="G1839" cm="1">
        <f t="array" ref="G1839">_xlfn.XLOOKUP(TEXT(A1839, "mmm-yy"), TEXT([2]RUNS!$B$5:$B$208, "mmm-yy"), [2]RUNS!$D$5:$D$208, "Not Found")</f>
        <v>30270.59075604301</v>
      </c>
      <c r="H1839" cm="1">
        <f t="array" ref="H1839">SUMPRODUCT(
    --(TEXT('[3]Global Weekly Stock (EWSuez'!$B$4:$B$2000,"mmm-yy")=TEXT(A1839,"mmm-yy")),
    '[3]Global Weekly Stock (EWSuez'!$E$4:$E$2000)
/
SUMPRODUCT(
    --(TEXT('[3]Global Weekly Stock (EWSuez'!$B$4:$B$2000,"mmm-yy")=TEXT(A1839,"mmm-yy"))
)</f>
        <v>14222.75</v>
      </c>
      <c r="I1839">
        <f>_xlfn.XLOOKUP(A1839,[1]ForwardDeriv!$D:$D,[1]ForwardDeriv!$AJ:$AJ)</f>
        <v>0.85999999999999943</v>
      </c>
      <c r="J1839" cm="1">
        <f t="array" ref="J1839">_xlfn.XLOOKUP(TEXT(A1839, "mmm-yy"), TEXT([2]GASOLINE!$B$5:$B$208, "mmm-yy"), [2]GASOLINE!$IR$5:$IR$208, "Not Found")</f>
        <v>110.74282671414724</v>
      </c>
      <c r="K1839" cm="1">
        <f t="array" ref="K1839">_xlfn.XLOOKUP(TEXT(A1839, "mmm-yy"), TEXT([2]GASOLINE!$B$5:$B$208, "mmm-yy"), [2]GASOLINE!$IK$5:$IK$208, "Not Found")</f>
        <v>183.38081506246203</v>
      </c>
      <c r="L1839">
        <f t="shared" si="28"/>
        <v>0</v>
      </c>
      <c r="M1839" cm="1">
        <f t="array" ref="M1839">_xlfn.XLOOKUP(TEXT(A1839, "mmm-yy"), TEXT([2]GASOLINE!$B$5:$B$208, "mmm-yy"), [2]GASOLINE!$C$5:$C$208, "Not Found")</f>
        <v>7610.982027012853</v>
      </c>
      <c r="N1839" cm="1">
        <f t="array" ref="N1839">_xlfn.XLOOKUP(TEXT(A1839, "mmm-yy"), TEXT([2]RUNS!$B$5:$B$208, "mmm-yy"), [2]RUNS!$BM$5:$BM$208, "Not Found")</f>
        <v>0.82931080483064812</v>
      </c>
    </row>
    <row r="1840" spans="1:14" x14ac:dyDescent="0.25">
      <c r="A1840" s="1">
        <f>'[1]Global_Spot Prices'!$B3149</f>
        <v>44579</v>
      </c>
      <c r="B1840">
        <f>_xlfn.XLOOKUP(A1840,'[1]Global_Spot Prices'!$B:$B,'[1]Global_Spot Prices'!$BS:$BS)</f>
        <v>12.150000000000006</v>
      </c>
      <c r="C1840">
        <f>_xlfn.XLOOKUP(A1840,'[1]Global_Spot Prices'!$B:$B,'[1]Global_Spot Prices'!$E:$E)</f>
        <v>86.55</v>
      </c>
      <c r="D1840">
        <f>_xlfn.XLOOKUP(A1840,'[1]Global_Spot Prices'!$B:$B,'[1]Global_Spot Prices'!$D:$D)</f>
        <v>88.525000000000006</v>
      </c>
      <c r="E1840">
        <f>_xlfn.XLOOKUP(A1840,'[1]Global_Spot Prices'!$B:$B,'[1]Global_Spot Prices'!$H:$H)</f>
        <v>85.93</v>
      </c>
      <c r="F1840">
        <f>_xlfn.XLOOKUP(A1840,'[1]Global_Spot Prices'!$B:$B,'[1]Global_Spot Prices'!$I:$I)</f>
        <v>98.7</v>
      </c>
      <c r="G1840" cm="1">
        <f t="array" ref="G1840">_xlfn.XLOOKUP(TEXT(A1840, "mmm-yy"), TEXT([2]RUNS!$B$5:$B$208, "mmm-yy"), [2]RUNS!$D$5:$D$208, "Not Found")</f>
        <v>30270.59075604301</v>
      </c>
      <c r="H1840" cm="1">
        <f t="array" ref="H1840">SUMPRODUCT(
    --(TEXT('[3]Global Weekly Stock (EWSuez'!$B$4:$B$2000,"mmm-yy")=TEXT(A1840,"mmm-yy")),
    '[3]Global Weekly Stock (EWSuez'!$E$4:$E$2000)
/
SUMPRODUCT(
    --(TEXT('[3]Global Weekly Stock (EWSuez'!$B$4:$B$2000,"mmm-yy")=TEXT(A1840,"mmm-yy"))
)</f>
        <v>14222.75</v>
      </c>
      <c r="I1840">
        <f>_xlfn.XLOOKUP(A1840,[1]ForwardDeriv!$D:$D,[1]ForwardDeriv!$AJ:$AJ)</f>
        <v>0.85999999999999943</v>
      </c>
      <c r="J1840" cm="1">
        <f t="array" ref="J1840">_xlfn.XLOOKUP(TEXT(A1840, "mmm-yy"), TEXT([2]GASOLINE!$B$5:$B$208, "mmm-yy"), [2]GASOLINE!$IR$5:$IR$208, "Not Found")</f>
        <v>110.74282671414724</v>
      </c>
      <c r="K1840" cm="1">
        <f t="array" ref="K1840">_xlfn.XLOOKUP(TEXT(A1840, "mmm-yy"), TEXT([2]GASOLINE!$B$5:$B$208, "mmm-yy"), [2]GASOLINE!$IK$5:$IK$208, "Not Found")</f>
        <v>183.38081506246203</v>
      </c>
      <c r="L1840">
        <f t="shared" si="28"/>
        <v>0</v>
      </c>
      <c r="M1840" cm="1">
        <f t="array" ref="M1840">_xlfn.XLOOKUP(TEXT(A1840, "mmm-yy"), TEXT([2]GASOLINE!$B$5:$B$208, "mmm-yy"), [2]GASOLINE!$C$5:$C$208, "Not Found")</f>
        <v>7610.982027012853</v>
      </c>
      <c r="N1840" cm="1">
        <f t="array" ref="N1840">_xlfn.XLOOKUP(TEXT(A1840, "mmm-yy"), TEXT([2]RUNS!$B$5:$B$208, "mmm-yy"), [2]RUNS!$BM$5:$BM$208, "Not Found")</f>
        <v>0.82931080483064812</v>
      </c>
    </row>
    <row r="1841" spans="1:14" x14ac:dyDescent="0.25">
      <c r="A1841" s="1">
        <f>'[1]Global_Spot Prices'!$B3150</f>
        <v>44580</v>
      </c>
      <c r="B1841">
        <f>_xlfn.XLOOKUP(A1841,'[1]Global_Spot Prices'!$B:$B,'[1]Global_Spot Prices'!$BS:$BS)</f>
        <v>11.399999999999991</v>
      </c>
      <c r="C1841">
        <f>_xlfn.XLOOKUP(A1841,'[1]Global_Spot Prices'!$B:$B,'[1]Global_Spot Prices'!$E:$E)</f>
        <v>86.34</v>
      </c>
      <c r="D1841">
        <f>_xlfn.XLOOKUP(A1841,'[1]Global_Spot Prices'!$B:$B,'[1]Global_Spot Prices'!$D:$D)</f>
        <v>90.51</v>
      </c>
      <c r="E1841">
        <f>_xlfn.XLOOKUP(A1841,'[1]Global_Spot Prices'!$B:$B,'[1]Global_Spot Prices'!$H:$H)</f>
        <v>85.95</v>
      </c>
      <c r="F1841">
        <f>_xlfn.XLOOKUP(A1841,'[1]Global_Spot Prices'!$B:$B,'[1]Global_Spot Prices'!$I:$I)</f>
        <v>97.74</v>
      </c>
      <c r="G1841" cm="1">
        <f t="array" ref="G1841">_xlfn.XLOOKUP(TEXT(A1841, "mmm-yy"), TEXT([2]RUNS!$B$5:$B$208, "mmm-yy"), [2]RUNS!$D$5:$D$208, "Not Found")</f>
        <v>30270.59075604301</v>
      </c>
      <c r="H1841" cm="1">
        <f t="array" ref="H1841">SUMPRODUCT(
    --(TEXT('[3]Global Weekly Stock (EWSuez'!$B$4:$B$2000,"mmm-yy")=TEXT(A1841,"mmm-yy")),
    '[3]Global Weekly Stock (EWSuez'!$E$4:$E$2000)
/
SUMPRODUCT(
    --(TEXT('[3]Global Weekly Stock (EWSuez'!$B$4:$B$2000,"mmm-yy")=TEXT(A1841,"mmm-yy"))
)</f>
        <v>14222.75</v>
      </c>
      <c r="I1841">
        <f>_xlfn.XLOOKUP(A1841,[1]ForwardDeriv!$D:$D,[1]ForwardDeriv!$AJ:$AJ)</f>
        <v>0.73000000000000398</v>
      </c>
      <c r="J1841" cm="1">
        <f t="array" ref="J1841">_xlfn.XLOOKUP(TEXT(A1841, "mmm-yy"), TEXT([2]GASOLINE!$B$5:$B$208, "mmm-yy"), [2]GASOLINE!$IR$5:$IR$208, "Not Found")</f>
        <v>110.74282671414724</v>
      </c>
      <c r="K1841" cm="1">
        <f t="array" ref="K1841">_xlfn.XLOOKUP(TEXT(A1841, "mmm-yy"), TEXT([2]GASOLINE!$B$5:$B$208, "mmm-yy"), [2]GASOLINE!$IK$5:$IK$208, "Not Found")</f>
        <v>183.38081506246203</v>
      </c>
      <c r="L1841">
        <f t="shared" si="28"/>
        <v>0</v>
      </c>
      <c r="M1841" cm="1">
        <f t="array" ref="M1841">_xlfn.XLOOKUP(TEXT(A1841, "mmm-yy"), TEXT([2]GASOLINE!$B$5:$B$208, "mmm-yy"), [2]GASOLINE!$C$5:$C$208, "Not Found")</f>
        <v>7610.982027012853</v>
      </c>
      <c r="N1841" cm="1">
        <f t="array" ref="N1841">_xlfn.XLOOKUP(TEXT(A1841, "mmm-yy"), TEXT([2]RUNS!$B$5:$B$208, "mmm-yy"), [2]RUNS!$BM$5:$BM$208, "Not Found")</f>
        <v>0.82931080483064812</v>
      </c>
    </row>
    <row r="1842" spans="1:14" x14ac:dyDescent="0.25">
      <c r="A1842" s="1">
        <f>'[1]Global_Spot Prices'!$B3151</f>
        <v>44581</v>
      </c>
      <c r="B1842">
        <f>_xlfn.XLOOKUP(A1842,'[1]Global_Spot Prices'!$B:$B,'[1]Global_Spot Prices'!$BS:$BS)</f>
        <v>11.694999999999993</v>
      </c>
      <c r="C1842">
        <f>_xlfn.XLOOKUP(A1842,'[1]Global_Spot Prices'!$B:$B,'[1]Global_Spot Prices'!$E:$E)</f>
        <v>86.295000000000002</v>
      </c>
      <c r="D1842">
        <f>_xlfn.XLOOKUP(A1842,'[1]Global_Spot Prices'!$B:$B,'[1]Global_Spot Prices'!$D:$D)</f>
        <v>90.915000000000006</v>
      </c>
      <c r="E1842">
        <f>_xlfn.XLOOKUP(A1842,'[1]Global_Spot Prices'!$B:$B,'[1]Global_Spot Prices'!$H:$H)</f>
        <v>86.03</v>
      </c>
      <c r="F1842">
        <f>_xlfn.XLOOKUP(A1842,'[1]Global_Spot Prices'!$B:$B,'[1]Global_Spot Prices'!$I:$I)</f>
        <v>97.99</v>
      </c>
      <c r="G1842" cm="1">
        <f t="array" ref="G1842">_xlfn.XLOOKUP(TEXT(A1842, "mmm-yy"), TEXT([2]RUNS!$B$5:$B$208, "mmm-yy"), [2]RUNS!$D$5:$D$208, "Not Found")</f>
        <v>30270.59075604301</v>
      </c>
      <c r="H1842" cm="1">
        <f t="array" ref="H1842">SUMPRODUCT(
    --(TEXT('[3]Global Weekly Stock (EWSuez'!$B$4:$B$2000,"mmm-yy")=TEXT(A1842,"mmm-yy")),
    '[3]Global Weekly Stock (EWSuez'!$E$4:$E$2000)
/
SUMPRODUCT(
    --(TEXT('[3]Global Weekly Stock (EWSuez'!$B$4:$B$2000,"mmm-yy")=TEXT(A1842,"mmm-yy"))
)</f>
        <v>14222.75</v>
      </c>
      <c r="I1842">
        <f>_xlfn.XLOOKUP(A1842,[1]ForwardDeriv!$D:$D,[1]ForwardDeriv!$AJ:$AJ)</f>
        <v>0.8399999999999892</v>
      </c>
      <c r="J1842" cm="1">
        <f t="array" ref="J1842">_xlfn.XLOOKUP(TEXT(A1842, "mmm-yy"), TEXT([2]GASOLINE!$B$5:$B$208, "mmm-yy"), [2]GASOLINE!$IR$5:$IR$208, "Not Found")</f>
        <v>110.74282671414724</v>
      </c>
      <c r="K1842" cm="1">
        <f t="array" ref="K1842">_xlfn.XLOOKUP(TEXT(A1842, "mmm-yy"), TEXT([2]GASOLINE!$B$5:$B$208, "mmm-yy"), [2]GASOLINE!$IK$5:$IK$208, "Not Found")</f>
        <v>183.38081506246203</v>
      </c>
      <c r="L1842">
        <f t="shared" si="28"/>
        <v>0</v>
      </c>
      <c r="M1842" cm="1">
        <f t="array" ref="M1842">_xlfn.XLOOKUP(TEXT(A1842, "mmm-yy"), TEXT([2]GASOLINE!$B$5:$B$208, "mmm-yy"), [2]GASOLINE!$C$5:$C$208, "Not Found")</f>
        <v>7610.982027012853</v>
      </c>
      <c r="N1842" cm="1">
        <f t="array" ref="N1842">_xlfn.XLOOKUP(TEXT(A1842, "mmm-yy"), TEXT([2]RUNS!$B$5:$B$208, "mmm-yy"), [2]RUNS!$BM$5:$BM$208, "Not Found")</f>
        <v>0.82931080483064812</v>
      </c>
    </row>
    <row r="1843" spans="1:14" x14ac:dyDescent="0.25">
      <c r="A1843" s="1">
        <f>'[1]Global_Spot Prices'!$B3152</f>
        <v>44582</v>
      </c>
      <c r="B1843">
        <f>_xlfn.XLOOKUP(A1843,'[1]Global_Spot Prices'!$B:$B,'[1]Global_Spot Prices'!$BS:$BS)</f>
        <v>12.160000000000011</v>
      </c>
      <c r="C1843">
        <f>_xlfn.XLOOKUP(A1843,'[1]Global_Spot Prices'!$B:$B,'[1]Global_Spot Prices'!$E:$E)</f>
        <v>85.1</v>
      </c>
      <c r="D1843">
        <f>_xlfn.XLOOKUP(A1843,'[1]Global_Spot Prices'!$B:$B,'[1]Global_Spot Prices'!$D:$D)</f>
        <v>89.805000000000007</v>
      </c>
      <c r="E1843">
        <f>_xlfn.XLOOKUP(A1843,'[1]Global_Spot Prices'!$B:$B,'[1]Global_Spot Prices'!$H:$H)</f>
        <v>85.05</v>
      </c>
      <c r="F1843">
        <f>_xlfn.XLOOKUP(A1843,'[1]Global_Spot Prices'!$B:$B,'[1]Global_Spot Prices'!$I:$I)</f>
        <v>97.26</v>
      </c>
      <c r="G1843" cm="1">
        <f t="array" ref="G1843">_xlfn.XLOOKUP(TEXT(A1843, "mmm-yy"), TEXT([2]RUNS!$B$5:$B$208, "mmm-yy"), [2]RUNS!$D$5:$D$208, "Not Found")</f>
        <v>30270.59075604301</v>
      </c>
      <c r="H1843" cm="1">
        <f t="array" ref="H1843">SUMPRODUCT(
    --(TEXT('[3]Global Weekly Stock (EWSuez'!$B$4:$B$2000,"mmm-yy")=TEXT(A1843,"mmm-yy")),
    '[3]Global Weekly Stock (EWSuez'!$E$4:$E$2000)
/
SUMPRODUCT(
    --(TEXT('[3]Global Weekly Stock (EWSuez'!$B$4:$B$2000,"mmm-yy")=TEXT(A1843,"mmm-yy"))
)</f>
        <v>14222.75</v>
      </c>
      <c r="I1843">
        <f>_xlfn.XLOOKUP(A1843,[1]ForwardDeriv!$D:$D,[1]ForwardDeriv!$AJ:$AJ)</f>
        <v>0.82000000000000739</v>
      </c>
      <c r="J1843" cm="1">
        <f t="array" ref="J1843">_xlfn.XLOOKUP(TEXT(A1843, "mmm-yy"), TEXT([2]GASOLINE!$B$5:$B$208, "mmm-yy"), [2]GASOLINE!$IR$5:$IR$208, "Not Found")</f>
        <v>110.74282671414724</v>
      </c>
      <c r="K1843" cm="1">
        <f t="array" ref="K1843">_xlfn.XLOOKUP(TEXT(A1843, "mmm-yy"), TEXT([2]GASOLINE!$B$5:$B$208, "mmm-yy"), [2]GASOLINE!$IK$5:$IK$208, "Not Found")</f>
        <v>183.38081506246203</v>
      </c>
      <c r="L1843">
        <f t="shared" si="28"/>
        <v>0</v>
      </c>
      <c r="M1843" cm="1">
        <f t="array" ref="M1843">_xlfn.XLOOKUP(TEXT(A1843, "mmm-yy"), TEXT([2]GASOLINE!$B$5:$B$208, "mmm-yy"), [2]GASOLINE!$C$5:$C$208, "Not Found")</f>
        <v>7610.982027012853</v>
      </c>
      <c r="N1843" cm="1">
        <f t="array" ref="N1843">_xlfn.XLOOKUP(TEXT(A1843, "mmm-yy"), TEXT([2]RUNS!$B$5:$B$208, "mmm-yy"), [2]RUNS!$BM$5:$BM$208, "Not Found")</f>
        <v>0.82931080483064812</v>
      </c>
    </row>
    <row r="1844" spans="1:14" x14ac:dyDescent="0.25">
      <c r="A1844" s="1">
        <f>'[1]Global_Spot Prices'!$B3153</f>
        <v>44585</v>
      </c>
      <c r="B1844">
        <f>_xlfn.XLOOKUP(A1844,'[1]Global_Spot Prices'!$B:$B,'[1]Global_Spot Prices'!$BS:$BS)</f>
        <v>12.230000000000004</v>
      </c>
      <c r="C1844">
        <f>_xlfn.XLOOKUP(A1844,'[1]Global_Spot Prices'!$B:$B,'[1]Global_Spot Prices'!$E:$E)</f>
        <v>86.74</v>
      </c>
      <c r="D1844">
        <f>_xlfn.XLOOKUP(A1844,'[1]Global_Spot Prices'!$B:$B,'[1]Global_Spot Prices'!$D:$D)</f>
        <v>87.52</v>
      </c>
      <c r="E1844">
        <f>_xlfn.XLOOKUP(A1844,'[1]Global_Spot Prices'!$B:$B,'[1]Global_Spot Prices'!$H:$H)</f>
        <v>86.49</v>
      </c>
      <c r="F1844">
        <f>_xlfn.XLOOKUP(A1844,'[1]Global_Spot Prices'!$B:$B,'[1]Global_Spot Prices'!$I:$I)</f>
        <v>98.97</v>
      </c>
      <c r="G1844" cm="1">
        <f t="array" ref="G1844">_xlfn.XLOOKUP(TEXT(A1844, "mmm-yy"), TEXT([2]RUNS!$B$5:$B$208, "mmm-yy"), [2]RUNS!$D$5:$D$208, "Not Found")</f>
        <v>30270.59075604301</v>
      </c>
      <c r="H1844" cm="1">
        <f t="array" ref="H1844">SUMPRODUCT(
    --(TEXT('[3]Global Weekly Stock (EWSuez'!$B$4:$B$2000,"mmm-yy")=TEXT(A1844,"mmm-yy")),
    '[3]Global Weekly Stock (EWSuez'!$E$4:$E$2000)
/
SUMPRODUCT(
    --(TEXT('[3]Global Weekly Stock (EWSuez'!$B$4:$B$2000,"mmm-yy")=TEXT(A1844,"mmm-yy"))
)</f>
        <v>14222.75</v>
      </c>
      <c r="I1844">
        <f>_xlfn.XLOOKUP(A1844,[1]ForwardDeriv!$D:$D,[1]ForwardDeriv!$AJ:$AJ)</f>
        <v>0.88000000000000966</v>
      </c>
      <c r="J1844" cm="1">
        <f t="array" ref="J1844">_xlfn.XLOOKUP(TEXT(A1844, "mmm-yy"), TEXT([2]GASOLINE!$B$5:$B$208, "mmm-yy"), [2]GASOLINE!$IR$5:$IR$208, "Not Found")</f>
        <v>110.74282671414724</v>
      </c>
      <c r="K1844" cm="1">
        <f t="array" ref="K1844">_xlfn.XLOOKUP(TEXT(A1844, "mmm-yy"), TEXT([2]GASOLINE!$B$5:$B$208, "mmm-yy"), [2]GASOLINE!$IK$5:$IK$208, "Not Found")</f>
        <v>183.38081506246203</v>
      </c>
      <c r="L1844">
        <f t="shared" si="28"/>
        <v>0</v>
      </c>
      <c r="M1844" cm="1">
        <f t="array" ref="M1844">_xlfn.XLOOKUP(TEXT(A1844, "mmm-yy"), TEXT([2]GASOLINE!$B$5:$B$208, "mmm-yy"), [2]GASOLINE!$C$5:$C$208, "Not Found")</f>
        <v>7610.982027012853</v>
      </c>
      <c r="N1844" cm="1">
        <f t="array" ref="N1844">_xlfn.XLOOKUP(TEXT(A1844, "mmm-yy"), TEXT([2]RUNS!$B$5:$B$208, "mmm-yy"), [2]RUNS!$BM$5:$BM$208, "Not Found")</f>
        <v>0.82931080483064812</v>
      </c>
    </row>
    <row r="1845" spans="1:14" x14ac:dyDescent="0.25">
      <c r="A1845" s="1">
        <f>'[1]Global_Spot Prices'!$B3154</f>
        <v>44586</v>
      </c>
      <c r="B1845">
        <f>_xlfn.XLOOKUP(A1845,'[1]Global_Spot Prices'!$B:$B,'[1]Global_Spot Prices'!$BS:$BS)</f>
        <v>13.160000000000011</v>
      </c>
      <c r="C1845">
        <f>_xlfn.XLOOKUP(A1845,'[1]Global_Spot Prices'!$B:$B,'[1]Global_Spot Prices'!$E:$E)</f>
        <v>84.85</v>
      </c>
      <c r="D1845">
        <f>_xlfn.XLOOKUP(A1845,'[1]Global_Spot Prices'!$B:$B,'[1]Global_Spot Prices'!$D:$D)</f>
        <v>89.45</v>
      </c>
      <c r="E1845">
        <f>_xlfn.XLOOKUP(A1845,'[1]Global_Spot Prices'!$B:$B,'[1]Global_Spot Prices'!$H:$H)</f>
        <v>85.08</v>
      </c>
      <c r="F1845">
        <f>_xlfn.XLOOKUP(A1845,'[1]Global_Spot Prices'!$B:$B,'[1]Global_Spot Prices'!$I:$I)</f>
        <v>98.01</v>
      </c>
      <c r="G1845" cm="1">
        <f t="array" ref="G1845">_xlfn.XLOOKUP(TEXT(A1845, "mmm-yy"), TEXT([2]RUNS!$B$5:$B$208, "mmm-yy"), [2]RUNS!$D$5:$D$208, "Not Found")</f>
        <v>30270.59075604301</v>
      </c>
      <c r="H1845" cm="1">
        <f t="array" ref="H1845">SUMPRODUCT(
    --(TEXT('[3]Global Weekly Stock (EWSuez'!$B$4:$B$2000,"mmm-yy")=TEXT(A1845,"mmm-yy")),
    '[3]Global Weekly Stock (EWSuez'!$E$4:$E$2000)
/
SUMPRODUCT(
    --(TEXT('[3]Global Weekly Stock (EWSuez'!$B$4:$B$2000,"mmm-yy")=TEXT(A1845,"mmm-yy"))
)</f>
        <v>14222.75</v>
      </c>
      <c r="I1845">
        <f>_xlfn.XLOOKUP(A1845,[1]ForwardDeriv!$D:$D,[1]ForwardDeriv!$AJ:$AJ)</f>
        <v>1.0799999999999983</v>
      </c>
      <c r="J1845" cm="1">
        <f t="array" ref="J1845">_xlfn.XLOOKUP(TEXT(A1845, "mmm-yy"), TEXT([2]GASOLINE!$B$5:$B$208, "mmm-yy"), [2]GASOLINE!$IR$5:$IR$208, "Not Found")</f>
        <v>110.74282671414724</v>
      </c>
      <c r="K1845" cm="1">
        <f t="array" ref="K1845">_xlfn.XLOOKUP(TEXT(A1845, "mmm-yy"), TEXT([2]GASOLINE!$B$5:$B$208, "mmm-yy"), [2]GASOLINE!$IK$5:$IK$208, "Not Found")</f>
        <v>183.38081506246203</v>
      </c>
      <c r="L1845">
        <f t="shared" si="28"/>
        <v>0</v>
      </c>
      <c r="M1845" cm="1">
        <f t="array" ref="M1845">_xlfn.XLOOKUP(TEXT(A1845, "mmm-yy"), TEXT([2]GASOLINE!$B$5:$B$208, "mmm-yy"), [2]GASOLINE!$C$5:$C$208, "Not Found")</f>
        <v>7610.982027012853</v>
      </c>
      <c r="N1845" cm="1">
        <f t="array" ref="N1845">_xlfn.XLOOKUP(TEXT(A1845, "mmm-yy"), TEXT([2]RUNS!$B$5:$B$208, "mmm-yy"), [2]RUNS!$BM$5:$BM$208, "Not Found")</f>
        <v>0.82931080483064812</v>
      </c>
    </row>
    <row r="1846" spans="1:14" x14ac:dyDescent="0.25">
      <c r="A1846" s="1">
        <f>'[1]Global_Spot Prices'!$B3155</f>
        <v>44587</v>
      </c>
      <c r="B1846">
        <f>_xlfn.XLOOKUP(A1846,'[1]Global_Spot Prices'!$B:$B,'[1]Global_Spot Prices'!$BS:$BS)</f>
        <v>13.290000000000006</v>
      </c>
      <c r="C1846">
        <f>_xlfn.XLOOKUP(A1846,'[1]Global_Spot Prices'!$B:$B,'[1]Global_Spot Prices'!$E:$E)</f>
        <v>86.74</v>
      </c>
      <c r="D1846">
        <f>_xlfn.XLOOKUP(A1846,'[1]Global_Spot Prices'!$B:$B,'[1]Global_Spot Prices'!$D:$D)</f>
        <v>92.015000000000001</v>
      </c>
      <c r="E1846">
        <f>_xlfn.XLOOKUP(A1846,'[1]Global_Spot Prices'!$B:$B,'[1]Global_Spot Prices'!$H:$H)</f>
        <v>87.32</v>
      </c>
      <c r="F1846">
        <f>_xlfn.XLOOKUP(A1846,'[1]Global_Spot Prices'!$B:$B,'[1]Global_Spot Prices'!$I:$I)</f>
        <v>100.03</v>
      </c>
      <c r="G1846" cm="1">
        <f t="array" ref="G1846">_xlfn.XLOOKUP(TEXT(A1846, "mmm-yy"), TEXT([2]RUNS!$B$5:$B$208, "mmm-yy"), [2]RUNS!$D$5:$D$208, "Not Found")</f>
        <v>30270.59075604301</v>
      </c>
      <c r="H1846" cm="1">
        <f t="array" ref="H1846">SUMPRODUCT(
    --(TEXT('[3]Global Weekly Stock (EWSuez'!$B$4:$B$2000,"mmm-yy")=TEXT(A1846,"mmm-yy")),
    '[3]Global Weekly Stock (EWSuez'!$E$4:$E$2000)
/
SUMPRODUCT(
    --(TEXT('[3]Global Weekly Stock (EWSuez'!$B$4:$B$2000,"mmm-yy")=TEXT(A1846,"mmm-yy"))
)</f>
        <v>14222.75</v>
      </c>
      <c r="I1846">
        <f>_xlfn.XLOOKUP(A1846,[1]ForwardDeriv!$D:$D,[1]ForwardDeriv!$AJ:$AJ)</f>
        <v>1.2599999999999909</v>
      </c>
      <c r="J1846" cm="1">
        <f t="array" ref="J1846">_xlfn.XLOOKUP(TEXT(A1846, "mmm-yy"), TEXT([2]GASOLINE!$B$5:$B$208, "mmm-yy"), [2]GASOLINE!$IR$5:$IR$208, "Not Found")</f>
        <v>110.74282671414724</v>
      </c>
      <c r="K1846" cm="1">
        <f t="array" ref="K1846">_xlfn.XLOOKUP(TEXT(A1846, "mmm-yy"), TEXT([2]GASOLINE!$B$5:$B$208, "mmm-yy"), [2]GASOLINE!$IK$5:$IK$208, "Not Found")</f>
        <v>183.38081506246203</v>
      </c>
      <c r="L1846">
        <f t="shared" si="28"/>
        <v>0</v>
      </c>
      <c r="M1846" cm="1">
        <f t="array" ref="M1846">_xlfn.XLOOKUP(TEXT(A1846, "mmm-yy"), TEXT([2]GASOLINE!$B$5:$B$208, "mmm-yy"), [2]GASOLINE!$C$5:$C$208, "Not Found")</f>
        <v>7610.982027012853</v>
      </c>
      <c r="N1846" cm="1">
        <f t="array" ref="N1846">_xlfn.XLOOKUP(TEXT(A1846, "mmm-yy"), TEXT([2]RUNS!$B$5:$B$208, "mmm-yy"), [2]RUNS!$BM$5:$BM$208, "Not Found")</f>
        <v>0.82931080483064812</v>
      </c>
    </row>
    <row r="1847" spans="1:14" x14ac:dyDescent="0.25">
      <c r="A1847" s="1">
        <f>'[1]Global_Spot Prices'!$B3156</f>
        <v>44588</v>
      </c>
      <c r="B1847">
        <f>_xlfn.XLOOKUP(A1847,'[1]Global_Spot Prices'!$B:$B,'[1]Global_Spot Prices'!$BS:$BS)</f>
        <v>13.670000000000002</v>
      </c>
      <c r="C1847">
        <f>_xlfn.XLOOKUP(A1847,'[1]Global_Spot Prices'!$B:$B,'[1]Global_Spot Prices'!$E:$E)</f>
        <v>87.77</v>
      </c>
      <c r="D1847">
        <f>_xlfn.XLOOKUP(A1847,'[1]Global_Spot Prices'!$B:$B,'[1]Global_Spot Prices'!$D:$D)</f>
        <v>91.284999999999997</v>
      </c>
      <c r="E1847">
        <f>_xlfn.XLOOKUP(A1847,'[1]Global_Spot Prices'!$B:$B,'[1]Global_Spot Prices'!$H:$H)</f>
        <v>88.37</v>
      </c>
      <c r="F1847">
        <f>_xlfn.XLOOKUP(A1847,'[1]Global_Spot Prices'!$B:$B,'[1]Global_Spot Prices'!$I:$I)</f>
        <v>101.44</v>
      </c>
      <c r="G1847" cm="1">
        <f t="array" ref="G1847">_xlfn.XLOOKUP(TEXT(A1847, "mmm-yy"), TEXT([2]RUNS!$B$5:$B$208, "mmm-yy"), [2]RUNS!$D$5:$D$208, "Not Found")</f>
        <v>30270.59075604301</v>
      </c>
      <c r="H1847" cm="1">
        <f t="array" ref="H1847">SUMPRODUCT(
    --(TEXT('[3]Global Weekly Stock (EWSuez'!$B$4:$B$2000,"mmm-yy")=TEXT(A1847,"mmm-yy")),
    '[3]Global Weekly Stock (EWSuez'!$E$4:$E$2000)
/
SUMPRODUCT(
    --(TEXT('[3]Global Weekly Stock (EWSuez'!$B$4:$B$2000,"mmm-yy")=TEXT(A1847,"mmm-yy"))
)</f>
        <v>14222.75</v>
      </c>
      <c r="I1847">
        <f>_xlfn.XLOOKUP(A1847,[1]ForwardDeriv!$D:$D,[1]ForwardDeriv!$AJ:$AJ)</f>
        <v>1.3000000000000114</v>
      </c>
      <c r="J1847" cm="1">
        <f t="array" ref="J1847">_xlfn.XLOOKUP(TEXT(A1847, "mmm-yy"), TEXT([2]GASOLINE!$B$5:$B$208, "mmm-yy"), [2]GASOLINE!$IR$5:$IR$208, "Not Found")</f>
        <v>110.74282671414724</v>
      </c>
      <c r="K1847" cm="1">
        <f t="array" ref="K1847">_xlfn.XLOOKUP(TEXT(A1847, "mmm-yy"), TEXT([2]GASOLINE!$B$5:$B$208, "mmm-yy"), [2]GASOLINE!$IK$5:$IK$208, "Not Found")</f>
        <v>183.38081506246203</v>
      </c>
      <c r="L1847">
        <f t="shared" si="28"/>
        <v>0</v>
      </c>
      <c r="M1847" cm="1">
        <f t="array" ref="M1847">_xlfn.XLOOKUP(TEXT(A1847, "mmm-yy"), TEXT([2]GASOLINE!$B$5:$B$208, "mmm-yy"), [2]GASOLINE!$C$5:$C$208, "Not Found")</f>
        <v>7610.982027012853</v>
      </c>
      <c r="N1847" cm="1">
        <f t="array" ref="N1847">_xlfn.XLOOKUP(TEXT(A1847, "mmm-yy"), TEXT([2]RUNS!$B$5:$B$208, "mmm-yy"), [2]RUNS!$BM$5:$BM$208, "Not Found")</f>
        <v>0.82931080483064812</v>
      </c>
    </row>
    <row r="1848" spans="1:14" x14ac:dyDescent="0.25">
      <c r="A1848" s="1">
        <f>'[1]Global_Spot Prices'!$B3157</f>
        <v>44589</v>
      </c>
      <c r="B1848">
        <f>_xlfn.XLOOKUP(A1848,'[1]Global_Spot Prices'!$B:$B,'[1]Global_Spot Prices'!$BS:$BS)</f>
        <v>14.189999999999998</v>
      </c>
      <c r="C1848">
        <f>_xlfn.XLOOKUP(A1848,'[1]Global_Spot Prices'!$B:$B,'[1]Global_Spot Prices'!$E:$E)</f>
        <v>87.56</v>
      </c>
      <c r="D1848">
        <f>_xlfn.XLOOKUP(A1848,'[1]Global_Spot Prices'!$B:$B,'[1]Global_Spot Prices'!$D:$D)</f>
        <v>92.86</v>
      </c>
      <c r="E1848">
        <f>_xlfn.XLOOKUP(A1848,'[1]Global_Spot Prices'!$B:$B,'[1]Global_Spot Prices'!$H:$H)</f>
        <v>88.54</v>
      </c>
      <c r="F1848">
        <f>_xlfn.XLOOKUP(A1848,'[1]Global_Spot Prices'!$B:$B,'[1]Global_Spot Prices'!$I:$I)</f>
        <v>101.75</v>
      </c>
      <c r="G1848" cm="1">
        <f t="array" ref="G1848">_xlfn.XLOOKUP(TEXT(A1848, "mmm-yy"), TEXT([2]RUNS!$B$5:$B$208, "mmm-yy"), [2]RUNS!$D$5:$D$208, "Not Found")</f>
        <v>30270.59075604301</v>
      </c>
      <c r="H1848" cm="1">
        <f t="array" ref="H1848">SUMPRODUCT(
    --(TEXT('[3]Global Weekly Stock (EWSuez'!$B$4:$B$2000,"mmm-yy")=TEXT(A1848,"mmm-yy")),
    '[3]Global Weekly Stock (EWSuez'!$E$4:$E$2000)
/
SUMPRODUCT(
    --(TEXT('[3]Global Weekly Stock (EWSuez'!$B$4:$B$2000,"mmm-yy")=TEXT(A1848,"mmm-yy"))
)</f>
        <v>14222.75</v>
      </c>
      <c r="I1848">
        <f>_xlfn.XLOOKUP(A1848,[1]ForwardDeriv!$D:$D,[1]ForwardDeriv!$AJ:$AJ)</f>
        <v>1.230000000000004</v>
      </c>
      <c r="J1848" cm="1">
        <f t="array" ref="J1848">_xlfn.XLOOKUP(TEXT(A1848, "mmm-yy"), TEXT([2]GASOLINE!$B$5:$B$208, "mmm-yy"), [2]GASOLINE!$IR$5:$IR$208, "Not Found")</f>
        <v>110.74282671414724</v>
      </c>
      <c r="K1848" cm="1">
        <f t="array" ref="K1848">_xlfn.XLOOKUP(TEXT(A1848, "mmm-yy"), TEXT([2]GASOLINE!$B$5:$B$208, "mmm-yy"), [2]GASOLINE!$IK$5:$IK$208, "Not Found")</f>
        <v>183.38081506246203</v>
      </c>
      <c r="L1848">
        <f t="shared" si="28"/>
        <v>0</v>
      </c>
      <c r="M1848" cm="1">
        <f t="array" ref="M1848">_xlfn.XLOOKUP(TEXT(A1848, "mmm-yy"), TEXT([2]GASOLINE!$B$5:$B$208, "mmm-yy"), [2]GASOLINE!$C$5:$C$208, "Not Found")</f>
        <v>7610.982027012853</v>
      </c>
      <c r="N1848" cm="1">
        <f t="array" ref="N1848">_xlfn.XLOOKUP(TEXT(A1848, "mmm-yy"), TEXT([2]RUNS!$B$5:$B$208, "mmm-yy"), [2]RUNS!$BM$5:$BM$208, "Not Found")</f>
        <v>0.82931080483064812</v>
      </c>
    </row>
    <row r="1849" spans="1:14" x14ac:dyDescent="0.25">
      <c r="A1849" s="1">
        <f>'[1]Global_Spot Prices'!$B3158</f>
        <v>44592</v>
      </c>
      <c r="B1849">
        <f>_xlfn.XLOOKUP(A1849,'[1]Global_Spot Prices'!$B:$B,'[1]Global_Spot Prices'!$BS:$BS)</f>
        <v>14.030000000000001</v>
      </c>
      <c r="C1849">
        <f>_xlfn.XLOOKUP(A1849,'[1]Global_Spot Prices'!$B:$B,'[1]Global_Spot Prices'!$E:$E)</f>
        <v>88.37</v>
      </c>
      <c r="D1849">
        <f>_xlfn.XLOOKUP(A1849,'[1]Global_Spot Prices'!$B:$B,'[1]Global_Spot Prices'!$D:$D)</f>
        <v>92.52</v>
      </c>
      <c r="E1849">
        <f>_xlfn.XLOOKUP(A1849,'[1]Global_Spot Prices'!$B:$B,'[1]Global_Spot Prices'!$H:$H)</f>
        <v>90.04</v>
      </c>
      <c r="F1849">
        <f>_xlfn.XLOOKUP(A1849,'[1]Global_Spot Prices'!$B:$B,'[1]Global_Spot Prices'!$I:$I)</f>
        <v>102.4</v>
      </c>
      <c r="G1849" cm="1">
        <f t="array" ref="G1849">_xlfn.XLOOKUP(TEXT(A1849, "mmm-yy"), TEXT([2]RUNS!$B$5:$B$208, "mmm-yy"), [2]RUNS!$D$5:$D$208, "Not Found")</f>
        <v>30270.59075604301</v>
      </c>
      <c r="H1849" cm="1">
        <f t="array" ref="H1849">SUMPRODUCT(
    --(TEXT('[3]Global Weekly Stock (EWSuez'!$B$4:$B$2000,"mmm-yy")=TEXT(A1849,"mmm-yy")),
    '[3]Global Weekly Stock (EWSuez'!$E$4:$E$2000)
/
SUMPRODUCT(
    --(TEXT('[3]Global Weekly Stock (EWSuez'!$B$4:$B$2000,"mmm-yy")=TEXT(A1849,"mmm-yy"))
)</f>
        <v>14222.75</v>
      </c>
      <c r="I1849">
        <f>_xlfn.XLOOKUP(A1849,[1]ForwardDeriv!$D:$D,[1]ForwardDeriv!$AJ:$AJ)</f>
        <v>1.2000000000000028</v>
      </c>
      <c r="J1849" cm="1">
        <f t="array" ref="J1849">_xlfn.XLOOKUP(TEXT(A1849, "mmm-yy"), TEXT([2]GASOLINE!$B$5:$B$208, "mmm-yy"), [2]GASOLINE!$IR$5:$IR$208, "Not Found")</f>
        <v>110.74282671414724</v>
      </c>
      <c r="K1849" cm="1">
        <f t="array" ref="K1849">_xlfn.XLOOKUP(TEXT(A1849, "mmm-yy"), TEXT([2]GASOLINE!$B$5:$B$208, "mmm-yy"), [2]GASOLINE!$IK$5:$IK$208, "Not Found")</f>
        <v>183.38081506246203</v>
      </c>
      <c r="L1849">
        <f t="shared" si="28"/>
        <v>0</v>
      </c>
      <c r="M1849" cm="1">
        <f t="array" ref="M1849">_xlfn.XLOOKUP(TEXT(A1849, "mmm-yy"), TEXT([2]GASOLINE!$B$5:$B$208, "mmm-yy"), [2]GASOLINE!$C$5:$C$208, "Not Found")</f>
        <v>7610.982027012853</v>
      </c>
      <c r="N1849" cm="1">
        <f t="array" ref="N1849">_xlfn.XLOOKUP(TEXT(A1849, "mmm-yy"), TEXT([2]RUNS!$B$5:$B$208, "mmm-yy"), [2]RUNS!$BM$5:$BM$208, "Not Found")</f>
        <v>0.82931080483064812</v>
      </c>
    </row>
    <row r="1850" spans="1:14" x14ac:dyDescent="0.25">
      <c r="A1850" s="1">
        <f>'[1]Global_Spot Prices'!$B3159</f>
        <v>44593</v>
      </c>
      <c r="B1850" t="e">
        <f>_xlfn.XLOOKUP(A1850,'[1]Global_Spot Prices'!$B:$B,'[1]Global_Spot Prices'!$BS:$BS)</f>
        <v>#N/A</v>
      </c>
      <c r="C1850" t="str">
        <f>_xlfn.XLOOKUP(A1850,'[1]Global_Spot Prices'!$B:$B,'[1]Global_Spot Prices'!$E:$E)</f>
        <v/>
      </c>
      <c r="D1850">
        <f>_xlfn.XLOOKUP(A1850,'[1]Global_Spot Prices'!$B:$B,'[1]Global_Spot Prices'!$D:$D)</f>
        <v>93.265000000000001</v>
      </c>
      <c r="E1850">
        <f>_xlfn.XLOOKUP(A1850,'[1]Global_Spot Prices'!$B:$B,'[1]Global_Spot Prices'!$H:$H)</f>
        <v>0</v>
      </c>
      <c r="F1850">
        <f>_xlfn.XLOOKUP(A1850,'[1]Global_Spot Prices'!$B:$B,'[1]Global_Spot Prices'!$I:$I)</f>
        <v>0</v>
      </c>
      <c r="G1850" cm="1">
        <f t="array" ref="G1850">_xlfn.XLOOKUP(TEXT(A1850, "mmm-yy"), TEXT([2]RUNS!$B$5:$B$208, "mmm-yy"), [2]RUNS!$D$5:$D$208, "Not Found")</f>
        <v>30414.839645350734</v>
      </c>
      <c r="H1850" cm="1">
        <f t="array" ref="H1850">SUMPRODUCT(
    --(TEXT('[3]Global Weekly Stock (EWSuez'!$B$4:$B$2000,"mmm-yy")=TEXT(A1850,"mmm-yy")),
    '[3]Global Weekly Stock (EWSuez'!$E$4:$E$2000)
/
SUMPRODUCT(
    --(TEXT('[3]Global Weekly Stock (EWSuez'!$B$4:$B$2000,"mmm-yy")=TEXT(A1850,"mmm-yy"))
)</f>
        <v>14163</v>
      </c>
      <c r="I1850">
        <f>_xlfn.XLOOKUP(A1850,[1]ForwardDeriv!$D:$D,[1]ForwardDeriv!$AJ:$AJ)</f>
        <v>1.4699999999999989</v>
      </c>
      <c r="J1850" cm="1">
        <f t="array" ref="J1850">_xlfn.XLOOKUP(TEXT(A1850, "mmm-yy"), TEXT([2]GASOLINE!$B$5:$B$208, "mmm-yy"), [2]GASOLINE!$IR$5:$IR$208, "Not Found")</f>
        <v>127.68835648933327</v>
      </c>
      <c r="K1850" cm="1">
        <f t="array" ref="K1850">_xlfn.XLOOKUP(TEXT(A1850, "mmm-yy"), TEXT([2]GASOLINE!$B$5:$B$208, "mmm-yy"), [2]GASOLINE!$IK$5:$IK$208, "Not Found")</f>
        <v>200.24389582278721</v>
      </c>
      <c r="L1850">
        <f t="shared" si="28"/>
        <v>0</v>
      </c>
      <c r="M1850" cm="1">
        <f t="array" ref="M1850">_xlfn.XLOOKUP(TEXT(A1850, "mmm-yy"), TEXT([2]GASOLINE!$B$5:$B$208, "mmm-yy"), [2]GASOLINE!$C$5:$C$208, "Not Found")</f>
        <v>7328.0209714517787</v>
      </c>
      <c r="N1850" cm="1">
        <f t="array" ref="N1850">_xlfn.XLOOKUP(TEXT(A1850, "mmm-yy"), TEXT([2]RUNS!$B$5:$B$208, "mmm-yy"), [2]RUNS!$BM$5:$BM$208, "Not Found")</f>
        <v>0.83326273175046994</v>
      </c>
    </row>
    <row r="1851" spans="1:14" x14ac:dyDescent="0.25">
      <c r="A1851" s="1">
        <f>'[1]Global_Spot Prices'!$B3160</f>
        <v>44594</v>
      </c>
      <c r="B1851" t="e">
        <f>_xlfn.XLOOKUP(A1851,'[1]Global_Spot Prices'!$B:$B,'[1]Global_Spot Prices'!$BS:$BS)</f>
        <v>#N/A</v>
      </c>
      <c r="C1851" t="str">
        <f>_xlfn.XLOOKUP(A1851,'[1]Global_Spot Prices'!$B:$B,'[1]Global_Spot Prices'!$E:$E)</f>
        <v/>
      </c>
      <c r="D1851">
        <f>_xlfn.XLOOKUP(A1851,'[1]Global_Spot Prices'!$B:$B,'[1]Global_Spot Prices'!$D:$D)</f>
        <v>91.935000000000002</v>
      </c>
      <c r="E1851">
        <f>_xlfn.XLOOKUP(A1851,'[1]Global_Spot Prices'!$B:$B,'[1]Global_Spot Prices'!$H:$H)</f>
        <v>0</v>
      </c>
      <c r="F1851">
        <f>_xlfn.XLOOKUP(A1851,'[1]Global_Spot Prices'!$B:$B,'[1]Global_Spot Prices'!$I:$I)</f>
        <v>0</v>
      </c>
      <c r="G1851" cm="1">
        <f t="array" ref="G1851">_xlfn.XLOOKUP(TEXT(A1851, "mmm-yy"), TEXT([2]RUNS!$B$5:$B$208, "mmm-yy"), [2]RUNS!$D$5:$D$208, "Not Found")</f>
        <v>30414.839645350734</v>
      </c>
      <c r="H1851" cm="1">
        <f t="array" ref="H1851">SUMPRODUCT(
    --(TEXT('[3]Global Weekly Stock (EWSuez'!$B$4:$B$2000,"mmm-yy")=TEXT(A1851,"mmm-yy")),
    '[3]Global Weekly Stock (EWSuez'!$E$4:$E$2000)
/
SUMPRODUCT(
    --(TEXT('[3]Global Weekly Stock (EWSuez'!$B$4:$B$2000,"mmm-yy")=TEXT(A1851,"mmm-yy"))
)</f>
        <v>14163</v>
      </c>
      <c r="I1851">
        <f>_xlfn.XLOOKUP(A1851,[1]ForwardDeriv!$D:$D,[1]ForwardDeriv!$AJ:$AJ)</f>
        <v>1.4699999999999989</v>
      </c>
      <c r="J1851" cm="1">
        <f t="array" ref="J1851">_xlfn.XLOOKUP(TEXT(A1851, "mmm-yy"), TEXT([2]GASOLINE!$B$5:$B$208, "mmm-yy"), [2]GASOLINE!$IR$5:$IR$208, "Not Found")</f>
        <v>127.68835648933327</v>
      </c>
      <c r="K1851" cm="1">
        <f t="array" ref="K1851">_xlfn.XLOOKUP(TEXT(A1851, "mmm-yy"), TEXT([2]GASOLINE!$B$5:$B$208, "mmm-yy"), [2]GASOLINE!$IK$5:$IK$208, "Not Found")</f>
        <v>200.24389582278721</v>
      </c>
      <c r="L1851">
        <f t="shared" si="28"/>
        <v>0</v>
      </c>
      <c r="M1851" cm="1">
        <f t="array" ref="M1851">_xlfn.XLOOKUP(TEXT(A1851, "mmm-yy"), TEXT([2]GASOLINE!$B$5:$B$208, "mmm-yy"), [2]GASOLINE!$C$5:$C$208, "Not Found")</f>
        <v>7328.0209714517787</v>
      </c>
      <c r="N1851" cm="1">
        <f t="array" ref="N1851">_xlfn.XLOOKUP(TEXT(A1851, "mmm-yy"), TEXT([2]RUNS!$B$5:$B$208, "mmm-yy"), [2]RUNS!$BM$5:$BM$208, "Not Found")</f>
        <v>0.83326273175046994</v>
      </c>
    </row>
    <row r="1852" spans="1:14" x14ac:dyDescent="0.25">
      <c r="A1852" s="1">
        <f>'[1]Global_Spot Prices'!$B3161</f>
        <v>44595</v>
      </c>
      <c r="B1852">
        <f>_xlfn.XLOOKUP(A1852,'[1]Global_Spot Prices'!$B:$B,'[1]Global_Spot Prices'!$BS:$BS)</f>
        <v>15.845000000000013</v>
      </c>
      <c r="C1852">
        <f>_xlfn.XLOOKUP(A1852,'[1]Global_Spot Prices'!$B:$B,'[1]Global_Spot Prices'!$E:$E)</f>
        <v>87.444999999999993</v>
      </c>
      <c r="D1852">
        <f>_xlfn.XLOOKUP(A1852,'[1]Global_Spot Prices'!$B:$B,'[1]Global_Spot Prices'!$D:$D)</f>
        <v>93.46</v>
      </c>
      <c r="E1852">
        <f>_xlfn.XLOOKUP(A1852,'[1]Global_Spot Prices'!$B:$B,'[1]Global_Spot Prices'!$H:$H)</f>
        <v>90.96</v>
      </c>
      <c r="F1852">
        <f>_xlfn.XLOOKUP(A1852,'[1]Global_Spot Prices'!$B:$B,'[1]Global_Spot Prices'!$I:$I)</f>
        <v>103.29</v>
      </c>
      <c r="G1852" cm="1">
        <f t="array" ref="G1852">_xlfn.XLOOKUP(TEXT(A1852, "mmm-yy"), TEXT([2]RUNS!$B$5:$B$208, "mmm-yy"), [2]RUNS!$D$5:$D$208, "Not Found")</f>
        <v>30414.839645350734</v>
      </c>
      <c r="H1852" cm="1">
        <f t="array" ref="H1852">SUMPRODUCT(
    --(TEXT('[3]Global Weekly Stock (EWSuez'!$B$4:$B$2000,"mmm-yy")=TEXT(A1852,"mmm-yy")),
    '[3]Global Weekly Stock (EWSuez'!$E$4:$E$2000)
/
SUMPRODUCT(
    --(TEXT('[3]Global Weekly Stock (EWSuez'!$B$4:$B$2000,"mmm-yy")=TEXT(A1852,"mmm-yy"))
)</f>
        <v>14163</v>
      </c>
      <c r="I1852">
        <f>_xlfn.XLOOKUP(A1852,[1]ForwardDeriv!$D:$D,[1]ForwardDeriv!$AJ:$AJ)</f>
        <v>1.4699999999999989</v>
      </c>
      <c r="J1852" cm="1">
        <f t="array" ref="J1852">_xlfn.XLOOKUP(TEXT(A1852, "mmm-yy"), TEXT([2]GASOLINE!$B$5:$B$208, "mmm-yy"), [2]GASOLINE!$IR$5:$IR$208, "Not Found")</f>
        <v>127.68835648933327</v>
      </c>
      <c r="K1852" cm="1">
        <f t="array" ref="K1852">_xlfn.XLOOKUP(TEXT(A1852, "mmm-yy"), TEXT([2]GASOLINE!$B$5:$B$208, "mmm-yy"), [2]GASOLINE!$IK$5:$IK$208, "Not Found")</f>
        <v>200.24389582278721</v>
      </c>
      <c r="L1852">
        <f t="shared" si="28"/>
        <v>0</v>
      </c>
      <c r="M1852" cm="1">
        <f t="array" ref="M1852">_xlfn.XLOOKUP(TEXT(A1852, "mmm-yy"), TEXT([2]GASOLINE!$B$5:$B$208, "mmm-yy"), [2]GASOLINE!$C$5:$C$208, "Not Found")</f>
        <v>7328.0209714517787</v>
      </c>
      <c r="N1852" cm="1">
        <f t="array" ref="N1852">_xlfn.XLOOKUP(TEXT(A1852, "mmm-yy"), TEXT([2]RUNS!$B$5:$B$208, "mmm-yy"), [2]RUNS!$BM$5:$BM$208, "Not Found")</f>
        <v>0.83326273175046994</v>
      </c>
    </row>
    <row r="1853" spans="1:14" x14ac:dyDescent="0.25">
      <c r="A1853" s="1">
        <f>'[1]Global_Spot Prices'!$B3162</f>
        <v>44596</v>
      </c>
      <c r="B1853">
        <f>_xlfn.XLOOKUP(A1853,'[1]Global_Spot Prices'!$B:$B,'[1]Global_Spot Prices'!$BS:$BS)</f>
        <v>14.709999999999994</v>
      </c>
      <c r="C1853">
        <f>_xlfn.XLOOKUP(A1853,'[1]Global_Spot Prices'!$B:$B,'[1]Global_Spot Prices'!$E:$E)</f>
        <v>90.25</v>
      </c>
      <c r="D1853">
        <f>_xlfn.XLOOKUP(A1853,'[1]Global_Spot Prices'!$B:$B,'[1]Global_Spot Prices'!$D:$D)</f>
        <v>97.66</v>
      </c>
      <c r="E1853">
        <f>_xlfn.XLOOKUP(A1853,'[1]Global_Spot Prices'!$B:$B,'[1]Global_Spot Prices'!$H:$H)</f>
        <v>92.92</v>
      </c>
      <c r="F1853">
        <f>_xlfn.XLOOKUP(A1853,'[1]Global_Spot Prices'!$B:$B,'[1]Global_Spot Prices'!$I:$I)</f>
        <v>104.96</v>
      </c>
      <c r="G1853" cm="1">
        <f t="array" ref="G1853">_xlfn.XLOOKUP(TEXT(A1853, "mmm-yy"), TEXT([2]RUNS!$B$5:$B$208, "mmm-yy"), [2]RUNS!$D$5:$D$208, "Not Found")</f>
        <v>30414.839645350734</v>
      </c>
      <c r="H1853" cm="1">
        <f t="array" ref="H1853">SUMPRODUCT(
    --(TEXT('[3]Global Weekly Stock (EWSuez'!$B$4:$B$2000,"mmm-yy")=TEXT(A1853,"mmm-yy")),
    '[3]Global Weekly Stock (EWSuez'!$E$4:$E$2000)
/
SUMPRODUCT(
    --(TEXT('[3]Global Weekly Stock (EWSuez'!$B$4:$B$2000,"mmm-yy")=TEXT(A1853,"mmm-yy"))
)</f>
        <v>14163</v>
      </c>
      <c r="I1853">
        <f>_xlfn.XLOOKUP(A1853,[1]ForwardDeriv!$D:$D,[1]ForwardDeriv!$AJ:$AJ)</f>
        <v>1.3199999999999932</v>
      </c>
      <c r="J1853" cm="1">
        <f t="array" ref="J1853">_xlfn.XLOOKUP(TEXT(A1853, "mmm-yy"), TEXT([2]GASOLINE!$B$5:$B$208, "mmm-yy"), [2]GASOLINE!$IR$5:$IR$208, "Not Found")</f>
        <v>127.68835648933327</v>
      </c>
      <c r="K1853" cm="1">
        <f t="array" ref="K1853">_xlfn.XLOOKUP(TEXT(A1853, "mmm-yy"), TEXT([2]GASOLINE!$B$5:$B$208, "mmm-yy"), [2]GASOLINE!$IK$5:$IK$208, "Not Found")</f>
        <v>200.24389582278721</v>
      </c>
      <c r="L1853">
        <f t="shared" si="28"/>
        <v>0</v>
      </c>
      <c r="M1853" cm="1">
        <f t="array" ref="M1853">_xlfn.XLOOKUP(TEXT(A1853, "mmm-yy"), TEXT([2]GASOLINE!$B$5:$B$208, "mmm-yy"), [2]GASOLINE!$C$5:$C$208, "Not Found")</f>
        <v>7328.0209714517787</v>
      </c>
      <c r="N1853" cm="1">
        <f t="array" ref="N1853">_xlfn.XLOOKUP(TEXT(A1853, "mmm-yy"), TEXT([2]RUNS!$B$5:$B$208, "mmm-yy"), [2]RUNS!$BM$5:$BM$208, "Not Found")</f>
        <v>0.83326273175046994</v>
      </c>
    </row>
    <row r="1854" spans="1:14" x14ac:dyDescent="0.25">
      <c r="A1854" s="1">
        <f>'[1]Global_Spot Prices'!$B3163</f>
        <v>44599</v>
      </c>
      <c r="B1854">
        <f>_xlfn.XLOOKUP(A1854,'[1]Global_Spot Prices'!$B:$B,'[1]Global_Spot Prices'!$BS:$BS)</f>
        <v>14.36</v>
      </c>
      <c r="C1854">
        <f>_xlfn.XLOOKUP(A1854,'[1]Global_Spot Prices'!$B:$B,'[1]Global_Spot Prices'!$E:$E)</f>
        <v>90.94</v>
      </c>
      <c r="D1854">
        <f>_xlfn.XLOOKUP(A1854,'[1]Global_Spot Prices'!$B:$B,'[1]Global_Spot Prices'!$D:$D)</f>
        <v>98.2</v>
      </c>
      <c r="E1854">
        <f>_xlfn.XLOOKUP(A1854,'[1]Global_Spot Prices'!$B:$B,'[1]Global_Spot Prices'!$H:$H)</f>
        <v>93.25</v>
      </c>
      <c r="F1854">
        <f>_xlfn.XLOOKUP(A1854,'[1]Global_Spot Prices'!$B:$B,'[1]Global_Spot Prices'!$I:$I)</f>
        <v>105.3</v>
      </c>
      <c r="G1854" cm="1">
        <f t="array" ref="G1854">_xlfn.XLOOKUP(TEXT(A1854, "mmm-yy"), TEXT([2]RUNS!$B$5:$B$208, "mmm-yy"), [2]RUNS!$D$5:$D$208, "Not Found")</f>
        <v>30414.839645350734</v>
      </c>
      <c r="H1854" cm="1">
        <f t="array" ref="H1854">SUMPRODUCT(
    --(TEXT('[3]Global Weekly Stock (EWSuez'!$B$4:$B$2000,"mmm-yy")=TEXT(A1854,"mmm-yy")),
    '[3]Global Weekly Stock (EWSuez'!$E$4:$E$2000)
/
SUMPRODUCT(
    --(TEXT('[3]Global Weekly Stock (EWSuez'!$B$4:$B$2000,"mmm-yy")=TEXT(A1854,"mmm-yy"))
)</f>
        <v>14163</v>
      </c>
      <c r="I1854">
        <f>_xlfn.XLOOKUP(A1854,[1]ForwardDeriv!$D:$D,[1]ForwardDeriv!$AJ:$AJ)</f>
        <v>1.3399999999999892</v>
      </c>
      <c r="J1854" cm="1">
        <f t="array" ref="J1854">_xlfn.XLOOKUP(TEXT(A1854, "mmm-yy"), TEXT([2]GASOLINE!$B$5:$B$208, "mmm-yy"), [2]GASOLINE!$IR$5:$IR$208, "Not Found")</f>
        <v>127.68835648933327</v>
      </c>
      <c r="K1854" cm="1">
        <f t="array" ref="K1854">_xlfn.XLOOKUP(TEXT(A1854, "mmm-yy"), TEXT([2]GASOLINE!$B$5:$B$208, "mmm-yy"), [2]GASOLINE!$IK$5:$IK$208, "Not Found")</f>
        <v>200.24389582278721</v>
      </c>
      <c r="L1854">
        <f t="shared" si="28"/>
        <v>0</v>
      </c>
      <c r="M1854" cm="1">
        <f t="array" ref="M1854">_xlfn.XLOOKUP(TEXT(A1854, "mmm-yy"), TEXT([2]GASOLINE!$B$5:$B$208, "mmm-yy"), [2]GASOLINE!$C$5:$C$208, "Not Found")</f>
        <v>7328.0209714517787</v>
      </c>
      <c r="N1854" cm="1">
        <f t="array" ref="N1854">_xlfn.XLOOKUP(TEXT(A1854, "mmm-yy"), TEXT([2]RUNS!$B$5:$B$208, "mmm-yy"), [2]RUNS!$BM$5:$BM$208, "Not Found")</f>
        <v>0.83326273175046994</v>
      </c>
    </row>
    <row r="1855" spans="1:14" x14ac:dyDescent="0.25">
      <c r="A1855" s="1">
        <f>'[1]Global_Spot Prices'!$B3164</f>
        <v>44600</v>
      </c>
      <c r="B1855">
        <f>_xlfn.XLOOKUP(A1855,'[1]Global_Spot Prices'!$B:$B,'[1]Global_Spot Prices'!$BS:$BS)</f>
        <v>14.995000000000005</v>
      </c>
      <c r="C1855">
        <f>_xlfn.XLOOKUP(A1855,'[1]Global_Spot Prices'!$B:$B,'[1]Global_Spot Prices'!$E:$E)</f>
        <v>90.405000000000001</v>
      </c>
      <c r="D1855">
        <f>_xlfn.XLOOKUP(A1855,'[1]Global_Spot Prices'!$B:$B,'[1]Global_Spot Prices'!$D:$D)</f>
        <v>95.34</v>
      </c>
      <c r="E1855">
        <f>_xlfn.XLOOKUP(A1855,'[1]Global_Spot Prices'!$B:$B,'[1]Global_Spot Prices'!$H:$H)</f>
        <v>92.31</v>
      </c>
      <c r="F1855">
        <f>_xlfn.XLOOKUP(A1855,'[1]Global_Spot Prices'!$B:$B,'[1]Global_Spot Prices'!$I:$I)</f>
        <v>105.4</v>
      </c>
      <c r="G1855" cm="1">
        <f t="array" ref="G1855">_xlfn.XLOOKUP(TEXT(A1855, "mmm-yy"), TEXT([2]RUNS!$B$5:$B$208, "mmm-yy"), [2]RUNS!$D$5:$D$208, "Not Found")</f>
        <v>30414.839645350734</v>
      </c>
      <c r="H1855" cm="1">
        <f t="array" ref="H1855">SUMPRODUCT(
    --(TEXT('[3]Global Weekly Stock (EWSuez'!$B$4:$B$2000,"mmm-yy")=TEXT(A1855,"mmm-yy")),
    '[3]Global Weekly Stock (EWSuez'!$E$4:$E$2000)
/
SUMPRODUCT(
    --(TEXT('[3]Global Weekly Stock (EWSuez'!$B$4:$B$2000,"mmm-yy")=TEXT(A1855,"mmm-yy"))
)</f>
        <v>14163</v>
      </c>
      <c r="I1855">
        <f>_xlfn.XLOOKUP(A1855,[1]ForwardDeriv!$D:$D,[1]ForwardDeriv!$AJ:$AJ)</f>
        <v>1.4699999999999989</v>
      </c>
      <c r="J1855" cm="1">
        <f t="array" ref="J1855">_xlfn.XLOOKUP(TEXT(A1855, "mmm-yy"), TEXT([2]GASOLINE!$B$5:$B$208, "mmm-yy"), [2]GASOLINE!$IR$5:$IR$208, "Not Found")</f>
        <v>127.68835648933327</v>
      </c>
      <c r="K1855" cm="1">
        <f t="array" ref="K1855">_xlfn.XLOOKUP(TEXT(A1855, "mmm-yy"), TEXT([2]GASOLINE!$B$5:$B$208, "mmm-yy"), [2]GASOLINE!$IK$5:$IK$208, "Not Found")</f>
        <v>200.24389582278721</v>
      </c>
      <c r="L1855">
        <f t="shared" si="28"/>
        <v>0</v>
      </c>
      <c r="M1855" cm="1">
        <f t="array" ref="M1855">_xlfn.XLOOKUP(TEXT(A1855, "mmm-yy"), TEXT([2]GASOLINE!$B$5:$B$208, "mmm-yy"), [2]GASOLINE!$C$5:$C$208, "Not Found")</f>
        <v>7328.0209714517787</v>
      </c>
      <c r="N1855" cm="1">
        <f t="array" ref="N1855">_xlfn.XLOOKUP(TEXT(A1855, "mmm-yy"), TEXT([2]RUNS!$B$5:$B$208, "mmm-yy"), [2]RUNS!$BM$5:$BM$208, "Not Found")</f>
        <v>0.83326273175046994</v>
      </c>
    </row>
    <row r="1856" spans="1:14" x14ac:dyDescent="0.25">
      <c r="A1856" s="1">
        <f>'[1]Global_Spot Prices'!$B3165</f>
        <v>44601</v>
      </c>
      <c r="B1856">
        <f>_xlfn.XLOOKUP(A1856,'[1]Global_Spot Prices'!$B:$B,'[1]Global_Spot Prices'!$BS:$BS)</f>
        <v>15.590000000000003</v>
      </c>
      <c r="C1856">
        <f>_xlfn.XLOOKUP(A1856,'[1]Global_Spot Prices'!$B:$B,'[1]Global_Spot Prices'!$E:$E)</f>
        <v>89.36</v>
      </c>
      <c r="D1856">
        <f>_xlfn.XLOOKUP(A1856,'[1]Global_Spot Prices'!$B:$B,'[1]Global_Spot Prices'!$D:$D)</f>
        <v>96.745000000000005</v>
      </c>
      <c r="E1856">
        <f>_xlfn.XLOOKUP(A1856,'[1]Global_Spot Prices'!$B:$B,'[1]Global_Spot Prices'!$H:$H)</f>
        <v>91.45</v>
      </c>
      <c r="F1856">
        <f>_xlfn.XLOOKUP(A1856,'[1]Global_Spot Prices'!$B:$B,'[1]Global_Spot Prices'!$I:$I)</f>
        <v>104.95</v>
      </c>
      <c r="G1856" cm="1">
        <f t="array" ref="G1856">_xlfn.XLOOKUP(TEXT(A1856, "mmm-yy"), TEXT([2]RUNS!$B$5:$B$208, "mmm-yy"), [2]RUNS!$D$5:$D$208, "Not Found")</f>
        <v>30414.839645350734</v>
      </c>
      <c r="H1856" cm="1">
        <f t="array" ref="H1856">SUMPRODUCT(
    --(TEXT('[3]Global Weekly Stock (EWSuez'!$B$4:$B$2000,"mmm-yy")=TEXT(A1856,"mmm-yy")),
    '[3]Global Weekly Stock (EWSuez'!$E$4:$E$2000)
/
SUMPRODUCT(
    --(TEXT('[3]Global Weekly Stock (EWSuez'!$B$4:$B$2000,"mmm-yy")=TEXT(A1856,"mmm-yy"))
)</f>
        <v>14163</v>
      </c>
      <c r="I1856">
        <f>_xlfn.XLOOKUP(A1856,[1]ForwardDeriv!$D:$D,[1]ForwardDeriv!$AJ:$AJ)</f>
        <v>1.5999999999999943</v>
      </c>
      <c r="J1856" cm="1">
        <f t="array" ref="J1856">_xlfn.XLOOKUP(TEXT(A1856, "mmm-yy"), TEXT([2]GASOLINE!$B$5:$B$208, "mmm-yy"), [2]GASOLINE!$IR$5:$IR$208, "Not Found")</f>
        <v>127.68835648933327</v>
      </c>
      <c r="K1856" cm="1">
        <f t="array" ref="K1856">_xlfn.XLOOKUP(TEXT(A1856, "mmm-yy"), TEXT([2]GASOLINE!$B$5:$B$208, "mmm-yy"), [2]GASOLINE!$IK$5:$IK$208, "Not Found")</f>
        <v>200.24389582278721</v>
      </c>
      <c r="L1856">
        <f t="shared" si="28"/>
        <v>0</v>
      </c>
      <c r="M1856" cm="1">
        <f t="array" ref="M1856">_xlfn.XLOOKUP(TEXT(A1856, "mmm-yy"), TEXT([2]GASOLINE!$B$5:$B$208, "mmm-yy"), [2]GASOLINE!$C$5:$C$208, "Not Found")</f>
        <v>7328.0209714517787</v>
      </c>
      <c r="N1856" cm="1">
        <f t="array" ref="N1856">_xlfn.XLOOKUP(TEXT(A1856, "mmm-yy"), TEXT([2]RUNS!$B$5:$B$208, "mmm-yy"), [2]RUNS!$BM$5:$BM$208, "Not Found")</f>
        <v>0.83326273175046994</v>
      </c>
    </row>
    <row r="1857" spans="1:14" x14ac:dyDescent="0.25">
      <c r="A1857" s="1">
        <f>'[1]Global_Spot Prices'!$B3166</f>
        <v>44602</v>
      </c>
      <c r="B1857">
        <f>_xlfn.XLOOKUP(A1857,'[1]Global_Spot Prices'!$B:$B,'[1]Global_Spot Prices'!$BS:$BS)</f>
        <v>17.134999999999991</v>
      </c>
      <c r="C1857">
        <f>_xlfn.XLOOKUP(A1857,'[1]Global_Spot Prices'!$B:$B,'[1]Global_Spot Prices'!$E:$E)</f>
        <v>90.555000000000007</v>
      </c>
      <c r="D1857">
        <f>_xlfn.XLOOKUP(A1857,'[1]Global_Spot Prices'!$B:$B,'[1]Global_Spot Prices'!$D:$D)</f>
        <v>97.424999999999997</v>
      </c>
      <c r="E1857">
        <f>_xlfn.XLOOKUP(A1857,'[1]Global_Spot Prices'!$B:$B,'[1]Global_Spot Prices'!$H:$H)</f>
        <v>93.22</v>
      </c>
      <c r="F1857">
        <f>_xlfn.XLOOKUP(A1857,'[1]Global_Spot Prices'!$B:$B,'[1]Global_Spot Prices'!$I:$I)</f>
        <v>107.69</v>
      </c>
      <c r="G1857" cm="1">
        <f t="array" ref="G1857">_xlfn.XLOOKUP(TEXT(A1857, "mmm-yy"), TEXT([2]RUNS!$B$5:$B$208, "mmm-yy"), [2]RUNS!$D$5:$D$208, "Not Found")</f>
        <v>30414.839645350734</v>
      </c>
      <c r="H1857" cm="1">
        <f t="array" ref="H1857">SUMPRODUCT(
    --(TEXT('[3]Global Weekly Stock (EWSuez'!$B$4:$B$2000,"mmm-yy")=TEXT(A1857,"mmm-yy")),
    '[3]Global Weekly Stock (EWSuez'!$E$4:$E$2000)
/
SUMPRODUCT(
    --(TEXT('[3]Global Weekly Stock (EWSuez'!$B$4:$B$2000,"mmm-yy")=TEXT(A1857,"mmm-yy"))
)</f>
        <v>14163</v>
      </c>
      <c r="I1857">
        <f>_xlfn.XLOOKUP(A1857,[1]ForwardDeriv!$D:$D,[1]ForwardDeriv!$AJ:$AJ)</f>
        <v>1.8799999999999955</v>
      </c>
      <c r="J1857" cm="1">
        <f t="array" ref="J1857">_xlfn.XLOOKUP(TEXT(A1857, "mmm-yy"), TEXT([2]GASOLINE!$B$5:$B$208, "mmm-yy"), [2]GASOLINE!$IR$5:$IR$208, "Not Found")</f>
        <v>127.68835648933327</v>
      </c>
      <c r="K1857" cm="1">
        <f t="array" ref="K1857">_xlfn.XLOOKUP(TEXT(A1857, "mmm-yy"), TEXT([2]GASOLINE!$B$5:$B$208, "mmm-yy"), [2]GASOLINE!$IK$5:$IK$208, "Not Found")</f>
        <v>200.24389582278721</v>
      </c>
      <c r="L1857">
        <f t="shared" si="28"/>
        <v>0</v>
      </c>
      <c r="M1857" cm="1">
        <f t="array" ref="M1857">_xlfn.XLOOKUP(TEXT(A1857, "mmm-yy"), TEXT([2]GASOLINE!$B$5:$B$208, "mmm-yy"), [2]GASOLINE!$C$5:$C$208, "Not Found")</f>
        <v>7328.0209714517787</v>
      </c>
      <c r="N1857" cm="1">
        <f t="array" ref="N1857">_xlfn.XLOOKUP(TEXT(A1857, "mmm-yy"), TEXT([2]RUNS!$B$5:$B$208, "mmm-yy"), [2]RUNS!$BM$5:$BM$208, "Not Found")</f>
        <v>0.83326273175046994</v>
      </c>
    </row>
    <row r="1858" spans="1:14" x14ac:dyDescent="0.25">
      <c r="A1858" s="1">
        <f>'[1]Global_Spot Prices'!$B3167</f>
        <v>44603</v>
      </c>
      <c r="B1858">
        <f>_xlfn.XLOOKUP(A1858,'[1]Global_Spot Prices'!$B:$B,'[1]Global_Spot Prices'!$BS:$BS)</f>
        <v>17.155000000000001</v>
      </c>
      <c r="C1858">
        <f>_xlfn.XLOOKUP(A1858,'[1]Global_Spot Prices'!$B:$B,'[1]Global_Spot Prices'!$E:$E)</f>
        <v>90.204999999999998</v>
      </c>
      <c r="D1858">
        <f>_xlfn.XLOOKUP(A1858,'[1]Global_Spot Prices'!$B:$B,'[1]Global_Spot Prices'!$D:$D)</f>
        <v>97.834999999999994</v>
      </c>
      <c r="E1858">
        <f>_xlfn.XLOOKUP(A1858,'[1]Global_Spot Prices'!$B:$B,'[1]Global_Spot Prices'!$H:$H)</f>
        <v>92.54</v>
      </c>
      <c r="F1858">
        <f>_xlfn.XLOOKUP(A1858,'[1]Global_Spot Prices'!$B:$B,'[1]Global_Spot Prices'!$I:$I)</f>
        <v>107.36</v>
      </c>
      <c r="G1858" cm="1">
        <f t="array" ref="G1858">_xlfn.XLOOKUP(TEXT(A1858, "mmm-yy"), TEXT([2]RUNS!$B$5:$B$208, "mmm-yy"), [2]RUNS!$D$5:$D$208, "Not Found")</f>
        <v>30414.839645350734</v>
      </c>
      <c r="H1858" cm="1">
        <f t="array" ref="H1858">SUMPRODUCT(
    --(TEXT('[3]Global Weekly Stock (EWSuez'!$B$4:$B$2000,"mmm-yy")=TEXT(A1858,"mmm-yy")),
    '[3]Global Weekly Stock (EWSuez'!$E$4:$E$2000)
/
SUMPRODUCT(
    --(TEXT('[3]Global Weekly Stock (EWSuez'!$B$4:$B$2000,"mmm-yy")=TEXT(A1858,"mmm-yy"))
)</f>
        <v>14163</v>
      </c>
      <c r="I1858">
        <f>_xlfn.XLOOKUP(A1858,[1]ForwardDeriv!$D:$D,[1]ForwardDeriv!$AJ:$AJ)</f>
        <v>1.8299999999999983</v>
      </c>
      <c r="J1858" cm="1">
        <f t="array" ref="J1858">_xlfn.XLOOKUP(TEXT(A1858, "mmm-yy"), TEXT([2]GASOLINE!$B$5:$B$208, "mmm-yy"), [2]GASOLINE!$IR$5:$IR$208, "Not Found")</f>
        <v>127.68835648933327</v>
      </c>
      <c r="K1858" cm="1">
        <f t="array" ref="K1858">_xlfn.XLOOKUP(TEXT(A1858, "mmm-yy"), TEXT([2]GASOLINE!$B$5:$B$208, "mmm-yy"), [2]GASOLINE!$IK$5:$IK$208, "Not Found")</f>
        <v>200.24389582278721</v>
      </c>
      <c r="L1858">
        <f t="shared" si="28"/>
        <v>0</v>
      </c>
      <c r="M1858" cm="1">
        <f t="array" ref="M1858">_xlfn.XLOOKUP(TEXT(A1858, "mmm-yy"), TEXT([2]GASOLINE!$B$5:$B$208, "mmm-yy"), [2]GASOLINE!$C$5:$C$208, "Not Found")</f>
        <v>7328.0209714517787</v>
      </c>
      <c r="N1858" cm="1">
        <f t="array" ref="N1858">_xlfn.XLOOKUP(TEXT(A1858, "mmm-yy"), TEXT([2]RUNS!$B$5:$B$208, "mmm-yy"), [2]RUNS!$BM$5:$BM$208, "Not Found")</f>
        <v>0.83326273175046994</v>
      </c>
    </row>
    <row r="1859" spans="1:14" x14ac:dyDescent="0.25">
      <c r="A1859" s="1">
        <f>'[1]Global_Spot Prices'!$B3168</f>
        <v>44606</v>
      </c>
      <c r="B1859">
        <f>_xlfn.XLOOKUP(A1859,'[1]Global_Spot Prices'!$B:$B,'[1]Global_Spot Prices'!$BS:$BS)</f>
        <v>17.540000000000006</v>
      </c>
      <c r="C1859">
        <f>_xlfn.XLOOKUP(A1859,'[1]Global_Spot Prices'!$B:$B,'[1]Global_Spot Prices'!$E:$E)</f>
        <v>92.75</v>
      </c>
      <c r="D1859">
        <f>_xlfn.XLOOKUP(A1859,'[1]Global_Spot Prices'!$B:$B,'[1]Global_Spot Prices'!$D:$D)</f>
        <v>99.715000000000003</v>
      </c>
      <c r="E1859">
        <f>_xlfn.XLOOKUP(A1859,'[1]Global_Spot Prices'!$B:$B,'[1]Global_Spot Prices'!$H:$H)</f>
        <v>95.98</v>
      </c>
      <c r="F1859">
        <f>_xlfn.XLOOKUP(A1859,'[1]Global_Spot Prices'!$B:$B,'[1]Global_Spot Prices'!$I:$I)</f>
        <v>110.29</v>
      </c>
      <c r="G1859" cm="1">
        <f t="array" ref="G1859">_xlfn.XLOOKUP(TEXT(A1859, "mmm-yy"), TEXT([2]RUNS!$B$5:$B$208, "mmm-yy"), [2]RUNS!$D$5:$D$208, "Not Found")</f>
        <v>30414.839645350734</v>
      </c>
      <c r="H1859" cm="1">
        <f t="array" ref="H1859">SUMPRODUCT(
    --(TEXT('[3]Global Weekly Stock (EWSuez'!$B$4:$B$2000,"mmm-yy")=TEXT(A1859,"mmm-yy")),
    '[3]Global Weekly Stock (EWSuez'!$E$4:$E$2000)
/
SUMPRODUCT(
    --(TEXT('[3]Global Weekly Stock (EWSuez'!$B$4:$B$2000,"mmm-yy")=TEXT(A1859,"mmm-yy"))
)</f>
        <v>14163</v>
      </c>
      <c r="I1859">
        <f>_xlfn.XLOOKUP(A1859,[1]ForwardDeriv!$D:$D,[1]ForwardDeriv!$AJ:$AJ)</f>
        <v>1.9699999999999989</v>
      </c>
      <c r="J1859" cm="1">
        <f t="array" ref="J1859">_xlfn.XLOOKUP(TEXT(A1859, "mmm-yy"), TEXT([2]GASOLINE!$B$5:$B$208, "mmm-yy"), [2]GASOLINE!$IR$5:$IR$208, "Not Found")</f>
        <v>127.68835648933327</v>
      </c>
      <c r="K1859" cm="1">
        <f t="array" ref="K1859">_xlfn.XLOOKUP(TEXT(A1859, "mmm-yy"), TEXT([2]GASOLINE!$B$5:$B$208, "mmm-yy"), [2]GASOLINE!$IK$5:$IK$208, "Not Found")</f>
        <v>200.24389582278721</v>
      </c>
      <c r="L1859">
        <f t="shared" ref="L1859:L1922" si="29">IF(OR(MONTH(A1859)=6, MONTH(A1859)=7, MONTH(A1859)=8, MONTH(A1859)=9), 1, 0)</f>
        <v>0</v>
      </c>
      <c r="M1859" cm="1">
        <f t="array" ref="M1859">_xlfn.XLOOKUP(TEXT(A1859, "mmm-yy"), TEXT([2]GASOLINE!$B$5:$B$208, "mmm-yy"), [2]GASOLINE!$C$5:$C$208, "Not Found")</f>
        <v>7328.0209714517787</v>
      </c>
      <c r="N1859" cm="1">
        <f t="array" ref="N1859">_xlfn.XLOOKUP(TEXT(A1859, "mmm-yy"), TEXT([2]RUNS!$B$5:$B$208, "mmm-yy"), [2]RUNS!$BM$5:$BM$208, "Not Found")</f>
        <v>0.83326273175046994</v>
      </c>
    </row>
    <row r="1860" spans="1:14" x14ac:dyDescent="0.25">
      <c r="A1860" s="1">
        <f>'[1]Global_Spot Prices'!$B3169</f>
        <v>44607</v>
      </c>
      <c r="B1860">
        <f>_xlfn.XLOOKUP(A1860,'[1]Global_Spot Prices'!$B:$B,'[1]Global_Spot Prices'!$BS:$BS)</f>
        <v>16.86</v>
      </c>
      <c r="C1860">
        <f>_xlfn.XLOOKUP(A1860,'[1]Global_Spot Prices'!$B:$B,'[1]Global_Spot Prices'!$E:$E)</f>
        <v>93.03</v>
      </c>
      <c r="D1860">
        <f>_xlfn.XLOOKUP(A1860,'[1]Global_Spot Prices'!$B:$B,'[1]Global_Spot Prices'!$D:$D)</f>
        <v>97.655000000000001</v>
      </c>
      <c r="E1860">
        <f>_xlfn.XLOOKUP(A1860,'[1]Global_Spot Prices'!$B:$B,'[1]Global_Spot Prices'!$H:$H)</f>
        <v>96.09</v>
      </c>
      <c r="F1860">
        <f>_xlfn.XLOOKUP(A1860,'[1]Global_Spot Prices'!$B:$B,'[1]Global_Spot Prices'!$I:$I)</f>
        <v>109.89</v>
      </c>
      <c r="G1860" cm="1">
        <f t="array" ref="G1860">_xlfn.XLOOKUP(TEXT(A1860, "mmm-yy"), TEXT([2]RUNS!$B$5:$B$208, "mmm-yy"), [2]RUNS!$D$5:$D$208, "Not Found")</f>
        <v>30414.839645350734</v>
      </c>
      <c r="H1860" cm="1">
        <f t="array" ref="H1860">SUMPRODUCT(
    --(TEXT('[3]Global Weekly Stock (EWSuez'!$B$4:$B$2000,"mmm-yy")=TEXT(A1860,"mmm-yy")),
    '[3]Global Weekly Stock (EWSuez'!$E$4:$E$2000)
/
SUMPRODUCT(
    --(TEXT('[3]Global Weekly Stock (EWSuez'!$B$4:$B$2000,"mmm-yy")=TEXT(A1860,"mmm-yy"))
)</f>
        <v>14163</v>
      </c>
      <c r="I1860">
        <f>_xlfn.XLOOKUP(A1860,[1]ForwardDeriv!$D:$D,[1]ForwardDeriv!$AJ:$AJ)</f>
        <v>1.8299999999999983</v>
      </c>
      <c r="J1860" cm="1">
        <f t="array" ref="J1860">_xlfn.XLOOKUP(TEXT(A1860, "mmm-yy"), TEXT([2]GASOLINE!$B$5:$B$208, "mmm-yy"), [2]GASOLINE!$IR$5:$IR$208, "Not Found")</f>
        <v>127.68835648933327</v>
      </c>
      <c r="K1860" cm="1">
        <f t="array" ref="K1860">_xlfn.XLOOKUP(TEXT(A1860, "mmm-yy"), TEXT([2]GASOLINE!$B$5:$B$208, "mmm-yy"), [2]GASOLINE!$IK$5:$IK$208, "Not Found")</f>
        <v>200.24389582278721</v>
      </c>
      <c r="L1860">
        <f t="shared" si="29"/>
        <v>0</v>
      </c>
      <c r="M1860" cm="1">
        <f t="array" ref="M1860">_xlfn.XLOOKUP(TEXT(A1860, "mmm-yy"), TEXT([2]GASOLINE!$B$5:$B$208, "mmm-yy"), [2]GASOLINE!$C$5:$C$208, "Not Found")</f>
        <v>7328.0209714517787</v>
      </c>
      <c r="N1860" cm="1">
        <f t="array" ref="N1860">_xlfn.XLOOKUP(TEXT(A1860, "mmm-yy"), TEXT([2]RUNS!$B$5:$B$208, "mmm-yy"), [2]RUNS!$BM$5:$BM$208, "Not Found")</f>
        <v>0.83326273175046994</v>
      </c>
    </row>
    <row r="1861" spans="1:14" x14ac:dyDescent="0.25">
      <c r="A1861" s="1">
        <f>'[1]Global_Spot Prices'!$B3170</f>
        <v>44608</v>
      </c>
      <c r="B1861">
        <f>_xlfn.XLOOKUP(A1861,'[1]Global_Spot Prices'!$B:$B,'[1]Global_Spot Prices'!$BS:$BS)</f>
        <v>16.480000000000004</v>
      </c>
      <c r="C1861">
        <f>_xlfn.XLOOKUP(A1861,'[1]Global_Spot Prices'!$B:$B,'[1]Global_Spot Prices'!$E:$E)</f>
        <v>92.56</v>
      </c>
      <c r="D1861">
        <f>_xlfn.XLOOKUP(A1861,'[1]Global_Spot Prices'!$B:$B,'[1]Global_Spot Prices'!$D:$D)</f>
        <v>100.795</v>
      </c>
      <c r="E1861">
        <f>_xlfn.XLOOKUP(A1861,'[1]Global_Spot Prices'!$B:$B,'[1]Global_Spot Prices'!$H:$H)</f>
        <v>95.67</v>
      </c>
      <c r="F1861">
        <f>_xlfn.XLOOKUP(A1861,'[1]Global_Spot Prices'!$B:$B,'[1]Global_Spot Prices'!$I:$I)</f>
        <v>109.04</v>
      </c>
      <c r="G1861" cm="1">
        <f t="array" ref="G1861">_xlfn.XLOOKUP(TEXT(A1861, "mmm-yy"), TEXT([2]RUNS!$B$5:$B$208, "mmm-yy"), [2]RUNS!$D$5:$D$208, "Not Found")</f>
        <v>30414.839645350734</v>
      </c>
      <c r="H1861" cm="1">
        <f t="array" ref="H1861">SUMPRODUCT(
    --(TEXT('[3]Global Weekly Stock (EWSuez'!$B$4:$B$2000,"mmm-yy")=TEXT(A1861,"mmm-yy")),
    '[3]Global Weekly Stock (EWSuez'!$E$4:$E$2000)
/
SUMPRODUCT(
    --(TEXT('[3]Global Weekly Stock (EWSuez'!$B$4:$B$2000,"mmm-yy")=TEXT(A1861,"mmm-yy"))
)</f>
        <v>14163</v>
      </c>
      <c r="I1861">
        <f>_xlfn.XLOOKUP(A1861,[1]ForwardDeriv!$D:$D,[1]ForwardDeriv!$AJ:$AJ)</f>
        <v>1.9299999999999926</v>
      </c>
      <c r="J1861" cm="1">
        <f t="array" ref="J1861">_xlfn.XLOOKUP(TEXT(A1861, "mmm-yy"), TEXT([2]GASOLINE!$B$5:$B$208, "mmm-yy"), [2]GASOLINE!$IR$5:$IR$208, "Not Found")</f>
        <v>127.68835648933327</v>
      </c>
      <c r="K1861" cm="1">
        <f t="array" ref="K1861">_xlfn.XLOOKUP(TEXT(A1861, "mmm-yy"), TEXT([2]GASOLINE!$B$5:$B$208, "mmm-yy"), [2]GASOLINE!$IK$5:$IK$208, "Not Found")</f>
        <v>200.24389582278721</v>
      </c>
      <c r="L1861">
        <f t="shared" si="29"/>
        <v>0</v>
      </c>
      <c r="M1861" cm="1">
        <f t="array" ref="M1861">_xlfn.XLOOKUP(TEXT(A1861, "mmm-yy"), TEXT([2]GASOLINE!$B$5:$B$208, "mmm-yy"), [2]GASOLINE!$C$5:$C$208, "Not Found")</f>
        <v>7328.0209714517787</v>
      </c>
      <c r="N1861" cm="1">
        <f t="array" ref="N1861">_xlfn.XLOOKUP(TEXT(A1861, "mmm-yy"), TEXT([2]RUNS!$B$5:$B$208, "mmm-yy"), [2]RUNS!$BM$5:$BM$208, "Not Found")</f>
        <v>0.83326273175046994</v>
      </c>
    </row>
    <row r="1862" spans="1:14" x14ac:dyDescent="0.25">
      <c r="A1862" s="1">
        <f>'[1]Global_Spot Prices'!$B3171</f>
        <v>44609</v>
      </c>
      <c r="B1862">
        <f>_xlfn.XLOOKUP(A1862,'[1]Global_Spot Prices'!$B:$B,'[1]Global_Spot Prices'!$BS:$BS)</f>
        <v>15.39</v>
      </c>
      <c r="C1862">
        <f>_xlfn.XLOOKUP(A1862,'[1]Global_Spot Prices'!$B:$B,'[1]Global_Spot Prices'!$E:$E)</f>
        <v>91.87</v>
      </c>
      <c r="D1862">
        <f>_xlfn.XLOOKUP(A1862,'[1]Global_Spot Prices'!$B:$B,'[1]Global_Spot Prices'!$D:$D)</f>
        <v>97.305000000000007</v>
      </c>
      <c r="E1862">
        <f>_xlfn.XLOOKUP(A1862,'[1]Global_Spot Prices'!$B:$B,'[1]Global_Spot Prices'!$H:$H)</f>
        <v>94.87</v>
      </c>
      <c r="F1862">
        <f>_xlfn.XLOOKUP(A1862,'[1]Global_Spot Prices'!$B:$B,'[1]Global_Spot Prices'!$I:$I)</f>
        <v>107.26</v>
      </c>
      <c r="G1862" cm="1">
        <f t="array" ref="G1862">_xlfn.XLOOKUP(TEXT(A1862, "mmm-yy"), TEXT([2]RUNS!$B$5:$B$208, "mmm-yy"), [2]RUNS!$D$5:$D$208, "Not Found")</f>
        <v>30414.839645350734</v>
      </c>
      <c r="H1862" cm="1">
        <f t="array" ref="H1862">SUMPRODUCT(
    --(TEXT('[3]Global Weekly Stock (EWSuez'!$B$4:$B$2000,"mmm-yy")=TEXT(A1862,"mmm-yy")),
    '[3]Global Weekly Stock (EWSuez'!$E$4:$E$2000)
/
SUMPRODUCT(
    --(TEXT('[3]Global Weekly Stock (EWSuez'!$B$4:$B$2000,"mmm-yy")=TEXT(A1862,"mmm-yy"))
)</f>
        <v>14163</v>
      </c>
      <c r="I1862">
        <f>_xlfn.XLOOKUP(A1862,[1]ForwardDeriv!$D:$D,[1]ForwardDeriv!$AJ:$AJ)</f>
        <v>1.8400000000000034</v>
      </c>
      <c r="J1862" cm="1">
        <f t="array" ref="J1862">_xlfn.XLOOKUP(TEXT(A1862, "mmm-yy"), TEXT([2]GASOLINE!$B$5:$B$208, "mmm-yy"), [2]GASOLINE!$IR$5:$IR$208, "Not Found")</f>
        <v>127.68835648933327</v>
      </c>
      <c r="K1862" cm="1">
        <f t="array" ref="K1862">_xlfn.XLOOKUP(TEXT(A1862, "mmm-yy"), TEXT([2]GASOLINE!$B$5:$B$208, "mmm-yy"), [2]GASOLINE!$IK$5:$IK$208, "Not Found")</f>
        <v>200.24389582278721</v>
      </c>
      <c r="L1862">
        <f t="shared" si="29"/>
        <v>0</v>
      </c>
      <c r="M1862" cm="1">
        <f t="array" ref="M1862">_xlfn.XLOOKUP(TEXT(A1862, "mmm-yy"), TEXT([2]GASOLINE!$B$5:$B$208, "mmm-yy"), [2]GASOLINE!$C$5:$C$208, "Not Found")</f>
        <v>7328.0209714517787</v>
      </c>
      <c r="N1862" cm="1">
        <f t="array" ref="N1862">_xlfn.XLOOKUP(TEXT(A1862, "mmm-yy"), TEXT([2]RUNS!$B$5:$B$208, "mmm-yy"), [2]RUNS!$BM$5:$BM$208, "Not Found")</f>
        <v>0.83326273175046994</v>
      </c>
    </row>
    <row r="1863" spans="1:14" x14ac:dyDescent="0.25">
      <c r="A1863" s="1">
        <f>'[1]Global_Spot Prices'!$B3172</f>
        <v>44610</v>
      </c>
      <c r="B1863">
        <f>_xlfn.XLOOKUP(A1863,'[1]Global_Spot Prices'!$B:$B,'[1]Global_Spot Prices'!$BS:$BS)</f>
        <v>15.439999999999998</v>
      </c>
      <c r="C1863">
        <f>_xlfn.XLOOKUP(A1863,'[1]Global_Spot Prices'!$B:$B,'[1]Global_Spot Prices'!$E:$E)</f>
        <v>90.29</v>
      </c>
      <c r="D1863">
        <f>_xlfn.XLOOKUP(A1863,'[1]Global_Spot Prices'!$B:$B,'[1]Global_Spot Prices'!$D:$D)</f>
        <v>97.35</v>
      </c>
      <c r="E1863">
        <f>_xlfn.XLOOKUP(A1863,'[1]Global_Spot Prices'!$B:$B,'[1]Global_Spot Prices'!$H:$H)</f>
        <v>92.9</v>
      </c>
      <c r="F1863">
        <f>_xlfn.XLOOKUP(A1863,'[1]Global_Spot Prices'!$B:$B,'[1]Global_Spot Prices'!$I:$I)</f>
        <v>105.73</v>
      </c>
      <c r="G1863" cm="1">
        <f t="array" ref="G1863">_xlfn.XLOOKUP(TEXT(A1863, "mmm-yy"), TEXT([2]RUNS!$B$5:$B$208, "mmm-yy"), [2]RUNS!$D$5:$D$208, "Not Found")</f>
        <v>30414.839645350734</v>
      </c>
      <c r="H1863" cm="1">
        <f t="array" ref="H1863">SUMPRODUCT(
    --(TEXT('[3]Global Weekly Stock (EWSuez'!$B$4:$B$2000,"mmm-yy")=TEXT(A1863,"mmm-yy")),
    '[3]Global Weekly Stock (EWSuez'!$E$4:$E$2000)
/
SUMPRODUCT(
    --(TEXT('[3]Global Weekly Stock (EWSuez'!$B$4:$B$2000,"mmm-yy")=TEXT(A1863,"mmm-yy"))
)</f>
        <v>14163</v>
      </c>
      <c r="I1863">
        <f>_xlfn.XLOOKUP(A1863,[1]ForwardDeriv!$D:$D,[1]ForwardDeriv!$AJ:$AJ)</f>
        <v>1.75</v>
      </c>
      <c r="J1863" cm="1">
        <f t="array" ref="J1863">_xlfn.XLOOKUP(TEXT(A1863, "mmm-yy"), TEXT([2]GASOLINE!$B$5:$B$208, "mmm-yy"), [2]GASOLINE!$IR$5:$IR$208, "Not Found")</f>
        <v>127.68835648933327</v>
      </c>
      <c r="K1863" cm="1">
        <f t="array" ref="K1863">_xlfn.XLOOKUP(TEXT(A1863, "mmm-yy"), TEXT([2]GASOLINE!$B$5:$B$208, "mmm-yy"), [2]GASOLINE!$IK$5:$IK$208, "Not Found")</f>
        <v>200.24389582278721</v>
      </c>
      <c r="L1863">
        <f t="shared" si="29"/>
        <v>0</v>
      </c>
      <c r="M1863" cm="1">
        <f t="array" ref="M1863">_xlfn.XLOOKUP(TEXT(A1863, "mmm-yy"), TEXT([2]GASOLINE!$B$5:$B$208, "mmm-yy"), [2]GASOLINE!$C$5:$C$208, "Not Found")</f>
        <v>7328.0209714517787</v>
      </c>
      <c r="N1863" cm="1">
        <f t="array" ref="N1863">_xlfn.XLOOKUP(TEXT(A1863, "mmm-yy"), TEXT([2]RUNS!$B$5:$B$208, "mmm-yy"), [2]RUNS!$BM$5:$BM$208, "Not Found")</f>
        <v>0.83326273175046994</v>
      </c>
    </row>
    <row r="1864" spans="1:14" x14ac:dyDescent="0.25">
      <c r="A1864" s="1">
        <f>'[1]Global_Spot Prices'!$B3173</f>
        <v>44613</v>
      </c>
      <c r="B1864">
        <f>_xlfn.XLOOKUP(A1864,'[1]Global_Spot Prices'!$B:$B,'[1]Global_Spot Prices'!$BS:$BS)</f>
        <v>15.14</v>
      </c>
      <c r="C1864">
        <f>_xlfn.XLOOKUP(A1864,'[1]Global_Spot Prices'!$B:$B,'[1]Global_Spot Prices'!$E:$E)</f>
        <v>91.69</v>
      </c>
      <c r="D1864">
        <f>_xlfn.XLOOKUP(A1864,'[1]Global_Spot Prices'!$B:$B,'[1]Global_Spot Prices'!$D:$D)</f>
        <v>98.98</v>
      </c>
      <c r="E1864">
        <f>_xlfn.XLOOKUP(A1864,'[1]Global_Spot Prices'!$B:$B,'[1]Global_Spot Prices'!$H:$H)</f>
        <v>94.11</v>
      </c>
      <c r="F1864">
        <f>_xlfn.XLOOKUP(A1864,'[1]Global_Spot Prices'!$B:$B,'[1]Global_Spot Prices'!$I:$I)</f>
        <v>106.83</v>
      </c>
      <c r="G1864" cm="1">
        <f t="array" ref="G1864">_xlfn.XLOOKUP(TEXT(A1864, "mmm-yy"), TEXT([2]RUNS!$B$5:$B$208, "mmm-yy"), [2]RUNS!$D$5:$D$208, "Not Found")</f>
        <v>30414.839645350734</v>
      </c>
      <c r="H1864" cm="1">
        <f t="array" ref="H1864">SUMPRODUCT(
    --(TEXT('[3]Global Weekly Stock (EWSuez'!$B$4:$B$2000,"mmm-yy")=TEXT(A1864,"mmm-yy")),
    '[3]Global Weekly Stock (EWSuez'!$E$4:$E$2000)
/
SUMPRODUCT(
    --(TEXT('[3]Global Weekly Stock (EWSuez'!$B$4:$B$2000,"mmm-yy")=TEXT(A1864,"mmm-yy"))
)</f>
        <v>14163</v>
      </c>
      <c r="I1864">
        <f>_xlfn.XLOOKUP(A1864,[1]ForwardDeriv!$D:$D,[1]ForwardDeriv!$AJ:$AJ)</f>
        <v>1.8499999999999943</v>
      </c>
      <c r="J1864" cm="1">
        <f t="array" ref="J1864">_xlfn.XLOOKUP(TEXT(A1864, "mmm-yy"), TEXT([2]GASOLINE!$B$5:$B$208, "mmm-yy"), [2]GASOLINE!$IR$5:$IR$208, "Not Found")</f>
        <v>127.68835648933327</v>
      </c>
      <c r="K1864" cm="1">
        <f t="array" ref="K1864">_xlfn.XLOOKUP(TEXT(A1864, "mmm-yy"), TEXT([2]GASOLINE!$B$5:$B$208, "mmm-yy"), [2]GASOLINE!$IK$5:$IK$208, "Not Found")</f>
        <v>200.24389582278721</v>
      </c>
      <c r="L1864">
        <f t="shared" si="29"/>
        <v>0</v>
      </c>
      <c r="M1864" cm="1">
        <f t="array" ref="M1864">_xlfn.XLOOKUP(TEXT(A1864, "mmm-yy"), TEXT([2]GASOLINE!$B$5:$B$208, "mmm-yy"), [2]GASOLINE!$C$5:$C$208, "Not Found")</f>
        <v>7328.0209714517787</v>
      </c>
      <c r="N1864" cm="1">
        <f t="array" ref="N1864">_xlfn.XLOOKUP(TEXT(A1864, "mmm-yy"), TEXT([2]RUNS!$B$5:$B$208, "mmm-yy"), [2]RUNS!$BM$5:$BM$208, "Not Found")</f>
        <v>0.83326273175046994</v>
      </c>
    </row>
    <row r="1865" spans="1:14" x14ac:dyDescent="0.25">
      <c r="A1865" s="1">
        <f>'[1]Global_Spot Prices'!$B3174</f>
        <v>44614</v>
      </c>
      <c r="B1865">
        <f>_xlfn.XLOOKUP(A1865,'[1]Global_Spot Prices'!$B:$B,'[1]Global_Spot Prices'!$BS:$BS)</f>
        <v>15.730000000000004</v>
      </c>
      <c r="C1865">
        <f>_xlfn.XLOOKUP(A1865,'[1]Global_Spot Prices'!$B:$B,'[1]Global_Spot Prices'!$E:$E)</f>
        <v>95.96</v>
      </c>
      <c r="D1865">
        <f>_xlfn.XLOOKUP(A1865,'[1]Global_Spot Prices'!$B:$B,'[1]Global_Spot Prices'!$D:$D)</f>
        <v>100.33499999999999</v>
      </c>
      <c r="E1865">
        <f>_xlfn.XLOOKUP(A1865,'[1]Global_Spot Prices'!$B:$B,'[1]Global_Spot Prices'!$H:$H)</f>
        <v>98.87</v>
      </c>
      <c r="F1865">
        <f>_xlfn.XLOOKUP(A1865,'[1]Global_Spot Prices'!$B:$B,'[1]Global_Spot Prices'!$I:$I)</f>
        <v>111.69</v>
      </c>
      <c r="G1865" cm="1">
        <f t="array" ref="G1865">_xlfn.XLOOKUP(TEXT(A1865, "mmm-yy"), TEXT([2]RUNS!$B$5:$B$208, "mmm-yy"), [2]RUNS!$D$5:$D$208, "Not Found")</f>
        <v>30414.839645350734</v>
      </c>
      <c r="H1865" cm="1">
        <f t="array" ref="H1865">SUMPRODUCT(
    --(TEXT('[3]Global Weekly Stock (EWSuez'!$B$4:$B$2000,"mmm-yy")=TEXT(A1865,"mmm-yy")),
    '[3]Global Weekly Stock (EWSuez'!$E$4:$E$2000)
/
SUMPRODUCT(
    --(TEXT('[3]Global Weekly Stock (EWSuez'!$B$4:$B$2000,"mmm-yy")=TEXT(A1865,"mmm-yy"))
)</f>
        <v>14163</v>
      </c>
      <c r="I1865">
        <f>_xlfn.XLOOKUP(A1865,[1]ForwardDeriv!$D:$D,[1]ForwardDeriv!$AJ:$AJ)</f>
        <v>1.9500000000000028</v>
      </c>
      <c r="J1865" cm="1">
        <f t="array" ref="J1865">_xlfn.XLOOKUP(TEXT(A1865, "mmm-yy"), TEXT([2]GASOLINE!$B$5:$B$208, "mmm-yy"), [2]GASOLINE!$IR$5:$IR$208, "Not Found")</f>
        <v>127.68835648933327</v>
      </c>
      <c r="K1865" cm="1">
        <f t="array" ref="K1865">_xlfn.XLOOKUP(TEXT(A1865, "mmm-yy"), TEXT([2]GASOLINE!$B$5:$B$208, "mmm-yy"), [2]GASOLINE!$IK$5:$IK$208, "Not Found")</f>
        <v>200.24389582278721</v>
      </c>
      <c r="L1865">
        <f t="shared" si="29"/>
        <v>0</v>
      </c>
      <c r="M1865" cm="1">
        <f t="array" ref="M1865">_xlfn.XLOOKUP(TEXT(A1865, "mmm-yy"), TEXT([2]GASOLINE!$B$5:$B$208, "mmm-yy"), [2]GASOLINE!$C$5:$C$208, "Not Found")</f>
        <v>7328.0209714517787</v>
      </c>
      <c r="N1865" cm="1">
        <f t="array" ref="N1865">_xlfn.XLOOKUP(TEXT(A1865, "mmm-yy"), TEXT([2]RUNS!$B$5:$B$208, "mmm-yy"), [2]RUNS!$BM$5:$BM$208, "Not Found")</f>
        <v>0.83326273175046994</v>
      </c>
    </row>
    <row r="1866" spans="1:14" x14ac:dyDescent="0.25">
      <c r="A1866" s="1">
        <f>'[1]Global_Spot Prices'!$B3175</f>
        <v>44615</v>
      </c>
      <c r="B1866">
        <f>_xlfn.XLOOKUP(A1866,'[1]Global_Spot Prices'!$B:$B,'[1]Global_Spot Prices'!$BS:$BS)</f>
        <v>15.724999999999994</v>
      </c>
      <c r="C1866">
        <f>_xlfn.XLOOKUP(A1866,'[1]Global_Spot Prices'!$B:$B,'[1]Global_Spot Prices'!$E:$E)</f>
        <v>93.605000000000004</v>
      </c>
      <c r="D1866">
        <f>_xlfn.XLOOKUP(A1866,'[1]Global_Spot Prices'!$B:$B,'[1]Global_Spot Prices'!$D:$D)</f>
        <v>100.485</v>
      </c>
      <c r="E1866">
        <f>_xlfn.XLOOKUP(A1866,'[1]Global_Spot Prices'!$B:$B,'[1]Global_Spot Prices'!$H:$H)</f>
        <v>96.65</v>
      </c>
      <c r="F1866">
        <f>_xlfn.XLOOKUP(A1866,'[1]Global_Spot Prices'!$B:$B,'[1]Global_Spot Prices'!$I:$I)</f>
        <v>109.33</v>
      </c>
      <c r="G1866" cm="1">
        <f t="array" ref="G1866">_xlfn.XLOOKUP(TEXT(A1866, "mmm-yy"), TEXT([2]RUNS!$B$5:$B$208, "mmm-yy"), [2]RUNS!$D$5:$D$208, "Not Found")</f>
        <v>30414.839645350734</v>
      </c>
      <c r="H1866" cm="1">
        <f t="array" ref="H1866">SUMPRODUCT(
    --(TEXT('[3]Global Weekly Stock (EWSuez'!$B$4:$B$2000,"mmm-yy")=TEXT(A1866,"mmm-yy")),
    '[3]Global Weekly Stock (EWSuez'!$E$4:$E$2000)
/
SUMPRODUCT(
    --(TEXT('[3]Global Weekly Stock (EWSuez'!$B$4:$B$2000,"mmm-yy")=TEXT(A1866,"mmm-yy"))
)</f>
        <v>14163</v>
      </c>
      <c r="I1866">
        <f>_xlfn.XLOOKUP(A1866,[1]ForwardDeriv!$D:$D,[1]ForwardDeriv!$AJ:$AJ)</f>
        <v>1.8599999999999994</v>
      </c>
      <c r="J1866" cm="1">
        <f t="array" ref="J1866">_xlfn.XLOOKUP(TEXT(A1866, "mmm-yy"), TEXT([2]GASOLINE!$B$5:$B$208, "mmm-yy"), [2]GASOLINE!$IR$5:$IR$208, "Not Found")</f>
        <v>127.68835648933327</v>
      </c>
      <c r="K1866" cm="1">
        <f t="array" ref="K1866">_xlfn.XLOOKUP(TEXT(A1866, "mmm-yy"), TEXT([2]GASOLINE!$B$5:$B$208, "mmm-yy"), [2]GASOLINE!$IK$5:$IK$208, "Not Found")</f>
        <v>200.24389582278721</v>
      </c>
      <c r="L1866">
        <f t="shared" si="29"/>
        <v>0</v>
      </c>
      <c r="M1866" cm="1">
        <f t="array" ref="M1866">_xlfn.XLOOKUP(TEXT(A1866, "mmm-yy"), TEXT([2]GASOLINE!$B$5:$B$208, "mmm-yy"), [2]GASOLINE!$C$5:$C$208, "Not Found")</f>
        <v>7328.0209714517787</v>
      </c>
      <c r="N1866" cm="1">
        <f t="array" ref="N1866">_xlfn.XLOOKUP(TEXT(A1866, "mmm-yy"), TEXT([2]RUNS!$B$5:$B$208, "mmm-yy"), [2]RUNS!$BM$5:$BM$208, "Not Found")</f>
        <v>0.83326273175046994</v>
      </c>
    </row>
    <row r="1867" spans="1:14" x14ac:dyDescent="0.25">
      <c r="A1867" s="1">
        <f>'[1]Global_Spot Prices'!$B3176</f>
        <v>44616</v>
      </c>
      <c r="B1867">
        <f>_xlfn.XLOOKUP(A1867,'[1]Global_Spot Prices'!$B:$B,'[1]Global_Spot Prices'!$BS:$BS)</f>
        <v>15.690000000000012</v>
      </c>
      <c r="C1867">
        <f>_xlfn.XLOOKUP(A1867,'[1]Global_Spot Prices'!$B:$B,'[1]Global_Spot Prices'!$E:$E)</f>
        <v>98.6</v>
      </c>
      <c r="D1867">
        <f>_xlfn.XLOOKUP(A1867,'[1]Global_Spot Prices'!$B:$B,'[1]Global_Spot Prices'!$D:$D)</f>
        <v>106.52</v>
      </c>
      <c r="E1867">
        <f>_xlfn.XLOOKUP(A1867,'[1]Global_Spot Prices'!$B:$B,'[1]Global_Spot Prices'!$H:$H)</f>
        <v>102.67</v>
      </c>
      <c r="F1867">
        <f>_xlfn.XLOOKUP(A1867,'[1]Global_Spot Prices'!$B:$B,'[1]Global_Spot Prices'!$I:$I)</f>
        <v>114.29</v>
      </c>
      <c r="G1867" cm="1">
        <f t="array" ref="G1867">_xlfn.XLOOKUP(TEXT(A1867, "mmm-yy"), TEXT([2]RUNS!$B$5:$B$208, "mmm-yy"), [2]RUNS!$D$5:$D$208, "Not Found")</f>
        <v>30414.839645350734</v>
      </c>
      <c r="H1867" cm="1">
        <f t="array" ref="H1867">SUMPRODUCT(
    --(TEXT('[3]Global Weekly Stock (EWSuez'!$B$4:$B$2000,"mmm-yy")=TEXT(A1867,"mmm-yy")),
    '[3]Global Weekly Stock (EWSuez'!$E$4:$E$2000)
/
SUMPRODUCT(
    --(TEXT('[3]Global Weekly Stock (EWSuez'!$B$4:$B$2000,"mmm-yy")=TEXT(A1867,"mmm-yy"))
)</f>
        <v>14163</v>
      </c>
      <c r="I1867">
        <f>_xlfn.XLOOKUP(A1867,[1]ForwardDeriv!$D:$D,[1]ForwardDeriv!$AJ:$AJ)</f>
        <v>1.9899999999999949</v>
      </c>
      <c r="J1867" cm="1">
        <f t="array" ref="J1867">_xlfn.XLOOKUP(TEXT(A1867, "mmm-yy"), TEXT([2]GASOLINE!$B$5:$B$208, "mmm-yy"), [2]GASOLINE!$IR$5:$IR$208, "Not Found")</f>
        <v>127.68835648933327</v>
      </c>
      <c r="K1867" cm="1">
        <f t="array" ref="K1867">_xlfn.XLOOKUP(TEXT(A1867, "mmm-yy"), TEXT([2]GASOLINE!$B$5:$B$208, "mmm-yy"), [2]GASOLINE!$IK$5:$IK$208, "Not Found")</f>
        <v>200.24389582278721</v>
      </c>
      <c r="L1867">
        <f t="shared" si="29"/>
        <v>0</v>
      </c>
      <c r="M1867" cm="1">
        <f t="array" ref="M1867">_xlfn.XLOOKUP(TEXT(A1867, "mmm-yy"), TEXT([2]GASOLINE!$B$5:$B$208, "mmm-yy"), [2]GASOLINE!$C$5:$C$208, "Not Found")</f>
        <v>7328.0209714517787</v>
      </c>
      <c r="N1867" cm="1">
        <f t="array" ref="N1867">_xlfn.XLOOKUP(TEXT(A1867, "mmm-yy"), TEXT([2]RUNS!$B$5:$B$208, "mmm-yy"), [2]RUNS!$BM$5:$BM$208, "Not Found")</f>
        <v>0.83326273175046994</v>
      </c>
    </row>
    <row r="1868" spans="1:14" x14ac:dyDescent="0.25">
      <c r="A1868" s="1">
        <f>'[1]Global_Spot Prices'!$B3177</f>
        <v>44617</v>
      </c>
      <c r="B1868">
        <f>_xlfn.XLOOKUP(A1868,'[1]Global_Spot Prices'!$B:$B,'[1]Global_Spot Prices'!$BS:$BS)</f>
        <v>16.86</v>
      </c>
      <c r="C1868">
        <f>_xlfn.XLOOKUP(A1868,'[1]Global_Spot Prices'!$B:$B,'[1]Global_Spot Prices'!$E:$E)</f>
        <v>95.81</v>
      </c>
      <c r="D1868">
        <f>_xlfn.XLOOKUP(A1868,'[1]Global_Spot Prices'!$B:$B,'[1]Global_Spot Prices'!$D:$D)</f>
        <v>99.5</v>
      </c>
      <c r="E1868">
        <f>_xlfn.XLOOKUP(A1868,'[1]Global_Spot Prices'!$B:$B,'[1]Global_Spot Prices'!$H:$H)</f>
        <v>101.37</v>
      </c>
      <c r="F1868">
        <f>_xlfn.XLOOKUP(A1868,'[1]Global_Spot Prices'!$B:$B,'[1]Global_Spot Prices'!$I:$I)</f>
        <v>112.67</v>
      </c>
      <c r="G1868" cm="1">
        <f t="array" ref="G1868">_xlfn.XLOOKUP(TEXT(A1868, "mmm-yy"), TEXT([2]RUNS!$B$5:$B$208, "mmm-yy"), [2]RUNS!$D$5:$D$208, "Not Found")</f>
        <v>30414.839645350734</v>
      </c>
      <c r="H1868" cm="1">
        <f t="array" ref="H1868">SUMPRODUCT(
    --(TEXT('[3]Global Weekly Stock (EWSuez'!$B$4:$B$2000,"mmm-yy")=TEXT(A1868,"mmm-yy")),
    '[3]Global Weekly Stock (EWSuez'!$E$4:$E$2000)
/
SUMPRODUCT(
    --(TEXT('[3]Global Weekly Stock (EWSuez'!$B$4:$B$2000,"mmm-yy")=TEXT(A1868,"mmm-yy"))
)</f>
        <v>14163</v>
      </c>
      <c r="I1868">
        <f>_xlfn.XLOOKUP(A1868,[1]ForwardDeriv!$D:$D,[1]ForwardDeriv!$AJ:$AJ)</f>
        <v>2.0999999999999943</v>
      </c>
      <c r="J1868" cm="1">
        <f t="array" ref="J1868">_xlfn.XLOOKUP(TEXT(A1868, "mmm-yy"), TEXT([2]GASOLINE!$B$5:$B$208, "mmm-yy"), [2]GASOLINE!$IR$5:$IR$208, "Not Found")</f>
        <v>127.68835648933327</v>
      </c>
      <c r="K1868" cm="1">
        <f t="array" ref="K1868">_xlfn.XLOOKUP(TEXT(A1868, "mmm-yy"), TEXT([2]GASOLINE!$B$5:$B$208, "mmm-yy"), [2]GASOLINE!$IK$5:$IK$208, "Not Found")</f>
        <v>200.24389582278721</v>
      </c>
      <c r="L1868">
        <f t="shared" si="29"/>
        <v>0</v>
      </c>
      <c r="M1868" cm="1">
        <f t="array" ref="M1868">_xlfn.XLOOKUP(TEXT(A1868, "mmm-yy"), TEXT([2]GASOLINE!$B$5:$B$208, "mmm-yy"), [2]GASOLINE!$C$5:$C$208, "Not Found")</f>
        <v>7328.0209714517787</v>
      </c>
      <c r="N1868" cm="1">
        <f t="array" ref="N1868">_xlfn.XLOOKUP(TEXT(A1868, "mmm-yy"), TEXT([2]RUNS!$B$5:$B$208, "mmm-yy"), [2]RUNS!$BM$5:$BM$208, "Not Found")</f>
        <v>0.83326273175046994</v>
      </c>
    </row>
    <row r="1869" spans="1:14" x14ac:dyDescent="0.25">
      <c r="A1869" s="1">
        <f>'[1]Global_Spot Prices'!$B3178</f>
        <v>44620</v>
      </c>
      <c r="B1869">
        <f>_xlfn.XLOOKUP(A1869,'[1]Global_Spot Prices'!$B:$B,'[1]Global_Spot Prices'!$BS:$BS)</f>
        <v>16.465000000000003</v>
      </c>
      <c r="C1869">
        <f>_xlfn.XLOOKUP(A1869,'[1]Global_Spot Prices'!$B:$B,'[1]Global_Spot Prices'!$E:$E)</f>
        <v>96.795000000000002</v>
      </c>
      <c r="D1869">
        <f>_xlfn.XLOOKUP(A1869,'[1]Global_Spot Prices'!$B:$B,'[1]Global_Spot Prices'!$D:$D)</f>
        <v>103.2</v>
      </c>
      <c r="E1869">
        <f>_xlfn.XLOOKUP(A1869,'[1]Global_Spot Prices'!$B:$B,'[1]Global_Spot Prices'!$H:$H)</f>
        <v>102.33</v>
      </c>
      <c r="F1869">
        <f>_xlfn.XLOOKUP(A1869,'[1]Global_Spot Prices'!$B:$B,'[1]Global_Spot Prices'!$I:$I)</f>
        <v>113.26</v>
      </c>
      <c r="G1869" cm="1">
        <f t="array" ref="G1869">_xlfn.XLOOKUP(TEXT(A1869, "mmm-yy"), TEXT([2]RUNS!$B$5:$B$208, "mmm-yy"), [2]RUNS!$D$5:$D$208, "Not Found")</f>
        <v>30414.839645350734</v>
      </c>
      <c r="H1869" cm="1">
        <f t="array" ref="H1869">SUMPRODUCT(
    --(TEXT('[3]Global Weekly Stock (EWSuez'!$B$4:$B$2000,"mmm-yy")=TEXT(A1869,"mmm-yy")),
    '[3]Global Weekly Stock (EWSuez'!$E$4:$E$2000)
/
SUMPRODUCT(
    --(TEXT('[3]Global Weekly Stock (EWSuez'!$B$4:$B$2000,"mmm-yy")=TEXT(A1869,"mmm-yy"))
)</f>
        <v>14163</v>
      </c>
      <c r="I1869">
        <f>_xlfn.XLOOKUP(A1869,[1]ForwardDeriv!$D:$D,[1]ForwardDeriv!$AJ:$AJ)</f>
        <v>2.4500000000000028</v>
      </c>
      <c r="J1869" cm="1">
        <f t="array" ref="J1869">_xlfn.XLOOKUP(TEXT(A1869, "mmm-yy"), TEXT([2]GASOLINE!$B$5:$B$208, "mmm-yy"), [2]GASOLINE!$IR$5:$IR$208, "Not Found")</f>
        <v>127.68835648933327</v>
      </c>
      <c r="K1869" cm="1">
        <f t="array" ref="K1869">_xlfn.XLOOKUP(TEXT(A1869, "mmm-yy"), TEXT([2]GASOLINE!$B$5:$B$208, "mmm-yy"), [2]GASOLINE!$IK$5:$IK$208, "Not Found")</f>
        <v>200.24389582278721</v>
      </c>
      <c r="L1869">
        <f t="shared" si="29"/>
        <v>0</v>
      </c>
      <c r="M1869" cm="1">
        <f t="array" ref="M1869">_xlfn.XLOOKUP(TEXT(A1869, "mmm-yy"), TEXT([2]GASOLINE!$B$5:$B$208, "mmm-yy"), [2]GASOLINE!$C$5:$C$208, "Not Found")</f>
        <v>7328.0209714517787</v>
      </c>
      <c r="N1869" cm="1">
        <f t="array" ref="N1869">_xlfn.XLOOKUP(TEXT(A1869, "mmm-yy"), TEXT([2]RUNS!$B$5:$B$208, "mmm-yy"), [2]RUNS!$BM$5:$BM$208, "Not Found")</f>
        <v>0.83326273175046994</v>
      </c>
    </row>
    <row r="1870" spans="1:14" x14ac:dyDescent="0.25">
      <c r="A1870" s="1">
        <f>'[1]Global_Spot Prices'!$B3179</f>
        <v>44621</v>
      </c>
      <c r="B1870">
        <f>_xlfn.XLOOKUP(A1870,'[1]Global_Spot Prices'!$B:$B,'[1]Global_Spot Prices'!$BS:$BS)</f>
        <v>15.700000000000003</v>
      </c>
      <c r="C1870">
        <f>_xlfn.XLOOKUP(A1870,'[1]Global_Spot Prices'!$B:$B,'[1]Global_Spot Prices'!$E:$E)</f>
        <v>98.66</v>
      </c>
      <c r="D1870">
        <f>_xlfn.XLOOKUP(A1870,'[1]Global_Spot Prices'!$B:$B,'[1]Global_Spot Prices'!$D:$D)</f>
        <v>112.92</v>
      </c>
      <c r="E1870">
        <f>_xlfn.XLOOKUP(A1870,'[1]Global_Spot Prices'!$B:$B,'[1]Global_Spot Prices'!$H:$H)</f>
        <v>106.87</v>
      </c>
      <c r="F1870">
        <f>_xlfn.XLOOKUP(A1870,'[1]Global_Spot Prices'!$B:$B,'[1]Global_Spot Prices'!$I:$I)</f>
        <v>114.36</v>
      </c>
      <c r="G1870" cm="1">
        <f t="array" ref="G1870">_xlfn.XLOOKUP(TEXT(A1870, "mmm-yy"), TEXT([2]RUNS!$B$5:$B$208, "mmm-yy"), [2]RUNS!$D$5:$D$208, "Not Found")</f>
        <v>29960.188821346386</v>
      </c>
      <c r="H1870" cm="1">
        <f t="array" ref="H1870">SUMPRODUCT(
    --(TEXT('[3]Global Weekly Stock (EWSuez'!$B$4:$B$2000,"mmm-yy")=TEXT(A1870,"mmm-yy")),
    '[3]Global Weekly Stock (EWSuez'!$E$4:$E$2000)
/
SUMPRODUCT(
    --(TEXT('[3]Global Weekly Stock (EWSuez'!$B$4:$B$2000,"mmm-yy")=TEXT(A1870,"mmm-yy"))
)</f>
        <v>14100.5</v>
      </c>
      <c r="I1870">
        <f>_xlfn.XLOOKUP(A1870,[1]ForwardDeriv!$D:$D,[1]ForwardDeriv!$AJ:$AJ)</f>
        <v>2.4200000000000017</v>
      </c>
      <c r="J1870" cm="1">
        <f t="array" ref="J1870">_xlfn.XLOOKUP(TEXT(A1870, "mmm-yy"), TEXT([2]GASOLINE!$B$5:$B$208, "mmm-yy"), [2]GASOLINE!$IR$5:$IR$208, "Not Found")</f>
        <v>50.569439136203243</v>
      </c>
      <c r="K1870" cm="1">
        <f t="array" ref="K1870">_xlfn.XLOOKUP(TEXT(A1870, "mmm-yy"), TEXT([2]GASOLINE!$B$5:$B$208, "mmm-yy"), [2]GASOLINE!$IK$5:$IK$208, "Not Found")</f>
        <v>205.15239596476988</v>
      </c>
      <c r="L1870">
        <f t="shared" si="29"/>
        <v>0</v>
      </c>
      <c r="M1870" cm="1">
        <f t="array" ref="M1870">_xlfn.XLOOKUP(TEXT(A1870, "mmm-yy"), TEXT([2]GASOLINE!$B$5:$B$208, "mmm-yy"), [2]GASOLINE!$C$5:$C$208, "Not Found")</f>
        <v>7455.1556085184839</v>
      </c>
      <c r="N1870" cm="1">
        <f t="array" ref="N1870">_xlfn.XLOOKUP(TEXT(A1870, "mmm-yy"), TEXT([2]RUNS!$B$5:$B$208, "mmm-yy"), [2]RUNS!$BM$5:$BM$208, "Not Found")</f>
        <v>0.82080685192273006</v>
      </c>
    </row>
    <row r="1871" spans="1:14" x14ac:dyDescent="0.25">
      <c r="A1871" s="1">
        <f>'[1]Global_Spot Prices'!$B3180</f>
        <v>44622</v>
      </c>
      <c r="B1871">
        <f>_xlfn.XLOOKUP(A1871,'[1]Global_Spot Prices'!$B:$B,'[1]Global_Spot Prices'!$BS:$BS)</f>
        <v>12.689999999999998</v>
      </c>
      <c r="C1871">
        <f>_xlfn.XLOOKUP(A1871,'[1]Global_Spot Prices'!$B:$B,'[1]Global_Spot Prices'!$E:$E)</f>
        <v>110.01</v>
      </c>
      <c r="D1871">
        <f>_xlfn.XLOOKUP(A1871,'[1]Global_Spot Prices'!$B:$B,'[1]Global_Spot Prices'!$D:$D)</f>
        <v>117.3</v>
      </c>
      <c r="E1871">
        <f>_xlfn.XLOOKUP(A1871,'[1]Global_Spot Prices'!$B:$B,'[1]Global_Spot Prices'!$H:$H)</f>
        <v>120.45</v>
      </c>
      <c r="F1871">
        <f>_xlfn.XLOOKUP(A1871,'[1]Global_Spot Prices'!$B:$B,'[1]Global_Spot Prices'!$I:$I)</f>
        <v>122.7</v>
      </c>
      <c r="G1871" cm="1">
        <f t="array" ref="G1871">_xlfn.XLOOKUP(TEXT(A1871, "mmm-yy"), TEXT([2]RUNS!$B$5:$B$208, "mmm-yy"), [2]RUNS!$D$5:$D$208, "Not Found")</f>
        <v>29960.188821346386</v>
      </c>
      <c r="H1871" cm="1">
        <f t="array" ref="H1871">SUMPRODUCT(
    --(TEXT('[3]Global Weekly Stock (EWSuez'!$B$4:$B$2000,"mmm-yy")=TEXT(A1871,"mmm-yy")),
    '[3]Global Weekly Stock (EWSuez'!$E$4:$E$2000)
/
SUMPRODUCT(
    --(TEXT('[3]Global Weekly Stock (EWSuez'!$B$4:$B$2000,"mmm-yy")=TEXT(A1871,"mmm-yy"))
)</f>
        <v>14100.5</v>
      </c>
      <c r="I1871">
        <f>_xlfn.XLOOKUP(A1871,[1]ForwardDeriv!$D:$D,[1]ForwardDeriv!$AJ:$AJ)</f>
        <v>3.1999999999999886</v>
      </c>
      <c r="J1871" cm="1">
        <f t="array" ref="J1871">_xlfn.XLOOKUP(TEXT(A1871, "mmm-yy"), TEXT([2]GASOLINE!$B$5:$B$208, "mmm-yy"), [2]GASOLINE!$IR$5:$IR$208, "Not Found")</f>
        <v>50.569439136203243</v>
      </c>
      <c r="K1871" cm="1">
        <f t="array" ref="K1871">_xlfn.XLOOKUP(TEXT(A1871, "mmm-yy"), TEXT([2]GASOLINE!$B$5:$B$208, "mmm-yy"), [2]GASOLINE!$IK$5:$IK$208, "Not Found")</f>
        <v>205.15239596476988</v>
      </c>
      <c r="L1871">
        <f t="shared" si="29"/>
        <v>0</v>
      </c>
      <c r="M1871" cm="1">
        <f t="array" ref="M1871">_xlfn.XLOOKUP(TEXT(A1871, "mmm-yy"), TEXT([2]GASOLINE!$B$5:$B$208, "mmm-yy"), [2]GASOLINE!$C$5:$C$208, "Not Found")</f>
        <v>7455.1556085184839</v>
      </c>
      <c r="N1871" cm="1">
        <f t="array" ref="N1871">_xlfn.XLOOKUP(TEXT(A1871, "mmm-yy"), TEXT([2]RUNS!$B$5:$B$208, "mmm-yy"), [2]RUNS!$BM$5:$BM$208, "Not Found")</f>
        <v>0.82080685192273006</v>
      </c>
    </row>
    <row r="1872" spans="1:14" x14ac:dyDescent="0.25">
      <c r="A1872" s="1">
        <f>'[1]Global_Spot Prices'!$B3181</f>
        <v>44623</v>
      </c>
      <c r="B1872">
        <f>_xlfn.XLOOKUP(A1872,'[1]Global_Spot Prices'!$B:$B,'[1]Global_Spot Prices'!$BS:$BS)</f>
        <v>13.919999999999987</v>
      </c>
      <c r="C1872">
        <f>_xlfn.XLOOKUP(A1872,'[1]Global_Spot Prices'!$B:$B,'[1]Global_Spot Prices'!$E:$E)</f>
        <v>116.59</v>
      </c>
      <c r="D1872">
        <f>_xlfn.XLOOKUP(A1872,'[1]Global_Spot Prices'!$B:$B,'[1]Global_Spot Prices'!$D:$D)</f>
        <v>119.80500000000001</v>
      </c>
      <c r="E1872">
        <f>_xlfn.XLOOKUP(A1872,'[1]Global_Spot Prices'!$B:$B,'[1]Global_Spot Prices'!$H:$H)</f>
        <v>125.87</v>
      </c>
      <c r="F1872">
        <f>_xlfn.XLOOKUP(A1872,'[1]Global_Spot Prices'!$B:$B,'[1]Global_Spot Prices'!$I:$I)</f>
        <v>130.51</v>
      </c>
      <c r="G1872" cm="1">
        <f t="array" ref="G1872">_xlfn.XLOOKUP(TEXT(A1872, "mmm-yy"), TEXT([2]RUNS!$B$5:$B$208, "mmm-yy"), [2]RUNS!$D$5:$D$208, "Not Found")</f>
        <v>29960.188821346386</v>
      </c>
      <c r="H1872" cm="1">
        <f t="array" ref="H1872">SUMPRODUCT(
    --(TEXT('[3]Global Weekly Stock (EWSuez'!$B$4:$B$2000,"mmm-yy")=TEXT(A1872,"mmm-yy")),
    '[3]Global Weekly Stock (EWSuez'!$E$4:$E$2000)
/
SUMPRODUCT(
    --(TEXT('[3]Global Weekly Stock (EWSuez'!$B$4:$B$2000,"mmm-yy")=TEXT(A1872,"mmm-yy"))
)</f>
        <v>14100.5</v>
      </c>
      <c r="I1872">
        <f>_xlfn.XLOOKUP(A1872,[1]ForwardDeriv!$D:$D,[1]ForwardDeriv!$AJ:$AJ)</f>
        <v>3.6400000000000006</v>
      </c>
      <c r="J1872" cm="1">
        <f t="array" ref="J1872">_xlfn.XLOOKUP(TEXT(A1872, "mmm-yy"), TEXT([2]GASOLINE!$B$5:$B$208, "mmm-yy"), [2]GASOLINE!$IR$5:$IR$208, "Not Found")</f>
        <v>50.569439136203243</v>
      </c>
      <c r="K1872" cm="1">
        <f t="array" ref="K1872">_xlfn.XLOOKUP(TEXT(A1872, "mmm-yy"), TEXT([2]GASOLINE!$B$5:$B$208, "mmm-yy"), [2]GASOLINE!$IK$5:$IK$208, "Not Found")</f>
        <v>205.15239596476988</v>
      </c>
      <c r="L1872">
        <f t="shared" si="29"/>
        <v>0</v>
      </c>
      <c r="M1872" cm="1">
        <f t="array" ref="M1872">_xlfn.XLOOKUP(TEXT(A1872, "mmm-yy"), TEXT([2]GASOLINE!$B$5:$B$208, "mmm-yy"), [2]GASOLINE!$C$5:$C$208, "Not Found")</f>
        <v>7455.1556085184839</v>
      </c>
      <c r="N1872" cm="1">
        <f t="array" ref="N1872">_xlfn.XLOOKUP(TEXT(A1872, "mmm-yy"), TEXT([2]RUNS!$B$5:$B$208, "mmm-yy"), [2]RUNS!$BM$5:$BM$208, "Not Found")</f>
        <v>0.82080685192273006</v>
      </c>
    </row>
    <row r="1873" spans="1:14" x14ac:dyDescent="0.25">
      <c r="A1873" s="1">
        <f>'[1]Global_Spot Prices'!$B3182</f>
        <v>44624</v>
      </c>
      <c r="B1873">
        <f>_xlfn.XLOOKUP(A1873,'[1]Global_Spot Prices'!$B:$B,'[1]Global_Spot Prices'!$BS:$BS)</f>
        <v>15.13000000000001</v>
      </c>
      <c r="C1873">
        <f>_xlfn.XLOOKUP(A1873,'[1]Global_Spot Prices'!$B:$B,'[1]Global_Spot Prices'!$E:$E)</f>
        <v>108.8</v>
      </c>
      <c r="D1873">
        <f>_xlfn.XLOOKUP(A1873,'[1]Global_Spot Prices'!$B:$B,'[1]Global_Spot Prices'!$D:$D)</f>
        <v>120.23</v>
      </c>
      <c r="E1873">
        <f>_xlfn.XLOOKUP(A1873,'[1]Global_Spot Prices'!$B:$B,'[1]Global_Spot Prices'!$H:$H)</f>
        <v>115.45</v>
      </c>
      <c r="F1873">
        <f>_xlfn.XLOOKUP(A1873,'[1]Global_Spot Prices'!$B:$B,'[1]Global_Spot Prices'!$I:$I)</f>
        <v>123.93</v>
      </c>
      <c r="G1873" cm="1">
        <f t="array" ref="G1873">_xlfn.XLOOKUP(TEXT(A1873, "mmm-yy"), TEXT([2]RUNS!$B$5:$B$208, "mmm-yy"), [2]RUNS!$D$5:$D$208, "Not Found")</f>
        <v>29960.188821346386</v>
      </c>
      <c r="H1873" cm="1">
        <f t="array" ref="H1873">SUMPRODUCT(
    --(TEXT('[3]Global Weekly Stock (EWSuez'!$B$4:$B$2000,"mmm-yy")=TEXT(A1873,"mmm-yy")),
    '[3]Global Weekly Stock (EWSuez'!$E$4:$E$2000)
/
SUMPRODUCT(
    --(TEXT('[3]Global Weekly Stock (EWSuez'!$B$4:$B$2000,"mmm-yy")=TEXT(A1873,"mmm-yy"))
)</f>
        <v>14100.5</v>
      </c>
      <c r="I1873">
        <f>_xlfn.XLOOKUP(A1873,[1]ForwardDeriv!$D:$D,[1]ForwardDeriv!$AJ:$AJ)</f>
        <v>2.75</v>
      </c>
      <c r="J1873" cm="1">
        <f t="array" ref="J1873">_xlfn.XLOOKUP(TEXT(A1873, "mmm-yy"), TEXT([2]GASOLINE!$B$5:$B$208, "mmm-yy"), [2]GASOLINE!$IR$5:$IR$208, "Not Found")</f>
        <v>50.569439136203243</v>
      </c>
      <c r="K1873" cm="1">
        <f t="array" ref="K1873">_xlfn.XLOOKUP(TEXT(A1873, "mmm-yy"), TEXT([2]GASOLINE!$B$5:$B$208, "mmm-yy"), [2]GASOLINE!$IK$5:$IK$208, "Not Found")</f>
        <v>205.15239596476988</v>
      </c>
      <c r="L1873">
        <f t="shared" si="29"/>
        <v>0</v>
      </c>
      <c r="M1873" cm="1">
        <f t="array" ref="M1873">_xlfn.XLOOKUP(TEXT(A1873, "mmm-yy"), TEXT([2]GASOLINE!$B$5:$B$208, "mmm-yy"), [2]GASOLINE!$C$5:$C$208, "Not Found")</f>
        <v>7455.1556085184839</v>
      </c>
      <c r="N1873" cm="1">
        <f t="array" ref="N1873">_xlfn.XLOOKUP(TEXT(A1873, "mmm-yy"), TEXT([2]RUNS!$B$5:$B$208, "mmm-yy"), [2]RUNS!$BM$5:$BM$208, "Not Found")</f>
        <v>0.82080685192273006</v>
      </c>
    </row>
    <row r="1874" spans="1:14" x14ac:dyDescent="0.25">
      <c r="A1874" s="1">
        <f>'[1]Global_Spot Prices'!$B3183</f>
        <v>44627</v>
      </c>
      <c r="B1874">
        <f>_xlfn.XLOOKUP(A1874,'[1]Global_Spot Prices'!$B:$B,'[1]Global_Spot Prices'!$BS:$BS)</f>
        <v>16.859999999999985</v>
      </c>
      <c r="C1874">
        <f>_xlfn.XLOOKUP(A1874,'[1]Global_Spot Prices'!$B:$B,'[1]Global_Spot Prices'!$E:$E)</f>
        <v>125.15</v>
      </c>
      <c r="D1874">
        <f>_xlfn.XLOOKUP(A1874,'[1]Global_Spot Prices'!$B:$B,'[1]Global_Spot Prices'!$D:$D)</f>
        <v>130.04499999999999</v>
      </c>
      <c r="E1874">
        <f>_xlfn.XLOOKUP(A1874,'[1]Global_Spot Prices'!$B:$B,'[1]Global_Spot Prices'!$H:$H)</f>
        <v>128.61000000000001</v>
      </c>
      <c r="F1874">
        <f>_xlfn.XLOOKUP(A1874,'[1]Global_Spot Prices'!$B:$B,'[1]Global_Spot Prices'!$I:$I)</f>
        <v>142.01</v>
      </c>
      <c r="G1874" cm="1">
        <f t="array" ref="G1874">_xlfn.XLOOKUP(TEXT(A1874, "mmm-yy"), TEXT([2]RUNS!$B$5:$B$208, "mmm-yy"), [2]RUNS!$D$5:$D$208, "Not Found")</f>
        <v>29960.188821346386</v>
      </c>
      <c r="H1874" cm="1">
        <f t="array" ref="H1874">SUMPRODUCT(
    --(TEXT('[3]Global Weekly Stock (EWSuez'!$B$4:$B$2000,"mmm-yy")=TEXT(A1874,"mmm-yy")),
    '[3]Global Weekly Stock (EWSuez'!$E$4:$E$2000)
/
SUMPRODUCT(
    --(TEXT('[3]Global Weekly Stock (EWSuez'!$B$4:$B$2000,"mmm-yy")=TEXT(A1874,"mmm-yy"))
)</f>
        <v>14100.5</v>
      </c>
      <c r="I1874">
        <f>_xlfn.XLOOKUP(A1874,[1]ForwardDeriv!$D:$D,[1]ForwardDeriv!$AJ:$AJ)</f>
        <v>4.1699999999999875</v>
      </c>
      <c r="J1874" cm="1">
        <f t="array" ref="J1874">_xlfn.XLOOKUP(TEXT(A1874, "mmm-yy"), TEXT([2]GASOLINE!$B$5:$B$208, "mmm-yy"), [2]GASOLINE!$IR$5:$IR$208, "Not Found")</f>
        <v>50.569439136203243</v>
      </c>
      <c r="K1874" cm="1">
        <f t="array" ref="K1874">_xlfn.XLOOKUP(TEXT(A1874, "mmm-yy"), TEXT([2]GASOLINE!$B$5:$B$208, "mmm-yy"), [2]GASOLINE!$IK$5:$IK$208, "Not Found")</f>
        <v>205.15239596476988</v>
      </c>
      <c r="L1874">
        <f t="shared" si="29"/>
        <v>0</v>
      </c>
      <c r="M1874" cm="1">
        <f t="array" ref="M1874">_xlfn.XLOOKUP(TEXT(A1874, "mmm-yy"), TEXT([2]GASOLINE!$B$5:$B$208, "mmm-yy"), [2]GASOLINE!$C$5:$C$208, "Not Found")</f>
        <v>7455.1556085184839</v>
      </c>
      <c r="N1874" cm="1">
        <f t="array" ref="N1874">_xlfn.XLOOKUP(TEXT(A1874, "mmm-yy"), TEXT([2]RUNS!$B$5:$B$208, "mmm-yy"), [2]RUNS!$BM$5:$BM$208, "Not Found")</f>
        <v>0.82080685192273006</v>
      </c>
    </row>
    <row r="1875" spans="1:14" x14ac:dyDescent="0.25">
      <c r="A1875" s="1">
        <f>'[1]Global_Spot Prices'!$B3184</f>
        <v>44628</v>
      </c>
      <c r="B1875">
        <f>_xlfn.XLOOKUP(A1875,'[1]Global_Spot Prices'!$B:$B,'[1]Global_Spot Prices'!$BS:$BS)</f>
        <v>18.040000000000006</v>
      </c>
      <c r="C1875">
        <f>_xlfn.XLOOKUP(A1875,'[1]Global_Spot Prices'!$B:$B,'[1]Global_Spot Prices'!$E:$E)</f>
        <v>122.95</v>
      </c>
      <c r="D1875">
        <f>_xlfn.XLOOKUP(A1875,'[1]Global_Spot Prices'!$B:$B,'[1]Global_Spot Prices'!$D:$D)</f>
        <v>137.63999999999999</v>
      </c>
      <c r="E1875">
        <f>_xlfn.XLOOKUP(A1875,'[1]Global_Spot Prices'!$B:$B,'[1]Global_Spot Prices'!$H:$H)</f>
        <v>125.62</v>
      </c>
      <c r="F1875">
        <f>_xlfn.XLOOKUP(A1875,'[1]Global_Spot Prices'!$B:$B,'[1]Global_Spot Prices'!$I:$I)</f>
        <v>140.99</v>
      </c>
      <c r="G1875" cm="1">
        <f t="array" ref="G1875">_xlfn.XLOOKUP(TEXT(A1875, "mmm-yy"), TEXT([2]RUNS!$B$5:$B$208, "mmm-yy"), [2]RUNS!$D$5:$D$208, "Not Found")</f>
        <v>29960.188821346386</v>
      </c>
      <c r="H1875" cm="1">
        <f t="array" ref="H1875">SUMPRODUCT(
    --(TEXT('[3]Global Weekly Stock (EWSuez'!$B$4:$B$2000,"mmm-yy")=TEXT(A1875,"mmm-yy")),
    '[3]Global Weekly Stock (EWSuez'!$E$4:$E$2000)
/
SUMPRODUCT(
    --(TEXT('[3]Global Weekly Stock (EWSuez'!$B$4:$B$2000,"mmm-yy")=TEXT(A1875,"mmm-yy"))
)</f>
        <v>14100.5</v>
      </c>
      <c r="I1875">
        <f>_xlfn.XLOOKUP(A1875,[1]ForwardDeriv!$D:$D,[1]ForwardDeriv!$AJ:$AJ)</f>
        <v>4.75</v>
      </c>
      <c r="J1875" cm="1">
        <f t="array" ref="J1875">_xlfn.XLOOKUP(TEXT(A1875, "mmm-yy"), TEXT([2]GASOLINE!$B$5:$B$208, "mmm-yy"), [2]GASOLINE!$IR$5:$IR$208, "Not Found")</f>
        <v>50.569439136203243</v>
      </c>
      <c r="K1875" cm="1">
        <f t="array" ref="K1875">_xlfn.XLOOKUP(TEXT(A1875, "mmm-yy"), TEXT([2]GASOLINE!$B$5:$B$208, "mmm-yy"), [2]GASOLINE!$IK$5:$IK$208, "Not Found")</f>
        <v>205.15239596476988</v>
      </c>
      <c r="L1875">
        <f t="shared" si="29"/>
        <v>0</v>
      </c>
      <c r="M1875" cm="1">
        <f t="array" ref="M1875">_xlfn.XLOOKUP(TEXT(A1875, "mmm-yy"), TEXT([2]GASOLINE!$B$5:$B$208, "mmm-yy"), [2]GASOLINE!$C$5:$C$208, "Not Found")</f>
        <v>7455.1556085184839</v>
      </c>
      <c r="N1875" cm="1">
        <f t="array" ref="N1875">_xlfn.XLOOKUP(TEXT(A1875, "mmm-yy"), TEXT([2]RUNS!$B$5:$B$208, "mmm-yy"), [2]RUNS!$BM$5:$BM$208, "Not Found")</f>
        <v>0.82080685192273006</v>
      </c>
    </row>
    <row r="1876" spans="1:14" x14ac:dyDescent="0.25">
      <c r="A1876" s="1">
        <f>'[1]Global_Spot Prices'!$B3185</f>
        <v>44629</v>
      </c>
      <c r="B1876">
        <f>_xlfn.XLOOKUP(A1876,'[1]Global_Spot Prices'!$B:$B,'[1]Global_Spot Prices'!$BS:$BS)</f>
        <v>22.03</v>
      </c>
      <c r="C1876">
        <f>_xlfn.XLOOKUP(A1876,'[1]Global_Spot Prices'!$B:$B,'[1]Global_Spot Prices'!$E:$E)</f>
        <v>127.81</v>
      </c>
      <c r="D1876">
        <f>_xlfn.XLOOKUP(A1876,'[1]Global_Spot Prices'!$B:$B,'[1]Global_Spot Prices'!$D:$D)</f>
        <v>129.51499999999999</v>
      </c>
      <c r="E1876">
        <f>_xlfn.XLOOKUP(A1876,'[1]Global_Spot Prices'!$B:$B,'[1]Global_Spot Prices'!$H:$H)</f>
        <v>129.08000000000001</v>
      </c>
      <c r="F1876">
        <f>_xlfn.XLOOKUP(A1876,'[1]Global_Spot Prices'!$B:$B,'[1]Global_Spot Prices'!$I:$I)</f>
        <v>149.84</v>
      </c>
      <c r="G1876" cm="1">
        <f t="array" ref="G1876">_xlfn.XLOOKUP(TEXT(A1876, "mmm-yy"), TEXT([2]RUNS!$B$5:$B$208, "mmm-yy"), [2]RUNS!$D$5:$D$208, "Not Found")</f>
        <v>29960.188821346386</v>
      </c>
      <c r="H1876" cm="1">
        <f t="array" ref="H1876">SUMPRODUCT(
    --(TEXT('[3]Global Weekly Stock (EWSuez'!$B$4:$B$2000,"mmm-yy")=TEXT(A1876,"mmm-yy")),
    '[3]Global Weekly Stock (EWSuez'!$E$4:$E$2000)
/
SUMPRODUCT(
    --(TEXT('[3]Global Weekly Stock (EWSuez'!$B$4:$B$2000,"mmm-yy")=TEXT(A1876,"mmm-yy"))
)</f>
        <v>14100.5</v>
      </c>
      <c r="I1876">
        <f>_xlfn.XLOOKUP(A1876,[1]ForwardDeriv!$D:$D,[1]ForwardDeriv!$AJ:$AJ)</f>
        <v>7</v>
      </c>
      <c r="J1876" cm="1">
        <f t="array" ref="J1876">_xlfn.XLOOKUP(TEXT(A1876, "mmm-yy"), TEXT([2]GASOLINE!$B$5:$B$208, "mmm-yy"), [2]GASOLINE!$IR$5:$IR$208, "Not Found")</f>
        <v>50.569439136203243</v>
      </c>
      <c r="K1876" cm="1">
        <f t="array" ref="K1876">_xlfn.XLOOKUP(TEXT(A1876, "mmm-yy"), TEXT([2]GASOLINE!$B$5:$B$208, "mmm-yy"), [2]GASOLINE!$IK$5:$IK$208, "Not Found")</f>
        <v>205.15239596476988</v>
      </c>
      <c r="L1876">
        <f t="shared" si="29"/>
        <v>0</v>
      </c>
      <c r="M1876" cm="1">
        <f t="array" ref="M1876">_xlfn.XLOOKUP(TEXT(A1876, "mmm-yy"), TEXT([2]GASOLINE!$B$5:$B$208, "mmm-yy"), [2]GASOLINE!$C$5:$C$208, "Not Found")</f>
        <v>7455.1556085184839</v>
      </c>
      <c r="N1876" cm="1">
        <f t="array" ref="N1876">_xlfn.XLOOKUP(TEXT(A1876, "mmm-yy"), TEXT([2]RUNS!$B$5:$B$208, "mmm-yy"), [2]RUNS!$BM$5:$BM$208, "Not Found")</f>
        <v>0.82080685192273006</v>
      </c>
    </row>
    <row r="1877" spans="1:14" x14ac:dyDescent="0.25">
      <c r="A1877" s="1">
        <f>'[1]Global_Spot Prices'!$B3186</f>
        <v>44630</v>
      </c>
      <c r="B1877">
        <f>_xlfn.XLOOKUP(A1877,'[1]Global_Spot Prices'!$B:$B,'[1]Global_Spot Prices'!$BS:$BS)</f>
        <v>18.36999999999999</v>
      </c>
      <c r="C1877">
        <f>_xlfn.XLOOKUP(A1877,'[1]Global_Spot Prices'!$B:$B,'[1]Global_Spot Prices'!$E:$E)</f>
        <v>115.3</v>
      </c>
      <c r="D1877">
        <f>_xlfn.XLOOKUP(A1877,'[1]Global_Spot Prices'!$B:$B,'[1]Global_Spot Prices'!$D:$D)</f>
        <v>121.105</v>
      </c>
      <c r="E1877">
        <f>_xlfn.XLOOKUP(A1877,'[1]Global_Spot Prices'!$B:$B,'[1]Global_Spot Prices'!$H:$H)</f>
        <v>117.1</v>
      </c>
      <c r="F1877">
        <f>_xlfn.XLOOKUP(A1877,'[1]Global_Spot Prices'!$B:$B,'[1]Global_Spot Prices'!$I:$I)</f>
        <v>133.66999999999999</v>
      </c>
      <c r="G1877" cm="1">
        <f t="array" ref="G1877">_xlfn.XLOOKUP(TEXT(A1877, "mmm-yy"), TEXT([2]RUNS!$B$5:$B$208, "mmm-yy"), [2]RUNS!$D$5:$D$208, "Not Found")</f>
        <v>29960.188821346386</v>
      </c>
      <c r="H1877" cm="1">
        <f t="array" ref="H1877">SUMPRODUCT(
    --(TEXT('[3]Global Weekly Stock (EWSuez'!$B$4:$B$2000,"mmm-yy")=TEXT(A1877,"mmm-yy")),
    '[3]Global Weekly Stock (EWSuez'!$E$4:$E$2000)
/
SUMPRODUCT(
    --(TEXT('[3]Global Weekly Stock (EWSuez'!$B$4:$B$2000,"mmm-yy")=TEXT(A1877,"mmm-yy"))
)</f>
        <v>14100.5</v>
      </c>
      <c r="I1877">
        <f>_xlfn.XLOOKUP(A1877,[1]ForwardDeriv!$D:$D,[1]ForwardDeriv!$AJ:$AJ)</f>
        <v>5.3200000000000074</v>
      </c>
      <c r="J1877" cm="1">
        <f t="array" ref="J1877">_xlfn.XLOOKUP(TEXT(A1877, "mmm-yy"), TEXT([2]GASOLINE!$B$5:$B$208, "mmm-yy"), [2]GASOLINE!$IR$5:$IR$208, "Not Found")</f>
        <v>50.569439136203243</v>
      </c>
      <c r="K1877" cm="1">
        <f t="array" ref="K1877">_xlfn.XLOOKUP(TEXT(A1877, "mmm-yy"), TEXT([2]GASOLINE!$B$5:$B$208, "mmm-yy"), [2]GASOLINE!$IK$5:$IK$208, "Not Found")</f>
        <v>205.15239596476988</v>
      </c>
      <c r="L1877">
        <f t="shared" si="29"/>
        <v>0</v>
      </c>
      <c r="M1877" cm="1">
        <f t="array" ref="M1877">_xlfn.XLOOKUP(TEXT(A1877, "mmm-yy"), TEXT([2]GASOLINE!$B$5:$B$208, "mmm-yy"), [2]GASOLINE!$C$5:$C$208, "Not Found")</f>
        <v>7455.1556085184839</v>
      </c>
      <c r="N1877" cm="1">
        <f t="array" ref="N1877">_xlfn.XLOOKUP(TEXT(A1877, "mmm-yy"), TEXT([2]RUNS!$B$5:$B$208, "mmm-yy"), [2]RUNS!$BM$5:$BM$208, "Not Found")</f>
        <v>0.82080685192273006</v>
      </c>
    </row>
    <row r="1878" spans="1:14" x14ac:dyDescent="0.25">
      <c r="A1878" s="1">
        <f>'[1]Global_Spot Prices'!$B3187</f>
        <v>44631</v>
      </c>
      <c r="B1878">
        <f>_xlfn.XLOOKUP(A1878,'[1]Global_Spot Prices'!$B:$B,'[1]Global_Spot Prices'!$BS:$BS)</f>
        <v>14.965000000000003</v>
      </c>
      <c r="C1878">
        <f>_xlfn.XLOOKUP(A1878,'[1]Global_Spot Prices'!$B:$B,'[1]Global_Spot Prices'!$E:$E)</f>
        <v>110.505</v>
      </c>
      <c r="D1878">
        <f>_xlfn.XLOOKUP(A1878,'[1]Global_Spot Prices'!$B:$B,'[1]Global_Spot Prices'!$D:$D)</f>
        <v>118.97499999999999</v>
      </c>
      <c r="E1878">
        <f>_xlfn.XLOOKUP(A1878,'[1]Global_Spot Prices'!$B:$B,'[1]Global_Spot Prices'!$H:$H)</f>
        <v>112.1</v>
      </c>
      <c r="F1878">
        <f>_xlfn.XLOOKUP(A1878,'[1]Global_Spot Prices'!$B:$B,'[1]Global_Spot Prices'!$I:$I)</f>
        <v>125.47</v>
      </c>
      <c r="G1878" cm="1">
        <f t="array" ref="G1878">_xlfn.XLOOKUP(TEXT(A1878, "mmm-yy"), TEXT([2]RUNS!$B$5:$B$208, "mmm-yy"), [2]RUNS!$D$5:$D$208, "Not Found")</f>
        <v>29960.188821346386</v>
      </c>
      <c r="H1878" cm="1">
        <f t="array" ref="H1878">SUMPRODUCT(
    --(TEXT('[3]Global Weekly Stock (EWSuez'!$B$4:$B$2000,"mmm-yy")=TEXT(A1878,"mmm-yy")),
    '[3]Global Weekly Stock (EWSuez'!$E$4:$E$2000)
/
SUMPRODUCT(
    --(TEXT('[3]Global Weekly Stock (EWSuez'!$B$4:$B$2000,"mmm-yy")=TEXT(A1878,"mmm-yy"))
)</f>
        <v>14100.5</v>
      </c>
      <c r="I1878">
        <f>_xlfn.XLOOKUP(A1878,[1]ForwardDeriv!$D:$D,[1]ForwardDeriv!$AJ:$AJ)</f>
        <v>3.9599999999999937</v>
      </c>
      <c r="J1878" cm="1">
        <f t="array" ref="J1878">_xlfn.XLOOKUP(TEXT(A1878, "mmm-yy"), TEXT([2]GASOLINE!$B$5:$B$208, "mmm-yy"), [2]GASOLINE!$IR$5:$IR$208, "Not Found")</f>
        <v>50.569439136203243</v>
      </c>
      <c r="K1878" cm="1">
        <f t="array" ref="K1878">_xlfn.XLOOKUP(TEXT(A1878, "mmm-yy"), TEXT([2]GASOLINE!$B$5:$B$208, "mmm-yy"), [2]GASOLINE!$IK$5:$IK$208, "Not Found")</f>
        <v>205.15239596476988</v>
      </c>
      <c r="L1878">
        <f t="shared" si="29"/>
        <v>0</v>
      </c>
      <c r="M1878" cm="1">
        <f t="array" ref="M1878">_xlfn.XLOOKUP(TEXT(A1878, "mmm-yy"), TEXT([2]GASOLINE!$B$5:$B$208, "mmm-yy"), [2]GASOLINE!$C$5:$C$208, "Not Found")</f>
        <v>7455.1556085184839</v>
      </c>
      <c r="N1878" cm="1">
        <f t="array" ref="N1878">_xlfn.XLOOKUP(TEXT(A1878, "mmm-yy"), TEXT([2]RUNS!$B$5:$B$208, "mmm-yy"), [2]RUNS!$BM$5:$BM$208, "Not Found")</f>
        <v>0.82080685192273006</v>
      </c>
    </row>
    <row r="1879" spans="1:14" x14ac:dyDescent="0.25">
      <c r="A1879" s="1">
        <f>'[1]Global_Spot Prices'!$B3188</f>
        <v>44634</v>
      </c>
      <c r="B1879">
        <f>_xlfn.XLOOKUP(A1879,'[1]Global_Spot Prices'!$B:$B,'[1]Global_Spot Prices'!$BS:$BS)</f>
        <v>15.564999999999998</v>
      </c>
      <c r="C1879">
        <f>_xlfn.XLOOKUP(A1879,'[1]Global_Spot Prices'!$B:$B,'[1]Global_Spot Prices'!$E:$E)</f>
        <v>109.845</v>
      </c>
      <c r="D1879">
        <f>_xlfn.XLOOKUP(A1879,'[1]Global_Spot Prices'!$B:$B,'[1]Global_Spot Prices'!$D:$D)</f>
        <v>111.625</v>
      </c>
      <c r="E1879">
        <f>_xlfn.XLOOKUP(A1879,'[1]Global_Spot Prices'!$B:$B,'[1]Global_Spot Prices'!$H:$H)</f>
        <v>111.2</v>
      </c>
      <c r="F1879">
        <f>_xlfn.XLOOKUP(A1879,'[1]Global_Spot Prices'!$B:$B,'[1]Global_Spot Prices'!$I:$I)</f>
        <v>125.41</v>
      </c>
      <c r="G1879" cm="1">
        <f t="array" ref="G1879">_xlfn.XLOOKUP(TEXT(A1879, "mmm-yy"), TEXT([2]RUNS!$B$5:$B$208, "mmm-yy"), [2]RUNS!$D$5:$D$208, "Not Found")</f>
        <v>29960.188821346386</v>
      </c>
      <c r="H1879" cm="1">
        <f t="array" ref="H1879">SUMPRODUCT(
    --(TEXT('[3]Global Weekly Stock (EWSuez'!$B$4:$B$2000,"mmm-yy")=TEXT(A1879,"mmm-yy")),
    '[3]Global Weekly Stock (EWSuez'!$E$4:$E$2000)
/
SUMPRODUCT(
    --(TEXT('[3]Global Weekly Stock (EWSuez'!$B$4:$B$2000,"mmm-yy")=TEXT(A1879,"mmm-yy"))
)</f>
        <v>14100.5</v>
      </c>
      <c r="I1879">
        <f>_xlfn.XLOOKUP(A1879,[1]ForwardDeriv!$D:$D,[1]ForwardDeriv!$AJ:$AJ)</f>
        <v>3.7999999999999972</v>
      </c>
      <c r="J1879" cm="1">
        <f t="array" ref="J1879">_xlfn.XLOOKUP(TEXT(A1879, "mmm-yy"), TEXT([2]GASOLINE!$B$5:$B$208, "mmm-yy"), [2]GASOLINE!$IR$5:$IR$208, "Not Found")</f>
        <v>50.569439136203243</v>
      </c>
      <c r="K1879" cm="1">
        <f t="array" ref="K1879">_xlfn.XLOOKUP(TEXT(A1879, "mmm-yy"), TEXT([2]GASOLINE!$B$5:$B$208, "mmm-yy"), [2]GASOLINE!$IK$5:$IK$208, "Not Found")</f>
        <v>205.15239596476988</v>
      </c>
      <c r="L1879">
        <f t="shared" si="29"/>
        <v>0</v>
      </c>
      <c r="M1879" cm="1">
        <f t="array" ref="M1879">_xlfn.XLOOKUP(TEXT(A1879, "mmm-yy"), TEXT([2]GASOLINE!$B$5:$B$208, "mmm-yy"), [2]GASOLINE!$C$5:$C$208, "Not Found")</f>
        <v>7455.1556085184839</v>
      </c>
      <c r="N1879" cm="1">
        <f t="array" ref="N1879">_xlfn.XLOOKUP(TEXT(A1879, "mmm-yy"), TEXT([2]RUNS!$B$5:$B$208, "mmm-yy"), [2]RUNS!$BM$5:$BM$208, "Not Found")</f>
        <v>0.82080685192273006</v>
      </c>
    </row>
    <row r="1880" spans="1:14" x14ac:dyDescent="0.25">
      <c r="A1880" s="1">
        <f>'[1]Global_Spot Prices'!$B3189</f>
        <v>44635</v>
      </c>
      <c r="B1880">
        <f>_xlfn.XLOOKUP(A1880,'[1]Global_Spot Prices'!$B:$B,'[1]Global_Spot Prices'!$BS:$BS)</f>
        <v>16</v>
      </c>
      <c r="C1880">
        <f>_xlfn.XLOOKUP(A1880,'[1]Global_Spot Prices'!$B:$B,'[1]Global_Spot Prices'!$E:$E)</f>
        <v>99.73</v>
      </c>
      <c r="D1880">
        <f>_xlfn.XLOOKUP(A1880,'[1]Global_Spot Prices'!$B:$B,'[1]Global_Spot Prices'!$D:$D)</f>
        <v>107.955</v>
      </c>
      <c r="E1880">
        <f>_xlfn.XLOOKUP(A1880,'[1]Global_Spot Prices'!$B:$B,'[1]Global_Spot Prices'!$H:$H)</f>
        <v>98.94</v>
      </c>
      <c r="F1880">
        <f>_xlfn.XLOOKUP(A1880,'[1]Global_Spot Prices'!$B:$B,'[1]Global_Spot Prices'!$I:$I)</f>
        <v>115.73</v>
      </c>
      <c r="G1880" cm="1">
        <f t="array" ref="G1880">_xlfn.XLOOKUP(TEXT(A1880, "mmm-yy"), TEXT([2]RUNS!$B$5:$B$208, "mmm-yy"), [2]RUNS!$D$5:$D$208, "Not Found")</f>
        <v>29960.188821346386</v>
      </c>
      <c r="H1880" cm="1">
        <f t="array" ref="H1880">SUMPRODUCT(
    --(TEXT('[3]Global Weekly Stock (EWSuez'!$B$4:$B$2000,"mmm-yy")=TEXT(A1880,"mmm-yy")),
    '[3]Global Weekly Stock (EWSuez'!$E$4:$E$2000)
/
SUMPRODUCT(
    --(TEXT('[3]Global Weekly Stock (EWSuez'!$B$4:$B$2000,"mmm-yy")=TEXT(A1880,"mmm-yy"))
)</f>
        <v>14100.5</v>
      </c>
      <c r="I1880">
        <f>_xlfn.XLOOKUP(A1880,[1]ForwardDeriv!$D:$D,[1]ForwardDeriv!$AJ:$AJ)</f>
        <v>3.3999999999999915</v>
      </c>
      <c r="J1880" cm="1">
        <f t="array" ref="J1880">_xlfn.XLOOKUP(TEXT(A1880, "mmm-yy"), TEXT([2]GASOLINE!$B$5:$B$208, "mmm-yy"), [2]GASOLINE!$IR$5:$IR$208, "Not Found")</f>
        <v>50.569439136203243</v>
      </c>
      <c r="K1880" cm="1">
        <f t="array" ref="K1880">_xlfn.XLOOKUP(TEXT(A1880, "mmm-yy"), TEXT([2]GASOLINE!$B$5:$B$208, "mmm-yy"), [2]GASOLINE!$IK$5:$IK$208, "Not Found")</f>
        <v>205.15239596476988</v>
      </c>
      <c r="L1880">
        <f t="shared" si="29"/>
        <v>0</v>
      </c>
      <c r="M1880" cm="1">
        <f t="array" ref="M1880">_xlfn.XLOOKUP(TEXT(A1880, "mmm-yy"), TEXT([2]GASOLINE!$B$5:$B$208, "mmm-yy"), [2]GASOLINE!$C$5:$C$208, "Not Found")</f>
        <v>7455.1556085184839</v>
      </c>
      <c r="N1880" cm="1">
        <f t="array" ref="N1880">_xlfn.XLOOKUP(TEXT(A1880, "mmm-yy"), TEXT([2]RUNS!$B$5:$B$208, "mmm-yy"), [2]RUNS!$BM$5:$BM$208, "Not Found")</f>
        <v>0.82080685192273006</v>
      </c>
    </row>
    <row r="1881" spans="1:14" x14ac:dyDescent="0.25">
      <c r="A1881" s="1">
        <f>'[1]Global_Spot Prices'!$B3190</f>
        <v>44636</v>
      </c>
      <c r="B1881">
        <f>_xlfn.XLOOKUP(A1881,'[1]Global_Spot Prices'!$B:$B,'[1]Global_Spot Prices'!$BS:$BS)</f>
        <v>17.480000000000004</v>
      </c>
      <c r="C1881">
        <f>_xlfn.XLOOKUP(A1881,'[1]Global_Spot Prices'!$B:$B,'[1]Global_Spot Prices'!$E:$E)</f>
        <v>102.45</v>
      </c>
      <c r="D1881">
        <f>_xlfn.XLOOKUP(A1881,'[1]Global_Spot Prices'!$B:$B,'[1]Global_Spot Prices'!$D:$D)</f>
        <v>106.48</v>
      </c>
      <c r="E1881">
        <f>_xlfn.XLOOKUP(A1881,'[1]Global_Spot Prices'!$B:$B,'[1]Global_Spot Prices'!$H:$H)</f>
        <v>102.43</v>
      </c>
      <c r="F1881">
        <f>_xlfn.XLOOKUP(A1881,'[1]Global_Spot Prices'!$B:$B,'[1]Global_Spot Prices'!$I:$I)</f>
        <v>119.93</v>
      </c>
      <c r="G1881" cm="1">
        <f t="array" ref="G1881">_xlfn.XLOOKUP(TEXT(A1881, "mmm-yy"), TEXT([2]RUNS!$B$5:$B$208, "mmm-yy"), [2]RUNS!$D$5:$D$208, "Not Found")</f>
        <v>29960.188821346386</v>
      </c>
      <c r="H1881" cm="1">
        <f t="array" ref="H1881">SUMPRODUCT(
    --(TEXT('[3]Global Weekly Stock (EWSuez'!$B$4:$B$2000,"mmm-yy")=TEXT(A1881,"mmm-yy")),
    '[3]Global Weekly Stock (EWSuez'!$E$4:$E$2000)
/
SUMPRODUCT(
    --(TEXT('[3]Global Weekly Stock (EWSuez'!$B$4:$B$2000,"mmm-yy")=TEXT(A1881,"mmm-yy"))
)</f>
        <v>14100.5</v>
      </c>
      <c r="I1881">
        <f>_xlfn.XLOOKUP(A1881,[1]ForwardDeriv!$D:$D,[1]ForwardDeriv!$AJ:$AJ)</f>
        <v>3.9699999999999989</v>
      </c>
      <c r="J1881" cm="1">
        <f t="array" ref="J1881">_xlfn.XLOOKUP(TEXT(A1881, "mmm-yy"), TEXT([2]GASOLINE!$B$5:$B$208, "mmm-yy"), [2]GASOLINE!$IR$5:$IR$208, "Not Found")</f>
        <v>50.569439136203243</v>
      </c>
      <c r="K1881" cm="1">
        <f t="array" ref="K1881">_xlfn.XLOOKUP(TEXT(A1881, "mmm-yy"), TEXT([2]GASOLINE!$B$5:$B$208, "mmm-yy"), [2]GASOLINE!$IK$5:$IK$208, "Not Found")</f>
        <v>205.15239596476988</v>
      </c>
      <c r="L1881">
        <f t="shared" si="29"/>
        <v>0</v>
      </c>
      <c r="M1881" cm="1">
        <f t="array" ref="M1881">_xlfn.XLOOKUP(TEXT(A1881, "mmm-yy"), TEXT([2]GASOLINE!$B$5:$B$208, "mmm-yy"), [2]GASOLINE!$C$5:$C$208, "Not Found")</f>
        <v>7455.1556085184839</v>
      </c>
      <c r="N1881" cm="1">
        <f t="array" ref="N1881">_xlfn.XLOOKUP(TEXT(A1881, "mmm-yy"), TEXT([2]RUNS!$B$5:$B$208, "mmm-yy"), [2]RUNS!$BM$5:$BM$208, "Not Found")</f>
        <v>0.82080685192273006</v>
      </c>
    </row>
    <row r="1882" spans="1:14" x14ac:dyDescent="0.25">
      <c r="A1882" s="1">
        <f>'[1]Global_Spot Prices'!$B3191</f>
        <v>44637</v>
      </c>
      <c r="B1882">
        <f>_xlfn.XLOOKUP(A1882,'[1]Global_Spot Prices'!$B:$B,'[1]Global_Spot Prices'!$BS:$BS)</f>
        <v>18.89</v>
      </c>
      <c r="C1882">
        <f>_xlfn.XLOOKUP(A1882,'[1]Global_Spot Prices'!$B:$B,'[1]Global_Spot Prices'!$E:$E)</f>
        <v>100.8</v>
      </c>
      <c r="D1882">
        <f>_xlfn.XLOOKUP(A1882,'[1]Global_Spot Prices'!$B:$B,'[1]Global_Spot Prices'!$D:$D)</f>
        <v>113.71</v>
      </c>
      <c r="E1882">
        <f>_xlfn.XLOOKUP(A1882,'[1]Global_Spot Prices'!$B:$B,'[1]Global_Spot Prices'!$H:$H)</f>
        <v>100.06</v>
      </c>
      <c r="F1882">
        <f>_xlfn.XLOOKUP(A1882,'[1]Global_Spot Prices'!$B:$B,'[1]Global_Spot Prices'!$I:$I)</f>
        <v>119.69</v>
      </c>
      <c r="G1882" cm="1">
        <f t="array" ref="G1882">_xlfn.XLOOKUP(TEXT(A1882, "mmm-yy"), TEXT([2]RUNS!$B$5:$B$208, "mmm-yy"), [2]RUNS!$D$5:$D$208, "Not Found")</f>
        <v>29960.188821346386</v>
      </c>
      <c r="H1882" cm="1">
        <f t="array" ref="H1882">SUMPRODUCT(
    --(TEXT('[3]Global Weekly Stock (EWSuez'!$B$4:$B$2000,"mmm-yy")=TEXT(A1882,"mmm-yy")),
    '[3]Global Weekly Stock (EWSuez'!$E$4:$E$2000)
/
SUMPRODUCT(
    --(TEXT('[3]Global Weekly Stock (EWSuez'!$B$4:$B$2000,"mmm-yy")=TEXT(A1882,"mmm-yy"))
)</f>
        <v>14100.5</v>
      </c>
      <c r="I1882">
        <f>_xlfn.XLOOKUP(A1882,[1]ForwardDeriv!$D:$D,[1]ForwardDeriv!$AJ:$AJ)</f>
        <v>4.5</v>
      </c>
      <c r="J1882" cm="1">
        <f t="array" ref="J1882">_xlfn.XLOOKUP(TEXT(A1882, "mmm-yy"), TEXT([2]GASOLINE!$B$5:$B$208, "mmm-yy"), [2]GASOLINE!$IR$5:$IR$208, "Not Found")</f>
        <v>50.569439136203243</v>
      </c>
      <c r="K1882" cm="1">
        <f t="array" ref="K1882">_xlfn.XLOOKUP(TEXT(A1882, "mmm-yy"), TEXT([2]GASOLINE!$B$5:$B$208, "mmm-yy"), [2]GASOLINE!$IK$5:$IK$208, "Not Found")</f>
        <v>205.15239596476988</v>
      </c>
      <c r="L1882">
        <f t="shared" si="29"/>
        <v>0</v>
      </c>
      <c r="M1882" cm="1">
        <f t="array" ref="M1882">_xlfn.XLOOKUP(TEXT(A1882, "mmm-yy"), TEXT([2]GASOLINE!$B$5:$B$208, "mmm-yy"), [2]GASOLINE!$C$5:$C$208, "Not Found")</f>
        <v>7455.1556085184839</v>
      </c>
      <c r="N1882" cm="1">
        <f t="array" ref="N1882">_xlfn.XLOOKUP(TEXT(A1882, "mmm-yy"), TEXT([2]RUNS!$B$5:$B$208, "mmm-yy"), [2]RUNS!$BM$5:$BM$208, "Not Found")</f>
        <v>0.82080685192273006</v>
      </c>
    </row>
    <row r="1883" spans="1:14" x14ac:dyDescent="0.25">
      <c r="A1883" s="1">
        <f>'[1]Global_Spot Prices'!$B3192</f>
        <v>44638</v>
      </c>
      <c r="B1883">
        <f>_xlfn.XLOOKUP(A1883,'[1]Global_Spot Prices'!$B:$B,'[1]Global_Spot Prices'!$BS:$BS)</f>
        <v>18.634999999999991</v>
      </c>
      <c r="C1883">
        <f>_xlfn.XLOOKUP(A1883,'[1]Global_Spot Prices'!$B:$B,'[1]Global_Spot Prices'!$E:$E)</f>
        <v>106.605</v>
      </c>
      <c r="D1883">
        <f>_xlfn.XLOOKUP(A1883,'[1]Global_Spot Prices'!$B:$B,'[1]Global_Spot Prices'!$D:$D)</f>
        <v>113.27500000000001</v>
      </c>
      <c r="E1883">
        <f>_xlfn.XLOOKUP(A1883,'[1]Global_Spot Prices'!$B:$B,'[1]Global_Spot Prices'!$H:$H)</f>
        <v>103.58</v>
      </c>
      <c r="F1883">
        <f>_xlfn.XLOOKUP(A1883,'[1]Global_Spot Prices'!$B:$B,'[1]Global_Spot Prices'!$I:$I)</f>
        <v>125.24</v>
      </c>
      <c r="G1883" cm="1">
        <f t="array" ref="G1883">_xlfn.XLOOKUP(TEXT(A1883, "mmm-yy"), TEXT([2]RUNS!$B$5:$B$208, "mmm-yy"), [2]RUNS!$D$5:$D$208, "Not Found")</f>
        <v>29960.188821346386</v>
      </c>
      <c r="H1883" cm="1">
        <f t="array" ref="H1883">SUMPRODUCT(
    --(TEXT('[3]Global Weekly Stock (EWSuez'!$B$4:$B$2000,"mmm-yy")=TEXT(A1883,"mmm-yy")),
    '[3]Global Weekly Stock (EWSuez'!$E$4:$E$2000)
/
SUMPRODUCT(
    --(TEXT('[3]Global Weekly Stock (EWSuez'!$B$4:$B$2000,"mmm-yy")=TEXT(A1883,"mmm-yy"))
)</f>
        <v>14100.5</v>
      </c>
      <c r="I1883">
        <f>_xlfn.XLOOKUP(A1883,[1]ForwardDeriv!$D:$D,[1]ForwardDeriv!$AJ:$AJ)</f>
        <v>4.6500000000000057</v>
      </c>
      <c r="J1883" cm="1">
        <f t="array" ref="J1883">_xlfn.XLOOKUP(TEXT(A1883, "mmm-yy"), TEXT([2]GASOLINE!$B$5:$B$208, "mmm-yy"), [2]GASOLINE!$IR$5:$IR$208, "Not Found")</f>
        <v>50.569439136203243</v>
      </c>
      <c r="K1883" cm="1">
        <f t="array" ref="K1883">_xlfn.XLOOKUP(TEXT(A1883, "mmm-yy"), TEXT([2]GASOLINE!$B$5:$B$208, "mmm-yy"), [2]GASOLINE!$IK$5:$IK$208, "Not Found")</f>
        <v>205.15239596476988</v>
      </c>
      <c r="L1883">
        <f t="shared" si="29"/>
        <v>0</v>
      </c>
      <c r="M1883" cm="1">
        <f t="array" ref="M1883">_xlfn.XLOOKUP(TEXT(A1883, "mmm-yy"), TEXT([2]GASOLINE!$B$5:$B$208, "mmm-yy"), [2]GASOLINE!$C$5:$C$208, "Not Found")</f>
        <v>7455.1556085184839</v>
      </c>
      <c r="N1883" cm="1">
        <f t="array" ref="N1883">_xlfn.XLOOKUP(TEXT(A1883, "mmm-yy"), TEXT([2]RUNS!$B$5:$B$208, "mmm-yy"), [2]RUNS!$BM$5:$BM$208, "Not Found")</f>
        <v>0.82080685192273006</v>
      </c>
    </row>
    <row r="1884" spans="1:14" x14ac:dyDescent="0.25">
      <c r="A1884" s="1">
        <f>'[1]Global_Spot Prices'!$B3193</f>
        <v>44641</v>
      </c>
      <c r="B1884">
        <f>_xlfn.XLOOKUP(A1884,'[1]Global_Spot Prices'!$B:$B,'[1]Global_Spot Prices'!$BS:$BS)</f>
        <v>19.419999999999987</v>
      </c>
      <c r="C1884">
        <f>_xlfn.XLOOKUP(A1884,'[1]Global_Spot Prices'!$B:$B,'[1]Global_Spot Prices'!$E:$E)</f>
        <v>109.75</v>
      </c>
      <c r="D1884">
        <f>_xlfn.XLOOKUP(A1884,'[1]Global_Spot Prices'!$B:$B,'[1]Global_Spot Prices'!$D:$D)</f>
        <v>120.875</v>
      </c>
      <c r="E1884">
        <f>_xlfn.XLOOKUP(A1884,'[1]Global_Spot Prices'!$B:$B,'[1]Global_Spot Prices'!$H:$H)</f>
        <v>105.24</v>
      </c>
      <c r="F1884">
        <f>_xlfn.XLOOKUP(A1884,'[1]Global_Spot Prices'!$B:$B,'[1]Global_Spot Prices'!$I:$I)</f>
        <v>129.16999999999999</v>
      </c>
      <c r="G1884" cm="1">
        <f t="array" ref="G1884">_xlfn.XLOOKUP(TEXT(A1884, "mmm-yy"), TEXT([2]RUNS!$B$5:$B$208, "mmm-yy"), [2]RUNS!$D$5:$D$208, "Not Found")</f>
        <v>29960.188821346386</v>
      </c>
      <c r="H1884" cm="1">
        <f t="array" ref="H1884">SUMPRODUCT(
    --(TEXT('[3]Global Weekly Stock (EWSuez'!$B$4:$B$2000,"mmm-yy")=TEXT(A1884,"mmm-yy")),
    '[3]Global Weekly Stock (EWSuez'!$E$4:$E$2000)
/
SUMPRODUCT(
    --(TEXT('[3]Global Weekly Stock (EWSuez'!$B$4:$B$2000,"mmm-yy")=TEXT(A1884,"mmm-yy"))
)</f>
        <v>14100.5</v>
      </c>
      <c r="I1884">
        <f>_xlfn.XLOOKUP(A1884,[1]ForwardDeriv!$D:$D,[1]ForwardDeriv!$AJ:$AJ)</f>
        <v>4.6700000000000017</v>
      </c>
      <c r="J1884" cm="1">
        <f t="array" ref="J1884">_xlfn.XLOOKUP(TEXT(A1884, "mmm-yy"), TEXT([2]GASOLINE!$B$5:$B$208, "mmm-yy"), [2]GASOLINE!$IR$5:$IR$208, "Not Found")</f>
        <v>50.569439136203243</v>
      </c>
      <c r="K1884" cm="1">
        <f t="array" ref="K1884">_xlfn.XLOOKUP(TEXT(A1884, "mmm-yy"), TEXT([2]GASOLINE!$B$5:$B$208, "mmm-yy"), [2]GASOLINE!$IK$5:$IK$208, "Not Found")</f>
        <v>205.15239596476988</v>
      </c>
      <c r="L1884">
        <f t="shared" si="29"/>
        <v>0</v>
      </c>
      <c r="M1884" cm="1">
        <f t="array" ref="M1884">_xlfn.XLOOKUP(TEXT(A1884, "mmm-yy"), TEXT([2]GASOLINE!$B$5:$B$208, "mmm-yy"), [2]GASOLINE!$C$5:$C$208, "Not Found")</f>
        <v>7455.1556085184839</v>
      </c>
      <c r="N1884" cm="1">
        <f t="array" ref="N1884">_xlfn.XLOOKUP(TEXT(A1884, "mmm-yy"), TEXT([2]RUNS!$B$5:$B$208, "mmm-yy"), [2]RUNS!$BM$5:$BM$208, "Not Found")</f>
        <v>0.82080685192273006</v>
      </c>
    </row>
    <row r="1885" spans="1:14" x14ac:dyDescent="0.25">
      <c r="A1885" s="1">
        <f>'[1]Global_Spot Prices'!$B3194</f>
        <v>44642</v>
      </c>
      <c r="B1885">
        <f>_xlfn.XLOOKUP(A1885,'[1]Global_Spot Prices'!$B:$B,'[1]Global_Spot Prices'!$BS:$BS)</f>
        <v>18.120000000000005</v>
      </c>
      <c r="C1885">
        <f>_xlfn.XLOOKUP(A1885,'[1]Global_Spot Prices'!$B:$B,'[1]Global_Spot Prices'!$E:$E)</f>
        <v>111.15</v>
      </c>
      <c r="D1885">
        <f>_xlfn.XLOOKUP(A1885,'[1]Global_Spot Prices'!$B:$B,'[1]Global_Spot Prices'!$D:$D)</f>
        <v>120.33</v>
      </c>
      <c r="E1885">
        <f>_xlfn.XLOOKUP(A1885,'[1]Global_Spot Prices'!$B:$B,'[1]Global_Spot Prices'!$H:$H)</f>
        <v>105.2</v>
      </c>
      <c r="F1885">
        <f>_xlfn.XLOOKUP(A1885,'[1]Global_Spot Prices'!$B:$B,'[1]Global_Spot Prices'!$I:$I)</f>
        <v>129.27000000000001</v>
      </c>
      <c r="G1885" cm="1">
        <f t="array" ref="G1885">_xlfn.XLOOKUP(TEXT(A1885, "mmm-yy"), TEXT([2]RUNS!$B$5:$B$208, "mmm-yy"), [2]RUNS!$D$5:$D$208, "Not Found")</f>
        <v>29960.188821346386</v>
      </c>
      <c r="H1885" cm="1">
        <f t="array" ref="H1885">SUMPRODUCT(
    --(TEXT('[3]Global Weekly Stock (EWSuez'!$B$4:$B$2000,"mmm-yy")=TEXT(A1885,"mmm-yy")),
    '[3]Global Weekly Stock (EWSuez'!$E$4:$E$2000)
/
SUMPRODUCT(
    --(TEXT('[3]Global Weekly Stock (EWSuez'!$B$4:$B$2000,"mmm-yy")=TEXT(A1885,"mmm-yy"))
)</f>
        <v>14100.5</v>
      </c>
      <c r="I1885">
        <f>_xlfn.XLOOKUP(A1885,[1]ForwardDeriv!$D:$D,[1]ForwardDeriv!$AJ:$AJ)</f>
        <v>4.2999999999999972</v>
      </c>
      <c r="J1885" cm="1">
        <f t="array" ref="J1885">_xlfn.XLOOKUP(TEXT(A1885, "mmm-yy"), TEXT([2]GASOLINE!$B$5:$B$208, "mmm-yy"), [2]GASOLINE!$IR$5:$IR$208, "Not Found")</f>
        <v>50.569439136203243</v>
      </c>
      <c r="K1885" cm="1">
        <f t="array" ref="K1885">_xlfn.XLOOKUP(TEXT(A1885, "mmm-yy"), TEXT([2]GASOLINE!$B$5:$B$208, "mmm-yy"), [2]GASOLINE!$IK$5:$IK$208, "Not Found")</f>
        <v>205.15239596476988</v>
      </c>
      <c r="L1885">
        <f t="shared" si="29"/>
        <v>0</v>
      </c>
      <c r="M1885" cm="1">
        <f t="array" ref="M1885">_xlfn.XLOOKUP(TEXT(A1885, "mmm-yy"), TEXT([2]GASOLINE!$B$5:$B$208, "mmm-yy"), [2]GASOLINE!$C$5:$C$208, "Not Found")</f>
        <v>7455.1556085184839</v>
      </c>
      <c r="N1885" cm="1">
        <f t="array" ref="N1885">_xlfn.XLOOKUP(TEXT(A1885, "mmm-yy"), TEXT([2]RUNS!$B$5:$B$208, "mmm-yy"), [2]RUNS!$BM$5:$BM$208, "Not Found")</f>
        <v>0.82080685192273006</v>
      </c>
    </row>
    <row r="1886" spans="1:14" x14ac:dyDescent="0.25">
      <c r="A1886" s="1">
        <f>'[1]Global_Spot Prices'!$B3195</f>
        <v>44643</v>
      </c>
      <c r="B1886">
        <f>_xlfn.XLOOKUP(A1886,'[1]Global_Spot Prices'!$B:$B,'[1]Global_Spot Prices'!$BS:$BS)</f>
        <v>17.710000000000008</v>
      </c>
      <c r="C1886">
        <f>_xlfn.XLOOKUP(A1886,'[1]Global_Spot Prices'!$B:$B,'[1]Global_Spot Prices'!$E:$E)</f>
        <v>111.75</v>
      </c>
      <c r="D1886">
        <f>_xlfn.XLOOKUP(A1886,'[1]Global_Spot Prices'!$B:$B,'[1]Global_Spot Prices'!$D:$D)</f>
        <v>126.495</v>
      </c>
      <c r="E1886">
        <f>_xlfn.XLOOKUP(A1886,'[1]Global_Spot Prices'!$B:$B,'[1]Global_Spot Prices'!$H:$H)</f>
        <v>108.02</v>
      </c>
      <c r="F1886">
        <f>_xlfn.XLOOKUP(A1886,'[1]Global_Spot Prices'!$B:$B,'[1]Global_Spot Prices'!$I:$I)</f>
        <v>129.46</v>
      </c>
      <c r="G1886" cm="1">
        <f t="array" ref="G1886">_xlfn.XLOOKUP(TEXT(A1886, "mmm-yy"), TEXT([2]RUNS!$B$5:$B$208, "mmm-yy"), [2]RUNS!$D$5:$D$208, "Not Found")</f>
        <v>29960.188821346386</v>
      </c>
      <c r="H1886" cm="1">
        <f t="array" ref="H1886">SUMPRODUCT(
    --(TEXT('[3]Global Weekly Stock (EWSuez'!$B$4:$B$2000,"mmm-yy")=TEXT(A1886,"mmm-yy")),
    '[3]Global Weekly Stock (EWSuez'!$E$4:$E$2000)
/
SUMPRODUCT(
    --(TEXT('[3]Global Weekly Stock (EWSuez'!$B$4:$B$2000,"mmm-yy")=TEXT(A1886,"mmm-yy"))
)</f>
        <v>14100.5</v>
      </c>
      <c r="I1886">
        <f>_xlfn.XLOOKUP(A1886,[1]ForwardDeriv!$D:$D,[1]ForwardDeriv!$AJ:$AJ)</f>
        <v>3.7800000000000011</v>
      </c>
      <c r="J1886" cm="1">
        <f t="array" ref="J1886">_xlfn.XLOOKUP(TEXT(A1886, "mmm-yy"), TEXT([2]GASOLINE!$B$5:$B$208, "mmm-yy"), [2]GASOLINE!$IR$5:$IR$208, "Not Found")</f>
        <v>50.569439136203243</v>
      </c>
      <c r="K1886" cm="1">
        <f t="array" ref="K1886">_xlfn.XLOOKUP(TEXT(A1886, "mmm-yy"), TEXT([2]GASOLINE!$B$5:$B$208, "mmm-yy"), [2]GASOLINE!$IK$5:$IK$208, "Not Found")</f>
        <v>205.15239596476988</v>
      </c>
      <c r="L1886">
        <f t="shared" si="29"/>
        <v>0</v>
      </c>
      <c r="M1886" cm="1">
        <f t="array" ref="M1886">_xlfn.XLOOKUP(TEXT(A1886, "mmm-yy"), TEXT([2]GASOLINE!$B$5:$B$208, "mmm-yy"), [2]GASOLINE!$C$5:$C$208, "Not Found")</f>
        <v>7455.1556085184839</v>
      </c>
      <c r="N1886" cm="1">
        <f t="array" ref="N1886">_xlfn.XLOOKUP(TEXT(A1886, "mmm-yy"), TEXT([2]RUNS!$B$5:$B$208, "mmm-yy"), [2]RUNS!$BM$5:$BM$208, "Not Found")</f>
        <v>0.82080685192273006</v>
      </c>
    </row>
    <row r="1887" spans="1:14" x14ac:dyDescent="0.25">
      <c r="A1887" s="1">
        <f>'[1]Global_Spot Prices'!$B3196</f>
        <v>44644</v>
      </c>
      <c r="B1887">
        <f>_xlfn.XLOOKUP(A1887,'[1]Global_Spot Prices'!$B:$B,'[1]Global_Spot Prices'!$BS:$BS)</f>
        <v>16.760000000000005</v>
      </c>
      <c r="C1887">
        <f>_xlfn.XLOOKUP(A1887,'[1]Global_Spot Prices'!$B:$B,'[1]Global_Spot Prices'!$E:$E)</f>
        <v>115.55</v>
      </c>
      <c r="D1887">
        <f>_xlfn.XLOOKUP(A1887,'[1]Global_Spot Prices'!$B:$B,'[1]Global_Spot Prices'!$D:$D)</f>
        <v>124.04</v>
      </c>
      <c r="E1887">
        <f>_xlfn.XLOOKUP(A1887,'[1]Global_Spot Prices'!$B:$B,'[1]Global_Spot Prices'!$H:$H)</f>
        <v>109.68</v>
      </c>
      <c r="F1887">
        <f>_xlfn.XLOOKUP(A1887,'[1]Global_Spot Prices'!$B:$B,'[1]Global_Spot Prices'!$I:$I)</f>
        <v>132.31</v>
      </c>
      <c r="G1887" cm="1">
        <f t="array" ref="G1887">_xlfn.XLOOKUP(TEXT(A1887, "mmm-yy"), TEXT([2]RUNS!$B$5:$B$208, "mmm-yy"), [2]RUNS!$D$5:$D$208, "Not Found")</f>
        <v>29960.188821346386</v>
      </c>
      <c r="H1887" cm="1">
        <f t="array" ref="H1887">SUMPRODUCT(
    --(TEXT('[3]Global Weekly Stock (EWSuez'!$B$4:$B$2000,"mmm-yy")=TEXT(A1887,"mmm-yy")),
    '[3]Global Weekly Stock (EWSuez'!$E$4:$E$2000)
/
SUMPRODUCT(
    --(TEXT('[3]Global Weekly Stock (EWSuez'!$B$4:$B$2000,"mmm-yy")=TEXT(A1887,"mmm-yy"))
)</f>
        <v>14100.5</v>
      </c>
      <c r="I1887">
        <f>_xlfn.XLOOKUP(A1887,[1]ForwardDeriv!$D:$D,[1]ForwardDeriv!$AJ:$AJ)</f>
        <v>3.6299999999999812</v>
      </c>
      <c r="J1887" cm="1">
        <f t="array" ref="J1887">_xlfn.XLOOKUP(TEXT(A1887, "mmm-yy"), TEXT([2]GASOLINE!$B$5:$B$208, "mmm-yy"), [2]GASOLINE!$IR$5:$IR$208, "Not Found")</f>
        <v>50.569439136203243</v>
      </c>
      <c r="K1887" cm="1">
        <f t="array" ref="K1887">_xlfn.XLOOKUP(TEXT(A1887, "mmm-yy"), TEXT([2]GASOLINE!$B$5:$B$208, "mmm-yy"), [2]GASOLINE!$IK$5:$IK$208, "Not Found")</f>
        <v>205.15239596476988</v>
      </c>
      <c r="L1887">
        <f t="shared" si="29"/>
        <v>0</v>
      </c>
      <c r="M1887" cm="1">
        <f t="array" ref="M1887">_xlfn.XLOOKUP(TEXT(A1887, "mmm-yy"), TEXT([2]GASOLINE!$B$5:$B$208, "mmm-yy"), [2]GASOLINE!$C$5:$C$208, "Not Found")</f>
        <v>7455.1556085184839</v>
      </c>
      <c r="N1887" cm="1">
        <f t="array" ref="N1887">_xlfn.XLOOKUP(TEXT(A1887, "mmm-yy"), TEXT([2]RUNS!$B$5:$B$208, "mmm-yy"), [2]RUNS!$BM$5:$BM$208, "Not Found")</f>
        <v>0.82080685192273006</v>
      </c>
    </row>
    <row r="1888" spans="1:14" x14ac:dyDescent="0.25">
      <c r="A1888" s="1">
        <f>'[1]Global_Spot Prices'!$B3197</f>
        <v>44645</v>
      </c>
      <c r="B1888">
        <f>_xlfn.XLOOKUP(A1888,'[1]Global_Spot Prices'!$B:$B,'[1]Global_Spot Prices'!$BS:$BS)</f>
        <v>14.059999999999988</v>
      </c>
      <c r="C1888">
        <f>_xlfn.XLOOKUP(A1888,'[1]Global_Spot Prices'!$B:$B,'[1]Global_Spot Prices'!$E:$E)</f>
        <v>111.9</v>
      </c>
      <c r="D1888">
        <f>_xlfn.XLOOKUP(A1888,'[1]Global_Spot Prices'!$B:$B,'[1]Global_Spot Prices'!$D:$D)</f>
        <v>124.35</v>
      </c>
      <c r="E1888">
        <f>_xlfn.XLOOKUP(A1888,'[1]Global_Spot Prices'!$B:$B,'[1]Global_Spot Prices'!$H:$H)</f>
        <v>104.28</v>
      </c>
      <c r="F1888">
        <f>_xlfn.XLOOKUP(A1888,'[1]Global_Spot Prices'!$B:$B,'[1]Global_Spot Prices'!$I:$I)</f>
        <v>125.96</v>
      </c>
      <c r="G1888" cm="1">
        <f t="array" ref="G1888">_xlfn.XLOOKUP(TEXT(A1888, "mmm-yy"), TEXT([2]RUNS!$B$5:$B$208, "mmm-yy"), [2]RUNS!$D$5:$D$208, "Not Found")</f>
        <v>29960.188821346386</v>
      </c>
      <c r="H1888" cm="1">
        <f t="array" ref="H1888">SUMPRODUCT(
    --(TEXT('[3]Global Weekly Stock (EWSuez'!$B$4:$B$2000,"mmm-yy")=TEXT(A1888,"mmm-yy")),
    '[3]Global Weekly Stock (EWSuez'!$E$4:$E$2000)
/
SUMPRODUCT(
    --(TEXT('[3]Global Weekly Stock (EWSuez'!$B$4:$B$2000,"mmm-yy")=TEXT(A1888,"mmm-yy"))
)</f>
        <v>14100.5</v>
      </c>
      <c r="I1888">
        <f>_xlfn.XLOOKUP(A1888,[1]ForwardDeriv!$D:$D,[1]ForwardDeriv!$AJ:$AJ)</f>
        <v>2.8999999999999915</v>
      </c>
      <c r="J1888" cm="1">
        <f t="array" ref="J1888">_xlfn.XLOOKUP(TEXT(A1888, "mmm-yy"), TEXT([2]GASOLINE!$B$5:$B$208, "mmm-yy"), [2]GASOLINE!$IR$5:$IR$208, "Not Found")</f>
        <v>50.569439136203243</v>
      </c>
      <c r="K1888" cm="1">
        <f t="array" ref="K1888">_xlfn.XLOOKUP(TEXT(A1888, "mmm-yy"), TEXT([2]GASOLINE!$B$5:$B$208, "mmm-yy"), [2]GASOLINE!$IK$5:$IK$208, "Not Found")</f>
        <v>205.15239596476988</v>
      </c>
      <c r="L1888">
        <f t="shared" si="29"/>
        <v>0</v>
      </c>
      <c r="M1888" cm="1">
        <f t="array" ref="M1888">_xlfn.XLOOKUP(TEXT(A1888, "mmm-yy"), TEXT([2]GASOLINE!$B$5:$B$208, "mmm-yy"), [2]GASOLINE!$C$5:$C$208, "Not Found")</f>
        <v>7455.1556085184839</v>
      </c>
      <c r="N1888" cm="1">
        <f t="array" ref="N1888">_xlfn.XLOOKUP(TEXT(A1888, "mmm-yy"), TEXT([2]RUNS!$B$5:$B$208, "mmm-yy"), [2]RUNS!$BM$5:$BM$208, "Not Found")</f>
        <v>0.82080685192273006</v>
      </c>
    </row>
    <row r="1889" spans="1:14" x14ac:dyDescent="0.25">
      <c r="A1889" s="1">
        <f>'[1]Global_Spot Prices'!$B3198</f>
        <v>44648</v>
      </c>
      <c r="B1889">
        <f>_xlfn.XLOOKUP(A1889,'[1]Global_Spot Prices'!$B:$B,'[1]Global_Spot Prices'!$BS:$BS)</f>
        <v>15.599999999999994</v>
      </c>
      <c r="C1889">
        <f>_xlfn.XLOOKUP(A1889,'[1]Global_Spot Prices'!$B:$B,'[1]Global_Spot Prices'!$E:$E)</f>
        <v>110.65</v>
      </c>
      <c r="D1889">
        <f>_xlfn.XLOOKUP(A1889,'[1]Global_Spot Prices'!$B:$B,'[1]Global_Spot Prices'!$D:$D)</f>
        <v>117.56</v>
      </c>
      <c r="E1889">
        <f>_xlfn.XLOOKUP(A1889,'[1]Global_Spot Prices'!$B:$B,'[1]Global_Spot Prices'!$H:$H)</f>
        <v>105.13</v>
      </c>
      <c r="F1889">
        <f>_xlfn.XLOOKUP(A1889,'[1]Global_Spot Prices'!$B:$B,'[1]Global_Spot Prices'!$I:$I)</f>
        <v>126.25</v>
      </c>
      <c r="G1889" cm="1">
        <f t="array" ref="G1889">_xlfn.XLOOKUP(TEXT(A1889, "mmm-yy"), TEXT([2]RUNS!$B$5:$B$208, "mmm-yy"), [2]RUNS!$D$5:$D$208, "Not Found")</f>
        <v>29960.188821346386</v>
      </c>
      <c r="H1889" cm="1">
        <f t="array" ref="H1889">SUMPRODUCT(
    --(TEXT('[3]Global Weekly Stock (EWSuez'!$B$4:$B$2000,"mmm-yy")=TEXT(A1889,"mmm-yy")),
    '[3]Global Weekly Stock (EWSuez'!$E$4:$E$2000)
/
SUMPRODUCT(
    --(TEXT('[3]Global Weekly Stock (EWSuez'!$B$4:$B$2000,"mmm-yy")=TEXT(A1889,"mmm-yy"))
)</f>
        <v>14100.5</v>
      </c>
      <c r="I1889">
        <f>_xlfn.XLOOKUP(A1889,[1]ForwardDeriv!$D:$D,[1]ForwardDeriv!$AJ:$AJ)</f>
        <v>2.9500000000000028</v>
      </c>
      <c r="J1889" cm="1">
        <f t="array" ref="J1889">_xlfn.XLOOKUP(TEXT(A1889, "mmm-yy"), TEXT([2]GASOLINE!$B$5:$B$208, "mmm-yy"), [2]GASOLINE!$IR$5:$IR$208, "Not Found")</f>
        <v>50.569439136203243</v>
      </c>
      <c r="K1889" cm="1">
        <f t="array" ref="K1889">_xlfn.XLOOKUP(TEXT(A1889, "mmm-yy"), TEXT([2]GASOLINE!$B$5:$B$208, "mmm-yy"), [2]GASOLINE!$IK$5:$IK$208, "Not Found")</f>
        <v>205.15239596476988</v>
      </c>
      <c r="L1889">
        <f t="shared" si="29"/>
        <v>0</v>
      </c>
      <c r="M1889" cm="1">
        <f t="array" ref="M1889">_xlfn.XLOOKUP(TEXT(A1889, "mmm-yy"), TEXT([2]GASOLINE!$B$5:$B$208, "mmm-yy"), [2]GASOLINE!$C$5:$C$208, "Not Found")</f>
        <v>7455.1556085184839</v>
      </c>
      <c r="N1889" cm="1">
        <f t="array" ref="N1889">_xlfn.XLOOKUP(TEXT(A1889, "mmm-yy"), TEXT([2]RUNS!$B$5:$B$208, "mmm-yy"), [2]RUNS!$BM$5:$BM$208, "Not Found")</f>
        <v>0.82080685192273006</v>
      </c>
    </row>
    <row r="1890" spans="1:14" x14ac:dyDescent="0.25">
      <c r="A1890" s="1">
        <f>'[1]Global_Spot Prices'!$B3199</f>
        <v>44649</v>
      </c>
      <c r="B1890">
        <f>_xlfn.XLOOKUP(A1890,'[1]Global_Spot Prices'!$B:$B,'[1]Global_Spot Prices'!$BS:$BS)</f>
        <v>14.950000000000003</v>
      </c>
      <c r="C1890">
        <f>_xlfn.XLOOKUP(A1890,'[1]Global_Spot Prices'!$B:$B,'[1]Global_Spot Prices'!$E:$E)</f>
        <v>108.59</v>
      </c>
      <c r="D1890">
        <f>_xlfn.XLOOKUP(A1890,'[1]Global_Spot Prices'!$B:$B,'[1]Global_Spot Prices'!$D:$D)</f>
        <v>112.37</v>
      </c>
      <c r="E1890">
        <f>_xlfn.XLOOKUP(A1890,'[1]Global_Spot Prices'!$B:$B,'[1]Global_Spot Prices'!$H:$H)</f>
        <v>104.55</v>
      </c>
      <c r="F1890">
        <f>_xlfn.XLOOKUP(A1890,'[1]Global_Spot Prices'!$B:$B,'[1]Global_Spot Prices'!$I:$I)</f>
        <v>123.54</v>
      </c>
      <c r="G1890" cm="1">
        <f t="array" ref="G1890">_xlfn.XLOOKUP(TEXT(A1890, "mmm-yy"), TEXT([2]RUNS!$B$5:$B$208, "mmm-yy"), [2]RUNS!$D$5:$D$208, "Not Found")</f>
        <v>29960.188821346386</v>
      </c>
      <c r="H1890" cm="1">
        <f t="array" ref="H1890">SUMPRODUCT(
    --(TEXT('[3]Global Weekly Stock (EWSuez'!$B$4:$B$2000,"mmm-yy")=TEXT(A1890,"mmm-yy")),
    '[3]Global Weekly Stock (EWSuez'!$E$4:$E$2000)
/
SUMPRODUCT(
    --(TEXT('[3]Global Weekly Stock (EWSuez'!$B$4:$B$2000,"mmm-yy")=TEXT(A1890,"mmm-yy"))
)</f>
        <v>14100.5</v>
      </c>
      <c r="I1890">
        <f>_xlfn.XLOOKUP(A1890,[1]ForwardDeriv!$D:$D,[1]ForwardDeriv!$AJ:$AJ)</f>
        <v>2.9399999999999977</v>
      </c>
      <c r="J1890" cm="1">
        <f t="array" ref="J1890">_xlfn.XLOOKUP(TEXT(A1890, "mmm-yy"), TEXT([2]GASOLINE!$B$5:$B$208, "mmm-yy"), [2]GASOLINE!$IR$5:$IR$208, "Not Found")</f>
        <v>50.569439136203243</v>
      </c>
      <c r="K1890" cm="1">
        <f t="array" ref="K1890">_xlfn.XLOOKUP(TEXT(A1890, "mmm-yy"), TEXT([2]GASOLINE!$B$5:$B$208, "mmm-yy"), [2]GASOLINE!$IK$5:$IK$208, "Not Found")</f>
        <v>205.15239596476988</v>
      </c>
      <c r="L1890">
        <f t="shared" si="29"/>
        <v>0</v>
      </c>
      <c r="M1890" cm="1">
        <f t="array" ref="M1890">_xlfn.XLOOKUP(TEXT(A1890, "mmm-yy"), TEXT([2]GASOLINE!$B$5:$B$208, "mmm-yy"), [2]GASOLINE!$C$5:$C$208, "Not Found")</f>
        <v>7455.1556085184839</v>
      </c>
      <c r="N1890" cm="1">
        <f t="array" ref="N1890">_xlfn.XLOOKUP(TEXT(A1890, "mmm-yy"), TEXT([2]RUNS!$B$5:$B$208, "mmm-yy"), [2]RUNS!$BM$5:$BM$208, "Not Found")</f>
        <v>0.82080685192273006</v>
      </c>
    </row>
    <row r="1891" spans="1:14" x14ac:dyDescent="0.25">
      <c r="A1891" s="1">
        <f>'[1]Global_Spot Prices'!$B3200</f>
        <v>44650</v>
      </c>
      <c r="B1891">
        <f>_xlfn.XLOOKUP(A1891,'[1]Global_Spot Prices'!$B:$B,'[1]Global_Spot Prices'!$BS:$BS)</f>
        <v>15.410000000000011</v>
      </c>
      <c r="C1891">
        <f>_xlfn.XLOOKUP(A1891,'[1]Global_Spot Prices'!$B:$B,'[1]Global_Spot Prices'!$E:$E)</f>
        <v>108.35</v>
      </c>
      <c r="D1891">
        <f>_xlfn.XLOOKUP(A1891,'[1]Global_Spot Prices'!$B:$B,'[1]Global_Spot Prices'!$D:$D)</f>
        <v>115.935</v>
      </c>
      <c r="E1891">
        <f>_xlfn.XLOOKUP(A1891,'[1]Global_Spot Prices'!$B:$B,'[1]Global_Spot Prices'!$H:$H)</f>
        <v>103.31</v>
      </c>
      <c r="F1891">
        <f>_xlfn.XLOOKUP(A1891,'[1]Global_Spot Prices'!$B:$B,'[1]Global_Spot Prices'!$I:$I)</f>
        <v>123.76</v>
      </c>
      <c r="G1891" cm="1">
        <f t="array" ref="G1891">_xlfn.XLOOKUP(TEXT(A1891, "mmm-yy"), TEXT([2]RUNS!$B$5:$B$208, "mmm-yy"), [2]RUNS!$D$5:$D$208, "Not Found")</f>
        <v>29960.188821346386</v>
      </c>
      <c r="H1891" cm="1">
        <f t="array" ref="H1891">SUMPRODUCT(
    --(TEXT('[3]Global Weekly Stock (EWSuez'!$B$4:$B$2000,"mmm-yy")=TEXT(A1891,"mmm-yy")),
    '[3]Global Weekly Stock (EWSuez'!$E$4:$E$2000)
/
SUMPRODUCT(
    --(TEXT('[3]Global Weekly Stock (EWSuez'!$B$4:$B$2000,"mmm-yy")=TEXT(A1891,"mmm-yy"))
)</f>
        <v>14100.5</v>
      </c>
      <c r="I1891">
        <f>_xlfn.XLOOKUP(A1891,[1]ForwardDeriv!$D:$D,[1]ForwardDeriv!$AJ:$AJ)</f>
        <v>3.2599999999999909</v>
      </c>
      <c r="J1891" cm="1">
        <f t="array" ref="J1891">_xlfn.XLOOKUP(TEXT(A1891, "mmm-yy"), TEXT([2]GASOLINE!$B$5:$B$208, "mmm-yy"), [2]GASOLINE!$IR$5:$IR$208, "Not Found")</f>
        <v>50.569439136203243</v>
      </c>
      <c r="K1891" cm="1">
        <f t="array" ref="K1891">_xlfn.XLOOKUP(TEXT(A1891, "mmm-yy"), TEXT([2]GASOLINE!$B$5:$B$208, "mmm-yy"), [2]GASOLINE!$IK$5:$IK$208, "Not Found")</f>
        <v>205.15239596476988</v>
      </c>
      <c r="L1891">
        <f t="shared" si="29"/>
        <v>0</v>
      </c>
      <c r="M1891" cm="1">
        <f t="array" ref="M1891">_xlfn.XLOOKUP(TEXT(A1891, "mmm-yy"), TEXT([2]GASOLINE!$B$5:$B$208, "mmm-yy"), [2]GASOLINE!$C$5:$C$208, "Not Found")</f>
        <v>7455.1556085184839</v>
      </c>
      <c r="N1891" cm="1">
        <f t="array" ref="N1891">_xlfn.XLOOKUP(TEXT(A1891, "mmm-yy"), TEXT([2]RUNS!$B$5:$B$208, "mmm-yy"), [2]RUNS!$BM$5:$BM$208, "Not Found")</f>
        <v>0.82080685192273006</v>
      </c>
    </row>
    <row r="1892" spans="1:14" x14ac:dyDescent="0.25">
      <c r="A1892" s="1">
        <f>'[1]Global_Spot Prices'!$B3201</f>
        <v>44651</v>
      </c>
      <c r="B1892">
        <f>_xlfn.XLOOKUP(A1892,'[1]Global_Spot Prices'!$B:$B,'[1]Global_Spot Prices'!$BS:$BS)</f>
        <v>14.150000000000006</v>
      </c>
      <c r="C1892">
        <f>_xlfn.XLOOKUP(A1892,'[1]Global_Spot Prices'!$B:$B,'[1]Global_Spot Prices'!$E:$E)</f>
        <v>107.66</v>
      </c>
      <c r="D1892">
        <f>_xlfn.XLOOKUP(A1892,'[1]Global_Spot Prices'!$B:$B,'[1]Global_Spot Prices'!$D:$D)</f>
        <v>110.08499999999999</v>
      </c>
      <c r="E1892">
        <f>_xlfn.XLOOKUP(A1892,'[1]Global_Spot Prices'!$B:$B,'[1]Global_Spot Prices'!$H:$H)</f>
        <v>99.59</v>
      </c>
      <c r="F1892">
        <f>_xlfn.XLOOKUP(A1892,'[1]Global_Spot Prices'!$B:$B,'[1]Global_Spot Prices'!$I:$I)</f>
        <v>121.81</v>
      </c>
      <c r="G1892" cm="1">
        <f t="array" ref="G1892">_xlfn.XLOOKUP(TEXT(A1892, "mmm-yy"), TEXT([2]RUNS!$B$5:$B$208, "mmm-yy"), [2]RUNS!$D$5:$D$208, "Not Found")</f>
        <v>29960.188821346386</v>
      </c>
      <c r="H1892" cm="1">
        <f t="array" ref="H1892">SUMPRODUCT(
    --(TEXT('[3]Global Weekly Stock (EWSuez'!$B$4:$B$2000,"mmm-yy")=TEXT(A1892,"mmm-yy")),
    '[3]Global Weekly Stock (EWSuez'!$E$4:$E$2000)
/
SUMPRODUCT(
    --(TEXT('[3]Global Weekly Stock (EWSuez'!$B$4:$B$2000,"mmm-yy")=TEXT(A1892,"mmm-yy"))
)</f>
        <v>14100.5</v>
      </c>
      <c r="I1892">
        <f>_xlfn.XLOOKUP(A1892,[1]ForwardDeriv!$D:$D,[1]ForwardDeriv!$AJ:$AJ)</f>
        <v>2.8999999999999915</v>
      </c>
      <c r="J1892" cm="1">
        <f t="array" ref="J1892">_xlfn.XLOOKUP(TEXT(A1892, "mmm-yy"), TEXT([2]GASOLINE!$B$5:$B$208, "mmm-yy"), [2]GASOLINE!$IR$5:$IR$208, "Not Found")</f>
        <v>50.569439136203243</v>
      </c>
      <c r="K1892" cm="1">
        <f t="array" ref="K1892">_xlfn.XLOOKUP(TEXT(A1892, "mmm-yy"), TEXT([2]GASOLINE!$B$5:$B$208, "mmm-yy"), [2]GASOLINE!$IK$5:$IK$208, "Not Found")</f>
        <v>205.15239596476988</v>
      </c>
      <c r="L1892">
        <f t="shared" si="29"/>
        <v>0</v>
      </c>
      <c r="M1892" cm="1">
        <f t="array" ref="M1892">_xlfn.XLOOKUP(TEXT(A1892, "mmm-yy"), TEXT([2]GASOLINE!$B$5:$B$208, "mmm-yy"), [2]GASOLINE!$C$5:$C$208, "Not Found")</f>
        <v>7455.1556085184839</v>
      </c>
      <c r="N1892" cm="1">
        <f t="array" ref="N1892">_xlfn.XLOOKUP(TEXT(A1892, "mmm-yy"), TEXT([2]RUNS!$B$5:$B$208, "mmm-yy"), [2]RUNS!$BM$5:$BM$208, "Not Found")</f>
        <v>0.82080685192273006</v>
      </c>
    </row>
    <row r="1893" spans="1:14" x14ac:dyDescent="0.25">
      <c r="A1893" s="1">
        <f>'[1]Global_Spot Prices'!$B3202</f>
        <v>44652</v>
      </c>
      <c r="B1893">
        <f>_xlfn.XLOOKUP(A1893,'[1]Global_Spot Prices'!$B:$B,'[1]Global_Spot Prices'!$BS:$BS)</f>
        <v>16.160000000000011</v>
      </c>
      <c r="C1893">
        <f>_xlfn.XLOOKUP(A1893,'[1]Global_Spot Prices'!$B:$B,'[1]Global_Spot Prices'!$E:$E)</f>
        <v>101.6</v>
      </c>
      <c r="D1893">
        <f>_xlfn.XLOOKUP(A1893,'[1]Global_Spot Prices'!$B:$B,'[1]Global_Spot Prices'!$D:$D)</f>
        <v>107.425</v>
      </c>
      <c r="E1893">
        <f>_xlfn.XLOOKUP(A1893,'[1]Global_Spot Prices'!$B:$B,'[1]Global_Spot Prices'!$H:$H)</f>
        <v>96.04</v>
      </c>
      <c r="F1893">
        <f>_xlfn.XLOOKUP(A1893,'[1]Global_Spot Prices'!$B:$B,'[1]Global_Spot Prices'!$I:$I)</f>
        <v>117.76</v>
      </c>
      <c r="G1893" cm="1">
        <f t="array" ref="G1893">_xlfn.XLOOKUP(TEXT(A1893, "mmm-yy"), TEXT([2]RUNS!$B$5:$B$208, "mmm-yy"), [2]RUNS!$D$5:$D$208, "Not Found")</f>
        <v>28609.211419098294</v>
      </c>
      <c r="H1893" cm="1">
        <f t="array" ref="H1893">SUMPRODUCT(
    --(TEXT('[3]Global Weekly Stock (EWSuez'!$B$4:$B$2000,"mmm-yy")=TEXT(A1893,"mmm-yy")),
    '[3]Global Weekly Stock (EWSuez'!$E$4:$E$2000)
/
SUMPRODUCT(
    --(TEXT('[3]Global Weekly Stock (EWSuez'!$B$4:$B$2000,"mmm-yy")=TEXT(A1893,"mmm-yy"))
)</f>
        <v>12961</v>
      </c>
      <c r="I1893">
        <f>_xlfn.XLOOKUP(A1893,[1]ForwardDeriv!$D:$D,[1]ForwardDeriv!$AJ:$AJ)</f>
        <v>2.1499999999999915</v>
      </c>
      <c r="J1893" cm="1">
        <f t="array" ref="J1893">_xlfn.XLOOKUP(TEXT(A1893, "mmm-yy"), TEXT([2]GASOLINE!$B$5:$B$208, "mmm-yy"), [2]GASOLINE!$IR$5:$IR$208, "Not Found")</f>
        <v>-119.4962203203338</v>
      </c>
      <c r="K1893" cm="1">
        <f t="array" ref="K1893">_xlfn.XLOOKUP(TEXT(A1893, "mmm-yy"), TEXT([2]GASOLINE!$B$5:$B$208, "mmm-yy"), [2]GASOLINE!$IK$5:$IK$208, "Not Found")</f>
        <v>206.1263782385783</v>
      </c>
      <c r="L1893">
        <f t="shared" si="29"/>
        <v>0</v>
      </c>
      <c r="M1893" cm="1">
        <f t="array" ref="M1893">_xlfn.XLOOKUP(TEXT(A1893, "mmm-yy"), TEXT([2]GASOLINE!$B$5:$B$208, "mmm-yy"), [2]GASOLINE!$C$5:$C$208, "Not Found")</f>
        <v>6885.1511342344593</v>
      </c>
      <c r="N1893" cm="1">
        <f t="array" ref="N1893">_xlfn.XLOOKUP(TEXT(A1893, "mmm-yy"), TEXT([2]RUNS!$B$5:$B$208, "mmm-yy"), [2]RUNS!$BM$5:$BM$208, "Not Found")</f>
        <v>0.78569753296528078</v>
      </c>
    </row>
    <row r="1894" spans="1:14" x14ac:dyDescent="0.25">
      <c r="A1894" s="1">
        <f>'[1]Global_Spot Prices'!$B3203</f>
        <v>44655</v>
      </c>
      <c r="B1894">
        <f>_xlfn.XLOOKUP(A1894,'[1]Global_Spot Prices'!$B:$B,'[1]Global_Spot Prices'!$BS:$BS)</f>
        <v>18.319999999999993</v>
      </c>
      <c r="C1894">
        <f>_xlfn.XLOOKUP(A1894,'[1]Global_Spot Prices'!$B:$B,'[1]Global_Spot Prices'!$E:$E)</f>
        <v>101.79</v>
      </c>
      <c r="D1894">
        <f>_xlfn.XLOOKUP(A1894,'[1]Global_Spot Prices'!$B:$B,'[1]Global_Spot Prices'!$D:$D)</f>
        <v>108.72499999999999</v>
      </c>
      <c r="E1894">
        <f>_xlfn.XLOOKUP(A1894,'[1]Global_Spot Prices'!$B:$B,'[1]Global_Spot Prices'!$H:$H)</f>
        <v>96.8</v>
      </c>
      <c r="F1894">
        <f>_xlfn.XLOOKUP(A1894,'[1]Global_Spot Prices'!$B:$B,'[1]Global_Spot Prices'!$I:$I)</f>
        <v>120.11</v>
      </c>
      <c r="G1894" cm="1">
        <f t="array" ref="G1894">_xlfn.XLOOKUP(TEXT(A1894, "mmm-yy"), TEXT([2]RUNS!$B$5:$B$208, "mmm-yy"), [2]RUNS!$D$5:$D$208, "Not Found")</f>
        <v>28609.211419098294</v>
      </c>
      <c r="H1894" cm="1">
        <f t="array" ref="H1894">SUMPRODUCT(
    --(TEXT('[3]Global Weekly Stock (EWSuez'!$B$4:$B$2000,"mmm-yy")=TEXT(A1894,"mmm-yy")),
    '[3]Global Weekly Stock (EWSuez'!$E$4:$E$2000)
/
SUMPRODUCT(
    --(TEXT('[3]Global Weekly Stock (EWSuez'!$B$4:$B$2000,"mmm-yy")=TEXT(A1894,"mmm-yy"))
)</f>
        <v>12961</v>
      </c>
      <c r="I1894">
        <f>_xlfn.XLOOKUP(A1894,[1]ForwardDeriv!$D:$D,[1]ForwardDeriv!$AJ:$AJ)</f>
        <v>2.230000000000004</v>
      </c>
      <c r="J1894" cm="1">
        <f t="array" ref="J1894">_xlfn.XLOOKUP(TEXT(A1894, "mmm-yy"), TEXT([2]GASOLINE!$B$5:$B$208, "mmm-yy"), [2]GASOLINE!$IR$5:$IR$208, "Not Found")</f>
        <v>-119.4962203203338</v>
      </c>
      <c r="K1894" cm="1">
        <f t="array" ref="K1894">_xlfn.XLOOKUP(TEXT(A1894, "mmm-yy"), TEXT([2]GASOLINE!$B$5:$B$208, "mmm-yy"), [2]GASOLINE!$IK$5:$IK$208, "Not Found")</f>
        <v>206.1263782385783</v>
      </c>
      <c r="L1894">
        <f t="shared" si="29"/>
        <v>0</v>
      </c>
      <c r="M1894" cm="1">
        <f t="array" ref="M1894">_xlfn.XLOOKUP(TEXT(A1894, "mmm-yy"), TEXT([2]GASOLINE!$B$5:$B$208, "mmm-yy"), [2]GASOLINE!$C$5:$C$208, "Not Found")</f>
        <v>6885.1511342344593</v>
      </c>
      <c r="N1894" cm="1">
        <f t="array" ref="N1894">_xlfn.XLOOKUP(TEXT(A1894, "mmm-yy"), TEXT([2]RUNS!$B$5:$B$208, "mmm-yy"), [2]RUNS!$BM$5:$BM$208, "Not Found")</f>
        <v>0.78569753296528078</v>
      </c>
    </row>
    <row r="1895" spans="1:14" x14ac:dyDescent="0.25">
      <c r="A1895" s="1">
        <f>'[1]Global_Spot Prices'!$B3204</f>
        <v>44656</v>
      </c>
      <c r="B1895">
        <f>_xlfn.XLOOKUP(A1895,'[1]Global_Spot Prices'!$B:$B,'[1]Global_Spot Prices'!$BS:$BS)</f>
        <v>18.170000000000002</v>
      </c>
      <c r="C1895">
        <f>_xlfn.XLOOKUP(A1895,'[1]Global_Spot Prices'!$B:$B,'[1]Global_Spot Prices'!$E:$E)</f>
        <v>105.3</v>
      </c>
      <c r="D1895">
        <f>_xlfn.XLOOKUP(A1895,'[1]Global_Spot Prices'!$B:$B,'[1]Global_Spot Prices'!$D:$D)</f>
        <v>107.675</v>
      </c>
      <c r="E1895">
        <f>_xlfn.XLOOKUP(A1895,'[1]Global_Spot Prices'!$B:$B,'[1]Global_Spot Prices'!$H:$H)</f>
        <v>98.85</v>
      </c>
      <c r="F1895">
        <f>_xlfn.XLOOKUP(A1895,'[1]Global_Spot Prices'!$B:$B,'[1]Global_Spot Prices'!$I:$I)</f>
        <v>123.47</v>
      </c>
      <c r="G1895" cm="1">
        <f t="array" ref="G1895">_xlfn.XLOOKUP(TEXT(A1895, "mmm-yy"), TEXT([2]RUNS!$B$5:$B$208, "mmm-yy"), [2]RUNS!$D$5:$D$208, "Not Found")</f>
        <v>28609.211419098294</v>
      </c>
      <c r="H1895" cm="1">
        <f t="array" ref="H1895">SUMPRODUCT(
    --(TEXT('[3]Global Weekly Stock (EWSuez'!$B$4:$B$2000,"mmm-yy")=TEXT(A1895,"mmm-yy")),
    '[3]Global Weekly Stock (EWSuez'!$E$4:$E$2000)
/
SUMPRODUCT(
    --(TEXT('[3]Global Weekly Stock (EWSuez'!$B$4:$B$2000,"mmm-yy")=TEXT(A1895,"mmm-yy"))
)</f>
        <v>12961</v>
      </c>
      <c r="I1895">
        <f>_xlfn.XLOOKUP(A1895,[1]ForwardDeriv!$D:$D,[1]ForwardDeriv!$AJ:$AJ)</f>
        <v>2.3700000000000045</v>
      </c>
      <c r="J1895" cm="1">
        <f t="array" ref="J1895">_xlfn.XLOOKUP(TEXT(A1895, "mmm-yy"), TEXT([2]GASOLINE!$B$5:$B$208, "mmm-yy"), [2]GASOLINE!$IR$5:$IR$208, "Not Found")</f>
        <v>-119.4962203203338</v>
      </c>
      <c r="K1895" cm="1">
        <f t="array" ref="K1895">_xlfn.XLOOKUP(TEXT(A1895, "mmm-yy"), TEXT([2]GASOLINE!$B$5:$B$208, "mmm-yy"), [2]GASOLINE!$IK$5:$IK$208, "Not Found")</f>
        <v>206.1263782385783</v>
      </c>
      <c r="L1895">
        <f t="shared" si="29"/>
        <v>0</v>
      </c>
      <c r="M1895" cm="1">
        <f t="array" ref="M1895">_xlfn.XLOOKUP(TEXT(A1895, "mmm-yy"), TEXT([2]GASOLINE!$B$5:$B$208, "mmm-yy"), [2]GASOLINE!$C$5:$C$208, "Not Found")</f>
        <v>6885.1511342344593</v>
      </c>
      <c r="N1895" cm="1">
        <f t="array" ref="N1895">_xlfn.XLOOKUP(TEXT(A1895, "mmm-yy"), TEXT([2]RUNS!$B$5:$B$208, "mmm-yy"), [2]RUNS!$BM$5:$BM$208, "Not Found")</f>
        <v>0.78569753296528078</v>
      </c>
    </row>
    <row r="1896" spans="1:14" x14ac:dyDescent="0.25">
      <c r="A1896" s="1">
        <f>'[1]Global_Spot Prices'!$B3205</f>
        <v>44657</v>
      </c>
      <c r="B1896">
        <f>_xlfn.XLOOKUP(A1896,'[1]Global_Spot Prices'!$B:$B,'[1]Global_Spot Prices'!$BS:$BS)</f>
        <v>18.75</v>
      </c>
      <c r="C1896">
        <f>_xlfn.XLOOKUP(A1896,'[1]Global_Spot Prices'!$B:$B,'[1]Global_Spot Prices'!$E:$E)</f>
        <v>103.75</v>
      </c>
      <c r="D1896">
        <f>_xlfn.XLOOKUP(A1896,'[1]Global_Spot Prices'!$B:$B,'[1]Global_Spot Prices'!$D:$D)</f>
        <v>104.515</v>
      </c>
      <c r="E1896">
        <f>_xlfn.XLOOKUP(A1896,'[1]Global_Spot Prices'!$B:$B,'[1]Global_Spot Prices'!$H:$H)</f>
        <v>98.32</v>
      </c>
      <c r="F1896">
        <f>_xlfn.XLOOKUP(A1896,'[1]Global_Spot Prices'!$B:$B,'[1]Global_Spot Prices'!$I:$I)</f>
        <v>122.5</v>
      </c>
      <c r="G1896" cm="1">
        <f t="array" ref="G1896">_xlfn.XLOOKUP(TEXT(A1896, "mmm-yy"), TEXT([2]RUNS!$B$5:$B$208, "mmm-yy"), [2]RUNS!$D$5:$D$208, "Not Found")</f>
        <v>28609.211419098294</v>
      </c>
      <c r="H1896" cm="1">
        <f t="array" ref="H1896">SUMPRODUCT(
    --(TEXT('[3]Global Weekly Stock (EWSuez'!$B$4:$B$2000,"mmm-yy")=TEXT(A1896,"mmm-yy")),
    '[3]Global Weekly Stock (EWSuez'!$E$4:$E$2000)
/
SUMPRODUCT(
    --(TEXT('[3]Global Weekly Stock (EWSuez'!$B$4:$B$2000,"mmm-yy")=TEXT(A1896,"mmm-yy"))
)</f>
        <v>12961</v>
      </c>
      <c r="I1896">
        <f>_xlfn.XLOOKUP(A1896,[1]ForwardDeriv!$D:$D,[1]ForwardDeriv!$AJ:$AJ)</f>
        <v>2.3000000000000114</v>
      </c>
      <c r="J1896" cm="1">
        <f t="array" ref="J1896">_xlfn.XLOOKUP(TEXT(A1896, "mmm-yy"), TEXT([2]GASOLINE!$B$5:$B$208, "mmm-yy"), [2]GASOLINE!$IR$5:$IR$208, "Not Found")</f>
        <v>-119.4962203203338</v>
      </c>
      <c r="K1896" cm="1">
        <f t="array" ref="K1896">_xlfn.XLOOKUP(TEXT(A1896, "mmm-yy"), TEXT([2]GASOLINE!$B$5:$B$208, "mmm-yy"), [2]GASOLINE!$IK$5:$IK$208, "Not Found")</f>
        <v>206.1263782385783</v>
      </c>
      <c r="L1896">
        <f t="shared" si="29"/>
        <v>0</v>
      </c>
      <c r="M1896" cm="1">
        <f t="array" ref="M1896">_xlfn.XLOOKUP(TEXT(A1896, "mmm-yy"), TEXT([2]GASOLINE!$B$5:$B$208, "mmm-yy"), [2]GASOLINE!$C$5:$C$208, "Not Found")</f>
        <v>6885.1511342344593</v>
      </c>
      <c r="N1896" cm="1">
        <f t="array" ref="N1896">_xlfn.XLOOKUP(TEXT(A1896, "mmm-yy"), TEXT([2]RUNS!$B$5:$B$208, "mmm-yy"), [2]RUNS!$BM$5:$BM$208, "Not Found")</f>
        <v>0.78569753296528078</v>
      </c>
    </row>
    <row r="1897" spans="1:14" x14ac:dyDescent="0.25">
      <c r="A1897" s="1">
        <f>'[1]Global_Spot Prices'!$B3206</f>
        <v>44658</v>
      </c>
      <c r="B1897">
        <f>_xlfn.XLOOKUP(A1897,'[1]Global_Spot Prices'!$B:$B,'[1]Global_Spot Prices'!$BS:$BS)</f>
        <v>20.629999999999995</v>
      </c>
      <c r="C1897">
        <f>_xlfn.XLOOKUP(A1897,'[1]Global_Spot Prices'!$B:$B,'[1]Global_Spot Prices'!$E:$E)</f>
        <v>97.37</v>
      </c>
      <c r="D1897">
        <f>_xlfn.XLOOKUP(A1897,'[1]Global_Spot Prices'!$B:$B,'[1]Global_Spot Prices'!$D:$D)</f>
        <v>98.275000000000006</v>
      </c>
      <c r="E1897">
        <f>_xlfn.XLOOKUP(A1897,'[1]Global_Spot Prices'!$B:$B,'[1]Global_Spot Prices'!$H:$H)</f>
        <v>93.89</v>
      </c>
      <c r="F1897">
        <f>_xlfn.XLOOKUP(A1897,'[1]Global_Spot Prices'!$B:$B,'[1]Global_Spot Prices'!$I:$I)</f>
        <v>118</v>
      </c>
      <c r="G1897" cm="1">
        <f t="array" ref="G1897">_xlfn.XLOOKUP(TEXT(A1897, "mmm-yy"), TEXT([2]RUNS!$B$5:$B$208, "mmm-yy"), [2]RUNS!$D$5:$D$208, "Not Found")</f>
        <v>28609.211419098294</v>
      </c>
      <c r="H1897" cm="1">
        <f t="array" ref="H1897">SUMPRODUCT(
    --(TEXT('[3]Global Weekly Stock (EWSuez'!$B$4:$B$2000,"mmm-yy")=TEXT(A1897,"mmm-yy")),
    '[3]Global Weekly Stock (EWSuez'!$E$4:$E$2000)
/
SUMPRODUCT(
    --(TEXT('[3]Global Weekly Stock (EWSuez'!$B$4:$B$2000,"mmm-yy")=TEXT(A1897,"mmm-yy"))
)</f>
        <v>12961</v>
      </c>
      <c r="I1897">
        <f>_xlfn.XLOOKUP(A1897,[1]ForwardDeriv!$D:$D,[1]ForwardDeriv!$AJ:$AJ)</f>
        <v>2.2700000000000102</v>
      </c>
      <c r="J1897" cm="1">
        <f t="array" ref="J1897">_xlfn.XLOOKUP(TEXT(A1897, "mmm-yy"), TEXT([2]GASOLINE!$B$5:$B$208, "mmm-yy"), [2]GASOLINE!$IR$5:$IR$208, "Not Found")</f>
        <v>-119.4962203203338</v>
      </c>
      <c r="K1897" cm="1">
        <f t="array" ref="K1897">_xlfn.XLOOKUP(TEXT(A1897, "mmm-yy"), TEXT([2]GASOLINE!$B$5:$B$208, "mmm-yy"), [2]GASOLINE!$IK$5:$IK$208, "Not Found")</f>
        <v>206.1263782385783</v>
      </c>
      <c r="L1897">
        <f t="shared" si="29"/>
        <v>0</v>
      </c>
      <c r="M1897" cm="1">
        <f t="array" ref="M1897">_xlfn.XLOOKUP(TEXT(A1897, "mmm-yy"), TEXT([2]GASOLINE!$B$5:$B$208, "mmm-yy"), [2]GASOLINE!$C$5:$C$208, "Not Found")</f>
        <v>6885.1511342344593</v>
      </c>
      <c r="N1897" cm="1">
        <f t="array" ref="N1897">_xlfn.XLOOKUP(TEXT(A1897, "mmm-yy"), TEXT([2]RUNS!$B$5:$B$208, "mmm-yy"), [2]RUNS!$BM$5:$BM$208, "Not Found")</f>
        <v>0.78569753296528078</v>
      </c>
    </row>
    <row r="1898" spans="1:14" x14ac:dyDescent="0.25">
      <c r="A1898" s="1">
        <f>'[1]Global_Spot Prices'!$B3207</f>
        <v>44659</v>
      </c>
      <c r="B1898">
        <f>_xlfn.XLOOKUP(A1898,'[1]Global_Spot Prices'!$B:$B,'[1]Global_Spot Prices'!$BS:$BS)</f>
        <v>20.400000000000006</v>
      </c>
      <c r="C1898">
        <f>_xlfn.XLOOKUP(A1898,'[1]Global_Spot Prices'!$B:$B,'[1]Global_Spot Prices'!$E:$E)</f>
        <v>98.11</v>
      </c>
      <c r="D1898">
        <f>_xlfn.XLOOKUP(A1898,'[1]Global_Spot Prices'!$B:$B,'[1]Global_Spot Prices'!$D:$D)</f>
        <v>100.43</v>
      </c>
      <c r="E1898">
        <f>_xlfn.XLOOKUP(A1898,'[1]Global_Spot Prices'!$B:$B,'[1]Global_Spot Prices'!$H:$H)</f>
        <v>95.78</v>
      </c>
      <c r="F1898">
        <f>_xlfn.XLOOKUP(A1898,'[1]Global_Spot Prices'!$B:$B,'[1]Global_Spot Prices'!$I:$I)</f>
        <v>118.51</v>
      </c>
      <c r="G1898" cm="1">
        <f t="array" ref="G1898">_xlfn.XLOOKUP(TEXT(A1898, "mmm-yy"), TEXT([2]RUNS!$B$5:$B$208, "mmm-yy"), [2]RUNS!$D$5:$D$208, "Not Found")</f>
        <v>28609.211419098294</v>
      </c>
      <c r="H1898" cm="1">
        <f t="array" ref="H1898">SUMPRODUCT(
    --(TEXT('[3]Global Weekly Stock (EWSuez'!$B$4:$B$2000,"mmm-yy")=TEXT(A1898,"mmm-yy")),
    '[3]Global Weekly Stock (EWSuez'!$E$4:$E$2000)
/
SUMPRODUCT(
    --(TEXT('[3]Global Weekly Stock (EWSuez'!$B$4:$B$2000,"mmm-yy")=TEXT(A1898,"mmm-yy"))
)</f>
        <v>12961</v>
      </c>
      <c r="I1898">
        <f>_xlfn.XLOOKUP(A1898,[1]ForwardDeriv!$D:$D,[1]ForwardDeriv!$AJ:$AJ)</f>
        <v>2.2000000000000028</v>
      </c>
      <c r="J1898" cm="1">
        <f t="array" ref="J1898">_xlfn.XLOOKUP(TEXT(A1898, "mmm-yy"), TEXT([2]GASOLINE!$B$5:$B$208, "mmm-yy"), [2]GASOLINE!$IR$5:$IR$208, "Not Found")</f>
        <v>-119.4962203203338</v>
      </c>
      <c r="K1898" cm="1">
        <f t="array" ref="K1898">_xlfn.XLOOKUP(TEXT(A1898, "mmm-yy"), TEXT([2]GASOLINE!$B$5:$B$208, "mmm-yy"), [2]GASOLINE!$IK$5:$IK$208, "Not Found")</f>
        <v>206.1263782385783</v>
      </c>
      <c r="L1898">
        <f t="shared" si="29"/>
        <v>0</v>
      </c>
      <c r="M1898" cm="1">
        <f t="array" ref="M1898">_xlfn.XLOOKUP(TEXT(A1898, "mmm-yy"), TEXT([2]GASOLINE!$B$5:$B$208, "mmm-yy"), [2]GASOLINE!$C$5:$C$208, "Not Found")</f>
        <v>6885.1511342344593</v>
      </c>
      <c r="N1898" cm="1">
        <f t="array" ref="N1898">_xlfn.XLOOKUP(TEXT(A1898, "mmm-yy"), TEXT([2]RUNS!$B$5:$B$208, "mmm-yy"), [2]RUNS!$BM$5:$BM$208, "Not Found")</f>
        <v>0.78569753296528078</v>
      </c>
    </row>
    <row r="1899" spans="1:14" x14ac:dyDescent="0.25">
      <c r="A1899" s="1">
        <f>'[1]Global_Spot Prices'!$B3208</f>
        <v>44662</v>
      </c>
      <c r="B1899">
        <f>_xlfn.XLOOKUP(A1899,'[1]Global_Spot Prices'!$B:$B,'[1]Global_Spot Prices'!$BS:$BS)</f>
        <v>19.850000000000009</v>
      </c>
      <c r="C1899">
        <f>_xlfn.XLOOKUP(A1899,'[1]Global_Spot Prices'!$B:$B,'[1]Global_Spot Prices'!$E:$E)</f>
        <v>97.6</v>
      </c>
      <c r="D1899">
        <f>_xlfn.XLOOKUP(A1899,'[1]Global_Spot Prices'!$B:$B,'[1]Global_Spot Prices'!$D:$D)</f>
        <v>98.495000000000005</v>
      </c>
      <c r="E1899">
        <f>_xlfn.XLOOKUP(A1899,'[1]Global_Spot Prices'!$B:$B,'[1]Global_Spot Prices'!$H:$H)</f>
        <v>96.42</v>
      </c>
      <c r="F1899">
        <f>_xlfn.XLOOKUP(A1899,'[1]Global_Spot Prices'!$B:$B,'[1]Global_Spot Prices'!$I:$I)</f>
        <v>117.45</v>
      </c>
      <c r="G1899" cm="1">
        <f t="array" ref="G1899">_xlfn.XLOOKUP(TEXT(A1899, "mmm-yy"), TEXT([2]RUNS!$B$5:$B$208, "mmm-yy"), [2]RUNS!$D$5:$D$208, "Not Found")</f>
        <v>28609.211419098294</v>
      </c>
      <c r="H1899" cm="1">
        <f t="array" ref="H1899">SUMPRODUCT(
    --(TEXT('[3]Global Weekly Stock (EWSuez'!$B$4:$B$2000,"mmm-yy")=TEXT(A1899,"mmm-yy")),
    '[3]Global Weekly Stock (EWSuez'!$E$4:$E$2000)
/
SUMPRODUCT(
    --(TEXT('[3]Global Weekly Stock (EWSuez'!$B$4:$B$2000,"mmm-yy")=TEXT(A1899,"mmm-yy"))
)</f>
        <v>12961</v>
      </c>
      <c r="I1899">
        <f>_xlfn.XLOOKUP(A1899,[1]ForwardDeriv!$D:$D,[1]ForwardDeriv!$AJ:$AJ)</f>
        <v>2.2800000000000011</v>
      </c>
      <c r="J1899" cm="1">
        <f t="array" ref="J1899">_xlfn.XLOOKUP(TEXT(A1899, "mmm-yy"), TEXT([2]GASOLINE!$B$5:$B$208, "mmm-yy"), [2]GASOLINE!$IR$5:$IR$208, "Not Found")</f>
        <v>-119.4962203203338</v>
      </c>
      <c r="K1899" cm="1">
        <f t="array" ref="K1899">_xlfn.XLOOKUP(TEXT(A1899, "mmm-yy"), TEXT([2]GASOLINE!$B$5:$B$208, "mmm-yy"), [2]GASOLINE!$IK$5:$IK$208, "Not Found")</f>
        <v>206.1263782385783</v>
      </c>
      <c r="L1899">
        <f t="shared" si="29"/>
        <v>0</v>
      </c>
      <c r="M1899" cm="1">
        <f t="array" ref="M1899">_xlfn.XLOOKUP(TEXT(A1899, "mmm-yy"), TEXT([2]GASOLINE!$B$5:$B$208, "mmm-yy"), [2]GASOLINE!$C$5:$C$208, "Not Found")</f>
        <v>6885.1511342344593</v>
      </c>
      <c r="N1899" cm="1">
        <f t="array" ref="N1899">_xlfn.XLOOKUP(TEXT(A1899, "mmm-yy"), TEXT([2]RUNS!$B$5:$B$208, "mmm-yy"), [2]RUNS!$BM$5:$BM$208, "Not Found")</f>
        <v>0.78569753296528078</v>
      </c>
    </row>
    <row r="1900" spans="1:14" x14ac:dyDescent="0.25">
      <c r="A1900" s="1">
        <f>'[1]Global_Spot Prices'!$B3209</f>
        <v>44663</v>
      </c>
      <c r="B1900">
        <f>_xlfn.XLOOKUP(A1900,'[1]Global_Spot Prices'!$B:$B,'[1]Global_Spot Prices'!$BS:$BS)</f>
        <v>17.940000000000012</v>
      </c>
      <c r="C1900">
        <f>_xlfn.XLOOKUP(A1900,'[1]Global_Spot Prices'!$B:$B,'[1]Global_Spot Prices'!$E:$E)</f>
        <v>98.1</v>
      </c>
      <c r="D1900">
        <f>_xlfn.XLOOKUP(A1900,'[1]Global_Spot Prices'!$B:$B,'[1]Global_Spot Prices'!$D:$D)</f>
        <v>105.325</v>
      </c>
      <c r="E1900">
        <f>_xlfn.XLOOKUP(A1900,'[1]Global_Spot Prices'!$B:$B,'[1]Global_Spot Prices'!$H:$H)</f>
        <v>95.49</v>
      </c>
      <c r="F1900">
        <f>_xlfn.XLOOKUP(A1900,'[1]Global_Spot Prices'!$B:$B,'[1]Global_Spot Prices'!$I:$I)</f>
        <v>116.04</v>
      </c>
      <c r="G1900" cm="1">
        <f t="array" ref="G1900">_xlfn.XLOOKUP(TEXT(A1900, "mmm-yy"), TEXT([2]RUNS!$B$5:$B$208, "mmm-yy"), [2]RUNS!$D$5:$D$208, "Not Found")</f>
        <v>28609.211419098294</v>
      </c>
      <c r="H1900" cm="1">
        <f t="array" ref="H1900">SUMPRODUCT(
    --(TEXT('[3]Global Weekly Stock (EWSuez'!$B$4:$B$2000,"mmm-yy")=TEXT(A1900,"mmm-yy")),
    '[3]Global Weekly Stock (EWSuez'!$E$4:$E$2000)
/
SUMPRODUCT(
    --(TEXT('[3]Global Weekly Stock (EWSuez'!$B$4:$B$2000,"mmm-yy")=TEXT(A1900,"mmm-yy"))
)</f>
        <v>12961</v>
      </c>
      <c r="I1900">
        <f>_xlfn.XLOOKUP(A1900,[1]ForwardDeriv!$D:$D,[1]ForwardDeriv!$AJ:$AJ)</f>
        <v>1.7800000000000011</v>
      </c>
      <c r="J1900" cm="1">
        <f t="array" ref="J1900">_xlfn.XLOOKUP(TEXT(A1900, "mmm-yy"), TEXT([2]GASOLINE!$B$5:$B$208, "mmm-yy"), [2]GASOLINE!$IR$5:$IR$208, "Not Found")</f>
        <v>-119.4962203203338</v>
      </c>
      <c r="K1900" cm="1">
        <f t="array" ref="K1900">_xlfn.XLOOKUP(TEXT(A1900, "mmm-yy"), TEXT([2]GASOLINE!$B$5:$B$208, "mmm-yy"), [2]GASOLINE!$IK$5:$IK$208, "Not Found")</f>
        <v>206.1263782385783</v>
      </c>
      <c r="L1900">
        <f t="shared" si="29"/>
        <v>0</v>
      </c>
      <c r="M1900" cm="1">
        <f t="array" ref="M1900">_xlfn.XLOOKUP(TEXT(A1900, "mmm-yy"), TEXT([2]GASOLINE!$B$5:$B$208, "mmm-yy"), [2]GASOLINE!$C$5:$C$208, "Not Found")</f>
        <v>6885.1511342344593</v>
      </c>
      <c r="N1900" cm="1">
        <f t="array" ref="N1900">_xlfn.XLOOKUP(TEXT(A1900, "mmm-yy"), TEXT([2]RUNS!$B$5:$B$208, "mmm-yy"), [2]RUNS!$BM$5:$BM$208, "Not Found")</f>
        <v>0.78569753296528078</v>
      </c>
    </row>
    <row r="1901" spans="1:14" x14ac:dyDescent="0.25">
      <c r="A1901" s="1">
        <f>'[1]Global_Spot Prices'!$B3210</f>
        <v>44664</v>
      </c>
      <c r="B1901">
        <f>_xlfn.XLOOKUP(A1901,'[1]Global_Spot Prices'!$B:$B,'[1]Global_Spot Prices'!$BS:$BS)</f>
        <v>18.430000000000007</v>
      </c>
      <c r="C1901">
        <f>_xlfn.XLOOKUP(A1901,'[1]Global_Spot Prices'!$B:$B,'[1]Global_Spot Prices'!$E:$E)</f>
        <v>102.41</v>
      </c>
      <c r="D1901">
        <f>_xlfn.XLOOKUP(A1901,'[1]Global_Spot Prices'!$B:$B,'[1]Global_Spot Prices'!$D:$D)</f>
        <v>106.63500000000001</v>
      </c>
      <c r="E1901">
        <f>_xlfn.XLOOKUP(A1901,'[1]Global_Spot Prices'!$B:$B,'[1]Global_Spot Prices'!$H:$H)</f>
        <v>99.35</v>
      </c>
      <c r="F1901">
        <f>_xlfn.XLOOKUP(A1901,'[1]Global_Spot Prices'!$B:$B,'[1]Global_Spot Prices'!$I:$I)</f>
        <v>120.84</v>
      </c>
      <c r="G1901" cm="1">
        <f t="array" ref="G1901">_xlfn.XLOOKUP(TEXT(A1901, "mmm-yy"), TEXT([2]RUNS!$B$5:$B$208, "mmm-yy"), [2]RUNS!$D$5:$D$208, "Not Found")</f>
        <v>28609.211419098294</v>
      </c>
      <c r="H1901" cm="1">
        <f t="array" ref="H1901">SUMPRODUCT(
    --(TEXT('[3]Global Weekly Stock (EWSuez'!$B$4:$B$2000,"mmm-yy")=TEXT(A1901,"mmm-yy")),
    '[3]Global Weekly Stock (EWSuez'!$E$4:$E$2000)
/
SUMPRODUCT(
    --(TEXT('[3]Global Weekly Stock (EWSuez'!$B$4:$B$2000,"mmm-yy")=TEXT(A1901,"mmm-yy"))
)</f>
        <v>12961</v>
      </c>
      <c r="I1901">
        <f>_xlfn.XLOOKUP(A1901,[1]ForwardDeriv!$D:$D,[1]ForwardDeriv!$AJ:$AJ)</f>
        <v>1.9699999999999989</v>
      </c>
      <c r="J1901" cm="1">
        <f t="array" ref="J1901">_xlfn.XLOOKUP(TEXT(A1901, "mmm-yy"), TEXT([2]GASOLINE!$B$5:$B$208, "mmm-yy"), [2]GASOLINE!$IR$5:$IR$208, "Not Found")</f>
        <v>-119.4962203203338</v>
      </c>
      <c r="K1901" cm="1">
        <f t="array" ref="K1901">_xlfn.XLOOKUP(TEXT(A1901, "mmm-yy"), TEXT([2]GASOLINE!$B$5:$B$208, "mmm-yy"), [2]GASOLINE!$IK$5:$IK$208, "Not Found")</f>
        <v>206.1263782385783</v>
      </c>
      <c r="L1901">
        <f t="shared" si="29"/>
        <v>0</v>
      </c>
      <c r="M1901" cm="1">
        <f t="array" ref="M1901">_xlfn.XLOOKUP(TEXT(A1901, "mmm-yy"), TEXT([2]GASOLINE!$B$5:$B$208, "mmm-yy"), [2]GASOLINE!$C$5:$C$208, "Not Found")</f>
        <v>6885.1511342344593</v>
      </c>
      <c r="N1901" cm="1">
        <f t="array" ref="N1901">_xlfn.XLOOKUP(TEXT(A1901, "mmm-yy"), TEXT([2]RUNS!$B$5:$B$208, "mmm-yy"), [2]RUNS!$BM$5:$BM$208, "Not Found")</f>
        <v>0.78569753296528078</v>
      </c>
    </row>
    <row r="1902" spans="1:14" x14ac:dyDescent="0.25">
      <c r="A1902" s="1">
        <f>'[1]Global_Spot Prices'!$B3211</f>
        <v>44665</v>
      </c>
      <c r="B1902">
        <f>_xlfn.XLOOKUP(A1902,'[1]Global_Spot Prices'!$B:$B,'[1]Global_Spot Prices'!$BS:$BS)</f>
        <v>20.490000000000009</v>
      </c>
      <c r="C1902">
        <f>_xlfn.XLOOKUP(A1902,'[1]Global_Spot Prices'!$B:$B,'[1]Global_Spot Prices'!$E:$E)</f>
        <v>105.85</v>
      </c>
      <c r="D1902">
        <f>_xlfn.XLOOKUP(A1902,'[1]Global_Spot Prices'!$B:$B,'[1]Global_Spot Prices'!$D:$D)</f>
        <v>106.57</v>
      </c>
      <c r="E1902">
        <f>_xlfn.XLOOKUP(A1902,'[1]Global_Spot Prices'!$B:$B,'[1]Global_Spot Prices'!$H:$H)</f>
        <v>101.46</v>
      </c>
      <c r="F1902">
        <f>_xlfn.XLOOKUP(A1902,'[1]Global_Spot Prices'!$B:$B,'[1]Global_Spot Prices'!$I:$I)</f>
        <v>126.34</v>
      </c>
      <c r="G1902" cm="1">
        <f t="array" ref="G1902">_xlfn.XLOOKUP(TEXT(A1902, "mmm-yy"), TEXT([2]RUNS!$B$5:$B$208, "mmm-yy"), [2]RUNS!$D$5:$D$208, "Not Found")</f>
        <v>28609.211419098294</v>
      </c>
      <c r="H1902" cm="1">
        <f t="array" ref="H1902">SUMPRODUCT(
    --(TEXT('[3]Global Weekly Stock (EWSuez'!$B$4:$B$2000,"mmm-yy")=TEXT(A1902,"mmm-yy")),
    '[3]Global Weekly Stock (EWSuez'!$E$4:$E$2000)
/
SUMPRODUCT(
    --(TEXT('[3]Global Weekly Stock (EWSuez'!$B$4:$B$2000,"mmm-yy")=TEXT(A1902,"mmm-yy"))
)</f>
        <v>12961</v>
      </c>
      <c r="I1902">
        <f>_xlfn.XLOOKUP(A1902,[1]ForwardDeriv!$D:$D,[1]ForwardDeriv!$AJ:$AJ)</f>
        <v>2.6599999999999966</v>
      </c>
      <c r="J1902" cm="1">
        <f t="array" ref="J1902">_xlfn.XLOOKUP(TEXT(A1902, "mmm-yy"), TEXT([2]GASOLINE!$B$5:$B$208, "mmm-yy"), [2]GASOLINE!$IR$5:$IR$208, "Not Found")</f>
        <v>-119.4962203203338</v>
      </c>
      <c r="K1902" cm="1">
        <f t="array" ref="K1902">_xlfn.XLOOKUP(TEXT(A1902, "mmm-yy"), TEXT([2]GASOLINE!$B$5:$B$208, "mmm-yy"), [2]GASOLINE!$IK$5:$IK$208, "Not Found")</f>
        <v>206.1263782385783</v>
      </c>
      <c r="L1902">
        <f t="shared" si="29"/>
        <v>0</v>
      </c>
      <c r="M1902" cm="1">
        <f t="array" ref="M1902">_xlfn.XLOOKUP(TEXT(A1902, "mmm-yy"), TEXT([2]GASOLINE!$B$5:$B$208, "mmm-yy"), [2]GASOLINE!$C$5:$C$208, "Not Found")</f>
        <v>6885.1511342344593</v>
      </c>
      <c r="N1902" cm="1">
        <f t="array" ref="N1902">_xlfn.XLOOKUP(TEXT(A1902, "mmm-yy"), TEXT([2]RUNS!$B$5:$B$208, "mmm-yy"), [2]RUNS!$BM$5:$BM$208, "Not Found")</f>
        <v>0.78569753296528078</v>
      </c>
    </row>
    <row r="1903" spans="1:14" x14ac:dyDescent="0.25">
      <c r="A1903" s="1">
        <f>'[1]Global_Spot Prices'!$B3212</f>
        <v>44666</v>
      </c>
      <c r="B1903" t="e">
        <f>_xlfn.XLOOKUP(A1903,'[1]Global_Spot Prices'!$B:$B,'[1]Global_Spot Prices'!$BS:$BS)</f>
        <v>#N/A</v>
      </c>
      <c r="C1903" t="str">
        <f>_xlfn.XLOOKUP(A1903,'[1]Global_Spot Prices'!$B:$B,'[1]Global_Spot Prices'!$E:$E)</f>
        <v/>
      </c>
      <c r="D1903" t="str">
        <f>_xlfn.XLOOKUP(A1903,'[1]Global_Spot Prices'!$B:$B,'[1]Global_Spot Prices'!$D:$D)</f>
        <v/>
      </c>
      <c r="E1903">
        <f>_xlfn.XLOOKUP(A1903,'[1]Global_Spot Prices'!$B:$B,'[1]Global_Spot Prices'!$H:$H)</f>
        <v>0</v>
      </c>
      <c r="F1903">
        <f>_xlfn.XLOOKUP(A1903,'[1]Global_Spot Prices'!$B:$B,'[1]Global_Spot Prices'!$I:$I)</f>
        <v>0</v>
      </c>
      <c r="G1903" cm="1">
        <f t="array" ref="G1903">_xlfn.XLOOKUP(TEXT(A1903, "mmm-yy"), TEXT([2]RUNS!$B$5:$B$208, "mmm-yy"), [2]RUNS!$D$5:$D$208, "Not Found")</f>
        <v>28609.211419098294</v>
      </c>
      <c r="H1903" cm="1">
        <f t="array" ref="H1903">SUMPRODUCT(
    --(TEXT('[3]Global Weekly Stock (EWSuez'!$B$4:$B$2000,"mmm-yy")=TEXT(A1903,"mmm-yy")),
    '[3]Global Weekly Stock (EWSuez'!$E$4:$E$2000)
/
SUMPRODUCT(
    --(TEXT('[3]Global Weekly Stock (EWSuez'!$B$4:$B$2000,"mmm-yy")=TEXT(A1903,"mmm-yy"))
)</f>
        <v>12961</v>
      </c>
      <c r="I1903">
        <f>_xlfn.XLOOKUP(A1903,[1]ForwardDeriv!$D:$D,[1]ForwardDeriv!$AJ:$AJ)</f>
        <v>2.9000000000000057</v>
      </c>
      <c r="J1903" cm="1">
        <f t="array" ref="J1903">_xlfn.XLOOKUP(TEXT(A1903, "mmm-yy"), TEXT([2]GASOLINE!$B$5:$B$208, "mmm-yy"), [2]GASOLINE!$IR$5:$IR$208, "Not Found")</f>
        <v>-119.4962203203338</v>
      </c>
      <c r="K1903" cm="1">
        <f t="array" ref="K1903">_xlfn.XLOOKUP(TEXT(A1903, "mmm-yy"), TEXT([2]GASOLINE!$B$5:$B$208, "mmm-yy"), [2]GASOLINE!$IK$5:$IK$208, "Not Found")</f>
        <v>206.1263782385783</v>
      </c>
      <c r="L1903">
        <f t="shared" si="29"/>
        <v>0</v>
      </c>
      <c r="M1903" cm="1">
        <f t="array" ref="M1903">_xlfn.XLOOKUP(TEXT(A1903, "mmm-yy"), TEXT([2]GASOLINE!$B$5:$B$208, "mmm-yy"), [2]GASOLINE!$C$5:$C$208, "Not Found")</f>
        <v>6885.1511342344593</v>
      </c>
      <c r="N1903" cm="1">
        <f t="array" ref="N1903">_xlfn.XLOOKUP(TEXT(A1903, "mmm-yy"), TEXT([2]RUNS!$B$5:$B$208, "mmm-yy"), [2]RUNS!$BM$5:$BM$208, "Not Found")</f>
        <v>0.78569753296528078</v>
      </c>
    </row>
    <row r="1904" spans="1:14" x14ac:dyDescent="0.25">
      <c r="A1904" s="1">
        <f>'[1]Global_Spot Prices'!$B3213</f>
        <v>44669</v>
      </c>
      <c r="B1904">
        <f>_xlfn.XLOOKUP(A1904,'[1]Global_Spot Prices'!$B:$B,'[1]Global_Spot Prices'!$BS:$BS)</f>
        <v>21.069999999999993</v>
      </c>
      <c r="C1904">
        <f>_xlfn.XLOOKUP(A1904,'[1]Global_Spot Prices'!$B:$B,'[1]Global_Spot Prices'!$E:$E)</f>
        <v>108.09</v>
      </c>
      <c r="D1904" t="str">
        <f>_xlfn.XLOOKUP(A1904,'[1]Global_Spot Prices'!$B:$B,'[1]Global_Spot Prices'!$D:$D)</f>
        <v/>
      </c>
      <c r="E1904">
        <f>_xlfn.XLOOKUP(A1904,'[1]Global_Spot Prices'!$B:$B,'[1]Global_Spot Prices'!$H:$H)</f>
        <v>103.22</v>
      </c>
      <c r="F1904">
        <f>_xlfn.XLOOKUP(A1904,'[1]Global_Spot Prices'!$B:$B,'[1]Global_Spot Prices'!$I:$I)</f>
        <v>129.16</v>
      </c>
      <c r="G1904" cm="1">
        <f t="array" ref="G1904">_xlfn.XLOOKUP(TEXT(A1904, "mmm-yy"), TEXT([2]RUNS!$B$5:$B$208, "mmm-yy"), [2]RUNS!$D$5:$D$208, "Not Found")</f>
        <v>28609.211419098294</v>
      </c>
      <c r="H1904" cm="1">
        <f t="array" ref="H1904">SUMPRODUCT(
    --(TEXT('[3]Global Weekly Stock (EWSuez'!$B$4:$B$2000,"mmm-yy")=TEXT(A1904,"mmm-yy")),
    '[3]Global Weekly Stock (EWSuez'!$E$4:$E$2000)
/
SUMPRODUCT(
    --(TEXT('[3]Global Weekly Stock (EWSuez'!$B$4:$B$2000,"mmm-yy")=TEXT(A1904,"mmm-yy"))
)</f>
        <v>12961</v>
      </c>
      <c r="I1904">
        <f>_xlfn.XLOOKUP(A1904,[1]ForwardDeriv!$D:$D,[1]ForwardDeriv!$AJ:$AJ)</f>
        <v>2.9000000000000057</v>
      </c>
      <c r="J1904" cm="1">
        <f t="array" ref="J1904">_xlfn.XLOOKUP(TEXT(A1904, "mmm-yy"), TEXT([2]GASOLINE!$B$5:$B$208, "mmm-yy"), [2]GASOLINE!$IR$5:$IR$208, "Not Found")</f>
        <v>-119.4962203203338</v>
      </c>
      <c r="K1904" cm="1">
        <f t="array" ref="K1904">_xlfn.XLOOKUP(TEXT(A1904, "mmm-yy"), TEXT([2]GASOLINE!$B$5:$B$208, "mmm-yy"), [2]GASOLINE!$IK$5:$IK$208, "Not Found")</f>
        <v>206.1263782385783</v>
      </c>
      <c r="L1904">
        <f t="shared" si="29"/>
        <v>0</v>
      </c>
      <c r="M1904" cm="1">
        <f t="array" ref="M1904">_xlfn.XLOOKUP(TEXT(A1904, "mmm-yy"), TEXT([2]GASOLINE!$B$5:$B$208, "mmm-yy"), [2]GASOLINE!$C$5:$C$208, "Not Found")</f>
        <v>6885.1511342344593</v>
      </c>
      <c r="N1904" cm="1">
        <f t="array" ref="N1904">_xlfn.XLOOKUP(TEXT(A1904, "mmm-yy"), TEXT([2]RUNS!$B$5:$B$208, "mmm-yy"), [2]RUNS!$BM$5:$BM$208, "Not Found")</f>
        <v>0.78569753296528078</v>
      </c>
    </row>
    <row r="1905" spans="1:14" x14ac:dyDescent="0.25">
      <c r="A1905" s="1">
        <f>'[1]Global_Spot Prices'!$B3214</f>
        <v>44670</v>
      </c>
      <c r="B1905">
        <f>_xlfn.XLOOKUP(A1905,'[1]Global_Spot Prices'!$B:$B,'[1]Global_Spot Prices'!$BS:$BS)</f>
        <v>20.139999999999986</v>
      </c>
      <c r="C1905">
        <f>_xlfn.XLOOKUP(A1905,'[1]Global_Spot Prices'!$B:$B,'[1]Global_Spot Prices'!$E:$E)</f>
        <v>108.65</v>
      </c>
      <c r="D1905">
        <f>_xlfn.XLOOKUP(A1905,'[1]Global_Spot Prices'!$B:$B,'[1]Global_Spot Prices'!$D:$D)</f>
        <v>105.65</v>
      </c>
      <c r="E1905">
        <f>_xlfn.XLOOKUP(A1905,'[1]Global_Spot Prices'!$B:$B,'[1]Global_Spot Prices'!$H:$H)</f>
        <v>101.2</v>
      </c>
      <c r="F1905">
        <f>_xlfn.XLOOKUP(A1905,'[1]Global_Spot Prices'!$B:$B,'[1]Global_Spot Prices'!$I:$I)</f>
        <v>128.79</v>
      </c>
      <c r="G1905" cm="1">
        <f t="array" ref="G1905">_xlfn.XLOOKUP(TEXT(A1905, "mmm-yy"), TEXT([2]RUNS!$B$5:$B$208, "mmm-yy"), [2]RUNS!$D$5:$D$208, "Not Found")</f>
        <v>28609.211419098294</v>
      </c>
      <c r="H1905" cm="1">
        <f t="array" ref="H1905">SUMPRODUCT(
    --(TEXT('[3]Global Weekly Stock (EWSuez'!$B$4:$B$2000,"mmm-yy")=TEXT(A1905,"mmm-yy")),
    '[3]Global Weekly Stock (EWSuez'!$E$4:$E$2000)
/
SUMPRODUCT(
    --(TEXT('[3]Global Weekly Stock (EWSuez'!$B$4:$B$2000,"mmm-yy")=TEXT(A1905,"mmm-yy"))
)</f>
        <v>12961</v>
      </c>
      <c r="I1905">
        <f>_xlfn.XLOOKUP(A1905,[1]ForwardDeriv!$D:$D,[1]ForwardDeriv!$AJ:$AJ)</f>
        <v>2.7199999999999989</v>
      </c>
      <c r="J1905" cm="1">
        <f t="array" ref="J1905">_xlfn.XLOOKUP(TEXT(A1905, "mmm-yy"), TEXT([2]GASOLINE!$B$5:$B$208, "mmm-yy"), [2]GASOLINE!$IR$5:$IR$208, "Not Found")</f>
        <v>-119.4962203203338</v>
      </c>
      <c r="K1905" cm="1">
        <f t="array" ref="K1905">_xlfn.XLOOKUP(TEXT(A1905, "mmm-yy"), TEXT([2]GASOLINE!$B$5:$B$208, "mmm-yy"), [2]GASOLINE!$IK$5:$IK$208, "Not Found")</f>
        <v>206.1263782385783</v>
      </c>
      <c r="L1905">
        <f t="shared" si="29"/>
        <v>0</v>
      </c>
      <c r="M1905" cm="1">
        <f t="array" ref="M1905">_xlfn.XLOOKUP(TEXT(A1905, "mmm-yy"), TEXT([2]GASOLINE!$B$5:$B$208, "mmm-yy"), [2]GASOLINE!$C$5:$C$208, "Not Found")</f>
        <v>6885.1511342344593</v>
      </c>
      <c r="N1905" cm="1">
        <f t="array" ref="N1905">_xlfn.XLOOKUP(TEXT(A1905, "mmm-yy"), TEXT([2]RUNS!$B$5:$B$208, "mmm-yy"), [2]RUNS!$BM$5:$BM$208, "Not Found")</f>
        <v>0.78569753296528078</v>
      </c>
    </row>
    <row r="1906" spans="1:14" x14ac:dyDescent="0.25">
      <c r="A1906" s="1">
        <f>'[1]Global_Spot Prices'!$B3215</f>
        <v>44671</v>
      </c>
      <c r="B1906">
        <f>_xlfn.XLOOKUP(A1906,'[1]Global_Spot Prices'!$B:$B,'[1]Global_Spot Prices'!$BS:$BS)</f>
        <v>20.179999999999993</v>
      </c>
      <c r="C1906">
        <f>_xlfn.XLOOKUP(A1906,'[1]Global_Spot Prices'!$B:$B,'[1]Global_Spot Prices'!$E:$E)</f>
        <v>105.51</v>
      </c>
      <c r="D1906">
        <f>_xlfn.XLOOKUP(A1906,'[1]Global_Spot Prices'!$B:$B,'[1]Global_Spot Prices'!$D:$D)</f>
        <v>105.51</v>
      </c>
      <c r="E1906">
        <f>_xlfn.XLOOKUP(A1906,'[1]Global_Spot Prices'!$B:$B,'[1]Global_Spot Prices'!$H:$H)</f>
        <v>97.27</v>
      </c>
      <c r="F1906">
        <f>_xlfn.XLOOKUP(A1906,'[1]Global_Spot Prices'!$B:$B,'[1]Global_Spot Prices'!$I:$I)</f>
        <v>125.69</v>
      </c>
      <c r="G1906" cm="1">
        <f t="array" ref="G1906">_xlfn.XLOOKUP(TEXT(A1906, "mmm-yy"), TEXT([2]RUNS!$B$5:$B$208, "mmm-yy"), [2]RUNS!$D$5:$D$208, "Not Found")</f>
        <v>28609.211419098294</v>
      </c>
      <c r="H1906" cm="1">
        <f t="array" ref="H1906">SUMPRODUCT(
    --(TEXT('[3]Global Weekly Stock (EWSuez'!$B$4:$B$2000,"mmm-yy")=TEXT(A1906,"mmm-yy")),
    '[3]Global Weekly Stock (EWSuez'!$E$4:$E$2000)
/
SUMPRODUCT(
    --(TEXT('[3]Global Weekly Stock (EWSuez'!$B$4:$B$2000,"mmm-yy")=TEXT(A1906,"mmm-yy"))
)</f>
        <v>12961</v>
      </c>
      <c r="I1906">
        <f>_xlfn.XLOOKUP(A1906,[1]ForwardDeriv!$D:$D,[1]ForwardDeriv!$AJ:$AJ)</f>
        <v>2.7999999999999972</v>
      </c>
      <c r="J1906" cm="1">
        <f t="array" ref="J1906">_xlfn.XLOOKUP(TEXT(A1906, "mmm-yy"), TEXT([2]GASOLINE!$B$5:$B$208, "mmm-yy"), [2]GASOLINE!$IR$5:$IR$208, "Not Found")</f>
        <v>-119.4962203203338</v>
      </c>
      <c r="K1906" cm="1">
        <f t="array" ref="K1906">_xlfn.XLOOKUP(TEXT(A1906, "mmm-yy"), TEXT([2]GASOLINE!$B$5:$B$208, "mmm-yy"), [2]GASOLINE!$IK$5:$IK$208, "Not Found")</f>
        <v>206.1263782385783</v>
      </c>
      <c r="L1906">
        <f t="shared" si="29"/>
        <v>0</v>
      </c>
      <c r="M1906" cm="1">
        <f t="array" ref="M1906">_xlfn.XLOOKUP(TEXT(A1906, "mmm-yy"), TEXT([2]GASOLINE!$B$5:$B$208, "mmm-yy"), [2]GASOLINE!$C$5:$C$208, "Not Found")</f>
        <v>6885.1511342344593</v>
      </c>
      <c r="N1906" cm="1">
        <f t="array" ref="N1906">_xlfn.XLOOKUP(TEXT(A1906, "mmm-yy"), TEXT([2]RUNS!$B$5:$B$208, "mmm-yy"), [2]RUNS!$BM$5:$BM$208, "Not Found")</f>
        <v>0.78569753296528078</v>
      </c>
    </row>
    <row r="1907" spans="1:14" x14ac:dyDescent="0.25">
      <c r="A1907" s="1">
        <f>'[1]Global_Spot Prices'!$B3216</f>
        <v>44672</v>
      </c>
      <c r="B1907">
        <f>_xlfn.XLOOKUP(A1907,'[1]Global_Spot Prices'!$B:$B,'[1]Global_Spot Prices'!$BS:$BS)</f>
        <v>22.000000000000014</v>
      </c>
      <c r="C1907">
        <f>_xlfn.XLOOKUP(A1907,'[1]Global_Spot Prices'!$B:$B,'[1]Global_Spot Prices'!$E:$E)</f>
        <v>106.11</v>
      </c>
      <c r="D1907">
        <f>_xlfn.XLOOKUP(A1907,'[1]Global_Spot Prices'!$B:$B,'[1]Global_Spot Prices'!$D:$D)</f>
        <v>106.23</v>
      </c>
      <c r="E1907">
        <f>_xlfn.XLOOKUP(A1907,'[1]Global_Spot Prices'!$B:$B,'[1]Global_Spot Prices'!$H:$H)</f>
        <v>97.22</v>
      </c>
      <c r="F1907">
        <f>_xlfn.XLOOKUP(A1907,'[1]Global_Spot Prices'!$B:$B,'[1]Global_Spot Prices'!$I:$I)</f>
        <v>128.11000000000001</v>
      </c>
      <c r="G1907" cm="1">
        <f t="array" ref="G1907">_xlfn.XLOOKUP(TEXT(A1907, "mmm-yy"), TEXT([2]RUNS!$B$5:$B$208, "mmm-yy"), [2]RUNS!$D$5:$D$208, "Not Found")</f>
        <v>28609.211419098294</v>
      </c>
      <c r="H1907" cm="1">
        <f t="array" ref="H1907">SUMPRODUCT(
    --(TEXT('[3]Global Weekly Stock (EWSuez'!$B$4:$B$2000,"mmm-yy")=TEXT(A1907,"mmm-yy")),
    '[3]Global Weekly Stock (EWSuez'!$E$4:$E$2000)
/
SUMPRODUCT(
    --(TEXT('[3]Global Weekly Stock (EWSuez'!$B$4:$B$2000,"mmm-yy")=TEXT(A1907,"mmm-yy"))
)</f>
        <v>12961</v>
      </c>
      <c r="I1907">
        <f>_xlfn.XLOOKUP(A1907,[1]ForwardDeriv!$D:$D,[1]ForwardDeriv!$AJ:$AJ)</f>
        <v>3.0600000000000023</v>
      </c>
      <c r="J1907" cm="1">
        <f t="array" ref="J1907">_xlfn.XLOOKUP(TEXT(A1907, "mmm-yy"), TEXT([2]GASOLINE!$B$5:$B$208, "mmm-yy"), [2]GASOLINE!$IR$5:$IR$208, "Not Found")</f>
        <v>-119.4962203203338</v>
      </c>
      <c r="K1907" cm="1">
        <f t="array" ref="K1907">_xlfn.XLOOKUP(TEXT(A1907, "mmm-yy"), TEXT([2]GASOLINE!$B$5:$B$208, "mmm-yy"), [2]GASOLINE!$IK$5:$IK$208, "Not Found")</f>
        <v>206.1263782385783</v>
      </c>
      <c r="L1907">
        <f t="shared" si="29"/>
        <v>0</v>
      </c>
      <c r="M1907" cm="1">
        <f t="array" ref="M1907">_xlfn.XLOOKUP(TEXT(A1907, "mmm-yy"), TEXT([2]GASOLINE!$B$5:$B$208, "mmm-yy"), [2]GASOLINE!$C$5:$C$208, "Not Found")</f>
        <v>6885.1511342344593</v>
      </c>
      <c r="N1907" cm="1">
        <f t="array" ref="N1907">_xlfn.XLOOKUP(TEXT(A1907, "mmm-yy"), TEXT([2]RUNS!$B$5:$B$208, "mmm-yy"), [2]RUNS!$BM$5:$BM$208, "Not Found")</f>
        <v>0.78569753296528078</v>
      </c>
    </row>
    <row r="1908" spans="1:14" x14ac:dyDescent="0.25">
      <c r="A1908" s="1">
        <f>'[1]Global_Spot Prices'!$B3217</f>
        <v>44673</v>
      </c>
      <c r="B1908">
        <f>_xlfn.XLOOKUP(A1908,'[1]Global_Spot Prices'!$B:$B,'[1]Global_Spot Prices'!$BS:$BS)</f>
        <v>22.730000000000004</v>
      </c>
      <c r="C1908">
        <f>_xlfn.XLOOKUP(A1908,'[1]Global_Spot Prices'!$B:$B,'[1]Global_Spot Prices'!$E:$E)</f>
        <v>105.05</v>
      </c>
      <c r="D1908">
        <f>_xlfn.XLOOKUP(A1908,'[1]Global_Spot Prices'!$B:$B,'[1]Global_Spot Prices'!$D:$D)</f>
        <v>105.36499999999999</v>
      </c>
      <c r="E1908">
        <f>_xlfn.XLOOKUP(A1908,'[1]Global_Spot Prices'!$B:$B,'[1]Global_Spot Prices'!$H:$H)</f>
        <v>95.31</v>
      </c>
      <c r="F1908">
        <f>_xlfn.XLOOKUP(A1908,'[1]Global_Spot Prices'!$B:$B,'[1]Global_Spot Prices'!$I:$I)</f>
        <v>127.78</v>
      </c>
      <c r="G1908" cm="1">
        <f t="array" ref="G1908">_xlfn.XLOOKUP(TEXT(A1908, "mmm-yy"), TEXT([2]RUNS!$B$5:$B$208, "mmm-yy"), [2]RUNS!$D$5:$D$208, "Not Found")</f>
        <v>28609.211419098294</v>
      </c>
      <c r="H1908" cm="1">
        <f t="array" ref="H1908">SUMPRODUCT(
    --(TEXT('[3]Global Weekly Stock (EWSuez'!$B$4:$B$2000,"mmm-yy")=TEXT(A1908,"mmm-yy")),
    '[3]Global Weekly Stock (EWSuez'!$E$4:$E$2000)
/
SUMPRODUCT(
    --(TEXT('[3]Global Weekly Stock (EWSuez'!$B$4:$B$2000,"mmm-yy")=TEXT(A1908,"mmm-yy"))
)</f>
        <v>12961</v>
      </c>
      <c r="I1908">
        <f>_xlfn.XLOOKUP(A1908,[1]ForwardDeriv!$D:$D,[1]ForwardDeriv!$AJ:$AJ)</f>
        <v>3.2000000000000028</v>
      </c>
      <c r="J1908" cm="1">
        <f t="array" ref="J1908">_xlfn.XLOOKUP(TEXT(A1908, "mmm-yy"), TEXT([2]GASOLINE!$B$5:$B$208, "mmm-yy"), [2]GASOLINE!$IR$5:$IR$208, "Not Found")</f>
        <v>-119.4962203203338</v>
      </c>
      <c r="K1908" cm="1">
        <f t="array" ref="K1908">_xlfn.XLOOKUP(TEXT(A1908, "mmm-yy"), TEXT([2]GASOLINE!$B$5:$B$208, "mmm-yy"), [2]GASOLINE!$IK$5:$IK$208, "Not Found")</f>
        <v>206.1263782385783</v>
      </c>
      <c r="L1908">
        <f t="shared" si="29"/>
        <v>0</v>
      </c>
      <c r="M1908" cm="1">
        <f t="array" ref="M1908">_xlfn.XLOOKUP(TEXT(A1908, "mmm-yy"), TEXT([2]GASOLINE!$B$5:$B$208, "mmm-yy"), [2]GASOLINE!$C$5:$C$208, "Not Found")</f>
        <v>6885.1511342344593</v>
      </c>
      <c r="N1908" cm="1">
        <f t="array" ref="N1908">_xlfn.XLOOKUP(TEXT(A1908, "mmm-yy"), TEXT([2]RUNS!$B$5:$B$208, "mmm-yy"), [2]RUNS!$BM$5:$BM$208, "Not Found")</f>
        <v>0.78569753296528078</v>
      </c>
    </row>
    <row r="1909" spans="1:14" x14ac:dyDescent="0.25">
      <c r="A1909" s="1">
        <f>'[1]Global_Spot Prices'!$B3218</f>
        <v>44676</v>
      </c>
      <c r="B1909">
        <f>_xlfn.XLOOKUP(A1909,'[1]Global_Spot Prices'!$B:$B,'[1]Global_Spot Prices'!$BS:$BS)</f>
        <v>21.260000000000005</v>
      </c>
      <c r="C1909">
        <f>_xlfn.XLOOKUP(A1909,'[1]Global_Spot Prices'!$B:$B,'[1]Global_Spot Prices'!$E:$E)</f>
        <v>99.69</v>
      </c>
      <c r="D1909">
        <f>_xlfn.XLOOKUP(A1909,'[1]Global_Spot Prices'!$B:$B,'[1]Global_Spot Prices'!$D:$D)</f>
        <v>97.545000000000002</v>
      </c>
      <c r="E1909">
        <f>_xlfn.XLOOKUP(A1909,'[1]Global_Spot Prices'!$B:$B,'[1]Global_Spot Prices'!$H:$H)</f>
        <v>89.62</v>
      </c>
      <c r="F1909">
        <f>_xlfn.XLOOKUP(A1909,'[1]Global_Spot Prices'!$B:$B,'[1]Global_Spot Prices'!$I:$I)</f>
        <v>120.95</v>
      </c>
      <c r="G1909" cm="1">
        <f t="array" ref="G1909">_xlfn.XLOOKUP(TEXT(A1909, "mmm-yy"), TEXT([2]RUNS!$B$5:$B$208, "mmm-yy"), [2]RUNS!$D$5:$D$208, "Not Found")</f>
        <v>28609.211419098294</v>
      </c>
      <c r="H1909" cm="1">
        <f t="array" ref="H1909">SUMPRODUCT(
    --(TEXT('[3]Global Weekly Stock (EWSuez'!$B$4:$B$2000,"mmm-yy")=TEXT(A1909,"mmm-yy")),
    '[3]Global Weekly Stock (EWSuez'!$E$4:$E$2000)
/
SUMPRODUCT(
    --(TEXT('[3]Global Weekly Stock (EWSuez'!$B$4:$B$2000,"mmm-yy")=TEXT(A1909,"mmm-yy"))
)</f>
        <v>12961</v>
      </c>
      <c r="I1909">
        <f>_xlfn.XLOOKUP(A1909,[1]ForwardDeriv!$D:$D,[1]ForwardDeriv!$AJ:$AJ)</f>
        <v>2.9000000000000057</v>
      </c>
      <c r="J1909" cm="1">
        <f t="array" ref="J1909">_xlfn.XLOOKUP(TEXT(A1909, "mmm-yy"), TEXT([2]GASOLINE!$B$5:$B$208, "mmm-yy"), [2]GASOLINE!$IR$5:$IR$208, "Not Found")</f>
        <v>-119.4962203203338</v>
      </c>
      <c r="K1909" cm="1">
        <f t="array" ref="K1909">_xlfn.XLOOKUP(TEXT(A1909, "mmm-yy"), TEXT([2]GASOLINE!$B$5:$B$208, "mmm-yy"), [2]GASOLINE!$IK$5:$IK$208, "Not Found")</f>
        <v>206.1263782385783</v>
      </c>
      <c r="L1909">
        <f t="shared" si="29"/>
        <v>0</v>
      </c>
      <c r="M1909" cm="1">
        <f t="array" ref="M1909">_xlfn.XLOOKUP(TEXT(A1909, "mmm-yy"), TEXT([2]GASOLINE!$B$5:$B$208, "mmm-yy"), [2]GASOLINE!$C$5:$C$208, "Not Found")</f>
        <v>6885.1511342344593</v>
      </c>
      <c r="N1909" cm="1">
        <f t="array" ref="N1909">_xlfn.XLOOKUP(TEXT(A1909, "mmm-yy"), TEXT([2]RUNS!$B$5:$B$208, "mmm-yy"), [2]RUNS!$BM$5:$BM$208, "Not Found")</f>
        <v>0.78569753296528078</v>
      </c>
    </row>
    <row r="1910" spans="1:14" x14ac:dyDescent="0.25">
      <c r="A1910" s="1">
        <f>'[1]Global_Spot Prices'!$B3219</f>
        <v>44677</v>
      </c>
      <c r="B1910">
        <f>_xlfn.XLOOKUP(A1910,'[1]Global_Spot Prices'!$B:$B,'[1]Global_Spot Prices'!$BS:$BS)</f>
        <v>23.680000000000007</v>
      </c>
      <c r="C1910">
        <f>_xlfn.XLOOKUP(A1910,'[1]Global_Spot Prices'!$B:$B,'[1]Global_Spot Prices'!$E:$E)</f>
        <v>99.55</v>
      </c>
      <c r="D1910">
        <f>_xlfn.XLOOKUP(A1910,'[1]Global_Spot Prices'!$B:$B,'[1]Global_Spot Prices'!$D:$D)</f>
        <v>102.23</v>
      </c>
      <c r="E1910">
        <f>_xlfn.XLOOKUP(A1910,'[1]Global_Spot Prices'!$B:$B,'[1]Global_Spot Prices'!$H:$H)</f>
        <v>90.91</v>
      </c>
      <c r="F1910">
        <f>_xlfn.XLOOKUP(A1910,'[1]Global_Spot Prices'!$B:$B,'[1]Global_Spot Prices'!$I:$I)</f>
        <v>123.23</v>
      </c>
      <c r="G1910" cm="1">
        <f t="array" ref="G1910">_xlfn.XLOOKUP(TEXT(A1910, "mmm-yy"), TEXT([2]RUNS!$B$5:$B$208, "mmm-yy"), [2]RUNS!$D$5:$D$208, "Not Found")</f>
        <v>28609.211419098294</v>
      </c>
      <c r="H1910" cm="1">
        <f t="array" ref="H1910">SUMPRODUCT(
    --(TEXT('[3]Global Weekly Stock (EWSuez'!$B$4:$B$2000,"mmm-yy")=TEXT(A1910,"mmm-yy")),
    '[3]Global Weekly Stock (EWSuez'!$E$4:$E$2000)
/
SUMPRODUCT(
    --(TEXT('[3]Global Weekly Stock (EWSuez'!$B$4:$B$2000,"mmm-yy")=TEXT(A1910,"mmm-yy"))
)</f>
        <v>12961</v>
      </c>
      <c r="I1910">
        <f>_xlfn.XLOOKUP(A1910,[1]ForwardDeriv!$D:$D,[1]ForwardDeriv!$AJ:$AJ)</f>
        <v>3.2099999999999937</v>
      </c>
      <c r="J1910" cm="1">
        <f t="array" ref="J1910">_xlfn.XLOOKUP(TEXT(A1910, "mmm-yy"), TEXT([2]GASOLINE!$B$5:$B$208, "mmm-yy"), [2]GASOLINE!$IR$5:$IR$208, "Not Found")</f>
        <v>-119.4962203203338</v>
      </c>
      <c r="K1910" cm="1">
        <f t="array" ref="K1910">_xlfn.XLOOKUP(TEXT(A1910, "mmm-yy"), TEXT([2]GASOLINE!$B$5:$B$208, "mmm-yy"), [2]GASOLINE!$IK$5:$IK$208, "Not Found")</f>
        <v>206.1263782385783</v>
      </c>
      <c r="L1910">
        <f t="shared" si="29"/>
        <v>0</v>
      </c>
      <c r="M1910" cm="1">
        <f t="array" ref="M1910">_xlfn.XLOOKUP(TEXT(A1910, "mmm-yy"), TEXT([2]GASOLINE!$B$5:$B$208, "mmm-yy"), [2]GASOLINE!$C$5:$C$208, "Not Found")</f>
        <v>6885.1511342344593</v>
      </c>
      <c r="N1910" cm="1">
        <f t="array" ref="N1910">_xlfn.XLOOKUP(TEXT(A1910, "mmm-yy"), TEXT([2]RUNS!$B$5:$B$208, "mmm-yy"), [2]RUNS!$BM$5:$BM$208, "Not Found")</f>
        <v>0.78569753296528078</v>
      </c>
    </row>
    <row r="1911" spans="1:14" x14ac:dyDescent="0.25">
      <c r="A1911" s="1">
        <f>'[1]Global_Spot Prices'!$B3220</f>
        <v>44678</v>
      </c>
      <c r="B1911">
        <f>_xlfn.XLOOKUP(A1911,'[1]Global_Spot Prices'!$B:$B,'[1]Global_Spot Prices'!$BS:$BS)</f>
        <v>24.28</v>
      </c>
      <c r="C1911">
        <f>_xlfn.XLOOKUP(A1911,'[1]Global_Spot Prices'!$B:$B,'[1]Global_Spot Prices'!$E:$E)</f>
        <v>103</v>
      </c>
      <c r="D1911">
        <f>_xlfn.XLOOKUP(A1911,'[1]Global_Spot Prices'!$B:$B,'[1]Global_Spot Prices'!$D:$D)</f>
        <v>102.9</v>
      </c>
      <c r="E1911">
        <f>_xlfn.XLOOKUP(A1911,'[1]Global_Spot Prices'!$B:$B,'[1]Global_Spot Prices'!$H:$H)</f>
        <v>95.25</v>
      </c>
      <c r="F1911">
        <f>_xlfn.XLOOKUP(A1911,'[1]Global_Spot Prices'!$B:$B,'[1]Global_Spot Prices'!$I:$I)</f>
        <v>127.28</v>
      </c>
      <c r="G1911" cm="1">
        <f t="array" ref="G1911">_xlfn.XLOOKUP(TEXT(A1911, "mmm-yy"), TEXT([2]RUNS!$B$5:$B$208, "mmm-yy"), [2]RUNS!$D$5:$D$208, "Not Found")</f>
        <v>28609.211419098294</v>
      </c>
      <c r="H1911" cm="1">
        <f t="array" ref="H1911">SUMPRODUCT(
    --(TEXT('[3]Global Weekly Stock (EWSuez'!$B$4:$B$2000,"mmm-yy")=TEXT(A1911,"mmm-yy")),
    '[3]Global Weekly Stock (EWSuez'!$E$4:$E$2000)
/
SUMPRODUCT(
    --(TEXT('[3]Global Weekly Stock (EWSuez'!$B$4:$B$2000,"mmm-yy")=TEXT(A1911,"mmm-yy"))
)</f>
        <v>12961</v>
      </c>
      <c r="I1911">
        <f>_xlfn.XLOOKUP(A1911,[1]ForwardDeriv!$D:$D,[1]ForwardDeriv!$AJ:$AJ)</f>
        <v>3.5</v>
      </c>
      <c r="J1911" cm="1">
        <f t="array" ref="J1911">_xlfn.XLOOKUP(TEXT(A1911, "mmm-yy"), TEXT([2]GASOLINE!$B$5:$B$208, "mmm-yy"), [2]GASOLINE!$IR$5:$IR$208, "Not Found")</f>
        <v>-119.4962203203338</v>
      </c>
      <c r="K1911" cm="1">
        <f t="array" ref="K1911">_xlfn.XLOOKUP(TEXT(A1911, "mmm-yy"), TEXT([2]GASOLINE!$B$5:$B$208, "mmm-yy"), [2]GASOLINE!$IK$5:$IK$208, "Not Found")</f>
        <v>206.1263782385783</v>
      </c>
      <c r="L1911">
        <f t="shared" si="29"/>
        <v>0</v>
      </c>
      <c r="M1911" cm="1">
        <f t="array" ref="M1911">_xlfn.XLOOKUP(TEXT(A1911, "mmm-yy"), TEXT([2]GASOLINE!$B$5:$B$208, "mmm-yy"), [2]GASOLINE!$C$5:$C$208, "Not Found")</f>
        <v>6885.1511342344593</v>
      </c>
      <c r="N1911" cm="1">
        <f t="array" ref="N1911">_xlfn.XLOOKUP(TEXT(A1911, "mmm-yy"), TEXT([2]RUNS!$B$5:$B$208, "mmm-yy"), [2]RUNS!$BM$5:$BM$208, "Not Found")</f>
        <v>0.78569753296528078</v>
      </c>
    </row>
    <row r="1912" spans="1:14" x14ac:dyDescent="0.25">
      <c r="A1912" s="1">
        <f>'[1]Global_Spot Prices'!$B3221</f>
        <v>44679</v>
      </c>
      <c r="B1912">
        <f>_xlfn.XLOOKUP(A1912,'[1]Global_Spot Prices'!$B:$B,'[1]Global_Spot Prices'!$BS:$BS)</f>
        <v>24.765000000000001</v>
      </c>
      <c r="C1912">
        <f>_xlfn.XLOOKUP(A1912,'[1]Global_Spot Prices'!$B:$B,'[1]Global_Spot Prices'!$E:$E)</f>
        <v>102.795</v>
      </c>
      <c r="D1912">
        <f>_xlfn.XLOOKUP(A1912,'[1]Global_Spot Prices'!$B:$B,'[1]Global_Spot Prices'!$D:$D)</f>
        <v>105.73</v>
      </c>
      <c r="E1912">
        <f>_xlfn.XLOOKUP(A1912,'[1]Global_Spot Prices'!$B:$B,'[1]Global_Spot Prices'!$H:$H)</f>
        <v>93.61</v>
      </c>
      <c r="F1912">
        <f>_xlfn.XLOOKUP(A1912,'[1]Global_Spot Prices'!$B:$B,'[1]Global_Spot Prices'!$I:$I)</f>
        <v>127.56</v>
      </c>
      <c r="G1912" cm="1">
        <f t="array" ref="G1912">_xlfn.XLOOKUP(TEXT(A1912, "mmm-yy"), TEXT([2]RUNS!$B$5:$B$208, "mmm-yy"), [2]RUNS!$D$5:$D$208, "Not Found")</f>
        <v>28609.211419098294</v>
      </c>
      <c r="H1912" cm="1">
        <f t="array" ref="H1912">SUMPRODUCT(
    --(TEXT('[3]Global Weekly Stock (EWSuez'!$B$4:$B$2000,"mmm-yy")=TEXT(A1912,"mmm-yy")),
    '[3]Global Weekly Stock (EWSuez'!$E$4:$E$2000)
/
SUMPRODUCT(
    --(TEXT('[3]Global Weekly Stock (EWSuez'!$B$4:$B$2000,"mmm-yy")=TEXT(A1912,"mmm-yy"))
)</f>
        <v>12961</v>
      </c>
      <c r="I1912">
        <f>_xlfn.XLOOKUP(A1912,[1]ForwardDeriv!$D:$D,[1]ForwardDeriv!$AJ:$AJ)</f>
        <v>3.2200000000000131</v>
      </c>
      <c r="J1912" cm="1">
        <f t="array" ref="J1912">_xlfn.XLOOKUP(TEXT(A1912, "mmm-yy"), TEXT([2]GASOLINE!$B$5:$B$208, "mmm-yy"), [2]GASOLINE!$IR$5:$IR$208, "Not Found")</f>
        <v>-119.4962203203338</v>
      </c>
      <c r="K1912" cm="1">
        <f t="array" ref="K1912">_xlfn.XLOOKUP(TEXT(A1912, "mmm-yy"), TEXT([2]GASOLINE!$B$5:$B$208, "mmm-yy"), [2]GASOLINE!$IK$5:$IK$208, "Not Found")</f>
        <v>206.1263782385783</v>
      </c>
      <c r="L1912">
        <f t="shared" si="29"/>
        <v>0</v>
      </c>
      <c r="M1912" cm="1">
        <f t="array" ref="M1912">_xlfn.XLOOKUP(TEXT(A1912, "mmm-yy"), TEXT([2]GASOLINE!$B$5:$B$208, "mmm-yy"), [2]GASOLINE!$C$5:$C$208, "Not Found")</f>
        <v>6885.1511342344593</v>
      </c>
      <c r="N1912" cm="1">
        <f t="array" ref="N1912">_xlfn.XLOOKUP(TEXT(A1912, "mmm-yy"), TEXT([2]RUNS!$B$5:$B$208, "mmm-yy"), [2]RUNS!$BM$5:$BM$208, "Not Found")</f>
        <v>0.78569753296528078</v>
      </c>
    </row>
    <row r="1913" spans="1:14" x14ac:dyDescent="0.25">
      <c r="A1913" s="1">
        <f>'[1]Global_Spot Prices'!$B3222</f>
        <v>44680</v>
      </c>
      <c r="B1913">
        <f>_xlfn.XLOOKUP(A1913,'[1]Global_Spot Prices'!$B:$B,'[1]Global_Spot Prices'!$BS:$BS)</f>
        <v>25.079999999999984</v>
      </c>
      <c r="C1913">
        <f>_xlfn.XLOOKUP(A1913,'[1]Global_Spot Prices'!$B:$B,'[1]Global_Spot Prices'!$E:$E)</f>
        <v>105.4</v>
      </c>
      <c r="D1913">
        <f>_xlfn.XLOOKUP(A1913,'[1]Global_Spot Prices'!$B:$B,'[1]Global_Spot Prices'!$D:$D)</f>
        <v>108.16</v>
      </c>
      <c r="E1913">
        <f>_xlfn.XLOOKUP(A1913,'[1]Global_Spot Prices'!$B:$B,'[1]Global_Spot Prices'!$H:$H)</f>
        <v>94.48</v>
      </c>
      <c r="F1913">
        <f>_xlfn.XLOOKUP(A1913,'[1]Global_Spot Prices'!$B:$B,'[1]Global_Spot Prices'!$I:$I)</f>
        <v>130.47999999999999</v>
      </c>
      <c r="G1913" cm="1">
        <f t="array" ref="G1913">_xlfn.XLOOKUP(TEXT(A1913, "mmm-yy"), TEXT([2]RUNS!$B$5:$B$208, "mmm-yy"), [2]RUNS!$D$5:$D$208, "Not Found")</f>
        <v>28609.211419098294</v>
      </c>
      <c r="H1913" cm="1">
        <f t="array" ref="H1913">SUMPRODUCT(
    --(TEXT('[3]Global Weekly Stock (EWSuez'!$B$4:$B$2000,"mmm-yy")=TEXT(A1913,"mmm-yy")),
    '[3]Global Weekly Stock (EWSuez'!$E$4:$E$2000)
/
SUMPRODUCT(
    --(TEXT('[3]Global Weekly Stock (EWSuez'!$B$4:$B$2000,"mmm-yy")=TEXT(A1913,"mmm-yy"))
)</f>
        <v>12961</v>
      </c>
      <c r="I1913">
        <f>_xlfn.XLOOKUP(A1913,[1]ForwardDeriv!$D:$D,[1]ForwardDeriv!$AJ:$AJ)</f>
        <v>3.1999999999999886</v>
      </c>
      <c r="J1913" cm="1">
        <f t="array" ref="J1913">_xlfn.XLOOKUP(TEXT(A1913, "mmm-yy"), TEXT([2]GASOLINE!$B$5:$B$208, "mmm-yy"), [2]GASOLINE!$IR$5:$IR$208, "Not Found")</f>
        <v>-119.4962203203338</v>
      </c>
      <c r="K1913" cm="1">
        <f t="array" ref="K1913">_xlfn.XLOOKUP(TEXT(A1913, "mmm-yy"), TEXT([2]GASOLINE!$B$5:$B$208, "mmm-yy"), [2]GASOLINE!$IK$5:$IK$208, "Not Found")</f>
        <v>206.1263782385783</v>
      </c>
      <c r="L1913">
        <f t="shared" si="29"/>
        <v>0</v>
      </c>
      <c r="M1913" cm="1">
        <f t="array" ref="M1913">_xlfn.XLOOKUP(TEXT(A1913, "mmm-yy"), TEXT([2]GASOLINE!$B$5:$B$208, "mmm-yy"), [2]GASOLINE!$C$5:$C$208, "Not Found")</f>
        <v>6885.1511342344593</v>
      </c>
      <c r="N1913" cm="1">
        <f t="array" ref="N1913">_xlfn.XLOOKUP(TEXT(A1913, "mmm-yy"), TEXT([2]RUNS!$B$5:$B$208, "mmm-yy"), [2]RUNS!$BM$5:$BM$208, "Not Found")</f>
        <v>0.78569753296528078</v>
      </c>
    </row>
    <row r="1914" spans="1:14" x14ac:dyDescent="0.25">
      <c r="A1914" s="1">
        <f>'[1]Global_Spot Prices'!$B3223</f>
        <v>44683</v>
      </c>
      <c r="B1914" t="e">
        <f>_xlfn.XLOOKUP(A1914,'[1]Global_Spot Prices'!$B:$B,'[1]Global_Spot Prices'!$BS:$BS)</f>
        <v>#N/A</v>
      </c>
      <c r="C1914" t="str">
        <f>_xlfn.XLOOKUP(A1914,'[1]Global_Spot Prices'!$B:$B,'[1]Global_Spot Prices'!$E:$E)</f>
        <v/>
      </c>
      <c r="D1914" t="str">
        <f>_xlfn.XLOOKUP(A1914,'[1]Global_Spot Prices'!$B:$B,'[1]Global_Spot Prices'!$D:$D)</f>
        <v/>
      </c>
      <c r="E1914">
        <f>_xlfn.XLOOKUP(A1914,'[1]Global_Spot Prices'!$B:$B,'[1]Global_Spot Prices'!$H:$H)</f>
        <v>0</v>
      </c>
      <c r="F1914">
        <f>_xlfn.XLOOKUP(A1914,'[1]Global_Spot Prices'!$B:$B,'[1]Global_Spot Prices'!$I:$I)</f>
        <v>0</v>
      </c>
      <c r="G1914" cm="1">
        <f t="array" ref="G1914">_xlfn.XLOOKUP(TEXT(A1914, "mmm-yy"), TEXT([2]RUNS!$B$5:$B$208, "mmm-yy"), [2]RUNS!$D$5:$D$208, "Not Found")</f>
        <v>29033.379004835202</v>
      </c>
      <c r="H1914" cm="1">
        <f t="array" ref="H1914">SUMPRODUCT(
    --(TEXT('[3]Global Weekly Stock (EWSuez'!$B$4:$B$2000,"mmm-yy")=TEXT(A1914,"mmm-yy")),
    '[3]Global Weekly Stock (EWSuez'!$E$4:$E$2000)
/
SUMPRODUCT(
    --(TEXT('[3]Global Weekly Stock (EWSuez'!$B$4:$B$2000,"mmm-yy")=TEXT(A1914,"mmm-yy"))
)</f>
        <v>14756</v>
      </c>
      <c r="I1914">
        <f>_xlfn.XLOOKUP(A1914,[1]ForwardDeriv!$D:$D,[1]ForwardDeriv!$AJ:$AJ)</f>
        <v>4.0799999999999983</v>
      </c>
      <c r="J1914" cm="1">
        <f t="array" ref="J1914">_xlfn.XLOOKUP(TEXT(A1914, "mmm-yy"), TEXT([2]GASOLINE!$B$5:$B$208, "mmm-yy"), [2]GASOLINE!$IR$5:$IR$208, "Not Found")</f>
        <v>-223.72715220807839</v>
      </c>
      <c r="K1914" cm="1">
        <f t="array" ref="K1914">_xlfn.XLOOKUP(TEXT(A1914, "mmm-yy"), TEXT([2]GASOLINE!$B$5:$B$208, "mmm-yy"), [2]GASOLINE!$IK$5:$IK$208, "Not Found")</f>
        <v>210.21170297410069</v>
      </c>
      <c r="L1914">
        <f t="shared" si="29"/>
        <v>0</v>
      </c>
      <c r="M1914" cm="1">
        <f t="array" ref="M1914">_xlfn.XLOOKUP(TEXT(A1914, "mmm-yy"), TEXT([2]GASOLINE!$B$5:$B$208, "mmm-yy"), [2]GASOLINE!$C$5:$C$208, "Not Found")</f>
        <v>7125.7576535483322</v>
      </c>
      <c r="N1914" cm="1">
        <f t="array" ref="N1914">_xlfn.XLOOKUP(TEXT(A1914, "mmm-yy"), TEXT([2]RUNS!$B$5:$B$208, "mmm-yy"), [2]RUNS!$BM$5:$BM$208, "Not Found")</f>
        <v>0.79683660039947524</v>
      </c>
    </row>
    <row r="1915" spans="1:14" x14ac:dyDescent="0.25">
      <c r="A1915" s="1">
        <f>'[1]Global_Spot Prices'!$B3224</f>
        <v>44684</v>
      </c>
      <c r="B1915" t="e">
        <f>_xlfn.XLOOKUP(A1915,'[1]Global_Spot Prices'!$B:$B,'[1]Global_Spot Prices'!$BS:$BS)</f>
        <v>#N/A</v>
      </c>
      <c r="C1915" t="str">
        <f>_xlfn.XLOOKUP(A1915,'[1]Global_Spot Prices'!$B:$B,'[1]Global_Spot Prices'!$E:$E)</f>
        <v/>
      </c>
      <c r="D1915">
        <f>_xlfn.XLOOKUP(A1915,'[1]Global_Spot Prices'!$B:$B,'[1]Global_Spot Prices'!$D:$D)</f>
        <v>106.125</v>
      </c>
      <c r="E1915">
        <f>_xlfn.XLOOKUP(A1915,'[1]Global_Spot Prices'!$B:$B,'[1]Global_Spot Prices'!$H:$H)</f>
        <v>0</v>
      </c>
      <c r="F1915">
        <f>_xlfn.XLOOKUP(A1915,'[1]Global_Spot Prices'!$B:$B,'[1]Global_Spot Prices'!$I:$I)</f>
        <v>0</v>
      </c>
      <c r="G1915" cm="1">
        <f t="array" ref="G1915">_xlfn.XLOOKUP(TEXT(A1915, "mmm-yy"), TEXT([2]RUNS!$B$5:$B$208, "mmm-yy"), [2]RUNS!$D$5:$D$208, "Not Found")</f>
        <v>29033.379004835202</v>
      </c>
      <c r="H1915" cm="1">
        <f t="array" ref="H1915">SUMPRODUCT(
    --(TEXT('[3]Global Weekly Stock (EWSuez'!$B$4:$B$2000,"mmm-yy")=TEXT(A1915,"mmm-yy")),
    '[3]Global Weekly Stock (EWSuez'!$E$4:$E$2000)
/
SUMPRODUCT(
    --(TEXT('[3]Global Weekly Stock (EWSuez'!$B$4:$B$2000,"mmm-yy")=TEXT(A1915,"mmm-yy"))
)</f>
        <v>14756</v>
      </c>
      <c r="I1915">
        <f>_xlfn.XLOOKUP(A1915,[1]ForwardDeriv!$D:$D,[1]ForwardDeriv!$AJ:$AJ)</f>
        <v>4.0799999999999983</v>
      </c>
      <c r="J1915" cm="1">
        <f t="array" ref="J1915">_xlfn.XLOOKUP(TEXT(A1915, "mmm-yy"), TEXT([2]GASOLINE!$B$5:$B$208, "mmm-yy"), [2]GASOLINE!$IR$5:$IR$208, "Not Found")</f>
        <v>-223.72715220807839</v>
      </c>
      <c r="K1915" cm="1">
        <f t="array" ref="K1915">_xlfn.XLOOKUP(TEXT(A1915, "mmm-yy"), TEXT([2]GASOLINE!$B$5:$B$208, "mmm-yy"), [2]GASOLINE!$IK$5:$IK$208, "Not Found")</f>
        <v>210.21170297410069</v>
      </c>
      <c r="L1915">
        <f t="shared" si="29"/>
        <v>0</v>
      </c>
      <c r="M1915" cm="1">
        <f t="array" ref="M1915">_xlfn.XLOOKUP(TEXT(A1915, "mmm-yy"), TEXT([2]GASOLINE!$B$5:$B$208, "mmm-yy"), [2]GASOLINE!$C$5:$C$208, "Not Found")</f>
        <v>7125.7576535483322</v>
      </c>
      <c r="N1915" cm="1">
        <f t="array" ref="N1915">_xlfn.XLOOKUP(TEXT(A1915, "mmm-yy"), TEXT([2]RUNS!$B$5:$B$208, "mmm-yy"), [2]RUNS!$BM$5:$BM$208, "Not Found")</f>
        <v>0.79683660039947524</v>
      </c>
    </row>
    <row r="1916" spans="1:14" x14ac:dyDescent="0.25">
      <c r="A1916" s="1">
        <f>'[1]Global_Spot Prices'!$B3225</f>
        <v>44685</v>
      </c>
      <c r="B1916">
        <f>_xlfn.XLOOKUP(A1916,'[1]Global_Spot Prices'!$B:$B,'[1]Global_Spot Prices'!$BS:$BS)</f>
        <v>31.170000000000016</v>
      </c>
      <c r="C1916">
        <f>_xlfn.XLOOKUP(A1916,'[1]Global_Spot Prices'!$B:$B,'[1]Global_Spot Prices'!$E:$E)</f>
        <v>104.66</v>
      </c>
      <c r="D1916">
        <f>_xlfn.XLOOKUP(A1916,'[1]Global_Spot Prices'!$B:$B,'[1]Global_Spot Prices'!$D:$D)</f>
        <v>109.02</v>
      </c>
      <c r="E1916">
        <f>_xlfn.XLOOKUP(A1916,'[1]Global_Spot Prices'!$B:$B,'[1]Global_Spot Prices'!$H:$H)</f>
        <v>94.25</v>
      </c>
      <c r="F1916">
        <f>_xlfn.XLOOKUP(A1916,'[1]Global_Spot Prices'!$B:$B,'[1]Global_Spot Prices'!$I:$I)</f>
        <v>135.83000000000001</v>
      </c>
      <c r="G1916" cm="1">
        <f t="array" ref="G1916">_xlfn.XLOOKUP(TEXT(A1916, "mmm-yy"), TEXT([2]RUNS!$B$5:$B$208, "mmm-yy"), [2]RUNS!$D$5:$D$208, "Not Found")</f>
        <v>29033.379004835202</v>
      </c>
      <c r="H1916" cm="1">
        <f t="array" ref="H1916">SUMPRODUCT(
    --(TEXT('[3]Global Weekly Stock (EWSuez'!$B$4:$B$2000,"mmm-yy")=TEXT(A1916,"mmm-yy")),
    '[3]Global Weekly Stock (EWSuez'!$E$4:$E$2000)
/
SUMPRODUCT(
    --(TEXT('[3]Global Weekly Stock (EWSuez'!$B$4:$B$2000,"mmm-yy")=TEXT(A1916,"mmm-yy"))
)</f>
        <v>14756</v>
      </c>
      <c r="I1916">
        <f>_xlfn.XLOOKUP(A1916,[1]ForwardDeriv!$D:$D,[1]ForwardDeriv!$AJ:$AJ)</f>
        <v>4.0799999999999983</v>
      </c>
      <c r="J1916" cm="1">
        <f t="array" ref="J1916">_xlfn.XLOOKUP(TEXT(A1916, "mmm-yy"), TEXT([2]GASOLINE!$B$5:$B$208, "mmm-yy"), [2]GASOLINE!$IR$5:$IR$208, "Not Found")</f>
        <v>-223.72715220807839</v>
      </c>
      <c r="K1916" cm="1">
        <f t="array" ref="K1916">_xlfn.XLOOKUP(TEXT(A1916, "mmm-yy"), TEXT([2]GASOLINE!$B$5:$B$208, "mmm-yy"), [2]GASOLINE!$IK$5:$IK$208, "Not Found")</f>
        <v>210.21170297410069</v>
      </c>
      <c r="L1916">
        <f t="shared" si="29"/>
        <v>0</v>
      </c>
      <c r="M1916" cm="1">
        <f t="array" ref="M1916">_xlfn.XLOOKUP(TEXT(A1916, "mmm-yy"), TEXT([2]GASOLINE!$B$5:$B$208, "mmm-yy"), [2]GASOLINE!$C$5:$C$208, "Not Found")</f>
        <v>7125.7576535483322</v>
      </c>
      <c r="N1916" cm="1">
        <f t="array" ref="N1916">_xlfn.XLOOKUP(TEXT(A1916, "mmm-yy"), TEXT([2]RUNS!$B$5:$B$208, "mmm-yy"), [2]RUNS!$BM$5:$BM$208, "Not Found")</f>
        <v>0.79683660039947524</v>
      </c>
    </row>
    <row r="1917" spans="1:14" x14ac:dyDescent="0.25">
      <c r="A1917" s="1">
        <f>'[1]Global_Spot Prices'!$B3226</f>
        <v>44686</v>
      </c>
      <c r="B1917">
        <f>_xlfn.XLOOKUP(A1917,'[1]Global_Spot Prices'!$B:$B,'[1]Global_Spot Prices'!$BS:$BS)</f>
        <v>31.524999999999991</v>
      </c>
      <c r="C1917">
        <f>_xlfn.XLOOKUP(A1917,'[1]Global_Spot Prices'!$B:$B,'[1]Global_Spot Prices'!$E:$E)</f>
        <v>106.605</v>
      </c>
      <c r="D1917">
        <f>_xlfn.XLOOKUP(A1917,'[1]Global_Spot Prices'!$B:$B,'[1]Global_Spot Prices'!$D:$D)</f>
        <v>112.41</v>
      </c>
      <c r="E1917">
        <f>_xlfn.XLOOKUP(A1917,'[1]Global_Spot Prices'!$B:$B,'[1]Global_Spot Prices'!$H:$H)</f>
        <v>93.78</v>
      </c>
      <c r="F1917">
        <f>_xlfn.XLOOKUP(A1917,'[1]Global_Spot Prices'!$B:$B,'[1]Global_Spot Prices'!$I:$I)</f>
        <v>138.13</v>
      </c>
      <c r="G1917" cm="1">
        <f t="array" ref="G1917">_xlfn.XLOOKUP(TEXT(A1917, "mmm-yy"), TEXT([2]RUNS!$B$5:$B$208, "mmm-yy"), [2]RUNS!$D$5:$D$208, "Not Found")</f>
        <v>29033.379004835202</v>
      </c>
      <c r="H1917" cm="1">
        <f t="array" ref="H1917">SUMPRODUCT(
    --(TEXT('[3]Global Weekly Stock (EWSuez'!$B$4:$B$2000,"mmm-yy")=TEXT(A1917,"mmm-yy")),
    '[3]Global Weekly Stock (EWSuez'!$E$4:$E$2000)
/
SUMPRODUCT(
    --(TEXT('[3]Global Weekly Stock (EWSuez'!$B$4:$B$2000,"mmm-yy")=TEXT(A1917,"mmm-yy"))
)</f>
        <v>14756</v>
      </c>
      <c r="I1917">
        <f>_xlfn.XLOOKUP(A1917,[1]ForwardDeriv!$D:$D,[1]ForwardDeriv!$AJ:$AJ)</f>
        <v>4.5</v>
      </c>
      <c r="J1917" cm="1">
        <f t="array" ref="J1917">_xlfn.XLOOKUP(TEXT(A1917, "mmm-yy"), TEXT([2]GASOLINE!$B$5:$B$208, "mmm-yy"), [2]GASOLINE!$IR$5:$IR$208, "Not Found")</f>
        <v>-223.72715220807839</v>
      </c>
      <c r="K1917" cm="1">
        <f t="array" ref="K1917">_xlfn.XLOOKUP(TEXT(A1917, "mmm-yy"), TEXT([2]GASOLINE!$B$5:$B$208, "mmm-yy"), [2]GASOLINE!$IK$5:$IK$208, "Not Found")</f>
        <v>210.21170297410069</v>
      </c>
      <c r="L1917">
        <f t="shared" si="29"/>
        <v>0</v>
      </c>
      <c r="M1917" cm="1">
        <f t="array" ref="M1917">_xlfn.XLOOKUP(TEXT(A1917, "mmm-yy"), TEXT([2]GASOLINE!$B$5:$B$208, "mmm-yy"), [2]GASOLINE!$C$5:$C$208, "Not Found")</f>
        <v>7125.7576535483322</v>
      </c>
      <c r="N1917" cm="1">
        <f t="array" ref="N1917">_xlfn.XLOOKUP(TEXT(A1917, "mmm-yy"), TEXT([2]RUNS!$B$5:$B$208, "mmm-yy"), [2]RUNS!$BM$5:$BM$208, "Not Found")</f>
        <v>0.79683660039947524</v>
      </c>
    </row>
    <row r="1918" spans="1:14" x14ac:dyDescent="0.25">
      <c r="A1918" s="1">
        <f>'[1]Global_Spot Prices'!$B3227</f>
        <v>44687</v>
      </c>
      <c r="B1918">
        <f>_xlfn.XLOOKUP(A1918,'[1]Global_Spot Prices'!$B:$B,'[1]Global_Spot Prices'!$BS:$BS)</f>
        <v>30.320000000000007</v>
      </c>
      <c r="C1918">
        <f>_xlfn.XLOOKUP(A1918,'[1]Global_Spot Prices'!$B:$B,'[1]Global_Spot Prices'!$E:$E)</f>
        <v>107.8</v>
      </c>
      <c r="D1918">
        <f>_xlfn.XLOOKUP(A1918,'[1]Global_Spot Prices'!$B:$B,'[1]Global_Spot Prices'!$D:$D)</f>
        <v>114.325</v>
      </c>
      <c r="E1918">
        <f>_xlfn.XLOOKUP(A1918,'[1]Global_Spot Prices'!$B:$B,'[1]Global_Spot Prices'!$H:$H)</f>
        <v>94.93</v>
      </c>
      <c r="F1918">
        <f>_xlfn.XLOOKUP(A1918,'[1]Global_Spot Prices'!$B:$B,'[1]Global_Spot Prices'!$I:$I)</f>
        <v>138.12</v>
      </c>
      <c r="G1918" cm="1">
        <f t="array" ref="G1918">_xlfn.XLOOKUP(TEXT(A1918, "mmm-yy"), TEXT([2]RUNS!$B$5:$B$208, "mmm-yy"), [2]RUNS!$D$5:$D$208, "Not Found")</f>
        <v>29033.379004835202</v>
      </c>
      <c r="H1918" cm="1">
        <f t="array" ref="H1918">SUMPRODUCT(
    --(TEXT('[3]Global Weekly Stock (EWSuez'!$B$4:$B$2000,"mmm-yy")=TEXT(A1918,"mmm-yy")),
    '[3]Global Weekly Stock (EWSuez'!$E$4:$E$2000)
/
SUMPRODUCT(
    --(TEXT('[3]Global Weekly Stock (EWSuez'!$B$4:$B$2000,"mmm-yy")=TEXT(A1918,"mmm-yy"))
)</f>
        <v>14756</v>
      </c>
      <c r="I1918">
        <f>_xlfn.XLOOKUP(A1918,[1]ForwardDeriv!$D:$D,[1]ForwardDeriv!$AJ:$AJ)</f>
        <v>4.25</v>
      </c>
      <c r="J1918" cm="1">
        <f t="array" ref="J1918">_xlfn.XLOOKUP(TEXT(A1918, "mmm-yy"), TEXT([2]GASOLINE!$B$5:$B$208, "mmm-yy"), [2]GASOLINE!$IR$5:$IR$208, "Not Found")</f>
        <v>-223.72715220807839</v>
      </c>
      <c r="K1918" cm="1">
        <f t="array" ref="K1918">_xlfn.XLOOKUP(TEXT(A1918, "mmm-yy"), TEXT([2]GASOLINE!$B$5:$B$208, "mmm-yy"), [2]GASOLINE!$IK$5:$IK$208, "Not Found")</f>
        <v>210.21170297410069</v>
      </c>
      <c r="L1918">
        <f t="shared" si="29"/>
        <v>0</v>
      </c>
      <c r="M1918" cm="1">
        <f t="array" ref="M1918">_xlfn.XLOOKUP(TEXT(A1918, "mmm-yy"), TEXT([2]GASOLINE!$B$5:$B$208, "mmm-yy"), [2]GASOLINE!$C$5:$C$208, "Not Found")</f>
        <v>7125.7576535483322</v>
      </c>
      <c r="N1918" cm="1">
        <f t="array" ref="N1918">_xlfn.XLOOKUP(TEXT(A1918, "mmm-yy"), TEXT([2]RUNS!$B$5:$B$208, "mmm-yy"), [2]RUNS!$BM$5:$BM$208, "Not Found")</f>
        <v>0.79683660039947524</v>
      </c>
    </row>
    <row r="1919" spans="1:14" x14ac:dyDescent="0.25">
      <c r="A1919" s="1">
        <f>'[1]Global_Spot Prices'!$B3228</f>
        <v>44690</v>
      </c>
      <c r="B1919">
        <f>_xlfn.XLOOKUP(A1919,'[1]Global_Spot Prices'!$B:$B,'[1]Global_Spot Prices'!$BS:$BS)</f>
        <v>30.64</v>
      </c>
      <c r="C1919">
        <f>_xlfn.XLOOKUP(A1919,'[1]Global_Spot Prices'!$B:$B,'[1]Global_Spot Prices'!$E:$E)</f>
        <v>107.95</v>
      </c>
      <c r="D1919">
        <f>_xlfn.XLOOKUP(A1919,'[1]Global_Spot Prices'!$B:$B,'[1]Global_Spot Prices'!$D:$D)</f>
        <v>106.74</v>
      </c>
      <c r="E1919">
        <f>_xlfn.XLOOKUP(A1919,'[1]Global_Spot Prices'!$B:$B,'[1]Global_Spot Prices'!$H:$H)</f>
        <v>96.92</v>
      </c>
      <c r="F1919">
        <f>_xlfn.XLOOKUP(A1919,'[1]Global_Spot Prices'!$B:$B,'[1]Global_Spot Prices'!$I:$I)</f>
        <v>138.59</v>
      </c>
      <c r="G1919" cm="1">
        <f t="array" ref="G1919">_xlfn.XLOOKUP(TEXT(A1919, "mmm-yy"), TEXT([2]RUNS!$B$5:$B$208, "mmm-yy"), [2]RUNS!$D$5:$D$208, "Not Found")</f>
        <v>29033.379004835202</v>
      </c>
      <c r="H1919" cm="1">
        <f t="array" ref="H1919">SUMPRODUCT(
    --(TEXT('[3]Global Weekly Stock (EWSuez'!$B$4:$B$2000,"mmm-yy")=TEXT(A1919,"mmm-yy")),
    '[3]Global Weekly Stock (EWSuez'!$E$4:$E$2000)
/
SUMPRODUCT(
    --(TEXT('[3]Global Weekly Stock (EWSuez'!$B$4:$B$2000,"mmm-yy")=TEXT(A1919,"mmm-yy"))
)</f>
        <v>14756</v>
      </c>
      <c r="I1919">
        <f>_xlfn.XLOOKUP(A1919,[1]ForwardDeriv!$D:$D,[1]ForwardDeriv!$AJ:$AJ)</f>
        <v>4.25</v>
      </c>
      <c r="J1919" cm="1">
        <f t="array" ref="J1919">_xlfn.XLOOKUP(TEXT(A1919, "mmm-yy"), TEXT([2]GASOLINE!$B$5:$B$208, "mmm-yy"), [2]GASOLINE!$IR$5:$IR$208, "Not Found")</f>
        <v>-223.72715220807839</v>
      </c>
      <c r="K1919" cm="1">
        <f t="array" ref="K1919">_xlfn.XLOOKUP(TEXT(A1919, "mmm-yy"), TEXT([2]GASOLINE!$B$5:$B$208, "mmm-yy"), [2]GASOLINE!$IK$5:$IK$208, "Not Found")</f>
        <v>210.21170297410069</v>
      </c>
      <c r="L1919">
        <f t="shared" si="29"/>
        <v>0</v>
      </c>
      <c r="M1919" cm="1">
        <f t="array" ref="M1919">_xlfn.XLOOKUP(TEXT(A1919, "mmm-yy"), TEXT([2]GASOLINE!$B$5:$B$208, "mmm-yy"), [2]GASOLINE!$C$5:$C$208, "Not Found")</f>
        <v>7125.7576535483322</v>
      </c>
      <c r="N1919" cm="1">
        <f t="array" ref="N1919">_xlfn.XLOOKUP(TEXT(A1919, "mmm-yy"), TEXT([2]RUNS!$B$5:$B$208, "mmm-yy"), [2]RUNS!$BM$5:$BM$208, "Not Found")</f>
        <v>0.79683660039947524</v>
      </c>
    </row>
    <row r="1920" spans="1:14" x14ac:dyDescent="0.25">
      <c r="A1920" s="1">
        <f>'[1]Global_Spot Prices'!$B3229</f>
        <v>44691</v>
      </c>
      <c r="B1920">
        <f>_xlfn.XLOOKUP(A1920,'[1]Global_Spot Prices'!$B:$B,'[1]Global_Spot Prices'!$BS:$BS)</f>
        <v>31.069999999999993</v>
      </c>
      <c r="C1920">
        <f>_xlfn.XLOOKUP(A1920,'[1]Global_Spot Prices'!$B:$B,'[1]Global_Spot Prices'!$E:$E)</f>
        <v>103.1</v>
      </c>
      <c r="D1920">
        <f>_xlfn.XLOOKUP(A1920,'[1]Global_Spot Prices'!$B:$B,'[1]Global_Spot Prices'!$D:$D)</f>
        <v>103.86499999999999</v>
      </c>
      <c r="E1920">
        <f>_xlfn.XLOOKUP(A1920,'[1]Global_Spot Prices'!$B:$B,'[1]Global_Spot Prices'!$H:$H)</f>
        <v>95.32</v>
      </c>
      <c r="F1920">
        <f>_xlfn.XLOOKUP(A1920,'[1]Global_Spot Prices'!$B:$B,'[1]Global_Spot Prices'!$I:$I)</f>
        <v>134.16999999999999</v>
      </c>
      <c r="G1920" cm="1">
        <f t="array" ref="G1920">_xlfn.XLOOKUP(TEXT(A1920, "mmm-yy"), TEXT([2]RUNS!$B$5:$B$208, "mmm-yy"), [2]RUNS!$D$5:$D$208, "Not Found")</f>
        <v>29033.379004835202</v>
      </c>
      <c r="H1920" cm="1">
        <f t="array" ref="H1920">SUMPRODUCT(
    --(TEXT('[3]Global Weekly Stock (EWSuez'!$B$4:$B$2000,"mmm-yy")=TEXT(A1920,"mmm-yy")),
    '[3]Global Weekly Stock (EWSuez'!$E$4:$E$2000)
/
SUMPRODUCT(
    --(TEXT('[3]Global Weekly Stock (EWSuez'!$B$4:$B$2000,"mmm-yy")=TEXT(A1920,"mmm-yy"))
)</f>
        <v>14756</v>
      </c>
      <c r="I1920">
        <f>_xlfn.XLOOKUP(A1920,[1]ForwardDeriv!$D:$D,[1]ForwardDeriv!$AJ:$AJ)</f>
        <v>4.1200000000000045</v>
      </c>
      <c r="J1920" cm="1">
        <f t="array" ref="J1920">_xlfn.XLOOKUP(TEXT(A1920, "mmm-yy"), TEXT([2]GASOLINE!$B$5:$B$208, "mmm-yy"), [2]GASOLINE!$IR$5:$IR$208, "Not Found")</f>
        <v>-223.72715220807839</v>
      </c>
      <c r="K1920" cm="1">
        <f t="array" ref="K1920">_xlfn.XLOOKUP(TEXT(A1920, "mmm-yy"), TEXT([2]GASOLINE!$B$5:$B$208, "mmm-yy"), [2]GASOLINE!$IK$5:$IK$208, "Not Found")</f>
        <v>210.21170297410069</v>
      </c>
      <c r="L1920">
        <f t="shared" si="29"/>
        <v>0</v>
      </c>
      <c r="M1920" cm="1">
        <f t="array" ref="M1920">_xlfn.XLOOKUP(TEXT(A1920, "mmm-yy"), TEXT([2]GASOLINE!$B$5:$B$208, "mmm-yy"), [2]GASOLINE!$C$5:$C$208, "Not Found")</f>
        <v>7125.7576535483322</v>
      </c>
      <c r="N1920" cm="1">
        <f t="array" ref="N1920">_xlfn.XLOOKUP(TEXT(A1920, "mmm-yy"), TEXT([2]RUNS!$B$5:$B$208, "mmm-yy"), [2]RUNS!$BM$5:$BM$208, "Not Found")</f>
        <v>0.79683660039947524</v>
      </c>
    </row>
    <row r="1921" spans="1:14" x14ac:dyDescent="0.25">
      <c r="A1921" s="1">
        <f>'[1]Global_Spot Prices'!$B3230</f>
        <v>44692</v>
      </c>
      <c r="B1921">
        <f>_xlfn.XLOOKUP(A1921,'[1]Global_Spot Prices'!$B:$B,'[1]Global_Spot Prices'!$BS:$BS)</f>
        <v>28.529999999999987</v>
      </c>
      <c r="C1921">
        <f>_xlfn.XLOOKUP(A1921,'[1]Global_Spot Prices'!$B:$B,'[1]Global_Spot Prices'!$E:$E)</f>
        <v>102.89</v>
      </c>
      <c r="D1921">
        <f>_xlfn.XLOOKUP(A1921,'[1]Global_Spot Prices'!$B:$B,'[1]Global_Spot Prices'!$D:$D)</f>
        <v>107.48</v>
      </c>
      <c r="E1921">
        <f>_xlfn.XLOOKUP(A1921,'[1]Global_Spot Prices'!$B:$B,'[1]Global_Spot Prices'!$H:$H)</f>
        <v>96.11</v>
      </c>
      <c r="F1921">
        <f>_xlfn.XLOOKUP(A1921,'[1]Global_Spot Prices'!$B:$B,'[1]Global_Spot Prices'!$I:$I)</f>
        <v>131.41999999999999</v>
      </c>
      <c r="G1921" cm="1">
        <f t="array" ref="G1921">_xlfn.XLOOKUP(TEXT(A1921, "mmm-yy"), TEXT([2]RUNS!$B$5:$B$208, "mmm-yy"), [2]RUNS!$D$5:$D$208, "Not Found")</f>
        <v>29033.379004835202</v>
      </c>
      <c r="H1921" cm="1">
        <f t="array" ref="H1921">SUMPRODUCT(
    --(TEXT('[3]Global Weekly Stock (EWSuez'!$B$4:$B$2000,"mmm-yy")=TEXT(A1921,"mmm-yy")),
    '[3]Global Weekly Stock (EWSuez'!$E$4:$E$2000)
/
SUMPRODUCT(
    --(TEXT('[3]Global Weekly Stock (EWSuez'!$B$4:$B$2000,"mmm-yy")=TEXT(A1921,"mmm-yy"))
)</f>
        <v>14756</v>
      </c>
      <c r="I1921">
        <f>_xlfn.XLOOKUP(A1921,[1]ForwardDeriv!$D:$D,[1]ForwardDeriv!$AJ:$AJ)</f>
        <v>3.8499999999999943</v>
      </c>
      <c r="J1921" cm="1">
        <f t="array" ref="J1921">_xlfn.XLOOKUP(TEXT(A1921, "mmm-yy"), TEXT([2]GASOLINE!$B$5:$B$208, "mmm-yy"), [2]GASOLINE!$IR$5:$IR$208, "Not Found")</f>
        <v>-223.72715220807839</v>
      </c>
      <c r="K1921" cm="1">
        <f t="array" ref="K1921">_xlfn.XLOOKUP(TEXT(A1921, "mmm-yy"), TEXT([2]GASOLINE!$B$5:$B$208, "mmm-yy"), [2]GASOLINE!$IK$5:$IK$208, "Not Found")</f>
        <v>210.21170297410069</v>
      </c>
      <c r="L1921">
        <f t="shared" si="29"/>
        <v>0</v>
      </c>
      <c r="M1921" cm="1">
        <f t="array" ref="M1921">_xlfn.XLOOKUP(TEXT(A1921, "mmm-yy"), TEXT([2]GASOLINE!$B$5:$B$208, "mmm-yy"), [2]GASOLINE!$C$5:$C$208, "Not Found")</f>
        <v>7125.7576535483322</v>
      </c>
      <c r="N1921" cm="1">
        <f t="array" ref="N1921">_xlfn.XLOOKUP(TEXT(A1921, "mmm-yy"), TEXT([2]RUNS!$B$5:$B$208, "mmm-yy"), [2]RUNS!$BM$5:$BM$208, "Not Found")</f>
        <v>0.79683660039947524</v>
      </c>
    </row>
    <row r="1922" spans="1:14" x14ac:dyDescent="0.25">
      <c r="A1922" s="1">
        <f>'[1]Global_Spot Prices'!$B3231</f>
        <v>44693</v>
      </c>
      <c r="B1922">
        <f>_xlfn.XLOOKUP(A1922,'[1]Global_Spot Prices'!$B:$B,'[1]Global_Spot Prices'!$BS:$BS)</f>
        <v>29.849999999999994</v>
      </c>
      <c r="C1922">
        <f>_xlfn.XLOOKUP(A1922,'[1]Global_Spot Prices'!$B:$B,'[1]Global_Spot Prices'!$E:$E)</f>
        <v>102.84</v>
      </c>
      <c r="D1922">
        <f>_xlfn.XLOOKUP(A1922,'[1]Global_Spot Prices'!$B:$B,'[1]Global_Spot Prices'!$D:$D)</f>
        <v>108.69499999999999</v>
      </c>
      <c r="E1922">
        <f>_xlfn.XLOOKUP(A1922,'[1]Global_Spot Prices'!$B:$B,'[1]Global_Spot Prices'!$H:$H)</f>
        <v>95.77</v>
      </c>
      <c r="F1922">
        <f>_xlfn.XLOOKUP(A1922,'[1]Global_Spot Prices'!$B:$B,'[1]Global_Spot Prices'!$I:$I)</f>
        <v>132.69</v>
      </c>
      <c r="G1922" cm="1">
        <f t="array" ref="G1922">_xlfn.XLOOKUP(TEXT(A1922, "mmm-yy"), TEXT([2]RUNS!$B$5:$B$208, "mmm-yy"), [2]RUNS!$D$5:$D$208, "Not Found")</f>
        <v>29033.379004835202</v>
      </c>
      <c r="H1922" cm="1">
        <f t="array" ref="H1922">SUMPRODUCT(
    --(TEXT('[3]Global Weekly Stock (EWSuez'!$B$4:$B$2000,"mmm-yy")=TEXT(A1922,"mmm-yy")),
    '[3]Global Weekly Stock (EWSuez'!$E$4:$E$2000)
/
SUMPRODUCT(
    --(TEXT('[3]Global Weekly Stock (EWSuez'!$B$4:$B$2000,"mmm-yy")=TEXT(A1922,"mmm-yy"))
)</f>
        <v>14756</v>
      </c>
      <c r="I1922">
        <f>_xlfn.XLOOKUP(A1922,[1]ForwardDeriv!$D:$D,[1]ForwardDeriv!$AJ:$AJ)</f>
        <v>4.2600000000000051</v>
      </c>
      <c r="J1922" cm="1">
        <f t="array" ref="J1922">_xlfn.XLOOKUP(TEXT(A1922, "mmm-yy"), TEXT([2]GASOLINE!$B$5:$B$208, "mmm-yy"), [2]GASOLINE!$IR$5:$IR$208, "Not Found")</f>
        <v>-223.72715220807839</v>
      </c>
      <c r="K1922" cm="1">
        <f t="array" ref="K1922">_xlfn.XLOOKUP(TEXT(A1922, "mmm-yy"), TEXT([2]GASOLINE!$B$5:$B$208, "mmm-yy"), [2]GASOLINE!$IK$5:$IK$208, "Not Found")</f>
        <v>210.21170297410069</v>
      </c>
      <c r="L1922">
        <f t="shared" si="29"/>
        <v>0</v>
      </c>
      <c r="M1922" cm="1">
        <f t="array" ref="M1922">_xlfn.XLOOKUP(TEXT(A1922, "mmm-yy"), TEXT([2]GASOLINE!$B$5:$B$208, "mmm-yy"), [2]GASOLINE!$C$5:$C$208, "Not Found")</f>
        <v>7125.7576535483322</v>
      </c>
      <c r="N1922" cm="1">
        <f t="array" ref="N1922">_xlfn.XLOOKUP(TEXT(A1922, "mmm-yy"), TEXT([2]RUNS!$B$5:$B$208, "mmm-yy"), [2]RUNS!$BM$5:$BM$208, "Not Found")</f>
        <v>0.79683660039947524</v>
      </c>
    </row>
    <row r="1923" spans="1:14" x14ac:dyDescent="0.25">
      <c r="A1923" s="1">
        <f>'[1]Global_Spot Prices'!$B3232</f>
        <v>44694</v>
      </c>
      <c r="B1923">
        <f>_xlfn.XLOOKUP(A1923,'[1]Global_Spot Prices'!$B:$B,'[1]Global_Spot Prices'!$BS:$BS)</f>
        <v>33.339999999999989</v>
      </c>
      <c r="C1923">
        <f>_xlfn.XLOOKUP(A1923,'[1]Global_Spot Prices'!$B:$B,'[1]Global_Spot Prices'!$E:$E)</f>
        <v>106.64</v>
      </c>
      <c r="D1923">
        <f>_xlfn.XLOOKUP(A1923,'[1]Global_Spot Prices'!$B:$B,'[1]Global_Spot Prices'!$D:$D)</f>
        <v>111.35</v>
      </c>
      <c r="E1923">
        <f>_xlfn.XLOOKUP(A1923,'[1]Global_Spot Prices'!$B:$B,'[1]Global_Spot Prices'!$H:$H)</f>
        <v>97.72</v>
      </c>
      <c r="F1923">
        <f>_xlfn.XLOOKUP(A1923,'[1]Global_Spot Prices'!$B:$B,'[1]Global_Spot Prices'!$I:$I)</f>
        <v>139.97999999999999</v>
      </c>
      <c r="G1923" cm="1">
        <f t="array" ref="G1923">_xlfn.XLOOKUP(TEXT(A1923, "mmm-yy"), TEXT([2]RUNS!$B$5:$B$208, "mmm-yy"), [2]RUNS!$D$5:$D$208, "Not Found")</f>
        <v>29033.379004835202</v>
      </c>
      <c r="H1923" cm="1">
        <f t="array" ref="H1923">SUMPRODUCT(
    --(TEXT('[3]Global Weekly Stock (EWSuez'!$B$4:$B$2000,"mmm-yy")=TEXT(A1923,"mmm-yy")),
    '[3]Global Weekly Stock (EWSuez'!$E$4:$E$2000)
/
SUMPRODUCT(
    --(TEXT('[3]Global Weekly Stock (EWSuez'!$B$4:$B$2000,"mmm-yy")=TEXT(A1923,"mmm-yy"))
)</f>
        <v>14756</v>
      </c>
      <c r="I1923">
        <f>_xlfn.XLOOKUP(A1923,[1]ForwardDeriv!$D:$D,[1]ForwardDeriv!$AJ:$AJ)</f>
        <v>5.1000000000000227</v>
      </c>
      <c r="J1923" cm="1">
        <f t="array" ref="J1923">_xlfn.XLOOKUP(TEXT(A1923, "mmm-yy"), TEXT([2]GASOLINE!$B$5:$B$208, "mmm-yy"), [2]GASOLINE!$IR$5:$IR$208, "Not Found")</f>
        <v>-223.72715220807839</v>
      </c>
      <c r="K1923" cm="1">
        <f t="array" ref="K1923">_xlfn.XLOOKUP(TEXT(A1923, "mmm-yy"), TEXT([2]GASOLINE!$B$5:$B$208, "mmm-yy"), [2]GASOLINE!$IK$5:$IK$208, "Not Found")</f>
        <v>210.21170297410069</v>
      </c>
      <c r="L1923">
        <f t="shared" ref="L1923:L1986" si="30">IF(OR(MONTH(A1923)=6, MONTH(A1923)=7, MONTH(A1923)=8, MONTH(A1923)=9), 1, 0)</f>
        <v>0</v>
      </c>
      <c r="M1923" cm="1">
        <f t="array" ref="M1923">_xlfn.XLOOKUP(TEXT(A1923, "mmm-yy"), TEXT([2]GASOLINE!$B$5:$B$208, "mmm-yy"), [2]GASOLINE!$C$5:$C$208, "Not Found")</f>
        <v>7125.7576535483322</v>
      </c>
      <c r="N1923" cm="1">
        <f t="array" ref="N1923">_xlfn.XLOOKUP(TEXT(A1923, "mmm-yy"), TEXT([2]RUNS!$B$5:$B$208, "mmm-yy"), [2]RUNS!$BM$5:$BM$208, "Not Found")</f>
        <v>0.79683660039947524</v>
      </c>
    </row>
    <row r="1924" spans="1:14" x14ac:dyDescent="0.25">
      <c r="A1924" s="1">
        <f>'[1]Global_Spot Prices'!$B3233</f>
        <v>44697</v>
      </c>
      <c r="B1924" t="e">
        <f>_xlfn.XLOOKUP(A1924,'[1]Global_Spot Prices'!$B:$B,'[1]Global_Spot Prices'!$BS:$BS)</f>
        <v>#N/A</v>
      </c>
      <c r="C1924" t="str">
        <f>_xlfn.XLOOKUP(A1924,'[1]Global_Spot Prices'!$B:$B,'[1]Global_Spot Prices'!$E:$E)</f>
        <v/>
      </c>
      <c r="D1924">
        <f>_xlfn.XLOOKUP(A1924,'[1]Global_Spot Prices'!$B:$B,'[1]Global_Spot Prices'!$D:$D)</f>
        <v>113.13500000000001</v>
      </c>
      <c r="E1924">
        <f>_xlfn.XLOOKUP(A1924,'[1]Global_Spot Prices'!$B:$B,'[1]Global_Spot Prices'!$H:$H)</f>
        <v>0</v>
      </c>
      <c r="F1924">
        <f>_xlfn.XLOOKUP(A1924,'[1]Global_Spot Prices'!$B:$B,'[1]Global_Spot Prices'!$I:$I)</f>
        <v>0</v>
      </c>
      <c r="G1924" cm="1">
        <f t="array" ref="G1924">_xlfn.XLOOKUP(TEXT(A1924, "mmm-yy"), TEXT([2]RUNS!$B$5:$B$208, "mmm-yy"), [2]RUNS!$D$5:$D$208, "Not Found")</f>
        <v>29033.379004835202</v>
      </c>
      <c r="H1924" cm="1">
        <f t="array" ref="H1924">SUMPRODUCT(
    --(TEXT('[3]Global Weekly Stock (EWSuez'!$B$4:$B$2000,"mmm-yy")=TEXT(A1924,"mmm-yy")),
    '[3]Global Weekly Stock (EWSuez'!$E$4:$E$2000)
/
SUMPRODUCT(
    --(TEXT('[3]Global Weekly Stock (EWSuez'!$B$4:$B$2000,"mmm-yy")=TEXT(A1924,"mmm-yy"))
)</f>
        <v>14756</v>
      </c>
      <c r="I1924">
        <f>_xlfn.XLOOKUP(A1924,[1]ForwardDeriv!$D:$D,[1]ForwardDeriv!$AJ:$AJ)</f>
        <v>6</v>
      </c>
      <c r="J1924" cm="1">
        <f t="array" ref="J1924">_xlfn.XLOOKUP(TEXT(A1924, "mmm-yy"), TEXT([2]GASOLINE!$B$5:$B$208, "mmm-yy"), [2]GASOLINE!$IR$5:$IR$208, "Not Found")</f>
        <v>-223.72715220807839</v>
      </c>
      <c r="K1924" cm="1">
        <f t="array" ref="K1924">_xlfn.XLOOKUP(TEXT(A1924, "mmm-yy"), TEXT([2]GASOLINE!$B$5:$B$208, "mmm-yy"), [2]GASOLINE!$IK$5:$IK$208, "Not Found")</f>
        <v>210.21170297410069</v>
      </c>
      <c r="L1924">
        <f t="shared" si="30"/>
        <v>0</v>
      </c>
      <c r="M1924" cm="1">
        <f t="array" ref="M1924">_xlfn.XLOOKUP(TEXT(A1924, "mmm-yy"), TEXT([2]GASOLINE!$B$5:$B$208, "mmm-yy"), [2]GASOLINE!$C$5:$C$208, "Not Found")</f>
        <v>7125.7576535483322</v>
      </c>
      <c r="N1924" cm="1">
        <f t="array" ref="N1924">_xlfn.XLOOKUP(TEXT(A1924, "mmm-yy"), TEXT([2]RUNS!$B$5:$B$208, "mmm-yy"), [2]RUNS!$BM$5:$BM$208, "Not Found")</f>
        <v>0.79683660039947524</v>
      </c>
    </row>
    <row r="1925" spans="1:14" x14ac:dyDescent="0.25">
      <c r="A1925" s="1">
        <f>'[1]Global_Spot Prices'!$B3234</f>
        <v>44698</v>
      </c>
      <c r="B1925">
        <f>_xlfn.XLOOKUP(A1925,'[1]Global_Spot Prices'!$B:$B,'[1]Global_Spot Prices'!$BS:$BS)</f>
        <v>35.514999999999986</v>
      </c>
      <c r="C1925">
        <f>_xlfn.XLOOKUP(A1925,'[1]Global_Spot Prices'!$B:$B,'[1]Global_Spot Prices'!$E:$E)</f>
        <v>110.80500000000001</v>
      </c>
      <c r="D1925">
        <f>_xlfn.XLOOKUP(A1925,'[1]Global_Spot Prices'!$B:$B,'[1]Global_Spot Prices'!$D:$D)</f>
        <v>116.51</v>
      </c>
      <c r="E1925">
        <f>_xlfn.XLOOKUP(A1925,'[1]Global_Spot Prices'!$B:$B,'[1]Global_Spot Prices'!$H:$H)</f>
        <v>97.11</v>
      </c>
      <c r="F1925">
        <f>_xlfn.XLOOKUP(A1925,'[1]Global_Spot Prices'!$B:$B,'[1]Global_Spot Prices'!$I:$I)</f>
        <v>146.32</v>
      </c>
      <c r="G1925" cm="1">
        <f t="array" ref="G1925">_xlfn.XLOOKUP(TEXT(A1925, "mmm-yy"), TEXT([2]RUNS!$B$5:$B$208, "mmm-yy"), [2]RUNS!$D$5:$D$208, "Not Found")</f>
        <v>29033.379004835202</v>
      </c>
      <c r="H1925" cm="1">
        <f t="array" ref="H1925">SUMPRODUCT(
    --(TEXT('[3]Global Weekly Stock (EWSuez'!$B$4:$B$2000,"mmm-yy")=TEXT(A1925,"mmm-yy")),
    '[3]Global Weekly Stock (EWSuez'!$E$4:$E$2000)
/
SUMPRODUCT(
    --(TEXT('[3]Global Weekly Stock (EWSuez'!$B$4:$B$2000,"mmm-yy")=TEXT(A1925,"mmm-yy"))
)</f>
        <v>14756</v>
      </c>
      <c r="I1925">
        <f>_xlfn.XLOOKUP(A1925,[1]ForwardDeriv!$D:$D,[1]ForwardDeriv!$AJ:$AJ)</f>
        <v>6</v>
      </c>
      <c r="J1925" cm="1">
        <f t="array" ref="J1925">_xlfn.XLOOKUP(TEXT(A1925, "mmm-yy"), TEXT([2]GASOLINE!$B$5:$B$208, "mmm-yy"), [2]GASOLINE!$IR$5:$IR$208, "Not Found")</f>
        <v>-223.72715220807839</v>
      </c>
      <c r="K1925" cm="1">
        <f t="array" ref="K1925">_xlfn.XLOOKUP(TEXT(A1925, "mmm-yy"), TEXT([2]GASOLINE!$B$5:$B$208, "mmm-yy"), [2]GASOLINE!$IK$5:$IK$208, "Not Found")</f>
        <v>210.21170297410069</v>
      </c>
      <c r="L1925">
        <f t="shared" si="30"/>
        <v>0</v>
      </c>
      <c r="M1925" cm="1">
        <f t="array" ref="M1925">_xlfn.XLOOKUP(TEXT(A1925, "mmm-yy"), TEXT([2]GASOLINE!$B$5:$B$208, "mmm-yy"), [2]GASOLINE!$C$5:$C$208, "Not Found")</f>
        <v>7125.7576535483322</v>
      </c>
      <c r="N1925" cm="1">
        <f t="array" ref="N1925">_xlfn.XLOOKUP(TEXT(A1925, "mmm-yy"), TEXT([2]RUNS!$B$5:$B$208, "mmm-yy"), [2]RUNS!$BM$5:$BM$208, "Not Found")</f>
        <v>0.79683660039947524</v>
      </c>
    </row>
    <row r="1926" spans="1:14" x14ac:dyDescent="0.25">
      <c r="A1926" s="1">
        <f>'[1]Global_Spot Prices'!$B3235</f>
        <v>44699</v>
      </c>
      <c r="B1926">
        <f>_xlfn.XLOOKUP(A1926,'[1]Global_Spot Prices'!$B:$B,'[1]Global_Spot Prices'!$BS:$BS)</f>
        <v>38.989999999999995</v>
      </c>
      <c r="C1926">
        <f>_xlfn.XLOOKUP(A1926,'[1]Global_Spot Prices'!$B:$B,'[1]Global_Spot Prices'!$E:$E)</f>
        <v>109.71</v>
      </c>
      <c r="D1926">
        <f>_xlfn.XLOOKUP(A1926,'[1]Global_Spot Prices'!$B:$B,'[1]Global_Spot Prices'!$D:$D)</f>
        <v>111.325</v>
      </c>
      <c r="E1926">
        <f>_xlfn.XLOOKUP(A1926,'[1]Global_Spot Prices'!$B:$B,'[1]Global_Spot Prices'!$H:$H)</f>
        <v>96.59</v>
      </c>
      <c r="F1926">
        <f>_xlfn.XLOOKUP(A1926,'[1]Global_Spot Prices'!$B:$B,'[1]Global_Spot Prices'!$I:$I)</f>
        <v>148.69999999999999</v>
      </c>
      <c r="G1926" cm="1">
        <f t="array" ref="G1926">_xlfn.XLOOKUP(TEXT(A1926, "mmm-yy"), TEXT([2]RUNS!$B$5:$B$208, "mmm-yy"), [2]RUNS!$D$5:$D$208, "Not Found")</f>
        <v>29033.379004835202</v>
      </c>
      <c r="H1926" cm="1">
        <f t="array" ref="H1926">SUMPRODUCT(
    --(TEXT('[3]Global Weekly Stock (EWSuez'!$B$4:$B$2000,"mmm-yy")=TEXT(A1926,"mmm-yy")),
    '[3]Global Weekly Stock (EWSuez'!$E$4:$E$2000)
/
SUMPRODUCT(
    --(TEXT('[3]Global Weekly Stock (EWSuez'!$B$4:$B$2000,"mmm-yy")=TEXT(A1926,"mmm-yy"))
)</f>
        <v>14756</v>
      </c>
      <c r="I1926">
        <f>_xlfn.XLOOKUP(A1926,[1]ForwardDeriv!$D:$D,[1]ForwardDeriv!$AJ:$AJ)</f>
        <v>6.8999999999999773</v>
      </c>
      <c r="J1926" cm="1">
        <f t="array" ref="J1926">_xlfn.XLOOKUP(TEXT(A1926, "mmm-yy"), TEXT([2]GASOLINE!$B$5:$B$208, "mmm-yy"), [2]GASOLINE!$IR$5:$IR$208, "Not Found")</f>
        <v>-223.72715220807839</v>
      </c>
      <c r="K1926" cm="1">
        <f t="array" ref="K1926">_xlfn.XLOOKUP(TEXT(A1926, "mmm-yy"), TEXT([2]GASOLINE!$B$5:$B$208, "mmm-yy"), [2]GASOLINE!$IK$5:$IK$208, "Not Found")</f>
        <v>210.21170297410069</v>
      </c>
      <c r="L1926">
        <f t="shared" si="30"/>
        <v>0</v>
      </c>
      <c r="M1926" cm="1">
        <f t="array" ref="M1926">_xlfn.XLOOKUP(TEXT(A1926, "mmm-yy"), TEXT([2]GASOLINE!$B$5:$B$208, "mmm-yy"), [2]GASOLINE!$C$5:$C$208, "Not Found")</f>
        <v>7125.7576535483322</v>
      </c>
      <c r="N1926" cm="1">
        <f t="array" ref="N1926">_xlfn.XLOOKUP(TEXT(A1926, "mmm-yy"), TEXT([2]RUNS!$B$5:$B$208, "mmm-yy"), [2]RUNS!$BM$5:$BM$208, "Not Found")</f>
        <v>0.79683660039947524</v>
      </c>
    </row>
    <row r="1927" spans="1:14" x14ac:dyDescent="0.25">
      <c r="A1927" s="1">
        <f>'[1]Global_Spot Prices'!$B3236</f>
        <v>44700</v>
      </c>
      <c r="B1927">
        <f>_xlfn.XLOOKUP(A1927,'[1]Global_Spot Prices'!$B:$B,'[1]Global_Spot Prices'!$BS:$BS)</f>
        <v>36.019999999999996</v>
      </c>
      <c r="C1927">
        <f>_xlfn.XLOOKUP(A1927,'[1]Global_Spot Prices'!$B:$B,'[1]Global_Spot Prices'!$E:$E)</f>
        <v>105.58</v>
      </c>
      <c r="D1927">
        <f>_xlfn.XLOOKUP(A1927,'[1]Global_Spot Prices'!$B:$B,'[1]Global_Spot Prices'!$D:$D)</f>
        <v>111.35</v>
      </c>
      <c r="E1927">
        <f>_xlfn.XLOOKUP(A1927,'[1]Global_Spot Prices'!$B:$B,'[1]Global_Spot Prices'!$H:$H)</f>
        <v>92.68</v>
      </c>
      <c r="F1927">
        <f>_xlfn.XLOOKUP(A1927,'[1]Global_Spot Prices'!$B:$B,'[1]Global_Spot Prices'!$I:$I)</f>
        <v>141.6</v>
      </c>
      <c r="G1927" cm="1">
        <f t="array" ref="G1927">_xlfn.XLOOKUP(TEXT(A1927, "mmm-yy"), TEXT([2]RUNS!$B$5:$B$208, "mmm-yy"), [2]RUNS!$D$5:$D$208, "Not Found")</f>
        <v>29033.379004835202</v>
      </c>
      <c r="H1927" cm="1">
        <f t="array" ref="H1927">SUMPRODUCT(
    --(TEXT('[3]Global Weekly Stock (EWSuez'!$B$4:$B$2000,"mmm-yy")=TEXT(A1927,"mmm-yy")),
    '[3]Global Weekly Stock (EWSuez'!$E$4:$E$2000)
/
SUMPRODUCT(
    --(TEXT('[3]Global Weekly Stock (EWSuez'!$B$4:$B$2000,"mmm-yy")=TEXT(A1927,"mmm-yy"))
)</f>
        <v>14756</v>
      </c>
      <c r="I1927">
        <f>_xlfn.XLOOKUP(A1927,[1]ForwardDeriv!$D:$D,[1]ForwardDeriv!$AJ:$AJ)</f>
        <v>5.9499999999999886</v>
      </c>
      <c r="J1927" cm="1">
        <f t="array" ref="J1927">_xlfn.XLOOKUP(TEXT(A1927, "mmm-yy"), TEXT([2]GASOLINE!$B$5:$B$208, "mmm-yy"), [2]GASOLINE!$IR$5:$IR$208, "Not Found")</f>
        <v>-223.72715220807839</v>
      </c>
      <c r="K1927" cm="1">
        <f t="array" ref="K1927">_xlfn.XLOOKUP(TEXT(A1927, "mmm-yy"), TEXT([2]GASOLINE!$B$5:$B$208, "mmm-yy"), [2]GASOLINE!$IK$5:$IK$208, "Not Found")</f>
        <v>210.21170297410069</v>
      </c>
      <c r="L1927">
        <f t="shared" si="30"/>
        <v>0</v>
      </c>
      <c r="M1927" cm="1">
        <f t="array" ref="M1927">_xlfn.XLOOKUP(TEXT(A1927, "mmm-yy"), TEXT([2]GASOLINE!$B$5:$B$208, "mmm-yy"), [2]GASOLINE!$C$5:$C$208, "Not Found")</f>
        <v>7125.7576535483322</v>
      </c>
      <c r="N1927" cm="1">
        <f t="array" ref="N1927">_xlfn.XLOOKUP(TEXT(A1927, "mmm-yy"), TEXT([2]RUNS!$B$5:$B$208, "mmm-yy"), [2]RUNS!$BM$5:$BM$208, "Not Found")</f>
        <v>0.79683660039947524</v>
      </c>
    </row>
    <row r="1928" spans="1:14" x14ac:dyDescent="0.25">
      <c r="A1928" s="1">
        <f>'[1]Global_Spot Prices'!$B3237</f>
        <v>44701</v>
      </c>
      <c r="B1928">
        <f>_xlfn.XLOOKUP(A1928,'[1]Global_Spot Prices'!$B:$B,'[1]Global_Spot Prices'!$BS:$BS)</f>
        <v>40.83</v>
      </c>
      <c r="C1928">
        <f>_xlfn.XLOOKUP(A1928,'[1]Global_Spot Prices'!$B:$B,'[1]Global_Spot Prices'!$E:$E)</f>
        <v>108.04</v>
      </c>
      <c r="D1928">
        <f>_xlfn.XLOOKUP(A1928,'[1]Global_Spot Prices'!$B:$B,'[1]Global_Spot Prices'!$D:$D)</f>
        <v>113.815</v>
      </c>
      <c r="E1928">
        <f>_xlfn.XLOOKUP(A1928,'[1]Global_Spot Prices'!$B:$B,'[1]Global_Spot Prices'!$H:$H)</f>
        <v>95.14</v>
      </c>
      <c r="F1928">
        <f>_xlfn.XLOOKUP(A1928,'[1]Global_Spot Prices'!$B:$B,'[1]Global_Spot Prices'!$I:$I)</f>
        <v>148.87</v>
      </c>
      <c r="G1928" cm="1">
        <f t="array" ref="G1928">_xlfn.XLOOKUP(TEXT(A1928, "mmm-yy"), TEXT([2]RUNS!$B$5:$B$208, "mmm-yy"), [2]RUNS!$D$5:$D$208, "Not Found")</f>
        <v>29033.379004835202</v>
      </c>
      <c r="H1928" cm="1">
        <f t="array" ref="H1928">SUMPRODUCT(
    --(TEXT('[3]Global Weekly Stock (EWSuez'!$B$4:$B$2000,"mmm-yy")=TEXT(A1928,"mmm-yy")),
    '[3]Global Weekly Stock (EWSuez'!$E$4:$E$2000)
/
SUMPRODUCT(
    --(TEXT('[3]Global Weekly Stock (EWSuez'!$B$4:$B$2000,"mmm-yy")=TEXT(A1928,"mmm-yy"))
)</f>
        <v>14756</v>
      </c>
      <c r="I1928">
        <f>_xlfn.XLOOKUP(A1928,[1]ForwardDeriv!$D:$D,[1]ForwardDeriv!$AJ:$AJ)</f>
        <v>6.7299999999999898</v>
      </c>
      <c r="J1928" cm="1">
        <f t="array" ref="J1928">_xlfn.XLOOKUP(TEXT(A1928, "mmm-yy"), TEXT([2]GASOLINE!$B$5:$B$208, "mmm-yy"), [2]GASOLINE!$IR$5:$IR$208, "Not Found")</f>
        <v>-223.72715220807839</v>
      </c>
      <c r="K1928" cm="1">
        <f t="array" ref="K1928">_xlfn.XLOOKUP(TEXT(A1928, "mmm-yy"), TEXT([2]GASOLINE!$B$5:$B$208, "mmm-yy"), [2]GASOLINE!$IK$5:$IK$208, "Not Found")</f>
        <v>210.21170297410069</v>
      </c>
      <c r="L1928">
        <f t="shared" si="30"/>
        <v>0</v>
      </c>
      <c r="M1928" cm="1">
        <f t="array" ref="M1928">_xlfn.XLOOKUP(TEXT(A1928, "mmm-yy"), TEXT([2]GASOLINE!$B$5:$B$208, "mmm-yy"), [2]GASOLINE!$C$5:$C$208, "Not Found")</f>
        <v>7125.7576535483322</v>
      </c>
      <c r="N1928" cm="1">
        <f t="array" ref="N1928">_xlfn.XLOOKUP(TEXT(A1928, "mmm-yy"), TEXT([2]RUNS!$B$5:$B$208, "mmm-yy"), [2]RUNS!$BM$5:$BM$208, "Not Found")</f>
        <v>0.79683660039947524</v>
      </c>
    </row>
    <row r="1929" spans="1:14" x14ac:dyDescent="0.25">
      <c r="A1929" s="1">
        <f>'[1]Global_Spot Prices'!$B3238</f>
        <v>44704</v>
      </c>
      <c r="B1929">
        <f>_xlfn.XLOOKUP(A1929,'[1]Global_Spot Prices'!$B:$B,'[1]Global_Spot Prices'!$BS:$BS)</f>
        <v>32.309999999999988</v>
      </c>
      <c r="C1929">
        <f>_xlfn.XLOOKUP(A1929,'[1]Global_Spot Prices'!$B:$B,'[1]Global_Spot Prices'!$E:$E)</f>
        <v>109.39</v>
      </c>
      <c r="D1929">
        <f>_xlfn.XLOOKUP(A1929,'[1]Global_Spot Prices'!$B:$B,'[1]Global_Spot Prices'!$D:$D)</f>
        <v>115.52500000000001</v>
      </c>
      <c r="E1929">
        <f>_xlfn.XLOOKUP(A1929,'[1]Global_Spot Prices'!$B:$B,'[1]Global_Spot Prices'!$H:$H)</f>
        <v>95.98</v>
      </c>
      <c r="F1929">
        <f>_xlfn.XLOOKUP(A1929,'[1]Global_Spot Prices'!$B:$B,'[1]Global_Spot Prices'!$I:$I)</f>
        <v>141.69999999999999</v>
      </c>
      <c r="G1929" cm="1">
        <f t="array" ref="G1929">_xlfn.XLOOKUP(TEXT(A1929, "mmm-yy"), TEXT([2]RUNS!$B$5:$B$208, "mmm-yy"), [2]RUNS!$D$5:$D$208, "Not Found")</f>
        <v>29033.379004835202</v>
      </c>
      <c r="H1929" cm="1">
        <f t="array" ref="H1929">SUMPRODUCT(
    --(TEXT('[3]Global Weekly Stock (EWSuez'!$B$4:$B$2000,"mmm-yy")=TEXT(A1929,"mmm-yy")),
    '[3]Global Weekly Stock (EWSuez'!$E$4:$E$2000)
/
SUMPRODUCT(
    --(TEXT('[3]Global Weekly Stock (EWSuez'!$B$4:$B$2000,"mmm-yy")=TEXT(A1929,"mmm-yy"))
)</f>
        <v>14756</v>
      </c>
      <c r="I1929">
        <f>_xlfn.XLOOKUP(A1929,[1]ForwardDeriv!$D:$D,[1]ForwardDeriv!$AJ:$AJ)</f>
        <v>5.0999999999999943</v>
      </c>
      <c r="J1929" cm="1">
        <f t="array" ref="J1929">_xlfn.XLOOKUP(TEXT(A1929, "mmm-yy"), TEXT([2]GASOLINE!$B$5:$B$208, "mmm-yy"), [2]GASOLINE!$IR$5:$IR$208, "Not Found")</f>
        <v>-223.72715220807839</v>
      </c>
      <c r="K1929" cm="1">
        <f t="array" ref="K1929">_xlfn.XLOOKUP(TEXT(A1929, "mmm-yy"), TEXT([2]GASOLINE!$B$5:$B$208, "mmm-yy"), [2]GASOLINE!$IK$5:$IK$208, "Not Found")</f>
        <v>210.21170297410069</v>
      </c>
      <c r="L1929">
        <f t="shared" si="30"/>
        <v>0</v>
      </c>
      <c r="M1929" cm="1">
        <f t="array" ref="M1929">_xlfn.XLOOKUP(TEXT(A1929, "mmm-yy"), TEXT([2]GASOLINE!$B$5:$B$208, "mmm-yy"), [2]GASOLINE!$C$5:$C$208, "Not Found")</f>
        <v>7125.7576535483322</v>
      </c>
      <c r="N1929" cm="1">
        <f t="array" ref="N1929">_xlfn.XLOOKUP(TEXT(A1929, "mmm-yy"), TEXT([2]RUNS!$B$5:$B$208, "mmm-yy"), [2]RUNS!$BM$5:$BM$208, "Not Found")</f>
        <v>0.79683660039947524</v>
      </c>
    </row>
    <row r="1930" spans="1:14" x14ac:dyDescent="0.25">
      <c r="A1930" s="1">
        <f>'[1]Global_Spot Prices'!$B3239</f>
        <v>44705</v>
      </c>
      <c r="B1930">
        <f>_xlfn.XLOOKUP(A1930,'[1]Global_Spot Prices'!$B:$B,'[1]Global_Spot Prices'!$BS:$BS)</f>
        <v>29.799999999999997</v>
      </c>
      <c r="C1930">
        <f>_xlfn.XLOOKUP(A1930,'[1]Global_Spot Prices'!$B:$B,'[1]Global_Spot Prices'!$E:$E)</f>
        <v>107.89</v>
      </c>
      <c r="D1930">
        <f>_xlfn.XLOOKUP(A1930,'[1]Global_Spot Prices'!$B:$B,'[1]Global_Spot Prices'!$D:$D)</f>
        <v>115.815</v>
      </c>
      <c r="E1930">
        <f>_xlfn.XLOOKUP(A1930,'[1]Global_Spot Prices'!$B:$B,'[1]Global_Spot Prices'!$H:$H)</f>
        <v>93.95</v>
      </c>
      <c r="F1930">
        <f>_xlfn.XLOOKUP(A1930,'[1]Global_Spot Prices'!$B:$B,'[1]Global_Spot Prices'!$I:$I)</f>
        <v>137.69</v>
      </c>
      <c r="G1930" cm="1">
        <f t="array" ref="G1930">_xlfn.XLOOKUP(TEXT(A1930, "mmm-yy"), TEXT([2]RUNS!$B$5:$B$208, "mmm-yy"), [2]RUNS!$D$5:$D$208, "Not Found")</f>
        <v>29033.379004835202</v>
      </c>
      <c r="H1930" cm="1">
        <f t="array" ref="H1930">SUMPRODUCT(
    --(TEXT('[3]Global Weekly Stock (EWSuez'!$B$4:$B$2000,"mmm-yy")=TEXT(A1930,"mmm-yy")),
    '[3]Global Weekly Stock (EWSuez'!$E$4:$E$2000)
/
SUMPRODUCT(
    --(TEXT('[3]Global Weekly Stock (EWSuez'!$B$4:$B$2000,"mmm-yy")=TEXT(A1930,"mmm-yy"))
)</f>
        <v>14756</v>
      </c>
      <c r="I1930">
        <f>_xlfn.XLOOKUP(A1930,[1]ForwardDeriv!$D:$D,[1]ForwardDeriv!$AJ:$AJ)</f>
        <v>4.7800000000000011</v>
      </c>
      <c r="J1930" cm="1">
        <f t="array" ref="J1930">_xlfn.XLOOKUP(TEXT(A1930, "mmm-yy"), TEXT([2]GASOLINE!$B$5:$B$208, "mmm-yy"), [2]GASOLINE!$IR$5:$IR$208, "Not Found")</f>
        <v>-223.72715220807839</v>
      </c>
      <c r="K1930" cm="1">
        <f t="array" ref="K1930">_xlfn.XLOOKUP(TEXT(A1930, "mmm-yy"), TEXT([2]GASOLINE!$B$5:$B$208, "mmm-yy"), [2]GASOLINE!$IK$5:$IK$208, "Not Found")</f>
        <v>210.21170297410069</v>
      </c>
      <c r="L1930">
        <f t="shared" si="30"/>
        <v>0</v>
      </c>
      <c r="M1930" cm="1">
        <f t="array" ref="M1930">_xlfn.XLOOKUP(TEXT(A1930, "mmm-yy"), TEXT([2]GASOLINE!$B$5:$B$208, "mmm-yy"), [2]GASOLINE!$C$5:$C$208, "Not Found")</f>
        <v>7125.7576535483322</v>
      </c>
      <c r="N1930" cm="1">
        <f t="array" ref="N1930">_xlfn.XLOOKUP(TEXT(A1930, "mmm-yy"), TEXT([2]RUNS!$B$5:$B$208, "mmm-yy"), [2]RUNS!$BM$5:$BM$208, "Not Found")</f>
        <v>0.79683660039947524</v>
      </c>
    </row>
    <row r="1931" spans="1:14" x14ac:dyDescent="0.25">
      <c r="A1931" s="1">
        <f>'[1]Global_Spot Prices'!$B3240</f>
        <v>44706</v>
      </c>
      <c r="B1931">
        <f>_xlfn.XLOOKUP(A1931,'[1]Global_Spot Prices'!$B:$B,'[1]Global_Spot Prices'!$BS:$BS)</f>
        <v>29.92</v>
      </c>
      <c r="C1931">
        <f>_xlfn.XLOOKUP(A1931,'[1]Global_Spot Prices'!$B:$B,'[1]Global_Spot Prices'!$E:$E)</f>
        <v>109.2</v>
      </c>
      <c r="D1931">
        <f>_xlfn.XLOOKUP(A1931,'[1]Global_Spot Prices'!$B:$B,'[1]Global_Spot Prices'!$D:$D)</f>
        <v>115.74</v>
      </c>
      <c r="E1931">
        <f>_xlfn.XLOOKUP(A1931,'[1]Global_Spot Prices'!$B:$B,'[1]Global_Spot Prices'!$H:$H)</f>
        <v>92.58</v>
      </c>
      <c r="F1931">
        <f>_xlfn.XLOOKUP(A1931,'[1]Global_Spot Prices'!$B:$B,'[1]Global_Spot Prices'!$I:$I)</f>
        <v>139.12</v>
      </c>
      <c r="G1931" cm="1">
        <f t="array" ref="G1931">_xlfn.XLOOKUP(TEXT(A1931, "mmm-yy"), TEXT([2]RUNS!$B$5:$B$208, "mmm-yy"), [2]RUNS!$D$5:$D$208, "Not Found")</f>
        <v>29033.379004835202</v>
      </c>
      <c r="H1931" cm="1">
        <f t="array" ref="H1931">SUMPRODUCT(
    --(TEXT('[3]Global Weekly Stock (EWSuez'!$B$4:$B$2000,"mmm-yy")=TEXT(A1931,"mmm-yy")),
    '[3]Global Weekly Stock (EWSuez'!$E$4:$E$2000)
/
SUMPRODUCT(
    --(TEXT('[3]Global Weekly Stock (EWSuez'!$B$4:$B$2000,"mmm-yy")=TEXT(A1931,"mmm-yy"))
)</f>
        <v>14756</v>
      </c>
      <c r="I1931">
        <f>_xlfn.XLOOKUP(A1931,[1]ForwardDeriv!$D:$D,[1]ForwardDeriv!$AJ:$AJ)</f>
        <v>4.6300000000000239</v>
      </c>
      <c r="J1931" cm="1">
        <f t="array" ref="J1931">_xlfn.XLOOKUP(TEXT(A1931, "mmm-yy"), TEXT([2]GASOLINE!$B$5:$B$208, "mmm-yy"), [2]GASOLINE!$IR$5:$IR$208, "Not Found")</f>
        <v>-223.72715220807839</v>
      </c>
      <c r="K1931" cm="1">
        <f t="array" ref="K1931">_xlfn.XLOOKUP(TEXT(A1931, "mmm-yy"), TEXT([2]GASOLINE!$B$5:$B$208, "mmm-yy"), [2]GASOLINE!$IK$5:$IK$208, "Not Found")</f>
        <v>210.21170297410069</v>
      </c>
      <c r="L1931">
        <f t="shared" si="30"/>
        <v>0</v>
      </c>
      <c r="M1931" cm="1">
        <f t="array" ref="M1931">_xlfn.XLOOKUP(TEXT(A1931, "mmm-yy"), TEXT([2]GASOLINE!$B$5:$B$208, "mmm-yy"), [2]GASOLINE!$C$5:$C$208, "Not Found")</f>
        <v>7125.7576535483322</v>
      </c>
      <c r="N1931" cm="1">
        <f t="array" ref="N1931">_xlfn.XLOOKUP(TEXT(A1931, "mmm-yy"), TEXT([2]RUNS!$B$5:$B$208, "mmm-yy"), [2]RUNS!$BM$5:$BM$208, "Not Found")</f>
        <v>0.79683660039947524</v>
      </c>
    </row>
    <row r="1932" spans="1:14" x14ac:dyDescent="0.25">
      <c r="A1932" s="1">
        <f>'[1]Global_Spot Prices'!$B3241</f>
        <v>44707</v>
      </c>
      <c r="B1932">
        <f>_xlfn.XLOOKUP(A1932,'[1]Global_Spot Prices'!$B:$B,'[1]Global_Spot Prices'!$BS:$BS)</f>
        <v>33.53</v>
      </c>
      <c r="C1932">
        <f>_xlfn.XLOOKUP(A1932,'[1]Global_Spot Prices'!$B:$B,'[1]Global_Spot Prices'!$E:$E)</f>
        <v>108.91</v>
      </c>
      <c r="D1932">
        <f>_xlfn.XLOOKUP(A1932,'[1]Global_Spot Prices'!$B:$B,'[1]Global_Spot Prices'!$D:$D)</f>
        <v>118.685</v>
      </c>
      <c r="E1932">
        <f>_xlfn.XLOOKUP(A1932,'[1]Global_Spot Prices'!$B:$B,'[1]Global_Spot Prices'!$H:$H)</f>
        <v>91.46</v>
      </c>
      <c r="F1932">
        <f>_xlfn.XLOOKUP(A1932,'[1]Global_Spot Prices'!$B:$B,'[1]Global_Spot Prices'!$I:$I)</f>
        <v>142.44</v>
      </c>
      <c r="G1932" cm="1">
        <f t="array" ref="G1932">_xlfn.XLOOKUP(TEXT(A1932, "mmm-yy"), TEXT([2]RUNS!$B$5:$B$208, "mmm-yy"), [2]RUNS!$D$5:$D$208, "Not Found")</f>
        <v>29033.379004835202</v>
      </c>
      <c r="H1932" cm="1">
        <f t="array" ref="H1932">SUMPRODUCT(
    --(TEXT('[3]Global Weekly Stock (EWSuez'!$B$4:$B$2000,"mmm-yy")=TEXT(A1932,"mmm-yy")),
    '[3]Global Weekly Stock (EWSuez'!$E$4:$E$2000)
/
SUMPRODUCT(
    --(TEXT('[3]Global Weekly Stock (EWSuez'!$B$4:$B$2000,"mmm-yy")=TEXT(A1932,"mmm-yy"))
)</f>
        <v>14756</v>
      </c>
      <c r="I1932">
        <f>_xlfn.XLOOKUP(A1932,[1]ForwardDeriv!$D:$D,[1]ForwardDeriv!$AJ:$AJ)</f>
        <v>5.6500000000000057</v>
      </c>
      <c r="J1932" cm="1">
        <f t="array" ref="J1932">_xlfn.XLOOKUP(TEXT(A1932, "mmm-yy"), TEXT([2]GASOLINE!$B$5:$B$208, "mmm-yy"), [2]GASOLINE!$IR$5:$IR$208, "Not Found")</f>
        <v>-223.72715220807839</v>
      </c>
      <c r="K1932" cm="1">
        <f t="array" ref="K1932">_xlfn.XLOOKUP(TEXT(A1932, "mmm-yy"), TEXT([2]GASOLINE!$B$5:$B$208, "mmm-yy"), [2]GASOLINE!$IK$5:$IK$208, "Not Found")</f>
        <v>210.21170297410069</v>
      </c>
      <c r="L1932">
        <f t="shared" si="30"/>
        <v>0</v>
      </c>
      <c r="M1932" cm="1">
        <f t="array" ref="M1932">_xlfn.XLOOKUP(TEXT(A1932, "mmm-yy"), TEXT([2]GASOLINE!$B$5:$B$208, "mmm-yy"), [2]GASOLINE!$C$5:$C$208, "Not Found")</f>
        <v>7125.7576535483322</v>
      </c>
      <c r="N1932" cm="1">
        <f t="array" ref="N1932">_xlfn.XLOOKUP(TEXT(A1932, "mmm-yy"), TEXT([2]RUNS!$B$5:$B$208, "mmm-yy"), [2]RUNS!$BM$5:$BM$208, "Not Found")</f>
        <v>0.79683660039947524</v>
      </c>
    </row>
    <row r="1933" spans="1:14" x14ac:dyDescent="0.25">
      <c r="A1933" s="1">
        <f>'[1]Global_Spot Prices'!$B3242</f>
        <v>44708</v>
      </c>
      <c r="B1933">
        <f>_xlfn.XLOOKUP(A1933,'[1]Global_Spot Prices'!$B:$B,'[1]Global_Spot Prices'!$BS:$BS)</f>
        <v>33.725000000000009</v>
      </c>
      <c r="C1933">
        <f>_xlfn.XLOOKUP(A1933,'[1]Global_Spot Prices'!$B:$B,'[1]Global_Spot Prices'!$E:$E)</f>
        <v>112.355</v>
      </c>
      <c r="D1933">
        <f>_xlfn.XLOOKUP(A1933,'[1]Global_Spot Prices'!$B:$B,'[1]Global_Spot Prices'!$D:$D)</f>
        <v>119.66500000000001</v>
      </c>
      <c r="E1933">
        <f>_xlfn.XLOOKUP(A1933,'[1]Global_Spot Prices'!$B:$B,'[1]Global_Spot Prices'!$H:$H)</f>
        <v>93.09</v>
      </c>
      <c r="F1933">
        <f>_xlfn.XLOOKUP(A1933,'[1]Global_Spot Prices'!$B:$B,'[1]Global_Spot Prices'!$I:$I)</f>
        <v>146.08000000000001</v>
      </c>
      <c r="G1933" cm="1">
        <f t="array" ref="G1933">_xlfn.XLOOKUP(TEXT(A1933, "mmm-yy"), TEXT([2]RUNS!$B$5:$B$208, "mmm-yy"), [2]RUNS!$D$5:$D$208, "Not Found")</f>
        <v>29033.379004835202</v>
      </c>
      <c r="H1933" cm="1">
        <f t="array" ref="H1933">SUMPRODUCT(
    --(TEXT('[3]Global Weekly Stock (EWSuez'!$B$4:$B$2000,"mmm-yy")=TEXT(A1933,"mmm-yy")),
    '[3]Global Weekly Stock (EWSuez'!$E$4:$E$2000)
/
SUMPRODUCT(
    --(TEXT('[3]Global Weekly Stock (EWSuez'!$B$4:$B$2000,"mmm-yy")=TEXT(A1933,"mmm-yy"))
)</f>
        <v>14756</v>
      </c>
      <c r="I1933">
        <f>_xlfn.XLOOKUP(A1933,[1]ForwardDeriv!$D:$D,[1]ForwardDeriv!$AJ:$AJ)</f>
        <v>5.8999999999999773</v>
      </c>
      <c r="J1933" cm="1">
        <f t="array" ref="J1933">_xlfn.XLOOKUP(TEXT(A1933, "mmm-yy"), TEXT([2]GASOLINE!$B$5:$B$208, "mmm-yy"), [2]GASOLINE!$IR$5:$IR$208, "Not Found")</f>
        <v>-223.72715220807839</v>
      </c>
      <c r="K1933" cm="1">
        <f t="array" ref="K1933">_xlfn.XLOOKUP(TEXT(A1933, "mmm-yy"), TEXT([2]GASOLINE!$B$5:$B$208, "mmm-yy"), [2]GASOLINE!$IK$5:$IK$208, "Not Found")</f>
        <v>210.21170297410069</v>
      </c>
      <c r="L1933">
        <f t="shared" si="30"/>
        <v>0</v>
      </c>
      <c r="M1933" cm="1">
        <f t="array" ref="M1933">_xlfn.XLOOKUP(TEXT(A1933, "mmm-yy"), TEXT([2]GASOLINE!$B$5:$B$208, "mmm-yy"), [2]GASOLINE!$C$5:$C$208, "Not Found")</f>
        <v>7125.7576535483322</v>
      </c>
      <c r="N1933" cm="1">
        <f t="array" ref="N1933">_xlfn.XLOOKUP(TEXT(A1933, "mmm-yy"), TEXT([2]RUNS!$B$5:$B$208, "mmm-yy"), [2]RUNS!$BM$5:$BM$208, "Not Found")</f>
        <v>0.79683660039947524</v>
      </c>
    </row>
    <row r="1934" spans="1:14" x14ac:dyDescent="0.25">
      <c r="A1934" s="1">
        <f>'[1]Global_Spot Prices'!$B3243</f>
        <v>44711</v>
      </c>
      <c r="B1934">
        <f>_xlfn.XLOOKUP(A1934,'[1]Global_Spot Prices'!$B:$B,'[1]Global_Spot Prices'!$BS:$BS)</f>
        <v>36.149999999999991</v>
      </c>
      <c r="C1934">
        <f>_xlfn.XLOOKUP(A1934,'[1]Global_Spot Prices'!$B:$B,'[1]Global_Spot Prices'!$E:$E)</f>
        <v>113.79</v>
      </c>
      <c r="D1934">
        <f>_xlfn.XLOOKUP(A1934,'[1]Global_Spot Prices'!$B:$B,'[1]Global_Spot Prices'!$D:$D)</f>
        <v>122.33499999999999</v>
      </c>
      <c r="E1934">
        <f>_xlfn.XLOOKUP(A1934,'[1]Global_Spot Prices'!$B:$B,'[1]Global_Spot Prices'!$H:$H)</f>
        <v>92.06</v>
      </c>
      <c r="F1934">
        <f>_xlfn.XLOOKUP(A1934,'[1]Global_Spot Prices'!$B:$B,'[1]Global_Spot Prices'!$I:$I)</f>
        <v>149.94</v>
      </c>
      <c r="G1934" cm="1">
        <f t="array" ref="G1934">_xlfn.XLOOKUP(TEXT(A1934, "mmm-yy"), TEXT([2]RUNS!$B$5:$B$208, "mmm-yy"), [2]RUNS!$D$5:$D$208, "Not Found")</f>
        <v>29033.379004835202</v>
      </c>
      <c r="H1934" cm="1">
        <f t="array" ref="H1934">SUMPRODUCT(
    --(TEXT('[3]Global Weekly Stock (EWSuez'!$B$4:$B$2000,"mmm-yy")=TEXT(A1934,"mmm-yy")),
    '[3]Global Weekly Stock (EWSuez'!$E$4:$E$2000)
/
SUMPRODUCT(
    --(TEXT('[3]Global Weekly Stock (EWSuez'!$B$4:$B$2000,"mmm-yy")=TEXT(A1934,"mmm-yy"))
)</f>
        <v>14756</v>
      </c>
      <c r="I1934">
        <f>_xlfn.XLOOKUP(A1934,[1]ForwardDeriv!$D:$D,[1]ForwardDeriv!$AJ:$AJ)</f>
        <v>6.8000000000000114</v>
      </c>
      <c r="J1934" cm="1">
        <f t="array" ref="J1934">_xlfn.XLOOKUP(TEXT(A1934, "mmm-yy"), TEXT([2]GASOLINE!$B$5:$B$208, "mmm-yy"), [2]GASOLINE!$IR$5:$IR$208, "Not Found")</f>
        <v>-223.72715220807839</v>
      </c>
      <c r="K1934" cm="1">
        <f t="array" ref="K1934">_xlfn.XLOOKUP(TEXT(A1934, "mmm-yy"), TEXT([2]GASOLINE!$B$5:$B$208, "mmm-yy"), [2]GASOLINE!$IK$5:$IK$208, "Not Found")</f>
        <v>210.21170297410069</v>
      </c>
      <c r="L1934">
        <f t="shared" si="30"/>
        <v>0</v>
      </c>
      <c r="M1934" cm="1">
        <f t="array" ref="M1934">_xlfn.XLOOKUP(TEXT(A1934, "mmm-yy"), TEXT([2]GASOLINE!$B$5:$B$208, "mmm-yy"), [2]GASOLINE!$C$5:$C$208, "Not Found")</f>
        <v>7125.7576535483322</v>
      </c>
      <c r="N1934" cm="1">
        <f t="array" ref="N1934">_xlfn.XLOOKUP(TEXT(A1934, "mmm-yy"), TEXT([2]RUNS!$B$5:$B$208, "mmm-yy"), [2]RUNS!$BM$5:$BM$208, "Not Found")</f>
        <v>0.79683660039947524</v>
      </c>
    </row>
    <row r="1935" spans="1:14" x14ac:dyDescent="0.25">
      <c r="A1935" s="1">
        <f>'[1]Global_Spot Prices'!$B3244</f>
        <v>44712</v>
      </c>
      <c r="B1935">
        <f>_xlfn.XLOOKUP(A1935,'[1]Global_Spot Prices'!$B:$B,'[1]Global_Spot Prices'!$BS:$BS)</f>
        <v>34.72</v>
      </c>
      <c r="C1935">
        <f>_xlfn.XLOOKUP(A1935,'[1]Global_Spot Prices'!$B:$B,'[1]Global_Spot Prices'!$E:$E)</f>
        <v>116.35</v>
      </c>
      <c r="D1935">
        <f>_xlfn.XLOOKUP(A1935,'[1]Global_Spot Prices'!$B:$B,'[1]Global_Spot Prices'!$D:$D)</f>
        <v>124.375</v>
      </c>
      <c r="E1935">
        <f>_xlfn.XLOOKUP(A1935,'[1]Global_Spot Prices'!$B:$B,'[1]Global_Spot Prices'!$H:$H)</f>
        <v>93</v>
      </c>
      <c r="F1935">
        <f>_xlfn.XLOOKUP(A1935,'[1]Global_Spot Prices'!$B:$B,'[1]Global_Spot Prices'!$I:$I)</f>
        <v>151.07</v>
      </c>
      <c r="G1935" cm="1">
        <f t="array" ref="G1935">_xlfn.XLOOKUP(TEXT(A1935, "mmm-yy"), TEXT([2]RUNS!$B$5:$B$208, "mmm-yy"), [2]RUNS!$D$5:$D$208, "Not Found")</f>
        <v>29033.379004835202</v>
      </c>
      <c r="H1935" cm="1">
        <f t="array" ref="H1935">SUMPRODUCT(
    --(TEXT('[3]Global Weekly Stock (EWSuez'!$B$4:$B$2000,"mmm-yy")=TEXT(A1935,"mmm-yy")),
    '[3]Global Weekly Stock (EWSuez'!$E$4:$E$2000)
/
SUMPRODUCT(
    --(TEXT('[3]Global Weekly Stock (EWSuez'!$B$4:$B$2000,"mmm-yy")=TEXT(A1935,"mmm-yy"))
)</f>
        <v>14756</v>
      </c>
      <c r="I1935">
        <f>_xlfn.XLOOKUP(A1935,[1]ForwardDeriv!$D:$D,[1]ForwardDeriv!$AJ:$AJ)</f>
        <v>6.9099999999999966</v>
      </c>
      <c r="J1935" cm="1">
        <f t="array" ref="J1935">_xlfn.XLOOKUP(TEXT(A1935, "mmm-yy"), TEXT([2]GASOLINE!$B$5:$B$208, "mmm-yy"), [2]GASOLINE!$IR$5:$IR$208, "Not Found")</f>
        <v>-223.72715220807839</v>
      </c>
      <c r="K1935" cm="1">
        <f t="array" ref="K1935">_xlfn.XLOOKUP(TEXT(A1935, "mmm-yy"), TEXT([2]GASOLINE!$B$5:$B$208, "mmm-yy"), [2]GASOLINE!$IK$5:$IK$208, "Not Found")</f>
        <v>210.21170297410069</v>
      </c>
      <c r="L1935">
        <f t="shared" si="30"/>
        <v>0</v>
      </c>
      <c r="M1935" cm="1">
        <f t="array" ref="M1935">_xlfn.XLOOKUP(TEXT(A1935, "mmm-yy"), TEXT([2]GASOLINE!$B$5:$B$208, "mmm-yy"), [2]GASOLINE!$C$5:$C$208, "Not Found")</f>
        <v>7125.7576535483322</v>
      </c>
      <c r="N1935" cm="1">
        <f t="array" ref="N1935">_xlfn.XLOOKUP(TEXT(A1935, "mmm-yy"), TEXT([2]RUNS!$B$5:$B$208, "mmm-yy"), [2]RUNS!$BM$5:$BM$208, "Not Found")</f>
        <v>0.79683660039947524</v>
      </c>
    </row>
    <row r="1936" spans="1:14" x14ac:dyDescent="0.25">
      <c r="A1936" s="1">
        <f>'[1]Global_Spot Prices'!$B3245</f>
        <v>44713</v>
      </c>
      <c r="B1936">
        <f>_xlfn.XLOOKUP(A1936,'[1]Global_Spot Prices'!$B:$B,'[1]Global_Spot Prices'!$BS:$BS)</f>
        <v>34.340000000000003</v>
      </c>
      <c r="C1936">
        <f>_xlfn.XLOOKUP(A1936,'[1]Global_Spot Prices'!$B:$B,'[1]Global_Spot Prices'!$E:$E)</f>
        <v>112.66</v>
      </c>
      <c r="D1936">
        <f>_xlfn.XLOOKUP(A1936,'[1]Global_Spot Prices'!$B:$B,'[1]Global_Spot Prices'!$D:$D)</f>
        <v>122.96</v>
      </c>
      <c r="E1936">
        <f>_xlfn.XLOOKUP(A1936,'[1]Global_Spot Prices'!$B:$B,'[1]Global_Spot Prices'!$H:$H)</f>
        <v>88.48</v>
      </c>
      <c r="F1936">
        <f>_xlfn.XLOOKUP(A1936,'[1]Global_Spot Prices'!$B:$B,'[1]Global_Spot Prices'!$I:$I)</f>
        <v>147</v>
      </c>
      <c r="G1936" cm="1">
        <f t="array" ref="G1936">_xlfn.XLOOKUP(TEXT(A1936, "mmm-yy"), TEXT([2]RUNS!$B$5:$B$208, "mmm-yy"), [2]RUNS!$D$5:$D$208, "Not Found")</f>
        <v>29350.954480947912</v>
      </c>
      <c r="H1936" cm="1">
        <f t="array" ref="H1936">SUMPRODUCT(
    --(TEXT('[3]Global Weekly Stock (EWSuez'!$B$4:$B$2000,"mmm-yy")=TEXT(A1936,"mmm-yy")),
    '[3]Global Weekly Stock (EWSuez'!$E$4:$E$2000)
/
SUMPRODUCT(
    --(TEXT('[3]Global Weekly Stock (EWSuez'!$B$4:$B$2000,"mmm-yy")=TEXT(A1936,"mmm-yy"))
)</f>
        <v>15343.5</v>
      </c>
      <c r="I1936">
        <f>_xlfn.XLOOKUP(A1936,[1]ForwardDeriv!$D:$D,[1]ForwardDeriv!$AJ:$AJ)</f>
        <v>5.3199999999999932</v>
      </c>
      <c r="J1936" cm="1">
        <f t="array" ref="J1936">_xlfn.XLOOKUP(TEXT(A1936, "mmm-yy"), TEXT([2]GASOLINE!$B$5:$B$208, "mmm-yy"), [2]GASOLINE!$IR$5:$IR$208, "Not Found")</f>
        <v>-165.31686607678313</v>
      </c>
      <c r="K1936" cm="1">
        <f t="array" ref="K1936">_xlfn.XLOOKUP(TEXT(A1936, "mmm-yy"), TEXT([2]GASOLINE!$B$5:$B$208, "mmm-yy"), [2]GASOLINE!$IK$5:$IK$208, "Not Found")</f>
        <v>212.67467701496597</v>
      </c>
      <c r="L1936">
        <f t="shared" si="30"/>
        <v>1</v>
      </c>
      <c r="M1936" cm="1">
        <f t="array" ref="M1936">_xlfn.XLOOKUP(TEXT(A1936, "mmm-yy"), TEXT([2]GASOLINE!$B$5:$B$208, "mmm-yy"), [2]GASOLINE!$C$5:$C$208, "Not Found")</f>
        <v>7253.7858162044349</v>
      </c>
      <c r="N1936" cm="1">
        <f t="array" ref="N1936">_xlfn.XLOOKUP(TEXT(A1936, "mmm-yy"), TEXT([2]RUNS!$B$5:$B$208, "mmm-yy"), [2]RUNS!$BM$5:$BM$208, "Not Found")</f>
        <v>0.80555262903375002</v>
      </c>
    </row>
    <row r="1937" spans="1:14" x14ac:dyDescent="0.25">
      <c r="A1937" s="1">
        <f>'[1]Global_Spot Prices'!$B3246</f>
        <v>44714</v>
      </c>
      <c r="B1937">
        <f>_xlfn.XLOOKUP(A1937,'[1]Global_Spot Prices'!$B:$B,'[1]Global_Spot Prices'!$BS:$BS)</f>
        <v>35.949999999999989</v>
      </c>
      <c r="C1937">
        <f>_xlfn.XLOOKUP(A1937,'[1]Global_Spot Prices'!$B:$B,'[1]Global_Spot Prices'!$E:$E)</f>
        <v>108.94</v>
      </c>
      <c r="D1937" t="str">
        <f>_xlfn.XLOOKUP(A1937,'[1]Global_Spot Prices'!$B:$B,'[1]Global_Spot Prices'!$D:$D)</f>
        <v/>
      </c>
      <c r="E1937">
        <f>_xlfn.XLOOKUP(A1937,'[1]Global_Spot Prices'!$B:$B,'[1]Global_Spot Prices'!$H:$H)</f>
        <v>85.33</v>
      </c>
      <c r="F1937">
        <f>_xlfn.XLOOKUP(A1937,'[1]Global_Spot Prices'!$B:$B,'[1]Global_Spot Prices'!$I:$I)</f>
        <v>144.88999999999999</v>
      </c>
      <c r="G1937" cm="1">
        <f t="array" ref="G1937">_xlfn.XLOOKUP(TEXT(A1937, "mmm-yy"), TEXT([2]RUNS!$B$5:$B$208, "mmm-yy"), [2]RUNS!$D$5:$D$208, "Not Found")</f>
        <v>29350.954480947912</v>
      </c>
      <c r="H1937" cm="1">
        <f t="array" ref="H1937">SUMPRODUCT(
    --(TEXT('[3]Global Weekly Stock (EWSuez'!$B$4:$B$2000,"mmm-yy")=TEXT(A1937,"mmm-yy")),
    '[3]Global Weekly Stock (EWSuez'!$E$4:$E$2000)
/
SUMPRODUCT(
    --(TEXT('[3]Global Weekly Stock (EWSuez'!$B$4:$B$2000,"mmm-yy")=TEXT(A1937,"mmm-yy"))
)</f>
        <v>15343.5</v>
      </c>
      <c r="I1937">
        <f>_xlfn.XLOOKUP(A1937,[1]ForwardDeriv!$D:$D,[1]ForwardDeriv!$AJ:$AJ)</f>
        <v>5.3999999999999773</v>
      </c>
      <c r="J1937" cm="1">
        <f t="array" ref="J1937">_xlfn.XLOOKUP(TEXT(A1937, "mmm-yy"), TEXT([2]GASOLINE!$B$5:$B$208, "mmm-yy"), [2]GASOLINE!$IR$5:$IR$208, "Not Found")</f>
        <v>-165.31686607678313</v>
      </c>
      <c r="K1937" cm="1">
        <f t="array" ref="K1937">_xlfn.XLOOKUP(TEXT(A1937, "mmm-yy"), TEXT([2]GASOLINE!$B$5:$B$208, "mmm-yy"), [2]GASOLINE!$IK$5:$IK$208, "Not Found")</f>
        <v>212.67467701496597</v>
      </c>
      <c r="L1937">
        <f t="shared" si="30"/>
        <v>1</v>
      </c>
      <c r="M1937" cm="1">
        <f t="array" ref="M1937">_xlfn.XLOOKUP(TEXT(A1937, "mmm-yy"), TEXT([2]GASOLINE!$B$5:$B$208, "mmm-yy"), [2]GASOLINE!$C$5:$C$208, "Not Found")</f>
        <v>7253.7858162044349</v>
      </c>
      <c r="N1937" cm="1">
        <f t="array" ref="N1937">_xlfn.XLOOKUP(TEXT(A1937, "mmm-yy"), TEXT([2]RUNS!$B$5:$B$208, "mmm-yy"), [2]RUNS!$BM$5:$BM$208, "Not Found")</f>
        <v>0.80555262903375002</v>
      </c>
    </row>
    <row r="1938" spans="1:14" x14ac:dyDescent="0.25">
      <c r="A1938" s="1">
        <f>'[1]Global_Spot Prices'!$B3247</f>
        <v>44715</v>
      </c>
      <c r="B1938">
        <f>_xlfn.XLOOKUP(A1938,'[1]Global_Spot Prices'!$B:$B,'[1]Global_Spot Prices'!$BS:$BS)</f>
        <v>35.5</v>
      </c>
      <c r="C1938">
        <f>_xlfn.XLOOKUP(A1938,'[1]Global_Spot Prices'!$B:$B,'[1]Global_Spot Prices'!$E:$E)</f>
        <v>112.1</v>
      </c>
      <c r="D1938" t="str">
        <f>_xlfn.XLOOKUP(A1938,'[1]Global_Spot Prices'!$B:$B,'[1]Global_Spot Prices'!$D:$D)</f>
        <v/>
      </c>
      <c r="E1938">
        <f>_xlfn.XLOOKUP(A1938,'[1]Global_Spot Prices'!$B:$B,'[1]Global_Spot Prices'!$H:$H)</f>
        <v>89.44</v>
      </c>
      <c r="F1938">
        <f>_xlfn.XLOOKUP(A1938,'[1]Global_Spot Prices'!$B:$B,'[1]Global_Spot Prices'!$I:$I)</f>
        <v>147.6</v>
      </c>
      <c r="G1938" cm="1">
        <f t="array" ref="G1938">_xlfn.XLOOKUP(TEXT(A1938, "mmm-yy"), TEXT([2]RUNS!$B$5:$B$208, "mmm-yy"), [2]RUNS!$D$5:$D$208, "Not Found")</f>
        <v>29350.954480947912</v>
      </c>
      <c r="H1938" cm="1">
        <f t="array" ref="H1938">SUMPRODUCT(
    --(TEXT('[3]Global Weekly Stock (EWSuez'!$B$4:$B$2000,"mmm-yy")=TEXT(A1938,"mmm-yy")),
    '[3]Global Weekly Stock (EWSuez'!$E$4:$E$2000)
/
SUMPRODUCT(
    --(TEXT('[3]Global Weekly Stock (EWSuez'!$B$4:$B$2000,"mmm-yy")=TEXT(A1938,"mmm-yy"))
)</f>
        <v>15343.5</v>
      </c>
      <c r="I1938">
        <f>_xlfn.XLOOKUP(A1938,[1]ForwardDeriv!$D:$D,[1]ForwardDeriv!$AJ:$AJ)</f>
        <v>5.75</v>
      </c>
      <c r="J1938" cm="1">
        <f t="array" ref="J1938">_xlfn.XLOOKUP(TEXT(A1938, "mmm-yy"), TEXT([2]GASOLINE!$B$5:$B$208, "mmm-yy"), [2]GASOLINE!$IR$5:$IR$208, "Not Found")</f>
        <v>-165.31686607678313</v>
      </c>
      <c r="K1938" cm="1">
        <f t="array" ref="K1938">_xlfn.XLOOKUP(TEXT(A1938, "mmm-yy"), TEXT([2]GASOLINE!$B$5:$B$208, "mmm-yy"), [2]GASOLINE!$IK$5:$IK$208, "Not Found")</f>
        <v>212.67467701496597</v>
      </c>
      <c r="L1938">
        <f t="shared" si="30"/>
        <v>1</v>
      </c>
      <c r="M1938" cm="1">
        <f t="array" ref="M1938">_xlfn.XLOOKUP(TEXT(A1938, "mmm-yy"), TEXT([2]GASOLINE!$B$5:$B$208, "mmm-yy"), [2]GASOLINE!$C$5:$C$208, "Not Found")</f>
        <v>7253.7858162044349</v>
      </c>
      <c r="N1938" cm="1">
        <f t="array" ref="N1938">_xlfn.XLOOKUP(TEXT(A1938, "mmm-yy"), TEXT([2]RUNS!$B$5:$B$208, "mmm-yy"), [2]RUNS!$BM$5:$BM$208, "Not Found")</f>
        <v>0.80555262903375002</v>
      </c>
    </row>
    <row r="1939" spans="1:14" x14ac:dyDescent="0.25">
      <c r="A1939" s="1">
        <f>'[1]Global_Spot Prices'!$B3248</f>
        <v>44718</v>
      </c>
      <c r="B1939">
        <f>_xlfn.XLOOKUP(A1939,'[1]Global_Spot Prices'!$B:$B,'[1]Global_Spot Prices'!$BS:$BS)</f>
        <v>34.900000000000006</v>
      </c>
      <c r="C1939">
        <f>_xlfn.XLOOKUP(A1939,'[1]Global_Spot Prices'!$B:$B,'[1]Global_Spot Prices'!$E:$E)</f>
        <v>115.6</v>
      </c>
      <c r="D1939">
        <f>_xlfn.XLOOKUP(A1939,'[1]Global_Spot Prices'!$B:$B,'[1]Global_Spot Prices'!$D:$D)</f>
        <v>124.68</v>
      </c>
      <c r="E1939">
        <f>_xlfn.XLOOKUP(A1939,'[1]Global_Spot Prices'!$B:$B,'[1]Global_Spot Prices'!$H:$H)</f>
        <v>90.69</v>
      </c>
      <c r="F1939">
        <f>_xlfn.XLOOKUP(A1939,'[1]Global_Spot Prices'!$B:$B,'[1]Global_Spot Prices'!$I:$I)</f>
        <v>150.5</v>
      </c>
      <c r="G1939" cm="1">
        <f t="array" ref="G1939">_xlfn.XLOOKUP(TEXT(A1939, "mmm-yy"), TEXT([2]RUNS!$B$5:$B$208, "mmm-yy"), [2]RUNS!$D$5:$D$208, "Not Found")</f>
        <v>29350.954480947912</v>
      </c>
      <c r="H1939" cm="1">
        <f t="array" ref="H1939">SUMPRODUCT(
    --(TEXT('[3]Global Weekly Stock (EWSuez'!$B$4:$B$2000,"mmm-yy")=TEXT(A1939,"mmm-yy")),
    '[3]Global Weekly Stock (EWSuez'!$E$4:$E$2000)
/
SUMPRODUCT(
    --(TEXT('[3]Global Weekly Stock (EWSuez'!$B$4:$B$2000,"mmm-yy")=TEXT(A1939,"mmm-yy"))
)</f>
        <v>15343.5</v>
      </c>
      <c r="I1939">
        <f>_xlfn.XLOOKUP(A1939,[1]ForwardDeriv!$D:$D,[1]ForwardDeriv!$AJ:$AJ)</f>
        <v>5.8799999999999955</v>
      </c>
      <c r="J1939" cm="1">
        <f t="array" ref="J1939">_xlfn.XLOOKUP(TEXT(A1939, "mmm-yy"), TEXT([2]GASOLINE!$B$5:$B$208, "mmm-yy"), [2]GASOLINE!$IR$5:$IR$208, "Not Found")</f>
        <v>-165.31686607678313</v>
      </c>
      <c r="K1939" cm="1">
        <f t="array" ref="K1939">_xlfn.XLOOKUP(TEXT(A1939, "mmm-yy"), TEXT([2]GASOLINE!$B$5:$B$208, "mmm-yy"), [2]GASOLINE!$IK$5:$IK$208, "Not Found")</f>
        <v>212.67467701496597</v>
      </c>
      <c r="L1939">
        <f t="shared" si="30"/>
        <v>1</v>
      </c>
      <c r="M1939" cm="1">
        <f t="array" ref="M1939">_xlfn.XLOOKUP(TEXT(A1939, "mmm-yy"), TEXT([2]GASOLINE!$B$5:$B$208, "mmm-yy"), [2]GASOLINE!$C$5:$C$208, "Not Found")</f>
        <v>7253.7858162044349</v>
      </c>
      <c r="N1939" cm="1">
        <f t="array" ref="N1939">_xlfn.XLOOKUP(TEXT(A1939, "mmm-yy"), TEXT([2]RUNS!$B$5:$B$208, "mmm-yy"), [2]RUNS!$BM$5:$BM$208, "Not Found")</f>
        <v>0.80555262903375002</v>
      </c>
    </row>
    <row r="1940" spans="1:14" x14ac:dyDescent="0.25">
      <c r="A1940" s="1">
        <f>'[1]Global_Spot Prices'!$B3249</f>
        <v>44719</v>
      </c>
      <c r="B1940">
        <f>_xlfn.XLOOKUP(A1940,'[1]Global_Spot Prices'!$B:$B,'[1]Global_Spot Prices'!$BS:$BS)</f>
        <v>32.800000000000011</v>
      </c>
      <c r="C1940">
        <f>_xlfn.XLOOKUP(A1940,'[1]Global_Spot Prices'!$B:$B,'[1]Global_Spot Prices'!$E:$E)</f>
        <v>115.56</v>
      </c>
      <c r="D1940">
        <f>_xlfn.XLOOKUP(A1940,'[1]Global_Spot Prices'!$B:$B,'[1]Global_Spot Prices'!$D:$D)</f>
        <v>125.795</v>
      </c>
      <c r="E1940">
        <f>_xlfn.XLOOKUP(A1940,'[1]Global_Spot Prices'!$B:$B,'[1]Global_Spot Prices'!$H:$H)</f>
        <v>88.32</v>
      </c>
      <c r="F1940">
        <f>_xlfn.XLOOKUP(A1940,'[1]Global_Spot Prices'!$B:$B,'[1]Global_Spot Prices'!$I:$I)</f>
        <v>148.36000000000001</v>
      </c>
      <c r="G1940" cm="1">
        <f t="array" ref="G1940">_xlfn.XLOOKUP(TEXT(A1940, "mmm-yy"), TEXT([2]RUNS!$B$5:$B$208, "mmm-yy"), [2]RUNS!$D$5:$D$208, "Not Found")</f>
        <v>29350.954480947912</v>
      </c>
      <c r="H1940" cm="1">
        <f t="array" ref="H1940">SUMPRODUCT(
    --(TEXT('[3]Global Weekly Stock (EWSuez'!$B$4:$B$2000,"mmm-yy")=TEXT(A1940,"mmm-yy")),
    '[3]Global Weekly Stock (EWSuez'!$E$4:$E$2000)
/
SUMPRODUCT(
    --(TEXT('[3]Global Weekly Stock (EWSuez'!$B$4:$B$2000,"mmm-yy")=TEXT(A1940,"mmm-yy"))
)</f>
        <v>15343.5</v>
      </c>
      <c r="I1940">
        <f>_xlfn.XLOOKUP(A1940,[1]ForwardDeriv!$D:$D,[1]ForwardDeriv!$AJ:$AJ)</f>
        <v>4.9799999999999898</v>
      </c>
      <c r="J1940" cm="1">
        <f t="array" ref="J1940">_xlfn.XLOOKUP(TEXT(A1940, "mmm-yy"), TEXT([2]GASOLINE!$B$5:$B$208, "mmm-yy"), [2]GASOLINE!$IR$5:$IR$208, "Not Found")</f>
        <v>-165.31686607678313</v>
      </c>
      <c r="K1940" cm="1">
        <f t="array" ref="K1940">_xlfn.XLOOKUP(TEXT(A1940, "mmm-yy"), TEXT([2]GASOLINE!$B$5:$B$208, "mmm-yy"), [2]GASOLINE!$IK$5:$IK$208, "Not Found")</f>
        <v>212.67467701496597</v>
      </c>
      <c r="L1940">
        <f t="shared" si="30"/>
        <v>1</v>
      </c>
      <c r="M1940" cm="1">
        <f t="array" ref="M1940">_xlfn.XLOOKUP(TEXT(A1940, "mmm-yy"), TEXT([2]GASOLINE!$B$5:$B$208, "mmm-yy"), [2]GASOLINE!$C$5:$C$208, "Not Found")</f>
        <v>7253.7858162044349</v>
      </c>
      <c r="N1940" cm="1">
        <f t="array" ref="N1940">_xlfn.XLOOKUP(TEXT(A1940, "mmm-yy"), TEXT([2]RUNS!$B$5:$B$208, "mmm-yy"), [2]RUNS!$BM$5:$BM$208, "Not Found")</f>
        <v>0.80555262903375002</v>
      </c>
    </row>
    <row r="1941" spans="1:14" x14ac:dyDescent="0.25">
      <c r="A1941" s="1">
        <f>'[1]Global_Spot Prices'!$B3250</f>
        <v>44720</v>
      </c>
      <c r="B1941">
        <f>_xlfn.XLOOKUP(A1941,'[1]Global_Spot Prices'!$B:$B,'[1]Global_Spot Prices'!$BS:$BS)</f>
        <v>30.689999999999984</v>
      </c>
      <c r="C1941">
        <f>_xlfn.XLOOKUP(A1941,'[1]Global_Spot Prices'!$B:$B,'[1]Global_Spot Prices'!$E:$E)</f>
        <v>116.51</v>
      </c>
      <c r="D1941">
        <f>_xlfn.XLOOKUP(A1941,'[1]Global_Spot Prices'!$B:$B,'[1]Global_Spot Prices'!$D:$D)</f>
        <v>128.29</v>
      </c>
      <c r="E1941">
        <f>_xlfn.XLOOKUP(A1941,'[1]Global_Spot Prices'!$B:$B,'[1]Global_Spot Prices'!$H:$H)</f>
        <v>85.14</v>
      </c>
      <c r="F1941">
        <f>_xlfn.XLOOKUP(A1941,'[1]Global_Spot Prices'!$B:$B,'[1]Global_Spot Prices'!$I:$I)</f>
        <v>147.19999999999999</v>
      </c>
      <c r="G1941" cm="1">
        <f t="array" ref="G1941">_xlfn.XLOOKUP(TEXT(A1941, "mmm-yy"), TEXT([2]RUNS!$B$5:$B$208, "mmm-yy"), [2]RUNS!$D$5:$D$208, "Not Found")</f>
        <v>29350.954480947912</v>
      </c>
      <c r="H1941" cm="1">
        <f t="array" ref="H1941">SUMPRODUCT(
    --(TEXT('[3]Global Weekly Stock (EWSuez'!$B$4:$B$2000,"mmm-yy")=TEXT(A1941,"mmm-yy")),
    '[3]Global Weekly Stock (EWSuez'!$E$4:$E$2000)
/
SUMPRODUCT(
    --(TEXT('[3]Global Weekly Stock (EWSuez'!$B$4:$B$2000,"mmm-yy")=TEXT(A1941,"mmm-yy"))
)</f>
        <v>15343.5</v>
      </c>
      <c r="I1941">
        <f>_xlfn.XLOOKUP(A1941,[1]ForwardDeriv!$D:$D,[1]ForwardDeriv!$AJ:$AJ)</f>
        <v>4.8300000000000125</v>
      </c>
      <c r="J1941" cm="1">
        <f t="array" ref="J1941">_xlfn.XLOOKUP(TEXT(A1941, "mmm-yy"), TEXT([2]GASOLINE!$B$5:$B$208, "mmm-yy"), [2]GASOLINE!$IR$5:$IR$208, "Not Found")</f>
        <v>-165.31686607678313</v>
      </c>
      <c r="K1941" cm="1">
        <f t="array" ref="K1941">_xlfn.XLOOKUP(TEXT(A1941, "mmm-yy"), TEXT([2]GASOLINE!$B$5:$B$208, "mmm-yy"), [2]GASOLINE!$IK$5:$IK$208, "Not Found")</f>
        <v>212.67467701496597</v>
      </c>
      <c r="L1941">
        <f t="shared" si="30"/>
        <v>1</v>
      </c>
      <c r="M1941" cm="1">
        <f t="array" ref="M1941">_xlfn.XLOOKUP(TEXT(A1941, "mmm-yy"), TEXT([2]GASOLINE!$B$5:$B$208, "mmm-yy"), [2]GASOLINE!$C$5:$C$208, "Not Found")</f>
        <v>7253.7858162044349</v>
      </c>
      <c r="N1941" cm="1">
        <f t="array" ref="N1941">_xlfn.XLOOKUP(TEXT(A1941, "mmm-yy"), TEXT([2]RUNS!$B$5:$B$208, "mmm-yy"), [2]RUNS!$BM$5:$BM$208, "Not Found")</f>
        <v>0.80555262903375002</v>
      </c>
    </row>
    <row r="1942" spans="1:14" x14ac:dyDescent="0.25">
      <c r="A1942" s="1">
        <f>'[1]Global_Spot Prices'!$B3251</f>
        <v>44721</v>
      </c>
      <c r="B1942">
        <f>_xlfn.XLOOKUP(A1942,'[1]Global_Spot Prices'!$B:$B,'[1]Global_Spot Prices'!$BS:$BS)</f>
        <v>34.159999999999982</v>
      </c>
      <c r="C1942">
        <f>_xlfn.XLOOKUP(A1942,'[1]Global_Spot Prices'!$B:$B,'[1]Global_Spot Prices'!$E:$E)</f>
        <v>118.79</v>
      </c>
      <c r="D1942">
        <f>_xlfn.XLOOKUP(A1942,'[1]Global_Spot Prices'!$B:$B,'[1]Global_Spot Prices'!$D:$D)</f>
        <v>128.92500000000001</v>
      </c>
      <c r="E1942">
        <f>_xlfn.XLOOKUP(A1942,'[1]Global_Spot Prices'!$B:$B,'[1]Global_Spot Prices'!$H:$H)</f>
        <v>86.14</v>
      </c>
      <c r="F1942">
        <f>_xlfn.XLOOKUP(A1942,'[1]Global_Spot Prices'!$B:$B,'[1]Global_Spot Prices'!$I:$I)</f>
        <v>152.94999999999999</v>
      </c>
      <c r="G1942" cm="1">
        <f t="array" ref="G1942">_xlfn.XLOOKUP(TEXT(A1942, "mmm-yy"), TEXT([2]RUNS!$B$5:$B$208, "mmm-yy"), [2]RUNS!$D$5:$D$208, "Not Found")</f>
        <v>29350.954480947912</v>
      </c>
      <c r="H1942" cm="1">
        <f t="array" ref="H1942">SUMPRODUCT(
    --(TEXT('[3]Global Weekly Stock (EWSuez'!$B$4:$B$2000,"mmm-yy")=TEXT(A1942,"mmm-yy")),
    '[3]Global Weekly Stock (EWSuez'!$E$4:$E$2000)
/
SUMPRODUCT(
    --(TEXT('[3]Global Weekly Stock (EWSuez'!$B$4:$B$2000,"mmm-yy")=TEXT(A1942,"mmm-yy"))
)</f>
        <v>15343.5</v>
      </c>
      <c r="I1942">
        <f>_xlfn.XLOOKUP(A1942,[1]ForwardDeriv!$D:$D,[1]ForwardDeriv!$AJ:$AJ)</f>
        <v>5.089999999999975</v>
      </c>
      <c r="J1942" cm="1">
        <f t="array" ref="J1942">_xlfn.XLOOKUP(TEXT(A1942, "mmm-yy"), TEXT([2]GASOLINE!$B$5:$B$208, "mmm-yy"), [2]GASOLINE!$IR$5:$IR$208, "Not Found")</f>
        <v>-165.31686607678313</v>
      </c>
      <c r="K1942" cm="1">
        <f t="array" ref="K1942">_xlfn.XLOOKUP(TEXT(A1942, "mmm-yy"), TEXT([2]GASOLINE!$B$5:$B$208, "mmm-yy"), [2]GASOLINE!$IK$5:$IK$208, "Not Found")</f>
        <v>212.67467701496597</v>
      </c>
      <c r="L1942">
        <f t="shared" si="30"/>
        <v>1</v>
      </c>
      <c r="M1942" cm="1">
        <f t="array" ref="M1942">_xlfn.XLOOKUP(TEXT(A1942, "mmm-yy"), TEXT([2]GASOLINE!$B$5:$B$208, "mmm-yy"), [2]GASOLINE!$C$5:$C$208, "Not Found")</f>
        <v>7253.7858162044349</v>
      </c>
      <c r="N1942" cm="1">
        <f t="array" ref="N1942">_xlfn.XLOOKUP(TEXT(A1942, "mmm-yy"), TEXT([2]RUNS!$B$5:$B$208, "mmm-yy"), [2]RUNS!$BM$5:$BM$208, "Not Found")</f>
        <v>0.80555262903375002</v>
      </c>
    </row>
    <row r="1943" spans="1:14" x14ac:dyDescent="0.25">
      <c r="A1943" s="1">
        <f>'[1]Global_Spot Prices'!$B3252</f>
        <v>44722</v>
      </c>
      <c r="B1943">
        <f>_xlfn.XLOOKUP(A1943,'[1]Global_Spot Prices'!$B:$B,'[1]Global_Spot Prices'!$BS:$BS)</f>
        <v>36.769999999999996</v>
      </c>
      <c r="C1943">
        <f>_xlfn.XLOOKUP(A1943,'[1]Global_Spot Prices'!$B:$B,'[1]Global_Spot Prices'!$E:$E)</f>
        <v>118.95</v>
      </c>
      <c r="D1943">
        <f>_xlfn.XLOOKUP(A1943,'[1]Global_Spot Prices'!$B:$B,'[1]Global_Spot Prices'!$D:$D)</f>
        <v>127.55</v>
      </c>
      <c r="E1943">
        <f>_xlfn.XLOOKUP(A1943,'[1]Global_Spot Prices'!$B:$B,'[1]Global_Spot Prices'!$H:$H)</f>
        <v>82.51</v>
      </c>
      <c r="F1943">
        <f>_xlfn.XLOOKUP(A1943,'[1]Global_Spot Prices'!$B:$B,'[1]Global_Spot Prices'!$I:$I)</f>
        <v>155.72</v>
      </c>
      <c r="G1943" cm="1">
        <f t="array" ref="G1943">_xlfn.XLOOKUP(TEXT(A1943, "mmm-yy"), TEXT([2]RUNS!$B$5:$B$208, "mmm-yy"), [2]RUNS!$D$5:$D$208, "Not Found")</f>
        <v>29350.954480947912</v>
      </c>
      <c r="H1943" cm="1">
        <f t="array" ref="H1943">SUMPRODUCT(
    --(TEXT('[3]Global Weekly Stock (EWSuez'!$B$4:$B$2000,"mmm-yy")=TEXT(A1943,"mmm-yy")),
    '[3]Global Weekly Stock (EWSuez'!$E$4:$E$2000)
/
SUMPRODUCT(
    --(TEXT('[3]Global Weekly Stock (EWSuez'!$B$4:$B$2000,"mmm-yy")=TEXT(A1943,"mmm-yy"))
)</f>
        <v>15343.5</v>
      </c>
      <c r="I1943">
        <f>_xlfn.XLOOKUP(A1943,[1]ForwardDeriv!$D:$D,[1]ForwardDeriv!$AJ:$AJ)</f>
        <v>5.8000000000000114</v>
      </c>
      <c r="J1943" cm="1">
        <f t="array" ref="J1943">_xlfn.XLOOKUP(TEXT(A1943, "mmm-yy"), TEXT([2]GASOLINE!$B$5:$B$208, "mmm-yy"), [2]GASOLINE!$IR$5:$IR$208, "Not Found")</f>
        <v>-165.31686607678313</v>
      </c>
      <c r="K1943" cm="1">
        <f t="array" ref="K1943">_xlfn.XLOOKUP(TEXT(A1943, "mmm-yy"), TEXT([2]GASOLINE!$B$5:$B$208, "mmm-yy"), [2]GASOLINE!$IK$5:$IK$208, "Not Found")</f>
        <v>212.67467701496597</v>
      </c>
      <c r="L1943">
        <f t="shared" si="30"/>
        <v>1</v>
      </c>
      <c r="M1943" cm="1">
        <f t="array" ref="M1943">_xlfn.XLOOKUP(TEXT(A1943, "mmm-yy"), TEXT([2]GASOLINE!$B$5:$B$208, "mmm-yy"), [2]GASOLINE!$C$5:$C$208, "Not Found")</f>
        <v>7253.7858162044349</v>
      </c>
      <c r="N1943" cm="1">
        <f t="array" ref="N1943">_xlfn.XLOOKUP(TEXT(A1943, "mmm-yy"), TEXT([2]RUNS!$B$5:$B$208, "mmm-yy"), [2]RUNS!$BM$5:$BM$208, "Not Found")</f>
        <v>0.80555262903375002</v>
      </c>
    </row>
    <row r="1944" spans="1:14" x14ac:dyDescent="0.25">
      <c r="A1944" s="1">
        <f>'[1]Global_Spot Prices'!$B3253</f>
        <v>44725</v>
      </c>
      <c r="B1944">
        <f>_xlfn.XLOOKUP(A1944,'[1]Global_Spot Prices'!$B:$B,'[1]Global_Spot Prices'!$BS:$BS)</f>
        <v>32.890000000000015</v>
      </c>
      <c r="C1944">
        <f>_xlfn.XLOOKUP(A1944,'[1]Global_Spot Prices'!$B:$B,'[1]Global_Spot Prices'!$E:$E)</f>
        <v>115.66</v>
      </c>
      <c r="D1944">
        <f>_xlfn.XLOOKUP(A1944,'[1]Global_Spot Prices'!$B:$B,'[1]Global_Spot Prices'!$D:$D)</f>
        <v>127.965</v>
      </c>
      <c r="E1944">
        <f>_xlfn.XLOOKUP(A1944,'[1]Global_Spot Prices'!$B:$B,'[1]Global_Spot Prices'!$H:$H)</f>
        <v>82.75</v>
      </c>
      <c r="F1944">
        <f>_xlfn.XLOOKUP(A1944,'[1]Global_Spot Prices'!$B:$B,'[1]Global_Spot Prices'!$I:$I)</f>
        <v>148.55000000000001</v>
      </c>
      <c r="G1944" cm="1">
        <f t="array" ref="G1944">_xlfn.XLOOKUP(TEXT(A1944, "mmm-yy"), TEXT([2]RUNS!$B$5:$B$208, "mmm-yy"), [2]RUNS!$D$5:$D$208, "Not Found")</f>
        <v>29350.954480947912</v>
      </c>
      <c r="H1944" cm="1">
        <f t="array" ref="H1944">SUMPRODUCT(
    --(TEXT('[3]Global Weekly Stock (EWSuez'!$B$4:$B$2000,"mmm-yy")=TEXT(A1944,"mmm-yy")),
    '[3]Global Weekly Stock (EWSuez'!$E$4:$E$2000)
/
SUMPRODUCT(
    --(TEXT('[3]Global Weekly Stock (EWSuez'!$B$4:$B$2000,"mmm-yy")=TEXT(A1944,"mmm-yy"))
)</f>
        <v>15343.5</v>
      </c>
      <c r="I1944">
        <f>_xlfn.XLOOKUP(A1944,[1]ForwardDeriv!$D:$D,[1]ForwardDeriv!$AJ:$AJ)</f>
        <v>5.5500000000000114</v>
      </c>
      <c r="J1944" cm="1">
        <f t="array" ref="J1944">_xlfn.XLOOKUP(TEXT(A1944, "mmm-yy"), TEXT([2]GASOLINE!$B$5:$B$208, "mmm-yy"), [2]GASOLINE!$IR$5:$IR$208, "Not Found")</f>
        <v>-165.31686607678313</v>
      </c>
      <c r="K1944" cm="1">
        <f t="array" ref="K1944">_xlfn.XLOOKUP(TEXT(A1944, "mmm-yy"), TEXT([2]GASOLINE!$B$5:$B$208, "mmm-yy"), [2]GASOLINE!$IK$5:$IK$208, "Not Found")</f>
        <v>212.67467701496597</v>
      </c>
      <c r="L1944">
        <f t="shared" si="30"/>
        <v>1</v>
      </c>
      <c r="M1944" cm="1">
        <f t="array" ref="M1944">_xlfn.XLOOKUP(TEXT(A1944, "mmm-yy"), TEXT([2]GASOLINE!$B$5:$B$208, "mmm-yy"), [2]GASOLINE!$C$5:$C$208, "Not Found")</f>
        <v>7253.7858162044349</v>
      </c>
      <c r="N1944" cm="1">
        <f t="array" ref="N1944">_xlfn.XLOOKUP(TEXT(A1944, "mmm-yy"), TEXT([2]RUNS!$B$5:$B$208, "mmm-yy"), [2]RUNS!$BM$5:$BM$208, "Not Found")</f>
        <v>0.80555262903375002</v>
      </c>
    </row>
    <row r="1945" spans="1:14" x14ac:dyDescent="0.25">
      <c r="A1945" s="1">
        <f>'[1]Global_Spot Prices'!$B3254</f>
        <v>44726</v>
      </c>
      <c r="B1945">
        <f>_xlfn.XLOOKUP(A1945,'[1]Global_Spot Prices'!$B:$B,'[1]Global_Spot Prices'!$BS:$BS)</f>
        <v>32.980000000000004</v>
      </c>
      <c r="C1945">
        <f>_xlfn.XLOOKUP(A1945,'[1]Global_Spot Prices'!$B:$B,'[1]Global_Spot Prices'!$E:$E)</f>
        <v>118.61</v>
      </c>
      <c r="D1945">
        <f>_xlfn.XLOOKUP(A1945,'[1]Global_Spot Prices'!$B:$B,'[1]Global_Spot Prices'!$D:$D)</f>
        <v>132.06</v>
      </c>
      <c r="E1945">
        <f>_xlfn.XLOOKUP(A1945,'[1]Global_Spot Prices'!$B:$B,'[1]Global_Spot Prices'!$H:$H)</f>
        <v>82.08</v>
      </c>
      <c r="F1945">
        <f>_xlfn.XLOOKUP(A1945,'[1]Global_Spot Prices'!$B:$B,'[1]Global_Spot Prices'!$I:$I)</f>
        <v>151.59</v>
      </c>
      <c r="G1945" cm="1">
        <f t="array" ref="G1945">_xlfn.XLOOKUP(TEXT(A1945, "mmm-yy"), TEXT([2]RUNS!$B$5:$B$208, "mmm-yy"), [2]RUNS!$D$5:$D$208, "Not Found")</f>
        <v>29350.954480947912</v>
      </c>
      <c r="H1945" cm="1">
        <f t="array" ref="H1945">SUMPRODUCT(
    --(TEXT('[3]Global Weekly Stock (EWSuez'!$B$4:$B$2000,"mmm-yy")=TEXT(A1945,"mmm-yy")),
    '[3]Global Weekly Stock (EWSuez'!$E$4:$E$2000)
/
SUMPRODUCT(
    --(TEXT('[3]Global Weekly Stock (EWSuez'!$B$4:$B$2000,"mmm-yy")=TEXT(A1945,"mmm-yy"))
)</f>
        <v>15343.5</v>
      </c>
      <c r="I1945">
        <f>_xlfn.XLOOKUP(A1945,[1]ForwardDeriv!$D:$D,[1]ForwardDeriv!$AJ:$AJ)</f>
        <v>5.1500000000000057</v>
      </c>
      <c r="J1945" cm="1">
        <f t="array" ref="J1945">_xlfn.XLOOKUP(TEXT(A1945, "mmm-yy"), TEXT([2]GASOLINE!$B$5:$B$208, "mmm-yy"), [2]GASOLINE!$IR$5:$IR$208, "Not Found")</f>
        <v>-165.31686607678313</v>
      </c>
      <c r="K1945" cm="1">
        <f t="array" ref="K1945">_xlfn.XLOOKUP(TEXT(A1945, "mmm-yy"), TEXT([2]GASOLINE!$B$5:$B$208, "mmm-yy"), [2]GASOLINE!$IK$5:$IK$208, "Not Found")</f>
        <v>212.67467701496597</v>
      </c>
      <c r="L1945">
        <f t="shared" si="30"/>
        <v>1</v>
      </c>
      <c r="M1945" cm="1">
        <f t="array" ref="M1945">_xlfn.XLOOKUP(TEXT(A1945, "mmm-yy"), TEXT([2]GASOLINE!$B$5:$B$208, "mmm-yy"), [2]GASOLINE!$C$5:$C$208, "Not Found")</f>
        <v>7253.7858162044349</v>
      </c>
      <c r="N1945" cm="1">
        <f t="array" ref="N1945">_xlfn.XLOOKUP(TEXT(A1945, "mmm-yy"), TEXT([2]RUNS!$B$5:$B$208, "mmm-yy"), [2]RUNS!$BM$5:$BM$208, "Not Found")</f>
        <v>0.80555262903375002</v>
      </c>
    </row>
    <row r="1946" spans="1:14" x14ac:dyDescent="0.25">
      <c r="A1946" s="1">
        <f>'[1]Global_Spot Prices'!$B3255</f>
        <v>44727</v>
      </c>
      <c r="B1946">
        <f>_xlfn.XLOOKUP(A1946,'[1]Global_Spot Prices'!$B:$B,'[1]Global_Spot Prices'!$BS:$BS)</f>
        <v>35.310000000000016</v>
      </c>
      <c r="C1946">
        <f>_xlfn.XLOOKUP(A1946,'[1]Global_Spot Prices'!$B:$B,'[1]Global_Spot Prices'!$E:$E)</f>
        <v>116.3</v>
      </c>
      <c r="D1946">
        <f>_xlfn.XLOOKUP(A1946,'[1]Global_Spot Prices'!$B:$B,'[1]Global_Spot Prices'!$D:$D)</f>
        <v>128.16</v>
      </c>
      <c r="E1946">
        <f>_xlfn.XLOOKUP(A1946,'[1]Global_Spot Prices'!$B:$B,'[1]Global_Spot Prices'!$H:$H)</f>
        <v>80.05</v>
      </c>
      <c r="F1946">
        <f>_xlfn.XLOOKUP(A1946,'[1]Global_Spot Prices'!$B:$B,'[1]Global_Spot Prices'!$I:$I)</f>
        <v>151.61000000000001</v>
      </c>
      <c r="G1946" cm="1">
        <f t="array" ref="G1946">_xlfn.XLOOKUP(TEXT(A1946, "mmm-yy"), TEXT([2]RUNS!$B$5:$B$208, "mmm-yy"), [2]RUNS!$D$5:$D$208, "Not Found")</f>
        <v>29350.954480947912</v>
      </c>
      <c r="H1946" cm="1">
        <f t="array" ref="H1946">SUMPRODUCT(
    --(TEXT('[3]Global Weekly Stock (EWSuez'!$B$4:$B$2000,"mmm-yy")=TEXT(A1946,"mmm-yy")),
    '[3]Global Weekly Stock (EWSuez'!$E$4:$E$2000)
/
SUMPRODUCT(
    --(TEXT('[3]Global Weekly Stock (EWSuez'!$B$4:$B$2000,"mmm-yy")=TEXT(A1946,"mmm-yy"))
)</f>
        <v>15343.5</v>
      </c>
      <c r="I1946">
        <f>_xlfn.XLOOKUP(A1946,[1]ForwardDeriv!$D:$D,[1]ForwardDeriv!$AJ:$AJ)</f>
        <v>5.3000000000000114</v>
      </c>
      <c r="J1946" cm="1">
        <f t="array" ref="J1946">_xlfn.XLOOKUP(TEXT(A1946, "mmm-yy"), TEXT([2]GASOLINE!$B$5:$B$208, "mmm-yy"), [2]GASOLINE!$IR$5:$IR$208, "Not Found")</f>
        <v>-165.31686607678313</v>
      </c>
      <c r="K1946" cm="1">
        <f t="array" ref="K1946">_xlfn.XLOOKUP(TEXT(A1946, "mmm-yy"), TEXT([2]GASOLINE!$B$5:$B$208, "mmm-yy"), [2]GASOLINE!$IK$5:$IK$208, "Not Found")</f>
        <v>212.67467701496597</v>
      </c>
      <c r="L1946">
        <f t="shared" si="30"/>
        <v>1</v>
      </c>
      <c r="M1946" cm="1">
        <f t="array" ref="M1946">_xlfn.XLOOKUP(TEXT(A1946, "mmm-yy"), TEXT([2]GASOLINE!$B$5:$B$208, "mmm-yy"), [2]GASOLINE!$C$5:$C$208, "Not Found")</f>
        <v>7253.7858162044349</v>
      </c>
      <c r="N1946" cm="1">
        <f t="array" ref="N1946">_xlfn.XLOOKUP(TEXT(A1946, "mmm-yy"), TEXT([2]RUNS!$B$5:$B$208, "mmm-yy"), [2]RUNS!$BM$5:$BM$208, "Not Found")</f>
        <v>0.80555262903375002</v>
      </c>
    </row>
    <row r="1947" spans="1:14" x14ac:dyDescent="0.25">
      <c r="A1947" s="1">
        <f>'[1]Global_Spot Prices'!$B3256</f>
        <v>44728</v>
      </c>
      <c r="B1947">
        <f>_xlfn.XLOOKUP(A1947,'[1]Global_Spot Prices'!$B:$B,'[1]Global_Spot Prices'!$BS:$BS)</f>
        <v>35.330000000000013</v>
      </c>
      <c r="C1947">
        <f>_xlfn.XLOOKUP(A1947,'[1]Global_Spot Prices'!$B:$B,'[1]Global_Spot Prices'!$E:$E)</f>
        <v>114.94</v>
      </c>
      <c r="D1947">
        <f>_xlfn.XLOOKUP(A1947,'[1]Global_Spot Prices'!$B:$B,'[1]Global_Spot Prices'!$D:$D)</f>
        <v>124.27500000000001</v>
      </c>
      <c r="E1947">
        <f>_xlfn.XLOOKUP(A1947,'[1]Global_Spot Prices'!$B:$B,'[1]Global_Spot Prices'!$H:$H)</f>
        <v>80.430000000000007</v>
      </c>
      <c r="F1947">
        <f>_xlfn.XLOOKUP(A1947,'[1]Global_Spot Prices'!$B:$B,'[1]Global_Spot Prices'!$I:$I)</f>
        <v>150.27000000000001</v>
      </c>
      <c r="G1947" cm="1">
        <f t="array" ref="G1947">_xlfn.XLOOKUP(TEXT(A1947, "mmm-yy"), TEXT([2]RUNS!$B$5:$B$208, "mmm-yy"), [2]RUNS!$D$5:$D$208, "Not Found")</f>
        <v>29350.954480947912</v>
      </c>
      <c r="H1947" cm="1">
        <f t="array" ref="H1947">SUMPRODUCT(
    --(TEXT('[3]Global Weekly Stock (EWSuez'!$B$4:$B$2000,"mmm-yy")=TEXT(A1947,"mmm-yy")),
    '[3]Global Weekly Stock (EWSuez'!$E$4:$E$2000)
/
SUMPRODUCT(
    --(TEXT('[3]Global Weekly Stock (EWSuez'!$B$4:$B$2000,"mmm-yy")=TEXT(A1947,"mmm-yy"))
)</f>
        <v>15343.5</v>
      </c>
      <c r="I1947">
        <f>_xlfn.XLOOKUP(A1947,[1]ForwardDeriv!$D:$D,[1]ForwardDeriv!$AJ:$AJ)</f>
        <v>5.5</v>
      </c>
      <c r="J1947" cm="1">
        <f t="array" ref="J1947">_xlfn.XLOOKUP(TEXT(A1947, "mmm-yy"), TEXT([2]GASOLINE!$B$5:$B$208, "mmm-yy"), [2]GASOLINE!$IR$5:$IR$208, "Not Found")</f>
        <v>-165.31686607678313</v>
      </c>
      <c r="K1947" cm="1">
        <f t="array" ref="K1947">_xlfn.XLOOKUP(TEXT(A1947, "mmm-yy"), TEXT([2]GASOLINE!$B$5:$B$208, "mmm-yy"), [2]GASOLINE!$IK$5:$IK$208, "Not Found")</f>
        <v>212.67467701496597</v>
      </c>
      <c r="L1947">
        <f t="shared" si="30"/>
        <v>1</v>
      </c>
      <c r="M1947" cm="1">
        <f t="array" ref="M1947">_xlfn.XLOOKUP(TEXT(A1947, "mmm-yy"), TEXT([2]GASOLINE!$B$5:$B$208, "mmm-yy"), [2]GASOLINE!$C$5:$C$208, "Not Found")</f>
        <v>7253.7858162044349</v>
      </c>
      <c r="N1947" cm="1">
        <f t="array" ref="N1947">_xlfn.XLOOKUP(TEXT(A1947, "mmm-yy"), TEXT([2]RUNS!$B$5:$B$208, "mmm-yy"), [2]RUNS!$BM$5:$BM$208, "Not Found")</f>
        <v>0.80555262903375002</v>
      </c>
    </row>
    <row r="1948" spans="1:14" x14ac:dyDescent="0.25">
      <c r="A1948" s="1">
        <f>'[1]Global_Spot Prices'!$B3257</f>
        <v>44729</v>
      </c>
      <c r="B1948">
        <f>_xlfn.XLOOKUP(A1948,'[1]Global_Spot Prices'!$B:$B,'[1]Global_Spot Prices'!$BS:$BS)</f>
        <v>35.250000000000014</v>
      </c>
      <c r="C1948">
        <f>_xlfn.XLOOKUP(A1948,'[1]Global_Spot Prices'!$B:$B,'[1]Global_Spot Prices'!$E:$E)</f>
        <v>116.3</v>
      </c>
      <c r="D1948">
        <f>_xlfn.XLOOKUP(A1948,'[1]Global_Spot Prices'!$B:$B,'[1]Global_Spot Prices'!$D:$D)</f>
        <v>120.575</v>
      </c>
      <c r="E1948">
        <f>_xlfn.XLOOKUP(A1948,'[1]Global_Spot Prices'!$B:$B,'[1]Global_Spot Prices'!$H:$H)</f>
        <v>85.07</v>
      </c>
      <c r="F1948">
        <f>_xlfn.XLOOKUP(A1948,'[1]Global_Spot Prices'!$B:$B,'[1]Global_Spot Prices'!$I:$I)</f>
        <v>151.55000000000001</v>
      </c>
      <c r="G1948" cm="1">
        <f t="array" ref="G1948">_xlfn.XLOOKUP(TEXT(A1948, "mmm-yy"), TEXT([2]RUNS!$B$5:$B$208, "mmm-yy"), [2]RUNS!$D$5:$D$208, "Not Found")</f>
        <v>29350.954480947912</v>
      </c>
      <c r="H1948" cm="1">
        <f t="array" ref="H1948">SUMPRODUCT(
    --(TEXT('[3]Global Weekly Stock (EWSuez'!$B$4:$B$2000,"mmm-yy")=TEXT(A1948,"mmm-yy")),
    '[3]Global Weekly Stock (EWSuez'!$E$4:$E$2000)
/
SUMPRODUCT(
    --(TEXT('[3]Global Weekly Stock (EWSuez'!$B$4:$B$2000,"mmm-yy")=TEXT(A1948,"mmm-yy"))
)</f>
        <v>15343.5</v>
      </c>
      <c r="I1948">
        <f>_xlfn.XLOOKUP(A1948,[1]ForwardDeriv!$D:$D,[1]ForwardDeriv!$AJ:$AJ)</f>
        <v>5.7199999999999989</v>
      </c>
      <c r="J1948" cm="1">
        <f t="array" ref="J1948">_xlfn.XLOOKUP(TEXT(A1948, "mmm-yy"), TEXT([2]GASOLINE!$B$5:$B$208, "mmm-yy"), [2]GASOLINE!$IR$5:$IR$208, "Not Found")</f>
        <v>-165.31686607678313</v>
      </c>
      <c r="K1948" cm="1">
        <f t="array" ref="K1948">_xlfn.XLOOKUP(TEXT(A1948, "mmm-yy"), TEXT([2]GASOLINE!$B$5:$B$208, "mmm-yy"), [2]GASOLINE!$IK$5:$IK$208, "Not Found")</f>
        <v>212.67467701496597</v>
      </c>
      <c r="L1948">
        <f t="shared" si="30"/>
        <v>1</v>
      </c>
      <c r="M1948" cm="1">
        <f t="array" ref="M1948">_xlfn.XLOOKUP(TEXT(A1948, "mmm-yy"), TEXT([2]GASOLINE!$B$5:$B$208, "mmm-yy"), [2]GASOLINE!$C$5:$C$208, "Not Found")</f>
        <v>7253.7858162044349</v>
      </c>
      <c r="N1948" cm="1">
        <f t="array" ref="N1948">_xlfn.XLOOKUP(TEXT(A1948, "mmm-yy"), TEXT([2]RUNS!$B$5:$B$208, "mmm-yy"), [2]RUNS!$BM$5:$BM$208, "Not Found")</f>
        <v>0.80555262903375002</v>
      </c>
    </row>
    <row r="1949" spans="1:14" x14ac:dyDescent="0.25">
      <c r="A1949" s="1">
        <f>'[1]Global_Spot Prices'!$B3258</f>
        <v>44732</v>
      </c>
      <c r="B1949">
        <f>_xlfn.XLOOKUP(A1949,'[1]Global_Spot Prices'!$B:$B,'[1]Global_Spot Prices'!$BS:$BS)</f>
        <v>35.590000000000003</v>
      </c>
      <c r="C1949">
        <f>_xlfn.XLOOKUP(A1949,'[1]Global_Spot Prices'!$B:$B,'[1]Global_Spot Prices'!$E:$E)</f>
        <v>108.4</v>
      </c>
      <c r="D1949">
        <f>_xlfn.XLOOKUP(A1949,'[1]Global_Spot Prices'!$B:$B,'[1]Global_Spot Prices'!$D:$D)</f>
        <v>119.74</v>
      </c>
      <c r="E1949">
        <f>_xlfn.XLOOKUP(A1949,'[1]Global_Spot Prices'!$B:$B,'[1]Global_Spot Prices'!$H:$H)</f>
        <v>82.29</v>
      </c>
      <c r="F1949">
        <f>_xlfn.XLOOKUP(A1949,'[1]Global_Spot Prices'!$B:$B,'[1]Global_Spot Prices'!$I:$I)</f>
        <v>143.99</v>
      </c>
      <c r="G1949" cm="1">
        <f t="array" ref="G1949">_xlfn.XLOOKUP(TEXT(A1949, "mmm-yy"), TEXT([2]RUNS!$B$5:$B$208, "mmm-yy"), [2]RUNS!$D$5:$D$208, "Not Found")</f>
        <v>29350.954480947912</v>
      </c>
      <c r="H1949" cm="1">
        <f t="array" ref="H1949">SUMPRODUCT(
    --(TEXT('[3]Global Weekly Stock (EWSuez'!$B$4:$B$2000,"mmm-yy")=TEXT(A1949,"mmm-yy")),
    '[3]Global Weekly Stock (EWSuez'!$E$4:$E$2000)
/
SUMPRODUCT(
    --(TEXT('[3]Global Weekly Stock (EWSuez'!$B$4:$B$2000,"mmm-yy")=TEXT(A1949,"mmm-yy"))
)</f>
        <v>15343.5</v>
      </c>
      <c r="I1949">
        <f>_xlfn.XLOOKUP(A1949,[1]ForwardDeriv!$D:$D,[1]ForwardDeriv!$AJ:$AJ)</f>
        <v>5.75</v>
      </c>
      <c r="J1949" cm="1">
        <f t="array" ref="J1949">_xlfn.XLOOKUP(TEXT(A1949, "mmm-yy"), TEXT([2]GASOLINE!$B$5:$B$208, "mmm-yy"), [2]GASOLINE!$IR$5:$IR$208, "Not Found")</f>
        <v>-165.31686607678313</v>
      </c>
      <c r="K1949" cm="1">
        <f t="array" ref="K1949">_xlfn.XLOOKUP(TEXT(A1949, "mmm-yy"), TEXT([2]GASOLINE!$B$5:$B$208, "mmm-yy"), [2]GASOLINE!$IK$5:$IK$208, "Not Found")</f>
        <v>212.67467701496597</v>
      </c>
      <c r="L1949">
        <f t="shared" si="30"/>
        <v>1</v>
      </c>
      <c r="M1949" cm="1">
        <f t="array" ref="M1949">_xlfn.XLOOKUP(TEXT(A1949, "mmm-yy"), TEXT([2]GASOLINE!$B$5:$B$208, "mmm-yy"), [2]GASOLINE!$C$5:$C$208, "Not Found")</f>
        <v>7253.7858162044349</v>
      </c>
      <c r="N1949" cm="1">
        <f t="array" ref="N1949">_xlfn.XLOOKUP(TEXT(A1949, "mmm-yy"), TEXT([2]RUNS!$B$5:$B$208, "mmm-yy"), [2]RUNS!$BM$5:$BM$208, "Not Found")</f>
        <v>0.80555262903375002</v>
      </c>
    </row>
    <row r="1950" spans="1:14" x14ac:dyDescent="0.25">
      <c r="A1950" s="1">
        <f>'[1]Global_Spot Prices'!$B3259</f>
        <v>44733</v>
      </c>
      <c r="B1950">
        <f>_xlfn.XLOOKUP(A1950,'[1]Global_Spot Prices'!$B:$B,'[1]Global_Spot Prices'!$BS:$BS)</f>
        <v>41.84</v>
      </c>
      <c r="C1950">
        <f>_xlfn.XLOOKUP(A1950,'[1]Global_Spot Prices'!$B:$B,'[1]Global_Spot Prices'!$E:$E)</f>
        <v>111.75</v>
      </c>
      <c r="D1950">
        <f>_xlfn.XLOOKUP(A1950,'[1]Global_Spot Prices'!$B:$B,'[1]Global_Spot Prices'!$D:$D)</f>
        <v>120.54</v>
      </c>
      <c r="E1950">
        <f>_xlfn.XLOOKUP(A1950,'[1]Global_Spot Prices'!$B:$B,'[1]Global_Spot Prices'!$H:$H)</f>
        <v>83.06</v>
      </c>
      <c r="F1950">
        <f>_xlfn.XLOOKUP(A1950,'[1]Global_Spot Prices'!$B:$B,'[1]Global_Spot Prices'!$I:$I)</f>
        <v>153.59</v>
      </c>
      <c r="G1950" cm="1">
        <f t="array" ref="G1950">_xlfn.XLOOKUP(TEXT(A1950, "mmm-yy"), TEXT([2]RUNS!$B$5:$B$208, "mmm-yy"), [2]RUNS!$D$5:$D$208, "Not Found")</f>
        <v>29350.954480947912</v>
      </c>
      <c r="H1950" cm="1">
        <f t="array" ref="H1950">SUMPRODUCT(
    --(TEXT('[3]Global Weekly Stock (EWSuez'!$B$4:$B$2000,"mmm-yy")=TEXT(A1950,"mmm-yy")),
    '[3]Global Weekly Stock (EWSuez'!$E$4:$E$2000)
/
SUMPRODUCT(
    --(TEXT('[3]Global Weekly Stock (EWSuez'!$B$4:$B$2000,"mmm-yy")=TEXT(A1950,"mmm-yy"))
)</f>
        <v>15343.5</v>
      </c>
      <c r="I1950">
        <f>_xlfn.XLOOKUP(A1950,[1]ForwardDeriv!$D:$D,[1]ForwardDeriv!$AJ:$AJ)</f>
        <v>7.5200000000000102</v>
      </c>
      <c r="J1950" cm="1">
        <f t="array" ref="J1950">_xlfn.XLOOKUP(TEXT(A1950, "mmm-yy"), TEXT([2]GASOLINE!$B$5:$B$208, "mmm-yy"), [2]GASOLINE!$IR$5:$IR$208, "Not Found")</f>
        <v>-165.31686607678313</v>
      </c>
      <c r="K1950" cm="1">
        <f t="array" ref="K1950">_xlfn.XLOOKUP(TEXT(A1950, "mmm-yy"), TEXT([2]GASOLINE!$B$5:$B$208, "mmm-yy"), [2]GASOLINE!$IK$5:$IK$208, "Not Found")</f>
        <v>212.67467701496597</v>
      </c>
      <c r="L1950">
        <f t="shared" si="30"/>
        <v>1</v>
      </c>
      <c r="M1950" cm="1">
        <f t="array" ref="M1950">_xlfn.XLOOKUP(TEXT(A1950, "mmm-yy"), TEXT([2]GASOLINE!$B$5:$B$208, "mmm-yy"), [2]GASOLINE!$C$5:$C$208, "Not Found")</f>
        <v>7253.7858162044349</v>
      </c>
      <c r="N1950" cm="1">
        <f t="array" ref="N1950">_xlfn.XLOOKUP(TEXT(A1950, "mmm-yy"), TEXT([2]RUNS!$B$5:$B$208, "mmm-yy"), [2]RUNS!$BM$5:$BM$208, "Not Found")</f>
        <v>0.80555262903375002</v>
      </c>
    </row>
    <row r="1951" spans="1:14" x14ac:dyDescent="0.25">
      <c r="A1951" s="1">
        <f>'[1]Global_Spot Prices'!$B3260</f>
        <v>44734</v>
      </c>
      <c r="B1951">
        <f>_xlfn.XLOOKUP(A1951,'[1]Global_Spot Prices'!$B:$B,'[1]Global_Spot Prices'!$BS:$BS)</f>
        <v>41.390000000000015</v>
      </c>
      <c r="C1951">
        <f>_xlfn.XLOOKUP(A1951,'[1]Global_Spot Prices'!$B:$B,'[1]Global_Spot Prices'!$E:$E)</f>
        <v>106.6</v>
      </c>
      <c r="D1951">
        <f>_xlfn.XLOOKUP(A1951,'[1]Global_Spot Prices'!$B:$B,'[1]Global_Spot Prices'!$D:$D)</f>
        <v>116.59</v>
      </c>
      <c r="E1951">
        <f>_xlfn.XLOOKUP(A1951,'[1]Global_Spot Prices'!$B:$B,'[1]Global_Spot Prices'!$H:$H)</f>
        <v>77.5</v>
      </c>
      <c r="F1951">
        <f>_xlfn.XLOOKUP(A1951,'[1]Global_Spot Prices'!$B:$B,'[1]Global_Spot Prices'!$I:$I)</f>
        <v>147.99</v>
      </c>
      <c r="G1951" cm="1">
        <f t="array" ref="G1951">_xlfn.XLOOKUP(TEXT(A1951, "mmm-yy"), TEXT([2]RUNS!$B$5:$B$208, "mmm-yy"), [2]RUNS!$D$5:$D$208, "Not Found")</f>
        <v>29350.954480947912</v>
      </c>
      <c r="H1951" cm="1">
        <f t="array" ref="H1951">SUMPRODUCT(
    --(TEXT('[3]Global Weekly Stock (EWSuez'!$B$4:$B$2000,"mmm-yy")=TEXT(A1951,"mmm-yy")),
    '[3]Global Weekly Stock (EWSuez'!$E$4:$E$2000)
/
SUMPRODUCT(
    --(TEXT('[3]Global Weekly Stock (EWSuez'!$B$4:$B$2000,"mmm-yy")=TEXT(A1951,"mmm-yy"))
)</f>
        <v>15343.5</v>
      </c>
      <c r="I1951">
        <f>_xlfn.XLOOKUP(A1951,[1]ForwardDeriv!$D:$D,[1]ForwardDeriv!$AJ:$AJ)</f>
        <v>7.9900000000000091</v>
      </c>
      <c r="J1951" cm="1">
        <f t="array" ref="J1951">_xlfn.XLOOKUP(TEXT(A1951, "mmm-yy"), TEXT([2]GASOLINE!$B$5:$B$208, "mmm-yy"), [2]GASOLINE!$IR$5:$IR$208, "Not Found")</f>
        <v>-165.31686607678313</v>
      </c>
      <c r="K1951" cm="1">
        <f t="array" ref="K1951">_xlfn.XLOOKUP(TEXT(A1951, "mmm-yy"), TEXT([2]GASOLINE!$B$5:$B$208, "mmm-yy"), [2]GASOLINE!$IK$5:$IK$208, "Not Found")</f>
        <v>212.67467701496597</v>
      </c>
      <c r="L1951">
        <f t="shared" si="30"/>
        <v>1</v>
      </c>
      <c r="M1951" cm="1">
        <f t="array" ref="M1951">_xlfn.XLOOKUP(TEXT(A1951, "mmm-yy"), TEXT([2]GASOLINE!$B$5:$B$208, "mmm-yy"), [2]GASOLINE!$C$5:$C$208, "Not Found")</f>
        <v>7253.7858162044349</v>
      </c>
      <c r="N1951" cm="1">
        <f t="array" ref="N1951">_xlfn.XLOOKUP(TEXT(A1951, "mmm-yy"), TEXT([2]RUNS!$B$5:$B$208, "mmm-yy"), [2]RUNS!$BM$5:$BM$208, "Not Found")</f>
        <v>0.80555262903375002</v>
      </c>
    </row>
    <row r="1952" spans="1:14" x14ac:dyDescent="0.25">
      <c r="A1952" s="1">
        <f>'[1]Global_Spot Prices'!$B3261</f>
        <v>44735</v>
      </c>
      <c r="B1952">
        <f>_xlfn.XLOOKUP(A1952,'[1]Global_Spot Prices'!$B:$B,'[1]Global_Spot Prices'!$BS:$BS)</f>
        <v>39.17</v>
      </c>
      <c r="C1952">
        <f>_xlfn.XLOOKUP(A1952,'[1]Global_Spot Prices'!$B:$B,'[1]Global_Spot Prices'!$E:$E)</f>
        <v>106.45</v>
      </c>
      <c r="D1952">
        <f>_xlfn.XLOOKUP(A1952,'[1]Global_Spot Prices'!$B:$B,'[1]Global_Spot Prices'!$D:$D)</f>
        <v>117.325</v>
      </c>
      <c r="E1952">
        <f>_xlfn.XLOOKUP(A1952,'[1]Global_Spot Prices'!$B:$B,'[1]Global_Spot Prices'!$H:$H)</f>
        <v>80.290000000000006</v>
      </c>
      <c r="F1952">
        <f>_xlfn.XLOOKUP(A1952,'[1]Global_Spot Prices'!$B:$B,'[1]Global_Spot Prices'!$I:$I)</f>
        <v>145.62</v>
      </c>
      <c r="G1952" cm="1">
        <f t="array" ref="G1952">_xlfn.XLOOKUP(TEXT(A1952, "mmm-yy"), TEXT([2]RUNS!$B$5:$B$208, "mmm-yy"), [2]RUNS!$D$5:$D$208, "Not Found")</f>
        <v>29350.954480947912</v>
      </c>
      <c r="H1952" cm="1">
        <f t="array" ref="H1952">SUMPRODUCT(
    --(TEXT('[3]Global Weekly Stock (EWSuez'!$B$4:$B$2000,"mmm-yy")=TEXT(A1952,"mmm-yy")),
    '[3]Global Weekly Stock (EWSuez'!$E$4:$E$2000)
/
SUMPRODUCT(
    --(TEXT('[3]Global Weekly Stock (EWSuez'!$B$4:$B$2000,"mmm-yy")=TEXT(A1952,"mmm-yy"))
)</f>
        <v>15343.5</v>
      </c>
      <c r="I1952">
        <f>_xlfn.XLOOKUP(A1952,[1]ForwardDeriv!$D:$D,[1]ForwardDeriv!$AJ:$AJ)</f>
        <v>7.0700000000000216</v>
      </c>
      <c r="J1952" cm="1">
        <f t="array" ref="J1952">_xlfn.XLOOKUP(TEXT(A1952, "mmm-yy"), TEXT([2]GASOLINE!$B$5:$B$208, "mmm-yy"), [2]GASOLINE!$IR$5:$IR$208, "Not Found")</f>
        <v>-165.31686607678313</v>
      </c>
      <c r="K1952" cm="1">
        <f t="array" ref="K1952">_xlfn.XLOOKUP(TEXT(A1952, "mmm-yy"), TEXT([2]GASOLINE!$B$5:$B$208, "mmm-yy"), [2]GASOLINE!$IK$5:$IK$208, "Not Found")</f>
        <v>212.67467701496597</v>
      </c>
      <c r="L1952">
        <f t="shared" si="30"/>
        <v>1</v>
      </c>
      <c r="M1952" cm="1">
        <f t="array" ref="M1952">_xlfn.XLOOKUP(TEXT(A1952, "mmm-yy"), TEXT([2]GASOLINE!$B$5:$B$208, "mmm-yy"), [2]GASOLINE!$C$5:$C$208, "Not Found")</f>
        <v>7253.7858162044349</v>
      </c>
      <c r="N1952" cm="1">
        <f t="array" ref="N1952">_xlfn.XLOOKUP(TEXT(A1952, "mmm-yy"), TEXT([2]RUNS!$B$5:$B$208, "mmm-yy"), [2]RUNS!$BM$5:$BM$208, "Not Found")</f>
        <v>0.80555262903375002</v>
      </c>
    </row>
    <row r="1953" spans="1:14" x14ac:dyDescent="0.25">
      <c r="A1953" s="1">
        <f>'[1]Global_Spot Prices'!$B3262</f>
        <v>44736</v>
      </c>
      <c r="B1953">
        <f>_xlfn.XLOOKUP(A1953,'[1]Global_Spot Prices'!$B:$B,'[1]Global_Spot Prices'!$BS:$BS)</f>
        <v>40.319999999999993</v>
      </c>
      <c r="C1953">
        <f>_xlfn.XLOOKUP(A1953,'[1]Global_Spot Prices'!$B:$B,'[1]Global_Spot Prices'!$E:$E)</f>
        <v>106.5</v>
      </c>
      <c r="D1953">
        <f>_xlfn.XLOOKUP(A1953,'[1]Global_Spot Prices'!$B:$B,'[1]Global_Spot Prices'!$D:$D)</f>
        <v>119.94499999999999</v>
      </c>
      <c r="E1953">
        <f>_xlfn.XLOOKUP(A1953,'[1]Global_Spot Prices'!$B:$B,'[1]Global_Spot Prices'!$H:$H)</f>
        <v>83.01</v>
      </c>
      <c r="F1953">
        <f>_xlfn.XLOOKUP(A1953,'[1]Global_Spot Prices'!$B:$B,'[1]Global_Spot Prices'!$I:$I)</f>
        <v>146.82</v>
      </c>
      <c r="G1953" cm="1">
        <f t="array" ref="G1953">_xlfn.XLOOKUP(TEXT(A1953, "mmm-yy"), TEXT([2]RUNS!$B$5:$B$208, "mmm-yy"), [2]RUNS!$D$5:$D$208, "Not Found")</f>
        <v>29350.954480947912</v>
      </c>
      <c r="H1953" cm="1">
        <f t="array" ref="H1953">SUMPRODUCT(
    --(TEXT('[3]Global Weekly Stock (EWSuez'!$B$4:$B$2000,"mmm-yy")=TEXT(A1953,"mmm-yy")),
    '[3]Global Weekly Stock (EWSuez'!$E$4:$E$2000)
/
SUMPRODUCT(
    --(TEXT('[3]Global Weekly Stock (EWSuez'!$B$4:$B$2000,"mmm-yy")=TEXT(A1953,"mmm-yy"))
)</f>
        <v>15343.5</v>
      </c>
      <c r="I1953">
        <f>_xlfn.XLOOKUP(A1953,[1]ForwardDeriv!$D:$D,[1]ForwardDeriv!$AJ:$AJ)</f>
        <v>7.8200000000000216</v>
      </c>
      <c r="J1953" cm="1">
        <f t="array" ref="J1953">_xlfn.XLOOKUP(TEXT(A1953, "mmm-yy"), TEXT([2]GASOLINE!$B$5:$B$208, "mmm-yy"), [2]GASOLINE!$IR$5:$IR$208, "Not Found")</f>
        <v>-165.31686607678313</v>
      </c>
      <c r="K1953" cm="1">
        <f t="array" ref="K1953">_xlfn.XLOOKUP(TEXT(A1953, "mmm-yy"), TEXT([2]GASOLINE!$B$5:$B$208, "mmm-yy"), [2]GASOLINE!$IK$5:$IK$208, "Not Found")</f>
        <v>212.67467701496597</v>
      </c>
      <c r="L1953">
        <f t="shared" si="30"/>
        <v>1</v>
      </c>
      <c r="M1953" cm="1">
        <f t="array" ref="M1953">_xlfn.XLOOKUP(TEXT(A1953, "mmm-yy"), TEXT([2]GASOLINE!$B$5:$B$208, "mmm-yy"), [2]GASOLINE!$C$5:$C$208, "Not Found")</f>
        <v>7253.7858162044349</v>
      </c>
      <c r="N1953" cm="1">
        <f t="array" ref="N1953">_xlfn.XLOOKUP(TEXT(A1953, "mmm-yy"), TEXT([2]RUNS!$B$5:$B$208, "mmm-yy"), [2]RUNS!$BM$5:$BM$208, "Not Found")</f>
        <v>0.80555262903375002</v>
      </c>
    </row>
    <row r="1954" spans="1:14" x14ac:dyDescent="0.25">
      <c r="A1954" s="1">
        <f>'[1]Global_Spot Prices'!$B3263</f>
        <v>44739</v>
      </c>
      <c r="B1954">
        <f>_xlfn.XLOOKUP(A1954,'[1]Global_Spot Prices'!$B:$B,'[1]Global_Spot Prices'!$BS:$BS)</f>
        <v>38.56</v>
      </c>
      <c r="C1954">
        <f>_xlfn.XLOOKUP(A1954,'[1]Global_Spot Prices'!$B:$B,'[1]Global_Spot Prices'!$E:$E)</f>
        <v>110</v>
      </c>
      <c r="D1954">
        <f>_xlfn.XLOOKUP(A1954,'[1]Global_Spot Prices'!$B:$B,'[1]Global_Spot Prices'!$D:$D)</f>
        <v>120.65</v>
      </c>
      <c r="E1954">
        <f>_xlfn.XLOOKUP(A1954,'[1]Global_Spot Prices'!$B:$B,'[1]Global_Spot Prices'!$H:$H)</f>
        <v>84.67</v>
      </c>
      <c r="F1954">
        <f>_xlfn.XLOOKUP(A1954,'[1]Global_Spot Prices'!$B:$B,'[1]Global_Spot Prices'!$I:$I)</f>
        <v>148.56</v>
      </c>
      <c r="G1954" cm="1">
        <f t="array" ref="G1954">_xlfn.XLOOKUP(TEXT(A1954, "mmm-yy"), TEXT([2]RUNS!$B$5:$B$208, "mmm-yy"), [2]RUNS!$D$5:$D$208, "Not Found")</f>
        <v>29350.954480947912</v>
      </c>
      <c r="H1954" cm="1">
        <f t="array" ref="H1954">SUMPRODUCT(
    --(TEXT('[3]Global Weekly Stock (EWSuez'!$B$4:$B$2000,"mmm-yy")=TEXT(A1954,"mmm-yy")),
    '[3]Global Weekly Stock (EWSuez'!$E$4:$E$2000)
/
SUMPRODUCT(
    --(TEXT('[3]Global Weekly Stock (EWSuez'!$B$4:$B$2000,"mmm-yy")=TEXT(A1954,"mmm-yy"))
)</f>
        <v>15343.5</v>
      </c>
      <c r="I1954">
        <f>_xlfn.XLOOKUP(A1954,[1]ForwardDeriv!$D:$D,[1]ForwardDeriv!$AJ:$AJ)</f>
        <v>7.9000000000000057</v>
      </c>
      <c r="J1954" cm="1">
        <f t="array" ref="J1954">_xlfn.XLOOKUP(TEXT(A1954, "mmm-yy"), TEXT([2]GASOLINE!$B$5:$B$208, "mmm-yy"), [2]GASOLINE!$IR$5:$IR$208, "Not Found")</f>
        <v>-165.31686607678313</v>
      </c>
      <c r="K1954" cm="1">
        <f t="array" ref="K1954">_xlfn.XLOOKUP(TEXT(A1954, "mmm-yy"), TEXT([2]GASOLINE!$B$5:$B$208, "mmm-yy"), [2]GASOLINE!$IK$5:$IK$208, "Not Found")</f>
        <v>212.67467701496597</v>
      </c>
      <c r="L1954">
        <f t="shared" si="30"/>
        <v>1</v>
      </c>
      <c r="M1954" cm="1">
        <f t="array" ref="M1954">_xlfn.XLOOKUP(TEXT(A1954, "mmm-yy"), TEXT([2]GASOLINE!$B$5:$B$208, "mmm-yy"), [2]GASOLINE!$C$5:$C$208, "Not Found")</f>
        <v>7253.7858162044349</v>
      </c>
      <c r="N1954" cm="1">
        <f t="array" ref="N1954">_xlfn.XLOOKUP(TEXT(A1954, "mmm-yy"), TEXT([2]RUNS!$B$5:$B$208, "mmm-yy"), [2]RUNS!$BM$5:$BM$208, "Not Found")</f>
        <v>0.80555262903375002</v>
      </c>
    </row>
    <row r="1955" spans="1:14" x14ac:dyDescent="0.25">
      <c r="A1955" s="1">
        <f>'[1]Global_Spot Prices'!$B3264</f>
        <v>44740</v>
      </c>
      <c r="B1955">
        <f>_xlfn.XLOOKUP(A1955,'[1]Global_Spot Prices'!$B:$B,'[1]Global_Spot Prices'!$BS:$BS)</f>
        <v>35.409999999999997</v>
      </c>
      <c r="C1955">
        <f>_xlfn.XLOOKUP(A1955,'[1]Global_Spot Prices'!$B:$B,'[1]Global_Spot Prices'!$E:$E)</f>
        <v>113.16</v>
      </c>
      <c r="D1955">
        <f>_xlfn.XLOOKUP(A1955,'[1]Global_Spot Prices'!$B:$B,'[1]Global_Spot Prices'!$D:$D)</f>
        <v>122.94</v>
      </c>
      <c r="E1955">
        <f>_xlfn.XLOOKUP(A1955,'[1]Global_Spot Prices'!$B:$B,'[1]Global_Spot Prices'!$H:$H)</f>
        <v>86.04</v>
      </c>
      <c r="F1955">
        <f>_xlfn.XLOOKUP(A1955,'[1]Global_Spot Prices'!$B:$B,'[1]Global_Spot Prices'!$I:$I)</f>
        <v>148.57</v>
      </c>
      <c r="G1955" cm="1">
        <f t="array" ref="G1955">_xlfn.XLOOKUP(TEXT(A1955, "mmm-yy"), TEXT([2]RUNS!$B$5:$B$208, "mmm-yy"), [2]RUNS!$D$5:$D$208, "Not Found")</f>
        <v>29350.954480947912</v>
      </c>
      <c r="H1955" cm="1">
        <f t="array" ref="H1955">SUMPRODUCT(
    --(TEXT('[3]Global Weekly Stock (EWSuez'!$B$4:$B$2000,"mmm-yy")=TEXT(A1955,"mmm-yy")),
    '[3]Global Weekly Stock (EWSuez'!$E$4:$E$2000)
/
SUMPRODUCT(
    --(TEXT('[3]Global Weekly Stock (EWSuez'!$B$4:$B$2000,"mmm-yy")=TEXT(A1955,"mmm-yy"))
)</f>
        <v>15343.5</v>
      </c>
      <c r="I1955">
        <f>_xlfn.XLOOKUP(A1955,[1]ForwardDeriv!$D:$D,[1]ForwardDeriv!$AJ:$AJ)</f>
        <v>6.8899999999999864</v>
      </c>
      <c r="J1955" cm="1">
        <f t="array" ref="J1955">_xlfn.XLOOKUP(TEXT(A1955, "mmm-yy"), TEXT([2]GASOLINE!$B$5:$B$208, "mmm-yy"), [2]GASOLINE!$IR$5:$IR$208, "Not Found")</f>
        <v>-165.31686607678313</v>
      </c>
      <c r="K1955" cm="1">
        <f t="array" ref="K1955">_xlfn.XLOOKUP(TEXT(A1955, "mmm-yy"), TEXT([2]GASOLINE!$B$5:$B$208, "mmm-yy"), [2]GASOLINE!$IK$5:$IK$208, "Not Found")</f>
        <v>212.67467701496597</v>
      </c>
      <c r="L1955">
        <f t="shared" si="30"/>
        <v>1</v>
      </c>
      <c r="M1955" cm="1">
        <f t="array" ref="M1955">_xlfn.XLOOKUP(TEXT(A1955, "mmm-yy"), TEXT([2]GASOLINE!$B$5:$B$208, "mmm-yy"), [2]GASOLINE!$C$5:$C$208, "Not Found")</f>
        <v>7253.7858162044349</v>
      </c>
      <c r="N1955" cm="1">
        <f t="array" ref="N1955">_xlfn.XLOOKUP(TEXT(A1955, "mmm-yy"), TEXT([2]RUNS!$B$5:$B$208, "mmm-yy"), [2]RUNS!$BM$5:$BM$208, "Not Found")</f>
        <v>0.80555262903375002</v>
      </c>
    </row>
    <row r="1956" spans="1:14" x14ac:dyDescent="0.25">
      <c r="A1956" s="1">
        <f>'[1]Global_Spot Prices'!$B3265</f>
        <v>44741</v>
      </c>
      <c r="B1956">
        <f>_xlfn.XLOOKUP(A1956,'[1]Global_Spot Prices'!$B:$B,'[1]Global_Spot Prices'!$BS:$BS)</f>
        <v>33.830000000000013</v>
      </c>
      <c r="C1956">
        <f>_xlfn.XLOOKUP(A1956,'[1]Global_Spot Prices'!$B:$B,'[1]Global_Spot Prices'!$E:$E)</f>
        <v>114.19</v>
      </c>
      <c r="D1956">
        <f>_xlfn.XLOOKUP(A1956,'[1]Global_Spot Prices'!$B:$B,'[1]Global_Spot Prices'!$D:$D)</f>
        <v>124.58499999999999</v>
      </c>
      <c r="E1956">
        <f>_xlfn.XLOOKUP(A1956,'[1]Global_Spot Prices'!$B:$B,'[1]Global_Spot Prices'!$H:$H)</f>
        <v>85.31</v>
      </c>
      <c r="F1956">
        <f>_xlfn.XLOOKUP(A1956,'[1]Global_Spot Prices'!$B:$B,'[1]Global_Spot Prices'!$I:$I)</f>
        <v>148.02000000000001</v>
      </c>
      <c r="G1956" cm="1">
        <f t="array" ref="G1956">_xlfn.XLOOKUP(TEXT(A1956, "mmm-yy"), TEXT([2]RUNS!$B$5:$B$208, "mmm-yy"), [2]RUNS!$D$5:$D$208, "Not Found")</f>
        <v>29350.954480947912</v>
      </c>
      <c r="H1956" cm="1">
        <f t="array" ref="H1956">SUMPRODUCT(
    --(TEXT('[3]Global Weekly Stock (EWSuez'!$B$4:$B$2000,"mmm-yy")=TEXT(A1956,"mmm-yy")),
    '[3]Global Weekly Stock (EWSuez'!$E$4:$E$2000)
/
SUMPRODUCT(
    --(TEXT('[3]Global Weekly Stock (EWSuez'!$B$4:$B$2000,"mmm-yy")=TEXT(A1956,"mmm-yy"))
)</f>
        <v>15343.5</v>
      </c>
      <c r="I1956">
        <f>_xlfn.XLOOKUP(A1956,[1]ForwardDeriv!$D:$D,[1]ForwardDeriv!$AJ:$AJ)</f>
        <v>7.1500000000000057</v>
      </c>
      <c r="J1956" cm="1">
        <f t="array" ref="J1956">_xlfn.XLOOKUP(TEXT(A1956, "mmm-yy"), TEXT([2]GASOLINE!$B$5:$B$208, "mmm-yy"), [2]GASOLINE!$IR$5:$IR$208, "Not Found")</f>
        <v>-165.31686607678313</v>
      </c>
      <c r="K1956" cm="1">
        <f t="array" ref="K1956">_xlfn.XLOOKUP(TEXT(A1956, "mmm-yy"), TEXT([2]GASOLINE!$B$5:$B$208, "mmm-yy"), [2]GASOLINE!$IK$5:$IK$208, "Not Found")</f>
        <v>212.67467701496597</v>
      </c>
      <c r="L1956">
        <f t="shared" si="30"/>
        <v>1</v>
      </c>
      <c r="M1956" cm="1">
        <f t="array" ref="M1956">_xlfn.XLOOKUP(TEXT(A1956, "mmm-yy"), TEXT([2]GASOLINE!$B$5:$B$208, "mmm-yy"), [2]GASOLINE!$C$5:$C$208, "Not Found")</f>
        <v>7253.7858162044349</v>
      </c>
      <c r="N1956" cm="1">
        <f t="array" ref="N1956">_xlfn.XLOOKUP(TEXT(A1956, "mmm-yy"), TEXT([2]RUNS!$B$5:$B$208, "mmm-yy"), [2]RUNS!$BM$5:$BM$208, "Not Found")</f>
        <v>0.80555262903375002</v>
      </c>
    </row>
    <row r="1957" spans="1:14" x14ac:dyDescent="0.25">
      <c r="A1957" s="1">
        <f>'[1]Global_Spot Prices'!$B3266</f>
        <v>44742</v>
      </c>
      <c r="B1957">
        <f>_xlfn.XLOOKUP(A1957,'[1]Global_Spot Prices'!$B:$B,'[1]Global_Spot Prices'!$BS:$BS)</f>
        <v>29.689999999999998</v>
      </c>
      <c r="C1957">
        <f>_xlfn.XLOOKUP(A1957,'[1]Global_Spot Prices'!$B:$B,'[1]Global_Spot Prices'!$E:$E)</f>
        <v>113.35</v>
      </c>
      <c r="D1957">
        <f>_xlfn.XLOOKUP(A1957,'[1]Global_Spot Prices'!$B:$B,'[1]Global_Spot Prices'!$D:$D)</f>
        <v>120.485</v>
      </c>
      <c r="E1957">
        <f>_xlfn.XLOOKUP(A1957,'[1]Global_Spot Prices'!$B:$B,'[1]Global_Spot Prices'!$H:$H)</f>
        <v>86.19</v>
      </c>
      <c r="F1957">
        <f>_xlfn.XLOOKUP(A1957,'[1]Global_Spot Prices'!$B:$B,'[1]Global_Spot Prices'!$I:$I)</f>
        <v>143.04</v>
      </c>
      <c r="G1957" cm="1">
        <f t="array" ref="G1957">_xlfn.XLOOKUP(TEXT(A1957, "mmm-yy"), TEXT([2]RUNS!$B$5:$B$208, "mmm-yy"), [2]RUNS!$D$5:$D$208, "Not Found")</f>
        <v>29350.954480947912</v>
      </c>
      <c r="H1957" cm="1">
        <f t="array" ref="H1957">SUMPRODUCT(
    --(TEXT('[3]Global Weekly Stock (EWSuez'!$B$4:$B$2000,"mmm-yy")=TEXT(A1957,"mmm-yy")),
    '[3]Global Weekly Stock (EWSuez'!$E$4:$E$2000)
/
SUMPRODUCT(
    --(TEXT('[3]Global Weekly Stock (EWSuez'!$B$4:$B$2000,"mmm-yy")=TEXT(A1957,"mmm-yy"))
)</f>
        <v>15343.5</v>
      </c>
      <c r="I1957">
        <f>_xlfn.XLOOKUP(A1957,[1]ForwardDeriv!$D:$D,[1]ForwardDeriv!$AJ:$AJ)</f>
        <v>6.0999999999999943</v>
      </c>
      <c r="J1957" cm="1">
        <f t="array" ref="J1957">_xlfn.XLOOKUP(TEXT(A1957, "mmm-yy"), TEXT([2]GASOLINE!$B$5:$B$208, "mmm-yy"), [2]GASOLINE!$IR$5:$IR$208, "Not Found")</f>
        <v>-165.31686607678313</v>
      </c>
      <c r="K1957" cm="1">
        <f t="array" ref="K1957">_xlfn.XLOOKUP(TEXT(A1957, "mmm-yy"), TEXT([2]GASOLINE!$B$5:$B$208, "mmm-yy"), [2]GASOLINE!$IK$5:$IK$208, "Not Found")</f>
        <v>212.67467701496597</v>
      </c>
      <c r="L1957">
        <f t="shared" si="30"/>
        <v>1</v>
      </c>
      <c r="M1957" cm="1">
        <f t="array" ref="M1957">_xlfn.XLOOKUP(TEXT(A1957, "mmm-yy"), TEXT([2]GASOLINE!$B$5:$B$208, "mmm-yy"), [2]GASOLINE!$C$5:$C$208, "Not Found")</f>
        <v>7253.7858162044349</v>
      </c>
      <c r="N1957" cm="1">
        <f t="array" ref="N1957">_xlfn.XLOOKUP(TEXT(A1957, "mmm-yy"), TEXT([2]RUNS!$B$5:$B$208, "mmm-yy"), [2]RUNS!$BM$5:$BM$208, "Not Found")</f>
        <v>0.80555262903375002</v>
      </c>
    </row>
    <row r="1958" spans="1:14" x14ac:dyDescent="0.25">
      <c r="A1958" s="1">
        <f>'[1]Global_Spot Prices'!$B3267</f>
        <v>44743</v>
      </c>
      <c r="B1958">
        <f>_xlfn.XLOOKUP(A1958,'[1]Global_Spot Prices'!$B:$B,'[1]Global_Spot Prices'!$BS:$BS)</f>
        <v>31.169999999999987</v>
      </c>
      <c r="C1958">
        <f>_xlfn.XLOOKUP(A1958,'[1]Global_Spot Prices'!$B:$B,'[1]Global_Spot Prices'!$E:$E)</f>
        <v>106.31</v>
      </c>
      <c r="D1958">
        <f>_xlfn.XLOOKUP(A1958,'[1]Global_Spot Prices'!$B:$B,'[1]Global_Spot Prices'!$D:$D)</f>
        <v>121.54</v>
      </c>
      <c r="E1958">
        <f>_xlfn.XLOOKUP(A1958,'[1]Global_Spot Prices'!$B:$B,'[1]Global_Spot Prices'!$H:$H)</f>
        <v>86.97</v>
      </c>
      <c r="F1958">
        <f>_xlfn.XLOOKUP(A1958,'[1]Global_Spot Prices'!$B:$B,'[1]Global_Spot Prices'!$I:$I)</f>
        <v>137.47999999999999</v>
      </c>
      <c r="G1958" cm="1">
        <f t="array" ref="G1958">_xlfn.XLOOKUP(TEXT(A1958, "mmm-yy"), TEXT([2]RUNS!$B$5:$B$208, "mmm-yy"), [2]RUNS!$D$5:$D$208, "Not Found")</f>
        <v>28368.607128626983</v>
      </c>
      <c r="H1958" cm="1">
        <f t="array" ref="H1958">SUMPRODUCT(
    --(TEXT('[3]Global Weekly Stock (EWSuez'!$B$4:$B$2000,"mmm-yy")=TEXT(A1958,"mmm-yy")),
    '[3]Global Weekly Stock (EWSuez'!$E$4:$E$2000)
/
SUMPRODUCT(
    --(TEXT('[3]Global Weekly Stock (EWSuez'!$B$4:$B$2000,"mmm-yy")=TEXT(A1958,"mmm-yy"))
)</f>
        <v>16728.2</v>
      </c>
      <c r="I1958">
        <f>_xlfn.XLOOKUP(A1958,[1]ForwardDeriv!$D:$D,[1]ForwardDeriv!$AJ:$AJ)</f>
        <v>5.4499999999999886</v>
      </c>
      <c r="J1958" cm="1">
        <f t="array" ref="J1958">_xlfn.XLOOKUP(TEXT(A1958, "mmm-yy"), TEXT([2]GASOLINE!$B$5:$B$208, "mmm-yy"), [2]GASOLINE!$IR$5:$IR$208, "Not Found")</f>
        <v>-246.2272686159275</v>
      </c>
      <c r="K1958" cm="1">
        <f t="array" ref="K1958">_xlfn.XLOOKUP(TEXT(A1958, "mmm-yy"), TEXT([2]GASOLINE!$B$5:$B$208, "mmm-yy"), [2]GASOLINE!$IK$5:$IK$208, "Not Found")</f>
        <v>203.81278111453318</v>
      </c>
      <c r="L1958">
        <f t="shared" si="30"/>
        <v>1</v>
      </c>
      <c r="M1958" cm="1">
        <f t="array" ref="M1958">_xlfn.XLOOKUP(TEXT(A1958, "mmm-yy"), TEXT([2]GASOLINE!$B$5:$B$208, "mmm-yy"), [2]GASOLINE!$C$5:$C$208, "Not Found")</f>
        <v>7176.5840616344976</v>
      </c>
      <c r="N1958" cm="1">
        <f t="array" ref="N1958">_xlfn.XLOOKUP(TEXT(A1958, "mmm-yy"), TEXT([2]RUNS!$B$5:$B$208, "mmm-yy"), [2]RUNS!$BM$5:$BM$208, "Not Found")</f>
        <v>0.77765674866574686</v>
      </c>
    </row>
    <row r="1959" spans="1:14" x14ac:dyDescent="0.25">
      <c r="A1959" s="1">
        <f>'[1]Global_Spot Prices'!$B3268</f>
        <v>44746</v>
      </c>
      <c r="B1959">
        <f>_xlfn.XLOOKUP(A1959,'[1]Global_Spot Prices'!$B:$B,'[1]Global_Spot Prices'!$BS:$BS)</f>
        <v>31.53</v>
      </c>
      <c r="C1959">
        <f>_xlfn.XLOOKUP(A1959,'[1]Global_Spot Prices'!$B:$B,'[1]Global_Spot Prices'!$E:$E)</f>
        <v>108.37</v>
      </c>
      <c r="D1959">
        <f>_xlfn.XLOOKUP(A1959,'[1]Global_Spot Prices'!$B:$B,'[1]Global_Spot Prices'!$D:$D)</f>
        <v>124.785</v>
      </c>
      <c r="E1959">
        <f>_xlfn.XLOOKUP(A1959,'[1]Global_Spot Prices'!$B:$B,'[1]Global_Spot Prices'!$H:$H)</f>
        <v>87.52</v>
      </c>
      <c r="F1959">
        <f>_xlfn.XLOOKUP(A1959,'[1]Global_Spot Prices'!$B:$B,'[1]Global_Spot Prices'!$I:$I)</f>
        <v>139.9</v>
      </c>
      <c r="G1959" cm="1">
        <f t="array" ref="G1959">_xlfn.XLOOKUP(TEXT(A1959, "mmm-yy"), TEXT([2]RUNS!$B$5:$B$208, "mmm-yy"), [2]RUNS!$D$5:$D$208, "Not Found")</f>
        <v>28368.607128626983</v>
      </c>
      <c r="H1959" cm="1">
        <f t="array" ref="H1959">SUMPRODUCT(
    --(TEXT('[3]Global Weekly Stock (EWSuez'!$B$4:$B$2000,"mmm-yy")=TEXT(A1959,"mmm-yy")),
    '[3]Global Weekly Stock (EWSuez'!$E$4:$E$2000)
/
SUMPRODUCT(
    --(TEXT('[3]Global Weekly Stock (EWSuez'!$B$4:$B$2000,"mmm-yy")=TEXT(A1959,"mmm-yy"))
)</f>
        <v>16728.2</v>
      </c>
      <c r="I1959">
        <f>_xlfn.XLOOKUP(A1959,[1]ForwardDeriv!$D:$D,[1]ForwardDeriv!$AJ:$AJ)</f>
        <v>5.6000000000000085</v>
      </c>
      <c r="J1959" cm="1">
        <f t="array" ref="J1959">_xlfn.XLOOKUP(TEXT(A1959, "mmm-yy"), TEXT([2]GASOLINE!$B$5:$B$208, "mmm-yy"), [2]GASOLINE!$IR$5:$IR$208, "Not Found")</f>
        <v>-246.2272686159275</v>
      </c>
      <c r="K1959" cm="1">
        <f t="array" ref="K1959">_xlfn.XLOOKUP(TEXT(A1959, "mmm-yy"), TEXT([2]GASOLINE!$B$5:$B$208, "mmm-yy"), [2]GASOLINE!$IK$5:$IK$208, "Not Found")</f>
        <v>203.81278111453318</v>
      </c>
      <c r="L1959">
        <f t="shared" si="30"/>
        <v>1</v>
      </c>
      <c r="M1959" cm="1">
        <f t="array" ref="M1959">_xlfn.XLOOKUP(TEXT(A1959, "mmm-yy"), TEXT([2]GASOLINE!$B$5:$B$208, "mmm-yy"), [2]GASOLINE!$C$5:$C$208, "Not Found")</f>
        <v>7176.5840616344976</v>
      </c>
      <c r="N1959" cm="1">
        <f t="array" ref="N1959">_xlfn.XLOOKUP(TEXT(A1959, "mmm-yy"), TEXT([2]RUNS!$B$5:$B$208, "mmm-yy"), [2]RUNS!$BM$5:$BM$208, "Not Found")</f>
        <v>0.77765674866574686</v>
      </c>
    </row>
    <row r="1960" spans="1:14" x14ac:dyDescent="0.25">
      <c r="A1960" s="1">
        <f>'[1]Global_Spot Prices'!$B3269</f>
        <v>44747</v>
      </c>
      <c r="B1960">
        <f>_xlfn.XLOOKUP(A1960,'[1]Global_Spot Prices'!$B:$B,'[1]Global_Spot Prices'!$BS:$BS)</f>
        <v>27.379999999999981</v>
      </c>
      <c r="C1960">
        <f>_xlfn.XLOOKUP(A1960,'[1]Global_Spot Prices'!$B:$B,'[1]Global_Spot Prices'!$E:$E)</f>
        <v>111.01</v>
      </c>
      <c r="D1960">
        <f>_xlfn.XLOOKUP(A1960,'[1]Global_Spot Prices'!$B:$B,'[1]Global_Spot Prices'!$D:$D)</f>
        <v>113.15</v>
      </c>
      <c r="E1960">
        <f>_xlfn.XLOOKUP(A1960,'[1]Global_Spot Prices'!$B:$B,'[1]Global_Spot Prices'!$H:$H)</f>
        <v>89.17</v>
      </c>
      <c r="F1960">
        <f>_xlfn.XLOOKUP(A1960,'[1]Global_Spot Prices'!$B:$B,'[1]Global_Spot Prices'!$I:$I)</f>
        <v>138.38999999999999</v>
      </c>
      <c r="G1960" cm="1">
        <f t="array" ref="G1960">_xlfn.XLOOKUP(TEXT(A1960, "mmm-yy"), TEXT([2]RUNS!$B$5:$B$208, "mmm-yy"), [2]RUNS!$D$5:$D$208, "Not Found")</f>
        <v>28368.607128626983</v>
      </c>
      <c r="H1960" cm="1">
        <f t="array" ref="H1960">SUMPRODUCT(
    --(TEXT('[3]Global Weekly Stock (EWSuez'!$B$4:$B$2000,"mmm-yy")=TEXT(A1960,"mmm-yy")),
    '[3]Global Weekly Stock (EWSuez'!$E$4:$E$2000)
/
SUMPRODUCT(
    --(TEXT('[3]Global Weekly Stock (EWSuez'!$B$4:$B$2000,"mmm-yy")=TEXT(A1960,"mmm-yy"))
)</f>
        <v>16728.2</v>
      </c>
      <c r="I1960">
        <f>_xlfn.XLOOKUP(A1960,[1]ForwardDeriv!$D:$D,[1]ForwardDeriv!$AJ:$AJ)</f>
        <v>4.9499999999999886</v>
      </c>
      <c r="J1960" cm="1">
        <f t="array" ref="J1960">_xlfn.XLOOKUP(TEXT(A1960, "mmm-yy"), TEXT([2]GASOLINE!$B$5:$B$208, "mmm-yy"), [2]GASOLINE!$IR$5:$IR$208, "Not Found")</f>
        <v>-246.2272686159275</v>
      </c>
      <c r="K1960" cm="1">
        <f t="array" ref="K1960">_xlfn.XLOOKUP(TEXT(A1960, "mmm-yy"), TEXT([2]GASOLINE!$B$5:$B$208, "mmm-yy"), [2]GASOLINE!$IK$5:$IK$208, "Not Found")</f>
        <v>203.81278111453318</v>
      </c>
      <c r="L1960">
        <f t="shared" si="30"/>
        <v>1</v>
      </c>
      <c r="M1960" cm="1">
        <f t="array" ref="M1960">_xlfn.XLOOKUP(TEXT(A1960, "mmm-yy"), TEXT([2]GASOLINE!$B$5:$B$208, "mmm-yy"), [2]GASOLINE!$C$5:$C$208, "Not Found")</f>
        <v>7176.5840616344976</v>
      </c>
      <c r="N1960" cm="1">
        <f t="array" ref="N1960">_xlfn.XLOOKUP(TEXT(A1960, "mmm-yy"), TEXT([2]RUNS!$B$5:$B$208, "mmm-yy"), [2]RUNS!$BM$5:$BM$208, "Not Found")</f>
        <v>0.77765674866574686</v>
      </c>
    </row>
    <row r="1961" spans="1:14" x14ac:dyDescent="0.25">
      <c r="A1961" s="1">
        <f>'[1]Global_Spot Prices'!$B3270</f>
        <v>44748</v>
      </c>
      <c r="B1961">
        <f>_xlfn.XLOOKUP(A1961,'[1]Global_Spot Prices'!$B:$B,'[1]Global_Spot Prices'!$BS:$BS)</f>
        <v>19.25</v>
      </c>
      <c r="C1961">
        <f>_xlfn.XLOOKUP(A1961,'[1]Global_Spot Prices'!$B:$B,'[1]Global_Spot Prices'!$E:$E)</f>
        <v>101.69</v>
      </c>
      <c r="D1961">
        <f>_xlfn.XLOOKUP(A1961,'[1]Global_Spot Prices'!$B:$B,'[1]Global_Spot Prices'!$D:$D)</f>
        <v>109.94499999999999</v>
      </c>
      <c r="E1961">
        <f>_xlfn.XLOOKUP(A1961,'[1]Global_Spot Prices'!$B:$B,'[1]Global_Spot Prices'!$H:$H)</f>
        <v>85.41</v>
      </c>
      <c r="F1961">
        <f>_xlfn.XLOOKUP(A1961,'[1]Global_Spot Prices'!$B:$B,'[1]Global_Spot Prices'!$I:$I)</f>
        <v>120.94</v>
      </c>
      <c r="G1961" cm="1">
        <f t="array" ref="G1961">_xlfn.XLOOKUP(TEXT(A1961, "mmm-yy"), TEXT([2]RUNS!$B$5:$B$208, "mmm-yy"), [2]RUNS!$D$5:$D$208, "Not Found")</f>
        <v>28368.607128626983</v>
      </c>
      <c r="H1961" cm="1">
        <f t="array" ref="H1961">SUMPRODUCT(
    --(TEXT('[3]Global Weekly Stock (EWSuez'!$B$4:$B$2000,"mmm-yy")=TEXT(A1961,"mmm-yy")),
    '[3]Global Weekly Stock (EWSuez'!$E$4:$E$2000)
/
SUMPRODUCT(
    --(TEXT('[3]Global Weekly Stock (EWSuez'!$B$4:$B$2000,"mmm-yy")=TEXT(A1961,"mmm-yy"))
)</f>
        <v>16728.2</v>
      </c>
      <c r="I1961">
        <f>_xlfn.XLOOKUP(A1961,[1]ForwardDeriv!$D:$D,[1]ForwardDeriv!$AJ:$AJ)</f>
        <v>3.75</v>
      </c>
      <c r="J1961" cm="1">
        <f t="array" ref="J1961">_xlfn.XLOOKUP(TEXT(A1961, "mmm-yy"), TEXT([2]GASOLINE!$B$5:$B$208, "mmm-yy"), [2]GASOLINE!$IR$5:$IR$208, "Not Found")</f>
        <v>-246.2272686159275</v>
      </c>
      <c r="K1961" cm="1">
        <f t="array" ref="K1961">_xlfn.XLOOKUP(TEXT(A1961, "mmm-yy"), TEXT([2]GASOLINE!$B$5:$B$208, "mmm-yy"), [2]GASOLINE!$IK$5:$IK$208, "Not Found")</f>
        <v>203.81278111453318</v>
      </c>
      <c r="L1961">
        <f t="shared" si="30"/>
        <v>1</v>
      </c>
      <c r="M1961" cm="1">
        <f t="array" ref="M1961">_xlfn.XLOOKUP(TEXT(A1961, "mmm-yy"), TEXT([2]GASOLINE!$B$5:$B$208, "mmm-yy"), [2]GASOLINE!$C$5:$C$208, "Not Found")</f>
        <v>7176.5840616344976</v>
      </c>
      <c r="N1961" cm="1">
        <f t="array" ref="N1961">_xlfn.XLOOKUP(TEXT(A1961, "mmm-yy"), TEXT([2]RUNS!$B$5:$B$208, "mmm-yy"), [2]RUNS!$BM$5:$BM$208, "Not Found")</f>
        <v>0.77765674866574686</v>
      </c>
    </row>
    <row r="1962" spans="1:14" x14ac:dyDescent="0.25">
      <c r="A1962" s="1">
        <f>'[1]Global_Spot Prices'!$B3271</f>
        <v>44749</v>
      </c>
      <c r="B1962">
        <f>_xlfn.XLOOKUP(A1962,'[1]Global_Spot Prices'!$B:$B,'[1]Global_Spot Prices'!$BS:$BS)</f>
        <v>17.519999999999996</v>
      </c>
      <c r="C1962">
        <f>_xlfn.XLOOKUP(A1962,'[1]Global_Spot Prices'!$B:$B,'[1]Global_Spot Prices'!$E:$E)</f>
        <v>98.2</v>
      </c>
      <c r="D1962">
        <f>_xlfn.XLOOKUP(A1962,'[1]Global_Spot Prices'!$B:$B,'[1]Global_Spot Prices'!$D:$D)</f>
        <v>114.625</v>
      </c>
      <c r="E1962">
        <f>_xlfn.XLOOKUP(A1962,'[1]Global_Spot Prices'!$B:$B,'[1]Global_Spot Prices'!$H:$H)</f>
        <v>83.64</v>
      </c>
      <c r="F1962">
        <f>_xlfn.XLOOKUP(A1962,'[1]Global_Spot Prices'!$B:$B,'[1]Global_Spot Prices'!$I:$I)</f>
        <v>115.72</v>
      </c>
      <c r="G1962" cm="1">
        <f t="array" ref="G1962">_xlfn.XLOOKUP(TEXT(A1962, "mmm-yy"), TEXT([2]RUNS!$B$5:$B$208, "mmm-yy"), [2]RUNS!$D$5:$D$208, "Not Found")</f>
        <v>28368.607128626983</v>
      </c>
      <c r="H1962" cm="1">
        <f t="array" ref="H1962">SUMPRODUCT(
    --(TEXT('[3]Global Weekly Stock (EWSuez'!$B$4:$B$2000,"mmm-yy")=TEXT(A1962,"mmm-yy")),
    '[3]Global Weekly Stock (EWSuez'!$E$4:$E$2000)
/
SUMPRODUCT(
    --(TEXT('[3]Global Weekly Stock (EWSuez'!$B$4:$B$2000,"mmm-yy")=TEXT(A1962,"mmm-yy"))
)</f>
        <v>16728.2</v>
      </c>
      <c r="I1962">
        <f>_xlfn.XLOOKUP(A1962,[1]ForwardDeriv!$D:$D,[1]ForwardDeriv!$AJ:$AJ)</f>
        <v>3.9500000000000028</v>
      </c>
      <c r="J1962" cm="1">
        <f t="array" ref="J1962">_xlfn.XLOOKUP(TEXT(A1962, "mmm-yy"), TEXT([2]GASOLINE!$B$5:$B$208, "mmm-yy"), [2]GASOLINE!$IR$5:$IR$208, "Not Found")</f>
        <v>-246.2272686159275</v>
      </c>
      <c r="K1962" cm="1">
        <f t="array" ref="K1962">_xlfn.XLOOKUP(TEXT(A1962, "mmm-yy"), TEXT([2]GASOLINE!$B$5:$B$208, "mmm-yy"), [2]GASOLINE!$IK$5:$IK$208, "Not Found")</f>
        <v>203.81278111453318</v>
      </c>
      <c r="L1962">
        <f t="shared" si="30"/>
        <v>1</v>
      </c>
      <c r="M1962" cm="1">
        <f t="array" ref="M1962">_xlfn.XLOOKUP(TEXT(A1962, "mmm-yy"), TEXT([2]GASOLINE!$B$5:$B$208, "mmm-yy"), [2]GASOLINE!$C$5:$C$208, "Not Found")</f>
        <v>7176.5840616344976</v>
      </c>
      <c r="N1962" cm="1">
        <f t="array" ref="N1962">_xlfn.XLOOKUP(TEXT(A1962, "mmm-yy"), TEXT([2]RUNS!$B$5:$B$208, "mmm-yy"), [2]RUNS!$BM$5:$BM$208, "Not Found")</f>
        <v>0.77765674866574686</v>
      </c>
    </row>
    <row r="1963" spans="1:14" x14ac:dyDescent="0.25">
      <c r="A1963" s="1">
        <f>'[1]Global_Spot Prices'!$B3272</f>
        <v>44750</v>
      </c>
      <c r="B1963">
        <f>_xlfn.XLOOKUP(A1963,'[1]Global_Spot Prices'!$B:$B,'[1]Global_Spot Prices'!$BS:$BS)</f>
        <v>15.760000000000005</v>
      </c>
      <c r="C1963">
        <f>_xlfn.XLOOKUP(A1963,'[1]Global_Spot Prices'!$B:$B,'[1]Global_Spot Prices'!$E:$E)</f>
        <v>104.05</v>
      </c>
      <c r="D1963">
        <f>_xlfn.XLOOKUP(A1963,'[1]Global_Spot Prices'!$B:$B,'[1]Global_Spot Prices'!$D:$D)</f>
        <v>115.61499999999999</v>
      </c>
      <c r="E1963">
        <f>_xlfn.XLOOKUP(A1963,'[1]Global_Spot Prices'!$B:$B,'[1]Global_Spot Prices'!$H:$H)</f>
        <v>85.64</v>
      </c>
      <c r="F1963">
        <f>_xlfn.XLOOKUP(A1963,'[1]Global_Spot Prices'!$B:$B,'[1]Global_Spot Prices'!$I:$I)</f>
        <v>119.81</v>
      </c>
      <c r="G1963" cm="1">
        <f t="array" ref="G1963">_xlfn.XLOOKUP(TEXT(A1963, "mmm-yy"), TEXT([2]RUNS!$B$5:$B$208, "mmm-yy"), [2]RUNS!$D$5:$D$208, "Not Found")</f>
        <v>28368.607128626983</v>
      </c>
      <c r="H1963" cm="1">
        <f t="array" ref="H1963">SUMPRODUCT(
    --(TEXT('[3]Global Weekly Stock (EWSuez'!$B$4:$B$2000,"mmm-yy")=TEXT(A1963,"mmm-yy")),
    '[3]Global Weekly Stock (EWSuez'!$E$4:$E$2000)
/
SUMPRODUCT(
    --(TEXT('[3]Global Weekly Stock (EWSuez'!$B$4:$B$2000,"mmm-yy")=TEXT(A1963,"mmm-yy"))
)</f>
        <v>16728.2</v>
      </c>
      <c r="I1963">
        <f>_xlfn.XLOOKUP(A1963,[1]ForwardDeriv!$D:$D,[1]ForwardDeriv!$AJ:$AJ)</f>
        <v>3.8900000000000006</v>
      </c>
      <c r="J1963" cm="1">
        <f t="array" ref="J1963">_xlfn.XLOOKUP(TEXT(A1963, "mmm-yy"), TEXT([2]GASOLINE!$B$5:$B$208, "mmm-yy"), [2]GASOLINE!$IR$5:$IR$208, "Not Found")</f>
        <v>-246.2272686159275</v>
      </c>
      <c r="K1963" cm="1">
        <f t="array" ref="K1963">_xlfn.XLOOKUP(TEXT(A1963, "mmm-yy"), TEXT([2]GASOLINE!$B$5:$B$208, "mmm-yy"), [2]GASOLINE!$IK$5:$IK$208, "Not Found")</f>
        <v>203.81278111453318</v>
      </c>
      <c r="L1963">
        <f t="shared" si="30"/>
        <v>1</v>
      </c>
      <c r="M1963" cm="1">
        <f t="array" ref="M1963">_xlfn.XLOOKUP(TEXT(A1963, "mmm-yy"), TEXT([2]GASOLINE!$B$5:$B$208, "mmm-yy"), [2]GASOLINE!$C$5:$C$208, "Not Found")</f>
        <v>7176.5840616344976</v>
      </c>
      <c r="N1963" cm="1">
        <f t="array" ref="N1963">_xlfn.XLOOKUP(TEXT(A1963, "mmm-yy"), TEXT([2]RUNS!$B$5:$B$208, "mmm-yy"), [2]RUNS!$BM$5:$BM$208, "Not Found")</f>
        <v>0.77765674866574686</v>
      </c>
    </row>
    <row r="1964" spans="1:14" x14ac:dyDescent="0.25">
      <c r="A1964" s="1">
        <f>'[1]Global_Spot Prices'!$B3273</f>
        <v>44753</v>
      </c>
      <c r="B1964" t="e">
        <f>_xlfn.XLOOKUP(A1964,'[1]Global_Spot Prices'!$B:$B,'[1]Global_Spot Prices'!$BS:$BS)</f>
        <v>#N/A</v>
      </c>
      <c r="C1964" t="str">
        <f>_xlfn.XLOOKUP(A1964,'[1]Global_Spot Prices'!$B:$B,'[1]Global_Spot Prices'!$E:$E)</f>
        <v/>
      </c>
      <c r="D1964">
        <f>_xlfn.XLOOKUP(A1964,'[1]Global_Spot Prices'!$B:$B,'[1]Global_Spot Prices'!$D:$D)</f>
        <v>114.605</v>
      </c>
      <c r="E1964">
        <f>_xlfn.XLOOKUP(A1964,'[1]Global_Spot Prices'!$B:$B,'[1]Global_Spot Prices'!$H:$H)</f>
        <v>0</v>
      </c>
      <c r="F1964">
        <f>_xlfn.XLOOKUP(A1964,'[1]Global_Spot Prices'!$B:$B,'[1]Global_Spot Prices'!$I:$I)</f>
        <v>0</v>
      </c>
      <c r="G1964" cm="1">
        <f t="array" ref="G1964">_xlfn.XLOOKUP(TEXT(A1964, "mmm-yy"), TEXT([2]RUNS!$B$5:$B$208, "mmm-yy"), [2]RUNS!$D$5:$D$208, "Not Found")</f>
        <v>28368.607128626983</v>
      </c>
      <c r="H1964" cm="1">
        <f t="array" ref="H1964">SUMPRODUCT(
    --(TEXT('[3]Global Weekly Stock (EWSuez'!$B$4:$B$2000,"mmm-yy")=TEXT(A1964,"mmm-yy")),
    '[3]Global Weekly Stock (EWSuez'!$E$4:$E$2000)
/
SUMPRODUCT(
    --(TEXT('[3]Global Weekly Stock (EWSuez'!$B$4:$B$2000,"mmm-yy")=TEXT(A1964,"mmm-yy"))
)</f>
        <v>16728.2</v>
      </c>
      <c r="I1964">
        <f>_xlfn.XLOOKUP(A1964,[1]ForwardDeriv!$D:$D,[1]ForwardDeriv!$AJ:$AJ)</f>
        <v>3.1299999999999955</v>
      </c>
      <c r="J1964" cm="1">
        <f t="array" ref="J1964">_xlfn.XLOOKUP(TEXT(A1964, "mmm-yy"), TEXT([2]GASOLINE!$B$5:$B$208, "mmm-yy"), [2]GASOLINE!$IR$5:$IR$208, "Not Found")</f>
        <v>-246.2272686159275</v>
      </c>
      <c r="K1964" cm="1">
        <f t="array" ref="K1964">_xlfn.XLOOKUP(TEXT(A1964, "mmm-yy"), TEXT([2]GASOLINE!$B$5:$B$208, "mmm-yy"), [2]GASOLINE!$IK$5:$IK$208, "Not Found")</f>
        <v>203.81278111453318</v>
      </c>
      <c r="L1964">
        <f t="shared" si="30"/>
        <v>1</v>
      </c>
      <c r="M1964" cm="1">
        <f t="array" ref="M1964">_xlfn.XLOOKUP(TEXT(A1964, "mmm-yy"), TEXT([2]GASOLINE!$B$5:$B$208, "mmm-yy"), [2]GASOLINE!$C$5:$C$208, "Not Found")</f>
        <v>7176.5840616344976</v>
      </c>
      <c r="N1964" cm="1">
        <f t="array" ref="N1964">_xlfn.XLOOKUP(TEXT(A1964, "mmm-yy"), TEXT([2]RUNS!$B$5:$B$208, "mmm-yy"), [2]RUNS!$BM$5:$BM$208, "Not Found")</f>
        <v>0.77765674866574686</v>
      </c>
    </row>
    <row r="1965" spans="1:14" x14ac:dyDescent="0.25">
      <c r="A1965" s="1">
        <f>'[1]Global_Spot Prices'!$B3274</f>
        <v>44754</v>
      </c>
      <c r="B1965">
        <f>_xlfn.XLOOKUP(A1965,'[1]Global_Spot Prices'!$B:$B,'[1]Global_Spot Prices'!$BS:$BS)</f>
        <v>16.060000000000002</v>
      </c>
      <c r="C1965">
        <f>_xlfn.XLOOKUP(A1965,'[1]Global_Spot Prices'!$B:$B,'[1]Global_Spot Prices'!$E:$E)</f>
        <v>102.1</v>
      </c>
      <c r="D1965">
        <f>_xlfn.XLOOKUP(A1965,'[1]Global_Spot Prices'!$B:$B,'[1]Global_Spot Prices'!$D:$D)</f>
        <v>108.905</v>
      </c>
      <c r="E1965">
        <f>_xlfn.XLOOKUP(A1965,'[1]Global_Spot Prices'!$B:$B,'[1]Global_Spot Prices'!$H:$H)</f>
        <v>83.15</v>
      </c>
      <c r="F1965">
        <f>_xlfn.XLOOKUP(A1965,'[1]Global_Spot Prices'!$B:$B,'[1]Global_Spot Prices'!$I:$I)</f>
        <v>118.16</v>
      </c>
      <c r="G1965" cm="1">
        <f t="array" ref="G1965">_xlfn.XLOOKUP(TEXT(A1965, "mmm-yy"), TEXT([2]RUNS!$B$5:$B$208, "mmm-yy"), [2]RUNS!$D$5:$D$208, "Not Found")</f>
        <v>28368.607128626983</v>
      </c>
      <c r="H1965" cm="1">
        <f t="array" ref="H1965">SUMPRODUCT(
    --(TEXT('[3]Global Weekly Stock (EWSuez'!$B$4:$B$2000,"mmm-yy")=TEXT(A1965,"mmm-yy")),
    '[3]Global Weekly Stock (EWSuez'!$E$4:$E$2000)
/
SUMPRODUCT(
    --(TEXT('[3]Global Weekly Stock (EWSuez'!$B$4:$B$2000,"mmm-yy")=TEXT(A1965,"mmm-yy"))
)</f>
        <v>16728.2</v>
      </c>
      <c r="I1965">
        <f>_xlfn.XLOOKUP(A1965,[1]ForwardDeriv!$D:$D,[1]ForwardDeriv!$AJ:$AJ)</f>
        <v>3.1299999999999955</v>
      </c>
      <c r="J1965" cm="1">
        <f t="array" ref="J1965">_xlfn.XLOOKUP(TEXT(A1965, "mmm-yy"), TEXT([2]GASOLINE!$B$5:$B$208, "mmm-yy"), [2]GASOLINE!$IR$5:$IR$208, "Not Found")</f>
        <v>-246.2272686159275</v>
      </c>
      <c r="K1965" cm="1">
        <f t="array" ref="K1965">_xlfn.XLOOKUP(TEXT(A1965, "mmm-yy"), TEXT([2]GASOLINE!$B$5:$B$208, "mmm-yy"), [2]GASOLINE!$IK$5:$IK$208, "Not Found")</f>
        <v>203.81278111453318</v>
      </c>
      <c r="L1965">
        <f t="shared" si="30"/>
        <v>1</v>
      </c>
      <c r="M1965" cm="1">
        <f t="array" ref="M1965">_xlfn.XLOOKUP(TEXT(A1965, "mmm-yy"), TEXT([2]GASOLINE!$B$5:$B$208, "mmm-yy"), [2]GASOLINE!$C$5:$C$208, "Not Found")</f>
        <v>7176.5840616344976</v>
      </c>
      <c r="N1965" cm="1">
        <f t="array" ref="N1965">_xlfn.XLOOKUP(TEXT(A1965, "mmm-yy"), TEXT([2]RUNS!$B$5:$B$208, "mmm-yy"), [2]RUNS!$BM$5:$BM$208, "Not Found")</f>
        <v>0.77765674866574686</v>
      </c>
    </row>
    <row r="1966" spans="1:14" x14ac:dyDescent="0.25">
      <c r="A1966" s="1">
        <f>'[1]Global_Spot Prices'!$B3275</f>
        <v>44755</v>
      </c>
      <c r="B1966">
        <f>_xlfn.XLOOKUP(A1966,'[1]Global_Spot Prices'!$B:$B,'[1]Global_Spot Prices'!$BS:$BS)</f>
        <v>14.289999999999992</v>
      </c>
      <c r="C1966">
        <f>_xlfn.XLOOKUP(A1966,'[1]Global_Spot Prices'!$B:$B,'[1]Global_Spot Prices'!$E:$E)</f>
        <v>98.45</v>
      </c>
      <c r="D1966">
        <f>_xlfn.XLOOKUP(A1966,'[1]Global_Spot Prices'!$B:$B,'[1]Global_Spot Prices'!$D:$D)</f>
        <v>108.53</v>
      </c>
      <c r="E1966">
        <f>_xlfn.XLOOKUP(A1966,'[1]Global_Spot Prices'!$B:$B,'[1]Global_Spot Prices'!$H:$H)</f>
        <v>81.28</v>
      </c>
      <c r="F1966">
        <f>_xlfn.XLOOKUP(A1966,'[1]Global_Spot Prices'!$B:$B,'[1]Global_Spot Prices'!$I:$I)</f>
        <v>112.74</v>
      </c>
      <c r="G1966" cm="1">
        <f t="array" ref="G1966">_xlfn.XLOOKUP(TEXT(A1966, "mmm-yy"), TEXT([2]RUNS!$B$5:$B$208, "mmm-yy"), [2]RUNS!$D$5:$D$208, "Not Found")</f>
        <v>28368.607128626983</v>
      </c>
      <c r="H1966" cm="1">
        <f t="array" ref="H1966">SUMPRODUCT(
    --(TEXT('[3]Global Weekly Stock (EWSuez'!$B$4:$B$2000,"mmm-yy")=TEXT(A1966,"mmm-yy")),
    '[3]Global Weekly Stock (EWSuez'!$E$4:$E$2000)
/
SUMPRODUCT(
    --(TEXT('[3]Global Weekly Stock (EWSuez'!$B$4:$B$2000,"mmm-yy")=TEXT(A1966,"mmm-yy"))
)</f>
        <v>16728.2</v>
      </c>
      <c r="I1966">
        <f>_xlfn.XLOOKUP(A1966,[1]ForwardDeriv!$D:$D,[1]ForwardDeriv!$AJ:$AJ)</f>
        <v>2.4900000000000091</v>
      </c>
      <c r="J1966" cm="1">
        <f t="array" ref="J1966">_xlfn.XLOOKUP(TEXT(A1966, "mmm-yy"), TEXT([2]GASOLINE!$B$5:$B$208, "mmm-yy"), [2]GASOLINE!$IR$5:$IR$208, "Not Found")</f>
        <v>-246.2272686159275</v>
      </c>
      <c r="K1966" cm="1">
        <f t="array" ref="K1966">_xlfn.XLOOKUP(TEXT(A1966, "mmm-yy"), TEXT([2]GASOLINE!$B$5:$B$208, "mmm-yy"), [2]GASOLINE!$IK$5:$IK$208, "Not Found")</f>
        <v>203.81278111453318</v>
      </c>
      <c r="L1966">
        <f t="shared" si="30"/>
        <v>1</v>
      </c>
      <c r="M1966" cm="1">
        <f t="array" ref="M1966">_xlfn.XLOOKUP(TEXT(A1966, "mmm-yy"), TEXT([2]GASOLINE!$B$5:$B$208, "mmm-yy"), [2]GASOLINE!$C$5:$C$208, "Not Found")</f>
        <v>7176.5840616344976</v>
      </c>
      <c r="N1966" cm="1">
        <f t="array" ref="N1966">_xlfn.XLOOKUP(TEXT(A1966, "mmm-yy"), TEXT([2]RUNS!$B$5:$B$208, "mmm-yy"), [2]RUNS!$BM$5:$BM$208, "Not Found")</f>
        <v>0.77765674866574686</v>
      </c>
    </row>
    <row r="1967" spans="1:14" x14ac:dyDescent="0.25">
      <c r="A1967" s="1">
        <f>'[1]Global_Spot Prices'!$B3276</f>
        <v>44756</v>
      </c>
      <c r="B1967">
        <f>_xlfn.XLOOKUP(A1967,'[1]Global_Spot Prices'!$B:$B,'[1]Global_Spot Prices'!$BS:$BS)</f>
        <v>10.570000000000007</v>
      </c>
      <c r="C1967">
        <f>_xlfn.XLOOKUP(A1967,'[1]Global_Spot Prices'!$B:$B,'[1]Global_Spot Prices'!$E:$E)</f>
        <v>97.69</v>
      </c>
      <c r="D1967">
        <f>_xlfn.XLOOKUP(A1967,'[1]Global_Spot Prices'!$B:$B,'[1]Global_Spot Prices'!$D:$D)</f>
        <v>105.93</v>
      </c>
      <c r="E1967">
        <f>_xlfn.XLOOKUP(A1967,'[1]Global_Spot Prices'!$B:$B,'[1]Global_Spot Prices'!$H:$H)</f>
        <v>79.84</v>
      </c>
      <c r="F1967">
        <f>_xlfn.XLOOKUP(A1967,'[1]Global_Spot Prices'!$B:$B,'[1]Global_Spot Prices'!$I:$I)</f>
        <v>108.26</v>
      </c>
      <c r="G1967" cm="1">
        <f t="array" ref="G1967">_xlfn.XLOOKUP(TEXT(A1967, "mmm-yy"), TEXT([2]RUNS!$B$5:$B$208, "mmm-yy"), [2]RUNS!$D$5:$D$208, "Not Found")</f>
        <v>28368.607128626983</v>
      </c>
      <c r="H1967" cm="1">
        <f t="array" ref="H1967">SUMPRODUCT(
    --(TEXT('[3]Global Weekly Stock (EWSuez'!$B$4:$B$2000,"mmm-yy")=TEXT(A1967,"mmm-yy")),
    '[3]Global Weekly Stock (EWSuez'!$E$4:$E$2000)
/
SUMPRODUCT(
    --(TEXT('[3]Global Weekly Stock (EWSuez'!$B$4:$B$2000,"mmm-yy")=TEXT(A1967,"mmm-yy"))
)</f>
        <v>16728.2</v>
      </c>
      <c r="I1967">
        <f>_xlfn.XLOOKUP(A1967,[1]ForwardDeriv!$D:$D,[1]ForwardDeriv!$AJ:$AJ)</f>
        <v>2.0400000000000063</v>
      </c>
      <c r="J1967" cm="1">
        <f t="array" ref="J1967">_xlfn.XLOOKUP(TEXT(A1967, "mmm-yy"), TEXT([2]GASOLINE!$B$5:$B$208, "mmm-yy"), [2]GASOLINE!$IR$5:$IR$208, "Not Found")</f>
        <v>-246.2272686159275</v>
      </c>
      <c r="K1967" cm="1">
        <f t="array" ref="K1967">_xlfn.XLOOKUP(TEXT(A1967, "mmm-yy"), TEXT([2]GASOLINE!$B$5:$B$208, "mmm-yy"), [2]GASOLINE!$IK$5:$IK$208, "Not Found")</f>
        <v>203.81278111453318</v>
      </c>
      <c r="L1967">
        <f t="shared" si="30"/>
        <v>1</v>
      </c>
      <c r="M1967" cm="1">
        <f t="array" ref="M1967">_xlfn.XLOOKUP(TEXT(A1967, "mmm-yy"), TEXT([2]GASOLINE!$B$5:$B$208, "mmm-yy"), [2]GASOLINE!$C$5:$C$208, "Not Found")</f>
        <v>7176.5840616344976</v>
      </c>
      <c r="N1967" cm="1">
        <f t="array" ref="N1967">_xlfn.XLOOKUP(TEXT(A1967, "mmm-yy"), TEXT([2]RUNS!$B$5:$B$208, "mmm-yy"), [2]RUNS!$BM$5:$BM$208, "Not Found")</f>
        <v>0.77765674866574686</v>
      </c>
    </row>
    <row r="1968" spans="1:14" x14ac:dyDescent="0.25">
      <c r="A1968" s="1">
        <f>'[1]Global_Spot Prices'!$B3277</f>
        <v>44757</v>
      </c>
      <c r="B1968">
        <f>_xlfn.XLOOKUP(A1968,'[1]Global_Spot Prices'!$B:$B,'[1]Global_Spot Prices'!$BS:$BS)</f>
        <v>8</v>
      </c>
      <c r="C1968">
        <f>_xlfn.XLOOKUP(A1968,'[1]Global_Spot Prices'!$B:$B,'[1]Global_Spot Prices'!$E:$E)</f>
        <v>98.32</v>
      </c>
      <c r="D1968">
        <f>_xlfn.XLOOKUP(A1968,'[1]Global_Spot Prices'!$B:$B,'[1]Global_Spot Prices'!$D:$D)</f>
        <v>111.065</v>
      </c>
      <c r="E1968">
        <f>_xlfn.XLOOKUP(A1968,'[1]Global_Spot Prices'!$B:$B,'[1]Global_Spot Prices'!$H:$H)</f>
        <v>78.09</v>
      </c>
      <c r="F1968">
        <f>_xlfn.XLOOKUP(A1968,'[1]Global_Spot Prices'!$B:$B,'[1]Global_Spot Prices'!$I:$I)</f>
        <v>106.32</v>
      </c>
      <c r="G1968" cm="1">
        <f t="array" ref="G1968">_xlfn.XLOOKUP(TEXT(A1968, "mmm-yy"), TEXT([2]RUNS!$B$5:$B$208, "mmm-yy"), [2]RUNS!$D$5:$D$208, "Not Found")</f>
        <v>28368.607128626983</v>
      </c>
      <c r="H1968" cm="1">
        <f t="array" ref="H1968">SUMPRODUCT(
    --(TEXT('[3]Global Weekly Stock (EWSuez'!$B$4:$B$2000,"mmm-yy")=TEXT(A1968,"mmm-yy")),
    '[3]Global Weekly Stock (EWSuez'!$E$4:$E$2000)
/
SUMPRODUCT(
    --(TEXT('[3]Global Weekly Stock (EWSuez'!$B$4:$B$2000,"mmm-yy")=TEXT(A1968,"mmm-yy"))
)</f>
        <v>16728.2</v>
      </c>
      <c r="I1968">
        <f>_xlfn.XLOOKUP(A1968,[1]ForwardDeriv!$D:$D,[1]ForwardDeriv!$AJ:$AJ)</f>
        <v>2.1099999999999994</v>
      </c>
      <c r="J1968" cm="1">
        <f t="array" ref="J1968">_xlfn.XLOOKUP(TEXT(A1968, "mmm-yy"), TEXT([2]GASOLINE!$B$5:$B$208, "mmm-yy"), [2]GASOLINE!$IR$5:$IR$208, "Not Found")</f>
        <v>-246.2272686159275</v>
      </c>
      <c r="K1968" cm="1">
        <f t="array" ref="K1968">_xlfn.XLOOKUP(TEXT(A1968, "mmm-yy"), TEXT([2]GASOLINE!$B$5:$B$208, "mmm-yy"), [2]GASOLINE!$IK$5:$IK$208, "Not Found")</f>
        <v>203.81278111453318</v>
      </c>
      <c r="L1968">
        <f t="shared" si="30"/>
        <v>1</v>
      </c>
      <c r="M1968" cm="1">
        <f t="array" ref="M1968">_xlfn.XLOOKUP(TEXT(A1968, "mmm-yy"), TEXT([2]GASOLINE!$B$5:$B$208, "mmm-yy"), [2]GASOLINE!$C$5:$C$208, "Not Found")</f>
        <v>7176.5840616344976</v>
      </c>
      <c r="N1968" cm="1">
        <f t="array" ref="N1968">_xlfn.XLOOKUP(TEXT(A1968, "mmm-yy"), TEXT([2]RUNS!$B$5:$B$208, "mmm-yy"), [2]RUNS!$BM$5:$BM$208, "Not Found")</f>
        <v>0.77765674866574686</v>
      </c>
    </row>
    <row r="1969" spans="1:14" x14ac:dyDescent="0.25">
      <c r="A1969" s="1">
        <f>'[1]Global_Spot Prices'!$B3278</f>
        <v>44760</v>
      </c>
      <c r="B1969">
        <f>_xlfn.XLOOKUP(A1969,'[1]Global_Spot Prices'!$B:$B,'[1]Global_Spot Prices'!$BS:$BS)</f>
        <v>9.1599999999999966</v>
      </c>
      <c r="C1969">
        <f>_xlfn.XLOOKUP(A1969,'[1]Global_Spot Prices'!$B:$B,'[1]Global_Spot Prices'!$E:$E)</f>
        <v>102.59</v>
      </c>
      <c r="D1969">
        <f>_xlfn.XLOOKUP(A1969,'[1]Global_Spot Prices'!$B:$B,'[1]Global_Spot Prices'!$D:$D)</f>
        <v>115.08</v>
      </c>
      <c r="E1969">
        <f>_xlfn.XLOOKUP(A1969,'[1]Global_Spot Prices'!$B:$B,'[1]Global_Spot Prices'!$H:$H)</f>
        <v>80.09</v>
      </c>
      <c r="F1969">
        <f>_xlfn.XLOOKUP(A1969,'[1]Global_Spot Prices'!$B:$B,'[1]Global_Spot Prices'!$I:$I)</f>
        <v>111.75</v>
      </c>
      <c r="G1969" cm="1">
        <f t="array" ref="G1969">_xlfn.XLOOKUP(TEXT(A1969, "mmm-yy"), TEXT([2]RUNS!$B$5:$B$208, "mmm-yy"), [2]RUNS!$D$5:$D$208, "Not Found")</f>
        <v>28368.607128626983</v>
      </c>
      <c r="H1969" cm="1">
        <f t="array" ref="H1969">SUMPRODUCT(
    --(TEXT('[3]Global Weekly Stock (EWSuez'!$B$4:$B$2000,"mmm-yy")=TEXT(A1969,"mmm-yy")),
    '[3]Global Weekly Stock (EWSuez'!$E$4:$E$2000)
/
SUMPRODUCT(
    --(TEXT('[3]Global Weekly Stock (EWSuez'!$B$4:$B$2000,"mmm-yy")=TEXT(A1969,"mmm-yy"))
)</f>
        <v>16728.2</v>
      </c>
      <c r="I1969">
        <f>_xlfn.XLOOKUP(A1969,[1]ForwardDeriv!$D:$D,[1]ForwardDeriv!$AJ:$AJ)</f>
        <v>2.0200000000000102</v>
      </c>
      <c r="J1969" cm="1">
        <f t="array" ref="J1969">_xlfn.XLOOKUP(TEXT(A1969, "mmm-yy"), TEXT([2]GASOLINE!$B$5:$B$208, "mmm-yy"), [2]GASOLINE!$IR$5:$IR$208, "Not Found")</f>
        <v>-246.2272686159275</v>
      </c>
      <c r="K1969" cm="1">
        <f t="array" ref="K1969">_xlfn.XLOOKUP(TEXT(A1969, "mmm-yy"), TEXT([2]GASOLINE!$B$5:$B$208, "mmm-yy"), [2]GASOLINE!$IK$5:$IK$208, "Not Found")</f>
        <v>203.81278111453318</v>
      </c>
      <c r="L1969">
        <f t="shared" si="30"/>
        <v>1</v>
      </c>
      <c r="M1969" cm="1">
        <f t="array" ref="M1969">_xlfn.XLOOKUP(TEXT(A1969, "mmm-yy"), TEXT([2]GASOLINE!$B$5:$B$208, "mmm-yy"), [2]GASOLINE!$C$5:$C$208, "Not Found")</f>
        <v>7176.5840616344976</v>
      </c>
      <c r="N1969" cm="1">
        <f t="array" ref="N1969">_xlfn.XLOOKUP(TEXT(A1969, "mmm-yy"), TEXT([2]RUNS!$B$5:$B$208, "mmm-yy"), [2]RUNS!$BM$5:$BM$208, "Not Found")</f>
        <v>0.77765674866574686</v>
      </c>
    </row>
    <row r="1970" spans="1:14" x14ac:dyDescent="0.25">
      <c r="A1970" s="1">
        <f>'[1]Global_Spot Prices'!$B3279</f>
        <v>44761</v>
      </c>
      <c r="B1970">
        <f>_xlfn.XLOOKUP(A1970,'[1]Global_Spot Prices'!$B:$B,'[1]Global_Spot Prices'!$BS:$BS)</f>
        <v>9.1849999999999881</v>
      </c>
      <c r="C1970">
        <f>_xlfn.XLOOKUP(A1970,'[1]Global_Spot Prices'!$B:$B,'[1]Global_Spot Prices'!$E:$E)</f>
        <v>104.80500000000001</v>
      </c>
      <c r="D1970">
        <f>_xlfn.XLOOKUP(A1970,'[1]Global_Spot Prices'!$B:$B,'[1]Global_Spot Prices'!$D:$D)</f>
        <v>113.46</v>
      </c>
      <c r="E1970">
        <f>_xlfn.XLOOKUP(A1970,'[1]Global_Spot Prices'!$B:$B,'[1]Global_Spot Prices'!$H:$H)</f>
        <v>80.56</v>
      </c>
      <c r="F1970">
        <f>_xlfn.XLOOKUP(A1970,'[1]Global_Spot Prices'!$B:$B,'[1]Global_Spot Prices'!$I:$I)</f>
        <v>113.99</v>
      </c>
      <c r="G1970" cm="1">
        <f t="array" ref="G1970">_xlfn.XLOOKUP(TEXT(A1970, "mmm-yy"), TEXT([2]RUNS!$B$5:$B$208, "mmm-yy"), [2]RUNS!$D$5:$D$208, "Not Found")</f>
        <v>28368.607128626983</v>
      </c>
      <c r="H1970" cm="1">
        <f t="array" ref="H1970">SUMPRODUCT(
    --(TEXT('[3]Global Weekly Stock (EWSuez'!$B$4:$B$2000,"mmm-yy")=TEXT(A1970,"mmm-yy")),
    '[3]Global Weekly Stock (EWSuez'!$E$4:$E$2000)
/
SUMPRODUCT(
    --(TEXT('[3]Global Weekly Stock (EWSuez'!$B$4:$B$2000,"mmm-yy")=TEXT(A1970,"mmm-yy"))
)</f>
        <v>16728.2</v>
      </c>
      <c r="I1970">
        <f>_xlfn.XLOOKUP(A1970,[1]ForwardDeriv!$D:$D,[1]ForwardDeriv!$AJ:$AJ)</f>
        <v>2</v>
      </c>
      <c r="J1970" cm="1">
        <f t="array" ref="J1970">_xlfn.XLOOKUP(TEXT(A1970, "mmm-yy"), TEXT([2]GASOLINE!$B$5:$B$208, "mmm-yy"), [2]GASOLINE!$IR$5:$IR$208, "Not Found")</f>
        <v>-246.2272686159275</v>
      </c>
      <c r="K1970" cm="1">
        <f t="array" ref="K1970">_xlfn.XLOOKUP(TEXT(A1970, "mmm-yy"), TEXT([2]GASOLINE!$B$5:$B$208, "mmm-yy"), [2]GASOLINE!$IK$5:$IK$208, "Not Found")</f>
        <v>203.81278111453318</v>
      </c>
      <c r="L1970">
        <f t="shared" si="30"/>
        <v>1</v>
      </c>
      <c r="M1970" cm="1">
        <f t="array" ref="M1970">_xlfn.XLOOKUP(TEXT(A1970, "mmm-yy"), TEXT([2]GASOLINE!$B$5:$B$208, "mmm-yy"), [2]GASOLINE!$C$5:$C$208, "Not Found")</f>
        <v>7176.5840616344976</v>
      </c>
      <c r="N1970" cm="1">
        <f t="array" ref="N1970">_xlfn.XLOOKUP(TEXT(A1970, "mmm-yy"), TEXT([2]RUNS!$B$5:$B$208, "mmm-yy"), [2]RUNS!$BM$5:$BM$208, "Not Found")</f>
        <v>0.77765674866574686</v>
      </c>
    </row>
    <row r="1971" spans="1:14" x14ac:dyDescent="0.25">
      <c r="A1971" s="1">
        <f>'[1]Global_Spot Prices'!$B3280</f>
        <v>44762</v>
      </c>
      <c r="B1971">
        <f>_xlfn.XLOOKUP(A1971,'[1]Global_Spot Prices'!$B:$B,'[1]Global_Spot Prices'!$BS:$BS)</f>
        <v>8.36</v>
      </c>
      <c r="C1971">
        <f>_xlfn.XLOOKUP(A1971,'[1]Global_Spot Prices'!$B:$B,'[1]Global_Spot Prices'!$E:$E)</f>
        <v>104.44</v>
      </c>
      <c r="D1971">
        <f>_xlfn.XLOOKUP(A1971,'[1]Global_Spot Prices'!$B:$B,'[1]Global_Spot Prices'!$D:$D)</f>
        <v>113.735</v>
      </c>
      <c r="E1971">
        <f>_xlfn.XLOOKUP(A1971,'[1]Global_Spot Prices'!$B:$B,'[1]Global_Spot Prices'!$H:$H)</f>
        <v>79.94</v>
      </c>
      <c r="F1971">
        <f>_xlfn.XLOOKUP(A1971,'[1]Global_Spot Prices'!$B:$B,'[1]Global_Spot Prices'!$I:$I)</f>
        <v>112.8</v>
      </c>
      <c r="G1971" cm="1">
        <f t="array" ref="G1971">_xlfn.XLOOKUP(TEXT(A1971, "mmm-yy"), TEXT([2]RUNS!$B$5:$B$208, "mmm-yy"), [2]RUNS!$D$5:$D$208, "Not Found")</f>
        <v>28368.607128626983</v>
      </c>
      <c r="H1971" cm="1">
        <f t="array" ref="H1971">SUMPRODUCT(
    --(TEXT('[3]Global Weekly Stock (EWSuez'!$B$4:$B$2000,"mmm-yy")=TEXT(A1971,"mmm-yy")),
    '[3]Global Weekly Stock (EWSuez'!$E$4:$E$2000)
/
SUMPRODUCT(
    --(TEXT('[3]Global Weekly Stock (EWSuez'!$B$4:$B$2000,"mmm-yy")=TEXT(A1971,"mmm-yy"))
)</f>
        <v>16728.2</v>
      </c>
      <c r="I1971">
        <f>_xlfn.XLOOKUP(A1971,[1]ForwardDeriv!$D:$D,[1]ForwardDeriv!$AJ:$AJ)</f>
        <v>2</v>
      </c>
      <c r="J1971" cm="1">
        <f t="array" ref="J1971">_xlfn.XLOOKUP(TEXT(A1971, "mmm-yy"), TEXT([2]GASOLINE!$B$5:$B$208, "mmm-yy"), [2]GASOLINE!$IR$5:$IR$208, "Not Found")</f>
        <v>-246.2272686159275</v>
      </c>
      <c r="K1971" cm="1">
        <f t="array" ref="K1971">_xlfn.XLOOKUP(TEXT(A1971, "mmm-yy"), TEXT([2]GASOLINE!$B$5:$B$208, "mmm-yy"), [2]GASOLINE!$IK$5:$IK$208, "Not Found")</f>
        <v>203.81278111453318</v>
      </c>
      <c r="L1971">
        <f t="shared" si="30"/>
        <v>1</v>
      </c>
      <c r="M1971" cm="1">
        <f t="array" ref="M1971">_xlfn.XLOOKUP(TEXT(A1971, "mmm-yy"), TEXT([2]GASOLINE!$B$5:$B$208, "mmm-yy"), [2]GASOLINE!$C$5:$C$208, "Not Found")</f>
        <v>7176.5840616344976</v>
      </c>
      <c r="N1971" cm="1">
        <f t="array" ref="N1971">_xlfn.XLOOKUP(TEXT(A1971, "mmm-yy"), TEXT([2]RUNS!$B$5:$B$208, "mmm-yy"), [2]RUNS!$BM$5:$BM$208, "Not Found")</f>
        <v>0.77765674866574686</v>
      </c>
    </row>
    <row r="1972" spans="1:14" x14ac:dyDescent="0.25">
      <c r="A1972" s="1">
        <f>'[1]Global_Spot Prices'!$B3281</f>
        <v>44763</v>
      </c>
      <c r="B1972">
        <f>_xlfn.XLOOKUP(A1972,'[1]Global_Spot Prices'!$B:$B,'[1]Global_Spot Prices'!$BS:$BS)</f>
        <v>4.5799999999999983</v>
      </c>
      <c r="C1972">
        <f>_xlfn.XLOOKUP(A1972,'[1]Global_Spot Prices'!$B:$B,'[1]Global_Spot Prices'!$E:$E)</f>
        <v>102</v>
      </c>
      <c r="D1972">
        <f>_xlfn.XLOOKUP(A1972,'[1]Global_Spot Prices'!$B:$B,'[1]Global_Spot Prices'!$D:$D)</f>
        <v>110.62</v>
      </c>
      <c r="E1972">
        <f>_xlfn.XLOOKUP(A1972,'[1]Global_Spot Prices'!$B:$B,'[1]Global_Spot Prices'!$H:$H)</f>
        <v>78.03</v>
      </c>
      <c r="F1972">
        <f>_xlfn.XLOOKUP(A1972,'[1]Global_Spot Prices'!$B:$B,'[1]Global_Spot Prices'!$I:$I)</f>
        <v>106.58</v>
      </c>
      <c r="G1972" cm="1">
        <f t="array" ref="G1972">_xlfn.XLOOKUP(TEXT(A1972, "mmm-yy"), TEXT([2]RUNS!$B$5:$B$208, "mmm-yy"), [2]RUNS!$D$5:$D$208, "Not Found")</f>
        <v>28368.607128626983</v>
      </c>
      <c r="H1972" cm="1">
        <f t="array" ref="H1972">SUMPRODUCT(
    --(TEXT('[3]Global Weekly Stock (EWSuez'!$B$4:$B$2000,"mmm-yy")=TEXT(A1972,"mmm-yy")),
    '[3]Global Weekly Stock (EWSuez'!$E$4:$E$2000)
/
SUMPRODUCT(
    --(TEXT('[3]Global Weekly Stock (EWSuez'!$B$4:$B$2000,"mmm-yy")=TEXT(A1972,"mmm-yy"))
)</f>
        <v>16728.2</v>
      </c>
      <c r="I1972">
        <f>_xlfn.XLOOKUP(A1972,[1]ForwardDeriv!$D:$D,[1]ForwardDeriv!$AJ:$AJ)</f>
        <v>1.3100000000000023</v>
      </c>
      <c r="J1972" cm="1">
        <f t="array" ref="J1972">_xlfn.XLOOKUP(TEXT(A1972, "mmm-yy"), TEXT([2]GASOLINE!$B$5:$B$208, "mmm-yy"), [2]GASOLINE!$IR$5:$IR$208, "Not Found")</f>
        <v>-246.2272686159275</v>
      </c>
      <c r="K1972" cm="1">
        <f t="array" ref="K1972">_xlfn.XLOOKUP(TEXT(A1972, "mmm-yy"), TEXT([2]GASOLINE!$B$5:$B$208, "mmm-yy"), [2]GASOLINE!$IK$5:$IK$208, "Not Found")</f>
        <v>203.81278111453318</v>
      </c>
      <c r="L1972">
        <f t="shared" si="30"/>
        <v>1</v>
      </c>
      <c r="M1972" cm="1">
        <f t="array" ref="M1972">_xlfn.XLOOKUP(TEXT(A1972, "mmm-yy"), TEXT([2]GASOLINE!$B$5:$B$208, "mmm-yy"), [2]GASOLINE!$C$5:$C$208, "Not Found")</f>
        <v>7176.5840616344976</v>
      </c>
      <c r="N1972" cm="1">
        <f t="array" ref="N1972">_xlfn.XLOOKUP(TEXT(A1972, "mmm-yy"), TEXT([2]RUNS!$B$5:$B$208, "mmm-yy"), [2]RUNS!$BM$5:$BM$208, "Not Found")</f>
        <v>0.77765674866574686</v>
      </c>
    </row>
    <row r="1973" spans="1:14" x14ac:dyDescent="0.25">
      <c r="A1973" s="1">
        <f>'[1]Global_Spot Prices'!$B3282</f>
        <v>44764</v>
      </c>
      <c r="B1973">
        <f>_xlfn.XLOOKUP(A1973,'[1]Global_Spot Prices'!$B:$B,'[1]Global_Spot Prices'!$BS:$BS)</f>
        <v>1.0600000000000023</v>
      </c>
      <c r="C1973">
        <f>_xlfn.XLOOKUP(A1973,'[1]Global_Spot Prices'!$B:$B,'[1]Global_Spot Prices'!$E:$E)</f>
        <v>102.69</v>
      </c>
      <c r="D1973">
        <f>_xlfn.XLOOKUP(A1973,'[1]Global_Spot Prices'!$B:$B,'[1]Global_Spot Prices'!$D:$D)</f>
        <v>110.22</v>
      </c>
      <c r="E1973">
        <f>_xlfn.XLOOKUP(A1973,'[1]Global_Spot Prices'!$B:$B,'[1]Global_Spot Prices'!$H:$H)</f>
        <v>79.14</v>
      </c>
      <c r="F1973">
        <f>_xlfn.XLOOKUP(A1973,'[1]Global_Spot Prices'!$B:$B,'[1]Global_Spot Prices'!$I:$I)</f>
        <v>103.75</v>
      </c>
      <c r="G1973" cm="1">
        <f t="array" ref="G1973">_xlfn.XLOOKUP(TEXT(A1973, "mmm-yy"), TEXT([2]RUNS!$B$5:$B$208, "mmm-yy"), [2]RUNS!$D$5:$D$208, "Not Found")</f>
        <v>28368.607128626983</v>
      </c>
      <c r="H1973" cm="1">
        <f t="array" ref="H1973">SUMPRODUCT(
    --(TEXT('[3]Global Weekly Stock (EWSuez'!$B$4:$B$2000,"mmm-yy")=TEXT(A1973,"mmm-yy")),
    '[3]Global Weekly Stock (EWSuez'!$E$4:$E$2000)
/
SUMPRODUCT(
    --(TEXT('[3]Global Weekly Stock (EWSuez'!$B$4:$B$2000,"mmm-yy")=TEXT(A1973,"mmm-yy"))
)</f>
        <v>16728.2</v>
      </c>
      <c r="I1973">
        <f>_xlfn.XLOOKUP(A1973,[1]ForwardDeriv!$D:$D,[1]ForwardDeriv!$AJ:$AJ)</f>
        <v>1.25</v>
      </c>
      <c r="J1973" cm="1">
        <f t="array" ref="J1973">_xlfn.XLOOKUP(TEXT(A1973, "mmm-yy"), TEXT([2]GASOLINE!$B$5:$B$208, "mmm-yy"), [2]GASOLINE!$IR$5:$IR$208, "Not Found")</f>
        <v>-246.2272686159275</v>
      </c>
      <c r="K1973" cm="1">
        <f t="array" ref="K1973">_xlfn.XLOOKUP(TEXT(A1973, "mmm-yy"), TEXT([2]GASOLINE!$B$5:$B$208, "mmm-yy"), [2]GASOLINE!$IK$5:$IK$208, "Not Found")</f>
        <v>203.81278111453318</v>
      </c>
      <c r="L1973">
        <f t="shared" si="30"/>
        <v>1</v>
      </c>
      <c r="M1973" cm="1">
        <f t="array" ref="M1973">_xlfn.XLOOKUP(TEXT(A1973, "mmm-yy"), TEXT([2]GASOLINE!$B$5:$B$208, "mmm-yy"), [2]GASOLINE!$C$5:$C$208, "Not Found")</f>
        <v>7176.5840616344976</v>
      </c>
      <c r="N1973" cm="1">
        <f t="array" ref="N1973">_xlfn.XLOOKUP(TEXT(A1973, "mmm-yy"), TEXT([2]RUNS!$B$5:$B$208, "mmm-yy"), [2]RUNS!$BM$5:$BM$208, "Not Found")</f>
        <v>0.77765674866574686</v>
      </c>
    </row>
    <row r="1974" spans="1:14" x14ac:dyDescent="0.25">
      <c r="A1974" s="1">
        <f>'[1]Global_Spot Prices'!$B3283</f>
        <v>44767</v>
      </c>
      <c r="B1974">
        <f>_xlfn.XLOOKUP(A1974,'[1]Global_Spot Prices'!$B:$B,'[1]Global_Spot Prices'!$BS:$BS)</f>
        <v>4.3700000000000045</v>
      </c>
      <c r="C1974">
        <f>_xlfn.XLOOKUP(A1974,'[1]Global_Spot Prices'!$B:$B,'[1]Global_Spot Prices'!$E:$E)</f>
        <v>101.21</v>
      </c>
      <c r="D1974">
        <f>_xlfn.XLOOKUP(A1974,'[1]Global_Spot Prices'!$B:$B,'[1]Global_Spot Prices'!$D:$D)</f>
        <v>108.605</v>
      </c>
      <c r="E1974">
        <f>_xlfn.XLOOKUP(A1974,'[1]Global_Spot Prices'!$B:$B,'[1]Global_Spot Prices'!$H:$H)</f>
        <v>78.209999999999994</v>
      </c>
      <c r="F1974">
        <f>_xlfn.XLOOKUP(A1974,'[1]Global_Spot Prices'!$B:$B,'[1]Global_Spot Prices'!$I:$I)</f>
        <v>105.58</v>
      </c>
      <c r="G1974" cm="1">
        <f t="array" ref="G1974">_xlfn.XLOOKUP(TEXT(A1974, "mmm-yy"), TEXT([2]RUNS!$B$5:$B$208, "mmm-yy"), [2]RUNS!$D$5:$D$208, "Not Found")</f>
        <v>28368.607128626983</v>
      </c>
      <c r="H1974" cm="1">
        <f t="array" ref="H1974">SUMPRODUCT(
    --(TEXT('[3]Global Weekly Stock (EWSuez'!$B$4:$B$2000,"mmm-yy")=TEXT(A1974,"mmm-yy")),
    '[3]Global Weekly Stock (EWSuez'!$E$4:$E$2000)
/
SUMPRODUCT(
    --(TEXT('[3]Global Weekly Stock (EWSuez'!$B$4:$B$2000,"mmm-yy")=TEXT(A1974,"mmm-yy"))
)</f>
        <v>16728.2</v>
      </c>
      <c r="I1974">
        <f>_xlfn.XLOOKUP(A1974,[1]ForwardDeriv!$D:$D,[1]ForwardDeriv!$AJ:$AJ)</f>
        <v>1.4400000000000119</v>
      </c>
      <c r="J1974" cm="1">
        <f t="array" ref="J1974">_xlfn.XLOOKUP(TEXT(A1974, "mmm-yy"), TEXT([2]GASOLINE!$B$5:$B$208, "mmm-yy"), [2]GASOLINE!$IR$5:$IR$208, "Not Found")</f>
        <v>-246.2272686159275</v>
      </c>
      <c r="K1974" cm="1">
        <f t="array" ref="K1974">_xlfn.XLOOKUP(TEXT(A1974, "mmm-yy"), TEXT([2]GASOLINE!$B$5:$B$208, "mmm-yy"), [2]GASOLINE!$IK$5:$IK$208, "Not Found")</f>
        <v>203.81278111453318</v>
      </c>
      <c r="L1974">
        <f t="shared" si="30"/>
        <v>1</v>
      </c>
      <c r="M1974" cm="1">
        <f t="array" ref="M1974">_xlfn.XLOOKUP(TEXT(A1974, "mmm-yy"), TEXT([2]GASOLINE!$B$5:$B$208, "mmm-yy"), [2]GASOLINE!$C$5:$C$208, "Not Found")</f>
        <v>7176.5840616344976</v>
      </c>
      <c r="N1974" cm="1">
        <f t="array" ref="N1974">_xlfn.XLOOKUP(TEXT(A1974, "mmm-yy"), TEXT([2]RUNS!$B$5:$B$208, "mmm-yy"), [2]RUNS!$BM$5:$BM$208, "Not Found")</f>
        <v>0.77765674866574686</v>
      </c>
    </row>
    <row r="1975" spans="1:14" x14ac:dyDescent="0.25">
      <c r="A1975" s="1">
        <f>'[1]Global_Spot Prices'!$B3284</f>
        <v>44768</v>
      </c>
      <c r="B1975">
        <f>_xlfn.XLOOKUP(A1975,'[1]Global_Spot Prices'!$B:$B,'[1]Global_Spot Prices'!$BS:$BS)</f>
        <v>9.7199999999999989</v>
      </c>
      <c r="C1975">
        <f>_xlfn.XLOOKUP(A1975,'[1]Global_Spot Prices'!$B:$B,'[1]Global_Spot Prices'!$E:$E)</f>
        <v>104.9</v>
      </c>
      <c r="D1975">
        <f>_xlfn.XLOOKUP(A1975,'[1]Global_Spot Prices'!$B:$B,'[1]Global_Spot Prices'!$D:$D)</f>
        <v>109.53</v>
      </c>
      <c r="E1975">
        <f>_xlfn.XLOOKUP(A1975,'[1]Global_Spot Prices'!$B:$B,'[1]Global_Spot Prices'!$H:$H)</f>
        <v>79.099999999999994</v>
      </c>
      <c r="F1975">
        <f>_xlfn.XLOOKUP(A1975,'[1]Global_Spot Prices'!$B:$B,'[1]Global_Spot Prices'!$I:$I)</f>
        <v>114.62</v>
      </c>
      <c r="G1975" cm="1">
        <f t="array" ref="G1975">_xlfn.XLOOKUP(TEXT(A1975, "mmm-yy"), TEXT([2]RUNS!$B$5:$B$208, "mmm-yy"), [2]RUNS!$D$5:$D$208, "Not Found")</f>
        <v>28368.607128626983</v>
      </c>
      <c r="H1975" cm="1">
        <f t="array" ref="H1975">SUMPRODUCT(
    --(TEXT('[3]Global Weekly Stock (EWSuez'!$B$4:$B$2000,"mmm-yy")=TEXT(A1975,"mmm-yy")),
    '[3]Global Weekly Stock (EWSuez'!$E$4:$E$2000)
/
SUMPRODUCT(
    --(TEXT('[3]Global Weekly Stock (EWSuez'!$B$4:$B$2000,"mmm-yy")=TEXT(A1975,"mmm-yy"))
)</f>
        <v>16728.2</v>
      </c>
      <c r="I1975">
        <f>_xlfn.XLOOKUP(A1975,[1]ForwardDeriv!$D:$D,[1]ForwardDeriv!$AJ:$AJ)</f>
        <v>2.1099999999999994</v>
      </c>
      <c r="J1975" cm="1">
        <f t="array" ref="J1975">_xlfn.XLOOKUP(TEXT(A1975, "mmm-yy"), TEXT([2]GASOLINE!$B$5:$B$208, "mmm-yy"), [2]GASOLINE!$IR$5:$IR$208, "Not Found")</f>
        <v>-246.2272686159275</v>
      </c>
      <c r="K1975" cm="1">
        <f t="array" ref="K1975">_xlfn.XLOOKUP(TEXT(A1975, "mmm-yy"), TEXT([2]GASOLINE!$B$5:$B$208, "mmm-yy"), [2]GASOLINE!$IK$5:$IK$208, "Not Found")</f>
        <v>203.81278111453318</v>
      </c>
      <c r="L1975">
        <f t="shared" si="30"/>
        <v>1</v>
      </c>
      <c r="M1975" cm="1">
        <f t="array" ref="M1975">_xlfn.XLOOKUP(TEXT(A1975, "mmm-yy"), TEXT([2]GASOLINE!$B$5:$B$208, "mmm-yy"), [2]GASOLINE!$C$5:$C$208, "Not Found")</f>
        <v>7176.5840616344976</v>
      </c>
      <c r="N1975" cm="1">
        <f t="array" ref="N1975">_xlfn.XLOOKUP(TEXT(A1975, "mmm-yy"), TEXT([2]RUNS!$B$5:$B$208, "mmm-yy"), [2]RUNS!$BM$5:$BM$208, "Not Found")</f>
        <v>0.77765674866574686</v>
      </c>
    </row>
    <row r="1976" spans="1:14" x14ac:dyDescent="0.25">
      <c r="A1976" s="1">
        <f>'[1]Global_Spot Prices'!$B3285</f>
        <v>44769</v>
      </c>
      <c r="B1976">
        <f>_xlfn.XLOOKUP(A1976,'[1]Global_Spot Prices'!$B:$B,'[1]Global_Spot Prices'!$BS:$BS)</f>
        <v>11.669999999999987</v>
      </c>
      <c r="C1976">
        <f>_xlfn.XLOOKUP(A1976,'[1]Global_Spot Prices'!$B:$B,'[1]Global_Spot Prices'!$E:$E)</f>
        <v>101.4</v>
      </c>
      <c r="D1976">
        <f>_xlfn.XLOOKUP(A1976,'[1]Global_Spot Prices'!$B:$B,'[1]Global_Spot Prices'!$D:$D)</f>
        <v>110.63500000000001</v>
      </c>
      <c r="E1976">
        <f>_xlfn.XLOOKUP(A1976,'[1]Global_Spot Prices'!$B:$B,'[1]Global_Spot Prices'!$H:$H)</f>
        <v>77.569999999999993</v>
      </c>
      <c r="F1976">
        <f>_xlfn.XLOOKUP(A1976,'[1]Global_Spot Prices'!$B:$B,'[1]Global_Spot Prices'!$I:$I)</f>
        <v>113.07</v>
      </c>
      <c r="G1976" cm="1">
        <f t="array" ref="G1976">_xlfn.XLOOKUP(TEXT(A1976, "mmm-yy"), TEXT([2]RUNS!$B$5:$B$208, "mmm-yy"), [2]RUNS!$D$5:$D$208, "Not Found")</f>
        <v>28368.607128626983</v>
      </c>
      <c r="H1976" cm="1">
        <f t="array" ref="H1976">SUMPRODUCT(
    --(TEXT('[3]Global Weekly Stock (EWSuez'!$B$4:$B$2000,"mmm-yy")=TEXT(A1976,"mmm-yy")),
    '[3]Global Weekly Stock (EWSuez'!$E$4:$E$2000)
/
SUMPRODUCT(
    --(TEXT('[3]Global Weekly Stock (EWSuez'!$B$4:$B$2000,"mmm-yy")=TEXT(A1976,"mmm-yy"))
)</f>
        <v>16728.2</v>
      </c>
      <c r="I1976">
        <f>_xlfn.XLOOKUP(A1976,[1]ForwardDeriv!$D:$D,[1]ForwardDeriv!$AJ:$AJ)</f>
        <v>2.25</v>
      </c>
      <c r="J1976" cm="1">
        <f t="array" ref="J1976">_xlfn.XLOOKUP(TEXT(A1976, "mmm-yy"), TEXT([2]GASOLINE!$B$5:$B$208, "mmm-yy"), [2]GASOLINE!$IR$5:$IR$208, "Not Found")</f>
        <v>-246.2272686159275</v>
      </c>
      <c r="K1976" cm="1">
        <f t="array" ref="K1976">_xlfn.XLOOKUP(TEXT(A1976, "mmm-yy"), TEXT([2]GASOLINE!$B$5:$B$208, "mmm-yy"), [2]GASOLINE!$IK$5:$IK$208, "Not Found")</f>
        <v>203.81278111453318</v>
      </c>
      <c r="L1976">
        <f t="shared" si="30"/>
        <v>1</v>
      </c>
      <c r="M1976" cm="1">
        <f t="array" ref="M1976">_xlfn.XLOOKUP(TEXT(A1976, "mmm-yy"), TEXT([2]GASOLINE!$B$5:$B$208, "mmm-yy"), [2]GASOLINE!$C$5:$C$208, "Not Found")</f>
        <v>7176.5840616344976</v>
      </c>
      <c r="N1976" cm="1">
        <f t="array" ref="N1976">_xlfn.XLOOKUP(TEXT(A1976, "mmm-yy"), TEXT([2]RUNS!$B$5:$B$208, "mmm-yy"), [2]RUNS!$BM$5:$BM$208, "Not Found")</f>
        <v>0.77765674866574686</v>
      </c>
    </row>
    <row r="1977" spans="1:14" x14ac:dyDescent="0.25">
      <c r="A1977" s="1">
        <f>'[1]Global_Spot Prices'!$B3286</f>
        <v>44770</v>
      </c>
      <c r="B1977">
        <f>_xlfn.XLOOKUP(A1977,'[1]Global_Spot Prices'!$B:$B,'[1]Global_Spot Prices'!$BS:$BS)</f>
        <v>10.469999999999999</v>
      </c>
      <c r="C1977">
        <f>_xlfn.XLOOKUP(A1977,'[1]Global_Spot Prices'!$B:$B,'[1]Global_Spot Prices'!$E:$E)</f>
        <v>105</v>
      </c>
      <c r="D1977">
        <f>_xlfn.XLOOKUP(A1977,'[1]Global_Spot Prices'!$B:$B,'[1]Global_Spot Prices'!$D:$D)</f>
        <v>111.89</v>
      </c>
      <c r="E1977">
        <f>_xlfn.XLOOKUP(A1977,'[1]Global_Spot Prices'!$B:$B,'[1]Global_Spot Prices'!$H:$H)</f>
        <v>79.989999999999995</v>
      </c>
      <c r="F1977">
        <f>_xlfn.XLOOKUP(A1977,'[1]Global_Spot Prices'!$B:$B,'[1]Global_Spot Prices'!$I:$I)</f>
        <v>115.47</v>
      </c>
      <c r="G1977" cm="1">
        <f t="array" ref="G1977">_xlfn.XLOOKUP(TEXT(A1977, "mmm-yy"), TEXT([2]RUNS!$B$5:$B$208, "mmm-yy"), [2]RUNS!$D$5:$D$208, "Not Found")</f>
        <v>28368.607128626983</v>
      </c>
      <c r="H1977" cm="1">
        <f t="array" ref="H1977">SUMPRODUCT(
    --(TEXT('[3]Global Weekly Stock (EWSuez'!$B$4:$B$2000,"mmm-yy")=TEXT(A1977,"mmm-yy")),
    '[3]Global Weekly Stock (EWSuez'!$E$4:$E$2000)
/
SUMPRODUCT(
    --(TEXT('[3]Global Weekly Stock (EWSuez'!$B$4:$B$2000,"mmm-yy")=TEXT(A1977,"mmm-yy"))
)</f>
        <v>16728.2</v>
      </c>
      <c r="I1977">
        <f>_xlfn.XLOOKUP(A1977,[1]ForwardDeriv!$D:$D,[1]ForwardDeriv!$AJ:$AJ)</f>
        <v>2.2000000000000028</v>
      </c>
      <c r="J1977" cm="1">
        <f t="array" ref="J1977">_xlfn.XLOOKUP(TEXT(A1977, "mmm-yy"), TEXT([2]GASOLINE!$B$5:$B$208, "mmm-yy"), [2]GASOLINE!$IR$5:$IR$208, "Not Found")</f>
        <v>-246.2272686159275</v>
      </c>
      <c r="K1977" cm="1">
        <f t="array" ref="K1977">_xlfn.XLOOKUP(TEXT(A1977, "mmm-yy"), TEXT([2]GASOLINE!$B$5:$B$208, "mmm-yy"), [2]GASOLINE!$IK$5:$IK$208, "Not Found")</f>
        <v>203.81278111453318</v>
      </c>
      <c r="L1977">
        <f t="shared" si="30"/>
        <v>1</v>
      </c>
      <c r="M1977" cm="1">
        <f t="array" ref="M1977">_xlfn.XLOOKUP(TEXT(A1977, "mmm-yy"), TEXT([2]GASOLINE!$B$5:$B$208, "mmm-yy"), [2]GASOLINE!$C$5:$C$208, "Not Found")</f>
        <v>7176.5840616344976</v>
      </c>
      <c r="N1977" cm="1">
        <f t="array" ref="N1977">_xlfn.XLOOKUP(TEXT(A1977, "mmm-yy"), TEXT([2]RUNS!$B$5:$B$208, "mmm-yy"), [2]RUNS!$BM$5:$BM$208, "Not Found")</f>
        <v>0.77765674866574686</v>
      </c>
    </row>
    <row r="1978" spans="1:14" x14ac:dyDescent="0.25">
      <c r="A1978" s="1">
        <f>'[1]Global_Spot Prices'!$B3287</f>
        <v>44771</v>
      </c>
      <c r="B1978">
        <f>_xlfn.XLOOKUP(A1978,'[1]Global_Spot Prices'!$B:$B,'[1]Global_Spot Prices'!$BS:$BS)</f>
        <v>8.11</v>
      </c>
      <c r="C1978">
        <f>_xlfn.XLOOKUP(A1978,'[1]Global_Spot Prices'!$B:$B,'[1]Global_Spot Prices'!$E:$E)</f>
        <v>107.24</v>
      </c>
      <c r="D1978">
        <f>_xlfn.XLOOKUP(A1978,'[1]Global_Spot Prices'!$B:$B,'[1]Global_Spot Prices'!$D:$D)</f>
        <v>114.13500000000001</v>
      </c>
      <c r="E1978">
        <f>_xlfn.XLOOKUP(A1978,'[1]Global_Spot Prices'!$B:$B,'[1]Global_Spot Prices'!$H:$H)</f>
        <v>78.77</v>
      </c>
      <c r="F1978">
        <f>_xlfn.XLOOKUP(A1978,'[1]Global_Spot Prices'!$B:$B,'[1]Global_Spot Prices'!$I:$I)</f>
        <v>115.35</v>
      </c>
      <c r="G1978" cm="1">
        <f t="array" ref="G1978">_xlfn.XLOOKUP(TEXT(A1978, "mmm-yy"), TEXT([2]RUNS!$B$5:$B$208, "mmm-yy"), [2]RUNS!$D$5:$D$208, "Not Found")</f>
        <v>28368.607128626983</v>
      </c>
      <c r="H1978" cm="1">
        <f t="array" ref="H1978">SUMPRODUCT(
    --(TEXT('[3]Global Weekly Stock (EWSuez'!$B$4:$B$2000,"mmm-yy")=TEXT(A1978,"mmm-yy")),
    '[3]Global Weekly Stock (EWSuez'!$E$4:$E$2000)
/
SUMPRODUCT(
    --(TEXT('[3]Global Weekly Stock (EWSuez'!$B$4:$B$2000,"mmm-yy")=TEXT(A1978,"mmm-yy"))
)</f>
        <v>16728.2</v>
      </c>
      <c r="I1978">
        <f>_xlfn.XLOOKUP(A1978,[1]ForwardDeriv!$D:$D,[1]ForwardDeriv!$AJ:$AJ)</f>
        <v>2.7999999999999972</v>
      </c>
      <c r="J1978" cm="1">
        <f t="array" ref="J1978">_xlfn.XLOOKUP(TEXT(A1978, "mmm-yy"), TEXT([2]GASOLINE!$B$5:$B$208, "mmm-yy"), [2]GASOLINE!$IR$5:$IR$208, "Not Found")</f>
        <v>-246.2272686159275</v>
      </c>
      <c r="K1978" cm="1">
        <f t="array" ref="K1978">_xlfn.XLOOKUP(TEXT(A1978, "mmm-yy"), TEXT([2]GASOLINE!$B$5:$B$208, "mmm-yy"), [2]GASOLINE!$IK$5:$IK$208, "Not Found")</f>
        <v>203.81278111453318</v>
      </c>
      <c r="L1978">
        <f t="shared" si="30"/>
        <v>1</v>
      </c>
      <c r="M1978" cm="1">
        <f t="array" ref="M1978">_xlfn.XLOOKUP(TEXT(A1978, "mmm-yy"), TEXT([2]GASOLINE!$B$5:$B$208, "mmm-yy"), [2]GASOLINE!$C$5:$C$208, "Not Found")</f>
        <v>7176.5840616344976</v>
      </c>
      <c r="N1978" cm="1">
        <f t="array" ref="N1978">_xlfn.XLOOKUP(TEXT(A1978, "mmm-yy"), TEXT([2]RUNS!$B$5:$B$208, "mmm-yy"), [2]RUNS!$BM$5:$BM$208, "Not Found")</f>
        <v>0.77765674866574686</v>
      </c>
    </row>
    <row r="1979" spans="1:14" x14ac:dyDescent="0.25">
      <c r="A1979" s="1">
        <f>'[1]Global_Spot Prices'!$B3288</f>
        <v>44774</v>
      </c>
      <c r="B1979">
        <f>_xlfn.XLOOKUP(A1979,'[1]Global_Spot Prices'!$B:$B,'[1]Global_Spot Prices'!$BS:$BS)</f>
        <v>11.200000000000003</v>
      </c>
      <c r="C1979">
        <f>_xlfn.XLOOKUP(A1979,'[1]Global_Spot Prices'!$B:$B,'[1]Global_Spot Prices'!$E:$E)</f>
        <v>101.5</v>
      </c>
      <c r="D1979">
        <f>_xlfn.XLOOKUP(A1979,'[1]Global_Spot Prices'!$B:$B,'[1]Global_Spot Prices'!$D:$D)</f>
        <v>107.07</v>
      </c>
      <c r="E1979">
        <f>_xlfn.XLOOKUP(A1979,'[1]Global_Spot Prices'!$B:$B,'[1]Global_Spot Prices'!$H:$H)</f>
        <v>77.86</v>
      </c>
      <c r="F1979">
        <f>_xlfn.XLOOKUP(A1979,'[1]Global_Spot Prices'!$B:$B,'[1]Global_Spot Prices'!$I:$I)</f>
        <v>112.7</v>
      </c>
      <c r="G1979" cm="1">
        <f t="array" ref="G1979">_xlfn.XLOOKUP(TEXT(A1979, "mmm-yy"), TEXT([2]RUNS!$B$5:$B$208, "mmm-yy"), [2]RUNS!$D$5:$D$208, "Not Found")</f>
        <v>28703.10817664137</v>
      </c>
      <c r="H1979" cm="1">
        <f t="array" ref="H1979">SUMPRODUCT(
    --(TEXT('[3]Global Weekly Stock (EWSuez'!$B$4:$B$2000,"mmm-yy")=TEXT(A1979,"mmm-yy")),
    '[3]Global Weekly Stock (EWSuez'!$E$4:$E$2000)
/
SUMPRODUCT(
    --(TEXT('[3]Global Weekly Stock (EWSuez'!$B$4:$B$2000,"mmm-yy")=TEXT(A1979,"mmm-yy"))
)</f>
        <v>17011.75</v>
      </c>
      <c r="I1979">
        <f>_xlfn.XLOOKUP(A1979,[1]ForwardDeriv!$D:$D,[1]ForwardDeriv!$AJ:$AJ)</f>
        <v>3.0499999999999972</v>
      </c>
      <c r="J1979" cm="1">
        <f t="array" ref="J1979">_xlfn.XLOOKUP(TEXT(A1979, "mmm-yy"), TEXT([2]GASOLINE!$B$5:$B$208, "mmm-yy"), [2]GASOLINE!$IR$5:$IR$208, "Not Found")</f>
        <v>-328.93910851739849</v>
      </c>
      <c r="K1979" cm="1">
        <f t="array" ref="K1979">_xlfn.XLOOKUP(TEXT(A1979, "mmm-yy"), TEXT([2]GASOLINE!$B$5:$B$208, "mmm-yy"), [2]GASOLINE!$IK$5:$IK$208, "Not Found")</f>
        <v>198.66802536037446</v>
      </c>
      <c r="L1979">
        <f t="shared" si="30"/>
        <v>1</v>
      </c>
      <c r="M1979" cm="1">
        <f t="array" ref="M1979">_xlfn.XLOOKUP(TEXT(A1979, "mmm-yy"), TEXT([2]GASOLINE!$B$5:$B$208, "mmm-yy"), [2]GASOLINE!$C$5:$C$208, "Not Found")</f>
        <v>7279.3877160377479</v>
      </c>
      <c r="N1979" cm="1">
        <f t="array" ref="N1979">_xlfn.XLOOKUP(TEXT(A1979, "mmm-yy"), TEXT([2]RUNS!$B$5:$B$208, "mmm-yy"), [2]RUNS!$BM$5:$BM$208, "Not Found")</f>
        <v>0.78682628583211889</v>
      </c>
    </row>
    <row r="1980" spans="1:14" x14ac:dyDescent="0.25">
      <c r="A1980" s="1">
        <f>'[1]Global_Spot Prices'!$B3289</f>
        <v>44775</v>
      </c>
      <c r="B1980">
        <f>_xlfn.XLOOKUP(A1980,'[1]Global_Spot Prices'!$B:$B,'[1]Global_Spot Prices'!$BS:$BS)</f>
        <v>10.179999999999993</v>
      </c>
      <c r="C1980">
        <f>_xlfn.XLOOKUP(A1980,'[1]Global_Spot Prices'!$B:$B,'[1]Global_Spot Prices'!$E:$E)</f>
        <v>97.98</v>
      </c>
      <c r="D1980">
        <f>_xlfn.XLOOKUP(A1980,'[1]Global_Spot Prices'!$B:$B,'[1]Global_Spot Prices'!$D:$D)</f>
        <v>106.55500000000001</v>
      </c>
      <c r="E1980">
        <f>_xlfn.XLOOKUP(A1980,'[1]Global_Spot Prices'!$B:$B,'[1]Global_Spot Prices'!$H:$H)</f>
        <v>76.73</v>
      </c>
      <c r="F1980">
        <f>_xlfn.XLOOKUP(A1980,'[1]Global_Spot Prices'!$B:$B,'[1]Global_Spot Prices'!$I:$I)</f>
        <v>108.16</v>
      </c>
      <c r="G1980" cm="1">
        <f t="array" ref="G1980">_xlfn.XLOOKUP(TEXT(A1980, "mmm-yy"), TEXT([2]RUNS!$B$5:$B$208, "mmm-yy"), [2]RUNS!$D$5:$D$208, "Not Found")</f>
        <v>28703.10817664137</v>
      </c>
      <c r="H1980" cm="1">
        <f t="array" ref="H1980">SUMPRODUCT(
    --(TEXT('[3]Global Weekly Stock (EWSuez'!$B$4:$B$2000,"mmm-yy")=TEXT(A1980,"mmm-yy")),
    '[3]Global Weekly Stock (EWSuez'!$E$4:$E$2000)
/
SUMPRODUCT(
    --(TEXT('[3]Global Weekly Stock (EWSuez'!$B$4:$B$2000,"mmm-yy")=TEXT(A1980,"mmm-yy"))
)</f>
        <v>17011.75</v>
      </c>
      <c r="I1980">
        <f>_xlfn.XLOOKUP(A1980,[1]ForwardDeriv!$D:$D,[1]ForwardDeriv!$AJ:$AJ)</f>
        <v>2.8700000000000045</v>
      </c>
      <c r="J1980" cm="1">
        <f t="array" ref="J1980">_xlfn.XLOOKUP(TEXT(A1980, "mmm-yy"), TEXT([2]GASOLINE!$B$5:$B$208, "mmm-yy"), [2]GASOLINE!$IR$5:$IR$208, "Not Found")</f>
        <v>-328.93910851739849</v>
      </c>
      <c r="K1980" cm="1">
        <f t="array" ref="K1980">_xlfn.XLOOKUP(TEXT(A1980, "mmm-yy"), TEXT([2]GASOLINE!$B$5:$B$208, "mmm-yy"), [2]GASOLINE!$IK$5:$IK$208, "Not Found")</f>
        <v>198.66802536037446</v>
      </c>
      <c r="L1980">
        <f t="shared" si="30"/>
        <v>1</v>
      </c>
      <c r="M1980" cm="1">
        <f t="array" ref="M1980">_xlfn.XLOOKUP(TEXT(A1980, "mmm-yy"), TEXT([2]GASOLINE!$B$5:$B$208, "mmm-yy"), [2]GASOLINE!$C$5:$C$208, "Not Found")</f>
        <v>7279.3877160377479</v>
      </c>
      <c r="N1980" cm="1">
        <f t="array" ref="N1980">_xlfn.XLOOKUP(TEXT(A1980, "mmm-yy"), TEXT([2]RUNS!$B$5:$B$208, "mmm-yy"), [2]RUNS!$BM$5:$BM$208, "Not Found")</f>
        <v>0.78682628583211889</v>
      </c>
    </row>
    <row r="1981" spans="1:14" x14ac:dyDescent="0.25">
      <c r="A1981" s="1">
        <f>'[1]Global_Spot Prices'!$B3290</f>
        <v>44776</v>
      </c>
      <c r="B1981">
        <f>_xlfn.XLOOKUP(A1981,'[1]Global_Spot Prices'!$B:$B,'[1]Global_Spot Prices'!$BS:$BS)</f>
        <v>10.670000000000002</v>
      </c>
      <c r="C1981">
        <f>_xlfn.XLOOKUP(A1981,'[1]Global_Spot Prices'!$B:$B,'[1]Global_Spot Prices'!$E:$E)</f>
        <v>98.36</v>
      </c>
      <c r="D1981">
        <f>_xlfn.XLOOKUP(A1981,'[1]Global_Spot Prices'!$B:$B,'[1]Global_Spot Prices'!$D:$D)</f>
        <v>103.15</v>
      </c>
      <c r="E1981">
        <f>_xlfn.XLOOKUP(A1981,'[1]Global_Spot Prices'!$B:$B,'[1]Global_Spot Prices'!$H:$H)</f>
        <v>77.349999999999994</v>
      </c>
      <c r="F1981">
        <f>_xlfn.XLOOKUP(A1981,'[1]Global_Spot Prices'!$B:$B,'[1]Global_Spot Prices'!$I:$I)</f>
        <v>109.03</v>
      </c>
      <c r="G1981" cm="1">
        <f t="array" ref="G1981">_xlfn.XLOOKUP(TEXT(A1981, "mmm-yy"), TEXT([2]RUNS!$B$5:$B$208, "mmm-yy"), [2]RUNS!$D$5:$D$208, "Not Found")</f>
        <v>28703.10817664137</v>
      </c>
      <c r="H1981" cm="1">
        <f t="array" ref="H1981">SUMPRODUCT(
    --(TEXT('[3]Global Weekly Stock (EWSuez'!$B$4:$B$2000,"mmm-yy")=TEXT(A1981,"mmm-yy")),
    '[3]Global Weekly Stock (EWSuez'!$E$4:$E$2000)
/
SUMPRODUCT(
    --(TEXT('[3]Global Weekly Stock (EWSuez'!$B$4:$B$2000,"mmm-yy")=TEXT(A1981,"mmm-yy"))
)</f>
        <v>17011.75</v>
      </c>
      <c r="I1981">
        <f>_xlfn.XLOOKUP(A1981,[1]ForwardDeriv!$D:$D,[1]ForwardDeriv!$AJ:$AJ)</f>
        <v>2.7999999999999972</v>
      </c>
      <c r="J1981" cm="1">
        <f t="array" ref="J1981">_xlfn.XLOOKUP(TEXT(A1981, "mmm-yy"), TEXT([2]GASOLINE!$B$5:$B$208, "mmm-yy"), [2]GASOLINE!$IR$5:$IR$208, "Not Found")</f>
        <v>-328.93910851739849</v>
      </c>
      <c r="K1981" cm="1">
        <f t="array" ref="K1981">_xlfn.XLOOKUP(TEXT(A1981, "mmm-yy"), TEXT([2]GASOLINE!$B$5:$B$208, "mmm-yy"), [2]GASOLINE!$IK$5:$IK$208, "Not Found")</f>
        <v>198.66802536037446</v>
      </c>
      <c r="L1981">
        <f t="shared" si="30"/>
        <v>1</v>
      </c>
      <c r="M1981" cm="1">
        <f t="array" ref="M1981">_xlfn.XLOOKUP(TEXT(A1981, "mmm-yy"), TEXT([2]GASOLINE!$B$5:$B$208, "mmm-yy"), [2]GASOLINE!$C$5:$C$208, "Not Found")</f>
        <v>7279.3877160377479</v>
      </c>
      <c r="N1981" cm="1">
        <f t="array" ref="N1981">_xlfn.XLOOKUP(TEXT(A1981, "mmm-yy"), TEXT([2]RUNS!$B$5:$B$208, "mmm-yy"), [2]RUNS!$BM$5:$BM$208, "Not Found")</f>
        <v>0.78682628583211889</v>
      </c>
    </row>
    <row r="1982" spans="1:14" x14ac:dyDescent="0.25">
      <c r="A1982" s="1">
        <f>'[1]Global_Spot Prices'!$B3291</f>
        <v>44777</v>
      </c>
      <c r="B1982">
        <f>_xlfn.XLOOKUP(A1982,'[1]Global_Spot Prices'!$B:$B,'[1]Global_Spot Prices'!$BS:$BS)</f>
        <v>9.3299999999999983</v>
      </c>
      <c r="C1982">
        <f>_xlfn.XLOOKUP(A1982,'[1]Global_Spot Prices'!$B:$B,'[1]Global_Spot Prices'!$E:$E)</f>
        <v>95.7</v>
      </c>
      <c r="D1982">
        <f>_xlfn.XLOOKUP(A1982,'[1]Global_Spot Prices'!$B:$B,'[1]Global_Spot Prices'!$D:$D)</f>
        <v>97.765000000000001</v>
      </c>
      <c r="E1982">
        <f>_xlfn.XLOOKUP(A1982,'[1]Global_Spot Prices'!$B:$B,'[1]Global_Spot Prices'!$H:$H)</f>
        <v>75.290000000000006</v>
      </c>
      <c r="F1982">
        <f>_xlfn.XLOOKUP(A1982,'[1]Global_Spot Prices'!$B:$B,'[1]Global_Spot Prices'!$I:$I)</f>
        <v>105.03</v>
      </c>
      <c r="G1982" cm="1">
        <f t="array" ref="G1982">_xlfn.XLOOKUP(TEXT(A1982, "mmm-yy"), TEXT([2]RUNS!$B$5:$B$208, "mmm-yy"), [2]RUNS!$D$5:$D$208, "Not Found")</f>
        <v>28703.10817664137</v>
      </c>
      <c r="H1982" cm="1">
        <f t="array" ref="H1982">SUMPRODUCT(
    --(TEXT('[3]Global Weekly Stock (EWSuez'!$B$4:$B$2000,"mmm-yy")=TEXT(A1982,"mmm-yy")),
    '[3]Global Weekly Stock (EWSuez'!$E$4:$E$2000)
/
SUMPRODUCT(
    --(TEXT('[3]Global Weekly Stock (EWSuez'!$B$4:$B$2000,"mmm-yy")=TEXT(A1982,"mmm-yy"))
)</f>
        <v>17011.75</v>
      </c>
      <c r="I1982">
        <f>_xlfn.XLOOKUP(A1982,[1]ForwardDeriv!$D:$D,[1]ForwardDeriv!$AJ:$AJ)</f>
        <v>2</v>
      </c>
      <c r="J1982" cm="1">
        <f t="array" ref="J1982">_xlfn.XLOOKUP(TEXT(A1982, "mmm-yy"), TEXT([2]GASOLINE!$B$5:$B$208, "mmm-yy"), [2]GASOLINE!$IR$5:$IR$208, "Not Found")</f>
        <v>-328.93910851739849</v>
      </c>
      <c r="K1982" cm="1">
        <f t="array" ref="K1982">_xlfn.XLOOKUP(TEXT(A1982, "mmm-yy"), TEXT([2]GASOLINE!$B$5:$B$208, "mmm-yy"), [2]GASOLINE!$IK$5:$IK$208, "Not Found")</f>
        <v>198.66802536037446</v>
      </c>
      <c r="L1982">
        <f t="shared" si="30"/>
        <v>1</v>
      </c>
      <c r="M1982" cm="1">
        <f t="array" ref="M1982">_xlfn.XLOOKUP(TEXT(A1982, "mmm-yy"), TEXT([2]GASOLINE!$B$5:$B$208, "mmm-yy"), [2]GASOLINE!$C$5:$C$208, "Not Found")</f>
        <v>7279.3877160377479</v>
      </c>
      <c r="N1982" cm="1">
        <f t="array" ref="N1982">_xlfn.XLOOKUP(TEXT(A1982, "mmm-yy"), TEXT([2]RUNS!$B$5:$B$208, "mmm-yy"), [2]RUNS!$BM$5:$BM$208, "Not Found")</f>
        <v>0.78682628583211889</v>
      </c>
    </row>
    <row r="1983" spans="1:14" x14ac:dyDescent="0.25">
      <c r="A1983" s="1">
        <f>'[1]Global_Spot Prices'!$B3292</f>
        <v>44778</v>
      </c>
      <c r="B1983">
        <f>_xlfn.XLOOKUP(A1983,'[1]Global_Spot Prices'!$B:$B,'[1]Global_Spot Prices'!$BS:$BS)</f>
        <v>6.289999999999992</v>
      </c>
      <c r="C1983">
        <f>_xlfn.XLOOKUP(A1983,'[1]Global_Spot Prices'!$B:$B,'[1]Global_Spot Prices'!$E:$E)</f>
        <v>93.76</v>
      </c>
      <c r="D1983">
        <f>_xlfn.XLOOKUP(A1983,'[1]Global_Spot Prices'!$B:$B,'[1]Global_Spot Prices'!$D:$D)</f>
        <v>101.41</v>
      </c>
      <c r="E1983">
        <f>_xlfn.XLOOKUP(A1983,'[1]Global_Spot Prices'!$B:$B,'[1]Global_Spot Prices'!$H:$H)</f>
        <v>73.010000000000005</v>
      </c>
      <c r="F1983">
        <f>_xlfn.XLOOKUP(A1983,'[1]Global_Spot Prices'!$B:$B,'[1]Global_Spot Prices'!$I:$I)</f>
        <v>100.05</v>
      </c>
      <c r="G1983" cm="1">
        <f t="array" ref="G1983">_xlfn.XLOOKUP(TEXT(A1983, "mmm-yy"), TEXT([2]RUNS!$B$5:$B$208, "mmm-yy"), [2]RUNS!$D$5:$D$208, "Not Found")</f>
        <v>28703.10817664137</v>
      </c>
      <c r="H1983" cm="1">
        <f t="array" ref="H1983">SUMPRODUCT(
    --(TEXT('[3]Global Weekly Stock (EWSuez'!$B$4:$B$2000,"mmm-yy")=TEXT(A1983,"mmm-yy")),
    '[3]Global Weekly Stock (EWSuez'!$E$4:$E$2000)
/
SUMPRODUCT(
    --(TEXT('[3]Global Weekly Stock (EWSuez'!$B$4:$B$2000,"mmm-yy")=TEXT(A1983,"mmm-yy"))
)</f>
        <v>17011.75</v>
      </c>
      <c r="I1983">
        <f>_xlfn.XLOOKUP(A1983,[1]ForwardDeriv!$D:$D,[1]ForwardDeriv!$AJ:$AJ)</f>
        <v>1.7000000000000028</v>
      </c>
      <c r="J1983" cm="1">
        <f t="array" ref="J1983">_xlfn.XLOOKUP(TEXT(A1983, "mmm-yy"), TEXT([2]GASOLINE!$B$5:$B$208, "mmm-yy"), [2]GASOLINE!$IR$5:$IR$208, "Not Found")</f>
        <v>-328.93910851739849</v>
      </c>
      <c r="K1983" cm="1">
        <f t="array" ref="K1983">_xlfn.XLOOKUP(TEXT(A1983, "mmm-yy"), TEXT([2]GASOLINE!$B$5:$B$208, "mmm-yy"), [2]GASOLINE!$IK$5:$IK$208, "Not Found")</f>
        <v>198.66802536037446</v>
      </c>
      <c r="L1983">
        <f t="shared" si="30"/>
        <v>1</v>
      </c>
      <c r="M1983" cm="1">
        <f t="array" ref="M1983">_xlfn.XLOOKUP(TEXT(A1983, "mmm-yy"), TEXT([2]GASOLINE!$B$5:$B$208, "mmm-yy"), [2]GASOLINE!$C$5:$C$208, "Not Found")</f>
        <v>7279.3877160377479</v>
      </c>
      <c r="N1983" cm="1">
        <f t="array" ref="N1983">_xlfn.XLOOKUP(TEXT(A1983, "mmm-yy"), TEXT([2]RUNS!$B$5:$B$208, "mmm-yy"), [2]RUNS!$BM$5:$BM$208, "Not Found")</f>
        <v>0.78682628583211889</v>
      </c>
    </row>
    <row r="1984" spans="1:14" x14ac:dyDescent="0.25">
      <c r="A1984" s="1">
        <f>'[1]Global_Spot Prices'!$B3293</f>
        <v>44781</v>
      </c>
      <c r="B1984">
        <f>_xlfn.XLOOKUP(A1984,'[1]Global_Spot Prices'!$B:$B,'[1]Global_Spot Prices'!$BS:$BS)</f>
        <v>8.2199999999999989</v>
      </c>
      <c r="C1984">
        <f>_xlfn.XLOOKUP(A1984,'[1]Global_Spot Prices'!$B:$B,'[1]Global_Spot Prices'!$E:$E)</f>
        <v>94.26</v>
      </c>
      <c r="D1984">
        <f>_xlfn.XLOOKUP(A1984,'[1]Global_Spot Prices'!$B:$B,'[1]Global_Spot Prices'!$D:$D)</f>
        <v>103.47</v>
      </c>
      <c r="E1984">
        <f>_xlfn.XLOOKUP(A1984,'[1]Global_Spot Prices'!$B:$B,'[1]Global_Spot Prices'!$H:$H)</f>
        <v>73.239999999999995</v>
      </c>
      <c r="F1984">
        <f>_xlfn.XLOOKUP(A1984,'[1]Global_Spot Prices'!$B:$B,'[1]Global_Spot Prices'!$I:$I)</f>
        <v>102.48</v>
      </c>
      <c r="G1984" cm="1">
        <f t="array" ref="G1984">_xlfn.XLOOKUP(TEXT(A1984, "mmm-yy"), TEXT([2]RUNS!$B$5:$B$208, "mmm-yy"), [2]RUNS!$D$5:$D$208, "Not Found")</f>
        <v>28703.10817664137</v>
      </c>
      <c r="H1984" cm="1">
        <f t="array" ref="H1984">SUMPRODUCT(
    --(TEXT('[3]Global Weekly Stock (EWSuez'!$B$4:$B$2000,"mmm-yy")=TEXT(A1984,"mmm-yy")),
    '[3]Global Weekly Stock (EWSuez'!$E$4:$E$2000)
/
SUMPRODUCT(
    --(TEXT('[3]Global Weekly Stock (EWSuez'!$B$4:$B$2000,"mmm-yy")=TEXT(A1984,"mmm-yy"))
)</f>
        <v>17011.75</v>
      </c>
      <c r="I1984">
        <f>_xlfn.XLOOKUP(A1984,[1]ForwardDeriv!$D:$D,[1]ForwardDeriv!$AJ:$AJ)</f>
        <v>2.0799999999999983</v>
      </c>
      <c r="J1984" cm="1">
        <f t="array" ref="J1984">_xlfn.XLOOKUP(TEXT(A1984, "mmm-yy"), TEXT([2]GASOLINE!$B$5:$B$208, "mmm-yy"), [2]GASOLINE!$IR$5:$IR$208, "Not Found")</f>
        <v>-328.93910851739849</v>
      </c>
      <c r="K1984" cm="1">
        <f t="array" ref="K1984">_xlfn.XLOOKUP(TEXT(A1984, "mmm-yy"), TEXT([2]GASOLINE!$B$5:$B$208, "mmm-yy"), [2]GASOLINE!$IK$5:$IK$208, "Not Found")</f>
        <v>198.66802536037446</v>
      </c>
      <c r="L1984">
        <f t="shared" si="30"/>
        <v>1</v>
      </c>
      <c r="M1984" cm="1">
        <f t="array" ref="M1984">_xlfn.XLOOKUP(TEXT(A1984, "mmm-yy"), TEXT([2]GASOLINE!$B$5:$B$208, "mmm-yy"), [2]GASOLINE!$C$5:$C$208, "Not Found")</f>
        <v>7279.3877160377479</v>
      </c>
      <c r="N1984" cm="1">
        <f t="array" ref="N1984">_xlfn.XLOOKUP(TEXT(A1984, "mmm-yy"), TEXT([2]RUNS!$B$5:$B$208, "mmm-yy"), [2]RUNS!$BM$5:$BM$208, "Not Found")</f>
        <v>0.78682628583211889</v>
      </c>
    </row>
    <row r="1985" spans="1:14" x14ac:dyDescent="0.25">
      <c r="A1985" s="1">
        <f>'[1]Global_Spot Prices'!$B3294</f>
        <v>44782</v>
      </c>
      <c r="B1985" t="e">
        <f>_xlfn.XLOOKUP(A1985,'[1]Global_Spot Prices'!$B:$B,'[1]Global_Spot Prices'!$BS:$BS)</f>
        <v>#N/A</v>
      </c>
      <c r="C1985" t="str">
        <f>_xlfn.XLOOKUP(A1985,'[1]Global_Spot Prices'!$B:$B,'[1]Global_Spot Prices'!$E:$E)</f>
        <v/>
      </c>
      <c r="D1985">
        <f>_xlfn.XLOOKUP(A1985,'[1]Global_Spot Prices'!$B:$B,'[1]Global_Spot Prices'!$D:$D)</f>
        <v>103.905</v>
      </c>
      <c r="E1985">
        <f>_xlfn.XLOOKUP(A1985,'[1]Global_Spot Prices'!$B:$B,'[1]Global_Spot Prices'!$H:$H)</f>
        <v>0</v>
      </c>
      <c r="F1985">
        <f>_xlfn.XLOOKUP(A1985,'[1]Global_Spot Prices'!$B:$B,'[1]Global_Spot Prices'!$I:$I)</f>
        <v>0</v>
      </c>
      <c r="G1985" cm="1">
        <f t="array" ref="G1985">_xlfn.XLOOKUP(TEXT(A1985, "mmm-yy"), TEXT([2]RUNS!$B$5:$B$208, "mmm-yy"), [2]RUNS!$D$5:$D$208, "Not Found")</f>
        <v>28703.10817664137</v>
      </c>
      <c r="H1985" cm="1">
        <f t="array" ref="H1985">SUMPRODUCT(
    --(TEXT('[3]Global Weekly Stock (EWSuez'!$B$4:$B$2000,"mmm-yy")=TEXT(A1985,"mmm-yy")),
    '[3]Global Weekly Stock (EWSuez'!$E$4:$E$2000)
/
SUMPRODUCT(
    --(TEXT('[3]Global Weekly Stock (EWSuez'!$B$4:$B$2000,"mmm-yy")=TEXT(A1985,"mmm-yy"))
)</f>
        <v>17011.75</v>
      </c>
      <c r="I1985">
        <f>_xlfn.XLOOKUP(A1985,[1]ForwardDeriv!$D:$D,[1]ForwardDeriv!$AJ:$AJ)</f>
        <v>2.1700000000000017</v>
      </c>
      <c r="J1985" cm="1">
        <f t="array" ref="J1985">_xlfn.XLOOKUP(TEXT(A1985, "mmm-yy"), TEXT([2]GASOLINE!$B$5:$B$208, "mmm-yy"), [2]GASOLINE!$IR$5:$IR$208, "Not Found")</f>
        <v>-328.93910851739849</v>
      </c>
      <c r="K1985" cm="1">
        <f t="array" ref="K1985">_xlfn.XLOOKUP(TEXT(A1985, "mmm-yy"), TEXT([2]GASOLINE!$B$5:$B$208, "mmm-yy"), [2]GASOLINE!$IK$5:$IK$208, "Not Found")</f>
        <v>198.66802536037446</v>
      </c>
      <c r="L1985">
        <f t="shared" si="30"/>
        <v>1</v>
      </c>
      <c r="M1985" cm="1">
        <f t="array" ref="M1985">_xlfn.XLOOKUP(TEXT(A1985, "mmm-yy"), TEXT([2]GASOLINE!$B$5:$B$208, "mmm-yy"), [2]GASOLINE!$C$5:$C$208, "Not Found")</f>
        <v>7279.3877160377479</v>
      </c>
      <c r="N1985" cm="1">
        <f t="array" ref="N1985">_xlfn.XLOOKUP(TEXT(A1985, "mmm-yy"), TEXT([2]RUNS!$B$5:$B$208, "mmm-yy"), [2]RUNS!$BM$5:$BM$208, "Not Found")</f>
        <v>0.78682628583211889</v>
      </c>
    </row>
    <row r="1986" spans="1:14" x14ac:dyDescent="0.25">
      <c r="A1986" s="1">
        <f>'[1]Global_Spot Prices'!$B3295</f>
        <v>44783</v>
      </c>
      <c r="B1986">
        <f>_xlfn.XLOOKUP(A1986,'[1]Global_Spot Prices'!$B:$B,'[1]Global_Spot Prices'!$BS:$BS)</f>
        <v>9.1500000000000057</v>
      </c>
      <c r="C1986">
        <f>_xlfn.XLOOKUP(A1986,'[1]Global_Spot Prices'!$B:$B,'[1]Global_Spot Prices'!$E:$E)</f>
        <v>94.86</v>
      </c>
      <c r="D1986">
        <f>_xlfn.XLOOKUP(A1986,'[1]Global_Spot Prices'!$B:$B,'[1]Global_Spot Prices'!$D:$D)</f>
        <v>101.44499999999999</v>
      </c>
      <c r="E1986">
        <f>_xlfn.XLOOKUP(A1986,'[1]Global_Spot Prices'!$B:$B,'[1]Global_Spot Prices'!$H:$H)</f>
        <v>72.53</v>
      </c>
      <c r="F1986">
        <f>_xlfn.XLOOKUP(A1986,'[1]Global_Spot Prices'!$B:$B,'[1]Global_Spot Prices'!$I:$I)</f>
        <v>104.01</v>
      </c>
      <c r="G1986" cm="1">
        <f t="array" ref="G1986">_xlfn.XLOOKUP(TEXT(A1986, "mmm-yy"), TEXT([2]RUNS!$B$5:$B$208, "mmm-yy"), [2]RUNS!$D$5:$D$208, "Not Found")</f>
        <v>28703.10817664137</v>
      </c>
      <c r="H1986" cm="1">
        <f t="array" ref="H1986">SUMPRODUCT(
    --(TEXT('[3]Global Weekly Stock (EWSuez'!$B$4:$B$2000,"mmm-yy")=TEXT(A1986,"mmm-yy")),
    '[3]Global Weekly Stock (EWSuez'!$E$4:$E$2000)
/
SUMPRODUCT(
    --(TEXT('[3]Global Weekly Stock (EWSuez'!$B$4:$B$2000,"mmm-yy")=TEXT(A1986,"mmm-yy"))
)</f>
        <v>17011.75</v>
      </c>
      <c r="I1986">
        <f>_xlfn.XLOOKUP(A1986,[1]ForwardDeriv!$D:$D,[1]ForwardDeriv!$AJ:$AJ)</f>
        <v>2.1700000000000017</v>
      </c>
      <c r="J1986" cm="1">
        <f t="array" ref="J1986">_xlfn.XLOOKUP(TEXT(A1986, "mmm-yy"), TEXT([2]GASOLINE!$B$5:$B$208, "mmm-yy"), [2]GASOLINE!$IR$5:$IR$208, "Not Found")</f>
        <v>-328.93910851739849</v>
      </c>
      <c r="K1986" cm="1">
        <f t="array" ref="K1986">_xlfn.XLOOKUP(TEXT(A1986, "mmm-yy"), TEXT([2]GASOLINE!$B$5:$B$208, "mmm-yy"), [2]GASOLINE!$IK$5:$IK$208, "Not Found")</f>
        <v>198.66802536037446</v>
      </c>
      <c r="L1986">
        <f t="shared" si="30"/>
        <v>1</v>
      </c>
      <c r="M1986" cm="1">
        <f t="array" ref="M1986">_xlfn.XLOOKUP(TEXT(A1986, "mmm-yy"), TEXT([2]GASOLINE!$B$5:$B$208, "mmm-yy"), [2]GASOLINE!$C$5:$C$208, "Not Found")</f>
        <v>7279.3877160377479</v>
      </c>
      <c r="N1986" cm="1">
        <f t="array" ref="N1986">_xlfn.XLOOKUP(TEXT(A1986, "mmm-yy"), TEXT([2]RUNS!$B$5:$B$208, "mmm-yy"), [2]RUNS!$BM$5:$BM$208, "Not Found")</f>
        <v>0.78682628583211889</v>
      </c>
    </row>
    <row r="1987" spans="1:14" x14ac:dyDescent="0.25">
      <c r="A1987" s="1">
        <f>'[1]Global_Spot Prices'!$B3296</f>
        <v>44784</v>
      </c>
      <c r="B1987">
        <f>_xlfn.XLOOKUP(A1987,'[1]Global_Spot Prices'!$B:$B,'[1]Global_Spot Prices'!$BS:$BS)</f>
        <v>12.86</v>
      </c>
      <c r="C1987">
        <f>_xlfn.XLOOKUP(A1987,'[1]Global_Spot Prices'!$B:$B,'[1]Global_Spot Prices'!$E:$E)</f>
        <v>96</v>
      </c>
      <c r="D1987">
        <f>_xlfn.XLOOKUP(A1987,'[1]Global_Spot Prices'!$B:$B,'[1]Global_Spot Prices'!$D:$D)</f>
        <v>104.63</v>
      </c>
      <c r="E1987">
        <f>_xlfn.XLOOKUP(A1987,'[1]Global_Spot Prices'!$B:$B,'[1]Global_Spot Prices'!$H:$H)</f>
        <v>74.3</v>
      </c>
      <c r="F1987">
        <f>_xlfn.XLOOKUP(A1987,'[1]Global_Spot Prices'!$B:$B,'[1]Global_Spot Prices'!$I:$I)</f>
        <v>108.86</v>
      </c>
      <c r="G1987" cm="1">
        <f t="array" ref="G1987">_xlfn.XLOOKUP(TEXT(A1987, "mmm-yy"), TEXT([2]RUNS!$B$5:$B$208, "mmm-yy"), [2]RUNS!$D$5:$D$208, "Not Found")</f>
        <v>28703.10817664137</v>
      </c>
      <c r="H1987" cm="1">
        <f t="array" ref="H1987">SUMPRODUCT(
    --(TEXT('[3]Global Weekly Stock (EWSuez'!$B$4:$B$2000,"mmm-yy")=TEXT(A1987,"mmm-yy")),
    '[3]Global Weekly Stock (EWSuez'!$E$4:$E$2000)
/
SUMPRODUCT(
    --(TEXT('[3]Global Weekly Stock (EWSuez'!$B$4:$B$2000,"mmm-yy")=TEXT(A1987,"mmm-yy"))
)</f>
        <v>17011.75</v>
      </c>
      <c r="I1987">
        <f>_xlfn.XLOOKUP(A1987,[1]ForwardDeriv!$D:$D,[1]ForwardDeriv!$AJ:$AJ)</f>
        <v>2.75</v>
      </c>
      <c r="J1987" cm="1">
        <f t="array" ref="J1987">_xlfn.XLOOKUP(TEXT(A1987, "mmm-yy"), TEXT([2]GASOLINE!$B$5:$B$208, "mmm-yy"), [2]GASOLINE!$IR$5:$IR$208, "Not Found")</f>
        <v>-328.93910851739849</v>
      </c>
      <c r="K1987" cm="1">
        <f t="array" ref="K1987">_xlfn.XLOOKUP(TEXT(A1987, "mmm-yy"), TEXT([2]GASOLINE!$B$5:$B$208, "mmm-yy"), [2]GASOLINE!$IK$5:$IK$208, "Not Found")</f>
        <v>198.66802536037446</v>
      </c>
      <c r="L1987">
        <f t="shared" ref="L1987:L2050" si="31">IF(OR(MONTH(A1987)=6, MONTH(A1987)=7, MONTH(A1987)=8, MONTH(A1987)=9), 1, 0)</f>
        <v>1</v>
      </c>
      <c r="M1987" cm="1">
        <f t="array" ref="M1987">_xlfn.XLOOKUP(TEXT(A1987, "mmm-yy"), TEXT([2]GASOLINE!$B$5:$B$208, "mmm-yy"), [2]GASOLINE!$C$5:$C$208, "Not Found")</f>
        <v>7279.3877160377479</v>
      </c>
      <c r="N1987" cm="1">
        <f t="array" ref="N1987">_xlfn.XLOOKUP(TEXT(A1987, "mmm-yy"), TEXT([2]RUNS!$B$5:$B$208, "mmm-yy"), [2]RUNS!$BM$5:$BM$208, "Not Found")</f>
        <v>0.78682628583211889</v>
      </c>
    </row>
    <row r="1988" spans="1:14" x14ac:dyDescent="0.25">
      <c r="A1988" s="1">
        <f>'[1]Global_Spot Prices'!$B3297</f>
        <v>44785</v>
      </c>
      <c r="B1988">
        <f>_xlfn.XLOOKUP(A1988,'[1]Global_Spot Prices'!$B:$B,'[1]Global_Spot Prices'!$BS:$BS)</f>
        <v>11.909999999999997</v>
      </c>
      <c r="C1988">
        <f>_xlfn.XLOOKUP(A1988,'[1]Global_Spot Prices'!$B:$B,'[1]Global_Spot Prices'!$E:$E)</f>
        <v>98.28</v>
      </c>
      <c r="D1988">
        <f>_xlfn.XLOOKUP(A1988,'[1]Global_Spot Prices'!$B:$B,'[1]Global_Spot Prices'!$D:$D)</f>
        <v>102.875</v>
      </c>
      <c r="E1988">
        <f>_xlfn.XLOOKUP(A1988,'[1]Global_Spot Prices'!$B:$B,'[1]Global_Spot Prices'!$H:$H)</f>
        <v>73.47</v>
      </c>
      <c r="F1988">
        <f>_xlfn.XLOOKUP(A1988,'[1]Global_Spot Prices'!$B:$B,'[1]Global_Spot Prices'!$I:$I)</f>
        <v>110.19</v>
      </c>
      <c r="G1988" cm="1">
        <f t="array" ref="G1988">_xlfn.XLOOKUP(TEXT(A1988, "mmm-yy"), TEXT([2]RUNS!$B$5:$B$208, "mmm-yy"), [2]RUNS!$D$5:$D$208, "Not Found")</f>
        <v>28703.10817664137</v>
      </c>
      <c r="H1988" cm="1">
        <f t="array" ref="H1988">SUMPRODUCT(
    --(TEXT('[3]Global Weekly Stock (EWSuez'!$B$4:$B$2000,"mmm-yy")=TEXT(A1988,"mmm-yy")),
    '[3]Global Weekly Stock (EWSuez'!$E$4:$E$2000)
/
SUMPRODUCT(
    --(TEXT('[3]Global Weekly Stock (EWSuez'!$B$4:$B$2000,"mmm-yy")=TEXT(A1988,"mmm-yy"))
)</f>
        <v>17011.75</v>
      </c>
      <c r="I1988">
        <f>_xlfn.XLOOKUP(A1988,[1]ForwardDeriv!$D:$D,[1]ForwardDeriv!$AJ:$AJ)</f>
        <v>2.6200000000000045</v>
      </c>
      <c r="J1988" cm="1">
        <f t="array" ref="J1988">_xlfn.XLOOKUP(TEXT(A1988, "mmm-yy"), TEXT([2]GASOLINE!$B$5:$B$208, "mmm-yy"), [2]GASOLINE!$IR$5:$IR$208, "Not Found")</f>
        <v>-328.93910851739849</v>
      </c>
      <c r="K1988" cm="1">
        <f t="array" ref="K1988">_xlfn.XLOOKUP(TEXT(A1988, "mmm-yy"), TEXT([2]GASOLINE!$B$5:$B$208, "mmm-yy"), [2]GASOLINE!$IK$5:$IK$208, "Not Found")</f>
        <v>198.66802536037446</v>
      </c>
      <c r="L1988">
        <f t="shared" si="31"/>
        <v>1</v>
      </c>
      <c r="M1988" cm="1">
        <f t="array" ref="M1988">_xlfn.XLOOKUP(TEXT(A1988, "mmm-yy"), TEXT([2]GASOLINE!$B$5:$B$208, "mmm-yy"), [2]GASOLINE!$C$5:$C$208, "Not Found")</f>
        <v>7279.3877160377479</v>
      </c>
      <c r="N1988" cm="1">
        <f t="array" ref="N1988">_xlfn.XLOOKUP(TEXT(A1988, "mmm-yy"), TEXT([2]RUNS!$B$5:$B$208, "mmm-yy"), [2]RUNS!$BM$5:$BM$208, "Not Found")</f>
        <v>0.78682628583211889</v>
      </c>
    </row>
    <row r="1989" spans="1:14" x14ac:dyDescent="0.25">
      <c r="A1989" s="1">
        <f>'[1]Global_Spot Prices'!$B3298</f>
        <v>44788</v>
      </c>
      <c r="B1989">
        <f>_xlfn.XLOOKUP(A1989,'[1]Global_Spot Prices'!$B:$B,'[1]Global_Spot Prices'!$BS:$BS)</f>
        <v>13.079999999999998</v>
      </c>
      <c r="C1989">
        <f>_xlfn.XLOOKUP(A1989,'[1]Global_Spot Prices'!$B:$B,'[1]Global_Spot Prices'!$E:$E)</f>
        <v>94.56</v>
      </c>
      <c r="D1989">
        <f>_xlfn.XLOOKUP(A1989,'[1]Global_Spot Prices'!$B:$B,'[1]Global_Spot Prices'!$D:$D)</f>
        <v>97.62</v>
      </c>
      <c r="E1989">
        <f>_xlfn.XLOOKUP(A1989,'[1]Global_Spot Prices'!$B:$B,'[1]Global_Spot Prices'!$H:$H)</f>
        <v>70.58</v>
      </c>
      <c r="F1989">
        <f>_xlfn.XLOOKUP(A1989,'[1]Global_Spot Prices'!$B:$B,'[1]Global_Spot Prices'!$I:$I)</f>
        <v>107.64</v>
      </c>
      <c r="G1989" cm="1">
        <f t="array" ref="G1989">_xlfn.XLOOKUP(TEXT(A1989, "mmm-yy"), TEXT([2]RUNS!$B$5:$B$208, "mmm-yy"), [2]RUNS!$D$5:$D$208, "Not Found")</f>
        <v>28703.10817664137</v>
      </c>
      <c r="H1989" cm="1">
        <f t="array" ref="H1989">SUMPRODUCT(
    --(TEXT('[3]Global Weekly Stock (EWSuez'!$B$4:$B$2000,"mmm-yy")=TEXT(A1989,"mmm-yy")),
    '[3]Global Weekly Stock (EWSuez'!$E$4:$E$2000)
/
SUMPRODUCT(
    --(TEXT('[3]Global Weekly Stock (EWSuez'!$B$4:$B$2000,"mmm-yy")=TEXT(A1989,"mmm-yy"))
)</f>
        <v>17011.75</v>
      </c>
      <c r="I1989">
        <f>_xlfn.XLOOKUP(A1989,[1]ForwardDeriv!$D:$D,[1]ForwardDeriv!$AJ:$AJ)</f>
        <v>2.6700000000000017</v>
      </c>
      <c r="J1989" cm="1">
        <f t="array" ref="J1989">_xlfn.XLOOKUP(TEXT(A1989, "mmm-yy"), TEXT([2]GASOLINE!$B$5:$B$208, "mmm-yy"), [2]GASOLINE!$IR$5:$IR$208, "Not Found")</f>
        <v>-328.93910851739849</v>
      </c>
      <c r="K1989" cm="1">
        <f t="array" ref="K1989">_xlfn.XLOOKUP(TEXT(A1989, "mmm-yy"), TEXT([2]GASOLINE!$B$5:$B$208, "mmm-yy"), [2]GASOLINE!$IK$5:$IK$208, "Not Found")</f>
        <v>198.66802536037446</v>
      </c>
      <c r="L1989">
        <f t="shared" si="31"/>
        <v>1</v>
      </c>
      <c r="M1989" cm="1">
        <f t="array" ref="M1989">_xlfn.XLOOKUP(TEXT(A1989, "mmm-yy"), TEXT([2]GASOLINE!$B$5:$B$208, "mmm-yy"), [2]GASOLINE!$C$5:$C$208, "Not Found")</f>
        <v>7279.3877160377479</v>
      </c>
      <c r="N1989" cm="1">
        <f t="array" ref="N1989">_xlfn.XLOOKUP(TEXT(A1989, "mmm-yy"), TEXT([2]RUNS!$B$5:$B$208, "mmm-yy"), [2]RUNS!$BM$5:$BM$208, "Not Found")</f>
        <v>0.78682628583211889</v>
      </c>
    </row>
    <row r="1990" spans="1:14" x14ac:dyDescent="0.25">
      <c r="A1990" s="1">
        <f>'[1]Global_Spot Prices'!$B3299</f>
        <v>44789</v>
      </c>
      <c r="B1990">
        <f>_xlfn.XLOOKUP(A1990,'[1]Global_Spot Prices'!$B:$B,'[1]Global_Spot Prices'!$BS:$BS)</f>
        <v>13.260000000000005</v>
      </c>
      <c r="C1990">
        <f>_xlfn.XLOOKUP(A1990,'[1]Global_Spot Prices'!$B:$B,'[1]Global_Spot Prices'!$E:$E)</f>
        <v>92.1</v>
      </c>
      <c r="D1990">
        <f>_xlfn.XLOOKUP(A1990,'[1]Global_Spot Prices'!$B:$B,'[1]Global_Spot Prices'!$D:$D)</f>
        <v>96.254999999999995</v>
      </c>
      <c r="E1990">
        <f>_xlfn.XLOOKUP(A1990,'[1]Global_Spot Prices'!$B:$B,'[1]Global_Spot Prices'!$H:$H)</f>
        <v>67.959999999999994</v>
      </c>
      <c r="F1990">
        <f>_xlfn.XLOOKUP(A1990,'[1]Global_Spot Prices'!$B:$B,'[1]Global_Spot Prices'!$I:$I)</f>
        <v>105.36</v>
      </c>
      <c r="G1990" cm="1">
        <f t="array" ref="G1990">_xlfn.XLOOKUP(TEXT(A1990, "mmm-yy"), TEXT([2]RUNS!$B$5:$B$208, "mmm-yy"), [2]RUNS!$D$5:$D$208, "Not Found")</f>
        <v>28703.10817664137</v>
      </c>
      <c r="H1990" cm="1">
        <f t="array" ref="H1990">SUMPRODUCT(
    --(TEXT('[3]Global Weekly Stock (EWSuez'!$B$4:$B$2000,"mmm-yy")=TEXT(A1990,"mmm-yy")),
    '[3]Global Weekly Stock (EWSuez'!$E$4:$E$2000)
/
SUMPRODUCT(
    --(TEXT('[3]Global Weekly Stock (EWSuez'!$B$4:$B$2000,"mmm-yy")=TEXT(A1990,"mmm-yy"))
)</f>
        <v>17011.75</v>
      </c>
      <c r="I1990">
        <f>_xlfn.XLOOKUP(A1990,[1]ForwardDeriv!$D:$D,[1]ForwardDeriv!$AJ:$AJ)</f>
        <v>2.6700000000000017</v>
      </c>
      <c r="J1990" cm="1">
        <f t="array" ref="J1990">_xlfn.XLOOKUP(TEXT(A1990, "mmm-yy"), TEXT([2]GASOLINE!$B$5:$B$208, "mmm-yy"), [2]GASOLINE!$IR$5:$IR$208, "Not Found")</f>
        <v>-328.93910851739849</v>
      </c>
      <c r="K1990" cm="1">
        <f t="array" ref="K1990">_xlfn.XLOOKUP(TEXT(A1990, "mmm-yy"), TEXT([2]GASOLINE!$B$5:$B$208, "mmm-yy"), [2]GASOLINE!$IK$5:$IK$208, "Not Found")</f>
        <v>198.66802536037446</v>
      </c>
      <c r="L1990">
        <f t="shared" si="31"/>
        <v>1</v>
      </c>
      <c r="M1990" cm="1">
        <f t="array" ref="M1990">_xlfn.XLOOKUP(TEXT(A1990, "mmm-yy"), TEXT([2]GASOLINE!$B$5:$B$208, "mmm-yy"), [2]GASOLINE!$C$5:$C$208, "Not Found")</f>
        <v>7279.3877160377479</v>
      </c>
      <c r="N1990" cm="1">
        <f t="array" ref="N1990">_xlfn.XLOOKUP(TEXT(A1990, "mmm-yy"), TEXT([2]RUNS!$B$5:$B$208, "mmm-yy"), [2]RUNS!$BM$5:$BM$208, "Not Found")</f>
        <v>0.78682628583211889</v>
      </c>
    </row>
    <row r="1991" spans="1:14" x14ac:dyDescent="0.25">
      <c r="A1991" s="1">
        <f>'[1]Global_Spot Prices'!$B3300</f>
        <v>44790</v>
      </c>
      <c r="B1991">
        <f>_xlfn.XLOOKUP(A1991,'[1]Global_Spot Prices'!$B:$B,'[1]Global_Spot Prices'!$BS:$BS)</f>
        <v>14.589999999999989</v>
      </c>
      <c r="C1991">
        <f>_xlfn.XLOOKUP(A1991,'[1]Global_Spot Prices'!$B:$B,'[1]Global_Spot Prices'!$E:$E)</f>
        <v>90.4</v>
      </c>
      <c r="D1991">
        <f>_xlfn.XLOOKUP(A1991,'[1]Global_Spot Prices'!$B:$B,'[1]Global_Spot Prices'!$D:$D)</f>
        <v>93.27</v>
      </c>
      <c r="E1991">
        <f>_xlfn.XLOOKUP(A1991,'[1]Global_Spot Prices'!$B:$B,'[1]Global_Spot Prices'!$H:$H)</f>
        <v>67.78</v>
      </c>
      <c r="F1991">
        <f>_xlfn.XLOOKUP(A1991,'[1]Global_Spot Prices'!$B:$B,'[1]Global_Spot Prices'!$I:$I)</f>
        <v>104.99</v>
      </c>
      <c r="G1991" cm="1">
        <f t="array" ref="G1991">_xlfn.XLOOKUP(TEXT(A1991, "mmm-yy"), TEXT([2]RUNS!$B$5:$B$208, "mmm-yy"), [2]RUNS!$D$5:$D$208, "Not Found")</f>
        <v>28703.10817664137</v>
      </c>
      <c r="H1991" cm="1">
        <f t="array" ref="H1991">SUMPRODUCT(
    --(TEXT('[3]Global Weekly Stock (EWSuez'!$B$4:$B$2000,"mmm-yy")=TEXT(A1991,"mmm-yy")),
    '[3]Global Weekly Stock (EWSuez'!$E$4:$E$2000)
/
SUMPRODUCT(
    --(TEXT('[3]Global Weekly Stock (EWSuez'!$B$4:$B$2000,"mmm-yy")=TEXT(A1991,"mmm-yy"))
)</f>
        <v>17011.75</v>
      </c>
      <c r="I1991">
        <f>_xlfn.XLOOKUP(A1991,[1]ForwardDeriv!$D:$D,[1]ForwardDeriv!$AJ:$AJ)</f>
        <v>3.2000000000000028</v>
      </c>
      <c r="J1991" cm="1">
        <f t="array" ref="J1991">_xlfn.XLOOKUP(TEXT(A1991, "mmm-yy"), TEXT([2]GASOLINE!$B$5:$B$208, "mmm-yy"), [2]GASOLINE!$IR$5:$IR$208, "Not Found")</f>
        <v>-328.93910851739849</v>
      </c>
      <c r="K1991" cm="1">
        <f t="array" ref="K1991">_xlfn.XLOOKUP(TEXT(A1991, "mmm-yy"), TEXT([2]GASOLINE!$B$5:$B$208, "mmm-yy"), [2]GASOLINE!$IK$5:$IK$208, "Not Found")</f>
        <v>198.66802536037446</v>
      </c>
      <c r="L1991">
        <f t="shared" si="31"/>
        <v>1</v>
      </c>
      <c r="M1991" cm="1">
        <f t="array" ref="M1991">_xlfn.XLOOKUP(TEXT(A1991, "mmm-yy"), TEXT([2]GASOLINE!$B$5:$B$208, "mmm-yy"), [2]GASOLINE!$C$5:$C$208, "Not Found")</f>
        <v>7279.3877160377479</v>
      </c>
      <c r="N1991" cm="1">
        <f t="array" ref="N1991">_xlfn.XLOOKUP(TEXT(A1991, "mmm-yy"), TEXT([2]RUNS!$B$5:$B$208, "mmm-yy"), [2]RUNS!$BM$5:$BM$208, "Not Found")</f>
        <v>0.78682628583211889</v>
      </c>
    </row>
    <row r="1992" spans="1:14" x14ac:dyDescent="0.25">
      <c r="A1992" s="1">
        <f>'[1]Global_Spot Prices'!$B3301</f>
        <v>44791</v>
      </c>
      <c r="B1992">
        <f>_xlfn.XLOOKUP(A1992,'[1]Global_Spot Prices'!$B:$B,'[1]Global_Spot Prices'!$BS:$BS)</f>
        <v>15</v>
      </c>
      <c r="C1992">
        <f>_xlfn.XLOOKUP(A1992,'[1]Global_Spot Prices'!$B:$B,'[1]Global_Spot Prices'!$E:$E)</f>
        <v>92.8</v>
      </c>
      <c r="D1992">
        <f>_xlfn.XLOOKUP(A1992,'[1]Global_Spot Prices'!$B:$B,'[1]Global_Spot Prices'!$D:$D)</f>
        <v>96.295000000000002</v>
      </c>
      <c r="E1992">
        <f>_xlfn.XLOOKUP(A1992,'[1]Global_Spot Prices'!$B:$B,'[1]Global_Spot Prices'!$H:$H)</f>
        <v>70.3</v>
      </c>
      <c r="F1992">
        <f>_xlfn.XLOOKUP(A1992,'[1]Global_Spot Prices'!$B:$B,'[1]Global_Spot Prices'!$I:$I)</f>
        <v>107.8</v>
      </c>
      <c r="G1992" cm="1">
        <f t="array" ref="G1992">_xlfn.XLOOKUP(TEXT(A1992, "mmm-yy"), TEXT([2]RUNS!$B$5:$B$208, "mmm-yy"), [2]RUNS!$D$5:$D$208, "Not Found")</f>
        <v>28703.10817664137</v>
      </c>
      <c r="H1992" cm="1">
        <f t="array" ref="H1992">SUMPRODUCT(
    --(TEXT('[3]Global Weekly Stock (EWSuez'!$B$4:$B$2000,"mmm-yy")=TEXT(A1992,"mmm-yy")),
    '[3]Global Weekly Stock (EWSuez'!$E$4:$E$2000)
/
SUMPRODUCT(
    --(TEXT('[3]Global Weekly Stock (EWSuez'!$B$4:$B$2000,"mmm-yy")=TEXT(A1992,"mmm-yy"))
)</f>
        <v>17011.75</v>
      </c>
      <c r="I1992">
        <f>_xlfn.XLOOKUP(A1992,[1]ForwardDeriv!$D:$D,[1]ForwardDeriv!$AJ:$AJ)</f>
        <v>3.4699999999999989</v>
      </c>
      <c r="J1992" cm="1">
        <f t="array" ref="J1992">_xlfn.XLOOKUP(TEXT(A1992, "mmm-yy"), TEXT([2]GASOLINE!$B$5:$B$208, "mmm-yy"), [2]GASOLINE!$IR$5:$IR$208, "Not Found")</f>
        <v>-328.93910851739849</v>
      </c>
      <c r="K1992" cm="1">
        <f t="array" ref="K1992">_xlfn.XLOOKUP(TEXT(A1992, "mmm-yy"), TEXT([2]GASOLINE!$B$5:$B$208, "mmm-yy"), [2]GASOLINE!$IK$5:$IK$208, "Not Found")</f>
        <v>198.66802536037446</v>
      </c>
      <c r="L1992">
        <f t="shared" si="31"/>
        <v>1</v>
      </c>
      <c r="M1992" cm="1">
        <f t="array" ref="M1992">_xlfn.XLOOKUP(TEXT(A1992, "mmm-yy"), TEXT([2]GASOLINE!$B$5:$B$208, "mmm-yy"), [2]GASOLINE!$C$5:$C$208, "Not Found")</f>
        <v>7279.3877160377479</v>
      </c>
      <c r="N1992" cm="1">
        <f t="array" ref="N1992">_xlfn.XLOOKUP(TEXT(A1992, "mmm-yy"), TEXT([2]RUNS!$B$5:$B$208, "mmm-yy"), [2]RUNS!$BM$5:$BM$208, "Not Found")</f>
        <v>0.78682628583211889</v>
      </c>
    </row>
    <row r="1993" spans="1:14" x14ac:dyDescent="0.25">
      <c r="A1993" s="1">
        <f>'[1]Global_Spot Prices'!$B3302</f>
        <v>44792</v>
      </c>
      <c r="B1993">
        <f>_xlfn.XLOOKUP(A1993,'[1]Global_Spot Prices'!$B:$B,'[1]Global_Spot Prices'!$BS:$BS)</f>
        <v>14.190000000000012</v>
      </c>
      <c r="C1993">
        <f>_xlfn.XLOOKUP(A1993,'[1]Global_Spot Prices'!$B:$B,'[1]Global_Spot Prices'!$E:$E)</f>
        <v>94.35</v>
      </c>
      <c r="D1993">
        <f>_xlfn.XLOOKUP(A1993,'[1]Global_Spot Prices'!$B:$B,'[1]Global_Spot Prices'!$D:$D)</f>
        <v>97.16</v>
      </c>
      <c r="E1993">
        <f>_xlfn.XLOOKUP(A1993,'[1]Global_Spot Prices'!$B:$B,'[1]Global_Spot Prices'!$H:$H)</f>
        <v>71.19</v>
      </c>
      <c r="F1993">
        <f>_xlfn.XLOOKUP(A1993,'[1]Global_Spot Prices'!$B:$B,'[1]Global_Spot Prices'!$I:$I)</f>
        <v>108.54</v>
      </c>
      <c r="G1993" cm="1">
        <f t="array" ref="G1993">_xlfn.XLOOKUP(TEXT(A1993, "mmm-yy"), TEXT([2]RUNS!$B$5:$B$208, "mmm-yy"), [2]RUNS!$D$5:$D$208, "Not Found")</f>
        <v>28703.10817664137</v>
      </c>
      <c r="H1993" cm="1">
        <f t="array" ref="H1993">SUMPRODUCT(
    --(TEXT('[3]Global Weekly Stock (EWSuez'!$B$4:$B$2000,"mmm-yy")=TEXT(A1993,"mmm-yy")),
    '[3]Global Weekly Stock (EWSuez'!$E$4:$E$2000)
/
SUMPRODUCT(
    --(TEXT('[3]Global Weekly Stock (EWSuez'!$B$4:$B$2000,"mmm-yy")=TEXT(A1993,"mmm-yy"))
)</f>
        <v>17011.75</v>
      </c>
      <c r="I1993">
        <f>_xlfn.XLOOKUP(A1993,[1]ForwardDeriv!$D:$D,[1]ForwardDeriv!$AJ:$AJ)</f>
        <v>3.2800000000000011</v>
      </c>
      <c r="J1993" cm="1">
        <f t="array" ref="J1993">_xlfn.XLOOKUP(TEXT(A1993, "mmm-yy"), TEXT([2]GASOLINE!$B$5:$B$208, "mmm-yy"), [2]GASOLINE!$IR$5:$IR$208, "Not Found")</f>
        <v>-328.93910851739849</v>
      </c>
      <c r="K1993" cm="1">
        <f t="array" ref="K1993">_xlfn.XLOOKUP(TEXT(A1993, "mmm-yy"), TEXT([2]GASOLINE!$B$5:$B$208, "mmm-yy"), [2]GASOLINE!$IK$5:$IK$208, "Not Found")</f>
        <v>198.66802536037446</v>
      </c>
      <c r="L1993">
        <f t="shared" si="31"/>
        <v>1</v>
      </c>
      <c r="M1993" cm="1">
        <f t="array" ref="M1993">_xlfn.XLOOKUP(TEXT(A1993, "mmm-yy"), TEXT([2]GASOLINE!$B$5:$B$208, "mmm-yy"), [2]GASOLINE!$C$5:$C$208, "Not Found")</f>
        <v>7279.3877160377479</v>
      </c>
      <c r="N1993" cm="1">
        <f t="array" ref="N1993">_xlfn.XLOOKUP(TEXT(A1993, "mmm-yy"), TEXT([2]RUNS!$B$5:$B$208, "mmm-yy"), [2]RUNS!$BM$5:$BM$208, "Not Found")</f>
        <v>0.78682628583211889</v>
      </c>
    </row>
    <row r="1994" spans="1:14" x14ac:dyDescent="0.25">
      <c r="A1994" s="1">
        <f>'[1]Global_Spot Prices'!$B3303</f>
        <v>44795</v>
      </c>
      <c r="B1994">
        <f>_xlfn.XLOOKUP(A1994,'[1]Global_Spot Prices'!$B:$B,'[1]Global_Spot Prices'!$BS:$BS)</f>
        <v>14.340000000000003</v>
      </c>
      <c r="C1994">
        <f>_xlfn.XLOOKUP(A1994,'[1]Global_Spot Prices'!$B:$B,'[1]Global_Spot Prices'!$E:$E)</f>
        <v>93.95</v>
      </c>
      <c r="D1994">
        <f>_xlfn.XLOOKUP(A1994,'[1]Global_Spot Prices'!$B:$B,'[1]Global_Spot Prices'!$D:$D)</f>
        <v>93.834999999999994</v>
      </c>
      <c r="E1994">
        <f>_xlfn.XLOOKUP(A1994,'[1]Global_Spot Prices'!$B:$B,'[1]Global_Spot Prices'!$H:$H)</f>
        <v>70.260000000000005</v>
      </c>
      <c r="F1994">
        <f>_xlfn.XLOOKUP(A1994,'[1]Global_Spot Prices'!$B:$B,'[1]Global_Spot Prices'!$I:$I)</f>
        <v>108.29</v>
      </c>
      <c r="G1994" cm="1">
        <f t="array" ref="G1994">_xlfn.XLOOKUP(TEXT(A1994, "mmm-yy"), TEXT([2]RUNS!$B$5:$B$208, "mmm-yy"), [2]RUNS!$D$5:$D$208, "Not Found")</f>
        <v>28703.10817664137</v>
      </c>
      <c r="H1994" cm="1">
        <f t="array" ref="H1994">SUMPRODUCT(
    --(TEXT('[3]Global Weekly Stock (EWSuez'!$B$4:$B$2000,"mmm-yy")=TEXT(A1994,"mmm-yy")),
    '[3]Global Weekly Stock (EWSuez'!$E$4:$E$2000)
/
SUMPRODUCT(
    --(TEXT('[3]Global Weekly Stock (EWSuez'!$B$4:$B$2000,"mmm-yy")=TEXT(A1994,"mmm-yy"))
)</f>
        <v>17011.75</v>
      </c>
      <c r="I1994">
        <f>_xlfn.XLOOKUP(A1994,[1]ForwardDeriv!$D:$D,[1]ForwardDeriv!$AJ:$AJ)</f>
        <v>3.5</v>
      </c>
      <c r="J1994" cm="1">
        <f t="array" ref="J1994">_xlfn.XLOOKUP(TEXT(A1994, "mmm-yy"), TEXT([2]GASOLINE!$B$5:$B$208, "mmm-yy"), [2]GASOLINE!$IR$5:$IR$208, "Not Found")</f>
        <v>-328.93910851739849</v>
      </c>
      <c r="K1994" cm="1">
        <f t="array" ref="K1994">_xlfn.XLOOKUP(TEXT(A1994, "mmm-yy"), TEXT([2]GASOLINE!$B$5:$B$208, "mmm-yy"), [2]GASOLINE!$IK$5:$IK$208, "Not Found")</f>
        <v>198.66802536037446</v>
      </c>
      <c r="L1994">
        <f t="shared" si="31"/>
        <v>1</v>
      </c>
      <c r="M1994" cm="1">
        <f t="array" ref="M1994">_xlfn.XLOOKUP(TEXT(A1994, "mmm-yy"), TEXT([2]GASOLINE!$B$5:$B$208, "mmm-yy"), [2]GASOLINE!$C$5:$C$208, "Not Found")</f>
        <v>7279.3877160377479</v>
      </c>
      <c r="N1994" cm="1">
        <f t="array" ref="N1994">_xlfn.XLOOKUP(TEXT(A1994, "mmm-yy"), TEXT([2]RUNS!$B$5:$B$208, "mmm-yy"), [2]RUNS!$BM$5:$BM$208, "Not Found")</f>
        <v>0.78682628583211889</v>
      </c>
    </row>
    <row r="1995" spans="1:14" x14ac:dyDescent="0.25">
      <c r="A1995" s="1">
        <f>'[1]Global_Spot Prices'!$B3304</f>
        <v>44796</v>
      </c>
      <c r="B1995">
        <f>_xlfn.XLOOKUP(A1995,'[1]Global_Spot Prices'!$B:$B,'[1]Global_Spot Prices'!$BS:$BS)</f>
        <v>13.89</v>
      </c>
      <c r="C1995">
        <f>_xlfn.XLOOKUP(A1995,'[1]Global_Spot Prices'!$B:$B,'[1]Global_Spot Prices'!$E:$E)</f>
        <v>96.5</v>
      </c>
      <c r="D1995">
        <f>_xlfn.XLOOKUP(A1995,'[1]Global_Spot Prices'!$B:$B,'[1]Global_Spot Prices'!$D:$D)</f>
        <v>98.43</v>
      </c>
      <c r="E1995">
        <f>_xlfn.XLOOKUP(A1995,'[1]Global_Spot Prices'!$B:$B,'[1]Global_Spot Prices'!$H:$H)</f>
        <v>71.36</v>
      </c>
      <c r="F1995">
        <f>_xlfn.XLOOKUP(A1995,'[1]Global_Spot Prices'!$B:$B,'[1]Global_Spot Prices'!$I:$I)</f>
        <v>110.39</v>
      </c>
      <c r="G1995" cm="1">
        <f t="array" ref="G1995">_xlfn.XLOOKUP(TEXT(A1995, "mmm-yy"), TEXT([2]RUNS!$B$5:$B$208, "mmm-yy"), [2]RUNS!$D$5:$D$208, "Not Found")</f>
        <v>28703.10817664137</v>
      </c>
      <c r="H1995" cm="1">
        <f t="array" ref="H1995">SUMPRODUCT(
    --(TEXT('[3]Global Weekly Stock (EWSuez'!$B$4:$B$2000,"mmm-yy")=TEXT(A1995,"mmm-yy")),
    '[3]Global Weekly Stock (EWSuez'!$E$4:$E$2000)
/
SUMPRODUCT(
    --(TEXT('[3]Global Weekly Stock (EWSuez'!$B$4:$B$2000,"mmm-yy")=TEXT(A1995,"mmm-yy"))
)</f>
        <v>17011.75</v>
      </c>
      <c r="I1995">
        <f>_xlfn.XLOOKUP(A1995,[1]ForwardDeriv!$D:$D,[1]ForwardDeriv!$AJ:$AJ)</f>
        <v>4.0700000000000074</v>
      </c>
      <c r="J1995" cm="1">
        <f t="array" ref="J1995">_xlfn.XLOOKUP(TEXT(A1995, "mmm-yy"), TEXT([2]GASOLINE!$B$5:$B$208, "mmm-yy"), [2]GASOLINE!$IR$5:$IR$208, "Not Found")</f>
        <v>-328.93910851739849</v>
      </c>
      <c r="K1995" cm="1">
        <f t="array" ref="K1995">_xlfn.XLOOKUP(TEXT(A1995, "mmm-yy"), TEXT([2]GASOLINE!$B$5:$B$208, "mmm-yy"), [2]GASOLINE!$IK$5:$IK$208, "Not Found")</f>
        <v>198.66802536037446</v>
      </c>
      <c r="L1995">
        <f t="shared" si="31"/>
        <v>1</v>
      </c>
      <c r="M1995" cm="1">
        <f t="array" ref="M1995">_xlfn.XLOOKUP(TEXT(A1995, "mmm-yy"), TEXT([2]GASOLINE!$B$5:$B$208, "mmm-yy"), [2]GASOLINE!$C$5:$C$208, "Not Found")</f>
        <v>7279.3877160377479</v>
      </c>
      <c r="N1995" cm="1">
        <f t="array" ref="N1995">_xlfn.XLOOKUP(TEXT(A1995, "mmm-yy"), TEXT([2]RUNS!$B$5:$B$208, "mmm-yy"), [2]RUNS!$BM$5:$BM$208, "Not Found")</f>
        <v>0.78682628583211889</v>
      </c>
    </row>
    <row r="1996" spans="1:14" x14ac:dyDescent="0.25">
      <c r="A1996" s="1">
        <f>'[1]Global_Spot Prices'!$B3305</f>
        <v>44797</v>
      </c>
      <c r="B1996">
        <f>_xlfn.XLOOKUP(A1996,'[1]Global_Spot Prices'!$B:$B,'[1]Global_Spot Prices'!$BS:$BS)</f>
        <v>12.439999999999998</v>
      </c>
      <c r="C1996">
        <f>_xlfn.XLOOKUP(A1996,'[1]Global_Spot Prices'!$B:$B,'[1]Global_Spot Prices'!$E:$E)</f>
        <v>99.5</v>
      </c>
      <c r="D1996">
        <f>_xlfn.XLOOKUP(A1996,'[1]Global_Spot Prices'!$B:$B,'[1]Global_Spot Prices'!$D:$D)</f>
        <v>98.89</v>
      </c>
      <c r="E1996">
        <f>_xlfn.XLOOKUP(A1996,'[1]Global_Spot Prices'!$B:$B,'[1]Global_Spot Prices'!$H:$H)</f>
        <v>72.17</v>
      </c>
      <c r="F1996">
        <f>_xlfn.XLOOKUP(A1996,'[1]Global_Spot Prices'!$B:$B,'[1]Global_Spot Prices'!$I:$I)</f>
        <v>111.94</v>
      </c>
      <c r="G1996" cm="1">
        <f t="array" ref="G1996">_xlfn.XLOOKUP(TEXT(A1996, "mmm-yy"), TEXT([2]RUNS!$B$5:$B$208, "mmm-yy"), [2]RUNS!$D$5:$D$208, "Not Found")</f>
        <v>28703.10817664137</v>
      </c>
      <c r="H1996" cm="1">
        <f t="array" ref="H1996">SUMPRODUCT(
    --(TEXT('[3]Global Weekly Stock (EWSuez'!$B$4:$B$2000,"mmm-yy")=TEXT(A1996,"mmm-yy")),
    '[3]Global Weekly Stock (EWSuez'!$E$4:$E$2000)
/
SUMPRODUCT(
    --(TEXT('[3]Global Weekly Stock (EWSuez'!$B$4:$B$2000,"mmm-yy")=TEXT(A1996,"mmm-yy"))
)</f>
        <v>17011.75</v>
      </c>
      <c r="I1996">
        <f>_xlfn.XLOOKUP(A1996,[1]ForwardDeriv!$D:$D,[1]ForwardDeriv!$AJ:$AJ)</f>
        <v>3.480000000000004</v>
      </c>
      <c r="J1996" cm="1">
        <f t="array" ref="J1996">_xlfn.XLOOKUP(TEXT(A1996, "mmm-yy"), TEXT([2]GASOLINE!$B$5:$B$208, "mmm-yy"), [2]GASOLINE!$IR$5:$IR$208, "Not Found")</f>
        <v>-328.93910851739849</v>
      </c>
      <c r="K1996" cm="1">
        <f t="array" ref="K1996">_xlfn.XLOOKUP(TEXT(A1996, "mmm-yy"), TEXT([2]GASOLINE!$B$5:$B$208, "mmm-yy"), [2]GASOLINE!$IK$5:$IK$208, "Not Found")</f>
        <v>198.66802536037446</v>
      </c>
      <c r="L1996">
        <f t="shared" si="31"/>
        <v>1</v>
      </c>
      <c r="M1996" cm="1">
        <f t="array" ref="M1996">_xlfn.XLOOKUP(TEXT(A1996, "mmm-yy"), TEXT([2]GASOLINE!$B$5:$B$208, "mmm-yy"), [2]GASOLINE!$C$5:$C$208, "Not Found")</f>
        <v>7279.3877160377479</v>
      </c>
      <c r="N1996" cm="1">
        <f t="array" ref="N1996">_xlfn.XLOOKUP(TEXT(A1996, "mmm-yy"), TEXT([2]RUNS!$B$5:$B$208, "mmm-yy"), [2]RUNS!$BM$5:$BM$208, "Not Found")</f>
        <v>0.78682628583211889</v>
      </c>
    </row>
    <row r="1997" spans="1:14" x14ac:dyDescent="0.25">
      <c r="A1997" s="1">
        <f>'[1]Global_Spot Prices'!$B3306</f>
        <v>44798</v>
      </c>
      <c r="B1997">
        <f>_xlfn.XLOOKUP(A1997,'[1]Global_Spot Prices'!$B:$B,'[1]Global_Spot Prices'!$BS:$BS)</f>
        <v>9.9399999999999977</v>
      </c>
      <c r="C1997">
        <f>_xlfn.XLOOKUP(A1997,'[1]Global_Spot Prices'!$B:$B,'[1]Global_Spot Prices'!$E:$E)</f>
        <v>99.9</v>
      </c>
      <c r="D1997">
        <f>_xlfn.XLOOKUP(A1997,'[1]Global_Spot Prices'!$B:$B,'[1]Global_Spot Prices'!$D:$D)</f>
        <v>100.035</v>
      </c>
      <c r="E1997">
        <f>_xlfn.XLOOKUP(A1997,'[1]Global_Spot Prices'!$B:$B,'[1]Global_Spot Prices'!$H:$H)</f>
        <v>71.11</v>
      </c>
      <c r="F1997">
        <f>_xlfn.XLOOKUP(A1997,'[1]Global_Spot Prices'!$B:$B,'[1]Global_Spot Prices'!$I:$I)</f>
        <v>109.84</v>
      </c>
      <c r="G1997" cm="1">
        <f t="array" ref="G1997">_xlfn.XLOOKUP(TEXT(A1997, "mmm-yy"), TEXT([2]RUNS!$B$5:$B$208, "mmm-yy"), [2]RUNS!$D$5:$D$208, "Not Found")</f>
        <v>28703.10817664137</v>
      </c>
      <c r="H1997" cm="1">
        <f t="array" ref="H1997">SUMPRODUCT(
    --(TEXT('[3]Global Weekly Stock (EWSuez'!$B$4:$B$2000,"mmm-yy")=TEXT(A1997,"mmm-yy")),
    '[3]Global Weekly Stock (EWSuez'!$E$4:$E$2000)
/
SUMPRODUCT(
    --(TEXT('[3]Global Weekly Stock (EWSuez'!$B$4:$B$2000,"mmm-yy")=TEXT(A1997,"mmm-yy"))
)</f>
        <v>17011.75</v>
      </c>
      <c r="I1997">
        <f>_xlfn.XLOOKUP(A1997,[1]ForwardDeriv!$D:$D,[1]ForwardDeriv!$AJ:$AJ)</f>
        <v>3.7400000000000091</v>
      </c>
      <c r="J1997" cm="1">
        <f t="array" ref="J1997">_xlfn.XLOOKUP(TEXT(A1997, "mmm-yy"), TEXT([2]GASOLINE!$B$5:$B$208, "mmm-yy"), [2]GASOLINE!$IR$5:$IR$208, "Not Found")</f>
        <v>-328.93910851739849</v>
      </c>
      <c r="K1997" cm="1">
        <f t="array" ref="K1997">_xlfn.XLOOKUP(TEXT(A1997, "mmm-yy"), TEXT([2]GASOLINE!$B$5:$B$208, "mmm-yy"), [2]GASOLINE!$IK$5:$IK$208, "Not Found")</f>
        <v>198.66802536037446</v>
      </c>
      <c r="L1997">
        <f t="shared" si="31"/>
        <v>1</v>
      </c>
      <c r="M1997" cm="1">
        <f t="array" ref="M1997">_xlfn.XLOOKUP(TEXT(A1997, "mmm-yy"), TEXT([2]GASOLINE!$B$5:$B$208, "mmm-yy"), [2]GASOLINE!$C$5:$C$208, "Not Found")</f>
        <v>7279.3877160377479</v>
      </c>
      <c r="N1997" cm="1">
        <f t="array" ref="N1997">_xlfn.XLOOKUP(TEXT(A1997, "mmm-yy"), TEXT([2]RUNS!$B$5:$B$208, "mmm-yy"), [2]RUNS!$BM$5:$BM$208, "Not Found")</f>
        <v>0.78682628583211889</v>
      </c>
    </row>
    <row r="1998" spans="1:14" x14ac:dyDescent="0.25">
      <c r="A1998" s="1">
        <f>'[1]Global_Spot Prices'!$B3307</f>
        <v>44799</v>
      </c>
      <c r="B1998">
        <f>_xlfn.XLOOKUP(A1998,'[1]Global_Spot Prices'!$B:$B,'[1]Global_Spot Prices'!$BS:$BS)</f>
        <v>8.5300000000000011</v>
      </c>
      <c r="C1998">
        <f>_xlfn.XLOOKUP(A1998,'[1]Global_Spot Prices'!$B:$B,'[1]Global_Spot Prices'!$E:$E)</f>
        <v>99.65</v>
      </c>
      <c r="D1998">
        <f>_xlfn.XLOOKUP(A1998,'[1]Global_Spot Prices'!$B:$B,'[1]Global_Spot Prices'!$D:$D)</f>
        <v>99.454999999999998</v>
      </c>
      <c r="E1998">
        <f>_xlfn.XLOOKUP(A1998,'[1]Global_Spot Prices'!$B:$B,'[1]Global_Spot Prices'!$H:$H)</f>
        <v>69.47</v>
      </c>
      <c r="F1998">
        <f>_xlfn.XLOOKUP(A1998,'[1]Global_Spot Prices'!$B:$B,'[1]Global_Spot Prices'!$I:$I)</f>
        <v>108.18</v>
      </c>
      <c r="G1998" cm="1">
        <f t="array" ref="G1998">_xlfn.XLOOKUP(TEXT(A1998, "mmm-yy"), TEXT([2]RUNS!$B$5:$B$208, "mmm-yy"), [2]RUNS!$D$5:$D$208, "Not Found")</f>
        <v>28703.10817664137</v>
      </c>
      <c r="H1998" cm="1">
        <f t="array" ref="H1998">SUMPRODUCT(
    --(TEXT('[3]Global Weekly Stock (EWSuez'!$B$4:$B$2000,"mmm-yy")=TEXT(A1998,"mmm-yy")),
    '[3]Global Weekly Stock (EWSuez'!$E$4:$E$2000)
/
SUMPRODUCT(
    --(TEXT('[3]Global Weekly Stock (EWSuez'!$B$4:$B$2000,"mmm-yy")=TEXT(A1998,"mmm-yy"))
)</f>
        <v>17011.75</v>
      </c>
      <c r="I1998">
        <f>_xlfn.XLOOKUP(A1998,[1]ForwardDeriv!$D:$D,[1]ForwardDeriv!$AJ:$AJ)</f>
        <v>3.6800000000000068</v>
      </c>
      <c r="J1998" cm="1">
        <f t="array" ref="J1998">_xlfn.XLOOKUP(TEXT(A1998, "mmm-yy"), TEXT([2]GASOLINE!$B$5:$B$208, "mmm-yy"), [2]GASOLINE!$IR$5:$IR$208, "Not Found")</f>
        <v>-328.93910851739849</v>
      </c>
      <c r="K1998" cm="1">
        <f t="array" ref="K1998">_xlfn.XLOOKUP(TEXT(A1998, "mmm-yy"), TEXT([2]GASOLINE!$B$5:$B$208, "mmm-yy"), [2]GASOLINE!$IK$5:$IK$208, "Not Found")</f>
        <v>198.66802536037446</v>
      </c>
      <c r="L1998">
        <f t="shared" si="31"/>
        <v>1</v>
      </c>
      <c r="M1998" cm="1">
        <f t="array" ref="M1998">_xlfn.XLOOKUP(TEXT(A1998, "mmm-yy"), TEXT([2]GASOLINE!$B$5:$B$208, "mmm-yy"), [2]GASOLINE!$C$5:$C$208, "Not Found")</f>
        <v>7279.3877160377479</v>
      </c>
      <c r="N1998" cm="1">
        <f t="array" ref="N1998">_xlfn.XLOOKUP(TEXT(A1998, "mmm-yy"), TEXT([2]RUNS!$B$5:$B$208, "mmm-yy"), [2]RUNS!$BM$5:$BM$208, "Not Found")</f>
        <v>0.78682628583211889</v>
      </c>
    </row>
    <row r="1999" spans="1:14" x14ac:dyDescent="0.25">
      <c r="A1999" s="1">
        <f>'[1]Global_Spot Prices'!$B3308</f>
        <v>44802</v>
      </c>
      <c r="B1999">
        <f>_xlfn.XLOOKUP(A1999,'[1]Global_Spot Prices'!$B:$B,'[1]Global_Spot Prices'!$BS:$BS)</f>
        <v>8.0200000000000102</v>
      </c>
      <c r="C1999">
        <f>_xlfn.XLOOKUP(A1999,'[1]Global_Spot Prices'!$B:$B,'[1]Global_Spot Prices'!$E:$E)</f>
        <v>100.16</v>
      </c>
      <c r="D1999" t="str">
        <f>_xlfn.XLOOKUP(A1999,'[1]Global_Spot Prices'!$B:$B,'[1]Global_Spot Prices'!$D:$D)</f>
        <v/>
      </c>
      <c r="E1999">
        <f>_xlfn.XLOOKUP(A1999,'[1]Global_Spot Prices'!$B:$B,'[1]Global_Spot Prices'!$H:$H)</f>
        <v>69.930000000000007</v>
      </c>
      <c r="F1999">
        <f>_xlfn.XLOOKUP(A1999,'[1]Global_Spot Prices'!$B:$B,'[1]Global_Spot Prices'!$I:$I)</f>
        <v>108.18</v>
      </c>
      <c r="G1999" cm="1">
        <f t="array" ref="G1999">_xlfn.XLOOKUP(TEXT(A1999, "mmm-yy"), TEXT([2]RUNS!$B$5:$B$208, "mmm-yy"), [2]RUNS!$D$5:$D$208, "Not Found")</f>
        <v>28703.10817664137</v>
      </c>
      <c r="H1999" cm="1">
        <f t="array" ref="H1999">SUMPRODUCT(
    --(TEXT('[3]Global Weekly Stock (EWSuez'!$B$4:$B$2000,"mmm-yy")=TEXT(A1999,"mmm-yy")),
    '[3]Global Weekly Stock (EWSuez'!$E$4:$E$2000)
/
SUMPRODUCT(
    --(TEXT('[3]Global Weekly Stock (EWSuez'!$B$4:$B$2000,"mmm-yy")=TEXT(A1999,"mmm-yy"))
)</f>
        <v>17011.75</v>
      </c>
      <c r="I1999">
        <f>_xlfn.XLOOKUP(A1999,[1]ForwardDeriv!$D:$D,[1]ForwardDeriv!$AJ:$AJ)</f>
        <v>3.730000000000004</v>
      </c>
      <c r="J1999" cm="1">
        <f t="array" ref="J1999">_xlfn.XLOOKUP(TEXT(A1999, "mmm-yy"), TEXT([2]GASOLINE!$B$5:$B$208, "mmm-yy"), [2]GASOLINE!$IR$5:$IR$208, "Not Found")</f>
        <v>-328.93910851739849</v>
      </c>
      <c r="K1999" cm="1">
        <f t="array" ref="K1999">_xlfn.XLOOKUP(TEXT(A1999, "mmm-yy"), TEXT([2]GASOLINE!$B$5:$B$208, "mmm-yy"), [2]GASOLINE!$IK$5:$IK$208, "Not Found")</f>
        <v>198.66802536037446</v>
      </c>
      <c r="L1999">
        <f t="shared" si="31"/>
        <v>1</v>
      </c>
      <c r="M1999" cm="1">
        <f t="array" ref="M1999">_xlfn.XLOOKUP(TEXT(A1999, "mmm-yy"), TEXT([2]GASOLINE!$B$5:$B$208, "mmm-yy"), [2]GASOLINE!$C$5:$C$208, "Not Found")</f>
        <v>7279.3877160377479</v>
      </c>
      <c r="N1999" cm="1">
        <f t="array" ref="N1999">_xlfn.XLOOKUP(TEXT(A1999, "mmm-yy"), TEXT([2]RUNS!$B$5:$B$208, "mmm-yy"), [2]RUNS!$BM$5:$BM$208, "Not Found")</f>
        <v>0.78682628583211889</v>
      </c>
    </row>
    <row r="2000" spans="1:14" x14ac:dyDescent="0.25">
      <c r="A2000" s="1">
        <f>'[1]Global_Spot Prices'!$B3309</f>
        <v>44803</v>
      </c>
      <c r="B2000">
        <f>_xlfn.XLOOKUP(A2000,'[1]Global_Spot Prices'!$B:$B,'[1]Global_Spot Prices'!$BS:$BS)</f>
        <v>5.7199999999999989</v>
      </c>
      <c r="C2000">
        <f>_xlfn.XLOOKUP(A2000,'[1]Global_Spot Prices'!$B:$B,'[1]Global_Spot Prices'!$E:$E)</f>
        <v>102.8</v>
      </c>
      <c r="D2000">
        <f>_xlfn.XLOOKUP(A2000,'[1]Global_Spot Prices'!$B:$B,'[1]Global_Spot Prices'!$D:$D)</f>
        <v>99.665000000000006</v>
      </c>
      <c r="E2000">
        <f>_xlfn.XLOOKUP(A2000,'[1]Global_Spot Prices'!$B:$B,'[1]Global_Spot Prices'!$H:$H)</f>
        <v>70.47</v>
      </c>
      <c r="F2000">
        <f>_xlfn.XLOOKUP(A2000,'[1]Global_Spot Prices'!$B:$B,'[1]Global_Spot Prices'!$I:$I)</f>
        <v>108.52</v>
      </c>
      <c r="G2000" cm="1">
        <f t="array" ref="G2000">_xlfn.XLOOKUP(TEXT(A2000, "mmm-yy"), TEXT([2]RUNS!$B$5:$B$208, "mmm-yy"), [2]RUNS!$D$5:$D$208, "Not Found")</f>
        <v>28703.10817664137</v>
      </c>
      <c r="H2000" cm="1">
        <f t="array" ref="H2000">SUMPRODUCT(
    --(TEXT('[3]Global Weekly Stock (EWSuez'!$B$4:$B$2000,"mmm-yy")=TEXT(A2000,"mmm-yy")),
    '[3]Global Weekly Stock (EWSuez'!$E$4:$E$2000)
/
SUMPRODUCT(
    --(TEXT('[3]Global Weekly Stock (EWSuez'!$B$4:$B$2000,"mmm-yy")=TEXT(A2000,"mmm-yy"))
)</f>
        <v>17011.75</v>
      </c>
      <c r="I2000">
        <f>_xlfn.XLOOKUP(A2000,[1]ForwardDeriv!$D:$D,[1]ForwardDeriv!$AJ:$AJ)</f>
        <v>3.2000000000000028</v>
      </c>
      <c r="J2000" cm="1">
        <f t="array" ref="J2000">_xlfn.XLOOKUP(TEXT(A2000, "mmm-yy"), TEXT([2]GASOLINE!$B$5:$B$208, "mmm-yy"), [2]GASOLINE!$IR$5:$IR$208, "Not Found")</f>
        <v>-328.93910851739849</v>
      </c>
      <c r="K2000" cm="1">
        <f t="array" ref="K2000">_xlfn.XLOOKUP(TEXT(A2000, "mmm-yy"), TEXT([2]GASOLINE!$B$5:$B$208, "mmm-yy"), [2]GASOLINE!$IK$5:$IK$208, "Not Found")</f>
        <v>198.66802536037446</v>
      </c>
      <c r="L2000">
        <f t="shared" si="31"/>
        <v>1</v>
      </c>
      <c r="M2000" cm="1">
        <f t="array" ref="M2000">_xlfn.XLOOKUP(TEXT(A2000, "mmm-yy"), TEXT([2]GASOLINE!$B$5:$B$208, "mmm-yy"), [2]GASOLINE!$C$5:$C$208, "Not Found")</f>
        <v>7279.3877160377479</v>
      </c>
      <c r="N2000" cm="1">
        <f t="array" ref="N2000">_xlfn.XLOOKUP(TEXT(A2000, "mmm-yy"), TEXT([2]RUNS!$B$5:$B$208, "mmm-yy"), [2]RUNS!$BM$5:$BM$208, "Not Found")</f>
        <v>0.78682628583211889</v>
      </c>
    </row>
    <row r="2001" spans="1:14" x14ac:dyDescent="0.25">
      <c r="A2001" s="1">
        <f>'[1]Global_Spot Prices'!$B3310</f>
        <v>44804</v>
      </c>
      <c r="B2001">
        <f>_xlfn.XLOOKUP(A2001,'[1]Global_Spot Prices'!$B:$B,'[1]Global_Spot Prices'!$BS:$BS)</f>
        <v>-0.53999999999999204</v>
      </c>
      <c r="C2001">
        <f>_xlfn.XLOOKUP(A2001,'[1]Global_Spot Prices'!$B:$B,'[1]Global_Spot Prices'!$E:$E)</f>
        <v>97.85</v>
      </c>
      <c r="D2001">
        <f>_xlfn.XLOOKUP(A2001,'[1]Global_Spot Prices'!$B:$B,'[1]Global_Spot Prices'!$D:$D)</f>
        <v>96.674999999999997</v>
      </c>
      <c r="E2001">
        <f>_xlfn.XLOOKUP(A2001,'[1]Global_Spot Prices'!$B:$B,'[1]Global_Spot Prices'!$H:$H)</f>
        <v>65.58</v>
      </c>
      <c r="F2001">
        <f>_xlfn.XLOOKUP(A2001,'[1]Global_Spot Prices'!$B:$B,'[1]Global_Spot Prices'!$I:$I)</f>
        <v>97.31</v>
      </c>
      <c r="G2001" cm="1">
        <f t="array" ref="G2001">_xlfn.XLOOKUP(TEXT(A2001, "mmm-yy"), TEXT([2]RUNS!$B$5:$B$208, "mmm-yy"), [2]RUNS!$D$5:$D$208, "Not Found")</f>
        <v>28703.10817664137</v>
      </c>
      <c r="H2001" cm="1">
        <f t="array" ref="H2001">SUMPRODUCT(
    --(TEXT('[3]Global Weekly Stock (EWSuez'!$B$4:$B$2000,"mmm-yy")=TEXT(A2001,"mmm-yy")),
    '[3]Global Weekly Stock (EWSuez'!$E$4:$E$2000)
/
SUMPRODUCT(
    --(TEXT('[3]Global Weekly Stock (EWSuez'!$B$4:$B$2000,"mmm-yy")=TEXT(A2001,"mmm-yy"))
)</f>
        <v>17011.75</v>
      </c>
      <c r="I2001">
        <f>_xlfn.XLOOKUP(A2001,[1]ForwardDeriv!$D:$D,[1]ForwardDeriv!$AJ:$AJ)</f>
        <v>2.1299999999999955</v>
      </c>
      <c r="J2001" cm="1">
        <f t="array" ref="J2001">_xlfn.XLOOKUP(TEXT(A2001, "mmm-yy"), TEXT([2]GASOLINE!$B$5:$B$208, "mmm-yy"), [2]GASOLINE!$IR$5:$IR$208, "Not Found")</f>
        <v>-328.93910851739849</v>
      </c>
      <c r="K2001" cm="1">
        <f t="array" ref="K2001">_xlfn.XLOOKUP(TEXT(A2001, "mmm-yy"), TEXT([2]GASOLINE!$B$5:$B$208, "mmm-yy"), [2]GASOLINE!$IK$5:$IK$208, "Not Found")</f>
        <v>198.66802536037446</v>
      </c>
      <c r="L2001">
        <f t="shared" si="31"/>
        <v>1</v>
      </c>
      <c r="M2001" cm="1">
        <f t="array" ref="M2001">_xlfn.XLOOKUP(TEXT(A2001, "mmm-yy"), TEXT([2]GASOLINE!$B$5:$B$208, "mmm-yy"), [2]GASOLINE!$C$5:$C$208, "Not Found")</f>
        <v>7279.3877160377479</v>
      </c>
      <c r="N2001" cm="1">
        <f t="array" ref="N2001">_xlfn.XLOOKUP(TEXT(A2001, "mmm-yy"), TEXT([2]RUNS!$B$5:$B$208, "mmm-yy"), [2]RUNS!$BM$5:$BM$208, "Not Found")</f>
        <v>0.78682628583211889</v>
      </c>
    </row>
    <row r="2002" spans="1:14" x14ac:dyDescent="0.25">
      <c r="A2002" s="1">
        <f>'[1]Global_Spot Prices'!$B3311</f>
        <v>44805</v>
      </c>
      <c r="B2002">
        <f>_xlfn.XLOOKUP(A2002,'[1]Global_Spot Prices'!$B:$B,'[1]Global_Spot Prices'!$BS:$BS)</f>
        <v>-0.62000000000000455</v>
      </c>
      <c r="C2002">
        <f>_xlfn.XLOOKUP(A2002,'[1]Global_Spot Prices'!$B:$B,'[1]Global_Spot Prices'!$E:$E)</f>
        <v>93.95</v>
      </c>
      <c r="D2002">
        <f>_xlfn.XLOOKUP(A2002,'[1]Global_Spot Prices'!$B:$B,'[1]Global_Spot Prices'!$D:$D)</f>
        <v>92.58</v>
      </c>
      <c r="E2002">
        <f>_xlfn.XLOOKUP(A2002,'[1]Global_Spot Prices'!$B:$B,'[1]Global_Spot Prices'!$H:$H)</f>
        <v>66.47</v>
      </c>
      <c r="F2002">
        <f>_xlfn.XLOOKUP(A2002,'[1]Global_Spot Prices'!$B:$B,'[1]Global_Spot Prices'!$I:$I)</f>
        <v>93.33</v>
      </c>
      <c r="G2002" cm="1">
        <f t="array" ref="G2002">_xlfn.XLOOKUP(TEXT(A2002, "mmm-yy"), TEXT([2]RUNS!$B$5:$B$208, "mmm-yy"), [2]RUNS!$D$5:$D$208, "Not Found")</f>
        <v>29654.646235810134</v>
      </c>
      <c r="H2002" cm="1">
        <f t="array" ref="H2002">SUMPRODUCT(
    --(TEXT('[3]Global Weekly Stock (EWSuez'!$B$4:$B$2000,"mmm-yy")=TEXT(A2002,"mmm-yy")),
    '[3]Global Weekly Stock (EWSuez'!$E$4:$E$2000)
/
SUMPRODUCT(
    --(TEXT('[3]Global Weekly Stock (EWSuez'!$B$4:$B$2000,"mmm-yy")=TEXT(A2002,"mmm-yy"))
)</f>
        <v>15690.6</v>
      </c>
      <c r="I2002">
        <f>_xlfn.XLOOKUP(A2002,[1]ForwardDeriv!$D:$D,[1]ForwardDeriv!$AJ:$AJ)</f>
        <v>0.70000000000000284</v>
      </c>
      <c r="J2002" cm="1">
        <f t="array" ref="J2002">_xlfn.XLOOKUP(TEXT(A2002, "mmm-yy"), TEXT([2]GASOLINE!$B$5:$B$208, "mmm-yy"), [2]GASOLINE!$IR$5:$IR$208, "Not Found")</f>
        <v>-404.02440981058152</v>
      </c>
      <c r="K2002" cm="1">
        <f t="array" ref="K2002">_xlfn.XLOOKUP(TEXT(A2002, "mmm-yy"), TEXT([2]GASOLINE!$B$5:$B$208, "mmm-yy"), [2]GASOLINE!$IK$5:$IK$208, "Not Found")</f>
        <v>196.04446180173062</v>
      </c>
      <c r="L2002">
        <f t="shared" si="31"/>
        <v>1</v>
      </c>
      <c r="M2002" cm="1">
        <f t="array" ref="M2002">_xlfn.XLOOKUP(TEXT(A2002, "mmm-yy"), TEXT([2]GASOLINE!$B$5:$B$208, "mmm-yy"), [2]GASOLINE!$C$5:$C$208, "Not Found")</f>
        <v>7340.0965174500834</v>
      </c>
      <c r="N2002" cm="1">
        <f t="array" ref="N2002">_xlfn.XLOOKUP(TEXT(A2002, "mmm-yy"), TEXT([2]RUNS!$B$5:$B$208, "mmm-yy"), [2]RUNS!$BM$5:$BM$208, "Not Found")</f>
        <v>0.81291040021848182</v>
      </c>
    </row>
    <row r="2003" spans="1:14" x14ac:dyDescent="0.25">
      <c r="A2003" s="1">
        <f>'[1]Global_Spot Prices'!$B3312</f>
        <v>44806</v>
      </c>
      <c r="B2003">
        <f>_xlfn.XLOOKUP(A2003,'[1]Global_Spot Prices'!$B:$B,'[1]Global_Spot Prices'!$BS:$BS)</f>
        <v>3.5799999999999983</v>
      </c>
      <c r="C2003">
        <f>_xlfn.XLOOKUP(A2003,'[1]Global_Spot Prices'!$B:$B,'[1]Global_Spot Prices'!$E:$E)</f>
        <v>94.75</v>
      </c>
      <c r="D2003">
        <f>_xlfn.XLOOKUP(A2003,'[1]Global_Spot Prices'!$B:$B,'[1]Global_Spot Prices'!$D:$D)</f>
        <v>94.17</v>
      </c>
      <c r="E2003">
        <f>_xlfn.XLOOKUP(A2003,'[1]Global_Spot Prices'!$B:$B,'[1]Global_Spot Prices'!$H:$H)</f>
        <v>68.8</v>
      </c>
      <c r="F2003">
        <f>_xlfn.XLOOKUP(A2003,'[1]Global_Spot Prices'!$B:$B,'[1]Global_Spot Prices'!$I:$I)</f>
        <v>98.33</v>
      </c>
      <c r="G2003" cm="1">
        <f t="array" ref="G2003">_xlfn.XLOOKUP(TEXT(A2003, "mmm-yy"), TEXT([2]RUNS!$B$5:$B$208, "mmm-yy"), [2]RUNS!$D$5:$D$208, "Not Found")</f>
        <v>29654.646235810134</v>
      </c>
      <c r="H2003" cm="1">
        <f t="array" ref="H2003">SUMPRODUCT(
    --(TEXT('[3]Global Weekly Stock (EWSuez'!$B$4:$B$2000,"mmm-yy")=TEXT(A2003,"mmm-yy")),
    '[3]Global Weekly Stock (EWSuez'!$E$4:$E$2000)
/
SUMPRODUCT(
    --(TEXT('[3]Global Weekly Stock (EWSuez'!$B$4:$B$2000,"mmm-yy")=TEXT(A2003,"mmm-yy"))
)</f>
        <v>15690.6</v>
      </c>
      <c r="I2003">
        <f>_xlfn.XLOOKUP(A2003,[1]ForwardDeriv!$D:$D,[1]ForwardDeriv!$AJ:$AJ)</f>
        <v>1.6000000000000085</v>
      </c>
      <c r="J2003" cm="1">
        <f t="array" ref="J2003">_xlfn.XLOOKUP(TEXT(A2003, "mmm-yy"), TEXT([2]GASOLINE!$B$5:$B$208, "mmm-yy"), [2]GASOLINE!$IR$5:$IR$208, "Not Found")</f>
        <v>-404.02440981058152</v>
      </c>
      <c r="K2003" cm="1">
        <f t="array" ref="K2003">_xlfn.XLOOKUP(TEXT(A2003, "mmm-yy"), TEXT([2]GASOLINE!$B$5:$B$208, "mmm-yy"), [2]GASOLINE!$IK$5:$IK$208, "Not Found")</f>
        <v>196.04446180173062</v>
      </c>
      <c r="L2003">
        <f t="shared" si="31"/>
        <v>1</v>
      </c>
      <c r="M2003" cm="1">
        <f t="array" ref="M2003">_xlfn.XLOOKUP(TEXT(A2003, "mmm-yy"), TEXT([2]GASOLINE!$B$5:$B$208, "mmm-yy"), [2]GASOLINE!$C$5:$C$208, "Not Found")</f>
        <v>7340.0965174500834</v>
      </c>
      <c r="N2003" cm="1">
        <f t="array" ref="N2003">_xlfn.XLOOKUP(TEXT(A2003, "mmm-yy"), TEXT([2]RUNS!$B$5:$B$208, "mmm-yy"), [2]RUNS!$BM$5:$BM$208, "Not Found")</f>
        <v>0.81291040021848182</v>
      </c>
    </row>
    <row r="2004" spans="1:14" x14ac:dyDescent="0.25">
      <c r="A2004" s="1">
        <f>'[1]Global_Spot Prices'!$B3313</f>
        <v>44809</v>
      </c>
      <c r="B2004">
        <f>_xlfn.XLOOKUP(A2004,'[1]Global_Spot Prices'!$B:$B,'[1]Global_Spot Prices'!$BS:$BS)</f>
        <v>4.3799999999999955</v>
      </c>
      <c r="C2004">
        <f>_xlfn.XLOOKUP(A2004,'[1]Global_Spot Prices'!$B:$B,'[1]Global_Spot Prices'!$E:$E)</f>
        <v>95.34</v>
      </c>
      <c r="D2004">
        <f>_xlfn.XLOOKUP(A2004,'[1]Global_Spot Prices'!$B:$B,'[1]Global_Spot Prices'!$D:$D)</f>
        <v>94.784999999999997</v>
      </c>
      <c r="E2004">
        <f>_xlfn.XLOOKUP(A2004,'[1]Global_Spot Prices'!$B:$B,'[1]Global_Spot Prices'!$H:$H)</f>
        <v>68.37</v>
      </c>
      <c r="F2004">
        <f>_xlfn.XLOOKUP(A2004,'[1]Global_Spot Prices'!$B:$B,'[1]Global_Spot Prices'!$I:$I)</f>
        <v>99.72</v>
      </c>
      <c r="G2004" cm="1">
        <f t="array" ref="G2004">_xlfn.XLOOKUP(TEXT(A2004, "mmm-yy"), TEXT([2]RUNS!$B$5:$B$208, "mmm-yy"), [2]RUNS!$D$5:$D$208, "Not Found")</f>
        <v>29654.646235810134</v>
      </c>
      <c r="H2004" cm="1">
        <f t="array" ref="H2004">SUMPRODUCT(
    --(TEXT('[3]Global Weekly Stock (EWSuez'!$B$4:$B$2000,"mmm-yy")=TEXT(A2004,"mmm-yy")),
    '[3]Global Weekly Stock (EWSuez'!$E$4:$E$2000)
/
SUMPRODUCT(
    --(TEXT('[3]Global Weekly Stock (EWSuez'!$B$4:$B$2000,"mmm-yy")=TEXT(A2004,"mmm-yy"))
)</f>
        <v>15690.6</v>
      </c>
      <c r="I2004">
        <f>_xlfn.XLOOKUP(A2004,[1]ForwardDeriv!$D:$D,[1]ForwardDeriv!$AJ:$AJ)</f>
        <v>2.25</v>
      </c>
      <c r="J2004" cm="1">
        <f t="array" ref="J2004">_xlfn.XLOOKUP(TEXT(A2004, "mmm-yy"), TEXT([2]GASOLINE!$B$5:$B$208, "mmm-yy"), [2]GASOLINE!$IR$5:$IR$208, "Not Found")</f>
        <v>-404.02440981058152</v>
      </c>
      <c r="K2004" cm="1">
        <f t="array" ref="K2004">_xlfn.XLOOKUP(TEXT(A2004, "mmm-yy"), TEXT([2]GASOLINE!$B$5:$B$208, "mmm-yy"), [2]GASOLINE!$IK$5:$IK$208, "Not Found")</f>
        <v>196.04446180173062</v>
      </c>
      <c r="L2004">
        <f t="shared" si="31"/>
        <v>1</v>
      </c>
      <c r="M2004" cm="1">
        <f t="array" ref="M2004">_xlfn.XLOOKUP(TEXT(A2004, "mmm-yy"), TEXT([2]GASOLINE!$B$5:$B$208, "mmm-yy"), [2]GASOLINE!$C$5:$C$208, "Not Found")</f>
        <v>7340.0965174500834</v>
      </c>
      <c r="N2004" cm="1">
        <f t="array" ref="N2004">_xlfn.XLOOKUP(TEXT(A2004, "mmm-yy"), TEXT([2]RUNS!$B$5:$B$208, "mmm-yy"), [2]RUNS!$BM$5:$BM$208, "Not Found")</f>
        <v>0.81291040021848182</v>
      </c>
    </row>
    <row r="2005" spans="1:14" x14ac:dyDescent="0.25">
      <c r="A2005" s="1">
        <f>'[1]Global_Spot Prices'!$B3314</f>
        <v>44810</v>
      </c>
      <c r="B2005">
        <f>_xlfn.XLOOKUP(A2005,'[1]Global_Spot Prices'!$B:$B,'[1]Global_Spot Prices'!$BS:$BS)</f>
        <v>5.6900000000000119</v>
      </c>
      <c r="C2005">
        <f>_xlfn.XLOOKUP(A2005,'[1]Global_Spot Prices'!$B:$B,'[1]Global_Spot Prices'!$E:$E)</f>
        <v>95.21</v>
      </c>
      <c r="D2005">
        <f>_xlfn.XLOOKUP(A2005,'[1]Global_Spot Prices'!$B:$B,'[1]Global_Spot Prices'!$D:$D)</f>
        <v>92.165000000000006</v>
      </c>
      <c r="E2005">
        <f>_xlfn.XLOOKUP(A2005,'[1]Global_Spot Prices'!$B:$B,'[1]Global_Spot Prices'!$H:$H)</f>
        <v>68.62</v>
      </c>
      <c r="F2005">
        <f>_xlfn.XLOOKUP(A2005,'[1]Global_Spot Prices'!$B:$B,'[1]Global_Spot Prices'!$I:$I)</f>
        <v>100.9</v>
      </c>
      <c r="G2005" cm="1">
        <f t="array" ref="G2005">_xlfn.XLOOKUP(TEXT(A2005, "mmm-yy"), TEXT([2]RUNS!$B$5:$B$208, "mmm-yy"), [2]RUNS!$D$5:$D$208, "Not Found")</f>
        <v>29654.646235810134</v>
      </c>
      <c r="H2005" cm="1">
        <f t="array" ref="H2005">SUMPRODUCT(
    --(TEXT('[3]Global Weekly Stock (EWSuez'!$B$4:$B$2000,"mmm-yy")=TEXT(A2005,"mmm-yy")),
    '[3]Global Weekly Stock (EWSuez'!$E$4:$E$2000)
/
SUMPRODUCT(
    --(TEXT('[3]Global Weekly Stock (EWSuez'!$B$4:$B$2000,"mmm-yy")=TEXT(A2005,"mmm-yy"))
)</f>
        <v>15690.6</v>
      </c>
      <c r="I2005">
        <f>_xlfn.XLOOKUP(A2005,[1]ForwardDeriv!$D:$D,[1]ForwardDeriv!$AJ:$AJ)</f>
        <v>2.9500000000000028</v>
      </c>
      <c r="J2005" cm="1">
        <f t="array" ref="J2005">_xlfn.XLOOKUP(TEXT(A2005, "mmm-yy"), TEXT([2]GASOLINE!$B$5:$B$208, "mmm-yy"), [2]GASOLINE!$IR$5:$IR$208, "Not Found")</f>
        <v>-404.02440981058152</v>
      </c>
      <c r="K2005" cm="1">
        <f t="array" ref="K2005">_xlfn.XLOOKUP(TEXT(A2005, "mmm-yy"), TEXT([2]GASOLINE!$B$5:$B$208, "mmm-yy"), [2]GASOLINE!$IK$5:$IK$208, "Not Found")</f>
        <v>196.04446180173062</v>
      </c>
      <c r="L2005">
        <f t="shared" si="31"/>
        <v>1</v>
      </c>
      <c r="M2005" cm="1">
        <f t="array" ref="M2005">_xlfn.XLOOKUP(TEXT(A2005, "mmm-yy"), TEXT([2]GASOLINE!$B$5:$B$208, "mmm-yy"), [2]GASOLINE!$C$5:$C$208, "Not Found")</f>
        <v>7340.0965174500834</v>
      </c>
      <c r="N2005" cm="1">
        <f t="array" ref="N2005">_xlfn.XLOOKUP(TEXT(A2005, "mmm-yy"), TEXT([2]RUNS!$B$5:$B$208, "mmm-yy"), [2]RUNS!$BM$5:$BM$208, "Not Found")</f>
        <v>0.81291040021848182</v>
      </c>
    </row>
    <row r="2006" spans="1:14" x14ac:dyDescent="0.25">
      <c r="A2006" s="1">
        <f>'[1]Global_Spot Prices'!$B3315</f>
        <v>44811</v>
      </c>
      <c r="B2006">
        <f>_xlfn.XLOOKUP(A2006,'[1]Global_Spot Prices'!$B:$B,'[1]Global_Spot Prices'!$BS:$BS)</f>
        <v>7.2199999999999989</v>
      </c>
      <c r="C2006">
        <f>_xlfn.XLOOKUP(A2006,'[1]Global_Spot Prices'!$B:$B,'[1]Global_Spot Prices'!$E:$E)</f>
        <v>92.2</v>
      </c>
      <c r="D2006">
        <f>_xlfn.XLOOKUP(A2006,'[1]Global_Spot Prices'!$B:$B,'[1]Global_Spot Prices'!$D:$D)</f>
        <v>88.18</v>
      </c>
      <c r="E2006">
        <f>_xlfn.XLOOKUP(A2006,'[1]Global_Spot Prices'!$B:$B,'[1]Global_Spot Prices'!$H:$H)</f>
        <v>66.77</v>
      </c>
      <c r="F2006">
        <f>_xlfn.XLOOKUP(A2006,'[1]Global_Spot Prices'!$B:$B,'[1]Global_Spot Prices'!$I:$I)</f>
        <v>99.42</v>
      </c>
      <c r="G2006" cm="1">
        <f t="array" ref="G2006">_xlfn.XLOOKUP(TEXT(A2006, "mmm-yy"), TEXT([2]RUNS!$B$5:$B$208, "mmm-yy"), [2]RUNS!$D$5:$D$208, "Not Found")</f>
        <v>29654.646235810134</v>
      </c>
      <c r="H2006" cm="1">
        <f t="array" ref="H2006">SUMPRODUCT(
    --(TEXT('[3]Global Weekly Stock (EWSuez'!$B$4:$B$2000,"mmm-yy")=TEXT(A2006,"mmm-yy")),
    '[3]Global Weekly Stock (EWSuez'!$E$4:$E$2000)
/
SUMPRODUCT(
    --(TEXT('[3]Global Weekly Stock (EWSuez'!$B$4:$B$2000,"mmm-yy")=TEXT(A2006,"mmm-yy"))
)</f>
        <v>15690.6</v>
      </c>
      <c r="I2006">
        <f>_xlfn.XLOOKUP(A2006,[1]ForwardDeriv!$D:$D,[1]ForwardDeriv!$AJ:$AJ)</f>
        <v>3.0799999999999983</v>
      </c>
      <c r="J2006" cm="1">
        <f t="array" ref="J2006">_xlfn.XLOOKUP(TEXT(A2006, "mmm-yy"), TEXT([2]GASOLINE!$B$5:$B$208, "mmm-yy"), [2]GASOLINE!$IR$5:$IR$208, "Not Found")</f>
        <v>-404.02440981058152</v>
      </c>
      <c r="K2006" cm="1">
        <f t="array" ref="K2006">_xlfn.XLOOKUP(TEXT(A2006, "mmm-yy"), TEXT([2]GASOLINE!$B$5:$B$208, "mmm-yy"), [2]GASOLINE!$IK$5:$IK$208, "Not Found")</f>
        <v>196.04446180173062</v>
      </c>
      <c r="L2006">
        <f t="shared" si="31"/>
        <v>1</v>
      </c>
      <c r="M2006" cm="1">
        <f t="array" ref="M2006">_xlfn.XLOOKUP(TEXT(A2006, "mmm-yy"), TEXT([2]GASOLINE!$B$5:$B$208, "mmm-yy"), [2]GASOLINE!$C$5:$C$208, "Not Found")</f>
        <v>7340.0965174500834</v>
      </c>
      <c r="N2006" cm="1">
        <f t="array" ref="N2006">_xlfn.XLOOKUP(TEXT(A2006, "mmm-yy"), TEXT([2]RUNS!$B$5:$B$208, "mmm-yy"), [2]RUNS!$BM$5:$BM$208, "Not Found")</f>
        <v>0.81291040021848182</v>
      </c>
    </row>
    <row r="2007" spans="1:14" x14ac:dyDescent="0.25">
      <c r="A2007" s="1">
        <f>'[1]Global_Spot Prices'!$B3316</f>
        <v>44812</v>
      </c>
      <c r="B2007">
        <f>_xlfn.XLOOKUP(A2007,'[1]Global_Spot Prices'!$B:$B,'[1]Global_Spot Prices'!$BS:$BS)</f>
        <v>6.1099999999999994</v>
      </c>
      <c r="C2007">
        <f>_xlfn.XLOOKUP(A2007,'[1]Global_Spot Prices'!$B:$B,'[1]Global_Spot Prices'!$E:$E)</f>
        <v>88</v>
      </c>
      <c r="D2007">
        <f>_xlfn.XLOOKUP(A2007,'[1]Global_Spot Prices'!$B:$B,'[1]Global_Spot Prices'!$D:$D)</f>
        <v>87.775000000000006</v>
      </c>
      <c r="E2007">
        <f>_xlfn.XLOOKUP(A2007,'[1]Global_Spot Prices'!$B:$B,'[1]Global_Spot Prices'!$H:$H)</f>
        <v>62.62</v>
      </c>
      <c r="F2007">
        <f>_xlfn.XLOOKUP(A2007,'[1]Global_Spot Prices'!$B:$B,'[1]Global_Spot Prices'!$I:$I)</f>
        <v>94.11</v>
      </c>
      <c r="G2007" cm="1">
        <f t="array" ref="G2007">_xlfn.XLOOKUP(TEXT(A2007, "mmm-yy"), TEXT([2]RUNS!$B$5:$B$208, "mmm-yy"), [2]RUNS!$D$5:$D$208, "Not Found")</f>
        <v>29654.646235810134</v>
      </c>
      <c r="H2007" cm="1">
        <f t="array" ref="H2007">SUMPRODUCT(
    --(TEXT('[3]Global Weekly Stock (EWSuez'!$B$4:$B$2000,"mmm-yy")=TEXT(A2007,"mmm-yy")),
    '[3]Global Weekly Stock (EWSuez'!$E$4:$E$2000)
/
SUMPRODUCT(
    --(TEXT('[3]Global Weekly Stock (EWSuez'!$B$4:$B$2000,"mmm-yy")=TEXT(A2007,"mmm-yy"))
)</f>
        <v>15690.6</v>
      </c>
      <c r="I2007">
        <f>_xlfn.XLOOKUP(A2007,[1]ForwardDeriv!$D:$D,[1]ForwardDeriv!$AJ:$AJ)</f>
        <v>2.7700000000000102</v>
      </c>
      <c r="J2007" cm="1">
        <f t="array" ref="J2007">_xlfn.XLOOKUP(TEXT(A2007, "mmm-yy"), TEXT([2]GASOLINE!$B$5:$B$208, "mmm-yy"), [2]GASOLINE!$IR$5:$IR$208, "Not Found")</f>
        <v>-404.02440981058152</v>
      </c>
      <c r="K2007" cm="1">
        <f t="array" ref="K2007">_xlfn.XLOOKUP(TEXT(A2007, "mmm-yy"), TEXT([2]GASOLINE!$B$5:$B$208, "mmm-yy"), [2]GASOLINE!$IK$5:$IK$208, "Not Found")</f>
        <v>196.04446180173062</v>
      </c>
      <c r="L2007">
        <f t="shared" si="31"/>
        <v>1</v>
      </c>
      <c r="M2007" cm="1">
        <f t="array" ref="M2007">_xlfn.XLOOKUP(TEXT(A2007, "mmm-yy"), TEXT([2]GASOLINE!$B$5:$B$208, "mmm-yy"), [2]GASOLINE!$C$5:$C$208, "Not Found")</f>
        <v>7340.0965174500834</v>
      </c>
      <c r="N2007" cm="1">
        <f t="array" ref="N2007">_xlfn.XLOOKUP(TEXT(A2007, "mmm-yy"), TEXT([2]RUNS!$B$5:$B$208, "mmm-yy"), [2]RUNS!$BM$5:$BM$208, "Not Found")</f>
        <v>0.81291040021848182</v>
      </c>
    </row>
    <row r="2008" spans="1:14" x14ac:dyDescent="0.25">
      <c r="A2008" s="1">
        <f>'[1]Global_Spot Prices'!$B3317</f>
        <v>44813</v>
      </c>
      <c r="B2008">
        <f>_xlfn.XLOOKUP(A2008,'[1]Global_Spot Prices'!$B:$B,'[1]Global_Spot Prices'!$BS:$BS)</f>
        <v>6.5400000000000063</v>
      </c>
      <c r="C2008">
        <f>_xlfn.XLOOKUP(A2008,'[1]Global_Spot Prices'!$B:$B,'[1]Global_Spot Prices'!$E:$E)</f>
        <v>90.41</v>
      </c>
      <c r="D2008">
        <f>_xlfn.XLOOKUP(A2008,'[1]Global_Spot Prices'!$B:$B,'[1]Global_Spot Prices'!$D:$D)</f>
        <v>90.644999999999996</v>
      </c>
      <c r="E2008">
        <f>_xlfn.XLOOKUP(A2008,'[1]Global_Spot Prices'!$B:$B,'[1]Global_Spot Prices'!$H:$H)</f>
        <v>64.95</v>
      </c>
      <c r="F2008">
        <f>_xlfn.XLOOKUP(A2008,'[1]Global_Spot Prices'!$B:$B,'[1]Global_Spot Prices'!$I:$I)</f>
        <v>96.95</v>
      </c>
      <c r="G2008" cm="1">
        <f t="array" ref="G2008">_xlfn.XLOOKUP(TEXT(A2008, "mmm-yy"), TEXT([2]RUNS!$B$5:$B$208, "mmm-yy"), [2]RUNS!$D$5:$D$208, "Not Found")</f>
        <v>29654.646235810134</v>
      </c>
      <c r="H2008" cm="1">
        <f t="array" ref="H2008">SUMPRODUCT(
    --(TEXT('[3]Global Weekly Stock (EWSuez'!$B$4:$B$2000,"mmm-yy")=TEXT(A2008,"mmm-yy")),
    '[3]Global Weekly Stock (EWSuez'!$E$4:$E$2000)
/
SUMPRODUCT(
    --(TEXT('[3]Global Weekly Stock (EWSuez'!$B$4:$B$2000,"mmm-yy")=TEXT(A2008,"mmm-yy"))
)</f>
        <v>15690.6</v>
      </c>
      <c r="I2008">
        <f>_xlfn.XLOOKUP(A2008,[1]ForwardDeriv!$D:$D,[1]ForwardDeriv!$AJ:$AJ)</f>
        <v>2.9500000000000028</v>
      </c>
      <c r="J2008" cm="1">
        <f t="array" ref="J2008">_xlfn.XLOOKUP(TEXT(A2008, "mmm-yy"), TEXT([2]GASOLINE!$B$5:$B$208, "mmm-yy"), [2]GASOLINE!$IR$5:$IR$208, "Not Found")</f>
        <v>-404.02440981058152</v>
      </c>
      <c r="K2008" cm="1">
        <f t="array" ref="K2008">_xlfn.XLOOKUP(TEXT(A2008, "mmm-yy"), TEXT([2]GASOLINE!$B$5:$B$208, "mmm-yy"), [2]GASOLINE!$IK$5:$IK$208, "Not Found")</f>
        <v>196.04446180173062</v>
      </c>
      <c r="L2008">
        <f t="shared" si="31"/>
        <v>1</v>
      </c>
      <c r="M2008" cm="1">
        <f t="array" ref="M2008">_xlfn.XLOOKUP(TEXT(A2008, "mmm-yy"), TEXT([2]GASOLINE!$B$5:$B$208, "mmm-yy"), [2]GASOLINE!$C$5:$C$208, "Not Found")</f>
        <v>7340.0965174500834</v>
      </c>
      <c r="N2008" cm="1">
        <f t="array" ref="N2008">_xlfn.XLOOKUP(TEXT(A2008, "mmm-yy"), TEXT([2]RUNS!$B$5:$B$208, "mmm-yy"), [2]RUNS!$BM$5:$BM$208, "Not Found")</f>
        <v>0.81291040021848182</v>
      </c>
    </row>
    <row r="2009" spans="1:14" x14ac:dyDescent="0.25">
      <c r="A2009" s="1">
        <f>'[1]Global_Spot Prices'!$B3318</f>
        <v>44816</v>
      </c>
      <c r="B2009">
        <f>_xlfn.XLOOKUP(A2009,'[1]Global_Spot Prices'!$B:$B,'[1]Global_Spot Prices'!$BS:$BS)</f>
        <v>7.2099999999999937</v>
      </c>
      <c r="C2009">
        <f>_xlfn.XLOOKUP(A2009,'[1]Global_Spot Prices'!$B:$B,'[1]Global_Spot Prices'!$E:$E)</f>
        <v>92.36</v>
      </c>
      <c r="D2009">
        <f>_xlfn.XLOOKUP(A2009,'[1]Global_Spot Prices'!$B:$B,'[1]Global_Spot Prices'!$D:$D)</f>
        <v>93.21</v>
      </c>
      <c r="E2009">
        <f>_xlfn.XLOOKUP(A2009,'[1]Global_Spot Prices'!$B:$B,'[1]Global_Spot Prices'!$H:$H)</f>
        <v>65.86</v>
      </c>
      <c r="F2009">
        <f>_xlfn.XLOOKUP(A2009,'[1]Global_Spot Prices'!$B:$B,'[1]Global_Spot Prices'!$I:$I)</f>
        <v>99.57</v>
      </c>
      <c r="G2009" cm="1">
        <f t="array" ref="G2009">_xlfn.XLOOKUP(TEXT(A2009, "mmm-yy"), TEXT([2]RUNS!$B$5:$B$208, "mmm-yy"), [2]RUNS!$D$5:$D$208, "Not Found")</f>
        <v>29654.646235810134</v>
      </c>
      <c r="H2009" cm="1">
        <f t="array" ref="H2009">SUMPRODUCT(
    --(TEXT('[3]Global Weekly Stock (EWSuez'!$B$4:$B$2000,"mmm-yy")=TEXT(A2009,"mmm-yy")),
    '[3]Global Weekly Stock (EWSuez'!$E$4:$E$2000)
/
SUMPRODUCT(
    --(TEXT('[3]Global Weekly Stock (EWSuez'!$B$4:$B$2000,"mmm-yy")=TEXT(A2009,"mmm-yy"))
)</f>
        <v>15690.6</v>
      </c>
      <c r="I2009">
        <f>_xlfn.XLOOKUP(A2009,[1]ForwardDeriv!$D:$D,[1]ForwardDeriv!$AJ:$AJ)</f>
        <v>2.9700000000000131</v>
      </c>
      <c r="J2009" cm="1">
        <f t="array" ref="J2009">_xlfn.XLOOKUP(TEXT(A2009, "mmm-yy"), TEXT([2]GASOLINE!$B$5:$B$208, "mmm-yy"), [2]GASOLINE!$IR$5:$IR$208, "Not Found")</f>
        <v>-404.02440981058152</v>
      </c>
      <c r="K2009" cm="1">
        <f t="array" ref="K2009">_xlfn.XLOOKUP(TEXT(A2009, "mmm-yy"), TEXT([2]GASOLINE!$B$5:$B$208, "mmm-yy"), [2]GASOLINE!$IK$5:$IK$208, "Not Found")</f>
        <v>196.04446180173062</v>
      </c>
      <c r="L2009">
        <f t="shared" si="31"/>
        <v>1</v>
      </c>
      <c r="M2009" cm="1">
        <f t="array" ref="M2009">_xlfn.XLOOKUP(TEXT(A2009, "mmm-yy"), TEXT([2]GASOLINE!$B$5:$B$208, "mmm-yy"), [2]GASOLINE!$C$5:$C$208, "Not Found")</f>
        <v>7340.0965174500834</v>
      </c>
      <c r="N2009" cm="1">
        <f t="array" ref="N2009">_xlfn.XLOOKUP(TEXT(A2009, "mmm-yy"), TEXT([2]RUNS!$B$5:$B$208, "mmm-yy"), [2]RUNS!$BM$5:$BM$208, "Not Found")</f>
        <v>0.81291040021848182</v>
      </c>
    </row>
    <row r="2010" spans="1:14" x14ac:dyDescent="0.25">
      <c r="A2010" s="1">
        <f>'[1]Global_Spot Prices'!$B3319</f>
        <v>44817</v>
      </c>
      <c r="B2010">
        <f>_xlfn.XLOOKUP(A2010,'[1]Global_Spot Prices'!$B:$B,'[1]Global_Spot Prices'!$BS:$BS)</f>
        <v>8.2050000000000125</v>
      </c>
      <c r="C2010">
        <f>_xlfn.XLOOKUP(A2010,'[1]Global_Spot Prices'!$B:$B,'[1]Global_Spot Prices'!$E:$E)</f>
        <v>94.444999999999993</v>
      </c>
      <c r="D2010">
        <f>_xlfn.XLOOKUP(A2010,'[1]Global_Spot Prices'!$B:$B,'[1]Global_Spot Prices'!$D:$D)</f>
        <v>91.444999999999993</v>
      </c>
      <c r="E2010">
        <f>_xlfn.XLOOKUP(A2010,'[1]Global_Spot Prices'!$B:$B,'[1]Global_Spot Prices'!$H:$H)</f>
        <v>67.47</v>
      </c>
      <c r="F2010">
        <f>_xlfn.XLOOKUP(A2010,'[1]Global_Spot Prices'!$B:$B,'[1]Global_Spot Prices'!$I:$I)</f>
        <v>102.65</v>
      </c>
      <c r="G2010" cm="1">
        <f t="array" ref="G2010">_xlfn.XLOOKUP(TEXT(A2010, "mmm-yy"), TEXT([2]RUNS!$B$5:$B$208, "mmm-yy"), [2]RUNS!$D$5:$D$208, "Not Found")</f>
        <v>29654.646235810134</v>
      </c>
      <c r="H2010" cm="1">
        <f t="array" ref="H2010">SUMPRODUCT(
    --(TEXT('[3]Global Weekly Stock (EWSuez'!$B$4:$B$2000,"mmm-yy")=TEXT(A2010,"mmm-yy")),
    '[3]Global Weekly Stock (EWSuez'!$E$4:$E$2000)
/
SUMPRODUCT(
    --(TEXT('[3]Global Weekly Stock (EWSuez'!$B$4:$B$2000,"mmm-yy")=TEXT(A2010,"mmm-yy"))
)</f>
        <v>15690.6</v>
      </c>
      <c r="I2010">
        <f>_xlfn.XLOOKUP(A2010,[1]ForwardDeriv!$D:$D,[1]ForwardDeriv!$AJ:$AJ)</f>
        <v>2.9500000000000028</v>
      </c>
      <c r="J2010" cm="1">
        <f t="array" ref="J2010">_xlfn.XLOOKUP(TEXT(A2010, "mmm-yy"), TEXT([2]GASOLINE!$B$5:$B$208, "mmm-yy"), [2]GASOLINE!$IR$5:$IR$208, "Not Found")</f>
        <v>-404.02440981058152</v>
      </c>
      <c r="K2010" cm="1">
        <f t="array" ref="K2010">_xlfn.XLOOKUP(TEXT(A2010, "mmm-yy"), TEXT([2]GASOLINE!$B$5:$B$208, "mmm-yy"), [2]GASOLINE!$IK$5:$IK$208, "Not Found")</f>
        <v>196.04446180173062</v>
      </c>
      <c r="L2010">
        <f t="shared" si="31"/>
        <v>1</v>
      </c>
      <c r="M2010" cm="1">
        <f t="array" ref="M2010">_xlfn.XLOOKUP(TEXT(A2010, "mmm-yy"), TEXT([2]GASOLINE!$B$5:$B$208, "mmm-yy"), [2]GASOLINE!$C$5:$C$208, "Not Found")</f>
        <v>7340.0965174500834</v>
      </c>
      <c r="N2010" cm="1">
        <f t="array" ref="N2010">_xlfn.XLOOKUP(TEXT(A2010, "mmm-yy"), TEXT([2]RUNS!$B$5:$B$208, "mmm-yy"), [2]RUNS!$BM$5:$BM$208, "Not Found")</f>
        <v>0.81291040021848182</v>
      </c>
    </row>
    <row r="2011" spans="1:14" x14ac:dyDescent="0.25">
      <c r="A2011" s="1">
        <f>'[1]Global_Spot Prices'!$B3320</f>
        <v>44818</v>
      </c>
      <c r="B2011">
        <f>_xlfn.XLOOKUP(A2011,'[1]Global_Spot Prices'!$B:$B,'[1]Global_Spot Prices'!$BS:$BS)</f>
        <v>6.894999999999996</v>
      </c>
      <c r="C2011">
        <f>_xlfn.XLOOKUP(A2011,'[1]Global_Spot Prices'!$B:$B,'[1]Global_Spot Prices'!$E:$E)</f>
        <v>92.704999999999998</v>
      </c>
      <c r="D2011">
        <f>_xlfn.XLOOKUP(A2011,'[1]Global_Spot Prices'!$B:$B,'[1]Global_Spot Prices'!$D:$D)</f>
        <v>93.125</v>
      </c>
      <c r="E2011">
        <f>_xlfn.XLOOKUP(A2011,'[1]Global_Spot Prices'!$B:$B,'[1]Global_Spot Prices'!$H:$H)</f>
        <v>68.209999999999994</v>
      </c>
      <c r="F2011">
        <f>_xlfn.XLOOKUP(A2011,'[1]Global_Spot Prices'!$B:$B,'[1]Global_Spot Prices'!$I:$I)</f>
        <v>99.6</v>
      </c>
      <c r="G2011" cm="1">
        <f t="array" ref="G2011">_xlfn.XLOOKUP(TEXT(A2011, "mmm-yy"), TEXT([2]RUNS!$B$5:$B$208, "mmm-yy"), [2]RUNS!$D$5:$D$208, "Not Found")</f>
        <v>29654.646235810134</v>
      </c>
      <c r="H2011" cm="1">
        <f t="array" ref="H2011">SUMPRODUCT(
    --(TEXT('[3]Global Weekly Stock (EWSuez'!$B$4:$B$2000,"mmm-yy")=TEXT(A2011,"mmm-yy")),
    '[3]Global Weekly Stock (EWSuez'!$E$4:$E$2000)
/
SUMPRODUCT(
    --(TEXT('[3]Global Weekly Stock (EWSuez'!$B$4:$B$2000,"mmm-yy")=TEXT(A2011,"mmm-yy"))
)</f>
        <v>15690.6</v>
      </c>
      <c r="I2011">
        <f>_xlfn.XLOOKUP(A2011,[1]ForwardDeriv!$D:$D,[1]ForwardDeriv!$AJ:$AJ)</f>
        <v>2.2800000000000011</v>
      </c>
      <c r="J2011" cm="1">
        <f t="array" ref="J2011">_xlfn.XLOOKUP(TEXT(A2011, "mmm-yy"), TEXT([2]GASOLINE!$B$5:$B$208, "mmm-yy"), [2]GASOLINE!$IR$5:$IR$208, "Not Found")</f>
        <v>-404.02440981058152</v>
      </c>
      <c r="K2011" cm="1">
        <f t="array" ref="K2011">_xlfn.XLOOKUP(TEXT(A2011, "mmm-yy"), TEXT([2]GASOLINE!$B$5:$B$208, "mmm-yy"), [2]GASOLINE!$IK$5:$IK$208, "Not Found")</f>
        <v>196.04446180173062</v>
      </c>
      <c r="L2011">
        <f t="shared" si="31"/>
        <v>1</v>
      </c>
      <c r="M2011" cm="1">
        <f t="array" ref="M2011">_xlfn.XLOOKUP(TEXT(A2011, "mmm-yy"), TEXT([2]GASOLINE!$B$5:$B$208, "mmm-yy"), [2]GASOLINE!$C$5:$C$208, "Not Found")</f>
        <v>7340.0965174500834</v>
      </c>
      <c r="N2011" cm="1">
        <f t="array" ref="N2011">_xlfn.XLOOKUP(TEXT(A2011, "mmm-yy"), TEXT([2]RUNS!$B$5:$B$208, "mmm-yy"), [2]RUNS!$BM$5:$BM$208, "Not Found")</f>
        <v>0.81291040021848182</v>
      </c>
    </row>
    <row r="2012" spans="1:14" x14ac:dyDescent="0.25">
      <c r="A2012" s="1">
        <f>'[1]Global_Spot Prices'!$B3321</f>
        <v>44819</v>
      </c>
      <c r="B2012">
        <f>_xlfn.XLOOKUP(A2012,'[1]Global_Spot Prices'!$B:$B,'[1]Global_Spot Prices'!$BS:$BS)</f>
        <v>3.2199999999999989</v>
      </c>
      <c r="C2012">
        <f>_xlfn.XLOOKUP(A2012,'[1]Global_Spot Prices'!$B:$B,'[1]Global_Spot Prices'!$E:$E)</f>
        <v>93.61</v>
      </c>
      <c r="D2012">
        <f>_xlfn.XLOOKUP(A2012,'[1]Global_Spot Prices'!$B:$B,'[1]Global_Spot Prices'!$D:$D)</f>
        <v>89.224999999999994</v>
      </c>
      <c r="E2012">
        <f>_xlfn.XLOOKUP(A2012,'[1]Global_Spot Prices'!$B:$B,'[1]Global_Spot Prices'!$H:$H)</f>
        <v>68.180000000000007</v>
      </c>
      <c r="F2012">
        <f>_xlfn.XLOOKUP(A2012,'[1]Global_Spot Prices'!$B:$B,'[1]Global_Spot Prices'!$I:$I)</f>
        <v>96.83</v>
      </c>
      <c r="G2012" cm="1">
        <f t="array" ref="G2012">_xlfn.XLOOKUP(TEXT(A2012, "mmm-yy"), TEXT([2]RUNS!$B$5:$B$208, "mmm-yy"), [2]RUNS!$D$5:$D$208, "Not Found")</f>
        <v>29654.646235810134</v>
      </c>
      <c r="H2012" cm="1">
        <f t="array" ref="H2012">SUMPRODUCT(
    --(TEXT('[3]Global Weekly Stock (EWSuez'!$B$4:$B$2000,"mmm-yy")=TEXT(A2012,"mmm-yy")),
    '[3]Global Weekly Stock (EWSuez'!$E$4:$E$2000)
/
SUMPRODUCT(
    --(TEXT('[3]Global Weekly Stock (EWSuez'!$B$4:$B$2000,"mmm-yy")=TEXT(A2012,"mmm-yy"))
)</f>
        <v>15690.6</v>
      </c>
      <c r="I2012">
        <f>_xlfn.XLOOKUP(A2012,[1]ForwardDeriv!$D:$D,[1]ForwardDeriv!$AJ:$AJ)</f>
        <v>1.4599999999999937</v>
      </c>
      <c r="J2012" cm="1">
        <f t="array" ref="J2012">_xlfn.XLOOKUP(TEXT(A2012, "mmm-yy"), TEXT([2]GASOLINE!$B$5:$B$208, "mmm-yy"), [2]GASOLINE!$IR$5:$IR$208, "Not Found")</f>
        <v>-404.02440981058152</v>
      </c>
      <c r="K2012" cm="1">
        <f t="array" ref="K2012">_xlfn.XLOOKUP(TEXT(A2012, "mmm-yy"), TEXT([2]GASOLINE!$B$5:$B$208, "mmm-yy"), [2]GASOLINE!$IK$5:$IK$208, "Not Found")</f>
        <v>196.04446180173062</v>
      </c>
      <c r="L2012">
        <f t="shared" si="31"/>
        <v>1</v>
      </c>
      <c r="M2012" cm="1">
        <f t="array" ref="M2012">_xlfn.XLOOKUP(TEXT(A2012, "mmm-yy"), TEXT([2]GASOLINE!$B$5:$B$208, "mmm-yy"), [2]GASOLINE!$C$5:$C$208, "Not Found")</f>
        <v>7340.0965174500834</v>
      </c>
      <c r="N2012" cm="1">
        <f t="array" ref="N2012">_xlfn.XLOOKUP(TEXT(A2012, "mmm-yy"), TEXT([2]RUNS!$B$5:$B$208, "mmm-yy"), [2]RUNS!$BM$5:$BM$208, "Not Found")</f>
        <v>0.81291040021848182</v>
      </c>
    </row>
    <row r="2013" spans="1:14" x14ac:dyDescent="0.25">
      <c r="A2013" s="1">
        <f>'[1]Global_Spot Prices'!$B3322</f>
        <v>44820</v>
      </c>
      <c r="B2013">
        <f>_xlfn.XLOOKUP(A2013,'[1]Global_Spot Prices'!$B:$B,'[1]Global_Spot Prices'!$BS:$BS)</f>
        <v>-3.1800000000000068</v>
      </c>
      <c r="C2013">
        <f>_xlfn.XLOOKUP(A2013,'[1]Global_Spot Prices'!$B:$B,'[1]Global_Spot Prices'!$E:$E)</f>
        <v>91.01</v>
      </c>
      <c r="D2013">
        <f>_xlfn.XLOOKUP(A2013,'[1]Global_Spot Prices'!$B:$B,'[1]Global_Spot Prices'!$D:$D)</f>
        <v>91.02</v>
      </c>
      <c r="E2013">
        <f>_xlfn.XLOOKUP(A2013,'[1]Global_Spot Prices'!$B:$B,'[1]Global_Spot Prices'!$H:$H)</f>
        <v>66.63</v>
      </c>
      <c r="F2013">
        <f>_xlfn.XLOOKUP(A2013,'[1]Global_Spot Prices'!$B:$B,'[1]Global_Spot Prices'!$I:$I)</f>
        <v>87.83</v>
      </c>
      <c r="G2013" cm="1">
        <f t="array" ref="G2013">_xlfn.XLOOKUP(TEXT(A2013, "mmm-yy"), TEXT([2]RUNS!$B$5:$B$208, "mmm-yy"), [2]RUNS!$D$5:$D$208, "Not Found")</f>
        <v>29654.646235810134</v>
      </c>
      <c r="H2013" cm="1">
        <f t="array" ref="H2013">SUMPRODUCT(
    --(TEXT('[3]Global Weekly Stock (EWSuez'!$B$4:$B$2000,"mmm-yy")=TEXT(A2013,"mmm-yy")),
    '[3]Global Weekly Stock (EWSuez'!$E$4:$E$2000)
/
SUMPRODUCT(
    --(TEXT('[3]Global Weekly Stock (EWSuez'!$B$4:$B$2000,"mmm-yy")=TEXT(A2013,"mmm-yy"))
)</f>
        <v>15690.6</v>
      </c>
      <c r="I2013">
        <f>_xlfn.XLOOKUP(A2013,[1]ForwardDeriv!$D:$D,[1]ForwardDeriv!$AJ:$AJ)</f>
        <v>0.69999999999998863</v>
      </c>
      <c r="J2013" cm="1">
        <f t="array" ref="J2013">_xlfn.XLOOKUP(TEXT(A2013, "mmm-yy"), TEXT([2]GASOLINE!$B$5:$B$208, "mmm-yy"), [2]GASOLINE!$IR$5:$IR$208, "Not Found")</f>
        <v>-404.02440981058152</v>
      </c>
      <c r="K2013" cm="1">
        <f t="array" ref="K2013">_xlfn.XLOOKUP(TEXT(A2013, "mmm-yy"), TEXT([2]GASOLINE!$B$5:$B$208, "mmm-yy"), [2]GASOLINE!$IK$5:$IK$208, "Not Found")</f>
        <v>196.04446180173062</v>
      </c>
      <c r="L2013">
        <f t="shared" si="31"/>
        <v>1</v>
      </c>
      <c r="M2013" cm="1">
        <f t="array" ref="M2013">_xlfn.XLOOKUP(TEXT(A2013, "mmm-yy"), TEXT([2]GASOLINE!$B$5:$B$208, "mmm-yy"), [2]GASOLINE!$C$5:$C$208, "Not Found")</f>
        <v>7340.0965174500834</v>
      </c>
      <c r="N2013" cm="1">
        <f t="array" ref="N2013">_xlfn.XLOOKUP(TEXT(A2013, "mmm-yy"), TEXT([2]RUNS!$B$5:$B$208, "mmm-yy"), [2]RUNS!$BM$5:$BM$208, "Not Found")</f>
        <v>0.81291040021848182</v>
      </c>
    </row>
    <row r="2014" spans="1:14" x14ac:dyDescent="0.25">
      <c r="A2014" s="1">
        <f>'[1]Global_Spot Prices'!$B3323</f>
        <v>44823</v>
      </c>
      <c r="B2014">
        <f>_xlfn.XLOOKUP(A2014,'[1]Global_Spot Prices'!$B:$B,'[1]Global_Spot Prices'!$BS:$BS)</f>
        <v>-2.9699999999999989</v>
      </c>
      <c r="C2014">
        <f>_xlfn.XLOOKUP(A2014,'[1]Global_Spot Prices'!$B:$B,'[1]Global_Spot Prices'!$E:$E)</f>
        <v>90.34</v>
      </c>
      <c r="D2014" t="str">
        <f>_xlfn.XLOOKUP(A2014,'[1]Global_Spot Prices'!$B:$B,'[1]Global_Spot Prices'!$D:$D)</f>
        <v/>
      </c>
      <c r="E2014">
        <f>_xlfn.XLOOKUP(A2014,'[1]Global_Spot Prices'!$B:$B,'[1]Global_Spot Prices'!$H:$H)</f>
        <v>66.8</v>
      </c>
      <c r="F2014">
        <f>_xlfn.XLOOKUP(A2014,'[1]Global_Spot Prices'!$B:$B,'[1]Global_Spot Prices'!$I:$I)</f>
        <v>87.37</v>
      </c>
      <c r="G2014" cm="1">
        <f t="array" ref="G2014">_xlfn.XLOOKUP(TEXT(A2014, "mmm-yy"), TEXT([2]RUNS!$B$5:$B$208, "mmm-yy"), [2]RUNS!$D$5:$D$208, "Not Found")</f>
        <v>29654.646235810134</v>
      </c>
      <c r="H2014" cm="1">
        <f t="array" ref="H2014">SUMPRODUCT(
    --(TEXT('[3]Global Weekly Stock (EWSuez'!$B$4:$B$2000,"mmm-yy")=TEXT(A2014,"mmm-yy")),
    '[3]Global Weekly Stock (EWSuez'!$E$4:$E$2000)
/
SUMPRODUCT(
    --(TEXT('[3]Global Weekly Stock (EWSuez'!$B$4:$B$2000,"mmm-yy")=TEXT(A2014,"mmm-yy"))
)</f>
        <v>15690.6</v>
      </c>
      <c r="I2014">
        <f>_xlfn.XLOOKUP(A2014,[1]ForwardDeriv!$D:$D,[1]ForwardDeriv!$AJ:$AJ)</f>
        <v>0.85000000000000853</v>
      </c>
      <c r="J2014" cm="1">
        <f t="array" ref="J2014">_xlfn.XLOOKUP(TEXT(A2014, "mmm-yy"), TEXT([2]GASOLINE!$B$5:$B$208, "mmm-yy"), [2]GASOLINE!$IR$5:$IR$208, "Not Found")</f>
        <v>-404.02440981058152</v>
      </c>
      <c r="K2014" cm="1">
        <f t="array" ref="K2014">_xlfn.XLOOKUP(TEXT(A2014, "mmm-yy"), TEXT([2]GASOLINE!$B$5:$B$208, "mmm-yy"), [2]GASOLINE!$IK$5:$IK$208, "Not Found")</f>
        <v>196.04446180173062</v>
      </c>
      <c r="L2014">
        <f t="shared" si="31"/>
        <v>1</v>
      </c>
      <c r="M2014" cm="1">
        <f t="array" ref="M2014">_xlfn.XLOOKUP(TEXT(A2014, "mmm-yy"), TEXT([2]GASOLINE!$B$5:$B$208, "mmm-yy"), [2]GASOLINE!$C$5:$C$208, "Not Found")</f>
        <v>7340.0965174500834</v>
      </c>
      <c r="N2014" cm="1">
        <f t="array" ref="N2014">_xlfn.XLOOKUP(TEXT(A2014, "mmm-yy"), TEXT([2]RUNS!$B$5:$B$208, "mmm-yy"), [2]RUNS!$BM$5:$BM$208, "Not Found")</f>
        <v>0.81291040021848182</v>
      </c>
    </row>
    <row r="2015" spans="1:14" x14ac:dyDescent="0.25">
      <c r="A2015" s="1">
        <f>'[1]Global_Spot Prices'!$B3324</f>
        <v>44824</v>
      </c>
      <c r="B2015">
        <f>_xlfn.XLOOKUP(A2015,'[1]Global_Spot Prices'!$B:$B,'[1]Global_Spot Prices'!$BS:$BS)</f>
        <v>0.67000000000000171</v>
      </c>
      <c r="C2015">
        <f>_xlfn.XLOOKUP(A2015,'[1]Global_Spot Prices'!$B:$B,'[1]Global_Spot Prices'!$E:$E)</f>
        <v>92.55</v>
      </c>
      <c r="D2015">
        <f>_xlfn.XLOOKUP(A2015,'[1]Global_Spot Prices'!$B:$B,'[1]Global_Spot Prices'!$D:$D)</f>
        <v>89.295000000000002</v>
      </c>
      <c r="E2015">
        <f>_xlfn.XLOOKUP(A2015,'[1]Global_Spot Prices'!$B:$B,'[1]Global_Spot Prices'!$H:$H)</f>
        <v>68.89</v>
      </c>
      <c r="F2015">
        <f>_xlfn.XLOOKUP(A2015,'[1]Global_Spot Prices'!$B:$B,'[1]Global_Spot Prices'!$I:$I)</f>
        <v>93.22</v>
      </c>
      <c r="G2015" cm="1">
        <f t="array" ref="G2015">_xlfn.XLOOKUP(TEXT(A2015, "mmm-yy"), TEXT([2]RUNS!$B$5:$B$208, "mmm-yy"), [2]RUNS!$D$5:$D$208, "Not Found")</f>
        <v>29654.646235810134</v>
      </c>
      <c r="H2015" cm="1">
        <f t="array" ref="H2015">SUMPRODUCT(
    --(TEXT('[3]Global Weekly Stock (EWSuez'!$B$4:$B$2000,"mmm-yy")=TEXT(A2015,"mmm-yy")),
    '[3]Global Weekly Stock (EWSuez'!$E$4:$E$2000)
/
SUMPRODUCT(
    --(TEXT('[3]Global Weekly Stock (EWSuez'!$B$4:$B$2000,"mmm-yy")=TEXT(A2015,"mmm-yy"))
)</f>
        <v>15690.6</v>
      </c>
      <c r="I2015">
        <f>_xlfn.XLOOKUP(A2015,[1]ForwardDeriv!$D:$D,[1]ForwardDeriv!$AJ:$AJ)</f>
        <v>1.4699999999999989</v>
      </c>
      <c r="J2015" cm="1">
        <f t="array" ref="J2015">_xlfn.XLOOKUP(TEXT(A2015, "mmm-yy"), TEXT([2]GASOLINE!$B$5:$B$208, "mmm-yy"), [2]GASOLINE!$IR$5:$IR$208, "Not Found")</f>
        <v>-404.02440981058152</v>
      </c>
      <c r="K2015" cm="1">
        <f t="array" ref="K2015">_xlfn.XLOOKUP(TEXT(A2015, "mmm-yy"), TEXT([2]GASOLINE!$B$5:$B$208, "mmm-yy"), [2]GASOLINE!$IK$5:$IK$208, "Not Found")</f>
        <v>196.04446180173062</v>
      </c>
      <c r="L2015">
        <f t="shared" si="31"/>
        <v>1</v>
      </c>
      <c r="M2015" cm="1">
        <f t="array" ref="M2015">_xlfn.XLOOKUP(TEXT(A2015, "mmm-yy"), TEXT([2]GASOLINE!$B$5:$B$208, "mmm-yy"), [2]GASOLINE!$C$5:$C$208, "Not Found")</f>
        <v>7340.0965174500834</v>
      </c>
      <c r="N2015" cm="1">
        <f t="array" ref="N2015">_xlfn.XLOOKUP(TEXT(A2015, "mmm-yy"), TEXT([2]RUNS!$B$5:$B$208, "mmm-yy"), [2]RUNS!$BM$5:$BM$208, "Not Found")</f>
        <v>0.81291040021848182</v>
      </c>
    </row>
    <row r="2016" spans="1:14" x14ac:dyDescent="0.25">
      <c r="A2016" s="1">
        <f>'[1]Global_Spot Prices'!$B3325</f>
        <v>44825</v>
      </c>
      <c r="B2016">
        <f>_xlfn.XLOOKUP(A2016,'[1]Global_Spot Prices'!$B:$B,'[1]Global_Spot Prices'!$BS:$BS)</f>
        <v>1.9599999999999937</v>
      </c>
      <c r="C2016">
        <f>_xlfn.XLOOKUP(A2016,'[1]Global_Spot Prices'!$B:$B,'[1]Global_Spot Prices'!$E:$E)</f>
        <v>92.7</v>
      </c>
      <c r="D2016">
        <f>_xlfn.XLOOKUP(A2016,'[1]Global_Spot Prices'!$B:$B,'[1]Global_Spot Prices'!$D:$D)</f>
        <v>88.12</v>
      </c>
      <c r="E2016">
        <f>_xlfn.XLOOKUP(A2016,'[1]Global_Spot Prices'!$B:$B,'[1]Global_Spot Prices'!$H:$H)</f>
        <v>68.989999999999995</v>
      </c>
      <c r="F2016">
        <f>_xlfn.XLOOKUP(A2016,'[1]Global_Spot Prices'!$B:$B,'[1]Global_Spot Prices'!$I:$I)</f>
        <v>94.66</v>
      </c>
      <c r="G2016" cm="1">
        <f t="array" ref="G2016">_xlfn.XLOOKUP(TEXT(A2016, "mmm-yy"), TEXT([2]RUNS!$B$5:$B$208, "mmm-yy"), [2]RUNS!$D$5:$D$208, "Not Found")</f>
        <v>29654.646235810134</v>
      </c>
      <c r="H2016" cm="1">
        <f t="array" ref="H2016">SUMPRODUCT(
    --(TEXT('[3]Global Weekly Stock (EWSuez'!$B$4:$B$2000,"mmm-yy")=TEXT(A2016,"mmm-yy")),
    '[3]Global Weekly Stock (EWSuez'!$E$4:$E$2000)
/
SUMPRODUCT(
    --(TEXT('[3]Global Weekly Stock (EWSuez'!$B$4:$B$2000,"mmm-yy")=TEXT(A2016,"mmm-yy"))
)</f>
        <v>15690.6</v>
      </c>
      <c r="I2016">
        <f>_xlfn.XLOOKUP(A2016,[1]ForwardDeriv!$D:$D,[1]ForwardDeriv!$AJ:$AJ)</f>
        <v>1.9699999999999989</v>
      </c>
      <c r="J2016" cm="1">
        <f t="array" ref="J2016">_xlfn.XLOOKUP(TEXT(A2016, "mmm-yy"), TEXT([2]GASOLINE!$B$5:$B$208, "mmm-yy"), [2]GASOLINE!$IR$5:$IR$208, "Not Found")</f>
        <v>-404.02440981058152</v>
      </c>
      <c r="K2016" cm="1">
        <f t="array" ref="K2016">_xlfn.XLOOKUP(TEXT(A2016, "mmm-yy"), TEXT([2]GASOLINE!$B$5:$B$208, "mmm-yy"), [2]GASOLINE!$IK$5:$IK$208, "Not Found")</f>
        <v>196.04446180173062</v>
      </c>
      <c r="L2016">
        <f t="shared" si="31"/>
        <v>1</v>
      </c>
      <c r="M2016" cm="1">
        <f t="array" ref="M2016">_xlfn.XLOOKUP(TEXT(A2016, "mmm-yy"), TEXT([2]GASOLINE!$B$5:$B$208, "mmm-yy"), [2]GASOLINE!$C$5:$C$208, "Not Found")</f>
        <v>7340.0965174500834</v>
      </c>
      <c r="N2016" cm="1">
        <f t="array" ref="N2016">_xlfn.XLOOKUP(TEXT(A2016, "mmm-yy"), TEXT([2]RUNS!$B$5:$B$208, "mmm-yy"), [2]RUNS!$BM$5:$BM$208, "Not Found")</f>
        <v>0.81291040021848182</v>
      </c>
    </row>
    <row r="2017" spans="1:14" x14ac:dyDescent="0.25">
      <c r="A2017" s="1">
        <f>'[1]Global_Spot Prices'!$B3326</f>
        <v>44826</v>
      </c>
      <c r="B2017">
        <f>_xlfn.XLOOKUP(A2017,'[1]Global_Spot Prices'!$B:$B,'[1]Global_Spot Prices'!$BS:$BS)</f>
        <v>0.84999999999999432</v>
      </c>
      <c r="C2017">
        <f>_xlfn.XLOOKUP(A2017,'[1]Global_Spot Prices'!$B:$B,'[1]Global_Spot Prices'!$E:$E)</f>
        <v>91.2</v>
      </c>
      <c r="D2017">
        <f>_xlfn.XLOOKUP(A2017,'[1]Global_Spot Prices'!$B:$B,'[1]Global_Spot Prices'!$D:$D)</f>
        <v>89.174999999999997</v>
      </c>
      <c r="E2017">
        <f>_xlfn.XLOOKUP(A2017,'[1]Global_Spot Prices'!$B:$B,'[1]Global_Spot Prices'!$H:$H)</f>
        <v>68.77</v>
      </c>
      <c r="F2017">
        <f>_xlfn.XLOOKUP(A2017,'[1]Global_Spot Prices'!$B:$B,'[1]Global_Spot Prices'!$I:$I)</f>
        <v>92.05</v>
      </c>
      <c r="G2017" cm="1">
        <f t="array" ref="G2017">_xlfn.XLOOKUP(TEXT(A2017, "mmm-yy"), TEXT([2]RUNS!$B$5:$B$208, "mmm-yy"), [2]RUNS!$D$5:$D$208, "Not Found")</f>
        <v>29654.646235810134</v>
      </c>
      <c r="H2017" cm="1">
        <f t="array" ref="H2017">SUMPRODUCT(
    --(TEXT('[3]Global Weekly Stock (EWSuez'!$B$4:$B$2000,"mmm-yy")=TEXT(A2017,"mmm-yy")),
    '[3]Global Weekly Stock (EWSuez'!$E$4:$E$2000)
/
SUMPRODUCT(
    --(TEXT('[3]Global Weekly Stock (EWSuez'!$B$4:$B$2000,"mmm-yy")=TEXT(A2017,"mmm-yy"))
)</f>
        <v>15690.6</v>
      </c>
      <c r="I2017">
        <f>_xlfn.XLOOKUP(A2017,[1]ForwardDeriv!$D:$D,[1]ForwardDeriv!$AJ:$AJ)</f>
        <v>1.6899999999999977</v>
      </c>
      <c r="J2017" cm="1">
        <f t="array" ref="J2017">_xlfn.XLOOKUP(TEXT(A2017, "mmm-yy"), TEXT([2]GASOLINE!$B$5:$B$208, "mmm-yy"), [2]GASOLINE!$IR$5:$IR$208, "Not Found")</f>
        <v>-404.02440981058152</v>
      </c>
      <c r="K2017" cm="1">
        <f t="array" ref="K2017">_xlfn.XLOOKUP(TEXT(A2017, "mmm-yy"), TEXT([2]GASOLINE!$B$5:$B$208, "mmm-yy"), [2]GASOLINE!$IK$5:$IK$208, "Not Found")</f>
        <v>196.04446180173062</v>
      </c>
      <c r="L2017">
        <f t="shared" si="31"/>
        <v>1</v>
      </c>
      <c r="M2017" cm="1">
        <f t="array" ref="M2017">_xlfn.XLOOKUP(TEXT(A2017, "mmm-yy"), TEXT([2]GASOLINE!$B$5:$B$208, "mmm-yy"), [2]GASOLINE!$C$5:$C$208, "Not Found")</f>
        <v>7340.0965174500834</v>
      </c>
      <c r="N2017" cm="1">
        <f t="array" ref="N2017">_xlfn.XLOOKUP(TEXT(A2017, "mmm-yy"), TEXT([2]RUNS!$B$5:$B$208, "mmm-yy"), [2]RUNS!$BM$5:$BM$208, "Not Found")</f>
        <v>0.81291040021848182</v>
      </c>
    </row>
    <row r="2018" spans="1:14" x14ac:dyDescent="0.25">
      <c r="A2018" s="1">
        <f>'[1]Global_Spot Prices'!$B3327</f>
        <v>44827</v>
      </c>
      <c r="B2018">
        <f>_xlfn.XLOOKUP(A2018,'[1]Global_Spot Prices'!$B:$B,'[1]Global_Spot Prices'!$BS:$BS)</f>
        <v>-1.289999999999992</v>
      </c>
      <c r="C2018">
        <f>_xlfn.XLOOKUP(A2018,'[1]Global_Spot Prices'!$B:$B,'[1]Global_Spot Prices'!$E:$E)</f>
        <v>88.8</v>
      </c>
      <c r="D2018">
        <f>_xlfn.XLOOKUP(A2018,'[1]Global_Spot Prices'!$B:$B,'[1]Global_Spot Prices'!$D:$D)</f>
        <v>85.284999999999997</v>
      </c>
      <c r="E2018">
        <f>_xlfn.XLOOKUP(A2018,'[1]Global_Spot Prices'!$B:$B,'[1]Global_Spot Prices'!$H:$H)</f>
        <v>67.91</v>
      </c>
      <c r="F2018">
        <f>_xlfn.XLOOKUP(A2018,'[1]Global_Spot Prices'!$B:$B,'[1]Global_Spot Prices'!$I:$I)</f>
        <v>87.51</v>
      </c>
      <c r="G2018" cm="1">
        <f t="array" ref="G2018">_xlfn.XLOOKUP(TEXT(A2018, "mmm-yy"), TEXT([2]RUNS!$B$5:$B$208, "mmm-yy"), [2]RUNS!$D$5:$D$208, "Not Found")</f>
        <v>29654.646235810134</v>
      </c>
      <c r="H2018" cm="1">
        <f t="array" ref="H2018">SUMPRODUCT(
    --(TEXT('[3]Global Weekly Stock (EWSuez'!$B$4:$B$2000,"mmm-yy")=TEXT(A2018,"mmm-yy")),
    '[3]Global Weekly Stock (EWSuez'!$E$4:$E$2000)
/
SUMPRODUCT(
    --(TEXT('[3]Global Weekly Stock (EWSuez'!$B$4:$B$2000,"mmm-yy")=TEXT(A2018,"mmm-yy"))
)</f>
        <v>15690.6</v>
      </c>
      <c r="I2018">
        <f>_xlfn.XLOOKUP(A2018,[1]ForwardDeriv!$D:$D,[1]ForwardDeriv!$AJ:$AJ)</f>
        <v>1.2800000000000011</v>
      </c>
      <c r="J2018" cm="1">
        <f t="array" ref="J2018">_xlfn.XLOOKUP(TEXT(A2018, "mmm-yy"), TEXT([2]GASOLINE!$B$5:$B$208, "mmm-yy"), [2]GASOLINE!$IR$5:$IR$208, "Not Found")</f>
        <v>-404.02440981058152</v>
      </c>
      <c r="K2018" cm="1">
        <f t="array" ref="K2018">_xlfn.XLOOKUP(TEXT(A2018, "mmm-yy"), TEXT([2]GASOLINE!$B$5:$B$208, "mmm-yy"), [2]GASOLINE!$IK$5:$IK$208, "Not Found")</f>
        <v>196.04446180173062</v>
      </c>
      <c r="L2018">
        <f t="shared" si="31"/>
        <v>1</v>
      </c>
      <c r="M2018" cm="1">
        <f t="array" ref="M2018">_xlfn.XLOOKUP(TEXT(A2018, "mmm-yy"), TEXT([2]GASOLINE!$B$5:$B$208, "mmm-yy"), [2]GASOLINE!$C$5:$C$208, "Not Found")</f>
        <v>7340.0965174500834</v>
      </c>
      <c r="N2018" cm="1">
        <f t="array" ref="N2018">_xlfn.XLOOKUP(TEXT(A2018, "mmm-yy"), TEXT([2]RUNS!$B$5:$B$208, "mmm-yy"), [2]RUNS!$BM$5:$BM$208, "Not Found")</f>
        <v>0.81291040021848182</v>
      </c>
    </row>
    <row r="2019" spans="1:14" x14ac:dyDescent="0.25">
      <c r="A2019" s="1">
        <f>'[1]Global_Spot Prices'!$B3328</f>
        <v>44830</v>
      </c>
      <c r="B2019">
        <f>_xlfn.XLOOKUP(A2019,'[1]Global_Spot Prices'!$B:$B,'[1]Global_Spot Prices'!$BS:$BS)</f>
        <v>-0.26999999999999602</v>
      </c>
      <c r="C2019">
        <f>_xlfn.XLOOKUP(A2019,'[1]Global_Spot Prices'!$B:$B,'[1]Global_Spot Prices'!$E:$E)</f>
        <v>84.85</v>
      </c>
      <c r="D2019">
        <f>_xlfn.XLOOKUP(A2019,'[1]Global_Spot Prices'!$B:$B,'[1]Global_Spot Prices'!$D:$D)</f>
        <v>84.625</v>
      </c>
      <c r="E2019">
        <f>_xlfn.XLOOKUP(A2019,'[1]Global_Spot Prices'!$B:$B,'[1]Global_Spot Prices'!$H:$H)</f>
        <v>65.22</v>
      </c>
      <c r="F2019">
        <f>_xlfn.XLOOKUP(A2019,'[1]Global_Spot Prices'!$B:$B,'[1]Global_Spot Prices'!$I:$I)</f>
        <v>84.58</v>
      </c>
      <c r="G2019" cm="1">
        <f t="array" ref="G2019">_xlfn.XLOOKUP(TEXT(A2019, "mmm-yy"), TEXT([2]RUNS!$B$5:$B$208, "mmm-yy"), [2]RUNS!$D$5:$D$208, "Not Found")</f>
        <v>29654.646235810134</v>
      </c>
      <c r="H2019" cm="1">
        <f t="array" ref="H2019">SUMPRODUCT(
    --(TEXT('[3]Global Weekly Stock (EWSuez'!$B$4:$B$2000,"mmm-yy")=TEXT(A2019,"mmm-yy")),
    '[3]Global Weekly Stock (EWSuez'!$E$4:$E$2000)
/
SUMPRODUCT(
    --(TEXT('[3]Global Weekly Stock (EWSuez'!$B$4:$B$2000,"mmm-yy")=TEXT(A2019,"mmm-yy"))
)</f>
        <v>15690.6</v>
      </c>
      <c r="I2019">
        <f>_xlfn.XLOOKUP(A2019,[1]ForwardDeriv!$D:$D,[1]ForwardDeriv!$AJ:$AJ)</f>
        <v>1.4299999999999926</v>
      </c>
      <c r="J2019" cm="1">
        <f t="array" ref="J2019">_xlfn.XLOOKUP(TEXT(A2019, "mmm-yy"), TEXT([2]GASOLINE!$B$5:$B$208, "mmm-yy"), [2]GASOLINE!$IR$5:$IR$208, "Not Found")</f>
        <v>-404.02440981058152</v>
      </c>
      <c r="K2019" cm="1">
        <f t="array" ref="K2019">_xlfn.XLOOKUP(TEXT(A2019, "mmm-yy"), TEXT([2]GASOLINE!$B$5:$B$208, "mmm-yy"), [2]GASOLINE!$IK$5:$IK$208, "Not Found")</f>
        <v>196.04446180173062</v>
      </c>
      <c r="L2019">
        <f t="shared" si="31"/>
        <v>1</v>
      </c>
      <c r="M2019" cm="1">
        <f t="array" ref="M2019">_xlfn.XLOOKUP(TEXT(A2019, "mmm-yy"), TEXT([2]GASOLINE!$B$5:$B$208, "mmm-yy"), [2]GASOLINE!$C$5:$C$208, "Not Found")</f>
        <v>7340.0965174500834</v>
      </c>
      <c r="N2019" cm="1">
        <f t="array" ref="N2019">_xlfn.XLOOKUP(TEXT(A2019, "mmm-yy"), TEXT([2]RUNS!$B$5:$B$208, "mmm-yy"), [2]RUNS!$BM$5:$BM$208, "Not Found")</f>
        <v>0.81291040021848182</v>
      </c>
    </row>
    <row r="2020" spans="1:14" x14ac:dyDescent="0.25">
      <c r="A2020" s="1">
        <f>'[1]Global_Spot Prices'!$B3329</f>
        <v>44831</v>
      </c>
      <c r="B2020">
        <f>_xlfn.XLOOKUP(A2020,'[1]Global_Spot Prices'!$B:$B,'[1]Global_Spot Prices'!$BS:$BS)</f>
        <v>2.3999999999999915</v>
      </c>
      <c r="C2020">
        <f>_xlfn.XLOOKUP(A2020,'[1]Global_Spot Prices'!$B:$B,'[1]Global_Spot Prices'!$E:$E)</f>
        <v>84.2</v>
      </c>
      <c r="D2020">
        <f>_xlfn.XLOOKUP(A2020,'[1]Global_Spot Prices'!$B:$B,'[1]Global_Spot Prices'!$D:$D)</f>
        <v>86.39</v>
      </c>
      <c r="E2020">
        <f>_xlfn.XLOOKUP(A2020,'[1]Global_Spot Prices'!$B:$B,'[1]Global_Spot Prices'!$H:$H)</f>
        <v>64.34</v>
      </c>
      <c r="F2020">
        <f>_xlfn.XLOOKUP(A2020,'[1]Global_Spot Prices'!$B:$B,'[1]Global_Spot Prices'!$I:$I)</f>
        <v>86.6</v>
      </c>
      <c r="G2020" cm="1">
        <f t="array" ref="G2020">_xlfn.XLOOKUP(TEXT(A2020, "mmm-yy"), TEXT([2]RUNS!$B$5:$B$208, "mmm-yy"), [2]RUNS!$D$5:$D$208, "Not Found")</f>
        <v>29654.646235810134</v>
      </c>
      <c r="H2020" cm="1">
        <f t="array" ref="H2020">SUMPRODUCT(
    --(TEXT('[3]Global Weekly Stock (EWSuez'!$B$4:$B$2000,"mmm-yy")=TEXT(A2020,"mmm-yy")),
    '[3]Global Weekly Stock (EWSuez'!$E$4:$E$2000)
/
SUMPRODUCT(
    --(TEXT('[3]Global Weekly Stock (EWSuez'!$B$4:$B$2000,"mmm-yy")=TEXT(A2020,"mmm-yy"))
)</f>
        <v>15690.6</v>
      </c>
      <c r="I2020">
        <f>_xlfn.XLOOKUP(A2020,[1]ForwardDeriv!$D:$D,[1]ForwardDeriv!$AJ:$AJ)</f>
        <v>2</v>
      </c>
      <c r="J2020" cm="1">
        <f t="array" ref="J2020">_xlfn.XLOOKUP(TEXT(A2020, "mmm-yy"), TEXT([2]GASOLINE!$B$5:$B$208, "mmm-yy"), [2]GASOLINE!$IR$5:$IR$208, "Not Found")</f>
        <v>-404.02440981058152</v>
      </c>
      <c r="K2020" cm="1">
        <f t="array" ref="K2020">_xlfn.XLOOKUP(TEXT(A2020, "mmm-yy"), TEXT([2]GASOLINE!$B$5:$B$208, "mmm-yy"), [2]GASOLINE!$IK$5:$IK$208, "Not Found")</f>
        <v>196.04446180173062</v>
      </c>
      <c r="L2020">
        <f t="shared" si="31"/>
        <v>1</v>
      </c>
      <c r="M2020" cm="1">
        <f t="array" ref="M2020">_xlfn.XLOOKUP(TEXT(A2020, "mmm-yy"), TEXT([2]GASOLINE!$B$5:$B$208, "mmm-yy"), [2]GASOLINE!$C$5:$C$208, "Not Found")</f>
        <v>7340.0965174500834</v>
      </c>
      <c r="N2020" cm="1">
        <f t="array" ref="N2020">_xlfn.XLOOKUP(TEXT(A2020, "mmm-yy"), TEXT([2]RUNS!$B$5:$B$208, "mmm-yy"), [2]RUNS!$BM$5:$BM$208, "Not Found")</f>
        <v>0.81291040021848182</v>
      </c>
    </row>
    <row r="2021" spans="1:14" x14ac:dyDescent="0.25">
      <c r="A2021" s="1">
        <f>'[1]Global_Spot Prices'!$B3330</f>
        <v>44832</v>
      </c>
      <c r="B2021">
        <f>_xlfn.XLOOKUP(A2021,'[1]Global_Spot Prices'!$B:$B,'[1]Global_Spot Prices'!$BS:$BS)</f>
        <v>3.3900000000000006</v>
      </c>
      <c r="C2021">
        <f>_xlfn.XLOOKUP(A2021,'[1]Global_Spot Prices'!$B:$B,'[1]Global_Spot Prices'!$E:$E)</f>
        <v>84.61</v>
      </c>
      <c r="D2021">
        <f>_xlfn.XLOOKUP(A2021,'[1]Global_Spot Prices'!$B:$B,'[1]Global_Spot Prices'!$D:$D)</f>
        <v>88.27</v>
      </c>
      <c r="E2021">
        <f>_xlfn.XLOOKUP(A2021,'[1]Global_Spot Prices'!$B:$B,'[1]Global_Spot Prices'!$H:$H)</f>
        <v>65.67</v>
      </c>
      <c r="F2021">
        <f>_xlfn.XLOOKUP(A2021,'[1]Global_Spot Prices'!$B:$B,'[1]Global_Spot Prices'!$I:$I)</f>
        <v>88</v>
      </c>
      <c r="G2021" cm="1">
        <f t="array" ref="G2021">_xlfn.XLOOKUP(TEXT(A2021, "mmm-yy"), TEXT([2]RUNS!$B$5:$B$208, "mmm-yy"), [2]RUNS!$D$5:$D$208, "Not Found")</f>
        <v>29654.646235810134</v>
      </c>
      <c r="H2021" cm="1">
        <f t="array" ref="H2021">SUMPRODUCT(
    --(TEXT('[3]Global Weekly Stock (EWSuez'!$B$4:$B$2000,"mmm-yy")=TEXT(A2021,"mmm-yy")),
    '[3]Global Weekly Stock (EWSuez'!$E$4:$E$2000)
/
SUMPRODUCT(
    --(TEXT('[3]Global Weekly Stock (EWSuez'!$B$4:$B$2000,"mmm-yy")=TEXT(A2021,"mmm-yy"))
)</f>
        <v>15690.6</v>
      </c>
      <c r="I2021">
        <f>_xlfn.XLOOKUP(A2021,[1]ForwardDeriv!$D:$D,[1]ForwardDeriv!$AJ:$AJ)</f>
        <v>2.2999999999999972</v>
      </c>
      <c r="J2021" cm="1">
        <f t="array" ref="J2021">_xlfn.XLOOKUP(TEXT(A2021, "mmm-yy"), TEXT([2]GASOLINE!$B$5:$B$208, "mmm-yy"), [2]GASOLINE!$IR$5:$IR$208, "Not Found")</f>
        <v>-404.02440981058152</v>
      </c>
      <c r="K2021" cm="1">
        <f t="array" ref="K2021">_xlfn.XLOOKUP(TEXT(A2021, "mmm-yy"), TEXT([2]GASOLINE!$B$5:$B$208, "mmm-yy"), [2]GASOLINE!$IK$5:$IK$208, "Not Found")</f>
        <v>196.04446180173062</v>
      </c>
      <c r="L2021">
        <f t="shared" si="31"/>
        <v>1</v>
      </c>
      <c r="M2021" cm="1">
        <f t="array" ref="M2021">_xlfn.XLOOKUP(TEXT(A2021, "mmm-yy"), TEXT([2]GASOLINE!$B$5:$B$208, "mmm-yy"), [2]GASOLINE!$C$5:$C$208, "Not Found")</f>
        <v>7340.0965174500834</v>
      </c>
      <c r="N2021" cm="1">
        <f t="array" ref="N2021">_xlfn.XLOOKUP(TEXT(A2021, "mmm-yy"), TEXT([2]RUNS!$B$5:$B$208, "mmm-yy"), [2]RUNS!$BM$5:$BM$208, "Not Found")</f>
        <v>0.81291040021848182</v>
      </c>
    </row>
    <row r="2022" spans="1:14" x14ac:dyDescent="0.25">
      <c r="A2022" s="1">
        <f>'[1]Global_Spot Prices'!$B3331</f>
        <v>44833</v>
      </c>
      <c r="B2022">
        <f>_xlfn.XLOOKUP(A2022,'[1]Global_Spot Prices'!$B:$B,'[1]Global_Spot Prices'!$BS:$BS)</f>
        <v>2.4399999999999977</v>
      </c>
      <c r="C2022">
        <f>_xlfn.XLOOKUP(A2022,'[1]Global_Spot Prices'!$B:$B,'[1]Global_Spot Prices'!$E:$E)</f>
        <v>87.3</v>
      </c>
      <c r="D2022">
        <f>_xlfn.XLOOKUP(A2022,'[1]Global_Spot Prices'!$B:$B,'[1]Global_Spot Prices'!$D:$D)</f>
        <v>89.805000000000007</v>
      </c>
      <c r="E2022">
        <f>_xlfn.XLOOKUP(A2022,'[1]Global_Spot Prices'!$B:$B,'[1]Global_Spot Prices'!$H:$H)</f>
        <v>67.709999999999994</v>
      </c>
      <c r="F2022">
        <f>_xlfn.XLOOKUP(A2022,'[1]Global_Spot Prices'!$B:$B,'[1]Global_Spot Prices'!$I:$I)</f>
        <v>89.74</v>
      </c>
      <c r="G2022" cm="1">
        <f t="array" ref="G2022">_xlfn.XLOOKUP(TEXT(A2022, "mmm-yy"), TEXT([2]RUNS!$B$5:$B$208, "mmm-yy"), [2]RUNS!$D$5:$D$208, "Not Found")</f>
        <v>29654.646235810134</v>
      </c>
      <c r="H2022" cm="1">
        <f t="array" ref="H2022">SUMPRODUCT(
    --(TEXT('[3]Global Weekly Stock (EWSuez'!$B$4:$B$2000,"mmm-yy")=TEXT(A2022,"mmm-yy")),
    '[3]Global Weekly Stock (EWSuez'!$E$4:$E$2000)
/
SUMPRODUCT(
    --(TEXT('[3]Global Weekly Stock (EWSuez'!$B$4:$B$2000,"mmm-yy")=TEXT(A2022,"mmm-yy"))
)</f>
        <v>15690.6</v>
      </c>
      <c r="I2022">
        <f>_xlfn.XLOOKUP(A2022,[1]ForwardDeriv!$D:$D,[1]ForwardDeriv!$AJ:$AJ)</f>
        <v>1.8499999999999943</v>
      </c>
      <c r="J2022" cm="1">
        <f t="array" ref="J2022">_xlfn.XLOOKUP(TEXT(A2022, "mmm-yy"), TEXT([2]GASOLINE!$B$5:$B$208, "mmm-yy"), [2]GASOLINE!$IR$5:$IR$208, "Not Found")</f>
        <v>-404.02440981058152</v>
      </c>
      <c r="K2022" cm="1">
        <f t="array" ref="K2022">_xlfn.XLOOKUP(TEXT(A2022, "mmm-yy"), TEXT([2]GASOLINE!$B$5:$B$208, "mmm-yy"), [2]GASOLINE!$IK$5:$IK$208, "Not Found")</f>
        <v>196.04446180173062</v>
      </c>
      <c r="L2022">
        <f t="shared" si="31"/>
        <v>1</v>
      </c>
      <c r="M2022" cm="1">
        <f t="array" ref="M2022">_xlfn.XLOOKUP(TEXT(A2022, "mmm-yy"), TEXT([2]GASOLINE!$B$5:$B$208, "mmm-yy"), [2]GASOLINE!$C$5:$C$208, "Not Found")</f>
        <v>7340.0965174500834</v>
      </c>
      <c r="N2022" cm="1">
        <f t="array" ref="N2022">_xlfn.XLOOKUP(TEXT(A2022, "mmm-yy"), TEXT([2]RUNS!$B$5:$B$208, "mmm-yy"), [2]RUNS!$BM$5:$BM$208, "Not Found")</f>
        <v>0.81291040021848182</v>
      </c>
    </row>
    <row r="2023" spans="1:14" x14ac:dyDescent="0.25">
      <c r="A2023" s="1">
        <f>'[1]Global_Spot Prices'!$B3332</f>
        <v>44834</v>
      </c>
      <c r="B2023">
        <f>_xlfn.XLOOKUP(A2023,'[1]Global_Spot Prices'!$B:$B,'[1]Global_Spot Prices'!$BS:$BS)</f>
        <v>0.76999999999999602</v>
      </c>
      <c r="C2023">
        <f>_xlfn.XLOOKUP(A2023,'[1]Global_Spot Prices'!$B:$B,'[1]Global_Spot Prices'!$E:$E)</f>
        <v>89.5</v>
      </c>
      <c r="D2023">
        <f>_xlfn.XLOOKUP(A2023,'[1]Global_Spot Prices'!$B:$B,'[1]Global_Spot Prices'!$D:$D)</f>
        <v>87.92</v>
      </c>
      <c r="E2023">
        <f>_xlfn.XLOOKUP(A2023,'[1]Global_Spot Prices'!$B:$B,'[1]Global_Spot Prices'!$H:$H)</f>
        <v>67.34</v>
      </c>
      <c r="F2023">
        <f>_xlfn.XLOOKUP(A2023,'[1]Global_Spot Prices'!$B:$B,'[1]Global_Spot Prices'!$I:$I)</f>
        <v>90.27</v>
      </c>
      <c r="G2023" cm="1">
        <f t="array" ref="G2023">_xlfn.XLOOKUP(TEXT(A2023, "mmm-yy"), TEXT([2]RUNS!$B$5:$B$208, "mmm-yy"), [2]RUNS!$D$5:$D$208, "Not Found")</f>
        <v>29654.646235810134</v>
      </c>
      <c r="H2023" cm="1">
        <f t="array" ref="H2023">SUMPRODUCT(
    --(TEXT('[3]Global Weekly Stock (EWSuez'!$B$4:$B$2000,"mmm-yy")=TEXT(A2023,"mmm-yy")),
    '[3]Global Weekly Stock (EWSuez'!$E$4:$E$2000)
/
SUMPRODUCT(
    --(TEXT('[3]Global Weekly Stock (EWSuez'!$B$4:$B$2000,"mmm-yy")=TEXT(A2023,"mmm-yy"))
)</f>
        <v>15690.6</v>
      </c>
      <c r="I2023">
        <f>_xlfn.XLOOKUP(A2023,[1]ForwardDeriv!$D:$D,[1]ForwardDeriv!$AJ:$AJ)</f>
        <v>1.4099999999999966</v>
      </c>
      <c r="J2023" cm="1">
        <f t="array" ref="J2023">_xlfn.XLOOKUP(TEXT(A2023, "mmm-yy"), TEXT([2]GASOLINE!$B$5:$B$208, "mmm-yy"), [2]GASOLINE!$IR$5:$IR$208, "Not Found")</f>
        <v>-404.02440981058152</v>
      </c>
      <c r="K2023" cm="1">
        <f t="array" ref="K2023">_xlfn.XLOOKUP(TEXT(A2023, "mmm-yy"), TEXT([2]GASOLINE!$B$5:$B$208, "mmm-yy"), [2]GASOLINE!$IK$5:$IK$208, "Not Found")</f>
        <v>196.04446180173062</v>
      </c>
      <c r="L2023">
        <f t="shared" si="31"/>
        <v>1</v>
      </c>
      <c r="M2023" cm="1">
        <f t="array" ref="M2023">_xlfn.XLOOKUP(TEXT(A2023, "mmm-yy"), TEXT([2]GASOLINE!$B$5:$B$208, "mmm-yy"), [2]GASOLINE!$C$5:$C$208, "Not Found")</f>
        <v>7340.0965174500834</v>
      </c>
      <c r="N2023" cm="1">
        <f t="array" ref="N2023">_xlfn.XLOOKUP(TEXT(A2023, "mmm-yy"), TEXT([2]RUNS!$B$5:$B$208, "mmm-yy"), [2]RUNS!$BM$5:$BM$208, "Not Found")</f>
        <v>0.81291040021848182</v>
      </c>
    </row>
    <row r="2024" spans="1:14" x14ac:dyDescent="0.25">
      <c r="A2024" s="1">
        <f>'[1]Global_Spot Prices'!$B3333</f>
        <v>44837</v>
      </c>
      <c r="B2024">
        <f>_xlfn.XLOOKUP(A2024,'[1]Global_Spot Prices'!$B:$B,'[1]Global_Spot Prices'!$BS:$BS)</f>
        <v>0.73999999999999488</v>
      </c>
      <c r="C2024">
        <f>_xlfn.XLOOKUP(A2024,'[1]Global_Spot Prices'!$B:$B,'[1]Global_Spot Prices'!$E:$E)</f>
        <v>88.26</v>
      </c>
      <c r="D2024">
        <f>_xlfn.XLOOKUP(A2024,'[1]Global_Spot Prices'!$B:$B,'[1]Global_Spot Prices'!$D:$D)</f>
        <v>90.09</v>
      </c>
      <c r="E2024">
        <f>_xlfn.XLOOKUP(A2024,'[1]Global_Spot Prices'!$B:$B,'[1]Global_Spot Prices'!$H:$H)</f>
        <v>68.87</v>
      </c>
      <c r="F2024">
        <f>_xlfn.XLOOKUP(A2024,'[1]Global_Spot Prices'!$B:$B,'[1]Global_Spot Prices'!$I:$I)</f>
        <v>89</v>
      </c>
      <c r="G2024" cm="1">
        <f t="array" ref="G2024">_xlfn.XLOOKUP(TEXT(A2024, "mmm-yy"), TEXT([2]RUNS!$B$5:$B$208, "mmm-yy"), [2]RUNS!$D$5:$D$208, "Not Found")</f>
        <v>29189.282090649525</v>
      </c>
      <c r="H2024" cm="1">
        <f t="array" ref="H2024">SUMPRODUCT(
    --(TEXT('[3]Global Weekly Stock (EWSuez'!$B$4:$B$2000,"mmm-yy")=TEXT(A2024,"mmm-yy")),
    '[3]Global Weekly Stock (EWSuez'!$E$4:$E$2000)
/
SUMPRODUCT(
    --(TEXT('[3]Global Weekly Stock (EWSuez'!$B$4:$B$2000,"mmm-yy")=TEXT(A2024,"mmm-yy"))
)</f>
        <v>15359.5</v>
      </c>
      <c r="I2024">
        <f>_xlfn.XLOOKUP(A2024,[1]ForwardDeriv!$D:$D,[1]ForwardDeriv!$AJ:$AJ)</f>
        <v>0.54999999999999716</v>
      </c>
      <c r="J2024" cm="1">
        <f t="array" ref="J2024">_xlfn.XLOOKUP(TEXT(A2024, "mmm-yy"), TEXT([2]GASOLINE!$B$5:$B$208, "mmm-yy"), [2]GASOLINE!$IR$5:$IR$208, "Not Found")</f>
        <v>-288.49545904967988</v>
      </c>
      <c r="K2024" cm="1">
        <f t="array" ref="K2024">_xlfn.XLOOKUP(TEXT(A2024, "mmm-yy"), TEXT([2]GASOLINE!$B$5:$B$208, "mmm-yy"), [2]GASOLINE!$IK$5:$IK$208, "Not Found")</f>
        <v>167.85117353305785</v>
      </c>
      <c r="L2024">
        <f t="shared" si="31"/>
        <v>0</v>
      </c>
      <c r="M2024" cm="1">
        <f t="array" ref="M2024">_xlfn.XLOOKUP(TEXT(A2024, "mmm-yy"), TEXT([2]GASOLINE!$B$5:$B$208, "mmm-yy"), [2]GASOLINE!$C$5:$C$208, "Not Found")</f>
        <v>7228.3727645065264</v>
      </c>
      <c r="N2024" cm="1">
        <f t="array" ref="N2024">_xlfn.XLOOKUP(TEXT(A2024, "mmm-yy"), TEXT([2]RUNS!$B$5:$B$208, "mmm-yy"), [2]RUNS!$BM$5:$BM$208, "Not Found")</f>
        <v>0.80648302560555452</v>
      </c>
    </row>
    <row r="2025" spans="1:14" x14ac:dyDescent="0.25">
      <c r="A2025" s="1">
        <f>'[1]Global_Spot Prices'!$B3334</f>
        <v>44838</v>
      </c>
      <c r="B2025">
        <f>_xlfn.XLOOKUP(A2025,'[1]Global_Spot Prices'!$B:$B,'[1]Global_Spot Prices'!$BS:$BS)</f>
        <v>-2.3900000000000006</v>
      </c>
      <c r="C2025">
        <f>_xlfn.XLOOKUP(A2025,'[1]Global_Spot Prices'!$B:$B,'[1]Global_Spot Prices'!$E:$E)</f>
        <v>88.8</v>
      </c>
      <c r="D2025">
        <f>_xlfn.XLOOKUP(A2025,'[1]Global_Spot Prices'!$B:$B,'[1]Global_Spot Prices'!$D:$D)</f>
        <v>93.73</v>
      </c>
      <c r="E2025">
        <f>_xlfn.XLOOKUP(A2025,'[1]Global_Spot Prices'!$B:$B,'[1]Global_Spot Prices'!$H:$H)</f>
        <v>70.23</v>
      </c>
      <c r="F2025">
        <f>_xlfn.XLOOKUP(A2025,'[1]Global_Spot Prices'!$B:$B,'[1]Global_Spot Prices'!$I:$I)</f>
        <v>86.41</v>
      </c>
      <c r="G2025" cm="1">
        <f t="array" ref="G2025">_xlfn.XLOOKUP(TEXT(A2025, "mmm-yy"), TEXT([2]RUNS!$B$5:$B$208, "mmm-yy"), [2]RUNS!$D$5:$D$208, "Not Found")</f>
        <v>29189.282090649525</v>
      </c>
      <c r="H2025" cm="1">
        <f t="array" ref="H2025">SUMPRODUCT(
    --(TEXT('[3]Global Weekly Stock (EWSuez'!$B$4:$B$2000,"mmm-yy")=TEXT(A2025,"mmm-yy")),
    '[3]Global Weekly Stock (EWSuez'!$E$4:$E$2000)
/
SUMPRODUCT(
    --(TEXT('[3]Global Weekly Stock (EWSuez'!$B$4:$B$2000,"mmm-yy")=TEXT(A2025,"mmm-yy"))
)</f>
        <v>15359.5</v>
      </c>
      <c r="I2025">
        <f>_xlfn.XLOOKUP(A2025,[1]ForwardDeriv!$D:$D,[1]ForwardDeriv!$AJ:$AJ)</f>
        <v>0</v>
      </c>
      <c r="J2025" cm="1">
        <f t="array" ref="J2025">_xlfn.XLOOKUP(TEXT(A2025, "mmm-yy"), TEXT([2]GASOLINE!$B$5:$B$208, "mmm-yy"), [2]GASOLINE!$IR$5:$IR$208, "Not Found")</f>
        <v>-288.49545904967988</v>
      </c>
      <c r="K2025" cm="1">
        <f t="array" ref="K2025">_xlfn.XLOOKUP(TEXT(A2025, "mmm-yy"), TEXT([2]GASOLINE!$B$5:$B$208, "mmm-yy"), [2]GASOLINE!$IK$5:$IK$208, "Not Found")</f>
        <v>167.85117353305785</v>
      </c>
      <c r="L2025">
        <f t="shared" si="31"/>
        <v>0</v>
      </c>
      <c r="M2025" cm="1">
        <f t="array" ref="M2025">_xlfn.XLOOKUP(TEXT(A2025, "mmm-yy"), TEXT([2]GASOLINE!$B$5:$B$208, "mmm-yy"), [2]GASOLINE!$C$5:$C$208, "Not Found")</f>
        <v>7228.3727645065264</v>
      </c>
      <c r="N2025" cm="1">
        <f t="array" ref="N2025">_xlfn.XLOOKUP(TEXT(A2025, "mmm-yy"), TEXT([2]RUNS!$B$5:$B$208, "mmm-yy"), [2]RUNS!$BM$5:$BM$208, "Not Found")</f>
        <v>0.80648302560555452</v>
      </c>
    </row>
    <row r="2026" spans="1:14" x14ac:dyDescent="0.25">
      <c r="A2026" s="1">
        <f>'[1]Global_Spot Prices'!$B3335</f>
        <v>44839</v>
      </c>
      <c r="B2026">
        <f>_xlfn.XLOOKUP(A2026,'[1]Global_Spot Prices'!$B:$B,'[1]Global_Spot Prices'!$BS:$BS)</f>
        <v>-0.42000000000000171</v>
      </c>
      <c r="C2026">
        <f>_xlfn.XLOOKUP(A2026,'[1]Global_Spot Prices'!$B:$B,'[1]Global_Spot Prices'!$E:$E)</f>
        <v>91.18</v>
      </c>
      <c r="D2026">
        <f>_xlfn.XLOOKUP(A2026,'[1]Global_Spot Prices'!$B:$B,'[1]Global_Spot Prices'!$D:$D)</f>
        <v>95.24</v>
      </c>
      <c r="E2026">
        <f>_xlfn.XLOOKUP(A2026,'[1]Global_Spot Prices'!$B:$B,'[1]Global_Spot Prices'!$H:$H)</f>
        <v>72.98</v>
      </c>
      <c r="F2026">
        <f>_xlfn.XLOOKUP(A2026,'[1]Global_Spot Prices'!$B:$B,'[1]Global_Spot Prices'!$I:$I)</f>
        <v>90.76</v>
      </c>
      <c r="G2026" cm="1">
        <f t="array" ref="G2026">_xlfn.XLOOKUP(TEXT(A2026, "mmm-yy"), TEXT([2]RUNS!$B$5:$B$208, "mmm-yy"), [2]RUNS!$D$5:$D$208, "Not Found")</f>
        <v>29189.282090649525</v>
      </c>
      <c r="H2026" cm="1">
        <f t="array" ref="H2026">SUMPRODUCT(
    --(TEXT('[3]Global Weekly Stock (EWSuez'!$B$4:$B$2000,"mmm-yy")=TEXT(A2026,"mmm-yy")),
    '[3]Global Weekly Stock (EWSuez'!$E$4:$E$2000)
/
SUMPRODUCT(
    --(TEXT('[3]Global Weekly Stock (EWSuez'!$B$4:$B$2000,"mmm-yy")=TEXT(A2026,"mmm-yy"))
)</f>
        <v>15359.5</v>
      </c>
      <c r="I2026">
        <f>_xlfn.XLOOKUP(A2026,[1]ForwardDeriv!$D:$D,[1]ForwardDeriv!$AJ:$AJ)</f>
        <v>0.45000000000000284</v>
      </c>
      <c r="J2026" cm="1">
        <f t="array" ref="J2026">_xlfn.XLOOKUP(TEXT(A2026, "mmm-yy"), TEXT([2]GASOLINE!$B$5:$B$208, "mmm-yy"), [2]GASOLINE!$IR$5:$IR$208, "Not Found")</f>
        <v>-288.49545904967988</v>
      </c>
      <c r="K2026" cm="1">
        <f t="array" ref="K2026">_xlfn.XLOOKUP(TEXT(A2026, "mmm-yy"), TEXT([2]GASOLINE!$B$5:$B$208, "mmm-yy"), [2]GASOLINE!$IK$5:$IK$208, "Not Found")</f>
        <v>167.85117353305785</v>
      </c>
      <c r="L2026">
        <f t="shared" si="31"/>
        <v>0</v>
      </c>
      <c r="M2026" cm="1">
        <f t="array" ref="M2026">_xlfn.XLOOKUP(TEXT(A2026, "mmm-yy"), TEXT([2]GASOLINE!$B$5:$B$208, "mmm-yy"), [2]GASOLINE!$C$5:$C$208, "Not Found")</f>
        <v>7228.3727645065264</v>
      </c>
      <c r="N2026" cm="1">
        <f t="array" ref="N2026">_xlfn.XLOOKUP(TEXT(A2026, "mmm-yy"), TEXT([2]RUNS!$B$5:$B$208, "mmm-yy"), [2]RUNS!$BM$5:$BM$208, "Not Found")</f>
        <v>0.80648302560555452</v>
      </c>
    </row>
    <row r="2027" spans="1:14" x14ac:dyDescent="0.25">
      <c r="A2027" s="1">
        <f>'[1]Global_Spot Prices'!$B3336</f>
        <v>44840</v>
      </c>
      <c r="B2027">
        <f>_xlfn.XLOOKUP(A2027,'[1]Global_Spot Prices'!$B:$B,'[1]Global_Spot Prices'!$BS:$BS)</f>
        <v>-0.32999999999999829</v>
      </c>
      <c r="C2027">
        <f>_xlfn.XLOOKUP(A2027,'[1]Global_Spot Prices'!$B:$B,'[1]Global_Spot Prices'!$E:$E)</f>
        <v>93.26</v>
      </c>
      <c r="D2027">
        <f>_xlfn.XLOOKUP(A2027,'[1]Global_Spot Prices'!$B:$B,'[1]Global_Spot Prices'!$D:$D)</f>
        <v>96.055000000000007</v>
      </c>
      <c r="E2027">
        <f>_xlfn.XLOOKUP(A2027,'[1]Global_Spot Prices'!$B:$B,'[1]Global_Spot Prices'!$H:$H)</f>
        <v>73.510000000000005</v>
      </c>
      <c r="F2027">
        <f>_xlfn.XLOOKUP(A2027,'[1]Global_Spot Prices'!$B:$B,'[1]Global_Spot Prices'!$I:$I)</f>
        <v>92.93</v>
      </c>
      <c r="G2027" cm="1">
        <f t="array" ref="G2027">_xlfn.XLOOKUP(TEXT(A2027, "mmm-yy"), TEXT([2]RUNS!$B$5:$B$208, "mmm-yy"), [2]RUNS!$D$5:$D$208, "Not Found")</f>
        <v>29189.282090649525</v>
      </c>
      <c r="H2027" cm="1">
        <f t="array" ref="H2027">SUMPRODUCT(
    --(TEXT('[3]Global Weekly Stock (EWSuez'!$B$4:$B$2000,"mmm-yy")=TEXT(A2027,"mmm-yy")),
    '[3]Global Weekly Stock (EWSuez'!$E$4:$E$2000)
/
SUMPRODUCT(
    --(TEXT('[3]Global Weekly Stock (EWSuez'!$B$4:$B$2000,"mmm-yy")=TEXT(A2027,"mmm-yy"))
)</f>
        <v>15359.5</v>
      </c>
      <c r="I2027">
        <f>_xlfn.XLOOKUP(A2027,[1]ForwardDeriv!$D:$D,[1]ForwardDeriv!$AJ:$AJ)</f>
        <v>0.57999999999999829</v>
      </c>
      <c r="J2027" cm="1">
        <f t="array" ref="J2027">_xlfn.XLOOKUP(TEXT(A2027, "mmm-yy"), TEXT([2]GASOLINE!$B$5:$B$208, "mmm-yy"), [2]GASOLINE!$IR$5:$IR$208, "Not Found")</f>
        <v>-288.49545904967988</v>
      </c>
      <c r="K2027" cm="1">
        <f t="array" ref="K2027">_xlfn.XLOOKUP(TEXT(A2027, "mmm-yy"), TEXT([2]GASOLINE!$B$5:$B$208, "mmm-yy"), [2]GASOLINE!$IK$5:$IK$208, "Not Found")</f>
        <v>167.85117353305785</v>
      </c>
      <c r="L2027">
        <f t="shared" si="31"/>
        <v>0</v>
      </c>
      <c r="M2027" cm="1">
        <f t="array" ref="M2027">_xlfn.XLOOKUP(TEXT(A2027, "mmm-yy"), TEXT([2]GASOLINE!$B$5:$B$208, "mmm-yy"), [2]GASOLINE!$C$5:$C$208, "Not Found")</f>
        <v>7228.3727645065264</v>
      </c>
      <c r="N2027" cm="1">
        <f t="array" ref="N2027">_xlfn.XLOOKUP(TEXT(A2027, "mmm-yy"), TEXT([2]RUNS!$B$5:$B$208, "mmm-yy"), [2]RUNS!$BM$5:$BM$208, "Not Found")</f>
        <v>0.80648302560555452</v>
      </c>
    </row>
    <row r="2028" spans="1:14" x14ac:dyDescent="0.25">
      <c r="A2028" s="1">
        <f>'[1]Global_Spot Prices'!$B3337</f>
        <v>44841</v>
      </c>
      <c r="B2028">
        <f>_xlfn.XLOOKUP(A2028,'[1]Global_Spot Prices'!$B:$B,'[1]Global_Spot Prices'!$BS:$BS)</f>
        <v>2.0000000000010232E-2</v>
      </c>
      <c r="C2028">
        <f>_xlfn.XLOOKUP(A2028,'[1]Global_Spot Prices'!$B:$B,'[1]Global_Spot Prices'!$E:$E)</f>
        <v>94.35</v>
      </c>
      <c r="D2028">
        <f>_xlfn.XLOOKUP(A2028,'[1]Global_Spot Prices'!$B:$B,'[1]Global_Spot Prices'!$D:$D)</f>
        <v>98.775000000000006</v>
      </c>
      <c r="E2028">
        <f>_xlfn.XLOOKUP(A2028,'[1]Global_Spot Prices'!$B:$B,'[1]Global_Spot Prices'!$H:$H)</f>
        <v>73.150000000000006</v>
      </c>
      <c r="F2028">
        <f>_xlfn.XLOOKUP(A2028,'[1]Global_Spot Prices'!$B:$B,'[1]Global_Spot Prices'!$I:$I)</f>
        <v>94.37</v>
      </c>
      <c r="G2028" cm="1">
        <f t="array" ref="G2028">_xlfn.XLOOKUP(TEXT(A2028, "mmm-yy"), TEXT([2]RUNS!$B$5:$B$208, "mmm-yy"), [2]RUNS!$D$5:$D$208, "Not Found")</f>
        <v>29189.282090649525</v>
      </c>
      <c r="H2028" cm="1">
        <f t="array" ref="H2028">SUMPRODUCT(
    --(TEXT('[3]Global Weekly Stock (EWSuez'!$B$4:$B$2000,"mmm-yy")=TEXT(A2028,"mmm-yy")),
    '[3]Global Weekly Stock (EWSuez'!$E$4:$E$2000)
/
SUMPRODUCT(
    --(TEXT('[3]Global Weekly Stock (EWSuez'!$B$4:$B$2000,"mmm-yy")=TEXT(A2028,"mmm-yy"))
)</f>
        <v>15359.5</v>
      </c>
      <c r="I2028">
        <f>_xlfn.XLOOKUP(A2028,[1]ForwardDeriv!$D:$D,[1]ForwardDeriv!$AJ:$AJ)</f>
        <v>0.75</v>
      </c>
      <c r="J2028" cm="1">
        <f t="array" ref="J2028">_xlfn.XLOOKUP(TEXT(A2028, "mmm-yy"), TEXT([2]GASOLINE!$B$5:$B$208, "mmm-yy"), [2]GASOLINE!$IR$5:$IR$208, "Not Found")</f>
        <v>-288.49545904967988</v>
      </c>
      <c r="K2028" cm="1">
        <f t="array" ref="K2028">_xlfn.XLOOKUP(TEXT(A2028, "mmm-yy"), TEXT([2]GASOLINE!$B$5:$B$208, "mmm-yy"), [2]GASOLINE!$IK$5:$IK$208, "Not Found")</f>
        <v>167.85117353305785</v>
      </c>
      <c r="L2028">
        <f t="shared" si="31"/>
        <v>0</v>
      </c>
      <c r="M2028" cm="1">
        <f t="array" ref="M2028">_xlfn.XLOOKUP(TEXT(A2028, "mmm-yy"), TEXT([2]GASOLINE!$B$5:$B$208, "mmm-yy"), [2]GASOLINE!$C$5:$C$208, "Not Found")</f>
        <v>7228.3727645065264</v>
      </c>
      <c r="N2028" cm="1">
        <f t="array" ref="N2028">_xlfn.XLOOKUP(TEXT(A2028, "mmm-yy"), TEXT([2]RUNS!$B$5:$B$208, "mmm-yy"), [2]RUNS!$BM$5:$BM$208, "Not Found")</f>
        <v>0.80648302560555452</v>
      </c>
    </row>
    <row r="2029" spans="1:14" x14ac:dyDescent="0.25">
      <c r="A2029" s="1">
        <f>'[1]Global_Spot Prices'!$B3338</f>
        <v>44844</v>
      </c>
      <c r="B2029">
        <f>_xlfn.XLOOKUP(A2029,'[1]Global_Spot Prices'!$B:$B,'[1]Global_Spot Prices'!$BS:$BS)</f>
        <v>-2.1600000000000108</v>
      </c>
      <c r="C2029">
        <f>_xlfn.XLOOKUP(A2029,'[1]Global_Spot Prices'!$B:$B,'[1]Global_Spot Prices'!$E:$E)</f>
        <v>96.54</v>
      </c>
      <c r="D2029">
        <f>_xlfn.XLOOKUP(A2029,'[1]Global_Spot Prices'!$B:$B,'[1]Global_Spot Prices'!$D:$D)</f>
        <v>98.394999999999996</v>
      </c>
      <c r="E2029">
        <f>_xlfn.XLOOKUP(A2029,'[1]Global_Spot Prices'!$B:$B,'[1]Global_Spot Prices'!$H:$H)</f>
        <v>73.17</v>
      </c>
      <c r="F2029">
        <f>_xlfn.XLOOKUP(A2029,'[1]Global_Spot Prices'!$B:$B,'[1]Global_Spot Prices'!$I:$I)</f>
        <v>94.38</v>
      </c>
      <c r="G2029" cm="1">
        <f t="array" ref="G2029">_xlfn.XLOOKUP(TEXT(A2029, "mmm-yy"), TEXT([2]RUNS!$B$5:$B$208, "mmm-yy"), [2]RUNS!$D$5:$D$208, "Not Found")</f>
        <v>29189.282090649525</v>
      </c>
      <c r="H2029" cm="1">
        <f t="array" ref="H2029">SUMPRODUCT(
    --(TEXT('[3]Global Weekly Stock (EWSuez'!$B$4:$B$2000,"mmm-yy")=TEXT(A2029,"mmm-yy")),
    '[3]Global Weekly Stock (EWSuez'!$E$4:$E$2000)
/
SUMPRODUCT(
    --(TEXT('[3]Global Weekly Stock (EWSuez'!$B$4:$B$2000,"mmm-yy")=TEXT(A2029,"mmm-yy"))
)</f>
        <v>15359.5</v>
      </c>
      <c r="I2029">
        <f>_xlfn.XLOOKUP(A2029,[1]ForwardDeriv!$D:$D,[1]ForwardDeriv!$AJ:$AJ)</f>
        <v>0.42999999999999261</v>
      </c>
      <c r="J2029" cm="1">
        <f t="array" ref="J2029">_xlfn.XLOOKUP(TEXT(A2029, "mmm-yy"), TEXT([2]GASOLINE!$B$5:$B$208, "mmm-yy"), [2]GASOLINE!$IR$5:$IR$208, "Not Found")</f>
        <v>-288.49545904967988</v>
      </c>
      <c r="K2029" cm="1">
        <f t="array" ref="K2029">_xlfn.XLOOKUP(TEXT(A2029, "mmm-yy"), TEXT([2]GASOLINE!$B$5:$B$208, "mmm-yy"), [2]GASOLINE!$IK$5:$IK$208, "Not Found")</f>
        <v>167.85117353305785</v>
      </c>
      <c r="L2029">
        <f t="shared" si="31"/>
        <v>0</v>
      </c>
      <c r="M2029" cm="1">
        <f t="array" ref="M2029">_xlfn.XLOOKUP(TEXT(A2029, "mmm-yy"), TEXT([2]GASOLINE!$B$5:$B$208, "mmm-yy"), [2]GASOLINE!$C$5:$C$208, "Not Found")</f>
        <v>7228.3727645065264</v>
      </c>
      <c r="N2029" cm="1">
        <f t="array" ref="N2029">_xlfn.XLOOKUP(TEXT(A2029, "mmm-yy"), TEXT([2]RUNS!$B$5:$B$208, "mmm-yy"), [2]RUNS!$BM$5:$BM$208, "Not Found")</f>
        <v>0.80648302560555452</v>
      </c>
    </row>
    <row r="2030" spans="1:14" x14ac:dyDescent="0.25">
      <c r="A2030" s="1">
        <f>'[1]Global_Spot Prices'!$B3339</f>
        <v>44845</v>
      </c>
      <c r="B2030">
        <f>_xlfn.XLOOKUP(A2030,'[1]Global_Spot Prices'!$B:$B,'[1]Global_Spot Prices'!$BS:$BS)</f>
        <v>-2.7199999999999989</v>
      </c>
      <c r="C2030">
        <f>_xlfn.XLOOKUP(A2030,'[1]Global_Spot Prices'!$B:$B,'[1]Global_Spot Prices'!$E:$E)</f>
        <v>93.7</v>
      </c>
      <c r="D2030">
        <f>_xlfn.XLOOKUP(A2030,'[1]Global_Spot Prices'!$B:$B,'[1]Global_Spot Prices'!$D:$D)</f>
        <v>95.334999999999994</v>
      </c>
      <c r="E2030">
        <f>_xlfn.XLOOKUP(A2030,'[1]Global_Spot Prices'!$B:$B,'[1]Global_Spot Prices'!$H:$H)</f>
        <v>71.83</v>
      </c>
      <c r="F2030">
        <f>_xlfn.XLOOKUP(A2030,'[1]Global_Spot Prices'!$B:$B,'[1]Global_Spot Prices'!$I:$I)</f>
        <v>90.98</v>
      </c>
      <c r="G2030" cm="1">
        <f t="array" ref="G2030">_xlfn.XLOOKUP(TEXT(A2030, "mmm-yy"), TEXT([2]RUNS!$B$5:$B$208, "mmm-yy"), [2]RUNS!$D$5:$D$208, "Not Found")</f>
        <v>29189.282090649525</v>
      </c>
      <c r="H2030" cm="1">
        <f t="array" ref="H2030">SUMPRODUCT(
    --(TEXT('[3]Global Weekly Stock (EWSuez'!$B$4:$B$2000,"mmm-yy")=TEXT(A2030,"mmm-yy")),
    '[3]Global Weekly Stock (EWSuez'!$E$4:$E$2000)
/
SUMPRODUCT(
    --(TEXT('[3]Global Weekly Stock (EWSuez'!$B$4:$B$2000,"mmm-yy")=TEXT(A2030,"mmm-yy"))
)</f>
        <v>15359.5</v>
      </c>
      <c r="I2030">
        <f>_xlfn.XLOOKUP(A2030,[1]ForwardDeriv!$D:$D,[1]ForwardDeriv!$AJ:$AJ)</f>
        <v>0.46000000000000796</v>
      </c>
      <c r="J2030" cm="1">
        <f t="array" ref="J2030">_xlfn.XLOOKUP(TEXT(A2030, "mmm-yy"), TEXT([2]GASOLINE!$B$5:$B$208, "mmm-yy"), [2]GASOLINE!$IR$5:$IR$208, "Not Found")</f>
        <v>-288.49545904967988</v>
      </c>
      <c r="K2030" cm="1">
        <f t="array" ref="K2030">_xlfn.XLOOKUP(TEXT(A2030, "mmm-yy"), TEXT([2]GASOLINE!$B$5:$B$208, "mmm-yy"), [2]GASOLINE!$IK$5:$IK$208, "Not Found")</f>
        <v>167.85117353305785</v>
      </c>
      <c r="L2030">
        <f t="shared" si="31"/>
        <v>0</v>
      </c>
      <c r="M2030" cm="1">
        <f t="array" ref="M2030">_xlfn.XLOOKUP(TEXT(A2030, "mmm-yy"), TEXT([2]GASOLINE!$B$5:$B$208, "mmm-yy"), [2]GASOLINE!$C$5:$C$208, "Not Found")</f>
        <v>7228.3727645065264</v>
      </c>
      <c r="N2030" cm="1">
        <f t="array" ref="N2030">_xlfn.XLOOKUP(TEXT(A2030, "mmm-yy"), TEXT([2]RUNS!$B$5:$B$208, "mmm-yy"), [2]RUNS!$BM$5:$BM$208, "Not Found")</f>
        <v>0.80648302560555452</v>
      </c>
    </row>
    <row r="2031" spans="1:14" x14ac:dyDescent="0.25">
      <c r="A2031" s="1">
        <f>'[1]Global_Spot Prices'!$B3340</f>
        <v>44846</v>
      </c>
      <c r="B2031">
        <f>_xlfn.XLOOKUP(A2031,'[1]Global_Spot Prices'!$B:$B,'[1]Global_Spot Prices'!$BS:$BS)</f>
        <v>-0.60000000000000853</v>
      </c>
      <c r="C2031">
        <f>_xlfn.XLOOKUP(A2031,'[1]Global_Spot Prices'!$B:$B,'[1]Global_Spot Prices'!$E:$E)</f>
        <v>92.9</v>
      </c>
      <c r="D2031">
        <f>_xlfn.XLOOKUP(A2031,'[1]Global_Spot Prices'!$B:$B,'[1]Global_Spot Prices'!$D:$D)</f>
        <v>93.08</v>
      </c>
      <c r="E2031">
        <f>_xlfn.XLOOKUP(A2031,'[1]Global_Spot Prices'!$B:$B,'[1]Global_Spot Prices'!$H:$H)</f>
        <v>71.09</v>
      </c>
      <c r="F2031">
        <f>_xlfn.XLOOKUP(A2031,'[1]Global_Spot Prices'!$B:$B,'[1]Global_Spot Prices'!$I:$I)</f>
        <v>92.3</v>
      </c>
      <c r="G2031" cm="1">
        <f t="array" ref="G2031">_xlfn.XLOOKUP(TEXT(A2031, "mmm-yy"), TEXT([2]RUNS!$B$5:$B$208, "mmm-yy"), [2]RUNS!$D$5:$D$208, "Not Found")</f>
        <v>29189.282090649525</v>
      </c>
      <c r="H2031" cm="1">
        <f t="array" ref="H2031">SUMPRODUCT(
    --(TEXT('[3]Global Weekly Stock (EWSuez'!$B$4:$B$2000,"mmm-yy")=TEXT(A2031,"mmm-yy")),
    '[3]Global Weekly Stock (EWSuez'!$E$4:$E$2000)
/
SUMPRODUCT(
    --(TEXT('[3]Global Weekly Stock (EWSuez'!$B$4:$B$2000,"mmm-yy")=TEXT(A2031,"mmm-yy"))
)</f>
        <v>15359.5</v>
      </c>
      <c r="I2031">
        <f>_xlfn.XLOOKUP(A2031,[1]ForwardDeriv!$D:$D,[1]ForwardDeriv!$AJ:$AJ)</f>
        <v>0.93000000000000682</v>
      </c>
      <c r="J2031" cm="1">
        <f t="array" ref="J2031">_xlfn.XLOOKUP(TEXT(A2031, "mmm-yy"), TEXT([2]GASOLINE!$B$5:$B$208, "mmm-yy"), [2]GASOLINE!$IR$5:$IR$208, "Not Found")</f>
        <v>-288.49545904967988</v>
      </c>
      <c r="K2031" cm="1">
        <f t="array" ref="K2031">_xlfn.XLOOKUP(TEXT(A2031, "mmm-yy"), TEXT([2]GASOLINE!$B$5:$B$208, "mmm-yy"), [2]GASOLINE!$IK$5:$IK$208, "Not Found")</f>
        <v>167.85117353305785</v>
      </c>
      <c r="L2031">
        <f t="shared" si="31"/>
        <v>0</v>
      </c>
      <c r="M2031" cm="1">
        <f t="array" ref="M2031">_xlfn.XLOOKUP(TEXT(A2031, "mmm-yy"), TEXT([2]GASOLINE!$B$5:$B$208, "mmm-yy"), [2]GASOLINE!$C$5:$C$208, "Not Found")</f>
        <v>7228.3727645065264</v>
      </c>
      <c r="N2031" cm="1">
        <f t="array" ref="N2031">_xlfn.XLOOKUP(TEXT(A2031, "mmm-yy"), TEXT([2]RUNS!$B$5:$B$208, "mmm-yy"), [2]RUNS!$BM$5:$BM$208, "Not Found")</f>
        <v>0.80648302560555452</v>
      </c>
    </row>
    <row r="2032" spans="1:14" x14ac:dyDescent="0.25">
      <c r="A2032" s="1">
        <f>'[1]Global_Spot Prices'!$B3341</f>
        <v>44847</v>
      </c>
      <c r="B2032">
        <f>_xlfn.XLOOKUP(A2032,'[1]Global_Spot Prices'!$B:$B,'[1]Global_Spot Prices'!$BS:$BS)</f>
        <v>4.0000000000006253E-2</v>
      </c>
      <c r="C2032">
        <f>_xlfn.XLOOKUP(A2032,'[1]Global_Spot Prices'!$B:$B,'[1]Global_Spot Prices'!$E:$E)</f>
        <v>91.16</v>
      </c>
      <c r="D2032">
        <f>_xlfn.XLOOKUP(A2032,'[1]Global_Spot Prices'!$B:$B,'[1]Global_Spot Prices'!$D:$D)</f>
        <v>93.98</v>
      </c>
      <c r="E2032">
        <f>_xlfn.XLOOKUP(A2032,'[1]Global_Spot Prices'!$B:$B,'[1]Global_Spot Prices'!$H:$H)</f>
        <v>69.91</v>
      </c>
      <c r="F2032">
        <f>_xlfn.XLOOKUP(A2032,'[1]Global_Spot Prices'!$B:$B,'[1]Global_Spot Prices'!$I:$I)</f>
        <v>91.2</v>
      </c>
      <c r="G2032" cm="1">
        <f t="array" ref="G2032">_xlfn.XLOOKUP(TEXT(A2032, "mmm-yy"), TEXT([2]RUNS!$B$5:$B$208, "mmm-yy"), [2]RUNS!$D$5:$D$208, "Not Found")</f>
        <v>29189.282090649525</v>
      </c>
      <c r="H2032" cm="1">
        <f t="array" ref="H2032">SUMPRODUCT(
    --(TEXT('[3]Global Weekly Stock (EWSuez'!$B$4:$B$2000,"mmm-yy")=TEXT(A2032,"mmm-yy")),
    '[3]Global Weekly Stock (EWSuez'!$E$4:$E$2000)
/
SUMPRODUCT(
    --(TEXT('[3]Global Weekly Stock (EWSuez'!$B$4:$B$2000,"mmm-yy")=TEXT(A2032,"mmm-yy"))
)</f>
        <v>15359.5</v>
      </c>
      <c r="I2032">
        <f>_xlfn.XLOOKUP(A2032,[1]ForwardDeriv!$D:$D,[1]ForwardDeriv!$AJ:$AJ)</f>
        <v>1.1200000000000045</v>
      </c>
      <c r="J2032" cm="1">
        <f t="array" ref="J2032">_xlfn.XLOOKUP(TEXT(A2032, "mmm-yy"), TEXT([2]GASOLINE!$B$5:$B$208, "mmm-yy"), [2]GASOLINE!$IR$5:$IR$208, "Not Found")</f>
        <v>-288.49545904967988</v>
      </c>
      <c r="K2032" cm="1">
        <f t="array" ref="K2032">_xlfn.XLOOKUP(TEXT(A2032, "mmm-yy"), TEXT([2]GASOLINE!$B$5:$B$208, "mmm-yy"), [2]GASOLINE!$IK$5:$IK$208, "Not Found")</f>
        <v>167.85117353305785</v>
      </c>
      <c r="L2032">
        <f t="shared" si="31"/>
        <v>0</v>
      </c>
      <c r="M2032" cm="1">
        <f t="array" ref="M2032">_xlfn.XLOOKUP(TEXT(A2032, "mmm-yy"), TEXT([2]GASOLINE!$B$5:$B$208, "mmm-yy"), [2]GASOLINE!$C$5:$C$208, "Not Found")</f>
        <v>7228.3727645065264</v>
      </c>
      <c r="N2032" cm="1">
        <f t="array" ref="N2032">_xlfn.XLOOKUP(TEXT(A2032, "mmm-yy"), TEXT([2]RUNS!$B$5:$B$208, "mmm-yy"), [2]RUNS!$BM$5:$BM$208, "Not Found")</f>
        <v>0.80648302560555452</v>
      </c>
    </row>
    <row r="2033" spans="1:14" x14ac:dyDescent="0.25">
      <c r="A2033" s="1">
        <f>'[1]Global_Spot Prices'!$B3342</f>
        <v>44848</v>
      </c>
      <c r="B2033">
        <f>_xlfn.XLOOKUP(A2033,'[1]Global_Spot Prices'!$B:$B,'[1]Global_Spot Prices'!$BS:$BS)</f>
        <v>-9.9999999999909051E-3</v>
      </c>
      <c r="C2033">
        <f>_xlfn.XLOOKUP(A2033,'[1]Global_Spot Prices'!$B:$B,'[1]Global_Spot Prices'!$E:$E)</f>
        <v>92.1</v>
      </c>
      <c r="D2033">
        <f>_xlfn.XLOOKUP(A2033,'[1]Global_Spot Prices'!$B:$B,'[1]Global_Spot Prices'!$D:$D)</f>
        <v>92.875</v>
      </c>
      <c r="E2033">
        <f>_xlfn.XLOOKUP(A2033,'[1]Global_Spot Prices'!$B:$B,'[1]Global_Spot Prices'!$H:$H)</f>
        <v>70.13</v>
      </c>
      <c r="F2033">
        <f>_xlfn.XLOOKUP(A2033,'[1]Global_Spot Prices'!$B:$B,'[1]Global_Spot Prices'!$I:$I)</f>
        <v>92.09</v>
      </c>
      <c r="G2033" cm="1">
        <f t="array" ref="G2033">_xlfn.XLOOKUP(TEXT(A2033, "mmm-yy"), TEXT([2]RUNS!$B$5:$B$208, "mmm-yy"), [2]RUNS!$D$5:$D$208, "Not Found")</f>
        <v>29189.282090649525</v>
      </c>
      <c r="H2033" cm="1">
        <f t="array" ref="H2033">SUMPRODUCT(
    --(TEXT('[3]Global Weekly Stock (EWSuez'!$B$4:$B$2000,"mmm-yy")=TEXT(A2033,"mmm-yy")),
    '[3]Global Weekly Stock (EWSuez'!$E$4:$E$2000)
/
SUMPRODUCT(
    --(TEXT('[3]Global Weekly Stock (EWSuez'!$B$4:$B$2000,"mmm-yy")=TEXT(A2033,"mmm-yy"))
)</f>
        <v>15359.5</v>
      </c>
      <c r="I2033">
        <f>_xlfn.XLOOKUP(A2033,[1]ForwardDeriv!$D:$D,[1]ForwardDeriv!$AJ:$AJ)</f>
        <v>1</v>
      </c>
      <c r="J2033" cm="1">
        <f t="array" ref="J2033">_xlfn.XLOOKUP(TEXT(A2033, "mmm-yy"), TEXT([2]GASOLINE!$B$5:$B$208, "mmm-yy"), [2]GASOLINE!$IR$5:$IR$208, "Not Found")</f>
        <v>-288.49545904967988</v>
      </c>
      <c r="K2033" cm="1">
        <f t="array" ref="K2033">_xlfn.XLOOKUP(TEXT(A2033, "mmm-yy"), TEXT([2]GASOLINE!$B$5:$B$208, "mmm-yy"), [2]GASOLINE!$IK$5:$IK$208, "Not Found")</f>
        <v>167.85117353305785</v>
      </c>
      <c r="L2033">
        <f t="shared" si="31"/>
        <v>0</v>
      </c>
      <c r="M2033" cm="1">
        <f t="array" ref="M2033">_xlfn.XLOOKUP(TEXT(A2033, "mmm-yy"), TEXT([2]GASOLINE!$B$5:$B$208, "mmm-yy"), [2]GASOLINE!$C$5:$C$208, "Not Found")</f>
        <v>7228.3727645065264</v>
      </c>
      <c r="N2033" cm="1">
        <f t="array" ref="N2033">_xlfn.XLOOKUP(TEXT(A2033, "mmm-yy"), TEXT([2]RUNS!$B$5:$B$208, "mmm-yy"), [2]RUNS!$BM$5:$BM$208, "Not Found")</f>
        <v>0.80648302560555452</v>
      </c>
    </row>
    <row r="2034" spans="1:14" x14ac:dyDescent="0.25">
      <c r="A2034" s="1">
        <f>'[1]Global_Spot Prices'!$B3343</f>
        <v>44851</v>
      </c>
      <c r="B2034">
        <f>_xlfn.XLOOKUP(A2034,'[1]Global_Spot Prices'!$B:$B,'[1]Global_Spot Prices'!$BS:$BS)</f>
        <v>0.91999999999998749</v>
      </c>
      <c r="C2034">
        <f>_xlfn.XLOOKUP(A2034,'[1]Global_Spot Prices'!$B:$B,'[1]Global_Spot Prices'!$E:$E)</f>
        <v>89.65</v>
      </c>
      <c r="D2034">
        <f>_xlfn.XLOOKUP(A2034,'[1]Global_Spot Prices'!$B:$B,'[1]Global_Spot Prices'!$D:$D)</f>
        <v>91.444999999999993</v>
      </c>
      <c r="E2034">
        <f>_xlfn.XLOOKUP(A2034,'[1]Global_Spot Prices'!$B:$B,'[1]Global_Spot Prices'!$H:$H)</f>
        <v>69.319999999999993</v>
      </c>
      <c r="F2034">
        <f>_xlfn.XLOOKUP(A2034,'[1]Global_Spot Prices'!$B:$B,'[1]Global_Spot Prices'!$I:$I)</f>
        <v>90.57</v>
      </c>
      <c r="G2034" cm="1">
        <f t="array" ref="G2034">_xlfn.XLOOKUP(TEXT(A2034, "mmm-yy"), TEXT([2]RUNS!$B$5:$B$208, "mmm-yy"), [2]RUNS!$D$5:$D$208, "Not Found")</f>
        <v>29189.282090649525</v>
      </c>
      <c r="H2034" cm="1">
        <f t="array" ref="H2034">SUMPRODUCT(
    --(TEXT('[3]Global Weekly Stock (EWSuez'!$B$4:$B$2000,"mmm-yy")=TEXT(A2034,"mmm-yy")),
    '[3]Global Weekly Stock (EWSuez'!$E$4:$E$2000)
/
SUMPRODUCT(
    --(TEXT('[3]Global Weekly Stock (EWSuez'!$B$4:$B$2000,"mmm-yy")=TEXT(A2034,"mmm-yy"))
)</f>
        <v>15359.5</v>
      </c>
      <c r="I2034">
        <f>_xlfn.XLOOKUP(A2034,[1]ForwardDeriv!$D:$D,[1]ForwardDeriv!$AJ:$AJ)</f>
        <v>1</v>
      </c>
      <c r="J2034" cm="1">
        <f t="array" ref="J2034">_xlfn.XLOOKUP(TEXT(A2034, "mmm-yy"), TEXT([2]GASOLINE!$B$5:$B$208, "mmm-yy"), [2]GASOLINE!$IR$5:$IR$208, "Not Found")</f>
        <v>-288.49545904967988</v>
      </c>
      <c r="K2034" cm="1">
        <f t="array" ref="K2034">_xlfn.XLOOKUP(TEXT(A2034, "mmm-yy"), TEXT([2]GASOLINE!$B$5:$B$208, "mmm-yy"), [2]GASOLINE!$IK$5:$IK$208, "Not Found")</f>
        <v>167.85117353305785</v>
      </c>
      <c r="L2034">
        <f t="shared" si="31"/>
        <v>0</v>
      </c>
      <c r="M2034" cm="1">
        <f t="array" ref="M2034">_xlfn.XLOOKUP(TEXT(A2034, "mmm-yy"), TEXT([2]GASOLINE!$B$5:$B$208, "mmm-yy"), [2]GASOLINE!$C$5:$C$208, "Not Found")</f>
        <v>7228.3727645065264</v>
      </c>
      <c r="N2034" cm="1">
        <f t="array" ref="N2034">_xlfn.XLOOKUP(TEXT(A2034, "mmm-yy"), TEXT([2]RUNS!$B$5:$B$208, "mmm-yy"), [2]RUNS!$BM$5:$BM$208, "Not Found")</f>
        <v>0.80648302560555452</v>
      </c>
    </row>
    <row r="2035" spans="1:14" x14ac:dyDescent="0.25">
      <c r="A2035" s="1">
        <f>'[1]Global_Spot Prices'!$B3344</f>
        <v>44852</v>
      </c>
      <c r="B2035">
        <f>_xlfn.XLOOKUP(A2035,'[1]Global_Spot Prices'!$B:$B,'[1]Global_Spot Prices'!$BS:$BS)</f>
        <v>2.480000000000004</v>
      </c>
      <c r="C2035">
        <f>_xlfn.XLOOKUP(A2035,'[1]Global_Spot Prices'!$B:$B,'[1]Global_Spot Prices'!$E:$E)</f>
        <v>88.82</v>
      </c>
      <c r="D2035">
        <f>_xlfn.XLOOKUP(A2035,'[1]Global_Spot Prices'!$B:$B,'[1]Global_Spot Prices'!$D:$D)</f>
        <v>88.24</v>
      </c>
      <c r="E2035">
        <f>_xlfn.XLOOKUP(A2035,'[1]Global_Spot Prices'!$B:$B,'[1]Global_Spot Prices'!$H:$H)</f>
        <v>69.739999999999995</v>
      </c>
      <c r="F2035">
        <f>_xlfn.XLOOKUP(A2035,'[1]Global_Spot Prices'!$B:$B,'[1]Global_Spot Prices'!$I:$I)</f>
        <v>91.3</v>
      </c>
      <c r="G2035" cm="1">
        <f t="array" ref="G2035">_xlfn.XLOOKUP(TEXT(A2035, "mmm-yy"), TEXT([2]RUNS!$B$5:$B$208, "mmm-yy"), [2]RUNS!$D$5:$D$208, "Not Found")</f>
        <v>29189.282090649525</v>
      </c>
      <c r="H2035" cm="1">
        <f t="array" ref="H2035">SUMPRODUCT(
    --(TEXT('[3]Global Weekly Stock (EWSuez'!$B$4:$B$2000,"mmm-yy")=TEXT(A2035,"mmm-yy")),
    '[3]Global Weekly Stock (EWSuez'!$E$4:$E$2000)
/
SUMPRODUCT(
    --(TEXT('[3]Global Weekly Stock (EWSuez'!$B$4:$B$2000,"mmm-yy")=TEXT(A2035,"mmm-yy"))
)</f>
        <v>15359.5</v>
      </c>
      <c r="I2035">
        <f>_xlfn.XLOOKUP(A2035,[1]ForwardDeriv!$D:$D,[1]ForwardDeriv!$AJ:$AJ)</f>
        <v>0.95000000000000284</v>
      </c>
      <c r="J2035" cm="1">
        <f t="array" ref="J2035">_xlfn.XLOOKUP(TEXT(A2035, "mmm-yy"), TEXT([2]GASOLINE!$B$5:$B$208, "mmm-yy"), [2]GASOLINE!$IR$5:$IR$208, "Not Found")</f>
        <v>-288.49545904967988</v>
      </c>
      <c r="K2035" cm="1">
        <f t="array" ref="K2035">_xlfn.XLOOKUP(TEXT(A2035, "mmm-yy"), TEXT([2]GASOLINE!$B$5:$B$208, "mmm-yy"), [2]GASOLINE!$IK$5:$IK$208, "Not Found")</f>
        <v>167.85117353305785</v>
      </c>
      <c r="L2035">
        <f t="shared" si="31"/>
        <v>0</v>
      </c>
      <c r="M2035" cm="1">
        <f t="array" ref="M2035">_xlfn.XLOOKUP(TEXT(A2035, "mmm-yy"), TEXT([2]GASOLINE!$B$5:$B$208, "mmm-yy"), [2]GASOLINE!$C$5:$C$208, "Not Found")</f>
        <v>7228.3727645065264</v>
      </c>
      <c r="N2035" cm="1">
        <f t="array" ref="N2035">_xlfn.XLOOKUP(TEXT(A2035, "mmm-yy"), TEXT([2]RUNS!$B$5:$B$208, "mmm-yy"), [2]RUNS!$BM$5:$BM$208, "Not Found")</f>
        <v>0.80648302560555452</v>
      </c>
    </row>
    <row r="2036" spans="1:14" x14ac:dyDescent="0.25">
      <c r="A2036" s="1">
        <f>'[1]Global_Spot Prices'!$B3345</f>
        <v>44853</v>
      </c>
      <c r="B2036">
        <f>_xlfn.XLOOKUP(A2036,'[1]Global_Spot Prices'!$B:$B,'[1]Global_Spot Prices'!$BS:$BS)</f>
        <v>3.5100000000000051</v>
      </c>
      <c r="C2036">
        <f>_xlfn.XLOOKUP(A2036,'[1]Global_Spot Prices'!$B:$B,'[1]Global_Spot Prices'!$E:$E)</f>
        <v>85.75</v>
      </c>
      <c r="D2036">
        <f>_xlfn.XLOOKUP(A2036,'[1]Global_Spot Prices'!$B:$B,'[1]Global_Spot Prices'!$D:$D)</f>
        <v>89.935000000000002</v>
      </c>
      <c r="E2036">
        <f>_xlfn.XLOOKUP(A2036,'[1]Global_Spot Prices'!$B:$B,'[1]Global_Spot Prices'!$H:$H)</f>
        <v>68.73</v>
      </c>
      <c r="F2036">
        <f>_xlfn.XLOOKUP(A2036,'[1]Global_Spot Prices'!$B:$B,'[1]Global_Spot Prices'!$I:$I)</f>
        <v>89.26</v>
      </c>
      <c r="G2036" cm="1">
        <f t="array" ref="G2036">_xlfn.XLOOKUP(TEXT(A2036, "mmm-yy"), TEXT([2]RUNS!$B$5:$B$208, "mmm-yy"), [2]RUNS!$D$5:$D$208, "Not Found")</f>
        <v>29189.282090649525</v>
      </c>
      <c r="H2036" cm="1">
        <f t="array" ref="H2036">SUMPRODUCT(
    --(TEXT('[3]Global Weekly Stock (EWSuez'!$B$4:$B$2000,"mmm-yy")=TEXT(A2036,"mmm-yy")),
    '[3]Global Weekly Stock (EWSuez'!$E$4:$E$2000)
/
SUMPRODUCT(
    --(TEXT('[3]Global Weekly Stock (EWSuez'!$B$4:$B$2000,"mmm-yy")=TEXT(A2036,"mmm-yy"))
)</f>
        <v>15359.5</v>
      </c>
      <c r="I2036">
        <f>_xlfn.XLOOKUP(A2036,[1]ForwardDeriv!$D:$D,[1]ForwardDeriv!$AJ:$AJ)</f>
        <v>1</v>
      </c>
      <c r="J2036" cm="1">
        <f t="array" ref="J2036">_xlfn.XLOOKUP(TEXT(A2036, "mmm-yy"), TEXT([2]GASOLINE!$B$5:$B$208, "mmm-yy"), [2]GASOLINE!$IR$5:$IR$208, "Not Found")</f>
        <v>-288.49545904967988</v>
      </c>
      <c r="K2036" cm="1">
        <f t="array" ref="K2036">_xlfn.XLOOKUP(TEXT(A2036, "mmm-yy"), TEXT([2]GASOLINE!$B$5:$B$208, "mmm-yy"), [2]GASOLINE!$IK$5:$IK$208, "Not Found")</f>
        <v>167.85117353305785</v>
      </c>
      <c r="L2036">
        <f t="shared" si="31"/>
        <v>0</v>
      </c>
      <c r="M2036" cm="1">
        <f t="array" ref="M2036">_xlfn.XLOOKUP(TEXT(A2036, "mmm-yy"), TEXT([2]GASOLINE!$B$5:$B$208, "mmm-yy"), [2]GASOLINE!$C$5:$C$208, "Not Found")</f>
        <v>7228.3727645065264</v>
      </c>
      <c r="N2036" cm="1">
        <f t="array" ref="N2036">_xlfn.XLOOKUP(TEXT(A2036, "mmm-yy"), TEXT([2]RUNS!$B$5:$B$208, "mmm-yy"), [2]RUNS!$BM$5:$BM$208, "Not Found")</f>
        <v>0.80648302560555452</v>
      </c>
    </row>
    <row r="2037" spans="1:14" x14ac:dyDescent="0.25">
      <c r="A2037" s="1">
        <f>'[1]Global_Spot Prices'!$B3346</f>
        <v>44854</v>
      </c>
      <c r="B2037">
        <f>_xlfn.XLOOKUP(A2037,'[1]Global_Spot Prices'!$B:$B,'[1]Global_Spot Prices'!$BS:$BS)</f>
        <v>2.7800000000000011</v>
      </c>
      <c r="C2037">
        <f>_xlfn.XLOOKUP(A2037,'[1]Global_Spot Prices'!$B:$B,'[1]Global_Spot Prices'!$E:$E)</f>
        <v>89.91</v>
      </c>
      <c r="D2037">
        <f>_xlfn.XLOOKUP(A2037,'[1]Global_Spot Prices'!$B:$B,'[1]Global_Spot Prices'!$D:$D)</f>
        <v>92.685000000000002</v>
      </c>
      <c r="E2037">
        <f>_xlfn.XLOOKUP(A2037,'[1]Global_Spot Prices'!$B:$B,'[1]Global_Spot Prices'!$H:$H)</f>
        <v>71.040000000000006</v>
      </c>
      <c r="F2037">
        <f>_xlfn.XLOOKUP(A2037,'[1]Global_Spot Prices'!$B:$B,'[1]Global_Spot Prices'!$I:$I)</f>
        <v>92.69</v>
      </c>
      <c r="G2037" cm="1">
        <f t="array" ref="G2037">_xlfn.XLOOKUP(TEXT(A2037, "mmm-yy"), TEXT([2]RUNS!$B$5:$B$208, "mmm-yy"), [2]RUNS!$D$5:$D$208, "Not Found")</f>
        <v>29189.282090649525</v>
      </c>
      <c r="H2037" cm="1">
        <f t="array" ref="H2037">SUMPRODUCT(
    --(TEXT('[3]Global Weekly Stock (EWSuez'!$B$4:$B$2000,"mmm-yy")=TEXT(A2037,"mmm-yy")),
    '[3]Global Weekly Stock (EWSuez'!$E$4:$E$2000)
/
SUMPRODUCT(
    --(TEXT('[3]Global Weekly Stock (EWSuez'!$B$4:$B$2000,"mmm-yy")=TEXT(A2037,"mmm-yy"))
)</f>
        <v>15359.5</v>
      </c>
      <c r="I2037">
        <f>_xlfn.XLOOKUP(A2037,[1]ForwardDeriv!$D:$D,[1]ForwardDeriv!$AJ:$AJ)</f>
        <v>1.1000000000000085</v>
      </c>
      <c r="J2037" cm="1">
        <f t="array" ref="J2037">_xlfn.XLOOKUP(TEXT(A2037, "mmm-yy"), TEXT([2]GASOLINE!$B$5:$B$208, "mmm-yy"), [2]GASOLINE!$IR$5:$IR$208, "Not Found")</f>
        <v>-288.49545904967988</v>
      </c>
      <c r="K2037" cm="1">
        <f t="array" ref="K2037">_xlfn.XLOOKUP(TEXT(A2037, "mmm-yy"), TEXT([2]GASOLINE!$B$5:$B$208, "mmm-yy"), [2]GASOLINE!$IK$5:$IK$208, "Not Found")</f>
        <v>167.85117353305785</v>
      </c>
      <c r="L2037">
        <f t="shared" si="31"/>
        <v>0</v>
      </c>
      <c r="M2037" cm="1">
        <f t="array" ref="M2037">_xlfn.XLOOKUP(TEXT(A2037, "mmm-yy"), TEXT([2]GASOLINE!$B$5:$B$208, "mmm-yy"), [2]GASOLINE!$C$5:$C$208, "Not Found")</f>
        <v>7228.3727645065264</v>
      </c>
      <c r="N2037" cm="1">
        <f t="array" ref="N2037">_xlfn.XLOOKUP(TEXT(A2037, "mmm-yy"), TEXT([2]RUNS!$B$5:$B$208, "mmm-yy"), [2]RUNS!$BM$5:$BM$208, "Not Found")</f>
        <v>0.80648302560555452</v>
      </c>
    </row>
    <row r="2038" spans="1:14" x14ac:dyDescent="0.25">
      <c r="A2038" s="1">
        <f>'[1]Global_Spot Prices'!$B3347</f>
        <v>44855</v>
      </c>
      <c r="B2038">
        <f>_xlfn.XLOOKUP(A2038,'[1]Global_Spot Prices'!$B:$B,'[1]Global_Spot Prices'!$BS:$BS)</f>
        <v>1.4000000000000057</v>
      </c>
      <c r="C2038">
        <f>_xlfn.XLOOKUP(A2038,'[1]Global_Spot Prices'!$B:$B,'[1]Global_Spot Prices'!$E:$E)</f>
        <v>90.71</v>
      </c>
      <c r="D2038">
        <f>_xlfn.XLOOKUP(A2038,'[1]Global_Spot Prices'!$B:$B,'[1]Global_Spot Prices'!$D:$D)</f>
        <v>91.444999999999993</v>
      </c>
      <c r="E2038">
        <f>_xlfn.XLOOKUP(A2038,'[1]Global_Spot Prices'!$B:$B,'[1]Global_Spot Prices'!$H:$H)</f>
        <v>71.13</v>
      </c>
      <c r="F2038">
        <f>_xlfn.XLOOKUP(A2038,'[1]Global_Spot Prices'!$B:$B,'[1]Global_Spot Prices'!$I:$I)</f>
        <v>92.11</v>
      </c>
      <c r="G2038" cm="1">
        <f t="array" ref="G2038">_xlfn.XLOOKUP(TEXT(A2038, "mmm-yy"), TEXT([2]RUNS!$B$5:$B$208, "mmm-yy"), [2]RUNS!$D$5:$D$208, "Not Found")</f>
        <v>29189.282090649525</v>
      </c>
      <c r="H2038" cm="1">
        <f t="array" ref="H2038">SUMPRODUCT(
    --(TEXT('[3]Global Weekly Stock (EWSuez'!$B$4:$B$2000,"mmm-yy")=TEXT(A2038,"mmm-yy")),
    '[3]Global Weekly Stock (EWSuez'!$E$4:$E$2000)
/
SUMPRODUCT(
    --(TEXT('[3]Global Weekly Stock (EWSuez'!$B$4:$B$2000,"mmm-yy")=TEXT(A2038,"mmm-yy"))
)</f>
        <v>15359.5</v>
      </c>
      <c r="I2038">
        <f>_xlfn.XLOOKUP(A2038,[1]ForwardDeriv!$D:$D,[1]ForwardDeriv!$AJ:$AJ)</f>
        <v>1</v>
      </c>
      <c r="J2038" cm="1">
        <f t="array" ref="J2038">_xlfn.XLOOKUP(TEXT(A2038, "mmm-yy"), TEXT([2]GASOLINE!$B$5:$B$208, "mmm-yy"), [2]GASOLINE!$IR$5:$IR$208, "Not Found")</f>
        <v>-288.49545904967988</v>
      </c>
      <c r="K2038" cm="1">
        <f t="array" ref="K2038">_xlfn.XLOOKUP(TEXT(A2038, "mmm-yy"), TEXT([2]GASOLINE!$B$5:$B$208, "mmm-yy"), [2]GASOLINE!$IK$5:$IK$208, "Not Found")</f>
        <v>167.85117353305785</v>
      </c>
      <c r="L2038">
        <f t="shared" si="31"/>
        <v>0</v>
      </c>
      <c r="M2038" cm="1">
        <f t="array" ref="M2038">_xlfn.XLOOKUP(TEXT(A2038, "mmm-yy"), TEXT([2]GASOLINE!$B$5:$B$208, "mmm-yy"), [2]GASOLINE!$C$5:$C$208, "Not Found")</f>
        <v>7228.3727645065264</v>
      </c>
      <c r="N2038" cm="1">
        <f t="array" ref="N2038">_xlfn.XLOOKUP(TEXT(A2038, "mmm-yy"), TEXT([2]RUNS!$B$5:$B$208, "mmm-yy"), [2]RUNS!$BM$5:$BM$208, "Not Found")</f>
        <v>0.80648302560555452</v>
      </c>
    </row>
    <row r="2039" spans="1:14" x14ac:dyDescent="0.25">
      <c r="A2039" s="1">
        <f>'[1]Global_Spot Prices'!$B3348</f>
        <v>44858</v>
      </c>
      <c r="B2039" t="e">
        <f>_xlfn.XLOOKUP(A2039,'[1]Global_Spot Prices'!$B:$B,'[1]Global_Spot Prices'!$BS:$BS)</f>
        <v>#N/A</v>
      </c>
      <c r="C2039" t="str">
        <f>_xlfn.XLOOKUP(A2039,'[1]Global_Spot Prices'!$B:$B,'[1]Global_Spot Prices'!$E:$E)</f>
        <v/>
      </c>
      <c r="D2039">
        <f>_xlfn.XLOOKUP(A2039,'[1]Global_Spot Prices'!$B:$B,'[1]Global_Spot Prices'!$D:$D)</f>
        <v>91.405000000000001</v>
      </c>
      <c r="E2039">
        <f>_xlfn.XLOOKUP(A2039,'[1]Global_Spot Prices'!$B:$B,'[1]Global_Spot Prices'!$H:$H)</f>
        <v>0</v>
      </c>
      <c r="F2039">
        <f>_xlfn.XLOOKUP(A2039,'[1]Global_Spot Prices'!$B:$B,'[1]Global_Spot Prices'!$I:$I)</f>
        <v>0</v>
      </c>
      <c r="G2039" cm="1">
        <f t="array" ref="G2039">_xlfn.XLOOKUP(TEXT(A2039, "mmm-yy"), TEXT([2]RUNS!$B$5:$B$208, "mmm-yy"), [2]RUNS!$D$5:$D$208, "Not Found")</f>
        <v>29189.282090649525</v>
      </c>
      <c r="H2039" cm="1">
        <f t="array" ref="H2039">SUMPRODUCT(
    --(TEXT('[3]Global Weekly Stock (EWSuez'!$B$4:$B$2000,"mmm-yy")=TEXT(A2039,"mmm-yy")),
    '[3]Global Weekly Stock (EWSuez'!$E$4:$E$2000)
/
SUMPRODUCT(
    --(TEXT('[3]Global Weekly Stock (EWSuez'!$B$4:$B$2000,"mmm-yy")=TEXT(A2039,"mmm-yy"))
)</f>
        <v>15359.5</v>
      </c>
      <c r="I2039">
        <f>_xlfn.XLOOKUP(A2039,[1]ForwardDeriv!$D:$D,[1]ForwardDeriv!$AJ:$AJ)</f>
        <v>0.60999999999999943</v>
      </c>
      <c r="J2039" cm="1">
        <f t="array" ref="J2039">_xlfn.XLOOKUP(TEXT(A2039, "mmm-yy"), TEXT([2]GASOLINE!$B$5:$B$208, "mmm-yy"), [2]GASOLINE!$IR$5:$IR$208, "Not Found")</f>
        <v>-288.49545904967988</v>
      </c>
      <c r="K2039" cm="1">
        <f t="array" ref="K2039">_xlfn.XLOOKUP(TEXT(A2039, "mmm-yy"), TEXT([2]GASOLINE!$B$5:$B$208, "mmm-yy"), [2]GASOLINE!$IK$5:$IK$208, "Not Found")</f>
        <v>167.85117353305785</v>
      </c>
      <c r="L2039">
        <f t="shared" si="31"/>
        <v>0</v>
      </c>
      <c r="M2039" cm="1">
        <f t="array" ref="M2039">_xlfn.XLOOKUP(TEXT(A2039, "mmm-yy"), TEXT([2]GASOLINE!$B$5:$B$208, "mmm-yy"), [2]GASOLINE!$C$5:$C$208, "Not Found")</f>
        <v>7228.3727645065264</v>
      </c>
      <c r="N2039" cm="1">
        <f t="array" ref="N2039">_xlfn.XLOOKUP(TEXT(A2039, "mmm-yy"), TEXT([2]RUNS!$B$5:$B$208, "mmm-yy"), [2]RUNS!$BM$5:$BM$208, "Not Found")</f>
        <v>0.80648302560555452</v>
      </c>
    </row>
    <row r="2040" spans="1:14" x14ac:dyDescent="0.25">
      <c r="A2040" s="1">
        <f>'[1]Global_Spot Prices'!$B3349</f>
        <v>44859</v>
      </c>
      <c r="B2040">
        <f>_xlfn.XLOOKUP(A2040,'[1]Global_Spot Prices'!$B:$B,'[1]Global_Spot Prices'!$BS:$BS)</f>
        <v>1.3499999999999943</v>
      </c>
      <c r="C2040">
        <f>_xlfn.XLOOKUP(A2040,'[1]Global_Spot Prices'!$B:$B,'[1]Global_Spot Prices'!$E:$E)</f>
        <v>89.56</v>
      </c>
      <c r="D2040">
        <f>_xlfn.XLOOKUP(A2040,'[1]Global_Spot Prices'!$B:$B,'[1]Global_Spot Prices'!$D:$D)</f>
        <v>91.555000000000007</v>
      </c>
      <c r="E2040">
        <f>_xlfn.XLOOKUP(A2040,'[1]Global_Spot Prices'!$B:$B,'[1]Global_Spot Prices'!$H:$H)</f>
        <v>71.45</v>
      </c>
      <c r="F2040">
        <f>_xlfn.XLOOKUP(A2040,'[1]Global_Spot Prices'!$B:$B,'[1]Global_Spot Prices'!$I:$I)</f>
        <v>90.91</v>
      </c>
      <c r="G2040" cm="1">
        <f t="array" ref="G2040">_xlfn.XLOOKUP(TEXT(A2040, "mmm-yy"), TEXT([2]RUNS!$B$5:$B$208, "mmm-yy"), [2]RUNS!$D$5:$D$208, "Not Found")</f>
        <v>29189.282090649525</v>
      </c>
      <c r="H2040" cm="1">
        <f t="array" ref="H2040">SUMPRODUCT(
    --(TEXT('[3]Global Weekly Stock (EWSuez'!$B$4:$B$2000,"mmm-yy")=TEXT(A2040,"mmm-yy")),
    '[3]Global Weekly Stock (EWSuez'!$E$4:$E$2000)
/
SUMPRODUCT(
    --(TEXT('[3]Global Weekly Stock (EWSuez'!$B$4:$B$2000,"mmm-yy")=TEXT(A2040,"mmm-yy"))
)</f>
        <v>15359.5</v>
      </c>
      <c r="I2040">
        <f>_xlfn.XLOOKUP(A2040,[1]ForwardDeriv!$D:$D,[1]ForwardDeriv!$AJ:$AJ)</f>
        <v>0.60999999999999943</v>
      </c>
      <c r="J2040" cm="1">
        <f t="array" ref="J2040">_xlfn.XLOOKUP(TEXT(A2040, "mmm-yy"), TEXT([2]GASOLINE!$B$5:$B$208, "mmm-yy"), [2]GASOLINE!$IR$5:$IR$208, "Not Found")</f>
        <v>-288.49545904967988</v>
      </c>
      <c r="K2040" cm="1">
        <f t="array" ref="K2040">_xlfn.XLOOKUP(TEXT(A2040, "mmm-yy"), TEXT([2]GASOLINE!$B$5:$B$208, "mmm-yy"), [2]GASOLINE!$IK$5:$IK$208, "Not Found")</f>
        <v>167.85117353305785</v>
      </c>
      <c r="L2040">
        <f t="shared" si="31"/>
        <v>0</v>
      </c>
      <c r="M2040" cm="1">
        <f t="array" ref="M2040">_xlfn.XLOOKUP(TEXT(A2040, "mmm-yy"), TEXT([2]GASOLINE!$B$5:$B$208, "mmm-yy"), [2]GASOLINE!$C$5:$C$208, "Not Found")</f>
        <v>7228.3727645065264</v>
      </c>
      <c r="N2040" cm="1">
        <f t="array" ref="N2040">_xlfn.XLOOKUP(TEXT(A2040, "mmm-yy"), TEXT([2]RUNS!$B$5:$B$208, "mmm-yy"), [2]RUNS!$BM$5:$BM$208, "Not Found")</f>
        <v>0.80648302560555452</v>
      </c>
    </row>
    <row r="2041" spans="1:14" x14ac:dyDescent="0.25">
      <c r="A2041" s="1">
        <f>'[1]Global_Spot Prices'!$B3350</f>
        <v>44860</v>
      </c>
      <c r="B2041">
        <f>_xlfn.XLOOKUP(A2041,'[1]Global_Spot Prices'!$B:$B,'[1]Global_Spot Prices'!$BS:$BS)</f>
        <v>-1.6999999999999886</v>
      </c>
      <c r="C2041">
        <f>_xlfn.XLOOKUP(A2041,'[1]Global_Spot Prices'!$B:$B,'[1]Global_Spot Prices'!$E:$E)</f>
        <v>90.35</v>
      </c>
      <c r="D2041">
        <f>_xlfn.XLOOKUP(A2041,'[1]Global_Spot Prices'!$B:$B,'[1]Global_Spot Prices'!$D:$D)</f>
        <v>93.814999999999998</v>
      </c>
      <c r="E2041">
        <f>_xlfn.XLOOKUP(A2041,'[1]Global_Spot Prices'!$B:$B,'[1]Global_Spot Prices'!$H:$H)</f>
        <v>71.92</v>
      </c>
      <c r="F2041">
        <f>_xlfn.XLOOKUP(A2041,'[1]Global_Spot Prices'!$B:$B,'[1]Global_Spot Prices'!$I:$I)</f>
        <v>88.65</v>
      </c>
      <c r="G2041" cm="1">
        <f t="array" ref="G2041">_xlfn.XLOOKUP(TEXT(A2041, "mmm-yy"), TEXT([2]RUNS!$B$5:$B$208, "mmm-yy"), [2]RUNS!$D$5:$D$208, "Not Found")</f>
        <v>29189.282090649525</v>
      </c>
      <c r="H2041" cm="1">
        <f t="array" ref="H2041">SUMPRODUCT(
    --(TEXT('[3]Global Weekly Stock (EWSuez'!$B$4:$B$2000,"mmm-yy")=TEXT(A2041,"mmm-yy")),
    '[3]Global Weekly Stock (EWSuez'!$E$4:$E$2000)
/
SUMPRODUCT(
    --(TEXT('[3]Global Weekly Stock (EWSuez'!$B$4:$B$2000,"mmm-yy")=TEXT(A2041,"mmm-yy"))
)</f>
        <v>15359.5</v>
      </c>
      <c r="I2041">
        <f>_xlfn.XLOOKUP(A2041,[1]ForwardDeriv!$D:$D,[1]ForwardDeriv!$AJ:$AJ)</f>
        <v>0.35000000000000853</v>
      </c>
      <c r="J2041" cm="1">
        <f t="array" ref="J2041">_xlfn.XLOOKUP(TEXT(A2041, "mmm-yy"), TEXT([2]GASOLINE!$B$5:$B$208, "mmm-yy"), [2]GASOLINE!$IR$5:$IR$208, "Not Found")</f>
        <v>-288.49545904967988</v>
      </c>
      <c r="K2041" cm="1">
        <f t="array" ref="K2041">_xlfn.XLOOKUP(TEXT(A2041, "mmm-yy"), TEXT([2]GASOLINE!$B$5:$B$208, "mmm-yy"), [2]GASOLINE!$IK$5:$IK$208, "Not Found")</f>
        <v>167.85117353305785</v>
      </c>
      <c r="L2041">
        <f t="shared" si="31"/>
        <v>0</v>
      </c>
      <c r="M2041" cm="1">
        <f t="array" ref="M2041">_xlfn.XLOOKUP(TEXT(A2041, "mmm-yy"), TEXT([2]GASOLINE!$B$5:$B$208, "mmm-yy"), [2]GASOLINE!$C$5:$C$208, "Not Found")</f>
        <v>7228.3727645065264</v>
      </c>
      <c r="N2041" cm="1">
        <f t="array" ref="N2041">_xlfn.XLOOKUP(TEXT(A2041, "mmm-yy"), TEXT([2]RUNS!$B$5:$B$208, "mmm-yy"), [2]RUNS!$BM$5:$BM$208, "Not Found")</f>
        <v>0.80648302560555452</v>
      </c>
    </row>
    <row r="2042" spans="1:14" x14ac:dyDescent="0.25">
      <c r="A2042" s="1">
        <f>'[1]Global_Spot Prices'!$B3351</f>
        <v>44861</v>
      </c>
      <c r="B2042">
        <f>_xlfn.XLOOKUP(A2042,'[1]Global_Spot Prices'!$B:$B,'[1]Global_Spot Prices'!$BS:$BS)</f>
        <v>-0.94999999999998863</v>
      </c>
      <c r="C2042">
        <f>_xlfn.XLOOKUP(A2042,'[1]Global_Spot Prices'!$B:$B,'[1]Global_Spot Prices'!$E:$E)</f>
        <v>92.35</v>
      </c>
      <c r="D2042">
        <f>_xlfn.XLOOKUP(A2042,'[1]Global_Spot Prices'!$B:$B,'[1]Global_Spot Prices'!$D:$D)</f>
        <v>95.004999999999995</v>
      </c>
      <c r="E2042">
        <f>_xlfn.XLOOKUP(A2042,'[1]Global_Spot Prices'!$B:$B,'[1]Global_Spot Prices'!$H:$H)</f>
        <v>72.87</v>
      </c>
      <c r="F2042">
        <f>_xlfn.XLOOKUP(A2042,'[1]Global_Spot Prices'!$B:$B,'[1]Global_Spot Prices'!$I:$I)</f>
        <v>91.4</v>
      </c>
      <c r="G2042" cm="1">
        <f t="array" ref="G2042">_xlfn.XLOOKUP(TEXT(A2042, "mmm-yy"), TEXT([2]RUNS!$B$5:$B$208, "mmm-yy"), [2]RUNS!$D$5:$D$208, "Not Found")</f>
        <v>29189.282090649525</v>
      </c>
      <c r="H2042" cm="1">
        <f t="array" ref="H2042">SUMPRODUCT(
    --(TEXT('[3]Global Weekly Stock (EWSuez'!$B$4:$B$2000,"mmm-yy")=TEXT(A2042,"mmm-yy")),
    '[3]Global Weekly Stock (EWSuez'!$E$4:$E$2000)
/
SUMPRODUCT(
    --(TEXT('[3]Global Weekly Stock (EWSuez'!$B$4:$B$2000,"mmm-yy")=TEXT(A2042,"mmm-yy"))
)</f>
        <v>15359.5</v>
      </c>
      <c r="I2042">
        <f>_xlfn.XLOOKUP(A2042,[1]ForwardDeriv!$D:$D,[1]ForwardDeriv!$AJ:$AJ)</f>
        <v>0.53000000000000114</v>
      </c>
      <c r="J2042" cm="1">
        <f t="array" ref="J2042">_xlfn.XLOOKUP(TEXT(A2042, "mmm-yy"), TEXT([2]GASOLINE!$B$5:$B$208, "mmm-yy"), [2]GASOLINE!$IR$5:$IR$208, "Not Found")</f>
        <v>-288.49545904967988</v>
      </c>
      <c r="K2042" cm="1">
        <f t="array" ref="K2042">_xlfn.XLOOKUP(TEXT(A2042, "mmm-yy"), TEXT([2]GASOLINE!$B$5:$B$208, "mmm-yy"), [2]GASOLINE!$IK$5:$IK$208, "Not Found")</f>
        <v>167.85117353305785</v>
      </c>
      <c r="L2042">
        <f t="shared" si="31"/>
        <v>0</v>
      </c>
      <c r="M2042" cm="1">
        <f t="array" ref="M2042">_xlfn.XLOOKUP(TEXT(A2042, "mmm-yy"), TEXT([2]GASOLINE!$B$5:$B$208, "mmm-yy"), [2]GASOLINE!$C$5:$C$208, "Not Found")</f>
        <v>7228.3727645065264</v>
      </c>
      <c r="N2042" cm="1">
        <f t="array" ref="N2042">_xlfn.XLOOKUP(TEXT(A2042, "mmm-yy"), TEXT([2]RUNS!$B$5:$B$208, "mmm-yy"), [2]RUNS!$BM$5:$BM$208, "Not Found")</f>
        <v>0.80648302560555452</v>
      </c>
    </row>
    <row r="2043" spans="1:14" x14ac:dyDescent="0.25">
      <c r="A2043" s="1">
        <f>'[1]Global_Spot Prices'!$B3352</f>
        <v>44862</v>
      </c>
      <c r="B2043">
        <f>_xlfn.XLOOKUP(A2043,'[1]Global_Spot Prices'!$B:$B,'[1]Global_Spot Prices'!$BS:$BS)</f>
        <v>0.35999999999999943</v>
      </c>
      <c r="C2043">
        <f>_xlfn.XLOOKUP(A2043,'[1]Global_Spot Prices'!$B:$B,'[1]Global_Spot Prices'!$E:$E)</f>
        <v>92.65</v>
      </c>
      <c r="D2043">
        <f>_xlfn.XLOOKUP(A2043,'[1]Global_Spot Prices'!$B:$B,'[1]Global_Spot Prices'!$D:$D)</f>
        <v>94.03</v>
      </c>
      <c r="E2043">
        <f>_xlfn.XLOOKUP(A2043,'[1]Global_Spot Prices'!$B:$B,'[1]Global_Spot Prices'!$H:$H)</f>
        <v>73.430000000000007</v>
      </c>
      <c r="F2043">
        <f>_xlfn.XLOOKUP(A2043,'[1]Global_Spot Prices'!$B:$B,'[1]Global_Spot Prices'!$I:$I)</f>
        <v>93.01</v>
      </c>
      <c r="G2043" cm="1">
        <f t="array" ref="G2043">_xlfn.XLOOKUP(TEXT(A2043, "mmm-yy"), TEXT([2]RUNS!$B$5:$B$208, "mmm-yy"), [2]RUNS!$D$5:$D$208, "Not Found")</f>
        <v>29189.282090649525</v>
      </c>
      <c r="H2043" cm="1">
        <f t="array" ref="H2043">SUMPRODUCT(
    --(TEXT('[3]Global Weekly Stock (EWSuez'!$B$4:$B$2000,"mmm-yy")=TEXT(A2043,"mmm-yy")),
    '[3]Global Weekly Stock (EWSuez'!$E$4:$E$2000)
/
SUMPRODUCT(
    --(TEXT('[3]Global Weekly Stock (EWSuez'!$B$4:$B$2000,"mmm-yy")=TEXT(A2043,"mmm-yy"))
)</f>
        <v>15359.5</v>
      </c>
      <c r="I2043">
        <f>_xlfn.XLOOKUP(A2043,[1]ForwardDeriv!$D:$D,[1]ForwardDeriv!$AJ:$AJ)</f>
        <v>0.99000000000000909</v>
      </c>
      <c r="J2043" cm="1">
        <f t="array" ref="J2043">_xlfn.XLOOKUP(TEXT(A2043, "mmm-yy"), TEXT([2]GASOLINE!$B$5:$B$208, "mmm-yy"), [2]GASOLINE!$IR$5:$IR$208, "Not Found")</f>
        <v>-288.49545904967988</v>
      </c>
      <c r="K2043" cm="1">
        <f t="array" ref="K2043">_xlfn.XLOOKUP(TEXT(A2043, "mmm-yy"), TEXT([2]GASOLINE!$B$5:$B$208, "mmm-yy"), [2]GASOLINE!$IK$5:$IK$208, "Not Found")</f>
        <v>167.85117353305785</v>
      </c>
      <c r="L2043">
        <f t="shared" si="31"/>
        <v>0</v>
      </c>
      <c r="M2043" cm="1">
        <f t="array" ref="M2043">_xlfn.XLOOKUP(TEXT(A2043, "mmm-yy"), TEXT([2]GASOLINE!$B$5:$B$208, "mmm-yy"), [2]GASOLINE!$C$5:$C$208, "Not Found")</f>
        <v>7228.3727645065264</v>
      </c>
      <c r="N2043" cm="1">
        <f t="array" ref="N2043">_xlfn.XLOOKUP(TEXT(A2043, "mmm-yy"), TEXT([2]RUNS!$B$5:$B$208, "mmm-yy"), [2]RUNS!$BM$5:$BM$208, "Not Found")</f>
        <v>0.80648302560555452</v>
      </c>
    </row>
    <row r="2044" spans="1:14" x14ac:dyDescent="0.25">
      <c r="A2044" s="1">
        <f>'[1]Global_Spot Prices'!$B3353</f>
        <v>44865</v>
      </c>
      <c r="B2044">
        <f>_xlfn.XLOOKUP(A2044,'[1]Global_Spot Prices'!$B:$B,'[1]Global_Spot Prices'!$BS:$BS)</f>
        <v>-1.1299999999999955</v>
      </c>
      <c r="C2044">
        <f>_xlfn.XLOOKUP(A2044,'[1]Global_Spot Prices'!$B:$B,'[1]Global_Spot Prices'!$E:$E)</f>
        <v>90.6</v>
      </c>
      <c r="D2044">
        <f>_xlfn.XLOOKUP(A2044,'[1]Global_Spot Prices'!$B:$B,'[1]Global_Spot Prices'!$D:$D)</f>
        <v>92.85</v>
      </c>
      <c r="E2044">
        <f>_xlfn.XLOOKUP(A2044,'[1]Global_Spot Prices'!$B:$B,'[1]Global_Spot Prices'!$H:$H)</f>
        <v>72.459999999999994</v>
      </c>
      <c r="F2044">
        <f>_xlfn.XLOOKUP(A2044,'[1]Global_Spot Prices'!$B:$B,'[1]Global_Spot Prices'!$I:$I)</f>
        <v>89.47</v>
      </c>
      <c r="G2044" cm="1">
        <f t="array" ref="G2044">_xlfn.XLOOKUP(TEXT(A2044, "mmm-yy"), TEXT([2]RUNS!$B$5:$B$208, "mmm-yy"), [2]RUNS!$D$5:$D$208, "Not Found")</f>
        <v>29189.282090649525</v>
      </c>
      <c r="H2044" cm="1">
        <f t="array" ref="H2044">SUMPRODUCT(
    --(TEXT('[3]Global Weekly Stock (EWSuez'!$B$4:$B$2000,"mmm-yy")=TEXT(A2044,"mmm-yy")),
    '[3]Global Weekly Stock (EWSuez'!$E$4:$E$2000)
/
SUMPRODUCT(
    --(TEXT('[3]Global Weekly Stock (EWSuez'!$B$4:$B$2000,"mmm-yy")=TEXT(A2044,"mmm-yy"))
)</f>
        <v>15359.5</v>
      </c>
      <c r="I2044">
        <f>_xlfn.XLOOKUP(A2044,[1]ForwardDeriv!$D:$D,[1]ForwardDeriv!$AJ:$AJ)</f>
        <v>1.0999999999999943</v>
      </c>
      <c r="J2044" cm="1">
        <f t="array" ref="J2044">_xlfn.XLOOKUP(TEXT(A2044, "mmm-yy"), TEXT([2]GASOLINE!$B$5:$B$208, "mmm-yy"), [2]GASOLINE!$IR$5:$IR$208, "Not Found")</f>
        <v>-288.49545904967988</v>
      </c>
      <c r="K2044" cm="1">
        <f t="array" ref="K2044">_xlfn.XLOOKUP(TEXT(A2044, "mmm-yy"), TEXT([2]GASOLINE!$B$5:$B$208, "mmm-yy"), [2]GASOLINE!$IK$5:$IK$208, "Not Found")</f>
        <v>167.85117353305785</v>
      </c>
      <c r="L2044">
        <f t="shared" si="31"/>
        <v>0</v>
      </c>
      <c r="M2044" cm="1">
        <f t="array" ref="M2044">_xlfn.XLOOKUP(TEXT(A2044, "mmm-yy"), TEXT([2]GASOLINE!$B$5:$B$208, "mmm-yy"), [2]GASOLINE!$C$5:$C$208, "Not Found")</f>
        <v>7228.3727645065264</v>
      </c>
      <c r="N2044" cm="1">
        <f t="array" ref="N2044">_xlfn.XLOOKUP(TEXT(A2044, "mmm-yy"), TEXT([2]RUNS!$B$5:$B$208, "mmm-yy"), [2]RUNS!$BM$5:$BM$208, "Not Found")</f>
        <v>0.80648302560555452</v>
      </c>
    </row>
    <row r="2045" spans="1:14" x14ac:dyDescent="0.25">
      <c r="A2045" s="1">
        <f>'[1]Global_Spot Prices'!$B3354</f>
        <v>44866</v>
      </c>
      <c r="B2045">
        <f>_xlfn.XLOOKUP(A2045,'[1]Global_Spot Prices'!$B:$B,'[1]Global_Spot Prices'!$BS:$BS)</f>
        <v>-0.25</v>
      </c>
      <c r="C2045">
        <f>_xlfn.XLOOKUP(A2045,'[1]Global_Spot Prices'!$B:$B,'[1]Global_Spot Prices'!$E:$E)</f>
        <v>91.39</v>
      </c>
      <c r="D2045">
        <f>_xlfn.XLOOKUP(A2045,'[1]Global_Spot Prices'!$B:$B,'[1]Global_Spot Prices'!$D:$D)</f>
        <v>94.93</v>
      </c>
      <c r="E2045">
        <f>_xlfn.XLOOKUP(A2045,'[1]Global_Spot Prices'!$B:$B,'[1]Global_Spot Prices'!$H:$H)</f>
        <v>74.06</v>
      </c>
      <c r="F2045">
        <f>_xlfn.XLOOKUP(A2045,'[1]Global_Spot Prices'!$B:$B,'[1]Global_Spot Prices'!$I:$I)</f>
        <v>91.14</v>
      </c>
      <c r="G2045" cm="1">
        <f t="array" ref="G2045">_xlfn.XLOOKUP(TEXT(A2045, "mmm-yy"), TEXT([2]RUNS!$B$5:$B$208, "mmm-yy"), [2]RUNS!$D$5:$D$208, "Not Found")</f>
        <v>30028.755580230118</v>
      </c>
      <c r="H2045" cm="1">
        <f t="array" ref="H2045">SUMPRODUCT(
    --(TEXT('[3]Global Weekly Stock (EWSuez'!$B$4:$B$2000,"mmm-yy")=TEXT(A2045,"mmm-yy")),
    '[3]Global Weekly Stock (EWSuez'!$E$4:$E$2000)
/
SUMPRODUCT(
    --(TEXT('[3]Global Weekly Stock (EWSuez'!$B$4:$B$2000,"mmm-yy")=TEXT(A2045,"mmm-yy"))
)</f>
        <v>13575.75</v>
      </c>
      <c r="I2045">
        <f>_xlfn.XLOOKUP(A2045,[1]ForwardDeriv!$D:$D,[1]ForwardDeriv!$AJ:$AJ)</f>
        <v>-3.0000000000001137E-2</v>
      </c>
      <c r="J2045" cm="1">
        <f t="array" ref="J2045">_xlfn.XLOOKUP(TEXT(A2045, "mmm-yy"), TEXT([2]GASOLINE!$B$5:$B$208, "mmm-yy"), [2]GASOLINE!$IR$5:$IR$208, "Not Found")</f>
        <v>-166.16547304848092</v>
      </c>
      <c r="K2045" cm="1">
        <f t="array" ref="K2045">_xlfn.XLOOKUP(TEXT(A2045, "mmm-yy"), TEXT([2]GASOLINE!$B$5:$B$208, "mmm-yy"), [2]GASOLINE!$IK$5:$IK$208, "Not Found")</f>
        <v>203.80510178022652</v>
      </c>
      <c r="L2045">
        <f t="shared" si="31"/>
        <v>0</v>
      </c>
      <c r="M2045" cm="1">
        <f t="array" ref="M2045">_xlfn.XLOOKUP(TEXT(A2045, "mmm-yy"), TEXT([2]GASOLINE!$B$5:$B$208, "mmm-yy"), [2]GASOLINE!$C$5:$C$208, "Not Found")</f>
        <v>7130.1665237059042</v>
      </c>
      <c r="N2045" cm="1">
        <f t="array" ref="N2045">_xlfn.XLOOKUP(TEXT(A2045, "mmm-yy"), TEXT([2]RUNS!$B$5:$B$208, "mmm-yy"), [2]RUNS!$BM$5:$BM$208, "Not Found")</f>
        <v>0.82240596112184083</v>
      </c>
    </row>
    <row r="2046" spans="1:14" x14ac:dyDescent="0.25">
      <c r="A2046" s="1">
        <f>'[1]Global_Spot Prices'!$B3355</f>
        <v>44867</v>
      </c>
      <c r="B2046">
        <f>_xlfn.XLOOKUP(A2046,'[1]Global_Spot Prices'!$B:$B,'[1]Global_Spot Prices'!$BS:$BS)</f>
        <v>2.4599999999999937</v>
      </c>
      <c r="C2046">
        <f>_xlfn.XLOOKUP(A2046,'[1]Global_Spot Prices'!$B:$B,'[1]Global_Spot Prices'!$E:$E)</f>
        <v>90.95</v>
      </c>
      <c r="D2046">
        <f>_xlfn.XLOOKUP(A2046,'[1]Global_Spot Prices'!$B:$B,'[1]Global_Spot Prices'!$D:$D)</f>
        <v>96.995000000000005</v>
      </c>
      <c r="E2046">
        <f>_xlfn.XLOOKUP(A2046,'[1]Global_Spot Prices'!$B:$B,'[1]Global_Spot Prices'!$H:$H)</f>
        <v>73.69</v>
      </c>
      <c r="F2046">
        <f>_xlfn.XLOOKUP(A2046,'[1]Global_Spot Prices'!$B:$B,'[1]Global_Spot Prices'!$I:$I)</f>
        <v>93.41</v>
      </c>
      <c r="G2046" cm="1">
        <f t="array" ref="G2046">_xlfn.XLOOKUP(TEXT(A2046, "mmm-yy"), TEXT([2]RUNS!$B$5:$B$208, "mmm-yy"), [2]RUNS!$D$5:$D$208, "Not Found")</f>
        <v>30028.755580230118</v>
      </c>
      <c r="H2046" cm="1">
        <f t="array" ref="H2046">SUMPRODUCT(
    --(TEXT('[3]Global Weekly Stock (EWSuez'!$B$4:$B$2000,"mmm-yy")=TEXT(A2046,"mmm-yy")),
    '[3]Global Weekly Stock (EWSuez'!$E$4:$E$2000)
/
SUMPRODUCT(
    --(TEXT('[3]Global Weekly Stock (EWSuez'!$B$4:$B$2000,"mmm-yy")=TEXT(A2046,"mmm-yy"))
)</f>
        <v>13575.75</v>
      </c>
      <c r="I2046">
        <f>_xlfn.XLOOKUP(A2046,[1]ForwardDeriv!$D:$D,[1]ForwardDeriv!$AJ:$AJ)</f>
        <v>0.25</v>
      </c>
      <c r="J2046" cm="1">
        <f t="array" ref="J2046">_xlfn.XLOOKUP(TEXT(A2046, "mmm-yy"), TEXT([2]GASOLINE!$B$5:$B$208, "mmm-yy"), [2]GASOLINE!$IR$5:$IR$208, "Not Found")</f>
        <v>-166.16547304848092</v>
      </c>
      <c r="K2046" cm="1">
        <f t="array" ref="K2046">_xlfn.XLOOKUP(TEXT(A2046, "mmm-yy"), TEXT([2]GASOLINE!$B$5:$B$208, "mmm-yy"), [2]GASOLINE!$IK$5:$IK$208, "Not Found")</f>
        <v>203.80510178022652</v>
      </c>
      <c r="L2046">
        <f t="shared" si="31"/>
        <v>0</v>
      </c>
      <c r="M2046" cm="1">
        <f t="array" ref="M2046">_xlfn.XLOOKUP(TEXT(A2046, "mmm-yy"), TEXT([2]GASOLINE!$B$5:$B$208, "mmm-yy"), [2]GASOLINE!$C$5:$C$208, "Not Found")</f>
        <v>7130.1665237059042</v>
      </c>
      <c r="N2046" cm="1">
        <f t="array" ref="N2046">_xlfn.XLOOKUP(TEXT(A2046, "mmm-yy"), TEXT([2]RUNS!$B$5:$B$208, "mmm-yy"), [2]RUNS!$BM$5:$BM$208, "Not Found")</f>
        <v>0.82240596112184083</v>
      </c>
    </row>
    <row r="2047" spans="1:14" x14ac:dyDescent="0.25">
      <c r="A2047" s="1">
        <f>'[1]Global_Spot Prices'!$B3356</f>
        <v>44868</v>
      </c>
      <c r="B2047">
        <f>_xlfn.XLOOKUP(A2047,'[1]Global_Spot Prices'!$B:$B,'[1]Global_Spot Prices'!$BS:$BS)</f>
        <v>5.4199999999999875</v>
      </c>
      <c r="C2047">
        <f>_xlfn.XLOOKUP(A2047,'[1]Global_Spot Prices'!$B:$B,'[1]Global_Spot Prices'!$E:$E)</f>
        <v>89.79</v>
      </c>
      <c r="D2047">
        <f>_xlfn.XLOOKUP(A2047,'[1]Global_Spot Prices'!$B:$B,'[1]Global_Spot Prices'!$D:$D)</f>
        <v>95.805000000000007</v>
      </c>
      <c r="E2047">
        <f>_xlfn.XLOOKUP(A2047,'[1]Global_Spot Prices'!$B:$B,'[1]Global_Spot Prices'!$H:$H)</f>
        <v>73.569999999999993</v>
      </c>
      <c r="F2047">
        <f>_xlfn.XLOOKUP(A2047,'[1]Global_Spot Prices'!$B:$B,'[1]Global_Spot Prices'!$I:$I)</f>
        <v>95.21</v>
      </c>
      <c r="G2047" cm="1">
        <f t="array" ref="G2047">_xlfn.XLOOKUP(TEXT(A2047, "mmm-yy"), TEXT([2]RUNS!$B$5:$B$208, "mmm-yy"), [2]RUNS!$D$5:$D$208, "Not Found")</f>
        <v>30028.755580230118</v>
      </c>
      <c r="H2047" cm="1">
        <f t="array" ref="H2047">SUMPRODUCT(
    --(TEXT('[3]Global Weekly Stock (EWSuez'!$B$4:$B$2000,"mmm-yy")=TEXT(A2047,"mmm-yy")),
    '[3]Global Weekly Stock (EWSuez'!$E$4:$E$2000)
/
SUMPRODUCT(
    --(TEXT('[3]Global Weekly Stock (EWSuez'!$B$4:$B$2000,"mmm-yy")=TEXT(A2047,"mmm-yy"))
)</f>
        <v>13575.75</v>
      </c>
      <c r="I2047">
        <f>_xlfn.XLOOKUP(A2047,[1]ForwardDeriv!$D:$D,[1]ForwardDeriv!$AJ:$AJ)</f>
        <v>0.5</v>
      </c>
      <c r="J2047" cm="1">
        <f t="array" ref="J2047">_xlfn.XLOOKUP(TEXT(A2047, "mmm-yy"), TEXT([2]GASOLINE!$B$5:$B$208, "mmm-yy"), [2]GASOLINE!$IR$5:$IR$208, "Not Found")</f>
        <v>-166.16547304848092</v>
      </c>
      <c r="K2047" cm="1">
        <f t="array" ref="K2047">_xlfn.XLOOKUP(TEXT(A2047, "mmm-yy"), TEXT([2]GASOLINE!$B$5:$B$208, "mmm-yy"), [2]GASOLINE!$IK$5:$IK$208, "Not Found")</f>
        <v>203.80510178022652</v>
      </c>
      <c r="L2047">
        <f t="shared" si="31"/>
        <v>0</v>
      </c>
      <c r="M2047" cm="1">
        <f t="array" ref="M2047">_xlfn.XLOOKUP(TEXT(A2047, "mmm-yy"), TEXT([2]GASOLINE!$B$5:$B$208, "mmm-yy"), [2]GASOLINE!$C$5:$C$208, "Not Found")</f>
        <v>7130.1665237059042</v>
      </c>
      <c r="N2047" cm="1">
        <f t="array" ref="N2047">_xlfn.XLOOKUP(TEXT(A2047, "mmm-yy"), TEXT([2]RUNS!$B$5:$B$208, "mmm-yy"), [2]RUNS!$BM$5:$BM$208, "Not Found")</f>
        <v>0.82240596112184083</v>
      </c>
    </row>
    <row r="2048" spans="1:14" x14ac:dyDescent="0.25">
      <c r="A2048" s="1">
        <f>'[1]Global_Spot Prices'!$B3357</f>
        <v>44869</v>
      </c>
      <c r="B2048">
        <f>_xlfn.XLOOKUP(A2048,'[1]Global_Spot Prices'!$B:$B,'[1]Global_Spot Prices'!$BS:$BS)</f>
        <v>7.0499999999999972</v>
      </c>
      <c r="C2048">
        <f>_xlfn.XLOOKUP(A2048,'[1]Global_Spot Prices'!$B:$B,'[1]Global_Spot Prices'!$E:$E)</f>
        <v>92.29</v>
      </c>
      <c r="D2048">
        <f>_xlfn.XLOOKUP(A2048,'[1]Global_Spot Prices'!$B:$B,'[1]Global_Spot Prices'!$D:$D)</f>
        <v>98.73</v>
      </c>
      <c r="E2048">
        <f>_xlfn.XLOOKUP(A2048,'[1]Global_Spot Prices'!$B:$B,'[1]Global_Spot Prices'!$H:$H)</f>
        <v>73.69</v>
      </c>
      <c r="F2048">
        <f>_xlfn.XLOOKUP(A2048,'[1]Global_Spot Prices'!$B:$B,'[1]Global_Spot Prices'!$I:$I)</f>
        <v>99.34</v>
      </c>
      <c r="G2048" cm="1">
        <f t="array" ref="G2048">_xlfn.XLOOKUP(TEXT(A2048, "mmm-yy"), TEXT([2]RUNS!$B$5:$B$208, "mmm-yy"), [2]RUNS!$D$5:$D$208, "Not Found")</f>
        <v>30028.755580230118</v>
      </c>
      <c r="H2048" cm="1">
        <f t="array" ref="H2048">SUMPRODUCT(
    --(TEXT('[3]Global Weekly Stock (EWSuez'!$B$4:$B$2000,"mmm-yy")=TEXT(A2048,"mmm-yy")),
    '[3]Global Weekly Stock (EWSuez'!$E$4:$E$2000)
/
SUMPRODUCT(
    --(TEXT('[3]Global Weekly Stock (EWSuez'!$B$4:$B$2000,"mmm-yy")=TEXT(A2048,"mmm-yy"))
)</f>
        <v>13575.75</v>
      </c>
      <c r="I2048">
        <f>_xlfn.XLOOKUP(A2048,[1]ForwardDeriv!$D:$D,[1]ForwardDeriv!$AJ:$AJ)</f>
        <v>0.59999999999999432</v>
      </c>
      <c r="J2048" cm="1">
        <f t="array" ref="J2048">_xlfn.XLOOKUP(TEXT(A2048, "mmm-yy"), TEXT([2]GASOLINE!$B$5:$B$208, "mmm-yy"), [2]GASOLINE!$IR$5:$IR$208, "Not Found")</f>
        <v>-166.16547304848092</v>
      </c>
      <c r="K2048" cm="1">
        <f t="array" ref="K2048">_xlfn.XLOOKUP(TEXT(A2048, "mmm-yy"), TEXT([2]GASOLINE!$B$5:$B$208, "mmm-yy"), [2]GASOLINE!$IK$5:$IK$208, "Not Found")</f>
        <v>203.80510178022652</v>
      </c>
      <c r="L2048">
        <f t="shared" si="31"/>
        <v>0</v>
      </c>
      <c r="M2048" cm="1">
        <f t="array" ref="M2048">_xlfn.XLOOKUP(TEXT(A2048, "mmm-yy"), TEXT([2]GASOLINE!$B$5:$B$208, "mmm-yy"), [2]GASOLINE!$C$5:$C$208, "Not Found")</f>
        <v>7130.1665237059042</v>
      </c>
      <c r="N2048" cm="1">
        <f t="array" ref="N2048">_xlfn.XLOOKUP(TEXT(A2048, "mmm-yy"), TEXT([2]RUNS!$B$5:$B$208, "mmm-yy"), [2]RUNS!$BM$5:$BM$208, "Not Found")</f>
        <v>0.82240596112184083</v>
      </c>
    </row>
    <row r="2049" spans="1:14" x14ac:dyDescent="0.25">
      <c r="A2049" s="1">
        <f>'[1]Global_Spot Prices'!$B3358</f>
        <v>44872</v>
      </c>
      <c r="B2049">
        <f>_xlfn.XLOOKUP(A2049,'[1]Global_Spot Prices'!$B:$B,'[1]Global_Spot Prices'!$BS:$BS)</f>
        <v>7.4899999999999949</v>
      </c>
      <c r="C2049">
        <f>_xlfn.XLOOKUP(A2049,'[1]Global_Spot Prices'!$B:$B,'[1]Global_Spot Prices'!$E:$E)</f>
        <v>92.9</v>
      </c>
      <c r="D2049">
        <f>_xlfn.XLOOKUP(A2049,'[1]Global_Spot Prices'!$B:$B,'[1]Global_Spot Prices'!$D:$D)</f>
        <v>101.715</v>
      </c>
      <c r="E2049">
        <f>_xlfn.XLOOKUP(A2049,'[1]Global_Spot Prices'!$B:$B,'[1]Global_Spot Prices'!$H:$H)</f>
        <v>74</v>
      </c>
      <c r="F2049">
        <f>_xlfn.XLOOKUP(A2049,'[1]Global_Spot Prices'!$B:$B,'[1]Global_Spot Prices'!$I:$I)</f>
        <v>100.39</v>
      </c>
      <c r="G2049" cm="1">
        <f t="array" ref="G2049">_xlfn.XLOOKUP(TEXT(A2049, "mmm-yy"), TEXT([2]RUNS!$B$5:$B$208, "mmm-yy"), [2]RUNS!$D$5:$D$208, "Not Found")</f>
        <v>30028.755580230118</v>
      </c>
      <c r="H2049" cm="1">
        <f t="array" ref="H2049">SUMPRODUCT(
    --(TEXT('[3]Global Weekly Stock (EWSuez'!$B$4:$B$2000,"mmm-yy")=TEXT(A2049,"mmm-yy")),
    '[3]Global Weekly Stock (EWSuez'!$E$4:$E$2000)
/
SUMPRODUCT(
    --(TEXT('[3]Global Weekly Stock (EWSuez'!$B$4:$B$2000,"mmm-yy")=TEXT(A2049,"mmm-yy"))
)</f>
        <v>13575.75</v>
      </c>
      <c r="I2049">
        <f>_xlfn.XLOOKUP(A2049,[1]ForwardDeriv!$D:$D,[1]ForwardDeriv!$AJ:$AJ)</f>
        <v>0.93000000000000682</v>
      </c>
      <c r="J2049" cm="1">
        <f t="array" ref="J2049">_xlfn.XLOOKUP(TEXT(A2049, "mmm-yy"), TEXT([2]GASOLINE!$B$5:$B$208, "mmm-yy"), [2]GASOLINE!$IR$5:$IR$208, "Not Found")</f>
        <v>-166.16547304848092</v>
      </c>
      <c r="K2049" cm="1">
        <f t="array" ref="K2049">_xlfn.XLOOKUP(TEXT(A2049, "mmm-yy"), TEXT([2]GASOLINE!$B$5:$B$208, "mmm-yy"), [2]GASOLINE!$IK$5:$IK$208, "Not Found")</f>
        <v>203.80510178022652</v>
      </c>
      <c r="L2049">
        <f t="shared" si="31"/>
        <v>0</v>
      </c>
      <c r="M2049" cm="1">
        <f t="array" ref="M2049">_xlfn.XLOOKUP(TEXT(A2049, "mmm-yy"), TEXT([2]GASOLINE!$B$5:$B$208, "mmm-yy"), [2]GASOLINE!$C$5:$C$208, "Not Found")</f>
        <v>7130.1665237059042</v>
      </c>
      <c r="N2049" cm="1">
        <f t="array" ref="N2049">_xlfn.XLOOKUP(TEXT(A2049, "mmm-yy"), TEXT([2]RUNS!$B$5:$B$208, "mmm-yy"), [2]RUNS!$BM$5:$BM$208, "Not Found")</f>
        <v>0.82240596112184083</v>
      </c>
    </row>
    <row r="2050" spans="1:14" x14ac:dyDescent="0.25">
      <c r="A2050" s="1">
        <f>'[1]Global_Spot Prices'!$B3359</f>
        <v>44873</v>
      </c>
      <c r="B2050">
        <f>_xlfn.XLOOKUP(A2050,'[1]Global_Spot Prices'!$B:$B,'[1]Global_Spot Prices'!$BS:$BS)</f>
        <v>6.0099999999999909</v>
      </c>
      <c r="C2050">
        <f>_xlfn.XLOOKUP(A2050,'[1]Global_Spot Prices'!$B:$B,'[1]Global_Spot Prices'!$E:$E)</f>
        <v>92.29</v>
      </c>
      <c r="D2050">
        <f>_xlfn.XLOOKUP(A2050,'[1]Global_Spot Prices'!$B:$B,'[1]Global_Spot Prices'!$D:$D)</f>
        <v>98.915000000000006</v>
      </c>
      <c r="E2050">
        <f>_xlfn.XLOOKUP(A2050,'[1]Global_Spot Prices'!$B:$B,'[1]Global_Spot Prices'!$H:$H)</f>
        <v>74.45</v>
      </c>
      <c r="F2050">
        <f>_xlfn.XLOOKUP(A2050,'[1]Global_Spot Prices'!$B:$B,'[1]Global_Spot Prices'!$I:$I)</f>
        <v>98.3</v>
      </c>
      <c r="G2050" cm="1">
        <f t="array" ref="G2050">_xlfn.XLOOKUP(TEXT(A2050, "mmm-yy"), TEXT([2]RUNS!$B$5:$B$208, "mmm-yy"), [2]RUNS!$D$5:$D$208, "Not Found")</f>
        <v>30028.755580230118</v>
      </c>
      <c r="H2050" cm="1">
        <f t="array" ref="H2050">SUMPRODUCT(
    --(TEXT('[3]Global Weekly Stock (EWSuez'!$B$4:$B$2000,"mmm-yy")=TEXT(A2050,"mmm-yy")),
    '[3]Global Weekly Stock (EWSuez'!$E$4:$E$2000)
/
SUMPRODUCT(
    --(TEXT('[3]Global Weekly Stock (EWSuez'!$B$4:$B$2000,"mmm-yy")=TEXT(A2050,"mmm-yy"))
)</f>
        <v>13575.75</v>
      </c>
      <c r="I2050">
        <f>_xlfn.XLOOKUP(A2050,[1]ForwardDeriv!$D:$D,[1]ForwardDeriv!$AJ:$AJ)</f>
        <v>0.46999999999999886</v>
      </c>
      <c r="J2050" cm="1">
        <f t="array" ref="J2050">_xlfn.XLOOKUP(TEXT(A2050, "mmm-yy"), TEXT([2]GASOLINE!$B$5:$B$208, "mmm-yy"), [2]GASOLINE!$IR$5:$IR$208, "Not Found")</f>
        <v>-166.16547304848092</v>
      </c>
      <c r="K2050" cm="1">
        <f t="array" ref="K2050">_xlfn.XLOOKUP(TEXT(A2050, "mmm-yy"), TEXT([2]GASOLINE!$B$5:$B$208, "mmm-yy"), [2]GASOLINE!$IK$5:$IK$208, "Not Found")</f>
        <v>203.80510178022652</v>
      </c>
      <c r="L2050">
        <f t="shared" si="31"/>
        <v>0</v>
      </c>
      <c r="M2050" cm="1">
        <f t="array" ref="M2050">_xlfn.XLOOKUP(TEXT(A2050, "mmm-yy"), TEXT([2]GASOLINE!$B$5:$B$208, "mmm-yy"), [2]GASOLINE!$C$5:$C$208, "Not Found")</f>
        <v>7130.1665237059042</v>
      </c>
      <c r="N2050" cm="1">
        <f t="array" ref="N2050">_xlfn.XLOOKUP(TEXT(A2050, "mmm-yy"), TEXT([2]RUNS!$B$5:$B$208, "mmm-yy"), [2]RUNS!$BM$5:$BM$208, "Not Found")</f>
        <v>0.82240596112184083</v>
      </c>
    </row>
    <row r="2051" spans="1:14" x14ac:dyDescent="0.25">
      <c r="A2051" s="1">
        <f>'[1]Global_Spot Prices'!$B3360</f>
        <v>44874</v>
      </c>
      <c r="B2051">
        <f>_xlfn.XLOOKUP(A2051,'[1]Global_Spot Prices'!$B:$B,'[1]Global_Spot Prices'!$BS:$BS)</f>
        <v>4.6400000000000006</v>
      </c>
      <c r="C2051">
        <f>_xlfn.XLOOKUP(A2051,'[1]Global_Spot Prices'!$B:$B,'[1]Global_Spot Prices'!$E:$E)</f>
        <v>89.76</v>
      </c>
      <c r="D2051">
        <f>_xlfn.XLOOKUP(A2051,'[1]Global_Spot Prices'!$B:$B,'[1]Global_Spot Prices'!$D:$D)</f>
        <v>94.78</v>
      </c>
      <c r="E2051">
        <f>_xlfn.XLOOKUP(A2051,'[1]Global_Spot Prices'!$B:$B,'[1]Global_Spot Prices'!$H:$H)</f>
        <v>73.33</v>
      </c>
      <c r="F2051">
        <f>_xlfn.XLOOKUP(A2051,'[1]Global_Spot Prices'!$B:$B,'[1]Global_Spot Prices'!$I:$I)</f>
        <v>94.4</v>
      </c>
      <c r="G2051" cm="1">
        <f t="array" ref="G2051">_xlfn.XLOOKUP(TEXT(A2051, "mmm-yy"), TEXT([2]RUNS!$B$5:$B$208, "mmm-yy"), [2]RUNS!$D$5:$D$208, "Not Found")</f>
        <v>30028.755580230118</v>
      </c>
      <c r="H2051" cm="1">
        <f t="array" ref="H2051">SUMPRODUCT(
    --(TEXT('[3]Global Weekly Stock (EWSuez'!$B$4:$B$2000,"mmm-yy")=TEXT(A2051,"mmm-yy")),
    '[3]Global Weekly Stock (EWSuez'!$E$4:$E$2000)
/
SUMPRODUCT(
    --(TEXT('[3]Global Weekly Stock (EWSuez'!$B$4:$B$2000,"mmm-yy")=TEXT(A2051,"mmm-yy"))
)</f>
        <v>13575.75</v>
      </c>
      <c r="I2051">
        <f>_xlfn.XLOOKUP(A2051,[1]ForwardDeriv!$D:$D,[1]ForwardDeriv!$AJ:$AJ)</f>
        <v>0.34999999999999432</v>
      </c>
      <c r="J2051" cm="1">
        <f t="array" ref="J2051">_xlfn.XLOOKUP(TEXT(A2051, "mmm-yy"), TEXT([2]GASOLINE!$B$5:$B$208, "mmm-yy"), [2]GASOLINE!$IR$5:$IR$208, "Not Found")</f>
        <v>-166.16547304848092</v>
      </c>
      <c r="K2051" cm="1">
        <f t="array" ref="K2051">_xlfn.XLOOKUP(TEXT(A2051, "mmm-yy"), TEXT([2]GASOLINE!$B$5:$B$208, "mmm-yy"), [2]GASOLINE!$IK$5:$IK$208, "Not Found")</f>
        <v>203.80510178022652</v>
      </c>
      <c r="L2051">
        <f t="shared" ref="L2051:L2114" si="32">IF(OR(MONTH(A2051)=6, MONTH(A2051)=7, MONTH(A2051)=8, MONTH(A2051)=9), 1, 0)</f>
        <v>0</v>
      </c>
      <c r="M2051" cm="1">
        <f t="array" ref="M2051">_xlfn.XLOOKUP(TEXT(A2051, "mmm-yy"), TEXT([2]GASOLINE!$B$5:$B$208, "mmm-yy"), [2]GASOLINE!$C$5:$C$208, "Not Found")</f>
        <v>7130.1665237059042</v>
      </c>
      <c r="N2051" cm="1">
        <f t="array" ref="N2051">_xlfn.XLOOKUP(TEXT(A2051, "mmm-yy"), TEXT([2]RUNS!$B$5:$B$208, "mmm-yy"), [2]RUNS!$BM$5:$BM$208, "Not Found")</f>
        <v>0.82240596112184083</v>
      </c>
    </row>
    <row r="2052" spans="1:14" x14ac:dyDescent="0.25">
      <c r="A2052" s="1">
        <f>'[1]Global_Spot Prices'!$B3361</f>
        <v>44875</v>
      </c>
      <c r="B2052">
        <f>_xlfn.XLOOKUP(A2052,'[1]Global_Spot Prices'!$B:$B,'[1]Global_Spot Prices'!$BS:$BS)</f>
        <v>5</v>
      </c>
      <c r="C2052">
        <f>_xlfn.XLOOKUP(A2052,'[1]Global_Spot Prices'!$B:$B,'[1]Global_Spot Prices'!$E:$E)</f>
        <v>87.14</v>
      </c>
      <c r="D2052">
        <f>_xlfn.XLOOKUP(A2052,'[1]Global_Spot Prices'!$B:$B,'[1]Global_Spot Prices'!$D:$D)</f>
        <v>94.56</v>
      </c>
      <c r="E2052">
        <f>_xlfn.XLOOKUP(A2052,'[1]Global_Spot Prices'!$B:$B,'[1]Global_Spot Prices'!$H:$H)</f>
        <v>72.63</v>
      </c>
      <c r="F2052">
        <f>_xlfn.XLOOKUP(A2052,'[1]Global_Spot Prices'!$B:$B,'[1]Global_Spot Prices'!$I:$I)</f>
        <v>92.14</v>
      </c>
      <c r="G2052" cm="1">
        <f t="array" ref="G2052">_xlfn.XLOOKUP(TEXT(A2052, "mmm-yy"), TEXT([2]RUNS!$B$5:$B$208, "mmm-yy"), [2]RUNS!$D$5:$D$208, "Not Found")</f>
        <v>30028.755580230118</v>
      </c>
      <c r="H2052" cm="1">
        <f t="array" ref="H2052">SUMPRODUCT(
    --(TEXT('[3]Global Weekly Stock (EWSuez'!$B$4:$B$2000,"mmm-yy")=TEXT(A2052,"mmm-yy")),
    '[3]Global Weekly Stock (EWSuez'!$E$4:$E$2000)
/
SUMPRODUCT(
    --(TEXT('[3]Global Weekly Stock (EWSuez'!$B$4:$B$2000,"mmm-yy")=TEXT(A2052,"mmm-yy"))
)</f>
        <v>13575.75</v>
      </c>
      <c r="I2052">
        <f>_xlfn.XLOOKUP(A2052,[1]ForwardDeriv!$D:$D,[1]ForwardDeriv!$AJ:$AJ)</f>
        <v>0.45000000000000284</v>
      </c>
      <c r="J2052" cm="1">
        <f t="array" ref="J2052">_xlfn.XLOOKUP(TEXT(A2052, "mmm-yy"), TEXT([2]GASOLINE!$B$5:$B$208, "mmm-yy"), [2]GASOLINE!$IR$5:$IR$208, "Not Found")</f>
        <v>-166.16547304848092</v>
      </c>
      <c r="K2052" cm="1">
        <f t="array" ref="K2052">_xlfn.XLOOKUP(TEXT(A2052, "mmm-yy"), TEXT([2]GASOLINE!$B$5:$B$208, "mmm-yy"), [2]GASOLINE!$IK$5:$IK$208, "Not Found")</f>
        <v>203.80510178022652</v>
      </c>
      <c r="L2052">
        <f t="shared" si="32"/>
        <v>0</v>
      </c>
      <c r="M2052" cm="1">
        <f t="array" ref="M2052">_xlfn.XLOOKUP(TEXT(A2052, "mmm-yy"), TEXT([2]GASOLINE!$B$5:$B$208, "mmm-yy"), [2]GASOLINE!$C$5:$C$208, "Not Found")</f>
        <v>7130.1665237059042</v>
      </c>
      <c r="N2052" cm="1">
        <f t="array" ref="N2052">_xlfn.XLOOKUP(TEXT(A2052, "mmm-yy"), TEXT([2]RUNS!$B$5:$B$208, "mmm-yy"), [2]RUNS!$BM$5:$BM$208, "Not Found")</f>
        <v>0.82240596112184083</v>
      </c>
    </row>
    <row r="2053" spans="1:14" x14ac:dyDescent="0.25">
      <c r="A2053" s="1">
        <f>'[1]Global_Spot Prices'!$B3362</f>
        <v>44876</v>
      </c>
      <c r="B2053">
        <f>_xlfn.XLOOKUP(A2053,'[1]Global_Spot Prices'!$B:$B,'[1]Global_Spot Prices'!$BS:$BS)</f>
        <v>5.2099999999999937</v>
      </c>
      <c r="C2053">
        <f>_xlfn.XLOOKUP(A2053,'[1]Global_Spot Prices'!$B:$B,'[1]Global_Spot Prices'!$E:$E)</f>
        <v>91.04</v>
      </c>
      <c r="D2053">
        <f>_xlfn.XLOOKUP(A2053,'[1]Global_Spot Prices'!$B:$B,'[1]Global_Spot Prices'!$D:$D)</f>
        <v>96.775000000000006</v>
      </c>
      <c r="E2053">
        <f>_xlfn.XLOOKUP(A2053,'[1]Global_Spot Prices'!$B:$B,'[1]Global_Spot Prices'!$H:$H)</f>
        <v>75.13</v>
      </c>
      <c r="F2053">
        <f>_xlfn.XLOOKUP(A2053,'[1]Global_Spot Prices'!$B:$B,'[1]Global_Spot Prices'!$I:$I)</f>
        <v>96.25</v>
      </c>
      <c r="G2053" cm="1">
        <f t="array" ref="G2053">_xlfn.XLOOKUP(TEXT(A2053, "mmm-yy"), TEXT([2]RUNS!$B$5:$B$208, "mmm-yy"), [2]RUNS!$D$5:$D$208, "Not Found")</f>
        <v>30028.755580230118</v>
      </c>
      <c r="H2053" cm="1">
        <f t="array" ref="H2053">SUMPRODUCT(
    --(TEXT('[3]Global Weekly Stock (EWSuez'!$B$4:$B$2000,"mmm-yy")=TEXT(A2053,"mmm-yy")),
    '[3]Global Weekly Stock (EWSuez'!$E$4:$E$2000)
/
SUMPRODUCT(
    --(TEXT('[3]Global Weekly Stock (EWSuez'!$B$4:$B$2000,"mmm-yy")=TEXT(A2053,"mmm-yy"))
)</f>
        <v>13575.75</v>
      </c>
      <c r="I2053">
        <f>_xlfn.XLOOKUP(A2053,[1]ForwardDeriv!$D:$D,[1]ForwardDeriv!$AJ:$AJ)</f>
        <v>0.70000000000000284</v>
      </c>
      <c r="J2053" cm="1">
        <f t="array" ref="J2053">_xlfn.XLOOKUP(TEXT(A2053, "mmm-yy"), TEXT([2]GASOLINE!$B$5:$B$208, "mmm-yy"), [2]GASOLINE!$IR$5:$IR$208, "Not Found")</f>
        <v>-166.16547304848092</v>
      </c>
      <c r="K2053" cm="1">
        <f t="array" ref="K2053">_xlfn.XLOOKUP(TEXT(A2053, "mmm-yy"), TEXT([2]GASOLINE!$B$5:$B$208, "mmm-yy"), [2]GASOLINE!$IK$5:$IK$208, "Not Found")</f>
        <v>203.80510178022652</v>
      </c>
      <c r="L2053">
        <f t="shared" si="32"/>
        <v>0</v>
      </c>
      <c r="M2053" cm="1">
        <f t="array" ref="M2053">_xlfn.XLOOKUP(TEXT(A2053, "mmm-yy"), TEXT([2]GASOLINE!$B$5:$B$208, "mmm-yy"), [2]GASOLINE!$C$5:$C$208, "Not Found")</f>
        <v>7130.1665237059042</v>
      </c>
      <c r="N2053" cm="1">
        <f t="array" ref="N2053">_xlfn.XLOOKUP(TEXT(A2053, "mmm-yy"), TEXT([2]RUNS!$B$5:$B$208, "mmm-yy"), [2]RUNS!$BM$5:$BM$208, "Not Found")</f>
        <v>0.82240596112184083</v>
      </c>
    </row>
    <row r="2054" spans="1:14" x14ac:dyDescent="0.25">
      <c r="A2054" s="1">
        <f>'[1]Global_Spot Prices'!$B3363</f>
        <v>44879</v>
      </c>
      <c r="B2054">
        <f>_xlfn.XLOOKUP(A2054,'[1]Global_Spot Prices'!$B:$B,'[1]Global_Spot Prices'!$BS:$BS)</f>
        <v>6.2600000000000051</v>
      </c>
      <c r="C2054">
        <f>_xlfn.XLOOKUP(A2054,'[1]Global_Spot Prices'!$B:$B,'[1]Global_Spot Prices'!$E:$E)</f>
        <v>91</v>
      </c>
      <c r="D2054">
        <f>_xlfn.XLOOKUP(A2054,'[1]Global_Spot Prices'!$B:$B,'[1]Global_Spot Prices'!$D:$D)</f>
        <v>95.504999999999995</v>
      </c>
      <c r="E2054">
        <f>_xlfn.XLOOKUP(A2054,'[1]Global_Spot Prices'!$B:$B,'[1]Global_Spot Prices'!$H:$H)</f>
        <v>76.63</v>
      </c>
      <c r="F2054">
        <f>_xlfn.XLOOKUP(A2054,'[1]Global_Spot Prices'!$B:$B,'[1]Global_Spot Prices'!$I:$I)</f>
        <v>97.26</v>
      </c>
      <c r="G2054" cm="1">
        <f t="array" ref="G2054">_xlfn.XLOOKUP(TEXT(A2054, "mmm-yy"), TEXT([2]RUNS!$B$5:$B$208, "mmm-yy"), [2]RUNS!$D$5:$D$208, "Not Found")</f>
        <v>30028.755580230118</v>
      </c>
      <c r="H2054" cm="1">
        <f t="array" ref="H2054">SUMPRODUCT(
    --(TEXT('[3]Global Weekly Stock (EWSuez'!$B$4:$B$2000,"mmm-yy")=TEXT(A2054,"mmm-yy")),
    '[3]Global Weekly Stock (EWSuez'!$E$4:$E$2000)
/
SUMPRODUCT(
    --(TEXT('[3]Global Weekly Stock (EWSuez'!$B$4:$B$2000,"mmm-yy")=TEXT(A2054,"mmm-yy"))
)</f>
        <v>13575.75</v>
      </c>
      <c r="I2054">
        <f>_xlfn.XLOOKUP(A2054,[1]ForwardDeriv!$D:$D,[1]ForwardDeriv!$AJ:$AJ)</f>
        <v>0.57999999999999829</v>
      </c>
      <c r="J2054" cm="1">
        <f t="array" ref="J2054">_xlfn.XLOOKUP(TEXT(A2054, "mmm-yy"), TEXT([2]GASOLINE!$B$5:$B$208, "mmm-yy"), [2]GASOLINE!$IR$5:$IR$208, "Not Found")</f>
        <v>-166.16547304848092</v>
      </c>
      <c r="K2054" cm="1">
        <f t="array" ref="K2054">_xlfn.XLOOKUP(TEXT(A2054, "mmm-yy"), TEXT([2]GASOLINE!$B$5:$B$208, "mmm-yy"), [2]GASOLINE!$IK$5:$IK$208, "Not Found")</f>
        <v>203.80510178022652</v>
      </c>
      <c r="L2054">
        <f t="shared" si="32"/>
        <v>0</v>
      </c>
      <c r="M2054" cm="1">
        <f t="array" ref="M2054">_xlfn.XLOOKUP(TEXT(A2054, "mmm-yy"), TEXT([2]GASOLINE!$B$5:$B$208, "mmm-yy"), [2]GASOLINE!$C$5:$C$208, "Not Found")</f>
        <v>7130.1665237059042</v>
      </c>
      <c r="N2054" cm="1">
        <f t="array" ref="N2054">_xlfn.XLOOKUP(TEXT(A2054, "mmm-yy"), TEXT([2]RUNS!$B$5:$B$208, "mmm-yy"), [2]RUNS!$BM$5:$BM$208, "Not Found")</f>
        <v>0.82240596112184083</v>
      </c>
    </row>
    <row r="2055" spans="1:14" x14ac:dyDescent="0.25">
      <c r="A2055" s="1">
        <f>'[1]Global_Spot Prices'!$B3364</f>
        <v>44880</v>
      </c>
      <c r="B2055">
        <f>_xlfn.XLOOKUP(A2055,'[1]Global_Spot Prices'!$B:$B,'[1]Global_Spot Prices'!$BS:$BS)</f>
        <v>6.9650000000000034</v>
      </c>
      <c r="C2055">
        <f>_xlfn.XLOOKUP(A2055,'[1]Global_Spot Prices'!$B:$B,'[1]Global_Spot Prices'!$E:$E)</f>
        <v>86.795000000000002</v>
      </c>
      <c r="D2055">
        <f>_xlfn.XLOOKUP(A2055,'[1]Global_Spot Prices'!$B:$B,'[1]Global_Spot Prices'!$D:$D)</f>
        <v>93.944999999999993</v>
      </c>
      <c r="E2055">
        <f>_xlfn.XLOOKUP(A2055,'[1]Global_Spot Prices'!$B:$B,'[1]Global_Spot Prices'!$H:$H)</f>
        <v>75.28</v>
      </c>
      <c r="F2055">
        <f>_xlfn.XLOOKUP(A2055,'[1]Global_Spot Prices'!$B:$B,'[1]Global_Spot Prices'!$I:$I)</f>
        <v>93.76</v>
      </c>
      <c r="G2055" cm="1">
        <f t="array" ref="G2055">_xlfn.XLOOKUP(TEXT(A2055, "mmm-yy"), TEXT([2]RUNS!$B$5:$B$208, "mmm-yy"), [2]RUNS!$D$5:$D$208, "Not Found")</f>
        <v>30028.755580230118</v>
      </c>
      <c r="H2055" cm="1">
        <f t="array" ref="H2055">SUMPRODUCT(
    --(TEXT('[3]Global Weekly Stock (EWSuez'!$B$4:$B$2000,"mmm-yy")=TEXT(A2055,"mmm-yy")),
    '[3]Global Weekly Stock (EWSuez'!$E$4:$E$2000)
/
SUMPRODUCT(
    --(TEXT('[3]Global Weekly Stock (EWSuez'!$B$4:$B$2000,"mmm-yy")=TEXT(A2055,"mmm-yy"))
)</f>
        <v>13575.75</v>
      </c>
      <c r="I2055">
        <f>_xlfn.XLOOKUP(A2055,[1]ForwardDeriv!$D:$D,[1]ForwardDeriv!$AJ:$AJ)</f>
        <v>0.57999999999999829</v>
      </c>
      <c r="J2055" cm="1">
        <f t="array" ref="J2055">_xlfn.XLOOKUP(TEXT(A2055, "mmm-yy"), TEXT([2]GASOLINE!$B$5:$B$208, "mmm-yy"), [2]GASOLINE!$IR$5:$IR$208, "Not Found")</f>
        <v>-166.16547304848092</v>
      </c>
      <c r="K2055" cm="1">
        <f t="array" ref="K2055">_xlfn.XLOOKUP(TEXT(A2055, "mmm-yy"), TEXT([2]GASOLINE!$B$5:$B$208, "mmm-yy"), [2]GASOLINE!$IK$5:$IK$208, "Not Found")</f>
        <v>203.80510178022652</v>
      </c>
      <c r="L2055">
        <f t="shared" si="32"/>
        <v>0</v>
      </c>
      <c r="M2055" cm="1">
        <f t="array" ref="M2055">_xlfn.XLOOKUP(TEXT(A2055, "mmm-yy"), TEXT([2]GASOLINE!$B$5:$B$208, "mmm-yy"), [2]GASOLINE!$C$5:$C$208, "Not Found")</f>
        <v>7130.1665237059042</v>
      </c>
      <c r="N2055" cm="1">
        <f t="array" ref="N2055">_xlfn.XLOOKUP(TEXT(A2055, "mmm-yy"), TEXT([2]RUNS!$B$5:$B$208, "mmm-yy"), [2]RUNS!$BM$5:$BM$208, "Not Found")</f>
        <v>0.82240596112184083</v>
      </c>
    </row>
    <row r="2056" spans="1:14" x14ac:dyDescent="0.25">
      <c r="A2056" s="1">
        <f>'[1]Global_Spot Prices'!$B3365</f>
        <v>44881</v>
      </c>
      <c r="B2056">
        <f>_xlfn.XLOOKUP(A2056,'[1]Global_Spot Prices'!$B:$B,'[1]Global_Spot Prices'!$BS:$BS)</f>
        <v>7.2999999999999972</v>
      </c>
      <c r="C2056">
        <f>_xlfn.XLOOKUP(A2056,'[1]Global_Spot Prices'!$B:$B,'[1]Global_Spot Prices'!$E:$E)</f>
        <v>88.04</v>
      </c>
      <c r="D2056">
        <f>_xlfn.XLOOKUP(A2056,'[1]Global_Spot Prices'!$B:$B,'[1]Global_Spot Prices'!$D:$D)</f>
        <v>92.375</v>
      </c>
      <c r="E2056">
        <f>_xlfn.XLOOKUP(A2056,'[1]Global_Spot Prices'!$B:$B,'[1]Global_Spot Prices'!$H:$H)</f>
        <v>75.760000000000005</v>
      </c>
      <c r="F2056">
        <f>_xlfn.XLOOKUP(A2056,'[1]Global_Spot Prices'!$B:$B,'[1]Global_Spot Prices'!$I:$I)</f>
        <v>95.34</v>
      </c>
      <c r="G2056" cm="1">
        <f t="array" ref="G2056">_xlfn.XLOOKUP(TEXT(A2056, "mmm-yy"), TEXT([2]RUNS!$B$5:$B$208, "mmm-yy"), [2]RUNS!$D$5:$D$208, "Not Found")</f>
        <v>30028.755580230118</v>
      </c>
      <c r="H2056" cm="1">
        <f t="array" ref="H2056">SUMPRODUCT(
    --(TEXT('[3]Global Weekly Stock (EWSuez'!$B$4:$B$2000,"mmm-yy")=TEXT(A2056,"mmm-yy")),
    '[3]Global Weekly Stock (EWSuez'!$E$4:$E$2000)
/
SUMPRODUCT(
    --(TEXT('[3]Global Weekly Stock (EWSuez'!$B$4:$B$2000,"mmm-yy")=TEXT(A2056,"mmm-yy"))
)</f>
        <v>13575.75</v>
      </c>
      <c r="I2056">
        <f>_xlfn.XLOOKUP(A2056,[1]ForwardDeriv!$D:$D,[1]ForwardDeriv!$AJ:$AJ)</f>
        <v>0.48000000000000398</v>
      </c>
      <c r="J2056" cm="1">
        <f t="array" ref="J2056">_xlfn.XLOOKUP(TEXT(A2056, "mmm-yy"), TEXT([2]GASOLINE!$B$5:$B$208, "mmm-yy"), [2]GASOLINE!$IR$5:$IR$208, "Not Found")</f>
        <v>-166.16547304848092</v>
      </c>
      <c r="K2056" cm="1">
        <f t="array" ref="K2056">_xlfn.XLOOKUP(TEXT(A2056, "mmm-yy"), TEXT([2]GASOLINE!$B$5:$B$208, "mmm-yy"), [2]GASOLINE!$IK$5:$IK$208, "Not Found")</f>
        <v>203.80510178022652</v>
      </c>
      <c r="L2056">
        <f t="shared" si="32"/>
        <v>0</v>
      </c>
      <c r="M2056" cm="1">
        <f t="array" ref="M2056">_xlfn.XLOOKUP(TEXT(A2056, "mmm-yy"), TEXT([2]GASOLINE!$B$5:$B$208, "mmm-yy"), [2]GASOLINE!$C$5:$C$208, "Not Found")</f>
        <v>7130.1665237059042</v>
      </c>
      <c r="N2056" cm="1">
        <f t="array" ref="N2056">_xlfn.XLOOKUP(TEXT(A2056, "mmm-yy"), TEXT([2]RUNS!$B$5:$B$208, "mmm-yy"), [2]RUNS!$BM$5:$BM$208, "Not Found")</f>
        <v>0.82240596112184083</v>
      </c>
    </row>
    <row r="2057" spans="1:14" x14ac:dyDescent="0.25">
      <c r="A2057" s="1">
        <f>'[1]Global_Spot Prices'!$B3366</f>
        <v>44882</v>
      </c>
      <c r="B2057">
        <f>_xlfn.XLOOKUP(A2057,'[1]Global_Spot Prices'!$B:$B,'[1]Global_Spot Prices'!$BS:$BS)</f>
        <v>7.5550000000000068</v>
      </c>
      <c r="C2057">
        <f>_xlfn.XLOOKUP(A2057,'[1]Global_Spot Prices'!$B:$B,'[1]Global_Spot Prices'!$E:$E)</f>
        <v>87.144999999999996</v>
      </c>
      <c r="D2057">
        <f>_xlfn.XLOOKUP(A2057,'[1]Global_Spot Prices'!$B:$B,'[1]Global_Spot Prices'!$D:$D)</f>
        <v>91.364999999999995</v>
      </c>
      <c r="E2057">
        <f>_xlfn.XLOOKUP(A2057,'[1]Global_Spot Prices'!$B:$B,'[1]Global_Spot Prices'!$H:$H)</f>
        <v>75.97</v>
      </c>
      <c r="F2057">
        <f>_xlfn.XLOOKUP(A2057,'[1]Global_Spot Prices'!$B:$B,'[1]Global_Spot Prices'!$I:$I)</f>
        <v>94.7</v>
      </c>
      <c r="G2057" cm="1">
        <f t="array" ref="G2057">_xlfn.XLOOKUP(TEXT(A2057, "mmm-yy"), TEXT([2]RUNS!$B$5:$B$208, "mmm-yy"), [2]RUNS!$D$5:$D$208, "Not Found")</f>
        <v>30028.755580230118</v>
      </c>
      <c r="H2057" cm="1">
        <f t="array" ref="H2057">SUMPRODUCT(
    --(TEXT('[3]Global Weekly Stock (EWSuez'!$B$4:$B$2000,"mmm-yy")=TEXT(A2057,"mmm-yy")),
    '[3]Global Weekly Stock (EWSuez'!$E$4:$E$2000)
/
SUMPRODUCT(
    --(TEXT('[3]Global Weekly Stock (EWSuez'!$B$4:$B$2000,"mmm-yy")=TEXT(A2057,"mmm-yy"))
)</f>
        <v>13575.75</v>
      </c>
      <c r="I2057">
        <f>_xlfn.XLOOKUP(A2057,[1]ForwardDeriv!$D:$D,[1]ForwardDeriv!$AJ:$AJ)</f>
        <v>0.53000000000000114</v>
      </c>
      <c r="J2057" cm="1">
        <f t="array" ref="J2057">_xlfn.XLOOKUP(TEXT(A2057, "mmm-yy"), TEXT([2]GASOLINE!$B$5:$B$208, "mmm-yy"), [2]GASOLINE!$IR$5:$IR$208, "Not Found")</f>
        <v>-166.16547304848092</v>
      </c>
      <c r="K2057" cm="1">
        <f t="array" ref="K2057">_xlfn.XLOOKUP(TEXT(A2057, "mmm-yy"), TEXT([2]GASOLINE!$B$5:$B$208, "mmm-yy"), [2]GASOLINE!$IK$5:$IK$208, "Not Found")</f>
        <v>203.80510178022652</v>
      </c>
      <c r="L2057">
        <f t="shared" si="32"/>
        <v>0</v>
      </c>
      <c r="M2057" cm="1">
        <f t="array" ref="M2057">_xlfn.XLOOKUP(TEXT(A2057, "mmm-yy"), TEXT([2]GASOLINE!$B$5:$B$208, "mmm-yy"), [2]GASOLINE!$C$5:$C$208, "Not Found")</f>
        <v>7130.1665237059042</v>
      </c>
      <c r="N2057" cm="1">
        <f t="array" ref="N2057">_xlfn.XLOOKUP(TEXT(A2057, "mmm-yy"), TEXT([2]RUNS!$B$5:$B$208, "mmm-yy"), [2]RUNS!$BM$5:$BM$208, "Not Found")</f>
        <v>0.82240596112184083</v>
      </c>
    </row>
    <row r="2058" spans="1:14" x14ac:dyDescent="0.25">
      <c r="A2058" s="1">
        <f>'[1]Global_Spot Prices'!$B3367</f>
        <v>44883</v>
      </c>
      <c r="B2058">
        <f>_xlfn.XLOOKUP(A2058,'[1]Global_Spot Prices'!$B:$B,'[1]Global_Spot Prices'!$BS:$BS)</f>
        <v>8.2999999999999972</v>
      </c>
      <c r="C2058">
        <f>_xlfn.XLOOKUP(A2058,'[1]Global_Spot Prices'!$B:$B,'[1]Global_Spot Prices'!$E:$E)</f>
        <v>84.34</v>
      </c>
      <c r="D2058">
        <f>_xlfn.XLOOKUP(A2058,'[1]Global_Spot Prices'!$B:$B,'[1]Global_Spot Prices'!$D:$D)</f>
        <v>88.41</v>
      </c>
      <c r="E2058">
        <f>_xlfn.XLOOKUP(A2058,'[1]Global_Spot Prices'!$B:$B,'[1]Global_Spot Prices'!$H:$H)</f>
        <v>75.88</v>
      </c>
      <c r="F2058">
        <f>_xlfn.XLOOKUP(A2058,'[1]Global_Spot Prices'!$B:$B,'[1]Global_Spot Prices'!$I:$I)</f>
        <v>92.64</v>
      </c>
      <c r="G2058" cm="1">
        <f t="array" ref="G2058">_xlfn.XLOOKUP(TEXT(A2058, "mmm-yy"), TEXT([2]RUNS!$B$5:$B$208, "mmm-yy"), [2]RUNS!$D$5:$D$208, "Not Found")</f>
        <v>30028.755580230118</v>
      </c>
      <c r="H2058" cm="1">
        <f t="array" ref="H2058">SUMPRODUCT(
    --(TEXT('[3]Global Weekly Stock (EWSuez'!$B$4:$B$2000,"mmm-yy")=TEXT(A2058,"mmm-yy")),
    '[3]Global Weekly Stock (EWSuez'!$E$4:$E$2000)
/
SUMPRODUCT(
    --(TEXT('[3]Global Weekly Stock (EWSuez'!$B$4:$B$2000,"mmm-yy")=TEXT(A2058,"mmm-yy"))
)</f>
        <v>13575.75</v>
      </c>
      <c r="I2058">
        <f>_xlfn.XLOOKUP(A2058,[1]ForwardDeriv!$D:$D,[1]ForwardDeriv!$AJ:$AJ)</f>
        <v>0.58000000000001251</v>
      </c>
      <c r="J2058" cm="1">
        <f t="array" ref="J2058">_xlfn.XLOOKUP(TEXT(A2058, "mmm-yy"), TEXT([2]GASOLINE!$B$5:$B$208, "mmm-yy"), [2]GASOLINE!$IR$5:$IR$208, "Not Found")</f>
        <v>-166.16547304848092</v>
      </c>
      <c r="K2058" cm="1">
        <f t="array" ref="K2058">_xlfn.XLOOKUP(TEXT(A2058, "mmm-yy"), TEXT([2]GASOLINE!$B$5:$B$208, "mmm-yy"), [2]GASOLINE!$IK$5:$IK$208, "Not Found")</f>
        <v>203.80510178022652</v>
      </c>
      <c r="L2058">
        <f t="shared" si="32"/>
        <v>0</v>
      </c>
      <c r="M2058" cm="1">
        <f t="array" ref="M2058">_xlfn.XLOOKUP(TEXT(A2058, "mmm-yy"), TEXT([2]GASOLINE!$B$5:$B$208, "mmm-yy"), [2]GASOLINE!$C$5:$C$208, "Not Found")</f>
        <v>7130.1665237059042</v>
      </c>
      <c r="N2058" cm="1">
        <f t="array" ref="N2058">_xlfn.XLOOKUP(TEXT(A2058, "mmm-yy"), TEXT([2]RUNS!$B$5:$B$208, "mmm-yy"), [2]RUNS!$BM$5:$BM$208, "Not Found")</f>
        <v>0.82240596112184083</v>
      </c>
    </row>
    <row r="2059" spans="1:14" x14ac:dyDescent="0.25">
      <c r="A2059" s="1">
        <f>'[1]Global_Spot Prices'!$B3368</f>
        <v>44886</v>
      </c>
      <c r="B2059">
        <f>_xlfn.XLOOKUP(A2059,'[1]Global_Spot Prices'!$B:$B,'[1]Global_Spot Prices'!$BS:$BS)</f>
        <v>10.219999999999999</v>
      </c>
      <c r="C2059">
        <f>_xlfn.XLOOKUP(A2059,'[1]Global_Spot Prices'!$B:$B,'[1]Global_Spot Prices'!$E:$E)</f>
        <v>81.25</v>
      </c>
      <c r="D2059">
        <f>_xlfn.XLOOKUP(A2059,'[1]Global_Spot Prices'!$B:$B,'[1]Global_Spot Prices'!$D:$D)</f>
        <v>83.194999999999993</v>
      </c>
      <c r="E2059">
        <f>_xlfn.XLOOKUP(A2059,'[1]Global_Spot Prices'!$B:$B,'[1]Global_Spot Prices'!$H:$H)</f>
        <v>73.28</v>
      </c>
      <c r="F2059">
        <f>_xlfn.XLOOKUP(A2059,'[1]Global_Spot Prices'!$B:$B,'[1]Global_Spot Prices'!$I:$I)</f>
        <v>91.47</v>
      </c>
      <c r="G2059" cm="1">
        <f t="array" ref="G2059">_xlfn.XLOOKUP(TEXT(A2059, "mmm-yy"), TEXT([2]RUNS!$B$5:$B$208, "mmm-yy"), [2]RUNS!$D$5:$D$208, "Not Found")</f>
        <v>30028.755580230118</v>
      </c>
      <c r="H2059" cm="1">
        <f t="array" ref="H2059">SUMPRODUCT(
    --(TEXT('[3]Global Weekly Stock (EWSuez'!$B$4:$B$2000,"mmm-yy")=TEXT(A2059,"mmm-yy")),
    '[3]Global Weekly Stock (EWSuez'!$E$4:$E$2000)
/
SUMPRODUCT(
    --(TEXT('[3]Global Weekly Stock (EWSuez'!$B$4:$B$2000,"mmm-yy")=TEXT(A2059,"mmm-yy"))
)</f>
        <v>13575.75</v>
      </c>
      <c r="I2059">
        <f>_xlfn.XLOOKUP(A2059,[1]ForwardDeriv!$D:$D,[1]ForwardDeriv!$AJ:$AJ)</f>
        <v>0.51999999999999602</v>
      </c>
      <c r="J2059" cm="1">
        <f t="array" ref="J2059">_xlfn.XLOOKUP(TEXT(A2059, "mmm-yy"), TEXT([2]GASOLINE!$B$5:$B$208, "mmm-yy"), [2]GASOLINE!$IR$5:$IR$208, "Not Found")</f>
        <v>-166.16547304848092</v>
      </c>
      <c r="K2059" cm="1">
        <f t="array" ref="K2059">_xlfn.XLOOKUP(TEXT(A2059, "mmm-yy"), TEXT([2]GASOLINE!$B$5:$B$208, "mmm-yy"), [2]GASOLINE!$IK$5:$IK$208, "Not Found")</f>
        <v>203.80510178022652</v>
      </c>
      <c r="L2059">
        <f t="shared" si="32"/>
        <v>0</v>
      </c>
      <c r="M2059" cm="1">
        <f t="array" ref="M2059">_xlfn.XLOOKUP(TEXT(A2059, "mmm-yy"), TEXT([2]GASOLINE!$B$5:$B$208, "mmm-yy"), [2]GASOLINE!$C$5:$C$208, "Not Found")</f>
        <v>7130.1665237059042</v>
      </c>
      <c r="N2059" cm="1">
        <f t="array" ref="N2059">_xlfn.XLOOKUP(TEXT(A2059, "mmm-yy"), TEXT([2]RUNS!$B$5:$B$208, "mmm-yy"), [2]RUNS!$BM$5:$BM$208, "Not Found")</f>
        <v>0.82240596112184083</v>
      </c>
    </row>
    <row r="2060" spans="1:14" x14ac:dyDescent="0.25">
      <c r="A2060" s="1">
        <f>'[1]Global_Spot Prices'!$B3369</f>
        <v>44887</v>
      </c>
      <c r="B2060">
        <f>_xlfn.XLOOKUP(A2060,'[1]Global_Spot Prices'!$B:$B,'[1]Global_Spot Prices'!$BS:$BS)</f>
        <v>10.850000000000009</v>
      </c>
      <c r="C2060">
        <f>_xlfn.XLOOKUP(A2060,'[1]Global_Spot Prices'!$B:$B,'[1]Global_Spot Prices'!$E:$E)</f>
        <v>82.3</v>
      </c>
      <c r="D2060">
        <f>_xlfn.XLOOKUP(A2060,'[1]Global_Spot Prices'!$B:$B,'[1]Global_Spot Prices'!$D:$D)</f>
        <v>89.4</v>
      </c>
      <c r="E2060">
        <f>_xlfn.XLOOKUP(A2060,'[1]Global_Spot Prices'!$B:$B,'[1]Global_Spot Prices'!$H:$H)</f>
        <v>74.650000000000006</v>
      </c>
      <c r="F2060">
        <f>_xlfn.XLOOKUP(A2060,'[1]Global_Spot Prices'!$B:$B,'[1]Global_Spot Prices'!$I:$I)</f>
        <v>93.15</v>
      </c>
      <c r="G2060" cm="1">
        <f t="array" ref="G2060">_xlfn.XLOOKUP(TEXT(A2060, "mmm-yy"), TEXT([2]RUNS!$B$5:$B$208, "mmm-yy"), [2]RUNS!$D$5:$D$208, "Not Found")</f>
        <v>30028.755580230118</v>
      </c>
      <c r="H2060" cm="1">
        <f t="array" ref="H2060">SUMPRODUCT(
    --(TEXT('[3]Global Weekly Stock (EWSuez'!$B$4:$B$2000,"mmm-yy")=TEXT(A2060,"mmm-yy")),
    '[3]Global Weekly Stock (EWSuez'!$E$4:$E$2000)
/
SUMPRODUCT(
    --(TEXT('[3]Global Weekly Stock (EWSuez'!$B$4:$B$2000,"mmm-yy")=TEXT(A2060,"mmm-yy"))
)</f>
        <v>13575.75</v>
      </c>
      <c r="I2060">
        <f>_xlfn.XLOOKUP(A2060,[1]ForwardDeriv!$D:$D,[1]ForwardDeriv!$AJ:$AJ)</f>
        <v>0.51000000000000512</v>
      </c>
      <c r="J2060" cm="1">
        <f t="array" ref="J2060">_xlfn.XLOOKUP(TEXT(A2060, "mmm-yy"), TEXT([2]GASOLINE!$B$5:$B$208, "mmm-yy"), [2]GASOLINE!$IR$5:$IR$208, "Not Found")</f>
        <v>-166.16547304848092</v>
      </c>
      <c r="K2060" cm="1">
        <f t="array" ref="K2060">_xlfn.XLOOKUP(TEXT(A2060, "mmm-yy"), TEXT([2]GASOLINE!$B$5:$B$208, "mmm-yy"), [2]GASOLINE!$IK$5:$IK$208, "Not Found")</f>
        <v>203.80510178022652</v>
      </c>
      <c r="L2060">
        <f t="shared" si="32"/>
        <v>0</v>
      </c>
      <c r="M2060" cm="1">
        <f t="array" ref="M2060">_xlfn.XLOOKUP(TEXT(A2060, "mmm-yy"), TEXT([2]GASOLINE!$B$5:$B$208, "mmm-yy"), [2]GASOLINE!$C$5:$C$208, "Not Found")</f>
        <v>7130.1665237059042</v>
      </c>
      <c r="N2060" cm="1">
        <f t="array" ref="N2060">_xlfn.XLOOKUP(TEXT(A2060, "mmm-yy"), TEXT([2]RUNS!$B$5:$B$208, "mmm-yy"), [2]RUNS!$BM$5:$BM$208, "Not Found")</f>
        <v>0.82240596112184083</v>
      </c>
    </row>
    <row r="2061" spans="1:14" x14ac:dyDescent="0.25">
      <c r="A2061" s="1">
        <f>'[1]Global_Spot Prices'!$B3370</f>
        <v>44888</v>
      </c>
      <c r="B2061">
        <f>_xlfn.XLOOKUP(A2061,'[1]Global_Spot Prices'!$B:$B,'[1]Global_Spot Prices'!$BS:$BS)</f>
        <v>11.539999999999992</v>
      </c>
      <c r="C2061">
        <f>_xlfn.XLOOKUP(A2061,'[1]Global_Spot Prices'!$B:$B,'[1]Global_Spot Prices'!$E:$E)</f>
        <v>81.790000000000006</v>
      </c>
      <c r="D2061">
        <f>_xlfn.XLOOKUP(A2061,'[1]Global_Spot Prices'!$B:$B,'[1]Global_Spot Prices'!$D:$D)</f>
        <v>85.314999999999998</v>
      </c>
      <c r="E2061">
        <f>_xlfn.XLOOKUP(A2061,'[1]Global_Spot Prices'!$B:$B,'[1]Global_Spot Prices'!$H:$H)</f>
        <v>73.989999999999995</v>
      </c>
      <c r="F2061">
        <f>_xlfn.XLOOKUP(A2061,'[1]Global_Spot Prices'!$B:$B,'[1]Global_Spot Prices'!$I:$I)</f>
        <v>93.33</v>
      </c>
      <c r="G2061" cm="1">
        <f t="array" ref="G2061">_xlfn.XLOOKUP(TEXT(A2061, "mmm-yy"), TEXT([2]RUNS!$B$5:$B$208, "mmm-yy"), [2]RUNS!$D$5:$D$208, "Not Found")</f>
        <v>30028.755580230118</v>
      </c>
      <c r="H2061" cm="1">
        <f t="array" ref="H2061">SUMPRODUCT(
    --(TEXT('[3]Global Weekly Stock (EWSuez'!$B$4:$B$2000,"mmm-yy")=TEXT(A2061,"mmm-yy")),
    '[3]Global Weekly Stock (EWSuez'!$E$4:$E$2000)
/
SUMPRODUCT(
    --(TEXT('[3]Global Weekly Stock (EWSuez'!$B$4:$B$2000,"mmm-yy")=TEXT(A2061,"mmm-yy"))
)</f>
        <v>13575.75</v>
      </c>
      <c r="I2061">
        <f>_xlfn.XLOOKUP(A2061,[1]ForwardDeriv!$D:$D,[1]ForwardDeriv!$AJ:$AJ)</f>
        <v>0.54999999999999716</v>
      </c>
      <c r="J2061" cm="1">
        <f t="array" ref="J2061">_xlfn.XLOOKUP(TEXT(A2061, "mmm-yy"), TEXT([2]GASOLINE!$B$5:$B$208, "mmm-yy"), [2]GASOLINE!$IR$5:$IR$208, "Not Found")</f>
        <v>-166.16547304848092</v>
      </c>
      <c r="K2061" cm="1">
        <f t="array" ref="K2061">_xlfn.XLOOKUP(TEXT(A2061, "mmm-yy"), TEXT([2]GASOLINE!$B$5:$B$208, "mmm-yy"), [2]GASOLINE!$IK$5:$IK$208, "Not Found")</f>
        <v>203.80510178022652</v>
      </c>
      <c r="L2061">
        <f t="shared" si="32"/>
        <v>0</v>
      </c>
      <c r="M2061" cm="1">
        <f t="array" ref="M2061">_xlfn.XLOOKUP(TEXT(A2061, "mmm-yy"), TEXT([2]GASOLINE!$B$5:$B$208, "mmm-yy"), [2]GASOLINE!$C$5:$C$208, "Not Found")</f>
        <v>7130.1665237059042</v>
      </c>
      <c r="N2061" cm="1">
        <f t="array" ref="N2061">_xlfn.XLOOKUP(TEXT(A2061, "mmm-yy"), TEXT([2]RUNS!$B$5:$B$208, "mmm-yy"), [2]RUNS!$BM$5:$BM$208, "Not Found")</f>
        <v>0.82240596112184083</v>
      </c>
    </row>
    <row r="2062" spans="1:14" x14ac:dyDescent="0.25">
      <c r="A2062" s="1">
        <f>'[1]Global_Spot Prices'!$B3371</f>
        <v>44889</v>
      </c>
      <c r="B2062">
        <f>_xlfn.XLOOKUP(A2062,'[1]Global_Spot Prices'!$B:$B,'[1]Global_Spot Prices'!$BS:$BS)</f>
        <v>11.560000000000002</v>
      </c>
      <c r="C2062">
        <f>_xlfn.XLOOKUP(A2062,'[1]Global_Spot Prices'!$B:$B,'[1]Global_Spot Prices'!$E:$E)</f>
        <v>77.64</v>
      </c>
      <c r="D2062">
        <f>_xlfn.XLOOKUP(A2062,'[1]Global_Spot Prices'!$B:$B,'[1]Global_Spot Prices'!$D:$D)</f>
        <v>85.484999999999999</v>
      </c>
      <c r="E2062">
        <f>_xlfn.XLOOKUP(A2062,'[1]Global_Spot Prices'!$B:$B,'[1]Global_Spot Prices'!$H:$H)</f>
        <v>72.09</v>
      </c>
      <c r="F2062">
        <f>_xlfn.XLOOKUP(A2062,'[1]Global_Spot Prices'!$B:$B,'[1]Global_Spot Prices'!$I:$I)</f>
        <v>89.2</v>
      </c>
      <c r="G2062" cm="1">
        <f t="array" ref="G2062">_xlfn.XLOOKUP(TEXT(A2062, "mmm-yy"), TEXT([2]RUNS!$B$5:$B$208, "mmm-yy"), [2]RUNS!$D$5:$D$208, "Not Found")</f>
        <v>30028.755580230118</v>
      </c>
      <c r="H2062" cm="1">
        <f t="array" ref="H2062">SUMPRODUCT(
    --(TEXT('[3]Global Weekly Stock (EWSuez'!$B$4:$B$2000,"mmm-yy")=TEXT(A2062,"mmm-yy")),
    '[3]Global Weekly Stock (EWSuez'!$E$4:$E$2000)
/
SUMPRODUCT(
    --(TEXT('[3]Global Weekly Stock (EWSuez'!$B$4:$B$2000,"mmm-yy")=TEXT(A2062,"mmm-yy"))
)</f>
        <v>13575.75</v>
      </c>
      <c r="I2062">
        <f>_xlfn.XLOOKUP(A2062,[1]ForwardDeriv!$D:$D,[1]ForwardDeriv!$AJ:$AJ)</f>
        <v>0.39999999999999147</v>
      </c>
      <c r="J2062" cm="1">
        <f t="array" ref="J2062">_xlfn.XLOOKUP(TEXT(A2062, "mmm-yy"), TEXT([2]GASOLINE!$B$5:$B$208, "mmm-yy"), [2]GASOLINE!$IR$5:$IR$208, "Not Found")</f>
        <v>-166.16547304848092</v>
      </c>
      <c r="K2062" cm="1">
        <f t="array" ref="K2062">_xlfn.XLOOKUP(TEXT(A2062, "mmm-yy"), TEXT([2]GASOLINE!$B$5:$B$208, "mmm-yy"), [2]GASOLINE!$IK$5:$IK$208, "Not Found")</f>
        <v>203.80510178022652</v>
      </c>
      <c r="L2062">
        <f t="shared" si="32"/>
        <v>0</v>
      </c>
      <c r="M2062" cm="1">
        <f t="array" ref="M2062">_xlfn.XLOOKUP(TEXT(A2062, "mmm-yy"), TEXT([2]GASOLINE!$B$5:$B$208, "mmm-yy"), [2]GASOLINE!$C$5:$C$208, "Not Found")</f>
        <v>7130.1665237059042</v>
      </c>
      <c r="N2062" cm="1">
        <f t="array" ref="N2062">_xlfn.XLOOKUP(TEXT(A2062, "mmm-yy"), TEXT([2]RUNS!$B$5:$B$208, "mmm-yy"), [2]RUNS!$BM$5:$BM$208, "Not Found")</f>
        <v>0.82240596112184083</v>
      </c>
    </row>
    <row r="2063" spans="1:14" x14ac:dyDescent="0.25">
      <c r="A2063" s="1">
        <f>'[1]Global_Spot Prices'!$B3372</f>
        <v>44890</v>
      </c>
      <c r="B2063">
        <f>_xlfn.XLOOKUP(A2063,'[1]Global_Spot Prices'!$B:$B,'[1]Global_Spot Prices'!$BS:$BS)</f>
        <v>8.3100000000000023</v>
      </c>
      <c r="C2063">
        <f>_xlfn.XLOOKUP(A2063,'[1]Global_Spot Prices'!$B:$B,'[1]Global_Spot Prices'!$E:$E)</f>
        <v>81.06</v>
      </c>
      <c r="D2063">
        <f>_xlfn.XLOOKUP(A2063,'[1]Global_Spot Prices'!$B:$B,'[1]Global_Spot Prices'!$D:$D)</f>
        <v>85.474999999999994</v>
      </c>
      <c r="E2063">
        <f>_xlfn.XLOOKUP(A2063,'[1]Global_Spot Prices'!$B:$B,'[1]Global_Spot Prices'!$H:$H)</f>
        <v>73.41</v>
      </c>
      <c r="F2063">
        <f>_xlfn.XLOOKUP(A2063,'[1]Global_Spot Prices'!$B:$B,'[1]Global_Spot Prices'!$I:$I)</f>
        <v>89.37</v>
      </c>
      <c r="G2063" cm="1">
        <f t="array" ref="G2063">_xlfn.XLOOKUP(TEXT(A2063, "mmm-yy"), TEXT([2]RUNS!$B$5:$B$208, "mmm-yy"), [2]RUNS!$D$5:$D$208, "Not Found")</f>
        <v>30028.755580230118</v>
      </c>
      <c r="H2063" cm="1">
        <f t="array" ref="H2063">SUMPRODUCT(
    --(TEXT('[3]Global Weekly Stock (EWSuez'!$B$4:$B$2000,"mmm-yy")=TEXT(A2063,"mmm-yy")),
    '[3]Global Weekly Stock (EWSuez'!$E$4:$E$2000)
/
SUMPRODUCT(
    --(TEXT('[3]Global Weekly Stock (EWSuez'!$B$4:$B$2000,"mmm-yy")=TEXT(A2063,"mmm-yy"))
)</f>
        <v>13575.75</v>
      </c>
      <c r="I2063">
        <f>_xlfn.XLOOKUP(A2063,[1]ForwardDeriv!$D:$D,[1]ForwardDeriv!$AJ:$AJ)</f>
        <v>0.48000000000000398</v>
      </c>
      <c r="J2063" cm="1">
        <f t="array" ref="J2063">_xlfn.XLOOKUP(TEXT(A2063, "mmm-yy"), TEXT([2]GASOLINE!$B$5:$B$208, "mmm-yy"), [2]GASOLINE!$IR$5:$IR$208, "Not Found")</f>
        <v>-166.16547304848092</v>
      </c>
      <c r="K2063" cm="1">
        <f t="array" ref="K2063">_xlfn.XLOOKUP(TEXT(A2063, "mmm-yy"), TEXT([2]GASOLINE!$B$5:$B$208, "mmm-yy"), [2]GASOLINE!$IK$5:$IK$208, "Not Found")</f>
        <v>203.80510178022652</v>
      </c>
      <c r="L2063">
        <f t="shared" si="32"/>
        <v>0</v>
      </c>
      <c r="M2063" cm="1">
        <f t="array" ref="M2063">_xlfn.XLOOKUP(TEXT(A2063, "mmm-yy"), TEXT([2]GASOLINE!$B$5:$B$208, "mmm-yy"), [2]GASOLINE!$C$5:$C$208, "Not Found")</f>
        <v>7130.1665237059042</v>
      </c>
      <c r="N2063" cm="1">
        <f t="array" ref="N2063">_xlfn.XLOOKUP(TEXT(A2063, "mmm-yy"), TEXT([2]RUNS!$B$5:$B$208, "mmm-yy"), [2]RUNS!$BM$5:$BM$208, "Not Found")</f>
        <v>0.82240596112184083</v>
      </c>
    </row>
    <row r="2064" spans="1:14" x14ac:dyDescent="0.25">
      <c r="A2064" s="1">
        <f>'[1]Global_Spot Prices'!$B3373</f>
        <v>44893</v>
      </c>
      <c r="B2064">
        <f>_xlfn.XLOOKUP(A2064,'[1]Global_Spot Prices'!$B:$B,'[1]Global_Spot Prices'!$BS:$BS)</f>
        <v>7.1749999999999972</v>
      </c>
      <c r="C2064">
        <f>_xlfn.XLOOKUP(A2064,'[1]Global_Spot Prices'!$B:$B,'[1]Global_Spot Prices'!$E:$E)</f>
        <v>76.644999999999996</v>
      </c>
      <c r="D2064">
        <f>_xlfn.XLOOKUP(A2064,'[1]Global_Spot Prices'!$B:$B,'[1]Global_Spot Prices'!$D:$D)</f>
        <v>82.65</v>
      </c>
      <c r="E2064">
        <f>_xlfn.XLOOKUP(A2064,'[1]Global_Spot Prices'!$B:$B,'[1]Global_Spot Prices'!$H:$H)</f>
        <v>70.13</v>
      </c>
      <c r="F2064">
        <f>_xlfn.XLOOKUP(A2064,'[1]Global_Spot Prices'!$B:$B,'[1]Global_Spot Prices'!$I:$I)</f>
        <v>83.82</v>
      </c>
      <c r="G2064" cm="1">
        <f t="array" ref="G2064">_xlfn.XLOOKUP(TEXT(A2064, "mmm-yy"), TEXT([2]RUNS!$B$5:$B$208, "mmm-yy"), [2]RUNS!$D$5:$D$208, "Not Found")</f>
        <v>30028.755580230118</v>
      </c>
      <c r="H2064" cm="1">
        <f t="array" ref="H2064">SUMPRODUCT(
    --(TEXT('[3]Global Weekly Stock (EWSuez'!$B$4:$B$2000,"mmm-yy")=TEXT(A2064,"mmm-yy")),
    '[3]Global Weekly Stock (EWSuez'!$E$4:$E$2000)
/
SUMPRODUCT(
    --(TEXT('[3]Global Weekly Stock (EWSuez'!$B$4:$B$2000,"mmm-yy")=TEXT(A2064,"mmm-yy"))
)</f>
        <v>13575.75</v>
      </c>
      <c r="I2064">
        <f>_xlfn.XLOOKUP(A2064,[1]ForwardDeriv!$D:$D,[1]ForwardDeriv!$AJ:$AJ)</f>
        <v>0.46999999999999886</v>
      </c>
      <c r="J2064" cm="1">
        <f t="array" ref="J2064">_xlfn.XLOOKUP(TEXT(A2064, "mmm-yy"), TEXT([2]GASOLINE!$B$5:$B$208, "mmm-yy"), [2]GASOLINE!$IR$5:$IR$208, "Not Found")</f>
        <v>-166.16547304848092</v>
      </c>
      <c r="K2064" cm="1">
        <f t="array" ref="K2064">_xlfn.XLOOKUP(TEXT(A2064, "mmm-yy"), TEXT([2]GASOLINE!$B$5:$B$208, "mmm-yy"), [2]GASOLINE!$IK$5:$IK$208, "Not Found")</f>
        <v>203.80510178022652</v>
      </c>
      <c r="L2064">
        <f t="shared" si="32"/>
        <v>0</v>
      </c>
      <c r="M2064" cm="1">
        <f t="array" ref="M2064">_xlfn.XLOOKUP(TEXT(A2064, "mmm-yy"), TEXT([2]GASOLINE!$B$5:$B$208, "mmm-yy"), [2]GASOLINE!$C$5:$C$208, "Not Found")</f>
        <v>7130.1665237059042</v>
      </c>
      <c r="N2064" cm="1">
        <f t="array" ref="N2064">_xlfn.XLOOKUP(TEXT(A2064, "mmm-yy"), TEXT([2]RUNS!$B$5:$B$208, "mmm-yy"), [2]RUNS!$BM$5:$BM$208, "Not Found")</f>
        <v>0.82240596112184083</v>
      </c>
    </row>
    <row r="2065" spans="1:14" x14ac:dyDescent="0.25">
      <c r="A2065" s="1">
        <f>'[1]Global_Spot Prices'!$B3374</f>
        <v>44894</v>
      </c>
      <c r="B2065">
        <f ca="1">_xlfn.XLOOKUP(A2065,'[1]Global_Spot Prices'!$B:$B,'[1]Global_Spot Prices'!$BS:$BS)</f>
        <v>6.1000000000000085</v>
      </c>
      <c r="C2065">
        <f>_xlfn.XLOOKUP(A2065,'[1]Global_Spot Prices'!$B:$B,'[1]Global_Spot Prices'!$E:$E)</f>
        <v>80.94</v>
      </c>
      <c r="D2065">
        <f>_xlfn.XLOOKUP(A2065,'[1]Global_Spot Prices'!$B:$B,'[1]Global_Spot Prices'!$D:$D)</f>
        <v>83.94</v>
      </c>
      <c r="E2065">
        <f>_xlfn.XLOOKUP(A2065,'[1]Global_Spot Prices'!$B:$B,'[1]Global_Spot Prices'!$H:$H)</f>
        <v>70.47</v>
      </c>
      <c r="F2065">
        <f>_xlfn.XLOOKUP(A2065,'[1]Global_Spot Prices'!$B:$B,'[1]Global_Spot Prices'!$I:$I)</f>
        <v>87.04</v>
      </c>
      <c r="G2065" cm="1">
        <f t="array" ref="G2065">_xlfn.XLOOKUP(TEXT(A2065, "mmm-yy"), TEXT([2]RUNS!$B$5:$B$208, "mmm-yy"), [2]RUNS!$D$5:$D$208, "Not Found")</f>
        <v>30028.755580230118</v>
      </c>
      <c r="H2065" cm="1">
        <f t="array" ref="H2065">SUMPRODUCT(
    --(TEXT('[3]Global Weekly Stock (EWSuez'!$B$4:$B$2000,"mmm-yy")=TEXT(A2065,"mmm-yy")),
    '[3]Global Weekly Stock (EWSuez'!$E$4:$E$2000)
/
SUMPRODUCT(
    --(TEXT('[3]Global Weekly Stock (EWSuez'!$B$4:$B$2000,"mmm-yy")=TEXT(A2065,"mmm-yy"))
)</f>
        <v>13575.75</v>
      </c>
      <c r="I2065">
        <f>_xlfn.XLOOKUP(A2065,[1]ForwardDeriv!$D:$D,[1]ForwardDeriv!$AJ:$AJ)</f>
        <v>0.51000000000000512</v>
      </c>
      <c r="J2065" cm="1">
        <f t="array" ref="J2065">_xlfn.XLOOKUP(TEXT(A2065, "mmm-yy"), TEXT([2]GASOLINE!$B$5:$B$208, "mmm-yy"), [2]GASOLINE!$IR$5:$IR$208, "Not Found")</f>
        <v>-166.16547304848092</v>
      </c>
      <c r="K2065" cm="1">
        <f t="array" ref="K2065">_xlfn.XLOOKUP(TEXT(A2065, "mmm-yy"), TEXT([2]GASOLINE!$B$5:$B$208, "mmm-yy"), [2]GASOLINE!$IK$5:$IK$208, "Not Found")</f>
        <v>203.80510178022652</v>
      </c>
      <c r="L2065">
        <f t="shared" si="32"/>
        <v>0</v>
      </c>
      <c r="M2065" cm="1">
        <f t="array" ref="M2065">_xlfn.XLOOKUP(TEXT(A2065, "mmm-yy"), TEXT([2]GASOLINE!$B$5:$B$208, "mmm-yy"), [2]GASOLINE!$C$5:$C$208, "Not Found")</f>
        <v>7130.1665237059042</v>
      </c>
      <c r="N2065" cm="1">
        <f t="array" ref="N2065">_xlfn.XLOOKUP(TEXT(A2065, "mmm-yy"), TEXT([2]RUNS!$B$5:$B$208, "mmm-yy"), [2]RUNS!$BM$5:$BM$208, "Not Found")</f>
        <v>0.82240596112184083</v>
      </c>
    </row>
    <row r="2066" spans="1:14" x14ac:dyDescent="0.25">
      <c r="A2066" s="1">
        <f>'[1]Global_Spot Prices'!$B3375</f>
        <v>44895</v>
      </c>
      <c r="B2066">
        <f>_xlfn.XLOOKUP(A2066,'[1]Global_Spot Prices'!$B:$B,'[1]Global_Spot Prices'!$BS:$BS)</f>
        <v>6.8099999999999881</v>
      </c>
      <c r="C2066">
        <f>_xlfn.XLOOKUP(A2066,'[1]Global_Spot Prices'!$B:$B,'[1]Global_Spot Prices'!$E:$E)</f>
        <v>80.400000000000006</v>
      </c>
      <c r="D2066">
        <f>_xlfn.XLOOKUP(A2066,'[1]Global_Spot Prices'!$B:$B,'[1]Global_Spot Prices'!$D:$D)</f>
        <v>86.54</v>
      </c>
      <c r="E2066">
        <f>_xlfn.XLOOKUP(A2066,'[1]Global_Spot Prices'!$B:$B,'[1]Global_Spot Prices'!$H:$H)</f>
        <v>69.709999999999994</v>
      </c>
      <c r="F2066">
        <f>_xlfn.XLOOKUP(A2066,'[1]Global_Spot Prices'!$B:$B,'[1]Global_Spot Prices'!$I:$I)</f>
        <v>87.21</v>
      </c>
      <c r="G2066" cm="1">
        <f t="array" ref="G2066">_xlfn.XLOOKUP(TEXT(A2066, "mmm-yy"), TEXT([2]RUNS!$B$5:$B$208, "mmm-yy"), [2]RUNS!$D$5:$D$208, "Not Found")</f>
        <v>30028.755580230118</v>
      </c>
      <c r="H2066" cm="1">
        <f t="array" ref="H2066">SUMPRODUCT(
    --(TEXT('[3]Global Weekly Stock (EWSuez'!$B$4:$B$2000,"mmm-yy")=TEXT(A2066,"mmm-yy")),
    '[3]Global Weekly Stock (EWSuez'!$E$4:$E$2000)
/
SUMPRODUCT(
    --(TEXT('[3]Global Weekly Stock (EWSuez'!$B$4:$B$2000,"mmm-yy")=TEXT(A2066,"mmm-yy"))
)</f>
        <v>13575.75</v>
      </c>
      <c r="I2066">
        <f>_xlfn.XLOOKUP(A2066,[1]ForwardDeriv!$D:$D,[1]ForwardDeriv!$AJ:$AJ)</f>
        <v>0.56000000000000227</v>
      </c>
      <c r="J2066" cm="1">
        <f t="array" ref="J2066">_xlfn.XLOOKUP(TEXT(A2066, "mmm-yy"), TEXT([2]GASOLINE!$B$5:$B$208, "mmm-yy"), [2]GASOLINE!$IR$5:$IR$208, "Not Found")</f>
        <v>-166.16547304848092</v>
      </c>
      <c r="K2066" cm="1">
        <f t="array" ref="K2066">_xlfn.XLOOKUP(TEXT(A2066, "mmm-yy"), TEXT([2]GASOLINE!$B$5:$B$208, "mmm-yy"), [2]GASOLINE!$IK$5:$IK$208, "Not Found")</f>
        <v>203.80510178022652</v>
      </c>
      <c r="L2066">
        <f t="shared" si="32"/>
        <v>0</v>
      </c>
      <c r="M2066" cm="1">
        <f t="array" ref="M2066">_xlfn.XLOOKUP(TEXT(A2066, "mmm-yy"), TEXT([2]GASOLINE!$B$5:$B$208, "mmm-yy"), [2]GASOLINE!$C$5:$C$208, "Not Found")</f>
        <v>7130.1665237059042</v>
      </c>
      <c r="N2066" cm="1">
        <f t="array" ref="N2066">_xlfn.XLOOKUP(TEXT(A2066, "mmm-yy"), TEXT([2]RUNS!$B$5:$B$208, "mmm-yy"), [2]RUNS!$BM$5:$BM$208, "Not Found")</f>
        <v>0.82240596112184083</v>
      </c>
    </row>
    <row r="2067" spans="1:14" x14ac:dyDescent="0.25">
      <c r="A2067" s="1">
        <f>'[1]Global_Spot Prices'!$B3376</f>
        <v>44896</v>
      </c>
      <c r="B2067">
        <f>_xlfn.XLOOKUP(A2067,'[1]Global_Spot Prices'!$B:$B,'[1]Global_Spot Prices'!$BS:$BS)</f>
        <v>7.480000000000004</v>
      </c>
      <c r="C2067">
        <f>_xlfn.XLOOKUP(A2067,'[1]Global_Spot Prices'!$B:$B,'[1]Global_Spot Prices'!$E:$E)</f>
        <v>81.349999999999994</v>
      </c>
      <c r="D2067">
        <f>_xlfn.XLOOKUP(A2067,'[1]Global_Spot Prices'!$B:$B,'[1]Global_Spot Prices'!$D:$D)</f>
        <v>89.08</v>
      </c>
      <c r="E2067">
        <f>_xlfn.XLOOKUP(A2067,'[1]Global_Spot Prices'!$B:$B,'[1]Global_Spot Prices'!$H:$H)</f>
        <v>71.33</v>
      </c>
      <c r="F2067">
        <f>_xlfn.XLOOKUP(A2067,'[1]Global_Spot Prices'!$B:$B,'[1]Global_Spot Prices'!$I:$I)</f>
        <v>88.83</v>
      </c>
      <c r="G2067" cm="1">
        <f t="array" ref="G2067">_xlfn.XLOOKUP(TEXT(A2067, "mmm-yy"), TEXT([2]RUNS!$B$5:$B$208, "mmm-yy"), [2]RUNS!$D$5:$D$208, "Not Found")</f>
        <v>30420.669529919018</v>
      </c>
      <c r="H2067" cm="1">
        <f t="array" ref="H2067">SUMPRODUCT(
    --(TEXT('[3]Global Weekly Stock (EWSuez'!$B$4:$B$2000,"mmm-yy")=TEXT(A2067,"mmm-yy")),
    '[3]Global Weekly Stock (EWSuez'!$E$4:$E$2000)
/
SUMPRODUCT(
    --(TEXT('[3]Global Weekly Stock (EWSuez'!$B$4:$B$2000,"mmm-yy")=TEXT(A2067,"mmm-yy"))
)</f>
        <v>14603.4</v>
      </c>
      <c r="I2067">
        <f>_xlfn.XLOOKUP(A2067,[1]ForwardDeriv!$D:$D,[1]ForwardDeriv!$AJ:$AJ)</f>
        <v>-0.27000000000001023</v>
      </c>
      <c r="J2067" cm="1">
        <f t="array" ref="J2067">_xlfn.XLOOKUP(TEXT(A2067, "mmm-yy"), TEXT([2]GASOLINE!$B$5:$B$208, "mmm-yy"), [2]GASOLINE!$IR$5:$IR$208, "Not Found")</f>
        <v>-118.15883259612724</v>
      </c>
      <c r="K2067" cm="1">
        <f t="array" ref="K2067">_xlfn.XLOOKUP(TEXT(A2067, "mmm-yy"), TEXT([2]GASOLINE!$B$5:$B$208, "mmm-yy"), [2]GASOLINE!$IK$5:$IK$208, "Not Found")</f>
        <v>206.73499623614887</v>
      </c>
      <c r="L2067">
        <f t="shared" si="32"/>
        <v>0</v>
      </c>
      <c r="M2067" cm="1">
        <f t="array" ref="M2067">_xlfn.XLOOKUP(TEXT(A2067, "mmm-yy"), TEXT([2]GASOLINE!$B$5:$B$208, "mmm-yy"), [2]GASOLINE!$C$5:$C$208, "Not Found")</f>
        <v>7061.5845167308698</v>
      </c>
      <c r="N2067" cm="1">
        <f t="array" ref="N2067">_xlfn.XLOOKUP(TEXT(A2067, "mmm-yy"), TEXT([2]RUNS!$B$5:$B$208, "mmm-yy"), [2]RUNS!$BM$5:$BM$208, "Not Found")</f>
        <v>0.83313941851103601</v>
      </c>
    </row>
    <row r="2068" spans="1:14" x14ac:dyDescent="0.25">
      <c r="A2068" s="1">
        <f>'[1]Global_Spot Prices'!$B3377</f>
        <v>44897</v>
      </c>
      <c r="B2068">
        <f>_xlfn.XLOOKUP(A2068,'[1]Global_Spot Prices'!$B:$B,'[1]Global_Spot Prices'!$BS:$BS)</f>
        <v>6.2399999999999949</v>
      </c>
      <c r="C2068">
        <f>_xlfn.XLOOKUP(A2068,'[1]Global_Spot Prices'!$B:$B,'[1]Global_Spot Prices'!$E:$E)</f>
        <v>81</v>
      </c>
      <c r="D2068">
        <f>_xlfn.XLOOKUP(A2068,'[1]Global_Spot Prices'!$B:$B,'[1]Global_Spot Prices'!$D:$D)</f>
        <v>86.944999999999993</v>
      </c>
      <c r="E2068">
        <f>_xlfn.XLOOKUP(A2068,'[1]Global_Spot Prices'!$B:$B,'[1]Global_Spot Prices'!$H:$H)</f>
        <v>69.48</v>
      </c>
      <c r="F2068">
        <f>_xlfn.XLOOKUP(A2068,'[1]Global_Spot Prices'!$B:$B,'[1]Global_Spot Prices'!$I:$I)</f>
        <v>87.24</v>
      </c>
      <c r="G2068" cm="1">
        <f t="array" ref="G2068">_xlfn.XLOOKUP(TEXT(A2068, "mmm-yy"), TEXT([2]RUNS!$B$5:$B$208, "mmm-yy"), [2]RUNS!$D$5:$D$208, "Not Found")</f>
        <v>30420.669529919018</v>
      </c>
      <c r="H2068" cm="1">
        <f t="array" ref="H2068">SUMPRODUCT(
    --(TEXT('[3]Global Weekly Stock (EWSuez'!$B$4:$B$2000,"mmm-yy")=TEXT(A2068,"mmm-yy")),
    '[3]Global Weekly Stock (EWSuez'!$E$4:$E$2000)
/
SUMPRODUCT(
    --(TEXT('[3]Global Weekly Stock (EWSuez'!$B$4:$B$2000,"mmm-yy")=TEXT(A2068,"mmm-yy"))
)</f>
        <v>14603.4</v>
      </c>
      <c r="I2068">
        <f>_xlfn.XLOOKUP(A2068,[1]ForwardDeriv!$D:$D,[1]ForwardDeriv!$AJ:$AJ)</f>
        <v>-0.39999999999999147</v>
      </c>
      <c r="J2068" cm="1">
        <f t="array" ref="J2068">_xlfn.XLOOKUP(TEXT(A2068, "mmm-yy"), TEXT([2]GASOLINE!$B$5:$B$208, "mmm-yy"), [2]GASOLINE!$IR$5:$IR$208, "Not Found")</f>
        <v>-118.15883259612724</v>
      </c>
      <c r="K2068" cm="1">
        <f t="array" ref="K2068">_xlfn.XLOOKUP(TEXT(A2068, "mmm-yy"), TEXT([2]GASOLINE!$B$5:$B$208, "mmm-yy"), [2]GASOLINE!$IK$5:$IK$208, "Not Found")</f>
        <v>206.73499623614887</v>
      </c>
      <c r="L2068">
        <f t="shared" si="32"/>
        <v>0</v>
      </c>
      <c r="M2068" cm="1">
        <f t="array" ref="M2068">_xlfn.XLOOKUP(TEXT(A2068, "mmm-yy"), TEXT([2]GASOLINE!$B$5:$B$208, "mmm-yy"), [2]GASOLINE!$C$5:$C$208, "Not Found")</f>
        <v>7061.5845167308698</v>
      </c>
      <c r="N2068" cm="1">
        <f t="array" ref="N2068">_xlfn.XLOOKUP(TEXT(A2068, "mmm-yy"), TEXT([2]RUNS!$B$5:$B$208, "mmm-yy"), [2]RUNS!$BM$5:$BM$208, "Not Found")</f>
        <v>0.83313941851103601</v>
      </c>
    </row>
    <row r="2069" spans="1:14" x14ac:dyDescent="0.25">
      <c r="A2069" s="1">
        <f>'[1]Global_Spot Prices'!$B3378</f>
        <v>44900</v>
      </c>
      <c r="B2069">
        <f>_xlfn.XLOOKUP(A2069,'[1]Global_Spot Prices'!$B:$B,'[1]Global_Spot Prices'!$BS:$BS)</f>
        <v>6.460000000000008</v>
      </c>
      <c r="C2069">
        <f>_xlfn.XLOOKUP(A2069,'[1]Global_Spot Prices'!$B:$B,'[1]Global_Spot Prices'!$E:$E)</f>
        <v>80.8</v>
      </c>
      <c r="D2069">
        <f>_xlfn.XLOOKUP(A2069,'[1]Global_Spot Prices'!$B:$B,'[1]Global_Spot Prices'!$D:$D)</f>
        <v>85.59</v>
      </c>
      <c r="E2069">
        <f>_xlfn.XLOOKUP(A2069,'[1]Global_Spot Prices'!$B:$B,'[1]Global_Spot Prices'!$H:$H)</f>
        <v>69</v>
      </c>
      <c r="F2069">
        <f ca="1">_xlfn.XLOOKUP(A2069,'[1]Global_Spot Prices'!$B:$B,'[1]Global_Spot Prices'!$I:$I)</f>
        <v>87.26</v>
      </c>
      <c r="G2069" cm="1">
        <f t="array" ref="G2069">_xlfn.XLOOKUP(TEXT(A2069, "mmm-yy"), TEXT([2]RUNS!$B$5:$B$208, "mmm-yy"), [2]RUNS!$D$5:$D$208, "Not Found")</f>
        <v>30420.669529919018</v>
      </c>
      <c r="H2069" cm="1">
        <f t="array" ref="H2069">SUMPRODUCT(
    --(TEXT('[3]Global Weekly Stock (EWSuez'!$B$4:$B$2000,"mmm-yy")=TEXT(A2069,"mmm-yy")),
    '[3]Global Weekly Stock (EWSuez'!$E$4:$E$2000)
/
SUMPRODUCT(
    --(TEXT('[3]Global Weekly Stock (EWSuez'!$B$4:$B$2000,"mmm-yy")=TEXT(A2069,"mmm-yy"))
)</f>
        <v>14603.4</v>
      </c>
      <c r="I2069">
        <f>_xlfn.XLOOKUP(A2069,[1]ForwardDeriv!$D:$D,[1]ForwardDeriv!$AJ:$AJ)</f>
        <v>-0.5</v>
      </c>
      <c r="J2069" cm="1">
        <f t="array" ref="J2069">_xlfn.XLOOKUP(TEXT(A2069, "mmm-yy"), TEXT([2]GASOLINE!$B$5:$B$208, "mmm-yy"), [2]GASOLINE!$IR$5:$IR$208, "Not Found")</f>
        <v>-118.15883259612724</v>
      </c>
      <c r="K2069" cm="1">
        <f t="array" ref="K2069">_xlfn.XLOOKUP(TEXT(A2069, "mmm-yy"), TEXT([2]GASOLINE!$B$5:$B$208, "mmm-yy"), [2]GASOLINE!$IK$5:$IK$208, "Not Found")</f>
        <v>206.73499623614887</v>
      </c>
      <c r="L2069">
        <f t="shared" si="32"/>
        <v>0</v>
      </c>
      <c r="M2069" cm="1">
        <f t="array" ref="M2069">_xlfn.XLOOKUP(TEXT(A2069, "mmm-yy"), TEXT([2]GASOLINE!$B$5:$B$208, "mmm-yy"), [2]GASOLINE!$C$5:$C$208, "Not Found")</f>
        <v>7061.5845167308698</v>
      </c>
      <c r="N2069" cm="1">
        <f t="array" ref="N2069">_xlfn.XLOOKUP(TEXT(A2069, "mmm-yy"), TEXT([2]RUNS!$B$5:$B$208, "mmm-yy"), [2]RUNS!$BM$5:$BM$208, "Not Found")</f>
        <v>0.83313941851103601</v>
      </c>
    </row>
    <row r="2070" spans="1:14" x14ac:dyDescent="0.25">
      <c r="A2070" s="1">
        <f>'[1]Global_Spot Prices'!$B3379</f>
        <v>44901</v>
      </c>
      <c r="B2070">
        <f>_xlfn.XLOOKUP(A2070,'[1]Global_Spot Prices'!$B:$B,'[1]Global_Spot Prices'!$BS:$BS)</f>
        <v>6.4699999999999989</v>
      </c>
      <c r="C2070">
        <f>_xlfn.XLOOKUP(A2070,'[1]Global_Spot Prices'!$B:$B,'[1]Global_Spot Prices'!$E:$E)</f>
        <v>77.95</v>
      </c>
      <c r="D2070">
        <f>_xlfn.XLOOKUP(A2070,'[1]Global_Spot Prices'!$B:$B,'[1]Global_Spot Prices'!$D:$D)</f>
        <v>80.53</v>
      </c>
      <c r="E2070">
        <f>_xlfn.XLOOKUP(A2070,'[1]Global_Spot Prices'!$B:$B,'[1]Global_Spot Prices'!$H:$H)</f>
        <v>65.77</v>
      </c>
      <c r="F2070">
        <f>_xlfn.XLOOKUP(A2070,'[1]Global_Spot Prices'!$B:$B,'[1]Global_Spot Prices'!$I:$I)</f>
        <v>84.42</v>
      </c>
      <c r="G2070" cm="1">
        <f t="array" ref="G2070">_xlfn.XLOOKUP(TEXT(A2070, "mmm-yy"), TEXT([2]RUNS!$B$5:$B$208, "mmm-yy"), [2]RUNS!$D$5:$D$208, "Not Found")</f>
        <v>30420.669529919018</v>
      </c>
      <c r="H2070" cm="1">
        <f t="array" ref="H2070">SUMPRODUCT(
    --(TEXT('[3]Global Weekly Stock (EWSuez'!$B$4:$B$2000,"mmm-yy")=TEXT(A2070,"mmm-yy")),
    '[3]Global Weekly Stock (EWSuez'!$E$4:$E$2000)
/
SUMPRODUCT(
    --(TEXT('[3]Global Weekly Stock (EWSuez'!$B$4:$B$2000,"mmm-yy")=TEXT(A2070,"mmm-yy"))
)</f>
        <v>14603.4</v>
      </c>
      <c r="I2070">
        <f>_xlfn.XLOOKUP(A2070,[1]ForwardDeriv!$D:$D,[1]ForwardDeriv!$AJ:$AJ)</f>
        <v>-0.40000000000000568</v>
      </c>
      <c r="J2070" cm="1">
        <f t="array" ref="J2070">_xlfn.XLOOKUP(TEXT(A2070, "mmm-yy"), TEXT([2]GASOLINE!$B$5:$B$208, "mmm-yy"), [2]GASOLINE!$IR$5:$IR$208, "Not Found")</f>
        <v>-118.15883259612724</v>
      </c>
      <c r="K2070" cm="1">
        <f t="array" ref="K2070">_xlfn.XLOOKUP(TEXT(A2070, "mmm-yy"), TEXT([2]GASOLINE!$B$5:$B$208, "mmm-yy"), [2]GASOLINE!$IK$5:$IK$208, "Not Found")</f>
        <v>206.73499623614887</v>
      </c>
      <c r="L2070">
        <f t="shared" si="32"/>
        <v>0</v>
      </c>
      <c r="M2070" cm="1">
        <f t="array" ref="M2070">_xlfn.XLOOKUP(TEXT(A2070, "mmm-yy"), TEXT([2]GASOLINE!$B$5:$B$208, "mmm-yy"), [2]GASOLINE!$C$5:$C$208, "Not Found")</f>
        <v>7061.5845167308698</v>
      </c>
      <c r="N2070" cm="1">
        <f t="array" ref="N2070">_xlfn.XLOOKUP(TEXT(A2070, "mmm-yy"), TEXT([2]RUNS!$B$5:$B$208, "mmm-yy"), [2]RUNS!$BM$5:$BM$208, "Not Found")</f>
        <v>0.83313941851103601</v>
      </c>
    </row>
    <row r="2071" spans="1:14" x14ac:dyDescent="0.25">
      <c r="A2071" s="1">
        <f>'[1]Global_Spot Prices'!$B3380</f>
        <v>44902</v>
      </c>
      <c r="B2071">
        <f>_xlfn.XLOOKUP(A2071,'[1]Global_Spot Prices'!$B:$B,'[1]Global_Spot Prices'!$BS:$BS)</f>
        <v>7.0100000000000051</v>
      </c>
      <c r="C2071">
        <f>_xlfn.XLOOKUP(A2071,'[1]Global_Spot Prices'!$B:$B,'[1]Global_Spot Prices'!$E:$E)</f>
        <v>74.8</v>
      </c>
      <c r="D2071">
        <f>_xlfn.XLOOKUP(A2071,'[1]Global_Spot Prices'!$B:$B,'[1]Global_Spot Prices'!$D:$D)</f>
        <v>78.56</v>
      </c>
      <c r="E2071">
        <f>_xlfn.XLOOKUP(A2071,'[1]Global_Spot Prices'!$B:$B,'[1]Global_Spot Prices'!$H:$H)</f>
        <v>63.5</v>
      </c>
      <c r="F2071">
        <f>_xlfn.XLOOKUP(A2071,'[1]Global_Spot Prices'!$B:$B,'[1]Global_Spot Prices'!$I:$I)</f>
        <v>81.81</v>
      </c>
      <c r="G2071" cm="1">
        <f t="array" ref="G2071">_xlfn.XLOOKUP(TEXT(A2071, "mmm-yy"), TEXT([2]RUNS!$B$5:$B$208, "mmm-yy"), [2]RUNS!$D$5:$D$208, "Not Found")</f>
        <v>30420.669529919018</v>
      </c>
      <c r="H2071" cm="1">
        <f t="array" ref="H2071">SUMPRODUCT(
    --(TEXT('[3]Global Weekly Stock (EWSuez'!$B$4:$B$2000,"mmm-yy")=TEXT(A2071,"mmm-yy")),
    '[3]Global Weekly Stock (EWSuez'!$E$4:$E$2000)
/
SUMPRODUCT(
    --(TEXT('[3]Global Weekly Stock (EWSuez'!$B$4:$B$2000,"mmm-yy")=TEXT(A2071,"mmm-yy"))
)</f>
        <v>14603.4</v>
      </c>
      <c r="I2071">
        <f>_xlfn.XLOOKUP(A2071,[1]ForwardDeriv!$D:$D,[1]ForwardDeriv!$AJ:$AJ)</f>
        <v>-0.29999999999999716</v>
      </c>
      <c r="J2071" cm="1">
        <f t="array" ref="J2071">_xlfn.XLOOKUP(TEXT(A2071, "mmm-yy"), TEXT([2]GASOLINE!$B$5:$B$208, "mmm-yy"), [2]GASOLINE!$IR$5:$IR$208, "Not Found")</f>
        <v>-118.15883259612724</v>
      </c>
      <c r="K2071" cm="1">
        <f t="array" ref="K2071">_xlfn.XLOOKUP(TEXT(A2071, "mmm-yy"), TEXT([2]GASOLINE!$B$5:$B$208, "mmm-yy"), [2]GASOLINE!$IK$5:$IK$208, "Not Found")</f>
        <v>206.73499623614887</v>
      </c>
      <c r="L2071">
        <f t="shared" si="32"/>
        <v>0</v>
      </c>
      <c r="M2071" cm="1">
        <f t="array" ref="M2071">_xlfn.XLOOKUP(TEXT(A2071, "mmm-yy"), TEXT([2]GASOLINE!$B$5:$B$208, "mmm-yy"), [2]GASOLINE!$C$5:$C$208, "Not Found")</f>
        <v>7061.5845167308698</v>
      </c>
      <c r="N2071" cm="1">
        <f t="array" ref="N2071">_xlfn.XLOOKUP(TEXT(A2071, "mmm-yy"), TEXT([2]RUNS!$B$5:$B$208, "mmm-yy"), [2]RUNS!$BM$5:$BM$208, "Not Found")</f>
        <v>0.83313941851103601</v>
      </c>
    </row>
    <row r="2072" spans="1:14" x14ac:dyDescent="0.25">
      <c r="A2072" s="1">
        <f>'[1]Global_Spot Prices'!$B3381</f>
        <v>44903</v>
      </c>
      <c r="B2072">
        <f>_xlfn.XLOOKUP(A2072,'[1]Global_Spot Prices'!$B:$B,'[1]Global_Spot Prices'!$BS:$BS)</f>
        <v>6.9099999999999966</v>
      </c>
      <c r="C2072">
        <f>_xlfn.XLOOKUP(A2072,'[1]Global_Spot Prices'!$B:$B,'[1]Global_Spot Prices'!$E:$E)</f>
        <v>73.05</v>
      </c>
      <c r="D2072">
        <f>_xlfn.XLOOKUP(A2072,'[1]Global_Spot Prices'!$B:$B,'[1]Global_Spot Prices'!$D:$D)</f>
        <v>76.355000000000004</v>
      </c>
      <c r="E2072">
        <f>_xlfn.XLOOKUP(A2072,'[1]Global_Spot Prices'!$B:$B,'[1]Global_Spot Prices'!$H:$H)</f>
        <v>62.86</v>
      </c>
      <c r="F2072">
        <f>_xlfn.XLOOKUP(A2072,'[1]Global_Spot Prices'!$B:$B,'[1]Global_Spot Prices'!$I:$I)</f>
        <v>79.959999999999994</v>
      </c>
      <c r="G2072" cm="1">
        <f t="array" ref="G2072">_xlfn.XLOOKUP(TEXT(A2072, "mmm-yy"), TEXT([2]RUNS!$B$5:$B$208, "mmm-yy"), [2]RUNS!$D$5:$D$208, "Not Found")</f>
        <v>30420.669529919018</v>
      </c>
      <c r="H2072" cm="1">
        <f t="array" ref="H2072">SUMPRODUCT(
    --(TEXT('[3]Global Weekly Stock (EWSuez'!$B$4:$B$2000,"mmm-yy")=TEXT(A2072,"mmm-yy")),
    '[3]Global Weekly Stock (EWSuez'!$E$4:$E$2000)
/
SUMPRODUCT(
    --(TEXT('[3]Global Weekly Stock (EWSuez'!$B$4:$B$2000,"mmm-yy")=TEXT(A2072,"mmm-yy"))
)</f>
        <v>14603.4</v>
      </c>
      <c r="I2072">
        <f>_xlfn.XLOOKUP(A2072,[1]ForwardDeriv!$D:$D,[1]ForwardDeriv!$AJ:$AJ)</f>
        <v>-0.20000000000000284</v>
      </c>
      <c r="J2072" cm="1">
        <f t="array" ref="J2072">_xlfn.XLOOKUP(TEXT(A2072, "mmm-yy"), TEXT([2]GASOLINE!$B$5:$B$208, "mmm-yy"), [2]GASOLINE!$IR$5:$IR$208, "Not Found")</f>
        <v>-118.15883259612724</v>
      </c>
      <c r="K2072" cm="1">
        <f t="array" ref="K2072">_xlfn.XLOOKUP(TEXT(A2072, "mmm-yy"), TEXT([2]GASOLINE!$B$5:$B$208, "mmm-yy"), [2]GASOLINE!$IK$5:$IK$208, "Not Found")</f>
        <v>206.73499623614887</v>
      </c>
      <c r="L2072">
        <f t="shared" si="32"/>
        <v>0</v>
      </c>
      <c r="M2072" cm="1">
        <f t="array" ref="M2072">_xlfn.XLOOKUP(TEXT(A2072, "mmm-yy"), TEXT([2]GASOLINE!$B$5:$B$208, "mmm-yy"), [2]GASOLINE!$C$5:$C$208, "Not Found")</f>
        <v>7061.5845167308698</v>
      </c>
      <c r="N2072" cm="1">
        <f t="array" ref="N2072">_xlfn.XLOOKUP(TEXT(A2072, "mmm-yy"), TEXT([2]RUNS!$B$5:$B$208, "mmm-yy"), [2]RUNS!$BM$5:$BM$208, "Not Found")</f>
        <v>0.83313941851103601</v>
      </c>
    </row>
    <row r="2073" spans="1:14" x14ac:dyDescent="0.25">
      <c r="A2073" s="1">
        <f>'[1]Global_Spot Prices'!$B3382</f>
        <v>44904</v>
      </c>
      <c r="B2073">
        <f>_xlfn.XLOOKUP(A2073,'[1]Global_Spot Prices'!$B:$B,'[1]Global_Spot Prices'!$BS:$BS)</f>
        <v>6.710000000000008</v>
      </c>
      <c r="C2073">
        <f>_xlfn.XLOOKUP(A2073,'[1]Global_Spot Prices'!$B:$B,'[1]Global_Spot Prices'!$E:$E)</f>
        <v>72.05</v>
      </c>
      <c r="D2073">
        <f>_xlfn.XLOOKUP(A2073,'[1]Global_Spot Prices'!$B:$B,'[1]Global_Spot Prices'!$D:$D)</f>
        <v>77.63</v>
      </c>
      <c r="E2073">
        <f>_xlfn.XLOOKUP(A2073,'[1]Global_Spot Prices'!$B:$B,'[1]Global_Spot Prices'!$H:$H)</f>
        <v>63.67</v>
      </c>
      <c r="F2073">
        <f>_xlfn.XLOOKUP(A2073,'[1]Global_Spot Prices'!$B:$B,'[1]Global_Spot Prices'!$I:$I)</f>
        <v>78.760000000000005</v>
      </c>
      <c r="G2073" cm="1">
        <f t="array" ref="G2073">_xlfn.XLOOKUP(TEXT(A2073, "mmm-yy"), TEXT([2]RUNS!$B$5:$B$208, "mmm-yy"), [2]RUNS!$D$5:$D$208, "Not Found")</f>
        <v>30420.669529919018</v>
      </c>
      <c r="H2073" cm="1">
        <f t="array" ref="H2073">SUMPRODUCT(
    --(TEXT('[3]Global Weekly Stock (EWSuez'!$B$4:$B$2000,"mmm-yy")=TEXT(A2073,"mmm-yy")),
    '[3]Global Weekly Stock (EWSuez'!$E$4:$E$2000)
/
SUMPRODUCT(
    --(TEXT('[3]Global Weekly Stock (EWSuez'!$B$4:$B$2000,"mmm-yy")=TEXT(A2073,"mmm-yy"))
)</f>
        <v>14603.4</v>
      </c>
      <c r="I2073">
        <f>_xlfn.XLOOKUP(A2073,[1]ForwardDeriv!$D:$D,[1]ForwardDeriv!$AJ:$AJ)</f>
        <v>-0.26999999999999602</v>
      </c>
      <c r="J2073" cm="1">
        <f t="array" ref="J2073">_xlfn.XLOOKUP(TEXT(A2073, "mmm-yy"), TEXT([2]GASOLINE!$B$5:$B$208, "mmm-yy"), [2]GASOLINE!$IR$5:$IR$208, "Not Found")</f>
        <v>-118.15883259612724</v>
      </c>
      <c r="K2073" cm="1">
        <f t="array" ref="K2073">_xlfn.XLOOKUP(TEXT(A2073, "mmm-yy"), TEXT([2]GASOLINE!$B$5:$B$208, "mmm-yy"), [2]GASOLINE!$IK$5:$IK$208, "Not Found")</f>
        <v>206.73499623614887</v>
      </c>
      <c r="L2073">
        <f t="shared" si="32"/>
        <v>0</v>
      </c>
      <c r="M2073" cm="1">
        <f t="array" ref="M2073">_xlfn.XLOOKUP(TEXT(A2073, "mmm-yy"), TEXT([2]GASOLINE!$B$5:$B$208, "mmm-yy"), [2]GASOLINE!$C$5:$C$208, "Not Found")</f>
        <v>7061.5845167308698</v>
      </c>
      <c r="N2073" cm="1">
        <f t="array" ref="N2073">_xlfn.XLOOKUP(TEXT(A2073, "mmm-yy"), TEXT([2]RUNS!$B$5:$B$208, "mmm-yy"), [2]RUNS!$BM$5:$BM$208, "Not Found")</f>
        <v>0.83313941851103601</v>
      </c>
    </row>
    <row r="2074" spans="1:14" x14ac:dyDescent="0.25">
      <c r="A2074" s="1">
        <f>'[1]Global_Spot Prices'!$B3383</f>
        <v>44907</v>
      </c>
      <c r="B2074">
        <f>_xlfn.XLOOKUP(A2074,'[1]Global_Spot Prices'!$B:$B,'[1]Global_Spot Prices'!$BS:$BS)</f>
        <v>6.4599999999999937</v>
      </c>
      <c r="C2074">
        <f>_xlfn.XLOOKUP(A2074,'[1]Global_Spot Prices'!$B:$B,'[1]Global_Spot Prices'!$E:$E)</f>
        <v>71.81</v>
      </c>
      <c r="D2074">
        <f ca="1">_xlfn.XLOOKUP(A2074,'[1]Global_Spot Prices'!$B:$B,'[1]Global_Spot Prices'!$D:$D)</f>
        <v>78.734999999999999</v>
      </c>
      <c r="E2074">
        <f>_xlfn.XLOOKUP(A2074,'[1]Global_Spot Prices'!$B:$B,'[1]Global_Spot Prices'!$H:$H)</f>
        <v>63.34</v>
      </c>
      <c r="F2074">
        <f>_xlfn.XLOOKUP(A2074,'[1]Global_Spot Prices'!$B:$B,'[1]Global_Spot Prices'!$I:$I)</f>
        <v>78.27</v>
      </c>
      <c r="G2074" cm="1">
        <f t="array" ref="G2074">_xlfn.XLOOKUP(TEXT(A2074, "mmm-yy"), TEXT([2]RUNS!$B$5:$B$208, "mmm-yy"), [2]RUNS!$D$5:$D$208, "Not Found")</f>
        <v>30420.669529919018</v>
      </c>
      <c r="H2074" cm="1">
        <f t="array" ref="H2074">SUMPRODUCT(
    --(TEXT('[3]Global Weekly Stock (EWSuez'!$B$4:$B$2000,"mmm-yy")=TEXT(A2074,"mmm-yy")),
    '[3]Global Weekly Stock (EWSuez'!$E$4:$E$2000)
/
SUMPRODUCT(
    --(TEXT('[3]Global Weekly Stock (EWSuez'!$B$4:$B$2000,"mmm-yy")=TEXT(A2074,"mmm-yy"))
)</f>
        <v>14603.4</v>
      </c>
      <c r="I2074">
        <f>_xlfn.XLOOKUP(A2074,[1]ForwardDeriv!$D:$D,[1]ForwardDeriv!$AJ:$AJ)</f>
        <v>-0.40000000000000568</v>
      </c>
      <c r="J2074" cm="1">
        <f t="array" ref="J2074">_xlfn.XLOOKUP(TEXT(A2074, "mmm-yy"), TEXT([2]GASOLINE!$B$5:$B$208, "mmm-yy"), [2]GASOLINE!$IR$5:$IR$208, "Not Found")</f>
        <v>-118.15883259612724</v>
      </c>
      <c r="K2074" cm="1">
        <f t="array" ref="K2074">_xlfn.XLOOKUP(TEXT(A2074, "mmm-yy"), TEXT([2]GASOLINE!$B$5:$B$208, "mmm-yy"), [2]GASOLINE!$IK$5:$IK$208, "Not Found")</f>
        <v>206.73499623614887</v>
      </c>
      <c r="L2074">
        <f t="shared" si="32"/>
        <v>0</v>
      </c>
      <c r="M2074" cm="1">
        <f t="array" ref="M2074">_xlfn.XLOOKUP(TEXT(A2074, "mmm-yy"), TEXT([2]GASOLINE!$B$5:$B$208, "mmm-yy"), [2]GASOLINE!$C$5:$C$208, "Not Found")</f>
        <v>7061.5845167308698</v>
      </c>
      <c r="N2074" cm="1">
        <f t="array" ref="N2074">_xlfn.XLOOKUP(TEXT(A2074, "mmm-yy"), TEXT([2]RUNS!$B$5:$B$208, "mmm-yy"), [2]RUNS!$BM$5:$BM$208, "Not Found")</f>
        <v>0.83313941851103601</v>
      </c>
    </row>
    <row r="2075" spans="1:14" x14ac:dyDescent="0.25">
      <c r="A2075" s="1">
        <f>'[1]Global_Spot Prices'!$B3384</f>
        <v>44908</v>
      </c>
      <c r="B2075">
        <f>_xlfn.XLOOKUP(A2075,'[1]Global_Spot Prices'!$B:$B,'[1]Global_Spot Prices'!$BS:$BS)</f>
        <v>8.2750000000000057</v>
      </c>
      <c r="C2075">
        <f>_xlfn.XLOOKUP(A2075,'[1]Global_Spot Prices'!$B:$B,'[1]Global_Spot Prices'!$E:$E)</f>
        <v>75.444999999999993</v>
      </c>
      <c r="D2075">
        <f>_xlfn.XLOOKUP(A2075,'[1]Global_Spot Prices'!$B:$B,'[1]Global_Spot Prices'!$D:$D)</f>
        <v>80.97</v>
      </c>
      <c r="E2075">
        <f>_xlfn.XLOOKUP(A2075,'[1]Global_Spot Prices'!$B:$B,'[1]Global_Spot Prices'!$H:$H)</f>
        <v>65.17</v>
      </c>
      <c r="F2075">
        <f>_xlfn.XLOOKUP(A2075,'[1]Global_Spot Prices'!$B:$B,'[1]Global_Spot Prices'!$I:$I)</f>
        <v>83.72</v>
      </c>
      <c r="G2075" cm="1">
        <f t="array" ref="G2075">_xlfn.XLOOKUP(TEXT(A2075, "mmm-yy"), TEXT([2]RUNS!$B$5:$B$208, "mmm-yy"), [2]RUNS!$D$5:$D$208, "Not Found")</f>
        <v>30420.669529919018</v>
      </c>
      <c r="H2075" cm="1">
        <f t="array" ref="H2075">SUMPRODUCT(
    --(TEXT('[3]Global Weekly Stock (EWSuez'!$B$4:$B$2000,"mmm-yy")=TEXT(A2075,"mmm-yy")),
    '[3]Global Weekly Stock (EWSuez'!$E$4:$E$2000)
/
SUMPRODUCT(
    --(TEXT('[3]Global Weekly Stock (EWSuez'!$B$4:$B$2000,"mmm-yy")=TEXT(A2075,"mmm-yy"))
)</f>
        <v>14603.4</v>
      </c>
      <c r="I2075">
        <f>_xlfn.XLOOKUP(A2075,[1]ForwardDeriv!$D:$D,[1]ForwardDeriv!$AJ:$AJ)</f>
        <v>-0.23000000000000398</v>
      </c>
      <c r="J2075" cm="1">
        <f t="array" ref="J2075">_xlfn.XLOOKUP(TEXT(A2075, "mmm-yy"), TEXT([2]GASOLINE!$B$5:$B$208, "mmm-yy"), [2]GASOLINE!$IR$5:$IR$208, "Not Found")</f>
        <v>-118.15883259612724</v>
      </c>
      <c r="K2075" cm="1">
        <f t="array" ref="K2075">_xlfn.XLOOKUP(TEXT(A2075, "mmm-yy"), TEXT([2]GASOLINE!$B$5:$B$208, "mmm-yy"), [2]GASOLINE!$IK$5:$IK$208, "Not Found")</f>
        <v>206.73499623614887</v>
      </c>
      <c r="L2075">
        <f t="shared" si="32"/>
        <v>0</v>
      </c>
      <c r="M2075" cm="1">
        <f t="array" ref="M2075">_xlfn.XLOOKUP(TEXT(A2075, "mmm-yy"), TEXT([2]GASOLINE!$B$5:$B$208, "mmm-yy"), [2]GASOLINE!$C$5:$C$208, "Not Found")</f>
        <v>7061.5845167308698</v>
      </c>
      <c r="N2075" cm="1">
        <f t="array" ref="N2075">_xlfn.XLOOKUP(TEXT(A2075, "mmm-yy"), TEXT([2]RUNS!$B$5:$B$208, "mmm-yy"), [2]RUNS!$BM$5:$BM$208, "Not Found")</f>
        <v>0.83313941851103601</v>
      </c>
    </row>
    <row r="2076" spans="1:14" x14ac:dyDescent="0.25">
      <c r="A2076" s="1">
        <f>'[1]Global_Spot Prices'!$B3385</f>
        <v>44909</v>
      </c>
      <c r="B2076">
        <f>_xlfn.XLOOKUP(A2076,'[1]Global_Spot Prices'!$B:$B,'[1]Global_Spot Prices'!$BS:$BS)</f>
        <v>8.4099999999999966</v>
      </c>
      <c r="C2076">
        <f>_xlfn.XLOOKUP(A2076,'[1]Global_Spot Prices'!$B:$B,'[1]Global_Spot Prices'!$E:$E)</f>
        <v>76.69</v>
      </c>
      <c r="D2076">
        <f>_xlfn.XLOOKUP(A2076,'[1]Global_Spot Prices'!$B:$B,'[1]Global_Spot Prices'!$D:$D)</f>
        <v>83.605000000000004</v>
      </c>
      <c r="E2076">
        <f>_xlfn.XLOOKUP(A2076,'[1]Global_Spot Prices'!$B:$B,'[1]Global_Spot Prices'!$H:$H)</f>
        <v>65.459999999999994</v>
      </c>
      <c r="F2076">
        <f>_xlfn.XLOOKUP(A2076,'[1]Global_Spot Prices'!$B:$B,'[1]Global_Spot Prices'!$I:$I)</f>
        <v>85.1</v>
      </c>
      <c r="G2076" cm="1">
        <f t="array" ref="G2076">_xlfn.XLOOKUP(TEXT(A2076, "mmm-yy"), TEXT([2]RUNS!$B$5:$B$208, "mmm-yy"), [2]RUNS!$D$5:$D$208, "Not Found")</f>
        <v>30420.669529919018</v>
      </c>
      <c r="H2076" cm="1">
        <f t="array" ref="H2076">SUMPRODUCT(
    --(TEXT('[3]Global Weekly Stock (EWSuez'!$B$4:$B$2000,"mmm-yy")=TEXT(A2076,"mmm-yy")),
    '[3]Global Weekly Stock (EWSuez'!$E$4:$E$2000)
/
SUMPRODUCT(
    --(TEXT('[3]Global Weekly Stock (EWSuez'!$B$4:$B$2000,"mmm-yy")=TEXT(A2076,"mmm-yy"))
)</f>
        <v>14603.4</v>
      </c>
      <c r="I2076">
        <f>_xlfn.XLOOKUP(A2076,[1]ForwardDeriv!$D:$D,[1]ForwardDeriv!$AJ:$AJ)</f>
        <v>3.0000000000001137E-2</v>
      </c>
      <c r="J2076" cm="1">
        <f t="array" ref="J2076">_xlfn.XLOOKUP(TEXT(A2076, "mmm-yy"), TEXT([2]GASOLINE!$B$5:$B$208, "mmm-yy"), [2]GASOLINE!$IR$5:$IR$208, "Not Found")</f>
        <v>-118.15883259612724</v>
      </c>
      <c r="K2076" cm="1">
        <f t="array" ref="K2076">_xlfn.XLOOKUP(TEXT(A2076, "mmm-yy"), TEXT([2]GASOLINE!$B$5:$B$208, "mmm-yy"), [2]GASOLINE!$IK$5:$IK$208, "Not Found")</f>
        <v>206.73499623614887</v>
      </c>
      <c r="L2076">
        <f t="shared" si="32"/>
        <v>0</v>
      </c>
      <c r="M2076" cm="1">
        <f t="array" ref="M2076">_xlfn.XLOOKUP(TEXT(A2076, "mmm-yy"), TEXT([2]GASOLINE!$B$5:$B$208, "mmm-yy"), [2]GASOLINE!$C$5:$C$208, "Not Found")</f>
        <v>7061.5845167308698</v>
      </c>
      <c r="N2076" cm="1">
        <f t="array" ref="N2076">_xlfn.XLOOKUP(TEXT(A2076, "mmm-yy"), TEXT([2]RUNS!$B$5:$B$208, "mmm-yy"), [2]RUNS!$BM$5:$BM$208, "Not Found")</f>
        <v>0.83313941851103601</v>
      </c>
    </row>
    <row r="2077" spans="1:14" x14ac:dyDescent="0.25">
      <c r="A2077" s="1">
        <f>'[1]Global_Spot Prices'!$B3386</f>
        <v>44910</v>
      </c>
      <c r="B2077">
        <f>_xlfn.XLOOKUP(A2077,'[1]Global_Spot Prices'!$B:$B,'[1]Global_Spot Prices'!$BS:$BS)</f>
        <v>7.9399999999999977</v>
      </c>
      <c r="C2077">
        <f>_xlfn.XLOOKUP(A2077,'[1]Global_Spot Prices'!$B:$B,'[1]Global_Spot Prices'!$E:$E)</f>
        <v>77.69</v>
      </c>
      <c r="D2077">
        <f>_xlfn.XLOOKUP(A2077,'[1]Global_Spot Prices'!$B:$B,'[1]Global_Spot Prices'!$D:$D)</f>
        <v>81.83</v>
      </c>
      <c r="E2077">
        <f>_xlfn.XLOOKUP(A2077,'[1]Global_Spot Prices'!$B:$B,'[1]Global_Spot Prices'!$H:$H)</f>
        <v>65.67</v>
      </c>
      <c r="F2077">
        <f>_xlfn.XLOOKUP(A2077,'[1]Global_Spot Prices'!$B:$B,'[1]Global_Spot Prices'!$I:$I)</f>
        <v>85.63</v>
      </c>
      <c r="G2077" cm="1">
        <f t="array" ref="G2077">_xlfn.XLOOKUP(TEXT(A2077, "mmm-yy"), TEXT([2]RUNS!$B$5:$B$208, "mmm-yy"), [2]RUNS!$D$5:$D$208, "Not Found")</f>
        <v>30420.669529919018</v>
      </c>
      <c r="H2077" cm="1">
        <f t="array" ref="H2077">SUMPRODUCT(
    --(TEXT('[3]Global Weekly Stock (EWSuez'!$B$4:$B$2000,"mmm-yy")=TEXT(A2077,"mmm-yy")),
    '[3]Global Weekly Stock (EWSuez'!$E$4:$E$2000)
/
SUMPRODUCT(
    --(TEXT('[3]Global Weekly Stock (EWSuez'!$B$4:$B$2000,"mmm-yy")=TEXT(A2077,"mmm-yy"))
)</f>
        <v>14603.4</v>
      </c>
      <c r="I2077">
        <f>_xlfn.XLOOKUP(A2077,[1]ForwardDeriv!$D:$D,[1]ForwardDeriv!$AJ:$AJ)</f>
        <v>3.0000000000001137E-2</v>
      </c>
      <c r="J2077" cm="1">
        <f t="array" ref="J2077">_xlfn.XLOOKUP(TEXT(A2077, "mmm-yy"), TEXT([2]GASOLINE!$B$5:$B$208, "mmm-yy"), [2]GASOLINE!$IR$5:$IR$208, "Not Found")</f>
        <v>-118.15883259612724</v>
      </c>
      <c r="K2077" cm="1">
        <f t="array" ref="K2077">_xlfn.XLOOKUP(TEXT(A2077, "mmm-yy"), TEXT([2]GASOLINE!$B$5:$B$208, "mmm-yy"), [2]GASOLINE!$IK$5:$IK$208, "Not Found")</f>
        <v>206.73499623614887</v>
      </c>
      <c r="L2077">
        <f t="shared" si="32"/>
        <v>0</v>
      </c>
      <c r="M2077" cm="1">
        <f t="array" ref="M2077">_xlfn.XLOOKUP(TEXT(A2077, "mmm-yy"), TEXT([2]GASOLINE!$B$5:$B$208, "mmm-yy"), [2]GASOLINE!$C$5:$C$208, "Not Found")</f>
        <v>7061.5845167308698</v>
      </c>
      <c r="N2077" cm="1">
        <f t="array" ref="N2077">_xlfn.XLOOKUP(TEXT(A2077, "mmm-yy"), TEXT([2]RUNS!$B$5:$B$208, "mmm-yy"), [2]RUNS!$BM$5:$BM$208, "Not Found")</f>
        <v>0.83313941851103601</v>
      </c>
    </row>
    <row r="2078" spans="1:14" x14ac:dyDescent="0.25">
      <c r="A2078" s="1">
        <f>'[1]Global_Spot Prices'!$B3387</f>
        <v>44911</v>
      </c>
      <c r="B2078">
        <f>_xlfn.XLOOKUP(A2078,'[1]Global_Spot Prices'!$B:$B,'[1]Global_Spot Prices'!$BS:$BS)</f>
        <v>6.9900000000000091</v>
      </c>
      <c r="C2078">
        <f>_xlfn.XLOOKUP(A2078,'[1]Global_Spot Prices'!$B:$B,'[1]Global_Spot Prices'!$E:$E)</f>
        <v>76.349999999999994</v>
      </c>
      <c r="D2078">
        <f>_xlfn.XLOOKUP(A2078,'[1]Global_Spot Prices'!$B:$B,'[1]Global_Spot Prices'!$D:$D)</f>
        <v>79.12</v>
      </c>
      <c r="E2078">
        <f>_xlfn.XLOOKUP(A2078,'[1]Global_Spot Prices'!$B:$B,'[1]Global_Spot Prices'!$H:$H)</f>
        <v>64.19</v>
      </c>
      <c r="F2078">
        <f>_xlfn.XLOOKUP(A2078,'[1]Global_Spot Prices'!$B:$B,'[1]Global_Spot Prices'!$I:$I)</f>
        <v>83.34</v>
      </c>
      <c r="G2078" cm="1">
        <f t="array" ref="G2078">_xlfn.XLOOKUP(TEXT(A2078, "mmm-yy"), TEXT([2]RUNS!$B$5:$B$208, "mmm-yy"), [2]RUNS!$D$5:$D$208, "Not Found")</f>
        <v>30420.669529919018</v>
      </c>
      <c r="H2078" cm="1">
        <f t="array" ref="H2078">SUMPRODUCT(
    --(TEXT('[3]Global Weekly Stock (EWSuez'!$B$4:$B$2000,"mmm-yy")=TEXT(A2078,"mmm-yy")),
    '[3]Global Weekly Stock (EWSuez'!$E$4:$E$2000)
/
SUMPRODUCT(
    --(TEXT('[3]Global Weekly Stock (EWSuez'!$B$4:$B$2000,"mmm-yy")=TEXT(A2078,"mmm-yy"))
)</f>
        <v>14603.4</v>
      </c>
      <c r="I2078">
        <f>_xlfn.XLOOKUP(A2078,[1]ForwardDeriv!$D:$D,[1]ForwardDeriv!$AJ:$AJ)</f>
        <v>0</v>
      </c>
      <c r="J2078" cm="1">
        <f t="array" ref="J2078">_xlfn.XLOOKUP(TEXT(A2078, "mmm-yy"), TEXT([2]GASOLINE!$B$5:$B$208, "mmm-yy"), [2]GASOLINE!$IR$5:$IR$208, "Not Found")</f>
        <v>-118.15883259612724</v>
      </c>
      <c r="K2078" cm="1">
        <f t="array" ref="K2078">_xlfn.XLOOKUP(TEXT(A2078, "mmm-yy"), TEXT([2]GASOLINE!$B$5:$B$208, "mmm-yy"), [2]GASOLINE!$IK$5:$IK$208, "Not Found")</f>
        <v>206.73499623614887</v>
      </c>
      <c r="L2078">
        <f t="shared" si="32"/>
        <v>0</v>
      </c>
      <c r="M2078" cm="1">
        <f t="array" ref="M2078">_xlfn.XLOOKUP(TEXT(A2078, "mmm-yy"), TEXT([2]GASOLINE!$B$5:$B$208, "mmm-yy"), [2]GASOLINE!$C$5:$C$208, "Not Found")</f>
        <v>7061.5845167308698</v>
      </c>
      <c r="N2078" cm="1">
        <f t="array" ref="N2078">_xlfn.XLOOKUP(TEXT(A2078, "mmm-yy"), TEXT([2]RUNS!$B$5:$B$208, "mmm-yy"), [2]RUNS!$BM$5:$BM$208, "Not Found")</f>
        <v>0.83313941851103601</v>
      </c>
    </row>
    <row r="2079" spans="1:14" x14ac:dyDescent="0.25">
      <c r="A2079" s="1">
        <f>'[1]Global_Spot Prices'!$B3388</f>
        <v>44914</v>
      </c>
      <c r="B2079">
        <f>_xlfn.XLOOKUP(A2079,'[1]Global_Spot Prices'!$B:$B,'[1]Global_Spot Prices'!$BS:$BS)</f>
        <v>7.4200000000000017</v>
      </c>
      <c r="C2079">
        <f>_xlfn.XLOOKUP(A2079,'[1]Global_Spot Prices'!$B:$B,'[1]Global_Spot Prices'!$E:$E)</f>
        <v>75.34</v>
      </c>
      <c r="D2079">
        <f>_xlfn.XLOOKUP(A2079,'[1]Global_Spot Prices'!$B:$B,'[1]Global_Spot Prices'!$D:$D)</f>
        <v>79.650000000000006</v>
      </c>
      <c r="E2079">
        <f>_xlfn.XLOOKUP(A2079,'[1]Global_Spot Prices'!$B:$B,'[1]Global_Spot Prices'!$H:$H)</f>
        <v>63.31</v>
      </c>
      <c r="F2079">
        <f>_xlfn.XLOOKUP(A2079,'[1]Global_Spot Prices'!$B:$B,'[1]Global_Spot Prices'!$I:$I)</f>
        <v>82.76</v>
      </c>
      <c r="G2079" cm="1">
        <f t="array" ref="G2079">_xlfn.XLOOKUP(TEXT(A2079, "mmm-yy"), TEXT([2]RUNS!$B$5:$B$208, "mmm-yy"), [2]RUNS!$D$5:$D$208, "Not Found")</f>
        <v>30420.669529919018</v>
      </c>
      <c r="H2079" cm="1">
        <f t="array" ref="H2079">SUMPRODUCT(
    --(TEXT('[3]Global Weekly Stock (EWSuez'!$B$4:$B$2000,"mmm-yy")=TEXT(A2079,"mmm-yy")),
    '[3]Global Weekly Stock (EWSuez'!$E$4:$E$2000)
/
SUMPRODUCT(
    --(TEXT('[3]Global Weekly Stock (EWSuez'!$B$4:$B$2000,"mmm-yy")=TEXT(A2079,"mmm-yy"))
)</f>
        <v>14603.4</v>
      </c>
      <c r="I2079">
        <f>_xlfn.XLOOKUP(A2079,[1]ForwardDeriv!$D:$D,[1]ForwardDeriv!$AJ:$AJ)</f>
        <v>2.0000000000010232E-2</v>
      </c>
      <c r="J2079" cm="1">
        <f t="array" ref="J2079">_xlfn.XLOOKUP(TEXT(A2079, "mmm-yy"), TEXT([2]GASOLINE!$B$5:$B$208, "mmm-yy"), [2]GASOLINE!$IR$5:$IR$208, "Not Found")</f>
        <v>-118.15883259612724</v>
      </c>
      <c r="K2079" cm="1">
        <f t="array" ref="K2079">_xlfn.XLOOKUP(TEXT(A2079, "mmm-yy"), TEXT([2]GASOLINE!$B$5:$B$208, "mmm-yy"), [2]GASOLINE!$IK$5:$IK$208, "Not Found")</f>
        <v>206.73499623614887</v>
      </c>
      <c r="L2079">
        <f t="shared" si="32"/>
        <v>0</v>
      </c>
      <c r="M2079" cm="1">
        <f t="array" ref="M2079">_xlfn.XLOOKUP(TEXT(A2079, "mmm-yy"), TEXT([2]GASOLINE!$B$5:$B$208, "mmm-yy"), [2]GASOLINE!$C$5:$C$208, "Not Found")</f>
        <v>7061.5845167308698</v>
      </c>
      <c r="N2079" cm="1">
        <f t="array" ref="N2079">_xlfn.XLOOKUP(TEXT(A2079, "mmm-yy"), TEXT([2]RUNS!$B$5:$B$208, "mmm-yy"), [2]RUNS!$BM$5:$BM$208, "Not Found")</f>
        <v>0.83313941851103601</v>
      </c>
    </row>
    <row r="2080" spans="1:14" x14ac:dyDescent="0.25">
      <c r="A2080" s="1">
        <f>'[1]Global_Spot Prices'!$B3389</f>
        <v>44915</v>
      </c>
      <c r="B2080">
        <f ca="1">_xlfn.XLOOKUP(A2080,'[1]Global_Spot Prices'!$B:$B,'[1]Global_Spot Prices'!$BS:$BS)</f>
        <v>7.9200000000000017</v>
      </c>
      <c r="C2080">
        <f>_xlfn.XLOOKUP(A2080,'[1]Global_Spot Prices'!$B:$B,'[1]Global_Spot Prices'!$E:$E)</f>
        <v>75.75</v>
      </c>
      <c r="D2080">
        <f>_xlfn.XLOOKUP(A2080,'[1]Global_Spot Prices'!$B:$B,'[1]Global_Spot Prices'!$D:$D)</f>
        <v>78.584999999999994</v>
      </c>
      <c r="E2080">
        <f>_xlfn.XLOOKUP(A2080,'[1]Global_Spot Prices'!$B:$B,'[1]Global_Spot Prices'!$H:$H)</f>
        <v>63.87</v>
      </c>
      <c r="F2080">
        <f>_xlfn.XLOOKUP(A2080,'[1]Global_Spot Prices'!$B:$B,'[1]Global_Spot Prices'!$I:$I)</f>
        <v>83.67</v>
      </c>
      <c r="G2080" cm="1">
        <f t="array" ref="G2080">_xlfn.XLOOKUP(TEXT(A2080, "mmm-yy"), TEXT([2]RUNS!$B$5:$B$208, "mmm-yy"), [2]RUNS!$D$5:$D$208, "Not Found")</f>
        <v>30420.669529919018</v>
      </c>
      <c r="H2080" cm="1">
        <f t="array" ref="H2080">SUMPRODUCT(
    --(TEXT('[3]Global Weekly Stock (EWSuez'!$B$4:$B$2000,"mmm-yy")=TEXT(A2080,"mmm-yy")),
    '[3]Global Weekly Stock (EWSuez'!$E$4:$E$2000)
/
SUMPRODUCT(
    --(TEXT('[3]Global Weekly Stock (EWSuez'!$B$4:$B$2000,"mmm-yy")=TEXT(A2080,"mmm-yy"))
)</f>
        <v>14603.4</v>
      </c>
      <c r="I2080">
        <f>_xlfn.XLOOKUP(A2080,[1]ForwardDeriv!$D:$D,[1]ForwardDeriv!$AJ:$AJ)</f>
        <v>9.9999999999994316E-2</v>
      </c>
      <c r="J2080" cm="1">
        <f t="array" ref="J2080">_xlfn.XLOOKUP(TEXT(A2080, "mmm-yy"), TEXT([2]GASOLINE!$B$5:$B$208, "mmm-yy"), [2]GASOLINE!$IR$5:$IR$208, "Not Found")</f>
        <v>-118.15883259612724</v>
      </c>
      <c r="K2080" cm="1">
        <f t="array" ref="K2080">_xlfn.XLOOKUP(TEXT(A2080, "mmm-yy"), TEXT([2]GASOLINE!$B$5:$B$208, "mmm-yy"), [2]GASOLINE!$IK$5:$IK$208, "Not Found")</f>
        <v>206.73499623614887</v>
      </c>
      <c r="L2080">
        <f t="shared" si="32"/>
        <v>0</v>
      </c>
      <c r="M2080" cm="1">
        <f t="array" ref="M2080">_xlfn.XLOOKUP(TEXT(A2080, "mmm-yy"), TEXT([2]GASOLINE!$B$5:$B$208, "mmm-yy"), [2]GASOLINE!$C$5:$C$208, "Not Found")</f>
        <v>7061.5845167308698</v>
      </c>
      <c r="N2080" cm="1">
        <f t="array" ref="N2080">_xlfn.XLOOKUP(TEXT(A2080, "mmm-yy"), TEXT([2]RUNS!$B$5:$B$208, "mmm-yy"), [2]RUNS!$BM$5:$BM$208, "Not Found")</f>
        <v>0.83313941851103601</v>
      </c>
    </row>
    <row r="2081" spans="1:14" x14ac:dyDescent="0.25">
      <c r="A2081" s="1">
        <f>'[1]Global_Spot Prices'!$B3390</f>
        <v>44916</v>
      </c>
      <c r="B2081">
        <f>_xlfn.XLOOKUP(A2081,'[1]Global_Spot Prices'!$B:$B,'[1]Global_Spot Prices'!$BS:$BS)</f>
        <v>8.4099999999999966</v>
      </c>
      <c r="C2081">
        <f ca="1">_xlfn.XLOOKUP(A2081,'[1]Global_Spot Prices'!$B:$B,'[1]Global_Spot Prices'!$E:$E)</f>
        <v>76.7</v>
      </c>
      <c r="D2081">
        <f>_xlfn.XLOOKUP(A2081,'[1]Global_Spot Prices'!$B:$B,'[1]Global_Spot Prices'!$D:$D)</f>
        <v>80.295000000000002</v>
      </c>
      <c r="E2081">
        <f>_xlfn.XLOOKUP(A2081,'[1]Global_Spot Prices'!$B:$B,'[1]Global_Spot Prices'!$H:$H)</f>
        <v>64.42</v>
      </c>
      <c r="F2081">
        <f>_xlfn.XLOOKUP(A2081,'[1]Global_Spot Prices'!$B:$B,'[1]Global_Spot Prices'!$I:$I)</f>
        <v>85.11</v>
      </c>
      <c r="G2081" cm="1">
        <f t="array" ref="G2081">_xlfn.XLOOKUP(TEXT(A2081, "mmm-yy"), TEXT([2]RUNS!$B$5:$B$208, "mmm-yy"), [2]RUNS!$D$5:$D$208, "Not Found")</f>
        <v>30420.669529919018</v>
      </c>
      <c r="H2081" cm="1">
        <f t="array" ref="H2081">SUMPRODUCT(
    --(TEXT('[3]Global Weekly Stock (EWSuez'!$B$4:$B$2000,"mmm-yy")=TEXT(A2081,"mmm-yy")),
    '[3]Global Weekly Stock (EWSuez'!$E$4:$E$2000)
/
SUMPRODUCT(
    --(TEXT('[3]Global Weekly Stock (EWSuez'!$B$4:$B$2000,"mmm-yy")=TEXT(A2081,"mmm-yy"))
)</f>
        <v>14603.4</v>
      </c>
      <c r="I2081">
        <f>_xlfn.XLOOKUP(A2081,[1]ForwardDeriv!$D:$D,[1]ForwardDeriv!$AJ:$AJ)</f>
        <v>0.29999999999999716</v>
      </c>
      <c r="J2081" cm="1">
        <f t="array" ref="J2081">_xlfn.XLOOKUP(TEXT(A2081, "mmm-yy"), TEXT([2]GASOLINE!$B$5:$B$208, "mmm-yy"), [2]GASOLINE!$IR$5:$IR$208, "Not Found")</f>
        <v>-118.15883259612724</v>
      </c>
      <c r="K2081" cm="1">
        <f t="array" ref="K2081">_xlfn.XLOOKUP(TEXT(A2081, "mmm-yy"), TEXT([2]GASOLINE!$B$5:$B$208, "mmm-yy"), [2]GASOLINE!$IK$5:$IK$208, "Not Found")</f>
        <v>206.73499623614887</v>
      </c>
      <c r="L2081">
        <f t="shared" si="32"/>
        <v>0</v>
      </c>
      <c r="M2081" cm="1">
        <f t="array" ref="M2081">_xlfn.XLOOKUP(TEXT(A2081, "mmm-yy"), TEXT([2]GASOLINE!$B$5:$B$208, "mmm-yy"), [2]GASOLINE!$C$5:$C$208, "Not Found")</f>
        <v>7061.5845167308698</v>
      </c>
      <c r="N2081" cm="1">
        <f t="array" ref="N2081">_xlfn.XLOOKUP(TEXT(A2081, "mmm-yy"), TEXT([2]RUNS!$B$5:$B$208, "mmm-yy"), [2]RUNS!$BM$5:$BM$208, "Not Found")</f>
        <v>0.83313941851103601</v>
      </c>
    </row>
    <row r="2082" spans="1:14" x14ac:dyDescent="0.25">
      <c r="A2082" s="1">
        <f>'[1]Global_Spot Prices'!$B3391</f>
        <v>44917</v>
      </c>
      <c r="B2082">
        <f>_xlfn.XLOOKUP(A2082,'[1]Global_Spot Prices'!$B:$B,'[1]Global_Spot Prices'!$BS:$BS)</f>
        <v>8.5200000000000102</v>
      </c>
      <c r="C2082">
        <f>_xlfn.XLOOKUP(A2082,'[1]Global_Spot Prices'!$B:$B,'[1]Global_Spot Prices'!$E:$E)</f>
        <v>78.849999999999994</v>
      </c>
      <c r="D2082">
        <f>_xlfn.XLOOKUP(A2082,'[1]Global_Spot Prices'!$B:$B,'[1]Global_Spot Prices'!$D:$D)</f>
        <v>80.790000000000006</v>
      </c>
      <c r="E2082">
        <f>_xlfn.XLOOKUP(A2082,'[1]Global_Spot Prices'!$B:$B,'[1]Global_Spot Prices'!$H:$H)</f>
        <v>65.69</v>
      </c>
      <c r="F2082">
        <f>_xlfn.XLOOKUP(A2082,'[1]Global_Spot Prices'!$B:$B,'[1]Global_Spot Prices'!$I:$I)</f>
        <v>87.37</v>
      </c>
      <c r="G2082" cm="1">
        <f t="array" ref="G2082">_xlfn.XLOOKUP(TEXT(A2082, "mmm-yy"), TEXT([2]RUNS!$B$5:$B$208, "mmm-yy"), [2]RUNS!$D$5:$D$208, "Not Found")</f>
        <v>30420.669529919018</v>
      </c>
      <c r="H2082" cm="1">
        <f t="array" ref="H2082">SUMPRODUCT(
    --(TEXT('[3]Global Weekly Stock (EWSuez'!$B$4:$B$2000,"mmm-yy")=TEXT(A2082,"mmm-yy")),
    '[3]Global Weekly Stock (EWSuez'!$E$4:$E$2000)
/
SUMPRODUCT(
    --(TEXT('[3]Global Weekly Stock (EWSuez'!$B$4:$B$2000,"mmm-yy")=TEXT(A2082,"mmm-yy"))
)</f>
        <v>14603.4</v>
      </c>
      <c r="I2082">
        <f>_xlfn.XLOOKUP(A2082,[1]ForwardDeriv!$D:$D,[1]ForwardDeriv!$AJ:$AJ)</f>
        <v>0.26999999999999602</v>
      </c>
      <c r="J2082" cm="1">
        <f t="array" ref="J2082">_xlfn.XLOOKUP(TEXT(A2082, "mmm-yy"), TEXT([2]GASOLINE!$B$5:$B$208, "mmm-yy"), [2]GASOLINE!$IR$5:$IR$208, "Not Found")</f>
        <v>-118.15883259612724</v>
      </c>
      <c r="K2082" cm="1">
        <f t="array" ref="K2082">_xlfn.XLOOKUP(TEXT(A2082, "mmm-yy"), TEXT([2]GASOLINE!$B$5:$B$208, "mmm-yy"), [2]GASOLINE!$IK$5:$IK$208, "Not Found")</f>
        <v>206.73499623614887</v>
      </c>
      <c r="L2082">
        <f t="shared" si="32"/>
        <v>0</v>
      </c>
      <c r="M2082" cm="1">
        <f t="array" ref="M2082">_xlfn.XLOOKUP(TEXT(A2082, "mmm-yy"), TEXT([2]GASOLINE!$B$5:$B$208, "mmm-yy"), [2]GASOLINE!$C$5:$C$208, "Not Found")</f>
        <v>7061.5845167308698</v>
      </c>
      <c r="N2082" cm="1">
        <f t="array" ref="N2082">_xlfn.XLOOKUP(TEXT(A2082, "mmm-yy"), TEXT([2]RUNS!$B$5:$B$208, "mmm-yy"), [2]RUNS!$BM$5:$BM$208, "Not Found")</f>
        <v>0.83313941851103601</v>
      </c>
    </row>
    <row r="2083" spans="1:14" x14ac:dyDescent="0.25">
      <c r="A2083" s="1">
        <f>'[1]Global_Spot Prices'!$B3392</f>
        <v>44918</v>
      </c>
      <c r="B2083">
        <f>_xlfn.XLOOKUP(A2083,'[1]Global_Spot Prices'!$B:$B,'[1]Global_Spot Prices'!$BS:$BS)</f>
        <v>9.5900000000000034</v>
      </c>
      <c r="C2083">
        <f>_xlfn.XLOOKUP(A2083,'[1]Global_Spot Prices'!$B:$B,'[1]Global_Spot Prices'!$E:$E)</f>
        <v>78.099999999999994</v>
      </c>
      <c r="D2083">
        <f>_xlfn.XLOOKUP(A2083,'[1]Global_Spot Prices'!$B:$B,'[1]Global_Spot Prices'!$D:$D)</f>
        <v>80.885000000000005</v>
      </c>
      <c r="E2083">
        <f>_xlfn.XLOOKUP(A2083,'[1]Global_Spot Prices'!$B:$B,'[1]Global_Spot Prices'!$H:$H)</f>
        <v>66</v>
      </c>
      <c r="F2083">
        <f>_xlfn.XLOOKUP(A2083,'[1]Global_Spot Prices'!$B:$B,'[1]Global_Spot Prices'!$I:$I)</f>
        <v>87.69</v>
      </c>
      <c r="G2083" cm="1">
        <f t="array" ref="G2083">_xlfn.XLOOKUP(TEXT(A2083, "mmm-yy"), TEXT([2]RUNS!$B$5:$B$208, "mmm-yy"), [2]RUNS!$D$5:$D$208, "Not Found")</f>
        <v>30420.669529919018</v>
      </c>
      <c r="H2083" cm="1">
        <f t="array" ref="H2083">SUMPRODUCT(
    --(TEXT('[3]Global Weekly Stock (EWSuez'!$B$4:$B$2000,"mmm-yy")=TEXT(A2083,"mmm-yy")),
    '[3]Global Weekly Stock (EWSuez'!$E$4:$E$2000)
/
SUMPRODUCT(
    --(TEXT('[3]Global Weekly Stock (EWSuez'!$B$4:$B$2000,"mmm-yy")=TEXT(A2083,"mmm-yy"))
)</f>
        <v>14603.4</v>
      </c>
      <c r="I2083">
        <f>_xlfn.XLOOKUP(A2083,[1]ForwardDeriv!$D:$D,[1]ForwardDeriv!$AJ:$AJ)</f>
        <v>0.26999999999999602</v>
      </c>
      <c r="J2083" cm="1">
        <f t="array" ref="J2083">_xlfn.XLOOKUP(TEXT(A2083, "mmm-yy"), TEXT([2]GASOLINE!$B$5:$B$208, "mmm-yy"), [2]GASOLINE!$IR$5:$IR$208, "Not Found")</f>
        <v>-118.15883259612724</v>
      </c>
      <c r="K2083" cm="1">
        <f t="array" ref="K2083">_xlfn.XLOOKUP(TEXT(A2083, "mmm-yy"), TEXT([2]GASOLINE!$B$5:$B$208, "mmm-yy"), [2]GASOLINE!$IK$5:$IK$208, "Not Found")</f>
        <v>206.73499623614887</v>
      </c>
      <c r="L2083">
        <f t="shared" si="32"/>
        <v>0</v>
      </c>
      <c r="M2083" cm="1">
        <f t="array" ref="M2083">_xlfn.XLOOKUP(TEXT(A2083, "mmm-yy"), TEXT([2]GASOLINE!$B$5:$B$208, "mmm-yy"), [2]GASOLINE!$C$5:$C$208, "Not Found")</f>
        <v>7061.5845167308698</v>
      </c>
      <c r="N2083" cm="1">
        <f t="array" ref="N2083">_xlfn.XLOOKUP(TEXT(A2083, "mmm-yy"), TEXT([2]RUNS!$B$5:$B$208, "mmm-yy"), [2]RUNS!$BM$5:$BM$208, "Not Found")</f>
        <v>0.83313941851103601</v>
      </c>
    </row>
    <row r="2084" spans="1:14" x14ac:dyDescent="0.25">
      <c r="A2084" s="1">
        <f>'[1]Global_Spot Prices'!$B3393</f>
        <v>44921</v>
      </c>
      <c r="B2084" t="e">
        <f>_xlfn.XLOOKUP(A2084,'[1]Global_Spot Prices'!$B:$B,'[1]Global_Spot Prices'!$BS:$BS)</f>
        <v>#N/A</v>
      </c>
      <c r="C2084" t="str">
        <f>_xlfn.XLOOKUP(A2084,'[1]Global_Spot Prices'!$B:$B,'[1]Global_Spot Prices'!$E:$E)</f>
        <v/>
      </c>
      <c r="D2084" t="str">
        <f>_xlfn.XLOOKUP(A2084,'[1]Global_Spot Prices'!$B:$B,'[1]Global_Spot Prices'!$D:$D)</f>
        <v/>
      </c>
      <c r="E2084">
        <f>_xlfn.XLOOKUP(A2084,'[1]Global_Spot Prices'!$B:$B,'[1]Global_Spot Prices'!$H:$H)</f>
        <v>0</v>
      </c>
      <c r="F2084">
        <f>_xlfn.XLOOKUP(A2084,'[1]Global_Spot Prices'!$B:$B,'[1]Global_Spot Prices'!$I:$I)</f>
        <v>0</v>
      </c>
      <c r="G2084" cm="1">
        <f t="array" ref="G2084">_xlfn.XLOOKUP(TEXT(A2084, "mmm-yy"), TEXT([2]RUNS!$B$5:$B$208, "mmm-yy"), [2]RUNS!$D$5:$D$208, "Not Found")</f>
        <v>30420.669529919018</v>
      </c>
      <c r="H2084" cm="1">
        <f t="array" ref="H2084">SUMPRODUCT(
    --(TEXT('[3]Global Weekly Stock (EWSuez'!$B$4:$B$2000,"mmm-yy")=TEXT(A2084,"mmm-yy")),
    '[3]Global Weekly Stock (EWSuez'!$E$4:$E$2000)
/
SUMPRODUCT(
    --(TEXT('[3]Global Weekly Stock (EWSuez'!$B$4:$B$2000,"mmm-yy")=TEXT(A2084,"mmm-yy"))
)</f>
        <v>14603.4</v>
      </c>
      <c r="I2084">
        <f>_xlfn.XLOOKUP(A2084,[1]ForwardDeriv!$D:$D,[1]ForwardDeriv!$AJ:$AJ)</f>
        <v>0.5</v>
      </c>
      <c r="J2084" cm="1">
        <f t="array" ref="J2084">_xlfn.XLOOKUP(TEXT(A2084, "mmm-yy"), TEXT([2]GASOLINE!$B$5:$B$208, "mmm-yy"), [2]GASOLINE!$IR$5:$IR$208, "Not Found")</f>
        <v>-118.15883259612724</v>
      </c>
      <c r="K2084" cm="1">
        <f t="array" ref="K2084">_xlfn.XLOOKUP(TEXT(A2084, "mmm-yy"), TEXT([2]GASOLINE!$B$5:$B$208, "mmm-yy"), [2]GASOLINE!$IK$5:$IK$208, "Not Found")</f>
        <v>206.73499623614887</v>
      </c>
      <c r="L2084">
        <f t="shared" si="32"/>
        <v>0</v>
      </c>
      <c r="M2084" cm="1">
        <f t="array" ref="M2084">_xlfn.XLOOKUP(TEXT(A2084, "mmm-yy"), TEXT([2]GASOLINE!$B$5:$B$208, "mmm-yy"), [2]GASOLINE!$C$5:$C$208, "Not Found")</f>
        <v>7061.5845167308698</v>
      </c>
      <c r="N2084" cm="1">
        <f t="array" ref="N2084">_xlfn.XLOOKUP(TEXT(A2084, "mmm-yy"), TEXT([2]RUNS!$B$5:$B$208, "mmm-yy"), [2]RUNS!$BM$5:$BM$208, "Not Found")</f>
        <v>0.83313941851103601</v>
      </c>
    </row>
    <row r="2085" spans="1:14" x14ac:dyDescent="0.25">
      <c r="A2085" s="1">
        <f>'[1]Global_Spot Prices'!$B3394</f>
        <v>44922</v>
      </c>
      <c r="B2085">
        <f>_xlfn.XLOOKUP(A2085,'[1]Global_Spot Prices'!$B:$B,'[1]Global_Spot Prices'!$BS:$BS)</f>
        <v>10.189999999999998</v>
      </c>
      <c r="C2085">
        <f ca="1">_xlfn.XLOOKUP(A2085,'[1]Global_Spot Prices'!$B:$B,'[1]Global_Spot Prices'!$E:$E)</f>
        <v>80.59</v>
      </c>
      <c r="D2085" t="str">
        <f>_xlfn.XLOOKUP(A2085,'[1]Global_Spot Prices'!$B:$B,'[1]Global_Spot Prices'!$D:$D)</f>
        <v/>
      </c>
      <c r="E2085">
        <f>_xlfn.XLOOKUP(A2085,'[1]Global_Spot Prices'!$B:$B,'[1]Global_Spot Prices'!$H:$H)</f>
        <v>67.28</v>
      </c>
      <c r="F2085">
        <f>_xlfn.XLOOKUP(A2085,'[1]Global_Spot Prices'!$B:$B,'[1]Global_Spot Prices'!$I:$I)</f>
        <v>90.78</v>
      </c>
      <c r="G2085" cm="1">
        <f t="array" ref="G2085">_xlfn.XLOOKUP(TEXT(A2085, "mmm-yy"), TEXT([2]RUNS!$B$5:$B$208, "mmm-yy"), [2]RUNS!$D$5:$D$208, "Not Found")</f>
        <v>30420.669529919018</v>
      </c>
      <c r="H2085" cm="1">
        <f t="array" ref="H2085">SUMPRODUCT(
    --(TEXT('[3]Global Weekly Stock (EWSuez'!$B$4:$B$2000,"mmm-yy")=TEXT(A2085,"mmm-yy")),
    '[3]Global Weekly Stock (EWSuez'!$E$4:$E$2000)
/
SUMPRODUCT(
    --(TEXT('[3]Global Weekly Stock (EWSuez'!$B$4:$B$2000,"mmm-yy")=TEXT(A2085,"mmm-yy"))
)</f>
        <v>14603.4</v>
      </c>
      <c r="I2085">
        <f>_xlfn.XLOOKUP(A2085,[1]ForwardDeriv!$D:$D,[1]ForwardDeriv!$AJ:$AJ)</f>
        <v>0.5</v>
      </c>
      <c r="J2085" cm="1">
        <f t="array" ref="J2085">_xlfn.XLOOKUP(TEXT(A2085, "mmm-yy"), TEXT([2]GASOLINE!$B$5:$B$208, "mmm-yy"), [2]GASOLINE!$IR$5:$IR$208, "Not Found")</f>
        <v>-118.15883259612724</v>
      </c>
      <c r="K2085" cm="1">
        <f t="array" ref="K2085">_xlfn.XLOOKUP(TEXT(A2085, "mmm-yy"), TEXT([2]GASOLINE!$B$5:$B$208, "mmm-yy"), [2]GASOLINE!$IK$5:$IK$208, "Not Found")</f>
        <v>206.73499623614887</v>
      </c>
      <c r="L2085">
        <f t="shared" si="32"/>
        <v>0</v>
      </c>
      <c r="M2085" cm="1">
        <f t="array" ref="M2085">_xlfn.XLOOKUP(TEXT(A2085, "mmm-yy"), TEXT([2]GASOLINE!$B$5:$B$208, "mmm-yy"), [2]GASOLINE!$C$5:$C$208, "Not Found")</f>
        <v>7061.5845167308698</v>
      </c>
      <c r="N2085" cm="1">
        <f t="array" ref="N2085">_xlfn.XLOOKUP(TEXT(A2085, "mmm-yy"), TEXT([2]RUNS!$B$5:$B$208, "mmm-yy"), [2]RUNS!$BM$5:$BM$208, "Not Found")</f>
        <v>0.83313941851103601</v>
      </c>
    </row>
    <row r="2086" spans="1:14" x14ac:dyDescent="0.25">
      <c r="A2086" s="1">
        <f>'[1]Global_Spot Prices'!$B3395</f>
        <v>44923</v>
      </c>
      <c r="B2086">
        <f>_xlfn.XLOOKUP(A2086,'[1]Global_Spot Prices'!$B:$B,'[1]Global_Spot Prices'!$BS:$BS)</f>
        <v>10.920000000000002</v>
      </c>
      <c r="C2086">
        <f>_xlfn.XLOOKUP(A2086,'[1]Global_Spot Prices'!$B:$B,'[1]Global_Spot Prices'!$E:$E)</f>
        <v>79.95</v>
      </c>
      <c r="D2086">
        <f>_xlfn.XLOOKUP(A2086,'[1]Global_Spot Prices'!$B:$B,'[1]Global_Spot Prices'!$D:$D)</f>
        <v>81.14</v>
      </c>
      <c r="E2086">
        <f>_xlfn.XLOOKUP(A2086,'[1]Global_Spot Prices'!$B:$B,'[1]Global_Spot Prices'!$H:$H)</f>
        <v>66.63</v>
      </c>
      <c r="F2086">
        <f>_xlfn.XLOOKUP(A2086,'[1]Global_Spot Prices'!$B:$B,'[1]Global_Spot Prices'!$I:$I)</f>
        <v>90.87</v>
      </c>
      <c r="G2086" cm="1">
        <f t="array" ref="G2086">_xlfn.XLOOKUP(TEXT(A2086, "mmm-yy"), TEXT([2]RUNS!$B$5:$B$208, "mmm-yy"), [2]RUNS!$D$5:$D$208, "Not Found")</f>
        <v>30420.669529919018</v>
      </c>
      <c r="H2086" cm="1">
        <f t="array" ref="H2086">SUMPRODUCT(
    --(TEXT('[3]Global Weekly Stock (EWSuez'!$B$4:$B$2000,"mmm-yy")=TEXT(A2086,"mmm-yy")),
    '[3]Global Weekly Stock (EWSuez'!$E$4:$E$2000)
/
SUMPRODUCT(
    --(TEXT('[3]Global Weekly Stock (EWSuez'!$B$4:$B$2000,"mmm-yy")=TEXT(A2086,"mmm-yy"))
)</f>
        <v>14603.4</v>
      </c>
      <c r="I2086">
        <f>_xlfn.XLOOKUP(A2086,[1]ForwardDeriv!$D:$D,[1]ForwardDeriv!$AJ:$AJ)</f>
        <v>0.73999999999999488</v>
      </c>
      <c r="J2086" cm="1">
        <f t="array" ref="J2086">_xlfn.XLOOKUP(TEXT(A2086, "mmm-yy"), TEXT([2]GASOLINE!$B$5:$B$208, "mmm-yy"), [2]GASOLINE!$IR$5:$IR$208, "Not Found")</f>
        <v>-118.15883259612724</v>
      </c>
      <c r="K2086" cm="1">
        <f t="array" ref="K2086">_xlfn.XLOOKUP(TEXT(A2086, "mmm-yy"), TEXT([2]GASOLINE!$B$5:$B$208, "mmm-yy"), [2]GASOLINE!$IK$5:$IK$208, "Not Found")</f>
        <v>206.73499623614887</v>
      </c>
      <c r="L2086">
        <f t="shared" si="32"/>
        <v>0</v>
      </c>
      <c r="M2086" cm="1">
        <f t="array" ref="M2086">_xlfn.XLOOKUP(TEXT(A2086, "mmm-yy"), TEXT([2]GASOLINE!$B$5:$B$208, "mmm-yy"), [2]GASOLINE!$C$5:$C$208, "Not Found")</f>
        <v>7061.5845167308698</v>
      </c>
      <c r="N2086" cm="1">
        <f t="array" ref="N2086">_xlfn.XLOOKUP(TEXT(A2086, "mmm-yy"), TEXT([2]RUNS!$B$5:$B$208, "mmm-yy"), [2]RUNS!$BM$5:$BM$208, "Not Found")</f>
        <v>0.83313941851103601</v>
      </c>
    </row>
    <row r="2087" spans="1:14" x14ac:dyDescent="0.25">
      <c r="A2087" s="1">
        <f>'[1]Global_Spot Prices'!$B3396</f>
        <v>44924</v>
      </c>
      <c r="B2087">
        <f>_xlfn.XLOOKUP(A2087,'[1]Global_Spot Prices'!$B:$B,'[1]Global_Spot Prices'!$BS:$BS)</f>
        <v>11.469999999999999</v>
      </c>
      <c r="C2087">
        <f>_xlfn.XLOOKUP(A2087,'[1]Global_Spot Prices'!$B:$B,'[1]Global_Spot Prices'!$E:$E)</f>
        <v>78.11</v>
      </c>
      <c r="D2087">
        <f>_xlfn.XLOOKUP(A2087,'[1]Global_Spot Prices'!$B:$B,'[1]Global_Spot Prices'!$D:$D)</f>
        <v>80.685000000000002</v>
      </c>
      <c r="E2087">
        <f>_xlfn.XLOOKUP(A2087,'[1]Global_Spot Prices'!$B:$B,'[1]Global_Spot Prices'!$H:$H)</f>
        <v>66.13</v>
      </c>
      <c r="F2087">
        <f>_xlfn.XLOOKUP(A2087,'[1]Global_Spot Prices'!$B:$B,'[1]Global_Spot Prices'!$I:$I)</f>
        <v>89.58</v>
      </c>
      <c r="G2087" cm="1">
        <f t="array" ref="G2087">_xlfn.XLOOKUP(TEXT(A2087, "mmm-yy"), TEXT([2]RUNS!$B$5:$B$208, "mmm-yy"), [2]RUNS!$D$5:$D$208, "Not Found")</f>
        <v>30420.669529919018</v>
      </c>
      <c r="H2087" cm="1">
        <f t="array" ref="H2087">SUMPRODUCT(
    --(TEXT('[3]Global Weekly Stock (EWSuez'!$B$4:$B$2000,"mmm-yy")=TEXT(A2087,"mmm-yy")),
    '[3]Global Weekly Stock (EWSuez'!$E$4:$E$2000)
/
SUMPRODUCT(
    --(TEXT('[3]Global Weekly Stock (EWSuez'!$B$4:$B$2000,"mmm-yy")=TEXT(A2087,"mmm-yy"))
)</f>
        <v>14603.4</v>
      </c>
      <c r="I2087">
        <f>_xlfn.XLOOKUP(A2087,[1]ForwardDeriv!$D:$D,[1]ForwardDeriv!$AJ:$AJ)</f>
        <v>0.92999999999999261</v>
      </c>
      <c r="J2087" cm="1">
        <f t="array" ref="J2087">_xlfn.XLOOKUP(TEXT(A2087, "mmm-yy"), TEXT([2]GASOLINE!$B$5:$B$208, "mmm-yy"), [2]GASOLINE!$IR$5:$IR$208, "Not Found")</f>
        <v>-118.15883259612724</v>
      </c>
      <c r="K2087" cm="1">
        <f t="array" ref="K2087">_xlfn.XLOOKUP(TEXT(A2087, "mmm-yy"), TEXT([2]GASOLINE!$B$5:$B$208, "mmm-yy"), [2]GASOLINE!$IK$5:$IK$208, "Not Found")</f>
        <v>206.73499623614887</v>
      </c>
      <c r="L2087">
        <f t="shared" si="32"/>
        <v>0</v>
      </c>
      <c r="M2087" cm="1">
        <f t="array" ref="M2087">_xlfn.XLOOKUP(TEXT(A2087, "mmm-yy"), TEXT([2]GASOLINE!$B$5:$B$208, "mmm-yy"), [2]GASOLINE!$C$5:$C$208, "Not Found")</f>
        <v>7061.5845167308698</v>
      </c>
      <c r="N2087" cm="1">
        <f t="array" ref="N2087">_xlfn.XLOOKUP(TEXT(A2087, "mmm-yy"), TEXT([2]RUNS!$B$5:$B$208, "mmm-yy"), [2]RUNS!$BM$5:$BM$208, "Not Found")</f>
        <v>0.83313941851103601</v>
      </c>
    </row>
    <row r="2088" spans="1:14" x14ac:dyDescent="0.25">
      <c r="A2088" s="1">
        <f>'[1]Global_Spot Prices'!$B3397</f>
        <v>44925</v>
      </c>
      <c r="B2088">
        <f>_xlfn.XLOOKUP(A2088,'[1]Global_Spot Prices'!$B:$B,'[1]Global_Spot Prices'!$BS:$BS)</f>
        <v>13.620000000000005</v>
      </c>
      <c r="C2088">
        <f>_xlfn.XLOOKUP(A2088,'[1]Global_Spot Prices'!$B:$B,'[1]Global_Spot Prices'!$E:$E)</f>
        <v>78.75</v>
      </c>
      <c r="D2088">
        <f>_xlfn.XLOOKUP(A2088,'[1]Global_Spot Prices'!$B:$B,'[1]Global_Spot Prices'!$D:$D)</f>
        <v>81.325000000000003</v>
      </c>
      <c r="E2088">
        <f>_xlfn.XLOOKUP(A2088,'[1]Global_Spot Prices'!$B:$B,'[1]Global_Spot Prices'!$H:$H)</f>
        <v>66.55</v>
      </c>
      <c r="F2088">
        <f>_xlfn.XLOOKUP(A2088,'[1]Global_Spot Prices'!$B:$B,'[1]Global_Spot Prices'!$I:$I)</f>
        <v>92.37</v>
      </c>
      <c r="G2088" cm="1">
        <f t="array" ref="G2088">_xlfn.XLOOKUP(TEXT(A2088, "mmm-yy"), TEXT([2]RUNS!$B$5:$B$208, "mmm-yy"), [2]RUNS!$D$5:$D$208, "Not Found")</f>
        <v>30420.669529919018</v>
      </c>
      <c r="H2088" cm="1">
        <f t="array" ref="H2088">SUMPRODUCT(
    --(TEXT('[3]Global Weekly Stock (EWSuez'!$B$4:$B$2000,"mmm-yy")=TEXT(A2088,"mmm-yy")),
    '[3]Global Weekly Stock (EWSuez'!$E$4:$E$2000)
/
SUMPRODUCT(
    --(TEXT('[3]Global Weekly Stock (EWSuez'!$B$4:$B$2000,"mmm-yy")=TEXT(A2088,"mmm-yy"))
)</f>
        <v>14603.4</v>
      </c>
      <c r="I2088">
        <f>_xlfn.XLOOKUP(A2088,[1]ForwardDeriv!$D:$D,[1]ForwardDeriv!$AJ:$AJ)</f>
        <v>1.0999999999999943</v>
      </c>
      <c r="J2088" cm="1">
        <f t="array" ref="J2088">_xlfn.XLOOKUP(TEXT(A2088, "mmm-yy"), TEXT([2]GASOLINE!$B$5:$B$208, "mmm-yy"), [2]GASOLINE!$IR$5:$IR$208, "Not Found")</f>
        <v>-118.15883259612724</v>
      </c>
      <c r="K2088" cm="1">
        <f t="array" ref="K2088">_xlfn.XLOOKUP(TEXT(A2088, "mmm-yy"), TEXT([2]GASOLINE!$B$5:$B$208, "mmm-yy"), [2]GASOLINE!$IK$5:$IK$208, "Not Found")</f>
        <v>206.73499623614887</v>
      </c>
      <c r="L2088">
        <f t="shared" si="32"/>
        <v>0</v>
      </c>
      <c r="M2088" cm="1">
        <f t="array" ref="M2088">_xlfn.XLOOKUP(TEXT(A2088, "mmm-yy"), TEXT([2]GASOLINE!$B$5:$B$208, "mmm-yy"), [2]GASOLINE!$C$5:$C$208, "Not Found")</f>
        <v>7061.5845167308698</v>
      </c>
      <c r="N2088" cm="1">
        <f t="array" ref="N2088">_xlfn.XLOOKUP(TEXT(A2088, "mmm-yy"), TEXT([2]RUNS!$B$5:$B$208, "mmm-yy"), [2]RUNS!$BM$5:$BM$208, "Not Found")</f>
        <v>0.83313941851103601</v>
      </c>
    </row>
    <row r="2089" spans="1:14" x14ac:dyDescent="0.25">
      <c r="A2089" s="1">
        <f>'[1]Global_Spot Prices'!$B3398</f>
        <v>44928</v>
      </c>
      <c r="B2089" t="e">
        <f>_xlfn.XLOOKUP(A2089,'[1]Global_Spot Prices'!$B:$B,'[1]Global_Spot Prices'!$BS:$BS)</f>
        <v>#N/A</v>
      </c>
      <c r="C2089" t="str">
        <f>_xlfn.XLOOKUP(A2089,'[1]Global_Spot Prices'!$B:$B,'[1]Global_Spot Prices'!$E:$E)</f>
        <v/>
      </c>
      <c r="D2089" t="str">
        <f>_xlfn.XLOOKUP(A2089,'[1]Global_Spot Prices'!$B:$B,'[1]Global_Spot Prices'!$D:$D)</f>
        <v/>
      </c>
      <c r="E2089">
        <f>_xlfn.XLOOKUP(A2089,'[1]Global_Spot Prices'!$B:$B,'[1]Global_Spot Prices'!$H:$H)</f>
        <v>0</v>
      </c>
      <c r="F2089">
        <f>_xlfn.XLOOKUP(A2089,'[1]Global_Spot Prices'!$B:$B,'[1]Global_Spot Prices'!$I:$I)</f>
        <v>0</v>
      </c>
      <c r="G2089" cm="1">
        <f t="array" ref="G2089">_xlfn.XLOOKUP(TEXT(A2089, "mmm-yy"), TEXT([2]RUNS!$B$5:$B$208, "mmm-yy"), [2]RUNS!$D$5:$D$208, "Not Found")</f>
        <v>30808.01210609989</v>
      </c>
      <c r="H2089" cm="1">
        <f t="array" ref="H2089">SUMPRODUCT(
    --(TEXT('[3]Global Weekly Stock (EWSuez'!$B$4:$B$2000,"mmm-yy")=TEXT(A2089,"mmm-yy")),
    '[3]Global Weekly Stock (EWSuez'!$E$4:$E$2000)
/
SUMPRODUCT(
    --(TEXT('[3]Global Weekly Stock (EWSuez'!$B$4:$B$2000,"mmm-yy")=TEXT(A2089,"mmm-yy"))
)</f>
        <v>16645.25</v>
      </c>
      <c r="I2089">
        <f>_xlfn.XLOOKUP(A2089,[1]ForwardDeriv!$D:$D,[1]ForwardDeriv!$AJ:$AJ)</f>
        <v>0.75</v>
      </c>
      <c r="J2089" cm="1">
        <f t="array" ref="J2089">_xlfn.XLOOKUP(TEXT(A2089, "mmm-yy"), TEXT([2]GASOLINE!$B$5:$B$208, "mmm-yy"), [2]GASOLINE!$IR$5:$IR$208, "Not Found")</f>
        <v>35.042065161928122</v>
      </c>
      <c r="K2089" cm="1">
        <f t="array" ref="K2089">_xlfn.XLOOKUP(TEXT(A2089, "mmm-yy"), TEXT([2]GASOLINE!$B$5:$B$208, "mmm-yy"), [2]GASOLINE!$IK$5:$IK$208, "Not Found")</f>
        <v>209.64497388527556</v>
      </c>
      <c r="L2089">
        <f t="shared" si="32"/>
        <v>0</v>
      </c>
      <c r="M2089" cm="1">
        <f t="array" ref="M2089">_xlfn.XLOOKUP(TEXT(A2089, "mmm-yy"), TEXT([2]GASOLINE!$B$5:$B$208, "mmm-yy"), [2]GASOLINE!$C$5:$C$208, "Not Found")</f>
        <v>7222.2513187308623</v>
      </c>
      <c r="N2089" cm="1">
        <f t="array" ref="N2089">_xlfn.XLOOKUP(TEXT(A2089, "mmm-yy"), TEXT([2]RUNS!$B$5:$B$208, "mmm-yy"), [2]RUNS!$BM$5:$BM$208, "Not Found")</f>
        <v>0.84374767841032938</v>
      </c>
    </row>
    <row r="2090" spans="1:14" x14ac:dyDescent="0.25">
      <c r="A2090" s="1">
        <f>'[1]Global_Spot Prices'!$B3399</f>
        <v>44929</v>
      </c>
      <c r="B2090">
        <f ca="1">_xlfn.XLOOKUP(A2090,'[1]Global_Spot Prices'!$B:$B,'[1]Global_Spot Prices'!$BS:$BS)</f>
        <v>12.125</v>
      </c>
      <c r="C2090">
        <f>_xlfn.XLOOKUP(A2090,'[1]Global_Spot Prices'!$B:$B,'[1]Global_Spot Prices'!$E:$E)</f>
        <v>82.055000000000007</v>
      </c>
      <c r="D2090">
        <f>_xlfn.XLOOKUP(A2090,'[1]Global_Spot Prices'!$B:$B,'[1]Global_Spot Prices'!$D:$D)</f>
        <v>81.23</v>
      </c>
      <c r="E2090">
        <f>_xlfn.XLOOKUP(A2090,'[1]Global_Spot Prices'!$B:$B,'[1]Global_Spot Prices'!$H:$H)</f>
        <v>68.650000000000006</v>
      </c>
      <c r="F2090">
        <f>_xlfn.XLOOKUP(A2090,'[1]Global_Spot Prices'!$B:$B,'[1]Global_Spot Prices'!$I:$I)</f>
        <v>94.18</v>
      </c>
      <c r="G2090" cm="1">
        <f t="array" ref="G2090">_xlfn.XLOOKUP(TEXT(A2090, "mmm-yy"), TEXT([2]RUNS!$B$5:$B$208, "mmm-yy"), [2]RUNS!$D$5:$D$208, "Not Found")</f>
        <v>30808.01210609989</v>
      </c>
      <c r="H2090" cm="1">
        <f t="array" ref="H2090">SUMPRODUCT(
    --(TEXT('[3]Global Weekly Stock (EWSuez'!$B$4:$B$2000,"mmm-yy")=TEXT(A2090,"mmm-yy")),
    '[3]Global Weekly Stock (EWSuez'!$E$4:$E$2000)
/
SUMPRODUCT(
    --(TEXT('[3]Global Weekly Stock (EWSuez'!$B$4:$B$2000,"mmm-yy")=TEXT(A2090,"mmm-yy"))
)</f>
        <v>16645.25</v>
      </c>
      <c r="I2090">
        <f>_xlfn.XLOOKUP(A2090,[1]ForwardDeriv!$D:$D,[1]ForwardDeriv!$AJ:$AJ)</f>
        <v>0.75</v>
      </c>
      <c r="J2090" cm="1">
        <f t="array" ref="J2090">_xlfn.XLOOKUP(TEXT(A2090, "mmm-yy"), TEXT([2]GASOLINE!$B$5:$B$208, "mmm-yy"), [2]GASOLINE!$IR$5:$IR$208, "Not Found")</f>
        <v>35.042065161928122</v>
      </c>
      <c r="K2090" cm="1">
        <f t="array" ref="K2090">_xlfn.XLOOKUP(TEXT(A2090, "mmm-yy"), TEXT([2]GASOLINE!$B$5:$B$208, "mmm-yy"), [2]GASOLINE!$IK$5:$IK$208, "Not Found")</f>
        <v>209.64497388527556</v>
      </c>
      <c r="L2090">
        <f t="shared" si="32"/>
        <v>0</v>
      </c>
      <c r="M2090" cm="1">
        <f t="array" ref="M2090">_xlfn.XLOOKUP(TEXT(A2090, "mmm-yy"), TEXT([2]GASOLINE!$B$5:$B$208, "mmm-yy"), [2]GASOLINE!$C$5:$C$208, "Not Found")</f>
        <v>7222.2513187308623</v>
      </c>
      <c r="N2090" cm="1">
        <f t="array" ref="N2090">_xlfn.XLOOKUP(TEXT(A2090, "mmm-yy"), TEXT([2]RUNS!$B$5:$B$208, "mmm-yy"), [2]RUNS!$BM$5:$BM$208, "Not Found")</f>
        <v>0.84374767841032938</v>
      </c>
    </row>
    <row r="2091" spans="1:14" x14ac:dyDescent="0.25">
      <c r="A2091" s="1">
        <f>'[1]Global_Spot Prices'!$B3400</f>
        <v>44930</v>
      </c>
      <c r="B2091">
        <f>_xlfn.XLOOKUP(A2091,'[1]Global_Spot Prices'!$B:$B,'[1]Global_Spot Prices'!$BS:$BS)</f>
        <v>10.754999999999995</v>
      </c>
      <c r="C2091">
        <f>_xlfn.XLOOKUP(A2091,'[1]Global_Spot Prices'!$B:$B,'[1]Global_Spot Prices'!$E:$E)</f>
        <v>77.055000000000007</v>
      </c>
      <c r="D2091">
        <f>_xlfn.XLOOKUP(A2091,'[1]Global_Spot Prices'!$B:$B,'[1]Global_Spot Prices'!$D:$D)</f>
        <v>75.52</v>
      </c>
      <c r="E2091">
        <f>_xlfn.XLOOKUP(A2091,'[1]Global_Spot Prices'!$B:$B,'[1]Global_Spot Prices'!$H:$H)</f>
        <v>65.88</v>
      </c>
      <c r="F2091">
        <f>_xlfn.XLOOKUP(A2091,'[1]Global_Spot Prices'!$B:$B,'[1]Global_Spot Prices'!$I:$I)</f>
        <v>87.81</v>
      </c>
      <c r="G2091" cm="1">
        <f t="array" ref="G2091">_xlfn.XLOOKUP(TEXT(A2091, "mmm-yy"), TEXT([2]RUNS!$B$5:$B$208, "mmm-yy"), [2]RUNS!$D$5:$D$208, "Not Found")</f>
        <v>30808.01210609989</v>
      </c>
      <c r="H2091" cm="1">
        <f t="array" ref="H2091">SUMPRODUCT(
    --(TEXT('[3]Global Weekly Stock (EWSuez'!$B$4:$B$2000,"mmm-yy")=TEXT(A2091,"mmm-yy")),
    '[3]Global Weekly Stock (EWSuez'!$E$4:$E$2000)
/
SUMPRODUCT(
    --(TEXT('[3]Global Weekly Stock (EWSuez'!$B$4:$B$2000,"mmm-yy")=TEXT(A2091,"mmm-yy"))
)</f>
        <v>16645.25</v>
      </c>
      <c r="I2091">
        <f>_xlfn.XLOOKUP(A2091,[1]ForwardDeriv!$D:$D,[1]ForwardDeriv!$AJ:$AJ)</f>
        <v>0.40999999999999659</v>
      </c>
      <c r="J2091" cm="1">
        <f t="array" ref="J2091">_xlfn.XLOOKUP(TEXT(A2091, "mmm-yy"), TEXT([2]GASOLINE!$B$5:$B$208, "mmm-yy"), [2]GASOLINE!$IR$5:$IR$208, "Not Found")</f>
        <v>35.042065161928122</v>
      </c>
      <c r="K2091" cm="1">
        <f t="array" ref="K2091">_xlfn.XLOOKUP(TEXT(A2091, "mmm-yy"), TEXT([2]GASOLINE!$B$5:$B$208, "mmm-yy"), [2]GASOLINE!$IK$5:$IK$208, "Not Found")</f>
        <v>209.64497388527556</v>
      </c>
      <c r="L2091">
        <f t="shared" si="32"/>
        <v>0</v>
      </c>
      <c r="M2091" cm="1">
        <f t="array" ref="M2091">_xlfn.XLOOKUP(TEXT(A2091, "mmm-yy"), TEXT([2]GASOLINE!$B$5:$B$208, "mmm-yy"), [2]GASOLINE!$C$5:$C$208, "Not Found")</f>
        <v>7222.2513187308623</v>
      </c>
      <c r="N2091" cm="1">
        <f t="array" ref="N2091">_xlfn.XLOOKUP(TEXT(A2091, "mmm-yy"), TEXT([2]RUNS!$B$5:$B$208, "mmm-yy"), [2]RUNS!$BM$5:$BM$208, "Not Found")</f>
        <v>0.84374767841032938</v>
      </c>
    </row>
    <row r="2092" spans="1:14" x14ac:dyDescent="0.25">
      <c r="A2092" s="1">
        <f>'[1]Global_Spot Prices'!$B3401</f>
        <v>44931</v>
      </c>
      <c r="B2092">
        <f>_xlfn.XLOOKUP(A2092,'[1]Global_Spot Prices'!$B:$B,'[1]Global_Spot Prices'!$BS:$BS)</f>
        <v>11.030000000000001</v>
      </c>
      <c r="C2092">
        <f>_xlfn.XLOOKUP(A2092,'[1]Global_Spot Prices'!$B:$B,'[1]Global_Spot Prices'!$E:$E)</f>
        <v>75.14</v>
      </c>
      <c r="D2092">
        <f>_xlfn.XLOOKUP(A2092,'[1]Global_Spot Prices'!$B:$B,'[1]Global_Spot Prices'!$D:$D)</f>
        <v>76.89</v>
      </c>
      <c r="E2092">
        <f>_xlfn.XLOOKUP(A2092,'[1]Global_Spot Prices'!$B:$B,'[1]Global_Spot Prices'!$H:$H)</f>
        <v>65.53</v>
      </c>
      <c r="F2092">
        <f>_xlfn.XLOOKUP(A2092,'[1]Global_Spot Prices'!$B:$B,'[1]Global_Spot Prices'!$I:$I)</f>
        <v>86.17</v>
      </c>
      <c r="G2092" cm="1">
        <f t="array" ref="G2092">_xlfn.XLOOKUP(TEXT(A2092, "mmm-yy"), TEXT([2]RUNS!$B$5:$B$208, "mmm-yy"), [2]RUNS!$D$5:$D$208, "Not Found")</f>
        <v>30808.01210609989</v>
      </c>
      <c r="H2092" cm="1">
        <f t="array" ref="H2092">SUMPRODUCT(
    --(TEXT('[3]Global Weekly Stock (EWSuez'!$B$4:$B$2000,"mmm-yy")=TEXT(A2092,"mmm-yy")),
    '[3]Global Weekly Stock (EWSuez'!$E$4:$E$2000)
/
SUMPRODUCT(
    --(TEXT('[3]Global Weekly Stock (EWSuez'!$B$4:$B$2000,"mmm-yy")=TEXT(A2092,"mmm-yy"))
)</f>
        <v>16645.25</v>
      </c>
      <c r="I2092">
        <f>_xlfn.XLOOKUP(A2092,[1]ForwardDeriv!$D:$D,[1]ForwardDeriv!$AJ:$AJ)</f>
        <v>0.48000000000000398</v>
      </c>
      <c r="J2092" cm="1">
        <f t="array" ref="J2092">_xlfn.XLOOKUP(TEXT(A2092, "mmm-yy"), TEXT([2]GASOLINE!$B$5:$B$208, "mmm-yy"), [2]GASOLINE!$IR$5:$IR$208, "Not Found")</f>
        <v>35.042065161928122</v>
      </c>
      <c r="K2092" cm="1">
        <f t="array" ref="K2092">_xlfn.XLOOKUP(TEXT(A2092, "mmm-yy"), TEXT([2]GASOLINE!$B$5:$B$208, "mmm-yy"), [2]GASOLINE!$IK$5:$IK$208, "Not Found")</f>
        <v>209.64497388527556</v>
      </c>
      <c r="L2092">
        <f t="shared" si="32"/>
        <v>0</v>
      </c>
      <c r="M2092" cm="1">
        <f t="array" ref="M2092">_xlfn.XLOOKUP(TEXT(A2092, "mmm-yy"), TEXT([2]GASOLINE!$B$5:$B$208, "mmm-yy"), [2]GASOLINE!$C$5:$C$208, "Not Found")</f>
        <v>7222.2513187308623</v>
      </c>
      <c r="N2092" cm="1">
        <f t="array" ref="N2092">_xlfn.XLOOKUP(TEXT(A2092, "mmm-yy"), TEXT([2]RUNS!$B$5:$B$208, "mmm-yy"), [2]RUNS!$BM$5:$BM$208, "Not Found")</f>
        <v>0.84374767841032938</v>
      </c>
    </row>
    <row r="2093" spans="1:14" x14ac:dyDescent="0.25">
      <c r="A2093" s="1">
        <f>'[1]Global_Spot Prices'!$B3402</f>
        <v>44932</v>
      </c>
      <c r="B2093">
        <f>_xlfn.XLOOKUP(A2093,'[1]Global_Spot Prices'!$B:$B,'[1]Global_Spot Prices'!$BS:$BS)</f>
        <v>11.310000000000002</v>
      </c>
      <c r="C2093">
        <f ca="1">_xlfn.XLOOKUP(A2093,'[1]Global_Spot Prices'!$B:$B,'[1]Global_Spot Prices'!$E:$E)</f>
        <v>75.14</v>
      </c>
      <c r="D2093">
        <f>_xlfn.XLOOKUP(A2093,'[1]Global_Spot Prices'!$B:$B,'[1]Global_Spot Prices'!$D:$D)</f>
        <v>77.385000000000005</v>
      </c>
      <c r="E2093">
        <f>_xlfn.XLOOKUP(A2093,'[1]Global_Spot Prices'!$B:$B,'[1]Global_Spot Prices'!$H:$H)</f>
        <v>66.64</v>
      </c>
      <c r="F2093">
        <f>_xlfn.XLOOKUP(A2093,'[1]Global_Spot Prices'!$B:$B,'[1]Global_Spot Prices'!$I:$I)</f>
        <v>86.45</v>
      </c>
      <c r="G2093" cm="1">
        <f t="array" ref="G2093">_xlfn.XLOOKUP(TEXT(A2093, "mmm-yy"), TEXT([2]RUNS!$B$5:$B$208, "mmm-yy"), [2]RUNS!$D$5:$D$208, "Not Found")</f>
        <v>30808.01210609989</v>
      </c>
      <c r="H2093" cm="1">
        <f t="array" ref="H2093">SUMPRODUCT(
    --(TEXT('[3]Global Weekly Stock (EWSuez'!$B$4:$B$2000,"mmm-yy")=TEXT(A2093,"mmm-yy")),
    '[3]Global Weekly Stock (EWSuez'!$E$4:$E$2000)
/
SUMPRODUCT(
    --(TEXT('[3]Global Weekly Stock (EWSuez'!$B$4:$B$2000,"mmm-yy")=TEXT(A2093,"mmm-yy"))
)</f>
        <v>16645.25</v>
      </c>
      <c r="I2093">
        <f>_xlfn.XLOOKUP(A2093,[1]ForwardDeriv!$D:$D,[1]ForwardDeriv!$AJ:$AJ)</f>
        <v>0.42000000000000171</v>
      </c>
      <c r="J2093" cm="1">
        <f t="array" ref="J2093">_xlfn.XLOOKUP(TEXT(A2093, "mmm-yy"), TEXT([2]GASOLINE!$B$5:$B$208, "mmm-yy"), [2]GASOLINE!$IR$5:$IR$208, "Not Found")</f>
        <v>35.042065161928122</v>
      </c>
      <c r="K2093" cm="1">
        <f t="array" ref="K2093">_xlfn.XLOOKUP(TEXT(A2093, "mmm-yy"), TEXT([2]GASOLINE!$B$5:$B$208, "mmm-yy"), [2]GASOLINE!$IK$5:$IK$208, "Not Found")</f>
        <v>209.64497388527556</v>
      </c>
      <c r="L2093">
        <f t="shared" si="32"/>
        <v>0</v>
      </c>
      <c r="M2093" cm="1">
        <f t="array" ref="M2093">_xlfn.XLOOKUP(TEXT(A2093, "mmm-yy"), TEXT([2]GASOLINE!$B$5:$B$208, "mmm-yy"), [2]GASOLINE!$C$5:$C$208, "Not Found")</f>
        <v>7222.2513187308623</v>
      </c>
      <c r="N2093" cm="1">
        <f t="array" ref="N2093">_xlfn.XLOOKUP(TEXT(A2093, "mmm-yy"), TEXT([2]RUNS!$B$5:$B$208, "mmm-yy"), [2]RUNS!$BM$5:$BM$208, "Not Found")</f>
        <v>0.84374767841032938</v>
      </c>
    </row>
    <row r="2094" spans="1:14" x14ac:dyDescent="0.25">
      <c r="A2094" s="1">
        <f>'[1]Global_Spot Prices'!$B3403</f>
        <v>44935</v>
      </c>
      <c r="B2094">
        <f>_xlfn.XLOOKUP(A2094,'[1]Global_Spot Prices'!$B:$B,'[1]Global_Spot Prices'!$BS:$BS)</f>
        <v>11.86</v>
      </c>
      <c r="C2094">
        <f>_xlfn.XLOOKUP(A2094,'[1]Global_Spot Prices'!$B:$B,'[1]Global_Spot Prices'!$E:$E)</f>
        <v>77.05</v>
      </c>
      <c r="D2094">
        <f>_xlfn.XLOOKUP(A2094,'[1]Global_Spot Prices'!$B:$B,'[1]Global_Spot Prices'!$D:$D)</f>
        <v>77.435000000000002</v>
      </c>
      <c r="E2094">
        <f>_xlfn.XLOOKUP(A2094,'[1]Global_Spot Prices'!$B:$B,'[1]Global_Spot Prices'!$H:$H)</f>
        <v>68.709999999999994</v>
      </c>
      <c r="F2094">
        <f>_xlfn.XLOOKUP(A2094,'[1]Global_Spot Prices'!$B:$B,'[1]Global_Spot Prices'!$I:$I)</f>
        <v>88.91</v>
      </c>
      <c r="G2094" cm="1">
        <f t="array" ref="G2094">_xlfn.XLOOKUP(TEXT(A2094, "mmm-yy"), TEXT([2]RUNS!$B$5:$B$208, "mmm-yy"), [2]RUNS!$D$5:$D$208, "Not Found")</f>
        <v>30808.01210609989</v>
      </c>
      <c r="H2094" cm="1">
        <f t="array" ref="H2094">SUMPRODUCT(
    --(TEXT('[3]Global Weekly Stock (EWSuez'!$B$4:$B$2000,"mmm-yy")=TEXT(A2094,"mmm-yy")),
    '[3]Global Weekly Stock (EWSuez'!$E$4:$E$2000)
/
SUMPRODUCT(
    --(TEXT('[3]Global Weekly Stock (EWSuez'!$B$4:$B$2000,"mmm-yy")=TEXT(A2094,"mmm-yy"))
)</f>
        <v>16645.25</v>
      </c>
      <c r="I2094">
        <f>_xlfn.XLOOKUP(A2094,[1]ForwardDeriv!$D:$D,[1]ForwardDeriv!$AJ:$AJ)</f>
        <v>0.57999999999999829</v>
      </c>
      <c r="J2094" cm="1">
        <f t="array" ref="J2094">_xlfn.XLOOKUP(TEXT(A2094, "mmm-yy"), TEXT([2]GASOLINE!$B$5:$B$208, "mmm-yy"), [2]GASOLINE!$IR$5:$IR$208, "Not Found")</f>
        <v>35.042065161928122</v>
      </c>
      <c r="K2094" cm="1">
        <f t="array" ref="K2094">_xlfn.XLOOKUP(TEXT(A2094, "mmm-yy"), TEXT([2]GASOLINE!$B$5:$B$208, "mmm-yy"), [2]GASOLINE!$IK$5:$IK$208, "Not Found")</f>
        <v>209.64497388527556</v>
      </c>
      <c r="L2094">
        <f t="shared" si="32"/>
        <v>0</v>
      </c>
      <c r="M2094" cm="1">
        <f t="array" ref="M2094">_xlfn.XLOOKUP(TEXT(A2094, "mmm-yy"), TEXT([2]GASOLINE!$B$5:$B$208, "mmm-yy"), [2]GASOLINE!$C$5:$C$208, "Not Found")</f>
        <v>7222.2513187308623</v>
      </c>
      <c r="N2094" cm="1">
        <f t="array" ref="N2094">_xlfn.XLOOKUP(TEXT(A2094, "mmm-yy"), TEXT([2]RUNS!$B$5:$B$208, "mmm-yy"), [2]RUNS!$BM$5:$BM$208, "Not Found")</f>
        <v>0.84374767841032938</v>
      </c>
    </row>
    <row r="2095" spans="1:14" x14ac:dyDescent="0.25">
      <c r="A2095" s="1">
        <f>'[1]Global_Spot Prices'!$B3404</f>
        <v>44936</v>
      </c>
      <c r="B2095">
        <f>_xlfn.XLOOKUP(A2095,'[1]Global_Spot Prices'!$B:$B,'[1]Global_Spot Prices'!$BS:$BS)</f>
        <v>12.200000000000003</v>
      </c>
      <c r="C2095">
        <f>_xlfn.XLOOKUP(A2095,'[1]Global_Spot Prices'!$B:$B,'[1]Global_Spot Prices'!$E:$E)</f>
        <v>76</v>
      </c>
      <c r="D2095">
        <f>_xlfn.XLOOKUP(A2095,'[1]Global_Spot Prices'!$B:$B,'[1]Global_Spot Prices'!$D:$D)</f>
        <v>77.8</v>
      </c>
      <c r="E2095">
        <f>_xlfn.XLOOKUP(A2095,'[1]Global_Spot Prices'!$B:$B,'[1]Global_Spot Prices'!$H:$H)</f>
        <v>68.56</v>
      </c>
      <c r="F2095">
        <f>_xlfn.XLOOKUP(A2095,'[1]Global_Spot Prices'!$B:$B,'[1]Global_Spot Prices'!$I:$I)</f>
        <v>88.2</v>
      </c>
      <c r="G2095" cm="1">
        <f t="array" ref="G2095">_xlfn.XLOOKUP(TEXT(A2095, "mmm-yy"), TEXT([2]RUNS!$B$5:$B$208, "mmm-yy"), [2]RUNS!$D$5:$D$208, "Not Found")</f>
        <v>30808.01210609989</v>
      </c>
      <c r="H2095" cm="1">
        <f t="array" ref="H2095">SUMPRODUCT(
    --(TEXT('[3]Global Weekly Stock (EWSuez'!$B$4:$B$2000,"mmm-yy")=TEXT(A2095,"mmm-yy")),
    '[3]Global Weekly Stock (EWSuez'!$E$4:$E$2000)
/
SUMPRODUCT(
    --(TEXT('[3]Global Weekly Stock (EWSuez'!$B$4:$B$2000,"mmm-yy")=TEXT(A2095,"mmm-yy"))
)</f>
        <v>16645.25</v>
      </c>
      <c r="I2095">
        <f>_xlfn.XLOOKUP(A2095,[1]ForwardDeriv!$D:$D,[1]ForwardDeriv!$AJ:$AJ)</f>
        <v>0.54999999999999716</v>
      </c>
      <c r="J2095" cm="1">
        <f t="array" ref="J2095">_xlfn.XLOOKUP(TEXT(A2095, "mmm-yy"), TEXT([2]GASOLINE!$B$5:$B$208, "mmm-yy"), [2]GASOLINE!$IR$5:$IR$208, "Not Found")</f>
        <v>35.042065161928122</v>
      </c>
      <c r="K2095" cm="1">
        <f t="array" ref="K2095">_xlfn.XLOOKUP(TEXT(A2095, "mmm-yy"), TEXT([2]GASOLINE!$B$5:$B$208, "mmm-yy"), [2]GASOLINE!$IK$5:$IK$208, "Not Found")</f>
        <v>209.64497388527556</v>
      </c>
      <c r="L2095">
        <f t="shared" si="32"/>
        <v>0</v>
      </c>
      <c r="M2095" cm="1">
        <f t="array" ref="M2095">_xlfn.XLOOKUP(TEXT(A2095, "mmm-yy"), TEXT([2]GASOLINE!$B$5:$B$208, "mmm-yy"), [2]GASOLINE!$C$5:$C$208, "Not Found")</f>
        <v>7222.2513187308623</v>
      </c>
      <c r="N2095" cm="1">
        <f t="array" ref="N2095">_xlfn.XLOOKUP(TEXT(A2095, "mmm-yy"), TEXT([2]RUNS!$B$5:$B$208, "mmm-yy"), [2]RUNS!$BM$5:$BM$208, "Not Found")</f>
        <v>0.84374767841032938</v>
      </c>
    </row>
    <row r="2096" spans="1:14" x14ac:dyDescent="0.25">
      <c r="A2096" s="1">
        <f>'[1]Global_Spot Prices'!$B3405</f>
        <v>44937</v>
      </c>
      <c r="B2096">
        <f>_xlfn.XLOOKUP(A2096,'[1]Global_Spot Prices'!$B:$B,'[1]Global_Spot Prices'!$BS:$BS)</f>
        <v>13.439999999999998</v>
      </c>
      <c r="C2096">
        <f>_xlfn.XLOOKUP(A2096,'[1]Global_Spot Prices'!$B:$B,'[1]Global_Spot Prices'!$E:$E)</f>
        <v>76.8</v>
      </c>
      <c r="D2096">
        <f>_xlfn.XLOOKUP(A2096,'[1]Global_Spot Prices'!$B:$B,'[1]Global_Spot Prices'!$D:$D)</f>
        <v>80.435000000000002</v>
      </c>
      <c r="E2096">
        <f>_xlfn.XLOOKUP(A2096,'[1]Global_Spot Prices'!$B:$B,'[1]Global_Spot Prices'!$H:$H)</f>
        <v>71.069999999999993</v>
      </c>
      <c r="F2096">
        <f>_xlfn.XLOOKUP(A2096,'[1]Global_Spot Prices'!$B:$B,'[1]Global_Spot Prices'!$I:$I)</f>
        <v>90.24</v>
      </c>
      <c r="G2096" cm="1">
        <f t="array" ref="G2096">_xlfn.XLOOKUP(TEXT(A2096, "mmm-yy"), TEXT([2]RUNS!$B$5:$B$208, "mmm-yy"), [2]RUNS!$D$5:$D$208, "Not Found")</f>
        <v>30808.01210609989</v>
      </c>
      <c r="H2096" cm="1">
        <f t="array" ref="H2096">SUMPRODUCT(
    --(TEXT('[3]Global Weekly Stock (EWSuez'!$B$4:$B$2000,"mmm-yy")=TEXT(A2096,"mmm-yy")),
    '[3]Global Weekly Stock (EWSuez'!$E$4:$E$2000)
/
SUMPRODUCT(
    --(TEXT('[3]Global Weekly Stock (EWSuez'!$B$4:$B$2000,"mmm-yy")=TEXT(A2096,"mmm-yy"))
)</f>
        <v>16645.25</v>
      </c>
      <c r="I2096">
        <f>_xlfn.XLOOKUP(A2096,[1]ForwardDeriv!$D:$D,[1]ForwardDeriv!$AJ:$AJ)</f>
        <v>0.76999999999999602</v>
      </c>
      <c r="J2096" cm="1">
        <f t="array" ref="J2096">_xlfn.XLOOKUP(TEXT(A2096, "mmm-yy"), TEXT([2]GASOLINE!$B$5:$B$208, "mmm-yy"), [2]GASOLINE!$IR$5:$IR$208, "Not Found")</f>
        <v>35.042065161928122</v>
      </c>
      <c r="K2096" cm="1">
        <f t="array" ref="K2096">_xlfn.XLOOKUP(TEXT(A2096, "mmm-yy"), TEXT([2]GASOLINE!$B$5:$B$208, "mmm-yy"), [2]GASOLINE!$IK$5:$IK$208, "Not Found")</f>
        <v>209.64497388527556</v>
      </c>
      <c r="L2096">
        <f t="shared" si="32"/>
        <v>0</v>
      </c>
      <c r="M2096" cm="1">
        <f t="array" ref="M2096">_xlfn.XLOOKUP(TEXT(A2096, "mmm-yy"), TEXT([2]GASOLINE!$B$5:$B$208, "mmm-yy"), [2]GASOLINE!$C$5:$C$208, "Not Found")</f>
        <v>7222.2513187308623</v>
      </c>
      <c r="N2096" cm="1">
        <f t="array" ref="N2096">_xlfn.XLOOKUP(TEXT(A2096, "mmm-yy"), TEXT([2]RUNS!$B$5:$B$208, "mmm-yy"), [2]RUNS!$BM$5:$BM$208, "Not Found")</f>
        <v>0.84374767841032938</v>
      </c>
    </row>
    <row r="2097" spans="1:14" x14ac:dyDescent="0.25">
      <c r="A2097" s="1">
        <f>'[1]Global_Spot Prices'!$B3406</f>
        <v>44938</v>
      </c>
      <c r="B2097">
        <f>_xlfn.XLOOKUP(A2097,'[1]Global_Spot Prices'!$B:$B,'[1]Global_Spot Prices'!$BS:$BS)</f>
        <v>13.909999999999997</v>
      </c>
      <c r="C2097">
        <f>_xlfn.XLOOKUP(A2097,'[1]Global_Spot Prices'!$B:$B,'[1]Global_Spot Prices'!$E:$E)</f>
        <v>79.5</v>
      </c>
      <c r="D2097">
        <f>_xlfn.XLOOKUP(A2097,'[1]Global_Spot Prices'!$B:$B,'[1]Global_Spot Prices'!$D:$D)</f>
        <v>82.825000000000003</v>
      </c>
      <c r="E2097">
        <f>_xlfn.XLOOKUP(A2097,'[1]Global_Spot Prices'!$B:$B,'[1]Global_Spot Prices'!$H:$H)</f>
        <v>71.72</v>
      </c>
      <c r="F2097">
        <f>_xlfn.XLOOKUP(A2097,'[1]Global_Spot Prices'!$B:$B,'[1]Global_Spot Prices'!$I:$I)</f>
        <v>93.41</v>
      </c>
      <c r="G2097" cm="1">
        <f t="array" ref="G2097">_xlfn.XLOOKUP(TEXT(A2097, "mmm-yy"), TEXT([2]RUNS!$B$5:$B$208, "mmm-yy"), [2]RUNS!$D$5:$D$208, "Not Found")</f>
        <v>30808.01210609989</v>
      </c>
      <c r="H2097" cm="1">
        <f t="array" ref="H2097">SUMPRODUCT(
    --(TEXT('[3]Global Weekly Stock (EWSuez'!$B$4:$B$2000,"mmm-yy")=TEXT(A2097,"mmm-yy")),
    '[3]Global Weekly Stock (EWSuez'!$E$4:$E$2000)
/
SUMPRODUCT(
    --(TEXT('[3]Global Weekly Stock (EWSuez'!$B$4:$B$2000,"mmm-yy")=TEXT(A2097,"mmm-yy"))
)</f>
        <v>16645.25</v>
      </c>
      <c r="I2097">
        <f>_xlfn.XLOOKUP(A2097,[1]ForwardDeriv!$D:$D,[1]ForwardDeriv!$AJ:$AJ)</f>
        <v>0.78000000000000114</v>
      </c>
      <c r="J2097" cm="1">
        <f t="array" ref="J2097">_xlfn.XLOOKUP(TEXT(A2097, "mmm-yy"), TEXT([2]GASOLINE!$B$5:$B$208, "mmm-yy"), [2]GASOLINE!$IR$5:$IR$208, "Not Found")</f>
        <v>35.042065161928122</v>
      </c>
      <c r="K2097" cm="1">
        <f t="array" ref="K2097">_xlfn.XLOOKUP(TEXT(A2097, "mmm-yy"), TEXT([2]GASOLINE!$B$5:$B$208, "mmm-yy"), [2]GASOLINE!$IK$5:$IK$208, "Not Found")</f>
        <v>209.64497388527556</v>
      </c>
      <c r="L2097">
        <f t="shared" si="32"/>
        <v>0</v>
      </c>
      <c r="M2097" cm="1">
        <f t="array" ref="M2097">_xlfn.XLOOKUP(TEXT(A2097, "mmm-yy"), TEXT([2]GASOLINE!$B$5:$B$208, "mmm-yy"), [2]GASOLINE!$C$5:$C$208, "Not Found")</f>
        <v>7222.2513187308623</v>
      </c>
      <c r="N2097" cm="1">
        <f t="array" ref="N2097">_xlfn.XLOOKUP(TEXT(A2097, "mmm-yy"), TEXT([2]RUNS!$B$5:$B$208, "mmm-yy"), [2]RUNS!$BM$5:$BM$208, "Not Found")</f>
        <v>0.84374767841032938</v>
      </c>
    </row>
    <row r="2098" spans="1:14" x14ac:dyDescent="0.25">
      <c r="A2098" s="1">
        <f>'[1]Global_Spot Prices'!$B3407</f>
        <v>44939</v>
      </c>
      <c r="B2098">
        <f>_xlfn.XLOOKUP(A2098,'[1]Global_Spot Prices'!$B:$B,'[1]Global_Spot Prices'!$BS:$BS)</f>
        <v>14.510000000000005</v>
      </c>
      <c r="C2098">
        <f>_xlfn.XLOOKUP(A2098,'[1]Global_Spot Prices'!$B:$B,'[1]Global_Spot Prices'!$E:$E)</f>
        <v>81.05</v>
      </c>
      <c r="D2098">
        <f>_xlfn.XLOOKUP(A2098,'[1]Global_Spot Prices'!$B:$B,'[1]Global_Spot Prices'!$D:$D)</f>
        <v>83.325000000000003</v>
      </c>
      <c r="E2098">
        <f>_xlfn.XLOOKUP(A2098,'[1]Global_Spot Prices'!$B:$B,'[1]Global_Spot Prices'!$H:$H)</f>
        <v>74.83</v>
      </c>
      <c r="F2098">
        <f>_xlfn.XLOOKUP(A2098,'[1]Global_Spot Prices'!$B:$B,'[1]Global_Spot Prices'!$I:$I)</f>
        <v>95.56</v>
      </c>
      <c r="G2098" cm="1">
        <f t="array" ref="G2098">_xlfn.XLOOKUP(TEXT(A2098, "mmm-yy"), TEXT([2]RUNS!$B$5:$B$208, "mmm-yy"), [2]RUNS!$D$5:$D$208, "Not Found")</f>
        <v>30808.01210609989</v>
      </c>
      <c r="H2098" cm="1">
        <f t="array" ref="H2098">SUMPRODUCT(
    --(TEXT('[3]Global Weekly Stock (EWSuez'!$B$4:$B$2000,"mmm-yy")=TEXT(A2098,"mmm-yy")),
    '[3]Global Weekly Stock (EWSuez'!$E$4:$E$2000)
/
SUMPRODUCT(
    --(TEXT('[3]Global Weekly Stock (EWSuez'!$B$4:$B$2000,"mmm-yy")=TEXT(A2098,"mmm-yy"))
)</f>
        <v>16645.25</v>
      </c>
      <c r="I2098">
        <f>_xlfn.XLOOKUP(A2098,[1]ForwardDeriv!$D:$D,[1]ForwardDeriv!$AJ:$AJ)</f>
        <v>0.8399999999999892</v>
      </c>
      <c r="J2098" cm="1">
        <f t="array" ref="J2098">_xlfn.XLOOKUP(TEXT(A2098, "mmm-yy"), TEXT([2]GASOLINE!$B$5:$B$208, "mmm-yy"), [2]GASOLINE!$IR$5:$IR$208, "Not Found")</f>
        <v>35.042065161928122</v>
      </c>
      <c r="K2098" cm="1">
        <f t="array" ref="K2098">_xlfn.XLOOKUP(TEXT(A2098, "mmm-yy"), TEXT([2]GASOLINE!$B$5:$B$208, "mmm-yy"), [2]GASOLINE!$IK$5:$IK$208, "Not Found")</f>
        <v>209.64497388527556</v>
      </c>
      <c r="L2098">
        <f t="shared" si="32"/>
        <v>0</v>
      </c>
      <c r="M2098" cm="1">
        <f t="array" ref="M2098">_xlfn.XLOOKUP(TEXT(A2098, "mmm-yy"), TEXT([2]GASOLINE!$B$5:$B$208, "mmm-yy"), [2]GASOLINE!$C$5:$C$208, "Not Found")</f>
        <v>7222.2513187308623</v>
      </c>
      <c r="N2098" cm="1">
        <f t="array" ref="N2098">_xlfn.XLOOKUP(TEXT(A2098, "mmm-yy"), TEXT([2]RUNS!$B$5:$B$208, "mmm-yy"), [2]RUNS!$BM$5:$BM$208, "Not Found")</f>
        <v>0.84374767841032938</v>
      </c>
    </row>
    <row r="2099" spans="1:14" x14ac:dyDescent="0.25">
      <c r="A2099" s="1">
        <f>'[1]Global_Spot Prices'!$B3408</f>
        <v>44942</v>
      </c>
      <c r="B2099">
        <f>_xlfn.XLOOKUP(A2099,'[1]Global_Spot Prices'!$B:$B,'[1]Global_Spot Prices'!$BS:$BS)</f>
        <v>15.590000000000003</v>
      </c>
      <c r="C2099">
        <f>_xlfn.XLOOKUP(A2099,'[1]Global_Spot Prices'!$B:$B,'[1]Global_Spot Prices'!$E:$E)</f>
        <v>81.75</v>
      </c>
      <c r="D2099">
        <f>_xlfn.XLOOKUP(A2099,'[1]Global_Spot Prices'!$B:$B,'[1]Global_Spot Prices'!$D:$D)</f>
        <v>82.84</v>
      </c>
      <c r="E2099">
        <f>_xlfn.XLOOKUP(A2099,'[1]Global_Spot Prices'!$B:$B,'[1]Global_Spot Prices'!$H:$H)</f>
        <v>74.84</v>
      </c>
      <c r="F2099">
        <f>_xlfn.XLOOKUP(A2099,'[1]Global_Spot Prices'!$B:$B,'[1]Global_Spot Prices'!$I:$I)</f>
        <v>97.34</v>
      </c>
      <c r="G2099" cm="1">
        <f t="array" ref="G2099">_xlfn.XLOOKUP(TEXT(A2099, "mmm-yy"), TEXT([2]RUNS!$B$5:$B$208, "mmm-yy"), [2]RUNS!$D$5:$D$208, "Not Found")</f>
        <v>30808.01210609989</v>
      </c>
      <c r="H2099" cm="1">
        <f t="array" ref="H2099">SUMPRODUCT(
    --(TEXT('[3]Global Weekly Stock (EWSuez'!$B$4:$B$2000,"mmm-yy")=TEXT(A2099,"mmm-yy")),
    '[3]Global Weekly Stock (EWSuez'!$E$4:$E$2000)
/
SUMPRODUCT(
    --(TEXT('[3]Global Weekly Stock (EWSuez'!$B$4:$B$2000,"mmm-yy")=TEXT(A2099,"mmm-yy"))
)</f>
        <v>16645.25</v>
      </c>
      <c r="I2099">
        <f>_xlfn.XLOOKUP(A2099,[1]ForwardDeriv!$D:$D,[1]ForwardDeriv!$AJ:$AJ)</f>
        <v>1.1200000000000045</v>
      </c>
      <c r="J2099" cm="1">
        <f t="array" ref="J2099">_xlfn.XLOOKUP(TEXT(A2099, "mmm-yy"), TEXT([2]GASOLINE!$B$5:$B$208, "mmm-yy"), [2]GASOLINE!$IR$5:$IR$208, "Not Found")</f>
        <v>35.042065161928122</v>
      </c>
      <c r="K2099" cm="1">
        <f t="array" ref="K2099">_xlfn.XLOOKUP(TEXT(A2099, "mmm-yy"), TEXT([2]GASOLINE!$B$5:$B$208, "mmm-yy"), [2]GASOLINE!$IK$5:$IK$208, "Not Found")</f>
        <v>209.64497388527556</v>
      </c>
      <c r="L2099">
        <f t="shared" si="32"/>
        <v>0</v>
      </c>
      <c r="M2099" cm="1">
        <f t="array" ref="M2099">_xlfn.XLOOKUP(TEXT(A2099, "mmm-yy"), TEXT([2]GASOLINE!$B$5:$B$208, "mmm-yy"), [2]GASOLINE!$C$5:$C$208, "Not Found")</f>
        <v>7222.2513187308623</v>
      </c>
      <c r="N2099" cm="1">
        <f t="array" ref="N2099">_xlfn.XLOOKUP(TEXT(A2099, "mmm-yy"), TEXT([2]RUNS!$B$5:$B$208, "mmm-yy"), [2]RUNS!$BM$5:$BM$208, "Not Found")</f>
        <v>0.84374767841032938</v>
      </c>
    </row>
    <row r="2100" spans="1:14" x14ac:dyDescent="0.25">
      <c r="A2100" s="1">
        <f>'[1]Global_Spot Prices'!$B3409</f>
        <v>44943</v>
      </c>
      <c r="B2100">
        <f>_xlfn.XLOOKUP(A2100,'[1]Global_Spot Prices'!$B:$B,'[1]Global_Spot Prices'!$BS:$BS)</f>
        <v>14.11</v>
      </c>
      <c r="C2100">
        <f>_xlfn.XLOOKUP(A2100,'[1]Global_Spot Prices'!$B:$B,'[1]Global_Spot Prices'!$E:$E)</f>
        <v>82.49</v>
      </c>
      <c r="D2100">
        <f>_xlfn.XLOOKUP(A2100,'[1]Global_Spot Prices'!$B:$B,'[1]Global_Spot Prices'!$D:$D)</f>
        <v>84.35</v>
      </c>
      <c r="E2100">
        <f>_xlfn.XLOOKUP(A2100,'[1]Global_Spot Prices'!$B:$B,'[1]Global_Spot Prices'!$H:$H)</f>
        <v>74.69</v>
      </c>
      <c r="F2100">
        <f>_xlfn.XLOOKUP(A2100,'[1]Global_Spot Prices'!$B:$B,'[1]Global_Spot Prices'!$I:$I)</f>
        <v>96.6</v>
      </c>
      <c r="G2100" cm="1">
        <f t="array" ref="G2100">_xlfn.XLOOKUP(TEXT(A2100, "mmm-yy"), TEXT([2]RUNS!$B$5:$B$208, "mmm-yy"), [2]RUNS!$D$5:$D$208, "Not Found")</f>
        <v>30808.01210609989</v>
      </c>
      <c r="H2100" cm="1">
        <f t="array" ref="H2100">SUMPRODUCT(
    --(TEXT('[3]Global Weekly Stock (EWSuez'!$B$4:$B$2000,"mmm-yy")=TEXT(A2100,"mmm-yy")),
    '[3]Global Weekly Stock (EWSuez'!$E$4:$E$2000)
/
SUMPRODUCT(
    --(TEXT('[3]Global Weekly Stock (EWSuez'!$B$4:$B$2000,"mmm-yy")=TEXT(A2100,"mmm-yy"))
)</f>
        <v>16645.25</v>
      </c>
      <c r="I2100">
        <f>_xlfn.XLOOKUP(A2100,[1]ForwardDeriv!$D:$D,[1]ForwardDeriv!$AJ:$AJ)</f>
        <v>0.95000000000000284</v>
      </c>
      <c r="J2100" cm="1">
        <f t="array" ref="J2100">_xlfn.XLOOKUP(TEXT(A2100, "mmm-yy"), TEXT([2]GASOLINE!$B$5:$B$208, "mmm-yy"), [2]GASOLINE!$IR$5:$IR$208, "Not Found")</f>
        <v>35.042065161928122</v>
      </c>
      <c r="K2100" cm="1">
        <f t="array" ref="K2100">_xlfn.XLOOKUP(TEXT(A2100, "mmm-yy"), TEXT([2]GASOLINE!$B$5:$B$208, "mmm-yy"), [2]GASOLINE!$IK$5:$IK$208, "Not Found")</f>
        <v>209.64497388527556</v>
      </c>
      <c r="L2100">
        <f t="shared" si="32"/>
        <v>0</v>
      </c>
      <c r="M2100" cm="1">
        <f t="array" ref="M2100">_xlfn.XLOOKUP(TEXT(A2100, "mmm-yy"), TEXT([2]GASOLINE!$B$5:$B$208, "mmm-yy"), [2]GASOLINE!$C$5:$C$208, "Not Found")</f>
        <v>7222.2513187308623</v>
      </c>
      <c r="N2100" cm="1">
        <f t="array" ref="N2100">_xlfn.XLOOKUP(TEXT(A2100, "mmm-yy"), TEXT([2]RUNS!$B$5:$B$208, "mmm-yy"), [2]RUNS!$BM$5:$BM$208, "Not Found")</f>
        <v>0.84374767841032938</v>
      </c>
    </row>
    <row r="2101" spans="1:14" x14ac:dyDescent="0.25">
      <c r="A2101" s="1">
        <f>'[1]Global_Spot Prices'!$B3410</f>
        <v>44944</v>
      </c>
      <c r="B2101">
        <f>_xlfn.XLOOKUP(A2101,'[1]Global_Spot Prices'!$B:$B,'[1]Global_Spot Prices'!$BS:$BS)</f>
        <v>17</v>
      </c>
      <c r="C2101">
        <f>_xlfn.XLOOKUP(A2101,'[1]Global_Spot Prices'!$B:$B,'[1]Global_Spot Prices'!$E:$E)</f>
        <v>83.65</v>
      </c>
      <c r="D2101">
        <f>_xlfn.XLOOKUP(A2101,'[1]Global_Spot Prices'!$B:$B,'[1]Global_Spot Prices'!$D:$D)</f>
        <v>85.924999999999997</v>
      </c>
      <c r="E2101">
        <f>_xlfn.XLOOKUP(A2101,'[1]Global_Spot Prices'!$B:$B,'[1]Global_Spot Prices'!$H:$H)</f>
        <v>76.05</v>
      </c>
      <c r="F2101">
        <f>_xlfn.XLOOKUP(A2101,'[1]Global_Spot Prices'!$B:$B,'[1]Global_Spot Prices'!$I:$I)</f>
        <v>100.65</v>
      </c>
      <c r="G2101" cm="1">
        <f t="array" ref="G2101">_xlfn.XLOOKUP(TEXT(A2101, "mmm-yy"), TEXT([2]RUNS!$B$5:$B$208, "mmm-yy"), [2]RUNS!$D$5:$D$208, "Not Found")</f>
        <v>30808.01210609989</v>
      </c>
      <c r="H2101" cm="1">
        <f t="array" ref="H2101">SUMPRODUCT(
    --(TEXT('[3]Global Weekly Stock (EWSuez'!$B$4:$B$2000,"mmm-yy")=TEXT(A2101,"mmm-yy")),
    '[3]Global Weekly Stock (EWSuez'!$E$4:$E$2000)
/
SUMPRODUCT(
    --(TEXT('[3]Global Weekly Stock (EWSuez'!$B$4:$B$2000,"mmm-yy")=TEXT(A2101,"mmm-yy"))
)</f>
        <v>16645.25</v>
      </c>
      <c r="I2101">
        <f>_xlfn.XLOOKUP(A2101,[1]ForwardDeriv!$D:$D,[1]ForwardDeriv!$AJ:$AJ)</f>
        <v>1.4499999999999886</v>
      </c>
      <c r="J2101" cm="1">
        <f t="array" ref="J2101">_xlfn.XLOOKUP(TEXT(A2101, "mmm-yy"), TEXT([2]GASOLINE!$B$5:$B$208, "mmm-yy"), [2]GASOLINE!$IR$5:$IR$208, "Not Found")</f>
        <v>35.042065161928122</v>
      </c>
      <c r="K2101" cm="1">
        <f t="array" ref="K2101">_xlfn.XLOOKUP(TEXT(A2101, "mmm-yy"), TEXT([2]GASOLINE!$B$5:$B$208, "mmm-yy"), [2]GASOLINE!$IK$5:$IK$208, "Not Found")</f>
        <v>209.64497388527556</v>
      </c>
      <c r="L2101">
        <f t="shared" si="32"/>
        <v>0</v>
      </c>
      <c r="M2101" cm="1">
        <f t="array" ref="M2101">_xlfn.XLOOKUP(TEXT(A2101, "mmm-yy"), TEXT([2]GASOLINE!$B$5:$B$208, "mmm-yy"), [2]GASOLINE!$C$5:$C$208, "Not Found")</f>
        <v>7222.2513187308623</v>
      </c>
      <c r="N2101" cm="1">
        <f t="array" ref="N2101">_xlfn.XLOOKUP(TEXT(A2101, "mmm-yy"), TEXT([2]RUNS!$B$5:$B$208, "mmm-yy"), [2]RUNS!$BM$5:$BM$208, "Not Found")</f>
        <v>0.84374767841032938</v>
      </c>
    </row>
    <row r="2102" spans="1:14" x14ac:dyDescent="0.25">
      <c r="A2102" s="1">
        <f>'[1]Global_Spot Prices'!$B3411</f>
        <v>44945</v>
      </c>
      <c r="B2102">
        <f>_xlfn.XLOOKUP(A2102,'[1]Global_Spot Prices'!$B:$B,'[1]Global_Spot Prices'!$BS:$BS)</f>
        <v>17.519999999999996</v>
      </c>
      <c r="C2102">
        <f>_xlfn.XLOOKUP(A2102,'[1]Global_Spot Prices'!$B:$B,'[1]Global_Spot Prices'!$E:$E)</f>
        <v>81.39</v>
      </c>
      <c r="D2102">
        <f>_xlfn.XLOOKUP(A2102,'[1]Global_Spot Prices'!$B:$B,'[1]Global_Spot Prices'!$D:$D)</f>
        <v>84.5</v>
      </c>
      <c r="E2102">
        <f>_xlfn.XLOOKUP(A2102,'[1]Global_Spot Prices'!$B:$B,'[1]Global_Spot Prices'!$H:$H)</f>
        <v>73.709999999999994</v>
      </c>
      <c r="F2102">
        <f>_xlfn.XLOOKUP(A2102,'[1]Global_Spot Prices'!$B:$B,'[1]Global_Spot Prices'!$I:$I)</f>
        <v>98.91</v>
      </c>
      <c r="G2102" cm="1">
        <f t="array" ref="G2102">_xlfn.XLOOKUP(TEXT(A2102, "mmm-yy"), TEXT([2]RUNS!$B$5:$B$208, "mmm-yy"), [2]RUNS!$D$5:$D$208, "Not Found")</f>
        <v>30808.01210609989</v>
      </c>
      <c r="H2102" cm="1">
        <f t="array" ref="H2102">SUMPRODUCT(
    --(TEXT('[3]Global Weekly Stock (EWSuez'!$B$4:$B$2000,"mmm-yy")=TEXT(A2102,"mmm-yy")),
    '[3]Global Weekly Stock (EWSuez'!$E$4:$E$2000)
/
SUMPRODUCT(
    --(TEXT('[3]Global Weekly Stock (EWSuez'!$B$4:$B$2000,"mmm-yy")=TEXT(A2102,"mmm-yy"))
)</f>
        <v>16645.25</v>
      </c>
      <c r="I2102">
        <f>_xlfn.XLOOKUP(A2102,[1]ForwardDeriv!$D:$D,[1]ForwardDeriv!$AJ:$AJ)</f>
        <v>1.4000000000000057</v>
      </c>
      <c r="J2102" cm="1">
        <f t="array" ref="J2102">_xlfn.XLOOKUP(TEXT(A2102, "mmm-yy"), TEXT([2]GASOLINE!$B$5:$B$208, "mmm-yy"), [2]GASOLINE!$IR$5:$IR$208, "Not Found")</f>
        <v>35.042065161928122</v>
      </c>
      <c r="K2102" cm="1">
        <f t="array" ref="K2102">_xlfn.XLOOKUP(TEXT(A2102, "mmm-yy"), TEXT([2]GASOLINE!$B$5:$B$208, "mmm-yy"), [2]GASOLINE!$IK$5:$IK$208, "Not Found")</f>
        <v>209.64497388527556</v>
      </c>
      <c r="L2102">
        <f t="shared" si="32"/>
        <v>0</v>
      </c>
      <c r="M2102" cm="1">
        <f t="array" ref="M2102">_xlfn.XLOOKUP(TEXT(A2102, "mmm-yy"), TEXT([2]GASOLINE!$B$5:$B$208, "mmm-yy"), [2]GASOLINE!$C$5:$C$208, "Not Found")</f>
        <v>7222.2513187308623</v>
      </c>
      <c r="N2102" cm="1">
        <f t="array" ref="N2102">_xlfn.XLOOKUP(TEXT(A2102, "mmm-yy"), TEXT([2]RUNS!$B$5:$B$208, "mmm-yy"), [2]RUNS!$BM$5:$BM$208, "Not Found")</f>
        <v>0.84374767841032938</v>
      </c>
    </row>
    <row r="2103" spans="1:14" x14ac:dyDescent="0.25">
      <c r="A2103" s="1">
        <f>'[1]Global_Spot Prices'!$B3412</f>
        <v>44946</v>
      </c>
      <c r="B2103">
        <f>_xlfn.XLOOKUP(A2103,'[1]Global_Spot Prices'!$B:$B,'[1]Global_Spot Prices'!$BS:$BS)</f>
        <v>20.679999999999993</v>
      </c>
      <c r="C2103">
        <f>_xlfn.XLOOKUP(A2103,'[1]Global_Spot Prices'!$B:$B,'[1]Global_Spot Prices'!$E:$E)</f>
        <v>83.84</v>
      </c>
      <c r="D2103">
        <f>_xlfn.XLOOKUP(A2103,'[1]Global_Spot Prices'!$B:$B,'[1]Global_Spot Prices'!$D:$D)</f>
        <v>85.9</v>
      </c>
      <c r="E2103">
        <f>_xlfn.XLOOKUP(A2103,'[1]Global_Spot Prices'!$B:$B,'[1]Global_Spot Prices'!$H:$H)</f>
        <v>75.91</v>
      </c>
      <c r="F2103">
        <f>_xlfn.XLOOKUP(A2103,'[1]Global_Spot Prices'!$B:$B,'[1]Global_Spot Prices'!$I:$I)</f>
        <v>104.52</v>
      </c>
      <c r="G2103" cm="1">
        <f t="array" ref="G2103">_xlfn.XLOOKUP(TEXT(A2103, "mmm-yy"), TEXT([2]RUNS!$B$5:$B$208, "mmm-yy"), [2]RUNS!$D$5:$D$208, "Not Found")</f>
        <v>30808.01210609989</v>
      </c>
      <c r="H2103" cm="1">
        <f t="array" ref="H2103">SUMPRODUCT(
    --(TEXT('[3]Global Weekly Stock (EWSuez'!$B$4:$B$2000,"mmm-yy")=TEXT(A2103,"mmm-yy")),
    '[3]Global Weekly Stock (EWSuez'!$E$4:$E$2000)
/
SUMPRODUCT(
    --(TEXT('[3]Global Weekly Stock (EWSuez'!$B$4:$B$2000,"mmm-yy")=TEXT(A2103,"mmm-yy"))
)</f>
        <v>16645.25</v>
      </c>
      <c r="I2103">
        <f>_xlfn.XLOOKUP(A2103,[1]ForwardDeriv!$D:$D,[1]ForwardDeriv!$AJ:$AJ)</f>
        <v>1.9399999999999977</v>
      </c>
      <c r="J2103" cm="1">
        <f t="array" ref="J2103">_xlfn.XLOOKUP(TEXT(A2103, "mmm-yy"), TEXT([2]GASOLINE!$B$5:$B$208, "mmm-yy"), [2]GASOLINE!$IR$5:$IR$208, "Not Found")</f>
        <v>35.042065161928122</v>
      </c>
      <c r="K2103" cm="1">
        <f t="array" ref="K2103">_xlfn.XLOOKUP(TEXT(A2103, "mmm-yy"), TEXT([2]GASOLINE!$B$5:$B$208, "mmm-yy"), [2]GASOLINE!$IK$5:$IK$208, "Not Found")</f>
        <v>209.64497388527556</v>
      </c>
      <c r="L2103">
        <f t="shared" si="32"/>
        <v>0</v>
      </c>
      <c r="M2103" cm="1">
        <f t="array" ref="M2103">_xlfn.XLOOKUP(TEXT(A2103, "mmm-yy"), TEXT([2]GASOLINE!$B$5:$B$208, "mmm-yy"), [2]GASOLINE!$C$5:$C$208, "Not Found")</f>
        <v>7222.2513187308623</v>
      </c>
      <c r="N2103" cm="1">
        <f t="array" ref="N2103">_xlfn.XLOOKUP(TEXT(A2103, "mmm-yy"), TEXT([2]RUNS!$B$5:$B$208, "mmm-yy"), [2]RUNS!$BM$5:$BM$208, "Not Found")</f>
        <v>0.84374767841032938</v>
      </c>
    </row>
    <row r="2104" spans="1:14" x14ac:dyDescent="0.25">
      <c r="A2104" s="1">
        <f>'[1]Global_Spot Prices'!$B3413</f>
        <v>44949</v>
      </c>
      <c r="B2104" t="e">
        <f>_xlfn.XLOOKUP(A2104,'[1]Global_Spot Prices'!$B:$B,'[1]Global_Spot Prices'!$BS:$BS)</f>
        <v>#N/A</v>
      </c>
      <c r="C2104" t="str">
        <f>_xlfn.XLOOKUP(A2104,'[1]Global_Spot Prices'!$B:$B,'[1]Global_Spot Prices'!$E:$E)</f>
        <v/>
      </c>
      <c r="D2104">
        <f>_xlfn.XLOOKUP(A2104,'[1]Global_Spot Prices'!$B:$B,'[1]Global_Spot Prices'!$D:$D)</f>
        <v>88.21</v>
      </c>
      <c r="E2104">
        <f>_xlfn.XLOOKUP(A2104,'[1]Global_Spot Prices'!$B:$B,'[1]Global_Spot Prices'!$H:$H)</f>
        <v>0</v>
      </c>
      <c r="F2104">
        <f>_xlfn.XLOOKUP(A2104,'[1]Global_Spot Prices'!$B:$B,'[1]Global_Spot Prices'!$I:$I)</f>
        <v>0</v>
      </c>
      <c r="G2104" cm="1">
        <f t="array" ref="G2104">_xlfn.XLOOKUP(TEXT(A2104, "mmm-yy"), TEXT([2]RUNS!$B$5:$B$208, "mmm-yy"), [2]RUNS!$D$5:$D$208, "Not Found")</f>
        <v>30808.01210609989</v>
      </c>
      <c r="H2104" cm="1">
        <f t="array" ref="H2104">SUMPRODUCT(
    --(TEXT('[3]Global Weekly Stock (EWSuez'!$B$4:$B$2000,"mmm-yy")=TEXT(A2104,"mmm-yy")),
    '[3]Global Weekly Stock (EWSuez'!$E$4:$E$2000)
/
SUMPRODUCT(
    --(TEXT('[3]Global Weekly Stock (EWSuez'!$B$4:$B$2000,"mmm-yy")=TEXT(A2104,"mmm-yy"))
)</f>
        <v>16645.25</v>
      </c>
      <c r="I2104">
        <f>_xlfn.XLOOKUP(A2104,[1]ForwardDeriv!$D:$D,[1]ForwardDeriv!$AJ:$AJ)</f>
        <v>1.9099999999999966</v>
      </c>
      <c r="J2104" cm="1">
        <f t="array" ref="J2104">_xlfn.XLOOKUP(TEXT(A2104, "mmm-yy"), TEXT([2]GASOLINE!$B$5:$B$208, "mmm-yy"), [2]GASOLINE!$IR$5:$IR$208, "Not Found")</f>
        <v>35.042065161928122</v>
      </c>
      <c r="K2104" cm="1">
        <f t="array" ref="K2104">_xlfn.XLOOKUP(TEXT(A2104, "mmm-yy"), TEXT([2]GASOLINE!$B$5:$B$208, "mmm-yy"), [2]GASOLINE!$IK$5:$IK$208, "Not Found")</f>
        <v>209.64497388527556</v>
      </c>
      <c r="L2104">
        <f t="shared" si="32"/>
        <v>0</v>
      </c>
      <c r="M2104" cm="1">
        <f t="array" ref="M2104">_xlfn.XLOOKUP(TEXT(A2104, "mmm-yy"), TEXT([2]GASOLINE!$B$5:$B$208, "mmm-yy"), [2]GASOLINE!$C$5:$C$208, "Not Found")</f>
        <v>7222.2513187308623</v>
      </c>
      <c r="N2104" cm="1">
        <f t="array" ref="N2104">_xlfn.XLOOKUP(TEXT(A2104, "mmm-yy"), TEXT([2]RUNS!$B$5:$B$208, "mmm-yy"), [2]RUNS!$BM$5:$BM$208, "Not Found")</f>
        <v>0.84374767841032938</v>
      </c>
    </row>
    <row r="2105" spans="1:14" x14ac:dyDescent="0.25">
      <c r="A2105" s="1">
        <f>'[1]Global_Spot Prices'!$B3414</f>
        <v>44950</v>
      </c>
      <c r="B2105" t="e">
        <f>_xlfn.XLOOKUP(A2105,'[1]Global_Spot Prices'!$B:$B,'[1]Global_Spot Prices'!$BS:$BS)</f>
        <v>#N/A</v>
      </c>
      <c r="C2105" t="str">
        <f>_xlfn.XLOOKUP(A2105,'[1]Global_Spot Prices'!$B:$B,'[1]Global_Spot Prices'!$E:$E)</f>
        <v/>
      </c>
      <c r="D2105">
        <f>_xlfn.XLOOKUP(A2105,'[1]Global_Spot Prices'!$B:$B,'[1]Global_Spot Prices'!$D:$D)</f>
        <v>86.13</v>
      </c>
      <c r="E2105">
        <f>_xlfn.XLOOKUP(A2105,'[1]Global_Spot Prices'!$B:$B,'[1]Global_Spot Prices'!$H:$H)</f>
        <v>0</v>
      </c>
      <c r="F2105">
        <f>_xlfn.XLOOKUP(A2105,'[1]Global_Spot Prices'!$B:$B,'[1]Global_Spot Prices'!$I:$I)</f>
        <v>0</v>
      </c>
      <c r="G2105" cm="1">
        <f t="array" ref="G2105">_xlfn.XLOOKUP(TEXT(A2105, "mmm-yy"), TEXT([2]RUNS!$B$5:$B$208, "mmm-yy"), [2]RUNS!$D$5:$D$208, "Not Found")</f>
        <v>30808.01210609989</v>
      </c>
      <c r="H2105" cm="1">
        <f t="array" ref="H2105">SUMPRODUCT(
    --(TEXT('[3]Global Weekly Stock (EWSuez'!$B$4:$B$2000,"mmm-yy")=TEXT(A2105,"mmm-yy")),
    '[3]Global Weekly Stock (EWSuez'!$E$4:$E$2000)
/
SUMPRODUCT(
    --(TEXT('[3]Global Weekly Stock (EWSuez'!$B$4:$B$2000,"mmm-yy")=TEXT(A2105,"mmm-yy"))
)</f>
        <v>16645.25</v>
      </c>
      <c r="I2105">
        <f>_xlfn.XLOOKUP(A2105,[1]ForwardDeriv!$D:$D,[1]ForwardDeriv!$AJ:$AJ)</f>
        <v>1.9099999999999966</v>
      </c>
      <c r="J2105" cm="1">
        <f t="array" ref="J2105">_xlfn.XLOOKUP(TEXT(A2105, "mmm-yy"), TEXT([2]GASOLINE!$B$5:$B$208, "mmm-yy"), [2]GASOLINE!$IR$5:$IR$208, "Not Found")</f>
        <v>35.042065161928122</v>
      </c>
      <c r="K2105" cm="1">
        <f t="array" ref="K2105">_xlfn.XLOOKUP(TEXT(A2105, "mmm-yy"), TEXT([2]GASOLINE!$B$5:$B$208, "mmm-yy"), [2]GASOLINE!$IK$5:$IK$208, "Not Found")</f>
        <v>209.64497388527556</v>
      </c>
      <c r="L2105">
        <f t="shared" si="32"/>
        <v>0</v>
      </c>
      <c r="M2105" cm="1">
        <f t="array" ref="M2105">_xlfn.XLOOKUP(TEXT(A2105, "mmm-yy"), TEXT([2]GASOLINE!$B$5:$B$208, "mmm-yy"), [2]GASOLINE!$C$5:$C$208, "Not Found")</f>
        <v>7222.2513187308623</v>
      </c>
      <c r="N2105" cm="1">
        <f t="array" ref="N2105">_xlfn.XLOOKUP(TEXT(A2105, "mmm-yy"), TEXT([2]RUNS!$B$5:$B$208, "mmm-yy"), [2]RUNS!$BM$5:$BM$208, "Not Found")</f>
        <v>0.84374767841032938</v>
      </c>
    </row>
    <row r="2106" spans="1:14" x14ac:dyDescent="0.25">
      <c r="A2106" s="1">
        <f>'[1]Global_Spot Prices'!$B3415</f>
        <v>44951</v>
      </c>
      <c r="B2106">
        <f>_xlfn.XLOOKUP(A2106,'[1]Global_Spot Prices'!$B:$B,'[1]Global_Spot Prices'!$BS:$BS)</f>
        <v>21.099999999999994</v>
      </c>
      <c r="C2106">
        <f>_xlfn.XLOOKUP(A2106,'[1]Global_Spot Prices'!$B:$B,'[1]Global_Spot Prices'!$E:$E)</f>
        <v>83.5</v>
      </c>
      <c r="D2106">
        <f>_xlfn.XLOOKUP(A2106,'[1]Global_Spot Prices'!$B:$B,'[1]Global_Spot Prices'!$D:$D)</f>
        <v>85.885000000000005</v>
      </c>
      <c r="E2106">
        <f>_xlfn.XLOOKUP(A2106,'[1]Global_Spot Prices'!$B:$B,'[1]Global_Spot Prices'!$H:$H)</f>
        <v>76.75</v>
      </c>
      <c r="F2106">
        <f>_xlfn.XLOOKUP(A2106,'[1]Global_Spot Prices'!$B:$B,'[1]Global_Spot Prices'!$I:$I)</f>
        <v>104.6</v>
      </c>
      <c r="G2106" cm="1">
        <f t="array" ref="G2106">_xlfn.XLOOKUP(TEXT(A2106, "mmm-yy"), TEXT([2]RUNS!$B$5:$B$208, "mmm-yy"), [2]RUNS!$D$5:$D$208, "Not Found")</f>
        <v>30808.01210609989</v>
      </c>
      <c r="H2106" cm="1">
        <f t="array" ref="H2106">SUMPRODUCT(
    --(TEXT('[3]Global Weekly Stock (EWSuez'!$B$4:$B$2000,"mmm-yy")=TEXT(A2106,"mmm-yy")),
    '[3]Global Weekly Stock (EWSuez'!$E$4:$E$2000)
/
SUMPRODUCT(
    --(TEXT('[3]Global Weekly Stock (EWSuez'!$B$4:$B$2000,"mmm-yy")=TEXT(A2106,"mmm-yy"))
)</f>
        <v>16645.25</v>
      </c>
      <c r="I2106">
        <f>_xlfn.XLOOKUP(A2106,[1]ForwardDeriv!$D:$D,[1]ForwardDeriv!$AJ:$AJ)</f>
        <v>1.9099999999999966</v>
      </c>
      <c r="J2106" cm="1">
        <f t="array" ref="J2106">_xlfn.XLOOKUP(TEXT(A2106, "mmm-yy"), TEXT([2]GASOLINE!$B$5:$B$208, "mmm-yy"), [2]GASOLINE!$IR$5:$IR$208, "Not Found")</f>
        <v>35.042065161928122</v>
      </c>
      <c r="K2106" cm="1">
        <f t="array" ref="K2106">_xlfn.XLOOKUP(TEXT(A2106, "mmm-yy"), TEXT([2]GASOLINE!$B$5:$B$208, "mmm-yy"), [2]GASOLINE!$IK$5:$IK$208, "Not Found")</f>
        <v>209.64497388527556</v>
      </c>
      <c r="L2106">
        <f t="shared" si="32"/>
        <v>0</v>
      </c>
      <c r="M2106" cm="1">
        <f t="array" ref="M2106">_xlfn.XLOOKUP(TEXT(A2106, "mmm-yy"), TEXT([2]GASOLINE!$B$5:$B$208, "mmm-yy"), [2]GASOLINE!$C$5:$C$208, "Not Found")</f>
        <v>7222.2513187308623</v>
      </c>
      <c r="N2106" cm="1">
        <f t="array" ref="N2106">_xlfn.XLOOKUP(TEXT(A2106, "mmm-yy"), TEXT([2]RUNS!$B$5:$B$208, "mmm-yy"), [2]RUNS!$BM$5:$BM$208, "Not Found")</f>
        <v>0.84374767841032938</v>
      </c>
    </row>
    <row r="2107" spans="1:14" x14ac:dyDescent="0.25">
      <c r="A2107" s="1">
        <f>'[1]Global_Spot Prices'!$B3416</f>
        <v>44952</v>
      </c>
      <c r="B2107">
        <f>_xlfn.XLOOKUP(A2107,'[1]Global_Spot Prices'!$B:$B,'[1]Global_Spot Prices'!$BS:$BS)</f>
        <v>19.36</v>
      </c>
      <c r="C2107">
        <f>_xlfn.XLOOKUP(A2107,'[1]Global_Spot Prices'!$B:$B,'[1]Global_Spot Prices'!$E:$E)</f>
        <v>83.19</v>
      </c>
      <c r="D2107">
        <f>_xlfn.XLOOKUP(A2107,'[1]Global_Spot Prices'!$B:$B,'[1]Global_Spot Prices'!$D:$D)</f>
        <v>86.9</v>
      </c>
      <c r="E2107">
        <f>_xlfn.XLOOKUP(A2107,'[1]Global_Spot Prices'!$B:$B,'[1]Global_Spot Prices'!$H:$H)</f>
        <v>75.22</v>
      </c>
      <c r="F2107">
        <f>_xlfn.XLOOKUP(A2107,'[1]Global_Spot Prices'!$B:$B,'[1]Global_Spot Prices'!$I:$I)</f>
        <v>102.55</v>
      </c>
      <c r="G2107" cm="1">
        <f t="array" ref="G2107">_xlfn.XLOOKUP(TEXT(A2107, "mmm-yy"), TEXT([2]RUNS!$B$5:$B$208, "mmm-yy"), [2]RUNS!$D$5:$D$208, "Not Found")</f>
        <v>30808.01210609989</v>
      </c>
      <c r="H2107" cm="1">
        <f t="array" ref="H2107">SUMPRODUCT(
    --(TEXT('[3]Global Weekly Stock (EWSuez'!$B$4:$B$2000,"mmm-yy")=TEXT(A2107,"mmm-yy")),
    '[3]Global Weekly Stock (EWSuez'!$E$4:$E$2000)
/
SUMPRODUCT(
    --(TEXT('[3]Global Weekly Stock (EWSuez'!$B$4:$B$2000,"mmm-yy")=TEXT(A2107,"mmm-yy"))
)</f>
        <v>16645.25</v>
      </c>
      <c r="I2107">
        <f>_xlfn.XLOOKUP(A2107,[1]ForwardDeriv!$D:$D,[1]ForwardDeriv!$AJ:$AJ)</f>
        <v>1.7800000000000011</v>
      </c>
      <c r="J2107" cm="1">
        <f t="array" ref="J2107">_xlfn.XLOOKUP(TEXT(A2107, "mmm-yy"), TEXT([2]GASOLINE!$B$5:$B$208, "mmm-yy"), [2]GASOLINE!$IR$5:$IR$208, "Not Found")</f>
        <v>35.042065161928122</v>
      </c>
      <c r="K2107" cm="1">
        <f t="array" ref="K2107">_xlfn.XLOOKUP(TEXT(A2107, "mmm-yy"), TEXT([2]GASOLINE!$B$5:$B$208, "mmm-yy"), [2]GASOLINE!$IK$5:$IK$208, "Not Found")</f>
        <v>209.64497388527556</v>
      </c>
      <c r="L2107">
        <f t="shared" si="32"/>
        <v>0</v>
      </c>
      <c r="M2107" cm="1">
        <f t="array" ref="M2107">_xlfn.XLOOKUP(TEXT(A2107, "mmm-yy"), TEXT([2]GASOLINE!$B$5:$B$208, "mmm-yy"), [2]GASOLINE!$C$5:$C$208, "Not Found")</f>
        <v>7222.2513187308623</v>
      </c>
      <c r="N2107" cm="1">
        <f t="array" ref="N2107">_xlfn.XLOOKUP(TEXT(A2107, "mmm-yy"), TEXT([2]RUNS!$B$5:$B$208, "mmm-yy"), [2]RUNS!$BM$5:$BM$208, "Not Found")</f>
        <v>0.84374767841032938</v>
      </c>
    </row>
    <row r="2108" spans="1:14" x14ac:dyDescent="0.25">
      <c r="A2108" s="1">
        <f>'[1]Global_Spot Prices'!$B3417</f>
        <v>44953</v>
      </c>
      <c r="B2108">
        <f>_xlfn.XLOOKUP(A2108,'[1]Global_Spot Prices'!$B:$B,'[1]Global_Spot Prices'!$BS:$BS)</f>
        <v>18.919999999999987</v>
      </c>
      <c r="C2108">
        <f>_xlfn.XLOOKUP(A2108,'[1]Global_Spot Prices'!$B:$B,'[1]Global_Spot Prices'!$E:$E)</f>
        <v>84.15</v>
      </c>
      <c r="D2108">
        <f>_xlfn.XLOOKUP(A2108,'[1]Global_Spot Prices'!$B:$B,'[1]Global_Spot Prices'!$D:$D)</f>
        <v>85.984999999999999</v>
      </c>
      <c r="E2108">
        <f>_xlfn.XLOOKUP(A2108,'[1]Global_Spot Prices'!$B:$B,'[1]Global_Spot Prices'!$H:$H)</f>
        <v>76.599999999999994</v>
      </c>
      <c r="F2108">
        <f>_xlfn.XLOOKUP(A2108,'[1]Global_Spot Prices'!$B:$B,'[1]Global_Spot Prices'!$I:$I)</f>
        <v>103.07</v>
      </c>
      <c r="G2108" cm="1">
        <f t="array" ref="G2108">_xlfn.XLOOKUP(TEXT(A2108, "mmm-yy"), TEXT([2]RUNS!$B$5:$B$208, "mmm-yy"), [2]RUNS!$D$5:$D$208, "Not Found")</f>
        <v>30808.01210609989</v>
      </c>
      <c r="H2108" cm="1">
        <f t="array" ref="H2108">SUMPRODUCT(
    --(TEXT('[3]Global Weekly Stock (EWSuez'!$B$4:$B$2000,"mmm-yy")=TEXT(A2108,"mmm-yy")),
    '[3]Global Weekly Stock (EWSuez'!$E$4:$E$2000)
/
SUMPRODUCT(
    --(TEXT('[3]Global Weekly Stock (EWSuez'!$B$4:$B$2000,"mmm-yy")=TEXT(A2108,"mmm-yy"))
)</f>
        <v>16645.25</v>
      </c>
      <c r="I2108">
        <f>_xlfn.XLOOKUP(A2108,[1]ForwardDeriv!$D:$D,[1]ForwardDeriv!$AJ:$AJ)</f>
        <v>1.75</v>
      </c>
      <c r="J2108" cm="1">
        <f t="array" ref="J2108">_xlfn.XLOOKUP(TEXT(A2108, "mmm-yy"), TEXT([2]GASOLINE!$B$5:$B$208, "mmm-yy"), [2]GASOLINE!$IR$5:$IR$208, "Not Found")</f>
        <v>35.042065161928122</v>
      </c>
      <c r="K2108" cm="1">
        <f t="array" ref="K2108">_xlfn.XLOOKUP(TEXT(A2108, "mmm-yy"), TEXT([2]GASOLINE!$B$5:$B$208, "mmm-yy"), [2]GASOLINE!$IK$5:$IK$208, "Not Found")</f>
        <v>209.64497388527556</v>
      </c>
      <c r="L2108">
        <f t="shared" si="32"/>
        <v>0</v>
      </c>
      <c r="M2108" cm="1">
        <f t="array" ref="M2108">_xlfn.XLOOKUP(TEXT(A2108, "mmm-yy"), TEXT([2]GASOLINE!$B$5:$B$208, "mmm-yy"), [2]GASOLINE!$C$5:$C$208, "Not Found")</f>
        <v>7222.2513187308623</v>
      </c>
      <c r="N2108" cm="1">
        <f t="array" ref="N2108">_xlfn.XLOOKUP(TEXT(A2108, "mmm-yy"), TEXT([2]RUNS!$B$5:$B$208, "mmm-yy"), [2]RUNS!$BM$5:$BM$208, "Not Found")</f>
        <v>0.84374767841032938</v>
      </c>
    </row>
    <row r="2109" spans="1:14" x14ac:dyDescent="0.25">
      <c r="A2109" s="1">
        <f>'[1]Global_Spot Prices'!$B3418</f>
        <v>44956</v>
      </c>
      <c r="B2109">
        <f>_xlfn.XLOOKUP(A2109,'[1]Global_Spot Prices'!$B:$B,'[1]Global_Spot Prices'!$BS:$BS)</f>
        <v>17</v>
      </c>
      <c r="C2109">
        <f>_xlfn.XLOOKUP(A2109,'[1]Global_Spot Prices'!$B:$B,'[1]Global_Spot Prices'!$E:$E)</f>
        <v>82.6</v>
      </c>
      <c r="D2109">
        <f>_xlfn.XLOOKUP(A2109,'[1]Global_Spot Prices'!$B:$B,'[1]Global_Spot Prices'!$D:$D)</f>
        <v>84.63</v>
      </c>
      <c r="E2109">
        <f>_xlfn.XLOOKUP(A2109,'[1]Global_Spot Prices'!$B:$B,'[1]Global_Spot Prices'!$H:$H)</f>
        <v>75.09</v>
      </c>
      <c r="F2109">
        <f>_xlfn.XLOOKUP(A2109,'[1]Global_Spot Prices'!$B:$B,'[1]Global_Spot Prices'!$I:$I)</f>
        <v>99.6</v>
      </c>
      <c r="G2109" cm="1">
        <f t="array" ref="G2109">_xlfn.XLOOKUP(TEXT(A2109, "mmm-yy"), TEXT([2]RUNS!$B$5:$B$208, "mmm-yy"), [2]RUNS!$D$5:$D$208, "Not Found")</f>
        <v>30808.01210609989</v>
      </c>
      <c r="H2109" cm="1">
        <f t="array" ref="H2109">SUMPRODUCT(
    --(TEXT('[3]Global Weekly Stock (EWSuez'!$B$4:$B$2000,"mmm-yy")=TEXT(A2109,"mmm-yy")),
    '[3]Global Weekly Stock (EWSuez'!$E$4:$E$2000)
/
SUMPRODUCT(
    --(TEXT('[3]Global Weekly Stock (EWSuez'!$B$4:$B$2000,"mmm-yy")=TEXT(A2109,"mmm-yy"))
)</f>
        <v>16645.25</v>
      </c>
      <c r="I2109">
        <f>_xlfn.XLOOKUP(A2109,[1]ForwardDeriv!$D:$D,[1]ForwardDeriv!$AJ:$AJ)</f>
        <v>1.539999999999992</v>
      </c>
      <c r="J2109" cm="1">
        <f t="array" ref="J2109">_xlfn.XLOOKUP(TEXT(A2109, "mmm-yy"), TEXT([2]GASOLINE!$B$5:$B$208, "mmm-yy"), [2]GASOLINE!$IR$5:$IR$208, "Not Found")</f>
        <v>35.042065161928122</v>
      </c>
      <c r="K2109" cm="1">
        <f t="array" ref="K2109">_xlfn.XLOOKUP(TEXT(A2109, "mmm-yy"), TEXT([2]GASOLINE!$B$5:$B$208, "mmm-yy"), [2]GASOLINE!$IK$5:$IK$208, "Not Found")</f>
        <v>209.64497388527556</v>
      </c>
      <c r="L2109">
        <f t="shared" si="32"/>
        <v>0</v>
      </c>
      <c r="M2109" cm="1">
        <f t="array" ref="M2109">_xlfn.XLOOKUP(TEXT(A2109, "mmm-yy"), TEXT([2]GASOLINE!$B$5:$B$208, "mmm-yy"), [2]GASOLINE!$C$5:$C$208, "Not Found")</f>
        <v>7222.2513187308623</v>
      </c>
      <c r="N2109" cm="1">
        <f t="array" ref="N2109">_xlfn.XLOOKUP(TEXT(A2109, "mmm-yy"), TEXT([2]RUNS!$B$5:$B$208, "mmm-yy"), [2]RUNS!$BM$5:$BM$208, "Not Found")</f>
        <v>0.84374767841032938</v>
      </c>
    </row>
    <row r="2110" spans="1:14" x14ac:dyDescent="0.25">
      <c r="A2110" s="1">
        <f>'[1]Global_Spot Prices'!$B3419</f>
        <v>44957</v>
      </c>
      <c r="B2110">
        <f>_xlfn.XLOOKUP(A2110,'[1]Global_Spot Prices'!$B:$B,'[1]Global_Spot Prices'!$BS:$BS)</f>
        <v>16.52000000000001</v>
      </c>
      <c r="C2110">
        <f>_xlfn.XLOOKUP(A2110,'[1]Global_Spot Prices'!$B:$B,'[1]Global_Spot Prices'!$E:$E)</f>
        <v>80.88</v>
      </c>
      <c r="D2110">
        <f>_xlfn.XLOOKUP(A2110,'[1]Global_Spot Prices'!$B:$B,'[1]Global_Spot Prices'!$D:$D)</f>
        <v>84.215000000000003</v>
      </c>
      <c r="E2110">
        <f>_xlfn.XLOOKUP(A2110,'[1]Global_Spot Prices'!$B:$B,'[1]Global_Spot Prices'!$H:$H)</f>
        <v>73.739999999999995</v>
      </c>
      <c r="F2110">
        <f>_xlfn.XLOOKUP(A2110,'[1]Global_Spot Prices'!$B:$B,'[1]Global_Spot Prices'!$I:$I)</f>
        <v>97.4</v>
      </c>
      <c r="G2110" cm="1">
        <f t="array" ref="G2110">_xlfn.XLOOKUP(TEXT(A2110, "mmm-yy"), TEXT([2]RUNS!$B$5:$B$208, "mmm-yy"), [2]RUNS!$D$5:$D$208, "Not Found")</f>
        <v>30808.01210609989</v>
      </c>
      <c r="H2110" cm="1">
        <f t="array" ref="H2110">SUMPRODUCT(
    --(TEXT('[3]Global Weekly Stock (EWSuez'!$B$4:$B$2000,"mmm-yy")=TEXT(A2110,"mmm-yy")),
    '[3]Global Weekly Stock (EWSuez'!$E$4:$E$2000)
/
SUMPRODUCT(
    --(TEXT('[3]Global Weekly Stock (EWSuez'!$B$4:$B$2000,"mmm-yy")=TEXT(A2110,"mmm-yy"))
)</f>
        <v>16645.25</v>
      </c>
      <c r="I2110">
        <f>_xlfn.XLOOKUP(A2110,[1]ForwardDeriv!$D:$D,[1]ForwardDeriv!$AJ:$AJ)</f>
        <v>1.3900000000000006</v>
      </c>
      <c r="J2110" cm="1">
        <f t="array" ref="J2110">_xlfn.XLOOKUP(TEXT(A2110, "mmm-yy"), TEXT([2]GASOLINE!$B$5:$B$208, "mmm-yy"), [2]GASOLINE!$IR$5:$IR$208, "Not Found")</f>
        <v>35.042065161928122</v>
      </c>
      <c r="K2110" cm="1">
        <f t="array" ref="K2110">_xlfn.XLOOKUP(TEXT(A2110, "mmm-yy"), TEXT([2]GASOLINE!$B$5:$B$208, "mmm-yy"), [2]GASOLINE!$IK$5:$IK$208, "Not Found")</f>
        <v>209.64497388527556</v>
      </c>
      <c r="L2110">
        <f t="shared" si="32"/>
        <v>0</v>
      </c>
      <c r="M2110" cm="1">
        <f t="array" ref="M2110">_xlfn.XLOOKUP(TEXT(A2110, "mmm-yy"), TEXT([2]GASOLINE!$B$5:$B$208, "mmm-yy"), [2]GASOLINE!$C$5:$C$208, "Not Found")</f>
        <v>7222.2513187308623</v>
      </c>
      <c r="N2110" cm="1">
        <f t="array" ref="N2110">_xlfn.XLOOKUP(TEXT(A2110, "mmm-yy"), TEXT([2]RUNS!$B$5:$B$208, "mmm-yy"), [2]RUNS!$BM$5:$BM$208, "Not Found")</f>
        <v>0.84374767841032938</v>
      </c>
    </row>
    <row r="2111" spans="1:14" x14ac:dyDescent="0.25">
      <c r="A2111" s="1">
        <f>'[1]Global_Spot Prices'!$B3420</f>
        <v>44958</v>
      </c>
      <c r="B2111">
        <f>_xlfn.XLOOKUP(A2111,'[1]Global_Spot Prices'!$B:$B,'[1]Global_Spot Prices'!$BS:$BS)</f>
        <v>15.394999999999996</v>
      </c>
      <c r="C2111">
        <f>_xlfn.XLOOKUP(A2111,'[1]Global_Spot Prices'!$B:$B,'[1]Global_Spot Prices'!$E:$E)</f>
        <v>83.555000000000007</v>
      </c>
      <c r="D2111">
        <f>_xlfn.XLOOKUP(A2111,'[1]Global_Spot Prices'!$B:$B,'[1]Global_Spot Prices'!$D:$D)</f>
        <v>82.98</v>
      </c>
      <c r="E2111">
        <f>_xlfn.XLOOKUP(A2111,'[1]Global_Spot Prices'!$B:$B,'[1]Global_Spot Prices'!$H:$H)</f>
        <v>74.849999999999994</v>
      </c>
      <c r="F2111">
        <f>_xlfn.XLOOKUP(A2111,'[1]Global_Spot Prices'!$B:$B,'[1]Global_Spot Prices'!$I:$I)</f>
        <v>98.95</v>
      </c>
      <c r="G2111" cm="1">
        <f t="array" ref="G2111">_xlfn.XLOOKUP(TEXT(A2111, "mmm-yy"), TEXT([2]RUNS!$B$5:$B$208, "mmm-yy"), [2]RUNS!$D$5:$D$208, "Not Found")</f>
        <v>31378.384567185887</v>
      </c>
      <c r="H2111" cm="1">
        <f t="array" ref="H2111">SUMPRODUCT(
    --(TEXT('[3]Global Weekly Stock (EWSuez'!$B$4:$B$2000,"mmm-yy")=TEXT(A2111,"mmm-yy")),
    '[3]Global Weekly Stock (EWSuez'!$E$4:$E$2000)
/
SUMPRODUCT(
    --(TEXT('[3]Global Weekly Stock (EWSuez'!$B$4:$B$2000,"mmm-yy")=TEXT(A2111,"mmm-yy"))
)</f>
        <v>16767.75</v>
      </c>
      <c r="I2111">
        <f>_xlfn.XLOOKUP(A2111,[1]ForwardDeriv!$D:$D,[1]ForwardDeriv!$AJ:$AJ)</f>
        <v>1.6299999999999955</v>
      </c>
      <c r="J2111" cm="1">
        <f t="array" ref="J2111">_xlfn.XLOOKUP(TEXT(A2111, "mmm-yy"), TEXT([2]GASOLINE!$B$5:$B$208, "mmm-yy"), [2]GASOLINE!$IR$5:$IR$208, "Not Found")</f>
        <v>26.892802507155352</v>
      </c>
      <c r="K2111" cm="1">
        <f t="array" ref="K2111">_xlfn.XLOOKUP(TEXT(A2111, "mmm-yy"), TEXT([2]GASOLINE!$B$5:$B$208, "mmm-yy"), [2]GASOLINE!$IK$5:$IK$208, "Not Found")</f>
        <v>221.99001483885769</v>
      </c>
      <c r="L2111">
        <f t="shared" si="32"/>
        <v>0</v>
      </c>
      <c r="M2111" cm="1">
        <f t="array" ref="M2111">_xlfn.XLOOKUP(TEXT(A2111, "mmm-yy"), TEXT([2]GASOLINE!$B$5:$B$208, "mmm-yy"), [2]GASOLINE!$C$5:$C$208, "Not Found")</f>
        <v>7481.5475015822494</v>
      </c>
      <c r="N2111" cm="1">
        <f t="array" ref="N2111">_xlfn.XLOOKUP(TEXT(A2111, "mmm-yy"), TEXT([2]RUNS!$B$5:$B$208, "mmm-yy"), [2]RUNS!$BM$5:$BM$208, "Not Found")</f>
        <v>0.85936862916213763</v>
      </c>
    </row>
    <row r="2112" spans="1:14" x14ac:dyDescent="0.25">
      <c r="A2112" s="1">
        <f>'[1]Global_Spot Prices'!$B3421</f>
        <v>44959</v>
      </c>
      <c r="B2112">
        <f>_xlfn.XLOOKUP(A2112,'[1]Global_Spot Prices'!$B:$B,'[1]Global_Spot Prices'!$BS:$BS)</f>
        <v>14.89</v>
      </c>
      <c r="C2112">
        <f>_xlfn.XLOOKUP(A2112,'[1]Global_Spot Prices'!$B:$B,'[1]Global_Spot Prices'!$E:$E)</f>
        <v>80.87</v>
      </c>
      <c r="D2112">
        <f>_xlfn.XLOOKUP(A2112,'[1]Global_Spot Prices'!$B:$B,'[1]Global_Spot Prices'!$D:$D)</f>
        <v>80.739999999999995</v>
      </c>
      <c r="E2112">
        <f>_xlfn.XLOOKUP(A2112,'[1]Global_Spot Prices'!$B:$B,'[1]Global_Spot Prices'!$H:$H)</f>
        <v>74.19</v>
      </c>
      <c r="F2112">
        <f>_xlfn.XLOOKUP(A2112,'[1]Global_Spot Prices'!$B:$B,'[1]Global_Spot Prices'!$I:$I)</f>
        <v>95.76</v>
      </c>
      <c r="G2112" cm="1">
        <f t="array" ref="G2112">_xlfn.XLOOKUP(TEXT(A2112, "mmm-yy"), TEXT([2]RUNS!$B$5:$B$208, "mmm-yy"), [2]RUNS!$D$5:$D$208, "Not Found")</f>
        <v>31378.384567185887</v>
      </c>
      <c r="H2112" cm="1">
        <f t="array" ref="H2112">SUMPRODUCT(
    --(TEXT('[3]Global Weekly Stock (EWSuez'!$B$4:$B$2000,"mmm-yy")=TEXT(A2112,"mmm-yy")),
    '[3]Global Weekly Stock (EWSuez'!$E$4:$E$2000)
/
SUMPRODUCT(
    --(TEXT('[3]Global Weekly Stock (EWSuez'!$B$4:$B$2000,"mmm-yy")=TEXT(A2112,"mmm-yy"))
)</f>
        <v>16767.75</v>
      </c>
      <c r="I2112">
        <f>_xlfn.XLOOKUP(A2112,[1]ForwardDeriv!$D:$D,[1]ForwardDeriv!$AJ:$AJ)</f>
        <v>1.4499999999999886</v>
      </c>
      <c r="J2112" cm="1">
        <f t="array" ref="J2112">_xlfn.XLOOKUP(TEXT(A2112, "mmm-yy"), TEXT([2]GASOLINE!$B$5:$B$208, "mmm-yy"), [2]GASOLINE!$IR$5:$IR$208, "Not Found")</f>
        <v>26.892802507155352</v>
      </c>
      <c r="K2112" cm="1">
        <f t="array" ref="K2112">_xlfn.XLOOKUP(TEXT(A2112, "mmm-yy"), TEXT([2]GASOLINE!$B$5:$B$208, "mmm-yy"), [2]GASOLINE!$IK$5:$IK$208, "Not Found")</f>
        <v>221.99001483885769</v>
      </c>
      <c r="L2112">
        <f t="shared" si="32"/>
        <v>0</v>
      </c>
      <c r="M2112" cm="1">
        <f t="array" ref="M2112">_xlfn.XLOOKUP(TEXT(A2112, "mmm-yy"), TEXT([2]GASOLINE!$B$5:$B$208, "mmm-yy"), [2]GASOLINE!$C$5:$C$208, "Not Found")</f>
        <v>7481.5475015822494</v>
      </c>
      <c r="N2112" cm="1">
        <f t="array" ref="N2112">_xlfn.XLOOKUP(TEXT(A2112, "mmm-yy"), TEXT([2]RUNS!$B$5:$B$208, "mmm-yy"), [2]RUNS!$BM$5:$BM$208, "Not Found")</f>
        <v>0.85936862916213763</v>
      </c>
    </row>
    <row r="2113" spans="1:14" x14ac:dyDescent="0.25">
      <c r="A2113" s="1">
        <f>'[1]Global_Spot Prices'!$B3422</f>
        <v>44960</v>
      </c>
      <c r="B2113">
        <f>_xlfn.XLOOKUP(A2113,'[1]Global_Spot Prices'!$B:$B,'[1]Global_Spot Prices'!$BS:$BS)</f>
        <v>15.469999999999999</v>
      </c>
      <c r="C2113">
        <f>_xlfn.XLOOKUP(A2113,'[1]Global_Spot Prices'!$B:$B,'[1]Global_Spot Prices'!$E:$E)</f>
        <v>79.75</v>
      </c>
      <c r="D2113">
        <f>_xlfn.XLOOKUP(A2113,'[1]Global_Spot Prices'!$B:$B,'[1]Global_Spot Prices'!$D:$D)</f>
        <v>80.62</v>
      </c>
      <c r="E2113">
        <f>_xlfn.XLOOKUP(A2113,'[1]Global_Spot Prices'!$B:$B,'[1]Global_Spot Prices'!$H:$H)</f>
        <v>74.150000000000006</v>
      </c>
      <c r="F2113">
        <f>_xlfn.XLOOKUP(A2113,'[1]Global_Spot Prices'!$B:$B,'[1]Global_Spot Prices'!$I:$I)</f>
        <v>95.22</v>
      </c>
      <c r="G2113" cm="1">
        <f t="array" ref="G2113">_xlfn.XLOOKUP(TEXT(A2113, "mmm-yy"), TEXT([2]RUNS!$B$5:$B$208, "mmm-yy"), [2]RUNS!$D$5:$D$208, "Not Found")</f>
        <v>31378.384567185887</v>
      </c>
      <c r="H2113" cm="1">
        <f t="array" ref="H2113">SUMPRODUCT(
    --(TEXT('[3]Global Weekly Stock (EWSuez'!$B$4:$B$2000,"mmm-yy")=TEXT(A2113,"mmm-yy")),
    '[3]Global Weekly Stock (EWSuez'!$E$4:$E$2000)
/
SUMPRODUCT(
    --(TEXT('[3]Global Weekly Stock (EWSuez'!$B$4:$B$2000,"mmm-yy")=TEXT(A2113,"mmm-yy"))
)</f>
        <v>16767.75</v>
      </c>
      <c r="I2113">
        <f>_xlfn.XLOOKUP(A2113,[1]ForwardDeriv!$D:$D,[1]ForwardDeriv!$AJ:$AJ)</f>
        <v>1.480000000000004</v>
      </c>
      <c r="J2113" cm="1">
        <f t="array" ref="J2113">_xlfn.XLOOKUP(TEXT(A2113, "mmm-yy"), TEXT([2]GASOLINE!$B$5:$B$208, "mmm-yy"), [2]GASOLINE!$IR$5:$IR$208, "Not Found")</f>
        <v>26.892802507155352</v>
      </c>
      <c r="K2113" cm="1">
        <f t="array" ref="K2113">_xlfn.XLOOKUP(TEXT(A2113, "mmm-yy"), TEXT([2]GASOLINE!$B$5:$B$208, "mmm-yy"), [2]GASOLINE!$IK$5:$IK$208, "Not Found")</f>
        <v>221.99001483885769</v>
      </c>
      <c r="L2113">
        <f t="shared" si="32"/>
        <v>0</v>
      </c>
      <c r="M2113" cm="1">
        <f t="array" ref="M2113">_xlfn.XLOOKUP(TEXT(A2113, "mmm-yy"), TEXT([2]GASOLINE!$B$5:$B$208, "mmm-yy"), [2]GASOLINE!$C$5:$C$208, "Not Found")</f>
        <v>7481.5475015822494</v>
      </c>
      <c r="N2113" cm="1">
        <f t="array" ref="N2113">_xlfn.XLOOKUP(TEXT(A2113, "mmm-yy"), TEXT([2]RUNS!$B$5:$B$208, "mmm-yy"), [2]RUNS!$BM$5:$BM$208, "Not Found")</f>
        <v>0.85936862916213763</v>
      </c>
    </row>
    <row r="2114" spans="1:14" x14ac:dyDescent="0.25">
      <c r="A2114" s="1">
        <f>'[1]Global_Spot Prices'!$B3423</f>
        <v>44963</v>
      </c>
      <c r="B2114">
        <f>_xlfn.XLOOKUP(A2114,'[1]Global_Spot Prices'!$B:$B,'[1]Global_Spot Prices'!$BS:$BS)</f>
        <v>13.88000000000001</v>
      </c>
      <c r="C2114">
        <f>_xlfn.XLOOKUP(A2114,'[1]Global_Spot Prices'!$B:$B,'[1]Global_Spot Prices'!$E:$E)</f>
        <v>78.3</v>
      </c>
      <c r="D2114">
        <f>_xlfn.XLOOKUP(A2114,'[1]Global_Spot Prices'!$B:$B,'[1]Global_Spot Prices'!$D:$D)</f>
        <v>79.594999999999999</v>
      </c>
      <c r="E2114">
        <f>_xlfn.XLOOKUP(A2114,'[1]Global_Spot Prices'!$B:$B,'[1]Global_Spot Prices'!$H:$H)</f>
        <v>73.64</v>
      </c>
      <c r="F2114">
        <f>_xlfn.XLOOKUP(A2114,'[1]Global_Spot Prices'!$B:$B,'[1]Global_Spot Prices'!$I:$I)</f>
        <v>92.18</v>
      </c>
      <c r="G2114" cm="1">
        <f t="array" ref="G2114">_xlfn.XLOOKUP(TEXT(A2114, "mmm-yy"), TEXT([2]RUNS!$B$5:$B$208, "mmm-yy"), [2]RUNS!$D$5:$D$208, "Not Found")</f>
        <v>31378.384567185887</v>
      </c>
      <c r="H2114" cm="1">
        <f t="array" ref="H2114">SUMPRODUCT(
    --(TEXT('[3]Global Weekly Stock (EWSuez'!$B$4:$B$2000,"mmm-yy")=TEXT(A2114,"mmm-yy")),
    '[3]Global Weekly Stock (EWSuez'!$E$4:$E$2000)
/
SUMPRODUCT(
    --(TEXT('[3]Global Weekly Stock (EWSuez'!$B$4:$B$2000,"mmm-yy")=TEXT(A2114,"mmm-yy"))
)</f>
        <v>16767.75</v>
      </c>
      <c r="I2114">
        <f>_xlfn.XLOOKUP(A2114,[1]ForwardDeriv!$D:$D,[1]ForwardDeriv!$AJ:$AJ)</f>
        <v>1.3000000000000114</v>
      </c>
      <c r="J2114" cm="1">
        <f t="array" ref="J2114">_xlfn.XLOOKUP(TEXT(A2114, "mmm-yy"), TEXT([2]GASOLINE!$B$5:$B$208, "mmm-yy"), [2]GASOLINE!$IR$5:$IR$208, "Not Found")</f>
        <v>26.892802507155352</v>
      </c>
      <c r="K2114" cm="1">
        <f t="array" ref="K2114">_xlfn.XLOOKUP(TEXT(A2114, "mmm-yy"), TEXT([2]GASOLINE!$B$5:$B$208, "mmm-yy"), [2]GASOLINE!$IK$5:$IK$208, "Not Found")</f>
        <v>221.99001483885769</v>
      </c>
      <c r="L2114">
        <f t="shared" si="32"/>
        <v>0</v>
      </c>
      <c r="M2114" cm="1">
        <f t="array" ref="M2114">_xlfn.XLOOKUP(TEXT(A2114, "mmm-yy"), TEXT([2]GASOLINE!$B$5:$B$208, "mmm-yy"), [2]GASOLINE!$C$5:$C$208, "Not Found")</f>
        <v>7481.5475015822494</v>
      </c>
      <c r="N2114" cm="1">
        <f t="array" ref="N2114">_xlfn.XLOOKUP(TEXT(A2114, "mmm-yy"), TEXT([2]RUNS!$B$5:$B$208, "mmm-yy"), [2]RUNS!$BM$5:$BM$208, "Not Found")</f>
        <v>0.85936862916213763</v>
      </c>
    </row>
    <row r="2115" spans="1:14" x14ac:dyDescent="0.25">
      <c r="A2115" s="1">
        <f>'[1]Global_Spot Prices'!$B3424</f>
        <v>44964</v>
      </c>
      <c r="B2115">
        <f>_xlfn.XLOOKUP(A2115,'[1]Global_Spot Prices'!$B:$B,'[1]Global_Spot Prices'!$BS:$BS)</f>
        <v>16.230000000000004</v>
      </c>
      <c r="C2115">
        <f>_xlfn.XLOOKUP(A2115,'[1]Global_Spot Prices'!$B:$B,'[1]Global_Spot Prices'!$E:$E)</f>
        <v>80.41</v>
      </c>
      <c r="D2115">
        <f>_xlfn.XLOOKUP(A2115,'[1]Global_Spot Prices'!$B:$B,'[1]Global_Spot Prices'!$D:$D)</f>
        <v>82.11</v>
      </c>
      <c r="E2115">
        <f>_xlfn.XLOOKUP(A2115,'[1]Global_Spot Prices'!$B:$B,'[1]Global_Spot Prices'!$H:$H)</f>
        <v>72.989999999999995</v>
      </c>
      <c r="F2115">
        <f>_xlfn.XLOOKUP(A2115,'[1]Global_Spot Prices'!$B:$B,'[1]Global_Spot Prices'!$I:$I)</f>
        <v>96.64</v>
      </c>
      <c r="G2115" cm="1">
        <f t="array" ref="G2115">_xlfn.XLOOKUP(TEXT(A2115, "mmm-yy"), TEXT([2]RUNS!$B$5:$B$208, "mmm-yy"), [2]RUNS!$D$5:$D$208, "Not Found")</f>
        <v>31378.384567185887</v>
      </c>
      <c r="H2115" cm="1">
        <f t="array" ref="H2115">SUMPRODUCT(
    --(TEXT('[3]Global Weekly Stock (EWSuez'!$B$4:$B$2000,"mmm-yy")=TEXT(A2115,"mmm-yy")),
    '[3]Global Weekly Stock (EWSuez'!$E$4:$E$2000)
/
SUMPRODUCT(
    --(TEXT('[3]Global Weekly Stock (EWSuez'!$B$4:$B$2000,"mmm-yy")=TEXT(A2115,"mmm-yy"))
)</f>
        <v>16767.75</v>
      </c>
      <c r="I2115">
        <f>_xlfn.XLOOKUP(A2115,[1]ForwardDeriv!$D:$D,[1]ForwardDeriv!$AJ:$AJ)</f>
        <v>1.5999999999999943</v>
      </c>
      <c r="J2115" cm="1">
        <f t="array" ref="J2115">_xlfn.XLOOKUP(TEXT(A2115, "mmm-yy"), TEXT([2]GASOLINE!$B$5:$B$208, "mmm-yy"), [2]GASOLINE!$IR$5:$IR$208, "Not Found")</f>
        <v>26.892802507155352</v>
      </c>
      <c r="K2115" cm="1">
        <f t="array" ref="K2115">_xlfn.XLOOKUP(TEXT(A2115, "mmm-yy"), TEXT([2]GASOLINE!$B$5:$B$208, "mmm-yy"), [2]GASOLINE!$IK$5:$IK$208, "Not Found")</f>
        <v>221.99001483885769</v>
      </c>
      <c r="L2115">
        <f t="shared" ref="L2115:L2178" si="33">IF(OR(MONTH(A2115)=6, MONTH(A2115)=7, MONTH(A2115)=8, MONTH(A2115)=9), 1, 0)</f>
        <v>0</v>
      </c>
      <c r="M2115" cm="1">
        <f t="array" ref="M2115">_xlfn.XLOOKUP(TEXT(A2115, "mmm-yy"), TEXT([2]GASOLINE!$B$5:$B$208, "mmm-yy"), [2]GASOLINE!$C$5:$C$208, "Not Found")</f>
        <v>7481.5475015822494</v>
      </c>
      <c r="N2115" cm="1">
        <f t="array" ref="N2115">_xlfn.XLOOKUP(TEXT(A2115, "mmm-yy"), TEXT([2]RUNS!$B$5:$B$208, "mmm-yy"), [2]RUNS!$BM$5:$BM$208, "Not Found")</f>
        <v>0.85936862916213763</v>
      </c>
    </row>
    <row r="2116" spans="1:14" x14ac:dyDescent="0.25">
      <c r="A2116" s="1">
        <f>'[1]Global_Spot Prices'!$B3425</f>
        <v>44965</v>
      </c>
      <c r="B2116">
        <f>_xlfn.XLOOKUP(A2116,'[1]Global_Spot Prices'!$B:$B,'[1]Global_Spot Prices'!$BS:$BS)</f>
        <v>16.759999999999991</v>
      </c>
      <c r="C2116">
        <f>_xlfn.XLOOKUP(A2116,'[1]Global_Spot Prices'!$B:$B,'[1]Global_Spot Prices'!$E:$E)</f>
        <v>81.900000000000006</v>
      </c>
      <c r="D2116">
        <f>_xlfn.XLOOKUP(A2116,'[1]Global_Spot Prices'!$B:$B,'[1]Global_Spot Prices'!$D:$D)</f>
        <v>83.144999999999996</v>
      </c>
      <c r="E2116">
        <f>_xlfn.XLOOKUP(A2116,'[1]Global_Spot Prices'!$B:$B,'[1]Global_Spot Prices'!$H:$H)</f>
        <v>74.760000000000005</v>
      </c>
      <c r="F2116">
        <f>_xlfn.XLOOKUP(A2116,'[1]Global_Spot Prices'!$B:$B,'[1]Global_Spot Prices'!$I:$I)</f>
        <v>98.66</v>
      </c>
      <c r="G2116" cm="1">
        <f t="array" ref="G2116">_xlfn.XLOOKUP(TEXT(A2116, "mmm-yy"), TEXT([2]RUNS!$B$5:$B$208, "mmm-yy"), [2]RUNS!$D$5:$D$208, "Not Found")</f>
        <v>31378.384567185887</v>
      </c>
      <c r="H2116" cm="1">
        <f t="array" ref="H2116">SUMPRODUCT(
    --(TEXT('[3]Global Weekly Stock (EWSuez'!$B$4:$B$2000,"mmm-yy")=TEXT(A2116,"mmm-yy")),
    '[3]Global Weekly Stock (EWSuez'!$E$4:$E$2000)
/
SUMPRODUCT(
    --(TEXT('[3]Global Weekly Stock (EWSuez'!$B$4:$B$2000,"mmm-yy")=TEXT(A2116,"mmm-yy"))
)</f>
        <v>16767.75</v>
      </c>
      <c r="I2116">
        <f>_xlfn.XLOOKUP(A2116,[1]ForwardDeriv!$D:$D,[1]ForwardDeriv!$AJ:$AJ)</f>
        <v>1.7800000000000011</v>
      </c>
      <c r="J2116" cm="1">
        <f t="array" ref="J2116">_xlfn.XLOOKUP(TEXT(A2116, "mmm-yy"), TEXT([2]GASOLINE!$B$5:$B$208, "mmm-yy"), [2]GASOLINE!$IR$5:$IR$208, "Not Found")</f>
        <v>26.892802507155352</v>
      </c>
      <c r="K2116" cm="1">
        <f t="array" ref="K2116">_xlfn.XLOOKUP(TEXT(A2116, "mmm-yy"), TEXT([2]GASOLINE!$B$5:$B$208, "mmm-yy"), [2]GASOLINE!$IK$5:$IK$208, "Not Found")</f>
        <v>221.99001483885769</v>
      </c>
      <c r="L2116">
        <f t="shared" si="33"/>
        <v>0</v>
      </c>
      <c r="M2116" cm="1">
        <f t="array" ref="M2116">_xlfn.XLOOKUP(TEXT(A2116, "mmm-yy"), TEXT([2]GASOLINE!$B$5:$B$208, "mmm-yy"), [2]GASOLINE!$C$5:$C$208, "Not Found")</f>
        <v>7481.5475015822494</v>
      </c>
      <c r="N2116" cm="1">
        <f t="array" ref="N2116">_xlfn.XLOOKUP(TEXT(A2116, "mmm-yy"), TEXT([2]RUNS!$B$5:$B$208, "mmm-yy"), [2]RUNS!$BM$5:$BM$208, "Not Found")</f>
        <v>0.85936862916213763</v>
      </c>
    </row>
    <row r="2117" spans="1:14" x14ac:dyDescent="0.25">
      <c r="A2117" s="1">
        <f>'[1]Global_Spot Prices'!$B3426</f>
        <v>44966</v>
      </c>
      <c r="B2117">
        <f>_xlfn.XLOOKUP(A2117,'[1]Global_Spot Prices'!$B:$B,'[1]Global_Spot Prices'!$BS:$BS)</f>
        <v>15.11</v>
      </c>
      <c r="C2117">
        <f>_xlfn.XLOOKUP(A2117,'[1]Global_Spot Prices'!$B:$B,'[1]Global_Spot Prices'!$E:$E)</f>
        <v>83.2</v>
      </c>
      <c r="D2117">
        <f>_xlfn.XLOOKUP(A2117,'[1]Global_Spot Prices'!$B:$B,'[1]Global_Spot Prices'!$D:$D)</f>
        <v>83.224999999999994</v>
      </c>
      <c r="E2117">
        <f>_xlfn.XLOOKUP(A2117,'[1]Global_Spot Prices'!$B:$B,'[1]Global_Spot Prices'!$H:$H)</f>
        <v>75.599999999999994</v>
      </c>
      <c r="F2117">
        <f>_xlfn.XLOOKUP(A2117,'[1]Global_Spot Prices'!$B:$B,'[1]Global_Spot Prices'!$I:$I)</f>
        <v>98.31</v>
      </c>
      <c r="G2117" cm="1">
        <f t="array" ref="G2117">_xlfn.XLOOKUP(TEXT(A2117, "mmm-yy"), TEXT([2]RUNS!$B$5:$B$208, "mmm-yy"), [2]RUNS!$D$5:$D$208, "Not Found")</f>
        <v>31378.384567185887</v>
      </c>
      <c r="H2117" cm="1">
        <f t="array" ref="H2117">SUMPRODUCT(
    --(TEXT('[3]Global Weekly Stock (EWSuez'!$B$4:$B$2000,"mmm-yy")=TEXT(A2117,"mmm-yy")),
    '[3]Global Weekly Stock (EWSuez'!$E$4:$E$2000)
/
SUMPRODUCT(
    --(TEXT('[3]Global Weekly Stock (EWSuez'!$B$4:$B$2000,"mmm-yy")=TEXT(A2117,"mmm-yy"))
)</f>
        <v>16767.75</v>
      </c>
      <c r="I2117">
        <f>_xlfn.XLOOKUP(A2117,[1]ForwardDeriv!$D:$D,[1]ForwardDeriv!$AJ:$AJ)</f>
        <v>1.6199999999999903</v>
      </c>
      <c r="J2117" cm="1">
        <f t="array" ref="J2117">_xlfn.XLOOKUP(TEXT(A2117, "mmm-yy"), TEXT([2]GASOLINE!$B$5:$B$208, "mmm-yy"), [2]GASOLINE!$IR$5:$IR$208, "Not Found")</f>
        <v>26.892802507155352</v>
      </c>
      <c r="K2117" cm="1">
        <f t="array" ref="K2117">_xlfn.XLOOKUP(TEXT(A2117, "mmm-yy"), TEXT([2]GASOLINE!$B$5:$B$208, "mmm-yy"), [2]GASOLINE!$IK$5:$IK$208, "Not Found")</f>
        <v>221.99001483885769</v>
      </c>
      <c r="L2117">
        <f t="shared" si="33"/>
        <v>0</v>
      </c>
      <c r="M2117" cm="1">
        <f t="array" ref="M2117">_xlfn.XLOOKUP(TEXT(A2117, "mmm-yy"), TEXT([2]GASOLINE!$B$5:$B$208, "mmm-yy"), [2]GASOLINE!$C$5:$C$208, "Not Found")</f>
        <v>7481.5475015822494</v>
      </c>
      <c r="N2117" cm="1">
        <f t="array" ref="N2117">_xlfn.XLOOKUP(TEXT(A2117, "mmm-yy"), TEXT([2]RUNS!$B$5:$B$208, "mmm-yy"), [2]RUNS!$BM$5:$BM$208, "Not Found")</f>
        <v>0.85936862916213763</v>
      </c>
    </row>
    <row r="2118" spans="1:14" x14ac:dyDescent="0.25">
      <c r="A2118" s="1">
        <f>'[1]Global_Spot Prices'!$B3427</f>
        <v>44967</v>
      </c>
      <c r="B2118">
        <f>_xlfn.XLOOKUP(A2118,'[1]Global_Spot Prices'!$B:$B,'[1]Global_Spot Prices'!$BS:$BS)</f>
        <v>13.829999999999998</v>
      </c>
      <c r="C2118">
        <f>_xlfn.XLOOKUP(A2118,'[1]Global_Spot Prices'!$B:$B,'[1]Global_Spot Prices'!$E:$E)</f>
        <v>83.56</v>
      </c>
      <c r="D2118">
        <f>_xlfn.XLOOKUP(A2118,'[1]Global_Spot Prices'!$B:$B,'[1]Global_Spot Prices'!$D:$D)</f>
        <v>85.605000000000004</v>
      </c>
      <c r="E2118">
        <f>_xlfn.XLOOKUP(A2118,'[1]Global_Spot Prices'!$B:$B,'[1]Global_Spot Prices'!$H:$H)</f>
        <v>76.239999999999995</v>
      </c>
      <c r="F2118">
        <f>_xlfn.XLOOKUP(A2118,'[1]Global_Spot Prices'!$B:$B,'[1]Global_Spot Prices'!$I:$I)</f>
        <v>97.39</v>
      </c>
      <c r="G2118" cm="1">
        <f t="array" ref="G2118">_xlfn.XLOOKUP(TEXT(A2118, "mmm-yy"), TEXT([2]RUNS!$B$5:$B$208, "mmm-yy"), [2]RUNS!$D$5:$D$208, "Not Found")</f>
        <v>31378.384567185887</v>
      </c>
      <c r="H2118" cm="1">
        <f t="array" ref="H2118">SUMPRODUCT(
    --(TEXT('[3]Global Weekly Stock (EWSuez'!$B$4:$B$2000,"mmm-yy")=TEXT(A2118,"mmm-yy")),
    '[3]Global Weekly Stock (EWSuez'!$E$4:$E$2000)
/
SUMPRODUCT(
    --(TEXT('[3]Global Weekly Stock (EWSuez'!$B$4:$B$2000,"mmm-yy")=TEXT(A2118,"mmm-yy"))
)</f>
        <v>16767.75</v>
      </c>
      <c r="I2118">
        <f>_xlfn.XLOOKUP(A2118,[1]ForwardDeriv!$D:$D,[1]ForwardDeriv!$AJ:$AJ)</f>
        <v>1.4000000000000057</v>
      </c>
      <c r="J2118" cm="1">
        <f t="array" ref="J2118">_xlfn.XLOOKUP(TEXT(A2118, "mmm-yy"), TEXT([2]GASOLINE!$B$5:$B$208, "mmm-yy"), [2]GASOLINE!$IR$5:$IR$208, "Not Found")</f>
        <v>26.892802507155352</v>
      </c>
      <c r="K2118" cm="1">
        <f t="array" ref="K2118">_xlfn.XLOOKUP(TEXT(A2118, "mmm-yy"), TEXT([2]GASOLINE!$B$5:$B$208, "mmm-yy"), [2]GASOLINE!$IK$5:$IK$208, "Not Found")</f>
        <v>221.99001483885769</v>
      </c>
      <c r="L2118">
        <f t="shared" si="33"/>
        <v>0</v>
      </c>
      <c r="M2118" cm="1">
        <f t="array" ref="M2118">_xlfn.XLOOKUP(TEXT(A2118, "mmm-yy"), TEXT([2]GASOLINE!$B$5:$B$208, "mmm-yy"), [2]GASOLINE!$C$5:$C$208, "Not Found")</f>
        <v>7481.5475015822494</v>
      </c>
      <c r="N2118" cm="1">
        <f t="array" ref="N2118">_xlfn.XLOOKUP(TEXT(A2118, "mmm-yy"), TEXT([2]RUNS!$B$5:$B$208, "mmm-yy"), [2]RUNS!$BM$5:$BM$208, "Not Found")</f>
        <v>0.85936862916213763</v>
      </c>
    </row>
    <row r="2119" spans="1:14" x14ac:dyDescent="0.25">
      <c r="A2119" s="1">
        <f>'[1]Global_Spot Prices'!$B3428</f>
        <v>44970</v>
      </c>
      <c r="B2119">
        <f>_xlfn.XLOOKUP(A2119,'[1]Global_Spot Prices'!$B:$B,'[1]Global_Spot Prices'!$BS:$BS)</f>
        <v>13.635000000000005</v>
      </c>
      <c r="C2119">
        <f>_xlfn.XLOOKUP(A2119,'[1]Global_Spot Prices'!$B:$B,'[1]Global_Spot Prices'!$E:$E)</f>
        <v>84.394999999999996</v>
      </c>
      <c r="D2119">
        <f>_xlfn.XLOOKUP(A2119,'[1]Global_Spot Prices'!$B:$B,'[1]Global_Spot Prices'!$D:$D)</f>
        <v>85.49</v>
      </c>
      <c r="E2119">
        <f>_xlfn.XLOOKUP(A2119,'[1]Global_Spot Prices'!$B:$B,'[1]Global_Spot Prices'!$H:$H)</f>
        <v>76.989999999999995</v>
      </c>
      <c r="F2119">
        <f>_xlfn.XLOOKUP(A2119,'[1]Global_Spot Prices'!$B:$B,'[1]Global_Spot Prices'!$I:$I)</f>
        <v>98.03</v>
      </c>
      <c r="G2119" cm="1">
        <f t="array" ref="G2119">_xlfn.XLOOKUP(TEXT(A2119, "mmm-yy"), TEXT([2]RUNS!$B$5:$B$208, "mmm-yy"), [2]RUNS!$D$5:$D$208, "Not Found")</f>
        <v>31378.384567185887</v>
      </c>
      <c r="H2119" cm="1">
        <f t="array" ref="H2119">SUMPRODUCT(
    --(TEXT('[3]Global Weekly Stock (EWSuez'!$B$4:$B$2000,"mmm-yy")=TEXT(A2119,"mmm-yy")),
    '[3]Global Weekly Stock (EWSuez'!$E$4:$E$2000)
/
SUMPRODUCT(
    --(TEXT('[3]Global Weekly Stock (EWSuez'!$B$4:$B$2000,"mmm-yy")=TEXT(A2119,"mmm-yy"))
)</f>
        <v>16767.75</v>
      </c>
      <c r="I2119">
        <f>_xlfn.XLOOKUP(A2119,[1]ForwardDeriv!$D:$D,[1]ForwardDeriv!$AJ:$AJ)</f>
        <v>1.3599999999999994</v>
      </c>
      <c r="J2119" cm="1">
        <f t="array" ref="J2119">_xlfn.XLOOKUP(TEXT(A2119, "mmm-yy"), TEXT([2]GASOLINE!$B$5:$B$208, "mmm-yy"), [2]GASOLINE!$IR$5:$IR$208, "Not Found")</f>
        <v>26.892802507155352</v>
      </c>
      <c r="K2119" cm="1">
        <f t="array" ref="K2119">_xlfn.XLOOKUP(TEXT(A2119, "mmm-yy"), TEXT([2]GASOLINE!$B$5:$B$208, "mmm-yy"), [2]GASOLINE!$IK$5:$IK$208, "Not Found")</f>
        <v>221.99001483885769</v>
      </c>
      <c r="L2119">
        <f t="shared" si="33"/>
        <v>0</v>
      </c>
      <c r="M2119" cm="1">
        <f t="array" ref="M2119">_xlfn.XLOOKUP(TEXT(A2119, "mmm-yy"), TEXT([2]GASOLINE!$B$5:$B$208, "mmm-yy"), [2]GASOLINE!$C$5:$C$208, "Not Found")</f>
        <v>7481.5475015822494</v>
      </c>
      <c r="N2119" cm="1">
        <f t="array" ref="N2119">_xlfn.XLOOKUP(TEXT(A2119, "mmm-yy"), TEXT([2]RUNS!$B$5:$B$208, "mmm-yy"), [2]RUNS!$BM$5:$BM$208, "Not Found")</f>
        <v>0.85936862916213763</v>
      </c>
    </row>
    <row r="2120" spans="1:14" x14ac:dyDescent="0.25">
      <c r="A2120" s="1">
        <f>'[1]Global_Spot Prices'!$B3429</f>
        <v>44971</v>
      </c>
      <c r="B2120">
        <f>_xlfn.XLOOKUP(A2120,'[1]Global_Spot Prices'!$B:$B,'[1]Global_Spot Prices'!$BS:$BS)</f>
        <v>13.944999999999993</v>
      </c>
      <c r="C2120">
        <f>_xlfn.XLOOKUP(A2120,'[1]Global_Spot Prices'!$B:$B,'[1]Global_Spot Prices'!$E:$E)</f>
        <v>84.875</v>
      </c>
      <c r="D2120">
        <f>_xlfn.XLOOKUP(A2120,'[1]Global_Spot Prices'!$B:$B,'[1]Global_Spot Prices'!$D:$D)</f>
        <v>84.52</v>
      </c>
      <c r="E2120">
        <f>_xlfn.XLOOKUP(A2120,'[1]Global_Spot Prices'!$B:$B,'[1]Global_Spot Prices'!$H:$H)</f>
        <v>78.040000000000006</v>
      </c>
      <c r="F2120">
        <f>_xlfn.XLOOKUP(A2120,'[1]Global_Spot Prices'!$B:$B,'[1]Global_Spot Prices'!$I:$I)</f>
        <v>98.82</v>
      </c>
      <c r="G2120" cm="1">
        <f t="array" ref="G2120">_xlfn.XLOOKUP(TEXT(A2120, "mmm-yy"), TEXT([2]RUNS!$B$5:$B$208, "mmm-yy"), [2]RUNS!$D$5:$D$208, "Not Found")</f>
        <v>31378.384567185887</v>
      </c>
      <c r="H2120" cm="1">
        <f t="array" ref="H2120">SUMPRODUCT(
    --(TEXT('[3]Global Weekly Stock (EWSuez'!$B$4:$B$2000,"mmm-yy")=TEXT(A2120,"mmm-yy")),
    '[3]Global Weekly Stock (EWSuez'!$E$4:$E$2000)
/
SUMPRODUCT(
    --(TEXT('[3]Global Weekly Stock (EWSuez'!$B$4:$B$2000,"mmm-yy")=TEXT(A2120,"mmm-yy"))
)</f>
        <v>16767.75</v>
      </c>
      <c r="I2120">
        <f>_xlfn.XLOOKUP(A2120,[1]ForwardDeriv!$D:$D,[1]ForwardDeriv!$AJ:$AJ)</f>
        <v>1.5</v>
      </c>
      <c r="J2120" cm="1">
        <f t="array" ref="J2120">_xlfn.XLOOKUP(TEXT(A2120, "mmm-yy"), TEXT([2]GASOLINE!$B$5:$B$208, "mmm-yy"), [2]GASOLINE!$IR$5:$IR$208, "Not Found")</f>
        <v>26.892802507155352</v>
      </c>
      <c r="K2120" cm="1">
        <f t="array" ref="K2120">_xlfn.XLOOKUP(TEXT(A2120, "mmm-yy"), TEXT([2]GASOLINE!$B$5:$B$208, "mmm-yy"), [2]GASOLINE!$IK$5:$IK$208, "Not Found")</f>
        <v>221.99001483885769</v>
      </c>
      <c r="L2120">
        <f t="shared" si="33"/>
        <v>0</v>
      </c>
      <c r="M2120" cm="1">
        <f t="array" ref="M2120">_xlfn.XLOOKUP(TEXT(A2120, "mmm-yy"), TEXT([2]GASOLINE!$B$5:$B$208, "mmm-yy"), [2]GASOLINE!$C$5:$C$208, "Not Found")</f>
        <v>7481.5475015822494</v>
      </c>
      <c r="N2120" cm="1">
        <f t="array" ref="N2120">_xlfn.XLOOKUP(TEXT(A2120, "mmm-yy"), TEXT([2]RUNS!$B$5:$B$208, "mmm-yy"), [2]RUNS!$BM$5:$BM$208, "Not Found")</f>
        <v>0.85936862916213763</v>
      </c>
    </row>
    <row r="2121" spans="1:14" x14ac:dyDescent="0.25">
      <c r="A2121" s="1">
        <f>'[1]Global_Spot Prices'!$B3430</f>
        <v>44972</v>
      </c>
      <c r="B2121">
        <f>_xlfn.XLOOKUP(A2121,'[1]Global_Spot Prices'!$B:$B,'[1]Global_Spot Prices'!$BS:$BS)</f>
        <v>13.86</v>
      </c>
      <c r="C2121">
        <f>_xlfn.XLOOKUP(A2121,'[1]Global_Spot Prices'!$B:$B,'[1]Global_Spot Prices'!$E:$E)</f>
        <v>83.34</v>
      </c>
      <c r="D2121">
        <f>_xlfn.XLOOKUP(A2121,'[1]Global_Spot Prices'!$B:$B,'[1]Global_Spot Prices'!$D:$D)</f>
        <v>83.49</v>
      </c>
      <c r="E2121">
        <f>_xlfn.XLOOKUP(A2121,'[1]Global_Spot Prices'!$B:$B,'[1]Global_Spot Prices'!$H:$H)</f>
        <v>77.569999999999993</v>
      </c>
      <c r="F2121">
        <f>_xlfn.XLOOKUP(A2121,'[1]Global_Spot Prices'!$B:$B,'[1]Global_Spot Prices'!$I:$I)</f>
        <v>97.2</v>
      </c>
      <c r="G2121" cm="1">
        <f t="array" ref="G2121">_xlfn.XLOOKUP(TEXT(A2121, "mmm-yy"), TEXT([2]RUNS!$B$5:$B$208, "mmm-yy"), [2]RUNS!$D$5:$D$208, "Not Found")</f>
        <v>31378.384567185887</v>
      </c>
      <c r="H2121" cm="1">
        <f t="array" ref="H2121">SUMPRODUCT(
    --(TEXT('[3]Global Weekly Stock (EWSuez'!$B$4:$B$2000,"mmm-yy")=TEXT(A2121,"mmm-yy")),
    '[3]Global Weekly Stock (EWSuez'!$E$4:$E$2000)
/
SUMPRODUCT(
    --(TEXT('[3]Global Weekly Stock (EWSuez'!$B$4:$B$2000,"mmm-yy")=TEXT(A2121,"mmm-yy"))
)</f>
        <v>16767.75</v>
      </c>
      <c r="I2121">
        <f>_xlfn.XLOOKUP(A2121,[1]ForwardDeriv!$D:$D,[1]ForwardDeriv!$AJ:$AJ)</f>
        <v>1.269999999999996</v>
      </c>
      <c r="J2121" cm="1">
        <f t="array" ref="J2121">_xlfn.XLOOKUP(TEXT(A2121, "mmm-yy"), TEXT([2]GASOLINE!$B$5:$B$208, "mmm-yy"), [2]GASOLINE!$IR$5:$IR$208, "Not Found")</f>
        <v>26.892802507155352</v>
      </c>
      <c r="K2121" cm="1">
        <f t="array" ref="K2121">_xlfn.XLOOKUP(TEXT(A2121, "mmm-yy"), TEXT([2]GASOLINE!$B$5:$B$208, "mmm-yy"), [2]GASOLINE!$IK$5:$IK$208, "Not Found")</f>
        <v>221.99001483885769</v>
      </c>
      <c r="L2121">
        <f t="shared" si="33"/>
        <v>0</v>
      </c>
      <c r="M2121" cm="1">
        <f t="array" ref="M2121">_xlfn.XLOOKUP(TEXT(A2121, "mmm-yy"), TEXT([2]GASOLINE!$B$5:$B$208, "mmm-yy"), [2]GASOLINE!$C$5:$C$208, "Not Found")</f>
        <v>7481.5475015822494</v>
      </c>
      <c r="N2121" cm="1">
        <f t="array" ref="N2121">_xlfn.XLOOKUP(TEXT(A2121, "mmm-yy"), TEXT([2]RUNS!$B$5:$B$208, "mmm-yy"), [2]RUNS!$BM$5:$BM$208, "Not Found")</f>
        <v>0.85936862916213763</v>
      </c>
    </row>
    <row r="2122" spans="1:14" x14ac:dyDescent="0.25">
      <c r="A2122" s="1">
        <f>'[1]Global_Spot Prices'!$B3431</f>
        <v>44973</v>
      </c>
      <c r="B2122">
        <f>_xlfn.XLOOKUP(A2122,'[1]Global_Spot Prices'!$B:$B,'[1]Global_Spot Prices'!$BS:$BS)</f>
        <v>14.239999999999995</v>
      </c>
      <c r="C2122">
        <f>_xlfn.XLOOKUP(A2122,'[1]Global_Spot Prices'!$B:$B,'[1]Global_Spot Prices'!$E:$E)</f>
        <v>84.01</v>
      </c>
      <c r="D2122">
        <f>_xlfn.XLOOKUP(A2122,'[1]Global_Spot Prices'!$B:$B,'[1]Global_Spot Prices'!$D:$D)</f>
        <v>84.14</v>
      </c>
      <c r="E2122">
        <f>_xlfn.XLOOKUP(A2122,'[1]Global_Spot Prices'!$B:$B,'[1]Global_Spot Prices'!$H:$H)</f>
        <v>78.45</v>
      </c>
      <c r="F2122">
        <f>_xlfn.XLOOKUP(A2122,'[1]Global_Spot Prices'!$B:$B,'[1]Global_Spot Prices'!$I:$I)</f>
        <v>98.25</v>
      </c>
      <c r="G2122" cm="1">
        <f t="array" ref="G2122">_xlfn.XLOOKUP(TEXT(A2122, "mmm-yy"), TEXT([2]RUNS!$B$5:$B$208, "mmm-yy"), [2]RUNS!$D$5:$D$208, "Not Found")</f>
        <v>31378.384567185887</v>
      </c>
      <c r="H2122" cm="1">
        <f t="array" ref="H2122">SUMPRODUCT(
    --(TEXT('[3]Global Weekly Stock (EWSuez'!$B$4:$B$2000,"mmm-yy")=TEXT(A2122,"mmm-yy")),
    '[3]Global Weekly Stock (EWSuez'!$E$4:$E$2000)
/
SUMPRODUCT(
    --(TEXT('[3]Global Weekly Stock (EWSuez'!$B$4:$B$2000,"mmm-yy")=TEXT(A2122,"mmm-yy"))
)</f>
        <v>16767.75</v>
      </c>
      <c r="I2122">
        <f>_xlfn.XLOOKUP(A2122,[1]ForwardDeriv!$D:$D,[1]ForwardDeriv!$AJ:$AJ)</f>
        <v>1.2700000000000102</v>
      </c>
      <c r="J2122" cm="1">
        <f t="array" ref="J2122">_xlfn.XLOOKUP(TEXT(A2122, "mmm-yy"), TEXT([2]GASOLINE!$B$5:$B$208, "mmm-yy"), [2]GASOLINE!$IR$5:$IR$208, "Not Found")</f>
        <v>26.892802507155352</v>
      </c>
      <c r="K2122" cm="1">
        <f t="array" ref="K2122">_xlfn.XLOOKUP(TEXT(A2122, "mmm-yy"), TEXT([2]GASOLINE!$B$5:$B$208, "mmm-yy"), [2]GASOLINE!$IK$5:$IK$208, "Not Found")</f>
        <v>221.99001483885769</v>
      </c>
      <c r="L2122">
        <f t="shared" si="33"/>
        <v>0</v>
      </c>
      <c r="M2122" cm="1">
        <f t="array" ref="M2122">_xlfn.XLOOKUP(TEXT(A2122, "mmm-yy"), TEXT([2]GASOLINE!$B$5:$B$208, "mmm-yy"), [2]GASOLINE!$C$5:$C$208, "Not Found")</f>
        <v>7481.5475015822494</v>
      </c>
      <c r="N2122" cm="1">
        <f t="array" ref="N2122">_xlfn.XLOOKUP(TEXT(A2122, "mmm-yy"), TEXT([2]RUNS!$B$5:$B$208, "mmm-yy"), [2]RUNS!$BM$5:$BM$208, "Not Found")</f>
        <v>0.85936862916213763</v>
      </c>
    </row>
    <row r="2123" spans="1:14" x14ac:dyDescent="0.25">
      <c r="A2123" s="1">
        <f>'[1]Global_Spot Prices'!$B3432</f>
        <v>44974</v>
      </c>
      <c r="B2123">
        <f>_xlfn.XLOOKUP(A2123,'[1]Global_Spot Prices'!$B:$B,'[1]Global_Spot Prices'!$BS:$BS)</f>
        <v>11.430000000000007</v>
      </c>
      <c r="C2123">
        <f>_xlfn.XLOOKUP(A2123,'[1]Global_Spot Prices'!$B:$B,'[1]Global_Spot Prices'!$E:$E)</f>
        <v>82.24</v>
      </c>
      <c r="D2123">
        <f>_xlfn.XLOOKUP(A2123,'[1]Global_Spot Prices'!$B:$B,'[1]Global_Spot Prices'!$D:$D)</f>
        <v>82.075000000000003</v>
      </c>
      <c r="E2123">
        <f>_xlfn.XLOOKUP(A2123,'[1]Global_Spot Prices'!$B:$B,'[1]Global_Spot Prices'!$H:$H)</f>
        <v>77.77</v>
      </c>
      <c r="F2123">
        <f>_xlfn.XLOOKUP(A2123,'[1]Global_Spot Prices'!$B:$B,'[1]Global_Spot Prices'!$I:$I)</f>
        <v>93.67</v>
      </c>
      <c r="G2123" cm="1">
        <f t="array" ref="G2123">_xlfn.XLOOKUP(TEXT(A2123, "mmm-yy"), TEXT([2]RUNS!$B$5:$B$208, "mmm-yy"), [2]RUNS!$D$5:$D$208, "Not Found")</f>
        <v>31378.384567185887</v>
      </c>
      <c r="H2123" cm="1">
        <f t="array" ref="H2123">SUMPRODUCT(
    --(TEXT('[3]Global Weekly Stock (EWSuez'!$B$4:$B$2000,"mmm-yy")=TEXT(A2123,"mmm-yy")),
    '[3]Global Weekly Stock (EWSuez'!$E$4:$E$2000)
/
SUMPRODUCT(
    --(TEXT('[3]Global Weekly Stock (EWSuez'!$B$4:$B$2000,"mmm-yy")=TEXT(A2123,"mmm-yy"))
)</f>
        <v>16767.75</v>
      </c>
      <c r="I2123">
        <f>_xlfn.XLOOKUP(A2123,[1]ForwardDeriv!$D:$D,[1]ForwardDeriv!$AJ:$AJ)</f>
        <v>0.71999999999999886</v>
      </c>
      <c r="J2123" cm="1">
        <f t="array" ref="J2123">_xlfn.XLOOKUP(TEXT(A2123, "mmm-yy"), TEXT([2]GASOLINE!$B$5:$B$208, "mmm-yy"), [2]GASOLINE!$IR$5:$IR$208, "Not Found")</f>
        <v>26.892802507155352</v>
      </c>
      <c r="K2123" cm="1">
        <f t="array" ref="K2123">_xlfn.XLOOKUP(TEXT(A2123, "mmm-yy"), TEXT([2]GASOLINE!$B$5:$B$208, "mmm-yy"), [2]GASOLINE!$IK$5:$IK$208, "Not Found")</f>
        <v>221.99001483885769</v>
      </c>
      <c r="L2123">
        <f t="shared" si="33"/>
        <v>0</v>
      </c>
      <c r="M2123" cm="1">
        <f t="array" ref="M2123">_xlfn.XLOOKUP(TEXT(A2123, "mmm-yy"), TEXT([2]GASOLINE!$B$5:$B$208, "mmm-yy"), [2]GASOLINE!$C$5:$C$208, "Not Found")</f>
        <v>7481.5475015822494</v>
      </c>
      <c r="N2123" cm="1">
        <f t="array" ref="N2123">_xlfn.XLOOKUP(TEXT(A2123, "mmm-yy"), TEXT([2]RUNS!$B$5:$B$208, "mmm-yy"), [2]RUNS!$BM$5:$BM$208, "Not Found")</f>
        <v>0.85936862916213763</v>
      </c>
    </row>
    <row r="2124" spans="1:14" x14ac:dyDescent="0.25">
      <c r="A2124" s="1">
        <f>'[1]Global_Spot Prices'!$B3433</f>
        <v>44977</v>
      </c>
      <c r="B2124">
        <f>_xlfn.XLOOKUP(A2124,'[1]Global_Spot Prices'!$B:$B,'[1]Global_Spot Prices'!$BS:$BS)</f>
        <v>12.760000000000005</v>
      </c>
      <c r="C2124">
        <f>_xlfn.XLOOKUP(A2124,'[1]Global_Spot Prices'!$B:$B,'[1]Global_Spot Prices'!$E:$E)</f>
        <v>82.39</v>
      </c>
      <c r="D2124">
        <f>_xlfn.XLOOKUP(A2124,'[1]Global_Spot Prices'!$B:$B,'[1]Global_Spot Prices'!$D:$D)</f>
        <v>82.34</v>
      </c>
      <c r="E2124">
        <f>_xlfn.XLOOKUP(A2124,'[1]Global_Spot Prices'!$B:$B,'[1]Global_Spot Prices'!$H:$H)</f>
        <v>78.02</v>
      </c>
      <c r="F2124">
        <f>_xlfn.XLOOKUP(A2124,'[1]Global_Spot Prices'!$B:$B,'[1]Global_Spot Prices'!$I:$I)</f>
        <v>95.15</v>
      </c>
      <c r="G2124" cm="1">
        <f t="array" ref="G2124">_xlfn.XLOOKUP(TEXT(A2124, "mmm-yy"), TEXT([2]RUNS!$B$5:$B$208, "mmm-yy"), [2]RUNS!$D$5:$D$208, "Not Found")</f>
        <v>31378.384567185887</v>
      </c>
      <c r="H2124" cm="1">
        <f t="array" ref="H2124">SUMPRODUCT(
    --(TEXT('[3]Global Weekly Stock (EWSuez'!$B$4:$B$2000,"mmm-yy")=TEXT(A2124,"mmm-yy")),
    '[3]Global Weekly Stock (EWSuez'!$E$4:$E$2000)
/
SUMPRODUCT(
    --(TEXT('[3]Global Weekly Stock (EWSuez'!$B$4:$B$2000,"mmm-yy")=TEXT(A2124,"mmm-yy"))
)</f>
        <v>16767.75</v>
      </c>
      <c r="I2124">
        <f>_xlfn.XLOOKUP(A2124,[1]ForwardDeriv!$D:$D,[1]ForwardDeriv!$AJ:$AJ)</f>
        <v>0.87000000000000455</v>
      </c>
      <c r="J2124" cm="1">
        <f t="array" ref="J2124">_xlfn.XLOOKUP(TEXT(A2124, "mmm-yy"), TEXT([2]GASOLINE!$B$5:$B$208, "mmm-yy"), [2]GASOLINE!$IR$5:$IR$208, "Not Found")</f>
        <v>26.892802507155352</v>
      </c>
      <c r="K2124" cm="1">
        <f t="array" ref="K2124">_xlfn.XLOOKUP(TEXT(A2124, "mmm-yy"), TEXT([2]GASOLINE!$B$5:$B$208, "mmm-yy"), [2]GASOLINE!$IK$5:$IK$208, "Not Found")</f>
        <v>221.99001483885769</v>
      </c>
      <c r="L2124">
        <f t="shared" si="33"/>
        <v>0</v>
      </c>
      <c r="M2124" cm="1">
        <f t="array" ref="M2124">_xlfn.XLOOKUP(TEXT(A2124, "mmm-yy"), TEXT([2]GASOLINE!$B$5:$B$208, "mmm-yy"), [2]GASOLINE!$C$5:$C$208, "Not Found")</f>
        <v>7481.5475015822494</v>
      </c>
      <c r="N2124" cm="1">
        <f t="array" ref="N2124">_xlfn.XLOOKUP(TEXT(A2124, "mmm-yy"), TEXT([2]RUNS!$B$5:$B$208, "mmm-yy"), [2]RUNS!$BM$5:$BM$208, "Not Found")</f>
        <v>0.85936862916213763</v>
      </c>
    </row>
    <row r="2125" spans="1:14" x14ac:dyDescent="0.25">
      <c r="A2125" s="1">
        <f>'[1]Global_Spot Prices'!$B3434</f>
        <v>44978</v>
      </c>
      <c r="B2125">
        <f>_xlfn.XLOOKUP(A2125,'[1]Global_Spot Prices'!$B:$B,'[1]Global_Spot Prices'!$BS:$BS)</f>
        <v>14.079999999999998</v>
      </c>
      <c r="C2125">
        <f>_xlfn.XLOOKUP(A2125,'[1]Global_Spot Prices'!$B:$B,'[1]Global_Spot Prices'!$E:$E)</f>
        <v>81.94</v>
      </c>
      <c r="D2125">
        <f>_xlfn.XLOOKUP(A2125,'[1]Global_Spot Prices'!$B:$B,'[1]Global_Spot Prices'!$D:$D)</f>
        <v>82</v>
      </c>
      <c r="E2125">
        <f>_xlfn.XLOOKUP(A2125,'[1]Global_Spot Prices'!$B:$B,'[1]Global_Spot Prices'!$H:$H)</f>
        <v>77.95</v>
      </c>
      <c r="F2125">
        <f>_xlfn.XLOOKUP(A2125,'[1]Global_Spot Prices'!$B:$B,'[1]Global_Spot Prices'!$I:$I)</f>
        <v>96.02</v>
      </c>
      <c r="G2125" cm="1">
        <f t="array" ref="G2125">_xlfn.XLOOKUP(TEXT(A2125, "mmm-yy"), TEXT([2]RUNS!$B$5:$B$208, "mmm-yy"), [2]RUNS!$D$5:$D$208, "Not Found")</f>
        <v>31378.384567185887</v>
      </c>
      <c r="H2125" cm="1">
        <f t="array" ref="H2125">SUMPRODUCT(
    --(TEXT('[3]Global Weekly Stock (EWSuez'!$B$4:$B$2000,"mmm-yy")=TEXT(A2125,"mmm-yy")),
    '[3]Global Weekly Stock (EWSuez'!$E$4:$E$2000)
/
SUMPRODUCT(
    --(TEXT('[3]Global Weekly Stock (EWSuez'!$B$4:$B$2000,"mmm-yy")=TEXT(A2125,"mmm-yy"))
)</f>
        <v>16767.75</v>
      </c>
      <c r="I2125">
        <f>_xlfn.XLOOKUP(A2125,[1]ForwardDeriv!$D:$D,[1]ForwardDeriv!$AJ:$AJ)</f>
        <v>1.0300000000000011</v>
      </c>
      <c r="J2125" cm="1">
        <f t="array" ref="J2125">_xlfn.XLOOKUP(TEXT(A2125, "mmm-yy"), TEXT([2]GASOLINE!$B$5:$B$208, "mmm-yy"), [2]GASOLINE!$IR$5:$IR$208, "Not Found")</f>
        <v>26.892802507155352</v>
      </c>
      <c r="K2125" cm="1">
        <f t="array" ref="K2125">_xlfn.XLOOKUP(TEXT(A2125, "mmm-yy"), TEXT([2]GASOLINE!$B$5:$B$208, "mmm-yy"), [2]GASOLINE!$IK$5:$IK$208, "Not Found")</f>
        <v>221.99001483885769</v>
      </c>
      <c r="L2125">
        <f t="shared" si="33"/>
        <v>0</v>
      </c>
      <c r="M2125" cm="1">
        <f t="array" ref="M2125">_xlfn.XLOOKUP(TEXT(A2125, "mmm-yy"), TEXT([2]GASOLINE!$B$5:$B$208, "mmm-yy"), [2]GASOLINE!$C$5:$C$208, "Not Found")</f>
        <v>7481.5475015822494</v>
      </c>
      <c r="N2125" cm="1">
        <f t="array" ref="N2125">_xlfn.XLOOKUP(TEXT(A2125, "mmm-yy"), TEXT([2]RUNS!$B$5:$B$208, "mmm-yy"), [2]RUNS!$BM$5:$BM$208, "Not Found")</f>
        <v>0.85936862916213763</v>
      </c>
    </row>
    <row r="2126" spans="1:14" x14ac:dyDescent="0.25">
      <c r="A2126" s="1">
        <f>'[1]Global_Spot Prices'!$B3435</f>
        <v>44979</v>
      </c>
      <c r="B2126">
        <f>_xlfn.XLOOKUP(A2126,'[1]Global_Spot Prices'!$B:$B,'[1]Global_Spot Prices'!$BS:$BS)</f>
        <v>13.689999999999998</v>
      </c>
      <c r="C2126">
        <f>_xlfn.XLOOKUP(A2126,'[1]Global_Spot Prices'!$B:$B,'[1]Global_Spot Prices'!$E:$E)</f>
        <v>80.8</v>
      </c>
      <c r="D2126">
        <f>_xlfn.XLOOKUP(A2126,'[1]Global_Spot Prices'!$B:$B,'[1]Global_Spot Prices'!$D:$D)</f>
        <v>80.25</v>
      </c>
      <c r="E2126">
        <f>_xlfn.XLOOKUP(A2126,'[1]Global_Spot Prices'!$B:$B,'[1]Global_Spot Prices'!$H:$H)</f>
        <v>77.2</v>
      </c>
      <c r="F2126">
        <f>_xlfn.XLOOKUP(A2126,'[1]Global_Spot Prices'!$B:$B,'[1]Global_Spot Prices'!$I:$I)</f>
        <v>94.49</v>
      </c>
      <c r="G2126" cm="1">
        <f t="array" ref="G2126">_xlfn.XLOOKUP(TEXT(A2126, "mmm-yy"), TEXT([2]RUNS!$B$5:$B$208, "mmm-yy"), [2]RUNS!$D$5:$D$208, "Not Found")</f>
        <v>31378.384567185887</v>
      </c>
      <c r="H2126" cm="1">
        <f t="array" ref="H2126">SUMPRODUCT(
    --(TEXT('[3]Global Weekly Stock (EWSuez'!$B$4:$B$2000,"mmm-yy")=TEXT(A2126,"mmm-yy")),
    '[3]Global Weekly Stock (EWSuez'!$E$4:$E$2000)
/
SUMPRODUCT(
    --(TEXT('[3]Global Weekly Stock (EWSuez'!$B$4:$B$2000,"mmm-yy")=TEXT(A2126,"mmm-yy"))
)</f>
        <v>16767.75</v>
      </c>
      <c r="I2126">
        <f>_xlfn.XLOOKUP(A2126,[1]ForwardDeriv!$D:$D,[1]ForwardDeriv!$AJ:$AJ)</f>
        <v>1.0300000000000011</v>
      </c>
      <c r="J2126" cm="1">
        <f t="array" ref="J2126">_xlfn.XLOOKUP(TEXT(A2126, "mmm-yy"), TEXT([2]GASOLINE!$B$5:$B$208, "mmm-yy"), [2]GASOLINE!$IR$5:$IR$208, "Not Found")</f>
        <v>26.892802507155352</v>
      </c>
      <c r="K2126" cm="1">
        <f t="array" ref="K2126">_xlfn.XLOOKUP(TEXT(A2126, "mmm-yy"), TEXT([2]GASOLINE!$B$5:$B$208, "mmm-yy"), [2]GASOLINE!$IK$5:$IK$208, "Not Found")</f>
        <v>221.99001483885769</v>
      </c>
      <c r="L2126">
        <f t="shared" si="33"/>
        <v>0</v>
      </c>
      <c r="M2126" cm="1">
        <f t="array" ref="M2126">_xlfn.XLOOKUP(TEXT(A2126, "mmm-yy"), TEXT([2]GASOLINE!$B$5:$B$208, "mmm-yy"), [2]GASOLINE!$C$5:$C$208, "Not Found")</f>
        <v>7481.5475015822494</v>
      </c>
      <c r="N2126" cm="1">
        <f t="array" ref="N2126">_xlfn.XLOOKUP(TEXT(A2126, "mmm-yy"), TEXT([2]RUNS!$B$5:$B$208, "mmm-yy"), [2]RUNS!$BM$5:$BM$208, "Not Found")</f>
        <v>0.85936862916213763</v>
      </c>
    </row>
    <row r="2127" spans="1:14" x14ac:dyDescent="0.25">
      <c r="A2127" s="1">
        <f>'[1]Global_Spot Prices'!$B3436</f>
        <v>44980</v>
      </c>
      <c r="B2127">
        <f>_xlfn.XLOOKUP(A2127,'[1]Global_Spot Prices'!$B:$B,'[1]Global_Spot Prices'!$BS:$BS)</f>
        <v>12.159999999999997</v>
      </c>
      <c r="C2127">
        <f>_xlfn.XLOOKUP(A2127,'[1]Global_Spot Prices'!$B:$B,'[1]Global_Spot Prices'!$E:$E)</f>
        <v>80.05</v>
      </c>
      <c r="D2127">
        <f>_xlfn.XLOOKUP(A2127,'[1]Global_Spot Prices'!$B:$B,'[1]Global_Spot Prices'!$D:$D)</f>
        <v>80.94</v>
      </c>
      <c r="E2127">
        <f>_xlfn.XLOOKUP(A2127,'[1]Global_Spot Prices'!$B:$B,'[1]Global_Spot Prices'!$H:$H)</f>
        <v>75.77</v>
      </c>
      <c r="F2127">
        <f>_xlfn.XLOOKUP(A2127,'[1]Global_Spot Prices'!$B:$B,'[1]Global_Spot Prices'!$I:$I)</f>
        <v>92.21</v>
      </c>
      <c r="G2127" cm="1">
        <f t="array" ref="G2127">_xlfn.XLOOKUP(TEXT(A2127, "mmm-yy"), TEXT([2]RUNS!$B$5:$B$208, "mmm-yy"), [2]RUNS!$D$5:$D$208, "Not Found")</f>
        <v>31378.384567185887</v>
      </c>
      <c r="H2127" cm="1">
        <f t="array" ref="H2127">SUMPRODUCT(
    --(TEXT('[3]Global Weekly Stock (EWSuez'!$B$4:$B$2000,"mmm-yy")=TEXT(A2127,"mmm-yy")),
    '[3]Global Weekly Stock (EWSuez'!$E$4:$E$2000)
/
SUMPRODUCT(
    --(TEXT('[3]Global Weekly Stock (EWSuez'!$B$4:$B$2000,"mmm-yy")=TEXT(A2127,"mmm-yy"))
)</f>
        <v>16767.75</v>
      </c>
      <c r="I2127">
        <f>_xlfn.XLOOKUP(A2127,[1]ForwardDeriv!$D:$D,[1]ForwardDeriv!$AJ:$AJ)</f>
        <v>0.79999999999999716</v>
      </c>
      <c r="J2127" cm="1">
        <f t="array" ref="J2127">_xlfn.XLOOKUP(TEXT(A2127, "mmm-yy"), TEXT([2]GASOLINE!$B$5:$B$208, "mmm-yy"), [2]GASOLINE!$IR$5:$IR$208, "Not Found")</f>
        <v>26.892802507155352</v>
      </c>
      <c r="K2127" cm="1">
        <f t="array" ref="K2127">_xlfn.XLOOKUP(TEXT(A2127, "mmm-yy"), TEXT([2]GASOLINE!$B$5:$B$208, "mmm-yy"), [2]GASOLINE!$IK$5:$IK$208, "Not Found")</f>
        <v>221.99001483885769</v>
      </c>
      <c r="L2127">
        <f t="shared" si="33"/>
        <v>0</v>
      </c>
      <c r="M2127" cm="1">
        <f t="array" ref="M2127">_xlfn.XLOOKUP(TEXT(A2127, "mmm-yy"), TEXT([2]GASOLINE!$B$5:$B$208, "mmm-yy"), [2]GASOLINE!$C$5:$C$208, "Not Found")</f>
        <v>7481.5475015822494</v>
      </c>
      <c r="N2127" cm="1">
        <f t="array" ref="N2127">_xlfn.XLOOKUP(TEXT(A2127, "mmm-yy"), TEXT([2]RUNS!$B$5:$B$208, "mmm-yy"), [2]RUNS!$BM$5:$BM$208, "Not Found")</f>
        <v>0.85936862916213763</v>
      </c>
    </row>
    <row r="2128" spans="1:14" x14ac:dyDescent="0.25">
      <c r="A2128" s="1">
        <f>'[1]Global_Spot Prices'!$B3437</f>
        <v>44981</v>
      </c>
      <c r="B2128">
        <f>_xlfn.XLOOKUP(A2128,'[1]Global_Spot Prices'!$B:$B,'[1]Global_Spot Prices'!$BS:$BS)</f>
        <v>12.539999999999992</v>
      </c>
      <c r="C2128">
        <f>_xlfn.XLOOKUP(A2128,'[1]Global_Spot Prices'!$B:$B,'[1]Global_Spot Prices'!$E:$E)</f>
        <v>82.06</v>
      </c>
      <c r="D2128">
        <f>_xlfn.XLOOKUP(A2128,'[1]Global_Spot Prices'!$B:$B,'[1]Global_Spot Prices'!$D:$D)</f>
        <v>81.849999999999994</v>
      </c>
      <c r="E2128">
        <f ca="1">_xlfn.XLOOKUP(A2128,'[1]Global_Spot Prices'!$B:$B,'[1]Global_Spot Prices'!$H:$H)</f>
        <v>77.44</v>
      </c>
      <c r="F2128">
        <f>_xlfn.XLOOKUP(A2128,'[1]Global_Spot Prices'!$B:$B,'[1]Global_Spot Prices'!$I:$I)</f>
        <v>94.6</v>
      </c>
      <c r="G2128" cm="1">
        <f t="array" ref="G2128">_xlfn.XLOOKUP(TEXT(A2128, "mmm-yy"), TEXT([2]RUNS!$B$5:$B$208, "mmm-yy"), [2]RUNS!$D$5:$D$208, "Not Found")</f>
        <v>31378.384567185887</v>
      </c>
      <c r="H2128" cm="1">
        <f t="array" ref="H2128">SUMPRODUCT(
    --(TEXT('[3]Global Weekly Stock (EWSuez'!$B$4:$B$2000,"mmm-yy")=TEXT(A2128,"mmm-yy")),
    '[3]Global Weekly Stock (EWSuez'!$E$4:$E$2000)
/
SUMPRODUCT(
    --(TEXT('[3]Global Weekly Stock (EWSuez'!$B$4:$B$2000,"mmm-yy")=TEXT(A2128,"mmm-yy"))
)</f>
        <v>16767.75</v>
      </c>
      <c r="I2128">
        <f>_xlfn.XLOOKUP(A2128,[1]ForwardDeriv!$D:$D,[1]ForwardDeriv!$AJ:$AJ)</f>
        <v>0.92999999999999261</v>
      </c>
      <c r="J2128" cm="1">
        <f t="array" ref="J2128">_xlfn.XLOOKUP(TEXT(A2128, "mmm-yy"), TEXT([2]GASOLINE!$B$5:$B$208, "mmm-yy"), [2]GASOLINE!$IR$5:$IR$208, "Not Found")</f>
        <v>26.892802507155352</v>
      </c>
      <c r="K2128" cm="1">
        <f t="array" ref="K2128">_xlfn.XLOOKUP(TEXT(A2128, "mmm-yy"), TEXT([2]GASOLINE!$B$5:$B$208, "mmm-yy"), [2]GASOLINE!$IK$5:$IK$208, "Not Found")</f>
        <v>221.99001483885769</v>
      </c>
      <c r="L2128">
        <f t="shared" si="33"/>
        <v>0</v>
      </c>
      <c r="M2128" cm="1">
        <f t="array" ref="M2128">_xlfn.XLOOKUP(TEXT(A2128, "mmm-yy"), TEXT([2]GASOLINE!$B$5:$B$208, "mmm-yy"), [2]GASOLINE!$C$5:$C$208, "Not Found")</f>
        <v>7481.5475015822494</v>
      </c>
      <c r="N2128" cm="1">
        <f t="array" ref="N2128">_xlfn.XLOOKUP(TEXT(A2128, "mmm-yy"), TEXT([2]RUNS!$B$5:$B$208, "mmm-yy"), [2]RUNS!$BM$5:$BM$208, "Not Found")</f>
        <v>0.85936862916213763</v>
      </c>
    </row>
    <row r="2129" spans="1:14" x14ac:dyDescent="0.25">
      <c r="A2129" s="1">
        <f>'[1]Global_Spot Prices'!$B3438</f>
        <v>44984</v>
      </c>
      <c r="B2129">
        <f>_xlfn.XLOOKUP(A2129,'[1]Global_Spot Prices'!$B:$B,'[1]Global_Spot Prices'!$BS:$BS)</f>
        <v>12.010000000000005</v>
      </c>
      <c r="C2129">
        <f>_xlfn.XLOOKUP(A2129,'[1]Global_Spot Prices'!$B:$B,'[1]Global_Spot Prices'!$E:$E)</f>
        <v>82.16</v>
      </c>
      <c r="D2129">
        <f>_xlfn.XLOOKUP(A2129,'[1]Global_Spot Prices'!$B:$B,'[1]Global_Spot Prices'!$D:$D)</f>
        <v>81.47</v>
      </c>
      <c r="E2129">
        <f>_xlfn.XLOOKUP(A2129,'[1]Global_Spot Prices'!$B:$B,'[1]Global_Spot Prices'!$H:$H)</f>
        <v>78.319999999999993</v>
      </c>
      <c r="F2129">
        <f>_xlfn.XLOOKUP(A2129,'[1]Global_Spot Prices'!$B:$B,'[1]Global_Spot Prices'!$I:$I)</f>
        <v>94.17</v>
      </c>
      <c r="G2129" cm="1">
        <f t="array" ref="G2129">_xlfn.XLOOKUP(TEXT(A2129, "mmm-yy"), TEXT([2]RUNS!$B$5:$B$208, "mmm-yy"), [2]RUNS!$D$5:$D$208, "Not Found")</f>
        <v>31378.384567185887</v>
      </c>
      <c r="H2129" cm="1">
        <f t="array" ref="H2129">SUMPRODUCT(
    --(TEXT('[3]Global Weekly Stock (EWSuez'!$B$4:$B$2000,"mmm-yy")=TEXT(A2129,"mmm-yy")),
    '[3]Global Weekly Stock (EWSuez'!$E$4:$E$2000)
/
SUMPRODUCT(
    --(TEXT('[3]Global Weekly Stock (EWSuez'!$B$4:$B$2000,"mmm-yy")=TEXT(A2129,"mmm-yy"))
)</f>
        <v>16767.75</v>
      </c>
      <c r="I2129">
        <f>_xlfn.XLOOKUP(A2129,[1]ForwardDeriv!$D:$D,[1]ForwardDeriv!$AJ:$AJ)</f>
        <v>0.84999999999999432</v>
      </c>
      <c r="J2129" cm="1">
        <f t="array" ref="J2129">_xlfn.XLOOKUP(TEXT(A2129, "mmm-yy"), TEXT([2]GASOLINE!$B$5:$B$208, "mmm-yy"), [2]GASOLINE!$IR$5:$IR$208, "Not Found")</f>
        <v>26.892802507155352</v>
      </c>
      <c r="K2129" cm="1">
        <f t="array" ref="K2129">_xlfn.XLOOKUP(TEXT(A2129, "mmm-yy"), TEXT([2]GASOLINE!$B$5:$B$208, "mmm-yy"), [2]GASOLINE!$IK$5:$IK$208, "Not Found")</f>
        <v>221.99001483885769</v>
      </c>
      <c r="L2129">
        <f t="shared" si="33"/>
        <v>0</v>
      </c>
      <c r="M2129" cm="1">
        <f t="array" ref="M2129">_xlfn.XLOOKUP(TEXT(A2129, "mmm-yy"), TEXT([2]GASOLINE!$B$5:$B$208, "mmm-yy"), [2]GASOLINE!$C$5:$C$208, "Not Found")</f>
        <v>7481.5475015822494</v>
      </c>
      <c r="N2129" cm="1">
        <f t="array" ref="N2129">_xlfn.XLOOKUP(TEXT(A2129, "mmm-yy"), TEXT([2]RUNS!$B$5:$B$208, "mmm-yy"), [2]RUNS!$BM$5:$BM$208, "Not Found")</f>
        <v>0.85936862916213763</v>
      </c>
    </row>
    <row r="2130" spans="1:14" x14ac:dyDescent="0.25">
      <c r="A2130" s="1">
        <f>'[1]Global_Spot Prices'!$B3439</f>
        <v>44985</v>
      </c>
      <c r="B2130">
        <f>_xlfn.XLOOKUP(A2130,'[1]Global_Spot Prices'!$B:$B,'[1]Global_Spot Prices'!$BS:$BS)</f>
        <v>11.699999999999989</v>
      </c>
      <c r="C2130">
        <f>_xlfn.XLOOKUP(A2130,'[1]Global_Spot Prices'!$B:$B,'[1]Global_Spot Prices'!$E:$E)</f>
        <v>81.900000000000006</v>
      </c>
      <c r="D2130">
        <f>_xlfn.XLOOKUP(A2130,'[1]Global_Spot Prices'!$B:$B,'[1]Global_Spot Prices'!$D:$D)</f>
        <v>83.135000000000005</v>
      </c>
      <c r="E2130">
        <f>_xlfn.XLOOKUP(A2130,'[1]Global_Spot Prices'!$B:$B,'[1]Global_Spot Prices'!$H:$H)</f>
        <v>78.63</v>
      </c>
      <c r="F2130">
        <f>_xlfn.XLOOKUP(A2130,'[1]Global_Spot Prices'!$B:$B,'[1]Global_Spot Prices'!$I:$I)</f>
        <v>93.6</v>
      </c>
      <c r="G2130" cm="1">
        <f t="array" ref="G2130">_xlfn.XLOOKUP(TEXT(A2130, "mmm-yy"), TEXT([2]RUNS!$B$5:$B$208, "mmm-yy"), [2]RUNS!$D$5:$D$208, "Not Found")</f>
        <v>31378.384567185887</v>
      </c>
      <c r="H2130" cm="1">
        <f t="array" ref="H2130">SUMPRODUCT(
    --(TEXT('[3]Global Weekly Stock (EWSuez'!$B$4:$B$2000,"mmm-yy")=TEXT(A2130,"mmm-yy")),
    '[3]Global Weekly Stock (EWSuez'!$E$4:$E$2000)
/
SUMPRODUCT(
    --(TEXT('[3]Global Weekly Stock (EWSuez'!$B$4:$B$2000,"mmm-yy")=TEXT(A2130,"mmm-yy"))
)</f>
        <v>16767.75</v>
      </c>
      <c r="I2130">
        <f>_xlfn.XLOOKUP(A2130,[1]ForwardDeriv!$D:$D,[1]ForwardDeriv!$AJ:$AJ)</f>
        <v>0.79999999999999716</v>
      </c>
      <c r="J2130" cm="1">
        <f t="array" ref="J2130">_xlfn.XLOOKUP(TEXT(A2130, "mmm-yy"), TEXT([2]GASOLINE!$B$5:$B$208, "mmm-yy"), [2]GASOLINE!$IR$5:$IR$208, "Not Found")</f>
        <v>26.892802507155352</v>
      </c>
      <c r="K2130" cm="1">
        <f t="array" ref="K2130">_xlfn.XLOOKUP(TEXT(A2130, "mmm-yy"), TEXT([2]GASOLINE!$B$5:$B$208, "mmm-yy"), [2]GASOLINE!$IK$5:$IK$208, "Not Found")</f>
        <v>221.99001483885769</v>
      </c>
      <c r="L2130">
        <f t="shared" si="33"/>
        <v>0</v>
      </c>
      <c r="M2130" cm="1">
        <f t="array" ref="M2130">_xlfn.XLOOKUP(TEXT(A2130, "mmm-yy"), TEXT([2]GASOLINE!$B$5:$B$208, "mmm-yy"), [2]GASOLINE!$C$5:$C$208, "Not Found")</f>
        <v>7481.5475015822494</v>
      </c>
      <c r="N2130" cm="1">
        <f t="array" ref="N2130">_xlfn.XLOOKUP(TEXT(A2130, "mmm-yy"), TEXT([2]RUNS!$B$5:$B$208, "mmm-yy"), [2]RUNS!$BM$5:$BM$208, "Not Found")</f>
        <v>0.85936862916213763</v>
      </c>
    </row>
    <row r="2131" spans="1:14" x14ac:dyDescent="0.25">
      <c r="A2131" s="1">
        <f>'[1]Global_Spot Prices'!$B3440</f>
        <v>44986</v>
      </c>
      <c r="B2131">
        <f>_xlfn.XLOOKUP(A2131,'[1]Global_Spot Prices'!$B:$B,'[1]Global_Spot Prices'!$BS:$BS)</f>
        <v>13.02000000000001</v>
      </c>
      <c r="C2131">
        <f>_xlfn.XLOOKUP(A2131,'[1]Global_Spot Prices'!$B:$B,'[1]Global_Spot Prices'!$E:$E)</f>
        <v>82.46</v>
      </c>
      <c r="D2131">
        <f>_xlfn.XLOOKUP(A2131,'[1]Global_Spot Prices'!$B:$B,'[1]Global_Spot Prices'!$D:$D)</f>
        <v>83.5</v>
      </c>
      <c r="E2131">
        <f>_xlfn.XLOOKUP(A2131,'[1]Global_Spot Prices'!$B:$B,'[1]Global_Spot Prices'!$H:$H)</f>
        <v>79.36</v>
      </c>
      <c r="F2131">
        <f>_xlfn.XLOOKUP(A2131,'[1]Global_Spot Prices'!$B:$B,'[1]Global_Spot Prices'!$I:$I)</f>
        <v>95.48</v>
      </c>
      <c r="G2131" cm="1">
        <f t="array" ref="G2131">_xlfn.XLOOKUP(TEXT(A2131, "mmm-yy"), TEXT([2]RUNS!$B$5:$B$208, "mmm-yy"), [2]RUNS!$D$5:$D$208, "Not Found")</f>
        <v>31114.467013690668</v>
      </c>
      <c r="H2131" cm="1">
        <f t="array" ref="H2131">SUMPRODUCT(
    --(TEXT('[3]Global Weekly Stock (EWSuez'!$B$4:$B$2000,"mmm-yy")=TEXT(A2131,"mmm-yy")),
    '[3]Global Weekly Stock (EWSuez'!$E$4:$E$2000)
/
SUMPRODUCT(
    --(TEXT('[3]Global Weekly Stock (EWSuez'!$B$4:$B$2000,"mmm-yy")=TEXT(A2131,"mmm-yy"))
)</f>
        <v>16047.2</v>
      </c>
      <c r="I2131">
        <f>_xlfn.XLOOKUP(A2131,[1]ForwardDeriv!$D:$D,[1]ForwardDeriv!$AJ:$AJ)</f>
        <v>1.3800000000000097</v>
      </c>
      <c r="J2131" cm="1">
        <f t="array" ref="J2131">_xlfn.XLOOKUP(TEXT(A2131, "mmm-yy"), TEXT([2]GASOLINE!$B$5:$B$208, "mmm-yy"), [2]GASOLINE!$IR$5:$IR$208, "Not Found")</f>
        <v>-279.78314656869929</v>
      </c>
      <c r="K2131" cm="1">
        <f t="array" ref="K2131">_xlfn.XLOOKUP(TEXT(A2131, "mmm-yy"), TEXT([2]GASOLINE!$B$5:$B$208, "mmm-yy"), [2]GASOLINE!$IK$5:$IK$208, "Not Found")</f>
        <v>223.41664603634064</v>
      </c>
      <c r="L2131">
        <f t="shared" si="33"/>
        <v>0</v>
      </c>
      <c r="M2131" cm="1">
        <f t="array" ref="M2131">_xlfn.XLOOKUP(TEXT(A2131, "mmm-yy"), TEXT([2]GASOLINE!$B$5:$B$208, "mmm-yy"), [2]GASOLINE!$C$5:$C$208, "Not Found")</f>
        <v>7671.7935442026428</v>
      </c>
      <c r="N2131" cm="1">
        <f t="array" ref="N2131">_xlfn.XLOOKUP(TEXT(A2131, "mmm-yy"), TEXT([2]RUNS!$B$5:$B$208, "mmm-yy"), [2]RUNS!$BM$5:$BM$208, "Not Found")</f>
        <v>0.84290667628444649</v>
      </c>
    </row>
    <row r="2132" spans="1:14" x14ac:dyDescent="0.25">
      <c r="A2132" s="1">
        <f>'[1]Global_Spot Prices'!$B3441</f>
        <v>44987</v>
      </c>
      <c r="B2132">
        <f>_xlfn.XLOOKUP(A2132,'[1]Global_Spot Prices'!$B:$B,'[1]Global_Spot Prices'!$BS:$BS)</f>
        <v>11.950000000000003</v>
      </c>
      <c r="C2132">
        <f>_xlfn.XLOOKUP(A2132,'[1]Global_Spot Prices'!$B:$B,'[1]Global_Spot Prices'!$E:$E)</f>
        <v>82.84</v>
      </c>
      <c r="D2132">
        <f>_xlfn.XLOOKUP(A2132,'[1]Global_Spot Prices'!$B:$B,'[1]Global_Spot Prices'!$D:$D)</f>
        <v>85.075000000000003</v>
      </c>
      <c r="E2132">
        <f>_xlfn.XLOOKUP(A2132,'[1]Global_Spot Prices'!$B:$B,'[1]Global_Spot Prices'!$H:$H)</f>
        <v>78.92</v>
      </c>
      <c r="F2132">
        <f>_xlfn.XLOOKUP(A2132,'[1]Global_Spot Prices'!$B:$B,'[1]Global_Spot Prices'!$I:$I)</f>
        <v>94.79</v>
      </c>
      <c r="G2132" cm="1">
        <f t="array" ref="G2132">_xlfn.XLOOKUP(TEXT(A2132, "mmm-yy"), TEXT([2]RUNS!$B$5:$B$208, "mmm-yy"), [2]RUNS!$D$5:$D$208, "Not Found")</f>
        <v>31114.467013690668</v>
      </c>
      <c r="H2132" cm="1">
        <f t="array" ref="H2132">SUMPRODUCT(
    --(TEXT('[3]Global Weekly Stock (EWSuez'!$B$4:$B$2000,"mmm-yy")=TEXT(A2132,"mmm-yy")),
    '[3]Global Weekly Stock (EWSuez'!$E$4:$E$2000)
/
SUMPRODUCT(
    --(TEXT('[3]Global Weekly Stock (EWSuez'!$B$4:$B$2000,"mmm-yy")=TEXT(A2132,"mmm-yy"))
)</f>
        <v>16047.2</v>
      </c>
      <c r="I2132">
        <f>_xlfn.XLOOKUP(A2132,[1]ForwardDeriv!$D:$D,[1]ForwardDeriv!$AJ:$AJ)</f>
        <v>1.3500000000000085</v>
      </c>
      <c r="J2132" cm="1">
        <f t="array" ref="J2132">_xlfn.XLOOKUP(TEXT(A2132, "mmm-yy"), TEXT([2]GASOLINE!$B$5:$B$208, "mmm-yy"), [2]GASOLINE!$IR$5:$IR$208, "Not Found")</f>
        <v>-279.78314656869929</v>
      </c>
      <c r="K2132" cm="1">
        <f t="array" ref="K2132">_xlfn.XLOOKUP(TEXT(A2132, "mmm-yy"), TEXT([2]GASOLINE!$B$5:$B$208, "mmm-yy"), [2]GASOLINE!$IK$5:$IK$208, "Not Found")</f>
        <v>223.41664603634064</v>
      </c>
      <c r="L2132">
        <f t="shared" si="33"/>
        <v>0</v>
      </c>
      <c r="M2132" cm="1">
        <f t="array" ref="M2132">_xlfn.XLOOKUP(TEXT(A2132, "mmm-yy"), TEXT([2]GASOLINE!$B$5:$B$208, "mmm-yy"), [2]GASOLINE!$C$5:$C$208, "Not Found")</f>
        <v>7671.7935442026428</v>
      </c>
      <c r="N2132" cm="1">
        <f t="array" ref="N2132">_xlfn.XLOOKUP(TEXT(A2132, "mmm-yy"), TEXT([2]RUNS!$B$5:$B$208, "mmm-yy"), [2]RUNS!$BM$5:$BM$208, "Not Found")</f>
        <v>0.84290667628444649</v>
      </c>
    </row>
    <row r="2133" spans="1:14" x14ac:dyDescent="0.25">
      <c r="A2133" s="1">
        <f>'[1]Global_Spot Prices'!$B3442</f>
        <v>44988</v>
      </c>
      <c r="B2133">
        <f>_xlfn.XLOOKUP(A2133,'[1]Global_Spot Prices'!$B:$B,'[1]Global_Spot Prices'!$BS:$BS)</f>
        <v>12.685000000000002</v>
      </c>
      <c r="C2133">
        <f>_xlfn.XLOOKUP(A2133,'[1]Global_Spot Prices'!$B:$B,'[1]Global_Spot Prices'!$E:$E)</f>
        <v>83.254999999999995</v>
      </c>
      <c r="D2133">
        <f>_xlfn.XLOOKUP(A2133,'[1]Global_Spot Prices'!$B:$B,'[1]Global_Spot Prices'!$D:$D)</f>
        <v>85.17</v>
      </c>
      <c r="E2133">
        <f>_xlfn.XLOOKUP(A2133,'[1]Global_Spot Prices'!$B:$B,'[1]Global_Spot Prices'!$H:$H)</f>
        <v>79.19</v>
      </c>
      <c r="F2133">
        <f>_xlfn.XLOOKUP(A2133,'[1]Global_Spot Prices'!$B:$B,'[1]Global_Spot Prices'!$I:$I)</f>
        <v>95.94</v>
      </c>
      <c r="G2133" cm="1">
        <f t="array" ref="G2133">_xlfn.XLOOKUP(TEXT(A2133, "mmm-yy"), TEXT([2]RUNS!$B$5:$B$208, "mmm-yy"), [2]RUNS!$D$5:$D$208, "Not Found")</f>
        <v>31114.467013690668</v>
      </c>
      <c r="H2133" cm="1">
        <f t="array" ref="H2133">SUMPRODUCT(
    --(TEXT('[3]Global Weekly Stock (EWSuez'!$B$4:$B$2000,"mmm-yy")=TEXT(A2133,"mmm-yy")),
    '[3]Global Weekly Stock (EWSuez'!$E$4:$E$2000)
/
SUMPRODUCT(
    --(TEXT('[3]Global Weekly Stock (EWSuez'!$B$4:$B$2000,"mmm-yy")=TEXT(A2133,"mmm-yy"))
)</f>
        <v>16047.2</v>
      </c>
      <c r="I2133">
        <f>_xlfn.XLOOKUP(A2133,[1]ForwardDeriv!$D:$D,[1]ForwardDeriv!$AJ:$AJ)</f>
        <v>1.3500000000000085</v>
      </c>
      <c r="J2133" cm="1">
        <f t="array" ref="J2133">_xlfn.XLOOKUP(TEXT(A2133, "mmm-yy"), TEXT([2]GASOLINE!$B$5:$B$208, "mmm-yy"), [2]GASOLINE!$IR$5:$IR$208, "Not Found")</f>
        <v>-279.78314656869929</v>
      </c>
      <c r="K2133" cm="1">
        <f t="array" ref="K2133">_xlfn.XLOOKUP(TEXT(A2133, "mmm-yy"), TEXT([2]GASOLINE!$B$5:$B$208, "mmm-yy"), [2]GASOLINE!$IK$5:$IK$208, "Not Found")</f>
        <v>223.41664603634064</v>
      </c>
      <c r="L2133">
        <f t="shared" si="33"/>
        <v>0</v>
      </c>
      <c r="M2133" cm="1">
        <f t="array" ref="M2133">_xlfn.XLOOKUP(TEXT(A2133, "mmm-yy"), TEXT([2]GASOLINE!$B$5:$B$208, "mmm-yy"), [2]GASOLINE!$C$5:$C$208, "Not Found")</f>
        <v>7671.7935442026428</v>
      </c>
      <c r="N2133" cm="1">
        <f t="array" ref="N2133">_xlfn.XLOOKUP(TEXT(A2133, "mmm-yy"), TEXT([2]RUNS!$B$5:$B$208, "mmm-yy"), [2]RUNS!$BM$5:$BM$208, "Not Found")</f>
        <v>0.84290667628444649</v>
      </c>
    </row>
    <row r="2134" spans="1:14" x14ac:dyDescent="0.25">
      <c r="A2134" s="1">
        <f>'[1]Global_Spot Prices'!$B3443</f>
        <v>44991</v>
      </c>
      <c r="B2134">
        <f>_xlfn.XLOOKUP(A2134,'[1]Global_Spot Prices'!$B:$B,'[1]Global_Spot Prices'!$BS:$BS)</f>
        <v>14.629999999999995</v>
      </c>
      <c r="C2134">
        <f>_xlfn.XLOOKUP(A2134,'[1]Global_Spot Prices'!$B:$B,'[1]Global_Spot Prices'!$E:$E)</f>
        <v>84.09</v>
      </c>
      <c r="D2134">
        <f>_xlfn.XLOOKUP(A2134,'[1]Global_Spot Prices'!$B:$B,'[1]Global_Spot Prices'!$D:$D)</f>
        <v>85.855000000000004</v>
      </c>
      <c r="E2134">
        <f>_xlfn.XLOOKUP(A2134,'[1]Global_Spot Prices'!$B:$B,'[1]Global_Spot Prices'!$H:$H)</f>
        <v>80</v>
      </c>
      <c r="F2134">
        <f>_xlfn.XLOOKUP(A2134,'[1]Global_Spot Prices'!$B:$B,'[1]Global_Spot Prices'!$I:$I)</f>
        <v>98.72</v>
      </c>
      <c r="G2134" cm="1">
        <f t="array" ref="G2134">_xlfn.XLOOKUP(TEXT(A2134, "mmm-yy"), TEXT([2]RUNS!$B$5:$B$208, "mmm-yy"), [2]RUNS!$D$5:$D$208, "Not Found")</f>
        <v>31114.467013690668</v>
      </c>
      <c r="H2134" cm="1">
        <f t="array" ref="H2134">SUMPRODUCT(
    --(TEXT('[3]Global Weekly Stock (EWSuez'!$B$4:$B$2000,"mmm-yy")=TEXT(A2134,"mmm-yy")),
    '[3]Global Weekly Stock (EWSuez'!$E$4:$E$2000)
/
SUMPRODUCT(
    --(TEXT('[3]Global Weekly Stock (EWSuez'!$B$4:$B$2000,"mmm-yy")=TEXT(A2134,"mmm-yy"))
)</f>
        <v>16047.2</v>
      </c>
      <c r="I2134">
        <f>_xlfn.XLOOKUP(A2134,[1]ForwardDeriv!$D:$D,[1]ForwardDeriv!$AJ:$AJ)</f>
        <v>1.4500000000000028</v>
      </c>
      <c r="J2134" cm="1">
        <f t="array" ref="J2134">_xlfn.XLOOKUP(TEXT(A2134, "mmm-yy"), TEXT([2]GASOLINE!$B$5:$B$208, "mmm-yy"), [2]GASOLINE!$IR$5:$IR$208, "Not Found")</f>
        <v>-279.78314656869929</v>
      </c>
      <c r="K2134" cm="1">
        <f t="array" ref="K2134">_xlfn.XLOOKUP(TEXT(A2134, "mmm-yy"), TEXT([2]GASOLINE!$B$5:$B$208, "mmm-yy"), [2]GASOLINE!$IK$5:$IK$208, "Not Found")</f>
        <v>223.41664603634064</v>
      </c>
      <c r="L2134">
        <f t="shared" si="33"/>
        <v>0</v>
      </c>
      <c r="M2134" cm="1">
        <f t="array" ref="M2134">_xlfn.XLOOKUP(TEXT(A2134, "mmm-yy"), TEXT([2]GASOLINE!$B$5:$B$208, "mmm-yy"), [2]GASOLINE!$C$5:$C$208, "Not Found")</f>
        <v>7671.7935442026428</v>
      </c>
      <c r="N2134" cm="1">
        <f t="array" ref="N2134">_xlfn.XLOOKUP(TEXT(A2134, "mmm-yy"), TEXT([2]RUNS!$B$5:$B$208, "mmm-yy"), [2]RUNS!$BM$5:$BM$208, "Not Found")</f>
        <v>0.84290667628444649</v>
      </c>
    </row>
    <row r="2135" spans="1:14" x14ac:dyDescent="0.25">
      <c r="A2135" s="1">
        <f>'[1]Global_Spot Prices'!$B3444</f>
        <v>44992</v>
      </c>
      <c r="B2135">
        <f>_xlfn.XLOOKUP(A2135,'[1]Global_Spot Prices'!$B:$B,'[1]Global_Spot Prices'!$BS:$BS)</f>
        <v>15.120000000000005</v>
      </c>
      <c r="C2135">
        <f>_xlfn.XLOOKUP(A2135,'[1]Global_Spot Prices'!$B:$B,'[1]Global_Spot Prices'!$E:$E)</f>
        <v>84.56</v>
      </c>
      <c r="D2135">
        <f>_xlfn.XLOOKUP(A2135,'[1]Global_Spot Prices'!$B:$B,'[1]Global_Spot Prices'!$D:$D)</f>
        <v>84.004999999999995</v>
      </c>
      <c r="E2135">
        <f>_xlfn.XLOOKUP(A2135,'[1]Global_Spot Prices'!$B:$B,'[1]Global_Spot Prices'!$H:$H)</f>
        <v>80.61</v>
      </c>
      <c r="F2135">
        <f>_xlfn.XLOOKUP(A2135,'[1]Global_Spot Prices'!$B:$B,'[1]Global_Spot Prices'!$I:$I)</f>
        <v>99.68</v>
      </c>
      <c r="G2135" cm="1">
        <f t="array" ref="G2135">_xlfn.XLOOKUP(TEXT(A2135, "mmm-yy"), TEXT([2]RUNS!$B$5:$B$208, "mmm-yy"), [2]RUNS!$D$5:$D$208, "Not Found")</f>
        <v>31114.467013690668</v>
      </c>
      <c r="H2135" cm="1">
        <f t="array" ref="H2135">SUMPRODUCT(
    --(TEXT('[3]Global Weekly Stock (EWSuez'!$B$4:$B$2000,"mmm-yy")=TEXT(A2135,"mmm-yy")),
    '[3]Global Weekly Stock (EWSuez'!$E$4:$E$2000)
/
SUMPRODUCT(
    --(TEXT('[3]Global Weekly Stock (EWSuez'!$B$4:$B$2000,"mmm-yy")=TEXT(A2135,"mmm-yy"))
)</f>
        <v>16047.2</v>
      </c>
      <c r="I2135">
        <f>_xlfn.XLOOKUP(A2135,[1]ForwardDeriv!$D:$D,[1]ForwardDeriv!$AJ:$AJ)</f>
        <v>1.5999999999999943</v>
      </c>
      <c r="J2135" cm="1">
        <f t="array" ref="J2135">_xlfn.XLOOKUP(TEXT(A2135, "mmm-yy"), TEXT([2]GASOLINE!$B$5:$B$208, "mmm-yy"), [2]GASOLINE!$IR$5:$IR$208, "Not Found")</f>
        <v>-279.78314656869929</v>
      </c>
      <c r="K2135" cm="1">
        <f t="array" ref="K2135">_xlfn.XLOOKUP(TEXT(A2135, "mmm-yy"), TEXT([2]GASOLINE!$B$5:$B$208, "mmm-yy"), [2]GASOLINE!$IK$5:$IK$208, "Not Found")</f>
        <v>223.41664603634064</v>
      </c>
      <c r="L2135">
        <f t="shared" si="33"/>
        <v>0</v>
      </c>
      <c r="M2135" cm="1">
        <f t="array" ref="M2135">_xlfn.XLOOKUP(TEXT(A2135, "mmm-yy"), TEXT([2]GASOLINE!$B$5:$B$208, "mmm-yy"), [2]GASOLINE!$C$5:$C$208, "Not Found")</f>
        <v>7671.7935442026428</v>
      </c>
      <c r="N2135" cm="1">
        <f t="array" ref="N2135">_xlfn.XLOOKUP(TEXT(A2135, "mmm-yy"), TEXT([2]RUNS!$B$5:$B$208, "mmm-yy"), [2]RUNS!$BM$5:$BM$208, "Not Found")</f>
        <v>0.84290667628444649</v>
      </c>
    </row>
    <row r="2136" spans="1:14" x14ac:dyDescent="0.25">
      <c r="A2136" s="1">
        <f>'[1]Global_Spot Prices'!$B3445</f>
        <v>44993</v>
      </c>
      <c r="B2136">
        <f ca="1">_xlfn.XLOOKUP(A2136,'[1]Global_Spot Prices'!$B:$B,'[1]Global_Spot Prices'!$BS:$BS)</f>
        <v>14.120000000000005</v>
      </c>
      <c r="C2136">
        <f>_xlfn.XLOOKUP(A2136,'[1]Global_Spot Prices'!$B:$B,'[1]Global_Spot Prices'!$E:$E)</f>
        <v>81.96</v>
      </c>
      <c r="D2136">
        <f>_xlfn.XLOOKUP(A2136,'[1]Global_Spot Prices'!$B:$B,'[1]Global_Spot Prices'!$D:$D)</f>
        <v>82.36</v>
      </c>
      <c r="E2136">
        <f>_xlfn.XLOOKUP(A2136,'[1]Global_Spot Prices'!$B:$B,'[1]Global_Spot Prices'!$H:$H)</f>
        <v>77.569999999999993</v>
      </c>
      <c r="F2136">
        <f>_xlfn.XLOOKUP(A2136,'[1]Global_Spot Prices'!$B:$B,'[1]Global_Spot Prices'!$I:$I)</f>
        <v>96.08</v>
      </c>
      <c r="G2136" cm="1">
        <f t="array" ref="G2136">_xlfn.XLOOKUP(TEXT(A2136, "mmm-yy"), TEXT([2]RUNS!$B$5:$B$208, "mmm-yy"), [2]RUNS!$D$5:$D$208, "Not Found")</f>
        <v>31114.467013690668</v>
      </c>
      <c r="H2136" cm="1">
        <f t="array" ref="H2136">SUMPRODUCT(
    --(TEXT('[3]Global Weekly Stock (EWSuez'!$B$4:$B$2000,"mmm-yy")=TEXT(A2136,"mmm-yy")),
    '[3]Global Weekly Stock (EWSuez'!$E$4:$E$2000)
/
SUMPRODUCT(
    --(TEXT('[3]Global Weekly Stock (EWSuez'!$B$4:$B$2000,"mmm-yy")=TEXT(A2136,"mmm-yy"))
)</f>
        <v>16047.2</v>
      </c>
      <c r="I2136">
        <f>_xlfn.XLOOKUP(A2136,[1]ForwardDeriv!$D:$D,[1]ForwardDeriv!$AJ:$AJ)</f>
        <v>1.4699999999999989</v>
      </c>
      <c r="J2136" cm="1">
        <f t="array" ref="J2136">_xlfn.XLOOKUP(TEXT(A2136, "mmm-yy"), TEXT([2]GASOLINE!$B$5:$B$208, "mmm-yy"), [2]GASOLINE!$IR$5:$IR$208, "Not Found")</f>
        <v>-279.78314656869929</v>
      </c>
      <c r="K2136" cm="1">
        <f t="array" ref="K2136">_xlfn.XLOOKUP(TEXT(A2136, "mmm-yy"), TEXT([2]GASOLINE!$B$5:$B$208, "mmm-yy"), [2]GASOLINE!$IK$5:$IK$208, "Not Found")</f>
        <v>223.41664603634064</v>
      </c>
      <c r="L2136">
        <f t="shared" si="33"/>
        <v>0</v>
      </c>
      <c r="M2136" cm="1">
        <f t="array" ref="M2136">_xlfn.XLOOKUP(TEXT(A2136, "mmm-yy"), TEXT([2]GASOLINE!$B$5:$B$208, "mmm-yy"), [2]GASOLINE!$C$5:$C$208, "Not Found")</f>
        <v>7671.7935442026428</v>
      </c>
      <c r="N2136" cm="1">
        <f t="array" ref="N2136">_xlfn.XLOOKUP(TEXT(A2136, "mmm-yy"), TEXT([2]RUNS!$B$5:$B$208, "mmm-yy"), [2]RUNS!$BM$5:$BM$208, "Not Found")</f>
        <v>0.84290667628444649</v>
      </c>
    </row>
    <row r="2137" spans="1:14" x14ac:dyDescent="0.25">
      <c r="A2137" s="1">
        <f>'[1]Global_Spot Prices'!$B3446</f>
        <v>44994</v>
      </c>
      <c r="B2137">
        <f>_xlfn.XLOOKUP(A2137,'[1]Global_Spot Prices'!$B:$B,'[1]Global_Spot Prices'!$BS:$BS)</f>
        <v>14.449999999999989</v>
      </c>
      <c r="C2137">
        <f>_xlfn.XLOOKUP(A2137,'[1]Global_Spot Prices'!$B:$B,'[1]Global_Spot Prices'!$E:$E)</f>
        <v>81.790000000000006</v>
      </c>
      <c r="D2137">
        <f>_xlfn.XLOOKUP(A2137,'[1]Global_Spot Prices'!$B:$B,'[1]Global_Spot Prices'!$D:$D)</f>
        <v>83.07</v>
      </c>
      <c r="E2137">
        <f>_xlfn.XLOOKUP(A2137,'[1]Global_Spot Prices'!$B:$B,'[1]Global_Spot Prices'!$H:$H)</f>
        <v>76.86</v>
      </c>
      <c r="F2137">
        <f>_xlfn.XLOOKUP(A2137,'[1]Global_Spot Prices'!$B:$B,'[1]Global_Spot Prices'!$I:$I)</f>
        <v>96.24</v>
      </c>
      <c r="G2137" cm="1">
        <f t="array" ref="G2137">_xlfn.XLOOKUP(TEXT(A2137, "mmm-yy"), TEXT([2]RUNS!$B$5:$B$208, "mmm-yy"), [2]RUNS!$D$5:$D$208, "Not Found")</f>
        <v>31114.467013690668</v>
      </c>
      <c r="H2137" cm="1">
        <f t="array" ref="H2137">SUMPRODUCT(
    --(TEXT('[3]Global Weekly Stock (EWSuez'!$B$4:$B$2000,"mmm-yy")=TEXT(A2137,"mmm-yy")),
    '[3]Global Weekly Stock (EWSuez'!$E$4:$E$2000)
/
SUMPRODUCT(
    --(TEXT('[3]Global Weekly Stock (EWSuez'!$B$4:$B$2000,"mmm-yy")=TEXT(A2137,"mmm-yy"))
)</f>
        <v>16047.2</v>
      </c>
      <c r="I2137">
        <f>_xlfn.XLOOKUP(A2137,[1]ForwardDeriv!$D:$D,[1]ForwardDeriv!$AJ:$AJ)</f>
        <v>1.4699999999999989</v>
      </c>
      <c r="J2137" cm="1">
        <f t="array" ref="J2137">_xlfn.XLOOKUP(TEXT(A2137, "mmm-yy"), TEXT([2]GASOLINE!$B$5:$B$208, "mmm-yy"), [2]GASOLINE!$IR$5:$IR$208, "Not Found")</f>
        <v>-279.78314656869929</v>
      </c>
      <c r="K2137" cm="1">
        <f t="array" ref="K2137">_xlfn.XLOOKUP(TEXT(A2137, "mmm-yy"), TEXT([2]GASOLINE!$B$5:$B$208, "mmm-yy"), [2]GASOLINE!$IK$5:$IK$208, "Not Found")</f>
        <v>223.41664603634064</v>
      </c>
      <c r="L2137">
        <f t="shared" si="33"/>
        <v>0</v>
      </c>
      <c r="M2137" cm="1">
        <f t="array" ref="M2137">_xlfn.XLOOKUP(TEXT(A2137, "mmm-yy"), TEXT([2]GASOLINE!$B$5:$B$208, "mmm-yy"), [2]GASOLINE!$C$5:$C$208, "Not Found")</f>
        <v>7671.7935442026428</v>
      </c>
      <c r="N2137" cm="1">
        <f t="array" ref="N2137">_xlfn.XLOOKUP(TEXT(A2137, "mmm-yy"), TEXT([2]RUNS!$B$5:$B$208, "mmm-yy"), [2]RUNS!$BM$5:$BM$208, "Not Found")</f>
        <v>0.84290667628444649</v>
      </c>
    </row>
    <row r="2138" spans="1:14" x14ac:dyDescent="0.25">
      <c r="A2138" s="1">
        <f>'[1]Global_Spot Prices'!$B3447</f>
        <v>44995</v>
      </c>
      <c r="B2138">
        <f>_xlfn.XLOOKUP(A2138,'[1]Global_Spot Prices'!$B:$B,'[1]Global_Spot Prices'!$BS:$BS)</f>
        <v>13.754999999999995</v>
      </c>
      <c r="C2138">
        <f>_xlfn.XLOOKUP(A2138,'[1]Global_Spot Prices'!$B:$B,'[1]Global_Spot Prices'!$E:$E)</f>
        <v>80.204999999999998</v>
      </c>
      <c r="D2138">
        <f>_xlfn.XLOOKUP(A2138,'[1]Global_Spot Prices'!$B:$B,'[1]Global_Spot Prices'!$D:$D)</f>
        <v>82.394999999999996</v>
      </c>
      <c r="E2138">
        <f>_xlfn.XLOOKUP(A2138,'[1]Global_Spot Prices'!$B:$B,'[1]Global_Spot Prices'!$H:$H)</f>
        <v>74.319999999999993</v>
      </c>
      <c r="F2138">
        <f>_xlfn.XLOOKUP(A2138,'[1]Global_Spot Prices'!$B:$B,'[1]Global_Spot Prices'!$I:$I)</f>
        <v>93.96</v>
      </c>
      <c r="G2138" cm="1">
        <f t="array" ref="G2138">_xlfn.XLOOKUP(TEXT(A2138, "mmm-yy"), TEXT([2]RUNS!$B$5:$B$208, "mmm-yy"), [2]RUNS!$D$5:$D$208, "Not Found")</f>
        <v>31114.467013690668</v>
      </c>
      <c r="H2138" cm="1">
        <f t="array" ref="H2138">SUMPRODUCT(
    --(TEXT('[3]Global Weekly Stock (EWSuez'!$B$4:$B$2000,"mmm-yy")=TEXT(A2138,"mmm-yy")),
    '[3]Global Weekly Stock (EWSuez'!$E$4:$E$2000)
/
SUMPRODUCT(
    --(TEXT('[3]Global Weekly Stock (EWSuez'!$B$4:$B$2000,"mmm-yy")=TEXT(A2138,"mmm-yy"))
)</f>
        <v>16047.2</v>
      </c>
      <c r="I2138">
        <f>_xlfn.XLOOKUP(A2138,[1]ForwardDeriv!$D:$D,[1]ForwardDeriv!$AJ:$AJ)</f>
        <v>1.4699999999999989</v>
      </c>
      <c r="J2138" cm="1">
        <f t="array" ref="J2138">_xlfn.XLOOKUP(TEXT(A2138, "mmm-yy"), TEXT([2]GASOLINE!$B$5:$B$208, "mmm-yy"), [2]GASOLINE!$IR$5:$IR$208, "Not Found")</f>
        <v>-279.78314656869929</v>
      </c>
      <c r="K2138" cm="1">
        <f t="array" ref="K2138">_xlfn.XLOOKUP(TEXT(A2138, "mmm-yy"), TEXT([2]GASOLINE!$B$5:$B$208, "mmm-yy"), [2]GASOLINE!$IK$5:$IK$208, "Not Found")</f>
        <v>223.41664603634064</v>
      </c>
      <c r="L2138">
        <f t="shared" si="33"/>
        <v>0</v>
      </c>
      <c r="M2138" cm="1">
        <f t="array" ref="M2138">_xlfn.XLOOKUP(TEXT(A2138, "mmm-yy"), TEXT([2]GASOLINE!$B$5:$B$208, "mmm-yy"), [2]GASOLINE!$C$5:$C$208, "Not Found")</f>
        <v>7671.7935442026428</v>
      </c>
      <c r="N2138" cm="1">
        <f t="array" ref="N2138">_xlfn.XLOOKUP(TEXT(A2138, "mmm-yy"), TEXT([2]RUNS!$B$5:$B$208, "mmm-yy"), [2]RUNS!$BM$5:$BM$208, "Not Found")</f>
        <v>0.84290667628444649</v>
      </c>
    </row>
    <row r="2139" spans="1:14" x14ac:dyDescent="0.25">
      <c r="A2139" s="1">
        <f>'[1]Global_Spot Prices'!$B3448</f>
        <v>44998</v>
      </c>
      <c r="B2139">
        <f>_xlfn.XLOOKUP(A2139,'[1]Global_Spot Prices'!$B:$B,'[1]Global_Spot Prices'!$BS:$BS)</f>
        <v>14.24499999999999</v>
      </c>
      <c r="C2139">
        <f>_xlfn.XLOOKUP(A2139,'[1]Global_Spot Prices'!$B:$B,'[1]Global_Spot Prices'!$E:$E)</f>
        <v>82.305000000000007</v>
      </c>
      <c r="D2139">
        <f>_xlfn.XLOOKUP(A2139,'[1]Global_Spot Prices'!$B:$B,'[1]Global_Spot Prices'!$D:$D)</f>
        <v>81.174999999999997</v>
      </c>
      <c r="E2139">
        <f>_xlfn.XLOOKUP(A2139,'[1]Global_Spot Prices'!$B:$B,'[1]Global_Spot Prices'!$H:$H)</f>
        <v>74.88</v>
      </c>
      <c r="F2139">
        <f>_xlfn.XLOOKUP(A2139,'[1]Global_Spot Prices'!$B:$B,'[1]Global_Spot Prices'!$I:$I)</f>
        <v>96.55</v>
      </c>
      <c r="G2139" cm="1">
        <f t="array" ref="G2139">_xlfn.XLOOKUP(TEXT(A2139, "mmm-yy"), TEXT([2]RUNS!$B$5:$B$208, "mmm-yy"), [2]RUNS!$D$5:$D$208, "Not Found")</f>
        <v>31114.467013690668</v>
      </c>
      <c r="H2139" cm="1">
        <f t="array" ref="H2139">SUMPRODUCT(
    --(TEXT('[3]Global Weekly Stock (EWSuez'!$B$4:$B$2000,"mmm-yy")=TEXT(A2139,"mmm-yy")),
    '[3]Global Weekly Stock (EWSuez'!$E$4:$E$2000)
/
SUMPRODUCT(
    --(TEXT('[3]Global Weekly Stock (EWSuez'!$B$4:$B$2000,"mmm-yy")=TEXT(A2139,"mmm-yy"))
)</f>
        <v>16047.2</v>
      </c>
      <c r="I2139">
        <f>_xlfn.XLOOKUP(A2139,[1]ForwardDeriv!$D:$D,[1]ForwardDeriv!$AJ:$AJ)</f>
        <v>1.6300000000000097</v>
      </c>
      <c r="J2139" cm="1">
        <f t="array" ref="J2139">_xlfn.XLOOKUP(TEXT(A2139, "mmm-yy"), TEXT([2]GASOLINE!$B$5:$B$208, "mmm-yy"), [2]GASOLINE!$IR$5:$IR$208, "Not Found")</f>
        <v>-279.78314656869929</v>
      </c>
      <c r="K2139" cm="1">
        <f t="array" ref="K2139">_xlfn.XLOOKUP(TEXT(A2139, "mmm-yy"), TEXT([2]GASOLINE!$B$5:$B$208, "mmm-yy"), [2]GASOLINE!$IK$5:$IK$208, "Not Found")</f>
        <v>223.41664603634064</v>
      </c>
      <c r="L2139">
        <f t="shared" si="33"/>
        <v>0</v>
      </c>
      <c r="M2139" cm="1">
        <f t="array" ref="M2139">_xlfn.XLOOKUP(TEXT(A2139, "mmm-yy"), TEXT([2]GASOLINE!$B$5:$B$208, "mmm-yy"), [2]GASOLINE!$C$5:$C$208, "Not Found")</f>
        <v>7671.7935442026428</v>
      </c>
      <c r="N2139" cm="1">
        <f t="array" ref="N2139">_xlfn.XLOOKUP(TEXT(A2139, "mmm-yy"), TEXT([2]RUNS!$B$5:$B$208, "mmm-yy"), [2]RUNS!$BM$5:$BM$208, "Not Found")</f>
        <v>0.84290667628444649</v>
      </c>
    </row>
    <row r="2140" spans="1:14" x14ac:dyDescent="0.25">
      <c r="A2140" s="1">
        <f>'[1]Global_Spot Prices'!$B3449</f>
        <v>44999</v>
      </c>
      <c r="B2140">
        <f>_xlfn.XLOOKUP(A2140,'[1]Global_Spot Prices'!$B:$B,'[1]Global_Spot Prices'!$BS:$BS)</f>
        <v>16.14</v>
      </c>
      <c r="C2140">
        <f>_xlfn.XLOOKUP(A2140,'[1]Global_Spot Prices'!$B:$B,'[1]Global_Spot Prices'!$E:$E)</f>
        <v>79.09</v>
      </c>
      <c r="D2140">
        <f ca="1">_xlfn.XLOOKUP(A2140,'[1]Global_Spot Prices'!$B:$B,'[1]Global_Spot Prices'!$D:$D)</f>
        <v>78.84</v>
      </c>
      <c r="E2140">
        <f>_xlfn.XLOOKUP(A2140,'[1]Global_Spot Prices'!$B:$B,'[1]Global_Spot Prices'!$H:$H)</f>
        <v>73.27</v>
      </c>
      <c r="F2140">
        <f>_xlfn.XLOOKUP(A2140,'[1]Global_Spot Prices'!$B:$B,'[1]Global_Spot Prices'!$I:$I)</f>
        <v>95.23</v>
      </c>
      <c r="G2140" cm="1">
        <f t="array" ref="G2140">_xlfn.XLOOKUP(TEXT(A2140, "mmm-yy"), TEXT([2]RUNS!$B$5:$B$208, "mmm-yy"), [2]RUNS!$D$5:$D$208, "Not Found")</f>
        <v>31114.467013690668</v>
      </c>
      <c r="H2140" cm="1">
        <f t="array" ref="H2140">SUMPRODUCT(
    --(TEXT('[3]Global Weekly Stock (EWSuez'!$B$4:$B$2000,"mmm-yy")=TEXT(A2140,"mmm-yy")),
    '[3]Global Weekly Stock (EWSuez'!$E$4:$E$2000)
/
SUMPRODUCT(
    --(TEXT('[3]Global Weekly Stock (EWSuez'!$B$4:$B$2000,"mmm-yy")=TEXT(A2140,"mmm-yy"))
)</f>
        <v>16047.2</v>
      </c>
      <c r="I2140">
        <f>_xlfn.XLOOKUP(A2140,[1]ForwardDeriv!$D:$D,[1]ForwardDeriv!$AJ:$AJ)</f>
        <v>1.8300000000000125</v>
      </c>
      <c r="J2140" cm="1">
        <f t="array" ref="J2140">_xlfn.XLOOKUP(TEXT(A2140, "mmm-yy"), TEXT([2]GASOLINE!$B$5:$B$208, "mmm-yy"), [2]GASOLINE!$IR$5:$IR$208, "Not Found")</f>
        <v>-279.78314656869929</v>
      </c>
      <c r="K2140" cm="1">
        <f t="array" ref="K2140">_xlfn.XLOOKUP(TEXT(A2140, "mmm-yy"), TEXT([2]GASOLINE!$B$5:$B$208, "mmm-yy"), [2]GASOLINE!$IK$5:$IK$208, "Not Found")</f>
        <v>223.41664603634064</v>
      </c>
      <c r="L2140">
        <f t="shared" si="33"/>
        <v>0</v>
      </c>
      <c r="M2140" cm="1">
        <f t="array" ref="M2140">_xlfn.XLOOKUP(TEXT(A2140, "mmm-yy"), TEXT([2]GASOLINE!$B$5:$B$208, "mmm-yy"), [2]GASOLINE!$C$5:$C$208, "Not Found")</f>
        <v>7671.7935442026428</v>
      </c>
      <c r="N2140" cm="1">
        <f t="array" ref="N2140">_xlfn.XLOOKUP(TEXT(A2140, "mmm-yy"), TEXT([2]RUNS!$B$5:$B$208, "mmm-yy"), [2]RUNS!$BM$5:$BM$208, "Not Found")</f>
        <v>0.84290667628444649</v>
      </c>
    </row>
    <row r="2141" spans="1:14" x14ac:dyDescent="0.25">
      <c r="A2141" s="1">
        <f>'[1]Global_Spot Prices'!$B3450</f>
        <v>45000</v>
      </c>
      <c r="B2141">
        <f>_xlfn.XLOOKUP(A2141,'[1]Global_Spot Prices'!$B:$B,'[1]Global_Spot Prices'!$BS:$BS)</f>
        <v>18.47</v>
      </c>
      <c r="C2141">
        <f>_xlfn.XLOOKUP(A2141,'[1]Global_Spot Prices'!$B:$B,'[1]Global_Spot Prices'!$E:$E)</f>
        <v>77.84</v>
      </c>
      <c r="D2141">
        <f>_xlfn.XLOOKUP(A2141,'[1]Global_Spot Prices'!$B:$B,'[1]Global_Spot Prices'!$D:$D)</f>
        <v>71.84</v>
      </c>
      <c r="E2141">
        <f>_xlfn.XLOOKUP(A2141,'[1]Global_Spot Prices'!$B:$B,'[1]Global_Spot Prices'!$H:$H)</f>
        <v>73.06</v>
      </c>
      <c r="F2141">
        <f>_xlfn.XLOOKUP(A2141,'[1]Global_Spot Prices'!$B:$B,'[1]Global_Spot Prices'!$I:$I)</f>
        <v>96.31</v>
      </c>
      <c r="G2141" cm="1">
        <f t="array" ref="G2141">_xlfn.XLOOKUP(TEXT(A2141, "mmm-yy"), TEXT([2]RUNS!$B$5:$B$208, "mmm-yy"), [2]RUNS!$D$5:$D$208, "Not Found")</f>
        <v>31114.467013690668</v>
      </c>
      <c r="H2141" cm="1">
        <f t="array" ref="H2141">SUMPRODUCT(
    --(TEXT('[3]Global Weekly Stock (EWSuez'!$B$4:$B$2000,"mmm-yy")=TEXT(A2141,"mmm-yy")),
    '[3]Global Weekly Stock (EWSuez'!$E$4:$E$2000)
/
SUMPRODUCT(
    --(TEXT('[3]Global Weekly Stock (EWSuez'!$B$4:$B$2000,"mmm-yy")=TEXT(A2141,"mmm-yy"))
)</f>
        <v>16047.2</v>
      </c>
      <c r="I2141">
        <f>_xlfn.XLOOKUP(A2141,[1]ForwardDeriv!$D:$D,[1]ForwardDeriv!$AJ:$AJ)</f>
        <v>2</v>
      </c>
      <c r="J2141" cm="1">
        <f t="array" ref="J2141">_xlfn.XLOOKUP(TEXT(A2141, "mmm-yy"), TEXT([2]GASOLINE!$B$5:$B$208, "mmm-yy"), [2]GASOLINE!$IR$5:$IR$208, "Not Found")</f>
        <v>-279.78314656869929</v>
      </c>
      <c r="K2141" cm="1">
        <f t="array" ref="K2141">_xlfn.XLOOKUP(TEXT(A2141, "mmm-yy"), TEXT([2]GASOLINE!$B$5:$B$208, "mmm-yy"), [2]GASOLINE!$IK$5:$IK$208, "Not Found")</f>
        <v>223.41664603634064</v>
      </c>
      <c r="L2141">
        <f t="shared" si="33"/>
        <v>0</v>
      </c>
      <c r="M2141" cm="1">
        <f t="array" ref="M2141">_xlfn.XLOOKUP(TEXT(A2141, "mmm-yy"), TEXT([2]GASOLINE!$B$5:$B$208, "mmm-yy"), [2]GASOLINE!$C$5:$C$208, "Not Found")</f>
        <v>7671.7935442026428</v>
      </c>
      <c r="N2141" cm="1">
        <f t="array" ref="N2141">_xlfn.XLOOKUP(TEXT(A2141, "mmm-yy"), TEXT([2]RUNS!$B$5:$B$208, "mmm-yy"), [2]RUNS!$BM$5:$BM$208, "Not Found")</f>
        <v>0.84290667628444649</v>
      </c>
    </row>
    <row r="2142" spans="1:14" x14ac:dyDescent="0.25">
      <c r="A2142" s="1">
        <f>'[1]Global_Spot Prices'!$B3451</f>
        <v>45001</v>
      </c>
      <c r="B2142">
        <f>_xlfn.XLOOKUP(A2142,'[1]Global_Spot Prices'!$B:$B,'[1]Global_Spot Prices'!$BS:$BS)</f>
        <v>14.789999999999992</v>
      </c>
      <c r="C2142">
        <f>_xlfn.XLOOKUP(A2142,'[1]Global_Spot Prices'!$B:$B,'[1]Global_Spot Prices'!$E:$E)</f>
        <v>73.98</v>
      </c>
      <c r="D2142">
        <f>_xlfn.XLOOKUP(A2142,'[1]Global_Spot Prices'!$B:$B,'[1]Global_Spot Prices'!$D:$D)</f>
        <v>73.135000000000005</v>
      </c>
      <c r="E2142">
        <f>_xlfn.XLOOKUP(A2142,'[1]Global_Spot Prices'!$B:$B,'[1]Global_Spot Prices'!$H:$H)</f>
        <v>67.98</v>
      </c>
      <c r="F2142">
        <f>_xlfn.XLOOKUP(A2142,'[1]Global_Spot Prices'!$B:$B,'[1]Global_Spot Prices'!$I:$I)</f>
        <v>88.77</v>
      </c>
      <c r="G2142" cm="1">
        <f t="array" ref="G2142">_xlfn.XLOOKUP(TEXT(A2142, "mmm-yy"), TEXT([2]RUNS!$B$5:$B$208, "mmm-yy"), [2]RUNS!$D$5:$D$208, "Not Found")</f>
        <v>31114.467013690668</v>
      </c>
      <c r="H2142" cm="1">
        <f t="array" ref="H2142">SUMPRODUCT(
    --(TEXT('[3]Global Weekly Stock (EWSuez'!$B$4:$B$2000,"mmm-yy")=TEXT(A2142,"mmm-yy")),
    '[3]Global Weekly Stock (EWSuez'!$E$4:$E$2000)
/
SUMPRODUCT(
    --(TEXT('[3]Global Weekly Stock (EWSuez'!$B$4:$B$2000,"mmm-yy")=TEXT(A2142,"mmm-yy"))
)</f>
        <v>16047.2</v>
      </c>
      <c r="I2142">
        <f>_xlfn.XLOOKUP(A2142,[1]ForwardDeriv!$D:$D,[1]ForwardDeriv!$AJ:$AJ)</f>
        <v>1.6899999999999977</v>
      </c>
      <c r="J2142" cm="1">
        <f t="array" ref="J2142">_xlfn.XLOOKUP(TEXT(A2142, "mmm-yy"), TEXT([2]GASOLINE!$B$5:$B$208, "mmm-yy"), [2]GASOLINE!$IR$5:$IR$208, "Not Found")</f>
        <v>-279.78314656869929</v>
      </c>
      <c r="K2142" cm="1">
        <f t="array" ref="K2142">_xlfn.XLOOKUP(TEXT(A2142, "mmm-yy"), TEXT([2]GASOLINE!$B$5:$B$208, "mmm-yy"), [2]GASOLINE!$IK$5:$IK$208, "Not Found")</f>
        <v>223.41664603634064</v>
      </c>
      <c r="L2142">
        <f t="shared" si="33"/>
        <v>0</v>
      </c>
      <c r="M2142" cm="1">
        <f t="array" ref="M2142">_xlfn.XLOOKUP(TEXT(A2142, "mmm-yy"), TEXT([2]GASOLINE!$B$5:$B$208, "mmm-yy"), [2]GASOLINE!$C$5:$C$208, "Not Found")</f>
        <v>7671.7935442026428</v>
      </c>
      <c r="N2142" cm="1">
        <f t="array" ref="N2142">_xlfn.XLOOKUP(TEXT(A2142, "mmm-yy"), TEXT([2]RUNS!$B$5:$B$208, "mmm-yy"), [2]RUNS!$BM$5:$BM$208, "Not Found")</f>
        <v>0.84290667628444649</v>
      </c>
    </row>
    <row r="2143" spans="1:14" x14ac:dyDescent="0.25">
      <c r="A2143" s="1">
        <f>'[1]Global_Spot Prices'!$B3452</f>
        <v>45002</v>
      </c>
      <c r="B2143">
        <f>_xlfn.XLOOKUP(A2143,'[1]Global_Spot Prices'!$B:$B,'[1]Global_Spot Prices'!$BS:$BS)</f>
        <v>15.39</v>
      </c>
      <c r="C2143">
        <f>_xlfn.XLOOKUP(A2143,'[1]Global_Spot Prices'!$B:$B,'[1]Global_Spot Prices'!$E:$E)</f>
        <v>74.849999999999994</v>
      </c>
      <c r="D2143">
        <f>_xlfn.XLOOKUP(A2143,'[1]Global_Spot Prices'!$B:$B,'[1]Global_Spot Prices'!$D:$D)</f>
        <v>72.28</v>
      </c>
      <c r="E2143">
        <f>_xlfn.XLOOKUP(A2143,'[1]Global_Spot Prices'!$B:$B,'[1]Global_Spot Prices'!$H:$H)</f>
        <v>69.5</v>
      </c>
      <c r="F2143">
        <f>_xlfn.XLOOKUP(A2143,'[1]Global_Spot Prices'!$B:$B,'[1]Global_Spot Prices'!$I:$I)</f>
        <v>90.24</v>
      </c>
      <c r="G2143" cm="1">
        <f t="array" ref="G2143">_xlfn.XLOOKUP(TEXT(A2143, "mmm-yy"), TEXT([2]RUNS!$B$5:$B$208, "mmm-yy"), [2]RUNS!$D$5:$D$208, "Not Found")</f>
        <v>31114.467013690668</v>
      </c>
      <c r="H2143" cm="1">
        <f t="array" ref="H2143">SUMPRODUCT(
    --(TEXT('[3]Global Weekly Stock (EWSuez'!$B$4:$B$2000,"mmm-yy")=TEXT(A2143,"mmm-yy")),
    '[3]Global Weekly Stock (EWSuez'!$E$4:$E$2000)
/
SUMPRODUCT(
    --(TEXT('[3]Global Weekly Stock (EWSuez'!$B$4:$B$2000,"mmm-yy")=TEXT(A2143,"mmm-yy"))
)</f>
        <v>16047.2</v>
      </c>
      <c r="I2143">
        <f>_xlfn.XLOOKUP(A2143,[1]ForwardDeriv!$D:$D,[1]ForwardDeriv!$AJ:$AJ)</f>
        <v>1.7800000000000011</v>
      </c>
      <c r="J2143" cm="1">
        <f t="array" ref="J2143">_xlfn.XLOOKUP(TEXT(A2143, "mmm-yy"), TEXT([2]GASOLINE!$B$5:$B$208, "mmm-yy"), [2]GASOLINE!$IR$5:$IR$208, "Not Found")</f>
        <v>-279.78314656869929</v>
      </c>
      <c r="K2143" cm="1">
        <f t="array" ref="K2143">_xlfn.XLOOKUP(TEXT(A2143, "mmm-yy"), TEXT([2]GASOLINE!$B$5:$B$208, "mmm-yy"), [2]GASOLINE!$IK$5:$IK$208, "Not Found")</f>
        <v>223.41664603634064</v>
      </c>
      <c r="L2143">
        <f t="shared" si="33"/>
        <v>0</v>
      </c>
      <c r="M2143" cm="1">
        <f t="array" ref="M2143">_xlfn.XLOOKUP(TEXT(A2143, "mmm-yy"), TEXT([2]GASOLINE!$B$5:$B$208, "mmm-yy"), [2]GASOLINE!$C$5:$C$208, "Not Found")</f>
        <v>7671.7935442026428</v>
      </c>
      <c r="N2143" cm="1">
        <f t="array" ref="N2143">_xlfn.XLOOKUP(TEXT(A2143, "mmm-yy"), TEXT([2]RUNS!$B$5:$B$208, "mmm-yy"), [2]RUNS!$BM$5:$BM$208, "Not Found")</f>
        <v>0.84290667628444649</v>
      </c>
    </row>
    <row r="2144" spans="1:14" x14ac:dyDescent="0.25">
      <c r="A2144" s="1">
        <f>'[1]Global_Spot Prices'!$B3453</f>
        <v>45005</v>
      </c>
      <c r="B2144">
        <f>_xlfn.XLOOKUP(A2144,'[1]Global_Spot Prices'!$B:$B,'[1]Global_Spot Prices'!$BS:$BS)</f>
        <v>16.059999999999988</v>
      </c>
      <c r="C2144">
        <f>_xlfn.XLOOKUP(A2144,'[1]Global_Spot Prices'!$B:$B,'[1]Global_Spot Prices'!$E:$E)</f>
        <v>70.290000000000006</v>
      </c>
      <c r="D2144">
        <f>_xlfn.XLOOKUP(A2144,'[1]Global_Spot Prices'!$B:$B,'[1]Global_Spot Prices'!$D:$D)</f>
        <v>71.704999999999998</v>
      </c>
      <c r="E2144">
        <f>_xlfn.XLOOKUP(A2144,'[1]Global_Spot Prices'!$B:$B,'[1]Global_Spot Prices'!$H:$H)</f>
        <v>64.2</v>
      </c>
      <c r="F2144">
        <f>_xlfn.XLOOKUP(A2144,'[1]Global_Spot Prices'!$B:$B,'[1]Global_Spot Prices'!$I:$I)</f>
        <v>86.35</v>
      </c>
      <c r="G2144" cm="1">
        <f t="array" ref="G2144">_xlfn.XLOOKUP(TEXT(A2144, "mmm-yy"), TEXT([2]RUNS!$B$5:$B$208, "mmm-yy"), [2]RUNS!$D$5:$D$208, "Not Found")</f>
        <v>31114.467013690668</v>
      </c>
      <c r="H2144" cm="1">
        <f t="array" ref="H2144">SUMPRODUCT(
    --(TEXT('[3]Global Weekly Stock (EWSuez'!$B$4:$B$2000,"mmm-yy")=TEXT(A2144,"mmm-yy")),
    '[3]Global Weekly Stock (EWSuez'!$E$4:$E$2000)
/
SUMPRODUCT(
    --(TEXT('[3]Global Weekly Stock (EWSuez'!$B$4:$B$2000,"mmm-yy")=TEXT(A2144,"mmm-yy"))
)</f>
        <v>16047.2</v>
      </c>
      <c r="I2144">
        <f>_xlfn.XLOOKUP(A2144,[1]ForwardDeriv!$D:$D,[1]ForwardDeriv!$AJ:$AJ)</f>
        <v>1.7000000000000028</v>
      </c>
      <c r="J2144" cm="1">
        <f t="array" ref="J2144">_xlfn.XLOOKUP(TEXT(A2144, "mmm-yy"), TEXT([2]GASOLINE!$B$5:$B$208, "mmm-yy"), [2]GASOLINE!$IR$5:$IR$208, "Not Found")</f>
        <v>-279.78314656869929</v>
      </c>
      <c r="K2144" cm="1">
        <f t="array" ref="K2144">_xlfn.XLOOKUP(TEXT(A2144, "mmm-yy"), TEXT([2]GASOLINE!$B$5:$B$208, "mmm-yy"), [2]GASOLINE!$IK$5:$IK$208, "Not Found")</f>
        <v>223.41664603634064</v>
      </c>
      <c r="L2144">
        <f t="shared" si="33"/>
        <v>0</v>
      </c>
      <c r="M2144" cm="1">
        <f t="array" ref="M2144">_xlfn.XLOOKUP(TEXT(A2144, "mmm-yy"), TEXT([2]GASOLINE!$B$5:$B$208, "mmm-yy"), [2]GASOLINE!$C$5:$C$208, "Not Found")</f>
        <v>7671.7935442026428</v>
      </c>
      <c r="N2144" cm="1">
        <f t="array" ref="N2144">_xlfn.XLOOKUP(TEXT(A2144, "mmm-yy"), TEXT([2]RUNS!$B$5:$B$208, "mmm-yy"), [2]RUNS!$BM$5:$BM$208, "Not Found")</f>
        <v>0.84290667628444649</v>
      </c>
    </row>
    <row r="2145" spans="1:14" x14ac:dyDescent="0.25">
      <c r="A2145" s="1">
        <f>'[1]Global_Spot Prices'!$B3454</f>
        <v>45006</v>
      </c>
      <c r="B2145">
        <f>_xlfn.XLOOKUP(A2145,'[1]Global_Spot Prices'!$B:$B,'[1]Global_Spot Prices'!$BS:$BS)</f>
        <v>16.86</v>
      </c>
      <c r="C2145">
        <f>_xlfn.XLOOKUP(A2145,'[1]Global_Spot Prices'!$B:$B,'[1]Global_Spot Prices'!$E:$E)</f>
        <v>73.7</v>
      </c>
      <c r="D2145">
        <f>_xlfn.XLOOKUP(A2145,'[1]Global_Spot Prices'!$B:$B,'[1]Global_Spot Prices'!$D:$D)</f>
        <v>73.775000000000006</v>
      </c>
      <c r="E2145">
        <f>_xlfn.XLOOKUP(A2145,'[1]Global_Spot Prices'!$B:$B,'[1]Global_Spot Prices'!$H:$H)</f>
        <v>67.44</v>
      </c>
      <c r="F2145">
        <f>_xlfn.XLOOKUP(A2145,'[1]Global_Spot Prices'!$B:$B,'[1]Global_Spot Prices'!$I:$I)</f>
        <v>90.56</v>
      </c>
      <c r="G2145" cm="1">
        <f t="array" ref="G2145">_xlfn.XLOOKUP(TEXT(A2145, "mmm-yy"), TEXT([2]RUNS!$B$5:$B$208, "mmm-yy"), [2]RUNS!$D$5:$D$208, "Not Found")</f>
        <v>31114.467013690668</v>
      </c>
      <c r="H2145" cm="1">
        <f t="array" ref="H2145">SUMPRODUCT(
    --(TEXT('[3]Global Weekly Stock (EWSuez'!$B$4:$B$2000,"mmm-yy")=TEXT(A2145,"mmm-yy")),
    '[3]Global Weekly Stock (EWSuez'!$E$4:$E$2000)
/
SUMPRODUCT(
    --(TEXT('[3]Global Weekly Stock (EWSuez'!$B$4:$B$2000,"mmm-yy")=TEXT(A2145,"mmm-yy"))
)</f>
        <v>16047.2</v>
      </c>
      <c r="I2145">
        <f>_xlfn.XLOOKUP(A2145,[1]ForwardDeriv!$D:$D,[1]ForwardDeriv!$AJ:$AJ)</f>
        <v>1.9000000000000057</v>
      </c>
      <c r="J2145" cm="1">
        <f t="array" ref="J2145">_xlfn.XLOOKUP(TEXT(A2145, "mmm-yy"), TEXT([2]GASOLINE!$B$5:$B$208, "mmm-yy"), [2]GASOLINE!$IR$5:$IR$208, "Not Found")</f>
        <v>-279.78314656869929</v>
      </c>
      <c r="K2145" cm="1">
        <f t="array" ref="K2145">_xlfn.XLOOKUP(TEXT(A2145, "mmm-yy"), TEXT([2]GASOLINE!$B$5:$B$208, "mmm-yy"), [2]GASOLINE!$IK$5:$IK$208, "Not Found")</f>
        <v>223.41664603634064</v>
      </c>
      <c r="L2145">
        <f t="shared" si="33"/>
        <v>0</v>
      </c>
      <c r="M2145" cm="1">
        <f t="array" ref="M2145">_xlfn.XLOOKUP(TEXT(A2145, "mmm-yy"), TEXT([2]GASOLINE!$B$5:$B$208, "mmm-yy"), [2]GASOLINE!$C$5:$C$208, "Not Found")</f>
        <v>7671.7935442026428</v>
      </c>
      <c r="N2145" cm="1">
        <f t="array" ref="N2145">_xlfn.XLOOKUP(TEXT(A2145, "mmm-yy"), TEXT([2]RUNS!$B$5:$B$208, "mmm-yy"), [2]RUNS!$BM$5:$BM$208, "Not Found")</f>
        <v>0.84290667628444649</v>
      </c>
    </row>
    <row r="2146" spans="1:14" x14ac:dyDescent="0.25">
      <c r="A2146" s="1">
        <f>'[1]Global_Spot Prices'!$B3455</f>
        <v>45007</v>
      </c>
      <c r="B2146">
        <f>_xlfn.XLOOKUP(A2146,'[1]Global_Spot Prices'!$B:$B,'[1]Global_Spot Prices'!$BS:$BS)</f>
        <v>16.540000000000006</v>
      </c>
      <c r="C2146">
        <f>_xlfn.XLOOKUP(A2146,'[1]Global_Spot Prices'!$B:$B,'[1]Global_Spot Prices'!$E:$E)</f>
        <v>74.55</v>
      </c>
      <c r="D2146">
        <f>_xlfn.XLOOKUP(A2146,'[1]Global_Spot Prices'!$B:$B,'[1]Global_Spot Prices'!$D:$D)</f>
        <v>75.36</v>
      </c>
      <c r="E2146">
        <f>_xlfn.XLOOKUP(A2146,'[1]Global_Spot Prices'!$B:$B,'[1]Global_Spot Prices'!$H:$H)</f>
        <v>67.180000000000007</v>
      </c>
      <c r="F2146">
        <f>_xlfn.XLOOKUP(A2146,'[1]Global_Spot Prices'!$B:$B,'[1]Global_Spot Prices'!$I:$I)</f>
        <v>91.09</v>
      </c>
      <c r="G2146" cm="1">
        <f t="array" ref="G2146">_xlfn.XLOOKUP(TEXT(A2146, "mmm-yy"), TEXT([2]RUNS!$B$5:$B$208, "mmm-yy"), [2]RUNS!$D$5:$D$208, "Not Found")</f>
        <v>31114.467013690668</v>
      </c>
      <c r="H2146" cm="1">
        <f t="array" ref="H2146">SUMPRODUCT(
    --(TEXT('[3]Global Weekly Stock (EWSuez'!$B$4:$B$2000,"mmm-yy")=TEXT(A2146,"mmm-yy")),
    '[3]Global Weekly Stock (EWSuez'!$E$4:$E$2000)
/
SUMPRODUCT(
    --(TEXT('[3]Global Weekly Stock (EWSuez'!$B$4:$B$2000,"mmm-yy")=TEXT(A2146,"mmm-yy"))
)</f>
        <v>16047.2</v>
      </c>
      <c r="I2146">
        <f>_xlfn.XLOOKUP(A2146,[1]ForwardDeriv!$D:$D,[1]ForwardDeriv!$AJ:$AJ)</f>
        <v>2.0499999999999972</v>
      </c>
      <c r="J2146" cm="1">
        <f t="array" ref="J2146">_xlfn.XLOOKUP(TEXT(A2146, "mmm-yy"), TEXT([2]GASOLINE!$B$5:$B$208, "mmm-yy"), [2]GASOLINE!$IR$5:$IR$208, "Not Found")</f>
        <v>-279.78314656869929</v>
      </c>
      <c r="K2146" cm="1">
        <f t="array" ref="K2146">_xlfn.XLOOKUP(TEXT(A2146, "mmm-yy"), TEXT([2]GASOLINE!$B$5:$B$208, "mmm-yy"), [2]GASOLINE!$IK$5:$IK$208, "Not Found")</f>
        <v>223.41664603634064</v>
      </c>
      <c r="L2146">
        <f t="shared" si="33"/>
        <v>0</v>
      </c>
      <c r="M2146" cm="1">
        <f t="array" ref="M2146">_xlfn.XLOOKUP(TEXT(A2146, "mmm-yy"), TEXT([2]GASOLINE!$B$5:$B$208, "mmm-yy"), [2]GASOLINE!$C$5:$C$208, "Not Found")</f>
        <v>7671.7935442026428</v>
      </c>
      <c r="N2146" cm="1">
        <f t="array" ref="N2146">_xlfn.XLOOKUP(TEXT(A2146, "mmm-yy"), TEXT([2]RUNS!$B$5:$B$208, "mmm-yy"), [2]RUNS!$BM$5:$BM$208, "Not Found")</f>
        <v>0.84290667628444649</v>
      </c>
    </row>
    <row r="2147" spans="1:14" x14ac:dyDescent="0.25">
      <c r="A2147" s="1">
        <f>'[1]Global_Spot Prices'!$B3456</f>
        <v>45008</v>
      </c>
      <c r="B2147">
        <f>_xlfn.XLOOKUP(A2147,'[1]Global_Spot Prices'!$B:$B,'[1]Global_Spot Prices'!$BS:$BS)</f>
        <v>17.629999999999995</v>
      </c>
      <c r="C2147">
        <f>_xlfn.XLOOKUP(A2147,'[1]Global_Spot Prices'!$B:$B,'[1]Global_Spot Prices'!$E:$E)</f>
        <v>76.09</v>
      </c>
      <c r="D2147">
        <f>_xlfn.XLOOKUP(A2147,'[1]Global_Spot Prices'!$B:$B,'[1]Global_Spot Prices'!$D:$D)</f>
        <v>75.88</v>
      </c>
      <c r="E2147">
        <f>_xlfn.XLOOKUP(A2147,'[1]Global_Spot Prices'!$B:$B,'[1]Global_Spot Prices'!$H:$H)</f>
        <v>69.02</v>
      </c>
      <c r="F2147">
        <f>_xlfn.XLOOKUP(A2147,'[1]Global_Spot Prices'!$B:$B,'[1]Global_Spot Prices'!$I:$I)</f>
        <v>93.72</v>
      </c>
      <c r="G2147" cm="1">
        <f t="array" ref="G2147">_xlfn.XLOOKUP(TEXT(A2147, "mmm-yy"), TEXT([2]RUNS!$B$5:$B$208, "mmm-yy"), [2]RUNS!$D$5:$D$208, "Not Found")</f>
        <v>31114.467013690668</v>
      </c>
      <c r="H2147" cm="1">
        <f t="array" ref="H2147">SUMPRODUCT(
    --(TEXT('[3]Global Weekly Stock (EWSuez'!$B$4:$B$2000,"mmm-yy")=TEXT(A2147,"mmm-yy")),
    '[3]Global Weekly Stock (EWSuez'!$E$4:$E$2000)
/
SUMPRODUCT(
    --(TEXT('[3]Global Weekly Stock (EWSuez'!$B$4:$B$2000,"mmm-yy")=TEXT(A2147,"mmm-yy"))
)</f>
        <v>16047.2</v>
      </c>
      <c r="I2147">
        <f>_xlfn.XLOOKUP(A2147,[1]ForwardDeriv!$D:$D,[1]ForwardDeriv!$AJ:$AJ)</f>
        <v>2.1999999999999886</v>
      </c>
      <c r="J2147" cm="1">
        <f t="array" ref="J2147">_xlfn.XLOOKUP(TEXT(A2147, "mmm-yy"), TEXT([2]GASOLINE!$B$5:$B$208, "mmm-yy"), [2]GASOLINE!$IR$5:$IR$208, "Not Found")</f>
        <v>-279.78314656869929</v>
      </c>
      <c r="K2147" cm="1">
        <f t="array" ref="K2147">_xlfn.XLOOKUP(TEXT(A2147, "mmm-yy"), TEXT([2]GASOLINE!$B$5:$B$208, "mmm-yy"), [2]GASOLINE!$IK$5:$IK$208, "Not Found")</f>
        <v>223.41664603634064</v>
      </c>
      <c r="L2147">
        <f t="shared" si="33"/>
        <v>0</v>
      </c>
      <c r="M2147" cm="1">
        <f t="array" ref="M2147">_xlfn.XLOOKUP(TEXT(A2147, "mmm-yy"), TEXT([2]GASOLINE!$B$5:$B$208, "mmm-yy"), [2]GASOLINE!$C$5:$C$208, "Not Found")</f>
        <v>7671.7935442026428</v>
      </c>
      <c r="N2147" cm="1">
        <f t="array" ref="N2147">_xlfn.XLOOKUP(TEXT(A2147, "mmm-yy"), TEXT([2]RUNS!$B$5:$B$208, "mmm-yy"), [2]RUNS!$BM$5:$BM$208, "Not Found")</f>
        <v>0.84290667628444649</v>
      </c>
    </row>
    <row r="2148" spans="1:14" x14ac:dyDescent="0.25">
      <c r="A2148" s="1">
        <f>'[1]Global_Spot Prices'!$B3457</f>
        <v>45009</v>
      </c>
      <c r="B2148">
        <f>_xlfn.XLOOKUP(A2148,'[1]Global_Spot Prices'!$B:$B,'[1]Global_Spot Prices'!$BS:$BS)</f>
        <v>19.72</v>
      </c>
      <c r="C2148">
        <f>_xlfn.XLOOKUP(A2148,'[1]Global_Spot Prices'!$B:$B,'[1]Global_Spot Prices'!$E:$E)</f>
        <v>75.11</v>
      </c>
      <c r="D2148">
        <f>_xlfn.XLOOKUP(A2148,'[1]Global_Spot Prices'!$B:$B,'[1]Global_Spot Prices'!$D:$D)</f>
        <v>73.245000000000005</v>
      </c>
      <c r="E2148">
        <f>_xlfn.XLOOKUP(A2148,'[1]Global_Spot Prices'!$B:$B,'[1]Global_Spot Prices'!$H:$H)</f>
        <v>69.23</v>
      </c>
      <c r="F2148">
        <f>_xlfn.XLOOKUP(A2148,'[1]Global_Spot Prices'!$B:$B,'[1]Global_Spot Prices'!$I:$I)</f>
        <v>94.83</v>
      </c>
      <c r="G2148" cm="1">
        <f t="array" ref="G2148">_xlfn.XLOOKUP(TEXT(A2148, "mmm-yy"), TEXT([2]RUNS!$B$5:$B$208, "mmm-yy"), [2]RUNS!$D$5:$D$208, "Not Found")</f>
        <v>31114.467013690668</v>
      </c>
      <c r="H2148" cm="1">
        <f t="array" ref="H2148">SUMPRODUCT(
    --(TEXT('[3]Global Weekly Stock (EWSuez'!$B$4:$B$2000,"mmm-yy")=TEXT(A2148,"mmm-yy")),
    '[3]Global Weekly Stock (EWSuez'!$E$4:$E$2000)
/
SUMPRODUCT(
    --(TEXT('[3]Global Weekly Stock (EWSuez'!$B$4:$B$2000,"mmm-yy")=TEXT(A2148,"mmm-yy"))
)</f>
        <v>16047.2</v>
      </c>
      <c r="I2148">
        <f>_xlfn.XLOOKUP(A2148,[1]ForwardDeriv!$D:$D,[1]ForwardDeriv!$AJ:$AJ)</f>
        <v>2.7999999999999972</v>
      </c>
      <c r="J2148" cm="1">
        <f t="array" ref="J2148">_xlfn.XLOOKUP(TEXT(A2148, "mmm-yy"), TEXT([2]GASOLINE!$B$5:$B$208, "mmm-yy"), [2]GASOLINE!$IR$5:$IR$208, "Not Found")</f>
        <v>-279.78314656869929</v>
      </c>
      <c r="K2148" cm="1">
        <f t="array" ref="K2148">_xlfn.XLOOKUP(TEXT(A2148, "mmm-yy"), TEXT([2]GASOLINE!$B$5:$B$208, "mmm-yy"), [2]GASOLINE!$IK$5:$IK$208, "Not Found")</f>
        <v>223.41664603634064</v>
      </c>
      <c r="L2148">
        <f t="shared" si="33"/>
        <v>0</v>
      </c>
      <c r="M2148" cm="1">
        <f t="array" ref="M2148">_xlfn.XLOOKUP(TEXT(A2148, "mmm-yy"), TEXT([2]GASOLINE!$B$5:$B$208, "mmm-yy"), [2]GASOLINE!$C$5:$C$208, "Not Found")</f>
        <v>7671.7935442026428</v>
      </c>
      <c r="N2148" cm="1">
        <f t="array" ref="N2148">_xlfn.XLOOKUP(TEXT(A2148, "mmm-yy"), TEXT([2]RUNS!$B$5:$B$208, "mmm-yy"), [2]RUNS!$BM$5:$BM$208, "Not Found")</f>
        <v>0.84290667628444649</v>
      </c>
    </row>
    <row r="2149" spans="1:14" x14ac:dyDescent="0.25">
      <c r="A2149" s="1">
        <f>'[1]Global_Spot Prices'!$B3458</f>
        <v>45012</v>
      </c>
      <c r="B2149">
        <f>_xlfn.XLOOKUP(A2149,'[1]Global_Spot Prices'!$B:$B,'[1]Global_Spot Prices'!$BS:$BS)</f>
        <v>19.045000000000002</v>
      </c>
      <c r="C2149">
        <f>_xlfn.XLOOKUP(A2149,'[1]Global_Spot Prices'!$B:$B,'[1]Global_Spot Prices'!$E:$E)</f>
        <v>74.745000000000005</v>
      </c>
      <c r="D2149">
        <f>_xlfn.XLOOKUP(A2149,'[1]Global_Spot Prices'!$B:$B,'[1]Global_Spot Prices'!$D:$D)</f>
        <v>75.254999999999995</v>
      </c>
      <c r="E2149">
        <f>_xlfn.XLOOKUP(A2149,'[1]Global_Spot Prices'!$B:$B,'[1]Global_Spot Prices'!$H:$H)</f>
        <v>69.260000000000005</v>
      </c>
      <c r="F2149">
        <f>_xlfn.XLOOKUP(A2149,'[1]Global_Spot Prices'!$B:$B,'[1]Global_Spot Prices'!$I:$I)</f>
        <v>93.79</v>
      </c>
      <c r="G2149" cm="1">
        <f t="array" ref="G2149">_xlfn.XLOOKUP(TEXT(A2149, "mmm-yy"), TEXT([2]RUNS!$B$5:$B$208, "mmm-yy"), [2]RUNS!$D$5:$D$208, "Not Found")</f>
        <v>31114.467013690668</v>
      </c>
      <c r="H2149" cm="1">
        <f t="array" ref="H2149">SUMPRODUCT(
    --(TEXT('[3]Global Weekly Stock (EWSuez'!$B$4:$B$2000,"mmm-yy")=TEXT(A2149,"mmm-yy")),
    '[3]Global Weekly Stock (EWSuez'!$E$4:$E$2000)
/
SUMPRODUCT(
    --(TEXT('[3]Global Weekly Stock (EWSuez'!$B$4:$B$2000,"mmm-yy")=TEXT(A2149,"mmm-yy"))
)</f>
        <v>16047.2</v>
      </c>
      <c r="I2149">
        <f>_xlfn.XLOOKUP(A2149,[1]ForwardDeriv!$D:$D,[1]ForwardDeriv!$AJ:$AJ)</f>
        <v>2.3500000000000085</v>
      </c>
      <c r="J2149" cm="1">
        <f t="array" ref="J2149">_xlfn.XLOOKUP(TEXT(A2149, "mmm-yy"), TEXT([2]GASOLINE!$B$5:$B$208, "mmm-yy"), [2]GASOLINE!$IR$5:$IR$208, "Not Found")</f>
        <v>-279.78314656869929</v>
      </c>
      <c r="K2149" cm="1">
        <f t="array" ref="K2149">_xlfn.XLOOKUP(TEXT(A2149, "mmm-yy"), TEXT([2]GASOLINE!$B$5:$B$208, "mmm-yy"), [2]GASOLINE!$IK$5:$IK$208, "Not Found")</f>
        <v>223.41664603634064</v>
      </c>
      <c r="L2149">
        <f t="shared" si="33"/>
        <v>0</v>
      </c>
      <c r="M2149" cm="1">
        <f t="array" ref="M2149">_xlfn.XLOOKUP(TEXT(A2149, "mmm-yy"), TEXT([2]GASOLINE!$B$5:$B$208, "mmm-yy"), [2]GASOLINE!$C$5:$C$208, "Not Found")</f>
        <v>7671.7935442026428</v>
      </c>
      <c r="N2149" cm="1">
        <f t="array" ref="N2149">_xlfn.XLOOKUP(TEXT(A2149, "mmm-yy"), TEXT([2]RUNS!$B$5:$B$208, "mmm-yy"), [2]RUNS!$BM$5:$BM$208, "Not Found")</f>
        <v>0.84290667628444649</v>
      </c>
    </row>
    <row r="2150" spans="1:14" x14ac:dyDescent="0.25">
      <c r="A2150" s="1">
        <f>'[1]Global_Spot Prices'!$B3459</f>
        <v>45013</v>
      </c>
      <c r="B2150">
        <f>_xlfn.XLOOKUP(A2150,'[1]Global_Spot Prices'!$B:$B,'[1]Global_Spot Prices'!$BS:$BS)</f>
        <v>18.275000000000006</v>
      </c>
      <c r="C2150">
        <f>_xlfn.XLOOKUP(A2150,'[1]Global_Spot Prices'!$B:$B,'[1]Global_Spot Prices'!$E:$E)</f>
        <v>77.844999999999999</v>
      </c>
      <c r="D2150">
        <f>_xlfn.XLOOKUP(A2150,'[1]Global_Spot Prices'!$B:$B,'[1]Global_Spot Prices'!$D:$D)</f>
        <v>77.84</v>
      </c>
      <c r="E2150">
        <f>_xlfn.XLOOKUP(A2150,'[1]Global_Spot Prices'!$B:$B,'[1]Global_Spot Prices'!$H:$H)</f>
        <v>71.12</v>
      </c>
      <c r="F2150">
        <f>_xlfn.XLOOKUP(A2150,'[1]Global_Spot Prices'!$B:$B,'[1]Global_Spot Prices'!$I:$I)</f>
        <v>96.12</v>
      </c>
      <c r="G2150" cm="1">
        <f t="array" ref="G2150">_xlfn.XLOOKUP(TEXT(A2150, "mmm-yy"), TEXT([2]RUNS!$B$5:$B$208, "mmm-yy"), [2]RUNS!$D$5:$D$208, "Not Found")</f>
        <v>31114.467013690668</v>
      </c>
      <c r="H2150" cm="1">
        <f t="array" ref="H2150">SUMPRODUCT(
    --(TEXT('[3]Global Weekly Stock (EWSuez'!$B$4:$B$2000,"mmm-yy")=TEXT(A2150,"mmm-yy")),
    '[3]Global Weekly Stock (EWSuez'!$E$4:$E$2000)
/
SUMPRODUCT(
    --(TEXT('[3]Global Weekly Stock (EWSuez'!$B$4:$B$2000,"mmm-yy")=TEXT(A2150,"mmm-yy"))
)</f>
        <v>16047.2</v>
      </c>
      <c r="I2150">
        <f>_xlfn.XLOOKUP(A2150,[1]ForwardDeriv!$D:$D,[1]ForwardDeriv!$AJ:$AJ)</f>
        <v>2.269999999999996</v>
      </c>
      <c r="J2150" cm="1">
        <f t="array" ref="J2150">_xlfn.XLOOKUP(TEXT(A2150, "mmm-yy"), TEXT([2]GASOLINE!$B$5:$B$208, "mmm-yy"), [2]GASOLINE!$IR$5:$IR$208, "Not Found")</f>
        <v>-279.78314656869929</v>
      </c>
      <c r="K2150" cm="1">
        <f t="array" ref="K2150">_xlfn.XLOOKUP(TEXT(A2150, "mmm-yy"), TEXT([2]GASOLINE!$B$5:$B$208, "mmm-yy"), [2]GASOLINE!$IK$5:$IK$208, "Not Found")</f>
        <v>223.41664603634064</v>
      </c>
      <c r="L2150">
        <f t="shared" si="33"/>
        <v>0</v>
      </c>
      <c r="M2150" cm="1">
        <f t="array" ref="M2150">_xlfn.XLOOKUP(TEXT(A2150, "mmm-yy"), TEXT([2]GASOLINE!$B$5:$B$208, "mmm-yy"), [2]GASOLINE!$C$5:$C$208, "Not Found")</f>
        <v>7671.7935442026428</v>
      </c>
      <c r="N2150" cm="1">
        <f t="array" ref="N2150">_xlfn.XLOOKUP(TEXT(A2150, "mmm-yy"), TEXT([2]RUNS!$B$5:$B$208, "mmm-yy"), [2]RUNS!$BM$5:$BM$208, "Not Found")</f>
        <v>0.84290667628444649</v>
      </c>
    </row>
    <row r="2151" spans="1:14" x14ac:dyDescent="0.25">
      <c r="A2151" s="1">
        <f>'[1]Global_Spot Prices'!$B3460</f>
        <v>45014</v>
      </c>
      <c r="B2151">
        <f>_xlfn.XLOOKUP(A2151,'[1]Global_Spot Prices'!$B:$B,'[1]Global_Spot Prices'!$BS:$BS)</f>
        <v>18.260000000000005</v>
      </c>
      <c r="C2151">
        <f>_xlfn.XLOOKUP(A2151,'[1]Global_Spot Prices'!$B:$B,'[1]Global_Spot Prices'!$E:$E)</f>
        <v>77.989999999999995</v>
      </c>
      <c r="D2151">
        <f>_xlfn.XLOOKUP(A2151,'[1]Global_Spot Prices'!$B:$B,'[1]Global_Spot Prices'!$D:$D)</f>
        <v>78.03</v>
      </c>
      <c r="E2151">
        <f>_xlfn.XLOOKUP(A2151,'[1]Global_Spot Prices'!$B:$B,'[1]Global_Spot Prices'!$H:$H)</f>
        <v>70.87</v>
      </c>
      <c r="F2151">
        <f>_xlfn.XLOOKUP(A2151,'[1]Global_Spot Prices'!$B:$B,'[1]Global_Spot Prices'!$I:$I)</f>
        <v>96.25</v>
      </c>
      <c r="G2151" cm="1">
        <f t="array" ref="G2151">_xlfn.XLOOKUP(TEXT(A2151, "mmm-yy"), TEXT([2]RUNS!$B$5:$B$208, "mmm-yy"), [2]RUNS!$D$5:$D$208, "Not Found")</f>
        <v>31114.467013690668</v>
      </c>
      <c r="H2151" cm="1">
        <f t="array" ref="H2151">SUMPRODUCT(
    --(TEXT('[3]Global Weekly Stock (EWSuez'!$B$4:$B$2000,"mmm-yy")=TEXT(A2151,"mmm-yy")),
    '[3]Global Weekly Stock (EWSuez'!$E$4:$E$2000)
/
SUMPRODUCT(
    --(TEXT('[3]Global Weekly Stock (EWSuez'!$B$4:$B$2000,"mmm-yy")=TEXT(A2151,"mmm-yy"))
)</f>
        <v>16047.2</v>
      </c>
      <c r="I2151">
        <f>_xlfn.XLOOKUP(A2151,[1]ForwardDeriv!$D:$D,[1]ForwardDeriv!$AJ:$AJ)</f>
        <v>2.25</v>
      </c>
      <c r="J2151" cm="1">
        <f t="array" ref="J2151">_xlfn.XLOOKUP(TEXT(A2151, "mmm-yy"), TEXT([2]GASOLINE!$B$5:$B$208, "mmm-yy"), [2]GASOLINE!$IR$5:$IR$208, "Not Found")</f>
        <v>-279.78314656869929</v>
      </c>
      <c r="K2151" cm="1">
        <f t="array" ref="K2151">_xlfn.XLOOKUP(TEXT(A2151, "mmm-yy"), TEXT([2]GASOLINE!$B$5:$B$208, "mmm-yy"), [2]GASOLINE!$IK$5:$IK$208, "Not Found")</f>
        <v>223.41664603634064</v>
      </c>
      <c r="L2151">
        <f t="shared" si="33"/>
        <v>0</v>
      </c>
      <c r="M2151" cm="1">
        <f t="array" ref="M2151">_xlfn.XLOOKUP(TEXT(A2151, "mmm-yy"), TEXT([2]GASOLINE!$B$5:$B$208, "mmm-yy"), [2]GASOLINE!$C$5:$C$208, "Not Found")</f>
        <v>7671.7935442026428</v>
      </c>
      <c r="N2151" cm="1">
        <f t="array" ref="N2151">_xlfn.XLOOKUP(TEXT(A2151, "mmm-yy"), TEXT([2]RUNS!$B$5:$B$208, "mmm-yy"), [2]RUNS!$BM$5:$BM$208, "Not Found")</f>
        <v>0.84290667628444649</v>
      </c>
    </row>
    <row r="2152" spans="1:14" x14ac:dyDescent="0.25">
      <c r="A2152" s="1">
        <f>'[1]Global_Spot Prices'!$B3461</f>
        <v>45015</v>
      </c>
      <c r="B2152">
        <f>_xlfn.XLOOKUP(A2152,'[1]Global_Spot Prices'!$B:$B,'[1]Global_Spot Prices'!$BS:$BS)</f>
        <v>16.409999999999997</v>
      </c>
      <c r="C2152">
        <f>_xlfn.XLOOKUP(A2152,'[1]Global_Spot Prices'!$B:$B,'[1]Global_Spot Prices'!$E:$E)</f>
        <v>77.75</v>
      </c>
      <c r="D2152">
        <f>_xlfn.XLOOKUP(A2152,'[1]Global_Spot Prices'!$B:$B,'[1]Global_Spot Prices'!$D:$D)</f>
        <v>78.025000000000006</v>
      </c>
      <c r="E2152">
        <f>_xlfn.XLOOKUP(A2152,'[1]Global_Spot Prices'!$B:$B,'[1]Global_Spot Prices'!$H:$H)</f>
        <v>70.25</v>
      </c>
      <c r="F2152">
        <f>_xlfn.XLOOKUP(A2152,'[1]Global_Spot Prices'!$B:$B,'[1]Global_Spot Prices'!$I:$I)</f>
        <v>94.16</v>
      </c>
      <c r="G2152" cm="1">
        <f t="array" ref="G2152">_xlfn.XLOOKUP(TEXT(A2152, "mmm-yy"), TEXT([2]RUNS!$B$5:$B$208, "mmm-yy"), [2]RUNS!$D$5:$D$208, "Not Found")</f>
        <v>31114.467013690668</v>
      </c>
      <c r="H2152" cm="1">
        <f t="array" ref="H2152">SUMPRODUCT(
    --(TEXT('[3]Global Weekly Stock (EWSuez'!$B$4:$B$2000,"mmm-yy")=TEXT(A2152,"mmm-yy")),
    '[3]Global Weekly Stock (EWSuez'!$E$4:$E$2000)
/
SUMPRODUCT(
    --(TEXT('[3]Global Weekly Stock (EWSuez'!$B$4:$B$2000,"mmm-yy")=TEXT(A2152,"mmm-yy"))
)</f>
        <v>16047.2</v>
      </c>
      <c r="I2152">
        <f>_xlfn.XLOOKUP(A2152,[1]ForwardDeriv!$D:$D,[1]ForwardDeriv!$AJ:$AJ)</f>
        <v>2.0900000000000034</v>
      </c>
      <c r="J2152" cm="1">
        <f t="array" ref="J2152">_xlfn.XLOOKUP(TEXT(A2152, "mmm-yy"), TEXT([2]GASOLINE!$B$5:$B$208, "mmm-yy"), [2]GASOLINE!$IR$5:$IR$208, "Not Found")</f>
        <v>-279.78314656869929</v>
      </c>
      <c r="K2152" cm="1">
        <f t="array" ref="K2152">_xlfn.XLOOKUP(TEXT(A2152, "mmm-yy"), TEXT([2]GASOLINE!$B$5:$B$208, "mmm-yy"), [2]GASOLINE!$IK$5:$IK$208, "Not Found")</f>
        <v>223.41664603634064</v>
      </c>
      <c r="L2152">
        <f t="shared" si="33"/>
        <v>0</v>
      </c>
      <c r="M2152" cm="1">
        <f t="array" ref="M2152">_xlfn.XLOOKUP(TEXT(A2152, "mmm-yy"), TEXT([2]GASOLINE!$B$5:$B$208, "mmm-yy"), [2]GASOLINE!$C$5:$C$208, "Not Found")</f>
        <v>7671.7935442026428</v>
      </c>
      <c r="N2152" cm="1">
        <f t="array" ref="N2152">_xlfn.XLOOKUP(TEXT(A2152, "mmm-yy"), TEXT([2]RUNS!$B$5:$B$208, "mmm-yy"), [2]RUNS!$BM$5:$BM$208, "Not Found")</f>
        <v>0.84290667628444649</v>
      </c>
    </row>
    <row r="2153" spans="1:14" x14ac:dyDescent="0.25">
      <c r="A2153" s="1">
        <f>'[1]Global_Spot Prices'!$B3462</f>
        <v>45016</v>
      </c>
      <c r="B2153">
        <f>_xlfn.XLOOKUP(A2153,'[1]Global_Spot Prices'!$B:$B,'[1]Global_Spot Prices'!$BS:$BS)</f>
        <v>15.829999999999998</v>
      </c>
      <c r="C2153">
        <f>_xlfn.XLOOKUP(A2153,'[1]Global_Spot Prices'!$B:$B,'[1]Global_Spot Prices'!$E:$E)</f>
        <v>78.05</v>
      </c>
      <c r="D2153">
        <f>_xlfn.XLOOKUP(A2153,'[1]Global_Spot Prices'!$B:$B,'[1]Global_Spot Prices'!$D:$D)</f>
        <v>79.06</v>
      </c>
      <c r="E2153">
        <f>_xlfn.XLOOKUP(A2153,'[1]Global_Spot Prices'!$B:$B,'[1]Global_Spot Prices'!$H:$H)</f>
        <v>68.33</v>
      </c>
      <c r="F2153">
        <f>_xlfn.XLOOKUP(A2153,'[1]Global_Spot Prices'!$B:$B,'[1]Global_Spot Prices'!$I:$I)</f>
        <v>93.88</v>
      </c>
      <c r="G2153" cm="1">
        <f t="array" ref="G2153">_xlfn.XLOOKUP(TEXT(A2153, "mmm-yy"), TEXT([2]RUNS!$B$5:$B$208, "mmm-yy"), [2]RUNS!$D$5:$D$208, "Not Found")</f>
        <v>31114.467013690668</v>
      </c>
      <c r="H2153" cm="1">
        <f t="array" ref="H2153">SUMPRODUCT(
    --(TEXT('[3]Global Weekly Stock (EWSuez'!$B$4:$B$2000,"mmm-yy")=TEXT(A2153,"mmm-yy")),
    '[3]Global Weekly Stock (EWSuez'!$E$4:$E$2000)
/
SUMPRODUCT(
    --(TEXT('[3]Global Weekly Stock (EWSuez'!$B$4:$B$2000,"mmm-yy")=TEXT(A2153,"mmm-yy"))
)</f>
        <v>16047.2</v>
      </c>
      <c r="I2153">
        <f>_xlfn.XLOOKUP(A2153,[1]ForwardDeriv!$D:$D,[1]ForwardDeriv!$AJ:$AJ)</f>
        <v>2.289999999999992</v>
      </c>
      <c r="J2153" cm="1">
        <f t="array" ref="J2153">_xlfn.XLOOKUP(TEXT(A2153, "mmm-yy"), TEXT([2]GASOLINE!$B$5:$B$208, "mmm-yy"), [2]GASOLINE!$IR$5:$IR$208, "Not Found")</f>
        <v>-279.78314656869929</v>
      </c>
      <c r="K2153" cm="1">
        <f t="array" ref="K2153">_xlfn.XLOOKUP(TEXT(A2153, "mmm-yy"), TEXT([2]GASOLINE!$B$5:$B$208, "mmm-yy"), [2]GASOLINE!$IK$5:$IK$208, "Not Found")</f>
        <v>223.41664603634064</v>
      </c>
      <c r="L2153">
        <f t="shared" si="33"/>
        <v>0</v>
      </c>
      <c r="M2153" cm="1">
        <f t="array" ref="M2153">_xlfn.XLOOKUP(TEXT(A2153, "mmm-yy"), TEXT([2]GASOLINE!$B$5:$B$208, "mmm-yy"), [2]GASOLINE!$C$5:$C$208, "Not Found")</f>
        <v>7671.7935442026428</v>
      </c>
      <c r="N2153" cm="1">
        <f t="array" ref="N2153">_xlfn.XLOOKUP(TEXT(A2153, "mmm-yy"), TEXT([2]RUNS!$B$5:$B$208, "mmm-yy"), [2]RUNS!$BM$5:$BM$208, "Not Found")</f>
        <v>0.84290667628444649</v>
      </c>
    </row>
    <row r="2154" spans="1:14" x14ac:dyDescent="0.25">
      <c r="A2154" s="1">
        <f>'[1]Global_Spot Prices'!$B3463</f>
        <v>45019</v>
      </c>
      <c r="B2154">
        <f>_xlfn.XLOOKUP(A2154,'[1]Global_Spot Prices'!$B:$B,'[1]Global_Spot Prices'!$BS:$BS)</f>
        <v>17.600000000000009</v>
      </c>
      <c r="C2154">
        <f>_xlfn.XLOOKUP(A2154,'[1]Global_Spot Prices'!$B:$B,'[1]Global_Spot Prices'!$E:$E)</f>
        <v>84.05</v>
      </c>
      <c r="D2154">
        <f>_xlfn.XLOOKUP(A2154,'[1]Global_Spot Prices'!$B:$B,'[1]Global_Spot Prices'!$D:$D)</f>
        <v>85.51</v>
      </c>
      <c r="E2154">
        <f>_xlfn.XLOOKUP(A2154,'[1]Global_Spot Prices'!$B:$B,'[1]Global_Spot Prices'!$H:$H)</f>
        <v>72.260000000000005</v>
      </c>
      <c r="F2154">
        <f>_xlfn.XLOOKUP(A2154,'[1]Global_Spot Prices'!$B:$B,'[1]Global_Spot Prices'!$I:$I)</f>
        <v>101.65</v>
      </c>
      <c r="G2154" cm="1">
        <f t="array" ref="G2154">_xlfn.XLOOKUP(TEXT(A2154, "mmm-yy"), TEXT([2]RUNS!$B$5:$B$208, "mmm-yy"), [2]RUNS!$D$5:$D$208, "Not Found")</f>
        <v>31065.991577376124</v>
      </c>
      <c r="H2154" cm="1">
        <f t="array" ref="H2154">SUMPRODUCT(
    --(TEXT('[3]Global Weekly Stock (EWSuez'!$B$4:$B$2000,"mmm-yy")=TEXT(A2154,"mmm-yy")),
    '[3]Global Weekly Stock (EWSuez'!$E$4:$E$2000)
/
SUMPRODUCT(
    --(TEXT('[3]Global Weekly Stock (EWSuez'!$B$4:$B$2000,"mmm-yy")=TEXT(A2154,"mmm-yy"))
)</f>
        <v>15406.5</v>
      </c>
      <c r="I2154">
        <f>_xlfn.XLOOKUP(A2154,[1]ForwardDeriv!$D:$D,[1]ForwardDeriv!$AJ:$AJ)</f>
        <v>2.1800000000000068</v>
      </c>
      <c r="J2154" cm="1">
        <f t="array" ref="J2154">_xlfn.XLOOKUP(TEXT(A2154, "mmm-yy"), TEXT([2]GASOLINE!$B$5:$B$208, "mmm-yy"), [2]GASOLINE!$IR$5:$IR$208, "Not Found")</f>
        <v>-252.19408195514643</v>
      </c>
      <c r="K2154" cm="1">
        <f t="array" ref="K2154">_xlfn.XLOOKUP(TEXT(A2154, "mmm-yy"), TEXT([2]GASOLINE!$B$5:$B$208, "mmm-yy"), [2]GASOLINE!$IK$5:$IK$208, "Not Found")</f>
        <v>218.91860114763315</v>
      </c>
      <c r="L2154">
        <f t="shared" si="33"/>
        <v>0</v>
      </c>
      <c r="M2154" cm="1">
        <f t="array" ref="M2154">_xlfn.XLOOKUP(TEXT(A2154, "mmm-yy"), TEXT([2]GASOLINE!$B$5:$B$208, "mmm-yy"), [2]GASOLINE!$C$5:$C$208, "Not Found")</f>
        <v>7623.5127374450349</v>
      </c>
      <c r="N2154" cm="1">
        <f t="array" ref="N2154">_xlfn.XLOOKUP(TEXT(A2154, "mmm-yy"), TEXT([2]RUNS!$B$5:$B$208, "mmm-yy"), [2]RUNS!$BM$5:$BM$208, "Not Found")</f>
        <v>0.8415934521534546</v>
      </c>
    </row>
    <row r="2155" spans="1:14" x14ac:dyDescent="0.25">
      <c r="A2155" s="1">
        <f>'[1]Global_Spot Prices'!$B3464</f>
        <v>45020</v>
      </c>
      <c r="B2155">
        <f>_xlfn.XLOOKUP(A2155,'[1]Global_Spot Prices'!$B:$B,'[1]Global_Spot Prices'!$BS:$BS)</f>
        <v>17.210000000000008</v>
      </c>
      <c r="C2155">
        <f>_xlfn.XLOOKUP(A2155,'[1]Global_Spot Prices'!$B:$B,'[1]Global_Spot Prices'!$E:$E)</f>
        <v>85.05</v>
      </c>
      <c r="D2155">
        <f>_xlfn.XLOOKUP(A2155,'[1]Global_Spot Prices'!$B:$B,'[1]Global_Spot Prices'!$D:$D)</f>
        <v>85.325000000000003</v>
      </c>
      <c r="E2155">
        <f>_xlfn.XLOOKUP(A2155,'[1]Global_Spot Prices'!$B:$B,'[1]Global_Spot Prices'!$H:$H)</f>
        <v>73.069999999999993</v>
      </c>
      <c r="F2155">
        <f>_xlfn.XLOOKUP(A2155,'[1]Global_Spot Prices'!$B:$B,'[1]Global_Spot Prices'!$I:$I)</f>
        <v>102.26</v>
      </c>
      <c r="G2155" cm="1">
        <f t="array" ref="G2155">_xlfn.XLOOKUP(TEXT(A2155, "mmm-yy"), TEXT([2]RUNS!$B$5:$B$208, "mmm-yy"), [2]RUNS!$D$5:$D$208, "Not Found")</f>
        <v>31065.991577376124</v>
      </c>
      <c r="H2155" cm="1">
        <f t="array" ref="H2155">SUMPRODUCT(
    --(TEXT('[3]Global Weekly Stock (EWSuez'!$B$4:$B$2000,"mmm-yy")=TEXT(A2155,"mmm-yy")),
    '[3]Global Weekly Stock (EWSuez'!$E$4:$E$2000)
/
SUMPRODUCT(
    --(TEXT('[3]Global Weekly Stock (EWSuez'!$B$4:$B$2000,"mmm-yy")=TEXT(A2155,"mmm-yy"))
)</f>
        <v>15406.5</v>
      </c>
      <c r="I2155">
        <f>_xlfn.XLOOKUP(A2155,[1]ForwardDeriv!$D:$D,[1]ForwardDeriv!$AJ:$AJ)</f>
        <v>1.8100000000000023</v>
      </c>
      <c r="J2155" cm="1">
        <f t="array" ref="J2155">_xlfn.XLOOKUP(TEXT(A2155, "mmm-yy"), TEXT([2]GASOLINE!$B$5:$B$208, "mmm-yy"), [2]GASOLINE!$IR$5:$IR$208, "Not Found")</f>
        <v>-252.19408195514643</v>
      </c>
      <c r="K2155" cm="1">
        <f t="array" ref="K2155">_xlfn.XLOOKUP(TEXT(A2155, "mmm-yy"), TEXT([2]GASOLINE!$B$5:$B$208, "mmm-yy"), [2]GASOLINE!$IK$5:$IK$208, "Not Found")</f>
        <v>218.91860114763315</v>
      </c>
      <c r="L2155">
        <f t="shared" si="33"/>
        <v>0</v>
      </c>
      <c r="M2155" cm="1">
        <f t="array" ref="M2155">_xlfn.XLOOKUP(TEXT(A2155, "mmm-yy"), TEXT([2]GASOLINE!$B$5:$B$208, "mmm-yy"), [2]GASOLINE!$C$5:$C$208, "Not Found")</f>
        <v>7623.5127374450349</v>
      </c>
      <c r="N2155" cm="1">
        <f t="array" ref="N2155">_xlfn.XLOOKUP(TEXT(A2155, "mmm-yy"), TEXT([2]RUNS!$B$5:$B$208, "mmm-yy"), [2]RUNS!$BM$5:$BM$208, "Not Found")</f>
        <v>0.8415934521534546</v>
      </c>
    </row>
    <row r="2156" spans="1:14" x14ac:dyDescent="0.25">
      <c r="A2156" s="1">
        <f>'[1]Global_Spot Prices'!$B3465</f>
        <v>45021</v>
      </c>
      <c r="B2156">
        <f>_xlfn.XLOOKUP(A2156,'[1]Global_Spot Prices'!$B:$B,'[1]Global_Spot Prices'!$BS:$BS)</f>
        <v>16.980000000000004</v>
      </c>
      <c r="C2156">
        <f>_xlfn.XLOOKUP(A2156,'[1]Global_Spot Prices'!$B:$B,'[1]Global_Spot Prices'!$E:$E)</f>
        <v>84.91</v>
      </c>
      <c r="D2156">
        <f>_xlfn.XLOOKUP(A2156,'[1]Global_Spot Prices'!$B:$B,'[1]Global_Spot Prices'!$D:$D)</f>
        <v>85.594999999999999</v>
      </c>
      <c r="E2156">
        <f>_xlfn.XLOOKUP(A2156,'[1]Global_Spot Prices'!$B:$B,'[1]Global_Spot Prices'!$H:$H)</f>
        <v>72.849999999999994</v>
      </c>
      <c r="F2156">
        <f>_xlfn.XLOOKUP(A2156,'[1]Global_Spot Prices'!$B:$B,'[1]Global_Spot Prices'!$I:$I)</f>
        <v>101.89</v>
      </c>
      <c r="G2156" cm="1">
        <f t="array" ref="G2156">_xlfn.XLOOKUP(TEXT(A2156, "mmm-yy"), TEXT([2]RUNS!$B$5:$B$208, "mmm-yy"), [2]RUNS!$D$5:$D$208, "Not Found")</f>
        <v>31065.991577376124</v>
      </c>
      <c r="H2156" cm="1">
        <f t="array" ref="H2156">SUMPRODUCT(
    --(TEXT('[3]Global Weekly Stock (EWSuez'!$B$4:$B$2000,"mmm-yy")=TEXT(A2156,"mmm-yy")),
    '[3]Global Weekly Stock (EWSuez'!$E$4:$E$2000)
/
SUMPRODUCT(
    --(TEXT('[3]Global Weekly Stock (EWSuez'!$B$4:$B$2000,"mmm-yy")=TEXT(A2156,"mmm-yy"))
)</f>
        <v>15406.5</v>
      </c>
      <c r="I2156">
        <f>_xlfn.XLOOKUP(A2156,[1]ForwardDeriv!$D:$D,[1]ForwardDeriv!$AJ:$AJ)</f>
        <v>1.9000000000000057</v>
      </c>
      <c r="J2156" cm="1">
        <f t="array" ref="J2156">_xlfn.XLOOKUP(TEXT(A2156, "mmm-yy"), TEXT([2]GASOLINE!$B$5:$B$208, "mmm-yy"), [2]GASOLINE!$IR$5:$IR$208, "Not Found")</f>
        <v>-252.19408195514643</v>
      </c>
      <c r="K2156" cm="1">
        <f t="array" ref="K2156">_xlfn.XLOOKUP(TEXT(A2156, "mmm-yy"), TEXT([2]GASOLINE!$B$5:$B$208, "mmm-yy"), [2]GASOLINE!$IK$5:$IK$208, "Not Found")</f>
        <v>218.91860114763315</v>
      </c>
      <c r="L2156">
        <f t="shared" si="33"/>
        <v>0</v>
      </c>
      <c r="M2156" cm="1">
        <f t="array" ref="M2156">_xlfn.XLOOKUP(TEXT(A2156, "mmm-yy"), TEXT([2]GASOLINE!$B$5:$B$208, "mmm-yy"), [2]GASOLINE!$C$5:$C$208, "Not Found")</f>
        <v>7623.5127374450349</v>
      </c>
      <c r="N2156" cm="1">
        <f t="array" ref="N2156">_xlfn.XLOOKUP(TEXT(A2156, "mmm-yy"), TEXT([2]RUNS!$B$5:$B$208, "mmm-yy"), [2]RUNS!$BM$5:$BM$208, "Not Found")</f>
        <v>0.8415934521534546</v>
      </c>
    </row>
    <row r="2157" spans="1:14" x14ac:dyDescent="0.25">
      <c r="A2157" s="1">
        <f>'[1]Global_Spot Prices'!$B3466</f>
        <v>45022</v>
      </c>
      <c r="B2157">
        <f>_xlfn.XLOOKUP(A2157,'[1]Global_Spot Prices'!$B:$B,'[1]Global_Spot Prices'!$BS:$BS)</f>
        <v>17.075000000000003</v>
      </c>
      <c r="C2157">
        <f>_xlfn.XLOOKUP(A2157,'[1]Global_Spot Prices'!$B:$B,'[1]Global_Spot Prices'!$E:$E)</f>
        <v>84.545000000000002</v>
      </c>
      <c r="D2157">
        <f>_xlfn.XLOOKUP(A2157,'[1]Global_Spot Prices'!$B:$B,'[1]Global_Spot Prices'!$D:$D)</f>
        <v>86.17</v>
      </c>
      <c r="E2157">
        <f>_xlfn.XLOOKUP(A2157,'[1]Global_Spot Prices'!$B:$B,'[1]Global_Spot Prices'!$H:$H)</f>
        <v>72.22</v>
      </c>
      <c r="F2157">
        <f>_xlfn.XLOOKUP(A2157,'[1]Global_Spot Prices'!$B:$B,'[1]Global_Spot Prices'!$I:$I)</f>
        <v>101.62</v>
      </c>
      <c r="G2157" cm="1">
        <f t="array" ref="G2157">_xlfn.XLOOKUP(TEXT(A2157, "mmm-yy"), TEXT([2]RUNS!$B$5:$B$208, "mmm-yy"), [2]RUNS!$D$5:$D$208, "Not Found")</f>
        <v>31065.991577376124</v>
      </c>
      <c r="H2157" cm="1">
        <f t="array" ref="H2157">SUMPRODUCT(
    --(TEXT('[3]Global Weekly Stock (EWSuez'!$B$4:$B$2000,"mmm-yy")=TEXT(A2157,"mmm-yy")),
    '[3]Global Weekly Stock (EWSuez'!$E$4:$E$2000)
/
SUMPRODUCT(
    --(TEXT('[3]Global Weekly Stock (EWSuez'!$B$4:$B$2000,"mmm-yy")=TEXT(A2157,"mmm-yy"))
)</f>
        <v>15406.5</v>
      </c>
      <c r="I2157">
        <f>_xlfn.XLOOKUP(A2157,[1]ForwardDeriv!$D:$D,[1]ForwardDeriv!$AJ:$AJ)</f>
        <v>1.9000000000000057</v>
      </c>
      <c r="J2157" cm="1">
        <f t="array" ref="J2157">_xlfn.XLOOKUP(TEXT(A2157, "mmm-yy"), TEXT([2]GASOLINE!$B$5:$B$208, "mmm-yy"), [2]GASOLINE!$IR$5:$IR$208, "Not Found")</f>
        <v>-252.19408195514643</v>
      </c>
      <c r="K2157" cm="1">
        <f t="array" ref="K2157">_xlfn.XLOOKUP(TEXT(A2157, "mmm-yy"), TEXT([2]GASOLINE!$B$5:$B$208, "mmm-yy"), [2]GASOLINE!$IK$5:$IK$208, "Not Found")</f>
        <v>218.91860114763315</v>
      </c>
      <c r="L2157">
        <f t="shared" si="33"/>
        <v>0</v>
      </c>
      <c r="M2157" cm="1">
        <f t="array" ref="M2157">_xlfn.XLOOKUP(TEXT(A2157, "mmm-yy"), TEXT([2]GASOLINE!$B$5:$B$208, "mmm-yy"), [2]GASOLINE!$C$5:$C$208, "Not Found")</f>
        <v>7623.5127374450349</v>
      </c>
      <c r="N2157" cm="1">
        <f t="array" ref="N2157">_xlfn.XLOOKUP(TEXT(A2157, "mmm-yy"), TEXT([2]RUNS!$B$5:$B$208, "mmm-yy"), [2]RUNS!$BM$5:$BM$208, "Not Found")</f>
        <v>0.8415934521534546</v>
      </c>
    </row>
    <row r="2158" spans="1:14" x14ac:dyDescent="0.25">
      <c r="A2158" s="1">
        <f>'[1]Global_Spot Prices'!$B3467</f>
        <v>45023</v>
      </c>
      <c r="B2158" t="e">
        <f>_xlfn.XLOOKUP(A2158,'[1]Global_Spot Prices'!$B:$B,'[1]Global_Spot Prices'!$BS:$BS)</f>
        <v>#N/A</v>
      </c>
      <c r="C2158" t="str">
        <f>_xlfn.XLOOKUP(A2158,'[1]Global_Spot Prices'!$B:$B,'[1]Global_Spot Prices'!$E:$E)</f>
        <v/>
      </c>
      <c r="D2158" t="str">
        <f>_xlfn.XLOOKUP(A2158,'[1]Global_Spot Prices'!$B:$B,'[1]Global_Spot Prices'!$D:$D)</f>
        <v/>
      </c>
      <c r="E2158">
        <f>_xlfn.XLOOKUP(A2158,'[1]Global_Spot Prices'!$B:$B,'[1]Global_Spot Prices'!$H:$H)</f>
        <v>0</v>
      </c>
      <c r="F2158">
        <f>_xlfn.XLOOKUP(A2158,'[1]Global_Spot Prices'!$B:$B,'[1]Global_Spot Prices'!$I:$I)</f>
        <v>0</v>
      </c>
      <c r="G2158" cm="1">
        <f t="array" ref="G2158">_xlfn.XLOOKUP(TEXT(A2158, "mmm-yy"), TEXT([2]RUNS!$B$5:$B$208, "mmm-yy"), [2]RUNS!$D$5:$D$208, "Not Found")</f>
        <v>31065.991577376124</v>
      </c>
      <c r="H2158" cm="1">
        <f t="array" ref="H2158">SUMPRODUCT(
    --(TEXT('[3]Global Weekly Stock (EWSuez'!$B$4:$B$2000,"mmm-yy")=TEXT(A2158,"mmm-yy")),
    '[3]Global Weekly Stock (EWSuez'!$E$4:$E$2000)
/
SUMPRODUCT(
    --(TEXT('[3]Global Weekly Stock (EWSuez'!$B$4:$B$2000,"mmm-yy")=TEXT(A2158,"mmm-yy"))
)</f>
        <v>15406.5</v>
      </c>
      <c r="I2158">
        <f>_xlfn.XLOOKUP(A2158,[1]ForwardDeriv!$D:$D,[1]ForwardDeriv!$AJ:$AJ)</f>
        <v>1.9099999999999966</v>
      </c>
      <c r="J2158" cm="1">
        <f t="array" ref="J2158">_xlfn.XLOOKUP(TEXT(A2158, "mmm-yy"), TEXT([2]GASOLINE!$B$5:$B$208, "mmm-yy"), [2]GASOLINE!$IR$5:$IR$208, "Not Found")</f>
        <v>-252.19408195514643</v>
      </c>
      <c r="K2158" cm="1">
        <f t="array" ref="K2158">_xlfn.XLOOKUP(TEXT(A2158, "mmm-yy"), TEXT([2]GASOLINE!$B$5:$B$208, "mmm-yy"), [2]GASOLINE!$IK$5:$IK$208, "Not Found")</f>
        <v>218.91860114763315</v>
      </c>
      <c r="L2158">
        <f t="shared" si="33"/>
        <v>0</v>
      </c>
      <c r="M2158" cm="1">
        <f t="array" ref="M2158">_xlfn.XLOOKUP(TEXT(A2158, "mmm-yy"), TEXT([2]GASOLINE!$B$5:$B$208, "mmm-yy"), [2]GASOLINE!$C$5:$C$208, "Not Found")</f>
        <v>7623.5127374450349</v>
      </c>
      <c r="N2158" cm="1">
        <f t="array" ref="N2158">_xlfn.XLOOKUP(TEXT(A2158, "mmm-yy"), TEXT([2]RUNS!$B$5:$B$208, "mmm-yy"), [2]RUNS!$BM$5:$BM$208, "Not Found")</f>
        <v>0.8415934521534546</v>
      </c>
    </row>
    <row r="2159" spans="1:14" x14ac:dyDescent="0.25">
      <c r="A2159" s="1">
        <f>'[1]Global_Spot Prices'!$B3468</f>
        <v>45026</v>
      </c>
      <c r="B2159">
        <f>_xlfn.XLOOKUP(A2159,'[1]Global_Spot Prices'!$B:$B,'[1]Global_Spot Prices'!$BS:$BS)</f>
        <v>16.049999999999997</v>
      </c>
      <c r="C2159">
        <f>_xlfn.XLOOKUP(A2159,'[1]Global_Spot Prices'!$B:$B,'[1]Global_Spot Prices'!$E:$E)</f>
        <v>84.73</v>
      </c>
      <c r="D2159" t="str">
        <f>_xlfn.XLOOKUP(A2159,'[1]Global_Spot Prices'!$B:$B,'[1]Global_Spot Prices'!$D:$D)</f>
        <v/>
      </c>
      <c r="E2159">
        <f>_xlfn.XLOOKUP(A2159,'[1]Global_Spot Prices'!$B:$B,'[1]Global_Spot Prices'!$H:$H)</f>
        <v>71.98</v>
      </c>
      <c r="F2159">
        <f>_xlfn.XLOOKUP(A2159,'[1]Global_Spot Prices'!$B:$B,'[1]Global_Spot Prices'!$I:$I)</f>
        <v>100.78</v>
      </c>
      <c r="G2159" cm="1">
        <f t="array" ref="G2159">_xlfn.XLOOKUP(TEXT(A2159, "mmm-yy"), TEXT([2]RUNS!$B$5:$B$208, "mmm-yy"), [2]RUNS!$D$5:$D$208, "Not Found")</f>
        <v>31065.991577376124</v>
      </c>
      <c r="H2159" cm="1">
        <f t="array" ref="H2159">SUMPRODUCT(
    --(TEXT('[3]Global Weekly Stock (EWSuez'!$B$4:$B$2000,"mmm-yy")=TEXT(A2159,"mmm-yy")),
    '[3]Global Weekly Stock (EWSuez'!$E$4:$E$2000)
/
SUMPRODUCT(
    --(TEXT('[3]Global Weekly Stock (EWSuez'!$B$4:$B$2000,"mmm-yy")=TEXT(A2159,"mmm-yy"))
)</f>
        <v>15406.5</v>
      </c>
      <c r="I2159">
        <f>_xlfn.XLOOKUP(A2159,[1]ForwardDeriv!$D:$D,[1]ForwardDeriv!$AJ:$AJ)</f>
        <v>1.9099999999999966</v>
      </c>
      <c r="J2159" cm="1">
        <f t="array" ref="J2159">_xlfn.XLOOKUP(TEXT(A2159, "mmm-yy"), TEXT([2]GASOLINE!$B$5:$B$208, "mmm-yy"), [2]GASOLINE!$IR$5:$IR$208, "Not Found")</f>
        <v>-252.19408195514643</v>
      </c>
      <c r="K2159" cm="1">
        <f t="array" ref="K2159">_xlfn.XLOOKUP(TEXT(A2159, "mmm-yy"), TEXT([2]GASOLINE!$B$5:$B$208, "mmm-yy"), [2]GASOLINE!$IK$5:$IK$208, "Not Found")</f>
        <v>218.91860114763315</v>
      </c>
      <c r="L2159">
        <f t="shared" si="33"/>
        <v>0</v>
      </c>
      <c r="M2159" cm="1">
        <f t="array" ref="M2159">_xlfn.XLOOKUP(TEXT(A2159, "mmm-yy"), TEXT([2]GASOLINE!$B$5:$B$208, "mmm-yy"), [2]GASOLINE!$C$5:$C$208, "Not Found")</f>
        <v>7623.5127374450349</v>
      </c>
      <c r="N2159" cm="1">
        <f t="array" ref="N2159">_xlfn.XLOOKUP(TEXT(A2159, "mmm-yy"), TEXT([2]RUNS!$B$5:$B$208, "mmm-yy"), [2]RUNS!$BM$5:$BM$208, "Not Found")</f>
        <v>0.8415934521534546</v>
      </c>
    </row>
    <row r="2160" spans="1:14" x14ac:dyDescent="0.25">
      <c r="A2160" s="1">
        <f>'[1]Global_Spot Prices'!$B3469</f>
        <v>45027</v>
      </c>
      <c r="B2160">
        <f>_xlfn.XLOOKUP(A2160,'[1]Global_Spot Prices'!$B:$B,'[1]Global_Spot Prices'!$BS:$BS)</f>
        <v>16.879999999999995</v>
      </c>
      <c r="C2160">
        <f>_xlfn.XLOOKUP(A2160,'[1]Global_Spot Prices'!$B:$B,'[1]Global_Spot Prices'!$E:$E)</f>
        <v>84.5</v>
      </c>
      <c r="D2160">
        <f>_xlfn.XLOOKUP(A2160,'[1]Global_Spot Prices'!$B:$B,'[1]Global_Spot Prices'!$D:$D)</f>
        <v>86.08</v>
      </c>
      <c r="E2160">
        <f>_xlfn.XLOOKUP(A2160,'[1]Global_Spot Prices'!$B:$B,'[1]Global_Spot Prices'!$H:$H)</f>
        <v>72.069999999999993</v>
      </c>
      <c r="F2160">
        <f>_xlfn.XLOOKUP(A2160,'[1]Global_Spot Prices'!$B:$B,'[1]Global_Spot Prices'!$I:$I)</f>
        <v>101.38</v>
      </c>
      <c r="G2160" cm="1">
        <f t="array" ref="G2160">_xlfn.XLOOKUP(TEXT(A2160, "mmm-yy"), TEXT([2]RUNS!$B$5:$B$208, "mmm-yy"), [2]RUNS!$D$5:$D$208, "Not Found")</f>
        <v>31065.991577376124</v>
      </c>
      <c r="H2160" cm="1">
        <f t="array" ref="H2160">SUMPRODUCT(
    --(TEXT('[3]Global Weekly Stock (EWSuez'!$B$4:$B$2000,"mmm-yy")=TEXT(A2160,"mmm-yy")),
    '[3]Global Weekly Stock (EWSuez'!$E$4:$E$2000)
/
SUMPRODUCT(
    --(TEXT('[3]Global Weekly Stock (EWSuez'!$B$4:$B$2000,"mmm-yy")=TEXT(A2160,"mmm-yy"))
)</f>
        <v>15406.5</v>
      </c>
      <c r="I2160">
        <f>_xlfn.XLOOKUP(A2160,[1]ForwardDeriv!$D:$D,[1]ForwardDeriv!$AJ:$AJ)</f>
        <v>1.9699999999999989</v>
      </c>
      <c r="J2160" cm="1">
        <f t="array" ref="J2160">_xlfn.XLOOKUP(TEXT(A2160, "mmm-yy"), TEXT([2]GASOLINE!$B$5:$B$208, "mmm-yy"), [2]GASOLINE!$IR$5:$IR$208, "Not Found")</f>
        <v>-252.19408195514643</v>
      </c>
      <c r="K2160" cm="1">
        <f t="array" ref="K2160">_xlfn.XLOOKUP(TEXT(A2160, "mmm-yy"), TEXT([2]GASOLINE!$B$5:$B$208, "mmm-yy"), [2]GASOLINE!$IK$5:$IK$208, "Not Found")</f>
        <v>218.91860114763315</v>
      </c>
      <c r="L2160">
        <f t="shared" si="33"/>
        <v>0</v>
      </c>
      <c r="M2160" cm="1">
        <f t="array" ref="M2160">_xlfn.XLOOKUP(TEXT(A2160, "mmm-yy"), TEXT([2]GASOLINE!$B$5:$B$208, "mmm-yy"), [2]GASOLINE!$C$5:$C$208, "Not Found")</f>
        <v>7623.5127374450349</v>
      </c>
      <c r="N2160" cm="1">
        <f t="array" ref="N2160">_xlfn.XLOOKUP(TEXT(A2160, "mmm-yy"), TEXT([2]RUNS!$B$5:$B$208, "mmm-yy"), [2]RUNS!$BM$5:$BM$208, "Not Found")</f>
        <v>0.8415934521534546</v>
      </c>
    </row>
    <row r="2161" spans="1:14" x14ac:dyDescent="0.25">
      <c r="A2161" s="1">
        <f>'[1]Global_Spot Prices'!$B3470</f>
        <v>45028</v>
      </c>
      <c r="B2161">
        <f>_xlfn.XLOOKUP(A2161,'[1]Global_Spot Prices'!$B:$B,'[1]Global_Spot Prices'!$BS:$BS)</f>
        <v>14.849999999999994</v>
      </c>
      <c r="C2161">
        <f>_xlfn.XLOOKUP(A2161,'[1]Global_Spot Prices'!$B:$B,'[1]Global_Spot Prices'!$E:$E)</f>
        <v>85.54</v>
      </c>
      <c r="D2161">
        <f>_xlfn.XLOOKUP(A2161,'[1]Global_Spot Prices'!$B:$B,'[1]Global_Spot Prices'!$D:$D)</f>
        <v>88.204999999999998</v>
      </c>
      <c r="E2161">
        <f>_xlfn.XLOOKUP(A2161,'[1]Global_Spot Prices'!$B:$B,'[1]Global_Spot Prices'!$H:$H)</f>
        <v>72.56</v>
      </c>
      <c r="F2161">
        <f>_xlfn.XLOOKUP(A2161,'[1]Global_Spot Prices'!$B:$B,'[1]Global_Spot Prices'!$I:$I)</f>
        <v>100.39</v>
      </c>
      <c r="G2161" cm="1">
        <f t="array" ref="G2161">_xlfn.XLOOKUP(TEXT(A2161, "mmm-yy"), TEXT([2]RUNS!$B$5:$B$208, "mmm-yy"), [2]RUNS!$D$5:$D$208, "Not Found")</f>
        <v>31065.991577376124</v>
      </c>
      <c r="H2161" cm="1">
        <f t="array" ref="H2161">SUMPRODUCT(
    --(TEXT('[3]Global Weekly Stock (EWSuez'!$B$4:$B$2000,"mmm-yy")=TEXT(A2161,"mmm-yy")),
    '[3]Global Weekly Stock (EWSuez'!$E$4:$E$2000)
/
SUMPRODUCT(
    --(TEXT('[3]Global Weekly Stock (EWSuez'!$B$4:$B$2000,"mmm-yy")=TEXT(A2161,"mmm-yy"))
)</f>
        <v>15406.5</v>
      </c>
      <c r="I2161">
        <f>_xlfn.XLOOKUP(A2161,[1]ForwardDeriv!$D:$D,[1]ForwardDeriv!$AJ:$AJ)</f>
        <v>1.6099999999999994</v>
      </c>
      <c r="J2161" cm="1">
        <f t="array" ref="J2161">_xlfn.XLOOKUP(TEXT(A2161, "mmm-yy"), TEXT([2]GASOLINE!$B$5:$B$208, "mmm-yy"), [2]GASOLINE!$IR$5:$IR$208, "Not Found")</f>
        <v>-252.19408195514643</v>
      </c>
      <c r="K2161" cm="1">
        <f t="array" ref="K2161">_xlfn.XLOOKUP(TEXT(A2161, "mmm-yy"), TEXT([2]GASOLINE!$B$5:$B$208, "mmm-yy"), [2]GASOLINE!$IK$5:$IK$208, "Not Found")</f>
        <v>218.91860114763315</v>
      </c>
      <c r="L2161">
        <f t="shared" si="33"/>
        <v>0</v>
      </c>
      <c r="M2161" cm="1">
        <f t="array" ref="M2161">_xlfn.XLOOKUP(TEXT(A2161, "mmm-yy"), TEXT([2]GASOLINE!$B$5:$B$208, "mmm-yy"), [2]GASOLINE!$C$5:$C$208, "Not Found")</f>
        <v>7623.5127374450349</v>
      </c>
      <c r="N2161" cm="1">
        <f t="array" ref="N2161">_xlfn.XLOOKUP(TEXT(A2161, "mmm-yy"), TEXT([2]RUNS!$B$5:$B$208, "mmm-yy"), [2]RUNS!$BM$5:$BM$208, "Not Found")</f>
        <v>0.8415934521534546</v>
      </c>
    </row>
    <row r="2162" spans="1:14" x14ac:dyDescent="0.25">
      <c r="A2162" s="1">
        <f>'[1]Global_Spot Prices'!$B3471</f>
        <v>45029</v>
      </c>
      <c r="B2162">
        <f>_xlfn.XLOOKUP(A2162,'[1]Global_Spot Prices'!$B:$B,'[1]Global_Spot Prices'!$BS:$BS)</f>
        <v>13.200000000000003</v>
      </c>
      <c r="C2162">
        <f>_xlfn.XLOOKUP(A2162,'[1]Global_Spot Prices'!$B:$B,'[1]Global_Spot Prices'!$E:$E)</f>
        <v>87.31</v>
      </c>
      <c r="D2162">
        <f>_xlfn.XLOOKUP(A2162,'[1]Global_Spot Prices'!$B:$B,'[1]Global_Spot Prices'!$D:$D)</f>
        <v>87.87</v>
      </c>
      <c r="E2162">
        <f>_xlfn.XLOOKUP(A2162,'[1]Global_Spot Prices'!$B:$B,'[1]Global_Spot Prices'!$H:$H)</f>
        <v>73.150000000000006</v>
      </c>
      <c r="F2162">
        <f>_xlfn.XLOOKUP(A2162,'[1]Global_Spot Prices'!$B:$B,'[1]Global_Spot Prices'!$I:$I)</f>
        <v>100.51</v>
      </c>
      <c r="G2162" cm="1">
        <f t="array" ref="G2162">_xlfn.XLOOKUP(TEXT(A2162, "mmm-yy"), TEXT([2]RUNS!$B$5:$B$208, "mmm-yy"), [2]RUNS!$D$5:$D$208, "Not Found")</f>
        <v>31065.991577376124</v>
      </c>
      <c r="H2162" cm="1">
        <f t="array" ref="H2162">SUMPRODUCT(
    --(TEXT('[3]Global Weekly Stock (EWSuez'!$B$4:$B$2000,"mmm-yy")=TEXT(A2162,"mmm-yy")),
    '[3]Global Weekly Stock (EWSuez'!$E$4:$E$2000)
/
SUMPRODUCT(
    --(TEXT('[3]Global Weekly Stock (EWSuez'!$B$4:$B$2000,"mmm-yy")=TEXT(A2162,"mmm-yy"))
)</f>
        <v>15406.5</v>
      </c>
      <c r="I2162">
        <f>_xlfn.XLOOKUP(A2162,[1]ForwardDeriv!$D:$D,[1]ForwardDeriv!$AJ:$AJ)</f>
        <v>1.4299999999999926</v>
      </c>
      <c r="J2162" cm="1">
        <f t="array" ref="J2162">_xlfn.XLOOKUP(TEXT(A2162, "mmm-yy"), TEXT([2]GASOLINE!$B$5:$B$208, "mmm-yy"), [2]GASOLINE!$IR$5:$IR$208, "Not Found")</f>
        <v>-252.19408195514643</v>
      </c>
      <c r="K2162" cm="1">
        <f t="array" ref="K2162">_xlfn.XLOOKUP(TEXT(A2162, "mmm-yy"), TEXT([2]GASOLINE!$B$5:$B$208, "mmm-yy"), [2]GASOLINE!$IK$5:$IK$208, "Not Found")</f>
        <v>218.91860114763315</v>
      </c>
      <c r="L2162">
        <f t="shared" si="33"/>
        <v>0</v>
      </c>
      <c r="M2162" cm="1">
        <f t="array" ref="M2162">_xlfn.XLOOKUP(TEXT(A2162, "mmm-yy"), TEXT([2]GASOLINE!$B$5:$B$208, "mmm-yy"), [2]GASOLINE!$C$5:$C$208, "Not Found")</f>
        <v>7623.5127374450349</v>
      </c>
      <c r="N2162" cm="1">
        <f t="array" ref="N2162">_xlfn.XLOOKUP(TEXT(A2162, "mmm-yy"), TEXT([2]RUNS!$B$5:$B$208, "mmm-yy"), [2]RUNS!$BM$5:$BM$208, "Not Found")</f>
        <v>0.8415934521534546</v>
      </c>
    </row>
    <row r="2163" spans="1:14" x14ac:dyDescent="0.25">
      <c r="A2163" s="1">
        <f>'[1]Global_Spot Prices'!$B3472</f>
        <v>45030</v>
      </c>
      <c r="B2163">
        <f>_xlfn.XLOOKUP(A2163,'[1]Global_Spot Prices'!$B:$B,'[1]Global_Spot Prices'!$BS:$BS)</f>
        <v>14.759999999999991</v>
      </c>
      <c r="C2163">
        <f>_xlfn.XLOOKUP(A2163,'[1]Global_Spot Prices'!$B:$B,'[1]Global_Spot Prices'!$E:$E)</f>
        <v>86.04</v>
      </c>
      <c r="D2163">
        <f>_xlfn.XLOOKUP(A2163,'[1]Global_Spot Prices'!$B:$B,'[1]Global_Spot Prices'!$D:$D)</f>
        <v>87.885000000000005</v>
      </c>
      <c r="E2163">
        <f>_xlfn.XLOOKUP(A2163,'[1]Global_Spot Prices'!$B:$B,'[1]Global_Spot Prices'!$H:$H)</f>
        <v>72.849999999999994</v>
      </c>
      <c r="F2163">
        <f>_xlfn.XLOOKUP(A2163,'[1]Global_Spot Prices'!$B:$B,'[1]Global_Spot Prices'!$I:$I)</f>
        <v>100.8</v>
      </c>
      <c r="G2163" cm="1">
        <f t="array" ref="G2163">_xlfn.XLOOKUP(TEXT(A2163, "mmm-yy"), TEXT([2]RUNS!$B$5:$B$208, "mmm-yy"), [2]RUNS!$D$5:$D$208, "Not Found")</f>
        <v>31065.991577376124</v>
      </c>
      <c r="H2163" cm="1">
        <f t="array" ref="H2163">SUMPRODUCT(
    --(TEXT('[3]Global Weekly Stock (EWSuez'!$B$4:$B$2000,"mmm-yy")=TEXT(A2163,"mmm-yy")),
    '[3]Global Weekly Stock (EWSuez'!$E$4:$E$2000)
/
SUMPRODUCT(
    --(TEXT('[3]Global Weekly Stock (EWSuez'!$B$4:$B$2000,"mmm-yy")=TEXT(A2163,"mmm-yy"))
)</f>
        <v>15406.5</v>
      </c>
      <c r="I2163">
        <f>_xlfn.XLOOKUP(A2163,[1]ForwardDeriv!$D:$D,[1]ForwardDeriv!$AJ:$AJ)</f>
        <v>1.4099999999999966</v>
      </c>
      <c r="J2163" cm="1">
        <f t="array" ref="J2163">_xlfn.XLOOKUP(TEXT(A2163, "mmm-yy"), TEXT([2]GASOLINE!$B$5:$B$208, "mmm-yy"), [2]GASOLINE!$IR$5:$IR$208, "Not Found")</f>
        <v>-252.19408195514643</v>
      </c>
      <c r="K2163" cm="1">
        <f t="array" ref="K2163">_xlfn.XLOOKUP(TEXT(A2163, "mmm-yy"), TEXT([2]GASOLINE!$B$5:$B$208, "mmm-yy"), [2]GASOLINE!$IK$5:$IK$208, "Not Found")</f>
        <v>218.91860114763315</v>
      </c>
      <c r="L2163">
        <f t="shared" si="33"/>
        <v>0</v>
      </c>
      <c r="M2163" cm="1">
        <f t="array" ref="M2163">_xlfn.XLOOKUP(TEXT(A2163, "mmm-yy"), TEXT([2]GASOLINE!$B$5:$B$208, "mmm-yy"), [2]GASOLINE!$C$5:$C$208, "Not Found")</f>
        <v>7623.5127374450349</v>
      </c>
      <c r="N2163" cm="1">
        <f t="array" ref="N2163">_xlfn.XLOOKUP(TEXT(A2163, "mmm-yy"), TEXT([2]RUNS!$B$5:$B$208, "mmm-yy"), [2]RUNS!$BM$5:$BM$208, "Not Found")</f>
        <v>0.8415934521534546</v>
      </c>
    </row>
    <row r="2164" spans="1:14" x14ac:dyDescent="0.25">
      <c r="A2164" s="1">
        <f>'[1]Global_Spot Prices'!$B3473</f>
        <v>45033</v>
      </c>
      <c r="B2164">
        <f>_xlfn.XLOOKUP(A2164,'[1]Global_Spot Prices'!$B:$B,'[1]Global_Spot Prices'!$BS:$BS)</f>
        <v>11.75</v>
      </c>
      <c r="C2164">
        <f>_xlfn.XLOOKUP(A2164,'[1]Global_Spot Prices'!$B:$B,'[1]Global_Spot Prices'!$E:$E)</f>
        <v>85.9</v>
      </c>
      <c r="D2164">
        <f>_xlfn.XLOOKUP(A2164,'[1]Global_Spot Prices'!$B:$B,'[1]Global_Spot Prices'!$D:$D)</f>
        <v>86.555000000000007</v>
      </c>
      <c r="E2164">
        <f>_xlfn.XLOOKUP(A2164,'[1]Global_Spot Prices'!$B:$B,'[1]Global_Spot Prices'!$H:$H)</f>
        <v>72.27</v>
      </c>
      <c r="F2164">
        <f>_xlfn.XLOOKUP(A2164,'[1]Global_Spot Prices'!$B:$B,'[1]Global_Spot Prices'!$I:$I)</f>
        <v>97.65</v>
      </c>
      <c r="G2164" cm="1">
        <f t="array" ref="G2164">_xlfn.XLOOKUP(TEXT(A2164, "mmm-yy"), TEXT([2]RUNS!$B$5:$B$208, "mmm-yy"), [2]RUNS!$D$5:$D$208, "Not Found")</f>
        <v>31065.991577376124</v>
      </c>
      <c r="H2164" cm="1">
        <f t="array" ref="H2164">SUMPRODUCT(
    --(TEXT('[3]Global Weekly Stock (EWSuez'!$B$4:$B$2000,"mmm-yy")=TEXT(A2164,"mmm-yy")),
    '[3]Global Weekly Stock (EWSuez'!$E$4:$E$2000)
/
SUMPRODUCT(
    --(TEXT('[3]Global Weekly Stock (EWSuez'!$B$4:$B$2000,"mmm-yy")=TEXT(A2164,"mmm-yy"))
)</f>
        <v>15406.5</v>
      </c>
      <c r="I2164">
        <f>_xlfn.XLOOKUP(A2164,[1]ForwardDeriv!$D:$D,[1]ForwardDeriv!$AJ:$AJ)</f>
        <v>1.3100000000000023</v>
      </c>
      <c r="J2164" cm="1">
        <f t="array" ref="J2164">_xlfn.XLOOKUP(TEXT(A2164, "mmm-yy"), TEXT([2]GASOLINE!$B$5:$B$208, "mmm-yy"), [2]GASOLINE!$IR$5:$IR$208, "Not Found")</f>
        <v>-252.19408195514643</v>
      </c>
      <c r="K2164" cm="1">
        <f t="array" ref="K2164">_xlfn.XLOOKUP(TEXT(A2164, "mmm-yy"), TEXT([2]GASOLINE!$B$5:$B$208, "mmm-yy"), [2]GASOLINE!$IK$5:$IK$208, "Not Found")</f>
        <v>218.91860114763315</v>
      </c>
      <c r="L2164">
        <f t="shared" si="33"/>
        <v>0</v>
      </c>
      <c r="M2164" cm="1">
        <f t="array" ref="M2164">_xlfn.XLOOKUP(TEXT(A2164, "mmm-yy"), TEXT([2]GASOLINE!$B$5:$B$208, "mmm-yy"), [2]GASOLINE!$C$5:$C$208, "Not Found")</f>
        <v>7623.5127374450349</v>
      </c>
      <c r="N2164" cm="1">
        <f t="array" ref="N2164">_xlfn.XLOOKUP(TEXT(A2164, "mmm-yy"), TEXT([2]RUNS!$B$5:$B$208, "mmm-yy"), [2]RUNS!$BM$5:$BM$208, "Not Found")</f>
        <v>0.8415934521534546</v>
      </c>
    </row>
    <row r="2165" spans="1:14" x14ac:dyDescent="0.25">
      <c r="A2165" s="1">
        <f>'[1]Global_Spot Prices'!$B3474</f>
        <v>45034</v>
      </c>
      <c r="B2165">
        <f>_xlfn.XLOOKUP(A2165,'[1]Global_Spot Prices'!$B:$B,'[1]Global_Spot Prices'!$BS:$BS)</f>
        <v>11.449999999999989</v>
      </c>
      <c r="C2165">
        <f>_xlfn.XLOOKUP(A2165,'[1]Global_Spot Prices'!$B:$B,'[1]Global_Spot Prices'!$E:$E)</f>
        <v>84.65</v>
      </c>
      <c r="D2165">
        <f>_xlfn.XLOOKUP(A2165,'[1]Global_Spot Prices'!$B:$B,'[1]Global_Spot Prices'!$D:$D)</f>
        <v>86.63</v>
      </c>
      <c r="E2165">
        <f>_xlfn.XLOOKUP(A2165,'[1]Global_Spot Prices'!$B:$B,'[1]Global_Spot Prices'!$H:$H)</f>
        <v>70.760000000000005</v>
      </c>
      <c r="F2165">
        <f>_xlfn.XLOOKUP(A2165,'[1]Global_Spot Prices'!$B:$B,'[1]Global_Spot Prices'!$I:$I)</f>
        <v>96.1</v>
      </c>
      <c r="G2165" cm="1">
        <f t="array" ref="G2165">_xlfn.XLOOKUP(TEXT(A2165, "mmm-yy"), TEXT([2]RUNS!$B$5:$B$208, "mmm-yy"), [2]RUNS!$D$5:$D$208, "Not Found")</f>
        <v>31065.991577376124</v>
      </c>
      <c r="H2165" cm="1">
        <f t="array" ref="H2165">SUMPRODUCT(
    --(TEXT('[3]Global Weekly Stock (EWSuez'!$B$4:$B$2000,"mmm-yy")=TEXT(A2165,"mmm-yy")),
    '[3]Global Weekly Stock (EWSuez'!$E$4:$E$2000)
/
SUMPRODUCT(
    --(TEXT('[3]Global Weekly Stock (EWSuez'!$B$4:$B$2000,"mmm-yy")=TEXT(A2165,"mmm-yy"))
)</f>
        <v>15406.5</v>
      </c>
      <c r="I2165">
        <f>_xlfn.XLOOKUP(A2165,[1]ForwardDeriv!$D:$D,[1]ForwardDeriv!$AJ:$AJ)</f>
        <v>1.0900000000000034</v>
      </c>
      <c r="J2165" cm="1">
        <f t="array" ref="J2165">_xlfn.XLOOKUP(TEXT(A2165, "mmm-yy"), TEXT([2]GASOLINE!$B$5:$B$208, "mmm-yy"), [2]GASOLINE!$IR$5:$IR$208, "Not Found")</f>
        <v>-252.19408195514643</v>
      </c>
      <c r="K2165" cm="1">
        <f t="array" ref="K2165">_xlfn.XLOOKUP(TEXT(A2165, "mmm-yy"), TEXT([2]GASOLINE!$B$5:$B$208, "mmm-yy"), [2]GASOLINE!$IK$5:$IK$208, "Not Found")</f>
        <v>218.91860114763315</v>
      </c>
      <c r="L2165">
        <f t="shared" si="33"/>
        <v>0</v>
      </c>
      <c r="M2165" cm="1">
        <f t="array" ref="M2165">_xlfn.XLOOKUP(TEXT(A2165, "mmm-yy"), TEXT([2]GASOLINE!$B$5:$B$208, "mmm-yy"), [2]GASOLINE!$C$5:$C$208, "Not Found")</f>
        <v>7623.5127374450349</v>
      </c>
      <c r="N2165" cm="1">
        <f t="array" ref="N2165">_xlfn.XLOOKUP(TEXT(A2165, "mmm-yy"), TEXT([2]RUNS!$B$5:$B$208, "mmm-yy"), [2]RUNS!$BM$5:$BM$208, "Not Found")</f>
        <v>0.8415934521534546</v>
      </c>
    </row>
    <row r="2166" spans="1:14" x14ac:dyDescent="0.25">
      <c r="A2166" s="1">
        <f>'[1]Global_Spot Prices'!$B3475</f>
        <v>45035</v>
      </c>
      <c r="B2166">
        <f>_xlfn.XLOOKUP(A2166,'[1]Global_Spot Prices'!$B:$B,'[1]Global_Spot Prices'!$BS:$BS)</f>
        <v>11.489999999999995</v>
      </c>
      <c r="C2166">
        <f>_xlfn.XLOOKUP(A2166,'[1]Global_Spot Prices'!$B:$B,'[1]Global_Spot Prices'!$E:$E)</f>
        <v>83.54</v>
      </c>
      <c r="D2166">
        <f>_xlfn.XLOOKUP(A2166,'[1]Global_Spot Prices'!$B:$B,'[1]Global_Spot Prices'!$D:$D)</f>
        <v>85.55</v>
      </c>
      <c r="E2166">
        <f>_xlfn.XLOOKUP(A2166,'[1]Global_Spot Prices'!$B:$B,'[1]Global_Spot Prices'!$H:$H)</f>
        <v>69.14</v>
      </c>
      <c r="F2166">
        <f>_xlfn.XLOOKUP(A2166,'[1]Global_Spot Prices'!$B:$B,'[1]Global_Spot Prices'!$I:$I)</f>
        <v>95.03</v>
      </c>
      <c r="G2166" cm="1">
        <f t="array" ref="G2166">_xlfn.XLOOKUP(TEXT(A2166, "mmm-yy"), TEXT([2]RUNS!$B$5:$B$208, "mmm-yy"), [2]RUNS!$D$5:$D$208, "Not Found")</f>
        <v>31065.991577376124</v>
      </c>
      <c r="H2166" cm="1">
        <f t="array" ref="H2166">SUMPRODUCT(
    --(TEXT('[3]Global Weekly Stock (EWSuez'!$B$4:$B$2000,"mmm-yy")=TEXT(A2166,"mmm-yy")),
    '[3]Global Weekly Stock (EWSuez'!$E$4:$E$2000)
/
SUMPRODUCT(
    --(TEXT('[3]Global Weekly Stock (EWSuez'!$B$4:$B$2000,"mmm-yy")=TEXT(A2166,"mmm-yy"))
)</f>
        <v>15406.5</v>
      </c>
      <c r="I2166">
        <f>_xlfn.XLOOKUP(A2166,[1]ForwardDeriv!$D:$D,[1]ForwardDeriv!$AJ:$AJ)</f>
        <v>1.0799999999999983</v>
      </c>
      <c r="J2166" cm="1">
        <f t="array" ref="J2166">_xlfn.XLOOKUP(TEXT(A2166, "mmm-yy"), TEXT([2]GASOLINE!$B$5:$B$208, "mmm-yy"), [2]GASOLINE!$IR$5:$IR$208, "Not Found")</f>
        <v>-252.19408195514643</v>
      </c>
      <c r="K2166" cm="1">
        <f t="array" ref="K2166">_xlfn.XLOOKUP(TEXT(A2166, "mmm-yy"), TEXT([2]GASOLINE!$B$5:$B$208, "mmm-yy"), [2]GASOLINE!$IK$5:$IK$208, "Not Found")</f>
        <v>218.91860114763315</v>
      </c>
      <c r="L2166">
        <f t="shared" si="33"/>
        <v>0</v>
      </c>
      <c r="M2166" cm="1">
        <f t="array" ref="M2166">_xlfn.XLOOKUP(TEXT(A2166, "mmm-yy"), TEXT([2]GASOLINE!$B$5:$B$208, "mmm-yy"), [2]GASOLINE!$C$5:$C$208, "Not Found")</f>
        <v>7623.5127374450349</v>
      </c>
      <c r="N2166" cm="1">
        <f t="array" ref="N2166">_xlfn.XLOOKUP(TEXT(A2166, "mmm-yy"), TEXT([2]RUNS!$B$5:$B$208, "mmm-yy"), [2]RUNS!$BM$5:$BM$208, "Not Found")</f>
        <v>0.8415934521534546</v>
      </c>
    </row>
    <row r="2167" spans="1:14" x14ac:dyDescent="0.25">
      <c r="A2167" s="1">
        <f>'[1]Global_Spot Prices'!$B3476</f>
        <v>45036</v>
      </c>
      <c r="B2167">
        <f>_xlfn.XLOOKUP(A2167,'[1]Global_Spot Prices'!$B:$B,'[1]Global_Spot Prices'!$BS:$BS)</f>
        <v>10.090000000000003</v>
      </c>
      <c r="C2167">
        <f>_xlfn.XLOOKUP(A2167,'[1]Global_Spot Prices'!$B:$B,'[1]Global_Spot Prices'!$E:$E)</f>
        <v>81.709999999999994</v>
      </c>
      <c r="D2167">
        <f>_xlfn.XLOOKUP(A2167,'[1]Global_Spot Prices'!$B:$B,'[1]Global_Spot Prices'!$D:$D)</f>
        <v>83.14</v>
      </c>
      <c r="E2167">
        <f>_xlfn.XLOOKUP(A2167,'[1]Global_Spot Prices'!$B:$B,'[1]Global_Spot Prices'!$H:$H)</f>
        <v>69.239999999999995</v>
      </c>
      <c r="F2167">
        <f>_xlfn.XLOOKUP(A2167,'[1]Global_Spot Prices'!$B:$B,'[1]Global_Spot Prices'!$I:$I)</f>
        <v>91.8</v>
      </c>
      <c r="G2167" cm="1">
        <f t="array" ref="G2167">_xlfn.XLOOKUP(TEXT(A2167, "mmm-yy"), TEXT([2]RUNS!$B$5:$B$208, "mmm-yy"), [2]RUNS!$D$5:$D$208, "Not Found")</f>
        <v>31065.991577376124</v>
      </c>
      <c r="H2167" cm="1">
        <f t="array" ref="H2167">SUMPRODUCT(
    --(TEXT('[3]Global Weekly Stock (EWSuez'!$B$4:$B$2000,"mmm-yy")=TEXT(A2167,"mmm-yy")),
    '[3]Global Weekly Stock (EWSuez'!$E$4:$E$2000)
/
SUMPRODUCT(
    --(TEXT('[3]Global Weekly Stock (EWSuez'!$B$4:$B$2000,"mmm-yy")=TEXT(A2167,"mmm-yy"))
)</f>
        <v>15406.5</v>
      </c>
      <c r="I2167">
        <f>_xlfn.XLOOKUP(A2167,[1]ForwardDeriv!$D:$D,[1]ForwardDeriv!$AJ:$AJ)</f>
        <v>0.90000000000000568</v>
      </c>
      <c r="J2167" cm="1">
        <f t="array" ref="J2167">_xlfn.XLOOKUP(TEXT(A2167, "mmm-yy"), TEXT([2]GASOLINE!$B$5:$B$208, "mmm-yy"), [2]GASOLINE!$IR$5:$IR$208, "Not Found")</f>
        <v>-252.19408195514643</v>
      </c>
      <c r="K2167" cm="1">
        <f t="array" ref="K2167">_xlfn.XLOOKUP(TEXT(A2167, "mmm-yy"), TEXT([2]GASOLINE!$B$5:$B$208, "mmm-yy"), [2]GASOLINE!$IK$5:$IK$208, "Not Found")</f>
        <v>218.91860114763315</v>
      </c>
      <c r="L2167">
        <f t="shared" si="33"/>
        <v>0</v>
      </c>
      <c r="M2167" cm="1">
        <f t="array" ref="M2167">_xlfn.XLOOKUP(TEXT(A2167, "mmm-yy"), TEXT([2]GASOLINE!$B$5:$B$208, "mmm-yy"), [2]GASOLINE!$C$5:$C$208, "Not Found")</f>
        <v>7623.5127374450349</v>
      </c>
      <c r="N2167" cm="1">
        <f t="array" ref="N2167">_xlfn.XLOOKUP(TEXT(A2167, "mmm-yy"), TEXT([2]RUNS!$B$5:$B$208, "mmm-yy"), [2]RUNS!$BM$5:$BM$208, "Not Found")</f>
        <v>0.8415934521534546</v>
      </c>
    </row>
    <row r="2168" spans="1:14" x14ac:dyDescent="0.25">
      <c r="A2168" s="1">
        <f>'[1]Global_Spot Prices'!$B3477</f>
        <v>45037</v>
      </c>
      <c r="B2168">
        <f>_xlfn.XLOOKUP(A2168,'[1]Global_Spot Prices'!$B:$B,'[1]Global_Spot Prices'!$BS:$BS)</f>
        <v>10.400000000000006</v>
      </c>
      <c r="C2168">
        <f>_xlfn.XLOOKUP(A2168,'[1]Global_Spot Prices'!$B:$B,'[1]Global_Spot Prices'!$E:$E)</f>
        <v>80.75</v>
      </c>
      <c r="D2168">
        <f>_xlfn.XLOOKUP(A2168,'[1]Global_Spot Prices'!$B:$B,'[1]Global_Spot Prices'!$D:$D)</f>
        <v>83.394999999999996</v>
      </c>
      <c r="E2168">
        <f>_xlfn.XLOOKUP(A2168,'[1]Global_Spot Prices'!$B:$B,'[1]Global_Spot Prices'!$H:$H)</f>
        <v>69.09</v>
      </c>
      <c r="F2168">
        <f>_xlfn.XLOOKUP(A2168,'[1]Global_Spot Prices'!$B:$B,'[1]Global_Spot Prices'!$I:$I)</f>
        <v>91.15</v>
      </c>
      <c r="G2168" cm="1">
        <f t="array" ref="G2168">_xlfn.XLOOKUP(TEXT(A2168, "mmm-yy"), TEXT([2]RUNS!$B$5:$B$208, "mmm-yy"), [2]RUNS!$D$5:$D$208, "Not Found")</f>
        <v>31065.991577376124</v>
      </c>
      <c r="H2168" cm="1">
        <f t="array" ref="H2168">SUMPRODUCT(
    --(TEXT('[3]Global Weekly Stock (EWSuez'!$B$4:$B$2000,"mmm-yy")=TEXT(A2168,"mmm-yy")),
    '[3]Global Weekly Stock (EWSuez'!$E$4:$E$2000)
/
SUMPRODUCT(
    --(TEXT('[3]Global Weekly Stock (EWSuez'!$B$4:$B$2000,"mmm-yy")=TEXT(A2168,"mmm-yy"))
)</f>
        <v>15406.5</v>
      </c>
      <c r="I2168">
        <f>_xlfn.XLOOKUP(A2168,[1]ForwardDeriv!$D:$D,[1]ForwardDeriv!$AJ:$AJ)</f>
        <v>0.81999999999999318</v>
      </c>
      <c r="J2168" cm="1">
        <f t="array" ref="J2168">_xlfn.XLOOKUP(TEXT(A2168, "mmm-yy"), TEXT([2]GASOLINE!$B$5:$B$208, "mmm-yy"), [2]GASOLINE!$IR$5:$IR$208, "Not Found")</f>
        <v>-252.19408195514643</v>
      </c>
      <c r="K2168" cm="1">
        <f t="array" ref="K2168">_xlfn.XLOOKUP(TEXT(A2168, "mmm-yy"), TEXT([2]GASOLINE!$B$5:$B$208, "mmm-yy"), [2]GASOLINE!$IK$5:$IK$208, "Not Found")</f>
        <v>218.91860114763315</v>
      </c>
      <c r="L2168">
        <f t="shared" si="33"/>
        <v>0</v>
      </c>
      <c r="M2168" cm="1">
        <f t="array" ref="M2168">_xlfn.XLOOKUP(TEXT(A2168, "mmm-yy"), TEXT([2]GASOLINE!$B$5:$B$208, "mmm-yy"), [2]GASOLINE!$C$5:$C$208, "Not Found")</f>
        <v>7623.5127374450349</v>
      </c>
      <c r="N2168" cm="1">
        <f t="array" ref="N2168">_xlfn.XLOOKUP(TEXT(A2168, "mmm-yy"), TEXT([2]RUNS!$B$5:$B$208, "mmm-yy"), [2]RUNS!$BM$5:$BM$208, "Not Found")</f>
        <v>0.8415934521534546</v>
      </c>
    </row>
    <row r="2169" spans="1:14" x14ac:dyDescent="0.25">
      <c r="A2169" s="1">
        <f>'[1]Global_Spot Prices'!$B3478</f>
        <v>45040</v>
      </c>
      <c r="B2169">
        <f>_xlfn.XLOOKUP(A2169,'[1]Global_Spot Prices'!$B:$B,'[1]Global_Spot Prices'!$BS:$BS)</f>
        <v>9.8999999999999915</v>
      </c>
      <c r="C2169">
        <f>_xlfn.XLOOKUP(A2169,'[1]Global_Spot Prices'!$B:$B,'[1]Global_Spot Prices'!$E:$E)</f>
        <v>80.900000000000006</v>
      </c>
      <c r="D2169">
        <f>_xlfn.XLOOKUP(A2169,'[1]Global_Spot Prices'!$B:$B,'[1]Global_Spot Prices'!$D:$D)</f>
        <v>84.26</v>
      </c>
      <c r="E2169">
        <f>_xlfn.XLOOKUP(A2169,'[1]Global_Spot Prices'!$B:$B,'[1]Global_Spot Prices'!$H:$H)</f>
        <v>69.650000000000006</v>
      </c>
      <c r="F2169">
        <f>_xlfn.XLOOKUP(A2169,'[1]Global_Spot Prices'!$B:$B,'[1]Global_Spot Prices'!$I:$I)</f>
        <v>90.8</v>
      </c>
      <c r="G2169" cm="1">
        <f t="array" ref="G2169">_xlfn.XLOOKUP(TEXT(A2169, "mmm-yy"), TEXT([2]RUNS!$B$5:$B$208, "mmm-yy"), [2]RUNS!$D$5:$D$208, "Not Found")</f>
        <v>31065.991577376124</v>
      </c>
      <c r="H2169" cm="1">
        <f t="array" ref="H2169">SUMPRODUCT(
    --(TEXT('[3]Global Weekly Stock (EWSuez'!$B$4:$B$2000,"mmm-yy")=TEXT(A2169,"mmm-yy")),
    '[3]Global Weekly Stock (EWSuez'!$E$4:$E$2000)
/
SUMPRODUCT(
    --(TEXT('[3]Global Weekly Stock (EWSuez'!$B$4:$B$2000,"mmm-yy")=TEXT(A2169,"mmm-yy"))
)</f>
        <v>15406.5</v>
      </c>
      <c r="I2169">
        <f>_xlfn.XLOOKUP(A2169,[1]ForwardDeriv!$D:$D,[1]ForwardDeriv!$AJ:$AJ)</f>
        <v>0.75</v>
      </c>
      <c r="J2169" cm="1">
        <f t="array" ref="J2169">_xlfn.XLOOKUP(TEXT(A2169, "mmm-yy"), TEXT([2]GASOLINE!$B$5:$B$208, "mmm-yy"), [2]GASOLINE!$IR$5:$IR$208, "Not Found")</f>
        <v>-252.19408195514643</v>
      </c>
      <c r="K2169" cm="1">
        <f t="array" ref="K2169">_xlfn.XLOOKUP(TEXT(A2169, "mmm-yy"), TEXT([2]GASOLINE!$B$5:$B$208, "mmm-yy"), [2]GASOLINE!$IK$5:$IK$208, "Not Found")</f>
        <v>218.91860114763315</v>
      </c>
      <c r="L2169">
        <f t="shared" si="33"/>
        <v>0</v>
      </c>
      <c r="M2169" cm="1">
        <f t="array" ref="M2169">_xlfn.XLOOKUP(TEXT(A2169, "mmm-yy"), TEXT([2]GASOLINE!$B$5:$B$208, "mmm-yy"), [2]GASOLINE!$C$5:$C$208, "Not Found")</f>
        <v>7623.5127374450349</v>
      </c>
      <c r="N2169" cm="1">
        <f t="array" ref="N2169">_xlfn.XLOOKUP(TEXT(A2169, "mmm-yy"), TEXT([2]RUNS!$B$5:$B$208, "mmm-yy"), [2]RUNS!$BM$5:$BM$208, "Not Found")</f>
        <v>0.8415934521534546</v>
      </c>
    </row>
    <row r="2170" spans="1:14" x14ac:dyDescent="0.25">
      <c r="A2170" s="1">
        <f>'[1]Global_Spot Prices'!$B3479</f>
        <v>45041</v>
      </c>
      <c r="B2170">
        <f>_xlfn.XLOOKUP(A2170,'[1]Global_Spot Prices'!$B:$B,'[1]Global_Spot Prices'!$BS:$BS)</f>
        <v>10.219999999999999</v>
      </c>
      <c r="C2170">
        <f>_xlfn.XLOOKUP(A2170,'[1]Global_Spot Prices'!$B:$B,'[1]Global_Spot Prices'!$E:$E)</f>
        <v>82.75</v>
      </c>
      <c r="D2170">
        <f>_xlfn.XLOOKUP(A2170,'[1]Global_Spot Prices'!$B:$B,'[1]Global_Spot Prices'!$D:$D)</f>
        <v>82.465000000000003</v>
      </c>
      <c r="E2170">
        <f>_xlfn.XLOOKUP(A2170,'[1]Global_Spot Prices'!$B:$B,'[1]Global_Spot Prices'!$H:$H)</f>
        <v>70.819999999999993</v>
      </c>
      <c r="F2170">
        <f>_xlfn.XLOOKUP(A2170,'[1]Global_Spot Prices'!$B:$B,'[1]Global_Spot Prices'!$I:$I)</f>
        <v>92.97</v>
      </c>
      <c r="G2170" cm="1">
        <f t="array" ref="G2170">_xlfn.XLOOKUP(TEXT(A2170, "mmm-yy"), TEXT([2]RUNS!$B$5:$B$208, "mmm-yy"), [2]RUNS!$D$5:$D$208, "Not Found")</f>
        <v>31065.991577376124</v>
      </c>
      <c r="H2170" cm="1">
        <f t="array" ref="H2170">SUMPRODUCT(
    --(TEXT('[3]Global Weekly Stock (EWSuez'!$B$4:$B$2000,"mmm-yy")=TEXT(A2170,"mmm-yy")),
    '[3]Global Weekly Stock (EWSuez'!$E$4:$E$2000)
/
SUMPRODUCT(
    --(TEXT('[3]Global Weekly Stock (EWSuez'!$B$4:$B$2000,"mmm-yy")=TEXT(A2170,"mmm-yy"))
)</f>
        <v>15406.5</v>
      </c>
      <c r="I2170">
        <f>_xlfn.XLOOKUP(A2170,[1]ForwardDeriv!$D:$D,[1]ForwardDeriv!$AJ:$AJ)</f>
        <v>0.75</v>
      </c>
      <c r="J2170" cm="1">
        <f t="array" ref="J2170">_xlfn.XLOOKUP(TEXT(A2170, "mmm-yy"), TEXT([2]GASOLINE!$B$5:$B$208, "mmm-yy"), [2]GASOLINE!$IR$5:$IR$208, "Not Found")</f>
        <v>-252.19408195514643</v>
      </c>
      <c r="K2170" cm="1">
        <f t="array" ref="K2170">_xlfn.XLOOKUP(TEXT(A2170, "mmm-yy"), TEXT([2]GASOLINE!$B$5:$B$208, "mmm-yy"), [2]GASOLINE!$IK$5:$IK$208, "Not Found")</f>
        <v>218.91860114763315</v>
      </c>
      <c r="L2170">
        <f t="shared" si="33"/>
        <v>0</v>
      </c>
      <c r="M2170" cm="1">
        <f t="array" ref="M2170">_xlfn.XLOOKUP(TEXT(A2170, "mmm-yy"), TEXT([2]GASOLINE!$B$5:$B$208, "mmm-yy"), [2]GASOLINE!$C$5:$C$208, "Not Found")</f>
        <v>7623.5127374450349</v>
      </c>
      <c r="N2170" cm="1">
        <f t="array" ref="N2170">_xlfn.XLOOKUP(TEXT(A2170, "mmm-yy"), TEXT([2]RUNS!$B$5:$B$208, "mmm-yy"), [2]RUNS!$BM$5:$BM$208, "Not Found")</f>
        <v>0.8415934521534546</v>
      </c>
    </row>
    <row r="2171" spans="1:14" x14ac:dyDescent="0.25">
      <c r="A2171" s="1">
        <f>'[1]Global_Spot Prices'!$B3480</f>
        <v>45042</v>
      </c>
      <c r="B2171">
        <f>_xlfn.XLOOKUP(A2171,'[1]Global_Spot Prices'!$B:$B,'[1]Global_Spot Prices'!$BS:$BS)</f>
        <v>10.400000000000006</v>
      </c>
      <c r="C2171">
        <f>_xlfn.XLOOKUP(A2171,'[1]Global_Spot Prices'!$B:$B,'[1]Global_Spot Prices'!$E:$E)</f>
        <v>80.239999999999995</v>
      </c>
      <c r="D2171">
        <f>_xlfn.XLOOKUP(A2171,'[1]Global_Spot Prices'!$B:$B,'[1]Global_Spot Prices'!$D:$D)</f>
        <v>82.185000000000002</v>
      </c>
      <c r="E2171">
        <f>_xlfn.XLOOKUP(A2171,'[1]Global_Spot Prices'!$B:$B,'[1]Global_Spot Prices'!$H:$H)</f>
        <v>68.8</v>
      </c>
      <c r="F2171">
        <f>_xlfn.XLOOKUP(A2171,'[1]Global_Spot Prices'!$B:$B,'[1]Global_Spot Prices'!$I:$I)</f>
        <v>90.64</v>
      </c>
      <c r="G2171" cm="1">
        <f t="array" ref="G2171">_xlfn.XLOOKUP(TEXT(A2171, "mmm-yy"), TEXT([2]RUNS!$B$5:$B$208, "mmm-yy"), [2]RUNS!$D$5:$D$208, "Not Found")</f>
        <v>31065.991577376124</v>
      </c>
      <c r="H2171" cm="1">
        <f t="array" ref="H2171">SUMPRODUCT(
    --(TEXT('[3]Global Weekly Stock (EWSuez'!$B$4:$B$2000,"mmm-yy")=TEXT(A2171,"mmm-yy")),
    '[3]Global Weekly Stock (EWSuez'!$E$4:$E$2000)
/
SUMPRODUCT(
    --(TEXT('[3]Global Weekly Stock (EWSuez'!$B$4:$B$2000,"mmm-yy")=TEXT(A2171,"mmm-yy"))
)</f>
        <v>15406.5</v>
      </c>
      <c r="I2171">
        <f>_xlfn.XLOOKUP(A2171,[1]ForwardDeriv!$D:$D,[1]ForwardDeriv!$AJ:$AJ)</f>
        <v>0.85999999999999943</v>
      </c>
      <c r="J2171" cm="1">
        <f t="array" ref="J2171">_xlfn.XLOOKUP(TEXT(A2171, "mmm-yy"), TEXT([2]GASOLINE!$B$5:$B$208, "mmm-yy"), [2]GASOLINE!$IR$5:$IR$208, "Not Found")</f>
        <v>-252.19408195514643</v>
      </c>
      <c r="K2171" cm="1">
        <f t="array" ref="K2171">_xlfn.XLOOKUP(TEXT(A2171, "mmm-yy"), TEXT([2]GASOLINE!$B$5:$B$208, "mmm-yy"), [2]GASOLINE!$IK$5:$IK$208, "Not Found")</f>
        <v>218.91860114763315</v>
      </c>
      <c r="L2171">
        <f t="shared" si="33"/>
        <v>0</v>
      </c>
      <c r="M2171" cm="1">
        <f t="array" ref="M2171">_xlfn.XLOOKUP(TEXT(A2171, "mmm-yy"), TEXT([2]GASOLINE!$B$5:$B$208, "mmm-yy"), [2]GASOLINE!$C$5:$C$208, "Not Found")</f>
        <v>7623.5127374450349</v>
      </c>
      <c r="N2171" cm="1">
        <f t="array" ref="N2171">_xlfn.XLOOKUP(TEXT(A2171, "mmm-yy"), TEXT([2]RUNS!$B$5:$B$208, "mmm-yy"), [2]RUNS!$BM$5:$BM$208, "Not Found")</f>
        <v>0.8415934521534546</v>
      </c>
    </row>
    <row r="2172" spans="1:14" x14ac:dyDescent="0.25">
      <c r="A2172" s="1">
        <f>'[1]Global_Spot Prices'!$B3481</f>
        <v>45043</v>
      </c>
      <c r="B2172">
        <f>_xlfn.XLOOKUP(A2172,'[1]Global_Spot Prices'!$B:$B,'[1]Global_Spot Prices'!$BS:$BS)</f>
        <v>10.929999999999993</v>
      </c>
      <c r="C2172">
        <f>_xlfn.XLOOKUP(A2172,'[1]Global_Spot Prices'!$B:$B,'[1]Global_Spot Prices'!$E:$E)</f>
        <v>77.95</v>
      </c>
      <c r="D2172">
        <f>_xlfn.XLOOKUP(A2172,'[1]Global_Spot Prices'!$B:$B,'[1]Global_Spot Prices'!$D:$D)</f>
        <v>80.010000000000005</v>
      </c>
      <c r="E2172">
        <f>_xlfn.XLOOKUP(A2172,'[1]Global_Spot Prices'!$B:$B,'[1]Global_Spot Prices'!$H:$H)</f>
        <v>67.02</v>
      </c>
      <c r="F2172">
        <f>_xlfn.XLOOKUP(A2172,'[1]Global_Spot Prices'!$B:$B,'[1]Global_Spot Prices'!$I:$I)</f>
        <v>88.88</v>
      </c>
      <c r="G2172" cm="1">
        <f t="array" ref="G2172">_xlfn.XLOOKUP(TEXT(A2172, "mmm-yy"), TEXT([2]RUNS!$B$5:$B$208, "mmm-yy"), [2]RUNS!$D$5:$D$208, "Not Found")</f>
        <v>31065.991577376124</v>
      </c>
      <c r="H2172" cm="1">
        <f t="array" ref="H2172">SUMPRODUCT(
    --(TEXT('[3]Global Weekly Stock (EWSuez'!$B$4:$B$2000,"mmm-yy")=TEXT(A2172,"mmm-yy")),
    '[3]Global Weekly Stock (EWSuez'!$E$4:$E$2000)
/
SUMPRODUCT(
    --(TEXT('[3]Global Weekly Stock (EWSuez'!$B$4:$B$2000,"mmm-yy")=TEXT(A2172,"mmm-yy"))
)</f>
        <v>15406.5</v>
      </c>
      <c r="I2172">
        <f>_xlfn.XLOOKUP(A2172,[1]ForwardDeriv!$D:$D,[1]ForwardDeriv!$AJ:$AJ)</f>
        <v>0.87999999999999545</v>
      </c>
      <c r="J2172" cm="1">
        <f t="array" ref="J2172">_xlfn.XLOOKUP(TEXT(A2172, "mmm-yy"), TEXT([2]GASOLINE!$B$5:$B$208, "mmm-yy"), [2]GASOLINE!$IR$5:$IR$208, "Not Found")</f>
        <v>-252.19408195514643</v>
      </c>
      <c r="K2172" cm="1">
        <f t="array" ref="K2172">_xlfn.XLOOKUP(TEXT(A2172, "mmm-yy"), TEXT([2]GASOLINE!$B$5:$B$208, "mmm-yy"), [2]GASOLINE!$IK$5:$IK$208, "Not Found")</f>
        <v>218.91860114763315</v>
      </c>
      <c r="L2172">
        <f t="shared" si="33"/>
        <v>0</v>
      </c>
      <c r="M2172" cm="1">
        <f t="array" ref="M2172">_xlfn.XLOOKUP(TEXT(A2172, "mmm-yy"), TEXT([2]GASOLINE!$B$5:$B$208, "mmm-yy"), [2]GASOLINE!$C$5:$C$208, "Not Found")</f>
        <v>7623.5127374450349</v>
      </c>
      <c r="N2172" cm="1">
        <f t="array" ref="N2172">_xlfn.XLOOKUP(TEXT(A2172, "mmm-yy"), TEXT([2]RUNS!$B$5:$B$208, "mmm-yy"), [2]RUNS!$BM$5:$BM$208, "Not Found")</f>
        <v>0.8415934521534546</v>
      </c>
    </row>
    <row r="2173" spans="1:14" x14ac:dyDescent="0.25">
      <c r="A2173" s="1">
        <f>'[1]Global_Spot Prices'!$B3482</f>
        <v>45044</v>
      </c>
      <c r="B2173">
        <f>_xlfn.XLOOKUP(A2173,'[1]Global_Spot Prices'!$B:$B,'[1]Global_Spot Prices'!$BS:$BS)</f>
        <v>8.2800000000000011</v>
      </c>
      <c r="C2173">
        <f>_xlfn.XLOOKUP(A2173,'[1]Global_Spot Prices'!$B:$B,'[1]Global_Spot Prices'!$E:$E)</f>
        <v>79.760000000000005</v>
      </c>
      <c r="D2173">
        <f>_xlfn.XLOOKUP(A2173,'[1]Global_Spot Prices'!$B:$B,'[1]Global_Spot Prices'!$D:$D)</f>
        <v>82.01</v>
      </c>
      <c r="E2173">
        <f>_xlfn.XLOOKUP(A2173,'[1]Global_Spot Prices'!$B:$B,'[1]Global_Spot Prices'!$H:$H)</f>
        <v>66.459999999999994</v>
      </c>
      <c r="F2173">
        <f>_xlfn.XLOOKUP(A2173,'[1]Global_Spot Prices'!$B:$B,'[1]Global_Spot Prices'!$I:$I)</f>
        <v>88.04</v>
      </c>
      <c r="G2173" cm="1">
        <f t="array" ref="G2173">_xlfn.XLOOKUP(TEXT(A2173, "mmm-yy"), TEXT([2]RUNS!$B$5:$B$208, "mmm-yy"), [2]RUNS!$D$5:$D$208, "Not Found")</f>
        <v>31065.991577376124</v>
      </c>
      <c r="H2173" cm="1">
        <f t="array" ref="H2173">SUMPRODUCT(
    --(TEXT('[3]Global Weekly Stock (EWSuez'!$B$4:$B$2000,"mmm-yy")=TEXT(A2173,"mmm-yy")),
    '[3]Global Weekly Stock (EWSuez'!$E$4:$E$2000)
/
SUMPRODUCT(
    --(TEXT('[3]Global Weekly Stock (EWSuez'!$B$4:$B$2000,"mmm-yy")=TEXT(A2173,"mmm-yy"))
)</f>
        <v>15406.5</v>
      </c>
      <c r="I2173">
        <f>_xlfn.XLOOKUP(A2173,[1]ForwardDeriv!$D:$D,[1]ForwardDeriv!$AJ:$AJ)</f>
        <v>0.90000000000000568</v>
      </c>
      <c r="J2173" cm="1">
        <f t="array" ref="J2173">_xlfn.XLOOKUP(TEXT(A2173, "mmm-yy"), TEXT([2]GASOLINE!$B$5:$B$208, "mmm-yy"), [2]GASOLINE!$IR$5:$IR$208, "Not Found")</f>
        <v>-252.19408195514643</v>
      </c>
      <c r="K2173" cm="1">
        <f t="array" ref="K2173">_xlfn.XLOOKUP(TEXT(A2173, "mmm-yy"), TEXT([2]GASOLINE!$B$5:$B$208, "mmm-yy"), [2]GASOLINE!$IK$5:$IK$208, "Not Found")</f>
        <v>218.91860114763315</v>
      </c>
      <c r="L2173">
        <f t="shared" si="33"/>
        <v>0</v>
      </c>
      <c r="M2173" cm="1">
        <f t="array" ref="M2173">_xlfn.XLOOKUP(TEXT(A2173, "mmm-yy"), TEXT([2]GASOLINE!$B$5:$B$208, "mmm-yy"), [2]GASOLINE!$C$5:$C$208, "Not Found")</f>
        <v>7623.5127374450349</v>
      </c>
      <c r="N2173" cm="1">
        <f t="array" ref="N2173">_xlfn.XLOOKUP(TEXT(A2173, "mmm-yy"), TEXT([2]RUNS!$B$5:$B$208, "mmm-yy"), [2]RUNS!$BM$5:$BM$208, "Not Found")</f>
        <v>0.8415934521534546</v>
      </c>
    </row>
    <row r="2174" spans="1:14" x14ac:dyDescent="0.25">
      <c r="A2174" s="1">
        <f>'[1]Global_Spot Prices'!$B3483</f>
        <v>45047</v>
      </c>
      <c r="B2174" t="e">
        <f>_xlfn.XLOOKUP(A2174,'[1]Global_Spot Prices'!$B:$B,'[1]Global_Spot Prices'!$BS:$BS)</f>
        <v>#N/A</v>
      </c>
      <c r="C2174" t="str">
        <f ca="1">_xlfn.XLOOKUP(A2174,'[1]Global_Spot Prices'!$B:$B,'[1]Global_Spot Prices'!$E:$E)</f>
        <v/>
      </c>
      <c r="D2174" t="str">
        <f ca="1">_xlfn.XLOOKUP(A2174,'[1]Global_Spot Prices'!$B:$B,'[1]Global_Spot Prices'!$D:$D)</f>
        <v/>
      </c>
      <c r="E2174">
        <f>_xlfn.XLOOKUP(A2174,'[1]Global_Spot Prices'!$B:$B,'[1]Global_Spot Prices'!$H:$H)</f>
        <v>0</v>
      </c>
      <c r="F2174">
        <f>_xlfn.XLOOKUP(A2174,'[1]Global_Spot Prices'!$B:$B,'[1]Global_Spot Prices'!$I:$I)</f>
        <v>0</v>
      </c>
      <c r="G2174" cm="1">
        <f t="array" ref="G2174">_xlfn.XLOOKUP(TEXT(A2174, "mmm-yy"), TEXT([2]RUNS!$B$5:$B$208, "mmm-yy"), [2]RUNS!$D$5:$D$208, "Not Found")</f>
        <v>30819.530298182777</v>
      </c>
      <c r="H2174" cm="1">
        <f t="array" ref="H2174">SUMPRODUCT(
    --(TEXT('[3]Global Weekly Stock (EWSuez'!$B$4:$B$2000,"mmm-yy")=TEXT(A2174,"mmm-yy")),
    '[3]Global Weekly Stock (EWSuez'!$E$4:$E$2000)
/
SUMPRODUCT(
    --(TEXT('[3]Global Weekly Stock (EWSuez'!$B$4:$B$2000,"mmm-yy")=TEXT(A2174,"mmm-yy"))
)</f>
        <v>15938.75</v>
      </c>
      <c r="I2174">
        <f>_xlfn.XLOOKUP(A2174,[1]ForwardDeriv!$D:$D,[1]ForwardDeriv!$AJ:$AJ)</f>
        <v>1.3199999999999932</v>
      </c>
      <c r="J2174" cm="1">
        <f t="array" ref="J2174">_xlfn.XLOOKUP(TEXT(A2174, "mmm-yy"), TEXT([2]GASOLINE!$B$5:$B$208, "mmm-yy"), [2]GASOLINE!$IR$5:$IR$208, "Not Found")</f>
        <v>-192.79026773199115</v>
      </c>
      <c r="K2174" cm="1">
        <f t="array" ref="K2174">_xlfn.XLOOKUP(TEXT(A2174, "mmm-yy"), TEXT([2]GASOLINE!$B$5:$B$208, "mmm-yy"), [2]GASOLINE!$IK$5:$IK$208, "Not Found")</f>
        <v>223.5450718005761</v>
      </c>
      <c r="L2174">
        <f t="shared" si="33"/>
        <v>0</v>
      </c>
      <c r="M2174" cm="1">
        <f t="array" ref="M2174">_xlfn.XLOOKUP(TEXT(A2174, "mmm-yy"), TEXT([2]GASOLINE!$B$5:$B$208, "mmm-yy"), [2]GASOLINE!$C$5:$C$208, "Not Found")</f>
        <v>7586.1811195711934</v>
      </c>
      <c r="N2174" cm="1">
        <f t="array" ref="N2174">_xlfn.XLOOKUP(TEXT(A2174, "mmm-yy"), TEXT([2]RUNS!$B$5:$B$208, "mmm-yy"), [2]RUNS!$BM$5:$BM$208, "Not Found")</f>
        <v>0.83210792993616722</v>
      </c>
    </row>
    <row r="2175" spans="1:14" x14ac:dyDescent="0.25">
      <c r="A2175" s="1">
        <f>'[1]Global_Spot Prices'!$B3484</f>
        <v>45048</v>
      </c>
      <c r="B2175">
        <f>_xlfn.XLOOKUP(A2175,'[1]Global_Spot Prices'!$B:$B,'[1]Global_Spot Prices'!$BS:$BS)</f>
        <v>10.355000000000004</v>
      </c>
      <c r="C2175">
        <f>_xlfn.XLOOKUP(A2175,'[1]Global_Spot Prices'!$B:$B,'[1]Global_Spot Prices'!$E:$E)</f>
        <v>78.594999999999999</v>
      </c>
      <c r="D2175">
        <f>_xlfn.XLOOKUP(A2175,'[1]Global_Spot Prices'!$B:$B,'[1]Global_Spot Prices'!$D:$D)</f>
        <v>77.180000000000007</v>
      </c>
      <c r="E2175">
        <f>_xlfn.XLOOKUP(A2175,'[1]Global_Spot Prices'!$B:$B,'[1]Global_Spot Prices'!$H:$H)</f>
        <v>66.64</v>
      </c>
      <c r="F2175">
        <f>_xlfn.XLOOKUP(A2175,'[1]Global_Spot Prices'!$B:$B,'[1]Global_Spot Prices'!$I:$I)</f>
        <v>88.95</v>
      </c>
      <c r="G2175" cm="1">
        <f t="array" ref="G2175">_xlfn.XLOOKUP(TEXT(A2175, "mmm-yy"), TEXT([2]RUNS!$B$5:$B$208, "mmm-yy"), [2]RUNS!$D$5:$D$208, "Not Found")</f>
        <v>30819.530298182777</v>
      </c>
      <c r="H2175" cm="1">
        <f t="array" ref="H2175">SUMPRODUCT(
    --(TEXT('[3]Global Weekly Stock (EWSuez'!$B$4:$B$2000,"mmm-yy")=TEXT(A2175,"mmm-yy")),
    '[3]Global Weekly Stock (EWSuez'!$E$4:$E$2000)
/
SUMPRODUCT(
    --(TEXT('[3]Global Weekly Stock (EWSuez'!$B$4:$B$2000,"mmm-yy")=TEXT(A2175,"mmm-yy"))
)</f>
        <v>15938.75</v>
      </c>
      <c r="I2175">
        <f>_xlfn.XLOOKUP(A2175,[1]ForwardDeriv!$D:$D,[1]ForwardDeriv!$AJ:$AJ)</f>
        <v>1.3199999999999932</v>
      </c>
      <c r="J2175" cm="1">
        <f t="array" ref="J2175">_xlfn.XLOOKUP(TEXT(A2175, "mmm-yy"), TEXT([2]GASOLINE!$B$5:$B$208, "mmm-yy"), [2]GASOLINE!$IR$5:$IR$208, "Not Found")</f>
        <v>-192.79026773199115</v>
      </c>
      <c r="K2175" cm="1">
        <f t="array" ref="K2175">_xlfn.XLOOKUP(TEXT(A2175, "mmm-yy"), TEXT([2]GASOLINE!$B$5:$B$208, "mmm-yy"), [2]GASOLINE!$IK$5:$IK$208, "Not Found")</f>
        <v>223.5450718005761</v>
      </c>
      <c r="L2175">
        <f t="shared" si="33"/>
        <v>0</v>
      </c>
      <c r="M2175" cm="1">
        <f t="array" ref="M2175">_xlfn.XLOOKUP(TEXT(A2175, "mmm-yy"), TEXT([2]GASOLINE!$B$5:$B$208, "mmm-yy"), [2]GASOLINE!$C$5:$C$208, "Not Found")</f>
        <v>7586.1811195711934</v>
      </c>
      <c r="N2175" cm="1">
        <f t="array" ref="N2175">_xlfn.XLOOKUP(TEXT(A2175, "mmm-yy"), TEXT([2]RUNS!$B$5:$B$208, "mmm-yy"), [2]RUNS!$BM$5:$BM$208, "Not Found")</f>
        <v>0.83210792993616722</v>
      </c>
    </row>
    <row r="2176" spans="1:14" x14ac:dyDescent="0.25">
      <c r="A2176" s="1">
        <f>'[1]Global_Spot Prices'!$B3485</f>
        <v>45049</v>
      </c>
      <c r="B2176">
        <f>_xlfn.XLOOKUP(A2176,'[1]Global_Spot Prices'!$B:$B,'[1]Global_Spot Prices'!$BS:$BS)</f>
        <v>10.079999999999998</v>
      </c>
      <c r="C2176">
        <f>_xlfn.XLOOKUP(A2176,'[1]Global_Spot Prices'!$B:$B,'[1]Global_Spot Prices'!$E:$E)</f>
        <v>73.63</v>
      </c>
      <c r="D2176">
        <f>_xlfn.XLOOKUP(A2176,'[1]Global_Spot Prices'!$B:$B,'[1]Global_Spot Prices'!$D:$D)</f>
        <v>72.510000000000005</v>
      </c>
      <c r="E2176">
        <f>_xlfn.XLOOKUP(A2176,'[1]Global_Spot Prices'!$B:$B,'[1]Global_Spot Prices'!$H:$H)</f>
        <v>61.26</v>
      </c>
      <c r="F2176">
        <f>_xlfn.XLOOKUP(A2176,'[1]Global_Spot Prices'!$B:$B,'[1]Global_Spot Prices'!$I:$I)</f>
        <v>83.71</v>
      </c>
      <c r="G2176" cm="1">
        <f t="array" ref="G2176">_xlfn.XLOOKUP(TEXT(A2176, "mmm-yy"), TEXT([2]RUNS!$B$5:$B$208, "mmm-yy"), [2]RUNS!$D$5:$D$208, "Not Found")</f>
        <v>30819.530298182777</v>
      </c>
      <c r="H2176" cm="1">
        <f t="array" ref="H2176">SUMPRODUCT(
    --(TEXT('[3]Global Weekly Stock (EWSuez'!$B$4:$B$2000,"mmm-yy")=TEXT(A2176,"mmm-yy")),
    '[3]Global Weekly Stock (EWSuez'!$E$4:$E$2000)
/
SUMPRODUCT(
    --(TEXT('[3]Global Weekly Stock (EWSuez'!$B$4:$B$2000,"mmm-yy")=TEXT(A2176,"mmm-yy"))
)</f>
        <v>15938.75</v>
      </c>
      <c r="I2176">
        <f>_xlfn.XLOOKUP(A2176,[1]ForwardDeriv!$D:$D,[1]ForwardDeriv!$AJ:$AJ)</f>
        <v>1.1599999999999966</v>
      </c>
      <c r="J2176" cm="1">
        <f t="array" ref="J2176">_xlfn.XLOOKUP(TEXT(A2176, "mmm-yy"), TEXT([2]GASOLINE!$B$5:$B$208, "mmm-yy"), [2]GASOLINE!$IR$5:$IR$208, "Not Found")</f>
        <v>-192.79026773199115</v>
      </c>
      <c r="K2176" cm="1">
        <f t="array" ref="K2176">_xlfn.XLOOKUP(TEXT(A2176, "mmm-yy"), TEXT([2]GASOLINE!$B$5:$B$208, "mmm-yy"), [2]GASOLINE!$IK$5:$IK$208, "Not Found")</f>
        <v>223.5450718005761</v>
      </c>
      <c r="L2176">
        <f t="shared" si="33"/>
        <v>0</v>
      </c>
      <c r="M2176" cm="1">
        <f t="array" ref="M2176">_xlfn.XLOOKUP(TEXT(A2176, "mmm-yy"), TEXT([2]GASOLINE!$B$5:$B$208, "mmm-yy"), [2]GASOLINE!$C$5:$C$208, "Not Found")</f>
        <v>7586.1811195711934</v>
      </c>
      <c r="N2176" cm="1">
        <f t="array" ref="N2176">_xlfn.XLOOKUP(TEXT(A2176, "mmm-yy"), TEXT([2]RUNS!$B$5:$B$208, "mmm-yy"), [2]RUNS!$BM$5:$BM$208, "Not Found")</f>
        <v>0.83210792993616722</v>
      </c>
    </row>
    <row r="2177" spans="1:14" x14ac:dyDescent="0.25">
      <c r="A2177" s="1">
        <f>'[1]Global_Spot Prices'!$B3486</f>
        <v>45050</v>
      </c>
      <c r="B2177">
        <f>_xlfn.XLOOKUP(A2177,'[1]Global_Spot Prices'!$B:$B,'[1]Global_Spot Prices'!$BS:$BS)</f>
        <v>8.7600000000000051</v>
      </c>
      <c r="C2177">
        <f>_xlfn.XLOOKUP(A2177,'[1]Global_Spot Prices'!$B:$B,'[1]Global_Spot Prices'!$E:$E)</f>
        <v>72.94</v>
      </c>
      <c r="D2177">
        <f>_xlfn.XLOOKUP(A2177,'[1]Global_Spot Prices'!$B:$B,'[1]Global_Spot Prices'!$D:$D)</f>
        <v>73.11</v>
      </c>
      <c r="E2177">
        <f>_xlfn.XLOOKUP(A2177,'[1]Global_Spot Prices'!$B:$B,'[1]Global_Spot Prices'!$H:$H)</f>
        <v>61.15</v>
      </c>
      <c r="F2177">
        <f>_xlfn.XLOOKUP(A2177,'[1]Global_Spot Prices'!$B:$B,'[1]Global_Spot Prices'!$I:$I)</f>
        <v>81.7</v>
      </c>
      <c r="G2177" cm="1">
        <f t="array" ref="G2177">_xlfn.XLOOKUP(TEXT(A2177, "mmm-yy"), TEXT([2]RUNS!$B$5:$B$208, "mmm-yy"), [2]RUNS!$D$5:$D$208, "Not Found")</f>
        <v>30819.530298182777</v>
      </c>
      <c r="H2177" cm="1">
        <f t="array" ref="H2177">SUMPRODUCT(
    --(TEXT('[3]Global Weekly Stock (EWSuez'!$B$4:$B$2000,"mmm-yy")=TEXT(A2177,"mmm-yy")),
    '[3]Global Weekly Stock (EWSuez'!$E$4:$E$2000)
/
SUMPRODUCT(
    --(TEXT('[3]Global Weekly Stock (EWSuez'!$B$4:$B$2000,"mmm-yy")=TEXT(A2177,"mmm-yy"))
)</f>
        <v>15938.75</v>
      </c>
      <c r="I2177">
        <f>_xlfn.XLOOKUP(A2177,[1]ForwardDeriv!$D:$D,[1]ForwardDeriv!$AJ:$AJ)</f>
        <v>1</v>
      </c>
      <c r="J2177" cm="1">
        <f t="array" ref="J2177">_xlfn.XLOOKUP(TEXT(A2177, "mmm-yy"), TEXT([2]GASOLINE!$B$5:$B$208, "mmm-yy"), [2]GASOLINE!$IR$5:$IR$208, "Not Found")</f>
        <v>-192.79026773199115</v>
      </c>
      <c r="K2177" cm="1">
        <f t="array" ref="K2177">_xlfn.XLOOKUP(TEXT(A2177, "mmm-yy"), TEXT([2]GASOLINE!$B$5:$B$208, "mmm-yy"), [2]GASOLINE!$IK$5:$IK$208, "Not Found")</f>
        <v>223.5450718005761</v>
      </c>
      <c r="L2177">
        <f t="shared" si="33"/>
        <v>0</v>
      </c>
      <c r="M2177" cm="1">
        <f t="array" ref="M2177">_xlfn.XLOOKUP(TEXT(A2177, "mmm-yy"), TEXT([2]GASOLINE!$B$5:$B$208, "mmm-yy"), [2]GASOLINE!$C$5:$C$208, "Not Found")</f>
        <v>7586.1811195711934</v>
      </c>
      <c r="N2177" cm="1">
        <f t="array" ref="N2177">_xlfn.XLOOKUP(TEXT(A2177, "mmm-yy"), TEXT([2]RUNS!$B$5:$B$208, "mmm-yy"), [2]RUNS!$BM$5:$BM$208, "Not Found")</f>
        <v>0.83210792993616722</v>
      </c>
    </row>
    <row r="2178" spans="1:14" x14ac:dyDescent="0.25">
      <c r="A2178" s="1">
        <f>'[1]Global_Spot Prices'!$B3487</f>
        <v>45051</v>
      </c>
      <c r="B2178">
        <f>_xlfn.XLOOKUP(A2178,'[1]Global_Spot Prices'!$B:$B,'[1]Global_Spot Prices'!$BS:$BS)</f>
        <v>8.6700000000000017</v>
      </c>
      <c r="C2178">
        <f>_xlfn.XLOOKUP(A2178,'[1]Global_Spot Prices'!$B:$B,'[1]Global_Spot Prices'!$E:$E)</f>
        <v>73.25</v>
      </c>
      <c r="D2178">
        <f>_xlfn.XLOOKUP(A2178,'[1]Global_Spot Prices'!$B:$B,'[1]Global_Spot Prices'!$D:$D)</f>
        <v>75.78</v>
      </c>
      <c r="E2178">
        <f>_xlfn.XLOOKUP(A2178,'[1]Global_Spot Prices'!$B:$B,'[1]Global_Spot Prices'!$H:$H)</f>
        <v>61.1</v>
      </c>
      <c r="F2178">
        <f>_xlfn.XLOOKUP(A2178,'[1]Global_Spot Prices'!$B:$B,'[1]Global_Spot Prices'!$I:$I)</f>
        <v>81.92</v>
      </c>
      <c r="G2178" cm="1">
        <f t="array" ref="G2178">_xlfn.XLOOKUP(TEXT(A2178, "mmm-yy"), TEXT([2]RUNS!$B$5:$B$208, "mmm-yy"), [2]RUNS!$D$5:$D$208, "Not Found")</f>
        <v>30819.530298182777</v>
      </c>
      <c r="H2178" cm="1">
        <f t="array" ref="H2178">SUMPRODUCT(
    --(TEXT('[3]Global Weekly Stock (EWSuez'!$B$4:$B$2000,"mmm-yy")=TEXT(A2178,"mmm-yy")),
    '[3]Global Weekly Stock (EWSuez'!$E$4:$E$2000)
/
SUMPRODUCT(
    --(TEXT('[3]Global Weekly Stock (EWSuez'!$B$4:$B$2000,"mmm-yy")=TEXT(A2178,"mmm-yy"))
)</f>
        <v>15938.75</v>
      </c>
      <c r="I2178">
        <f>_xlfn.XLOOKUP(A2178,[1]ForwardDeriv!$D:$D,[1]ForwardDeriv!$AJ:$AJ)</f>
        <v>1.0100000000000051</v>
      </c>
      <c r="J2178" cm="1">
        <f t="array" ref="J2178">_xlfn.XLOOKUP(TEXT(A2178, "mmm-yy"), TEXT([2]GASOLINE!$B$5:$B$208, "mmm-yy"), [2]GASOLINE!$IR$5:$IR$208, "Not Found")</f>
        <v>-192.79026773199115</v>
      </c>
      <c r="K2178" cm="1">
        <f t="array" ref="K2178">_xlfn.XLOOKUP(TEXT(A2178, "mmm-yy"), TEXT([2]GASOLINE!$B$5:$B$208, "mmm-yy"), [2]GASOLINE!$IK$5:$IK$208, "Not Found")</f>
        <v>223.5450718005761</v>
      </c>
      <c r="L2178">
        <f t="shared" si="33"/>
        <v>0</v>
      </c>
      <c r="M2178" cm="1">
        <f t="array" ref="M2178">_xlfn.XLOOKUP(TEXT(A2178, "mmm-yy"), TEXT([2]GASOLINE!$B$5:$B$208, "mmm-yy"), [2]GASOLINE!$C$5:$C$208, "Not Found")</f>
        <v>7586.1811195711934</v>
      </c>
      <c r="N2178" cm="1">
        <f t="array" ref="N2178">_xlfn.XLOOKUP(TEXT(A2178, "mmm-yy"), TEXT([2]RUNS!$B$5:$B$208, "mmm-yy"), [2]RUNS!$BM$5:$BM$208, "Not Found")</f>
        <v>0.83210792993616722</v>
      </c>
    </row>
    <row r="2179" spans="1:14" x14ac:dyDescent="0.25">
      <c r="A2179" s="1">
        <f>'[1]Global_Spot Prices'!$B3488</f>
        <v>45054</v>
      </c>
      <c r="B2179">
        <f>_xlfn.XLOOKUP(A2179,'[1]Global_Spot Prices'!$B:$B,'[1]Global_Spot Prices'!$BS:$BS)</f>
        <v>7.8400000000000034</v>
      </c>
      <c r="C2179">
        <f>_xlfn.XLOOKUP(A2179,'[1]Global_Spot Prices'!$B:$B,'[1]Global_Spot Prices'!$E:$E)</f>
        <v>76.16</v>
      </c>
      <c r="D2179" t="str">
        <f>_xlfn.XLOOKUP(A2179,'[1]Global_Spot Prices'!$B:$B,'[1]Global_Spot Prices'!$D:$D)</f>
        <v/>
      </c>
      <c r="E2179">
        <f>_xlfn.XLOOKUP(A2179,'[1]Global_Spot Prices'!$B:$B,'[1]Global_Spot Prices'!$H:$H)</f>
        <v>63.92</v>
      </c>
      <c r="F2179">
        <f>_xlfn.XLOOKUP(A2179,'[1]Global_Spot Prices'!$B:$B,'[1]Global_Spot Prices'!$I:$I)</f>
        <v>84</v>
      </c>
      <c r="G2179" cm="1">
        <f t="array" ref="G2179">_xlfn.XLOOKUP(TEXT(A2179, "mmm-yy"), TEXT([2]RUNS!$B$5:$B$208, "mmm-yy"), [2]RUNS!$D$5:$D$208, "Not Found")</f>
        <v>30819.530298182777</v>
      </c>
      <c r="H2179" cm="1">
        <f t="array" ref="H2179">SUMPRODUCT(
    --(TEXT('[3]Global Weekly Stock (EWSuez'!$B$4:$B$2000,"mmm-yy")=TEXT(A2179,"mmm-yy")),
    '[3]Global Weekly Stock (EWSuez'!$E$4:$E$2000)
/
SUMPRODUCT(
    --(TEXT('[3]Global Weekly Stock (EWSuez'!$B$4:$B$2000,"mmm-yy")=TEXT(A2179,"mmm-yy"))
)</f>
        <v>15938.75</v>
      </c>
      <c r="I2179">
        <f>_xlfn.XLOOKUP(A2179,[1]ForwardDeriv!$D:$D,[1]ForwardDeriv!$AJ:$AJ)</f>
        <v>1.0799999999999983</v>
      </c>
      <c r="J2179" cm="1">
        <f t="array" ref="J2179">_xlfn.XLOOKUP(TEXT(A2179, "mmm-yy"), TEXT([2]GASOLINE!$B$5:$B$208, "mmm-yy"), [2]GASOLINE!$IR$5:$IR$208, "Not Found")</f>
        <v>-192.79026773199115</v>
      </c>
      <c r="K2179" cm="1">
        <f t="array" ref="K2179">_xlfn.XLOOKUP(TEXT(A2179, "mmm-yy"), TEXT([2]GASOLINE!$B$5:$B$208, "mmm-yy"), [2]GASOLINE!$IK$5:$IK$208, "Not Found")</f>
        <v>223.5450718005761</v>
      </c>
      <c r="L2179">
        <f t="shared" ref="L2179:L2242" si="34">IF(OR(MONTH(A2179)=6, MONTH(A2179)=7, MONTH(A2179)=8, MONTH(A2179)=9), 1, 0)</f>
        <v>0</v>
      </c>
      <c r="M2179" cm="1">
        <f t="array" ref="M2179">_xlfn.XLOOKUP(TEXT(A2179, "mmm-yy"), TEXT([2]GASOLINE!$B$5:$B$208, "mmm-yy"), [2]GASOLINE!$C$5:$C$208, "Not Found")</f>
        <v>7586.1811195711934</v>
      </c>
      <c r="N2179" cm="1">
        <f t="array" ref="N2179">_xlfn.XLOOKUP(TEXT(A2179, "mmm-yy"), TEXT([2]RUNS!$B$5:$B$208, "mmm-yy"), [2]RUNS!$BM$5:$BM$208, "Not Found")</f>
        <v>0.83210792993616722</v>
      </c>
    </row>
    <row r="2180" spans="1:14" x14ac:dyDescent="0.25">
      <c r="A2180" s="1">
        <f>'[1]Global_Spot Prices'!$B3489</f>
        <v>45055</v>
      </c>
      <c r="B2180">
        <f>_xlfn.XLOOKUP(A2180,'[1]Global_Spot Prices'!$B:$B,'[1]Global_Spot Prices'!$BS:$BS)</f>
        <v>7.1799999999999926</v>
      </c>
      <c r="C2180">
        <f ca="1">_xlfn.XLOOKUP(A2180,'[1]Global_Spot Prices'!$B:$B,'[1]Global_Spot Prices'!$E:$E)</f>
        <v>75.81</v>
      </c>
      <c r="D2180">
        <f>_xlfn.XLOOKUP(A2180,'[1]Global_Spot Prices'!$B:$B,'[1]Global_Spot Prices'!$D:$D)</f>
        <v>75.665000000000006</v>
      </c>
      <c r="E2180">
        <f>_xlfn.XLOOKUP(A2180,'[1]Global_Spot Prices'!$B:$B,'[1]Global_Spot Prices'!$H:$H)</f>
        <v>63.54</v>
      </c>
      <c r="F2180">
        <f>_xlfn.XLOOKUP(A2180,'[1]Global_Spot Prices'!$B:$B,'[1]Global_Spot Prices'!$I:$I)</f>
        <v>82.99</v>
      </c>
      <c r="G2180" cm="1">
        <f t="array" ref="G2180">_xlfn.XLOOKUP(TEXT(A2180, "mmm-yy"), TEXT([2]RUNS!$B$5:$B$208, "mmm-yy"), [2]RUNS!$D$5:$D$208, "Not Found")</f>
        <v>30819.530298182777</v>
      </c>
      <c r="H2180" cm="1">
        <f t="array" ref="H2180">SUMPRODUCT(
    --(TEXT('[3]Global Weekly Stock (EWSuez'!$B$4:$B$2000,"mmm-yy")=TEXT(A2180,"mmm-yy")),
    '[3]Global Weekly Stock (EWSuez'!$E$4:$E$2000)
/
SUMPRODUCT(
    --(TEXT('[3]Global Weekly Stock (EWSuez'!$B$4:$B$2000,"mmm-yy")=TEXT(A2180,"mmm-yy"))
)</f>
        <v>15938.75</v>
      </c>
      <c r="I2180">
        <f>_xlfn.XLOOKUP(A2180,[1]ForwardDeriv!$D:$D,[1]ForwardDeriv!$AJ:$AJ)</f>
        <v>0.87999999999999545</v>
      </c>
      <c r="J2180" cm="1">
        <f t="array" ref="J2180">_xlfn.XLOOKUP(TEXT(A2180, "mmm-yy"), TEXT([2]GASOLINE!$B$5:$B$208, "mmm-yy"), [2]GASOLINE!$IR$5:$IR$208, "Not Found")</f>
        <v>-192.79026773199115</v>
      </c>
      <c r="K2180" cm="1">
        <f t="array" ref="K2180">_xlfn.XLOOKUP(TEXT(A2180, "mmm-yy"), TEXT([2]GASOLINE!$B$5:$B$208, "mmm-yy"), [2]GASOLINE!$IK$5:$IK$208, "Not Found")</f>
        <v>223.5450718005761</v>
      </c>
      <c r="L2180">
        <f t="shared" si="34"/>
        <v>0</v>
      </c>
      <c r="M2180" cm="1">
        <f t="array" ref="M2180">_xlfn.XLOOKUP(TEXT(A2180, "mmm-yy"), TEXT([2]GASOLINE!$B$5:$B$208, "mmm-yy"), [2]GASOLINE!$C$5:$C$208, "Not Found")</f>
        <v>7586.1811195711934</v>
      </c>
      <c r="N2180" cm="1">
        <f t="array" ref="N2180">_xlfn.XLOOKUP(TEXT(A2180, "mmm-yy"), TEXT([2]RUNS!$B$5:$B$208, "mmm-yy"), [2]RUNS!$BM$5:$BM$208, "Not Found")</f>
        <v>0.83210792993616722</v>
      </c>
    </row>
    <row r="2181" spans="1:14" x14ac:dyDescent="0.25">
      <c r="A2181" s="1">
        <f>'[1]Global_Spot Prices'!$B3490</f>
        <v>45056</v>
      </c>
      <c r="B2181">
        <f>_xlfn.XLOOKUP(A2181,'[1]Global_Spot Prices'!$B:$B,'[1]Global_Spot Prices'!$BS:$BS)</f>
        <v>8.75</v>
      </c>
      <c r="C2181">
        <f>_xlfn.XLOOKUP(A2181,'[1]Global_Spot Prices'!$B:$B,'[1]Global_Spot Prices'!$E:$E)</f>
        <v>75.72</v>
      </c>
      <c r="D2181">
        <f>_xlfn.XLOOKUP(A2181,'[1]Global_Spot Prices'!$B:$B,'[1]Global_Spot Prices'!$D:$D)</f>
        <v>77.325000000000003</v>
      </c>
      <c r="E2181">
        <f>_xlfn.XLOOKUP(A2181,'[1]Global_Spot Prices'!$B:$B,'[1]Global_Spot Prices'!$H:$H)</f>
        <v>62.88</v>
      </c>
      <c r="F2181">
        <f>_xlfn.XLOOKUP(A2181,'[1]Global_Spot Prices'!$B:$B,'[1]Global_Spot Prices'!$I:$I)</f>
        <v>84.47</v>
      </c>
      <c r="G2181" cm="1">
        <f t="array" ref="G2181">_xlfn.XLOOKUP(TEXT(A2181, "mmm-yy"), TEXT([2]RUNS!$B$5:$B$208, "mmm-yy"), [2]RUNS!$D$5:$D$208, "Not Found")</f>
        <v>30819.530298182777</v>
      </c>
      <c r="H2181" cm="1">
        <f t="array" ref="H2181">SUMPRODUCT(
    --(TEXT('[3]Global Weekly Stock (EWSuez'!$B$4:$B$2000,"mmm-yy")=TEXT(A2181,"mmm-yy")),
    '[3]Global Weekly Stock (EWSuez'!$E$4:$E$2000)
/
SUMPRODUCT(
    --(TEXT('[3]Global Weekly Stock (EWSuez'!$B$4:$B$2000,"mmm-yy")=TEXT(A2181,"mmm-yy"))
)</f>
        <v>15938.75</v>
      </c>
      <c r="I2181">
        <f>_xlfn.XLOOKUP(A2181,[1]ForwardDeriv!$D:$D,[1]ForwardDeriv!$AJ:$AJ)</f>
        <v>0.82999999999999829</v>
      </c>
      <c r="J2181" cm="1">
        <f t="array" ref="J2181">_xlfn.XLOOKUP(TEXT(A2181, "mmm-yy"), TEXT([2]GASOLINE!$B$5:$B$208, "mmm-yy"), [2]GASOLINE!$IR$5:$IR$208, "Not Found")</f>
        <v>-192.79026773199115</v>
      </c>
      <c r="K2181" cm="1">
        <f t="array" ref="K2181">_xlfn.XLOOKUP(TEXT(A2181, "mmm-yy"), TEXT([2]GASOLINE!$B$5:$B$208, "mmm-yy"), [2]GASOLINE!$IK$5:$IK$208, "Not Found")</f>
        <v>223.5450718005761</v>
      </c>
      <c r="L2181">
        <f t="shared" si="34"/>
        <v>0</v>
      </c>
      <c r="M2181" cm="1">
        <f t="array" ref="M2181">_xlfn.XLOOKUP(TEXT(A2181, "mmm-yy"), TEXT([2]GASOLINE!$B$5:$B$208, "mmm-yy"), [2]GASOLINE!$C$5:$C$208, "Not Found")</f>
        <v>7586.1811195711934</v>
      </c>
      <c r="N2181" cm="1">
        <f t="array" ref="N2181">_xlfn.XLOOKUP(TEXT(A2181, "mmm-yy"), TEXT([2]RUNS!$B$5:$B$208, "mmm-yy"), [2]RUNS!$BM$5:$BM$208, "Not Found")</f>
        <v>0.83210792993616722</v>
      </c>
    </row>
    <row r="2182" spans="1:14" x14ac:dyDescent="0.25">
      <c r="A2182" s="1">
        <f>'[1]Global_Spot Prices'!$B3491</f>
        <v>45057</v>
      </c>
      <c r="B2182">
        <f>_xlfn.XLOOKUP(A2182,'[1]Global_Spot Prices'!$B:$B,'[1]Global_Spot Prices'!$BS:$BS)</f>
        <v>9.6299999999999955</v>
      </c>
      <c r="C2182">
        <f>_xlfn.XLOOKUP(A2182,'[1]Global_Spot Prices'!$B:$B,'[1]Global_Spot Prices'!$E:$E)</f>
        <v>76.19</v>
      </c>
      <c r="D2182">
        <f>_xlfn.XLOOKUP(A2182,'[1]Global_Spot Prices'!$B:$B,'[1]Global_Spot Prices'!$D:$D)</f>
        <v>76.185000000000002</v>
      </c>
      <c r="E2182">
        <f>_xlfn.XLOOKUP(A2182,'[1]Global_Spot Prices'!$B:$B,'[1]Global_Spot Prices'!$H:$H)</f>
        <v>62.96</v>
      </c>
      <c r="F2182">
        <f>_xlfn.XLOOKUP(A2182,'[1]Global_Spot Prices'!$B:$B,'[1]Global_Spot Prices'!$I:$I)</f>
        <v>85.82</v>
      </c>
      <c r="G2182" cm="1">
        <f t="array" ref="G2182">_xlfn.XLOOKUP(TEXT(A2182, "mmm-yy"), TEXT([2]RUNS!$B$5:$B$208, "mmm-yy"), [2]RUNS!$D$5:$D$208, "Not Found")</f>
        <v>30819.530298182777</v>
      </c>
      <c r="H2182" cm="1">
        <f t="array" ref="H2182">SUMPRODUCT(
    --(TEXT('[3]Global Weekly Stock (EWSuez'!$B$4:$B$2000,"mmm-yy")=TEXT(A2182,"mmm-yy")),
    '[3]Global Weekly Stock (EWSuez'!$E$4:$E$2000)
/
SUMPRODUCT(
    --(TEXT('[3]Global Weekly Stock (EWSuez'!$B$4:$B$2000,"mmm-yy")=TEXT(A2182,"mmm-yy"))
)</f>
        <v>15938.75</v>
      </c>
      <c r="I2182">
        <f>_xlfn.XLOOKUP(A2182,[1]ForwardDeriv!$D:$D,[1]ForwardDeriv!$AJ:$AJ)</f>
        <v>0.81999999999999318</v>
      </c>
      <c r="J2182" cm="1">
        <f t="array" ref="J2182">_xlfn.XLOOKUP(TEXT(A2182, "mmm-yy"), TEXT([2]GASOLINE!$B$5:$B$208, "mmm-yy"), [2]GASOLINE!$IR$5:$IR$208, "Not Found")</f>
        <v>-192.79026773199115</v>
      </c>
      <c r="K2182" cm="1">
        <f t="array" ref="K2182">_xlfn.XLOOKUP(TEXT(A2182, "mmm-yy"), TEXT([2]GASOLINE!$B$5:$B$208, "mmm-yy"), [2]GASOLINE!$IK$5:$IK$208, "Not Found")</f>
        <v>223.5450718005761</v>
      </c>
      <c r="L2182">
        <f t="shared" si="34"/>
        <v>0</v>
      </c>
      <c r="M2182" cm="1">
        <f t="array" ref="M2182">_xlfn.XLOOKUP(TEXT(A2182, "mmm-yy"), TEXT([2]GASOLINE!$B$5:$B$208, "mmm-yy"), [2]GASOLINE!$C$5:$C$208, "Not Found")</f>
        <v>7586.1811195711934</v>
      </c>
      <c r="N2182" cm="1">
        <f t="array" ref="N2182">_xlfn.XLOOKUP(TEXT(A2182, "mmm-yy"), TEXT([2]RUNS!$B$5:$B$208, "mmm-yy"), [2]RUNS!$BM$5:$BM$208, "Not Found")</f>
        <v>0.83210792993616722</v>
      </c>
    </row>
    <row r="2183" spans="1:14" x14ac:dyDescent="0.25">
      <c r="A2183" s="1">
        <f>'[1]Global_Spot Prices'!$B3492</f>
        <v>45058</v>
      </c>
      <c r="B2183">
        <f>_xlfn.XLOOKUP(A2183,'[1]Global_Spot Prices'!$B:$B,'[1]Global_Spot Prices'!$BS:$BS)</f>
        <v>10.069999999999993</v>
      </c>
      <c r="C2183">
        <f>_xlfn.XLOOKUP(A2183,'[1]Global_Spot Prices'!$B:$B,'[1]Global_Spot Prices'!$E:$E)</f>
        <v>73.53</v>
      </c>
      <c r="D2183">
        <f>_xlfn.XLOOKUP(A2183,'[1]Global_Spot Prices'!$B:$B,'[1]Global_Spot Prices'!$D:$D)</f>
        <v>75.31</v>
      </c>
      <c r="E2183">
        <f>_xlfn.XLOOKUP(A2183,'[1]Global_Spot Prices'!$B:$B,'[1]Global_Spot Prices'!$H:$H)</f>
        <v>61.41</v>
      </c>
      <c r="F2183">
        <f>_xlfn.XLOOKUP(A2183,'[1]Global_Spot Prices'!$B:$B,'[1]Global_Spot Prices'!$I:$I)</f>
        <v>83.6</v>
      </c>
      <c r="G2183" cm="1">
        <f t="array" ref="G2183">_xlfn.XLOOKUP(TEXT(A2183, "mmm-yy"), TEXT([2]RUNS!$B$5:$B$208, "mmm-yy"), [2]RUNS!$D$5:$D$208, "Not Found")</f>
        <v>30819.530298182777</v>
      </c>
      <c r="H2183" cm="1">
        <f t="array" ref="H2183">SUMPRODUCT(
    --(TEXT('[3]Global Weekly Stock (EWSuez'!$B$4:$B$2000,"mmm-yy")=TEXT(A2183,"mmm-yy")),
    '[3]Global Weekly Stock (EWSuez'!$E$4:$E$2000)
/
SUMPRODUCT(
    --(TEXT('[3]Global Weekly Stock (EWSuez'!$B$4:$B$2000,"mmm-yy")=TEXT(A2183,"mmm-yy"))
)</f>
        <v>15938.75</v>
      </c>
      <c r="I2183">
        <f>_xlfn.XLOOKUP(A2183,[1]ForwardDeriv!$D:$D,[1]ForwardDeriv!$AJ:$AJ)</f>
        <v>0.95000000000000284</v>
      </c>
      <c r="J2183" cm="1">
        <f t="array" ref="J2183">_xlfn.XLOOKUP(TEXT(A2183, "mmm-yy"), TEXT([2]GASOLINE!$B$5:$B$208, "mmm-yy"), [2]GASOLINE!$IR$5:$IR$208, "Not Found")</f>
        <v>-192.79026773199115</v>
      </c>
      <c r="K2183" cm="1">
        <f t="array" ref="K2183">_xlfn.XLOOKUP(TEXT(A2183, "mmm-yy"), TEXT([2]GASOLINE!$B$5:$B$208, "mmm-yy"), [2]GASOLINE!$IK$5:$IK$208, "Not Found")</f>
        <v>223.5450718005761</v>
      </c>
      <c r="L2183">
        <f t="shared" si="34"/>
        <v>0</v>
      </c>
      <c r="M2183" cm="1">
        <f t="array" ref="M2183">_xlfn.XLOOKUP(TEXT(A2183, "mmm-yy"), TEXT([2]GASOLINE!$B$5:$B$208, "mmm-yy"), [2]GASOLINE!$C$5:$C$208, "Not Found")</f>
        <v>7586.1811195711934</v>
      </c>
      <c r="N2183" cm="1">
        <f t="array" ref="N2183">_xlfn.XLOOKUP(TEXT(A2183, "mmm-yy"), TEXT([2]RUNS!$B$5:$B$208, "mmm-yy"), [2]RUNS!$BM$5:$BM$208, "Not Found")</f>
        <v>0.83210792993616722</v>
      </c>
    </row>
    <row r="2184" spans="1:14" x14ac:dyDescent="0.25">
      <c r="A2184" s="1">
        <f>'[1]Global_Spot Prices'!$B3493</f>
        <v>45061</v>
      </c>
      <c r="B2184">
        <f>_xlfn.XLOOKUP(A2184,'[1]Global_Spot Prices'!$B:$B,'[1]Global_Spot Prices'!$BS:$BS)</f>
        <v>9.5600000000000023</v>
      </c>
      <c r="C2184">
        <f>_xlfn.XLOOKUP(A2184,'[1]Global_Spot Prices'!$B:$B,'[1]Global_Spot Prices'!$E:$E)</f>
        <v>73.3</v>
      </c>
      <c r="D2184">
        <f>_xlfn.XLOOKUP(A2184,'[1]Global_Spot Prices'!$B:$B,'[1]Global_Spot Prices'!$D:$D)</f>
        <v>75.44</v>
      </c>
      <c r="E2184">
        <f>_xlfn.XLOOKUP(A2184,'[1]Global_Spot Prices'!$B:$B,'[1]Global_Spot Prices'!$H:$H)</f>
        <v>60.16</v>
      </c>
      <c r="F2184">
        <f ca="1">_xlfn.XLOOKUP(A2184,'[1]Global_Spot Prices'!$B:$B,'[1]Global_Spot Prices'!$I:$I)</f>
        <v>82.86</v>
      </c>
      <c r="G2184" cm="1">
        <f t="array" ref="G2184">_xlfn.XLOOKUP(TEXT(A2184, "mmm-yy"), TEXT([2]RUNS!$B$5:$B$208, "mmm-yy"), [2]RUNS!$D$5:$D$208, "Not Found")</f>
        <v>30819.530298182777</v>
      </c>
      <c r="H2184" cm="1">
        <f t="array" ref="H2184">SUMPRODUCT(
    --(TEXT('[3]Global Weekly Stock (EWSuez'!$B$4:$B$2000,"mmm-yy")=TEXT(A2184,"mmm-yy")),
    '[3]Global Weekly Stock (EWSuez'!$E$4:$E$2000)
/
SUMPRODUCT(
    --(TEXT('[3]Global Weekly Stock (EWSuez'!$B$4:$B$2000,"mmm-yy")=TEXT(A2184,"mmm-yy"))
)</f>
        <v>15938.75</v>
      </c>
      <c r="I2184">
        <f>_xlfn.XLOOKUP(A2184,[1]ForwardDeriv!$D:$D,[1]ForwardDeriv!$AJ:$AJ)</f>
        <v>0.96999999999999886</v>
      </c>
      <c r="J2184" cm="1">
        <f t="array" ref="J2184">_xlfn.XLOOKUP(TEXT(A2184, "mmm-yy"), TEXT([2]GASOLINE!$B$5:$B$208, "mmm-yy"), [2]GASOLINE!$IR$5:$IR$208, "Not Found")</f>
        <v>-192.79026773199115</v>
      </c>
      <c r="K2184" cm="1">
        <f t="array" ref="K2184">_xlfn.XLOOKUP(TEXT(A2184, "mmm-yy"), TEXT([2]GASOLINE!$B$5:$B$208, "mmm-yy"), [2]GASOLINE!$IK$5:$IK$208, "Not Found")</f>
        <v>223.5450718005761</v>
      </c>
      <c r="L2184">
        <f t="shared" si="34"/>
        <v>0</v>
      </c>
      <c r="M2184" cm="1">
        <f t="array" ref="M2184">_xlfn.XLOOKUP(TEXT(A2184, "mmm-yy"), TEXT([2]GASOLINE!$B$5:$B$208, "mmm-yy"), [2]GASOLINE!$C$5:$C$208, "Not Found")</f>
        <v>7586.1811195711934</v>
      </c>
      <c r="N2184" cm="1">
        <f t="array" ref="N2184">_xlfn.XLOOKUP(TEXT(A2184, "mmm-yy"), TEXT([2]RUNS!$B$5:$B$208, "mmm-yy"), [2]RUNS!$BM$5:$BM$208, "Not Found")</f>
        <v>0.83210792993616722</v>
      </c>
    </row>
    <row r="2185" spans="1:14" x14ac:dyDescent="0.25">
      <c r="A2185" s="1">
        <f>'[1]Global_Spot Prices'!$B3494</f>
        <v>45062</v>
      </c>
      <c r="B2185">
        <f>_xlfn.XLOOKUP(A2185,'[1]Global_Spot Prices'!$B:$B,'[1]Global_Spot Prices'!$BS:$BS)</f>
        <v>9.3800000000000097</v>
      </c>
      <c r="C2185">
        <f>_xlfn.XLOOKUP(A2185,'[1]Global_Spot Prices'!$B:$B,'[1]Global_Spot Prices'!$E:$E)</f>
        <v>74.55</v>
      </c>
      <c r="D2185">
        <f>_xlfn.XLOOKUP(A2185,'[1]Global_Spot Prices'!$B:$B,'[1]Global_Spot Prices'!$D:$D)</f>
        <v>75.144999999999996</v>
      </c>
      <c r="E2185">
        <f>_xlfn.XLOOKUP(A2185,'[1]Global_Spot Prices'!$B:$B,'[1]Global_Spot Prices'!$H:$H)</f>
        <v>60.52</v>
      </c>
      <c r="F2185">
        <f>_xlfn.XLOOKUP(A2185,'[1]Global_Spot Prices'!$B:$B,'[1]Global_Spot Prices'!$I:$I)</f>
        <v>83.93</v>
      </c>
      <c r="G2185" cm="1">
        <f t="array" ref="G2185">_xlfn.XLOOKUP(TEXT(A2185, "mmm-yy"), TEXT([2]RUNS!$B$5:$B$208, "mmm-yy"), [2]RUNS!$D$5:$D$208, "Not Found")</f>
        <v>30819.530298182777</v>
      </c>
      <c r="H2185" cm="1">
        <f t="array" ref="H2185">SUMPRODUCT(
    --(TEXT('[3]Global Weekly Stock (EWSuez'!$B$4:$B$2000,"mmm-yy")=TEXT(A2185,"mmm-yy")),
    '[3]Global Weekly Stock (EWSuez'!$E$4:$E$2000)
/
SUMPRODUCT(
    --(TEXT('[3]Global Weekly Stock (EWSuez'!$B$4:$B$2000,"mmm-yy")=TEXT(A2185,"mmm-yy"))
)</f>
        <v>15938.75</v>
      </c>
      <c r="I2185">
        <f>_xlfn.XLOOKUP(A2185,[1]ForwardDeriv!$D:$D,[1]ForwardDeriv!$AJ:$AJ)</f>
        <v>0.82000000000000739</v>
      </c>
      <c r="J2185" cm="1">
        <f t="array" ref="J2185">_xlfn.XLOOKUP(TEXT(A2185, "mmm-yy"), TEXT([2]GASOLINE!$B$5:$B$208, "mmm-yy"), [2]GASOLINE!$IR$5:$IR$208, "Not Found")</f>
        <v>-192.79026773199115</v>
      </c>
      <c r="K2185" cm="1">
        <f t="array" ref="K2185">_xlfn.XLOOKUP(TEXT(A2185, "mmm-yy"), TEXT([2]GASOLINE!$B$5:$B$208, "mmm-yy"), [2]GASOLINE!$IK$5:$IK$208, "Not Found")</f>
        <v>223.5450718005761</v>
      </c>
      <c r="L2185">
        <f t="shared" si="34"/>
        <v>0</v>
      </c>
      <c r="M2185" cm="1">
        <f t="array" ref="M2185">_xlfn.XLOOKUP(TEXT(A2185, "mmm-yy"), TEXT([2]GASOLINE!$B$5:$B$208, "mmm-yy"), [2]GASOLINE!$C$5:$C$208, "Not Found")</f>
        <v>7586.1811195711934</v>
      </c>
      <c r="N2185" cm="1">
        <f t="array" ref="N2185">_xlfn.XLOOKUP(TEXT(A2185, "mmm-yy"), TEXT([2]RUNS!$B$5:$B$208, "mmm-yy"), [2]RUNS!$BM$5:$BM$208, "Not Found")</f>
        <v>0.83210792993616722</v>
      </c>
    </row>
    <row r="2186" spans="1:14" x14ac:dyDescent="0.25">
      <c r="A2186" s="1">
        <f>'[1]Global_Spot Prices'!$B3495</f>
        <v>45063</v>
      </c>
      <c r="B2186">
        <f>_xlfn.XLOOKUP(A2186,'[1]Global_Spot Prices'!$B:$B,'[1]Global_Spot Prices'!$BS:$BS)</f>
        <v>10.61</v>
      </c>
      <c r="C2186">
        <f>_xlfn.XLOOKUP(A2186,'[1]Global_Spot Prices'!$B:$B,'[1]Global_Spot Prices'!$E:$E)</f>
        <v>73.150000000000006</v>
      </c>
      <c r="D2186">
        <f>_xlfn.XLOOKUP(A2186,'[1]Global_Spot Prices'!$B:$B,'[1]Global_Spot Prices'!$D:$D)</f>
        <v>76.33</v>
      </c>
      <c r="E2186">
        <f>_xlfn.XLOOKUP(A2186,'[1]Global_Spot Prices'!$B:$B,'[1]Global_Spot Prices'!$H:$H)</f>
        <v>60.12</v>
      </c>
      <c r="F2186">
        <f>_xlfn.XLOOKUP(A2186,'[1]Global_Spot Prices'!$B:$B,'[1]Global_Spot Prices'!$I:$I)</f>
        <v>83.76</v>
      </c>
      <c r="G2186" cm="1">
        <f t="array" ref="G2186">_xlfn.XLOOKUP(TEXT(A2186, "mmm-yy"), TEXT([2]RUNS!$B$5:$B$208, "mmm-yy"), [2]RUNS!$D$5:$D$208, "Not Found")</f>
        <v>30819.530298182777</v>
      </c>
      <c r="H2186" cm="1">
        <f t="array" ref="H2186">SUMPRODUCT(
    --(TEXT('[3]Global Weekly Stock (EWSuez'!$B$4:$B$2000,"mmm-yy")=TEXT(A2186,"mmm-yy")),
    '[3]Global Weekly Stock (EWSuez'!$E$4:$E$2000)
/
SUMPRODUCT(
    --(TEXT('[3]Global Weekly Stock (EWSuez'!$B$4:$B$2000,"mmm-yy")=TEXT(A2186,"mmm-yy"))
)</f>
        <v>15938.75</v>
      </c>
      <c r="I2186">
        <f>_xlfn.XLOOKUP(A2186,[1]ForwardDeriv!$D:$D,[1]ForwardDeriv!$AJ:$AJ)</f>
        <v>0.87999999999999545</v>
      </c>
      <c r="J2186" cm="1">
        <f t="array" ref="J2186">_xlfn.XLOOKUP(TEXT(A2186, "mmm-yy"), TEXT([2]GASOLINE!$B$5:$B$208, "mmm-yy"), [2]GASOLINE!$IR$5:$IR$208, "Not Found")</f>
        <v>-192.79026773199115</v>
      </c>
      <c r="K2186" cm="1">
        <f t="array" ref="K2186">_xlfn.XLOOKUP(TEXT(A2186, "mmm-yy"), TEXT([2]GASOLINE!$B$5:$B$208, "mmm-yy"), [2]GASOLINE!$IK$5:$IK$208, "Not Found")</f>
        <v>223.5450718005761</v>
      </c>
      <c r="L2186">
        <f t="shared" si="34"/>
        <v>0</v>
      </c>
      <c r="M2186" cm="1">
        <f t="array" ref="M2186">_xlfn.XLOOKUP(TEXT(A2186, "mmm-yy"), TEXT([2]GASOLINE!$B$5:$B$208, "mmm-yy"), [2]GASOLINE!$C$5:$C$208, "Not Found")</f>
        <v>7586.1811195711934</v>
      </c>
      <c r="N2186" cm="1">
        <f t="array" ref="N2186">_xlfn.XLOOKUP(TEXT(A2186, "mmm-yy"), TEXT([2]RUNS!$B$5:$B$208, "mmm-yy"), [2]RUNS!$BM$5:$BM$208, "Not Found")</f>
        <v>0.83210792993616722</v>
      </c>
    </row>
    <row r="2187" spans="1:14" x14ac:dyDescent="0.25">
      <c r="A2187" s="1">
        <f>'[1]Global_Spot Prices'!$B3496</f>
        <v>45064</v>
      </c>
      <c r="B2187">
        <f>_xlfn.XLOOKUP(A2187,'[1]Global_Spot Prices'!$B:$B,'[1]Global_Spot Prices'!$BS:$BS)</f>
        <v>12.189999999999998</v>
      </c>
      <c r="C2187">
        <f>_xlfn.XLOOKUP(A2187,'[1]Global_Spot Prices'!$B:$B,'[1]Global_Spot Prices'!$E:$E)</f>
        <v>75.33</v>
      </c>
      <c r="D2187">
        <f>_xlfn.XLOOKUP(A2187,'[1]Global_Spot Prices'!$B:$B,'[1]Global_Spot Prices'!$D:$D)</f>
        <v>75.95</v>
      </c>
      <c r="E2187">
        <f>_xlfn.XLOOKUP(A2187,'[1]Global_Spot Prices'!$B:$B,'[1]Global_Spot Prices'!$H:$H)</f>
        <v>61.2</v>
      </c>
      <c r="F2187">
        <f>_xlfn.XLOOKUP(A2187,'[1]Global_Spot Prices'!$B:$B,'[1]Global_Spot Prices'!$I:$I)</f>
        <v>87.52</v>
      </c>
      <c r="G2187" cm="1">
        <f t="array" ref="G2187">_xlfn.XLOOKUP(TEXT(A2187, "mmm-yy"), TEXT([2]RUNS!$B$5:$B$208, "mmm-yy"), [2]RUNS!$D$5:$D$208, "Not Found")</f>
        <v>30819.530298182777</v>
      </c>
      <c r="H2187" cm="1">
        <f t="array" ref="H2187">SUMPRODUCT(
    --(TEXT('[3]Global Weekly Stock (EWSuez'!$B$4:$B$2000,"mmm-yy")=TEXT(A2187,"mmm-yy")),
    '[3]Global Weekly Stock (EWSuez'!$E$4:$E$2000)
/
SUMPRODUCT(
    --(TEXT('[3]Global Weekly Stock (EWSuez'!$B$4:$B$2000,"mmm-yy")=TEXT(A2187,"mmm-yy"))
)</f>
        <v>15938.75</v>
      </c>
      <c r="I2187">
        <f>_xlfn.XLOOKUP(A2187,[1]ForwardDeriv!$D:$D,[1]ForwardDeriv!$AJ:$AJ)</f>
        <v>1.2999999999999972</v>
      </c>
      <c r="J2187" cm="1">
        <f t="array" ref="J2187">_xlfn.XLOOKUP(TEXT(A2187, "mmm-yy"), TEXT([2]GASOLINE!$B$5:$B$208, "mmm-yy"), [2]GASOLINE!$IR$5:$IR$208, "Not Found")</f>
        <v>-192.79026773199115</v>
      </c>
      <c r="K2187" cm="1">
        <f t="array" ref="K2187">_xlfn.XLOOKUP(TEXT(A2187, "mmm-yy"), TEXT([2]GASOLINE!$B$5:$B$208, "mmm-yy"), [2]GASOLINE!$IK$5:$IK$208, "Not Found")</f>
        <v>223.5450718005761</v>
      </c>
      <c r="L2187">
        <f t="shared" si="34"/>
        <v>0</v>
      </c>
      <c r="M2187" cm="1">
        <f t="array" ref="M2187">_xlfn.XLOOKUP(TEXT(A2187, "mmm-yy"), TEXT([2]GASOLINE!$B$5:$B$208, "mmm-yy"), [2]GASOLINE!$C$5:$C$208, "Not Found")</f>
        <v>7586.1811195711934</v>
      </c>
      <c r="N2187" cm="1">
        <f t="array" ref="N2187">_xlfn.XLOOKUP(TEXT(A2187, "mmm-yy"), TEXT([2]RUNS!$B$5:$B$208, "mmm-yy"), [2]RUNS!$BM$5:$BM$208, "Not Found")</f>
        <v>0.83210792993616722</v>
      </c>
    </row>
    <row r="2188" spans="1:14" x14ac:dyDescent="0.25">
      <c r="A2188" s="1">
        <f>'[1]Global_Spot Prices'!$B3497</f>
        <v>45065</v>
      </c>
      <c r="B2188">
        <f>_xlfn.XLOOKUP(A2188,'[1]Global_Spot Prices'!$B:$B,'[1]Global_Spot Prices'!$BS:$BS)</f>
        <v>13.519999999999996</v>
      </c>
      <c r="C2188">
        <f>_xlfn.XLOOKUP(A2188,'[1]Global_Spot Prices'!$B:$B,'[1]Global_Spot Prices'!$E:$E)</f>
        <v>75.010000000000005</v>
      </c>
      <c r="D2188">
        <f>_xlfn.XLOOKUP(A2188,'[1]Global_Spot Prices'!$B:$B,'[1]Global_Spot Prices'!$D:$D)</f>
        <v>75.930000000000007</v>
      </c>
      <c r="E2188">
        <f>_xlfn.XLOOKUP(A2188,'[1]Global_Spot Prices'!$B:$B,'[1]Global_Spot Prices'!$H:$H)</f>
        <v>60.98</v>
      </c>
      <c r="F2188">
        <f>_xlfn.XLOOKUP(A2188,'[1]Global_Spot Prices'!$B:$B,'[1]Global_Spot Prices'!$I:$I)</f>
        <v>88.53</v>
      </c>
      <c r="G2188" cm="1">
        <f t="array" ref="G2188">_xlfn.XLOOKUP(TEXT(A2188, "mmm-yy"), TEXT([2]RUNS!$B$5:$B$208, "mmm-yy"), [2]RUNS!$D$5:$D$208, "Not Found")</f>
        <v>30819.530298182777</v>
      </c>
      <c r="H2188" cm="1">
        <f t="array" ref="H2188">SUMPRODUCT(
    --(TEXT('[3]Global Weekly Stock (EWSuez'!$B$4:$B$2000,"mmm-yy")=TEXT(A2188,"mmm-yy")),
    '[3]Global Weekly Stock (EWSuez'!$E$4:$E$2000)
/
SUMPRODUCT(
    --(TEXT('[3]Global Weekly Stock (EWSuez'!$B$4:$B$2000,"mmm-yy")=TEXT(A2188,"mmm-yy"))
)</f>
        <v>15938.75</v>
      </c>
      <c r="I2188">
        <f>_xlfn.XLOOKUP(A2188,[1]ForwardDeriv!$D:$D,[1]ForwardDeriv!$AJ:$AJ)</f>
        <v>1.5</v>
      </c>
      <c r="J2188" cm="1">
        <f t="array" ref="J2188">_xlfn.XLOOKUP(TEXT(A2188, "mmm-yy"), TEXT([2]GASOLINE!$B$5:$B$208, "mmm-yy"), [2]GASOLINE!$IR$5:$IR$208, "Not Found")</f>
        <v>-192.79026773199115</v>
      </c>
      <c r="K2188" cm="1">
        <f t="array" ref="K2188">_xlfn.XLOOKUP(TEXT(A2188, "mmm-yy"), TEXT([2]GASOLINE!$B$5:$B$208, "mmm-yy"), [2]GASOLINE!$IK$5:$IK$208, "Not Found")</f>
        <v>223.5450718005761</v>
      </c>
      <c r="L2188">
        <f t="shared" si="34"/>
        <v>0</v>
      </c>
      <c r="M2188" cm="1">
        <f t="array" ref="M2188">_xlfn.XLOOKUP(TEXT(A2188, "mmm-yy"), TEXT([2]GASOLINE!$B$5:$B$208, "mmm-yy"), [2]GASOLINE!$C$5:$C$208, "Not Found")</f>
        <v>7586.1811195711934</v>
      </c>
      <c r="N2188" cm="1">
        <f t="array" ref="N2188">_xlfn.XLOOKUP(TEXT(A2188, "mmm-yy"), TEXT([2]RUNS!$B$5:$B$208, "mmm-yy"), [2]RUNS!$BM$5:$BM$208, "Not Found")</f>
        <v>0.83210792993616722</v>
      </c>
    </row>
    <row r="2189" spans="1:14" x14ac:dyDescent="0.25">
      <c r="A2189" s="1">
        <f>'[1]Global_Spot Prices'!$B3498</f>
        <v>45068</v>
      </c>
      <c r="B2189">
        <f>_xlfn.XLOOKUP(A2189,'[1]Global_Spot Prices'!$B:$B,'[1]Global_Spot Prices'!$BS:$BS)</f>
        <v>13.115000000000009</v>
      </c>
      <c r="C2189">
        <f>_xlfn.XLOOKUP(A2189,'[1]Global_Spot Prices'!$B:$B,'[1]Global_Spot Prices'!$E:$E)</f>
        <v>74.224999999999994</v>
      </c>
      <c r="D2189">
        <f>_xlfn.XLOOKUP(A2189,'[1]Global_Spot Prices'!$B:$B,'[1]Global_Spot Prices'!$D:$D)</f>
        <v>75.81</v>
      </c>
      <c r="E2189">
        <f>_xlfn.XLOOKUP(A2189,'[1]Global_Spot Prices'!$B:$B,'[1]Global_Spot Prices'!$H:$H)</f>
        <v>60.65</v>
      </c>
      <c r="F2189">
        <f>_xlfn.XLOOKUP(A2189,'[1]Global_Spot Prices'!$B:$B,'[1]Global_Spot Prices'!$I:$I)</f>
        <v>87.34</v>
      </c>
      <c r="G2189" cm="1">
        <f t="array" ref="G2189">_xlfn.XLOOKUP(TEXT(A2189, "mmm-yy"), TEXT([2]RUNS!$B$5:$B$208, "mmm-yy"), [2]RUNS!$D$5:$D$208, "Not Found")</f>
        <v>30819.530298182777</v>
      </c>
      <c r="H2189" cm="1">
        <f t="array" ref="H2189">SUMPRODUCT(
    --(TEXT('[3]Global Weekly Stock (EWSuez'!$B$4:$B$2000,"mmm-yy")=TEXT(A2189,"mmm-yy")),
    '[3]Global Weekly Stock (EWSuez'!$E$4:$E$2000)
/
SUMPRODUCT(
    --(TEXT('[3]Global Weekly Stock (EWSuez'!$B$4:$B$2000,"mmm-yy")=TEXT(A2189,"mmm-yy"))
)</f>
        <v>15938.75</v>
      </c>
      <c r="I2189">
        <f>_xlfn.XLOOKUP(A2189,[1]ForwardDeriv!$D:$D,[1]ForwardDeriv!$AJ:$AJ)</f>
        <v>1.519999999999996</v>
      </c>
      <c r="J2189" cm="1">
        <f t="array" ref="J2189">_xlfn.XLOOKUP(TEXT(A2189, "mmm-yy"), TEXT([2]GASOLINE!$B$5:$B$208, "mmm-yy"), [2]GASOLINE!$IR$5:$IR$208, "Not Found")</f>
        <v>-192.79026773199115</v>
      </c>
      <c r="K2189" cm="1">
        <f t="array" ref="K2189">_xlfn.XLOOKUP(TEXT(A2189, "mmm-yy"), TEXT([2]GASOLINE!$B$5:$B$208, "mmm-yy"), [2]GASOLINE!$IK$5:$IK$208, "Not Found")</f>
        <v>223.5450718005761</v>
      </c>
      <c r="L2189">
        <f t="shared" si="34"/>
        <v>0</v>
      </c>
      <c r="M2189" cm="1">
        <f t="array" ref="M2189">_xlfn.XLOOKUP(TEXT(A2189, "mmm-yy"), TEXT([2]GASOLINE!$B$5:$B$208, "mmm-yy"), [2]GASOLINE!$C$5:$C$208, "Not Found")</f>
        <v>7586.1811195711934</v>
      </c>
      <c r="N2189" cm="1">
        <f t="array" ref="N2189">_xlfn.XLOOKUP(TEXT(A2189, "mmm-yy"), TEXT([2]RUNS!$B$5:$B$208, "mmm-yy"), [2]RUNS!$BM$5:$BM$208, "Not Found")</f>
        <v>0.83210792993616722</v>
      </c>
    </row>
    <row r="2190" spans="1:14" x14ac:dyDescent="0.25">
      <c r="A2190" s="1">
        <f>'[1]Global_Spot Prices'!$B3499</f>
        <v>45069</v>
      </c>
      <c r="B2190">
        <f>_xlfn.XLOOKUP(A2190,'[1]Global_Spot Prices'!$B:$B,'[1]Global_Spot Prices'!$BS:$BS)</f>
        <v>12.870000000000005</v>
      </c>
      <c r="C2190">
        <f>_xlfn.XLOOKUP(A2190,'[1]Global_Spot Prices'!$B:$B,'[1]Global_Spot Prices'!$E:$E)</f>
        <v>74.92</v>
      </c>
      <c r="D2190">
        <f>_xlfn.XLOOKUP(A2190,'[1]Global_Spot Prices'!$B:$B,'[1]Global_Spot Prices'!$D:$D)</f>
        <v>76.900000000000006</v>
      </c>
      <c r="E2190">
        <f>_xlfn.XLOOKUP(A2190,'[1]Global_Spot Prices'!$B:$B,'[1]Global_Spot Prices'!$H:$H)</f>
        <v>61.15</v>
      </c>
      <c r="F2190">
        <f>_xlfn.XLOOKUP(A2190,'[1]Global_Spot Prices'!$B:$B,'[1]Global_Spot Prices'!$I:$I)</f>
        <v>87.79</v>
      </c>
      <c r="G2190" cm="1">
        <f t="array" ref="G2190">_xlfn.XLOOKUP(TEXT(A2190, "mmm-yy"), TEXT([2]RUNS!$B$5:$B$208, "mmm-yy"), [2]RUNS!$D$5:$D$208, "Not Found")</f>
        <v>30819.530298182777</v>
      </c>
      <c r="H2190" cm="1">
        <f t="array" ref="H2190">SUMPRODUCT(
    --(TEXT('[3]Global Weekly Stock (EWSuez'!$B$4:$B$2000,"mmm-yy")=TEXT(A2190,"mmm-yy")),
    '[3]Global Weekly Stock (EWSuez'!$E$4:$E$2000)
/
SUMPRODUCT(
    --(TEXT('[3]Global Weekly Stock (EWSuez'!$B$4:$B$2000,"mmm-yy")=TEXT(A2190,"mmm-yy"))
)</f>
        <v>15938.75</v>
      </c>
      <c r="I2190">
        <f>_xlfn.XLOOKUP(A2190,[1]ForwardDeriv!$D:$D,[1]ForwardDeriv!$AJ:$AJ)</f>
        <v>1.5499999999999972</v>
      </c>
      <c r="J2190" cm="1">
        <f t="array" ref="J2190">_xlfn.XLOOKUP(TEXT(A2190, "mmm-yy"), TEXT([2]GASOLINE!$B$5:$B$208, "mmm-yy"), [2]GASOLINE!$IR$5:$IR$208, "Not Found")</f>
        <v>-192.79026773199115</v>
      </c>
      <c r="K2190" cm="1">
        <f t="array" ref="K2190">_xlfn.XLOOKUP(TEXT(A2190, "mmm-yy"), TEXT([2]GASOLINE!$B$5:$B$208, "mmm-yy"), [2]GASOLINE!$IK$5:$IK$208, "Not Found")</f>
        <v>223.5450718005761</v>
      </c>
      <c r="L2190">
        <f t="shared" si="34"/>
        <v>0</v>
      </c>
      <c r="M2190" cm="1">
        <f t="array" ref="M2190">_xlfn.XLOOKUP(TEXT(A2190, "mmm-yy"), TEXT([2]GASOLINE!$B$5:$B$208, "mmm-yy"), [2]GASOLINE!$C$5:$C$208, "Not Found")</f>
        <v>7586.1811195711934</v>
      </c>
      <c r="N2190" cm="1">
        <f t="array" ref="N2190">_xlfn.XLOOKUP(TEXT(A2190, "mmm-yy"), TEXT([2]RUNS!$B$5:$B$208, "mmm-yy"), [2]RUNS!$BM$5:$BM$208, "Not Found")</f>
        <v>0.83210792993616722</v>
      </c>
    </row>
    <row r="2191" spans="1:14" x14ac:dyDescent="0.25">
      <c r="A2191" s="1">
        <f>'[1]Global_Spot Prices'!$B3500</f>
        <v>45070</v>
      </c>
      <c r="B2191">
        <f>_xlfn.XLOOKUP(A2191,'[1]Global_Spot Prices'!$B:$B,'[1]Global_Spot Prices'!$BS:$BS)</f>
        <v>12.950000000000003</v>
      </c>
      <c r="C2191">
        <f>_xlfn.XLOOKUP(A2191,'[1]Global_Spot Prices'!$B:$B,'[1]Global_Spot Prices'!$E:$E)</f>
        <v>76.61</v>
      </c>
      <c r="D2191">
        <f>_xlfn.XLOOKUP(A2191,'[1]Global_Spot Prices'!$B:$B,'[1]Global_Spot Prices'!$D:$D)</f>
        <v>77.59</v>
      </c>
      <c r="E2191">
        <f>_xlfn.XLOOKUP(A2191,'[1]Global_Spot Prices'!$B:$B,'[1]Global_Spot Prices'!$H:$H)</f>
        <v>62.65</v>
      </c>
      <c r="F2191">
        <f>_xlfn.XLOOKUP(A2191,'[1]Global_Spot Prices'!$B:$B,'[1]Global_Spot Prices'!$I:$I)</f>
        <v>89.56</v>
      </c>
      <c r="G2191" cm="1">
        <f t="array" ref="G2191">_xlfn.XLOOKUP(TEXT(A2191, "mmm-yy"), TEXT([2]RUNS!$B$5:$B$208, "mmm-yy"), [2]RUNS!$D$5:$D$208, "Not Found")</f>
        <v>30819.530298182777</v>
      </c>
      <c r="H2191" cm="1">
        <f t="array" ref="H2191">SUMPRODUCT(
    --(TEXT('[3]Global Weekly Stock (EWSuez'!$B$4:$B$2000,"mmm-yy")=TEXT(A2191,"mmm-yy")),
    '[3]Global Weekly Stock (EWSuez'!$E$4:$E$2000)
/
SUMPRODUCT(
    --(TEXT('[3]Global Weekly Stock (EWSuez'!$B$4:$B$2000,"mmm-yy")=TEXT(A2191,"mmm-yy"))
)</f>
        <v>15938.75</v>
      </c>
      <c r="I2191">
        <f>_xlfn.XLOOKUP(A2191,[1]ForwardDeriv!$D:$D,[1]ForwardDeriv!$AJ:$AJ)</f>
        <v>1.7000000000000028</v>
      </c>
      <c r="J2191" cm="1">
        <f t="array" ref="J2191">_xlfn.XLOOKUP(TEXT(A2191, "mmm-yy"), TEXT([2]GASOLINE!$B$5:$B$208, "mmm-yy"), [2]GASOLINE!$IR$5:$IR$208, "Not Found")</f>
        <v>-192.79026773199115</v>
      </c>
      <c r="K2191" cm="1">
        <f t="array" ref="K2191">_xlfn.XLOOKUP(TEXT(A2191, "mmm-yy"), TEXT([2]GASOLINE!$B$5:$B$208, "mmm-yy"), [2]GASOLINE!$IK$5:$IK$208, "Not Found")</f>
        <v>223.5450718005761</v>
      </c>
      <c r="L2191">
        <f t="shared" si="34"/>
        <v>0</v>
      </c>
      <c r="M2191" cm="1">
        <f t="array" ref="M2191">_xlfn.XLOOKUP(TEXT(A2191, "mmm-yy"), TEXT([2]GASOLINE!$B$5:$B$208, "mmm-yy"), [2]GASOLINE!$C$5:$C$208, "Not Found")</f>
        <v>7586.1811195711934</v>
      </c>
      <c r="N2191" cm="1">
        <f t="array" ref="N2191">_xlfn.XLOOKUP(TEXT(A2191, "mmm-yy"), TEXT([2]RUNS!$B$5:$B$208, "mmm-yy"), [2]RUNS!$BM$5:$BM$208, "Not Found")</f>
        <v>0.83210792993616722</v>
      </c>
    </row>
    <row r="2192" spans="1:14" x14ac:dyDescent="0.25">
      <c r="A2192" s="1">
        <f>'[1]Global_Spot Prices'!$B3501</f>
        <v>45071</v>
      </c>
      <c r="B2192">
        <f>_xlfn.XLOOKUP(A2192,'[1]Global_Spot Prices'!$B:$B,'[1]Global_Spot Prices'!$BS:$BS)</f>
        <v>12.649999999999991</v>
      </c>
      <c r="C2192">
        <f>_xlfn.XLOOKUP(A2192,'[1]Global_Spot Prices'!$B:$B,'[1]Global_Spot Prices'!$E:$E)</f>
        <v>76.7</v>
      </c>
      <c r="D2192">
        <f>_xlfn.XLOOKUP(A2192,'[1]Global_Spot Prices'!$B:$B,'[1]Global_Spot Prices'!$D:$D)</f>
        <v>75.564999999999998</v>
      </c>
      <c r="E2192">
        <f>_xlfn.XLOOKUP(A2192,'[1]Global_Spot Prices'!$B:$B,'[1]Global_Spot Prices'!$H:$H)</f>
        <v>62.96</v>
      </c>
      <c r="F2192">
        <f>_xlfn.XLOOKUP(A2192,'[1]Global_Spot Prices'!$B:$B,'[1]Global_Spot Prices'!$I:$I)</f>
        <v>89.35</v>
      </c>
      <c r="G2192" cm="1">
        <f t="array" ref="G2192">_xlfn.XLOOKUP(TEXT(A2192, "mmm-yy"), TEXT([2]RUNS!$B$5:$B$208, "mmm-yy"), [2]RUNS!$D$5:$D$208, "Not Found")</f>
        <v>30819.530298182777</v>
      </c>
      <c r="H2192" cm="1">
        <f t="array" ref="H2192">SUMPRODUCT(
    --(TEXT('[3]Global Weekly Stock (EWSuez'!$B$4:$B$2000,"mmm-yy")=TEXT(A2192,"mmm-yy")),
    '[3]Global Weekly Stock (EWSuez'!$E$4:$E$2000)
/
SUMPRODUCT(
    --(TEXT('[3]Global Weekly Stock (EWSuez'!$B$4:$B$2000,"mmm-yy")=TEXT(A2192,"mmm-yy"))
)</f>
        <v>15938.75</v>
      </c>
      <c r="I2192">
        <f>_xlfn.XLOOKUP(A2192,[1]ForwardDeriv!$D:$D,[1]ForwardDeriv!$AJ:$AJ)</f>
        <v>1.3900000000000006</v>
      </c>
      <c r="J2192" cm="1">
        <f t="array" ref="J2192">_xlfn.XLOOKUP(TEXT(A2192, "mmm-yy"), TEXT([2]GASOLINE!$B$5:$B$208, "mmm-yy"), [2]GASOLINE!$IR$5:$IR$208, "Not Found")</f>
        <v>-192.79026773199115</v>
      </c>
      <c r="K2192" cm="1">
        <f t="array" ref="K2192">_xlfn.XLOOKUP(TEXT(A2192, "mmm-yy"), TEXT([2]GASOLINE!$B$5:$B$208, "mmm-yy"), [2]GASOLINE!$IK$5:$IK$208, "Not Found")</f>
        <v>223.5450718005761</v>
      </c>
      <c r="L2192">
        <f t="shared" si="34"/>
        <v>0</v>
      </c>
      <c r="M2192" cm="1">
        <f t="array" ref="M2192">_xlfn.XLOOKUP(TEXT(A2192, "mmm-yy"), TEXT([2]GASOLINE!$B$5:$B$208, "mmm-yy"), [2]GASOLINE!$C$5:$C$208, "Not Found")</f>
        <v>7586.1811195711934</v>
      </c>
      <c r="N2192" cm="1">
        <f t="array" ref="N2192">_xlfn.XLOOKUP(TEXT(A2192, "mmm-yy"), TEXT([2]RUNS!$B$5:$B$208, "mmm-yy"), [2]RUNS!$BM$5:$BM$208, "Not Found")</f>
        <v>0.83210792993616722</v>
      </c>
    </row>
    <row r="2193" spans="1:14" x14ac:dyDescent="0.25">
      <c r="A2193" s="1">
        <f>'[1]Global_Spot Prices'!$B3502</f>
        <v>45072</v>
      </c>
      <c r="B2193">
        <f>_xlfn.XLOOKUP(A2193,'[1]Global_Spot Prices'!$B:$B,'[1]Global_Spot Prices'!$BS:$BS)</f>
        <v>11.64</v>
      </c>
      <c r="C2193">
        <f>_xlfn.XLOOKUP(A2193,'[1]Global_Spot Prices'!$B:$B,'[1]Global_Spot Prices'!$E:$E)</f>
        <v>75.34</v>
      </c>
      <c r="D2193">
        <f>_xlfn.XLOOKUP(A2193,'[1]Global_Spot Prices'!$B:$B,'[1]Global_Spot Prices'!$D:$D)</f>
        <v>76.435000000000002</v>
      </c>
      <c r="E2193">
        <f>_xlfn.XLOOKUP(A2193,'[1]Global_Spot Prices'!$B:$B,'[1]Global_Spot Prices'!$H:$H)</f>
        <v>61.81</v>
      </c>
      <c r="F2193">
        <f>_xlfn.XLOOKUP(A2193,'[1]Global_Spot Prices'!$B:$B,'[1]Global_Spot Prices'!$I:$I)</f>
        <v>86.98</v>
      </c>
      <c r="G2193" cm="1">
        <f t="array" ref="G2193">_xlfn.XLOOKUP(TEXT(A2193, "mmm-yy"), TEXT([2]RUNS!$B$5:$B$208, "mmm-yy"), [2]RUNS!$D$5:$D$208, "Not Found")</f>
        <v>30819.530298182777</v>
      </c>
      <c r="H2193" cm="1">
        <f t="array" ref="H2193">SUMPRODUCT(
    --(TEXT('[3]Global Weekly Stock (EWSuez'!$B$4:$B$2000,"mmm-yy")=TEXT(A2193,"mmm-yy")),
    '[3]Global Weekly Stock (EWSuez'!$E$4:$E$2000)
/
SUMPRODUCT(
    --(TEXT('[3]Global Weekly Stock (EWSuez'!$B$4:$B$2000,"mmm-yy")=TEXT(A2193,"mmm-yy"))
)</f>
        <v>15938.75</v>
      </c>
      <c r="I2193">
        <f>_xlfn.XLOOKUP(A2193,[1]ForwardDeriv!$D:$D,[1]ForwardDeriv!$AJ:$AJ)</f>
        <v>1.0499999999999972</v>
      </c>
      <c r="J2193" cm="1">
        <f t="array" ref="J2193">_xlfn.XLOOKUP(TEXT(A2193, "mmm-yy"), TEXT([2]GASOLINE!$B$5:$B$208, "mmm-yy"), [2]GASOLINE!$IR$5:$IR$208, "Not Found")</f>
        <v>-192.79026773199115</v>
      </c>
      <c r="K2193" cm="1">
        <f t="array" ref="K2193">_xlfn.XLOOKUP(TEXT(A2193, "mmm-yy"), TEXT([2]GASOLINE!$B$5:$B$208, "mmm-yy"), [2]GASOLINE!$IK$5:$IK$208, "Not Found")</f>
        <v>223.5450718005761</v>
      </c>
      <c r="L2193">
        <f t="shared" si="34"/>
        <v>0</v>
      </c>
      <c r="M2193" cm="1">
        <f t="array" ref="M2193">_xlfn.XLOOKUP(TEXT(A2193, "mmm-yy"), TEXT([2]GASOLINE!$B$5:$B$208, "mmm-yy"), [2]GASOLINE!$C$5:$C$208, "Not Found")</f>
        <v>7586.1811195711934</v>
      </c>
      <c r="N2193" cm="1">
        <f t="array" ref="N2193">_xlfn.XLOOKUP(TEXT(A2193, "mmm-yy"), TEXT([2]RUNS!$B$5:$B$208, "mmm-yy"), [2]RUNS!$BM$5:$BM$208, "Not Found")</f>
        <v>0.83210792993616722</v>
      </c>
    </row>
    <row r="2194" spans="1:14" x14ac:dyDescent="0.25">
      <c r="A2194" s="1">
        <f>'[1]Global_Spot Prices'!$B3503</f>
        <v>45075</v>
      </c>
      <c r="B2194">
        <f>_xlfn.XLOOKUP(A2194,'[1]Global_Spot Prices'!$B:$B,'[1]Global_Spot Prices'!$BS:$BS)</f>
        <v>11.180000000000007</v>
      </c>
      <c r="C2194">
        <f>_xlfn.XLOOKUP(A2194,'[1]Global_Spot Prices'!$B:$B,'[1]Global_Spot Prices'!$E:$E)</f>
        <v>76.25</v>
      </c>
      <c r="D2194" t="str">
        <f>_xlfn.XLOOKUP(A2194,'[1]Global_Spot Prices'!$B:$B,'[1]Global_Spot Prices'!$D:$D)</f>
        <v/>
      </c>
      <c r="E2194">
        <f>_xlfn.XLOOKUP(A2194,'[1]Global_Spot Prices'!$B:$B,'[1]Global_Spot Prices'!$H:$H)</f>
        <v>62.64</v>
      </c>
      <c r="F2194">
        <f>_xlfn.XLOOKUP(A2194,'[1]Global_Spot Prices'!$B:$B,'[1]Global_Spot Prices'!$I:$I)</f>
        <v>87.43</v>
      </c>
      <c r="G2194" cm="1">
        <f t="array" ref="G2194">_xlfn.XLOOKUP(TEXT(A2194, "mmm-yy"), TEXT([2]RUNS!$B$5:$B$208, "mmm-yy"), [2]RUNS!$D$5:$D$208, "Not Found")</f>
        <v>30819.530298182777</v>
      </c>
      <c r="H2194" cm="1">
        <f t="array" ref="H2194">SUMPRODUCT(
    --(TEXT('[3]Global Weekly Stock (EWSuez'!$B$4:$B$2000,"mmm-yy")=TEXT(A2194,"mmm-yy")),
    '[3]Global Weekly Stock (EWSuez'!$E$4:$E$2000)
/
SUMPRODUCT(
    --(TEXT('[3]Global Weekly Stock (EWSuez'!$B$4:$B$2000,"mmm-yy")=TEXT(A2194,"mmm-yy"))
)</f>
        <v>15938.75</v>
      </c>
      <c r="I2194">
        <f>_xlfn.XLOOKUP(A2194,[1]ForwardDeriv!$D:$D,[1]ForwardDeriv!$AJ:$AJ)</f>
        <v>1.1499999999999915</v>
      </c>
      <c r="J2194" cm="1">
        <f t="array" ref="J2194">_xlfn.XLOOKUP(TEXT(A2194, "mmm-yy"), TEXT([2]GASOLINE!$B$5:$B$208, "mmm-yy"), [2]GASOLINE!$IR$5:$IR$208, "Not Found")</f>
        <v>-192.79026773199115</v>
      </c>
      <c r="K2194" cm="1">
        <f t="array" ref="K2194">_xlfn.XLOOKUP(TEXT(A2194, "mmm-yy"), TEXT([2]GASOLINE!$B$5:$B$208, "mmm-yy"), [2]GASOLINE!$IK$5:$IK$208, "Not Found")</f>
        <v>223.5450718005761</v>
      </c>
      <c r="L2194">
        <f t="shared" si="34"/>
        <v>0</v>
      </c>
      <c r="M2194" cm="1">
        <f t="array" ref="M2194">_xlfn.XLOOKUP(TEXT(A2194, "mmm-yy"), TEXT([2]GASOLINE!$B$5:$B$208, "mmm-yy"), [2]GASOLINE!$C$5:$C$208, "Not Found")</f>
        <v>7586.1811195711934</v>
      </c>
      <c r="N2194" cm="1">
        <f t="array" ref="N2194">_xlfn.XLOOKUP(TEXT(A2194, "mmm-yy"), TEXT([2]RUNS!$B$5:$B$208, "mmm-yy"), [2]RUNS!$BM$5:$BM$208, "Not Found")</f>
        <v>0.83210792993616722</v>
      </c>
    </row>
    <row r="2195" spans="1:14" x14ac:dyDescent="0.25">
      <c r="A2195" s="1">
        <f>'[1]Global_Spot Prices'!$B3504</f>
        <v>45076</v>
      </c>
      <c r="B2195">
        <f>_xlfn.XLOOKUP(A2195,'[1]Global_Spot Prices'!$B:$B,'[1]Global_Spot Prices'!$BS:$BS)</f>
        <v>11.72999999999999</v>
      </c>
      <c r="C2195">
        <f>_xlfn.XLOOKUP(A2195,'[1]Global_Spot Prices'!$B:$B,'[1]Global_Spot Prices'!$E:$E)</f>
        <v>74.930000000000007</v>
      </c>
      <c r="D2195">
        <f>_xlfn.XLOOKUP(A2195,'[1]Global_Spot Prices'!$B:$B,'[1]Global_Spot Prices'!$D:$D)</f>
        <v>73.98</v>
      </c>
      <c r="E2195">
        <f>_xlfn.XLOOKUP(A2195,'[1]Global_Spot Prices'!$B:$B,'[1]Global_Spot Prices'!$H:$H)</f>
        <v>61.61</v>
      </c>
      <c r="F2195">
        <f>_xlfn.XLOOKUP(A2195,'[1]Global_Spot Prices'!$B:$B,'[1]Global_Spot Prices'!$I:$I)</f>
        <v>86.66</v>
      </c>
      <c r="G2195" cm="1">
        <f t="array" ref="G2195">_xlfn.XLOOKUP(TEXT(A2195, "mmm-yy"), TEXT([2]RUNS!$B$5:$B$208, "mmm-yy"), [2]RUNS!$D$5:$D$208, "Not Found")</f>
        <v>30819.530298182777</v>
      </c>
      <c r="H2195" cm="1">
        <f t="array" ref="H2195">SUMPRODUCT(
    --(TEXT('[3]Global Weekly Stock (EWSuez'!$B$4:$B$2000,"mmm-yy")=TEXT(A2195,"mmm-yy")),
    '[3]Global Weekly Stock (EWSuez'!$E$4:$E$2000)
/
SUMPRODUCT(
    --(TEXT('[3]Global Weekly Stock (EWSuez'!$B$4:$B$2000,"mmm-yy")=TEXT(A2195,"mmm-yy"))
)</f>
        <v>15938.75</v>
      </c>
      <c r="I2195">
        <f>_xlfn.XLOOKUP(A2195,[1]ForwardDeriv!$D:$D,[1]ForwardDeriv!$AJ:$AJ)</f>
        <v>1.3100000000000023</v>
      </c>
      <c r="J2195" cm="1">
        <f t="array" ref="J2195">_xlfn.XLOOKUP(TEXT(A2195, "mmm-yy"), TEXT([2]GASOLINE!$B$5:$B$208, "mmm-yy"), [2]GASOLINE!$IR$5:$IR$208, "Not Found")</f>
        <v>-192.79026773199115</v>
      </c>
      <c r="K2195" cm="1">
        <f t="array" ref="K2195">_xlfn.XLOOKUP(TEXT(A2195, "mmm-yy"), TEXT([2]GASOLINE!$B$5:$B$208, "mmm-yy"), [2]GASOLINE!$IK$5:$IK$208, "Not Found")</f>
        <v>223.5450718005761</v>
      </c>
      <c r="L2195">
        <f t="shared" si="34"/>
        <v>0</v>
      </c>
      <c r="M2195" cm="1">
        <f t="array" ref="M2195">_xlfn.XLOOKUP(TEXT(A2195, "mmm-yy"), TEXT([2]GASOLINE!$B$5:$B$208, "mmm-yy"), [2]GASOLINE!$C$5:$C$208, "Not Found")</f>
        <v>7586.1811195711934</v>
      </c>
      <c r="N2195" cm="1">
        <f t="array" ref="N2195">_xlfn.XLOOKUP(TEXT(A2195, "mmm-yy"), TEXT([2]RUNS!$B$5:$B$208, "mmm-yy"), [2]RUNS!$BM$5:$BM$208, "Not Found")</f>
        <v>0.83210792993616722</v>
      </c>
    </row>
    <row r="2196" spans="1:14" x14ac:dyDescent="0.25">
      <c r="A2196" s="1">
        <f>'[1]Global_Spot Prices'!$B3505</f>
        <v>45077</v>
      </c>
      <c r="B2196">
        <f>_xlfn.XLOOKUP(A2196,'[1]Global_Spot Prices'!$B:$B,'[1]Global_Spot Prices'!$BS:$BS)</f>
        <v>12.170000000000002</v>
      </c>
      <c r="C2196">
        <f>_xlfn.XLOOKUP(A2196,'[1]Global_Spot Prices'!$B:$B,'[1]Global_Spot Prices'!$E:$E)</f>
        <v>72.22</v>
      </c>
      <c r="D2196">
        <f>_xlfn.XLOOKUP(A2196,'[1]Global_Spot Prices'!$B:$B,'[1]Global_Spot Prices'!$D:$D)</f>
        <v>72.885000000000005</v>
      </c>
      <c r="E2196">
        <f>_xlfn.XLOOKUP(A2196,'[1]Global_Spot Prices'!$B:$B,'[1]Global_Spot Prices'!$H:$H)</f>
        <v>59.54</v>
      </c>
      <c r="F2196">
        <f>_xlfn.XLOOKUP(A2196,'[1]Global_Spot Prices'!$B:$B,'[1]Global_Spot Prices'!$I:$I)</f>
        <v>84.39</v>
      </c>
      <c r="G2196" cm="1">
        <f t="array" ref="G2196">_xlfn.XLOOKUP(TEXT(A2196, "mmm-yy"), TEXT([2]RUNS!$B$5:$B$208, "mmm-yy"), [2]RUNS!$D$5:$D$208, "Not Found")</f>
        <v>30819.530298182777</v>
      </c>
      <c r="H2196" cm="1">
        <f t="array" ref="H2196">SUMPRODUCT(
    --(TEXT('[3]Global Weekly Stock (EWSuez'!$B$4:$B$2000,"mmm-yy")=TEXT(A2196,"mmm-yy")),
    '[3]Global Weekly Stock (EWSuez'!$E$4:$E$2000)
/
SUMPRODUCT(
    --(TEXT('[3]Global Weekly Stock (EWSuez'!$B$4:$B$2000,"mmm-yy")=TEXT(A2196,"mmm-yy"))
)</f>
        <v>15938.75</v>
      </c>
      <c r="I2196">
        <f>_xlfn.XLOOKUP(A2196,[1]ForwardDeriv!$D:$D,[1]ForwardDeriv!$AJ:$AJ)</f>
        <v>1.2999999999999972</v>
      </c>
      <c r="J2196" cm="1">
        <f t="array" ref="J2196">_xlfn.XLOOKUP(TEXT(A2196, "mmm-yy"), TEXT([2]GASOLINE!$B$5:$B$208, "mmm-yy"), [2]GASOLINE!$IR$5:$IR$208, "Not Found")</f>
        <v>-192.79026773199115</v>
      </c>
      <c r="K2196" cm="1">
        <f t="array" ref="K2196">_xlfn.XLOOKUP(TEXT(A2196, "mmm-yy"), TEXT([2]GASOLINE!$B$5:$B$208, "mmm-yy"), [2]GASOLINE!$IK$5:$IK$208, "Not Found")</f>
        <v>223.5450718005761</v>
      </c>
      <c r="L2196">
        <f t="shared" si="34"/>
        <v>0</v>
      </c>
      <c r="M2196" cm="1">
        <f t="array" ref="M2196">_xlfn.XLOOKUP(TEXT(A2196, "mmm-yy"), TEXT([2]GASOLINE!$B$5:$B$208, "mmm-yy"), [2]GASOLINE!$C$5:$C$208, "Not Found")</f>
        <v>7586.1811195711934</v>
      </c>
      <c r="N2196" cm="1">
        <f t="array" ref="N2196">_xlfn.XLOOKUP(TEXT(A2196, "mmm-yy"), TEXT([2]RUNS!$B$5:$B$208, "mmm-yy"), [2]RUNS!$BM$5:$BM$208, "Not Found")</f>
        <v>0.83210792993616722</v>
      </c>
    </row>
    <row r="2197" spans="1:14" x14ac:dyDescent="0.25">
      <c r="A2197" s="1">
        <f>'[1]Global_Spot Prices'!$B3506</f>
        <v>45078</v>
      </c>
      <c r="B2197">
        <f>_xlfn.XLOOKUP(A2197,'[1]Global_Spot Prices'!$B:$B,'[1]Global_Spot Prices'!$BS:$BS)</f>
        <v>12.61</v>
      </c>
      <c r="C2197">
        <f>_xlfn.XLOOKUP(A2197,'[1]Global_Spot Prices'!$B:$B,'[1]Global_Spot Prices'!$E:$E)</f>
        <v>71.680000000000007</v>
      </c>
      <c r="D2197">
        <f>_xlfn.XLOOKUP(A2197,'[1]Global_Spot Prices'!$B:$B,'[1]Global_Spot Prices'!$D:$D)</f>
        <v>74.605000000000004</v>
      </c>
      <c r="E2197">
        <f>_xlfn.XLOOKUP(A2197,'[1]Global_Spot Prices'!$B:$B,'[1]Global_Spot Prices'!$H:$H)</f>
        <v>58.84</v>
      </c>
      <c r="F2197">
        <f>_xlfn.XLOOKUP(A2197,'[1]Global_Spot Prices'!$B:$B,'[1]Global_Spot Prices'!$I:$I)</f>
        <v>84.29</v>
      </c>
      <c r="G2197" cm="1">
        <f t="array" ref="G2197">_xlfn.XLOOKUP(TEXT(A2197, "mmm-yy"), TEXT([2]RUNS!$B$5:$B$208, "mmm-yy"), [2]RUNS!$D$5:$D$208, "Not Found")</f>
        <v>30322.065488529479</v>
      </c>
      <c r="H2197" cm="1">
        <f t="array" ref="H2197">SUMPRODUCT(
    --(TEXT('[3]Global Weekly Stock (EWSuez'!$B$4:$B$2000,"mmm-yy")=TEXT(A2197,"mmm-yy")),
    '[3]Global Weekly Stock (EWSuez'!$E$4:$E$2000)
/
SUMPRODUCT(
    --(TEXT('[3]Global Weekly Stock (EWSuez'!$B$4:$B$2000,"mmm-yy")=TEXT(A2197,"mmm-yy"))
)</f>
        <v>14918</v>
      </c>
      <c r="I2197">
        <f>_xlfn.XLOOKUP(A2197,[1]ForwardDeriv!$D:$D,[1]ForwardDeriv!$AJ:$AJ)</f>
        <v>1.4500000000000028</v>
      </c>
      <c r="J2197" cm="1">
        <f t="array" ref="J2197">_xlfn.XLOOKUP(TEXT(A2197, "mmm-yy"), TEXT([2]GASOLINE!$B$5:$B$208, "mmm-yy"), [2]GASOLINE!$IR$5:$IR$208, "Not Found")</f>
        <v>-402.56413159107746</v>
      </c>
      <c r="K2197" cm="1">
        <f t="array" ref="K2197">_xlfn.XLOOKUP(TEXT(A2197, "mmm-yy"), TEXT([2]GASOLINE!$B$5:$B$208, "mmm-yy"), [2]GASOLINE!$IK$5:$IK$208, "Not Found")</f>
        <v>239.64038877952879</v>
      </c>
      <c r="L2197">
        <f t="shared" si="34"/>
        <v>1</v>
      </c>
      <c r="M2197" cm="1">
        <f t="array" ref="M2197">_xlfn.XLOOKUP(TEXT(A2197, "mmm-yy"), TEXT([2]GASOLINE!$B$5:$B$208, "mmm-yy"), [2]GASOLINE!$C$5:$C$208, "Not Found")</f>
        <v>7744.8524855376791</v>
      </c>
      <c r="N2197" cm="1">
        <f t="array" ref="N2197">_xlfn.XLOOKUP(TEXT(A2197, "mmm-yy"), TEXT([2]RUNS!$B$5:$B$208, "mmm-yy"), [2]RUNS!$BM$5:$BM$208, "Not Found")</f>
        <v>0.81867669302334833</v>
      </c>
    </row>
    <row r="2198" spans="1:14" x14ac:dyDescent="0.25">
      <c r="A2198" s="1">
        <f>'[1]Global_Spot Prices'!$B3507</f>
        <v>45079</v>
      </c>
      <c r="B2198" t="e">
        <f>_xlfn.XLOOKUP(A2198,'[1]Global_Spot Prices'!$B:$B,'[1]Global_Spot Prices'!$BS:$BS)</f>
        <v>#N/A</v>
      </c>
      <c r="C2198" t="str">
        <f>_xlfn.XLOOKUP(A2198,'[1]Global_Spot Prices'!$B:$B,'[1]Global_Spot Prices'!$E:$E)</f>
        <v/>
      </c>
      <c r="D2198">
        <f>_xlfn.XLOOKUP(A2198,'[1]Global_Spot Prices'!$B:$B,'[1]Global_Spot Prices'!$D:$D)</f>
        <v>76.06</v>
      </c>
      <c r="E2198">
        <f>_xlfn.XLOOKUP(A2198,'[1]Global_Spot Prices'!$B:$B,'[1]Global_Spot Prices'!$H:$H)</f>
        <v>0</v>
      </c>
      <c r="F2198">
        <f>_xlfn.XLOOKUP(A2198,'[1]Global_Spot Prices'!$B:$B,'[1]Global_Spot Prices'!$I:$I)</f>
        <v>0</v>
      </c>
      <c r="G2198" cm="1">
        <f t="array" ref="G2198">_xlfn.XLOOKUP(TEXT(A2198, "mmm-yy"), TEXT([2]RUNS!$B$5:$B$208, "mmm-yy"), [2]RUNS!$D$5:$D$208, "Not Found")</f>
        <v>30322.065488529479</v>
      </c>
      <c r="H2198" cm="1">
        <f t="array" ref="H2198">SUMPRODUCT(
    --(TEXT('[3]Global Weekly Stock (EWSuez'!$B$4:$B$2000,"mmm-yy")=TEXT(A2198,"mmm-yy")),
    '[3]Global Weekly Stock (EWSuez'!$E$4:$E$2000)
/
SUMPRODUCT(
    --(TEXT('[3]Global Weekly Stock (EWSuez'!$B$4:$B$2000,"mmm-yy")=TEXT(A2198,"mmm-yy"))
)</f>
        <v>14918</v>
      </c>
      <c r="I2198">
        <f>_xlfn.XLOOKUP(A2198,[1]ForwardDeriv!$D:$D,[1]ForwardDeriv!$AJ:$AJ)</f>
        <v>1.5</v>
      </c>
      <c r="J2198" cm="1">
        <f t="array" ref="J2198">_xlfn.XLOOKUP(TEXT(A2198, "mmm-yy"), TEXT([2]GASOLINE!$B$5:$B$208, "mmm-yy"), [2]GASOLINE!$IR$5:$IR$208, "Not Found")</f>
        <v>-402.56413159107746</v>
      </c>
      <c r="K2198" cm="1">
        <f t="array" ref="K2198">_xlfn.XLOOKUP(TEXT(A2198, "mmm-yy"), TEXT([2]GASOLINE!$B$5:$B$208, "mmm-yy"), [2]GASOLINE!$IK$5:$IK$208, "Not Found")</f>
        <v>239.64038877952879</v>
      </c>
      <c r="L2198">
        <f t="shared" si="34"/>
        <v>1</v>
      </c>
      <c r="M2198" cm="1">
        <f t="array" ref="M2198">_xlfn.XLOOKUP(TEXT(A2198, "mmm-yy"), TEXT([2]GASOLINE!$B$5:$B$208, "mmm-yy"), [2]GASOLINE!$C$5:$C$208, "Not Found")</f>
        <v>7744.8524855376791</v>
      </c>
      <c r="N2198" cm="1">
        <f t="array" ref="N2198">_xlfn.XLOOKUP(TEXT(A2198, "mmm-yy"), TEXT([2]RUNS!$B$5:$B$208, "mmm-yy"), [2]RUNS!$BM$5:$BM$208, "Not Found")</f>
        <v>0.81867669302334833</v>
      </c>
    </row>
    <row r="2199" spans="1:14" x14ac:dyDescent="0.25">
      <c r="A2199" s="1">
        <f>'[1]Global_Spot Prices'!$B3508</f>
        <v>45082</v>
      </c>
      <c r="B2199">
        <f>_xlfn.XLOOKUP(A2199,'[1]Global_Spot Prices'!$B:$B,'[1]Global_Spot Prices'!$BS:$BS)</f>
        <v>12.439999999999998</v>
      </c>
      <c r="C2199">
        <f>_xlfn.XLOOKUP(A2199,'[1]Global_Spot Prices'!$B:$B,'[1]Global_Spot Prices'!$E:$E)</f>
        <v>76.44</v>
      </c>
      <c r="D2199">
        <f>_xlfn.XLOOKUP(A2199,'[1]Global_Spot Prices'!$B:$B,'[1]Global_Spot Prices'!$D:$D)</f>
        <v>77.305000000000007</v>
      </c>
      <c r="E2199">
        <f>_xlfn.XLOOKUP(A2199,'[1]Global_Spot Prices'!$B:$B,'[1]Global_Spot Prices'!$H:$H)</f>
        <v>61.91</v>
      </c>
      <c r="F2199">
        <f>_xlfn.XLOOKUP(A2199,'[1]Global_Spot Prices'!$B:$B,'[1]Global_Spot Prices'!$I:$I)</f>
        <v>88.88</v>
      </c>
      <c r="G2199" cm="1">
        <f t="array" ref="G2199">_xlfn.XLOOKUP(TEXT(A2199, "mmm-yy"), TEXT([2]RUNS!$B$5:$B$208, "mmm-yy"), [2]RUNS!$D$5:$D$208, "Not Found")</f>
        <v>30322.065488529479</v>
      </c>
      <c r="H2199" cm="1">
        <f t="array" ref="H2199">SUMPRODUCT(
    --(TEXT('[3]Global Weekly Stock (EWSuez'!$B$4:$B$2000,"mmm-yy")=TEXT(A2199,"mmm-yy")),
    '[3]Global Weekly Stock (EWSuez'!$E$4:$E$2000)
/
SUMPRODUCT(
    --(TEXT('[3]Global Weekly Stock (EWSuez'!$B$4:$B$2000,"mmm-yy")=TEXT(A2199,"mmm-yy"))
)</f>
        <v>14918</v>
      </c>
      <c r="I2199">
        <f>_xlfn.XLOOKUP(A2199,[1]ForwardDeriv!$D:$D,[1]ForwardDeriv!$AJ:$AJ)</f>
        <v>1.5</v>
      </c>
      <c r="J2199" cm="1">
        <f t="array" ref="J2199">_xlfn.XLOOKUP(TEXT(A2199, "mmm-yy"), TEXT([2]GASOLINE!$B$5:$B$208, "mmm-yy"), [2]GASOLINE!$IR$5:$IR$208, "Not Found")</f>
        <v>-402.56413159107746</v>
      </c>
      <c r="K2199" cm="1">
        <f t="array" ref="K2199">_xlfn.XLOOKUP(TEXT(A2199, "mmm-yy"), TEXT([2]GASOLINE!$B$5:$B$208, "mmm-yy"), [2]GASOLINE!$IK$5:$IK$208, "Not Found")</f>
        <v>239.64038877952879</v>
      </c>
      <c r="L2199">
        <f t="shared" si="34"/>
        <v>1</v>
      </c>
      <c r="M2199" cm="1">
        <f t="array" ref="M2199">_xlfn.XLOOKUP(TEXT(A2199, "mmm-yy"), TEXT([2]GASOLINE!$B$5:$B$208, "mmm-yy"), [2]GASOLINE!$C$5:$C$208, "Not Found")</f>
        <v>7744.8524855376791</v>
      </c>
      <c r="N2199" cm="1">
        <f t="array" ref="N2199">_xlfn.XLOOKUP(TEXT(A2199, "mmm-yy"), TEXT([2]RUNS!$B$5:$B$208, "mmm-yy"), [2]RUNS!$BM$5:$BM$208, "Not Found")</f>
        <v>0.81867669302334833</v>
      </c>
    </row>
    <row r="2200" spans="1:14" x14ac:dyDescent="0.25">
      <c r="A2200" s="1">
        <f>'[1]Global_Spot Prices'!$B3509</f>
        <v>45083</v>
      </c>
      <c r="B2200">
        <f>_xlfn.XLOOKUP(A2200,'[1]Global_Spot Prices'!$B:$B,'[1]Global_Spot Prices'!$BS:$BS)</f>
        <v>12.030000000000001</v>
      </c>
      <c r="C2200">
        <f>_xlfn.XLOOKUP(A2200,'[1]Global_Spot Prices'!$B:$B,'[1]Global_Spot Prices'!$E:$E)</f>
        <v>74.3</v>
      </c>
      <c r="D2200">
        <f>_xlfn.XLOOKUP(A2200,'[1]Global_Spot Prices'!$B:$B,'[1]Global_Spot Prices'!$D:$D)</f>
        <v>76.290000000000006</v>
      </c>
      <c r="E2200">
        <f>_xlfn.XLOOKUP(A2200,'[1]Global_Spot Prices'!$B:$B,'[1]Global_Spot Prices'!$H:$H)</f>
        <v>59.89</v>
      </c>
      <c r="F2200">
        <f>_xlfn.XLOOKUP(A2200,'[1]Global_Spot Prices'!$B:$B,'[1]Global_Spot Prices'!$I:$I)</f>
        <v>86.33</v>
      </c>
      <c r="G2200" cm="1">
        <f t="array" ref="G2200">_xlfn.XLOOKUP(TEXT(A2200, "mmm-yy"), TEXT([2]RUNS!$B$5:$B$208, "mmm-yy"), [2]RUNS!$D$5:$D$208, "Not Found")</f>
        <v>30322.065488529479</v>
      </c>
      <c r="H2200" cm="1">
        <f t="array" ref="H2200">SUMPRODUCT(
    --(TEXT('[3]Global Weekly Stock (EWSuez'!$B$4:$B$2000,"mmm-yy")=TEXT(A2200,"mmm-yy")),
    '[3]Global Weekly Stock (EWSuez'!$E$4:$E$2000)
/
SUMPRODUCT(
    --(TEXT('[3]Global Weekly Stock (EWSuez'!$B$4:$B$2000,"mmm-yy")=TEXT(A2200,"mmm-yy"))
)</f>
        <v>14918</v>
      </c>
      <c r="I2200">
        <f>_xlfn.XLOOKUP(A2200,[1]ForwardDeriv!$D:$D,[1]ForwardDeriv!$AJ:$AJ)</f>
        <v>1.4899999999999949</v>
      </c>
      <c r="J2200" cm="1">
        <f t="array" ref="J2200">_xlfn.XLOOKUP(TEXT(A2200, "mmm-yy"), TEXT([2]GASOLINE!$B$5:$B$208, "mmm-yy"), [2]GASOLINE!$IR$5:$IR$208, "Not Found")</f>
        <v>-402.56413159107746</v>
      </c>
      <c r="K2200" cm="1">
        <f t="array" ref="K2200">_xlfn.XLOOKUP(TEXT(A2200, "mmm-yy"), TEXT([2]GASOLINE!$B$5:$B$208, "mmm-yy"), [2]GASOLINE!$IK$5:$IK$208, "Not Found")</f>
        <v>239.64038877952879</v>
      </c>
      <c r="L2200">
        <f t="shared" si="34"/>
        <v>1</v>
      </c>
      <c r="M2200" cm="1">
        <f t="array" ref="M2200">_xlfn.XLOOKUP(TEXT(A2200, "mmm-yy"), TEXT([2]GASOLINE!$B$5:$B$208, "mmm-yy"), [2]GASOLINE!$C$5:$C$208, "Not Found")</f>
        <v>7744.8524855376791</v>
      </c>
      <c r="N2200" cm="1">
        <f t="array" ref="N2200">_xlfn.XLOOKUP(TEXT(A2200, "mmm-yy"), TEXT([2]RUNS!$B$5:$B$208, "mmm-yy"), [2]RUNS!$BM$5:$BM$208, "Not Found")</f>
        <v>0.81867669302334833</v>
      </c>
    </row>
    <row r="2201" spans="1:14" x14ac:dyDescent="0.25">
      <c r="A2201" s="1">
        <f>'[1]Global_Spot Prices'!$B3510</f>
        <v>45084</v>
      </c>
      <c r="B2201">
        <f>_xlfn.XLOOKUP(A2201,'[1]Global_Spot Prices'!$B:$B,'[1]Global_Spot Prices'!$BS:$BS)</f>
        <v>12.469999999999999</v>
      </c>
      <c r="C2201">
        <f>_xlfn.XLOOKUP(A2201,'[1]Global_Spot Prices'!$B:$B,'[1]Global_Spot Prices'!$E:$E)</f>
        <v>75.2</v>
      </c>
      <c r="D2201">
        <f>_xlfn.XLOOKUP(A2201,'[1]Global_Spot Prices'!$B:$B,'[1]Global_Spot Prices'!$D:$D)</f>
        <v>76.704999999999998</v>
      </c>
      <c r="E2201">
        <f>_xlfn.XLOOKUP(A2201,'[1]Global_Spot Prices'!$B:$B,'[1]Global_Spot Prices'!$H:$H)</f>
        <v>59.88</v>
      </c>
      <c r="F2201">
        <f>_xlfn.XLOOKUP(A2201,'[1]Global_Spot Prices'!$B:$B,'[1]Global_Spot Prices'!$I:$I)</f>
        <v>87.67</v>
      </c>
      <c r="G2201" cm="1">
        <f t="array" ref="G2201">_xlfn.XLOOKUP(TEXT(A2201, "mmm-yy"), TEXT([2]RUNS!$B$5:$B$208, "mmm-yy"), [2]RUNS!$D$5:$D$208, "Not Found")</f>
        <v>30322.065488529479</v>
      </c>
      <c r="H2201" cm="1">
        <f t="array" ref="H2201">SUMPRODUCT(
    --(TEXT('[3]Global Weekly Stock (EWSuez'!$B$4:$B$2000,"mmm-yy")=TEXT(A2201,"mmm-yy")),
    '[3]Global Weekly Stock (EWSuez'!$E$4:$E$2000)
/
SUMPRODUCT(
    --(TEXT('[3]Global Weekly Stock (EWSuez'!$B$4:$B$2000,"mmm-yy")=TEXT(A2201,"mmm-yy"))
)</f>
        <v>14918</v>
      </c>
      <c r="I2201">
        <f>_xlfn.XLOOKUP(A2201,[1]ForwardDeriv!$D:$D,[1]ForwardDeriv!$AJ:$AJ)</f>
        <v>1.6199999999999903</v>
      </c>
      <c r="J2201" cm="1">
        <f t="array" ref="J2201">_xlfn.XLOOKUP(TEXT(A2201, "mmm-yy"), TEXT([2]GASOLINE!$B$5:$B$208, "mmm-yy"), [2]GASOLINE!$IR$5:$IR$208, "Not Found")</f>
        <v>-402.56413159107746</v>
      </c>
      <c r="K2201" cm="1">
        <f t="array" ref="K2201">_xlfn.XLOOKUP(TEXT(A2201, "mmm-yy"), TEXT([2]GASOLINE!$B$5:$B$208, "mmm-yy"), [2]GASOLINE!$IK$5:$IK$208, "Not Found")</f>
        <v>239.64038877952879</v>
      </c>
      <c r="L2201">
        <f t="shared" si="34"/>
        <v>1</v>
      </c>
      <c r="M2201" cm="1">
        <f t="array" ref="M2201">_xlfn.XLOOKUP(TEXT(A2201, "mmm-yy"), TEXT([2]GASOLINE!$B$5:$B$208, "mmm-yy"), [2]GASOLINE!$C$5:$C$208, "Not Found")</f>
        <v>7744.8524855376791</v>
      </c>
      <c r="N2201" cm="1">
        <f t="array" ref="N2201">_xlfn.XLOOKUP(TEXT(A2201, "mmm-yy"), TEXT([2]RUNS!$B$5:$B$208, "mmm-yy"), [2]RUNS!$BM$5:$BM$208, "Not Found")</f>
        <v>0.81867669302334833</v>
      </c>
    </row>
    <row r="2202" spans="1:14" x14ac:dyDescent="0.25">
      <c r="A2202" s="1">
        <f>'[1]Global_Spot Prices'!$B3511</f>
        <v>45085</v>
      </c>
      <c r="B2202">
        <f>_xlfn.XLOOKUP(A2202,'[1]Global_Spot Prices'!$B:$B,'[1]Global_Spot Prices'!$BS:$BS)</f>
        <v>13.924999999999997</v>
      </c>
      <c r="C2202">
        <f>_xlfn.XLOOKUP(A2202,'[1]Global_Spot Prices'!$B:$B,'[1]Global_Spot Prices'!$E:$E)</f>
        <v>76.144999999999996</v>
      </c>
      <c r="D2202">
        <f>_xlfn.XLOOKUP(A2202,'[1]Global_Spot Prices'!$B:$B,'[1]Global_Spot Prices'!$D:$D)</f>
        <v>75.650000000000006</v>
      </c>
      <c r="E2202">
        <f>_xlfn.XLOOKUP(A2202,'[1]Global_Spot Prices'!$B:$B,'[1]Global_Spot Prices'!$H:$H)</f>
        <v>60.11</v>
      </c>
      <c r="F2202">
        <f>_xlfn.XLOOKUP(A2202,'[1]Global_Spot Prices'!$B:$B,'[1]Global_Spot Prices'!$I:$I)</f>
        <v>90.07</v>
      </c>
      <c r="G2202" cm="1">
        <f t="array" ref="G2202">_xlfn.XLOOKUP(TEXT(A2202, "mmm-yy"), TEXT([2]RUNS!$B$5:$B$208, "mmm-yy"), [2]RUNS!$D$5:$D$208, "Not Found")</f>
        <v>30322.065488529479</v>
      </c>
      <c r="H2202" cm="1">
        <f t="array" ref="H2202">SUMPRODUCT(
    --(TEXT('[3]Global Weekly Stock (EWSuez'!$B$4:$B$2000,"mmm-yy")=TEXT(A2202,"mmm-yy")),
    '[3]Global Weekly Stock (EWSuez'!$E$4:$E$2000)
/
SUMPRODUCT(
    --(TEXT('[3]Global Weekly Stock (EWSuez'!$B$4:$B$2000,"mmm-yy")=TEXT(A2202,"mmm-yy"))
)</f>
        <v>14918</v>
      </c>
      <c r="I2202">
        <f>_xlfn.XLOOKUP(A2202,[1]ForwardDeriv!$D:$D,[1]ForwardDeriv!$AJ:$AJ)</f>
        <v>1.789999999999992</v>
      </c>
      <c r="J2202" cm="1">
        <f t="array" ref="J2202">_xlfn.XLOOKUP(TEXT(A2202, "mmm-yy"), TEXT([2]GASOLINE!$B$5:$B$208, "mmm-yy"), [2]GASOLINE!$IR$5:$IR$208, "Not Found")</f>
        <v>-402.56413159107746</v>
      </c>
      <c r="K2202" cm="1">
        <f t="array" ref="K2202">_xlfn.XLOOKUP(TEXT(A2202, "mmm-yy"), TEXT([2]GASOLINE!$B$5:$B$208, "mmm-yy"), [2]GASOLINE!$IK$5:$IK$208, "Not Found")</f>
        <v>239.64038877952879</v>
      </c>
      <c r="L2202">
        <f t="shared" si="34"/>
        <v>1</v>
      </c>
      <c r="M2202" cm="1">
        <f t="array" ref="M2202">_xlfn.XLOOKUP(TEXT(A2202, "mmm-yy"), TEXT([2]GASOLINE!$B$5:$B$208, "mmm-yy"), [2]GASOLINE!$C$5:$C$208, "Not Found")</f>
        <v>7744.8524855376791</v>
      </c>
      <c r="N2202" cm="1">
        <f t="array" ref="N2202">_xlfn.XLOOKUP(TEXT(A2202, "mmm-yy"), TEXT([2]RUNS!$B$5:$B$208, "mmm-yy"), [2]RUNS!$BM$5:$BM$208, "Not Found")</f>
        <v>0.81867669302334833</v>
      </c>
    </row>
    <row r="2203" spans="1:14" x14ac:dyDescent="0.25">
      <c r="A2203" s="1">
        <f>'[1]Global_Spot Prices'!$B3512</f>
        <v>45086</v>
      </c>
      <c r="B2203">
        <f>_xlfn.XLOOKUP(A2203,'[1]Global_Spot Prices'!$B:$B,'[1]Global_Spot Prices'!$BS:$BS)</f>
        <v>14.980000000000004</v>
      </c>
      <c r="C2203">
        <f>_xlfn.XLOOKUP(A2203,'[1]Global_Spot Prices'!$B:$B,'[1]Global_Spot Prices'!$E:$E)</f>
        <v>75.2</v>
      </c>
      <c r="D2203">
        <f>_xlfn.XLOOKUP(A2203,'[1]Global_Spot Prices'!$B:$B,'[1]Global_Spot Prices'!$D:$D)</f>
        <v>75.680000000000007</v>
      </c>
      <c r="E2203">
        <f>_xlfn.XLOOKUP(A2203,'[1]Global_Spot Prices'!$B:$B,'[1]Global_Spot Prices'!$H:$H)</f>
        <v>58.43</v>
      </c>
      <c r="F2203">
        <f>_xlfn.XLOOKUP(A2203,'[1]Global_Spot Prices'!$B:$B,'[1]Global_Spot Prices'!$I:$I)</f>
        <v>90.18</v>
      </c>
      <c r="G2203" cm="1">
        <f t="array" ref="G2203">_xlfn.XLOOKUP(TEXT(A2203, "mmm-yy"), TEXT([2]RUNS!$B$5:$B$208, "mmm-yy"), [2]RUNS!$D$5:$D$208, "Not Found")</f>
        <v>30322.065488529479</v>
      </c>
      <c r="H2203" cm="1">
        <f t="array" ref="H2203">SUMPRODUCT(
    --(TEXT('[3]Global Weekly Stock (EWSuez'!$B$4:$B$2000,"mmm-yy")=TEXT(A2203,"mmm-yy")),
    '[3]Global Weekly Stock (EWSuez'!$E$4:$E$2000)
/
SUMPRODUCT(
    --(TEXT('[3]Global Weekly Stock (EWSuez'!$B$4:$B$2000,"mmm-yy")=TEXT(A2203,"mmm-yy"))
)</f>
        <v>14918</v>
      </c>
      <c r="I2203">
        <f>_xlfn.XLOOKUP(A2203,[1]ForwardDeriv!$D:$D,[1]ForwardDeriv!$AJ:$AJ)</f>
        <v>1.8699999999999903</v>
      </c>
      <c r="J2203" cm="1">
        <f t="array" ref="J2203">_xlfn.XLOOKUP(TEXT(A2203, "mmm-yy"), TEXT([2]GASOLINE!$B$5:$B$208, "mmm-yy"), [2]GASOLINE!$IR$5:$IR$208, "Not Found")</f>
        <v>-402.56413159107746</v>
      </c>
      <c r="K2203" cm="1">
        <f t="array" ref="K2203">_xlfn.XLOOKUP(TEXT(A2203, "mmm-yy"), TEXT([2]GASOLINE!$B$5:$B$208, "mmm-yy"), [2]GASOLINE!$IK$5:$IK$208, "Not Found")</f>
        <v>239.64038877952879</v>
      </c>
      <c r="L2203">
        <f t="shared" si="34"/>
        <v>1</v>
      </c>
      <c r="M2203" cm="1">
        <f t="array" ref="M2203">_xlfn.XLOOKUP(TEXT(A2203, "mmm-yy"), TEXT([2]GASOLINE!$B$5:$B$208, "mmm-yy"), [2]GASOLINE!$C$5:$C$208, "Not Found")</f>
        <v>7744.8524855376791</v>
      </c>
      <c r="N2203" cm="1">
        <f t="array" ref="N2203">_xlfn.XLOOKUP(TEXT(A2203, "mmm-yy"), TEXT([2]RUNS!$B$5:$B$208, "mmm-yy"), [2]RUNS!$BM$5:$BM$208, "Not Found")</f>
        <v>0.81867669302334833</v>
      </c>
    </row>
    <row r="2204" spans="1:14" x14ac:dyDescent="0.25">
      <c r="A2204" s="1">
        <f>'[1]Global_Spot Prices'!$B3513</f>
        <v>45089</v>
      </c>
      <c r="B2204">
        <f>_xlfn.XLOOKUP(A2204,'[1]Global_Spot Prices'!$B:$B,'[1]Global_Spot Prices'!$BS:$BS)</f>
        <v>15.780000000000001</v>
      </c>
      <c r="C2204">
        <f>_xlfn.XLOOKUP(A2204,'[1]Global_Spot Prices'!$B:$B,'[1]Global_Spot Prices'!$E:$E)</f>
        <v>72.39</v>
      </c>
      <c r="D2204">
        <f>_xlfn.XLOOKUP(A2204,'[1]Global_Spot Prices'!$B:$B,'[1]Global_Spot Prices'!$D:$D)</f>
        <v>72.459999999999994</v>
      </c>
      <c r="E2204">
        <f>_xlfn.XLOOKUP(A2204,'[1]Global_Spot Prices'!$B:$B,'[1]Global_Spot Prices'!$H:$H)</f>
        <v>57.13</v>
      </c>
      <c r="F2204">
        <f>_xlfn.XLOOKUP(A2204,'[1]Global_Spot Prices'!$B:$B,'[1]Global_Spot Prices'!$I:$I)</f>
        <v>88.17</v>
      </c>
      <c r="G2204" cm="1">
        <f t="array" ref="G2204">_xlfn.XLOOKUP(TEXT(A2204, "mmm-yy"), TEXT([2]RUNS!$B$5:$B$208, "mmm-yy"), [2]RUNS!$D$5:$D$208, "Not Found")</f>
        <v>30322.065488529479</v>
      </c>
      <c r="H2204" cm="1">
        <f t="array" ref="H2204">SUMPRODUCT(
    --(TEXT('[3]Global Weekly Stock (EWSuez'!$B$4:$B$2000,"mmm-yy")=TEXT(A2204,"mmm-yy")),
    '[3]Global Weekly Stock (EWSuez'!$E$4:$E$2000)
/
SUMPRODUCT(
    --(TEXT('[3]Global Weekly Stock (EWSuez'!$B$4:$B$2000,"mmm-yy")=TEXT(A2204,"mmm-yy"))
)</f>
        <v>14918</v>
      </c>
      <c r="I2204">
        <f>_xlfn.XLOOKUP(A2204,[1]ForwardDeriv!$D:$D,[1]ForwardDeriv!$AJ:$AJ)</f>
        <v>1.980000000000004</v>
      </c>
      <c r="J2204" cm="1">
        <f t="array" ref="J2204">_xlfn.XLOOKUP(TEXT(A2204, "mmm-yy"), TEXT([2]GASOLINE!$B$5:$B$208, "mmm-yy"), [2]GASOLINE!$IR$5:$IR$208, "Not Found")</f>
        <v>-402.56413159107746</v>
      </c>
      <c r="K2204" cm="1">
        <f t="array" ref="K2204">_xlfn.XLOOKUP(TEXT(A2204, "mmm-yy"), TEXT([2]GASOLINE!$B$5:$B$208, "mmm-yy"), [2]GASOLINE!$IK$5:$IK$208, "Not Found")</f>
        <v>239.64038877952879</v>
      </c>
      <c r="L2204">
        <f t="shared" si="34"/>
        <v>1</v>
      </c>
      <c r="M2204" cm="1">
        <f t="array" ref="M2204">_xlfn.XLOOKUP(TEXT(A2204, "mmm-yy"), TEXT([2]GASOLINE!$B$5:$B$208, "mmm-yy"), [2]GASOLINE!$C$5:$C$208, "Not Found")</f>
        <v>7744.8524855376791</v>
      </c>
      <c r="N2204" cm="1">
        <f t="array" ref="N2204">_xlfn.XLOOKUP(TEXT(A2204, "mmm-yy"), TEXT([2]RUNS!$B$5:$B$208, "mmm-yy"), [2]RUNS!$BM$5:$BM$208, "Not Found")</f>
        <v>0.81867669302334833</v>
      </c>
    </row>
    <row r="2205" spans="1:14" x14ac:dyDescent="0.25">
      <c r="A2205" s="1">
        <f>'[1]Global_Spot Prices'!$B3514</f>
        <v>45090</v>
      </c>
      <c r="B2205">
        <f>_xlfn.XLOOKUP(A2205,'[1]Global_Spot Prices'!$B:$B,'[1]Global_Spot Prices'!$BS:$BS)</f>
        <v>13.970000000000013</v>
      </c>
      <c r="C2205">
        <f>_xlfn.XLOOKUP(A2205,'[1]Global_Spot Prices'!$B:$B,'[1]Global_Spot Prices'!$E:$E)</f>
        <v>71.959999999999994</v>
      </c>
      <c r="D2205">
        <f>_xlfn.XLOOKUP(A2205,'[1]Global_Spot Prices'!$B:$B,'[1]Global_Spot Prices'!$D:$D)</f>
        <v>73.944999999999993</v>
      </c>
      <c r="E2205">
        <f>_xlfn.XLOOKUP(A2205,'[1]Global_Spot Prices'!$B:$B,'[1]Global_Spot Prices'!$H:$H)</f>
        <v>56.16</v>
      </c>
      <c r="F2205">
        <f ca="1">_xlfn.XLOOKUP(A2205,'[1]Global_Spot Prices'!$B:$B,'[1]Global_Spot Prices'!$I:$I)</f>
        <v>85.93</v>
      </c>
      <c r="G2205" cm="1">
        <f t="array" ref="G2205">_xlfn.XLOOKUP(TEXT(A2205, "mmm-yy"), TEXT([2]RUNS!$B$5:$B$208, "mmm-yy"), [2]RUNS!$D$5:$D$208, "Not Found")</f>
        <v>30322.065488529479</v>
      </c>
      <c r="H2205" cm="1">
        <f t="array" ref="H2205">SUMPRODUCT(
    --(TEXT('[3]Global Weekly Stock (EWSuez'!$B$4:$B$2000,"mmm-yy")=TEXT(A2205,"mmm-yy")),
    '[3]Global Weekly Stock (EWSuez'!$E$4:$E$2000)
/
SUMPRODUCT(
    --(TEXT('[3]Global Weekly Stock (EWSuez'!$B$4:$B$2000,"mmm-yy")=TEXT(A2205,"mmm-yy"))
)</f>
        <v>14918</v>
      </c>
      <c r="I2205">
        <f>_xlfn.XLOOKUP(A2205,[1]ForwardDeriv!$D:$D,[1]ForwardDeriv!$AJ:$AJ)</f>
        <v>1.7399999999999949</v>
      </c>
      <c r="J2205" cm="1">
        <f t="array" ref="J2205">_xlfn.XLOOKUP(TEXT(A2205, "mmm-yy"), TEXT([2]GASOLINE!$B$5:$B$208, "mmm-yy"), [2]GASOLINE!$IR$5:$IR$208, "Not Found")</f>
        <v>-402.56413159107746</v>
      </c>
      <c r="K2205" cm="1">
        <f t="array" ref="K2205">_xlfn.XLOOKUP(TEXT(A2205, "mmm-yy"), TEXT([2]GASOLINE!$B$5:$B$208, "mmm-yy"), [2]GASOLINE!$IK$5:$IK$208, "Not Found")</f>
        <v>239.64038877952879</v>
      </c>
      <c r="L2205">
        <f t="shared" si="34"/>
        <v>1</v>
      </c>
      <c r="M2205" cm="1">
        <f t="array" ref="M2205">_xlfn.XLOOKUP(TEXT(A2205, "mmm-yy"), TEXT([2]GASOLINE!$B$5:$B$208, "mmm-yy"), [2]GASOLINE!$C$5:$C$208, "Not Found")</f>
        <v>7744.8524855376791</v>
      </c>
      <c r="N2205" cm="1">
        <f t="array" ref="N2205">_xlfn.XLOOKUP(TEXT(A2205, "mmm-yy"), TEXT([2]RUNS!$B$5:$B$208, "mmm-yy"), [2]RUNS!$BM$5:$BM$208, "Not Found")</f>
        <v>0.81867669302334833</v>
      </c>
    </row>
    <row r="2206" spans="1:14" x14ac:dyDescent="0.25">
      <c r="A2206" s="1">
        <f>'[1]Global_Spot Prices'!$B3515</f>
        <v>45091</v>
      </c>
      <c r="B2206">
        <f>_xlfn.XLOOKUP(A2206,'[1]Global_Spot Prices'!$B:$B,'[1]Global_Spot Prices'!$BS:$BS)</f>
        <v>13.210000000000008</v>
      </c>
      <c r="C2206">
        <f>_xlfn.XLOOKUP(A2206,'[1]Global_Spot Prices'!$B:$B,'[1]Global_Spot Prices'!$E:$E)</f>
        <v>74.599999999999994</v>
      </c>
      <c r="D2206">
        <f>_xlfn.XLOOKUP(A2206,'[1]Global_Spot Prices'!$B:$B,'[1]Global_Spot Prices'!$D:$D)</f>
        <v>73.864999999999995</v>
      </c>
      <c r="E2206">
        <f>_xlfn.XLOOKUP(A2206,'[1]Global_Spot Prices'!$B:$B,'[1]Global_Spot Prices'!$H:$H)</f>
        <v>57.69</v>
      </c>
      <c r="F2206">
        <f>_xlfn.XLOOKUP(A2206,'[1]Global_Spot Prices'!$B:$B,'[1]Global_Spot Prices'!$I:$I)</f>
        <v>87.81</v>
      </c>
      <c r="G2206" cm="1">
        <f t="array" ref="G2206">_xlfn.XLOOKUP(TEXT(A2206, "mmm-yy"), TEXT([2]RUNS!$B$5:$B$208, "mmm-yy"), [2]RUNS!$D$5:$D$208, "Not Found")</f>
        <v>30322.065488529479</v>
      </c>
      <c r="H2206" cm="1">
        <f t="array" ref="H2206">SUMPRODUCT(
    --(TEXT('[3]Global Weekly Stock (EWSuez'!$B$4:$B$2000,"mmm-yy")=TEXT(A2206,"mmm-yy")),
    '[3]Global Weekly Stock (EWSuez'!$E$4:$E$2000)
/
SUMPRODUCT(
    --(TEXT('[3]Global Weekly Stock (EWSuez'!$B$4:$B$2000,"mmm-yy")=TEXT(A2206,"mmm-yy"))
)</f>
        <v>14918</v>
      </c>
      <c r="I2206">
        <f>_xlfn.XLOOKUP(A2206,[1]ForwardDeriv!$D:$D,[1]ForwardDeriv!$AJ:$AJ)</f>
        <v>1.8000000000000114</v>
      </c>
      <c r="J2206" cm="1">
        <f t="array" ref="J2206">_xlfn.XLOOKUP(TEXT(A2206, "mmm-yy"), TEXT([2]GASOLINE!$B$5:$B$208, "mmm-yy"), [2]GASOLINE!$IR$5:$IR$208, "Not Found")</f>
        <v>-402.56413159107746</v>
      </c>
      <c r="K2206" cm="1">
        <f t="array" ref="K2206">_xlfn.XLOOKUP(TEXT(A2206, "mmm-yy"), TEXT([2]GASOLINE!$B$5:$B$208, "mmm-yy"), [2]GASOLINE!$IK$5:$IK$208, "Not Found")</f>
        <v>239.64038877952879</v>
      </c>
      <c r="L2206">
        <f t="shared" si="34"/>
        <v>1</v>
      </c>
      <c r="M2206" cm="1">
        <f t="array" ref="M2206">_xlfn.XLOOKUP(TEXT(A2206, "mmm-yy"), TEXT([2]GASOLINE!$B$5:$B$208, "mmm-yy"), [2]GASOLINE!$C$5:$C$208, "Not Found")</f>
        <v>7744.8524855376791</v>
      </c>
      <c r="N2206" cm="1">
        <f t="array" ref="N2206">_xlfn.XLOOKUP(TEXT(A2206, "mmm-yy"), TEXT([2]RUNS!$B$5:$B$208, "mmm-yy"), [2]RUNS!$BM$5:$BM$208, "Not Found")</f>
        <v>0.81867669302334833</v>
      </c>
    </row>
    <row r="2207" spans="1:14" x14ac:dyDescent="0.25">
      <c r="A2207" s="1">
        <f>'[1]Global_Spot Prices'!$B3516</f>
        <v>45092</v>
      </c>
      <c r="B2207">
        <f>_xlfn.XLOOKUP(A2207,'[1]Global_Spot Prices'!$B:$B,'[1]Global_Spot Prices'!$BS:$BS)</f>
        <v>13.450000000000003</v>
      </c>
      <c r="C2207">
        <f>_xlfn.XLOOKUP(A2207,'[1]Global_Spot Prices'!$B:$B,'[1]Global_Spot Prices'!$E:$E)</f>
        <v>73.349999999999994</v>
      </c>
      <c r="D2207">
        <f>_xlfn.XLOOKUP(A2207,'[1]Global_Spot Prices'!$B:$B,'[1]Global_Spot Prices'!$D:$D)</f>
        <v>74.510000000000005</v>
      </c>
      <c r="E2207">
        <f>_xlfn.XLOOKUP(A2207,'[1]Global_Spot Prices'!$B:$B,'[1]Global_Spot Prices'!$H:$H)</f>
        <v>55.98</v>
      </c>
      <c r="F2207">
        <f>_xlfn.XLOOKUP(A2207,'[1]Global_Spot Prices'!$B:$B,'[1]Global_Spot Prices'!$I:$I)</f>
        <v>86.8</v>
      </c>
      <c r="G2207" cm="1">
        <f t="array" ref="G2207">_xlfn.XLOOKUP(TEXT(A2207, "mmm-yy"), TEXT([2]RUNS!$B$5:$B$208, "mmm-yy"), [2]RUNS!$D$5:$D$208, "Not Found")</f>
        <v>30322.065488529479</v>
      </c>
      <c r="H2207" cm="1">
        <f t="array" ref="H2207">SUMPRODUCT(
    --(TEXT('[3]Global Weekly Stock (EWSuez'!$B$4:$B$2000,"mmm-yy")=TEXT(A2207,"mmm-yy")),
    '[3]Global Weekly Stock (EWSuez'!$E$4:$E$2000)
/
SUMPRODUCT(
    --(TEXT('[3]Global Weekly Stock (EWSuez'!$B$4:$B$2000,"mmm-yy")=TEXT(A2207,"mmm-yy"))
)</f>
        <v>14918</v>
      </c>
      <c r="I2207">
        <f>_xlfn.XLOOKUP(A2207,[1]ForwardDeriv!$D:$D,[1]ForwardDeriv!$AJ:$AJ)</f>
        <v>1.7099999999999937</v>
      </c>
      <c r="J2207" cm="1">
        <f t="array" ref="J2207">_xlfn.XLOOKUP(TEXT(A2207, "mmm-yy"), TEXT([2]GASOLINE!$B$5:$B$208, "mmm-yy"), [2]GASOLINE!$IR$5:$IR$208, "Not Found")</f>
        <v>-402.56413159107746</v>
      </c>
      <c r="K2207" cm="1">
        <f t="array" ref="K2207">_xlfn.XLOOKUP(TEXT(A2207, "mmm-yy"), TEXT([2]GASOLINE!$B$5:$B$208, "mmm-yy"), [2]GASOLINE!$IK$5:$IK$208, "Not Found")</f>
        <v>239.64038877952879</v>
      </c>
      <c r="L2207">
        <f t="shared" si="34"/>
        <v>1</v>
      </c>
      <c r="M2207" cm="1">
        <f t="array" ref="M2207">_xlfn.XLOOKUP(TEXT(A2207, "mmm-yy"), TEXT([2]GASOLINE!$B$5:$B$208, "mmm-yy"), [2]GASOLINE!$C$5:$C$208, "Not Found")</f>
        <v>7744.8524855376791</v>
      </c>
      <c r="N2207" cm="1">
        <f t="array" ref="N2207">_xlfn.XLOOKUP(TEXT(A2207, "mmm-yy"), TEXT([2]RUNS!$B$5:$B$208, "mmm-yy"), [2]RUNS!$BM$5:$BM$208, "Not Found")</f>
        <v>0.81867669302334833</v>
      </c>
    </row>
    <row r="2208" spans="1:14" x14ac:dyDescent="0.25">
      <c r="A2208" s="1">
        <f>'[1]Global_Spot Prices'!$B3517</f>
        <v>45093</v>
      </c>
      <c r="B2208">
        <f>_xlfn.XLOOKUP(A2208,'[1]Global_Spot Prices'!$B:$B,'[1]Global_Spot Prices'!$BS:$BS)</f>
        <v>13.689999999999998</v>
      </c>
      <c r="C2208">
        <f>_xlfn.XLOOKUP(A2208,'[1]Global_Spot Prices'!$B:$B,'[1]Global_Spot Prices'!$E:$E)</f>
        <v>75.45</v>
      </c>
      <c r="D2208">
        <f>_xlfn.XLOOKUP(A2208,'[1]Global_Spot Prices'!$B:$B,'[1]Global_Spot Prices'!$D:$D)</f>
        <v>75.254999999999995</v>
      </c>
      <c r="E2208">
        <f>_xlfn.XLOOKUP(A2208,'[1]Global_Spot Prices'!$B:$B,'[1]Global_Spot Prices'!$H:$H)</f>
        <v>56.87</v>
      </c>
      <c r="F2208">
        <f>_xlfn.XLOOKUP(A2208,'[1]Global_Spot Prices'!$B:$B,'[1]Global_Spot Prices'!$I:$I)</f>
        <v>89.14</v>
      </c>
      <c r="G2208" cm="1">
        <f t="array" ref="G2208">_xlfn.XLOOKUP(TEXT(A2208, "mmm-yy"), TEXT([2]RUNS!$B$5:$B$208, "mmm-yy"), [2]RUNS!$D$5:$D$208, "Not Found")</f>
        <v>30322.065488529479</v>
      </c>
      <c r="H2208" cm="1">
        <f t="array" ref="H2208">SUMPRODUCT(
    --(TEXT('[3]Global Weekly Stock (EWSuez'!$B$4:$B$2000,"mmm-yy")=TEXT(A2208,"mmm-yy")),
    '[3]Global Weekly Stock (EWSuez'!$E$4:$E$2000)
/
SUMPRODUCT(
    --(TEXT('[3]Global Weekly Stock (EWSuez'!$B$4:$B$2000,"mmm-yy")=TEXT(A2208,"mmm-yy"))
)</f>
        <v>14918</v>
      </c>
      <c r="I2208">
        <f>_xlfn.XLOOKUP(A2208,[1]ForwardDeriv!$D:$D,[1]ForwardDeriv!$AJ:$AJ)</f>
        <v>1.710000000000008</v>
      </c>
      <c r="J2208" cm="1">
        <f t="array" ref="J2208">_xlfn.XLOOKUP(TEXT(A2208, "mmm-yy"), TEXT([2]GASOLINE!$B$5:$B$208, "mmm-yy"), [2]GASOLINE!$IR$5:$IR$208, "Not Found")</f>
        <v>-402.56413159107746</v>
      </c>
      <c r="K2208" cm="1">
        <f t="array" ref="K2208">_xlfn.XLOOKUP(TEXT(A2208, "mmm-yy"), TEXT([2]GASOLINE!$B$5:$B$208, "mmm-yy"), [2]GASOLINE!$IK$5:$IK$208, "Not Found")</f>
        <v>239.64038877952879</v>
      </c>
      <c r="L2208">
        <f t="shared" si="34"/>
        <v>1</v>
      </c>
      <c r="M2208" cm="1">
        <f t="array" ref="M2208">_xlfn.XLOOKUP(TEXT(A2208, "mmm-yy"), TEXT([2]GASOLINE!$B$5:$B$208, "mmm-yy"), [2]GASOLINE!$C$5:$C$208, "Not Found")</f>
        <v>7744.8524855376791</v>
      </c>
      <c r="N2208" cm="1">
        <f t="array" ref="N2208">_xlfn.XLOOKUP(TEXT(A2208, "mmm-yy"), TEXT([2]RUNS!$B$5:$B$208, "mmm-yy"), [2]RUNS!$BM$5:$BM$208, "Not Found")</f>
        <v>0.81867669302334833</v>
      </c>
    </row>
    <row r="2209" spans="1:14" x14ac:dyDescent="0.25">
      <c r="A2209" s="1">
        <f>'[1]Global_Spot Prices'!$B3518</f>
        <v>45096</v>
      </c>
      <c r="B2209">
        <f>_xlfn.XLOOKUP(A2209,'[1]Global_Spot Prices'!$B:$B,'[1]Global_Spot Prices'!$BS:$BS)</f>
        <v>13.339999999999989</v>
      </c>
      <c r="C2209">
        <f>_xlfn.XLOOKUP(A2209,'[1]Global_Spot Prices'!$B:$B,'[1]Global_Spot Prices'!$E:$E)</f>
        <v>76.290000000000006</v>
      </c>
      <c r="D2209">
        <f>_xlfn.XLOOKUP(A2209,'[1]Global_Spot Prices'!$B:$B,'[1]Global_Spot Prices'!$D:$D)</f>
        <v>75.47</v>
      </c>
      <c r="E2209">
        <f>_xlfn.XLOOKUP(A2209,'[1]Global_Spot Prices'!$B:$B,'[1]Global_Spot Prices'!$H:$H)</f>
        <v>55.88</v>
      </c>
      <c r="F2209">
        <f>_xlfn.XLOOKUP(A2209,'[1]Global_Spot Prices'!$B:$B,'[1]Global_Spot Prices'!$I:$I)</f>
        <v>89.63</v>
      </c>
      <c r="G2209" cm="1">
        <f t="array" ref="G2209">_xlfn.XLOOKUP(TEXT(A2209, "mmm-yy"), TEXT([2]RUNS!$B$5:$B$208, "mmm-yy"), [2]RUNS!$D$5:$D$208, "Not Found")</f>
        <v>30322.065488529479</v>
      </c>
      <c r="H2209" cm="1">
        <f t="array" ref="H2209">SUMPRODUCT(
    --(TEXT('[3]Global Weekly Stock (EWSuez'!$B$4:$B$2000,"mmm-yy")=TEXT(A2209,"mmm-yy")),
    '[3]Global Weekly Stock (EWSuez'!$E$4:$E$2000)
/
SUMPRODUCT(
    --(TEXT('[3]Global Weekly Stock (EWSuez'!$B$4:$B$2000,"mmm-yy")=TEXT(A2209,"mmm-yy"))
)</f>
        <v>14918</v>
      </c>
      <c r="I2209">
        <f>_xlfn.XLOOKUP(A2209,[1]ForwardDeriv!$D:$D,[1]ForwardDeriv!$AJ:$AJ)</f>
        <v>1.6499999999999915</v>
      </c>
      <c r="J2209" cm="1">
        <f t="array" ref="J2209">_xlfn.XLOOKUP(TEXT(A2209, "mmm-yy"), TEXT([2]GASOLINE!$B$5:$B$208, "mmm-yy"), [2]GASOLINE!$IR$5:$IR$208, "Not Found")</f>
        <v>-402.56413159107746</v>
      </c>
      <c r="K2209" cm="1">
        <f t="array" ref="K2209">_xlfn.XLOOKUP(TEXT(A2209, "mmm-yy"), TEXT([2]GASOLINE!$B$5:$B$208, "mmm-yy"), [2]GASOLINE!$IK$5:$IK$208, "Not Found")</f>
        <v>239.64038877952879</v>
      </c>
      <c r="L2209">
        <f t="shared" si="34"/>
        <v>1</v>
      </c>
      <c r="M2209" cm="1">
        <f t="array" ref="M2209">_xlfn.XLOOKUP(TEXT(A2209, "mmm-yy"), TEXT([2]GASOLINE!$B$5:$B$208, "mmm-yy"), [2]GASOLINE!$C$5:$C$208, "Not Found")</f>
        <v>7744.8524855376791</v>
      </c>
      <c r="N2209" cm="1">
        <f t="array" ref="N2209">_xlfn.XLOOKUP(TEXT(A2209, "mmm-yy"), TEXT([2]RUNS!$B$5:$B$208, "mmm-yy"), [2]RUNS!$BM$5:$BM$208, "Not Found")</f>
        <v>0.81867669302334833</v>
      </c>
    </row>
    <row r="2210" spans="1:14" x14ac:dyDescent="0.25">
      <c r="A2210" s="1">
        <f>'[1]Global_Spot Prices'!$B3519</f>
        <v>45097</v>
      </c>
      <c r="B2210">
        <f>_xlfn.XLOOKUP(A2210,'[1]Global_Spot Prices'!$B:$B,'[1]Global_Spot Prices'!$BS:$BS)</f>
        <v>11.709999999999994</v>
      </c>
      <c r="C2210">
        <f>_xlfn.XLOOKUP(A2210,'[1]Global_Spot Prices'!$B:$B,'[1]Global_Spot Prices'!$E:$E)</f>
        <v>77.45</v>
      </c>
      <c r="D2210">
        <f>_xlfn.XLOOKUP(A2210,'[1]Global_Spot Prices'!$B:$B,'[1]Global_Spot Prices'!$D:$D)</f>
        <v>74.495000000000005</v>
      </c>
      <c r="E2210">
        <f>_xlfn.XLOOKUP(A2210,'[1]Global_Spot Prices'!$B:$B,'[1]Global_Spot Prices'!$H:$H)</f>
        <v>56.43</v>
      </c>
      <c r="F2210">
        <f>_xlfn.XLOOKUP(A2210,'[1]Global_Spot Prices'!$B:$B,'[1]Global_Spot Prices'!$I:$I)</f>
        <v>89.16</v>
      </c>
      <c r="G2210" cm="1">
        <f t="array" ref="G2210">_xlfn.XLOOKUP(TEXT(A2210, "mmm-yy"), TEXT([2]RUNS!$B$5:$B$208, "mmm-yy"), [2]RUNS!$D$5:$D$208, "Not Found")</f>
        <v>30322.065488529479</v>
      </c>
      <c r="H2210" cm="1">
        <f t="array" ref="H2210">SUMPRODUCT(
    --(TEXT('[3]Global Weekly Stock (EWSuez'!$B$4:$B$2000,"mmm-yy")=TEXT(A2210,"mmm-yy")),
    '[3]Global Weekly Stock (EWSuez'!$E$4:$E$2000)
/
SUMPRODUCT(
    --(TEXT('[3]Global Weekly Stock (EWSuez'!$B$4:$B$2000,"mmm-yy")=TEXT(A2210,"mmm-yy"))
)</f>
        <v>14918</v>
      </c>
      <c r="I2210">
        <f>_xlfn.XLOOKUP(A2210,[1]ForwardDeriv!$D:$D,[1]ForwardDeriv!$AJ:$AJ)</f>
        <v>1.6000000000000085</v>
      </c>
      <c r="J2210" cm="1">
        <f t="array" ref="J2210">_xlfn.XLOOKUP(TEXT(A2210, "mmm-yy"), TEXT([2]GASOLINE!$B$5:$B$208, "mmm-yy"), [2]GASOLINE!$IR$5:$IR$208, "Not Found")</f>
        <v>-402.56413159107746</v>
      </c>
      <c r="K2210" cm="1">
        <f t="array" ref="K2210">_xlfn.XLOOKUP(TEXT(A2210, "mmm-yy"), TEXT([2]GASOLINE!$B$5:$B$208, "mmm-yy"), [2]GASOLINE!$IK$5:$IK$208, "Not Found")</f>
        <v>239.64038877952879</v>
      </c>
      <c r="L2210">
        <f t="shared" si="34"/>
        <v>1</v>
      </c>
      <c r="M2210" cm="1">
        <f t="array" ref="M2210">_xlfn.XLOOKUP(TEXT(A2210, "mmm-yy"), TEXT([2]GASOLINE!$B$5:$B$208, "mmm-yy"), [2]GASOLINE!$C$5:$C$208, "Not Found")</f>
        <v>7744.8524855376791</v>
      </c>
      <c r="N2210" cm="1">
        <f t="array" ref="N2210">_xlfn.XLOOKUP(TEXT(A2210, "mmm-yy"), TEXT([2]RUNS!$B$5:$B$208, "mmm-yy"), [2]RUNS!$BM$5:$BM$208, "Not Found")</f>
        <v>0.81867669302334833</v>
      </c>
    </row>
    <row r="2211" spans="1:14" x14ac:dyDescent="0.25">
      <c r="A2211" s="1">
        <f>'[1]Global_Spot Prices'!$B3520</f>
        <v>45098</v>
      </c>
      <c r="B2211">
        <f>_xlfn.XLOOKUP(A2211,'[1]Global_Spot Prices'!$B:$B,'[1]Global_Spot Prices'!$BS:$BS)</f>
        <v>11.530000000000001</v>
      </c>
      <c r="C2211">
        <f>_xlfn.XLOOKUP(A2211,'[1]Global_Spot Prices'!$B:$B,'[1]Global_Spot Prices'!$E:$E)</f>
        <v>76.95</v>
      </c>
      <c r="D2211">
        <f>_xlfn.XLOOKUP(A2211,'[1]Global_Spot Prices'!$B:$B,'[1]Global_Spot Prices'!$D:$D)</f>
        <v>76.45</v>
      </c>
      <c r="E2211">
        <f>_xlfn.XLOOKUP(A2211,'[1]Global_Spot Prices'!$B:$B,'[1]Global_Spot Prices'!$H:$H)</f>
        <v>55.91</v>
      </c>
      <c r="F2211">
        <f>_xlfn.XLOOKUP(A2211,'[1]Global_Spot Prices'!$B:$B,'[1]Global_Spot Prices'!$I:$I)</f>
        <v>88.48</v>
      </c>
      <c r="G2211" cm="1">
        <f t="array" ref="G2211">_xlfn.XLOOKUP(TEXT(A2211, "mmm-yy"), TEXT([2]RUNS!$B$5:$B$208, "mmm-yy"), [2]RUNS!$D$5:$D$208, "Not Found")</f>
        <v>30322.065488529479</v>
      </c>
      <c r="H2211" cm="1">
        <f t="array" ref="H2211">SUMPRODUCT(
    --(TEXT('[3]Global Weekly Stock (EWSuez'!$B$4:$B$2000,"mmm-yy")=TEXT(A2211,"mmm-yy")),
    '[3]Global Weekly Stock (EWSuez'!$E$4:$E$2000)
/
SUMPRODUCT(
    --(TEXT('[3]Global Weekly Stock (EWSuez'!$B$4:$B$2000,"mmm-yy")=TEXT(A2211,"mmm-yy"))
)</f>
        <v>14918</v>
      </c>
      <c r="I2211">
        <f>_xlfn.XLOOKUP(A2211,[1]ForwardDeriv!$D:$D,[1]ForwardDeriv!$AJ:$AJ)</f>
        <v>1.7399999999999949</v>
      </c>
      <c r="J2211" cm="1">
        <f t="array" ref="J2211">_xlfn.XLOOKUP(TEXT(A2211, "mmm-yy"), TEXT([2]GASOLINE!$B$5:$B$208, "mmm-yy"), [2]GASOLINE!$IR$5:$IR$208, "Not Found")</f>
        <v>-402.56413159107746</v>
      </c>
      <c r="K2211" cm="1">
        <f t="array" ref="K2211">_xlfn.XLOOKUP(TEXT(A2211, "mmm-yy"), TEXT([2]GASOLINE!$B$5:$B$208, "mmm-yy"), [2]GASOLINE!$IK$5:$IK$208, "Not Found")</f>
        <v>239.64038877952879</v>
      </c>
      <c r="L2211">
        <f t="shared" si="34"/>
        <v>1</v>
      </c>
      <c r="M2211" cm="1">
        <f t="array" ref="M2211">_xlfn.XLOOKUP(TEXT(A2211, "mmm-yy"), TEXT([2]GASOLINE!$B$5:$B$208, "mmm-yy"), [2]GASOLINE!$C$5:$C$208, "Not Found")</f>
        <v>7744.8524855376791</v>
      </c>
      <c r="N2211" cm="1">
        <f t="array" ref="N2211">_xlfn.XLOOKUP(TEXT(A2211, "mmm-yy"), TEXT([2]RUNS!$B$5:$B$208, "mmm-yy"), [2]RUNS!$BM$5:$BM$208, "Not Found")</f>
        <v>0.81867669302334833</v>
      </c>
    </row>
    <row r="2212" spans="1:14" x14ac:dyDescent="0.25">
      <c r="A2212" s="1">
        <f>'[1]Global_Spot Prices'!$B3521</f>
        <v>45099</v>
      </c>
      <c r="B2212">
        <f>_xlfn.XLOOKUP(A2212,'[1]Global_Spot Prices'!$B:$B,'[1]Global_Spot Prices'!$BS:$BS)</f>
        <v>11.149999999999991</v>
      </c>
      <c r="C2212">
        <f>_xlfn.XLOOKUP(A2212,'[1]Global_Spot Prices'!$B:$B,'[1]Global_Spot Prices'!$E:$E)</f>
        <v>77.45</v>
      </c>
      <c r="D2212">
        <f>_xlfn.XLOOKUP(A2212,'[1]Global_Spot Prices'!$B:$B,'[1]Global_Spot Prices'!$D:$D)</f>
        <v>73.784999999999997</v>
      </c>
      <c r="E2212">
        <f>_xlfn.XLOOKUP(A2212,'[1]Global_Spot Prices'!$B:$B,'[1]Global_Spot Prices'!$H:$H)</f>
        <v>55.71</v>
      </c>
      <c r="F2212">
        <f>_xlfn.XLOOKUP(A2212,'[1]Global_Spot Prices'!$B:$B,'[1]Global_Spot Prices'!$I:$I)</f>
        <v>88.6</v>
      </c>
      <c r="G2212" cm="1">
        <f t="array" ref="G2212">_xlfn.XLOOKUP(TEXT(A2212, "mmm-yy"), TEXT([2]RUNS!$B$5:$B$208, "mmm-yy"), [2]RUNS!$D$5:$D$208, "Not Found")</f>
        <v>30322.065488529479</v>
      </c>
      <c r="H2212" cm="1">
        <f t="array" ref="H2212">SUMPRODUCT(
    --(TEXT('[3]Global Weekly Stock (EWSuez'!$B$4:$B$2000,"mmm-yy")=TEXT(A2212,"mmm-yy")),
    '[3]Global Weekly Stock (EWSuez'!$E$4:$E$2000)
/
SUMPRODUCT(
    --(TEXT('[3]Global Weekly Stock (EWSuez'!$B$4:$B$2000,"mmm-yy")=TEXT(A2212,"mmm-yy"))
)</f>
        <v>14918</v>
      </c>
      <c r="I2212">
        <f>_xlfn.XLOOKUP(A2212,[1]ForwardDeriv!$D:$D,[1]ForwardDeriv!$AJ:$AJ)</f>
        <v>1.730000000000004</v>
      </c>
      <c r="J2212" cm="1">
        <f t="array" ref="J2212">_xlfn.XLOOKUP(TEXT(A2212, "mmm-yy"), TEXT([2]GASOLINE!$B$5:$B$208, "mmm-yy"), [2]GASOLINE!$IR$5:$IR$208, "Not Found")</f>
        <v>-402.56413159107746</v>
      </c>
      <c r="K2212" cm="1">
        <f t="array" ref="K2212">_xlfn.XLOOKUP(TEXT(A2212, "mmm-yy"), TEXT([2]GASOLINE!$B$5:$B$208, "mmm-yy"), [2]GASOLINE!$IK$5:$IK$208, "Not Found")</f>
        <v>239.64038877952879</v>
      </c>
      <c r="L2212">
        <f t="shared" si="34"/>
        <v>1</v>
      </c>
      <c r="M2212" cm="1">
        <f t="array" ref="M2212">_xlfn.XLOOKUP(TEXT(A2212, "mmm-yy"), TEXT([2]GASOLINE!$B$5:$B$208, "mmm-yy"), [2]GASOLINE!$C$5:$C$208, "Not Found")</f>
        <v>7744.8524855376791</v>
      </c>
      <c r="N2212" cm="1">
        <f t="array" ref="N2212">_xlfn.XLOOKUP(TEXT(A2212, "mmm-yy"), TEXT([2]RUNS!$B$5:$B$208, "mmm-yy"), [2]RUNS!$BM$5:$BM$208, "Not Found")</f>
        <v>0.81867669302334833</v>
      </c>
    </row>
    <row r="2213" spans="1:14" x14ac:dyDescent="0.25">
      <c r="A2213" s="1">
        <f>'[1]Global_Spot Prices'!$B3522</f>
        <v>45100</v>
      </c>
      <c r="B2213">
        <f>_xlfn.XLOOKUP(A2213,'[1]Global_Spot Prices'!$B:$B,'[1]Global_Spot Prices'!$BS:$BS)</f>
        <v>11.5</v>
      </c>
      <c r="C2213">
        <f>_xlfn.XLOOKUP(A2213,'[1]Global_Spot Prices'!$B:$B,'[1]Global_Spot Prices'!$E:$E)</f>
        <v>74.099999999999994</v>
      </c>
      <c r="D2213">
        <f>_xlfn.XLOOKUP(A2213,'[1]Global_Spot Prices'!$B:$B,'[1]Global_Spot Prices'!$D:$D)</f>
        <v>73.114999999999995</v>
      </c>
      <c r="E2213">
        <f>_xlfn.XLOOKUP(A2213,'[1]Global_Spot Prices'!$B:$B,'[1]Global_Spot Prices'!$H:$H)</f>
        <v>52.51</v>
      </c>
      <c r="F2213">
        <f>_xlfn.XLOOKUP(A2213,'[1]Global_Spot Prices'!$B:$B,'[1]Global_Spot Prices'!$I:$I)</f>
        <v>85.6</v>
      </c>
      <c r="G2213" cm="1">
        <f t="array" ref="G2213">_xlfn.XLOOKUP(TEXT(A2213, "mmm-yy"), TEXT([2]RUNS!$B$5:$B$208, "mmm-yy"), [2]RUNS!$D$5:$D$208, "Not Found")</f>
        <v>30322.065488529479</v>
      </c>
      <c r="H2213" cm="1">
        <f t="array" ref="H2213">SUMPRODUCT(
    --(TEXT('[3]Global Weekly Stock (EWSuez'!$B$4:$B$2000,"mmm-yy")=TEXT(A2213,"mmm-yy")),
    '[3]Global Weekly Stock (EWSuez'!$E$4:$E$2000)
/
SUMPRODUCT(
    --(TEXT('[3]Global Weekly Stock (EWSuez'!$B$4:$B$2000,"mmm-yy")=TEXT(A2213,"mmm-yy"))
)</f>
        <v>14918</v>
      </c>
      <c r="I2213">
        <f>_xlfn.XLOOKUP(A2213,[1]ForwardDeriv!$D:$D,[1]ForwardDeriv!$AJ:$AJ)</f>
        <v>1.7900000000000063</v>
      </c>
      <c r="J2213" cm="1">
        <f t="array" ref="J2213">_xlfn.XLOOKUP(TEXT(A2213, "mmm-yy"), TEXT([2]GASOLINE!$B$5:$B$208, "mmm-yy"), [2]GASOLINE!$IR$5:$IR$208, "Not Found")</f>
        <v>-402.56413159107746</v>
      </c>
      <c r="K2213" cm="1">
        <f t="array" ref="K2213">_xlfn.XLOOKUP(TEXT(A2213, "mmm-yy"), TEXT([2]GASOLINE!$B$5:$B$208, "mmm-yy"), [2]GASOLINE!$IK$5:$IK$208, "Not Found")</f>
        <v>239.64038877952879</v>
      </c>
      <c r="L2213">
        <f t="shared" si="34"/>
        <v>1</v>
      </c>
      <c r="M2213" cm="1">
        <f t="array" ref="M2213">_xlfn.XLOOKUP(TEXT(A2213, "mmm-yy"), TEXT([2]GASOLINE!$B$5:$B$208, "mmm-yy"), [2]GASOLINE!$C$5:$C$208, "Not Found")</f>
        <v>7744.8524855376791</v>
      </c>
      <c r="N2213" cm="1">
        <f t="array" ref="N2213">_xlfn.XLOOKUP(TEXT(A2213, "mmm-yy"), TEXT([2]RUNS!$B$5:$B$208, "mmm-yy"), [2]RUNS!$BM$5:$BM$208, "Not Found")</f>
        <v>0.81867669302334833</v>
      </c>
    </row>
    <row r="2214" spans="1:14" x14ac:dyDescent="0.25">
      <c r="A2214" s="1">
        <f>'[1]Global_Spot Prices'!$B3523</f>
        <v>45103</v>
      </c>
      <c r="B2214">
        <f>_xlfn.XLOOKUP(A2214,'[1]Global_Spot Prices'!$B:$B,'[1]Global_Spot Prices'!$BS:$BS)</f>
        <v>10.950000000000003</v>
      </c>
      <c r="C2214">
        <f>_xlfn.XLOOKUP(A2214,'[1]Global_Spot Prices'!$B:$B,'[1]Global_Spot Prices'!$E:$E)</f>
        <v>74.5</v>
      </c>
      <c r="D2214">
        <f>_xlfn.XLOOKUP(A2214,'[1]Global_Spot Prices'!$B:$B,'[1]Global_Spot Prices'!$D:$D)</f>
        <v>73.55</v>
      </c>
      <c r="E2214">
        <f>_xlfn.XLOOKUP(A2214,'[1]Global_Spot Prices'!$B:$B,'[1]Global_Spot Prices'!$H:$H)</f>
        <v>53.15</v>
      </c>
      <c r="F2214">
        <f>_xlfn.XLOOKUP(A2214,'[1]Global_Spot Prices'!$B:$B,'[1]Global_Spot Prices'!$I:$I)</f>
        <v>85.45</v>
      </c>
      <c r="G2214" cm="1">
        <f t="array" ref="G2214">_xlfn.XLOOKUP(TEXT(A2214, "mmm-yy"), TEXT([2]RUNS!$B$5:$B$208, "mmm-yy"), [2]RUNS!$D$5:$D$208, "Not Found")</f>
        <v>30322.065488529479</v>
      </c>
      <c r="H2214" cm="1">
        <f t="array" ref="H2214">SUMPRODUCT(
    --(TEXT('[3]Global Weekly Stock (EWSuez'!$B$4:$B$2000,"mmm-yy")=TEXT(A2214,"mmm-yy")),
    '[3]Global Weekly Stock (EWSuez'!$E$4:$E$2000)
/
SUMPRODUCT(
    --(TEXT('[3]Global Weekly Stock (EWSuez'!$B$4:$B$2000,"mmm-yy")=TEXT(A2214,"mmm-yy"))
)</f>
        <v>14918</v>
      </c>
      <c r="I2214">
        <f>_xlfn.XLOOKUP(A2214,[1]ForwardDeriv!$D:$D,[1]ForwardDeriv!$AJ:$AJ)</f>
        <v>1.7000000000000028</v>
      </c>
      <c r="J2214" cm="1">
        <f t="array" ref="J2214">_xlfn.XLOOKUP(TEXT(A2214, "mmm-yy"), TEXT([2]GASOLINE!$B$5:$B$208, "mmm-yy"), [2]GASOLINE!$IR$5:$IR$208, "Not Found")</f>
        <v>-402.56413159107746</v>
      </c>
      <c r="K2214" cm="1">
        <f t="array" ref="K2214">_xlfn.XLOOKUP(TEXT(A2214, "mmm-yy"), TEXT([2]GASOLINE!$B$5:$B$208, "mmm-yy"), [2]GASOLINE!$IK$5:$IK$208, "Not Found")</f>
        <v>239.64038877952879</v>
      </c>
      <c r="L2214">
        <f t="shared" si="34"/>
        <v>1</v>
      </c>
      <c r="M2214" cm="1">
        <f t="array" ref="M2214">_xlfn.XLOOKUP(TEXT(A2214, "mmm-yy"), TEXT([2]GASOLINE!$B$5:$B$208, "mmm-yy"), [2]GASOLINE!$C$5:$C$208, "Not Found")</f>
        <v>7744.8524855376791</v>
      </c>
      <c r="N2214" cm="1">
        <f t="array" ref="N2214">_xlfn.XLOOKUP(TEXT(A2214, "mmm-yy"), TEXT([2]RUNS!$B$5:$B$208, "mmm-yy"), [2]RUNS!$BM$5:$BM$208, "Not Found")</f>
        <v>0.81867669302334833</v>
      </c>
    </row>
    <row r="2215" spans="1:14" x14ac:dyDescent="0.25">
      <c r="A2215" s="1">
        <f>'[1]Global_Spot Prices'!$B3524</f>
        <v>45104</v>
      </c>
      <c r="B2215">
        <f>_xlfn.XLOOKUP(A2215,'[1]Global_Spot Prices'!$B:$B,'[1]Global_Spot Prices'!$BS:$BS)</f>
        <v>10.910000000000011</v>
      </c>
      <c r="C2215">
        <f>_xlfn.XLOOKUP(A2215,'[1]Global_Spot Prices'!$B:$B,'[1]Global_Spot Prices'!$E:$E)</f>
        <v>75.489999999999995</v>
      </c>
      <c r="D2215">
        <f>_xlfn.XLOOKUP(A2215,'[1]Global_Spot Prices'!$B:$B,'[1]Global_Spot Prices'!$D:$D)</f>
        <v>72.790000000000006</v>
      </c>
      <c r="E2215">
        <f>_xlfn.XLOOKUP(A2215,'[1]Global_Spot Prices'!$B:$B,'[1]Global_Spot Prices'!$H:$H)</f>
        <v>53.74</v>
      </c>
      <c r="F2215">
        <f>_xlfn.XLOOKUP(A2215,'[1]Global_Spot Prices'!$B:$B,'[1]Global_Spot Prices'!$I:$I)</f>
        <v>86.4</v>
      </c>
      <c r="G2215" cm="1">
        <f t="array" ref="G2215">_xlfn.XLOOKUP(TEXT(A2215, "mmm-yy"), TEXT([2]RUNS!$B$5:$B$208, "mmm-yy"), [2]RUNS!$D$5:$D$208, "Not Found")</f>
        <v>30322.065488529479</v>
      </c>
      <c r="H2215" cm="1">
        <f t="array" ref="H2215">SUMPRODUCT(
    --(TEXT('[3]Global Weekly Stock (EWSuez'!$B$4:$B$2000,"mmm-yy")=TEXT(A2215,"mmm-yy")),
    '[3]Global Weekly Stock (EWSuez'!$E$4:$E$2000)
/
SUMPRODUCT(
    --(TEXT('[3]Global Weekly Stock (EWSuez'!$B$4:$B$2000,"mmm-yy")=TEXT(A2215,"mmm-yy"))
)</f>
        <v>14918</v>
      </c>
      <c r="I2215">
        <f>_xlfn.XLOOKUP(A2215,[1]ForwardDeriv!$D:$D,[1]ForwardDeriv!$AJ:$AJ)</f>
        <v>1.8100000000000023</v>
      </c>
      <c r="J2215" cm="1">
        <f t="array" ref="J2215">_xlfn.XLOOKUP(TEXT(A2215, "mmm-yy"), TEXT([2]GASOLINE!$B$5:$B$208, "mmm-yy"), [2]GASOLINE!$IR$5:$IR$208, "Not Found")</f>
        <v>-402.56413159107746</v>
      </c>
      <c r="K2215" cm="1">
        <f t="array" ref="K2215">_xlfn.XLOOKUP(TEXT(A2215, "mmm-yy"), TEXT([2]GASOLINE!$B$5:$B$208, "mmm-yy"), [2]GASOLINE!$IK$5:$IK$208, "Not Found")</f>
        <v>239.64038877952879</v>
      </c>
      <c r="L2215">
        <f t="shared" si="34"/>
        <v>1</v>
      </c>
      <c r="M2215" cm="1">
        <f t="array" ref="M2215">_xlfn.XLOOKUP(TEXT(A2215, "mmm-yy"), TEXT([2]GASOLINE!$B$5:$B$208, "mmm-yy"), [2]GASOLINE!$C$5:$C$208, "Not Found")</f>
        <v>7744.8524855376791</v>
      </c>
      <c r="N2215" cm="1">
        <f t="array" ref="N2215">_xlfn.XLOOKUP(TEXT(A2215, "mmm-yy"), TEXT([2]RUNS!$B$5:$B$208, "mmm-yy"), [2]RUNS!$BM$5:$BM$208, "Not Found")</f>
        <v>0.81867669302334833</v>
      </c>
    </row>
    <row r="2216" spans="1:14" x14ac:dyDescent="0.25">
      <c r="A2216" s="1">
        <f>'[1]Global_Spot Prices'!$B3525</f>
        <v>45105</v>
      </c>
      <c r="B2216">
        <f>_xlfn.XLOOKUP(A2216,'[1]Global_Spot Prices'!$B:$B,'[1]Global_Spot Prices'!$BS:$BS)</f>
        <v>11.150000000000006</v>
      </c>
      <c r="C2216">
        <f>_xlfn.XLOOKUP(A2216,'[1]Global_Spot Prices'!$B:$B,'[1]Global_Spot Prices'!$E:$E)</f>
        <v>74.25</v>
      </c>
      <c r="D2216">
        <f>_xlfn.XLOOKUP(A2216,'[1]Global_Spot Prices'!$B:$B,'[1]Global_Spot Prices'!$D:$D)</f>
        <v>73.325000000000003</v>
      </c>
      <c r="E2216">
        <f>_xlfn.XLOOKUP(A2216,'[1]Global_Spot Prices'!$B:$B,'[1]Global_Spot Prices'!$H:$H)</f>
        <v>54.25</v>
      </c>
      <c r="F2216">
        <f>_xlfn.XLOOKUP(A2216,'[1]Global_Spot Prices'!$B:$B,'[1]Global_Spot Prices'!$I:$I)</f>
        <v>85.4</v>
      </c>
      <c r="G2216" cm="1">
        <f t="array" ref="G2216">_xlfn.XLOOKUP(TEXT(A2216, "mmm-yy"), TEXT([2]RUNS!$B$5:$B$208, "mmm-yy"), [2]RUNS!$D$5:$D$208, "Not Found")</f>
        <v>30322.065488529479</v>
      </c>
      <c r="H2216" cm="1">
        <f t="array" ref="H2216">SUMPRODUCT(
    --(TEXT('[3]Global Weekly Stock (EWSuez'!$B$4:$B$2000,"mmm-yy")=TEXT(A2216,"mmm-yy")),
    '[3]Global Weekly Stock (EWSuez'!$E$4:$E$2000)
/
SUMPRODUCT(
    --(TEXT('[3]Global Weekly Stock (EWSuez'!$B$4:$B$2000,"mmm-yy")=TEXT(A2216,"mmm-yy"))
)</f>
        <v>14918</v>
      </c>
      <c r="I2216">
        <f>_xlfn.XLOOKUP(A2216,[1]ForwardDeriv!$D:$D,[1]ForwardDeriv!$AJ:$AJ)</f>
        <v>1.7399999999999949</v>
      </c>
      <c r="J2216" cm="1">
        <f t="array" ref="J2216">_xlfn.XLOOKUP(TEXT(A2216, "mmm-yy"), TEXT([2]GASOLINE!$B$5:$B$208, "mmm-yy"), [2]GASOLINE!$IR$5:$IR$208, "Not Found")</f>
        <v>-402.56413159107746</v>
      </c>
      <c r="K2216" cm="1">
        <f t="array" ref="K2216">_xlfn.XLOOKUP(TEXT(A2216, "mmm-yy"), TEXT([2]GASOLINE!$B$5:$B$208, "mmm-yy"), [2]GASOLINE!$IK$5:$IK$208, "Not Found")</f>
        <v>239.64038877952879</v>
      </c>
      <c r="L2216">
        <f t="shared" si="34"/>
        <v>1</v>
      </c>
      <c r="M2216" cm="1">
        <f t="array" ref="M2216">_xlfn.XLOOKUP(TEXT(A2216, "mmm-yy"), TEXT([2]GASOLINE!$B$5:$B$208, "mmm-yy"), [2]GASOLINE!$C$5:$C$208, "Not Found")</f>
        <v>7744.8524855376791</v>
      </c>
      <c r="N2216" cm="1">
        <f t="array" ref="N2216">_xlfn.XLOOKUP(TEXT(A2216, "mmm-yy"), TEXT([2]RUNS!$B$5:$B$208, "mmm-yy"), [2]RUNS!$BM$5:$BM$208, "Not Found")</f>
        <v>0.81867669302334833</v>
      </c>
    </row>
    <row r="2217" spans="1:14" x14ac:dyDescent="0.25">
      <c r="A2217" s="1">
        <f>'[1]Global_Spot Prices'!$B3526</f>
        <v>45106</v>
      </c>
      <c r="B2217" t="e">
        <f>_xlfn.XLOOKUP(A2217,'[1]Global_Spot Prices'!$B:$B,'[1]Global_Spot Prices'!$BS:$BS)</f>
        <v>#N/A</v>
      </c>
      <c r="C2217" t="str">
        <f>_xlfn.XLOOKUP(A2217,'[1]Global_Spot Prices'!$B:$B,'[1]Global_Spot Prices'!$E:$E)</f>
        <v/>
      </c>
      <c r="D2217">
        <f>_xlfn.XLOOKUP(A2217,'[1]Global_Spot Prices'!$B:$B,'[1]Global_Spot Prices'!$D:$D)</f>
        <v>73.034999999999997</v>
      </c>
      <c r="E2217">
        <f>_xlfn.XLOOKUP(A2217,'[1]Global_Spot Prices'!$B:$B,'[1]Global_Spot Prices'!$H:$H)</f>
        <v>0</v>
      </c>
      <c r="F2217">
        <f>_xlfn.XLOOKUP(A2217,'[1]Global_Spot Prices'!$B:$B,'[1]Global_Spot Prices'!$I:$I)</f>
        <v>0</v>
      </c>
      <c r="G2217" cm="1">
        <f t="array" ref="G2217">_xlfn.XLOOKUP(TEXT(A2217, "mmm-yy"), TEXT([2]RUNS!$B$5:$B$208, "mmm-yy"), [2]RUNS!$D$5:$D$208, "Not Found")</f>
        <v>30322.065488529479</v>
      </c>
      <c r="H2217" cm="1">
        <f t="array" ref="H2217">SUMPRODUCT(
    --(TEXT('[3]Global Weekly Stock (EWSuez'!$B$4:$B$2000,"mmm-yy")=TEXT(A2217,"mmm-yy")),
    '[3]Global Weekly Stock (EWSuez'!$E$4:$E$2000)
/
SUMPRODUCT(
    --(TEXT('[3]Global Weekly Stock (EWSuez'!$B$4:$B$2000,"mmm-yy")=TEXT(A2217,"mmm-yy"))
)</f>
        <v>14918</v>
      </c>
      <c r="I2217">
        <f>_xlfn.XLOOKUP(A2217,[1]ForwardDeriv!$D:$D,[1]ForwardDeriv!$AJ:$AJ)</f>
        <v>1.7399999999999949</v>
      </c>
      <c r="J2217" cm="1">
        <f t="array" ref="J2217">_xlfn.XLOOKUP(TEXT(A2217, "mmm-yy"), TEXT([2]GASOLINE!$B$5:$B$208, "mmm-yy"), [2]GASOLINE!$IR$5:$IR$208, "Not Found")</f>
        <v>-402.56413159107746</v>
      </c>
      <c r="K2217" cm="1">
        <f t="array" ref="K2217">_xlfn.XLOOKUP(TEXT(A2217, "mmm-yy"), TEXT([2]GASOLINE!$B$5:$B$208, "mmm-yy"), [2]GASOLINE!$IK$5:$IK$208, "Not Found")</f>
        <v>239.64038877952879</v>
      </c>
      <c r="L2217">
        <f t="shared" si="34"/>
        <v>1</v>
      </c>
      <c r="M2217" cm="1">
        <f t="array" ref="M2217">_xlfn.XLOOKUP(TEXT(A2217, "mmm-yy"), TEXT([2]GASOLINE!$B$5:$B$208, "mmm-yy"), [2]GASOLINE!$C$5:$C$208, "Not Found")</f>
        <v>7744.8524855376791</v>
      </c>
      <c r="N2217" cm="1">
        <f t="array" ref="N2217">_xlfn.XLOOKUP(TEXT(A2217, "mmm-yy"), TEXT([2]RUNS!$B$5:$B$208, "mmm-yy"), [2]RUNS!$BM$5:$BM$208, "Not Found")</f>
        <v>0.81867669302334833</v>
      </c>
    </row>
    <row r="2218" spans="1:14" x14ac:dyDescent="0.25">
      <c r="A2218" s="1">
        <f>'[1]Global_Spot Prices'!$B3527</f>
        <v>45107</v>
      </c>
      <c r="B2218">
        <f>_xlfn.XLOOKUP(A2218,'[1]Global_Spot Prices'!$B:$B,'[1]Global_Spot Prices'!$BS:$BS)</f>
        <v>10.900000000000006</v>
      </c>
      <c r="C2218">
        <f>_xlfn.XLOOKUP(A2218,'[1]Global_Spot Prices'!$B:$B,'[1]Global_Spot Prices'!$E:$E)</f>
        <v>76.64</v>
      </c>
      <c r="D2218">
        <f>_xlfn.XLOOKUP(A2218,'[1]Global_Spot Prices'!$B:$B,'[1]Global_Spot Prices'!$D:$D)</f>
        <v>74.965000000000003</v>
      </c>
      <c r="E2218">
        <f>_xlfn.XLOOKUP(A2218,'[1]Global_Spot Prices'!$B:$B,'[1]Global_Spot Prices'!$H:$H)</f>
        <v>56.8</v>
      </c>
      <c r="F2218">
        <f>_xlfn.XLOOKUP(A2218,'[1]Global_Spot Prices'!$B:$B,'[1]Global_Spot Prices'!$I:$I)</f>
        <v>87.54</v>
      </c>
      <c r="G2218" cm="1">
        <f t="array" ref="G2218">_xlfn.XLOOKUP(TEXT(A2218, "mmm-yy"), TEXT([2]RUNS!$B$5:$B$208, "mmm-yy"), [2]RUNS!$D$5:$D$208, "Not Found")</f>
        <v>30322.065488529479</v>
      </c>
      <c r="H2218" cm="1">
        <f t="array" ref="H2218">SUMPRODUCT(
    --(TEXT('[3]Global Weekly Stock (EWSuez'!$B$4:$B$2000,"mmm-yy")=TEXT(A2218,"mmm-yy")),
    '[3]Global Weekly Stock (EWSuez'!$E$4:$E$2000)
/
SUMPRODUCT(
    --(TEXT('[3]Global Weekly Stock (EWSuez'!$B$4:$B$2000,"mmm-yy")=TEXT(A2218,"mmm-yy"))
)</f>
        <v>14918</v>
      </c>
      <c r="I2218">
        <f>_xlfn.XLOOKUP(A2218,[1]ForwardDeriv!$D:$D,[1]ForwardDeriv!$AJ:$AJ)</f>
        <v>1.7399999999999949</v>
      </c>
      <c r="J2218" cm="1">
        <f t="array" ref="J2218">_xlfn.XLOOKUP(TEXT(A2218, "mmm-yy"), TEXT([2]GASOLINE!$B$5:$B$208, "mmm-yy"), [2]GASOLINE!$IR$5:$IR$208, "Not Found")</f>
        <v>-402.56413159107746</v>
      </c>
      <c r="K2218" cm="1">
        <f t="array" ref="K2218">_xlfn.XLOOKUP(TEXT(A2218, "mmm-yy"), TEXT([2]GASOLINE!$B$5:$B$208, "mmm-yy"), [2]GASOLINE!$IK$5:$IK$208, "Not Found")</f>
        <v>239.64038877952879</v>
      </c>
      <c r="L2218">
        <f t="shared" si="34"/>
        <v>1</v>
      </c>
      <c r="M2218" cm="1">
        <f t="array" ref="M2218">_xlfn.XLOOKUP(TEXT(A2218, "mmm-yy"), TEXT([2]GASOLINE!$B$5:$B$208, "mmm-yy"), [2]GASOLINE!$C$5:$C$208, "Not Found")</f>
        <v>7744.8524855376791</v>
      </c>
      <c r="N2218" cm="1">
        <f t="array" ref="N2218">_xlfn.XLOOKUP(TEXT(A2218, "mmm-yy"), TEXT([2]RUNS!$B$5:$B$208, "mmm-yy"), [2]RUNS!$BM$5:$BM$208, "Not Found")</f>
        <v>0.81867669302334833</v>
      </c>
    </row>
    <row r="2219" spans="1:14" x14ac:dyDescent="0.25">
      <c r="A2219" s="1">
        <f>'[1]Global_Spot Prices'!$B3528</f>
        <v>45110</v>
      </c>
      <c r="B2219">
        <f>_xlfn.XLOOKUP(A2219,'[1]Global_Spot Prices'!$B:$B,'[1]Global_Spot Prices'!$BS:$BS)</f>
        <v>10.939999999999998</v>
      </c>
      <c r="C2219">
        <f>_xlfn.XLOOKUP(A2219,'[1]Global_Spot Prices'!$B:$B,'[1]Global_Spot Prices'!$E:$E)</f>
        <v>75.2</v>
      </c>
      <c r="D2219">
        <f>_xlfn.XLOOKUP(A2219,'[1]Global_Spot Prices'!$B:$B,'[1]Global_Spot Prices'!$D:$D)</f>
        <v>75.53</v>
      </c>
      <c r="E2219">
        <f>_xlfn.XLOOKUP(A2219,'[1]Global_Spot Prices'!$B:$B,'[1]Global_Spot Prices'!$H:$H)</f>
        <v>56.8</v>
      </c>
      <c r="F2219">
        <f>_xlfn.XLOOKUP(A2219,'[1]Global_Spot Prices'!$B:$B,'[1]Global_Spot Prices'!$I:$I)</f>
        <v>86.14</v>
      </c>
      <c r="G2219" cm="1">
        <f t="array" ref="G2219">_xlfn.XLOOKUP(TEXT(A2219, "mmm-yy"), TEXT([2]RUNS!$B$5:$B$208, "mmm-yy"), [2]RUNS!$D$5:$D$208, "Not Found")</f>
        <v>30396.512724174532</v>
      </c>
      <c r="H2219" cm="1">
        <f t="array" ref="H2219">SUMPRODUCT(
    --(TEXT('[3]Global Weekly Stock (EWSuez'!$B$4:$B$2000,"mmm-yy")=TEXT(A2219,"mmm-yy")),
    '[3]Global Weekly Stock (EWSuez'!$E$4:$E$2000)
/
SUMPRODUCT(
    --(TEXT('[3]Global Weekly Stock (EWSuez'!$B$4:$B$2000,"mmm-yy")=TEXT(A2219,"mmm-yy"))
)</f>
        <v>13119.5</v>
      </c>
      <c r="I2219">
        <f>_xlfn.XLOOKUP(A2219,[1]ForwardDeriv!$D:$D,[1]ForwardDeriv!$AJ:$AJ)</f>
        <v>1.5799999999999983</v>
      </c>
      <c r="J2219" cm="1">
        <f t="array" ref="J2219">_xlfn.XLOOKUP(TEXT(A2219, "mmm-yy"), TEXT([2]GASOLINE!$B$5:$B$208, "mmm-yy"), [2]GASOLINE!$IR$5:$IR$208, "Not Found")</f>
        <v>-329.85703217356422</v>
      </c>
      <c r="K2219" cm="1">
        <f t="array" ref="K2219">_xlfn.XLOOKUP(TEXT(A2219, "mmm-yy"), TEXT([2]GASOLINE!$B$5:$B$208, "mmm-yy"), [2]GASOLINE!$IK$5:$IK$208, "Not Found")</f>
        <v>219.84765737179831</v>
      </c>
      <c r="L2219">
        <f t="shared" si="34"/>
        <v>1</v>
      </c>
      <c r="M2219" cm="1">
        <f t="array" ref="M2219">_xlfn.XLOOKUP(TEXT(A2219, "mmm-yy"), TEXT([2]GASOLINE!$B$5:$B$208, "mmm-yy"), [2]GASOLINE!$C$5:$C$208, "Not Found")</f>
        <v>7860.1225127291063</v>
      </c>
      <c r="N2219" cm="1">
        <f t="array" ref="N2219">_xlfn.XLOOKUP(TEXT(A2219, "mmm-yy"), TEXT([2]RUNS!$B$5:$B$208, "mmm-yy"), [2]RUNS!$BM$5:$BM$208, "Not Found")</f>
        <v>0.82068672155209998</v>
      </c>
    </row>
    <row r="2220" spans="1:14" x14ac:dyDescent="0.25">
      <c r="A2220" s="1">
        <f>'[1]Global_Spot Prices'!$B3529</f>
        <v>45111</v>
      </c>
      <c r="B2220">
        <f>_xlfn.XLOOKUP(A2220,'[1]Global_Spot Prices'!$B:$B,'[1]Global_Spot Prices'!$BS:$BS)</f>
        <v>9.0650000000000119</v>
      </c>
      <c r="C2220">
        <f>_xlfn.XLOOKUP(A2220,'[1]Global_Spot Prices'!$B:$B,'[1]Global_Spot Prices'!$E:$E)</f>
        <v>75.194999999999993</v>
      </c>
      <c r="D2220">
        <f>_xlfn.XLOOKUP(A2220,'[1]Global_Spot Prices'!$B:$B,'[1]Global_Spot Prices'!$D:$D)</f>
        <v>75.995000000000005</v>
      </c>
      <c r="E2220">
        <f>_xlfn.XLOOKUP(A2220,'[1]Global_Spot Prices'!$B:$B,'[1]Global_Spot Prices'!$H:$H)</f>
        <v>56.43</v>
      </c>
      <c r="F2220">
        <f>_xlfn.XLOOKUP(A2220,'[1]Global_Spot Prices'!$B:$B,'[1]Global_Spot Prices'!$I:$I)</f>
        <v>84.26</v>
      </c>
      <c r="G2220" cm="1">
        <f t="array" ref="G2220">_xlfn.XLOOKUP(TEXT(A2220, "mmm-yy"), TEXT([2]RUNS!$B$5:$B$208, "mmm-yy"), [2]RUNS!$D$5:$D$208, "Not Found")</f>
        <v>30396.512724174532</v>
      </c>
      <c r="H2220" cm="1">
        <f t="array" ref="H2220">SUMPRODUCT(
    --(TEXT('[3]Global Weekly Stock (EWSuez'!$B$4:$B$2000,"mmm-yy")=TEXT(A2220,"mmm-yy")),
    '[3]Global Weekly Stock (EWSuez'!$E$4:$E$2000)
/
SUMPRODUCT(
    --(TEXT('[3]Global Weekly Stock (EWSuez'!$B$4:$B$2000,"mmm-yy")=TEXT(A2220,"mmm-yy"))
)</f>
        <v>13119.5</v>
      </c>
      <c r="I2220">
        <f>_xlfn.XLOOKUP(A2220,[1]ForwardDeriv!$D:$D,[1]ForwardDeriv!$AJ:$AJ)</f>
        <v>1.4599999999999937</v>
      </c>
      <c r="J2220" cm="1">
        <f t="array" ref="J2220">_xlfn.XLOOKUP(TEXT(A2220, "mmm-yy"), TEXT([2]GASOLINE!$B$5:$B$208, "mmm-yy"), [2]GASOLINE!$IR$5:$IR$208, "Not Found")</f>
        <v>-329.85703217356422</v>
      </c>
      <c r="K2220" cm="1">
        <f t="array" ref="K2220">_xlfn.XLOOKUP(TEXT(A2220, "mmm-yy"), TEXT([2]GASOLINE!$B$5:$B$208, "mmm-yy"), [2]GASOLINE!$IK$5:$IK$208, "Not Found")</f>
        <v>219.84765737179831</v>
      </c>
      <c r="L2220">
        <f t="shared" si="34"/>
        <v>1</v>
      </c>
      <c r="M2220" cm="1">
        <f t="array" ref="M2220">_xlfn.XLOOKUP(TEXT(A2220, "mmm-yy"), TEXT([2]GASOLINE!$B$5:$B$208, "mmm-yy"), [2]GASOLINE!$C$5:$C$208, "Not Found")</f>
        <v>7860.1225127291063</v>
      </c>
      <c r="N2220" cm="1">
        <f t="array" ref="N2220">_xlfn.XLOOKUP(TEXT(A2220, "mmm-yy"), TEXT([2]RUNS!$B$5:$B$208, "mmm-yy"), [2]RUNS!$BM$5:$BM$208, "Not Found")</f>
        <v>0.82068672155209998</v>
      </c>
    </row>
    <row r="2221" spans="1:14" x14ac:dyDescent="0.25">
      <c r="A2221" s="1">
        <f>'[1]Global_Spot Prices'!$B3530</f>
        <v>45112</v>
      </c>
      <c r="B2221">
        <f>_xlfn.XLOOKUP(A2221,'[1]Global_Spot Prices'!$B:$B,'[1]Global_Spot Prices'!$BS:$BS)</f>
        <v>8.3299999999999983</v>
      </c>
      <c r="C2221">
        <f>_xlfn.XLOOKUP(A2221,'[1]Global_Spot Prices'!$B:$B,'[1]Global_Spot Prices'!$E:$E)</f>
        <v>75.430000000000007</v>
      </c>
      <c r="D2221">
        <f>_xlfn.XLOOKUP(A2221,'[1]Global_Spot Prices'!$B:$B,'[1]Global_Spot Prices'!$D:$D)</f>
        <v>76.855000000000004</v>
      </c>
      <c r="E2221">
        <f>_xlfn.XLOOKUP(A2221,'[1]Global_Spot Prices'!$B:$B,'[1]Global_Spot Prices'!$H:$H)</f>
        <v>56.31</v>
      </c>
      <c r="F2221">
        <f>_xlfn.XLOOKUP(A2221,'[1]Global_Spot Prices'!$B:$B,'[1]Global_Spot Prices'!$I:$I)</f>
        <v>83.76</v>
      </c>
      <c r="G2221" cm="1">
        <f t="array" ref="G2221">_xlfn.XLOOKUP(TEXT(A2221, "mmm-yy"), TEXT([2]RUNS!$B$5:$B$208, "mmm-yy"), [2]RUNS!$D$5:$D$208, "Not Found")</f>
        <v>30396.512724174532</v>
      </c>
      <c r="H2221" cm="1">
        <f t="array" ref="H2221">SUMPRODUCT(
    --(TEXT('[3]Global Weekly Stock (EWSuez'!$B$4:$B$2000,"mmm-yy")=TEXT(A2221,"mmm-yy")),
    '[3]Global Weekly Stock (EWSuez'!$E$4:$E$2000)
/
SUMPRODUCT(
    --(TEXT('[3]Global Weekly Stock (EWSuez'!$B$4:$B$2000,"mmm-yy")=TEXT(A2221,"mmm-yy"))
)</f>
        <v>13119.5</v>
      </c>
      <c r="I2221">
        <f>_xlfn.XLOOKUP(A2221,[1]ForwardDeriv!$D:$D,[1]ForwardDeriv!$AJ:$AJ)</f>
        <v>1.2800000000000011</v>
      </c>
      <c r="J2221" cm="1">
        <f t="array" ref="J2221">_xlfn.XLOOKUP(TEXT(A2221, "mmm-yy"), TEXT([2]GASOLINE!$B$5:$B$208, "mmm-yy"), [2]GASOLINE!$IR$5:$IR$208, "Not Found")</f>
        <v>-329.85703217356422</v>
      </c>
      <c r="K2221" cm="1">
        <f t="array" ref="K2221">_xlfn.XLOOKUP(TEXT(A2221, "mmm-yy"), TEXT([2]GASOLINE!$B$5:$B$208, "mmm-yy"), [2]GASOLINE!$IK$5:$IK$208, "Not Found")</f>
        <v>219.84765737179831</v>
      </c>
      <c r="L2221">
        <f t="shared" si="34"/>
        <v>1</v>
      </c>
      <c r="M2221" cm="1">
        <f t="array" ref="M2221">_xlfn.XLOOKUP(TEXT(A2221, "mmm-yy"), TEXT([2]GASOLINE!$B$5:$B$208, "mmm-yy"), [2]GASOLINE!$C$5:$C$208, "Not Found")</f>
        <v>7860.1225127291063</v>
      </c>
      <c r="N2221" cm="1">
        <f t="array" ref="N2221">_xlfn.XLOOKUP(TEXT(A2221, "mmm-yy"), TEXT([2]RUNS!$B$5:$B$208, "mmm-yy"), [2]RUNS!$BM$5:$BM$208, "Not Found")</f>
        <v>0.82068672155209998</v>
      </c>
    </row>
    <row r="2222" spans="1:14" x14ac:dyDescent="0.25">
      <c r="A2222" s="1">
        <f>'[1]Global_Spot Prices'!$B3531</f>
        <v>45113</v>
      </c>
      <c r="B2222">
        <f>_xlfn.XLOOKUP(A2222,'[1]Global_Spot Prices'!$B:$B,'[1]Global_Spot Prices'!$BS:$BS)</f>
        <v>7.960000000000008</v>
      </c>
      <c r="C2222">
        <f>_xlfn.XLOOKUP(A2222,'[1]Global_Spot Prices'!$B:$B,'[1]Global_Spot Prices'!$E:$E)</f>
        <v>77.3</v>
      </c>
      <c r="D2222">
        <f>_xlfn.XLOOKUP(A2222,'[1]Global_Spot Prices'!$B:$B,'[1]Global_Spot Prices'!$D:$D)</f>
        <v>75.584999999999994</v>
      </c>
      <c r="E2222">
        <f>_xlfn.XLOOKUP(A2222,'[1]Global_Spot Prices'!$B:$B,'[1]Global_Spot Prices'!$H:$H)</f>
        <v>57.95</v>
      </c>
      <c r="F2222">
        <f>_xlfn.XLOOKUP(A2222,'[1]Global_Spot Prices'!$B:$B,'[1]Global_Spot Prices'!$I:$I)</f>
        <v>85.26</v>
      </c>
      <c r="G2222" cm="1">
        <f t="array" ref="G2222">_xlfn.XLOOKUP(TEXT(A2222, "mmm-yy"), TEXT([2]RUNS!$B$5:$B$208, "mmm-yy"), [2]RUNS!$D$5:$D$208, "Not Found")</f>
        <v>30396.512724174532</v>
      </c>
      <c r="H2222" cm="1">
        <f t="array" ref="H2222">SUMPRODUCT(
    --(TEXT('[3]Global Weekly Stock (EWSuez'!$B$4:$B$2000,"mmm-yy")=TEXT(A2222,"mmm-yy")),
    '[3]Global Weekly Stock (EWSuez'!$E$4:$E$2000)
/
SUMPRODUCT(
    --(TEXT('[3]Global Weekly Stock (EWSuez'!$B$4:$B$2000,"mmm-yy")=TEXT(A2222,"mmm-yy"))
)</f>
        <v>13119.5</v>
      </c>
      <c r="I2222">
        <f>_xlfn.XLOOKUP(A2222,[1]ForwardDeriv!$D:$D,[1]ForwardDeriv!$AJ:$AJ)</f>
        <v>1.3700000000000045</v>
      </c>
      <c r="J2222" cm="1">
        <f t="array" ref="J2222">_xlfn.XLOOKUP(TEXT(A2222, "mmm-yy"), TEXT([2]GASOLINE!$B$5:$B$208, "mmm-yy"), [2]GASOLINE!$IR$5:$IR$208, "Not Found")</f>
        <v>-329.85703217356422</v>
      </c>
      <c r="K2222" cm="1">
        <f t="array" ref="K2222">_xlfn.XLOOKUP(TEXT(A2222, "mmm-yy"), TEXT([2]GASOLINE!$B$5:$B$208, "mmm-yy"), [2]GASOLINE!$IK$5:$IK$208, "Not Found")</f>
        <v>219.84765737179831</v>
      </c>
      <c r="L2222">
        <f t="shared" si="34"/>
        <v>1</v>
      </c>
      <c r="M2222" cm="1">
        <f t="array" ref="M2222">_xlfn.XLOOKUP(TEXT(A2222, "mmm-yy"), TEXT([2]GASOLINE!$B$5:$B$208, "mmm-yy"), [2]GASOLINE!$C$5:$C$208, "Not Found")</f>
        <v>7860.1225127291063</v>
      </c>
      <c r="N2222" cm="1">
        <f t="array" ref="N2222">_xlfn.XLOOKUP(TEXT(A2222, "mmm-yy"), TEXT([2]RUNS!$B$5:$B$208, "mmm-yy"), [2]RUNS!$BM$5:$BM$208, "Not Found")</f>
        <v>0.82068672155209998</v>
      </c>
    </row>
    <row r="2223" spans="1:14" x14ac:dyDescent="0.25">
      <c r="A2223" s="1">
        <f>'[1]Global_Spot Prices'!$B3532</f>
        <v>45114</v>
      </c>
      <c r="B2223">
        <f>_xlfn.XLOOKUP(A2223,'[1]Global_Spot Prices'!$B:$B,'[1]Global_Spot Prices'!$BS:$BS)</f>
        <v>9.7199999999999989</v>
      </c>
      <c r="C2223">
        <f>_xlfn.XLOOKUP(A2223,'[1]Global_Spot Prices'!$B:$B,'[1]Global_Spot Prices'!$E:$E)</f>
        <v>77.849999999999994</v>
      </c>
      <c r="D2223">
        <f>_xlfn.XLOOKUP(A2223,'[1]Global_Spot Prices'!$B:$B,'[1]Global_Spot Prices'!$D:$D)</f>
        <v>77.94</v>
      </c>
      <c r="E2223">
        <f>_xlfn.XLOOKUP(A2223,'[1]Global_Spot Prices'!$B:$B,'[1]Global_Spot Prices'!$H:$H)</f>
        <v>58.7</v>
      </c>
      <c r="F2223">
        <f>_xlfn.XLOOKUP(A2223,'[1]Global_Spot Prices'!$B:$B,'[1]Global_Spot Prices'!$I:$I)</f>
        <v>87.57</v>
      </c>
      <c r="G2223" cm="1">
        <f t="array" ref="G2223">_xlfn.XLOOKUP(TEXT(A2223, "mmm-yy"), TEXT([2]RUNS!$B$5:$B$208, "mmm-yy"), [2]RUNS!$D$5:$D$208, "Not Found")</f>
        <v>30396.512724174532</v>
      </c>
      <c r="H2223" cm="1">
        <f t="array" ref="H2223">SUMPRODUCT(
    --(TEXT('[3]Global Weekly Stock (EWSuez'!$B$4:$B$2000,"mmm-yy")=TEXT(A2223,"mmm-yy")),
    '[3]Global Weekly Stock (EWSuez'!$E$4:$E$2000)
/
SUMPRODUCT(
    --(TEXT('[3]Global Weekly Stock (EWSuez'!$B$4:$B$2000,"mmm-yy")=TEXT(A2223,"mmm-yy"))
)</f>
        <v>13119.5</v>
      </c>
      <c r="I2223">
        <f>_xlfn.XLOOKUP(A2223,[1]ForwardDeriv!$D:$D,[1]ForwardDeriv!$AJ:$AJ)</f>
        <v>1.6299999999999955</v>
      </c>
      <c r="J2223" cm="1">
        <f t="array" ref="J2223">_xlfn.XLOOKUP(TEXT(A2223, "mmm-yy"), TEXT([2]GASOLINE!$B$5:$B$208, "mmm-yy"), [2]GASOLINE!$IR$5:$IR$208, "Not Found")</f>
        <v>-329.85703217356422</v>
      </c>
      <c r="K2223" cm="1">
        <f t="array" ref="K2223">_xlfn.XLOOKUP(TEXT(A2223, "mmm-yy"), TEXT([2]GASOLINE!$B$5:$B$208, "mmm-yy"), [2]GASOLINE!$IK$5:$IK$208, "Not Found")</f>
        <v>219.84765737179831</v>
      </c>
      <c r="L2223">
        <f t="shared" si="34"/>
        <v>1</v>
      </c>
      <c r="M2223" cm="1">
        <f t="array" ref="M2223">_xlfn.XLOOKUP(TEXT(A2223, "mmm-yy"), TEXT([2]GASOLINE!$B$5:$B$208, "mmm-yy"), [2]GASOLINE!$C$5:$C$208, "Not Found")</f>
        <v>7860.1225127291063</v>
      </c>
      <c r="N2223" cm="1">
        <f t="array" ref="N2223">_xlfn.XLOOKUP(TEXT(A2223, "mmm-yy"), TEXT([2]RUNS!$B$5:$B$208, "mmm-yy"), [2]RUNS!$BM$5:$BM$208, "Not Found")</f>
        <v>0.82068672155209998</v>
      </c>
    </row>
    <row r="2224" spans="1:14" x14ac:dyDescent="0.25">
      <c r="A2224" s="1">
        <f>'[1]Global_Spot Prices'!$B3533</f>
        <v>45117</v>
      </c>
      <c r="B2224">
        <f>_xlfn.XLOOKUP(A2224,'[1]Global_Spot Prices'!$B:$B,'[1]Global_Spot Prices'!$BS:$BS)</f>
        <v>9.1200000000000045</v>
      </c>
      <c r="C2224">
        <f>_xlfn.XLOOKUP(A2224,'[1]Global_Spot Prices'!$B:$B,'[1]Global_Spot Prices'!$E:$E)</f>
        <v>78.27</v>
      </c>
      <c r="D2224">
        <f>_xlfn.XLOOKUP(A2224,'[1]Global_Spot Prices'!$B:$B,'[1]Global_Spot Prices'!$D:$D)</f>
        <v>78.790000000000006</v>
      </c>
      <c r="E2224">
        <f>_xlfn.XLOOKUP(A2224,'[1]Global_Spot Prices'!$B:$B,'[1]Global_Spot Prices'!$H:$H)</f>
        <v>60.19</v>
      </c>
      <c r="F2224">
        <f>_xlfn.XLOOKUP(A2224,'[1]Global_Spot Prices'!$B:$B,'[1]Global_Spot Prices'!$I:$I)</f>
        <v>87.39</v>
      </c>
      <c r="G2224" cm="1">
        <f t="array" ref="G2224">_xlfn.XLOOKUP(TEXT(A2224, "mmm-yy"), TEXT([2]RUNS!$B$5:$B$208, "mmm-yy"), [2]RUNS!$D$5:$D$208, "Not Found")</f>
        <v>30396.512724174532</v>
      </c>
      <c r="H2224" cm="1">
        <f t="array" ref="H2224">SUMPRODUCT(
    --(TEXT('[3]Global Weekly Stock (EWSuez'!$B$4:$B$2000,"mmm-yy")=TEXT(A2224,"mmm-yy")),
    '[3]Global Weekly Stock (EWSuez'!$E$4:$E$2000)
/
SUMPRODUCT(
    --(TEXT('[3]Global Weekly Stock (EWSuez'!$B$4:$B$2000,"mmm-yy")=TEXT(A2224,"mmm-yy"))
)</f>
        <v>13119.5</v>
      </c>
      <c r="I2224">
        <f>_xlfn.XLOOKUP(A2224,[1]ForwardDeriv!$D:$D,[1]ForwardDeriv!$AJ:$AJ)</f>
        <v>1.6000000000000085</v>
      </c>
      <c r="J2224" cm="1">
        <f t="array" ref="J2224">_xlfn.XLOOKUP(TEXT(A2224, "mmm-yy"), TEXT([2]GASOLINE!$B$5:$B$208, "mmm-yy"), [2]GASOLINE!$IR$5:$IR$208, "Not Found")</f>
        <v>-329.85703217356422</v>
      </c>
      <c r="K2224" cm="1">
        <f t="array" ref="K2224">_xlfn.XLOOKUP(TEXT(A2224, "mmm-yy"), TEXT([2]GASOLINE!$B$5:$B$208, "mmm-yy"), [2]GASOLINE!$IK$5:$IK$208, "Not Found")</f>
        <v>219.84765737179831</v>
      </c>
      <c r="L2224">
        <f t="shared" si="34"/>
        <v>1</v>
      </c>
      <c r="M2224" cm="1">
        <f t="array" ref="M2224">_xlfn.XLOOKUP(TEXT(A2224, "mmm-yy"), TEXT([2]GASOLINE!$B$5:$B$208, "mmm-yy"), [2]GASOLINE!$C$5:$C$208, "Not Found")</f>
        <v>7860.1225127291063</v>
      </c>
      <c r="N2224" cm="1">
        <f t="array" ref="N2224">_xlfn.XLOOKUP(TEXT(A2224, "mmm-yy"), TEXT([2]RUNS!$B$5:$B$208, "mmm-yy"), [2]RUNS!$BM$5:$BM$208, "Not Found")</f>
        <v>0.82068672155209998</v>
      </c>
    </row>
    <row r="2225" spans="1:14" x14ac:dyDescent="0.25">
      <c r="A2225" s="1">
        <f>'[1]Global_Spot Prices'!$B3534</f>
        <v>45118</v>
      </c>
      <c r="B2225">
        <f>_xlfn.XLOOKUP(A2225,'[1]Global_Spot Prices'!$B:$B,'[1]Global_Spot Prices'!$BS:$BS)</f>
        <v>10.600000000000009</v>
      </c>
      <c r="C2225">
        <f>_xlfn.XLOOKUP(A2225,'[1]Global_Spot Prices'!$B:$B,'[1]Global_Spot Prices'!$E:$E)</f>
        <v>78.8</v>
      </c>
      <c r="D2225">
        <f>_xlfn.XLOOKUP(A2225,'[1]Global_Spot Prices'!$B:$B,'[1]Global_Spot Prices'!$D:$D)</f>
        <v>79.53</v>
      </c>
      <c r="E2225">
        <f>_xlfn.XLOOKUP(A2225,'[1]Global_Spot Prices'!$B:$B,'[1]Global_Spot Prices'!$H:$H)</f>
        <v>61.24</v>
      </c>
      <c r="F2225">
        <f>_xlfn.XLOOKUP(A2225,'[1]Global_Spot Prices'!$B:$B,'[1]Global_Spot Prices'!$I:$I)</f>
        <v>89.4</v>
      </c>
      <c r="G2225" cm="1">
        <f t="array" ref="G2225">_xlfn.XLOOKUP(TEXT(A2225, "mmm-yy"), TEXT([2]RUNS!$B$5:$B$208, "mmm-yy"), [2]RUNS!$D$5:$D$208, "Not Found")</f>
        <v>30396.512724174532</v>
      </c>
      <c r="H2225" cm="1">
        <f t="array" ref="H2225">SUMPRODUCT(
    --(TEXT('[3]Global Weekly Stock (EWSuez'!$B$4:$B$2000,"mmm-yy")=TEXT(A2225,"mmm-yy")),
    '[3]Global Weekly Stock (EWSuez'!$E$4:$E$2000)
/
SUMPRODUCT(
    --(TEXT('[3]Global Weekly Stock (EWSuez'!$B$4:$B$2000,"mmm-yy")=TEXT(A2225,"mmm-yy"))
)</f>
        <v>13119.5</v>
      </c>
      <c r="I2225">
        <f>_xlfn.XLOOKUP(A2225,[1]ForwardDeriv!$D:$D,[1]ForwardDeriv!$AJ:$AJ)</f>
        <v>1.75</v>
      </c>
      <c r="J2225" cm="1">
        <f t="array" ref="J2225">_xlfn.XLOOKUP(TEXT(A2225, "mmm-yy"), TEXT([2]GASOLINE!$B$5:$B$208, "mmm-yy"), [2]GASOLINE!$IR$5:$IR$208, "Not Found")</f>
        <v>-329.85703217356422</v>
      </c>
      <c r="K2225" cm="1">
        <f t="array" ref="K2225">_xlfn.XLOOKUP(TEXT(A2225, "mmm-yy"), TEXT([2]GASOLINE!$B$5:$B$208, "mmm-yy"), [2]GASOLINE!$IK$5:$IK$208, "Not Found")</f>
        <v>219.84765737179831</v>
      </c>
      <c r="L2225">
        <f t="shared" si="34"/>
        <v>1</v>
      </c>
      <c r="M2225" cm="1">
        <f t="array" ref="M2225">_xlfn.XLOOKUP(TEXT(A2225, "mmm-yy"), TEXT([2]GASOLINE!$B$5:$B$208, "mmm-yy"), [2]GASOLINE!$C$5:$C$208, "Not Found")</f>
        <v>7860.1225127291063</v>
      </c>
      <c r="N2225" cm="1">
        <f t="array" ref="N2225">_xlfn.XLOOKUP(TEXT(A2225, "mmm-yy"), TEXT([2]RUNS!$B$5:$B$208, "mmm-yy"), [2]RUNS!$BM$5:$BM$208, "Not Found")</f>
        <v>0.82068672155209998</v>
      </c>
    </row>
    <row r="2226" spans="1:14" x14ac:dyDescent="0.25">
      <c r="A2226" s="1">
        <f>'[1]Global_Spot Prices'!$B3535</f>
        <v>45119</v>
      </c>
      <c r="B2226">
        <f>_xlfn.XLOOKUP(A2226,'[1]Global_Spot Prices'!$B:$B,'[1]Global_Spot Prices'!$BS:$BS)</f>
        <v>11.11</v>
      </c>
      <c r="C2226">
        <f>_xlfn.XLOOKUP(A2226,'[1]Global_Spot Prices'!$B:$B,'[1]Global_Spot Prices'!$E:$E)</f>
        <v>79.900000000000006</v>
      </c>
      <c r="D2226">
        <f>_xlfn.XLOOKUP(A2226,'[1]Global_Spot Prices'!$B:$B,'[1]Global_Spot Prices'!$D:$D)</f>
        <v>80.25</v>
      </c>
      <c r="E2226">
        <f>_xlfn.XLOOKUP(A2226,'[1]Global_Spot Prices'!$B:$B,'[1]Global_Spot Prices'!$H:$H)</f>
        <v>61.8</v>
      </c>
      <c r="F2226">
        <f>_xlfn.XLOOKUP(A2226,'[1]Global_Spot Prices'!$B:$B,'[1]Global_Spot Prices'!$I:$I)</f>
        <v>91.01</v>
      </c>
      <c r="G2226" cm="1">
        <f t="array" ref="G2226">_xlfn.XLOOKUP(TEXT(A2226, "mmm-yy"), TEXT([2]RUNS!$B$5:$B$208, "mmm-yy"), [2]RUNS!$D$5:$D$208, "Not Found")</f>
        <v>30396.512724174532</v>
      </c>
      <c r="H2226" cm="1">
        <f t="array" ref="H2226">SUMPRODUCT(
    --(TEXT('[3]Global Weekly Stock (EWSuez'!$B$4:$B$2000,"mmm-yy")=TEXT(A2226,"mmm-yy")),
    '[3]Global Weekly Stock (EWSuez'!$E$4:$E$2000)
/
SUMPRODUCT(
    --(TEXT('[3]Global Weekly Stock (EWSuez'!$B$4:$B$2000,"mmm-yy")=TEXT(A2226,"mmm-yy"))
)</f>
        <v>13119.5</v>
      </c>
      <c r="I2226">
        <f>_xlfn.XLOOKUP(A2226,[1]ForwardDeriv!$D:$D,[1]ForwardDeriv!$AJ:$AJ)</f>
        <v>1.8599999999999994</v>
      </c>
      <c r="J2226" cm="1">
        <f t="array" ref="J2226">_xlfn.XLOOKUP(TEXT(A2226, "mmm-yy"), TEXT([2]GASOLINE!$B$5:$B$208, "mmm-yy"), [2]GASOLINE!$IR$5:$IR$208, "Not Found")</f>
        <v>-329.85703217356422</v>
      </c>
      <c r="K2226" cm="1">
        <f t="array" ref="K2226">_xlfn.XLOOKUP(TEXT(A2226, "mmm-yy"), TEXT([2]GASOLINE!$B$5:$B$208, "mmm-yy"), [2]GASOLINE!$IK$5:$IK$208, "Not Found")</f>
        <v>219.84765737179831</v>
      </c>
      <c r="L2226">
        <f t="shared" si="34"/>
        <v>1</v>
      </c>
      <c r="M2226" cm="1">
        <f t="array" ref="M2226">_xlfn.XLOOKUP(TEXT(A2226, "mmm-yy"), TEXT([2]GASOLINE!$B$5:$B$208, "mmm-yy"), [2]GASOLINE!$C$5:$C$208, "Not Found")</f>
        <v>7860.1225127291063</v>
      </c>
      <c r="N2226" cm="1">
        <f t="array" ref="N2226">_xlfn.XLOOKUP(TEXT(A2226, "mmm-yy"), TEXT([2]RUNS!$B$5:$B$208, "mmm-yy"), [2]RUNS!$BM$5:$BM$208, "Not Found")</f>
        <v>0.82068672155209998</v>
      </c>
    </row>
    <row r="2227" spans="1:14" x14ac:dyDescent="0.25">
      <c r="A2227" s="1">
        <f>'[1]Global_Spot Prices'!$B3536</f>
        <v>45120</v>
      </c>
      <c r="B2227">
        <f>_xlfn.XLOOKUP(A2227,'[1]Global_Spot Prices'!$B:$B,'[1]Global_Spot Prices'!$BS:$BS)</f>
        <v>11.670000000000002</v>
      </c>
      <c r="C2227">
        <f>_xlfn.XLOOKUP(A2227,'[1]Global_Spot Prices'!$B:$B,'[1]Global_Spot Prices'!$E:$E)</f>
        <v>81.099999999999994</v>
      </c>
      <c r="D2227">
        <f>_xlfn.XLOOKUP(A2227,'[1]Global_Spot Prices'!$B:$B,'[1]Global_Spot Prices'!$D:$D)</f>
        <v>80.37</v>
      </c>
      <c r="E2227">
        <f>_xlfn.XLOOKUP(A2227,'[1]Global_Spot Prices'!$B:$B,'[1]Global_Spot Prices'!$H:$H)</f>
        <v>62.83</v>
      </c>
      <c r="F2227">
        <f>_xlfn.XLOOKUP(A2227,'[1]Global_Spot Prices'!$B:$B,'[1]Global_Spot Prices'!$I:$I)</f>
        <v>92.77</v>
      </c>
      <c r="G2227" cm="1">
        <f t="array" ref="G2227">_xlfn.XLOOKUP(TEXT(A2227, "mmm-yy"), TEXT([2]RUNS!$B$5:$B$208, "mmm-yy"), [2]RUNS!$D$5:$D$208, "Not Found")</f>
        <v>30396.512724174532</v>
      </c>
      <c r="H2227" cm="1">
        <f t="array" ref="H2227">SUMPRODUCT(
    --(TEXT('[3]Global Weekly Stock (EWSuez'!$B$4:$B$2000,"mmm-yy")=TEXT(A2227,"mmm-yy")),
    '[3]Global Weekly Stock (EWSuez'!$E$4:$E$2000)
/
SUMPRODUCT(
    --(TEXT('[3]Global Weekly Stock (EWSuez'!$B$4:$B$2000,"mmm-yy")=TEXT(A2227,"mmm-yy"))
)</f>
        <v>13119.5</v>
      </c>
      <c r="I2227">
        <f>_xlfn.XLOOKUP(A2227,[1]ForwardDeriv!$D:$D,[1]ForwardDeriv!$AJ:$AJ)</f>
        <v>1.9899999999999949</v>
      </c>
      <c r="J2227" cm="1">
        <f t="array" ref="J2227">_xlfn.XLOOKUP(TEXT(A2227, "mmm-yy"), TEXT([2]GASOLINE!$B$5:$B$208, "mmm-yy"), [2]GASOLINE!$IR$5:$IR$208, "Not Found")</f>
        <v>-329.85703217356422</v>
      </c>
      <c r="K2227" cm="1">
        <f t="array" ref="K2227">_xlfn.XLOOKUP(TEXT(A2227, "mmm-yy"), TEXT([2]GASOLINE!$B$5:$B$208, "mmm-yy"), [2]GASOLINE!$IK$5:$IK$208, "Not Found")</f>
        <v>219.84765737179831</v>
      </c>
      <c r="L2227">
        <f t="shared" si="34"/>
        <v>1</v>
      </c>
      <c r="M2227" cm="1">
        <f t="array" ref="M2227">_xlfn.XLOOKUP(TEXT(A2227, "mmm-yy"), TEXT([2]GASOLINE!$B$5:$B$208, "mmm-yy"), [2]GASOLINE!$C$5:$C$208, "Not Found")</f>
        <v>7860.1225127291063</v>
      </c>
      <c r="N2227" cm="1">
        <f t="array" ref="N2227">_xlfn.XLOOKUP(TEXT(A2227, "mmm-yy"), TEXT([2]RUNS!$B$5:$B$208, "mmm-yy"), [2]RUNS!$BM$5:$BM$208, "Not Found")</f>
        <v>0.82068672155209998</v>
      </c>
    </row>
    <row r="2228" spans="1:14" x14ac:dyDescent="0.25">
      <c r="A2228" s="1">
        <f>'[1]Global_Spot Prices'!$B3537</f>
        <v>45121</v>
      </c>
      <c r="B2228">
        <f>_xlfn.XLOOKUP(A2228,'[1]Global_Spot Prices'!$B:$B,'[1]Global_Spot Prices'!$BS:$BS)</f>
        <v>11.909999999999997</v>
      </c>
      <c r="C2228">
        <f>_xlfn.XLOOKUP(A2228,'[1]Global_Spot Prices'!$B:$B,'[1]Global_Spot Prices'!$E:$E)</f>
        <v>81.94</v>
      </c>
      <c r="D2228">
        <f>_xlfn.XLOOKUP(A2228,'[1]Global_Spot Prices'!$B:$B,'[1]Global_Spot Prices'!$D:$D)</f>
        <v>79.795000000000002</v>
      </c>
      <c r="E2228">
        <f>_xlfn.XLOOKUP(A2228,'[1]Global_Spot Prices'!$B:$B,'[1]Global_Spot Prices'!$H:$H)</f>
        <v>64.069999999999993</v>
      </c>
      <c r="F2228">
        <f>_xlfn.XLOOKUP(A2228,'[1]Global_Spot Prices'!$B:$B,'[1]Global_Spot Prices'!$I:$I)</f>
        <v>93.85</v>
      </c>
      <c r="G2228" cm="1">
        <f t="array" ref="G2228">_xlfn.XLOOKUP(TEXT(A2228, "mmm-yy"), TEXT([2]RUNS!$B$5:$B$208, "mmm-yy"), [2]RUNS!$D$5:$D$208, "Not Found")</f>
        <v>30396.512724174532</v>
      </c>
      <c r="H2228" cm="1">
        <f t="array" ref="H2228">SUMPRODUCT(
    --(TEXT('[3]Global Weekly Stock (EWSuez'!$B$4:$B$2000,"mmm-yy")=TEXT(A2228,"mmm-yy")),
    '[3]Global Weekly Stock (EWSuez'!$E$4:$E$2000)
/
SUMPRODUCT(
    --(TEXT('[3]Global Weekly Stock (EWSuez'!$B$4:$B$2000,"mmm-yy")=TEXT(A2228,"mmm-yy"))
)</f>
        <v>13119.5</v>
      </c>
      <c r="I2228">
        <f>_xlfn.XLOOKUP(A2228,[1]ForwardDeriv!$D:$D,[1]ForwardDeriv!$AJ:$AJ)</f>
        <v>2.1899999999999977</v>
      </c>
      <c r="J2228" cm="1">
        <f t="array" ref="J2228">_xlfn.XLOOKUP(TEXT(A2228, "mmm-yy"), TEXT([2]GASOLINE!$B$5:$B$208, "mmm-yy"), [2]GASOLINE!$IR$5:$IR$208, "Not Found")</f>
        <v>-329.85703217356422</v>
      </c>
      <c r="K2228" cm="1">
        <f t="array" ref="K2228">_xlfn.XLOOKUP(TEXT(A2228, "mmm-yy"), TEXT([2]GASOLINE!$B$5:$B$208, "mmm-yy"), [2]GASOLINE!$IK$5:$IK$208, "Not Found")</f>
        <v>219.84765737179831</v>
      </c>
      <c r="L2228">
        <f t="shared" si="34"/>
        <v>1</v>
      </c>
      <c r="M2228" cm="1">
        <f t="array" ref="M2228">_xlfn.XLOOKUP(TEXT(A2228, "mmm-yy"), TEXT([2]GASOLINE!$B$5:$B$208, "mmm-yy"), [2]GASOLINE!$C$5:$C$208, "Not Found")</f>
        <v>7860.1225127291063</v>
      </c>
      <c r="N2228" cm="1">
        <f t="array" ref="N2228">_xlfn.XLOOKUP(TEXT(A2228, "mmm-yy"), TEXT([2]RUNS!$B$5:$B$208, "mmm-yy"), [2]RUNS!$BM$5:$BM$208, "Not Found")</f>
        <v>0.82068672155209998</v>
      </c>
    </row>
    <row r="2229" spans="1:14" x14ac:dyDescent="0.25">
      <c r="A2229" s="1">
        <f>'[1]Global_Spot Prices'!$B3538</f>
        <v>45124</v>
      </c>
      <c r="B2229">
        <f>_xlfn.XLOOKUP(A2229,'[1]Global_Spot Prices'!$B:$B,'[1]Global_Spot Prices'!$BS:$BS)</f>
        <v>13.14</v>
      </c>
      <c r="C2229">
        <f>_xlfn.XLOOKUP(A2229,'[1]Global_Spot Prices'!$B:$B,'[1]Global_Spot Prices'!$E:$E)</f>
        <v>79.459999999999994</v>
      </c>
      <c r="D2229">
        <f>_xlfn.XLOOKUP(A2229,'[1]Global_Spot Prices'!$B:$B,'[1]Global_Spot Prices'!$D:$D)</f>
        <v>78.635000000000005</v>
      </c>
      <c r="E2229">
        <f>_xlfn.XLOOKUP(A2229,'[1]Global_Spot Prices'!$B:$B,'[1]Global_Spot Prices'!$H:$H)</f>
        <v>61.12</v>
      </c>
      <c r="F2229">
        <f>_xlfn.XLOOKUP(A2229,'[1]Global_Spot Prices'!$B:$B,'[1]Global_Spot Prices'!$I:$I)</f>
        <v>92.6</v>
      </c>
      <c r="G2229" cm="1">
        <f t="array" ref="G2229">_xlfn.XLOOKUP(TEXT(A2229, "mmm-yy"), TEXT([2]RUNS!$B$5:$B$208, "mmm-yy"), [2]RUNS!$D$5:$D$208, "Not Found")</f>
        <v>30396.512724174532</v>
      </c>
      <c r="H2229" cm="1">
        <f t="array" ref="H2229">SUMPRODUCT(
    --(TEXT('[3]Global Weekly Stock (EWSuez'!$B$4:$B$2000,"mmm-yy")=TEXT(A2229,"mmm-yy")),
    '[3]Global Weekly Stock (EWSuez'!$E$4:$E$2000)
/
SUMPRODUCT(
    --(TEXT('[3]Global Weekly Stock (EWSuez'!$B$4:$B$2000,"mmm-yy")=TEXT(A2229,"mmm-yy"))
)</f>
        <v>13119.5</v>
      </c>
      <c r="I2229">
        <f>_xlfn.XLOOKUP(A2229,[1]ForwardDeriv!$D:$D,[1]ForwardDeriv!$AJ:$AJ)</f>
        <v>2.3699999999999903</v>
      </c>
      <c r="J2229" cm="1">
        <f t="array" ref="J2229">_xlfn.XLOOKUP(TEXT(A2229, "mmm-yy"), TEXT([2]GASOLINE!$B$5:$B$208, "mmm-yy"), [2]GASOLINE!$IR$5:$IR$208, "Not Found")</f>
        <v>-329.85703217356422</v>
      </c>
      <c r="K2229" cm="1">
        <f t="array" ref="K2229">_xlfn.XLOOKUP(TEXT(A2229, "mmm-yy"), TEXT([2]GASOLINE!$B$5:$B$208, "mmm-yy"), [2]GASOLINE!$IK$5:$IK$208, "Not Found")</f>
        <v>219.84765737179831</v>
      </c>
      <c r="L2229">
        <f t="shared" si="34"/>
        <v>1</v>
      </c>
      <c r="M2229" cm="1">
        <f t="array" ref="M2229">_xlfn.XLOOKUP(TEXT(A2229, "mmm-yy"), TEXT([2]GASOLINE!$B$5:$B$208, "mmm-yy"), [2]GASOLINE!$C$5:$C$208, "Not Found")</f>
        <v>7860.1225127291063</v>
      </c>
      <c r="N2229" cm="1">
        <f t="array" ref="N2229">_xlfn.XLOOKUP(TEXT(A2229, "mmm-yy"), TEXT([2]RUNS!$B$5:$B$208, "mmm-yy"), [2]RUNS!$BM$5:$BM$208, "Not Found")</f>
        <v>0.82068672155209998</v>
      </c>
    </row>
    <row r="2230" spans="1:14" x14ac:dyDescent="0.25">
      <c r="A2230" s="1">
        <f>'[1]Global_Spot Prices'!$B3539</f>
        <v>45125</v>
      </c>
      <c r="B2230">
        <f>_xlfn.XLOOKUP(A2230,'[1]Global_Spot Prices'!$B:$B,'[1]Global_Spot Prices'!$BS:$BS)</f>
        <v>14.800000000000011</v>
      </c>
      <c r="C2230">
        <f>_xlfn.XLOOKUP(A2230,'[1]Global_Spot Prices'!$B:$B,'[1]Global_Spot Prices'!$E:$E)</f>
        <v>79.599999999999994</v>
      </c>
      <c r="D2230">
        <f>_xlfn.XLOOKUP(A2230,'[1]Global_Spot Prices'!$B:$B,'[1]Global_Spot Prices'!$D:$D)</f>
        <v>79.41</v>
      </c>
      <c r="E2230">
        <f>_xlfn.XLOOKUP(A2230,'[1]Global_Spot Prices'!$B:$B,'[1]Global_Spot Prices'!$H:$H)</f>
        <v>60.03</v>
      </c>
      <c r="F2230">
        <f>_xlfn.XLOOKUP(A2230,'[1]Global_Spot Prices'!$B:$B,'[1]Global_Spot Prices'!$I:$I)</f>
        <v>94.4</v>
      </c>
      <c r="G2230" cm="1">
        <f t="array" ref="G2230">_xlfn.XLOOKUP(TEXT(A2230, "mmm-yy"), TEXT([2]RUNS!$B$5:$B$208, "mmm-yy"), [2]RUNS!$D$5:$D$208, "Not Found")</f>
        <v>30396.512724174532</v>
      </c>
      <c r="H2230" cm="1">
        <f t="array" ref="H2230">SUMPRODUCT(
    --(TEXT('[3]Global Weekly Stock (EWSuez'!$B$4:$B$2000,"mmm-yy")=TEXT(A2230,"mmm-yy")),
    '[3]Global Weekly Stock (EWSuez'!$E$4:$E$2000)
/
SUMPRODUCT(
    --(TEXT('[3]Global Weekly Stock (EWSuez'!$B$4:$B$2000,"mmm-yy")=TEXT(A2230,"mmm-yy"))
)</f>
        <v>13119.5</v>
      </c>
      <c r="I2230">
        <f>_xlfn.XLOOKUP(A2230,[1]ForwardDeriv!$D:$D,[1]ForwardDeriv!$AJ:$AJ)</f>
        <v>2.8799999999999955</v>
      </c>
      <c r="J2230" cm="1">
        <f t="array" ref="J2230">_xlfn.XLOOKUP(TEXT(A2230, "mmm-yy"), TEXT([2]GASOLINE!$B$5:$B$208, "mmm-yy"), [2]GASOLINE!$IR$5:$IR$208, "Not Found")</f>
        <v>-329.85703217356422</v>
      </c>
      <c r="K2230" cm="1">
        <f t="array" ref="K2230">_xlfn.XLOOKUP(TEXT(A2230, "mmm-yy"), TEXT([2]GASOLINE!$B$5:$B$208, "mmm-yy"), [2]GASOLINE!$IK$5:$IK$208, "Not Found")</f>
        <v>219.84765737179831</v>
      </c>
      <c r="L2230">
        <f t="shared" si="34"/>
        <v>1</v>
      </c>
      <c r="M2230" cm="1">
        <f t="array" ref="M2230">_xlfn.XLOOKUP(TEXT(A2230, "mmm-yy"), TEXT([2]GASOLINE!$B$5:$B$208, "mmm-yy"), [2]GASOLINE!$C$5:$C$208, "Not Found")</f>
        <v>7860.1225127291063</v>
      </c>
      <c r="N2230" cm="1">
        <f t="array" ref="N2230">_xlfn.XLOOKUP(TEXT(A2230, "mmm-yy"), TEXT([2]RUNS!$B$5:$B$208, "mmm-yy"), [2]RUNS!$BM$5:$BM$208, "Not Found")</f>
        <v>0.82068672155209998</v>
      </c>
    </row>
    <row r="2231" spans="1:14" x14ac:dyDescent="0.25">
      <c r="A2231" s="1">
        <f>'[1]Global_Spot Prices'!$B3540</f>
        <v>45126</v>
      </c>
      <c r="B2231">
        <f>_xlfn.XLOOKUP(A2231,'[1]Global_Spot Prices'!$B:$B,'[1]Global_Spot Prices'!$BS:$BS)</f>
        <v>13.480000000000004</v>
      </c>
      <c r="C2231">
        <f>_xlfn.XLOOKUP(A2231,'[1]Global_Spot Prices'!$B:$B,'[1]Global_Spot Prices'!$E:$E)</f>
        <v>81</v>
      </c>
      <c r="D2231">
        <f>_xlfn.XLOOKUP(A2231,'[1]Global_Spot Prices'!$B:$B,'[1]Global_Spot Prices'!$D:$D)</f>
        <v>80.209999999999994</v>
      </c>
      <c r="E2231">
        <f>_xlfn.XLOOKUP(A2231,'[1]Global_Spot Prices'!$B:$B,'[1]Global_Spot Prices'!$H:$H)</f>
        <v>62.15</v>
      </c>
      <c r="F2231">
        <f>_xlfn.XLOOKUP(A2231,'[1]Global_Spot Prices'!$B:$B,'[1]Global_Spot Prices'!$I:$I)</f>
        <v>94.48</v>
      </c>
      <c r="G2231" cm="1">
        <f t="array" ref="G2231">_xlfn.XLOOKUP(TEXT(A2231, "mmm-yy"), TEXT([2]RUNS!$B$5:$B$208, "mmm-yy"), [2]RUNS!$D$5:$D$208, "Not Found")</f>
        <v>30396.512724174532</v>
      </c>
      <c r="H2231" cm="1">
        <f t="array" ref="H2231">SUMPRODUCT(
    --(TEXT('[3]Global Weekly Stock (EWSuez'!$B$4:$B$2000,"mmm-yy")=TEXT(A2231,"mmm-yy")),
    '[3]Global Weekly Stock (EWSuez'!$E$4:$E$2000)
/
SUMPRODUCT(
    --(TEXT('[3]Global Weekly Stock (EWSuez'!$B$4:$B$2000,"mmm-yy")=TEXT(A2231,"mmm-yy"))
)</f>
        <v>13119.5</v>
      </c>
      <c r="I2231">
        <f>_xlfn.XLOOKUP(A2231,[1]ForwardDeriv!$D:$D,[1]ForwardDeriv!$AJ:$AJ)</f>
        <v>2.519999999999996</v>
      </c>
      <c r="J2231" cm="1">
        <f t="array" ref="J2231">_xlfn.XLOOKUP(TEXT(A2231, "mmm-yy"), TEXT([2]GASOLINE!$B$5:$B$208, "mmm-yy"), [2]GASOLINE!$IR$5:$IR$208, "Not Found")</f>
        <v>-329.85703217356422</v>
      </c>
      <c r="K2231" cm="1">
        <f t="array" ref="K2231">_xlfn.XLOOKUP(TEXT(A2231, "mmm-yy"), TEXT([2]GASOLINE!$B$5:$B$208, "mmm-yy"), [2]GASOLINE!$IK$5:$IK$208, "Not Found")</f>
        <v>219.84765737179831</v>
      </c>
      <c r="L2231">
        <f t="shared" si="34"/>
        <v>1</v>
      </c>
      <c r="M2231" cm="1">
        <f t="array" ref="M2231">_xlfn.XLOOKUP(TEXT(A2231, "mmm-yy"), TEXT([2]GASOLINE!$B$5:$B$208, "mmm-yy"), [2]GASOLINE!$C$5:$C$208, "Not Found")</f>
        <v>7860.1225127291063</v>
      </c>
      <c r="N2231" cm="1">
        <f t="array" ref="N2231">_xlfn.XLOOKUP(TEXT(A2231, "mmm-yy"), TEXT([2]RUNS!$B$5:$B$208, "mmm-yy"), [2]RUNS!$BM$5:$BM$208, "Not Found")</f>
        <v>0.82068672155209998</v>
      </c>
    </row>
    <row r="2232" spans="1:14" x14ac:dyDescent="0.25">
      <c r="A2232" s="1">
        <f>'[1]Global_Spot Prices'!$B3541</f>
        <v>45127</v>
      </c>
      <c r="B2232">
        <f>_xlfn.XLOOKUP(A2232,'[1]Global_Spot Prices'!$B:$B,'[1]Global_Spot Prices'!$BS:$BS)</f>
        <v>15.400000000000006</v>
      </c>
      <c r="C2232">
        <f>_xlfn.XLOOKUP(A2232,'[1]Global_Spot Prices'!$B:$B,'[1]Global_Spot Prices'!$E:$E)</f>
        <v>81.05</v>
      </c>
      <c r="D2232">
        <f>_xlfn.XLOOKUP(A2232,'[1]Global_Spot Prices'!$B:$B,'[1]Global_Spot Prices'!$D:$D)</f>
        <v>79.114999999999995</v>
      </c>
      <c r="E2232">
        <f>_xlfn.XLOOKUP(A2232,'[1]Global_Spot Prices'!$B:$B,'[1]Global_Spot Prices'!$H:$H)</f>
        <v>63.23</v>
      </c>
      <c r="F2232">
        <f>_xlfn.XLOOKUP(A2232,'[1]Global_Spot Prices'!$B:$B,'[1]Global_Spot Prices'!$I:$I)</f>
        <v>96.45</v>
      </c>
      <c r="G2232" cm="1">
        <f t="array" ref="G2232">_xlfn.XLOOKUP(TEXT(A2232, "mmm-yy"), TEXT([2]RUNS!$B$5:$B$208, "mmm-yy"), [2]RUNS!$D$5:$D$208, "Not Found")</f>
        <v>30396.512724174532</v>
      </c>
      <c r="H2232" cm="1">
        <f t="array" ref="H2232">SUMPRODUCT(
    --(TEXT('[3]Global Weekly Stock (EWSuez'!$B$4:$B$2000,"mmm-yy")=TEXT(A2232,"mmm-yy")),
    '[3]Global Weekly Stock (EWSuez'!$E$4:$E$2000)
/
SUMPRODUCT(
    --(TEXT('[3]Global Weekly Stock (EWSuez'!$B$4:$B$2000,"mmm-yy")=TEXT(A2232,"mmm-yy"))
)</f>
        <v>13119.5</v>
      </c>
      <c r="I2232">
        <f>_xlfn.XLOOKUP(A2232,[1]ForwardDeriv!$D:$D,[1]ForwardDeriv!$AJ:$AJ)</f>
        <v>2.8100000000000023</v>
      </c>
      <c r="J2232" cm="1">
        <f t="array" ref="J2232">_xlfn.XLOOKUP(TEXT(A2232, "mmm-yy"), TEXT([2]GASOLINE!$B$5:$B$208, "mmm-yy"), [2]GASOLINE!$IR$5:$IR$208, "Not Found")</f>
        <v>-329.85703217356422</v>
      </c>
      <c r="K2232" cm="1">
        <f t="array" ref="K2232">_xlfn.XLOOKUP(TEXT(A2232, "mmm-yy"), TEXT([2]GASOLINE!$B$5:$B$208, "mmm-yy"), [2]GASOLINE!$IK$5:$IK$208, "Not Found")</f>
        <v>219.84765737179831</v>
      </c>
      <c r="L2232">
        <f t="shared" si="34"/>
        <v>1</v>
      </c>
      <c r="M2232" cm="1">
        <f t="array" ref="M2232">_xlfn.XLOOKUP(TEXT(A2232, "mmm-yy"), TEXT([2]GASOLINE!$B$5:$B$208, "mmm-yy"), [2]GASOLINE!$C$5:$C$208, "Not Found")</f>
        <v>7860.1225127291063</v>
      </c>
      <c r="N2232" cm="1">
        <f t="array" ref="N2232">_xlfn.XLOOKUP(TEXT(A2232, "mmm-yy"), TEXT([2]RUNS!$B$5:$B$208, "mmm-yy"), [2]RUNS!$BM$5:$BM$208, "Not Found")</f>
        <v>0.82068672155209998</v>
      </c>
    </row>
    <row r="2233" spans="1:14" x14ac:dyDescent="0.25">
      <c r="A2233" s="1">
        <f>'[1]Global_Spot Prices'!$B3542</f>
        <v>45128</v>
      </c>
      <c r="B2233">
        <f>_xlfn.XLOOKUP(A2233,'[1]Global_Spot Prices'!$B:$B,'[1]Global_Spot Prices'!$BS:$BS)</f>
        <v>16.070000000000007</v>
      </c>
      <c r="C2233">
        <f>_xlfn.XLOOKUP(A2233,'[1]Global_Spot Prices'!$B:$B,'[1]Global_Spot Prices'!$E:$E)</f>
        <v>81.739999999999995</v>
      </c>
      <c r="D2233">
        <f>_xlfn.XLOOKUP(A2233,'[1]Global_Spot Prices'!$B:$B,'[1]Global_Spot Prices'!$D:$D)</f>
        <v>80.364999999999995</v>
      </c>
      <c r="E2233">
        <f>_xlfn.XLOOKUP(A2233,'[1]Global_Spot Prices'!$B:$B,'[1]Global_Spot Prices'!$H:$H)</f>
        <v>63.53</v>
      </c>
      <c r="F2233">
        <f>_xlfn.XLOOKUP(A2233,'[1]Global_Spot Prices'!$B:$B,'[1]Global_Spot Prices'!$I:$I)</f>
        <v>97.81</v>
      </c>
      <c r="G2233" cm="1">
        <f t="array" ref="G2233">_xlfn.XLOOKUP(TEXT(A2233, "mmm-yy"), TEXT([2]RUNS!$B$5:$B$208, "mmm-yy"), [2]RUNS!$D$5:$D$208, "Not Found")</f>
        <v>30396.512724174532</v>
      </c>
      <c r="H2233" cm="1">
        <f t="array" ref="H2233">SUMPRODUCT(
    --(TEXT('[3]Global Weekly Stock (EWSuez'!$B$4:$B$2000,"mmm-yy")=TEXT(A2233,"mmm-yy")),
    '[3]Global Weekly Stock (EWSuez'!$E$4:$E$2000)
/
SUMPRODUCT(
    --(TEXT('[3]Global Weekly Stock (EWSuez'!$B$4:$B$2000,"mmm-yy")=TEXT(A2233,"mmm-yy"))
)</f>
        <v>13119.5</v>
      </c>
      <c r="I2233">
        <f>_xlfn.XLOOKUP(A2233,[1]ForwardDeriv!$D:$D,[1]ForwardDeriv!$AJ:$AJ)</f>
        <v>2.8799999999999955</v>
      </c>
      <c r="J2233" cm="1">
        <f t="array" ref="J2233">_xlfn.XLOOKUP(TEXT(A2233, "mmm-yy"), TEXT([2]GASOLINE!$B$5:$B$208, "mmm-yy"), [2]GASOLINE!$IR$5:$IR$208, "Not Found")</f>
        <v>-329.85703217356422</v>
      </c>
      <c r="K2233" cm="1">
        <f t="array" ref="K2233">_xlfn.XLOOKUP(TEXT(A2233, "mmm-yy"), TEXT([2]GASOLINE!$B$5:$B$208, "mmm-yy"), [2]GASOLINE!$IK$5:$IK$208, "Not Found")</f>
        <v>219.84765737179831</v>
      </c>
      <c r="L2233">
        <f t="shared" si="34"/>
        <v>1</v>
      </c>
      <c r="M2233" cm="1">
        <f t="array" ref="M2233">_xlfn.XLOOKUP(TEXT(A2233, "mmm-yy"), TEXT([2]GASOLINE!$B$5:$B$208, "mmm-yy"), [2]GASOLINE!$C$5:$C$208, "Not Found")</f>
        <v>7860.1225127291063</v>
      </c>
      <c r="N2233" cm="1">
        <f t="array" ref="N2233">_xlfn.XLOOKUP(TEXT(A2233, "mmm-yy"), TEXT([2]RUNS!$B$5:$B$208, "mmm-yy"), [2]RUNS!$BM$5:$BM$208, "Not Found")</f>
        <v>0.82068672155209998</v>
      </c>
    </row>
    <row r="2234" spans="1:14" x14ac:dyDescent="0.25">
      <c r="A2234" s="1">
        <f>'[1]Global_Spot Prices'!$B3543</f>
        <v>45131</v>
      </c>
      <c r="B2234">
        <f>_xlfn.XLOOKUP(A2234,'[1]Global_Spot Prices'!$B:$B,'[1]Global_Spot Prices'!$BS:$BS)</f>
        <v>16.949999999999989</v>
      </c>
      <c r="C2234">
        <f>_xlfn.XLOOKUP(A2234,'[1]Global_Spot Prices'!$B:$B,'[1]Global_Spot Prices'!$E:$E)</f>
        <v>82.51</v>
      </c>
      <c r="D2234">
        <f>_xlfn.XLOOKUP(A2234,'[1]Global_Spot Prices'!$B:$B,'[1]Global_Spot Prices'!$D:$D)</f>
        <v>82.465000000000003</v>
      </c>
      <c r="E2234">
        <f>_xlfn.XLOOKUP(A2234,'[1]Global_Spot Prices'!$B:$B,'[1]Global_Spot Prices'!$H:$H)</f>
        <v>63.77</v>
      </c>
      <c r="F2234">
        <f>_xlfn.XLOOKUP(A2234,'[1]Global_Spot Prices'!$B:$B,'[1]Global_Spot Prices'!$I:$I)</f>
        <v>99.46</v>
      </c>
      <c r="G2234" cm="1">
        <f t="array" ref="G2234">_xlfn.XLOOKUP(TEXT(A2234, "mmm-yy"), TEXT([2]RUNS!$B$5:$B$208, "mmm-yy"), [2]RUNS!$D$5:$D$208, "Not Found")</f>
        <v>30396.512724174532</v>
      </c>
      <c r="H2234" cm="1">
        <f t="array" ref="H2234">SUMPRODUCT(
    --(TEXT('[3]Global Weekly Stock (EWSuez'!$B$4:$B$2000,"mmm-yy")=TEXT(A2234,"mmm-yy")),
    '[3]Global Weekly Stock (EWSuez'!$E$4:$E$2000)
/
SUMPRODUCT(
    --(TEXT('[3]Global Weekly Stock (EWSuez'!$B$4:$B$2000,"mmm-yy")=TEXT(A2234,"mmm-yy"))
)</f>
        <v>13119.5</v>
      </c>
      <c r="I2234">
        <f>_xlfn.XLOOKUP(A2234,[1]ForwardDeriv!$D:$D,[1]ForwardDeriv!$AJ:$AJ)</f>
        <v>3.3200000000000074</v>
      </c>
      <c r="J2234" cm="1">
        <f t="array" ref="J2234">_xlfn.XLOOKUP(TEXT(A2234, "mmm-yy"), TEXT([2]GASOLINE!$B$5:$B$208, "mmm-yy"), [2]GASOLINE!$IR$5:$IR$208, "Not Found")</f>
        <v>-329.85703217356422</v>
      </c>
      <c r="K2234" cm="1">
        <f t="array" ref="K2234">_xlfn.XLOOKUP(TEXT(A2234, "mmm-yy"), TEXT([2]GASOLINE!$B$5:$B$208, "mmm-yy"), [2]GASOLINE!$IK$5:$IK$208, "Not Found")</f>
        <v>219.84765737179831</v>
      </c>
      <c r="L2234">
        <f t="shared" si="34"/>
        <v>1</v>
      </c>
      <c r="M2234" cm="1">
        <f t="array" ref="M2234">_xlfn.XLOOKUP(TEXT(A2234, "mmm-yy"), TEXT([2]GASOLINE!$B$5:$B$208, "mmm-yy"), [2]GASOLINE!$C$5:$C$208, "Not Found")</f>
        <v>7860.1225127291063</v>
      </c>
      <c r="N2234" cm="1">
        <f t="array" ref="N2234">_xlfn.XLOOKUP(TEXT(A2234, "mmm-yy"), TEXT([2]RUNS!$B$5:$B$208, "mmm-yy"), [2]RUNS!$BM$5:$BM$208, "Not Found")</f>
        <v>0.82068672155209998</v>
      </c>
    </row>
    <row r="2235" spans="1:14" x14ac:dyDescent="0.25">
      <c r="A2235" s="1">
        <f>'[1]Global_Spot Prices'!$B3544</f>
        <v>45132</v>
      </c>
      <c r="B2235">
        <f>_xlfn.XLOOKUP(A2235,'[1]Global_Spot Prices'!$B:$B,'[1]Global_Spot Prices'!$BS:$BS)</f>
        <v>14.925000000000011</v>
      </c>
      <c r="C2235">
        <f>_xlfn.XLOOKUP(A2235,'[1]Global_Spot Prices'!$B:$B,'[1]Global_Spot Prices'!$E:$E)</f>
        <v>84.254999999999995</v>
      </c>
      <c r="D2235">
        <f>_xlfn.XLOOKUP(A2235,'[1]Global_Spot Prices'!$B:$B,'[1]Global_Spot Prices'!$D:$D)</f>
        <v>82.935000000000002</v>
      </c>
      <c r="E2235">
        <f>_xlfn.XLOOKUP(A2235,'[1]Global_Spot Prices'!$B:$B,'[1]Global_Spot Prices'!$H:$H)</f>
        <v>64.39</v>
      </c>
      <c r="F2235">
        <f>_xlfn.XLOOKUP(A2235,'[1]Global_Spot Prices'!$B:$B,'[1]Global_Spot Prices'!$I:$I)</f>
        <v>99.18</v>
      </c>
      <c r="G2235" cm="1">
        <f t="array" ref="G2235">_xlfn.XLOOKUP(TEXT(A2235, "mmm-yy"), TEXT([2]RUNS!$B$5:$B$208, "mmm-yy"), [2]RUNS!$D$5:$D$208, "Not Found")</f>
        <v>30396.512724174532</v>
      </c>
      <c r="H2235" cm="1">
        <f t="array" ref="H2235">SUMPRODUCT(
    --(TEXT('[3]Global Weekly Stock (EWSuez'!$B$4:$B$2000,"mmm-yy")=TEXT(A2235,"mmm-yy")),
    '[3]Global Weekly Stock (EWSuez'!$E$4:$E$2000)
/
SUMPRODUCT(
    --(TEXT('[3]Global Weekly Stock (EWSuez'!$B$4:$B$2000,"mmm-yy")=TEXT(A2235,"mmm-yy"))
)</f>
        <v>13119.5</v>
      </c>
      <c r="I2235">
        <f>_xlfn.XLOOKUP(A2235,[1]ForwardDeriv!$D:$D,[1]ForwardDeriv!$AJ:$AJ)</f>
        <v>2.9200000000000017</v>
      </c>
      <c r="J2235" cm="1">
        <f t="array" ref="J2235">_xlfn.XLOOKUP(TEXT(A2235, "mmm-yy"), TEXT([2]GASOLINE!$B$5:$B$208, "mmm-yy"), [2]GASOLINE!$IR$5:$IR$208, "Not Found")</f>
        <v>-329.85703217356422</v>
      </c>
      <c r="K2235" cm="1">
        <f t="array" ref="K2235">_xlfn.XLOOKUP(TEXT(A2235, "mmm-yy"), TEXT([2]GASOLINE!$B$5:$B$208, "mmm-yy"), [2]GASOLINE!$IK$5:$IK$208, "Not Found")</f>
        <v>219.84765737179831</v>
      </c>
      <c r="L2235">
        <f t="shared" si="34"/>
        <v>1</v>
      </c>
      <c r="M2235" cm="1">
        <f t="array" ref="M2235">_xlfn.XLOOKUP(TEXT(A2235, "mmm-yy"), TEXT([2]GASOLINE!$B$5:$B$208, "mmm-yy"), [2]GASOLINE!$C$5:$C$208, "Not Found")</f>
        <v>7860.1225127291063</v>
      </c>
      <c r="N2235" cm="1">
        <f t="array" ref="N2235">_xlfn.XLOOKUP(TEXT(A2235, "mmm-yy"), TEXT([2]RUNS!$B$5:$B$208, "mmm-yy"), [2]RUNS!$BM$5:$BM$208, "Not Found")</f>
        <v>0.82068672155209998</v>
      </c>
    </row>
    <row r="2236" spans="1:14" x14ac:dyDescent="0.25">
      <c r="A2236" s="1">
        <f>'[1]Global_Spot Prices'!$B3545</f>
        <v>45133</v>
      </c>
      <c r="B2236">
        <f>_xlfn.XLOOKUP(A2236,'[1]Global_Spot Prices'!$B:$B,'[1]Global_Spot Prices'!$BS:$BS)</f>
        <v>14.430000000000007</v>
      </c>
      <c r="C2236">
        <f>_xlfn.XLOOKUP(A2236,'[1]Global_Spot Prices'!$B:$B,'[1]Global_Spot Prices'!$E:$E)</f>
        <v>84.3</v>
      </c>
      <c r="D2236">
        <f>_xlfn.XLOOKUP(A2236,'[1]Global_Spot Prices'!$B:$B,'[1]Global_Spot Prices'!$D:$D)</f>
        <v>83.82</v>
      </c>
      <c r="E2236">
        <f>_xlfn.XLOOKUP(A2236,'[1]Global_Spot Prices'!$B:$B,'[1]Global_Spot Prices'!$H:$H)</f>
        <v>65.12</v>
      </c>
      <c r="F2236">
        <f>_xlfn.XLOOKUP(A2236,'[1]Global_Spot Prices'!$B:$B,'[1]Global_Spot Prices'!$I:$I)</f>
        <v>98.73</v>
      </c>
      <c r="G2236" cm="1">
        <f t="array" ref="G2236">_xlfn.XLOOKUP(TEXT(A2236, "mmm-yy"), TEXT([2]RUNS!$B$5:$B$208, "mmm-yy"), [2]RUNS!$D$5:$D$208, "Not Found")</f>
        <v>30396.512724174532</v>
      </c>
      <c r="H2236" cm="1">
        <f t="array" ref="H2236">SUMPRODUCT(
    --(TEXT('[3]Global Weekly Stock (EWSuez'!$B$4:$B$2000,"mmm-yy")=TEXT(A2236,"mmm-yy")),
    '[3]Global Weekly Stock (EWSuez'!$E$4:$E$2000)
/
SUMPRODUCT(
    --(TEXT('[3]Global Weekly Stock (EWSuez'!$B$4:$B$2000,"mmm-yy")=TEXT(A2236,"mmm-yy"))
)</f>
        <v>13119.5</v>
      </c>
      <c r="I2236">
        <f>_xlfn.XLOOKUP(A2236,[1]ForwardDeriv!$D:$D,[1]ForwardDeriv!$AJ:$AJ)</f>
        <v>2.6999999999999886</v>
      </c>
      <c r="J2236" cm="1">
        <f t="array" ref="J2236">_xlfn.XLOOKUP(TEXT(A2236, "mmm-yy"), TEXT([2]GASOLINE!$B$5:$B$208, "mmm-yy"), [2]GASOLINE!$IR$5:$IR$208, "Not Found")</f>
        <v>-329.85703217356422</v>
      </c>
      <c r="K2236" cm="1">
        <f t="array" ref="K2236">_xlfn.XLOOKUP(TEXT(A2236, "mmm-yy"), TEXT([2]GASOLINE!$B$5:$B$208, "mmm-yy"), [2]GASOLINE!$IK$5:$IK$208, "Not Found")</f>
        <v>219.84765737179831</v>
      </c>
      <c r="L2236">
        <f t="shared" si="34"/>
        <v>1</v>
      </c>
      <c r="M2236" cm="1">
        <f t="array" ref="M2236">_xlfn.XLOOKUP(TEXT(A2236, "mmm-yy"), TEXT([2]GASOLINE!$B$5:$B$208, "mmm-yy"), [2]GASOLINE!$C$5:$C$208, "Not Found")</f>
        <v>7860.1225127291063</v>
      </c>
      <c r="N2236" cm="1">
        <f t="array" ref="N2236">_xlfn.XLOOKUP(TEXT(A2236, "mmm-yy"), TEXT([2]RUNS!$B$5:$B$208, "mmm-yy"), [2]RUNS!$BM$5:$BM$208, "Not Found")</f>
        <v>0.82068672155209998</v>
      </c>
    </row>
    <row r="2237" spans="1:14" x14ac:dyDescent="0.25">
      <c r="A2237" s="1">
        <f>'[1]Global_Spot Prices'!$B3546</f>
        <v>45134</v>
      </c>
      <c r="B2237">
        <f>_xlfn.XLOOKUP(A2237,'[1]Global_Spot Prices'!$B:$B,'[1]Global_Spot Prices'!$BS:$BS)</f>
        <v>16.510000000000005</v>
      </c>
      <c r="C2237">
        <f>_xlfn.XLOOKUP(A2237,'[1]Global_Spot Prices'!$B:$B,'[1]Global_Spot Prices'!$E:$E)</f>
        <v>84.1</v>
      </c>
      <c r="D2237">
        <f>_xlfn.XLOOKUP(A2237,'[1]Global_Spot Prices'!$B:$B,'[1]Global_Spot Prices'!$D:$D)</f>
        <v>83.834999999999994</v>
      </c>
      <c r="E2237">
        <f>_xlfn.XLOOKUP(A2237,'[1]Global_Spot Prices'!$B:$B,'[1]Global_Spot Prices'!$H:$H)</f>
        <v>66.45</v>
      </c>
      <c r="F2237">
        <f>_xlfn.XLOOKUP(A2237,'[1]Global_Spot Prices'!$B:$B,'[1]Global_Spot Prices'!$I:$I)</f>
        <v>100.61</v>
      </c>
      <c r="G2237" cm="1">
        <f t="array" ref="G2237">_xlfn.XLOOKUP(TEXT(A2237, "mmm-yy"), TEXT([2]RUNS!$B$5:$B$208, "mmm-yy"), [2]RUNS!$D$5:$D$208, "Not Found")</f>
        <v>30396.512724174532</v>
      </c>
      <c r="H2237" cm="1">
        <f t="array" ref="H2237">SUMPRODUCT(
    --(TEXT('[3]Global Weekly Stock (EWSuez'!$B$4:$B$2000,"mmm-yy")=TEXT(A2237,"mmm-yy")),
    '[3]Global Weekly Stock (EWSuez'!$E$4:$E$2000)
/
SUMPRODUCT(
    --(TEXT('[3]Global Weekly Stock (EWSuez'!$B$4:$B$2000,"mmm-yy")=TEXT(A2237,"mmm-yy"))
)</f>
        <v>13119.5</v>
      </c>
      <c r="I2237">
        <f>_xlfn.XLOOKUP(A2237,[1]ForwardDeriv!$D:$D,[1]ForwardDeriv!$AJ:$AJ)</f>
        <v>3.0999999999999943</v>
      </c>
      <c r="J2237" cm="1">
        <f t="array" ref="J2237">_xlfn.XLOOKUP(TEXT(A2237, "mmm-yy"), TEXT([2]GASOLINE!$B$5:$B$208, "mmm-yy"), [2]GASOLINE!$IR$5:$IR$208, "Not Found")</f>
        <v>-329.85703217356422</v>
      </c>
      <c r="K2237" cm="1">
        <f t="array" ref="K2237">_xlfn.XLOOKUP(TEXT(A2237, "mmm-yy"), TEXT([2]GASOLINE!$B$5:$B$208, "mmm-yy"), [2]GASOLINE!$IK$5:$IK$208, "Not Found")</f>
        <v>219.84765737179831</v>
      </c>
      <c r="L2237">
        <f t="shared" si="34"/>
        <v>1</v>
      </c>
      <c r="M2237" cm="1">
        <f t="array" ref="M2237">_xlfn.XLOOKUP(TEXT(A2237, "mmm-yy"), TEXT([2]GASOLINE!$B$5:$B$208, "mmm-yy"), [2]GASOLINE!$C$5:$C$208, "Not Found")</f>
        <v>7860.1225127291063</v>
      </c>
      <c r="N2237" cm="1">
        <f t="array" ref="N2237">_xlfn.XLOOKUP(TEXT(A2237, "mmm-yy"), TEXT([2]RUNS!$B$5:$B$208, "mmm-yy"), [2]RUNS!$BM$5:$BM$208, "Not Found")</f>
        <v>0.82068672155209998</v>
      </c>
    </row>
    <row r="2238" spans="1:14" x14ac:dyDescent="0.25">
      <c r="A2238" s="1">
        <f>'[1]Global_Spot Prices'!$B3547</f>
        <v>45135</v>
      </c>
      <c r="B2238">
        <f>_xlfn.XLOOKUP(A2238,'[1]Global_Spot Prices'!$B:$B,'[1]Global_Spot Prices'!$BS:$BS)</f>
        <v>16.11999999999999</v>
      </c>
      <c r="C2238">
        <f>_xlfn.XLOOKUP(A2238,'[1]Global_Spot Prices'!$B:$B,'[1]Global_Spot Prices'!$E:$E)</f>
        <v>84.7</v>
      </c>
      <c r="D2238">
        <f ca="1">_xlfn.XLOOKUP(A2238,'[1]Global_Spot Prices'!$B:$B,'[1]Global_Spot Prices'!$D:$D)</f>
        <v>83.995000000000005</v>
      </c>
      <c r="E2238">
        <f>_xlfn.XLOOKUP(A2238,'[1]Global_Spot Prices'!$B:$B,'[1]Global_Spot Prices'!$H:$H)</f>
        <v>67.92</v>
      </c>
      <c r="F2238">
        <f>_xlfn.XLOOKUP(A2238,'[1]Global_Spot Prices'!$B:$B,'[1]Global_Spot Prices'!$I:$I)</f>
        <v>100.82</v>
      </c>
      <c r="G2238" cm="1">
        <f t="array" ref="G2238">_xlfn.XLOOKUP(TEXT(A2238, "mmm-yy"), TEXT([2]RUNS!$B$5:$B$208, "mmm-yy"), [2]RUNS!$D$5:$D$208, "Not Found")</f>
        <v>30396.512724174532</v>
      </c>
      <c r="H2238" cm="1">
        <f t="array" ref="H2238">SUMPRODUCT(
    --(TEXT('[3]Global Weekly Stock (EWSuez'!$B$4:$B$2000,"mmm-yy")=TEXT(A2238,"mmm-yy")),
    '[3]Global Weekly Stock (EWSuez'!$E$4:$E$2000)
/
SUMPRODUCT(
    --(TEXT('[3]Global Weekly Stock (EWSuez'!$B$4:$B$2000,"mmm-yy")=TEXT(A2238,"mmm-yy"))
)</f>
        <v>13119.5</v>
      </c>
      <c r="I2238">
        <f>_xlfn.XLOOKUP(A2238,[1]ForwardDeriv!$D:$D,[1]ForwardDeriv!$AJ:$AJ)</f>
        <v>3.0300000000000011</v>
      </c>
      <c r="J2238" cm="1">
        <f t="array" ref="J2238">_xlfn.XLOOKUP(TEXT(A2238, "mmm-yy"), TEXT([2]GASOLINE!$B$5:$B$208, "mmm-yy"), [2]GASOLINE!$IR$5:$IR$208, "Not Found")</f>
        <v>-329.85703217356422</v>
      </c>
      <c r="K2238" cm="1">
        <f t="array" ref="K2238">_xlfn.XLOOKUP(TEXT(A2238, "mmm-yy"), TEXT([2]GASOLINE!$B$5:$B$208, "mmm-yy"), [2]GASOLINE!$IK$5:$IK$208, "Not Found")</f>
        <v>219.84765737179831</v>
      </c>
      <c r="L2238">
        <f t="shared" si="34"/>
        <v>1</v>
      </c>
      <c r="M2238" cm="1">
        <f t="array" ref="M2238">_xlfn.XLOOKUP(TEXT(A2238, "mmm-yy"), TEXT([2]GASOLINE!$B$5:$B$208, "mmm-yy"), [2]GASOLINE!$C$5:$C$208, "Not Found")</f>
        <v>7860.1225127291063</v>
      </c>
      <c r="N2238" cm="1">
        <f t="array" ref="N2238">_xlfn.XLOOKUP(TEXT(A2238, "mmm-yy"), TEXT([2]RUNS!$B$5:$B$208, "mmm-yy"), [2]RUNS!$BM$5:$BM$208, "Not Found")</f>
        <v>0.82068672155209998</v>
      </c>
    </row>
    <row r="2239" spans="1:14" x14ac:dyDescent="0.25">
      <c r="A2239" s="1">
        <f>'[1]Global_Spot Prices'!$B3548</f>
        <v>45138</v>
      </c>
      <c r="B2239">
        <f>_xlfn.XLOOKUP(A2239,'[1]Global_Spot Prices'!$B:$B,'[1]Global_Spot Prices'!$BS:$BS)</f>
        <v>15.564999999999998</v>
      </c>
      <c r="C2239">
        <f>_xlfn.XLOOKUP(A2239,'[1]Global_Spot Prices'!$B:$B,'[1]Global_Spot Prices'!$E:$E)</f>
        <v>85.644999999999996</v>
      </c>
      <c r="D2239">
        <f>_xlfn.XLOOKUP(A2239,'[1]Global_Spot Prices'!$B:$B,'[1]Global_Spot Prices'!$D:$D)</f>
        <v>85.655000000000001</v>
      </c>
      <c r="E2239">
        <f>_xlfn.XLOOKUP(A2239,'[1]Global_Spot Prices'!$B:$B,'[1]Global_Spot Prices'!$H:$H)</f>
        <v>69.900000000000006</v>
      </c>
      <c r="F2239">
        <f>_xlfn.XLOOKUP(A2239,'[1]Global_Spot Prices'!$B:$B,'[1]Global_Spot Prices'!$I:$I)</f>
        <v>101.21</v>
      </c>
      <c r="G2239" cm="1">
        <f t="array" ref="G2239">_xlfn.XLOOKUP(TEXT(A2239, "mmm-yy"), TEXT([2]RUNS!$B$5:$B$208, "mmm-yy"), [2]RUNS!$D$5:$D$208, "Not Found")</f>
        <v>30396.512724174532</v>
      </c>
      <c r="H2239" cm="1">
        <f t="array" ref="H2239">SUMPRODUCT(
    --(TEXT('[3]Global Weekly Stock (EWSuez'!$B$4:$B$2000,"mmm-yy")=TEXT(A2239,"mmm-yy")),
    '[3]Global Weekly Stock (EWSuez'!$E$4:$E$2000)
/
SUMPRODUCT(
    --(TEXT('[3]Global Weekly Stock (EWSuez'!$B$4:$B$2000,"mmm-yy")=TEXT(A2239,"mmm-yy"))
)</f>
        <v>13119.5</v>
      </c>
      <c r="I2239">
        <f>_xlfn.XLOOKUP(A2239,[1]ForwardDeriv!$D:$D,[1]ForwardDeriv!$AJ:$AJ)</f>
        <v>3.1500000000000057</v>
      </c>
      <c r="J2239" cm="1">
        <f t="array" ref="J2239">_xlfn.XLOOKUP(TEXT(A2239, "mmm-yy"), TEXT([2]GASOLINE!$B$5:$B$208, "mmm-yy"), [2]GASOLINE!$IR$5:$IR$208, "Not Found")</f>
        <v>-329.85703217356422</v>
      </c>
      <c r="K2239" cm="1">
        <f t="array" ref="K2239">_xlfn.XLOOKUP(TEXT(A2239, "mmm-yy"), TEXT([2]GASOLINE!$B$5:$B$208, "mmm-yy"), [2]GASOLINE!$IK$5:$IK$208, "Not Found")</f>
        <v>219.84765737179831</v>
      </c>
      <c r="L2239">
        <f t="shared" si="34"/>
        <v>1</v>
      </c>
      <c r="M2239" cm="1">
        <f t="array" ref="M2239">_xlfn.XLOOKUP(TEXT(A2239, "mmm-yy"), TEXT([2]GASOLINE!$B$5:$B$208, "mmm-yy"), [2]GASOLINE!$C$5:$C$208, "Not Found")</f>
        <v>7860.1225127291063</v>
      </c>
      <c r="N2239" cm="1">
        <f t="array" ref="N2239">_xlfn.XLOOKUP(TEXT(A2239, "mmm-yy"), TEXT([2]RUNS!$B$5:$B$208, "mmm-yy"), [2]RUNS!$BM$5:$BM$208, "Not Found")</f>
        <v>0.82068672155209998</v>
      </c>
    </row>
    <row r="2240" spans="1:14" x14ac:dyDescent="0.25">
      <c r="A2240" s="1">
        <f>'[1]Global_Spot Prices'!$B3549</f>
        <v>45139</v>
      </c>
      <c r="B2240">
        <f>_xlfn.XLOOKUP(A2240,'[1]Global_Spot Prices'!$B:$B,'[1]Global_Spot Prices'!$BS:$BS)</f>
        <v>16.22</v>
      </c>
      <c r="C2240">
        <f>_xlfn.XLOOKUP(A2240,'[1]Global_Spot Prices'!$B:$B,'[1]Global_Spot Prices'!$E:$E)</f>
        <v>85.84</v>
      </c>
      <c r="D2240">
        <f>_xlfn.XLOOKUP(A2240,'[1]Global_Spot Prices'!$B:$B,'[1]Global_Spot Prices'!$D:$D)</f>
        <v>85.275000000000006</v>
      </c>
      <c r="E2240">
        <f>_xlfn.XLOOKUP(A2240,'[1]Global_Spot Prices'!$B:$B,'[1]Global_Spot Prices'!$H:$H)</f>
        <v>69.650000000000006</v>
      </c>
      <c r="F2240">
        <f>_xlfn.XLOOKUP(A2240,'[1]Global_Spot Prices'!$B:$B,'[1]Global_Spot Prices'!$I:$I)</f>
        <v>102.06</v>
      </c>
      <c r="G2240" cm="1">
        <f t="array" ref="G2240">_xlfn.XLOOKUP(TEXT(A2240, "mmm-yy"), TEXT([2]RUNS!$B$5:$B$208, "mmm-yy"), [2]RUNS!$D$5:$D$208, "Not Found")</f>
        <v>31340.57540883754</v>
      </c>
      <c r="H2240" cm="1">
        <f t="array" ref="H2240">SUMPRODUCT(
    --(TEXT('[3]Global Weekly Stock (EWSuez'!$B$4:$B$2000,"mmm-yy")=TEXT(A2240,"mmm-yy")),
    '[3]Global Weekly Stock (EWSuez'!$E$4:$E$2000)
/
SUMPRODUCT(
    --(TEXT('[3]Global Weekly Stock (EWSuez'!$B$4:$B$2000,"mmm-yy")=TEXT(A2240,"mmm-yy"))
)</f>
        <v>12921.75</v>
      </c>
      <c r="I2240">
        <f>_xlfn.XLOOKUP(A2240,[1]ForwardDeriv!$D:$D,[1]ForwardDeriv!$AJ:$AJ)</f>
        <v>2.7999999999999972</v>
      </c>
      <c r="J2240" cm="1">
        <f t="array" ref="J2240">_xlfn.XLOOKUP(TEXT(A2240, "mmm-yy"), TEXT([2]GASOLINE!$B$5:$B$208, "mmm-yy"), [2]GASOLINE!$IR$5:$IR$208, "Not Found")</f>
        <v>-154.17776536435895</v>
      </c>
      <c r="K2240" cm="1">
        <f t="array" ref="K2240">_xlfn.XLOOKUP(TEXT(A2240, "mmm-yy"), TEXT([2]GASOLINE!$B$5:$B$208, "mmm-yy"), [2]GASOLINE!$IK$5:$IK$208, "Not Found")</f>
        <v>189.92715140665982</v>
      </c>
      <c r="L2240">
        <f t="shared" si="34"/>
        <v>1</v>
      </c>
      <c r="M2240" cm="1">
        <f t="array" ref="M2240">_xlfn.XLOOKUP(TEXT(A2240, "mmm-yy"), TEXT([2]GASOLINE!$B$5:$B$208, "mmm-yy"), [2]GASOLINE!$C$5:$C$208, "Not Found")</f>
        <v>7968.2808155085277</v>
      </c>
      <c r="N2240" cm="1">
        <f t="array" ref="N2240">_xlfn.XLOOKUP(TEXT(A2240, "mmm-yy"), TEXT([2]RUNS!$B$5:$B$208, "mmm-yy"), [2]RUNS!$BM$5:$BM$208, "Not Found")</f>
        <v>0.8461758201420041</v>
      </c>
    </row>
    <row r="2241" spans="1:14" x14ac:dyDescent="0.25">
      <c r="A2241" s="1">
        <f>'[1]Global_Spot Prices'!$B3550</f>
        <v>45140</v>
      </c>
      <c r="B2241">
        <f>_xlfn.XLOOKUP(A2241,'[1]Global_Spot Prices'!$B:$B,'[1]Global_Spot Prices'!$BS:$BS)</f>
        <v>13.314999999999998</v>
      </c>
      <c r="C2241">
        <f>_xlfn.XLOOKUP(A2241,'[1]Global_Spot Prices'!$B:$B,'[1]Global_Spot Prices'!$E:$E)</f>
        <v>86.305000000000007</v>
      </c>
      <c r="D2241">
        <f>_xlfn.XLOOKUP(A2241,'[1]Global_Spot Prices'!$B:$B,'[1]Global_Spot Prices'!$D:$D)</f>
        <v>84.174999999999997</v>
      </c>
      <c r="E2241">
        <f>_xlfn.XLOOKUP(A2241,'[1]Global_Spot Prices'!$B:$B,'[1]Global_Spot Prices'!$H:$H)</f>
        <v>70.22</v>
      </c>
      <c r="F2241">
        <f>_xlfn.XLOOKUP(A2241,'[1]Global_Spot Prices'!$B:$B,'[1]Global_Spot Prices'!$I:$I)</f>
        <v>99.62</v>
      </c>
      <c r="G2241" cm="1">
        <f t="array" ref="G2241">_xlfn.XLOOKUP(TEXT(A2241, "mmm-yy"), TEXT([2]RUNS!$B$5:$B$208, "mmm-yy"), [2]RUNS!$D$5:$D$208, "Not Found")</f>
        <v>31340.57540883754</v>
      </c>
      <c r="H2241" cm="1">
        <f t="array" ref="H2241">SUMPRODUCT(
    --(TEXT('[3]Global Weekly Stock (EWSuez'!$B$4:$B$2000,"mmm-yy")=TEXT(A2241,"mmm-yy")),
    '[3]Global Weekly Stock (EWSuez'!$E$4:$E$2000)
/
SUMPRODUCT(
    --(TEXT('[3]Global Weekly Stock (EWSuez'!$B$4:$B$2000,"mmm-yy")=TEXT(A2241,"mmm-yy"))
)</f>
        <v>12921.75</v>
      </c>
      <c r="I2241">
        <f>_xlfn.XLOOKUP(A2241,[1]ForwardDeriv!$D:$D,[1]ForwardDeriv!$AJ:$AJ)</f>
        <v>2.3599999999999994</v>
      </c>
      <c r="J2241" cm="1">
        <f t="array" ref="J2241">_xlfn.XLOOKUP(TEXT(A2241, "mmm-yy"), TEXT([2]GASOLINE!$B$5:$B$208, "mmm-yy"), [2]GASOLINE!$IR$5:$IR$208, "Not Found")</f>
        <v>-154.17776536435895</v>
      </c>
      <c r="K2241" cm="1">
        <f t="array" ref="K2241">_xlfn.XLOOKUP(TEXT(A2241, "mmm-yy"), TEXT([2]GASOLINE!$B$5:$B$208, "mmm-yy"), [2]GASOLINE!$IK$5:$IK$208, "Not Found")</f>
        <v>189.92715140665982</v>
      </c>
      <c r="L2241">
        <f t="shared" si="34"/>
        <v>1</v>
      </c>
      <c r="M2241" cm="1">
        <f t="array" ref="M2241">_xlfn.XLOOKUP(TEXT(A2241, "mmm-yy"), TEXT([2]GASOLINE!$B$5:$B$208, "mmm-yy"), [2]GASOLINE!$C$5:$C$208, "Not Found")</f>
        <v>7968.2808155085277</v>
      </c>
      <c r="N2241" cm="1">
        <f t="array" ref="N2241">_xlfn.XLOOKUP(TEXT(A2241, "mmm-yy"), TEXT([2]RUNS!$B$5:$B$208, "mmm-yy"), [2]RUNS!$BM$5:$BM$208, "Not Found")</f>
        <v>0.8461758201420041</v>
      </c>
    </row>
    <row r="2242" spans="1:14" x14ac:dyDescent="0.25">
      <c r="A2242" s="1">
        <f>'[1]Global_Spot Prices'!$B3551</f>
        <v>45141</v>
      </c>
      <c r="B2242">
        <f>_xlfn.XLOOKUP(A2242,'[1]Global_Spot Prices'!$B:$B,'[1]Global_Spot Prices'!$BS:$BS)</f>
        <v>11.189999999999998</v>
      </c>
      <c r="C2242">
        <f>_xlfn.XLOOKUP(A2242,'[1]Global_Spot Prices'!$B:$B,'[1]Global_Spot Prices'!$E:$E)</f>
        <v>83.98</v>
      </c>
      <c r="D2242">
        <f>_xlfn.XLOOKUP(A2242,'[1]Global_Spot Prices'!$B:$B,'[1]Global_Spot Prices'!$D:$D)</f>
        <v>85.8</v>
      </c>
      <c r="E2242">
        <f>_xlfn.XLOOKUP(A2242,'[1]Global_Spot Prices'!$B:$B,'[1]Global_Spot Prices'!$H:$H)</f>
        <v>68.150000000000006</v>
      </c>
      <c r="F2242">
        <f>_xlfn.XLOOKUP(A2242,'[1]Global_Spot Prices'!$B:$B,'[1]Global_Spot Prices'!$I:$I)</f>
        <v>95.17</v>
      </c>
      <c r="G2242" cm="1">
        <f t="array" ref="G2242">_xlfn.XLOOKUP(TEXT(A2242, "mmm-yy"), TEXT([2]RUNS!$B$5:$B$208, "mmm-yy"), [2]RUNS!$D$5:$D$208, "Not Found")</f>
        <v>31340.57540883754</v>
      </c>
      <c r="H2242" cm="1">
        <f t="array" ref="H2242">SUMPRODUCT(
    --(TEXT('[3]Global Weekly Stock (EWSuez'!$B$4:$B$2000,"mmm-yy")=TEXT(A2242,"mmm-yy")),
    '[3]Global Weekly Stock (EWSuez'!$E$4:$E$2000)
/
SUMPRODUCT(
    --(TEXT('[3]Global Weekly Stock (EWSuez'!$B$4:$B$2000,"mmm-yy")=TEXT(A2242,"mmm-yy"))
)</f>
        <v>12921.75</v>
      </c>
      <c r="I2242">
        <f>_xlfn.XLOOKUP(A2242,[1]ForwardDeriv!$D:$D,[1]ForwardDeriv!$AJ:$AJ)</f>
        <v>2.269999999999996</v>
      </c>
      <c r="J2242" cm="1">
        <f t="array" ref="J2242">_xlfn.XLOOKUP(TEXT(A2242, "mmm-yy"), TEXT([2]GASOLINE!$B$5:$B$208, "mmm-yy"), [2]GASOLINE!$IR$5:$IR$208, "Not Found")</f>
        <v>-154.17776536435895</v>
      </c>
      <c r="K2242" cm="1">
        <f t="array" ref="K2242">_xlfn.XLOOKUP(TEXT(A2242, "mmm-yy"), TEXT([2]GASOLINE!$B$5:$B$208, "mmm-yy"), [2]GASOLINE!$IK$5:$IK$208, "Not Found")</f>
        <v>189.92715140665982</v>
      </c>
      <c r="L2242">
        <f t="shared" si="34"/>
        <v>1</v>
      </c>
      <c r="M2242" cm="1">
        <f t="array" ref="M2242">_xlfn.XLOOKUP(TEXT(A2242, "mmm-yy"), TEXT([2]GASOLINE!$B$5:$B$208, "mmm-yy"), [2]GASOLINE!$C$5:$C$208, "Not Found")</f>
        <v>7968.2808155085277</v>
      </c>
      <c r="N2242" cm="1">
        <f t="array" ref="N2242">_xlfn.XLOOKUP(TEXT(A2242, "mmm-yy"), TEXT([2]RUNS!$B$5:$B$208, "mmm-yy"), [2]RUNS!$BM$5:$BM$208, "Not Found")</f>
        <v>0.8461758201420041</v>
      </c>
    </row>
    <row r="2243" spans="1:14" x14ac:dyDescent="0.25">
      <c r="A2243" s="1">
        <f>'[1]Global_Spot Prices'!$B3552</f>
        <v>45142</v>
      </c>
      <c r="B2243">
        <f>_xlfn.XLOOKUP(A2243,'[1]Global_Spot Prices'!$B:$B,'[1]Global_Spot Prices'!$BS:$BS)</f>
        <v>10.644999999999996</v>
      </c>
      <c r="C2243">
        <f>_xlfn.XLOOKUP(A2243,'[1]Global_Spot Prices'!$B:$B,'[1]Global_Spot Prices'!$E:$E)</f>
        <v>87.105000000000004</v>
      </c>
      <c r="D2243">
        <f>_xlfn.XLOOKUP(A2243,'[1]Global_Spot Prices'!$B:$B,'[1]Global_Spot Prices'!$D:$D)</f>
        <v>86.86</v>
      </c>
      <c r="E2243">
        <f>_xlfn.XLOOKUP(A2243,'[1]Global_Spot Prices'!$B:$B,'[1]Global_Spot Prices'!$H:$H)</f>
        <v>69.75</v>
      </c>
      <c r="F2243">
        <f>_xlfn.XLOOKUP(A2243,'[1]Global_Spot Prices'!$B:$B,'[1]Global_Spot Prices'!$I:$I)</f>
        <v>97.75</v>
      </c>
      <c r="G2243" cm="1">
        <f t="array" ref="G2243">_xlfn.XLOOKUP(TEXT(A2243, "mmm-yy"), TEXT([2]RUNS!$B$5:$B$208, "mmm-yy"), [2]RUNS!$D$5:$D$208, "Not Found")</f>
        <v>31340.57540883754</v>
      </c>
      <c r="H2243" cm="1">
        <f t="array" ref="H2243">SUMPRODUCT(
    --(TEXT('[3]Global Weekly Stock (EWSuez'!$B$4:$B$2000,"mmm-yy")=TEXT(A2243,"mmm-yy")),
    '[3]Global Weekly Stock (EWSuez'!$E$4:$E$2000)
/
SUMPRODUCT(
    --(TEXT('[3]Global Weekly Stock (EWSuez'!$B$4:$B$2000,"mmm-yy")=TEXT(A2243,"mmm-yy"))
)</f>
        <v>12921.75</v>
      </c>
      <c r="I2243">
        <f>_xlfn.XLOOKUP(A2243,[1]ForwardDeriv!$D:$D,[1]ForwardDeriv!$AJ:$AJ)</f>
        <v>2.2999999999999972</v>
      </c>
      <c r="J2243" cm="1">
        <f t="array" ref="J2243">_xlfn.XLOOKUP(TEXT(A2243, "mmm-yy"), TEXT([2]GASOLINE!$B$5:$B$208, "mmm-yy"), [2]GASOLINE!$IR$5:$IR$208, "Not Found")</f>
        <v>-154.17776536435895</v>
      </c>
      <c r="K2243" cm="1">
        <f t="array" ref="K2243">_xlfn.XLOOKUP(TEXT(A2243, "mmm-yy"), TEXT([2]GASOLINE!$B$5:$B$208, "mmm-yy"), [2]GASOLINE!$IK$5:$IK$208, "Not Found")</f>
        <v>189.92715140665982</v>
      </c>
      <c r="L2243">
        <f t="shared" ref="L2243:L2306" si="35">IF(OR(MONTH(A2243)=6, MONTH(A2243)=7, MONTH(A2243)=8, MONTH(A2243)=9), 1, 0)</f>
        <v>1</v>
      </c>
      <c r="M2243" cm="1">
        <f t="array" ref="M2243">_xlfn.XLOOKUP(TEXT(A2243, "mmm-yy"), TEXT([2]GASOLINE!$B$5:$B$208, "mmm-yy"), [2]GASOLINE!$C$5:$C$208, "Not Found")</f>
        <v>7968.2808155085277</v>
      </c>
      <c r="N2243" cm="1">
        <f t="array" ref="N2243">_xlfn.XLOOKUP(TEXT(A2243, "mmm-yy"), TEXT([2]RUNS!$B$5:$B$208, "mmm-yy"), [2]RUNS!$BM$5:$BM$208, "Not Found")</f>
        <v>0.8461758201420041</v>
      </c>
    </row>
    <row r="2244" spans="1:14" x14ac:dyDescent="0.25">
      <c r="A2244" s="1">
        <f>'[1]Global_Spot Prices'!$B3553</f>
        <v>45145</v>
      </c>
      <c r="B2244">
        <f>_xlfn.XLOOKUP(A2244,'[1]Global_Spot Prices'!$B:$B,'[1]Global_Spot Prices'!$BS:$BS)</f>
        <v>11.240000000000009</v>
      </c>
      <c r="C2244">
        <f>_xlfn.XLOOKUP(A2244,'[1]Global_Spot Prices'!$B:$B,'[1]Global_Spot Prices'!$E:$E)</f>
        <v>87.74</v>
      </c>
      <c r="D2244">
        <f>_xlfn.XLOOKUP(A2244,'[1]Global_Spot Prices'!$B:$B,'[1]Global_Spot Prices'!$D:$D)</f>
        <v>86.55</v>
      </c>
      <c r="E2244">
        <f>_xlfn.XLOOKUP(A2244,'[1]Global_Spot Prices'!$B:$B,'[1]Global_Spot Prices'!$H:$H)</f>
        <v>70.25</v>
      </c>
      <c r="F2244">
        <f>_xlfn.XLOOKUP(A2244,'[1]Global_Spot Prices'!$B:$B,'[1]Global_Spot Prices'!$I:$I)</f>
        <v>98.98</v>
      </c>
      <c r="G2244" cm="1">
        <f t="array" ref="G2244">_xlfn.XLOOKUP(TEXT(A2244, "mmm-yy"), TEXT([2]RUNS!$B$5:$B$208, "mmm-yy"), [2]RUNS!$D$5:$D$208, "Not Found")</f>
        <v>31340.57540883754</v>
      </c>
      <c r="H2244" cm="1">
        <f t="array" ref="H2244">SUMPRODUCT(
    --(TEXT('[3]Global Weekly Stock (EWSuez'!$B$4:$B$2000,"mmm-yy")=TEXT(A2244,"mmm-yy")),
    '[3]Global Weekly Stock (EWSuez'!$E$4:$E$2000)
/
SUMPRODUCT(
    --(TEXT('[3]Global Weekly Stock (EWSuez'!$B$4:$B$2000,"mmm-yy")=TEXT(A2244,"mmm-yy"))
)</f>
        <v>12921.75</v>
      </c>
      <c r="I2244">
        <f>_xlfn.XLOOKUP(A2244,[1]ForwardDeriv!$D:$D,[1]ForwardDeriv!$AJ:$AJ)</f>
        <v>2.5799999999999983</v>
      </c>
      <c r="J2244" cm="1">
        <f t="array" ref="J2244">_xlfn.XLOOKUP(TEXT(A2244, "mmm-yy"), TEXT([2]GASOLINE!$B$5:$B$208, "mmm-yy"), [2]GASOLINE!$IR$5:$IR$208, "Not Found")</f>
        <v>-154.17776536435895</v>
      </c>
      <c r="K2244" cm="1">
        <f t="array" ref="K2244">_xlfn.XLOOKUP(TEXT(A2244, "mmm-yy"), TEXT([2]GASOLINE!$B$5:$B$208, "mmm-yy"), [2]GASOLINE!$IK$5:$IK$208, "Not Found")</f>
        <v>189.92715140665982</v>
      </c>
      <c r="L2244">
        <f t="shared" si="35"/>
        <v>1</v>
      </c>
      <c r="M2244" cm="1">
        <f t="array" ref="M2244">_xlfn.XLOOKUP(TEXT(A2244, "mmm-yy"), TEXT([2]GASOLINE!$B$5:$B$208, "mmm-yy"), [2]GASOLINE!$C$5:$C$208, "Not Found")</f>
        <v>7968.2808155085277</v>
      </c>
      <c r="N2244" cm="1">
        <f t="array" ref="N2244">_xlfn.XLOOKUP(TEXT(A2244, "mmm-yy"), TEXT([2]RUNS!$B$5:$B$208, "mmm-yy"), [2]RUNS!$BM$5:$BM$208, "Not Found")</f>
        <v>0.8461758201420041</v>
      </c>
    </row>
    <row r="2245" spans="1:14" x14ac:dyDescent="0.25">
      <c r="A2245" s="1">
        <f>'[1]Global_Spot Prices'!$B3554</f>
        <v>45146</v>
      </c>
      <c r="B2245">
        <f>_xlfn.XLOOKUP(A2245,'[1]Global_Spot Prices'!$B:$B,'[1]Global_Spot Prices'!$BS:$BS)</f>
        <v>11.800000000000011</v>
      </c>
      <c r="C2245">
        <f>_xlfn.XLOOKUP(A2245,'[1]Global_Spot Prices'!$B:$B,'[1]Global_Spot Prices'!$E:$E)</f>
        <v>87.1</v>
      </c>
      <c r="D2245">
        <f>_xlfn.XLOOKUP(A2245,'[1]Global_Spot Prices'!$B:$B,'[1]Global_Spot Prices'!$D:$D)</f>
        <v>86.655000000000001</v>
      </c>
      <c r="E2245">
        <f>_xlfn.XLOOKUP(A2245,'[1]Global_Spot Prices'!$B:$B,'[1]Global_Spot Prices'!$H:$H)</f>
        <v>70.59</v>
      </c>
      <c r="F2245">
        <f>_xlfn.XLOOKUP(A2245,'[1]Global_Spot Prices'!$B:$B,'[1]Global_Spot Prices'!$I:$I)</f>
        <v>98.9</v>
      </c>
      <c r="G2245" cm="1">
        <f t="array" ref="G2245">_xlfn.XLOOKUP(TEXT(A2245, "mmm-yy"), TEXT([2]RUNS!$B$5:$B$208, "mmm-yy"), [2]RUNS!$D$5:$D$208, "Not Found")</f>
        <v>31340.57540883754</v>
      </c>
      <c r="H2245" cm="1">
        <f t="array" ref="H2245">SUMPRODUCT(
    --(TEXT('[3]Global Weekly Stock (EWSuez'!$B$4:$B$2000,"mmm-yy")=TEXT(A2245,"mmm-yy")),
    '[3]Global Weekly Stock (EWSuez'!$E$4:$E$2000)
/
SUMPRODUCT(
    --(TEXT('[3]Global Weekly Stock (EWSuez'!$B$4:$B$2000,"mmm-yy")=TEXT(A2245,"mmm-yy"))
)</f>
        <v>12921.75</v>
      </c>
      <c r="I2245">
        <f>_xlfn.XLOOKUP(A2245,[1]ForwardDeriv!$D:$D,[1]ForwardDeriv!$AJ:$AJ)</f>
        <v>2.8000000000000114</v>
      </c>
      <c r="J2245" cm="1">
        <f t="array" ref="J2245">_xlfn.XLOOKUP(TEXT(A2245, "mmm-yy"), TEXT([2]GASOLINE!$B$5:$B$208, "mmm-yy"), [2]GASOLINE!$IR$5:$IR$208, "Not Found")</f>
        <v>-154.17776536435895</v>
      </c>
      <c r="K2245" cm="1">
        <f t="array" ref="K2245">_xlfn.XLOOKUP(TEXT(A2245, "mmm-yy"), TEXT([2]GASOLINE!$B$5:$B$208, "mmm-yy"), [2]GASOLINE!$IK$5:$IK$208, "Not Found")</f>
        <v>189.92715140665982</v>
      </c>
      <c r="L2245">
        <f t="shared" si="35"/>
        <v>1</v>
      </c>
      <c r="M2245" cm="1">
        <f t="array" ref="M2245">_xlfn.XLOOKUP(TEXT(A2245, "mmm-yy"), TEXT([2]GASOLINE!$B$5:$B$208, "mmm-yy"), [2]GASOLINE!$C$5:$C$208, "Not Found")</f>
        <v>7968.2808155085277</v>
      </c>
      <c r="N2245" cm="1">
        <f t="array" ref="N2245">_xlfn.XLOOKUP(TEXT(A2245, "mmm-yy"), TEXT([2]RUNS!$B$5:$B$208, "mmm-yy"), [2]RUNS!$BM$5:$BM$208, "Not Found")</f>
        <v>0.8461758201420041</v>
      </c>
    </row>
    <row r="2246" spans="1:14" x14ac:dyDescent="0.25">
      <c r="A2246" s="1">
        <f>'[1]Global_Spot Prices'!$B3555</f>
        <v>45147</v>
      </c>
      <c r="B2246" t="e">
        <f>_xlfn.XLOOKUP(A2246,'[1]Global_Spot Prices'!$B:$B,'[1]Global_Spot Prices'!$BS:$BS)</f>
        <v>#N/A</v>
      </c>
      <c r="C2246" t="str">
        <f>_xlfn.XLOOKUP(A2246,'[1]Global_Spot Prices'!$B:$B,'[1]Global_Spot Prices'!$E:$E)</f>
        <v/>
      </c>
      <c r="D2246">
        <f>_xlfn.XLOOKUP(A2246,'[1]Global_Spot Prices'!$B:$B,'[1]Global_Spot Prices'!$D:$D)</f>
        <v>88.454999999999998</v>
      </c>
      <c r="E2246">
        <f>_xlfn.XLOOKUP(A2246,'[1]Global_Spot Prices'!$B:$B,'[1]Global_Spot Prices'!$H:$H)</f>
        <v>0</v>
      </c>
      <c r="F2246">
        <f>_xlfn.XLOOKUP(A2246,'[1]Global_Spot Prices'!$B:$B,'[1]Global_Spot Prices'!$I:$I)</f>
        <v>0</v>
      </c>
      <c r="G2246" cm="1">
        <f t="array" ref="G2246">_xlfn.XLOOKUP(TEXT(A2246, "mmm-yy"), TEXT([2]RUNS!$B$5:$B$208, "mmm-yy"), [2]RUNS!$D$5:$D$208, "Not Found")</f>
        <v>31340.57540883754</v>
      </c>
      <c r="H2246" cm="1">
        <f t="array" ref="H2246">SUMPRODUCT(
    --(TEXT('[3]Global Weekly Stock (EWSuez'!$B$4:$B$2000,"mmm-yy")=TEXT(A2246,"mmm-yy")),
    '[3]Global Weekly Stock (EWSuez'!$E$4:$E$2000)
/
SUMPRODUCT(
    --(TEXT('[3]Global Weekly Stock (EWSuez'!$B$4:$B$2000,"mmm-yy")=TEXT(A2246,"mmm-yy"))
)</f>
        <v>12921.75</v>
      </c>
      <c r="I2246">
        <f>_xlfn.XLOOKUP(A2246,[1]ForwardDeriv!$D:$D,[1]ForwardDeriv!$AJ:$AJ)</f>
        <v>3.5</v>
      </c>
      <c r="J2246" cm="1">
        <f t="array" ref="J2246">_xlfn.XLOOKUP(TEXT(A2246, "mmm-yy"), TEXT([2]GASOLINE!$B$5:$B$208, "mmm-yy"), [2]GASOLINE!$IR$5:$IR$208, "Not Found")</f>
        <v>-154.17776536435895</v>
      </c>
      <c r="K2246" cm="1">
        <f t="array" ref="K2246">_xlfn.XLOOKUP(TEXT(A2246, "mmm-yy"), TEXT([2]GASOLINE!$B$5:$B$208, "mmm-yy"), [2]GASOLINE!$IK$5:$IK$208, "Not Found")</f>
        <v>189.92715140665982</v>
      </c>
      <c r="L2246">
        <f t="shared" si="35"/>
        <v>1</v>
      </c>
      <c r="M2246" cm="1">
        <f t="array" ref="M2246">_xlfn.XLOOKUP(TEXT(A2246, "mmm-yy"), TEXT([2]GASOLINE!$B$5:$B$208, "mmm-yy"), [2]GASOLINE!$C$5:$C$208, "Not Found")</f>
        <v>7968.2808155085277</v>
      </c>
      <c r="N2246" cm="1">
        <f t="array" ref="N2246">_xlfn.XLOOKUP(TEXT(A2246, "mmm-yy"), TEXT([2]RUNS!$B$5:$B$208, "mmm-yy"), [2]RUNS!$BM$5:$BM$208, "Not Found")</f>
        <v>0.8461758201420041</v>
      </c>
    </row>
    <row r="2247" spans="1:14" x14ac:dyDescent="0.25">
      <c r="A2247" s="1">
        <f>'[1]Global_Spot Prices'!$B3556</f>
        <v>45148</v>
      </c>
      <c r="B2247">
        <f>_xlfn.XLOOKUP(A2247,'[1]Global_Spot Prices'!$B:$B,'[1]Global_Spot Prices'!$BS:$BS)</f>
        <v>15.929999999999993</v>
      </c>
      <c r="C2247">
        <f>_xlfn.XLOOKUP(A2247,'[1]Global_Spot Prices'!$B:$B,'[1]Global_Spot Prices'!$E:$E)</f>
        <v>89.04</v>
      </c>
      <c r="D2247">
        <f>_xlfn.XLOOKUP(A2247,'[1]Global_Spot Prices'!$B:$B,'[1]Global_Spot Prices'!$D:$D)</f>
        <v>88.27</v>
      </c>
      <c r="E2247">
        <f>_xlfn.XLOOKUP(A2247,'[1]Global_Spot Prices'!$B:$B,'[1]Global_Spot Prices'!$H:$H)</f>
        <v>72.37</v>
      </c>
      <c r="F2247">
        <f>_xlfn.XLOOKUP(A2247,'[1]Global_Spot Prices'!$B:$B,'[1]Global_Spot Prices'!$I:$I)</f>
        <v>104.97</v>
      </c>
      <c r="G2247" cm="1">
        <f t="array" ref="G2247">_xlfn.XLOOKUP(TEXT(A2247, "mmm-yy"), TEXT([2]RUNS!$B$5:$B$208, "mmm-yy"), [2]RUNS!$D$5:$D$208, "Not Found")</f>
        <v>31340.57540883754</v>
      </c>
      <c r="H2247" cm="1">
        <f t="array" ref="H2247">SUMPRODUCT(
    --(TEXT('[3]Global Weekly Stock (EWSuez'!$B$4:$B$2000,"mmm-yy")=TEXT(A2247,"mmm-yy")),
    '[3]Global Weekly Stock (EWSuez'!$E$4:$E$2000)
/
SUMPRODUCT(
    --(TEXT('[3]Global Weekly Stock (EWSuez'!$B$4:$B$2000,"mmm-yy")=TEXT(A2247,"mmm-yy"))
)</f>
        <v>12921.75</v>
      </c>
      <c r="I2247">
        <f>_xlfn.XLOOKUP(A2247,[1]ForwardDeriv!$D:$D,[1]ForwardDeriv!$AJ:$AJ)</f>
        <v>3.5</v>
      </c>
      <c r="J2247" cm="1">
        <f t="array" ref="J2247">_xlfn.XLOOKUP(TEXT(A2247, "mmm-yy"), TEXT([2]GASOLINE!$B$5:$B$208, "mmm-yy"), [2]GASOLINE!$IR$5:$IR$208, "Not Found")</f>
        <v>-154.17776536435895</v>
      </c>
      <c r="K2247" cm="1">
        <f t="array" ref="K2247">_xlfn.XLOOKUP(TEXT(A2247, "mmm-yy"), TEXT([2]GASOLINE!$B$5:$B$208, "mmm-yy"), [2]GASOLINE!$IK$5:$IK$208, "Not Found")</f>
        <v>189.92715140665982</v>
      </c>
      <c r="L2247">
        <f t="shared" si="35"/>
        <v>1</v>
      </c>
      <c r="M2247" cm="1">
        <f t="array" ref="M2247">_xlfn.XLOOKUP(TEXT(A2247, "mmm-yy"), TEXT([2]GASOLINE!$B$5:$B$208, "mmm-yy"), [2]GASOLINE!$C$5:$C$208, "Not Found")</f>
        <v>7968.2808155085277</v>
      </c>
      <c r="N2247" cm="1">
        <f t="array" ref="N2247">_xlfn.XLOOKUP(TEXT(A2247, "mmm-yy"), TEXT([2]RUNS!$B$5:$B$208, "mmm-yy"), [2]RUNS!$BM$5:$BM$208, "Not Found")</f>
        <v>0.8461758201420041</v>
      </c>
    </row>
    <row r="2248" spans="1:14" x14ac:dyDescent="0.25">
      <c r="A2248" s="1">
        <f>'[1]Global_Spot Prices'!$B3557</f>
        <v>45149</v>
      </c>
      <c r="B2248">
        <f>_xlfn.XLOOKUP(A2248,'[1]Global_Spot Prices'!$B:$B,'[1]Global_Spot Prices'!$BS:$BS)</f>
        <v>15.689999999999998</v>
      </c>
      <c r="C2248">
        <f>_xlfn.XLOOKUP(A2248,'[1]Global_Spot Prices'!$B:$B,'[1]Global_Spot Prices'!$E:$E)</f>
        <v>87.89</v>
      </c>
      <c r="D2248">
        <f>_xlfn.XLOOKUP(A2248,'[1]Global_Spot Prices'!$B:$B,'[1]Global_Spot Prices'!$D:$D)</f>
        <v>88.424999999999997</v>
      </c>
      <c r="E2248">
        <f>_xlfn.XLOOKUP(A2248,'[1]Global_Spot Prices'!$B:$B,'[1]Global_Spot Prices'!$H:$H)</f>
        <v>70.72</v>
      </c>
      <c r="F2248">
        <f>_xlfn.XLOOKUP(A2248,'[1]Global_Spot Prices'!$B:$B,'[1]Global_Spot Prices'!$I:$I)</f>
        <v>103.58</v>
      </c>
      <c r="G2248" cm="1">
        <f t="array" ref="G2248">_xlfn.XLOOKUP(TEXT(A2248, "mmm-yy"), TEXT([2]RUNS!$B$5:$B$208, "mmm-yy"), [2]RUNS!$D$5:$D$208, "Not Found")</f>
        <v>31340.57540883754</v>
      </c>
      <c r="H2248" cm="1">
        <f t="array" ref="H2248">SUMPRODUCT(
    --(TEXT('[3]Global Weekly Stock (EWSuez'!$B$4:$B$2000,"mmm-yy")=TEXT(A2248,"mmm-yy")),
    '[3]Global Weekly Stock (EWSuez'!$E$4:$E$2000)
/
SUMPRODUCT(
    --(TEXT('[3]Global Weekly Stock (EWSuez'!$B$4:$B$2000,"mmm-yy")=TEXT(A2248,"mmm-yy"))
)</f>
        <v>12921.75</v>
      </c>
      <c r="I2248">
        <f>_xlfn.XLOOKUP(A2248,[1]ForwardDeriv!$D:$D,[1]ForwardDeriv!$AJ:$AJ)</f>
        <v>3.6499999999999915</v>
      </c>
      <c r="J2248" cm="1">
        <f t="array" ref="J2248">_xlfn.XLOOKUP(TEXT(A2248, "mmm-yy"), TEXT([2]GASOLINE!$B$5:$B$208, "mmm-yy"), [2]GASOLINE!$IR$5:$IR$208, "Not Found")</f>
        <v>-154.17776536435895</v>
      </c>
      <c r="K2248" cm="1">
        <f t="array" ref="K2248">_xlfn.XLOOKUP(TEXT(A2248, "mmm-yy"), TEXT([2]GASOLINE!$B$5:$B$208, "mmm-yy"), [2]GASOLINE!$IK$5:$IK$208, "Not Found")</f>
        <v>189.92715140665982</v>
      </c>
      <c r="L2248">
        <f t="shared" si="35"/>
        <v>1</v>
      </c>
      <c r="M2248" cm="1">
        <f t="array" ref="M2248">_xlfn.XLOOKUP(TEXT(A2248, "mmm-yy"), TEXT([2]GASOLINE!$B$5:$B$208, "mmm-yy"), [2]GASOLINE!$C$5:$C$208, "Not Found")</f>
        <v>7968.2808155085277</v>
      </c>
      <c r="N2248" cm="1">
        <f t="array" ref="N2248">_xlfn.XLOOKUP(TEXT(A2248, "mmm-yy"), TEXT([2]RUNS!$B$5:$B$208, "mmm-yy"), [2]RUNS!$BM$5:$BM$208, "Not Found")</f>
        <v>0.8461758201420041</v>
      </c>
    </row>
    <row r="2249" spans="1:14" x14ac:dyDescent="0.25">
      <c r="A2249" s="1">
        <f>'[1]Global_Spot Prices'!$B3558</f>
        <v>45152</v>
      </c>
      <c r="B2249">
        <f>_xlfn.XLOOKUP(A2249,'[1]Global_Spot Prices'!$B:$B,'[1]Global_Spot Prices'!$BS:$BS)</f>
        <v>16.960000000000008</v>
      </c>
      <c r="C2249">
        <f>_xlfn.XLOOKUP(A2249,'[1]Global_Spot Prices'!$B:$B,'[1]Global_Spot Prices'!$E:$E)</f>
        <v>87.6</v>
      </c>
      <c r="D2249">
        <f>_xlfn.XLOOKUP(A2249,'[1]Global_Spot Prices'!$B:$B,'[1]Global_Spot Prices'!$D:$D)</f>
        <v>87.814999999999998</v>
      </c>
      <c r="E2249">
        <f>_xlfn.XLOOKUP(A2249,'[1]Global_Spot Prices'!$B:$B,'[1]Global_Spot Prices'!$H:$H)</f>
        <v>70.61</v>
      </c>
      <c r="F2249">
        <f>_xlfn.XLOOKUP(A2249,'[1]Global_Spot Prices'!$B:$B,'[1]Global_Spot Prices'!$I:$I)</f>
        <v>104.56</v>
      </c>
      <c r="G2249" cm="1">
        <f t="array" ref="G2249">_xlfn.XLOOKUP(TEXT(A2249, "mmm-yy"), TEXT([2]RUNS!$B$5:$B$208, "mmm-yy"), [2]RUNS!$D$5:$D$208, "Not Found")</f>
        <v>31340.57540883754</v>
      </c>
      <c r="H2249" cm="1">
        <f t="array" ref="H2249">SUMPRODUCT(
    --(TEXT('[3]Global Weekly Stock (EWSuez'!$B$4:$B$2000,"mmm-yy")=TEXT(A2249,"mmm-yy")),
    '[3]Global Weekly Stock (EWSuez'!$E$4:$E$2000)
/
SUMPRODUCT(
    --(TEXT('[3]Global Weekly Stock (EWSuez'!$B$4:$B$2000,"mmm-yy")=TEXT(A2249,"mmm-yy"))
)</f>
        <v>12921.75</v>
      </c>
      <c r="I2249">
        <f>_xlfn.XLOOKUP(A2249,[1]ForwardDeriv!$D:$D,[1]ForwardDeriv!$AJ:$AJ)</f>
        <v>3.5699999999999932</v>
      </c>
      <c r="J2249" cm="1">
        <f t="array" ref="J2249">_xlfn.XLOOKUP(TEXT(A2249, "mmm-yy"), TEXT([2]GASOLINE!$B$5:$B$208, "mmm-yy"), [2]GASOLINE!$IR$5:$IR$208, "Not Found")</f>
        <v>-154.17776536435895</v>
      </c>
      <c r="K2249" cm="1">
        <f t="array" ref="K2249">_xlfn.XLOOKUP(TEXT(A2249, "mmm-yy"), TEXT([2]GASOLINE!$B$5:$B$208, "mmm-yy"), [2]GASOLINE!$IK$5:$IK$208, "Not Found")</f>
        <v>189.92715140665982</v>
      </c>
      <c r="L2249">
        <f t="shared" si="35"/>
        <v>1</v>
      </c>
      <c r="M2249" cm="1">
        <f t="array" ref="M2249">_xlfn.XLOOKUP(TEXT(A2249, "mmm-yy"), TEXT([2]GASOLINE!$B$5:$B$208, "mmm-yy"), [2]GASOLINE!$C$5:$C$208, "Not Found")</f>
        <v>7968.2808155085277</v>
      </c>
      <c r="N2249" cm="1">
        <f t="array" ref="N2249">_xlfn.XLOOKUP(TEXT(A2249, "mmm-yy"), TEXT([2]RUNS!$B$5:$B$208, "mmm-yy"), [2]RUNS!$BM$5:$BM$208, "Not Found")</f>
        <v>0.8461758201420041</v>
      </c>
    </row>
    <row r="2250" spans="1:14" x14ac:dyDescent="0.25">
      <c r="A2250" s="1">
        <f>'[1]Global_Spot Prices'!$B3559</f>
        <v>45153</v>
      </c>
      <c r="B2250">
        <f>_xlfn.XLOOKUP(A2250,'[1]Global_Spot Prices'!$B:$B,'[1]Global_Spot Prices'!$BS:$BS)</f>
        <v>16.339999999999989</v>
      </c>
      <c r="C2250">
        <f>_xlfn.XLOOKUP(A2250,'[1]Global_Spot Prices'!$B:$B,'[1]Global_Spot Prices'!$E:$E)</f>
        <v>87.15</v>
      </c>
      <c r="D2250">
        <f>_xlfn.XLOOKUP(A2250,'[1]Global_Spot Prices'!$B:$B,'[1]Global_Spot Prices'!$D:$D)</f>
        <v>86.194999999999993</v>
      </c>
      <c r="E2250">
        <f>_xlfn.XLOOKUP(A2250,'[1]Global_Spot Prices'!$B:$B,'[1]Global_Spot Prices'!$H:$H)</f>
        <v>69.58</v>
      </c>
      <c r="F2250">
        <f>_xlfn.XLOOKUP(A2250,'[1]Global_Spot Prices'!$B:$B,'[1]Global_Spot Prices'!$I:$I)</f>
        <v>103.49</v>
      </c>
      <c r="G2250" cm="1">
        <f t="array" ref="G2250">_xlfn.XLOOKUP(TEXT(A2250, "mmm-yy"), TEXT([2]RUNS!$B$5:$B$208, "mmm-yy"), [2]RUNS!$D$5:$D$208, "Not Found")</f>
        <v>31340.57540883754</v>
      </c>
      <c r="H2250" cm="1">
        <f t="array" ref="H2250">SUMPRODUCT(
    --(TEXT('[3]Global Weekly Stock (EWSuez'!$B$4:$B$2000,"mmm-yy")=TEXT(A2250,"mmm-yy")),
    '[3]Global Weekly Stock (EWSuez'!$E$4:$E$2000)
/
SUMPRODUCT(
    --(TEXT('[3]Global Weekly Stock (EWSuez'!$B$4:$B$2000,"mmm-yy")=TEXT(A2250,"mmm-yy"))
)</f>
        <v>12921.75</v>
      </c>
      <c r="I2250">
        <f>_xlfn.XLOOKUP(A2250,[1]ForwardDeriv!$D:$D,[1]ForwardDeriv!$AJ:$AJ)</f>
        <v>3.7000000000000028</v>
      </c>
      <c r="J2250" cm="1">
        <f t="array" ref="J2250">_xlfn.XLOOKUP(TEXT(A2250, "mmm-yy"), TEXT([2]GASOLINE!$B$5:$B$208, "mmm-yy"), [2]GASOLINE!$IR$5:$IR$208, "Not Found")</f>
        <v>-154.17776536435895</v>
      </c>
      <c r="K2250" cm="1">
        <f t="array" ref="K2250">_xlfn.XLOOKUP(TEXT(A2250, "mmm-yy"), TEXT([2]GASOLINE!$B$5:$B$208, "mmm-yy"), [2]GASOLINE!$IK$5:$IK$208, "Not Found")</f>
        <v>189.92715140665982</v>
      </c>
      <c r="L2250">
        <f t="shared" si="35"/>
        <v>1</v>
      </c>
      <c r="M2250" cm="1">
        <f t="array" ref="M2250">_xlfn.XLOOKUP(TEXT(A2250, "mmm-yy"), TEXT([2]GASOLINE!$B$5:$B$208, "mmm-yy"), [2]GASOLINE!$C$5:$C$208, "Not Found")</f>
        <v>7968.2808155085277</v>
      </c>
      <c r="N2250" cm="1">
        <f t="array" ref="N2250">_xlfn.XLOOKUP(TEXT(A2250, "mmm-yy"), TEXT([2]RUNS!$B$5:$B$208, "mmm-yy"), [2]RUNS!$BM$5:$BM$208, "Not Found")</f>
        <v>0.8461758201420041</v>
      </c>
    </row>
    <row r="2251" spans="1:14" x14ac:dyDescent="0.25">
      <c r="A2251" s="1">
        <f>'[1]Global_Spot Prices'!$B3560</f>
        <v>45154</v>
      </c>
      <c r="B2251">
        <f>_xlfn.XLOOKUP(A2251,'[1]Global_Spot Prices'!$B:$B,'[1]Global_Spot Prices'!$BS:$BS)</f>
        <v>16.340000000000003</v>
      </c>
      <c r="C2251">
        <f>_xlfn.XLOOKUP(A2251,'[1]Global_Spot Prices'!$B:$B,'[1]Global_Spot Prices'!$E:$E)</f>
        <v>86.05</v>
      </c>
      <c r="D2251">
        <f>_xlfn.XLOOKUP(A2251,'[1]Global_Spot Prices'!$B:$B,'[1]Global_Spot Prices'!$D:$D)</f>
        <v>86.11</v>
      </c>
      <c r="E2251">
        <f>_xlfn.XLOOKUP(A2251,'[1]Global_Spot Prices'!$B:$B,'[1]Global_Spot Prices'!$H:$H)</f>
        <v>68.709999999999994</v>
      </c>
      <c r="F2251">
        <f>_xlfn.XLOOKUP(A2251,'[1]Global_Spot Prices'!$B:$B,'[1]Global_Spot Prices'!$I:$I)</f>
        <v>102.39</v>
      </c>
      <c r="G2251" cm="1">
        <f t="array" ref="G2251">_xlfn.XLOOKUP(TEXT(A2251, "mmm-yy"), TEXT([2]RUNS!$B$5:$B$208, "mmm-yy"), [2]RUNS!$D$5:$D$208, "Not Found")</f>
        <v>31340.57540883754</v>
      </c>
      <c r="H2251" cm="1">
        <f t="array" ref="H2251">SUMPRODUCT(
    --(TEXT('[3]Global Weekly Stock (EWSuez'!$B$4:$B$2000,"mmm-yy")=TEXT(A2251,"mmm-yy")),
    '[3]Global Weekly Stock (EWSuez'!$E$4:$E$2000)
/
SUMPRODUCT(
    --(TEXT('[3]Global Weekly Stock (EWSuez'!$B$4:$B$2000,"mmm-yy")=TEXT(A2251,"mmm-yy"))
)</f>
        <v>12921.75</v>
      </c>
      <c r="I2251">
        <f>_xlfn.XLOOKUP(A2251,[1]ForwardDeriv!$D:$D,[1]ForwardDeriv!$AJ:$AJ)</f>
        <v>3.9399999999999977</v>
      </c>
      <c r="J2251" cm="1">
        <f t="array" ref="J2251">_xlfn.XLOOKUP(TEXT(A2251, "mmm-yy"), TEXT([2]GASOLINE!$B$5:$B$208, "mmm-yy"), [2]GASOLINE!$IR$5:$IR$208, "Not Found")</f>
        <v>-154.17776536435895</v>
      </c>
      <c r="K2251" cm="1">
        <f t="array" ref="K2251">_xlfn.XLOOKUP(TEXT(A2251, "mmm-yy"), TEXT([2]GASOLINE!$B$5:$B$208, "mmm-yy"), [2]GASOLINE!$IK$5:$IK$208, "Not Found")</f>
        <v>189.92715140665982</v>
      </c>
      <c r="L2251">
        <f t="shared" si="35"/>
        <v>1</v>
      </c>
      <c r="M2251" cm="1">
        <f t="array" ref="M2251">_xlfn.XLOOKUP(TEXT(A2251, "mmm-yy"), TEXT([2]GASOLINE!$B$5:$B$208, "mmm-yy"), [2]GASOLINE!$C$5:$C$208, "Not Found")</f>
        <v>7968.2808155085277</v>
      </c>
      <c r="N2251" cm="1">
        <f t="array" ref="N2251">_xlfn.XLOOKUP(TEXT(A2251, "mmm-yy"), TEXT([2]RUNS!$B$5:$B$208, "mmm-yy"), [2]RUNS!$BM$5:$BM$208, "Not Found")</f>
        <v>0.8461758201420041</v>
      </c>
    </row>
    <row r="2252" spans="1:14" x14ac:dyDescent="0.25">
      <c r="A2252" s="1">
        <f>'[1]Global_Spot Prices'!$B3561</f>
        <v>45155</v>
      </c>
      <c r="B2252">
        <f>_xlfn.XLOOKUP(A2252,'[1]Global_Spot Prices'!$B:$B,'[1]Global_Spot Prices'!$BS:$BS)</f>
        <v>16.709999999999994</v>
      </c>
      <c r="C2252">
        <f>_xlfn.XLOOKUP(A2252,'[1]Global_Spot Prices'!$B:$B,'[1]Global_Spot Prices'!$E:$E)</f>
        <v>84.95</v>
      </c>
      <c r="D2252">
        <f>_xlfn.XLOOKUP(A2252,'[1]Global_Spot Prices'!$B:$B,'[1]Global_Spot Prices'!$D:$D)</f>
        <v>86.03</v>
      </c>
      <c r="E2252">
        <f>_xlfn.XLOOKUP(A2252,'[1]Global_Spot Prices'!$B:$B,'[1]Global_Spot Prices'!$H:$H)</f>
        <v>68.5</v>
      </c>
      <c r="F2252">
        <f>_xlfn.XLOOKUP(A2252,'[1]Global_Spot Prices'!$B:$B,'[1]Global_Spot Prices'!$I:$I)</f>
        <v>101.66</v>
      </c>
      <c r="G2252" cm="1">
        <f t="array" ref="G2252">_xlfn.XLOOKUP(TEXT(A2252, "mmm-yy"), TEXT([2]RUNS!$B$5:$B$208, "mmm-yy"), [2]RUNS!$D$5:$D$208, "Not Found")</f>
        <v>31340.57540883754</v>
      </c>
      <c r="H2252" cm="1">
        <f t="array" ref="H2252">SUMPRODUCT(
    --(TEXT('[3]Global Weekly Stock (EWSuez'!$B$4:$B$2000,"mmm-yy")=TEXT(A2252,"mmm-yy")),
    '[3]Global Weekly Stock (EWSuez'!$E$4:$E$2000)
/
SUMPRODUCT(
    --(TEXT('[3]Global Weekly Stock (EWSuez'!$B$4:$B$2000,"mmm-yy")=TEXT(A2252,"mmm-yy"))
)</f>
        <v>12921.75</v>
      </c>
      <c r="I2252">
        <f>_xlfn.XLOOKUP(A2252,[1]ForwardDeriv!$D:$D,[1]ForwardDeriv!$AJ:$AJ)</f>
        <v>3.8199999999999932</v>
      </c>
      <c r="J2252" cm="1">
        <f t="array" ref="J2252">_xlfn.XLOOKUP(TEXT(A2252, "mmm-yy"), TEXT([2]GASOLINE!$B$5:$B$208, "mmm-yy"), [2]GASOLINE!$IR$5:$IR$208, "Not Found")</f>
        <v>-154.17776536435895</v>
      </c>
      <c r="K2252" cm="1">
        <f t="array" ref="K2252">_xlfn.XLOOKUP(TEXT(A2252, "mmm-yy"), TEXT([2]GASOLINE!$B$5:$B$208, "mmm-yy"), [2]GASOLINE!$IK$5:$IK$208, "Not Found")</f>
        <v>189.92715140665982</v>
      </c>
      <c r="L2252">
        <f t="shared" si="35"/>
        <v>1</v>
      </c>
      <c r="M2252" cm="1">
        <f t="array" ref="M2252">_xlfn.XLOOKUP(TEXT(A2252, "mmm-yy"), TEXT([2]GASOLINE!$B$5:$B$208, "mmm-yy"), [2]GASOLINE!$C$5:$C$208, "Not Found")</f>
        <v>7968.2808155085277</v>
      </c>
      <c r="N2252" cm="1">
        <f t="array" ref="N2252">_xlfn.XLOOKUP(TEXT(A2252, "mmm-yy"), TEXT([2]RUNS!$B$5:$B$208, "mmm-yy"), [2]RUNS!$BM$5:$BM$208, "Not Found")</f>
        <v>0.8461758201420041</v>
      </c>
    </row>
    <row r="2253" spans="1:14" x14ac:dyDescent="0.25">
      <c r="A2253" s="1">
        <f>'[1]Global_Spot Prices'!$B3562</f>
        <v>45156</v>
      </c>
      <c r="B2253">
        <f>_xlfn.XLOOKUP(A2253,'[1]Global_Spot Prices'!$B:$B,'[1]Global_Spot Prices'!$BS:$BS)</f>
        <v>15.5</v>
      </c>
      <c r="C2253">
        <f>_xlfn.XLOOKUP(A2253,'[1]Global_Spot Prices'!$B:$B,'[1]Global_Spot Prices'!$E:$E)</f>
        <v>85.4</v>
      </c>
      <c r="D2253">
        <f>_xlfn.XLOOKUP(A2253,'[1]Global_Spot Prices'!$B:$B,'[1]Global_Spot Prices'!$D:$D)</f>
        <v>85.76</v>
      </c>
      <c r="E2253">
        <f>_xlfn.XLOOKUP(A2253,'[1]Global_Spot Prices'!$B:$B,'[1]Global_Spot Prices'!$H:$H)</f>
        <v>68.89</v>
      </c>
      <c r="F2253">
        <f>_xlfn.XLOOKUP(A2253,'[1]Global_Spot Prices'!$B:$B,'[1]Global_Spot Prices'!$I:$I)</f>
        <v>100.9</v>
      </c>
      <c r="G2253" cm="1">
        <f t="array" ref="G2253">_xlfn.XLOOKUP(TEXT(A2253, "mmm-yy"), TEXT([2]RUNS!$B$5:$B$208, "mmm-yy"), [2]RUNS!$D$5:$D$208, "Not Found")</f>
        <v>31340.57540883754</v>
      </c>
      <c r="H2253" cm="1">
        <f t="array" ref="H2253">SUMPRODUCT(
    --(TEXT('[3]Global Weekly Stock (EWSuez'!$B$4:$B$2000,"mmm-yy")=TEXT(A2253,"mmm-yy")),
    '[3]Global Weekly Stock (EWSuez'!$E$4:$E$2000)
/
SUMPRODUCT(
    --(TEXT('[3]Global Weekly Stock (EWSuez'!$B$4:$B$2000,"mmm-yy")=TEXT(A2253,"mmm-yy"))
)</f>
        <v>12921.75</v>
      </c>
      <c r="I2253">
        <f>_xlfn.XLOOKUP(A2253,[1]ForwardDeriv!$D:$D,[1]ForwardDeriv!$AJ:$AJ)</f>
        <v>3.6400000000000006</v>
      </c>
      <c r="J2253" cm="1">
        <f t="array" ref="J2253">_xlfn.XLOOKUP(TEXT(A2253, "mmm-yy"), TEXT([2]GASOLINE!$B$5:$B$208, "mmm-yy"), [2]GASOLINE!$IR$5:$IR$208, "Not Found")</f>
        <v>-154.17776536435895</v>
      </c>
      <c r="K2253" cm="1">
        <f t="array" ref="K2253">_xlfn.XLOOKUP(TEXT(A2253, "mmm-yy"), TEXT([2]GASOLINE!$B$5:$B$208, "mmm-yy"), [2]GASOLINE!$IK$5:$IK$208, "Not Found")</f>
        <v>189.92715140665982</v>
      </c>
      <c r="L2253">
        <f t="shared" si="35"/>
        <v>1</v>
      </c>
      <c r="M2253" cm="1">
        <f t="array" ref="M2253">_xlfn.XLOOKUP(TEXT(A2253, "mmm-yy"), TEXT([2]GASOLINE!$B$5:$B$208, "mmm-yy"), [2]GASOLINE!$C$5:$C$208, "Not Found")</f>
        <v>7968.2808155085277</v>
      </c>
      <c r="N2253" cm="1">
        <f t="array" ref="N2253">_xlfn.XLOOKUP(TEXT(A2253, "mmm-yy"), TEXT([2]RUNS!$B$5:$B$208, "mmm-yy"), [2]RUNS!$BM$5:$BM$208, "Not Found")</f>
        <v>0.8461758201420041</v>
      </c>
    </row>
    <row r="2254" spans="1:14" x14ac:dyDescent="0.25">
      <c r="A2254" s="1">
        <f>'[1]Global_Spot Prices'!$B3563</f>
        <v>45159</v>
      </c>
      <c r="B2254">
        <f>_xlfn.XLOOKUP(A2254,'[1]Global_Spot Prices'!$B:$B,'[1]Global_Spot Prices'!$BS:$BS)</f>
        <v>14.870000000000005</v>
      </c>
      <c r="C2254">
        <f>_xlfn.XLOOKUP(A2254,'[1]Global_Spot Prices'!$B:$B,'[1]Global_Spot Prices'!$E:$E)</f>
        <v>86.94</v>
      </c>
      <c r="D2254">
        <f>_xlfn.XLOOKUP(A2254,'[1]Global_Spot Prices'!$B:$B,'[1]Global_Spot Prices'!$D:$D)</f>
        <v>86.4</v>
      </c>
      <c r="E2254">
        <f>_xlfn.XLOOKUP(A2254,'[1]Global_Spot Prices'!$B:$B,'[1]Global_Spot Prices'!$H:$H)</f>
        <v>70.39</v>
      </c>
      <c r="F2254">
        <f>_xlfn.XLOOKUP(A2254,'[1]Global_Spot Prices'!$B:$B,'[1]Global_Spot Prices'!$I:$I)</f>
        <v>101.81</v>
      </c>
      <c r="G2254" cm="1">
        <f t="array" ref="G2254">_xlfn.XLOOKUP(TEXT(A2254, "mmm-yy"), TEXT([2]RUNS!$B$5:$B$208, "mmm-yy"), [2]RUNS!$D$5:$D$208, "Not Found")</f>
        <v>31340.57540883754</v>
      </c>
      <c r="H2254" cm="1">
        <f t="array" ref="H2254">SUMPRODUCT(
    --(TEXT('[3]Global Weekly Stock (EWSuez'!$B$4:$B$2000,"mmm-yy")=TEXT(A2254,"mmm-yy")),
    '[3]Global Weekly Stock (EWSuez'!$E$4:$E$2000)
/
SUMPRODUCT(
    --(TEXT('[3]Global Weekly Stock (EWSuez'!$B$4:$B$2000,"mmm-yy")=TEXT(A2254,"mmm-yy"))
)</f>
        <v>12921.75</v>
      </c>
      <c r="I2254">
        <f>_xlfn.XLOOKUP(A2254,[1]ForwardDeriv!$D:$D,[1]ForwardDeriv!$AJ:$AJ)</f>
        <v>3.7000000000000028</v>
      </c>
      <c r="J2254" cm="1">
        <f t="array" ref="J2254">_xlfn.XLOOKUP(TEXT(A2254, "mmm-yy"), TEXT([2]GASOLINE!$B$5:$B$208, "mmm-yy"), [2]GASOLINE!$IR$5:$IR$208, "Not Found")</f>
        <v>-154.17776536435895</v>
      </c>
      <c r="K2254" cm="1">
        <f t="array" ref="K2254">_xlfn.XLOOKUP(TEXT(A2254, "mmm-yy"), TEXT([2]GASOLINE!$B$5:$B$208, "mmm-yy"), [2]GASOLINE!$IK$5:$IK$208, "Not Found")</f>
        <v>189.92715140665982</v>
      </c>
      <c r="L2254">
        <f t="shared" si="35"/>
        <v>1</v>
      </c>
      <c r="M2254" cm="1">
        <f t="array" ref="M2254">_xlfn.XLOOKUP(TEXT(A2254, "mmm-yy"), TEXT([2]GASOLINE!$B$5:$B$208, "mmm-yy"), [2]GASOLINE!$C$5:$C$208, "Not Found")</f>
        <v>7968.2808155085277</v>
      </c>
      <c r="N2254" cm="1">
        <f t="array" ref="N2254">_xlfn.XLOOKUP(TEXT(A2254, "mmm-yy"), TEXT([2]RUNS!$B$5:$B$208, "mmm-yy"), [2]RUNS!$BM$5:$BM$208, "Not Found")</f>
        <v>0.8461758201420041</v>
      </c>
    </row>
    <row r="2255" spans="1:14" x14ac:dyDescent="0.25">
      <c r="A2255" s="1">
        <f>'[1]Global_Spot Prices'!$B3564</f>
        <v>45160</v>
      </c>
      <c r="B2255">
        <f>_xlfn.XLOOKUP(A2255,'[1]Global_Spot Prices'!$B:$B,'[1]Global_Spot Prices'!$BS:$BS)</f>
        <v>15.849999999999994</v>
      </c>
      <c r="C2255">
        <f>_xlfn.XLOOKUP(A2255,'[1]Global_Spot Prices'!$B:$B,'[1]Global_Spot Prices'!$E:$E)</f>
        <v>85.75</v>
      </c>
      <c r="D2255">
        <f>_xlfn.XLOOKUP(A2255,'[1]Global_Spot Prices'!$B:$B,'[1]Global_Spot Prices'!$D:$D)</f>
        <v>85.32</v>
      </c>
      <c r="E2255">
        <f>_xlfn.XLOOKUP(A2255,'[1]Global_Spot Prices'!$B:$B,'[1]Global_Spot Prices'!$H:$H)</f>
        <v>69.94</v>
      </c>
      <c r="F2255">
        <f>_xlfn.XLOOKUP(A2255,'[1]Global_Spot Prices'!$B:$B,'[1]Global_Spot Prices'!$I:$I)</f>
        <v>101.6</v>
      </c>
      <c r="G2255" cm="1">
        <f t="array" ref="G2255">_xlfn.XLOOKUP(TEXT(A2255, "mmm-yy"), TEXT([2]RUNS!$B$5:$B$208, "mmm-yy"), [2]RUNS!$D$5:$D$208, "Not Found")</f>
        <v>31340.57540883754</v>
      </c>
      <c r="H2255" cm="1">
        <f t="array" ref="H2255">SUMPRODUCT(
    --(TEXT('[3]Global Weekly Stock (EWSuez'!$B$4:$B$2000,"mmm-yy")=TEXT(A2255,"mmm-yy")),
    '[3]Global Weekly Stock (EWSuez'!$E$4:$E$2000)
/
SUMPRODUCT(
    --(TEXT('[3]Global Weekly Stock (EWSuez'!$B$4:$B$2000,"mmm-yy")=TEXT(A2255,"mmm-yy"))
)</f>
        <v>12921.75</v>
      </c>
      <c r="I2255">
        <f>_xlfn.XLOOKUP(A2255,[1]ForwardDeriv!$D:$D,[1]ForwardDeriv!$AJ:$AJ)</f>
        <v>3.75</v>
      </c>
      <c r="J2255" cm="1">
        <f t="array" ref="J2255">_xlfn.XLOOKUP(TEXT(A2255, "mmm-yy"), TEXT([2]GASOLINE!$B$5:$B$208, "mmm-yy"), [2]GASOLINE!$IR$5:$IR$208, "Not Found")</f>
        <v>-154.17776536435895</v>
      </c>
      <c r="K2255" cm="1">
        <f t="array" ref="K2255">_xlfn.XLOOKUP(TEXT(A2255, "mmm-yy"), TEXT([2]GASOLINE!$B$5:$B$208, "mmm-yy"), [2]GASOLINE!$IK$5:$IK$208, "Not Found")</f>
        <v>189.92715140665982</v>
      </c>
      <c r="L2255">
        <f t="shared" si="35"/>
        <v>1</v>
      </c>
      <c r="M2255" cm="1">
        <f t="array" ref="M2255">_xlfn.XLOOKUP(TEXT(A2255, "mmm-yy"), TEXT([2]GASOLINE!$B$5:$B$208, "mmm-yy"), [2]GASOLINE!$C$5:$C$208, "Not Found")</f>
        <v>7968.2808155085277</v>
      </c>
      <c r="N2255" cm="1">
        <f t="array" ref="N2255">_xlfn.XLOOKUP(TEXT(A2255, "mmm-yy"), TEXT([2]RUNS!$B$5:$B$208, "mmm-yy"), [2]RUNS!$BM$5:$BM$208, "Not Found")</f>
        <v>0.8461758201420041</v>
      </c>
    </row>
    <row r="2256" spans="1:14" x14ac:dyDescent="0.25">
      <c r="A2256" s="1">
        <f>'[1]Global_Spot Prices'!$B3565</f>
        <v>45161</v>
      </c>
      <c r="B2256">
        <f>_xlfn.XLOOKUP(A2256,'[1]Global_Spot Prices'!$B:$B,'[1]Global_Spot Prices'!$BS:$BS)</f>
        <v>17.940000000000012</v>
      </c>
      <c r="C2256">
        <f>_xlfn.XLOOKUP(A2256,'[1]Global_Spot Prices'!$B:$B,'[1]Global_Spot Prices'!$E:$E)</f>
        <v>85.35</v>
      </c>
      <c r="D2256">
        <f>_xlfn.XLOOKUP(A2256,'[1]Global_Spot Prices'!$B:$B,'[1]Global_Spot Prices'!$D:$D)</f>
        <v>84.14</v>
      </c>
      <c r="E2256">
        <f ca="1">_xlfn.XLOOKUP(A2256,'[1]Global_Spot Prices'!$B:$B,'[1]Global_Spot Prices'!$H:$H)</f>
        <v>69.88</v>
      </c>
      <c r="F2256">
        <f>_xlfn.XLOOKUP(A2256,'[1]Global_Spot Prices'!$B:$B,'[1]Global_Spot Prices'!$I:$I)</f>
        <v>103.29</v>
      </c>
      <c r="G2256" cm="1">
        <f t="array" ref="G2256">_xlfn.XLOOKUP(TEXT(A2256, "mmm-yy"), TEXT([2]RUNS!$B$5:$B$208, "mmm-yy"), [2]RUNS!$D$5:$D$208, "Not Found")</f>
        <v>31340.57540883754</v>
      </c>
      <c r="H2256" cm="1">
        <f t="array" ref="H2256">SUMPRODUCT(
    --(TEXT('[3]Global Weekly Stock (EWSuez'!$B$4:$B$2000,"mmm-yy")=TEXT(A2256,"mmm-yy")),
    '[3]Global Weekly Stock (EWSuez'!$E$4:$E$2000)
/
SUMPRODUCT(
    --(TEXT('[3]Global Weekly Stock (EWSuez'!$B$4:$B$2000,"mmm-yy")=TEXT(A2256,"mmm-yy"))
)</f>
        <v>12921.75</v>
      </c>
      <c r="I2256">
        <f>_xlfn.XLOOKUP(A2256,[1]ForwardDeriv!$D:$D,[1]ForwardDeriv!$AJ:$AJ)</f>
        <v>4.0700000000000074</v>
      </c>
      <c r="J2256" cm="1">
        <f t="array" ref="J2256">_xlfn.XLOOKUP(TEXT(A2256, "mmm-yy"), TEXT([2]GASOLINE!$B$5:$B$208, "mmm-yy"), [2]GASOLINE!$IR$5:$IR$208, "Not Found")</f>
        <v>-154.17776536435895</v>
      </c>
      <c r="K2256" cm="1">
        <f t="array" ref="K2256">_xlfn.XLOOKUP(TEXT(A2256, "mmm-yy"), TEXT([2]GASOLINE!$B$5:$B$208, "mmm-yy"), [2]GASOLINE!$IK$5:$IK$208, "Not Found")</f>
        <v>189.92715140665982</v>
      </c>
      <c r="L2256">
        <f t="shared" si="35"/>
        <v>1</v>
      </c>
      <c r="M2256" cm="1">
        <f t="array" ref="M2256">_xlfn.XLOOKUP(TEXT(A2256, "mmm-yy"), TEXT([2]GASOLINE!$B$5:$B$208, "mmm-yy"), [2]GASOLINE!$C$5:$C$208, "Not Found")</f>
        <v>7968.2808155085277</v>
      </c>
      <c r="N2256" cm="1">
        <f t="array" ref="N2256">_xlfn.XLOOKUP(TEXT(A2256, "mmm-yy"), TEXT([2]RUNS!$B$5:$B$208, "mmm-yy"), [2]RUNS!$BM$5:$BM$208, "Not Found")</f>
        <v>0.8461758201420041</v>
      </c>
    </row>
    <row r="2257" spans="1:14" x14ac:dyDescent="0.25">
      <c r="A2257" s="1">
        <f>'[1]Global_Spot Prices'!$B3566</f>
        <v>45162</v>
      </c>
      <c r="B2257">
        <f>_xlfn.XLOOKUP(A2257,'[1]Global_Spot Prices'!$B:$B,'[1]Global_Spot Prices'!$BS:$BS)</f>
        <v>18.230000000000004</v>
      </c>
      <c r="C2257">
        <f>_xlfn.XLOOKUP(A2257,'[1]Global_Spot Prices'!$B:$B,'[1]Global_Spot Prices'!$E:$E)</f>
        <v>85.1</v>
      </c>
      <c r="D2257">
        <f>_xlfn.XLOOKUP(A2257,'[1]Global_Spot Prices'!$B:$B,'[1]Global_Spot Prices'!$D:$D)</f>
        <v>83.974999999999994</v>
      </c>
      <c r="E2257">
        <f>_xlfn.XLOOKUP(A2257,'[1]Global_Spot Prices'!$B:$B,'[1]Global_Spot Prices'!$H:$H)</f>
        <v>70.650000000000006</v>
      </c>
      <c r="F2257">
        <f>_xlfn.XLOOKUP(A2257,'[1]Global_Spot Prices'!$B:$B,'[1]Global_Spot Prices'!$I:$I)</f>
        <v>103.33</v>
      </c>
      <c r="G2257" cm="1">
        <f t="array" ref="G2257">_xlfn.XLOOKUP(TEXT(A2257, "mmm-yy"), TEXT([2]RUNS!$B$5:$B$208, "mmm-yy"), [2]RUNS!$D$5:$D$208, "Not Found")</f>
        <v>31340.57540883754</v>
      </c>
      <c r="H2257" cm="1">
        <f t="array" ref="H2257">SUMPRODUCT(
    --(TEXT('[3]Global Weekly Stock (EWSuez'!$B$4:$B$2000,"mmm-yy")=TEXT(A2257,"mmm-yy")),
    '[3]Global Weekly Stock (EWSuez'!$E$4:$E$2000)
/
SUMPRODUCT(
    --(TEXT('[3]Global Weekly Stock (EWSuez'!$B$4:$B$2000,"mmm-yy")=TEXT(A2257,"mmm-yy"))
)</f>
        <v>12921.75</v>
      </c>
      <c r="I2257">
        <f>_xlfn.XLOOKUP(A2257,[1]ForwardDeriv!$D:$D,[1]ForwardDeriv!$AJ:$AJ)</f>
        <v>4.1800000000000068</v>
      </c>
      <c r="J2257" cm="1">
        <f t="array" ref="J2257">_xlfn.XLOOKUP(TEXT(A2257, "mmm-yy"), TEXT([2]GASOLINE!$B$5:$B$208, "mmm-yy"), [2]GASOLINE!$IR$5:$IR$208, "Not Found")</f>
        <v>-154.17776536435895</v>
      </c>
      <c r="K2257" cm="1">
        <f t="array" ref="K2257">_xlfn.XLOOKUP(TEXT(A2257, "mmm-yy"), TEXT([2]GASOLINE!$B$5:$B$208, "mmm-yy"), [2]GASOLINE!$IK$5:$IK$208, "Not Found")</f>
        <v>189.92715140665982</v>
      </c>
      <c r="L2257">
        <f t="shared" si="35"/>
        <v>1</v>
      </c>
      <c r="M2257" cm="1">
        <f t="array" ref="M2257">_xlfn.XLOOKUP(TEXT(A2257, "mmm-yy"), TEXT([2]GASOLINE!$B$5:$B$208, "mmm-yy"), [2]GASOLINE!$C$5:$C$208, "Not Found")</f>
        <v>7968.2808155085277</v>
      </c>
      <c r="N2257" cm="1">
        <f t="array" ref="N2257">_xlfn.XLOOKUP(TEXT(A2257, "mmm-yy"), TEXT([2]RUNS!$B$5:$B$208, "mmm-yy"), [2]RUNS!$BM$5:$BM$208, "Not Found")</f>
        <v>0.8461758201420041</v>
      </c>
    </row>
    <row r="2258" spans="1:14" x14ac:dyDescent="0.25">
      <c r="A2258" s="1">
        <f>'[1]Global_Spot Prices'!$B3567</f>
        <v>45163</v>
      </c>
      <c r="B2258">
        <f>_xlfn.XLOOKUP(A2258,'[1]Global_Spot Prices'!$B:$B,'[1]Global_Spot Prices'!$BS:$BS)</f>
        <v>18.78</v>
      </c>
      <c r="C2258">
        <f>_xlfn.XLOOKUP(A2258,'[1]Global_Spot Prices'!$B:$B,'[1]Global_Spot Prices'!$E:$E)</f>
        <v>86.2</v>
      </c>
      <c r="D2258">
        <f>_xlfn.XLOOKUP(A2258,'[1]Global_Spot Prices'!$B:$B,'[1]Global_Spot Prices'!$D:$D)</f>
        <v>85.234999999999999</v>
      </c>
      <c r="E2258">
        <f>_xlfn.XLOOKUP(A2258,'[1]Global_Spot Prices'!$B:$B,'[1]Global_Spot Prices'!$H:$H)</f>
        <v>71.09</v>
      </c>
      <c r="F2258">
        <f>_xlfn.XLOOKUP(A2258,'[1]Global_Spot Prices'!$B:$B,'[1]Global_Spot Prices'!$I:$I)</f>
        <v>104.98</v>
      </c>
      <c r="G2258" cm="1">
        <f t="array" ref="G2258">_xlfn.XLOOKUP(TEXT(A2258, "mmm-yy"), TEXT([2]RUNS!$B$5:$B$208, "mmm-yy"), [2]RUNS!$D$5:$D$208, "Not Found")</f>
        <v>31340.57540883754</v>
      </c>
      <c r="H2258" cm="1">
        <f t="array" ref="H2258">SUMPRODUCT(
    --(TEXT('[3]Global Weekly Stock (EWSuez'!$B$4:$B$2000,"mmm-yy")=TEXT(A2258,"mmm-yy")),
    '[3]Global Weekly Stock (EWSuez'!$E$4:$E$2000)
/
SUMPRODUCT(
    --(TEXT('[3]Global Weekly Stock (EWSuez'!$B$4:$B$2000,"mmm-yy")=TEXT(A2258,"mmm-yy"))
)</f>
        <v>12921.75</v>
      </c>
      <c r="I2258">
        <f>_xlfn.XLOOKUP(A2258,[1]ForwardDeriv!$D:$D,[1]ForwardDeriv!$AJ:$AJ)</f>
        <v>4.1500000000000057</v>
      </c>
      <c r="J2258" cm="1">
        <f t="array" ref="J2258">_xlfn.XLOOKUP(TEXT(A2258, "mmm-yy"), TEXT([2]GASOLINE!$B$5:$B$208, "mmm-yy"), [2]GASOLINE!$IR$5:$IR$208, "Not Found")</f>
        <v>-154.17776536435895</v>
      </c>
      <c r="K2258" cm="1">
        <f t="array" ref="K2258">_xlfn.XLOOKUP(TEXT(A2258, "mmm-yy"), TEXT([2]GASOLINE!$B$5:$B$208, "mmm-yy"), [2]GASOLINE!$IK$5:$IK$208, "Not Found")</f>
        <v>189.92715140665982</v>
      </c>
      <c r="L2258">
        <f t="shared" si="35"/>
        <v>1</v>
      </c>
      <c r="M2258" cm="1">
        <f t="array" ref="M2258">_xlfn.XLOOKUP(TEXT(A2258, "mmm-yy"), TEXT([2]GASOLINE!$B$5:$B$208, "mmm-yy"), [2]GASOLINE!$C$5:$C$208, "Not Found")</f>
        <v>7968.2808155085277</v>
      </c>
      <c r="N2258" cm="1">
        <f t="array" ref="N2258">_xlfn.XLOOKUP(TEXT(A2258, "mmm-yy"), TEXT([2]RUNS!$B$5:$B$208, "mmm-yy"), [2]RUNS!$BM$5:$BM$208, "Not Found")</f>
        <v>0.8461758201420041</v>
      </c>
    </row>
    <row r="2259" spans="1:14" x14ac:dyDescent="0.25">
      <c r="A2259" s="1">
        <f>'[1]Global_Spot Prices'!$B3568</f>
        <v>45166</v>
      </c>
      <c r="B2259">
        <f>_xlfn.XLOOKUP(A2259,'[1]Global_Spot Prices'!$B:$B,'[1]Global_Spot Prices'!$BS:$BS)</f>
        <v>18.47</v>
      </c>
      <c r="C2259">
        <f>_xlfn.XLOOKUP(A2259,'[1]Global_Spot Prices'!$B:$B,'[1]Global_Spot Prices'!$E:$E)</f>
        <v>86.3</v>
      </c>
      <c r="D2259" t="str">
        <f>_xlfn.XLOOKUP(A2259,'[1]Global_Spot Prices'!$B:$B,'[1]Global_Spot Prices'!$D:$D)</f>
        <v/>
      </c>
      <c r="E2259">
        <f>_xlfn.XLOOKUP(A2259,'[1]Global_Spot Prices'!$B:$B,'[1]Global_Spot Prices'!$H:$H)</f>
        <v>71.290000000000006</v>
      </c>
      <c r="F2259">
        <f>_xlfn.XLOOKUP(A2259,'[1]Global_Spot Prices'!$B:$B,'[1]Global_Spot Prices'!$I:$I)</f>
        <v>104.77</v>
      </c>
      <c r="G2259" cm="1">
        <f t="array" ref="G2259">_xlfn.XLOOKUP(TEXT(A2259, "mmm-yy"), TEXT([2]RUNS!$B$5:$B$208, "mmm-yy"), [2]RUNS!$D$5:$D$208, "Not Found")</f>
        <v>31340.57540883754</v>
      </c>
      <c r="H2259" cm="1">
        <f t="array" ref="H2259">SUMPRODUCT(
    --(TEXT('[3]Global Weekly Stock (EWSuez'!$B$4:$B$2000,"mmm-yy")=TEXT(A2259,"mmm-yy")),
    '[3]Global Weekly Stock (EWSuez'!$E$4:$E$2000)
/
SUMPRODUCT(
    --(TEXT('[3]Global Weekly Stock (EWSuez'!$B$4:$B$2000,"mmm-yy")=TEXT(A2259,"mmm-yy"))
)</f>
        <v>12921.75</v>
      </c>
      <c r="I2259">
        <f>_xlfn.XLOOKUP(A2259,[1]ForwardDeriv!$D:$D,[1]ForwardDeriv!$AJ:$AJ)</f>
        <v>4.1899999999999977</v>
      </c>
      <c r="J2259" cm="1">
        <f t="array" ref="J2259">_xlfn.XLOOKUP(TEXT(A2259, "mmm-yy"), TEXT([2]GASOLINE!$B$5:$B$208, "mmm-yy"), [2]GASOLINE!$IR$5:$IR$208, "Not Found")</f>
        <v>-154.17776536435895</v>
      </c>
      <c r="K2259" cm="1">
        <f t="array" ref="K2259">_xlfn.XLOOKUP(TEXT(A2259, "mmm-yy"), TEXT([2]GASOLINE!$B$5:$B$208, "mmm-yy"), [2]GASOLINE!$IK$5:$IK$208, "Not Found")</f>
        <v>189.92715140665982</v>
      </c>
      <c r="L2259">
        <f t="shared" si="35"/>
        <v>1</v>
      </c>
      <c r="M2259" cm="1">
        <f t="array" ref="M2259">_xlfn.XLOOKUP(TEXT(A2259, "mmm-yy"), TEXT([2]GASOLINE!$B$5:$B$208, "mmm-yy"), [2]GASOLINE!$C$5:$C$208, "Not Found")</f>
        <v>7968.2808155085277</v>
      </c>
      <c r="N2259" cm="1">
        <f t="array" ref="N2259">_xlfn.XLOOKUP(TEXT(A2259, "mmm-yy"), TEXT([2]RUNS!$B$5:$B$208, "mmm-yy"), [2]RUNS!$BM$5:$BM$208, "Not Found")</f>
        <v>0.8461758201420041</v>
      </c>
    </row>
    <row r="2260" spans="1:14" x14ac:dyDescent="0.25">
      <c r="A2260" s="1">
        <f>'[1]Global_Spot Prices'!$B3569</f>
        <v>45167</v>
      </c>
      <c r="B2260">
        <f>_xlfn.XLOOKUP(A2260,'[1]Global_Spot Prices'!$B:$B,'[1]Global_Spot Prices'!$BS:$BS)</f>
        <v>17.210000000000008</v>
      </c>
      <c r="C2260">
        <f>_xlfn.XLOOKUP(A2260,'[1]Global_Spot Prices'!$B:$B,'[1]Global_Spot Prices'!$E:$E)</f>
        <v>86.1</v>
      </c>
      <c r="D2260">
        <f>_xlfn.XLOOKUP(A2260,'[1]Global_Spot Prices'!$B:$B,'[1]Global_Spot Prices'!$D:$D)</f>
        <v>85.864999999999995</v>
      </c>
      <c r="E2260">
        <f>_xlfn.XLOOKUP(A2260,'[1]Global_Spot Prices'!$B:$B,'[1]Global_Spot Prices'!$H:$H)</f>
        <v>71.13</v>
      </c>
      <c r="F2260">
        <f>_xlfn.XLOOKUP(A2260,'[1]Global_Spot Prices'!$B:$B,'[1]Global_Spot Prices'!$I:$I)</f>
        <v>103.31</v>
      </c>
      <c r="G2260" cm="1">
        <f t="array" ref="G2260">_xlfn.XLOOKUP(TEXT(A2260, "mmm-yy"), TEXT([2]RUNS!$B$5:$B$208, "mmm-yy"), [2]RUNS!$D$5:$D$208, "Not Found")</f>
        <v>31340.57540883754</v>
      </c>
      <c r="H2260" cm="1">
        <f t="array" ref="H2260">SUMPRODUCT(
    --(TEXT('[3]Global Weekly Stock (EWSuez'!$B$4:$B$2000,"mmm-yy")=TEXT(A2260,"mmm-yy")),
    '[3]Global Weekly Stock (EWSuez'!$E$4:$E$2000)
/
SUMPRODUCT(
    --(TEXT('[3]Global Weekly Stock (EWSuez'!$B$4:$B$2000,"mmm-yy")=TEXT(A2260,"mmm-yy"))
)</f>
        <v>12921.75</v>
      </c>
      <c r="I2260">
        <f>_xlfn.XLOOKUP(A2260,[1]ForwardDeriv!$D:$D,[1]ForwardDeriv!$AJ:$AJ)</f>
        <v>3.960000000000008</v>
      </c>
      <c r="J2260" cm="1">
        <f t="array" ref="J2260">_xlfn.XLOOKUP(TEXT(A2260, "mmm-yy"), TEXT([2]GASOLINE!$B$5:$B$208, "mmm-yy"), [2]GASOLINE!$IR$5:$IR$208, "Not Found")</f>
        <v>-154.17776536435895</v>
      </c>
      <c r="K2260" cm="1">
        <f t="array" ref="K2260">_xlfn.XLOOKUP(TEXT(A2260, "mmm-yy"), TEXT([2]GASOLINE!$B$5:$B$208, "mmm-yy"), [2]GASOLINE!$IK$5:$IK$208, "Not Found")</f>
        <v>189.92715140665982</v>
      </c>
      <c r="L2260">
        <f t="shared" si="35"/>
        <v>1</v>
      </c>
      <c r="M2260" cm="1">
        <f t="array" ref="M2260">_xlfn.XLOOKUP(TEXT(A2260, "mmm-yy"), TEXT([2]GASOLINE!$B$5:$B$208, "mmm-yy"), [2]GASOLINE!$C$5:$C$208, "Not Found")</f>
        <v>7968.2808155085277</v>
      </c>
      <c r="N2260" cm="1">
        <f t="array" ref="N2260">_xlfn.XLOOKUP(TEXT(A2260, "mmm-yy"), TEXT([2]RUNS!$B$5:$B$208, "mmm-yy"), [2]RUNS!$BM$5:$BM$208, "Not Found")</f>
        <v>0.8461758201420041</v>
      </c>
    </row>
    <row r="2261" spans="1:14" x14ac:dyDescent="0.25">
      <c r="A2261" s="1">
        <f>'[1]Global_Spot Prices'!$B3570</f>
        <v>45168</v>
      </c>
      <c r="B2261">
        <f>_xlfn.XLOOKUP(A2261,'[1]Global_Spot Prices'!$B:$B,'[1]Global_Spot Prices'!$BS:$BS)</f>
        <v>16.149999999999991</v>
      </c>
      <c r="C2261">
        <f>_xlfn.XLOOKUP(A2261,'[1]Global_Spot Prices'!$B:$B,'[1]Global_Spot Prices'!$E:$E)</f>
        <v>86.79</v>
      </c>
      <c r="D2261">
        <f ca="1">_xlfn.XLOOKUP(A2261,'[1]Global_Spot Prices'!$B:$B,'[1]Global_Spot Prices'!$D:$D)</f>
        <v>86.094999999999999</v>
      </c>
      <c r="E2261">
        <f ca="1">_xlfn.XLOOKUP(A2261,'[1]Global_Spot Prices'!$B:$B,'[1]Global_Spot Prices'!$H:$H)</f>
        <v>71.33</v>
      </c>
      <c r="F2261">
        <f>_xlfn.XLOOKUP(A2261,'[1]Global_Spot Prices'!$B:$B,'[1]Global_Spot Prices'!$I:$I)</f>
        <v>102.94</v>
      </c>
      <c r="G2261" cm="1">
        <f t="array" ref="G2261">_xlfn.XLOOKUP(TEXT(A2261, "mmm-yy"), TEXT([2]RUNS!$B$5:$B$208, "mmm-yy"), [2]RUNS!$D$5:$D$208, "Not Found")</f>
        <v>31340.57540883754</v>
      </c>
      <c r="H2261" cm="1">
        <f t="array" ref="H2261">SUMPRODUCT(
    --(TEXT('[3]Global Weekly Stock (EWSuez'!$B$4:$B$2000,"mmm-yy")=TEXT(A2261,"mmm-yy")),
    '[3]Global Weekly Stock (EWSuez'!$E$4:$E$2000)
/
SUMPRODUCT(
    --(TEXT('[3]Global Weekly Stock (EWSuez'!$B$4:$B$2000,"mmm-yy")=TEXT(A2261,"mmm-yy"))
)</f>
        <v>12921.75</v>
      </c>
      <c r="I2261">
        <f>_xlfn.XLOOKUP(A2261,[1]ForwardDeriv!$D:$D,[1]ForwardDeriv!$AJ:$AJ)</f>
        <v>3.7000000000000028</v>
      </c>
      <c r="J2261" cm="1">
        <f t="array" ref="J2261">_xlfn.XLOOKUP(TEXT(A2261, "mmm-yy"), TEXT([2]GASOLINE!$B$5:$B$208, "mmm-yy"), [2]GASOLINE!$IR$5:$IR$208, "Not Found")</f>
        <v>-154.17776536435895</v>
      </c>
      <c r="K2261" cm="1">
        <f t="array" ref="K2261">_xlfn.XLOOKUP(TEXT(A2261, "mmm-yy"), TEXT([2]GASOLINE!$B$5:$B$208, "mmm-yy"), [2]GASOLINE!$IK$5:$IK$208, "Not Found")</f>
        <v>189.92715140665982</v>
      </c>
      <c r="L2261">
        <f t="shared" si="35"/>
        <v>1</v>
      </c>
      <c r="M2261" cm="1">
        <f t="array" ref="M2261">_xlfn.XLOOKUP(TEXT(A2261, "mmm-yy"), TEXT([2]GASOLINE!$B$5:$B$208, "mmm-yy"), [2]GASOLINE!$C$5:$C$208, "Not Found")</f>
        <v>7968.2808155085277</v>
      </c>
      <c r="N2261" cm="1">
        <f t="array" ref="N2261">_xlfn.XLOOKUP(TEXT(A2261, "mmm-yy"), TEXT([2]RUNS!$B$5:$B$208, "mmm-yy"), [2]RUNS!$BM$5:$BM$208, "Not Found")</f>
        <v>0.8461758201420041</v>
      </c>
    </row>
    <row r="2262" spans="1:14" x14ac:dyDescent="0.25">
      <c r="A2262" s="1">
        <f>'[1]Global_Spot Prices'!$B3571</f>
        <v>45169</v>
      </c>
      <c r="B2262">
        <f>_xlfn.XLOOKUP(A2262,'[1]Global_Spot Prices'!$B:$B,'[1]Global_Spot Prices'!$BS:$BS)</f>
        <v>14.75</v>
      </c>
      <c r="C2262">
        <f>_xlfn.XLOOKUP(A2262,'[1]Global_Spot Prices'!$B:$B,'[1]Global_Spot Prices'!$E:$E)</f>
        <v>87.54</v>
      </c>
      <c r="D2262">
        <f>_xlfn.XLOOKUP(A2262,'[1]Global_Spot Prices'!$B:$B,'[1]Global_Spot Prices'!$D:$D)</f>
        <v>87.36</v>
      </c>
      <c r="E2262">
        <f>_xlfn.XLOOKUP(A2262,'[1]Global_Spot Prices'!$B:$B,'[1]Global_Spot Prices'!$H:$H)</f>
        <v>71.11</v>
      </c>
      <c r="F2262">
        <f>_xlfn.XLOOKUP(A2262,'[1]Global_Spot Prices'!$B:$B,'[1]Global_Spot Prices'!$I:$I)</f>
        <v>102.29</v>
      </c>
      <c r="G2262" cm="1">
        <f t="array" ref="G2262">_xlfn.XLOOKUP(TEXT(A2262, "mmm-yy"), TEXT([2]RUNS!$B$5:$B$208, "mmm-yy"), [2]RUNS!$D$5:$D$208, "Not Found")</f>
        <v>31340.57540883754</v>
      </c>
      <c r="H2262" cm="1">
        <f t="array" ref="H2262">SUMPRODUCT(
    --(TEXT('[3]Global Weekly Stock (EWSuez'!$B$4:$B$2000,"mmm-yy")=TEXT(A2262,"mmm-yy")),
    '[3]Global Weekly Stock (EWSuez'!$E$4:$E$2000)
/
SUMPRODUCT(
    --(TEXT('[3]Global Weekly Stock (EWSuez'!$B$4:$B$2000,"mmm-yy")=TEXT(A2262,"mmm-yy"))
)</f>
        <v>12921.75</v>
      </c>
      <c r="I2262">
        <f>_xlfn.XLOOKUP(A2262,[1]ForwardDeriv!$D:$D,[1]ForwardDeriv!$AJ:$AJ)</f>
        <v>3.7099999999999937</v>
      </c>
      <c r="J2262" cm="1">
        <f t="array" ref="J2262">_xlfn.XLOOKUP(TEXT(A2262, "mmm-yy"), TEXT([2]GASOLINE!$B$5:$B$208, "mmm-yy"), [2]GASOLINE!$IR$5:$IR$208, "Not Found")</f>
        <v>-154.17776536435895</v>
      </c>
      <c r="K2262" cm="1">
        <f t="array" ref="K2262">_xlfn.XLOOKUP(TEXT(A2262, "mmm-yy"), TEXT([2]GASOLINE!$B$5:$B$208, "mmm-yy"), [2]GASOLINE!$IK$5:$IK$208, "Not Found")</f>
        <v>189.92715140665982</v>
      </c>
      <c r="L2262">
        <f t="shared" si="35"/>
        <v>1</v>
      </c>
      <c r="M2262" cm="1">
        <f t="array" ref="M2262">_xlfn.XLOOKUP(TEXT(A2262, "mmm-yy"), TEXT([2]GASOLINE!$B$5:$B$208, "mmm-yy"), [2]GASOLINE!$C$5:$C$208, "Not Found")</f>
        <v>7968.2808155085277</v>
      </c>
      <c r="N2262" cm="1">
        <f t="array" ref="N2262">_xlfn.XLOOKUP(TEXT(A2262, "mmm-yy"), TEXT([2]RUNS!$B$5:$B$208, "mmm-yy"), [2]RUNS!$BM$5:$BM$208, "Not Found")</f>
        <v>0.8461758201420041</v>
      </c>
    </row>
    <row r="2263" spans="1:14" x14ac:dyDescent="0.25">
      <c r="A2263" s="1">
        <f>'[1]Global_Spot Prices'!$B3572</f>
        <v>45170</v>
      </c>
      <c r="B2263" t="e">
        <f>_xlfn.XLOOKUP(A2263,'[1]Global_Spot Prices'!$B:$B,'[1]Global_Spot Prices'!$BS:$BS)</f>
        <v>#N/A</v>
      </c>
      <c r="C2263" t="str">
        <f>_xlfn.XLOOKUP(A2263,'[1]Global_Spot Prices'!$B:$B,'[1]Global_Spot Prices'!$E:$E)</f>
        <v/>
      </c>
      <c r="D2263">
        <f>_xlfn.XLOOKUP(A2263,'[1]Global_Spot Prices'!$B:$B,'[1]Global_Spot Prices'!$D:$D)</f>
        <v>89.44</v>
      </c>
      <c r="E2263">
        <f>_xlfn.XLOOKUP(A2263,'[1]Global_Spot Prices'!$B:$B,'[1]Global_Spot Prices'!$H:$H)</f>
        <v>0</v>
      </c>
      <c r="F2263">
        <f>_xlfn.XLOOKUP(A2263,'[1]Global_Spot Prices'!$B:$B,'[1]Global_Spot Prices'!$I:$I)</f>
        <v>0</v>
      </c>
      <c r="G2263" cm="1">
        <f t="array" ref="G2263">_xlfn.XLOOKUP(TEXT(A2263, "mmm-yy"), TEXT([2]RUNS!$B$5:$B$208, "mmm-yy"), [2]RUNS!$D$5:$D$208, "Not Found")</f>
        <v>31006.130183167857</v>
      </c>
      <c r="H2263" cm="1">
        <f t="array" ref="H2263">SUMPRODUCT(
    --(TEXT('[3]Global Weekly Stock (EWSuez'!$B$4:$B$2000,"mmm-yy")=TEXT(A2263,"mmm-yy")),
    '[3]Global Weekly Stock (EWSuez'!$E$4:$E$2000)
/
SUMPRODUCT(
    --(TEXT('[3]Global Weekly Stock (EWSuez'!$B$4:$B$2000,"mmm-yy")=TEXT(A2263,"mmm-yy"))
)</f>
        <v>13023</v>
      </c>
      <c r="I2263">
        <f>_xlfn.XLOOKUP(A2263,[1]ForwardDeriv!$D:$D,[1]ForwardDeriv!$AJ:$AJ)</f>
        <v>2.75</v>
      </c>
      <c r="J2263" cm="1">
        <f t="array" ref="J2263">_xlfn.XLOOKUP(TEXT(A2263, "mmm-yy"), TEXT([2]GASOLINE!$B$5:$B$208, "mmm-yy"), [2]GASOLINE!$IR$5:$IR$208, "Not Found")</f>
        <v>-195.70591969679407</v>
      </c>
      <c r="K2263" cm="1">
        <f t="array" ref="K2263">_xlfn.XLOOKUP(TEXT(A2263, "mmm-yy"), TEXT([2]GASOLINE!$B$5:$B$208, "mmm-yy"), [2]GASOLINE!$IK$5:$IK$208, "Not Found")</f>
        <v>226.0484904874686</v>
      </c>
      <c r="L2263">
        <f t="shared" si="35"/>
        <v>1</v>
      </c>
      <c r="M2263" cm="1">
        <f t="array" ref="M2263">_xlfn.XLOOKUP(TEXT(A2263, "mmm-yy"), TEXT([2]GASOLINE!$B$5:$B$208, "mmm-yy"), [2]GASOLINE!$C$5:$C$208, "Not Found")</f>
        <v>7901.3159023700464</v>
      </c>
      <c r="N2263" cm="1">
        <f t="array" ref="N2263">_xlfn.XLOOKUP(TEXT(A2263, "mmm-yy"), TEXT([2]RUNS!$B$5:$B$208, "mmm-yy"), [2]RUNS!$BM$5:$BM$208, "Not Found")</f>
        <v>0.83354517817317242</v>
      </c>
    </row>
    <row r="2264" spans="1:14" x14ac:dyDescent="0.25">
      <c r="A2264" s="1">
        <f>'[1]Global_Spot Prices'!$B3573</f>
        <v>45173</v>
      </c>
      <c r="B2264">
        <f>_xlfn.XLOOKUP(A2264,'[1]Global_Spot Prices'!$B:$B,'[1]Global_Spot Prices'!$BS:$BS)</f>
        <v>14.659999999999997</v>
      </c>
      <c r="C2264">
        <f>_xlfn.XLOOKUP(A2264,'[1]Global_Spot Prices'!$B:$B,'[1]Global_Spot Prices'!$E:$E)</f>
        <v>89.48</v>
      </c>
      <c r="D2264">
        <f>_xlfn.XLOOKUP(A2264,'[1]Global_Spot Prices'!$B:$B,'[1]Global_Spot Prices'!$D:$D)</f>
        <v>90.605000000000004</v>
      </c>
      <c r="E2264">
        <f>_xlfn.XLOOKUP(A2264,'[1]Global_Spot Prices'!$B:$B,'[1]Global_Spot Prices'!$H:$H)</f>
        <v>71.62</v>
      </c>
      <c r="F2264">
        <f>_xlfn.XLOOKUP(A2264,'[1]Global_Spot Prices'!$B:$B,'[1]Global_Spot Prices'!$I:$I)</f>
        <v>104.14</v>
      </c>
      <c r="G2264" cm="1">
        <f t="array" ref="G2264">_xlfn.XLOOKUP(TEXT(A2264, "mmm-yy"), TEXT([2]RUNS!$B$5:$B$208, "mmm-yy"), [2]RUNS!$D$5:$D$208, "Not Found")</f>
        <v>31006.130183167857</v>
      </c>
      <c r="H2264" cm="1">
        <f t="array" ref="H2264">SUMPRODUCT(
    --(TEXT('[3]Global Weekly Stock (EWSuez'!$B$4:$B$2000,"mmm-yy")=TEXT(A2264,"mmm-yy")),
    '[3]Global Weekly Stock (EWSuez'!$E$4:$E$2000)
/
SUMPRODUCT(
    --(TEXT('[3]Global Weekly Stock (EWSuez'!$B$4:$B$2000,"mmm-yy")=TEXT(A2264,"mmm-yy"))
)</f>
        <v>13023</v>
      </c>
      <c r="I2264">
        <f>_xlfn.XLOOKUP(A2264,[1]ForwardDeriv!$D:$D,[1]ForwardDeriv!$AJ:$AJ)</f>
        <v>2.75</v>
      </c>
      <c r="J2264" cm="1">
        <f t="array" ref="J2264">_xlfn.XLOOKUP(TEXT(A2264, "mmm-yy"), TEXT([2]GASOLINE!$B$5:$B$208, "mmm-yy"), [2]GASOLINE!$IR$5:$IR$208, "Not Found")</f>
        <v>-195.70591969679407</v>
      </c>
      <c r="K2264" cm="1">
        <f t="array" ref="K2264">_xlfn.XLOOKUP(TEXT(A2264, "mmm-yy"), TEXT([2]GASOLINE!$B$5:$B$208, "mmm-yy"), [2]GASOLINE!$IK$5:$IK$208, "Not Found")</f>
        <v>226.0484904874686</v>
      </c>
      <c r="L2264">
        <f t="shared" si="35"/>
        <v>1</v>
      </c>
      <c r="M2264" cm="1">
        <f t="array" ref="M2264">_xlfn.XLOOKUP(TEXT(A2264, "mmm-yy"), TEXT([2]GASOLINE!$B$5:$B$208, "mmm-yy"), [2]GASOLINE!$C$5:$C$208, "Not Found")</f>
        <v>7901.3159023700464</v>
      </c>
      <c r="N2264" cm="1">
        <f t="array" ref="N2264">_xlfn.XLOOKUP(TEXT(A2264, "mmm-yy"), TEXT([2]RUNS!$B$5:$B$208, "mmm-yy"), [2]RUNS!$BM$5:$BM$208, "Not Found")</f>
        <v>0.83354517817317242</v>
      </c>
    </row>
    <row r="2265" spans="1:14" x14ac:dyDescent="0.25">
      <c r="A2265" s="1">
        <f>'[1]Global_Spot Prices'!$B3574</f>
        <v>45174</v>
      </c>
      <c r="B2265">
        <f>_xlfn.XLOOKUP(A2265,'[1]Global_Spot Prices'!$B:$B,'[1]Global_Spot Prices'!$BS:$BS)</f>
        <v>14.150000000000006</v>
      </c>
      <c r="C2265">
        <f>_xlfn.XLOOKUP(A2265,'[1]Global_Spot Prices'!$B:$B,'[1]Global_Spot Prices'!$E:$E)</f>
        <v>89.21</v>
      </c>
      <c r="D2265">
        <f>_xlfn.XLOOKUP(A2265,'[1]Global_Spot Prices'!$B:$B,'[1]Global_Spot Prices'!$D:$D)</f>
        <v>91.935000000000002</v>
      </c>
      <c r="E2265">
        <f>_xlfn.XLOOKUP(A2265,'[1]Global_Spot Prices'!$B:$B,'[1]Global_Spot Prices'!$H:$H)</f>
        <v>70.38</v>
      </c>
      <c r="F2265">
        <f>_xlfn.XLOOKUP(A2265,'[1]Global_Spot Prices'!$B:$B,'[1]Global_Spot Prices'!$I:$I)</f>
        <v>103.36</v>
      </c>
      <c r="G2265" cm="1">
        <f t="array" ref="G2265">_xlfn.XLOOKUP(TEXT(A2265, "mmm-yy"), TEXT([2]RUNS!$B$5:$B$208, "mmm-yy"), [2]RUNS!$D$5:$D$208, "Not Found")</f>
        <v>31006.130183167857</v>
      </c>
      <c r="H2265" cm="1">
        <f t="array" ref="H2265">SUMPRODUCT(
    --(TEXT('[3]Global Weekly Stock (EWSuez'!$B$4:$B$2000,"mmm-yy")=TEXT(A2265,"mmm-yy")),
    '[3]Global Weekly Stock (EWSuez'!$E$4:$E$2000)
/
SUMPRODUCT(
    --(TEXT('[3]Global Weekly Stock (EWSuez'!$B$4:$B$2000,"mmm-yy")=TEXT(A2265,"mmm-yy"))
)</f>
        <v>13023</v>
      </c>
      <c r="I2265">
        <f>_xlfn.XLOOKUP(A2265,[1]ForwardDeriv!$D:$D,[1]ForwardDeriv!$AJ:$AJ)</f>
        <v>2.6999999999999886</v>
      </c>
      <c r="J2265" cm="1">
        <f t="array" ref="J2265">_xlfn.XLOOKUP(TEXT(A2265, "mmm-yy"), TEXT([2]GASOLINE!$B$5:$B$208, "mmm-yy"), [2]GASOLINE!$IR$5:$IR$208, "Not Found")</f>
        <v>-195.70591969679407</v>
      </c>
      <c r="K2265" cm="1">
        <f t="array" ref="K2265">_xlfn.XLOOKUP(TEXT(A2265, "mmm-yy"), TEXT([2]GASOLINE!$B$5:$B$208, "mmm-yy"), [2]GASOLINE!$IK$5:$IK$208, "Not Found")</f>
        <v>226.0484904874686</v>
      </c>
      <c r="L2265">
        <f t="shared" si="35"/>
        <v>1</v>
      </c>
      <c r="M2265" cm="1">
        <f t="array" ref="M2265">_xlfn.XLOOKUP(TEXT(A2265, "mmm-yy"), TEXT([2]GASOLINE!$B$5:$B$208, "mmm-yy"), [2]GASOLINE!$C$5:$C$208, "Not Found")</f>
        <v>7901.3159023700464</v>
      </c>
      <c r="N2265" cm="1">
        <f t="array" ref="N2265">_xlfn.XLOOKUP(TEXT(A2265, "mmm-yy"), TEXT([2]RUNS!$B$5:$B$208, "mmm-yy"), [2]RUNS!$BM$5:$BM$208, "Not Found")</f>
        <v>0.83354517817317242</v>
      </c>
    </row>
    <row r="2266" spans="1:14" x14ac:dyDescent="0.25">
      <c r="A2266" s="1">
        <f>'[1]Global_Spot Prices'!$B3575</f>
        <v>45175</v>
      </c>
      <c r="B2266">
        <f>_xlfn.XLOOKUP(A2266,'[1]Global_Spot Prices'!$B:$B,'[1]Global_Spot Prices'!$BS:$BS)</f>
        <v>11.319999999999993</v>
      </c>
      <c r="C2266">
        <f>_xlfn.XLOOKUP(A2266,'[1]Global_Spot Prices'!$B:$B,'[1]Global_Spot Prices'!$E:$E)</f>
        <v>90.59</v>
      </c>
      <c r="D2266">
        <f>_xlfn.XLOOKUP(A2266,'[1]Global_Spot Prices'!$B:$B,'[1]Global_Spot Prices'!$D:$D)</f>
        <v>91.41</v>
      </c>
      <c r="E2266">
        <f>_xlfn.XLOOKUP(A2266,'[1]Global_Spot Prices'!$B:$B,'[1]Global_Spot Prices'!$H:$H)</f>
        <v>71.73</v>
      </c>
      <c r="F2266">
        <f>_xlfn.XLOOKUP(A2266,'[1]Global_Spot Prices'!$B:$B,'[1]Global_Spot Prices'!$I:$I)</f>
        <v>101.91</v>
      </c>
      <c r="G2266" cm="1">
        <f t="array" ref="G2266">_xlfn.XLOOKUP(TEXT(A2266, "mmm-yy"), TEXT([2]RUNS!$B$5:$B$208, "mmm-yy"), [2]RUNS!$D$5:$D$208, "Not Found")</f>
        <v>31006.130183167857</v>
      </c>
      <c r="H2266" cm="1">
        <f t="array" ref="H2266">SUMPRODUCT(
    --(TEXT('[3]Global Weekly Stock (EWSuez'!$B$4:$B$2000,"mmm-yy")=TEXT(A2266,"mmm-yy")),
    '[3]Global Weekly Stock (EWSuez'!$E$4:$E$2000)
/
SUMPRODUCT(
    --(TEXT('[3]Global Weekly Stock (EWSuez'!$B$4:$B$2000,"mmm-yy")=TEXT(A2266,"mmm-yy"))
)</f>
        <v>13023</v>
      </c>
      <c r="I2266">
        <f>_xlfn.XLOOKUP(A2266,[1]ForwardDeriv!$D:$D,[1]ForwardDeriv!$AJ:$AJ)</f>
        <v>2.6800000000000068</v>
      </c>
      <c r="J2266" cm="1">
        <f t="array" ref="J2266">_xlfn.XLOOKUP(TEXT(A2266, "mmm-yy"), TEXT([2]GASOLINE!$B$5:$B$208, "mmm-yy"), [2]GASOLINE!$IR$5:$IR$208, "Not Found")</f>
        <v>-195.70591969679407</v>
      </c>
      <c r="K2266" cm="1">
        <f t="array" ref="K2266">_xlfn.XLOOKUP(TEXT(A2266, "mmm-yy"), TEXT([2]GASOLINE!$B$5:$B$208, "mmm-yy"), [2]GASOLINE!$IK$5:$IK$208, "Not Found")</f>
        <v>226.0484904874686</v>
      </c>
      <c r="L2266">
        <f t="shared" si="35"/>
        <v>1</v>
      </c>
      <c r="M2266" cm="1">
        <f t="array" ref="M2266">_xlfn.XLOOKUP(TEXT(A2266, "mmm-yy"), TEXT([2]GASOLINE!$B$5:$B$208, "mmm-yy"), [2]GASOLINE!$C$5:$C$208, "Not Found")</f>
        <v>7901.3159023700464</v>
      </c>
      <c r="N2266" cm="1">
        <f t="array" ref="N2266">_xlfn.XLOOKUP(TEXT(A2266, "mmm-yy"), TEXT([2]RUNS!$B$5:$B$208, "mmm-yy"), [2]RUNS!$BM$5:$BM$208, "Not Found")</f>
        <v>0.83354517817317242</v>
      </c>
    </row>
    <row r="2267" spans="1:14" x14ac:dyDescent="0.25">
      <c r="A2267" s="1">
        <f>'[1]Global_Spot Prices'!$B3576</f>
        <v>45176</v>
      </c>
      <c r="B2267">
        <f>_xlfn.XLOOKUP(A2267,'[1]Global_Spot Prices'!$B:$B,'[1]Global_Spot Prices'!$BS:$BS)</f>
        <v>11.664999999999992</v>
      </c>
      <c r="C2267">
        <f>_xlfn.XLOOKUP(A2267,'[1]Global_Spot Prices'!$B:$B,'[1]Global_Spot Prices'!$E:$E)</f>
        <v>91.495000000000005</v>
      </c>
      <c r="D2267">
        <f>_xlfn.XLOOKUP(A2267,'[1]Global_Spot Prices'!$B:$B,'[1]Global_Spot Prices'!$D:$D)</f>
        <v>91.9</v>
      </c>
      <c r="E2267">
        <f>_xlfn.XLOOKUP(A2267,'[1]Global_Spot Prices'!$B:$B,'[1]Global_Spot Prices'!$H:$H)</f>
        <v>72.599999999999994</v>
      </c>
      <c r="F2267">
        <f>_xlfn.XLOOKUP(A2267,'[1]Global_Spot Prices'!$B:$B,'[1]Global_Spot Prices'!$I:$I)</f>
        <v>103.16</v>
      </c>
      <c r="G2267" cm="1">
        <f t="array" ref="G2267">_xlfn.XLOOKUP(TEXT(A2267, "mmm-yy"), TEXT([2]RUNS!$B$5:$B$208, "mmm-yy"), [2]RUNS!$D$5:$D$208, "Not Found")</f>
        <v>31006.130183167857</v>
      </c>
      <c r="H2267" cm="1">
        <f t="array" ref="H2267">SUMPRODUCT(
    --(TEXT('[3]Global Weekly Stock (EWSuez'!$B$4:$B$2000,"mmm-yy")=TEXT(A2267,"mmm-yy")),
    '[3]Global Weekly Stock (EWSuez'!$E$4:$E$2000)
/
SUMPRODUCT(
    --(TEXT('[3]Global Weekly Stock (EWSuez'!$B$4:$B$2000,"mmm-yy")=TEXT(A2267,"mmm-yy"))
)</f>
        <v>13023</v>
      </c>
      <c r="I2267">
        <f>_xlfn.XLOOKUP(A2267,[1]ForwardDeriv!$D:$D,[1]ForwardDeriv!$AJ:$AJ)</f>
        <v>2.6499999999999915</v>
      </c>
      <c r="J2267" cm="1">
        <f t="array" ref="J2267">_xlfn.XLOOKUP(TEXT(A2267, "mmm-yy"), TEXT([2]GASOLINE!$B$5:$B$208, "mmm-yy"), [2]GASOLINE!$IR$5:$IR$208, "Not Found")</f>
        <v>-195.70591969679407</v>
      </c>
      <c r="K2267" cm="1">
        <f t="array" ref="K2267">_xlfn.XLOOKUP(TEXT(A2267, "mmm-yy"), TEXT([2]GASOLINE!$B$5:$B$208, "mmm-yy"), [2]GASOLINE!$IK$5:$IK$208, "Not Found")</f>
        <v>226.0484904874686</v>
      </c>
      <c r="L2267">
        <f t="shared" si="35"/>
        <v>1</v>
      </c>
      <c r="M2267" cm="1">
        <f t="array" ref="M2267">_xlfn.XLOOKUP(TEXT(A2267, "mmm-yy"), TEXT([2]GASOLINE!$B$5:$B$208, "mmm-yy"), [2]GASOLINE!$C$5:$C$208, "Not Found")</f>
        <v>7901.3159023700464</v>
      </c>
      <c r="N2267" cm="1">
        <f t="array" ref="N2267">_xlfn.XLOOKUP(TEXT(A2267, "mmm-yy"), TEXT([2]RUNS!$B$5:$B$208, "mmm-yy"), [2]RUNS!$BM$5:$BM$208, "Not Found")</f>
        <v>0.83354517817317242</v>
      </c>
    </row>
    <row r="2268" spans="1:14" x14ac:dyDescent="0.25">
      <c r="A2268" s="1">
        <f>'[1]Global_Spot Prices'!$B3577</f>
        <v>45177</v>
      </c>
      <c r="B2268">
        <f>_xlfn.XLOOKUP(A2268,'[1]Global_Spot Prices'!$B:$B,'[1]Global_Spot Prices'!$BS:$BS)</f>
        <v>13.069999999999993</v>
      </c>
      <c r="C2268">
        <f>_xlfn.XLOOKUP(A2268,'[1]Global_Spot Prices'!$B:$B,'[1]Global_Spot Prices'!$E:$E)</f>
        <v>91.09</v>
      </c>
      <c r="D2268">
        <f>_xlfn.XLOOKUP(A2268,'[1]Global_Spot Prices'!$B:$B,'[1]Global_Spot Prices'!$D:$D)</f>
        <v>92.394999999999996</v>
      </c>
      <c r="E2268">
        <f>_xlfn.XLOOKUP(A2268,'[1]Global_Spot Prices'!$B:$B,'[1]Global_Spot Prices'!$H:$H)</f>
        <v>72.61</v>
      </c>
      <c r="F2268">
        <f>_xlfn.XLOOKUP(A2268,'[1]Global_Spot Prices'!$B:$B,'[1]Global_Spot Prices'!$I:$I)</f>
        <v>104.16</v>
      </c>
      <c r="G2268" cm="1">
        <f t="array" ref="G2268">_xlfn.XLOOKUP(TEXT(A2268, "mmm-yy"), TEXT([2]RUNS!$B$5:$B$208, "mmm-yy"), [2]RUNS!$D$5:$D$208, "Not Found")</f>
        <v>31006.130183167857</v>
      </c>
      <c r="H2268" cm="1">
        <f t="array" ref="H2268">SUMPRODUCT(
    --(TEXT('[3]Global Weekly Stock (EWSuez'!$B$4:$B$2000,"mmm-yy")=TEXT(A2268,"mmm-yy")),
    '[3]Global Weekly Stock (EWSuez'!$E$4:$E$2000)
/
SUMPRODUCT(
    --(TEXT('[3]Global Weekly Stock (EWSuez'!$B$4:$B$2000,"mmm-yy")=TEXT(A2268,"mmm-yy"))
)</f>
        <v>13023</v>
      </c>
      <c r="I2268">
        <f>_xlfn.XLOOKUP(A2268,[1]ForwardDeriv!$D:$D,[1]ForwardDeriv!$AJ:$AJ)</f>
        <v>3.1500000000000057</v>
      </c>
      <c r="J2268" cm="1">
        <f t="array" ref="J2268">_xlfn.XLOOKUP(TEXT(A2268, "mmm-yy"), TEXT([2]GASOLINE!$B$5:$B$208, "mmm-yy"), [2]GASOLINE!$IR$5:$IR$208, "Not Found")</f>
        <v>-195.70591969679407</v>
      </c>
      <c r="K2268" cm="1">
        <f t="array" ref="K2268">_xlfn.XLOOKUP(TEXT(A2268, "mmm-yy"), TEXT([2]GASOLINE!$B$5:$B$208, "mmm-yy"), [2]GASOLINE!$IK$5:$IK$208, "Not Found")</f>
        <v>226.0484904874686</v>
      </c>
      <c r="L2268">
        <f t="shared" si="35"/>
        <v>1</v>
      </c>
      <c r="M2268" cm="1">
        <f t="array" ref="M2268">_xlfn.XLOOKUP(TEXT(A2268, "mmm-yy"), TEXT([2]GASOLINE!$B$5:$B$208, "mmm-yy"), [2]GASOLINE!$C$5:$C$208, "Not Found")</f>
        <v>7901.3159023700464</v>
      </c>
      <c r="N2268" cm="1">
        <f t="array" ref="N2268">_xlfn.XLOOKUP(TEXT(A2268, "mmm-yy"), TEXT([2]RUNS!$B$5:$B$208, "mmm-yy"), [2]RUNS!$BM$5:$BM$208, "Not Found")</f>
        <v>0.83354517817317242</v>
      </c>
    </row>
    <row r="2269" spans="1:14" x14ac:dyDescent="0.25">
      <c r="A2269" s="1">
        <f>'[1]Global_Spot Prices'!$B3578</f>
        <v>45180</v>
      </c>
      <c r="B2269">
        <f>_xlfn.XLOOKUP(A2269,'[1]Global_Spot Prices'!$B:$B,'[1]Global_Spot Prices'!$BS:$BS)</f>
        <v>13.070000000000007</v>
      </c>
      <c r="C2269">
        <f ca="1">_xlfn.XLOOKUP(A2269,'[1]Global_Spot Prices'!$B:$B,'[1]Global_Spot Prices'!$E:$E)</f>
        <v>91.6</v>
      </c>
      <c r="D2269">
        <f>_xlfn.XLOOKUP(A2269,'[1]Global_Spot Prices'!$B:$B,'[1]Global_Spot Prices'!$D:$D)</f>
        <v>92.02</v>
      </c>
      <c r="E2269">
        <f>_xlfn.XLOOKUP(A2269,'[1]Global_Spot Prices'!$B:$B,'[1]Global_Spot Prices'!$H:$H)</f>
        <v>73.819999999999993</v>
      </c>
      <c r="F2269">
        <f>_xlfn.XLOOKUP(A2269,'[1]Global_Spot Prices'!$B:$B,'[1]Global_Spot Prices'!$I:$I)</f>
        <v>104.67</v>
      </c>
      <c r="G2269" cm="1">
        <f t="array" ref="G2269">_xlfn.XLOOKUP(TEXT(A2269, "mmm-yy"), TEXT([2]RUNS!$B$5:$B$208, "mmm-yy"), [2]RUNS!$D$5:$D$208, "Not Found")</f>
        <v>31006.130183167857</v>
      </c>
      <c r="H2269" cm="1">
        <f t="array" ref="H2269">SUMPRODUCT(
    --(TEXT('[3]Global Weekly Stock (EWSuez'!$B$4:$B$2000,"mmm-yy")=TEXT(A2269,"mmm-yy")),
    '[3]Global Weekly Stock (EWSuez'!$E$4:$E$2000)
/
SUMPRODUCT(
    --(TEXT('[3]Global Weekly Stock (EWSuez'!$B$4:$B$2000,"mmm-yy")=TEXT(A2269,"mmm-yy"))
)</f>
        <v>13023</v>
      </c>
      <c r="I2269">
        <f>_xlfn.XLOOKUP(A2269,[1]ForwardDeriv!$D:$D,[1]ForwardDeriv!$AJ:$AJ)</f>
        <v>3.2700000000000102</v>
      </c>
      <c r="J2269" cm="1">
        <f t="array" ref="J2269">_xlfn.XLOOKUP(TEXT(A2269, "mmm-yy"), TEXT([2]GASOLINE!$B$5:$B$208, "mmm-yy"), [2]GASOLINE!$IR$5:$IR$208, "Not Found")</f>
        <v>-195.70591969679407</v>
      </c>
      <c r="K2269" cm="1">
        <f t="array" ref="K2269">_xlfn.XLOOKUP(TEXT(A2269, "mmm-yy"), TEXT([2]GASOLINE!$B$5:$B$208, "mmm-yy"), [2]GASOLINE!$IK$5:$IK$208, "Not Found")</f>
        <v>226.0484904874686</v>
      </c>
      <c r="L2269">
        <f t="shared" si="35"/>
        <v>1</v>
      </c>
      <c r="M2269" cm="1">
        <f t="array" ref="M2269">_xlfn.XLOOKUP(TEXT(A2269, "mmm-yy"), TEXT([2]GASOLINE!$B$5:$B$208, "mmm-yy"), [2]GASOLINE!$C$5:$C$208, "Not Found")</f>
        <v>7901.3159023700464</v>
      </c>
      <c r="N2269" cm="1">
        <f t="array" ref="N2269">_xlfn.XLOOKUP(TEXT(A2269, "mmm-yy"), TEXT([2]RUNS!$B$5:$B$208, "mmm-yy"), [2]RUNS!$BM$5:$BM$208, "Not Found")</f>
        <v>0.83354517817317242</v>
      </c>
    </row>
    <row r="2270" spans="1:14" x14ac:dyDescent="0.25">
      <c r="A2270" s="1">
        <f>'[1]Global_Spot Prices'!$B3579</f>
        <v>45181</v>
      </c>
      <c r="B2270">
        <f>_xlfn.XLOOKUP(A2270,'[1]Global_Spot Prices'!$B:$B,'[1]Global_Spot Prices'!$BS:$BS)</f>
        <v>13.810000000000002</v>
      </c>
      <c r="C2270">
        <f>_xlfn.XLOOKUP(A2270,'[1]Global_Spot Prices'!$B:$B,'[1]Global_Spot Prices'!$E:$E)</f>
        <v>92.35</v>
      </c>
      <c r="D2270">
        <f>_xlfn.XLOOKUP(A2270,'[1]Global_Spot Prices'!$B:$B,'[1]Global_Spot Prices'!$D:$D)</f>
        <v>93.6</v>
      </c>
      <c r="E2270">
        <f>_xlfn.XLOOKUP(A2270,'[1]Global_Spot Prices'!$B:$B,'[1]Global_Spot Prices'!$H:$H)</f>
        <v>75.260000000000005</v>
      </c>
      <c r="F2270">
        <f>_xlfn.XLOOKUP(A2270,'[1]Global_Spot Prices'!$B:$B,'[1]Global_Spot Prices'!$I:$I)</f>
        <v>106.16</v>
      </c>
      <c r="G2270" cm="1">
        <f t="array" ref="G2270">_xlfn.XLOOKUP(TEXT(A2270, "mmm-yy"), TEXT([2]RUNS!$B$5:$B$208, "mmm-yy"), [2]RUNS!$D$5:$D$208, "Not Found")</f>
        <v>31006.130183167857</v>
      </c>
      <c r="H2270" cm="1">
        <f t="array" ref="H2270">SUMPRODUCT(
    --(TEXT('[3]Global Weekly Stock (EWSuez'!$B$4:$B$2000,"mmm-yy")=TEXT(A2270,"mmm-yy")),
    '[3]Global Weekly Stock (EWSuez'!$E$4:$E$2000)
/
SUMPRODUCT(
    --(TEXT('[3]Global Weekly Stock (EWSuez'!$B$4:$B$2000,"mmm-yy")=TEXT(A2270,"mmm-yy"))
)</f>
        <v>13023</v>
      </c>
      <c r="I2270">
        <f>_xlfn.XLOOKUP(A2270,[1]ForwardDeriv!$D:$D,[1]ForwardDeriv!$AJ:$AJ)</f>
        <v>3.2999999999999972</v>
      </c>
      <c r="J2270" cm="1">
        <f t="array" ref="J2270">_xlfn.XLOOKUP(TEXT(A2270, "mmm-yy"), TEXT([2]GASOLINE!$B$5:$B$208, "mmm-yy"), [2]GASOLINE!$IR$5:$IR$208, "Not Found")</f>
        <v>-195.70591969679407</v>
      </c>
      <c r="K2270" cm="1">
        <f t="array" ref="K2270">_xlfn.XLOOKUP(TEXT(A2270, "mmm-yy"), TEXT([2]GASOLINE!$B$5:$B$208, "mmm-yy"), [2]GASOLINE!$IK$5:$IK$208, "Not Found")</f>
        <v>226.0484904874686</v>
      </c>
      <c r="L2270">
        <f t="shared" si="35"/>
        <v>1</v>
      </c>
      <c r="M2270" cm="1">
        <f t="array" ref="M2270">_xlfn.XLOOKUP(TEXT(A2270, "mmm-yy"), TEXT([2]GASOLINE!$B$5:$B$208, "mmm-yy"), [2]GASOLINE!$C$5:$C$208, "Not Found")</f>
        <v>7901.3159023700464</v>
      </c>
      <c r="N2270" cm="1">
        <f t="array" ref="N2270">_xlfn.XLOOKUP(TEXT(A2270, "mmm-yy"), TEXT([2]RUNS!$B$5:$B$208, "mmm-yy"), [2]RUNS!$BM$5:$BM$208, "Not Found")</f>
        <v>0.83354517817317242</v>
      </c>
    </row>
    <row r="2271" spans="1:14" x14ac:dyDescent="0.25">
      <c r="A2271" s="1">
        <f>'[1]Global_Spot Prices'!$B3580</f>
        <v>45182</v>
      </c>
      <c r="B2271">
        <f>_xlfn.XLOOKUP(A2271,'[1]Global_Spot Prices'!$B:$B,'[1]Global_Spot Prices'!$BS:$BS)</f>
        <v>13.299999999999997</v>
      </c>
      <c r="C2271">
        <f>_xlfn.XLOOKUP(A2271,'[1]Global_Spot Prices'!$B:$B,'[1]Global_Spot Prices'!$E:$E)</f>
        <v>93.9</v>
      </c>
      <c r="D2271">
        <f>_xlfn.XLOOKUP(A2271,'[1]Global_Spot Prices'!$B:$B,'[1]Global_Spot Prices'!$D:$D)</f>
        <v>93.385000000000005</v>
      </c>
      <c r="E2271">
        <f>_xlfn.XLOOKUP(A2271,'[1]Global_Spot Prices'!$B:$B,'[1]Global_Spot Prices'!$H:$H)</f>
        <v>75.88</v>
      </c>
      <c r="F2271">
        <f>_xlfn.XLOOKUP(A2271,'[1]Global_Spot Prices'!$B:$B,'[1]Global_Spot Prices'!$I:$I)</f>
        <v>107.2</v>
      </c>
      <c r="G2271" cm="1">
        <f t="array" ref="G2271">_xlfn.XLOOKUP(TEXT(A2271, "mmm-yy"), TEXT([2]RUNS!$B$5:$B$208, "mmm-yy"), [2]RUNS!$D$5:$D$208, "Not Found")</f>
        <v>31006.130183167857</v>
      </c>
      <c r="H2271" cm="1">
        <f t="array" ref="H2271">SUMPRODUCT(
    --(TEXT('[3]Global Weekly Stock (EWSuez'!$B$4:$B$2000,"mmm-yy")=TEXT(A2271,"mmm-yy")),
    '[3]Global Weekly Stock (EWSuez'!$E$4:$E$2000)
/
SUMPRODUCT(
    --(TEXT('[3]Global Weekly Stock (EWSuez'!$B$4:$B$2000,"mmm-yy")=TEXT(A2271,"mmm-yy"))
)</f>
        <v>13023</v>
      </c>
      <c r="I2271">
        <f>_xlfn.XLOOKUP(A2271,[1]ForwardDeriv!$D:$D,[1]ForwardDeriv!$AJ:$AJ)</f>
        <v>3.1400000000000006</v>
      </c>
      <c r="J2271" cm="1">
        <f t="array" ref="J2271">_xlfn.XLOOKUP(TEXT(A2271, "mmm-yy"), TEXT([2]GASOLINE!$B$5:$B$208, "mmm-yy"), [2]GASOLINE!$IR$5:$IR$208, "Not Found")</f>
        <v>-195.70591969679407</v>
      </c>
      <c r="K2271" cm="1">
        <f t="array" ref="K2271">_xlfn.XLOOKUP(TEXT(A2271, "mmm-yy"), TEXT([2]GASOLINE!$B$5:$B$208, "mmm-yy"), [2]GASOLINE!$IK$5:$IK$208, "Not Found")</f>
        <v>226.0484904874686</v>
      </c>
      <c r="L2271">
        <f t="shared" si="35"/>
        <v>1</v>
      </c>
      <c r="M2271" cm="1">
        <f t="array" ref="M2271">_xlfn.XLOOKUP(TEXT(A2271, "mmm-yy"), TEXT([2]GASOLINE!$B$5:$B$208, "mmm-yy"), [2]GASOLINE!$C$5:$C$208, "Not Found")</f>
        <v>7901.3159023700464</v>
      </c>
      <c r="N2271" cm="1">
        <f t="array" ref="N2271">_xlfn.XLOOKUP(TEXT(A2271, "mmm-yy"), TEXT([2]RUNS!$B$5:$B$208, "mmm-yy"), [2]RUNS!$BM$5:$BM$208, "Not Found")</f>
        <v>0.83354517817317242</v>
      </c>
    </row>
    <row r="2272" spans="1:14" x14ac:dyDescent="0.25">
      <c r="A2272" s="1">
        <f>'[1]Global_Spot Prices'!$B3581</f>
        <v>45183</v>
      </c>
      <c r="B2272">
        <f>_xlfn.XLOOKUP(A2272,'[1]Global_Spot Prices'!$B:$B,'[1]Global_Spot Prices'!$BS:$BS)</f>
        <v>14.960000000000008</v>
      </c>
      <c r="C2272">
        <f>_xlfn.XLOOKUP(A2272,'[1]Global_Spot Prices'!$B:$B,'[1]Global_Spot Prices'!$E:$E)</f>
        <v>93.85</v>
      </c>
      <c r="D2272">
        <f>_xlfn.XLOOKUP(A2272,'[1]Global_Spot Prices'!$B:$B,'[1]Global_Spot Prices'!$D:$D)</f>
        <v>95.105000000000004</v>
      </c>
      <c r="E2272">
        <f>_xlfn.XLOOKUP(A2272,'[1]Global_Spot Prices'!$B:$B,'[1]Global_Spot Prices'!$H:$H)</f>
        <v>75.180000000000007</v>
      </c>
      <c r="F2272">
        <f>_xlfn.XLOOKUP(A2272,'[1]Global_Spot Prices'!$B:$B,'[1]Global_Spot Prices'!$I:$I)</f>
        <v>108.81</v>
      </c>
      <c r="G2272" cm="1">
        <f t="array" ref="G2272">_xlfn.XLOOKUP(TEXT(A2272, "mmm-yy"), TEXT([2]RUNS!$B$5:$B$208, "mmm-yy"), [2]RUNS!$D$5:$D$208, "Not Found")</f>
        <v>31006.130183167857</v>
      </c>
      <c r="H2272" cm="1">
        <f t="array" ref="H2272">SUMPRODUCT(
    --(TEXT('[3]Global Weekly Stock (EWSuez'!$B$4:$B$2000,"mmm-yy")=TEXT(A2272,"mmm-yy")),
    '[3]Global Weekly Stock (EWSuez'!$E$4:$E$2000)
/
SUMPRODUCT(
    --(TEXT('[3]Global Weekly Stock (EWSuez'!$B$4:$B$2000,"mmm-yy")=TEXT(A2272,"mmm-yy"))
)</f>
        <v>13023</v>
      </c>
      <c r="I2272">
        <f>_xlfn.XLOOKUP(A2272,[1]ForwardDeriv!$D:$D,[1]ForwardDeriv!$AJ:$AJ)</f>
        <v>3.6000000000000085</v>
      </c>
      <c r="J2272" cm="1">
        <f t="array" ref="J2272">_xlfn.XLOOKUP(TEXT(A2272, "mmm-yy"), TEXT([2]GASOLINE!$B$5:$B$208, "mmm-yy"), [2]GASOLINE!$IR$5:$IR$208, "Not Found")</f>
        <v>-195.70591969679407</v>
      </c>
      <c r="K2272" cm="1">
        <f t="array" ref="K2272">_xlfn.XLOOKUP(TEXT(A2272, "mmm-yy"), TEXT([2]GASOLINE!$B$5:$B$208, "mmm-yy"), [2]GASOLINE!$IK$5:$IK$208, "Not Found")</f>
        <v>226.0484904874686</v>
      </c>
      <c r="L2272">
        <f t="shared" si="35"/>
        <v>1</v>
      </c>
      <c r="M2272" cm="1">
        <f t="array" ref="M2272">_xlfn.XLOOKUP(TEXT(A2272, "mmm-yy"), TEXT([2]GASOLINE!$B$5:$B$208, "mmm-yy"), [2]GASOLINE!$C$5:$C$208, "Not Found")</f>
        <v>7901.3159023700464</v>
      </c>
      <c r="N2272" cm="1">
        <f t="array" ref="N2272">_xlfn.XLOOKUP(TEXT(A2272, "mmm-yy"), TEXT([2]RUNS!$B$5:$B$208, "mmm-yy"), [2]RUNS!$BM$5:$BM$208, "Not Found")</f>
        <v>0.83354517817317242</v>
      </c>
    </row>
    <row r="2273" spans="1:14" x14ac:dyDescent="0.25">
      <c r="A2273" s="1">
        <f>'[1]Global_Spot Prices'!$B3582</f>
        <v>45184</v>
      </c>
      <c r="B2273">
        <f>_xlfn.XLOOKUP(A2273,'[1]Global_Spot Prices'!$B:$B,'[1]Global_Spot Prices'!$BS:$BS)</f>
        <v>16.200000000000003</v>
      </c>
      <c r="C2273">
        <f>_xlfn.XLOOKUP(A2273,'[1]Global_Spot Prices'!$B:$B,'[1]Global_Spot Prices'!$E:$E)</f>
        <v>95.55</v>
      </c>
      <c r="D2273">
        <f>_xlfn.XLOOKUP(A2273,'[1]Global_Spot Prices'!$B:$B,'[1]Global_Spot Prices'!$D:$D)</f>
        <v>95.14</v>
      </c>
      <c r="E2273">
        <f>_xlfn.XLOOKUP(A2273,'[1]Global_Spot Prices'!$B:$B,'[1]Global_Spot Prices'!$H:$H)</f>
        <v>75.22</v>
      </c>
      <c r="F2273">
        <f>_xlfn.XLOOKUP(A2273,'[1]Global_Spot Prices'!$B:$B,'[1]Global_Spot Prices'!$I:$I)</f>
        <v>111.75</v>
      </c>
      <c r="G2273" cm="1">
        <f t="array" ref="G2273">_xlfn.XLOOKUP(TEXT(A2273, "mmm-yy"), TEXT([2]RUNS!$B$5:$B$208, "mmm-yy"), [2]RUNS!$D$5:$D$208, "Not Found")</f>
        <v>31006.130183167857</v>
      </c>
      <c r="H2273" cm="1">
        <f t="array" ref="H2273">SUMPRODUCT(
    --(TEXT('[3]Global Weekly Stock (EWSuez'!$B$4:$B$2000,"mmm-yy")=TEXT(A2273,"mmm-yy")),
    '[3]Global Weekly Stock (EWSuez'!$E$4:$E$2000)
/
SUMPRODUCT(
    --(TEXT('[3]Global Weekly Stock (EWSuez'!$B$4:$B$2000,"mmm-yy")=TEXT(A2273,"mmm-yy"))
)</f>
        <v>13023</v>
      </c>
      <c r="I2273">
        <f>_xlfn.XLOOKUP(A2273,[1]ForwardDeriv!$D:$D,[1]ForwardDeriv!$AJ:$AJ)</f>
        <v>3.9200000000000017</v>
      </c>
      <c r="J2273" cm="1">
        <f t="array" ref="J2273">_xlfn.XLOOKUP(TEXT(A2273, "mmm-yy"), TEXT([2]GASOLINE!$B$5:$B$208, "mmm-yy"), [2]GASOLINE!$IR$5:$IR$208, "Not Found")</f>
        <v>-195.70591969679407</v>
      </c>
      <c r="K2273" cm="1">
        <f t="array" ref="K2273">_xlfn.XLOOKUP(TEXT(A2273, "mmm-yy"), TEXT([2]GASOLINE!$B$5:$B$208, "mmm-yy"), [2]GASOLINE!$IK$5:$IK$208, "Not Found")</f>
        <v>226.0484904874686</v>
      </c>
      <c r="L2273">
        <f t="shared" si="35"/>
        <v>1</v>
      </c>
      <c r="M2273" cm="1">
        <f t="array" ref="M2273">_xlfn.XLOOKUP(TEXT(A2273, "mmm-yy"), TEXT([2]GASOLINE!$B$5:$B$208, "mmm-yy"), [2]GASOLINE!$C$5:$C$208, "Not Found")</f>
        <v>7901.3159023700464</v>
      </c>
      <c r="N2273" cm="1">
        <f t="array" ref="N2273">_xlfn.XLOOKUP(TEXT(A2273, "mmm-yy"), TEXT([2]RUNS!$B$5:$B$208, "mmm-yy"), [2]RUNS!$BM$5:$BM$208, "Not Found")</f>
        <v>0.83354517817317242</v>
      </c>
    </row>
    <row r="2274" spans="1:14" x14ac:dyDescent="0.25">
      <c r="A2274" s="1">
        <f>'[1]Global_Spot Prices'!$B3583</f>
        <v>45187</v>
      </c>
      <c r="B2274">
        <f>_xlfn.XLOOKUP(A2274,'[1]Global_Spot Prices'!$B:$B,'[1]Global_Spot Prices'!$BS:$BS)</f>
        <v>15.210000000000008</v>
      </c>
      <c r="C2274">
        <f>_xlfn.XLOOKUP(A2274,'[1]Global_Spot Prices'!$B:$B,'[1]Global_Spot Prices'!$E:$E)</f>
        <v>95.21</v>
      </c>
      <c r="D2274">
        <f>_xlfn.XLOOKUP(A2274,'[1]Global_Spot Prices'!$B:$B,'[1]Global_Spot Prices'!$D:$D)</f>
        <v>96.24</v>
      </c>
      <c r="E2274">
        <f>_xlfn.XLOOKUP(A2274,'[1]Global_Spot Prices'!$B:$B,'[1]Global_Spot Prices'!$H:$H)</f>
        <v>75.040000000000006</v>
      </c>
      <c r="F2274">
        <f>_xlfn.XLOOKUP(A2274,'[1]Global_Spot Prices'!$B:$B,'[1]Global_Spot Prices'!$I:$I)</f>
        <v>110.42</v>
      </c>
      <c r="G2274" cm="1">
        <f t="array" ref="G2274">_xlfn.XLOOKUP(TEXT(A2274, "mmm-yy"), TEXT([2]RUNS!$B$5:$B$208, "mmm-yy"), [2]RUNS!$D$5:$D$208, "Not Found")</f>
        <v>31006.130183167857</v>
      </c>
      <c r="H2274" cm="1">
        <f t="array" ref="H2274">SUMPRODUCT(
    --(TEXT('[3]Global Weekly Stock (EWSuez'!$B$4:$B$2000,"mmm-yy")=TEXT(A2274,"mmm-yy")),
    '[3]Global Weekly Stock (EWSuez'!$E$4:$E$2000)
/
SUMPRODUCT(
    --(TEXT('[3]Global Weekly Stock (EWSuez'!$B$4:$B$2000,"mmm-yy")=TEXT(A2274,"mmm-yy"))
)</f>
        <v>13023</v>
      </c>
      <c r="I2274">
        <f>_xlfn.XLOOKUP(A2274,[1]ForwardDeriv!$D:$D,[1]ForwardDeriv!$AJ:$AJ)</f>
        <v>3.75</v>
      </c>
      <c r="J2274" cm="1">
        <f t="array" ref="J2274">_xlfn.XLOOKUP(TEXT(A2274, "mmm-yy"), TEXT([2]GASOLINE!$B$5:$B$208, "mmm-yy"), [2]GASOLINE!$IR$5:$IR$208, "Not Found")</f>
        <v>-195.70591969679407</v>
      </c>
      <c r="K2274" cm="1">
        <f t="array" ref="K2274">_xlfn.XLOOKUP(TEXT(A2274, "mmm-yy"), TEXT([2]GASOLINE!$B$5:$B$208, "mmm-yy"), [2]GASOLINE!$IK$5:$IK$208, "Not Found")</f>
        <v>226.0484904874686</v>
      </c>
      <c r="L2274">
        <f t="shared" si="35"/>
        <v>1</v>
      </c>
      <c r="M2274" cm="1">
        <f t="array" ref="M2274">_xlfn.XLOOKUP(TEXT(A2274, "mmm-yy"), TEXT([2]GASOLINE!$B$5:$B$208, "mmm-yy"), [2]GASOLINE!$C$5:$C$208, "Not Found")</f>
        <v>7901.3159023700464</v>
      </c>
      <c r="N2274" cm="1">
        <f t="array" ref="N2274">_xlfn.XLOOKUP(TEXT(A2274, "mmm-yy"), TEXT([2]RUNS!$B$5:$B$208, "mmm-yy"), [2]RUNS!$BM$5:$BM$208, "Not Found")</f>
        <v>0.83354517817317242</v>
      </c>
    </row>
    <row r="2275" spans="1:14" x14ac:dyDescent="0.25">
      <c r="A2275" s="1">
        <f>'[1]Global_Spot Prices'!$B3584</f>
        <v>45188</v>
      </c>
      <c r="B2275">
        <f>_xlfn.XLOOKUP(A2275,'[1]Global_Spot Prices'!$B:$B,'[1]Global_Spot Prices'!$BS:$BS)</f>
        <v>13.480000000000004</v>
      </c>
      <c r="C2275">
        <f>_xlfn.XLOOKUP(A2275,'[1]Global_Spot Prices'!$B:$B,'[1]Global_Spot Prices'!$E:$E)</f>
        <v>95.2</v>
      </c>
      <c r="D2275">
        <f>_xlfn.XLOOKUP(A2275,'[1]Global_Spot Prices'!$B:$B,'[1]Global_Spot Prices'!$D:$D)</f>
        <v>96.864999999999995</v>
      </c>
      <c r="E2275">
        <f>_xlfn.XLOOKUP(A2275,'[1]Global_Spot Prices'!$B:$B,'[1]Global_Spot Prices'!$H:$H)</f>
        <v>75.650000000000006</v>
      </c>
      <c r="F2275">
        <f>_xlfn.XLOOKUP(A2275,'[1]Global_Spot Prices'!$B:$B,'[1]Global_Spot Prices'!$I:$I)</f>
        <v>108.68</v>
      </c>
      <c r="G2275" cm="1">
        <f t="array" ref="G2275">_xlfn.XLOOKUP(TEXT(A2275, "mmm-yy"), TEXT([2]RUNS!$B$5:$B$208, "mmm-yy"), [2]RUNS!$D$5:$D$208, "Not Found")</f>
        <v>31006.130183167857</v>
      </c>
      <c r="H2275" cm="1">
        <f t="array" ref="H2275">SUMPRODUCT(
    --(TEXT('[3]Global Weekly Stock (EWSuez'!$B$4:$B$2000,"mmm-yy")=TEXT(A2275,"mmm-yy")),
    '[3]Global Weekly Stock (EWSuez'!$E$4:$E$2000)
/
SUMPRODUCT(
    --(TEXT('[3]Global Weekly Stock (EWSuez'!$B$4:$B$2000,"mmm-yy")=TEXT(A2275,"mmm-yy"))
)</f>
        <v>13023</v>
      </c>
      <c r="I2275">
        <f>_xlfn.XLOOKUP(A2275,[1]ForwardDeriv!$D:$D,[1]ForwardDeriv!$AJ:$AJ)</f>
        <v>3.5500000000000114</v>
      </c>
      <c r="J2275" cm="1">
        <f t="array" ref="J2275">_xlfn.XLOOKUP(TEXT(A2275, "mmm-yy"), TEXT([2]GASOLINE!$B$5:$B$208, "mmm-yy"), [2]GASOLINE!$IR$5:$IR$208, "Not Found")</f>
        <v>-195.70591969679407</v>
      </c>
      <c r="K2275" cm="1">
        <f t="array" ref="K2275">_xlfn.XLOOKUP(TEXT(A2275, "mmm-yy"), TEXT([2]GASOLINE!$B$5:$B$208, "mmm-yy"), [2]GASOLINE!$IK$5:$IK$208, "Not Found")</f>
        <v>226.0484904874686</v>
      </c>
      <c r="L2275">
        <f t="shared" si="35"/>
        <v>1</v>
      </c>
      <c r="M2275" cm="1">
        <f t="array" ref="M2275">_xlfn.XLOOKUP(TEXT(A2275, "mmm-yy"), TEXT([2]GASOLINE!$B$5:$B$208, "mmm-yy"), [2]GASOLINE!$C$5:$C$208, "Not Found")</f>
        <v>7901.3159023700464</v>
      </c>
      <c r="N2275" cm="1">
        <f t="array" ref="N2275">_xlfn.XLOOKUP(TEXT(A2275, "mmm-yy"), TEXT([2]RUNS!$B$5:$B$208, "mmm-yy"), [2]RUNS!$BM$5:$BM$208, "Not Found")</f>
        <v>0.83354517817317242</v>
      </c>
    </row>
    <row r="2276" spans="1:14" x14ac:dyDescent="0.25">
      <c r="A2276" s="1">
        <f>'[1]Global_Spot Prices'!$B3585</f>
        <v>45189</v>
      </c>
      <c r="B2276">
        <f>_xlfn.XLOOKUP(A2276,'[1]Global_Spot Prices'!$B:$B,'[1]Global_Spot Prices'!$BS:$BS)</f>
        <v>12.049999999999997</v>
      </c>
      <c r="C2276">
        <f>_xlfn.XLOOKUP(A2276,'[1]Global_Spot Prices'!$B:$B,'[1]Global_Spot Prices'!$E:$E)</f>
        <v>93.86</v>
      </c>
      <c r="D2276">
        <f ca="1">_xlfn.XLOOKUP(A2276,'[1]Global_Spot Prices'!$B:$B,'[1]Global_Spot Prices'!$D:$D)</f>
        <v>95.724999999999994</v>
      </c>
      <c r="E2276">
        <f>_xlfn.XLOOKUP(A2276,'[1]Global_Spot Prices'!$B:$B,'[1]Global_Spot Prices'!$H:$H)</f>
        <v>74.45</v>
      </c>
      <c r="F2276">
        <f ca="1">_xlfn.XLOOKUP(A2276,'[1]Global_Spot Prices'!$B:$B,'[1]Global_Spot Prices'!$I:$I)</f>
        <v>105.91</v>
      </c>
      <c r="G2276" cm="1">
        <f t="array" ref="G2276">_xlfn.XLOOKUP(TEXT(A2276, "mmm-yy"), TEXT([2]RUNS!$B$5:$B$208, "mmm-yy"), [2]RUNS!$D$5:$D$208, "Not Found")</f>
        <v>31006.130183167857</v>
      </c>
      <c r="H2276" cm="1">
        <f t="array" ref="H2276">SUMPRODUCT(
    --(TEXT('[3]Global Weekly Stock (EWSuez'!$B$4:$B$2000,"mmm-yy")=TEXT(A2276,"mmm-yy")),
    '[3]Global Weekly Stock (EWSuez'!$E$4:$E$2000)
/
SUMPRODUCT(
    --(TEXT('[3]Global Weekly Stock (EWSuez'!$B$4:$B$2000,"mmm-yy")=TEXT(A2276,"mmm-yy"))
)</f>
        <v>13023</v>
      </c>
      <c r="I2276">
        <f>_xlfn.XLOOKUP(A2276,[1]ForwardDeriv!$D:$D,[1]ForwardDeriv!$AJ:$AJ)</f>
        <v>3.1700000000000017</v>
      </c>
      <c r="J2276" cm="1">
        <f t="array" ref="J2276">_xlfn.XLOOKUP(TEXT(A2276, "mmm-yy"), TEXT([2]GASOLINE!$B$5:$B$208, "mmm-yy"), [2]GASOLINE!$IR$5:$IR$208, "Not Found")</f>
        <v>-195.70591969679407</v>
      </c>
      <c r="K2276" cm="1">
        <f t="array" ref="K2276">_xlfn.XLOOKUP(TEXT(A2276, "mmm-yy"), TEXT([2]GASOLINE!$B$5:$B$208, "mmm-yy"), [2]GASOLINE!$IK$5:$IK$208, "Not Found")</f>
        <v>226.0484904874686</v>
      </c>
      <c r="L2276">
        <f t="shared" si="35"/>
        <v>1</v>
      </c>
      <c r="M2276" cm="1">
        <f t="array" ref="M2276">_xlfn.XLOOKUP(TEXT(A2276, "mmm-yy"), TEXT([2]GASOLINE!$B$5:$B$208, "mmm-yy"), [2]GASOLINE!$C$5:$C$208, "Not Found")</f>
        <v>7901.3159023700464</v>
      </c>
      <c r="N2276" cm="1">
        <f t="array" ref="N2276">_xlfn.XLOOKUP(TEXT(A2276, "mmm-yy"), TEXT([2]RUNS!$B$5:$B$208, "mmm-yy"), [2]RUNS!$BM$5:$BM$208, "Not Found")</f>
        <v>0.83354517817317242</v>
      </c>
    </row>
    <row r="2277" spans="1:14" x14ac:dyDescent="0.25">
      <c r="A2277" s="1">
        <f>'[1]Global_Spot Prices'!$B3586</f>
        <v>45190</v>
      </c>
      <c r="B2277">
        <f>_xlfn.XLOOKUP(A2277,'[1]Global_Spot Prices'!$B:$B,'[1]Global_Spot Prices'!$BS:$BS)</f>
        <v>10.5</v>
      </c>
      <c r="C2277">
        <f>_xlfn.XLOOKUP(A2277,'[1]Global_Spot Prices'!$B:$B,'[1]Global_Spot Prices'!$E:$E)</f>
        <v>93.24</v>
      </c>
      <c r="D2277">
        <f>_xlfn.XLOOKUP(A2277,'[1]Global_Spot Prices'!$B:$B,'[1]Global_Spot Prices'!$D:$D)</f>
        <v>94.5</v>
      </c>
      <c r="E2277">
        <f>_xlfn.XLOOKUP(A2277,'[1]Global_Spot Prices'!$B:$B,'[1]Global_Spot Prices'!$H:$H)</f>
        <v>74.27</v>
      </c>
      <c r="F2277">
        <f>_xlfn.XLOOKUP(A2277,'[1]Global_Spot Prices'!$B:$B,'[1]Global_Spot Prices'!$I:$I)</f>
        <v>103.74</v>
      </c>
      <c r="G2277" cm="1">
        <f t="array" ref="G2277">_xlfn.XLOOKUP(TEXT(A2277, "mmm-yy"), TEXT([2]RUNS!$B$5:$B$208, "mmm-yy"), [2]RUNS!$D$5:$D$208, "Not Found")</f>
        <v>31006.130183167857</v>
      </c>
      <c r="H2277" cm="1">
        <f t="array" ref="H2277">SUMPRODUCT(
    --(TEXT('[3]Global Weekly Stock (EWSuez'!$B$4:$B$2000,"mmm-yy")=TEXT(A2277,"mmm-yy")),
    '[3]Global Weekly Stock (EWSuez'!$E$4:$E$2000)
/
SUMPRODUCT(
    --(TEXT('[3]Global Weekly Stock (EWSuez'!$B$4:$B$2000,"mmm-yy")=TEXT(A2277,"mmm-yy"))
)</f>
        <v>13023</v>
      </c>
      <c r="I2277">
        <f>_xlfn.XLOOKUP(A2277,[1]ForwardDeriv!$D:$D,[1]ForwardDeriv!$AJ:$AJ)</f>
        <v>2.8499999999999943</v>
      </c>
      <c r="J2277" cm="1">
        <f t="array" ref="J2277">_xlfn.XLOOKUP(TEXT(A2277, "mmm-yy"), TEXT([2]GASOLINE!$B$5:$B$208, "mmm-yy"), [2]GASOLINE!$IR$5:$IR$208, "Not Found")</f>
        <v>-195.70591969679407</v>
      </c>
      <c r="K2277" cm="1">
        <f t="array" ref="K2277">_xlfn.XLOOKUP(TEXT(A2277, "mmm-yy"), TEXT([2]GASOLINE!$B$5:$B$208, "mmm-yy"), [2]GASOLINE!$IK$5:$IK$208, "Not Found")</f>
        <v>226.0484904874686</v>
      </c>
      <c r="L2277">
        <f t="shared" si="35"/>
        <v>1</v>
      </c>
      <c r="M2277" cm="1">
        <f t="array" ref="M2277">_xlfn.XLOOKUP(TEXT(A2277, "mmm-yy"), TEXT([2]GASOLINE!$B$5:$B$208, "mmm-yy"), [2]GASOLINE!$C$5:$C$208, "Not Found")</f>
        <v>7901.3159023700464</v>
      </c>
      <c r="N2277" cm="1">
        <f t="array" ref="N2277">_xlfn.XLOOKUP(TEXT(A2277, "mmm-yy"), TEXT([2]RUNS!$B$5:$B$208, "mmm-yy"), [2]RUNS!$BM$5:$BM$208, "Not Found")</f>
        <v>0.83354517817317242</v>
      </c>
    </row>
    <row r="2278" spans="1:14" x14ac:dyDescent="0.25">
      <c r="A2278" s="1">
        <f>'[1]Global_Spot Prices'!$B3587</f>
        <v>45191</v>
      </c>
      <c r="B2278">
        <f>_xlfn.XLOOKUP(A2278,'[1]Global_Spot Prices'!$B:$B,'[1]Global_Spot Prices'!$BS:$BS)</f>
        <v>9.480000000000004</v>
      </c>
      <c r="C2278">
        <f>_xlfn.XLOOKUP(A2278,'[1]Global_Spot Prices'!$B:$B,'[1]Global_Spot Prices'!$E:$E)</f>
        <v>94.3</v>
      </c>
      <c r="D2278">
        <f>_xlfn.XLOOKUP(A2278,'[1]Global_Spot Prices'!$B:$B,'[1]Global_Spot Prices'!$D:$D)</f>
        <v>94.224999999999994</v>
      </c>
      <c r="E2278">
        <f>_xlfn.XLOOKUP(A2278,'[1]Global_Spot Prices'!$B:$B,'[1]Global_Spot Prices'!$H:$H)</f>
        <v>75.92</v>
      </c>
      <c r="F2278">
        <f>_xlfn.XLOOKUP(A2278,'[1]Global_Spot Prices'!$B:$B,'[1]Global_Spot Prices'!$I:$I)</f>
        <v>103.78</v>
      </c>
      <c r="G2278" cm="1">
        <f t="array" ref="G2278">_xlfn.XLOOKUP(TEXT(A2278, "mmm-yy"), TEXT([2]RUNS!$B$5:$B$208, "mmm-yy"), [2]RUNS!$D$5:$D$208, "Not Found")</f>
        <v>31006.130183167857</v>
      </c>
      <c r="H2278" cm="1">
        <f t="array" ref="H2278">SUMPRODUCT(
    --(TEXT('[3]Global Weekly Stock (EWSuez'!$B$4:$B$2000,"mmm-yy")=TEXT(A2278,"mmm-yy")),
    '[3]Global Weekly Stock (EWSuez'!$E$4:$E$2000)
/
SUMPRODUCT(
    --(TEXT('[3]Global Weekly Stock (EWSuez'!$B$4:$B$2000,"mmm-yy")=TEXT(A2278,"mmm-yy"))
)</f>
        <v>13023</v>
      </c>
      <c r="I2278">
        <f>_xlfn.XLOOKUP(A2278,[1]ForwardDeriv!$D:$D,[1]ForwardDeriv!$AJ:$AJ)</f>
        <v>2.539999999999992</v>
      </c>
      <c r="J2278" cm="1">
        <f t="array" ref="J2278">_xlfn.XLOOKUP(TEXT(A2278, "mmm-yy"), TEXT([2]GASOLINE!$B$5:$B$208, "mmm-yy"), [2]GASOLINE!$IR$5:$IR$208, "Not Found")</f>
        <v>-195.70591969679407</v>
      </c>
      <c r="K2278" cm="1">
        <f t="array" ref="K2278">_xlfn.XLOOKUP(TEXT(A2278, "mmm-yy"), TEXT([2]GASOLINE!$B$5:$B$208, "mmm-yy"), [2]GASOLINE!$IK$5:$IK$208, "Not Found")</f>
        <v>226.0484904874686</v>
      </c>
      <c r="L2278">
        <f t="shared" si="35"/>
        <v>1</v>
      </c>
      <c r="M2278" cm="1">
        <f t="array" ref="M2278">_xlfn.XLOOKUP(TEXT(A2278, "mmm-yy"), TEXT([2]GASOLINE!$B$5:$B$208, "mmm-yy"), [2]GASOLINE!$C$5:$C$208, "Not Found")</f>
        <v>7901.3159023700464</v>
      </c>
      <c r="N2278" cm="1">
        <f t="array" ref="N2278">_xlfn.XLOOKUP(TEXT(A2278, "mmm-yy"), TEXT([2]RUNS!$B$5:$B$208, "mmm-yy"), [2]RUNS!$BM$5:$BM$208, "Not Found")</f>
        <v>0.83354517817317242</v>
      </c>
    </row>
    <row r="2279" spans="1:14" x14ac:dyDescent="0.25">
      <c r="A2279" s="1">
        <f>'[1]Global_Spot Prices'!$B3588</f>
        <v>45194</v>
      </c>
      <c r="B2279">
        <f>_xlfn.XLOOKUP(A2279,'[1]Global_Spot Prices'!$B:$B,'[1]Global_Spot Prices'!$BS:$BS)</f>
        <v>7.9900000000000091</v>
      </c>
      <c r="C2279">
        <f>_xlfn.XLOOKUP(A2279,'[1]Global_Spot Prices'!$B:$B,'[1]Global_Spot Prices'!$E:$E)</f>
        <v>94.1</v>
      </c>
      <c r="D2279">
        <f>_xlfn.XLOOKUP(A2279,'[1]Global_Spot Prices'!$B:$B,'[1]Global_Spot Prices'!$D:$D)</f>
        <v>93.4</v>
      </c>
      <c r="E2279">
        <f>_xlfn.XLOOKUP(A2279,'[1]Global_Spot Prices'!$B:$B,'[1]Global_Spot Prices'!$H:$H)</f>
        <v>75.38</v>
      </c>
      <c r="F2279">
        <f>_xlfn.XLOOKUP(A2279,'[1]Global_Spot Prices'!$B:$B,'[1]Global_Spot Prices'!$I:$I)</f>
        <v>102.09</v>
      </c>
      <c r="G2279" cm="1">
        <f t="array" ref="G2279">_xlfn.XLOOKUP(TEXT(A2279, "mmm-yy"), TEXT([2]RUNS!$B$5:$B$208, "mmm-yy"), [2]RUNS!$D$5:$D$208, "Not Found")</f>
        <v>31006.130183167857</v>
      </c>
      <c r="H2279" cm="1">
        <f t="array" ref="H2279">SUMPRODUCT(
    --(TEXT('[3]Global Weekly Stock (EWSuez'!$B$4:$B$2000,"mmm-yy")=TEXT(A2279,"mmm-yy")),
    '[3]Global Weekly Stock (EWSuez'!$E$4:$E$2000)
/
SUMPRODUCT(
    --(TEXT('[3]Global Weekly Stock (EWSuez'!$B$4:$B$2000,"mmm-yy")=TEXT(A2279,"mmm-yy"))
)</f>
        <v>13023</v>
      </c>
      <c r="I2279">
        <f>_xlfn.XLOOKUP(A2279,[1]ForwardDeriv!$D:$D,[1]ForwardDeriv!$AJ:$AJ)</f>
        <v>2.3100000000000023</v>
      </c>
      <c r="J2279" cm="1">
        <f t="array" ref="J2279">_xlfn.XLOOKUP(TEXT(A2279, "mmm-yy"), TEXT([2]GASOLINE!$B$5:$B$208, "mmm-yy"), [2]GASOLINE!$IR$5:$IR$208, "Not Found")</f>
        <v>-195.70591969679407</v>
      </c>
      <c r="K2279" cm="1">
        <f t="array" ref="K2279">_xlfn.XLOOKUP(TEXT(A2279, "mmm-yy"), TEXT([2]GASOLINE!$B$5:$B$208, "mmm-yy"), [2]GASOLINE!$IK$5:$IK$208, "Not Found")</f>
        <v>226.0484904874686</v>
      </c>
      <c r="L2279">
        <f t="shared" si="35"/>
        <v>1</v>
      </c>
      <c r="M2279" cm="1">
        <f t="array" ref="M2279">_xlfn.XLOOKUP(TEXT(A2279, "mmm-yy"), TEXT([2]GASOLINE!$B$5:$B$208, "mmm-yy"), [2]GASOLINE!$C$5:$C$208, "Not Found")</f>
        <v>7901.3159023700464</v>
      </c>
      <c r="N2279" cm="1">
        <f t="array" ref="N2279">_xlfn.XLOOKUP(TEXT(A2279, "mmm-yy"), TEXT([2]RUNS!$B$5:$B$208, "mmm-yy"), [2]RUNS!$BM$5:$BM$208, "Not Found")</f>
        <v>0.83354517817317242</v>
      </c>
    </row>
    <row r="2280" spans="1:14" x14ac:dyDescent="0.25">
      <c r="A2280" s="1">
        <f>'[1]Global_Spot Prices'!$B3589</f>
        <v>45195</v>
      </c>
      <c r="B2280">
        <f>_xlfn.XLOOKUP(A2280,'[1]Global_Spot Prices'!$B:$B,'[1]Global_Spot Prices'!$BS:$BS)</f>
        <v>7.1899999999999977</v>
      </c>
      <c r="C2280">
        <f>_xlfn.XLOOKUP(A2280,'[1]Global_Spot Prices'!$B:$B,'[1]Global_Spot Prices'!$E:$E)</f>
        <v>92.84</v>
      </c>
      <c r="D2280">
        <f>_xlfn.XLOOKUP(A2280,'[1]Global_Spot Prices'!$B:$B,'[1]Global_Spot Prices'!$D:$D)</f>
        <v>94.135000000000005</v>
      </c>
      <c r="E2280">
        <f>_xlfn.XLOOKUP(A2280,'[1]Global_Spot Prices'!$B:$B,'[1]Global_Spot Prices'!$H:$H)</f>
        <v>73.81</v>
      </c>
      <c r="F2280">
        <f>_xlfn.XLOOKUP(A2280,'[1]Global_Spot Prices'!$B:$B,'[1]Global_Spot Prices'!$I:$I)</f>
        <v>100.03</v>
      </c>
      <c r="G2280" cm="1">
        <f t="array" ref="G2280">_xlfn.XLOOKUP(TEXT(A2280, "mmm-yy"), TEXT([2]RUNS!$B$5:$B$208, "mmm-yy"), [2]RUNS!$D$5:$D$208, "Not Found")</f>
        <v>31006.130183167857</v>
      </c>
      <c r="H2280" cm="1">
        <f t="array" ref="H2280">SUMPRODUCT(
    --(TEXT('[3]Global Weekly Stock (EWSuez'!$B$4:$B$2000,"mmm-yy")=TEXT(A2280,"mmm-yy")),
    '[3]Global Weekly Stock (EWSuez'!$E$4:$E$2000)
/
SUMPRODUCT(
    --(TEXT('[3]Global Weekly Stock (EWSuez'!$B$4:$B$2000,"mmm-yy")=TEXT(A2280,"mmm-yy"))
)</f>
        <v>13023</v>
      </c>
      <c r="I2280">
        <f>_xlfn.XLOOKUP(A2280,[1]ForwardDeriv!$D:$D,[1]ForwardDeriv!$AJ:$AJ)</f>
        <v>2.480000000000004</v>
      </c>
      <c r="J2280" cm="1">
        <f t="array" ref="J2280">_xlfn.XLOOKUP(TEXT(A2280, "mmm-yy"), TEXT([2]GASOLINE!$B$5:$B$208, "mmm-yy"), [2]GASOLINE!$IR$5:$IR$208, "Not Found")</f>
        <v>-195.70591969679407</v>
      </c>
      <c r="K2280" cm="1">
        <f t="array" ref="K2280">_xlfn.XLOOKUP(TEXT(A2280, "mmm-yy"), TEXT([2]GASOLINE!$B$5:$B$208, "mmm-yy"), [2]GASOLINE!$IK$5:$IK$208, "Not Found")</f>
        <v>226.0484904874686</v>
      </c>
      <c r="L2280">
        <f t="shared" si="35"/>
        <v>1</v>
      </c>
      <c r="M2280" cm="1">
        <f t="array" ref="M2280">_xlfn.XLOOKUP(TEXT(A2280, "mmm-yy"), TEXT([2]GASOLINE!$B$5:$B$208, "mmm-yy"), [2]GASOLINE!$C$5:$C$208, "Not Found")</f>
        <v>7901.3159023700464</v>
      </c>
      <c r="N2280" cm="1">
        <f t="array" ref="N2280">_xlfn.XLOOKUP(TEXT(A2280, "mmm-yy"), TEXT([2]RUNS!$B$5:$B$208, "mmm-yy"), [2]RUNS!$BM$5:$BM$208, "Not Found")</f>
        <v>0.83354517817317242</v>
      </c>
    </row>
    <row r="2281" spans="1:14" x14ac:dyDescent="0.25">
      <c r="A2281" s="1">
        <f>'[1]Global_Spot Prices'!$B3590</f>
        <v>45196</v>
      </c>
      <c r="B2281">
        <f>_xlfn.XLOOKUP(A2281,'[1]Global_Spot Prices'!$B:$B,'[1]Global_Spot Prices'!$BS:$BS)</f>
        <v>5.5300000000000011</v>
      </c>
      <c r="C2281">
        <f>_xlfn.XLOOKUP(A2281,'[1]Global_Spot Prices'!$B:$B,'[1]Global_Spot Prices'!$E:$E)</f>
        <v>95.45</v>
      </c>
      <c r="D2281">
        <f>_xlfn.XLOOKUP(A2281,'[1]Global_Spot Prices'!$B:$B,'[1]Global_Spot Prices'!$D:$D)</f>
        <v>97.915000000000006</v>
      </c>
      <c r="E2281">
        <f>_xlfn.XLOOKUP(A2281,'[1]Global_Spot Prices'!$B:$B,'[1]Global_Spot Prices'!$H:$H)</f>
        <v>75.23</v>
      </c>
      <c r="F2281">
        <f>_xlfn.XLOOKUP(A2281,'[1]Global_Spot Prices'!$B:$B,'[1]Global_Spot Prices'!$I:$I)</f>
        <v>100.98</v>
      </c>
      <c r="G2281" cm="1">
        <f t="array" ref="G2281">_xlfn.XLOOKUP(TEXT(A2281, "mmm-yy"), TEXT([2]RUNS!$B$5:$B$208, "mmm-yy"), [2]RUNS!$D$5:$D$208, "Not Found")</f>
        <v>31006.130183167857</v>
      </c>
      <c r="H2281" cm="1">
        <f t="array" ref="H2281">SUMPRODUCT(
    --(TEXT('[3]Global Weekly Stock (EWSuez'!$B$4:$B$2000,"mmm-yy")=TEXT(A2281,"mmm-yy")),
    '[3]Global Weekly Stock (EWSuez'!$E$4:$E$2000)
/
SUMPRODUCT(
    --(TEXT('[3]Global Weekly Stock (EWSuez'!$B$4:$B$2000,"mmm-yy")=TEXT(A2281,"mmm-yy"))
)</f>
        <v>13023</v>
      </c>
      <c r="I2281">
        <f>_xlfn.XLOOKUP(A2281,[1]ForwardDeriv!$D:$D,[1]ForwardDeriv!$AJ:$AJ)</f>
        <v>2.2199999999999989</v>
      </c>
      <c r="J2281" cm="1">
        <f t="array" ref="J2281">_xlfn.XLOOKUP(TEXT(A2281, "mmm-yy"), TEXT([2]GASOLINE!$B$5:$B$208, "mmm-yy"), [2]GASOLINE!$IR$5:$IR$208, "Not Found")</f>
        <v>-195.70591969679407</v>
      </c>
      <c r="K2281" cm="1">
        <f t="array" ref="K2281">_xlfn.XLOOKUP(TEXT(A2281, "mmm-yy"), TEXT([2]GASOLINE!$B$5:$B$208, "mmm-yy"), [2]GASOLINE!$IK$5:$IK$208, "Not Found")</f>
        <v>226.0484904874686</v>
      </c>
      <c r="L2281">
        <f t="shared" si="35"/>
        <v>1</v>
      </c>
      <c r="M2281" cm="1">
        <f t="array" ref="M2281">_xlfn.XLOOKUP(TEXT(A2281, "mmm-yy"), TEXT([2]GASOLINE!$B$5:$B$208, "mmm-yy"), [2]GASOLINE!$C$5:$C$208, "Not Found")</f>
        <v>7901.3159023700464</v>
      </c>
      <c r="N2281" cm="1">
        <f t="array" ref="N2281">_xlfn.XLOOKUP(TEXT(A2281, "mmm-yy"), TEXT([2]RUNS!$B$5:$B$208, "mmm-yy"), [2]RUNS!$BM$5:$BM$208, "Not Found")</f>
        <v>0.83354517817317242</v>
      </c>
    </row>
    <row r="2282" spans="1:14" x14ac:dyDescent="0.25">
      <c r="A2282" s="1">
        <f>'[1]Global_Spot Prices'!$B3591</f>
        <v>45197</v>
      </c>
      <c r="B2282">
        <f>_xlfn.XLOOKUP(A2282,'[1]Global_Spot Prices'!$B:$B,'[1]Global_Spot Prices'!$BS:$BS)</f>
        <v>4.7400000000000091</v>
      </c>
      <c r="C2282">
        <f>_xlfn.XLOOKUP(A2282,'[1]Global_Spot Prices'!$B:$B,'[1]Global_Spot Prices'!$E:$E)</f>
        <v>96.77</v>
      </c>
      <c r="D2282">
        <f>_xlfn.XLOOKUP(A2282,'[1]Global_Spot Prices'!$B:$B,'[1]Global_Spot Prices'!$D:$D)</f>
        <v>97.77</v>
      </c>
      <c r="E2282">
        <f>_xlfn.XLOOKUP(A2282,'[1]Global_Spot Prices'!$B:$B,'[1]Global_Spot Prices'!$H:$H)</f>
        <v>75</v>
      </c>
      <c r="F2282">
        <f>_xlfn.XLOOKUP(A2282,'[1]Global_Spot Prices'!$B:$B,'[1]Global_Spot Prices'!$I:$I)</f>
        <v>101.51</v>
      </c>
      <c r="G2282" cm="1">
        <f t="array" ref="G2282">_xlfn.XLOOKUP(TEXT(A2282, "mmm-yy"), TEXT([2]RUNS!$B$5:$B$208, "mmm-yy"), [2]RUNS!$D$5:$D$208, "Not Found")</f>
        <v>31006.130183167857</v>
      </c>
      <c r="H2282" cm="1">
        <f t="array" ref="H2282">SUMPRODUCT(
    --(TEXT('[3]Global Weekly Stock (EWSuez'!$B$4:$B$2000,"mmm-yy")=TEXT(A2282,"mmm-yy")),
    '[3]Global Weekly Stock (EWSuez'!$E$4:$E$2000)
/
SUMPRODUCT(
    --(TEXT('[3]Global Weekly Stock (EWSuez'!$B$4:$B$2000,"mmm-yy")=TEXT(A2282,"mmm-yy"))
)</f>
        <v>13023</v>
      </c>
      <c r="I2282">
        <f>_xlfn.XLOOKUP(A2282,[1]ForwardDeriv!$D:$D,[1]ForwardDeriv!$AJ:$AJ)</f>
        <v>2.1300000000000097</v>
      </c>
      <c r="J2282" cm="1">
        <f t="array" ref="J2282">_xlfn.XLOOKUP(TEXT(A2282, "mmm-yy"), TEXT([2]GASOLINE!$B$5:$B$208, "mmm-yy"), [2]GASOLINE!$IR$5:$IR$208, "Not Found")</f>
        <v>-195.70591969679407</v>
      </c>
      <c r="K2282" cm="1">
        <f t="array" ref="K2282">_xlfn.XLOOKUP(TEXT(A2282, "mmm-yy"), TEXT([2]GASOLINE!$B$5:$B$208, "mmm-yy"), [2]GASOLINE!$IK$5:$IK$208, "Not Found")</f>
        <v>226.0484904874686</v>
      </c>
      <c r="L2282">
        <f t="shared" si="35"/>
        <v>1</v>
      </c>
      <c r="M2282" cm="1">
        <f t="array" ref="M2282">_xlfn.XLOOKUP(TEXT(A2282, "mmm-yy"), TEXT([2]GASOLINE!$B$5:$B$208, "mmm-yy"), [2]GASOLINE!$C$5:$C$208, "Not Found")</f>
        <v>7901.3159023700464</v>
      </c>
      <c r="N2282" cm="1">
        <f t="array" ref="N2282">_xlfn.XLOOKUP(TEXT(A2282, "mmm-yy"), TEXT([2]RUNS!$B$5:$B$208, "mmm-yy"), [2]RUNS!$BM$5:$BM$208, "Not Found")</f>
        <v>0.83354517817317242</v>
      </c>
    </row>
    <row r="2283" spans="1:14" x14ac:dyDescent="0.25">
      <c r="A2283" s="1">
        <f>'[1]Global_Spot Prices'!$B3592</f>
        <v>45198</v>
      </c>
      <c r="B2283">
        <f>_xlfn.XLOOKUP(A2283,'[1]Global_Spot Prices'!$B:$B,'[1]Global_Spot Prices'!$BS:$BS)</f>
        <v>2.2099999999999937</v>
      </c>
      <c r="C2283">
        <f>_xlfn.XLOOKUP(A2283,'[1]Global_Spot Prices'!$B:$B,'[1]Global_Spot Prices'!$E:$E)</f>
        <v>96.12</v>
      </c>
      <c r="D2283">
        <f>_xlfn.XLOOKUP(A2283,'[1]Global_Spot Prices'!$B:$B,'[1]Global_Spot Prices'!$D:$D)</f>
        <v>96.325000000000003</v>
      </c>
      <c r="E2283">
        <f>_xlfn.XLOOKUP(A2283,'[1]Global_Spot Prices'!$B:$B,'[1]Global_Spot Prices'!$H:$H)</f>
        <v>74</v>
      </c>
      <c r="F2283">
        <f>_xlfn.XLOOKUP(A2283,'[1]Global_Spot Prices'!$B:$B,'[1]Global_Spot Prices'!$I:$I)</f>
        <v>98.33</v>
      </c>
      <c r="G2283" cm="1">
        <f t="array" ref="G2283">_xlfn.XLOOKUP(TEXT(A2283, "mmm-yy"), TEXT([2]RUNS!$B$5:$B$208, "mmm-yy"), [2]RUNS!$D$5:$D$208, "Not Found")</f>
        <v>31006.130183167857</v>
      </c>
      <c r="H2283" cm="1">
        <f t="array" ref="H2283">SUMPRODUCT(
    --(TEXT('[3]Global Weekly Stock (EWSuez'!$B$4:$B$2000,"mmm-yy")=TEXT(A2283,"mmm-yy")),
    '[3]Global Weekly Stock (EWSuez'!$E$4:$E$2000)
/
SUMPRODUCT(
    --(TEXT('[3]Global Weekly Stock (EWSuez'!$B$4:$B$2000,"mmm-yy")=TEXT(A2283,"mmm-yy"))
)</f>
        <v>13023</v>
      </c>
      <c r="I2283">
        <f>_xlfn.XLOOKUP(A2283,[1]ForwardDeriv!$D:$D,[1]ForwardDeriv!$AJ:$AJ)</f>
        <v>1.8999999999999915</v>
      </c>
      <c r="J2283" cm="1">
        <f t="array" ref="J2283">_xlfn.XLOOKUP(TEXT(A2283, "mmm-yy"), TEXT([2]GASOLINE!$B$5:$B$208, "mmm-yy"), [2]GASOLINE!$IR$5:$IR$208, "Not Found")</f>
        <v>-195.70591969679407</v>
      </c>
      <c r="K2283" cm="1">
        <f t="array" ref="K2283">_xlfn.XLOOKUP(TEXT(A2283, "mmm-yy"), TEXT([2]GASOLINE!$B$5:$B$208, "mmm-yy"), [2]GASOLINE!$IK$5:$IK$208, "Not Found")</f>
        <v>226.0484904874686</v>
      </c>
      <c r="L2283">
        <f t="shared" si="35"/>
        <v>1</v>
      </c>
      <c r="M2283" cm="1">
        <f t="array" ref="M2283">_xlfn.XLOOKUP(TEXT(A2283, "mmm-yy"), TEXT([2]GASOLINE!$B$5:$B$208, "mmm-yy"), [2]GASOLINE!$C$5:$C$208, "Not Found")</f>
        <v>7901.3159023700464</v>
      </c>
      <c r="N2283" cm="1">
        <f t="array" ref="N2283">_xlfn.XLOOKUP(TEXT(A2283, "mmm-yy"), TEXT([2]RUNS!$B$5:$B$208, "mmm-yy"), [2]RUNS!$BM$5:$BM$208, "Not Found")</f>
        <v>0.83354517817317242</v>
      </c>
    </row>
    <row r="2284" spans="1:14" x14ac:dyDescent="0.25">
      <c r="A2284" s="1">
        <f>'[1]Global_Spot Prices'!$B3593</f>
        <v>45201</v>
      </c>
      <c r="B2284">
        <f>_xlfn.XLOOKUP(A2284,'[1]Global_Spot Prices'!$B:$B,'[1]Global_Spot Prices'!$BS:$BS)</f>
        <v>2.3299999999999983</v>
      </c>
      <c r="C2284">
        <f>_xlfn.XLOOKUP(A2284,'[1]Global_Spot Prices'!$B:$B,'[1]Global_Spot Prices'!$E:$E)</f>
        <v>93.11</v>
      </c>
      <c r="D2284">
        <f>_xlfn.XLOOKUP(A2284,'[1]Global_Spot Prices'!$B:$B,'[1]Global_Spot Prices'!$D:$D)</f>
        <v>94.555000000000007</v>
      </c>
      <c r="E2284">
        <f>_xlfn.XLOOKUP(A2284,'[1]Global_Spot Prices'!$B:$B,'[1]Global_Spot Prices'!$H:$H)</f>
        <v>74.25</v>
      </c>
      <c r="F2284">
        <f>_xlfn.XLOOKUP(A2284,'[1]Global_Spot Prices'!$B:$B,'[1]Global_Spot Prices'!$I:$I)</f>
        <v>95.44</v>
      </c>
      <c r="G2284" cm="1">
        <f t="array" ref="G2284">_xlfn.XLOOKUP(TEXT(A2284, "mmm-yy"), TEXT([2]RUNS!$B$5:$B$208, "mmm-yy"), [2]RUNS!$D$5:$D$208, "Not Found")</f>
        <v>30532.937993265459</v>
      </c>
      <c r="H2284" cm="1">
        <f t="array" ref="H2284">SUMPRODUCT(
    --(TEXT('[3]Global Weekly Stock (EWSuez'!$B$4:$B$2000,"mmm-yy")=TEXT(A2284,"mmm-yy")),
    '[3]Global Weekly Stock (EWSuez'!$E$4:$E$2000)
/
SUMPRODUCT(
    --(TEXT('[3]Global Weekly Stock (EWSuez'!$B$4:$B$2000,"mmm-yy")=TEXT(A2284,"mmm-yy"))
)</f>
        <v>12180</v>
      </c>
      <c r="I2284">
        <f>_xlfn.XLOOKUP(A2284,[1]ForwardDeriv!$D:$D,[1]ForwardDeriv!$AJ:$AJ)</f>
        <v>0.81000000000000227</v>
      </c>
      <c r="J2284" cm="1">
        <f t="array" ref="J2284">_xlfn.XLOOKUP(TEXT(A2284, "mmm-yy"), TEXT([2]GASOLINE!$B$5:$B$208, "mmm-yy"), [2]GASOLINE!$IR$5:$IR$208, "Not Found")</f>
        <v>-380.7775470100928</v>
      </c>
      <c r="K2284" cm="1">
        <f t="array" ref="K2284">_xlfn.XLOOKUP(TEXT(A2284, "mmm-yy"), TEXT([2]GASOLINE!$B$5:$B$208, "mmm-yy"), [2]GASOLINE!$IK$5:$IK$208, "Not Found")</f>
        <v>222.77121922767881</v>
      </c>
      <c r="L2284">
        <f t="shared" si="35"/>
        <v>0</v>
      </c>
      <c r="M2284" cm="1">
        <f t="array" ref="M2284">_xlfn.XLOOKUP(TEXT(A2284, "mmm-yy"), TEXT([2]GASOLINE!$B$5:$B$208, "mmm-yy"), [2]GASOLINE!$C$5:$C$208, "Not Found")</f>
        <v>7831.5895927362417</v>
      </c>
      <c r="N2284" cm="1">
        <f t="array" ref="N2284">_xlfn.XLOOKUP(TEXT(A2284, "mmm-yy"), TEXT([2]RUNS!$B$5:$B$208, "mmm-yy"), [2]RUNS!$BM$5:$BM$208, "Not Found")</f>
        <v>0.82597577749399997</v>
      </c>
    </row>
    <row r="2285" spans="1:14" x14ac:dyDescent="0.25">
      <c r="A2285" s="1">
        <f>'[1]Global_Spot Prices'!$B3594</f>
        <v>45202</v>
      </c>
      <c r="B2285">
        <f>_xlfn.XLOOKUP(A2285,'[1]Global_Spot Prices'!$B:$B,'[1]Global_Spot Prices'!$BS:$BS)</f>
        <v>3.1900000000000119</v>
      </c>
      <c r="C2285">
        <f>_xlfn.XLOOKUP(A2285,'[1]Global_Spot Prices'!$B:$B,'[1]Global_Spot Prices'!$E:$E)</f>
        <v>91.1</v>
      </c>
      <c r="D2285">
        <f>_xlfn.XLOOKUP(A2285,'[1]Global_Spot Prices'!$B:$B,'[1]Global_Spot Prices'!$D:$D)</f>
        <v>94.68</v>
      </c>
      <c r="E2285">
        <f>_xlfn.XLOOKUP(A2285,'[1]Global_Spot Prices'!$B:$B,'[1]Global_Spot Prices'!$H:$H)</f>
        <v>72.959999999999994</v>
      </c>
      <c r="F2285">
        <f>_xlfn.XLOOKUP(A2285,'[1]Global_Spot Prices'!$B:$B,'[1]Global_Spot Prices'!$I:$I)</f>
        <v>94.29</v>
      </c>
      <c r="G2285" cm="1">
        <f t="array" ref="G2285">_xlfn.XLOOKUP(TEXT(A2285, "mmm-yy"), TEXT([2]RUNS!$B$5:$B$208, "mmm-yy"), [2]RUNS!$D$5:$D$208, "Not Found")</f>
        <v>30532.937993265459</v>
      </c>
      <c r="H2285" cm="1">
        <f t="array" ref="H2285">SUMPRODUCT(
    --(TEXT('[3]Global Weekly Stock (EWSuez'!$B$4:$B$2000,"mmm-yy")=TEXT(A2285,"mmm-yy")),
    '[3]Global Weekly Stock (EWSuez'!$E$4:$E$2000)
/
SUMPRODUCT(
    --(TEXT('[3]Global Weekly Stock (EWSuez'!$B$4:$B$2000,"mmm-yy")=TEXT(A2285,"mmm-yy"))
)</f>
        <v>12180</v>
      </c>
      <c r="I2285">
        <f>_xlfn.XLOOKUP(A2285,[1]ForwardDeriv!$D:$D,[1]ForwardDeriv!$AJ:$AJ)</f>
        <v>0.86999999999999034</v>
      </c>
      <c r="J2285" cm="1">
        <f t="array" ref="J2285">_xlfn.XLOOKUP(TEXT(A2285, "mmm-yy"), TEXT([2]GASOLINE!$B$5:$B$208, "mmm-yy"), [2]GASOLINE!$IR$5:$IR$208, "Not Found")</f>
        <v>-380.7775470100928</v>
      </c>
      <c r="K2285" cm="1">
        <f t="array" ref="K2285">_xlfn.XLOOKUP(TEXT(A2285, "mmm-yy"), TEXT([2]GASOLINE!$B$5:$B$208, "mmm-yy"), [2]GASOLINE!$IK$5:$IK$208, "Not Found")</f>
        <v>222.77121922767881</v>
      </c>
      <c r="L2285">
        <f t="shared" si="35"/>
        <v>0</v>
      </c>
      <c r="M2285" cm="1">
        <f t="array" ref="M2285">_xlfn.XLOOKUP(TEXT(A2285, "mmm-yy"), TEXT([2]GASOLINE!$B$5:$B$208, "mmm-yy"), [2]GASOLINE!$C$5:$C$208, "Not Found")</f>
        <v>7831.5895927362417</v>
      </c>
      <c r="N2285" cm="1">
        <f t="array" ref="N2285">_xlfn.XLOOKUP(TEXT(A2285, "mmm-yy"), TEXT([2]RUNS!$B$5:$B$208, "mmm-yy"), [2]RUNS!$BM$5:$BM$208, "Not Found")</f>
        <v>0.82597577749399997</v>
      </c>
    </row>
    <row r="2286" spans="1:14" x14ac:dyDescent="0.25">
      <c r="A2286" s="1">
        <f>'[1]Global_Spot Prices'!$B3595</f>
        <v>45203</v>
      </c>
      <c r="B2286">
        <f>_xlfn.XLOOKUP(A2286,'[1]Global_Spot Prices'!$B:$B,'[1]Global_Spot Prices'!$BS:$BS)</f>
        <v>0.76999999999999602</v>
      </c>
      <c r="C2286">
        <f>_xlfn.XLOOKUP(A2286,'[1]Global_Spot Prices'!$B:$B,'[1]Global_Spot Prices'!$E:$E)</f>
        <v>90.67</v>
      </c>
      <c r="D2286">
        <f>_xlfn.XLOOKUP(A2286,'[1]Global_Spot Prices'!$B:$B,'[1]Global_Spot Prices'!$D:$D)</f>
        <v>91.674999999999997</v>
      </c>
      <c r="E2286">
        <f>_xlfn.XLOOKUP(A2286,'[1]Global_Spot Prices'!$B:$B,'[1]Global_Spot Prices'!$H:$H)</f>
        <v>71.760000000000005</v>
      </c>
      <c r="F2286">
        <f>_xlfn.XLOOKUP(A2286,'[1]Global_Spot Prices'!$B:$B,'[1]Global_Spot Prices'!$I:$I)</f>
        <v>91.44</v>
      </c>
      <c r="G2286" cm="1">
        <f t="array" ref="G2286">_xlfn.XLOOKUP(TEXT(A2286, "mmm-yy"), TEXT([2]RUNS!$B$5:$B$208, "mmm-yy"), [2]RUNS!$D$5:$D$208, "Not Found")</f>
        <v>30532.937993265459</v>
      </c>
      <c r="H2286" cm="1">
        <f t="array" ref="H2286">SUMPRODUCT(
    --(TEXT('[3]Global Weekly Stock (EWSuez'!$B$4:$B$2000,"mmm-yy")=TEXT(A2286,"mmm-yy")),
    '[3]Global Weekly Stock (EWSuez'!$E$4:$E$2000)
/
SUMPRODUCT(
    --(TEXT('[3]Global Weekly Stock (EWSuez'!$B$4:$B$2000,"mmm-yy")=TEXT(A2286,"mmm-yy"))
)</f>
        <v>12180</v>
      </c>
      <c r="I2286">
        <f>_xlfn.XLOOKUP(A2286,[1]ForwardDeriv!$D:$D,[1]ForwardDeriv!$AJ:$AJ)</f>
        <v>0.62999999999999545</v>
      </c>
      <c r="J2286" cm="1">
        <f t="array" ref="J2286">_xlfn.XLOOKUP(TEXT(A2286, "mmm-yy"), TEXT([2]GASOLINE!$B$5:$B$208, "mmm-yy"), [2]GASOLINE!$IR$5:$IR$208, "Not Found")</f>
        <v>-380.7775470100928</v>
      </c>
      <c r="K2286" cm="1">
        <f t="array" ref="K2286">_xlfn.XLOOKUP(TEXT(A2286, "mmm-yy"), TEXT([2]GASOLINE!$B$5:$B$208, "mmm-yy"), [2]GASOLINE!$IK$5:$IK$208, "Not Found")</f>
        <v>222.77121922767881</v>
      </c>
      <c r="L2286">
        <f t="shared" si="35"/>
        <v>0</v>
      </c>
      <c r="M2286" cm="1">
        <f t="array" ref="M2286">_xlfn.XLOOKUP(TEXT(A2286, "mmm-yy"), TEXT([2]GASOLINE!$B$5:$B$208, "mmm-yy"), [2]GASOLINE!$C$5:$C$208, "Not Found")</f>
        <v>7831.5895927362417</v>
      </c>
      <c r="N2286" cm="1">
        <f t="array" ref="N2286">_xlfn.XLOOKUP(TEXT(A2286, "mmm-yy"), TEXT([2]RUNS!$B$5:$B$208, "mmm-yy"), [2]RUNS!$BM$5:$BM$208, "Not Found")</f>
        <v>0.82597577749399997</v>
      </c>
    </row>
    <row r="2287" spans="1:14" x14ac:dyDescent="0.25">
      <c r="A2287" s="1">
        <f>'[1]Global_Spot Prices'!$B3596</f>
        <v>45204</v>
      </c>
      <c r="B2287">
        <f>_xlfn.XLOOKUP(A2287,'[1]Global_Spot Prices'!$B:$B,'[1]Global_Spot Prices'!$BS:$BS)</f>
        <v>2.6200000000000045</v>
      </c>
      <c r="C2287">
        <f>_xlfn.XLOOKUP(A2287,'[1]Global_Spot Prices'!$B:$B,'[1]Global_Spot Prices'!$E:$E)</f>
        <v>86.3</v>
      </c>
      <c r="D2287">
        <f>_xlfn.XLOOKUP(A2287,'[1]Global_Spot Prices'!$B:$B,'[1]Global_Spot Prices'!$D:$D)</f>
        <v>88.48</v>
      </c>
      <c r="E2287">
        <f>_xlfn.XLOOKUP(A2287,'[1]Global_Spot Prices'!$B:$B,'[1]Global_Spot Prices'!$H:$H)</f>
        <v>69.22</v>
      </c>
      <c r="F2287">
        <f>_xlfn.XLOOKUP(A2287,'[1]Global_Spot Prices'!$B:$B,'[1]Global_Spot Prices'!$I:$I)</f>
        <v>88.92</v>
      </c>
      <c r="G2287" cm="1">
        <f t="array" ref="G2287">_xlfn.XLOOKUP(TEXT(A2287, "mmm-yy"), TEXT([2]RUNS!$B$5:$B$208, "mmm-yy"), [2]RUNS!$D$5:$D$208, "Not Found")</f>
        <v>30532.937993265459</v>
      </c>
      <c r="H2287" cm="1">
        <f t="array" ref="H2287">SUMPRODUCT(
    --(TEXT('[3]Global Weekly Stock (EWSuez'!$B$4:$B$2000,"mmm-yy")=TEXT(A2287,"mmm-yy")),
    '[3]Global Weekly Stock (EWSuez'!$E$4:$E$2000)
/
SUMPRODUCT(
    --(TEXT('[3]Global Weekly Stock (EWSuez'!$B$4:$B$2000,"mmm-yy")=TEXT(A2287,"mmm-yy"))
)</f>
        <v>12180</v>
      </c>
      <c r="I2287">
        <f>_xlfn.XLOOKUP(A2287,[1]ForwardDeriv!$D:$D,[1]ForwardDeriv!$AJ:$AJ)</f>
        <v>0.75</v>
      </c>
      <c r="J2287" cm="1">
        <f t="array" ref="J2287">_xlfn.XLOOKUP(TEXT(A2287, "mmm-yy"), TEXT([2]GASOLINE!$B$5:$B$208, "mmm-yy"), [2]GASOLINE!$IR$5:$IR$208, "Not Found")</f>
        <v>-380.7775470100928</v>
      </c>
      <c r="K2287" cm="1">
        <f t="array" ref="K2287">_xlfn.XLOOKUP(TEXT(A2287, "mmm-yy"), TEXT([2]GASOLINE!$B$5:$B$208, "mmm-yy"), [2]GASOLINE!$IK$5:$IK$208, "Not Found")</f>
        <v>222.77121922767881</v>
      </c>
      <c r="L2287">
        <f t="shared" si="35"/>
        <v>0</v>
      </c>
      <c r="M2287" cm="1">
        <f t="array" ref="M2287">_xlfn.XLOOKUP(TEXT(A2287, "mmm-yy"), TEXT([2]GASOLINE!$B$5:$B$208, "mmm-yy"), [2]GASOLINE!$C$5:$C$208, "Not Found")</f>
        <v>7831.5895927362417</v>
      </c>
      <c r="N2287" cm="1">
        <f t="array" ref="N2287">_xlfn.XLOOKUP(TEXT(A2287, "mmm-yy"), TEXT([2]RUNS!$B$5:$B$208, "mmm-yy"), [2]RUNS!$BM$5:$BM$208, "Not Found")</f>
        <v>0.82597577749399997</v>
      </c>
    </row>
    <row r="2288" spans="1:14" x14ac:dyDescent="0.25">
      <c r="A2288" s="1">
        <f>'[1]Global_Spot Prices'!$B3597</f>
        <v>45205</v>
      </c>
      <c r="B2288">
        <f>_xlfn.XLOOKUP(A2288,'[1]Global_Spot Prices'!$B:$B,'[1]Global_Spot Prices'!$BS:$BS)</f>
        <v>4.0900000000000034</v>
      </c>
      <c r="C2288">
        <f ca="1">_xlfn.XLOOKUP(A2288,'[1]Global_Spot Prices'!$B:$B,'[1]Global_Spot Prices'!$E:$E)</f>
        <v>84.84</v>
      </c>
      <c r="D2288">
        <f ca="1">_xlfn.XLOOKUP(A2288,'[1]Global_Spot Prices'!$B:$B,'[1]Global_Spot Prices'!$D:$D)</f>
        <v>88.2</v>
      </c>
      <c r="E2288">
        <f>_xlfn.XLOOKUP(A2288,'[1]Global_Spot Prices'!$B:$B,'[1]Global_Spot Prices'!$H:$H)</f>
        <v>67.989999999999995</v>
      </c>
      <c r="F2288">
        <f>_xlfn.XLOOKUP(A2288,'[1]Global_Spot Prices'!$B:$B,'[1]Global_Spot Prices'!$I:$I)</f>
        <v>88.93</v>
      </c>
      <c r="G2288" cm="1">
        <f t="array" ref="G2288">_xlfn.XLOOKUP(TEXT(A2288, "mmm-yy"), TEXT([2]RUNS!$B$5:$B$208, "mmm-yy"), [2]RUNS!$D$5:$D$208, "Not Found")</f>
        <v>30532.937993265459</v>
      </c>
      <c r="H2288" cm="1">
        <f t="array" ref="H2288">SUMPRODUCT(
    --(TEXT('[3]Global Weekly Stock (EWSuez'!$B$4:$B$2000,"mmm-yy")=TEXT(A2288,"mmm-yy")),
    '[3]Global Weekly Stock (EWSuez'!$E$4:$E$2000)
/
SUMPRODUCT(
    --(TEXT('[3]Global Weekly Stock (EWSuez'!$B$4:$B$2000,"mmm-yy")=TEXT(A2288,"mmm-yy"))
)</f>
        <v>12180</v>
      </c>
      <c r="I2288">
        <f>_xlfn.XLOOKUP(A2288,[1]ForwardDeriv!$D:$D,[1]ForwardDeriv!$AJ:$AJ)</f>
        <v>1</v>
      </c>
      <c r="J2288" cm="1">
        <f t="array" ref="J2288">_xlfn.XLOOKUP(TEXT(A2288, "mmm-yy"), TEXT([2]GASOLINE!$B$5:$B$208, "mmm-yy"), [2]GASOLINE!$IR$5:$IR$208, "Not Found")</f>
        <v>-380.7775470100928</v>
      </c>
      <c r="K2288" cm="1">
        <f t="array" ref="K2288">_xlfn.XLOOKUP(TEXT(A2288, "mmm-yy"), TEXT([2]GASOLINE!$B$5:$B$208, "mmm-yy"), [2]GASOLINE!$IK$5:$IK$208, "Not Found")</f>
        <v>222.77121922767881</v>
      </c>
      <c r="L2288">
        <f t="shared" si="35"/>
        <v>0</v>
      </c>
      <c r="M2288" cm="1">
        <f t="array" ref="M2288">_xlfn.XLOOKUP(TEXT(A2288, "mmm-yy"), TEXT([2]GASOLINE!$B$5:$B$208, "mmm-yy"), [2]GASOLINE!$C$5:$C$208, "Not Found")</f>
        <v>7831.5895927362417</v>
      </c>
      <c r="N2288" cm="1">
        <f t="array" ref="N2288">_xlfn.XLOOKUP(TEXT(A2288, "mmm-yy"), TEXT([2]RUNS!$B$5:$B$208, "mmm-yy"), [2]RUNS!$BM$5:$BM$208, "Not Found")</f>
        <v>0.82597577749399997</v>
      </c>
    </row>
    <row r="2289" spans="1:14" x14ac:dyDescent="0.25">
      <c r="A2289" s="1">
        <f>'[1]Global_Spot Prices'!$B3598</f>
        <v>45208</v>
      </c>
      <c r="B2289">
        <f>_xlfn.XLOOKUP(A2289,'[1]Global_Spot Prices'!$B:$B,'[1]Global_Spot Prices'!$BS:$BS)</f>
        <v>5.7249999999999943</v>
      </c>
      <c r="C2289">
        <f>_xlfn.XLOOKUP(A2289,'[1]Global_Spot Prices'!$B:$B,'[1]Global_Spot Prices'!$E:$E)</f>
        <v>87.055000000000007</v>
      </c>
      <c r="D2289">
        <f>_xlfn.XLOOKUP(A2289,'[1]Global_Spot Prices'!$B:$B,'[1]Global_Spot Prices'!$D:$D)</f>
        <v>91.334999999999994</v>
      </c>
      <c r="E2289">
        <f>_xlfn.XLOOKUP(A2289,'[1]Global_Spot Prices'!$B:$B,'[1]Global_Spot Prices'!$H:$H)</f>
        <v>69.63</v>
      </c>
      <c r="F2289">
        <f>_xlfn.XLOOKUP(A2289,'[1]Global_Spot Prices'!$B:$B,'[1]Global_Spot Prices'!$I:$I)</f>
        <v>92.78</v>
      </c>
      <c r="G2289" cm="1">
        <f t="array" ref="G2289">_xlfn.XLOOKUP(TEXT(A2289, "mmm-yy"), TEXT([2]RUNS!$B$5:$B$208, "mmm-yy"), [2]RUNS!$D$5:$D$208, "Not Found")</f>
        <v>30532.937993265459</v>
      </c>
      <c r="H2289" cm="1">
        <f t="array" ref="H2289">SUMPRODUCT(
    --(TEXT('[3]Global Weekly Stock (EWSuez'!$B$4:$B$2000,"mmm-yy")=TEXT(A2289,"mmm-yy")),
    '[3]Global Weekly Stock (EWSuez'!$E$4:$E$2000)
/
SUMPRODUCT(
    --(TEXT('[3]Global Weekly Stock (EWSuez'!$B$4:$B$2000,"mmm-yy")=TEXT(A2289,"mmm-yy"))
)</f>
        <v>12180</v>
      </c>
      <c r="I2289">
        <f>_xlfn.XLOOKUP(A2289,[1]ForwardDeriv!$D:$D,[1]ForwardDeriv!$AJ:$AJ)</f>
        <v>1.269999999999996</v>
      </c>
      <c r="J2289" cm="1">
        <f t="array" ref="J2289">_xlfn.XLOOKUP(TEXT(A2289, "mmm-yy"), TEXT([2]GASOLINE!$B$5:$B$208, "mmm-yy"), [2]GASOLINE!$IR$5:$IR$208, "Not Found")</f>
        <v>-380.7775470100928</v>
      </c>
      <c r="K2289" cm="1">
        <f t="array" ref="K2289">_xlfn.XLOOKUP(TEXT(A2289, "mmm-yy"), TEXT([2]GASOLINE!$B$5:$B$208, "mmm-yy"), [2]GASOLINE!$IK$5:$IK$208, "Not Found")</f>
        <v>222.77121922767881</v>
      </c>
      <c r="L2289">
        <f t="shared" si="35"/>
        <v>0</v>
      </c>
      <c r="M2289" cm="1">
        <f t="array" ref="M2289">_xlfn.XLOOKUP(TEXT(A2289, "mmm-yy"), TEXT([2]GASOLINE!$B$5:$B$208, "mmm-yy"), [2]GASOLINE!$C$5:$C$208, "Not Found")</f>
        <v>7831.5895927362417</v>
      </c>
      <c r="N2289" cm="1">
        <f t="array" ref="N2289">_xlfn.XLOOKUP(TEXT(A2289, "mmm-yy"), TEXT([2]RUNS!$B$5:$B$208, "mmm-yy"), [2]RUNS!$BM$5:$BM$208, "Not Found")</f>
        <v>0.82597577749399997</v>
      </c>
    </row>
    <row r="2290" spans="1:14" x14ac:dyDescent="0.25">
      <c r="A2290" s="1">
        <f>'[1]Global_Spot Prices'!$B3599</f>
        <v>45209</v>
      </c>
      <c r="B2290">
        <f>_xlfn.XLOOKUP(A2290,'[1]Global_Spot Prices'!$B:$B,'[1]Global_Spot Prices'!$BS:$BS)</f>
        <v>3.9849999999999994</v>
      </c>
      <c r="C2290">
        <f>_xlfn.XLOOKUP(A2290,'[1]Global_Spot Prices'!$B:$B,'[1]Global_Spot Prices'!$E:$E)</f>
        <v>88.495000000000005</v>
      </c>
      <c r="D2290">
        <f>_xlfn.XLOOKUP(A2290,'[1]Global_Spot Prices'!$B:$B,'[1]Global_Spot Prices'!$D:$D)</f>
        <v>90.71</v>
      </c>
      <c r="E2290">
        <f>_xlfn.XLOOKUP(A2290,'[1]Global_Spot Prices'!$B:$B,'[1]Global_Spot Prices'!$H:$H)</f>
        <v>69.78</v>
      </c>
      <c r="F2290">
        <f>_xlfn.XLOOKUP(A2290,'[1]Global_Spot Prices'!$B:$B,'[1]Global_Spot Prices'!$I:$I)</f>
        <v>92.48</v>
      </c>
      <c r="G2290" cm="1">
        <f t="array" ref="G2290">_xlfn.XLOOKUP(TEXT(A2290, "mmm-yy"), TEXT([2]RUNS!$B$5:$B$208, "mmm-yy"), [2]RUNS!$D$5:$D$208, "Not Found")</f>
        <v>30532.937993265459</v>
      </c>
      <c r="H2290" cm="1">
        <f t="array" ref="H2290">SUMPRODUCT(
    --(TEXT('[3]Global Weekly Stock (EWSuez'!$B$4:$B$2000,"mmm-yy")=TEXT(A2290,"mmm-yy")),
    '[3]Global Weekly Stock (EWSuez'!$E$4:$E$2000)
/
SUMPRODUCT(
    --(TEXT('[3]Global Weekly Stock (EWSuez'!$B$4:$B$2000,"mmm-yy")=TEXT(A2290,"mmm-yy"))
)</f>
        <v>12180</v>
      </c>
      <c r="I2290">
        <f>_xlfn.XLOOKUP(A2290,[1]ForwardDeriv!$D:$D,[1]ForwardDeriv!$AJ:$AJ)</f>
        <v>1.0499999999999972</v>
      </c>
      <c r="J2290" cm="1">
        <f t="array" ref="J2290">_xlfn.XLOOKUP(TEXT(A2290, "mmm-yy"), TEXT([2]GASOLINE!$B$5:$B$208, "mmm-yy"), [2]GASOLINE!$IR$5:$IR$208, "Not Found")</f>
        <v>-380.7775470100928</v>
      </c>
      <c r="K2290" cm="1">
        <f t="array" ref="K2290">_xlfn.XLOOKUP(TEXT(A2290, "mmm-yy"), TEXT([2]GASOLINE!$B$5:$B$208, "mmm-yy"), [2]GASOLINE!$IK$5:$IK$208, "Not Found")</f>
        <v>222.77121922767881</v>
      </c>
      <c r="L2290">
        <f t="shared" si="35"/>
        <v>0</v>
      </c>
      <c r="M2290" cm="1">
        <f t="array" ref="M2290">_xlfn.XLOOKUP(TEXT(A2290, "mmm-yy"), TEXT([2]GASOLINE!$B$5:$B$208, "mmm-yy"), [2]GASOLINE!$C$5:$C$208, "Not Found")</f>
        <v>7831.5895927362417</v>
      </c>
      <c r="N2290" cm="1">
        <f t="array" ref="N2290">_xlfn.XLOOKUP(TEXT(A2290, "mmm-yy"), TEXT([2]RUNS!$B$5:$B$208, "mmm-yy"), [2]RUNS!$BM$5:$BM$208, "Not Found")</f>
        <v>0.82597577749399997</v>
      </c>
    </row>
    <row r="2291" spans="1:14" x14ac:dyDescent="0.25">
      <c r="A2291" s="1">
        <f>'[1]Global_Spot Prices'!$B3600</f>
        <v>45210</v>
      </c>
      <c r="B2291">
        <f>_xlfn.XLOOKUP(A2291,'[1]Global_Spot Prices'!$B:$B,'[1]Global_Spot Prices'!$BS:$BS)</f>
        <v>4.980000000000004</v>
      </c>
      <c r="C2291">
        <f>_xlfn.XLOOKUP(A2291,'[1]Global_Spot Prices'!$B:$B,'[1]Global_Spot Prices'!$E:$E)</f>
        <v>88.21</v>
      </c>
      <c r="D2291">
        <f>_xlfn.XLOOKUP(A2291,'[1]Global_Spot Prices'!$B:$B,'[1]Global_Spot Prices'!$D:$D)</f>
        <v>88.04</v>
      </c>
      <c r="E2291">
        <f>_xlfn.XLOOKUP(A2291,'[1]Global_Spot Prices'!$B:$B,'[1]Global_Spot Prices'!$H:$H)</f>
        <v>69.599999999999994</v>
      </c>
      <c r="F2291">
        <f>_xlfn.XLOOKUP(A2291,'[1]Global_Spot Prices'!$B:$B,'[1]Global_Spot Prices'!$I:$I)</f>
        <v>93.19</v>
      </c>
      <c r="G2291" cm="1">
        <f t="array" ref="G2291">_xlfn.XLOOKUP(TEXT(A2291, "mmm-yy"), TEXT([2]RUNS!$B$5:$B$208, "mmm-yy"), [2]RUNS!$D$5:$D$208, "Not Found")</f>
        <v>30532.937993265459</v>
      </c>
      <c r="H2291" cm="1">
        <f t="array" ref="H2291">SUMPRODUCT(
    --(TEXT('[3]Global Weekly Stock (EWSuez'!$B$4:$B$2000,"mmm-yy")=TEXT(A2291,"mmm-yy")),
    '[3]Global Weekly Stock (EWSuez'!$E$4:$E$2000)
/
SUMPRODUCT(
    --(TEXT('[3]Global Weekly Stock (EWSuez'!$B$4:$B$2000,"mmm-yy")=TEXT(A2291,"mmm-yy"))
)</f>
        <v>12180</v>
      </c>
      <c r="I2291">
        <f>_xlfn.XLOOKUP(A2291,[1]ForwardDeriv!$D:$D,[1]ForwardDeriv!$AJ:$AJ)</f>
        <v>1.1999999999999886</v>
      </c>
      <c r="J2291" cm="1">
        <f t="array" ref="J2291">_xlfn.XLOOKUP(TEXT(A2291, "mmm-yy"), TEXT([2]GASOLINE!$B$5:$B$208, "mmm-yy"), [2]GASOLINE!$IR$5:$IR$208, "Not Found")</f>
        <v>-380.7775470100928</v>
      </c>
      <c r="K2291" cm="1">
        <f t="array" ref="K2291">_xlfn.XLOOKUP(TEXT(A2291, "mmm-yy"), TEXT([2]GASOLINE!$B$5:$B$208, "mmm-yy"), [2]GASOLINE!$IK$5:$IK$208, "Not Found")</f>
        <v>222.77121922767881</v>
      </c>
      <c r="L2291">
        <f t="shared" si="35"/>
        <v>0</v>
      </c>
      <c r="M2291" cm="1">
        <f t="array" ref="M2291">_xlfn.XLOOKUP(TEXT(A2291, "mmm-yy"), TEXT([2]GASOLINE!$B$5:$B$208, "mmm-yy"), [2]GASOLINE!$C$5:$C$208, "Not Found")</f>
        <v>7831.5895927362417</v>
      </c>
      <c r="N2291" cm="1">
        <f t="array" ref="N2291">_xlfn.XLOOKUP(TEXT(A2291, "mmm-yy"), TEXT([2]RUNS!$B$5:$B$208, "mmm-yy"), [2]RUNS!$BM$5:$BM$208, "Not Found")</f>
        <v>0.82597577749399997</v>
      </c>
    </row>
    <row r="2292" spans="1:14" x14ac:dyDescent="0.25">
      <c r="A2292" s="1">
        <f>'[1]Global_Spot Prices'!$B3601</f>
        <v>45211</v>
      </c>
      <c r="B2292">
        <f>_xlfn.XLOOKUP(A2292,'[1]Global_Spot Prices'!$B:$B,'[1]Global_Spot Prices'!$BS:$BS)</f>
        <v>4.7800000000000011</v>
      </c>
      <c r="C2292">
        <f>_xlfn.XLOOKUP(A2292,'[1]Global_Spot Prices'!$B:$B,'[1]Global_Spot Prices'!$E:$E)</f>
        <v>87.28</v>
      </c>
      <c r="D2292">
        <f>_xlfn.XLOOKUP(A2292,'[1]Global_Spot Prices'!$B:$B,'[1]Global_Spot Prices'!$D:$D)</f>
        <v>89.37</v>
      </c>
      <c r="E2292">
        <f>_xlfn.XLOOKUP(A2292,'[1]Global_Spot Prices'!$B:$B,'[1]Global_Spot Prices'!$H:$H)</f>
        <v>68.62</v>
      </c>
      <c r="F2292">
        <f>_xlfn.XLOOKUP(A2292,'[1]Global_Spot Prices'!$B:$B,'[1]Global_Spot Prices'!$I:$I)</f>
        <v>92.06</v>
      </c>
      <c r="G2292" cm="1">
        <f t="array" ref="G2292">_xlfn.XLOOKUP(TEXT(A2292, "mmm-yy"), TEXT([2]RUNS!$B$5:$B$208, "mmm-yy"), [2]RUNS!$D$5:$D$208, "Not Found")</f>
        <v>30532.937993265459</v>
      </c>
      <c r="H2292" cm="1">
        <f t="array" ref="H2292">SUMPRODUCT(
    --(TEXT('[3]Global Weekly Stock (EWSuez'!$B$4:$B$2000,"mmm-yy")=TEXT(A2292,"mmm-yy")),
    '[3]Global Weekly Stock (EWSuez'!$E$4:$E$2000)
/
SUMPRODUCT(
    --(TEXT('[3]Global Weekly Stock (EWSuez'!$B$4:$B$2000,"mmm-yy")=TEXT(A2292,"mmm-yy"))
)</f>
        <v>12180</v>
      </c>
      <c r="I2292">
        <f>_xlfn.XLOOKUP(A2292,[1]ForwardDeriv!$D:$D,[1]ForwardDeriv!$AJ:$AJ)</f>
        <v>1.230000000000004</v>
      </c>
      <c r="J2292" cm="1">
        <f t="array" ref="J2292">_xlfn.XLOOKUP(TEXT(A2292, "mmm-yy"), TEXT([2]GASOLINE!$B$5:$B$208, "mmm-yy"), [2]GASOLINE!$IR$5:$IR$208, "Not Found")</f>
        <v>-380.7775470100928</v>
      </c>
      <c r="K2292" cm="1">
        <f t="array" ref="K2292">_xlfn.XLOOKUP(TEXT(A2292, "mmm-yy"), TEXT([2]GASOLINE!$B$5:$B$208, "mmm-yy"), [2]GASOLINE!$IK$5:$IK$208, "Not Found")</f>
        <v>222.77121922767881</v>
      </c>
      <c r="L2292">
        <f t="shared" si="35"/>
        <v>0</v>
      </c>
      <c r="M2292" cm="1">
        <f t="array" ref="M2292">_xlfn.XLOOKUP(TEXT(A2292, "mmm-yy"), TEXT([2]GASOLINE!$B$5:$B$208, "mmm-yy"), [2]GASOLINE!$C$5:$C$208, "Not Found")</f>
        <v>7831.5895927362417</v>
      </c>
      <c r="N2292" cm="1">
        <f t="array" ref="N2292">_xlfn.XLOOKUP(TEXT(A2292, "mmm-yy"), TEXT([2]RUNS!$B$5:$B$208, "mmm-yy"), [2]RUNS!$BM$5:$BM$208, "Not Found")</f>
        <v>0.82597577749399997</v>
      </c>
    </row>
    <row r="2293" spans="1:14" x14ac:dyDescent="0.25">
      <c r="A2293" s="1">
        <f>'[1]Global_Spot Prices'!$B3602</f>
        <v>45212</v>
      </c>
      <c r="B2293">
        <f>_xlfn.XLOOKUP(A2293,'[1]Global_Spot Prices'!$B:$B,'[1]Global_Spot Prices'!$BS:$BS)</f>
        <v>3.710000000000008</v>
      </c>
      <c r="C2293">
        <f>_xlfn.XLOOKUP(A2293,'[1]Global_Spot Prices'!$B:$B,'[1]Global_Spot Prices'!$E:$E)</f>
        <v>88.91</v>
      </c>
      <c r="D2293">
        <f>_xlfn.XLOOKUP(A2293,'[1]Global_Spot Prices'!$B:$B,'[1]Global_Spot Prices'!$D:$D)</f>
        <v>92.734999999999999</v>
      </c>
      <c r="E2293">
        <f>_xlfn.XLOOKUP(A2293,'[1]Global_Spot Prices'!$B:$B,'[1]Global_Spot Prices'!$H:$H)</f>
        <v>68.930000000000007</v>
      </c>
      <c r="F2293">
        <f>_xlfn.XLOOKUP(A2293,'[1]Global_Spot Prices'!$B:$B,'[1]Global_Spot Prices'!$I:$I)</f>
        <v>92.62</v>
      </c>
      <c r="G2293" cm="1">
        <f t="array" ref="G2293">_xlfn.XLOOKUP(TEXT(A2293, "mmm-yy"), TEXT([2]RUNS!$B$5:$B$208, "mmm-yy"), [2]RUNS!$D$5:$D$208, "Not Found")</f>
        <v>30532.937993265459</v>
      </c>
      <c r="H2293" cm="1">
        <f t="array" ref="H2293">SUMPRODUCT(
    --(TEXT('[3]Global Weekly Stock (EWSuez'!$B$4:$B$2000,"mmm-yy")=TEXT(A2293,"mmm-yy")),
    '[3]Global Weekly Stock (EWSuez'!$E$4:$E$2000)
/
SUMPRODUCT(
    --(TEXT('[3]Global Weekly Stock (EWSuez'!$B$4:$B$2000,"mmm-yy")=TEXT(A2293,"mmm-yy"))
)</f>
        <v>12180</v>
      </c>
      <c r="I2293">
        <f>_xlfn.XLOOKUP(A2293,[1]ForwardDeriv!$D:$D,[1]ForwardDeriv!$AJ:$AJ)</f>
        <v>1.269999999999996</v>
      </c>
      <c r="J2293" cm="1">
        <f t="array" ref="J2293">_xlfn.XLOOKUP(TEXT(A2293, "mmm-yy"), TEXT([2]GASOLINE!$B$5:$B$208, "mmm-yy"), [2]GASOLINE!$IR$5:$IR$208, "Not Found")</f>
        <v>-380.7775470100928</v>
      </c>
      <c r="K2293" cm="1">
        <f t="array" ref="K2293">_xlfn.XLOOKUP(TEXT(A2293, "mmm-yy"), TEXT([2]GASOLINE!$B$5:$B$208, "mmm-yy"), [2]GASOLINE!$IK$5:$IK$208, "Not Found")</f>
        <v>222.77121922767881</v>
      </c>
      <c r="L2293">
        <f t="shared" si="35"/>
        <v>0</v>
      </c>
      <c r="M2293" cm="1">
        <f t="array" ref="M2293">_xlfn.XLOOKUP(TEXT(A2293, "mmm-yy"), TEXT([2]GASOLINE!$B$5:$B$208, "mmm-yy"), [2]GASOLINE!$C$5:$C$208, "Not Found")</f>
        <v>7831.5895927362417</v>
      </c>
      <c r="N2293" cm="1">
        <f t="array" ref="N2293">_xlfn.XLOOKUP(TEXT(A2293, "mmm-yy"), TEXT([2]RUNS!$B$5:$B$208, "mmm-yy"), [2]RUNS!$BM$5:$BM$208, "Not Found")</f>
        <v>0.82597577749399997</v>
      </c>
    </row>
    <row r="2294" spans="1:14" x14ac:dyDescent="0.25">
      <c r="A2294" s="1">
        <f>'[1]Global_Spot Prices'!$B3603</f>
        <v>45215</v>
      </c>
      <c r="B2294">
        <f>_xlfn.XLOOKUP(A2294,'[1]Global_Spot Prices'!$B:$B,'[1]Global_Spot Prices'!$BS:$BS)</f>
        <v>2.3799999999999955</v>
      </c>
      <c r="C2294">
        <f>_xlfn.XLOOKUP(A2294,'[1]Global_Spot Prices'!$B:$B,'[1]Global_Spot Prices'!$E:$E)</f>
        <v>91.14</v>
      </c>
      <c r="D2294">
        <f>_xlfn.XLOOKUP(A2294,'[1]Global_Spot Prices'!$B:$B,'[1]Global_Spot Prices'!$D:$D)</f>
        <v>93.05</v>
      </c>
      <c r="E2294">
        <f>_xlfn.XLOOKUP(A2294,'[1]Global_Spot Prices'!$B:$B,'[1]Global_Spot Prices'!$H:$H)</f>
        <v>69.569999999999993</v>
      </c>
      <c r="F2294">
        <f>_xlfn.XLOOKUP(A2294,'[1]Global_Spot Prices'!$B:$B,'[1]Global_Spot Prices'!$I:$I)</f>
        <v>93.52</v>
      </c>
      <c r="G2294" cm="1">
        <f t="array" ref="G2294">_xlfn.XLOOKUP(TEXT(A2294, "mmm-yy"), TEXT([2]RUNS!$B$5:$B$208, "mmm-yy"), [2]RUNS!$D$5:$D$208, "Not Found")</f>
        <v>30532.937993265459</v>
      </c>
      <c r="H2294" cm="1">
        <f t="array" ref="H2294">SUMPRODUCT(
    --(TEXT('[3]Global Weekly Stock (EWSuez'!$B$4:$B$2000,"mmm-yy")=TEXT(A2294,"mmm-yy")),
    '[3]Global Weekly Stock (EWSuez'!$E$4:$E$2000)
/
SUMPRODUCT(
    --(TEXT('[3]Global Weekly Stock (EWSuez'!$B$4:$B$2000,"mmm-yy")=TEXT(A2294,"mmm-yy"))
)</f>
        <v>12180</v>
      </c>
      <c r="I2294">
        <f>_xlfn.XLOOKUP(A2294,[1]ForwardDeriv!$D:$D,[1]ForwardDeriv!$AJ:$AJ)</f>
        <v>1.5999999999999943</v>
      </c>
      <c r="J2294" cm="1">
        <f t="array" ref="J2294">_xlfn.XLOOKUP(TEXT(A2294, "mmm-yy"), TEXT([2]GASOLINE!$B$5:$B$208, "mmm-yy"), [2]GASOLINE!$IR$5:$IR$208, "Not Found")</f>
        <v>-380.7775470100928</v>
      </c>
      <c r="K2294" cm="1">
        <f t="array" ref="K2294">_xlfn.XLOOKUP(TEXT(A2294, "mmm-yy"), TEXT([2]GASOLINE!$B$5:$B$208, "mmm-yy"), [2]GASOLINE!$IK$5:$IK$208, "Not Found")</f>
        <v>222.77121922767881</v>
      </c>
      <c r="L2294">
        <f t="shared" si="35"/>
        <v>0</v>
      </c>
      <c r="M2294" cm="1">
        <f t="array" ref="M2294">_xlfn.XLOOKUP(TEXT(A2294, "mmm-yy"), TEXT([2]GASOLINE!$B$5:$B$208, "mmm-yy"), [2]GASOLINE!$C$5:$C$208, "Not Found")</f>
        <v>7831.5895927362417</v>
      </c>
      <c r="N2294" cm="1">
        <f t="array" ref="N2294">_xlfn.XLOOKUP(TEXT(A2294, "mmm-yy"), TEXT([2]RUNS!$B$5:$B$208, "mmm-yy"), [2]RUNS!$BM$5:$BM$208, "Not Found")</f>
        <v>0.82597577749399997</v>
      </c>
    </row>
    <row r="2295" spans="1:14" x14ac:dyDescent="0.25">
      <c r="A2295" s="1">
        <f>'[1]Global_Spot Prices'!$B3604</f>
        <v>45216</v>
      </c>
      <c r="B2295">
        <f>_xlfn.XLOOKUP(A2295,'[1]Global_Spot Prices'!$B:$B,'[1]Global_Spot Prices'!$BS:$BS)</f>
        <v>2.5099999999999909</v>
      </c>
      <c r="C2295">
        <f>_xlfn.XLOOKUP(A2295,'[1]Global_Spot Prices'!$B:$B,'[1]Global_Spot Prices'!$E:$E)</f>
        <v>90.79</v>
      </c>
      <c r="D2295">
        <f>_xlfn.XLOOKUP(A2295,'[1]Global_Spot Prices'!$B:$B,'[1]Global_Spot Prices'!$D:$D)</f>
        <v>91.76</v>
      </c>
      <c r="E2295">
        <f>_xlfn.XLOOKUP(A2295,'[1]Global_Spot Prices'!$B:$B,'[1]Global_Spot Prices'!$H:$H)</f>
        <v>68.92</v>
      </c>
      <c r="F2295">
        <f>_xlfn.XLOOKUP(A2295,'[1]Global_Spot Prices'!$B:$B,'[1]Global_Spot Prices'!$I:$I)</f>
        <v>93.3</v>
      </c>
      <c r="G2295" cm="1">
        <f t="array" ref="G2295">_xlfn.XLOOKUP(TEXT(A2295, "mmm-yy"), TEXT([2]RUNS!$B$5:$B$208, "mmm-yy"), [2]RUNS!$D$5:$D$208, "Not Found")</f>
        <v>30532.937993265459</v>
      </c>
      <c r="H2295" cm="1">
        <f t="array" ref="H2295">SUMPRODUCT(
    --(TEXT('[3]Global Weekly Stock (EWSuez'!$B$4:$B$2000,"mmm-yy")=TEXT(A2295,"mmm-yy")),
    '[3]Global Weekly Stock (EWSuez'!$E$4:$E$2000)
/
SUMPRODUCT(
    --(TEXT('[3]Global Weekly Stock (EWSuez'!$B$4:$B$2000,"mmm-yy")=TEXT(A2295,"mmm-yy"))
)</f>
        <v>12180</v>
      </c>
      <c r="I2295">
        <f>_xlfn.XLOOKUP(A2295,[1]ForwardDeriv!$D:$D,[1]ForwardDeriv!$AJ:$AJ)</f>
        <v>1.4500000000000028</v>
      </c>
      <c r="J2295" cm="1">
        <f t="array" ref="J2295">_xlfn.XLOOKUP(TEXT(A2295, "mmm-yy"), TEXT([2]GASOLINE!$B$5:$B$208, "mmm-yy"), [2]GASOLINE!$IR$5:$IR$208, "Not Found")</f>
        <v>-380.7775470100928</v>
      </c>
      <c r="K2295" cm="1">
        <f t="array" ref="K2295">_xlfn.XLOOKUP(TEXT(A2295, "mmm-yy"), TEXT([2]GASOLINE!$B$5:$B$208, "mmm-yy"), [2]GASOLINE!$IK$5:$IK$208, "Not Found")</f>
        <v>222.77121922767881</v>
      </c>
      <c r="L2295">
        <f t="shared" si="35"/>
        <v>0</v>
      </c>
      <c r="M2295" cm="1">
        <f t="array" ref="M2295">_xlfn.XLOOKUP(TEXT(A2295, "mmm-yy"), TEXT([2]GASOLINE!$B$5:$B$208, "mmm-yy"), [2]GASOLINE!$C$5:$C$208, "Not Found")</f>
        <v>7831.5895927362417</v>
      </c>
      <c r="N2295" cm="1">
        <f t="array" ref="N2295">_xlfn.XLOOKUP(TEXT(A2295, "mmm-yy"), TEXT([2]RUNS!$B$5:$B$208, "mmm-yy"), [2]RUNS!$BM$5:$BM$208, "Not Found")</f>
        <v>0.82597577749399997</v>
      </c>
    </row>
    <row r="2296" spans="1:14" x14ac:dyDescent="0.25">
      <c r="A2296" s="1">
        <f>'[1]Global_Spot Prices'!$B3605</f>
        <v>45217</v>
      </c>
      <c r="B2296">
        <f>_xlfn.XLOOKUP(A2296,'[1]Global_Spot Prices'!$B:$B,'[1]Global_Spot Prices'!$BS:$BS)</f>
        <v>3.2900000000000063</v>
      </c>
      <c r="C2296">
        <f>_xlfn.XLOOKUP(A2296,'[1]Global_Spot Prices'!$B:$B,'[1]Global_Spot Prices'!$E:$E)</f>
        <v>92.49</v>
      </c>
      <c r="D2296">
        <f>_xlfn.XLOOKUP(A2296,'[1]Global_Spot Prices'!$B:$B,'[1]Global_Spot Prices'!$D:$D)</f>
        <v>93.055000000000007</v>
      </c>
      <c r="E2296">
        <f>_xlfn.XLOOKUP(A2296,'[1]Global_Spot Prices'!$B:$B,'[1]Global_Spot Prices'!$H:$H)</f>
        <v>71.16</v>
      </c>
      <c r="F2296">
        <f>_xlfn.XLOOKUP(A2296,'[1]Global_Spot Prices'!$B:$B,'[1]Global_Spot Prices'!$I:$I)</f>
        <v>95.78</v>
      </c>
      <c r="G2296" cm="1">
        <f t="array" ref="G2296">_xlfn.XLOOKUP(TEXT(A2296, "mmm-yy"), TEXT([2]RUNS!$B$5:$B$208, "mmm-yy"), [2]RUNS!$D$5:$D$208, "Not Found")</f>
        <v>30532.937993265459</v>
      </c>
      <c r="H2296" cm="1">
        <f t="array" ref="H2296">SUMPRODUCT(
    --(TEXT('[3]Global Weekly Stock (EWSuez'!$B$4:$B$2000,"mmm-yy")=TEXT(A2296,"mmm-yy")),
    '[3]Global Weekly Stock (EWSuez'!$E$4:$E$2000)
/
SUMPRODUCT(
    --(TEXT('[3]Global Weekly Stock (EWSuez'!$B$4:$B$2000,"mmm-yy")=TEXT(A2296,"mmm-yy"))
)</f>
        <v>12180</v>
      </c>
      <c r="I2296">
        <f>_xlfn.XLOOKUP(A2296,[1]ForwardDeriv!$D:$D,[1]ForwardDeriv!$AJ:$AJ)</f>
        <v>1.5900000000000034</v>
      </c>
      <c r="J2296" cm="1">
        <f t="array" ref="J2296">_xlfn.XLOOKUP(TEXT(A2296, "mmm-yy"), TEXT([2]GASOLINE!$B$5:$B$208, "mmm-yy"), [2]GASOLINE!$IR$5:$IR$208, "Not Found")</f>
        <v>-380.7775470100928</v>
      </c>
      <c r="K2296" cm="1">
        <f t="array" ref="K2296">_xlfn.XLOOKUP(TEXT(A2296, "mmm-yy"), TEXT([2]GASOLINE!$B$5:$B$208, "mmm-yy"), [2]GASOLINE!$IK$5:$IK$208, "Not Found")</f>
        <v>222.77121922767881</v>
      </c>
      <c r="L2296">
        <f t="shared" si="35"/>
        <v>0</v>
      </c>
      <c r="M2296" cm="1">
        <f t="array" ref="M2296">_xlfn.XLOOKUP(TEXT(A2296, "mmm-yy"), TEXT([2]GASOLINE!$B$5:$B$208, "mmm-yy"), [2]GASOLINE!$C$5:$C$208, "Not Found")</f>
        <v>7831.5895927362417</v>
      </c>
      <c r="N2296" cm="1">
        <f t="array" ref="N2296">_xlfn.XLOOKUP(TEXT(A2296, "mmm-yy"), TEXT([2]RUNS!$B$5:$B$208, "mmm-yy"), [2]RUNS!$BM$5:$BM$208, "Not Found")</f>
        <v>0.82597577749399997</v>
      </c>
    </row>
    <row r="2297" spans="1:14" x14ac:dyDescent="0.25">
      <c r="A2297" s="1">
        <f>'[1]Global_Spot Prices'!$B3606</f>
        <v>45218</v>
      </c>
      <c r="B2297">
        <f>_xlfn.XLOOKUP(A2297,'[1]Global_Spot Prices'!$B:$B,'[1]Global_Spot Prices'!$BS:$BS)</f>
        <v>4.0999999999999943</v>
      </c>
      <c r="C2297">
        <f>_xlfn.XLOOKUP(A2297,'[1]Global_Spot Prices'!$B:$B,'[1]Global_Spot Prices'!$E:$E)</f>
        <v>91.2</v>
      </c>
      <c r="D2297">
        <f>_xlfn.XLOOKUP(A2297,'[1]Global_Spot Prices'!$B:$B,'[1]Global_Spot Prices'!$D:$D)</f>
        <v>93.2</v>
      </c>
      <c r="E2297">
        <f>_xlfn.XLOOKUP(A2297,'[1]Global_Spot Prices'!$B:$B,'[1]Global_Spot Prices'!$H:$H)</f>
        <v>71.08</v>
      </c>
      <c r="F2297">
        <f>_xlfn.XLOOKUP(A2297,'[1]Global_Spot Prices'!$B:$B,'[1]Global_Spot Prices'!$I:$I)</f>
        <v>95.3</v>
      </c>
      <c r="G2297" cm="1">
        <f t="array" ref="G2297">_xlfn.XLOOKUP(TEXT(A2297, "mmm-yy"), TEXT([2]RUNS!$B$5:$B$208, "mmm-yy"), [2]RUNS!$D$5:$D$208, "Not Found")</f>
        <v>30532.937993265459</v>
      </c>
      <c r="H2297" cm="1">
        <f t="array" ref="H2297">SUMPRODUCT(
    --(TEXT('[3]Global Weekly Stock (EWSuez'!$B$4:$B$2000,"mmm-yy")=TEXT(A2297,"mmm-yy")),
    '[3]Global Weekly Stock (EWSuez'!$E$4:$E$2000)
/
SUMPRODUCT(
    --(TEXT('[3]Global Weekly Stock (EWSuez'!$B$4:$B$2000,"mmm-yy")=TEXT(A2297,"mmm-yy"))
)</f>
        <v>12180</v>
      </c>
      <c r="I2297">
        <f>_xlfn.XLOOKUP(A2297,[1]ForwardDeriv!$D:$D,[1]ForwardDeriv!$AJ:$AJ)</f>
        <v>1.7000000000000028</v>
      </c>
      <c r="J2297" cm="1">
        <f t="array" ref="J2297">_xlfn.XLOOKUP(TEXT(A2297, "mmm-yy"), TEXT([2]GASOLINE!$B$5:$B$208, "mmm-yy"), [2]GASOLINE!$IR$5:$IR$208, "Not Found")</f>
        <v>-380.7775470100928</v>
      </c>
      <c r="K2297" cm="1">
        <f t="array" ref="K2297">_xlfn.XLOOKUP(TEXT(A2297, "mmm-yy"), TEXT([2]GASOLINE!$B$5:$B$208, "mmm-yy"), [2]GASOLINE!$IK$5:$IK$208, "Not Found")</f>
        <v>222.77121922767881</v>
      </c>
      <c r="L2297">
        <f t="shared" si="35"/>
        <v>0</v>
      </c>
      <c r="M2297" cm="1">
        <f t="array" ref="M2297">_xlfn.XLOOKUP(TEXT(A2297, "mmm-yy"), TEXT([2]GASOLINE!$B$5:$B$208, "mmm-yy"), [2]GASOLINE!$C$5:$C$208, "Not Found")</f>
        <v>7831.5895927362417</v>
      </c>
      <c r="N2297" cm="1">
        <f t="array" ref="N2297">_xlfn.XLOOKUP(TEXT(A2297, "mmm-yy"), TEXT([2]RUNS!$B$5:$B$208, "mmm-yy"), [2]RUNS!$BM$5:$BM$208, "Not Found")</f>
        <v>0.82597577749399997</v>
      </c>
    </row>
    <row r="2298" spans="1:14" x14ac:dyDescent="0.25">
      <c r="A2298" s="1">
        <f>'[1]Global_Spot Prices'!$B3607</f>
        <v>45219</v>
      </c>
      <c r="B2298">
        <f>_xlfn.XLOOKUP(A2298,'[1]Global_Spot Prices'!$B:$B,'[1]Global_Spot Prices'!$BS:$BS)</f>
        <v>2.9399999999999977</v>
      </c>
      <c r="C2298">
        <f>_xlfn.XLOOKUP(A2298,'[1]Global_Spot Prices'!$B:$B,'[1]Global_Spot Prices'!$E:$E)</f>
        <v>93.45</v>
      </c>
      <c r="D2298">
        <f>_xlfn.XLOOKUP(A2298,'[1]Global_Spot Prices'!$B:$B,'[1]Global_Spot Prices'!$D:$D)</f>
        <v>95</v>
      </c>
      <c r="E2298">
        <f>_xlfn.XLOOKUP(A2298,'[1]Global_Spot Prices'!$B:$B,'[1]Global_Spot Prices'!$H:$H)</f>
        <v>72.84</v>
      </c>
      <c r="F2298">
        <f ca="1">_xlfn.XLOOKUP(A2298,'[1]Global_Spot Prices'!$B:$B,'[1]Global_Spot Prices'!$I:$I)</f>
        <v>96.39</v>
      </c>
      <c r="G2298" cm="1">
        <f t="array" ref="G2298">_xlfn.XLOOKUP(TEXT(A2298, "mmm-yy"), TEXT([2]RUNS!$B$5:$B$208, "mmm-yy"), [2]RUNS!$D$5:$D$208, "Not Found")</f>
        <v>30532.937993265459</v>
      </c>
      <c r="H2298" cm="1">
        <f t="array" ref="H2298">SUMPRODUCT(
    --(TEXT('[3]Global Weekly Stock (EWSuez'!$B$4:$B$2000,"mmm-yy")=TEXT(A2298,"mmm-yy")),
    '[3]Global Weekly Stock (EWSuez'!$E$4:$E$2000)
/
SUMPRODUCT(
    --(TEXT('[3]Global Weekly Stock (EWSuez'!$B$4:$B$2000,"mmm-yy")=TEXT(A2298,"mmm-yy"))
)</f>
        <v>12180</v>
      </c>
      <c r="I2298">
        <f>_xlfn.XLOOKUP(A2298,[1]ForwardDeriv!$D:$D,[1]ForwardDeriv!$AJ:$AJ)</f>
        <v>1.6899999999999977</v>
      </c>
      <c r="J2298" cm="1">
        <f t="array" ref="J2298">_xlfn.XLOOKUP(TEXT(A2298, "mmm-yy"), TEXT([2]GASOLINE!$B$5:$B$208, "mmm-yy"), [2]GASOLINE!$IR$5:$IR$208, "Not Found")</f>
        <v>-380.7775470100928</v>
      </c>
      <c r="K2298" cm="1">
        <f t="array" ref="K2298">_xlfn.XLOOKUP(TEXT(A2298, "mmm-yy"), TEXT([2]GASOLINE!$B$5:$B$208, "mmm-yy"), [2]GASOLINE!$IK$5:$IK$208, "Not Found")</f>
        <v>222.77121922767881</v>
      </c>
      <c r="L2298">
        <f t="shared" si="35"/>
        <v>0</v>
      </c>
      <c r="M2298" cm="1">
        <f t="array" ref="M2298">_xlfn.XLOOKUP(TEXT(A2298, "mmm-yy"), TEXT([2]GASOLINE!$B$5:$B$208, "mmm-yy"), [2]GASOLINE!$C$5:$C$208, "Not Found")</f>
        <v>7831.5895927362417</v>
      </c>
      <c r="N2298" cm="1">
        <f t="array" ref="N2298">_xlfn.XLOOKUP(TEXT(A2298, "mmm-yy"), TEXT([2]RUNS!$B$5:$B$208, "mmm-yy"), [2]RUNS!$BM$5:$BM$208, "Not Found")</f>
        <v>0.82597577749399997</v>
      </c>
    </row>
    <row r="2299" spans="1:14" x14ac:dyDescent="0.25">
      <c r="A2299" s="1">
        <f>'[1]Global_Spot Prices'!$B3608</f>
        <v>45222</v>
      </c>
      <c r="B2299">
        <f>_xlfn.XLOOKUP(A2299,'[1]Global_Spot Prices'!$B:$B,'[1]Global_Spot Prices'!$BS:$BS)</f>
        <v>4.5500000000000114</v>
      </c>
      <c r="C2299">
        <f>_xlfn.XLOOKUP(A2299,'[1]Global_Spot Prices'!$B:$B,'[1]Global_Spot Prices'!$E:$E)</f>
        <v>92.35</v>
      </c>
      <c r="D2299">
        <f ca="1">_xlfn.XLOOKUP(A2299,'[1]Global_Spot Prices'!$B:$B,'[1]Global_Spot Prices'!$D:$D)</f>
        <v>93.084999999999994</v>
      </c>
      <c r="E2299">
        <f>_xlfn.XLOOKUP(A2299,'[1]Global_Spot Prices'!$B:$B,'[1]Global_Spot Prices'!$H:$H)</f>
        <v>72.040000000000006</v>
      </c>
      <c r="F2299">
        <f>_xlfn.XLOOKUP(A2299,'[1]Global_Spot Prices'!$B:$B,'[1]Global_Spot Prices'!$I:$I)</f>
        <v>96.9</v>
      </c>
      <c r="G2299" cm="1">
        <f t="array" ref="G2299">_xlfn.XLOOKUP(TEXT(A2299, "mmm-yy"), TEXT([2]RUNS!$B$5:$B$208, "mmm-yy"), [2]RUNS!$D$5:$D$208, "Not Found")</f>
        <v>30532.937993265459</v>
      </c>
      <c r="H2299" cm="1">
        <f t="array" ref="H2299">SUMPRODUCT(
    --(TEXT('[3]Global Weekly Stock (EWSuez'!$B$4:$B$2000,"mmm-yy")=TEXT(A2299,"mmm-yy")),
    '[3]Global Weekly Stock (EWSuez'!$E$4:$E$2000)
/
SUMPRODUCT(
    --(TEXT('[3]Global Weekly Stock (EWSuez'!$B$4:$B$2000,"mmm-yy")=TEXT(A2299,"mmm-yy"))
)</f>
        <v>12180</v>
      </c>
      <c r="I2299">
        <f>_xlfn.XLOOKUP(A2299,[1]ForwardDeriv!$D:$D,[1]ForwardDeriv!$AJ:$AJ)</f>
        <v>1.6000000000000085</v>
      </c>
      <c r="J2299" cm="1">
        <f t="array" ref="J2299">_xlfn.XLOOKUP(TEXT(A2299, "mmm-yy"), TEXT([2]GASOLINE!$B$5:$B$208, "mmm-yy"), [2]GASOLINE!$IR$5:$IR$208, "Not Found")</f>
        <v>-380.7775470100928</v>
      </c>
      <c r="K2299" cm="1">
        <f t="array" ref="K2299">_xlfn.XLOOKUP(TEXT(A2299, "mmm-yy"), TEXT([2]GASOLINE!$B$5:$B$208, "mmm-yy"), [2]GASOLINE!$IK$5:$IK$208, "Not Found")</f>
        <v>222.77121922767881</v>
      </c>
      <c r="L2299">
        <f t="shared" si="35"/>
        <v>0</v>
      </c>
      <c r="M2299" cm="1">
        <f t="array" ref="M2299">_xlfn.XLOOKUP(TEXT(A2299, "mmm-yy"), TEXT([2]GASOLINE!$B$5:$B$208, "mmm-yy"), [2]GASOLINE!$C$5:$C$208, "Not Found")</f>
        <v>7831.5895927362417</v>
      </c>
      <c r="N2299" cm="1">
        <f t="array" ref="N2299">_xlfn.XLOOKUP(TEXT(A2299, "mmm-yy"), TEXT([2]RUNS!$B$5:$B$208, "mmm-yy"), [2]RUNS!$BM$5:$BM$208, "Not Found")</f>
        <v>0.82597577749399997</v>
      </c>
    </row>
    <row r="2300" spans="1:14" x14ac:dyDescent="0.25">
      <c r="A2300" s="1">
        <f>'[1]Global_Spot Prices'!$B3609</f>
        <v>45223</v>
      </c>
      <c r="B2300">
        <f>_xlfn.XLOOKUP(A2300,'[1]Global_Spot Prices'!$B:$B,'[1]Global_Spot Prices'!$BS:$BS)</f>
        <v>4.3400000000000034</v>
      </c>
      <c r="C2300">
        <f>_xlfn.XLOOKUP(A2300,'[1]Global_Spot Prices'!$B:$B,'[1]Global_Spot Prices'!$E:$E)</f>
        <v>90.5</v>
      </c>
      <c r="D2300">
        <f ca="1">_xlfn.XLOOKUP(A2300,'[1]Global_Spot Prices'!$B:$B,'[1]Global_Spot Prices'!$D:$D)</f>
        <v>88.46</v>
      </c>
      <c r="E2300">
        <f>_xlfn.XLOOKUP(A2300,'[1]Global_Spot Prices'!$B:$B,'[1]Global_Spot Prices'!$H:$H)</f>
        <v>70.7</v>
      </c>
      <c r="F2300">
        <f>_xlfn.XLOOKUP(A2300,'[1]Global_Spot Prices'!$B:$B,'[1]Global_Spot Prices'!$I:$I)</f>
        <v>94.84</v>
      </c>
      <c r="G2300" cm="1">
        <f t="array" ref="G2300">_xlfn.XLOOKUP(TEXT(A2300, "mmm-yy"), TEXT([2]RUNS!$B$5:$B$208, "mmm-yy"), [2]RUNS!$D$5:$D$208, "Not Found")</f>
        <v>30532.937993265459</v>
      </c>
      <c r="H2300" cm="1">
        <f t="array" ref="H2300">SUMPRODUCT(
    --(TEXT('[3]Global Weekly Stock (EWSuez'!$B$4:$B$2000,"mmm-yy")=TEXT(A2300,"mmm-yy")),
    '[3]Global Weekly Stock (EWSuez'!$E$4:$E$2000)
/
SUMPRODUCT(
    --(TEXT('[3]Global Weekly Stock (EWSuez'!$B$4:$B$2000,"mmm-yy")=TEXT(A2300,"mmm-yy"))
)</f>
        <v>12180</v>
      </c>
      <c r="I2300">
        <f>_xlfn.XLOOKUP(A2300,[1]ForwardDeriv!$D:$D,[1]ForwardDeriv!$AJ:$AJ)</f>
        <v>1.7399999999999949</v>
      </c>
      <c r="J2300" cm="1">
        <f t="array" ref="J2300">_xlfn.XLOOKUP(TEXT(A2300, "mmm-yy"), TEXT([2]GASOLINE!$B$5:$B$208, "mmm-yy"), [2]GASOLINE!$IR$5:$IR$208, "Not Found")</f>
        <v>-380.7775470100928</v>
      </c>
      <c r="K2300" cm="1">
        <f t="array" ref="K2300">_xlfn.XLOOKUP(TEXT(A2300, "mmm-yy"), TEXT([2]GASOLINE!$B$5:$B$208, "mmm-yy"), [2]GASOLINE!$IK$5:$IK$208, "Not Found")</f>
        <v>222.77121922767881</v>
      </c>
      <c r="L2300">
        <f t="shared" si="35"/>
        <v>0</v>
      </c>
      <c r="M2300" cm="1">
        <f t="array" ref="M2300">_xlfn.XLOOKUP(TEXT(A2300, "mmm-yy"), TEXT([2]GASOLINE!$B$5:$B$208, "mmm-yy"), [2]GASOLINE!$C$5:$C$208, "Not Found")</f>
        <v>7831.5895927362417</v>
      </c>
      <c r="N2300" cm="1">
        <f t="array" ref="N2300">_xlfn.XLOOKUP(TEXT(A2300, "mmm-yy"), TEXT([2]RUNS!$B$5:$B$208, "mmm-yy"), [2]RUNS!$BM$5:$BM$208, "Not Found")</f>
        <v>0.82597577749399997</v>
      </c>
    </row>
    <row r="2301" spans="1:14" x14ac:dyDescent="0.25">
      <c r="A2301" s="1">
        <f>'[1]Global_Spot Prices'!$B3610</f>
        <v>45224</v>
      </c>
      <c r="B2301">
        <f>_xlfn.XLOOKUP(A2301,'[1]Global_Spot Prices'!$B:$B,'[1]Global_Spot Prices'!$BS:$BS)</f>
        <v>5.4399999999999977</v>
      </c>
      <c r="C2301">
        <f>_xlfn.XLOOKUP(A2301,'[1]Global_Spot Prices'!$B:$B,'[1]Global_Spot Prices'!$E:$E)</f>
        <v>89.04</v>
      </c>
      <c r="D2301">
        <f>_xlfn.XLOOKUP(A2301,'[1]Global_Spot Prices'!$B:$B,'[1]Global_Spot Prices'!$D:$D)</f>
        <v>89.04</v>
      </c>
      <c r="E2301">
        <f>_xlfn.XLOOKUP(A2301,'[1]Global_Spot Prices'!$B:$B,'[1]Global_Spot Prices'!$H:$H)</f>
        <v>70.02</v>
      </c>
      <c r="F2301">
        <f>_xlfn.XLOOKUP(A2301,'[1]Global_Spot Prices'!$B:$B,'[1]Global_Spot Prices'!$I:$I)</f>
        <v>94.48</v>
      </c>
      <c r="G2301" cm="1">
        <f t="array" ref="G2301">_xlfn.XLOOKUP(TEXT(A2301, "mmm-yy"), TEXT([2]RUNS!$B$5:$B$208, "mmm-yy"), [2]RUNS!$D$5:$D$208, "Not Found")</f>
        <v>30532.937993265459</v>
      </c>
      <c r="H2301" cm="1">
        <f t="array" ref="H2301">SUMPRODUCT(
    --(TEXT('[3]Global Weekly Stock (EWSuez'!$B$4:$B$2000,"mmm-yy")=TEXT(A2301,"mmm-yy")),
    '[3]Global Weekly Stock (EWSuez'!$E$4:$E$2000)
/
SUMPRODUCT(
    --(TEXT('[3]Global Weekly Stock (EWSuez'!$B$4:$B$2000,"mmm-yy")=TEXT(A2301,"mmm-yy"))
)</f>
        <v>12180</v>
      </c>
      <c r="I2301">
        <f>_xlfn.XLOOKUP(A2301,[1]ForwardDeriv!$D:$D,[1]ForwardDeriv!$AJ:$AJ)</f>
        <v>1.8800000000000097</v>
      </c>
      <c r="J2301" cm="1">
        <f t="array" ref="J2301">_xlfn.XLOOKUP(TEXT(A2301, "mmm-yy"), TEXT([2]GASOLINE!$B$5:$B$208, "mmm-yy"), [2]GASOLINE!$IR$5:$IR$208, "Not Found")</f>
        <v>-380.7775470100928</v>
      </c>
      <c r="K2301" cm="1">
        <f t="array" ref="K2301">_xlfn.XLOOKUP(TEXT(A2301, "mmm-yy"), TEXT([2]GASOLINE!$B$5:$B$208, "mmm-yy"), [2]GASOLINE!$IK$5:$IK$208, "Not Found")</f>
        <v>222.77121922767881</v>
      </c>
      <c r="L2301">
        <f t="shared" si="35"/>
        <v>0</v>
      </c>
      <c r="M2301" cm="1">
        <f t="array" ref="M2301">_xlfn.XLOOKUP(TEXT(A2301, "mmm-yy"), TEXT([2]GASOLINE!$B$5:$B$208, "mmm-yy"), [2]GASOLINE!$C$5:$C$208, "Not Found")</f>
        <v>7831.5895927362417</v>
      </c>
      <c r="N2301" cm="1">
        <f t="array" ref="N2301">_xlfn.XLOOKUP(TEXT(A2301, "mmm-yy"), TEXT([2]RUNS!$B$5:$B$208, "mmm-yy"), [2]RUNS!$BM$5:$BM$208, "Not Found")</f>
        <v>0.82597577749399997</v>
      </c>
    </row>
    <row r="2302" spans="1:14" x14ac:dyDescent="0.25">
      <c r="A2302" s="1">
        <f>'[1]Global_Spot Prices'!$B3611</f>
        <v>45225</v>
      </c>
      <c r="B2302">
        <f>_xlfn.XLOOKUP(A2302,'[1]Global_Spot Prices'!$B:$B,'[1]Global_Spot Prices'!$BS:$BS)</f>
        <v>5.5899999999999892</v>
      </c>
      <c r="C2302">
        <f>_xlfn.XLOOKUP(A2302,'[1]Global_Spot Prices'!$B:$B,'[1]Global_Spot Prices'!$E:$E)</f>
        <v>90.12</v>
      </c>
      <c r="D2302">
        <f>_xlfn.XLOOKUP(A2302,'[1]Global_Spot Prices'!$B:$B,'[1]Global_Spot Prices'!$D:$D)</f>
        <v>89.694999999999993</v>
      </c>
      <c r="E2302">
        <f>_xlfn.XLOOKUP(A2302,'[1]Global_Spot Prices'!$B:$B,'[1]Global_Spot Prices'!$H:$H)</f>
        <v>70.400000000000006</v>
      </c>
      <c r="F2302">
        <f>_xlfn.XLOOKUP(A2302,'[1]Global_Spot Prices'!$B:$B,'[1]Global_Spot Prices'!$I:$I)</f>
        <v>95.71</v>
      </c>
      <c r="G2302" cm="1">
        <f t="array" ref="G2302">_xlfn.XLOOKUP(TEXT(A2302, "mmm-yy"), TEXT([2]RUNS!$B$5:$B$208, "mmm-yy"), [2]RUNS!$D$5:$D$208, "Not Found")</f>
        <v>30532.937993265459</v>
      </c>
      <c r="H2302" cm="1">
        <f t="array" ref="H2302">SUMPRODUCT(
    --(TEXT('[3]Global Weekly Stock (EWSuez'!$B$4:$B$2000,"mmm-yy")=TEXT(A2302,"mmm-yy")),
    '[3]Global Weekly Stock (EWSuez'!$E$4:$E$2000)
/
SUMPRODUCT(
    --(TEXT('[3]Global Weekly Stock (EWSuez'!$B$4:$B$2000,"mmm-yy")=TEXT(A2302,"mmm-yy"))
)</f>
        <v>12180</v>
      </c>
      <c r="I2302">
        <f>_xlfn.XLOOKUP(A2302,[1]ForwardDeriv!$D:$D,[1]ForwardDeriv!$AJ:$AJ)</f>
        <v>1.9699999999999989</v>
      </c>
      <c r="J2302" cm="1">
        <f t="array" ref="J2302">_xlfn.XLOOKUP(TEXT(A2302, "mmm-yy"), TEXT([2]GASOLINE!$B$5:$B$208, "mmm-yy"), [2]GASOLINE!$IR$5:$IR$208, "Not Found")</f>
        <v>-380.7775470100928</v>
      </c>
      <c r="K2302" cm="1">
        <f t="array" ref="K2302">_xlfn.XLOOKUP(TEXT(A2302, "mmm-yy"), TEXT([2]GASOLINE!$B$5:$B$208, "mmm-yy"), [2]GASOLINE!$IK$5:$IK$208, "Not Found")</f>
        <v>222.77121922767881</v>
      </c>
      <c r="L2302">
        <f t="shared" si="35"/>
        <v>0</v>
      </c>
      <c r="M2302" cm="1">
        <f t="array" ref="M2302">_xlfn.XLOOKUP(TEXT(A2302, "mmm-yy"), TEXT([2]GASOLINE!$B$5:$B$208, "mmm-yy"), [2]GASOLINE!$C$5:$C$208, "Not Found")</f>
        <v>7831.5895927362417</v>
      </c>
      <c r="N2302" cm="1">
        <f t="array" ref="N2302">_xlfn.XLOOKUP(TEXT(A2302, "mmm-yy"), TEXT([2]RUNS!$B$5:$B$208, "mmm-yy"), [2]RUNS!$BM$5:$BM$208, "Not Found")</f>
        <v>0.82597577749399997</v>
      </c>
    </row>
    <row r="2303" spans="1:14" x14ac:dyDescent="0.25">
      <c r="A2303" s="1">
        <f>'[1]Global_Spot Prices'!$B3612</f>
        <v>45226</v>
      </c>
      <c r="B2303">
        <f>_xlfn.XLOOKUP(A2303,'[1]Global_Spot Prices'!$B:$B,'[1]Global_Spot Prices'!$BS:$BS)</f>
        <v>6.9449999999999932</v>
      </c>
      <c r="C2303">
        <f>_xlfn.XLOOKUP(A2303,'[1]Global_Spot Prices'!$B:$B,'[1]Global_Spot Prices'!$E:$E)</f>
        <v>89.745000000000005</v>
      </c>
      <c r="D2303">
        <f>_xlfn.XLOOKUP(A2303,'[1]Global_Spot Prices'!$B:$B,'[1]Global_Spot Prices'!$D:$D)</f>
        <v>89.23</v>
      </c>
      <c r="E2303">
        <f>_xlfn.XLOOKUP(A2303,'[1]Global_Spot Prices'!$B:$B,'[1]Global_Spot Prices'!$H:$H)</f>
        <v>69.84</v>
      </c>
      <c r="F2303">
        <f>_xlfn.XLOOKUP(A2303,'[1]Global_Spot Prices'!$B:$B,'[1]Global_Spot Prices'!$I:$I)</f>
        <v>96.69</v>
      </c>
      <c r="G2303" cm="1">
        <f t="array" ref="G2303">_xlfn.XLOOKUP(TEXT(A2303, "mmm-yy"), TEXT([2]RUNS!$B$5:$B$208, "mmm-yy"), [2]RUNS!$D$5:$D$208, "Not Found")</f>
        <v>30532.937993265459</v>
      </c>
      <c r="H2303" cm="1">
        <f t="array" ref="H2303">SUMPRODUCT(
    --(TEXT('[3]Global Weekly Stock (EWSuez'!$B$4:$B$2000,"mmm-yy")=TEXT(A2303,"mmm-yy")),
    '[3]Global Weekly Stock (EWSuez'!$E$4:$E$2000)
/
SUMPRODUCT(
    --(TEXT('[3]Global Weekly Stock (EWSuez'!$B$4:$B$2000,"mmm-yy")=TEXT(A2303,"mmm-yy"))
)</f>
        <v>12180</v>
      </c>
      <c r="I2303">
        <f>_xlfn.XLOOKUP(A2303,[1]ForwardDeriv!$D:$D,[1]ForwardDeriv!$AJ:$AJ)</f>
        <v>1.9700000000000131</v>
      </c>
      <c r="J2303" cm="1">
        <f t="array" ref="J2303">_xlfn.XLOOKUP(TEXT(A2303, "mmm-yy"), TEXT([2]GASOLINE!$B$5:$B$208, "mmm-yy"), [2]GASOLINE!$IR$5:$IR$208, "Not Found")</f>
        <v>-380.7775470100928</v>
      </c>
      <c r="K2303" cm="1">
        <f t="array" ref="K2303">_xlfn.XLOOKUP(TEXT(A2303, "mmm-yy"), TEXT([2]GASOLINE!$B$5:$B$208, "mmm-yy"), [2]GASOLINE!$IK$5:$IK$208, "Not Found")</f>
        <v>222.77121922767881</v>
      </c>
      <c r="L2303">
        <f t="shared" si="35"/>
        <v>0</v>
      </c>
      <c r="M2303" cm="1">
        <f t="array" ref="M2303">_xlfn.XLOOKUP(TEXT(A2303, "mmm-yy"), TEXT([2]GASOLINE!$B$5:$B$208, "mmm-yy"), [2]GASOLINE!$C$5:$C$208, "Not Found")</f>
        <v>7831.5895927362417</v>
      </c>
      <c r="N2303" cm="1">
        <f t="array" ref="N2303">_xlfn.XLOOKUP(TEXT(A2303, "mmm-yy"), TEXT([2]RUNS!$B$5:$B$208, "mmm-yy"), [2]RUNS!$BM$5:$BM$208, "Not Found")</f>
        <v>0.82597577749399997</v>
      </c>
    </row>
    <row r="2304" spans="1:14" x14ac:dyDescent="0.25">
      <c r="A2304" s="1">
        <f>'[1]Global_Spot Prices'!$B3613</f>
        <v>45229</v>
      </c>
      <c r="B2304">
        <f>_xlfn.XLOOKUP(A2304,'[1]Global_Spot Prices'!$B:$B,'[1]Global_Spot Prices'!$BS:$BS)</f>
        <v>4.9200000000000017</v>
      </c>
      <c r="C2304">
        <f>_xlfn.XLOOKUP(A2304,'[1]Global_Spot Prices'!$B:$B,'[1]Global_Spot Prices'!$E:$E)</f>
        <v>89.86</v>
      </c>
      <c r="D2304">
        <f>_xlfn.XLOOKUP(A2304,'[1]Global_Spot Prices'!$B:$B,'[1]Global_Spot Prices'!$D:$D)</f>
        <v>89</v>
      </c>
      <c r="E2304">
        <f>_xlfn.XLOOKUP(A2304,'[1]Global_Spot Prices'!$B:$B,'[1]Global_Spot Prices'!$H:$H)</f>
        <v>68.95</v>
      </c>
      <c r="F2304">
        <f>_xlfn.XLOOKUP(A2304,'[1]Global_Spot Prices'!$B:$B,'[1]Global_Spot Prices'!$I:$I)</f>
        <v>94.78</v>
      </c>
      <c r="G2304" cm="1">
        <f t="array" ref="G2304">_xlfn.XLOOKUP(TEXT(A2304, "mmm-yy"), TEXT([2]RUNS!$B$5:$B$208, "mmm-yy"), [2]RUNS!$D$5:$D$208, "Not Found")</f>
        <v>30532.937993265459</v>
      </c>
      <c r="H2304" cm="1">
        <f t="array" ref="H2304">SUMPRODUCT(
    --(TEXT('[3]Global Weekly Stock (EWSuez'!$B$4:$B$2000,"mmm-yy")=TEXT(A2304,"mmm-yy")),
    '[3]Global Weekly Stock (EWSuez'!$E$4:$E$2000)
/
SUMPRODUCT(
    --(TEXT('[3]Global Weekly Stock (EWSuez'!$B$4:$B$2000,"mmm-yy")=TEXT(A2304,"mmm-yy"))
)</f>
        <v>12180</v>
      </c>
      <c r="I2304">
        <f>_xlfn.XLOOKUP(A2304,[1]ForwardDeriv!$D:$D,[1]ForwardDeriv!$AJ:$AJ)</f>
        <v>2.1200000000000045</v>
      </c>
      <c r="J2304" cm="1">
        <f t="array" ref="J2304">_xlfn.XLOOKUP(TEXT(A2304, "mmm-yy"), TEXT([2]GASOLINE!$B$5:$B$208, "mmm-yy"), [2]GASOLINE!$IR$5:$IR$208, "Not Found")</f>
        <v>-380.7775470100928</v>
      </c>
      <c r="K2304" cm="1">
        <f t="array" ref="K2304">_xlfn.XLOOKUP(TEXT(A2304, "mmm-yy"), TEXT([2]GASOLINE!$B$5:$B$208, "mmm-yy"), [2]GASOLINE!$IK$5:$IK$208, "Not Found")</f>
        <v>222.77121922767881</v>
      </c>
      <c r="L2304">
        <f t="shared" si="35"/>
        <v>0</v>
      </c>
      <c r="M2304" cm="1">
        <f t="array" ref="M2304">_xlfn.XLOOKUP(TEXT(A2304, "mmm-yy"), TEXT([2]GASOLINE!$B$5:$B$208, "mmm-yy"), [2]GASOLINE!$C$5:$C$208, "Not Found")</f>
        <v>7831.5895927362417</v>
      </c>
      <c r="N2304" cm="1">
        <f t="array" ref="N2304">_xlfn.XLOOKUP(TEXT(A2304, "mmm-yy"), TEXT([2]RUNS!$B$5:$B$208, "mmm-yy"), [2]RUNS!$BM$5:$BM$208, "Not Found")</f>
        <v>0.82597577749399997</v>
      </c>
    </row>
    <row r="2305" spans="1:14" x14ac:dyDescent="0.25">
      <c r="A2305" s="1">
        <f>'[1]Global_Spot Prices'!$B3614</f>
        <v>45230</v>
      </c>
      <c r="B2305">
        <f>_xlfn.XLOOKUP(A2305,'[1]Global_Spot Prices'!$B:$B,'[1]Global_Spot Prices'!$BS:$BS)</f>
        <v>5.2599999999999909</v>
      </c>
      <c r="C2305">
        <f>_xlfn.XLOOKUP(A2305,'[1]Global_Spot Prices'!$B:$B,'[1]Global_Spot Prices'!$E:$E)</f>
        <v>88.06</v>
      </c>
      <c r="D2305">
        <f>_xlfn.XLOOKUP(A2305,'[1]Global_Spot Prices'!$B:$B,'[1]Global_Spot Prices'!$D:$D)</f>
        <v>88.674999999999997</v>
      </c>
      <c r="E2305">
        <f>_xlfn.XLOOKUP(A2305,'[1]Global_Spot Prices'!$B:$B,'[1]Global_Spot Prices'!$H:$H)</f>
        <v>68.53</v>
      </c>
      <c r="F2305">
        <f>_xlfn.XLOOKUP(A2305,'[1]Global_Spot Prices'!$B:$B,'[1]Global_Spot Prices'!$I:$I)</f>
        <v>93.32</v>
      </c>
      <c r="G2305" cm="1">
        <f t="array" ref="G2305">_xlfn.XLOOKUP(TEXT(A2305, "mmm-yy"), TEXT([2]RUNS!$B$5:$B$208, "mmm-yy"), [2]RUNS!$D$5:$D$208, "Not Found")</f>
        <v>30532.937993265459</v>
      </c>
      <c r="H2305" cm="1">
        <f t="array" ref="H2305">SUMPRODUCT(
    --(TEXT('[3]Global Weekly Stock (EWSuez'!$B$4:$B$2000,"mmm-yy")=TEXT(A2305,"mmm-yy")),
    '[3]Global Weekly Stock (EWSuez'!$E$4:$E$2000)
/
SUMPRODUCT(
    --(TEXT('[3]Global Weekly Stock (EWSuez'!$B$4:$B$2000,"mmm-yy")=TEXT(A2305,"mmm-yy"))
)</f>
        <v>12180</v>
      </c>
      <c r="I2305">
        <f>_xlfn.XLOOKUP(A2305,[1]ForwardDeriv!$D:$D,[1]ForwardDeriv!$AJ:$AJ)</f>
        <v>1.8299999999999983</v>
      </c>
      <c r="J2305" cm="1">
        <f t="array" ref="J2305">_xlfn.XLOOKUP(TEXT(A2305, "mmm-yy"), TEXT([2]GASOLINE!$B$5:$B$208, "mmm-yy"), [2]GASOLINE!$IR$5:$IR$208, "Not Found")</f>
        <v>-380.7775470100928</v>
      </c>
      <c r="K2305" cm="1">
        <f t="array" ref="K2305">_xlfn.XLOOKUP(TEXT(A2305, "mmm-yy"), TEXT([2]GASOLINE!$B$5:$B$208, "mmm-yy"), [2]GASOLINE!$IK$5:$IK$208, "Not Found")</f>
        <v>222.77121922767881</v>
      </c>
      <c r="L2305">
        <f t="shared" si="35"/>
        <v>0</v>
      </c>
      <c r="M2305" cm="1">
        <f t="array" ref="M2305">_xlfn.XLOOKUP(TEXT(A2305, "mmm-yy"), TEXT([2]GASOLINE!$B$5:$B$208, "mmm-yy"), [2]GASOLINE!$C$5:$C$208, "Not Found")</f>
        <v>7831.5895927362417</v>
      </c>
      <c r="N2305" cm="1">
        <f t="array" ref="N2305">_xlfn.XLOOKUP(TEXT(A2305, "mmm-yy"), TEXT([2]RUNS!$B$5:$B$208, "mmm-yy"), [2]RUNS!$BM$5:$BM$208, "Not Found")</f>
        <v>0.82597577749399997</v>
      </c>
    </row>
    <row r="2306" spans="1:14" x14ac:dyDescent="0.25">
      <c r="A2306" s="1">
        <f>'[1]Global_Spot Prices'!$B3615</f>
        <v>45231</v>
      </c>
      <c r="B2306">
        <f>_xlfn.XLOOKUP(A2306,'[1]Global_Spot Prices'!$B:$B,'[1]Global_Spot Prices'!$BS:$BS)</f>
        <v>7.5699999999999932</v>
      </c>
      <c r="C2306">
        <f>_xlfn.XLOOKUP(A2306,'[1]Global_Spot Prices'!$B:$B,'[1]Global_Spot Prices'!$E:$E)</f>
        <v>86.26</v>
      </c>
      <c r="D2306">
        <f>_xlfn.XLOOKUP(A2306,'[1]Global_Spot Prices'!$B:$B,'[1]Global_Spot Prices'!$D:$D)</f>
        <v>88.614999999999995</v>
      </c>
      <c r="E2306">
        <f>_xlfn.XLOOKUP(A2306,'[1]Global_Spot Prices'!$B:$B,'[1]Global_Spot Prices'!$H:$H)</f>
        <v>68.180000000000007</v>
      </c>
      <c r="F2306">
        <f>_xlfn.XLOOKUP(A2306,'[1]Global_Spot Prices'!$B:$B,'[1]Global_Spot Prices'!$I:$I)</f>
        <v>93.83</v>
      </c>
      <c r="G2306" cm="1">
        <f t="array" ref="G2306">_xlfn.XLOOKUP(TEXT(A2306, "mmm-yy"), TEXT([2]RUNS!$B$5:$B$208, "mmm-yy"), [2]RUNS!$D$5:$D$208, "Not Found")</f>
        <v>30564.904941040582</v>
      </c>
      <c r="H2306" cm="1">
        <f t="array" ref="H2306">SUMPRODUCT(
    --(TEXT('[3]Global Weekly Stock (EWSuez'!$B$4:$B$2000,"mmm-yy")=TEXT(A2306,"mmm-yy")),
    '[3]Global Weekly Stock (EWSuez'!$E$4:$E$2000)
/
SUMPRODUCT(
    --(TEXT('[3]Global Weekly Stock (EWSuez'!$B$4:$B$2000,"mmm-yy")=TEXT(A2306,"mmm-yy"))
)</f>
        <v>12275.75</v>
      </c>
      <c r="I2306">
        <f>_xlfn.XLOOKUP(A2306,[1]ForwardDeriv!$D:$D,[1]ForwardDeriv!$AJ:$AJ)</f>
        <v>1.0900000000000034</v>
      </c>
      <c r="J2306" cm="1">
        <f t="array" ref="J2306">_xlfn.XLOOKUP(TEXT(A2306, "mmm-yy"), TEXT([2]GASOLINE!$B$5:$B$208, "mmm-yy"), [2]GASOLINE!$IR$5:$IR$208, "Not Found")</f>
        <v>-307.87981043249653</v>
      </c>
      <c r="K2306" cm="1">
        <f t="array" ref="K2306">_xlfn.XLOOKUP(TEXT(A2306, "mmm-yy"), TEXT([2]GASOLINE!$B$5:$B$208, "mmm-yy"), [2]GASOLINE!$IK$5:$IK$208, "Not Found")</f>
        <v>209.93160949159426</v>
      </c>
      <c r="L2306">
        <f t="shared" si="35"/>
        <v>0</v>
      </c>
      <c r="M2306" cm="1">
        <f t="array" ref="M2306">_xlfn.XLOOKUP(TEXT(A2306, "mmm-yy"), TEXT([2]GASOLINE!$B$5:$B$208, "mmm-yy"), [2]GASOLINE!$C$5:$C$208, "Not Found")</f>
        <v>7556.023872244933</v>
      </c>
      <c r="N2306" cm="1">
        <f t="array" ref="N2306">_xlfn.XLOOKUP(TEXT(A2306, "mmm-yy"), TEXT([2]RUNS!$B$5:$B$208, "mmm-yy"), [2]RUNS!$BM$5:$BM$208, "Not Found")</f>
        <v>0.82684054604488388</v>
      </c>
    </row>
    <row r="2307" spans="1:14" x14ac:dyDescent="0.25">
      <c r="A2307" s="1">
        <f>'[1]Global_Spot Prices'!$B3616</f>
        <v>45232</v>
      </c>
      <c r="B2307">
        <f>_xlfn.XLOOKUP(A2307,'[1]Global_Spot Prices'!$B:$B,'[1]Global_Spot Prices'!$BS:$BS)</f>
        <v>7.375</v>
      </c>
      <c r="C2307">
        <f>_xlfn.XLOOKUP(A2307,'[1]Global_Spot Prices'!$B:$B,'[1]Global_Spot Prices'!$E:$E)</f>
        <v>86.944999999999993</v>
      </c>
      <c r="D2307">
        <f>_xlfn.XLOOKUP(A2307,'[1]Global_Spot Prices'!$B:$B,'[1]Global_Spot Prices'!$D:$D)</f>
        <v>88.525000000000006</v>
      </c>
      <c r="E2307">
        <f>_xlfn.XLOOKUP(A2307,'[1]Global_Spot Prices'!$B:$B,'[1]Global_Spot Prices'!$H:$H)</f>
        <v>68.430000000000007</v>
      </c>
      <c r="F2307">
        <f>_xlfn.XLOOKUP(A2307,'[1]Global_Spot Prices'!$B:$B,'[1]Global_Spot Prices'!$I:$I)</f>
        <v>94.32</v>
      </c>
      <c r="G2307" cm="1">
        <f t="array" ref="G2307">_xlfn.XLOOKUP(TEXT(A2307, "mmm-yy"), TEXT([2]RUNS!$B$5:$B$208, "mmm-yy"), [2]RUNS!$D$5:$D$208, "Not Found")</f>
        <v>30564.904941040582</v>
      </c>
      <c r="H2307" cm="1">
        <f t="array" ref="H2307">SUMPRODUCT(
    --(TEXT('[3]Global Weekly Stock (EWSuez'!$B$4:$B$2000,"mmm-yy")=TEXT(A2307,"mmm-yy")),
    '[3]Global Weekly Stock (EWSuez'!$E$4:$E$2000)
/
SUMPRODUCT(
    --(TEXT('[3]Global Weekly Stock (EWSuez'!$B$4:$B$2000,"mmm-yy")=TEXT(A2307,"mmm-yy"))
)</f>
        <v>12275.75</v>
      </c>
      <c r="I2307">
        <f>_xlfn.XLOOKUP(A2307,[1]ForwardDeriv!$D:$D,[1]ForwardDeriv!$AJ:$AJ)</f>
        <v>1.0699999999999932</v>
      </c>
      <c r="J2307" cm="1">
        <f t="array" ref="J2307">_xlfn.XLOOKUP(TEXT(A2307, "mmm-yy"), TEXT([2]GASOLINE!$B$5:$B$208, "mmm-yy"), [2]GASOLINE!$IR$5:$IR$208, "Not Found")</f>
        <v>-307.87981043249653</v>
      </c>
      <c r="K2307" cm="1">
        <f t="array" ref="K2307">_xlfn.XLOOKUP(TEXT(A2307, "mmm-yy"), TEXT([2]GASOLINE!$B$5:$B$208, "mmm-yy"), [2]GASOLINE!$IK$5:$IK$208, "Not Found")</f>
        <v>209.93160949159426</v>
      </c>
      <c r="L2307">
        <f t="shared" ref="L2307:L2370" si="36">IF(OR(MONTH(A2307)=6, MONTH(A2307)=7, MONTH(A2307)=8, MONTH(A2307)=9), 1, 0)</f>
        <v>0</v>
      </c>
      <c r="M2307" cm="1">
        <f t="array" ref="M2307">_xlfn.XLOOKUP(TEXT(A2307, "mmm-yy"), TEXT([2]GASOLINE!$B$5:$B$208, "mmm-yy"), [2]GASOLINE!$C$5:$C$208, "Not Found")</f>
        <v>7556.023872244933</v>
      </c>
      <c r="N2307" cm="1">
        <f t="array" ref="N2307">_xlfn.XLOOKUP(TEXT(A2307, "mmm-yy"), TEXT([2]RUNS!$B$5:$B$208, "mmm-yy"), [2]RUNS!$BM$5:$BM$208, "Not Found")</f>
        <v>0.82684054604488388</v>
      </c>
    </row>
    <row r="2308" spans="1:14" x14ac:dyDescent="0.25">
      <c r="A2308" s="1">
        <f>'[1]Global_Spot Prices'!$B3617</f>
        <v>45233</v>
      </c>
      <c r="B2308">
        <f>_xlfn.XLOOKUP(A2308,'[1]Global_Spot Prices'!$B:$B,'[1]Global_Spot Prices'!$BS:$BS)</f>
        <v>7.8549999999999898</v>
      </c>
      <c r="C2308">
        <f>_xlfn.XLOOKUP(A2308,'[1]Global_Spot Prices'!$B:$B,'[1]Global_Spot Prices'!$E:$E)</f>
        <v>88.245000000000005</v>
      </c>
      <c r="D2308">
        <f>_xlfn.XLOOKUP(A2308,'[1]Global_Spot Prices'!$B:$B,'[1]Global_Spot Prices'!$D:$D)</f>
        <v>88.015000000000001</v>
      </c>
      <c r="E2308">
        <f ca="1">_xlfn.XLOOKUP(A2308,'[1]Global_Spot Prices'!$B:$B,'[1]Global_Spot Prices'!$H:$H)</f>
        <v>69.849999999999994</v>
      </c>
      <c r="F2308">
        <f>_xlfn.XLOOKUP(A2308,'[1]Global_Spot Prices'!$B:$B,'[1]Global_Spot Prices'!$I:$I)</f>
        <v>96.1</v>
      </c>
      <c r="G2308" cm="1">
        <f t="array" ref="G2308">_xlfn.XLOOKUP(TEXT(A2308, "mmm-yy"), TEXT([2]RUNS!$B$5:$B$208, "mmm-yy"), [2]RUNS!$D$5:$D$208, "Not Found")</f>
        <v>30564.904941040582</v>
      </c>
      <c r="H2308" cm="1">
        <f t="array" ref="H2308">SUMPRODUCT(
    --(TEXT('[3]Global Weekly Stock (EWSuez'!$B$4:$B$2000,"mmm-yy")=TEXT(A2308,"mmm-yy")),
    '[3]Global Weekly Stock (EWSuez'!$E$4:$E$2000)
/
SUMPRODUCT(
    --(TEXT('[3]Global Weekly Stock (EWSuez'!$B$4:$B$2000,"mmm-yy")=TEXT(A2308,"mmm-yy"))
)</f>
        <v>12275.75</v>
      </c>
      <c r="I2308">
        <f>_xlfn.XLOOKUP(A2308,[1]ForwardDeriv!$D:$D,[1]ForwardDeriv!$AJ:$AJ)</f>
        <v>1.2999999999999972</v>
      </c>
      <c r="J2308" cm="1">
        <f t="array" ref="J2308">_xlfn.XLOOKUP(TEXT(A2308, "mmm-yy"), TEXT([2]GASOLINE!$B$5:$B$208, "mmm-yy"), [2]GASOLINE!$IR$5:$IR$208, "Not Found")</f>
        <v>-307.87981043249653</v>
      </c>
      <c r="K2308" cm="1">
        <f t="array" ref="K2308">_xlfn.XLOOKUP(TEXT(A2308, "mmm-yy"), TEXT([2]GASOLINE!$B$5:$B$208, "mmm-yy"), [2]GASOLINE!$IK$5:$IK$208, "Not Found")</f>
        <v>209.93160949159426</v>
      </c>
      <c r="L2308">
        <f t="shared" si="36"/>
        <v>0</v>
      </c>
      <c r="M2308" cm="1">
        <f t="array" ref="M2308">_xlfn.XLOOKUP(TEXT(A2308, "mmm-yy"), TEXT([2]GASOLINE!$B$5:$B$208, "mmm-yy"), [2]GASOLINE!$C$5:$C$208, "Not Found")</f>
        <v>7556.023872244933</v>
      </c>
      <c r="N2308" cm="1">
        <f t="array" ref="N2308">_xlfn.XLOOKUP(TEXT(A2308, "mmm-yy"), TEXT([2]RUNS!$B$5:$B$208, "mmm-yy"), [2]RUNS!$BM$5:$BM$208, "Not Found")</f>
        <v>0.82684054604488388</v>
      </c>
    </row>
    <row r="2309" spans="1:14" x14ac:dyDescent="0.25">
      <c r="A2309" s="1">
        <f>'[1]Global_Spot Prices'!$B3618</f>
        <v>45236</v>
      </c>
      <c r="B2309">
        <f>_xlfn.XLOOKUP(A2309,'[1]Global_Spot Prices'!$B:$B,'[1]Global_Spot Prices'!$BS:$BS)</f>
        <v>8.5999999999999943</v>
      </c>
      <c r="C2309">
        <f>_xlfn.XLOOKUP(A2309,'[1]Global_Spot Prices'!$B:$B,'[1]Global_Spot Prices'!$E:$E)</f>
        <v>86.9</v>
      </c>
      <c r="D2309">
        <f>_xlfn.XLOOKUP(A2309,'[1]Global_Spot Prices'!$B:$B,'[1]Global_Spot Prices'!$D:$D)</f>
        <v>88.094999999999999</v>
      </c>
      <c r="E2309">
        <f>_xlfn.XLOOKUP(A2309,'[1]Global_Spot Prices'!$B:$B,'[1]Global_Spot Prices'!$H:$H)</f>
        <v>69.48</v>
      </c>
      <c r="F2309">
        <f>_xlfn.XLOOKUP(A2309,'[1]Global_Spot Prices'!$B:$B,'[1]Global_Spot Prices'!$I:$I)</f>
        <v>95.5</v>
      </c>
      <c r="G2309" cm="1">
        <f t="array" ref="G2309">_xlfn.XLOOKUP(TEXT(A2309, "mmm-yy"), TEXT([2]RUNS!$B$5:$B$208, "mmm-yy"), [2]RUNS!$D$5:$D$208, "Not Found")</f>
        <v>30564.904941040582</v>
      </c>
      <c r="H2309" cm="1">
        <f t="array" ref="H2309">SUMPRODUCT(
    --(TEXT('[3]Global Weekly Stock (EWSuez'!$B$4:$B$2000,"mmm-yy")=TEXT(A2309,"mmm-yy")),
    '[3]Global Weekly Stock (EWSuez'!$E$4:$E$2000)
/
SUMPRODUCT(
    --(TEXT('[3]Global Weekly Stock (EWSuez'!$B$4:$B$2000,"mmm-yy")=TEXT(A2309,"mmm-yy"))
)</f>
        <v>12275.75</v>
      </c>
      <c r="I2309">
        <f>_xlfn.XLOOKUP(A2309,[1]ForwardDeriv!$D:$D,[1]ForwardDeriv!$AJ:$AJ)</f>
        <v>1.4799999999999898</v>
      </c>
      <c r="J2309" cm="1">
        <f t="array" ref="J2309">_xlfn.XLOOKUP(TEXT(A2309, "mmm-yy"), TEXT([2]GASOLINE!$B$5:$B$208, "mmm-yy"), [2]GASOLINE!$IR$5:$IR$208, "Not Found")</f>
        <v>-307.87981043249653</v>
      </c>
      <c r="K2309" cm="1">
        <f t="array" ref="K2309">_xlfn.XLOOKUP(TEXT(A2309, "mmm-yy"), TEXT([2]GASOLINE!$B$5:$B$208, "mmm-yy"), [2]GASOLINE!$IK$5:$IK$208, "Not Found")</f>
        <v>209.93160949159426</v>
      </c>
      <c r="L2309">
        <f t="shared" si="36"/>
        <v>0</v>
      </c>
      <c r="M2309" cm="1">
        <f t="array" ref="M2309">_xlfn.XLOOKUP(TEXT(A2309, "mmm-yy"), TEXT([2]GASOLINE!$B$5:$B$208, "mmm-yy"), [2]GASOLINE!$C$5:$C$208, "Not Found")</f>
        <v>7556.023872244933</v>
      </c>
      <c r="N2309" cm="1">
        <f t="array" ref="N2309">_xlfn.XLOOKUP(TEXT(A2309, "mmm-yy"), TEXT([2]RUNS!$B$5:$B$208, "mmm-yy"), [2]RUNS!$BM$5:$BM$208, "Not Found")</f>
        <v>0.82684054604488388</v>
      </c>
    </row>
    <row r="2310" spans="1:14" x14ac:dyDescent="0.25">
      <c r="A2310" s="1">
        <f>'[1]Global_Spot Prices'!$B3619</f>
        <v>45237</v>
      </c>
      <c r="B2310">
        <f>_xlfn.XLOOKUP(A2310,'[1]Global_Spot Prices'!$B:$B,'[1]Global_Spot Prices'!$BS:$BS)</f>
        <v>8.605000000000004</v>
      </c>
      <c r="C2310">
        <f>_xlfn.XLOOKUP(A2310,'[1]Global_Spot Prices'!$B:$B,'[1]Global_Spot Prices'!$E:$E)</f>
        <v>85.045000000000002</v>
      </c>
      <c r="D2310">
        <f>_xlfn.XLOOKUP(A2310,'[1]Global_Spot Prices'!$B:$B,'[1]Global_Spot Prices'!$D:$D)</f>
        <v>84.71</v>
      </c>
      <c r="E2310">
        <f>_xlfn.XLOOKUP(A2310,'[1]Global_Spot Prices'!$B:$B,'[1]Global_Spot Prices'!$H:$H)</f>
        <v>68.13</v>
      </c>
      <c r="F2310">
        <f>_xlfn.XLOOKUP(A2310,'[1]Global_Spot Prices'!$B:$B,'[1]Global_Spot Prices'!$I:$I)</f>
        <v>93.65</v>
      </c>
      <c r="G2310" cm="1">
        <f t="array" ref="G2310">_xlfn.XLOOKUP(TEXT(A2310, "mmm-yy"), TEXT([2]RUNS!$B$5:$B$208, "mmm-yy"), [2]RUNS!$D$5:$D$208, "Not Found")</f>
        <v>30564.904941040582</v>
      </c>
      <c r="H2310" cm="1">
        <f t="array" ref="H2310">SUMPRODUCT(
    --(TEXT('[3]Global Weekly Stock (EWSuez'!$B$4:$B$2000,"mmm-yy")=TEXT(A2310,"mmm-yy")),
    '[3]Global Weekly Stock (EWSuez'!$E$4:$E$2000)
/
SUMPRODUCT(
    --(TEXT('[3]Global Weekly Stock (EWSuez'!$B$4:$B$2000,"mmm-yy")=TEXT(A2310,"mmm-yy"))
)</f>
        <v>12275.75</v>
      </c>
      <c r="I2310">
        <f>_xlfn.XLOOKUP(A2310,[1]ForwardDeriv!$D:$D,[1]ForwardDeriv!$AJ:$AJ)</f>
        <v>1.1599999999999966</v>
      </c>
      <c r="J2310" cm="1">
        <f t="array" ref="J2310">_xlfn.XLOOKUP(TEXT(A2310, "mmm-yy"), TEXT([2]GASOLINE!$B$5:$B$208, "mmm-yy"), [2]GASOLINE!$IR$5:$IR$208, "Not Found")</f>
        <v>-307.87981043249653</v>
      </c>
      <c r="K2310" cm="1">
        <f t="array" ref="K2310">_xlfn.XLOOKUP(TEXT(A2310, "mmm-yy"), TEXT([2]GASOLINE!$B$5:$B$208, "mmm-yy"), [2]GASOLINE!$IK$5:$IK$208, "Not Found")</f>
        <v>209.93160949159426</v>
      </c>
      <c r="L2310">
        <f t="shared" si="36"/>
        <v>0</v>
      </c>
      <c r="M2310" cm="1">
        <f t="array" ref="M2310">_xlfn.XLOOKUP(TEXT(A2310, "mmm-yy"), TEXT([2]GASOLINE!$B$5:$B$208, "mmm-yy"), [2]GASOLINE!$C$5:$C$208, "Not Found")</f>
        <v>7556.023872244933</v>
      </c>
      <c r="N2310" cm="1">
        <f t="array" ref="N2310">_xlfn.XLOOKUP(TEXT(A2310, "mmm-yy"), TEXT([2]RUNS!$B$5:$B$208, "mmm-yy"), [2]RUNS!$BM$5:$BM$208, "Not Found")</f>
        <v>0.82684054604488388</v>
      </c>
    </row>
    <row r="2311" spans="1:14" x14ac:dyDescent="0.25">
      <c r="A2311" s="1">
        <f>'[1]Global_Spot Prices'!$B3620</f>
        <v>45238</v>
      </c>
      <c r="B2311">
        <f>_xlfn.XLOOKUP(A2311,'[1]Global_Spot Prices'!$B:$B,'[1]Global_Spot Prices'!$BS:$BS)</f>
        <v>9.8199999999999932</v>
      </c>
      <c r="C2311">
        <f>_xlfn.XLOOKUP(A2311,'[1]Global_Spot Prices'!$B:$B,'[1]Global_Spot Prices'!$E:$E)</f>
        <v>82.75</v>
      </c>
      <c r="D2311">
        <f>_xlfn.XLOOKUP(A2311,'[1]Global_Spot Prices'!$B:$B,'[1]Global_Spot Prices'!$D:$D)</f>
        <v>82.31</v>
      </c>
      <c r="E2311">
        <f>_xlfn.XLOOKUP(A2311,'[1]Global_Spot Prices'!$B:$B,'[1]Global_Spot Prices'!$H:$H)</f>
        <v>67.319999999999993</v>
      </c>
      <c r="F2311">
        <f>_xlfn.XLOOKUP(A2311,'[1]Global_Spot Prices'!$B:$B,'[1]Global_Spot Prices'!$I:$I)</f>
        <v>92.57</v>
      </c>
      <c r="G2311" cm="1">
        <f t="array" ref="G2311">_xlfn.XLOOKUP(TEXT(A2311, "mmm-yy"), TEXT([2]RUNS!$B$5:$B$208, "mmm-yy"), [2]RUNS!$D$5:$D$208, "Not Found")</f>
        <v>30564.904941040582</v>
      </c>
      <c r="H2311" cm="1">
        <f t="array" ref="H2311">SUMPRODUCT(
    --(TEXT('[3]Global Weekly Stock (EWSuez'!$B$4:$B$2000,"mmm-yy")=TEXT(A2311,"mmm-yy")),
    '[3]Global Weekly Stock (EWSuez'!$E$4:$E$2000)
/
SUMPRODUCT(
    --(TEXT('[3]Global Weekly Stock (EWSuez'!$B$4:$B$2000,"mmm-yy")=TEXT(A2311,"mmm-yy"))
)</f>
        <v>12275.75</v>
      </c>
      <c r="I2311">
        <f>_xlfn.XLOOKUP(A2311,[1]ForwardDeriv!$D:$D,[1]ForwardDeriv!$AJ:$AJ)</f>
        <v>1.1800000000000068</v>
      </c>
      <c r="J2311" cm="1">
        <f t="array" ref="J2311">_xlfn.XLOOKUP(TEXT(A2311, "mmm-yy"), TEXT([2]GASOLINE!$B$5:$B$208, "mmm-yy"), [2]GASOLINE!$IR$5:$IR$208, "Not Found")</f>
        <v>-307.87981043249653</v>
      </c>
      <c r="K2311" cm="1">
        <f t="array" ref="K2311">_xlfn.XLOOKUP(TEXT(A2311, "mmm-yy"), TEXT([2]GASOLINE!$B$5:$B$208, "mmm-yy"), [2]GASOLINE!$IK$5:$IK$208, "Not Found")</f>
        <v>209.93160949159426</v>
      </c>
      <c r="L2311">
        <f t="shared" si="36"/>
        <v>0</v>
      </c>
      <c r="M2311" cm="1">
        <f t="array" ref="M2311">_xlfn.XLOOKUP(TEXT(A2311, "mmm-yy"), TEXT([2]GASOLINE!$B$5:$B$208, "mmm-yy"), [2]GASOLINE!$C$5:$C$208, "Not Found")</f>
        <v>7556.023872244933</v>
      </c>
      <c r="N2311" cm="1">
        <f t="array" ref="N2311">_xlfn.XLOOKUP(TEXT(A2311, "mmm-yy"), TEXT([2]RUNS!$B$5:$B$208, "mmm-yy"), [2]RUNS!$BM$5:$BM$208, "Not Found")</f>
        <v>0.82684054604488388</v>
      </c>
    </row>
    <row r="2312" spans="1:14" x14ac:dyDescent="0.25">
      <c r="A2312" s="1">
        <f>'[1]Global_Spot Prices'!$B3621</f>
        <v>45239</v>
      </c>
      <c r="B2312">
        <f>_xlfn.XLOOKUP(A2312,'[1]Global_Spot Prices'!$B:$B,'[1]Global_Spot Prices'!$BS:$BS)</f>
        <v>10.019999999999996</v>
      </c>
      <c r="C2312">
        <f>_xlfn.XLOOKUP(A2312,'[1]Global_Spot Prices'!$B:$B,'[1]Global_Spot Prices'!$E:$E)</f>
        <v>81.3</v>
      </c>
      <c r="D2312">
        <f>_xlfn.XLOOKUP(A2312,'[1]Global_Spot Prices'!$B:$B,'[1]Global_Spot Prices'!$D:$D)</f>
        <v>82.7</v>
      </c>
      <c r="E2312">
        <f>_xlfn.XLOOKUP(A2312,'[1]Global_Spot Prices'!$B:$B,'[1]Global_Spot Prices'!$H:$H)</f>
        <v>66.489999999999995</v>
      </c>
      <c r="F2312">
        <f>_xlfn.XLOOKUP(A2312,'[1]Global_Spot Prices'!$B:$B,'[1]Global_Spot Prices'!$I:$I)</f>
        <v>91.32</v>
      </c>
      <c r="G2312" cm="1">
        <f t="array" ref="G2312">_xlfn.XLOOKUP(TEXT(A2312, "mmm-yy"), TEXT([2]RUNS!$B$5:$B$208, "mmm-yy"), [2]RUNS!$D$5:$D$208, "Not Found")</f>
        <v>30564.904941040582</v>
      </c>
      <c r="H2312" cm="1">
        <f t="array" ref="H2312">SUMPRODUCT(
    --(TEXT('[3]Global Weekly Stock (EWSuez'!$B$4:$B$2000,"mmm-yy")=TEXT(A2312,"mmm-yy")),
    '[3]Global Weekly Stock (EWSuez'!$E$4:$E$2000)
/
SUMPRODUCT(
    --(TEXT('[3]Global Weekly Stock (EWSuez'!$B$4:$B$2000,"mmm-yy")=TEXT(A2312,"mmm-yy"))
)</f>
        <v>12275.75</v>
      </c>
      <c r="I2312">
        <f>_xlfn.XLOOKUP(A2312,[1]ForwardDeriv!$D:$D,[1]ForwardDeriv!$AJ:$AJ)</f>
        <v>1.2299999999999898</v>
      </c>
      <c r="J2312" cm="1">
        <f t="array" ref="J2312">_xlfn.XLOOKUP(TEXT(A2312, "mmm-yy"), TEXT([2]GASOLINE!$B$5:$B$208, "mmm-yy"), [2]GASOLINE!$IR$5:$IR$208, "Not Found")</f>
        <v>-307.87981043249653</v>
      </c>
      <c r="K2312" cm="1">
        <f t="array" ref="K2312">_xlfn.XLOOKUP(TEXT(A2312, "mmm-yy"), TEXT([2]GASOLINE!$B$5:$B$208, "mmm-yy"), [2]GASOLINE!$IK$5:$IK$208, "Not Found")</f>
        <v>209.93160949159426</v>
      </c>
      <c r="L2312">
        <f t="shared" si="36"/>
        <v>0</v>
      </c>
      <c r="M2312" cm="1">
        <f t="array" ref="M2312">_xlfn.XLOOKUP(TEXT(A2312, "mmm-yy"), TEXT([2]GASOLINE!$B$5:$B$208, "mmm-yy"), [2]GASOLINE!$C$5:$C$208, "Not Found")</f>
        <v>7556.023872244933</v>
      </c>
      <c r="N2312" cm="1">
        <f t="array" ref="N2312">_xlfn.XLOOKUP(TEXT(A2312, "mmm-yy"), TEXT([2]RUNS!$B$5:$B$208, "mmm-yy"), [2]RUNS!$BM$5:$BM$208, "Not Found")</f>
        <v>0.82684054604488388</v>
      </c>
    </row>
    <row r="2313" spans="1:14" x14ac:dyDescent="0.25">
      <c r="A2313" s="1">
        <f>'[1]Global_Spot Prices'!$B3622</f>
        <v>45240</v>
      </c>
      <c r="B2313">
        <f>_xlfn.XLOOKUP(A2313,'[1]Global_Spot Prices'!$B:$B,'[1]Global_Spot Prices'!$BS:$BS)</f>
        <v>11.39</v>
      </c>
      <c r="C2313">
        <f>_xlfn.XLOOKUP(A2313,'[1]Global_Spot Prices'!$B:$B,'[1]Global_Spot Prices'!$E:$E)</f>
        <v>81.61</v>
      </c>
      <c r="D2313">
        <f>_xlfn.XLOOKUP(A2313,'[1]Global_Spot Prices'!$B:$B,'[1]Global_Spot Prices'!$D:$D)</f>
        <v>83.58</v>
      </c>
      <c r="E2313">
        <f>_xlfn.XLOOKUP(A2313,'[1]Global_Spot Prices'!$B:$B,'[1]Global_Spot Prices'!$H:$H)</f>
        <v>67.28</v>
      </c>
      <c r="F2313">
        <f>_xlfn.XLOOKUP(A2313,'[1]Global_Spot Prices'!$B:$B,'[1]Global_Spot Prices'!$I:$I)</f>
        <v>93</v>
      </c>
      <c r="G2313" cm="1">
        <f t="array" ref="G2313">_xlfn.XLOOKUP(TEXT(A2313, "mmm-yy"), TEXT([2]RUNS!$B$5:$B$208, "mmm-yy"), [2]RUNS!$D$5:$D$208, "Not Found")</f>
        <v>30564.904941040582</v>
      </c>
      <c r="H2313" cm="1">
        <f t="array" ref="H2313">SUMPRODUCT(
    --(TEXT('[3]Global Weekly Stock (EWSuez'!$B$4:$B$2000,"mmm-yy")=TEXT(A2313,"mmm-yy")),
    '[3]Global Weekly Stock (EWSuez'!$E$4:$E$2000)
/
SUMPRODUCT(
    --(TEXT('[3]Global Weekly Stock (EWSuez'!$B$4:$B$2000,"mmm-yy")=TEXT(A2313,"mmm-yy"))
)</f>
        <v>12275.75</v>
      </c>
      <c r="I2313">
        <f>_xlfn.XLOOKUP(A2313,[1]ForwardDeriv!$D:$D,[1]ForwardDeriv!$AJ:$AJ)</f>
        <v>1.3100000000000023</v>
      </c>
      <c r="J2313" cm="1">
        <f t="array" ref="J2313">_xlfn.XLOOKUP(TEXT(A2313, "mmm-yy"), TEXT([2]GASOLINE!$B$5:$B$208, "mmm-yy"), [2]GASOLINE!$IR$5:$IR$208, "Not Found")</f>
        <v>-307.87981043249653</v>
      </c>
      <c r="K2313" cm="1">
        <f t="array" ref="K2313">_xlfn.XLOOKUP(TEXT(A2313, "mmm-yy"), TEXT([2]GASOLINE!$B$5:$B$208, "mmm-yy"), [2]GASOLINE!$IK$5:$IK$208, "Not Found")</f>
        <v>209.93160949159426</v>
      </c>
      <c r="L2313">
        <f t="shared" si="36"/>
        <v>0</v>
      </c>
      <c r="M2313" cm="1">
        <f t="array" ref="M2313">_xlfn.XLOOKUP(TEXT(A2313, "mmm-yy"), TEXT([2]GASOLINE!$B$5:$B$208, "mmm-yy"), [2]GASOLINE!$C$5:$C$208, "Not Found")</f>
        <v>7556.023872244933</v>
      </c>
      <c r="N2313" cm="1">
        <f t="array" ref="N2313">_xlfn.XLOOKUP(TEXT(A2313, "mmm-yy"), TEXT([2]RUNS!$B$5:$B$208, "mmm-yy"), [2]RUNS!$BM$5:$BM$208, "Not Found")</f>
        <v>0.82684054604488388</v>
      </c>
    </row>
    <row r="2314" spans="1:14" x14ac:dyDescent="0.25">
      <c r="A2314" s="1">
        <f>'[1]Global_Spot Prices'!$B3623</f>
        <v>45243</v>
      </c>
      <c r="B2314" t="e">
        <f>_xlfn.XLOOKUP(A2314,'[1]Global_Spot Prices'!$B:$B,'[1]Global_Spot Prices'!$BS:$BS)</f>
        <v>#N/A</v>
      </c>
      <c r="C2314" t="str">
        <f>_xlfn.XLOOKUP(A2314,'[1]Global_Spot Prices'!$B:$B,'[1]Global_Spot Prices'!$E:$E)</f>
        <v/>
      </c>
      <c r="D2314">
        <f>_xlfn.XLOOKUP(A2314,'[1]Global_Spot Prices'!$B:$B,'[1]Global_Spot Prices'!$D:$D)</f>
        <v>84.465000000000003</v>
      </c>
      <c r="E2314">
        <f>_xlfn.XLOOKUP(A2314,'[1]Global_Spot Prices'!$B:$B,'[1]Global_Spot Prices'!$H:$H)</f>
        <v>0</v>
      </c>
      <c r="F2314">
        <f>_xlfn.XLOOKUP(A2314,'[1]Global_Spot Prices'!$B:$B,'[1]Global_Spot Prices'!$I:$I)</f>
        <v>0</v>
      </c>
      <c r="G2314" cm="1">
        <f t="array" ref="G2314">_xlfn.XLOOKUP(TEXT(A2314, "mmm-yy"), TEXT([2]RUNS!$B$5:$B$208, "mmm-yy"), [2]RUNS!$D$5:$D$208, "Not Found")</f>
        <v>30564.904941040582</v>
      </c>
      <c r="H2314" cm="1">
        <f t="array" ref="H2314">SUMPRODUCT(
    --(TEXT('[3]Global Weekly Stock (EWSuez'!$B$4:$B$2000,"mmm-yy")=TEXT(A2314,"mmm-yy")),
    '[3]Global Weekly Stock (EWSuez'!$E$4:$E$2000)
/
SUMPRODUCT(
    --(TEXT('[3]Global Weekly Stock (EWSuez'!$B$4:$B$2000,"mmm-yy")=TEXT(A2314,"mmm-yy"))
)</f>
        <v>12275.75</v>
      </c>
      <c r="I2314">
        <f>_xlfn.XLOOKUP(A2314,[1]ForwardDeriv!$D:$D,[1]ForwardDeriv!$AJ:$AJ)</f>
        <v>1.3500000000000085</v>
      </c>
      <c r="J2314" cm="1">
        <f t="array" ref="J2314">_xlfn.XLOOKUP(TEXT(A2314, "mmm-yy"), TEXT([2]GASOLINE!$B$5:$B$208, "mmm-yy"), [2]GASOLINE!$IR$5:$IR$208, "Not Found")</f>
        <v>-307.87981043249653</v>
      </c>
      <c r="K2314" cm="1">
        <f t="array" ref="K2314">_xlfn.XLOOKUP(TEXT(A2314, "mmm-yy"), TEXT([2]GASOLINE!$B$5:$B$208, "mmm-yy"), [2]GASOLINE!$IK$5:$IK$208, "Not Found")</f>
        <v>209.93160949159426</v>
      </c>
      <c r="L2314">
        <f t="shared" si="36"/>
        <v>0</v>
      </c>
      <c r="M2314" cm="1">
        <f t="array" ref="M2314">_xlfn.XLOOKUP(TEXT(A2314, "mmm-yy"), TEXT([2]GASOLINE!$B$5:$B$208, "mmm-yy"), [2]GASOLINE!$C$5:$C$208, "Not Found")</f>
        <v>7556.023872244933</v>
      </c>
      <c r="N2314" cm="1">
        <f t="array" ref="N2314">_xlfn.XLOOKUP(TEXT(A2314, "mmm-yy"), TEXT([2]RUNS!$B$5:$B$208, "mmm-yy"), [2]RUNS!$BM$5:$BM$208, "Not Found")</f>
        <v>0.82684054604488388</v>
      </c>
    </row>
    <row r="2315" spans="1:14" x14ac:dyDescent="0.25">
      <c r="A2315" s="1">
        <f>'[1]Global_Spot Prices'!$B3624</f>
        <v>45244</v>
      </c>
      <c r="B2315">
        <f>_xlfn.XLOOKUP(A2315,'[1]Global_Spot Prices'!$B:$B,'[1]Global_Spot Prices'!$BS:$BS)</f>
        <v>11.084999999999994</v>
      </c>
      <c r="C2315">
        <f ca="1">_xlfn.XLOOKUP(A2315,'[1]Global_Spot Prices'!$B:$B,'[1]Global_Spot Prices'!$E:$E)</f>
        <v>83.355000000000004</v>
      </c>
      <c r="D2315">
        <f>_xlfn.XLOOKUP(A2315,'[1]Global_Spot Prices'!$B:$B,'[1]Global_Spot Prices'!$D:$D)</f>
        <v>85.185000000000002</v>
      </c>
      <c r="E2315">
        <f>_xlfn.XLOOKUP(A2315,'[1]Global_Spot Prices'!$B:$B,'[1]Global_Spot Prices'!$H:$H)</f>
        <v>69.97</v>
      </c>
      <c r="F2315">
        <f>_xlfn.XLOOKUP(A2315,'[1]Global_Spot Prices'!$B:$B,'[1]Global_Spot Prices'!$I:$I)</f>
        <v>94.44</v>
      </c>
      <c r="G2315" cm="1">
        <f t="array" ref="G2315">_xlfn.XLOOKUP(TEXT(A2315, "mmm-yy"), TEXT([2]RUNS!$B$5:$B$208, "mmm-yy"), [2]RUNS!$D$5:$D$208, "Not Found")</f>
        <v>30564.904941040582</v>
      </c>
      <c r="H2315" cm="1">
        <f t="array" ref="H2315">SUMPRODUCT(
    --(TEXT('[3]Global Weekly Stock (EWSuez'!$B$4:$B$2000,"mmm-yy")=TEXT(A2315,"mmm-yy")),
    '[3]Global Weekly Stock (EWSuez'!$E$4:$E$2000)
/
SUMPRODUCT(
    --(TEXT('[3]Global Weekly Stock (EWSuez'!$B$4:$B$2000,"mmm-yy")=TEXT(A2315,"mmm-yy"))
)</f>
        <v>12275.75</v>
      </c>
      <c r="I2315">
        <f>_xlfn.XLOOKUP(A2315,[1]ForwardDeriv!$D:$D,[1]ForwardDeriv!$AJ:$AJ)</f>
        <v>1.3500000000000085</v>
      </c>
      <c r="J2315" cm="1">
        <f t="array" ref="J2315">_xlfn.XLOOKUP(TEXT(A2315, "mmm-yy"), TEXT([2]GASOLINE!$B$5:$B$208, "mmm-yy"), [2]GASOLINE!$IR$5:$IR$208, "Not Found")</f>
        <v>-307.87981043249653</v>
      </c>
      <c r="K2315" cm="1">
        <f t="array" ref="K2315">_xlfn.XLOOKUP(TEXT(A2315, "mmm-yy"), TEXT([2]GASOLINE!$B$5:$B$208, "mmm-yy"), [2]GASOLINE!$IK$5:$IK$208, "Not Found")</f>
        <v>209.93160949159426</v>
      </c>
      <c r="L2315">
        <f t="shared" si="36"/>
        <v>0</v>
      </c>
      <c r="M2315" cm="1">
        <f t="array" ref="M2315">_xlfn.XLOOKUP(TEXT(A2315, "mmm-yy"), TEXT([2]GASOLINE!$B$5:$B$208, "mmm-yy"), [2]GASOLINE!$C$5:$C$208, "Not Found")</f>
        <v>7556.023872244933</v>
      </c>
      <c r="N2315" cm="1">
        <f t="array" ref="N2315">_xlfn.XLOOKUP(TEXT(A2315, "mmm-yy"), TEXT([2]RUNS!$B$5:$B$208, "mmm-yy"), [2]RUNS!$BM$5:$BM$208, "Not Found")</f>
        <v>0.82684054604488388</v>
      </c>
    </row>
    <row r="2316" spans="1:14" x14ac:dyDescent="0.25">
      <c r="A2316" s="1">
        <f>'[1]Global_Spot Prices'!$B3625</f>
        <v>45245</v>
      </c>
      <c r="B2316">
        <f>_xlfn.XLOOKUP(A2316,'[1]Global_Spot Prices'!$B:$B,'[1]Global_Spot Prices'!$BS:$BS)</f>
        <v>9.3400000000000034</v>
      </c>
      <c r="C2316">
        <f>_xlfn.XLOOKUP(A2316,'[1]Global_Spot Prices'!$B:$B,'[1]Global_Spot Prices'!$E:$E)</f>
        <v>83.24</v>
      </c>
      <c r="D2316">
        <f>_xlfn.XLOOKUP(A2316,'[1]Global_Spot Prices'!$B:$B,'[1]Global_Spot Prices'!$D:$D)</f>
        <v>82.61</v>
      </c>
      <c r="E2316">
        <f>_xlfn.XLOOKUP(A2316,'[1]Global_Spot Prices'!$B:$B,'[1]Global_Spot Prices'!$H:$H)</f>
        <v>69.86</v>
      </c>
      <c r="F2316">
        <f ca="1">_xlfn.XLOOKUP(A2316,'[1]Global_Spot Prices'!$B:$B,'[1]Global_Spot Prices'!$I:$I)</f>
        <v>92.58</v>
      </c>
      <c r="G2316" cm="1">
        <f t="array" ref="G2316">_xlfn.XLOOKUP(TEXT(A2316, "mmm-yy"), TEXT([2]RUNS!$B$5:$B$208, "mmm-yy"), [2]RUNS!$D$5:$D$208, "Not Found")</f>
        <v>30564.904941040582</v>
      </c>
      <c r="H2316" cm="1">
        <f t="array" ref="H2316">SUMPRODUCT(
    --(TEXT('[3]Global Weekly Stock (EWSuez'!$B$4:$B$2000,"mmm-yy")=TEXT(A2316,"mmm-yy")),
    '[3]Global Weekly Stock (EWSuez'!$E$4:$E$2000)
/
SUMPRODUCT(
    --(TEXT('[3]Global Weekly Stock (EWSuez'!$B$4:$B$2000,"mmm-yy")=TEXT(A2316,"mmm-yy"))
)</f>
        <v>12275.75</v>
      </c>
      <c r="I2316">
        <f>_xlfn.XLOOKUP(A2316,[1]ForwardDeriv!$D:$D,[1]ForwardDeriv!$AJ:$AJ)</f>
        <v>1.1000000000000085</v>
      </c>
      <c r="J2316" cm="1">
        <f t="array" ref="J2316">_xlfn.XLOOKUP(TEXT(A2316, "mmm-yy"), TEXT([2]GASOLINE!$B$5:$B$208, "mmm-yy"), [2]GASOLINE!$IR$5:$IR$208, "Not Found")</f>
        <v>-307.87981043249653</v>
      </c>
      <c r="K2316" cm="1">
        <f t="array" ref="K2316">_xlfn.XLOOKUP(TEXT(A2316, "mmm-yy"), TEXT([2]GASOLINE!$B$5:$B$208, "mmm-yy"), [2]GASOLINE!$IK$5:$IK$208, "Not Found")</f>
        <v>209.93160949159426</v>
      </c>
      <c r="L2316">
        <f t="shared" si="36"/>
        <v>0</v>
      </c>
      <c r="M2316" cm="1">
        <f t="array" ref="M2316">_xlfn.XLOOKUP(TEXT(A2316, "mmm-yy"), TEXT([2]GASOLINE!$B$5:$B$208, "mmm-yy"), [2]GASOLINE!$C$5:$C$208, "Not Found")</f>
        <v>7556.023872244933</v>
      </c>
      <c r="N2316" cm="1">
        <f t="array" ref="N2316">_xlfn.XLOOKUP(TEXT(A2316, "mmm-yy"), TEXT([2]RUNS!$B$5:$B$208, "mmm-yy"), [2]RUNS!$BM$5:$BM$208, "Not Found")</f>
        <v>0.82684054604488388</v>
      </c>
    </row>
    <row r="2317" spans="1:14" x14ac:dyDescent="0.25">
      <c r="A2317" s="1">
        <f>'[1]Global_Spot Prices'!$B3626</f>
        <v>45246</v>
      </c>
      <c r="B2317">
        <f>_xlfn.XLOOKUP(A2317,'[1]Global_Spot Prices'!$B:$B,'[1]Global_Spot Prices'!$BS:$BS)</f>
        <v>9.2399999999999949</v>
      </c>
      <c r="C2317">
        <f>_xlfn.XLOOKUP(A2317,'[1]Global_Spot Prices'!$B:$B,'[1]Global_Spot Prices'!$E:$E)</f>
        <v>81.680000000000007</v>
      </c>
      <c r="D2317">
        <f>_xlfn.XLOOKUP(A2317,'[1]Global_Spot Prices'!$B:$B,'[1]Global_Spot Prices'!$D:$D)</f>
        <v>78.144999999999996</v>
      </c>
      <c r="E2317">
        <f>_xlfn.XLOOKUP(A2317,'[1]Global_Spot Prices'!$B:$B,'[1]Global_Spot Prices'!$H:$H)</f>
        <v>69.39</v>
      </c>
      <c r="F2317">
        <f>_xlfn.XLOOKUP(A2317,'[1]Global_Spot Prices'!$B:$B,'[1]Global_Spot Prices'!$I:$I)</f>
        <v>90.92</v>
      </c>
      <c r="G2317" cm="1">
        <f t="array" ref="G2317">_xlfn.XLOOKUP(TEXT(A2317, "mmm-yy"), TEXT([2]RUNS!$B$5:$B$208, "mmm-yy"), [2]RUNS!$D$5:$D$208, "Not Found")</f>
        <v>30564.904941040582</v>
      </c>
      <c r="H2317" cm="1">
        <f t="array" ref="H2317">SUMPRODUCT(
    --(TEXT('[3]Global Weekly Stock (EWSuez'!$B$4:$B$2000,"mmm-yy")=TEXT(A2317,"mmm-yy")),
    '[3]Global Weekly Stock (EWSuez'!$E$4:$E$2000)
/
SUMPRODUCT(
    --(TEXT('[3]Global Weekly Stock (EWSuez'!$B$4:$B$2000,"mmm-yy")=TEXT(A2317,"mmm-yy"))
)</f>
        <v>12275.75</v>
      </c>
      <c r="I2317">
        <f>_xlfn.XLOOKUP(A2317,[1]ForwardDeriv!$D:$D,[1]ForwardDeriv!$AJ:$AJ)</f>
        <v>1.0499999999999972</v>
      </c>
      <c r="J2317" cm="1">
        <f t="array" ref="J2317">_xlfn.XLOOKUP(TEXT(A2317, "mmm-yy"), TEXT([2]GASOLINE!$B$5:$B$208, "mmm-yy"), [2]GASOLINE!$IR$5:$IR$208, "Not Found")</f>
        <v>-307.87981043249653</v>
      </c>
      <c r="K2317" cm="1">
        <f t="array" ref="K2317">_xlfn.XLOOKUP(TEXT(A2317, "mmm-yy"), TEXT([2]GASOLINE!$B$5:$B$208, "mmm-yy"), [2]GASOLINE!$IK$5:$IK$208, "Not Found")</f>
        <v>209.93160949159426</v>
      </c>
      <c r="L2317">
        <f t="shared" si="36"/>
        <v>0</v>
      </c>
      <c r="M2317" cm="1">
        <f t="array" ref="M2317">_xlfn.XLOOKUP(TEXT(A2317, "mmm-yy"), TEXT([2]GASOLINE!$B$5:$B$208, "mmm-yy"), [2]GASOLINE!$C$5:$C$208, "Not Found")</f>
        <v>7556.023872244933</v>
      </c>
      <c r="N2317" cm="1">
        <f t="array" ref="N2317">_xlfn.XLOOKUP(TEXT(A2317, "mmm-yy"), TEXT([2]RUNS!$B$5:$B$208, "mmm-yy"), [2]RUNS!$BM$5:$BM$208, "Not Found")</f>
        <v>0.82684054604488388</v>
      </c>
    </row>
    <row r="2318" spans="1:14" x14ac:dyDescent="0.25">
      <c r="A2318" s="1">
        <f>'[1]Global_Spot Prices'!$B3627</f>
        <v>45247</v>
      </c>
      <c r="B2318">
        <f>_xlfn.XLOOKUP(A2318,'[1]Global_Spot Prices'!$B:$B,'[1]Global_Spot Prices'!$BS:$BS)</f>
        <v>6.9200000000000017</v>
      </c>
      <c r="C2318">
        <f>_xlfn.XLOOKUP(A2318,'[1]Global_Spot Prices'!$B:$B,'[1]Global_Spot Prices'!$E:$E)</f>
        <v>79.260000000000005</v>
      </c>
      <c r="D2318">
        <f>_xlfn.XLOOKUP(A2318,'[1]Global_Spot Prices'!$B:$B,'[1]Global_Spot Prices'!$D:$D)</f>
        <v>80.08</v>
      </c>
      <c r="E2318">
        <f>_xlfn.XLOOKUP(A2318,'[1]Global_Spot Prices'!$B:$B,'[1]Global_Spot Prices'!$H:$H)</f>
        <v>67.47</v>
      </c>
      <c r="F2318">
        <f>_xlfn.XLOOKUP(A2318,'[1]Global_Spot Prices'!$B:$B,'[1]Global_Spot Prices'!$I:$I)</f>
        <v>86.18</v>
      </c>
      <c r="G2318" cm="1">
        <f t="array" ref="G2318">_xlfn.XLOOKUP(TEXT(A2318, "mmm-yy"), TEXT([2]RUNS!$B$5:$B$208, "mmm-yy"), [2]RUNS!$D$5:$D$208, "Not Found")</f>
        <v>30564.904941040582</v>
      </c>
      <c r="H2318" cm="1">
        <f t="array" ref="H2318">SUMPRODUCT(
    --(TEXT('[3]Global Weekly Stock (EWSuez'!$B$4:$B$2000,"mmm-yy")=TEXT(A2318,"mmm-yy")),
    '[3]Global Weekly Stock (EWSuez'!$E$4:$E$2000)
/
SUMPRODUCT(
    --(TEXT('[3]Global Weekly Stock (EWSuez'!$B$4:$B$2000,"mmm-yy")=TEXT(A2318,"mmm-yy"))
)</f>
        <v>12275.75</v>
      </c>
      <c r="I2318">
        <f>_xlfn.XLOOKUP(A2318,[1]ForwardDeriv!$D:$D,[1]ForwardDeriv!$AJ:$AJ)</f>
        <v>0.60000000000000853</v>
      </c>
      <c r="J2318" cm="1">
        <f t="array" ref="J2318">_xlfn.XLOOKUP(TEXT(A2318, "mmm-yy"), TEXT([2]GASOLINE!$B$5:$B$208, "mmm-yy"), [2]GASOLINE!$IR$5:$IR$208, "Not Found")</f>
        <v>-307.87981043249653</v>
      </c>
      <c r="K2318" cm="1">
        <f t="array" ref="K2318">_xlfn.XLOOKUP(TEXT(A2318, "mmm-yy"), TEXT([2]GASOLINE!$B$5:$B$208, "mmm-yy"), [2]GASOLINE!$IK$5:$IK$208, "Not Found")</f>
        <v>209.93160949159426</v>
      </c>
      <c r="L2318">
        <f t="shared" si="36"/>
        <v>0</v>
      </c>
      <c r="M2318" cm="1">
        <f t="array" ref="M2318">_xlfn.XLOOKUP(TEXT(A2318, "mmm-yy"), TEXT([2]GASOLINE!$B$5:$B$208, "mmm-yy"), [2]GASOLINE!$C$5:$C$208, "Not Found")</f>
        <v>7556.023872244933</v>
      </c>
      <c r="N2318" cm="1">
        <f t="array" ref="N2318">_xlfn.XLOOKUP(TEXT(A2318, "mmm-yy"), TEXT([2]RUNS!$B$5:$B$208, "mmm-yy"), [2]RUNS!$BM$5:$BM$208, "Not Found")</f>
        <v>0.82684054604488388</v>
      </c>
    </row>
    <row r="2319" spans="1:14" x14ac:dyDescent="0.25">
      <c r="A2319" s="1">
        <f>'[1]Global_Spot Prices'!$B3628</f>
        <v>45250</v>
      </c>
      <c r="B2319">
        <f>_xlfn.XLOOKUP(A2319,'[1]Global_Spot Prices'!$B:$B,'[1]Global_Spot Prices'!$BS:$BS)</f>
        <v>7.4000000000000057</v>
      </c>
      <c r="C2319">
        <f>_xlfn.XLOOKUP(A2319,'[1]Global_Spot Prices'!$B:$B,'[1]Global_Spot Prices'!$E:$E)</f>
        <v>82.8</v>
      </c>
      <c r="D2319">
        <f>_xlfn.XLOOKUP(A2319,'[1]Global_Spot Prices'!$B:$B,'[1]Global_Spot Prices'!$D:$D)</f>
        <v>83.33</v>
      </c>
      <c r="E2319">
        <f>_xlfn.XLOOKUP(A2319,'[1]Global_Spot Prices'!$B:$B,'[1]Global_Spot Prices'!$H:$H)</f>
        <v>69.41</v>
      </c>
      <c r="F2319">
        <f>_xlfn.XLOOKUP(A2319,'[1]Global_Spot Prices'!$B:$B,'[1]Global_Spot Prices'!$I:$I)</f>
        <v>90.2</v>
      </c>
      <c r="G2319" cm="1">
        <f t="array" ref="G2319">_xlfn.XLOOKUP(TEXT(A2319, "mmm-yy"), TEXT([2]RUNS!$B$5:$B$208, "mmm-yy"), [2]RUNS!$D$5:$D$208, "Not Found")</f>
        <v>30564.904941040582</v>
      </c>
      <c r="H2319" cm="1">
        <f t="array" ref="H2319">SUMPRODUCT(
    --(TEXT('[3]Global Weekly Stock (EWSuez'!$B$4:$B$2000,"mmm-yy")=TEXT(A2319,"mmm-yy")),
    '[3]Global Weekly Stock (EWSuez'!$E$4:$E$2000)
/
SUMPRODUCT(
    --(TEXT('[3]Global Weekly Stock (EWSuez'!$B$4:$B$2000,"mmm-yy")=TEXT(A2319,"mmm-yy"))
)</f>
        <v>12275.75</v>
      </c>
      <c r="I2319">
        <f>_xlfn.XLOOKUP(A2319,[1]ForwardDeriv!$D:$D,[1]ForwardDeriv!$AJ:$AJ)</f>
        <v>0.62000000000000455</v>
      </c>
      <c r="J2319" cm="1">
        <f t="array" ref="J2319">_xlfn.XLOOKUP(TEXT(A2319, "mmm-yy"), TEXT([2]GASOLINE!$B$5:$B$208, "mmm-yy"), [2]GASOLINE!$IR$5:$IR$208, "Not Found")</f>
        <v>-307.87981043249653</v>
      </c>
      <c r="K2319" cm="1">
        <f t="array" ref="K2319">_xlfn.XLOOKUP(TEXT(A2319, "mmm-yy"), TEXT([2]GASOLINE!$B$5:$B$208, "mmm-yy"), [2]GASOLINE!$IK$5:$IK$208, "Not Found")</f>
        <v>209.93160949159426</v>
      </c>
      <c r="L2319">
        <f t="shared" si="36"/>
        <v>0</v>
      </c>
      <c r="M2319" cm="1">
        <f t="array" ref="M2319">_xlfn.XLOOKUP(TEXT(A2319, "mmm-yy"), TEXT([2]GASOLINE!$B$5:$B$208, "mmm-yy"), [2]GASOLINE!$C$5:$C$208, "Not Found")</f>
        <v>7556.023872244933</v>
      </c>
      <c r="N2319" cm="1">
        <f t="array" ref="N2319">_xlfn.XLOOKUP(TEXT(A2319, "mmm-yy"), TEXT([2]RUNS!$B$5:$B$208, "mmm-yy"), [2]RUNS!$BM$5:$BM$208, "Not Found")</f>
        <v>0.82684054604488388</v>
      </c>
    </row>
    <row r="2320" spans="1:14" x14ac:dyDescent="0.25">
      <c r="A2320" s="1">
        <f>'[1]Global_Spot Prices'!$B3629</f>
        <v>45251</v>
      </c>
      <c r="B2320">
        <f>_xlfn.XLOOKUP(A2320,'[1]Global_Spot Prices'!$B:$B,'[1]Global_Spot Prices'!$BS:$BS)</f>
        <v>7.8999999999999915</v>
      </c>
      <c r="C2320">
        <f>_xlfn.XLOOKUP(A2320,'[1]Global_Spot Prices'!$B:$B,'[1]Global_Spot Prices'!$E:$E)</f>
        <v>83.4</v>
      </c>
      <c r="D2320">
        <f>_xlfn.XLOOKUP(A2320,'[1]Global_Spot Prices'!$B:$B,'[1]Global_Spot Prices'!$D:$D)</f>
        <v>82.2</v>
      </c>
      <c r="E2320">
        <f>_xlfn.XLOOKUP(A2320,'[1]Global_Spot Prices'!$B:$B,'[1]Global_Spot Prices'!$H:$H)</f>
        <v>69.66</v>
      </c>
      <c r="F2320">
        <f>_xlfn.XLOOKUP(A2320,'[1]Global_Spot Prices'!$B:$B,'[1]Global_Spot Prices'!$I:$I)</f>
        <v>91.3</v>
      </c>
      <c r="G2320" cm="1">
        <f t="array" ref="G2320">_xlfn.XLOOKUP(TEXT(A2320, "mmm-yy"), TEXT([2]RUNS!$B$5:$B$208, "mmm-yy"), [2]RUNS!$D$5:$D$208, "Not Found")</f>
        <v>30564.904941040582</v>
      </c>
      <c r="H2320" cm="1">
        <f t="array" ref="H2320">SUMPRODUCT(
    --(TEXT('[3]Global Weekly Stock (EWSuez'!$B$4:$B$2000,"mmm-yy")=TEXT(A2320,"mmm-yy")),
    '[3]Global Weekly Stock (EWSuez'!$E$4:$E$2000)
/
SUMPRODUCT(
    --(TEXT('[3]Global Weekly Stock (EWSuez'!$B$4:$B$2000,"mmm-yy")=TEXT(A2320,"mmm-yy"))
)</f>
        <v>12275.75</v>
      </c>
      <c r="I2320">
        <f>_xlfn.XLOOKUP(A2320,[1]ForwardDeriv!$D:$D,[1]ForwardDeriv!$AJ:$AJ)</f>
        <v>0.80000000000001137</v>
      </c>
      <c r="J2320" cm="1">
        <f t="array" ref="J2320">_xlfn.XLOOKUP(TEXT(A2320, "mmm-yy"), TEXT([2]GASOLINE!$B$5:$B$208, "mmm-yy"), [2]GASOLINE!$IR$5:$IR$208, "Not Found")</f>
        <v>-307.87981043249653</v>
      </c>
      <c r="K2320" cm="1">
        <f t="array" ref="K2320">_xlfn.XLOOKUP(TEXT(A2320, "mmm-yy"), TEXT([2]GASOLINE!$B$5:$B$208, "mmm-yy"), [2]GASOLINE!$IK$5:$IK$208, "Not Found")</f>
        <v>209.93160949159426</v>
      </c>
      <c r="L2320">
        <f t="shared" si="36"/>
        <v>0</v>
      </c>
      <c r="M2320" cm="1">
        <f t="array" ref="M2320">_xlfn.XLOOKUP(TEXT(A2320, "mmm-yy"), TEXT([2]GASOLINE!$B$5:$B$208, "mmm-yy"), [2]GASOLINE!$C$5:$C$208, "Not Found")</f>
        <v>7556.023872244933</v>
      </c>
      <c r="N2320" cm="1">
        <f t="array" ref="N2320">_xlfn.XLOOKUP(TEXT(A2320, "mmm-yy"), TEXT([2]RUNS!$B$5:$B$208, "mmm-yy"), [2]RUNS!$BM$5:$BM$208, "Not Found")</f>
        <v>0.82684054604488388</v>
      </c>
    </row>
    <row r="2321" spans="1:14" x14ac:dyDescent="0.25">
      <c r="A2321" s="1">
        <f>'[1]Global_Spot Prices'!$B3630</f>
        <v>45252</v>
      </c>
      <c r="B2321">
        <f>_xlfn.XLOOKUP(A2321,'[1]Global_Spot Prices'!$B:$B,'[1]Global_Spot Prices'!$BS:$BS)</f>
        <v>7.8699999999999903</v>
      </c>
      <c r="C2321">
        <f>_xlfn.XLOOKUP(A2321,'[1]Global_Spot Prices'!$B:$B,'[1]Global_Spot Prices'!$E:$E)</f>
        <v>84.2</v>
      </c>
      <c r="D2321">
        <f>_xlfn.XLOOKUP(A2321,'[1]Global_Spot Prices'!$B:$B,'[1]Global_Spot Prices'!$D:$D)</f>
        <v>79.48</v>
      </c>
      <c r="E2321">
        <f>_xlfn.XLOOKUP(A2321,'[1]Global_Spot Prices'!$B:$B,'[1]Global_Spot Prices'!$H:$H)</f>
        <v>70.77</v>
      </c>
      <c r="F2321">
        <f>_xlfn.XLOOKUP(A2321,'[1]Global_Spot Prices'!$B:$B,'[1]Global_Spot Prices'!$I:$I)</f>
        <v>92.07</v>
      </c>
      <c r="G2321" cm="1">
        <f t="array" ref="G2321">_xlfn.XLOOKUP(TEXT(A2321, "mmm-yy"), TEXT([2]RUNS!$B$5:$B$208, "mmm-yy"), [2]RUNS!$D$5:$D$208, "Not Found")</f>
        <v>30564.904941040582</v>
      </c>
      <c r="H2321" cm="1">
        <f t="array" ref="H2321">SUMPRODUCT(
    --(TEXT('[3]Global Weekly Stock (EWSuez'!$B$4:$B$2000,"mmm-yy")=TEXT(A2321,"mmm-yy")),
    '[3]Global Weekly Stock (EWSuez'!$E$4:$E$2000)
/
SUMPRODUCT(
    --(TEXT('[3]Global Weekly Stock (EWSuez'!$B$4:$B$2000,"mmm-yy")=TEXT(A2321,"mmm-yy"))
)</f>
        <v>12275.75</v>
      </c>
      <c r="I2321">
        <f>_xlfn.XLOOKUP(A2321,[1]ForwardDeriv!$D:$D,[1]ForwardDeriv!$AJ:$AJ)</f>
        <v>0.82000000000000739</v>
      </c>
      <c r="J2321" cm="1">
        <f t="array" ref="J2321">_xlfn.XLOOKUP(TEXT(A2321, "mmm-yy"), TEXT([2]GASOLINE!$B$5:$B$208, "mmm-yy"), [2]GASOLINE!$IR$5:$IR$208, "Not Found")</f>
        <v>-307.87981043249653</v>
      </c>
      <c r="K2321" cm="1">
        <f t="array" ref="K2321">_xlfn.XLOOKUP(TEXT(A2321, "mmm-yy"), TEXT([2]GASOLINE!$B$5:$B$208, "mmm-yy"), [2]GASOLINE!$IK$5:$IK$208, "Not Found")</f>
        <v>209.93160949159426</v>
      </c>
      <c r="L2321">
        <f t="shared" si="36"/>
        <v>0</v>
      </c>
      <c r="M2321" cm="1">
        <f t="array" ref="M2321">_xlfn.XLOOKUP(TEXT(A2321, "mmm-yy"), TEXT([2]GASOLINE!$B$5:$B$208, "mmm-yy"), [2]GASOLINE!$C$5:$C$208, "Not Found")</f>
        <v>7556.023872244933</v>
      </c>
      <c r="N2321" cm="1">
        <f t="array" ref="N2321">_xlfn.XLOOKUP(TEXT(A2321, "mmm-yy"), TEXT([2]RUNS!$B$5:$B$208, "mmm-yy"), [2]RUNS!$BM$5:$BM$208, "Not Found")</f>
        <v>0.82684054604488388</v>
      </c>
    </row>
    <row r="2322" spans="1:14" x14ac:dyDescent="0.25">
      <c r="A2322" s="1">
        <f>'[1]Global_Spot Prices'!$B3631</f>
        <v>45253</v>
      </c>
      <c r="B2322">
        <f>_xlfn.XLOOKUP(A2322,'[1]Global_Spot Prices'!$B:$B,'[1]Global_Spot Prices'!$BS:$BS)</f>
        <v>9.0300000000000011</v>
      </c>
      <c r="C2322">
        <f>_xlfn.XLOOKUP(A2322,'[1]Global_Spot Prices'!$B:$B,'[1]Global_Spot Prices'!$E:$E)</f>
        <v>82.7</v>
      </c>
      <c r="D2322">
        <f>_xlfn.XLOOKUP(A2322,'[1]Global_Spot Prices'!$B:$B,'[1]Global_Spot Prices'!$D:$D)</f>
        <v>80.95</v>
      </c>
      <c r="E2322">
        <f>_xlfn.XLOOKUP(A2322,'[1]Global_Spot Prices'!$B:$B,'[1]Global_Spot Prices'!$H:$H)</f>
        <v>70.63</v>
      </c>
      <c r="F2322">
        <f>_xlfn.XLOOKUP(A2322,'[1]Global_Spot Prices'!$B:$B,'[1]Global_Spot Prices'!$I:$I)</f>
        <v>91.73</v>
      </c>
      <c r="G2322" cm="1">
        <f t="array" ref="G2322">_xlfn.XLOOKUP(TEXT(A2322, "mmm-yy"), TEXT([2]RUNS!$B$5:$B$208, "mmm-yy"), [2]RUNS!$D$5:$D$208, "Not Found")</f>
        <v>30564.904941040582</v>
      </c>
      <c r="H2322" cm="1">
        <f t="array" ref="H2322">SUMPRODUCT(
    --(TEXT('[3]Global Weekly Stock (EWSuez'!$B$4:$B$2000,"mmm-yy")=TEXT(A2322,"mmm-yy")),
    '[3]Global Weekly Stock (EWSuez'!$E$4:$E$2000)
/
SUMPRODUCT(
    --(TEXT('[3]Global Weekly Stock (EWSuez'!$B$4:$B$2000,"mmm-yy")=TEXT(A2322,"mmm-yy"))
)</f>
        <v>12275.75</v>
      </c>
      <c r="I2322">
        <f>_xlfn.XLOOKUP(A2322,[1]ForwardDeriv!$D:$D,[1]ForwardDeriv!$AJ:$AJ)</f>
        <v>0.81999999999999318</v>
      </c>
      <c r="J2322" cm="1">
        <f t="array" ref="J2322">_xlfn.XLOOKUP(TEXT(A2322, "mmm-yy"), TEXT([2]GASOLINE!$B$5:$B$208, "mmm-yy"), [2]GASOLINE!$IR$5:$IR$208, "Not Found")</f>
        <v>-307.87981043249653</v>
      </c>
      <c r="K2322" cm="1">
        <f t="array" ref="K2322">_xlfn.XLOOKUP(TEXT(A2322, "mmm-yy"), TEXT([2]GASOLINE!$B$5:$B$208, "mmm-yy"), [2]GASOLINE!$IK$5:$IK$208, "Not Found")</f>
        <v>209.93160949159426</v>
      </c>
      <c r="L2322">
        <f t="shared" si="36"/>
        <v>0</v>
      </c>
      <c r="M2322" cm="1">
        <f t="array" ref="M2322">_xlfn.XLOOKUP(TEXT(A2322, "mmm-yy"), TEXT([2]GASOLINE!$B$5:$B$208, "mmm-yy"), [2]GASOLINE!$C$5:$C$208, "Not Found")</f>
        <v>7556.023872244933</v>
      </c>
      <c r="N2322" cm="1">
        <f t="array" ref="N2322">_xlfn.XLOOKUP(TEXT(A2322, "mmm-yy"), TEXT([2]RUNS!$B$5:$B$208, "mmm-yy"), [2]RUNS!$BM$5:$BM$208, "Not Found")</f>
        <v>0.82684054604488388</v>
      </c>
    </row>
    <row r="2323" spans="1:14" x14ac:dyDescent="0.25">
      <c r="A2323" s="1">
        <f>'[1]Global_Spot Prices'!$B3632</f>
        <v>45254</v>
      </c>
      <c r="B2323">
        <f ca="1">_xlfn.XLOOKUP(A2323,'[1]Global_Spot Prices'!$B:$B,'[1]Global_Spot Prices'!$BS:$BS)</f>
        <v>8.980000000000004</v>
      </c>
      <c r="C2323">
        <f>_xlfn.XLOOKUP(A2323,'[1]Global_Spot Prices'!$B:$B,'[1]Global_Spot Prices'!$E:$E)</f>
        <v>83.06</v>
      </c>
      <c r="D2323">
        <f>_xlfn.XLOOKUP(A2323,'[1]Global_Spot Prices'!$B:$B,'[1]Global_Spot Prices'!$D:$D)</f>
        <v>81.91</v>
      </c>
      <c r="E2323">
        <f>_xlfn.XLOOKUP(A2323,'[1]Global_Spot Prices'!$B:$B,'[1]Global_Spot Prices'!$H:$H)</f>
        <v>70.66</v>
      </c>
      <c r="F2323">
        <f>_xlfn.XLOOKUP(A2323,'[1]Global_Spot Prices'!$B:$B,'[1]Global_Spot Prices'!$I:$I)</f>
        <v>92.04</v>
      </c>
      <c r="G2323" cm="1">
        <f t="array" ref="G2323">_xlfn.XLOOKUP(TEXT(A2323, "mmm-yy"), TEXT([2]RUNS!$B$5:$B$208, "mmm-yy"), [2]RUNS!$D$5:$D$208, "Not Found")</f>
        <v>30564.904941040582</v>
      </c>
      <c r="H2323" cm="1">
        <f t="array" ref="H2323">SUMPRODUCT(
    --(TEXT('[3]Global Weekly Stock (EWSuez'!$B$4:$B$2000,"mmm-yy")=TEXT(A2323,"mmm-yy")),
    '[3]Global Weekly Stock (EWSuez'!$E$4:$E$2000)
/
SUMPRODUCT(
    --(TEXT('[3]Global Weekly Stock (EWSuez'!$B$4:$B$2000,"mmm-yy")=TEXT(A2323,"mmm-yy"))
)</f>
        <v>12275.75</v>
      </c>
      <c r="I2323">
        <f>_xlfn.XLOOKUP(A2323,[1]ForwardDeriv!$D:$D,[1]ForwardDeriv!$AJ:$AJ)</f>
        <v>0.70000000000000284</v>
      </c>
      <c r="J2323" cm="1">
        <f t="array" ref="J2323">_xlfn.XLOOKUP(TEXT(A2323, "mmm-yy"), TEXT([2]GASOLINE!$B$5:$B$208, "mmm-yy"), [2]GASOLINE!$IR$5:$IR$208, "Not Found")</f>
        <v>-307.87981043249653</v>
      </c>
      <c r="K2323" cm="1">
        <f t="array" ref="K2323">_xlfn.XLOOKUP(TEXT(A2323, "mmm-yy"), TEXT([2]GASOLINE!$B$5:$B$208, "mmm-yy"), [2]GASOLINE!$IK$5:$IK$208, "Not Found")</f>
        <v>209.93160949159426</v>
      </c>
      <c r="L2323">
        <f t="shared" si="36"/>
        <v>0</v>
      </c>
      <c r="M2323" cm="1">
        <f t="array" ref="M2323">_xlfn.XLOOKUP(TEXT(A2323, "mmm-yy"), TEXT([2]GASOLINE!$B$5:$B$208, "mmm-yy"), [2]GASOLINE!$C$5:$C$208, "Not Found")</f>
        <v>7556.023872244933</v>
      </c>
      <c r="N2323" cm="1">
        <f t="array" ref="N2323">_xlfn.XLOOKUP(TEXT(A2323, "mmm-yy"), TEXT([2]RUNS!$B$5:$B$208, "mmm-yy"), [2]RUNS!$BM$5:$BM$208, "Not Found")</f>
        <v>0.82684054604488388</v>
      </c>
    </row>
    <row r="2324" spans="1:14" x14ac:dyDescent="0.25">
      <c r="A2324" s="1">
        <f>'[1]Global_Spot Prices'!$B3633</f>
        <v>45257</v>
      </c>
      <c r="B2324">
        <f>_xlfn.XLOOKUP(A2324,'[1]Global_Spot Prices'!$B:$B,'[1]Global_Spot Prices'!$BS:$BS)</f>
        <v>9.11</v>
      </c>
      <c r="C2324">
        <f>_xlfn.XLOOKUP(A2324,'[1]Global_Spot Prices'!$B:$B,'[1]Global_Spot Prices'!$E:$E)</f>
        <v>81.5</v>
      </c>
      <c r="D2324">
        <f>_xlfn.XLOOKUP(A2324,'[1]Global_Spot Prices'!$B:$B,'[1]Global_Spot Prices'!$D:$D)</f>
        <v>80.135000000000005</v>
      </c>
      <c r="E2324">
        <f>_xlfn.XLOOKUP(A2324,'[1]Global_Spot Prices'!$B:$B,'[1]Global_Spot Prices'!$H:$H)</f>
        <v>69.48</v>
      </c>
      <c r="F2324">
        <f>_xlfn.XLOOKUP(A2324,'[1]Global_Spot Prices'!$B:$B,'[1]Global_Spot Prices'!$I:$I)</f>
        <v>90.61</v>
      </c>
      <c r="G2324" cm="1">
        <f t="array" ref="G2324">_xlfn.XLOOKUP(TEXT(A2324, "mmm-yy"), TEXT([2]RUNS!$B$5:$B$208, "mmm-yy"), [2]RUNS!$D$5:$D$208, "Not Found")</f>
        <v>30564.904941040582</v>
      </c>
      <c r="H2324" cm="1">
        <f t="array" ref="H2324">SUMPRODUCT(
    --(TEXT('[3]Global Weekly Stock (EWSuez'!$B$4:$B$2000,"mmm-yy")=TEXT(A2324,"mmm-yy")),
    '[3]Global Weekly Stock (EWSuez'!$E$4:$E$2000)
/
SUMPRODUCT(
    --(TEXT('[3]Global Weekly Stock (EWSuez'!$B$4:$B$2000,"mmm-yy")=TEXT(A2324,"mmm-yy"))
)</f>
        <v>12275.75</v>
      </c>
      <c r="I2324">
        <f>_xlfn.XLOOKUP(A2324,[1]ForwardDeriv!$D:$D,[1]ForwardDeriv!$AJ:$AJ)</f>
        <v>0.79999999999999716</v>
      </c>
      <c r="J2324" cm="1">
        <f t="array" ref="J2324">_xlfn.XLOOKUP(TEXT(A2324, "mmm-yy"), TEXT([2]GASOLINE!$B$5:$B$208, "mmm-yy"), [2]GASOLINE!$IR$5:$IR$208, "Not Found")</f>
        <v>-307.87981043249653</v>
      </c>
      <c r="K2324" cm="1">
        <f t="array" ref="K2324">_xlfn.XLOOKUP(TEXT(A2324, "mmm-yy"), TEXT([2]GASOLINE!$B$5:$B$208, "mmm-yy"), [2]GASOLINE!$IK$5:$IK$208, "Not Found")</f>
        <v>209.93160949159426</v>
      </c>
      <c r="L2324">
        <f t="shared" si="36"/>
        <v>0</v>
      </c>
      <c r="M2324" cm="1">
        <f t="array" ref="M2324">_xlfn.XLOOKUP(TEXT(A2324, "mmm-yy"), TEXT([2]GASOLINE!$B$5:$B$208, "mmm-yy"), [2]GASOLINE!$C$5:$C$208, "Not Found")</f>
        <v>7556.023872244933</v>
      </c>
      <c r="N2324" cm="1">
        <f t="array" ref="N2324">_xlfn.XLOOKUP(TEXT(A2324, "mmm-yy"), TEXT([2]RUNS!$B$5:$B$208, "mmm-yy"), [2]RUNS!$BM$5:$BM$208, "Not Found")</f>
        <v>0.82684054604488388</v>
      </c>
    </row>
    <row r="2325" spans="1:14" x14ac:dyDescent="0.25">
      <c r="A2325" s="1">
        <f>'[1]Global_Spot Prices'!$B3634</f>
        <v>45258</v>
      </c>
      <c r="B2325">
        <f>_xlfn.XLOOKUP(A2325,'[1]Global_Spot Prices'!$B:$B,'[1]Global_Spot Prices'!$BS:$BS)</f>
        <v>9.9450000000000074</v>
      </c>
      <c r="C2325">
        <f>_xlfn.XLOOKUP(A2325,'[1]Global_Spot Prices'!$B:$B,'[1]Global_Spot Prices'!$E:$E)</f>
        <v>82.144999999999996</v>
      </c>
      <c r="D2325">
        <f>_xlfn.XLOOKUP(A2325,'[1]Global_Spot Prices'!$B:$B,'[1]Global_Spot Prices'!$D:$D)</f>
        <v>81.99</v>
      </c>
      <c r="E2325">
        <f>_xlfn.XLOOKUP(A2325,'[1]Global_Spot Prices'!$B:$B,'[1]Global_Spot Prices'!$H:$H)</f>
        <v>69.709999999999994</v>
      </c>
      <c r="F2325">
        <f>_xlfn.XLOOKUP(A2325,'[1]Global_Spot Prices'!$B:$B,'[1]Global_Spot Prices'!$I:$I)</f>
        <v>92.09</v>
      </c>
      <c r="G2325" cm="1">
        <f t="array" ref="G2325">_xlfn.XLOOKUP(TEXT(A2325, "mmm-yy"), TEXT([2]RUNS!$B$5:$B$208, "mmm-yy"), [2]RUNS!$D$5:$D$208, "Not Found")</f>
        <v>30564.904941040582</v>
      </c>
      <c r="H2325" cm="1">
        <f t="array" ref="H2325">SUMPRODUCT(
    --(TEXT('[3]Global Weekly Stock (EWSuez'!$B$4:$B$2000,"mmm-yy")=TEXT(A2325,"mmm-yy")),
    '[3]Global Weekly Stock (EWSuez'!$E$4:$E$2000)
/
SUMPRODUCT(
    --(TEXT('[3]Global Weekly Stock (EWSuez'!$B$4:$B$2000,"mmm-yy")=TEXT(A2325,"mmm-yy"))
)</f>
        <v>12275.75</v>
      </c>
      <c r="I2325">
        <f>_xlfn.XLOOKUP(A2325,[1]ForwardDeriv!$D:$D,[1]ForwardDeriv!$AJ:$AJ)</f>
        <v>0.96999999999999886</v>
      </c>
      <c r="J2325" cm="1">
        <f t="array" ref="J2325">_xlfn.XLOOKUP(TEXT(A2325, "mmm-yy"), TEXT([2]GASOLINE!$B$5:$B$208, "mmm-yy"), [2]GASOLINE!$IR$5:$IR$208, "Not Found")</f>
        <v>-307.87981043249653</v>
      </c>
      <c r="K2325" cm="1">
        <f t="array" ref="K2325">_xlfn.XLOOKUP(TEXT(A2325, "mmm-yy"), TEXT([2]GASOLINE!$B$5:$B$208, "mmm-yy"), [2]GASOLINE!$IK$5:$IK$208, "Not Found")</f>
        <v>209.93160949159426</v>
      </c>
      <c r="L2325">
        <f t="shared" si="36"/>
        <v>0</v>
      </c>
      <c r="M2325" cm="1">
        <f t="array" ref="M2325">_xlfn.XLOOKUP(TEXT(A2325, "mmm-yy"), TEXT([2]GASOLINE!$B$5:$B$208, "mmm-yy"), [2]GASOLINE!$C$5:$C$208, "Not Found")</f>
        <v>7556.023872244933</v>
      </c>
      <c r="N2325" cm="1">
        <f t="array" ref="N2325">_xlfn.XLOOKUP(TEXT(A2325, "mmm-yy"), TEXT([2]RUNS!$B$5:$B$208, "mmm-yy"), [2]RUNS!$BM$5:$BM$208, "Not Found")</f>
        <v>0.82684054604488388</v>
      </c>
    </row>
    <row r="2326" spans="1:14" x14ac:dyDescent="0.25">
      <c r="A2326" s="1">
        <f>'[1]Global_Spot Prices'!$B3635</f>
        <v>45259</v>
      </c>
      <c r="B2326">
        <f>_xlfn.XLOOKUP(A2326,'[1]Global_Spot Prices'!$B:$B,'[1]Global_Spot Prices'!$BS:$BS)</f>
        <v>9.3100000000000023</v>
      </c>
      <c r="C2326">
        <f>_xlfn.XLOOKUP(A2326,'[1]Global_Spot Prices'!$B:$B,'[1]Global_Spot Prices'!$E:$E)</f>
        <v>83</v>
      </c>
      <c r="D2326">
        <f>_xlfn.XLOOKUP(A2326,'[1]Global_Spot Prices'!$B:$B,'[1]Global_Spot Prices'!$D:$D)</f>
        <v>82.28</v>
      </c>
      <c r="E2326">
        <f>_xlfn.XLOOKUP(A2326,'[1]Global_Spot Prices'!$B:$B,'[1]Global_Spot Prices'!$H:$H)</f>
        <v>71.42</v>
      </c>
      <c r="F2326">
        <f>_xlfn.XLOOKUP(A2326,'[1]Global_Spot Prices'!$B:$B,'[1]Global_Spot Prices'!$I:$I)</f>
        <v>92.31</v>
      </c>
      <c r="G2326" cm="1">
        <f t="array" ref="G2326">_xlfn.XLOOKUP(TEXT(A2326, "mmm-yy"), TEXT([2]RUNS!$B$5:$B$208, "mmm-yy"), [2]RUNS!$D$5:$D$208, "Not Found")</f>
        <v>30564.904941040582</v>
      </c>
      <c r="H2326" cm="1">
        <f t="array" ref="H2326">SUMPRODUCT(
    --(TEXT('[3]Global Weekly Stock (EWSuez'!$B$4:$B$2000,"mmm-yy")=TEXT(A2326,"mmm-yy")),
    '[3]Global Weekly Stock (EWSuez'!$E$4:$E$2000)
/
SUMPRODUCT(
    --(TEXT('[3]Global Weekly Stock (EWSuez'!$B$4:$B$2000,"mmm-yy")=TEXT(A2326,"mmm-yy"))
)</f>
        <v>12275.75</v>
      </c>
      <c r="I2326">
        <f>_xlfn.XLOOKUP(A2326,[1]ForwardDeriv!$D:$D,[1]ForwardDeriv!$AJ:$AJ)</f>
        <v>0.87999999999999545</v>
      </c>
      <c r="J2326" cm="1">
        <f t="array" ref="J2326">_xlfn.XLOOKUP(TEXT(A2326, "mmm-yy"), TEXT([2]GASOLINE!$B$5:$B$208, "mmm-yy"), [2]GASOLINE!$IR$5:$IR$208, "Not Found")</f>
        <v>-307.87981043249653</v>
      </c>
      <c r="K2326" cm="1">
        <f t="array" ref="K2326">_xlfn.XLOOKUP(TEXT(A2326, "mmm-yy"), TEXT([2]GASOLINE!$B$5:$B$208, "mmm-yy"), [2]GASOLINE!$IK$5:$IK$208, "Not Found")</f>
        <v>209.93160949159426</v>
      </c>
      <c r="L2326">
        <f t="shared" si="36"/>
        <v>0</v>
      </c>
      <c r="M2326" cm="1">
        <f t="array" ref="M2326">_xlfn.XLOOKUP(TEXT(A2326, "mmm-yy"), TEXT([2]GASOLINE!$B$5:$B$208, "mmm-yy"), [2]GASOLINE!$C$5:$C$208, "Not Found")</f>
        <v>7556.023872244933</v>
      </c>
      <c r="N2326" cm="1">
        <f t="array" ref="N2326">_xlfn.XLOOKUP(TEXT(A2326, "mmm-yy"), TEXT([2]RUNS!$B$5:$B$208, "mmm-yy"), [2]RUNS!$BM$5:$BM$208, "Not Found")</f>
        <v>0.82684054604488388</v>
      </c>
    </row>
    <row r="2327" spans="1:14" x14ac:dyDescent="0.25">
      <c r="A2327" s="1">
        <f>'[1]Global_Spot Prices'!$B3636</f>
        <v>45260</v>
      </c>
      <c r="B2327">
        <f>_xlfn.XLOOKUP(A2327,'[1]Global_Spot Prices'!$B:$B,'[1]Global_Spot Prices'!$BS:$BS)</f>
        <v>8.4699999999999989</v>
      </c>
      <c r="C2327">
        <f>_xlfn.XLOOKUP(A2327,'[1]Global_Spot Prices'!$B:$B,'[1]Global_Spot Prices'!$E:$E)</f>
        <v>85.39</v>
      </c>
      <c r="D2327">
        <f>_xlfn.XLOOKUP(A2327,'[1]Global_Spot Prices'!$B:$B,'[1]Global_Spot Prices'!$D:$D)</f>
        <v>80.599999999999994</v>
      </c>
      <c r="E2327">
        <f>_xlfn.XLOOKUP(A2327,'[1]Global_Spot Prices'!$B:$B,'[1]Global_Spot Prices'!$H:$H)</f>
        <v>72.94</v>
      </c>
      <c r="F2327">
        <f>_xlfn.XLOOKUP(A2327,'[1]Global_Spot Prices'!$B:$B,'[1]Global_Spot Prices'!$I:$I)</f>
        <v>93.86</v>
      </c>
      <c r="G2327" cm="1">
        <f t="array" ref="G2327">_xlfn.XLOOKUP(TEXT(A2327, "mmm-yy"), TEXT([2]RUNS!$B$5:$B$208, "mmm-yy"), [2]RUNS!$D$5:$D$208, "Not Found")</f>
        <v>30564.904941040582</v>
      </c>
      <c r="H2327" cm="1">
        <f t="array" ref="H2327">SUMPRODUCT(
    --(TEXT('[3]Global Weekly Stock (EWSuez'!$B$4:$B$2000,"mmm-yy")=TEXT(A2327,"mmm-yy")),
    '[3]Global Weekly Stock (EWSuez'!$E$4:$E$2000)
/
SUMPRODUCT(
    --(TEXT('[3]Global Weekly Stock (EWSuez'!$B$4:$B$2000,"mmm-yy")=TEXT(A2327,"mmm-yy"))
)</f>
        <v>12275.75</v>
      </c>
      <c r="I2327">
        <f>_xlfn.XLOOKUP(A2327,[1]ForwardDeriv!$D:$D,[1]ForwardDeriv!$AJ:$AJ)</f>
        <v>1.1700000000000017</v>
      </c>
      <c r="J2327" cm="1">
        <f t="array" ref="J2327">_xlfn.XLOOKUP(TEXT(A2327, "mmm-yy"), TEXT([2]GASOLINE!$B$5:$B$208, "mmm-yy"), [2]GASOLINE!$IR$5:$IR$208, "Not Found")</f>
        <v>-307.87981043249653</v>
      </c>
      <c r="K2327" cm="1">
        <f t="array" ref="K2327">_xlfn.XLOOKUP(TEXT(A2327, "mmm-yy"), TEXT([2]GASOLINE!$B$5:$B$208, "mmm-yy"), [2]GASOLINE!$IK$5:$IK$208, "Not Found")</f>
        <v>209.93160949159426</v>
      </c>
      <c r="L2327">
        <f t="shared" si="36"/>
        <v>0</v>
      </c>
      <c r="M2327" cm="1">
        <f t="array" ref="M2327">_xlfn.XLOOKUP(TEXT(A2327, "mmm-yy"), TEXT([2]GASOLINE!$B$5:$B$208, "mmm-yy"), [2]GASOLINE!$C$5:$C$208, "Not Found")</f>
        <v>7556.023872244933</v>
      </c>
      <c r="N2327" cm="1">
        <f t="array" ref="N2327">_xlfn.XLOOKUP(TEXT(A2327, "mmm-yy"), TEXT([2]RUNS!$B$5:$B$208, "mmm-yy"), [2]RUNS!$BM$5:$BM$208, "Not Found")</f>
        <v>0.82684054604488388</v>
      </c>
    </row>
    <row r="2328" spans="1:14" x14ac:dyDescent="0.25">
      <c r="A2328" s="1">
        <f>'[1]Global_Spot Prices'!$B3637</f>
        <v>45261</v>
      </c>
      <c r="B2328">
        <f>_xlfn.XLOOKUP(A2328,'[1]Global_Spot Prices'!$B:$B,'[1]Global_Spot Prices'!$BS:$BS)</f>
        <v>8.1200000000000045</v>
      </c>
      <c r="C2328">
        <f>_xlfn.XLOOKUP(A2328,'[1]Global_Spot Prices'!$B:$B,'[1]Global_Spot Prices'!$E:$E)</f>
        <v>81.3</v>
      </c>
      <c r="D2328">
        <f>_xlfn.XLOOKUP(A2328,'[1]Global_Spot Prices'!$B:$B,'[1]Global_Spot Prices'!$D:$D)</f>
        <v>81.099999999999994</v>
      </c>
      <c r="E2328">
        <f>_xlfn.XLOOKUP(A2328,'[1]Global_Spot Prices'!$B:$B,'[1]Global_Spot Prices'!$H:$H)</f>
        <v>72.55</v>
      </c>
      <c r="F2328">
        <f>_xlfn.XLOOKUP(A2328,'[1]Global_Spot Prices'!$B:$B,'[1]Global_Spot Prices'!$I:$I)</f>
        <v>89.42</v>
      </c>
      <c r="G2328" cm="1">
        <f t="array" ref="G2328">_xlfn.XLOOKUP(TEXT(A2328, "mmm-yy"), TEXT([2]RUNS!$B$5:$B$208, "mmm-yy"), [2]RUNS!$D$5:$D$208, "Not Found")</f>
        <v>30594.789873968286</v>
      </c>
      <c r="H2328" cm="1">
        <f t="array" ref="H2328">SUMPRODUCT(
    --(TEXT('[3]Global Weekly Stock (EWSuez'!$B$4:$B$2000,"mmm-yy")=TEXT(A2328,"mmm-yy")),
    '[3]Global Weekly Stock (EWSuez'!$E$4:$E$2000)
/
SUMPRODUCT(
    --(TEXT('[3]Global Weekly Stock (EWSuez'!$B$4:$B$2000,"mmm-yy")=TEXT(A2328,"mmm-yy"))
)</f>
        <v>12638</v>
      </c>
      <c r="I2328">
        <f>_xlfn.XLOOKUP(A2328,[1]ForwardDeriv!$D:$D,[1]ForwardDeriv!$AJ:$AJ)</f>
        <v>0.45000000000000284</v>
      </c>
      <c r="J2328" cm="1">
        <f t="array" ref="J2328">_xlfn.XLOOKUP(TEXT(A2328, "mmm-yy"), TEXT([2]GASOLINE!$B$5:$B$208, "mmm-yy"), [2]GASOLINE!$IR$5:$IR$208, "Not Found")</f>
        <v>-166.17412808397947</v>
      </c>
      <c r="K2328" cm="1">
        <f t="array" ref="K2328">_xlfn.XLOOKUP(TEXT(A2328, "mmm-yy"), TEXT([2]GASOLINE!$B$5:$B$208, "mmm-yy"), [2]GASOLINE!$IK$5:$IK$208, "Not Found")</f>
        <v>211.19880283273517</v>
      </c>
      <c r="L2328">
        <f t="shared" si="36"/>
        <v>0</v>
      </c>
      <c r="M2328" cm="1">
        <f t="array" ref="M2328">_xlfn.XLOOKUP(TEXT(A2328, "mmm-yy"), TEXT([2]GASOLINE!$B$5:$B$208, "mmm-yy"), [2]GASOLINE!$C$5:$C$208, "Not Found")</f>
        <v>7512.4057393745679</v>
      </c>
      <c r="N2328" cm="1">
        <f t="array" ref="N2328">_xlfn.XLOOKUP(TEXT(A2328, "mmm-yy"), TEXT([2]RUNS!$B$5:$B$208, "mmm-yy"), [2]RUNS!$BM$5:$BM$208, "Not Found")</f>
        <v>0.82921923232576733</v>
      </c>
    </row>
    <row r="2329" spans="1:14" x14ac:dyDescent="0.25">
      <c r="A2329" s="1">
        <f>'[1]Global_Spot Prices'!$B3638</f>
        <v>45264</v>
      </c>
      <c r="B2329">
        <f>_xlfn.XLOOKUP(A2329,'[1]Global_Spot Prices'!$B:$B,'[1]Global_Spot Prices'!$BS:$BS)</f>
        <v>8.5499999999999972</v>
      </c>
      <c r="C2329">
        <f>_xlfn.XLOOKUP(A2329,'[1]Global_Spot Prices'!$B:$B,'[1]Global_Spot Prices'!$E:$E)</f>
        <v>78.040000000000006</v>
      </c>
      <c r="D2329">
        <f>_xlfn.XLOOKUP(A2329,'[1]Global_Spot Prices'!$B:$B,'[1]Global_Spot Prices'!$D:$D)</f>
        <v>78.25</v>
      </c>
      <c r="E2329">
        <f>_xlfn.XLOOKUP(A2329,'[1]Global_Spot Prices'!$B:$B,'[1]Global_Spot Prices'!$H:$H)</f>
        <v>70.900000000000006</v>
      </c>
      <c r="F2329">
        <f>_xlfn.XLOOKUP(A2329,'[1]Global_Spot Prices'!$B:$B,'[1]Global_Spot Prices'!$I:$I)</f>
        <v>86.59</v>
      </c>
      <c r="G2329" cm="1">
        <f t="array" ref="G2329">_xlfn.XLOOKUP(TEXT(A2329, "mmm-yy"), TEXT([2]RUNS!$B$5:$B$208, "mmm-yy"), [2]RUNS!$D$5:$D$208, "Not Found")</f>
        <v>30594.789873968286</v>
      </c>
      <c r="H2329" cm="1">
        <f t="array" ref="H2329">SUMPRODUCT(
    --(TEXT('[3]Global Weekly Stock (EWSuez'!$B$4:$B$2000,"mmm-yy")=TEXT(A2329,"mmm-yy")),
    '[3]Global Weekly Stock (EWSuez'!$E$4:$E$2000)
/
SUMPRODUCT(
    --(TEXT('[3]Global Weekly Stock (EWSuez'!$B$4:$B$2000,"mmm-yy")=TEXT(A2329,"mmm-yy"))
)</f>
        <v>12638</v>
      </c>
      <c r="I2329">
        <f>_xlfn.XLOOKUP(A2329,[1]ForwardDeriv!$D:$D,[1]ForwardDeriv!$AJ:$AJ)</f>
        <v>0.39000000000000057</v>
      </c>
      <c r="J2329" cm="1">
        <f t="array" ref="J2329">_xlfn.XLOOKUP(TEXT(A2329, "mmm-yy"), TEXT([2]GASOLINE!$B$5:$B$208, "mmm-yy"), [2]GASOLINE!$IR$5:$IR$208, "Not Found")</f>
        <v>-166.17412808397947</v>
      </c>
      <c r="K2329" cm="1">
        <f t="array" ref="K2329">_xlfn.XLOOKUP(TEXT(A2329, "mmm-yy"), TEXT([2]GASOLINE!$B$5:$B$208, "mmm-yy"), [2]GASOLINE!$IK$5:$IK$208, "Not Found")</f>
        <v>211.19880283273517</v>
      </c>
      <c r="L2329">
        <f t="shared" si="36"/>
        <v>0</v>
      </c>
      <c r="M2329" cm="1">
        <f t="array" ref="M2329">_xlfn.XLOOKUP(TEXT(A2329, "mmm-yy"), TEXT([2]GASOLINE!$B$5:$B$208, "mmm-yy"), [2]GASOLINE!$C$5:$C$208, "Not Found")</f>
        <v>7512.4057393745679</v>
      </c>
      <c r="N2329" cm="1">
        <f t="array" ref="N2329">_xlfn.XLOOKUP(TEXT(A2329, "mmm-yy"), TEXT([2]RUNS!$B$5:$B$208, "mmm-yy"), [2]RUNS!$BM$5:$BM$208, "Not Found")</f>
        <v>0.82921923232576733</v>
      </c>
    </row>
    <row r="2330" spans="1:14" x14ac:dyDescent="0.25">
      <c r="A2330" s="1">
        <f>'[1]Global_Spot Prices'!$B3639</f>
        <v>45265</v>
      </c>
      <c r="B2330">
        <f>_xlfn.XLOOKUP(A2330,'[1]Global_Spot Prices'!$B:$B,'[1]Global_Spot Prices'!$BS:$BS)</f>
        <v>9.6999999999999886</v>
      </c>
      <c r="C2330">
        <f>_xlfn.XLOOKUP(A2330,'[1]Global_Spot Prices'!$B:$B,'[1]Global_Spot Prices'!$E:$E)</f>
        <v>78.540000000000006</v>
      </c>
      <c r="D2330">
        <f>_xlfn.XLOOKUP(A2330,'[1]Global_Spot Prices'!$B:$B,'[1]Global_Spot Prices'!$D:$D)</f>
        <v>78.125</v>
      </c>
      <c r="E2330">
        <f>_xlfn.XLOOKUP(A2330,'[1]Global_Spot Prices'!$B:$B,'[1]Global_Spot Prices'!$H:$H)</f>
        <v>71.400000000000006</v>
      </c>
      <c r="F2330">
        <f>_xlfn.XLOOKUP(A2330,'[1]Global_Spot Prices'!$B:$B,'[1]Global_Spot Prices'!$I:$I)</f>
        <v>88.24</v>
      </c>
      <c r="G2330" cm="1">
        <f t="array" ref="G2330">_xlfn.XLOOKUP(TEXT(A2330, "mmm-yy"), TEXT([2]RUNS!$B$5:$B$208, "mmm-yy"), [2]RUNS!$D$5:$D$208, "Not Found")</f>
        <v>30594.789873968286</v>
      </c>
      <c r="H2330" cm="1">
        <f t="array" ref="H2330">SUMPRODUCT(
    --(TEXT('[3]Global Weekly Stock (EWSuez'!$B$4:$B$2000,"mmm-yy")=TEXT(A2330,"mmm-yy")),
    '[3]Global Weekly Stock (EWSuez'!$E$4:$E$2000)
/
SUMPRODUCT(
    --(TEXT('[3]Global Weekly Stock (EWSuez'!$B$4:$B$2000,"mmm-yy")=TEXT(A2330,"mmm-yy"))
)</f>
        <v>12638</v>
      </c>
      <c r="I2330">
        <f>_xlfn.XLOOKUP(A2330,[1]ForwardDeriv!$D:$D,[1]ForwardDeriv!$AJ:$AJ)</f>
        <v>0.46999999999999886</v>
      </c>
      <c r="J2330" cm="1">
        <f t="array" ref="J2330">_xlfn.XLOOKUP(TEXT(A2330, "mmm-yy"), TEXT([2]GASOLINE!$B$5:$B$208, "mmm-yy"), [2]GASOLINE!$IR$5:$IR$208, "Not Found")</f>
        <v>-166.17412808397947</v>
      </c>
      <c r="K2330" cm="1">
        <f t="array" ref="K2330">_xlfn.XLOOKUP(TEXT(A2330, "mmm-yy"), TEXT([2]GASOLINE!$B$5:$B$208, "mmm-yy"), [2]GASOLINE!$IK$5:$IK$208, "Not Found")</f>
        <v>211.19880283273517</v>
      </c>
      <c r="L2330">
        <f t="shared" si="36"/>
        <v>0</v>
      </c>
      <c r="M2330" cm="1">
        <f t="array" ref="M2330">_xlfn.XLOOKUP(TEXT(A2330, "mmm-yy"), TEXT([2]GASOLINE!$B$5:$B$208, "mmm-yy"), [2]GASOLINE!$C$5:$C$208, "Not Found")</f>
        <v>7512.4057393745679</v>
      </c>
      <c r="N2330" cm="1">
        <f t="array" ref="N2330">_xlfn.XLOOKUP(TEXT(A2330, "mmm-yy"), TEXT([2]RUNS!$B$5:$B$208, "mmm-yy"), [2]RUNS!$BM$5:$BM$208, "Not Found")</f>
        <v>0.82921923232576733</v>
      </c>
    </row>
    <row r="2331" spans="1:14" x14ac:dyDescent="0.25">
      <c r="A2331" s="1">
        <f>'[1]Global_Spot Prices'!$B3640</f>
        <v>45266</v>
      </c>
      <c r="B2331">
        <f>_xlfn.XLOOKUP(A2331,'[1]Global_Spot Prices'!$B:$B,'[1]Global_Spot Prices'!$BS:$BS)</f>
        <v>9.5999999999999943</v>
      </c>
      <c r="C2331">
        <f>_xlfn.XLOOKUP(A2331,'[1]Global_Spot Prices'!$B:$B,'[1]Global_Spot Prices'!$E:$E)</f>
        <v>77.540000000000006</v>
      </c>
      <c r="D2331">
        <f>_xlfn.XLOOKUP(A2331,'[1]Global_Spot Prices'!$B:$B,'[1]Global_Spot Prices'!$D:$D)</f>
        <v>74.66</v>
      </c>
      <c r="E2331">
        <f>_xlfn.XLOOKUP(A2331,'[1]Global_Spot Prices'!$B:$B,'[1]Global_Spot Prices'!$H:$H)</f>
        <v>70.239999999999995</v>
      </c>
      <c r="F2331">
        <f>_xlfn.XLOOKUP(A2331,'[1]Global_Spot Prices'!$B:$B,'[1]Global_Spot Prices'!$I:$I)</f>
        <v>87.14</v>
      </c>
      <c r="G2331" cm="1">
        <f t="array" ref="G2331">_xlfn.XLOOKUP(TEXT(A2331, "mmm-yy"), TEXT([2]RUNS!$B$5:$B$208, "mmm-yy"), [2]RUNS!$D$5:$D$208, "Not Found")</f>
        <v>30594.789873968286</v>
      </c>
      <c r="H2331" cm="1">
        <f t="array" ref="H2331">SUMPRODUCT(
    --(TEXT('[3]Global Weekly Stock (EWSuez'!$B$4:$B$2000,"mmm-yy")=TEXT(A2331,"mmm-yy")),
    '[3]Global Weekly Stock (EWSuez'!$E$4:$E$2000)
/
SUMPRODUCT(
    --(TEXT('[3]Global Weekly Stock (EWSuez'!$B$4:$B$2000,"mmm-yy")=TEXT(A2331,"mmm-yy"))
)</f>
        <v>12638</v>
      </c>
      <c r="I2331">
        <f>_xlfn.XLOOKUP(A2331,[1]ForwardDeriv!$D:$D,[1]ForwardDeriv!$AJ:$AJ)</f>
        <v>0.37999999999999545</v>
      </c>
      <c r="J2331" cm="1">
        <f t="array" ref="J2331">_xlfn.XLOOKUP(TEXT(A2331, "mmm-yy"), TEXT([2]GASOLINE!$B$5:$B$208, "mmm-yy"), [2]GASOLINE!$IR$5:$IR$208, "Not Found")</f>
        <v>-166.17412808397947</v>
      </c>
      <c r="K2331" cm="1">
        <f t="array" ref="K2331">_xlfn.XLOOKUP(TEXT(A2331, "mmm-yy"), TEXT([2]GASOLINE!$B$5:$B$208, "mmm-yy"), [2]GASOLINE!$IK$5:$IK$208, "Not Found")</f>
        <v>211.19880283273517</v>
      </c>
      <c r="L2331">
        <f t="shared" si="36"/>
        <v>0</v>
      </c>
      <c r="M2331" cm="1">
        <f t="array" ref="M2331">_xlfn.XLOOKUP(TEXT(A2331, "mmm-yy"), TEXT([2]GASOLINE!$B$5:$B$208, "mmm-yy"), [2]GASOLINE!$C$5:$C$208, "Not Found")</f>
        <v>7512.4057393745679</v>
      </c>
      <c r="N2331" cm="1">
        <f t="array" ref="N2331">_xlfn.XLOOKUP(TEXT(A2331, "mmm-yy"), TEXT([2]RUNS!$B$5:$B$208, "mmm-yy"), [2]RUNS!$BM$5:$BM$208, "Not Found")</f>
        <v>0.82921923232576733</v>
      </c>
    </row>
    <row r="2332" spans="1:14" x14ac:dyDescent="0.25">
      <c r="A2332" s="1">
        <f>'[1]Global_Spot Prices'!$B3641</f>
        <v>45267</v>
      </c>
      <c r="B2332">
        <f>_xlfn.XLOOKUP(A2332,'[1]Global_Spot Prices'!$B:$B,'[1]Global_Spot Prices'!$BS:$BS)</f>
        <v>9.5899999999999892</v>
      </c>
      <c r="C2332">
        <f ca="1">_xlfn.XLOOKUP(A2332,'[1]Global_Spot Prices'!$B:$B,'[1]Global_Spot Prices'!$E:$E)</f>
        <v>75.010000000000005</v>
      </c>
      <c r="D2332">
        <f>_xlfn.XLOOKUP(A2332,'[1]Global_Spot Prices'!$B:$B,'[1]Global_Spot Prices'!$D:$D)</f>
        <v>74.295000000000002</v>
      </c>
      <c r="E2332">
        <f>_xlfn.XLOOKUP(A2332,'[1]Global_Spot Prices'!$B:$B,'[1]Global_Spot Prices'!$H:$H)</f>
        <v>68.150000000000006</v>
      </c>
      <c r="F2332">
        <f>_xlfn.XLOOKUP(A2332,'[1]Global_Spot Prices'!$B:$B,'[1]Global_Spot Prices'!$I:$I)</f>
        <v>84.6</v>
      </c>
      <c r="G2332" cm="1">
        <f t="array" ref="G2332">_xlfn.XLOOKUP(TEXT(A2332, "mmm-yy"), TEXT([2]RUNS!$B$5:$B$208, "mmm-yy"), [2]RUNS!$D$5:$D$208, "Not Found")</f>
        <v>30594.789873968286</v>
      </c>
      <c r="H2332" cm="1">
        <f t="array" ref="H2332">SUMPRODUCT(
    --(TEXT('[3]Global Weekly Stock (EWSuez'!$B$4:$B$2000,"mmm-yy")=TEXT(A2332,"mmm-yy")),
    '[3]Global Weekly Stock (EWSuez'!$E$4:$E$2000)
/
SUMPRODUCT(
    --(TEXT('[3]Global Weekly Stock (EWSuez'!$B$4:$B$2000,"mmm-yy")=TEXT(A2332,"mmm-yy"))
)</f>
        <v>12638</v>
      </c>
      <c r="I2332">
        <f>_xlfn.XLOOKUP(A2332,[1]ForwardDeriv!$D:$D,[1]ForwardDeriv!$AJ:$AJ)</f>
        <v>0.28999999999999204</v>
      </c>
      <c r="J2332" cm="1">
        <f t="array" ref="J2332">_xlfn.XLOOKUP(TEXT(A2332, "mmm-yy"), TEXT([2]GASOLINE!$B$5:$B$208, "mmm-yy"), [2]GASOLINE!$IR$5:$IR$208, "Not Found")</f>
        <v>-166.17412808397947</v>
      </c>
      <c r="K2332" cm="1">
        <f t="array" ref="K2332">_xlfn.XLOOKUP(TEXT(A2332, "mmm-yy"), TEXT([2]GASOLINE!$B$5:$B$208, "mmm-yy"), [2]GASOLINE!$IK$5:$IK$208, "Not Found")</f>
        <v>211.19880283273517</v>
      </c>
      <c r="L2332">
        <f t="shared" si="36"/>
        <v>0</v>
      </c>
      <c r="M2332" cm="1">
        <f t="array" ref="M2332">_xlfn.XLOOKUP(TEXT(A2332, "mmm-yy"), TEXT([2]GASOLINE!$B$5:$B$208, "mmm-yy"), [2]GASOLINE!$C$5:$C$208, "Not Found")</f>
        <v>7512.4057393745679</v>
      </c>
      <c r="N2332" cm="1">
        <f t="array" ref="N2332">_xlfn.XLOOKUP(TEXT(A2332, "mmm-yy"), TEXT([2]RUNS!$B$5:$B$208, "mmm-yy"), [2]RUNS!$BM$5:$BM$208, "Not Found")</f>
        <v>0.82921923232576733</v>
      </c>
    </row>
    <row r="2333" spans="1:14" x14ac:dyDescent="0.25">
      <c r="A2333" s="1">
        <f>'[1]Global_Spot Prices'!$B3642</f>
        <v>45268</v>
      </c>
      <c r="B2333">
        <f>_xlfn.XLOOKUP(A2333,'[1]Global_Spot Prices'!$B:$B,'[1]Global_Spot Prices'!$BS:$BS)</f>
        <v>9.0799999999999983</v>
      </c>
      <c r="C2333">
        <f>_xlfn.XLOOKUP(A2333,'[1]Global_Spot Prices'!$B:$B,'[1]Global_Spot Prices'!$E:$E)</f>
        <v>76.08</v>
      </c>
      <c r="D2333">
        <f>_xlfn.XLOOKUP(A2333,'[1]Global_Spot Prices'!$B:$B,'[1]Global_Spot Prices'!$D:$D)</f>
        <v>75.81</v>
      </c>
      <c r="E2333">
        <f>_xlfn.XLOOKUP(A2333,'[1]Global_Spot Prices'!$B:$B,'[1]Global_Spot Prices'!$H:$H)</f>
        <v>69.02</v>
      </c>
      <c r="F2333">
        <f>_xlfn.XLOOKUP(A2333,'[1]Global_Spot Prices'!$B:$B,'[1]Global_Spot Prices'!$I:$I)</f>
        <v>85.16</v>
      </c>
      <c r="G2333" cm="1">
        <f t="array" ref="G2333">_xlfn.XLOOKUP(TEXT(A2333, "mmm-yy"), TEXT([2]RUNS!$B$5:$B$208, "mmm-yy"), [2]RUNS!$D$5:$D$208, "Not Found")</f>
        <v>30594.789873968286</v>
      </c>
      <c r="H2333" cm="1">
        <f t="array" ref="H2333">SUMPRODUCT(
    --(TEXT('[3]Global Weekly Stock (EWSuez'!$B$4:$B$2000,"mmm-yy")=TEXT(A2333,"mmm-yy")),
    '[3]Global Weekly Stock (EWSuez'!$E$4:$E$2000)
/
SUMPRODUCT(
    --(TEXT('[3]Global Weekly Stock (EWSuez'!$B$4:$B$2000,"mmm-yy")=TEXT(A2333,"mmm-yy"))
)</f>
        <v>12638</v>
      </c>
      <c r="I2333">
        <f>_xlfn.XLOOKUP(A2333,[1]ForwardDeriv!$D:$D,[1]ForwardDeriv!$AJ:$AJ)</f>
        <v>0.25</v>
      </c>
      <c r="J2333" cm="1">
        <f t="array" ref="J2333">_xlfn.XLOOKUP(TEXT(A2333, "mmm-yy"), TEXT([2]GASOLINE!$B$5:$B$208, "mmm-yy"), [2]GASOLINE!$IR$5:$IR$208, "Not Found")</f>
        <v>-166.17412808397947</v>
      </c>
      <c r="K2333" cm="1">
        <f t="array" ref="K2333">_xlfn.XLOOKUP(TEXT(A2333, "mmm-yy"), TEXT([2]GASOLINE!$B$5:$B$208, "mmm-yy"), [2]GASOLINE!$IK$5:$IK$208, "Not Found")</f>
        <v>211.19880283273517</v>
      </c>
      <c r="L2333">
        <f t="shared" si="36"/>
        <v>0</v>
      </c>
      <c r="M2333" cm="1">
        <f t="array" ref="M2333">_xlfn.XLOOKUP(TEXT(A2333, "mmm-yy"), TEXT([2]GASOLINE!$B$5:$B$208, "mmm-yy"), [2]GASOLINE!$C$5:$C$208, "Not Found")</f>
        <v>7512.4057393745679</v>
      </c>
      <c r="N2333" cm="1">
        <f t="array" ref="N2333">_xlfn.XLOOKUP(TEXT(A2333, "mmm-yy"), TEXT([2]RUNS!$B$5:$B$208, "mmm-yy"), [2]RUNS!$BM$5:$BM$208, "Not Found")</f>
        <v>0.82921923232576733</v>
      </c>
    </row>
    <row r="2334" spans="1:14" x14ac:dyDescent="0.25">
      <c r="A2334" s="1">
        <f>'[1]Global_Spot Prices'!$B3643</f>
        <v>45271</v>
      </c>
      <c r="B2334">
        <f>_xlfn.XLOOKUP(A2334,'[1]Global_Spot Prices'!$B:$B,'[1]Global_Spot Prices'!$BS:$BS)</f>
        <v>8.61</v>
      </c>
      <c r="C2334">
        <f>_xlfn.XLOOKUP(A2334,'[1]Global_Spot Prices'!$B:$B,'[1]Global_Spot Prices'!$E:$E)</f>
        <v>76.64</v>
      </c>
      <c r="D2334">
        <f>_xlfn.XLOOKUP(A2334,'[1]Global_Spot Prices'!$B:$B,'[1]Global_Spot Prices'!$D:$D)</f>
        <v>75.944999999999993</v>
      </c>
      <c r="E2334">
        <f>_xlfn.XLOOKUP(A2334,'[1]Global_Spot Prices'!$B:$B,'[1]Global_Spot Prices'!$H:$H)</f>
        <v>69.42</v>
      </c>
      <c r="F2334">
        <f>_xlfn.XLOOKUP(A2334,'[1]Global_Spot Prices'!$B:$B,'[1]Global_Spot Prices'!$I:$I)</f>
        <v>85.25</v>
      </c>
      <c r="G2334" cm="1">
        <f t="array" ref="G2334">_xlfn.XLOOKUP(TEXT(A2334, "mmm-yy"), TEXT([2]RUNS!$B$5:$B$208, "mmm-yy"), [2]RUNS!$D$5:$D$208, "Not Found")</f>
        <v>30594.789873968286</v>
      </c>
      <c r="H2334" cm="1">
        <f t="array" ref="H2334">SUMPRODUCT(
    --(TEXT('[3]Global Weekly Stock (EWSuez'!$B$4:$B$2000,"mmm-yy")=TEXT(A2334,"mmm-yy")),
    '[3]Global Weekly Stock (EWSuez'!$E$4:$E$2000)
/
SUMPRODUCT(
    --(TEXT('[3]Global Weekly Stock (EWSuez'!$B$4:$B$2000,"mmm-yy")=TEXT(A2334,"mmm-yy"))
)</f>
        <v>12638</v>
      </c>
      <c r="I2334">
        <f>_xlfn.XLOOKUP(A2334,[1]ForwardDeriv!$D:$D,[1]ForwardDeriv!$AJ:$AJ)</f>
        <v>0.14999999999999147</v>
      </c>
      <c r="J2334" cm="1">
        <f t="array" ref="J2334">_xlfn.XLOOKUP(TEXT(A2334, "mmm-yy"), TEXT([2]GASOLINE!$B$5:$B$208, "mmm-yy"), [2]GASOLINE!$IR$5:$IR$208, "Not Found")</f>
        <v>-166.17412808397947</v>
      </c>
      <c r="K2334" cm="1">
        <f t="array" ref="K2334">_xlfn.XLOOKUP(TEXT(A2334, "mmm-yy"), TEXT([2]GASOLINE!$B$5:$B$208, "mmm-yy"), [2]GASOLINE!$IK$5:$IK$208, "Not Found")</f>
        <v>211.19880283273517</v>
      </c>
      <c r="L2334">
        <f t="shared" si="36"/>
        <v>0</v>
      </c>
      <c r="M2334" cm="1">
        <f t="array" ref="M2334">_xlfn.XLOOKUP(TEXT(A2334, "mmm-yy"), TEXT([2]GASOLINE!$B$5:$B$208, "mmm-yy"), [2]GASOLINE!$C$5:$C$208, "Not Found")</f>
        <v>7512.4057393745679</v>
      </c>
      <c r="N2334" cm="1">
        <f t="array" ref="N2334">_xlfn.XLOOKUP(TEXT(A2334, "mmm-yy"), TEXT([2]RUNS!$B$5:$B$208, "mmm-yy"), [2]RUNS!$BM$5:$BM$208, "Not Found")</f>
        <v>0.82921923232576733</v>
      </c>
    </row>
    <row r="2335" spans="1:14" x14ac:dyDescent="0.25">
      <c r="A2335" s="1">
        <f>'[1]Global_Spot Prices'!$B3644</f>
        <v>45272</v>
      </c>
      <c r="B2335">
        <f>_xlfn.XLOOKUP(A2335,'[1]Global_Spot Prices'!$B:$B,'[1]Global_Spot Prices'!$BS:$BS)</f>
        <v>9.14</v>
      </c>
      <c r="C2335">
        <f>_xlfn.XLOOKUP(A2335,'[1]Global_Spot Prices'!$B:$B,'[1]Global_Spot Prices'!$E:$E)</f>
        <v>76.239999999999995</v>
      </c>
      <c r="D2335">
        <f>_xlfn.XLOOKUP(A2335,'[1]Global_Spot Prices'!$B:$B,'[1]Global_Spot Prices'!$D:$D)</f>
        <v>73.555000000000007</v>
      </c>
      <c r="E2335">
        <f>_xlfn.XLOOKUP(A2335,'[1]Global_Spot Prices'!$B:$B,'[1]Global_Spot Prices'!$H:$H)</f>
        <v>70.03</v>
      </c>
      <c r="F2335">
        <f>_xlfn.XLOOKUP(A2335,'[1]Global_Spot Prices'!$B:$B,'[1]Global_Spot Prices'!$I:$I)</f>
        <v>85.38</v>
      </c>
      <c r="G2335" cm="1">
        <f t="array" ref="G2335">_xlfn.XLOOKUP(TEXT(A2335, "mmm-yy"), TEXT([2]RUNS!$B$5:$B$208, "mmm-yy"), [2]RUNS!$D$5:$D$208, "Not Found")</f>
        <v>30594.789873968286</v>
      </c>
      <c r="H2335" cm="1">
        <f t="array" ref="H2335">SUMPRODUCT(
    --(TEXT('[3]Global Weekly Stock (EWSuez'!$B$4:$B$2000,"mmm-yy")=TEXT(A2335,"mmm-yy")),
    '[3]Global Weekly Stock (EWSuez'!$E$4:$E$2000)
/
SUMPRODUCT(
    --(TEXT('[3]Global Weekly Stock (EWSuez'!$B$4:$B$2000,"mmm-yy")=TEXT(A2335,"mmm-yy"))
)</f>
        <v>12638</v>
      </c>
      <c r="I2335">
        <f>_xlfn.XLOOKUP(A2335,[1]ForwardDeriv!$D:$D,[1]ForwardDeriv!$AJ:$AJ)</f>
        <v>0.17000000000000171</v>
      </c>
      <c r="J2335" cm="1">
        <f t="array" ref="J2335">_xlfn.XLOOKUP(TEXT(A2335, "mmm-yy"), TEXT([2]GASOLINE!$B$5:$B$208, "mmm-yy"), [2]GASOLINE!$IR$5:$IR$208, "Not Found")</f>
        <v>-166.17412808397947</v>
      </c>
      <c r="K2335" cm="1">
        <f t="array" ref="K2335">_xlfn.XLOOKUP(TEXT(A2335, "mmm-yy"), TEXT([2]GASOLINE!$B$5:$B$208, "mmm-yy"), [2]GASOLINE!$IK$5:$IK$208, "Not Found")</f>
        <v>211.19880283273517</v>
      </c>
      <c r="L2335">
        <f t="shared" si="36"/>
        <v>0</v>
      </c>
      <c r="M2335" cm="1">
        <f t="array" ref="M2335">_xlfn.XLOOKUP(TEXT(A2335, "mmm-yy"), TEXT([2]GASOLINE!$B$5:$B$208, "mmm-yy"), [2]GASOLINE!$C$5:$C$208, "Not Found")</f>
        <v>7512.4057393745679</v>
      </c>
      <c r="N2335" cm="1">
        <f t="array" ref="N2335">_xlfn.XLOOKUP(TEXT(A2335, "mmm-yy"), TEXT([2]RUNS!$B$5:$B$208, "mmm-yy"), [2]RUNS!$BM$5:$BM$208, "Not Found")</f>
        <v>0.82921923232576733</v>
      </c>
    </row>
    <row r="2336" spans="1:14" x14ac:dyDescent="0.25">
      <c r="A2336" s="1">
        <f>'[1]Global_Spot Prices'!$B3645</f>
        <v>45273</v>
      </c>
      <c r="B2336">
        <f>_xlfn.XLOOKUP(A2336,'[1]Global_Spot Prices'!$B:$B,'[1]Global_Spot Prices'!$BS:$BS)</f>
        <v>10.689999999999998</v>
      </c>
      <c r="C2336">
        <f>_xlfn.XLOOKUP(A2336,'[1]Global_Spot Prices'!$B:$B,'[1]Global_Spot Prices'!$E:$E)</f>
        <v>71.64</v>
      </c>
      <c r="D2336">
        <f>_xlfn.XLOOKUP(A2336,'[1]Global_Spot Prices'!$B:$B,'[1]Global_Spot Prices'!$D:$D)</f>
        <v>74.09</v>
      </c>
      <c r="E2336">
        <f>_xlfn.XLOOKUP(A2336,'[1]Global_Spot Prices'!$B:$B,'[1]Global_Spot Prices'!$H:$H)</f>
        <v>68.73</v>
      </c>
      <c r="F2336">
        <f>_xlfn.XLOOKUP(A2336,'[1]Global_Spot Prices'!$B:$B,'[1]Global_Spot Prices'!$I:$I)</f>
        <v>82.33</v>
      </c>
      <c r="G2336" cm="1">
        <f t="array" ref="G2336">_xlfn.XLOOKUP(TEXT(A2336, "mmm-yy"), TEXT([2]RUNS!$B$5:$B$208, "mmm-yy"), [2]RUNS!$D$5:$D$208, "Not Found")</f>
        <v>30594.789873968286</v>
      </c>
      <c r="H2336" cm="1">
        <f t="array" ref="H2336">SUMPRODUCT(
    --(TEXT('[3]Global Weekly Stock (EWSuez'!$B$4:$B$2000,"mmm-yy")=TEXT(A2336,"mmm-yy")),
    '[3]Global Weekly Stock (EWSuez'!$E$4:$E$2000)
/
SUMPRODUCT(
    --(TEXT('[3]Global Weekly Stock (EWSuez'!$B$4:$B$2000,"mmm-yy")=TEXT(A2336,"mmm-yy"))
)</f>
        <v>12638</v>
      </c>
      <c r="I2336">
        <f>_xlfn.XLOOKUP(A2336,[1]ForwardDeriv!$D:$D,[1]ForwardDeriv!$AJ:$AJ)</f>
        <v>0.18999999999999773</v>
      </c>
      <c r="J2336" cm="1">
        <f t="array" ref="J2336">_xlfn.XLOOKUP(TEXT(A2336, "mmm-yy"), TEXT([2]GASOLINE!$B$5:$B$208, "mmm-yy"), [2]GASOLINE!$IR$5:$IR$208, "Not Found")</f>
        <v>-166.17412808397947</v>
      </c>
      <c r="K2336" cm="1">
        <f t="array" ref="K2336">_xlfn.XLOOKUP(TEXT(A2336, "mmm-yy"), TEXT([2]GASOLINE!$B$5:$B$208, "mmm-yy"), [2]GASOLINE!$IK$5:$IK$208, "Not Found")</f>
        <v>211.19880283273517</v>
      </c>
      <c r="L2336">
        <f t="shared" si="36"/>
        <v>0</v>
      </c>
      <c r="M2336" cm="1">
        <f t="array" ref="M2336">_xlfn.XLOOKUP(TEXT(A2336, "mmm-yy"), TEXT([2]GASOLINE!$B$5:$B$208, "mmm-yy"), [2]GASOLINE!$C$5:$C$208, "Not Found")</f>
        <v>7512.4057393745679</v>
      </c>
      <c r="N2336" cm="1">
        <f t="array" ref="N2336">_xlfn.XLOOKUP(TEXT(A2336, "mmm-yy"), TEXT([2]RUNS!$B$5:$B$208, "mmm-yy"), [2]RUNS!$BM$5:$BM$208, "Not Found")</f>
        <v>0.82921923232576733</v>
      </c>
    </row>
    <row r="2337" spans="1:14" x14ac:dyDescent="0.25">
      <c r="A2337" s="1">
        <f>'[1]Global_Spot Prices'!$B3646</f>
        <v>45274</v>
      </c>
      <c r="B2337">
        <f>_xlfn.XLOOKUP(A2337,'[1]Global_Spot Prices'!$B:$B,'[1]Global_Spot Prices'!$BS:$BS)</f>
        <v>11.319999999999993</v>
      </c>
      <c r="C2337">
        <f>_xlfn.XLOOKUP(A2337,'[1]Global_Spot Prices'!$B:$B,'[1]Global_Spot Prices'!$E:$E)</f>
        <v>74.400000000000006</v>
      </c>
      <c r="D2337">
        <f>_xlfn.XLOOKUP(A2337,'[1]Global_Spot Prices'!$B:$B,'[1]Global_Spot Prices'!$D:$D)</f>
        <v>77.275000000000006</v>
      </c>
      <c r="E2337">
        <f>_xlfn.XLOOKUP(A2337,'[1]Global_Spot Prices'!$B:$B,'[1]Global_Spot Prices'!$H:$H)</f>
        <v>71.69</v>
      </c>
      <c r="F2337">
        <f>_xlfn.XLOOKUP(A2337,'[1]Global_Spot Prices'!$B:$B,'[1]Global_Spot Prices'!$I:$I)</f>
        <v>85.72</v>
      </c>
      <c r="G2337" cm="1">
        <f t="array" ref="G2337">_xlfn.XLOOKUP(TEXT(A2337, "mmm-yy"), TEXT([2]RUNS!$B$5:$B$208, "mmm-yy"), [2]RUNS!$D$5:$D$208, "Not Found")</f>
        <v>30594.789873968286</v>
      </c>
      <c r="H2337" cm="1">
        <f t="array" ref="H2337">SUMPRODUCT(
    --(TEXT('[3]Global Weekly Stock (EWSuez'!$B$4:$B$2000,"mmm-yy")=TEXT(A2337,"mmm-yy")),
    '[3]Global Weekly Stock (EWSuez'!$E$4:$E$2000)
/
SUMPRODUCT(
    --(TEXT('[3]Global Weekly Stock (EWSuez'!$B$4:$B$2000,"mmm-yy")=TEXT(A2337,"mmm-yy"))
)</f>
        <v>12638</v>
      </c>
      <c r="I2337">
        <f>_xlfn.XLOOKUP(A2337,[1]ForwardDeriv!$D:$D,[1]ForwardDeriv!$AJ:$AJ)</f>
        <v>0.34999999999999432</v>
      </c>
      <c r="J2337" cm="1">
        <f t="array" ref="J2337">_xlfn.XLOOKUP(TEXT(A2337, "mmm-yy"), TEXT([2]GASOLINE!$B$5:$B$208, "mmm-yy"), [2]GASOLINE!$IR$5:$IR$208, "Not Found")</f>
        <v>-166.17412808397947</v>
      </c>
      <c r="K2337" cm="1">
        <f t="array" ref="K2337">_xlfn.XLOOKUP(TEXT(A2337, "mmm-yy"), TEXT([2]GASOLINE!$B$5:$B$208, "mmm-yy"), [2]GASOLINE!$IK$5:$IK$208, "Not Found")</f>
        <v>211.19880283273517</v>
      </c>
      <c r="L2337">
        <f t="shared" si="36"/>
        <v>0</v>
      </c>
      <c r="M2337" cm="1">
        <f t="array" ref="M2337">_xlfn.XLOOKUP(TEXT(A2337, "mmm-yy"), TEXT([2]GASOLINE!$B$5:$B$208, "mmm-yy"), [2]GASOLINE!$C$5:$C$208, "Not Found")</f>
        <v>7512.4057393745679</v>
      </c>
      <c r="N2337" cm="1">
        <f t="array" ref="N2337">_xlfn.XLOOKUP(TEXT(A2337, "mmm-yy"), TEXT([2]RUNS!$B$5:$B$208, "mmm-yy"), [2]RUNS!$BM$5:$BM$208, "Not Found")</f>
        <v>0.82921923232576733</v>
      </c>
    </row>
    <row r="2338" spans="1:14" x14ac:dyDescent="0.25">
      <c r="A2338" s="1">
        <f>'[1]Global_Spot Prices'!$B3647</f>
        <v>45275</v>
      </c>
      <c r="B2338">
        <f>_xlfn.XLOOKUP(A2338,'[1]Global_Spot Prices'!$B:$B,'[1]Global_Spot Prices'!$BS:$BS)</f>
        <v>12.36</v>
      </c>
      <c r="C2338">
        <f>_xlfn.XLOOKUP(A2338,'[1]Global_Spot Prices'!$B:$B,'[1]Global_Spot Prices'!$E:$E)</f>
        <v>76.150000000000006</v>
      </c>
      <c r="D2338">
        <f>_xlfn.XLOOKUP(A2338,'[1]Global_Spot Prices'!$B:$B,'[1]Global_Spot Prices'!$D:$D)</f>
        <v>77.084999999999994</v>
      </c>
      <c r="E2338">
        <f>_xlfn.XLOOKUP(A2338,'[1]Global_Spot Prices'!$B:$B,'[1]Global_Spot Prices'!$H:$H)</f>
        <v>73.98</v>
      </c>
      <c r="F2338">
        <f>_xlfn.XLOOKUP(A2338,'[1]Global_Spot Prices'!$B:$B,'[1]Global_Spot Prices'!$I:$I)</f>
        <v>88.51</v>
      </c>
      <c r="G2338" cm="1">
        <f t="array" ref="G2338">_xlfn.XLOOKUP(TEXT(A2338, "mmm-yy"), TEXT([2]RUNS!$B$5:$B$208, "mmm-yy"), [2]RUNS!$D$5:$D$208, "Not Found")</f>
        <v>30594.789873968286</v>
      </c>
      <c r="H2338" cm="1">
        <f t="array" ref="H2338">SUMPRODUCT(
    --(TEXT('[3]Global Weekly Stock (EWSuez'!$B$4:$B$2000,"mmm-yy")=TEXT(A2338,"mmm-yy")),
    '[3]Global Weekly Stock (EWSuez'!$E$4:$E$2000)
/
SUMPRODUCT(
    --(TEXT('[3]Global Weekly Stock (EWSuez'!$B$4:$B$2000,"mmm-yy")=TEXT(A2338,"mmm-yy"))
)</f>
        <v>12638</v>
      </c>
      <c r="I2338">
        <f>_xlfn.XLOOKUP(A2338,[1]ForwardDeriv!$D:$D,[1]ForwardDeriv!$AJ:$AJ)</f>
        <v>0.53000000000000114</v>
      </c>
      <c r="J2338" cm="1">
        <f t="array" ref="J2338">_xlfn.XLOOKUP(TEXT(A2338, "mmm-yy"), TEXT([2]GASOLINE!$B$5:$B$208, "mmm-yy"), [2]GASOLINE!$IR$5:$IR$208, "Not Found")</f>
        <v>-166.17412808397947</v>
      </c>
      <c r="K2338" cm="1">
        <f t="array" ref="K2338">_xlfn.XLOOKUP(TEXT(A2338, "mmm-yy"), TEXT([2]GASOLINE!$B$5:$B$208, "mmm-yy"), [2]GASOLINE!$IK$5:$IK$208, "Not Found")</f>
        <v>211.19880283273517</v>
      </c>
      <c r="L2338">
        <f t="shared" si="36"/>
        <v>0</v>
      </c>
      <c r="M2338" cm="1">
        <f t="array" ref="M2338">_xlfn.XLOOKUP(TEXT(A2338, "mmm-yy"), TEXT([2]GASOLINE!$B$5:$B$208, "mmm-yy"), [2]GASOLINE!$C$5:$C$208, "Not Found")</f>
        <v>7512.4057393745679</v>
      </c>
      <c r="N2338" cm="1">
        <f t="array" ref="N2338">_xlfn.XLOOKUP(TEXT(A2338, "mmm-yy"), TEXT([2]RUNS!$B$5:$B$208, "mmm-yy"), [2]RUNS!$BM$5:$BM$208, "Not Found")</f>
        <v>0.82921923232576733</v>
      </c>
    </row>
    <row r="2339" spans="1:14" x14ac:dyDescent="0.25">
      <c r="A2339" s="1">
        <f>'[1]Global_Spot Prices'!$B3648</f>
        <v>45278</v>
      </c>
      <c r="B2339">
        <f>_xlfn.XLOOKUP(A2339,'[1]Global_Spot Prices'!$B:$B,'[1]Global_Spot Prices'!$BS:$BS)</f>
        <v>12.069999999999993</v>
      </c>
      <c r="C2339">
        <f>_xlfn.XLOOKUP(A2339,'[1]Global_Spot Prices'!$B:$B,'[1]Global_Spot Prices'!$E:$E)</f>
        <v>76.150000000000006</v>
      </c>
      <c r="D2339">
        <f>_xlfn.XLOOKUP(A2339,'[1]Global_Spot Prices'!$B:$B,'[1]Global_Spot Prices'!$D:$D)</f>
        <v>79.180000000000007</v>
      </c>
      <c r="E2339">
        <f>_xlfn.XLOOKUP(A2339,'[1]Global_Spot Prices'!$B:$B,'[1]Global_Spot Prices'!$H:$H)</f>
        <v>75.239999999999995</v>
      </c>
      <c r="F2339">
        <f>_xlfn.XLOOKUP(A2339,'[1]Global_Spot Prices'!$B:$B,'[1]Global_Spot Prices'!$I:$I)</f>
        <v>88.22</v>
      </c>
      <c r="G2339" cm="1">
        <f t="array" ref="G2339">_xlfn.XLOOKUP(TEXT(A2339, "mmm-yy"), TEXT([2]RUNS!$B$5:$B$208, "mmm-yy"), [2]RUNS!$D$5:$D$208, "Not Found")</f>
        <v>30594.789873968286</v>
      </c>
      <c r="H2339" cm="1">
        <f t="array" ref="H2339">SUMPRODUCT(
    --(TEXT('[3]Global Weekly Stock (EWSuez'!$B$4:$B$2000,"mmm-yy")=TEXT(A2339,"mmm-yy")),
    '[3]Global Weekly Stock (EWSuez'!$E$4:$E$2000)
/
SUMPRODUCT(
    --(TEXT('[3]Global Weekly Stock (EWSuez'!$B$4:$B$2000,"mmm-yy")=TEXT(A2339,"mmm-yy"))
)</f>
        <v>12638</v>
      </c>
      <c r="I2339">
        <f>_xlfn.XLOOKUP(A2339,[1]ForwardDeriv!$D:$D,[1]ForwardDeriv!$AJ:$AJ)</f>
        <v>0.5</v>
      </c>
      <c r="J2339" cm="1">
        <f t="array" ref="J2339">_xlfn.XLOOKUP(TEXT(A2339, "mmm-yy"), TEXT([2]GASOLINE!$B$5:$B$208, "mmm-yy"), [2]GASOLINE!$IR$5:$IR$208, "Not Found")</f>
        <v>-166.17412808397947</v>
      </c>
      <c r="K2339" cm="1">
        <f t="array" ref="K2339">_xlfn.XLOOKUP(TEXT(A2339, "mmm-yy"), TEXT([2]GASOLINE!$B$5:$B$208, "mmm-yy"), [2]GASOLINE!$IK$5:$IK$208, "Not Found")</f>
        <v>211.19880283273517</v>
      </c>
      <c r="L2339">
        <f t="shared" si="36"/>
        <v>0</v>
      </c>
      <c r="M2339" cm="1">
        <f t="array" ref="M2339">_xlfn.XLOOKUP(TEXT(A2339, "mmm-yy"), TEXT([2]GASOLINE!$B$5:$B$208, "mmm-yy"), [2]GASOLINE!$C$5:$C$208, "Not Found")</f>
        <v>7512.4057393745679</v>
      </c>
      <c r="N2339" cm="1">
        <f t="array" ref="N2339">_xlfn.XLOOKUP(TEXT(A2339, "mmm-yy"), TEXT([2]RUNS!$B$5:$B$208, "mmm-yy"), [2]RUNS!$BM$5:$BM$208, "Not Found")</f>
        <v>0.82921923232576733</v>
      </c>
    </row>
    <row r="2340" spans="1:14" x14ac:dyDescent="0.25">
      <c r="A2340" s="1">
        <f>'[1]Global_Spot Prices'!$B3649</f>
        <v>45279</v>
      </c>
      <c r="B2340">
        <f>_xlfn.XLOOKUP(A2340,'[1]Global_Spot Prices'!$B:$B,'[1]Global_Spot Prices'!$BS:$BS)</f>
        <v>12.079999999999998</v>
      </c>
      <c r="C2340">
        <f>_xlfn.XLOOKUP(A2340,'[1]Global_Spot Prices'!$B:$B,'[1]Global_Spot Prices'!$E:$E)</f>
        <v>76.84</v>
      </c>
      <c r="D2340">
        <f>_xlfn.XLOOKUP(A2340,'[1]Global_Spot Prices'!$B:$B,'[1]Global_Spot Prices'!$D:$D)</f>
        <v>80.165000000000006</v>
      </c>
      <c r="E2340">
        <f>_xlfn.XLOOKUP(A2340,'[1]Global_Spot Prices'!$B:$B,'[1]Global_Spot Prices'!$H:$H)</f>
        <v>74.5</v>
      </c>
      <c r="F2340">
        <f ca="1">_xlfn.XLOOKUP(A2340,'[1]Global_Spot Prices'!$B:$B,'[1]Global_Spot Prices'!$I:$I)</f>
        <v>88.92</v>
      </c>
      <c r="G2340" cm="1">
        <f t="array" ref="G2340">_xlfn.XLOOKUP(TEXT(A2340, "mmm-yy"), TEXT([2]RUNS!$B$5:$B$208, "mmm-yy"), [2]RUNS!$D$5:$D$208, "Not Found")</f>
        <v>30594.789873968286</v>
      </c>
      <c r="H2340" cm="1">
        <f t="array" ref="H2340">SUMPRODUCT(
    --(TEXT('[3]Global Weekly Stock (EWSuez'!$B$4:$B$2000,"mmm-yy")=TEXT(A2340,"mmm-yy")),
    '[3]Global Weekly Stock (EWSuez'!$E$4:$E$2000)
/
SUMPRODUCT(
    --(TEXT('[3]Global Weekly Stock (EWSuez'!$B$4:$B$2000,"mmm-yy")=TEXT(A2340,"mmm-yy"))
)</f>
        <v>12638</v>
      </c>
      <c r="I2340">
        <f>_xlfn.XLOOKUP(A2340,[1]ForwardDeriv!$D:$D,[1]ForwardDeriv!$AJ:$AJ)</f>
        <v>0.40000000000000568</v>
      </c>
      <c r="J2340" cm="1">
        <f t="array" ref="J2340">_xlfn.XLOOKUP(TEXT(A2340, "mmm-yy"), TEXT([2]GASOLINE!$B$5:$B$208, "mmm-yy"), [2]GASOLINE!$IR$5:$IR$208, "Not Found")</f>
        <v>-166.17412808397947</v>
      </c>
      <c r="K2340" cm="1">
        <f t="array" ref="K2340">_xlfn.XLOOKUP(TEXT(A2340, "mmm-yy"), TEXT([2]GASOLINE!$B$5:$B$208, "mmm-yy"), [2]GASOLINE!$IK$5:$IK$208, "Not Found")</f>
        <v>211.19880283273517</v>
      </c>
      <c r="L2340">
        <f t="shared" si="36"/>
        <v>0</v>
      </c>
      <c r="M2340" cm="1">
        <f t="array" ref="M2340">_xlfn.XLOOKUP(TEXT(A2340, "mmm-yy"), TEXT([2]GASOLINE!$B$5:$B$208, "mmm-yy"), [2]GASOLINE!$C$5:$C$208, "Not Found")</f>
        <v>7512.4057393745679</v>
      </c>
      <c r="N2340" cm="1">
        <f t="array" ref="N2340">_xlfn.XLOOKUP(TEXT(A2340, "mmm-yy"), TEXT([2]RUNS!$B$5:$B$208, "mmm-yy"), [2]RUNS!$BM$5:$BM$208, "Not Found")</f>
        <v>0.82921923232576733</v>
      </c>
    </row>
    <row r="2341" spans="1:14" x14ac:dyDescent="0.25">
      <c r="A2341" s="1">
        <f>'[1]Global_Spot Prices'!$B3650</f>
        <v>45280</v>
      </c>
      <c r="B2341">
        <f>_xlfn.XLOOKUP(A2341,'[1]Global_Spot Prices'!$B:$B,'[1]Global_Spot Prices'!$BS:$BS)</f>
        <v>11.540000000000006</v>
      </c>
      <c r="C2341">
        <f>_xlfn.XLOOKUP(A2341,'[1]Global_Spot Prices'!$B:$B,'[1]Global_Spot Prices'!$E:$E)</f>
        <v>79.05</v>
      </c>
      <c r="D2341">
        <f>_xlfn.XLOOKUP(A2341,'[1]Global_Spot Prices'!$B:$B,'[1]Global_Spot Prices'!$D:$D)</f>
        <v>81.87</v>
      </c>
      <c r="E2341">
        <f>_xlfn.XLOOKUP(A2341,'[1]Global_Spot Prices'!$B:$B,'[1]Global_Spot Prices'!$H:$H)</f>
        <v>76.010000000000005</v>
      </c>
      <c r="F2341">
        <f>_xlfn.XLOOKUP(A2341,'[1]Global_Spot Prices'!$B:$B,'[1]Global_Spot Prices'!$I:$I)</f>
        <v>90.59</v>
      </c>
      <c r="G2341" cm="1">
        <f t="array" ref="G2341">_xlfn.XLOOKUP(TEXT(A2341, "mmm-yy"), TEXT([2]RUNS!$B$5:$B$208, "mmm-yy"), [2]RUNS!$D$5:$D$208, "Not Found")</f>
        <v>30594.789873968286</v>
      </c>
      <c r="H2341" cm="1">
        <f t="array" ref="H2341">SUMPRODUCT(
    --(TEXT('[3]Global Weekly Stock (EWSuez'!$B$4:$B$2000,"mmm-yy")=TEXT(A2341,"mmm-yy")),
    '[3]Global Weekly Stock (EWSuez'!$E$4:$E$2000)
/
SUMPRODUCT(
    --(TEXT('[3]Global Weekly Stock (EWSuez'!$B$4:$B$2000,"mmm-yy")=TEXT(A2341,"mmm-yy"))
)</f>
        <v>12638</v>
      </c>
      <c r="I2341">
        <f>_xlfn.XLOOKUP(A2341,[1]ForwardDeriv!$D:$D,[1]ForwardDeriv!$AJ:$AJ)</f>
        <v>0.40000000000000568</v>
      </c>
      <c r="J2341" cm="1">
        <f t="array" ref="J2341">_xlfn.XLOOKUP(TEXT(A2341, "mmm-yy"), TEXT([2]GASOLINE!$B$5:$B$208, "mmm-yy"), [2]GASOLINE!$IR$5:$IR$208, "Not Found")</f>
        <v>-166.17412808397947</v>
      </c>
      <c r="K2341" cm="1">
        <f t="array" ref="K2341">_xlfn.XLOOKUP(TEXT(A2341, "mmm-yy"), TEXT([2]GASOLINE!$B$5:$B$208, "mmm-yy"), [2]GASOLINE!$IK$5:$IK$208, "Not Found")</f>
        <v>211.19880283273517</v>
      </c>
      <c r="L2341">
        <f t="shared" si="36"/>
        <v>0</v>
      </c>
      <c r="M2341" cm="1">
        <f t="array" ref="M2341">_xlfn.XLOOKUP(TEXT(A2341, "mmm-yy"), TEXT([2]GASOLINE!$B$5:$B$208, "mmm-yy"), [2]GASOLINE!$C$5:$C$208, "Not Found")</f>
        <v>7512.4057393745679</v>
      </c>
      <c r="N2341" cm="1">
        <f t="array" ref="N2341">_xlfn.XLOOKUP(TEXT(A2341, "mmm-yy"), TEXT([2]RUNS!$B$5:$B$208, "mmm-yy"), [2]RUNS!$BM$5:$BM$208, "Not Found")</f>
        <v>0.82921923232576733</v>
      </c>
    </row>
    <row r="2342" spans="1:14" x14ac:dyDescent="0.25">
      <c r="A2342" s="1">
        <f>'[1]Global_Spot Prices'!$B3651</f>
        <v>45281</v>
      </c>
      <c r="B2342">
        <f>_xlfn.XLOOKUP(A2342,'[1]Global_Spot Prices'!$B:$B,'[1]Global_Spot Prices'!$BS:$BS)</f>
        <v>9.2800000000000011</v>
      </c>
      <c r="C2342">
        <f>_xlfn.XLOOKUP(A2342,'[1]Global_Spot Prices'!$B:$B,'[1]Global_Spot Prices'!$E:$E)</f>
        <v>78.849999999999994</v>
      </c>
      <c r="D2342">
        <f>_xlfn.XLOOKUP(A2342,'[1]Global_Spot Prices'!$B:$B,'[1]Global_Spot Prices'!$D:$D)</f>
        <v>80.58</v>
      </c>
      <c r="E2342">
        <f>_xlfn.XLOOKUP(A2342,'[1]Global_Spot Prices'!$B:$B,'[1]Global_Spot Prices'!$H:$H)</f>
        <v>73.97</v>
      </c>
      <c r="F2342">
        <f>_xlfn.XLOOKUP(A2342,'[1]Global_Spot Prices'!$B:$B,'[1]Global_Spot Prices'!$I:$I)</f>
        <v>88.13</v>
      </c>
      <c r="G2342" cm="1">
        <f t="array" ref="G2342">_xlfn.XLOOKUP(TEXT(A2342, "mmm-yy"), TEXT([2]RUNS!$B$5:$B$208, "mmm-yy"), [2]RUNS!$D$5:$D$208, "Not Found")</f>
        <v>30594.789873968286</v>
      </c>
      <c r="H2342" cm="1">
        <f t="array" ref="H2342">SUMPRODUCT(
    --(TEXT('[3]Global Weekly Stock (EWSuez'!$B$4:$B$2000,"mmm-yy")=TEXT(A2342,"mmm-yy")),
    '[3]Global Weekly Stock (EWSuez'!$E$4:$E$2000)
/
SUMPRODUCT(
    --(TEXT('[3]Global Weekly Stock (EWSuez'!$B$4:$B$2000,"mmm-yy")=TEXT(A2342,"mmm-yy"))
)</f>
        <v>12638</v>
      </c>
      <c r="I2342">
        <f>_xlfn.XLOOKUP(A2342,[1]ForwardDeriv!$D:$D,[1]ForwardDeriv!$AJ:$AJ)</f>
        <v>0.18000000000000682</v>
      </c>
      <c r="J2342" cm="1">
        <f t="array" ref="J2342">_xlfn.XLOOKUP(TEXT(A2342, "mmm-yy"), TEXT([2]GASOLINE!$B$5:$B$208, "mmm-yy"), [2]GASOLINE!$IR$5:$IR$208, "Not Found")</f>
        <v>-166.17412808397947</v>
      </c>
      <c r="K2342" cm="1">
        <f t="array" ref="K2342">_xlfn.XLOOKUP(TEXT(A2342, "mmm-yy"), TEXT([2]GASOLINE!$B$5:$B$208, "mmm-yy"), [2]GASOLINE!$IK$5:$IK$208, "Not Found")</f>
        <v>211.19880283273517</v>
      </c>
      <c r="L2342">
        <f t="shared" si="36"/>
        <v>0</v>
      </c>
      <c r="M2342" cm="1">
        <f t="array" ref="M2342">_xlfn.XLOOKUP(TEXT(A2342, "mmm-yy"), TEXT([2]GASOLINE!$B$5:$B$208, "mmm-yy"), [2]GASOLINE!$C$5:$C$208, "Not Found")</f>
        <v>7512.4057393745679</v>
      </c>
      <c r="N2342" cm="1">
        <f t="array" ref="N2342">_xlfn.XLOOKUP(TEXT(A2342, "mmm-yy"), TEXT([2]RUNS!$B$5:$B$208, "mmm-yy"), [2]RUNS!$BM$5:$BM$208, "Not Found")</f>
        <v>0.82921923232576733</v>
      </c>
    </row>
    <row r="2343" spans="1:14" x14ac:dyDescent="0.25">
      <c r="A2343" s="1">
        <f>'[1]Global_Spot Prices'!$B3652</f>
        <v>45282</v>
      </c>
      <c r="B2343">
        <f>_xlfn.XLOOKUP(A2343,'[1]Global_Spot Prices'!$B:$B,'[1]Global_Spot Prices'!$BS:$BS)</f>
        <v>8.9100000000000108</v>
      </c>
      <c r="C2343">
        <f>_xlfn.XLOOKUP(A2343,'[1]Global_Spot Prices'!$B:$B,'[1]Global_Spot Prices'!$E:$E)</f>
        <v>79.099999999999994</v>
      </c>
      <c r="D2343">
        <f>_xlfn.XLOOKUP(A2343,'[1]Global_Spot Prices'!$B:$B,'[1]Global_Spot Prices'!$D:$D)</f>
        <v>80.775000000000006</v>
      </c>
      <c r="E2343">
        <f>_xlfn.XLOOKUP(A2343,'[1]Global_Spot Prices'!$B:$B,'[1]Global_Spot Prices'!$H:$H)</f>
        <v>73.42</v>
      </c>
      <c r="F2343">
        <f>_xlfn.XLOOKUP(A2343,'[1]Global_Spot Prices'!$B:$B,'[1]Global_Spot Prices'!$I:$I)</f>
        <v>88.01</v>
      </c>
      <c r="G2343" cm="1">
        <f t="array" ref="G2343">_xlfn.XLOOKUP(TEXT(A2343, "mmm-yy"), TEXT([2]RUNS!$B$5:$B$208, "mmm-yy"), [2]RUNS!$D$5:$D$208, "Not Found")</f>
        <v>30594.789873968286</v>
      </c>
      <c r="H2343" cm="1">
        <f t="array" ref="H2343">SUMPRODUCT(
    --(TEXT('[3]Global Weekly Stock (EWSuez'!$B$4:$B$2000,"mmm-yy")=TEXT(A2343,"mmm-yy")),
    '[3]Global Weekly Stock (EWSuez'!$E$4:$E$2000)
/
SUMPRODUCT(
    --(TEXT('[3]Global Weekly Stock (EWSuez'!$B$4:$B$2000,"mmm-yy")=TEXT(A2343,"mmm-yy"))
)</f>
        <v>12638</v>
      </c>
      <c r="I2343">
        <f>_xlfn.XLOOKUP(A2343,[1]ForwardDeriv!$D:$D,[1]ForwardDeriv!$AJ:$AJ)</f>
        <v>0.18999999999999773</v>
      </c>
      <c r="J2343" cm="1">
        <f t="array" ref="J2343">_xlfn.XLOOKUP(TEXT(A2343, "mmm-yy"), TEXT([2]GASOLINE!$B$5:$B$208, "mmm-yy"), [2]GASOLINE!$IR$5:$IR$208, "Not Found")</f>
        <v>-166.17412808397947</v>
      </c>
      <c r="K2343" cm="1">
        <f t="array" ref="K2343">_xlfn.XLOOKUP(TEXT(A2343, "mmm-yy"), TEXT([2]GASOLINE!$B$5:$B$208, "mmm-yy"), [2]GASOLINE!$IK$5:$IK$208, "Not Found")</f>
        <v>211.19880283273517</v>
      </c>
      <c r="L2343">
        <f t="shared" si="36"/>
        <v>0</v>
      </c>
      <c r="M2343" cm="1">
        <f t="array" ref="M2343">_xlfn.XLOOKUP(TEXT(A2343, "mmm-yy"), TEXT([2]GASOLINE!$B$5:$B$208, "mmm-yy"), [2]GASOLINE!$C$5:$C$208, "Not Found")</f>
        <v>7512.4057393745679</v>
      </c>
      <c r="N2343" cm="1">
        <f t="array" ref="N2343">_xlfn.XLOOKUP(TEXT(A2343, "mmm-yy"), TEXT([2]RUNS!$B$5:$B$208, "mmm-yy"), [2]RUNS!$BM$5:$BM$208, "Not Found")</f>
        <v>0.82921923232576733</v>
      </c>
    </row>
    <row r="2344" spans="1:14" x14ac:dyDescent="0.25">
      <c r="A2344" s="1">
        <f>'[1]Global_Spot Prices'!$B3653</f>
        <v>45285</v>
      </c>
      <c r="B2344" t="e">
        <f>_xlfn.XLOOKUP(A2344,'[1]Global_Spot Prices'!$B:$B,'[1]Global_Spot Prices'!$BS:$BS)</f>
        <v>#N/A</v>
      </c>
      <c r="C2344" t="str">
        <f>_xlfn.XLOOKUP(A2344,'[1]Global_Spot Prices'!$B:$B,'[1]Global_Spot Prices'!$E:$E)</f>
        <v/>
      </c>
      <c r="D2344" t="str">
        <f ca="1">_xlfn.XLOOKUP(A2344,'[1]Global_Spot Prices'!$B:$B,'[1]Global_Spot Prices'!$D:$D)</f>
        <v/>
      </c>
      <c r="E2344">
        <f>_xlfn.XLOOKUP(A2344,'[1]Global_Spot Prices'!$B:$B,'[1]Global_Spot Prices'!$H:$H)</f>
        <v>0</v>
      </c>
      <c r="F2344">
        <f>_xlfn.XLOOKUP(A2344,'[1]Global_Spot Prices'!$B:$B,'[1]Global_Spot Prices'!$I:$I)</f>
        <v>0</v>
      </c>
      <c r="G2344" cm="1">
        <f t="array" ref="G2344">_xlfn.XLOOKUP(TEXT(A2344, "mmm-yy"), TEXT([2]RUNS!$B$5:$B$208, "mmm-yy"), [2]RUNS!$D$5:$D$208, "Not Found")</f>
        <v>30594.789873968286</v>
      </c>
      <c r="H2344" cm="1">
        <f t="array" ref="H2344">SUMPRODUCT(
    --(TEXT('[3]Global Weekly Stock (EWSuez'!$B$4:$B$2000,"mmm-yy")=TEXT(A2344,"mmm-yy")),
    '[3]Global Weekly Stock (EWSuez'!$E$4:$E$2000)
/
SUMPRODUCT(
    --(TEXT('[3]Global Weekly Stock (EWSuez'!$B$4:$B$2000,"mmm-yy")=TEXT(A2344,"mmm-yy"))
)</f>
        <v>12638</v>
      </c>
      <c r="I2344">
        <f>_xlfn.XLOOKUP(A2344,[1]ForwardDeriv!$D:$D,[1]ForwardDeriv!$AJ:$AJ)</f>
        <v>0.18999999999999773</v>
      </c>
      <c r="J2344" cm="1">
        <f t="array" ref="J2344">_xlfn.XLOOKUP(TEXT(A2344, "mmm-yy"), TEXT([2]GASOLINE!$B$5:$B$208, "mmm-yy"), [2]GASOLINE!$IR$5:$IR$208, "Not Found")</f>
        <v>-166.17412808397947</v>
      </c>
      <c r="K2344" cm="1">
        <f t="array" ref="K2344">_xlfn.XLOOKUP(TEXT(A2344, "mmm-yy"), TEXT([2]GASOLINE!$B$5:$B$208, "mmm-yy"), [2]GASOLINE!$IK$5:$IK$208, "Not Found")</f>
        <v>211.19880283273517</v>
      </c>
      <c r="L2344">
        <f t="shared" si="36"/>
        <v>0</v>
      </c>
      <c r="M2344" cm="1">
        <f t="array" ref="M2344">_xlfn.XLOOKUP(TEXT(A2344, "mmm-yy"), TEXT([2]GASOLINE!$B$5:$B$208, "mmm-yy"), [2]GASOLINE!$C$5:$C$208, "Not Found")</f>
        <v>7512.4057393745679</v>
      </c>
      <c r="N2344" cm="1">
        <f t="array" ref="N2344">_xlfn.XLOOKUP(TEXT(A2344, "mmm-yy"), TEXT([2]RUNS!$B$5:$B$208, "mmm-yy"), [2]RUNS!$BM$5:$BM$208, "Not Found")</f>
        <v>0.82921923232576733</v>
      </c>
    </row>
    <row r="2345" spans="1:14" x14ac:dyDescent="0.25">
      <c r="A2345" s="1">
        <f>'[1]Global_Spot Prices'!$B3654</f>
        <v>45286</v>
      </c>
      <c r="B2345">
        <f>_xlfn.XLOOKUP(A2345,'[1]Global_Spot Prices'!$B:$B,'[1]Global_Spot Prices'!$BS:$BS)</f>
        <v>8.7550000000000097</v>
      </c>
      <c r="C2345">
        <f>_xlfn.XLOOKUP(A2345,'[1]Global_Spot Prices'!$B:$B,'[1]Global_Spot Prices'!$E:$E)</f>
        <v>78.644999999999996</v>
      </c>
      <c r="D2345" t="str">
        <f>_xlfn.XLOOKUP(A2345,'[1]Global_Spot Prices'!$B:$B,'[1]Global_Spot Prices'!$D:$D)</f>
        <v/>
      </c>
      <c r="E2345">
        <f>_xlfn.XLOOKUP(A2345,'[1]Global_Spot Prices'!$B:$B,'[1]Global_Spot Prices'!$H:$H)</f>
        <v>72.45</v>
      </c>
      <c r="F2345">
        <f>_xlfn.XLOOKUP(A2345,'[1]Global_Spot Prices'!$B:$B,'[1]Global_Spot Prices'!$I:$I)</f>
        <v>87.4</v>
      </c>
      <c r="G2345" cm="1">
        <f t="array" ref="G2345">_xlfn.XLOOKUP(TEXT(A2345, "mmm-yy"), TEXT([2]RUNS!$B$5:$B$208, "mmm-yy"), [2]RUNS!$D$5:$D$208, "Not Found")</f>
        <v>30594.789873968286</v>
      </c>
      <c r="H2345" cm="1">
        <f t="array" ref="H2345">SUMPRODUCT(
    --(TEXT('[3]Global Weekly Stock (EWSuez'!$B$4:$B$2000,"mmm-yy")=TEXT(A2345,"mmm-yy")),
    '[3]Global Weekly Stock (EWSuez'!$E$4:$E$2000)
/
SUMPRODUCT(
    --(TEXT('[3]Global Weekly Stock (EWSuez'!$B$4:$B$2000,"mmm-yy")=TEXT(A2345,"mmm-yy"))
)</f>
        <v>12638</v>
      </c>
      <c r="I2345">
        <f>_xlfn.XLOOKUP(A2345,[1]ForwardDeriv!$D:$D,[1]ForwardDeriv!$AJ:$AJ)</f>
        <v>0.18999999999999773</v>
      </c>
      <c r="J2345" cm="1">
        <f t="array" ref="J2345">_xlfn.XLOOKUP(TEXT(A2345, "mmm-yy"), TEXT([2]GASOLINE!$B$5:$B$208, "mmm-yy"), [2]GASOLINE!$IR$5:$IR$208, "Not Found")</f>
        <v>-166.17412808397947</v>
      </c>
      <c r="K2345" cm="1">
        <f t="array" ref="K2345">_xlfn.XLOOKUP(TEXT(A2345, "mmm-yy"), TEXT([2]GASOLINE!$B$5:$B$208, "mmm-yy"), [2]GASOLINE!$IK$5:$IK$208, "Not Found")</f>
        <v>211.19880283273517</v>
      </c>
      <c r="L2345">
        <f t="shared" si="36"/>
        <v>0</v>
      </c>
      <c r="M2345" cm="1">
        <f t="array" ref="M2345">_xlfn.XLOOKUP(TEXT(A2345, "mmm-yy"), TEXT([2]GASOLINE!$B$5:$B$208, "mmm-yy"), [2]GASOLINE!$C$5:$C$208, "Not Found")</f>
        <v>7512.4057393745679</v>
      </c>
      <c r="N2345" cm="1">
        <f t="array" ref="N2345">_xlfn.XLOOKUP(TEXT(A2345, "mmm-yy"), TEXT([2]RUNS!$B$5:$B$208, "mmm-yy"), [2]RUNS!$BM$5:$BM$208, "Not Found")</f>
        <v>0.82921923232576733</v>
      </c>
    </row>
    <row r="2346" spans="1:14" x14ac:dyDescent="0.25">
      <c r="A2346" s="1">
        <f>'[1]Global_Spot Prices'!$B3655</f>
        <v>45287</v>
      </c>
      <c r="B2346">
        <f>_xlfn.XLOOKUP(A2346,'[1]Global_Spot Prices'!$B:$B,'[1]Global_Spot Prices'!$BS:$BS)</f>
        <v>9.4399999999999977</v>
      </c>
      <c r="C2346">
        <f>_xlfn.XLOOKUP(A2346,'[1]Global_Spot Prices'!$B:$B,'[1]Global_Spot Prices'!$E:$E)</f>
        <v>80.2</v>
      </c>
      <c r="D2346">
        <f>_xlfn.XLOOKUP(A2346,'[1]Global_Spot Prices'!$B:$B,'[1]Global_Spot Prices'!$D:$D)</f>
        <v>80.844999999999999</v>
      </c>
      <c r="E2346">
        <f>_xlfn.XLOOKUP(A2346,'[1]Global_Spot Prices'!$B:$B,'[1]Global_Spot Prices'!$H:$H)</f>
        <v>75.8</v>
      </c>
      <c r="F2346">
        <f>_xlfn.XLOOKUP(A2346,'[1]Global_Spot Prices'!$B:$B,'[1]Global_Spot Prices'!$I:$I)</f>
        <v>89.64</v>
      </c>
      <c r="G2346" cm="1">
        <f t="array" ref="G2346">_xlfn.XLOOKUP(TEXT(A2346, "mmm-yy"), TEXT([2]RUNS!$B$5:$B$208, "mmm-yy"), [2]RUNS!$D$5:$D$208, "Not Found")</f>
        <v>30594.789873968286</v>
      </c>
      <c r="H2346" cm="1">
        <f t="array" ref="H2346">SUMPRODUCT(
    --(TEXT('[3]Global Weekly Stock (EWSuez'!$B$4:$B$2000,"mmm-yy")=TEXT(A2346,"mmm-yy")),
    '[3]Global Weekly Stock (EWSuez'!$E$4:$E$2000)
/
SUMPRODUCT(
    --(TEXT('[3]Global Weekly Stock (EWSuez'!$B$4:$B$2000,"mmm-yy")=TEXT(A2346,"mmm-yy"))
)</f>
        <v>12638</v>
      </c>
      <c r="I2346">
        <f>_xlfn.XLOOKUP(A2346,[1]ForwardDeriv!$D:$D,[1]ForwardDeriv!$AJ:$AJ)</f>
        <v>0.40000000000000568</v>
      </c>
      <c r="J2346" cm="1">
        <f t="array" ref="J2346">_xlfn.XLOOKUP(TEXT(A2346, "mmm-yy"), TEXT([2]GASOLINE!$B$5:$B$208, "mmm-yy"), [2]GASOLINE!$IR$5:$IR$208, "Not Found")</f>
        <v>-166.17412808397947</v>
      </c>
      <c r="K2346" cm="1">
        <f t="array" ref="K2346">_xlfn.XLOOKUP(TEXT(A2346, "mmm-yy"), TEXT([2]GASOLINE!$B$5:$B$208, "mmm-yy"), [2]GASOLINE!$IK$5:$IK$208, "Not Found")</f>
        <v>211.19880283273517</v>
      </c>
      <c r="L2346">
        <f t="shared" si="36"/>
        <v>0</v>
      </c>
      <c r="M2346" cm="1">
        <f t="array" ref="M2346">_xlfn.XLOOKUP(TEXT(A2346, "mmm-yy"), TEXT([2]GASOLINE!$B$5:$B$208, "mmm-yy"), [2]GASOLINE!$C$5:$C$208, "Not Found")</f>
        <v>7512.4057393745679</v>
      </c>
      <c r="N2346" cm="1">
        <f t="array" ref="N2346">_xlfn.XLOOKUP(TEXT(A2346, "mmm-yy"), TEXT([2]RUNS!$B$5:$B$208, "mmm-yy"), [2]RUNS!$BM$5:$BM$208, "Not Found")</f>
        <v>0.82921923232576733</v>
      </c>
    </row>
    <row r="2347" spans="1:14" x14ac:dyDescent="0.25">
      <c r="A2347" s="1">
        <f>'[1]Global_Spot Prices'!$B3656</f>
        <v>45288</v>
      </c>
      <c r="B2347">
        <f>_xlfn.XLOOKUP(A2347,'[1]Global_Spot Prices'!$B:$B,'[1]Global_Spot Prices'!$BS:$BS)</f>
        <v>9.6500000000000057</v>
      </c>
      <c r="C2347">
        <f>_xlfn.XLOOKUP(A2347,'[1]Global_Spot Prices'!$B:$B,'[1]Global_Spot Prices'!$E:$E)</f>
        <v>79.099999999999994</v>
      </c>
      <c r="D2347">
        <f>_xlfn.XLOOKUP(A2347,'[1]Global_Spot Prices'!$B:$B,'[1]Global_Spot Prices'!$D:$D)</f>
        <v>79.12</v>
      </c>
      <c r="E2347">
        <f>_xlfn.XLOOKUP(A2347,'[1]Global_Spot Prices'!$B:$B,'[1]Global_Spot Prices'!$H:$H)</f>
        <v>75.069999999999993</v>
      </c>
      <c r="F2347">
        <f>_xlfn.XLOOKUP(A2347,'[1]Global_Spot Prices'!$B:$B,'[1]Global_Spot Prices'!$I:$I)</f>
        <v>88.75</v>
      </c>
      <c r="G2347" cm="1">
        <f t="array" ref="G2347">_xlfn.XLOOKUP(TEXT(A2347, "mmm-yy"), TEXT([2]RUNS!$B$5:$B$208, "mmm-yy"), [2]RUNS!$D$5:$D$208, "Not Found")</f>
        <v>30594.789873968286</v>
      </c>
      <c r="H2347" cm="1">
        <f t="array" ref="H2347">SUMPRODUCT(
    --(TEXT('[3]Global Weekly Stock (EWSuez'!$B$4:$B$2000,"mmm-yy")=TEXT(A2347,"mmm-yy")),
    '[3]Global Weekly Stock (EWSuez'!$E$4:$E$2000)
/
SUMPRODUCT(
    --(TEXT('[3]Global Weekly Stock (EWSuez'!$B$4:$B$2000,"mmm-yy")=TEXT(A2347,"mmm-yy"))
)</f>
        <v>12638</v>
      </c>
      <c r="I2347">
        <f>_xlfn.XLOOKUP(A2347,[1]ForwardDeriv!$D:$D,[1]ForwardDeriv!$AJ:$AJ)</f>
        <v>0.37999999999999545</v>
      </c>
      <c r="J2347" cm="1">
        <f t="array" ref="J2347">_xlfn.XLOOKUP(TEXT(A2347, "mmm-yy"), TEXT([2]GASOLINE!$B$5:$B$208, "mmm-yy"), [2]GASOLINE!$IR$5:$IR$208, "Not Found")</f>
        <v>-166.17412808397947</v>
      </c>
      <c r="K2347" cm="1">
        <f t="array" ref="K2347">_xlfn.XLOOKUP(TEXT(A2347, "mmm-yy"), TEXT([2]GASOLINE!$B$5:$B$208, "mmm-yy"), [2]GASOLINE!$IK$5:$IK$208, "Not Found")</f>
        <v>211.19880283273517</v>
      </c>
      <c r="L2347">
        <f t="shared" si="36"/>
        <v>0</v>
      </c>
      <c r="M2347" cm="1">
        <f t="array" ref="M2347">_xlfn.XLOOKUP(TEXT(A2347, "mmm-yy"), TEXT([2]GASOLINE!$B$5:$B$208, "mmm-yy"), [2]GASOLINE!$C$5:$C$208, "Not Found")</f>
        <v>7512.4057393745679</v>
      </c>
      <c r="N2347" cm="1">
        <f t="array" ref="N2347">_xlfn.XLOOKUP(TEXT(A2347, "mmm-yy"), TEXT([2]RUNS!$B$5:$B$208, "mmm-yy"), [2]RUNS!$BM$5:$BM$208, "Not Found")</f>
        <v>0.82921923232576733</v>
      </c>
    </row>
    <row r="2348" spans="1:14" x14ac:dyDescent="0.25">
      <c r="A2348" s="1">
        <f>'[1]Global_Spot Prices'!$B3657</f>
        <v>45289</v>
      </c>
      <c r="B2348">
        <f>_xlfn.XLOOKUP(A2348,'[1]Global_Spot Prices'!$B:$B,'[1]Global_Spot Prices'!$BS:$BS)</f>
        <v>10.525000000000006</v>
      </c>
      <c r="C2348">
        <f>_xlfn.XLOOKUP(A2348,'[1]Global_Spot Prices'!$B:$B,'[1]Global_Spot Prices'!$E:$E)</f>
        <v>77.094999999999999</v>
      </c>
      <c r="D2348">
        <f>_xlfn.XLOOKUP(A2348,'[1]Global_Spot Prices'!$B:$B,'[1]Global_Spot Prices'!$D:$D)</f>
        <v>77.584999999999994</v>
      </c>
      <c r="E2348">
        <f>_xlfn.XLOOKUP(A2348,'[1]Global_Spot Prices'!$B:$B,'[1]Global_Spot Prices'!$H:$H)</f>
        <v>73.239999999999995</v>
      </c>
      <c r="F2348">
        <f>_xlfn.XLOOKUP(A2348,'[1]Global_Spot Prices'!$B:$B,'[1]Global_Spot Prices'!$I:$I)</f>
        <v>87.62</v>
      </c>
      <c r="G2348" cm="1">
        <f t="array" ref="G2348">_xlfn.XLOOKUP(TEXT(A2348, "mmm-yy"), TEXT([2]RUNS!$B$5:$B$208, "mmm-yy"), [2]RUNS!$D$5:$D$208, "Not Found")</f>
        <v>30594.789873968286</v>
      </c>
      <c r="H2348" cm="1">
        <f t="array" ref="H2348">SUMPRODUCT(
    --(TEXT('[3]Global Weekly Stock (EWSuez'!$B$4:$B$2000,"mmm-yy")=TEXT(A2348,"mmm-yy")),
    '[3]Global Weekly Stock (EWSuez'!$E$4:$E$2000)
/
SUMPRODUCT(
    --(TEXT('[3]Global Weekly Stock (EWSuez'!$B$4:$B$2000,"mmm-yy")=TEXT(A2348,"mmm-yy"))
)</f>
        <v>12638</v>
      </c>
      <c r="I2348">
        <f>_xlfn.XLOOKUP(A2348,[1]ForwardDeriv!$D:$D,[1]ForwardDeriv!$AJ:$AJ)</f>
        <v>0.49000000000000909</v>
      </c>
      <c r="J2348" cm="1">
        <f t="array" ref="J2348">_xlfn.XLOOKUP(TEXT(A2348, "mmm-yy"), TEXT([2]GASOLINE!$B$5:$B$208, "mmm-yy"), [2]GASOLINE!$IR$5:$IR$208, "Not Found")</f>
        <v>-166.17412808397947</v>
      </c>
      <c r="K2348" cm="1">
        <f t="array" ref="K2348">_xlfn.XLOOKUP(TEXT(A2348, "mmm-yy"), TEXT([2]GASOLINE!$B$5:$B$208, "mmm-yy"), [2]GASOLINE!$IK$5:$IK$208, "Not Found")</f>
        <v>211.19880283273517</v>
      </c>
      <c r="L2348">
        <f t="shared" si="36"/>
        <v>0</v>
      </c>
      <c r="M2348" cm="1">
        <f t="array" ref="M2348">_xlfn.XLOOKUP(TEXT(A2348, "mmm-yy"), TEXT([2]GASOLINE!$B$5:$B$208, "mmm-yy"), [2]GASOLINE!$C$5:$C$208, "Not Found")</f>
        <v>7512.4057393745679</v>
      </c>
      <c r="N2348" cm="1">
        <f t="array" ref="N2348">_xlfn.XLOOKUP(TEXT(A2348, "mmm-yy"), TEXT([2]RUNS!$B$5:$B$208, "mmm-yy"), [2]RUNS!$BM$5:$BM$208, "Not Found")</f>
        <v>0.82921923232576733</v>
      </c>
    </row>
    <row r="2349" spans="1:14" x14ac:dyDescent="0.25">
      <c r="A2349" s="1">
        <f>'[1]Global_Spot Prices'!$B3658</f>
        <v>45292</v>
      </c>
      <c r="B2349" t="e">
        <f>_xlfn.XLOOKUP(A2349,'[1]Global_Spot Prices'!$B:$B,'[1]Global_Spot Prices'!$BS:$BS)</f>
        <v>#N/A</v>
      </c>
      <c r="C2349" t="str">
        <f>_xlfn.XLOOKUP(A2349,'[1]Global_Spot Prices'!$B:$B,'[1]Global_Spot Prices'!$E:$E)</f>
        <v/>
      </c>
      <c r="D2349" t="str">
        <f>_xlfn.XLOOKUP(A2349,'[1]Global_Spot Prices'!$B:$B,'[1]Global_Spot Prices'!$D:$D)</f>
        <v/>
      </c>
      <c r="E2349">
        <f>_xlfn.XLOOKUP(A2349,'[1]Global_Spot Prices'!$B:$B,'[1]Global_Spot Prices'!$H:$H)</f>
        <v>0</v>
      </c>
      <c r="F2349">
        <f>_xlfn.XLOOKUP(A2349,'[1]Global_Spot Prices'!$B:$B,'[1]Global_Spot Prices'!$I:$I)</f>
        <v>0</v>
      </c>
      <c r="G2349" cm="1">
        <f t="array" ref="G2349">_xlfn.XLOOKUP(TEXT(A2349, "mmm-yy"), TEXT([2]RUNS!$B$5:$B$208, "mmm-yy"), [2]RUNS!$D$5:$D$208, "Not Found")</f>
        <v>30457.757927227103</v>
      </c>
      <c r="H2349" cm="1">
        <f t="array" ref="H2349">SUMPRODUCT(
    --(TEXT('[3]Global Weekly Stock (EWSuez'!$B$4:$B$2000,"mmm-yy")=TEXT(A2349,"mmm-yy")),
    '[3]Global Weekly Stock (EWSuez'!$E$4:$E$2000)
/
SUMPRODUCT(
    --(TEXT('[3]Global Weekly Stock (EWSuez'!$B$4:$B$2000,"mmm-yy")=TEXT(A2349,"mmm-yy"))
)</f>
        <v>13001.25</v>
      </c>
      <c r="I2349">
        <f>_xlfn.XLOOKUP(A2349,[1]ForwardDeriv!$D:$D,[1]ForwardDeriv!$AJ:$AJ)</f>
        <v>0.5</v>
      </c>
      <c r="J2349" cm="1">
        <f t="array" ref="J2349">_xlfn.XLOOKUP(TEXT(A2349, "mmm-yy"), TEXT([2]GASOLINE!$B$5:$B$208, "mmm-yy"), [2]GASOLINE!$IR$5:$IR$208, "Not Found")</f>
        <v>-268.15764593202715</v>
      </c>
      <c r="K2349" cm="1">
        <f t="array" ref="K2349">_xlfn.XLOOKUP(TEXT(A2349, "mmm-yy"), TEXT([2]GASOLINE!$B$5:$B$208, "mmm-yy"), [2]GASOLINE!$IK$5:$IK$208, "Not Found")</f>
        <v>228.10986466049698</v>
      </c>
      <c r="L2349">
        <f t="shared" si="36"/>
        <v>0</v>
      </c>
      <c r="M2349" cm="1">
        <f t="array" ref="M2349">_xlfn.XLOOKUP(TEXT(A2349, "mmm-yy"), TEXT([2]GASOLINE!$B$5:$B$208, "mmm-yy"), [2]GASOLINE!$C$5:$C$208, "Not Found")</f>
        <v>7798.0978204065104</v>
      </c>
      <c r="N2349" cm="1">
        <f t="array" ref="N2349">_xlfn.XLOOKUP(TEXT(A2349, "mmm-yy"), TEXT([2]RUNS!$B$5:$B$208, "mmm-yy"), [2]RUNS!$BM$5:$BM$208, "Not Found")</f>
        <v>0.82550521676465671</v>
      </c>
    </row>
    <row r="2350" spans="1:14" x14ac:dyDescent="0.25">
      <c r="A2350" s="1">
        <f>'[1]Global_Spot Prices'!$B3659</f>
        <v>45293</v>
      </c>
      <c r="B2350">
        <f>_xlfn.XLOOKUP(A2350,'[1]Global_Spot Prices'!$B:$B,'[1]Global_Spot Prices'!$BS:$BS)</f>
        <v>9.6650000000000063</v>
      </c>
      <c r="C2350">
        <f>_xlfn.XLOOKUP(A2350,'[1]Global_Spot Prices'!$B:$B,'[1]Global_Spot Prices'!$E:$E)</f>
        <v>78.094999999999999</v>
      </c>
      <c r="D2350">
        <f>_xlfn.XLOOKUP(A2350,'[1]Global_Spot Prices'!$B:$B,'[1]Global_Spot Prices'!$D:$D)</f>
        <v>75.7</v>
      </c>
      <c r="E2350">
        <f>_xlfn.XLOOKUP(A2350,'[1]Global_Spot Prices'!$B:$B,'[1]Global_Spot Prices'!$H:$H)</f>
        <v>72.64</v>
      </c>
      <c r="F2350">
        <f>_xlfn.XLOOKUP(A2350,'[1]Global_Spot Prices'!$B:$B,'[1]Global_Spot Prices'!$I:$I)</f>
        <v>87.76</v>
      </c>
      <c r="G2350" cm="1">
        <f t="array" ref="G2350">_xlfn.XLOOKUP(TEXT(A2350, "mmm-yy"), TEXT([2]RUNS!$B$5:$B$208, "mmm-yy"), [2]RUNS!$D$5:$D$208, "Not Found")</f>
        <v>30457.757927227103</v>
      </c>
      <c r="H2350" cm="1">
        <f t="array" ref="H2350">SUMPRODUCT(
    --(TEXT('[3]Global Weekly Stock (EWSuez'!$B$4:$B$2000,"mmm-yy")=TEXT(A2350,"mmm-yy")),
    '[3]Global Weekly Stock (EWSuez'!$E$4:$E$2000)
/
SUMPRODUCT(
    --(TEXT('[3]Global Weekly Stock (EWSuez'!$B$4:$B$2000,"mmm-yy")=TEXT(A2350,"mmm-yy"))
)</f>
        <v>13001.25</v>
      </c>
      <c r="I2350">
        <f>_xlfn.XLOOKUP(A2350,[1]ForwardDeriv!$D:$D,[1]ForwardDeriv!$AJ:$AJ)</f>
        <v>0.5</v>
      </c>
      <c r="J2350" cm="1">
        <f t="array" ref="J2350">_xlfn.XLOOKUP(TEXT(A2350, "mmm-yy"), TEXT([2]GASOLINE!$B$5:$B$208, "mmm-yy"), [2]GASOLINE!$IR$5:$IR$208, "Not Found")</f>
        <v>-268.15764593202715</v>
      </c>
      <c r="K2350" cm="1">
        <f t="array" ref="K2350">_xlfn.XLOOKUP(TEXT(A2350, "mmm-yy"), TEXT([2]GASOLINE!$B$5:$B$208, "mmm-yy"), [2]GASOLINE!$IK$5:$IK$208, "Not Found")</f>
        <v>228.10986466049698</v>
      </c>
      <c r="L2350">
        <f t="shared" si="36"/>
        <v>0</v>
      </c>
      <c r="M2350" cm="1">
        <f t="array" ref="M2350">_xlfn.XLOOKUP(TEXT(A2350, "mmm-yy"), TEXT([2]GASOLINE!$B$5:$B$208, "mmm-yy"), [2]GASOLINE!$C$5:$C$208, "Not Found")</f>
        <v>7798.0978204065104</v>
      </c>
      <c r="N2350" cm="1">
        <f t="array" ref="N2350">_xlfn.XLOOKUP(TEXT(A2350, "mmm-yy"), TEXT([2]RUNS!$B$5:$B$208, "mmm-yy"), [2]RUNS!$BM$5:$BM$208, "Not Found")</f>
        <v>0.82550521676465671</v>
      </c>
    </row>
    <row r="2351" spans="1:14" x14ac:dyDescent="0.25">
      <c r="A2351" s="1">
        <f>'[1]Global_Spot Prices'!$B3660</f>
        <v>45294</v>
      </c>
      <c r="B2351">
        <f>_xlfn.XLOOKUP(A2351,'[1]Global_Spot Prices'!$B:$B,'[1]Global_Spot Prices'!$BS:$BS)</f>
        <v>10.419999999999987</v>
      </c>
      <c r="C2351">
        <f ca="1">_xlfn.XLOOKUP(A2351,'[1]Global_Spot Prices'!$B:$B,'[1]Global_Spot Prices'!$E:$E)</f>
        <v>75.290000000000006</v>
      </c>
      <c r="D2351">
        <f>_xlfn.XLOOKUP(A2351,'[1]Global_Spot Prices'!$B:$B,'[1]Global_Spot Prices'!$D:$D)</f>
        <v>77.33</v>
      </c>
      <c r="E2351">
        <f>_xlfn.XLOOKUP(A2351,'[1]Global_Spot Prices'!$B:$B,'[1]Global_Spot Prices'!$H:$H)</f>
        <v>70.03</v>
      </c>
      <c r="F2351">
        <f>_xlfn.XLOOKUP(A2351,'[1]Global_Spot Prices'!$B:$B,'[1]Global_Spot Prices'!$I:$I)</f>
        <v>85.71</v>
      </c>
      <c r="G2351" cm="1">
        <f t="array" ref="G2351">_xlfn.XLOOKUP(TEXT(A2351, "mmm-yy"), TEXT([2]RUNS!$B$5:$B$208, "mmm-yy"), [2]RUNS!$D$5:$D$208, "Not Found")</f>
        <v>30457.757927227103</v>
      </c>
      <c r="H2351" cm="1">
        <f t="array" ref="H2351">SUMPRODUCT(
    --(TEXT('[3]Global Weekly Stock (EWSuez'!$B$4:$B$2000,"mmm-yy")=TEXT(A2351,"mmm-yy")),
    '[3]Global Weekly Stock (EWSuez'!$E$4:$E$2000)
/
SUMPRODUCT(
    --(TEXT('[3]Global Weekly Stock (EWSuez'!$B$4:$B$2000,"mmm-yy")=TEXT(A2351,"mmm-yy"))
)</f>
        <v>13001.25</v>
      </c>
      <c r="I2351">
        <f>_xlfn.XLOOKUP(A2351,[1]ForwardDeriv!$D:$D,[1]ForwardDeriv!$AJ:$AJ)</f>
        <v>0.43999999999999773</v>
      </c>
      <c r="J2351" cm="1">
        <f t="array" ref="J2351">_xlfn.XLOOKUP(TEXT(A2351, "mmm-yy"), TEXT([2]GASOLINE!$B$5:$B$208, "mmm-yy"), [2]GASOLINE!$IR$5:$IR$208, "Not Found")</f>
        <v>-268.15764593202715</v>
      </c>
      <c r="K2351" cm="1">
        <f t="array" ref="K2351">_xlfn.XLOOKUP(TEXT(A2351, "mmm-yy"), TEXT([2]GASOLINE!$B$5:$B$208, "mmm-yy"), [2]GASOLINE!$IK$5:$IK$208, "Not Found")</f>
        <v>228.10986466049698</v>
      </c>
      <c r="L2351">
        <f t="shared" si="36"/>
        <v>0</v>
      </c>
      <c r="M2351" cm="1">
        <f t="array" ref="M2351">_xlfn.XLOOKUP(TEXT(A2351, "mmm-yy"), TEXT([2]GASOLINE!$B$5:$B$208, "mmm-yy"), [2]GASOLINE!$C$5:$C$208, "Not Found")</f>
        <v>7798.0978204065104</v>
      </c>
      <c r="N2351" cm="1">
        <f t="array" ref="N2351">_xlfn.XLOOKUP(TEXT(A2351, "mmm-yy"), TEXT([2]RUNS!$B$5:$B$208, "mmm-yy"), [2]RUNS!$BM$5:$BM$208, "Not Found")</f>
        <v>0.82550521676465671</v>
      </c>
    </row>
    <row r="2352" spans="1:14" x14ac:dyDescent="0.25">
      <c r="A2352" s="1">
        <f>'[1]Global_Spot Prices'!$B3661</f>
        <v>45295</v>
      </c>
      <c r="B2352">
        <f>_xlfn.XLOOKUP(A2352,'[1]Global_Spot Prices'!$B:$B,'[1]Global_Spot Prices'!$BS:$BS)</f>
        <v>10.629999999999995</v>
      </c>
      <c r="C2352">
        <f>_xlfn.XLOOKUP(A2352,'[1]Global_Spot Prices'!$B:$B,'[1]Global_Spot Prices'!$E:$E)</f>
        <v>78.650000000000006</v>
      </c>
      <c r="D2352">
        <f>_xlfn.XLOOKUP(A2352,'[1]Global_Spot Prices'!$B:$B,'[1]Global_Spot Prices'!$D:$D)</f>
        <v>76.015000000000001</v>
      </c>
      <c r="E2352">
        <f ca="1">_xlfn.XLOOKUP(A2352,'[1]Global_Spot Prices'!$B:$B,'[1]Global_Spot Prices'!$H:$H)</f>
        <v>72.010000000000005</v>
      </c>
      <c r="F2352">
        <f>_xlfn.XLOOKUP(A2352,'[1]Global_Spot Prices'!$B:$B,'[1]Global_Spot Prices'!$I:$I)</f>
        <v>89.28</v>
      </c>
      <c r="G2352" cm="1">
        <f t="array" ref="G2352">_xlfn.XLOOKUP(TEXT(A2352, "mmm-yy"), TEXT([2]RUNS!$B$5:$B$208, "mmm-yy"), [2]RUNS!$D$5:$D$208, "Not Found")</f>
        <v>30457.757927227103</v>
      </c>
      <c r="H2352" cm="1">
        <f t="array" ref="H2352">SUMPRODUCT(
    --(TEXT('[3]Global Weekly Stock (EWSuez'!$B$4:$B$2000,"mmm-yy")=TEXT(A2352,"mmm-yy")),
    '[3]Global Weekly Stock (EWSuez'!$E$4:$E$2000)
/
SUMPRODUCT(
    --(TEXT('[3]Global Weekly Stock (EWSuez'!$B$4:$B$2000,"mmm-yy")=TEXT(A2352,"mmm-yy"))
)</f>
        <v>13001.25</v>
      </c>
      <c r="I2352">
        <f>_xlfn.XLOOKUP(A2352,[1]ForwardDeriv!$D:$D,[1]ForwardDeriv!$AJ:$AJ)</f>
        <v>0.48000000000000398</v>
      </c>
      <c r="J2352" cm="1">
        <f t="array" ref="J2352">_xlfn.XLOOKUP(TEXT(A2352, "mmm-yy"), TEXT([2]GASOLINE!$B$5:$B$208, "mmm-yy"), [2]GASOLINE!$IR$5:$IR$208, "Not Found")</f>
        <v>-268.15764593202715</v>
      </c>
      <c r="K2352" cm="1">
        <f t="array" ref="K2352">_xlfn.XLOOKUP(TEXT(A2352, "mmm-yy"), TEXT([2]GASOLINE!$B$5:$B$208, "mmm-yy"), [2]GASOLINE!$IK$5:$IK$208, "Not Found")</f>
        <v>228.10986466049698</v>
      </c>
      <c r="L2352">
        <f t="shared" si="36"/>
        <v>0</v>
      </c>
      <c r="M2352" cm="1">
        <f t="array" ref="M2352">_xlfn.XLOOKUP(TEXT(A2352, "mmm-yy"), TEXT([2]GASOLINE!$B$5:$B$208, "mmm-yy"), [2]GASOLINE!$C$5:$C$208, "Not Found")</f>
        <v>7798.0978204065104</v>
      </c>
      <c r="N2352" cm="1">
        <f t="array" ref="N2352">_xlfn.XLOOKUP(TEXT(A2352, "mmm-yy"), TEXT([2]RUNS!$B$5:$B$208, "mmm-yy"), [2]RUNS!$BM$5:$BM$208, "Not Found")</f>
        <v>0.82550521676465671</v>
      </c>
    </row>
    <row r="2353" spans="1:14" x14ac:dyDescent="0.25">
      <c r="A2353" s="1">
        <f>'[1]Global_Spot Prices'!$B3662</f>
        <v>45296</v>
      </c>
      <c r="B2353">
        <f ca="1">_xlfn.XLOOKUP(A2353,'[1]Global_Spot Prices'!$B:$B,'[1]Global_Spot Prices'!$BS:$BS)</f>
        <v>9.5</v>
      </c>
      <c r="C2353">
        <f>_xlfn.XLOOKUP(A2353,'[1]Global_Spot Prices'!$B:$B,'[1]Global_Spot Prices'!$E:$E)</f>
        <v>77.75</v>
      </c>
      <c r="D2353">
        <f>_xlfn.XLOOKUP(A2353,'[1]Global_Spot Prices'!$B:$B,'[1]Global_Spot Prices'!$D:$D)</f>
        <v>78.75</v>
      </c>
      <c r="E2353">
        <f>_xlfn.XLOOKUP(A2353,'[1]Global_Spot Prices'!$B:$B,'[1]Global_Spot Prices'!$H:$H)</f>
        <v>69.95</v>
      </c>
      <c r="F2353">
        <f>_xlfn.XLOOKUP(A2353,'[1]Global_Spot Prices'!$B:$B,'[1]Global_Spot Prices'!$I:$I)</f>
        <v>87.25</v>
      </c>
      <c r="G2353" cm="1">
        <f t="array" ref="G2353">_xlfn.XLOOKUP(TEXT(A2353, "mmm-yy"), TEXT([2]RUNS!$B$5:$B$208, "mmm-yy"), [2]RUNS!$D$5:$D$208, "Not Found")</f>
        <v>30457.757927227103</v>
      </c>
      <c r="H2353" cm="1">
        <f t="array" ref="H2353">SUMPRODUCT(
    --(TEXT('[3]Global Weekly Stock (EWSuez'!$B$4:$B$2000,"mmm-yy")=TEXT(A2353,"mmm-yy")),
    '[3]Global Weekly Stock (EWSuez'!$E$4:$E$2000)
/
SUMPRODUCT(
    --(TEXT('[3]Global Weekly Stock (EWSuez'!$B$4:$B$2000,"mmm-yy")=TEXT(A2353,"mmm-yy"))
)</f>
        <v>13001.25</v>
      </c>
      <c r="I2353">
        <f>_xlfn.XLOOKUP(A2353,[1]ForwardDeriv!$D:$D,[1]ForwardDeriv!$AJ:$AJ)</f>
        <v>0.37999999999999545</v>
      </c>
      <c r="J2353" cm="1">
        <f t="array" ref="J2353">_xlfn.XLOOKUP(TEXT(A2353, "mmm-yy"), TEXT([2]GASOLINE!$B$5:$B$208, "mmm-yy"), [2]GASOLINE!$IR$5:$IR$208, "Not Found")</f>
        <v>-268.15764593202715</v>
      </c>
      <c r="K2353" cm="1">
        <f t="array" ref="K2353">_xlfn.XLOOKUP(TEXT(A2353, "mmm-yy"), TEXT([2]GASOLINE!$B$5:$B$208, "mmm-yy"), [2]GASOLINE!$IK$5:$IK$208, "Not Found")</f>
        <v>228.10986466049698</v>
      </c>
      <c r="L2353">
        <f t="shared" si="36"/>
        <v>0</v>
      </c>
      <c r="M2353" cm="1">
        <f t="array" ref="M2353">_xlfn.XLOOKUP(TEXT(A2353, "mmm-yy"), TEXT([2]GASOLINE!$B$5:$B$208, "mmm-yy"), [2]GASOLINE!$C$5:$C$208, "Not Found")</f>
        <v>7798.0978204065104</v>
      </c>
      <c r="N2353" cm="1">
        <f t="array" ref="N2353">_xlfn.XLOOKUP(TEXT(A2353, "mmm-yy"), TEXT([2]RUNS!$B$5:$B$208, "mmm-yy"), [2]RUNS!$BM$5:$BM$208, "Not Found")</f>
        <v>0.82550521676465671</v>
      </c>
    </row>
    <row r="2354" spans="1:14" x14ac:dyDescent="0.25">
      <c r="A2354" s="1">
        <f>'[1]Global_Spot Prices'!$B3663</f>
        <v>45299</v>
      </c>
      <c r="B2354">
        <f>_xlfn.XLOOKUP(A2354,'[1]Global_Spot Prices'!$B:$B,'[1]Global_Spot Prices'!$BS:$BS)</f>
        <v>8.8299999999999983</v>
      </c>
      <c r="C2354">
        <f>_xlfn.XLOOKUP(A2354,'[1]Global_Spot Prices'!$B:$B,'[1]Global_Spot Prices'!$E:$E)</f>
        <v>77.86</v>
      </c>
      <c r="D2354">
        <f>_xlfn.XLOOKUP(A2354,'[1]Global_Spot Prices'!$B:$B,'[1]Global_Spot Prices'!$D:$D)</f>
        <v>75.825000000000003</v>
      </c>
      <c r="E2354">
        <f>_xlfn.XLOOKUP(A2354,'[1]Global_Spot Prices'!$B:$B,'[1]Global_Spot Prices'!$H:$H)</f>
        <v>69.95</v>
      </c>
      <c r="F2354">
        <f>_xlfn.XLOOKUP(A2354,'[1]Global_Spot Prices'!$B:$B,'[1]Global_Spot Prices'!$I:$I)</f>
        <v>86.69</v>
      </c>
      <c r="G2354" cm="1">
        <f t="array" ref="G2354">_xlfn.XLOOKUP(TEXT(A2354, "mmm-yy"), TEXT([2]RUNS!$B$5:$B$208, "mmm-yy"), [2]RUNS!$D$5:$D$208, "Not Found")</f>
        <v>30457.757927227103</v>
      </c>
      <c r="H2354" cm="1">
        <f t="array" ref="H2354">SUMPRODUCT(
    --(TEXT('[3]Global Weekly Stock (EWSuez'!$B$4:$B$2000,"mmm-yy")=TEXT(A2354,"mmm-yy")),
    '[3]Global Weekly Stock (EWSuez'!$E$4:$E$2000)
/
SUMPRODUCT(
    --(TEXT('[3]Global Weekly Stock (EWSuez'!$B$4:$B$2000,"mmm-yy")=TEXT(A2354,"mmm-yy"))
)</f>
        <v>13001.25</v>
      </c>
      <c r="I2354">
        <f>_xlfn.XLOOKUP(A2354,[1]ForwardDeriv!$D:$D,[1]ForwardDeriv!$AJ:$AJ)</f>
        <v>0.29999999999999716</v>
      </c>
      <c r="J2354" cm="1">
        <f t="array" ref="J2354">_xlfn.XLOOKUP(TEXT(A2354, "mmm-yy"), TEXT([2]GASOLINE!$B$5:$B$208, "mmm-yy"), [2]GASOLINE!$IR$5:$IR$208, "Not Found")</f>
        <v>-268.15764593202715</v>
      </c>
      <c r="K2354" cm="1">
        <f t="array" ref="K2354">_xlfn.XLOOKUP(TEXT(A2354, "mmm-yy"), TEXT([2]GASOLINE!$B$5:$B$208, "mmm-yy"), [2]GASOLINE!$IK$5:$IK$208, "Not Found")</f>
        <v>228.10986466049698</v>
      </c>
      <c r="L2354">
        <f t="shared" si="36"/>
        <v>0</v>
      </c>
      <c r="M2354" cm="1">
        <f t="array" ref="M2354">_xlfn.XLOOKUP(TEXT(A2354, "mmm-yy"), TEXT([2]GASOLINE!$B$5:$B$208, "mmm-yy"), [2]GASOLINE!$C$5:$C$208, "Not Found")</f>
        <v>7798.0978204065104</v>
      </c>
      <c r="N2354" cm="1">
        <f t="array" ref="N2354">_xlfn.XLOOKUP(TEXT(A2354, "mmm-yy"), TEXT([2]RUNS!$B$5:$B$208, "mmm-yy"), [2]RUNS!$BM$5:$BM$208, "Not Found")</f>
        <v>0.82550521676465671</v>
      </c>
    </row>
    <row r="2355" spans="1:14" x14ac:dyDescent="0.25">
      <c r="A2355" s="1">
        <f>'[1]Global_Spot Prices'!$B3664</f>
        <v>45300</v>
      </c>
      <c r="B2355">
        <f>_xlfn.XLOOKUP(A2355,'[1]Global_Spot Prices'!$B:$B,'[1]Global_Spot Prices'!$BS:$BS)</f>
        <v>8.25</v>
      </c>
      <c r="C2355">
        <f>_xlfn.XLOOKUP(A2355,'[1]Global_Spot Prices'!$B:$B,'[1]Global_Spot Prices'!$E:$E)</f>
        <v>76.849999999999994</v>
      </c>
      <c r="D2355">
        <f>_xlfn.XLOOKUP(A2355,'[1]Global_Spot Prices'!$B:$B,'[1]Global_Spot Prices'!$D:$D)</f>
        <v>78.905000000000001</v>
      </c>
      <c r="E2355">
        <f>_xlfn.XLOOKUP(A2355,'[1]Global_Spot Prices'!$B:$B,'[1]Global_Spot Prices'!$H:$H)</f>
        <v>69.760000000000005</v>
      </c>
      <c r="F2355">
        <f>_xlfn.XLOOKUP(A2355,'[1]Global_Spot Prices'!$B:$B,'[1]Global_Spot Prices'!$I:$I)</f>
        <v>85.1</v>
      </c>
      <c r="G2355" cm="1">
        <f t="array" ref="G2355">_xlfn.XLOOKUP(TEXT(A2355, "mmm-yy"), TEXT([2]RUNS!$B$5:$B$208, "mmm-yy"), [2]RUNS!$D$5:$D$208, "Not Found")</f>
        <v>30457.757927227103</v>
      </c>
      <c r="H2355" cm="1">
        <f t="array" ref="H2355">SUMPRODUCT(
    --(TEXT('[3]Global Weekly Stock (EWSuez'!$B$4:$B$2000,"mmm-yy")=TEXT(A2355,"mmm-yy")),
    '[3]Global Weekly Stock (EWSuez'!$E$4:$E$2000)
/
SUMPRODUCT(
    --(TEXT('[3]Global Weekly Stock (EWSuez'!$B$4:$B$2000,"mmm-yy")=TEXT(A2355,"mmm-yy"))
)</f>
        <v>13001.25</v>
      </c>
      <c r="I2355">
        <f>_xlfn.XLOOKUP(A2355,[1]ForwardDeriv!$D:$D,[1]ForwardDeriv!$AJ:$AJ)</f>
        <v>0.26999999999999602</v>
      </c>
      <c r="J2355" cm="1">
        <f t="array" ref="J2355">_xlfn.XLOOKUP(TEXT(A2355, "mmm-yy"), TEXT([2]GASOLINE!$B$5:$B$208, "mmm-yy"), [2]GASOLINE!$IR$5:$IR$208, "Not Found")</f>
        <v>-268.15764593202715</v>
      </c>
      <c r="K2355" cm="1">
        <f t="array" ref="K2355">_xlfn.XLOOKUP(TEXT(A2355, "mmm-yy"), TEXT([2]GASOLINE!$B$5:$B$208, "mmm-yy"), [2]GASOLINE!$IK$5:$IK$208, "Not Found")</f>
        <v>228.10986466049698</v>
      </c>
      <c r="L2355">
        <f t="shared" si="36"/>
        <v>0</v>
      </c>
      <c r="M2355" cm="1">
        <f t="array" ref="M2355">_xlfn.XLOOKUP(TEXT(A2355, "mmm-yy"), TEXT([2]GASOLINE!$B$5:$B$208, "mmm-yy"), [2]GASOLINE!$C$5:$C$208, "Not Found")</f>
        <v>7798.0978204065104</v>
      </c>
      <c r="N2355" cm="1">
        <f t="array" ref="N2355">_xlfn.XLOOKUP(TEXT(A2355, "mmm-yy"), TEXT([2]RUNS!$B$5:$B$208, "mmm-yy"), [2]RUNS!$BM$5:$BM$208, "Not Found")</f>
        <v>0.82550521676465671</v>
      </c>
    </row>
    <row r="2356" spans="1:14" x14ac:dyDescent="0.25">
      <c r="A2356" s="1">
        <f>'[1]Global_Spot Prices'!$B3665</f>
        <v>45301</v>
      </c>
      <c r="B2356">
        <f>_xlfn.XLOOKUP(A2356,'[1]Global_Spot Prices'!$B:$B,'[1]Global_Spot Prices'!$BS:$BS)</f>
        <v>9.36</v>
      </c>
      <c r="C2356">
        <f>_xlfn.XLOOKUP(A2356,'[1]Global_Spot Prices'!$B:$B,'[1]Global_Spot Prices'!$E:$E)</f>
        <v>78</v>
      </c>
      <c r="D2356">
        <f>_xlfn.XLOOKUP(A2356,'[1]Global_Spot Prices'!$B:$B,'[1]Global_Spot Prices'!$D:$D)</f>
        <v>78.739999999999995</v>
      </c>
      <c r="E2356">
        <f>_xlfn.XLOOKUP(A2356,'[1]Global_Spot Prices'!$B:$B,'[1]Global_Spot Prices'!$H:$H)</f>
        <v>70.510000000000005</v>
      </c>
      <c r="F2356">
        <f>_xlfn.XLOOKUP(A2356,'[1]Global_Spot Prices'!$B:$B,'[1]Global_Spot Prices'!$I:$I)</f>
        <v>87.36</v>
      </c>
      <c r="G2356" cm="1">
        <f t="array" ref="G2356">_xlfn.XLOOKUP(TEXT(A2356, "mmm-yy"), TEXT([2]RUNS!$B$5:$B$208, "mmm-yy"), [2]RUNS!$D$5:$D$208, "Not Found")</f>
        <v>30457.757927227103</v>
      </c>
      <c r="H2356" cm="1">
        <f t="array" ref="H2356">SUMPRODUCT(
    --(TEXT('[3]Global Weekly Stock (EWSuez'!$B$4:$B$2000,"mmm-yy")=TEXT(A2356,"mmm-yy")),
    '[3]Global Weekly Stock (EWSuez'!$E$4:$E$2000)
/
SUMPRODUCT(
    --(TEXT('[3]Global Weekly Stock (EWSuez'!$B$4:$B$2000,"mmm-yy")=TEXT(A2356,"mmm-yy"))
)</f>
        <v>13001.25</v>
      </c>
      <c r="I2356">
        <f>_xlfn.XLOOKUP(A2356,[1]ForwardDeriv!$D:$D,[1]ForwardDeriv!$AJ:$AJ)</f>
        <v>0.42999999999999261</v>
      </c>
      <c r="J2356" cm="1">
        <f t="array" ref="J2356">_xlfn.XLOOKUP(TEXT(A2356, "mmm-yy"), TEXT([2]GASOLINE!$B$5:$B$208, "mmm-yy"), [2]GASOLINE!$IR$5:$IR$208, "Not Found")</f>
        <v>-268.15764593202715</v>
      </c>
      <c r="K2356" cm="1">
        <f t="array" ref="K2356">_xlfn.XLOOKUP(TEXT(A2356, "mmm-yy"), TEXT([2]GASOLINE!$B$5:$B$208, "mmm-yy"), [2]GASOLINE!$IK$5:$IK$208, "Not Found")</f>
        <v>228.10986466049698</v>
      </c>
      <c r="L2356">
        <f t="shared" si="36"/>
        <v>0</v>
      </c>
      <c r="M2356" cm="1">
        <f t="array" ref="M2356">_xlfn.XLOOKUP(TEXT(A2356, "mmm-yy"), TEXT([2]GASOLINE!$B$5:$B$208, "mmm-yy"), [2]GASOLINE!$C$5:$C$208, "Not Found")</f>
        <v>7798.0978204065104</v>
      </c>
      <c r="N2356" cm="1">
        <f t="array" ref="N2356">_xlfn.XLOOKUP(TEXT(A2356, "mmm-yy"), TEXT([2]RUNS!$B$5:$B$208, "mmm-yy"), [2]RUNS!$BM$5:$BM$208, "Not Found")</f>
        <v>0.82550521676465671</v>
      </c>
    </row>
    <row r="2357" spans="1:14" x14ac:dyDescent="0.25">
      <c r="A2357" s="1">
        <f>'[1]Global_Spot Prices'!$B3666</f>
        <v>45302</v>
      </c>
      <c r="B2357">
        <f>_xlfn.XLOOKUP(A2357,'[1]Global_Spot Prices'!$B:$B,'[1]Global_Spot Prices'!$BS:$BS)</f>
        <v>9.8699999999999903</v>
      </c>
      <c r="C2357">
        <f>_xlfn.XLOOKUP(A2357,'[1]Global_Spot Prices'!$B:$B,'[1]Global_Spot Prices'!$E:$E)</f>
        <v>77.290000000000006</v>
      </c>
      <c r="D2357">
        <f>_xlfn.XLOOKUP(A2357,'[1]Global_Spot Prices'!$B:$B,'[1]Global_Spot Prices'!$D:$D)</f>
        <v>80.575000000000003</v>
      </c>
      <c r="E2357">
        <f>_xlfn.XLOOKUP(A2357,'[1]Global_Spot Prices'!$B:$B,'[1]Global_Spot Prices'!$H:$H)</f>
        <v>70.23</v>
      </c>
      <c r="F2357">
        <f>_xlfn.XLOOKUP(A2357,'[1]Global_Spot Prices'!$B:$B,'[1]Global_Spot Prices'!$I:$I)</f>
        <v>87.16</v>
      </c>
      <c r="G2357" cm="1">
        <f t="array" ref="G2357">_xlfn.XLOOKUP(TEXT(A2357, "mmm-yy"), TEXT([2]RUNS!$B$5:$B$208, "mmm-yy"), [2]RUNS!$D$5:$D$208, "Not Found")</f>
        <v>30457.757927227103</v>
      </c>
      <c r="H2357" cm="1">
        <f t="array" ref="H2357">SUMPRODUCT(
    --(TEXT('[3]Global Weekly Stock (EWSuez'!$B$4:$B$2000,"mmm-yy")=TEXT(A2357,"mmm-yy")),
    '[3]Global Weekly Stock (EWSuez'!$E$4:$E$2000)
/
SUMPRODUCT(
    --(TEXT('[3]Global Weekly Stock (EWSuez'!$B$4:$B$2000,"mmm-yy")=TEXT(A2357,"mmm-yy"))
)</f>
        <v>13001.25</v>
      </c>
      <c r="I2357">
        <f>_xlfn.XLOOKUP(A2357,[1]ForwardDeriv!$D:$D,[1]ForwardDeriv!$AJ:$AJ)</f>
        <v>0.35999999999999943</v>
      </c>
      <c r="J2357" cm="1">
        <f t="array" ref="J2357">_xlfn.XLOOKUP(TEXT(A2357, "mmm-yy"), TEXT([2]GASOLINE!$B$5:$B$208, "mmm-yy"), [2]GASOLINE!$IR$5:$IR$208, "Not Found")</f>
        <v>-268.15764593202715</v>
      </c>
      <c r="K2357" cm="1">
        <f t="array" ref="K2357">_xlfn.XLOOKUP(TEXT(A2357, "mmm-yy"), TEXT([2]GASOLINE!$B$5:$B$208, "mmm-yy"), [2]GASOLINE!$IK$5:$IK$208, "Not Found")</f>
        <v>228.10986466049698</v>
      </c>
      <c r="L2357">
        <f t="shared" si="36"/>
        <v>0</v>
      </c>
      <c r="M2357" cm="1">
        <f t="array" ref="M2357">_xlfn.XLOOKUP(TEXT(A2357, "mmm-yy"), TEXT([2]GASOLINE!$B$5:$B$208, "mmm-yy"), [2]GASOLINE!$C$5:$C$208, "Not Found")</f>
        <v>7798.0978204065104</v>
      </c>
      <c r="N2357" cm="1">
        <f t="array" ref="N2357">_xlfn.XLOOKUP(TEXT(A2357, "mmm-yy"), TEXT([2]RUNS!$B$5:$B$208, "mmm-yy"), [2]RUNS!$BM$5:$BM$208, "Not Found")</f>
        <v>0.82550521676465671</v>
      </c>
    </row>
    <row r="2358" spans="1:14" x14ac:dyDescent="0.25">
      <c r="A2358" s="1">
        <f>'[1]Global_Spot Prices'!$B3667</f>
        <v>45303</v>
      </c>
      <c r="B2358">
        <f ca="1">_xlfn.XLOOKUP(A2358,'[1]Global_Spot Prices'!$B:$B,'[1]Global_Spot Prices'!$BS:$BS)</f>
        <v>11.310000000000002</v>
      </c>
      <c r="C2358">
        <f>_xlfn.XLOOKUP(A2358,'[1]Global_Spot Prices'!$B:$B,'[1]Global_Spot Prices'!$E:$E)</f>
        <v>79.05</v>
      </c>
      <c r="D2358">
        <f>_xlfn.XLOOKUP(A2358,'[1]Global_Spot Prices'!$B:$B,'[1]Global_Spot Prices'!$D:$D)</f>
        <v>80.105000000000004</v>
      </c>
      <c r="E2358">
        <f>_xlfn.XLOOKUP(A2358,'[1]Global_Spot Prices'!$B:$B,'[1]Global_Spot Prices'!$H:$H)</f>
        <v>71.84</v>
      </c>
      <c r="F2358">
        <f>_xlfn.XLOOKUP(A2358,'[1]Global_Spot Prices'!$B:$B,'[1]Global_Spot Prices'!$I:$I)</f>
        <v>90.36</v>
      </c>
      <c r="G2358" cm="1">
        <f t="array" ref="G2358">_xlfn.XLOOKUP(TEXT(A2358, "mmm-yy"), TEXT([2]RUNS!$B$5:$B$208, "mmm-yy"), [2]RUNS!$D$5:$D$208, "Not Found")</f>
        <v>30457.757927227103</v>
      </c>
      <c r="H2358" cm="1">
        <f t="array" ref="H2358">SUMPRODUCT(
    --(TEXT('[3]Global Weekly Stock (EWSuez'!$B$4:$B$2000,"mmm-yy")=TEXT(A2358,"mmm-yy")),
    '[3]Global Weekly Stock (EWSuez'!$E$4:$E$2000)
/
SUMPRODUCT(
    --(TEXT('[3]Global Weekly Stock (EWSuez'!$B$4:$B$2000,"mmm-yy")=TEXT(A2358,"mmm-yy"))
)</f>
        <v>13001.25</v>
      </c>
      <c r="I2358">
        <f>_xlfn.XLOOKUP(A2358,[1]ForwardDeriv!$D:$D,[1]ForwardDeriv!$AJ:$AJ)</f>
        <v>0.56999999999999318</v>
      </c>
      <c r="J2358" cm="1">
        <f t="array" ref="J2358">_xlfn.XLOOKUP(TEXT(A2358, "mmm-yy"), TEXT([2]GASOLINE!$B$5:$B$208, "mmm-yy"), [2]GASOLINE!$IR$5:$IR$208, "Not Found")</f>
        <v>-268.15764593202715</v>
      </c>
      <c r="K2358" cm="1">
        <f t="array" ref="K2358">_xlfn.XLOOKUP(TEXT(A2358, "mmm-yy"), TEXT([2]GASOLINE!$B$5:$B$208, "mmm-yy"), [2]GASOLINE!$IK$5:$IK$208, "Not Found")</f>
        <v>228.10986466049698</v>
      </c>
      <c r="L2358">
        <f t="shared" si="36"/>
        <v>0</v>
      </c>
      <c r="M2358" cm="1">
        <f t="array" ref="M2358">_xlfn.XLOOKUP(TEXT(A2358, "mmm-yy"), TEXT([2]GASOLINE!$B$5:$B$208, "mmm-yy"), [2]GASOLINE!$C$5:$C$208, "Not Found")</f>
        <v>7798.0978204065104</v>
      </c>
      <c r="N2358" cm="1">
        <f t="array" ref="N2358">_xlfn.XLOOKUP(TEXT(A2358, "mmm-yy"), TEXT([2]RUNS!$B$5:$B$208, "mmm-yy"), [2]RUNS!$BM$5:$BM$208, "Not Found")</f>
        <v>0.82550521676465671</v>
      </c>
    </row>
    <row r="2359" spans="1:14" x14ac:dyDescent="0.25">
      <c r="A2359" s="1">
        <f>'[1]Global_Spot Prices'!$B3668</f>
        <v>45306</v>
      </c>
      <c r="B2359">
        <f>_xlfn.XLOOKUP(A2359,'[1]Global_Spot Prices'!$B:$B,'[1]Global_Spot Prices'!$BS:$BS)</f>
        <v>10.959999999999994</v>
      </c>
      <c r="C2359">
        <f>_xlfn.XLOOKUP(A2359,'[1]Global_Spot Prices'!$B:$B,'[1]Global_Spot Prices'!$E:$E)</f>
        <v>78</v>
      </c>
      <c r="D2359">
        <f>_xlfn.XLOOKUP(A2359,'[1]Global_Spot Prices'!$B:$B,'[1]Global_Spot Prices'!$D:$D)</f>
        <v>79.55</v>
      </c>
      <c r="E2359">
        <f>_xlfn.XLOOKUP(A2359,'[1]Global_Spot Prices'!$B:$B,'[1]Global_Spot Prices'!$H:$H)</f>
        <v>73.510000000000005</v>
      </c>
      <c r="F2359">
        <f>_xlfn.XLOOKUP(A2359,'[1]Global_Spot Prices'!$B:$B,'[1]Global_Spot Prices'!$I:$I)</f>
        <v>88.96</v>
      </c>
      <c r="G2359" cm="1">
        <f t="array" ref="G2359">_xlfn.XLOOKUP(TEXT(A2359, "mmm-yy"), TEXT([2]RUNS!$B$5:$B$208, "mmm-yy"), [2]RUNS!$D$5:$D$208, "Not Found")</f>
        <v>30457.757927227103</v>
      </c>
      <c r="H2359" cm="1">
        <f t="array" ref="H2359">SUMPRODUCT(
    --(TEXT('[3]Global Weekly Stock (EWSuez'!$B$4:$B$2000,"mmm-yy")=TEXT(A2359,"mmm-yy")),
    '[3]Global Weekly Stock (EWSuez'!$E$4:$E$2000)
/
SUMPRODUCT(
    --(TEXT('[3]Global Weekly Stock (EWSuez'!$B$4:$B$2000,"mmm-yy")=TEXT(A2359,"mmm-yy"))
)</f>
        <v>13001.25</v>
      </c>
      <c r="I2359">
        <f>_xlfn.XLOOKUP(A2359,[1]ForwardDeriv!$D:$D,[1]ForwardDeriv!$AJ:$AJ)</f>
        <v>0.56000000000000227</v>
      </c>
      <c r="J2359" cm="1">
        <f t="array" ref="J2359">_xlfn.XLOOKUP(TEXT(A2359, "mmm-yy"), TEXT([2]GASOLINE!$B$5:$B$208, "mmm-yy"), [2]GASOLINE!$IR$5:$IR$208, "Not Found")</f>
        <v>-268.15764593202715</v>
      </c>
      <c r="K2359" cm="1">
        <f t="array" ref="K2359">_xlfn.XLOOKUP(TEXT(A2359, "mmm-yy"), TEXT([2]GASOLINE!$B$5:$B$208, "mmm-yy"), [2]GASOLINE!$IK$5:$IK$208, "Not Found")</f>
        <v>228.10986466049698</v>
      </c>
      <c r="L2359">
        <f t="shared" si="36"/>
        <v>0</v>
      </c>
      <c r="M2359" cm="1">
        <f t="array" ref="M2359">_xlfn.XLOOKUP(TEXT(A2359, "mmm-yy"), TEXT([2]GASOLINE!$B$5:$B$208, "mmm-yy"), [2]GASOLINE!$C$5:$C$208, "Not Found")</f>
        <v>7798.0978204065104</v>
      </c>
      <c r="N2359" cm="1">
        <f t="array" ref="N2359">_xlfn.XLOOKUP(TEXT(A2359, "mmm-yy"), TEXT([2]RUNS!$B$5:$B$208, "mmm-yy"), [2]RUNS!$BM$5:$BM$208, "Not Found")</f>
        <v>0.82550521676465671</v>
      </c>
    </row>
    <row r="2360" spans="1:14" x14ac:dyDescent="0.25">
      <c r="A2360" s="1">
        <f>'[1]Global_Spot Prices'!$B3669</f>
        <v>45307</v>
      </c>
      <c r="B2360">
        <f>_xlfn.XLOOKUP(A2360,'[1]Global_Spot Prices'!$B:$B,'[1]Global_Spot Prices'!$BS:$BS)</f>
        <v>11.969999999999999</v>
      </c>
      <c r="C2360">
        <f ca="1">_xlfn.XLOOKUP(A2360,'[1]Global_Spot Prices'!$B:$B,'[1]Global_Spot Prices'!$E:$E)</f>
        <v>77.84</v>
      </c>
      <c r="D2360">
        <f>_xlfn.XLOOKUP(A2360,'[1]Global_Spot Prices'!$B:$B,'[1]Global_Spot Prices'!$D:$D)</f>
        <v>79.885000000000005</v>
      </c>
      <c r="E2360">
        <f>_xlfn.XLOOKUP(A2360,'[1]Global_Spot Prices'!$B:$B,'[1]Global_Spot Prices'!$H:$H)</f>
        <v>74.349999999999994</v>
      </c>
      <c r="F2360">
        <f>_xlfn.XLOOKUP(A2360,'[1]Global_Spot Prices'!$B:$B,'[1]Global_Spot Prices'!$I:$I)</f>
        <v>89.81</v>
      </c>
      <c r="G2360" cm="1">
        <f t="array" ref="G2360">_xlfn.XLOOKUP(TEXT(A2360, "mmm-yy"), TEXT([2]RUNS!$B$5:$B$208, "mmm-yy"), [2]RUNS!$D$5:$D$208, "Not Found")</f>
        <v>30457.757927227103</v>
      </c>
      <c r="H2360" cm="1">
        <f t="array" ref="H2360">SUMPRODUCT(
    --(TEXT('[3]Global Weekly Stock (EWSuez'!$B$4:$B$2000,"mmm-yy")=TEXT(A2360,"mmm-yy")),
    '[3]Global Weekly Stock (EWSuez'!$E$4:$E$2000)
/
SUMPRODUCT(
    --(TEXT('[3]Global Weekly Stock (EWSuez'!$B$4:$B$2000,"mmm-yy")=TEXT(A2360,"mmm-yy"))
)</f>
        <v>13001.25</v>
      </c>
      <c r="I2360">
        <f>_xlfn.XLOOKUP(A2360,[1]ForwardDeriv!$D:$D,[1]ForwardDeriv!$AJ:$AJ)</f>
        <v>0.59000000000000341</v>
      </c>
      <c r="J2360" cm="1">
        <f t="array" ref="J2360">_xlfn.XLOOKUP(TEXT(A2360, "mmm-yy"), TEXT([2]GASOLINE!$B$5:$B$208, "mmm-yy"), [2]GASOLINE!$IR$5:$IR$208, "Not Found")</f>
        <v>-268.15764593202715</v>
      </c>
      <c r="K2360" cm="1">
        <f t="array" ref="K2360">_xlfn.XLOOKUP(TEXT(A2360, "mmm-yy"), TEXT([2]GASOLINE!$B$5:$B$208, "mmm-yy"), [2]GASOLINE!$IK$5:$IK$208, "Not Found")</f>
        <v>228.10986466049698</v>
      </c>
      <c r="L2360">
        <f t="shared" si="36"/>
        <v>0</v>
      </c>
      <c r="M2360" cm="1">
        <f t="array" ref="M2360">_xlfn.XLOOKUP(TEXT(A2360, "mmm-yy"), TEXT([2]GASOLINE!$B$5:$B$208, "mmm-yy"), [2]GASOLINE!$C$5:$C$208, "Not Found")</f>
        <v>7798.0978204065104</v>
      </c>
      <c r="N2360" cm="1">
        <f t="array" ref="N2360">_xlfn.XLOOKUP(TEXT(A2360, "mmm-yy"), TEXT([2]RUNS!$B$5:$B$208, "mmm-yy"), [2]RUNS!$BM$5:$BM$208, "Not Found")</f>
        <v>0.82550521676465671</v>
      </c>
    </row>
    <row r="2361" spans="1:14" x14ac:dyDescent="0.25">
      <c r="A2361" s="1">
        <f>'[1]Global_Spot Prices'!$B3670</f>
        <v>45308</v>
      </c>
      <c r="B2361">
        <f>_xlfn.XLOOKUP(A2361,'[1]Global_Spot Prices'!$B:$B,'[1]Global_Spot Prices'!$BS:$BS)</f>
        <v>11.25</v>
      </c>
      <c r="C2361">
        <f>_xlfn.XLOOKUP(A2361,'[1]Global_Spot Prices'!$B:$B,'[1]Global_Spot Prices'!$E:$E)</f>
        <v>76.75</v>
      </c>
      <c r="D2361">
        <f>_xlfn.XLOOKUP(A2361,'[1]Global_Spot Prices'!$B:$B,'[1]Global_Spot Prices'!$D:$D)</f>
        <v>79.47</v>
      </c>
      <c r="E2361">
        <f>_xlfn.XLOOKUP(A2361,'[1]Global_Spot Prices'!$B:$B,'[1]Global_Spot Prices'!$H:$H)</f>
        <v>72.430000000000007</v>
      </c>
      <c r="F2361">
        <f>_xlfn.XLOOKUP(A2361,'[1]Global_Spot Prices'!$B:$B,'[1]Global_Spot Prices'!$I:$I)</f>
        <v>88</v>
      </c>
      <c r="G2361" cm="1">
        <f t="array" ref="G2361">_xlfn.XLOOKUP(TEXT(A2361, "mmm-yy"), TEXT([2]RUNS!$B$5:$B$208, "mmm-yy"), [2]RUNS!$D$5:$D$208, "Not Found")</f>
        <v>30457.757927227103</v>
      </c>
      <c r="H2361" cm="1">
        <f t="array" ref="H2361">SUMPRODUCT(
    --(TEXT('[3]Global Weekly Stock (EWSuez'!$B$4:$B$2000,"mmm-yy")=TEXT(A2361,"mmm-yy")),
    '[3]Global Weekly Stock (EWSuez'!$E$4:$E$2000)
/
SUMPRODUCT(
    --(TEXT('[3]Global Weekly Stock (EWSuez'!$B$4:$B$2000,"mmm-yy")=TEXT(A2361,"mmm-yy"))
)</f>
        <v>13001.25</v>
      </c>
      <c r="I2361">
        <f>_xlfn.XLOOKUP(A2361,[1]ForwardDeriv!$D:$D,[1]ForwardDeriv!$AJ:$AJ)</f>
        <v>0.53999999999999204</v>
      </c>
      <c r="J2361" cm="1">
        <f t="array" ref="J2361">_xlfn.XLOOKUP(TEXT(A2361, "mmm-yy"), TEXT([2]GASOLINE!$B$5:$B$208, "mmm-yy"), [2]GASOLINE!$IR$5:$IR$208, "Not Found")</f>
        <v>-268.15764593202715</v>
      </c>
      <c r="K2361" cm="1">
        <f t="array" ref="K2361">_xlfn.XLOOKUP(TEXT(A2361, "mmm-yy"), TEXT([2]GASOLINE!$B$5:$B$208, "mmm-yy"), [2]GASOLINE!$IK$5:$IK$208, "Not Found")</f>
        <v>228.10986466049698</v>
      </c>
      <c r="L2361">
        <f t="shared" si="36"/>
        <v>0</v>
      </c>
      <c r="M2361" cm="1">
        <f t="array" ref="M2361">_xlfn.XLOOKUP(TEXT(A2361, "mmm-yy"), TEXT([2]GASOLINE!$B$5:$B$208, "mmm-yy"), [2]GASOLINE!$C$5:$C$208, "Not Found")</f>
        <v>7798.0978204065104</v>
      </c>
      <c r="N2361" cm="1">
        <f t="array" ref="N2361">_xlfn.XLOOKUP(TEXT(A2361, "mmm-yy"), TEXT([2]RUNS!$B$5:$B$208, "mmm-yy"), [2]RUNS!$BM$5:$BM$208, "Not Found")</f>
        <v>0.82550521676465671</v>
      </c>
    </row>
    <row r="2362" spans="1:14" x14ac:dyDescent="0.25">
      <c r="A2362" s="1">
        <f>'[1]Global_Spot Prices'!$B3671</f>
        <v>45309</v>
      </c>
      <c r="B2362">
        <f>_xlfn.XLOOKUP(A2362,'[1]Global_Spot Prices'!$B:$B,'[1]Global_Spot Prices'!$BS:$BS)</f>
        <v>12.620000000000005</v>
      </c>
      <c r="C2362">
        <f>_xlfn.XLOOKUP(A2362,'[1]Global_Spot Prices'!$B:$B,'[1]Global_Spot Prices'!$E:$E)</f>
        <v>77.55</v>
      </c>
      <c r="D2362">
        <f>_xlfn.XLOOKUP(A2362,'[1]Global_Spot Prices'!$B:$B,'[1]Global_Spot Prices'!$D:$D)</f>
        <v>80.94</v>
      </c>
      <c r="E2362">
        <f>_xlfn.XLOOKUP(A2362,'[1]Global_Spot Prices'!$B:$B,'[1]Global_Spot Prices'!$H:$H)</f>
        <v>72.75</v>
      </c>
      <c r="F2362">
        <f>_xlfn.XLOOKUP(A2362,'[1]Global_Spot Prices'!$B:$B,'[1]Global_Spot Prices'!$I:$I)</f>
        <v>90.17</v>
      </c>
      <c r="G2362" cm="1">
        <f t="array" ref="G2362">_xlfn.XLOOKUP(TEXT(A2362, "mmm-yy"), TEXT([2]RUNS!$B$5:$B$208, "mmm-yy"), [2]RUNS!$D$5:$D$208, "Not Found")</f>
        <v>30457.757927227103</v>
      </c>
      <c r="H2362" cm="1">
        <f t="array" ref="H2362">SUMPRODUCT(
    --(TEXT('[3]Global Weekly Stock (EWSuez'!$B$4:$B$2000,"mmm-yy")=TEXT(A2362,"mmm-yy")),
    '[3]Global Weekly Stock (EWSuez'!$E$4:$E$2000)
/
SUMPRODUCT(
    --(TEXT('[3]Global Weekly Stock (EWSuez'!$B$4:$B$2000,"mmm-yy")=TEXT(A2362,"mmm-yy"))
)</f>
        <v>13001.25</v>
      </c>
      <c r="I2362">
        <f>_xlfn.XLOOKUP(A2362,[1]ForwardDeriv!$D:$D,[1]ForwardDeriv!$AJ:$AJ)</f>
        <v>0.65000000000000568</v>
      </c>
      <c r="J2362" cm="1">
        <f t="array" ref="J2362">_xlfn.XLOOKUP(TEXT(A2362, "mmm-yy"), TEXT([2]GASOLINE!$B$5:$B$208, "mmm-yy"), [2]GASOLINE!$IR$5:$IR$208, "Not Found")</f>
        <v>-268.15764593202715</v>
      </c>
      <c r="K2362" cm="1">
        <f t="array" ref="K2362">_xlfn.XLOOKUP(TEXT(A2362, "mmm-yy"), TEXT([2]GASOLINE!$B$5:$B$208, "mmm-yy"), [2]GASOLINE!$IK$5:$IK$208, "Not Found")</f>
        <v>228.10986466049698</v>
      </c>
      <c r="L2362">
        <f t="shared" si="36"/>
        <v>0</v>
      </c>
      <c r="M2362" cm="1">
        <f t="array" ref="M2362">_xlfn.XLOOKUP(TEXT(A2362, "mmm-yy"), TEXT([2]GASOLINE!$B$5:$B$208, "mmm-yy"), [2]GASOLINE!$C$5:$C$208, "Not Found")</f>
        <v>7798.0978204065104</v>
      </c>
      <c r="N2362" cm="1">
        <f t="array" ref="N2362">_xlfn.XLOOKUP(TEXT(A2362, "mmm-yy"), TEXT([2]RUNS!$B$5:$B$208, "mmm-yy"), [2]RUNS!$BM$5:$BM$208, "Not Found")</f>
        <v>0.82550521676465671</v>
      </c>
    </row>
    <row r="2363" spans="1:14" x14ac:dyDescent="0.25">
      <c r="A2363" s="1">
        <f>'[1]Global_Spot Prices'!$B3672</f>
        <v>45310</v>
      </c>
      <c r="B2363">
        <f>_xlfn.XLOOKUP(A2363,'[1]Global_Spot Prices'!$B:$B,'[1]Global_Spot Prices'!$BS:$BS)</f>
        <v>13.344999999999999</v>
      </c>
      <c r="C2363">
        <f>_xlfn.XLOOKUP(A2363,'[1]Global_Spot Prices'!$B:$B,'[1]Global_Spot Prices'!$E:$E)</f>
        <v>78.894999999999996</v>
      </c>
      <c r="D2363">
        <f>_xlfn.XLOOKUP(A2363,'[1]Global_Spot Prices'!$B:$B,'[1]Global_Spot Prices'!$D:$D)</f>
        <v>81.19</v>
      </c>
      <c r="E2363">
        <f>_xlfn.XLOOKUP(A2363,'[1]Global_Spot Prices'!$B:$B,'[1]Global_Spot Prices'!$H:$H)</f>
        <v>72</v>
      </c>
      <c r="F2363">
        <f>_xlfn.XLOOKUP(A2363,'[1]Global_Spot Prices'!$B:$B,'[1]Global_Spot Prices'!$I:$I)</f>
        <v>92.24</v>
      </c>
      <c r="G2363" cm="1">
        <f t="array" ref="G2363">_xlfn.XLOOKUP(TEXT(A2363, "mmm-yy"), TEXT([2]RUNS!$B$5:$B$208, "mmm-yy"), [2]RUNS!$D$5:$D$208, "Not Found")</f>
        <v>30457.757927227103</v>
      </c>
      <c r="H2363" cm="1">
        <f t="array" ref="H2363">SUMPRODUCT(
    --(TEXT('[3]Global Weekly Stock (EWSuez'!$B$4:$B$2000,"mmm-yy")=TEXT(A2363,"mmm-yy")),
    '[3]Global Weekly Stock (EWSuez'!$E$4:$E$2000)
/
SUMPRODUCT(
    --(TEXT('[3]Global Weekly Stock (EWSuez'!$B$4:$B$2000,"mmm-yy")=TEXT(A2363,"mmm-yy"))
)</f>
        <v>13001.25</v>
      </c>
      <c r="I2363">
        <f>_xlfn.XLOOKUP(A2363,[1]ForwardDeriv!$D:$D,[1]ForwardDeriv!$AJ:$AJ)</f>
        <v>0.79999999999999716</v>
      </c>
      <c r="J2363" cm="1">
        <f t="array" ref="J2363">_xlfn.XLOOKUP(TEXT(A2363, "mmm-yy"), TEXT([2]GASOLINE!$B$5:$B$208, "mmm-yy"), [2]GASOLINE!$IR$5:$IR$208, "Not Found")</f>
        <v>-268.15764593202715</v>
      </c>
      <c r="K2363" cm="1">
        <f t="array" ref="K2363">_xlfn.XLOOKUP(TEXT(A2363, "mmm-yy"), TEXT([2]GASOLINE!$B$5:$B$208, "mmm-yy"), [2]GASOLINE!$IK$5:$IK$208, "Not Found")</f>
        <v>228.10986466049698</v>
      </c>
      <c r="L2363">
        <f t="shared" si="36"/>
        <v>0</v>
      </c>
      <c r="M2363" cm="1">
        <f t="array" ref="M2363">_xlfn.XLOOKUP(TEXT(A2363, "mmm-yy"), TEXT([2]GASOLINE!$B$5:$B$208, "mmm-yy"), [2]GASOLINE!$C$5:$C$208, "Not Found")</f>
        <v>7798.0978204065104</v>
      </c>
      <c r="N2363" cm="1">
        <f t="array" ref="N2363">_xlfn.XLOOKUP(TEXT(A2363, "mmm-yy"), TEXT([2]RUNS!$B$5:$B$208, "mmm-yy"), [2]RUNS!$BM$5:$BM$208, "Not Found")</f>
        <v>0.82550521676465671</v>
      </c>
    </row>
    <row r="2364" spans="1:14" x14ac:dyDescent="0.25">
      <c r="A2364" s="1">
        <f>'[1]Global_Spot Prices'!$B3673</f>
        <v>45313</v>
      </c>
      <c r="B2364">
        <f ca="1">_xlfn.XLOOKUP(A2364,'[1]Global_Spot Prices'!$B:$B,'[1]Global_Spot Prices'!$BS:$BS)</f>
        <v>14.159999999999997</v>
      </c>
      <c r="C2364">
        <f>_xlfn.XLOOKUP(A2364,'[1]Global_Spot Prices'!$B:$B,'[1]Global_Spot Prices'!$E:$E)</f>
        <v>77.75</v>
      </c>
      <c r="D2364">
        <f>_xlfn.XLOOKUP(A2364,'[1]Global_Spot Prices'!$B:$B,'[1]Global_Spot Prices'!$D:$D)</f>
        <v>82.165000000000006</v>
      </c>
      <c r="E2364">
        <f>_xlfn.XLOOKUP(A2364,'[1]Global_Spot Prices'!$B:$B,'[1]Global_Spot Prices'!$H:$H)</f>
        <v>70.92</v>
      </c>
      <c r="F2364">
        <f>_xlfn.XLOOKUP(A2364,'[1]Global_Spot Prices'!$B:$B,'[1]Global_Spot Prices'!$I:$I)</f>
        <v>91.91</v>
      </c>
      <c r="G2364" cm="1">
        <f t="array" ref="G2364">_xlfn.XLOOKUP(TEXT(A2364, "mmm-yy"), TEXT([2]RUNS!$B$5:$B$208, "mmm-yy"), [2]RUNS!$D$5:$D$208, "Not Found")</f>
        <v>30457.757927227103</v>
      </c>
      <c r="H2364" cm="1">
        <f t="array" ref="H2364">SUMPRODUCT(
    --(TEXT('[3]Global Weekly Stock (EWSuez'!$B$4:$B$2000,"mmm-yy")=TEXT(A2364,"mmm-yy")),
    '[3]Global Weekly Stock (EWSuez'!$E$4:$E$2000)
/
SUMPRODUCT(
    --(TEXT('[3]Global Weekly Stock (EWSuez'!$B$4:$B$2000,"mmm-yy")=TEXT(A2364,"mmm-yy"))
)</f>
        <v>13001.25</v>
      </c>
      <c r="I2364">
        <f>_xlfn.XLOOKUP(A2364,[1]ForwardDeriv!$D:$D,[1]ForwardDeriv!$AJ:$AJ)</f>
        <v>0.93999999999999773</v>
      </c>
      <c r="J2364" cm="1">
        <f t="array" ref="J2364">_xlfn.XLOOKUP(TEXT(A2364, "mmm-yy"), TEXT([2]GASOLINE!$B$5:$B$208, "mmm-yy"), [2]GASOLINE!$IR$5:$IR$208, "Not Found")</f>
        <v>-268.15764593202715</v>
      </c>
      <c r="K2364" cm="1">
        <f t="array" ref="K2364">_xlfn.XLOOKUP(TEXT(A2364, "mmm-yy"), TEXT([2]GASOLINE!$B$5:$B$208, "mmm-yy"), [2]GASOLINE!$IK$5:$IK$208, "Not Found")</f>
        <v>228.10986466049698</v>
      </c>
      <c r="L2364">
        <f t="shared" si="36"/>
        <v>0</v>
      </c>
      <c r="M2364" cm="1">
        <f t="array" ref="M2364">_xlfn.XLOOKUP(TEXT(A2364, "mmm-yy"), TEXT([2]GASOLINE!$B$5:$B$208, "mmm-yy"), [2]GASOLINE!$C$5:$C$208, "Not Found")</f>
        <v>7798.0978204065104</v>
      </c>
      <c r="N2364" cm="1">
        <f t="array" ref="N2364">_xlfn.XLOOKUP(TEXT(A2364, "mmm-yy"), TEXT([2]RUNS!$B$5:$B$208, "mmm-yy"), [2]RUNS!$BM$5:$BM$208, "Not Found")</f>
        <v>0.82550521676465671</v>
      </c>
    </row>
    <row r="2365" spans="1:14" x14ac:dyDescent="0.25">
      <c r="A2365" s="1">
        <f>'[1]Global_Spot Prices'!$B3674</f>
        <v>45314</v>
      </c>
      <c r="B2365">
        <f>_xlfn.XLOOKUP(A2365,'[1]Global_Spot Prices'!$B:$B,'[1]Global_Spot Prices'!$BS:$BS)</f>
        <v>15.489999999999995</v>
      </c>
      <c r="C2365">
        <f>_xlfn.XLOOKUP(A2365,'[1]Global_Spot Prices'!$B:$B,'[1]Global_Spot Prices'!$E:$E)</f>
        <v>79.900000000000006</v>
      </c>
      <c r="D2365">
        <f>_xlfn.XLOOKUP(A2365,'[1]Global_Spot Prices'!$B:$B,'[1]Global_Spot Prices'!$D:$D)</f>
        <v>82.29</v>
      </c>
      <c r="E2365">
        <f>_xlfn.XLOOKUP(A2365,'[1]Global_Spot Prices'!$B:$B,'[1]Global_Spot Prices'!$H:$H)</f>
        <v>73.12</v>
      </c>
      <c r="F2365">
        <f>_xlfn.XLOOKUP(A2365,'[1]Global_Spot Prices'!$B:$B,'[1]Global_Spot Prices'!$I:$I)</f>
        <v>95.39</v>
      </c>
      <c r="G2365" cm="1">
        <f t="array" ref="G2365">_xlfn.XLOOKUP(TEXT(A2365, "mmm-yy"), TEXT([2]RUNS!$B$5:$B$208, "mmm-yy"), [2]RUNS!$D$5:$D$208, "Not Found")</f>
        <v>30457.757927227103</v>
      </c>
      <c r="H2365" cm="1">
        <f t="array" ref="H2365">SUMPRODUCT(
    --(TEXT('[3]Global Weekly Stock (EWSuez'!$B$4:$B$2000,"mmm-yy")=TEXT(A2365,"mmm-yy")),
    '[3]Global Weekly Stock (EWSuez'!$E$4:$E$2000)
/
SUMPRODUCT(
    --(TEXT('[3]Global Weekly Stock (EWSuez'!$B$4:$B$2000,"mmm-yy")=TEXT(A2365,"mmm-yy"))
)</f>
        <v>13001.25</v>
      </c>
      <c r="I2365">
        <f>_xlfn.XLOOKUP(A2365,[1]ForwardDeriv!$D:$D,[1]ForwardDeriv!$AJ:$AJ)</f>
        <v>1.3400000000000034</v>
      </c>
      <c r="J2365" cm="1">
        <f t="array" ref="J2365">_xlfn.XLOOKUP(TEXT(A2365, "mmm-yy"), TEXT([2]GASOLINE!$B$5:$B$208, "mmm-yy"), [2]GASOLINE!$IR$5:$IR$208, "Not Found")</f>
        <v>-268.15764593202715</v>
      </c>
      <c r="K2365" cm="1">
        <f t="array" ref="K2365">_xlfn.XLOOKUP(TEXT(A2365, "mmm-yy"), TEXT([2]GASOLINE!$B$5:$B$208, "mmm-yy"), [2]GASOLINE!$IK$5:$IK$208, "Not Found")</f>
        <v>228.10986466049698</v>
      </c>
      <c r="L2365">
        <f t="shared" si="36"/>
        <v>0</v>
      </c>
      <c r="M2365" cm="1">
        <f t="array" ref="M2365">_xlfn.XLOOKUP(TEXT(A2365, "mmm-yy"), TEXT([2]GASOLINE!$B$5:$B$208, "mmm-yy"), [2]GASOLINE!$C$5:$C$208, "Not Found")</f>
        <v>7798.0978204065104</v>
      </c>
      <c r="N2365" cm="1">
        <f t="array" ref="N2365">_xlfn.XLOOKUP(TEXT(A2365, "mmm-yy"), TEXT([2]RUNS!$B$5:$B$208, "mmm-yy"), [2]RUNS!$BM$5:$BM$208, "Not Found")</f>
        <v>0.82550521676465671</v>
      </c>
    </row>
    <row r="2366" spans="1:14" x14ac:dyDescent="0.25">
      <c r="A2366" s="1">
        <f>'[1]Global_Spot Prices'!$B3675</f>
        <v>45315</v>
      </c>
      <c r="B2366">
        <f>_xlfn.XLOOKUP(A2366,'[1]Global_Spot Prices'!$B:$B,'[1]Global_Spot Prices'!$BS:$BS)</f>
        <v>15.489999999999995</v>
      </c>
      <c r="C2366">
        <f>_xlfn.XLOOKUP(A2366,'[1]Global_Spot Prices'!$B:$B,'[1]Global_Spot Prices'!$E:$E)</f>
        <v>79.56</v>
      </c>
      <c r="D2366">
        <f>_xlfn.XLOOKUP(A2366,'[1]Global_Spot Prices'!$B:$B,'[1]Global_Spot Prices'!$D:$D)</f>
        <v>82.13</v>
      </c>
      <c r="E2366">
        <f>_xlfn.XLOOKUP(A2366,'[1]Global_Spot Prices'!$B:$B,'[1]Global_Spot Prices'!$H:$H)</f>
        <v>72.11</v>
      </c>
      <c r="F2366">
        <f>_xlfn.XLOOKUP(A2366,'[1]Global_Spot Prices'!$B:$B,'[1]Global_Spot Prices'!$I:$I)</f>
        <v>95.05</v>
      </c>
      <c r="G2366" cm="1">
        <f t="array" ref="G2366">_xlfn.XLOOKUP(TEXT(A2366, "mmm-yy"), TEXT([2]RUNS!$B$5:$B$208, "mmm-yy"), [2]RUNS!$D$5:$D$208, "Not Found")</f>
        <v>30457.757927227103</v>
      </c>
      <c r="H2366" cm="1">
        <f t="array" ref="H2366">SUMPRODUCT(
    --(TEXT('[3]Global Weekly Stock (EWSuez'!$B$4:$B$2000,"mmm-yy")=TEXT(A2366,"mmm-yy")),
    '[3]Global Weekly Stock (EWSuez'!$E$4:$E$2000)
/
SUMPRODUCT(
    --(TEXT('[3]Global Weekly Stock (EWSuez'!$B$4:$B$2000,"mmm-yy")=TEXT(A2366,"mmm-yy"))
)</f>
        <v>13001.25</v>
      </c>
      <c r="I2366">
        <f>_xlfn.XLOOKUP(A2366,[1]ForwardDeriv!$D:$D,[1]ForwardDeriv!$AJ:$AJ)</f>
        <v>1.5599999999999881</v>
      </c>
      <c r="J2366" cm="1">
        <f t="array" ref="J2366">_xlfn.XLOOKUP(TEXT(A2366, "mmm-yy"), TEXT([2]GASOLINE!$B$5:$B$208, "mmm-yy"), [2]GASOLINE!$IR$5:$IR$208, "Not Found")</f>
        <v>-268.15764593202715</v>
      </c>
      <c r="K2366" cm="1">
        <f t="array" ref="K2366">_xlfn.XLOOKUP(TEXT(A2366, "mmm-yy"), TEXT([2]GASOLINE!$B$5:$B$208, "mmm-yy"), [2]GASOLINE!$IK$5:$IK$208, "Not Found")</f>
        <v>228.10986466049698</v>
      </c>
      <c r="L2366">
        <f t="shared" si="36"/>
        <v>0</v>
      </c>
      <c r="M2366" cm="1">
        <f t="array" ref="M2366">_xlfn.XLOOKUP(TEXT(A2366, "mmm-yy"), TEXT([2]GASOLINE!$B$5:$B$208, "mmm-yy"), [2]GASOLINE!$C$5:$C$208, "Not Found")</f>
        <v>7798.0978204065104</v>
      </c>
      <c r="N2366" cm="1">
        <f t="array" ref="N2366">_xlfn.XLOOKUP(TEXT(A2366, "mmm-yy"), TEXT([2]RUNS!$B$5:$B$208, "mmm-yy"), [2]RUNS!$BM$5:$BM$208, "Not Found")</f>
        <v>0.82550521676465671</v>
      </c>
    </row>
    <row r="2367" spans="1:14" x14ac:dyDescent="0.25">
      <c r="A2367" s="1">
        <f>'[1]Global_Spot Prices'!$B3676</f>
        <v>45316</v>
      </c>
      <c r="B2367">
        <f>_xlfn.XLOOKUP(A2367,'[1]Global_Spot Prices'!$B:$B,'[1]Global_Spot Prices'!$BS:$BS)</f>
        <v>16.194999999999993</v>
      </c>
      <c r="C2367">
        <f>_xlfn.XLOOKUP(A2367,'[1]Global_Spot Prices'!$B:$B,'[1]Global_Spot Prices'!$E:$E)</f>
        <v>80.295000000000002</v>
      </c>
      <c r="D2367">
        <f>_xlfn.XLOOKUP(A2367,'[1]Global_Spot Prices'!$B:$B,'[1]Global_Spot Prices'!$D:$D)</f>
        <v>83.18</v>
      </c>
      <c r="E2367">
        <f>_xlfn.XLOOKUP(A2367,'[1]Global_Spot Prices'!$B:$B,'[1]Global_Spot Prices'!$H:$H)</f>
        <v>73.33</v>
      </c>
      <c r="F2367">
        <f>_xlfn.XLOOKUP(A2367,'[1]Global_Spot Prices'!$B:$B,'[1]Global_Spot Prices'!$I:$I)</f>
        <v>96.49</v>
      </c>
      <c r="G2367" cm="1">
        <f t="array" ref="G2367">_xlfn.XLOOKUP(TEXT(A2367, "mmm-yy"), TEXT([2]RUNS!$B$5:$B$208, "mmm-yy"), [2]RUNS!$D$5:$D$208, "Not Found")</f>
        <v>30457.757927227103</v>
      </c>
      <c r="H2367" cm="1">
        <f t="array" ref="H2367">SUMPRODUCT(
    --(TEXT('[3]Global Weekly Stock (EWSuez'!$B$4:$B$2000,"mmm-yy")=TEXT(A2367,"mmm-yy")),
    '[3]Global Weekly Stock (EWSuez'!$E$4:$E$2000)
/
SUMPRODUCT(
    --(TEXT('[3]Global Weekly Stock (EWSuez'!$B$4:$B$2000,"mmm-yy")=TEXT(A2367,"mmm-yy"))
)</f>
        <v>13001.25</v>
      </c>
      <c r="I2367">
        <f>_xlfn.XLOOKUP(A2367,[1]ForwardDeriv!$D:$D,[1]ForwardDeriv!$AJ:$AJ)</f>
        <v>1.7900000000000063</v>
      </c>
      <c r="J2367" cm="1">
        <f t="array" ref="J2367">_xlfn.XLOOKUP(TEXT(A2367, "mmm-yy"), TEXT([2]GASOLINE!$B$5:$B$208, "mmm-yy"), [2]GASOLINE!$IR$5:$IR$208, "Not Found")</f>
        <v>-268.15764593202715</v>
      </c>
      <c r="K2367" cm="1">
        <f t="array" ref="K2367">_xlfn.XLOOKUP(TEXT(A2367, "mmm-yy"), TEXT([2]GASOLINE!$B$5:$B$208, "mmm-yy"), [2]GASOLINE!$IK$5:$IK$208, "Not Found")</f>
        <v>228.10986466049698</v>
      </c>
      <c r="L2367">
        <f t="shared" si="36"/>
        <v>0</v>
      </c>
      <c r="M2367" cm="1">
        <f t="array" ref="M2367">_xlfn.XLOOKUP(TEXT(A2367, "mmm-yy"), TEXT([2]GASOLINE!$B$5:$B$208, "mmm-yy"), [2]GASOLINE!$C$5:$C$208, "Not Found")</f>
        <v>7798.0978204065104</v>
      </c>
      <c r="N2367" cm="1">
        <f t="array" ref="N2367">_xlfn.XLOOKUP(TEXT(A2367, "mmm-yy"), TEXT([2]RUNS!$B$5:$B$208, "mmm-yy"), [2]RUNS!$BM$5:$BM$208, "Not Found")</f>
        <v>0.82550521676465671</v>
      </c>
    </row>
    <row r="2368" spans="1:14" x14ac:dyDescent="0.25">
      <c r="A2368" s="1">
        <f>'[1]Global_Spot Prices'!$B3677</f>
        <v>45317</v>
      </c>
      <c r="B2368">
        <f>_xlfn.XLOOKUP(A2368,'[1]Global_Spot Prices'!$B:$B,'[1]Global_Spot Prices'!$BS:$BS)</f>
        <v>15.899999999999991</v>
      </c>
      <c r="C2368">
        <f>_xlfn.XLOOKUP(A2368,'[1]Global_Spot Prices'!$B:$B,'[1]Global_Spot Prices'!$E:$E)</f>
        <v>81.650000000000006</v>
      </c>
      <c r="D2368">
        <f>_xlfn.XLOOKUP(A2368,'[1]Global_Spot Prices'!$B:$B,'[1]Global_Spot Prices'!$D:$D)</f>
        <v>83.37</v>
      </c>
      <c r="E2368">
        <f>_xlfn.XLOOKUP(A2368,'[1]Global_Spot Prices'!$B:$B,'[1]Global_Spot Prices'!$H:$H)</f>
        <v>75.05</v>
      </c>
      <c r="F2368">
        <f>_xlfn.XLOOKUP(A2368,'[1]Global_Spot Prices'!$B:$B,'[1]Global_Spot Prices'!$I:$I)</f>
        <v>97.55</v>
      </c>
      <c r="G2368" cm="1">
        <f t="array" ref="G2368">_xlfn.XLOOKUP(TEXT(A2368, "mmm-yy"), TEXT([2]RUNS!$B$5:$B$208, "mmm-yy"), [2]RUNS!$D$5:$D$208, "Not Found")</f>
        <v>30457.757927227103</v>
      </c>
      <c r="H2368" cm="1">
        <f t="array" ref="H2368">SUMPRODUCT(
    --(TEXT('[3]Global Weekly Stock (EWSuez'!$B$4:$B$2000,"mmm-yy")=TEXT(A2368,"mmm-yy")),
    '[3]Global Weekly Stock (EWSuez'!$E$4:$E$2000)
/
SUMPRODUCT(
    --(TEXT('[3]Global Weekly Stock (EWSuez'!$B$4:$B$2000,"mmm-yy")=TEXT(A2368,"mmm-yy"))
)</f>
        <v>13001.25</v>
      </c>
      <c r="I2368">
        <f>_xlfn.XLOOKUP(A2368,[1]ForwardDeriv!$D:$D,[1]ForwardDeriv!$AJ:$AJ)</f>
        <v>1.6300000000000097</v>
      </c>
      <c r="J2368" cm="1">
        <f t="array" ref="J2368">_xlfn.XLOOKUP(TEXT(A2368, "mmm-yy"), TEXT([2]GASOLINE!$B$5:$B$208, "mmm-yy"), [2]GASOLINE!$IR$5:$IR$208, "Not Found")</f>
        <v>-268.15764593202715</v>
      </c>
      <c r="K2368" cm="1">
        <f t="array" ref="K2368">_xlfn.XLOOKUP(TEXT(A2368, "mmm-yy"), TEXT([2]GASOLINE!$B$5:$B$208, "mmm-yy"), [2]GASOLINE!$IK$5:$IK$208, "Not Found")</f>
        <v>228.10986466049698</v>
      </c>
      <c r="L2368">
        <f t="shared" si="36"/>
        <v>0</v>
      </c>
      <c r="M2368" cm="1">
        <f t="array" ref="M2368">_xlfn.XLOOKUP(TEXT(A2368, "mmm-yy"), TEXT([2]GASOLINE!$B$5:$B$208, "mmm-yy"), [2]GASOLINE!$C$5:$C$208, "Not Found")</f>
        <v>7798.0978204065104</v>
      </c>
      <c r="N2368" cm="1">
        <f t="array" ref="N2368">_xlfn.XLOOKUP(TEXT(A2368, "mmm-yy"), TEXT([2]RUNS!$B$5:$B$208, "mmm-yy"), [2]RUNS!$BM$5:$BM$208, "Not Found")</f>
        <v>0.82550521676465671</v>
      </c>
    </row>
    <row r="2369" spans="1:14" x14ac:dyDescent="0.25">
      <c r="A2369" s="1">
        <f>'[1]Global_Spot Prices'!$B3678</f>
        <v>45320</v>
      </c>
      <c r="B2369">
        <f>_xlfn.XLOOKUP(A2369,'[1]Global_Spot Prices'!$B:$B,'[1]Global_Spot Prices'!$BS:$BS)</f>
        <v>17</v>
      </c>
      <c r="C2369">
        <f>_xlfn.XLOOKUP(A2369,'[1]Global_Spot Prices'!$B:$B,'[1]Global_Spot Prices'!$E:$E)</f>
        <v>83.3</v>
      </c>
      <c r="D2369">
        <f>_xlfn.XLOOKUP(A2369,'[1]Global_Spot Prices'!$B:$B,'[1]Global_Spot Prices'!$D:$D)</f>
        <v>83.984999999999999</v>
      </c>
      <c r="E2369">
        <f>_xlfn.XLOOKUP(A2369,'[1]Global_Spot Prices'!$B:$B,'[1]Global_Spot Prices'!$H:$H)</f>
        <v>78.62</v>
      </c>
      <c r="F2369">
        <f>_xlfn.XLOOKUP(A2369,'[1]Global_Spot Prices'!$B:$B,'[1]Global_Spot Prices'!$I:$I)</f>
        <v>100.3</v>
      </c>
      <c r="G2369" cm="1">
        <f t="array" ref="G2369">_xlfn.XLOOKUP(TEXT(A2369, "mmm-yy"), TEXT([2]RUNS!$B$5:$B$208, "mmm-yy"), [2]RUNS!$D$5:$D$208, "Not Found")</f>
        <v>30457.757927227103</v>
      </c>
      <c r="H2369" cm="1">
        <f t="array" ref="H2369">SUMPRODUCT(
    --(TEXT('[3]Global Weekly Stock (EWSuez'!$B$4:$B$2000,"mmm-yy")=TEXT(A2369,"mmm-yy")),
    '[3]Global Weekly Stock (EWSuez'!$E$4:$E$2000)
/
SUMPRODUCT(
    --(TEXT('[3]Global Weekly Stock (EWSuez'!$B$4:$B$2000,"mmm-yy")=TEXT(A2369,"mmm-yy"))
)</f>
        <v>13001.25</v>
      </c>
      <c r="I2369">
        <f>_xlfn.XLOOKUP(A2369,[1]ForwardDeriv!$D:$D,[1]ForwardDeriv!$AJ:$AJ)</f>
        <v>1.75</v>
      </c>
      <c r="J2369" cm="1">
        <f t="array" ref="J2369">_xlfn.XLOOKUP(TEXT(A2369, "mmm-yy"), TEXT([2]GASOLINE!$B$5:$B$208, "mmm-yy"), [2]GASOLINE!$IR$5:$IR$208, "Not Found")</f>
        <v>-268.15764593202715</v>
      </c>
      <c r="K2369" cm="1">
        <f t="array" ref="K2369">_xlfn.XLOOKUP(TEXT(A2369, "mmm-yy"), TEXT([2]GASOLINE!$B$5:$B$208, "mmm-yy"), [2]GASOLINE!$IK$5:$IK$208, "Not Found")</f>
        <v>228.10986466049698</v>
      </c>
      <c r="L2369">
        <f t="shared" si="36"/>
        <v>0</v>
      </c>
      <c r="M2369" cm="1">
        <f t="array" ref="M2369">_xlfn.XLOOKUP(TEXT(A2369, "mmm-yy"), TEXT([2]GASOLINE!$B$5:$B$208, "mmm-yy"), [2]GASOLINE!$C$5:$C$208, "Not Found")</f>
        <v>7798.0978204065104</v>
      </c>
      <c r="N2369" cm="1">
        <f t="array" ref="N2369">_xlfn.XLOOKUP(TEXT(A2369, "mmm-yy"), TEXT([2]RUNS!$B$5:$B$208, "mmm-yy"), [2]RUNS!$BM$5:$BM$208, "Not Found")</f>
        <v>0.82550521676465671</v>
      </c>
    </row>
    <row r="2370" spans="1:14" x14ac:dyDescent="0.25">
      <c r="A2370" s="1">
        <f>'[1]Global_Spot Prices'!$B3679</f>
        <v>45321</v>
      </c>
      <c r="B2370">
        <f>_xlfn.XLOOKUP(A2370,'[1]Global_Spot Prices'!$B:$B,'[1]Global_Spot Prices'!$BS:$BS)</f>
        <v>15.189999999999998</v>
      </c>
      <c r="C2370">
        <f>_xlfn.XLOOKUP(A2370,'[1]Global_Spot Prices'!$B:$B,'[1]Global_Spot Prices'!$E:$E)</f>
        <v>81.91</v>
      </c>
      <c r="D2370">
        <f>_xlfn.XLOOKUP(A2370,'[1]Global_Spot Prices'!$B:$B,'[1]Global_Spot Prices'!$D:$D)</f>
        <v>84.105000000000004</v>
      </c>
      <c r="E2370">
        <f>_xlfn.XLOOKUP(A2370,'[1]Global_Spot Prices'!$B:$B,'[1]Global_Spot Prices'!$H:$H)</f>
        <v>75.14</v>
      </c>
      <c r="F2370">
        <f>_xlfn.XLOOKUP(A2370,'[1]Global_Spot Prices'!$B:$B,'[1]Global_Spot Prices'!$I:$I)</f>
        <v>97.1</v>
      </c>
      <c r="G2370" cm="1">
        <f t="array" ref="G2370">_xlfn.XLOOKUP(TEXT(A2370, "mmm-yy"), TEXT([2]RUNS!$B$5:$B$208, "mmm-yy"), [2]RUNS!$D$5:$D$208, "Not Found")</f>
        <v>30457.757927227103</v>
      </c>
      <c r="H2370" cm="1">
        <f t="array" ref="H2370">SUMPRODUCT(
    --(TEXT('[3]Global Weekly Stock (EWSuez'!$B$4:$B$2000,"mmm-yy")=TEXT(A2370,"mmm-yy")),
    '[3]Global Weekly Stock (EWSuez'!$E$4:$E$2000)
/
SUMPRODUCT(
    --(TEXT('[3]Global Weekly Stock (EWSuez'!$B$4:$B$2000,"mmm-yy")=TEXT(A2370,"mmm-yy"))
)</f>
        <v>13001.25</v>
      </c>
      <c r="I2370">
        <f>_xlfn.XLOOKUP(A2370,[1]ForwardDeriv!$D:$D,[1]ForwardDeriv!$AJ:$AJ)</f>
        <v>1.3499999999999943</v>
      </c>
      <c r="J2370" cm="1">
        <f t="array" ref="J2370">_xlfn.XLOOKUP(TEXT(A2370, "mmm-yy"), TEXT([2]GASOLINE!$B$5:$B$208, "mmm-yy"), [2]GASOLINE!$IR$5:$IR$208, "Not Found")</f>
        <v>-268.15764593202715</v>
      </c>
      <c r="K2370" cm="1">
        <f t="array" ref="K2370">_xlfn.XLOOKUP(TEXT(A2370, "mmm-yy"), TEXT([2]GASOLINE!$B$5:$B$208, "mmm-yy"), [2]GASOLINE!$IK$5:$IK$208, "Not Found")</f>
        <v>228.10986466049698</v>
      </c>
      <c r="L2370">
        <f t="shared" si="36"/>
        <v>0</v>
      </c>
      <c r="M2370" cm="1">
        <f t="array" ref="M2370">_xlfn.XLOOKUP(TEXT(A2370, "mmm-yy"), TEXT([2]GASOLINE!$B$5:$B$208, "mmm-yy"), [2]GASOLINE!$C$5:$C$208, "Not Found")</f>
        <v>7798.0978204065104</v>
      </c>
      <c r="N2370" cm="1">
        <f t="array" ref="N2370">_xlfn.XLOOKUP(TEXT(A2370, "mmm-yy"), TEXT([2]RUNS!$B$5:$B$208, "mmm-yy"), [2]RUNS!$BM$5:$BM$208, "Not Found")</f>
        <v>0.82550521676465671</v>
      </c>
    </row>
    <row r="2371" spans="1:14" x14ac:dyDescent="0.25">
      <c r="A2371" s="1">
        <f>'[1]Global_Spot Prices'!$B3680</f>
        <v>45322</v>
      </c>
      <c r="B2371">
        <f>_xlfn.XLOOKUP(A2371,'[1]Global_Spot Prices'!$B:$B,'[1]Global_Spot Prices'!$BS:$BS)</f>
        <v>14.259999999999991</v>
      </c>
      <c r="C2371">
        <f>_xlfn.XLOOKUP(A2371,'[1]Global_Spot Prices'!$B:$B,'[1]Global_Spot Prices'!$E:$E)</f>
        <v>82.4</v>
      </c>
      <c r="D2371">
        <f>_xlfn.XLOOKUP(A2371,'[1]Global_Spot Prices'!$B:$B,'[1]Global_Spot Prices'!$D:$D)</f>
        <v>82.78</v>
      </c>
      <c r="E2371">
        <f>_xlfn.XLOOKUP(A2371,'[1]Global_Spot Prices'!$B:$B,'[1]Global_Spot Prices'!$H:$H)</f>
        <v>73.95</v>
      </c>
      <c r="F2371">
        <f>_xlfn.XLOOKUP(A2371,'[1]Global_Spot Prices'!$B:$B,'[1]Global_Spot Prices'!$I:$I)</f>
        <v>96.66</v>
      </c>
      <c r="G2371" cm="1">
        <f t="array" ref="G2371">_xlfn.XLOOKUP(TEXT(A2371, "mmm-yy"), TEXT([2]RUNS!$B$5:$B$208, "mmm-yy"), [2]RUNS!$D$5:$D$208, "Not Found")</f>
        <v>30457.757927227103</v>
      </c>
      <c r="H2371" cm="1">
        <f t="array" ref="H2371">SUMPRODUCT(
    --(TEXT('[3]Global Weekly Stock (EWSuez'!$B$4:$B$2000,"mmm-yy")=TEXT(A2371,"mmm-yy")),
    '[3]Global Weekly Stock (EWSuez'!$E$4:$E$2000)
/
SUMPRODUCT(
    --(TEXT('[3]Global Weekly Stock (EWSuez'!$B$4:$B$2000,"mmm-yy")=TEXT(A2371,"mmm-yy"))
)</f>
        <v>13001.25</v>
      </c>
      <c r="I2371">
        <f>_xlfn.XLOOKUP(A2371,[1]ForwardDeriv!$D:$D,[1]ForwardDeriv!$AJ:$AJ)</f>
        <v>1.2900000000000063</v>
      </c>
      <c r="J2371" cm="1">
        <f t="array" ref="J2371">_xlfn.XLOOKUP(TEXT(A2371, "mmm-yy"), TEXT([2]GASOLINE!$B$5:$B$208, "mmm-yy"), [2]GASOLINE!$IR$5:$IR$208, "Not Found")</f>
        <v>-268.15764593202715</v>
      </c>
      <c r="K2371" cm="1">
        <f t="array" ref="K2371">_xlfn.XLOOKUP(TEXT(A2371, "mmm-yy"), TEXT([2]GASOLINE!$B$5:$B$208, "mmm-yy"), [2]GASOLINE!$IK$5:$IK$208, "Not Found")</f>
        <v>228.10986466049698</v>
      </c>
      <c r="L2371">
        <f t="shared" ref="L2371:L2434" si="37">IF(OR(MONTH(A2371)=6, MONTH(A2371)=7, MONTH(A2371)=8, MONTH(A2371)=9), 1, 0)</f>
        <v>0</v>
      </c>
      <c r="M2371" cm="1">
        <f t="array" ref="M2371">_xlfn.XLOOKUP(TEXT(A2371, "mmm-yy"), TEXT([2]GASOLINE!$B$5:$B$208, "mmm-yy"), [2]GASOLINE!$C$5:$C$208, "Not Found")</f>
        <v>7798.0978204065104</v>
      </c>
      <c r="N2371" cm="1">
        <f t="array" ref="N2371">_xlfn.XLOOKUP(TEXT(A2371, "mmm-yy"), TEXT([2]RUNS!$B$5:$B$208, "mmm-yy"), [2]RUNS!$BM$5:$BM$208, "Not Found")</f>
        <v>0.82550521676465671</v>
      </c>
    </row>
    <row r="2372" spans="1:14" x14ac:dyDescent="0.25">
      <c r="A2372" s="1">
        <f>'[1]Global_Spot Prices'!$B3681</f>
        <v>45323</v>
      </c>
      <c r="B2372">
        <f>_xlfn.XLOOKUP(A2372,'[1]Global_Spot Prices'!$B:$B,'[1]Global_Spot Prices'!$BS:$BS)</f>
        <v>15.070000000000007</v>
      </c>
      <c r="C2372">
        <f>_xlfn.XLOOKUP(A2372,'[1]Global_Spot Prices'!$B:$B,'[1]Global_Spot Prices'!$E:$E)</f>
        <v>80.3</v>
      </c>
      <c r="D2372">
        <f>_xlfn.XLOOKUP(A2372,'[1]Global_Spot Prices'!$B:$B,'[1]Global_Spot Prices'!$D:$D)</f>
        <v>83.314999999999998</v>
      </c>
      <c r="E2372">
        <f>_xlfn.XLOOKUP(A2372,'[1]Global_Spot Prices'!$B:$B,'[1]Global_Spot Prices'!$H:$H)</f>
        <v>70.81</v>
      </c>
      <c r="F2372">
        <f>_xlfn.XLOOKUP(A2372,'[1]Global_Spot Prices'!$B:$B,'[1]Global_Spot Prices'!$I:$I)</f>
        <v>95.37</v>
      </c>
      <c r="G2372" cm="1">
        <f t="array" ref="G2372">_xlfn.XLOOKUP(TEXT(A2372, "mmm-yy"), TEXT([2]RUNS!$B$5:$B$208, "mmm-yy"), [2]RUNS!$D$5:$D$208, "Not Found")</f>
        <v>30720.324596555791</v>
      </c>
      <c r="H2372" cm="1">
        <f t="array" ref="H2372">SUMPRODUCT(
    --(TEXT('[3]Global Weekly Stock (EWSuez'!$B$4:$B$2000,"mmm-yy")=TEXT(A2372,"mmm-yy")),
    '[3]Global Weekly Stock (EWSuez'!$E$4:$E$2000)
/
SUMPRODUCT(
    --(TEXT('[3]Global Weekly Stock (EWSuez'!$B$4:$B$2000,"mmm-yy")=TEXT(A2372,"mmm-yy"))
)</f>
        <v>14068.75</v>
      </c>
      <c r="I2372">
        <f>_xlfn.XLOOKUP(A2372,[1]ForwardDeriv!$D:$D,[1]ForwardDeriv!$AJ:$AJ)</f>
        <v>1.3300000000000125</v>
      </c>
      <c r="J2372" cm="1">
        <f t="array" ref="J2372">_xlfn.XLOOKUP(TEXT(A2372, "mmm-yy"), TEXT([2]GASOLINE!$B$5:$B$208, "mmm-yy"), [2]GASOLINE!$IR$5:$IR$208, "Not Found")</f>
        <v>-210.5604231592136</v>
      </c>
      <c r="K2372" cm="1">
        <f t="array" ref="K2372">_xlfn.XLOOKUP(TEXT(A2372, "mmm-yy"), TEXT([2]GASOLINE!$B$5:$B$208, "mmm-yy"), [2]GASOLINE!$IK$5:$IK$208, "Not Found")</f>
        <v>239.25564654428575</v>
      </c>
      <c r="L2372">
        <f t="shared" si="37"/>
        <v>0</v>
      </c>
      <c r="M2372" cm="1">
        <f t="array" ref="M2372">_xlfn.XLOOKUP(TEXT(A2372, "mmm-yy"), TEXT([2]GASOLINE!$B$5:$B$208, "mmm-yy"), [2]GASOLINE!$C$5:$C$208, "Not Found")</f>
        <v>7977.9896435144174</v>
      </c>
      <c r="N2372" cm="1">
        <f t="array" ref="N2372">_xlfn.XLOOKUP(TEXT(A2372, "mmm-yy"), TEXT([2]RUNS!$B$5:$B$208, "mmm-yy"), [2]RUNS!$BM$5:$BM$208, "Not Found")</f>
        <v>0.83262163537292178</v>
      </c>
    </row>
    <row r="2373" spans="1:14" x14ac:dyDescent="0.25">
      <c r="A2373" s="1">
        <f>'[1]Global_Spot Prices'!$B3682</f>
        <v>45324</v>
      </c>
      <c r="B2373">
        <f>_xlfn.XLOOKUP(A2373,'[1]Global_Spot Prices'!$B:$B,'[1]Global_Spot Prices'!$BS:$BS)</f>
        <v>14.670000000000002</v>
      </c>
      <c r="C2373">
        <f>_xlfn.XLOOKUP(A2373,'[1]Global_Spot Prices'!$B:$B,'[1]Global_Spot Prices'!$E:$E)</f>
        <v>78.95</v>
      </c>
      <c r="D2373">
        <f>_xlfn.XLOOKUP(A2373,'[1]Global_Spot Prices'!$B:$B,'[1]Global_Spot Prices'!$D:$D)</f>
        <v>79.08</v>
      </c>
      <c r="E2373">
        <f>_xlfn.XLOOKUP(A2373,'[1]Global_Spot Prices'!$B:$B,'[1]Global_Spot Prices'!$H:$H)</f>
        <v>69.45</v>
      </c>
      <c r="F2373">
        <f>_xlfn.XLOOKUP(A2373,'[1]Global_Spot Prices'!$B:$B,'[1]Global_Spot Prices'!$I:$I)</f>
        <v>93.62</v>
      </c>
      <c r="G2373" cm="1">
        <f t="array" ref="G2373">_xlfn.XLOOKUP(TEXT(A2373, "mmm-yy"), TEXT([2]RUNS!$B$5:$B$208, "mmm-yy"), [2]RUNS!$D$5:$D$208, "Not Found")</f>
        <v>30720.324596555791</v>
      </c>
      <c r="H2373" cm="1">
        <f t="array" ref="H2373">SUMPRODUCT(
    --(TEXT('[3]Global Weekly Stock (EWSuez'!$B$4:$B$2000,"mmm-yy")=TEXT(A2373,"mmm-yy")),
    '[3]Global Weekly Stock (EWSuez'!$E$4:$E$2000)
/
SUMPRODUCT(
    --(TEXT('[3]Global Weekly Stock (EWSuez'!$B$4:$B$2000,"mmm-yy")=TEXT(A2373,"mmm-yy"))
)</f>
        <v>14068.75</v>
      </c>
      <c r="I2373">
        <f>_xlfn.XLOOKUP(A2373,[1]ForwardDeriv!$D:$D,[1]ForwardDeriv!$AJ:$AJ)</f>
        <v>1.2199999999999989</v>
      </c>
      <c r="J2373" cm="1">
        <f t="array" ref="J2373">_xlfn.XLOOKUP(TEXT(A2373, "mmm-yy"), TEXT([2]GASOLINE!$B$5:$B$208, "mmm-yy"), [2]GASOLINE!$IR$5:$IR$208, "Not Found")</f>
        <v>-210.5604231592136</v>
      </c>
      <c r="K2373" cm="1">
        <f t="array" ref="K2373">_xlfn.XLOOKUP(TEXT(A2373, "mmm-yy"), TEXT([2]GASOLINE!$B$5:$B$208, "mmm-yy"), [2]GASOLINE!$IK$5:$IK$208, "Not Found")</f>
        <v>239.25564654428575</v>
      </c>
      <c r="L2373">
        <f t="shared" si="37"/>
        <v>0</v>
      </c>
      <c r="M2373" cm="1">
        <f t="array" ref="M2373">_xlfn.XLOOKUP(TEXT(A2373, "mmm-yy"), TEXT([2]GASOLINE!$B$5:$B$208, "mmm-yy"), [2]GASOLINE!$C$5:$C$208, "Not Found")</f>
        <v>7977.9896435144174</v>
      </c>
      <c r="N2373" cm="1">
        <f t="array" ref="N2373">_xlfn.XLOOKUP(TEXT(A2373, "mmm-yy"), TEXT([2]RUNS!$B$5:$B$208, "mmm-yy"), [2]RUNS!$BM$5:$BM$208, "Not Found")</f>
        <v>0.83262163537292178</v>
      </c>
    </row>
    <row r="2374" spans="1:14" x14ac:dyDescent="0.25">
      <c r="A2374" s="1">
        <f>'[1]Global_Spot Prices'!$B3683</f>
        <v>45327</v>
      </c>
      <c r="B2374">
        <f>_xlfn.XLOOKUP(A2374,'[1]Global_Spot Prices'!$B:$B,'[1]Global_Spot Prices'!$BS:$BS)</f>
        <v>14.760000000000005</v>
      </c>
      <c r="C2374">
        <f>_xlfn.XLOOKUP(A2374,'[1]Global_Spot Prices'!$B:$B,'[1]Global_Spot Prices'!$E:$E)</f>
        <v>77.41</v>
      </c>
      <c r="D2374">
        <f>_xlfn.XLOOKUP(A2374,'[1]Global_Spot Prices'!$B:$B,'[1]Global_Spot Prices'!$D:$D)</f>
        <v>79.23</v>
      </c>
      <c r="E2374">
        <f>_xlfn.XLOOKUP(A2374,'[1]Global_Spot Prices'!$B:$B,'[1]Global_Spot Prices'!$H:$H)</f>
        <v>68.510000000000005</v>
      </c>
      <c r="F2374">
        <f>_xlfn.XLOOKUP(A2374,'[1]Global_Spot Prices'!$B:$B,'[1]Global_Spot Prices'!$I:$I)</f>
        <v>92.17</v>
      </c>
      <c r="G2374" cm="1">
        <f t="array" ref="G2374">_xlfn.XLOOKUP(TEXT(A2374, "mmm-yy"), TEXT([2]RUNS!$B$5:$B$208, "mmm-yy"), [2]RUNS!$D$5:$D$208, "Not Found")</f>
        <v>30720.324596555791</v>
      </c>
      <c r="H2374" cm="1">
        <f t="array" ref="H2374">SUMPRODUCT(
    --(TEXT('[3]Global Weekly Stock (EWSuez'!$B$4:$B$2000,"mmm-yy")=TEXT(A2374,"mmm-yy")),
    '[3]Global Weekly Stock (EWSuez'!$E$4:$E$2000)
/
SUMPRODUCT(
    --(TEXT('[3]Global Weekly Stock (EWSuez'!$B$4:$B$2000,"mmm-yy")=TEXT(A2374,"mmm-yy"))
)</f>
        <v>14068.75</v>
      </c>
      <c r="I2374">
        <f>_xlfn.XLOOKUP(A2374,[1]ForwardDeriv!$D:$D,[1]ForwardDeriv!$AJ:$AJ)</f>
        <v>1.2000000000000028</v>
      </c>
      <c r="J2374" cm="1">
        <f t="array" ref="J2374">_xlfn.XLOOKUP(TEXT(A2374, "mmm-yy"), TEXT([2]GASOLINE!$B$5:$B$208, "mmm-yy"), [2]GASOLINE!$IR$5:$IR$208, "Not Found")</f>
        <v>-210.5604231592136</v>
      </c>
      <c r="K2374" cm="1">
        <f t="array" ref="K2374">_xlfn.XLOOKUP(TEXT(A2374, "mmm-yy"), TEXT([2]GASOLINE!$B$5:$B$208, "mmm-yy"), [2]GASOLINE!$IK$5:$IK$208, "Not Found")</f>
        <v>239.25564654428575</v>
      </c>
      <c r="L2374">
        <f t="shared" si="37"/>
        <v>0</v>
      </c>
      <c r="M2374" cm="1">
        <f t="array" ref="M2374">_xlfn.XLOOKUP(TEXT(A2374, "mmm-yy"), TEXT([2]GASOLINE!$B$5:$B$208, "mmm-yy"), [2]GASOLINE!$C$5:$C$208, "Not Found")</f>
        <v>7977.9896435144174</v>
      </c>
      <c r="N2374" cm="1">
        <f t="array" ref="N2374">_xlfn.XLOOKUP(TEXT(A2374, "mmm-yy"), TEXT([2]RUNS!$B$5:$B$208, "mmm-yy"), [2]RUNS!$BM$5:$BM$208, "Not Found")</f>
        <v>0.83262163537292178</v>
      </c>
    </row>
    <row r="2375" spans="1:14" x14ac:dyDescent="0.25">
      <c r="A2375" s="1">
        <f>'[1]Global_Spot Prices'!$B3684</f>
        <v>45328</v>
      </c>
      <c r="B2375">
        <f>_xlfn.XLOOKUP(A2375,'[1]Global_Spot Prices'!$B:$B,'[1]Global_Spot Prices'!$BS:$BS)</f>
        <v>15.379999999999995</v>
      </c>
      <c r="C2375">
        <f>_xlfn.XLOOKUP(A2375,'[1]Global_Spot Prices'!$B:$B,'[1]Global_Spot Prices'!$E:$E)</f>
        <v>78</v>
      </c>
      <c r="D2375">
        <f>_xlfn.XLOOKUP(A2375,'[1]Global_Spot Prices'!$B:$B,'[1]Global_Spot Prices'!$D:$D)</f>
        <v>80.905000000000001</v>
      </c>
      <c r="E2375">
        <f>_xlfn.XLOOKUP(A2375,'[1]Global_Spot Prices'!$B:$B,'[1]Global_Spot Prices'!$H:$H)</f>
        <v>69.5</v>
      </c>
      <c r="F2375">
        <f>_xlfn.XLOOKUP(A2375,'[1]Global_Spot Prices'!$B:$B,'[1]Global_Spot Prices'!$I:$I)</f>
        <v>93.38</v>
      </c>
      <c r="G2375" cm="1">
        <f t="array" ref="G2375">_xlfn.XLOOKUP(TEXT(A2375, "mmm-yy"), TEXT([2]RUNS!$B$5:$B$208, "mmm-yy"), [2]RUNS!$D$5:$D$208, "Not Found")</f>
        <v>30720.324596555791</v>
      </c>
      <c r="H2375" cm="1">
        <f t="array" ref="H2375">SUMPRODUCT(
    --(TEXT('[3]Global Weekly Stock (EWSuez'!$B$4:$B$2000,"mmm-yy")=TEXT(A2375,"mmm-yy")),
    '[3]Global Weekly Stock (EWSuez'!$E$4:$E$2000)
/
SUMPRODUCT(
    --(TEXT('[3]Global Weekly Stock (EWSuez'!$B$4:$B$2000,"mmm-yy")=TEXT(A2375,"mmm-yy"))
)</f>
        <v>14068.75</v>
      </c>
      <c r="I2375">
        <f>_xlfn.XLOOKUP(A2375,[1]ForwardDeriv!$D:$D,[1]ForwardDeriv!$AJ:$AJ)</f>
        <v>1.25</v>
      </c>
      <c r="J2375" cm="1">
        <f t="array" ref="J2375">_xlfn.XLOOKUP(TEXT(A2375, "mmm-yy"), TEXT([2]GASOLINE!$B$5:$B$208, "mmm-yy"), [2]GASOLINE!$IR$5:$IR$208, "Not Found")</f>
        <v>-210.5604231592136</v>
      </c>
      <c r="K2375" cm="1">
        <f t="array" ref="K2375">_xlfn.XLOOKUP(TEXT(A2375, "mmm-yy"), TEXT([2]GASOLINE!$B$5:$B$208, "mmm-yy"), [2]GASOLINE!$IK$5:$IK$208, "Not Found")</f>
        <v>239.25564654428575</v>
      </c>
      <c r="L2375">
        <f t="shared" si="37"/>
        <v>0</v>
      </c>
      <c r="M2375" cm="1">
        <f t="array" ref="M2375">_xlfn.XLOOKUP(TEXT(A2375, "mmm-yy"), TEXT([2]GASOLINE!$B$5:$B$208, "mmm-yy"), [2]GASOLINE!$C$5:$C$208, "Not Found")</f>
        <v>7977.9896435144174</v>
      </c>
      <c r="N2375" cm="1">
        <f t="array" ref="N2375">_xlfn.XLOOKUP(TEXT(A2375, "mmm-yy"), TEXT([2]RUNS!$B$5:$B$208, "mmm-yy"), [2]RUNS!$BM$5:$BM$208, "Not Found")</f>
        <v>0.83262163537292178</v>
      </c>
    </row>
    <row r="2376" spans="1:14" x14ac:dyDescent="0.25">
      <c r="A2376" s="1">
        <f>'[1]Global_Spot Prices'!$B3685</f>
        <v>45329</v>
      </c>
      <c r="B2376">
        <f>_xlfn.XLOOKUP(A2376,'[1]Global_Spot Prices'!$B:$B,'[1]Global_Spot Prices'!$BS:$BS)</f>
        <v>14.760000000000005</v>
      </c>
      <c r="C2376">
        <f>_xlfn.XLOOKUP(A2376,'[1]Global_Spot Prices'!$B:$B,'[1]Global_Spot Prices'!$E:$E)</f>
        <v>78.5</v>
      </c>
      <c r="D2376">
        <f>_xlfn.XLOOKUP(A2376,'[1]Global_Spot Prices'!$B:$B,'[1]Global_Spot Prices'!$D:$D)</f>
        <v>81.69</v>
      </c>
      <c r="E2376">
        <f>_xlfn.XLOOKUP(A2376,'[1]Global_Spot Prices'!$B:$B,'[1]Global_Spot Prices'!$H:$H)</f>
        <v>70.64</v>
      </c>
      <c r="F2376">
        <f>_xlfn.XLOOKUP(A2376,'[1]Global_Spot Prices'!$B:$B,'[1]Global_Spot Prices'!$I:$I)</f>
        <v>93.26</v>
      </c>
      <c r="G2376" cm="1">
        <f t="array" ref="G2376">_xlfn.XLOOKUP(TEXT(A2376, "mmm-yy"), TEXT([2]RUNS!$B$5:$B$208, "mmm-yy"), [2]RUNS!$D$5:$D$208, "Not Found")</f>
        <v>30720.324596555791</v>
      </c>
      <c r="H2376" cm="1">
        <f t="array" ref="H2376">SUMPRODUCT(
    --(TEXT('[3]Global Weekly Stock (EWSuez'!$B$4:$B$2000,"mmm-yy")=TEXT(A2376,"mmm-yy")),
    '[3]Global Weekly Stock (EWSuez'!$E$4:$E$2000)
/
SUMPRODUCT(
    --(TEXT('[3]Global Weekly Stock (EWSuez'!$B$4:$B$2000,"mmm-yy")=TEXT(A2376,"mmm-yy"))
)</f>
        <v>14068.75</v>
      </c>
      <c r="I2376">
        <f>_xlfn.XLOOKUP(A2376,[1]ForwardDeriv!$D:$D,[1]ForwardDeriv!$AJ:$AJ)</f>
        <v>1.1800000000000068</v>
      </c>
      <c r="J2376" cm="1">
        <f t="array" ref="J2376">_xlfn.XLOOKUP(TEXT(A2376, "mmm-yy"), TEXT([2]GASOLINE!$B$5:$B$208, "mmm-yy"), [2]GASOLINE!$IR$5:$IR$208, "Not Found")</f>
        <v>-210.5604231592136</v>
      </c>
      <c r="K2376" cm="1">
        <f t="array" ref="K2376">_xlfn.XLOOKUP(TEXT(A2376, "mmm-yy"), TEXT([2]GASOLINE!$B$5:$B$208, "mmm-yy"), [2]GASOLINE!$IK$5:$IK$208, "Not Found")</f>
        <v>239.25564654428575</v>
      </c>
      <c r="L2376">
        <f t="shared" si="37"/>
        <v>0</v>
      </c>
      <c r="M2376" cm="1">
        <f t="array" ref="M2376">_xlfn.XLOOKUP(TEXT(A2376, "mmm-yy"), TEXT([2]GASOLINE!$B$5:$B$208, "mmm-yy"), [2]GASOLINE!$C$5:$C$208, "Not Found")</f>
        <v>7977.9896435144174</v>
      </c>
      <c r="N2376" cm="1">
        <f t="array" ref="N2376">_xlfn.XLOOKUP(TEXT(A2376, "mmm-yy"), TEXT([2]RUNS!$B$5:$B$208, "mmm-yy"), [2]RUNS!$BM$5:$BM$208, "Not Found")</f>
        <v>0.83262163537292178</v>
      </c>
    </row>
    <row r="2377" spans="1:14" x14ac:dyDescent="0.25">
      <c r="A2377" s="1">
        <f>'[1]Global_Spot Prices'!$B3686</f>
        <v>45330</v>
      </c>
      <c r="B2377">
        <f>_xlfn.XLOOKUP(A2377,'[1]Global_Spot Prices'!$B:$B,'[1]Global_Spot Prices'!$BS:$BS)</f>
        <v>16.120000000000005</v>
      </c>
      <c r="C2377">
        <f>_xlfn.XLOOKUP(A2377,'[1]Global_Spot Prices'!$B:$B,'[1]Global_Spot Prices'!$E:$E)</f>
        <v>79.33</v>
      </c>
      <c r="D2377">
        <f>_xlfn.XLOOKUP(A2377,'[1]Global_Spot Prices'!$B:$B,'[1]Global_Spot Prices'!$D:$D)</f>
        <v>84.474999999999994</v>
      </c>
      <c r="E2377">
        <f>_xlfn.XLOOKUP(A2377,'[1]Global_Spot Prices'!$B:$B,'[1]Global_Spot Prices'!$H:$H)</f>
        <v>71.98</v>
      </c>
      <c r="F2377">
        <f>_xlfn.XLOOKUP(A2377,'[1]Global_Spot Prices'!$B:$B,'[1]Global_Spot Prices'!$I:$I)</f>
        <v>95.45</v>
      </c>
      <c r="G2377" cm="1">
        <f t="array" ref="G2377">_xlfn.XLOOKUP(TEXT(A2377, "mmm-yy"), TEXT([2]RUNS!$B$5:$B$208, "mmm-yy"), [2]RUNS!$D$5:$D$208, "Not Found")</f>
        <v>30720.324596555791</v>
      </c>
      <c r="H2377" cm="1">
        <f t="array" ref="H2377">SUMPRODUCT(
    --(TEXT('[3]Global Weekly Stock (EWSuez'!$B$4:$B$2000,"mmm-yy")=TEXT(A2377,"mmm-yy")),
    '[3]Global Weekly Stock (EWSuez'!$E$4:$E$2000)
/
SUMPRODUCT(
    --(TEXT('[3]Global Weekly Stock (EWSuez'!$B$4:$B$2000,"mmm-yy")=TEXT(A2377,"mmm-yy"))
)</f>
        <v>14068.75</v>
      </c>
      <c r="I2377">
        <f>_xlfn.XLOOKUP(A2377,[1]ForwardDeriv!$D:$D,[1]ForwardDeriv!$AJ:$AJ)</f>
        <v>1.4300000000000068</v>
      </c>
      <c r="J2377" cm="1">
        <f t="array" ref="J2377">_xlfn.XLOOKUP(TEXT(A2377, "mmm-yy"), TEXT([2]GASOLINE!$B$5:$B$208, "mmm-yy"), [2]GASOLINE!$IR$5:$IR$208, "Not Found")</f>
        <v>-210.5604231592136</v>
      </c>
      <c r="K2377" cm="1">
        <f t="array" ref="K2377">_xlfn.XLOOKUP(TEXT(A2377, "mmm-yy"), TEXT([2]GASOLINE!$B$5:$B$208, "mmm-yy"), [2]GASOLINE!$IK$5:$IK$208, "Not Found")</f>
        <v>239.25564654428575</v>
      </c>
      <c r="L2377">
        <f t="shared" si="37"/>
        <v>0</v>
      </c>
      <c r="M2377" cm="1">
        <f t="array" ref="M2377">_xlfn.XLOOKUP(TEXT(A2377, "mmm-yy"), TEXT([2]GASOLINE!$B$5:$B$208, "mmm-yy"), [2]GASOLINE!$C$5:$C$208, "Not Found")</f>
        <v>7977.9896435144174</v>
      </c>
      <c r="N2377" cm="1">
        <f t="array" ref="N2377">_xlfn.XLOOKUP(TEXT(A2377, "mmm-yy"), TEXT([2]RUNS!$B$5:$B$208, "mmm-yy"), [2]RUNS!$BM$5:$BM$208, "Not Found")</f>
        <v>0.83262163537292178</v>
      </c>
    </row>
    <row r="2378" spans="1:14" x14ac:dyDescent="0.25">
      <c r="A2378" s="1">
        <f>'[1]Global_Spot Prices'!$B3687</f>
        <v>45331</v>
      </c>
      <c r="B2378">
        <f ca="1">_xlfn.XLOOKUP(A2378,'[1]Global_Spot Prices'!$B:$B,'[1]Global_Spot Prices'!$BS:$BS)</f>
        <v>15.849999999999994</v>
      </c>
      <c r="C2378">
        <f>_xlfn.XLOOKUP(A2378,'[1]Global_Spot Prices'!$B:$B,'[1]Global_Spot Prices'!$E:$E)</f>
        <v>81.040000000000006</v>
      </c>
      <c r="D2378">
        <f>_xlfn.XLOOKUP(A2378,'[1]Global_Spot Prices'!$B:$B,'[1]Global_Spot Prices'!$D:$D)</f>
        <v>84.75</v>
      </c>
      <c r="E2378">
        <f ca="1">_xlfn.XLOOKUP(A2378,'[1]Global_Spot Prices'!$B:$B,'[1]Global_Spot Prices'!$H:$H)</f>
        <v>73.16</v>
      </c>
      <c r="F2378">
        <f>_xlfn.XLOOKUP(A2378,'[1]Global_Spot Prices'!$B:$B,'[1]Global_Spot Prices'!$I:$I)</f>
        <v>96.89</v>
      </c>
      <c r="G2378" cm="1">
        <f t="array" ref="G2378">_xlfn.XLOOKUP(TEXT(A2378, "mmm-yy"), TEXT([2]RUNS!$B$5:$B$208, "mmm-yy"), [2]RUNS!$D$5:$D$208, "Not Found")</f>
        <v>30720.324596555791</v>
      </c>
      <c r="H2378" cm="1">
        <f t="array" ref="H2378">SUMPRODUCT(
    --(TEXT('[3]Global Weekly Stock (EWSuez'!$B$4:$B$2000,"mmm-yy")=TEXT(A2378,"mmm-yy")),
    '[3]Global Weekly Stock (EWSuez'!$E$4:$E$2000)
/
SUMPRODUCT(
    --(TEXT('[3]Global Weekly Stock (EWSuez'!$B$4:$B$2000,"mmm-yy")=TEXT(A2378,"mmm-yy"))
)</f>
        <v>14068.75</v>
      </c>
      <c r="I2378">
        <f>_xlfn.XLOOKUP(A2378,[1]ForwardDeriv!$D:$D,[1]ForwardDeriv!$AJ:$AJ)</f>
        <v>1.4499999999999886</v>
      </c>
      <c r="J2378" cm="1">
        <f t="array" ref="J2378">_xlfn.XLOOKUP(TEXT(A2378, "mmm-yy"), TEXT([2]GASOLINE!$B$5:$B$208, "mmm-yy"), [2]GASOLINE!$IR$5:$IR$208, "Not Found")</f>
        <v>-210.5604231592136</v>
      </c>
      <c r="K2378" cm="1">
        <f t="array" ref="K2378">_xlfn.XLOOKUP(TEXT(A2378, "mmm-yy"), TEXT([2]GASOLINE!$B$5:$B$208, "mmm-yy"), [2]GASOLINE!$IK$5:$IK$208, "Not Found")</f>
        <v>239.25564654428575</v>
      </c>
      <c r="L2378">
        <f t="shared" si="37"/>
        <v>0</v>
      </c>
      <c r="M2378" cm="1">
        <f t="array" ref="M2378">_xlfn.XLOOKUP(TEXT(A2378, "mmm-yy"), TEXT([2]GASOLINE!$B$5:$B$208, "mmm-yy"), [2]GASOLINE!$C$5:$C$208, "Not Found")</f>
        <v>7977.9896435144174</v>
      </c>
      <c r="N2378" cm="1">
        <f t="array" ref="N2378">_xlfn.XLOOKUP(TEXT(A2378, "mmm-yy"), TEXT([2]RUNS!$B$5:$B$208, "mmm-yy"), [2]RUNS!$BM$5:$BM$208, "Not Found")</f>
        <v>0.83262163537292178</v>
      </c>
    </row>
    <row r="2379" spans="1:14" x14ac:dyDescent="0.25">
      <c r="A2379" s="1">
        <f>'[1]Global_Spot Prices'!$B3688</f>
        <v>45334</v>
      </c>
      <c r="B2379" t="e">
        <f>_xlfn.XLOOKUP(A2379,'[1]Global_Spot Prices'!$B:$B,'[1]Global_Spot Prices'!$BS:$BS)</f>
        <v>#N/A</v>
      </c>
      <c r="C2379" t="str">
        <f>_xlfn.XLOOKUP(A2379,'[1]Global_Spot Prices'!$B:$B,'[1]Global_Spot Prices'!$E:$E)</f>
        <v/>
      </c>
      <c r="D2379">
        <f>_xlfn.XLOOKUP(A2379,'[1]Global_Spot Prices'!$B:$B,'[1]Global_Spot Prices'!$D:$D)</f>
        <v>84.614999999999995</v>
      </c>
      <c r="E2379">
        <f>_xlfn.XLOOKUP(A2379,'[1]Global_Spot Prices'!$B:$B,'[1]Global_Spot Prices'!$H:$H)</f>
        <v>0</v>
      </c>
      <c r="F2379">
        <f>_xlfn.XLOOKUP(A2379,'[1]Global_Spot Prices'!$B:$B,'[1]Global_Spot Prices'!$I:$I)</f>
        <v>0</v>
      </c>
      <c r="G2379" cm="1">
        <f t="array" ref="G2379">_xlfn.XLOOKUP(TEXT(A2379, "mmm-yy"), TEXT([2]RUNS!$B$5:$B$208, "mmm-yy"), [2]RUNS!$D$5:$D$208, "Not Found")</f>
        <v>30720.324596555791</v>
      </c>
      <c r="H2379" cm="1">
        <f t="array" ref="H2379">SUMPRODUCT(
    --(TEXT('[3]Global Weekly Stock (EWSuez'!$B$4:$B$2000,"mmm-yy")=TEXT(A2379,"mmm-yy")),
    '[3]Global Weekly Stock (EWSuez'!$E$4:$E$2000)
/
SUMPRODUCT(
    --(TEXT('[3]Global Weekly Stock (EWSuez'!$B$4:$B$2000,"mmm-yy")=TEXT(A2379,"mmm-yy"))
)</f>
        <v>14068.75</v>
      </c>
      <c r="I2379">
        <f>_xlfn.XLOOKUP(A2379,[1]ForwardDeriv!$D:$D,[1]ForwardDeriv!$AJ:$AJ)</f>
        <v>1.480000000000004</v>
      </c>
      <c r="J2379" cm="1">
        <f t="array" ref="J2379">_xlfn.XLOOKUP(TEXT(A2379, "mmm-yy"), TEXT([2]GASOLINE!$B$5:$B$208, "mmm-yy"), [2]GASOLINE!$IR$5:$IR$208, "Not Found")</f>
        <v>-210.5604231592136</v>
      </c>
      <c r="K2379" cm="1">
        <f t="array" ref="K2379">_xlfn.XLOOKUP(TEXT(A2379, "mmm-yy"), TEXT([2]GASOLINE!$B$5:$B$208, "mmm-yy"), [2]GASOLINE!$IK$5:$IK$208, "Not Found")</f>
        <v>239.25564654428575</v>
      </c>
      <c r="L2379">
        <f t="shared" si="37"/>
        <v>0</v>
      </c>
      <c r="M2379" cm="1">
        <f t="array" ref="M2379">_xlfn.XLOOKUP(TEXT(A2379, "mmm-yy"), TEXT([2]GASOLINE!$B$5:$B$208, "mmm-yy"), [2]GASOLINE!$C$5:$C$208, "Not Found")</f>
        <v>7977.9896435144174</v>
      </c>
      <c r="N2379" cm="1">
        <f t="array" ref="N2379">_xlfn.XLOOKUP(TEXT(A2379, "mmm-yy"), TEXT([2]RUNS!$B$5:$B$208, "mmm-yy"), [2]RUNS!$BM$5:$BM$208, "Not Found")</f>
        <v>0.83262163537292178</v>
      </c>
    </row>
    <row r="2380" spans="1:14" x14ac:dyDescent="0.25">
      <c r="A2380" s="1">
        <f>'[1]Global_Spot Prices'!$B3689</f>
        <v>45335</v>
      </c>
      <c r="B2380">
        <f>_xlfn.XLOOKUP(A2380,'[1]Global_Spot Prices'!$B:$B,'[1]Global_Spot Prices'!$BS:$BS)</f>
        <v>16.78</v>
      </c>
      <c r="C2380">
        <f>_xlfn.XLOOKUP(A2380,'[1]Global_Spot Prices'!$B:$B,'[1]Global_Spot Prices'!$E:$E)</f>
        <v>81.91</v>
      </c>
      <c r="D2380">
        <f>_xlfn.XLOOKUP(A2380,'[1]Global_Spot Prices'!$B:$B,'[1]Global_Spot Prices'!$D:$D)</f>
        <v>86</v>
      </c>
      <c r="E2380">
        <f>_xlfn.XLOOKUP(A2380,'[1]Global_Spot Prices'!$B:$B,'[1]Global_Spot Prices'!$H:$H)</f>
        <v>74.91</v>
      </c>
      <c r="F2380">
        <f>_xlfn.XLOOKUP(A2380,'[1]Global_Spot Prices'!$B:$B,'[1]Global_Spot Prices'!$I:$I)</f>
        <v>98.69</v>
      </c>
      <c r="G2380" cm="1">
        <f t="array" ref="G2380">_xlfn.XLOOKUP(TEXT(A2380, "mmm-yy"), TEXT([2]RUNS!$B$5:$B$208, "mmm-yy"), [2]RUNS!$D$5:$D$208, "Not Found")</f>
        <v>30720.324596555791</v>
      </c>
      <c r="H2380" cm="1">
        <f t="array" ref="H2380">SUMPRODUCT(
    --(TEXT('[3]Global Weekly Stock (EWSuez'!$B$4:$B$2000,"mmm-yy")=TEXT(A2380,"mmm-yy")),
    '[3]Global Weekly Stock (EWSuez'!$E$4:$E$2000)
/
SUMPRODUCT(
    --(TEXT('[3]Global Weekly Stock (EWSuez'!$B$4:$B$2000,"mmm-yy")=TEXT(A2380,"mmm-yy"))
)</f>
        <v>14068.75</v>
      </c>
      <c r="I2380">
        <f>_xlfn.XLOOKUP(A2380,[1]ForwardDeriv!$D:$D,[1]ForwardDeriv!$AJ:$AJ)</f>
        <v>1.480000000000004</v>
      </c>
      <c r="J2380" cm="1">
        <f t="array" ref="J2380">_xlfn.XLOOKUP(TEXT(A2380, "mmm-yy"), TEXT([2]GASOLINE!$B$5:$B$208, "mmm-yy"), [2]GASOLINE!$IR$5:$IR$208, "Not Found")</f>
        <v>-210.5604231592136</v>
      </c>
      <c r="K2380" cm="1">
        <f t="array" ref="K2380">_xlfn.XLOOKUP(TEXT(A2380, "mmm-yy"), TEXT([2]GASOLINE!$B$5:$B$208, "mmm-yy"), [2]GASOLINE!$IK$5:$IK$208, "Not Found")</f>
        <v>239.25564654428575</v>
      </c>
      <c r="L2380">
        <f t="shared" si="37"/>
        <v>0</v>
      </c>
      <c r="M2380" cm="1">
        <f t="array" ref="M2380">_xlfn.XLOOKUP(TEXT(A2380, "mmm-yy"), TEXT([2]GASOLINE!$B$5:$B$208, "mmm-yy"), [2]GASOLINE!$C$5:$C$208, "Not Found")</f>
        <v>7977.9896435144174</v>
      </c>
      <c r="N2380" cm="1">
        <f t="array" ref="N2380">_xlfn.XLOOKUP(TEXT(A2380, "mmm-yy"), TEXT([2]RUNS!$B$5:$B$208, "mmm-yy"), [2]RUNS!$BM$5:$BM$208, "Not Found")</f>
        <v>0.83262163537292178</v>
      </c>
    </row>
    <row r="2381" spans="1:14" x14ac:dyDescent="0.25">
      <c r="A2381" s="1">
        <f>'[1]Global_Spot Prices'!$B3690</f>
        <v>45336</v>
      </c>
      <c r="B2381">
        <f>_xlfn.XLOOKUP(A2381,'[1]Global_Spot Prices'!$B:$B,'[1]Global_Spot Prices'!$BS:$BS)</f>
        <v>17</v>
      </c>
      <c r="C2381">
        <f>_xlfn.XLOOKUP(A2381,'[1]Global_Spot Prices'!$B:$B,'[1]Global_Spot Prices'!$E:$E)</f>
        <v>82.44</v>
      </c>
      <c r="D2381">
        <f>_xlfn.XLOOKUP(A2381,'[1]Global_Spot Prices'!$B:$B,'[1]Global_Spot Prices'!$D:$D)</f>
        <v>85.045000000000002</v>
      </c>
      <c r="E2381">
        <f>_xlfn.XLOOKUP(A2381,'[1]Global_Spot Prices'!$B:$B,'[1]Global_Spot Prices'!$H:$H)</f>
        <v>74.89</v>
      </c>
      <c r="F2381">
        <f>_xlfn.XLOOKUP(A2381,'[1]Global_Spot Prices'!$B:$B,'[1]Global_Spot Prices'!$I:$I)</f>
        <v>99.44</v>
      </c>
      <c r="G2381" cm="1">
        <f t="array" ref="G2381">_xlfn.XLOOKUP(TEXT(A2381, "mmm-yy"), TEXT([2]RUNS!$B$5:$B$208, "mmm-yy"), [2]RUNS!$D$5:$D$208, "Not Found")</f>
        <v>30720.324596555791</v>
      </c>
      <c r="H2381" cm="1">
        <f t="array" ref="H2381">SUMPRODUCT(
    --(TEXT('[3]Global Weekly Stock (EWSuez'!$B$4:$B$2000,"mmm-yy")=TEXT(A2381,"mmm-yy")),
    '[3]Global Weekly Stock (EWSuez'!$E$4:$E$2000)
/
SUMPRODUCT(
    --(TEXT('[3]Global Weekly Stock (EWSuez'!$B$4:$B$2000,"mmm-yy")=TEXT(A2381,"mmm-yy"))
)</f>
        <v>14068.75</v>
      </c>
      <c r="I2381">
        <f>_xlfn.XLOOKUP(A2381,[1]ForwardDeriv!$D:$D,[1]ForwardDeriv!$AJ:$AJ)</f>
        <v>1.3999999999999915</v>
      </c>
      <c r="J2381" cm="1">
        <f t="array" ref="J2381">_xlfn.XLOOKUP(TEXT(A2381, "mmm-yy"), TEXT([2]GASOLINE!$B$5:$B$208, "mmm-yy"), [2]GASOLINE!$IR$5:$IR$208, "Not Found")</f>
        <v>-210.5604231592136</v>
      </c>
      <c r="K2381" cm="1">
        <f t="array" ref="K2381">_xlfn.XLOOKUP(TEXT(A2381, "mmm-yy"), TEXT([2]GASOLINE!$B$5:$B$208, "mmm-yy"), [2]GASOLINE!$IK$5:$IK$208, "Not Found")</f>
        <v>239.25564654428575</v>
      </c>
      <c r="L2381">
        <f t="shared" si="37"/>
        <v>0</v>
      </c>
      <c r="M2381" cm="1">
        <f t="array" ref="M2381">_xlfn.XLOOKUP(TEXT(A2381, "mmm-yy"), TEXT([2]GASOLINE!$B$5:$B$208, "mmm-yy"), [2]GASOLINE!$C$5:$C$208, "Not Found")</f>
        <v>7977.9896435144174</v>
      </c>
      <c r="N2381" cm="1">
        <f t="array" ref="N2381">_xlfn.XLOOKUP(TEXT(A2381, "mmm-yy"), TEXT([2]RUNS!$B$5:$B$208, "mmm-yy"), [2]RUNS!$BM$5:$BM$208, "Not Found")</f>
        <v>0.83262163537292178</v>
      </c>
    </row>
    <row r="2382" spans="1:14" x14ac:dyDescent="0.25">
      <c r="A2382" s="1">
        <f>'[1]Global_Spot Prices'!$B3691</f>
        <v>45337</v>
      </c>
      <c r="B2382">
        <f>_xlfn.XLOOKUP(A2382,'[1]Global_Spot Prices'!$B:$B,'[1]Global_Spot Prices'!$BS:$BS)</f>
        <v>15.010000000000005</v>
      </c>
      <c r="C2382">
        <f>_xlfn.XLOOKUP(A2382,'[1]Global_Spot Prices'!$B:$B,'[1]Global_Spot Prices'!$E:$E)</f>
        <v>80.55</v>
      </c>
      <c r="D2382">
        <f>_xlfn.XLOOKUP(A2382,'[1]Global_Spot Prices'!$B:$B,'[1]Global_Spot Prices'!$D:$D)</f>
        <v>85.534999999999997</v>
      </c>
      <c r="E2382">
        <f>_xlfn.XLOOKUP(A2382,'[1]Global_Spot Prices'!$B:$B,'[1]Global_Spot Prices'!$H:$H)</f>
        <v>72.58</v>
      </c>
      <c r="F2382">
        <f>_xlfn.XLOOKUP(A2382,'[1]Global_Spot Prices'!$B:$B,'[1]Global_Spot Prices'!$I:$I)</f>
        <v>95.56</v>
      </c>
      <c r="G2382" cm="1">
        <f t="array" ref="G2382">_xlfn.XLOOKUP(TEXT(A2382, "mmm-yy"), TEXT([2]RUNS!$B$5:$B$208, "mmm-yy"), [2]RUNS!$D$5:$D$208, "Not Found")</f>
        <v>30720.324596555791</v>
      </c>
      <c r="H2382" cm="1">
        <f t="array" ref="H2382">SUMPRODUCT(
    --(TEXT('[3]Global Weekly Stock (EWSuez'!$B$4:$B$2000,"mmm-yy")=TEXT(A2382,"mmm-yy")),
    '[3]Global Weekly Stock (EWSuez'!$E$4:$E$2000)
/
SUMPRODUCT(
    --(TEXT('[3]Global Weekly Stock (EWSuez'!$B$4:$B$2000,"mmm-yy")=TEXT(A2382,"mmm-yy"))
)</f>
        <v>14068.75</v>
      </c>
      <c r="I2382">
        <f>_xlfn.XLOOKUP(A2382,[1]ForwardDeriv!$D:$D,[1]ForwardDeriv!$AJ:$AJ)</f>
        <v>1.1499999999999915</v>
      </c>
      <c r="J2382" cm="1">
        <f t="array" ref="J2382">_xlfn.XLOOKUP(TEXT(A2382, "mmm-yy"), TEXT([2]GASOLINE!$B$5:$B$208, "mmm-yy"), [2]GASOLINE!$IR$5:$IR$208, "Not Found")</f>
        <v>-210.5604231592136</v>
      </c>
      <c r="K2382" cm="1">
        <f t="array" ref="K2382">_xlfn.XLOOKUP(TEXT(A2382, "mmm-yy"), TEXT([2]GASOLINE!$B$5:$B$208, "mmm-yy"), [2]GASOLINE!$IK$5:$IK$208, "Not Found")</f>
        <v>239.25564654428575</v>
      </c>
      <c r="L2382">
        <f t="shared" si="37"/>
        <v>0</v>
      </c>
      <c r="M2382" cm="1">
        <f t="array" ref="M2382">_xlfn.XLOOKUP(TEXT(A2382, "mmm-yy"), TEXT([2]GASOLINE!$B$5:$B$208, "mmm-yy"), [2]GASOLINE!$C$5:$C$208, "Not Found")</f>
        <v>7977.9896435144174</v>
      </c>
      <c r="N2382" cm="1">
        <f t="array" ref="N2382">_xlfn.XLOOKUP(TEXT(A2382, "mmm-yy"), TEXT([2]RUNS!$B$5:$B$208, "mmm-yy"), [2]RUNS!$BM$5:$BM$208, "Not Found")</f>
        <v>0.83262163537292178</v>
      </c>
    </row>
    <row r="2383" spans="1:14" x14ac:dyDescent="0.25">
      <c r="A2383" s="1">
        <f>'[1]Global_Spot Prices'!$B3692</f>
        <v>45338</v>
      </c>
      <c r="B2383">
        <f>_xlfn.XLOOKUP(A2383,'[1]Global_Spot Prices'!$B:$B,'[1]Global_Spot Prices'!$BS:$BS)</f>
        <v>14.350000000000009</v>
      </c>
      <c r="C2383">
        <f>_xlfn.XLOOKUP(A2383,'[1]Global_Spot Prices'!$B:$B,'[1]Global_Spot Prices'!$E:$E)</f>
        <v>82.05</v>
      </c>
      <c r="D2383">
        <f>_xlfn.XLOOKUP(A2383,'[1]Global_Spot Prices'!$B:$B,'[1]Global_Spot Prices'!$D:$D)</f>
        <v>86.12</v>
      </c>
      <c r="E2383">
        <f>_xlfn.XLOOKUP(A2383,'[1]Global_Spot Prices'!$B:$B,'[1]Global_Spot Prices'!$H:$H)</f>
        <v>73.819999999999993</v>
      </c>
      <c r="F2383">
        <f>_xlfn.XLOOKUP(A2383,'[1]Global_Spot Prices'!$B:$B,'[1]Global_Spot Prices'!$I:$I)</f>
        <v>96.4</v>
      </c>
      <c r="G2383" cm="1">
        <f t="array" ref="G2383">_xlfn.XLOOKUP(TEXT(A2383, "mmm-yy"), TEXT([2]RUNS!$B$5:$B$208, "mmm-yy"), [2]RUNS!$D$5:$D$208, "Not Found")</f>
        <v>30720.324596555791</v>
      </c>
      <c r="H2383" cm="1">
        <f t="array" ref="H2383">SUMPRODUCT(
    --(TEXT('[3]Global Weekly Stock (EWSuez'!$B$4:$B$2000,"mmm-yy")=TEXT(A2383,"mmm-yy")),
    '[3]Global Weekly Stock (EWSuez'!$E$4:$E$2000)
/
SUMPRODUCT(
    --(TEXT('[3]Global Weekly Stock (EWSuez'!$B$4:$B$2000,"mmm-yy")=TEXT(A2383,"mmm-yy"))
)</f>
        <v>14068.75</v>
      </c>
      <c r="I2383">
        <f>_xlfn.XLOOKUP(A2383,[1]ForwardDeriv!$D:$D,[1]ForwardDeriv!$AJ:$AJ)</f>
        <v>0.94000000000001194</v>
      </c>
      <c r="J2383" cm="1">
        <f t="array" ref="J2383">_xlfn.XLOOKUP(TEXT(A2383, "mmm-yy"), TEXT([2]GASOLINE!$B$5:$B$208, "mmm-yy"), [2]GASOLINE!$IR$5:$IR$208, "Not Found")</f>
        <v>-210.5604231592136</v>
      </c>
      <c r="K2383" cm="1">
        <f t="array" ref="K2383">_xlfn.XLOOKUP(TEXT(A2383, "mmm-yy"), TEXT([2]GASOLINE!$B$5:$B$208, "mmm-yy"), [2]GASOLINE!$IK$5:$IK$208, "Not Found")</f>
        <v>239.25564654428575</v>
      </c>
      <c r="L2383">
        <f t="shared" si="37"/>
        <v>0</v>
      </c>
      <c r="M2383" cm="1">
        <f t="array" ref="M2383">_xlfn.XLOOKUP(TEXT(A2383, "mmm-yy"), TEXT([2]GASOLINE!$B$5:$B$208, "mmm-yy"), [2]GASOLINE!$C$5:$C$208, "Not Found")</f>
        <v>7977.9896435144174</v>
      </c>
      <c r="N2383" cm="1">
        <f t="array" ref="N2383">_xlfn.XLOOKUP(TEXT(A2383, "mmm-yy"), TEXT([2]RUNS!$B$5:$B$208, "mmm-yy"), [2]RUNS!$BM$5:$BM$208, "Not Found")</f>
        <v>0.83262163537292178</v>
      </c>
    </row>
    <row r="2384" spans="1:14" x14ac:dyDescent="0.25">
      <c r="A2384" s="1">
        <f>'[1]Global_Spot Prices'!$B3693</f>
        <v>45341</v>
      </c>
      <c r="B2384">
        <f>_xlfn.XLOOKUP(A2384,'[1]Global_Spot Prices'!$B:$B,'[1]Global_Spot Prices'!$BS:$BS)</f>
        <v>13.36</v>
      </c>
      <c r="C2384">
        <f>_xlfn.XLOOKUP(A2384,'[1]Global_Spot Prices'!$B:$B,'[1]Global_Spot Prices'!$E:$E)</f>
        <v>82.29</v>
      </c>
      <c r="D2384">
        <f>_xlfn.XLOOKUP(A2384,'[1]Global_Spot Prices'!$B:$B,'[1]Global_Spot Prices'!$D:$D)</f>
        <v>86.51</v>
      </c>
      <c r="E2384">
        <f ca="1">_xlfn.XLOOKUP(A2384,'[1]Global_Spot Prices'!$B:$B,'[1]Global_Spot Prices'!$H:$H)</f>
        <v>72.09</v>
      </c>
      <c r="F2384">
        <f>_xlfn.XLOOKUP(A2384,'[1]Global_Spot Prices'!$B:$B,'[1]Global_Spot Prices'!$I:$I)</f>
        <v>95.65</v>
      </c>
      <c r="G2384" cm="1">
        <f t="array" ref="G2384">_xlfn.XLOOKUP(TEXT(A2384, "mmm-yy"), TEXT([2]RUNS!$B$5:$B$208, "mmm-yy"), [2]RUNS!$D$5:$D$208, "Not Found")</f>
        <v>30720.324596555791</v>
      </c>
      <c r="H2384" cm="1">
        <f t="array" ref="H2384">SUMPRODUCT(
    --(TEXT('[3]Global Weekly Stock (EWSuez'!$B$4:$B$2000,"mmm-yy")=TEXT(A2384,"mmm-yy")),
    '[3]Global Weekly Stock (EWSuez'!$E$4:$E$2000)
/
SUMPRODUCT(
    --(TEXT('[3]Global Weekly Stock (EWSuez'!$B$4:$B$2000,"mmm-yy")=TEXT(A2384,"mmm-yy"))
)</f>
        <v>14068.75</v>
      </c>
      <c r="I2384">
        <f>_xlfn.XLOOKUP(A2384,[1]ForwardDeriv!$D:$D,[1]ForwardDeriv!$AJ:$AJ)</f>
        <v>0.90000000000000568</v>
      </c>
      <c r="J2384" cm="1">
        <f t="array" ref="J2384">_xlfn.XLOOKUP(TEXT(A2384, "mmm-yy"), TEXT([2]GASOLINE!$B$5:$B$208, "mmm-yy"), [2]GASOLINE!$IR$5:$IR$208, "Not Found")</f>
        <v>-210.5604231592136</v>
      </c>
      <c r="K2384" cm="1">
        <f t="array" ref="K2384">_xlfn.XLOOKUP(TEXT(A2384, "mmm-yy"), TEXT([2]GASOLINE!$B$5:$B$208, "mmm-yy"), [2]GASOLINE!$IK$5:$IK$208, "Not Found")</f>
        <v>239.25564654428575</v>
      </c>
      <c r="L2384">
        <f t="shared" si="37"/>
        <v>0</v>
      </c>
      <c r="M2384" cm="1">
        <f t="array" ref="M2384">_xlfn.XLOOKUP(TEXT(A2384, "mmm-yy"), TEXT([2]GASOLINE!$B$5:$B$208, "mmm-yy"), [2]GASOLINE!$C$5:$C$208, "Not Found")</f>
        <v>7977.9896435144174</v>
      </c>
      <c r="N2384" cm="1">
        <f t="array" ref="N2384">_xlfn.XLOOKUP(TEXT(A2384, "mmm-yy"), TEXT([2]RUNS!$B$5:$B$208, "mmm-yy"), [2]RUNS!$BM$5:$BM$208, "Not Found")</f>
        <v>0.83262163537292178</v>
      </c>
    </row>
    <row r="2385" spans="1:14" x14ac:dyDescent="0.25">
      <c r="A2385" s="1">
        <f>'[1]Global_Spot Prices'!$B3694</f>
        <v>45342</v>
      </c>
      <c r="B2385">
        <f>_xlfn.XLOOKUP(A2385,'[1]Global_Spot Prices'!$B:$B,'[1]Global_Spot Prices'!$BS:$BS)</f>
        <v>11.599999999999994</v>
      </c>
      <c r="C2385">
        <f>_xlfn.XLOOKUP(A2385,'[1]Global_Spot Prices'!$B:$B,'[1]Global_Spot Prices'!$E:$E)</f>
        <v>82.75</v>
      </c>
      <c r="D2385">
        <f>_xlfn.XLOOKUP(A2385,'[1]Global_Spot Prices'!$B:$B,'[1]Global_Spot Prices'!$D:$D)</f>
        <v>84.89</v>
      </c>
      <c r="E2385">
        <f>_xlfn.XLOOKUP(A2385,'[1]Global_Spot Prices'!$B:$B,'[1]Global_Spot Prices'!$H:$H)</f>
        <v>71.7</v>
      </c>
      <c r="F2385">
        <f>_xlfn.XLOOKUP(A2385,'[1]Global_Spot Prices'!$B:$B,'[1]Global_Spot Prices'!$I:$I)</f>
        <v>94.35</v>
      </c>
      <c r="G2385" cm="1">
        <f t="array" ref="G2385">_xlfn.XLOOKUP(TEXT(A2385, "mmm-yy"), TEXT([2]RUNS!$B$5:$B$208, "mmm-yy"), [2]RUNS!$D$5:$D$208, "Not Found")</f>
        <v>30720.324596555791</v>
      </c>
      <c r="H2385" cm="1">
        <f t="array" ref="H2385">SUMPRODUCT(
    --(TEXT('[3]Global Weekly Stock (EWSuez'!$B$4:$B$2000,"mmm-yy")=TEXT(A2385,"mmm-yy")),
    '[3]Global Weekly Stock (EWSuez'!$E$4:$E$2000)
/
SUMPRODUCT(
    --(TEXT('[3]Global Weekly Stock (EWSuez'!$B$4:$B$2000,"mmm-yy")=TEXT(A2385,"mmm-yy"))
)</f>
        <v>14068.75</v>
      </c>
      <c r="I2385">
        <f>_xlfn.XLOOKUP(A2385,[1]ForwardDeriv!$D:$D,[1]ForwardDeriv!$AJ:$AJ)</f>
        <v>0.68000000000000682</v>
      </c>
      <c r="J2385" cm="1">
        <f t="array" ref="J2385">_xlfn.XLOOKUP(TEXT(A2385, "mmm-yy"), TEXT([2]GASOLINE!$B$5:$B$208, "mmm-yy"), [2]GASOLINE!$IR$5:$IR$208, "Not Found")</f>
        <v>-210.5604231592136</v>
      </c>
      <c r="K2385" cm="1">
        <f t="array" ref="K2385">_xlfn.XLOOKUP(TEXT(A2385, "mmm-yy"), TEXT([2]GASOLINE!$B$5:$B$208, "mmm-yy"), [2]GASOLINE!$IK$5:$IK$208, "Not Found")</f>
        <v>239.25564654428575</v>
      </c>
      <c r="L2385">
        <f t="shared" si="37"/>
        <v>0</v>
      </c>
      <c r="M2385" cm="1">
        <f t="array" ref="M2385">_xlfn.XLOOKUP(TEXT(A2385, "mmm-yy"), TEXT([2]GASOLINE!$B$5:$B$208, "mmm-yy"), [2]GASOLINE!$C$5:$C$208, "Not Found")</f>
        <v>7977.9896435144174</v>
      </c>
      <c r="N2385" cm="1">
        <f t="array" ref="N2385">_xlfn.XLOOKUP(TEXT(A2385, "mmm-yy"), TEXT([2]RUNS!$B$5:$B$208, "mmm-yy"), [2]RUNS!$BM$5:$BM$208, "Not Found")</f>
        <v>0.83262163537292178</v>
      </c>
    </row>
    <row r="2386" spans="1:14" x14ac:dyDescent="0.25">
      <c r="A2386" s="1">
        <f>'[1]Global_Spot Prices'!$B3695</f>
        <v>45343</v>
      </c>
      <c r="B2386">
        <f>_xlfn.XLOOKUP(A2386,'[1]Global_Spot Prices'!$B:$B,'[1]Global_Spot Prices'!$BS:$BS)</f>
        <v>12.475000000000009</v>
      </c>
      <c r="C2386">
        <f>_xlfn.XLOOKUP(A2386,'[1]Global_Spot Prices'!$B:$B,'[1]Global_Spot Prices'!$E:$E)</f>
        <v>81.454999999999998</v>
      </c>
      <c r="D2386">
        <f>_xlfn.XLOOKUP(A2386,'[1]Global_Spot Prices'!$B:$B,'[1]Global_Spot Prices'!$D:$D)</f>
        <v>85.444999999999993</v>
      </c>
      <c r="E2386">
        <f>_xlfn.XLOOKUP(A2386,'[1]Global_Spot Prices'!$B:$B,'[1]Global_Spot Prices'!$H:$H)</f>
        <v>70.88</v>
      </c>
      <c r="F2386">
        <f>_xlfn.XLOOKUP(A2386,'[1]Global_Spot Prices'!$B:$B,'[1]Global_Spot Prices'!$I:$I)</f>
        <v>93.93</v>
      </c>
      <c r="G2386" cm="1">
        <f t="array" ref="G2386">_xlfn.XLOOKUP(TEXT(A2386, "mmm-yy"), TEXT([2]RUNS!$B$5:$B$208, "mmm-yy"), [2]RUNS!$D$5:$D$208, "Not Found")</f>
        <v>30720.324596555791</v>
      </c>
      <c r="H2386" cm="1">
        <f t="array" ref="H2386">SUMPRODUCT(
    --(TEXT('[3]Global Weekly Stock (EWSuez'!$B$4:$B$2000,"mmm-yy")=TEXT(A2386,"mmm-yy")),
    '[3]Global Weekly Stock (EWSuez'!$E$4:$E$2000)
/
SUMPRODUCT(
    --(TEXT('[3]Global Weekly Stock (EWSuez'!$B$4:$B$2000,"mmm-yy")=TEXT(A2386,"mmm-yy"))
)</f>
        <v>14068.75</v>
      </c>
      <c r="I2386">
        <f>_xlfn.XLOOKUP(A2386,[1]ForwardDeriv!$D:$D,[1]ForwardDeriv!$AJ:$AJ)</f>
        <v>0.73000000000000398</v>
      </c>
      <c r="J2386" cm="1">
        <f t="array" ref="J2386">_xlfn.XLOOKUP(TEXT(A2386, "mmm-yy"), TEXT([2]GASOLINE!$B$5:$B$208, "mmm-yy"), [2]GASOLINE!$IR$5:$IR$208, "Not Found")</f>
        <v>-210.5604231592136</v>
      </c>
      <c r="K2386" cm="1">
        <f t="array" ref="K2386">_xlfn.XLOOKUP(TEXT(A2386, "mmm-yy"), TEXT([2]GASOLINE!$B$5:$B$208, "mmm-yy"), [2]GASOLINE!$IK$5:$IK$208, "Not Found")</f>
        <v>239.25564654428575</v>
      </c>
      <c r="L2386">
        <f t="shared" si="37"/>
        <v>0</v>
      </c>
      <c r="M2386" cm="1">
        <f t="array" ref="M2386">_xlfn.XLOOKUP(TEXT(A2386, "mmm-yy"), TEXT([2]GASOLINE!$B$5:$B$208, "mmm-yy"), [2]GASOLINE!$C$5:$C$208, "Not Found")</f>
        <v>7977.9896435144174</v>
      </c>
      <c r="N2386" cm="1">
        <f t="array" ref="N2386">_xlfn.XLOOKUP(TEXT(A2386, "mmm-yy"), TEXT([2]RUNS!$B$5:$B$208, "mmm-yy"), [2]RUNS!$BM$5:$BM$208, "Not Found")</f>
        <v>0.83262163537292178</v>
      </c>
    </row>
    <row r="2387" spans="1:14" x14ac:dyDescent="0.25">
      <c r="A2387" s="1">
        <f>'[1]Global_Spot Prices'!$B3696</f>
        <v>45344</v>
      </c>
      <c r="B2387">
        <f>_xlfn.XLOOKUP(A2387,'[1]Global_Spot Prices'!$B:$B,'[1]Global_Spot Prices'!$BS:$BS)</f>
        <v>13.510000000000005</v>
      </c>
      <c r="C2387">
        <f>_xlfn.XLOOKUP(A2387,'[1]Global_Spot Prices'!$B:$B,'[1]Global_Spot Prices'!$E:$E)</f>
        <v>82.6</v>
      </c>
      <c r="D2387">
        <f>_xlfn.XLOOKUP(A2387,'[1]Global_Spot Prices'!$B:$B,'[1]Global_Spot Prices'!$D:$D)</f>
        <v>85.52</v>
      </c>
      <c r="E2387">
        <f>_xlfn.XLOOKUP(A2387,'[1]Global_Spot Prices'!$B:$B,'[1]Global_Spot Prices'!$H:$H)</f>
        <v>71.959999999999994</v>
      </c>
      <c r="F2387">
        <f>_xlfn.XLOOKUP(A2387,'[1]Global_Spot Prices'!$B:$B,'[1]Global_Spot Prices'!$I:$I)</f>
        <v>96.11</v>
      </c>
      <c r="G2387" cm="1">
        <f t="array" ref="G2387">_xlfn.XLOOKUP(TEXT(A2387, "mmm-yy"), TEXT([2]RUNS!$B$5:$B$208, "mmm-yy"), [2]RUNS!$D$5:$D$208, "Not Found")</f>
        <v>30720.324596555791</v>
      </c>
      <c r="H2387" cm="1">
        <f t="array" ref="H2387">SUMPRODUCT(
    --(TEXT('[3]Global Weekly Stock (EWSuez'!$B$4:$B$2000,"mmm-yy")=TEXT(A2387,"mmm-yy")),
    '[3]Global Weekly Stock (EWSuez'!$E$4:$E$2000)
/
SUMPRODUCT(
    --(TEXT('[3]Global Weekly Stock (EWSuez'!$B$4:$B$2000,"mmm-yy")=TEXT(A2387,"mmm-yy"))
)</f>
        <v>14068.75</v>
      </c>
      <c r="I2387">
        <f>_xlfn.XLOOKUP(A2387,[1]ForwardDeriv!$D:$D,[1]ForwardDeriv!$AJ:$AJ)</f>
        <v>0.95999999999999375</v>
      </c>
      <c r="J2387" cm="1">
        <f t="array" ref="J2387">_xlfn.XLOOKUP(TEXT(A2387, "mmm-yy"), TEXT([2]GASOLINE!$B$5:$B$208, "mmm-yy"), [2]GASOLINE!$IR$5:$IR$208, "Not Found")</f>
        <v>-210.5604231592136</v>
      </c>
      <c r="K2387" cm="1">
        <f t="array" ref="K2387">_xlfn.XLOOKUP(TEXT(A2387, "mmm-yy"), TEXT([2]GASOLINE!$B$5:$B$208, "mmm-yy"), [2]GASOLINE!$IK$5:$IK$208, "Not Found")</f>
        <v>239.25564654428575</v>
      </c>
      <c r="L2387">
        <f t="shared" si="37"/>
        <v>0</v>
      </c>
      <c r="M2387" cm="1">
        <f t="array" ref="M2387">_xlfn.XLOOKUP(TEXT(A2387, "mmm-yy"), TEXT([2]GASOLINE!$B$5:$B$208, "mmm-yy"), [2]GASOLINE!$C$5:$C$208, "Not Found")</f>
        <v>7977.9896435144174</v>
      </c>
      <c r="N2387" cm="1">
        <f t="array" ref="N2387">_xlfn.XLOOKUP(TEXT(A2387, "mmm-yy"), TEXT([2]RUNS!$B$5:$B$208, "mmm-yy"), [2]RUNS!$BM$5:$BM$208, "Not Found")</f>
        <v>0.83262163537292178</v>
      </c>
    </row>
    <row r="2388" spans="1:14" x14ac:dyDescent="0.25">
      <c r="A2388" s="1">
        <f>'[1]Global_Spot Prices'!$B3697</f>
        <v>45345</v>
      </c>
      <c r="B2388">
        <f>_xlfn.XLOOKUP(A2388,'[1]Global_Spot Prices'!$B:$B,'[1]Global_Spot Prices'!$BS:$BS)</f>
        <v>14.549999999999997</v>
      </c>
      <c r="C2388">
        <f>_xlfn.XLOOKUP(A2388,'[1]Global_Spot Prices'!$B:$B,'[1]Global_Spot Prices'!$E:$E)</f>
        <v>82.01</v>
      </c>
      <c r="D2388">
        <f>_xlfn.XLOOKUP(A2388,'[1]Global_Spot Prices'!$B:$B,'[1]Global_Spot Prices'!$D:$D)</f>
        <v>83.715000000000003</v>
      </c>
      <c r="E2388">
        <f>_xlfn.XLOOKUP(A2388,'[1]Global_Spot Prices'!$B:$B,'[1]Global_Spot Prices'!$H:$H)</f>
        <v>72.06</v>
      </c>
      <c r="F2388">
        <f>_xlfn.XLOOKUP(A2388,'[1]Global_Spot Prices'!$B:$B,'[1]Global_Spot Prices'!$I:$I)</f>
        <v>96.56</v>
      </c>
      <c r="G2388" cm="1">
        <f t="array" ref="G2388">_xlfn.XLOOKUP(TEXT(A2388, "mmm-yy"), TEXT([2]RUNS!$B$5:$B$208, "mmm-yy"), [2]RUNS!$D$5:$D$208, "Not Found")</f>
        <v>30720.324596555791</v>
      </c>
      <c r="H2388" cm="1">
        <f t="array" ref="H2388">SUMPRODUCT(
    --(TEXT('[3]Global Weekly Stock (EWSuez'!$B$4:$B$2000,"mmm-yy")=TEXT(A2388,"mmm-yy")),
    '[3]Global Weekly Stock (EWSuez'!$E$4:$E$2000)
/
SUMPRODUCT(
    --(TEXT('[3]Global Weekly Stock (EWSuez'!$B$4:$B$2000,"mmm-yy")=TEXT(A2388,"mmm-yy"))
)</f>
        <v>14068.75</v>
      </c>
      <c r="I2388">
        <f>_xlfn.XLOOKUP(A2388,[1]ForwardDeriv!$D:$D,[1]ForwardDeriv!$AJ:$AJ)</f>
        <v>0.98000000000000398</v>
      </c>
      <c r="J2388" cm="1">
        <f t="array" ref="J2388">_xlfn.XLOOKUP(TEXT(A2388, "mmm-yy"), TEXT([2]GASOLINE!$B$5:$B$208, "mmm-yy"), [2]GASOLINE!$IR$5:$IR$208, "Not Found")</f>
        <v>-210.5604231592136</v>
      </c>
      <c r="K2388" cm="1">
        <f t="array" ref="K2388">_xlfn.XLOOKUP(TEXT(A2388, "mmm-yy"), TEXT([2]GASOLINE!$B$5:$B$208, "mmm-yy"), [2]GASOLINE!$IK$5:$IK$208, "Not Found")</f>
        <v>239.25564654428575</v>
      </c>
      <c r="L2388">
        <f t="shared" si="37"/>
        <v>0</v>
      </c>
      <c r="M2388" cm="1">
        <f t="array" ref="M2388">_xlfn.XLOOKUP(TEXT(A2388, "mmm-yy"), TEXT([2]GASOLINE!$B$5:$B$208, "mmm-yy"), [2]GASOLINE!$C$5:$C$208, "Not Found")</f>
        <v>7977.9896435144174</v>
      </c>
      <c r="N2388" cm="1">
        <f t="array" ref="N2388">_xlfn.XLOOKUP(TEXT(A2388, "mmm-yy"), TEXT([2]RUNS!$B$5:$B$208, "mmm-yy"), [2]RUNS!$BM$5:$BM$208, "Not Found")</f>
        <v>0.83262163537292178</v>
      </c>
    </row>
    <row r="2389" spans="1:14" x14ac:dyDescent="0.25">
      <c r="A2389" s="1">
        <f>'[1]Global_Spot Prices'!$B3698</f>
        <v>45348</v>
      </c>
      <c r="B2389">
        <f>_xlfn.XLOOKUP(A2389,'[1]Global_Spot Prices'!$B:$B,'[1]Global_Spot Prices'!$BS:$BS)</f>
        <v>14.120000000000005</v>
      </c>
      <c r="C2389">
        <f>_xlfn.XLOOKUP(A2389,'[1]Global_Spot Prices'!$B:$B,'[1]Global_Spot Prices'!$E:$E)</f>
        <v>80.39</v>
      </c>
      <c r="D2389">
        <f>_xlfn.XLOOKUP(A2389,'[1]Global_Spot Prices'!$B:$B,'[1]Global_Spot Prices'!$D:$D)</f>
        <v>83.204999999999998</v>
      </c>
      <c r="E2389">
        <f>_xlfn.XLOOKUP(A2389,'[1]Global_Spot Prices'!$B:$B,'[1]Global_Spot Prices'!$H:$H)</f>
        <v>70.61</v>
      </c>
      <c r="F2389">
        <f>_xlfn.XLOOKUP(A2389,'[1]Global_Spot Prices'!$B:$B,'[1]Global_Spot Prices'!$I:$I)</f>
        <v>94.51</v>
      </c>
      <c r="G2389" cm="1">
        <f t="array" ref="G2389">_xlfn.XLOOKUP(TEXT(A2389, "mmm-yy"), TEXT([2]RUNS!$B$5:$B$208, "mmm-yy"), [2]RUNS!$D$5:$D$208, "Not Found")</f>
        <v>30720.324596555791</v>
      </c>
      <c r="H2389" cm="1">
        <f t="array" ref="H2389">SUMPRODUCT(
    --(TEXT('[3]Global Weekly Stock (EWSuez'!$B$4:$B$2000,"mmm-yy")=TEXT(A2389,"mmm-yy")),
    '[3]Global Weekly Stock (EWSuez'!$E$4:$E$2000)
/
SUMPRODUCT(
    --(TEXT('[3]Global Weekly Stock (EWSuez'!$B$4:$B$2000,"mmm-yy")=TEXT(A2389,"mmm-yy"))
)</f>
        <v>14068.75</v>
      </c>
      <c r="I2389">
        <f>_xlfn.XLOOKUP(A2389,[1]ForwardDeriv!$D:$D,[1]ForwardDeriv!$AJ:$AJ)</f>
        <v>0.89999999999999147</v>
      </c>
      <c r="J2389" cm="1">
        <f t="array" ref="J2389">_xlfn.XLOOKUP(TEXT(A2389, "mmm-yy"), TEXT([2]GASOLINE!$B$5:$B$208, "mmm-yy"), [2]GASOLINE!$IR$5:$IR$208, "Not Found")</f>
        <v>-210.5604231592136</v>
      </c>
      <c r="K2389" cm="1">
        <f t="array" ref="K2389">_xlfn.XLOOKUP(TEXT(A2389, "mmm-yy"), TEXT([2]GASOLINE!$B$5:$B$208, "mmm-yy"), [2]GASOLINE!$IK$5:$IK$208, "Not Found")</f>
        <v>239.25564654428575</v>
      </c>
      <c r="L2389">
        <f t="shared" si="37"/>
        <v>0</v>
      </c>
      <c r="M2389" cm="1">
        <f t="array" ref="M2389">_xlfn.XLOOKUP(TEXT(A2389, "mmm-yy"), TEXT([2]GASOLINE!$B$5:$B$208, "mmm-yy"), [2]GASOLINE!$C$5:$C$208, "Not Found")</f>
        <v>7977.9896435144174</v>
      </c>
      <c r="N2389" cm="1">
        <f t="array" ref="N2389">_xlfn.XLOOKUP(TEXT(A2389, "mmm-yy"), TEXT([2]RUNS!$B$5:$B$208, "mmm-yy"), [2]RUNS!$BM$5:$BM$208, "Not Found")</f>
        <v>0.83262163537292178</v>
      </c>
    </row>
    <row r="2390" spans="1:14" x14ac:dyDescent="0.25">
      <c r="A2390" s="1">
        <f>'[1]Global_Spot Prices'!$B3699</f>
        <v>45349</v>
      </c>
      <c r="B2390">
        <f>_xlfn.XLOOKUP(A2390,'[1]Global_Spot Prices'!$B:$B,'[1]Global_Spot Prices'!$BS:$BS)</f>
        <v>14.930000000000007</v>
      </c>
      <c r="C2390">
        <f>_xlfn.XLOOKUP(A2390,'[1]Global_Spot Prices'!$B:$B,'[1]Global_Spot Prices'!$E:$E)</f>
        <v>82.05</v>
      </c>
      <c r="D2390">
        <f>_xlfn.XLOOKUP(A2390,'[1]Global_Spot Prices'!$B:$B,'[1]Global_Spot Prices'!$D:$D)</f>
        <v>84.14</v>
      </c>
      <c r="E2390">
        <f>_xlfn.XLOOKUP(A2390,'[1]Global_Spot Prices'!$B:$B,'[1]Global_Spot Prices'!$H:$H)</f>
        <v>72.06</v>
      </c>
      <c r="F2390">
        <f ca="1">_xlfn.XLOOKUP(A2390,'[1]Global_Spot Prices'!$B:$B,'[1]Global_Spot Prices'!$I:$I)</f>
        <v>96.98</v>
      </c>
      <c r="G2390" cm="1">
        <f t="array" ref="G2390">_xlfn.XLOOKUP(TEXT(A2390, "mmm-yy"), TEXT([2]RUNS!$B$5:$B$208, "mmm-yy"), [2]RUNS!$D$5:$D$208, "Not Found")</f>
        <v>30720.324596555791</v>
      </c>
      <c r="H2390" cm="1">
        <f t="array" ref="H2390">SUMPRODUCT(
    --(TEXT('[3]Global Weekly Stock (EWSuez'!$B$4:$B$2000,"mmm-yy")=TEXT(A2390,"mmm-yy")),
    '[3]Global Weekly Stock (EWSuez'!$E$4:$E$2000)
/
SUMPRODUCT(
    --(TEXT('[3]Global Weekly Stock (EWSuez'!$B$4:$B$2000,"mmm-yy")=TEXT(A2390,"mmm-yy"))
)</f>
        <v>14068.75</v>
      </c>
      <c r="I2390">
        <f>_xlfn.XLOOKUP(A2390,[1]ForwardDeriv!$D:$D,[1]ForwardDeriv!$AJ:$AJ)</f>
        <v>0.90999999999999659</v>
      </c>
      <c r="J2390" cm="1">
        <f t="array" ref="J2390">_xlfn.XLOOKUP(TEXT(A2390, "mmm-yy"), TEXT([2]GASOLINE!$B$5:$B$208, "mmm-yy"), [2]GASOLINE!$IR$5:$IR$208, "Not Found")</f>
        <v>-210.5604231592136</v>
      </c>
      <c r="K2390" cm="1">
        <f t="array" ref="K2390">_xlfn.XLOOKUP(TEXT(A2390, "mmm-yy"), TEXT([2]GASOLINE!$B$5:$B$208, "mmm-yy"), [2]GASOLINE!$IK$5:$IK$208, "Not Found")</f>
        <v>239.25564654428575</v>
      </c>
      <c r="L2390">
        <f t="shared" si="37"/>
        <v>0</v>
      </c>
      <c r="M2390" cm="1">
        <f t="array" ref="M2390">_xlfn.XLOOKUP(TEXT(A2390, "mmm-yy"), TEXT([2]GASOLINE!$B$5:$B$208, "mmm-yy"), [2]GASOLINE!$C$5:$C$208, "Not Found")</f>
        <v>7977.9896435144174</v>
      </c>
      <c r="N2390" cm="1">
        <f t="array" ref="N2390">_xlfn.XLOOKUP(TEXT(A2390, "mmm-yy"), TEXT([2]RUNS!$B$5:$B$208, "mmm-yy"), [2]RUNS!$BM$5:$BM$208, "Not Found")</f>
        <v>0.83262163537292178</v>
      </c>
    </row>
    <row r="2391" spans="1:14" x14ac:dyDescent="0.25">
      <c r="A2391" s="1">
        <f>'[1]Global_Spot Prices'!$B3700</f>
        <v>45350</v>
      </c>
      <c r="B2391">
        <f>_xlfn.XLOOKUP(A2391,'[1]Global_Spot Prices'!$B:$B,'[1]Global_Spot Prices'!$BS:$BS)</f>
        <v>15.510000000000005</v>
      </c>
      <c r="C2391">
        <f ca="1">_xlfn.XLOOKUP(A2391,'[1]Global_Spot Prices'!$B:$B,'[1]Global_Spot Prices'!$E:$E)</f>
        <v>81.86</v>
      </c>
      <c r="D2391">
        <f>_xlfn.XLOOKUP(A2391,'[1]Global_Spot Prices'!$B:$B,'[1]Global_Spot Prices'!$D:$D)</f>
        <v>83.685000000000002</v>
      </c>
      <c r="E2391">
        <f>_xlfn.XLOOKUP(A2391,'[1]Global_Spot Prices'!$B:$B,'[1]Global_Spot Prices'!$H:$H)</f>
        <v>72.38</v>
      </c>
      <c r="F2391">
        <f>_xlfn.XLOOKUP(A2391,'[1]Global_Spot Prices'!$B:$B,'[1]Global_Spot Prices'!$I:$I)</f>
        <v>97.37</v>
      </c>
      <c r="G2391" cm="1">
        <f t="array" ref="G2391">_xlfn.XLOOKUP(TEXT(A2391, "mmm-yy"), TEXT([2]RUNS!$B$5:$B$208, "mmm-yy"), [2]RUNS!$D$5:$D$208, "Not Found")</f>
        <v>30720.324596555791</v>
      </c>
      <c r="H2391" cm="1">
        <f t="array" ref="H2391">SUMPRODUCT(
    --(TEXT('[3]Global Weekly Stock (EWSuez'!$B$4:$B$2000,"mmm-yy")=TEXT(A2391,"mmm-yy")),
    '[3]Global Weekly Stock (EWSuez'!$E$4:$E$2000)
/
SUMPRODUCT(
    --(TEXT('[3]Global Weekly Stock (EWSuez'!$B$4:$B$2000,"mmm-yy")=TEXT(A2391,"mmm-yy"))
)</f>
        <v>14068.75</v>
      </c>
      <c r="I2391">
        <f>_xlfn.XLOOKUP(A2391,[1]ForwardDeriv!$D:$D,[1]ForwardDeriv!$AJ:$AJ)</f>
        <v>0.85000000000000853</v>
      </c>
      <c r="J2391" cm="1">
        <f t="array" ref="J2391">_xlfn.XLOOKUP(TEXT(A2391, "mmm-yy"), TEXT([2]GASOLINE!$B$5:$B$208, "mmm-yy"), [2]GASOLINE!$IR$5:$IR$208, "Not Found")</f>
        <v>-210.5604231592136</v>
      </c>
      <c r="K2391" cm="1">
        <f t="array" ref="K2391">_xlfn.XLOOKUP(TEXT(A2391, "mmm-yy"), TEXT([2]GASOLINE!$B$5:$B$208, "mmm-yy"), [2]GASOLINE!$IK$5:$IK$208, "Not Found")</f>
        <v>239.25564654428575</v>
      </c>
      <c r="L2391">
        <f t="shared" si="37"/>
        <v>0</v>
      </c>
      <c r="M2391" cm="1">
        <f t="array" ref="M2391">_xlfn.XLOOKUP(TEXT(A2391, "mmm-yy"), TEXT([2]GASOLINE!$B$5:$B$208, "mmm-yy"), [2]GASOLINE!$C$5:$C$208, "Not Found")</f>
        <v>7977.9896435144174</v>
      </c>
      <c r="N2391" cm="1">
        <f t="array" ref="N2391">_xlfn.XLOOKUP(TEXT(A2391, "mmm-yy"), TEXT([2]RUNS!$B$5:$B$208, "mmm-yy"), [2]RUNS!$BM$5:$BM$208, "Not Found")</f>
        <v>0.83262163537292178</v>
      </c>
    </row>
    <row r="2392" spans="1:14" x14ac:dyDescent="0.25">
      <c r="A2392" s="1">
        <f>'[1]Global_Spot Prices'!$B3701</f>
        <v>45351</v>
      </c>
      <c r="B2392">
        <f>_xlfn.XLOOKUP(A2392,'[1]Global_Spot Prices'!$B:$B,'[1]Global_Spot Prices'!$BS:$BS)</f>
        <v>14.329999999999998</v>
      </c>
      <c r="C2392">
        <f>_xlfn.XLOOKUP(A2392,'[1]Global_Spot Prices'!$B:$B,'[1]Global_Spot Prices'!$E:$E)</f>
        <v>81.8</v>
      </c>
      <c r="D2392">
        <f>_xlfn.XLOOKUP(A2392,'[1]Global_Spot Prices'!$B:$B,'[1]Global_Spot Prices'!$D:$D)</f>
        <v>84.6</v>
      </c>
      <c r="E2392">
        <f>_xlfn.XLOOKUP(A2392,'[1]Global_Spot Prices'!$B:$B,'[1]Global_Spot Prices'!$H:$H)</f>
        <v>73.83</v>
      </c>
      <c r="F2392">
        <f>_xlfn.XLOOKUP(A2392,'[1]Global_Spot Prices'!$B:$B,'[1]Global_Spot Prices'!$I:$I)</f>
        <v>96.13</v>
      </c>
      <c r="G2392" cm="1">
        <f t="array" ref="G2392">_xlfn.XLOOKUP(TEXT(A2392, "mmm-yy"), TEXT([2]RUNS!$B$5:$B$208, "mmm-yy"), [2]RUNS!$D$5:$D$208, "Not Found")</f>
        <v>30720.324596555791</v>
      </c>
      <c r="H2392" cm="1">
        <f t="array" ref="H2392">SUMPRODUCT(
    --(TEXT('[3]Global Weekly Stock (EWSuez'!$B$4:$B$2000,"mmm-yy")=TEXT(A2392,"mmm-yy")),
    '[3]Global Weekly Stock (EWSuez'!$E$4:$E$2000)
/
SUMPRODUCT(
    --(TEXT('[3]Global Weekly Stock (EWSuez'!$B$4:$B$2000,"mmm-yy")=TEXT(A2392,"mmm-yy"))
)</f>
        <v>14068.75</v>
      </c>
      <c r="I2392">
        <f>_xlfn.XLOOKUP(A2392,[1]ForwardDeriv!$D:$D,[1]ForwardDeriv!$AJ:$AJ)</f>
        <v>0.6600000000000108</v>
      </c>
      <c r="J2392" cm="1">
        <f t="array" ref="J2392">_xlfn.XLOOKUP(TEXT(A2392, "mmm-yy"), TEXT([2]GASOLINE!$B$5:$B$208, "mmm-yy"), [2]GASOLINE!$IR$5:$IR$208, "Not Found")</f>
        <v>-210.5604231592136</v>
      </c>
      <c r="K2392" cm="1">
        <f t="array" ref="K2392">_xlfn.XLOOKUP(TEXT(A2392, "mmm-yy"), TEXT([2]GASOLINE!$B$5:$B$208, "mmm-yy"), [2]GASOLINE!$IK$5:$IK$208, "Not Found")</f>
        <v>239.25564654428575</v>
      </c>
      <c r="L2392">
        <f t="shared" si="37"/>
        <v>0</v>
      </c>
      <c r="M2392" cm="1">
        <f t="array" ref="M2392">_xlfn.XLOOKUP(TEXT(A2392, "mmm-yy"), TEXT([2]GASOLINE!$B$5:$B$208, "mmm-yy"), [2]GASOLINE!$C$5:$C$208, "Not Found")</f>
        <v>7977.9896435144174</v>
      </c>
      <c r="N2392" cm="1">
        <f t="array" ref="N2392">_xlfn.XLOOKUP(TEXT(A2392, "mmm-yy"), TEXT([2]RUNS!$B$5:$B$208, "mmm-yy"), [2]RUNS!$BM$5:$BM$208, "Not Found")</f>
        <v>0.83262163537292178</v>
      </c>
    </row>
    <row r="2393" spans="1:14" x14ac:dyDescent="0.25">
      <c r="A2393" s="1">
        <f>'[1]Global_Spot Prices'!$B3702</f>
        <v>45352</v>
      </c>
      <c r="B2393">
        <f>_xlfn.XLOOKUP(A2393,'[1]Global_Spot Prices'!$B:$B,'[1]Global_Spot Prices'!$BS:$BS)</f>
        <v>13.049999999999997</v>
      </c>
      <c r="C2393">
        <f>_xlfn.XLOOKUP(A2393,'[1]Global_Spot Prices'!$B:$B,'[1]Global_Spot Prices'!$E:$E)</f>
        <v>81.540000000000006</v>
      </c>
      <c r="D2393">
        <f>_xlfn.XLOOKUP(A2393,'[1]Global_Spot Prices'!$B:$B,'[1]Global_Spot Prices'!$D:$D)</f>
        <v>87.495000000000005</v>
      </c>
      <c r="E2393">
        <f>_xlfn.XLOOKUP(A2393,'[1]Global_Spot Prices'!$B:$B,'[1]Global_Spot Prices'!$H:$H)</f>
        <v>73.599999999999994</v>
      </c>
      <c r="F2393">
        <f>_xlfn.XLOOKUP(A2393,'[1]Global_Spot Prices'!$B:$B,'[1]Global_Spot Prices'!$I:$I)</f>
        <v>94.59</v>
      </c>
      <c r="G2393" cm="1">
        <f t="array" ref="G2393">_xlfn.XLOOKUP(TEXT(A2393, "mmm-yy"), TEXT([2]RUNS!$B$5:$B$208, "mmm-yy"), [2]RUNS!$D$5:$D$208, "Not Found")</f>
        <v>31134.553598629271</v>
      </c>
      <c r="H2393" cm="1">
        <f t="array" ref="H2393">SUMPRODUCT(
    --(TEXT('[3]Global Weekly Stock (EWSuez'!$B$4:$B$2000,"mmm-yy")=TEXT(A2393,"mmm-yy")),
    '[3]Global Weekly Stock (EWSuez'!$E$4:$E$2000)
/
SUMPRODUCT(
    --(TEXT('[3]Global Weekly Stock (EWSuez'!$B$4:$B$2000,"mmm-yy")=TEXT(A2393,"mmm-yy"))
)</f>
        <v>15251</v>
      </c>
      <c r="I2393">
        <f>_xlfn.XLOOKUP(A2393,[1]ForwardDeriv!$D:$D,[1]ForwardDeriv!$AJ:$AJ)</f>
        <v>1.2000000000000028</v>
      </c>
      <c r="J2393" cm="1">
        <f t="array" ref="J2393">_xlfn.XLOOKUP(TEXT(A2393, "mmm-yy"), TEXT([2]GASOLINE!$B$5:$B$208, "mmm-yy"), [2]GASOLINE!$IR$5:$IR$208, "Not Found")</f>
        <v>-294.99578326748298</v>
      </c>
      <c r="K2393" cm="1">
        <f t="array" ref="K2393">_xlfn.XLOOKUP(TEXT(A2393, "mmm-yy"), TEXT([2]GASOLINE!$B$5:$B$208, "mmm-yy"), [2]GASOLINE!$IK$5:$IK$208, "Not Found")</f>
        <v>241.14451846633159</v>
      </c>
      <c r="L2393">
        <f t="shared" si="37"/>
        <v>0</v>
      </c>
      <c r="M2393" cm="1">
        <f t="array" ref="M2393">_xlfn.XLOOKUP(TEXT(A2393, "mmm-yy"), TEXT([2]GASOLINE!$B$5:$B$208, "mmm-yy"), [2]GASOLINE!$C$5:$C$208, "Not Found")</f>
        <v>7965.6554791350645</v>
      </c>
      <c r="N2393" cm="1">
        <f t="array" ref="N2393">_xlfn.XLOOKUP(TEXT(A2393, "mmm-yy"), TEXT([2]RUNS!$B$5:$B$208, "mmm-yy"), [2]RUNS!$BM$5:$BM$208, "Not Found")</f>
        <v>0.84632362723250143</v>
      </c>
    </row>
    <row r="2394" spans="1:14" x14ac:dyDescent="0.25">
      <c r="A2394" s="1">
        <f>'[1]Global_Spot Prices'!$B3703</f>
        <v>45355</v>
      </c>
      <c r="B2394">
        <f>_xlfn.XLOOKUP(A2394,'[1]Global_Spot Prices'!$B:$B,'[1]Global_Spot Prices'!$BS:$BS)</f>
        <v>10.724999999999994</v>
      </c>
      <c r="C2394">
        <f>_xlfn.XLOOKUP(A2394,'[1]Global_Spot Prices'!$B:$B,'[1]Global_Spot Prices'!$E:$E)</f>
        <v>83.094999999999999</v>
      </c>
      <c r="D2394">
        <f>_xlfn.XLOOKUP(A2394,'[1]Global_Spot Prices'!$B:$B,'[1]Global_Spot Prices'!$D:$D)</f>
        <v>86.265000000000001</v>
      </c>
      <c r="E2394">
        <f>_xlfn.XLOOKUP(A2394,'[1]Global_Spot Prices'!$B:$B,'[1]Global_Spot Prices'!$H:$H)</f>
        <v>74.81</v>
      </c>
      <c r="F2394">
        <f>_xlfn.XLOOKUP(A2394,'[1]Global_Spot Prices'!$B:$B,'[1]Global_Spot Prices'!$I:$I)</f>
        <v>93.82</v>
      </c>
      <c r="G2394" cm="1">
        <f t="array" ref="G2394">_xlfn.XLOOKUP(TEXT(A2394, "mmm-yy"), TEXT([2]RUNS!$B$5:$B$208, "mmm-yy"), [2]RUNS!$D$5:$D$208, "Not Found")</f>
        <v>31134.553598629271</v>
      </c>
      <c r="H2394" cm="1">
        <f t="array" ref="H2394">SUMPRODUCT(
    --(TEXT('[3]Global Weekly Stock (EWSuez'!$B$4:$B$2000,"mmm-yy")=TEXT(A2394,"mmm-yy")),
    '[3]Global Weekly Stock (EWSuez'!$E$4:$E$2000)
/
SUMPRODUCT(
    --(TEXT('[3]Global Weekly Stock (EWSuez'!$B$4:$B$2000,"mmm-yy")=TEXT(A2394,"mmm-yy"))
)</f>
        <v>15251</v>
      </c>
      <c r="I2394">
        <f>_xlfn.XLOOKUP(A2394,[1]ForwardDeriv!$D:$D,[1]ForwardDeriv!$AJ:$AJ)</f>
        <v>0.79999999999999716</v>
      </c>
      <c r="J2394" cm="1">
        <f t="array" ref="J2394">_xlfn.XLOOKUP(TEXT(A2394, "mmm-yy"), TEXT([2]GASOLINE!$B$5:$B$208, "mmm-yy"), [2]GASOLINE!$IR$5:$IR$208, "Not Found")</f>
        <v>-294.99578326748298</v>
      </c>
      <c r="K2394" cm="1">
        <f t="array" ref="K2394">_xlfn.XLOOKUP(TEXT(A2394, "mmm-yy"), TEXT([2]GASOLINE!$B$5:$B$208, "mmm-yy"), [2]GASOLINE!$IK$5:$IK$208, "Not Found")</f>
        <v>241.14451846633159</v>
      </c>
      <c r="L2394">
        <f t="shared" si="37"/>
        <v>0</v>
      </c>
      <c r="M2394" cm="1">
        <f t="array" ref="M2394">_xlfn.XLOOKUP(TEXT(A2394, "mmm-yy"), TEXT([2]GASOLINE!$B$5:$B$208, "mmm-yy"), [2]GASOLINE!$C$5:$C$208, "Not Found")</f>
        <v>7965.6554791350645</v>
      </c>
      <c r="N2394" cm="1">
        <f t="array" ref="N2394">_xlfn.XLOOKUP(TEXT(A2394, "mmm-yy"), TEXT([2]RUNS!$B$5:$B$208, "mmm-yy"), [2]RUNS!$BM$5:$BM$208, "Not Found")</f>
        <v>0.84632362723250143</v>
      </c>
    </row>
    <row r="2395" spans="1:14" x14ac:dyDescent="0.25">
      <c r="A2395" s="1">
        <f>'[1]Global_Spot Prices'!$B3704</f>
        <v>45356</v>
      </c>
      <c r="B2395">
        <f>_xlfn.XLOOKUP(A2395,'[1]Global_Spot Prices'!$B:$B,'[1]Global_Spot Prices'!$BS:$BS)</f>
        <v>12.715000000000003</v>
      </c>
      <c r="C2395">
        <f>_xlfn.XLOOKUP(A2395,'[1]Global_Spot Prices'!$B:$B,'[1]Global_Spot Prices'!$E:$E)</f>
        <v>81.784999999999997</v>
      </c>
      <c r="D2395">
        <f>_xlfn.XLOOKUP(A2395,'[1]Global_Spot Prices'!$B:$B,'[1]Global_Spot Prices'!$D:$D)</f>
        <v>85.36</v>
      </c>
      <c r="E2395">
        <f>_xlfn.XLOOKUP(A2395,'[1]Global_Spot Prices'!$B:$B,'[1]Global_Spot Prices'!$H:$H)</f>
        <v>73.98</v>
      </c>
      <c r="F2395">
        <f>_xlfn.XLOOKUP(A2395,'[1]Global_Spot Prices'!$B:$B,'[1]Global_Spot Prices'!$I:$I)</f>
        <v>94.5</v>
      </c>
      <c r="G2395" cm="1">
        <f t="array" ref="G2395">_xlfn.XLOOKUP(TEXT(A2395, "mmm-yy"), TEXT([2]RUNS!$B$5:$B$208, "mmm-yy"), [2]RUNS!$D$5:$D$208, "Not Found")</f>
        <v>31134.553598629271</v>
      </c>
      <c r="H2395" cm="1">
        <f t="array" ref="H2395">SUMPRODUCT(
    --(TEXT('[3]Global Weekly Stock (EWSuez'!$B$4:$B$2000,"mmm-yy")=TEXT(A2395,"mmm-yy")),
    '[3]Global Weekly Stock (EWSuez'!$E$4:$E$2000)
/
SUMPRODUCT(
    --(TEXT('[3]Global Weekly Stock (EWSuez'!$B$4:$B$2000,"mmm-yy")=TEXT(A2395,"mmm-yy"))
)</f>
        <v>15251</v>
      </c>
      <c r="I2395">
        <f>_xlfn.XLOOKUP(A2395,[1]ForwardDeriv!$D:$D,[1]ForwardDeriv!$AJ:$AJ)</f>
        <v>0.98000000000000398</v>
      </c>
      <c r="J2395" cm="1">
        <f t="array" ref="J2395">_xlfn.XLOOKUP(TEXT(A2395, "mmm-yy"), TEXT([2]GASOLINE!$B$5:$B$208, "mmm-yy"), [2]GASOLINE!$IR$5:$IR$208, "Not Found")</f>
        <v>-294.99578326748298</v>
      </c>
      <c r="K2395" cm="1">
        <f t="array" ref="K2395">_xlfn.XLOOKUP(TEXT(A2395, "mmm-yy"), TEXT([2]GASOLINE!$B$5:$B$208, "mmm-yy"), [2]GASOLINE!$IK$5:$IK$208, "Not Found")</f>
        <v>241.14451846633159</v>
      </c>
      <c r="L2395">
        <f t="shared" si="37"/>
        <v>0</v>
      </c>
      <c r="M2395" cm="1">
        <f t="array" ref="M2395">_xlfn.XLOOKUP(TEXT(A2395, "mmm-yy"), TEXT([2]GASOLINE!$B$5:$B$208, "mmm-yy"), [2]GASOLINE!$C$5:$C$208, "Not Found")</f>
        <v>7965.6554791350645</v>
      </c>
      <c r="N2395" cm="1">
        <f t="array" ref="N2395">_xlfn.XLOOKUP(TEXT(A2395, "mmm-yy"), TEXT([2]RUNS!$B$5:$B$208, "mmm-yy"), [2]RUNS!$BM$5:$BM$208, "Not Found")</f>
        <v>0.84632362723250143</v>
      </c>
    </row>
    <row r="2396" spans="1:14" x14ac:dyDescent="0.25">
      <c r="A2396" s="1">
        <f>'[1]Global_Spot Prices'!$B3705</f>
        <v>45357</v>
      </c>
      <c r="B2396">
        <f>_xlfn.XLOOKUP(A2396,'[1]Global_Spot Prices'!$B:$B,'[1]Global_Spot Prices'!$BS:$BS)</f>
        <v>11.599999999999994</v>
      </c>
      <c r="C2396">
        <f>_xlfn.XLOOKUP(A2396,'[1]Global_Spot Prices'!$B:$B,'[1]Global_Spot Prices'!$E:$E)</f>
        <v>82.04</v>
      </c>
      <c r="D2396">
        <f>_xlfn.XLOOKUP(A2396,'[1]Global_Spot Prices'!$B:$B,'[1]Global_Spot Prices'!$D:$D)</f>
        <v>86.405000000000001</v>
      </c>
      <c r="E2396">
        <f>_xlfn.XLOOKUP(A2396,'[1]Global_Spot Prices'!$B:$B,'[1]Global_Spot Prices'!$H:$H)</f>
        <v>73.349999999999994</v>
      </c>
      <c r="F2396">
        <f>_xlfn.XLOOKUP(A2396,'[1]Global_Spot Prices'!$B:$B,'[1]Global_Spot Prices'!$I:$I)</f>
        <v>93.64</v>
      </c>
      <c r="G2396" cm="1">
        <f t="array" ref="G2396">_xlfn.XLOOKUP(TEXT(A2396, "mmm-yy"), TEXT([2]RUNS!$B$5:$B$208, "mmm-yy"), [2]RUNS!$D$5:$D$208, "Not Found")</f>
        <v>31134.553598629271</v>
      </c>
      <c r="H2396" cm="1">
        <f t="array" ref="H2396">SUMPRODUCT(
    --(TEXT('[3]Global Weekly Stock (EWSuez'!$B$4:$B$2000,"mmm-yy")=TEXT(A2396,"mmm-yy")),
    '[3]Global Weekly Stock (EWSuez'!$E$4:$E$2000)
/
SUMPRODUCT(
    --(TEXT('[3]Global Weekly Stock (EWSuez'!$B$4:$B$2000,"mmm-yy")=TEXT(A2396,"mmm-yy"))
)</f>
        <v>15251</v>
      </c>
      <c r="I2396">
        <f>_xlfn.XLOOKUP(A2396,[1]ForwardDeriv!$D:$D,[1]ForwardDeriv!$AJ:$AJ)</f>
        <v>0.89999999999999147</v>
      </c>
      <c r="J2396" cm="1">
        <f t="array" ref="J2396">_xlfn.XLOOKUP(TEXT(A2396, "mmm-yy"), TEXT([2]GASOLINE!$B$5:$B$208, "mmm-yy"), [2]GASOLINE!$IR$5:$IR$208, "Not Found")</f>
        <v>-294.99578326748298</v>
      </c>
      <c r="K2396" cm="1">
        <f t="array" ref="K2396">_xlfn.XLOOKUP(TEXT(A2396, "mmm-yy"), TEXT([2]GASOLINE!$B$5:$B$208, "mmm-yy"), [2]GASOLINE!$IK$5:$IK$208, "Not Found")</f>
        <v>241.14451846633159</v>
      </c>
      <c r="L2396">
        <f t="shared" si="37"/>
        <v>0</v>
      </c>
      <c r="M2396" cm="1">
        <f t="array" ref="M2396">_xlfn.XLOOKUP(TEXT(A2396, "mmm-yy"), TEXT([2]GASOLINE!$B$5:$B$208, "mmm-yy"), [2]GASOLINE!$C$5:$C$208, "Not Found")</f>
        <v>7965.6554791350645</v>
      </c>
      <c r="N2396" cm="1">
        <f t="array" ref="N2396">_xlfn.XLOOKUP(TEXT(A2396, "mmm-yy"), TEXT([2]RUNS!$B$5:$B$208, "mmm-yy"), [2]RUNS!$BM$5:$BM$208, "Not Found")</f>
        <v>0.84632362723250143</v>
      </c>
    </row>
    <row r="2397" spans="1:14" x14ac:dyDescent="0.25">
      <c r="A2397" s="1">
        <f>'[1]Global_Spot Prices'!$B3706</f>
        <v>45358</v>
      </c>
      <c r="B2397">
        <f>_xlfn.XLOOKUP(A2397,'[1]Global_Spot Prices'!$B:$B,'[1]Global_Spot Prices'!$BS:$BS)</f>
        <v>11.825000000000003</v>
      </c>
      <c r="C2397">
        <f>_xlfn.XLOOKUP(A2397,'[1]Global_Spot Prices'!$B:$B,'[1]Global_Spot Prices'!$E:$E)</f>
        <v>82.375</v>
      </c>
      <c r="D2397">
        <f>_xlfn.XLOOKUP(A2397,'[1]Global_Spot Prices'!$B:$B,'[1]Global_Spot Prices'!$D:$D)</f>
        <v>84.915000000000006</v>
      </c>
      <c r="E2397">
        <f>_xlfn.XLOOKUP(A2397,'[1]Global_Spot Prices'!$B:$B,'[1]Global_Spot Prices'!$H:$H)</f>
        <v>74.430000000000007</v>
      </c>
      <c r="F2397">
        <f>_xlfn.XLOOKUP(A2397,'[1]Global_Spot Prices'!$B:$B,'[1]Global_Spot Prices'!$I:$I)</f>
        <v>94.2</v>
      </c>
      <c r="G2397" cm="1">
        <f t="array" ref="G2397">_xlfn.XLOOKUP(TEXT(A2397, "mmm-yy"), TEXT([2]RUNS!$B$5:$B$208, "mmm-yy"), [2]RUNS!$D$5:$D$208, "Not Found")</f>
        <v>31134.553598629271</v>
      </c>
      <c r="H2397" cm="1">
        <f t="array" ref="H2397">SUMPRODUCT(
    --(TEXT('[3]Global Weekly Stock (EWSuez'!$B$4:$B$2000,"mmm-yy")=TEXT(A2397,"mmm-yy")),
    '[3]Global Weekly Stock (EWSuez'!$E$4:$E$2000)
/
SUMPRODUCT(
    --(TEXT('[3]Global Weekly Stock (EWSuez'!$B$4:$B$2000,"mmm-yy")=TEXT(A2397,"mmm-yy"))
)</f>
        <v>15251</v>
      </c>
      <c r="I2397">
        <f>_xlfn.XLOOKUP(A2397,[1]ForwardDeriv!$D:$D,[1]ForwardDeriv!$AJ:$AJ)</f>
        <v>0.85000000000000853</v>
      </c>
      <c r="J2397" cm="1">
        <f t="array" ref="J2397">_xlfn.XLOOKUP(TEXT(A2397, "mmm-yy"), TEXT([2]GASOLINE!$B$5:$B$208, "mmm-yy"), [2]GASOLINE!$IR$5:$IR$208, "Not Found")</f>
        <v>-294.99578326748298</v>
      </c>
      <c r="K2397" cm="1">
        <f t="array" ref="K2397">_xlfn.XLOOKUP(TEXT(A2397, "mmm-yy"), TEXT([2]GASOLINE!$B$5:$B$208, "mmm-yy"), [2]GASOLINE!$IK$5:$IK$208, "Not Found")</f>
        <v>241.14451846633159</v>
      </c>
      <c r="L2397">
        <f t="shared" si="37"/>
        <v>0</v>
      </c>
      <c r="M2397" cm="1">
        <f t="array" ref="M2397">_xlfn.XLOOKUP(TEXT(A2397, "mmm-yy"), TEXT([2]GASOLINE!$B$5:$B$208, "mmm-yy"), [2]GASOLINE!$C$5:$C$208, "Not Found")</f>
        <v>7965.6554791350645</v>
      </c>
      <c r="N2397" cm="1">
        <f t="array" ref="N2397">_xlfn.XLOOKUP(TEXT(A2397, "mmm-yy"), TEXT([2]RUNS!$B$5:$B$208, "mmm-yy"), [2]RUNS!$BM$5:$BM$208, "Not Found")</f>
        <v>0.84632362723250143</v>
      </c>
    </row>
    <row r="2398" spans="1:14" x14ac:dyDescent="0.25">
      <c r="A2398" s="1">
        <f>'[1]Global_Spot Prices'!$B3707</f>
        <v>45359</v>
      </c>
      <c r="B2398">
        <f>_xlfn.XLOOKUP(A2398,'[1]Global_Spot Prices'!$B:$B,'[1]Global_Spot Prices'!$BS:$BS)</f>
        <v>12.049999999999997</v>
      </c>
      <c r="C2398">
        <f>_xlfn.XLOOKUP(A2398,'[1]Global_Spot Prices'!$B:$B,'[1]Global_Spot Prices'!$E:$E)</f>
        <v>83.36</v>
      </c>
      <c r="D2398">
        <f>_xlfn.XLOOKUP(A2398,'[1]Global_Spot Prices'!$B:$B,'[1]Global_Spot Prices'!$D:$D)</f>
        <v>83.62</v>
      </c>
      <c r="E2398">
        <f>_xlfn.XLOOKUP(A2398,'[1]Global_Spot Prices'!$B:$B,'[1]Global_Spot Prices'!$H:$H)</f>
        <v>75.56</v>
      </c>
      <c r="F2398">
        <f>_xlfn.XLOOKUP(A2398,'[1]Global_Spot Prices'!$B:$B,'[1]Global_Spot Prices'!$I:$I)</f>
        <v>95.41</v>
      </c>
      <c r="G2398" cm="1">
        <f t="array" ref="G2398">_xlfn.XLOOKUP(TEXT(A2398, "mmm-yy"), TEXT([2]RUNS!$B$5:$B$208, "mmm-yy"), [2]RUNS!$D$5:$D$208, "Not Found")</f>
        <v>31134.553598629271</v>
      </c>
      <c r="H2398" cm="1">
        <f t="array" ref="H2398">SUMPRODUCT(
    --(TEXT('[3]Global Weekly Stock (EWSuez'!$B$4:$B$2000,"mmm-yy")=TEXT(A2398,"mmm-yy")),
    '[3]Global Weekly Stock (EWSuez'!$E$4:$E$2000)
/
SUMPRODUCT(
    --(TEXT('[3]Global Weekly Stock (EWSuez'!$B$4:$B$2000,"mmm-yy")=TEXT(A2398,"mmm-yy"))
)</f>
        <v>15251</v>
      </c>
      <c r="I2398">
        <f>_xlfn.XLOOKUP(A2398,[1]ForwardDeriv!$D:$D,[1]ForwardDeriv!$AJ:$AJ)</f>
        <v>0.95999999999999375</v>
      </c>
      <c r="J2398" cm="1">
        <f t="array" ref="J2398">_xlfn.XLOOKUP(TEXT(A2398, "mmm-yy"), TEXT([2]GASOLINE!$B$5:$B$208, "mmm-yy"), [2]GASOLINE!$IR$5:$IR$208, "Not Found")</f>
        <v>-294.99578326748298</v>
      </c>
      <c r="K2398" cm="1">
        <f t="array" ref="K2398">_xlfn.XLOOKUP(TEXT(A2398, "mmm-yy"), TEXT([2]GASOLINE!$B$5:$B$208, "mmm-yy"), [2]GASOLINE!$IK$5:$IK$208, "Not Found")</f>
        <v>241.14451846633159</v>
      </c>
      <c r="L2398">
        <f t="shared" si="37"/>
        <v>0</v>
      </c>
      <c r="M2398" cm="1">
        <f t="array" ref="M2398">_xlfn.XLOOKUP(TEXT(A2398, "mmm-yy"), TEXT([2]GASOLINE!$B$5:$B$208, "mmm-yy"), [2]GASOLINE!$C$5:$C$208, "Not Found")</f>
        <v>7965.6554791350645</v>
      </c>
      <c r="N2398" cm="1">
        <f t="array" ref="N2398">_xlfn.XLOOKUP(TEXT(A2398, "mmm-yy"), TEXT([2]RUNS!$B$5:$B$208, "mmm-yy"), [2]RUNS!$BM$5:$BM$208, "Not Found")</f>
        <v>0.84632362723250143</v>
      </c>
    </row>
    <row r="2399" spans="1:14" x14ac:dyDescent="0.25">
      <c r="A2399" s="1">
        <f>'[1]Global_Spot Prices'!$B3708</f>
        <v>45362</v>
      </c>
      <c r="B2399">
        <f>_xlfn.XLOOKUP(A2399,'[1]Global_Spot Prices'!$B:$B,'[1]Global_Spot Prices'!$BS:$BS)</f>
        <v>11.674999999999997</v>
      </c>
      <c r="C2399">
        <f>_xlfn.XLOOKUP(A2399,'[1]Global_Spot Prices'!$B:$B,'[1]Global_Spot Prices'!$E:$E)</f>
        <v>82.105000000000004</v>
      </c>
      <c r="D2399">
        <f>_xlfn.XLOOKUP(A2399,'[1]Global_Spot Prices'!$B:$B,'[1]Global_Spot Prices'!$D:$D)</f>
        <v>83.795000000000002</v>
      </c>
      <c r="E2399">
        <f>_xlfn.XLOOKUP(A2399,'[1]Global_Spot Prices'!$B:$B,'[1]Global_Spot Prices'!$H:$H)</f>
        <v>75.38</v>
      </c>
      <c r="F2399">
        <f>_xlfn.XLOOKUP(A2399,'[1]Global_Spot Prices'!$B:$B,'[1]Global_Spot Prices'!$I:$I)</f>
        <v>93.78</v>
      </c>
      <c r="G2399" cm="1">
        <f t="array" ref="G2399">_xlfn.XLOOKUP(TEXT(A2399, "mmm-yy"), TEXT([2]RUNS!$B$5:$B$208, "mmm-yy"), [2]RUNS!$D$5:$D$208, "Not Found")</f>
        <v>31134.553598629271</v>
      </c>
      <c r="H2399" cm="1">
        <f t="array" ref="H2399">SUMPRODUCT(
    --(TEXT('[3]Global Weekly Stock (EWSuez'!$B$4:$B$2000,"mmm-yy")=TEXT(A2399,"mmm-yy")),
    '[3]Global Weekly Stock (EWSuez'!$E$4:$E$2000)
/
SUMPRODUCT(
    --(TEXT('[3]Global Weekly Stock (EWSuez'!$B$4:$B$2000,"mmm-yy")=TEXT(A2399,"mmm-yy"))
)</f>
        <v>15251</v>
      </c>
      <c r="I2399">
        <f>_xlfn.XLOOKUP(A2399,[1]ForwardDeriv!$D:$D,[1]ForwardDeriv!$AJ:$AJ)</f>
        <v>0.84999999999999432</v>
      </c>
      <c r="J2399" cm="1">
        <f t="array" ref="J2399">_xlfn.XLOOKUP(TEXT(A2399, "mmm-yy"), TEXT([2]GASOLINE!$B$5:$B$208, "mmm-yy"), [2]GASOLINE!$IR$5:$IR$208, "Not Found")</f>
        <v>-294.99578326748298</v>
      </c>
      <c r="K2399" cm="1">
        <f t="array" ref="K2399">_xlfn.XLOOKUP(TEXT(A2399, "mmm-yy"), TEXT([2]GASOLINE!$B$5:$B$208, "mmm-yy"), [2]GASOLINE!$IK$5:$IK$208, "Not Found")</f>
        <v>241.14451846633159</v>
      </c>
      <c r="L2399">
        <f t="shared" si="37"/>
        <v>0</v>
      </c>
      <c r="M2399" cm="1">
        <f t="array" ref="M2399">_xlfn.XLOOKUP(TEXT(A2399, "mmm-yy"), TEXT([2]GASOLINE!$B$5:$B$208, "mmm-yy"), [2]GASOLINE!$C$5:$C$208, "Not Found")</f>
        <v>7965.6554791350645</v>
      </c>
      <c r="N2399" cm="1">
        <f t="array" ref="N2399">_xlfn.XLOOKUP(TEXT(A2399, "mmm-yy"), TEXT([2]RUNS!$B$5:$B$208, "mmm-yy"), [2]RUNS!$BM$5:$BM$208, "Not Found")</f>
        <v>0.84632362723250143</v>
      </c>
    </row>
    <row r="2400" spans="1:14" x14ac:dyDescent="0.25">
      <c r="A2400" s="1">
        <f>'[1]Global_Spot Prices'!$B3709</f>
        <v>45363</v>
      </c>
      <c r="B2400">
        <f>_xlfn.XLOOKUP(A2400,'[1]Global_Spot Prices'!$B:$B,'[1]Global_Spot Prices'!$BS:$BS)</f>
        <v>11.810000000000002</v>
      </c>
      <c r="C2400">
        <f>_xlfn.XLOOKUP(A2400,'[1]Global_Spot Prices'!$B:$B,'[1]Global_Spot Prices'!$E:$E)</f>
        <v>82.87</v>
      </c>
      <c r="D2400">
        <f>_xlfn.XLOOKUP(A2400,'[1]Global_Spot Prices'!$B:$B,'[1]Global_Spot Prices'!$D:$D)</f>
        <v>83.23</v>
      </c>
      <c r="E2400">
        <f>_xlfn.XLOOKUP(A2400,'[1]Global_Spot Prices'!$B:$B,'[1]Global_Spot Prices'!$H:$H)</f>
        <v>75.709999999999994</v>
      </c>
      <c r="F2400">
        <f>_xlfn.XLOOKUP(A2400,'[1]Global_Spot Prices'!$B:$B,'[1]Global_Spot Prices'!$I:$I)</f>
        <v>94.68</v>
      </c>
      <c r="G2400" cm="1">
        <f t="array" ref="G2400">_xlfn.XLOOKUP(TEXT(A2400, "mmm-yy"), TEXT([2]RUNS!$B$5:$B$208, "mmm-yy"), [2]RUNS!$D$5:$D$208, "Not Found")</f>
        <v>31134.553598629271</v>
      </c>
      <c r="H2400" cm="1">
        <f t="array" ref="H2400">SUMPRODUCT(
    --(TEXT('[3]Global Weekly Stock (EWSuez'!$B$4:$B$2000,"mmm-yy")=TEXT(A2400,"mmm-yy")),
    '[3]Global Weekly Stock (EWSuez'!$E$4:$E$2000)
/
SUMPRODUCT(
    --(TEXT('[3]Global Weekly Stock (EWSuez'!$B$4:$B$2000,"mmm-yy")=TEXT(A2400,"mmm-yy"))
)</f>
        <v>15251</v>
      </c>
      <c r="I2400">
        <f>_xlfn.XLOOKUP(A2400,[1]ForwardDeriv!$D:$D,[1]ForwardDeriv!$AJ:$AJ)</f>
        <v>0.78000000000000114</v>
      </c>
      <c r="J2400" cm="1">
        <f t="array" ref="J2400">_xlfn.XLOOKUP(TEXT(A2400, "mmm-yy"), TEXT([2]GASOLINE!$B$5:$B$208, "mmm-yy"), [2]GASOLINE!$IR$5:$IR$208, "Not Found")</f>
        <v>-294.99578326748298</v>
      </c>
      <c r="K2400" cm="1">
        <f t="array" ref="K2400">_xlfn.XLOOKUP(TEXT(A2400, "mmm-yy"), TEXT([2]GASOLINE!$B$5:$B$208, "mmm-yy"), [2]GASOLINE!$IK$5:$IK$208, "Not Found")</f>
        <v>241.14451846633159</v>
      </c>
      <c r="L2400">
        <f t="shared" si="37"/>
        <v>0</v>
      </c>
      <c r="M2400" cm="1">
        <f t="array" ref="M2400">_xlfn.XLOOKUP(TEXT(A2400, "mmm-yy"), TEXT([2]GASOLINE!$B$5:$B$208, "mmm-yy"), [2]GASOLINE!$C$5:$C$208, "Not Found")</f>
        <v>7965.6554791350645</v>
      </c>
      <c r="N2400" cm="1">
        <f t="array" ref="N2400">_xlfn.XLOOKUP(TEXT(A2400, "mmm-yy"), TEXT([2]RUNS!$B$5:$B$208, "mmm-yy"), [2]RUNS!$BM$5:$BM$208, "Not Found")</f>
        <v>0.84632362723250143</v>
      </c>
    </row>
    <row r="2401" spans="1:14" x14ac:dyDescent="0.25">
      <c r="A2401" s="1">
        <f>'[1]Global_Spot Prices'!$B3710</f>
        <v>45364</v>
      </c>
      <c r="B2401">
        <f>_xlfn.XLOOKUP(A2401,'[1]Global_Spot Prices'!$B:$B,'[1]Global_Spot Prices'!$BS:$BS)</f>
        <v>11.920000000000002</v>
      </c>
      <c r="C2401">
        <f>_xlfn.XLOOKUP(A2401,'[1]Global_Spot Prices'!$B:$B,'[1]Global_Spot Prices'!$E:$E)</f>
        <v>82.21</v>
      </c>
      <c r="D2401">
        <f>_xlfn.XLOOKUP(A2401,'[1]Global_Spot Prices'!$B:$B,'[1]Global_Spot Prices'!$D:$D)</f>
        <v>84.265000000000001</v>
      </c>
      <c r="E2401">
        <f>_xlfn.XLOOKUP(A2401,'[1]Global_Spot Prices'!$B:$B,'[1]Global_Spot Prices'!$H:$H)</f>
        <v>75.7</v>
      </c>
      <c r="F2401">
        <f>_xlfn.XLOOKUP(A2401,'[1]Global_Spot Prices'!$B:$B,'[1]Global_Spot Prices'!$I:$I)</f>
        <v>94.13</v>
      </c>
      <c r="G2401" cm="1">
        <f t="array" ref="G2401">_xlfn.XLOOKUP(TEXT(A2401, "mmm-yy"), TEXT([2]RUNS!$B$5:$B$208, "mmm-yy"), [2]RUNS!$D$5:$D$208, "Not Found")</f>
        <v>31134.553598629271</v>
      </c>
      <c r="H2401" cm="1">
        <f t="array" ref="H2401">SUMPRODUCT(
    --(TEXT('[3]Global Weekly Stock (EWSuez'!$B$4:$B$2000,"mmm-yy")=TEXT(A2401,"mmm-yy")),
    '[3]Global Weekly Stock (EWSuez'!$E$4:$E$2000)
/
SUMPRODUCT(
    --(TEXT('[3]Global Weekly Stock (EWSuez'!$B$4:$B$2000,"mmm-yy")=TEXT(A2401,"mmm-yy"))
)</f>
        <v>15251</v>
      </c>
      <c r="I2401">
        <f>_xlfn.XLOOKUP(A2401,[1]ForwardDeriv!$D:$D,[1]ForwardDeriv!$AJ:$AJ)</f>
        <v>0.70000000000000284</v>
      </c>
      <c r="J2401" cm="1">
        <f t="array" ref="J2401">_xlfn.XLOOKUP(TEXT(A2401, "mmm-yy"), TEXT([2]GASOLINE!$B$5:$B$208, "mmm-yy"), [2]GASOLINE!$IR$5:$IR$208, "Not Found")</f>
        <v>-294.99578326748298</v>
      </c>
      <c r="K2401" cm="1">
        <f t="array" ref="K2401">_xlfn.XLOOKUP(TEXT(A2401, "mmm-yy"), TEXT([2]GASOLINE!$B$5:$B$208, "mmm-yy"), [2]GASOLINE!$IK$5:$IK$208, "Not Found")</f>
        <v>241.14451846633159</v>
      </c>
      <c r="L2401">
        <f t="shared" si="37"/>
        <v>0</v>
      </c>
      <c r="M2401" cm="1">
        <f t="array" ref="M2401">_xlfn.XLOOKUP(TEXT(A2401, "mmm-yy"), TEXT([2]GASOLINE!$B$5:$B$208, "mmm-yy"), [2]GASOLINE!$C$5:$C$208, "Not Found")</f>
        <v>7965.6554791350645</v>
      </c>
      <c r="N2401" cm="1">
        <f t="array" ref="N2401">_xlfn.XLOOKUP(TEXT(A2401, "mmm-yy"), TEXT([2]RUNS!$B$5:$B$208, "mmm-yy"), [2]RUNS!$BM$5:$BM$208, "Not Found")</f>
        <v>0.84632362723250143</v>
      </c>
    </row>
    <row r="2402" spans="1:14" x14ac:dyDescent="0.25">
      <c r="A2402" s="1">
        <f>'[1]Global_Spot Prices'!$B3711</f>
        <v>45365</v>
      </c>
      <c r="B2402">
        <f>_xlfn.XLOOKUP(A2402,'[1]Global_Spot Prices'!$B:$B,'[1]Global_Spot Prices'!$BS:$BS)</f>
        <v>11.820000000000007</v>
      </c>
      <c r="C2402">
        <f>_xlfn.XLOOKUP(A2402,'[1]Global_Spot Prices'!$B:$B,'[1]Global_Spot Prices'!$E:$E)</f>
        <v>84.11</v>
      </c>
      <c r="D2402">
        <f>_xlfn.XLOOKUP(A2402,'[1]Global_Spot Prices'!$B:$B,'[1]Global_Spot Prices'!$D:$D)</f>
        <v>85.55</v>
      </c>
      <c r="E2402">
        <f>_xlfn.XLOOKUP(A2402,'[1]Global_Spot Prices'!$B:$B,'[1]Global_Spot Prices'!$H:$H)</f>
        <v>77.290000000000006</v>
      </c>
      <c r="F2402">
        <f>_xlfn.XLOOKUP(A2402,'[1]Global_Spot Prices'!$B:$B,'[1]Global_Spot Prices'!$I:$I)</f>
        <v>95.93</v>
      </c>
      <c r="G2402" cm="1">
        <f t="array" ref="G2402">_xlfn.XLOOKUP(TEXT(A2402, "mmm-yy"), TEXT([2]RUNS!$B$5:$B$208, "mmm-yy"), [2]RUNS!$D$5:$D$208, "Not Found")</f>
        <v>31134.553598629271</v>
      </c>
      <c r="H2402" cm="1">
        <f t="array" ref="H2402">SUMPRODUCT(
    --(TEXT('[3]Global Weekly Stock (EWSuez'!$B$4:$B$2000,"mmm-yy")=TEXT(A2402,"mmm-yy")),
    '[3]Global Weekly Stock (EWSuez'!$E$4:$E$2000)
/
SUMPRODUCT(
    --(TEXT('[3]Global Weekly Stock (EWSuez'!$B$4:$B$2000,"mmm-yy")=TEXT(A2402,"mmm-yy"))
)</f>
        <v>15251</v>
      </c>
      <c r="I2402">
        <f>_xlfn.XLOOKUP(A2402,[1]ForwardDeriv!$D:$D,[1]ForwardDeriv!$AJ:$AJ)</f>
        <v>0.5</v>
      </c>
      <c r="J2402" cm="1">
        <f t="array" ref="J2402">_xlfn.XLOOKUP(TEXT(A2402, "mmm-yy"), TEXT([2]GASOLINE!$B$5:$B$208, "mmm-yy"), [2]GASOLINE!$IR$5:$IR$208, "Not Found")</f>
        <v>-294.99578326748298</v>
      </c>
      <c r="K2402" cm="1">
        <f t="array" ref="K2402">_xlfn.XLOOKUP(TEXT(A2402, "mmm-yy"), TEXT([2]GASOLINE!$B$5:$B$208, "mmm-yy"), [2]GASOLINE!$IK$5:$IK$208, "Not Found")</f>
        <v>241.14451846633159</v>
      </c>
      <c r="L2402">
        <f t="shared" si="37"/>
        <v>0</v>
      </c>
      <c r="M2402" cm="1">
        <f t="array" ref="M2402">_xlfn.XLOOKUP(TEXT(A2402, "mmm-yy"), TEXT([2]GASOLINE!$B$5:$B$208, "mmm-yy"), [2]GASOLINE!$C$5:$C$208, "Not Found")</f>
        <v>7965.6554791350645</v>
      </c>
      <c r="N2402" cm="1">
        <f t="array" ref="N2402">_xlfn.XLOOKUP(TEXT(A2402, "mmm-yy"), TEXT([2]RUNS!$B$5:$B$208, "mmm-yy"), [2]RUNS!$BM$5:$BM$208, "Not Found")</f>
        <v>0.84632362723250143</v>
      </c>
    </row>
    <row r="2403" spans="1:14" x14ac:dyDescent="0.25">
      <c r="A2403" s="1">
        <f>'[1]Global_Spot Prices'!$B3712</f>
        <v>45366</v>
      </c>
      <c r="B2403">
        <f ca="1">_xlfn.XLOOKUP(A2403,'[1]Global_Spot Prices'!$B:$B,'[1]Global_Spot Prices'!$BS:$BS)</f>
        <v>12.279999999999987</v>
      </c>
      <c r="C2403">
        <f>_xlfn.XLOOKUP(A2403,'[1]Global_Spot Prices'!$B:$B,'[1]Global_Spot Prices'!$E:$E)</f>
        <v>84.79</v>
      </c>
      <c r="D2403">
        <f>_xlfn.XLOOKUP(A2403,'[1]Global_Spot Prices'!$B:$B,'[1]Global_Spot Prices'!$D:$D)</f>
        <v>85.364999999999995</v>
      </c>
      <c r="E2403">
        <f>_xlfn.XLOOKUP(A2403,'[1]Global_Spot Prices'!$B:$B,'[1]Global_Spot Prices'!$H:$H)</f>
        <v>77.489999999999995</v>
      </c>
      <c r="F2403">
        <f>_xlfn.XLOOKUP(A2403,'[1]Global_Spot Prices'!$B:$B,'[1]Global_Spot Prices'!$I:$I)</f>
        <v>97.07</v>
      </c>
      <c r="G2403" cm="1">
        <f t="array" ref="G2403">_xlfn.XLOOKUP(TEXT(A2403, "mmm-yy"), TEXT([2]RUNS!$B$5:$B$208, "mmm-yy"), [2]RUNS!$D$5:$D$208, "Not Found")</f>
        <v>31134.553598629271</v>
      </c>
      <c r="H2403" cm="1">
        <f t="array" ref="H2403">SUMPRODUCT(
    --(TEXT('[3]Global Weekly Stock (EWSuez'!$B$4:$B$2000,"mmm-yy")=TEXT(A2403,"mmm-yy")),
    '[3]Global Weekly Stock (EWSuez'!$E$4:$E$2000)
/
SUMPRODUCT(
    --(TEXT('[3]Global Weekly Stock (EWSuez'!$B$4:$B$2000,"mmm-yy")=TEXT(A2403,"mmm-yy"))
)</f>
        <v>15251</v>
      </c>
      <c r="I2403">
        <f>_xlfn.XLOOKUP(A2403,[1]ForwardDeriv!$D:$D,[1]ForwardDeriv!$AJ:$AJ)</f>
        <v>0.73999999999999488</v>
      </c>
      <c r="J2403" cm="1">
        <f t="array" ref="J2403">_xlfn.XLOOKUP(TEXT(A2403, "mmm-yy"), TEXT([2]GASOLINE!$B$5:$B$208, "mmm-yy"), [2]GASOLINE!$IR$5:$IR$208, "Not Found")</f>
        <v>-294.99578326748298</v>
      </c>
      <c r="K2403" cm="1">
        <f t="array" ref="K2403">_xlfn.XLOOKUP(TEXT(A2403, "mmm-yy"), TEXT([2]GASOLINE!$B$5:$B$208, "mmm-yy"), [2]GASOLINE!$IK$5:$IK$208, "Not Found")</f>
        <v>241.14451846633159</v>
      </c>
      <c r="L2403">
        <f t="shared" si="37"/>
        <v>0</v>
      </c>
      <c r="M2403" cm="1">
        <f t="array" ref="M2403">_xlfn.XLOOKUP(TEXT(A2403, "mmm-yy"), TEXT([2]GASOLINE!$B$5:$B$208, "mmm-yy"), [2]GASOLINE!$C$5:$C$208, "Not Found")</f>
        <v>7965.6554791350645</v>
      </c>
      <c r="N2403" cm="1">
        <f t="array" ref="N2403">_xlfn.XLOOKUP(TEXT(A2403, "mmm-yy"), TEXT([2]RUNS!$B$5:$B$208, "mmm-yy"), [2]RUNS!$BM$5:$BM$208, "Not Found")</f>
        <v>0.84632362723250143</v>
      </c>
    </row>
    <row r="2404" spans="1:14" x14ac:dyDescent="0.25">
      <c r="A2404" s="1">
        <f>'[1]Global_Spot Prices'!$B3713</f>
        <v>45369</v>
      </c>
      <c r="B2404">
        <f>_xlfn.XLOOKUP(A2404,'[1]Global_Spot Prices'!$B:$B,'[1]Global_Spot Prices'!$BS:$BS)</f>
        <v>13.549999999999997</v>
      </c>
      <c r="C2404">
        <f>_xlfn.XLOOKUP(A2404,'[1]Global_Spot Prices'!$B:$B,'[1]Global_Spot Prices'!$E:$E)</f>
        <v>85.66</v>
      </c>
      <c r="D2404">
        <f>_xlfn.XLOOKUP(A2404,'[1]Global_Spot Prices'!$B:$B,'[1]Global_Spot Prices'!$D:$D)</f>
        <v>86.234999999999999</v>
      </c>
      <c r="E2404">
        <f>_xlfn.XLOOKUP(A2404,'[1]Global_Spot Prices'!$B:$B,'[1]Global_Spot Prices'!$H:$H)</f>
        <v>78.16</v>
      </c>
      <c r="F2404">
        <f>_xlfn.XLOOKUP(A2404,'[1]Global_Spot Prices'!$B:$B,'[1]Global_Spot Prices'!$I:$I)</f>
        <v>99.21</v>
      </c>
      <c r="G2404" cm="1">
        <f t="array" ref="G2404">_xlfn.XLOOKUP(TEXT(A2404, "mmm-yy"), TEXT([2]RUNS!$B$5:$B$208, "mmm-yy"), [2]RUNS!$D$5:$D$208, "Not Found")</f>
        <v>31134.553598629271</v>
      </c>
      <c r="H2404" cm="1">
        <f t="array" ref="H2404">SUMPRODUCT(
    --(TEXT('[3]Global Weekly Stock (EWSuez'!$B$4:$B$2000,"mmm-yy")=TEXT(A2404,"mmm-yy")),
    '[3]Global Weekly Stock (EWSuez'!$E$4:$E$2000)
/
SUMPRODUCT(
    --(TEXT('[3]Global Weekly Stock (EWSuez'!$B$4:$B$2000,"mmm-yy")=TEXT(A2404,"mmm-yy"))
)</f>
        <v>15251</v>
      </c>
      <c r="I2404">
        <f>_xlfn.XLOOKUP(A2404,[1]ForwardDeriv!$D:$D,[1]ForwardDeriv!$AJ:$AJ)</f>
        <v>0.8399999999999892</v>
      </c>
      <c r="J2404" cm="1">
        <f t="array" ref="J2404">_xlfn.XLOOKUP(TEXT(A2404, "mmm-yy"), TEXT([2]GASOLINE!$B$5:$B$208, "mmm-yy"), [2]GASOLINE!$IR$5:$IR$208, "Not Found")</f>
        <v>-294.99578326748298</v>
      </c>
      <c r="K2404" cm="1">
        <f t="array" ref="K2404">_xlfn.XLOOKUP(TEXT(A2404, "mmm-yy"), TEXT([2]GASOLINE!$B$5:$B$208, "mmm-yy"), [2]GASOLINE!$IK$5:$IK$208, "Not Found")</f>
        <v>241.14451846633159</v>
      </c>
      <c r="L2404">
        <f t="shared" si="37"/>
        <v>0</v>
      </c>
      <c r="M2404" cm="1">
        <f t="array" ref="M2404">_xlfn.XLOOKUP(TEXT(A2404, "mmm-yy"), TEXT([2]GASOLINE!$B$5:$B$208, "mmm-yy"), [2]GASOLINE!$C$5:$C$208, "Not Found")</f>
        <v>7965.6554791350645</v>
      </c>
      <c r="N2404" cm="1">
        <f t="array" ref="N2404">_xlfn.XLOOKUP(TEXT(A2404, "mmm-yy"), TEXT([2]RUNS!$B$5:$B$208, "mmm-yy"), [2]RUNS!$BM$5:$BM$208, "Not Found")</f>
        <v>0.84632362723250143</v>
      </c>
    </row>
    <row r="2405" spans="1:14" x14ac:dyDescent="0.25">
      <c r="A2405" s="1">
        <f>'[1]Global_Spot Prices'!$B3714</f>
        <v>45370</v>
      </c>
      <c r="B2405">
        <f>_xlfn.XLOOKUP(A2405,'[1]Global_Spot Prices'!$B:$B,'[1]Global_Spot Prices'!$BS:$BS)</f>
        <v>12.88000000000001</v>
      </c>
      <c r="C2405">
        <f>_xlfn.XLOOKUP(A2405,'[1]Global_Spot Prices'!$B:$B,'[1]Global_Spot Prices'!$E:$E)</f>
        <v>86.41</v>
      </c>
      <c r="D2405">
        <f>_xlfn.XLOOKUP(A2405,'[1]Global_Spot Prices'!$B:$B,'[1]Global_Spot Prices'!$D:$D)</f>
        <v>87.234999999999999</v>
      </c>
      <c r="E2405">
        <f>_xlfn.XLOOKUP(A2405,'[1]Global_Spot Prices'!$B:$B,'[1]Global_Spot Prices'!$H:$H)</f>
        <v>78.19</v>
      </c>
      <c r="F2405">
        <f>_xlfn.XLOOKUP(A2405,'[1]Global_Spot Prices'!$B:$B,'[1]Global_Spot Prices'!$I:$I)</f>
        <v>99.29</v>
      </c>
      <c r="G2405" cm="1">
        <f t="array" ref="G2405">_xlfn.XLOOKUP(TEXT(A2405, "mmm-yy"), TEXT([2]RUNS!$B$5:$B$208, "mmm-yy"), [2]RUNS!$D$5:$D$208, "Not Found")</f>
        <v>31134.553598629271</v>
      </c>
      <c r="H2405" cm="1">
        <f t="array" ref="H2405">SUMPRODUCT(
    --(TEXT('[3]Global Weekly Stock (EWSuez'!$B$4:$B$2000,"mmm-yy")=TEXT(A2405,"mmm-yy")),
    '[3]Global Weekly Stock (EWSuez'!$E$4:$E$2000)
/
SUMPRODUCT(
    --(TEXT('[3]Global Weekly Stock (EWSuez'!$B$4:$B$2000,"mmm-yy")=TEXT(A2405,"mmm-yy"))
)</f>
        <v>15251</v>
      </c>
      <c r="I2405">
        <f>_xlfn.XLOOKUP(A2405,[1]ForwardDeriv!$D:$D,[1]ForwardDeriv!$AJ:$AJ)</f>
        <v>0.86999999999999034</v>
      </c>
      <c r="J2405" cm="1">
        <f t="array" ref="J2405">_xlfn.XLOOKUP(TEXT(A2405, "mmm-yy"), TEXT([2]GASOLINE!$B$5:$B$208, "mmm-yy"), [2]GASOLINE!$IR$5:$IR$208, "Not Found")</f>
        <v>-294.99578326748298</v>
      </c>
      <c r="K2405" cm="1">
        <f t="array" ref="K2405">_xlfn.XLOOKUP(TEXT(A2405, "mmm-yy"), TEXT([2]GASOLINE!$B$5:$B$208, "mmm-yy"), [2]GASOLINE!$IK$5:$IK$208, "Not Found")</f>
        <v>241.14451846633159</v>
      </c>
      <c r="L2405">
        <f t="shared" si="37"/>
        <v>0</v>
      </c>
      <c r="M2405" cm="1">
        <f t="array" ref="M2405">_xlfn.XLOOKUP(TEXT(A2405, "mmm-yy"), TEXT([2]GASOLINE!$B$5:$B$208, "mmm-yy"), [2]GASOLINE!$C$5:$C$208, "Not Found")</f>
        <v>7965.6554791350645</v>
      </c>
      <c r="N2405" cm="1">
        <f t="array" ref="N2405">_xlfn.XLOOKUP(TEXT(A2405, "mmm-yy"), TEXT([2]RUNS!$B$5:$B$208, "mmm-yy"), [2]RUNS!$BM$5:$BM$208, "Not Found")</f>
        <v>0.84632362723250143</v>
      </c>
    </row>
    <row r="2406" spans="1:14" x14ac:dyDescent="0.25">
      <c r="A2406" s="1">
        <f>'[1]Global_Spot Prices'!$B3715</f>
        <v>45371</v>
      </c>
      <c r="B2406">
        <f>_xlfn.XLOOKUP(A2406,'[1]Global_Spot Prices'!$B:$B,'[1]Global_Spot Prices'!$BS:$BS)</f>
        <v>13.710000000000008</v>
      </c>
      <c r="C2406">
        <f>_xlfn.XLOOKUP(A2406,'[1]Global_Spot Prices'!$B:$B,'[1]Global_Spot Prices'!$E:$E)</f>
        <v>86.49</v>
      </c>
      <c r="D2406">
        <f>_xlfn.XLOOKUP(A2406,'[1]Global_Spot Prices'!$B:$B,'[1]Global_Spot Prices'!$D:$D)</f>
        <v>85.545000000000002</v>
      </c>
      <c r="E2406">
        <f>_xlfn.XLOOKUP(A2406,'[1]Global_Spot Prices'!$B:$B,'[1]Global_Spot Prices'!$H:$H)</f>
        <v>76.989999999999995</v>
      </c>
      <c r="F2406">
        <f>_xlfn.XLOOKUP(A2406,'[1]Global_Spot Prices'!$B:$B,'[1]Global_Spot Prices'!$I:$I)</f>
        <v>100.2</v>
      </c>
      <c r="G2406" cm="1">
        <f t="array" ref="G2406">_xlfn.XLOOKUP(TEXT(A2406, "mmm-yy"), TEXT([2]RUNS!$B$5:$B$208, "mmm-yy"), [2]RUNS!$D$5:$D$208, "Not Found")</f>
        <v>31134.553598629271</v>
      </c>
      <c r="H2406" cm="1">
        <f t="array" ref="H2406">SUMPRODUCT(
    --(TEXT('[3]Global Weekly Stock (EWSuez'!$B$4:$B$2000,"mmm-yy")=TEXT(A2406,"mmm-yy")),
    '[3]Global Weekly Stock (EWSuez'!$E$4:$E$2000)
/
SUMPRODUCT(
    --(TEXT('[3]Global Weekly Stock (EWSuez'!$B$4:$B$2000,"mmm-yy")=TEXT(A2406,"mmm-yy"))
)</f>
        <v>15251</v>
      </c>
      <c r="I2406">
        <f>_xlfn.XLOOKUP(A2406,[1]ForwardDeriv!$D:$D,[1]ForwardDeriv!$AJ:$AJ)</f>
        <v>1.0799999999999983</v>
      </c>
      <c r="J2406" cm="1">
        <f t="array" ref="J2406">_xlfn.XLOOKUP(TEXT(A2406, "mmm-yy"), TEXT([2]GASOLINE!$B$5:$B$208, "mmm-yy"), [2]GASOLINE!$IR$5:$IR$208, "Not Found")</f>
        <v>-294.99578326748298</v>
      </c>
      <c r="K2406" cm="1">
        <f t="array" ref="K2406">_xlfn.XLOOKUP(TEXT(A2406, "mmm-yy"), TEXT([2]GASOLINE!$B$5:$B$208, "mmm-yy"), [2]GASOLINE!$IK$5:$IK$208, "Not Found")</f>
        <v>241.14451846633159</v>
      </c>
      <c r="L2406">
        <f t="shared" si="37"/>
        <v>0</v>
      </c>
      <c r="M2406" cm="1">
        <f t="array" ref="M2406">_xlfn.XLOOKUP(TEXT(A2406, "mmm-yy"), TEXT([2]GASOLINE!$B$5:$B$208, "mmm-yy"), [2]GASOLINE!$C$5:$C$208, "Not Found")</f>
        <v>7965.6554791350645</v>
      </c>
      <c r="N2406" cm="1">
        <f t="array" ref="N2406">_xlfn.XLOOKUP(TEXT(A2406, "mmm-yy"), TEXT([2]RUNS!$B$5:$B$208, "mmm-yy"), [2]RUNS!$BM$5:$BM$208, "Not Found")</f>
        <v>0.84632362723250143</v>
      </c>
    </row>
    <row r="2407" spans="1:14" x14ac:dyDescent="0.25">
      <c r="A2407" s="1">
        <f>'[1]Global_Spot Prices'!$B3716</f>
        <v>45372</v>
      </c>
      <c r="B2407">
        <f>_xlfn.XLOOKUP(A2407,'[1]Global_Spot Prices'!$B:$B,'[1]Global_Spot Prices'!$BS:$BS)</f>
        <v>14.539999999999992</v>
      </c>
      <c r="C2407">
        <f>_xlfn.XLOOKUP(A2407,'[1]Global_Spot Prices'!$B:$B,'[1]Global_Spot Prices'!$E:$E)</f>
        <v>86.01</v>
      </c>
      <c r="D2407">
        <f ca="1">_xlfn.XLOOKUP(A2407,'[1]Global_Spot Prices'!$B:$B,'[1]Global_Spot Prices'!$D:$D)</f>
        <v>85.174999999999997</v>
      </c>
      <c r="E2407">
        <f>_xlfn.XLOOKUP(A2407,'[1]Global_Spot Prices'!$B:$B,'[1]Global_Spot Prices'!$H:$H)</f>
        <v>76.75</v>
      </c>
      <c r="F2407">
        <f>_xlfn.XLOOKUP(A2407,'[1]Global_Spot Prices'!$B:$B,'[1]Global_Spot Prices'!$I:$I)</f>
        <v>100.55</v>
      </c>
      <c r="G2407" cm="1">
        <f t="array" ref="G2407">_xlfn.XLOOKUP(TEXT(A2407, "mmm-yy"), TEXT([2]RUNS!$B$5:$B$208, "mmm-yy"), [2]RUNS!$D$5:$D$208, "Not Found")</f>
        <v>31134.553598629271</v>
      </c>
      <c r="H2407" cm="1">
        <f t="array" ref="H2407">SUMPRODUCT(
    --(TEXT('[3]Global Weekly Stock (EWSuez'!$B$4:$B$2000,"mmm-yy")=TEXT(A2407,"mmm-yy")),
    '[3]Global Weekly Stock (EWSuez'!$E$4:$E$2000)
/
SUMPRODUCT(
    --(TEXT('[3]Global Weekly Stock (EWSuez'!$B$4:$B$2000,"mmm-yy")=TEXT(A2407,"mmm-yy"))
)</f>
        <v>15251</v>
      </c>
      <c r="I2407">
        <f>_xlfn.XLOOKUP(A2407,[1]ForwardDeriv!$D:$D,[1]ForwardDeriv!$AJ:$AJ)</f>
        <v>1.1599999999999966</v>
      </c>
      <c r="J2407" cm="1">
        <f t="array" ref="J2407">_xlfn.XLOOKUP(TEXT(A2407, "mmm-yy"), TEXT([2]GASOLINE!$B$5:$B$208, "mmm-yy"), [2]GASOLINE!$IR$5:$IR$208, "Not Found")</f>
        <v>-294.99578326748298</v>
      </c>
      <c r="K2407" cm="1">
        <f t="array" ref="K2407">_xlfn.XLOOKUP(TEXT(A2407, "mmm-yy"), TEXT([2]GASOLINE!$B$5:$B$208, "mmm-yy"), [2]GASOLINE!$IK$5:$IK$208, "Not Found")</f>
        <v>241.14451846633159</v>
      </c>
      <c r="L2407">
        <f t="shared" si="37"/>
        <v>0</v>
      </c>
      <c r="M2407" cm="1">
        <f t="array" ref="M2407">_xlfn.XLOOKUP(TEXT(A2407, "mmm-yy"), TEXT([2]GASOLINE!$B$5:$B$208, "mmm-yy"), [2]GASOLINE!$C$5:$C$208, "Not Found")</f>
        <v>7965.6554791350645</v>
      </c>
      <c r="N2407" cm="1">
        <f t="array" ref="N2407">_xlfn.XLOOKUP(TEXT(A2407, "mmm-yy"), TEXT([2]RUNS!$B$5:$B$208, "mmm-yy"), [2]RUNS!$BM$5:$BM$208, "Not Found")</f>
        <v>0.84632362723250143</v>
      </c>
    </row>
    <row r="2408" spans="1:14" x14ac:dyDescent="0.25">
      <c r="A2408" s="1">
        <f>'[1]Global_Spot Prices'!$B3717</f>
        <v>45373</v>
      </c>
      <c r="B2408">
        <f>_xlfn.XLOOKUP(A2408,'[1]Global_Spot Prices'!$B:$B,'[1]Global_Spot Prices'!$BS:$BS)</f>
        <v>15.795000000000002</v>
      </c>
      <c r="C2408">
        <f>_xlfn.XLOOKUP(A2408,'[1]Global_Spot Prices'!$B:$B,'[1]Global_Spot Prices'!$E:$E)</f>
        <v>85.144999999999996</v>
      </c>
      <c r="D2408">
        <f>_xlfn.XLOOKUP(A2408,'[1]Global_Spot Prices'!$B:$B,'[1]Global_Spot Prices'!$D:$D)</f>
        <v>84.894999999999996</v>
      </c>
      <c r="E2408">
        <f>_xlfn.XLOOKUP(A2408,'[1]Global_Spot Prices'!$B:$B,'[1]Global_Spot Prices'!$H:$H)</f>
        <v>75.78</v>
      </c>
      <c r="F2408">
        <f>_xlfn.XLOOKUP(A2408,'[1]Global_Spot Prices'!$B:$B,'[1]Global_Spot Prices'!$I:$I)</f>
        <v>100.94</v>
      </c>
      <c r="G2408" cm="1">
        <f t="array" ref="G2408">_xlfn.XLOOKUP(TEXT(A2408, "mmm-yy"), TEXT([2]RUNS!$B$5:$B$208, "mmm-yy"), [2]RUNS!$D$5:$D$208, "Not Found")</f>
        <v>31134.553598629271</v>
      </c>
      <c r="H2408" cm="1">
        <f t="array" ref="H2408">SUMPRODUCT(
    --(TEXT('[3]Global Weekly Stock (EWSuez'!$B$4:$B$2000,"mmm-yy")=TEXT(A2408,"mmm-yy")),
    '[3]Global Weekly Stock (EWSuez'!$E$4:$E$2000)
/
SUMPRODUCT(
    --(TEXT('[3]Global Weekly Stock (EWSuez'!$B$4:$B$2000,"mmm-yy")=TEXT(A2408,"mmm-yy"))
)</f>
        <v>15251</v>
      </c>
      <c r="I2408">
        <f>_xlfn.XLOOKUP(A2408,[1]ForwardDeriv!$D:$D,[1]ForwardDeriv!$AJ:$AJ)</f>
        <v>1.4299999999999926</v>
      </c>
      <c r="J2408" cm="1">
        <f t="array" ref="J2408">_xlfn.XLOOKUP(TEXT(A2408, "mmm-yy"), TEXT([2]GASOLINE!$B$5:$B$208, "mmm-yy"), [2]GASOLINE!$IR$5:$IR$208, "Not Found")</f>
        <v>-294.99578326748298</v>
      </c>
      <c r="K2408" cm="1">
        <f t="array" ref="K2408">_xlfn.XLOOKUP(TEXT(A2408, "mmm-yy"), TEXT([2]GASOLINE!$B$5:$B$208, "mmm-yy"), [2]GASOLINE!$IK$5:$IK$208, "Not Found")</f>
        <v>241.14451846633159</v>
      </c>
      <c r="L2408">
        <f t="shared" si="37"/>
        <v>0</v>
      </c>
      <c r="M2408" cm="1">
        <f t="array" ref="M2408">_xlfn.XLOOKUP(TEXT(A2408, "mmm-yy"), TEXT([2]GASOLINE!$B$5:$B$208, "mmm-yy"), [2]GASOLINE!$C$5:$C$208, "Not Found")</f>
        <v>7965.6554791350645</v>
      </c>
      <c r="N2408" cm="1">
        <f t="array" ref="N2408">_xlfn.XLOOKUP(TEXT(A2408, "mmm-yy"), TEXT([2]RUNS!$B$5:$B$208, "mmm-yy"), [2]RUNS!$BM$5:$BM$208, "Not Found")</f>
        <v>0.84632362723250143</v>
      </c>
    </row>
    <row r="2409" spans="1:14" x14ac:dyDescent="0.25">
      <c r="A2409" s="1">
        <f>'[1]Global_Spot Prices'!$B3718</f>
        <v>45376</v>
      </c>
      <c r="B2409">
        <f>_xlfn.XLOOKUP(A2409,'[1]Global_Spot Prices'!$B:$B,'[1]Global_Spot Prices'!$BS:$BS)</f>
        <v>15.710000000000008</v>
      </c>
      <c r="C2409">
        <f>_xlfn.XLOOKUP(A2409,'[1]Global_Spot Prices'!$B:$B,'[1]Global_Spot Prices'!$E:$E)</f>
        <v>85.35</v>
      </c>
      <c r="D2409">
        <f>_xlfn.XLOOKUP(A2409,'[1]Global_Spot Prices'!$B:$B,'[1]Global_Spot Prices'!$D:$D)</f>
        <v>86.364999999999995</v>
      </c>
      <c r="E2409">
        <f>_xlfn.XLOOKUP(A2409,'[1]Global_Spot Prices'!$B:$B,'[1]Global_Spot Prices'!$H:$H)</f>
        <v>76.36</v>
      </c>
      <c r="F2409">
        <f>_xlfn.XLOOKUP(A2409,'[1]Global_Spot Prices'!$B:$B,'[1]Global_Spot Prices'!$I:$I)</f>
        <v>101.06</v>
      </c>
      <c r="G2409" cm="1">
        <f t="array" ref="G2409">_xlfn.XLOOKUP(TEXT(A2409, "mmm-yy"), TEXT([2]RUNS!$B$5:$B$208, "mmm-yy"), [2]RUNS!$D$5:$D$208, "Not Found")</f>
        <v>31134.553598629271</v>
      </c>
      <c r="H2409" cm="1">
        <f t="array" ref="H2409">SUMPRODUCT(
    --(TEXT('[3]Global Weekly Stock (EWSuez'!$B$4:$B$2000,"mmm-yy")=TEXT(A2409,"mmm-yy")),
    '[3]Global Weekly Stock (EWSuez'!$E$4:$E$2000)
/
SUMPRODUCT(
    --(TEXT('[3]Global Weekly Stock (EWSuez'!$B$4:$B$2000,"mmm-yy")=TEXT(A2409,"mmm-yy"))
)</f>
        <v>15251</v>
      </c>
      <c r="I2409">
        <f>_xlfn.XLOOKUP(A2409,[1]ForwardDeriv!$D:$D,[1]ForwardDeriv!$AJ:$AJ)</f>
        <v>1.4900000000000091</v>
      </c>
      <c r="J2409" cm="1">
        <f t="array" ref="J2409">_xlfn.XLOOKUP(TEXT(A2409, "mmm-yy"), TEXT([2]GASOLINE!$B$5:$B$208, "mmm-yy"), [2]GASOLINE!$IR$5:$IR$208, "Not Found")</f>
        <v>-294.99578326748298</v>
      </c>
      <c r="K2409" cm="1">
        <f t="array" ref="K2409">_xlfn.XLOOKUP(TEXT(A2409, "mmm-yy"), TEXT([2]GASOLINE!$B$5:$B$208, "mmm-yy"), [2]GASOLINE!$IK$5:$IK$208, "Not Found")</f>
        <v>241.14451846633159</v>
      </c>
      <c r="L2409">
        <f t="shared" si="37"/>
        <v>0</v>
      </c>
      <c r="M2409" cm="1">
        <f t="array" ref="M2409">_xlfn.XLOOKUP(TEXT(A2409, "mmm-yy"), TEXT([2]GASOLINE!$B$5:$B$208, "mmm-yy"), [2]GASOLINE!$C$5:$C$208, "Not Found")</f>
        <v>7965.6554791350645</v>
      </c>
      <c r="N2409" cm="1">
        <f t="array" ref="N2409">_xlfn.XLOOKUP(TEXT(A2409, "mmm-yy"), TEXT([2]RUNS!$B$5:$B$208, "mmm-yy"), [2]RUNS!$BM$5:$BM$208, "Not Found")</f>
        <v>0.84632362723250143</v>
      </c>
    </row>
    <row r="2410" spans="1:14" x14ac:dyDescent="0.25">
      <c r="A2410" s="1">
        <f>'[1]Global_Spot Prices'!$B3719</f>
        <v>45377</v>
      </c>
      <c r="B2410">
        <f>_xlfn.XLOOKUP(A2410,'[1]Global_Spot Prices'!$B:$B,'[1]Global_Spot Prices'!$BS:$BS)</f>
        <v>14.385000000000005</v>
      </c>
      <c r="C2410">
        <f>_xlfn.XLOOKUP(A2410,'[1]Global_Spot Prices'!$B:$B,'[1]Global_Spot Prices'!$E:$E)</f>
        <v>86.194999999999993</v>
      </c>
      <c r="D2410">
        <f>_xlfn.XLOOKUP(A2410,'[1]Global_Spot Prices'!$B:$B,'[1]Global_Spot Prices'!$D:$D)</f>
        <v>86</v>
      </c>
      <c r="E2410">
        <f>_xlfn.XLOOKUP(A2410,'[1]Global_Spot Prices'!$B:$B,'[1]Global_Spot Prices'!$H:$H)</f>
        <v>76.62</v>
      </c>
      <c r="F2410">
        <f>_xlfn.XLOOKUP(A2410,'[1]Global_Spot Prices'!$B:$B,'[1]Global_Spot Prices'!$I:$I)</f>
        <v>100.58</v>
      </c>
      <c r="G2410" cm="1">
        <f t="array" ref="G2410">_xlfn.XLOOKUP(TEXT(A2410, "mmm-yy"), TEXT([2]RUNS!$B$5:$B$208, "mmm-yy"), [2]RUNS!$D$5:$D$208, "Not Found")</f>
        <v>31134.553598629271</v>
      </c>
      <c r="H2410" cm="1">
        <f t="array" ref="H2410">SUMPRODUCT(
    --(TEXT('[3]Global Weekly Stock (EWSuez'!$B$4:$B$2000,"mmm-yy")=TEXT(A2410,"mmm-yy")),
    '[3]Global Weekly Stock (EWSuez'!$E$4:$E$2000)
/
SUMPRODUCT(
    --(TEXT('[3]Global Weekly Stock (EWSuez'!$B$4:$B$2000,"mmm-yy")=TEXT(A2410,"mmm-yy"))
)</f>
        <v>15251</v>
      </c>
      <c r="I2410">
        <f>_xlfn.XLOOKUP(A2410,[1]ForwardDeriv!$D:$D,[1]ForwardDeriv!$AJ:$AJ)</f>
        <v>1.2900000000000063</v>
      </c>
      <c r="J2410" cm="1">
        <f t="array" ref="J2410">_xlfn.XLOOKUP(TEXT(A2410, "mmm-yy"), TEXT([2]GASOLINE!$B$5:$B$208, "mmm-yy"), [2]GASOLINE!$IR$5:$IR$208, "Not Found")</f>
        <v>-294.99578326748298</v>
      </c>
      <c r="K2410" cm="1">
        <f t="array" ref="K2410">_xlfn.XLOOKUP(TEXT(A2410, "mmm-yy"), TEXT([2]GASOLINE!$B$5:$B$208, "mmm-yy"), [2]GASOLINE!$IK$5:$IK$208, "Not Found")</f>
        <v>241.14451846633159</v>
      </c>
      <c r="L2410">
        <f t="shared" si="37"/>
        <v>0</v>
      </c>
      <c r="M2410" cm="1">
        <f t="array" ref="M2410">_xlfn.XLOOKUP(TEXT(A2410, "mmm-yy"), TEXT([2]GASOLINE!$B$5:$B$208, "mmm-yy"), [2]GASOLINE!$C$5:$C$208, "Not Found")</f>
        <v>7965.6554791350645</v>
      </c>
      <c r="N2410" cm="1">
        <f t="array" ref="N2410">_xlfn.XLOOKUP(TEXT(A2410, "mmm-yy"), TEXT([2]RUNS!$B$5:$B$208, "mmm-yy"), [2]RUNS!$BM$5:$BM$208, "Not Found")</f>
        <v>0.84632362723250143</v>
      </c>
    </row>
    <row r="2411" spans="1:14" x14ac:dyDescent="0.25">
      <c r="A2411" s="1">
        <f>'[1]Global_Spot Prices'!$B3720</f>
        <v>45378</v>
      </c>
      <c r="B2411">
        <f>_xlfn.XLOOKUP(A2411,'[1]Global_Spot Prices'!$B:$B,'[1]Global_Spot Prices'!$BS:$BS)</f>
        <v>14.090000000000003</v>
      </c>
      <c r="C2411">
        <f>_xlfn.XLOOKUP(A2411,'[1]Global_Spot Prices'!$B:$B,'[1]Global_Spot Prices'!$E:$E)</f>
        <v>85.2</v>
      </c>
      <c r="D2411">
        <f>_xlfn.XLOOKUP(A2411,'[1]Global_Spot Prices'!$B:$B,'[1]Global_Spot Prices'!$D:$D)</f>
        <v>85.09</v>
      </c>
      <c r="E2411">
        <f>_xlfn.XLOOKUP(A2411,'[1]Global_Spot Prices'!$B:$B,'[1]Global_Spot Prices'!$H:$H)</f>
        <v>75.37</v>
      </c>
      <c r="F2411">
        <f>_xlfn.XLOOKUP(A2411,'[1]Global_Spot Prices'!$B:$B,'[1]Global_Spot Prices'!$I:$I)</f>
        <v>99.29</v>
      </c>
      <c r="G2411" cm="1">
        <f t="array" ref="G2411">_xlfn.XLOOKUP(TEXT(A2411, "mmm-yy"), TEXT([2]RUNS!$B$5:$B$208, "mmm-yy"), [2]RUNS!$D$5:$D$208, "Not Found")</f>
        <v>31134.553598629271</v>
      </c>
      <c r="H2411" cm="1">
        <f t="array" ref="H2411">SUMPRODUCT(
    --(TEXT('[3]Global Weekly Stock (EWSuez'!$B$4:$B$2000,"mmm-yy")=TEXT(A2411,"mmm-yy")),
    '[3]Global Weekly Stock (EWSuez'!$E$4:$E$2000)
/
SUMPRODUCT(
    --(TEXT('[3]Global Weekly Stock (EWSuez'!$B$4:$B$2000,"mmm-yy")=TEXT(A2411,"mmm-yy"))
)</f>
        <v>15251</v>
      </c>
      <c r="I2411">
        <f>_xlfn.XLOOKUP(A2411,[1]ForwardDeriv!$D:$D,[1]ForwardDeriv!$AJ:$AJ)</f>
        <v>1.2199999999999989</v>
      </c>
      <c r="J2411" cm="1">
        <f t="array" ref="J2411">_xlfn.XLOOKUP(TEXT(A2411, "mmm-yy"), TEXT([2]GASOLINE!$B$5:$B$208, "mmm-yy"), [2]GASOLINE!$IR$5:$IR$208, "Not Found")</f>
        <v>-294.99578326748298</v>
      </c>
      <c r="K2411" cm="1">
        <f t="array" ref="K2411">_xlfn.XLOOKUP(TEXT(A2411, "mmm-yy"), TEXT([2]GASOLINE!$B$5:$B$208, "mmm-yy"), [2]GASOLINE!$IK$5:$IK$208, "Not Found")</f>
        <v>241.14451846633159</v>
      </c>
      <c r="L2411">
        <f t="shared" si="37"/>
        <v>0</v>
      </c>
      <c r="M2411" cm="1">
        <f t="array" ref="M2411">_xlfn.XLOOKUP(TEXT(A2411, "mmm-yy"), TEXT([2]GASOLINE!$B$5:$B$208, "mmm-yy"), [2]GASOLINE!$C$5:$C$208, "Not Found")</f>
        <v>7965.6554791350645</v>
      </c>
      <c r="N2411" cm="1">
        <f t="array" ref="N2411">_xlfn.XLOOKUP(TEXT(A2411, "mmm-yy"), TEXT([2]RUNS!$B$5:$B$208, "mmm-yy"), [2]RUNS!$BM$5:$BM$208, "Not Found")</f>
        <v>0.84632362723250143</v>
      </c>
    </row>
    <row r="2412" spans="1:14" x14ac:dyDescent="0.25">
      <c r="A2412" s="1">
        <f>'[1]Global_Spot Prices'!$B3721</f>
        <v>45379</v>
      </c>
      <c r="B2412">
        <f>_xlfn.XLOOKUP(A2412,'[1]Global_Spot Prices'!$B:$B,'[1]Global_Spot Prices'!$BS:$BS)</f>
        <v>13.674999999999997</v>
      </c>
      <c r="C2412">
        <f>_xlfn.XLOOKUP(A2412,'[1]Global_Spot Prices'!$B:$B,'[1]Global_Spot Prices'!$E:$E)</f>
        <v>86.295000000000002</v>
      </c>
      <c r="D2412">
        <f>_xlfn.XLOOKUP(A2412,'[1]Global_Spot Prices'!$B:$B,'[1]Global_Spot Prices'!$D:$D)</f>
        <v>86.885000000000005</v>
      </c>
      <c r="E2412">
        <f>_xlfn.XLOOKUP(A2412,'[1]Global_Spot Prices'!$B:$B,'[1]Global_Spot Prices'!$H:$H)</f>
        <v>75.709999999999994</v>
      </c>
      <c r="F2412">
        <f>_xlfn.XLOOKUP(A2412,'[1]Global_Spot Prices'!$B:$B,'[1]Global_Spot Prices'!$I:$I)</f>
        <v>99.97</v>
      </c>
      <c r="G2412" cm="1">
        <f t="array" ref="G2412">_xlfn.XLOOKUP(TEXT(A2412, "mmm-yy"), TEXT([2]RUNS!$B$5:$B$208, "mmm-yy"), [2]RUNS!$D$5:$D$208, "Not Found")</f>
        <v>31134.553598629271</v>
      </c>
      <c r="H2412" cm="1">
        <f t="array" ref="H2412">SUMPRODUCT(
    --(TEXT('[3]Global Weekly Stock (EWSuez'!$B$4:$B$2000,"mmm-yy")=TEXT(A2412,"mmm-yy")),
    '[3]Global Weekly Stock (EWSuez'!$E$4:$E$2000)
/
SUMPRODUCT(
    --(TEXT('[3]Global Weekly Stock (EWSuez'!$B$4:$B$2000,"mmm-yy")=TEXT(A2412,"mmm-yy"))
)</f>
        <v>15251</v>
      </c>
      <c r="I2412">
        <f>_xlfn.XLOOKUP(A2412,[1]ForwardDeriv!$D:$D,[1]ForwardDeriv!$AJ:$AJ)</f>
        <v>1.269999999999996</v>
      </c>
      <c r="J2412" cm="1">
        <f t="array" ref="J2412">_xlfn.XLOOKUP(TEXT(A2412, "mmm-yy"), TEXT([2]GASOLINE!$B$5:$B$208, "mmm-yy"), [2]GASOLINE!$IR$5:$IR$208, "Not Found")</f>
        <v>-294.99578326748298</v>
      </c>
      <c r="K2412" cm="1">
        <f t="array" ref="K2412">_xlfn.XLOOKUP(TEXT(A2412, "mmm-yy"), TEXT([2]GASOLINE!$B$5:$B$208, "mmm-yy"), [2]GASOLINE!$IK$5:$IK$208, "Not Found")</f>
        <v>241.14451846633159</v>
      </c>
      <c r="L2412">
        <f t="shared" si="37"/>
        <v>0</v>
      </c>
      <c r="M2412" cm="1">
        <f t="array" ref="M2412">_xlfn.XLOOKUP(TEXT(A2412, "mmm-yy"), TEXT([2]GASOLINE!$B$5:$B$208, "mmm-yy"), [2]GASOLINE!$C$5:$C$208, "Not Found")</f>
        <v>7965.6554791350645</v>
      </c>
      <c r="N2412" cm="1">
        <f t="array" ref="N2412">_xlfn.XLOOKUP(TEXT(A2412, "mmm-yy"), TEXT([2]RUNS!$B$5:$B$208, "mmm-yy"), [2]RUNS!$BM$5:$BM$208, "Not Found")</f>
        <v>0.84632362723250143</v>
      </c>
    </row>
    <row r="2413" spans="1:14" x14ac:dyDescent="0.25">
      <c r="A2413" s="1">
        <f>'[1]Global_Spot Prices'!$B3722</f>
        <v>45380</v>
      </c>
      <c r="B2413" t="e">
        <f>_xlfn.XLOOKUP(A2413,'[1]Global_Spot Prices'!$B:$B,'[1]Global_Spot Prices'!$BS:$BS)</f>
        <v>#N/A</v>
      </c>
      <c r="C2413" t="str">
        <f>_xlfn.XLOOKUP(A2413,'[1]Global_Spot Prices'!$B:$B,'[1]Global_Spot Prices'!$E:$E)</f>
        <v/>
      </c>
      <c r="D2413" t="str">
        <f>_xlfn.XLOOKUP(A2413,'[1]Global_Spot Prices'!$B:$B,'[1]Global_Spot Prices'!$D:$D)</f>
        <v/>
      </c>
      <c r="E2413">
        <f>_xlfn.XLOOKUP(A2413,'[1]Global_Spot Prices'!$B:$B,'[1]Global_Spot Prices'!$H:$H)</f>
        <v>0</v>
      </c>
      <c r="F2413">
        <f>_xlfn.XLOOKUP(A2413,'[1]Global_Spot Prices'!$B:$B,'[1]Global_Spot Prices'!$I:$I)</f>
        <v>0</v>
      </c>
      <c r="G2413" cm="1">
        <f t="array" ref="G2413">_xlfn.XLOOKUP(TEXT(A2413, "mmm-yy"), TEXT([2]RUNS!$B$5:$B$208, "mmm-yy"), [2]RUNS!$D$5:$D$208, "Not Found")</f>
        <v>31134.553598629271</v>
      </c>
      <c r="H2413" cm="1">
        <f t="array" ref="H2413">SUMPRODUCT(
    --(TEXT('[3]Global Weekly Stock (EWSuez'!$B$4:$B$2000,"mmm-yy")=TEXT(A2413,"mmm-yy")),
    '[3]Global Weekly Stock (EWSuez'!$E$4:$E$2000)
/
SUMPRODUCT(
    --(TEXT('[3]Global Weekly Stock (EWSuez'!$B$4:$B$2000,"mmm-yy")=TEXT(A2413,"mmm-yy"))
)</f>
        <v>15251</v>
      </c>
      <c r="I2413">
        <f>_xlfn.XLOOKUP(A2413,[1]ForwardDeriv!$D:$D,[1]ForwardDeriv!$AJ:$AJ)</f>
        <v>1.8400000000000034</v>
      </c>
      <c r="J2413" cm="1">
        <f t="array" ref="J2413">_xlfn.XLOOKUP(TEXT(A2413, "mmm-yy"), TEXT([2]GASOLINE!$B$5:$B$208, "mmm-yy"), [2]GASOLINE!$IR$5:$IR$208, "Not Found")</f>
        <v>-294.99578326748298</v>
      </c>
      <c r="K2413" cm="1">
        <f t="array" ref="K2413">_xlfn.XLOOKUP(TEXT(A2413, "mmm-yy"), TEXT([2]GASOLINE!$B$5:$B$208, "mmm-yy"), [2]GASOLINE!$IK$5:$IK$208, "Not Found")</f>
        <v>241.14451846633159</v>
      </c>
      <c r="L2413">
        <f t="shared" si="37"/>
        <v>0</v>
      </c>
      <c r="M2413" cm="1">
        <f t="array" ref="M2413">_xlfn.XLOOKUP(TEXT(A2413, "mmm-yy"), TEXT([2]GASOLINE!$B$5:$B$208, "mmm-yy"), [2]GASOLINE!$C$5:$C$208, "Not Found")</f>
        <v>7965.6554791350645</v>
      </c>
      <c r="N2413" cm="1">
        <f t="array" ref="N2413">_xlfn.XLOOKUP(TEXT(A2413, "mmm-yy"), TEXT([2]RUNS!$B$5:$B$208, "mmm-yy"), [2]RUNS!$BM$5:$BM$208, "Not Found")</f>
        <v>0.84632362723250143</v>
      </c>
    </row>
    <row r="2414" spans="1:14" x14ac:dyDescent="0.25">
      <c r="A2414" s="1">
        <f>'[1]Global_Spot Prices'!$B3723</f>
        <v>45383</v>
      </c>
      <c r="B2414">
        <f>_xlfn.XLOOKUP(A2414,'[1]Global_Spot Prices'!$B:$B,'[1]Global_Spot Prices'!$BS:$BS)</f>
        <v>15.594999999999999</v>
      </c>
      <c r="C2414">
        <f>_xlfn.XLOOKUP(A2414,'[1]Global_Spot Prices'!$B:$B,'[1]Global_Spot Prices'!$E:$E)</f>
        <v>87.655000000000001</v>
      </c>
      <c r="D2414" t="str">
        <f>_xlfn.XLOOKUP(A2414,'[1]Global_Spot Prices'!$B:$B,'[1]Global_Spot Prices'!$D:$D)</f>
        <v/>
      </c>
      <c r="E2414">
        <f>_xlfn.XLOOKUP(A2414,'[1]Global_Spot Prices'!$B:$B,'[1]Global_Spot Prices'!$H:$H)</f>
        <v>76.400000000000006</v>
      </c>
      <c r="F2414">
        <f>_xlfn.XLOOKUP(A2414,'[1]Global_Spot Prices'!$B:$B,'[1]Global_Spot Prices'!$I:$I)</f>
        <v>103.25</v>
      </c>
      <c r="G2414" cm="1">
        <f t="array" ref="G2414">_xlfn.XLOOKUP(TEXT(A2414, "mmm-yy"), TEXT([2]RUNS!$B$5:$B$208, "mmm-yy"), [2]RUNS!$D$5:$D$208, "Not Found")</f>
        <v>30146.126329393966</v>
      </c>
      <c r="H2414" cm="1">
        <f t="array" ref="H2414">SUMPRODUCT(
    --(TEXT('[3]Global Weekly Stock (EWSuez'!$B$4:$B$2000,"mmm-yy")=TEXT(A2414,"mmm-yy")),
    '[3]Global Weekly Stock (EWSuez'!$E$4:$E$2000)
/
SUMPRODUCT(
    --(TEXT('[3]Global Weekly Stock (EWSuez'!$B$4:$B$2000,"mmm-yy")=TEXT(A2414,"mmm-yy"))
)</f>
        <v>14917</v>
      </c>
      <c r="I2414">
        <f>_xlfn.XLOOKUP(A2414,[1]ForwardDeriv!$D:$D,[1]ForwardDeriv!$AJ:$AJ)</f>
        <v>1.8400000000000034</v>
      </c>
      <c r="J2414" cm="1">
        <f t="array" ref="J2414">_xlfn.XLOOKUP(TEXT(A2414, "mmm-yy"), TEXT([2]GASOLINE!$B$5:$B$208, "mmm-yy"), [2]GASOLINE!$IR$5:$IR$208, "Not Found")</f>
        <v>-576.48696109147033</v>
      </c>
      <c r="K2414" cm="1">
        <f t="array" ref="K2414">_xlfn.XLOOKUP(TEXT(A2414, "mmm-yy"), TEXT([2]GASOLINE!$B$5:$B$208, "mmm-yy"), [2]GASOLINE!$IK$5:$IK$208, "Not Found")</f>
        <v>241.98049460326041</v>
      </c>
      <c r="L2414">
        <f t="shared" si="37"/>
        <v>0</v>
      </c>
      <c r="M2414" cm="1">
        <f t="array" ref="M2414">_xlfn.XLOOKUP(TEXT(A2414, "mmm-yy"), TEXT([2]GASOLINE!$B$5:$B$208, "mmm-yy"), [2]GASOLINE!$C$5:$C$208, "Not Found")</f>
        <v>7995.8886490712512</v>
      </c>
      <c r="N2414" cm="1">
        <f t="array" ref="N2414">_xlfn.XLOOKUP(TEXT(A2414, "mmm-yy"), TEXT([2]RUNS!$B$5:$B$208, "mmm-yy"), [2]RUNS!$BM$5:$BM$208, "Not Found")</f>
        <v>0.81945542919957493</v>
      </c>
    </row>
    <row r="2415" spans="1:14" x14ac:dyDescent="0.25">
      <c r="A2415" s="1">
        <f>'[1]Global_Spot Prices'!$B3724</f>
        <v>45384</v>
      </c>
      <c r="B2415">
        <f>_xlfn.XLOOKUP(A2415,'[1]Global_Spot Prices'!$B:$B,'[1]Global_Spot Prices'!$BS:$BS)</f>
        <v>13.5</v>
      </c>
      <c r="C2415">
        <f>_xlfn.XLOOKUP(A2415,'[1]Global_Spot Prices'!$B:$B,'[1]Global_Spot Prices'!$E:$E)</f>
        <v>89.06</v>
      </c>
      <c r="D2415">
        <f>_xlfn.XLOOKUP(A2415,'[1]Global_Spot Prices'!$B:$B,'[1]Global_Spot Prices'!$D:$D)</f>
        <v>89.95</v>
      </c>
      <c r="E2415">
        <f>_xlfn.XLOOKUP(A2415,'[1]Global_Spot Prices'!$B:$B,'[1]Global_Spot Prices'!$H:$H)</f>
        <v>76.55</v>
      </c>
      <c r="F2415">
        <f>_xlfn.XLOOKUP(A2415,'[1]Global_Spot Prices'!$B:$B,'[1]Global_Spot Prices'!$I:$I)</f>
        <v>102.56</v>
      </c>
      <c r="G2415" cm="1">
        <f t="array" ref="G2415">_xlfn.XLOOKUP(TEXT(A2415, "mmm-yy"), TEXT([2]RUNS!$B$5:$B$208, "mmm-yy"), [2]RUNS!$D$5:$D$208, "Not Found")</f>
        <v>30146.126329393966</v>
      </c>
      <c r="H2415" cm="1">
        <f t="array" ref="H2415">SUMPRODUCT(
    --(TEXT('[3]Global Weekly Stock (EWSuez'!$B$4:$B$2000,"mmm-yy")=TEXT(A2415,"mmm-yy")),
    '[3]Global Weekly Stock (EWSuez'!$E$4:$E$2000)
/
SUMPRODUCT(
    --(TEXT('[3]Global Weekly Stock (EWSuez'!$B$4:$B$2000,"mmm-yy")=TEXT(A2415,"mmm-yy"))
)</f>
        <v>14917</v>
      </c>
      <c r="I2415">
        <f>_xlfn.XLOOKUP(A2415,[1]ForwardDeriv!$D:$D,[1]ForwardDeriv!$AJ:$AJ)</f>
        <v>1.7999999999999972</v>
      </c>
      <c r="J2415" cm="1">
        <f t="array" ref="J2415">_xlfn.XLOOKUP(TEXT(A2415, "mmm-yy"), TEXT([2]GASOLINE!$B$5:$B$208, "mmm-yy"), [2]GASOLINE!$IR$5:$IR$208, "Not Found")</f>
        <v>-576.48696109147033</v>
      </c>
      <c r="K2415" cm="1">
        <f t="array" ref="K2415">_xlfn.XLOOKUP(TEXT(A2415, "mmm-yy"), TEXT([2]GASOLINE!$B$5:$B$208, "mmm-yy"), [2]GASOLINE!$IK$5:$IK$208, "Not Found")</f>
        <v>241.98049460326041</v>
      </c>
      <c r="L2415">
        <f t="shared" si="37"/>
        <v>0</v>
      </c>
      <c r="M2415" cm="1">
        <f t="array" ref="M2415">_xlfn.XLOOKUP(TEXT(A2415, "mmm-yy"), TEXT([2]GASOLINE!$B$5:$B$208, "mmm-yy"), [2]GASOLINE!$C$5:$C$208, "Not Found")</f>
        <v>7995.8886490712512</v>
      </c>
      <c r="N2415" cm="1">
        <f t="array" ref="N2415">_xlfn.XLOOKUP(TEXT(A2415, "mmm-yy"), TEXT([2]RUNS!$B$5:$B$208, "mmm-yy"), [2]RUNS!$BM$5:$BM$208, "Not Found")</f>
        <v>0.81945542919957493</v>
      </c>
    </row>
    <row r="2416" spans="1:14" x14ac:dyDescent="0.25">
      <c r="A2416" s="1">
        <f>'[1]Global_Spot Prices'!$B3725</f>
        <v>45385</v>
      </c>
      <c r="B2416">
        <f>_xlfn.XLOOKUP(A2416,'[1]Global_Spot Prices'!$B:$B,'[1]Global_Spot Prices'!$BS:$BS)</f>
        <v>13.269999999999996</v>
      </c>
      <c r="C2416">
        <f>_xlfn.XLOOKUP(A2416,'[1]Global_Spot Prices'!$B:$B,'[1]Global_Spot Prices'!$E:$E)</f>
        <v>89.47</v>
      </c>
      <c r="D2416">
        <f>_xlfn.XLOOKUP(A2416,'[1]Global_Spot Prices'!$B:$B,'[1]Global_Spot Prices'!$D:$D)</f>
        <v>91.105000000000004</v>
      </c>
      <c r="E2416">
        <f>_xlfn.XLOOKUP(A2416,'[1]Global_Spot Prices'!$B:$B,'[1]Global_Spot Prices'!$H:$H)</f>
        <v>74.64</v>
      </c>
      <c r="F2416">
        <f>_xlfn.XLOOKUP(A2416,'[1]Global_Spot Prices'!$B:$B,'[1]Global_Spot Prices'!$I:$I)</f>
        <v>102.74</v>
      </c>
      <c r="G2416" cm="1">
        <f t="array" ref="G2416">_xlfn.XLOOKUP(TEXT(A2416, "mmm-yy"), TEXT([2]RUNS!$B$5:$B$208, "mmm-yy"), [2]RUNS!$D$5:$D$208, "Not Found")</f>
        <v>30146.126329393966</v>
      </c>
      <c r="H2416" cm="1">
        <f t="array" ref="H2416">SUMPRODUCT(
    --(TEXT('[3]Global Weekly Stock (EWSuez'!$B$4:$B$2000,"mmm-yy")=TEXT(A2416,"mmm-yy")),
    '[3]Global Weekly Stock (EWSuez'!$E$4:$E$2000)
/
SUMPRODUCT(
    --(TEXT('[3]Global Weekly Stock (EWSuez'!$B$4:$B$2000,"mmm-yy")=TEXT(A2416,"mmm-yy"))
)</f>
        <v>14917</v>
      </c>
      <c r="I2416">
        <f>_xlfn.XLOOKUP(A2416,[1]ForwardDeriv!$D:$D,[1]ForwardDeriv!$AJ:$AJ)</f>
        <v>1.6199999999999903</v>
      </c>
      <c r="J2416" cm="1">
        <f t="array" ref="J2416">_xlfn.XLOOKUP(TEXT(A2416, "mmm-yy"), TEXT([2]GASOLINE!$B$5:$B$208, "mmm-yy"), [2]GASOLINE!$IR$5:$IR$208, "Not Found")</f>
        <v>-576.48696109147033</v>
      </c>
      <c r="K2416" cm="1">
        <f t="array" ref="K2416">_xlfn.XLOOKUP(TEXT(A2416, "mmm-yy"), TEXT([2]GASOLINE!$B$5:$B$208, "mmm-yy"), [2]GASOLINE!$IK$5:$IK$208, "Not Found")</f>
        <v>241.98049460326041</v>
      </c>
      <c r="L2416">
        <f t="shared" si="37"/>
        <v>0</v>
      </c>
      <c r="M2416" cm="1">
        <f t="array" ref="M2416">_xlfn.XLOOKUP(TEXT(A2416, "mmm-yy"), TEXT([2]GASOLINE!$B$5:$B$208, "mmm-yy"), [2]GASOLINE!$C$5:$C$208, "Not Found")</f>
        <v>7995.8886490712512</v>
      </c>
      <c r="N2416" cm="1">
        <f t="array" ref="N2416">_xlfn.XLOOKUP(TEXT(A2416, "mmm-yy"), TEXT([2]RUNS!$B$5:$B$208, "mmm-yy"), [2]RUNS!$BM$5:$BM$208, "Not Found")</f>
        <v>0.81945542919957493</v>
      </c>
    </row>
    <row r="2417" spans="1:14" x14ac:dyDescent="0.25">
      <c r="A2417" s="1">
        <f>'[1]Global_Spot Prices'!$B3726</f>
        <v>45386</v>
      </c>
      <c r="B2417">
        <f>_xlfn.XLOOKUP(A2417,'[1]Global_Spot Prices'!$B:$B,'[1]Global_Spot Prices'!$BS:$BS)</f>
        <v>12.36</v>
      </c>
      <c r="C2417">
        <f>_xlfn.XLOOKUP(A2417,'[1]Global_Spot Prices'!$B:$B,'[1]Global_Spot Prices'!$E:$E)</f>
        <v>89.65</v>
      </c>
      <c r="D2417">
        <f>_xlfn.XLOOKUP(A2417,'[1]Global_Spot Prices'!$B:$B,'[1]Global_Spot Prices'!$D:$D)</f>
        <v>90.435000000000002</v>
      </c>
      <c r="E2417">
        <f>_xlfn.XLOOKUP(A2417,'[1]Global_Spot Prices'!$B:$B,'[1]Global_Spot Prices'!$H:$H)</f>
        <v>73.92</v>
      </c>
      <c r="F2417">
        <f>_xlfn.XLOOKUP(A2417,'[1]Global_Spot Prices'!$B:$B,'[1]Global_Spot Prices'!$I:$I)</f>
        <v>102.01</v>
      </c>
      <c r="G2417" cm="1">
        <f t="array" ref="G2417">_xlfn.XLOOKUP(TEXT(A2417, "mmm-yy"), TEXT([2]RUNS!$B$5:$B$208, "mmm-yy"), [2]RUNS!$D$5:$D$208, "Not Found")</f>
        <v>30146.126329393966</v>
      </c>
      <c r="H2417" cm="1">
        <f t="array" ref="H2417">SUMPRODUCT(
    --(TEXT('[3]Global Weekly Stock (EWSuez'!$B$4:$B$2000,"mmm-yy")=TEXT(A2417,"mmm-yy")),
    '[3]Global Weekly Stock (EWSuez'!$E$4:$E$2000)
/
SUMPRODUCT(
    --(TEXT('[3]Global Weekly Stock (EWSuez'!$B$4:$B$2000,"mmm-yy")=TEXT(A2417,"mmm-yy"))
)</f>
        <v>14917</v>
      </c>
      <c r="I2417">
        <f>_xlfn.XLOOKUP(A2417,[1]ForwardDeriv!$D:$D,[1]ForwardDeriv!$AJ:$AJ)</f>
        <v>1.4299999999999926</v>
      </c>
      <c r="J2417" cm="1">
        <f t="array" ref="J2417">_xlfn.XLOOKUP(TEXT(A2417, "mmm-yy"), TEXT([2]GASOLINE!$B$5:$B$208, "mmm-yy"), [2]GASOLINE!$IR$5:$IR$208, "Not Found")</f>
        <v>-576.48696109147033</v>
      </c>
      <c r="K2417" cm="1">
        <f t="array" ref="K2417">_xlfn.XLOOKUP(TEXT(A2417, "mmm-yy"), TEXT([2]GASOLINE!$B$5:$B$208, "mmm-yy"), [2]GASOLINE!$IK$5:$IK$208, "Not Found")</f>
        <v>241.98049460326041</v>
      </c>
      <c r="L2417">
        <f t="shared" si="37"/>
        <v>0</v>
      </c>
      <c r="M2417" cm="1">
        <f t="array" ref="M2417">_xlfn.XLOOKUP(TEXT(A2417, "mmm-yy"), TEXT([2]GASOLINE!$B$5:$B$208, "mmm-yy"), [2]GASOLINE!$C$5:$C$208, "Not Found")</f>
        <v>7995.8886490712512</v>
      </c>
      <c r="N2417" cm="1">
        <f t="array" ref="N2417">_xlfn.XLOOKUP(TEXT(A2417, "mmm-yy"), TEXT([2]RUNS!$B$5:$B$208, "mmm-yy"), [2]RUNS!$BM$5:$BM$208, "Not Found")</f>
        <v>0.81945542919957493</v>
      </c>
    </row>
    <row r="2418" spans="1:14" x14ac:dyDescent="0.25">
      <c r="A2418" s="1">
        <f>'[1]Global_Spot Prices'!$B3727</f>
        <v>45387</v>
      </c>
      <c r="B2418">
        <f>_xlfn.XLOOKUP(A2418,'[1]Global_Spot Prices'!$B:$B,'[1]Global_Spot Prices'!$BS:$BS)</f>
        <v>11.810000000000002</v>
      </c>
      <c r="C2418">
        <f>_xlfn.XLOOKUP(A2418,'[1]Global_Spot Prices'!$B:$B,'[1]Global_Spot Prices'!$E:$E)</f>
        <v>90.86</v>
      </c>
      <c r="D2418">
        <f>_xlfn.XLOOKUP(A2418,'[1]Global_Spot Prices'!$B:$B,'[1]Global_Spot Prices'!$D:$D)</f>
        <v>93.305000000000007</v>
      </c>
      <c r="E2418">
        <f>_xlfn.XLOOKUP(A2418,'[1]Global_Spot Prices'!$B:$B,'[1]Global_Spot Prices'!$H:$H)</f>
        <v>75.67</v>
      </c>
      <c r="F2418">
        <f>_xlfn.XLOOKUP(A2418,'[1]Global_Spot Prices'!$B:$B,'[1]Global_Spot Prices'!$I:$I)</f>
        <v>102.67</v>
      </c>
      <c r="G2418" cm="1">
        <f t="array" ref="G2418">_xlfn.XLOOKUP(TEXT(A2418, "mmm-yy"), TEXT([2]RUNS!$B$5:$B$208, "mmm-yy"), [2]RUNS!$D$5:$D$208, "Not Found")</f>
        <v>30146.126329393966</v>
      </c>
      <c r="H2418" cm="1">
        <f t="array" ref="H2418">SUMPRODUCT(
    --(TEXT('[3]Global Weekly Stock (EWSuez'!$B$4:$B$2000,"mmm-yy")=TEXT(A2418,"mmm-yy")),
    '[3]Global Weekly Stock (EWSuez'!$E$4:$E$2000)
/
SUMPRODUCT(
    --(TEXT('[3]Global Weekly Stock (EWSuez'!$B$4:$B$2000,"mmm-yy")=TEXT(A2418,"mmm-yy"))
)</f>
        <v>14917</v>
      </c>
      <c r="I2418">
        <f>_xlfn.XLOOKUP(A2418,[1]ForwardDeriv!$D:$D,[1]ForwardDeriv!$AJ:$AJ)</f>
        <v>1.3499999999999943</v>
      </c>
      <c r="J2418" cm="1">
        <f t="array" ref="J2418">_xlfn.XLOOKUP(TEXT(A2418, "mmm-yy"), TEXT([2]GASOLINE!$B$5:$B$208, "mmm-yy"), [2]GASOLINE!$IR$5:$IR$208, "Not Found")</f>
        <v>-576.48696109147033</v>
      </c>
      <c r="K2418" cm="1">
        <f t="array" ref="K2418">_xlfn.XLOOKUP(TEXT(A2418, "mmm-yy"), TEXT([2]GASOLINE!$B$5:$B$208, "mmm-yy"), [2]GASOLINE!$IK$5:$IK$208, "Not Found")</f>
        <v>241.98049460326041</v>
      </c>
      <c r="L2418">
        <f t="shared" si="37"/>
        <v>0</v>
      </c>
      <c r="M2418" cm="1">
        <f t="array" ref="M2418">_xlfn.XLOOKUP(TEXT(A2418, "mmm-yy"), TEXT([2]GASOLINE!$B$5:$B$208, "mmm-yy"), [2]GASOLINE!$C$5:$C$208, "Not Found")</f>
        <v>7995.8886490712512</v>
      </c>
      <c r="N2418" cm="1">
        <f t="array" ref="N2418">_xlfn.XLOOKUP(TEXT(A2418, "mmm-yy"), TEXT([2]RUNS!$B$5:$B$208, "mmm-yy"), [2]RUNS!$BM$5:$BM$208, "Not Found")</f>
        <v>0.81945542919957493</v>
      </c>
    </row>
    <row r="2419" spans="1:14" x14ac:dyDescent="0.25">
      <c r="A2419" s="1">
        <f>'[1]Global_Spot Prices'!$B3728</f>
        <v>45390</v>
      </c>
      <c r="B2419">
        <f>_xlfn.XLOOKUP(A2419,'[1]Global_Spot Prices'!$B:$B,'[1]Global_Spot Prices'!$BS:$BS)</f>
        <v>11.86</v>
      </c>
      <c r="C2419">
        <f>_xlfn.XLOOKUP(A2419,'[1]Global_Spot Prices'!$B:$B,'[1]Global_Spot Prices'!$E:$E)</f>
        <v>90.06</v>
      </c>
      <c r="D2419">
        <f>_xlfn.XLOOKUP(A2419,'[1]Global_Spot Prices'!$B:$B,'[1]Global_Spot Prices'!$D:$D)</f>
        <v>92.2</v>
      </c>
      <c r="E2419">
        <f>_xlfn.XLOOKUP(A2419,'[1]Global_Spot Prices'!$B:$B,'[1]Global_Spot Prices'!$H:$H)</f>
        <v>74.97</v>
      </c>
      <c r="F2419">
        <f>_xlfn.XLOOKUP(A2419,'[1]Global_Spot Prices'!$B:$B,'[1]Global_Spot Prices'!$I:$I)</f>
        <v>101.92</v>
      </c>
      <c r="G2419" cm="1">
        <f t="array" ref="G2419">_xlfn.XLOOKUP(TEXT(A2419, "mmm-yy"), TEXT([2]RUNS!$B$5:$B$208, "mmm-yy"), [2]RUNS!$D$5:$D$208, "Not Found")</f>
        <v>30146.126329393966</v>
      </c>
      <c r="H2419" cm="1">
        <f t="array" ref="H2419">SUMPRODUCT(
    --(TEXT('[3]Global Weekly Stock (EWSuez'!$B$4:$B$2000,"mmm-yy")=TEXT(A2419,"mmm-yy")),
    '[3]Global Weekly Stock (EWSuez'!$E$4:$E$2000)
/
SUMPRODUCT(
    --(TEXT('[3]Global Weekly Stock (EWSuez'!$B$4:$B$2000,"mmm-yy")=TEXT(A2419,"mmm-yy"))
)</f>
        <v>14917</v>
      </c>
      <c r="I2419">
        <f>_xlfn.XLOOKUP(A2419,[1]ForwardDeriv!$D:$D,[1]ForwardDeriv!$AJ:$AJ)</f>
        <v>1.3900000000000006</v>
      </c>
      <c r="J2419" cm="1">
        <f t="array" ref="J2419">_xlfn.XLOOKUP(TEXT(A2419, "mmm-yy"), TEXT([2]GASOLINE!$B$5:$B$208, "mmm-yy"), [2]GASOLINE!$IR$5:$IR$208, "Not Found")</f>
        <v>-576.48696109147033</v>
      </c>
      <c r="K2419" cm="1">
        <f t="array" ref="K2419">_xlfn.XLOOKUP(TEXT(A2419, "mmm-yy"), TEXT([2]GASOLINE!$B$5:$B$208, "mmm-yy"), [2]GASOLINE!$IK$5:$IK$208, "Not Found")</f>
        <v>241.98049460326041</v>
      </c>
      <c r="L2419">
        <f t="shared" si="37"/>
        <v>0</v>
      </c>
      <c r="M2419" cm="1">
        <f t="array" ref="M2419">_xlfn.XLOOKUP(TEXT(A2419, "mmm-yy"), TEXT([2]GASOLINE!$B$5:$B$208, "mmm-yy"), [2]GASOLINE!$C$5:$C$208, "Not Found")</f>
        <v>7995.8886490712512</v>
      </c>
      <c r="N2419" cm="1">
        <f t="array" ref="N2419">_xlfn.XLOOKUP(TEXT(A2419, "mmm-yy"), TEXT([2]RUNS!$B$5:$B$208, "mmm-yy"), [2]RUNS!$BM$5:$BM$208, "Not Found")</f>
        <v>0.81945542919957493</v>
      </c>
    </row>
    <row r="2420" spans="1:14" x14ac:dyDescent="0.25">
      <c r="A2420" s="1">
        <f>'[1]Global_Spot Prices'!$B3729</f>
        <v>45391</v>
      </c>
      <c r="B2420">
        <f>_xlfn.XLOOKUP(A2420,'[1]Global_Spot Prices'!$B:$B,'[1]Global_Spot Prices'!$BS:$BS)</f>
        <v>11.219999999999999</v>
      </c>
      <c r="C2420">
        <f>_xlfn.XLOOKUP(A2420,'[1]Global_Spot Prices'!$B:$B,'[1]Global_Spot Prices'!$E:$E)</f>
        <v>90.75</v>
      </c>
      <c r="D2420">
        <f>_xlfn.XLOOKUP(A2420,'[1]Global_Spot Prices'!$B:$B,'[1]Global_Spot Prices'!$D:$D)</f>
        <v>91.93</v>
      </c>
      <c r="E2420">
        <f>_xlfn.XLOOKUP(A2420,'[1]Global_Spot Prices'!$B:$B,'[1]Global_Spot Prices'!$H:$H)</f>
        <v>75.12</v>
      </c>
      <c r="F2420">
        <f>_xlfn.XLOOKUP(A2420,'[1]Global_Spot Prices'!$B:$B,'[1]Global_Spot Prices'!$I:$I)</f>
        <v>101.97</v>
      </c>
      <c r="G2420" cm="1">
        <f t="array" ref="G2420">_xlfn.XLOOKUP(TEXT(A2420, "mmm-yy"), TEXT([2]RUNS!$B$5:$B$208, "mmm-yy"), [2]RUNS!$D$5:$D$208, "Not Found")</f>
        <v>30146.126329393966</v>
      </c>
      <c r="H2420" cm="1">
        <f t="array" ref="H2420">SUMPRODUCT(
    --(TEXT('[3]Global Weekly Stock (EWSuez'!$B$4:$B$2000,"mmm-yy")=TEXT(A2420,"mmm-yy")),
    '[3]Global Weekly Stock (EWSuez'!$E$4:$E$2000)
/
SUMPRODUCT(
    --(TEXT('[3]Global Weekly Stock (EWSuez'!$B$4:$B$2000,"mmm-yy")=TEXT(A2420,"mmm-yy"))
)</f>
        <v>14917</v>
      </c>
      <c r="I2420">
        <f>_xlfn.XLOOKUP(A2420,[1]ForwardDeriv!$D:$D,[1]ForwardDeriv!$AJ:$AJ)</f>
        <v>1.2800000000000011</v>
      </c>
      <c r="J2420" cm="1">
        <f t="array" ref="J2420">_xlfn.XLOOKUP(TEXT(A2420, "mmm-yy"), TEXT([2]GASOLINE!$B$5:$B$208, "mmm-yy"), [2]GASOLINE!$IR$5:$IR$208, "Not Found")</f>
        <v>-576.48696109147033</v>
      </c>
      <c r="K2420" cm="1">
        <f t="array" ref="K2420">_xlfn.XLOOKUP(TEXT(A2420, "mmm-yy"), TEXT([2]GASOLINE!$B$5:$B$208, "mmm-yy"), [2]GASOLINE!$IK$5:$IK$208, "Not Found")</f>
        <v>241.98049460326041</v>
      </c>
      <c r="L2420">
        <f t="shared" si="37"/>
        <v>0</v>
      </c>
      <c r="M2420" cm="1">
        <f t="array" ref="M2420">_xlfn.XLOOKUP(TEXT(A2420, "mmm-yy"), TEXT([2]GASOLINE!$B$5:$B$208, "mmm-yy"), [2]GASOLINE!$C$5:$C$208, "Not Found")</f>
        <v>7995.8886490712512</v>
      </c>
      <c r="N2420" cm="1">
        <f t="array" ref="N2420">_xlfn.XLOOKUP(TEXT(A2420, "mmm-yy"), TEXT([2]RUNS!$B$5:$B$208, "mmm-yy"), [2]RUNS!$BM$5:$BM$208, "Not Found")</f>
        <v>0.81945542919957493</v>
      </c>
    </row>
    <row r="2421" spans="1:14" x14ac:dyDescent="0.25">
      <c r="A2421" s="1">
        <f>'[1]Global_Spot Prices'!$B3730</f>
        <v>45392</v>
      </c>
      <c r="B2421" t="e">
        <f>_xlfn.XLOOKUP(A2421,'[1]Global_Spot Prices'!$B:$B,'[1]Global_Spot Prices'!$BS:$BS)</f>
        <v>#N/A</v>
      </c>
      <c r="C2421" t="str">
        <f>_xlfn.XLOOKUP(A2421,'[1]Global_Spot Prices'!$B:$B,'[1]Global_Spot Prices'!$E:$E)</f>
        <v/>
      </c>
      <c r="D2421">
        <f>_xlfn.XLOOKUP(A2421,'[1]Global_Spot Prices'!$B:$B,'[1]Global_Spot Prices'!$D:$D)</f>
        <v>91.19</v>
      </c>
      <c r="E2421">
        <f>_xlfn.XLOOKUP(A2421,'[1]Global_Spot Prices'!$B:$B,'[1]Global_Spot Prices'!$H:$H)</f>
        <v>0</v>
      </c>
      <c r="F2421">
        <f>_xlfn.XLOOKUP(A2421,'[1]Global_Spot Prices'!$B:$B,'[1]Global_Spot Prices'!$I:$I)</f>
        <v>0</v>
      </c>
      <c r="G2421" cm="1">
        <f t="array" ref="G2421">_xlfn.XLOOKUP(TEXT(A2421, "mmm-yy"), TEXT([2]RUNS!$B$5:$B$208, "mmm-yy"), [2]RUNS!$D$5:$D$208, "Not Found")</f>
        <v>30146.126329393966</v>
      </c>
      <c r="H2421" cm="1">
        <f t="array" ref="H2421">SUMPRODUCT(
    --(TEXT('[3]Global Weekly Stock (EWSuez'!$B$4:$B$2000,"mmm-yy")=TEXT(A2421,"mmm-yy")),
    '[3]Global Weekly Stock (EWSuez'!$E$4:$E$2000)
/
SUMPRODUCT(
    --(TEXT('[3]Global Weekly Stock (EWSuez'!$B$4:$B$2000,"mmm-yy")=TEXT(A2421,"mmm-yy"))
)</f>
        <v>14917</v>
      </c>
      <c r="I2421">
        <f>_xlfn.XLOOKUP(A2421,[1]ForwardDeriv!$D:$D,[1]ForwardDeriv!$AJ:$AJ)</f>
        <v>1.480000000000004</v>
      </c>
      <c r="J2421" cm="1">
        <f t="array" ref="J2421">_xlfn.XLOOKUP(TEXT(A2421, "mmm-yy"), TEXT([2]GASOLINE!$B$5:$B$208, "mmm-yy"), [2]GASOLINE!$IR$5:$IR$208, "Not Found")</f>
        <v>-576.48696109147033</v>
      </c>
      <c r="K2421" cm="1">
        <f t="array" ref="K2421">_xlfn.XLOOKUP(TEXT(A2421, "mmm-yy"), TEXT([2]GASOLINE!$B$5:$B$208, "mmm-yy"), [2]GASOLINE!$IK$5:$IK$208, "Not Found")</f>
        <v>241.98049460326041</v>
      </c>
      <c r="L2421">
        <f t="shared" si="37"/>
        <v>0</v>
      </c>
      <c r="M2421" cm="1">
        <f t="array" ref="M2421">_xlfn.XLOOKUP(TEXT(A2421, "mmm-yy"), TEXT([2]GASOLINE!$B$5:$B$208, "mmm-yy"), [2]GASOLINE!$C$5:$C$208, "Not Found")</f>
        <v>7995.8886490712512</v>
      </c>
      <c r="N2421" cm="1">
        <f t="array" ref="N2421">_xlfn.XLOOKUP(TEXT(A2421, "mmm-yy"), TEXT([2]RUNS!$B$5:$B$208, "mmm-yy"), [2]RUNS!$BM$5:$BM$208, "Not Found")</f>
        <v>0.81945542919957493</v>
      </c>
    </row>
    <row r="2422" spans="1:14" x14ac:dyDescent="0.25">
      <c r="A2422" s="1">
        <f>'[1]Global_Spot Prices'!$B3731</f>
        <v>45393</v>
      </c>
      <c r="B2422">
        <f>_xlfn.XLOOKUP(A2422,'[1]Global_Spot Prices'!$B:$B,'[1]Global_Spot Prices'!$BS:$BS)</f>
        <v>12.489999999999995</v>
      </c>
      <c r="C2422">
        <f>_xlfn.XLOOKUP(A2422,'[1]Global_Spot Prices'!$B:$B,'[1]Global_Spot Prices'!$E:$E)</f>
        <v>90.89</v>
      </c>
      <c r="D2422">
        <f>_xlfn.XLOOKUP(A2422,'[1]Global_Spot Prices'!$B:$B,'[1]Global_Spot Prices'!$D:$D)</f>
        <v>91.81</v>
      </c>
      <c r="E2422">
        <f>_xlfn.XLOOKUP(A2422,'[1]Global_Spot Prices'!$B:$B,'[1]Global_Spot Prices'!$H:$H)</f>
        <v>75.39</v>
      </c>
      <c r="F2422">
        <f>_xlfn.XLOOKUP(A2422,'[1]Global_Spot Prices'!$B:$B,'[1]Global_Spot Prices'!$I:$I)</f>
        <v>103.38</v>
      </c>
      <c r="G2422" cm="1">
        <f t="array" ref="G2422">_xlfn.XLOOKUP(TEXT(A2422, "mmm-yy"), TEXT([2]RUNS!$B$5:$B$208, "mmm-yy"), [2]RUNS!$D$5:$D$208, "Not Found")</f>
        <v>30146.126329393966</v>
      </c>
      <c r="H2422" cm="1">
        <f t="array" ref="H2422">SUMPRODUCT(
    --(TEXT('[3]Global Weekly Stock (EWSuez'!$B$4:$B$2000,"mmm-yy")=TEXT(A2422,"mmm-yy")),
    '[3]Global Weekly Stock (EWSuez'!$E$4:$E$2000)
/
SUMPRODUCT(
    --(TEXT('[3]Global Weekly Stock (EWSuez'!$B$4:$B$2000,"mmm-yy")=TEXT(A2422,"mmm-yy"))
)</f>
        <v>14917</v>
      </c>
      <c r="I2422">
        <f>_xlfn.XLOOKUP(A2422,[1]ForwardDeriv!$D:$D,[1]ForwardDeriv!$AJ:$AJ)</f>
        <v>1.480000000000004</v>
      </c>
      <c r="J2422" cm="1">
        <f t="array" ref="J2422">_xlfn.XLOOKUP(TEXT(A2422, "mmm-yy"), TEXT([2]GASOLINE!$B$5:$B$208, "mmm-yy"), [2]GASOLINE!$IR$5:$IR$208, "Not Found")</f>
        <v>-576.48696109147033</v>
      </c>
      <c r="K2422" cm="1">
        <f t="array" ref="K2422">_xlfn.XLOOKUP(TEXT(A2422, "mmm-yy"), TEXT([2]GASOLINE!$B$5:$B$208, "mmm-yy"), [2]GASOLINE!$IK$5:$IK$208, "Not Found")</f>
        <v>241.98049460326041</v>
      </c>
      <c r="L2422">
        <f t="shared" si="37"/>
        <v>0</v>
      </c>
      <c r="M2422" cm="1">
        <f t="array" ref="M2422">_xlfn.XLOOKUP(TEXT(A2422, "mmm-yy"), TEXT([2]GASOLINE!$B$5:$B$208, "mmm-yy"), [2]GASOLINE!$C$5:$C$208, "Not Found")</f>
        <v>7995.8886490712512</v>
      </c>
      <c r="N2422" cm="1">
        <f t="array" ref="N2422">_xlfn.XLOOKUP(TEXT(A2422, "mmm-yy"), TEXT([2]RUNS!$B$5:$B$208, "mmm-yy"), [2]RUNS!$BM$5:$BM$208, "Not Found")</f>
        <v>0.81945542919957493</v>
      </c>
    </row>
    <row r="2423" spans="1:14" x14ac:dyDescent="0.25">
      <c r="A2423" s="1">
        <f>'[1]Global_Spot Prices'!$B3732</f>
        <v>45394</v>
      </c>
      <c r="B2423">
        <f>_xlfn.XLOOKUP(A2423,'[1]Global_Spot Prices'!$B:$B,'[1]Global_Spot Prices'!$BS:$BS)</f>
        <v>13.699999999999989</v>
      </c>
      <c r="C2423">
        <f ca="1">_xlfn.XLOOKUP(A2423,'[1]Global_Spot Prices'!$B:$B,'[1]Global_Spot Prices'!$E:$E)</f>
        <v>90.51</v>
      </c>
      <c r="D2423">
        <f>_xlfn.XLOOKUP(A2423,'[1]Global_Spot Prices'!$B:$B,'[1]Global_Spot Prices'!$D:$D)</f>
        <v>93.344999999999999</v>
      </c>
      <c r="E2423">
        <f>_xlfn.XLOOKUP(A2423,'[1]Global_Spot Prices'!$B:$B,'[1]Global_Spot Prices'!$H:$H)</f>
        <v>74.569999999999993</v>
      </c>
      <c r="F2423">
        <f>_xlfn.XLOOKUP(A2423,'[1]Global_Spot Prices'!$B:$B,'[1]Global_Spot Prices'!$I:$I)</f>
        <v>104.21</v>
      </c>
      <c r="G2423" cm="1">
        <f t="array" ref="G2423">_xlfn.XLOOKUP(TEXT(A2423, "mmm-yy"), TEXT([2]RUNS!$B$5:$B$208, "mmm-yy"), [2]RUNS!$D$5:$D$208, "Not Found")</f>
        <v>30146.126329393966</v>
      </c>
      <c r="H2423" cm="1">
        <f t="array" ref="H2423">SUMPRODUCT(
    --(TEXT('[3]Global Weekly Stock (EWSuez'!$B$4:$B$2000,"mmm-yy")=TEXT(A2423,"mmm-yy")),
    '[3]Global Weekly Stock (EWSuez'!$E$4:$E$2000)
/
SUMPRODUCT(
    --(TEXT('[3]Global Weekly Stock (EWSuez'!$B$4:$B$2000,"mmm-yy")=TEXT(A2423,"mmm-yy"))
)</f>
        <v>14917</v>
      </c>
      <c r="I2423">
        <f>_xlfn.XLOOKUP(A2423,[1]ForwardDeriv!$D:$D,[1]ForwardDeriv!$AJ:$AJ)</f>
        <v>1.6500000000000057</v>
      </c>
      <c r="J2423" cm="1">
        <f t="array" ref="J2423">_xlfn.XLOOKUP(TEXT(A2423, "mmm-yy"), TEXT([2]GASOLINE!$B$5:$B$208, "mmm-yy"), [2]GASOLINE!$IR$5:$IR$208, "Not Found")</f>
        <v>-576.48696109147033</v>
      </c>
      <c r="K2423" cm="1">
        <f t="array" ref="K2423">_xlfn.XLOOKUP(TEXT(A2423, "mmm-yy"), TEXT([2]GASOLINE!$B$5:$B$208, "mmm-yy"), [2]GASOLINE!$IK$5:$IK$208, "Not Found")</f>
        <v>241.98049460326041</v>
      </c>
      <c r="L2423">
        <f t="shared" si="37"/>
        <v>0</v>
      </c>
      <c r="M2423" cm="1">
        <f t="array" ref="M2423">_xlfn.XLOOKUP(TEXT(A2423, "mmm-yy"), TEXT([2]GASOLINE!$B$5:$B$208, "mmm-yy"), [2]GASOLINE!$C$5:$C$208, "Not Found")</f>
        <v>7995.8886490712512</v>
      </c>
      <c r="N2423" cm="1">
        <f t="array" ref="N2423">_xlfn.XLOOKUP(TEXT(A2423, "mmm-yy"), TEXT([2]RUNS!$B$5:$B$208, "mmm-yy"), [2]RUNS!$BM$5:$BM$208, "Not Found")</f>
        <v>0.81945542919957493</v>
      </c>
    </row>
    <row r="2424" spans="1:14" x14ac:dyDescent="0.25">
      <c r="A2424" s="1">
        <f>'[1]Global_Spot Prices'!$B3733</f>
        <v>45397</v>
      </c>
      <c r="B2424">
        <f>_xlfn.XLOOKUP(A2424,'[1]Global_Spot Prices'!$B:$B,'[1]Global_Spot Prices'!$BS:$BS)</f>
        <v>13.939999999999998</v>
      </c>
      <c r="C2424">
        <f>_xlfn.XLOOKUP(A2424,'[1]Global_Spot Prices'!$B:$B,'[1]Global_Spot Prices'!$E:$E)</f>
        <v>89.54</v>
      </c>
      <c r="D2424">
        <f>_xlfn.XLOOKUP(A2424,'[1]Global_Spot Prices'!$B:$B,'[1]Global_Spot Prices'!$D:$D)</f>
        <v>90.525000000000006</v>
      </c>
      <c r="E2424">
        <f>_xlfn.XLOOKUP(A2424,'[1]Global_Spot Prices'!$B:$B,'[1]Global_Spot Prices'!$H:$H)</f>
        <v>73.739999999999995</v>
      </c>
      <c r="F2424">
        <f>_xlfn.XLOOKUP(A2424,'[1]Global_Spot Prices'!$B:$B,'[1]Global_Spot Prices'!$I:$I)</f>
        <v>103.48</v>
      </c>
      <c r="G2424" cm="1">
        <f t="array" ref="G2424">_xlfn.XLOOKUP(TEXT(A2424, "mmm-yy"), TEXT([2]RUNS!$B$5:$B$208, "mmm-yy"), [2]RUNS!$D$5:$D$208, "Not Found")</f>
        <v>30146.126329393966</v>
      </c>
      <c r="H2424" cm="1">
        <f t="array" ref="H2424">SUMPRODUCT(
    --(TEXT('[3]Global Weekly Stock (EWSuez'!$B$4:$B$2000,"mmm-yy")=TEXT(A2424,"mmm-yy")),
    '[3]Global Weekly Stock (EWSuez'!$E$4:$E$2000)
/
SUMPRODUCT(
    --(TEXT('[3]Global Weekly Stock (EWSuez'!$B$4:$B$2000,"mmm-yy")=TEXT(A2424,"mmm-yy"))
)</f>
        <v>14917</v>
      </c>
      <c r="I2424">
        <f>_xlfn.XLOOKUP(A2424,[1]ForwardDeriv!$D:$D,[1]ForwardDeriv!$AJ:$AJ)</f>
        <v>1.7000000000000028</v>
      </c>
      <c r="J2424" cm="1">
        <f t="array" ref="J2424">_xlfn.XLOOKUP(TEXT(A2424, "mmm-yy"), TEXT([2]GASOLINE!$B$5:$B$208, "mmm-yy"), [2]GASOLINE!$IR$5:$IR$208, "Not Found")</f>
        <v>-576.48696109147033</v>
      </c>
      <c r="K2424" cm="1">
        <f t="array" ref="K2424">_xlfn.XLOOKUP(TEXT(A2424, "mmm-yy"), TEXT([2]GASOLINE!$B$5:$B$208, "mmm-yy"), [2]GASOLINE!$IK$5:$IK$208, "Not Found")</f>
        <v>241.98049460326041</v>
      </c>
      <c r="L2424">
        <f t="shared" si="37"/>
        <v>0</v>
      </c>
      <c r="M2424" cm="1">
        <f t="array" ref="M2424">_xlfn.XLOOKUP(TEXT(A2424, "mmm-yy"), TEXT([2]GASOLINE!$B$5:$B$208, "mmm-yy"), [2]GASOLINE!$C$5:$C$208, "Not Found")</f>
        <v>7995.8886490712512</v>
      </c>
      <c r="N2424" cm="1">
        <f t="array" ref="N2424">_xlfn.XLOOKUP(TEXT(A2424, "mmm-yy"), TEXT([2]RUNS!$B$5:$B$208, "mmm-yy"), [2]RUNS!$BM$5:$BM$208, "Not Found")</f>
        <v>0.81945542919957493</v>
      </c>
    </row>
    <row r="2425" spans="1:14" x14ac:dyDescent="0.25">
      <c r="A2425" s="1">
        <f>'[1]Global_Spot Prices'!$B3734</f>
        <v>45398</v>
      </c>
      <c r="B2425">
        <f>_xlfn.XLOOKUP(A2425,'[1]Global_Spot Prices'!$B:$B,'[1]Global_Spot Prices'!$BS:$BS)</f>
        <v>13.799999999999997</v>
      </c>
      <c r="C2425">
        <f>_xlfn.XLOOKUP(A2425,'[1]Global_Spot Prices'!$B:$B,'[1]Global_Spot Prices'!$E:$E)</f>
        <v>90.25</v>
      </c>
      <c r="D2425">
        <f>_xlfn.XLOOKUP(A2425,'[1]Global_Spot Prices'!$B:$B,'[1]Global_Spot Prices'!$D:$D)</f>
        <v>91.29</v>
      </c>
      <c r="E2425">
        <f>_xlfn.XLOOKUP(A2425,'[1]Global_Spot Prices'!$B:$B,'[1]Global_Spot Prices'!$H:$H)</f>
        <v>75.34</v>
      </c>
      <c r="F2425">
        <f>_xlfn.XLOOKUP(A2425,'[1]Global_Spot Prices'!$B:$B,'[1]Global_Spot Prices'!$I:$I)</f>
        <v>104.05</v>
      </c>
      <c r="G2425" cm="1">
        <f t="array" ref="G2425">_xlfn.XLOOKUP(TEXT(A2425, "mmm-yy"), TEXT([2]RUNS!$B$5:$B$208, "mmm-yy"), [2]RUNS!$D$5:$D$208, "Not Found")</f>
        <v>30146.126329393966</v>
      </c>
      <c r="H2425" cm="1">
        <f t="array" ref="H2425">SUMPRODUCT(
    --(TEXT('[3]Global Weekly Stock (EWSuez'!$B$4:$B$2000,"mmm-yy")=TEXT(A2425,"mmm-yy")),
    '[3]Global Weekly Stock (EWSuez'!$E$4:$E$2000)
/
SUMPRODUCT(
    --(TEXT('[3]Global Weekly Stock (EWSuez'!$B$4:$B$2000,"mmm-yy")=TEXT(A2425,"mmm-yy"))
)</f>
        <v>14917</v>
      </c>
      <c r="I2425">
        <f>_xlfn.XLOOKUP(A2425,[1]ForwardDeriv!$D:$D,[1]ForwardDeriv!$AJ:$AJ)</f>
        <v>1.6999999999999886</v>
      </c>
      <c r="J2425" cm="1">
        <f t="array" ref="J2425">_xlfn.XLOOKUP(TEXT(A2425, "mmm-yy"), TEXT([2]GASOLINE!$B$5:$B$208, "mmm-yy"), [2]GASOLINE!$IR$5:$IR$208, "Not Found")</f>
        <v>-576.48696109147033</v>
      </c>
      <c r="K2425" cm="1">
        <f t="array" ref="K2425">_xlfn.XLOOKUP(TEXT(A2425, "mmm-yy"), TEXT([2]GASOLINE!$B$5:$B$208, "mmm-yy"), [2]GASOLINE!$IK$5:$IK$208, "Not Found")</f>
        <v>241.98049460326041</v>
      </c>
      <c r="L2425">
        <f t="shared" si="37"/>
        <v>0</v>
      </c>
      <c r="M2425" cm="1">
        <f t="array" ref="M2425">_xlfn.XLOOKUP(TEXT(A2425, "mmm-yy"), TEXT([2]GASOLINE!$B$5:$B$208, "mmm-yy"), [2]GASOLINE!$C$5:$C$208, "Not Found")</f>
        <v>7995.8886490712512</v>
      </c>
      <c r="N2425" cm="1">
        <f t="array" ref="N2425">_xlfn.XLOOKUP(TEXT(A2425, "mmm-yy"), TEXT([2]RUNS!$B$5:$B$208, "mmm-yy"), [2]RUNS!$BM$5:$BM$208, "Not Found")</f>
        <v>0.81945542919957493</v>
      </c>
    </row>
    <row r="2426" spans="1:14" x14ac:dyDescent="0.25">
      <c r="A2426" s="1">
        <f>'[1]Global_Spot Prices'!$B3735</f>
        <v>45399</v>
      </c>
      <c r="B2426">
        <f ca="1">_xlfn.XLOOKUP(A2426,'[1]Global_Spot Prices'!$B:$B,'[1]Global_Spot Prices'!$BS:$BS)</f>
        <v>13.950000000000003</v>
      </c>
      <c r="C2426">
        <f>_xlfn.XLOOKUP(A2426,'[1]Global_Spot Prices'!$B:$B,'[1]Global_Spot Prices'!$E:$E)</f>
        <v>90.05</v>
      </c>
      <c r="D2426">
        <f>_xlfn.XLOOKUP(A2426,'[1]Global_Spot Prices'!$B:$B,'[1]Global_Spot Prices'!$D:$D)</f>
        <v>89.66</v>
      </c>
      <c r="E2426">
        <f>_xlfn.XLOOKUP(A2426,'[1]Global_Spot Prices'!$B:$B,'[1]Global_Spot Prices'!$H:$H)</f>
        <v>75.37</v>
      </c>
      <c r="F2426">
        <f>_xlfn.XLOOKUP(A2426,'[1]Global_Spot Prices'!$B:$B,'[1]Global_Spot Prices'!$I:$I)</f>
        <v>104</v>
      </c>
      <c r="G2426" cm="1">
        <f t="array" ref="G2426">_xlfn.XLOOKUP(TEXT(A2426, "mmm-yy"), TEXT([2]RUNS!$B$5:$B$208, "mmm-yy"), [2]RUNS!$D$5:$D$208, "Not Found")</f>
        <v>30146.126329393966</v>
      </c>
      <c r="H2426" cm="1">
        <f t="array" ref="H2426">SUMPRODUCT(
    --(TEXT('[3]Global Weekly Stock (EWSuez'!$B$4:$B$2000,"mmm-yy")=TEXT(A2426,"mmm-yy")),
    '[3]Global Weekly Stock (EWSuez'!$E$4:$E$2000)
/
SUMPRODUCT(
    --(TEXT('[3]Global Weekly Stock (EWSuez'!$B$4:$B$2000,"mmm-yy")=TEXT(A2426,"mmm-yy"))
)</f>
        <v>14917</v>
      </c>
      <c r="I2426">
        <f>_xlfn.XLOOKUP(A2426,[1]ForwardDeriv!$D:$D,[1]ForwardDeriv!$AJ:$AJ)</f>
        <v>1.6500000000000057</v>
      </c>
      <c r="J2426" cm="1">
        <f t="array" ref="J2426">_xlfn.XLOOKUP(TEXT(A2426, "mmm-yy"), TEXT([2]GASOLINE!$B$5:$B$208, "mmm-yy"), [2]GASOLINE!$IR$5:$IR$208, "Not Found")</f>
        <v>-576.48696109147033</v>
      </c>
      <c r="K2426" cm="1">
        <f t="array" ref="K2426">_xlfn.XLOOKUP(TEXT(A2426, "mmm-yy"), TEXT([2]GASOLINE!$B$5:$B$208, "mmm-yy"), [2]GASOLINE!$IK$5:$IK$208, "Not Found")</f>
        <v>241.98049460326041</v>
      </c>
      <c r="L2426">
        <f t="shared" si="37"/>
        <v>0</v>
      </c>
      <c r="M2426" cm="1">
        <f t="array" ref="M2426">_xlfn.XLOOKUP(TEXT(A2426, "mmm-yy"), TEXT([2]GASOLINE!$B$5:$B$208, "mmm-yy"), [2]GASOLINE!$C$5:$C$208, "Not Found")</f>
        <v>7995.8886490712512</v>
      </c>
      <c r="N2426" cm="1">
        <f t="array" ref="N2426">_xlfn.XLOOKUP(TEXT(A2426, "mmm-yy"), TEXT([2]RUNS!$B$5:$B$208, "mmm-yy"), [2]RUNS!$BM$5:$BM$208, "Not Found")</f>
        <v>0.81945542919957493</v>
      </c>
    </row>
    <row r="2427" spans="1:14" x14ac:dyDescent="0.25">
      <c r="A2427" s="1">
        <f>'[1]Global_Spot Prices'!$B3736</f>
        <v>45400</v>
      </c>
      <c r="B2427">
        <f>_xlfn.XLOOKUP(A2427,'[1]Global_Spot Prices'!$B:$B,'[1]Global_Spot Prices'!$BS:$BS)</f>
        <v>13.469999999999999</v>
      </c>
      <c r="C2427">
        <f>_xlfn.XLOOKUP(A2427,'[1]Global_Spot Prices'!$B:$B,'[1]Global_Spot Prices'!$E:$E)</f>
        <v>87.44</v>
      </c>
      <c r="D2427">
        <f>_xlfn.XLOOKUP(A2427,'[1]Global_Spot Prices'!$B:$B,'[1]Global_Spot Prices'!$D:$D)</f>
        <v>88.09</v>
      </c>
      <c r="E2427">
        <f>_xlfn.XLOOKUP(A2427,'[1]Global_Spot Prices'!$B:$B,'[1]Global_Spot Prices'!$H:$H)</f>
        <v>73.39</v>
      </c>
      <c r="F2427">
        <f>_xlfn.XLOOKUP(A2427,'[1]Global_Spot Prices'!$B:$B,'[1]Global_Spot Prices'!$I:$I)</f>
        <v>100.91</v>
      </c>
      <c r="G2427" cm="1">
        <f t="array" ref="G2427">_xlfn.XLOOKUP(TEXT(A2427, "mmm-yy"), TEXT([2]RUNS!$B$5:$B$208, "mmm-yy"), [2]RUNS!$D$5:$D$208, "Not Found")</f>
        <v>30146.126329393966</v>
      </c>
      <c r="H2427" cm="1">
        <f t="array" ref="H2427">SUMPRODUCT(
    --(TEXT('[3]Global Weekly Stock (EWSuez'!$B$4:$B$2000,"mmm-yy")=TEXT(A2427,"mmm-yy")),
    '[3]Global Weekly Stock (EWSuez'!$E$4:$E$2000)
/
SUMPRODUCT(
    --(TEXT('[3]Global Weekly Stock (EWSuez'!$B$4:$B$2000,"mmm-yy")=TEXT(A2427,"mmm-yy"))
)</f>
        <v>14917</v>
      </c>
      <c r="I2427">
        <f>_xlfn.XLOOKUP(A2427,[1]ForwardDeriv!$D:$D,[1]ForwardDeriv!$AJ:$AJ)</f>
        <v>1.710000000000008</v>
      </c>
      <c r="J2427" cm="1">
        <f t="array" ref="J2427">_xlfn.XLOOKUP(TEXT(A2427, "mmm-yy"), TEXT([2]GASOLINE!$B$5:$B$208, "mmm-yy"), [2]GASOLINE!$IR$5:$IR$208, "Not Found")</f>
        <v>-576.48696109147033</v>
      </c>
      <c r="K2427" cm="1">
        <f t="array" ref="K2427">_xlfn.XLOOKUP(TEXT(A2427, "mmm-yy"), TEXT([2]GASOLINE!$B$5:$B$208, "mmm-yy"), [2]GASOLINE!$IK$5:$IK$208, "Not Found")</f>
        <v>241.98049460326041</v>
      </c>
      <c r="L2427">
        <f t="shared" si="37"/>
        <v>0</v>
      </c>
      <c r="M2427" cm="1">
        <f t="array" ref="M2427">_xlfn.XLOOKUP(TEXT(A2427, "mmm-yy"), TEXT([2]GASOLINE!$B$5:$B$208, "mmm-yy"), [2]GASOLINE!$C$5:$C$208, "Not Found")</f>
        <v>7995.8886490712512</v>
      </c>
      <c r="N2427" cm="1">
        <f t="array" ref="N2427">_xlfn.XLOOKUP(TEXT(A2427, "mmm-yy"), TEXT([2]RUNS!$B$5:$B$208, "mmm-yy"), [2]RUNS!$BM$5:$BM$208, "Not Found")</f>
        <v>0.81945542919957493</v>
      </c>
    </row>
    <row r="2428" spans="1:14" x14ac:dyDescent="0.25">
      <c r="A2428" s="1">
        <f>'[1]Global_Spot Prices'!$B3737</f>
        <v>45401</v>
      </c>
      <c r="B2428">
        <f>_xlfn.XLOOKUP(A2428,'[1]Global_Spot Prices'!$B:$B,'[1]Global_Spot Prices'!$BS:$BS)</f>
        <v>13.310000000000002</v>
      </c>
      <c r="C2428">
        <f>_xlfn.XLOOKUP(A2428,'[1]Global_Spot Prices'!$B:$B,'[1]Global_Spot Prices'!$E:$E)</f>
        <v>87.69</v>
      </c>
      <c r="D2428">
        <f>_xlfn.XLOOKUP(A2428,'[1]Global_Spot Prices'!$B:$B,'[1]Global_Spot Prices'!$D:$D)</f>
        <v>88.02</v>
      </c>
      <c r="E2428">
        <f>_xlfn.XLOOKUP(A2428,'[1]Global_Spot Prices'!$B:$B,'[1]Global_Spot Prices'!$H:$H)</f>
        <v>73.8</v>
      </c>
      <c r="F2428">
        <f>_xlfn.XLOOKUP(A2428,'[1]Global_Spot Prices'!$B:$B,'[1]Global_Spot Prices'!$I:$I)</f>
        <v>101</v>
      </c>
      <c r="G2428" cm="1">
        <f t="array" ref="G2428">_xlfn.XLOOKUP(TEXT(A2428, "mmm-yy"), TEXT([2]RUNS!$B$5:$B$208, "mmm-yy"), [2]RUNS!$D$5:$D$208, "Not Found")</f>
        <v>30146.126329393966</v>
      </c>
      <c r="H2428" cm="1">
        <f t="array" ref="H2428">SUMPRODUCT(
    --(TEXT('[3]Global Weekly Stock (EWSuez'!$B$4:$B$2000,"mmm-yy")=TEXT(A2428,"mmm-yy")),
    '[3]Global Weekly Stock (EWSuez'!$E$4:$E$2000)
/
SUMPRODUCT(
    --(TEXT('[3]Global Weekly Stock (EWSuez'!$B$4:$B$2000,"mmm-yy")=TEXT(A2428,"mmm-yy"))
)</f>
        <v>14917</v>
      </c>
      <c r="I2428">
        <f>_xlfn.XLOOKUP(A2428,[1]ForwardDeriv!$D:$D,[1]ForwardDeriv!$AJ:$AJ)</f>
        <v>1.730000000000004</v>
      </c>
      <c r="J2428" cm="1">
        <f t="array" ref="J2428">_xlfn.XLOOKUP(TEXT(A2428, "mmm-yy"), TEXT([2]GASOLINE!$B$5:$B$208, "mmm-yy"), [2]GASOLINE!$IR$5:$IR$208, "Not Found")</f>
        <v>-576.48696109147033</v>
      </c>
      <c r="K2428" cm="1">
        <f t="array" ref="K2428">_xlfn.XLOOKUP(TEXT(A2428, "mmm-yy"), TEXT([2]GASOLINE!$B$5:$B$208, "mmm-yy"), [2]GASOLINE!$IK$5:$IK$208, "Not Found")</f>
        <v>241.98049460326041</v>
      </c>
      <c r="L2428">
        <f t="shared" si="37"/>
        <v>0</v>
      </c>
      <c r="M2428" cm="1">
        <f t="array" ref="M2428">_xlfn.XLOOKUP(TEXT(A2428, "mmm-yy"), TEXT([2]GASOLINE!$B$5:$B$208, "mmm-yy"), [2]GASOLINE!$C$5:$C$208, "Not Found")</f>
        <v>7995.8886490712512</v>
      </c>
      <c r="N2428" cm="1">
        <f t="array" ref="N2428">_xlfn.XLOOKUP(TEXT(A2428, "mmm-yy"), TEXT([2]RUNS!$B$5:$B$208, "mmm-yy"), [2]RUNS!$BM$5:$BM$208, "Not Found")</f>
        <v>0.81945542919957493</v>
      </c>
    </row>
    <row r="2429" spans="1:14" x14ac:dyDescent="0.25">
      <c r="A2429" s="1">
        <f>'[1]Global_Spot Prices'!$B3738</f>
        <v>45404</v>
      </c>
      <c r="B2429">
        <f>_xlfn.XLOOKUP(A2429,'[1]Global_Spot Prices'!$B:$B,'[1]Global_Spot Prices'!$BS:$BS)</f>
        <v>13.555000000000007</v>
      </c>
      <c r="C2429">
        <f>_xlfn.XLOOKUP(A2429,'[1]Global_Spot Prices'!$B:$B,'[1]Global_Spot Prices'!$E:$E)</f>
        <v>86.394999999999996</v>
      </c>
      <c r="D2429">
        <f>_xlfn.XLOOKUP(A2429,'[1]Global_Spot Prices'!$B:$B,'[1]Global_Spot Prices'!$D:$D)</f>
        <v>87.555000000000007</v>
      </c>
      <c r="E2429">
        <f>_xlfn.XLOOKUP(A2429,'[1]Global_Spot Prices'!$B:$B,'[1]Global_Spot Prices'!$H:$H)</f>
        <v>73.14</v>
      </c>
      <c r="F2429">
        <f>_xlfn.XLOOKUP(A2429,'[1]Global_Spot Prices'!$B:$B,'[1]Global_Spot Prices'!$I:$I)</f>
        <v>99.95</v>
      </c>
      <c r="G2429" cm="1">
        <f t="array" ref="G2429">_xlfn.XLOOKUP(TEXT(A2429, "mmm-yy"), TEXT([2]RUNS!$B$5:$B$208, "mmm-yy"), [2]RUNS!$D$5:$D$208, "Not Found")</f>
        <v>30146.126329393966</v>
      </c>
      <c r="H2429" cm="1">
        <f t="array" ref="H2429">SUMPRODUCT(
    --(TEXT('[3]Global Weekly Stock (EWSuez'!$B$4:$B$2000,"mmm-yy")=TEXT(A2429,"mmm-yy")),
    '[3]Global Weekly Stock (EWSuez'!$E$4:$E$2000)
/
SUMPRODUCT(
    --(TEXT('[3]Global Weekly Stock (EWSuez'!$B$4:$B$2000,"mmm-yy")=TEXT(A2429,"mmm-yy"))
)</f>
        <v>14917</v>
      </c>
      <c r="I2429">
        <f>_xlfn.XLOOKUP(A2429,[1]ForwardDeriv!$D:$D,[1]ForwardDeriv!$AJ:$AJ)</f>
        <v>1.7199999999999989</v>
      </c>
      <c r="J2429" cm="1">
        <f t="array" ref="J2429">_xlfn.XLOOKUP(TEXT(A2429, "mmm-yy"), TEXT([2]GASOLINE!$B$5:$B$208, "mmm-yy"), [2]GASOLINE!$IR$5:$IR$208, "Not Found")</f>
        <v>-576.48696109147033</v>
      </c>
      <c r="K2429" cm="1">
        <f t="array" ref="K2429">_xlfn.XLOOKUP(TEXT(A2429, "mmm-yy"), TEXT([2]GASOLINE!$B$5:$B$208, "mmm-yy"), [2]GASOLINE!$IK$5:$IK$208, "Not Found")</f>
        <v>241.98049460326041</v>
      </c>
      <c r="L2429">
        <f t="shared" si="37"/>
        <v>0</v>
      </c>
      <c r="M2429" cm="1">
        <f t="array" ref="M2429">_xlfn.XLOOKUP(TEXT(A2429, "mmm-yy"), TEXT([2]GASOLINE!$B$5:$B$208, "mmm-yy"), [2]GASOLINE!$C$5:$C$208, "Not Found")</f>
        <v>7995.8886490712512</v>
      </c>
      <c r="N2429" cm="1">
        <f t="array" ref="N2429">_xlfn.XLOOKUP(TEXT(A2429, "mmm-yy"), TEXT([2]RUNS!$B$5:$B$208, "mmm-yy"), [2]RUNS!$BM$5:$BM$208, "Not Found")</f>
        <v>0.81945542919957493</v>
      </c>
    </row>
    <row r="2430" spans="1:14" x14ac:dyDescent="0.25">
      <c r="A2430" s="1">
        <f>'[1]Global_Spot Prices'!$B3739</f>
        <v>45405</v>
      </c>
      <c r="B2430">
        <f>_xlfn.XLOOKUP(A2430,'[1]Global_Spot Prices'!$B:$B,'[1]Global_Spot Prices'!$BS:$BS)</f>
        <v>12.079999999999998</v>
      </c>
      <c r="C2430">
        <f>_xlfn.XLOOKUP(A2430,'[1]Global_Spot Prices'!$B:$B,'[1]Global_Spot Prices'!$E:$E)</f>
        <v>88.45</v>
      </c>
      <c r="D2430">
        <f>_xlfn.XLOOKUP(A2430,'[1]Global_Spot Prices'!$B:$B,'[1]Global_Spot Prices'!$D:$D)</f>
        <v>88.73</v>
      </c>
      <c r="E2430">
        <f>_xlfn.XLOOKUP(A2430,'[1]Global_Spot Prices'!$B:$B,'[1]Global_Spot Prices'!$H:$H)</f>
        <v>75.03</v>
      </c>
      <c r="F2430">
        <f>_xlfn.XLOOKUP(A2430,'[1]Global_Spot Prices'!$B:$B,'[1]Global_Spot Prices'!$I:$I)</f>
        <v>100.53</v>
      </c>
      <c r="G2430" cm="1">
        <f t="array" ref="G2430">_xlfn.XLOOKUP(TEXT(A2430, "mmm-yy"), TEXT([2]RUNS!$B$5:$B$208, "mmm-yy"), [2]RUNS!$D$5:$D$208, "Not Found")</f>
        <v>30146.126329393966</v>
      </c>
      <c r="H2430" cm="1">
        <f t="array" ref="H2430">SUMPRODUCT(
    --(TEXT('[3]Global Weekly Stock (EWSuez'!$B$4:$B$2000,"mmm-yy")=TEXT(A2430,"mmm-yy")),
    '[3]Global Weekly Stock (EWSuez'!$E$4:$E$2000)
/
SUMPRODUCT(
    --(TEXT('[3]Global Weekly Stock (EWSuez'!$B$4:$B$2000,"mmm-yy")=TEXT(A2430,"mmm-yy"))
)</f>
        <v>14917</v>
      </c>
      <c r="I2430">
        <f>_xlfn.XLOOKUP(A2430,[1]ForwardDeriv!$D:$D,[1]ForwardDeriv!$AJ:$AJ)</f>
        <v>1.6799999999999926</v>
      </c>
      <c r="J2430" cm="1">
        <f t="array" ref="J2430">_xlfn.XLOOKUP(TEXT(A2430, "mmm-yy"), TEXT([2]GASOLINE!$B$5:$B$208, "mmm-yy"), [2]GASOLINE!$IR$5:$IR$208, "Not Found")</f>
        <v>-576.48696109147033</v>
      </c>
      <c r="K2430" cm="1">
        <f t="array" ref="K2430">_xlfn.XLOOKUP(TEXT(A2430, "mmm-yy"), TEXT([2]GASOLINE!$B$5:$B$208, "mmm-yy"), [2]GASOLINE!$IK$5:$IK$208, "Not Found")</f>
        <v>241.98049460326041</v>
      </c>
      <c r="L2430">
        <f t="shared" si="37"/>
        <v>0</v>
      </c>
      <c r="M2430" cm="1">
        <f t="array" ref="M2430">_xlfn.XLOOKUP(TEXT(A2430, "mmm-yy"), TEXT([2]GASOLINE!$B$5:$B$208, "mmm-yy"), [2]GASOLINE!$C$5:$C$208, "Not Found")</f>
        <v>7995.8886490712512</v>
      </c>
      <c r="N2430" cm="1">
        <f t="array" ref="N2430">_xlfn.XLOOKUP(TEXT(A2430, "mmm-yy"), TEXT([2]RUNS!$B$5:$B$208, "mmm-yy"), [2]RUNS!$BM$5:$BM$208, "Not Found")</f>
        <v>0.81945542919957493</v>
      </c>
    </row>
    <row r="2431" spans="1:14" x14ac:dyDescent="0.25">
      <c r="A2431" s="1">
        <f>'[1]Global_Spot Prices'!$B3740</f>
        <v>45406</v>
      </c>
      <c r="B2431">
        <f>_xlfn.XLOOKUP(A2431,'[1]Global_Spot Prices'!$B:$B,'[1]Global_Spot Prices'!$BS:$BS)</f>
        <v>11.790000000000006</v>
      </c>
      <c r="C2431">
        <f>_xlfn.XLOOKUP(A2431,'[1]Global_Spot Prices'!$B:$B,'[1]Global_Spot Prices'!$E:$E)</f>
        <v>88.85</v>
      </c>
      <c r="D2431">
        <f>_xlfn.XLOOKUP(A2431,'[1]Global_Spot Prices'!$B:$B,'[1]Global_Spot Prices'!$D:$D)</f>
        <v>88.9</v>
      </c>
      <c r="E2431">
        <f>_xlfn.XLOOKUP(A2431,'[1]Global_Spot Prices'!$B:$B,'[1]Global_Spot Prices'!$H:$H)</f>
        <v>75.52</v>
      </c>
      <c r="F2431">
        <f>_xlfn.XLOOKUP(A2431,'[1]Global_Spot Prices'!$B:$B,'[1]Global_Spot Prices'!$I:$I)</f>
        <v>100.64</v>
      </c>
      <c r="G2431" cm="1">
        <f t="array" ref="G2431">_xlfn.XLOOKUP(TEXT(A2431, "mmm-yy"), TEXT([2]RUNS!$B$5:$B$208, "mmm-yy"), [2]RUNS!$D$5:$D$208, "Not Found")</f>
        <v>30146.126329393966</v>
      </c>
      <c r="H2431" cm="1">
        <f t="array" ref="H2431">SUMPRODUCT(
    --(TEXT('[3]Global Weekly Stock (EWSuez'!$B$4:$B$2000,"mmm-yy")=TEXT(A2431,"mmm-yy")),
    '[3]Global Weekly Stock (EWSuez'!$E$4:$E$2000)
/
SUMPRODUCT(
    --(TEXT('[3]Global Weekly Stock (EWSuez'!$B$4:$B$2000,"mmm-yy")=TEXT(A2431,"mmm-yy"))
)</f>
        <v>14917</v>
      </c>
      <c r="I2431">
        <f>_xlfn.XLOOKUP(A2431,[1]ForwardDeriv!$D:$D,[1]ForwardDeriv!$AJ:$AJ)</f>
        <v>1.6599999999999966</v>
      </c>
      <c r="J2431" cm="1">
        <f t="array" ref="J2431">_xlfn.XLOOKUP(TEXT(A2431, "mmm-yy"), TEXT([2]GASOLINE!$B$5:$B$208, "mmm-yy"), [2]GASOLINE!$IR$5:$IR$208, "Not Found")</f>
        <v>-576.48696109147033</v>
      </c>
      <c r="K2431" cm="1">
        <f t="array" ref="K2431">_xlfn.XLOOKUP(TEXT(A2431, "mmm-yy"), TEXT([2]GASOLINE!$B$5:$B$208, "mmm-yy"), [2]GASOLINE!$IK$5:$IK$208, "Not Found")</f>
        <v>241.98049460326041</v>
      </c>
      <c r="L2431">
        <f t="shared" si="37"/>
        <v>0</v>
      </c>
      <c r="M2431" cm="1">
        <f t="array" ref="M2431">_xlfn.XLOOKUP(TEXT(A2431, "mmm-yy"), TEXT([2]GASOLINE!$B$5:$B$208, "mmm-yy"), [2]GASOLINE!$C$5:$C$208, "Not Found")</f>
        <v>7995.8886490712512</v>
      </c>
      <c r="N2431" cm="1">
        <f t="array" ref="N2431">_xlfn.XLOOKUP(TEXT(A2431, "mmm-yy"), TEXT([2]RUNS!$B$5:$B$208, "mmm-yy"), [2]RUNS!$BM$5:$BM$208, "Not Found")</f>
        <v>0.81945542919957493</v>
      </c>
    </row>
    <row r="2432" spans="1:14" x14ac:dyDescent="0.25">
      <c r="A2432" s="1">
        <f>'[1]Global_Spot Prices'!$B3741</f>
        <v>45407</v>
      </c>
      <c r="B2432">
        <f>_xlfn.XLOOKUP(A2432,'[1]Global_Spot Prices'!$B:$B,'[1]Global_Spot Prices'!$BS:$BS)</f>
        <v>12.550000000000011</v>
      </c>
      <c r="C2432">
        <f>_xlfn.XLOOKUP(A2432,'[1]Global_Spot Prices'!$B:$B,'[1]Global_Spot Prices'!$E:$E)</f>
        <v>88.6</v>
      </c>
      <c r="D2432">
        <f>_xlfn.XLOOKUP(A2432,'[1]Global_Spot Prices'!$B:$B,'[1]Global_Spot Prices'!$D:$D)</f>
        <v>88.35</v>
      </c>
      <c r="E2432">
        <f>_xlfn.XLOOKUP(A2432,'[1]Global_Spot Prices'!$B:$B,'[1]Global_Spot Prices'!$H:$H)</f>
        <v>75.41</v>
      </c>
      <c r="F2432">
        <f>_xlfn.XLOOKUP(A2432,'[1]Global_Spot Prices'!$B:$B,'[1]Global_Spot Prices'!$I:$I)</f>
        <v>101.15</v>
      </c>
      <c r="G2432" cm="1">
        <f t="array" ref="G2432">_xlfn.XLOOKUP(TEXT(A2432, "mmm-yy"), TEXT([2]RUNS!$B$5:$B$208, "mmm-yy"), [2]RUNS!$D$5:$D$208, "Not Found")</f>
        <v>30146.126329393966</v>
      </c>
      <c r="H2432" cm="1">
        <f t="array" ref="H2432">SUMPRODUCT(
    --(TEXT('[3]Global Weekly Stock (EWSuez'!$B$4:$B$2000,"mmm-yy")=TEXT(A2432,"mmm-yy")),
    '[3]Global Weekly Stock (EWSuez'!$E$4:$E$2000)
/
SUMPRODUCT(
    --(TEXT('[3]Global Weekly Stock (EWSuez'!$B$4:$B$2000,"mmm-yy")=TEXT(A2432,"mmm-yy"))
)</f>
        <v>14917</v>
      </c>
      <c r="I2432">
        <f>_xlfn.XLOOKUP(A2432,[1]ForwardDeriv!$D:$D,[1]ForwardDeriv!$AJ:$AJ)</f>
        <v>1.6599999999999966</v>
      </c>
      <c r="J2432" cm="1">
        <f t="array" ref="J2432">_xlfn.XLOOKUP(TEXT(A2432, "mmm-yy"), TEXT([2]GASOLINE!$B$5:$B$208, "mmm-yy"), [2]GASOLINE!$IR$5:$IR$208, "Not Found")</f>
        <v>-576.48696109147033</v>
      </c>
      <c r="K2432" cm="1">
        <f t="array" ref="K2432">_xlfn.XLOOKUP(TEXT(A2432, "mmm-yy"), TEXT([2]GASOLINE!$B$5:$B$208, "mmm-yy"), [2]GASOLINE!$IK$5:$IK$208, "Not Found")</f>
        <v>241.98049460326041</v>
      </c>
      <c r="L2432">
        <f t="shared" si="37"/>
        <v>0</v>
      </c>
      <c r="M2432" cm="1">
        <f t="array" ref="M2432">_xlfn.XLOOKUP(TEXT(A2432, "mmm-yy"), TEXT([2]GASOLINE!$B$5:$B$208, "mmm-yy"), [2]GASOLINE!$C$5:$C$208, "Not Found")</f>
        <v>7995.8886490712512</v>
      </c>
      <c r="N2432" cm="1">
        <f t="array" ref="N2432">_xlfn.XLOOKUP(TEXT(A2432, "mmm-yy"), TEXT([2]RUNS!$B$5:$B$208, "mmm-yy"), [2]RUNS!$BM$5:$BM$208, "Not Found")</f>
        <v>0.81945542919957493</v>
      </c>
    </row>
    <row r="2433" spans="1:14" x14ac:dyDescent="0.25">
      <c r="A2433" s="1">
        <f>'[1]Global_Spot Prices'!$B3742</f>
        <v>45408</v>
      </c>
      <c r="B2433">
        <f>_xlfn.XLOOKUP(A2433,'[1]Global_Spot Prices'!$B:$B,'[1]Global_Spot Prices'!$BS:$BS)</f>
        <v>12.730000000000004</v>
      </c>
      <c r="C2433">
        <f>_xlfn.XLOOKUP(A2433,'[1]Global_Spot Prices'!$B:$B,'[1]Global_Spot Prices'!$E:$E)</f>
        <v>88.96</v>
      </c>
      <c r="D2433">
        <f>_xlfn.XLOOKUP(A2433,'[1]Global_Spot Prices'!$B:$B,'[1]Global_Spot Prices'!$D:$D)</f>
        <v>89.935000000000002</v>
      </c>
      <c r="E2433">
        <f>_xlfn.XLOOKUP(A2433,'[1]Global_Spot Prices'!$B:$B,'[1]Global_Spot Prices'!$H:$H)</f>
        <v>76</v>
      </c>
      <c r="F2433">
        <f>_xlfn.XLOOKUP(A2433,'[1]Global_Spot Prices'!$B:$B,'[1]Global_Spot Prices'!$I:$I)</f>
        <v>101.69</v>
      </c>
      <c r="G2433" cm="1">
        <f t="array" ref="G2433">_xlfn.XLOOKUP(TEXT(A2433, "mmm-yy"), TEXT([2]RUNS!$B$5:$B$208, "mmm-yy"), [2]RUNS!$D$5:$D$208, "Not Found")</f>
        <v>30146.126329393966</v>
      </c>
      <c r="H2433" cm="1">
        <f t="array" ref="H2433">SUMPRODUCT(
    --(TEXT('[3]Global Weekly Stock (EWSuez'!$B$4:$B$2000,"mmm-yy")=TEXT(A2433,"mmm-yy")),
    '[3]Global Weekly Stock (EWSuez'!$E$4:$E$2000)
/
SUMPRODUCT(
    --(TEXT('[3]Global Weekly Stock (EWSuez'!$B$4:$B$2000,"mmm-yy")=TEXT(A2433,"mmm-yy"))
)</f>
        <v>14917</v>
      </c>
      <c r="I2433">
        <f>_xlfn.XLOOKUP(A2433,[1]ForwardDeriv!$D:$D,[1]ForwardDeriv!$AJ:$AJ)</f>
        <v>1.7399999999999949</v>
      </c>
      <c r="J2433" cm="1">
        <f t="array" ref="J2433">_xlfn.XLOOKUP(TEXT(A2433, "mmm-yy"), TEXT([2]GASOLINE!$B$5:$B$208, "mmm-yy"), [2]GASOLINE!$IR$5:$IR$208, "Not Found")</f>
        <v>-576.48696109147033</v>
      </c>
      <c r="K2433" cm="1">
        <f t="array" ref="K2433">_xlfn.XLOOKUP(TEXT(A2433, "mmm-yy"), TEXT([2]GASOLINE!$B$5:$B$208, "mmm-yy"), [2]GASOLINE!$IK$5:$IK$208, "Not Found")</f>
        <v>241.98049460326041</v>
      </c>
      <c r="L2433">
        <f t="shared" si="37"/>
        <v>0</v>
      </c>
      <c r="M2433" cm="1">
        <f t="array" ref="M2433">_xlfn.XLOOKUP(TEXT(A2433, "mmm-yy"), TEXT([2]GASOLINE!$B$5:$B$208, "mmm-yy"), [2]GASOLINE!$C$5:$C$208, "Not Found")</f>
        <v>7995.8886490712512</v>
      </c>
      <c r="N2433" cm="1">
        <f t="array" ref="N2433">_xlfn.XLOOKUP(TEXT(A2433, "mmm-yy"), TEXT([2]RUNS!$B$5:$B$208, "mmm-yy"), [2]RUNS!$BM$5:$BM$208, "Not Found")</f>
        <v>0.81945542919957493</v>
      </c>
    </row>
    <row r="2434" spans="1:14" x14ac:dyDescent="0.25">
      <c r="A2434" s="1">
        <f>'[1]Global_Spot Prices'!$B3743</f>
        <v>45411</v>
      </c>
      <c r="B2434">
        <f>_xlfn.XLOOKUP(A2434,'[1]Global_Spot Prices'!$B:$B,'[1]Global_Spot Prices'!$BS:$BS)</f>
        <v>12.75</v>
      </c>
      <c r="C2434">
        <f>_xlfn.XLOOKUP(A2434,'[1]Global_Spot Prices'!$B:$B,'[1]Global_Spot Prices'!$E:$E)</f>
        <v>88.89</v>
      </c>
      <c r="D2434">
        <f>_xlfn.XLOOKUP(A2434,'[1]Global_Spot Prices'!$B:$B,'[1]Global_Spot Prices'!$D:$D)</f>
        <v>88.86</v>
      </c>
      <c r="E2434">
        <f>_xlfn.XLOOKUP(A2434,'[1]Global_Spot Prices'!$B:$B,'[1]Global_Spot Prices'!$H:$H)</f>
        <v>75.94</v>
      </c>
      <c r="F2434">
        <f>_xlfn.XLOOKUP(A2434,'[1]Global_Spot Prices'!$B:$B,'[1]Global_Spot Prices'!$I:$I)</f>
        <v>101.64</v>
      </c>
      <c r="G2434" cm="1">
        <f t="array" ref="G2434">_xlfn.XLOOKUP(TEXT(A2434, "mmm-yy"), TEXT([2]RUNS!$B$5:$B$208, "mmm-yy"), [2]RUNS!$D$5:$D$208, "Not Found")</f>
        <v>30146.126329393966</v>
      </c>
      <c r="H2434" cm="1">
        <f t="array" ref="H2434">SUMPRODUCT(
    --(TEXT('[3]Global Weekly Stock (EWSuez'!$B$4:$B$2000,"mmm-yy")=TEXT(A2434,"mmm-yy")),
    '[3]Global Weekly Stock (EWSuez'!$E$4:$E$2000)
/
SUMPRODUCT(
    --(TEXT('[3]Global Weekly Stock (EWSuez'!$B$4:$B$2000,"mmm-yy")=TEXT(A2434,"mmm-yy"))
)</f>
        <v>14917</v>
      </c>
      <c r="I2434">
        <f>_xlfn.XLOOKUP(A2434,[1]ForwardDeriv!$D:$D,[1]ForwardDeriv!$AJ:$AJ)</f>
        <v>1.6899999999999977</v>
      </c>
      <c r="J2434" cm="1">
        <f t="array" ref="J2434">_xlfn.XLOOKUP(TEXT(A2434, "mmm-yy"), TEXT([2]GASOLINE!$B$5:$B$208, "mmm-yy"), [2]GASOLINE!$IR$5:$IR$208, "Not Found")</f>
        <v>-576.48696109147033</v>
      </c>
      <c r="K2434" cm="1">
        <f t="array" ref="K2434">_xlfn.XLOOKUP(TEXT(A2434, "mmm-yy"), TEXT([2]GASOLINE!$B$5:$B$208, "mmm-yy"), [2]GASOLINE!$IK$5:$IK$208, "Not Found")</f>
        <v>241.98049460326041</v>
      </c>
      <c r="L2434">
        <f t="shared" si="37"/>
        <v>0</v>
      </c>
      <c r="M2434" cm="1">
        <f t="array" ref="M2434">_xlfn.XLOOKUP(TEXT(A2434, "mmm-yy"), TEXT([2]GASOLINE!$B$5:$B$208, "mmm-yy"), [2]GASOLINE!$C$5:$C$208, "Not Found")</f>
        <v>7995.8886490712512</v>
      </c>
      <c r="N2434" cm="1">
        <f t="array" ref="N2434">_xlfn.XLOOKUP(TEXT(A2434, "mmm-yy"), TEXT([2]RUNS!$B$5:$B$208, "mmm-yy"), [2]RUNS!$BM$5:$BM$208, "Not Found")</f>
        <v>0.81945542919957493</v>
      </c>
    </row>
    <row r="2435" spans="1:14" x14ac:dyDescent="0.25">
      <c r="A2435" s="1">
        <f>'[1]Global_Spot Prices'!$B3744</f>
        <v>45412</v>
      </c>
      <c r="B2435">
        <f>_xlfn.XLOOKUP(A2435,'[1]Global_Spot Prices'!$B:$B,'[1]Global_Spot Prices'!$BS:$BS)</f>
        <v>12.290000000000006</v>
      </c>
      <c r="C2435">
        <f>_xlfn.XLOOKUP(A2435,'[1]Global_Spot Prices'!$B:$B,'[1]Global_Spot Prices'!$E:$E)</f>
        <v>88.6</v>
      </c>
      <c r="D2435">
        <f>_xlfn.XLOOKUP(A2435,'[1]Global_Spot Prices'!$B:$B,'[1]Global_Spot Prices'!$D:$D)</f>
        <v>87.97</v>
      </c>
      <c r="E2435">
        <f>_xlfn.XLOOKUP(A2435,'[1]Global_Spot Prices'!$B:$B,'[1]Global_Spot Prices'!$H:$H)</f>
        <v>75.95</v>
      </c>
      <c r="F2435">
        <f>_xlfn.XLOOKUP(A2435,'[1]Global_Spot Prices'!$B:$B,'[1]Global_Spot Prices'!$I:$I)</f>
        <v>100.89</v>
      </c>
      <c r="G2435" cm="1">
        <f t="array" ref="G2435">_xlfn.XLOOKUP(TEXT(A2435, "mmm-yy"), TEXT([2]RUNS!$B$5:$B$208, "mmm-yy"), [2]RUNS!$D$5:$D$208, "Not Found")</f>
        <v>30146.126329393966</v>
      </c>
      <c r="H2435" cm="1">
        <f t="array" ref="H2435">SUMPRODUCT(
    --(TEXT('[3]Global Weekly Stock (EWSuez'!$B$4:$B$2000,"mmm-yy")=TEXT(A2435,"mmm-yy")),
    '[3]Global Weekly Stock (EWSuez'!$E$4:$E$2000)
/
SUMPRODUCT(
    --(TEXT('[3]Global Weekly Stock (EWSuez'!$B$4:$B$2000,"mmm-yy")=TEXT(A2435,"mmm-yy"))
)</f>
        <v>14917</v>
      </c>
      <c r="I2435">
        <f>_xlfn.XLOOKUP(A2435,[1]ForwardDeriv!$D:$D,[1]ForwardDeriv!$AJ:$AJ)</f>
        <v>1.5900000000000034</v>
      </c>
      <c r="J2435" cm="1">
        <f t="array" ref="J2435">_xlfn.XLOOKUP(TEXT(A2435, "mmm-yy"), TEXT([2]GASOLINE!$B$5:$B$208, "mmm-yy"), [2]GASOLINE!$IR$5:$IR$208, "Not Found")</f>
        <v>-576.48696109147033</v>
      </c>
      <c r="K2435" cm="1">
        <f t="array" ref="K2435">_xlfn.XLOOKUP(TEXT(A2435, "mmm-yy"), TEXT([2]GASOLINE!$B$5:$B$208, "mmm-yy"), [2]GASOLINE!$IK$5:$IK$208, "Not Found")</f>
        <v>241.98049460326041</v>
      </c>
      <c r="L2435">
        <f t="shared" ref="L2435:L2498" si="38">IF(OR(MONTH(A2435)=6, MONTH(A2435)=7, MONTH(A2435)=8, MONTH(A2435)=9), 1, 0)</f>
        <v>0</v>
      </c>
      <c r="M2435" cm="1">
        <f t="array" ref="M2435">_xlfn.XLOOKUP(TEXT(A2435, "mmm-yy"), TEXT([2]GASOLINE!$B$5:$B$208, "mmm-yy"), [2]GASOLINE!$C$5:$C$208, "Not Found")</f>
        <v>7995.8886490712512</v>
      </c>
      <c r="N2435" cm="1">
        <f t="array" ref="N2435">_xlfn.XLOOKUP(TEXT(A2435, "mmm-yy"), TEXT([2]RUNS!$B$5:$B$208, "mmm-yy"), [2]RUNS!$BM$5:$BM$208, "Not Found")</f>
        <v>0.81945542919957493</v>
      </c>
    </row>
    <row r="2436" spans="1:14" x14ac:dyDescent="0.25">
      <c r="A2436" s="1">
        <f>'[1]Global_Spot Prices'!$B3745</f>
        <v>45413</v>
      </c>
      <c r="B2436" t="e">
        <f>_xlfn.XLOOKUP(A2436,'[1]Global_Spot Prices'!$B:$B,'[1]Global_Spot Prices'!$BS:$BS)</f>
        <v>#N/A</v>
      </c>
      <c r="C2436" t="str">
        <f>_xlfn.XLOOKUP(A2436,'[1]Global_Spot Prices'!$B:$B,'[1]Global_Spot Prices'!$E:$E)</f>
        <v/>
      </c>
      <c r="D2436">
        <f>_xlfn.XLOOKUP(A2436,'[1]Global_Spot Prices'!$B:$B,'[1]Global_Spot Prices'!$D:$D)</f>
        <v>84.92</v>
      </c>
      <c r="E2436">
        <f>_xlfn.XLOOKUP(A2436,'[1]Global_Spot Prices'!$B:$B,'[1]Global_Spot Prices'!$H:$H)</f>
        <v>0</v>
      </c>
      <c r="F2436">
        <f>_xlfn.XLOOKUP(A2436,'[1]Global_Spot Prices'!$B:$B,'[1]Global_Spot Prices'!$I:$I)</f>
        <v>0</v>
      </c>
      <c r="G2436" cm="1">
        <f t="array" ref="G2436">_xlfn.XLOOKUP(TEXT(A2436, "mmm-yy"), TEXT([2]RUNS!$B$5:$B$208, "mmm-yy"), [2]RUNS!$D$5:$D$208, "Not Found")</f>
        <v>30249.784870476844</v>
      </c>
      <c r="H2436" cm="1">
        <f t="array" ref="H2436">SUMPRODUCT(
    --(TEXT('[3]Global Weekly Stock (EWSuez'!$B$4:$B$2000,"mmm-yy")=TEXT(A2436,"mmm-yy")),
    '[3]Global Weekly Stock (EWSuez'!$E$4:$E$2000)
/
SUMPRODUCT(
    --(TEXT('[3]Global Weekly Stock (EWSuez'!$B$4:$B$2000,"mmm-yy")=TEXT(A2436,"mmm-yy"))
)</f>
        <v>15162.2</v>
      </c>
      <c r="I2436">
        <f>_xlfn.XLOOKUP(A2436,[1]ForwardDeriv!$D:$D,[1]ForwardDeriv!$AJ:$AJ)</f>
        <v>1.5200000000000102</v>
      </c>
      <c r="J2436" cm="1">
        <f t="array" ref="J2436">_xlfn.XLOOKUP(TEXT(A2436, "mmm-yy"), TEXT([2]GASOLINE!$B$5:$B$208, "mmm-yy"), [2]GASOLINE!$IR$5:$IR$208, "Not Found")</f>
        <v>-274.64991092254081</v>
      </c>
      <c r="K2436" cm="1">
        <f t="array" ref="K2436">_xlfn.XLOOKUP(TEXT(A2436, "mmm-yy"), TEXT([2]GASOLINE!$B$5:$B$208, "mmm-yy"), [2]GASOLINE!$IK$5:$IK$208, "Not Found")</f>
        <v>268.06625460908549</v>
      </c>
      <c r="L2436">
        <f t="shared" si="38"/>
        <v>0</v>
      </c>
      <c r="M2436" cm="1">
        <f t="array" ref="M2436">_xlfn.XLOOKUP(TEXT(A2436, "mmm-yy"), TEXT([2]GASOLINE!$B$5:$B$208, "mmm-yy"), [2]GASOLINE!$C$5:$C$208, "Not Found")</f>
        <v>7579.5927599425113</v>
      </c>
      <c r="N2436" cm="1">
        <f t="array" ref="N2436">_xlfn.XLOOKUP(TEXT(A2436, "mmm-yy"), TEXT([2]RUNS!$B$5:$B$208, "mmm-yy"), [2]RUNS!$BM$5:$BM$208, "Not Found")</f>
        <v>0.82019969280867755</v>
      </c>
    </row>
    <row r="2437" spans="1:14" x14ac:dyDescent="0.25">
      <c r="A2437" s="1">
        <f>'[1]Global_Spot Prices'!$B3746</f>
        <v>45414</v>
      </c>
      <c r="B2437">
        <f ca="1">_xlfn.XLOOKUP(A2437,'[1]Global_Spot Prices'!$B:$B,'[1]Global_Spot Prices'!$BS:$BS)</f>
        <v>11.61</v>
      </c>
      <c r="C2437">
        <f>_xlfn.XLOOKUP(A2437,'[1]Global_Spot Prices'!$B:$B,'[1]Global_Spot Prices'!$E:$E)</f>
        <v>84.49</v>
      </c>
      <c r="D2437">
        <f>_xlfn.XLOOKUP(A2437,'[1]Global_Spot Prices'!$B:$B,'[1]Global_Spot Prices'!$D:$D)</f>
        <v>83.93</v>
      </c>
      <c r="E2437">
        <f>_xlfn.XLOOKUP(A2437,'[1]Global_Spot Prices'!$B:$B,'[1]Global_Spot Prices'!$H:$H)</f>
        <v>73.86</v>
      </c>
      <c r="F2437">
        <f>_xlfn.XLOOKUP(A2437,'[1]Global_Spot Prices'!$B:$B,'[1]Global_Spot Prices'!$I:$I)</f>
        <v>96.1</v>
      </c>
      <c r="G2437" cm="1">
        <f t="array" ref="G2437">_xlfn.XLOOKUP(TEXT(A2437, "mmm-yy"), TEXT([2]RUNS!$B$5:$B$208, "mmm-yy"), [2]RUNS!$D$5:$D$208, "Not Found")</f>
        <v>30249.784870476844</v>
      </c>
      <c r="H2437" cm="1">
        <f t="array" ref="H2437">SUMPRODUCT(
    --(TEXT('[3]Global Weekly Stock (EWSuez'!$B$4:$B$2000,"mmm-yy")=TEXT(A2437,"mmm-yy")),
    '[3]Global Weekly Stock (EWSuez'!$E$4:$E$2000)
/
SUMPRODUCT(
    --(TEXT('[3]Global Weekly Stock (EWSuez'!$B$4:$B$2000,"mmm-yy")=TEXT(A2437,"mmm-yy"))
)</f>
        <v>15162.2</v>
      </c>
      <c r="I2437">
        <f>_xlfn.XLOOKUP(A2437,[1]ForwardDeriv!$D:$D,[1]ForwardDeriv!$AJ:$AJ)</f>
        <v>1.5200000000000102</v>
      </c>
      <c r="J2437" cm="1">
        <f t="array" ref="J2437">_xlfn.XLOOKUP(TEXT(A2437, "mmm-yy"), TEXT([2]GASOLINE!$B$5:$B$208, "mmm-yy"), [2]GASOLINE!$IR$5:$IR$208, "Not Found")</f>
        <v>-274.64991092254081</v>
      </c>
      <c r="K2437" cm="1">
        <f t="array" ref="K2437">_xlfn.XLOOKUP(TEXT(A2437, "mmm-yy"), TEXT([2]GASOLINE!$B$5:$B$208, "mmm-yy"), [2]GASOLINE!$IK$5:$IK$208, "Not Found")</f>
        <v>268.06625460908549</v>
      </c>
      <c r="L2437">
        <f t="shared" si="38"/>
        <v>0</v>
      </c>
      <c r="M2437" cm="1">
        <f t="array" ref="M2437">_xlfn.XLOOKUP(TEXT(A2437, "mmm-yy"), TEXT([2]GASOLINE!$B$5:$B$208, "mmm-yy"), [2]GASOLINE!$C$5:$C$208, "Not Found")</f>
        <v>7579.5927599425113</v>
      </c>
      <c r="N2437" cm="1">
        <f t="array" ref="N2437">_xlfn.XLOOKUP(TEXT(A2437, "mmm-yy"), TEXT([2]RUNS!$B$5:$B$208, "mmm-yy"), [2]RUNS!$BM$5:$BM$208, "Not Found")</f>
        <v>0.82019969280867755</v>
      </c>
    </row>
    <row r="2438" spans="1:14" x14ac:dyDescent="0.25">
      <c r="A2438" s="1">
        <f>'[1]Global_Spot Prices'!$B3747</f>
        <v>45415</v>
      </c>
      <c r="B2438">
        <f>_xlfn.XLOOKUP(A2438,'[1]Global_Spot Prices'!$B:$B,'[1]Global_Spot Prices'!$BS:$BS)</f>
        <v>11.280000000000001</v>
      </c>
      <c r="C2438">
        <f>_xlfn.XLOOKUP(A2438,'[1]Global_Spot Prices'!$B:$B,'[1]Global_Spot Prices'!$E:$E)</f>
        <v>84.09</v>
      </c>
      <c r="D2438">
        <f>_xlfn.XLOOKUP(A2438,'[1]Global_Spot Prices'!$B:$B,'[1]Global_Spot Prices'!$D:$D)</f>
        <v>83.3</v>
      </c>
      <c r="E2438">
        <f>_xlfn.XLOOKUP(A2438,'[1]Global_Spot Prices'!$B:$B,'[1]Global_Spot Prices'!$H:$H)</f>
        <v>72.77</v>
      </c>
      <c r="F2438">
        <f>_xlfn.XLOOKUP(A2438,'[1]Global_Spot Prices'!$B:$B,'[1]Global_Spot Prices'!$I:$I)</f>
        <v>95.37</v>
      </c>
      <c r="G2438" cm="1">
        <f t="array" ref="G2438">_xlfn.XLOOKUP(TEXT(A2438, "mmm-yy"), TEXT([2]RUNS!$B$5:$B$208, "mmm-yy"), [2]RUNS!$D$5:$D$208, "Not Found")</f>
        <v>30249.784870476844</v>
      </c>
      <c r="H2438" cm="1">
        <f t="array" ref="H2438">SUMPRODUCT(
    --(TEXT('[3]Global Weekly Stock (EWSuez'!$B$4:$B$2000,"mmm-yy")=TEXT(A2438,"mmm-yy")),
    '[3]Global Weekly Stock (EWSuez'!$E$4:$E$2000)
/
SUMPRODUCT(
    --(TEXT('[3]Global Weekly Stock (EWSuez'!$B$4:$B$2000,"mmm-yy")=TEXT(A2438,"mmm-yy"))
)</f>
        <v>15162.2</v>
      </c>
      <c r="I2438">
        <f>_xlfn.XLOOKUP(A2438,[1]ForwardDeriv!$D:$D,[1]ForwardDeriv!$AJ:$AJ)</f>
        <v>1.3800000000000097</v>
      </c>
      <c r="J2438" cm="1">
        <f t="array" ref="J2438">_xlfn.XLOOKUP(TEXT(A2438, "mmm-yy"), TEXT([2]GASOLINE!$B$5:$B$208, "mmm-yy"), [2]GASOLINE!$IR$5:$IR$208, "Not Found")</f>
        <v>-274.64991092254081</v>
      </c>
      <c r="K2438" cm="1">
        <f t="array" ref="K2438">_xlfn.XLOOKUP(TEXT(A2438, "mmm-yy"), TEXT([2]GASOLINE!$B$5:$B$208, "mmm-yy"), [2]GASOLINE!$IK$5:$IK$208, "Not Found")</f>
        <v>268.06625460908549</v>
      </c>
      <c r="L2438">
        <f t="shared" si="38"/>
        <v>0</v>
      </c>
      <c r="M2438" cm="1">
        <f t="array" ref="M2438">_xlfn.XLOOKUP(TEXT(A2438, "mmm-yy"), TEXT([2]GASOLINE!$B$5:$B$208, "mmm-yy"), [2]GASOLINE!$C$5:$C$208, "Not Found")</f>
        <v>7579.5927599425113</v>
      </c>
      <c r="N2438" cm="1">
        <f t="array" ref="N2438">_xlfn.XLOOKUP(TEXT(A2438, "mmm-yy"), TEXT([2]RUNS!$B$5:$B$208, "mmm-yy"), [2]RUNS!$BM$5:$BM$208, "Not Found")</f>
        <v>0.82019969280867755</v>
      </c>
    </row>
    <row r="2439" spans="1:14" x14ac:dyDescent="0.25">
      <c r="A2439" s="1">
        <f>'[1]Global_Spot Prices'!$B3748</f>
        <v>45418</v>
      </c>
      <c r="B2439">
        <f>_xlfn.XLOOKUP(A2439,'[1]Global_Spot Prices'!$B:$B,'[1]Global_Spot Prices'!$BS:$BS)</f>
        <v>10.289999999999992</v>
      </c>
      <c r="C2439">
        <f>_xlfn.XLOOKUP(A2439,'[1]Global_Spot Prices'!$B:$B,'[1]Global_Spot Prices'!$E:$E)</f>
        <v>84.01</v>
      </c>
      <c r="D2439" t="str">
        <f>_xlfn.XLOOKUP(A2439,'[1]Global_Spot Prices'!$B:$B,'[1]Global_Spot Prices'!$D:$D)</f>
        <v/>
      </c>
      <c r="E2439">
        <f>_xlfn.XLOOKUP(A2439,'[1]Global_Spot Prices'!$B:$B,'[1]Global_Spot Prices'!$H:$H)</f>
        <v>72.400000000000006</v>
      </c>
      <c r="F2439">
        <f>_xlfn.XLOOKUP(A2439,'[1]Global_Spot Prices'!$B:$B,'[1]Global_Spot Prices'!$I:$I)</f>
        <v>94.3</v>
      </c>
      <c r="G2439" cm="1">
        <f t="array" ref="G2439">_xlfn.XLOOKUP(TEXT(A2439, "mmm-yy"), TEXT([2]RUNS!$B$5:$B$208, "mmm-yy"), [2]RUNS!$D$5:$D$208, "Not Found")</f>
        <v>30249.784870476844</v>
      </c>
      <c r="H2439" cm="1">
        <f t="array" ref="H2439">SUMPRODUCT(
    --(TEXT('[3]Global Weekly Stock (EWSuez'!$B$4:$B$2000,"mmm-yy")=TEXT(A2439,"mmm-yy")),
    '[3]Global Weekly Stock (EWSuez'!$E$4:$E$2000)
/
SUMPRODUCT(
    --(TEXT('[3]Global Weekly Stock (EWSuez'!$B$4:$B$2000,"mmm-yy")=TEXT(A2439,"mmm-yy"))
)</f>
        <v>15162.2</v>
      </c>
      <c r="I2439">
        <f>_xlfn.XLOOKUP(A2439,[1]ForwardDeriv!$D:$D,[1]ForwardDeriv!$AJ:$AJ)</f>
        <v>1</v>
      </c>
      <c r="J2439" cm="1">
        <f t="array" ref="J2439">_xlfn.XLOOKUP(TEXT(A2439, "mmm-yy"), TEXT([2]GASOLINE!$B$5:$B$208, "mmm-yy"), [2]GASOLINE!$IR$5:$IR$208, "Not Found")</f>
        <v>-274.64991092254081</v>
      </c>
      <c r="K2439" cm="1">
        <f t="array" ref="K2439">_xlfn.XLOOKUP(TEXT(A2439, "mmm-yy"), TEXT([2]GASOLINE!$B$5:$B$208, "mmm-yy"), [2]GASOLINE!$IK$5:$IK$208, "Not Found")</f>
        <v>268.06625460908549</v>
      </c>
      <c r="L2439">
        <f t="shared" si="38"/>
        <v>0</v>
      </c>
      <c r="M2439" cm="1">
        <f t="array" ref="M2439">_xlfn.XLOOKUP(TEXT(A2439, "mmm-yy"), TEXT([2]GASOLINE!$B$5:$B$208, "mmm-yy"), [2]GASOLINE!$C$5:$C$208, "Not Found")</f>
        <v>7579.5927599425113</v>
      </c>
      <c r="N2439" cm="1">
        <f t="array" ref="N2439">_xlfn.XLOOKUP(TEXT(A2439, "mmm-yy"), TEXT([2]RUNS!$B$5:$B$208, "mmm-yy"), [2]RUNS!$BM$5:$BM$208, "Not Found")</f>
        <v>0.82019969280867755</v>
      </c>
    </row>
    <row r="2440" spans="1:14" x14ac:dyDescent="0.25">
      <c r="A2440" s="1">
        <f>'[1]Global_Spot Prices'!$B3749</f>
        <v>45419</v>
      </c>
      <c r="B2440">
        <f>_xlfn.XLOOKUP(A2440,'[1]Global_Spot Prices'!$B:$B,'[1]Global_Spot Prices'!$BS:$BS)</f>
        <v>9.8400000000000034</v>
      </c>
      <c r="C2440">
        <f>_xlfn.XLOOKUP(A2440,'[1]Global_Spot Prices'!$B:$B,'[1]Global_Spot Prices'!$E:$E)</f>
        <v>84.14</v>
      </c>
      <c r="D2440">
        <f ca="1">_xlfn.XLOOKUP(A2440,'[1]Global_Spot Prices'!$B:$B,'[1]Global_Spot Prices'!$D:$D)</f>
        <v>82.11</v>
      </c>
      <c r="E2440">
        <f>_xlfn.XLOOKUP(A2440,'[1]Global_Spot Prices'!$B:$B,'[1]Global_Spot Prices'!$H:$H)</f>
        <v>72.05</v>
      </c>
      <c r="F2440">
        <f>_xlfn.XLOOKUP(A2440,'[1]Global_Spot Prices'!$B:$B,'[1]Global_Spot Prices'!$I:$I)</f>
        <v>93.98</v>
      </c>
      <c r="G2440" cm="1">
        <f t="array" ref="G2440">_xlfn.XLOOKUP(TEXT(A2440, "mmm-yy"), TEXT([2]RUNS!$B$5:$B$208, "mmm-yy"), [2]RUNS!$D$5:$D$208, "Not Found")</f>
        <v>30249.784870476844</v>
      </c>
      <c r="H2440" cm="1">
        <f t="array" ref="H2440">SUMPRODUCT(
    --(TEXT('[3]Global Weekly Stock (EWSuez'!$B$4:$B$2000,"mmm-yy")=TEXT(A2440,"mmm-yy")),
    '[3]Global Weekly Stock (EWSuez'!$E$4:$E$2000)
/
SUMPRODUCT(
    --(TEXT('[3]Global Weekly Stock (EWSuez'!$B$4:$B$2000,"mmm-yy")=TEXT(A2440,"mmm-yy"))
)</f>
        <v>15162.2</v>
      </c>
      <c r="I2440">
        <f>_xlfn.XLOOKUP(A2440,[1]ForwardDeriv!$D:$D,[1]ForwardDeriv!$AJ:$AJ)</f>
        <v>0.94000000000001194</v>
      </c>
      <c r="J2440" cm="1">
        <f t="array" ref="J2440">_xlfn.XLOOKUP(TEXT(A2440, "mmm-yy"), TEXT([2]GASOLINE!$B$5:$B$208, "mmm-yy"), [2]GASOLINE!$IR$5:$IR$208, "Not Found")</f>
        <v>-274.64991092254081</v>
      </c>
      <c r="K2440" cm="1">
        <f t="array" ref="K2440">_xlfn.XLOOKUP(TEXT(A2440, "mmm-yy"), TEXT([2]GASOLINE!$B$5:$B$208, "mmm-yy"), [2]GASOLINE!$IK$5:$IK$208, "Not Found")</f>
        <v>268.06625460908549</v>
      </c>
      <c r="L2440">
        <f t="shared" si="38"/>
        <v>0</v>
      </c>
      <c r="M2440" cm="1">
        <f t="array" ref="M2440">_xlfn.XLOOKUP(TEXT(A2440, "mmm-yy"), TEXT([2]GASOLINE!$B$5:$B$208, "mmm-yy"), [2]GASOLINE!$C$5:$C$208, "Not Found")</f>
        <v>7579.5927599425113</v>
      </c>
      <c r="N2440" cm="1">
        <f t="array" ref="N2440">_xlfn.XLOOKUP(TEXT(A2440, "mmm-yy"), TEXT([2]RUNS!$B$5:$B$208, "mmm-yy"), [2]RUNS!$BM$5:$BM$208, "Not Found")</f>
        <v>0.82019969280867755</v>
      </c>
    </row>
    <row r="2441" spans="1:14" x14ac:dyDescent="0.25">
      <c r="A2441" s="1">
        <f>'[1]Global_Spot Prices'!$B3750</f>
        <v>45420</v>
      </c>
      <c r="B2441">
        <f ca="1">_xlfn.XLOOKUP(A2441,'[1]Global_Spot Prices'!$B:$B,'[1]Global_Spot Prices'!$BS:$BS)</f>
        <v>7.8799999999999955</v>
      </c>
      <c r="C2441">
        <f>_xlfn.XLOOKUP(A2441,'[1]Global_Spot Prices'!$B:$B,'[1]Global_Spot Prices'!$E:$E)</f>
        <v>83</v>
      </c>
      <c r="D2441">
        <f>_xlfn.XLOOKUP(A2441,'[1]Global_Spot Prices'!$B:$B,'[1]Global_Spot Prices'!$D:$D)</f>
        <v>83.32</v>
      </c>
      <c r="E2441">
        <f>_xlfn.XLOOKUP(A2441,'[1]Global_Spot Prices'!$B:$B,'[1]Global_Spot Prices'!$H:$H)</f>
        <v>70.86</v>
      </c>
      <c r="F2441">
        <f>_xlfn.XLOOKUP(A2441,'[1]Global_Spot Prices'!$B:$B,'[1]Global_Spot Prices'!$I:$I)</f>
        <v>90.88</v>
      </c>
      <c r="G2441" cm="1">
        <f t="array" ref="G2441">_xlfn.XLOOKUP(TEXT(A2441, "mmm-yy"), TEXT([2]RUNS!$B$5:$B$208, "mmm-yy"), [2]RUNS!$D$5:$D$208, "Not Found")</f>
        <v>30249.784870476844</v>
      </c>
      <c r="H2441" cm="1">
        <f t="array" ref="H2441">SUMPRODUCT(
    --(TEXT('[3]Global Weekly Stock (EWSuez'!$B$4:$B$2000,"mmm-yy")=TEXT(A2441,"mmm-yy")),
    '[3]Global Weekly Stock (EWSuez'!$E$4:$E$2000)
/
SUMPRODUCT(
    --(TEXT('[3]Global Weekly Stock (EWSuez'!$B$4:$B$2000,"mmm-yy")=TEXT(A2441,"mmm-yy"))
)</f>
        <v>15162.2</v>
      </c>
      <c r="I2441">
        <f>_xlfn.XLOOKUP(A2441,[1]ForwardDeriv!$D:$D,[1]ForwardDeriv!$AJ:$AJ)</f>
        <v>0.66999999999998749</v>
      </c>
      <c r="J2441" cm="1">
        <f t="array" ref="J2441">_xlfn.XLOOKUP(TEXT(A2441, "mmm-yy"), TEXT([2]GASOLINE!$B$5:$B$208, "mmm-yy"), [2]GASOLINE!$IR$5:$IR$208, "Not Found")</f>
        <v>-274.64991092254081</v>
      </c>
      <c r="K2441" cm="1">
        <f t="array" ref="K2441">_xlfn.XLOOKUP(TEXT(A2441, "mmm-yy"), TEXT([2]GASOLINE!$B$5:$B$208, "mmm-yy"), [2]GASOLINE!$IK$5:$IK$208, "Not Found")</f>
        <v>268.06625460908549</v>
      </c>
      <c r="L2441">
        <f t="shared" si="38"/>
        <v>0</v>
      </c>
      <c r="M2441" cm="1">
        <f t="array" ref="M2441">_xlfn.XLOOKUP(TEXT(A2441, "mmm-yy"), TEXT([2]GASOLINE!$B$5:$B$208, "mmm-yy"), [2]GASOLINE!$C$5:$C$208, "Not Found")</f>
        <v>7579.5927599425113</v>
      </c>
      <c r="N2441" cm="1">
        <f t="array" ref="N2441">_xlfn.XLOOKUP(TEXT(A2441, "mmm-yy"), TEXT([2]RUNS!$B$5:$B$208, "mmm-yy"), [2]RUNS!$BM$5:$BM$208, "Not Found")</f>
        <v>0.82019969280867755</v>
      </c>
    </row>
    <row r="2442" spans="1:14" x14ac:dyDescent="0.25">
      <c r="A2442" s="1">
        <f>'[1]Global_Spot Prices'!$B3751</f>
        <v>45421</v>
      </c>
      <c r="B2442">
        <f>_xlfn.XLOOKUP(A2442,'[1]Global_Spot Prices'!$B:$B,'[1]Global_Spot Prices'!$BS:$BS)</f>
        <v>7.25</v>
      </c>
      <c r="C2442">
        <f>_xlfn.XLOOKUP(A2442,'[1]Global_Spot Prices'!$B:$B,'[1]Global_Spot Prices'!$E:$E)</f>
        <v>84.65</v>
      </c>
      <c r="D2442">
        <f>_xlfn.XLOOKUP(A2442,'[1]Global_Spot Prices'!$B:$B,'[1]Global_Spot Prices'!$D:$D)</f>
        <v>83.444999999999993</v>
      </c>
      <c r="E2442">
        <f>_xlfn.XLOOKUP(A2442,'[1]Global_Spot Prices'!$B:$B,'[1]Global_Spot Prices'!$H:$H)</f>
        <v>72</v>
      </c>
      <c r="F2442">
        <f>_xlfn.XLOOKUP(A2442,'[1]Global_Spot Prices'!$B:$B,'[1]Global_Spot Prices'!$I:$I)</f>
        <v>91.9</v>
      </c>
      <c r="G2442" cm="1">
        <f t="array" ref="G2442">_xlfn.XLOOKUP(TEXT(A2442, "mmm-yy"), TEXT([2]RUNS!$B$5:$B$208, "mmm-yy"), [2]RUNS!$D$5:$D$208, "Not Found")</f>
        <v>30249.784870476844</v>
      </c>
      <c r="H2442" cm="1">
        <f t="array" ref="H2442">SUMPRODUCT(
    --(TEXT('[3]Global Weekly Stock (EWSuez'!$B$4:$B$2000,"mmm-yy")=TEXT(A2442,"mmm-yy")),
    '[3]Global Weekly Stock (EWSuez'!$E$4:$E$2000)
/
SUMPRODUCT(
    --(TEXT('[3]Global Weekly Stock (EWSuez'!$B$4:$B$2000,"mmm-yy")=TEXT(A2442,"mmm-yy"))
)</f>
        <v>15162.2</v>
      </c>
      <c r="I2442">
        <f>_xlfn.XLOOKUP(A2442,[1]ForwardDeriv!$D:$D,[1]ForwardDeriv!$AJ:$AJ)</f>
        <v>0.51000000000000512</v>
      </c>
      <c r="J2442" cm="1">
        <f t="array" ref="J2442">_xlfn.XLOOKUP(TEXT(A2442, "mmm-yy"), TEXT([2]GASOLINE!$B$5:$B$208, "mmm-yy"), [2]GASOLINE!$IR$5:$IR$208, "Not Found")</f>
        <v>-274.64991092254081</v>
      </c>
      <c r="K2442" cm="1">
        <f t="array" ref="K2442">_xlfn.XLOOKUP(TEXT(A2442, "mmm-yy"), TEXT([2]GASOLINE!$B$5:$B$208, "mmm-yy"), [2]GASOLINE!$IK$5:$IK$208, "Not Found")</f>
        <v>268.06625460908549</v>
      </c>
      <c r="L2442">
        <f t="shared" si="38"/>
        <v>0</v>
      </c>
      <c r="M2442" cm="1">
        <f t="array" ref="M2442">_xlfn.XLOOKUP(TEXT(A2442, "mmm-yy"), TEXT([2]GASOLINE!$B$5:$B$208, "mmm-yy"), [2]GASOLINE!$C$5:$C$208, "Not Found")</f>
        <v>7579.5927599425113</v>
      </c>
      <c r="N2442" cm="1">
        <f t="array" ref="N2442">_xlfn.XLOOKUP(TEXT(A2442, "mmm-yy"), TEXT([2]RUNS!$B$5:$B$208, "mmm-yy"), [2]RUNS!$BM$5:$BM$208, "Not Found")</f>
        <v>0.82019969280867755</v>
      </c>
    </row>
    <row r="2443" spans="1:14" x14ac:dyDescent="0.25">
      <c r="A2443" s="1">
        <f>'[1]Global_Spot Prices'!$B3752</f>
        <v>45422</v>
      </c>
      <c r="B2443">
        <f>_xlfn.XLOOKUP(A2443,'[1]Global_Spot Prices'!$B:$B,'[1]Global_Spot Prices'!$BS:$BS)</f>
        <v>7.2399999999999949</v>
      </c>
      <c r="C2443">
        <f>_xlfn.XLOOKUP(A2443,'[1]Global_Spot Prices'!$B:$B,'[1]Global_Spot Prices'!$E:$E)</f>
        <v>84.83</v>
      </c>
      <c r="D2443">
        <f>_xlfn.XLOOKUP(A2443,'[1]Global_Spot Prices'!$B:$B,'[1]Global_Spot Prices'!$D:$D)</f>
        <v>83.075000000000003</v>
      </c>
      <c r="E2443">
        <f>_xlfn.XLOOKUP(A2443,'[1]Global_Spot Prices'!$B:$B,'[1]Global_Spot Prices'!$H:$H)</f>
        <v>71.790000000000006</v>
      </c>
      <c r="F2443">
        <f>_xlfn.XLOOKUP(A2443,'[1]Global_Spot Prices'!$B:$B,'[1]Global_Spot Prices'!$I:$I)</f>
        <v>92.07</v>
      </c>
      <c r="G2443" cm="1">
        <f t="array" ref="G2443">_xlfn.XLOOKUP(TEXT(A2443, "mmm-yy"), TEXT([2]RUNS!$B$5:$B$208, "mmm-yy"), [2]RUNS!$D$5:$D$208, "Not Found")</f>
        <v>30249.784870476844</v>
      </c>
      <c r="H2443" cm="1">
        <f t="array" ref="H2443">SUMPRODUCT(
    --(TEXT('[3]Global Weekly Stock (EWSuez'!$B$4:$B$2000,"mmm-yy")=TEXT(A2443,"mmm-yy")),
    '[3]Global Weekly Stock (EWSuez'!$E$4:$E$2000)
/
SUMPRODUCT(
    --(TEXT('[3]Global Weekly Stock (EWSuez'!$B$4:$B$2000,"mmm-yy")=TEXT(A2443,"mmm-yy"))
)</f>
        <v>15162.2</v>
      </c>
      <c r="I2443">
        <f>_xlfn.XLOOKUP(A2443,[1]ForwardDeriv!$D:$D,[1]ForwardDeriv!$AJ:$AJ)</f>
        <v>0.61999999999999034</v>
      </c>
      <c r="J2443" cm="1">
        <f t="array" ref="J2443">_xlfn.XLOOKUP(TEXT(A2443, "mmm-yy"), TEXT([2]GASOLINE!$B$5:$B$208, "mmm-yy"), [2]GASOLINE!$IR$5:$IR$208, "Not Found")</f>
        <v>-274.64991092254081</v>
      </c>
      <c r="K2443" cm="1">
        <f t="array" ref="K2443">_xlfn.XLOOKUP(TEXT(A2443, "mmm-yy"), TEXT([2]GASOLINE!$B$5:$B$208, "mmm-yy"), [2]GASOLINE!$IK$5:$IK$208, "Not Found")</f>
        <v>268.06625460908549</v>
      </c>
      <c r="L2443">
        <f t="shared" si="38"/>
        <v>0</v>
      </c>
      <c r="M2443" cm="1">
        <f t="array" ref="M2443">_xlfn.XLOOKUP(TEXT(A2443, "mmm-yy"), TEXT([2]GASOLINE!$B$5:$B$208, "mmm-yy"), [2]GASOLINE!$C$5:$C$208, "Not Found")</f>
        <v>7579.5927599425113</v>
      </c>
      <c r="N2443" cm="1">
        <f t="array" ref="N2443">_xlfn.XLOOKUP(TEXT(A2443, "mmm-yy"), TEXT([2]RUNS!$B$5:$B$208, "mmm-yy"), [2]RUNS!$BM$5:$BM$208, "Not Found")</f>
        <v>0.82019969280867755</v>
      </c>
    </row>
    <row r="2444" spans="1:14" x14ac:dyDescent="0.25">
      <c r="A2444" s="1">
        <f>'[1]Global_Spot Prices'!$B3753</f>
        <v>45425</v>
      </c>
      <c r="B2444">
        <f>_xlfn.XLOOKUP(A2444,'[1]Global_Spot Prices'!$B:$B,'[1]Global_Spot Prices'!$BS:$BS)</f>
        <v>7.5949999999999989</v>
      </c>
      <c r="C2444">
        <f>_xlfn.XLOOKUP(A2444,'[1]Global_Spot Prices'!$B:$B,'[1]Global_Spot Prices'!$E:$E)</f>
        <v>83.844999999999999</v>
      </c>
      <c r="D2444">
        <f>_xlfn.XLOOKUP(A2444,'[1]Global_Spot Prices'!$B:$B,'[1]Global_Spot Prices'!$D:$D)</f>
        <v>82.114999999999995</v>
      </c>
      <c r="E2444">
        <f>_xlfn.XLOOKUP(A2444,'[1]Global_Spot Prices'!$B:$B,'[1]Global_Spot Prices'!$H:$H)</f>
        <v>70.67</v>
      </c>
      <c r="F2444">
        <f>_xlfn.XLOOKUP(A2444,'[1]Global_Spot Prices'!$B:$B,'[1]Global_Spot Prices'!$I:$I)</f>
        <v>91.44</v>
      </c>
      <c r="G2444" cm="1">
        <f t="array" ref="G2444">_xlfn.XLOOKUP(TEXT(A2444, "mmm-yy"), TEXT([2]RUNS!$B$5:$B$208, "mmm-yy"), [2]RUNS!$D$5:$D$208, "Not Found")</f>
        <v>30249.784870476844</v>
      </c>
      <c r="H2444" cm="1">
        <f t="array" ref="H2444">SUMPRODUCT(
    --(TEXT('[3]Global Weekly Stock (EWSuez'!$B$4:$B$2000,"mmm-yy")=TEXT(A2444,"mmm-yy")),
    '[3]Global Weekly Stock (EWSuez'!$E$4:$E$2000)
/
SUMPRODUCT(
    --(TEXT('[3]Global Weekly Stock (EWSuez'!$B$4:$B$2000,"mmm-yy")=TEXT(A2444,"mmm-yy"))
)</f>
        <v>15162.2</v>
      </c>
      <c r="I2444">
        <f>_xlfn.XLOOKUP(A2444,[1]ForwardDeriv!$D:$D,[1]ForwardDeriv!$AJ:$AJ)</f>
        <v>0.70000000000000284</v>
      </c>
      <c r="J2444" cm="1">
        <f t="array" ref="J2444">_xlfn.XLOOKUP(TEXT(A2444, "mmm-yy"), TEXT([2]GASOLINE!$B$5:$B$208, "mmm-yy"), [2]GASOLINE!$IR$5:$IR$208, "Not Found")</f>
        <v>-274.64991092254081</v>
      </c>
      <c r="K2444" cm="1">
        <f t="array" ref="K2444">_xlfn.XLOOKUP(TEXT(A2444, "mmm-yy"), TEXT([2]GASOLINE!$B$5:$B$208, "mmm-yy"), [2]GASOLINE!$IK$5:$IK$208, "Not Found")</f>
        <v>268.06625460908549</v>
      </c>
      <c r="L2444">
        <f t="shared" si="38"/>
        <v>0</v>
      </c>
      <c r="M2444" cm="1">
        <f t="array" ref="M2444">_xlfn.XLOOKUP(TEXT(A2444, "mmm-yy"), TEXT([2]GASOLINE!$B$5:$B$208, "mmm-yy"), [2]GASOLINE!$C$5:$C$208, "Not Found")</f>
        <v>7579.5927599425113</v>
      </c>
      <c r="N2444" cm="1">
        <f t="array" ref="N2444">_xlfn.XLOOKUP(TEXT(A2444, "mmm-yy"), TEXT([2]RUNS!$B$5:$B$208, "mmm-yy"), [2]RUNS!$BM$5:$BM$208, "Not Found")</f>
        <v>0.82019969280867755</v>
      </c>
    </row>
    <row r="2445" spans="1:14" x14ac:dyDescent="0.25">
      <c r="A2445" s="1">
        <f>'[1]Global_Spot Prices'!$B3754</f>
        <v>45426</v>
      </c>
      <c r="B2445">
        <f>_xlfn.XLOOKUP(A2445,'[1]Global_Spot Prices'!$B:$B,'[1]Global_Spot Prices'!$BS:$BS)</f>
        <v>6.6400000000000006</v>
      </c>
      <c r="C2445">
        <f>_xlfn.XLOOKUP(A2445,'[1]Global_Spot Prices'!$B:$B,'[1]Global_Spot Prices'!$E:$E)</f>
        <v>83.89</v>
      </c>
      <c r="D2445">
        <f>_xlfn.XLOOKUP(A2445,'[1]Global_Spot Prices'!$B:$B,'[1]Global_Spot Prices'!$D:$D)</f>
        <v>80.56</v>
      </c>
      <c r="E2445">
        <f>_xlfn.XLOOKUP(A2445,'[1]Global_Spot Prices'!$B:$B,'[1]Global_Spot Prices'!$H:$H)</f>
        <v>70.31</v>
      </c>
      <c r="F2445">
        <f>_xlfn.XLOOKUP(A2445,'[1]Global_Spot Prices'!$B:$B,'[1]Global_Spot Prices'!$I:$I)</f>
        <v>90.53</v>
      </c>
      <c r="G2445" cm="1">
        <f t="array" ref="G2445">_xlfn.XLOOKUP(TEXT(A2445, "mmm-yy"), TEXT([2]RUNS!$B$5:$B$208, "mmm-yy"), [2]RUNS!$D$5:$D$208, "Not Found")</f>
        <v>30249.784870476844</v>
      </c>
      <c r="H2445" cm="1">
        <f t="array" ref="H2445">SUMPRODUCT(
    --(TEXT('[3]Global Weekly Stock (EWSuez'!$B$4:$B$2000,"mmm-yy")=TEXT(A2445,"mmm-yy")),
    '[3]Global Weekly Stock (EWSuez'!$E$4:$E$2000)
/
SUMPRODUCT(
    --(TEXT('[3]Global Weekly Stock (EWSuez'!$B$4:$B$2000,"mmm-yy")=TEXT(A2445,"mmm-yy"))
)</f>
        <v>15162.2</v>
      </c>
      <c r="I2445">
        <f>_xlfn.XLOOKUP(A2445,[1]ForwardDeriv!$D:$D,[1]ForwardDeriv!$AJ:$AJ)</f>
        <v>0.45999999999999375</v>
      </c>
      <c r="J2445" cm="1">
        <f t="array" ref="J2445">_xlfn.XLOOKUP(TEXT(A2445, "mmm-yy"), TEXT([2]GASOLINE!$B$5:$B$208, "mmm-yy"), [2]GASOLINE!$IR$5:$IR$208, "Not Found")</f>
        <v>-274.64991092254081</v>
      </c>
      <c r="K2445" cm="1">
        <f t="array" ref="K2445">_xlfn.XLOOKUP(TEXT(A2445, "mmm-yy"), TEXT([2]GASOLINE!$B$5:$B$208, "mmm-yy"), [2]GASOLINE!$IK$5:$IK$208, "Not Found")</f>
        <v>268.06625460908549</v>
      </c>
      <c r="L2445">
        <f t="shared" si="38"/>
        <v>0</v>
      </c>
      <c r="M2445" cm="1">
        <f t="array" ref="M2445">_xlfn.XLOOKUP(TEXT(A2445, "mmm-yy"), TEXT([2]GASOLINE!$B$5:$B$208, "mmm-yy"), [2]GASOLINE!$C$5:$C$208, "Not Found")</f>
        <v>7579.5927599425113</v>
      </c>
      <c r="N2445" cm="1">
        <f t="array" ref="N2445">_xlfn.XLOOKUP(TEXT(A2445, "mmm-yy"), TEXT([2]RUNS!$B$5:$B$208, "mmm-yy"), [2]RUNS!$BM$5:$BM$208, "Not Found")</f>
        <v>0.82019969280867755</v>
      </c>
    </row>
    <row r="2446" spans="1:14" x14ac:dyDescent="0.25">
      <c r="A2446" s="1">
        <f>'[1]Global_Spot Prices'!$B3755</f>
        <v>45427</v>
      </c>
      <c r="B2446">
        <f>_xlfn.XLOOKUP(A2446,'[1]Global_Spot Prices'!$B:$B,'[1]Global_Spot Prices'!$BS:$BS)</f>
        <v>6.5699999999999932</v>
      </c>
      <c r="C2446">
        <f>_xlfn.XLOOKUP(A2446,'[1]Global_Spot Prices'!$B:$B,'[1]Global_Spot Prices'!$E:$E)</f>
        <v>83.4</v>
      </c>
      <c r="D2446">
        <f>_xlfn.XLOOKUP(A2446,'[1]Global_Spot Prices'!$B:$B,'[1]Global_Spot Prices'!$D:$D)</f>
        <v>81.45</v>
      </c>
      <c r="E2446">
        <f>_xlfn.XLOOKUP(A2446,'[1]Global_Spot Prices'!$B:$B,'[1]Global_Spot Prices'!$H:$H)</f>
        <v>69.13</v>
      </c>
      <c r="F2446">
        <f>_xlfn.XLOOKUP(A2446,'[1]Global_Spot Prices'!$B:$B,'[1]Global_Spot Prices'!$I:$I)</f>
        <v>89.97</v>
      </c>
      <c r="G2446" cm="1">
        <f t="array" ref="G2446">_xlfn.XLOOKUP(TEXT(A2446, "mmm-yy"), TEXT([2]RUNS!$B$5:$B$208, "mmm-yy"), [2]RUNS!$D$5:$D$208, "Not Found")</f>
        <v>30249.784870476844</v>
      </c>
      <c r="H2446" cm="1">
        <f t="array" ref="H2446">SUMPRODUCT(
    --(TEXT('[3]Global Weekly Stock (EWSuez'!$B$4:$B$2000,"mmm-yy")=TEXT(A2446,"mmm-yy")),
    '[3]Global Weekly Stock (EWSuez'!$E$4:$E$2000)
/
SUMPRODUCT(
    --(TEXT('[3]Global Weekly Stock (EWSuez'!$B$4:$B$2000,"mmm-yy")=TEXT(A2446,"mmm-yy"))
)</f>
        <v>15162.2</v>
      </c>
      <c r="I2446">
        <f>_xlfn.XLOOKUP(A2446,[1]ForwardDeriv!$D:$D,[1]ForwardDeriv!$AJ:$AJ)</f>
        <v>0.31999999999999318</v>
      </c>
      <c r="J2446" cm="1">
        <f t="array" ref="J2446">_xlfn.XLOOKUP(TEXT(A2446, "mmm-yy"), TEXT([2]GASOLINE!$B$5:$B$208, "mmm-yy"), [2]GASOLINE!$IR$5:$IR$208, "Not Found")</f>
        <v>-274.64991092254081</v>
      </c>
      <c r="K2446" cm="1">
        <f t="array" ref="K2446">_xlfn.XLOOKUP(TEXT(A2446, "mmm-yy"), TEXT([2]GASOLINE!$B$5:$B$208, "mmm-yy"), [2]GASOLINE!$IK$5:$IK$208, "Not Found")</f>
        <v>268.06625460908549</v>
      </c>
      <c r="L2446">
        <f t="shared" si="38"/>
        <v>0</v>
      </c>
      <c r="M2446" cm="1">
        <f t="array" ref="M2446">_xlfn.XLOOKUP(TEXT(A2446, "mmm-yy"), TEXT([2]GASOLINE!$B$5:$B$208, "mmm-yy"), [2]GASOLINE!$C$5:$C$208, "Not Found")</f>
        <v>7579.5927599425113</v>
      </c>
      <c r="N2446" cm="1">
        <f t="array" ref="N2446">_xlfn.XLOOKUP(TEXT(A2446, "mmm-yy"), TEXT([2]RUNS!$B$5:$B$208, "mmm-yy"), [2]RUNS!$BM$5:$BM$208, "Not Found")</f>
        <v>0.82019969280867755</v>
      </c>
    </row>
    <row r="2447" spans="1:14" x14ac:dyDescent="0.25">
      <c r="A2447" s="1">
        <f>'[1]Global_Spot Prices'!$B3756</f>
        <v>45428</v>
      </c>
      <c r="B2447">
        <f>_xlfn.XLOOKUP(A2447,'[1]Global_Spot Prices'!$B:$B,'[1]Global_Spot Prices'!$BS:$BS)</f>
        <v>7.6700000000000017</v>
      </c>
      <c r="C2447">
        <f>_xlfn.XLOOKUP(A2447,'[1]Global_Spot Prices'!$B:$B,'[1]Global_Spot Prices'!$E:$E)</f>
        <v>83.75</v>
      </c>
      <c r="D2447">
        <f>_xlfn.XLOOKUP(A2447,'[1]Global_Spot Prices'!$B:$B,'[1]Global_Spot Prices'!$D:$D)</f>
        <v>81.825000000000003</v>
      </c>
      <c r="E2447">
        <f>_xlfn.XLOOKUP(A2447,'[1]Global_Spot Prices'!$B:$B,'[1]Global_Spot Prices'!$H:$H)</f>
        <v>70.41</v>
      </c>
      <c r="F2447">
        <f>_xlfn.XLOOKUP(A2447,'[1]Global_Spot Prices'!$B:$B,'[1]Global_Spot Prices'!$I:$I)</f>
        <v>91.42</v>
      </c>
      <c r="G2447" cm="1">
        <f t="array" ref="G2447">_xlfn.XLOOKUP(TEXT(A2447, "mmm-yy"), TEXT([2]RUNS!$B$5:$B$208, "mmm-yy"), [2]RUNS!$D$5:$D$208, "Not Found")</f>
        <v>30249.784870476844</v>
      </c>
      <c r="H2447" cm="1">
        <f t="array" ref="H2447">SUMPRODUCT(
    --(TEXT('[3]Global Weekly Stock (EWSuez'!$B$4:$B$2000,"mmm-yy")=TEXT(A2447,"mmm-yy")),
    '[3]Global Weekly Stock (EWSuez'!$E$4:$E$2000)
/
SUMPRODUCT(
    --(TEXT('[3]Global Weekly Stock (EWSuez'!$B$4:$B$2000,"mmm-yy")=TEXT(A2447,"mmm-yy"))
)</f>
        <v>15162.2</v>
      </c>
      <c r="I2447">
        <f>_xlfn.XLOOKUP(A2447,[1]ForwardDeriv!$D:$D,[1]ForwardDeriv!$AJ:$AJ)</f>
        <v>0.5</v>
      </c>
      <c r="J2447" cm="1">
        <f t="array" ref="J2447">_xlfn.XLOOKUP(TEXT(A2447, "mmm-yy"), TEXT([2]GASOLINE!$B$5:$B$208, "mmm-yy"), [2]GASOLINE!$IR$5:$IR$208, "Not Found")</f>
        <v>-274.64991092254081</v>
      </c>
      <c r="K2447" cm="1">
        <f t="array" ref="K2447">_xlfn.XLOOKUP(TEXT(A2447, "mmm-yy"), TEXT([2]GASOLINE!$B$5:$B$208, "mmm-yy"), [2]GASOLINE!$IK$5:$IK$208, "Not Found")</f>
        <v>268.06625460908549</v>
      </c>
      <c r="L2447">
        <f t="shared" si="38"/>
        <v>0</v>
      </c>
      <c r="M2447" cm="1">
        <f t="array" ref="M2447">_xlfn.XLOOKUP(TEXT(A2447, "mmm-yy"), TEXT([2]GASOLINE!$B$5:$B$208, "mmm-yy"), [2]GASOLINE!$C$5:$C$208, "Not Found")</f>
        <v>7579.5927599425113</v>
      </c>
      <c r="N2447" cm="1">
        <f t="array" ref="N2447">_xlfn.XLOOKUP(TEXT(A2447, "mmm-yy"), TEXT([2]RUNS!$B$5:$B$208, "mmm-yy"), [2]RUNS!$BM$5:$BM$208, "Not Found")</f>
        <v>0.82019969280867755</v>
      </c>
    </row>
    <row r="2448" spans="1:14" x14ac:dyDescent="0.25">
      <c r="A2448" s="1">
        <f>'[1]Global_Spot Prices'!$B3757</f>
        <v>45429</v>
      </c>
      <c r="B2448">
        <f>_xlfn.XLOOKUP(A2448,'[1]Global_Spot Prices'!$B:$B,'[1]Global_Spot Prices'!$BS:$BS)</f>
        <v>7.75</v>
      </c>
      <c r="C2448">
        <f>_xlfn.XLOOKUP(A2448,'[1]Global_Spot Prices'!$B:$B,'[1]Global_Spot Prices'!$E:$E)</f>
        <v>84.64</v>
      </c>
      <c r="D2448">
        <f ca="1">_xlfn.XLOOKUP(A2448,'[1]Global_Spot Prices'!$B:$B,'[1]Global_Spot Prices'!$D:$D)</f>
        <v>82.44</v>
      </c>
      <c r="E2448">
        <f>_xlfn.XLOOKUP(A2448,'[1]Global_Spot Prices'!$B:$B,'[1]Global_Spot Prices'!$H:$H)</f>
        <v>71.56</v>
      </c>
      <c r="F2448">
        <f>_xlfn.XLOOKUP(A2448,'[1]Global_Spot Prices'!$B:$B,'[1]Global_Spot Prices'!$I:$I)</f>
        <v>92.39</v>
      </c>
      <c r="G2448" cm="1">
        <f t="array" ref="G2448">_xlfn.XLOOKUP(TEXT(A2448, "mmm-yy"), TEXT([2]RUNS!$B$5:$B$208, "mmm-yy"), [2]RUNS!$D$5:$D$208, "Not Found")</f>
        <v>30249.784870476844</v>
      </c>
      <c r="H2448" cm="1">
        <f t="array" ref="H2448">SUMPRODUCT(
    --(TEXT('[3]Global Weekly Stock (EWSuez'!$B$4:$B$2000,"mmm-yy")=TEXT(A2448,"mmm-yy")),
    '[3]Global Weekly Stock (EWSuez'!$E$4:$E$2000)
/
SUMPRODUCT(
    --(TEXT('[3]Global Weekly Stock (EWSuez'!$B$4:$B$2000,"mmm-yy")=TEXT(A2448,"mmm-yy"))
)</f>
        <v>15162.2</v>
      </c>
      <c r="I2448">
        <f>_xlfn.XLOOKUP(A2448,[1]ForwardDeriv!$D:$D,[1]ForwardDeriv!$AJ:$AJ)</f>
        <v>0.50999999999999091</v>
      </c>
      <c r="J2448" cm="1">
        <f t="array" ref="J2448">_xlfn.XLOOKUP(TEXT(A2448, "mmm-yy"), TEXT([2]GASOLINE!$B$5:$B$208, "mmm-yy"), [2]GASOLINE!$IR$5:$IR$208, "Not Found")</f>
        <v>-274.64991092254081</v>
      </c>
      <c r="K2448" cm="1">
        <f t="array" ref="K2448">_xlfn.XLOOKUP(TEXT(A2448, "mmm-yy"), TEXT([2]GASOLINE!$B$5:$B$208, "mmm-yy"), [2]GASOLINE!$IK$5:$IK$208, "Not Found")</f>
        <v>268.06625460908549</v>
      </c>
      <c r="L2448">
        <f t="shared" si="38"/>
        <v>0</v>
      </c>
      <c r="M2448" cm="1">
        <f t="array" ref="M2448">_xlfn.XLOOKUP(TEXT(A2448, "mmm-yy"), TEXT([2]GASOLINE!$B$5:$B$208, "mmm-yy"), [2]GASOLINE!$C$5:$C$208, "Not Found")</f>
        <v>7579.5927599425113</v>
      </c>
      <c r="N2448" cm="1">
        <f t="array" ref="N2448">_xlfn.XLOOKUP(TEXT(A2448, "mmm-yy"), TEXT([2]RUNS!$B$5:$B$208, "mmm-yy"), [2]RUNS!$BM$5:$BM$208, "Not Found")</f>
        <v>0.82019969280867755</v>
      </c>
    </row>
    <row r="2449" spans="1:14" x14ac:dyDescent="0.25">
      <c r="A2449" s="1">
        <f>'[1]Global_Spot Prices'!$B3758</f>
        <v>45432</v>
      </c>
      <c r="B2449">
        <f>_xlfn.XLOOKUP(A2449,'[1]Global_Spot Prices'!$B:$B,'[1]Global_Spot Prices'!$BS:$BS)</f>
        <v>8.2999999999999972</v>
      </c>
      <c r="C2449">
        <f>_xlfn.XLOOKUP(A2449,'[1]Global_Spot Prices'!$B:$B,'[1]Global_Spot Prices'!$E:$E)</f>
        <v>85.16</v>
      </c>
      <c r="D2449">
        <f>_xlfn.XLOOKUP(A2449,'[1]Global_Spot Prices'!$B:$B,'[1]Global_Spot Prices'!$D:$D)</f>
        <v>82.33</v>
      </c>
      <c r="E2449">
        <f>_xlfn.XLOOKUP(A2449,'[1]Global_Spot Prices'!$B:$B,'[1]Global_Spot Prices'!$H:$H)</f>
        <v>72.400000000000006</v>
      </c>
      <c r="F2449">
        <f>_xlfn.XLOOKUP(A2449,'[1]Global_Spot Prices'!$B:$B,'[1]Global_Spot Prices'!$I:$I)</f>
        <v>93.46</v>
      </c>
      <c r="G2449" cm="1">
        <f t="array" ref="G2449">_xlfn.XLOOKUP(TEXT(A2449, "mmm-yy"), TEXT([2]RUNS!$B$5:$B$208, "mmm-yy"), [2]RUNS!$D$5:$D$208, "Not Found")</f>
        <v>30249.784870476844</v>
      </c>
      <c r="H2449" cm="1">
        <f t="array" ref="H2449">SUMPRODUCT(
    --(TEXT('[3]Global Weekly Stock (EWSuez'!$B$4:$B$2000,"mmm-yy")=TEXT(A2449,"mmm-yy")),
    '[3]Global Weekly Stock (EWSuez'!$E$4:$E$2000)
/
SUMPRODUCT(
    --(TEXT('[3]Global Weekly Stock (EWSuez'!$B$4:$B$2000,"mmm-yy")=TEXT(A2449,"mmm-yy"))
)</f>
        <v>15162.2</v>
      </c>
      <c r="I2449">
        <f>_xlfn.XLOOKUP(A2449,[1]ForwardDeriv!$D:$D,[1]ForwardDeriv!$AJ:$AJ)</f>
        <v>0.56000000000000227</v>
      </c>
      <c r="J2449" cm="1">
        <f t="array" ref="J2449">_xlfn.XLOOKUP(TEXT(A2449, "mmm-yy"), TEXT([2]GASOLINE!$B$5:$B$208, "mmm-yy"), [2]GASOLINE!$IR$5:$IR$208, "Not Found")</f>
        <v>-274.64991092254081</v>
      </c>
      <c r="K2449" cm="1">
        <f t="array" ref="K2449">_xlfn.XLOOKUP(TEXT(A2449, "mmm-yy"), TEXT([2]GASOLINE!$B$5:$B$208, "mmm-yy"), [2]GASOLINE!$IK$5:$IK$208, "Not Found")</f>
        <v>268.06625460908549</v>
      </c>
      <c r="L2449">
        <f t="shared" si="38"/>
        <v>0</v>
      </c>
      <c r="M2449" cm="1">
        <f t="array" ref="M2449">_xlfn.XLOOKUP(TEXT(A2449, "mmm-yy"), TEXT([2]GASOLINE!$B$5:$B$208, "mmm-yy"), [2]GASOLINE!$C$5:$C$208, "Not Found")</f>
        <v>7579.5927599425113</v>
      </c>
      <c r="N2449" cm="1">
        <f t="array" ref="N2449">_xlfn.XLOOKUP(TEXT(A2449, "mmm-yy"), TEXT([2]RUNS!$B$5:$B$208, "mmm-yy"), [2]RUNS!$BM$5:$BM$208, "Not Found")</f>
        <v>0.82019969280867755</v>
      </c>
    </row>
    <row r="2450" spans="1:14" x14ac:dyDescent="0.25">
      <c r="A2450" s="1">
        <f>'[1]Global_Spot Prices'!$B3759</f>
        <v>45433</v>
      </c>
      <c r="B2450">
        <f>_xlfn.XLOOKUP(A2450,'[1]Global_Spot Prices'!$B:$B,'[1]Global_Spot Prices'!$BS:$BS)</f>
        <v>7.230000000000004</v>
      </c>
      <c r="C2450">
        <f>_xlfn.XLOOKUP(A2450,'[1]Global_Spot Prices'!$B:$B,'[1]Global_Spot Prices'!$E:$E)</f>
        <v>84.19</v>
      </c>
      <c r="D2450">
        <f>_xlfn.XLOOKUP(A2450,'[1]Global_Spot Prices'!$B:$B,'[1]Global_Spot Prices'!$D:$D)</f>
        <v>81.5</v>
      </c>
      <c r="E2450">
        <f>_xlfn.XLOOKUP(A2450,'[1]Global_Spot Prices'!$B:$B,'[1]Global_Spot Prices'!$H:$H)</f>
        <v>71.31</v>
      </c>
      <c r="F2450">
        <f>_xlfn.XLOOKUP(A2450,'[1]Global_Spot Prices'!$B:$B,'[1]Global_Spot Prices'!$I:$I)</f>
        <v>91.42</v>
      </c>
      <c r="G2450" cm="1">
        <f t="array" ref="G2450">_xlfn.XLOOKUP(TEXT(A2450, "mmm-yy"), TEXT([2]RUNS!$B$5:$B$208, "mmm-yy"), [2]RUNS!$D$5:$D$208, "Not Found")</f>
        <v>30249.784870476844</v>
      </c>
      <c r="H2450" cm="1">
        <f t="array" ref="H2450">SUMPRODUCT(
    --(TEXT('[3]Global Weekly Stock (EWSuez'!$B$4:$B$2000,"mmm-yy")=TEXT(A2450,"mmm-yy")),
    '[3]Global Weekly Stock (EWSuez'!$E$4:$E$2000)
/
SUMPRODUCT(
    --(TEXT('[3]Global Weekly Stock (EWSuez'!$B$4:$B$2000,"mmm-yy")=TEXT(A2450,"mmm-yy"))
)</f>
        <v>15162.2</v>
      </c>
      <c r="I2450">
        <f>_xlfn.XLOOKUP(A2450,[1]ForwardDeriv!$D:$D,[1]ForwardDeriv!$AJ:$AJ)</f>
        <v>0.4100000000000108</v>
      </c>
      <c r="J2450" cm="1">
        <f t="array" ref="J2450">_xlfn.XLOOKUP(TEXT(A2450, "mmm-yy"), TEXT([2]GASOLINE!$B$5:$B$208, "mmm-yy"), [2]GASOLINE!$IR$5:$IR$208, "Not Found")</f>
        <v>-274.64991092254081</v>
      </c>
      <c r="K2450" cm="1">
        <f t="array" ref="K2450">_xlfn.XLOOKUP(TEXT(A2450, "mmm-yy"), TEXT([2]GASOLINE!$B$5:$B$208, "mmm-yy"), [2]GASOLINE!$IK$5:$IK$208, "Not Found")</f>
        <v>268.06625460908549</v>
      </c>
      <c r="L2450">
        <f t="shared" si="38"/>
        <v>0</v>
      </c>
      <c r="M2450" cm="1">
        <f t="array" ref="M2450">_xlfn.XLOOKUP(TEXT(A2450, "mmm-yy"), TEXT([2]GASOLINE!$B$5:$B$208, "mmm-yy"), [2]GASOLINE!$C$5:$C$208, "Not Found")</f>
        <v>7579.5927599425113</v>
      </c>
      <c r="N2450" cm="1">
        <f t="array" ref="N2450">_xlfn.XLOOKUP(TEXT(A2450, "mmm-yy"), TEXT([2]RUNS!$B$5:$B$208, "mmm-yy"), [2]RUNS!$BM$5:$BM$208, "Not Found")</f>
        <v>0.82019969280867755</v>
      </c>
    </row>
    <row r="2451" spans="1:14" x14ac:dyDescent="0.25">
      <c r="A2451" s="1">
        <f>'[1]Global_Spot Prices'!$B3760</f>
        <v>45434</v>
      </c>
      <c r="B2451" t="e">
        <f>_xlfn.XLOOKUP(A2451,'[1]Global_Spot Prices'!$B:$B,'[1]Global_Spot Prices'!$BS:$BS)</f>
        <v>#N/A</v>
      </c>
      <c r="C2451" t="str">
        <f>_xlfn.XLOOKUP(A2451,'[1]Global_Spot Prices'!$B:$B,'[1]Global_Spot Prices'!$E:$E)</f>
        <v/>
      </c>
      <c r="D2451">
        <f>_xlfn.XLOOKUP(A2451,'[1]Global_Spot Prices'!$B:$B,'[1]Global_Spot Prices'!$D:$D)</f>
        <v>80.724999999999994</v>
      </c>
      <c r="E2451">
        <f>_xlfn.XLOOKUP(A2451,'[1]Global_Spot Prices'!$B:$B,'[1]Global_Spot Prices'!$H:$H)</f>
        <v>0</v>
      </c>
      <c r="F2451">
        <f ca="1">_xlfn.XLOOKUP(A2451,'[1]Global_Spot Prices'!$B:$B,'[1]Global_Spot Prices'!$I:$I)</f>
        <v>0</v>
      </c>
      <c r="G2451" cm="1">
        <f t="array" ref="G2451">_xlfn.XLOOKUP(TEXT(A2451, "mmm-yy"), TEXT([2]RUNS!$B$5:$B$208, "mmm-yy"), [2]RUNS!$D$5:$D$208, "Not Found")</f>
        <v>30249.784870476844</v>
      </c>
      <c r="H2451" cm="1">
        <f t="array" ref="H2451">SUMPRODUCT(
    --(TEXT('[3]Global Weekly Stock (EWSuez'!$B$4:$B$2000,"mmm-yy")=TEXT(A2451,"mmm-yy")),
    '[3]Global Weekly Stock (EWSuez'!$E$4:$E$2000)
/
SUMPRODUCT(
    --(TEXT('[3]Global Weekly Stock (EWSuez'!$B$4:$B$2000,"mmm-yy")=TEXT(A2451,"mmm-yy"))
)</f>
        <v>15162.2</v>
      </c>
      <c r="I2451">
        <f>_xlfn.XLOOKUP(A2451,[1]ForwardDeriv!$D:$D,[1]ForwardDeriv!$AJ:$AJ)</f>
        <v>0.37999999999999545</v>
      </c>
      <c r="J2451" cm="1">
        <f t="array" ref="J2451">_xlfn.XLOOKUP(TEXT(A2451, "mmm-yy"), TEXT([2]GASOLINE!$B$5:$B$208, "mmm-yy"), [2]GASOLINE!$IR$5:$IR$208, "Not Found")</f>
        <v>-274.64991092254081</v>
      </c>
      <c r="K2451" cm="1">
        <f t="array" ref="K2451">_xlfn.XLOOKUP(TEXT(A2451, "mmm-yy"), TEXT([2]GASOLINE!$B$5:$B$208, "mmm-yy"), [2]GASOLINE!$IK$5:$IK$208, "Not Found")</f>
        <v>268.06625460908549</v>
      </c>
      <c r="L2451">
        <f t="shared" si="38"/>
        <v>0</v>
      </c>
      <c r="M2451" cm="1">
        <f t="array" ref="M2451">_xlfn.XLOOKUP(TEXT(A2451, "mmm-yy"), TEXT([2]GASOLINE!$B$5:$B$208, "mmm-yy"), [2]GASOLINE!$C$5:$C$208, "Not Found")</f>
        <v>7579.5927599425113</v>
      </c>
      <c r="N2451" cm="1">
        <f t="array" ref="N2451">_xlfn.XLOOKUP(TEXT(A2451, "mmm-yy"), TEXT([2]RUNS!$B$5:$B$208, "mmm-yy"), [2]RUNS!$BM$5:$BM$208, "Not Found")</f>
        <v>0.82019969280867755</v>
      </c>
    </row>
    <row r="2452" spans="1:14" x14ac:dyDescent="0.25">
      <c r="A2452" s="1">
        <f>'[1]Global_Spot Prices'!$B3761</f>
        <v>45435</v>
      </c>
      <c r="B2452">
        <f>_xlfn.XLOOKUP(A2452,'[1]Global_Spot Prices'!$B:$B,'[1]Global_Spot Prices'!$BS:$BS)</f>
        <v>6.980000000000004</v>
      </c>
      <c r="C2452">
        <f>_xlfn.XLOOKUP(A2452,'[1]Global_Spot Prices'!$B:$B,'[1]Global_Spot Prices'!$E:$E)</f>
        <v>83.24</v>
      </c>
      <c r="D2452">
        <f>_xlfn.XLOOKUP(A2452,'[1]Global_Spot Prices'!$B:$B,'[1]Global_Spot Prices'!$D:$D)</f>
        <v>79.72</v>
      </c>
      <c r="E2452">
        <f>_xlfn.XLOOKUP(A2452,'[1]Global_Spot Prices'!$B:$B,'[1]Global_Spot Prices'!$H:$H)</f>
        <v>70.8</v>
      </c>
      <c r="F2452">
        <f>_xlfn.XLOOKUP(A2452,'[1]Global_Spot Prices'!$B:$B,'[1]Global_Spot Prices'!$I:$I)</f>
        <v>90.22</v>
      </c>
      <c r="G2452" cm="1">
        <f t="array" ref="G2452">_xlfn.XLOOKUP(TEXT(A2452, "mmm-yy"), TEXT([2]RUNS!$B$5:$B$208, "mmm-yy"), [2]RUNS!$D$5:$D$208, "Not Found")</f>
        <v>30249.784870476844</v>
      </c>
      <c r="H2452" cm="1">
        <f t="array" ref="H2452">SUMPRODUCT(
    --(TEXT('[3]Global Weekly Stock (EWSuez'!$B$4:$B$2000,"mmm-yy")=TEXT(A2452,"mmm-yy")),
    '[3]Global Weekly Stock (EWSuez'!$E$4:$E$2000)
/
SUMPRODUCT(
    --(TEXT('[3]Global Weekly Stock (EWSuez'!$B$4:$B$2000,"mmm-yy")=TEXT(A2452,"mmm-yy"))
)</f>
        <v>15162.2</v>
      </c>
      <c r="I2452">
        <f>_xlfn.XLOOKUP(A2452,[1]ForwardDeriv!$D:$D,[1]ForwardDeriv!$AJ:$AJ)</f>
        <v>0.37999999999999545</v>
      </c>
      <c r="J2452" cm="1">
        <f t="array" ref="J2452">_xlfn.XLOOKUP(TEXT(A2452, "mmm-yy"), TEXT([2]GASOLINE!$B$5:$B$208, "mmm-yy"), [2]GASOLINE!$IR$5:$IR$208, "Not Found")</f>
        <v>-274.64991092254081</v>
      </c>
      <c r="K2452" cm="1">
        <f t="array" ref="K2452">_xlfn.XLOOKUP(TEXT(A2452, "mmm-yy"), TEXT([2]GASOLINE!$B$5:$B$208, "mmm-yy"), [2]GASOLINE!$IK$5:$IK$208, "Not Found")</f>
        <v>268.06625460908549</v>
      </c>
      <c r="L2452">
        <f t="shared" si="38"/>
        <v>0</v>
      </c>
      <c r="M2452" cm="1">
        <f t="array" ref="M2452">_xlfn.XLOOKUP(TEXT(A2452, "mmm-yy"), TEXT([2]GASOLINE!$B$5:$B$208, "mmm-yy"), [2]GASOLINE!$C$5:$C$208, "Not Found")</f>
        <v>7579.5927599425113</v>
      </c>
      <c r="N2452" cm="1">
        <f t="array" ref="N2452">_xlfn.XLOOKUP(TEXT(A2452, "mmm-yy"), TEXT([2]RUNS!$B$5:$B$208, "mmm-yy"), [2]RUNS!$BM$5:$BM$208, "Not Found")</f>
        <v>0.82019969280867755</v>
      </c>
    </row>
    <row r="2453" spans="1:14" x14ac:dyDescent="0.25">
      <c r="A2453" s="1">
        <f>'[1]Global_Spot Prices'!$B3762</f>
        <v>45436</v>
      </c>
      <c r="B2453">
        <f>_xlfn.XLOOKUP(A2453,'[1]Global_Spot Prices'!$B:$B,'[1]Global_Spot Prices'!$BS:$BS)</f>
        <v>6.3599999999999994</v>
      </c>
      <c r="C2453">
        <f>_xlfn.XLOOKUP(A2453,'[1]Global_Spot Prices'!$B:$B,'[1]Global_Spot Prices'!$E:$E)</f>
        <v>82.45</v>
      </c>
      <c r="D2453">
        <f>_xlfn.XLOOKUP(A2453,'[1]Global_Spot Prices'!$B:$B,'[1]Global_Spot Prices'!$D:$D)</f>
        <v>80.004999999999995</v>
      </c>
      <c r="E2453">
        <f>_xlfn.XLOOKUP(A2453,'[1]Global_Spot Prices'!$B:$B,'[1]Global_Spot Prices'!$H:$H)</f>
        <v>70.19</v>
      </c>
      <c r="F2453">
        <f>_xlfn.XLOOKUP(A2453,'[1]Global_Spot Prices'!$B:$B,'[1]Global_Spot Prices'!$I:$I)</f>
        <v>88.81</v>
      </c>
      <c r="G2453" cm="1">
        <f t="array" ref="G2453">_xlfn.XLOOKUP(TEXT(A2453, "mmm-yy"), TEXT([2]RUNS!$B$5:$B$208, "mmm-yy"), [2]RUNS!$D$5:$D$208, "Not Found")</f>
        <v>30249.784870476844</v>
      </c>
      <c r="H2453" cm="1">
        <f t="array" ref="H2453">SUMPRODUCT(
    --(TEXT('[3]Global Weekly Stock (EWSuez'!$B$4:$B$2000,"mmm-yy")=TEXT(A2453,"mmm-yy")),
    '[3]Global Weekly Stock (EWSuez'!$E$4:$E$2000)
/
SUMPRODUCT(
    --(TEXT('[3]Global Weekly Stock (EWSuez'!$B$4:$B$2000,"mmm-yy")=TEXT(A2453,"mmm-yy"))
)</f>
        <v>15162.2</v>
      </c>
      <c r="I2453">
        <f>_xlfn.XLOOKUP(A2453,[1]ForwardDeriv!$D:$D,[1]ForwardDeriv!$AJ:$AJ)</f>
        <v>0.30000000000001137</v>
      </c>
      <c r="J2453" cm="1">
        <f t="array" ref="J2453">_xlfn.XLOOKUP(TEXT(A2453, "mmm-yy"), TEXT([2]GASOLINE!$B$5:$B$208, "mmm-yy"), [2]GASOLINE!$IR$5:$IR$208, "Not Found")</f>
        <v>-274.64991092254081</v>
      </c>
      <c r="K2453" cm="1">
        <f t="array" ref="K2453">_xlfn.XLOOKUP(TEXT(A2453, "mmm-yy"), TEXT([2]GASOLINE!$B$5:$B$208, "mmm-yy"), [2]GASOLINE!$IK$5:$IK$208, "Not Found")</f>
        <v>268.06625460908549</v>
      </c>
      <c r="L2453">
        <f t="shared" si="38"/>
        <v>0</v>
      </c>
      <c r="M2453" cm="1">
        <f t="array" ref="M2453">_xlfn.XLOOKUP(TEXT(A2453, "mmm-yy"), TEXT([2]GASOLINE!$B$5:$B$208, "mmm-yy"), [2]GASOLINE!$C$5:$C$208, "Not Found")</f>
        <v>7579.5927599425113</v>
      </c>
      <c r="N2453" cm="1">
        <f t="array" ref="N2453">_xlfn.XLOOKUP(TEXT(A2453, "mmm-yy"), TEXT([2]RUNS!$B$5:$B$208, "mmm-yy"), [2]RUNS!$BM$5:$BM$208, "Not Found")</f>
        <v>0.82019969280867755</v>
      </c>
    </row>
    <row r="2454" spans="1:14" x14ac:dyDescent="0.25">
      <c r="A2454" s="1">
        <f>'[1]Global_Spot Prices'!$B3763</f>
        <v>45439</v>
      </c>
      <c r="B2454">
        <f>_xlfn.XLOOKUP(A2454,'[1]Global_Spot Prices'!$B:$B,'[1]Global_Spot Prices'!$BS:$BS)</f>
        <v>5.5</v>
      </c>
      <c r="C2454">
        <f>_xlfn.XLOOKUP(A2454,'[1]Global_Spot Prices'!$B:$B,'[1]Global_Spot Prices'!$E:$E)</f>
        <v>83.3</v>
      </c>
      <c r="D2454" t="str">
        <f>_xlfn.XLOOKUP(A2454,'[1]Global_Spot Prices'!$B:$B,'[1]Global_Spot Prices'!$D:$D)</f>
        <v/>
      </c>
      <c r="E2454">
        <f>_xlfn.XLOOKUP(A2454,'[1]Global_Spot Prices'!$B:$B,'[1]Global_Spot Prices'!$H:$H)</f>
        <v>71.180000000000007</v>
      </c>
      <c r="F2454">
        <f>_xlfn.XLOOKUP(A2454,'[1]Global_Spot Prices'!$B:$B,'[1]Global_Spot Prices'!$I:$I)</f>
        <v>88.8</v>
      </c>
      <c r="G2454" cm="1">
        <f t="array" ref="G2454">_xlfn.XLOOKUP(TEXT(A2454, "mmm-yy"), TEXT([2]RUNS!$B$5:$B$208, "mmm-yy"), [2]RUNS!$D$5:$D$208, "Not Found")</f>
        <v>30249.784870476844</v>
      </c>
      <c r="H2454" cm="1">
        <f t="array" ref="H2454">SUMPRODUCT(
    --(TEXT('[3]Global Weekly Stock (EWSuez'!$B$4:$B$2000,"mmm-yy")=TEXT(A2454,"mmm-yy")),
    '[3]Global Weekly Stock (EWSuez'!$E$4:$E$2000)
/
SUMPRODUCT(
    --(TEXT('[3]Global Weekly Stock (EWSuez'!$B$4:$B$2000,"mmm-yy")=TEXT(A2454,"mmm-yy"))
)</f>
        <v>15162.2</v>
      </c>
      <c r="I2454">
        <f>_xlfn.XLOOKUP(A2454,[1]ForwardDeriv!$D:$D,[1]ForwardDeriv!$AJ:$AJ)</f>
        <v>1.0000000000005116E-2</v>
      </c>
      <c r="J2454" cm="1">
        <f t="array" ref="J2454">_xlfn.XLOOKUP(TEXT(A2454, "mmm-yy"), TEXT([2]GASOLINE!$B$5:$B$208, "mmm-yy"), [2]GASOLINE!$IR$5:$IR$208, "Not Found")</f>
        <v>-274.64991092254081</v>
      </c>
      <c r="K2454" cm="1">
        <f t="array" ref="K2454">_xlfn.XLOOKUP(TEXT(A2454, "mmm-yy"), TEXT([2]GASOLINE!$B$5:$B$208, "mmm-yy"), [2]GASOLINE!$IK$5:$IK$208, "Not Found")</f>
        <v>268.06625460908549</v>
      </c>
      <c r="L2454">
        <f t="shared" si="38"/>
        <v>0</v>
      </c>
      <c r="M2454" cm="1">
        <f t="array" ref="M2454">_xlfn.XLOOKUP(TEXT(A2454, "mmm-yy"), TEXT([2]GASOLINE!$B$5:$B$208, "mmm-yy"), [2]GASOLINE!$C$5:$C$208, "Not Found")</f>
        <v>7579.5927599425113</v>
      </c>
      <c r="N2454" cm="1">
        <f t="array" ref="N2454">_xlfn.XLOOKUP(TEXT(A2454, "mmm-yy"), TEXT([2]RUNS!$B$5:$B$208, "mmm-yy"), [2]RUNS!$BM$5:$BM$208, "Not Found")</f>
        <v>0.82019969280867755</v>
      </c>
    </row>
    <row r="2455" spans="1:14" x14ac:dyDescent="0.25">
      <c r="A2455" s="1">
        <f>'[1]Global_Spot Prices'!$B3764</f>
        <v>45440</v>
      </c>
      <c r="B2455">
        <f>_xlfn.XLOOKUP(A2455,'[1]Global_Spot Prices'!$B:$B,'[1]Global_Spot Prices'!$BS:$BS)</f>
        <v>4.480000000000004</v>
      </c>
      <c r="C2455">
        <f>_xlfn.XLOOKUP(A2455,'[1]Global_Spot Prices'!$B:$B,'[1]Global_Spot Prices'!$E:$E)</f>
        <v>84.44</v>
      </c>
      <c r="D2455">
        <f>_xlfn.XLOOKUP(A2455,'[1]Global_Spot Prices'!$B:$B,'[1]Global_Spot Prices'!$D:$D)</f>
        <v>82.52</v>
      </c>
      <c r="E2455">
        <f>_xlfn.XLOOKUP(A2455,'[1]Global_Spot Prices'!$B:$B,'[1]Global_Spot Prices'!$H:$H)</f>
        <v>72.739999999999995</v>
      </c>
      <c r="F2455">
        <f>_xlfn.XLOOKUP(A2455,'[1]Global_Spot Prices'!$B:$B,'[1]Global_Spot Prices'!$I:$I)</f>
        <v>88.92</v>
      </c>
      <c r="G2455" cm="1">
        <f t="array" ref="G2455">_xlfn.XLOOKUP(TEXT(A2455, "mmm-yy"), TEXT([2]RUNS!$B$5:$B$208, "mmm-yy"), [2]RUNS!$D$5:$D$208, "Not Found")</f>
        <v>30249.784870476844</v>
      </c>
      <c r="H2455" cm="1">
        <f t="array" ref="H2455">SUMPRODUCT(
    --(TEXT('[3]Global Weekly Stock (EWSuez'!$B$4:$B$2000,"mmm-yy")=TEXT(A2455,"mmm-yy")),
    '[3]Global Weekly Stock (EWSuez'!$E$4:$E$2000)
/
SUMPRODUCT(
    --(TEXT('[3]Global Weekly Stock (EWSuez'!$B$4:$B$2000,"mmm-yy")=TEXT(A2455,"mmm-yy"))
)</f>
        <v>15162.2</v>
      </c>
      <c r="I2455">
        <f>_xlfn.XLOOKUP(A2455,[1]ForwardDeriv!$D:$D,[1]ForwardDeriv!$AJ:$AJ)</f>
        <v>-0.15000000000000568</v>
      </c>
      <c r="J2455" cm="1">
        <f t="array" ref="J2455">_xlfn.XLOOKUP(TEXT(A2455, "mmm-yy"), TEXT([2]GASOLINE!$B$5:$B$208, "mmm-yy"), [2]GASOLINE!$IR$5:$IR$208, "Not Found")</f>
        <v>-274.64991092254081</v>
      </c>
      <c r="K2455" cm="1">
        <f t="array" ref="K2455">_xlfn.XLOOKUP(TEXT(A2455, "mmm-yy"), TEXT([2]GASOLINE!$B$5:$B$208, "mmm-yy"), [2]GASOLINE!$IK$5:$IK$208, "Not Found")</f>
        <v>268.06625460908549</v>
      </c>
      <c r="L2455">
        <f t="shared" si="38"/>
        <v>0</v>
      </c>
      <c r="M2455" cm="1">
        <f t="array" ref="M2455">_xlfn.XLOOKUP(TEXT(A2455, "mmm-yy"), TEXT([2]GASOLINE!$B$5:$B$208, "mmm-yy"), [2]GASOLINE!$C$5:$C$208, "Not Found")</f>
        <v>7579.5927599425113</v>
      </c>
      <c r="N2455" cm="1">
        <f t="array" ref="N2455">_xlfn.XLOOKUP(TEXT(A2455, "mmm-yy"), TEXT([2]RUNS!$B$5:$B$208, "mmm-yy"), [2]RUNS!$BM$5:$BM$208, "Not Found")</f>
        <v>0.82019969280867755</v>
      </c>
    </row>
    <row r="2456" spans="1:14" x14ac:dyDescent="0.25">
      <c r="A2456" s="1">
        <f>'[1]Global_Spot Prices'!$B3765</f>
        <v>45441</v>
      </c>
      <c r="B2456">
        <f>_xlfn.XLOOKUP(A2456,'[1]Global_Spot Prices'!$B:$B,'[1]Global_Spot Prices'!$BS:$BS)</f>
        <v>3.7550000000000097</v>
      </c>
      <c r="C2456">
        <f>_xlfn.XLOOKUP(A2456,'[1]Global_Spot Prices'!$B:$B,'[1]Global_Spot Prices'!$E:$E)</f>
        <v>85.474999999999994</v>
      </c>
      <c r="D2456">
        <f>_xlfn.XLOOKUP(A2456,'[1]Global_Spot Prices'!$B:$B,'[1]Global_Spot Prices'!$D:$D)</f>
        <v>82.344999999999999</v>
      </c>
      <c r="E2456">
        <f>_xlfn.XLOOKUP(A2456,'[1]Global_Spot Prices'!$B:$B,'[1]Global_Spot Prices'!$H:$H)</f>
        <v>73</v>
      </c>
      <c r="F2456">
        <f ca="1">_xlfn.XLOOKUP(A2456,'[1]Global_Spot Prices'!$B:$B,'[1]Global_Spot Prices'!$I:$I)</f>
        <v>89.23</v>
      </c>
      <c r="G2456" cm="1">
        <f t="array" ref="G2456">_xlfn.XLOOKUP(TEXT(A2456, "mmm-yy"), TEXT([2]RUNS!$B$5:$B$208, "mmm-yy"), [2]RUNS!$D$5:$D$208, "Not Found")</f>
        <v>30249.784870476844</v>
      </c>
      <c r="H2456" cm="1">
        <f t="array" ref="H2456">SUMPRODUCT(
    --(TEXT('[3]Global Weekly Stock (EWSuez'!$B$4:$B$2000,"mmm-yy")=TEXT(A2456,"mmm-yy")),
    '[3]Global Weekly Stock (EWSuez'!$E$4:$E$2000)
/
SUMPRODUCT(
    --(TEXT('[3]Global Weekly Stock (EWSuez'!$B$4:$B$2000,"mmm-yy")=TEXT(A2456,"mmm-yy"))
)</f>
        <v>15162.2</v>
      </c>
      <c r="I2456">
        <f>_xlfn.XLOOKUP(A2456,[1]ForwardDeriv!$D:$D,[1]ForwardDeriv!$AJ:$AJ)</f>
        <v>-0.25</v>
      </c>
      <c r="J2456" cm="1">
        <f t="array" ref="J2456">_xlfn.XLOOKUP(TEXT(A2456, "mmm-yy"), TEXT([2]GASOLINE!$B$5:$B$208, "mmm-yy"), [2]GASOLINE!$IR$5:$IR$208, "Not Found")</f>
        <v>-274.64991092254081</v>
      </c>
      <c r="K2456" cm="1">
        <f t="array" ref="K2456">_xlfn.XLOOKUP(TEXT(A2456, "mmm-yy"), TEXT([2]GASOLINE!$B$5:$B$208, "mmm-yy"), [2]GASOLINE!$IK$5:$IK$208, "Not Found")</f>
        <v>268.06625460908549</v>
      </c>
      <c r="L2456">
        <f t="shared" si="38"/>
        <v>0</v>
      </c>
      <c r="M2456" cm="1">
        <f t="array" ref="M2456">_xlfn.XLOOKUP(TEXT(A2456, "mmm-yy"), TEXT([2]GASOLINE!$B$5:$B$208, "mmm-yy"), [2]GASOLINE!$C$5:$C$208, "Not Found")</f>
        <v>7579.5927599425113</v>
      </c>
      <c r="N2456" cm="1">
        <f t="array" ref="N2456">_xlfn.XLOOKUP(TEXT(A2456, "mmm-yy"), TEXT([2]RUNS!$B$5:$B$208, "mmm-yy"), [2]RUNS!$BM$5:$BM$208, "Not Found")</f>
        <v>0.82019969280867755</v>
      </c>
    </row>
    <row r="2457" spans="1:14" x14ac:dyDescent="0.25">
      <c r="A2457" s="1">
        <f>'[1]Global_Spot Prices'!$B3766</f>
        <v>45442</v>
      </c>
      <c r="B2457">
        <f>_xlfn.XLOOKUP(A2457,'[1]Global_Spot Prices'!$B:$B,'[1]Global_Spot Prices'!$BS:$BS)</f>
        <v>2.269999999999996</v>
      </c>
      <c r="C2457">
        <f>_xlfn.XLOOKUP(A2457,'[1]Global_Spot Prices'!$B:$B,'[1]Global_Spot Prices'!$E:$E)</f>
        <v>84.3</v>
      </c>
      <c r="D2457">
        <f>_xlfn.XLOOKUP(A2457,'[1]Global_Spot Prices'!$B:$B,'[1]Global_Spot Prices'!$D:$D)</f>
        <v>81.19</v>
      </c>
      <c r="E2457">
        <f>_xlfn.XLOOKUP(A2457,'[1]Global_Spot Prices'!$B:$B,'[1]Global_Spot Prices'!$H:$H)</f>
        <v>72.19</v>
      </c>
      <c r="F2457">
        <f>_xlfn.XLOOKUP(A2457,'[1]Global_Spot Prices'!$B:$B,'[1]Global_Spot Prices'!$I:$I)</f>
        <v>86.57</v>
      </c>
      <c r="G2457" cm="1">
        <f t="array" ref="G2457">_xlfn.XLOOKUP(TEXT(A2457, "mmm-yy"), TEXT([2]RUNS!$B$5:$B$208, "mmm-yy"), [2]RUNS!$D$5:$D$208, "Not Found")</f>
        <v>30249.784870476844</v>
      </c>
      <c r="H2457" cm="1">
        <f t="array" ref="H2457">SUMPRODUCT(
    --(TEXT('[3]Global Weekly Stock (EWSuez'!$B$4:$B$2000,"mmm-yy")=TEXT(A2457,"mmm-yy")),
    '[3]Global Weekly Stock (EWSuez'!$E$4:$E$2000)
/
SUMPRODUCT(
    --(TEXT('[3]Global Weekly Stock (EWSuez'!$B$4:$B$2000,"mmm-yy")=TEXT(A2457,"mmm-yy"))
)</f>
        <v>15162.2</v>
      </c>
      <c r="I2457">
        <f>_xlfn.XLOOKUP(A2457,[1]ForwardDeriv!$D:$D,[1]ForwardDeriv!$AJ:$AJ)</f>
        <v>-0.43999999999999773</v>
      </c>
      <c r="J2457" cm="1">
        <f t="array" ref="J2457">_xlfn.XLOOKUP(TEXT(A2457, "mmm-yy"), TEXT([2]GASOLINE!$B$5:$B$208, "mmm-yy"), [2]GASOLINE!$IR$5:$IR$208, "Not Found")</f>
        <v>-274.64991092254081</v>
      </c>
      <c r="K2457" cm="1">
        <f t="array" ref="K2457">_xlfn.XLOOKUP(TEXT(A2457, "mmm-yy"), TEXT([2]GASOLINE!$B$5:$B$208, "mmm-yy"), [2]GASOLINE!$IK$5:$IK$208, "Not Found")</f>
        <v>268.06625460908549</v>
      </c>
      <c r="L2457">
        <f t="shared" si="38"/>
        <v>0</v>
      </c>
      <c r="M2457" cm="1">
        <f t="array" ref="M2457">_xlfn.XLOOKUP(TEXT(A2457, "mmm-yy"), TEXT([2]GASOLINE!$B$5:$B$208, "mmm-yy"), [2]GASOLINE!$C$5:$C$208, "Not Found")</f>
        <v>7579.5927599425113</v>
      </c>
      <c r="N2457" cm="1">
        <f t="array" ref="N2457">_xlfn.XLOOKUP(TEXT(A2457, "mmm-yy"), TEXT([2]RUNS!$B$5:$B$208, "mmm-yy"), [2]RUNS!$BM$5:$BM$208, "Not Found")</f>
        <v>0.82019969280867755</v>
      </c>
    </row>
    <row r="2458" spans="1:14" x14ac:dyDescent="0.25">
      <c r="A2458" s="1">
        <f>'[1]Global_Spot Prices'!$B3767</f>
        <v>45443</v>
      </c>
      <c r="B2458">
        <f>_xlfn.XLOOKUP(A2458,'[1]Global_Spot Prices'!$B:$B,'[1]Global_Spot Prices'!$BS:$BS)</f>
        <v>2.5099999999999909</v>
      </c>
      <c r="C2458">
        <f>_xlfn.XLOOKUP(A2458,'[1]Global_Spot Prices'!$B:$B,'[1]Global_Spot Prices'!$E:$E)</f>
        <v>83.45</v>
      </c>
      <c r="D2458">
        <f ca="1">_xlfn.XLOOKUP(A2458,'[1]Global_Spot Prices'!$B:$B,'[1]Global_Spot Prices'!$D:$D)</f>
        <v>80.180000000000007</v>
      </c>
      <c r="E2458">
        <f>_xlfn.XLOOKUP(A2458,'[1]Global_Spot Prices'!$B:$B,'[1]Global_Spot Prices'!$H:$H)</f>
        <v>71.22</v>
      </c>
      <c r="F2458">
        <f>_xlfn.XLOOKUP(A2458,'[1]Global_Spot Prices'!$B:$B,'[1]Global_Spot Prices'!$I:$I)</f>
        <v>85.96</v>
      </c>
      <c r="G2458" cm="1">
        <f t="array" ref="G2458">_xlfn.XLOOKUP(TEXT(A2458, "mmm-yy"), TEXT([2]RUNS!$B$5:$B$208, "mmm-yy"), [2]RUNS!$D$5:$D$208, "Not Found")</f>
        <v>30249.784870476844</v>
      </c>
      <c r="H2458" cm="1">
        <f t="array" ref="H2458">SUMPRODUCT(
    --(TEXT('[3]Global Weekly Stock (EWSuez'!$B$4:$B$2000,"mmm-yy")=TEXT(A2458,"mmm-yy")),
    '[3]Global Weekly Stock (EWSuez'!$E$4:$E$2000)
/
SUMPRODUCT(
    --(TEXT('[3]Global Weekly Stock (EWSuez'!$B$4:$B$2000,"mmm-yy")=TEXT(A2458,"mmm-yy"))
)</f>
        <v>15162.2</v>
      </c>
      <c r="I2458">
        <f>_xlfn.XLOOKUP(A2458,[1]ForwardDeriv!$D:$D,[1]ForwardDeriv!$AJ:$AJ)</f>
        <v>-0.39999999999999147</v>
      </c>
      <c r="J2458" cm="1">
        <f t="array" ref="J2458">_xlfn.XLOOKUP(TEXT(A2458, "mmm-yy"), TEXT([2]GASOLINE!$B$5:$B$208, "mmm-yy"), [2]GASOLINE!$IR$5:$IR$208, "Not Found")</f>
        <v>-274.64991092254081</v>
      </c>
      <c r="K2458" cm="1">
        <f t="array" ref="K2458">_xlfn.XLOOKUP(TEXT(A2458, "mmm-yy"), TEXT([2]GASOLINE!$B$5:$B$208, "mmm-yy"), [2]GASOLINE!$IK$5:$IK$208, "Not Found")</f>
        <v>268.06625460908549</v>
      </c>
      <c r="L2458">
        <f t="shared" si="38"/>
        <v>0</v>
      </c>
      <c r="M2458" cm="1">
        <f t="array" ref="M2458">_xlfn.XLOOKUP(TEXT(A2458, "mmm-yy"), TEXT([2]GASOLINE!$B$5:$B$208, "mmm-yy"), [2]GASOLINE!$C$5:$C$208, "Not Found")</f>
        <v>7579.5927599425113</v>
      </c>
      <c r="N2458" cm="1">
        <f t="array" ref="N2458">_xlfn.XLOOKUP(TEXT(A2458, "mmm-yy"), TEXT([2]RUNS!$B$5:$B$208, "mmm-yy"), [2]RUNS!$BM$5:$BM$208, "Not Found")</f>
        <v>0.82019969280867755</v>
      </c>
    </row>
    <row r="2459" spans="1:14" x14ac:dyDescent="0.25">
      <c r="A2459" s="1">
        <f>'[1]Global_Spot Prices'!$B3768</f>
        <v>45446</v>
      </c>
      <c r="B2459">
        <f>_xlfn.XLOOKUP(A2459,'[1]Global_Spot Prices'!$B:$B,'[1]Global_Spot Prices'!$BS:$BS)</f>
        <v>4.5350000000000108</v>
      </c>
      <c r="C2459">
        <f>_xlfn.XLOOKUP(A2459,'[1]Global_Spot Prices'!$B:$B,'[1]Global_Spot Prices'!$E:$E)</f>
        <v>81.894999999999996</v>
      </c>
      <c r="D2459">
        <f>_xlfn.XLOOKUP(A2459,'[1]Global_Spot Prices'!$B:$B,'[1]Global_Spot Prices'!$D:$D)</f>
        <v>76.77</v>
      </c>
      <c r="E2459">
        <f>_xlfn.XLOOKUP(A2459,'[1]Global_Spot Prices'!$B:$B,'[1]Global_Spot Prices'!$H:$H)</f>
        <v>70.849999999999994</v>
      </c>
      <c r="F2459">
        <f>_xlfn.XLOOKUP(A2459,'[1]Global_Spot Prices'!$B:$B,'[1]Global_Spot Prices'!$I:$I)</f>
        <v>86.43</v>
      </c>
      <c r="G2459" cm="1">
        <f t="array" ref="G2459">_xlfn.XLOOKUP(TEXT(A2459, "mmm-yy"), TEXT([2]RUNS!$B$5:$B$208, "mmm-yy"), [2]RUNS!$D$5:$D$208, "Not Found")</f>
        <v>29951.239089222541</v>
      </c>
      <c r="H2459" cm="1">
        <f t="array" ref="H2459">SUMPRODUCT(
    --(TEXT('[3]Global Weekly Stock (EWSuez'!$B$4:$B$2000,"mmm-yy")=TEXT(A2459,"mmm-yy")),
    '[3]Global Weekly Stock (EWSuez'!$E$4:$E$2000)
/
SUMPRODUCT(
    --(TEXT('[3]Global Weekly Stock (EWSuez'!$B$4:$B$2000,"mmm-yy")=TEXT(A2459,"mmm-yy"))
)</f>
        <v>14999.75</v>
      </c>
      <c r="I2459">
        <f>_xlfn.XLOOKUP(A2459,[1]ForwardDeriv!$D:$D,[1]ForwardDeriv!$AJ:$AJ)</f>
        <v>0.12999999999999545</v>
      </c>
      <c r="J2459" cm="1">
        <f t="array" ref="J2459">_xlfn.XLOOKUP(TEXT(A2459, "mmm-yy"), TEXT([2]GASOLINE!$B$5:$B$208, "mmm-yy"), [2]GASOLINE!$IR$5:$IR$208, "Not Found")</f>
        <v>-477.7380565083368</v>
      </c>
      <c r="K2459" cm="1">
        <f t="array" ref="K2459">_xlfn.XLOOKUP(TEXT(A2459, "mmm-yy"), TEXT([2]GASOLINE!$B$5:$B$208, "mmm-yy"), [2]GASOLINE!$IK$5:$IK$208, "Not Found")</f>
        <v>267.40263858449345</v>
      </c>
      <c r="L2459">
        <f t="shared" si="38"/>
        <v>1</v>
      </c>
      <c r="M2459" cm="1">
        <f t="array" ref="M2459">_xlfn.XLOOKUP(TEXT(A2459, "mmm-yy"), TEXT([2]GASOLINE!$B$5:$B$208, "mmm-yy"), [2]GASOLINE!$C$5:$C$208, "Not Found")</f>
        <v>8051.1603083680666</v>
      </c>
      <c r="N2459" cm="1">
        <f t="array" ref="N2459">_xlfn.XLOOKUP(TEXT(A2459, "mmm-yy"), TEXT([2]RUNS!$B$5:$B$208, "mmm-yy"), [2]RUNS!$BM$5:$BM$208, "Not Found")</f>
        <v>0.81210485315535197</v>
      </c>
    </row>
    <row r="2460" spans="1:14" x14ac:dyDescent="0.25">
      <c r="A2460" s="1">
        <f>'[1]Global_Spot Prices'!$B3769</f>
        <v>45447</v>
      </c>
      <c r="B2460">
        <f>_xlfn.XLOOKUP(A2460,'[1]Global_Spot Prices'!$B:$B,'[1]Global_Spot Prices'!$BS:$BS)</f>
        <v>5.3599999999999994</v>
      </c>
      <c r="C2460">
        <f>_xlfn.XLOOKUP(A2460,'[1]Global_Spot Prices'!$B:$B,'[1]Global_Spot Prices'!$E:$E)</f>
        <v>77.88</v>
      </c>
      <c r="D2460">
        <f>_xlfn.XLOOKUP(A2460,'[1]Global_Spot Prices'!$B:$B,'[1]Global_Spot Prices'!$D:$D)</f>
        <v>76.05</v>
      </c>
      <c r="E2460">
        <f>_xlfn.XLOOKUP(A2460,'[1]Global_Spot Prices'!$B:$B,'[1]Global_Spot Prices'!$H:$H)</f>
        <v>68.03</v>
      </c>
      <c r="F2460">
        <f>_xlfn.XLOOKUP(A2460,'[1]Global_Spot Prices'!$B:$B,'[1]Global_Spot Prices'!$I:$I)</f>
        <v>83.24</v>
      </c>
      <c r="G2460" cm="1">
        <f t="array" ref="G2460">_xlfn.XLOOKUP(TEXT(A2460, "mmm-yy"), TEXT([2]RUNS!$B$5:$B$208, "mmm-yy"), [2]RUNS!$D$5:$D$208, "Not Found")</f>
        <v>29951.239089222541</v>
      </c>
      <c r="H2460" cm="1">
        <f t="array" ref="H2460">SUMPRODUCT(
    --(TEXT('[3]Global Weekly Stock (EWSuez'!$B$4:$B$2000,"mmm-yy")=TEXT(A2460,"mmm-yy")),
    '[3]Global Weekly Stock (EWSuez'!$E$4:$E$2000)
/
SUMPRODUCT(
    --(TEXT('[3]Global Weekly Stock (EWSuez'!$B$4:$B$2000,"mmm-yy")=TEXT(A2460,"mmm-yy"))
)</f>
        <v>14999.75</v>
      </c>
      <c r="I2460">
        <f>_xlfn.XLOOKUP(A2460,[1]ForwardDeriv!$D:$D,[1]ForwardDeriv!$AJ:$AJ)</f>
        <v>0.18999999999999773</v>
      </c>
      <c r="J2460" cm="1">
        <f t="array" ref="J2460">_xlfn.XLOOKUP(TEXT(A2460, "mmm-yy"), TEXT([2]GASOLINE!$B$5:$B$208, "mmm-yy"), [2]GASOLINE!$IR$5:$IR$208, "Not Found")</f>
        <v>-477.7380565083368</v>
      </c>
      <c r="K2460" cm="1">
        <f t="array" ref="K2460">_xlfn.XLOOKUP(TEXT(A2460, "mmm-yy"), TEXT([2]GASOLINE!$B$5:$B$208, "mmm-yy"), [2]GASOLINE!$IK$5:$IK$208, "Not Found")</f>
        <v>267.40263858449345</v>
      </c>
      <c r="L2460">
        <f t="shared" si="38"/>
        <v>1</v>
      </c>
      <c r="M2460" cm="1">
        <f t="array" ref="M2460">_xlfn.XLOOKUP(TEXT(A2460, "mmm-yy"), TEXT([2]GASOLINE!$B$5:$B$208, "mmm-yy"), [2]GASOLINE!$C$5:$C$208, "Not Found")</f>
        <v>8051.1603083680666</v>
      </c>
      <c r="N2460" cm="1">
        <f t="array" ref="N2460">_xlfn.XLOOKUP(TEXT(A2460, "mmm-yy"), TEXT([2]RUNS!$B$5:$B$208, "mmm-yy"), [2]RUNS!$BM$5:$BM$208, "Not Found")</f>
        <v>0.81210485315535197</v>
      </c>
    </row>
    <row r="2461" spans="1:14" x14ac:dyDescent="0.25">
      <c r="A2461" s="1">
        <f>'[1]Global_Spot Prices'!$B3770</f>
        <v>45448</v>
      </c>
      <c r="B2461">
        <f>_xlfn.XLOOKUP(A2461,'[1]Global_Spot Prices'!$B:$B,'[1]Global_Spot Prices'!$BS:$BS)</f>
        <v>6.4200000000000017</v>
      </c>
      <c r="C2461">
        <f>_xlfn.XLOOKUP(A2461,'[1]Global_Spot Prices'!$B:$B,'[1]Global_Spot Prices'!$E:$E)</f>
        <v>78.209999999999994</v>
      </c>
      <c r="D2461">
        <f>_xlfn.XLOOKUP(A2461,'[1]Global_Spot Prices'!$B:$B,'[1]Global_Spot Prices'!$D:$D)</f>
        <v>75.92</v>
      </c>
      <c r="E2461">
        <f>_xlfn.XLOOKUP(A2461,'[1]Global_Spot Prices'!$B:$B,'[1]Global_Spot Prices'!$H:$H)</f>
        <v>67.900000000000006</v>
      </c>
      <c r="F2461">
        <f>_xlfn.XLOOKUP(A2461,'[1]Global_Spot Prices'!$B:$B,'[1]Global_Spot Prices'!$I:$I)</f>
        <v>84.63</v>
      </c>
      <c r="G2461" cm="1">
        <f t="array" ref="G2461">_xlfn.XLOOKUP(TEXT(A2461, "mmm-yy"), TEXT([2]RUNS!$B$5:$B$208, "mmm-yy"), [2]RUNS!$D$5:$D$208, "Not Found")</f>
        <v>29951.239089222541</v>
      </c>
      <c r="H2461" cm="1">
        <f t="array" ref="H2461">SUMPRODUCT(
    --(TEXT('[3]Global Weekly Stock (EWSuez'!$B$4:$B$2000,"mmm-yy")=TEXT(A2461,"mmm-yy")),
    '[3]Global Weekly Stock (EWSuez'!$E$4:$E$2000)
/
SUMPRODUCT(
    --(TEXT('[3]Global Weekly Stock (EWSuez'!$B$4:$B$2000,"mmm-yy")=TEXT(A2461,"mmm-yy"))
)</f>
        <v>14999.75</v>
      </c>
      <c r="I2461">
        <f>_xlfn.XLOOKUP(A2461,[1]ForwardDeriv!$D:$D,[1]ForwardDeriv!$AJ:$AJ)</f>
        <v>0.45000000000000284</v>
      </c>
      <c r="J2461" cm="1">
        <f t="array" ref="J2461">_xlfn.XLOOKUP(TEXT(A2461, "mmm-yy"), TEXT([2]GASOLINE!$B$5:$B$208, "mmm-yy"), [2]GASOLINE!$IR$5:$IR$208, "Not Found")</f>
        <v>-477.7380565083368</v>
      </c>
      <c r="K2461" cm="1">
        <f t="array" ref="K2461">_xlfn.XLOOKUP(TEXT(A2461, "mmm-yy"), TEXT([2]GASOLINE!$B$5:$B$208, "mmm-yy"), [2]GASOLINE!$IK$5:$IK$208, "Not Found")</f>
        <v>267.40263858449345</v>
      </c>
      <c r="L2461">
        <f t="shared" si="38"/>
        <v>1</v>
      </c>
      <c r="M2461" cm="1">
        <f t="array" ref="M2461">_xlfn.XLOOKUP(TEXT(A2461, "mmm-yy"), TEXT([2]GASOLINE!$B$5:$B$208, "mmm-yy"), [2]GASOLINE!$C$5:$C$208, "Not Found")</f>
        <v>8051.1603083680666</v>
      </c>
      <c r="N2461" cm="1">
        <f t="array" ref="N2461">_xlfn.XLOOKUP(TEXT(A2461, "mmm-yy"), TEXT([2]RUNS!$B$5:$B$208, "mmm-yy"), [2]RUNS!$BM$5:$BM$208, "Not Found")</f>
        <v>0.81210485315535197</v>
      </c>
    </row>
    <row r="2462" spans="1:14" x14ac:dyDescent="0.25">
      <c r="A2462" s="1">
        <f>'[1]Global_Spot Prices'!$B3771</f>
        <v>45449</v>
      </c>
      <c r="B2462">
        <f>_xlfn.XLOOKUP(A2462,'[1]Global_Spot Prices'!$B:$B,'[1]Global_Spot Prices'!$BS:$BS)</f>
        <v>5.8900000000000006</v>
      </c>
      <c r="C2462">
        <f>_xlfn.XLOOKUP(A2462,'[1]Global_Spot Prices'!$B:$B,'[1]Global_Spot Prices'!$E:$E)</f>
        <v>79.25</v>
      </c>
      <c r="D2462">
        <f>_xlfn.XLOOKUP(A2462,'[1]Global_Spot Prices'!$B:$B,'[1]Global_Spot Prices'!$D:$D)</f>
        <v>78.540000000000006</v>
      </c>
      <c r="E2462">
        <f>_xlfn.XLOOKUP(A2462,'[1]Global_Spot Prices'!$B:$B,'[1]Global_Spot Prices'!$H:$H)</f>
        <v>67.849999999999994</v>
      </c>
      <c r="F2462">
        <f ca="1">_xlfn.XLOOKUP(A2462,'[1]Global_Spot Prices'!$B:$B,'[1]Global_Spot Prices'!$I:$I)</f>
        <v>85.14</v>
      </c>
      <c r="G2462" cm="1">
        <f t="array" ref="G2462">_xlfn.XLOOKUP(TEXT(A2462, "mmm-yy"), TEXT([2]RUNS!$B$5:$B$208, "mmm-yy"), [2]RUNS!$D$5:$D$208, "Not Found")</f>
        <v>29951.239089222541</v>
      </c>
      <c r="H2462" cm="1">
        <f t="array" ref="H2462">SUMPRODUCT(
    --(TEXT('[3]Global Weekly Stock (EWSuez'!$B$4:$B$2000,"mmm-yy")=TEXT(A2462,"mmm-yy")),
    '[3]Global Weekly Stock (EWSuez'!$E$4:$E$2000)
/
SUMPRODUCT(
    --(TEXT('[3]Global Weekly Stock (EWSuez'!$B$4:$B$2000,"mmm-yy")=TEXT(A2462,"mmm-yy"))
)</f>
        <v>14999.75</v>
      </c>
      <c r="I2462">
        <f>_xlfn.XLOOKUP(A2462,[1]ForwardDeriv!$D:$D,[1]ForwardDeriv!$AJ:$AJ)</f>
        <v>0.40000000000000568</v>
      </c>
      <c r="J2462" cm="1">
        <f t="array" ref="J2462">_xlfn.XLOOKUP(TEXT(A2462, "mmm-yy"), TEXT([2]GASOLINE!$B$5:$B$208, "mmm-yy"), [2]GASOLINE!$IR$5:$IR$208, "Not Found")</f>
        <v>-477.7380565083368</v>
      </c>
      <c r="K2462" cm="1">
        <f t="array" ref="K2462">_xlfn.XLOOKUP(TEXT(A2462, "mmm-yy"), TEXT([2]GASOLINE!$B$5:$B$208, "mmm-yy"), [2]GASOLINE!$IK$5:$IK$208, "Not Found")</f>
        <v>267.40263858449345</v>
      </c>
      <c r="L2462">
        <f t="shared" si="38"/>
        <v>1</v>
      </c>
      <c r="M2462" cm="1">
        <f t="array" ref="M2462">_xlfn.XLOOKUP(TEXT(A2462, "mmm-yy"), TEXT([2]GASOLINE!$B$5:$B$208, "mmm-yy"), [2]GASOLINE!$C$5:$C$208, "Not Found")</f>
        <v>8051.1603083680666</v>
      </c>
      <c r="N2462" cm="1">
        <f t="array" ref="N2462">_xlfn.XLOOKUP(TEXT(A2462, "mmm-yy"), TEXT([2]RUNS!$B$5:$B$208, "mmm-yy"), [2]RUNS!$BM$5:$BM$208, "Not Found")</f>
        <v>0.81210485315535197</v>
      </c>
    </row>
    <row r="2463" spans="1:14" x14ac:dyDescent="0.25">
      <c r="A2463" s="1">
        <f>'[1]Global_Spot Prices'!$B3772</f>
        <v>45450</v>
      </c>
      <c r="B2463">
        <f>_xlfn.XLOOKUP(A2463,'[1]Global_Spot Prices'!$B:$B,'[1]Global_Spot Prices'!$BS:$BS)</f>
        <v>5.7749999999999915</v>
      </c>
      <c r="C2463">
        <f>_xlfn.XLOOKUP(A2463,'[1]Global_Spot Prices'!$B:$B,'[1]Global_Spot Prices'!$E:$E)</f>
        <v>80.105000000000004</v>
      </c>
      <c r="D2463">
        <f>_xlfn.XLOOKUP(A2463,'[1]Global_Spot Prices'!$B:$B,'[1]Global_Spot Prices'!$D:$D)</f>
        <v>78.314999999999998</v>
      </c>
      <c r="E2463">
        <f>_xlfn.XLOOKUP(A2463,'[1]Global_Spot Prices'!$B:$B,'[1]Global_Spot Prices'!$H:$H)</f>
        <v>68.06</v>
      </c>
      <c r="F2463">
        <f>_xlfn.XLOOKUP(A2463,'[1]Global_Spot Prices'!$B:$B,'[1]Global_Spot Prices'!$I:$I)</f>
        <v>85.88</v>
      </c>
      <c r="G2463" cm="1">
        <f t="array" ref="G2463">_xlfn.XLOOKUP(TEXT(A2463, "mmm-yy"), TEXT([2]RUNS!$B$5:$B$208, "mmm-yy"), [2]RUNS!$D$5:$D$208, "Not Found")</f>
        <v>29951.239089222541</v>
      </c>
      <c r="H2463" cm="1">
        <f t="array" ref="H2463">SUMPRODUCT(
    --(TEXT('[3]Global Weekly Stock (EWSuez'!$B$4:$B$2000,"mmm-yy")=TEXT(A2463,"mmm-yy")),
    '[3]Global Weekly Stock (EWSuez'!$E$4:$E$2000)
/
SUMPRODUCT(
    --(TEXT('[3]Global Weekly Stock (EWSuez'!$B$4:$B$2000,"mmm-yy")=TEXT(A2463,"mmm-yy"))
)</f>
        <v>14999.75</v>
      </c>
      <c r="I2463">
        <f>_xlfn.XLOOKUP(A2463,[1]ForwardDeriv!$D:$D,[1]ForwardDeriv!$AJ:$AJ)</f>
        <v>0.34999999999999432</v>
      </c>
      <c r="J2463" cm="1">
        <f t="array" ref="J2463">_xlfn.XLOOKUP(TEXT(A2463, "mmm-yy"), TEXT([2]GASOLINE!$B$5:$B$208, "mmm-yy"), [2]GASOLINE!$IR$5:$IR$208, "Not Found")</f>
        <v>-477.7380565083368</v>
      </c>
      <c r="K2463" cm="1">
        <f t="array" ref="K2463">_xlfn.XLOOKUP(TEXT(A2463, "mmm-yy"), TEXT([2]GASOLINE!$B$5:$B$208, "mmm-yy"), [2]GASOLINE!$IK$5:$IK$208, "Not Found")</f>
        <v>267.40263858449345</v>
      </c>
      <c r="L2463">
        <f t="shared" si="38"/>
        <v>1</v>
      </c>
      <c r="M2463" cm="1">
        <f t="array" ref="M2463">_xlfn.XLOOKUP(TEXT(A2463, "mmm-yy"), TEXT([2]GASOLINE!$B$5:$B$208, "mmm-yy"), [2]GASOLINE!$C$5:$C$208, "Not Found")</f>
        <v>8051.1603083680666</v>
      </c>
      <c r="N2463" cm="1">
        <f t="array" ref="N2463">_xlfn.XLOOKUP(TEXT(A2463, "mmm-yy"), TEXT([2]RUNS!$B$5:$B$208, "mmm-yy"), [2]RUNS!$BM$5:$BM$208, "Not Found")</f>
        <v>0.81210485315535197</v>
      </c>
    </row>
    <row r="2464" spans="1:14" x14ac:dyDescent="0.25">
      <c r="A2464" s="1">
        <f>'[1]Global_Spot Prices'!$B3773</f>
        <v>45453</v>
      </c>
      <c r="B2464">
        <f>_xlfn.XLOOKUP(A2464,'[1]Global_Spot Prices'!$B:$B,'[1]Global_Spot Prices'!$BS:$BS)</f>
        <v>6.2400000000000091</v>
      </c>
      <c r="C2464">
        <f>_xlfn.XLOOKUP(A2464,'[1]Global_Spot Prices'!$B:$B,'[1]Global_Spot Prices'!$E:$E)</f>
        <v>80.19</v>
      </c>
      <c r="D2464">
        <f>_xlfn.XLOOKUP(A2464,'[1]Global_Spot Prices'!$B:$B,'[1]Global_Spot Prices'!$D:$D)</f>
        <v>80.004999999999995</v>
      </c>
      <c r="E2464">
        <f>_xlfn.XLOOKUP(A2464,'[1]Global_Spot Prices'!$B:$B,'[1]Global_Spot Prices'!$H:$H)</f>
        <v>68.67</v>
      </c>
      <c r="F2464">
        <f>_xlfn.XLOOKUP(A2464,'[1]Global_Spot Prices'!$B:$B,'[1]Global_Spot Prices'!$I:$I)</f>
        <v>86.43</v>
      </c>
      <c r="G2464" cm="1">
        <f t="array" ref="G2464">_xlfn.XLOOKUP(TEXT(A2464, "mmm-yy"), TEXT([2]RUNS!$B$5:$B$208, "mmm-yy"), [2]RUNS!$D$5:$D$208, "Not Found")</f>
        <v>29951.239089222541</v>
      </c>
      <c r="H2464" cm="1">
        <f t="array" ref="H2464">SUMPRODUCT(
    --(TEXT('[3]Global Weekly Stock (EWSuez'!$B$4:$B$2000,"mmm-yy")=TEXT(A2464,"mmm-yy")),
    '[3]Global Weekly Stock (EWSuez'!$E$4:$E$2000)
/
SUMPRODUCT(
    --(TEXT('[3]Global Weekly Stock (EWSuez'!$B$4:$B$2000,"mmm-yy")=TEXT(A2464,"mmm-yy"))
)</f>
        <v>14999.75</v>
      </c>
      <c r="I2464">
        <f>_xlfn.XLOOKUP(A2464,[1]ForwardDeriv!$D:$D,[1]ForwardDeriv!$AJ:$AJ)</f>
        <v>0.40999999999999659</v>
      </c>
      <c r="J2464" cm="1">
        <f t="array" ref="J2464">_xlfn.XLOOKUP(TEXT(A2464, "mmm-yy"), TEXT([2]GASOLINE!$B$5:$B$208, "mmm-yy"), [2]GASOLINE!$IR$5:$IR$208, "Not Found")</f>
        <v>-477.7380565083368</v>
      </c>
      <c r="K2464" cm="1">
        <f t="array" ref="K2464">_xlfn.XLOOKUP(TEXT(A2464, "mmm-yy"), TEXT([2]GASOLINE!$B$5:$B$208, "mmm-yy"), [2]GASOLINE!$IK$5:$IK$208, "Not Found")</f>
        <v>267.40263858449345</v>
      </c>
      <c r="L2464">
        <f t="shared" si="38"/>
        <v>1</v>
      </c>
      <c r="M2464" cm="1">
        <f t="array" ref="M2464">_xlfn.XLOOKUP(TEXT(A2464, "mmm-yy"), TEXT([2]GASOLINE!$B$5:$B$208, "mmm-yy"), [2]GASOLINE!$C$5:$C$208, "Not Found")</f>
        <v>8051.1603083680666</v>
      </c>
      <c r="N2464" cm="1">
        <f t="array" ref="N2464">_xlfn.XLOOKUP(TEXT(A2464, "mmm-yy"), TEXT([2]RUNS!$B$5:$B$208, "mmm-yy"), [2]RUNS!$BM$5:$BM$208, "Not Found")</f>
        <v>0.81210485315535197</v>
      </c>
    </row>
    <row r="2465" spans="1:14" x14ac:dyDescent="0.25">
      <c r="A2465" s="1">
        <f>'[1]Global_Spot Prices'!$B3774</f>
        <v>45454</v>
      </c>
      <c r="B2465">
        <f>_xlfn.XLOOKUP(A2465,'[1]Global_Spot Prices'!$B:$B,'[1]Global_Spot Prices'!$BS:$BS)</f>
        <v>5.519999999999996</v>
      </c>
      <c r="C2465">
        <f>_xlfn.XLOOKUP(A2465,'[1]Global_Spot Prices'!$B:$B,'[1]Global_Spot Prices'!$E:$E)</f>
        <v>81.86</v>
      </c>
      <c r="D2465">
        <f>_xlfn.XLOOKUP(A2465,'[1]Global_Spot Prices'!$B:$B,'[1]Global_Spot Prices'!$D:$D)</f>
        <v>80.739999999999995</v>
      </c>
      <c r="E2465">
        <f>_xlfn.XLOOKUP(A2465,'[1]Global_Spot Prices'!$B:$B,'[1]Global_Spot Prices'!$H:$H)</f>
        <v>70.099999999999994</v>
      </c>
      <c r="F2465">
        <f>_xlfn.XLOOKUP(A2465,'[1]Global_Spot Prices'!$B:$B,'[1]Global_Spot Prices'!$I:$I)</f>
        <v>87.38</v>
      </c>
      <c r="G2465" cm="1">
        <f t="array" ref="G2465">_xlfn.XLOOKUP(TEXT(A2465, "mmm-yy"), TEXT([2]RUNS!$B$5:$B$208, "mmm-yy"), [2]RUNS!$D$5:$D$208, "Not Found")</f>
        <v>29951.239089222541</v>
      </c>
      <c r="H2465" cm="1">
        <f t="array" ref="H2465">SUMPRODUCT(
    --(TEXT('[3]Global Weekly Stock (EWSuez'!$B$4:$B$2000,"mmm-yy")=TEXT(A2465,"mmm-yy")),
    '[3]Global Weekly Stock (EWSuez'!$E$4:$E$2000)
/
SUMPRODUCT(
    --(TEXT('[3]Global Weekly Stock (EWSuez'!$B$4:$B$2000,"mmm-yy")=TEXT(A2465,"mmm-yy"))
)</f>
        <v>14999.75</v>
      </c>
      <c r="I2465">
        <f>_xlfn.XLOOKUP(A2465,[1]ForwardDeriv!$D:$D,[1]ForwardDeriv!$AJ:$AJ)</f>
        <v>0.14999999999999147</v>
      </c>
      <c r="J2465" cm="1">
        <f t="array" ref="J2465">_xlfn.XLOOKUP(TEXT(A2465, "mmm-yy"), TEXT([2]GASOLINE!$B$5:$B$208, "mmm-yy"), [2]GASOLINE!$IR$5:$IR$208, "Not Found")</f>
        <v>-477.7380565083368</v>
      </c>
      <c r="K2465" cm="1">
        <f t="array" ref="K2465">_xlfn.XLOOKUP(TEXT(A2465, "mmm-yy"), TEXT([2]GASOLINE!$B$5:$B$208, "mmm-yy"), [2]GASOLINE!$IK$5:$IK$208, "Not Found")</f>
        <v>267.40263858449345</v>
      </c>
      <c r="L2465">
        <f t="shared" si="38"/>
        <v>1</v>
      </c>
      <c r="M2465" cm="1">
        <f t="array" ref="M2465">_xlfn.XLOOKUP(TEXT(A2465, "mmm-yy"), TEXT([2]GASOLINE!$B$5:$B$208, "mmm-yy"), [2]GASOLINE!$C$5:$C$208, "Not Found")</f>
        <v>8051.1603083680666</v>
      </c>
      <c r="N2465" cm="1">
        <f t="array" ref="N2465">_xlfn.XLOOKUP(TEXT(A2465, "mmm-yy"), TEXT([2]RUNS!$B$5:$B$208, "mmm-yy"), [2]RUNS!$BM$5:$BM$208, "Not Found")</f>
        <v>0.81210485315535197</v>
      </c>
    </row>
    <row r="2466" spans="1:14" x14ac:dyDescent="0.25">
      <c r="A2466" s="1">
        <f>'[1]Global_Spot Prices'!$B3775</f>
        <v>45455</v>
      </c>
      <c r="B2466">
        <f>_xlfn.XLOOKUP(A2466,'[1]Global_Spot Prices'!$B:$B,'[1]Global_Spot Prices'!$BS:$BS)</f>
        <v>4.25</v>
      </c>
      <c r="C2466">
        <f>_xlfn.XLOOKUP(A2466,'[1]Global_Spot Prices'!$B:$B,'[1]Global_Spot Prices'!$E:$E)</f>
        <v>82.65</v>
      </c>
      <c r="D2466">
        <f>_xlfn.XLOOKUP(A2466,'[1]Global_Spot Prices'!$B:$B,'[1]Global_Spot Prices'!$D:$D)</f>
        <v>81.245000000000005</v>
      </c>
      <c r="E2466">
        <f>_xlfn.XLOOKUP(A2466,'[1]Global_Spot Prices'!$B:$B,'[1]Global_Spot Prices'!$H:$H)</f>
        <v>71.099999999999994</v>
      </c>
      <c r="F2466">
        <f>_xlfn.XLOOKUP(A2466,'[1]Global_Spot Prices'!$B:$B,'[1]Global_Spot Prices'!$I:$I)</f>
        <v>86.9</v>
      </c>
      <c r="G2466" cm="1">
        <f t="array" ref="G2466">_xlfn.XLOOKUP(TEXT(A2466, "mmm-yy"), TEXT([2]RUNS!$B$5:$B$208, "mmm-yy"), [2]RUNS!$D$5:$D$208, "Not Found")</f>
        <v>29951.239089222541</v>
      </c>
      <c r="H2466" cm="1">
        <f t="array" ref="H2466">SUMPRODUCT(
    --(TEXT('[3]Global Weekly Stock (EWSuez'!$B$4:$B$2000,"mmm-yy")=TEXT(A2466,"mmm-yy")),
    '[3]Global Weekly Stock (EWSuez'!$E$4:$E$2000)
/
SUMPRODUCT(
    --(TEXT('[3]Global Weekly Stock (EWSuez'!$B$4:$B$2000,"mmm-yy")=TEXT(A2466,"mmm-yy"))
)</f>
        <v>14999.75</v>
      </c>
      <c r="I2466">
        <f>_xlfn.XLOOKUP(A2466,[1]ForwardDeriv!$D:$D,[1]ForwardDeriv!$AJ:$AJ)</f>
        <v>-0.10999999999999943</v>
      </c>
      <c r="J2466" cm="1">
        <f t="array" ref="J2466">_xlfn.XLOOKUP(TEXT(A2466, "mmm-yy"), TEXT([2]GASOLINE!$B$5:$B$208, "mmm-yy"), [2]GASOLINE!$IR$5:$IR$208, "Not Found")</f>
        <v>-477.7380565083368</v>
      </c>
      <c r="K2466" cm="1">
        <f t="array" ref="K2466">_xlfn.XLOOKUP(TEXT(A2466, "mmm-yy"), TEXT([2]GASOLINE!$B$5:$B$208, "mmm-yy"), [2]GASOLINE!$IK$5:$IK$208, "Not Found")</f>
        <v>267.40263858449345</v>
      </c>
      <c r="L2466">
        <f t="shared" si="38"/>
        <v>1</v>
      </c>
      <c r="M2466" cm="1">
        <f t="array" ref="M2466">_xlfn.XLOOKUP(TEXT(A2466, "mmm-yy"), TEXT([2]GASOLINE!$B$5:$B$208, "mmm-yy"), [2]GASOLINE!$C$5:$C$208, "Not Found")</f>
        <v>8051.1603083680666</v>
      </c>
      <c r="N2466" cm="1">
        <f t="array" ref="N2466">_xlfn.XLOOKUP(TEXT(A2466, "mmm-yy"), TEXT([2]RUNS!$B$5:$B$208, "mmm-yy"), [2]RUNS!$BM$5:$BM$208, "Not Found")</f>
        <v>0.81210485315535197</v>
      </c>
    </row>
    <row r="2467" spans="1:14" x14ac:dyDescent="0.25">
      <c r="A2467" s="1">
        <f>'[1]Global_Spot Prices'!$B3776</f>
        <v>45456</v>
      </c>
      <c r="B2467">
        <f>_xlfn.XLOOKUP(A2467,'[1]Global_Spot Prices'!$B:$B,'[1]Global_Spot Prices'!$BS:$BS)</f>
        <v>3.8299999999999983</v>
      </c>
      <c r="C2467">
        <f>_xlfn.XLOOKUP(A2467,'[1]Global_Spot Prices'!$B:$B,'[1]Global_Spot Prices'!$E:$E)</f>
        <v>82.08</v>
      </c>
      <c r="D2467">
        <f>_xlfn.XLOOKUP(A2467,'[1]Global_Spot Prices'!$B:$B,'[1]Global_Spot Prices'!$D:$D)</f>
        <v>81.64</v>
      </c>
      <c r="E2467">
        <f>_xlfn.XLOOKUP(A2467,'[1]Global_Spot Prices'!$B:$B,'[1]Global_Spot Prices'!$H:$H)</f>
        <v>71.37</v>
      </c>
      <c r="F2467">
        <f>_xlfn.XLOOKUP(A2467,'[1]Global_Spot Prices'!$B:$B,'[1]Global_Spot Prices'!$I:$I)</f>
        <v>85.91</v>
      </c>
      <c r="G2467" cm="1">
        <f t="array" ref="G2467">_xlfn.XLOOKUP(TEXT(A2467, "mmm-yy"), TEXT([2]RUNS!$B$5:$B$208, "mmm-yy"), [2]RUNS!$D$5:$D$208, "Not Found")</f>
        <v>29951.239089222541</v>
      </c>
      <c r="H2467" cm="1">
        <f t="array" ref="H2467">SUMPRODUCT(
    --(TEXT('[3]Global Weekly Stock (EWSuez'!$B$4:$B$2000,"mmm-yy")=TEXT(A2467,"mmm-yy")),
    '[3]Global Weekly Stock (EWSuez'!$E$4:$E$2000)
/
SUMPRODUCT(
    --(TEXT('[3]Global Weekly Stock (EWSuez'!$B$4:$B$2000,"mmm-yy")=TEXT(A2467,"mmm-yy"))
)</f>
        <v>14999.75</v>
      </c>
      <c r="I2467">
        <f>_xlfn.XLOOKUP(A2467,[1]ForwardDeriv!$D:$D,[1]ForwardDeriv!$AJ:$AJ)</f>
        <v>-0.26999999999999602</v>
      </c>
      <c r="J2467" cm="1">
        <f t="array" ref="J2467">_xlfn.XLOOKUP(TEXT(A2467, "mmm-yy"), TEXT([2]GASOLINE!$B$5:$B$208, "mmm-yy"), [2]GASOLINE!$IR$5:$IR$208, "Not Found")</f>
        <v>-477.7380565083368</v>
      </c>
      <c r="K2467" cm="1">
        <f t="array" ref="K2467">_xlfn.XLOOKUP(TEXT(A2467, "mmm-yy"), TEXT([2]GASOLINE!$B$5:$B$208, "mmm-yy"), [2]GASOLINE!$IK$5:$IK$208, "Not Found")</f>
        <v>267.40263858449345</v>
      </c>
      <c r="L2467">
        <f t="shared" si="38"/>
        <v>1</v>
      </c>
      <c r="M2467" cm="1">
        <f t="array" ref="M2467">_xlfn.XLOOKUP(TEXT(A2467, "mmm-yy"), TEXT([2]GASOLINE!$B$5:$B$208, "mmm-yy"), [2]GASOLINE!$C$5:$C$208, "Not Found")</f>
        <v>8051.1603083680666</v>
      </c>
      <c r="N2467" cm="1">
        <f t="array" ref="N2467">_xlfn.XLOOKUP(TEXT(A2467, "mmm-yy"), TEXT([2]RUNS!$B$5:$B$208, "mmm-yy"), [2]RUNS!$BM$5:$BM$208, "Not Found")</f>
        <v>0.81210485315535197</v>
      </c>
    </row>
    <row r="2468" spans="1:14" x14ac:dyDescent="0.25">
      <c r="A2468" s="1">
        <f>'[1]Global_Spot Prices'!$B3777</f>
        <v>45457</v>
      </c>
      <c r="B2468">
        <f>_xlfn.XLOOKUP(A2468,'[1]Global_Spot Prices'!$B:$B,'[1]Global_Spot Prices'!$BS:$BS)</f>
        <v>4.2150000000000034</v>
      </c>
      <c r="C2468">
        <f>_xlfn.XLOOKUP(A2468,'[1]Global_Spot Prices'!$B:$B,'[1]Global_Spot Prices'!$E:$E)</f>
        <v>82.325000000000003</v>
      </c>
      <c r="D2468">
        <f>_xlfn.XLOOKUP(A2468,'[1]Global_Spot Prices'!$B:$B,'[1]Global_Spot Prices'!$D:$D)</f>
        <v>81.73</v>
      </c>
      <c r="E2468">
        <f>_xlfn.XLOOKUP(A2468,'[1]Global_Spot Prices'!$B:$B,'[1]Global_Spot Prices'!$H:$H)</f>
        <v>71.02</v>
      </c>
      <c r="F2468">
        <f>_xlfn.XLOOKUP(A2468,'[1]Global_Spot Prices'!$B:$B,'[1]Global_Spot Prices'!$I:$I)</f>
        <v>86.54</v>
      </c>
      <c r="G2468" cm="1">
        <f t="array" ref="G2468">_xlfn.XLOOKUP(TEXT(A2468, "mmm-yy"), TEXT([2]RUNS!$B$5:$B$208, "mmm-yy"), [2]RUNS!$D$5:$D$208, "Not Found")</f>
        <v>29951.239089222541</v>
      </c>
      <c r="H2468" cm="1">
        <f t="array" ref="H2468">SUMPRODUCT(
    --(TEXT('[3]Global Weekly Stock (EWSuez'!$B$4:$B$2000,"mmm-yy")=TEXT(A2468,"mmm-yy")),
    '[3]Global Weekly Stock (EWSuez'!$E$4:$E$2000)
/
SUMPRODUCT(
    --(TEXT('[3]Global Weekly Stock (EWSuez'!$B$4:$B$2000,"mmm-yy")=TEXT(A2468,"mmm-yy"))
)</f>
        <v>14999.75</v>
      </c>
      <c r="I2468">
        <f>_xlfn.XLOOKUP(A2468,[1]ForwardDeriv!$D:$D,[1]ForwardDeriv!$AJ:$AJ)</f>
        <v>3.0000000000001137E-2</v>
      </c>
      <c r="J2468" cm="1">
        <f t="array" ref="J2468">_xlfn.XLOOKUP(TEXT(A2468, "mmm-yy"), TEXT([2]GASOLINE!$B$5:$B$208, "mmm-yy"), [2]GASOLINE!$IR$5:$IR$208, "Not Found")</f>
        <v>-477.7380565083368</v>
      </c>
      <c r="K2468" cm="1">
        <f t="array" ref="K2468">_xlfn.XLOOKUP(TEXT(A2468, "mmm-yy"), TEXT([2]GASOLINE!$B$5:$B$208, "mmm-yy"), [2]GASOLINE!$IK$5:$IK$208, "Not Found")</f>
        <v>267.40263858449345</v>
      </c>
      <c r="L2468">
        <f t="shared" si="38"/>
        <v>1</v>
      </c>
      <c r="M2468" cm="1">
        <f t="array" ref="M2468">_xlfn.XLOOKUP(TEXT(A2468, "mmm-yy"), TEXT([2]GASOLINE!$B$5:$B$208, "mmm-yy"), [2]GASOLINE!$C$5:$C$208, "Not Found")</f>
        <v>8051.1603083680666</v>
      </c>
      <c r="N2468" cm="1">
        <f t="array" ref="N2468">_xlfn.XLOOKUP(TEXT(A2468, "mmm-yy"), TEXT([2]RUNS!$B$5:$B$208, "mmm-yy"), [2]RUNS!$BM$5:$BM$208, "Not Found")</f>
        <v>0.81210485315535197</v>
      </c>
    </row>
    <row r="2469" spans="1:14" x14ac:dyDescent="0.25">
      <c r="A2469" s="1">
        <f>'[1]Global_Spot Prices'!$B3778</f>
        <v>45460</v>
      </c>
      <c r="B2469" t="e">
        <f>_xlfn.XLOOKUP(A2469,'[1]Global_Spot Prices'!$B:$B,'[1]Global_Spot Prices'!$BS:$BS)</f>
        <v>#N/A</v>
      </c>
      <c r="C2469" t="str">
        <f>_xlfn.XLOOKUP(A2469,'[1]Global_Spot Prices'!$B:$B,'[1]Global_Spot Prices'!$E:$E)</f>
        <v/>
      </c>
      <c r="D2469">
        <f>_xlfn.XLOOKUP(A2469,'[1]Global_Spot Prices'!$B:$B,'[1]Global_Spot Prices'!$D:$D)</f>
        <v>83.36</v>
      </c>
      <c r="E2469">
        <f>_xlfn.XLOOKUP(A2469,'[1]Global_Spot Prices'!$B:$B,'[1]Global_Spot Prices'!$H:$H)</f>
        <v>0</v>
      </c>
      <c r="F2469">
        <f>_xlfn.XLOOKUP(A2469,'[1]Global_Spot Prices'!$B:$B,'[1]Global_Spot Prices'!$I:$I)</f>
        <v>0</v>
      </c>
      <c r="G2469" cm="1">
        <f t="array" ref="G2469">_xlfn.XLOOKUP(TEXT(A2469, "mmm-yy"), TEXT([2]RUNS!$B$5:$B$208, "mmm-yy"), [2]RUNS!$D$5:$D$208, "Not Found")</f>
        <v>29951.239089222541</v>
      </c>
      <c r="H2469" cm="1">
        <f t="array" ref="H2469">SUMPRODUCT(
    --(TEXT('[3]Global Weekly Stock (EWSuez'!$B$4:$B$2000,"mmm-yy")=TEXT(A2469,"mmm-yy")),
    '[3]Global Weekly Stock (EWSuez'!$E$4:$E$2000)
/
SUMPRODUCT(
    --(TEXT('[3]Global Weekly Stock (EWSuez'!$B$4:$B$2000,"mmm-yy")=TEXT(A2469,"mmm-yy"))
)</f>
        <v>14999.75</v>
      </c>
      <c r="I2469">
        <f>_xlfn.XLOOKUP(A2469,[1]ForwardDeriv!$D:$D,[1]ForwardDeriv!$AJ:$AJ)</f>
        <v>3.0000000000001137E-2</v>
      </c>
      <c r="J2469" cm="1">
        <f t="array" ref="J2469">_xlfn.XLOOKUP(TEXT(A2469, "mmm-yy"), TEXT([2]GASOLINE!$B$5:$B$208, "mmm-yy"), [2]GASOLINE!$IR$5:$IR$208, "Not Found")</f>
        <v>-477.7380565083368</v>
      </c>
      <c r="K2469" cm="1">
        <f t="array" ref="K2469">_xlfn.XLOOKUP(TEXT(A2469, "mmm-yy"), TEXT([2]GASOLINE!$B$5:$B$208, "mmm-yy"), [2]GASOLINE!$IK$5:$IK$208, "Not Found")</f>
        <v>267.40263858449345</v>
      </c>
      <c r="L2469">
        <f t="shared" si="38"/>
        <v>1</v>
      </c>
      <c r="M2469" cm="1">
        <f t="array" ref="M2469">_xlfn.XLOOKUP(TEXT(A2469, "mmm-yy"), TEXT([2]GASOLINE!$B$5:$B$208, "mmm-yy"), [2]GASOLINE!$C$5:$C$208, "Not Found")</f>
        <v>8051.1603083680666</v>
      </c>
      <c r="N2469" cm="1">
        <f t="array" ref="N2469">_xlfn.XLOOKUP(TEXT(A2469, "mmm-yy"), TEXT([2]RUNS!$B$5:$B$208, "mmm-yy"), [2]RUNS!$BM$5:$BM$208, "Not Found")</f>
        <v>0.81210485315535197</v>
      </c>
    </row>
    <row r="2470" spans="1:14" x14ac:dyDescent="0.25">
      <c r="A2470" s="1">
        <f>'[1]Global_Spot Prices'!$B3779</f>
        <v>45461</v>
      </c>
      <c r="B2470">
        <f>_xlfn.XLOOKUP(A2470,'[1]Global_Spot Prices'!$B:$B,'[1]Global_Spot Prices'!$BS:$BS)</f>
        <v>4.6799999999999926</v>
      </c>
      <c r="C2470">
        <f>_xlfn.XLOOKUP(A2470,'[1]Global_Spot Prices'!$B:$B,'[1]Global_Spot Prices'!$E:$E)</f>
        <v>83.34</v>
      </c>
      <c r="D2470">
        <f>_xlfn.XLOOKUP(A2470,'[1]Global_Spot Prices'!$B:$B,'[1]Global_Spot Prices'!$D:$D)</f>
        <v>85.28</v>
      </c>
      <c r="E2470">
        <f>_xlfn.XLOOKUP(A2470,'[1]Global_Spot Prices'!$B:$B,'[1]Global_Spot Prices'!$H:$H)</f>
        <v>71.739999999999995</v>
      </c>
      <c r="F2470">
        <f>_xlfn.XLOOKUP(A2470,'[1]Global_Spot Prices'!$B:$B,'[1]Global_Spot Prices'!$I:$I)</f>
        <v>88.02</v>
      </c>
      <c r="G2470" cm="1">
        <f t="array" ref="G2470">_xlfn.XLOOKUP(TEXT(A2470, "mmm-yy"), TEXT([2]RUNS!$B$5:$B$208, "mmm-yy"), [2]RUNS!$D$5:$D$208, "Not Found")</f>
        <v>29951.239089222541</v>
      </c>
      <c r="H2470" cm="1">
        <f t="array" ref="H2470">SUMPRODUCT(
    --(TEXT('[3]Global Weekly Stock (EWSuez'!$B$4:$B$2000,"mmm-yy")=TEXT(A2470,"mmm-yy")),
    '[3]Global Weekly Stock (EWSuez'!$E$4:$E$2000)
/
SUMPRODUCT(
    --(TEXT('[3]Global Weekly Stock (EWSuez'!$B$4:$B$2000,"mmm-yy")=TEXT(A2470,"mmm-yy"))
)</f>
        <v>14999.75</v>
      </c>
      <c r="I2470">
        <f>_xlfn.XLOOKUP(A2470,[1]ForwardDeriv!$D:$D,[1]ForwardDeriv!$AJ:$AJ)</f>
        <v>3.0000000000001137E-2</v>
      </c>
      <c r="J2470" cm="1">
        <f t="array" ref="J2470">_xlfn.XLOOKUP(TEXT(A2470, "mmm-yy"), TEXT([2]GASOLINE!$B$5:$B$208, "mmm-yy"), [2]GASOLINE!$IR$5:$IR$208, "Not Found")</f>
        <v>-477.7380565083368</v>
      </c>
      <c r="K2470" cm="1">
        <f t="array" ref="K2470">_xlfn.XLOOKUP(TEXT(A2470, "mmm-yy"), TEXT([2]GASOLINE!$B$5:$B$208, "mmm-yy"), [2]GASOLINE!$IK$5:$IK$208, "Not Found")</f>
        <v>267.40263858449345</v>
      </c>
      <c r="L2470">
        <f t="shared" si="38"/>
        <v>1</v>
      </c>
      <c r="M2470" cm="1">
        <f t="array" ref="M2470">_xlfn.XLOOKUP(TEXT(A2470, "mmm-yy"), TEXT([2]GASOLINE!$B$5:$B$208, "mmm-yy"), [2]GASOLINE!$C$5:$C$208, "Not Found")</f>
        <v>8051.1603083680666</v>
      </c>
      <c r="N2470" cm="1">
        <f t="array" ref="N2470">_xlfn.XLOOKUP(TEXT(A2470, "mmm-yy"), TEXT([2]RUNS!$B$5:$B$208, "mmm-yy"), [2]RUNS!$BM$5:$BM$208, "Not Found")</f>
        <v>0.81210485315535197</v>
      </c>
    </row>
    <row r="2471" spans="1:14" x14ac:dyDescent="0.25">
      <c r="A2471" s="1">
        <f>'[1]Global_Spot Prices'!$B3780</f>
        <v>45462</v>
      </c>
      <c r="B2471">
        <f>_xlfn.XLOOKUP(A2471,'[1]Global_Spot Prices'!$B:$B,'[1]Global_Spot Prices'!$BS:$BS)</f>
        <v>4.980000000000004</v>
      </c>
      <c r="C2471">
        <f>_xlfn.XLOOKUP(A2471,'[1]Global_Spot Prices'!$B:$B,'[1]Global_Spot Prices'!$E:$E)</f>
        <v>84.3</v>
      </c>
      <c r="D2471">
        <f>_xlfn.XLOOKUP(A2471,'[1]Global_Spot Prices'!$B:$B,'[1]Global_Spot Prices'!$D:$D)</f>
        <v>86.185000000000002</v>
      </c>
      <c r="E2471">
        <f>_xlfn.XLOOKUP(A2471,'[1]Global_Spot Prices'!$B:$B,'[1]Global_Spot Prices'!$H:$H)</f>
        <v>73.27</v>
      </c>
      <c r="F2471">
        <f>_xlfn.XLOOKUP(A2471,'[1]Global_Spot Prices'!$B:$B,'[1]Global_Spot Prices'!$I:$I)</f>
        <v>89.28</v>
      </c>
      <c r="G2471" cm="1">
        <f t="array" ref="G2471">_xlfn.XLOOKUP(TEXT(A2471, "mmm-yy"), TEXT([2]RUNS!$B$5:$B$208, "mmm-yy"), [2]RUNS!$D$5:$D$208, "Not Found")</f>
        <v>29951.239089222541</v>
      </c>
      <c r="H2471" cm="1">
        <f t="array" ref="H2471">SUMPRODUCT(
    --(TEXT('[3]Global Weekly Stock (EWSuez'!$B$4:$B$2000,"mmm-yy")=TEXT(A2471,"mmm-yy")),
    '[3]Global Weekly Stock (EWSuez'!$E$4:$E$2000)
/
SUMPRODUCT(
    --(TEXT('[3]Global Weekly Stock (EWSuez'!$B$4:$B$2000,"mmm-yy")=TEXT(A2471,"mmm-yy"))
)</f>
        <v>14999.75</v>
      </c>
      <c r="I2471">
        <f>_xlfn.XLOOKUP(A2471,[1]ForwardDeriv!$D:$D,[1]ForwardDeriv!$AJ:$AJ)</f>
        <v>0.12999999999999545</v>
      </c>
      <c r="J2471" cm="1">
        <f t="array" ref="J2471">_xlfn.XLOOKUP(TEXT(A2471, "mmm-yy"), TEXT([2]GASOLINE!$B$5:$B$208, "mmm-yy"), [2]GASOLINE!$IR$5:$IR$208, "Not Found")</f>
        <v>-477.7380565083368</v>
      </c>
      <c r="K2471" cm="1">
        <f t="array" ref="K2471">_xlfn.XLOOKUP(TEXT(A2471, "mmm-yy"), TEXT([2]GASOLINE!$B$5:$B$208, "mmm-yy"), [2]GASOLINE!$IK$5:$IK$208, "Not Found")</f>
        <v>267.40263858449345</v>
      </c>
      <c r="L2471">
        <f t="shared" si="38"/>
        <v>1</v>
      </c>
      <c r="M2471" cm="1">
        <f t="array" ref="M2471">_xlfn.XLOOKUP(TEXT(A2471, "mmm-yy"), TEXT([2]GASOLINE!$B$5:$B$208, "mmm-yy"), [2]GASOLINE!$C$5:$C$208, "Not Found")</f>
        <v>8051.1603083680666</v>
      </c>
      <c r="N2471" cm="1">
        <f t="array" ref="N2471">_xlfn.XLOOKUP(TEXT(A2471, "mmm-yy"), TEXT([2]RUNS!$B$5:$B$208, "mmm-yy"), [2]RUNS!$BM$5:$BM$208, "Not Found")</f>
        <v>0.81210485315535197</v>
      </c>
    </row>
    <row r="2472" spans="1:14" x14ac:dyDescent="0.25">
      <c r="A2472" s="1">
        <f>'[1]Global_Spot Prices'!$B3781</f>
        <v>45463</v>
      </c>
      <c r="B2472">
        <f>_xlfn.XLOOKUP(A2472,'[1]Global_Spot Prices'!$B:$B,'[1]Global_Spot Prices'!$BS:$BS)</f>
        <v>5.0799999999999983</v>
      </c>
      <c r="C2472">
        <f>_xlfn.XLOOKUP(A2472,'[1]Global_Spot Prices'!$B:$B,'[1]Global_Spot Prices'!$E:$E)</f>
        <v>84.53</v>
      </c>
      <c r="D2472">
        <f>_xlfn.XLOOKUP(A2472,'[1]Global_Spot Prices'!$B:$B,'[1]Global_Spot Prices'!$D:$D)</f>
        <v>86.114999999999995</v>
      </c>
      <c r="E2472">
        <f>_xlfn.XLOOKUP(A2472,'[1]Global_Spot Prices'!$B:$B,'[1]Global_Spot Prices'!$H:$H)</f>
        <v>74.05</v>
      </c>
      <c r="F2472">
        <f>_xlfn.XLOOKUP(A2472,'[1]Global_Spot Prices'!$B:$B,'[1]Global_Spot Prices'!$I:$I)</f>
        <v>89.61</v>
      </c>
      <c r="G2472" cm="1">
        <f t="array" ref="G2472">_xlfn.XLOOKUP(TEXT(A2472, "mmm-yy"), TEXT([2]RUNS!$B$5:$B$208, "mmm-yy"), [2]RUNS!$D$5:$D$208, "Not Found")</f>
        <v>29951.239089222541</v>
      </c>
      <c r="H2472" cm="1">
        <f t="array" ref="H2472">SUMPRODUCT(
    --(TEXT('[3]Global Weekly Stock (EWSuez'!$B$4:$B$2000,"mmm-yy")=TEXT(A2472,"mmm-yy")),
    '[3]Global Weekly Stock (EWSuez'!$E$4:$E$2000)
/
SUMPRODUCT(
    --(TEXT('[3]Global Weekly Stock (EWSuez'!$B$4:$B$2000,"mmm-yy")=TEXT(A2472,"mmm-yy"))
)</f>
        <v>14999.75</v>
      </c>
      <c r="I2472">
        <f>_xlfn.XLOOKUP(A2472,[1]ForwardDeriv!$D:$D,[1]ForwardDeriv!$AJ:$AJ)</f>
        <v>-5.9999999999988063E-2</v>
      </c>
      <c r="J2472" cm="1">
        <f t="array" ref="J2472">_xlfn.XLOOKUP(TEXT(A2472, "mmm-yy"), TEXT([2]GASOLINE!$B$5:$B$208, "mmm-yy"), [2]GASOLINE!$IR$5:$IR$208, "Not Found")</f>
        <v>-477.7380565083368</v>
      </c>
      <c r="K2472" cm="1">
        <f t="array" ref="K2472">_xlfn.XLOOKUP(TEXT(A2472, "mmm-yy"), TEXT([2]GASOLINE!$B$5:$B$208, "mmm-yy"), [2]GASOLINE!$IK$5:$IK$208, "Not Found")</f>
        <v>267.40263858449345</v>
      </c>
      <c r="L2472">
        <f t="shared" si="38"/>
        <v>1</v>
      </c>
      <c r="M2472" cm="1">
        <f t="array" ref="M2472">_xlfn.XLOOKUP(TEXT(A2472, "mmm-yy"), TEXT([2]GASOLINE!$B$5:$B$208, "mmm-yy"), [2]GASOLINE!$C$5:$C$208, "Not Found")</f>
        <v>8051.1603083680666</v>
      </c>
      <c r="N2472" cm="1">
        <f t="array" ref="N2472">_xlfn.XLOOKUP(TEXT(A2472, "mmm-yy"), TEXT([2]RUNS!$B$5:$B$208, "mmm-yy"), [2]RUNS!$BM$5:$BM$208, "Not Found")</f>
        <v>0.81210485315535197</v>
      </c>
    </row>
    <row r="2473" spans="1:14" x14ac:dyDescent="0.25">
      <c r="A2473" s="1">
        <f>'[1]Global_Spot Prices'!$B3782</f>
        <v>45464</v>
      </c>
      <c r="B2473">
        <f>_xlfn.XLOOKUP(A2473,'[1]Global_Spot Prices'!$B:$B,'[1]Global_Spot Prices'!$BS:$BS)</f>
        <v>5.9199999999999875</v>
      </c>
      <c r="C2473">
        <f>_xlfn.XLOOKUP(A2473,'[1]Global_Spot Prices'!$B:$B,'[1]Global_Spot Prices'!$E:$E)</f>
        <v>84.79</v>
      </c>
      <c r="D2473">
        <f>_xlfn.XLOOKUP(A2473,'[1]Global_Spot Prices'!$B:$B,'[1]Global_Spot Prices'!$D:$D)</f>
        <v>87.015000000000001</v>
      </c>
      <c r="E2473">
        <f>_xlfn.XLOOKUP(A2473,'[1]Global_Spot Prices'!$B:$B,'[1]Global_Spot Prices'!$H:$H)</f>
        <v>74.349999999999994</v>
      </c>
      <c r="F2473">
        <f>_xlfn.XLOOKUP(A2473,'[1]Global_Spot Prices'!$B:$B,'[1]Global_Spot Prices'!$I:$I)</f>
        <v>90.71</v>
      </c>
      <c r="G2473" cm="1">
        <f t="array" ref="G2473">_xlfn.XLOOKUP(TEXT(A2473, "mmm-yy"), TEXT([2]RUNS!$B$5:$B$208, "mmm-yy"), [2]RUNS!$D$5:$D$208, "Not Found")</f>
        <v>29951.239089222541</v>
      </c>
      <c r="H2473" cm="1">
        <f t="array" ref="H2473">SUMPRODUCT(
    --(TEXT('[3]Global Weekly Stock (EWSuez'!$B$4:$B$2000,"mmm-yy")=TEXT(A2473,"mmm-yy")),
    '[3]Global Weekly Stock (EWSuez'!$E$4:$E$2000)
/
SUMPRODUCT(
    --(TEXT('[3]Global Weekly Stock (EWSuez'!$B$4:$B$2000,"mmm-yy")=TEXT(A2473,"mmm-yy"))
)</f>
        <v>14999.75</v>
      </c>
      <c r="I2473">
        <f>_xlfn.XLOOKUP(A2473,[1]ForwardDeriv!$D:$D,[1]ForwardDeriv!$AJ:$AJ)</f>
        <v>0.28000000000000114</v>
      </c>
      <c r="J2473" cm="1">
        <f t="array" ref="J2473">_xlfn.XLOOKUP(TEXT(A2473, "mmm-yy"), TEXT([2]GASOLINE!$B$5:$B$208, "mmm-yy"), [2]GASOLINE!$IR$5:$IR$208, "Not Found")</f>
        <v>-477.7380565083368</v>
      </c>
      <c r="K2473" cm="1">
        <f t="array" ref="K2473">_xlfn.XLOOKUP(TEXT(A2473, "mmm-yy"), TEXT([2]GASOLINE!$B$5:$B$208, "mmm-yy"), [2]GASOLINE!$IK$5:$IK$208, "Not Found")</f>
        <v>267.40263858449345</v>
      </c>
      <c r="L2473">
        <f t="shared" si="38"/>
        <v>1</v>
      </c>
      <c r="M2473" cm="1">
        <f t="array" ref="M2473">_xlfn.XLOOKUP(TEXT(A2473, "mmm-yy"), TEXT([2]GASOLINE!$B$5:$B$208, "mmm-yy"), [2]GASOLINE!$C$5:$C$208, "Not Found")</f>
        <v>8051.1603083680666</v>
      </c>
      <c r="N2473" cm="1">
        <f t="array" ref="N2473">_xlfn.XLOOKUP(TEXT(A2473, "mmm-yy"), TEXT([2]RUNS!$B$5:$B$208, "mmm-yy"), [2]RUNS!$BM$5:$BM$208, "Not Found")</f>
        <v>0.81210485315535197</v>
      </c>
    </row>
    <row r="2474" spans="1:14" x14ac:dyDescent="0.25">
      <c r="A2474" s="1">
        <f>'[1]Global_Spot Prices'!$B3783</f>
        <v>45467</v>
      </c>
      <c r="B2474">
        <f>_xlfn.XLOOKUP(A2474,'[1]Global_Spot Prices'!$B:$B,'[1]Global_Spot Prices'!$BS:$BS)</f>
        <v>5.7399999999999949</v>
      </c>
      <c r="C2474">
        <f>_xlfn.XLOOKUP(A2474,'[1]Global_Spot Prices'!$B:$B,'[1]Global_Spot Prices'!$E:$E)</f>
        <v>84.54</v>
      </c>
      <c r="D2474">
        <f>_xlfn.XLOOKUP(A2474,'[1]Global_Spot Prices'!$B:$B,'[1]Global_Spot Prices'!$D:$D)</f>
        <v>87.114999999999995</v>
      </c>
      <c r="E2474">
        <f>_xlfn.XLOOKUP(A2474,'[1]Global_Spot Prices'!$B:$B,'[1]Global_Spot Prices'!$H:$H)</f>
        <v>74.17</v>
      </c>
      <c r="F2474">
        <f>_xlfn.XLOOKUP(A2474,'[1]Global_Spot Prices'!$B:$B,'[1]Global_Spot Prices'!$I:$I)</f>
        <v>90.28</v>
      </c>
      <c r="G2474" cm="1">
        <f t="array" ref="G2474">_xlfn.XLOOKUP(TEXT(A2474, "mmm-yy"), TEXT([2]RUNS!$B$5:$B$208, "mmm-yy"), [2]RUNS!$D$5:$D$208, "Not Found")</f>
        <v>29951.239089222541</v>
      </c>
      <c r="H2474" cm="1">
        <f t="array" ref="H2474">SUMPRODUCT(
    --(TEXT('[3]Global Weekly Stock (EWSuez'!$B$4:$B$2000,"mmm-yy")=TEXT(A2474,"mmm-yy")),
    '[3]Global Weekly Stock (EWSuez'!$E$4:$E$2000)
/
SUMPRODUCT(
    --(TEXT('[3]Global Weekly Stock (EWSuez'!$B$4:$B$2000,"mmm-yy")=TEXT(A2474,"mmm-yy"))
)</f>
        <v>14999.75</v>
      </c>
      <c r="I2474">
        <f>_xlfn.XLOOKUP(A2474,[1]ForwardDeriv!$D:$D,[1]ForwardDeriv!$AJ:$AJ)</f>
        <v>0.14000000000000057</v>
      </c>
      <c r="J2474" cm="1">
        <f t="array" ref="J2474">_xlfn.XLOOKUP(TEXT(A2474, "mmm-yy"), TEXT([2]GASOLINE!$B$5:$B$208, "mmm-yy"), [2]GASOLINE!$IR$5:$IR$208, "Not Found")</f>
        <v>-477.7380565083368</v>
      </c>
      <c r="K2474" cm="1">
        <f t="array" ref="K2474">_xlfn.XLOOKUP(TEXT(A2474, "mmm-yy"), TEXT([2]GASOLINE!$B$5:$B$208, "mmm-yy"), [2]GASOLINE!$IK$5:$IK$208, "Not Found")</f>
        <v>267.40263858449345</v>
      </c>
      <c r="L2474">
        <f t="shared" si="38"/>
        <v>1</v>
      </c>
      <c r="M2474" cm="1">
        <f t="array" ref="M2474">_xlfn.XLOOKUP(TEXT(A2474, "mmm-yy"), TEXT([2]GASOLINE!$B$5:$B$208, "mmm-yy"), [2]GASOLINE!$C$5:$C$208, "Not Found")</f>
        <v>8051.1603083680666</v>
      </c>
      <c r="N2474" cm="1">
        <f t="array" ref="N2474">_xlfn.XLOOKUP(TEXT(A2474, "mmm-yy"), TEXT([2]RUNS!$B$5:$B$208, "mmm-yy"), [2]RUNS!$BM$5:$BM$208, "Not Found")</f>
        <v>0.81210485315535197</v>
      </c>
    </row>
    <row r="2475" spans="1:14" x14ac:dyDescent="0.25">
      <c r="A2475" s="1">
        <f>'[1]Global_Spot Prices'!$B3784</f>
        <v>45468</v>
      </c>
      <c r="B2475">
        <f>_xlfn.XLOOKUP(A2475,'[1]Global_Spot Prices'!$B:$B,'[1]Global_Spot Prices'!$BS:$BS)</f>
        <v>5.039999999999992</v>
      </c>
      <c r="C2475">
        <f ca="1">_xlfn.XLOOKUP(A2475,'[1]Global_Spot Prices'!$B:$B,'[1]Global_Spot Prices'!$E:$E)</f>
        <v>85.29</v>
      </c>
      <c r="D2475">
        <f>_xlfn.XLOOKUP(A2475,'[1]Global_Spot Prices'!$B:$B,'[1]Global_Spot Prices'!$D:$D)</f>
        <v>86.775000000000006</v>
      </c>
      <c r="E2475">
        <f>_xlfn.XLOOKUP(A2475,'[1]Global_Spot Prices'!$B:$B,'[1]Global_Spot Prices'!$H:$H)</f>
        <v>74.83</v>
      </c>
      <c r="F2475">
        <f>_xlfn.XLOOKUP(A2475,'[1]Global_Spot Prices'!$B:$B,'[1]Global_Spot Prices'!$I:$I)</f>
        <v>90.33</v>
      </c>
      <c r="G2475" cm="1">
        <f t="array" ref="G2475">_xlfn.XLOOKUP(TEXT(A2475, "mmm-yy"), TEXT([2]RUNS!$B$5:$B$208, "mmm-yy"), [2]RUNS!$D$5:$D$208, "Not Found")</f>
        <v>29951.239089222541</v>
      </c>
      <c r="H2475" cm="1">
        <f t="array" ref="H2475">SUMPRODUCT(
    --(TEXT('[3]Global Weekly Stock (EWSuez'!$B$4:$B$2000,"mmm-yy")=TEXT(A2475,"mmm-yy")),
    '[3]Global Weekly Stock (EWSuez'!$E$4:$E$2000)
/
SUMPRODUCT(
    --(TEXT('[3]Global Weekly Stock (EWSuez'!$B$4:$B$2000,"mmm-yy")=TEXT(A2475,"mmm-yy"))
)</f>
        <v>14999.75</v>
      </c>
      <c r="I2475">
        <f>_xlfn.XLOOKUP(A2475,[1]ForwardDeriv!$D:$D,[1]ForwardDeriv!$AJ:$AJ)</f>
        <v>3.0000000000001137E-2</v>
      </c>
      <c r="J2475" cm="1">
        <f t="array" ref="J2475">_xlfn.XLOOKUP(TEXT(A2475, "mmm-yy"), TEXT([2]GASOLINE!$B$5:$B$208, "mmm-yy"), [2]GASOLINE!$IR$5:$IR$208, "Not Found")</f>
        <v>-477.7380565083368</v>
      </c>
      <c r="K2475" cm="1">
        <f t="array" ref="K2475">_xlfn.XLOOKUP(TEXT(A2475, "mmm-yy"), TEXT([2]GASOLINE!$B$5:$B$208, "mmm-yy"), [2]GASOLINE!$IK$5:$IK$208, "Not Found")</f>
        <v>267.40263858449345</v>
      </c>
      <c r="L2475">
        <f t="shared" si="38"/>
        <v>1</v>
      </c>
      <c r="M2475" cm="1">
        <f t="array" ref="M2475">_xlfn.XLOOKUP(TEXT(A2475, "mmm-yy"), TEXT([2]GASOLINE!$B$5:$B$208, "mmm-yy"), [2]GASOLINE!$C$5:$C$208, "Not Found")</f>
        <v>8051.1603083680666</v>
      </c>
      <c r="N2475" cm="1">
        <f t="array" ref="N2475">_xlfn.XLOOKUP(TEXT(A2475, "mmm-yy"), TEXT([2]RUNS!$B$5:$B$208, "mmm-yy"), [2]RUNS!$BM$5:$BM$208, "Not Found")</f>
        <v>0.81210485315535197</v>
      </c>
    </row>
    <row r="2476" spans="1:14" x14ac:dyDescent="0.25">
      <c r="A2476" s="1">
        <f>'[1]Global_Spot Prices'!$B3785</f>
        <v>45469</v>
      </c>
      <c r="B2476">
        <f>_xlfn.XLOOKUP(A2476,'[1]Global_Spot Prices'!$B:$B,'[1]Global_Spot Prices'!$BS:$BS)</f>
        <v>5.9099999999999966</v>
      </c>
      <c r="C2476">
        <f>_xlfn.XLOOKUP(A2476,'[1]Global_Spot Prices'!$B:$B,'[1]Global_Spot Prices'!$E:$E)</f>
        <v>84.5</v>
      </c>
      <c r="D2476">
        <f>_xlfn.XLOOKUP(A2476,'[1]Global_Spot Prices'!$B:$B,'[1]Global_Spot Prices'!$D:$D)</f>
        <v>85.27</v>
      </c>
      <c r="E2476">
        <f>_xlfn.XLOOKUP(A2476,'[1]Global_Spot Prices'!$B:$B,'[1]Global_Spot Prices'!$H:$H)</f>
        <v>75.05</v>
      </c>
      <c r="F2476">
        <f>_xlfn.XLOOKUP(A2476,'[1]Global_Spot Prices'!$B:$B,'[1]Global_Spot Prices'!$I:$I)</f>
        <v>90.41</v>
      </c>
      <c r="G2476" cm="1">
        <f t="array" ref="G2476">_xlfn.XLOOKUP(TEXT(A2476, "mmm-yy"), TEXT([2]RUNS!$B$5:$B$208, "mmm-yy"), [2]RUNS!$D$5:$D$208, "Not Found")</f>
        <v>29951.239089222541</v>
      </c>
      <c r="H2476" cm="1">
        <f t="array" ref="H2476">SUMPRODUCT(
    --(TEXT('[3]Global Weekly Stock (EWSuez'!$B$4:$B$2000,"mmm-yy")=TEXT(A2476,"mmm-yy")),
    '[3]Global Weekly Stock (EWSuez'!$E$4:$E$2000)
/
SUMPRODUCT(
    --(TEXT('[3]Global Weekly Stock (EWSuez'!$B$4:$B$2000,"mmm-yy")=TEXT(A2476,"mmm-yy"))
)</f>
        <v>14999.75</v>
      </c>
      <c r="I2476">
        <f>_xlfn.XLOOKUP(A2476,[1]ForwardDeriv!$D:$D,[1]ForwardDeriv!$AJ:$AJ)</f>
        <v>1.9999999999996021E-2</v>
      </c>
      <c r="J2476" cm="1">
        <f t="array" ref="J2476">_xlfn.XLOOKUP(TEXT(A2476, "mmm-yy"), TEXT([2]GASOLINE!$B$5:$B$208, "mmm-yy"), [2]GASOLINE!$IR$5:$IR$208, "Not Found")</f>
        <v>-477.7380565083368</v>
      </c>
      <c r="K2476" cm="1">
        <f t="array" ref="K2476">_xlfn.XLOOKUP(TEXT(A2476, "mmm-yy"), TEXT([2]GASOLINE!$B$5:$B$208, "mmm-yy"), [2]GASOLINE!$IK$5:$IK$208, "Not Found")</f>
        <v>267.40263858449345</v>
      </c>
      <c r="L2476">
        <f t="shared" si="38"/>
        <v>1</v>
      </c>
      <c r="M2476" cm="1">
        <f t="array" ref="M2476">_xlfn.XLOOKUP(TEXT(A2476, "mmm-yy"), TEXT([2]GASOLINE!$B$5:$B$208, "mmm-yy"), [2]GASOLINE!$C$5:$C$208, "Not Found")</f>
        <v>8051.1603083680666</v>
      </c>
      <c r="N2476" cm="1">
        <f t="array" ref="N2476">_xlfn.XLOOKUP(TEXT(A2476, "mmm-yy"), TEXT([2]RUNS!$B$5:$B$208, "mmm-yy"), [2]RUNS!$BM$5:$BM$208, "Not Found")</f>
        <v>0.81210485315535197</v>
      </c>
    </row>
    <row r="2477" spans="1:14" x14ac:dyDescent="0.25">
      <c r="A2477" s="1">
        <f>'[1]Global_Spot Prices'!$B3786</f>
        <v>45470</v>
      </c>
      <c r="B2477">
        <f>_xlfn.XLOOKUP(A2477,'[1]Global_Spot Prices'!$B:$B,'[1]Global_Spot Prices'!$BS:$BS)</f>
        <v>6.3299999999999983</v>
      </c>
      <c r="C2477">
        <f>_xlfn.XLOOKUP(A2477,'[1]Global_Spot Prices'!$B:$B,'[1]Global_Spot Prices'!$E:$E)</f>
        <v>84.94</v>
      </c>
      <c r="D2477">
        <f>_xlfn.XLOOKUP(A2477,'[1]Global_Spot Prices'!$B:$B,'[1]Global_Spot Prices'!$D:$D)</f>
        <v>87.254999999999995</v>
      </c>
      <c r="E2477">
        <f>_xlfn.XLOOKUP(A2477,'[1]Global_Spot Prices'!$B:$B,'[1]Global_Spot Prices'!$H:$H)</f>
        <v>76</v>
      </c>
      <c r="F2477">
        <f>_xlfn.XLOOKUP(A2477,'[1]Global_Spot Prices'!$B:$B,'[1]Global_Spot Prices'!$I:$I)</f>
        <v>91.27</v>
      </c>
      <c r="G2477" cm="1">
        <f t="array" ref="G2477">_xlfn.XLOOKUP(TEXT(A2477, "mmm-yy"), TEXT([2]RUNS!$B$5:$B$208, "mmm-yy"), [2]RUNS!$D$5:$D$208, "Not Found")</f>
        <v>29951.239089222541</v>
      </c>
      <c r="H2477" cm="1">
        <f t="array" ref="H2477">SUMPRODUCT(
    --(TEXT('[3]Global Weekly Stock (EWSuez'!$B$4:$B$2000,"mmm-yy")=TEXT(A2477,"mmm-yy")),
    '[3]Global Weekly Stock (EWSuez'!$E$4:$E$2000)
/
SUMPRODUCT(
    --(TEXT('[3]Global Weekly Stock (EWSuez'!$B$4:$B$2000,"mmm-yy")=TEXT(A2477,"mmm-yy"))
)</f>
        <v>14999.75</v>
      </c>
      <c r="I2477">
        <f>_xlfn.XLOOKUP(A2477,[1]ForwardDeriv!$D:$D,[1]ForwardDeriv!$AJ:$AJ)</f>
        <v>8.0000000000012506E-2</v>
      </c>
      <c r="J2477" cm="1">
        <f t="array" ref="J2477">_xlfn.XLOOKUP(TEXT(A2477, "mmm-yy"), TEXT([2]GASOLINE!$B$5:$B$208, "mmm-yy"), [2]GASOLINE!$IR$5:$IR$208, "Not Found")</f>
        <v>-477.7380565083368</v>
      </c>
      <c r="K2477" cm="1">
        <f t="array" ref="K2477">_xlfn.XLOOKUP(TEXT(A2477, "mmm-yy"), TEXT([2]GASOLINE!$B$5:$B$208, "mmm-yy"), [2]GASOLINE!$IK$5:$IK$208, "Not Found")</f>
        <v>267.40263858449345</v>
      </c>
      <c r="L2477">
        <f t="shared" si="38"/>
        <v>1</v>
      </c>
      <c r="M2477" cm="1">
        <f t="array" ref="M2477">_xlfn.XLOOKUP(TEXT(A2477, "mmm-yy"), TEXT([2]GASOLINE!$B$5:$B$208, "mmm-yy"), [2]GASOLINE!$C$5:$C$208, "Not Found")</f>
        <v>8051.1603083680666</v>
      </c>
      <c r="N2477" cm="1">
        <f t="array" ref="N2477">_xlfn.XLOOKUP(TEXT(A2477, "mmm-yy"), TEXT([2]RUNS!$B$5:$B$208, "mmm-yy"), [2]RUNS!$BM$5:$BM$208, "Not Found")</f>
        <v>0.81210485315535197</v>
      </c>
    </row>
    <row r="2478" spans="1:14" x14ac:dyDescent="0.25">
      <c r="A2478" s="1">
        <f>'[1]Global_Spot Prices'!$B3787</f>
        <v>45471</v>
      </c>
      <c r="B2478">
        <f>_xlfn.XLOOKUP(A2478,'[1]Global_Spot Prices'!$B:$B,'[1]Global_Spot Prices'!$BS:$BS)</f>
        <v>6.6200000000000045</v>
      </c>
      <c r="C2478">
        <f ca="1">_xlfn.XLOOKUP(A2478,'[1]Global_Spot Prices'!$B:$B,'[1]Global_Spot Prices'!$E:$E)</f>
        <v>85.75</v>
      </c>
      <c r="D2478">
        <f>_xlfn.XLOOKUP(A2478,'[1]Global_Spot Prices'!$B:$B,'[1]Global_Spot Prices'!$D:$D)</f>
        <v>86.83</v>
      </c>
      <c r="E2478">
        <f>_xlfn.XLOOKUP(A2478,'[1]Global_Spot Prices'!$B:$B,'[1]Global_Spot Prices'!$H:$H)</f>
        <v>76.44</v>
      </c>
      <c r="F2478">
        <f>_xlfn.XLOOKUP(A2478,'[1]Global_Spot Prices'!$B:$B,'[1]Global_Spot Prices'!$I:$I)</f>
        <v>92.37</v>
      </c>
      <c r="G2478" cm="1">
        <f t="array" ref="G2478">_xlfn.XLOOKUP(TEXT(A2478, "mmm-yy"), TEXT([2]RUNS!$B$5:$B$208, "mmm-yy"), [2]RUNS!$D$5:$D$208, "Not Found")</f>
        <v>29951.239089222541</v>
      </c>
      <c r="H2478" cm="1">
        <f t="array" ref="H2478">SUMPRODUCT(
    --(TEXT('[3]Global Weekly Stock (EWSuez'!$B$4:$B$2000,"mmm-yy")=TEXT(A2478,"mmm-yy")),
    '[3]Global Weekly Stock (EWSuez'!$E$4:$E$2000)
/
SUMPRODUCT(
    --(TEXT('[3]Global Weekly Stock (EWSuez'!$B$4:$B$2000,"mmm-yy")=TEXT(A2478,"mmm-yy"))
)</f>
        <v>14999.75</v>
      </c>
      <c r="I2478">
        <f>_xlfn.XLOOKUP(A2478,[1]ForwardDeriv!$D:$D,[1]ForwardDeriv!$AJ:$AJ)</f>
        <v>0.33000000000001251</v>
      </c>
      <c r="J2478" cm="1">
        <f t="array" ref="J2478">_xlfn.XLOOKUP(TEXT(A2478, "mmm-yy"), TEXT([2]GASOLINE!$B$5:$B$208, "mmm-yy"), [2]GASOLINE!$IR$5:$IR$208, "Not Found")</f>
        <v>-477.7380565083368</v>
      </c>
      <c r="K2478" cm="1">
        <f t="array" ref="K2478">_xlfn.XLOOKUP(TEXT(A2478, "mmm-yy"), TEXT([2]GASOLINE!$B$5:$B$208, "mmm-yy"), [2]GASOLINE!$IK$5:$IK$208, "Not Found")</f>
        <v>267.40263858449345</v>
      </c>
      <c r="L2478">
        <f t="shared" si="38"/>
        <v>1</v>
      </c>
      <c r="M2478" cm="1">
        <f t="array" ref="M2478">_xlfn.XLOOKUP(TEXT(A2478, "mmm-yy"), TEXT([2]GASOLINE!$B$5:$B$208, "mmm-yy"), [2]GASOLINE!$C$5:$C$208, "Not Found")</f>
        <v>8051.1603083680666</v>
      </c>
      <c r="N2478" cm="1">
        <f t="array" ref="N2478">_xlfn.XLOOKUP(TEXT(A2478, "mmm-yy"), TEXT([2]RUNS!$B$5:$B$208, "mmm-yy"), [2]RUNS!$BM$5:$BM$208, "Not Found")</f>
        <v>0.81210485315535197</v>
      </c>
    </row>
    <row r="2479" spans="1:14" x14ac:dyDescent="0.25">
      <c r="A2479" s="1">
        <f>'[1]Global_Spot Prices'!$B3788</f>
        <v>45474</v>
      </c>
      <c r="B2479">
        <f>_xlfn.XLOOKUP(A2479,'[1]Global_Spot Prices'!$B:$B,'[1]Global_Spot Prices'!$BS:$BS)</f>
        <v>7.480000000000004</v>
      </c>
      <c r="C2479">
        <f>_xlfn.XLOOKUP(A2479,'[1]Global_Spot Prices'!$B:$B,'[1]Global_Spot Prices'!$E:$E)</f>
        <v>85.66</v>
      </c>
      <c r="D2479">
        <f>_xlfn.XLOOKUP(A2479,'[1]Global_Spot Prices'!$B:$B,'[1]Global_Spot Prices'!$D:$D)</f>
        <v>88.01</v>
      </c>
      <c r="E2479">
        <f>_xlfn.XLOOKUP(A2479,'[1]Global_Spot Prices'!$B:$B,'[1]Global_Spot Prices'!$H:$H)</f>
        <v>76.81</v>
      </c>
      <c r="F2479">
        <f>_xlfn.XLOOKUP(A2479,'[1]Global_Spot Prices'!$B:$B,'[1]Global_Spot Prices'!$I:$I)</f>
        <v>93.14</v>
      </c>
      <c r="G2479" cm="1">
        <f t="array" ref="G2479">_xlfn.XLOOKUP(TEXT(A2479, "mmm-yy"), TEXT([2]RUNS!$B$5:$B$208, "mmm-yy"), [2]RUNS!$D$5:$D$208, "Not Found")</f>
        <v>29570.229697825045</v>
      </c>
      <c r="H2479" cm="1">
        <f t="array" ref="H2479">SUMPRODUCT(
    --(TEXT('[3]Global Weekly Stock (EWSuez'!$B$4:$B$2000,"mmm-yy")=TEXT(A2479,"mmm-yy")),
    '[3]Global Weekly Stock (EWSuez'!$E$4:$E$2000)
/
SUMPRODUCT(
    --(TEXT('[3]Global Weekly Stock (EWSuez'!$B$4:$B$2000,"mmm-yy")=TEXT(A2479,"mmm-yy"))
)</f>
        <v>14488.75</v>
      </c>
      <c r="I2479">
        <f>_xlfn.XLOOKUP(A2479,[1]ForwardDeriv!$D:$D,[1]ForwardDeriv!$AJ:$AJ)</f>
        <v>0.94999999999998863</v>
      </c>
      <c r="J2479" cm="1">
        <f t="array" ref="J2479">_xlfn.XLOOKUP(TEXT(A2479, "mmm-yy"), TEXT([2]GASOLINE!$B$5:$B$208, "mmm-yy"), [2]GASOLINE!$IR$5:$IR$208, "Not Found")</f>
        <v>-463.87492243311453</v>
      </c>
      <c r="K2479" cm="1">
        <f t="array" ref="K2479">_xlfn.XLOOKUP(TEXT(A2479, "mmm-yy"), TEXT([2]GASOLINE!$B$5:$B$208, "mmm-yy"), [2]GASOLINE!$IK$5:$IK$208, "Not Found")</f>
        <v>265.72675218727682</v>
      </c>
      <c r="L2479">
        <f t="shared" si="38"/>
        <v>1</v>
      </c>
      <c r="M2479" cm="1">
        <f t="array" ref="M2479">_xlfn.XLOOKUP(TEXT(A2479, "mmm-yy"), TEXT([2]GASOLINE!$B$5:$B$208, "mmm-yy"), [2]GASOLINE!$C$5:$C$208, "Not Found")</f>
        <v>8017.974919279909</v>
      </c>
      <c r="N2479" cm="1">
        <f t="array" ref="N2479">_xlfn.XLOOKUP(TEXT(A2479, "mmm-yy"), TEXT([2]RUNS!$B$5:$B$208, "mmm-yy"), [2]RUNS!$BM$5:$BM$208, "Not Found")</f>
        <v>0.80177407602356332</v>
      </c>
    </row>
    <row r="2480" spans="1:14" x14ac:dyDescent="0.25">
      <c r="A2480" s="1">
        <f>'[1]Global_Spot Prices'!$B3789</f>
        <v>45475</v>
      </c>
      <c r="B2480">
        <f>_xlfn.XLOOKUP(A2480,'[1]Global_Spot Prices'!$B:$B,'[1]Global_Spot Prices'!$BS:$BS)</f>
        <v>8.1350000000000051</v>
      </c>
      <c r="C2480">
        <f>_xlfn.XLOOKUP(A2480,'[1]Global_Spot Prices'!$B:$B,'[1]Global_Spot Prices'!$E:$E)</f>
        <v>87.094999999999999</v>
      </c>
      <c r="D2480">
        <f>_xlfn.XLOOKUP(A2480,'[1]Global_Spot Prices'!$B:$B,'[1]Global_Spot Prices'!$D:$D)</f>
        <v>88.59</v>
      </c>
      <c r="E2480">
        <f>_xlfn.XLOOKUP(A2480,'[1]Global_Spot Prices'!$B:$B,'[1]Global_Spot Prices'!$H:$H)</f>
        <v>77.650000000000006</v>
      </c>
      <c r="F2480">
        <f>_xlfn.XLOOKUP(A2480,'[1]Global_Spot Prices'!$B:$B,'[1]Global_Spot Prices'!$I:$I)</f>
        <v>95.23</v>
      </c>
      <c r="G2480" cm="1">
        <f t="array" ref="G2480">_xlfn.XLOOKUP(TEXT(A2480, "mmm-yy"), TEXT([2]RUNS!$B$5:$B$208, "mmm-yy"), [2]RUNS!$D$5:$D$208, "Not Found")</f>
        <v>29570.229697825045</v>
      </c>
      <c r="H2480" cm="1">
        <f t="array" ref="H2480">SUMPRODUCT(
    --(TEXT('[3]Global Weekly Stock (EWSuez'!$B$4:$B$2000,"mmm-yy")=TEXT(A2480,"mmm-yy")),
    '[3]Global Weekly Stock (EWSuez'!$E$4:$E$2000)
/
SUMPRODUCT(
    --(TEXT('[3]Global Weekly Stock (EWSuez'!$B$4:$B$2000,"mmm-yy")=TEXT(A2480,"mmm-yy"))
)</f>
        <v>14488.75</v>
      </c>
      <c r="I2480">
        <f>_xlfn.XLOOKUP(A2480,[1]ForwardDeriv!$D:$D,[1]ForwardDeriv!$AJ:$AJ)</f>
        <v>1.1200000000000045</v>
      </c>
      <c r="J2480" cm="1">
        <f t="array" ref="J2480">_xlfn.XLOOKUP(TEXT(A2480, "mmm-yy"), TEXT([2]GASOLINE!$B$5:$B$208, "mmm-yy"), [2]GASOLINE!$IR$5:$IR$208, "Not Found")</f>
        <v>-463.87492243311453</v>
      </c>
      <c r="K2480" cm="1">
        <f t="array" ref="K2480">_xlfn.XLOOKUP(TEXT(A2480, "mmm-yy"), TEXT([2]GASOLINE!$B$5:$B$208, "mmm-yy"), [2]GASOLINE!$IK$5:$IK$208, "Not Found")</f>
        <v>265.72675218727682</v>
      </c>
      <c r="L2480">
        <f t="shared" si="38"/>
        <v>1</v>
      </c>
      <c r="M2480" cm="1">
        <f t="array" ref="M2480">_xlfn.XLOOKUP(TEXT(A2480, "mmm-yy"), TEXT([2]GASOLINE!$B$5:$B$208, "mmm-yy"), [2]GASOLINE!$C$5:$C$208, "Not Found")</f>
        <v>8017.974919279909</v>
      </c>
      <c r="N2480" cm="1">
        <f t="array" ref="N2480">_xlfn.XLOOKUP(TEXT(A2480, "mmm-yy"), TEXT([2]RUNS!$B$5:$B$208, "mmm-yy"), [2]RUNS!$BM$5:$BM$208, "Not Found")</f>
        <v>0.80177407602356332</v>
      </c>
    </row>
    <row r="2481" spans="1:14" x14ac:dyDescent="0.25">
      <c r="A2481" s="1">
        <f>'[1]Global_Spot Prices'!$B3790</f>
        <v>45476</v>
      </c>
      <c r="B2481">
        <f>_xlfn.XLOOKUP(A2481,'[1]Global_Spot Prices'!$B:$B,'[1]Global_Spot Prices'!$BS:$BS)</f>
        <v>8.289999999999992</v>
      </c>
      <c r="C2481">
        <f>_xlfn.XLOOKUP(A2481,'[1]Global_Spot Prices'!$B:$B,'[1]Global_Spot Prices'!$E:$E)</f>
        <v>86.59</v>
      </c>
      <c r="D2481">
        <f>_xlfn.XLOOKUP(A2481,'[1]Global_Spot Prices'!$B:$B,'[1]Global_Spot Prices'!$D:$D)</f>
        <v>87.68</v>
      </c>
      <c r="E2481">
        <f>_xlfn.XLOOKUP(A2481,'[1]Global_Spot Prices'!$B:$B,'[1]Global_Spot Prices'!$H:$H)</f>
        <v>76.790000000000006</v>
      </c>
      <c r="F2481">
        <f>_xlfn.XLOOKUP(A2481,'[1]Global_Spot Prices'!$B:$B,'[1]Global_Spot Prices'!$I:$I)</f>
        <v>94.88</v>
      </c>
      <c r="G2481" cm="1">
        <f t="array" ref="G2481">_xlfn.XLOOKUP(TEXT(A2481, "mmm-yy"), TEXT([2]RUNS!$B$5:$B$208, "mmm-yy"), [2]RUNS!$D$5:$D$208, "Not Found")</f>
        <v>29570.229697825045</v>
      </c>
      <c r="H2481" cm="1">
        <f t="array" ref="H2481">SUMPRODUCT(
    --(TEXT('[3]Global Weekly Stock (EWSuez'!$B$4:$B$2000,"mmm-yy")=TEXT(A2481,"mmm-yy")),
    '[3]Global Weekly Stock (EWSuez'!$E$4:$E$2000)
/
SUMPRODUCT(
    --(TEXT('[3]Global Weekly Stock (EWSuez'!$B$4:$B$2000,"mmm-yy")=TEXT(A2481,"mmm-yy"))
)</f>
        <v>14488.75</v>
      </c>
      <c r="I2481">
        <f>_xlfn.XLOOKUP(A2481,[1]ForwardDeriv!$D:$D,[1]ForwardDeriv!$AJ:$AJ)</f>
        <v>1.1900000000000119</v>
      </c>
      <c r="J2481" cm="1">
        <f t="array" ref="J2481">_xlfn.XLOOKUP(TEXT(A2481, "mmm-yy"), TEXT([2]GASOLINE!$B$5:$B$208, "mmm-yy"), [2]GASOLINE!$IR$5:$IR$208, "Not Found")</f>
        <v>-463.87492243311453</v>
      </c>
      <c r="K2481" cm="1">
        <f t="array" ref="K2481">_xlfn.XLOOKUP(TEXT(A2481, "mmm-yy"), TEXT([2]GASOLINE!$B$5:$B$208, "mmm-yy"), [2]GASOLINE!$IK$5:$IK$208, "Not Found")</f>
        <v>265.72675218727682</v>
      </c>
      <c r="L2481">
        <f t="shared" si="38"/>
        <v>1</v>
      </c>
      <c r="M2481" cm="1">
        <f t="array" ref="M2481">_xlfn.XLOOKUP(TEXT(A2481, "mmm-yy"), TEXT([2]GASOLINE!$B$5:$B$208, "mmm-yy"), [2]GASOLINE!$C$5:$C$208, "Not Found")</f>
        <v>8017.974919279909</v>
      </c>
      <c r="N2481" cm="1">
        <f t="array" ref="N2481">_xlfn.XLOOKUP(TEXT(A2481, "mmm-yy"), TEXT([2]RUNS!$B$5:$B$208, "mmm-yy"), [2]RUNS!$BM$5:$BM$208, "Not Found")</f>
        <v>0.80177407602356332</v>
      </c>
    </row>
    <row r="2482" spans="1:14" x14ac:dyDescent="0.25">
      <c r="A2482" s="1">
        <f>'[1]Global_Spot Prices'!$B3791</f>
        <v>45477</v>
      </c>
      <c r="B2482">
        <f>_xlfn.XLOOKUP(A2482,'[1]Global_Spot Prices'!$B:$B,'[1]Global_Spot Prices'!$BS:$BS)</f>
        <v>7.8200000000000074</v>
      </c>
      <c r="C2482">
        <f>_xlfn.XLOOKUP(A2482,'[1]Global_Spot Prices'!$B:$B,'[1]Global_Spot Prices'!$E:$E)</f>
        <v>86.77</v>
      </c>
      <c r="D2482">
        <f>_xlfn.XLOOKUP(A2482,'[1]Global_Spot Prices'!$B:$B,'[1]Global_Spot Prices'!$D:$D)</f>
        <v>88.96</v>
      </c>
      <c r="E2482">
        <f>_xlfn.XLOOKUP(A2482,'[1]Global_Spot Prices'!$B:$B,'[1]Global_Spot Prices'!$H:$H)</f>
        <v>76.41</v>
      </c>
      <c r="F2482">
        <f>_xlfn.XLOOKUP(A2482,'[1]Global_Spot Prices'!$B:$B,'[1]Global_Spot Prices'!$I:$I)</f>
        <v>94.59</v>
      </c>
      <c r="G2482" cm="1">
        <f t="array" ref="G2482">_xlfn.XLOOKUP(TEXT(A2482, "mmm-yy"), TEXT([2]RUNS!$B$5:$B$208, "mmm-yy"), [2]RUNS!$D$5:$D$208, "Not Found")</f>
        <v>29570.229697825045</v>
      </c>
      <c r="H2482" cm="1">
        <f t="array" ref="H2482">SUMPRODUCT(
    --(TEXT('[3]Global Weekly Stock (EWSuez'!$B$4:$B$2000,"mmm-yy")=TEXT(A2482,"mmm-yy")),
    '[3]Global Weekly Stock (EWSuez'!$E$4:$E$2000)
/
SUMPRODUCT(
    --(TEXT('[3]Global Weekly Stock (EWSuez'!$B$4:$B$2000,"mmm-yy")=TEXT(A2482,"mmm-yy"))
)</f>
        <v>14488.75</v>
      </c>
      <c r="I2482">
        <f>_xlfn.XLOOKUP(A2482,[1]ForwardDeriv!$D:$D,[1]ForwardDeriv!$AJ:$AJ)</f>
        <v>1.1599999999999966</v>
      </c>
      <c r="J2482" cm="1">
        <f t="array" ref="J2482">_xlfn.XLOOKUP(TEXT(A2482, "mmm-yy"), TEXT([2]GASOLINE!$B$5:$B$208, "mmm-yy"), [2]GASOLINE!$IR$5:$IR$208, "Not Found")</f>
        <v>-463.87492243311453</v>
      </c>
      <c r="K2482" cm="1">
        <f t="array" ref="K2482">_xlfn.XLOOKUP(TEXT(A2482, "mmm-yy"), TEXT([2]GASOLINE!$B$5:$B$208, "mmm-yy"), [2]GASOLINE!$IK$5:$IK$208, "Not Found")</f>
        <v>265.72675218727682</v>
      </c>
      <c r="L2482">
        <f t="shared" si="38"/>
        <v>1</v>
      </c>
      <c r="M2482" cm="1">
        <f t="array" ref="M2482">_xlfn.XLOOKUP(TEXT(A2482, "mmm-yy"), TEXT([2]GASOLINE!$B$5:$B$208, "mmm-yy"), [2]GASOLINE!$C$5:$C$208, "Not Found")</f>
        <v>8017.974919279909</v>
      </c>
      <c r="N2482" cm="1">
        <f t="array" ref="N2482">_xlfn.XLOOKUP(TEXT(A2482, "mmm-yy"), TEXT([2]RUNS!$B$5:$B$208, "mmm-yy"), [2]RUNS!$BM$5:$BM$208, "Not Found")</f>
        <v>0.80177407602356332</v>
      </c>
    </row>
    <row r="2483" spans="1:14" x14ac:dyDescent="0.25">
      <c r="A2483" s="1">
        <f>'[1]Global_Spot Prices'!$B3792</f>
        <v>45478</v>
      </c>
      <c r="B2483">
        <f>_xlfn.XLOOKUP(A2483,'[1]Global_Spot Prices'!$B:$B,'[1]Global_Spot Prices'!$BS:$BS)</f>
        <v>6.9399999999999977</v>
      </c>
      <c r="C2483">
        <f>_xlfn.XLOOKUP(A2483,'[1]Global_Spot Prices'!$B:$B,'[1]Global_Spot Prices'!$E:$E)</f>
        <v>87.65</v>
      </c>
      <c r="D2483">
        <f>_xlfn.XLOOKUP(A2483,'[1]Global_Spot Prices'!$B:$B,'[1]Global_Spot Prices'!$D:$D)</f>
        <v>89.094999999999999</v>
      </c>
      <c r="E2483">
        <f>_xlfn.XLOOKUP(A2483,'[1]Global_Spot Prices'!$B:$B,'[1]Global_Spot Prices'!$H:$H)</f>
        <v>76.94</v>
      </c>
      <c r="F2483">
        <f>_xlfn.XLOOKUP(A2483,'[1]Global_Spot Prices'!$B:$B,'[1]Global_Spot Prices'!$I:$I)</f>
        <v>94.59</v>
      </c>
      <c r="G2483" cm="1">
        <f t="array" ref="G2483">_xlfn.XLOOKUP(TEXT(A2483, "mmm-yy"), TEXT([2]RUNS!$B$5:$B$208, "mmm-yy"), [2]RUNS!$D$5:$D$208, "Not Found")</f>
        <v>29570.229697825045</v>
      </c>
      <c r="H2483" cm="1">
        <f t="array" ref="H2483">SUMPRODUCT(
    --(TEXT('[3]Global Weekly Stock (EWSuez'!$B$4:$B$2000,"mmm-yy")=TEXT(A2483,"mmm-yy")),
    '[3]Global Weekly Stock (EWSuez'!$E$4:$E$2000)
/
SUMPRODUCT(
    --(TEXT('[3]Global Weekly Stock (EWSuez'!$B$4:$B$2000,"mmm-yy")=TEXT(A2483,"mmm-yy"))
)</f>
        <v>14488.75</v>
      </c>
      <c r="I2483">
        <f>_xlfn.XLOOKUP(A2483,[1]ForwardDeriv!$D:$D,[1]ForwardDeriv!$AJ:$AJ)</f>
        <v>0.93000000000000682</v>
      </c>
      <c r="J2483" cm="1">
        <f t="array" ref="J2483">_xlfn.XLOOKUP(TEXT(A2483, "mmm-yy"), TEXT([2]GASOLINE!$B$5:$B$208, "mmm-yy"), [2]GASOLINE!$IR$5:$IR$208, "Not Found")</f>
        <v>-463.87492243311453</v>
      </c>
      <c r="K2483" cm="1">
        <f t="array" ref="K2483">_xlfn.XLOOKUP(TEXT(A2483, "mmm-yy"), TEXT([2]GASOLINE!$B$5:$B$208, "mmm-yy"), [2]GASOLINE!$IK$5:$IK$208, "Not Found")</f>
        <v>265.72675218727682</v>
      </c>
      <c r="L2483">
        <f t="shared" si="38"/>
        <v>1</v>
      </c>
      <c r="M2483" cm="1">
        <f t="array" ref="M2483">_xlfn.XLOOKUP(TEXT(A2483, "mmm-yy"), TEXT([2]GASOLINE!$B$5:$B$208, "mmm-yy"), [2]GASOLINE!$C$5:$C$208, "Not Found")</f>
        <v>8017.974919279909</v>
      </c>
      <c r="N2483" cm="1">
        <f t="array" ref="N2483">_xlfn.XLOOKUP(TEXT(A2483, "mmm-yy"), TEXT([2]RUNS!$B$5:$B$208, "mmm-yy"), [2]RUNS!$BM$5:$BM$208, "Not Found")</f>
        <v>0.80177407602356332</v>
      </c>
    </row>
    <row r="2484" spans="1:14" x14ac:dyDescent="0.25">
      <c r="A2484" s="1">
        <f>'[1]Global_Spot Prices'!$B3793</f>
        <v>45481</v>
      </c>
      <c r="B2484">
        <f ca="1">_xlfn.XLOOKUP(A2484,'[1]Global_Spot Prices'!$B:$B,'[1]Global_Spot Prices'!$BS:$BS)</f>
        <v>7.5600000000000023</v>
      </c>
      <c r="C2484">
        <f>_xlfn.XLOOKUP(A2484,'[1]Global_Spot Prices'!$B:$B,'[1]Global_Spot Prices'!$E:$E)</f>
        <v>86.19</v>
      </c>
      <c r="D2484">
        <f>_xlfn.XLOOKUP(A2484,'[1]Global_Spot Prices'!$B:$B,'[1]Global_Spot Prices'!$D:$D)</f>
        <v>87.73</v>
      </c>
      <c r="E2484">
        <f>_xlfn.XLOOKUP(A2484,'[1]Global_Spot Prices'!$B:$B,'[1]Global_Spot Prices'!$H:$H)</f>
        <v>76.069999999999993</v>
      </c>
      <c r="F2484">
        <f>_xlfn.XLOOKUP(A2484,'[1]Global_Spot Prices'!$B:$B,'[1]Global_Spot Prices'!$I:$I)</f>
        <v>93.75</v>
      </c>
      <c r="G2484" cm="1">
        <f t="array" ref="G2484">_xlfn.XLOOKUP(TEXT(A2484, "mmm-yy"), TEXT([2]RUNS!$B$5:$B$208, "mmm-yy"), [2]RUNS!$D$5:$D$208, "Not Found")</f>
        <v>29570.229697825045</v>
      </c>
      <c r="H2484" cm="1">
        <f t="array" ref="H2484">SUMPRODUCT(
    --(TEXT('[3]Global Weekly Stock (EWSuez'!$B$4:$B$2000,"mmm-yy")=TEXT(A2484,"mmm-yy")),
    '[3]Global Weekly Stock (EWSuez'!$E$4:$E$2000)
/
SUMPRODUCT(
    --(TEXT('[3]Global Weekly Stock (EWSuez'!$B$4:$B$2000,"mmm-yy")=TEXT(A2484,"mmm-yy"))
)</f>
        <v>14488.75</v>
      </c>
      <c r="I2484">
        <f>_xlfn.XLOOKUP(A2484,[1]ForwardDeriv!$D:$D,[1]ForwardDeriv!$AJ:$AJ)</f>
        <v>0.86000000000001364</v>
      </c>
      <c r="J2484" cm="1">
        <f t="array" ref="J2484">_xlfn.XLOOKUP(TEXT(A2484, "mmm-yy"), TEXT([2]GASOLINE!$B$5:$B$208, "mmm-yy"), [2]GASOLINE!$IR$5:$IR$208, "Not Found")</f>
        <v>-463.87492243311453</v>
      </c>
      <c r="K2484" cm="1">
        <f t="array" ref="K2484">_xlfn.XLOOKUP(TEXT(A2484, "mmm-yy"), TEXT([2]GASOLINE!$B$5:$B$208, "mmm-yy"), [2]GASOLINE!$IK$5:$IK$208, "Not Found")</f>
        <v>265.72675218727682</v>
      </c>
      <c r="L2484">
        <f t="shared" si="38"/>
        <v>1</v>
      </c>
      <c r="M2484" cm="1">
        <f t="array" ref="M2484">_xlfn.XLOOKUP(TEXT(A2484, "mmm-yy"), TEXT([2]GASOLINE!$B$5:$B$208, "mmm-yy"), [2]GASOLINE!$C$5:$C$208, "Not Found")</f>
        <v>8017.974919279909</v>
      </c>
      <c r="N2484" cm="1">
        <f t="array" ref="N2484">_xlfn.XLOOKUP(TEXT(A2484, "mmm-yy"), TEXT([2]RUNS!$B$5:$B$208, "mmm-yy"), [2]RUNS!$BM$5:$BM$208, "Not Found")</f>
        <v>0.80177407602356332</v>
      </c>
    </row>
    <row r="2485" spans="1:14" x14ac:dyDescent="0.25">
      <c r="A2485" s="1">
        <f>'[1]Global_Spot Prices'!$B3794</f>
        <v>45482</v>
      </c>
      <c r="B2485">
        <f>_xlfn.XLOOKUP(A2485,'[1]Global_Spot Prices'!$B:$B,'[1]Global_Spot Prices'!$BS:$BS)</f>
        <v>6.9899999999999949</v>
      </c>
      <c r="C2485">
        <f>_xlfn.XLOOKUP(A2485,'[1]Global_Spot Prices'!$B:$B,'[1]Global_Spot Prices'!$E:$E)</f>
        <v>85.62</v>
      </c>
      <c r="D2485">
        <f>_xlfn.XLOOKUP(A2485,'[1]Global_Spot Prices'!$B:$B,'[1]Global_Spot Prices'!$D:$D)</f>
        <v>86.094999999999999</v>
      </c>
      <c r="E2485">
        <f>_xlfn.XLOOKUP(A2485,'[1]Global_Spot Prices'!$B:$B,'[1]Global_Spot Prices'!$H:$H)</f>
        <v>75.38</v>
      </c>
      <c r="F2485">
        <f>_xlfn.XLOOKUP(A2485,'[1]Global_Spot Prices'!$B:$B,'[1]Global_Spot Prices'!$I:$I)</f>
        <v>92.61</v>
      </c>
      <c r="G2485" cm="1">
        <f t="array" ref="G2485">_xlfn.XLOOKUP(TEXT(A2485, "mmm-yy"), TEXT([2]RUNS!$B$5:$B$208, "mmm-yy"), [2]RUNS!$D$5:$D$208, "Not Found")</f>
        <v>29570.229697825045</v>
      </c>
      <c r="H2485" cm="1">
        <f t="array" ref="H2485">SUMPRODUCT(
    --(TEXT('[3]Global Weekly Stock (EWSuez'!$B$4:$B$2000,"mmm-yy")=TEXT(A2485,"mmm-yy")),
    '[3]Global Weekly Stock (EWSuez'!$E$4:$E$2000)
/
SUMPRODUCT(
    --(TEXT('[3]Global Weekly Stock (EWSuez'!$B$4:$B$2000,"mmm-yy")=TEXT(A2485,"mmm-yy"))
)</f>
        <v>14488.75</v>
      </c>
      <c r="I2485">
        <f>_xlfn.XLOOKUP(A2485,[1]ForwardDeriv!$D:$D,[1]ForwardDeriv!$AJ:$AJ)</f>
        <v>0.84000000000000341</v>
      </c>
      <c r="J2485" cm="1">
        <f t="array" ref="J2485">_xlfn.XLOOKUP(TEXT(A2485, "mmm-yy"), TEXT([2]GASOLINE!$B$5:$B$208, "mmm-yy"), [2]GASOLINE!$IR$5:$IR$208, "Not Found")</f>
        <v>-463.87492243311453</v>
      </c>
      <c r="K2485" cm="1">
        <f t="array" ref="K2485">_xlfn.XLOOKUP(TEXT(A2485, "mmm-yy"), TEXT([2]GASOLINE!$B$5:$B$208, "mmm-yy"), [2]GASOLINE!$IK$5:$IK$208, "Not Found")</f>
        <v>265.72675218727682</v>
      </c>
      <c r="L2485">
        <f t="shared" si="38"/>
        <v>1</v>
      </c>
      <c r="M2485" cm="1">
        <f t="array" ref="M2485">_xlfn.XLOOKUP(TEXT(A2485, "mmm-yy"), TEXT([2]GASOLINE!$B$5:$B$208, "mmm-yy"), [2]GASOLINE!$C$5:$C$208, "Not Found")</f>
        <v>8017.974919279909</v>
      </c>
      <c r="N2485" cm="1">
        <f t="array" ref="N2485">_xlfn.XLOOKUP(TEXT(A2485, "mmm-yy"), TEXT([2]RUNS!$B$5:$B$208, "mmm-yy"), [2]RUNS!$BM$5:$BM$208, "Not Found")</f>
        <v>0.80177407602356332</v>
      </c>
    </row>
    <row r="2486" spans="1:14" x14ac:dyDescent="0.25">
      <c r="A2486" s="1">
        <f>'[1]Global_Spot Prices'!$B3795</f>
        <v>45483</v>
      </c>
      <c r="B2486">
        <f>_xlfn.XLOOKUP(A2486,'[1]Global_Spot Prices'!$B:$B,'[1]Global_Spot Prices'!$BS:$BS)</f>
        <v>6.6000000000000085</v>
      </c>
      <c r="C2486">
        <f>_xlfn.XLOOKUP(A2486,'[1]Global_Spot Prices'!$B:$B,'[1]Global_Spot Prices'!$E:$E)</f>
        <v>84.58</v>
      </c>
      <c r="D2486">
        <f>_xlfn.XLOOKUP(A2486,'[1]Global_Spot Prices'!$B:$B,'[1]Global_Spot Prices'!$D:$D)</f>
        <v>87.075000000000003</v>
      </c>
      <c r="E2486">
        <f>_xlfn.XLOOKUP(A2486,'[1]Global_Spot Prices'!$B:$B,'[1]Global_Spot Prices'!$H:$H)</f>
        <v>73.61</v>
      </c>
      <c r="F2486">
        <f>_xlfn.XLOOKUP(A2486,'[1]Global_Spot Prices'!$B:$B,'[1]Global_Spot Prices'!$I:$I)</f>
        <v>91.18</v>
      </c>
      <c r="G2486" cm="1">
        <f t="array" ref="G2486">_xlfn.XLOOKUP(TEXT(A2486, "mmm-yy"), TEXT([2]RUNS!$B$5:$B$208, "mmm-yy"), [2]RUNS!$D$5:$D$208, "Not Found")</f>
        <v>29570.229697825045</v>
      </c>
      <c r="H2486" cm="1">
        <f t="array" ref="H2486">SUMPRODUCT(
    --(TEXT('[3]Global Weekly Stock (EWSuez'!$B$4:$B$2000,"mmm-yy")=TEXT(A2486,"mmm-yy")),
    '[3]Global Weekly Stock (EWSuez'!$E$4:$E$2000)
/
SUMPRODUCT(
    --(TEXT('[3]Global Weekly Stock (EWSuez'!$B$4:$B$2000,"mmm-yy")=TEXT(A2486,"mmm-yy"))
)</f>
        <v>14488.75</v>
      </c>
      <c r="I2486">
        <f>_xlfn.XLOOKUP(A2486,[1]ForwardDeriv!$D:$D,[1]ForwardDeriv!$AJ:$AJ)</f>
        <v>0.79000000000000625</v>
      </c>
      <c r="J2486" cm="1">
        <f t="array" ref="J2486">_xlfn.XLOOKUP(TEXT(A2486, "mmm-yy"), TEXT([2]GASOLINE!$B$5:$B$208, "mmm-yy"), [2]GASOLINE!$IR$5:$IR$208, "Not Found")</f>
        <v>-463.87492243311453</v>
      </c>
      <c r="K2486" cm="1">
        <f t="array" ref="K2486">_xlfn.XLOOKUP(TEXT(A2486, "mmm-yy"), TEXT([2]GASOLINE!$B$5:$B$208, "mmm-yy"), [2]GASOLINE!$IK$5:$IK$208, "Not Found")</f>
        <v>265.72675218727682</v>
      </c>
      <c r="L2486">
        <f t="shared" si="38"/>
        <v>1</v>
      </c>
      <c r="M2486" cm="1">
        <f t="array" ref="M2486">_xlfn.XLOOKUP(TEXT(A2486, "mmm-yy"), TEXT([2]GASOLINE!$B$5:$B$208, "mmm-yy"), [2]GASOLINE!$C$5:$C$208, "Not Found")</f>
        <v>8017.974919279909</v>
      </c>
      <c r="N2486" cm="1">
        <f t="array" ref="N2486">_xlfn.XLOOKUP(TEXT(A2486, "mmm-yy"), TEXT([2]RUNS!$B$5:$B$208, "mmm-yy"), [2]RUNS!$BM$5:$BM$208, "Not Found")</f>
        <v>0.80177407602356332</v>
      </c>
    </row>
    <row r="2487" spans="1:14" x14ac:dyDescent="0.25">
      <c r="A2487" s="1">
        <f>'[1]Global_Spot Prices'!$B3796</f>
        <v>45484</v>
      </c>
      <c r="B2487">
        <f>_xlfn.XLOOKUP(A2487,'[1]Global_Spot Prices'!$B:$B,'[1]Global_Spot Prices'!$BS:$BS)</f>
        <v>6.5799999999999983</v>
      </c>
      <c r="C2487">
        <f>_xlfn.XLOOKUP(A2487,'[1]Global_Spot Prices'!$B:$B,'[1]Global_Spot Prices'!$E:$E)</f>
        <v>85.48</v>
      </c>
      <c r="D2487">
        <f>_xlfn.XLOOKUP(A2487,'[1]Global_Spot Prices'!$B:$B,'[1]Global_Spot Prices'!$D:$D)</f>
        <v>87.314999999999998</v>
      </c>
      <c r="E2487">
        <f>_xlfn.XLOOKUP(A2487,'[1]Global_Spot Prices'!$B:$B,'[1]Global_Spot Prices'!$H:$H)</f>
        <v>74.42</v>
      </c>
      <c r="F2487">
        <f>_xlfn.XLOOKUP(A2487,'[1]Global_Spot Prices'!$B:$B,'[1]Global_Spot Prices'!$I:$I)</f>
        <v>92.06</v>
      </c>
      <c r="G2487" cm="1">
        <f t="array" ref="G2487">_xlfn.XLOOKUP(TEXT(A2487, "mmm-yy"), TEXT([2]RUNS!$B$5:$B$208, "mmm-yy"), [2]RUNS!$D$5:$D$208, "Not Found")</f>
        <v>29570.229697825045</v>
      </c>
      <c r="H2487" cm="1">
        <f t="array" ref="H2487">SUMPRODUCT(
    --(TEXT('[3]Global Weekly Stock (EWSuez'!$B$4:$B$2000,"mmm-yy")=TEXT(A2487,"mmm-yy")),
    '[3]Global Weekly Stock (EWSuez'!$E$4:$E$2000)
/
SUMPRODUCT(
    --(TEXT('[3]Global Weekly Stock (EWSuez'!$B$4:$B$2000,"mmm-yy")=TEXT(A2487,"mmm-yy"))
)</f>
        <v>14488.75</v>
      </c>
      <c r="I2487">
        <f>_xlfn.XLOOKUP(A2487,[1]ForwardDeriv!$D:$D,[1]ForwardDeriv!$AJ:$AJ)</f>
        <v>0.76000000000000512</v>
      </c>
      <c r="J2487" cm="1">
        <f t="array" ref="J2487">_xlfn.XLOOKUP(TEXT(A2487, "mmm-yy"), TEXT([2]GASOLINE!$B$5:$B$208, "mmm-yy"), [2]GASOLINE!$IR$5:$IR$208, "Not Found")</f>
        <v>-463.87492243311453</v>
      </c>
      <c r="K2487" cm="1">
        <f t="array" ref="K2487">_xlfn.XLOOKUP(TEXT(A2487, "mmm-yy"), TEXT([2]GASOLINE!$B$5:$B$208, "mmm-yy"), [2]GASOLINE!$IK$5:$IK$208, "Not Found")</f>
        <v>265.72675218727682</v>
      </c>
      <c r="L2487">
        <f t="shared" si="38"/>
        <v>1</v>
      </c>
      <c r="M2487" cm="1">
        <f t="array" ref="M2487">_xlfn.XLOOKUP(TEXT(A2487, "mmm-yy"), TEXT([2]GASOLINE!$B$5:$B$208, "mmm-yy"), [2]GASOLINE!$C$5:$C$208, "Not Found")</f>
        <v>8017.974919279909</v>
      </c>
      <c r="N2487" cm="1">
        <f t="array" ref="N2487">_xlfn.XLOOKUP(TEXT(A2487, "mmm-yy"), TEXT([2]RUNS!$B$5:$B$208, "mmm-yy"), [2]RUNS!$BM$5:$BM$208, "Not Found")</f>
        <v>0.80177407602356332</v>
      </c>
    </row>
    <row r="2488" spans="1:14" x14ac:dyDescent="0.25">
      <c r="A2488" s="1">
        <f>'[1]Global_Spot Prices'!$B3797</f>
        <v>45485</v>
      </c>
      <c r="B2488">
        <f>_xlfn.XLOOKUP(A2488,'[1]Global_Spot Prices'!$B:$B,'[1]Global_Spot Prices'!$BS:$BS)</f>
        <v>8.4399999999999977</v>
      </c>
      <c r="C2488">
        <f>_xlfn.XLOOKUP(A2488,'[1]Global_Spot Prices'!$B:$B,'[1]Global_Spot Prices'!$E:$E)</f>
        <v>85.64</v>
      </c>
      <c r="D2488">
        <f>_xlfn.XLOOKUP(A2488,'[1]Global_Spot Prices'!$B:$B,'[1]Global_Spot Prices'!$D:$D)</f>
        <v>87.715000000000003</v>
      </c>
      <c r="E2488">
        <f>_xlfn.XLOOKUP(A2488,'[1]Global_Spot Prices'!$B:$B,'[1]Global_Spot Prices'!$H:$H)</f>
        <v>74.78</v>
      </c>
      <c r="F2488">
        <f>_xlfn.XLOOKUP(A2488,'[1]Global_Spot Prices'!$B:$B,'[1]Global_Spot Prices'!$I:$I)</f>
        <v>94.08</v>
      </c>
      <c r="G2488" cm="1">
        <f t="array" ref="G2488">_xlfn.XLOOKUP(TEXT(A2488, "mmm-yy"), TEXT([2]RUNS!$B$5:$B$208, "mmm-yy"), [2]RUNS!$D$5:$D$208, "Not Found")</f>
        <v>29570.229697825045</v>
      </c>
      <c r="H2488" cm="1">
        <f t="array" ref="H2488">SUMPRODUCT(
    --(TEXT('[3]Global Weekly Stock (EWSuez'!$B$4:$B$2000,"mmm-yy")=TEXT(A2488,"mmm-yy")),
    '[3]Global Weekly Stock (EWSuez'!$E$4:$E$2000)
/
SUMPRODUCT(
    --(TEXT('[3]Global Weekly Stock (EWSuez'!$B$4:$B$2000,"mmm-yy")=TEXT(A2488,"mmm-yy"))
)</f>
        <v>14488.75</v>
      </c>
      <c r="I2488">
        <f>_xlfn.XLOOKUP(A2488,[1]ForwardDeriv!$D:$D,[1]ForwardDeriv!$AJ:$AJ)</f>
        <v>1.3400000000000034</v>
      </c>
      <c r="J2488" cm="1">
        <f t="array" ref="J2488">_xlfn.XLOOKUP(TEXT(A2488, "mmm-yy"), TEXT([2]GASOLINE!$B$5:$B$208, "mmm-yy"), [2]GASOLINE!$IR$5:$IR$208, "Not Found")</f>
        <v>-463.87492243311453</v>
      </c>
      <c r="K2488" cm="1">
        <f t="array" ref="K2488">_xlfn.XLOOKUP(TEXT(A2488, "mmm-yy"), TEXT([2]GASOLINE!$B$5:$B$208, "mmm-yy"), [2]GASOLINE!$IK$5:$IK$208, "Not Found")</f>
        <v>265.72675218727682</v>
      </c>
      <c r="L2488">
        <f t="shared" si="38"/>
        <v>1</v>
      </c>
      <c r="M2488" cm="1">
        <f t="array" ref="M2488">_xlfn.XLOOKUP(TEXT(A2488, "mmm-yy"), TEXT([2]GASOLINE!$B$5:$B$208, "mmm-yy"), [2]GASOLINE!$C$5:$C$208, "Not Found")</f>
        <v>8017.974919279909</v>
      </c>
      <c r="N2488" cm="1">
        <f t="array" ref="N2488">_xlfn.XLOOKUP(TEXT(A2488, "mmm-yy"), TEXT([2]RUNS!$B$5:$B$208, "mmm-yy"), [2]RUNS!$BM$5:$BM$208, "Not Found")</f>
        <v>0.80177407602356332</v>
      </c>
    </row>
    <row r="2489" spans="1:14" x14ac:dyDescent="0.25">
      <c r="A2489" s="1">
        <f>'[1]Global_Spot Prices'!$B3798</f>
        <v>45488</v>
      </c>
      <c r="B2489">
        <f>_xlfn.XLOOKUP(A2489,'[1]Global_Spot Prices'!$B:$B,'[1]Global_Spot Prices'!$BS:$BS)</f>
        <v>8.75</v>
      </c>
      <c r="C2489">
        <f>_xlfn.XLOOKUP(A2489,'[1]Global_Spot Prices'!$B:$B,'[1]Global_Spot Prices'!$E:$E)</f>
        <v>84.68</v>
      </c>
      <c r="D2489">
        <f>_xlfn.XLOOKUP(A2489,'[1]Global_Spot Prices'!$B:$B,'[1]Global_Spot Prices'!$D:$D)</f>
        <v>86.67</v>
      </c>
      <c r="E2489">
        <f>_xlfn.XLOOKUP(A2489,'[1]Global_Spot Prices'!$B:$B,'[1]Global_Spot Prices'!$H:$H)</f>
        <v>74.540000000000006</v>
      </c>
      <c r="F2489">
        <f>_xlfn.XLOOKUP(A2489,'[1]Global_Spot Prices'!$B:$B,'[1]Global_Spot Prices'!$I:$I)</f>
        <v>93.43</v>
      </c>
      <c r="G2489" cm="1">
        <f t="array" ref="G2489">_xlfn.XLOOKUP(TEXT(A2489, "mmm-yy"), TEXT([2]RUNS!$B$5:$B$208, "mmm-yy"), [2]RUNS!$D$5:$D$208, "Not Found")</f>
        <v>29570.229697825045</v>
      </c>
      <c r="H2489" cm="1">
        <f t="array" ref="H2489">SUMPRODUCT(
    --(TEXT('[3]Global Weekly Stock (EWSuez'!$B$4:$B$2000,"mmm-yy")=TEXT(A2489,"mmm-yy")),
    '[3]Global Weekly Stock (EWSuez'!$E$4:$E$2000)
/
SUMPRODUCT(
    --(TEXT('[3]Global Weekly Stock (EWSuez'!$B$4:$B$2000,"mmm-yy")=TEXT(A2489,"mmm-yy"))
)</f>
        <v>14488.75</v>
      </c>
      <c r="I2489">
        <f>_xlfn.XLOOKUP(A2489,[1]ForwardDeriv!$D:$D,[1]ForwardDeriv!$AJ:$AJ)</f>
        <v>1.25</v>
      </c>
      <c r="J2489" cm="1">
        <f t="array" ref="J2489">_xlfn.XLOOKUP(TEXT(A2489, "mmm-yy"), TEXT([2]GASOLINE!$B$5:$B$208, "mmm-yy"), [2]GASOLINE!$IR$5:$IR$208, "Not Found")</f>
        <v>-463.87492243311453</v>
      </c>
      <c r="K2489" cm="1">
        <f t="array" ref="K2489">_xlfn.XLOOKUP(TEXT(A2489, "mmm-yy"), TEXT([2]GASOLINE!$B$5:$B$208, "mmm-yy"), [2]GASOLINE!$IK$5:$IK$208, "Not Found")</f>
        <v>265.72675218727682</v>
      </c>
      <c r="L2489">
        <f t="shared" si="38"/>
        <v>1</v>
      </c>
      <c r="M2489" cm="1">
        <f t="array" ref="M2489">_xlfn.XLOOKUP(TEXT(A2489, "mmm-yy"), TEXT([2]GASOLINE!$B$5:$B$208, "mmm-yy"), [2]GASOLINE!$C$5:$C$208, "Not Found")</f>
        <v>8017.974919279909</v>
      </c>
      <c r="N2489" cm="1">
        <f t="array" ref="N2489">_xlfn.XLOOKUP(TEXT(A2489, "mmm-yy"), TEXT([2]RUNS!$B$5:$B$208, "mmm-yy"), [2]RUNS!$BM$5:$BM$208, "Not Found")</f>
        <v>0.80177407602356332</v>
      </c>
    </row>
    <row r="2490" spans="1:14" x14ac:dyDescent="0.25">
      <c r="A2490" s="1">
        <f>'[1]Global_Spot Prices'!$B3799</f>
        <v>45489</v>
      </c>
      <c r="B2490">
        <f>_xlfn.XLOOKUP(A2490,'[1]Global_Spot Prices'!$B:$B,'[1]Global_Spot Prices'!$BS:$BS)</f>
        <v>8.2800000000000011</v>
      </c>
      <c r="C2490">
        <f>_xlfn.XLOOKUP(A2490,'[1]Global_Spot Prices'!$B:$B,'[1]Global_Spot Prices'!$E:$E)</f>
        <v>83.85</v>
      </c>
      <c r="D2490">
        <f>_xlfn.XLOOKUP(A2490,'[1]Global_Spot Prices'!$B:$B,'[1]Global_Spot Prices'!$D:$D)</f>
        <v>85.63</v>
      </c>
      <c r="E2490">
        <f>_xlfn.XLOOKUP(A2490,'[1]Global_Spot Prices'!$B:$B,'[1]Global_Spot Prices'!$H:$H)</f>
        <v>74.12</v>
      </c>
      <c r="F2490">
        <f>_xlfn.XLOOKUP(A2490,'[1]Global_Spot Prices'!$B:$B,'[1]Global_Spot Prices'!$I:$I)</f>
        <v>92.13</v>
      </c>
      <c r="G2490" cm="1">
        <f t="array" ref="G2490">_xlfn.XLOOKUP(TEXT(A2490, "mmm-yy"), TEXT([2]RUNS!$B$5:$B$208, "mmm-yy"), [2]RUNS!$D$5:$D$208, "Not Found")</f>
        <v>29570.229697825045</v>
      </c>
      <c r="H2490" cm="1">
        <f t="array" ref="H2490">SUMPRODUCT(
    --(TEXT('[3]Global Weekly Stock (EWSuez'!$B$4:$B$2000,"mmm-yy")=TEXT(A2490,"mmm-yy")),
    '[3]Global Weekly Stock (EWSuez'!$E$4:$E$2000)
/
SUMPRODUCT(
    --(TEXT('[3]Global Weekly Stock (EWSuez'!$B$4:$B$2000,"mmm-yy")=TEXT(A2490,"mmm-yy"))
)</f>
        <v>14488.75</v>
      </c>
      <c r="I2490">
        <f>_xlfn.XLOOKUP(A2490,[1]ForwardDeriv!$D:$D,[1]ForwardDeriv!$AJ:$AJ)</f>
        <v>1.1200000000000045</v>
      </c>
      <c r="J2490" cm="1">
        <f t="array" ref="J2490">_xlfn.XLOOKUP(TEXT(A2490, "mmm-yy"), TEXT([2]GASOLINE!$B$5:$B$208, "mmm-yy"), [2]GASOLINE!$IR$5:$IR$208, "Not Found")</f>
        <v>-463.87492243311453</v>
      </c>
      <c r="K2490" cm="1">
        <f t="array" ref="K2490">_xlfn.XLOOKUP(TEXT(A2490, "mmm-yy"), TEXT([2]GASOLINE!$B$5:$B$208, "mmm-yy"), [2]GASOLINE!$IK$5:$IK$208, "Not Found")</f>
        <v>265.72675218727682</v>
      </c>
      <c r="L2490">
        <f t="shared" si="38"/>
        <v>1</v>
      </c>
      <c r="M2490" cm="1">
        <f t="array" ref="M2490">_xlfn.XLOOKUP(TEXT(A2490, "mmm-yy"), TEXT([2]GASOLINE!$B$5:$B$208, "mmm-yy"), [2]GASOLINE!$C$5:$C$208, "Not Found")</f>
        <v>8017.974919279909</v>
      </c>
      <c r="N2490" cm="1">
        <f t="array" ref="N2490">_xlfn.XLOOKUP(TEXT(A2490, "mmm-yy"), TEXT([2]RUNS!$B$5:$B$208, "mmm-yy"), [2]RUNS!$BM$5:$BM$208, "Not Found")</f>
        <v>0.80177407602356332</v>
      </c>
    </row>
    <row r="2491" spans="1:14" x14ac:dyDescent="0.25">
      <c r="A2491" s="1">
        <f>'[1]Global_Spot Prices'!$B3800</f>
        <v>45490</v>
      </c>
      <c r="B2491">
        <f>_xlfn.XLOOKUP(A2491,'[1]Global_Spot Prices'!$B:$B,'[1]Global_Spot Prices'!$BS:$BS)</f>
        <v>8.25</v>
      </c>
      <c r="C2491">
        <f>_xlfn.XLOOKUP(A2491,'[1]Global_Spot Prices'!$B:$B,'[1]Global_Spot Prices'!$E:$E)</f>
        <v>83.7</v>
      </c>
      <c r="D2491">
        <f>_xlfn.XLOOKUP(A2491,'[1]Global_Spot Prices'!$B:$B,'[1]Global_Spot Prices'!$D:$D)</f>
        <v>86.2</v>
      </c>
      <c r="E2491">
        <f>_xlfn.XLOOKUP(A2491,'[1]Global_Spot Prices'!$B:$B,'[1]Global_Spot Prices'!$H:$H)</f>
        <v>74.25</v>
      </c>
      <c r="F2491">
        <f>_xlfn.XLOOKUP(A2491,'[1]Global_Spot Prices'!$B:$B,'[1]Global_Spot Prices'!$I:$I)</f>
        <v>91.95</v>
      </c>
      <c r="G2491" cm="1">
        <f t="array" ref="G2491">_xlfn.XLOOKUP(TEXT(A2491, "mmm-yy"), TEXT([2]RUNS!$B$5:$B$208, "mmm-yy"), [2]RUNS!$D$5:$D$208, "Not Found")</f>
        <v>29570.229697825045</v>
      </c>
      <c r="H2491" cm="1">
        <f t="array" ref="H2491">SUMPRODUCT(
    --(TEXT('[3]Global Weekly Stock (EWSuez'!$B$4:$B$2000,"mmm-yy")=TEXT(A2491,"mmm-yy")),
    '[3]Global Weekly Stock (EWSuez'!$E$4:$E$2000)
/
SUMPRODUCT(
    --(TEXT('[3]Global Weekly Stock (EWSuez'!$B$4:$B$2000,"mmm-yy")=TEXT(A2491,"mmm-yy"))
)</f>
        <v>14488.75</v>
      </c>
      <c r="I2491">
        <f>_xlfn.XLOOKUP(A2491,[1]ForwardDeriv!$D:$D,[1]ForwardDeriv!$AJ:$AJ)</f>
        <v>1.0999999999999943</v>
      </c>
      <c r="J2491" cm="1">
        <f t="array" ref="J2491">_xlfn.XLOOKUP(TEXT(A2491, "mmm-yy"), TEXT([2]GASOLINE!$B$5:$B$208, "mmm-yy"), [2]GASOLINE!$IR$5:$IR$208, "Not Found")</f>
        <v>-463.87492243311453</v>
      </c>
      <c r="K2491" cm="1">
        <f t="array" ref="K2491">_xlfn.XLOOKUP(TEXT(A2491, "mmm-yy"), TEXT([2]GASOLINE!$B$5:$B$208, "mmm-yy"), [2]GASOLINE!$IK$5:$IK$208, "Not Found")</f>
        <v>265.72675218727682</v>
      </c>
      <c r="L2491">
        <f t="shared" si="38"/>
        <v>1</v>
      </c>
      <c r="M2491" cm="1">
        <f t="array" ref="M2491">_xlfn.XLOOKUP(TEXT(A2491, "mmm-yy"), TEXT([2]GASOLINE!$B$5:$B$208, "mmm-yy"), [2]GASOLINE!$C$5:$C$208, "Not Found")</f>
        <v>8017.974919279909</v>
      </c>
      <c r="N2491" cm="1">
        <f t="array" ref="N2491">_xlfn.XLOOKUP(TEXT(A2491, "mmm-yy"), TEXT([2]RUNS!$B$5:$B$208, "mmm-yy"), [2]RUNS!$BM$5:$BM$208, "Not Found")</f>
        <v>0.80177407602356332</v>
      </c>
    </row>
    <row r="2492" spans="1:14" x14ac:dyDescent="0.25">
      <c r="A2492" s="1">
        <f>'[1]Global_Spot Prices'!$B3801</f>
        <v>45491</v>
      </c>
      <c r="B2492">
        <f>_xlfn.XLOOKUP(A2492,'[1]Global_Spot Prices'!$B:$B,'[1]Global_Spot Prices'!$BS:$BS)</f>
        <v>8.4200000000000017</v>
      </c>
      <c r="C2492">
        <f>_xlfn.XLOOKUP(A2492,'[1]Global_Spot Prices'!$B:$B,'[1]Global_Spot Prices'!$E:$E)</f>
        <v>84.8</v>
      </c>
      <c r="D2492">
        <f>_xlfn.XLOOKUP(A2492,'[1]Global_Spot Prices'!$B:$B,'[1]Global_Spot Prices'!$D:$D)</f>
        <v>86.49</v>
      </c>
      <c r="E2492">
        <f>_xlfn.XLOOKUP(A2492,'[1]Global_Spot Prices'!$B:$B,'[1]Global_Spot Prices'!$H:$H)</f>
        <v>75.58</v>
      </c>
      <c r="F2492">
        <f ca="1">_xlfn.XLOOKUP(A2492,'[1]Global_Spot Prices'!$B:$B,'[1]Global_Spot Prices'!$I:$I)</f>
        <v>93.22</v>
      </c>
      <c r="G2492" cm="1">
        <f t="array" ref="G2492">_xlfn.XLOOKUP(TEXT(A2492, "mmm-yy"), TEXT([2]RUNS!$B$5:$B$208, "mmm-yy"), [2]RUNS!$D$5:$D$208, "Not Found")</f>
        <v>29570.229697825045</v>
      </c>
      <c r="H2492" cm="1">
        <f t="array" ref="H2492">SUMPRODUCT(
    --(TEXT('[3]Global Weekly Stock (EWSuez'!$B$4:$B$2000,"mmm-yy")=TEXT(A2492,"mmm-yy")),
    '[3]Global Weekly Stock (EWSuez'!$E$4:$E$2000)
/
SUMPRODUCT(
    --(TEXT('[3]Global Weekly Stock (EWSuez'!$B$4:$B$2000,"mmm-yy")=TEXT(A2492,"mmm-yy"))
)</f>
        <v>14488.75</v>
      </c>
      <c r="I2492">
        <f>_xlfn.XLOOKUP(A2492,[1]ForwardDeriv!$D:$D,[1]ForwardDeriv!$AJ:$AJ)</f>
        <v>1.1300000000000097</v>
      </c>
      <c r="J2492" cm="1">
        <f t="array" ref="J2492">_xlfn.XLOOKUP(TEXT(A2492, "mmm-yy"), TEXT([2]GASOLINE!$B$5:$B$208, "mmm-yy"), [2]GASOLINE!$IR$5:$IR$208, "Not Found")</f>
        <v>-463.87492243311453</v>
      </c>
      <c r="K2492" cm="1">
        <f t="array" ref="K2492">_xlfn.XLOOKUP(TEXT(A2492, "mmm-yy"), TEXT([2]GASOLINE!$B$5:$B$208, "mmm-yy"), [2]GASOLINE!$IK$5:$IK$208, "Not Found")</f>
        <v>265.72675218727682</v>
      </c>
      <c r="L2492">
        <f t="shared" si="38"/>
        <v>1</v>
      </c>
      <c r="M2492" cm="1">
        <f t="array" ref="M2492">_xlfn.XLOOKUP(TEXT(A2492, "mmm-yy"), TEXT([2]GASOLINE!$B$5:$B$208, "mmm-yy"), [2]GASOLINE!$C$5:$C$208, "Not Found")</f>
        <v>8017.974919279909</v>
      </c>
      <c r="N2492" cm="1">
        <f t="array" ref="N2492">_xlfn.XLOOKUP(TEXT(A2492, "mmm-yy"), TEXT([2]RUNS!$B$5:$B$208, "mmm-yy"), [2]RUNS!$BM$5:$BM$208, "Not Found")</f>
        <v>0.80177407602356332</v>
      </c>
    </row>
    <row r="2493" spans="1:14" x14ac:dyDescent="0.25">
      <c r="A2493" s="1">
        <f>'[1]Global_Spot Prices'!$B3802</f>
        <v>45492</v>
      </c>
      <c r="B2493">
        <f>_xlfn.XLOOKUP(A2493,'[1]Global_Spot Prices'!$B:$B,'[1]Global_Spot Prices'!$BS:$BS)</f>
        <v>7.9200000000000017</v>
      </c>
      <c r="C2493">
        <f>_xlfn.XLOOKUP(A2493,'[1]Global_Spot Prices'!$B:$B,'[1]Global_Spot Prices'!$E:$E)</f>
        <v>84.5</v>
      </c>
      <c r="D2493">
        <f>_xlfn.XLOOKUP(A2493,'[1]Global_Spot Prices'!$B:$B,'[1]Global_Spot Prices'!$D:$D)</f>
        <v>85.275000000000006</v>
      </c>
      <c r="E2493">
        <f>_xlfn.XLOOKUP(A2493,'[1]Global_Spot Prices'!$B:$B,'[1]Global_Spot Prices'!$H:$H)</f>
        <v>75.12</v>
      </c>
      <c r="F2493">
        <f>_xlfn.XLOOKUP(A2493,'[1]Global_Spot Prices'!$B:$B,'[1]Global_Spot Prices'!$I:$I)</f>
        <v>92.42</v>
      </c>
      <c r="G2493" cm="1">
        <f t="array" ref="G2493">_xlfn.XLOOKUP(TEXT(A2493, "mmm-yy"), TEXT([2]RUNS!$B$5:$B$208, "mmm-yy"), [2]RUNS!$D$5:$D$208, "Not Found")</f>
        <v>29570.229697825045</v>
      </c>
      <c r="H2493" cm="1">
        <f t="array" ref="H2493">SUMPRODUCT(
    --(TEXT('[3]Global Weekly Stock (EWSuez'!$B$4:$B$2000,"mmm-yy")=TEXT(A2493,"mmm-yy")),
    '[3]Global Weekly Stock (EWSuez'!$E$4:$E$2000)
/
SUMPRODUCT(
    --(TEXT('[3]Global Weekly Stock (EWSuez'!$B$4:$B$2000,"mmm-yy")=TEXT(A2493,"mmm-yy"))
)</f>
        <v>14488.75</v>
      </c>
      <c r="I2493">
        <f>_xlfn.XLOOKUP(A2493,[1]ForwardDeriv!$D:$D,[1]ForwardDeriv!$AJ:$AJ)</f>
        <v>1.0700000000000074</v>
      </c>
      <c r="J2493" cm="1">
        <f t="array" ref="J2493">_xlfn.XLOOKUP(TEXT(A2493, "mmm-yy"), TEXT([2]GASOLINE!$B$5:$B$208, "mmm-yy"), [2]GASOLINE!$IR$5:$IR$208, "Not Found")</f>
        <v>-463.87492243311453</v>
      </c>
      <c r="K2493" cm="1">
        <f t="array" ref="K2493">_xlfn.XLOOKUP(TEXT(A2493, "mmm-yy"), TEXT([2]GASOLINE!$B$5:$B$208, "mmm-yy"), [2]GASOLINE!$IK$5:$IK$208, "Not Found")</f>
        <v>265.72675218727682</v>
      </c>
      <c r="L2493">
        <f t="shared" si="38"/>
        <v>1</v>
      </c>
      <c r="M2493" cm="1">
        <f t="array" ref="M2493">_xlfn.XLOOKUP(TEXT(A2493, "mmm-yy"), TEXT([2]GASOLINE!$B$5:$B$208, "mmm-yy"), [2]GASOLINE!$C$5:$C$208, "Not Found")</f>
        <v>8017.974919279909</v>
      </c>
      <c r="N2493" cm="1">
        <f t="array" ref="N2493">_xlfn.XLOOKUP(TEXT(A2493, "mmm-yy"), TEXT([2]RUNS!$B$5:$B$208, "mmm-yy"), [2]RUNS!$BM$5:$BM$208, "Not Found")</f>
        <v>0.80177407602356332</v>
      </c>
    </row>
    <row r="2494" spans="1:14" x14ac:dyDescent="0.25">
      <c r="A2494" s="1">
        <f>'[1]Global_Spot Prices'!$B3803</f>
        <v>45495</v>
      </c>
      <c r="B2494">
        <f>_xlfn.XLOOKUP(A2494,'[1]Global_Spot Prices'!$B:$B,'[1]Global_Spot Prices'!$BS:$BS)</f>
        <v>8.2400000000000091</v>
      </c>
      <c r="C2494">
        <f>_xlfn.XLOOKUP(A2494,'[1]Global_Spot Prices'!$B:$B,'[1]Global_Spot Prices'!$E:$E)</f>
        <v>82.38</v>
      </c>
      <c r="D2494">
        <f>_xlfn.XLOOKUP(A2494,'[1]Global_Spot Prices'!$B:$B,'[1]Global_Spot Prices'!$D:$D)</f>
        <v>83.064999999999998</v>
      </c>
      <c r="E2494">
        <f>_xlfn.XLOOKUP(A2494,'[1]Global_Spot Prices'!$B:$B,'[1]Global_Spot Prices'!$H:$H)</f>
        <v>73.5</v>
      </c>
      <c r="F2494">
        <f ca="1">_xlfn.XLOOKUP(A2494,'[1]Global_Spot Prices'!$B:$B,'[1]Global_Spot Prices'!$I:$I)</f>
        <v>90.62</v>
      </c>
      <c r="G2494" cm="1">
        <f t="array" ref="G2494">_xlfn.XLOOKUP(TEXT(A2494, "mmm-yy"), TEXT([2]RUNS!$B$5:$B$208, "mmm-yy"), [2]RUNS!$D$5:$D$208, "Not Found")</f>
        <v>29570.229697825045</v>
      </c>
      <c r="H2494" cm="1">
        <f t="array" ref="H2494">SUMPRODUCT(
    --(TEXT('[3]Global Weekly Stock (EWSuez'!$B$4:$B$2000,"mmm-yy")=TEXT(A2494,"mmm-yy")),
    '[3]Global Weekly Stock (EWSuez'!$E$4:$E$2000)
/
SUMPRODUCT(
    --(TEXT('[3]Global Weekly Stock (EWSuez'!$B$4:$B$2000,"mmm-yy")=TEXT(A2494,"mmm-yy"))
)</f>
        <v>14488.75</v>
      </c>
      <c r="I2494">
        <f>_xlfn.XLOOKUP(A2494,[1]ForwardDeriv!$D:$D,[1]ForwardDeriv!$AJ:$AJ)</f>
        <v>1.1999999999999886</v>
      </c>
      <c r="J2494" cm="1">
        <f t="array" ref="J2494">_xlfn.XLOOKUP(TEXT(A2494, "mmm-yy"), TEXT([2]GASOLINE!$B$5:$B$208, "mmm-yy"), [2]GASOLINE!$IR$5:$IR$208, "Not Found")</f>
        <v>-463.87492243311453</v>
      </c>
      <c r="K2494" cm="1">
        <f t="array" ref="K2494">_xlfn.XLOOKUP(TEXT(A2494, "mmm-yy"), TEXT([2]GASOLINE!$B$5:$B$208, "mmm-yy"), [2]GASOLINE!$IK$5:$IK$208, "Not Found")</f>
        <v>265.72675218727682</v>
      </c>
      <c r="L2494">
        <f t="shared" si="38"/>
        <v>1</v>
      </c>
      <c r="M2494" cm="1">
        <f t="array" ref="M2494">_xlfn.XLOOKUP(TEXT(A2494, "mmm-yy"), TEXT([2]GASOLINE!$B$5:$B$208, "mmm-yy"), [2]GASOLINE!$C$5:$C$208, "Not Found")</f>
        <v>8017.974919279909</v>
      </c>
      <c r="N2494" cm="1">
        <f t="array" ref="N2494">_xlfn.XLOOKUP(TEXT(A2494, "mmm-yy"), TEXT([2]RUNS!$B$5:$B$208, "mmm-yy"), [2]RUNS!$BM$5:$BM$208, "Not Found")</f>
        <v>0.80177407602356332</v>
      </c>
    </row>
    <row r="2495" spans="1:14" x14ac:dyDescent="0.25">
      <c r="A2495" s="1">
        <f>'[1]Global_Spot Prices'!$B3804</f>
        <v>45496</v>
      </c>
      <c r="B2495">
        <f>_xlfn.XLOOKUP(A2495,'[1]Global_Spot Prices'!$B:$B,'[1]Global_Spot Prices'!$BS:$BS)</f>
        <v>8.6199999999999903</v>
      </c>
      <c r="C2495">
        <f>_xlfn.XLOOKUP(A2495,'[1]Global_Spot Prices'!$B:$B,'[1]Global_Spot Prices'!$E:$E)</f>
        <v>81.95</v>
      </c>
      <c r="D2495">
        <f>_xlfn.XLOOKUP(A2495,'[1]Global_Spot Prices'!$B:$B,'[1]Global_Spot Prices'!$D:$D)</f>
        <v>82.09</v>
      </c>
      <c r="E2495">
        <f>_xlfn.XLOOKUP(A2495,'[1]Global_Spot Prices'!$B:$B,'[1]Global_Spot Prices'!$H:$H)</f>
        <v>73.83</v>
      </c>
      <c r="F2495">
        <f>_xlfn.XLOOKUP(A2495,'[1]Global_Spot Prices'!$B:$B,'[1]Global_Spot Prices'!$I:$I)</f>
        <v>90.57</v>
      </c>
      <c r="G2495" cm="1">
        <f t="array" ref="G2495">_xlfn.XLOOKUP(TEXT(A2495, "mmm-yy"), TEXT([2]RUNS!$B$5:$B$208, "mmm-yy"), [2]RUNS!$D$5:$D$208, "Not Found")</f>
        <v>29570.229697825045</v>
      </c>
      <c r="H2495" cm="1">
        <f t="array" ref="H2495">SUMPRODUCT(
    --(TEXT('[3]Global Weekly Stock (EWSuez'!$B$4:$B$2000,"mmm-yy")=TEXT(A2495,"mmm-yy")),
    '[3]Global Weekly Stock (EWSuez'!$E$4:$E$2000)
/
SUMPRODUCT(
    --(TEXT('[3]Global Weekly Stock (EWSuez'!$B$4:$B$2000,"mmm-yy")=TEXT(A2495,"mmm-yy"))
)</f>
        <v>14488.75</v>
      </c>
      <c r="I2495">
        <f>_xlfn.XLOOKUP(A2495,[1]ForwardDeriv!$D:$D,[1]ForwardDeriv!$AJ:$AJ)</f>
        <v>1.3100000000000023</v>
      </c>
      <c r="J2495" cm="1">
        <f t="array" ref="J2495">_xlfn.XLOOKUP(TEXT(A2495, "mmm-yy"), TEXT([2]GASOLINE!$B$5:$B$208, "mmm-yy"), [2]GASOLINE!$IR$5:$IR$208, "Not Found")</f>
        <v>-463.87492243311453</v>
      </c>
      <c r="K2495" cm="1">
        <f t="array" ref="K2495">_xlfn.XLOOKUP(TEXT(A2495, "mmm-yy"), TEXT([2]GASOLINE!$B$5:$B$208, "mmm-yy"), [2]GASOLINE!$IK$5:$IK$208, "Not Found")</f>
        <v>265.72675218727682</v>
      </c>
      <c r="L2495">
        <f t="shared" si="38"/>
        <v>1</v>
      </c>
      <c r="M2495" cm="1">
        <f t="array" ref="M2495">_xlfn.XLOOKUP(TEXT(A2495, "mmm-yy"), TEXT([2]GASOLINE!$B$5:$B$208, "mmm-yy"), [2]GASOLINE!$C$5:$C$208, "Not Found")</f>
        <v>8017.974919279909</v>
      </c>
      <c r="N2495" cm="1">
        <f t="array" ref="N2495">_xlfn.XLOOKUP(TEXT(A2495, "mmm-yy"), TEXT([2]RUNS!$B$5:$B$208, "mmm-yy"), [2]RUNS!$BM$5:$BM$208, "Not Found")</f>
        <v>0.80177407602356332</v>
      </c>
    </row>
    <row r="2496" spans="1:14" x14ac:dyDescent="0.25">
      <c r="A2496" s="1">
        <f>'[1]Global_Spot Prices'!$B3805</f>
        <v>45497</v>
      </c>
      <c r="B2496">
        <f>_xlfn.XLOOKUP(A2496,'[1]Global_Spot Prices'!$B:$B,'[1]Global_Spot Prices'!$BS:$BS)</f>
        <v>8.4399999999999977</v>
      </c>
      <c r="C2496">
        <f>_xlfn.XLOOKUP(A2496,'[1]Global_Spot Prices'!$B:$B,'[1]Global_Spot Prices'!$E:$E)</f>
        <v>80.650000000000006</v>
      </c>
      <c r="D2496">
        <f>_xlfn.XLOOKUP(A2496,'[1]Global_Spot Prices'!$B:$B,'[1]Global_Spot Prices'!$D:$D)</f>
        <v>82.995000000000005</v>
      </c>
      <c r="E2496">
        <f ca="1">_xlfn.XLOOKUP(A2496,'[1]Global_Spot Prices'!$B:$B,'[1]Global_Spot Prices'!$H:$H)</f>
        <v>72.760000000000005</v>
      </c>
      <c r="F2496">
        <f>_xlfn.XLOOKUP(A2496,'[1]Global_Spot Prices'!$B:$B,'[1]Global_Spot Prices'!$I:$I)</f>
        <v>89.09</v>
      </c>
      <c r="G2496" cm="1">
        <f t="array" ref="G2496">_xlfn.XLOOKUP(TEXT(A2496, "mmm-yy"), TEXT([2]RUNS!$B$5:$B$208, "mmm-yy"), [2]RUNS!$D$5:$D$208, "Not Found")</f>
        <v>29570.229697825045</v>
      </c>
      <c r="H2496" cm="1">
        <f t="array" ref="H2496">SUMPRODUCT(
    --(TEXT('[3]Global Weekly Stock (EWSuez'!$B$4:$B$2000,"mmm-yy")=TEXT(A2496,"mmm-yy")),
    '[3]Global Weekly Stock (EWSuez'!$E$4:$E$2000)
/
SUMPRODUCT(
    --(TEXT('[3]Global Weekly Stock (EWSuez'!$B$4:$B$2000,"mmm-yy")=TEXT(A2496,"mmm-yy"))
)</f>
        <v>14488.75</v>
      </c>
      <c r="I2496">
        <f>_xlfn.XLOOKUP(A2496,[1]ForwardDeriv!$D:$D,[1]ForwardDeriv!$AJ:$AJ)</f>
        <v>1.2600000000000051</v>
      </c>
      <c r="J2496" cm="1">
        <f t="array" ref="J2496">_xlfn.XLOOKUP(TEXT(A2496, "mmm-yy"), TEXT([2]GASOLINE!$B$5:$B$208, "mmm-yy"), [2]GASOLINE!$IR$5:$IR$208, "Not Found")</f>
        <v>-463.87492243311453</v>
      </c>
      <c r="K2496" cm="1">
        <f t="array" ref="K2496">_xlfn.XLOOKUP(TEXT(A2496, "mmm-yy"), TEXT([2]GASOLINE!$B$5:$B$208, "mmm-yy"), [2]GASOLINE!$IK$5:$IK$208, "Not Found")</f>
        <v>265.72675218727682</v>
      </c>
      <c r="L2496">
        <f t="shared" si="38"/>
        <v>1</v>
      </c>
      <c r="M2496" cm="1">
        <f t="array" ref="M2496">_xlfn.XLOOKUP(TEXT(A2496, "mmm-yy"), TEXT([2]GASOLINE!$B$5:$B$208, "mmm-yy"), [2]GASOLINE!$C$5:$C$208, "Not Found")</f>
        <v>8017.974919279909</v>
      </c>
      <c r="N2496" cm="1">
        <f t="array" ref="N2496">_xlfn.XLOOKUP(TEXT(A2496, "mmm-yy"), TEXT([2]RUNS!$B$5:$B$208, "mmm-yy"), [2]RUNS!$BM$5:$BM$208, "Not Found")</f>
        <v>0.80177407602356332</v>
      </c>
    </row>
    <row r="2497" spans="1:14" x14ac:dyDescent="0.25">
      <c r="A2497" s="1">
        <f>'[1]Global_Spot Prices'!$B3806</f>
        <v>45498</v>
      </c>
      <c r="B2497">
        <f>_xlfn.XLOOKUP(A2497,'[1]Global_Spot Prices'!$B:$B,'[1]Global_Spot Prices'!$BS:$BS)</f>
        <v>9.0700000000000074</v>
      </c>
      <c r="C2497">
        <f>_xlfn.XLOOKUP(A2497,'[1]Global_Spot Prices'!$B:$B,'[1]Global_Spot Prices'!$E:$E)</f>
        <v>80.66</v>
      </c>
      <c r="D2497">
        <f>_xlfn.XLOOKUP(A2497,'[1]Global_Spot Prices'!$B:$B,'[1]Global_Spot Prices'!$D:$D)</f>
        <v>82.655000000000001</v>
      </c>
      <c r="E2497">
        <f>_xlfn.XLOOKUP(A2497,'[1]Global_Spot Prices'!$B:$B,'[1]Global_Spot Prices'!$H:$H)</f>
        <v>72.7</v>
      </c>
      <c r="F2497">
        <f>_xlfn.XLOOKUP(A2497,'[1]Global_Spot Prices'!$B:$B,'[1]Global_Spot Prices'!$I:$I)</f>
        <v>89.73</v>
      </c>
      <c r="G2497" cm="1">
        <f t="array" ref="G2497">_xlfn.XLOOKUP(TEXT(A2497, "mmm-yy"), TEXT([2]RUNS!$B$5:$B$208, "mmm-yy"), [2]RUNS!$D$5:$D$208, "Not Found")</f>
        <v>29570.229697825045</v>
      </c>
      <c r="H2497" cm="1">
        <f t="array" ref="H2497">SUMPRODUCT(
    --(TEXT('[3]Global Weekly Stock (EWSuez'!$B$4:$B$2000,"mmm-yy")=TEXT(A2497,"mmm-yy")),
    '[3]Global Weekly Stock (EWSuez'!$E$4:$E$2000)
/
SUMPRODUCT(
    --(TEXT('[3]Global Weekly Stock (EWSuez'!$B$4:$B$2000,"mmm-yy")=TEXT(A2497,"mmm-yy"))
)</f>
        <v>14488.75</v>
      </c>
      <c r="I2497">
        <f>_xlfn.XLOOKUP(A2497,[1]ForwardDeriv!$D:$D,[1]ForwardDeriv!$AJ:$AJ)</f>
        <v>1.3500000000000085</v>
      </c>
      <c r="J2497" cm="1">
        <f t="array" ref="J2497">_xlfn.XLOOKUP(TEXT(A2497, "mmm-yy"), TEXT([2]GASOLINE!$B$5:$B$208, "mmm-yy"), [2]GASOLINE!$IR$5:$IR$208, "Not Found")</f>
        <v>-463.87492243311453</v>
      </c>
      <c r="K2497" cm="1">
        <f t="array" ref="K2497">_xlfn.XLOOKUP(TEXT(A2497, "mmm-yy"), TEXT([2]GASOLINE!$B$5:$B$208, "mmm-yy"), [2]GASOLINE!$IK$5:$IK$208, "Not Found")</f>
        <v>265.72675218727682</v>
      </c>
      <c r="L2497">
        <f t="shared" si="38"/>
        <v>1</v>
      </c>
      <c r="M2497" cm="1">
        <f t="array" ref="M2497">_xlfn.XLOOKUP(TEXT(A2497, "mmm-yy"), TEXT([2]GASOLINE!$B$5:$B$208, "mmm-yy"), [2]GASOLINE!$C$5:$C$208, "Not Found")</f>
        <v>8017.974919279909</v>
      </c>
      <c r="N2497" cm="1">
        <f t="array" ref="N2497">_xlfn.XLOOKUP(TEXT(A2497, "mmm-yy"), TEXT([2]RUNS!$B$5:$B$208, "mmm-yy"), [2]RUNS!$BM$5:$BM$208, "Not Found")</f>
        <v>0.80177407602356332</v>
      </c>
    </row>
    <row r="2498" spans="1:14" x14ac:dyDescent="0.25">
      <c r="A2498" s="1">
        <f>'[1]Global_Spot Prices'!$B3807</f>
        <v>45499</v>
      </c>
      <c r="B2498">
        <f>_xlfn.XLOOKUP(A2498,'[1]Global_Spot Prices'!$B:$B,'[1]Global_Spot Prices'!$BS:$BS)</f>
        <v>9.5999999999999943</v>
      </c>
      <c r="C2498">
        <f ca="1">_xlfn.XLOOKUP(A2498,'[1]Global_Spot Prices'!$B:$B,'[1]Global_Spot Prices'!$E:$E)</f>
        <v>81.34</v>
      </c>
      <c r="D2498">
        <f>_xlfn.XLOOKUP(A2498,'[1]Global_Spot Prices'!$B:$B,'[1]Global_Spot Prices'!$D:$D)</f>
        <v>81.245000000000005</v>
      </c>
      <c r="E2498">
        <f>_xlfn.XLOOKUP(A2498,'[1]Global_Spot Prices'!$B:$B,'[1]Global_Spot Prices'!$H:$H)</f>
        <v>73.27</v>
      </c>
      <c r="F2498">
        <f>_xlfn.XLOOKUP(A2498,'[1]Global_Spot Prices'!$B:$B,'[1]Global_Spot Prices'!$I:$I)</f>
        <v>90.94</v>
      </c>
      <c r="G2498" cm="1">
        <f t="array" ref="G2498">_xlfn.XLOOKUP(TEXT(A2498, "mmm-yy"), TEXT([2]RUNS!$B$5:$B$208, "mmm-yy"), [2]RUNS!$D$5:$D$208, "Not Found")</f>
        <v>29570.229697825045</v>
      </c>
      <c r="H2498" cm="1">
        <f t="array" ref="H2498">SUMPRODUCT(
    --(TEXT('[3]Global Weekly Stock (EWSuez'!$B$4:$B$2000,"mmm-yy")=TEXT(A2498,"mmm-yy")),
    '[3]Global Weekly Stock (EWSuez'!$E$4:$E$2000)
/
SUMPRODUCT(
    --(TEXT('[3]Global Weekly Stock (EWSuez'!$B$4:$B$2000,"mmm-yy")=TEXT(A2498,"mmm-yy"))
)</f>
        <v>14488.75</v>
      </c>
      <c r="I2498">
        <f>_xlfn.XLOOKUP(A2498,[1]ForwardDeriv!$D:$D,[1]ForwardDeriv!$AJ:$AJ)</f>
        <v>1.5</v>
      </c>
      <c r="J2498" cm="1">
        <f t="array" ref="J2498">_xlfn.XLOOKUP(TEXT(A2498, "mmm-yy"), TEXT([2]GASOLINE!$B$5:$B$208, "mmm-yy"), [2]GASOLINE!$IR$5:$IR$208, "Not Found")</f>
        <v>-463.87492243311453</v>
      </c>
      <c r="K2498" cm="1">
        <f t="array" ref="K2498">_xlfn.XLOOKUP(TEXT(A2498, "mmm-yy"), TEXT([2]GASOLINE!$B$5:$B$208, "mmm-yy"), [2]GASOLINE!$IK$5:$IK$208, "Not Found")</f>
        <v>265.72675218727682</v>
      </c>
      <c r="L2498">
        <f t="shared" si="38"/>
        <v>1</v>
      </c>
      <c r="M2498" cm="1">
        <f t="array" ref="M2498">_xlfn.XLOOKUP(TEXT(A2498, "mmm-yy"), TEXT([2]GASOLINE!$B$5:$B$208, "mmm-yy"), [2]GASOLINE!$C$5:$C$208, "Not Found")</f>
        <v>8017.974919279909</v>
      </c>
      <c r="N2498" cm="1">
        <f t="array" ref="N2498">_xlfn.XLOOKUP(TEXT(A2498, "mmm-yy"), TEXT([2]RUNS!$B$5:$B$208, "mmm-yy"), [2]RUNS!$BM$5:$BM$208, "Not Found")</f>
        <v>0.80177407602356332</v>
      </c>
    </row>
    <row r="2499" spans="1:14" x14ac:dyDescent="0.25">
      <c r="A2499" s="1">
        <f>'[1]Global_Spot Prices'!$B3808</f>
        <v>45502</v>
      </c>
      <c r="B2499">
        <f>_xlfn.XLOOKUP(A2499,'[1]Global_Spot Prices'!$B:$B,'[1]Global_Spot Prices'!$BS:$BS)</f>
        <v>10.89</v>
      </c>
      <c r="C2499">
        <f>_xlfn.XLOOKUP(A2499,'[1]Global_Spot Prices'!$B:$B,'[1]Global_Spot Prices'!$E:$E)</f>
        <v>79.8</v>
      </c>
      <c r="D2499">
        <f>_xlfn.XLOOKUP(A2499,'[1]Global_Spot Prices'!$B:$B,'[1]Global_Spot Prices'!$D:$D)</f>
        <v>80.864999999999995</v>
      </c>
      <c r="E2499">
        <f>_xlfn.XLOOKUP(A2499,'[1]Global_Spot Prices'!$B:$B,'[1]Global_Spot Prices'!$H:$H)</f>
        <v>72.02</v>
      </c>
      <c r="F2499">
        <f>_xlfn.XLOOKUP(A2499,'[1]Global_Spot Prices'!$B:$B,'[1]Global_Spot Prices'!$I:$I)</f>
        <v>90.69</v>
      </c>
      <c r="G2499" cm="1">
        <f t="array" ref="G2499">_xlfn.XLOOKUP(TEXT(A2499, "mmm-yy"), TEXT([2]RUNS!$B$5:$B$208, "mmm-yy"), [2]RUNS!$D$5:$D$208, "Not Found")</f>
        <v>29570.229697825045</v>
      </c>
      <c r="H2499" cm="1">
        <f t="array" ref="H2499">SUMPRODUCT(
    --(TEXT('[3]Global Weekly Stock (EWSuez'!$B$4:$B$2000,"mmm-yy")=TEXT(A2499,"mmm-yy")),
    '[3]Global Weekly Stock (EWSuez'!$E$4:$E$2000)
/
SUMPRODUCT(
    --(TEXT('[3]Global Weekly Stock (EWSuez'!$B$4:$B$2000,"mmm-yy")=TEXT(A2499,"mmm-yy"))
)</f>
        <v>14488.75</v>
      </c>
      <c r="I2499">
        <f>_xlfn.XLOOKUP(A2499,[1]ForwardDeriv!$D:$D,[1]ForwardDeriv!$AJ:$AJ)</f>
        <v>1.7399999999999949</v>
      </c>
      <c r="J2499" cm="1">
        <f t="array" ref="J2499">_xlfn.XLOOKUP(TEXT(A2499, "mmm-yy"), TEXT([2]GASOLINE!$B$5:$B$208, "mmm-yy"), [2]GASOLINE!$IR$5:$IR$208, "Not Found")</f>
        <v>-463.87492243311453</v>
      </c>
      <c r="K2499" cm="1">
        <f t="array" ref="K2499">_xlfn.XLOOKUP(TEXT(A2499, "mmm-yy"), TEXT([2]GASOLINE!$B$5:$B$208, "mmm-yy"), [2]GASOLINE!$IK$5:$IK$208, "Not Found")</f>
        <v>265.72675218727682</v>
      </c>
      <c r="L2499">
        <f t="shared" ref="L2499:L2562" si="39">IF(OR(MONTH(A2499)=6, MONTH(A2499)=7, MONTH(A2499)=8, MONTH(A2499)=9), 1, 0)</f>
        <v>1</v>
      </c>
      <c r="M2499" cm="1">
        <f t="array" ref="M2499">_xlfn.XLOOKUP(TEXT(A2499, "mmm-yy"), TEXT([2]GASOLINE!$B$5:$B$208, "mmm-yy"), [2]GASOLINE!$C$5:$C$208, "Not Found")</f>
        <v>8017.974919279909</v>
      </c>
      <c r="N2499" cm="1">
        <f t="array" ref="N2499">_xlfn.XLOOKUP(TEXT(A2499, "mmm-yy"), TEXT([2]RUNS!$B$5:$B$208, "mmm-yy"), [2]RUNS!$BM$5:$BM$208, "Not Found")</f>
        <v>0.80177407602356332</v>
      </c>
    </row>
    <row r="2500" spans="1:14" x14ac:dyDescent="0.25">
      <c r="A2500" s="1">
        <f>'[1]Global_Spot Prices'!$B3809</f>
        <v>45503</v>
      </c>
      <c r="B2500">
        <f>_xlfn.XLOOKUP(A2500,'[1]Global_Spot Prices'!$B:$B,'[1]Global_Spot Prices'!$BS:$BS)</f>
        <v>9.9599999999999937</v>
      </c>
      <c r="C2500">
        <f>_xlfn.XLOOKUP(A2500,'[1]Global_Spot Prices'!$B:$B,'[1]Global_Spot Prices'!$E:$E)</f>
        <v>78.95</v>
      </c>
      <c r="D2500">
        <f>_xlfn.XLOOKUP(A2500,'[1]Global_Spot Prices'!$B:$B,'[1]Global_Spot Prices'!$D:$D)</f>
        <v>79.14</v>
      </c>
      <c r="E2500">
        <f>_xlfn.XLOOKUP(A2500,'[1]Global_Spot Prices'!$B:$B,'[1]Global_Spot Prices'!$H:$H)</f>
        <v>70.02</v>
      </c>
      <c r="F2500">
        <f>_xlfn.XLOOKUP(A2500,'[1]Global_Spot Prices'!$B:$B,'[1]Global_Spot Prices'!$I:$I)</f>
        <v>88.91</v>
      </c>
      <c r="G2500" cm="1">
        <f t="array" ref="G2500">_xlfn.XLOOKUP(TEXT(A2500, "mmm-yy"), TEXT([2]RUNS!$B$5:$B$208, "mmm-yy"), [2]RUNS!$D$5:$D$208, "Not Found")</f>
        <v>29570.229697825045</v>
      </c>
      <c r="H2500" cm="1">
        <f t="array" ref="H2500">SUMPRODUCT(
    --(TEXT('[3]Global Weekly Stock (EWSuez'!$B$4:$B$2000,"mmm-yy")=TEXT(A2500,"mmm-yy")),
    '[3]Global Weekly Stock (EWSuez'!$E$4:$E$2000)
/
SUMPRODUCT(
    --(TEXT('[3]Global Weekly Stock (EWSuez'!$B$4:$B$2000,"mmm-yy")=TEXT(A2500,"mmm-yy"))
)</f>
        <v>14488.75</v>
      </c>
      <c r="I2500">
        <f>_xlfn.XLOOKUP(A2500,[1]ForwardDeriv!$D:$D,[1]ForwardDeriv!$AJ:$AJ)</f>
        <v>1.5799999999999983</v>
      </c>
      <c r="J2500" cm="1">
        <f t="array" ref="J2500">_xlfn.XLOOKUP(TEXT(A2500, "mmm-yy"), TEXT([2]GASOLINE!$B$5:$B$208, "mmm-yy"), [2]GASOLINE!$IR$5:$IR$208, "Not Found")</f>
        <v>-463.87492243311453</v>
      </c>
      <c r="K2500" cm="1">
        <f t="array" ref="K2500">_xlfn.XLOOKUP(TEXT(A2500, "mmm-yy"), TEXT([2]GASOLINE!$B$5:$B$208, "mmm-yy"), [2]GASOLINE!$IK$5:$IK$208, "Not Found")</f>
        <v>265.72675218727682</v>
      </c>
      <c r="L2500">
        <f t="shared" si="39"/>
        <v>1</v>
      </c>
      <c r="M2500" cm="1">
        <f t="array" ref="M2500">_xlfn.XLOOKUP(TEXT(A2500, "mmm-yy"), TEXT([2]GASOLINE!$B$5:$B$208, "mmm-yy"), [2]GASOLINE!$C$5:$C$208, "Not Found")</f>
        <v>8017.974919279909</v>
      </c>
      <c r="N2500" cm="1">
        <f t="array" ref="N2500">_xlfn.XLOOKUP(TEXT(A2500, "mmm-yy"), TEXT([2]RUNS!$B$5:$B$208, "mmm-yy"), [2]RUNS!$BM$5:$BM$208, "Not Found")</f>
        <v>0.80177407602356332</v>
      </c>
    </row>
    <row r="2501" spans="1:14" x14ac:dyDescent="0.25">
      <c r="A2501" s="1">
        <f>'[1]Global_Spot Prices'!$B3810</f>
        <v>45504</v>
      </c>
      <c r="B2501">
        <f>_xlfn.XLOOKUP(A2501,'[1]Global_Spot Prices'!$B:$B,'[1]Global_Spot Prices'!$BS:$BS)</f>
        <v>9.730000000000004</v>
      </c>
      <c r="C2501">
        <f>_xlfn.XLOOKUP(A2501,'[1]Global_Spot Prices'!$B:$B,'[1]Global_Spot Prices'!$E:$E)</f>
        <v>79.55</v>
      </c>
      <c r="D2501">
        <f>_xlfn.XLOOKUP(A2501,'[1]Global_Spot Prices'!$B:$B,'[1]Global_Spot Prices'!$D:$D)</f>
        <v>81.45</v>
      </c>
      <c r="E2501">
        <f>_xlfn.XLOOKUP(A2501,'[1]Global_Spot Prices'!$B:$B,'[1]Global_Spot Prices'!$H:$H)</f>
        <v>70.95</v>
      </c>
      <c r="F2501">
        <f>_xlfn.XLOOKUP(A2501,'[1]Global_Spot Prices'!$B:$B,'[1]Global_Spot Prices'!$I:$I)</f>
        <v>89.28</v>
      </c>
      <c r="G2501" cm="1">
        <f t="array" ref="G2501">_xlfn.XLOOKUP(TEXT(A2501, "mmm-yy"), TEXT([2]RUNS!$B$5:$B$208, "mmm-yy"), [2]RUNS!$D$5:$D$208, "Not Found")</f>
        <v>29570.229697825045</v>
      </c>
      <c r="H2501" cm="1">
        <f t="array" ref="H2501">SUMPRODUCT(
    --(TEXT('[3]Global Weekly Stock (EWSuez'!$B$4:$B$2000,"mmm-yy")=TEXT(A2501,"mmm-yy")),
    '[3]Global Weekly Stock (EWSuez'!$E$4:$E$2000)
/
SUMPRODUCT(
    --(TEXT('[3]Global Weekly Stock (EWSuez'!$B$4:$B$2000,"mmm-yy")=TEXT(A2501,"mmm-yy"))
)</f>
        <v>14488.75</v>
      </c>
      <c r="I2501">
        <f>_xlfn.XLOOKUP(A2501,[1]ForwardDeriv!$D:$D,[1]ForwardDeriv!$AJ:$AJ)</f>
        <v>1.5499999999999972</v>
      </c>
      <c r="J2501" cm="1">
        <f t="array" ref="J2501">_xlfn.XLOOKUP(TEXT(A2501, "mmm-yy"), TEXT([2]GASOLINE!$B$5:$B$208, "mmm-yy"), [2]GASOLINE!$IR$5:$IR$208, "Not Found")</f>
        <v>-463.87492243311453</v>
      </c>
      <c r="K2501" cm="1">
        <f t="array" ref="K2501">_xlfn.XLOOKUP(TEXT(A2501, "mmm-yy"), TEXT([2]GASOLINE!$B$5:$B$208, "mmm-yy"), [2]GASOLINE!$IK$5:$IK$208, "Not Found")</f>
        <v>265.72675218727682</v>
      </c>
      <c r="L2501">
        <f t="shared" si="39"/>
        <v>1</v>
      </c>
      <c r="M2501" cm="1">
        <f t="array" ref="M2501">_xlfn.XLOOKUP(TEXT(A2501, "mmm-yy"), TEXT([2]GASOLINE!$B$5:$B$208, "mmm-yy"), [2]GASOLINE!$C$5:$C$208, "Not Found")</f>
        <v>8017.974919279909</v>
      </c>
      <c r="N2501" cm="1">
        <f t="array" ref="N2501">_xlfn.XLOOKUP(TEXT(A2501, "mmm-yy"), TEXT([2]RUNS!$B$5:$B$208, "mmm-yy"), [2]RUNS!$BM$5:$BM$208, "Not Found")</f>
        <v>0.80177407602356332</v>
      </c>
    </row>
    <row r="2502" spans="1:14" x14ac:dyDescent="0.25">
      <c r="A2502" s="1">
        <f>'[1]Global_Spot Prices'!$B3811</f>
        <v>45505</v>
      </c>
      <c r="B2502">
        <f>_xlfn.XLOOKUP(A2502,'[1]Global_Spot Prices'!$B:$B,'[1]Global_Spot Prices'!$BS:$BS)</f>
        <v>8.86</v>
      </c>
      <c r="C2502">
        <f>_xlfn.XLOOKUP(A2502,'[1]Global_Spot Prices'!$B:$B,'[1]Global_Spot Prices'!$E:$E)</f>
        <v>80.540000000000006</v>
      </c>
      <c r="D2502">
        <f>_xlfn.XLOOKUP(A2502,'[1]Global_Spot Prices'!$B:$B,'[1]Global_Spot Prices'!$D:$D)</f>
        <v>81.825000000000003</v>
      </c>
      <c r="E2502">
        <f>_xlfn.XLOOKUP(A2502,'[1]Global_Spot Prices'!$B:$B,'[1]Global_Spot Prices'!$H:$H)</f>
        <v>72.62</v>
      </c>
      <c r="F2502">
        <f>_xlfn.XLOOKUP(A2502,'[1]Global_Spot Prices'!$B:$B,'[1]Global_Spot Prices'!$I:$I)</f>
        <v>89.4</v>
      </c>
      <c r="G2502" cm="1">
        <f t="array" ref="G2502">_xlfn.XLOOKUP(TEXT(A2502, "mmm-yy"), TEXT([2]RUNS!$B$5:$B$208, "mmm-yy"), [2]RUNS!$D$5:$D$208, "Not Found")</f>
        <v>29839.709773750183</v>
      </c>
      <c r="H2502" cm="1">
        <f t="array" ref="H2502">SUMPRODUCT(
    --(TEXT('[3]Global Weekly Stock (EWSuez'!$B$4:$B$2000,"mmm-yy")=TEXT(A2502,"mmm-yy")),
    '[3]Global Weekly Stock (EWSuez'!$E$4:$E$2000)
/
SUMPRODUCT(
    --(TEXT('[3]Global Weekly Stock (EWSuez'!$B$4:$B$2000,"mmm-yy")=TEXT(A2502,"mmm-yy"))
)</f>
        <v>15325.8</v>
      </c>
      <c r="I2502">
        <f>_xlfn.XLOOKUP(A2502,[1]ForwardDeriv!$D:$D,[1]ForwardDeriv!$AJ:$AJ)</f>
        <v>0.92000000000000171</v>
      </c>
      <c r="J2502" cm="1">
        <f t="array" ref="J2502">_xlfn.XLOOKUP(TEXT(A2502, "mmm-yy"), TEXT([2]GASOLINE!$B$5:$B$208, "mmm-yy"), [2]GASOLINE!$IR$5:$IR$208, "Not Found")</f>
        <v>-480.39413621654433</v>
      </c>
      <c r="K2502" cm="1">
        <f t="array" ref="K2502">_xlfn.XLOOKUP(TEXT(A2502, "mmm-yy"), TEXT([2]GASOLINE!$B$5:$B$208, "mmm-yy"), [2]GASOLINE!$IK$5:$IK$208, "Not Found")</f>
        <v>270.60798451938888</v>
      </c>
      <c r="L2502">
        <f t="shared" si="39"/>
        <v>1</v>
      </c>
      <c r="M2502" cm="1">
        <f t="array" ref="M2502">_xlfn.XLOOKUP(TEXT(A2502, "mmm-yy"), TEXT([2]GASOLINE!$B$5:$B$208, "mmm-yy"), [2]GASOLINE!$C$5:$C$208, "Not Found")</f>
        <v>8107.4157102785248</v>
      </c>
      <c r="N2502" cm="1">
        <f t="array" ref="N2502">_xlfn.XLOOKUP(TEXT(A2502, "mmm-yy"), TEXT([2]RUNS!$B$5:$B$208, "mmm-yy"), [2]RUNS!$BM$5:$BM$208, "Not Found")</f>
        <v>0.80908082139177828</v>
      </c>
    </row>
    <row r="2503" spans="1:14" x14ac:dyDescent="0.25">
      <c r="A2503" s="1">
        <f>'[1]Global_Spot Prices'!$B3812</f>
        <v>45506</v>
      </c>
      <c r="B2503">
        <f ca="1">_xlfn.XLOOKUP(A2503,'[1]Global_Spot Prices'!$B:$B,'[1]Global_Spot Prices'!$BS:$BS)</f>
        <v>8.4699999999999989</v>
      </c>
      <c r="C2503">
        <f>_xlfn.XLOOKUP(A2503,'[1]Global_Spot Prices'!$B:$B,'[1]Global_Spot Prices'!$E:$E)</f>
        <v>79.23</v>
      </c>
      <c r="D2503">
        <f>_xlfn.XLOOKUP(A2503,'[1]Global_Spot Prices'!$B:$B,'[1]Global_Spot Prices'!$D:$D)</f>
        <v>78.265000000000001</v>
      </c>
      <c r="E2503">
        <f>_xlfn.XLOOKUP(A2503,'[1]Global_Spot Prices'!$B:$B,'[1]Global_Spot Prices'!$H:$H)</f>
        <v>72.34</v>
      </c>
      <c r="F2503">
        <f>_xlfn.XLOOKUP(A2503,'[1]Global_Spot Prices'!$B:$B,'[1]Global_Spot Prices'!$I:$I)</f>
        <v>87.7</v>
      </c>
      <c r="G2503" cm="1">
        <f t="array" ref="G2503">_xlfn.XLOOKUP(TEXT(A2503, "mmm-yy"), TEXT([2]RUNS!$B$5:$B$208, "mmm-yy"), [2]RUNS!$D$5:$D$208, "Not Found")</f>
        <v>29839.709773750183</v>
      </c>
      <c r="H2503" cm="1">
        <f t="array" ref="H2503">SUMPRODUCT(
    --(TEXT('[3]Global Weekly Stock (EWSuez'!$B$4:$B$2000,"mmm-yy")=TEXT(A2503,"mmm-yy")),
    '[3]Global Weekly Stock (EWSuez'!$E$4:$E$2000)
/
SUMPRODUCT(
    --(TEXT('[3]Global Weekly Stock (EWSuez'!$B$4:$B$2000,"mmm-yy")=TEXT(A2503,"mmm-yy"))
)</f>
        <v>15325.8</v>
      </c>
      <c r="I2503">
        <f>_xlfn.XLOOKUP(A2503,[1]ForwardDeriv!$D:$D,[1]ForwardDeriv!$AJ:$AJ)</f>
        <v>0.92999999999999261</v>
      </c>
      <c r="J2503" cm="1">
        <f t="array" ref="J2503">_xlfn.XLOOKUP(TEXT(A2503, "mmm-yy"), TEXT([2]GASOLINE!$B$5:$B$208, "mmm-yy"), [2]GASOLINE!$IR$5:$IR$208, "Not Found")</f>
        <v>-480.39413621654433</v>
      </c>
      <c r="K2503" cm="1">
        <f t="array" ref="K2503">_xlfn.XLOOKUP(TEXT(A2503, "mmm-yy"), TEXT([2]GASOLINE!$B$5:$B$208, "mmm-yy"), [2]GASOLINE!$IK$5:$IK$208, "Not Found")</f>
        <v>270.60798451938888</v>
      </c>
      <c r="L2503">
        <f t="shared" si="39"/>
        <v>1</v>
      </c>
      <c r="M2503" cm="1">
        <f t="array" ref="M2503">_xlfn.XLOOKUP(TEXT(A2503, "mmm-yy"), TEXT([2]GASOLINE!$B$5:$B$208, "mmm-yy"), [2]GASOLINE!$C$5:$C$208, "Not Found")</f>
        <v>8107.4157102785248</v>
      </c>
      <c r="N2503" cm="1">
        <f t="array" ref="N2503">_xlfn.XLOOKUP(TEXT(A2503, "mmm-yy"), TEXT([2]RUNS!$B$5:$B$208, "mmm-yy"), [2]RUNS!$BM$5:$BM$208, "Not Found")</f>
        <v>0.80908082139177828</v>
      </c>
    </row>
    <row r="2504" spans="1:14" x14ac:dyDescent="0.25">
      <c r="A2504" s="1">
        <f>'[1]Global_Spot Prices'!$B3813</f>
        <v>45509</v>
      </c>
      <c r="B2504">
        <f>_xlfn.XLOOKUP(A2504,'[1]Global_Spot Prices'!$B:$B,'[1]Global_Spot Prices'!$BS:$BS)</f>
        <v>8.36</v>
      </c>
      <c r="C2504">
        <f>_xlfn.XLOOKUP(A2504,'[1]Global_Spot Prices'!$B:$B,'[1]Global_Spot Prices'!$E:$E)</f>
        <v>74.489999999999995</v>
      </c>
      <c r="D2504">
        <f>_xlfn.XLOOKUP(A2504,'[1]Global_Spot Prices'!$B:$B,'[1]Global_Spot Prices'!$D:$D)</f>
        <v>76.7</v>
      </c>
      <c r="E2504">
        <f>_xlfn.XLOOKUP(A2504,'[1]Global_Spot Prices'!$B:$B,'[1]Global_Spot Prices'!$H:$H)</f>
        <v>70.63</v>
      </c>
      <c r="F2504">
        <f>_xlfn.XLOOKUP(A2504,'[1]Global_Spot Prices'!$B:$B,'[1]Global_Spot Prices'!$I:$I)</f>
        <v>82.85</v>
      </c>
      <c r="G2504" cm="1">
        <f t="array" ref="G2504">_xlfn.XLOOKUP(TEXT(A2504, "mmm-yy"), TEXT([2]RUNS!$B$5:$B$208, "mmm-yy"), [2]RUNS!$D$5:$D$208, "Not Found")</f>
        <v>29839.709773750183</v>
      </c>
      <c r="H2504" cm="1">
        <f t="array" ref="H2504">SUMPRODUCT(
    --(TEXT('[3]Global Weekly Stock (EWSuez'!$B$4:$B$2000,"mmm-yy")=TEXT(A2504,"mmm-yy")),
    '[3]Global Weekly Stock (EWSuez'!$E$4:$E$2000)
/
SUMPRODUCT(
    --(TEXT('[3]Global Weekly Stock (EWSuez'!$B$4:$B$2000,"mmm-yy")=TEXT(A2504,"mmm-yy"))
)</f>
        <v>15325.8</v>
      </c>
      <c r="I2504">
        <f>_xlfn.XLOOKUP(A2504,[1]ForwardDeriv!$D:$D,[1]ForwardDeriv!$AJ:$AJ)</f>
        <v>0.65000000000000568</v>
      </c>
      <c r="J2504" cm="1">
        <f t="array" ref="J2504">_xlfn.XLOOKUP(TEXT(A2504, "mmm-yy"), TEXT([2]GASOLINE!$B$5:$B$208, "mmm-yy"), [2]GASOLINE!$IR$5:$IR$208, "Not Found")</f>
        <v>-480.39413621654433</v>
      </c>
      <c r="K2504" cm="1">
        <f t="array" ref="K2504">_xlfn.XLOOKUP(TEXT(A2504, "mmm-yy"), TEXT([2]GASOLINE!$B$5:$B$208, "mmm-yy"), [2]GASOLINE!$IK$5:$IK$208, "Not Found")</f>
        <v>270.60798451938888</v>
      </c>
      <c r="L2504">
        <f t="shared" si="39"/>
        <v>1</v>
      </c>
      <c r="M2504" cm="1">
        <f t="array" ref="M2504">_xlfn.XLOOKUP(TEXT(A2504, "mmm-yy"), TEXT([2]GASOLINE!$B$5:$B$208, "mmm-yy"), [2]GASOLINE!$C$5:$C$208, "Not Found")</f>
        <v>8107.4157102785248</v>
      </c>
      <c r="N2504" cm="1">
        <f t="array" ref="N2504">_xlfn.XLOOKUP(TEXT(A2504, "mmm-yy"), TEXT([2]RUNS!$B$5:$B$208, "mmm-yy"), [2]RUNS!$BM$5:$BM$208, "Not Found")</f>
        <v>0.80908082139177828</v>
      </c>
    </row>
    <row r="2505" spans="1:14" x14ac:dyDescent="0.25">
      <c r="A2505" s="1">
        <f>'[1]Global_Spot Prices'!$B3814</f>
        <v>45510</v>
      </c>
      <c r="B2505">
        <f>_xlfn.XLOOKUP(A2505,'[1]Global_Spot Prices'!$B:$B,'[1]Global_Spot Prices'!$BS:$BS)</f>
        <v>8.2299999999999898</v>
      </c>
      <c r="C2505">
        <f>_xlfn.XLOOKUP(A2505,'[1]Global_Spot Prices'!$B:$B,'[1]Global_Spot Prices'!$E:$E)</f>
        <v>75.040000000000006</v>
      </c>
      <c r="D2505">
        <f>_xlfn.XLOOKUP(A2505,'[1]Global_Spot Prices'!$B:$B,'[1]Global_Spot Prices'!$D:$D)</f>
        <v>76.275000000000006</v>
      </c>
      <c r="E2505">
        <f>_xlfn.XLOOKUP(A2505,'[1]Global_Spot Prices'!$B:$B,'[1]Global_Spot Prices'!$H:$H)</f>
        <v>71.52</v>
      </c>
      <c r="F2505">
        <f ca="1">_xlfn.XLOOKUP(A2505,'[1]Global_Spot Prices'!$B:$B,'[1]Global_Spot Prices'!$I:$I)</f>
        <v>83.27</v>
      </c>
      <c r="G2505" cm="1">
        <f t="array" ref="G2505">_xlfn.XLOOKUP(TEXT(A2505, "mmm-yy"), TEXT([2]RUNS!$B$5:$B$208, "mmm-yy"), [2]RUNS!$D$5:$D$208, "Not Found")</f>
        <v>29839.709773750183</v>
      </c>
      <c r="H2505" cm="1">
        <f t="array" ref="H2505">SUMPRODUCT(
    --(TEXT('[3]Global Weekly Stock (EWSuez'!$B$4:$B$2000,"mmm-yy")=TEXT(A2505,"mmm-yy")),
    '[3]Global Weekly Stock (EWSuez'!$E$4:$E$2000)
/
SUMPRODUCT(
    --(TEXT('[3]Global Weekly Stock (EWSuez'!$B$4:$B$2000,"mmm-yy")=TEXT(A2505,"mmm-yy"))
)</f>
        <v>15325.8</v>
      </c>
      <c r="I2505">
        <f>_xlfn.XLOOKUP(A2505,[1]ForwardDeriv!$D:$D,[1]ForwardDeriv!$AJ:$AJ)</f>
        <v>0.59999999999999432</v>
      </c>
      <c r="J2505" cm="1">
        <f t="array" ref="J2505">_xlfn.XLOOKUP(TEXT(A2505, "mmm-yy"), TEXT([2]GASOLINE!$B$5:$B$208, "mmm-yy"), [2]GASOLINE!$IR$5:$IR$208, "Not Found")</f>
        <v>-480.39413621654433</v>
      </c>
      <c r="K2505" cm="1">
        <f t="array" ref="K2505">_xlfn.XLOOKUP(TEXT(A2505, "mmm-yy"), TEXT([2]GASOLINE!$B$5:$B$208, "mmm-yy"), [2]GASOLINE!$IK$5:$IK$208, "Not Found")</f>
        <v>270.60798451938888</v>
      </c>
      <c r="L2505">
        <f t="shared" si="39"/>
        <v>1</v>
      </c>
      <c r="M2505" cm="1">
        <f t="array" ref="M2505">_xlfn.XLOOKUP(TEXT(A2505, "mmm-yy"), TEXT([2]GASOLINE!$B$5:$B$208, "mmm-yy"), [2]GASOLINE!$C$5:$C$208, "Not Found")</f>
        <v>8107.4157102785248</v>
      </c>
      <c r="N2505" cm="1">
        <f t="array" ref="N2505">_xlfn.XLOOKUP(TEXT(A2505, "mmm-yy"), TEXT([2]RUNS!$B$5:$B$208, "mmm-yy"), [2]RUNS!$BM$5:$BM$208, "Not Found")</f>
        <v>0.80908082139177828</v>
      </c>
    </row>
    <row r="2506" spans="1:14" x14ac:dyDescent="0.25">
      <c r="A2506" s="1">
        <f>'[1]Global_Spot Prices'!$B3815</f>
        <v>45511</v>
      </c>
      <c r="B2506">
        <f ca="1">_xlfn.XLOOKUP(A2506,'[1]Global_Spot Prices'!$B:$B,'[1]Global_Spot Prices'!$BS:$BS)</f>
        <v>7.2600000000000051</v>
      </c>
      <c r="C2506">
        <f>_xlfn.XLOOKUP(A2506,'[1]Global_Spot Prices'!$B:$B,'[1]Global_Spot Prices'!$E:$E)</f>
        <v>75.5</v>
      </c>
      <c r="D2506">
        <f>_xlfn.XLOOKUP(A2506,'[1]Global_Spot Prices'!$B:$B,'[1]Global_Spot Prices'!$D:$D)</f>
        <v>79.91</v>
      </c>
      <c r="E2506">
        <f>_xlfn.XLOOKUP(A2506,'[1]Global_Spot Prices'!$B:$B,'[1]Global_Spot Prices'!$H:$H)</f>
        <v>71.05</v>
      </c>
      <c r="F2506">
        <f>_xlfn.XLOOKUP(A2506,'[1]Global_Spot Prices'!$B:$B,'[1]Global_Spot Prices'!$I:$I)</f>
        <v>82.76</v>
      </c>
      <c r="G2506" cm="1">
        <f t="array" ref="G2506">_xlfn.XLOOKUP(TEXT(A2506, "mmm-yy"), TEXT([2]RUNS!$B$5:$B$208, "mmm-yy"), [2]RUNS!$D$5:$D$208, "Not Found")</f>
        <v>29839.709773750183</v>
      </c>
      <c r="H2506" cm="1">
        <f t="array" ref="H2506">SUMPRODUCT(
    --(TEXT('[3]Global Weekly Stock (EWSuez'!$B$4:$B$2000,"mmm-yy")=TEXT(A2506,"mmm-yy")),
    '[3]Global Weekly Stock (EWSuez'!$E$4:$E$2000)
/
SUMPRODUCT(
    --(TEXT('[3]Global Weekly Stock (EWSuez'!$B$4:$B$2000,"mmm-yy")=TEXT(A2506,"mmm-yy"))
)</f>
        <v>15325.8</v>
      </c>
      <c r="I2506">
        <f>_xlfn.XLOOKUP(A2506,[1]ForwardDeriv!$D:$D,[1]ForwardDeriv!$AJ:$AJ)</f>
        <v>0.46999999999999886</v>
      </c>
      <c r="J2506" cm="1">
        <f t="array" ref="J2506">_xlfn.XLOOKUP(TEXT(A2506, "mmm-yy"), TEXT([2]GASOLINE!$B$5:$B$208, "mmm-yy"), [2]GASOLINE!$IR$5:$IR$208, "Not Found")</f>
        <v>-480.39413621654433</v>
      </c>
      <c r="K2506" cm="1">
        <f t="array" ref="K2506">_xlfn.XLOOKUP(TEXT(A2506, "mmm-yy"), TEXT([2]GASOLINE!$B$5:$B$208, "mmm-yy"), [2]GASOLINE!$IK$5:$IK$208, "Not Found")</f>
        <v>270.60798451938888</v>
      </c>
      <c r="L2506">
        <f t="shared" si="39"/>
        <v>1</v>
      </c>
      <c r="M2506" cm="1">
        <f t="array" ref="M2506">_xlfn.XLOOKUP(TEXT(A2506, "mmm-yy"), TEXT([2]GASOLINE!$B$5:$B$208, "mmm-yy"), [2]GASOLINE!$C$5:$C$208, "Not Found")</f>
        <v>8107.4157102785248</v>
      </c>
      <c r="N2506" cm="1">
        <f t="array" ref="N2506">_xlfn.XLOOKUP(TEXT(A2506, "mmm-yy"), TEXT([2]RUNS!$B$5:$B$208, "mmm-yy"), [2]RUNS!$BM$5:$BM$208, "Not Found")</f>
        <v>0.80908082139177828</v>
      </c>
    </row>
    <row r="2507" spans="1:14" x14ac:dyDescent="0.25">
      <c r="A2507" s="1">
        <f>'[1]Global_Spot Prices'!$B3816</f>
        <v>45512</v>
      </c>
      <c r="B2507">
        <f>_xlfn.XLOOKUP(A2507,'[1]Global_Spot Prices'!$B:$B,'[1]Global_Spot Prices'!$BS:$BS)</f>
        <v>7.8900000000000006</v>
      </c>
      <c r="C2507">
        <f>_xlfn.XLOOKUP(A2507,'[1]Global_Spot Prices'!$B:$B,'[1]Global_Spot Prices'!$E:$E)</f>
        <v>77.14</v>
      </c>
      <c r="D2507">
        <f>_xlfn.XLOOKUP(A2507,'[1]Global_Spot Prices'!$B:$B,'[1]Global_Spot Prices'!$D:$D)</f>
        <v>81.099999999999994</v>
      </c>
      <c r="E2507">
        <f>_xlfn.XLOOKUP(A2507,'[1]Global_Spot Prices'!$B:$B,'[1]Global_Spot Prices'!$H:$H)</f>
        <v>72.42</v>
      </c>
      <c r="F2507">
        <f>_xlfn.XLOOKUP(A2507,'[1]Global_Spot Prices'!$B:$B,'[1]Global_Spot Prices'!$I:$I)</f>
        <v>85.03</v>
      </c>
      <c r="G2507" cm="1">
        <f t="array" ref="G2507">_xlfn.XLOOKUP(TEXT(A2507, "mmm-yy"), TEXT([2]RUNS!$B$5:$B$208, "mmm-yy"), [2]RUNS!$D$5:$D$208, "Not Found")</f>
        <v>29839.709773750183</v>
      </c>
      <c r="H2507" cm="1">
        <f t="array" ref="H2507">SUMPRODUCT(
    --(TEXT('[3]Global Weekly Stock (EWSuez'!$B$4:$B$2000,"mmm-yy")=TEXT(A2507,"mmm-yy")),
    '[3]Global Weekly Stock (EWSuez'!$E$4:$E$2000)
/
SUMPRODUCT(
    --(TEXT('[3]Global Weekly Stock (EWSuez'!$B$4:$B$2000,"mmm-yy")=TEXT(A2507,"mmm-yy"))
)</f>
        <v>15325.8</v>
      </c>
      <c r="I2507">
        <f>_xlfn.XLOOKUP(A2507,[1]ForwardDeriv!$D:$D,[1]ForwardDeriv!$AJ:$AJ)</f>
        <v>0.54999999999999716</v>
      </c>
      <c r="J2507" cm="1">
        <f t="array" ref="J2507">_xlfn.XLOOKUP(TEXT(A2507, "mmm-yy"), TEXT([2]GASOLINE!$B$5:$B$208, "mmm-yy"), [2]GASOLINE!$IR$5:$IR$208, "Not Found")</f>
        <v>-480.39413621654433</v>
      </c>
      <c r="K2507" cm="1">
        <f t="array" ref="K2507">_xlfn.XLOOKUP(TEXT(A2507, "mmm-yy"), TEXT([2]GASOLINE!$B$5:$B$208, "mmm-yy"), [2]GASOLINE!$IK$5:$IK$208, "Not Found")</f>
        <v>270.60798451938888</v>
      </c>
      <c r="L2507">
        <f t="shared" si="39"/>
        <v>1</v>
      </c>
      <c r="M2507" cm="1">
        <f t="array" ref="M2507">_xlfn.XLOOKUP(TEXT(A2507, "mmm-yy"), TEXT([2]GASOLINE!$B$5:$B$208, "mmm-yy"), [2]GASOLINE!$C$5:$C$208, "Not Found")</f>
        <v>8107.4157102785248</v>
      </c>
      <c r="N2507" cm="1">
        <f t="array" ref="N2507">_xlfn.XLOOKUP(TEXT(A2507, "mmm-yy"), TEXT([2]RUNS!$B$5:$B$208, "mmm-yy"), [2]RUNS!$BM$5:$BM$208, "Not Found")</f>
        <v>0.80908082139177828</v>
      </c>
    </row>
    <row r="2508" spans="1:14" x14ac:dyDescent="0.25">
      <c r="A2508" s="1">
        <f>'[1]Global_Spot Prices'!$B3817</f>
        <v>45513</v>
      </c>
      <c r="B2508" t="e">
        <f ca="1">_xlfn.XLOOKUP(A2508,'[1]Global_Spot Prices'!$B:$B,'[1]Global_Spot Prices'!$BS:$BS)</f>
        <v>#N/A</v>
      </c>
      <c r="C2508" t="str">
        <f>_xlfn.XLOOKUP(A2508,'[1]Global_Spot Prices'!$B:$B,'[1]Global_Spot Prices'!$E:$E)</f>
        <v/>
      </c>
      <c r="D2508">
        <f>_xlfn.XLOOKUP(A2508,'[1]Global_Spot Prices'!$B:$B,'[1]Global_Spot Prices'!$D:$D)</f>
        <v>81.614999999999995</v>
      </c>
      <c r="E2508">
        <f>_xlfn.XLOOKUP(A2508,'[1]Global_Spot Prices'!$B:$B,'[1]Global_Spot Prices'!$H:$H)</f>
        <v>0</v>
      </c>
      <c r="F2508">
        <f>_xlfn.XLOOKUP(A2508,'[1]Global_Spot Prices'!$B:$B,'[1]Global_Spot Prices'!$I:$I)</f>
        <v>0</v>
      </c>
      <c r="G2508" cm="1">
        <f t="array" ref="G2508">_xlfn.XLOOKUP(TEXT(A2508, "mmm-yy"), TEXT([2]RUNS!$B$5:$B$208, "mmm-yy"), [2]RUNS!$D$5:$D$208, "Not Found")</f>
        <v>29839.709773750183</v>
      </c>
      <c r="H2508" cm="1">
        <f t="array" ref="H2508">SUMPRODUCT(
    --(TEXT('[3]Global Weekly Stock (EWSuez'!$B$4:$B$2000,"mmm-yy")=TEXT(A2508,"mmm-yy")),
    '[3]Global Weekly Stock (EWSuez'!$E$4:$E$2000)
/
SUMPRODUCT(
    --(TEXT('[3]Global Weekly Stock (EWSuez'!$B$4:$B$2000,"mmm-yy")=TEXT(A2508,"mmm-yy"))
)</f>
        <v>15325.8</v>
      </c>
      <c r="I2508">
        <f>_xlfn.XLOOKUP(A2508,[1]ForwardDeriv!$D:$D,[1]ForwardDeriv!$AJ:$AJ)</f>
        <v>0.71000000000000796</v>
      </c>
      <c r="J2508" cm="1">
        <f t="array" ref="J2508">_xlfn.XLOOKUP(TEXT(A2508, "mmm-yy"), TEXT([2]GASOLINE!$B$5:$B$208, "mmm-yy"), [2]GASOLINE!$IR$5:$IR$208, "Not Found")</f>
        <v>-480.39413621654433</v>
      </c>
      <c r="K2508" cm="1">
        <f t="array" ref="K2508">_xlfn.XLOOKUP(TEXT(A2508, "mmm-yy"), TEXT([2]GASOLINE!$B$5:$B$208, "mmm-yy"), [2]GASOLINE!$IK$5:$IK$208, "Not Found")</f>
        <v>270.60798451938888</v>
      </c>
      <c r="L2508">
        <f t="shared" si="39"/>
        <v>1</v>
      </c>
      <c r="M2508" cm="1">
        <f t="array" ref="M2508">_xlfn.XLOOKUP(TEXT(A2508, "mmm-yy"), TEXT([2]GASOLINE!$B$5:$B$208, "mmm-yy"), [2]GASOLINE!$C$5:$C$208, "Not Found")</f>
        <v>8107.4157102785248</v>
      </c>
      <c r="N2508" cm="1">
        <f t="array" ref="N2508">_xlfn.XLOOKUP(TEXT(A2508, "mmm-yy"), TEXT([2]RUNS!$B$5:$B$208, "mmm-yy"), [2]RUNS!$BM$5:$BM$208, "Not Found")</f>
        <v>0.80908082139177828</v>
      </c>
    </row>
    <row r="2509" spans="1:14" x14ac:dyDescent="0.25">
      <c r="A2509" s="1">
        <f>'[1]Global_Spot Prices'!$B3818</f>
        <v>45516</v>
      </c>
      <c r="B2509">
        <f>_xlfn.XLOOKUP(A2509,'[1]Global_Spot Prices'!$B:$B,'[1]Global_Spot Prices'!$BS:$BS)</f>
        <v>8.2199999999999989</v>
      </c>
      <c r="C2509">
        <f>_xlfn.XLOOKUP(A2509,'[1]Global_Spot Prices'!$B:$B,'[1]Global_Spot Prices'!$E:$E)</f>
        <v>78.67</v>
      </c>
      <c r="D2509">
        <f>_xlfn.XLOOKUP(A2509,'[1]Global_Spot Prices'!$B:$B,'[1]Global_Spot Prices'!$D:$D)</f>
        <v>83.31</v>
      </c>
      <c r="E2509">
        <f>_xlfn.XLOOKUP(A2509,'[1]Global_Spot Prices'!$B:$B,'[1]Global_Spot Prices'!$H:$H)</f>
        <v>72.86</v>
      </c>
      <c r="F2509">
        <f>_xlfn.XLOOKUP(A2509,'[1]Global_Spot Prices'!$B:$B,'[1]Global_Spot Prices'!$I:$I)</f>
        <v>86.89</v>
      </c>
      <c r="G2509" cm="1">
        <f t="array" ref="G2509">_xlfn.XLOOKUP(TEXT(A2509, "mmm-yy"), TEXT([2]RUNS!$B$5:$B$208, "mmm-yy"), [2]RUNS!$D$5:$D$208, "Not Found")</f>
        <v>29839.709773750183</v>
      </c>
      <c r="H2509" cm="1">
        <f t="array" ref="H2509">SUMPRODUCT(
    --(TEXT('[3]Global Weekly Stock (EWSuez'!$B$4:$B$2000,"mmm-yy")=TEXT(A2509,"mmm-yy")),
    '[3]Global Weekly Stock (EWSuez'!$E$4:$E$2000)
/
SUMPRODUCT(
    --(TEXT('[3]Global Weekly Stock (EWSuez'!$B$4:$B$2000,"mmm-yy")=TEXT(A2509,"mmm-yy"))
)</f>
        <v>15325.8</v>
      </c>
      <c r="I2509">
        <f>_xlfn.XLOOKUP(A2509,[1]ForwardDeriv!$D:$D,[1]ForwardDeriv!$AJ:$AJ)</f>
        <v>0.71000000000000796</v>
      </c>
      <c r="J2509" cm="1">
        <f t="array" ref="J2509">_xlfn.XLOOKUP(TEXT(A2509, "mmm-yy"), TEXT([2]GASOLINE!$B$5:$B$208, "mmm-yy"), [2]GASOLINE!$IR$5:$IR$208, "Not Found")</f>
        <v>-480.39413621654433</v>
      </c>
      <c r="K2509" cm="1">
        <f t="array" ref="K2509">_xlfn.XLOOKUP(TEXT(A2509, "mmm-yy"), TEXT([2]GASOLINE!$B$5:$B$208, "mmm-yy"), [2]GASOLINE!$IK$5:$IK$208, "Not Found")</f>
        <v>270.60798451938888</v>
      </c>
      <c r="L2509">
        <f t="shared" si="39"/>
        <v>1</v>
      </c>
      <c r="M2509" cm="1">
        <f t="array" ref="M2509">_xlfn.XLOOKUP(TEXT(A2509, "mmm-yy"), TEXT([2]GASOLINE!$B$5:$B$208, "mmm-yy"), [2]GASOLINE!$C$5:$C$208, "Not Found")</f>
        <v>8107.4157102785248</v>
      </c>
      <c r="N2509" cm="1">
        <f t="array" ref="N2509">_xlfn.XLOOKUP(TEXT(A2509, "mmm-yy"), TEXT([2]RUNS!$B$5:$B$208, "mmm-yy"), [2]RUNS!$BM$5:$BM$208, "Not Found")</f>
        <v>0.80908082139177828</v>
      </c>
    </row>
    <row r="2510" spans="1:14" x14ac:dyDescent="0.25">
      <c r="A2510" s="1">
        <f>'[1]Global_Spot Prices'!$B3819</f>
        <v>45517</v>
      </c>
      <c r="B2510">
        <f>_xlfn.XLOOKUP(A2510,'[1]Global_Spot Prices'!$B:$B,'[1]Global_Spot Prices'!$BS:$BS)</f>
        <v>7.5100000000000051</v>
      </c>
      <c r="C2510">
        <f>_xlfn.XLOOKUP(A2510,'[1]Global_Spot Prices'!$B:$B,'[1]Global_Spot Prices'!$E:$E)</f>
        <v>79.989999999999995</v>
      </c>
      <c r="D2510">
        <f>_xlfn.XLOOKUP(A2510,'[1]Global_Spot Prices'!$B:$B,'[1]Global_Spot Prices'!$D:$D)</f>
        <v>83.295000000000002</v>
      </c>
      <c r="E2510">
        <f>_xlfn.XLOOKUP(A2510,'[1]Global_Spot Prices'!$B:$B,'[1]Global_Spot Prices'!$H:$H)</f>
        <v>74.05</v>
      </c>
      <c r="F2510">
        <f>_xlfn.XLOOKUP(A2510,'[1]Global_Spot Prices'!$B:$B,'[1]Global_Spot Prices'!$I:$I)</f>
        <v>87.5</v>
      </c>
      <c r="G2510" cm="1">
        <f t="array" ref="G2510">_xlfn.XLOOKUP(TEXT(A2510, "mmm-yy"), TEXT([2]RUNS!$B$5:$B$208, "mmm-yy"), [2]RUNS!$D$5:$D$208, "Not Found")</f>
        <v>29839.709773750183</v>
      </c>
      <c r="H2510" cm="1">
        <f t="array" ref="H2510">SUMPRODUCT(
    --(TEXT('[3]Global Weekly Stock (EWSuez'!$B$4:$B$2000,"mmm-yy")=TEXT(A2510,"mmm-yy")),
    '[3]Global Weekly Stock (EWSuez'!$E$4:$E$2000)
/
SUMPRODUCT(
    --(TEXT('[3]Global Weekly Stock (EWSuez'!$B$4:$B$2000,"mmm-yy")=TEXT(A2510,"mmm-yy"))
)</f>
        <v>15325.8</v>
      </c>
      <c r="I2510">
        <f>_xlfn.XLOOKUP(A2510,[1]ForwardDeriv!$D:$D,[1]ForwardDeriv!$AJ:$AJ)</f>
        <v>0.59000000000000341</v>
      </c>
      <c r="J2510" cm="1">
        <f t="array" ref="J2510">_xlfn.XLOOKUP(TEXT(A2510, "mmm-yy"), TEXT([2]GASOLINE!$B$5:$B$208, "mmm-yy"), [2]GASOLINE!$IR$5:$IR$208, "Not Found")</f>
        <v>-480.39413621654433</v>
      </c>
      <c r="K2510" cm="1">
        <f t="array" ref="K2510">_xlfn.XLOOKUP(TEXT(A2510, "mmm-yy"), TEXT([2]GASOLINE!$B$5:$B$208, "mmm-yy"), [2]GASOLINE!$IK$5:$IK$208, "Not Found")</f>
        <v>270.60798451938888</v>
      </c>
      <c r="L2510">
        <f t="shared" si="39"/>
        <v>1</v>
      </c>
      <c r="M2510" cm="1">
        <f t="array" ref="M2510">_xlfn.XLOOKUP(TEXT(A2510, "mmm-yy"), TEXT([2]GASOLINE!$B$5:$B$208, "mmm-yy"), [2]GASOLINE!$C$5:$C$208, "Not Found")</f>
        <v>8107.4157102785248</v>
      </c>
      <c r="N2510" cm="1">
        <f t="array" ref="N2510">_xlfn.XLOOKUP(TEXT(A2510, "mmm-yy"), TEXT([2]RUNS!$B$5:$B$208, "mmm-yy"), [2]RUNS!$BM$5:$BM$208, "Not Found")</f>
        <v>0.80908082139177828</v>
      </c>
    </row>
    <row r="2511" spans="1:14" x14ac:dyDescent="0.25">
      <c r="A2511" s="1">
        <f>'[1]Global_Spot Prices'!$B3820</f>
        <v>45518</v>
      </c>
      <c r="B2511">
        <f>_xlfn.XLOOKUP(A2511,'[1]Global_Spot Prices'!$B:$B,'[1]Global_Spot Prices'!$BS:$BS)</f>
        <v>6.9100000000000108</v>
      </c>
      <c r="C2511">
        <f>_xlfn.XLOOKUP(A2511,'[1]Global_Spot Prices'!$B:$B,'[1]Global_Spot Prices'!$E:$E)</f>
        <v>79.209999999999994</v>
      </c>
      <c r="D2511">
        <f>_xlfn.XLOOKUP(A2511,'[1]Global_Spot Prices'!$B:$B,'[1]Global_Spot Prices'!$D:$D)</f>
        <v>82.894999999999996</v>
      </c>
      <c r="E2511">
        <f>_xlfn.XLOOKUP(A2511,'[1]Global_Spot Prices'!$B:$B,'[1]Global_Spot Prices'!$H:$H)</f>
        <v>73.459999999999994</v>
      </c>
      <c r="F2511">
        <f>_xlfn.XLOOKUP(A2511,'[1]Global_Spot Prices'!$B:$B,'[1]Global_Spot Prices'!$I:$I)</f>
        <v>86.12</v>
      </c>
      <c r="G2511" cm="1">
        <f t="array" ref="G2511">_xlfn.XLOOKUP(TEXT(A2511, "mmm-yy"), TEXT([2]RUNS!$B$5:$B$208, "mmm-yy"), [2]RUNS!$D$5:$D$208, "Not Found")</f>
        <v>29839.709773750183</v>
      </c>
      <c r="H2511" cm="1">
        <f t="array" ref="H2511">SUMPRODUCT(
    --(TEXT('[3]Global Weekly Stock (EWSuez'!$B$4:$B$2000,"mmm-yy")=TEXT(A2511,"mmm-yy")),
    '[3]Global Weekly Stock (EWSuez'!$E$4:$E$2000)
/
SUMPRODUCT(
    --(TEXT('[3]Global Weekly Stock (EWSuez'!$B$4:$B$2000,"mmm-yy")=TEXT(A2511,"mmm-yy"))
)</f>
        <v>15325.8</v>
      </c>
      <c r="I2511">
        <f>_xlfn.XLOOKUP(A2511,[1]ForwardDeriv!$D:$D,[1]ForwardDeriv!$AJ:$AJ)</f>
        <v>0.51999999999999602</v>
      </c>
      <c r="J2511" cm="1">
        <f t="array" ref="J2511">_xlfn.XLOOKUP(TEXT(A2511, "mmm-yy"), TEXT([2]GASOLINE!$B$5:$B$208, "mmm-yy"), [2]GASOLINE!$IR$5:$IR$208, "Not Found")</f>
        <v>-480.39413621654433</v>
      </c>
      <c r="K2511" cm="1">
        <f t="array" ref="K2511">_xlfn.XLOOKUP(TEXT(A2511, "mmm-yy"), TEXT([2]GASOLINE!$B$5:$B$208, "mmm-yy"), [2]GASOLINE!$IK$5:$IK$208, "Not Found")</f>
        <v>270.60798451938888</v>
      </c>
      <c r="L2511">
        <f t="shared" si="39"/>
        <v>1</v>
      </c>
      <c r="M2511" cm="1">
        <f t="array" ref="M2511">_xlfn.XLOOKUP(TEXT(A2511, "mmm-yy"), TEXT([2]GASOLINE!$B$5:$B$208, "mmm-yy"), [2]GASOLINE!$C$5:$C$208, "Not Found")</f>
        <v>8107.4157102785248</v>
      </c>
      <c r="N2511" cm="1">
        <f t="array" ref="N2511">_xlfn.XLOOKUP(TEXT(A2511, "mmm-yy"), TEXT([2]RUNS!$B$5:$B$208, "mmm-yy"), [2]RUNS!$BM$5:$BM$208, "Not Found")</f>
        <v>0.80908082139177828</v>
      </c>
    </row>
    <row r="2512" spans="1:14" x14ac:dyDescent="0.25">
      <c r="A2512" s="1">
        <f>'[1]Global_Spot Prices'!$B3821</f>
        <v>45519</v>
      </c>
      <c r="B2512">
        <f>_xlfn.XLOOKUP(A2512,'[1]Global_Spot Prices'!$B:$B,'[1]Global_Spot Prices'!$BS:$BS)</f>
        <v>5.1700000000000017</v>
      </c>
      <c r="C2512">
        <f>_xlfn.XLOOKUP(A2512,'[1]Global_Spot Prices'!$B:$B,'[1]Global_Spot Prices'!$E:$E)</f>
        <v>78.67</v>
      </c>
      <c r="D2512">
        <f ca="1">_xlfn.XLOOKUP(A2512,'[1]Global_Spot Prices'!$B:$B,'[1]Global_Spot Prices'!$D:$D)</f>
        <v>84.17</v>
      </c>
      <c r="E2512">
        <f>_xlfn.XLOOKUP(A2512,'[1]Global_Spot Prices'!$B:$B,'[1]Global_Spot Prices'!$H:$H)</f>
        <v>72.260000000000005</v>
      </c>
      <c r="F2512">
        <f>_xlfn.XLOOKUP(A2512,'[1]Global_Spot Prices'!$B:$B,'[1]Global_Spot Prices'!$I:$I)</f>
        <v>83.84</v>
      </c>
      <c r="G2512" cm="1">
        <f t="array" ref="G2512">_xlfn.XLOOKUP(TEXT(A2512, "mmm-yy"), TEXT([2]RUNS!$B$5:$B$208, "mmm-yy"), [2]RUNS!$D$5:$D$208, "Not Found")</f>
        <v>29839.709773750183</v>
      </c>
      <c r="H2512" cm="1">
        <f t="array" ref="H2512">SUMPRODUCT(
    --(TEXT('[3]Global Weekly Stock (EWSuez'!$B$4:$B$2000,"mmm-yy")=TEXT(A2512,"mmm-yy")),
    '[3]Global Weekly Stock (EWSuez'!$E$4:$E$2000)
/
SUMPRODUCT(
    --(TEXT('[3]Global Weekly Stock (EWSuez'!$B$4:$B$2000,"mmm-yy")=TEXT(A2512,"mmm-yy"))
)</f>
        <v>15325.8</v>
      </c>
      <c r="I2512">
        <f>_xlfn.XLOOKUP(A2512,[1]ForwardDeriv!$D:$D,[1]ForwardDeriv!$AJ:$AJ)</f>
        <v>0.34999999999999432</v>
      </c>
      <c r="J2512" cm="1">
        <f t="array" ref="J2512">_xlfn.XLOOKUP(TEXT(A2512, "mmm-yy"), TEXT([2]GASOLINE!$B$5:$B$208, "mmm-yy"), [2]GASOLINE!$IR$5:$IR$208, "Not Found")</f>
        <v>-480.39413621654433</v>
      </c>
      <c r="K2512" cm="1">
        <f t="array" ref="K2512">_xlfn.XLOOKUP(TEXT(A2512, "mmm-yy"), TEXT([2]GASOLINE!$B$5:$B$208, "mmm-yy"), [2]GASOLINE!$IK$5:$IK$208, "Not Found")</f>
        <v>270.60798451938888</v>
      </c>
      <c r="L2512">
        <f t="shared" si="39"/>
        <v>1</v>
      </c>
      <c r="M2512" cm="1">
        <f t="array" ref="M2512">_xlfn.XLOOKUP(TEXT(A2512, "mmm-yy"), TEXT([2]GASOLINE!$B$5:$B$208, "mmm-yy"), [2]GASOLINE!$C$5:$C$208, "Not Found")</f>
        <v>8107.4157102785248</v>
      </c>
      <c r="N2512" cm="1">
        <f t="array" ref="N2512">_xlfn.XLOOKUP(TEXT(A2512, "mmm-yy"), TEXT([2]RUNS!$B$5:$B$208, "mmm-yy"), [2]RUNS!$BM$5:$BM$208, "Not Found")</f>
        <v>0.80908082139177828</v>
      </c>
    </row>
    <row r="2513" spans="1:14" x14ac:dyDescent="0.25">
      <c r="A2513" s="1">
        <f>'[1]Global_Spot Prices'!$B3822</f>
        <v>45520</v>
      </c>
      <c r="B2513">
        <f>_xlfn.XLOOKUP(A2513,'[1]Global_Spot Prices'!$B:$B,'[1]Global_Spot Prices'!$BS:$BS)</f>
        <v>6.9499999999999886</v>
      </c>
      <c r="C2513">
        <f>_xlfn.XLOOKUP(A2513,'[1]Global_Spot Prices'!$B:$B,'[1]Global_Spot Prices'!$E:$E)</f>
        <v>79.040000000000006</v>
      </c>
      <c r="D2513">
        <f>_xlfn.XLOOKUP(A2513,'[1]Global_Spot Prices'!$B:$B,'[1]Global_Spot Prices'!$D:$D)</f>
        <v>82.245000000000005</v>
      </c>
      <c r="E2513">
        <f>_xlfn.XLOOKUP(A2513,'[1]Global_Spot Prices'!$B:$B,'[1]Global_Spot Prices'!$H:$H)</f>
        <v>72.260000000000005</v>
      </c>
      <c r="F2513">
        <f ca="1">_xlfn.XLOOKUP(A2513,'[1]Global_Spot Prices'!$B:$B,'[1]Global_Spot Prices'!$I:$I)</f>
        <v>85.99</v>
      </c>
      <c r="G2513" cm="1">
        <f t="array" ref="G2513">_xlfn.XLOOKUP(TEXT(A2513, "mmm-yy"), TEXT([2]RUNS!$B$5:$B$208, "mmm-yy"), [2]RUNS!$D$5:$D$208, "Not Found")</f>
        <v>29839.709773750183</v>
      </c>
      <c r="H2513" cm="1">
        <f t="array" ref="H2513">SUMPRODUCT(
    --(TEXT('[3]Global Weekly Stock (EWSuez'!$B$4:$B$2000,"mmm-yy")=TEXT(A2513,"mmm-yy")),
    '[3]Global Weekly Stock (EWSuez'!$E$4:$E$2000)
/
SUMPRODUCT(
    --(TEXT('[3]Global Weekly Stock (EWSuez'!$B$4:$B$2000,"mmm-yy")=TEXT(A2513,"mmm-yy"))
)</f>
        <v>15325.8</v>
      </c>
      <c r="I2513">
        <f>_xlfn.XLOOKUP(A2513,[1]ForwardDeriv!$D:$D,[1]ForwardDeriv!$AJ:$AJ)</f>
        <v>0.60000000000000853</v>
      </c>
      <c r="J2513" cm="1">
        <f t="array" ref="J2513">_xlfn.XLOOKUP(TEXT(A2513, "mmm-yy"), TEXT([2]GASOLINE!$B$5:$B$208, "mmm-yy"), [2]GASOLINE!$IR$5:$IR$208, "Not Found")</f>
        <v>-480.39413621654433</v>
      </c>
      <c r="K2513" cm="1">
        <f t="array" ref="K2513">_xlfn.XLOOKUP(TEXT(A2513, "mmm-yy"), TEXT([2]GASOLINE!$B$5:$B$208, "mmm-yy"), [2]GASOLINE!$IK$5:$IK$208, "Not Found")</f>
        <v>270.60798451938888</v>
      </c>
      <c r="L2513">
        <f t="shared" si="39"/>
        <v>1</v>
      </c>
      <c r="M2513" cm="1">
        <f t="array" ref="M2513">_xlfn.XLOOKUP(TEXT(A2513, "mmm-yy"), TEXT([2]GASOLINE!$B$5:$B$208, "mmm-yy"), [2]GASOLINE!$C$5:$C$208, "Not Found")</f>
        <v>8107.4157102785248</v>
      </c>
      <c r="N2513" cm="1">
        <f t="array" ref="N2513">_xlfn.XLOOKUP(TEXT(A2513, "mmm-yy"), TEXT([2]RUNS!$B$5:$B$208, "mmm-yy"), [2]RUNS!$BM$5:$BM$208, "Not Found")</f>
        <v>0.80908082139177828</v>
      </c>
    </row>
    <row r="2514" spans="1:14" x14ac:dyDescent="0.25">
      <c r="A2514" s="1">
        <f>'[1]Global_Spot Prices'!$B3823</f>
        <v>45523</v>
      </c>
      <c r="B2514">
        <f>_xlfn.XLOOKUP(A2514,'[1]Global_Spot Prices'!$B:$B,'[1]Global_Spot Prices'!$BS:$BS)</f>
        <v>6.8199999999999932</v>
      </c>
      <c r="C2514">
        <f>_xlfn.XLOOKUP(A2514,'[1]Global_Spot Prices'!$B:$B,'[1]Global_Spot Prices'!$E:$E)</f>
        <v>77.81</v>
      </c>
      <c r="D2514">
        <f>_xlfn.XLOOKUP(A2514,'[1]Global_Spot Prices'!$B:$B,'[1]Global_Spot Prices'!$D:$D)</f>
        <v>81.754999999999995</v>
      </c>
      <c r="E2514">
        <f>_xlfn.XLOOKUP(A2514,'[1]Global_Spot Prices'!$B:$B,'[1]Global_Spot Prices'!$H:$H)</f>
        <v>71.45</v>
      </c>
      <c r="F2514">
        <f>_xlfn.XLOOKUP(A2514,'[1]Global_Spot Prices'!$B:$B,'[1]Global_Spot Prices'!$I:$I)</f>
        <v>84.63</v>
      </c>
      <c r="G2514" cm="1">
        <f t="array" ref="G2514">_xlfn.XLOOKUP(TEXT(A2514, "mmm-yy"), TEXT([2]RUNS!$B$5:$B$208, "mmm-yy"), [2]RUNS!$D$5:$D$208, "Not Found")</f>
        <v>29839.709773750183</v>
      </c>
      <c r="H2514" cm="1">
        <f t="array" ref="H2514">SUMPRODUCT(
    --(TEXT('[3]Global Weekly Stock (EWSuez'!$B$4:$B$2000,"mmm-yy")=TEXT(A2514,"mmm-yy")),
    '[3]Global Weekly Stock (EWSuez'!$E$4:$E$2000)
/
SUMPRODUCT(
    --(TEXT('[3]Global Weekly Stock (EWSuez'!$B$4:$B$2000,"mmm-yy")=TEXT(A2514,"mmm-yy"))
)</f>
        <v>15325.8</v>
      </c>
      <c r="I2514">
        <f>_xlfn.XLOOKUP(A2514,[1]ForwardDeriv!$D:$D,[1]ForwardDeriv!$AJ:$AJ)</f>
        <v>0.70000000000000284</v>
      </c>
      <c r="J2514" cm="1">
        <f t="array" ref="J2514">_xlfn.XLOOKUP(TEXT(A2514, "mmm-yy"), TEXT([2]GASOLINE!$B$5:$B$208, "mmm-yy"), [2]GASOLINE!$IR$5:$IR$208, "Not Found")</f>
        <v>-480.39413621654433</v>
      </c>
      <c r="K2514" cm="1">
        <f t="array" ref="K2514">_xlfn.XLOOKUP(TEXT(A2514, "mmm-yy"), TEXT([2]GASOLINE!$B$5:$B$208, "mmm-yy"), [2]GASOLINE!$IK$5:$IK$208, "Not Found")</f>
        <v>270.60798451938888</v>
      </c>
      <c r="L2514">
        <f t="shared" si="39"/>
        <v>1</v>
      </c>
      <c r="M2514" cm="1">
        <f t="array" ref="M2514">_xlfn.XLOOKUP(TEXT(A2514, "mmm-yy"), TEXT([2]GASOLINE!$B$5:$B$208, "mmm-yy"), [2]GASOLINE!$C$5:$C$208, "Not Found")</f>
        <v>8107.4157102785248</v>
      </c>
      <c r="N2514" cm="1">
        <f t="array" ref="N2514">_xlfn.XLOOKUP(TEXT(A2514, "mmm-yy"), TEXT([2]RUNS!$B$5:$B$208, "mmm-yy"), [2]RUNS!$BM$5:$BM$208, "Not Found")</f>
        <v>0.80908082139177828</v>
      </c>
    </row>
    <row r="2515" spans="1:14" x14ac:dyDescent="0.25">
      <c r="A2515" s="1">
        <f>'[1]Global_Spot Prices'!$B3824</f>
        <v>45524</v>
      </c>
      <c r="B2515">
        <f>_xlfn.XLOOKUP(A2515,'[1]Global_Spot Prices'!$B:$B,'[1]Global_Spot Prices'!$BS:$BS)</f>
        <v>7.1799999999999926</v>
      </c>
      <c r="C2515">
        <f>_xlfn.XLOOKUP(A2515,'[1]Global_Spot Prices'!$B:$B,'[1]Global_Spot Prices'!$E:$E)</f>
        <v>75.680000000000007</v>
      </c>
      <c r="D2515">
        <f>_xlfn.XLOOKUP(A2515,'[1]Global_Spot Prices'!$B:$B,'[1]Global_Spot Prices'!$D:$D)</f>
        <v>79.495000000000005</v>
      </c>
      <c r="E2515">
        <f>_xlfn.XLOOKUP(A2515,'[1]Global_Spot Prices'!$B:$B,'[1]Global_Spot Prices'!$H:$H)</f>
        <v>70.75</v>
      </c>
      <c r="F2515">
        <f>_xlfn.XLOOKUP(A2515,'[1]Global_Spot Prices'!$B:$B,'[1]Global_Spot Prices'!$I:$I)</f>
        <v>82.86</v>
      </c>
      <c r="G2515" cm="1">
        <f t="array" ref="G2515">_xlfn.XLOOKUP(TEXT(A2515, "mmm-yy"), TEXT([2]RUNS!$B$5:$B$208, "mmm-yy"), [2]RUNS!$D$5:$D$208, "Not Found")</f>
        <v>29839.709773750183</v>
      </c>
      <c r="H2515" cm="1">
        <f t="array" ref="H2515">SUMPRODUCT(
    --(TEXT('[3]Global Weekly Stock (EWSuez'!$B$4:$B$2000,"mmm-yy")=TEXT(A2515,"mmm-yy")),
    '[3]Global Weekly Stock (EWSuez'!$E$4:$E$2000)
/
SUMPRODUCT(
    --(TEXT('[3]Global Weekly Stock (EWSuez'!$B$4:$B$2000,"mmm-yy")=TEXT(A2515,"mmm-yy"))
)</f>
        <v>15325.8</v>
      </c>
      <c r="I2515">
        <f>_xlfn.XLOOKUP(A2515,[1]ForwardDeriv!$D:$D,[1]ForwardDeriv!$AJ:$AJ)</f>
        <v>0.70999999999999375</v>
      </c>
      <c r="J2515" cm="1">
        <f t="array" ref="J2515">_xlfn.XLOOKUP(TEXT(A2515, "mmm-yy"), TEXT([2]GASOLINE!$B$5:$B$208, "mmm-yy"), [2]GASOLINE!$IR$5:$IR$208, "Not Found")</f>
        <v>-480.39413621654433</v>
      </c>
      <c r="K2515" cm="1">
        <f t="array" ref="K2515">_xlfn.XLOOKUP(TEXT(A2515, "mmm-yy"), TEXT([2]GASOLINE!$B$5:$B$208, "mmm-yy"), [2]GASOLINE!$IK$5:$IK$208, "Not Found")</f>
        <v>270.60798451938888</v>
      </c>
      <c r="L2515">
        <f t="shared" si="39"/>
        <v>1</v>
      </c>
      <c r="M2515" cm="1">
        <f t="array" ref="M2515">_xlfn.XLOOKUP(TEXT(A2515, "mmm-yy"), TEXT([2]GASOLINE!$B$5:$B$208, "mmm-yy"), [2]GASOLINE!$C$5:$C$208, "Not Found")</f>
        <v>8107.4157102785248</v>
      </c>
      <c r="N2515" cm="1">
        <f t="array" ref="N2515">_xlfn.XLOOKUP(TEXT(A2515, "mmm-yy"), TEXT([2]RUNS!$B$5:$B$208, "mmm-yy"), [2]RUNS!$BM$5:$BM$208, "Not Found")</f>
        <v>0.80908082139177828</v>
      </c>
    </row>
    <row r="2516" spans="1:14" x14ac:dyDescent="0.25">
      <c r="A2516" s="1">
        <f>'[1]Global_Spot Prices'!$B3825</f>
        <v>45525</v>
      </c>
      <c r="B2516">
        <f>_xlfn.XLOOKUP(A2516,'[1]Global_Spot Prices'!$B:$B,'[1]Global_Spot Prices'!$BS:$BS)</f>
        <v>7.3499999999999943</v>
      </c>
      <c r="C2516">
        <f>_xlfn.XLOOKUP(A2516,'[1]Global_Spot Prices'!$B:$B,'[1]Global_Spot Prices'!$E:$E)</f>
        <v>76.150000000000006</v>
      </c>
      <c r="D2516">
        <f>_xlfn.XLOOKUP(A2516,'[1]Global_Spot Prices'!$B:$B,'[1]Global_Spot Prices'!$D:$D)</f>
        <v>79.665000000000006</v>
      </c>
      <c r="E2516">
        <f>_xlfn.XLOOKUP(A2516,'[1]Global_Spot Prices'!$B:$B,'[1]Global_Spot Prices'!$H:$H)</f>
        <v>71.98</v>
      </c>
      <c r="F2516">
        <f>_xlfn.XLOOKUP(A2516,'[1]Global_Spot Prices'!$B:$B,'[1]Global_Spot Prices'!$I:$I)</f>
        <v>83.5</v>
      </c>
      <c r="G2516" cm="1">
        <f t="array" ref="G2516">_xlfn.XLOOKUP(TEXT(A2516, "mmm-yy"), TEXT([2]RUNS!$B$5:$B$208, "mmm-yy"), [2]RUNS!$D$5:$D$208, "Not Found")</f>
        <v>29839.709773750183</v>
      </c>
      <c r="H2516" cm="1">
        <f t="array" ref="H2516">SUMPRODUCT(
    --(TEXT('[3]Global Weekly Stock (EWSuez'!$B$4:$B$2000,"mmm-yy")=TEXT(A2516,"mmm-yy")),
    '[3]Global Weekly Stock (EWSuez'!$E$4:$E$2000)
/
SUMPRODUCT(
    --(TEXT('[3]Global Weekly Stock (EWSuez'!$B$4:$B$2000,"mmm-yy")=TEXT(A2516,"mmm-yy"))
)</f>
        <v>15325.8</v>
      </c>
      <c r="I2516">
        <f>_xlfn.XLOOKUP(A2516,[1]ForwardDeriv!$D:$D,[1]ForwardDeriv!$AJ:$AJ)</f>
        <v>0.76999999999999602</v>
      </c>
      <c r="J2516" cm="1">
        <f t="array" ref="J2516">_xlfn.XLOOKUP(TEXT(A2516, "mmm-yy"), TEXT([2]GASOLINE!$B$5:$B$208, "mmm-yy"), [2]GASOLINE!$IR$5:$IR$208, "Not Found")</f>
        <v>-480.39413621654433</v>
      </c>
      <c r="K2516" cm="1">
        <f t="array" ref="K2516">_xlfn.XLOOKUP(TEXT(A2516, "mmm-yy"), TEXT([2]GASOLINE!$B$5:$B$208, "mmm-yy"), [2]GASOLINE!$IK$5:$IK$208, "Not Found")</f>
        <v>270.60798451938888</v>
      </c>
      <c r="L2516">
        <f t="shared" si="39"/>
        <v>1</v>
      </c>
      <c r="M2516" cm="1">
        <f t="array" ref="M2516">_xlfn.XLOOKUP(TEXT(A2516, "mmm-yy"), TEXT([2]GASOLINE!$B$5:$B$208, "mmm-yy"), [2]GASOLINE!$C$5:$C$208, "Not Found")</f>
        <v>8107.4157102785248</v>
      </c>
      <c r="N2516" cm="1">
        <f t="array" ref="N2516">_xlfn.XLOOKUP(TEXT(A2516, "mmm-yy"), TEXT([2]RUNS!$B$5:$B$208, "mmm-yy"), [2]RUNS!$BM$5:$BM$208, "Not Found")</f>
        <v>0.80908082139177828</v>
      </c>
    </row>
    <row r="2517" spans="1:14" x14ac:dyDescent="0.25">
      <c r="A2517" s="1">
        <f>'[1]Global_Spot Prices'!$B3826</f>
        <v>45526</v>
      </c>
      <c r="B2517">
        <f ca="1">_xlfn.XLOOKUP(A2517,'[1]Global_Spot Prices'!$B:$B,'[1]Global_Spot Prices'!$BS:$BS)</f>
        <v>6.6699999999999875</v>
      </c>
      <c r="C2517">
        <f>_xlfn.XLOOKUP(A2517,'[1]Global_Spot Prices'!$B:$B,'[1]Global_Spot Prices'!$E:$E)</f>
        <v>75.150000000000006</v>
      </c>
      <c r="D2517">
        <f>_xlfn.XLOOKUP(A2517,'[1]Global_Spot Prices'!$B:$B,'[1]Global_Spot Prices'!$D:$D)</f>
        <v>79.625</v>
      </c>
      <c r="E2517">
        <f>_xlfn.XLOOKUP(A2517,'[1]Global_Spot Prices'!$B:$B,'[1]Global_Spot Prices'!$H:$H)</f>
        <v>71.650000000000006</v>
      </c>
      <c r="F2517">
        <f ca="1">_xlfn.XLOOKUP(A2517,'[1]Global_Spot Prices'!$B:$B,'[1]Global_Spot Prices'!$I:$I)</f>
        <v>81.819999999999993</v>
      </c>
      <c r="G2517" cm="1">
        <f t="array" ref="G2517">_xlfn.XLOOKUP(TEXT(A2517, "mmm-yy"), TEXT([2]RUNS!$B$5:$B$208, "mmm-yy"), [2]RUNS!$D$5:$D$208, "Not Found")</f>
        <v>29839.709773750183</v>
      </c>
      <c r="H2517" cm="1">
        <f t="array" ref="H2517">SUMPRODUCT(
    --(TEXT('[3]Global Weekly Stock (EWSuez'!$B$4:$B$2000,"mmm-yy")=TEXT(A2517,"mmm-yy")),
    '[3]Global Weekly Stock (EWSuez'!$E$4:$E$2000)
/
SUMPRODUCT(
    --(TEXT('[3]Global Weekly Stock (EWSuez'!$B$4:$B$2000,"mmm-yy")=TEXT(A2517,"mmm-yy"))
)</f>
        <v>15325.8</v>
      </c>
      <c r="I2517">
        <f>_xlfn.XLOOKUP(A2517,[1]ForwardDeriv!$D:$D,[1]ForwardDeriv!$AJ:$AJ)</f>
        <v>0.75</v>
      </c>
      <c r="J2517" cm="1">
        <f t="array" ref="J2517">_xlfn.XLOOKUP(TEXT(A2517, "mmm-yy"), TEXT([2]GASOLINE!$B$5:$B$208, "mmm-yy"), [2]GASOLINE!$IR$5:$IR$208, "Not Found")</f>
        <v>-480.39413621654433</v>
      </c>
      <c r="K2517" cm="1">
        <f t="array" ref="K2517">_xlfn.XLOOKUP(TEXT(A2517, "mmm-yy"), TEXT([2]GASOLINE!$B$5:$B$208, "mmm-yy"), [2]GASOLINE!$IK$5:$IK$208, "Not Found")</f>
        <v>270.60798451938888</v>
      </c>
      <c r="L2517">
        <f t="shared" si="39"/>
        <v>1</v>
      </c>
      <c r="M2517" cm="1">
        <f t="array" ref="M2517">_xlfn.XLOOKUP(TEXT(A2517, "mmm-yy"), TEXT([2]GASOLINE!$B$5:$B$208, "mmm-yy"), [2]GASOLINE!$C$5:$C$208, "Not Found")</f>
        <v>8107.4157102785248</v>
      </c>
      <c r="N2517" cm="1">
        <f t="array" ref="N2517">_xlfn.XLOOKUP(TEXT(A2517, "mmm-yy"), TEXT([2]RUNS!$B$5:$B$208, "mmm-yy"), [2]RUNS!$BM$5:$BM$208, "Not Found")</f>
        <v>0.80908082139177828</v>
      </c>
    </row>
    <row r="2518" spans="1:14" x14ac:dyDescent="0.25">
      <c r="A2518" s="1">
        <f>'[1]Global_Spot Prices'!$B3827</f>
        <v>45527</v>
      </c>
      <c r="B2518">
        <f>_xlfn.XLOOKUP(A2518,'[1]Global_Spot Prices'!$B:$B,'[1]Global_Spot Prices'!$BS:$BS)</f>
        <v>6.3500000000000085</v>
      </c>
      <c r="C2518">
        <f>_xlfn.XLOOKUP(A2518,'[1]Global_Spot Prices'!$B:$B,'[1]Global_Spot Prices'!$E:$E)</f>
        <v>76.69</v>
      </c>
      <c r="D2518">
        <f>_xlfn.XLOOKUP(A2518,'[1]Global_Spot Prices'!$B:$B,'[1]Global_Spot Prices'!$D:$D)</f>
        <v>81.064999999999998</v>
      </c>
      <c r="E2518">
        <f>_xlfn.XLOOKUP(A2518,'[1]Global_Spot Prices'!$B:$B,'[1]Global_Spot Prices'!$H:$H)</f>
        <v>72.459999999999994</v>
      </c>
      <c r="F2518">
        <f>_xlfn.XLOOKUP(A2518,'[1]Global_Spot Prices'!$B:$B,'[1]Global_Spot Prices'!$I:$I)</f>
        <v>83.04</v>
      </c>
      <c r="G2518" cm="1">
        <f t="array" ref="G2518">_xlfn.XLOOKUP(TEXT(A2518, "mmm-yy"), TEXT([2]RUNS!$B$5:$B$208, "mmm-yy"), [2]RUNS!$D$5:$D$208, "Not Found")</f>
        <v>29839.709773750183</v>
      </c>
      <c r="H2518" cm="1">
        <f t="array" ref="H2518">SUMPRODUCT(
    --(TEXT('[3]Global Weekly Stock (EWSuez'!$B$4:$B$2000,"mmm-yy")=TEXT(A2518,"mmm-yy")),
    '[3]Global Weekly Stock (EWSuez'!$E$4:$E$2000)
/
SUMPRODUCT(
    --(TEXT('[3]Global Weekly Stock (EWSuez'!$B$4:$B$2000,"mmm-yy")=TEXT(A2518,"mmm-yy"))
)</f>
        <v>15325.8</v>
      </c>
      <c r="I2518">
        <f>_xlfn.XLOOKUP(A2518,[1]ForwardDeriv!$D:$D,[1]ForwardDeriv!$AJ:$AJ)</f>
        <v>0.84000000000000341</v>
      </c>
      <c r="J2518" cm="1">
        <f t="array" ref="J2518">_xlfn.XLOOKUP(TEXT(A2518, "mmm-yy"), TEXT([2]GASOLINE!$B$5:$B$208, "mmm-yy"), [2]GASOLINE!$IR$5:$IR$208, "Not Found")</f>
        <v>-480.39413621654433</v>
      </c>
      <c r="K2518" cm="1">
        <f t="array" ref="K2518">_xlfn.XLOOKUP(TEXT(A2518, "mmm-yy"), TEXT([2]GASOLINE!$B$5:$B$208, "mmm-yy"), [2]GASOLINE!$IK$5:$IK$208, "Not Found")</f>
        <v>270.60798451938888</v>
      </c>
      <c r="L2518">
        <f t="shared" si="39"/>
        <v>1</v>
      </c>
      <c r="M2518" cm="1">
        <f t="array" ref="M2518">_xlfn.XLOOKUP(TEXT(A2518, "mmm-yy"), TEXT([2]GASOLINE!$B$5:$B$208, "mmm-yy"), [2]GASOLINE!$C$5:$C$208, "Not Found")</f>
        <v>8107.4157102785248</v>
      </c>
      <c r="N2518" cm="1">
        <f t="array" ref="N2518">_xlfn.XLOOKUP(TEXT(A2518, "mmm-yy"), TEXT([2]RUNS!$B$5:$B$208, "mmm-yy"), [2]RUNS!$BM$5:$BM$208, "Not Found")</f>
        <v>0.80908082139177828</v>
      </c>
    </row>
    <row r="2519" spans="1:14" x14ac:dyDescent="0.25">
      <c r="A2519" s="1">
        <f>'[1]Global_Spot Prices'!$B3828</f>
        <v>45530</v>
      </c>
      <c r="B2519">
        <f>_xlfn.XLOOKUP(A2519,'[1]Global_Spot Prices'!$B:$B,'[1]Global_Spot Prices'!$BS:$BS)</f>
        <v>7.0300000000000011</v>
      </c>
      <c r="C2519">
        <f>_xlfn.XLOOKUP(A2519,'[1]Global_Spot Prices'!$B:$B,'[1]Global_Spot Prices'!$E:$E)</f>
        <v>78.55</v>
      </c>
      <c r="D2519" t="str">
        <f>_xlfn.XLOOKUP(A2519,'[1]Global_Spot Prices'!$B:$B,'[1]Global_Spot Prices'!$D:$D)</f>
        <v/>
      </c>
      <c r="E2519">
        <f>_xlfn.XLOOKUP(A2519,'[1]Global_Spot Prices'!$B:$B,'[1]Global_Spot Prices'!$H:$H)</f>
        <v>73.58</v>
      </c>
      <c r="F2519">
        <f>_xlfn.XLOOKUP(A2519,'[1]Global_Spot Prices'!$B:$B,'[1]Global_Spot Prices'!$I:$I)</f>
        <v>85.58</v>
      </c>
      <c r="G2519" cm="1">
        <f t="array" ref="G2519">_xlfn.XLOOKUP(TEXT(A2519, "mmm-yy"), TEXT([2]RUNS!$B$5:$B$208, "mmm-yy"), [2]RUNS!$D$5:$D$208, "Not Found")</f>
        <v>29839.709773750183</v>
      </c>
      <c r="H2519" cm="1">
        <f t="array" ref="H2519">SUMPRODUCT(
    --(TEXT('[3]Global Weekly Stock (EWSuez'!$B$4:$B$2000,"mmm-yy")=TEXT(A2519,"mmm-yy")),
    '[3]Global Weekly Stock (EWSuez'!$E$4:$E$2000)
/
SUMPRODUCT(
    --(TEXT('[3]Global Weekly Stock (EWSuez'!$B$4:$B$2000,"mmm-yy")=TEXT(A2519,"mmm-yy"))
)</f>
        <v>15325.8</v>
      </c>
      <c r="I2519">
        <f>_xlfn.XLOOKUP(A2519,[1]ForwardDeriv!$D:$D,[1]ForwardDeriv!$AJ:$AJ)</f>
        <v>1.1000000000000085</v>
      </c>
      <c r="J2519" cm="1">
        <f t="array" ref="J2519">_xlfn.XLOOKUP(TEXT(A2519, "mmm-yy"), TEXT([2]GASOLINE!$B$5:$B$208, "mmm-yy"), [2]GASOLINE!$IR$5:$IR$208, "Not Found")</f>
        <v>-480.39413621654433</v>
      </c>
      <c r="K2519" cm="1">
        <f t="array" ref="K2519">_xlfn.XLOOKUP(TEXT(A2519, "mmm-yy"), TEXT([2]GASOLINE!$B$5:$B$208, "mmm-yy"), [2]GASOLINE!$IK$5:$IK$208, "Not Found")</f>
        <v>270.60798451938888</v>
      </c>
      <c r="L2519">
        <f t="shared" si="39"/>
        <v>1</v>
      </c>
      <c r="M2519" cm="1">
        <f t="array" ref="M2519">_xlfn.XLOOKUP(TEXT(A2519, "mmm-yy"), TEXT([2]GASOLINE!$B$5:$B$208, "mmm-yy"), [2]GASOLINE!$C$5:$C$208, "Not Found")</f>
        <v>8107.4157102785248</v>
      </c>
      <c r="N2519" cm="1">
        <f t="array" ref="N2519">_xlfn.XLOOKUP(TEXT(A2519, "mmm-yy"), TEXT([2]RUNS!$B$5:$B$208, "mmm-yy"), [2]RUNS!$BM$5:$BM$208, "Not Found")</f>
        <v>0.80908082139177828</v>
      </c>
    </row>
    <row r="2520" spans="1:14" x14ac:dyDescent="0.25">
      <c r="A2520" s="1">
        <f>'[1]Global_Spot Prices'!$B3829</f>
        <v>45531</v>
      </c>
      <c r="B2520">
        <f>_xlfn.XLOOKUP(A2520,'[1]Global_Spot Prices'!$B:$B,'[1]Global_Spot Prices'!$BS:$BS)</f>
        <v>6.9099999999999966</v>
      </c>
      <c r="C2520">
        <f>_xlfn.XLOOKUP(A2520,'[1]Global_Spot Prices'!$B:$B,'[1]Global_Spot Prices'!$E:$E)</f>
        <v>79.19</v>
      </c>
      <c r="D2520">
        <f>_xlfn.XLOOKUP(A2520,'[1]Global_Spot Prices'!$B:$B,'[1]Global_Spot Prices'!$D:$D)</f>
        <v>82.35</v>
      </c>
      <c r="E2520">
        <f>_xlfn.XLOOKUP(A2520,'[1]Global_Spot Prices'!$B:$B,'[1]Global_Spot Prices'!$H:$H)</f>
        <v>74.430000000000007</v>
      </c>
      <c r="F2520">
        <f>_xlfn.XLOOKUP(A2520,'[1]Global_Spot Prices'!$B:$B,'[1]Global_Spot Prices'!$I:$I)</f>
        <v>86.1</v>
      </c>
      <c r="G2520" cm="1">
        <f t="array" ref="G2520">_xlfn.XLOOKUP(TEXT(A2520, "mmm-yy"), TEXT([2]RUNS!$B$5:$B$208, "mmm-yy"), [2]RUNS!$D$5:$D$208, "Not Found")</f>
        <v>29839.709773750183</v>
      </c>
      <c r="H2520" cm="1">
        <f t="array" ref="H2520">SUMPRODUCT(
    --(TEXT('[3]Global Weekly Stock (EWSuez'!$B$4:$B$2000,"mmm-yy")=TEXT(A2520,"mmm-yy")),
    '[3]Global Weekly Stock (EWSuez'!$E$4:$E$2000)
/
SUMPRODUCT(
    --(TEXT('[3]Global Weekly Stock (EWSuez'!$B$4:$B$2000,"mmm-yy")=TEXT(A2520,"mmm-yy"))
)</f>
        <v>15325.8</v>
      </c>
      <c r="I2520">
        <f>_xlfn.XLOOKUP(A2520,[1]ForwardDeriv!$D:$D,[1]ForwardDeriv!$AJ:$AJ)</f>
        <v>1.1700000000000017</v>
      </c>
      <c r="J2520" cm="1">
        <f t="array" ref="J2520">_xlfn.XLOOKUP(TEXT(A2520, "mmm-yy"), TEXT([2]GASOLINE!$B$5:$B$208, "mmm-yy"), [2]GASOLINE!$IR$5:$IR$208, "Not Found")</f>
        <v>-480.39413621654433</v>
      </c>
      <c r="K2520" cm="1">
        <f t="array" ref="K2520">_xlfn.XLOOKUP(TEXT(A2520, "mmm-yy"), TEXT([2]GASOLINE!$B$5:$B$208, "mmm-yy"), [2]GASOLINE!$IK$5:$IK$208, "Not Found")</f>
        <v>270.60798451938888</v>
      </c>
      <c r="L2520">
        <f t="shared" si="39"/>
        <v>1</v>
      </c>
      <c r="M2520" cm="1">
        <f t="array" ref="M2520">_xlfn.XLOOKUP(TEXT(A2520, "mmm-yy"), TEXT([2]GASOLINE!$B$5:$B$208, "mmm-yy"), [2]GASOLINE!$C$5:$C$208, "Not Found")</f>
        <v>8107.4157102785248</v>
      </c>
      <c r="N2520" cm="1">
        <f t="array" ref="N2520">_xlfn.XLOOKUP(TEXT(A2520, "mmm-yy"), TEXT([2]RUNS!$B$5:$B$208, "mmm-yy"), [2]RUNS!$BM$5:$BM$208, "Not Found")</f>
        <v>0.80908082139177828</v>
      </c>
    </row>
    <row r="2521" spans="1:14" x14ac:dyDescent="0.25">
      <c r="A2521" s="1">
        <f>'[1]Global_Spot Prices'!$B3830</f>
        <v>45532</v>
      </c>
      <c r="B2521">
        <f>_xlfn.XLOOKUP(A2521,'[1]Global_Spot Prices'!$B:$B,'[1]Global_Spot Prices'!$BS:$BS)</f>
        <v>5.4399999999999977</v>
      </c>
      <c r="C2521">
        <f>_xlfn.XLOOKUP(A2521,'[1]Global_Spot Prices'!$B:$B,'[1]Global_Spot Prices'!$E:$E)</f>
        <v>77.7</v>
      </c>
      <c r="D2521">
        <f>_xlfn.XLOOKUP(A2521,'[1]Global_Spot Prices'!$B:$B,'[1]Global_Spot Prices'!$D:$D)</f>
        <v>81.064999999999998</v>
      </c>
      <c r="E2521">
        <f>_xlfn.XLOOKUP(A2521,'[1]Global_Spot Prices'!$B:$B,'[1]Global_Spot Prices'!$H:$H)</f>
        <v>72.39</v>
      </c>
      <c r="F2521">
        <f>_xlfn.XLOOKUP(A2521,'[1]Global_Spot Prices'!$B:$B,'[1]Global_Spot Prices'!$I:$I)</f>
        <v>83.14</v>
      </c>
      <c r="G2521" cm="1">
        <f t="array" ref="G2521">_xlfn.XLOOKUP(TEXT(A2521, "mmm-yy"), TEXT([2]RUNS!$B$5:$B$208, "mmm-yy"), [2]RUNS!$D$5:$D$208, "Not Found")</f>
        <v>29839.709773750183</v>
      </c>
      <c r="H2521" cm="1">
        <f t="array" ref="H2521">SUMPRODUCT(
    --(TEXT('[3]Global Weekly Stock (EWSuez'!$B$4:$B$2000,"mmm-yy")=TEXT(A2521,"mmm-yy")),
    '[3]Global Weekly Stock (EWSuez'!$E$4:$E$2000)
/
SUMPRODUCT(
    --(TEXT('[3]Global Weekly Stock (EWSuez'!$B$4:$B$2000,"mmm-yy")=TEXT(A2521,"mmm-yy"))
)</f>
        <v>15325.8</v>
      </c>
      <c r="I2521">
        <f>_xlfn.XLOOKUP(A2521,[1]ForwardDeriv!$D:$D,[1]ForwardDeriv!$AJ:$AJ)</f>
        <v>0.82000000000000739</v>
      </c>
      <c r="J2521" cm="1">
        <f t="array" ref="J2521">_xlfn.XLOOKUP(TEXT(A2521, "mmm-yy"), TEXT([2]GASOLINE!$B$5:$B$208, "mmm-yy"), [2]GASOLINE!$IR$5:$IR$208, "Not Found")</f>
        <v>-480.39413621654433</v>
      </c>
      <c r="K2521" cm="1">
        <f t="array" ref="K2521">_xlfn.XLOOKUP(TEXT(A2521, "mmm-yy"), TEXT([2]GASOLINE!$B$5:$B$208, "mmm-yy"), [2]GASOLINE!$IK$5:$IK$208, "Not Found")</f>
        <v>270.60798451938888</v>
      </c>
      <c r="L2521">
        <f t="shared" si="39"/>
        <v>1</v>
      </c>
      <c r="M2521" cm="1">
        <f t="array" ref="M2521">_xlfn.XLOOKUP(TEXT(A2521, "mmm-yy"), TEXT([2]GASOLINE!$B$5:$B$208, "mmm-yy"), [2]GASOLINE!$C$5:$C$208, "Not Found")</f>
        <v>8107.4157102785248</v>
      </c>
      <c r="N2521" cm="1">
        <f t="array" ref="N2521">_xlfn.XLOOKUP(TEXT(A2521, "mmm-yy"), TEXT([2]RUNS!$B$5:$B$208, "mmm-yy"), [2]RUNS!$BM$5:$BM$208, "Not Found")</f>
        <v>0.80908082139177828</v>
      </c>
    </row>
    <row r="2522" spans="1:14" x14ac:dyDescent="0.25">
      <c r="A2522" s="1">
        <f>'[1]Global_Spot Prices'!$B3831</f>
        <v>45533</v>
      </c>
      <c r="B2522">
        <f>_xlfn.XLOOKUP(A2522,'[1]Global_Spot Prices'!$B:$B,'[1]Global_Spot Prices'!$BS:$BS)</f>
        <v>5.2199999999999989</v>
      </c>
      <c r="C2522">
        <f>_xlfn.XLOOKUP(A2522,'[1]Global_Spot Prices'!$B:$B,'[1]Global_Spot Prices'!$E:$E)</f>
        <v>76.66</v>
      </c>
      <c r="D2522">
        <f>_xlfn.XLOOKUP(A2522,'[1]Global_Spot Prices'!$B:$B,'[1]Global_Spot Prices'!$D:$D)</f>
        <v>82.424999999999997</v>
      </c>
      <c r="E2522">
        <f>_xlfn.XLOOKUP(A2522,'[1]Global_Spot Prices'!$B:$B,'[1]Global_Spot Prices'!$H:$H)</f>
        <v>71.77</v>
      </c>
      <c r="F2522">
        <f>_xlfn.XLOOKUP(A2522,'[1]Global_Spot Prices'!$B:$B,'[1]Global_Spot Prices'!$I:$I)</f>
        <v>81.88</v>
      </c>
      <c r="G2522" cm="1">
        <f t="array" ref="G2522">_xlfn.XLOOKUP(TEXT(A2522, "mmm-yy"), TEXT([2]RUNS!$B$5:$B$208, "mmm-yy"), [2]RUNS!$D$5:$D$208, "Not Found")</f>
        <v>29839.709773750183</v>
      </c>
      <c r="H2522" cm="1">
        <f t="array" ref="H2522">SUMPRODUCT(
    --(TEXT('[3]Global Weekly Stock (EWSuez'!$B$4:$B$2000,"mmm-yy")=TEXT(A2522,"mmm-yy")),
    '[3]Global Weekly Stock (EWSuez'!$E$4:$E$2000)
/
SUMPRODUCT(
    --(TEXT('[3]Global Weekly Stock (EWSuez'!$B$4:$B$2000,"mmm-yy")=TEXT(A2522,"mmm-yy"))
)</f>
        <v>15325.8</v>
      </c>
      <c r="I2522">
        <f>_xlfn.XLOOKUP(A2522,[1]ForwardDeriv!$D:$D,[1]ForwardDeriv!$AJ:$AJ)</f>
        <v>0.66999999999998749</v>
      </c>
      <c r="J2522" cm="1">
        <f t="array" ref="J2522">_xlfn.XLOOKUP(TEXT(A2522, "mmm-yy"), TEXT([2]GASOLINE!$B$5:$B$208, "mmm-yy"), [2]GASOLINE!$IR$5:$IR$208, "Not Found")</f>
        <v>-480.39413621654433</v>
      </c>
      <c r="K2522" cm="1">
        <f t="array" ref="K2522">_xlfn.XLOOKUP(TEXT(A2522, "mmm-yy"), TEXT([2]GASOLINE!$B$5:$B$208, "mmm-yy"), [2]GASOLINE!$IK$5:$IK$208, "Not Found")</f>
        <v>270.60798451938888</v>
      </c>
      <c r="L2522">
        <f t="shared" si="39"/>
        <v>1</v>
      </c>
      <c r="M2522" cm="1">
        <f t="array" ref="M2522">_xlfn.XLOOKUP(TEXT(A2522, "mmm-yy"), TEXT([2]GASOLINE!$B$5:$B$208, "mmm-yy"), [2]GASOLINE!$C$5:$C$208, "Not Found")</f>
        <v>8107.4157102785248</v>
      </c>
      <c r="N2522" cm="1">
        <f t="array" ref="N2522">_xlfn.XLOOKUP(TEXT(A2522, "mmm-yy"), TEXT([2]RUNS!$B$5:$B$208, "mmm-yy"), [2]RUNS!$BM$5:$BM$208, "Not Found")</f>
        <v>0.80908082139177828</v>
      </c>
    </row>
    <row r="2523" spans="1:14" x14ac:dyDescent="0.25">
      <c r="A2523" s="1">
        <f>'[1]Global_Spot Prices'!$B3832</f>
        <v>45534</v>
      </c>
      <c r="B2523">
        <f>_xlfn.XLOOKUP(A2523,'[1]Global_Spot Prices'!$B:$B,'[1]Global_Spot Prices'!$BS:$BS)</f>
        <v>6.4300000000000068</v>
      </c>
      <c r="C2523">
        <f>_xlfn.XLOOKUP(A2523,'[1]Global_Spot Prices'!$B:$B,'[1]Global_Spot Prices'!$E:$E)</f>
        <v>78.41</v>
      </c>
      <c r="D2523">
        <f>_xlfn.XLOOKUP(A2523,'[1]Global_Spot Prices'!$B:$B,'[1]Global_Spot Prices'!$D:$D)</f>
        <v>79.984999999999999</v>
      </c>
      <c r="E2523">
        <f>_xlfn.XLOOKUP(A2523,'[1]Global_Spot Prices'!$B:$B,'[1]Global_Spot Prices'!$H:$H)</f>
        <v>73.650000000000006</v>
      </c>
      <c r="F2523">
        <f>_xlfn.XLOOKUP(A2523,'[1]Global_Spot Prices'!$B:$B,'[1]Global_Spot Prices'!$I:$I)</f>
        <v>84.84</v>
      </c>
      <c r="G2523" cm="1">
        <f t="array" ref="G2523">_xlfn.XLOOKUP(TEXT(A2523, "mmm-yy"), TEXT([2]RUNS!$B$5:$B$208, "mmm-yy"), [2]RUNS!$D$5:$D$208, "Not Found")</f>
        <v>29839.709773750183</v>
      </c>
      <c r="H2523" cm="1">
        <f t="array" ref="H2523">SUMPRODUCT(
    --(TEXT('[3]Global Weekly Stock (EWSuez'!$B$4:$B$2000,"mmm-yy")=TEXT(A2523,"mmm-yy")),
    '[3]Global Weekly Stock (EWSuez'!$E$4:$E$2000)
/
SUMPRODUCT(
    --(TEXT('[3]Global Weekly Stock (EWSuez'!$B$4:$B$2000,"mmm-yy")=TEXT(A2523,"mmm-yy"))
)</f>
        <v>15325.8</v>
      </c>
      <c r="I2523">
        <f>_xlfn.XLOOKUP(A2523,[1]ForwardDeriv!$D:$D,[1]ForwardDeriv!$AJ:$AJ)</f>
        <v>0.67000000000000171</v>
      </c>
      <c r="J2523" cm="1">
        <f t="array" ref="J2523">_xlfn.XLOOKUP(TEXT(A2523, "mmm-yy"), TEXT([2]GASOLINE!$B$5:$B$208, "mmm-yy"), [2]GASOLINE!$IR$5:$IR$208, "Not Found")</f>
        <v>-480.39413621654433</v>
      </c>
      <c r="K2523" cm="1">
        <f t="array" ref="K2523">_xlfn.XLOOKUP(TEXT(A2523, "mmm-yy"), TEXT([2]GASOLINE!$B$5:$B$208, "mmm-yy"), [2]GASOLINE!$IK$5:$IK$208, "Not Found")</f>
        <v>270.60798451938888</v>
      </c>
      <c r="L2523">
        <f t="shared" si="39"/>
        <v>1</v>
      </c>
      <c r="M2523" cm="1">
        <f t="array" ref="M2523">_xlfn.XLOOKUP(TEXT(A2523, "mmm-yy"), TEXT([2]GASOLINE!$B$5:$B$208, "mmm-yy"), [2]GASOLINE!$C$5:$C$208, "Not Found")</f>
        <v>8107.4157102785248</v>
      </c>
      <c r="N2523" cm="1">
        <f t="array" ref="N2523">_xlfn.XLOOKUP(TEXT(A2523, "mmm-yy"), TEXT([2]RUNS!$B$5:$B$208, "mmm-yy"), [2]RUNS!$BM$5:$BM$208, "Not Found")</f>
        <v>0.80908082139177828</v>
      </c>
    </row>
    <row r="2524" spans="1:14" x14ac:dyDescent="0.25">
      <c r="A2524" s="1">
        <f>'[1]Global_Spot Prices'!$B3833</f>
        <v>45537</v>
      </c>
      <c r="B2524">
        <f>_xlfn.XLOOKUP(A2524,'[1]Global_Spot Prices'!$B:$B,'[1]Global_Spot Prices'!$BS:$BS)</f>
        <v>5.9100000000000108</v>
      </c>
      <c r="C2524">
        <f>_xlfn.XLOOKUP(A2524,'[1]Global_Spot Prices'!$B:$B,'[1]Global_Spot Prices'!$E:$E)</f>
        <v>76.489999999999995</v>
      </c>
      <c r="D2524">
        <f>_xlfn.XLOOKUP(A2524,'[1]Global_Spot Prices'!$B:$B,'[1]Global_Spot Prices'!$D:$D)</f>
        <v>79.62</v>
      </c>
      <c r="E2524">
        <f>_xlfn.XLOOKUP(A2524,'[1]Global_Spot Prices'!$B:$B,'[1]Global_Spot Prices'!$H:$H)</f>
        <v>71.48</v>
      </c>
      <c r="F2524">
        <f ca="1">_xlfn.XLOOKUP(A2524,'[1]Global_Spot Prices'!$B:$B,'[1]Global_Spot Prices'!$I:$I)</f>
        <v>82.4</v>
      </c>
      <c r="G2524" cm="1">
        <f t="array" ref="G2524">_xlfn.XLOOKUP(TEXT(A2524, "mmm-yy"), TEXT([2]RUNS!$B$5:$B$208, "mmm-yy"), [2]RUNS!$D$5:$D$208, "Not Found")</f>
        <v>30123.822819010118</v>
      </c>
      <c r="H2524" cm="1">
        <f t="array" ref="H2524">SUMPRODUCT(
    --(TEXT('[3]Global Weekly Stock (EWSuez'!$B$4:$B$2000,"mmm-yy")=TEXT(A2524,"mmm-yy")),
    '[3]Global Weekly Stock (EWSuez'!$E$4:$E$2000)
/
SUMPRODUCT(
    --(TEXT('[3]Global Weekly Stock (EWSuez'!$B$4:$B$2000,"mmm-yy")=TEXT(A2524,"mmm-yy"))
)</f>
        <v>14740.25</v>
      </c>
      <c r="I2524">
        <f>_xlfn.XLOOKUP(A2524,[1]ForwardDeriv!$D:$D,[1]ForwardDeriv!$AJ:$AJ)</f>
        <v>0.37999999999999545</v>
      </c>
      <c r="J2524" cm="1">
        <f t="array" ref="J2524">_xlfn.XLOOKUP(TEXT(A2524, "mmm-yy"), TEXT([2]GASOLINE!$B$5:$B$208, "mmm-yy"), [2]GASOLINE!$IR$5:$IR$208, "Not Found")</f>
        <v>-420.00326771257141</v>
      </c>
      <c r="K2524" cm="1">
        <f t="array" ref="K2524">_xlfn.XLOOKUP(TEXT(A2524, "mmm-yy"), TEXT([2]GASOLINE!$B$5:$B$208, "mmm-yy"), [2]GASOLINE!$IK$5:$IK$208, "Not Found")</f>
        <v>264.54055159898036</v>
      </c>
      <c r="L2524">
        <f t="shared" si="39"/>
        <v>1</v>
      </c>
      <c r="M2524" cm="1">
        <f t="array" ref="M2524">_xlfn.XLOOKUP(TEXT(A2524, "mmm-yy"), TEXT([2]GASOLINE!$B$5:$B$208, "mmm-yy"), [2]GASOLINE!$C$5:$C$208, "Not Found")</f>
        <v>8014.6437949949095</v>
      </c>
      <c r="N2524" cm="1">
        <f t="array" ref="N2524">_xlfn.XLOOKUP(TEXT(A2524, "mmm-yy"), TEXT([2]RUNS!$B$5:$B$208, "mmm-yy"), [2]RUNS!$BM$5:$BM$208, "Not Found")</f>
        <v>0.81678432848919802</v>
      </c>
    </row>
    <row r="2525" spans="1:14" x14ac:dyDescent="0.25">
      <c r="A2525" s="1">
        <f>'[1]Global_Spot Prices'!$B3834</f>
        <v>45538</v>
      </c>
      <c r="B2525">
        <f>_xlfn.XLOOKUP(A2525,'[1]Global_Spot Prices'!$B:$B,'[1]Global_Spot Prices'!$BS:$BS)</f>
        <v>7.0799999999999983</v>
      </c>
      <c r="C2525">
        <f>_xlfn.XLOOKUP(A2525,'[1]Global_Spot Prices'!$B:$B,'[1]Global_Spot Prices'!$E:$E)</f>
        <v>76.63</v>
      </c>
      <c r="D2525">
        <f>_xlfn.XLOOKUP(A2525,'[1]Global_Spot Prices'!$B:$B,'[1]Global_Spot Prices'!$D:$D)</f>
        <v>75.83</v>
      </c>
      <c r="E2525">
        <f>_xlfn.XLOOKUP(A2525,'[1]Global_Spot Prices'!$B:$B,'[1]Global_Spot Prices'!$H:$H)</f>
        <v>72.19</v>
      </c>
      <c r="F2525">
        <f>_xlfn.XLOOKUP(A2525,'[1]Global_Spot Prices'!$B:$B,'[1]Global_Spot Prices'!$I:$I)</f>
        <v>83.71</v>
      </c>
      <c r="G2525" cm="1">
        <f t="array" ref="G2525">_xlfn.XLOOKUP(TEXT(A2525, "mmm-yy"), TEXT([2]RUNS!$B$5:$B$208, "mmm-yy"), [2]RUNS!$D$5:$D$208, "Not Found")</f>
        <v>30123.822819010118</v>
      </c>
      <c r="H2525" cm="1">
        <f t="array" ref="H2525">SUMPRODUCT(
    --(TEXT('[3]Global Weekly Stock (EWSuez'!$B$4:$B$2000,"mmm-yy")=TEXT(A2525,"mmm-yy")),
    '[3]Global Weekly Stock (EWSuez'!$E$4:$E$2000)
/
SUMPRODUCT(
    --(TEXT('[3]Global Weekly Stock (EWSuez'!$B$4:$B$2000,"mmm-yy")=TEXT(A2525,"mmm-yy"))
)</f>
        <v>14740.25</v>
      </c>
      <c r="I2525">
        <f>_xlfn.XLOOKUP(A2525,[1]ForwardDeriv!$D:$D,[1]ForwardDeriv!$AJ:$AJ)</f>
        <v>0.75</v>
      </c>
      <c r="J2525" cm="1">
        <f t="array" ref="J2525">_xlfn.XLOOKUP(TEXT(A2525, "mmm-yy"), TEXT([2]GASOLINE!$B$5:$B$208, "mmm-yy"), [2]GASOLINE!$IR$5:$IR$208, "Not Found")</f>
        <v>-420.00326771257141</v>
      </c>
      <c r="K2525" cm="1">
        <f t="array" ref="K2525">_xlfn.XLOOKUP(TEXT(A2525, "mmm-yy"), TEXT([2]GASOLINE!$B$5:$B$208, "mmm-yy"), [2]GASOLINE!$IK$5:$IK$208, "Not Found")</f>
        <v>264.54055159898036</v>
      </c>
      <c r="L2525">
        <f t="shared" si="39"/>
        <v>1</v>
      </c>
      <c r="M2525" cm="1">
        <f t="array" ref="M2525">_xlfn.XLOOKUP(TEXT(A2525, "mmm-yy"), TEXT([2]GASOLINE!$B$5:$B$208, "mmm-yy"), [2]GASOLINE!$C$5:$C$208, "Not Found")</f>
        <v>8014.6437949949095</v>
      </c>
      <c r="N2525" cm="1">
        <f t="array" ref="N2525">_xlfn.XLOOKUP(TEXT(A2525, "mmm-yy"), TEXT([2]RUNS!$B$5:$B$208, "mmm-yy"), [2]RUNS!$BM$5:$BM$208, "Not Found")</f>
        <v>0.81678432848919802</v>
      </c>
    </row>
    <row r="2526" spans="1:14" x14ac:dyDescent="0.25">
      <c r="A2526" s="1">
        <f>'[1]Global_Spot Prices'!$B3835</f>
        <v>45539</v>
      </c>
      <c r="B2526">
        <f>_xlfn.XLOOKUP(A2526,'[1]Global_Spot Prices'!$B:$B,'[1]Global_Spot Prices'!$BS:$BS)</f>
        <v>4.4100000000000108</v>
      </c>
      <c r="C2526">
        <f>_xlfn.XLOOKUP(A2526,'[1]Global_Spot Prices'!$B:$B,'[1]Global_Spot Prices'!$E:$E)</f>
        <v>73.38</v>
      </c>
      <c r="D2526">
        <f>_xlfn.XLOOKUP(A2526,'[1]Global_Spot Prices'!$B:$B,'[1]Global_Spot Prices'!$D:$D)</f>
        <v>75.224999999999994</v>
      </c>
      <c r="E2526">
        <f>_xlfn.XLOOKUP(A2526,'[1]Global_Spot Prices'!$B:$B,'[1]Global_Spot Prices'!$H:$H)</f>
        <v>70.13</v>
      </c>
      <c r="F2526">
        <f>_xlfn.XLOOKUP(A2526,'[1]Global_Spot Prices'!$B:$B,'[1]Global_Spot Prices'!$I:$I)</f>
        <v>77.790000000000006</v>
      </c>
      <c r="G2526" cm="1">
        <f t="array" ref="G2526">_xlfn.XLOOKUP(TEXT(A2526, "mmm-yy"), TEXT([2]RUNS!$B$5:$B$208, "mmm-yy"), [2]RUNS!$D$5:$D$208, "Not Found")</f>
        <v>30123.822819010118</v>
      </c>
      <c r="H2526" cm="1">
        <f t="array" ref="H2526">SUMPRODUCT(
    --(TEXT('[3]Global Weekly Stock (EWSuez'!$B$4:$B$2000,"mmm-yy")=TEXT(A2526,"mmm-yy")),
    '[3]Global Weekly Stock (EWSuez'!$E$4:$E$2000)
/
SUMPRODUCT(
    --(TEXT('[3]Global Weekly Stock (EWSuez'!$B$4:$B$2000,"mmm-yy")=TEXT(A2526,"mmm-yy"))
)</f>
        <v>14740.25</v>
      </c>
      <c r="I2526">
        <f>_xlfn.XLOOKUP(A2526,[1]ForwardDeriv!$D:$D,[1]ForwardDeriv!$AJ:$AJ)</f>
        <v>0.35000000000000853</v>
      </c>
      <c r="J2526" cm="1">
        <f t="array" ref="J2526">_xlfn.XLOOKUP(TEXT(A2526, "mmm-yy"), TEXT([2]GASOLINE!$B$5:$B$208, "mmm-yy"), [2]GASOLINE!$IR$5:$IR$208, "Not Found")</f>
        <v>-420.00326771257141</v>
      </c>
      <c r="K2526" cm="1">
        <f t="array" ref="K2526">_xlfn.XLOOKUP(TEXT(A2526, "mmm-yy"), TEXT([2]GASOLINE!$B$5:$B$208, "mmm-yy"), [2]GASOLINE!$IK$5:$IK$208, "Not Found")</f>
        <v>264.54055159898036</v>
      </c>
      <c r="L2526">
        <f t="shared" si="39"/>
        <v>1</v>
      </c>
      <c r="M2526" cm="1">
        <f t="array" ref="M2526">_xlfn.XLOOKUP(TEXT(A2526, "mmm-yy"), TEXT([2]GASOLINE!$B$5:$B$208, "mmm-yy"), [2]GASOLINE!$C$5:$C$208, "Not Found")</f>
        <v>8014.6437949949095</v>
      </c>
      <c r="N2526" cm="1">
        <f t="array" ref="N2526">_xlfn.XLOOKUP(TEXT(A2526, "mmm-yy"), TEXT([2]RUNS!$B$5:$B$208, "mmm-yy"), [2]RUNS!$BM$5:$BM$208, "Not Found")</f>
        <v>0.81678432848919802</v>
      </c>
    </row>
    <row r="2527" spans="1:14" x14ac:dyDescent="0.25">
      <c r="A2527" s="1">
        <f>'[1]Global_Spot Prices'!$B3836</f>
        <v>45540</v>
      </c>
      <c r="B2527">
        <f>_xlfn.XLOOKUP(A2527,'[1]Global_Spot Prices'!$B:$B,'[1]Global_Spot Prices'!$BS:$BS)</f>
        <v>3.6899999999999977</v>
      </c>
      <c r="C2527">
        <f>_xlfn.XLOOKUP(A2527,'[1]Global_Spot Prices'!$B:$B,'[1]Global_Spot Prices'!$E:$E)</f>
        <v>73.39</v>
      </c>
      <c r="D2527">
        <f>_xlfn.XLOOKUP(A2527,'[1]Global_Spot Prices'!$B:$B,'[1]Global_Spot Prices'!$D:$D)</f>
        <v>75.040000000000006</v>
      </c>
      <c r="E2527">
        <f>_xlfn.XLOOKUP(A2527,'[1]Global_Spot Prices'!$B:$B,'[1]Global_Spot Prices'!$H:$H)</f>
        <v>69.900000000000006</v>
      </c>
      <c r="F2527">
        <f>_xlfn.XLOOKUP(A2527,'[1]Global_Spot Prices'!$B:$B,'[1]Global_Spot Prices'!$I:$I)</f>
        <v>77.08</v>
      </c>
      <c r="G2527" cm="1">
        <f t="array" ref="G2527">_xlfn.XLOOKUP(TEXT(A2527, "mmm-yy"), TEXT([2]RUNS!$B$5:$B$208, "mmm-yy"), [2]RUNS!$D$5:$D$208, "Not Found")</f>
        <v>30123.822819010118</v>
      </c>
      <c r="H2527" cm="1">
        <f t="array" ref="H2527">SUMPRODUCT(
    --(TEXT('[3]Global Weekly Stock (EWSuez'!$B$4:$B$2000,"mmm-yy")=TEXT(A2527,"mmm-yy")),
    '[3]Global Weekly Stock (EWSuez'!$E$4:$E$2000)
/
SUMPRODUCT(
    --(TEXT('[3]Global Weekly Stock (EWSuez'!$B$4:$B$2000,"mmm-yy")=TEXT(A2527,"mmm-yy"))
)</f>
        <v>14740.25</v>
      </c>
      <c r="I2527">
        <f>_xlfn.XLOOKUP(A2527,[1]ForwardDeriv!$D:$D,[1]ForwardDeriv!$AJ:$AJ)</f>
        <v>0.23999999999999488</v>
      </c>
      <c r="J2527" cm="1">
        <f t="array" ref="J2527">_xlfn.XLOOKUP(TEXT(A2527, "mmm-yy"), TEXT([2]GASOLINE!$B$5:$B$208, "mmm-yy"), [2]GASOLINE!$IR$5:$IR$208, "Not Found")</f>
        <v>-420.00326771257141</v>
      </c>
      <c r="K2527" cm="1">
        <f t="array" ref="K2527">_xlfn.XLOOKUP(TEXT(A2527, "mmm-yy"), TEXT([2]GASOLINE!$B$5:$B$208, "mmm-yy"), [2]GASOLINE!$IK$5:$IK$208, "Not Found")</f>
        <v>264.54055159898036</v>
      </c>
      <c r="L2527">
        <f t="shared" si="39"/>
        <v>1</v>
      </c>
      <c r="M2527" cm="1">
        <f t="array" ref="M2527">_xlfn.XLOOKUP(TEXT(A2527, "mmm-yy"), TEXT([2]GASOLINE!$B$5:$B$208, "mmm-yy"), [2]GASOLINE!$C$5:$C$208, "Not Found")</f>
        <v>8014.6437949949095</v>
      </c>
      <c r="N2527" cm="1">
        <f t="array" ref="N2527">_xlfn.XLOOKUP(TEXT(A2527, "mmm-yy"), TEXT([2]RUNS!$B$5:$B$208, "mmm-yy"), [2]RUNS!$BM$5:$BM$208, "Not Found")</f>
        <v>0.81678432848919802</v>
      </c>
    </row>
    <row r="2528" spans="1:14" x14ac:dyDescent="0.25">
      <c r="A2528" s="1">
        <f>'[1]Global_Spot Prices'!$B3837</f>
        <v>45541</v>
      </c>
      <c r="B2528">
        <f>_xlfn.XLOOKUP(A2528,'[1]Global_Spot Prices'!$B:$B,'[1]Global_Spot Prices'!$BS:$BS)</f>
        <v>2.9399999999999977</v>
      </c>
      <c r="C2528">
        <f>_xlfn.XLOOKUP(A2528,'[1]Global_Spot Prices'!$B:$B,'[1]Global_Spot Prices'!$E:$E)</f>
        <v>73.41</v>
      </c>
      <c r="D2528">
        <f>_xlfn.XLOOKUP(A2528,'[1]Global_Spot Prices'!$B:$B,'[1]Global_Spot Prices'!$D:$D)</f>
        <v>73.025000000000006</v>
      </c>
      <c r="E2528">
        <f>_xlfn.XLOOKUP(A2528,'[1]Global_Spot Prices'!$B:$B,'[1]Global_Spot Prices'!$H:$H)</f>
        <v>69.010000000000005</v>
      </c>
      <c r="F2528">
        <f>_xlfn.XLOOKUP(A2528,'[1]Global_Spot Prices'!$B:$B,'[1]Global_Spot Prices'!$I:$I)</f>
        <v>76.349999999999994</v>
      </c>
      <c r="G2528" cm="1">
        <f t="array" ref="G2528">_xlfn.XLOOKUP(TEXT(A2528, "mmm-yy"), TEXT([2]RUNS!$B$5:$B$208, "mmm-yy"), [2]RUNS!$D$5:$D$208, "Not Found")</f>
        <v>30123.822819010118</v>
      </c>
      <c r="H2528" cm="1">
        <f t="array" ref="H2528">SUMPRODUCT(
    --(TEXT('[3]Global Weekly Stock (EWSuez'!$B$4:$B$2000,"mmm-yy")=TEXT(A2528,"mmm-yy")),
    '[3]Global Weekly Stock (EWSuez'!$E$4:$E$2000)
/
SUMPRODUCT(
    --(TEXT('[3]Global Weekly Stock (EWSuez'!$B$4:$B$2000,"mmm-yy")=TEXT(A2528,"mmm-yy"))
)</f>
        <v>14740.25</v>
      </c>
      <c r="I2528">
        <f>_xlfn.XLOOKUP(A2528,[1]ForwardDeriv!$D:$D,[1]ForwardDeriv!$AJ:$AJ)</f>
        <v>0.13000000000000966</v>
      </c>
      <c r="J2528" cm="1">
        <f t="array" ref="J2528">_xlfn.XLOOKUP(TEXT(A2528, "mmm-yy"), TEXT([2]GASOLINE!$B$5:$B$208, "mmm-yy"), [2]GASOLINE!$IR$5:$IR$208, "Not Found")</f>
        <v>-420.00326771257141</v>
      </c>
      <c r="K2528" cm="1">
        <f t="array" ref="K2528">_xlfn.XLOOKUP(TEXT(A2528, "mmm-yy"), TEXT([2]GASOLINE!$B$5:$B$208, "mmm-yy"), [2]GASOLINE!$IK$5:$IK$208, "Not Found")</f>
        <v>264.54055159898036</v>
      </c>
      <c r="L2528">
        <f t="shared" si="39"/>
        <v>1</v>
      </c>
      <c r="M2528" cm="1">
        <f t="array" ref="M2528">_xlfn.XLOOKUP(TEXT(A2528, "mmm-yy"), TEXT([2]GASOLINE!$B$5:$B$208, "mmm-yy"), [2]GASOLINE!$C$5:$C$208, "Not Found")</f>
        <v>8014.6437949949095</v>
      </c>
      <c r="N2528" cm="1">
        <f t="array" ref="N2528">_xlfn.XLOOKUP(TEXT(A2528, "mmm-yy"), TEXT([2]RUNS!$B$5:$B$208, "mmm-yy"), [2]RUNS!$BM$5:$BM$208, "Not Found")</f>
        <v>0.81678432848919802</v>
      </c>
    </row>
    <row r="2529" spans="1:14" x14ac:dyDescent="0.25">
      <c r="A2529" s="1">
        <f>'[1]Global_Spot Prices'!$B3838</f>
        <v>45544</v>
      </c>
      <c r="B2529">
        <f>_xlfn.XLOOKUP(A2529,'[1]Global_Spot Prices'!$B:$B,'[1]Global_Spot Prices'!$BS:$BS)</f>
        <v>4.8799999999999955</v>
      </c>
      <c r="C2529">
        <f>_xlfn.XLOOKUP(A2529,'[1]Global_Spot Prices'!$B:$B,'[1]Global_Spot Prices'!$E:$E)</f>
        <v>72.28</v>
      </c>
      <c r="D2529">
        <f>_xlfn.XLOOKUP(A2529,'[1]Global_Spot Prices'!$B:$B,'[1]Global_Spot Prices'!$D:$D)</f>
        <v>72.125</v>
      </c>
      <c r="E2529">
        <f>_xlfn.XLOOKUP(A2529,'[1]Global_Spot Prices'!$B:$B,'[1]Global_Spot Prices'!$H:$H)</f>
        <v>68.19</v>
      </c>
      <c r="F2529">
        <f ca="1">_xlfn.XLOOKUP(A2529,'[1]Global_Spot Prices'!$B:$B,'[1]Global_Spot Prices'!$I:$I)</f>
        <v>77.16</v>
      </c>
      <c r="G2529" cm="1">
        <f t="array" ref="G2529">_xlfn.XLOOKUP(TEXT(A2529, "mmm-yy"), TEXT([2]RUNS!$B$5:$B$208, "mmm-yy"), [2]RUNS!$D$5:$D$208, "Not Found")</f>
        <v>30123.822819010118</v>
      </c>
      <c r="H2529" cm="1">
        <f t="array" ref="H2529">SUMPRODUCT(
    --(TEXT('[3]Global Weekly Stock (EWSuez'!$B$4:$B$2000,"mmm-yy")=TEXT(A2529,"mmm-yy")),
    '[3]Global Weekly Stock (EWSuez'!$E$4:$E$2000)
/
SUMPRODUCT(
    --(TEXT('[3]Global Weekly Stock (EWSuez'!$B$4:$B$2000,"mmm-yy")=TEXT(A2529,"mmm-yy"))
)</f>
        <v>14740.25</v>
      </c>
      <c r="I2529">
        <f>_xlfn.XLOOKUP(A2529,[1]ForwardDeriv!$D:$D,[1]ForwardDeriv!$AJ:$AJ)</f>
        <v>0.39000000000000057</v>
      </c>
      <c r="J2529" cm="1">
        <f t="array" ref="J2529">_xlfn.XLOOKUP(TEXT(A2529, "mmm-yy"), TEXT([2]GASOLINE!$B$5:$B$208, "mmm-yy"), [2]GASOLINE!$IR$5:$IR$208, "Not Found")</f>
        <v>-420.00326771257141</v>
      </c>
      <c r="K2529" cm="1">
        <f t="array" ref="K2529">_xlfn.XLOOKUP(TEXT(A2529, "mmm-yy"), TEXT([2]GASOLINE!$B$5:$B$208, "mmm-yy"), [2]GASOLINE!$IK$5:$IK$208, "Not Found")</f>
        <v>264.54055159898036</v>
      </c>
      <c r="L2529">
        <f t="shared" si="39"/>
        <v>1</v>
      </c>
      <c r="M2529" cm="1">
        <f t="array" ref="M2529">_xlfn.XLOOKUP(TEXT(A2529, "mmm-yy"), TEXT([2]GASOLINE!$B$5:$B$208, "mmm-yy"), [2]GASOLINE!$C$5:$C$208, "Not Found")</f>
        <v>8014.6437949949095</v>
      </c>
      <c r="N2529" cm="1">
        <f t="array" ref="N2529">_xlfn.XLOOKUP(TEXT(A2529, "mmm-yy"), TEXT([2]RUNS!$B$5:$B$208, "mmm-yy"), [2]RUNS!$BM$5:$BM$208, "Not Found")</f>
        <v>0.81678432848919802</v>
      </c>
    </row>
    <row r="2530" spans="1:14" x14ac:dyDescent="0.25">
      <c r="A2530" s="1">
        <f>'[1]Global_Spot Prices'!$B3839</f>
        <v>45545</v>
      </c>
      <c r="B2530">
        <f>_xlfn.XLOOKUP(A2530,'[1]Global_Spot Prices'!$B:$B,'[1]Global_Spot Prices'!$BS:$BS)</f>
        <v>4.4699999999999989</v>
      </c>
      <c r="C2530">
        <f>_xlfn.XLOOKUP(A2530,'[1]Global_Spot Prices'!$B:$B,'[1]Global_Spot Prices'!$E:$E)</f>
        <v>71.88</v>
      </c>
      <c r="D2530">
        <f>_xlfn.XLOOKUP(A2530,'[1]Global_Spot Prices'!$B:$B,'[1]Global_Spot Prices'!$D:$D)</f>
        <v>70.56</v>
      </c>
      <c r="E2530">
        <f>_xlfn.XLOOKUP(A2530,'[1]Global_Spot Prices'!$B:$B,'[1]Global_Spot Prices'!$H:$H)</f>
        <v>67.81</v>
      </c>
      <c r="F2530">
        <f>_xlfn.XLOOKUP(A2530,'[1]Global_Spot Prices'!$B:$B,'[1]Global_Spot Prices'!$I:$I)</f>
        <v>76.349999999999994</v>
      </c>
      <c r="G2530" cm="1">
        <f t="array" ref="G2530">_xlfn.XLOOKUP(TEXT(A2530, "mmm-yy"), TEXT([2]RUNS!$B$5:$B$208, "mmm-yy"), [2]RUNS!$D$5:$D$208, "Not Found")</f>
        <v>30123.822819010118</v>
      </c>
      <c r="H2530" cm="1">
        <f t="array" ref="H2530">SUMPRODUCT(
    --(TEXT('[3]Global Weekly Stock (EWSuez'!$B$4:$B$2000,"mmm-yy")=TEXT(A2530,"mmm-yy")),
    '[3]Global Weekly Stock (EWSuez'!$E$4:$E$2000)
/
SUMPRODUCT(
    --(TEXT('[3]Global Weekly Stock (EWSuez'!$B$4:$B$2000,"mmm-yy")=TEXT(A2530,"mmm-yy"))
)</f>
        <v>14740.25</v>
      </c>
      <c r="I2530">
        <f>_xlfn.XLOOKUP(A2530,[1]ForwardDeriv!$D:$D,[1]ForwardDeriv!$AJ:$AJ)</f>
        <v>0.35999999999999943</v>
      </c>
      <c r="J2530" cm="1">
        <f t="array" ref="J2530">_xlfn.XLOOKUP(TEXT(A2530, "mmm-yy"), TEXT([2]GASOLINE!$B$5:$B$208, "mmm-yy"), [2]GASOLINE!$IR$5:$IR$208, "Not Found")</f>
        <v>-420.00326771257141</v>
      </c>
      <c r="K2530" cm="1">
        <f t="array" ref="K2530">_xlfn.XLOOKUP(TEXT(A2530, "mmm-yy"), TEXT([2]GASOLINE!$B$5:$B$208, "mmm-yy"), [2]GASOLINE!$IK$5:$IK$208, "Not Found")</f>
        <v>264.54055159898036</v>
      </c>
      <c r="L2530">
        <f t="shared" si="39"/>
        <v>1</v>
      </c>
      <c r="M2530" cm="1">
        <f t="array" ref="M2530">_xlfn.XLOOKUP(TEXT(A2530, "mmm-yy"), TEXT([2]GASOLINE!$B$5:$B$208, "mmm-yy"), [2]GASOLINE!$C$5:$C$208, "Not Found")</f>
        <v>8014.6437949949095</v>
      </c>
      <c r="N2530" cm="1">
        <f t="array" ref="N2530">_xlfn.XLOOKUP(TEXT(A2530, "mmm-yy"), TEXT([2]RUNS!$B$5:$B$208, "mmm-yy"), [2]RUNS!$BM$5:$BM$208, "Not Found")</f>
        <v>0.81678432848919802</v>
      </c>
    </row>
    <row r="2531" spans="1:14" x14ac:dyDescent="0.25">
      <c r="A2531" s="1">
        <f>'[1]Global_Spot Prices'!$B3840</f>
        <v>45546</v>
      </c>
      <c r="B2531">
        <f>_xlfn.XLOOKUP(A2531,'[1]Global_Spot Prices'!$B:$B,'[1]Global_Spot Prices'!$BS:$BS)</f>
        <v>4.6599999999999966</v>
      </c>
      <c r="C2531">
        <f>_xlfn.XLOOKUP(A2531,'[1]Global_Spot Prices'!$B:$B,'[1]Global_Spot Prices'!$E:$E)</f>
        <v>70.95</v>
      </c>
      <c r="D2531">
        <f>_xlfn.XLOOKUP(A2531,'[1]Global_Spot Prices'!$B:$B,'[1]Global_Spot Prices'!$D:$D)</f>
        <v>71.075000000000003</v>
      </c>
      <c r="E2531">
        <f>_xlfn.XLOOKUP(A2531,'[1]Global_Spot Prices'!$B:$B,'[1]Global_Spot Prices'!$H:$H)</f>
        <v>67.349999999999994</v>
      </c>
      <c r="F2531">
        <f>_xlfn.XLOOKUP(A2531,'[1]Global_Spot Prices'!$B:$B,'[1]Global_Spot Prices'!$I:$I)</f>
        <v>75.61</v>
      </c>
      <c r="G2531" cm="1">
        <f t="array" ref="G2531">_xlfn.XLOOKUP(TEXT(A2531, "mmm-yy"), TEXT([2]RUNS!$B$5:$B$208, "mmm-yy"), [2]RUNS!$D$5:$D$208, "Not Found")</f>
        <v>30123.822819010118</v>
      </c>
      <c r="H2531" cm="1">
        <f t="array" ref="H2531">SUMPRODUCT(
    --(TEXT('[3]Global Weekly Stock (EWSuez'!$B$4:$B$2000,"mmm-yy")=TEXT(A2531,"mmm-yy")),
    '[3]Global Weekly Stock (EWSuez'!$E$4:$E$2000)
/
SUMPRODUCT(
    --(TEXT('[3]Global Weekly Stock (EWSuez'!$B$4:$B$2000,"mmm-yy")=TEXT(A2531,"mmm-yy"))
)</f>
        <v>14740.25</v>
      </c>
      <c r="I2531">
        <f>_xlfn.XLOOKUP(A2531,[1]ForwardDeriv!$D:$D,[1]ForwardDeriv!$AJ:$AJ)</f>
        <v>0.56999999999999318</v>
      </c>
      <c r="J2531" cm="1">
        <f t="array" ref="J2531">_xlfn.XLOOKUP(TEXT(A2531, "mmm-yy"), TEXT([2]GASOLINE!$B$5:$B$208, "mmm-yy"), [2]GASOLINE!$IR$5:$IR$208, "Not Found")</f>
        <v>-420.00326771257141</v>
      </c>
      <c r="K2531" cm="1">
        <f t="array" ref="K2531">_xlfn.XLOOKUP(TEXT(A2531, "mmm-yy"), TEXT([2]GASOLINE!$B$5:$B$208, "mmm-yy"), [2]GASOLINE!$IK$5:$IK$208, "Not Found")</f>
        <v>264.54055159898036</v>
      </c>
      <c r="L2531">
        <f t="shared" si="39"/>
        <v>1</v>
      </c>
      <c r="M2531" cm="1">
        <f t="array" ref="M2531">_xlfn.XLOOKUP(TEXT(A2531, "mmm-yy"), TEXT([2]GASOLINE!$B$5:$B$208, "mmm-yy"), [2]GASOLINE!$C$5:$C$208, "Not Found")</f>
        <v>8014.6437949949095</v>
      </c>
      <c r="N2531" cm="1">
        <f t="array" ref="N2531">_xlfn.XLOOKUP(TEXT(A2531, "mmm-yy"), TEXT([2]RUNS!$B$5:$B$208, "mmm-yy"), [2]RUNS!$BM$5:$BM$208, "Not Found")</f>
        <v>0.81678432848919802</v>
      </c>
    </row>
    <row r="2532" spans="1:14" x14ac:dyDescent="0.25">
      <c r="A2532" s="1">
        <f>'[1]Global_Spot Prices'!$B3841</f>
        <v>45547</v>
      </c>
      <c r="B2532">
        <f>_xlfn.XLOOKUP(A2532,'[1]Global_Spot Prices'!$B:$B,'[1]Global_Spot Prices'!$BS:$BS)</f>
        <v>4.5899999999999892</v>
      </c>
      <c r="C2532">
        <f>_xlfn.XLOOKUP(A2532,'[1]Global_Spot Prices'!$B:$B,'[1]Global_Spot Prices'!$E:$E)</f>
        <v>71.900000000000006</v>
      </c>
      <c r="D2532">
        <f ca="1">_xlfn.XLOOKUP(A2532,'[1]Global_Spot Prices'!$B:$B,'[1]Global_Spot Prices'!$D:$D)</f>
        <v>74.55</v>
      </c>
      <c r="E2532">
        <f>_xlfn.XLOOKUP(A2532,'[1]Global_Spot Prices'!$B:$B,'[1]Global_Spot Prices'!$H:$H)</f>
        <v>68.63</v>
      </c>
      <c r="F2532">
        <f>_xlfn.XLOOKUP(A2532,'[1]Global_Spot Prices'!$B:$B,'[1]Global_Spot Prices'!$I:$I)</f>
        <v>76.489999999999995</v>
      </c>
      <c r="G2532" cm="1">
        <f t="array" ref="G2532">_xlfn.XLOOKUP(TEXT(A2532, "mmm-yy"), TEXT([2]RUNS!$B$5:$B$208, "mmm-yy"), [2]RUNS!$D$5:$D$208, "Not Found")</f>
        <v>30123.822819010118</v>
      </c>
      <c r="H2532" cm="1">
        <f t="array" ref="H2532">SUMPRODUCT(
    --(TEXT('[3]Global Weekly Stock (EWSuez'!$B$4:$B$2000,"mmm-yy")=TEXT(A2532,"mmm-yy")),
    '[3]Global Weekly Stock (EWSuez'!$E$4:$E$2000)
/
SUMPRODUCT(
    --(TEXT('[3]Global Weekly Stock (EWSuez'!$B$4:$B$2000,"mmm-yy")=TEXT(A2532,"mmm-yy"))
)</f>
        <v>14740.25</v>
      </c>
      <c r="I2532">
        <f>_xlfn.XLOOKUP(A2532,[1]ForwardDeriv!$D:$D,[1]ForwardDeriv!$AJ:$AJ)</f>
        <v>0.5</v>
      </c>
      <c r="J2532" cm="1">
        <f t="array" ref="J2532">_xlfn.XLOOKUP(TEXT(A2532, "mmm-yy"), TEXT([2]GASOLINE!$B$5:$B$208, "mmm-yy"), [2]GASOLINE!$IR$5:$IR$208, "Not Found")</f>
        <v>-420.00326771257141</v>
      </c>
      <c r="K2532" cm="1">
        <f t="array" ref="K2532">_xlfn.XLOOKUP(TEXT(A2532, "mmm-yy"), TEXT([2]GASOLINE!$B$5:$B$208, "mmm-yy"), [2]GASOLINE!$IK$5:$IK$208, "Not Found")</f>
        <v>264.54055159898036</v>
      </c>
      <c r="L2532">
        <f t="shared" si="39"/>
        <v>1</v>
      </c>
      <c r="M2532" cm="1">
        <f t="array" ref="M2532">_xlfn.XLOOKUP(TEXT(A2532, "mmm-yy"), TEXT([2]GASOLINE!$B$5:$B$208, "mmm-yy"), [2]GASOLINE!$C$5:$C$208, "Not Found")</f>
        <v>8014.6437949949095</v>
      </c>
      <c r="N2532" cm="1">
        <f t="array" ref="N2532">_xlfn.XLOOKUP(TEXT(A2532, "mmm-yy"), TEXT([2]RUNS!$B$5:$B$208, "mmm-yy"), [2]RUNS!$BM$5:$BM$208, "Not Found")</f>
        <v>0.81678432848919802</v>
      </c>
    </row>
    <row r="2533" spans="1:14" x14ac:dyDescent="0.25">
      <c r="A2533" s="1">
        <f>'[1]Global_Spot Prices'!$B3842</f>
        <v>45548</v>
      </c>
      <c r="B2533">
        <f>_xlfn.XLOOKUP(A2533,'[1]Global_Spot Prices'!$B:$B,'[1]Global_Spot Prices'!$BS:$BS)</f>
        <v>3.0999999999999943</v>
      </c>
      <c r="C2533">
        <f>_xlfn.XLOOKUP(A2533,'[1]Global_Spot Prices'!$B:$B,'[1]Global_Spot Prices'!$E:$E)</f>
        <v>72.790000000000006</v>
      </c>
      <c r="D2533">
        <f>_xlfn.XLOOKUP(A2533,'[1]Global_Spot Prices'!$B:$B,'[1]Global_Spot Prices'!$D:$D)</f>
        <v>73.995000000000005</v>
      </c>
      <c r="E2533">
        <f>_xlfn.XLOOKUP(A2533,'[1]Global_Spot Prices'!$B:$B,'[1]Global_Spot Prices'!$H:$H)</f>
        <v>69.849999999999994</v>
      </c>
      <c r="F2533">
        <f>_xlfn.XLOOKUP(A2533,'[1]Global_Spot Prices'!$B:$B,'[1]Global_Spot Prices'!$I:$I)</f>
        <v>75.89</v>
      </c>
      <c r="G2533" cm="1">
        <f t="array" ref="G2533">_xlfn.XLOOKUP(TEXT(A2533, "mmm-yy"), TEXT([2]RUNS!$B$5:$B$208, "mmm-yy"), [2]RUNS!$D$5:$D$208, "Not Found")</f>
        <v>30123.822819010118</v>
      </c>
      <c r="H2533" cm="1">
        <f t="array" ref="H2533">SUMPRODUCT(
    --(TEXT('[3]Global Weekly Stock (EWSuez'!$B$4:$B$2000,"mmm-yy")=TEXT(A2533,"mmm-yy")),
    '[3]Global Weekly Stock (EWSuez'!$E$4:$E$2000)
/
SUMPRODUCT(
    --(TEXT('[3]Global Weekly Stock (EWSuez'!$B$4:$B$2000,"mmm-yy")=TEXT(A2533,"mmm-yy"))
)</f>
        <v>14740.25</v>
      </c>
      <c r="I2533">
        <f>_xlfn.XLOOKUP(A2533,[1]ForwardDeriv!$D:$D,[1]ForwardDeriv!$AJ:$AJ)</f>
        <v>0.29000000000000625</v>
      </c>
      <c r="J2533" cm="1">
        <f t="array" ref="J2533">_xlfn.XLOOKUP(TEXT(A2533, "mmm-yy"), TEXT([2]GASOLINE!$B$5:$B$208, "mmm-yy"), [2]GASOLINE!$IR$5:$IR$208, "Not Found")</f>
        <v>-420.00326771257141</v>
      </c>
      <c r="K2533" cm="1">
        <f t="array" ref="K2533">_xlfn.XLOOKUP(TEXT(A2533, "mmm-yy"), TEXT([2]GASOLINE!$B$5:$B$208, "mmm-yy"), [2]GASOLINE!$IK$5:$IK$208, "Not Found")</f>
        <v>264.54055159898036</v>
      </c>
      <c r="L2533">
        <f t="shared" si="39"/>
        <v>1</v>
      </c>
      <c r="M2533" cm="1">
        <f t="array" ref="M2533">_xlfn.XLOOKUP(TEXT(A2533, "mmm-yy"), TEXT([2]GASOLINE!$B$5:$B$208, "mmm-yy"), [2]GASOLINE!$C$5:$C$208, "Not Found")</f>
        <v>8014.6437949949095</v>
      </c>
      <c r="N2533" cm="1">
        <f t="array" ref="N2533">_xlfn.XLOOKUP(TEXT(A2533, "mmm-yy"), TEXT([2]RUNS!$B$5:$B$208, "mmm-yy"), [2]RUNS!$BM$5:$BM$208, "Not Found")</f>
        <v>0.81678432848919802</v>
      </c>
    </row>
    <row r="2534" spans="1:14" x14ac:dyDescent="0.25">
      <c r="A2534" s="1">
        <f>'[1]Global_Spot Prices'!$B3843</f>
        <v>45551</v>
      </c>
      <c r="B2534">
        <f>_xlfn.XLOOKUP(A2534,'[1]Global_Spot Prices'!$B:$B,'[1]Global_Spot Prices'!$BS:$BS)</f>
        <v>3.585000000000008</v>
      </c>
      <c r="C2534">
        <f>_xlfn.XLOOKUP(A2534,'[1]Global_Spot Prices'!$B:$B,'[1]Global_Spot Prices'!$E:$E)</f>
        <v>72.454999999999998</v>
      </c>
      <c r="D2534">
        <f ca="1">_xlfn.XLOOKUP(A2534,'[1]Global_Spot Prices'!$B:$B,'[1]Global_Spot Prices'!$D:$D)</f>
        <v>73.864999999999995</v>
      </c>
      <c r="E2534">
        <f>_xlfn.XLOOKUP(A2534,'[1]Global_Spot Prices'!$B:$B,'[1]Global_Spot Prices'!$H:$H)</f>
        <v>70.14</v>
      </c>
      <c r="F2534">
        <f>_xlfn.XLOOKUP(A2534,'[1]Global_Spot Prices'!$B:$B,'[1]Global_Spot Prices'!$I:$I)</f>
        <v>76.040000000000006</v>
      </c>
      <c r="G2534" cm="1">
        <f t="array" ref="G2534">_xlfn.XLOOKUP(TEXT(A2534, "mmm-yy"), TEXT([2]RUNS!$B$5:$B$208, "mmm-yy"), [2]RUNS!$D$5:$D$208, "Not Found")</f>
        <v>30123.822819010118</v>
      </c>
      <c r="H2534" cm="1">
        <f t="array" ref="H2534">SUMPRODUCT(
    --(TEXT('[3]Global Weekly Stock (EWSuez'!$B$4:$B$2000,"mmm-yy")=TEXT(A2534,"mmm-yy")),
    '[3]Global Weekly Stock (EWSuez'!$E$4:$E$2000)
/
SUMPRODUCT(
    --(TEXT('[3]Global Weekly Stock (EWSuez'!$B$4:$B$2000,"mmm-yy")=TEXT(A2534,"mmm-yy"))
)</f>
        <v>14740.25</v>
      </c>
      <c r="I2534">
        <f>_xlfn.XLOOKUP(A2534,[1]ForwardDeriv!$D:$D,[1]ForwardDeriv!$AJ:$AJ)</f>
        <v>0.5</v>
      </c>
      <c r="J2534" cm="1">
        <f t="array" ref="J2534">_xlfn.XLOOKUP(TEXT(A2534, "mmm-yy"), TEXT([2]GASOLINE!$B$5:$B$208, "mmm-yy"), [2]GASOLINE!$IR$5:$IR$208, "Not Found")</f>
        <v>-420.00326771257141</v>
      </c>
      <c r="K2534" cm="1">
        <f t="array" ref="K2534">_xlfn.XLOOKUP(TEXT(A2534, "mmm-yy"), TEXT([2]GASOLINE!$B$5:$B$208, "mmm-yy"), [2]GASOLINE!$IK$5:$IK$208, "Not Found")</f>
        <v>264.54055159898036</v>
      </c>
      <c r="L2534">
        <f t="shared" si="39"/>
        <v>1</v>
      </c>
      <c r="M2534" cm="1">
        <f t="array" ref="M2534">_xlfn.XLOOKUP(TEXT(A2534, "mmm-yy"), TEXT([2]GASOLINE!$B$5:$B$208, "mmm-yy"), [2]GASOLINE!$C$5:$C$208, "Not Found")</f>
        <v>8014.6437949949095</v>
      </c>
      <c r="N2534" cm="1">
        <f t="array" ref="N2534">_xlfn.XLOOKUP(TEXT(A2534, "mmm-yy"), TEXT([2]RUNS!$B$5:$B$208, "mmm-yy"), [2]RUNS!$BM$5:$BM$208, "Not Found")</f>
        <v>0.81678432848919802</v>
      </c>
    </row>
    <row r="2535" spans="1:14" x14ac:dyDescent="0.25">
      <c r="A2535" s="1">
        <f>'[1]Global_Spot Prices'!$B3844</f>
        <v>45552</v>
      </c>
      <c r="B2535">
        <f>_xlfn.XLOOKUP(A2535,'[1]Global_Spot Prices'!$B:$B,'[1]Global_Spot Prices'!$BS:$BS)</f>
        <v>4.1300000000000097</v>
      </c>
      <c r="C2535">
        <f>_xlfn.XLOOKUP(A2535,'[1]Global_Spot Prices'!$B:$B,'[1]Global_Spot Prices'!$E:$E)</f>
        <v>73.3</v>
      </c>
      <c r="D2535">
        <f>_xlfn.XLOOKUP(A2535,'[1]Global_Spot Prices'!$B:$B,'[1]Global_Spot Prices'!$D:$D)</f>
        <v>74.715000000000003</v>
      </c>
      <c r="E2535">
        <f>_xlfn.XLOOKUP(A2535,'[1]Global_Spot Prices'!$B:$B,'[1]Global_Spot Prices'!$H:$H)</f>
        <v>70.55</v>
      </c>
      <c r="F2535">
        <f>_xlfn.XLOOKUP(A2535,'[1]Global_Spot Prices'!$B:$B,'[1]Global_Spot Prices'!$I:$I)</f>
        <v>77.430000000000007</v>
      </c>
      <c r="G2535" cm="1">
        <f t="array" ref="G2535">_xlfn.XLOOKUP(TEXT(A2535, "mmm-yy"), TEXT([2]RUNS!$B$5:$B$208, "mmm-yy"), [2]RUNS!$D$5:$D$208, "Not Found")</f>
        <v>30123.822819010118</v>
      </c>
      <c r="H2535" cm="1">
        <f t="array" ref="H2535">SUMPRODUCT(
    --(TEXT('[3]Global Weekly Stock (EWSuez'!$B$4:$B$2000,"mmm-yy")=TEXT(A2535,"mmm-yy")),
    '[3]Global Weekly Stock (EWSuez'!$E$4:$E$2000)
/
SUMPRODUCT(
    --(TEXT('[3]Global Weekly Stock (EWSuez'!$B$4:$B$2000,"mmm-yy")=TEXT(A2535,"mmm-yy"))
)</f>
        <v>14740.25</v>
      </c>
      <c r="I2535">
        <f>_xlfn.XLOOKUP(A2535,[1]ForwardDeriv!$D:$D,[1]ForwardDeriv!$AJ:$AJ)</f>
        <v>0.72999999999998977</v>
      </c>
      <c r="J2535" cm="1">
        <f t="array" ref="J2535">_xlfn.XLOOKUP(TEXT(A2535, "mmm-yy"), TEXT([2]GASOLINE!$B$5:$B$208, "mmm-yy"), [2]GASOLINE!$IR$5:$IR$208, "Not Found")</f>
        <v>-420.00326771257141</v>
      </c>
      <c r="K2535" cm="1">
        <f t="array" ref="K2535">_xlfn.XLOOKUP(TEXT(A2535, "mmm-yy"), TEXT([2]GASOLINE!$B$5:$B$208, "mmm-yy"), [2]GASOLINE!$IK$5:$IK$208, "Not Found")</f>
        <v>264.54055159898036</v>
      </c>
      <c r="L2535">
        <f t="shared" si="39"/>
        <v>1</v>
      </c>
      <c r="M2535" cm="1">
        <f t="array" ref="M2535">_xlfn.XLOOKUP(TEXT(A2535, "mmm-yy"), TEXT([2]GASOLINE!$B$5:$B$208, "mmm-yy"), [2]GASOLINE!$C$5:$C$208, "Not Found")</f>
        <v>8014.6437949949095</v>
      </c>
      <c r="N2535" cm="1">
        <f t="array" ref="N2535">_xlfn.XLOOKUP(TEXT(A2535, "mmm-yy"), TEXT([2]RUNS!$B$5:$B$208, "mmm-yy"), [2]RUNS!$BM$5:$BM$208, "Not Found")</f>
        <v>0.81678432848919802</v>
      </c>
    </row>
    <row r="2536" spans="1:14" x14ac:dyDescent="0.25">
      <c r="A2536" s="1">
        <f>'[1]Global_Spot Prices'!$B3845</f>
        <v>45553</v>
      </c>
      <c r="B2536">
        <f ca="1">_xlfn.XLOOKUP(A2536,'[1]Global_Spot Prices'!$B:$B,'[1]Global_Spot Prices'!$BS:$BS)</f>
        <v>5.789999999999992</v>
      </c>
      <c r="C2536">
        <f ca="1">_xlfn.XLOOKUP(A2536,'[1]Global_Spot Prices'!$B:$B,'[1]Global_Spot Prices'!$E:$E)</f>
        <v>73.45</v>
      </c>
      <c r="D2536">
        <f>_xlfn.XLOOKUP(A2536,'[1]Global_Spot Prices'!$B:$B,'[1]Global_Spot Prices'!$D:$D)</f>
        <v>75.08</v>
      </c>
      <c r="E2536">
        <f>_xlfn.XLOOKUP(A2536,'[1]Global_Spot Prices'!$B:$B,'[1]Global_Spot Prices'!$H:$H)</f>
        <v>70.56</v>
      </c>
      <c r="F2536">
        <f ca="1">_xlfn.XLOOKUP(A2536,'[1]Global_Spot Prices'!$B:$B,'[1]Global_Spot Prices'!$I:$I)</f>
        <v>79.239999999999995</v>
      </c>
      <c r="G2536" cm="1">
        <f t="array" ref="G2536">_xlfn.XLOOKUP(TEXT(A2536, "mmm-yy"), TEXT([2]RUNS!$B$5:$B$208, "mmm-yy"), [2]RUNS!$D$5:$D$208, "Not Found")</f>
        <v>30123.822819010118</v>
      </c>
      <c r="H2536" cm="1">
        <f t="array" ref="H2536">SUMPRODUCT(
    --(TEXT('[3]Global Weekly Stock (EWSuez'!$B$4:$B$2000,"mmm-yy")=TEXT(A2536,"mmm-yy")),
    '[3]Global Weekly Stock (EWSuez'!$E$4:$E$2000)
/
SUMPRODUCT(
    --(TEXT('[3]Global Weekly Stock (EWSuez'!$B$4:$B$2000,"mmm-yy")=TEXT(A2536,"mmm-yy"))
)</f>
        <v>14740.25</v>
      </c>
      <c r="I2536">
        <f>_xlfn.XLOOKUP(A2536,[1]ForwardDeriv!$D:$D,[1]ForwardDeriv!$AJ:$AJ)</f>
        <v>1.3499999999999943</v>
      </c>
      <c r="J2536" cm="1">
        <f t="array" ref="J2536">_xlfn.XLOOKUP(TEXT(A2536, "mmm-yy"), TEXT([2]GASOLINE!$B$5:$B$208, "mmm-yy"), [2]GASOLINE!$IR$5:$IR$208, "Not Found")</f>
        <v>-420.00326771257141</v>
      </c>
      <c r="K2536" cm="1">
        <f t="array" ref="K2536">_xlfn.XLOOKUP(TEXT(A2536, "mmm-yy"), TEXT([2]GASOLINE!$B$5:$B$208, "mmm-yy"), [2]GASOLINE!$IK$5:$IK$208, "Not Found")</f>
        <v>264.54055159898036</v>
      </c>
      <c r="L2536">
        <f t="shared" si="39"/>
        <v>1</v>
      </c>
      <c r="M2536" cm="1">
        <f t="array" ref="M2536">_xlfn.XLOOKUP(TEXT(A2536, "mmm-yy"), TEXT([2]GASOLINE!$B$5:$B$208, "mmm-yy"), [2]GASOLINE!$C$5:$C$208, "Not Found")</f>
        <v>8014.6437949949095</v>
      </c>
      <c r="N2536" cm="1">
        <f t="array" ref="N2536">_xlfn.XLOOKUP(TEXT(A2536, "mmm-yy"), TEXT([2]RUNS!$B$5:$B$208, "mmm-yy"), [2]RUNS!$BM$5:$BM$208, "Not Found")</f>
        <v>0.81678432848919802</v>
      </c>
    </row>
    <row r="2537" spans="1:14" x14ac:dyDescent="0.25">
      <c r="A2537" s="1">
        <f>'[1]Global_Spot Prices'!$B3846</f>
        <v>45554</v>
      </c>
      <c r="B2537">
        <f>_xlfn.XLOOKUP(A2537,'[1]Global_Spot Prices'!$B:$B,'[1]Global_Spot Prices'!$BS:$BS)</f>
        <v>6.8649999999999949</v>
      </c>
      <c r="C2537">
        <f ca="1">_xlfn.XLOOKUP(A2537,'[1]Global_Spot Prices'!$B:$B,'[1]Global_Spot Prices'!$E:$E)</f>
        <v>74.844999999999999</v>
      </c>
      <c r="D2537">
        <f>_xlfn.XLOOKUP(A2537,'[1]Global_Spot Prices'!$B:$B,'[1]Global_Spot Prices'!$D:$D)</f>
        <v>76.58</v>
      </c>
      <c r="E2537">
        <f>_xlfn.XLOOKUP(A2537,'[1]Global_Spot Prices'!$B:$B,'[1]Global_Spot Prices'!$H:$H)</f>
        <v>71.459999999999994</v>
      </c>
      <c r="F2537">
        <f>_xlfn.XLOOKUP(A2537,'[1]Global_Spot Prices'!$B:$B,'[1]Global_Spot Prices'!$I:$I)</f>
        <v>81.709999999999994</v>
      </c>
      <c r="G2537" cm="1">
        <f t="array" ref="G2537">_xlfn.XLOOKUP(TEXT(A2537, "mmm-yy"), TEXT([2]RUNS!$B$5:$B$208, "mmm-yy"), [2]RUNS!$D$5:$D$208, "Not Found")</f>
        <v>30123.822819010118</v>
      </c>
      <c r="H2537" cm="1">
        <f t="array" ref="H2537">SUMPRODUCT(
    --(TEXT('[3]Global Weekly Stock (EWSuez'!$B$4:$B$2000,"mmm-yy")=TEXT(A2537,"mmm-yy")),
    '[3]Global Weekly Stock (EWSuez'!$E$4:$E$2000)
/
SUMPRODUCT(
    --(TEXT('[3]Global Weekly Stock (EWSuez'!$B$4:$B$2000,"mmm-yy")=TEXT(A2537,"mmm-yy"))
)</f>
        <v>14740.25</v>
      </c>
      <c r="I2537">
        <f>_xlfn.XLOOKUP(A2537,[1]ForwardDeriv!$D:$D,[1]ForwardDeriv!$AJ:$AJ)</f>
        <v>1.5</v>
      </c>
      <c r="J2537" cm="1">
        <f t="array" ref="J2537">_xlfn.XLOOKUP(TEXT(A2537, "mmm-yy"), TEXT([2]GASOLINE!$B$5:$B$208, "mmm-yy"), [2]GASOLINE!$IR$5:$IR$208, "Not Found")</f>
        <v>-420.00326771257141</v>
      </c>
      <c r="K2537" cm="1">
        <f t="array" ref="K2537">_xlfn.XLOOKUP(TEXT(A2537, "mmm-yy"), TEXT([2]GASOLINE!$B$5:$B$208, "mmm-yy"), [2]GASOLINE!$IK$5:$IK$208, "Not Found")</f>
        <v>264.54055159898036</v>
      </c>
      <c r="L2537">
        <f t="shared" si="39"/>
        <v>1</v>
      </c>
      <c r="M2537" cm="1">
        <f t="array" ref="M2537">_xlfn.XLOOKUP(TEXT(A2537, "mmm-yy"), TEXT([2]GASOLINE!$B$5:$B$208, "mmm-yy"), [2]GASOLINE!$C$5:$C$208, "Not Found")</f>
        <v>8014.6437949949095</v>
      </c>
      <c r="N2537" cm="1">
        <f t="array" ref="N2537">_xlfn.XLOOKUP(TEXT(A2537, "mmm-yy"), TEXT([2]RUNS!$B$5:$B$208, "mmm-yy"), [2]RUNS!$BM$5:$BM$208, "Not Found")</f>
        <v>0.81678432848919802</v>
      </c>
    </row>
    <row r="2538" spans="1:14" x14ac:dyDescent="0.25">
      <c r="A2538" s="1">
        <f>'[1]Global_Spot Prices'!$B3847</f>
        <v>45555</v>
      </c>
      <c r="B2538">
        <f>_xlfn.XLOOKUP(A2538,'[1]Global_Spot Prices'!$B:$B,'[1]Global_Spot Prices'!$BS:$BS)</f>
        <v>7.0499999999999972</v>
      </c>
      <c r="C2538">
        <f>_xlfn.XLOOKUP(A2538,'[1]Global_Spot Prices'!$B:$B,'[1]Global_Spot Prices'!$E:$E)</f>
        <v>74.19</v>
      </c>
      <c r="D2538">
        <f>_xlfn.XLOOKUP(A2538,'[1]Global_Spot Prices'!$B:$B,'[1]Global_Spot Prices'!$D:$D)</f>
        <v>76.010000000000005</v>
      </c>
      <c r="E2538">
        <f>_xlfn.XLOOKUP(A2538,'[1]Global_Spot Prices'!$B:$B,'[1]Global_Spot Prices'!$H:$H)</f>
        <v>70.7</v>
      </c>
      <c r="F2538">
        <f>_xlfn.XLOOKUP(A2538,'[1]Global_Spot Prices'!$B:$B,'[1]Global_Spot Prices'!$I:$I)</f>
        <v>81.239999999999995</v>
      </c>
      <c r="G2538" cm="1">
        <f t="array" ref="G2538">_xlfn.XLOOKUP(TEXT(A2538, "mmm-yy"), TEXT([2]RUNS!$B$5:$B$208, "mmm-yy"), [2]RUNS!$D$5:$D$208, "Not Found")</f>
        <v>30123.822819010118</v>
      </c>
      <c r="H2538" cm="1">
        <f t="array" ref="H2538">SUMPRODUCT(
    --(TEXT('[3]Global Weekly Stock (EWSuez'!$B$4:$B$2000,"mmm-yy")=TEXT(A2538,"mmm-yy")),
    '[3]Global Weekly Stock (EWSuez'!$E$4:$E$2000)
/
SUMPRODUCT(
    --(TEXT('[3]Global Weekly Stock (EWSuez'!$B$4:$B$2000,"mmm-yy")=TEXT(A2538,"mmm-yy"))
)</f>
        <v>14740.25</v>
      </c>
      <c r="I2538">
        <f>_xlfn.XLOOKUP(A2538,[1]ForwardDeriv!$D:$D,[1]ForwardDeriv!$AJ:$AJ)</f>
        <v>1.25</v>
      </c>
      <c r="J2538" cm="1">
        <f t="array" ref="J2538">_xlfn.XLOOKUP(TEXT(A2538, "mmm-yy"), TEXT([2]GASOLINE!$B$5:$B$208, "mmm-yy"), [2]GASOLINE!$IR$5:$IR$208, "Not Found")</f>
        <v>-420.00326771257141</v>
      </c>
      <c r="K2538" cm="1">
        <f t="array" ref="K2538">_xlfn.XLOOKUP(TEXT(A2538, "mmm-yy"), TEXT([2]GASOLINE!$B$5:$B$208, "mmm-yy"), [2]GASOLINE!$IK$5:$IK$208, "Not Found")</f>
        <v>264.54055159898036</v>
      </c>
      <c r="L2538">
        <f t="shared" si="39"/>
        <v>1</v>
      </c>
      <c r="M2538" cm="1">
        <f t="array" ref="M2538">_xlfn.XLOOKUP(TEXT(A2538, "mmm-yy"), TEXT([2]GASOLINE!$B$5:$B$208, "mmm-yy"), [2]GASOLINE!$C$5:$C$208, "Not Found")</f>
        <v>8014.6437949949095</v>
      </c>
      <c r="N2538" cm="1">
        <f t="array" ref="N2538">_xlfn.XLOOKUP(TEXT(A2538, "mmm-yy"), TEXT([2]RUNS!$B$5:$B$208, "mmm-yy"), [2]RUNS!$BM$5:$BM$208, "Not Found")</f>
        <v>0.81678432848919802</v>
      </c>
    </row>
    <row r="2539" spans="1:14" x14ac:dyDescent="0.25">
      <c r="A2539" s="1">
        <f>'[1]Global_Spot Prices'!$B3848</f>
        <v>45558</v>
      </c>
      <c r="B2539">
        <f>_xlfn.XLOOKUP(A2539,'[1]Global_Spot Prices'!$B:$B,'[1]Global_Spot Prices'!$BS:$BS)</f>
        <v>6.8900000000000006</v>
      </c>
      <c r="C2539">
        <f>_xlfn.XLOOKUP(A2539,'[1]Global_Spot Prices'!$B:$B,'[1]Global_Spot Prices'!$E:$E)</f>
        <v>74.27</v>
      </c>
      <c r="D2539">
        <f>_xlfn.XLOOKUP(A2539,'[1]Global_Spot Prices'!$B:$B,'[1]Global_Spot Prices'!$D:$D)</f>
        <v>75.17</v>
      </c>
      <c r="E2539">
        <f>_xlfn.XLOOKUP(A2539,'[1]Global_Spot Prices'!$B:$B,'[1]Global_Spot Prices'!$H:$H)</f>
        <v>70.45</v>
      </c>
      <c r="F2539">
        <f>_xlfn.XLOOKUP(A2539,'[1]Global_Spot Prices'!$B:$B,'[1]Global_Spot Prices'!$I:$I)</f>
        <v>81.16</v>
      </c>
      <c r="G2539" cm="1">
        <f t="array" ref="G2539">_xlfn.XLOOKUP(TEXT(A2539, "mmm-yy"), TEXT([2]RUNS!$B$5:$B$208, "mmm-yy"), [2]RUNS!$D$5:$D$208, "Not Found")</f>
        <v>30123.822819010118</v>
      </c>
      <c r="H2539" cm="1">
        <f t="array" ref="H2539">SUMPRODUCT(
    --(TEXT('[3]Global Weekly Stock (EWSuez'!$B$4:$B$2000,"mmm-yy")=TEXT(A2539,"mmm-yy")),
    '[3]Global Weekly Stock (EWSuez'!$E$4:$E$2000)
/
SUMPRODUCT(
    --(TEXT('[3]Global Weekly Stock (EWSuez'!$B$4:$B$2000,"mmm-yy")=TEXT(A2539,"mmm-yy"))
)</f>
        <v>14740.25</v>
      </c>
      <c r="I2539">
        <f>_xlfn.XLOOKUP(A2539,[1]ForwardDeriv!$D:$D,[1]ForwardDeriv!$AJ:$AJ)</f>
        <v>1.2900000000000063</v>
      </c>
      <c r="J2539" cm="1">
        <f t="array" ref="J2539">_xlfn.XLOOKUP(TEXT(A2539, "mmm-yy"), TEXT([2]GASOLINE!$B$5:$B$208, "mmm-yy"), [2]GASOLINE!$IR$5:$IR$208, "Not Found")</f>
        <v>-420.00326771257141</v>
      </c>
      <c r="K2539" cm="1">
        <f t="array" ref="K2539">_xlfn.XLOOKUP(TEXT(A2539, "mmm-yy"), TEXT([2]GASOLINE!$B$5:$B$208, "mmm-yy"), [2]GASOLINE!$IK$5:$IK$208, "Not Found")</f>
        <v>264.54055159898036</v>
      </c>
      <c r="L2539">
        <f t="shared" si="39"/>
        <v>1</v>
      </c>
      <c r="M2539" cm="1">
        <f t="array" ref="M2539">_xlfn.XLOOKUP(TEXT(A2539, "mmm-yy"), TEXT([2]GASOLINE!$B$5:$B$208, "mmm-yy"), [2]GASOLINE!$C$5:$C$208, "Not Found")</f>
        <v>8014.6437949949095</v>
      </c>
      <c r="N2539" cm="1">
        <f t="array" ref="N2539">_xlfn.XLOOKUP(TEXT(A2539, "mmm-yy"), TEXT([2]RUNS!$B$5:$B$208, "mmm-yy"), [2]RUNS!$BM$5:$BM$208, "Not Found")</f>
        <v>0.81678432848919802</v>
      </c>
    </row>
    <row r="2540" spans="1:14" x14ac:dyDescent="0.25">
      <c r="A2540" s="1">
        <f>'[1]Global_Spot Prices'!$B3849</f>
        <v>45559</v>
      </c>
      <c r="B2540">
        <f>_xlfn.XLOOKUP(A2540,'[1]Global_Spot Prices'!$B:$B,'[1]Global_Spot Prices'!$BS:$BS)</f>
        <v>5.6300000000000097</v>
      </c>
      <c r="C2540">
        <f>_xlfn.XLOOKUP(A2540,'[1]Global_Spot Prices'!$B:$B,'[1]Global_Spot Prices'!$E:$E)</f>
        <v>74.849999999999994</v>
      </c>
      <c r="D2540">
        <f>_xlfn.XLOOKUP(A2540,'[1]Global_Spot Prices'!$B:$B,'[1]Global_Spot Prices'!$D:$D)</f>
        <v>75.819999999999993</v>
      </c>
      <c r="E2540">
        <f>_xlfn.XLOOKUP(A2540,'[1]Global_Spot Prices'!$B:$B,'[1]Global_Spot Prices'!$H:$H)</f>
        <v>71.150000000000006</v>
      </c>
      <c r="F2540">
        <f>_xlfn.XLOOKUP(A2540,'[1]Global_Spot Prices'!$B:$B,'[1]Global_Spot Prices'!$I:$I)</f>
        <v>80.48</v>
      </c>
      <c r="G2540" cm="1">
        <f t="array" ref="G2540">_xlfn.XLOOKUP(TEXT(A2540, "mmm-yy"), TEXT([2]RUNS!$B$5:$B$208, "mmm-yy"), [2]RUNS!$D$5:$D$208, "Not Found")</f>
        <v>30123.822819010118</v>
      </c>
      <c r="H2540" cm="1">
        <f t="array" ref="H2540">SUMPRODUCT(
    --(TEXT('[3]Global Weekly Stock (EWSuez'!$B$4:$B$2000,"mmm-yy")=TEXT(A2540,"mmm-yy")),
    '[3]Global Weekly Stock (EWSuez'!$E$4:$E$2000)
/
SUMPRODUCT(
    --(TEXT('[3]Global Weekly Stock (EWSuez'!$B$4:$B$2000,"mmm-yy")=TEXT(A2540,"mmm-yy"))
)</f>
        <v>14740.25</v>
      </c>
      <c r="I2540">
        <f>_xlfn.XLOOKUP(A2540,[1]ForwardDeriv!$D:$D,[1]ForwardDeriv!$AJ:$AJ)</f>
        <v>1.1099999999999994</v>
      </c>
      <c r="J2540" cm="1">
        <f t="array" ref="J2540">_xlfn.XLOOKUP(TEXT(A2540, "mmm-yy"), TEXT([2]GASOLINE!$B$5:$B$208, "mmm-yy"), [2]GASOLINE!$IR$5:$IR$208, "Not Found")</f>
        <v>-420.00326771257141</v>
      </c>
      <c r="K2540" cm="1">
        <f t="array" ref="K2540">_xlfn.XLOOKUP(TEXT(A2540, "mmm-yy"), TEXT([2]GASOLINE!$B$5:$B$208, "mmm-yy"), [2]GASOLINE!$IK$5:$IK$208, "Not Found")</f>
        <v>264.54055159898036</v>
      </c>
      <c r="L2540">
        <f t="shared" si="39"/>
        <v>1</v>
      </c>
      <c r="M2540" cm="1">
        <f t="array" ref="M2540">_xlfn.XLOOKUP(TEXT(A2540, "mmm-yy"), TEXT([2]GASOLINE!$B$5:$B$208, "mmm-yy"), [2]GASOLINE!$C$5:$C$208, "Not Found")</f>
        <v>8014.6437949949095</v>
      </c>
      <c r="N2540" cm="1">
        <f t="array" ref="N2540">_xlfn.XLOOKUP(TEXT(A2540, "mmm-yy"), TEXT([2]RUNS!$B$5:$B$208, "mmm-yy"), [2]RUNS!$BM$5:$BM$208, "Not Found")</f>
        <v>0.81678432848919802</v>
      </c>
    </row>
    <row r="2541" spans="1:14" x14ac:dyDescent="0.25">
      <c r="A2541" s="1">
        <f>'[1]Global_Spot Prices'!$B3850</f>
        <v>45560</v>
      </c>
      <c r="B2541">
        <f>_xlfn.XLOOKUP(A2541,'[1]Global_Spot Prices'!$B:$B,'[1]Global_Spot Prices'!$BS:$BS)</f>
        <v>5.1300000000000097</v>
      </c>
      <c r="C2541">
        <f>_xlfn.XLOOKUP(A2541,'[1]Global_Spot Prices'!$B:$B,'[1]Global_Spot Prices'!$E:$E)</f>
        <v>74.989999999999995</v>
      </c>
      <c r="D2541">
        <f>_xlfn.XLOOKUP(A2541,'[1]Global_Spot Prices'!$B:$B,'[1]Global_Spot Prices'!$D:$D)</f>
        <v>75.265000000000001</v>
      </c>
      <c r="E2541">
        <f>_xlfn.XLOOKUP(A2541,'[1]Global_Spot Prices'!$B:$B,'[1]Global_Spot Prices'!$H:$H)</f>
        <v>70.94</v>
      </c>
      <c r="F2541">
        <f>_xlfn.XLOOKUP(A2541,'[1]Global_Spot Prices'!$B:$B,'[1]Global_Spot Prices'!$I:$I)</f>
        <v>80.12</v>
      </c>
      <c r="G2541" cm="1">
        <f t="array" ref="G2541">_xlfn.XLOOKUP(TEXT(A2541, "mmm-yy"), TEXT([2]RUNS!$B$5:$B$208, "mmm-yy"), [2]RUNS!$D$5:$D$208, "Not Found")</f>
        <v>30123.822819010118</v>
      </c>
      <c r="H2541" cm="1">
        <f t="array" ref="H2541">SUMPRODUCT(
    --(TEXT('[3]Global Weekly Stock (EWSuez'!$B$4:$B$2000,"mmm-yy")=TEXT(A2541,"mmm-yy")),
    '[3]Global Weekly Stock (EWSuez'!$E$4:$E$2000)
/
SUMPRODUCT(
    --(TEXT('[3]Global Weekly Stock (EWSuez'!$B$4:$B$2000,"mmm-yy")=TEXT(A2541,"mmm-yy"))
)</f>
        <v>14740.25</v>
      </c>
      <c r="I2541">
        <f>_xlfn.XLOOKUP(A2541,[1]ForwardDeriv!$D:$D,[1]ForwardDeriv!$AJ:$AJ)</f>
        <v>1.039999999999992</v>
      </c>
      <c r="J2541" cm="1">
        <f t="array" ref="J2541">_xlfn.XLOOKUP(TEXT(A2541, "mmm-yy"), TEXT([2]GASOLINE!$B$5:$B$208, "mmm-yy"), [2]GASOLINE!$IR$5:$IR$208, "Not Found")</f>
        <v>-420.00326771257141</v>
      </c>
      <c r="K2541" cm="1">
        <f t="array" ref="K2541">_xlfn.XLOOKUP(TEXT(A2541, "mmm-yy"), TEXT([2]GASOLINE!$B$5:$B$208, "mmm-yy"), [2]GASOLINE!$IK$5:$IK$208, "Not Found")</f>
        <v>264.54055159898036</v>
      </c>
      <c r="L2541">
        <f t="shared" si="39"/>
        <v>1</v>
      </c>
      <c r="M2541" cm="1">
        <f t="array" ref="M2541">_xlfn.XLOOKUP(TEXT(A2541, "mmm-yy"), TEXT([2]GASOLINE!$B$5:$B$208, "mmm-yy"), [2]GASOLINE!$C$5:$C$208, "Not Found")</f>
        <v>8014.6437949949095</v>
      </c>
      <c r="N2541" cm="1">
        <f t="array" ref="N2541">_xlfn.XLOOKUP(TEXT(A2541, "mmm-yy"), TEXT([2]RUNS!$B$5:$B$208, "mmm-yy"), [2]RUNS!$BM$5:$BM$208, "Not Found")</f>
        <v>0.81678432848919802</v>
      </c>
    </row>
    <row r="2542" spans="1:14" x14ac:dyDescent="0.25">
      <c r="A2542" s="1">
        <f>'[1]Global_Spot Prices'!$B3851</f>
        <v>45561</v>
      </c>
      <c r="B2542">
        <f>_xlfn.XLOOKUP(A2542,'[1]Global_Spot Prices'!$B:$B,'[1]Global_Spot Prices'!$BS:$BS)</f>
        <v>4.9050000000000011</v>
      </c>
      <c r="C2542">
        <f>_xlfn.XLOOKUP(A2542,'[1]Global_Spot Prices'!$B:$B,'[1]Global_Spot Prices'!$E:$E)</f>
        <v>72.295000000000002</v>
      </c>
      <c r="D2542">
        <f>_xlfn.XLOOKUP(A2542,'[1]Global_Spot Prices'!$B:$B,'[1]Global_Spot Prices'!$D:$D)</f>
        <v>72.5</v>
      </c>
      <c r="E2542">
        <f>_xlfn.XLOOKUP(A2542,'[1]Global_Spot Prices'!$B:$B,'[1]Global_Spot Prices'!$H:$H)</f>
        <v>69.150000000000006</v>
      </c>
      <c r="F2542">
        <f ca="1">_xlfn.XLOOKUP(A2542,'[1]Global_Spot Prices'!$B:$B,'[1]Global_Spot Prices'!$I:$I)</f>
        <v>77.2</v>
      </c>
      <c r="G2542" cm="1">
        <f t="array" ref="G2542">_xlfn.XLOOKUP(TEXT(A2542, "mmm-yy"), TEXT([2]RUNS!$B$5:$B$208, "mmm-yy"), [2]RUNS!$D$5:$D$208, "Not Found")</f>
        <v>30123.822819010118</v>
      </c>
      <c r="H2542" cm="1">
        <f t="array" ref="H2542">SUMPRODUCT(
    --(TEXT('[3]Global Weekly Stock (EWSuez'!$B$4:$B$2000,"mmm-yy")=TEXT(A2542,"mmm-yy")),
    '[3]Global Weekly Stock (EWSuez'!$E$4:$E$2000)
/
SUMPRODUCT(
    --(TEXT('[3]Global Weekly Stock (EWSuez'!$B$4:$B$2000,"mmm-yy")=TEXT(A2542,"mmm-yy"))
)</f>
        <v>14740.25</v>
      </c>
      <c r="I2542">
        <f>_xlfn.XLOOKUP(A2542,[1]ForwardDeriv!$D:$D,[1]ForwardDeriv!$AJ:$AJ)</f>
        <v>0.79999999999999716</v>
      </c>
      <c r="J2542" cm="1">
        <f t="array" ref="J2542">_xlfn.XLOOKUP(TEXT(A2542, "mmm-yy"), TEXT([2]GASOLINE!$B$5:$B$208, "mmm-yy"), [2]GASOLINE!$IR$5:$IR$208, "Not Found")</f>
        <v>-420.00326771257141</v>
      </c>
      <c r="K2542" cm="1">
        <f t="array" ref="K2542">_xlfn.XLOOKUP(TEXT(A2542, "mmm-yy"), TEXT([2]GASOLINE!$B$5:$B$208, "mmm-yy"), [2]GASOLINE!$IK$5:$IK$208, "Not Found")</f>
        <v>264.54055159898036</v>
      </c>
      <c r="L2542">
        <f t="shared" si="39"/>
        <v>1</v>
      </c>
      <c r="M2542" cm="1">
        <f t="array" ref="M2542">_xlfn.XLOOKUP(TEXT(A2542, "mmm-yy"), TEXT([2]GASOLINE!$B$5:$B$208, "mmm-yy"), [2]GASOLINE!$C$5:$C$208, "Not Found")</f>
        <v>8014.6437949949095</v>
      </c>
      <c r="N2542" cm="1">
        <f t="array" ref="N2542">_xlfn.XLOOKUP(TEXT(A2542, "mmm-yy"), TEXT([2]RUNS!$B$5:$B$208, "mmm-yy"), [2]RUNS!$BM$5:$BM$208, "Not Found")</f>
        <v>0.81678432848919802</v>
      </c>
    </row>
    <row r="2543" spans="1:14" x14ac:dyDescent="0.25">
      <c r="A2543" s="1">
        <f>'[1]Global_Spot Prices'!$B3852</f>
        <v>45562</v>
      </c>
      <c r="B2543">
        <f>_xlfn.XLOOKUP(A2543,'[1]Global_Spot Prices'!$B:$B,'[1]Global_Spot Prices'!$BS:$BS)</f>
        <v>4.2950000000000017</v>
      </c>
      <c r="C2543">
        <f ca="1">_xlfn.XLOOKUP(A2543,'[1]Global_Spot Prices'!$B:$B,'[1]Global_Spot Prices'!$E:$E)</f>
        <v>72.715000000000003</v>
      </c>
      <c r="D2543">
        <f>_xlfn.XLOOKUP(A2543,'[1]Global_Spot Prices'!$B:$B,'[1]Global_Spot Prices'!$D:$D)</f>
        <v>71.974999999999994</v>
      </c>
      <c r="E2543">
        <f>_xlfn.XLOOKUP(A2543,'[1]Global_Spot Prices'!$B:$B,'[1]Global_Spot Prices'!$H:$H)</f>
        <v>69.38</v>
      </c>
      <c r="F2543">
        <f>_xlfn.XLOOKUP(A2543,'[1]Global_Spot Prices'!$B:$B,'[1]Global_Spot Prices'!$I:$I)</f>
        <v>77.010000000000005</v>
      </c>
      <c r="G2543" cm="1">
        <f t="array" ref="G2543">_xlfn.XLOOKUP(TEXT(A2543, "mmm-yy"), TEXT([2]RUNS!$B$5:$B$208, "mmm-yy"), [2]RUNS!$D$5:$D$208, "Not Found")</f>
        <v>30123.822819010118</v>
      </c>
      <c r="H2543" cm="1">
        <f t="array" ref="H2543">SUMPRODUCT(
    --(TEXT('[3]Global Weekly Stock (EWSuez'!$B$4:$B$2000,"mmm-yy")=TEXT(A2543,"mmm-yy")),
    '[3]Global Weekly Stock (EWSuez'!$E$4:$E$2000)
/
SUMPRODUCT(
    --(TEXT('[3]Global Weekly Stock (EWSuez'!$B$4:$B$2000,"mmm-yy")=TEXT(A2543,"mmm-yy"))
)</f>
        <v>14740.25</v>
      </c>
      <c r="I2543">
        <f>_xlfn.XLOOKUP(A2543,[1]ForwardDeriv!$D:$D,[1]ForwardDeriv!$AJ:$AJ)</f>
        <v>0.73999999999999488</v>
      </c>
      <c r="J2543" cm="1">
        <f t="array" ref="J2543">_xlfn.XLOOKUP(TEXT(A2543, "mmm-yy"), TEXT([2]GASOLINE!$B$5:$B$208, "mmm-yy"), [2]GASOLINE!$IR$5:$IR$208, "Not Found")</f>
        <v>-420.00326771257141</v>
      </c>
      <c r="K2543" cm="1">
        <f t="array" ref="K2543">_xlfn.XLOOKUP(TEXT(A2543, "mmm-yy"), TEXT([2]GASOLINE!$B$5:$B$208, "mmm-yy"), [2]GASOLINE!$IK$5:$IK$208, "Not Found")</f>
        <v>264.54055159898036</v>
      </c>
      <c r="L2543">
        <f t="shared" si="39"/>
        <v>1</v>
      </c>
      <c r="M2543" cm="1">
        <f t="array" ref="M2543">_xlfn.XLOOKUP(TEXT(A2543, "mmm-yy"), TEXT([2]GASOLINE!$B$5:$B$208, "mmm-yy"), [2]GASOLINE!$C$5:$C$208, "Not Found")</f>
        <v>8014.6437949949095</v>
      </c>
      <c r="N2543" cm="1">
        <f t="array" ref="N2543">_xlfn.XLOOKUP(TEXT(A2543, "mmm-yy"), TEXT([2]RUNS!$B$5:$B$208, "mmm-yy"), [2]RUNS!$BM$5:$BM$208, "Not Found")</f>
        <v>0.81678432848919802</v>
      </c>
    </row>
    <row r="2544" spans="1:14" x14ac:dyDescent="0.25">
      <c r="A2544" s="1">
        <f>'[1]Global_Spot Prices'!$B3853</f>
        <v>45565</v>
      </c>
      <c r="B2544">
        <f>_xlfn.XLOOKUP(A2544,'[1]Global_Spot Prices'!$B:$B,'[1]Global_Spot Prices'!$BS:$BS)</f>
        <v>3.6099999999999994</v>
      </c>
      <c r="C2544">
        <f>_xlfn.XLOOKUP(A2544,'[1]Global_Spot Prices'!$B:$B,'[1]Global_Spot Prices'!$E:$E)</f>
        <v>73.33</v>
      </c>
      <c r="D2544">
        <f>_xlfn.XLOOKUP(A2544,'[1]Global_Spot Prices'!$B:$B,'[1]Global_Spot Prices'!$D:$D)</f>
        <v>72.894999999999996</v>
      </c>
      <c r="E2544">
        <f>_xlfn.XLOOKUP(A2544,'[1]Global_Spot Prices'!$B:$B,'[1]Global_Spot Prices'!$H:$H)</f>
        <v>70.680000000000007</v>
      </c>
      <c r="F2544">
        <f>_xlfn.XLOOKUP(A2544,'[1]Global_Spot Prices'!$B:$B,'[1]Global_Spot Prices'!$I:$I)</f>
        <v>76.94</v>
      </c>
      <c r="G2544" cm="1">
        <f t="array" ref="G2544">_xlfn.XLOOKUP(TEXT(A2544, "mmm-yy"), TEXT([2]RUNS!$B$5:$B$208, "mmm-yy"), [2]RUNS!$D$5:$D$208, "Not Found")</f>
        <v>30123.822819010118</v>
      </c>
      <c r="H2544" cm="1">
        <f t="array" ref="H2544">SUMPRODUCT(
    --(TEXT('[3]Global Weekly Stock (EWSuez'!$B$4:$B$2000,"mmm-yy")=TEXT(A2544,"mmm-yy")),
    '[3]Global Weekly Stock (EWSuez'!$E$4:$E$2000)
/
SUMPRODUCT(
    --(TEXT('[3]Global Weekly Stock (EWSuez'!$B$4:$B$2000,"mmm-yy")=TEXT(A2544,"mmm-yy"))
)</f>
        <v>14740.25</v>
      </c>
      <c r="I2544">
        <f>_xlfn.XLOOKUP(A2544,[1]ForwardDeriv!$D:$D,[1]ForwardDeriv!$AJ:$AJ)</f>
        <v>0.20000000000000284</v>
      </c>
      <c r="J2544" cm="1">
        <f t="array" ref="J2544">_xlfn.XLOOKUP(TEXT(A2544, "mmm-yy"), TEXT([2]GASOLINE!$B$5:$B$208, "mmm-yy"), [2]GASOLINE!$IR$5:$IR$208, "Not Found")</f>
        <v>-420.00326771257141</v>
      </c>
      <c r="K2544" cm="1">
        <f t="array" ref="K2544">_xlfn.XLOOKUP(TEXT(A2544, "mmm-yy"), TEXT([2]GASOLINE!$B$5:$B$208, "mmm-yy"), [2]GASOLINE!$IK$5:$IK$208, "Not Found")</f>
        <v>264.54055159898036</v>
      </c>
      <c r="L2544">
        <f t="shared" si="39"/>
        <v>1</v>
      </c>
      <c r="M2544" cm="1">
        <f t="array" ref="M2544">_xlfn.XLOOKUP(TEXT(A2544, "mmm-yy"), TEXT([2]GASOLINE!$B$5:$B$208, "mmm-yy"), [2]GASOLINE!$C$5:$C$208, "Not Found")</f>
        <v>8014.6437949949095</v>
      </c>
      <c r="N2544" cm="1">
        <f t="array" ref="N2544">_xlfn.XLOOKUP(TEXT(A2544, "mmm-yy"), TEXT([2]RUNS!$B$5:$B$208, "mmm-yy"), [2]RUNS!$BM$5:$BM$208, "Not Found")</f>
        <v>0.81678432848919802</v>
      </c>
    </row>
    <row r="2545" spans="1:14" x14ac:dyDescent="0.25">
      <c r="A2545" s="1">
        <f>'[1]Global_Spot Prices'!$B3854</f>
        <v>45566</v>
      </c>
      <c r="B2545">
        <f>_xlfn.XLOOKUP(A2545,'[1]Global_Spot Prices'!$B:$B,'[1]Global_Spot Prices'!$BS:$BS)</f>
        <v>2.8299999999999983</v>
      </c>
      <c r="C2545">
        <f>_xlfn.XLOOKUP(A2545,'[1]Global_Spot Prices'!$B:$B,'[1]Global_Spot Prices'!$E:$E)</f>
        <v>70.77</v>
      </c>
      <c r="D2545">
        <f>_xlfn.XLOOKUP(A2545,'[1]Global_Spot Prices'!$B:$B,'[1]Global_Spot Prices'!$D:$D)</f>
        <v>75.38</v>
      </c>
      <c r="E2545">
        <f>_xlfn.XLOOKUP(A2545,'[1]Global_Spot Prices'!$B:$B,'[1]Global_Spot Prices'!$H:$H)</f>
        <v>69.209999999999994</v>
      </c>
      <c r="F2545">
        <f>_xlfn.XLOOKUP(A2545,'[1]Global_Spot Prices'!$B:$B,'[1]Global_Spot Prices'!$I:$I)</f>
        <v>73.599999999999994</v>
      </c>
      <c r="G2545" cm="1">
        <f t="array" ref="G2545">_xlfn.XLOOKUP(TEXT(A2545, "mmm-yy"), TEXT([2]RUNS!$B$5:$B$208, "mmm-yy"), [2]RUNS!$D$5:$D$208, "Not Found")</f>
        <v>29587.31017031167</v>
      </c>
      <c r="H2545" cm="1">
        <f t="array" ref="H2545">SUMPRODUCT(
    --(TEXT('[3]Global Weekly Stock (EWSuez'!$B$4:$B$2000,"mmm-yy")=TEXT(A2545,"mmm-yy")),
    '[3]Global Weekly Stock (EWSuez'!$E$4:$E$2000)
/
SUMPRODUCT(
    --(TEXT('[3]Global Weekly Stock (EWSuez'!$B$4:$B$2000,"mmm-yy")=TEXT(A2545,"mmm-yy"))
)</f>
        <v>12718</v>
      </c>
      <c r="I2545">
        <f>_xlfn.XLOOKUP(A2545,[1]ForwardDeriv!$D:$D,[1]ForwardDeriv!$AJ:$AJ)</f>
        <v>-0.20000000000000284</v>
      </c>
      <c r="J2545" cm="1">
        <f t="array" ref="J2545">_xlfn.XLOOKUP(TEXT(A2545, "mmm-yy"), TEXT([2]GASOLINE!$B$5:$B$208, "mmm-yy"), [2]GASOLINE!$IR$5:$IR$208, "Not Found")</f>
        <v>-530.23891656631463</v>
      </c>
      <c r="K2545" cm="1">
        <f t="array" ref="K2545">_xlfn.XLOOKUP(TEXT(A2545, "mmm-yy"), TEXT([2]GASOLINE!$B$5:$B$208, "mmm-yy"), [2]GASOLINE!$IK$5:$IK$208, "Not Found")</f>
        <v>272.1473428770355</v>
      </c>
      <c r="L2545">
        <f t="shared" si="39"/>
        <v>0</v>
      </c>
      <c r="M2545" cm="1">
        <f t="array" ref="M2545">_xlfn.XLOOKUP(TEXT(A2545, "mmm-yy"), TEXT([2]GASOLINE!$B$5:$B$208, "mmm-yy"), [2]GASOLINE!$C$5:$C$208, "Not Found")</f>
        <v>7862.3667960465318</v>
      </c>
      <c r="N2545" cm="1">
        <f t="array" ref="N2545">_xlfn.XLOOKUP(TEXT(A2545, "mmm-yy"), TEXT([2]RUNS!$B$5:$B$208, "mmm-yy"), [2]RUNS!$BM$5:$BM$208, "Not Found")</f>
        <v>0.80420185889205387</v>
      </c>
    </row>
    <row r="2546" spans="1:14" x14ac:dyDescent="0.25">
      <c r="A2546" s="1">
        <f>'[1]Global_Spot Prices'!$B3855</f>
        <v>45567</v>
      </c>
      <c r="B2546">
        <f>_xlfn.XLOOKUP(A2546,'[1]Global_Spot Prices'!$B:$B,'[1]Global_Spot Prices'!$BS:$BS)</f>
        <v>3</v>
      </c>
      <c r="C2546">
        <f>_xlfn.XLOOKUP(A2546,'[1]Global_Spot Prices'!$B:$B,'[1]Global_Spot Prices'!$E:$E)</f>
        <v>75.2</v>
      </c>
      <c r="D2546">
        <f>_xlfn.XLOOKUP(A2546,'[1]Global_Spot Prices'!$B:$B,'[1]Global_Spot Prices'!$D:$D)</f>
        <v>74.775000000000006</v>
      </c>
      <c r="E2546">
        <f>_xlfn.XLOOKUP(A2546,'[1]Global_Spot Prices'!$B:$B,'[1]Global_Spot Prices'!$H:$H)</f>
        <v>72.8</v>
      </c>
      <c r="F2546">
        <f>_xlfn.XLOOKUP(A2546,'[1]Global_Spot Prices'!$B:$B,'[1]Global_Spot Prices'!$I:$I)</f>
        <v>78.2</v>
      </c>
      <c r="G2546" cm="1">
        <f t="array" ref="G2546">_xlfn.XLOOKUP(TEXT(A2546, "mmm-yy"), TEXT([2]RUNS!$B$5:$B$208, "mmm-yy"), [2]RUNS!$D$5:$D$208, "Not Found")</f>
        <v>29587.31017031167</v>
      </c>
      <c r="H2546" cm="1">
        <f t="array" ref="H2546">SUMPRODUCT(
    --(TEXT('[3]Global Weekly Stock (EWSuez'!$B$4:$B$2000,"mmm-yy")=TEXT(A2546,"mmm-yy")),
    '[3]Global Weekly Stock (EWSuez'!$E$4:$E$2000)
/
SUMPRODUCT(
    --(TEXT('[3]Global Weekly Stock (EWSuez'!$B$4:$B$2000,"mmm-yy")=TEXT(A2546,"mmm-yy"))
)</f>
        <v>12718</v>
      </c>
      <c r="I2546">
        <f>_xlfn.XLOOKUP(A2546,[1]ForwardDeriv!$D:$D,[1]ForwardDeriv!$AJ:$AJ)</f>
        <v>-8.0000000000012506E-2</v>
      </c>
      <c r="J2546" cm="1">
        <f t="array" ref="J2546">_xlfn.XLOOKUP(TEXT(A2546, "mmm-yy"), TEXT([2]GASOLINE!$B$5:$B$208, "mmm-yy"), [2]GASOLINE!$IR$5:$IR$208, "Not Found")</f>
        <v>-530.23891656631463</v>
      </c>
      <c r="K2546" cm="1">
        <f t="array" ref="K2546">_xlfn.XLOOKUP(TEXT(A2546, "mmm-yy"), TEXT([2]GASOLINE!$B$5:$B$208, "mmm-yy"), [2]GASOLINE!$IK$5:$IK$208, "Not Found")</f>
        <v>272.1473428770355</v>
      </c>
      <c r="L2546">
        <f t="shared" si="39"/>
        <v>0</v>
      </c>
      <c r="M2546" cm="1">
        <f t="array" ref="M2546">_xlfn.XLOOKUP(TEXT(A2546, "mmm-yy"), TEXT([2]GASOLINE!$B$5:$B$208, "mmm-yy"), [2]GASOLINE!$C$5:$C$208, "Not Found")</f>
        <v>7862.3667960465318</v>
      </c>
      <c r="N2546" cm="1">
        <f t="array" ref="N2546">_xlfn.XLOOKUP(TEXT(A2546, "mmm-yy"), TEXT([2]RUNS!$B$5:$B$208, "mmm-yy"), [2]RUNS!$BM$5:$BM$208, "Not Found")</f>
        <v>0.80420185889205387</v>
      </c>
    </row>
    <row r="2547" spans="1:14" x14ac:dyDescent="0.25">
      <c r="A2547" s="1">
        <f>'[1]Global_Spot Prices'!$B3856</f>
        <v>45568</v>
      </c>
      <c r="B2547">
        <f>_xlfn.XLOOKUP(A2547,'[1]Global_Spot Prices'!$B:$B,'[1]Global_Spot Prices'!$BS:$BS)</f>
        <v>4.4099999999999966</v>
      </c>
      <c r="C2547">
        <f>_xlfn.XLOOKUP(A2547,'[1]Global_Spot Prices'!$B:$B,'[1]Global_Spot Prices'!$E:$E)</f>
        <v>74.44</v>
      </c>
      <c r="D2547">
        <f>_xlfn.XLOOKUP(A2547,'[1]Global_Spot Prices'!$B:$B,'[1]Global_Spot Prices'!$D:$D)</f>
        <v>77.944999999999993</v>
      </c>
      <c r="E2547">
        <f>_xlfn.XLOOKUP(A2547,'[1]Global_Spot Prices'!$B:$B,'[1]Global_Spot Prices'!$H:$H)</f>
        <v>73.2</v>
      </c>
      <c r="F2547">
        <f>_xlfn.XLOOKUP(A2547,'[1]Global_Spot Prices'!$B:$B,'[1]Global_Spot Prices'!$I:$I)</f>
        <v>78.849999999999994</v>
      </c>
      <c r="G2547" cm="1">
        <f t="array" ref="G2547">_xlfn.XLOOKUP(TEXT(A2547, "mmm-yy"), TEXT([2]RUNS!$B$5:$B$208, "mmm-yy"), [2]RUNS!$D$5:$D$208, "Not Found")</f>
        <v>29587.31017031167</v>
      </c>
      <c r="H2547" cm="1">
        <f t="array" ref="H2547">SUMPRODUCT(
    --(TEXT('[3]Global Weekly Stock (EWSuez'!$B$4:$B$2000,"mmm-yy")=TEXT(A2547,"mmm-yy")),
    '[3]Global Weekly Stock (EWSuez'!$E$4:$E$2000)
/
SUMPRODUCT(
    --(TEXT('[3]Global Weekly Stock (EWSuez'!$B$4:$B$2000,"mmm-yy")=TEXT(A2547,"mmm-yy"))
)</f>
        <v>12718</v>
      </c>
      <c r="I2547">
        <f>_xlfn.XLOOKUP(A2547,[1]ForwardDeriv!$D:$D,[1]ForwardDeriv!$AJ:$AJ)</f>
        <v>0.10000000000000853</v>
      </c>
      <c r="J2547" cm="1">
        <f t="array" ref="J2547">_xlfn.XLOOKUP(TEXT(A2547, "mmm-yy"), TEXT([2]GASOLINE!$B$5:$B$208, "mmm-yy"), [2]GASOLINE!$IR$5:$IR$208, "Not Found")</f>
        <v>-530.23891656631463</v>
      </c>
      <c r="K2547" cm="1">
        <f t="array" ref="K2547">_xlfn.XLOOKUP(TEXT(A2547, "mmm-yy"), TEXT([2]GASOLINE!$B$5:$B$208, "mmm-yy"), [2]GASOLINE!$IK$5:$IK$208, "Not Found")</f>
        <v>272.1473428770355</v>
      </c>
      <c r="L2547">
        <f t="shared" si="39"/>
        <v>0</v>
      </c>
      <c r="M2547" cm="1">
        <f t="array" ref="M2547">_xlfn.XLOOKUP(TEXT(A2547, "mmm-yy"), TEXT([2]GASOLINE!$B$5:$B$208, "mmm-yy"), [2]GASOLINE!$C$5:$C$208, "Not Found")</f>
        <v>7862.3667960465318</v>
      </c>
      <c r="N2547" cm="1">
        <f t="array" ref="N2547">_xlfn.XLOOKUP(TEXT(A2547, "mmm-yy"), TEXT([2]RUNS!$B$5:$B$208, "mmm-yy"), [2]RUNS!$BM$5:$BM$208, "Not Found")</f>
        <v>0.80420185889205387</v>
      </c>
    </row>
    <row r="2548" spans="1:14" x14ac:dyDescent="0.25">
      <c r="A2548" s="1">
        <f>'[1]Global_Spot Prices'!$B3857</f>
        <v>45569</v>
      </c>
      <c r="B2548">
        <f>_xlfn.XLOOKUP(A2548,'[1]Global_Spot Prices'!$B:$B,'[1]Global_Spot Prices'!$BS:$BS)</f>
        <v>4.6700000000000017</v>
      </c>
      <c r="C2548">
        <f>_xlfn.XLOOKUP(A2548,'[1]Global_Spot Prices'!$B:$B,'[1]Global_Spot Prices'!$E:$E)</f>
        <v>77.88</v>
      </c>
      <c r="D2548">
        <f>_xlfn.XLOOKUP(A2548,'[1]Global_Spot Prices'!$B:$B,'[1]Global_Spot Prices'!$D:$D)</f>
        <v>79.39</v>
      </c>
      <c r="E2548">
        <f>_xlfn.XLOOKUP(A2548,'[1]Global_Spot Prices'!$B:$B,'[1]Global_Spot Prices'!$H:$H)</f>
        <v>76.33</v>
      </c>
      <c r="F2548">
        <f ca="1">_xlfn.XLOOKUP(A2548,'[1]Global_Spot Prices'!$B:$B,'[1]Global_Spot Prices'!$I:$I)</f>
        <v>82.55</v>
      </c>
      <c r="G2548" cm="1">
        <f t="array" ref="G2548">_xlfn.XLOOKUP(TEXT(A2548, "mmm-yy"), TEXT([2]RUNS!$B$5:$B$208, "mmm-yy"), [2]RUNS!$D$5:$D$208, "Not Found")</f>
        <v>29587.31017031167</v>
      </c>
      <c r="H2548" cm="1">
        <f t="array" ref="H2548">SUMPRODUCT(
    --(TEXT('[3]Global Weekly Stock (EWSuez'!$B$4:$B$2000,"mmm-yy")=TEXT(A2548,"mmm-yy")),
    '[3]Global Weekly Stock (EWSuez'!$E$4:$E$2000)
/
SUMPRODUCT(
    --(TEXT('[3]Global Weekly Stock (EWSuez'!$B$4:$B$2000,"mmm-yy")=TEXT(A2548,"mmm-yy"))
)</f>
        <v>12718</v>
      </c>
      <c r="I2548">
        <f>_xlfn.XLOOKUP(A2548,[1]ForwardDeriv!$D:$D,[1]ForwardDeriv!$AJ:$AJ)</f>
        <v>0.34999999999999432</v>
      </c>
      <c r="J2548" cm="1">
        <f t="array" ref="J2548">_xlfn.XLOOKUP(TEXT(A2548, "mmm-yy"), TEXT([2]GASOLINE!$B$5:$B$208, "mmm-yy"), [2]GASOLINE!$IR$5:$IR$208, "Not Found")</f>
        <v>-530.23891656631463</v>
      </c>
      <c r="K2548" cm="1">
        <f t="array" ref="K2548">_xlfn.XLOOKUP(TEXT(A2548, "mmm-yy"), TEXT([2]GASOLINE!$B$5:$B$208, "mmm-yy"), [2]GASOLINE!$IK$5:$IK$208, "Not Found")</f>
        <v>272.1473428770355</v>
      </c>
      <c r="L2548">
        <f t="shared" si="39"/>
        <v>0</v>
      </c>
      <c r="M2548" cm="1">
        <f t="array" ref="M2548">_xlfn.XLOOKUP(TEXT(A2548, "mmm-yy"), TEXT([2]GASOLINE!$B$5:$B$208, "mmm-yy"), [2]GASOLINE!$C$5:$C$208, "Not Found")</f>
        <v>7862.3667960465318</v>
      </c>
      <c r="N2548" cm="1">
        <f t="array" ref="N2548">_xlfn.XLOOKUP(TEXT(A2548, "mmm-yy"), TEXT([2]RUNS!$B$5:$B$208, "mmm-yy"), [2]RUNS!$BM$5:$BM$208, "Not Found")</f>
        <v>0.80420185889205387</v>
      </c>
    </row>
    <row r="2549" spans="1:14" x14ac:dyDescent="0.25">
      <c r="A2549" s="1">
        <f>'[1]Global_Spot Prices'!$B3858</f>
        <v>45572</v>
      </c>
      <c r="B2549">
        <f>_xlfn.XLOOKUP(A2549,'[1]Global_Spot Prices'!$B:$B,'[1]Global_Spot Prices'!$BS:$BS)</f>
        <v>4.3149999999999977</v>
      </c>
      <c r="C2549">
        <f>_xlfn.XLOOKUP(A2549,'[1]Global_Spot Prices'!$B:$B,'[1]Global_Spot Prices'!$E:$E)</f>
        <v>78.144999999999996</v>
      </c>
      <c r="D2549">
        <f>_xlfn.XLOOKUP(A2549,'[1]Global_Spot Prices'!$B:$B,'[1]Global_Spot Prices'!$D:$D)</f>
        <v>81.2</v>
      </c>
      <c r="E2549">
        <f>_xlfn.XLOOKUP(A2549,'[1]Global_Spot Prices'!$B:$B,'[1]Global_Spot Prices'!$H:$H)</f>
        <v>76.319999999999993</v>
      </c>
      <c r="F2549">
        <f>_xlfn.XLOOKUP(A2549,'[1]Global_Spot Prices'!$B:$B,'[1]Global_Spot Prices'!$I:$I)</f>
        <v>82.46</v>
      </c>
      <c r="G2549" cm="1">
        <f t="array" ref="G2549">_xlfn.XLOOKUP(TEXT(A2549, "mmm-yy"), TEXT([2]RUNS!$B$5:$B$208, "mmm-yy"), [2]RUNS!$D$5:$D$208, "Not Found")</f>
        <v>29587.31017031167</v>
      </c>
      <c r="H2549" cm="1">
        <f t="array" ref="H2549">SUMPRODUCT(
    --(TEXT('[3]Global Weekly Stock (EWSuez'!$B$4:$B$2000,"mmm-yy")=TEXT(A2549,"mmm-yy")),
    '[3]Global Weekly Stock (EWSuez'!$E$4:$E$2000)
/
SUMPRODUCT(
    --(TEXT('[3]Global Weekly Stock (EWSuez'!$B$4:$B$2000,"mmm-yy")=TEXT(A2549,"mmm-yy"))
)</f>
        <v>12718</v>
      </c>
      <c r="I2549">
        <f>_xlfn.XLOOKUP(A2549,[1]ForwardDeriv!$D:$D,[1]ForwardDeriv!$AJ:$AJ)</f>
        <v>0.17999999999999261</v>
      </c>
      <c r="J2549" cm="1">
        <f t="array" ref="J2549">_xlfn.XLOOKUP(TEXT(A2549, "mmm-yy"), TEXT([2]GASOLINE!$B$5:$B$208, "mmm-yy"), [2]GASOLINE!$IR$5:$IR$208, "Not Found")</f>
        <v>-530.23891656631463</v>
      </c>
      <c r="K2549" cm="1">
        <f t="array" ref="K2549">_xlfn.XLOOKUP(TEXT(A2549, "mmm-yy"), TEXT([2]GASOLINE!$B$5:$B$208, "mmm-yy"), [2]GASOLINE!$IK$5:$IK$208, "Not Found")</f>
        <v>272.1473428770355</v>
      </c>
      <c r="L2549">
        <f t="shared" si="39"/>
        <v>0</v>
      </c>
      <c r="M2549" cm="1">
        <f t="array" ref="M2549">_xlfn.XLOOKUP(TEXT(A2549, "mmm-yy"), TEXT([2]GASOLINE!$B$5:$B$208, "mmm-yy"), [2]GASOLINE!$C$5:$C$208, "Not Found")</f>
        <v>7862.3667960465318</v>
      </c>
      <c r="N2549" cm="1">
        <f t="array" ref="N2549">_xlfn.XLOOKUP(TEXT(A2549, "mmm-yy"), TEXT([2]RUNS!$B$5:$B$208, "mmm-yy"), [2]RUNS!$BM$5:$BM$208, "Not Found")</f>
        <v>0.80420185889205387</v>
      </c>
    </row>
    <row r="2550" spans="1:14" x14ac:dyDescent="0.25">
      <c r="A2550" s="1">
        <f>'[1]Global_Spot Prices'!$B3859</f>
        <v>45573</v>
      </c>
      <c r="B2550">
        <f>_xlfn.XLOOKUP(A2550,'[1]Global_Spot Prices'!$B:$B,'[1]Global_Spot Prices'!$BS:$BS)</f>
        <v>4.7600000000000051</v>
      </c>
      <c r="C2550">
        <f>_xlfn.XLOOKUP(A2550,'[1]Global_Spot Prices'!$B:$B,'[1]Global_Spot Prices'!$E:$E)</f>
        <v>78.97</v>
      </c>
      <c r="D2550">
        <f>_xlfn.XLOOKUP(A2550,'[1]Global_Spot Prices'!$B:$B,'[1]Global_Spot Prices'!$D:$D)</f>
        <v>77.844999999999999</v>
      </c>
      <c r="E2550">
        <f>_xlfn.XLOOKUP(A2550,'[1]Global_Spot Prices'!$B:$B,'[1]Global_Spot Prices'!$H:$H)</f>
        <v>75.790000000000006</v>
      </c>
      <c r="F2550">
        <f>_xlfn.XLOOKUP(A2550,'[1]Global_Spot Prices'!$B:$B,'[1]Global_Spot Prices'!$I:$I)</f>
        <v>83.73</v>
      </c>
      <c r="G2550" cm="1">
        <f t="array" ref="G2550">_xlfn.XLOOKUP(TEXT(A2550, "mmm-yy"), TEXT([2]RUNS!$B$5:$B$208, "mmm-yy"), [2]RUNS!$D$5:$D$208, "Not Found")</f>
        <v>29587.31017031167</v>
      </c>
      <c r="H2550" cm="1">
        <f t="array" ref="H2550">SUMPRODUCT(
    --(TEXT('[3]Global Weekly Stock (EWSuez'!$B$4:$B$2000,"mmm-yy")=TEXT(A2550,"mmm-yy")),
    '[3]Global Weekly Stock (EWSuez'!$E$4:$E$2000)
/
SUMPRODUCT(
    --(TEXT('[3]Global Weekly Stock (EWSuez'!$B$4:$B$2000,"mmm-yy")=TEXT(A2550,"mmm-yy"))
)</f>
        <v>12718</v>
      </c>
      <c r="I2550">
        <f>_xlfn.XLOOKUP(A2550,[1]ForwardDeriv!$D:$D,[1]ForwardDeriv!$AJ:$AJ)</f>
        <v>0.25</v>
      </c>
      <c r="J2550" cm="1">
        <f t="array" ref="J2550">_xlfn.XLOOKUP(TEXT(A2550, "mmm-yy"), TEXT([2]GASOLINE!$B$5:$B$208, "mmm-yy"), [2]GASOLINE!$IR$5:$IR$208, "Not Found")</f>
        <v>-530.23891656631463</v>
      </c>
      <c r="K2550" cm="1">
        <f t="array" ref="K2550">_xlfn.XLOOKUP(TEXT(A2550, "mmm-yy"), TEXT([2]GASOLINE!$B$5:$B$208, "mmm-yy"), [2]GASOLINE!$IK$5:$IK$208, "Not Found")</f>
        <v>272.1473428770355</v>
      </c>
      <c r="L2550">
        <f t="shared" si="39"/>
        <v>0</v>
      </c>
      <c r="M2550" cm="1">
        <f t="array" ref="M2550">_xlfn.XLOOKUP(TEXT(A2550, "mmm-yy"), TEXT([2]GASOLINE!$B$5:$B$208, "mmm-yy"), [2]GASOLINE!$C$5:$C$208, "Not Found")</f>
        <v>7862.3667960465318</v>
      </c>
      <c r="N2550" cm="1">
        <f t="array" ref="N2550">_xlfn.XLOOKUP(TEXT(A2550, "mmm-yy"), TEXT([2]RUNS!$B$5:$B$208, "mmm-yy"), [2]RUNS!$BM$5:$BM$208, "Not Found")</f>
        <v>0.80420185889205387</v>
      </c>
    </row>
    <row r="2551" spans="1:14" x14ac:dyDescent="0.25">
      <c r="A2551" s="1">
        <f>'[1]Global_Spot Prices'!$B3860</f>
        <v>45574</v>
      </c>
      <c r="B2551">
        <f>_xlfn.XLOOKUP(A2551,'[1]Global_Spot Prices'!$B:$B,'[1]Global_Spot Prices'!$BS:$BS)</f>
        <v>4.644999999999996</v>
      </c>
      <c r="C2551">
        <f>_xlfn.XLOOKUP(A2551,'[1]Global_Spot Prices'!$B:$B,'[1]Global_Spot Prices'!$E:$E)</f>
        <v>77.435000000000002</v>
      </c>
      <c r="D2551">
        <f>_xlfn.XLOOKUP(A2551,'[1]Global_Spot Prices'!$B:$B,'[1]Global_Spot Prices'!$D:$D)</f>
        <v>77.665000000000006</v>
      </c>
      <c r="E2551">
        <f>_xlfn.XLOOKUP(A2551,'[1]Global_Spot Prices'!$B:$B,'[1]Global_Spot Prices'!$H:$H)</f>
        <v>74.45</v>
      </c>
      <c r="F2551">
        <f>_xlfn.XLOOKUP(A2551,'[1]Global_Spot Prices'!$B:$B,'[1]Global_Spot Prices'!$I:$I)</f>
        <v>82.08</v>
      </c>
      <c r="G2551" cm="1">
        <f t="array" ref="G2551">_xlfn.XLOOKUP(TEXT(A2551, "mmm-yy"), TEXT([2]RUNS!$B$5:$B$208, "mmm-yy"), [2]RUNS!$D$5:$D$208, "Not Found")</f>
        <v>29587.31017031167</v>
      </c>
      <c r="H2551" cm="1">
        <f t="array" ref="H2551">SUMPRODUCT(
    --(TEXT('[3]Global Weekly Stock (EWSuez'!$B$4:$B$2000,"mmm-yy")=TEXT(A2551,"mmm-yy")),
    '[3]Global Weekly Stock (EWSuez'!$E$4:$E$2000)
/
SUMPRODUCT(
    --(TEXT('[3]Global Weekly Stock (EWSuez'!$B$4:$B$2000,"mmm-yy")=TEXT(A2551,"mmm-yy"))
)</f>
        <v>12718</v>
      </c>
      <c r="I2551">
        <f>_xlfn.XLOOKUP(A2551,[1]ForwardDeriv!$D:$D,[1]ForwardDeriv!$AJ:$AJ)</f>
        <v>0.32999999999999829</v>
      </c>
      <c r="J2551" cm="1">
        <f t="array" ref="J2551">_xlfn.XLOOKUP(TEXT(A2551, "mmm-yy"), TEXT([2]GASOLINE!$B$5:$B$208, "mmm-yy"), [2]GASOLINE!$IR$5:$IR$208, "Not Found")</f>
        <v>-530.23891656631463</v>
      </c>
      <c r="K2551" cm="1">
        <f t="array" ref="K2551">_xlfn.XLOOKUP(TEXT(A2551, "mmm-yy"), TEXT([2]GASOLINE!$B$5:$B$208, "mmm-yy"), [2]GASOLINE!$IK$5:$IK$208, "Not Found")</f>
        <v>272.1473428770355</v>
      </c>
      <c r="L2551">
        <f t="shared" si="39"/>
        <v>0</v>
      </c>
      <c r="M2551" cm="1">
        <f t="array" ref="M2551">_xlfn.XLOOKUP(TEXT(A2551, "mmm-yy"), TEXT([2]GASOLINE!$B$5:$B$208, "mmm-yy"), [2]GASOLINE!$C$5:$C$208, "Not Found")</f>
        <v>7862.3667960465318</v>
      </c>
      <c r="N2551" cm="1">
        <f t="array" ref="N2551">_xlfn.XLOOKUP(TEXT(A2551, "mmm-yy"), TEXT([2]RUNS!$B$5:$B$208, "mmm-yy"), [2]RUNS!$BM$5:$BM$208, "Not Found")</f>
        <v>0.80420185889205387</v>
      </c>
    </row>
    <row r="2552" spans="1:14" x14ac:dyDescent="0.25">
      <c r="A2552" s="1">
        <f>'[1]Global_Spot Prices'!$B3861</f>
        <v>45575</v>
      </c>
      <c r="B2552">
        <f>_xlfn.XLOOKUP(A2552,'[1]Global_Spot Prices'!$B:$B,'[1]Global_Spot Prices'!$BS:$BS)</f>
        <v>4.8100000000000023</v>
      </c>
      <c r="C2552">
        <f>_xlfn.XLOOKUP(A2552,'[1]Global_Spot Prices'!$B:$B,'[1]Global_Spot Prices'!$E:$E)</f>
        <v>77.14</v>
      </c>
      <c r="D2552">
        <f ca="1">_xlfn.XLOOKUP(A2552,'[1]Global_Spot Prices'!$B:$B,'[1]Global_Spot Prices'!$D:$D)</f>
        <v>79.334999999999994</v>
      </c>
      <c r="E2552">
        <f ca="1">_xlfn.XLOOKUP(A2552,'[1]Global_Spot Prices'!$B:$B,'[1]Global_Spot Prices'!$H:$H)</f>
        <v>74.66</v>
      </c>
      <c r="F2552">
        <f>_xlfn.XLOOKUP(A2552,'[1]Global_Spot Prices'!$B:$B,'[1]Global_Spot Prices'!$I:$I)</f>
        <v>81.95</v>
      </c>
      <c r="G2552" cm="1">
        <f t="array" ref="G2552">_xlfn.XLOOKUP(TEXT(A2552, "mmm-yy"), TEXT([2]RUNS!$B$5:$B$208, "mmm-yy"), [2]RUNS!$D$5:$D$208, "Not Found")</f>
        <v>29587.31017031167</v>
      </c>
      <c r="H2552" cm="1">
        <f t="array" ref="H2552">SUMPRODUCT(
    --(TEXT('[3]Global Weekly Stock (EWSuez'!$B$4:$B$2000,"mmm-yy")=TEXT(A2552,"mmm-yy")),
    '[3]Global Weekly Stock (EWSuez'!$E$4:$E$2000)
/
SUMPRODUCT(
    --(TEXT('[3]Global Weekly Stock (EWSuez'!$B$4:$B$2000,"mmm-yy")=TEXT(A2552,"mmm-yy"))
)</f>
        <v>12718</v>
      </c>
      <c r="I2552">
        <f>_xlfn.XLOOKUP(A2552,[1]ForwardDeriv!$D:$D,[1]ForwardDeriv!$AJ:$AJ)</f>
        <v>0.45000000000000284</v>
      </c>
      <c r="J2552" cm="1">
        <f t="array" ref="J2552">_xlfn.XLOOKUP(TEXT(A2552, "mmm-yy"), TEXT([2]GASOLINE!$B$5:$B$208, "mmm-yy"), [2]GASOLINE!$IR$5:$IR$208, "Not Found")</f>
        <v>-530.23891656631463</v>
      </c>
      <c r="K2552" cm="1">
        <f t="array" ref="K2552">_xlfn.XLOOKUP(TEXT(A2552, "mmm-yy"), TEXT([2]GASOLINE!$B$5:$B$208, "mmm-yy"), [2]GASOLINE!$IK$5:$IK$208, "Not Found")</f>
        <v>272.1473428770355</v>
      </c>
      <c r="L2552">
        <f t="shared" si="39"/>
        <v>0</v>
      </c>
      <c r="M2552" cm="1">
        <f t="array" ref="M2552">_xlfn.XLOOKUP(TEXT(A2552, "mmm-yy"), TEXT([2]GASOLINE!$B$5:$B$208, "mmm-yy"), [2]GASOLINE!$C$5:$C$208, "Not Found")</f>
        <v>7862.3667960465318</v>
      </c>
      <c r="N2552" cm="1">
        <f t="array" ref="N2552">_xlfn.XLOOKUP(TEXT(A2552, "mmm-yy"), TEXT([2]RUNS!$B$5:$B$208, "mmm-yy"), [2]RUNS!$BM$5:$BM$208, "Not Found")</f>
        <v>0.80420185889205387</v>
      </c>
    </row>
    <row r="2553" spans="1:14" x14ac:dyDescent="0.25">
      <c r="A2553" s="1">
        <f>'[1]Global_Spot Prices'!$B3862</f>
        <v>45576</v>
      </c>
      <c r="B2553">
        <f>_xlfn.XLOOKUP(A2553,'[1]Global_Spot Prices'!$B:$B,'[1]Global_Spot Prices'!$BS:$BS)</f>
        <v>4.8699999999999903</v>
      </c>
      <c r="C2553">
        <f>_xlfn.XLOOKUP(A2553,'[1]Global_Spot Prices'!$B:$B,'[1]Global_Spot Prices'!$E:$E)</f>
        <v>78.59</v>
      </c>
      <c r="D2553">
        <f>_xlfn.XLOOKUP(A2553,'[1]Global_Spot Prices'!$B:$B,'[1]Global_Spot Prices'!$D:$D)</f>
        <v>80.144999999999996</v>
      </c>
      <c r="E2553">
        <f>_xlfn.XLOOKUP(A2553,'[1]Global_Spot Prices'!$B:$B,'[1]Global_Spot Prices'!$H:$H)</f>
        <v>75.66</v>
      </c>
      <c r="F2553">
        <f>_xlfn.XLOOKUP(A2553,'[1]Global_Spot Prices'!$B:$B,'[1]Global_Spot Prices'!$I:$I)</f>
        <v>83.46</v>
      </c>
      <c r="G2553" cm="1">
        <f t="array" ref="G2553">_xlfn.XLOOKUP(TEXT(A2553, "mmm-yy"), TEXT([2]RUNS!$B$5:$B$208, "mmm-yy"), [2]RUNS!$D$5:$D$208, "Not Found")</f>
        <v>29587.31017031167</v>
      </c>
      <c r="H2553" cm="1">
        <f t="array" ref="H2553">SUMPRODUCT(
    --(TEXT('[3]Global Weekly Stock (EWSuez'!$B$4:$B$2000,"mmm-yy")=TEXT(A2553,"mmm-yy")),
    '[3]Global Weekly Stock (EWSuez'!$E$4:$E$2000)
/
SUMPRODUCT(
    --(TEXT('[3]Global Weekly Stock (EWSuez'!$B$4:$B$2000,"mmm-yy")=TEXT(A2553,"mmm-yy"))
)</f>
        <v>12718</v>
      </c>
      <c r="I2553">
        <f>_xlfn.XLOOKUP(A2553,[1]ForwardDeriv!$D:$D,[1]ForwardDeriv!$AJ:$AJ)</f>
        <v>0.42000000000000171</v>
      </c>
      <c r="J2553" cm="1">
        <f t="array" ref="J2553">_xlfn.XLOOKUP(TEXT(A2553, "mmm-yy"), TEXT([2]GASOLINE!$B$5:$B$208, "mmm-yy"), [2]GASOLINE!$IR$5:$IR$208, "Not Found")</f>
        <v>-530.23891656631463</v>
      </c>
      <c r="K2553" cm="1">
        <f t="array" ref="K2553">_xlfn.XLOOKUP(TEXT(A2553, "mmm-yy"), TEXT([2]GASOLINE!$B$5:$B$208, "mmm-yy"), [2]GASOLINE!$IK$5:$IK$208, "Not Found")</f>
        <v>272.1473428770355</v>
      </c>
      <c r="L2553">
        <f t="shared" si="39"/>
        <v>0</v>
      </c>
      <c r="M2553" cm="1">
        <f t="array" ref="M2553">_xlfn.XLOOKUP(TEXT(A2553, "mmm-yy"), TEXT([2]GASOLINE!$B$5:$B$208, "mmm-yy"), [2]GASOLINE!$C$5:$C$208, "Not Found")</f>
        <v>7862.3667960465318</v>
      </c>
      <c r="N2553" cm="1">
        <f t="array" ref="N2553">_xlfn.XLOOKUP(TEXT(A2553, "mmm-yy"), TEXT([2]RUNS!$B$5:$B$208, "mmm-yy"), [2]RUNS!$BM$5:$BM$208, "Not Found")</f>
        <v>0.80420185889205387</v>
      </c>
    </row>
    <row r="2554" spans="1:14" x14ac:dyDescent="0.25">
      <c r="A2554" s="1">
        <f>'[1]Global_Spot Prices'!$B3863</f>
        <v>45579</v>
      </c>
      <c r="B2554">
        <f>_xlfn.XLOOKUP(A2554,'[1]Global_Spot Prices'!$B:$B,'[1]Global_Spot Prices'!$BS:$BS)</f>
        <v>5.1099999999999994</v>
      </c>
      <c r="C2554">
        <f>_xlfn.XLOOKUP(A2554,'[1]Global_Spot Prices'!$B:$B,'[1]Global_Spot Prices'!$E:$E)</f>
        <v>77.64</v>
      </c>
      <c r="D2554">
        <f>_xlfn.XLOOKUP(A2554,'[1]Global_Spot Prices'!$B:$B,'[1]Global_Spot Prices'!$D:$D)</f>
        <v>77.81</v>
      </c>
      <c r="E2554">
        <f>_xlfn.XLOOKUP(A2554,'[1]Global_Spot Prices'!$B:$B,'[1]Global_Spot Prices'!$H:$H)</f>
        <v>75.319999999999993</v>
      </c>
      <c r="F2554">
        <f>_xlfn.XLOOKUP(A2554,'[1]Global_Spot Prices'!$B:$B,'[1]Global_Spot Prices'!$I:$I)</f>
        <v>82.75</v>
      </c>
      <c r="G2554" cm="1">
        <f t="array" ref="G2554">_xlfn.XLOOKUP(TEXT(A2554, "mmm-yy"), TEXT([2]RUNS!$B$5:$B$208, "mmm-yy"), [2]RUNS!$D$5:$D$208, "Not Found")</f>
        <v>29587.31017031167</v>
      </c>
      <c r="H2554" cm="1">
        <f t="array" ref="H2554">SUMPRODUCT(
    --(TEXT('[3]Global Weekly Stock (EWSuez'!$B$4:$B$2000,"mmm-yy")=TEXT(A2554,"mmm-yy")),
    '[3]Global Weekly Stock (EWSuez'!$E$4:$E$2000)
/
SUMPRODUCT(
    --(TEXT('[3]Global Weekly Stock (EWSuez'!$B$4:$B$2000,"mmm-yy")=TEXT(A2554,"mmm-yy"))
)</f>
        <v>12718</v>
      </c>
      <c r="I2554">
        <f>_xlfn.XLOOKUP(A2554,[1]ForwardDeriv!$D:$D,[1]ForwardDeriv!$AJ:$AJ)</f>
        <v>0.32999999999999829</v>
      </c>
      <c r="J2554" cm="1">
        <f t="array" ref="J2554">_xlfn.XLOOKUP(TEXT(A2554, "mmm-yy"), TEXT([2]GASOLINE!$B$5:$B$208, "mmm-yy"), [2]GASOLINE!$IR$5:$IR$208, "Not Found")</f>
        <v>-530.23891656631463</v>
      </c>
      <c r="K2554" cm="1">
        <f t="array" ref="K2554">_xlfn.XLOOKUP(TEXT(A2554, "mmm-yy"), TEXT([2]GASOLINE!$B$5:$B$208, "mmm-yy"), [2]GASOLINE!$IK$5:$IK$208, "Not Found")</f>
        <v>272.1473428770355</v>
      </c>
      <c r="L2554">
        <f t="shared" si="39"/>
        <v>0</v>
      </c>
      <c r="M2554" cm="1">
        <f t="array" ref="M2554">_xlfn.XLOOKUP(TEXT(A2554, "mmm-yy"), TEXT([2]GASOLINE!$B$5:$B$208, "mmm-yy"), [2]GASOLINE!$C$5:$C$208, "Not Found")</f>
        <v>7862.3667960465318</v>
      </c>
      <c r="N2554" cm="1">
        <f t="array" ref="N2554">_xlfn.XLOOKUP(TEXT(A2554, "mmm-yy"), TEXT([2]RUNS!$B$5:$B$208, "mmm-yy"), [2]RUNS!$BM$5:$BM$208, "Not Found")</f>
        <v>0.80420185889205387</v>
      </c>
    </row>
    <row r="2555" spans="1:14" x14ac:dyDescent="0.25">
      <c r="A2555" s="1">
        <f>'[1]Global_Spot Prices'!$B3864</f>
        <v>45580</v>
      </c>
      <c r="B2555">
        <f ca="1">_xlfn.XLOOKUP(A2555,'[1]Global_Spot Prices'!$B:$B,'[1]Global_Spot Prices'!$BS:$BS)</f>
        <v>4.0999999999999943</v>
      </c>
      <c r="C2555">
        <f>_xlfn.XLOOKUP(A2555,'[1]Global_Spot Prices'!$B:$B,'[1]Global_Spot Prices'!$E:$E)</f>
        <v>74.290000000000006</v>
      </c>
      <c r="D2555">
        <f>_xlfn.XLOOKUP(A2555,'[1]Global_Spot Prices'!$B:$B,'[1]Global_Spot Prices'!$D:$D)</f>
        <v>73.525000000000006</v>
      </c>
      <c r="E2555">
        <f>_xlfn.XLOOKUP(A2555,'[1]Global_Spot Prices'!$B:$B,'[1]Global_Spot Prices'!$H:$H)</f>
        <v>72.25</v>
      </c>
      <c r="F2555">
        <f>_xlfn.XLOOKUP(A2555,'[1]Global_Spot Prices'!$B:$B,'[1]Global_Spot Prices'!$I:$I)</f>
        <v>78.39</v>
      </c>
      <c r="G2555" cm="1">
        <f t="array" ref="G2555">_xlfn.XLOOKUP(TEXT(A2555, "mmm-yy"), TEXT([2]RUNS!$B$5:$B$208, "mmm-yy"), [2]RUNS!$D$5:$D$208, "Not Found")</f>
        <v>29587.31017031167</v>
      </c>
      <c r="H2555" cm="1">
        <f t="array" ref="H2555">SUMPRODUCT(
    --(TEXT('[3]Global Weekly Stock (EWSuez'!$B$4:$B$2000,"mmm-yy")=TEXT(A2555,"mmm-yy")),
    '[3]Global Weekly Stock (EWSuez'!$E$4:$E$2000)
/
SUMPRODUCT(
    --(TEXT('[3]Global Weekly Stock (EWSuez'!$B$4:$B$2000,"mmm-yy")=TEXT(A2555,"mmm-yy"))
)</f>
        <v>12718</v>
      </c>
      <c r="I2555">
        <f>_xlfn.XLOOKUP(A2555,[1]ForwardDeriv!$D:$D,[1]ForwardDeriv!$AJ:$AJ)</f>
        <v>-5.0000000000011369E-2</v>
      </c>
      <c r="J2555" cm="1">
        <f t="array" ref="J2555">_xlfn.XLOOKUP(TEXT(A2555, "mmm-yy"), TEXT([2]GASOLINE!$B$5:$B$208, "mmm-yy"), [2]GASOLINE!$IR$5:$IR$208, "Not Found")</f>
        <v>-530.23891656631463</v>
      </c>
      <c r="K2555" cm="1">
        <f t="array" ref="K2555">_xlfn.XLOOKUP(TEXT(A2555, "mmm-yy"), TEXT([2]GASOLINE!$B$5:$B$208, "mmm-yy"), [2]GASOLINE!$IK$5:$IK$208, "Not Found")</f>
        <v>272.1473428770355</v>
      </c>
      <c r="L2555">
        <f t="shared" si="39"/>
        <v>0</v>
      </c>
      <c r="M2555" cm="1">
        <f t="array" ref="M2555">_xlfn.XLOOKUP(TEXT(A2555, "mmm-yy"), TEXT([2]GASOLINE!$B$5:$B$208, "mmm-yy"), [2]GASOLINE!$C$5:$C$208, "Not Found")</f>
        <v>7862.3667960465318</v>
      </c>
      <c r="N2555" cm="1">
        <f t="array" ref="N2555">_xlfn.XLOOKUP(TEXT(A2555, "mmm-yy"), TEXT([2]RUNS!$B$5:$B$208, "mmm-yy"), [2]RUNS!$BM$5:$BM$208, "Not Found")</f>
        <v>0.80420185889205387</v>
      </c>
    </row>
    <row r="2556" spans="1:14" x14ac:dyDescent="0.25">
      <c r="A2556" s="1">
        <f>'[1]Global_Spot Prices'!$B3865</f>
        <v>45581</v>
      </c>
      <c r="B2556">
        <f>_xlfn.XLOOKUP(A2556,'[1]Global_Spot Prices'!$B:$B,'[1]Global_Spot Prices'!$BS:$BS)</f>
        <v>4.4699999999999989</v>
      </c>
      <c r="C2556">
        <f>_xlfn.XLOOKUP(A2556,'[1]Global_Spot Prices'!$B:$B,'[1]Global_Spot Prices'!$E:$E)</f>
        <v>73.989999999999995</v>
      </c>
      <c r="D2556">
        <f>_xlfn.XLOOKUP(A2556,'[1]Global_Spot Prices'!$B:$B,'[1]Global_Spot Prices'!$D:$D)</f>
        <v>73.94</v>
      </c>
      <c r="E2556">
        <f>_xlfn.XLOOKUP(A2556,'[1]Global_Spot Prices'!$B:$B,'[1]Global_Spot Prices'!$H:$H)</f>
        <v>71.86</v>
      </c>
      <c r="F2556">
        <f>_xlfn.XLOOKUP(A2556,'[1]Global_Spot Prices'!$B:$B,'[1]Global_Spot Prices'!$I:$I)</f>
        <v>78.459999999999994</v>
      </c>
      <c r="G2556" cm="1">
        <f t="array" ref="G2556">_xlfn.XLOOKUP(TEXT(A2556, "mmm-yy"), TEXT([2]RUNS!$B$5:$B$208, "mmm-yy"), [2]RUNS!$D$5:$D$208, "Not Found")</f>
        <v>29587.31017031167</v>
      </c>
      <c r="H2556" cm="1">
        <f t="array" ref="H2556">SUMPRODUCT(
    --(TEXT('[3]Global Weekly Stock (EWSuez'!$B$4:$B$2000,"mmm-yy")=TEXT(A2556,"mmm-yy")),
    '[3]Global Weekly Stock (EWSuez'!$E$4:$E$2000)
/
SUMPRODUCT(
    --(TEXT('[3]Global Weekly Stock (EWSuez'!$B$4:$B$2000,"mmm-yy")=TEXT(A2556,"mmm-yy"))
)</f>
        <v>12718</v>
      </c>
      <c r="I2556">
        <f>_xlfn.XLOOKUP(A2556,[1]ForwardDeriv!$D:$D,[1]ForwardDeriv!$AJ:$AJ)</f>
        <v>0</v>
      </c>
      <c r="J2556" cm="1">
        <f t="array" ref="J2556">_xlfn.XLOOKUP(TEXT(A2556, "mmm-yy"), TEXT([2]GASOLINE!$B$5:$B$208, "mmm-yy"), [2]GASOLINE!$IR$5:$IR$208, "Not Found")</f>
        <v>-530.23891656631463</v>
      </c>
      <c r="K2556" cm="1">
        <f t="array" ref="K2556">_xlfn.XLOOKUP(TEXT(A2556, "mmm-yy"), TEXT([2]GASOLINE!$B$5:$B$208, "mmm-yy"), [2]GASOLINE!$IK$5:$IK$208, "Not Found")</f>
        <v>272.1473428770355</v>
      </c>
      <c r="L2556">
        <f t="shared" si="39"/>
        <v>0</v>
      </c>
      <c r="M2556" cm="1">
        <f t="array" ref="M2556">_xlfn.XLOOKUP(TEXT(A2556, "mmm-yy"), TEXT([2]GASOLINE!$B$5:$B$208, "mmm-yy"), [2]GASOLINE!$C$5:$C$208, "Not Found")</f>
        <v>7862.3667960465318</v>
      </c>
      <c r="N2556" cm="1">
        <f t="array" ref="N2556">_xlfn.XLOOKUP(TEXT(A2556, "mmm-yy"), TEXT([2]RUNS!$B$5:$B$208, "mmm-yy"), [2]RUNS!$BM$5:$BM$208, "Not Found")</f>
        <v>0.80420185889205387</v>
      </c>
    </row>
    <row r="2557" spans="1:14" x14ac:dyDescent="0.25">
      <c r="A2557" s="1">
        <f>'[1]Global_Spot Prices'!$B3866</f>
        <v>45582</v>
      </c>
      <c r="B2557">
        <f>_xlfn.XLOOKUP(A2557,'[1]Global_Spot Prices'!$B:$B,'[1]Global_Spot Prices'!$BS:$BS)</f>
        <v>5.4200000000000017</v>
      </c>
      <c r="C2557">
        <f>_xlfn.XLOOKUP(A2557,'[1]Global_Spot Prices'!$B:$B,'[1]Global_Spot Prices'!$E:$E)</f>
        <v>74.069999999999993</v>
      </c>
      <c r="D2557">
        <f>_xlfn.XLOOKUP(A2557,'[1]Global_Spot Prices'!$B:$B,'[1]Global_Spot Prices'!$D:$D)</f>
        <v>74.075000000000003</v>
      </c>
      <c r="E2557">
        <f>_xlfn.XLOOKUP(A2557,'[1]Global_Spot Prices'!$B:$B,'[1]Global_Spot Prices'!$H:$H)</f>
        <v>71.92</v>
      </c>
      <c r="F2557">
        <f>_xlfn.XLOOKUP(A2557,'[1]Global_Spot Prices'!$B:$B,'[1]Global_Spot Prices'!$I:$I)</f>
        <v>79.489999999999995</v>
      </c>
      <c r="G2557" cm="1">
        <f t="array" ref="G2557">_xlfn.XLOOKUP(TEXT(A2557, "mmm-yy"), TEXT([2]RUNS!$B$5:$B$208, "mmm-yy"), [2]RUNS!$D$5:$D$208, "Not Found")</f>
        <v>29587.31017031167</v>
      </c>
      <c r="H2557" cm="1">
        <f t="array" ref="H2557">SUMPRODUCT(
    --(TEXT('[3]Global Weekly Stock (EWSuez'!$B$4:$B$2000,"mmm-yy")=TEXT(A2557,"mmm-yy")),
    '[3]Global Weekly Stock (EWSuez'!$E$4:$E$2000)
/
SUMPRODUCT(
    --(TEXT('[3]Global Weekly Stock (EWSuez'!$B$4:$B$2000,"mmm-yy")=TEXT(A2557,"mmm-yy"))
)</f>
        <v>12718</v>
      </c>
      <c r="I2557">
        <f>_xlfn.XLOOKUP(A2557,[1]ForwardDeriv!$D:$D,[1]ForwardDeriv!$AJ:$AJ)</f>
        <v>0.15000000000000568</v>
      </c>
      <c r="J2557" cm="1">
        <f t="array" ref="J2557">_xlfn.XLOOKUP(TEXT(A2557, "mmm-yy"), TEXT([2]GASOLINE!$B$5:$B$208, "mmm-yy"), [2]GASOLINE!$IR$5:$IR$208, "Not Found")</f>
        <v>-530.23891656631463</v>
      </c>
      <c r="K2557" cm="1">
        <f t="array" ref="K2557">_xlfn.XLOOKUP(TEXT(A2557, "mmm-yy"), TEXT([2]GASOLINE!$B$5:$B$208, "mmm-yy"), [2]GASOLINE!$IK$5:$IK$208, "Not Found")</f>
        <v>272.1473428770355</v>
      </c>
      <c r="L2557">
        <f t="shared" si="39"/>
        <v>0</v>
      </c>
      <c r="M2557" cm="1">
        <f t="array" ref="M2557">_xlfn.XLOOKUP(TEXT(A2557, "mmm-yy"), TEXT([2]GASOLINE!$B$5:$B$208, "mmm-yy"), [2]GASOLINE!$C$5:$C$208, "Not Found")</f>
        <v>7862.3667960465318</v>
      </c>
      <c r="N2557" cm="1">
        <f t="array" ref="N2557">_xlfn.XLOOKUP(TEXT(A2557, "mmm-yy"), TEXT([2]RUNS!$B$5:$B$208, "mmm-yy"), [2]RUNS!$BM$5:$BM$208, "Not Found")</f>
        <v>0.80420185889205387</v>
      </c>
    </row>
    <row r="2558" spans="1:14" x14ac:dyDescent="0.25">
      <c r="A2558" s="1">
        <f>'[1]Global_Spot Prices'!$B3867</f>
        <v>45583</v>
      </c>
      <c r="B2558">
        <f>_xlfn.XLOOKUP(A2558,'[1]Global_Spot Prices'!$B:$B,'[1]Global_Spot Prices'!$BS:$BS)</f>
        <v>6.7900000000000063</v>
      </c>
      <c r="C2558">
        <f>_xlfn.XLOOKUP(A2558,'[1]Global_Spot Prices'!$B:$B,'[1]Global_Spot Prices'!$E:$E)</f>
        <v>74.19</v>
      </c>
      <c r="D2558">
        <f>_xlfn.XLOOKUP(A2558,'[1]Global_Spot Prices'!$B:$B,'[1]Global_Spot Prices'!$D:$D)</f>
        <v>72.55</v>
      </c>
      <c r="E2558">
        <f>_xlfn.XLOOKUP(A2558,'[1]Global_Spot Prices'!$B:$B,'[1]Global_Spot Prices'!$H:$H)</f>
        <v>71.47</v>
      </c>
      <c r="F2558">
        <f>_xlfn.XLOOKUP(A2558,'[1]Global_Spot Prices'!$B:$B,'[1]Global_Spot Prices'!$I:$I)</f>
        <v>80.98</v>
      </c>
      <c r="G2558" cm="1">
        <f t="array" ref="G2558">_xlfn.XLOOKUP(TEXT(A2558, "mmm-yy"), TEXT([2]RUNS!$B$5:$B$208, "mmm-yy"), [2]RUNS!$D$5:$D$208, "Not Found")</f>
        <v>29587.31017031167</v>
      </c>
      <c r="H2558" cm="1">
        <f t="array" ref="H2558">SUMPRODUCT(
    --(TEXT('[3]Global Weekly Stock (EWSuez'!$B$4:$B$2000,"mmm-yy")=TEXT(A2558,"mmm-yy")),
    '[3]Global Weekly Stock (EWSuez'!$E$4:$E$2000)
/
SUMPRODUCT(
    --(TEXT('[3]Global Weekly Stock (EWSuez'!$B$4:$B$2000,"mmm-yy")=TEXT(A2558,"mmm-yy"))
)</f>
        <v>12718</v>
      </c>
      <c r="I2558">
        <f>_xlfn.XLOOKUP(A2558,[1]ForwardDeriv!$D:$D,[1]ForwardDeriv!$AJ:$AJ)</f>
        <v>0.28000000000000114</v>
      </c>
      <c r="J2558" cm="1">
        <f t="array" ref="J2558">_xlfn.XLOOKUP(TEXT(A2558, "mmm-yy"), TEXT([2]GASOLINE!$B$5:$B$208, "mmm-yy"), [2]GASOLINE!$IR$5:$IR$208, "Not Found")</f>
        <v>-530.23891656631463</v>
      </c>
      <c r="K2558" cm="1">
        <f t="array" ref="K2558">_xlfn.XLOOKUP(TEXT(A2558, "mmm-yy"), TEXT([2]GASOLINE!$B$5:$B$208, "mmm-yy"), [2]GASOLINE!$IK$5:$IK$208, "Not Found")</f>
        <v>272.1473428770355</v>
      </c>
      <c r="L2558">
        <f t="shared" si="39"/>
        <v>0</v>
      </c>
      <c r="M2558" cm="1">
        <f t="array" ref="M2558">_xlfn.XLOOKUP(TEXT(A2558, "mmm-yy"), TEXT([2]GASOLINE!$B$5:$B$208, "mmm-yy"), [2]GASOLINE!$C$5:$C$208, "Not Found")</f>
        <v>7862.3667960465318</v>
      </c>
      <c r="N2558" cm="1">
        <f t="array" ref="N2558">_xlfn.XLOOKUP(TEXT(A2558, "mmm-yy"), TEXT([2]RUNS!$B$5:$B$208, "mmm-yy"), [2]RUNS!$BM$5:$BM$208, "Not Found")</f>
        <v>0.80420185889205387</v>
      </c>
    </row>
    <row r="2559" spans="1:14" x14ac:dyDescent="0.25">
      <c r="A2559" s="1">
        <f>'[1]Global_Spot Prices'!$B3868</f>
        <v>45586</v>
      </c>
      <c r="B2559">
        <f>_xlfn.XLOOKUP(A2559,'[1]Global_Spot Prices'!$B:$B,'[1]Global_Spot Prices'!$BS:$BS)</f>
        <v>5.769999999999996</v>
      </c>
      <c r="C2559">
        <f>_xlfn.XLOOKUP(A2559,'[1]Global_Spot Prices'!$B:$B,'[1]Global_Spot Prices'!$E:$E)</f>
        <v>73.540000000000006</v>
      </c>
      <c r="D2559">
        <f>_xlfn.XLOOKUP(A2559,'[1]Global_Spot Prices'!$B:$B,'[1]Global_Spot Prices'!$D:$D)</f>
        <v>73.569999999999993</v>
      </c>
      <c r="E2559">
        <f>_xlfn.XLOOKUP(A2559,'[1]Global_Spot Prices'!$B:$B,'[1]Global_Spot Prices'!$H:$H)</f>
        <v>71.13</v>
      </c>
      <c r="F2559">
        <f>_xlfn.XLOOKUP(A2559,'[1]Global_Spot Prices'!$B:$B,'[1]Global_Spot Prices'!$I:$I)</f>
        <v>79.31</v>
      </c>
      <c r="G2559" cm="1">
        <f t="array" ref="G2559">_xlfn.XLOOKUP(TEXT(A2559, "mmm-yy"), TEXT([2]RUNS!$B$5:$B$208, "mmm-yy"), [2]RUNS!$D$5:$D$208, "Not Found")</f>
        <v>29587.31017031167</v>
      </c>
      <c r="H2559" cm="1">
        <f t="array" ref="H2559">SUMPRODUCT(
    --(TEXT('[3]Global Weekly Stock (EWSuez'!$B$4:$B$2000,"mmm-yy")=TEXT(A2559,"mmm-yy")),
    '[3]Global Weekly Stock (EWSuez'!$E$4:$E$2000)
/
SUMPRODUCT(
    --(TEXT('[3]Global Weekly Stock (EWSuez'!$B$4:$B$2000,"mmm-yy")=TEXT(A2559,"mmm-yy"))
)</f>
        <v>12718</v>
      </c>
      <c r="I2559">
        <f>_xlfn.XLOOKUP(A2559,[1]ForwardDeriv!$D:$D,[1]ForwardDeriv!$AJ:$AJ)</f>
        <v>0.35999999999999943</v>
      </c>
      <c r="J2559" cm="1">
        <f t="array" ref="J2559">_xlfn.XLOOKUP(TEXT(A2559, "mmm-yy"), TEXT([2]GASOLINE!$B$5:$B$208, "mmm-yy"), [2]GASOLINE!$IR$5:$IR$208, "Not Found")</f>
        <v>-530.23891656631463</v>
      </c>
      <c r="K2559" cm="1">
        <f t="array" ref="K2559">_xlfn.XLOOKUP(TEXT(A2559, "mmm-yy"), TEXT([2]GASOLINE!$B$5:$B$208, "mmm-yy"), [2]GASOLINE!$IK$5:$IK$208, "Not Found")</f>
        <v>272.1473428770355</v>
      </c>
      <c r="L2559">
        <f t="shared" si="39"/>
        <v>0</v>
      </c>
      <c r="M2559" cm="1">
        <f t="array" ref="M2559">_xlfn.XLOOKUP(TEXT(A2559, "mmm-yy"), TEXT([2]GASOLINE!$B$5:$B$208, "mmm-yy"), [2]GASOLINE!$C$5:$C$208, "Not Found")</f>
        <v>7862.3667960465318</v>
      </c>
      <c r="N2559" cm="1">
        <f t="array" ref="N2559">_xlfn.XLOOKUP(TEXT(A2559, "mmm-yy"), TEXT([2]RUNS!$B$5:$B$208, "mmm-yy"), [2]RUNS!$BM$5:$BM$208, "Not Found")</f>
        <v>0.80420185889205387</v>
      </c>
    </row>
    <row r="2560" spans="1:14" x14ac:dyDescent="0.25">
      <c r="A2560" s="1">
        <f>'[1]Global_Spot Prices'!$B3869</f>
        <v>45587</v>
      </c>
      <c r="B2560">
        <f>_xlfn.XLOOKUP(A2560,'[1]Global_Spot Prices'!$B:$B,'[1]Global_Spot Prices'!$BS:$BS)</f>
        <v>5.5100000000000051</v>
      </c>
      <c r="C2560">
        <f>_xlfn.XLOOKUP(A2560,'[1]Global_Spot Prices'!$B:$B,'[1]Global_Spot Prices'!$E:$E)</f>
        <v>73.55</v>
      </c>
      <c r="D2560">
        <f>_xlfn.XLOOKUP(A2560,'[1]Global_Spot Prices'!$B:$B,'[1]Global_Spot Prices'!$D:$D)</f>
        <v>75.77</v>
      </c>
      <c r="E2560">
        <f>_xlfn.XLOOKUP(A2560,'[1]Global_Spot Prices'!$B:$B,'[1]Global_Spot Prices'!$H:$H)</f>
        <v>71.05</v>
      </c>
      <c r="F2560">
        <f ca="1">_xlfn.XLOOKUP(A2560,'[1]Global_Spot Prices'!$B:$B,'[1]Global_Spot Prices'!$I:$I)</f>
        <v>79.06</v>
      </c>
      <c r="G2560" cm="1">
        <f t="array" ref="G2560">_xlfn.XLOOKUP(TEXT(A2560, "mmm-yy"), TEXT([2]RUNS!$B$5:$B$208, "mmm-yy"), [2]RUNS!$D$5:$D$208, "Not Found")</f>
        <v>29587.31017031167</v>
      </c>
      <c r="H2560" cm="1">
        <f t="array" ref="H2560">SUMPRODUCT(
    --(TEXT('[3]Global Weekly Stock (EWSuez'!$B$4:$B$2000,"mmm-yy")=TEXT(A2560,"mmm-yy")),
    '[3]Global Weekly Stock (EWSuez'!$E$4:$E$2000)
/
SUMPRODUCT(
    --(TEXT('[3]Global Weekly Stock (EWSuez'!$B$4:$B$2000,"mmm-yy")=TEXT(A2560,"mmm-yy"))
)</f>
        <v>12718</v>
      </c>
      <c r="I2560">
        <f>_xlfn.XLOOKUP(A2560,[1]ForwardDeriv!$D:$D,[1]ForwardDeriv!$AJ:$AJ)</f>
        <v>0.13999999999998636</v>
      </c>
      <c r="J2560" cm="1">
        <f t="array" ref="J2560">_xlfn.XLOOKUP(TEXT(A2560, "mmm-yy"), TEXT([2]GASOLINE!$B$5:$B$208, "mmm-yy"), [2]GASOLINE!$IR$5:$IR$208, "Not Found")</f>
        <v>-530.23891656631463</v>
      </c>
      <c r="K2560" cm="1">
        <f t="array" ref="K2560">_xlfn.XLOOKUP(TEXT(A2560, "mmm-yy"), TEXT([2]GASOLINE!$B$5:$B$208, "mmm-yy"), [2]GASOLINE!$IK$5:$IK$208, "Not Found")</f>
        <v>272.1473428770355</v>
      </c>
      <c r="L2560">
        <f t="shared" si="39"/>
        <v>0</v>
      </c>
      <c r="M2560" cm="1">
        <f t="array" ref="M2560">_xlfn.XLOOKUP(TEXT(A2560, "mmm-yy"), TEXT([2]GASOLINE!$B$5:$B$208, "mmm-yy"), [2]GASOLINE!$C$5:$C$208, "Not Found")</f>
        <v>7862.3667960465318</v>
      </c>
      <c r="N2560" cm="1">
        <f t="array" ref="N2560">_xlfn.XLOOKUP(TEXT(A2560, "mmm-yy"), TEXT([2]RUNS!$B$5:$B$208, "mmm-yy"), [2]RUNS!$BM$5:$BM$208, "Not Found")</f>
        <v>0.80420185889205387</v>
      </c>
    </row>
    <row r="2561" spans="1:14" x14ac:dyDescent="0.25">
      <c r="A2561" s="1">
        <f>'[1]Global_Spot Prices'!$B3870</f>
        <v>45588</v>
      </c>
      <c r="B2561">
        <f>_xlfn.XLOOKUP(A2561,'[1]Global_Spot Prices'!$B:$B,'[1]Global_Spot Prices'!$BS:$BS)</f>
        <v>4.6899999999999977</v>
      </c>
      <c r="C2561">
        <f>_xlfn.XLOOKUP(A2561,'[1]Global_Spot Prices'!$B:$B,'[1]Global_Spot Prices'!$E:$E)</f>
        <v>75.06</v>
      </c>
      <c r="D2561">
        <f>_xlfn.XLOOKUP(A2561,'[1]Global_Spot Prices'!$B:$B,'[1]Global_Spot Prices'!$D:$D)</f>
        <v>74.739999999999995</v>
      </c>
      <c r="E2561">
        <f>_xlfn.XLOOKUP(A2561,'[1]Global_Spot Prices'!$B:$B,'[1]Global_Spot Prices'!$H:$H)</f>
        <v>72.8</v>
      </c>
      <c r="F2561">
        <f>_xlfn.XLOOKUP(A2561,'[1]Global_Spot Prices'!$B:$B,'[1]Global_Spot Prices'!$I:$I)</f>
        <v>79.75</v>
      </c>
      <c r="G2561" cm="1">
        <f t="array" ref="G2561">_xlfn.XLOOKUP(TEXT(A2561, "mmm-yy"), TEXT([2]RUNS!$B$5:$B$208, "mmm-yy"), [2]RUNS!$D$5:$D$208, "Not Found")</f>
        <v>29587.31017031167</v>
      </c>
      <c r="H2561" cm="1">
        <f t="array" ref="H2561">SUMPRODUCT(
    --(TEXT('[3]Global Weekly Stock (EWSuez'!$B$4:$B$2000,"mmm-yy")=TEXT(A2561,"mmm-yy")),
    '[3]Global Weekly Stock (EWSuez'!$E$4:$E$2000)
/
SUMPRODUCT(
    --(TEXT('[3]Global Weekly Stock (EWSuez'!$B$4:$B$2000,"mmm-yy")=TEXT(A2561,"mmm-yy"))
)</f>
        <v>12718</v>
      </c>
      <c r="I2561">
        <f>_xlfn.XLOOKUP(A2561,[1]ForwardDeriv!$D:$D,[1]ForwardDeriv!$AJ:$AJ)</f>
        <v>-0.14000000000000057</v>
      </c>
      <c r="J2561" cm="1">
        <f t="array" ref="J2561">_xlfn.XLOOKUP(TEXT(A2561, "mmm-yy"), TEXT([2]GASOLINE!$B$5:$B$208, "mmm-yy"), [2]GASOLINE!$IR$5:$IR$208, "Not Found")</f>
        <v>-530.23891656631463</v>
      </c>
      <c r="K2561" cm="1">
        <f t="array" ref="K2561">_xlfn.XLOOKUP(TEXT(A2561, "mmm-yy"), TEXT([2]GASOLINE!$B$5:$B$208, "mmm-yy"), [2]GASOLINE!$IK$5:$IK$208, "Not Found")</f>
        <v>272.1473428770355</v>
      </c>
      <c r="L2561">
        <f t="shared" si="39"/>
        <v>0</v>
      </c>
      <c r="M2561" cm="1">
        <f t="array" ref="M2561">_xlfn.XLOOKUP(TEXT(A2561, "mmm-yy"), TEXT([2]GASOLINE!$B$5:$B$208, "mmm-yy"), [2]GASOLINE!$C$5:$C$208, "Not Found")</f>
        <v>7862.3667960465318</v>
      </c>
      <c r="N2561" cm="1">
        <f t="array" ref="N2561">_xlfn.XLOOKUP(TEXT(A2561, "mmm-yy"), TEXT([2]RUNS!$B$5:$B$208, "mmm-yy"), [2]RUNS!$BM$5:$BM$208, "Not Found")</f>
        <v>0.80420185889205387</v>
      </c>
    </row>
    <row r="2562" spans="1:14" x14ac:dyDescent="0.25">
      <c r="A2562" s="1">
        <f>'[1]Global_Spot Prices'!$B3871</f>
        <v>45589</v>
      </c>
      <c r="B2562">
        <f>_xlfn.XLOOKUP(A2562,'[1]Global_Spot Prices'!$B:$B,'[1]Global_Spot Prices'!$BS:$BS)</f>
        <v>4.5799999999999983</v>
      </c>
      <c r="C2562">
        <f>_xlfn.XLOOKUP(A2562,'[1]Global_Spot Prices'!$B:$B,'[1]Global_Spot Prices'!$E:$E)</f>
        <v>75.400000000000006</v>
      </c>
      <c r="D2562">
        <f>_xlfn.XLOOKUP(A2562,'[1]Global_Spot Prices'!$B:$B,'[1]Global_Spot Prices'!$D:$D)</f>
        <v>74.515000000000001</v>
      </c>
      <c r="E2562">
        <f>_xlfn.XLOOKUP(A2562,'[1]Global_Spot Prices'!$B:$B,'[1]Global_Spot Prices'!$H:$H)</f>
        <v>73.69</v>
      </c>
      <c r="F2562">
        <f>_xlfn.XLOOKUP(A2562,'[1]Global_Spot Prices'!$B:$B,'[1]Global_Spot Prices'!$I:$I)</f>
        <v>79.98</v>
      </c>
      <c r="G2562" cm="1">
        <f t="array" ref="G2562">_xlfn.XLOOKUP(TEXT(A2562, "mmm-yy"), TEXT([2]RUNS!$B$5:$B$208, "mmm-yy"), [2]RUNS!$D$5:$D$208, "Not Found")</f>
        <v>29587.31017031167</v>
      </c>
      <c r="H2562" cm="1">
        <f t="array" ref="H2562">SUMPRODUCT(
    --(TEXT('[3]Global Weekly Stock (EWSuez'!$B$4:$B$2000,"mmm-yy")=TEXT(A2562,"mmm-yy")),
    '[3]Global Weekly Stock (EWSuez'!$E$4:$E$2000)
/
SUMPRODUCT(
    --(TEXT('[3]Global Weekly Stock (EWSuez'!$B$4:$B$2000,"mmm-yy")=TEXT(A2562,"mmm-yy"))
)</f>
        <v>12718</v>
      </c>
      <c r="I2562">
        <f>_xlfn.XLOOKUP(A2562,[1]ForwardDeriv!$D:$D,[1]ForwardDeriv!$AJ:$AJ)</f>
        <v>-0.15999999999999659</v>
      </c>
      <c r="J2562" cm="1">
        <f t="array" ref="J2562">_xlfn.XLOOKUP(TEXT(A2562, "mmm-yy"), TEXT([2]GASOLINE!$B$5:$B$208, "mmm-yy"), [2]GASOLINE!$IR$5:$IR$208, "Not Found")</f>
        <v>-530.23891656631463</v>
      </c>
      <c r="K2562" cm="1">
        <f t="array" ref="K2562">_xlfn.XLOOKUP(TEXT(A2562, "mmm-yy"), TEXT([2]GASOLINE!$B$5:$B$208, "mmm-yy"), [2]GASOLINE!$IK$5:$IK$208, "Not Found")</f>
        <v>272.1473428770355</v>
      </c>
      <c r="L2562">
        <f t="shared" si="39"/>
        <v>0</v>
      </c>
      <c r="M2562" cm="1">
        <f t="array" ref="M2562">_xlfn.XLOOKUP(TEXT(A2562, "mmm-yy"), TEXT([2]GASOLINE!$B$5:$B$208, "mmm-yy"), [2]GASOLINE!$C$5:$C$208, "Not Found")</f>
        <v>7862.3667960465318</v>
      </c>
      <c r="N2562" cm="1">
        <f t="array" ref="N2562">_xlfn.XLOOKUP(TEXT(A2562, "mmm-yy"), TEXT([2]RUNS!$B$5:$B$208, "mmm-yy"), [2]RUNS!$BM$5:$BM$208, "Not Found")</f>
        <v>0.80420185889205387</v>
      </c>
    </row>
    <row r="2563" spans="1:14" x14ac:dyDescent="0.25">
      <c r="A2563" s="1">
        <f>'[1]Global_Spot Prices'!$B3872</f>
        <v>45590</v>
      </c>
      <c r="B2563">
        <f>_xlfn.XLOOKUP(A2563,'[1]Global_Spot Prices'!$B:$B,'[1]Global_Spot Prices'!$BS:$BS)</f>
        <v>5.3500000000000085</v>
      </c>
      <c r="C2563">
        <f>_xlfn.XLOOKUP(A2563,'[1]Global_Spot Prices'!$B:$B,'[1]Global_Spot Prices'!$E:$E)</f>
        <v>73.55</v>
      </c>
      <c r="D2563">
        <f>_xlfn.XLOOKUP(A2563,'[1]Global_Spot Prices'!$B:$B,'[1]Global_Spot Prices'!$D:$D)</f>
        <v>75.834999999999994</v>
      </c>
      <c r="E2563">
        <f>_xlfn.XLOOKUP(A2563,'[1]Global_Spot Prices'!$B:$B,'[1]Global_Spot Prices'!$H:$H)</f>
        <v>72.489999999999995</v>
      </c>
      <c r="F2563">
        <f>_xlfn.XLOOKUP(A2563,'[1]Global_Spot Prices'!$B:$B,'[1]Global_Spot Prices'!$I:$I)</f>
        <v>78.900000000000006</v>
      </c>
      <c r="G2563" cm="1">
        <f t="array" ref="G2563">_xlfn.XLOOKUP(TEXT(A2563, "mmm-yy"), TEXT([2]RUNS!$B$5:$B$208, "mmm-yy"), [2]RUNS!$D$5:$D$208, "Not Found")</f>
        <v>29587.31017031167</v>
      </c>
      <c r="H2563" cm="1">
        <f t="array" ref="H2563">SUMPRODUCT(
    --(TEXT('[3]Global Weekly Stock (EWSuez'!$B$4:$B$2000,"mmm-yy")=TEXT(A2563,"mmm-yy")),
    '[3]Global Weekly Stock (EWSuez'!$E$4:$E$2000)
/
SUMPRODUCT(
    --(TEXT('[3]Global Weekly Stock (EWSuez'!$B$4:$B$2000,"mmm-yy")=TEXT(A2563,"mmm-yy"))
)</f>
        <v>12718</v>
      </c>
      <c r="I2563">
        <f>_xlfn.XLOOKUP(A2563,[1]ForwardDeriv!$D:$D,[1]ForwardDeriv!$AJ:$AJ)</f>
        <v>-0.15999999999999659</v>
      </c>
      <c r="J2563" cm="1">
        <f t="array" ref="J2563">_xlfn.XLOOKUP(TEXT(A2563, "mmm-yy"), TEXT([2]GASOLINE!$B$5:$B$208, "mmm-yy"), [2]GASOLINE!$IR$5:$IR$208, "Not Found")</f>
        <v>-530.23891656631463</v>
      </c>
      <c r="K2563" cm="1">
        <f t="array" ref="K2563">_xlfn.XLOOKUP(TEXT(A2563, "mmm-yy"), TEXT([2]GASOLINE!$B$5:$B$208, "mmm-yy"), [2]GASOLINE!$IK$5:$IK$208, "Not Found")</f>
        <v>272.1473428770355</v>
      </c>
      <c r="L2563">
        <f t="shared" ref="L2563:L2626" si="40">IF(OR(MONTH(A2563)=6, MONTH(A2563)=7, MONTH(A2563)=8, MONTH(A2563)=9), 1, 0)</f>
        <v>0</v>
      </c>
      <c r="M2563" cm="1">
        <f t="array" ref="M2563">_xlfn.XLOOKUP(TEXT(A2563, "mmm-yy"), TEXT([2]GASOLINE!$B$5:$B$208, "mmm-yy"), [2]GASOLINE!$C$5:$C$208, "Not Found")</f>
        <v>7862.3667960465318</v>
      </c>
      <c r="N2563" cm="1">
        <f t="array" ref="N2563">_xlfn.XLOOKUP(TEXT(A2563, "mmm-yy"), TEXT([2]RUNS!$B$5:$B$208, "mmm-yy"), [2]RUNS!$BM$5:$BM$208, "Not Found")</f>
        <v>0.80420185889205387</v>
      </c>
    </row>
    <row r="2564" spans="1:14" x14ac:dyDescent="0.25">
      <c r="A2564" s="1">
        <f>'[1]Global_Spot Prices'!$B3873</f>
        <v>45593</v>
      </c>
      <c r="B2564">
        <f ca="1">_xlfn.XLOOKUP(A2564,'[1]Global_Spot Prices'!$B:$B,'[1]Global_Spot Prices'!$BS:$BS)</f>
        <v>4.9599999999999937</v>
      </c>
      <c r="C2564">
        <f>_xlfn.XLOOKUP(A2564,'[1]Global_Spot Prices'!$B:$B,'[1]Global_Spot Prices'!$E:$E)</f>
        <v>72</v>
      </c>
      <c r="D2564">
        <f>_xlfn.XLOOKUP(A2564,'[1]Global_Spot Prices'!$B:$B,'[1]Global_Spot Prices'!$D:$D)</f>
        <v>72.2</v>
      </c>
      <c r="E2564">
        <f>_xlfn.XLOOKUP(A2564,'[1]Global_Spot Prices'!$B:$B,'[1]Global_Spot Prices'!$H:$H)</f>
        <v>70.81</v>
      </c>
      <c r="F2564">
        <f>_xlfn.XLOOKUP(A2564,'[1]Global_Spot Prices'!$B:$B,'[1]Global_Spot Prices'!$I:$I)</f>
        <v>76.959999999999994</v>
      </c>
      <c r="G2564" cm="1">
        <f t="array" ref="G2564">_xlfn.XLOOKUP(TEXT(A2564, "mmm-yy"), TEXT([2]RUNS!$B$5:$B$208, "mmm-yy"), [2]RUNS!$D$5:$D$208, "Not Found")</f>
        <v>29587.31017031167</v>
      </c>
      <c r="H2564" cm="1">
        <f t="array" ref="H2564">SUMPRODUCT(
    --(TEXT('[3]Global Weekly Stock (EWSuez'!$B$4:$B$2000,"mmm-yy")=TEXT(A2564,"mmm-yy")),
    '[3]Global Weekly Stock (EWSuez'!$E$4:$E$2000)
/
SUMPRODUCT(
    --(TEXT('[3]Global Weekly Stock (EWSuez'!$B$4:$B$2000,"mmm-yy")=TEXT(A2564,"mmm-yy"))
)</f>
        <v>12718</v>
      </c>
      <c r="I2564">
        <f>_xlfn.XLOOKUP(A2564,[1]ForwardDeriv!$D:$D,[1]ForwardDeriv!$AJ:$AJ)</f>
        <v>-0.35999999999999943</v>
      </c>
      <c r="J2564" cm="1">
        <f t="array" ref="J2564">_xlfn.XLOOKUP(TEXT(A2564, "mmm-yy"), TEXT([2]GASOLINE!$B$5:$B$208, "mmm-yy"), [2]GASOLINE!$IR$5:$IR$208, "Not Found")</f>
        <v>-530.23891656631463</v>
      </c>
      <c r="K2564" cm="1">
        <f t="array" ref="K2564">_xlfn.XLOOKUP(TEXT(A2564, "mmm-yy"), TEXT([2]GASOLINE!$B$5:$B$208, "mmm-yy"), [2]GASOLINE!$IK$5:$IK$208, "Not Found")</f>
        <v>272.1473428770355</v>
      </c>
      <c r="L2564">
        <f t="shared" si="40"/>
        <v>0</v>
      </c>
      <c r="M2564" cm="1">
        <f t="array" ref="M2564">_xlfn.XLOOKUP(TEXT(A2564, "mmm-yy"), TEXT([2]GASOLINE!$B$5:$B$208, "mmm-yy"), [2]GASOLINE!$C$5:$C$208, "Not Found")</f>
        <v>7862.3667960465318</v>
      </c>
      <c r="N2564" cm="1">
        <f t="array" ref="N2564">_xlfn.XLOOKUP(TEXT(A2564, "mmm-yy"), TEXT([2]RUNS!$B$5:$B$208, "mmm-yy"), [2]RUNS!$BM$5:$BM$208, "Not Found")</f>
        <v>0.80420185889205387</v>
      </c>
    </row>
    <row r="2565" spans="1:14" x14ac:dyDescent="0.25">
      <c r="A2565" s="1">
        <f>'[1]Global_Spot Prices'!$B3874</f>
        <v>45594</v>
      </c>
      <c r="B2565">
        <f>_xlfn.XLOOKUP(A2565,'[1]Global_Spot Prices'!$B:$B,'[1]Global_Spot Prices'!$BS:$BS)</f>
        <v>5.6100000000000136</v>
      </c>
      <c r="C2565">
        <f>_xlfn.XLOOKUP(A2565,'[1]Global_Spot Prices'!$B:$B,'[1]Global_Spot Prices'!$E:$E)</f>
        <v>70.819999999999993</v>
      </c>
      <c r="D2565">
        <f>_xlfn.XLOOKUP(A2565,'[1]Global_Spot Prices'!$B:$B,'[1]Global_Spot Prices'!$D:$D)</f>
        <v>71.400000000000006</v>
      </c>
      <c r="E2565">
        <f>_xlfn.XLOOKUP(A2565,'[1]Global_Spot Prices'!$B:$B,'[1]Global_Spot Prices'!$H:$H)</f>
        <v>70.61</v>
      </c>
      <c r="F2565">
        <f>_xlfn.XLOOKUP(A2565,'[1]Global_Spot Prices'!$B:$B,'[1]Global_Spot Prices'!$I:$I)</f>
        <v>76.430000000000007</v>
      </c>
      <c r="G2565" cm="1">
        <f t="array" ref="G2565">_xlfn.XLOOKUP(TEXT(A2565, "mmm-yy"), TEXT([2]RUNS!$B$5:$B$208, "mmm-yy"), [2]RUNS!$D$5:$D$208, "Not Found")</f>
        <v>29587.31017031167</v>
      </c>
      <c r="H2565" cm="1">
        <f t="array" ref="H2565">SUMPRODUCT(
    --(TEXT('[3]Global Weekly Stock (EWSuez'!$B$4:$B$2000,"mmm-yy")=TEXT(A2565,"mmm-yy")),
    '[3]Global Weekly Stock (EWSuez'!$E$4:$E$2000)
/
SUMPRODUCT(
    --(TEXT('[3]Global Weekly Stock (EWSuez'!$B$4:$B$2000,"mmm-yy")=TEXT(A2565,"mmm-yy"))
)</f>
        <v>12718</v>
      </c>
      <c r="I2565">
        <f>_xlfn.XLOOKUP(A2565,[1]ForwardDeriv!$D:$D,[1]ForwardDeriv!$AJ:$AJ)</f>
        <v>-0.23999999999999488</v>
      </c>
      <c r="J2565" cm="1">
        <f t="array" ref="J2565">_xlfn.XLOOKUP(TEXT(A2565, "mmm-yy"), TEXT([2]GASOLINE!$B$5:$B$208, "mmm-yy"), [2]GASOLINE!$IR$5:$IR$208, "Not Found")</f>
        <v>-530.23891656631463</v>
      </c>
      <c r="K2565" cm="1">
        <f t="array" ref="K2565">_xlfn.XLOOKUP(TEXT(A2565, "mmm-yy"), TEXT([2]GASOLINE!$B$5:$B$208, "mmm-yy"), [2]GASOLINE!$IK$5:$IK$208, "Not Found")</f>
        <v>272.1473428770355</v>
      </c>
      <c r="L2565">
        <f t="shared" si="40"/>
        <v>0</v>
      </c>
      <c r="M2565" cm="1">
        <f t="array" ref="M2565">_xlfn.XLOOKUP(TEXT(A2565, "mmm-yy"), TEXT([2]GASOLINE!$B$5:$B$208, "mmm-yy"), [2]GASOLINE!$C$5:$C$208, "Not Found")</f>
        <v>7862.3667960465318</v>
      </c>
      <c r="N2565" cm="1">
        <f t="array" ref="N2565">_xlfn.XLOOKUP(TEXT(A2565, "mmm-yy"), TEXT([2]RUNS!$B$5:$B$208, "mmm-yy"), [2]RUNS!$BM$5:$BM$208, "Not Found")</f>
        <v>0.80420185889205387</v>
      </c>
    </row>
    <row r="2566" spans="1:14" x14ac:dyDescent="0.25">
      <c r="A2566" s="1">
        <f>'[1]Global_Spot Prices'!$B3875</f>
        <v>45595</v>
      </c>
      <c r="B2566">
        <f>_xlfn.XLOOKUP(A2566,'[1]Global_Spot Prices'!$B:$B,'[1]Global_Spot Prices'!$BS:$BS)</f>
        <v>5.25</v>
      </c>
      <c r="C2566">
        <f>_xlfn.XLOOKUP(A2566,'[1]Global_Spot Prices'!$B:$B,'[1]Global_Spot Prices'!$E:$E)</f>
        <v>72.010000000000005</v>
      </c>
      <c r="D2566">
        <f>_xlfn.XLOOKUP(A2566,'[1]Global_Spot Prices'!$B:$B,'[1]Global_Spot Prices'!$D:$D)</f>
        <v>73.185000000000002</v>
      </c>
      <c r="E2566">
        <f>_xlfn.XLOOKUP(A2566,'[1]Global_Spot Prices'!$B:$B,'[1]Global_Spot Prices'!$H:$H)</f>
        <v>71.05</v>
      </c>
      <c r="F2566">
        <f>_xlfn.XLOOKUP(A2566,'[1]Global_Spot Prices'!$B:$B,'[1]Global_Spot Prices'!$I:$I)</f>
        <v>77.260000000000005</v>
      </c>
      <c r="G2566" cm="1">
        <f t="array" ref="G2566">_xlfn.XLOOKUP(TEXT(A2566, "mmm-yy"), TEXT([2]RUNS!$B$5:$B$208, "mmm-yy"), [2]RUNS!$D$5:$D$208, "Not Found")</f>
        <v>29587.31017031167</v>
      </c>
      <c r="H2566" cm="1">
        <f t="array" ref="H2566">SUMPRODUCT(
    --(TEXT('[3]Global Weekly Stock (EWSuez'!$B$4:$B$2000,"mmm-yy")=TEXT(A2566,"mmm-yy")),
    '[3]Global Weekly Stock (EWSuez'!$E$4:$E$2000)
/
SUMPRODUCT(
    --(TEXT('[3]Global Weekly Stock (EWSuez'!$B$4:$B$2000,"mmm-yy")=TEXT(A2566,"mmm-yy"))
)</f>
        <v>12718</v>
      </c>
      <c r="I2566">
        <f>_xlfn.XLOOKUP(A2566,[1]ForwardDeriv!$D:$D,[1]ForwardDeriv!$AJ:$AJ)</f>
        <v>-0.15999999999999659</v>
      </c>
      <c r="J2566" cm="1">
        <f t="array" ref="J2566">_xlfn.XLOOKUP(TEXT(A2566, "mmm-yy"), TEXT([2]GASOLINE!$B$5:$B$208, "mmm-yy"), [2]GASOLINE!$IR$5:$IR$208, "Not Found")</f>
        <v>-530.23891656631463</v>
      </c>
      <c r="K2566" cm="1">
        <f t="array" ref="K2566">_xlfn.XLOOKUP(TEXT(A2566, "mmm-yy"), TEXT([2]GASOLINE!$B$5:$B$208, "mmm-yy"), [2]GASOLINE!$IK$5:$IK$208, "Not Found")</f>
        <v>272.1473428770355</v>
      </c>
      <c r="L2566">
        <f t="shared" si="40"/>
        <v>0</v>
      </c>
      <c r="M2566" cm="1">
        <f t="array" ref="M2566">_xlfn.XLOOKUP(TEXT(A2566, "mmm-yy"), TEXT([2]GASOLINE!$B$5:$B$208, "mmm-yy"), [2]GASOLINE!$C$5:$C$208, "Not Found")</f>
        <v>7862.3667960465318</v>
      </c>
      <c r="N2566" cm="1">
        <f t="array" ref="N2566">_xlfn.XLOOKUP(TEXT(A2566, "mmm-yy"), TEXT([2]RUNS!$B$5:$B$208, "mmm-yy"), [2]RUNS!$BM$5:$BM$208, "Not Found")</f>
        <v>0.80420185889205387</v>
      </c>
    </row>
    <row r="2567" spans="1:14" x14ac:dyDescent="0.25">
      <c r="A2567" s="1">
        <f>'[1]Global_Spot Prices'!$B3876</f>
        <v>45596</v>
      </c>
      <c r="B2567" t="e">
        <f>_xlfn.XLOOKUP(A2567,'[1]Global_Spot Prices'!$B:$B,'[1]Global_Spot Prices'!$BS:$BS)</f>
        <v>#N/A</v>
      </c>
      <c r="C2567" t="str">
        <f>_xlfn.XLOOKUP(A2567,'[1]Global_Spot Prices'!$B:$B,'[1]Global_Spot Prices'!$E:$E)</f>
        <v/>
      </c>
      <c r="D2567">
        <f>_xlfn.XLOOKUP(A2567,'[1]Global_Spot Prices'!$B:$B,'[1]Global_Spot Prices'!$D:$D)</f>
        <v>73.355000000000004</v>
      </c>
      <c r="E2567">
        <f>_xlfn.XLOOKUP(A2567,'[1]Global_Spot Prices'!$B:$B,'[1]Global_Spot Prices'!$H:$H)</f>
        <v>0</v>
      </c>
      <c r="F2567">
        <f>_xlfn.XLOOKUP(A2567,'[1]Global_Spot Prices'!$B:$B,'[1]Global_Spot Prices'!$I:$I)</f>
        <v>0</v>
      </c>
      <c r="G2567" cm="1">
        <f t="array" ref="G2567">_xlfn.XLOOKUP(TEXT(A2567, "mmm-yy"), TEXT([2]RUNS!$B$5:$B$208, "mmm-yy"), [2]RUNS!$D$5:$D$208, "Not Found")</f>
        <v>29587.31017031167</v>
      </c>
      <c r="H2567" cm="1">
        <f t="array" ref="H2567">SUMPRODUCT(
    --(TEXT('[3]Global Weekly Stock (EWSuez'!$B$4:$B$2000,"mmm-yy")=TEXT(A2567,"mmm-yy")),
    '[3]Global Weekly Stock (EWSuez'!$E$4:$E$2000)
/
SUMPRODUCT(
    --(TEXT('[3]Global Weekly Stock (EWSuez'!$B$4:$B$2000,"mmm-yy")=TEXT(A2567,"mmm-yy"))
)</f>
        <v>12718</v>
      </c>
      <c r="I2567">
        <f>_xlfn.XLOOKUP(A2567,[1]ForwardDeriv!$D:$D,[1]ForwardDeriv!$AJ:$AJ)</f>
        <v>-9.9999999999994316E-2</v>
      </c>
      <c r="J2567" cm="1">
        <f t="array" ref="J2567">_xlfn.XLOOKUP(TEXT(A2567, "mmm-yy"), TEXT([2]GASOLINE!$B$5:$B$208, "mmm-yy"), [2]GASOLINE!$IR$5:$IR$208, "Not Found")</f>
        <v>-530.23891656631463</v>
      </c>
      <c r="K2567" cm="1">
        <f t="array" ref="K2567">_xlfn.XLOOKUP(TEXT(A2567, "mmm-yy"), TEXT([2]GASOLINE!$B$5:$B$208, "mmm-yy"), [2]GASOLINE!$IK$5:$IK$208, "Not Found")</f>
        <v>272.1473428770355</v>
      </c>
      <c r="L2567">
        <f t="shared" si="40"/>
        <v>0</v>
      </c>
      <c r="M2567" cm="1">
        <f t="array" ref="M2567">_xlfn.XLOOKUP(TEXT(A2567, "mmm-yy"), TEXT([2]GASOLINE!$B$5:$B$208, "mmm-yy"), [2]GASOLINE!$C$5:$C$208, "Not Found")</f>
        <v>7862.3667960465318</v>
      </c>
      <c r="N2567" cm="1">
        <f t="array" ref="N2567">_xlfn.XLOOKUP(TEXT(A2567, "mmm-yy"), TEXT([2]RUNS!$B$5:$B$208, "mmm-yy"), [2]RUNS!$BM$5:$BM$208, "Not Found")</f>
        <v>0.80420185889205387</v>
      </c>
    </row>
    <row r="2568" spans="1:14" x14ac:dyDescent="0.25">
      <c r="A2568" s="1">
        <f>'[1]Global_Spot Prices'!$B3877</f>
        <v>45597</v>
      </c>
      <c r="B2568">
        <f>_xlfn.XLOOKUP(A2568,'[1]Global_Spot Prices'!$B:$B,'[1]Global_Spot Prices'!$BS:$BS)</f>
        <v>5.789999999999992</v>
      </c>
      <c r="C2568">
        <f>_xlfn.XLOOKUP(A2568,'[1]Global_Spot Prices'!$B:$B,'[1]Global_Spot Prices'!$E:$E)</f>
        <v>73.59</v>
      </c>
      <c r="D2568">
        <f>_xlfn.XLOOKUP(A2568,'[1]Global_Spot Prices'!$B:$B,'[1]Global_Spot Prices'!$D:$D)</f>
        <v>74.165000000000006</v>
      </c>
      <c r="E2568">
        <f>_xlfn.XLOOKUP(A2568,'[1]Global_Spot Prices'!$B:$B,'[1]Global_Spot Prices'!$H:$H)</f>
        <v>73.36</v>
      </c>
      <c r="F2568">
        <f>_xlfn.XLOOKUP(A2568,'[1]Global_Spot Prices'!$B:$B,'[1]Global_Spot Prices'!$I:$I)</f>
        <v>79.38</v>
      </c>
      <c r="G2568" cm="1">
        <f t="array" ref="G2568">_xlfn.XLOOKUP(TEXT(A2568, "mmm-yy"), TEXT([2]RUNS!$B$5:$B$208, "mmm-yy"), [2]RUNS!$D$5:$D$208, "Not Found")</f>
        <v>30440.265877433398</v>
      </c>
      <c r="H2568" cm="1">
        <f t="array" ref="H2568">SUMPRODUCT(
    --(TEXT('[3]Global Weekly Stock (EWSuez'!$B$4:$B$2000,"mmm-yy")=TEXT(A2568,"mmm-yy")),
    '[3]Global Weekly Stock (EWSuez'!$E$4:$E$2000)
/
SUMPRODUCT(
    --(TEXT('[3]Global Weekly Stock (EWSuez'!$B$4:$B$2000,"mmm-yy")=TEXT(A2568,"mmm-yy"))
)</f>
        <v>14117</v>
      </c>
      <c r="I2568">
        <f>_xlfn.XLOOKUP(A2568,[1]ForwardDeriv!$D:$D,[1]ForwardDeriv!$AJ:$AJ)</f>
        <v>-9.9999999999994316E-2</v>
      </c>
      <c r="J2568" cm="1">
        <f t="array" ref="J2568">_xlfn.XLOOKUP(TEXT(A2568, "mmm-yy"), TEXT([2]GASOLINE!$B$5:$B$208, "mmm-yy"), [2]GASOLINE!$IR$5:$IR$208, "Not Found")</f>
        <v>-284.5426200904393</v>
      </c>
      <c r="K2568" cm="1">
        <f t="array" ref="K2568">_xlfn.XLOOKUP(TEXT(A2568, "mmm-yy"), TEXT([2]GASOLINE!$B$5:$B$208, "mmm-yy"), [2]GASOLINE!$IK$5:$IK$208, "Not Found")</f>
        <v>269.05299390746575</v>
      </c>
      <c r="L2568">
        <f t="shared" si="40"/>
        <v>0</v>
      </c>
      <c r="M2568" cm="1">
        <f t="array" ref="M2568">_xlfn.XLOOKUP(TEXT(A2568, "mmm-yy"), TEXT([2]GASOLINE!$B$5:$B$208, "mmm-yy"), [2]GASOLINE!$C$5:$C$208, "Not Found")</f>
        <v>7559.2483091684053</v>
      </c>
      <c r="N2568" cm="1">
        <f t="array" ref="N2568">_xlfn.XLOOKUP(TEXT(A2568, "mmm-yy"), TEXT([2]RUNS!$B$5:$B$208, "mmm-yy"), [2]RUNS!$BM$5:$BM$208, "Not Found")</f>
        <v>0.8273857360769481</v>
      </c>
    </row>
    <row r="2569" spans="1:14" x14ac:dyDescent="0.25">
      <c r="A2569" s="1">
        <f>'[1]Global_Spot Prices'!$B3878</f>
        <v>45600</v>
      </c>
      <c r="B2569">
        <f>_xlfn.XLOOKUP(A2569,'[1]Global_Spot Prices'!$B:$B,'[1]Global_Spot Prices'!$BS:$BS)</f>
        <v>6.7900000000000063</v>
      </c>
      <c r="C2569">
        <f>_xlfn.XLOOKUP(A2569,'[1]Global_Spot Prices'!$B:$B,'[1]Global_Spot Prices'!$E:$E)</f>
        <v>73.52</v>
      </c>
      <c r="D2569">
        <f>_xlfn.XLOOKUP(A2569,'[1]Global_Spot Prices'!$B:$B,'[1]Global_Spot Prices'!$D:$D)</f>
        <v>75.569999999999993</v>
      </c>
      <c r="E2569">
        <f>_xlfn.XLOOKUP(A2569,'[1]Global_Spot Prices'!$B:$B,'[1]Global_Spot Prices'!$H:$H)</f>
        <v>73.14</v>
      </c>
      <c r="F2569">
        <f>_xlfn.XLOOKUP(A2569,'[1]Global_Spot Prices'!$B:$B,'[1]Global_Spot Prices'!$I:$I)</f>
        <v>80.31</v>
      </c>
      <c r="G2569" cm="1">
        <f t="array" ref="G2569">_xlfn.XLOOKUP(TEXT(A2569, "mmm-yy"), TEXT([2]RUNS!$B$5:$B$208, "mmm-yy"), [2]RUNS!$D$5:$D$208, "Not Found")</f>
        <v>30440.265877433398</v>
      </c>
      <c r="H2569" cm="1">
        <f t="array" ref="H2569">SUMPRODUCT(
    --(TEXT('[3]Global Weekly Stock (EWSuez'!$B$4:$B$2000,"mmm-yy")=TEXT(A2569,"mmm-yy")),
    '[3]Global Weekly Stock (EWSuez'!$E$4:$E$2000)
/
SUMPRODUCT(
    --(TEXT('[3]Global Weekly Stock (EWSuez'!$B$4:$B$2000,"mmm-yy")=TEXT(A2569,"mmm-yy"))
)</f>
        <v>14117</v>
      </c>
      <c r="I2569">
        <f>_xlfn.XLOOKUP(A2569,[1]ForwardDeriv!$D:$D,[1]ForwardDeriv!$AJ:$AJ)</f>
        <v>0.20999999999999375</v>
      </c>
      <c r="J2569" cm="1">
        <f t="array" ref="J2569">_xlfn.XLOOKUP(TEXT(A2569, "mmm-yy"), TEXT([2]GASOLINE!$B$5:$B$208, "mmm-yy"), [2]GASOLINE!$IR$5:$IR$208, "Not Found")</f>
        <v>-284.5426200904393</v>
      </c>
      <c r="K2569" cm="1">
        <f t="array" ref="K2569">_xlfn.XLOOKUP(TEXT(A2569, "mmm-yy"), TEXT([2]GASOLINE!$B$5:$B$208, "mmm-yy"), [2]GASOLINE!$IK$5:$IK$208, "Not Found")</f>
        <v>269.05299390746575</v>
      </c>
      <c r="L2569">
        <f t="shared" si="40"/>
        <v>0</v>
      </c>
      <c r="M2569" cm="1">
        <f t="array" ref="M2569">_xlfn.XLOOKUP(TEXT(A2569, "mmm-yy"), TEXT([2]GASOLINE!$B$5:$B$208, "mmm-yy"), [2]GASOLINE!$C$5:$C$208, "Not Found")</f>
        <v>7559.2483091684053</v>
      </c>
      <c r="N2569" cm="1">
        <f t="array" ref="N2569">_xlfn.XLOOKUP(TEXT(A2569, "mmm-yy"), TEXT([2]RUNS!$B$5:$B$208, "mmm-yy"), [2]RUNS!$BM$5:$BM$208, "Not Found")</f>
        <v>0.8273857360769481</v>
      </c>
    </row>
    <row r="2570" spans="1:14" x14ac:dyDescent="0.25">
      <c r="A2570" s="1">
        <f>'[1]Global_Spot Prices'!$B3879</f>
        <v>45601</v>
      </c>
      <c r="B2570">
        <f>_xlfn.XLOOKUP(A2570,'[1]Global_Spot Prices'!$B:$B,'[1]Global_Spot Prices'!$BS:$BS)</f>
        <v>7.0600000000000023</v>
      </c>
      <c r="C2570">
        <f>_xlfn.XLOOKUP(A2570,'[1]Global_Spot Prices'!$B:$B,'[1]Global_Spot Prices'!$E:$E)</f>
        <v>74.14</v>
      </c>
      <c r="D2570">
        <f>_xlfn.XLOOKUP(A2570,'[1]Global_Spot Prices'!$B:$B,'[1]Global_Spot Prices'!$D:$D)</f>
        <v>76.94</v>
      </c>
      <c r="E2570">
        <f>_xlfn.XLOOKUP(A2570,'[1]Global_Spot Prices'!$B:$B,'[1]Global_Spot Prices'!$H:$H)</f>
        <v>73.06</v>
      </c>
      <c r="F2570">
        <f>_xlfn.XLOOKUP(A2570,'[1]Global_Spot Prices'!$B:$B,'[1]Global_Spot Prices'!$I:$I)</f>
        <v>81.2</v>
      </c>
      <c r="G2570" cm="1">
        <f t="array" ref="G2570">_xlfn.XLOOKUP(TEXT(A2570, "mmm-yy"), TEXT([2]RUNS!$B$5:$B$208, "mmm-yy"), [2]RUNS!$D$5:$D$208, "Not Found")</f>
        <v>30440.265877433398</v>
      </c>
      <c r="H2570" cm="1">
        <f t="array" ref="H2570">SUMPRODUCT(
    --(TEXT('[3]Global Weekly Stock (EWSuez'!$B$4:$B$2000,"mmm-yy")=TEXT(A2570,"mmm-yy")),
    '[3]Global Weekly Stock (EWSuez'!$E$4:$E$2000)
/
SUMPRODUCT(
    --(TEXT('[3]Global Weekly Stock (EWSuez'!$B$4:$B$2000,"mmm-yy")=TEXT(A2570,"mmm-yy"))
)</f>
        <v>14117</v>
      </c>
      <c r="I2570">
        <f>_xlfn.XLOOKUP(A2570,[1]ForwardDeriv!$D:$D,[1]ForwardDeriv!$AJ:$AJ)</f>
        <v>0.34000000000000341</v>
      </c>
      <c r="J2570" cm="1">
        <f t="array" ref="J2570">_xlfn.XLOOKUP(TEXT(A2570, "mmm-yy"), TEXT([2]GASOLINE!$B$5:$B$208, "mmm-yy"), [2]GASOLINE!$IR$5:$IR$208, "Not Found")</f>
        <v>-284.5426200904393</v>
      </c>
      <c r="K2570" cm="1">
        <f t="array" ref="K2570">_xlfn.XLOOKUP(TEXT(A2570, "mmm-yy"), TEXT([2]GASOLINE!$B$5:$B$208, "mmm-yy"), [2]GASOLINE!$IK$5:$IK$208, "Not Found")</f>
        <v>269.05299390746575</v>
      </c>
      <c r="L2570">
        <f t="shared" si="40"/>
        <v>0</v>
      </c>
      <c r="M2570" cm="1">
        <f t="array" ref="M2570">_xlfn.XLOOKUP(TEXT(A2570, "mmm-yy"), TEXT([2]GASOLINE!$B$5:$B$208, "mmm-yy"), [2]GASOLINE!$C$5:$C$208, "Not Found")</f>
        <v>7559.2483091684053</v>
      </c>
      <c r="N2570" cm="1">
        <f t="array" ref="N2570">_xlfn.XLOOKUP(TEXT(A2570, "mmm-yy"), TEXT([2]RUNS!$B$5:$B$208, "mmm-yy"), [2]RUNS!$BM$5:$BM$208, "Not Found")</f>
        <v>0.8273857360769481</v>
      </c>
    </row>
    <row r="2571" spans="1:14" x14ac:dyDescent="0.25">
      <c r="A2571" s="1">
        <f>'[1]Global_Spot Prices'!$B3880</f>
        <v>45602</v>
      </c>
      <c r="B2571">
        <f>_xlfn.XLOOKUP(A2571,'[1]Global_Spot Prices'!$B:$B,'[1]Global_Spot Prices'!$BS:$BS)</f>
        <v>5.6949999999999932</v>
      </c>
      <c r="C2571">
        <f>_xlfn.XLOOKUP(A2571,'[1]Global_Spot Prices'!$B:$B,'[1]Global_Spot Prices'!$E:$E)</f>
        <v>73.295000000000002</v>
      </c>
      <c r="D2571">
        <f>_xlfn.XLOOKUP(A2571,'[1]Global_Spot Prices'!$B:$B,'[1]Global_Spot Prices'!$D:$D)</f>
        <v>76.114999999999995</v>
      </c>
      <c r="E2571">
        <f>_xlfn.XLOOKUP(A2571,'[1]Global_Spot Prices'!$B:$B,'[1]Global_Spot Prices'!$H:$H)</f>
        <v>72.05</v>
      </c>
      <c r="F2571">
        <f>_xlfn.XLOOKUP(A2571,'[1]Global_Spot Prices'!$B:$B,'[1]Global_Spot Prices'!$I:$I)</f>
        <v>78.989999999999995</v>
      </c>
      <c r="G2571" cm="1">
        <f t="array" ref="G2571">_xlfn.XLOOKUP(TEXT(A2571, "mmm-yy"), TEXT([2]RUNS!$B$5:$B$208, "mmm-yy"), [2]RUNS!$D$5:$D$208, "Not Found")</f>
        <v>30440.265877433398</v>
      </c>
      <c r="H2571" cm="1">
        <f t="array" ref="H2571">SUMPRODUCT(
    --(TEXT('[3]Global Weekly Stock (EWSuez'!$B$4:$B$2000,"mmm-yy")=TEXT(A2571,"mmm-yy")),
    '[3]Global Weekly Stock (EWSuez'!$E$4:$E$2000)
/
SUMPRODUCT(
    --(TEXT('[3]Global Weekly Stock (EWSuez'!$B$4:$B$2000,"mmm-yy")=TEXT(A2571,"mmm-yy"))
)</f>
        <v>14117</v>
      </c>
      <c r="I2571">
        <f>_xlfn.XLOOKUP(A2571,[1]ForwardDeriv!$D:$D,[1]ForwardDeriv!$AJ:$AJ)</f>
        <v>0.12000000000000455</v>
      </c>
      <c r="J2571" cm="1">
        <f t="array" ref="J2571">_xlfn.XLOOKUP(TEXT(A2571, "mmm-yy"), TEXT([2]GASOLINE!$B$5:$B$208, "mmm-yy"), [2]GASOLINE!$IR$5:$IR$208, "Not Found")</f>
        <v>-284.5426200904393</v>
      </c>
      <c r="K2571" cm="1">
        <f t="array" ref="K2571">_xlfn.XLOOKUP(TEXT(A2571, "mmm-yy"), TEXT([2]GASOLINE!$B$5:$B$208, "mmm-yy"), [2]GASOLINE!$IK$5:$IK$208, "Not Found")</f>
        <v>269.05299390746575</v>
      </c>
      <c r="L2571">
        <f t="shared" si="40"/>
        <v>0</v>
      </c>
      <c r="M2571" cm="1">
        <f t="array" ref="M2571">_xlfn.XLOOKUP(TEXT(A2571, "mmm-yy"), TEXT([2]GASOLINE!$B$5:$B$208, "mmm-yy"), [2]GASOLINE!$C$5:$C$208, "Not Found")</f>
        <v>7559.2483091684053</v>
      </c>
      <c r="N2571" cm="1">
        <f t="array" ref="N2571">_xlfn.XLOOKUP(TEXT(A2571, "mmm-yy"), TEXT([2]RUNS!$B$5:$B$208, "mmm-yy"), [2]RUNS!$BM$5:$BM$208, "Not Found")</f>
        <v>0.8273857360769481</v>
      </c>
    </row>
    <row r="2572" spans="1:14" x14ac:dyDescent="0.25">
      <c r="A2572" s="1">
        <f>'[1]Global_Spot Prices'!$B3881</f>
        <v>45603</v>
      </c>
      <c r="B2572">
        <f>_xlfn.XLOOKUP(A2572,'[1]Global_Spot Prices'!$B:$B,'[1]Global_Spot Prices'!$BS:$BS)</f>
        <v>5.6499999999999915</v>
      </c>
      <c r="C2572">
        <f>_xlfn.XLOOKUP(A2572,'[1]Global_Spot Prices'!$B:$B,'[1]Global_Spot Prices'!$E:$E)</f>
        <v>74.010000000000005</v>
      </c>
      <c r="D2572">
        <f>_xlfn.XLOOKUP(A2572,'[1]Global_Spot Prices'!$B:$B,'[1]Global_Spot Prices'!$D:$D)</f>
        <v>75.64</v>
      </c>
      <c r="E2572">
        <f>_xlfn.XLOOKUP(A2572,'[1]Global_Spot Prices'!$B:$B,'[1]Global_Spot Prices'!$H:$H)</f>
        <v>72.36</v>
      </c>
      <c r="F2572">
        <f>_xlfn.XLOOKUP(A2572,'[1]Global_Spot Prices'!$B:$B,'[1]Global_Spot Prices'!$I:$I)</f>
        <v>79.66</v>
      </c>
      <c r="G2572" cm="1">
        <f t="array" ref="G2572">_xlfn.XLOOKUP(TEXT(A2572, "mmm-yy"), TEXT([2]RUNS!$B$5:$B$208, "mmm-yy"), [2]RUNS!$D$5:$D$208, "Not Found")</f>
        <v>30440.265877433398</v>
      </c>
      <c r="H2572" cm="1">
        <f t="array" ref="H2572">SUMPRODUCT(
    --(TEXT('[3]Global Weekly Stock (EWSuez'!$B$4:$B$2000,"mmm-yy")=TEXT(A2572,"mmm-yy")),
    '[3]Global Weekly Stock (EWSuez'!$E$4:$E$2000)
/
SUMPRODUCT(
    --(TEXT('[3]Global Weekly Stock (EWSuez'!$B$4:$B$2000,"mmm-yy")=TEXT(A2572,"mmm-yy"))
)</f>
        <v>14117</v>
      </c>
      <c r="I2572">
        <f>_xlfn.XLOOKUP(A2572,[1]ForwardDeriv!$D:$D,[1]ForwardDeriv!$AJ:$AJ)</f>
        <v>6.9999999999993179E-2</v>
      </c>
      <c r="J2572" cm="1">
        <f t="array" ref="J2572">_xlfn.XLOOKUP(TEXT(A2572, "mmm-yy"), TEXT([2]GASOLINE!$B$5:$B$208, "mmm-yy"), [2]GASOLINE!$IR$5:$IR$208, "Not Found")</f>
        <v>-284.5426200904393</v>
      </c>
      <c r="K2572" cm="1">
        <f t="array" ref="K2572">_xlfn.XLOOKUP(TEXT(A2572, "mmm-yy"), TEXT([2]GASOLINE!$B$5:$B$208, "mmm-yy"), [2]GASOLINE!$IK$5:$IK$208, "Not Found")</f>
        <v>269.05299390746575</v>
      </c>
      <c r="L2572">
        <f t="shared" si="40"/>
        <v>0</v>
      </c>
      <c r="M2572" cm="1">
        <f t="array" ref="M2572">_xlfn.XLOOKUP(TEXT(A2572, "mmm-yy"), TEXT([2]GASOLINE!$B$5:$B$208, "mmm-yy"), [2]GASOLINE!$C$5:$C$208, "Not Found")</f>
        <v>7559.2483091684053</v>
      </c>
      <c r="N2572" cm="1">
        <f t="array" ref="N2572">_xlfn.XLOOKUP(TEXT(A2572, "mmm-yy"), TEXT([2]RUNS!$B$5:$B$208, "mmm-yy"), [2]RUNS!$BM$5:$BM$208, "Not Found")</f>
        <v>0.8273857360769481</v>
      </c>
    </row>
    <row r="2573" spans="1:14" x14ac:dyDescent="0.25">
      <c r="A2573" s="1">
        <f>'[1]Global_Spot Prices'!$B3882</f>
        <v>45604</v>
      </c>
      <c r="B2573">
        <f>_xlfn.XLOOKUP(A2573,'[1]Global_Spot Prices'!$B:$B,'[1]Global_Spot Prices'!$BS:$BS)</f>
        <v>6</v>
      </c>
      <c r="C2573">
        <f>_xlfn.XLOOKUP(A2573,'[1]Global_Spot Prices'!$B:$B,'[1]Global_Spot Prices'!$E:$E)</f>
        <v>73.849999999999994</v>
      </c>
      <c r="D2573">
        <f>_xlfn.XLOOKUP(A2573,'[1]Global_Spot Prices'!$B:$B,'[1]Global_Spot Prices'!$D:$D)</f>
        <v>74.064999999999998</v>
      </c>
      <c r="E2573">
        <f>_xlfn.XLOOKUP(A2573,'[1]Global_Spot Prices'!$B:$B,'[1]Global_Spot Prices'!$H:$H)</f>
        <v>71.75</v>
      </c>
      <c r="F2573">
        <f>_xlfn.XLOOKUP(A2573,'[1]Global_Spot Prices'!$B:$B,'[1]Global_Spot Prices'!$I:$I)</f>
        <v>79.849999999999994</v>
      </c>
      <c r="G2573" cm="1">
        <f t="array" ref="G2573">_xlfn.XLOOKUP(TEXT(A2573, "mmm-yy"), TEXT([2]RUNS!$B$5:$B$208, "mmm-yy"), [2]RUNS!$D$5:$D$208, "Not Found")</f>
        <v>30440.265877433398</v>
      </c>
      <c r="H2573" cm="1">
        <f t="array" ref="H2573">SUMPRODUCT(
    --(TEXT('[3]Global Weekly Stock (EWSuez'!$B$4:$B$2000,"mmm-yy")=TEXT(A2573,"mmm-yy")),
    '[3]Global Weekly Stock (EWSuez'!$E$4:$E$2000)
/
SUMPRODUCT(
    --(TEXT('[3]Global Weekly Stock (EWSuez'!$B$4:$B$2000,"mmm-yy")=TEXT(A2573,"mmm-yy"))
)</f>
        <v>14117</v>
      </c>
      <c r="I2573">
        <f>_xlfn.XLOOKUP(A2573,[1]ForwardDeriv!$D:$D,[1]ForwardDeriv!$AJ:$AJ)</f>
        <v>0.17999999999999261</v>
      </c>
      <c r="J2573" cm="1">
        <f t="array" ref="J2573">_xlfn.XLOOKUP(TEXT(A2573, "mmm-yy"), TEXT([2]GASOLINE!$B$5:$B$208, "mmm-yy"), [2]GASOLINE!$IR$5:$IR$208, "Not Found")</f>
        <v>-284.5426200904393</v>
      </c>
      <c r="K2573" cm="1">
        <f t="array" ref="K2573">_xlfn.XLOOKUP(TEXT(A2573, "mmm-yy"), TEXT([2]GASOLINE!$B$5:$B$208, "mmm-yy"), [2]GASOLINE!$IK$5:$IK$208, "Not Found")</f>
        <v>269.05299390746575</v>
      </c>
      <c r="L2573">
        <f t="shared" si="40"/>
        <v>0</v>
      </c>
      <c r="M2573" cm="1">
        <f t="array" ref="M2573">_xlfn.XLOOKUP(TEXT(A2573, "mmm-yy"), TEXT([2]GASOLINE!$B$5:$B$208, "mmm-yy"), [2]GASOLINE!$C$5:$C$208, "Not Found")</f>
        <v>7559.2483091684053</v>
      </c>
      <c r="N2573" cm="1">
        <f t="array" ref="N2573">_xlfn.XLOOKUP(TEXT(A2573, "mmm-yy"), TEXT([2]RUNS!$B$5:$B$208, "mmm-yy"), [2]RUNS!$BM$5:$BM$208, "Not Found")</f>
        <v>0.8273857360769481</v>
      </c>
    </row>
    <row r="2574" spans="1:14" x14ac:dyDescent="0.25">
      <c r="A2574" s="1">
        <f>'[1]Global_Spot Prices'!$B3883</f>
        <v>45607</v>
      </c>
      <c r="B2574">
        <f>_xlfn.XLOOKUP(A2574,'[1]Global_Spot Prices'!$B:$B,'[1]Global_Spot Prices'!$BS:$BS)</f>
        <v>5.3999999999999915</v>
      </c>
      <c r="C2574">
        <f>_xlfn.XLOOKUP(A2574,'[1]Global_Spot Prices'!$B:$B,'[1]Global_Spot Prices'!$E:$E)</f>
        <v>73.09</v>
      </c>
      <c r="D2574">
        <f>_xlfn.XLOOKUP(A2574,'[1]Global_Spot Prices'!$B:$B,'[1]Global_Spot Prices'!$D:$D)</f>
        <v>72.37</v>
      </c>
      <c r="E2574">
        <f>_xlfn.XLOOKUP(A2574,'[1]Global_Spot Prices'!$B:$B,'[1]Global_Spot Prices'!$H:$H)</f>
        <v>70.97</v>
      </c>
      <c r="F2574">
        <f>_xlfn.XLOOKUP(A2574,'[1]Global_Spot Prices'!$B:$B,'[1]Global_Spot Prices'!$I:$I)</f>
        <v>78.489999999999995</v>
      </c>
      <c r="G2574" cm="1">
        <f t="array" ref="G2574">_xlfn.XLOOKUP(TEXT(A2574, "mmm-yy"), TEXT([2]RUNS!$B$5:$B$208, "mmm-yy"), [2]RUNS!$D$5:$D$208, "Not Found")</f>
        <v>30440.265877433398</v>
      </c>
      <c r="H2574" cm="1">
        <f t="array" ref="H2574">SUMPRODUCT(
    --(TEXT('[3]Global Weekly Stock (EWSuez'!$B$4:$B$2000,"mmm-yy")=TEXT(A2574,"mmm-yy")),
    '[3]Global Weekly Stock (EWSuez'!$E$4:$E$2000)
/
SUMPRODUCT(
    --(TEXT('[3]Global Weekly Stock (EWSuez'!$B$4:$B$2000,"mmm-yy")=TEXT(A2574,"mmm-yy"))
)</f>
        <v>14117</v>
      </c>
      <c r="I2574">
        <f>_xlfn.XLOOKUP(A2574,[1]ForwardDeriv!$D:$D,[1]ForwardDeriv!$AJ:$AJ)</f>
        <v>-4.9999999999997158E-2</v>
      </c>
      <c r="J2574" cm="1">
        <f t="array" ref="J2574">_xlfn.XLOOKUP(TEXT(A2574, "mmm-yy"), TEXT([2]GASOLINE!$B$5:$B$208, "mmm-yy"), [2]GASOLINE!$IR$5:$IR$208, "Not Found")</f>
        <v>-284.5426200904393</v>
      </c>
      <c r="K2574" cm="1">
        <f t="array" ref="K2574">_xlfn.XLOOKUP(TEXT(A2574, "mmm-yy"), TEXT([2]GASOLINE!$B$5:$B$208, "mmm-yy"), [2]GASOLINE!$IK$5:$IK$208, "Not Found")</f>
        <v>269.05299390746575</v>
      </c>
      <c r="L2574">
        <f t="shared" si="40"/>
        <v>0</v>
      </c>
      <c r="M2574" cm="1">
        <f t="array" ref="M2574">_xlfn.XLOOKUP(TEXT(A2574, "mmm-yy"), TEXT([2]GASOLINE!$B$5:$B$208, "mmm-yy"), [2]GASOLINE!$C$5:$C$208, "Not Found")</f>
        <v>7559.2483091684053</v>
      </c>
      <c r="N2574" cm="1">
        <f t="array" ref="N2574">_xlfn.XLOOKUP(TEXT(A2574, "mmm-yy"), TEXT([2]RUNS!$B$5:$B$208, "mmm-yy"), [2]RUNS!$BM$5:$BM$208, "Not Found")</f>
        <v>0.8273857360769481</v>
      </c>
    </row>
    <row r="2575" spans="1:14" x14ac:dyDescent="0.25">
      <c r="A2575" s="1">
        <f>'[1]Global_Spot Prices'!$B3884</f>
        <v>45608</v>
      </c>
      <c r="B2575">
        <f>_xlfn.XLOOKUP(A2575,'[1]Global_Spot Prices'!$B:$B,'[1]Global_Spot Prices'!$BS:$BS)</f>
        <v>5.8299999999999983</v>
      </c>
      <c r="C2575">
        <f>_xlfn.XLOOKUP(A2575,'[1]Global_Spot Prices'!$B:$B,'[1]Global_Spot Prices'!$E:$E)</f>
        <v>71.08</v>
      </c>
      <c r="D2575">
        <f>_xlfn.XLOOKUP(A2575,'[1]Global_Spot Prices'!$B:$B,'[1]Global_Spot Prices'!$D:$D)</f>
        <v>72.915000000000006</v>
      </c>
      <c r="E2575">
        <f>_xlfn.XLOOKUP(A2575,'[1]Global_Spot Prices'!$B:$B,'[1]Global_Spot Prices'!$H:$H)</f>
        <v>68.97</v>
      </c>
      <c r="F2575">
        <f>_xlfn.XLOOKUP(A2575,'[1]Global_Spot Prices'!$B:$B,'[1]Global_Spot Prices'!$I:$I)</f>
        <v>76.91</v>
      </c>
      <c r="G2575" cm="1">
        <f t="array" ref="G2575">_xlfn.XLOOKUP(TEXT(A2575, "mmm-yy"), TEXT([2]RUNS!$B$5:$B$208, "mmm-yy"), [2]RUNS!$D$5:$D$208, "Not Found")</f>
        <v>30440.265877433398</v>
      </c>
      <c r="H2575" cm="1">
        <f t="array" ref="H2575">SUMPRODUCT(
    --(TEXT('[3]Global Weekly Stock (EWSuez'!$B$4:$B$2000,"mmm-yy")=TEXT(A2575,"mmm-yy")),
    '[3]Global Weekly Stock (EWSuez'!$E$4:$E$2000)
/
SUMPRODUCT(
    --(TEXT('[3]Global Weekly Stock (EWSuez'!$B$4:$B$2000,"mmm-yy")=TEXT(A2575,"mmm-yy"))
)</f>
        <v>14117</v>
      </c>
      <c r="I2575">
        <f>_xlfn.XLOOKUP(A2575,[1]ForwardDeriv!$D:$D,[1]ForwardDeriv!$AJ:$AJ)</f>
        <v>4.9999999999997158E-2</v>
      </c>
      <c r="J2575" cm="1">
        <f t="array" ref="J2575">_xlfn.XLOOKUP(TEXT(A2575, "mmm-yy"), TEXT([2]GASOLINE!$B$5:$B$208, "mmm-yy"), [2]GASOLINE!$IR$5:$IR$208, "Not Found")</f>
        <v>-284.5426200904393</v>
      </c>
      <c r="K2575" cm="1">
        <f t="array" ref="K2575">_xlfn.XLOOKUP(TEXT(A2575, "mmm-yy"), TEXT([2]GASOLINE!$B$5:$B$208, "mmm-yy"), [2]GASOLINE!$IK$5:$IK$208, "Not Found")</f>
        <v>269.05299390746575</v>
      </c>
      <c r="L2575">
        <f t="shared" si="40"/>
        <v>0</v>
      </c>
      <c r="M2575" cm="1">
        <f t="array" ref="M2575">_xlfn.XLOOKUP(TEXT(A2575, "mmm-yy"), TEXT([2]GASOLINE!$B$5:$B$208, "mmm-yy"), [2]GASOLINE!$C$5:$C$208, "Not Found")</f>
        <v>7559.2483091684053</v>
      </c>
      <c r="N2575" cm="1">
        <f t="array" ref="N2575">_xlfn.XLOOKUP(TEXT(A2575, "mmm-yy"), TEXT([2]RUNS!$B$5:$B$208, "mmm-yy"), [2]RUNS!$BM$5:$BM$208, "Not Found")</f>
        <v>0.8273857360769481</v>
      </c>
    </row>
    <row r="2576" spans="1:14" x14ac:dyDescent="0.25">
      <c r="A2576" s="1">
        <f>'[1]Global_Spot Prices'!$B3885</f>
        <v>45609</v>
      </c>
      <c r="B2576">
        <f>_xlfn.XLOOKUP(A2576,'[1]Global_Spot Prices'!$B:$B,'[1]Global_Spot Prices'!$BS:$BS)</f>
        <v>5.2150000000000034</v>
      </c>
      <c r="C2576">
        <f>_xlfn.XLOOKUP(A2576,'[1]Global_Spot Prices'!$B:$B,'[1]Global_Spot Prices'!$E:$E)</f>
        <v>71.144999999999996</v>
      </c>
      <c r="D2576">
        <f>_xlfn.XLOOKUP(A2576,'[1]Global_Spot Prices'!$B:$B,'[1]Global_Spot Prices'!$D:$D)</f>
        <v>73.555000000000007</v>
      </c>
      <c r="E2576">
        <f>_xlfn.XLOOKUP(A2576,'[1]Global_Spot Prices'!$B:$B,'[1]Global_Spot Prices'!$H:$H)</f>
        <v>68.55</v>
      </c>
      <c r="F2576">
        <f>_xlfn.XLOOKUP(A2576,'[1]Global_Spot Prices'!$B:$B,'[1]Global_Spot Prices'!$I:$I)</f>
        <v>76.36</v>
      </c>
      <c r="G2576" cm="1">
        <f t="array" ref="G2576">_xlfn.XLOOKUP(TEXT(A2576, "mmm-yy"), TEXT([2]RUNS!$B$5:$B$208, "mmm-yy"), [2]RUNS!$D$5:$D$208, "Not Found")</f>
        <v>30440.265877433398</v>
      </c>
      <c r="H2576" cm="1">
        <f t="array" ref="H2576">SUMPRODUCT(
    --(TEXT('[3]Global Weekly Stock (EWSuez'!$B$4:$B$2000,"mmm-yy")=TEXT(A2576,"mmm-yy")),
    '[3]Global Weekly Stock (EWSuez'!$E$4:$E$2000)
/
SUMPRODUCT(
    --(TEXT('[3]Global Weekly Stock (EWSuez'!$B$4:$B$2000,"mmm-yy")=TEXT(A2576,"mmm-yy"))
)</f>
        <v>14117</v>
      </c>
      <c r="I2576">
        <f>_xlfn.XLOOKUP(A2576,[1]ForwardDeriv!$D:$D,[1]ForwardDeriv!$AJ:$AJ)</f>
        <v>-7.9999999999998295E-2</v>
      </c>
      <c r="J2576" cm="1">
        <f t="array" ref="J2576">_xlfn.XLOOKUP(TEXT(A2576, "mmm-yy"), TEXT([2]GASOLINE!$B$5:$B$208, "mmm-yy"), [2]GASOLINE!$IR$5:$IR$208, "Not Found")</f>
        <v>-284.5426200904393</v>
      </c>
      <c r="K2576" cm="1">
        <f t="array" ref="K2576">_xlfn.XLOOKUP(TEXT(A2576, "mmm-yy"), TEXT([2]GASOLINE!$B$5:$B$208, "mmm-yy"), [2]GASOLINE!$IK$5:$IK$208, "Not Found")</f>
        <v>269.05299390746575</v>
      </c>
      <c r="L2576">
        <f t="shared" si="40"/>
        <v>0</v>
      </c>
      <c r="M2576" cm="1">
        <f t="array" ref="M2576">_xlfn.XLOOKUP(TEXT(A2576, "mmm-yy"), TEXT([2]GASOLINE!$B$5:$B$208, "mmm-yy"), [2]GASOLINE!$C$5:$C$208, "Not Found")</f>
        <v>7559.2483091684053</v>
      </c>
      <c r="N2576" cm="1">
        <f t="array" ref="N2576">_xlfn.XLOOKUP(TEXT(A2576, "mmm-yy"), TEXT([2]RUNS!$B$5:$B$208, "mmm-yy"), [2]RUNS!$BM$5:$BM$208, "Not Found")</f>
        <v>0.8273857360769481</v>
      </c>
    </row>
    <row r="2577" spans="1:14" x14ac:dyDescent="0.25">
      <c r="A2577" s="1">
        <f>'[1]Global_Spot Prices'!$B3886</f>
        <v>45610</v>
      </c>
      <c r="B2577">
        <f>_xlfn.XLOOKUP(A2577,'[1]Global_Spot Prices'!$B:$B,'[1]Global_Spot Prices'!$BS:$BS)</f>
        <v>5.0999999999999943</v>
      </c>
      <c r="C2577">
        <f>_xlfn.XLOOKUP(A2577,'[1]Global_Spot Prices'!$B:$B,'[1]Global_Spot Prices'!$E:$E)</f>
        <v>71.42</v>
      </c>
      <c r="D2577">
        <f>_xlfn.XLOOKUP(A2577,'[1]Global_Spot Prices'!$B:$B,'[1]Global_Spot Prices'!$D:$D)</f>
        <v>73.67</v>
      </c>
      <c r="E2577">
        <f>_xlfn.XLOOKUP(A2577,'[1]Global_Spot Prices'!$B:$B,'[1]Global_Spot Prices'!$H:$H)</f>
        <v>67.72</v>
      </c>
      <c r="F2577">
        <f>_xlfn.XLOOKUP(A2577,'[1]Global_Spot Prices'!$B:$B,'[1]Global_Spot Prices'!$I:$I)</f>
        <v>76.52</v>
      </c>
      <c r="G2577" cm="1">
        <f t="array" ref="G2577">_xlfn.XLOOKUP(TEXT(A2577, "mmm-yy"), TEXT([2]RUNS!$B$5:$B$208, "mmm-yy"), [2]RUNS!$D$5:$D$208, "Not Found")</f>
        <v>30440.265877433398</v>
      </c>
      <c r="H2577" cm="1">
        <f t="array" ref="H2577">SUMPRODUCT(
    --(TEXT('[3]Global Weekly Stock (EWSuez'!$B$4:$B$2000,"mmm-yy")=TEXT(A2577,"mmm-yy")),
    '[3]Global Weekly Stock (EWSuez'!$E$4:$E$2000)
/
SUMPRODUCT(
    --(TEXT('[3]Global Weekly Stock (EWSuez'!$B$4:$B$2000,"mmm-yy")=TEXT(A2577,"mmm-yy"))
)</f>
        <v>14117</v>
      </c>
      <c r="I2577">
        <f>_xlfn.XLOOKUP(A2577,[1]ForwardDeriv!$D:$D,[1]ForwardDeriv!$AJ:$AJ)</f>
        <v>-9.0000000000003411E-2</v>
      </c>
      <c r="J2577" cm="1">
        <f t="array" ref="J2577">_xlfn.XLOOKUP(TEXT(A2577, "mmm-yy"), TEXT([2]GASOLINE!$B$5:$B$208, "mmm-yy"), [2]GASOLINE!$IR$5:$IR$208, "Not Found")</f>
        <v>-284.5426200904393</v>
      </c>
      <c r="K2577" cm="1">
        <f t="array" ref="K2577">_xlfn.XLOOKUP(TEXT(A2577, "mmm-yy"), TEXT([2]GASOLINE!$B$5:$B$208, "mmm-yy"), [2]GASOLINE!$IK$5:$IK$208, "Not Found")</f>
        <v>269.05299390746575</v>
      </c>
      <c r="L2577">
        <f t="shared" si="40"/>
        <v>0</v>
      </c>
      <c r="M2577" cm="1">
        <f t="array" ref="M2577">_xlfn.XLOOKUP(TEXT(A2577, "mmm-yy"), TEXT([2]GASOLINE!$B$5:$B$208, "mmm-yy"), [2]GASOLINE!$C$5:$C$208, "Not Found")</f>
        <v>7559.2483091684053</v>
      </c>
      <c r="N2577" cm="1">
        <f t="array" ref="N2577">_xlfn.XLOOKUP(TEXT(A2577, "mmm-yy"), TEXT([2]RUNS!$B$5:$B$208, "mmm-yy"), [2]RUNS!$BM$5:$BM$208, "Not Found")</f>
        <v>0.8273857360769481</v>
      </c>
    </row>
    <row r="2578" spans="1:14" x14ac:dyDescent="0.25">
      <c r="A2578" s="1">
        <f>'[1]Global_Spot Prices'!$B3887</f>
        <v>45611</v>
      </c>
      <c r="B2578">
        <f>_xlfn.XLOOKUP(A2578,'[1]Global_Spot Prices'!$B:$B,'[1]Global_Spot Prices'!$BS:$BS)</f>
        <v>5.4900000000000091</v>
      </c>
      <c r="C2578">
        <f>_xlfn.XLOOKUP(A2578,'[1]Global_Spot Prices'!$B:$B,'[1]Global_Spot Prices'!$E:$E)</f>
        <v>70.739999999999995</v>
      </c>
      <c r="D2578">
        <f ca="1">_xlfn.XLOOKUP(A2578,'[1]Global_Spot Prices'!$B:$B,'[1]Global_Spot Prices'!$D:$D)</f>
        <v>73.489999999999995</v>
      </c>
      <c r="E2578">
        <f>_xlfn.XLOOKUP(A2578,'[1]Global_Spot Prices'!$B:$B,'[1]Global_Spot Prices'!$H:$H)</f>
        <v>66.47</v>
      </c>
      <c r="F2578">
        <f>_xlfn.XLOOKUP(A2578,'[1]Global_Spot Prices'!$B:$B,'[1]Global_Spot Prices'!$I:$I)</f>
        <v>76.23</v>
      </c>
      <c r="G2578" cm="1">
        <f t="array" ref="G2578">_xlfn.XLOOKUP(TEXT(A2578, "mmm-yy"), TEXT([2]RUNS!$B$5:$B$208, "mmm-yy"), [2]RUNS!$D$5:$D$208, "Not Found")</f>
        <v>30440.265877433398</v>
      </c>
      <c r="H2578" cm="1">
        <f t="array" ref="H2578">SUMPRODUCT(
    --(TEXT('[3]Global Weekly Stock (EWSuez'!$B$4:$B$2000,"mmm-yy")=TEXT(A2578,"mmm-yy")),
    '[3]Global Weekly Stock (EWSuez'!$E$4:$E$2000)
/
SUMPRODUCT(
    --(TEXT('[3]Global Weekly Stock (EWSuez'!$B$4:$B$2000,"mmm-yy")=TEXT(A2578,"mmm-yy"))
)</f>
        <v>14117</v>
      </c>
      <c r="I2578">
        <f>_xlfn.XLOOKUP(A2578,[1]ForwardDeriv!$D:$D,[1]ForwardDeriv!$AJ:$AJ)</f>
        <v>-8.0000000000012506E-2</v>
      </c>
      <c r="J2578" cm="1">
        <f t="array" ref="J2578">_xlfn.XLOOKUP(TEXT(A2578, "mmm-yy"), TEXT([2]GASOLINE!$B$5:$B$208, "mmm-yy"), [2]GASOLINE!$IR$5:$IR$208, "Not Found")</f>
        <v>-284.5426200904393</v>
      </c>
      <c r="K2578" cm="1">
        <f t="array" ref="K2578">_xlfn.XLOOKUP(TEXT(A2578, "mmm-yy"), TEXT([2]GASOLINE!$B$5:$B$208, "mmm-yy"), [2]GASOLINE!$IK$5:$IK$208, "Not Found")</f>
        <v>269.05299390746575</v>
      </c>
      <c r="L2578">
        <f t="shared" si="40"/>
        <v>0</v>
      </c>
      <c r="M2578" cm="1">
        <f t="array" ref="M2578">_xlfn.XLOOKUP(TEXT(A2578, "mmm-yy"), TEXT([2]GASOLINE!$B$5:$B$208, "mmm-yy"), [2]GASOLINE!$C$5:$C$208, "Not Found")</f>
        <v>7559.2483091684053</v>
      </c>
      <c r="N2578" cm="1">
        <f t="array" ref="N2578">_xlfn.XLOOKUP(TEXT(A2578, "mmm-yy"), TEXT([2]RUNS!$B$5:$B$208, "mmm-yy"), [2]RUNS!$BM$5:$BM$208, "Not Found")</f>
        <v>0.8273857360769481</v>
      </c>
    </row>
    <row r="2579" spans="1:14" x14ac:dyDescent="0.25">
      <c r="A2579" s="1">
        <f>'[1]Global_Spot Prices'!$B3888</f>
        <v>45614</v>
      </c>
      <c r="B2579">
        <f>_xlfn.XLOOKUP(A2579,'[1]Global_Spot Prices'!$B:$B,'[1]Global_Spot Prices'!$BS:$BS)</f>
        <v>6.7750000000000057</v>
      </c>
      <c r="C2579">
        <f>_xlfn.XLOOKUP(A2579,'[1]Global_Spot Prices'!$B:$B,'[1]Global_Spot Prices'!$E:$E)</f>
        <v>70.504999999999995</v>
      </c>
      <c r="D2579">
        <f>_xlfn.XLOOKUP(A2579,'[1]Global_Spot Prices'!$B:$B,'[1]Global_Spot Prices'!$D:$D)</f>
        <v>74.534999999999997</v>
      </c>
      <c r="E2579">
        <f>_xlfn.XLOOKUP(A2579,'[1]Global_Spot Prices'!$B:$B,'[1]Global_Spot Prices'!$H:$H)</f>
        <v>66.400000000000006</v>
      </c>
      <c r="F2579">
        <f>_xlfn.XLOOKUP(A2579,'[1]Global_Spot Prices'!$B:$B,'[1]Global_Spot Prices'!$I:$I)</f>
        <v>77.28</v>
      </c>
      <c r="G2579" cm="1">
        <f t="array" ref="G2579">_xlfn.XLOOKUP(TEXT(A2579, "mmm-yy"), TEXT([2]RUNS!$B$5:$B$208, "mmm-yy"), [2]RUNS!$D$5:$D$208, "Not Found")</f>
        <v>30440.265877433398</v>
      </c>
      <c r="H2579" cm="1">
        <f t="array" ref="H2579">SUMPRODUCT(
    --(TEXT('[3]Global Weekly Stock (EWSuez'!$B$4:$B$2000,"mmm-yy")=TEXT(A2579,"mmm-yy")),
    '[3]Global Weekly Stock (EWSuez'!$E$4:$E$2000)
/
SUMPRODUCT(
    --(TEXT('[3]Global Weekly Stock (EWSuez'!$B$4:$B$2000,"mmm-yy")=TEXT(A2579,"mmm-yy"))
)</f>
        <v>14117</v>
      </c>
      <c r="I2579">
        <f>_xlfn.XLOOKUP(A2579,[1]ForwardDeriv!$D:$D,[1]ForwardDeriv!$AJ:$AJ)</f>
        <v>0.14000000000000057</v>
      </c>
      <c r="J2579" cm="1">
        <f t="array" ref="J2579">_xlfn.XLOOKUP(TEXT(A2579, "mmm-yy"), TEXT([2]GASOLINE!$B$5:$B$208, "mmm-yy"), [2]GASOLINE!$IR$5:$IR$208, "Not Found")</f>
        <v>-284.5426200904393</v>
      </c>
      <c r="K2579" cm="1">
        <f t="array" ref="K2579">_xlfn.XLOOKUP(TEXT(A2579, "mmm-yy"), TEXT([2]GASOLINE!$B$5:$B$208, "mmm-yy"), [2]GASOLINE!$IK$5:$IK$208, "Not Found")</f>
        <v>269.05299390746575</v>
      </c>
      <c r="L2579">
        <f t="shared" si="40"/>
        <v>0</v>
      </c>
      <c r="M2579" cm="1">
        <f t="array" ref="M2579">_xlfn.XLOOKUP(TEXT(A2579, "mmm-yy"), TEXT([2]GASOLINE!$B$5:$B$208, "mmm-yy"), [2]GASOLINE!$C$5:$C$208, "Not Found")</f>
        <v>7559.2483091684053</v>
      </c>
      <c r="N2579" cm="1">
        <f t="array" ref="N2579">_xlfn.XLOOKUP(TEXT(A2579, "mmm-yy"), TEXT([2]RUNS!$B$5:$B$208, "mmm-yy"), [2]RUNS!$BM$5:$BM$208, "Not Found")</f>
        <v>0.8273857360769481</v>
      </c>
    </row>
    <row r="2580" spans="1:14" x14ac:dyDescent="0.25">
      <c r="A2580" s="1">
        <f>'[1]Global_Spot Prices'!$B3889</f>
        <v>45615</v>
      </c>
      <c r="B2580">
        <f>_xlfn.XLOOKUP(A2580,'[1]Global_Spot Prices'!$B:$B,'[1]Global_Spot Prices'!$BS:$BS)</f>
        <v>6.2999999999999972</v>
      </c>
      <c r="C2580">
        <f>_xlfn.XLOOKUP(A2580,'[1]Global_Spot Prices'!$B:$B,'[1]Global_Spot Prices'!$E:$E)</f>
        <v>72.260000000000005</v>
      </c>
      <c r="D2580">
        <f>_xlfn.XLOOKUP(A2580,'[1]Global_Spot Prices'!$B:$B,'[1]Global_Spot Prices'!$D:$D)</f>
        <v>74.05</v>
      </c>
      <c r="E2580">
        <f>_xlfn.XLOOKUP(A2580,'[1]Global_Spot Prices'!$B:$B,'[1]Global_Spot Prices'!$H:$H)</f>
        <v>68.02</v>
      </c>
      <c r="F2580">
        <f>_xlfn.XLOOKUP(A2580,'[1]Global_Spot Prices'!$B:$B,'[1]Global_Spot Prices'!$I:$I)</f>
        <v>78.56</v>
      </c>
      <c r="G2580" cm="1">
        <f t="array" ref="G2580">_xlfn.XLOOKUP(TEXT(A2580, "mmm-yy"), TEXT([2]RUNS!$B$5:$B$208, "mmm-yy"), [2]RUNS!$D$5:$D$208, "Not Found")</f>
        <v>30440.265877433398</v>
      </c>
      <c r="H2580" cm="1">
        <f t="array" ref="H2580">SUMPRODUCT(
    --(TEXT('[3]Global Weekly Stock (EWSuez'!$B$4:$B$2000,"mmm-yy")=TEXT(A2580,"mmm-yy")),
    '[3]Global Weekly Stock (EWSuez'!$E$4:$E$2000)
/
SUMPRODUCT(
    --(TEXT('[3]Global Weekly Stock (EWSuez'!$B$4:$B$2000,"mmm-yy")=TEXT(A2580,"mmm-yy"))
)</f>
        <v>14117</v>
      </c>
      <c r="I2580">
        <f>_xlfn.XLOOKUP(A2580,[1]ForwardDeriv!$D:$D,[1]ForwardDeriv!$AJ:$AJ)</f>
        <v>1.0000000000005116E-2</v>
      </c>
      <c r="J2580" cm="1">
        <f t="array" ref="J2580">_xlfn.XLOOKUP(TEXT(A2580, "mmm-yy"), TEXT([2]GASOLINE!$B$5:$B$208, "mmm-yy"), [2]GASOLINE!$IR$5:$IR$208, "Not Found")</f>
        <v>-284.5426200904393</v>
      </c>
      <c r="K2580" cm="1">
        <f t="array" ref="K2580">_xlfn.XLOOKUP(TEXT(A2580, "mmm-yy"), TEXT([2]GASOLINE!$B$5:$B$208, "mmm-yy"), [2]GASOLINE!$IK$5:$IK$208, "Not Found")</f>
        <v>269.05299390746575</v>
      </c>
      <c r="L2580">
        <f t="shared" si="40"/>
        <v>0</v>
      </c>
      <c r="M2580" cm="1">
        <f t="array" ref="M2580">_xlfn.XLOOKUP(TEXT(A2580, "mmm-yy"), TEXT([2]GASOLINE!$B$5:$B$208, "mmm-yy"), [2]GASOLINE!$C$5:$C$208, "Not Found")</f>
        <v>7559.2483091684053</v>
      </c>
      <c r="N2580" cm="1">
        <f t="array" ref="N2580">_xlfn.XLOOKUP(TEXT(A2580, "mmm-yy"), TEXT([2]RUNS!$B$5:$B$208, "mmm-yy"), [2]RUNS!$BM$5:$BM$208, "Not Found")</f>
        <v>0.8273857360769481</v>
      </c>
    </row>
    <row r="2581" spans="1:14" x14ac:dyDescent="0.25">
      <c r="A2581" s="1">
        <f>'[1]Global_Spot Prices'!$B3890</f>
        <v>45616</v>
      </c>
      <c r="B2581">
        <f>_xlfn.XLOOKUP(A2581,'[1]Global_Spot Prices'!$B:$B,'[1]Global_Spot Prices'!$BS:$BS)</f>
        <v>6.4500000000000028</v>
      </c>
      <c r="C2581">
        <f ca="1">_xlfn.XLOOKUP(A2581,'[1]Global_Spot Prices'!$B:$B,'[1]Global_Spot Prices'!$E:$E)</f>
        <v>72.849999999999994</v>
      </c>
      <c r="D2581">
        <f>_xlfn.XLOOKUP(A2581,'[1]Global_Spot Prices'!$B:$B,'[1]Global_Spot Prices'!$D:$D)</f>
        <v>74.52</v>
      </c>
      <c r="E2581">
        <f>_xlfn.XLOOKUP(A2581,'[1]Global_Spot Prices'!$B:$B,'[1]Global_Spot Prices'!$H:$H)</f>
        <v>69.150000000000006</v>
      </c>
      <c r="F2581">
        <f>_xlfn.XLOOKUP(A2581,'[1]Global_Spot Prices'!$B:$B,'[1]Global_Spot Prices'!$I:$I)</f>
        <v>79.3</v>
      </c>
      <c r="G2581" cm="1">
        <f t="array" ref="G2581">_xlfn.XLOOKUP(TEXT(A2581, "mmm-yy"), TEXT([2]RUNS!$B$5:$B$208, "mmm-yy"), [2]RUNS!$D$5:$D$208, "Not Found")</f>
        <v>30440.265877433398</v>
      </c>
      <c r="H2581" cm="1">
        <f t="array" ref="H2581">SUMPRODUCT(
    --(TEXT('[3]Global Weekly Stock (EWSuez'!$B$4:$B$2000,"mmm-yy")=TEXT(A2581,"mmm-yy")),
    '[3]Global Weekly Stock (EWSuez'!$E$4:$E$2000)
/
SUMPRODUCT(
    --(TEXT('[3]Global Weekly Stock (EWSuez'!$B$4:$B$2000,"mmm-yy")=TEXT(A2581,"mmm-yy"))
)</f>
        <v>14117</v>
      </c>
      <c r="I2581">
        <f>_xlfn.XLOOKUP(A2581,[1]ForwardDeriv!$D:$D,[1]ForwardDeriv!$AJ:$AJ)</f>
        <v>9.0000000000003411E-2</v>
      </c>
      <c r="J2581" cm="1">
        <f t="array" ref="J2581">_xlfn.XLOOKUP(TEXT(A2581, "mmm-yy"), TEXT([2]GASOLINE!$B$5:$B$208, "mmm-yy"), [2]GASOLINE!$IR$5:$IR$208, "Not Found")</f>
        <v>-284.5426200904393</v>
      </c>
      <c r="K2581" cm="1">
        <f t="array" ref="K2581">_xlfn.XLOOKUP(TEXT(A2581, "mmm-yy"), TEXT([2]GASOLINE!$B$5:$B$208, "mmm-yy"), [2]GASOLINE!$IK$5:$IK$208, "Not Found")</f>
        <v>269.05299390746575</v>
      </c>
      <c r="L2581">
        <f t="shared" si="40"/>
        <v>0</v>
      </c>
      <c r="M2581" cm="1">
        <f t="array" ref="M2581">_xlfn.XLOOKUP(TEXT(A2581, "mmm-yy"), TEXT([2]GASOLINE!$B$5:$B$208, "mmm-yy"), [2]GASOLINE!$C$5:$C$208, "Not Found")</f>
        <v>7559.2483091684053</v>
      </c>
      <c r="N2581" cm="1">
        <f t="array" ref="N2581">_xlfn.XLOOKUP(TEXT(A2581, "mmm-yy"), TEXT([2]RUNS!$B$5:$B$208, "mmm-yy"), [2]RUNS!$BM$5:$BM$208, "Not Found")</f>
        <v>0.8273857360769481</v>
      </c>
    </row>
    <row r="2582" spans="1:14" x14ac:dyDescent="0.25">
      <c r="A2582" s="1">
        <f>'[1]Global_Spot Prices'!$B3891</f>
        <v>45617</v>
      </c>
      <c r="B2582">
        <f>_xlfn.XLOOKUP(A2582,'[1]Global_Spot Prices'!$B:$B,'[1]Global_Spot Prices'!$BS:$BS)</f>
        <v>6.5499999999999972</v>
      </c>
      <c r="C2582">
        <f>_xlfn.XLOOKUP(A2582,'[1]Global_Spot Prices'!$B:$B,'[1]Global_Spot Prices'!$E:$E)</f>
        <v>72.83</v>
      </c>
      <c r="D2582">
        <f>_xlfn.XLOOKUP(A2582,'[1]Global_Spot Prices'!$B:$B,'[1]Global_Spot Prices'!$D:$D)</f>
        <v>75.209999999999994</v>
      </c>
      <c r="E2582">
        <f>_xlfn.XLOOKUP(A2582,'[1]Global_Spot Prices'!$B:$B,'[1]Global_Spot Prices'!$H:$H)</f>
        <v>69.59</v>
      </c>
      <c r="F2582">
        <f>_xlfn.XLOOKUP(A2582,'[1]Global_Spot Prices'!$B:$B,'[1]Global_Spot Prices'!$I:$I)</f>
        <v>79.38</v>
      </c>
      <c r="G2582" cm="1">
        <f t="array" ref="G2582">_xlfn.XLOOKUP(TEXT(A2582, "mmm-yy"), TEXT([2]RUNS!$B$5:$B$208, "mmm-yy"), [2]RUNS!$D$5:$D$208, "Not Found")</f>
        <v>30440.265877433398</v>
      </c>
      <c r="H2582" cm="1">
        <f t="array" ref="H2582">SUMPRODUCT(
    --(TEXT('[3]Global Weekly Stock (EWSuez'!$B$4:$B$2000,"mmm-yy")=TEXT(A2582,"mmm-yy")),
    '[3]Global Weekly Stock (EWSuez'!$E$4:$E$2000)
/
SUMPRODUCT(
    --(TEXT('[3]Global Weekly Stock (EWSuez'!$B$4:$B$2000,"mmm-yy")=TEXT(A2582,"mmm-yy"))
)</f>
        <v>14117</v>
      </c>
      <c r="I2582">
        <f>_xlfn.XLOOKUP(A2582,[1]ForwardDeriv!$D:$D,[1]ForwardDeriv!$AJ:$AJ)</f>
        <v>0</v>
      </c>
      <c r="J2582" cm="1">
        <f t="array" ref="J2582">_xlfn.XLOOKUP(TEXT(A2582, "mmm-yy"), TEXT([2]GASOLINE!$B$5:$B$208, "mmm-yy"), [2]GASOLINE!$IR$5:$IR$208, "Not Found")</f>
        <v>-284.5426200904393</v>
      </c>
      <c r="K2582" cm="1">
        <f t="array" ref="K2582">_xlfn.XLOOKUP(TEXT(A2582, "mmm-yy"), TEXT([2]GASOLINE!$B$5:$B$208, "mmm-yy"), [2]GASOLINE!$IK$5:$IK$208, "Not Found")</f>
        <v>269.05299390746575</v>
      </c>
      <c r="L2582">
        <f t="shared" si="40"/>
        <v>0</v>
      </c>
      <c r="M2582" cm="1">
        <f t="array" ref="M2582">_xlfn.XLOOKUP(TEXT(A2582, "mmm-yy"), TEXT([2]GASOLINE!$B$5:$B$208, "mmm-yy"), [2]GASOLINE!$C$5:$C$208, "Not Found")</f>
        <v>7559.2483091684053</v>
      </c>
      <c r="N2582" cm="1">
        <f t="array" ref="N2582">_xlfn.XLOOKUP(TEXT(A2582, "mmm-yy"), TEXT([2]RUNS!$B$5:$B$208, "mmm-yy"), [2]RUNS!$BM$5:$BM$208, "Not Found")</f>
        <v>0.8273857360769481</v>
      </c>
    </row>
    <row r="2583" spans="1:14" x14ac:dyDescent="0.25">
      <c r="A2583" s="1">
        <f>'[1]Global_Spot Prices'!$B3892</f>
        <v>45618</v>
      </c>
      <c r="B2583">
        <f>_xlfn.XLOOKUP(A2583,'[1]Global_Spot Prices'!$B:$B,'[1]Global_Spot Prices'!$BS:$BS)</f>
        <v>6.1699999999999875</v>
      </c>
      <c r="C2583">
        <f>_xlfn.XLOOKUP(A2583,'[1]Global_Spot Prices'!$B:$B,'[1]Global_Spot Prices'!$E:$E)</f>
        <v>74.150000000000006</v>
      </c>
      <c r="D2583">
        <f>_xlfn.XLOOKUP(A2583,'[1]Global_Spot Prices'!$B:$B,'[1]Global_Spot Prices'!$D:$D)</f>
        <v>76.114999999999995</v>
      </c>
      <c r="E2583">
        <f>_xlfn.XLOOKUP(A2583,'[1]Global_Spot Prices'!$B:$B,'[1]Global_Spot Prices'!$H:$H)</f>
        <v>70.28</v>
      </c>
      <c r="F2583">
        <f>_xlfn.XLOOKUP(A2583,'[1]Global_Spot Prices'!$B:$B,'[1]Global_Spot Prices'!$I:$I)</f>
        <v>80.319999999999993</v>
      </c>
      <c r="G2583" cm="1">
        <f t="array" ref="G2583">_xlfn.XLOOKUP(TEXT(A2583, "mmm-yy"), TEXT([2]RUNS!$B$5:$B$208, "mmm-yy"), [2]RUNS!$D$5:$D$208, "Not Found")</f>
        <v>30440.265877433398</v>
      </c>
      <c r="H2583" cm="1">
        <f t="array" ref="H2583">SUMPRODUCT(
    --(TEXT('[3]Global Weekly Stock (EWSuez'!$B$4:$B$2000,"mmm-yy")=TEXT(A2583,"mmm-yy")),
    '[3]Global Weekly Stock (EWSuez'!$E$4:$E$2000)
/
SUMPRODUCT(
    --(TEXT('[3]Global Weekly Stock (EWSuez'!$B$4:$B$2000,"mmm-yy")=TEXT(A2583,"mmm-yy"))
)</f>
        <v>14117</v>
      </c>
      <c r="I2583">
        <f>_xlfn.XLOOKUP(A2583,[1]ForwardDeriv!$D:$D,[1]ForwardDeriv!$AJ:$AJ)</f>
        <v>-3.0000000000001137E-2</v>
      </c>
      <c r="J2583" cm="1">
        <f t="array" ref="J2583">_xlfn.XLOOKUP(TEXT(A2583, "mmm-yy"), TEXT([2]GASOLINE!$B$5:$B$208, "mmm-yy"), [2]GASOLINE!$IR$5:$IR$208, "Not Found")</f>
        <v>-284.5426200904393</v>
      </c>
      <c r="K2583" cm="1">
        <f t="array" ref="K2583">_xlfn.XLOOKUP(TEXT(A2583, "mmm-yy"), TEXT([2]GASOLINE!$B$5:$B$208, "mmm-yy"), [2]GASOLINE!$IK$5:$IK$208, "Not Found")</f>
        <v>269.05299390746575</v>
      </c>
      <c r="L2583">
        <f t="shared" si="40"/>
        <v>0</v>
      </c>
      <c r="M2583" cm="1">
        <f t="array" ref="M2583">_xlfn.XLOOKUP(TEXT(A2583, "mmm-yy"), TEXT([2]GASOLINE!$B$5:$B$208, "mmm-yy"), [2]GASOLINE!$C$5:$C$208, "Not Found")</f>
        <v>7559.2483091684053</v>
      </c>
      <c r="N2583" cm="1">
        <f t="array" ref="N2583">_xlfn.XLOOKUP(TEXT(A2583, "mmm-yy"), TEXT([2]RUNS!$B$5:$B$208, "mmm-yy"), [2]RUNS!$BM$5:$BM$208, "Not Found")</f>
        <v>0.8273857360769481</v>
      </c>
    </row>
    <row r="2584" spans="1:14" x14ac:dyDescent="0.25">
      <c r="A2584" s="1">
        <f>'[1]Global_Spot Prices'!$B3893</f>
        <v>45621</v>
      </c>
      <c r="B2584">
        <f>_xlfn.XLOOKUP(A2584,'[1]Global_Spot Prices'!$B:$B,'[1]Global_Spot Prices'!$BS:$BS)</f>
        <v>8.0099999999999909</v>
      </c>
      <c r="C2584">
        <f>_xlfn.XLOOKUP(A2584,'[1]Global_Spot Prices'!$B:$B,'[1]Global_Spot Prices'!$E:$E)</f>
        <v>73.540000000000006</v>
      </c>
      <c r="D2584">
        <f>_xlfn.XLOOKUP(A2584,'[1]Global_Spot Prices'!$B:$B,'[1]Global_Spot Prices'!$D:$D)</f>
        <v>74.290000000000006</v>
      </c>
      <c r="E2584">
        <f>_xlfn.XLOOKUP(A2584,'[1]Global_Spot Prices'!$B:$B,'[1]Global_Spot Prices'!$H:$H)</f>
        <v>69.510000000000005</v>
      </c>
      <c r="F2584">
        <f>_xlfn.XLOOKUP(A2584,'[1]Global_Spot Prices'!$B:$B,'[1]Global_Spot Prices'!$I:$I)</f>
        <v>81.55</v>
      </c>
      <c r="G2584" cm="1">
        <f t="array" ref="G2584">_xlfn.XLOOKUP(TEXT(A2584, "mmm-yy"), TEXT([2]RUNS!$B$5:$B$208, "mmm-yy"), [2]RUNS!$D$5:$D$208, "Not Found")</f>
        <v>30440.265877433398</v>
      </c>
      <c r="H2584" cm="1">
        <f t="array" ref="H2584">SUMPRODUCT(
    --(TEXT('[3]Global Weekly Stock (EWSuez'!$B$4:$B$2000,"mmm-yy")=TEXT(A2584,"mmm-yy")),
    '[3]Global Weekly Stock (EWSuez'!$E$4:$E$2000)
/
SUMPRODUCT(
    --(TEXT('[3]Global Weekly Stock (EWSuez'!$B$4:$B$2000,"mmm-yy")=TEXT(A2584,"mmm-yy"))
)</f>
        <v>14117</v>
      </c>
      <c r="I2584">
        <f>_xlfn.XLOOKUP(A2584,[1]ForwardDeriv!$D:$D,[1]ForwardDeriv!$AJ:$AJ)</f>
        <v>0.10999999999999943</v>
      </c>
      <c r="J2584" cm="1">
        <f t="array" ref="J2584">_xlfn.XLOOKUP(TEXT(A2584, "mmm-yy"), TEXT([2]GASOLINE!$B$5:$B$208, "mmm-yy"), [2]GASOLINE!$IR$5:$IR$208, "Not Found")</f>
        <v>-284.5426200904393</v>
      </c>
      <c r="K2584" cm="1">
        <f t="array" ref="K2584">_xlfn.XLOOKUP(TEXT(A2584, "mmm-yy"), TEXT([2]GASOLINE!$B$5:$B$208, "mmm-yy"), [2]GASOLINE!$IK$5:$IK$208, "Not Found")</f>
        <v>269.05299390746575</v>
      </c>
      <c r="L2584">
        <f t="shared" si="40"/>
        <v>0</v>
      </c>
      <c r="M2584" cm="1">
        <f t="array" ref="M2584">_xlfn.XLOOKUP(TEXT(A2584, "mmm-yy"), TEXT([2]GASOLINE!$B$5:$B$208, "mmm-yy"), [2]GASOLINE!$C$5:$C$208, "Not Found")</f>
        <v>7559.2483091684053</v>
      </c>
      <c r="N2584" cm="1">
        <f t="array" ref="N2584">_xlfn.XLOOKUP(TEXT(A2584, "mmm-yy"), TEXT([2]RUNS!$B$5:$B$208, "mmm-yy"), [2]RUNS!$BM$5:$BM$208, "Not Found")</f>
        <v>0.8273857360769481</v>
      </c>
    </row>
    <row r="2585" spans="1:14" x14ac:dyDescent="0.25">
      <c r="A2585" s="1">
        <f>'[1]Global_Spot Prices'!$B3894</f>
        <v>45622</v>
      </c>
      <c r="B2585">
        <f>_xlfn.XLOOKUP(A2585,'[1]Global_Spot Prices'!$B:$B,'[1]Global_Spot Prices'!$BS:$BS)</f>
        <v>7.7999999999999972</v>
      </c>
      <c r="C2585">
        <f>_xlfn.XLOOKUP(A2585,'[1]Global_Spot Prices'!$B:$B,'[1]Global_Spot Prices'!$E:$E)</f>
        <v>72.510000000000005</v>
      </c>
      <c r="D2585">
        <f>_xlfn.XLOOKUP(A2585,'[1]Global_Spot Prices'!$B:$B,'[1]Global_Spot Prices'!$D:$D)</f>
        <v>74.584999999999994</v>
      </c>
      <c r="E2585">
        <f>_xlfn.XLOOKUP(A2585,'[1]Global_Spot Prices'!$B:$B,'[1]Global_Spot Prices'!$H:$H)</f>
        <v>68.400000000000006</v>
      </c>
      <c r="F2585">
        <f>_xlfn.XLOOKUP(A2585,'[1]Global_Spot Prices'!$B:$B,'[1]Global_Spot Prices'!$I:$I)</f>
        <v>80.31</v>
      </c>
      <c r="G2585" cm="1">
        <f t="array" ref="G2585">_xlfn.XLOOKUP(TEXT(A2585, "mmm-yy"), TEXT([2]RUNS!$B$5:$B$208, "mmm-yy"), [2]RUNS!$D$5:$D$208, "Not Found")</f>
        <v>30440.265877433398</v>
      </c>
      <c r="H2585" cm="1">
        <f t="array" ref="H2585">SUMPRODUCT(
    --(TEXT('[3]Global Weekly Stock (EWSuez'!$B$4:$B$2000,"mmm-yy")=TEXT(A2585,"mmm-yy")),
    '[3]Global Weekly Stock (EWSuez'!$E$4:$E$2000)
/
SUMPRODUCT(
    --(TEXT('[3]Global Weekly Stock (EWSuez'!$B$4:$B$2000,"mmm-yy")=TEXT(A2585,"mmm-yy"))
)</f>
        <v>14117</v>
      </c>
      <c r="I2585">
        <f>_xlfn.XLOOKUP(A2585,[1]ForwardDeriv!$D:$D,[1]ForwardDeriv!$AJ:$AJ)</f>
        <v>0.23999999999999488</v>
      </c>
      <c r="J2585" cm="1">
        <f t="array" ref="J2585">_xlfn.XLOOKUP(TEXT(A2585, "mmm-yy"), TEXT([2]GASOLINE!$B$5:$B$208, "mmm-yy"), [2]GASOLINE!$IR$5:$IR$208, "Not Found")</f>
        <v>-284.5426200904393</v>
      </c>
      <c r="K2585" cm="1">
        <f t="array" ref="K2585">_xlfn.XLOOKUP(TEXT(A2585, "mmm-yy"), TEXT([2]GASOLINE!$B$5:$B$208, "mmm-yy"), [2]GASOLINE!$IK$5:$IK$208, "Not Found")</f>
        <v>269.05299390746575</v>
      </c>
      <c r="L2585">
        <f t="shared" si="40"/>
        <v>0</v>
      </c>
      <c r="M2585" cm="1">
        <f t="array" ref="M2585">_xlfn.XLOOKUP(TEXT(A2585, "mmm-yy"), TEXT([2]GASOLINE!$B$5:$B$208, "mmm-yy"), [2]GASOLINE!$C$5:$C$208, "Not Found")</f>
        <v>7559.2483091684053</v>
      </c>
      <c r="N2585" cm="1">
        <f t="array" ref="N2585">_xlfn.XLOOKUP(TEXT(A2585, "mmm-yy"), TEXT([2]RUNS!$B$5:$B$208, "mmm-yy"), [2]RUNS!$BM$5:$BM$208, "Not Found")</f>
        <v>0.8273857360769481</v>
      </c>
    </row>
    <row r="2586" spans="1:14" x14ac:dyDescent="0.25">
      <c r="A2586" s="1">
        <f>'[1]Global_Spot Prices'!$B3895</f>
        <v>45623</v>
      </c>
      <c r="B2586">
        <f>_xlfn.XLOOKUP(A2586,'[1]Global_Spot Prices'!$B:$B,'[1]Global_Spot Prices'!$BS:$BS)</f>
        <v>7.9899999999999949</v>
      </c>
      <c r="C2586">
        <f>_xlfn.XLOOKUP(A2586,'[1]Global_Spot Prices'!$B:$B,'[1]Global_Spot Prices'!$E:$E)</f>
        <v>72.25</v>
      </c>
      <c r="D2586">
        <f>_xlfn.XLOOKUP(A2586,'[1]Global_Spot Prices'!$B:$B,'[1]Global_Spot Prices'!$D:$D)</f>
        <v>73.930000000000007</v>
      </c>
      <c r="E2586">
        <f>_xlfn.XLOOKUP(A2586,'[1]Global_Spot Prices'!$B:$B,'[1]Global_Spot Prices'!$H:$H)</f>
        <v>67.84</v>
      </c>
      <c r="F2586">
        <f>_xlfn.XLOOKUP(A2586,'[1]Global_Spot Prices'!$B:$B,'[1]Global_Spot Prices'!$I:$I)</f>
        <v>80.239999999999995</v>
      </c>
      <c r="G2586" cm="1">
        <f t="array" ref="G2586">_xlfn.XLOOKUP(TEXT(A2586, "mmm-yy"), TEXT([2]RUNS!$B$5:$B$208, "mmm-yy"), [2]RUNS!$D$5:$D$208, "Not Found")</f>
        <v>30440.265877433398</v>
      </c>
      <c r="H2586" cm="1">
        <f t="array" ref="H2586">SUMPRODUCT(
    --(TEXT('[3]Global Weekly Stock (EWSuez'!$B$4:$B$2000,"mmm-yy")=TEXT(A2586,"mmm-yy")),
    '[3]Global Weekly Stock (EWSuez'!$E$4:$E$2000)
/
SUMPRODUCT(
    --(TEXT('[3]Global Weekly Stock (EWSuez'!$B$4:$B$2000,"mmm-yy")=TEXT(A2586,"mmm-yy"))
)</f>
        <v>14117</v>
      </c>
      <c r="I2586">
        <f>_xlfn.XLOOKUP(A2586,[1]ForwardDeriv!$D:$D,[1]ForwardDeriv!$AJ:$AJ)</f>
        <v>0.36999999999999034</v>
      </c>
      <c r="J2586" cm="1">
        <f t="array" ref="J2586">_xlfn.XLOOKUP(TEXT(A2586, "mmm-yy"), TEXT([2]GASOLINE!$B$5:$B$208, "mmm-yy"), [2]GASOLINE!$IR$5:$IR$208, "Not Found")</f>
        <v>-284.5426200904393</v>
      </c>
      <c r="K2586" cm="1">
        <f t="array" ref="K2586">_xlfn.XLOOKUP(TEXT(A2586, "mmm-yy"), TEXT([2]GASOLINE!$B$5:$B$208, "mmm-yy"), [2]GASOLINE!$IK$5:$IK$208, "Not Found")</f>
        <v>269.05299390746575</v>
      </c>
      <c r="L2586">
        <f t="shared" si="40"/>
        <v>0</v>
      </c>
      <c r="M2586" cm="1">
        <f t="array" ref="M2586">_xlfn.XLOOKUP(TEXT(A2586, "mmm-yy"), TEXT([2]GASOLINE!$B$5:$B$208, "mmm-yy"), [2]GASOLINE!$C$5:$C$208, "Not Found")</f>
        <v>7559.2483091684053</v>
      </c>
      <c r="N2586" cm="1">
        <f t="array" ref="N2586">_xlfn.XLOOKUP(TEXT(A2586, "mmm-yy"), TEXT([2]RUNS!$B$5:$B$208, "mmm-yy"), [2]RUNS!$BM$5:$BM$208, "Not Found")</f>
        <v>0.8273857360769481</v>
      </c>
    </row>
    <row r="2587" spans="1:14" x14ac:dyDescent="0.25">
      <c r="A2587" s="1">
        <f>'[1]Global_Spot Prices'!$B3896</f>
        <v>45624</v>
      </c>
      <c r="B2587">
        <f>_xlfn.XLOOKUP(A2587,'[1]Global_Spot Prices'!$B:$B,'[1]Global_Spot Prices'!$BS:$BS)</f>
        <v>7.8800000000000097</v>
      </c>
      <c r="C2587">
        <f>_xlfn.XLOOKUP(A2587,'[1]Global_Spot Prices'!$B:$B,'[1]Global_Spot Prices'!$E:$E)</f>
        <v>71.849999999999994</v>
      </c>
      <c r="D2587">
        <f>_xlfn.XLOOKUP(A2587,'[1]Global_Spot Prices'!$B:$B,'[1]Global_Spot Prices'!$D:$D)</f>
        <v>73.864999999999995</v>
      </c>
      <c r="E2587">
        <f>_xlfn.XLOOKUP(A2587,'[1]Global_Spot Prices'!$B:$B,'[1]Global_Spot Prices'!$H:$H)</f>
        <v>67.67</v>
      </c>
      <c r="F2587">
        <f>_xlfn.XLOOKUP(A2587,'[1]Global_Spot Prices'!$B:$B,'[1]Global_Spot Prices'!$I:$I)</f>
        <v>79.73</v>
      </c>
      <c r="G2587" cm="1">
        <f t="array" ref="G2587">_xlfn.XLOOKUP(TEXT(A2587, "mmm-yy"), TEXT([2]RUNS!$B$5:$B$208, "mmm-yy"), [2]RUNS!$D$5:$D$208, "Not Found")</f>
        <v>30440.265877433398</v>
      </c>
      <c r="H2587" cm="1">
        <f t="array" ref="H2587">SUMPRODUCT(
    --(TEXT('[3]Global Weekly Stock (EWSuez'!$B$4:$B$2000,"mmm-yy")=TEXT(A2587,"mmm-yy")),
    '[3]Global Weekly Stock (EWSuez'!$E$4:$E$2000)
/
SUMPRODUCT(
    --(TEXT('[3]Global Weekly Stock (EWSuez'!$B$4:$B$2000,"mmm-yy")=TEXT(A2587,"mmm-yy"))
)</f>
        <v>14117</v>
      </c>
      <c r="I2587">
        <f>_xlfn.XLOOKUP(A2587,[1]ForwardDeriv!$D:$D,[1]ForwardDeriv!$AJ:$AJ)</f>
        <v>0.32999999999999829</v>
      </c>
      <c r="J2587" cm="1">
        <f t="array" ref="J2587">_xlfn.XLOOKUP(TEXT(A2587, "mmm-yy"), TEXT([2]GASOLINE!$B$5:$B$208, "mmm-yy"), [2]GASOLINE!$IR$5:$IR$208, "Not Found")</f>
        <v>-284.5426200904393</v>
      </c>
      <c r="K2587" cm="1">
        <f t="array" ref="K2587">_xlfn.XLOOKUP(TEXT(A2587, "mmm-yy"), TEXT([2]GASOLINE!$B$5:$B$208, "mmm-yy"), [2]GASOLINE!$IK$5:$IK$208, "Not Found")</f>
        <v>269.05299390746575</v>
      </c>
      <c r="L2587">
        <f t="shared" si="40"/>
        <v>0</v>
      </c>
      <c r="M2587" cm="1">
        <f t="array" ref="M2587">_xlfn.XLOOKUP(TEXT(A2587, "mmm-yy"), TEXT([2]GASOLINE!$B$5:$B$208, "mmm-yy"), [2]GASOLINE!$C$5:$C$208, "Not Found")</f>
        <v>7559.2483091684053</v>
      </c>
      <c r="N2587" cm="1">
        <f t="array" ref="N2587">_xlfn.XLOOKUP(TEXT(A2587, "mmm-yy"), TEXT([2]RUNS!$B$5:$B$208, "mmm-yy"), [2]RUNS!$BM$5:$BM$208, "Not Found")</f>
        <v>0.8273857360769481</v>
      </c>
    </row>
    <row r="2588" spans="1:14" x14ac:dyDescent="0.25">
      <c r="A2588" s="1">
        <f>'[1]Global_Spot Prices'!$B3897</f>
        <v>45625</v>
      </c>
      <c r="B2588">
        <f>_xlfn.XLOOKUP(A2588,'[1]Global_Spot Prices'!$B:$B,'[1]Global_Spot Prices'!$BS:$BS)</f>
        <v>7.9200000000000017</v>
      </c>
      <c r="C2588">
        <f>_xlfn.XLOOKUP(A2588,'[1]Global_Spot Prices'!$B:$B,'[1]Global_Spot Prices'!$E:$E)</f>
        <v>72.349999999999994</v>
      </c>
      <c r="D2588">
        <f>_xlfn.XLOOKUP(A2588,'[1]Global_Spot Prices'!$B:$B,'[1]Global_Spot Prices'!$D:$D)</f>
        <v>74.31</v>
      </c>
      <c r="E2588">
        <f>_xlfn.XLOOKUP(A2588,'[1]Global_Spot Prices'!$B:$B,'[1]Global_Spot Prices'!$H:$H)</f>
        <v>68.34</v>
      </c>
      <c r="F2588">
        <f>_xlfn.XLOOKUP(A2588,'[1]Global_Spot Prices'!$B:$B,'[1]Global_Spot Prices'!$I:$I)</f>
        <v>80.27</v>
      </c>
      <c r="G2588" cm="1">
        <f t="array" ref="G2588">_xlfn.XLOOKUP(TEXT(A2588, "mmm-yy"), TEXT([2]RUNS!$B$5:$B$208, "mmm-yy"), [2]RUNS!$D$5:$D$208, "Not Found")</f>
        <v>30440.265877433398</v>
      </c>
      <c r="H2588" cm="1">
        <f t="array" ref="H2588">SUMPRODUCT(
    --(TEXT('[3]Global Weekly Stock (EWSuez'!$B$4:$B$2000,"mmm-yy")=TEXT(A2588,"mmm-yy")),
    '[3]Global Weekly Stock (EWSuez'!$E$4:$E$2000)
/
SUMPRODUCT(
    --(TEXT('[3]Global Weekly Stock (EWSuez'!$B$4:$B$2000,"mmm-yy")=TEXT(A2588,"mmm-yy"))
)</f>
        <v>14117</v>
      </c>
      <c r="I2588">
        <f>_xlfn.XLOOKUP(A2588,[1]ForwardDeriv!$D:$D,[1]ForwardDeriv!$AJ:$AJ)</f>
        <v>0.46999999999999886</v>
      </c>
      <c r="J2588" cm="1">
        <f t="array" ref="J2588">_xlfn.XLOOKUP(TEXT(A2588, "mmm-yy"), TEXT([2]GASOLINE!$B$5:$B$208, "mmm-yy"), [2]GASOLINE!$IR$5:$IR$208, "Not Found")</f>
        <v>-284.5426200904393</v>
      </c>
      <c r="K2588" cm="1">
        <f t="array" ref="K2588">_xlfn.XLOOKUP(TEXT(A2588, "mmm-yy"), TEXT([2]GASOLINE!$B$5:$B$208, "mmm-yy"), [2]GASOLINE!$IK$5:$IK$208, "Not Found")</f>
        <v>269.05299390746575</v>
      </c>
      <c r="L2588">
        <f t="shared" si="40"/>
        <v>0</v>
      </c>
      <c r="M2588" cm="1">
        <f t="array" ref="M2588">_xlfn.XLOOKUP(TEXT(A2588, "mmm-yy"), TEXT([2]GASOLINE!$B$5:$B$208, "mmm-yy"), [2]GASOLINE!$C$5:$C$208, "Not Found")</f>
        <v>7559.2483091684053</v>
      </c>
      <c r="N2588" cm="1">
        <f t="array" ref="N2588">_xlfn.XLOOKUP(TEXT(A2588, "mmm-yy"), TEXT([2]RUNS!$B$5:$B$208, "mmm-yy"), [2]RUNS!$BM$5:$BM$208, "Not Found")</f>
        <v>0.8273857360769481</v>
      </c>
    </row>
    <row r="2589" spans="1:14" x14ac:dyDescent="0.25">
      <c r="A2589" s="1">
        <f>'[1]Global_Spot Prices'!$B3898</f>
        <v>45628</v>
      </c>
      <c r="B2589">
        <f>_xlfn.XLOOKUP(A2589,'[1]Global_Spot Prices'!$B:$B,'[1]Global_Spot Prices'!$BS:$BS)</f>
        <v>8.3400000000000034</v>
      </c>
      <c r="C2589">
        <f>_xlfn.XLOOKUP(A2589,'[1]Global_Spot Prices'!$B:$B,'[1]Global_Spot Prices'!$E:$E)</f>
        <v>72.099999999999994</v>
      </c>
      <c r="D2589">
        <f>_xlfn.XLOOKUP(A2589,'[1]Global_Spot Prices'!$B:$B,'[1]Global_Spot Prices'!$D:$D)</f>
        <v>73.05</v>
      </c>
      <c r="E2589">
        <f>_xlfn.XLOOKUP(A2589,'[1]Global_Spot Prices'!$B:$B,'[1]Global_Spot Prices'!$H:$H)</f>
        <v>67.930000000000007</v>
      </c>
      <c r="F2589">
        <f>_xlfn.XLOOKUP(A2589,'[1]Global_Spot Prices'!$B:$B,'[1]Global_Spot Prices'!$I:$I)</f>
        <v>80.44</v>
      </c>
      <c r="G2589" cm="1">
        <f t="array" ref="G2589">_xlfn.XLOOKUP(TEXT(A2589, "mmm-yy"), TEXT([2]RUNS!$B$5:$B$208, "mmm-yy"), [2]RUNS!$D$5:$D$208, "Not Found")</f>
        <v>30626.106830942779</v>
      </c>
      <c r="H2589" cm="1">
        <f t="array" ref="H2589">SUMPRODUCT(
    --(TEXT('[3]Global Weekly Stock (EWSuez'!$B$4:$B$2000,"mmm-yy")=TEXT(A2589,"mmm-yy")),
    '[3]Global Weekly Stock (EWSuez'!$E$4:$E$2000)
/
SUMPRODUCT(
    --(TEXT('[3]Global Weekly Stock (EWSuez'!$B$4:$B$2000,"mmm-yy")=TEXT(A2589,"mmm-yy"))
)</f>
        <v>15365.25</v>
      </c>
      <c r="I2589">
        <f>_xlfn.XLOOKUP(A2589,[1]ForwardDeriv!$D:$D,[1]ForwardDeriv!$AJ:$AJ)</f>
        <v>0.39000000000000057</v>
      </c>
      <c r="J2589" cm="1">
        <f t="array" ref="J2589">_xlfn.XLOOKUP(TEXT(A2589, "mmm-yy"), TEXT([2]GASOLINE!$B$5:$B$208, "mmm-yy"), [2]GASOLINE!$IR$5:$IR$208, "Not Found")</f>
        <v>-235.88318620556552</v>
      </c>
      <c r="K2589" cm="1">
        <f t="array" ref="K2589">_xlfn.XLOOKUP(TEXT(A2589, "mmm-yy"), TEXT([2]GASOLINE!$B$5:$B$208, "mmm-yy"), [2]GASOLINE!$IK$5:$IK$208, "Not Found")</f>
        <v>290.71431214472386</v>
      </c>
      <c r="L2589">
        <f t="shared" si="40"/>
        <v>0</v>
      </c>
      <c r="M2589" cm="1">
        <f t="array" ref="M2589">_xlfn.XLOOKUP(TEXT(A2589, "mmm-yy"), TEXT([2]GASOLINE!$B$5:$B$208, "mmm-yy"), [2]GASOLINE!$C$5:$C$208, "Not Found")</f>
        <v>7639.8829777333303</v>
      </c>
      <c r="N2589" cm="1">
        <f t="array" ref="N2589">_xlfn.XLOOKUP(TEXT(A2589, "mmm-yy"), TEXT([2]RUNS!$B$5:$B$208, "mmm-yy"), [2]RUNS!$BM$5:$BM$208, "Not Found")</f>
        <v>0.83243701107998913</v>
      </c>
    </row>
    <row r="2590" spans="1:14" x14ac:dyDescent="0.25">
      <c r="A2590" s="1">
        <f>'[1]Global_Spot Prices'!$B3899</f>
        <v>45629</v>
      </c>
      <c r="B2590">
        <f>_xlfn.XLOOKUP(A2590,'[1]Global_Spot Prices'!$B:$B,'[1]Global_Spot Prices'!$BS:$BS)</f>
        <v>8.9399999999999977</v>
      </c>
      <c r="C2590">
        <f>_xlfn.XLOOKUP(A2590,'[1]Global_Spot Prices'!$B:$B,'[1]Global_Spot Prices'!$E:$E)</f>
        <v>71.89</v>
      </c>
      <c r="D2590">
        <f>_xlfn.XLOOKUP(A2590,'[1]Global_Spot Prices'!$B:$B,'[1]Global_Spot Prices'!$D:$D)</f>
        <v>75.02</v>
      </c>
      <c r="E2590">
        <f>_xlfn.XLOOKUP(A2590,'[1]Global_Spot Prices'!$B:$B,'[1]Global_Spot Prices'!$H:$H)</f>
        <v>67.349999999999994</v>
      </c>
      <c r="F2590">
        <f>_xlfn.XLOOKUP(A2590,'[1]Global_Spot Prices'!$B:$B,'[1]Global_Spot Prices'!$I:$I)</f>
        <v>80.83</v>
      </c>
      <c r="G2590" cm="1">
        <f t="array" ref="G2590">_xlfn.XLOOKUP(TEXT(A2590, "mmm-yy"), TEXT([2]RUNS!$B$5:$B$208, "mmm-yy"), [2]RUNS!$D$5:$D$208, "Not Found")</f>
        <v>30626.106830942779</v>
      </c>
      <c r="H2590" cm="1">
        <f t="array" ref="H2590">SUMPRODUCT(
    --(TEXT('[3]Global Weekly Stock (EWSuez'!$B$4:$B$2000,"mmm-yy")=TEXT(A2590,"mmm-yy")),
    '[3]Global Weekly Stock (EWSuez'!$E$4:$E$2000)
/
SUMPRODUCT(
    --(TEXT('[3]Global Weekly Stock (EWSuez'!$B$4:$B$2000,"mmm-yy")=TEXT(A2590,"mmm-yy"))
)</f>
        <v>15365.25</v>
      </c>
      <c r="I2590">
        <f>_xlfn.XLOOKUP(A2590,[1]ForwardDeriv!$D:$D,[1]ForwardDeriv!$AJ:$AJ)</f>
        <v>0.46999999999999886</v>
      </c>
      <c r="J2590" cm="1">
        <f t="array" ref="J2590">_xlfn.XLOOKUP(TEXT(A2590, "mmm-yy"), TEXT([2]GASOLINE!$B$5:$B$208, "mmm-yy"), [2]GASOLINE!$IR$5:$IR$208, "Not Found")</f>
        <v>-235.88318620556552</v>
      </c>
      <c r="K2590" cm="1">
        <f t="array" ref="K2590">_xlfn.XLOOKUP(TEXT(A2590, "mmm-yy"), TEXT([2]GASOLINE!$B$5:$B$208, "mmm-yy"), [2]GASOLINE!$IK$5:$IK$208, "Not Found")</f>
        <v>290.71431214472386</v>
      </c>
      <c r="L2590">
        <f t="shared" si="40"/>
        <v>0</v>
      </c>
      <c r="M2590" cm="1">
        <f t="array" ref="M2590">_xlfn.XLOOKUP(TEXT(A2590, "mmm-yy"), TEXT([2]GASOLINE!$B$5:$B$208, "mmm-yy"), [2]GASOLINE!$C$5:$C$208, "Not Found")</f>
        <v>7639.8829777333303</v>
      </c>
      <c r="N2590" cm="1">
        <f t="array" ref="N2590">_xlfn.XLOOKUP(TEXT(A2590, "mmm-yy"), TEXT([2]RUNS!$B$5:$B$208, "mmm-yy"), [2]RUNS!$BM$5:$BM$208, "Not Found")</f>
        <v>0.83243701107998913</v>
      </c>
    </row>
    <row r="2591" spans="1:14" x14ac:dyDescent="0.25">
      <c r="A2591" s="1">
        <f>'[1]Global_Spot Prices'!$B3900</f>
        <v>45630</v>
      </c>
      <c r="B2591">
        <f>_xlfn.XLOOKUP(A2591,'[1]Global_Spot Prices'!$B:$B,'[1]Global_Spot Prices'!$BS:$BS)</f>
        <v>9.1350000000000051</v>
      </c>
      <c r="C2591">
        <f>_xlfn.XLOOKUP(A2591,'[1]Global_Spot Prices'!$B:$B,'[1]Global_Spot Prices'!$E:$E)</f>
        <v>73.394999999999996</v>
      </c>
      <c r="D2591">
        <f>_xlfn.XLOOKUP(A2591,'[1]Global_Spot Prices'!$B:$B,'[1]Global_Spot Prices'!$D:$D)</f>
        <v>74.94</v>
      </c>
      <c r="E2591">
        <f>_xlfn.XLOOKUP(A2591,'[1]Global_Spot Prices'!$B:$B,'[1]Global_Spot Prices'!$H:$H)</f>
        <v>68.19</v>
      </c>
      <c r="F2591">
        <f>_xlfn.XLOOKUP(A2591,'[1]Global_Spot Prices'!$B:$B,'[1]Global_Spot Prices'!$I:$I)</f>
        <v>82.53</v>
      </c>
      <c r="G2591" cm="1">
        <f t="array" ref="G2591">_xlfn.XLOOKUP(TEXT(A2591, "mmm-yy"), TEXT([2]RUNS!$B$5:$B$208, "mmm-yy"), [2]RUNS!$D$5:$D$208, "Not Found")</f>
        <v>30626.106830942779</v>
      </c>
      <c r="H2591" cm="1">
        <f t="array" ref="H2591">SUMPRODUCT(
    --(TEXT('[3]Global Weekly Stock (EWSuez'!$B$4:$B$2000,"mmm-yy")=TEXT(A2591,"mmm-yy")),
    '[3]Global Weekly Stock (EWSuez'!$E$4:$E$2000)
/
SUMPRODUCT(
    --(TEXT('[3]Global Weekly Stock (EWSuez'!$B$4:$B$2000,"mmm-yy")=TEXT(A2591,"mmm-yy"))
)</f>
        <v>15365.25</v>
      </c>
      <c r="I2591">
        <f>_xlfn.XLOOKUP(A2591,[1]ForwardDeriv!$D:$D,[1]ForwardDeriv!$AJ:$AJ)</f>
        <v>0.48000000000000398</v>
      </c>
      <c r="J2591" cm="1">
        <f t="array" ref="J2591">_xlfn.XLOOKUP(TEXT(A2591, "mmm-yy"), TEXT([2]GASOLINE!$B$5:$B$208, "mmm-yy"), [2]GASOLINE!$IR$5:$IR$208, "Not Found")</f>
        <v>-235.88318620556552</v>
      </c>
      <c r="K2591" cm="1">
        <f t="array" ref="K2591">_xlfn.XLOOKUP(TEXT(A2591, "mmm-yy"), TEXT([2]GASOLINE!$B$5:$B$208, "mmm-yy"), [2]GASOLINE!$IK$5:$IK$208, "Not Found")</f>
        <v>290.71431214472386</v>
      </c>
      <c r="L2591">
        <f t="shared" si="40"/>
        <v>0</v>
      </c>
      <c r="M2591" cm="1">
        <f t="array" ref="M2591">_xlfn.XLOOKUP(TEXT(A2591, "mmm-yy"), TEXT([2]GASOLINE!$B$5:$B$208, "mmm-yy"), [2]GASOLINE!$C$5:$C$208, "Not Found")</f>
        <v>7639.8829777333303</v>
      </c>
      <c r="N2591" cm="1">
        <f t="array" ref="N2591">_xlfn.XLOOKUP(TEXT(A2591, "mmm-yy"), TEXT([2]RUNS!$B$5:$B$208, "mmm-yy"), [2]RUNS!$BM$5:$BM$208, "Not Found")</f>
        <v>0.83243701107998913</v>
      </c>
    </row>
    <row r="2592" spans="1:14" x14ac:dyDescent="0.25">
      <c r="A2592" s="1">
        <f>'[1]Global_Spot Prices'!$B3901</f>
        <v>45631</v>
      </c>
      <c r="B2592">
        <f>_xlfn.XLOOKUP(A2592,'[1]Global_Spot Prices'!$B:$B,'[1]Global_Spot Prices'!$BS:$BS)</f>
        <v>8.710000000000008</v>
      </c>
      <c r="C2592">
        <f>_xlfn.XLOOKUP(A2592,'[1]Global_Spot Prices'!$B:$B,'[1]Global_Spot Prices'!$E:$E)</f>
        <v>72.099999999999994</v>
      </c>
      <c r="D2592">
        <f>_xlfn.XLOOKUP(A2592,'[1]Global_Spot Prices'!$B:$B,'[1]Global_Spot Prices'!$D:$D)</f>
        <v>73.885000000000005</v>
      </c>
      <c r="E2592">
        <f>_xlfn.XLOOKUP(A2592,'[1]Global_Spot Prices'!$B:$B,'[1]Global_Spot Prices'!$H:$H)</f>
        <v>67.25</v>
      </c>
      <c r="F2592">
        <f>_xlfn.XLOOKUP(A2592,'[1]Global_Spot Prices'!$B:$B,'[1]Global_Spot Prices'!$I:$I)</f>
        <v>80.81</v>
      </c>
      <c r="G2592" cm="1">
        <f t="array" ref="G2592">_xlfn.XLOOKUP(TEXT(A2592, "mmm-yy"), TEXT([2]RUNS!$B$5:$B$208, "mmm-yy"), [2]RUNS!$D$5:$D$208, "Not Found")</f>
        <v>30626.106830942779</v>
      </c>
      <c r="H2592" cm="1">
        <f t="array" ref="H2592">SUMPRODUCT(
    --(TEXT('[3]Global Weekly Stock (EWSuez'!$B$4:$B$2000,"mmm-yy")=TEXT(A2592,"mmm-yy")),
    '[3]Global Weekly Stock (EWSuez'!$E$4:$E$2000)
/
SUMPRODUCT(
    --(TEXT('[3]Global Weekly Stock (EWSuez'!$B$4:$B$2000,"mmm-yy")=TEXT(A2592,"mmm-yy"))
)</f>
        <v>15365.25</v>
      </c>
      <c r="I2592">
        <f>_xlfn.XLOOKUP(A2592,[1]ForwardDeriv!$D:$D,[1]ForwardDeriv!$AJ:$AJ)</f>
        <v>0.30000000000001137</v>
      </c>
      <c r="J2592" cm="1">
        <f t="array" ref="J2592">_xlfn.XLOOKUP(TEXT(A2592, "mmm-yy"), TEXT([2]GASOLINE!$B$5:$B$208, "mmm-yy"), [2]GASOLINE!$IR$5:$IR$208, "Not Found")</f>
        <v>-235.88318620556552</v>
      </c>
      <c r="K2592" cm="1">
        <f t="array" ref="K2592">_xlfn.XLOOKUP(TEXT(A2592, "mmm-yy"), TEXT([2]GASOLINE!$B$5:$B$208, "mmm-yy"), [2]GASOLINE!$IK$5:$IK$208, "Not Found")</f>
        <v>290.71431214472386</v>
      </c>
      <c r="L2592">
        <f t="shared" si="40"/>
        <v>0</v>
      </c>
      <c r="M2592" cm="1">
        <f t="array" ref="M2592">_xlfn.XLOOKUP(TEXT(A2592, "mmm-yy"), TEXT([2]GASOLINE!$B$5:$B$208, "mmm-yy"), [2]GASOLINE!$C$5:$C$208, "Not Found")</f>
        <v>7639.8829777333303</v>
      </c>
      <c r="N2592" cm="1">
        <f t="array" ref="N2592">_xlfn.XLOOKUP(TEXT(A2592, "mmm-yy"), TEXT([2]RUNS!$B$5:$B$208, "mmm-yy"), [2]RUNS!$BM$5:$BM$208, "Not Found")</f>
        <v>0.83243701107998913</v>
      </c>
    </row>
    <row r="2593" spans="1:14" x14ac:dyDescent="0.25">
      <c r="A2593" s="1">
        <f>'[1]Global_Spot Prices'!$B3902</f>
        <v>45632</v>
      </c>
      <c r="B2593">
        <f>_xlfn.XLOOKUP(A2593,'[1]Global_Spot Prices'!$B:$B,'[1]Global_Spot Prices'!$BS:$BS)</f>
        <v>8.14</v>
      </c>
      <c r="C2593">
        <f>_xlfn.XLOOKUP(A2593,'[1]Global_Spot Prices'!$B:$B,'[1]Global_Spot Prices'!$E:$E)</f>
        <v>71.709999999999994</v>
      </c>
      <c r="D2593">
        <f>_xlfn.XLOOKUP(A2593,'[1]Global_Spot Prices'!$B:$B,'[1]Global_Spot Prices'!$D:$D)</f>
        <v>72.739999999999995</v>
      </c>
      <c r="E2593">
        <f>_xlfn.XLOOKUP(A2593,'[1]Global_Spot Prices'!$B:$B,'[1]Global_Spot Prices'!$H:$H)</f>
        <v>67.06</v>
      </c>
      <c r="F2593">
        <f>_xlfn.XLOOKUP(A2593,'[1]Global_Spot Prices'!$B:$B,'[1]Global_Spot Prices'!$I:$I)</f>
        <v>79.849999999999994</v>
      </c>
      <c r="G2593" cm="1">
        <f t="array" ref="G2593">_xlfn.XLOOKUP(TEXT(A2593, "mmm-yy"), TEXT([2]RUNS!$B$5:$B$208, "mmm-yy"), [2]RUNS!$D$5:$D$208, "Not Found")</f>
        <v>30626.106830942779</v>
      </c>
      <c r="H2593" cm="1">
        <f t="array" ref="H2593">SUMPRODUCT(
    --(TEXT('[3]Global Weekly Stock (EWSuez'!$B$4:$B$2000,"mmm-yy")=TEXT(A2593,"mmm-yy")),
    '[3]Global Weekly Stock (EWSuez'!$E$4:$E$2000)
/
SUMPRODUCT(
    --(TEXT('[3]Global Weekly Stock (EWSuez'!$B$4:$B$2000,"mmm-yy")=TEXT(A2593,"mmm-yy"))
)</f>
        <v>15365.25</v>
      </c>
      <c r="I2593">
        <f>_xlfn.XLOOKUP(A2593,[1]ForwardDeriv!$D:$D,[1]ForwardDeriv!$AJ:$AJ)</f>
        <v>0.29999999999999716</v>
      </c>
      <c r="J2593" cm="1">
        <f t="array" ref="J2593">_xlfn.XLOOKUP(TEXT(A2593, "mmm-yy"), TEXT([2]GASOLINE!$B$5:$B$208, "mmm-yy"), [2]GASOLINE!$IR$5:$IR$208, "Not Found")</f>
        <v>-235.88318620556552</v>
      </c>
      <c r="K2593" cm="1">
        <f t="array" ref="K2593">_xlfn.XLOOKUP(TEXT(A2593, "mmm-yy"), TEXT([2]GASOLINE!$B$5:$B$208, "mmm-yy"), [2]GASOLINE!$IK$5:$IK$208, "Not Found")</f>
        <v>290.71431214472386</v>
      </c>
      <c r="L2593">
        <f t="shared" si="40"/>
        <v>0</v>
      </c>
      <c r="M2593" cm="1">
        <f t="array" ref="M2593">_xlfn.XLOOKUP(TEXT(A2593, "mmm-yy"), TEXT([2]GASOLINE!$B$5:$B$208, "mmm-yy"), [2]GASOLINE!$C$5:$C$208, "Not Found")</f>
        <v>7639.8829777333303</v>
      </c>
      <c r="N2593" cm="1">
        <f t="array" ref="N2593">_xlfn.XLOOKUP(TEXT(A2593, "mmm-yy"), TEXT([2]RUNS!$B$5:$B$208, "mmm-yy"), [2]RUNS!$BM$5:$BM$208, "Not Found")</f>
        <v>0.83243701107998913</v>
      </c>
    </row>
    <row r="2594" spans="1:14" x14ac:dyDescent="0.25">
      <c r="A2594" s="1">
        <f>'[1]Global_Spot Prices'!$B3903</f>
        <v>45635</v>
      </c>
      <c r="B2594">
        <f>_xlfn.XLOOKUP(A2594,'[1]Global_Spot Prices'!$B:$B,'[1]Global_Spot Prices'!$BS:$BS)</f>
        <v>8.2999999999999972</v>
      </c>
      <c r="C2594">
        <f>_xlfn.XLOOKUP(A2594,'[1]Global_Spot Prices'!$B:$B,'[1]Global_Spot Prices'!$E:$E)</f>
        <v>71.760000000000005</v>
      </c>
      <c r="D2594">
        <f>_xlfn.XLOOKUP(A2594,'[1]Global_Spot Prices'!$B:$B,'[1]Global_Spot Prices'!$D:$D)</f>
        <v>73.760000000000005</v>
      </c>
      <c r="E2594">
        <f>_xlfn.XLOOKUP(A2594,'[1]Global_Spot Prices'!$B:$B,'[1]Global_Spot Prices'!$H:$H)</f>
        <v>67.510000000000005</v>
      </c>
      <c r="F2594">
        <f>_xlfn.XLOOKUP(A2594,'[1]Global_Spot Prices'!$B:$B,'[1]Global_Spot Prices'!$I:$I)</f>
        <v>80.06</v>
      </c>
      <c r="G2594" cm="1">
        <f t="array" ref="G2594">_xlfn.XLOOKUP(TEXT(A2594, "mmm-yy"), TEXT([2]RUNS!$B$5:$B$208, "mmm-yy"), [2]RUNS!$D$5:$D$208, "Not Found")</f>
        <v>30626.106830942779</v>
      </c>
      <c r="H2594" cm="1">
        <f t="array" ref="H2594">SUMPRODUCT(
    --(TEXT('[3]Global Weekly Stock (EWSuez'!$B$4:$B$2000,"mmm-yy")=TEXT(A2594,"mmm-yy")),
    '[3]Global Weekly Stock (EWSuez'!$E$4:$E$2000)
/
SUMPRODUCT(
    --(TEXT('[3]Global Weekly Stock (EWSuez'!$B$4:$B$2000,"mmm-yy")=TEXT(A2594,"mmm-yy"))
)</f>
        <v>15365.25</v>
      </c>
      <c r="I2594">
        <f>_xlfn.XLOOKUP(A2594,[1]ForwardDeriv!$D:$D,[1]ForwardDeriv!$AJ:$AJ)</f>
        <v>0.29999999999999716</v>
      </c>
      <c r="J2594" cm="1">
        <f t="array" ref="J2594">_xlfn.XLOOKUP(TEXT(A2594, "mmm-yy"), TEXT([2]GASOLINE!$B$5:$B$208, "mmm-yy"), [2]GASOLINE!$IR$5:$IR$208, "Not Found")</f>
        <v>-235.88318620556552</v>
      </c>
      <c r="K2594" cm="1">
        <f t="array" ref="K2594">_xlfn.XLOOKUP(TEXT(A2594, "mmm-yy"), TEXT([2]GASOLINE!$B$5:$B$208, "mmm-yy"), [2]GASOLINE!$IK$5:$IK$208, "Not Found")</f>
        <v>290.71431214472386</v>
      </c>
      <c r="L2594">
        <f t="shared" si="40"/>
        <v>0</v>
      </c>
      <c r="M2594" cm="1">
        <f t="array" ref="M2594">_xlfn.XLOOKUP(TEXT(A2594, "mmm-yy"), TEXT([2]GASOLINE!$B$5:$B$208, "mmm-yy"), [2]GASOLINE!$C$5:$C$208, "Not Found")</f>
        <v>7639.8829777333303</v>
      </c>
      <c r="N2594" cm="1">
        <f t="array" ref="N2594">_xlfn.XLOOKUP(TEXT(A2594, "mmm-yy"), TEXT([2]RUNS!$B$5:$B$208, "mmm-yy"), [2]RUNS!$BM$5:$BM$208, "Not Found")</f>
        <v>0.83243701107998913</v>
      </c>
    </row>
    <row r="2595" spans="1:14" x14ac:dyDescent="0.25">
      <c r="A2595" s="1">
        <f>'[1]Global_Spot Prices'!$B3904</f>
        <v>45636</v>
      </c>
      <c r="B2595">
        <f>_xlfn.XLOOKUP(A2595,'[1]Global_Spot Prices'!$B:$B,'[1]Global_Spot Prices'!$BS:$BS)</f>
        <v>9.289999999999992</v>
      </c>
      <c r="C2595">
        <f>_xlfn.XLOOKUP(A2595,'[1]Global_Spot Prices'!$B:$B,'[1]Global_Spot Prices'!$E:$E)</f>
        <v>71.67</v>
      </c>
      <c r="D2595">
        <f>_xlfn.XLOOKUP(A2595,'[1]Global_Spot Prices'!$B:$B,'[1]Global_Spot Prices'!$D:$D)</f>
        <v>73.894999999999996</v>
      </c>
      <c r="E2595">
        <f>_xlfn.XLOOKUP(A2595,'[1]Global_Spot Prices'!$B:$B,'[1]Global_Spot Prices'!$H:$H)</f>
        <v>68.010000000000005</v>
      </c>
      <c r="F2595">
        <f>_xlfn.XLOOKUP(A2595,'[1]Global_Spot Prices'!$B:$B,'[1]Global_Spot Prices'!$I:$I)</f>
        <v>80.959999999999994</v>
      </c>
      <c r="G2595" cm="1">
        <f t="array" ref="G2595">_xlfn.XLOOKUP(TEXT(A2595, "mmm-yy"), TEXT([2]RUNS!$B$5:$B$208, "mmm-yy"), [2]RUNS!$D$5:$D$208, "Not Found")</f>
        <v>30626.106830942779</v>
      </c>
      <c r="H2595" cm="1">
        <f t="array" ref="H2595">SUMPRODUCT(
    --(TEXT('[3]Global Weekly Stock (EWSuez'!$B$4:$B$2000,"mmm-yy")=TEXT(A2595,"mmm-yy")),
    '[3]Global Weekly Stock (EWSuez'!$E$4:$E$2000)
/
SUMPRODUCT(
    --(TEXT('[3]Global Weekly Stock (EWSuez'!$B$4:$B$2000,"mmm-yy")=TEXT(A2595,"mmm-yy"))
)</f>
        <v>15365.25</v>
      </c>
      <c r="I2595">
        <f>_xlfn.XLOOKUP(A2595,[1]ForwardDeriv!$D:$D,[1]ForwardDeriv!$AJ:$AJ)</f>
        <v>0.48999999999999488</v>
      </c>
      <c r="J2595" cm="1">
        <f t="array" ref="J2595">_xlfn.XLOOKUP(TEXT(A2595, "mmm-yy"), TEXT([2]GASOLINE!$B$5:$B$208, "mmm-yy"), [2]GASOLINE!$IR$5:$IR$208, "Not Found")</f>
        <v>-235.88318620556552</v>
      </c>
      <c r="K2595" cm="1">
        <f t="array" ref="K2595">_xlfn.XLOOKUP(TEXT(A2595, "mmm-yy"), TEXT([2]GASOLINE!$B$5:$B$208, "mmm-yy"), [2]GASOLINE!$IK$5:$IK$208, "Not Found")</f>
        <v>290.71431214472386</v>
      </c>
      <c r="L2595">
        <f t="shared" si="40"/>
        <v>0</v>
      </c>
      <c r="M2595" cm="1">
        <f t="array" ref="M2595">_xlfn.XLOOKUP(TEXT(A2595, "mmm-yy"), TEXT([2]GASOLINE!$B$5:$B$208, "mmm-yy"), [2]GASOLINE!$C$5:$C$208, "Not Found")</f>
        <v>7639.8829777333303</v>
      </c>
      <c r="N2595" cm="1">
        <f t="array" ref="N2595">_xlfn.XLOOKUP(TEXT(A2595, "mmm-yy"), TEXT([2]RUNS!$B$5:$B$208, "mmm-yy"), [2]RUNS!$BM$5:$BM$208, "Not Found")</f>
        <v>0.83243701107998913</v>
      </c>
    </row>
    <row r="2596" spans="1:14" x14ac:dyDescent="0.25">
      <c r="A2596" s="1">
        <f>'[1]Global_Spot Prices'!$B3905</f>
        <v>45637</v>
      </c>
      <c r="B2596">
        <f>_xlfn.XLOOKUP(A2596,'[1]Global_Spot Prices'!$B:$B,'[1]Global_Spot Prices'!$BS:$BS)</f>
        <v>9.8449999999999989</v>
      </c>
      <c r="C2596">
        <f>_xlfn.XLOOKUP(A2596,'[1]Global_Spot Prices'!$B:$B,'[1]Global_Spot Prices'!$E:$E)</f>
        <v>72.224999999999994</v>
      </c>
      <c r="D2596">
        <f>_xlfn.XLOOKUP(A2596,'[1]Global_Spot Prices'!$B:$B,'[1]Global_Spot Prices'!$D:$D)</f>
        <v>74.319999999999993</v>
      </c>
      <c r="E2596">
        <f>_xlfn.XLOOKUP(A2596,'[1]Global_Spot Prices'!$B:$B,'[1]Global_Spot Prices'!$H:$H)</f>
        <v>68.53</v>
      </c>
      <c r="F2596">
        <f>_xlfn.XLOOKUP(A2596,'[1]Global_Spot Prices'!$B:$B,'[1]Global_Spot Prices'!$I:$I)</f>
        <v>82.07</v>
      </c>
      <c r="G2596" cm="1">
        <f t="array" ref="G2596">_xlfn.XLOOKUP(TEXT(A2596, "mmm-yy"), TEXT([2]RUNS!$B$5:$B$208, "mmm-yy"), [2]RUNS!$D$5:$D$208, "Not Found")</f>
        <v>30626.106830942779</v>
      </c>
      <c r="H2596" cm="1">
        <f t="array" ref="H2596">SUMPRODUCT(
    --(TEXT('[3]Global Weekly Stock (EWSuez'!$B$4:$B$2000,"mmm-yy")=TEXT(A2596,"mmm-yy")),
    '[3]Global Weekly Stock (EWSuez'!$E$4:$E$2000)
/
SUMPRODUCT(
    --(TEXT('[3]Global Weekly Stock (EWSuez'!$B$4:$B$2000,"mmm-yy")=TEXT(A2596,"mmm-yy"))
)</f>
        <v>15365.25</v>
      </c>
      <c r="I2596">
        <f>_xlfn.XLOOKUP(A2596,[1]ForwardDeriv!$D:$D,[1]ForwardDeriv!$AJ:$AJ)</f>
        <v>0.53999999999999204</v>
      </c>
      <c r="J2596" cm="1">
        <f t="array" ref="J2596">_xlfn.XLOOKUP(TEXT(A2596, "mmm-yy"), TEXT([2]GASOLINE!$B$5:$B$208, "mmm-yy"), [2]GASOLINE!$IR$5:$IR$208, "Not Found")</f>
        <v>-235.88318620556552</v>
      </c>
      <c r="K2596" cm="1">
        <f t="array" ref="K2596">_xlfn.XLOOKUP(TEXT(A2596, "mmm-yy"), TEXT([2]GASOLINE!$B$5:$B$208, "mmm-yy"), [2]GASOLINE!$IK$5:$IK$208, "Not Found")</f>
        <v>290.71431214472386</v>
      </c>
      <c r="L2596">
        <f t="shared" si="40"/>
        <v>0</v>
      </c>
      <c r="M2596" cm="1">
        <f t="array" ref="M2596">_xlfn.XLOOKUP(TEXT(A2596, "mmm-yy"), TEXT([2]GASOLINE!$B$5:$B$208, "mmm-yy"), [2]GASOLINE!$C$5:$C$208, "Not Found")</f>
        <v>7639.8829777333303</v>
      </c>
      <c r="N2596" cm="1">
        <f t="array" ref="N2596">_xlfn.XLOOKUP(TEXT(A2596, "mmm-yy"), TEXT([2]RUNS!$B$5:$B$208, "mmm-yy"), [2]RUNS!$BM$5:$BM$208, "Not Found")</f>
        <v>0.83243701107998913</v>
      </c>
    </row>
    <row r="2597" spans="1:14" x14ac:dyDescent="0.25">
      <c r="A2597" s="1">
        <f>'[1]Global_Spot Prices'!$B3906</f>
        <v>45638</v>
      </c>
      <c r="B2597">
        <f>_xlfn.XLOOKUP(A2597,'[1]Global_Spot Prices'!$B:$B,'[1]Global_Spot Prices'!$BS:$BS)</f>
        <v>9.7800000000000011</v>
      </c>
      <c r="C2597">
        <f>_xlfn.XLOOKUP(A2597,'[1]Global_Spot Prices'!$B:$B,'[1]Global_Spot Prices'!$E:$E)</f>
        <v>73.66</v>
      </c>
      <c r="D2597">
        <f>_xlfn.XLOOKUP(A2597,'[1]Global_Spot Prices'!$B:$B,'[1]Global_Spot Prices'!$D:$D)</f>
        <v>73.61</v>
      </c>
      <c r="E2597">
        <f>_xlfn.XLOOKUP(A2597,'[1]Global_Spot Prices'!$B:$B,'[1]Global_Spot Prices'!$H:$H)</f>
        <v>69.98</v>
      </c>
      <c r="F2597">
        <f>_xlfn.XLOOKUP(A2597,'[1]Global_Spot Prices'!$B:$B,'[1]Global_Spot Prices'!$I:$I)</f>
        <v>83.44</v>
      </c>
      <c r="G2597" cm="1">
        <f t="array" ref="G2597">_xlfn.XLOOKUP(TEXT(A2597, "mmm-yy"), TEXT([2]RUNS!$B$5:$B$208, "mmm-yy"), [2]RUNS!$D$5:$D$208, "Not Found")</f>
        <v>30626.106830942779</v>
      </c>
      <c r="H2597" cm="1">
        <f t="array" ref="H2597">SUMPRODUCT(
    --(TEXT('[3]Global Weekly Stock (EWSuez'!$B$4:$B$2000,"mmm-yy")=TEXT(A2597,"mmm-yy")),
    '[3]Global Weekly Stock (EWSuez'!$E$4:$E$2000)
/
SUMPRODUCT(
    --(TEXT('[3]Global Weekly Stock (EWSuez'!$B$4:$B$2000,"mmm-yy")=TEXT(A2597,"mmm-yy"))
)</f>
        <v>15365.25</v>
      </c>
      <c r="I2597">
        <f>_xlfn.XLOOKUP(A2597,[1]ForwardDeriv!$D:$D,[1]ForwardDeriv!$AJ:$AJ)</f>
        <v>0.54000000000000625</v>
      </c>
      <c r="J2597" cm="1">
        <f t="array" ref="J2597">_xlfn.XLOOKUP(TEXT(A2597, "mmm-yy"), TEXT([2]GASOLINE!$B$5:$B$208, "mmm-yy"), [2]GASOLINE!$IR$5:$IR$208, "Not Found")</f>
        <v>-235.88318620556552</v>
      </c>
      <c r="K2597" cm="1">
        <f t="array" ref="K2597">_xlfn.XLOOKUP(TEXT(A2597, "mmm-yy"), TEXT([2]GASOLINE!$B$5:$B$208, "mmm-yy"), [2]GASOLINE!$IK$5:$IK$208, "Not Found")</f>
        <v>290.71431214472386</v>
      </c>
      <c r="L2597">
        <f t="shared" si="40"/>
        <v>0</v>
      </c>
      <c r="M2597" cm="1">
        <f t="array" ref="M2597">_xlfn.XLOOKUP(TEXT(A2597, "mmm-yy"), TEXT([2]GASOLINE!$B$5:$B$208, "mmm-yy"), [2]GASOLINE!$C$5:$C$208, "Not Found")</f>
        <v>7639.8829777333303</v>
      </c>
      <c r="N2597" cm="1">
        <f t="array" ref="N2597">_xlfn.XLOOKUP(TEXT(A2597, "mmm-yy"), TEXT([2]RUNS!$B$5:$B$208, "mmm-yy"), [2]RUNS!$BM$5:$BM$208, "Not Found")</f>
        <v>0.83243701107998913</v>
      </c>
    </row>
    <row r="2598" spans="1:14" x14ac:dyDescent="0.25">
      <c r="A2598" s="1">
        <f>'[1]Global_Spot Prices'!$B3907</f>
        <v>45639</v>
      </c>
      <c r="B2598">
        <f>_xlfn.XLOOKUP(A2598,'[1]Global_Spot Prices'!$B:$B,'[1]Global_Spot Prices'!$BS:$BS)</f>
        <v>10.060000000000002</v>
      </c>
      <c r="C2598">
        <f>_xlfn.XLOOKUP(A2598,'[1]Global_Spot Prices'!$B:$B,'[1]Global_Spot Prices'!$E:$E)</f>
        <v>73.459999999999994</v>
      </c>
      <c r="D2598">
        <f>_xlfn.XLOOKUP(A2598,'[1]Global_Spot Prices'!$B:$B,'[1]Global_Spot Prices'!$D:$D)</f>
        <v>75.084999999999994</v>
      </c>
      <c r="E2598">
        <f>_xlfn.XLOOKUP(A2598,'[1]Global_Spot Prices'!$B:$B,'[1]Global_Spot Prices'!$H:$H)</f>
        <v>69.650000000000006</v>
      </c>
      <c r="F2598">
        <f>_xlfn.XLOOKUP(A2598,'[1]Global_Spot Prices'!$B:$B,'[1]Global_Spot Prices'!$I:$I)</f>
        <v>83.52</v>
      </c>
      <c r="G2598" cm="1">
        <f t="array" ref="G2598">_xlfn.XLOOKUP(TEXT(A2598, "mmm-yy"), TEXT([2]RUNS!$B$5:$B$208, "mmm-yy"), [2]RUNS!$D$5:$D$208, "Not Found")</f>
        <v>30626.106830942779</v>
      </c>
      <c r="H2598" cm="1">
        <f t="array" ref="H2598">SUMPRODUCT(
    --(TEXT('[3]Global Weekly Stock (EWSuez'!$B$4:$B$2000,"mmm-yy")=TEXT(A2598,"mmm-yy")),
    '[3]Global Weekly Stock (EWSuez'!$E$4:$E$2000)
/
SUMPRODUCT(
    --(TEXT('[3]Global Weekly Stock (EWSuez'!$B$4:$B$2000,"mmm-yy")=TEXT(A2598,"mmm-yy"))
)</f>
        <v>15365.25</v>
      </c>
      <c r="I2598">
        <f>_xlfn.XLOOKUP(A2598,[1]ForwardDeriv!$D:$D,[1]ForwardDeriv!$AJ:$AJ)</f>
        <v>0.51000000000000512</v>
      </c>
      <c r="J2598" cm="1">
        <f t="array" ref="J2598">_xlfn.XLOOKUP(TEXT(A2598, "mmm-yy"), TEXT([2]GASOLINE!$B$5:$B$208, "mmm-yy"), [2]GASOLINE!$IR$5:$IR$208, "Not Found")</f>
        <v>-235.88318620556552</v>
      </c>
      <c r="K2598" cm="1">
        <f t="array" ref="K2598">_xlfn.XLOOKUP(TEXT(A2598, "mmm-yy"), TEXT([2]GASOLINE!$B$5:$B$208, "mmm-yy"), [2]GASOLINE!$IK$5:$IK$208, "Not Found")</f>
        <v>290.71431214472386</v>
      </c>
      <c r="L2598">
        <f t="shared" si="40"/>
        <v>0</v>
      </c>
      <c r="M2598" cm="1">
        <f t="array" ref="M2598">_xlfn.XLOOKUP(TEXT(A2598, "mmm-yy"), TEXT([2]GASOLINE!$B$5:$B$208, "mmm-yy"), [2]GASOLINE!$C$5:$C$208, "Not Found")</f>
        <v>7639.8829777333303</v>
      </c>
      <c r="N2598" cm="1">
        <f t="array" ref="N2598">_xlfn.XLOOKUP(TEXT(A2598, "mmm-yy"), TEXT([2]RUNS!$B$5:$B$208, "mmm-yy"), [2]RUNS!$BM$5:$BM$208, "Not Found")</f>
        <v>0.83243701107998913</v>
      </c>
    </row>
    <row r="2599" spans="1:14" x14ac:dyDescent="0.25">
      <c r="A2599" s="1">
        <f>'[1]Global_Spot Prices'!$B3908</f>
        <v>45642</v>
      </c>
      <c r="B2599">
        <f>_xlfn.XLOOKUP(A2599,'[1]Global_Spot Prices'!$B:$B,'[1]Global_Spot Prices'!$BS:$BS)</f>
        <v>8.9699999999999989</v>
      </c>
      <c r="C2599">
        <f>_xlfn.XLOOKUP(A2599,'[1]Global_Spot Prices'!$B:$B,'[1]Global_Spot Prices'!$E:$E)</f>
        <v>74.16</v>
      </c>
      <c r="D2599">
        <f>_xlfn.XLOOKUP(A2599,'[1]Global_Spot Prices'!$B:$B,'[1]Global_Spot Prices'!$D:$D)</f>
        <v>74.739999999999995</v>
      </c>
      <c r="E2599">
        <f>_xlfn.XLOOKUP(A2599,'[1]Global_Spot Prices'!$B:$B,'[1]Global_Spot Prices'!$H:$H)</f>
        <v>70.11</v>
      </c>
      <c r="F2599">
        <f>_xlfn.XLOOKUP(A2599,'[1]Global_Spot Prices'!$B:$B,'[1]Global_Spot Prices'!$I:$I)</f>
        <v>83.13</v>
      </c>
      <c r="G2599" cm="1">
        <f t="array" ref="G2599">_xlfn.XLOOKUP(TEXT(A2599, "mmm-yy"), TEXT([2]RUNS!$B$5:$B$208, "mmm-yy"), [2]RUNS!$D$5:$D$208, "Not Found")</f>
        <v>30626.106830942779</v>
      </c>
      <c r="H2599" cm="1">
        <f t="array" ref="H2599">SUMPRODUCT(
    --(TEXT('[3]Global Weekly Stock (EWSuez'!$B$4:$B$2000,"mmm-yy")=TEXT(A2599,"mmm-yy")),
    '[3]Global Weekly Stock (EWSuez'!$E$4:$E$2000)
/
SUMPRODUCT(
    --(TEXT('[3]Global Weekly Stock (EWSuez'!$B$4:$B$2000,"mmm-yy")=TEXT(A2599,"mmm-yy"))
)</f>
        <v>15365.25</v>
      </c>
      <c r="I2599">
        <f>_xlfn.XLOOKUP(A2599,[1]ForwardDeriv!$D:$D,[1]ForwardDeriv!$AJ:$AJ)</f>
        <v>0.37000000000000455</v>
      </c>
      <c r="J2599" cm="1">
        <f t="array" ref="J2599">_xlfn.XLOOKUP(TEXT(A2599, "mmm-yy"), TEXT([2]GASOLINE!$B$5:$B$208, "mmm-yy"), [2]GASOLINE!$IR$5:$IR$208, "Not Found")</f>
        <v>-235.88318620556552</v>
      </c>
      <c r="K2599" cm="1">
        <f t="array" ref="K2599">_xlfn.XLOOKUP(TEXT(A2599, "mmm-yy"), TEXT([2]GASOLINE!$B$5:$B$208, "mmm-yy"), [2]GASOLINE!$IK$5:$IK$208, "Not Found")</f>
        <v>290.71431214472386</v>
      </c>
      <c r="L2599">
        <f t="shared" si="40"/>
        <v>0</v>
      </c>
      <c r="M2599" cm="1">
        <f t="array" ref="M2599">_xlfn.XLOOKUP(TEXT(A2599, "mmm-yy"), TEXT([2]GASOLINE!$B$5:$B$208, "mmm-yy"), [2]GASOLINE!$C$5:$C$208, "Not Found")</f>
        <v>7639.8829777333303</v>
      </c>
      <c r="N2599" cm="1">
        <f t="array" ref="N2599">_xlfn.XLOOKUP(TEXT(A2599, "mmm-yy"), TEXT([2]RUNS!$B$5:$B$208, "mmm-yy"), [2]RUNS!$BM$5:$BM$208, "Not Found")</f>
        <v>0.83243701107998913</v>
      </c>
    </row>
    <row r="2600" spans="1:14" x14ac:dyDescent="0.25">
      <c r="A2600" s="1">
        <f>'[1]Global_Spot Prices'!$B3909</f>
        <v>45643</v>
      </c>
      <c r="B2600">
        <f>_xlfn.XLOOKUP(A2600,'[1]Global_Spot Prices'!$B:$B,'[1]Global_Spot Prices'!$BS:$BS)</f>
        <v>8.64</v>
      </c>
      <c r="C2600">
        <f>_xlfn.XLOOKUP(A2600,'[1]Global_Spot Prices'!$B:$B,'[1]Global_Spot Prices'!$E:$E)</f>
        <v>73.55</v>
      </c>
      <c r="D2600">
        <f>_xlfn.XLOOKUP(A2600,'[1]Global_Spot Prices'!$B:$B,'[1]Global_Spot Prices'!$D:$D)</f>
        <v>73.680000000000007</v>
      </c>
      <c r="E2600">
        <f>_xlfn.XLOOKUP(A2600,'[1]Global_Spot Prices'!$B:$B,'[1]Global_Spot Prices'!$H:$H)</f>
        <v>69.41</v>
      </c>
      <c r="F2600">
        <f>_xlfn.XLOOKUP(A2600,'[1]Global_Spot Prices'!$B:$B,'[1]Global_Spot Prices'!$I:$I)</f>
        <v>82.19</v>
      </c>
      <c r="G2600" cm="1">
        <f t="array" ref="G2600">_xlfn.XLOOKUP(TEXT(A2600, "mmm-yy"), TEXT([2]RUNS!$B$5:$B$208, "mmm-yy"), [2]RUNS!$D$5:$D$208, "Not Found")</f>
        <v>30626.106830942779</v>
      </c>
      <c r="H2600" cm="1">
        <f t="array" ref="H2600">SUMPRODUCT(
    --(TEXT('[3]Global Weekly Stock (EWSuez'!$B$4:$B$2000,"mmm-yy")=TEXT(A2600,"mmm-yy")),
    '[3]Global Weekly Stock (EWSuez'!$E$4:$E$2000)
/
SUMPRODUCT(
    --(TEXT('[3]Global Weekly Stock (EWSuez'!$B$4:$B$2000,"mmm-yy")=TEXT(A2600,"mmm-yy"))
)</f>
        <v>15365.25</v>
      </c>
      <c r="I2600">
        <f>_xlfn.XLOOKUP(A2600,[1]ForwardDeriv!$D:$D,[1]ForwardDeriv!$AJ:$AJ)</f>
        <v>0.37000000000000455</v>
      </c>
      <c r="J2600" cm="1">
        <f t="array" ref="J2600">_xlfn.XLOOKUP(TEXT(A2600, "mmm-yy"), TEXT([2]GASOLINE!$B$5:$B$208, "mmm-yy"), [2]GASOLINE!$IR$5:$IR$208, "Not Found")</f>
        <v>-235.88318620556552</v>
      </c>
      <c r="K2600" cm="1">
        <f t="array" ref="K2600">_xlfn.XLOOKUP(TEXT(A2600, "mmm-yy"), TEXT([2]GASOLINE!$B$5:$B$208, "mmm-yy"), [2]GASOLINE!$IK$5:$IK$208, "Not Found")</f>
        <v>290.71431214472386</v>
      </c>
      <c r="L2600">
        <f t="shared" si="40"/>
        <v>0</v>
      </c>
      <c r="M2600" cm="1">
        <f t="array" ref="M2600">_xlfn.XLOOKUP(TEXT(A2600, "mmm-yy"), TEXT([2]GASOLINE!$B$5:$B$208, "mmm-yy"), [2]GASOLINE!$C$5:$C$208, "Not Found")</f>
        <v>7639.8829777333303</v>
      </c>
      <c r="N2600" cm="1">
        <f t="array" ref="N2600">_xlfn.XLOOKUP(TEXT(A2600, "mmm-yy"), TEXT([2]RUNS!$B$5:$B$208, "mmm-yy"), [2]RUNS!$BM$5:$BM$208, "Not Found")</f>
        <v>0.83243701107998913</v>
      </c>
    </row>
    <row r="2601" spans="1:14" x14ac:dyDescent="0.25">
      <c r="A2601" s="1">
        <f>'[1]Global_Spot Prices'!$B3910</f>
        <v>45644</v>
      </c>
      <c r="B2601">
        <f>_xlfn.XLOOKUP(A2601,'[1]Global_Spot Prices'!$B:$B,'[1]Global_Spot Prices'!$BS:$BS)</f>
        <v>8.4500000000000028</v>
      </c>
      <c r="C2601">
        <f>_xlfn.XLOOKUP(A2601,'[1]Global_Spot Prices'!$B:$B,'[1]Global_Spot Prices'!$E:$E)</f>
        <v>73.599999999999994</v>
      </c>
      <c r="D2601">
        <f>_xlfn.XLOOKUP(A2601,'[1]Global_Spot Prices'!$B:$B,'[1]Global_Spot Prices'!$D:$D)</f>
        <v>74.995000000000005</v>
      </c>
      <c r="E2601">
        <f>_xlfn.XLOOKUP(A2601,'[1]Global_Spot Prices'!$B:$B,'[1]Global_Spot Prices'!$H:$H)</f>
        <v>69.52</v>
      </c>
      <c r="F2601">
        <f>_xlfn.XLOOKUP(A2601,'[1]Global_Spot Prices'!$B:$B,'[1]Global_Spot Prices'!$I:$I)</f>
        <v>82.05</v>
      </c>
      <c r="G2601" cm="1">
        <f t="array" ref="G2601">_xlfn.XLOOKUP(TEXT(A2601, "mmm-yy"), TEXT([2]RUNS!$B$5:$B$208, "mmm-yy"), [2]RUNS!$D$5:$D$208, "Not Found")</f>
        <v>30626.106830942779</v>
      </c>
      <c r="H2601" cm="1">
        <f t="array" ref="H2601">SUMPRODUCT(
    --(TEXT('[3]Global Weekly Stock (EWSuez'!$B$4:$B$2000,"mmm-yy")=TEXT(A2601,"mmm-yy")),
    '[3]Global Weekly Stock (EWSuez'!$E$4:$E$2000)
/
SUMPRODUCT(
    --(TEXT('[3]Global Weekly Stock (EWSuez'!$B$4:$B$2000,"mmm-yy")=TEXT(A2601,"mmm-yy"))
)</f>
        <v>15365.25</v>
      </c>
      <c r="I2601">
        <f>_xlfn.XLOOKUP(A2601,[1]ForwardDeriv!$D:$D,[1]ForwardDeriv!$AJ:$AJ)</f>
        <v>0.38000000000000966</v>
      </c>
      <c r="J2601" cm="1">
        <f t="array" ref="J2601">_xlfn.XLOOKUP(TEXT(A2601, "mmm-yy"), TEXT([2]GASOLINE!$B$5:$B$208, "mmm-yy"), [2]GASOLINE!$IR$5:$IR$208, "Not Found")</f>
        <v>-235.88318620556552</v>
      </c>
      <c r="K2601" cm="1">
        <f t="array" ref="K2601">_xlfn.XLOOKUP(TEXT(A2601, "mmm-yy"), TEXT([2]GASOLINE!$B$5:$B$208, "mmm-yy"), [2]GASOLINE!$IK$5:$IK$208, "Not Found")</f>
        <v>290.71431214472386</v>
      </c>
      <c r="L2601">
        <f t="shared" si="40"/>
        <v>0</v>
      </c>
      <c r="M2601" cm="1">
        <f t="array" ref="M2601">_xlfn.XLOOKUP(TEXT(A2601, "mmm-yy"), TEXT([2]GASOLINE!$B$5:$B$208, "mmm-yy"), [2]GASOLINE!$C$5:$C$208, "Not Found")</f>
        <v>7639.8829777333303</v>
      </c>
      <c r="N2601" cm="1">
        <f t="array" ref="N2601">_xlfn.XLOOKUP(TEXT(A2601, "mmm-yy"), TEXT([2]RUNS!$B$5:$B$208, "mmm-yy"), [2]RUNS!$BM$5:$BM$208, "Not Found")</f>
        <v>0.83243701107998913</v>
      </c>
    </row>
    <row r="2602" spans="1:14" x14ac:dyDescent="0.25">
      <c r="A2602" s="1">
        <f>'[1]Global_Spot Prices'!$B3911</f>
        <v>45645</v>
      </c>
      <c r="B2602">
        <f>_xlfn.XLOOKUP(A2602,'[1]Global_Spot Prices'!$B:$B,'[1]Global_Spot Prices'!$BS:$BS)</f>
        <v>7.7900000000000063</v>
      </c>
      <c r="C2602">
        <f>_xlfn.XLOOKUP(A2602,'[1]Global_Spot Prices'!$B:$B,'[1]Global_Spot Prices'!$E:$E)</f>
        <v>72.86</v>
      </c>
      <c r="D2602">
        <f>_xlfn.XLOOKUP(A2602,'[1]Global_Spot Prices'!$B:$B,'[1]Global_Spot Prices'!$D:$D)</f>
        <v>73.715000000000003</v>
      </c>
      <c r="E2602">
        <f>_xlfn.XLOOKUP(A2602,'[1]Global_Spot Prices'!$B:$B,'[1]Global_Spot Prices'!$H:$H)</f>
        <v>69.33</v>
      </c>
      <c r="F2602">
        <f>_xlfn.XLOOKUP(A2602,'[1]Global_Spot Prices'!$B:$B,'[1]Global_Spot Prices'!$I:$I)</f>
        <v>80.650000000000006</v>
      </c>
      <c r="G2602" cm="1">
        <f t="array" ref="G2602">_xlfn.XLOOKUP(TEXT(A2602, "mmm-yy"), TEXT([2]RUNS!$B$5:$B$208, "mmm-yy"), [2]RUNS!$D$5:$D$208, "Not Found")</f>
        <v>30626.106830942779</v>
      </c>
      <c r="H2602" cm="1">
        <f t="array" ref="H2602">SUMPRODUCT(
    --(TEXT('[3]Global Weekly Stock (EWSuez'!$B$4:$B$2000,"mmm-yy")=TEXT(A2602,"mmm-yy")),
    '[3]Global Weekly Stock (EWSuez'!$E$4:$E$2000)
/
SUMPRODUCT(
    --(TEXT('[3]Global Weekly Stock (EWSuez'!$B$4:$B$2000,"mmm-yy")=TEXT(A2602,"mmm-yy"))
)</f>
        <v>15365.25</v>
      </c>
      <c r="I2602">
        <f>_xlfn.XLOOKUP(A2602,[1]ForwardDeriv!$D:$D,[1]ForwardDeriv!$AJ:$AJ)</f>
        <v>0.31000000000000227</v>
      </c>
      <c r="J2602" cm="1">
        <f t="array" ref="J2602">_xlfn.XLOOKUP(TEXT(A2602, "mmm-yy"), TEXT([2]GASOLINE!$B$5:$B$208, "mmm-yy"), [2]GASOLINE!$IR$5:$IR$208, "Not Found")</f>
        <v>-235.88318620556552</v>
      </c>
      <c r="K2602" cm="1">
        <f t="array" ref="K2602">_xlfn.XLOOKUP(TEXT(A2602, "mmm-yy"), TEXT([2]GASOLINE!$B$5:$B$208, "mmm-yy"), [2]GASOLINE!$IK$5:$IK$208, "Not Found")</f>
        <v>290.71431214472386</v>
      </c>
      <c r="L2602">
        <f t="shared" si="40"/>
        <v>0</v>
      </c>
      <c r="M2602" cm="1">
        <f t="array" ref="M2602">_xlfn.XLOOKUP(TEXT(A2602, "mmm-yy"), TEXT([2]GASOLINE!$B$5:$B$208, "mmm-yy"), [2]GASOLINE!$C$5:$C$208, "Not Found")</f>
        <v>7639.8829777333303</v>
      </c>
      <c r="N2602" cm="1">
        <f t="array" ref="N2602">_xlfn.XLOOKUP(TEXT(A2602, "mmm-yy"), TEXT([2]RUNS!$B$5:$B$208, "mmm-yy"), [2]RUNS!$BM$5:$BM$208, "Not Found")</f>
        <v>0.83243701107998913</v>
      </c>
    </row>
    <row r="2603" spans="1:14" x14ac:dyDescent="0.25">
      <c r="A2603" s="1">
        <f>'[1]Global_Spot Prices'!$B3912</f>
        <v>45646</v>
      </c>
      <c r="B2603">
        <f>_xlfn.XLOOKUP(A2603,'[1]Global_Spot Prices'!$B:$B,'[1]Global_Spot Prices'!$BS:$BS)</f>
        <v>7.0649999999999977</v>
      </c>
      <c r="C2603">
        <f>_xlfn.XLOOKUP(A2603,'[1]Global_Spot Prices'!$B:$B,'[1]Global_Spot Prices'!$E:$E)</f>
        <v>72.644999999999996</v>
      </c>
      <c r="D2603">
        <f>_xlfn.XLOOKUP(A2603,'[1]Global_Spot Prices'!$B:$B,'[1]Global_Spot Prices'!$D:$D)</f>
        <v>73.540000000000006</v>
      </c>
      <c r="E2603">
        <f>_xlfn.XLOOKUP(A2603,'[1]Global_Spot Prices'!$B:$B,'[1]Global_Spot Prices'!$H:$H)</f>
        <v>68.8</v>
      </c>
      <c r="F2603">
        <f ca="1">_xlfn.XLOOKUP(A2603,'[1]Global_Spot Prices'!$B:$B,'[1]Global_Spot Prices'!$I:$I)</f>
        <v>79.709999999999994</v>
      </c>
      <c r="G2603" cm="1">
        <f t="array" ref="G2603">_xlfn.XLOOKUP(TEXT(A2603, "mmm-yy"), TEXT([2]RUNS!$B$5:$B$208, "mmm-yy"), [2]RUNS!$D$5:$D$208, "Not Found")</f>
        <v>30626.106830942779</v>
      </c>
      <c r="H2603" cm="1">
        <f t="array" ref="H2603">SUMPRODUCT(
    --(TEXT('[3]Global Weekly Stock (EWSuez'!$B$4:$B$2000,"mmm-yy")=TEXT(A2603,"mmm-yy")),
    '[3]Global Weekly Stock (EWSuez'!$E$4:$E$2000)
/
SUMPRODUCT(
    --(TEXT('[3]Global Weekly Stock (EWSuez'!$B$4:$B$2000,"mmm-yy")=TEXT(A2603,"mmm-yy"))
)</f>
        <v>15365.25</v>
      </c>
      <c r="I2603">
        <f>_xlfn.XLOOKUP(A2603,[1]ForwardDeriv!$D:$D,[1]ForwardDeriv!$AJ:$AJ)</f>
        <v>0.23999999999999488</v>
      </c>
      <c r="J2603" cm="1">
        <f t="array" ref="J2603">_xlfn.XLOOKUP(TEXT(A2603, "mmm-yy"), TEXT([2]GASOLINE!$B$5:$B$208, "mmm-yy"), [2]GASOLINE!$IR$5:$IR$208, "Not Found")</f>
        <v>-235.88318620556552</v>
      </c>
      <c r="K2603" cm="1">
        <f t="array" ref="K2603">_xlfn.XLOOKUP(TEXT(A2603, "mmm-yy"), TEXT([2]GASOLINE!$B$5:$B$208, "mmm-yy"), [2]GASOLINE!$IK$5:$IK$208, "Not Found")</f>
        <v>290.71431214472386</v>
      </c>
      <c r="L2603">
        <f t="shared" si="40"/>
        <v>0</v>
      </c>
      <c r="M2603" cm="1">
        <f t="array" ref="M2603">_xlfn.XLOOKUP(TEXT(A2603, "mmm-yy"), TEXT([2]GASOLINE!$B$5:$B$208, "mmm-yy"), [2]GASOLINE!$C$5:$C$208, "Not Found")</f>
        <v>7639.8829777333303</v>
      </c>
      <c r="N2603" cm="1">
        <f t="array" ref="N2603">_xlfn.XLOOKUP(TEXT(A2603, "mmm-yy"), TEXT([2]RUNS!$B$5:$B$208, "mmm-yy"), [2]RUNS!$BM$5:$BM$208, "Not Found")</f>
        <v>0.83243701107998913</v>
      </c>
    </row>
    <row r="2604" spans="1:14" x14ac:dyDescent="0.25">
      <c r="A2604" s="1">
        <f>'[1]Global_Spot Prices'!$B3913</f>
        <v>45649</v>
      </c>
      <c r="B2604">
        <f>_xlfn.XLOOKUP(A2604,'[1]Global_Spot Prices'!$B:$B,'[1]Global_Spot Prices'!$BS:$BS)</f>
        <v>7.1700000000000017</v>
      </c>
      <c r="C2604">
        <f ca="1">_xlfn.XLOOKUP(A2604,'[1]Global_Spot Prices'!$B:$B,'[1]Global_Spot Prices'!$E:$E)</f>
        <v>73.34</v>
      </c>
      <c r="D2604">
        <f>_xlfn.XLOOKUP(A2604,'[1]Global_Spot Prices'!$B:$B,'[1]Global_Spot Prices'!$D:$D)</f>
        <v>71.92</v>
      </c>
      <c r="E2604">
        <f>_xlfn.XLOOKUP(A2604,'[1]Global_Spot Prices'!$B:$B,'[1]Global_Spot Prices'!$H:$H)</f>
        <v>69.849999999999994</v>
      </c>
      <c r="F2604">
        <f>_xlfn.XLOOKUP(A2604,'[1]Global_Spot Prices'!$B:$B,'[1]Global_Spot Prices'!$I:$I)</f>
        <v>80.510000000000005</v>
      </c>
      <c r="G2604" cm="1">
        <f t="array" ref="G2604">_xlfn.XLOOKUP(TEXT(A2604, "mmm-yy"), TEXT([2]RUNS!$B$5:$B$208, "mmm-yy"), [2]RUNS!$D$5:$D$208, "Not Found")</f>
        <v>30626.106830942779</v>
      </c>
      <c r="H2604" cm="1">
        <f t="array" ref="H2604">SUMPRODUCT(
    --(TEXT('[3]Global Weekly Stock (EWSuez'!$B$4:$B$2000,"mmm-yy")=TEXT(A2604,"mmm-yy")),
    '[3]Global Weekly Stock (EWSuez'!$E$4:$E$2000)
/
SUMPRODUCT(
    --(TEXT('[3]Global Weekly Stock (EWSuez'!$B$4:$B$2000,"mmm-yy")=TEXT(A2604,"mmm-yy"))
)</f>
        <v>15365.25</v>
      </c>
      <c r="I2604">
        <f>_xlfn.XLOOKUP(A2604,[1]ForwardDeriv!$D:$D,[1]ForwardDeriv!$AJ:$AJ)</f>
        <v>0.25999999999999091</v>
      </c>
      <c r="J2604" cm="1">
        <f t="array" ref="J2604">_xlfn.XLOOKUP(TEXT(A2604, "mmm-yy"), TEXT([2]GASOLINE!$B$5:$B$208, "mmm-yy"), [2]GASOLINE!$IR$5:$IR$208, "Not Found")</f>
        <v>-235.88318620556552</v>
      </c>
      <c r="K2604" cm="1">
        <f t="array" ref="K2604">_xlfn.XLOOKUP(TEXT(A2604, "mmm-yy"), TEXT([2]GASOLINE!$B$5:$B$208, "mmm-yy"), [2]GASOLINE!$IK$5:$IK$208, "Not Found")</f>
        <v>290.71431214472386</v>
      </c>
      <c r="L2604">
        <f t="shared" si="40"/>
        <v>0</v>
      </c>
      <c r="M2604" cm="1">
        <f t="array" ref="M2604">_xlfn.XLOOKUP(TEXT(A2604, "mmm-yy"), TEXT([2]GASOLINE!$B$5:$B$208, "mmm-yy"), [2]GASOLINE!$C$5:$C$208, "Not Found")</f>
        <v>7639.8829777333303</v>
      </c>
      <c r="N2604" cm="1">
        <f t="array" ref="N2604">_xlfn.XLOOKUP(TEXT(A2604, "mmm-yy"), TEXT([2]RUNS!$B$5:$B$208, "mmm-yy"), [2]RUNS!$BM$5:$BM$208, "Not Found")</f>
        <v>0.83243701107998913</v>
      </c>
    </row>
    <row r="2605" spans="1:14" x14ac:dyDescent="0.25">
      <c r="A2605" s="1">
        <f>'[1]Global_Spot Prices'!$B3914</f>
        <v>45650</v>
      </c>
      <c r="B2605">
        <f>_xlfn.XLOOKUP(A2605,'[1]Global_Spot Prices'!$B:$B,'[1]Global_Spot Prices'!$BS:$BS)</f>
        <v>7.1299999999999955</v>
      </c>
      <c r="C2605">
        <f>_xlfn.XLOOKUP(A2605,'[1]Global_Spot Prices'!$B:$B,'[1]Global_Spot Prices'!$E:$E)</f>
        <v>73.290000000000006</v>
      </c>
      <c r="D2605">
        <f>_xlfn.XLOOKUP(A2605,'[1]Global_Spot Prices'!$B:$B,'[1]Global_Spot Prices'!$D:$D)</f>
        <v>73.165000000000006</v>
      </c>
      <c r="E2605">
        <f>_xlfn.XLOOKUP(A2605,'[1]Global_Spot Prices'!$B:$B,'[1]Global_Spot Prices'!$H:$H)</f>
        <v>69.790000000000006</v>
      </c>
      <c r="F2605">
        <f>_xlfn.XLOOKUP(A2605,'[1]Global_Spot Prices'!$B:$B,'[1]Global_Spot Prices'!$I:$I)</f>
        <v>80.42</v>
      </c>
      <c r="G2605" cm="1">
        <f t="array" ref="G2605">_xlfn.XLOOKUP(TEXT(A2605, "mmm-yy"), TEXT([2]RUNS!$B$5:$B$208, "mmm-yy"), [2]RUNS!$D$5:$D$208, "Not Found")</f>
        <v>30626.106830942779</v>
      </c>
      <c r="H2605" cm="1">
        <f t="array" ref="H2605">SUMPRODUCT(
    --(TEXT('[3]Global Weekly Stock (EWSuez'!$B$4:$B$2000,"mmm-yy")=TEXT(A2605,"mmm-yy")),
    '[3]Global Weekly Stock (EWSuez'!$E$4:$E$2000)
/
SUMPRODUCT(
    --(TEXT('[3]Global Weekly Stock (EWSuez'!$B$4:$B$2000,"mmm-yy")=TEXT(A2605,"mmm-yy"))
)</f>
        <v>15365.25</v>
      </c>
      <c r="I2605">
        <f>_xlfn.XLOOKUP(A2605,[1]ForwardDeriv!$D:$D,[1]ForwardDeriv!$AJ:$AJ)</f>
        <v>0.25999999999999091</v>
      </c>
      <c r="J2605" cm="1">
        <f t="array" ref="J2605">_xlfn.XLOOKUP(TEXT(A2605, "mmm-yy"), TEXT([2]GASOLINE!$B$5:$B$208, "mmm-yy"), [2]GASOLINE!$IR$5:$IR$208, "Not Found")</f>
        <v>-235.88318620556552</v>
      </c>
      <c r="K2605" cm="1">
        <f t="array" ref="K2605">_xlfn.XLOOKUP(TEXT(A2605, "mmm-yy"), TEXT([2]GASOLINE!$B$5:$B$208, "mmm-yy"), [2]GASOLINE!$IK$5:$IK$208, "Not Found")</f>
        <v>290.71431214472386</v>
      </c>
      <c r="L2605">
        <f t="shared" si="40"/>
        <v>0</v>
      </c>
      <c r="M2605" cm="1">
        <f t="array" ref="M2605">_xlfn.XLOOKUP(TEXT(A2605, "mmm-yy"), TEXT([2]GASOLINE!$B$5:$B$208, "mmm-yy"), [2]GASOLINE!$C$5:$C$208, "Not Found")</f>
        <v>7639.8829777333303</v>
      </c>
      <c r="N2605" cm="1">
        <f t="array" ref="N2605">_xlfn.XLOOKUP(TEXT(A2605, "mmm-yy"), TEXT([2]RUNS!$B$5:$B$208, "mmm-yy"), [2]RUNS!$BM$5:$BM$208, "Not Found")</f>
        <v>0.83243701107998913</v>
      </c>
    </row>
    <row r="2606" spans="1:14" x14ac:dyDescent="0.25">
      <c r="A2606" s="1">
        <f>'[1]Global_Spot Prices'!$B3915</f>
        <v>45651</v>
      </c>
      <c r="B2606" t="e">
        <f>_xlfn.XLOOKUP(A2606,'[1]Global_Spot Prices'!$B:$B,'[1]Global_Spot Prices'!$BS:$BS)</f>
        <v>#N/A</v>
      </c>
      <c r="C2606" t="str">
        <f>_xlfn.XLOOKUP(A2606,'[1]Global_Spot Prices'!$B:$B,'[1]Global_Spot Prices'!$E:$E)</f>
        <v/>
      </c>
      <c r="D2606" t="str">
        <f>_xlfn.XLOOKUP(A2606,'[1]Global_Spot Prices'!$B:$B,'[1]Global_Spot Prices'!$D:$D)</f>
        <v/>
      </c>
      <c r="E2606">
        <f>_xlfn.XLOOKUP(A2606,'[1]Global_Spot Prices'!$B:$B,'[1]Global_Spot Prices'!$H:$H)</f>
        <v>0</v>
      </c>
      <c r="F2606">
        <f>_xlfn.XLOOKUP(A2606,'[1]Global_Spot Prices'!$B:$B,'[1]Global_Spot Prices'!$I:$I)</f>
        <v>0</v>
      </c>
      <c r="G2606" cm="1">
        <f t="array" ref="G2606">_xlfn.XLOOKUP(TEXT(A2606, "mmm-yy"), TEXT([2]RUNS!$B$5:$B$208, "mmm-yy"), [2]RUNS!$D$5:$D$208, "Not Found")</f>
        <v>30626.106830942779</v>
      </c>
      <c r="H2606" cm="1">
        <f t="array" ref="H2606">SUMPRODUCT(
    --(TEXT('[3]Global Weekly Stock (EWSuez'!$B$4:$B$2000,"mmm-yy")=TEXT(A2606,"mmm-yy")),
    '[3]Global Weekly Stock (EWSuez'!$E$4:$E$2000)
/
SUMPRODUCT(
    --(TEXT('[3]Global Weekly Stock (EWSuez'!$B$4:$B$2000,"mmm-yy")=TEXT(A2606,"mmm-yy"))
)</f>
        <v>15365.25</v>
      </c>
      <c r="I2606">
        <f>_xlfn.XLOOKUP(A2606,[1]ForwardDeriv!$D:$D,[1]ForwardDeriv!$AJ:$AJ)</f>
        <v>0.25</v>
      </c>
      <c r="J2606" cm="1">
        <f t="array" ref="J2606">_xlfn.XLOOKUP(TEXT(A2606, "mmm-yy"), TEXT([2]GASOLINE!$B$5:$B$208, "mmm-yy"), [2]GASOLINE!$IR$5:$IR$208, "Not Found")</f>
        <v>-235.88318620556552</v>
      </c>
      <c r="K2606" cm="1">
        <f t="array" ref="K2606">_xlfn.XLOOKUP(TEXT(A2606, "mmm-yy"), TEXT([2]GASOLINE!$B$5:$B$208, "mmm-yy"), [2]GASOLINE!$IK$5:$IK$208, "Not Found")</f>
        <v>290.71431214472386</v>
      </c>
      <c r="L2606">
        <f t="shared" si="40"/>
        <v>0</v>
      </c>
      <c r="M2606" cm="1">
        <f t="array" ref="M2606">_xlfn.XLOOKUP(TEXT(A2606, "mmm-yy"), TEXT([2]GASOLINE!$B$5:$B$208, "mmm-yy"), [2]GASOLINE!$C$5:$C$208, "Not Found")</f>
        <v>7639.8829777333303</v>
      </c>
      <c r="N2606" cm="1">
        <f t="array" ref="N2606">_xlfn.XLOOKUP(TEXT(A2606, "mmm-yy"), TEXT([2]RUNS!$B$5:$B$208, "mmm-yy"), [2]RUNS!$BM$5:$BM$208, "Not Found")</f>
        <v>0.83243701107998913</v>
      </c>
    </row>
    <row r="2607" spans="1:14" x14ac:dyDescent="0.25">
      <c r="A2607" s="1">
        <f>'[1]Global_Spot Prices'!$B3916</f>
        <v>45652</v>
      </c>
      <c r="B2607">
        <f>_xlfn.XLOOKUP(A2607,'[1]Global_Spot Prices'!$B:$B,'[1]Global_Spot Prices'!$BS:$BS)</f>
        <v>6.5600000000000023</v>
      </c>
      <c r="C2607">
        <f>_xlfn.XLOOKUP(A2607,'[1]Global_Spot Prices'!$B:$B,'[1]Global_Spot Prices'!$E:$E)</f>
        <v>74.55</v>
      </c>
      <c r="D2607" t="str">
        <f>_xlfn.XLOOKUP(A2607,'[1]Global_Spot Prices'!$B:$B,'[1]Global_Spot Prices'!$D:$D)</f>
        <v/>
      </c>
      <c r="E2607">
        <f>_xlfn.XLOOKUP(A2607,'[1]Global_Spot Prices'!$B:$B,'[1]Global_Spot Prices'!$H:$H)</f>
        <v>70.16</v>
      </c>
      <c r="F2607">
        <f ca="1">_xlfn.XLOOKUP(A2607,'[1]Global_Spot Prices'!$B:$B,'[1]Global_Spot Prices'!$I:$I)</f>
        <v>81.11</v>
      </c>
      <c r="G2607" cm="1">
        <f t="array" ref="G2607">_xlfn.XLOOKUP(TEXT(A2607, "mmm-yy"), TEXT([2]RUNS!$B$5:$B$208, "mmm-yy"), [2]RUNS!$D$5:$D$208, "Not Found")</f>
        <v>30626.106830942779</v>
      </c>
      <c r="H2607" cm="1">
        <f t="array" ref="H2607">SUMPRODUCT(
    --(TEXT('[3]Global Weekly Stock (EWSuez'!$B$4:$B$2000,"mmm-yy")=TEXT(A2607,"mmm-yy")),
    '[3]Global Weekly Stock (EWSuez'!$E$4:$E$2000)
/
SUMPRODUCT(
    --(TEXT('[3]Global Weekly Stock (EWSuez'!$B$4:$B$2000,"mmm-yy")=TEXT(A2607,"mmm-yy"))
)</f>
        <v>15365.25</v>
      </c>
      <c r="I2607">
        <f>_xlfn.XLOOKUP(A2607,[1]ForwardDeriv!$D:$D,[1]ForwardDeriv!$AJ:$AJ)</f>
        <v>0.25</v>
      </c>
      <c r="J2607" cm="1">
        <f t="array" ref="J2607">_xlfn.XLOOKUP(TEXT(A2607, "mmm-yy"), TEXT([2]GASOLINE!$B$5:$B$208, "mmm-yy"), [2]GASOLINE!$IR$5:$IR$208, "Not Found")</f>
        <v>-235.88318620556552</v>
      </c>
      <c r="K2607" cm="1">
        <f t="array" ref="K2607">_xlfn.XLOOKUP(TEXT(A2607, "mmm-yy"), TEXT([2]GASOLINE!$B$5:$B$208, "mmm-yy"), [2]GASOLINE!$IK$5:$IK$208, "Not Found")</f>
        <v>290.71431214472386</v>
      </c>
      <c r="L2607">
        <f t="shared" si="40"/>
        <v>0</v>
      </c>
      <c r="M2607" cm="1">
        <f t="array" ref="M2607">_xlfn.XLOOKUP(TEXT(A2607, "mmm-yy"), TEXT([2]GASOLINE!$B$5:$B$208, "mmm-yy"), [2]GASOLINE!$C$5:$C$208, "Not Found")</f>
        <v>7639.8829777333303</v>
      </c>
      <c r="N2607" cm="1">
        <f t="array" ref="N2607">_xlfn.XLOOKUP(TEXT(A2607, "mmm-yy"), TEXT([2]RUNS!$B$5:$B$208, "mmm-yy"), [2]RUNS!$BM$5:$BM$208, "Not Found")</f>
        <v>0.83243701107998913</v>
      </c>
    </row>
    <row r="2608" spans="1:14" x14ac:dyDescent="0.25">
      <c r="A2608" s="1">
        <f>'[1]Global_Spot Prices'!$B3917</f>
        <v>45653</v>
      </c>
      <c r="B2608">
        <f>_xlfn.XLOOKUP(A2608,'[1]Global_Spot Prices'!$B:$B,'[1]Global_Spot Prices'!$BS:$BS)</f>
        <v>6.0100000000000051</v>
      </c>
      <c r="C2608">
        <f>_xlfn.XLOOKUP(A2608,'[1]Global_Spot Prices'!$B:$B,'[1]Global_Spot Prices'!$E:$E)</f>
        <v>74.66</v>
      </c>
      <c r="D2608">
        <f>_xlfn.XLOOKUP(A2608,'[1]Global_Spot Prices'!$B:$B,'[1]Global_Spot Prices'!$D:$D)</f>
        <v>74.09</v>
      </c>
      <c r="E2608">
        <f>_xlfn.XLOOKUP(A2608,'[1]Global_Spot Prices'!$B:$B,'[1]Global_Spot Prices'!$H:$H)</f>
        <v>69.69</v>
      </c>
      <c r="F2608">
        <f>_xlfn.XLOOKUP(A2608,'[1]Global_Spot Prices'!$B:$B,'[1]Global_Spot Prices'!$I:$I)</f>
        <v>80.67</v>
      </c>
      <c r="G2608" cm="1">
        <f t="array" ref="G2608">_xlfn.XLOOKUP(TEXT(A2608, "mmm-yy"), TEXT([2]RUNS!$B$5:$B$208, "mmm-yy"), [2]RUNS!$D$5:$D$208, "Not Found")</f>
        <v>30626.106830942779</v>
      </c>
      <c r="H2608" cm="1">
        <f t="array" ref="H2608">SUMPRODUCT(
    --(TEXT('[3]Global Weekly Stock (EWSuez'!$B$4:$B$2000,"mmm-yy")=TEXT(A2608,"mmm-yy")),
    '[3]Global Weekly Stock (EWSuez'!$E$4:$E$2000)
/
SUMPRODUCT(
    --(TEXT('[3]Global Weekly Stock (EWSuez'!$B$4:$B$2000,"mmm-yy")=TEXT(A2608,"mmm-yy"))
)</f>
        <v>15365.25</v>
      </c>
      <c r="I2608">
        <f>_xlfn.XLOOKUP(A2608,[1]ForwardDeriv!$D:$D,[1]ForwardDeriv!$AJ:$AJ)</f>
        <v>0.26999999999999602</v>
      </c>
      <c r="J2608" cm="1">
        <f t="array" ref="J2608">_xlfn.XLOOKUP(TEXT(A2608, "mmm-yy"), TEXT([2]GASOLINE!$B$5:$B$208, "mmm-yy"), [2]GASOLINE!$IR$5:$IR$208, "Not Found")</f>
        <v>-235.88318620556552</v>
      </c>
      <c r="K2608" cm="1">
        <f t="array" ref="K2608">_xlfn.XLOOKUP(TEXT(A2608, "mmm-yy"), TEXT([2]GASOLINE!$B$5:$B$208, "mmm-yy"), [2]GASOLINE!$IK$5:$IK$208, "Not Found")</f>
        <v>290.71431214472386</v>
      </c>
      <c r="L2608">
        <f t="shared" si="40"/>
        <v>0</v>
      </c>
      <c r="M2608" cm="1">
        <f t="array" ref="M2608">_xlfn.XLOOKUP(TEXT(A2608, "mmm-yy"), TEXT([2]GASOLINE!$B$5:$B$208, "mmm-yy"), [2]GASOLINE!$C$5:$C$208, "Not Found")</f>
        <v>7639.8829777333303</v>
      </c>
      <c r="N2608" cm="1">
        <f t="array" ref="N2608">_xlfn.XLOOKUP(TEXT(A2608, "mmm-yy"), TEXT([2]RUNS!$B$5:$B$208, "mmm-yy"), [2]RUNS!$BM$5:$BM$208, "Not Found")</f>
        <v>0.83243701107998913</v>
      </c>
    </row>
    <row r="2609" spans="1:14" x14ac:dyDescent="0.25">
      <c r="A2609" s="1">
        <f>'[1]Global_Spot Prices'!$B3918</f>
        <v>45656</v>
      </c>
      <c r="B2609">
        <f>_xlfn.XLOOKUP(A2609,'[1]Global_Spot Prices'!$B:$B,'[1]Global_Spot Prices'!$BS:$BS)</f>
        <v>5.9500000000000028</v>
      </c>
      <c r="C2609">
        <f>_xlfn.XLOOKUP(A2609,'[1]Global_Spot Prices'!$B:$B,'[1]Global_Spot Prices'!$E:$E)</f>
        <v>75.34</v>
      </c>
      <c r="D2609">
        <f>_xlfn.XLOOKUP(A2609,'[1]Global_Spot Prices'!$B:$B,'[1]Global_Spot Prices'!$D:$D)</f>
        <v>74.08</v>
      </c>
      <c r="E2609">
        <f>_xlfn.XLOOKUP(A2609,'[1]Global_Spot Prices'!$B:$B,'[1]Global_Spot Prices'!$H:$H)</f>
        <v>70.239999999999995</v>
      </c>
      <c r="F2609">
        <f>_xlfn.XLOOKUP(A2609,'[1]Global_Spot Prices'!$B:$B,'[1]Global_Spot Prices'!$I:$I)</f>
        <v>81.290000000000006</v>
      </c>
      <c r="G2609" cm="1">
        <f t="array" ref="G2609">_xlfn.XLOOKUP(TEXT(A2609, "mmm-yy"), TEXT([2]RUNS!$B$5:$B$208, "mmm-yy"), [2]RUNS!$D$5:$D$208, "Not Found")</f>
        <v>30626.106830942779</v>
      </c>
      <c r="H2609" cm="1">
        <f t="array" ref="H2609">SUMPRODUCT(
    --(TEXT('[3]Global Weekly Stock (EWSuez'!$B$4:$B$2000,"mmm-yy")=TEXT(A2609,"mmm-yy")),
    '[3]Global Weekly Stock (EWSuez'!$E$4:$E$2000)
/
SUMPRODUCT(
    --(TEXT('[3]Global Weekly Stock (EWSuez'!$B$4:$B$2000,"mmm-yy")=TEXT(A2609,"mmm-yy"))
)</f>
        <v>15365.25</v>
      </c>
      <c r="I2609">
        <f>_xlfn.XLOOKUP(A2609,[1]ForwardDeriv!$D:$D,[1]ForwardDeriv!$AJ:$AJ)</f>
        <v>0.31999999999999318</v>
      </c>
      <c r="J2609" cm="1">
        <f t="array" ref="J2609">_xlfn.XLOOKUP(TEXT(A2609, "mmm-yy"), TEXT([2]GASOLINE!$B$5:$B$208, "mmm-yy"), [2]GASOLINE!$IR$5:$IR$208, "Not Found")</f>
        <v>-235.88318620556552</v>
      </c>
      <c r="K2609" cm="1">
        <f t="array" ref="K2609">_xlfn.XLOOKUP(TEXT(A2609, "mmm-yy"), TEXT([2]GASOLINE!$B$5:$B$208, "mmm-yy"), [2]GASOLINE!$IK$5:$IK$208, "Not Found")</f>
        <v>290.71431214472386</v>
      </c>
      <c r="L2609">
        <f t="shared" si="40"/>
        <v>0</v>
      </c>
      <c r="M2609" cm="1">
        <f t="array" ref="M2609">_xlfn.XLOOKUP(TEXT(A2609, "mmm-yy"), TEXT([2]GASOLINE!$B$5:$B$208, "mmm-yy"), [2]GASOLINE!$C$5:$C$208, "Not Found")</f>
        <v>7639.8829777333303</v>
      </c>
      <c r="N2609" cm="1">
        <f t="array" ref="N2609">_xlfn.XLOOKUP(TEXT(A2609, "mmm-yy"), TEXT([2]RUNS!$B$5:$B$208, "mmm-yy"), [2]RUNS!$BM$5:$BM$208, "Not Found")</f>
        <v>0.83243701107998913</v>
      </c>
    </row>
    <row r="2610" spans="1:14" x14ac:dyDescent="0.25">
      <c r="A2610" s="1">
        <f>'[1]Global_Spot Prices'!$B3919</f>
        <v>45657</v>
      </c>
      <c r="B2610">
        <f>_xlfn.XLOOKUP(A2610,'[1]Global_Spot Prices'!$B:$B,'[1]Global_Spot Prices'!$BS:$BS)</f>
        <v>6.2000000000000028</v>
      </c>
      <c r="C2610">
        <f>_xlfn.XLOOKUP(A2610,'[1]Global_Spot Prices'!$B:$B,'[1]Global_Spot Prices'!$E:$E)</f>
        <v>75.95</v>
      </c>
      <c r="D2610">
        <f>_xlfn.XLOOKUP(A2610,'[1]Global_Spot Prices'!$B:$B,'[1]Global_Spot Prices'!$D:$D)</f>
        <v>74.644999999999996</v>
      </c>
      <c r="E2610">
        <f>_xlfn.XLOOKUP(A2610,'[1]Global_Spot Prices'!$B:$B,'[1]Global_Spot Prices'!$H:$H)</f>
        <v>71.58</v>
      </c>
      <c r="F2610">
        <f>_xlfn.XLOOKUP(A2610,'[1]Global_Spot Prices'!$B:$B,'[1]Global_Spot Prices'!$I:$I)</f>
        <v>82.15</v>
      </c>
      <c r="G2610" cm="1">
        <f t="array" ref="G2610">_xlfn.XLOOKUP(TEXT(A2610, "mmm-yy"), TEXT([2]RUNS!$B$5:$B$208, "mmm-yy"), [2]RUNS!$D$5:$D$208, "Not Found")</f>
        <v>30626.106830942779</v>
      </c>
      <c r="H2610" cm="1">
        <f t="array" ref="H2610">SUMPRODUCT(
    --(TEXT('[3]Global Weekly Stock (EWSuez'!$B$4:$B$2000,"mmm-yy")=TEXT(A2610,"mmm-yy")),
    '[3]Global Weekly Stock (EWSuez'!$E$4:$E$2000)
/
SUMPRODUCT(
    --(TEXT('[3]Global Weekly Stock (EWSuez'!$B$4:$B$2000,"mmm-yy")=TEXT(A2610,"mmm-yy"))
)</f>
        <v>15365.25</v>
      </c>
      <c r="I2610">
        <f>_xlfn.XLOOKUP(A2610,[1]ForwardDeriv!$D:$D,[1]ForwardDeriv!$AJ:$AJ)</f>
        <v>0.39000000000000057</v>
      </c>
      <c r="J2610" cm="1">
        <f t="array" ref="J2610">_xlfn.XLOOKUP(TEXT(A2610, "mmm-yy"), TEXT([2]GASOLINE!$B$5:$B$208, "mmm-yy"), [2]GASOLINE!$IR$5:$IR$208, "Not Found")</f>
        <v>-235.88318620556552</v>
      </c>
      <c r="K2610" cm="1">
        <f t="array" ref="K2610">_xlfn.XLOOKUP(TEXT(A2610, "mmm-yy"), TEXT([2]GASOLINE!$B$5:$B$208, "mmm-yy"), [2]GASOLINE!$IK$5:$IK$208, "Not Found")</f>
        <v>290.71431214472386</v>
      </c>
      <c r="L2610">
        <f t="shared" si="40"/>
        <v>0</v>
      </c>
      <c r="M2610" cm="1">
        <f t="array" ref="M2610">_xlfn.XLOOKUP(TEXT(A2610, "mmm-yy"), TEXT([2]GASOLINE!$B$5:$B$208, "mmm-yy"), [2]GASOLINE!$C$5:$C$208, "Not Found")</f>
        <v>7639.8829777333303</v>
      </c>
      <c r="N2610" cm="1">
        <f t="array" ref="N2610">_xlfn.XLOOKUP(TEXT(A2610, "mmm-yy"), TEXT([2]RUNS!$B$5:$B$208, "mmm-yy"), [2]RUNS!$BM$5:$BM$208, "Not Found")</f>
        <v>0.83243701107998913</v>
      </c>
    </row>
    <row r="2611" spans="1:14" x14ac:dyDescent="0.25">
      <c r="A2611" s="1">
        <f>'[1]Global_Spot Prices'!$B3920</f>
        <v>45658</v>
      </c>
      <c r="B2611" t="e">
        <f>_xlfn.XLOOKUP(A2611,'[1]Global_Spot Prices'!$B:$B,'[1]Global_Spot Prices'!$BS:$BS)</f>
        <v>#N/A</v>
      </c>
      <c r="C2611" t="str">
        <f>_xlfn.XLOOKUP(A2611,'[1]Global_Spot Prices'!$B:$B,'[1]Global_Spot Prices'!$E:$E)</f>
        <v/>
      </c>
      <c r="D2611" t="str">
        <f>_xlfn.XLOOKUP(A2611,'[1]Global_Spot Prices'!$B:$B,'[1]Global_Spot Prices'!$D:$D)</f>
        <v/>
      </c>
      <c r="E2611">
        <f>_xlfn.XLOOKUP(A2611,'[1]Global_Spot Prices'!$B:$B,'[1]Global_Spot Prices'!$H:$H)</f>
        <v>0</v>
      </c>
      <c r="F2611">
        <f>_xlfn.XLOOKUP(A2611,'[1]Global_Spot Prices'!$B:$B,'[1]Global_Spot Prices'!$I:$I)</f>
        <v>0</v>
      </c>
      <c r="G2611" cm="1">
        <f t="array" ref="G2611">_xlfn.XLOOKUP(TEXT(A2611, "mmm-yy"), TEXT([2]RUNS!$B$5:$B$208, "mmm-yy"), [2]RUNS!$D$5:$D$208, "Not Found")</f>
        <v>31465.176932077946</v>
      </c>
      <c r="H2611" cm="1">
        <f t="array" ref="H2611">SUMPRODUCT(
    --(TEXT('[3]Global Weekly Stock (EWSuez'!$B$4:$B$2000,"mmm-yy")=TEXT(A2611,"mmm-yy")),
    '[3]Global Weekly Stock (EWSuez'!$E$4:$E$2000)
/
SUMPRODUCT(
    --(TEXT('[3]Global Weekly Stock (EWSuez'!$B$4:$B$2000,"mmm-yy")=TEXT(A2611,"mmm-yy"))
)</f>
        <v>15307.4</v>
      </c>
      <c r="I2611">
        <f>_xlfn.XLOOKUP(A2611,[1]ForwardDeriv!$D:$D,[1]ForwardDeriv!$AJ:$AJ)</f>
        <v>0.35999999999999943</v>
      </c>
      <c r="J2611" cm="1">
        <f t="array" ref="J2611">_xlfn.XLOOKUP(TEXT(A2611, "mmm-yy"), TEXT([2]GASOLINE!$B$5:$B$208, "mmm-yy"), [2]GASOLINE!$IR$5:$IR$208, "Not Found")</f>
        <v>-274.39322248248436</v>
      </c>
      <c r="K2611" cm="1">
        <f t="array" ref="K2611">_xlfn.XLOOKUP(TEXT(A2611, "mmm-yy"), TEXT([2]GASOLINE!$B$5:$B$208, "mmm-yy"), [2]GASOLINE!$IK$5:$IK$208, "Not Found")</f>
        <v>301.42338841857008</v>
      </c>
      <c r="L2611">
        <f t="shared" si="40"/>
        <v>0</v>
      </c>
      <c r="M2611" cm="1">
        <f t="array" ref="M2611">_xlfn.XLOOKUP(TEXT(A2611, "mmm-yy"), TEXT([2]GASOLINE!$B$5:$B$208, "mmm-yy"), [2]GASOLINE!$C$5:$C$208, "Not Found")</f>
        <v>7905.6245004264811</v>
      </c>
      <c r="N2611" cm="1">
        <f t="array" ref="N2611">_xlfn.XLOOKUP(TEXT(A2611, "mmm-yy"), TEXT([2]RUNS!$B$5:$B$208, "mmm-yy"), [2]RUNS!$BM$5:$BM$208, "Not Found")</f>
        <v>0.85617432313434338</v>
      </c>
    </row>
    <row r="2612" spans="1:14" x14ac:dyDescent="0.25">
      <c r="A2612" s="1">
        <f>'[1]Global_Spot Prices'!$B3921</f>
        <v>45659</v>
      </c>
      <c r="B2612">
        <f>_xlfn.XLOOKUP(A2612,'[1]Global_Spot Prices'!$B:$B,'[1]Global_Spot Prices'!$BS:$BS)</f>
        <v>7.75</v>
      </c>
      <c r="C2612">
        <f>_xlfn.XLOOKUP(A2612,'[1]Global_Spot Prices'!$B:$B,'[1]Global_Spot Prices'!$E:$E)</f>
        <v>75.2</v>
      </c>
      <c r="D2612">
        <f>_xlfn.XLOOKUP(A2612,'[1]Global_Spot Prices'!$B:$B,'[1]Global_Spot Prices'!$D:$D)</f>
        <v>76.53</v>
      </c>
      <c r="E2612">
        <f>_xlfn.XLOOKUP(A2612,'[1]Global_Spot Prices'!$B:$B,'[1]Global_Spot Prices'!$H:$H)</f>
        <v>71.97</v>
      </c>
      <c r="F2612">
        <f>_xlfn.XLOOKUP(A2612,'[1]Global_Spot Prices'!$B:$B,'[1]Global_Spot Prices'!$I:$I)</f>
        <v>82.95</v>
      </c>
      <c r="G2612" cm="1">
        <f t="array" ref="G2612">_xlfn.XLOOKUP(TEXT(A2612, "mmm-yy"), TEXT([2]RUNS!$B$5:$B$208, "mmm-yy"), [2]RUNS!$D$5:$D$208, "Not Found")</f>
        <v>31465.176932077946</v>
      </c>
      <c r="H2612" cm="1">
        <f t="array" ref="H2612">SUMPRODUCT(
    --(TEXT('[3]Global Weekly Stock (EWSuez'!$B$4:$B$2000,"mmm-yy")=TEXT(A2612,"mmm-yy")),
    '[3]Global Weekly Stock (EWSuez'!$E$4:$E$2000)
/
SUMPRODUCT(
    --(TEXT('[3]Global Weekly Stock (EWSuez'!$B$4:$B$2000,"mmm-yy")=TEXT(A2612,"mmm-yy"))
)</f>
        <v>15307.4</v>
      </c>
      <c r="I2612">
        <f>_xlfn.XLOOKUP(A2612,[1]ForwardDeriv!$D:$D,[1]ForwardDeriv!$AJ:$AJ)</f>
        <v>0.35999999999999943</v>
      </c>
      <c r="J2612" cm="1">
        <f t="array" ref="J2612">_xlfn.XLOOKUP(TEXT(A2612, "mmm-yy"), TEXT([2]GASOLINE!$B$5:$B$208, "mmm-yy"), [2]GASOLINE!$IR$5:$IR$208, "Not Found")</f>
        <v>-274.39322248248436</v>
      </c>
      <c r="K2612" cm="1">
        <f t="array" ref="K2612">_xlfn.XLOOKUP(TEXT(A2612, "mmm-yy"), TEXT([2]GASOLINE!$B$5:$B$208, "mmm-yy"), [2]GASOLINE!$IK$5:$IK$208, "Not Found")</f>
        <v>301.42338841857008</v>
      </c>
      <c r="L2612">
        <f t="shared" si="40"/>
        <v>0</v>
      </c>
      <c r="M2612" cm="1">
        <f t="array" ref="M2612">_xlfn.XLOOKUP(TEXT(A2612, "mmm-yy"), TEXT([2]GASOLINE!$B$5:$B$208, "mmm-yy"), [2]GASOLINE!$C$5:$C$208, "Not Found")</f>
        <v>7905.6245004264811</v>
      </c>
      <c r="N2612" cm="1">
        <f t="array" ref="N2612">_xlfn.XLOOKUP(TEXT(A2612, "mmm-yy"), TEXT([2]RUNS!$B$5:$B$208, "mmm-yy"), [2]RUNS!$BM$5:$BM$208, "Not Found")</f>
        <v>0.85617432313434338</v>
      </c>
    </row>
    <row r="2613" spans="1:14" x14ac:dyDescent="0.25">
      <c r="A2613" s="1">
        <f>'[1]Global_Spot Prices'!$B3922</f>
        <v>45660</v>
      </c>
      <c r="B2613">
        <f>_xlfn.XLOOKUP(A2613,'[1]Global_Spot Prices'!$B:$B,'[1]Global_Spot Prices'!$BS:$BS)</f>
        <v>7.2199999999999989</v>
      </c>
      <c r="C2613">
        <f>_xlfn.XLOOKUP(A2613,'[1]Global_Spot Prices'!$B:$B,'[1]Global_Spot Prices'!$E:$E)</f>
        <v>76.52</v>
      </c>
      <c r="D2613">
        <f>_xlfn.XLOOKUP(A2613,'[1]Global_Spot Prices'!$B:$B,'[1]Global_Spot Prices'!$D:$D)</f>
        <v>76.760000000000005</v>
      </c>
      <c r="E2613">
        <f>_xlfn.XLOOKUP(A2613,'[1]Global_Spot Prices'!$B:$B,'[1]Global_Spot Prices'!$H:$H)</f>
        <v>73.47</v>
      </c>
      <c r="F2613">
        <f>_xlfn.XLOOKUP(A2613,'[1]Global_Spot Prices'!$B:$B,'[1]Global_Spot Prices'!$I:$I)</f>
        <v>83.74</v>
      </c>
      <c r="G2613" cm="1">
        <f t="array" ref="G2613">_xlfn.XLOOKUP(TEXT(A2613, "mmm-yy"), TEXT([2]RUNS!$B$5:$B$208, "mmm-yy"), [2]RUNS!$D$5:$D$208, "Not Found")</f>
        <v>31465.176932077946</v>
      </c>
      <c r="H2613" cm="1">
        <f t="array" ref="H2613">SUMPRODUCT(
    --(TEXT('[3]Global Weekly Stock (EWSuez'!$B$4:$B$2000,"mmm-yy")=TEXT(A2613,"mmm-yy")),
    '[3]Global Weekly Stock (EWSuez'!$E$4:$E$2000)
/
SUMPRODUCT(
    --(TEXT('[3]Global Weekly Stock (EWSuez'!$B$4:$B$2000,"mmm-yy")=TEXT(A2613,"mmm-yy"))
)</f>
        <v>15307.4</v>
      </c>
      <c r="I2613">
        <f>_xlfn.XLOOKUP(A2613,[1]ForwardDeriv!$D:$D,[1]ForwardDeriv!$AJ:$AJ)</f>
        <v>0.28999999999999204</v>
      </c>
      <c r="J2613" cm="1">
        <f t="array" ref="J2613">_xlfn.XLOOKUP(TEXT(A2613, "mmm-yy"), TEXT([2]GASOLINE!$B$5:$B$208, "mmm-yy"), [2]GASOLINE!$IR$5:$IR$208, "Not Found")</f>
        <v>-274.39322248248436</v>
      </c>
      <c r="K2613" cm="1">
        <f t="array" ref="K2613">_xlfn.XLOOKUP(TEXT(A2613, "mmm-yy"), TEXT([2]GASOLINE!$B$5:$B$208, "mmm-yy"), [2]GASOLINE!$IK$5:$IK$208, "Not Found")</f>
        <v>301.42338841857008</v>
      </c>
      <c r="L2613">
        <f t="shared" si="40"/>
        <v>0</v>
      </c>
      <c r="M2613" cm="1">
        <f t="array" ref="M2613">_xlfn.XLOOKUP(TEXT(A2613, "mmm-yy"), TEXT([2]GASOLINE!$B$5:$B$208, "mmm-yy"), [2]GASOLINE!$C$5:$C$208, "Not Found")</f>
        <v>7905.6245004264811</v>
      </c>
      <c r="N2613" cm="1">
        <f t="array" ref="N2613">_xlfn.XLOOKUP(TEXT(A2613, "mmm-yy"), TEXT([2]RUNS!$B$5:$B$208, "mmm-yy"), [2]RUNS!$BM$5:$BM$208, "Not Found")</f>
        <v>0.85617432313434338</v>
      </c>
    </row>
    <row r="2614" spans="1:14" x14ac:dyDescent="0.25">
      <c r="A2614" s="1">
        <f>'[1]Global_Spot Prices'!$B3923</f>
        <v>45663</v>
      </c>
      <c r="B2614">
        <f>_xlfn.XLOOKUP(A2614,'[1]Global_Spot Prices'!$B:$B,'[1]Global_Spot Prices'!$BS:$BS)</f>
        <v>7.0499999999999972</v>
      </c>
      <c r="C2614">
        <f>_xlfn.XLOOKUP(A2614,'[1]Global_Spot Prices'!$B:$B,'[1]Global_Spot Prices'!$E:$E)</f>
        <v>76.56</v>
      </c>
      <c r="D2614">
        <f>_xlfn.XLOOKUP(A2614,'[1]Global_Spot Prices'!$B:$B,'[1]Global_Spot Prices'!$D:$D)</f>
        <v>77.569999999999993</v>
      </c>
      <c r="E2614">
        <f>_xlfn.XLOOKUP(A2614,'[1]Global_Spot Prices'!$B:$B,'[1]Global_Spot Prices'!$H:$H)</f>
        <v>72.12</v>
      </c>
      <c r="F2614">
        <f>_xlfn.XLOOKUP(A2614,'[1]Global_Spot Prices'!$B:$B,'[1]Global_Spot Prices'!$I:$I)</f>
        <v>83.61</v>
      </c>
      <c r="G2614" cm="1">
        <f t="array" ref="G2614">_xlfn.XLOOKUP(TEXT(A2614, "mmm-yy"), TEXT([2]RUNS!$B$5:$B$208, "mmm-yy"), [2]RUNS!$D$5:$D$208, "Not Found")</f>
        <v>31465.176932077946</v>
      </c>
      <c r="H2614" cm="1">
        <f t="array" ref="H2614">SUMPRODUCT(
    --(TEXT('[3]Global Weekly Stock (EWSuez'!$B$4:$B$2000,"mmm-yy")=TEXT(A2614,"mmm-yy")),
    '[3]Global Weekly Stock (EWSuez'!$E$4:$E$2000)
/
SUMPRODUCT(
    --(TEXT('[3]Global Weekly Stock (EWSuez'!$B$4:$B$2000,"mmm-yy")=TEXT(A2614,"mmm-yy"))
)</f>
        <v>15307.4</v>
      </c>
      <c r="I2614">
        <f>_xlfn.XLOOKUP(A2614,[1]ForwardDeriv!$D:$D,[1]ForwardDeriv!$AJ:$AJ)</f>
        <v>0.26999999999999602</v>
      </c>
      <c r="J2614" cm="1">
        <f t="array" ref="J2614">_xlfn.XLOOKUP(TEXT(A2614, "mmm-yy"), TEXT([2]GASOLINE!$B$5:$B$208, "mmm-yy"), [2]GASOLINE!$IR$5:$IR$208, "Not Found")</f>
        <v>-274.39322248248436</v>
      </c>
      <c r="K2614" cm="1">
        <f t="array" ref="K2614">_xlfn.XLOOKUP(TEXT(A2614, "mmm-yy"), TEXT([2]GASOLINE!$B$5:$B$208, "mmm-yy"), [2]GASOLINE!$IK$5:$IK$208, "Not Found")</f>
        <v>301.42338841857008</v>
      </c>
      <c r="L2614">
        <f t="shared" si="40"/>
        <v>0</v>
      </c>
      <c r="M2614" cm="1">
        <f t="array" ref="M2614">_xlfn.XLOOKUP(TEXT(A2614, "mmm-yy"), TEXT([2]GASOLINE!$B$5:$B$208, "mmm-yy"), [2]GASOLINE!$C$5:$C$208, "Not Found")</f>
        <v>7905.6245004264811</v>
      </c>
      <c r="N2614" cm="1">
        <f t="array" ref="N2614">_xlfn.XLOOKUP(TEXT(A2614, "mmm-yy"), TEXT([2]RUNS!$B$5:$B$208, "mmm-yy"), [2]RUNS!$BM$5:$BM$208, "Not Found")</f>
        <v>0.85617432313434338</v>
      </c>
    </row>
    <row r="2615" spans="1:14" x14ac:dyDescent="0.25">
      <c r="A2615" s="1">
        <f>'[1]Global_Spot Prices'!$B3924</f>
        <v>45664</v>
      </c>
      <c r="B2615">
        <f>_xlfn.XLOOKUP(A2615,'[1]Global_Spot Prices'!$B:$B,'[1]Global_Spot Prices'!$BS:$BS)</f>
        <v>6.8300000000000125</v>
      </c>
      <c r="C2615">
        <f>_xlfn.XLOOKUP(A2615,'[1]Global_Spot Prices'!$B:$B,'[1]Global_Spot Prices'!$E:$E)</f>
        <v>76.319999999999993</v>
      </c>
      <c r="D2615">
        <f>_xlfn.XLOOKUP(A2615,'[1]Global_Spot Prices'!$B:$B,'[1]Global_Spot Prices'!$D:$D)</f>
        <v>77.89</v>
      </c>
      <c r="E2615">
        <f>_xlfn.XLOOKUP(A2615,'[1]Global_Spot Prices'!$B:$B,'[1]Global_Spot Prices'!$H:$H)</f>
        <v>71.680000000000007</v>
      </c>
      <c r="F2615">
        <f>_xlfn.XLOOKUP(A2615,'[1]Global_Spot Prices'!$B:$B,'[1]Global_Spot Prices'!$I:$I)</f>
        <v>83.15</v>
      </c>
      <c r="G2615" cm="1">
        <f t="array" ref="G2615">_xlfn.XLOOKUP(TEXT(A2615, "mmm-yy"), TEXT([2]RUNS!$B$5:$B$208, "mmm-yy"), [2]RUNS!$D$5:$D$208, "Not Found")</f>
        <v>31465.176932077946</v>
      </c>
      <c r="H2615" cm="1">
        <f t="array" ref="H2615">SUMPRODUCT(
    --(TEXT('[3]Global Weekly Stock (EWSuez'!$B$4:$B$2000,"mmm-yy")=TEXT(A2615,"mmm-yy")),
    '[3]Global Weekly Stock (EWSuez'!$E$4:$E$2000)
/
SUMPRODUCT(
    --(TEXT('[3]Global Weekly Stock (EWSuez'!$B$4:$B$2000,"mmm-yy")=TEXT(A2615,"mmm-yy"))
)</f>
        <v>15307.4</v>
      </c>
      <c r="I2615">
        <f>_xlfn.XLOOKUP(A2615,[1]ForwardDeriv!$D:$D,[1]ForwardDeriv!$AJ:$AJ)</f>
        <v>0.21999999999999886</v>
      </c>
      <c r="J2615" cm="1">
        <f t="array" ref="J2615">_xlfn.XLOOKUP(TEXT(A2615, "mmm-yy"), TEXT([2]GASOLINE!$B$5:$B$208, "mmm-yy"), [2]GASOLINE!$IR$5:$IR$208, "Not Found")</f>
        <v>-274.39322248248436</v>
      </c>
      <c r="K2615" cm="1">
        <f t="array" ref="K2615">_xlfn.XLOOKUP(TEXT(A2615, "mmm-yy"), TEXT([2]GASOLINE!$B$5:$B$208, "mmm-yy"), [2]GASOLINE!$IK$5:$IK$208, "Not Found")</f>
        <v>301.42338841857008</v>
      </c>
      <c r="L2615">
        <f t="shared" si="40"/>
        <v>0</v>
      </c>
      <c r="M2615" cm="1">
        <f t="array" ref="M2615">_xlfn.XLOOKUP(TEXT(A2615, "mmm-yy"), TEXT([2]GASOLINE!$B$5:$B$208, "mmm-yy"), [2]GASOLINE!$C$5:$C$208, "Not Found")</f>
        <v>7905.6245004264811</v>
      </c>
      <c r="N2615" cm="1">
        <f t="array" ref="N2615">_xlfn.XLOOKUP(TEXT(A2615, "mmm-yy"), TEXT([2]RUNS!$B$5:$B$208, "mmm-yy"), [2]RUNS!$BM$5:$BM$208, "Not Found")</f>
        <v>0.85617432313434338</v>
      </c>
    </row>
    <row r="2616" spans="1:14" x14ac:dyDescent="0.25">
      <c r="A2616" s="1">
        <f>'[1]Global_Spot Prices'!$B3925</f>
        <v>45665</v>
      </c>
      <c r="B2616">
        <f>_xlfn.XLOOKUP(A2616,'[1]Global_Spot Prices'!$B:$B,'[1]Global_Spot Prices'!$BS:$BS)</f>
        <v>5.6899999999999977</v>
      </c>
      <c r="C2616">
        <f>_xlfn.XLOOKUP(A2616,'[1]Global_Spot Prices'!$B:$B,'[1]Global_Spot Prices'!$E:$E)</f>
        <v>77.66</v>
      </c>
      <c r="D2616">
        <f>_xlfn.XLOOKUP(A2616,'[1]Global_Spot Prices'!$B:$B,'[1]Global_Spot Prices'!$D:$D)</f>
        <v>77.234999999999999</v>
      </c>
      <c r="E2616">
        <f>_xlfn.XLOOKUP(A2616,'[1]Global_Spot Prices'!$B:$B,'[1]Global_Spot Prices'!$H:$H)</f>
        <v>72.42</v>
      </c>
      <c r="F2616">
        <f>_xlfn.XLOOKUP(A2616,'[1]Global_Spot Prices'!$B:$B,'[1]Global_Spot Prices'!$I:$I)</f>
        <v>83.35</v>
      </c>
      <c r="G2616" cm="1">
        <f t="array" ref="G2616">_xlfn.XLOOKUP(TEXT(A2616, "mmm-yy"), TEXT([2]RUNS!$B$5:$B$208, "mmm-yy"), [2]RUNS!$D$5:$D$208, "Not Found")</f>
        <v>31465.176932077946</v>
      </c>
      <c r="H2616" cm="1">
        <f t="array" ref="H2616">SUMPRODUCT(
    --(TEXT('[3]Global Weekly Stock (EWSuez'!$B$4:$B$2000,"mmm-yy")=TEXT(A2616,"mmm-yy")),
    '[3]Global Weekly Stock (EWSuez'!$E$4:$E$2000)
/
SUMPRODUCT(
    --(TEXT('[3]Global Weekly Stock (EWSuez'!$B$4:$B$2000,"mmm-yy")=TEXT(A2616,"mmm-yy"))
)</f>
        <v>15307.4</v>
      </c>
      <c r="I2616">
        <f>_xlfn.XLOOKUP(A2616,[1]ForwardDeriv!$D:$D,[1]ForwardDeriv!$AJ:$AJ)</f>
        <v>0.15999999999999659</v>
      </c>
      <c r="J2616" cm="1">
        <f t="array" ref="J2616">_xlfn.XLOOKUP(TEXT(A2616, "mmm-yy"), TEXT([2]GASOLINE!$B$5:$B$208, "mmm-yy"), [2]GASOLINE!$IR$5:$IR$208, "Not Found")</f>
        <v>-274.39322248248436</v>
      </c>
      <c r="K2616" cm="1">
        <f t="array" ref="K2616">_xlfn.XLOOKUP(TEXT(A2616, "mmm-yy"), TEXT([2]GASOLINE!$B$5:$B$208, "mmm-yy"), [2]GASOLINE!$IK$5:$IK$208, "Not Found")</f>
        <v>301.42338841857008</v>
      </c>
      <c r="L2616">
        <f t="shared" si="40"/>
        <v>0</v>
      </c>
      <c r="M2616" cm="1">
        <f t="array" ref="M2616">_xlfn.XLOOKUP(TEXT(A2616, "mmm-yy"), TEXT([2]GASOLINE!$B$5:$B$208, "mmm-yy"), [2]GASOLINE!$C$5:$C$208, "Not Found")</f>
        <v>7905.6245004264811</v>
      </c>
      <c r="N2616" cm="1">
        <f t="array" ref="N2616">_xlfn.XLOOKUP(TEXT(A2616, "mmm-yy"), TEXT([2]RUNS!$B$5:$B$208, "mmm-yy"), [2]RUNS!$BM$5:$BM$208, "Not Found")</f>
        <v>0.85617432313434338</v>
      </c>
    </row>
    <row r="2617" spans="1:14" x14ac:dyDescent="0.25">
      <c r="A2617" s="1">
        <f>'[1]Global_Spot Prices'!$B3926</f>
        <v>45666</v>
      </c>
      <c r="B2617">
        <f>_xlfn.XLOOKUP(A2617,'[1]Global_Spot Prices'!$B:$B,'[1]Global_Spot Prices'!$BS:$BS)</f>
        <v>6.335000000000008</v>
      </c>
      <c r="C2617">
        <f>_xlfn.XLOOKUP(A2617,'[1]Global_Spot Prices'!$B:$B,'[1]Global_Spot Prices'!$E:$E)</f>
        <v>76.444999999999993</v>
      </c>
      <c r="D2617">
        <f>_xlfn.XLOOKUP(A2617,'[1]Global_Spot Prices'!$B:$B,'[1]Global_Spot Prices'!$D:$D)</f>
        <v>78.05</v>
      </c>
      <c r="E2617">
        <f>_xlfn.XLOOKUP(A2617,'[1]Global_Spot Prices'!$B:$B,'[1]Global_Spot Prices'!$H:$H)</f>
        <v>71.75</v>
      </c>
      <c r="F2617">
        <f ca="1">_xlfn.XLOOKUP(A2617,'[1]Global_Spot Prices'!$B:$B,'[1]Global_Spot Prices'!$I:$I)</f>
        <v>82.78</v>
      </c>
      <c r="G2617" cm="1">
        <f t="array" ref="G2617">_xlfn.XLOOKUP(TEXT(A2617, "mmm-yy"), TEXT([2]RUNS!$B$5:$B$208, "mmm-yy"), [2]RUNS!$D$5:$D$208, "Not Found")</f>
        <v>31465.176932077946</v>
      </c>
      <c r="H2617" cm="1">
        <f t="array" ref="H2617">SUMPRODUCT(
    --(TEXT('[3]Global Weekly Stock (EWSuez'!$B$4:$B$2000,"mmm-yy")=TEXT(A2617,"mmm-yy")),
    '[3]Global Weekly Stock (EWSuez'!$E$4:$E$2000)
/
SUMPRODUCT(
    --(TEXT('[3]Global Weekly Stock (EWSuez'!$B$4:$B$2000,"mmm-yy")=TEXT(A2617,"mmm-yy"))
)</f>
        <v>15307.4</v>
      </c>
      <c r="I2617">
        <f>_xlfn.XLOOKUP(A2617,[1]ForwardDeriv!$D:$D,[1]ForwardDeriv!$AJ:$AJ)</f>
        <v>0.13000000000000966</v>
      </c>
      <c r="J2617" cm="1">
        <f t="array" ref="J2617">_xlfn.XLOOKUP(TEXT(A2617, "mmm-yy"), TEXT([2]GASOLINE!$B$5:$B$208, "mmm-yy"), [2]GASOLINE!$IR$5:$IR$208, "Not Found")</f>
        <v>-274.39322248248436</v>
      </c>
      <c r="K2617" cm="1">
        <f t="array" ref="K2617">_xlfn.XLOOKUP(TEXT(A2617, "mmm-yy"), TEXT([2]GASOLINE!$B$5:$B$208, "mmm-yy"), [2]GASOLINE!$IK$5:$IK$208, "Not Found")</f>
        <v>301.42338841857008</v>
      </c>
      <c r="L2617">
        <f t="shared" si="40"/>
        <v>0</v>
      </c>
      <c r="M2617" cm="1">
        <f t="array" ref="M2617">_xlfn.XLOOKUP(TEXT(A2617, "mmm-yy"), TEXT([2]GASOLINE!$B$5:$B$208, "mmm-yy"), [2]GASOLINE!$C$5:$C$208, "Not Found")</f>
        <v>7905.6245004264811</v>
      </c>
      <c r="N2617" cm="1">
        <f t="array" ref="N2617">_xlfn.XLOOKUP(TEXT(A2617, "mmm-yy"), TEXT([2]RUNS!$B$5:$B$208, "mmm-yy"), [2]RUNS!$BM$5:$BM$208, "Not Found")</f>
        <v>0.85617432313434338</v>
      </c>
    </row>
    <row r="2618" spans="1:14" x14ac:dyDescent="0.25">
      <c r="A2618" s="1">
        <f>'[1]Global_Spot Prices'!$B3927</f>
        <v>45667</v>
      </c>
      <c r="B2618">
        <f>_xlfn.XLOOKUP(A2618,'[1]Global_Spot Prices'!$B:$B,'[1]Global_Spot Prices'!$BS:$BS)</f>
        <v>6.0700000000000074</v>
      </c>
      <c r="C2618">
        <f>_xlfn.XLOOKUP(A2618,'[1]Global_Spot Prices'!$B:$B,'[1]Global_Spot Prices'!$E:$E)</f>
        <v>77.94</v>
      </c>
      <c r="D2618">
        <f>_xlfn.XLOOKUP(A2618,'[1]Global_Spot Prices'!$B:$B,'[1]Global_Spot Prices'!$D:$D)</f>
        <v>80.375</v>
      </c>
      <c r="E2618">
        <f>_xlfn.XLOOKUP(A2618,'[1]Global_Spot Prices'!$B:$B,'[1]Global_Spot Prices'!$H:$H)</f>
        <v>72.09</v>
      </c>
      <c r="F2618">
        <f>_xlfn.XLOOKUP(A2618,'[1]Global_Spot Prices'!$B:$B,'[1]Global_Spot Prices'!$I:$I)</f>
        <v>84.01</v>
      </c>
      <c r="G2618" cm="1">
        <f t="array" ref="G2618">_xlfn.XLOOKUP(TEXT(A2618, "mmm-yy"), TEXT([2]RUNS!$B$5:$B$208, "mmm-yy"), [2]RUNS!$D$5:$D$208, "Not Found")</f>
        <v>31465.176932077946</v>
      </c>
      <c r="H2618" cm="1">
        <f t="array" ref="H2618">SUMPRODUCT(
    --(TEXT('[3]Global Weekly Stock (EWSuez'!$B$4:$B$2000,"mmm-yy")=TEXT(A2618,"mmm-yy")),
    '[3]Global Weekly Stock (EWSuez'!$E$4:$E$2000)
/
SUMPRODUCT(
    --(TEXT('[3]Global Weekly Stock (EWSuez'!$B$4:$B$2000,"mmm-yy")=TEXT(A2618,"mmm-yy"))
)</f>
        <v>15307.4</v>
      </c>
      <c r="I2618">
        <f>_xlfn.XLOOKUP(A2618,[1]ForwardDeriv!$D:$D,[1]ForwardDeriv!$AJ:$AJ)</f>
        <v>0.17000000000000171</v>
      </c>
      <c r="J2618" cm="1">
        <f t="array" ref="J2618">_xlfn.XLOOKUP(TEXT(A2618, "mmm-yy"), TEXT([2]GASOLINE!$B$5:$B$208, "mmm-yy"), [2]GASOLINE!$IR$5:$IR$208, "Not Found")</f>
        <v>-274.39322248248436</v>
      </c>
      <c r="K2618" cm="1">
        <f t="array" ref="K2618">_xlfn.XLOOKUP(TEXT(A2618, "mmm-yy"), TEXT([2]GASOLINE!$B$5:$B$208, "mmm-yy"), [2]GASOLINE!$IK$5:$IK$208, "Not Found")</f>
        <v>301.42338841857008</v>
      </c>
      <c r="L2618">
        <f t="shared" si="40"/>
        <v>0</v>
      </c>
      <c r="M2618" cm="1">
        <f t="array" ref="M2618">_xlfn.XLOOKUP(TEXT(A2618, "mmm-yy"), TEXT([2]GASOLINE!$B$5:$B$208, "mmm-yy"), [2]GASOLINE!$C$5:$C$208, "Not Found")</f>
        <v>7905.6245004264811</v>
      </c>
      <c r="N2618" cm="1">
        <f t="array" ref="N2618">_xlfn.XLOOKUP(TEXT(A2618, "mmm-yy"), TEXT([2]RUNS!$B$5:$B$208, "mmm-yy"), [2]RUNS!$BM$5:$BM$208, "Not Found")</f>
        <v>0.85617432313434338</v>
      </c>
    </row>
    <row r="2619" spans="1:14" x14ac:dyDescent="0.25">
      <c r="A2619" s="1">
        <f>'[1]Global_Spot Prices'!$B3928</f>
        <v>45670</v>
      </c>
      <c r="B2619">
        <f>_xlfn.XLOOKUP(A2619,'[1]Global_Spot Prices'!$B:$B,'[1]Global_Spot Prices'!$BS:$BS)</f>
        <v>4.75</v>
      </c>
      <c r="C2619">
        <f>_xlfn.XLOOKUP(A2619,'[1]Global_Spot Prices'!$B:$B,'[1]Global_Spot Prices'!$E:$E)</f>
        <v>82.39</v>
      </c>
      <c r="D2619">
        <f>_xlfn.XLOOKUP(A2619,'[1]Global_Spot Prices'!$B:$B,'[1]Global_Spot Prices'!$D:$D)</f>
        <v>82.974999999999994</v>
      </c>
      <c r="E2619">
        <f>_xlfn.XLOOKUP(A2619,'[1]Global_Spot Prices'!$B:$B,'[1]Global_Spot Prices'!$H:$H)</f>
        <v>74.09</v>
      </c>
      <c r="F2619">
        <f>_xlfn.XLOOKUP(A2619,'[1]Global_Spot Prices'!$B:$B,'[1]Global_Spot Prices'!$I:$I)</f>
        <v>87.14</v>
      </c>
      <c r="G2619" cm="1">
        <f t="array" ref="G2619">_xlfn.XLOOKUP(TEXT(A2619, "mmm-yy"), TEXT([2]RUNS!$B$5:$B$208, "mmm-yy"), [2]RUNS!$D$5:$D$208, "Not Found")</f>
        <v>31465.176932077946</v>
      </c>
      <c r="H2619" cm="1">
        <f t="array" ref="H2619">SUMPRODUCT(
    --(TEXT('[3]Global Weekly Stock (EWSuez'!$B$4:$B$2000,"mmm-yy")=TEXT(A2619,"mmm-yy")),
    '[3]Global Weekly Stock (EWSuez'!$E$4:$E$2000)
/
SUMPRODUCT(
    --(TEXT('[3]Global Weekly Stock (EWSuez'!$B$4:$B$2000,"mmm-yy")=TEXT(A2619,"mmm-yy"))
)</f>
        <v>15307.4</v>
      </c>
      <c r="I2619">
        <f>_xlfn.XLOOKUP(A2619,[1]ForwardDeriv!$D:$D,[1]ForwardDeriv!$AJ:$AJ)</f>
        <v>0.31000000000000227</v>
      </c>
      <c r="J2619" cm="1">
        <f t="array" ref="J2619">_xlfn.XLOOKUP(TEXT(A2619, "mmm-yy"), TEXT([2]GASOLINE!$B$5:$B$208, "mmm-yy"), [2]GASOLINE!$IR$5:$IR$208, "Not Found")</f>
        <v>-274.39322248248436</v>
      </c>
      <c r="K2619" cm="1">
        <f t="array" ref="K2619">_xlfn.XLOOKUP(TEXT(A2619, "mmm-yy"), TEXT([2]GASOLINE!$B$5:$B$208, "mmm-yy"), [2]GASOLINE!$IK$5:$IK$208, "Not Found")</f>
        <v>301.42338841857008</v>
      </c>
      <c r="L2619">
        <f t="shared" si="40"/>
        <v>0</v>
      </c>
      <c r="M2619" cm="1">
        <f t="array" ref="M2619">_xlfn.XLOOKUP(TEXT(A2619, "mmm-yy"), TEXT([2]GASOLINE!$B$5:$B$208, "mmm-yy"), [2]GASOLINE!$C$5:$C$208, "Not Found")</f>
        <v>7905.6245004264811</v>
      </c>
      <c r="N2619" cm="1">
        <f t="array" ref="N2619">_xlfn.XLOOKUP(TEXT(A2619, "mmm-yy"), TEXT([2]RUNS!$B$5:$B$208, "mmm-yy"), [2]RUNS!$BM$5:$BM$208, "Not Found")</f>
        <v>0.85617432313434338</v>
      </c>
    </row>
    <row r="2620" spans="1:14" x14ac:dyDescent="0.25">
      <c r="A2620" s="1">
        <f>'[1]Global_Spot Prices'!$B3929</f>
        <v>45671</v>
      </c>
      <c r="B2620">
        <f>_xlfn.XLOOKUP(A2620,'[1]Global_Spot Prices'!$B:$B,'[1]Global_Spot Prices'!$BS:$BS)</f>
        <v>4.0499999999999972</v>
      </c>
      <c r="C2620">
        <f>_xlfn.XLOOKUP(A2620,'[1]Global_Spot Prices'!$B:$B,'[1]Global_Spot Prices'!$E:$E)</f>
        <v>82.25</v>
      </c>
      <c r="D2620">
        <f>_xlfn.XLOOKUP(A2620,'[1]Global_Spot Prices'!$B:$B,'[1]Global_Spot Prices'!$D:$D)</f>
        <v>81.894999999999996</v>
      </c>
      <c r="E2620">
        <f>_xlfn.XLOOKUP(A2620,'[1]Global_Spot Prices'!$B:$B,'[1]Global_Spot Prices'!$H:$H)</f>
        <v>73.819999999999993</v>
      </c>
      <c r="F2620">
        <f>_xlfn.XLOOKUP(A2620,'[1]Global_Spot Prices'!$B:$B,'[1]Global_Spot Prices'!$I:$I)</f>
        <v>86.3</v>
      </c>
      <c r="G2620" cm="1">
        <f t="array" ref="G2620">_xlfn.XLOOKUP(TEXT(A2620, "mmm-yy"), TEXT([2]RUNS!$B$5:$B$208, "mmm-yy"), [2]RUNS!$D$5:$D$208, "Not Found")</f>
        <v>31465.176932077946</v>
      </c>
      <c r="H2620" cm="1">
        <f t="array" ref="H2620">SUMPRODUCT(
    --(TEXT('[3]Global Weekly Stock (EWSuez'!$B$4:$B$2000,"mmm-yy")=TEXT(A2620,"mmm-yy")),
    '[3]Global Weekly Stock (EWSuez'!$E$4:$E$2000)
/
SUMPRODUCT(
    --(TEXT('[3]Global Weekly Stock (EWSuez'!$B$4:$B$2000,"mmm-yy")=TEXT(A2620,"mmm-yy"))
)</f>
        <v>15307.4</v>
      </c>
      <c r="I2620">
        <f>_xlfn.XLOOKUP(A2620,[1]ForwardDeriv!$D:$D,[1]ForwardDeriv!$AJ:$AJ)</f>
        <v>0.28000000000000114</v>
      </c>
      <c r="J2620" cm="1">
        <f t="array" ref="J2620">_xlfn.XLOOKUP(TEXT(A2620, "mmm-yy"), TEXT([2]GASOLINE!$B$5:$B$208, "mmm-yy"), [2]GASOLINE!$IR$5:$IR$208, "Not Found")</f>
        <v>-274.39322248248436</v>
      </c>
      <c r="K2620" cm="1">
        <f t="array" ref="K2620">_xlfn.XLOOKUP(TEXT(A2620, "mmm-yy"), TEXT([2]GASOLINE!$B$5:$B$208, "mmm-yy"), [2]GASOLINE!$IK$5:$IK$208, "Not Found")</f>
        <v>301.42338841857008</v>
      </c>
      <c r="L2620">
        <f t="shared" si="40"/>
        <v>0</v>
      </c>
      <c r="M2620" cm="1">
        <f t="array" ref="M2620">_xlfn.XLOOKUP(TEXT(A2620, "mmm-yy"), TEXT([2]GASOLINE!$B$5:$B$208, "mmm-yy"), [2]GASOLINE!$C$5:$C$208, "Not Found")</f>
        <v>7905.6245004264811</v>
      </c>
      <c r="N2620" cm="1">
        <f t="array" ref="N2620">_xlfn.XLOOKUP(TEXT(A2620, "mmm-yy"), TEXT([2]RUNS!$B$5:$B$208, "mmm-yy"), [2]RUNS!$BM$5:$BM$208, "Not Found")</f>
        <v>0.85617432313434338</v>
      </c>
    </row>
    <row r="2621" spans="1:14" x14ac:dyDescent="0.25">
      <c r="A2621" s="1">
        <f>'[1]Global_Spot Prices'!$B3930</f>
        <v>45672</v>
      </c>
      <c r="B2621">
        <f>_xlfn.XLOOKUP(A2621,'[1]Global_Spot Prices'!$B:$B,'[1]Global_Spot Prices'!$BS:$BS)</f>
        <v>4.085000000000008</v>
      </c>
      <c r="C2621">
        <f>_xlfn.XLOOKUP(A2621,'[1]Global_Spot Prices'!$B:$B,'[1]Global_Spot Prices'!$E:$E)</f>
        <v>82.254999999999995</v>
      </c>
      <c r="D2621">
        <f>_xlfn.XLOOKUP(A2621,'[1]Global_Spot Prices'!$B:$B,'[1]Global_Spot Prices'!$D:$D)</f>
        <v>83.06</v>
      </c>
      <c r="E2621">
        <f>_xlfn.XLOOKUP(A2621,'[1]Global_Spot Prices'!$B:$B,'[1]Global_Spot Prices'!$H:$H)</f>
        <v>73.599999999999994</v>
      </c>
      <c r="F2621">
        <f>_xlfn.XLOOKUP(A2621,'[1]Global_Spot Prices'!$B:$B,'[1]Global_Spot Prices'!$I:$I)</f>
        <v>86.34</v>
      </c>
      <c r="G2621" cm="1">
        <f t="array" ref="G2621">_xlfn.XLOOKUP(TEXT(A2621, "mmm-yy"), TEXT([2]RUNS!$B$5:$B$208, "mmm-yy"), [2]RUNS!$D$5:$D$208, "Not Found")</f>
        <v>31465.176932077946</v>
      </c>
      <c r="H2621" cm="1">
        <f t="array" ref="H2621">SUMPRODUCT(
    --(TEXT('[3]Global Weekly Stock (EWSuez'!$B$4:$B$2000,"mmm-yy")=TEXT(A2621,"mmm-yy")),
    '[3]Global Weekly Stock (EWSuez'!$E$4:$E$2000)
/
SUMPRODUCT(
    --(TEXT('[3]Global Weekly Stock (EWSuez'!$B$4:$B$2000,"mmm-yy")=TEXT(A2621,"mmm-yy"))
)</f>
        <v>15307.4</v>
      </c>
      <c r="I2621">
        <f>_xlfn.XLOOKUP(A2621,[1]ForwardDeriv!$D:$D,[1]ForwardDeriv!$AJ:$AJ)</f>
        <v>0.25</v>
      </c>
      <c r="J2621" cm="1">
        <f t="array" ref="J2621">_xlfn.XLOOKUP(TEXT(A2621, "mmm-yy"), TEXT([2]GASOLINE!$B$5:$B$208, "mmm-yy"), [2]GASOLINE!$IR$5:$IR$208, "Not Found")</f>
        <v>-274.39322248248436</v>
      </c>
      <c r="K2621" cm="1">
        <f t="array" ref="K2621">_xlfn.XLOOKUP(TEXT(A2621, "mmm-yy"), TEXT([2]GASOLINE!$B$5:$B$208, "mmm-yy"), [2]GASOLINE!$IK$5:$IK$208, "Not Found")</f>
        <v>301.42338841857008</v>
      </c>
      <c r="L2621">
        <f t="shared" si="40"/>
        <v>0</v>
      </c>
      <c r="M2621" cm="1">
        <f t="array" ref="M2621">_xlfn.XLOOKUP(TEXT(A2621, "mmm-yy"), TEXT([2]GASOLINE!$B$5:$B$208, "mmm-yy"), [2]GASOLINE!$C$5:$C$208, "Not Found")</f>
        <v>7905.6245004264811</v>
      </c>
      <c r="N2621" cm="1">
        <f t="array" ref="N2621">_xlfn.XLOOKUP(TEXT(A2621, "mmm-yy"), TEXT([2]RUNS!$B$5:$B$208, "mmm-yy"), [2]RUNS!$BM$5:$BM$208, "Not Found")</f>
        <v>0.85617432313434338</v>
      </c>
    </row>
    <row r="2622" spans="1:14" x14ac:dyDescent="0.25">
      <c r="A2622" s="1">
        <f>'[1]Global_Spot Prices'!$B3931</f>
        <v>45673</v>
      </c>
      <c r="B2622">
        <f>_xlfn.XLOOKUP(A2622,'[1]Global_Spot Prices'!$B:$B,'[1]Global_Spot Prices'!$BS:$BS)</f>
        <v>2.230000000000004</v>
      </c>
      <c r="C2622">
        <f ca="1">_xlfn.XLOOKUP(A2622,'[1]Global_Spot Prices'!$B:$B,'[1]Global_Spot Prices'!$E:$E)</f>
        <v>84.55</v>
      </c>
      <c r="D2622">
        <f>_xlfn.XLOOKUP(A2622,'[1]Global_Spot Prices'!$B:$B,'[1]Global_Spot Prices'!$D:$D)</f>
        <v>82.18</v>
      </c>
      <c r="E2622">
        <f>_xlfn.XLOOKUP(A2622,'[1]Global_Spot Prices'!$B:$B,'[1]Global_Spot Prices'!$H:$H)</f>
        <v>74.069999999999993</v>
      </c>
      <c r="F2622">
        <f>_xlfn.XLOOKUP(A2622,'[1]Global_Spot Prices'!$B:$B,'[1]Global_Spot Prices'!$I:$I)</f>
        <v>86.78</v>
      </c>
      <c r="G2622" cm="1">
        <f t="array" ref="G2622">_xlfn.XLOOKUP(TEXT(A2622, "mmm-yy"), TEXT([2]RUNS!$B$5:$B$208, "mmm-yy"), [2]RUNS!$D$5:$D$208, "Not Found")</f>
        <v>31465.176932077946</v>
      </c>
      <c r="H2622" cm="1">
        <f t="array" ref="H2622">SUMPRODUCT(
    --(TEXT('[3]Global Weekly Stock (EWSuez'!$B$4:$B$2000,"mmm-yy")=TEXT(A2622,"mmm-yy")),
    '[3]Global Weekly Stock (EWSuez'!$E$4:$E$2000)
/
SUMPRODUCT(
    --(TEXT('[3]Global Weekly Stock (EWSuez'!$B$4:$B$2000,"mmm-yy")=TEXT(A2622,"mmm-yy"))
)</f>
        <v>15307.4</v>
      </c>
      <c r="I2622">
        <f>_xlfn.XLOOKUP(A2622,[1]ForwardDeriv!$D:$D,[1]ForwardDeriv!$AJ:$AJ)</f>
        <v>0.15000000000000568</v>
      </c>
      <c r="J2622" cm="1">
        <f t="array" ref="J2622">_xlfn.XLOOKUP(TEXT(A2622, "mmm-yy"), TEXT([2]GASOLINE!$B$5:$B$208, "mmm-yy"), [2]GASOLINE!$IR$5:$IR$208, "Not Found")</f>
        <v>-274.39322248248436</v>
      </c>
      <c r="K2622" cm="1">
        <f t="array" ref="K2622">_xlfn.XLOOKUP(TEXT(A2622, "mmm-yy"), TEXT([2]GASOLINE!$B$5:$B$208, "mmm-yy"), [2]GASOLINE!$IK$5:$IK$208, "Not Found")</f>
        <v>301.42338841857008</v>
      </c>
      <c r="L2622">
        <f t="shared" si="40"/>
        <v>0</v>
      </c>
      <c r="M2622" cm="1">
        <f t="array" ref="M2622">_xlfn.XLOOKUP(TEXT(A2622, "mmm-yy"), TEXT([2]GASOLINE!$B$5:$B$208, "mmm-yy"), [2]GASOLINE!$C$5:$C$208, "Not Found")</f>
        <v>7905.6245004264811</v>
      </c>
      <c r="N2622" cm="1">
        <f t="array" ref="N2622">_xlfn.XLOOKUP(TEXT(A2622, "mmm-yy"), TEXT([2]RUNS!$B$5:$B$208, "mmm-yy"), [2]RUNS!$BM$5:$BM$208, "Not Found")</f>
        <v>0.85617432313434338</v>
      </c>
    </row>
    <row r="2623" spans="1:14" x14ac:dyDescent="0.25">
      <c r="A2623" s="1">
        <f>'[1]Global_Spot Prices'!$B3932</f>
        <v>45674</v>
      </c>
      <c r="B2623">
        <f>_xlfn.XLOOKUP(A2623,'[1]Global_Spot Prices'!$B:$B,'[1]Global_Spot Prices'!$BS:$BS)</f>
        <v>0.98000000000000398</v>
      </c>
      <c r="C2623">
        <f>_xlfn.XLOOKUP(A2623,'[1]Global_Spot Prices'!$B:$B,'[1]Global_Spot Prices'!$E:$E)</f>
        <v>84.6</v>
      </c>
      <c r="D2623">
        <f>_xlfn.XLOOKUP(A2623,'[1]Global_Spot Prices'!$B:$B,'[1]Global_Spot Prices'!$D:$D)</f>
        <v>82.254999999999995</v>
      </c>
      <c r="E2623">
        <f>_xlfn.XLOOKUP(A2623,'[1]Global_Spot Prices'!$B:$B,'[1]Global_Spot Prices'!$H:$H)</f>
        <v>73.8</v>
      </c>
      <c r="F2623">
        <f>_xlfn.XLOOKUP(A2623,'[1]Global_Spot Prices'!$B:$B,'[1]Global_Spot Prices'!$I:$I)</f>
        <v>85.58</v>
      </c>
      <c r="G2623" cm="1">
        <f t="array" ref="G2623">_xlfn.XLOOKUP(TEXT(A2623, "mmm-yy"), TEXT([2]RUNS!$B$5:$B$208, "mmm-yy"), [2]RUNS!$D$5:$D$208, "Not Found")</f>
        <v>31465.176932077946</v>
      </c>
      <c r="H2623" cm="1">
        <f t="array" ref="H2623">SUMPRODUCT(
    --(TEXT('[3]Global Weekly Stock (EWSuez'!$B$4:$B$2000,"mmm-yy")=TEXT(A2623,"mmm-yy")),
    '[3]Global Weekly Stock (EWSuez'!$E$4:$E$2000)
/
SUMPRODUCT(
    --(TEXT('[3]Global Weekly Stock (EWSuez'!$B$4:$B$2000,"mmm-yy")=TEXT(A2623,"mmm-yy"))
)</f>
        <v>15307.4</v>
      </c>
      <c r="I2623">
        <f>_xlfn.XLOOKUP(A2623,[1]ForwardDeriv!$D:$D,[1]ForwardDeriv!$AJ:$AJ)</f>
        <v>0</v>
      </c>
      <c r="J2623" cm="1">
        <f t="array" ref="J2623">_xlfn.XLOOKUP(TEXT(A2623, "mmm-yy"), TEXT([2]GASOLINE!$B$5:$B$208, "mmm-yy"), [2]GASOLINE!$IR$5:$IR$208, "Not Found")</f>
        <v>-274.39322248248436</v>
      </c>
      <c r="K2623" cm="1">
        <f t="array" ref="K2623">_xlfn.XLOOKUP(TEXT(A2623, "mmm-yy"), TEXT([2]GASOLINE!$B$5:$B$208, "mmm-yy"), [2]GASOLINE!$IK$5:$IK$208, "Not Found")</f>
        <v>301.42338841857008</v>
      </c>
      <c r="L2623">
        <f t="shared" si="40"/>
        <v>0</v>
      </c>
      <c r="M2623" cm="1">
        <f t="array" ref="M2623">_xlfn.XLOOKUP(TEXT(A2623, "mmm-yy"), TEXT([2]GASOLINE!$B$5:$B$208, "mmm-yy"), [2]GASOLINE!$C$5:$C$208, "Not Found")</f>
        <v>7905.6245004264811</v>
      </c>
      <c r="N2623" cm="1">
        <f t="array" ref="N2623">_xlfn.XLOOKUP(TEXT(A2623, "mmm-yy"), TEXT([2]RUNS!$B$5:$B$208, "mmm-yy"), [2]RUNS!$BM$5:$BM$208, "Not Found")</f>
        <v>0.85617432313434338</v>
      </c>
    </row>
    <row r="2624" spans="1:14" x14ac:dyDescent="0.25">
      <c r="A2624" s="1">
        <f>'[1]Global_Spot Prices'!$B3933</f>
        <v>45677</v>
      </c>
      <c r="B2624">
        <f>_xlfn.XLOOKUP(A2624,'[1]Global_Spot Prices'!$B:$B,'[1]Global_Spot Prices'!$BS:$BS)</f>
        <v>0.99000000000000909</v>
      </c>
      <c r="C2624">
        <f>_xlfn.XLOOKUP(A2624,'[1]Global_Spot Prices'!$B:$B,'[1]Global_Spot Prices'!$E:$E)</f>
        <v>83.55</v>
      </c>
      <c r="D2624">
        <f>_xlfn.XLOOKUP(A2624,'[1]Global_Spot Prices'!$B:$B,'[1]Global_Spot Prices'!$D:$D)</f>
        <v>80.75</v>
      </c>
      <c r="E2624">
        <f>_xlfn.XLOOKUP(A2624,'[1]Global_Spot Prices'!$B:$B,'[1]Global_Spot Prices'!$H:$H)</f>
        <v>73.209999999999994</v>
      </c>
      <c r="F2624">
        <f>_xlfn.XLOOKUP(A2624,'[1]Global_Spot Prices'!$B:$B,'[1]Global_Spot Prices'!$I:$I)</f>
        <v>84.54</v>
      </c>
      <c r="G2624" cm="1">
        <f t="array" ref="G2624">_xlfn.XLOOKUP(TEXT(A2624, "mmm-yy"), TEXT([2]RUNS!$B$5:$B$208, "mmm-yy"), [2]RUNS!$D$5:$D$208, "Not Found")</f>
        <v>31465.176932077946</v>
      </c>
      <c r="H2624" cm="1">
        <f t="array" ref="H2624">SUMPRODUCT(
    --(TEXT('[3]Global Weekly Stock (EWSuez'!$B$4:$B$2000,"mmm-yy")=TEXT(A2624,"mmm-yy")),
    '[3]Global Weekly Stock (EWSuez'!$E$4:$E$2000)
/
SUMPRODUCT(
    --(TEXT('[3]Global Weekly Stock (EWSuez'!$B$4:$B$2000,"mmm-yy")=TEXT(A2624,"mmm-yy"))
)</f>
        <v>15307.4</v>
      </c>
      <c r="I2624">
        <f>_xlfn.XLOOKUP(A2624,[1]ForwardDeriv!$D:$D,[1]ForwardDeriv!$AJ:$AJ)</f>
        <v>0</v>
      </c>
      <c r="J2624" cm="1">
        <f t="array" ref="J2624">_xlfn.XLOOKUP(TEXT(A2624, "mmm-yy"), TEXT([2]GASOLINE!$B$5:$B$208, "mmm-yy"), [2]GASOLINE!$IR$5:$IR$208, "Not Found")</f>
        <v>-274.39322248248436</v>
      </c>
      <c r="K2624" cm="1">
        <f t="array" ref="K2624">_xlfn.XLOOKUP(TEXT(A2624, "mmm-yy"), TEXT([2]GASOLINE!$B$5:$B$208, "mmm-yy"), [2]GASOLINE!$IK$5:$IK$208, "Not Found")</f>
        <v>301.42338841857008</v>
      </c>
      <c r="L2624">
        <f t="shared" si="40"/>
        <v>0</v>
      </c>
      <c r="M2624" cm="1">
        <f t="array" ref="M2624">_xlfn.XLOOKUP(TEXT(A2624, "mmm-yy"), TEXT([2]GASOLINE!$B$5:$B$208, "mmm-yy"), [2]GASOLINE!$C$5:$C$208, "Not Found")</f>
        <v>7905.6245004264811</v>
      </c>
      <c r="N2624" cm="1">
        <f t="array" ref="N2624">_xlfn.XLOOKUP(TEXT(A2624, "mmm-yy"), TEXT([2]RUNS!$B$5:$B$208, "mmm-yy"), [2]RUNS!$BM$5:$BM$208, "Not Found")</f>
        <v>0.85617432313434338</v>
      </c>
    </row>
    <row r="2625" spans="1:14" x14ac:dyDescent="0.25">
      <c r="A2625" s="1">
        <f>'[1]Global_Spot Prices'!$B3934</f>
        <v>45678</v>
      </c>
      <c r="B2625">
        <f>_xlfn.XLOOKUP(A2625,'[1]Global_Spot Prices'!$B:$B,'[1]Global_Spot Prices'!$BS:$BS)</f>
        <v>0.36000000000001364</v>
      </c>
      <c r="C2625">
        <f>_xlfn.XLOOKUP(A2625,'[1]Global_Spot Prices'!$B:$B,'[1]Global_Spot Prices'!$E:$E)</f>
        <v>83.07</v>
      </c>
      <c r="D2625">
        <f>_xlfn.XLOOKUP(A2625,'[1]Global_Spot Prices'!$B:$B,'[1]Global_Spot Prices'!$D:$D)</f>
        <v>80.319999999999993</v>
      </c>
      <c r="E2625">
        <f>_xlfn.XLOOKUP(A2625,'[1]Global_Spot Prices'!$B:$B,'[1]Global_Spot Prices'!$H:$H)</f>
        <v>73.209999999999994</v>
      </c>
      <c r="F2625">
        <f>_xlfn.XLOOKUP(A2625,'[1]Global_Spot Prices'!$B:$B,'[1]Global_Spot Prices'!$I:$I)</f>
        <v>83.43</v>
      </c>
      <c r="G2625" cm="1">
        <f t="array" ref="G2625">_xlfn.XLOOKUP(TEXT(A2625, "mmm-yy"), TEXT([2]RUNS!$B$5:$B$208, "mmm-yy"), [2]RUNS!$D$5:$D$208, "Not Found")</f>
        <v>31465.176932077946</v>
      </c>
      <c r="H2625" cm="1">
        <f t="array" ref="H2625">SUMPRODUCT(
    --(TEXT('[3]Global Weekly Stock (EWSuez'!$B$4:$B$2000,"mmm-yy")=TEXT(A2625,"mmm-yy")),
    '[3]Global Weekly Stock (EWSuez'!$E$4:$E$2000)
/
SUMPRODUCT(
    --(TEXT('[3]Global Weekly Stock (EWSuez'!$B$4:$B$2000,"mmm-yy")=TEXT(A2625,"mmm-yy"))
)</f>
        <v>15307.4</v>
      </c>
      <c r="I2625">
        <f>_xlfn.XLOOKUP(A2625,[1]ForwardDeriv!$D:$D,[1]ForwardDeriv!$AJ:$AJ)</f>
        <v>-0.26000000000000512</v>
      </c>
      <c r="J2625" cm="1">
        <f t="array" ref="J2625">_xlfn.XLOOKUP(TEXT(A2625, "mmm-yy"), TEXT([2]GASOLINE!$B$5:$B$208, "mmm-yy"), [2]GASOLINE!$IR$5:$IR$208, "Not Found")</f>
        <v>-274.39322248248436</v>
      </c>
      <c r="K2625" cm="1">
        <f t="array" ref="K2625">_xlfn.XLOOKUP(TEXT(A2625, "mmm-yy"), TEXT([2]GASOLINE!$B$5:$B$208, "mmm-yy"), [2]GASOLINE!$IK$5:$IK$208, "Not Found")</f>
        <v>301.42338841857008</v>
      </c>
      <c r="L2625">
        <f t="shared" si="40"/>
        <v>0</v>
      </c>
      <c r="M2625" cm="1">
        <f t="array" ref="M2625">_xlfn.XLOOKUP(TEXT(A2625, "mmm-yy"), TEXT([2]GASOLINE!$B$5:$B$208, "mmm-yy"), [2]GASOLINE!$C$5:$C$208, "Not Found")</f>
        <v>7905.6245004264811</v>
      </c>
      <c r="N2625" cm="1">
        <f t="array" ref="N2625">_xlfn.XLOOKUP(TEXT(A2625, "mmm-yy"), TEXT([2]RUNS!$B$5:$B$208, "mmm-yy"), [2]RUNS!$BM$5:$BM$208, "Not Found")</f>
        <v>0.85617432313434338</v>
      </c>
    </row>
    <row r="2626" spans="1:14" x14ac:dyDescent="0.25">
      <c r="A2626" s="1">
        <f>'[1]Global_Spot Prices'!$B3935</f>
        <v>45679</v>
      </c>
      <c r="B2626">
        <f>_xlfn.XLOOKUP(A2626,'[1]Global_Spot Prices'!$B:$B,'[1]Global_Spot Prices'!$BS:$BS)</f>
        <v>1.0600000000000023</v>
      </c>
      <c r="C2626">
        <f>_xlfn.XLOOKUP(A2626,'[1]Global_Spot Prices'!$B:$B,'[1]Global_Spot Prices'!$E:$E)</f>
        <v>82.2</v>
      </c>
      <c r="D2626">
        <f>_xlfn.XLOOKUP(A2626,'[1]Global_Spot Prices'!$B:$B,'[1]Global_Spot Prices'!$D:$D)</f>
        <v>79.814999999999998</v>
      </c>
      <c r="E2626">
        <f>_xlfn.XLOOKUP(A2626,'[1]Global_Spot Prices'!$B:$B,'[1]Global_Spot Prices'!$H:$H)</f>
        <v>72.59</v>
      </c>
      <c r="F2626">
        <f>_xlfn.XLOOKUP(A2626,'[1]Global_Spot Prices'!$B:$B,'[1]Global_Spot Prices'!$I:$I)</f>
        <v>83.26</v>
      </c>
      <c r="G2626" cm="1">
        <f t="array" ref="G2626">_xlfn.XLOOKUP(TEXT(A2626, "mmm-yy"), TEXT([2]RUNS!$B$5:$B$208, "mmm-yy"), [2]RUNS!$D$5:$D$208, "Not Found")</f>
        <v>31465.176932077946</v>
      </c>
      <c r="H2626" cm="1">
        <f t="array" ref="H2626">SUMPRODUCT(
    --(TEXT('[3]Global Weekly Stock (EWSuez'!$B$4:$B$2000,"mmm-yy")=TEXT(A2626,"mmm-yy")),
    '[3]Global Weekly Stock (EWSuez'!$E$4:$E$2000)
/
SUMPRODUCT(
    --(TEXT('[3]Global Weekly Stock (EWSuez'!$B$4:$B$2000,"mmm-yy")=TEXT(A2626,"mmm-yy"))
)</f>
        <v>15307.4</v>
      </c>
      <c r="I2626">
        <f>_xlfn.XLOOKUP(A2626,[1]ForwardDeriv!$D:$D,[1]ForwardDeriv!$AJ:$AJ)</f>
        <v>-0.31000000000000227</v>
      </c>
      <c r="J2626" cm="1">
        <f t="array" ref="J2626">_xlfn.XLOOKUP(TEXT(A2626, "mmm-yy"), TEXT([2]GASOLINE!$B$5:$B$208, "mmm-yy"), [2]GASOLINE!$IR$5:$IR$208, "Not Found")</f>
        <v>-274.39322248248436</v>
      </c>
      <c r="K2626" cm="1">
        <f t="array" ref="K2626">_xlfn.XLOOKUP(TEXT(A2626, "mmm-yy"), TEXT([2]GASOLINE!$B$5:$B$208, "mmm-yy"), [2]GASOLINE!$IK$5:$IK$208, "Not Found")</f>
        <v>301.42338841857008</v>
      </c>
      <c r="L2626">
        <f t="shared" si="40"/>
        <v>0</v>
      </c>
      <c r="M2626" cm="1">
        <f t="array" ref="M2626">_xlfn.XLOOKUP(TEXT(A2626, "mmm-yy"), TEXT([2]GASOLINE!$B$5:$B$208, "mmm-yy"), [2]GASOLINE!$C$5:$C$208, "Not Found")</f>
        <v>7905.6245004264811</v>
      </c>
      <c r="N2626" cm="1">
        <f t="array" ref="N2626">_xlfn.XLOOKUP(TEXT(A2626, "mmm-yy"), TEXT([2]RUNS!$B$5:$B$208, "mmm-yy"), [2]RUNS!$BM$5:$BM$208, "Not Found")</f>
        <v>0.85617432313434338</v>
      </c>
    </row>
    <row r="2627" spans="1:14" x14ac:dyDescent="0.25">
      <c r="A2627" s="1">
        <f>'[1]Global_Spot Prices'!$B3936</f>
        <v>45680</v>
      </c>
      <c r="B2627">
        <f>_xlfn.XLOOKUP(A2627,'[1]Global_Spot Prices'!$B:$B,'[1]Global_Spot Prices'!$BS:$BS)</f>
        <v>1.7800000000000011</v>
      </c>
      <c r="C2627">
        <f>_xlfn.XLOOKUP(A2627,'[1]Global_Spot Prices'!$B:$B,'[1]Global_Spot Prices'!$E:$E)</f>
        <v>82.12</v>
      </c>
      <c r="D2627">
        <f>_xlfn.XLOOKUP(A2627,'[1]Global_Spot Prices'!$B:$B,'[1]Global_Spot Prices'!$D:$D)</f>
        <v>78.78</v>
      </c>
      <c r="E2627">
        <f>_xlfn.XLOOKUP(A2627,'[1]Global_Spot Prices'!$B:$B,'[1]Global_Spot Prices'!$H:$H)</f>
        <v>72.66</v>
      </c>
      <c r="F2627">
        <f>_xlfn.XLOOKUP(A2627,'[1]Global_Spot Prices'!$B:$B,'[1]Global_Spot Prices'!$I:$I)</f>
        <v>83.9</v>
      </c>
      <c r="G2627" cm="1">
        <f t="array" ref="G2627">_xlfn.XLOOKUP(TEXT(A2627, "mmm-yy"), TEXT([2]RUNS!$B$5:$B$208, "mmm-yy"), [2]RUNS!$D$5:$D$208, "Not Found")</f>
        <v>31465.176932077946</v>
      </c>
      <c r="H2627" cm="1">
        <f t="array" ref="H2627">SUMPRODUCT(
    --(TEXT('[3]Global Weekly Stock (EWSuez'!$B$4:$B$2000,"mmm-yy")=TEXT(A2627,"mmm-yy")),
    '[3]Global Weekly Stock (EWSuez'!$E$4:$E$2000)
/
SUMPRODUCT(
    --(TEXT('[3]Global Weekly Stock (EWSuez'!$B$4:$B$2000,"mmm-yy")=TEXT(A2627,"mmm-yy"))
)</f>
        <v>15307.4</v>
      </c>
      <c r="I2627">
        <f>_xlfn.XLOOKUP(A2627,[1]ForwardDeriv!$D:$D,[1]ForwardDeriv!$AJ:$AJ)</f>
        <v>-0.10999999999999943</v>
      </c>
      <c r="J2627" cm="1">
        <f t="array" ref="J2627">_xlfn.XLOOKUP(TEXT(A2627, "mmm-yy"), TEXT([2]GASOLINE!$B$5:$B$208, "mmm-yy"), [2]GASOLINE!$IR$5:$IR$208, "Not Found")</f>
        <v>-274.39322248248436</v>
      </c>
      <c r="K2627" cm="1">
        <f t="array" ref="K2627">_xlfn.XLOOKUP(TEXT(A2627, "mmm-yy"), TEXT([2]GASOLINE!$B$5:$B$208, "mmm-yy"), [2]GASOLINE!$IK$5:$IK$208, "Not Found")</f>
        <v>301.42338841857008</v>
      </c>
      <c r="L2627">
        <f t="shared" ref="L2627:L2690" si="41">IF(OR(MONTH(A2627)=6, MONTH(A2627)=7, MONTH(A2627)=8, MONTH(A2627)=9), 1, 0)</f>
        <v>0</v>
      </c>
      <c r="M2627" cm="1">
        <f t="array" ref="M2627">_xlfn.XLOOKUP(TEXT(A2627, "mmm-yy"), TEXT([2]GASOLINE!$B$5:$B$208, "mmm-yy"), [2]GASOLINE!$C$5:$C$208, "Not Found")</f>
        <v>7905.6245004264811</v>
      </c>
      <c r="N2627" cm="1">
        <f t="array" ref="N2627">_xlfn.XLOOKUP(TEXT(A2627, "mmm-yy"), TEXT([2]RUNS!$B$5:$B$208, "mmm-yy"), [2]RUNS!$BM$5:$BM$208, "Not Found")</f>
        <v>0.85617432313434338</v>
      </c>
    </row>
    <row r="2628" spans="1:14" x14ac:dyDescent="0.25">
      <c r="A2628" s="1">
        <f>'[1]Global_Spot Prices'!$B3937</f>
        <v>45681</v>
      </c>
      <c r="B2628">
        <f>_xlfn.XLOOKUP(A2628,'[1]Global_Spot Prices'!$B:$B,'[1]Global_Spot Prices'!$BS:$BS)</f>
        <v>2.0600000000000023</v>
      </c>
      <c r="C2628">
        <f>_xlfn.XLOOKUP(A2628,'[1]Global_Spot Prices'!$B:$B,'[1]Global_Spot Prices'!$E:$E)</f>
        <v>81.84</v>
      </c>
      <c r="D2628">
        <f>_xlfn.XLOOKUP(A2628,'[1]Global_Spot Prices'!$B:$B,'[1]Global_Spot Prices'!$D:$D)</f>
        <v>78.75</v>
      </c>
      <c r="E2628">
        <f>_xlfn.XLOOKUP(A2628,'[1]Global_Spot Prices'!$B:$B,'[1]Global_Spot Prices'!$H:$H)</f>
        <v>72.89</v>
      </c>
      <c r="F2628">
        <f>_xlfn.XLOOKUP(A2628,'[1]Global_Spot Prices'!$B:$B,'[1]Global_Spot Prices'!$I:$I)</f>
        <v>83.9</v>
      </c>
      <c r="G2628" cm="1">
        <f t="array" ref="G2628">_xlfn.XLOOKUP(TEXT(A2628, "mmm-yy"), TEXT([2]RUNS!$B$5:$B$208, "mmm-yy"), [2]RUNS!$D$5:$D$208, "Not Found")</f>
        <v>31465.176932077946</v>
      </c>
      <c r="H2628" cm="1">
        <f t="array" ref="H2628">SUMPRODUCT(
    --(TEXT('[3]Global Weekly Stock (EWSuez'!$B$4:$B$2000,"mmm-yy")=TEXT(A2628,"mmm-yy")),
    '[3]Global Weekly Stock (EWSuez'!$E$4:$E$2000)
/
SUMPRODUCT(
    --(TEXT('[3]Global Weekly Stock (EWSuez'!$B$4:$B$2000,"mmm-yy")=TEXT(A2628,"mmm-yy"))
)</f>
        <v>15307.4</v>
      </c>
      <c r="I2628">
        <f>_xlfn.XLOOKUP(A2628,[1]ForwardDeriv!$D:$D,[1]ForwardDeriv!$AJ:$AJ)</f>
        <v>-6.0000000000002274E-2</v>
      </c>
      <c r="J2628" cm="1">
        <f t="array" ref="J2628">_xlfn.XLOOKUP(TEXT(A2628, "mmm-yy"), TEXT([2]GASOLINE!$B$5:$B$208, "mmm-yy"), [2]GASOLINE!$IR$5:$IR$208, "Not Found")</f>
        <v>-274.39322248248436</v>
      </c>
      <c r="K2628" cm="1">
        <f t="array" ref="K2628">_xlfn.XLOOKUP(TEXT(A2628, "mmm-yy"), TEXT([2]GASOLINE!$B$5:$B$208, "mmm-yy"), [2]GASOLINE!$IK$5:$IK$208, "Not Found")</f>
        <v>301.42338841857008</v>
      </c>
      <c r="L2628">
        <f t="shared" si="41"/>
        <v>0</v>
      </c>
      <c r="M2628" cm="1">
        <f t="array" ref="M2628">_xlfn.XLOOKUP(TEXT(A2628, "mmm-yy"), TEXT([2]GASOLINE!$B$5:$B$208, "mmm-yy"), [2]GASOLINE!$C$5:$C$208, "Not Found")</f>
        <v>7905.6245004264811</v>
      </c>
      <c r="N2628" cm="1">
        <f t="array" ref="N2628">_xlfn.XLOOKUP(TEXT(A2628, "mmm-yy"), TEXT([2]RUNS!$B$5:$B$208, "mmm-yy"), [2]RUNS!$BM$5:$BM$208, "Not Found")</f>
        <v>0.85617432313434338</v>
      </c>
    </row>
    <row r="2629" spans="1:14" x14ac:dyDescent="0.25">
      <c r="A2629" s="1">
        <f>'[1]Global_Spot Prices'!$B3938</f>
        <v>45684</v>
      </c>
      <c r="B2629">
        <f>_xlfn.XLOOKUP(A2629,'[1]Global_Spot Prices'!$B:$B,'[1]Global_Spot Prices'!$BS:$BS)</f>
        <v>3.5</v>
      </c>
      <c r="C2629">
        <f>_xlfn.XLOOKUP(A2629,'[1]Global_Spot Prices'!$B:$B,'[1]Global_Spot Prices'!$E:$E)</f>
        <v>81.58</v>
      </c>
      <c r="D2629">
        <f>_xlfn.XLOOKUP(A2629,'[1]Global_Spot Prices'!$B:$B,'[1]Global_Spot Prices'!$D:$D)</f>
        <v>77.91</v>
      </c>
      <c r="E2629">
        <f>_xlfn.XLOOKUP(A2629,'[1]Global_Spot Prices'!$B:$B,'[1]Global_Spot Prices'!$H:$H)</f>
        <v>73.13</v>
      </c>
      <c r="F2629">
        <f>_xlfn.XLOOKUP(A2629,'[1]Global_Spot Prices'!$B:$B,'[1]Global_Spot Prices'!$I:$I)</f>
        <v>85.08</v>
      </c>
      <c r="G2629" cm="1">
        <f t="array" ref="G2629">_xlfn.XLOOKUP(TEXT(A2629, "mmm-yy"), TEXT([2]RUNS!$B$5:$B$208, "mmm-yy"), [2]RUNS!$D$5:$D$208, "Not Found")</f>
        <v>31465.176932077946</v>
      </c>
      <c r="H2629" cm="1">
        <f t="array" ref="H2629">SUMPRODUCT(
    --(TEXT('[3]Global Weekly Stock (EWSuez'!$B$4:$B$2000,"mmm-yy")=TEXT(A2629,"mmm-yy")),
    '[3]Global Weekly Stock (EWSuez'!$E$4:$E$2000)
/
SUMPRODUCT(
    --(TEXT('[3]Global Weekly Stock (EWSuez'!$B$4:$B$2000,"mmm-yy")=TEXT(A2629,"mmm-yy"))
)</f>
        <v>15307.4</v>
      </c>
      <c r="I2629">
        <f>_xlfn.XLOOKUP(A2629,[1]ForwardDeriv!$D:$D,[1]ForwardDeriv!$AJ:$AJ)</f>
        <v>0.15999999999999659</v>
      </c>
      <c r="J2629" cm="1">
        <f t="array" ref="J2629">_xlfn.XLOOKUP(TEXT(A2629, "mmm-yy"), TEXT([2]GASOLINE!$B$5:$B$208, "mmm-yy"), [2]GASOLINE!$IR$5:$IR$208, "Not Found")</f>
        <v>-274.39322248248436</v>
      </c>
      <c r="K2629" cm="1">
        <f t="array" ref="K2629">_xlfn.XLOOKUP(TEXT(A2629, "mmm-yy"), TEXT([2]GASOLINE!$B$5:$B$208, "mmm-yy"), [2]GASOLINE!$IK$5:$IK$208, "Not Found")</f>
        <v>301.42338841857008</v>
      </c>
      <c r="L2629">
        <f t="shared" si="41"/>
        <v>0</v>
      </c>
      <c r="M2629" cm="1">
        <f t="array" ref="M2629">_xlfn.XLOOKUP(TEXT(A2629, "mmm-yy"), TEXT([2]GASOLINE!$B$5:$B$208, "mmm-yy"), [2]GASOLINE!$C$5:$C$208, "Not Found")</f>
        <v>7905.6245004264811</v>
      </c>
      <c r="N2629" cm="1">
        <f t="array" ref="N2629">_xlfn.XLOOKUP(TEXT(A2629, "mmm-yy"), TEXT([2]RUNS!$B$5:$B$208, "mmm-yy"), [2]RUNS!$BM$5:$BM$208, "Not Found")</f>
        <v>0.85617432313434338</v>
      </c>
    </row>
    <row r="2630" spans="1:14" x14ac:dyDescent="0.25">
      <c r="A2630" s="1">
        <f>'[1]Global_Spot Prices'!$B3939</f>
        <v>45685</v>
      </c>
      <c r="B2630">
        <f>_xlfn.XLOOKUP(A2630,'[1]Global_Spot Prices'!$B:$B,'[1]Global_Spot Prices'!$BS:$BS)</f>
        <v>3.6599999999999966</v>
      </c>
      <c r="C2630">
        <f>_xlfn.XLOOKUP(A2630,'[1]Global_Spot Prices'!$B:$B,'[1]Global_Spot Prices'!$E:$E)</f>
        <v>81.25</v>
      </c>
      <c r="D2630">
        <f>_xlfn.XLOOKUP(A2630,'[1]Global_Spot Prices'!$B:$B,'[1]Global_Spot Prices'!$D:$D)</f>
        <v>77.704999999999998</v>
      </c>
      <c r="E2630">
        <f>_xlfn.XLOOKUP(A2630,'[1]Global_Spot Prices'!$B:$B,'[1]Global_Spot Prices'!$H:$H)</f>
        <v>72.36</v>
      </c>
      <c r="F2630">
        <f>_xlfn.XLOOKUP(A2630,'[1]Global_Spot Prices'!$B:$B,'[1]Global_Spot Prices'!$I:$I)</f>
        <v>84.91</v>
      </c>
      <c r="G2630" cm="1">
        <f t="array" ref="G2630">_xlfn.XLOOKUP(TEXT(A2630, "mmm-yy"), TEXT([2]RUNS!$B$5:$B$208, "mmm-yy"), [2]RUNS!$D$5:$D$208, "Not Found")</f>
        <v>31465.176932077946</v>
      </c>
      <c r="H2630" cm="1">
        <f t="array" ref="H2630">SUMPRODUCT(
    --(TEXT('[3]Global Weekly Stock (EWSuez'!$B$4:$B$2000,"mmm-yy")=TEXT(A2630,"mmm-yy")),
    '[3]Global Weekly Stock (EWSuez'!$E$4:$E$2000)
/
SUMPRODUCT(
    --(TEXT('[3]Global Weekly Stock (EWSuez'!$B$4:$B$2000,"mmm-yy")=TEXT(A2630,"mmm-yy"))
)</f>
        <v>15307.4</v>
      </c>
      <c r="I2630">
        <f>_xlfn.XLOOKUP(A2630,[1]ForwardDeriv!$D:$D,[1]ForwardDeriv!$AJ:$AJ)</f>
        <v>0.28000000000000114</v>
      </c>
      <c r="J2630" cm="1">
        <f t="array" ref="J2630">_xlfn.XLOOKUP(TEXT(A2630, "mmm-yy"), TEXT([2]GASOLINE!$B$5:$B$208, "mmm-yy"), [2]GASOLINE!$IR$5:$IR$208, "Not Found")</f>
        <v>-274.39322248248436</v>
      </c>
      <c r="K2630" cm="1">
        <f t="array" ref="K2630">_xlfn.XLOOKUP(TEXT(A2630, "mmm-yy"), TEXT([2]GASOLINE!$B$5:$B$208, "mmm-yy"), [2]GASOLINE!$IK$5:$IK$208, "Not Found")</f>
        <v>301.42338841857008</v>
      </c>
      <c r="L2630">
        <f t="shared" si="41"/>
        <v>0</v>
      </c>
      <c r="M2630" cm="1">
        <f t="array" ref="M2630">_xlfn.XLOOKUP(TEXT(A2630, "mmm-yy"), TEXT([2]GASOLINE!$B$5:$B$208, "mmm-yy"), [2]GASOLINE!$C$5:$C$208, "Not Found")</f>
        <v>7905.6245004264811</v>
      </c>
      <c r="N2630" cm="1">
        <f t="array" ref="N2630">_xlfn.XLOOKUP(TEXT(A2630, "mmm-yy"), TEXT([2]RUNS!$B$5:$B$208, "mmm-yy"), [2]RUNS!$BM$5:$BM$208, "Not Found")</f>
        <v>0.85617432313434338</v>
      </c>
    </row>
    <row r="2631" spans="1:14" x14ac:dyDescent="0.25">
      <c r="A2631" s="1">
        <f>'[1]Global_Spot Prices'!$B3940</f>
        <v>45686</v>
      </c>
      <c r="B2631" t="e">
        <f>_xlfn.XLOOKUP(A2631,'[1]Global_Spot Prices'!$B:$B,'[1]Global_Spot Prices'!$BS:$BS)</f>
        <v>#N/A</v>
      </c>
      <c r="C2631" t="str">
        <f>_xlfn.XLOOKUP(A2631,'[1]Global_Spot Prices'!$B:$B,'[1]Global_Spot Prices'!$E:$E)</f>
        <v/>
      </c>
      <c r="D2631">
        <f>_xlfn.XLOOKUP(A2631,'[1]Global_Spot Prices'!$B:$B,'[1]Global_Spot Prices'!$D:$D)</f>
        <v>77.825000000000003</v>
      </c>
      <c r="E2631">
        <f>_xlfn.XLOOKUP(A2631,'[1]Global_Spot Prices'!$B:$B,'[1]Global_Spot Prices'!$H:$H)</f>
        <v>0</v>
      </c>
      <c r="F2631">
        <f>_xlfn.XLOOKUP(A2631,'[1]Global_Spot Prices'!$B:$B,'[1]Global_Spot Prices'!$I:$I)</f>
        <v>0</v>
      </c>
      <c r="G2631" cm="1">
        <f t="array" ref="G2631">_xlfn.XLOOKUP(TEXT(A2631, "mmm-yy"), TEXT([2]RUNS!$B$5:$B$208, "mmm-yy"), [2]RUNS!$D$5:$D$208, "Not Found")</f>
        <v>31465.176932077946</v>
      </c>
      <c r="H2631" cm="1">
        <f t="array" ref="H2631">SUMPRODUCT(
    --(TEXT('[3]Global Weekly Stock (EWSuez'!$B$4:$B$2000,"mmm-yy")=TEXT(A2631,"mmm-yy")),
    '[3]Global Weekly Stock (EWSuez'!$E$4:$E$2000)
/
SUMPRODUCT(
    --(TEXT('[3]Global Weekly Stock (EWSuez'!$B$4:$B$2000,"mmm-yy")=TEXT(A2631,"mmm-yy"))
)</f>
        <v>15307.4</v>
      </c>
      <c r="I2631">
        <f>_xlfn.XLOOKUP(A2631,[1]ForwardDeriv!$D:$D,[1]ForwardDeriv!$AJ:$AJ)</f>
        <v>0.29000000000000625</v>
      </c>
      <c r="J2631" cm="1">
        <f t="array" ref="J2631">_xlfn.XLOOKUP(TEXT(A2631, "mmm-yy"), TEXT([2]GASOLINE!$B$5:$B$208, "mmm-yy"), [2]GASOLINE!$IR$5:$IR$208, "Not Found")</f>
        <v>-274.39322248248436</v>
      </c>
      <c r="K2631" cm="1">
        <f t="array" ref="K2631">_xlfn.XLOOKUP(TEXT(A2631, "mmm-yy"), TEXT([2]GASOLINE!$B$5:$B$208, "mmm-yy"), [2]GASOLINE!$IK$5:$IK$208, "Not Found")</f>
        <v>301.42338841857008</v>
      </c>
      <c r="L2631">
        <f t="shared" si="41"/>
        <v>0</v>
      </c>
      <c r="M2631" cm="1">
        <f t="array" ref="M2631">_xlfn.XLOOKUP(TEXT(A2631, "mmm-yy"), TEXT([2]GASOLINE!$B$5:$B$208, "mmm-yy"), [2]GASOLINE!$C$5:$C$208, "Not Found")</f>
        <v>7905.6245004264811</v>
      </c>
      <c r="N2631" cm="1">
        <f t="array" ref="N2631">_xlfn.XLOOKUP(TEXT(A2631, "mmm-yy"), TEXT([2]RUNS!$B$5:$B$208, "mmm-yy"), [2]RUNS!$BM$5:$BM$208, "Not Found")</f>
        <v>0.85617432313434338</v>
      </c>
    </row>
    <row r="2632" spans="1:14" x14ac:dyDescent="0.25">
      <c r="A2632" s="1">
        <f>'[1]Global_Spot Prices'!$B3941</f>
        <v>45687</v>
      </c>
      <c r="B2632" t="e">
        <f>_xlfn.XLOOKUP(A2632,'[1]Global_Spot Prices'!$B:$B,'[1]Global_Spot Prices'!$BS:$BS)</f>
        <v>#N/A</v>
      </c>
      <c r="C2632" t="str">
        <f>_xlfn.XLOOKUP(A2632,'[1]Global_Spot Prices'!$B:$B,'[1]Global_Spot Prices'!$E:$E)</f>
        <v/>
      </c>
      <c r="D2632">
        <f>_xlfn.XLOOKUP(A2632,'[1]Global_Spot Prices'!$B:$B,'[1]Global_Spot Prices'!$D:$D)</f>
        <v>77.474999999999994</v>
      </c>
      <c r="E2632">
        <f>_xlfn.XLOOKUP(A2632,'[1]Global_Spot Prices'!$B:$B,'[1]Global_Spot Prices'!$H:$H)</f>
        <v>0</v>
      </c>
      <c r="F2632">
        <f>_xlfn.XLOOKUP(A2632,'[1]Global_Spot Prices'!$B:$B,'[1]Global_Spot Prices'!$I:$I)</f>
        <v>0</v>
      </c>
      <c r="G2632" cm="1">
        <f t="array" ref="G2632">_xlfn.XLOOKUP(TEXT(A2632, "mmm-yy"), TEXT([2]RUNS!$B$5:$B$208, "mmm-yy"), [2]RUNS!$D$5:$D$208, "Not Found")</f>
        <v>31465.176932077946</v>
      </c>
      <c r="H2632" cm="1">
        <f t="array" ref="H2632">SUMPRODUCT(
    --(TEXT('[3]Global Weekly Stock (EWSuez'!$B$4:$B$2000,"mmm-yy")=TEXT(A2632,"mmm-yy")),
    '[3]Global Weekly Stock (EWSuez'!$E$4:$E$2000)
/
SUMPRODUCT(
    --(TEXT('[3]Global Weekly Stock (EWSuez'!$B$4:$B$2000,"mmm-yy")=TEXT(A2632,"mmm-yy"))
)</f>
        <v>15307.4</v>
      </c>
      <c r="I2632">
        <f>_xlfn.XLOOKUP(A2632,[1]ForwardDeriv!$D:$D,[1]ForwardDeriv!$AJ:$AJ)</f>
        <v>0.29000000000000625</v>
      </c>
      <c r="J2632" cm="1">
        <f t="array" ref="J2632">_xlfn.XLOOKUP(TEXT(A2632, "mmm-yy"), TEXT([2]GASOLINE!$B$5:$B$208, "mmm-yy"), [2]GASOLINE!$IR$5:$IR$208, "Not Found")</f>
        <v>-274.39322248248436</v>
      </c>
      <c r="K2632" cm="1">
        <f t="array" ref="K2632">_xlfn.XLOOKUP(TEXT(A2632, "mmm-yy"), TEXT([2]GASOLINE!$B$5:$B$208, "mmm-yy"), [2]GASOLINE!$IK$5:$IK$208, "Not Found")</f>
        <v>301.42338841857008</v>
      </c>
      <c r="L2632">
        <f t="shared" si="41"/>
        <v>0</v>
      </c>
      <c r="M2632" cm="1">
        <f t="array" ref="M2632">_xlfn.XLOOKUP(TEXT(A2632, "mmm-yy"), TEXT([2]GASOLINE!$B$5:$B$208, "mmm-yy"), [2]GASOLINE!$C$5:$C$208, "Not Found")</f>
        <v>7905.6245004264811</v>
      </c>
      <c r="N2632" cm="1">
        <f t="array" ref="N2632">_xlfn.XLOOKUP(TEXT(A2632, "mmm-yy"), TEXT([2]RUNS!$B$5:$B$208, "mmm-yy"), [2]RUNS!$BM$5:$BM$208, "Not Found")</f>
        <v>0.85617432313434338</v>
      </c>
    </row>
    <row r="2633" spans="1:14" x14ac:dyDescent="0.25">
      <c r="A2633" s="1">
        <f>'[1]Global_Spot Prices'!$B3942</f>
        <v>45688</v>
      </c>
      <c r="B2633">
        <f>_xlfn.XLOOKUP(A2633,'[1]Global_Spot Prices'!$B:$B,'[1]Global_Spot Prices'!$BS:$BS)</f>
        <v>4.9849999999999994</v>
      </c>
      <c r="C2633">
        <f>_xlfn.XLOOKUP(A2633,'[1]Global_Spot Prices'!$B:$B,'[1]Global_Spot Prices'!$E:$E)</f>
        <v>79.894999999999996</v>
      </c>
      <c r="D2633">
        <f>_xlfn.XLOOKUP(A2633,'[1]Global_Spot Prices'!$B:$B,'[1]Global_Spot Prices'!$D:$D)</f>
        <v>77.05</v>
      </c>
      <c r="E2633">
        <f>_xlfn.XLOOKUP(A2633,'[1]Global_Spot Prices'!$B:$B,'[1]Global_Spot Prices'!$H:$H)</f>
        <v>71.91</v>
      </c>
      <c r="F2633">
        <f>_xlfn.XLOOKUP(A2633,'[1]Global_Spot Prices'!$B:$B,'[1]Global_Spot Prices'!$I:$I)</f>
        <v>84.88</v>
      </c>
      <c r="G2633" cm="1">
        <f t="array" ref="G2633">_xlfn.XLOOKUP(TEXT(A2633, "mmm-yy"), TEXT([2]RUNS!$B$5:$B$208, "mmm-yy"), [2]RUNS!$D$5:$D$208, "Not Found")</f>
        <v>31465.176932077946</v>
      </c>
      <c r="H2633" cm="1">
        <f t="array" ref="H2633">SUMPRODUCT(
    --(TEXT('[3]Global Weekly Stock (EWSuez'!$B$4:$B$2000,"mmm-yy")=TEXT(A2633,"mmm-yy")),
    '[3]Global Weekly Stock (EWSuez'!$E$4:$E$2000)
/
SUMPRODUCT(
    --(TEXT('[3]Global Weekly Stock (EWSuez'!$B$4:$B$2000,"mmm-yy")=TEXT(A2633,"mmm-yy"))
)</f>
        <v>15307.4</v>
      </c>
      <c r="I2633">
        <f>_xlfn.XLOOKUP(A2633,[1]ForwardDeriv!$D:$D,[1]ForwardDeriv!$AJ:$AJ)</f>
        <v>0.29000000000000625</v>
      </c>
      <c r="J2633" cm="1">
        <f t="array" ref="J2633">_xlfn.XLOOKUP(TEXT(A2633, "mmm-yy"), TEXT([2]GASOLINE!$B$5:$B$208, "mmm-yy"), [2]GASOLINE!$IR$5:$IR$208, "Not Found")</f>
        <v>-274.39322248248436</v>
      </c>
      <c r="K2633" cm="1">
        <f t="array" ref="K2633">_xlfn.XLOOKUP(TEXT(A2633, "mmm-yy"), TEXT([2]GASOLINE!$B$5:$B$208, "mmm-yy"), [2]GASOLINE!$IK$5:$IK$208, "Not Found")</f>
        <v>301.42338841857008</v>
      </c>
      <c r="L2633">
        <f t="shared" si="41"/>
        <v>0</v>
      </c>
      <c r="M2633" cm="1">
        <f t="array" ref="M2633">_xlfn.XLOOKUP(TEXT(A2633, "mmm-yy"), TEXT([2]GASOLINE!$B$5:$B$208, "mmm-yy"), [2]GASOLINE!$C$5:$C$208, "Not Found")</f>
        <v>7905.6245004264811</v>
      </c>
      <c r="N2633" cm="1">
        <f t="array" ref="N2633">_xlfn.XLOOKUP(TEXT(A2633, "mmm-yy"), TEXT([2]RUNS!$B$5:$B$208, "mmm-yy"), [2]RUNS!$BM$5:$BM$208, "Not Found")</f>
        <v>0.85617432313434338</v>
      </c>
    </row>
    <row r="2634" spans="1:14" x14ac:dyDescent="0.25">
      <c r="A2634" s="1">
        <f>'[1]Global_Spot Prices'!$B3943</f>
        <v>45691</v>
      </c>
      <c r="B2634">
        <f>_xlfn.XLOOKUP(A2634,'[1]Global_Spot Prices'!$B:$B,'[1]Global_Spot Prices'!$BS:$BS)</f>
        <v>7.3499999999999943</v>
      </c>
      <c r="C2634">
        <f>_xlfn.XLOOKUP(A2634,'[1]Global_Spot Prices'!$B:$B,'[1]Global_Spot Prices'!$E:$E)</f>
        <v>79.06</v>
      </c>
      <c r="D2634">
        <f>_xlfn.XLOOKUP(A2634,'[1]Global_Spot Prices'!$B:$B,'[1]Global_Spot Prices'!$D:$D)</f>
        <v>76.08</v>
      </c>
      <c r="E2634">
        <f>_xlfn.XLOOKUP(A2634,'[1]Global_Spot Prices'!$B:$B,'[1]Global_Spot Prices'!$H:$H)</f>
        <v>71.2</v>
      </c>
      <c r="F2634">
        <f>_xlfn.XLOOKUP(A2634,'[1]Global_Spot Prices'!$B:$B,'[1]Global_Spot Prices'!$I:$I)</f>
        <v>86.41</v>
      </c>
      <c r="G2634" cm="1">
        <f t="array" ref="G2634">_xlfn.XLOOKUP(TEXT(A2634, "mmm-yy"), TEXT([2]RUNS!$B$5:$B$208, "mmm-yy"), [2]RUNS!$D$5:$D$208, "Not Found")</f>
        <v>30952.741414964967</v>
      </c>
      <c r="H2634" cm="1">
        <f t="array" ref="H2634">SUMPRODUCT(
    --(TEXT('[3]Global Weekly Stock (EWSuez'!$B$4:$B$2000,"mmm-yy")=TEXT(A2634,"mmm-yy")),
    '[3]Global Weekly Stock (EWSuez'!$E$4:$E$2000)
/
SUMPRODUCT(
    --(TEXT('[3]Global Weekly Stock (EWSuez'!$B$4:$B$2000,"mmm-yy")=TEXT(A2634,"mmm-yy"))
)</f>
        <v>16122.75</v>
      </c>
      <c r="I2634">
        <f>_xlfn.XLOOKUP(A2634,[1]ForwardDeriv!$D:$D,[1]ForwardDeriv!$AJ:$AJ)</f>
        <v>0.70999999999999375</v>
      </c>
      <c r="J2634" cm="1">
        <f t="array" ref="J2634">_xlfn.XLOOKUP(TEXT(A2634, "mmm-yy"), TEXT([2]GASOLINE!$B$5:$B$208, "mmm-yy"), [2]GASOLINE!$IR$5:$IR$208, "Not Found")</f>
        <v>-487.9261632037846</v>
      </c>
      <c r="K2634" cm="1">
        <f t="array" ref="K2634">_xlfn.XLOOKUP(TEXT(A2634, "mmm-yy"), TEXT([2]GASOLINE!$B$5:$B$208, "mmm-yy"), [2]GASOLINE!$IK$5:$IK$208, "Not Found")</f>
        <v>315.22611565493514</v>
      </c>
      <c r="L2634">
        <f t="shared" si="41"/>
        <v>0</v>
      </c>
      <c r="M2634" cm="1">
        <f t="array" ref="M2634">_xlfn.XLOOKUP(TEXT(A2634, "mmm-yy"), TEXT([2]GASOLINE!$B$5:$B$208, "mmm-yy"), [2]GASOLINE!$C$5:$C$208, "Not Found")</f>
        <v>8005.1674163946491</v>
      </c>
      <c r="N2634" cm="1">
        <f t="array" ref="N2634">_xlfn.XLOOKUP(TEXT(A2634, "mmm-yy"), TEXT([2]RUNS!$B$5:$B$208, "mmm-yy"), [2]RUNS!$BM$5:$BM$208, "Not Found")</f>
        <v>0.84223084101246393</v>
      </c>
    </row>
    <row r="2635" spans="1:14" x14ac:dyDescent="0.25">
      <c r="A2635" s="1">
        <f>'[1]Global_Spot Prices'!$B3944</f>
        <v>45692</v>
      </c>
      <c r="B2635">
        <f>_xlfn.XLOOKUP(A2635,'[1]Global_Spot Prices'!$B:$B,'[1]Global_Spot Prices'!$BS:$BS)</f>
        <v>5.855000000000004</v>
      </c>
      <c r="C2635">
        <f>_xlfn.XLOOKUP(A2635,'[1]Global_Spot Prices'!$B:$B,'[1]Global_Spot Prices'!$E:$E)</f>
        <v>77.444999999999993</v>
      </c>
      <c r="D2635">
        <f>_xlfn.XLOOKUP(A2635,'[1]Global_Spot Prices'!$B:$B,'[1]Global_Spot Prices'!$D:$D)</f>
        <v>76.364999999999995</v>
      </c>
      <c r="E2635">
        <f>_xlfn.XLOOKUP(A2635,'[1]Global_Spot Prices'!$B:$B,'[1]Global_Spot Prices'!$H:$H)</f>
        <v>70.430000000000007</v>
      </c>
      <c r="F2635">
        <f>_xlfn.XLOOKUP(A2635,'[1]Global_Spot Prices'!$B:$B,'[1]Global_Spot Prices'!$I:$I)</f>
        <v>83.3</v>
      </c>
      <c r="G2635" cm="1">
        <f t="array" ref="G2635">_xlfn.XLOOKUP(TEXT(A2635, "mmm-yy"), TEXT([2]RUNS!$B$5:$B$208, "mmm-yy"), [2]RUNS!$D$5:$D$208, "Not Found")</f>
        <v>30952.741414964967</v>
      </c>
      <c r="H2635" cm="1">
        <f t="array" ref="H2635">SUMPRODUCT(
    --(TEXT('[3]Global Weekly Stock (EWSuez'!$B$4:$B$2000,"mmm-yy")=TEXT(A2635,"mmm-yy")),
    '[3]Global Weekly Stock (EWSuez'!$E$4:$E$2000)
/
SUMPRODUCT(
    --(TEXT('[3]Global Weekly Stock (EWSuez'!$B$4:$B$2000,"mmm-yy")=TEXT(A2635,"mmm-yy"))
)</f>
        <v>16122.75</v>
      </c>
      <c r="I2635">
        <f>_xlfn.XLOOKUP(A2635,[1]ForwardDeriv!$D:$D,[1]ForwardDeriv!$AJ:$AJ)</f>
        <v>0.45999999999999375</v>
      </c>
      <c r="J2635" cm="1">
        <f t="array" ref="J2635">_xlfn.XLOOKUP(TEXT(A2635, "mmm-yy"), TEXT([2]GASOLINE!$B$5:$B$208, "mmm-yy"), [2]GASOLINE!$IR$5:$IR$208, "Not Found")</f>
        <v>-487.9261632037846</v>
      </c>
      <c r="K2635" cm="1">
        <f t="array" ref="K2635">_xlfn.XLOOKUP(TEXT(A2635, "mmm-yy"), TEXT([2]GASOLINE!$B$5:$B$208, "mmm-yy"), [2]GASOLINE!$IK$5:$IK$208, "Not Found")</f>
        <v>315.22611565493514</v>
      </c>
      <c r="L2635">
        <f t="shared" si="41"/>
        <v>0</v>
      </c>
      <c r="M2635" cm="1">
        <f t="array" ref="M2635">_xlfn.XLOOKUP(TEXT(A2635, "mmm-yy"), TEXT([2]GASOLINE!$B$5:$B$208, "mmm-yy"), [2]GASOLINE!$C$5:$C$208, "Not Found")</f>
        <v>8005.1674163946491</v>
      </c>
      <c r="N2635" cm="1">
        <f t="array" ref="N2635">_xlfn.XLOOKUP(TEXT(A2635, "mmm-yy"), TEXT([2]RUNS!$B$5:$B$208, "mmm-yy"), [2]RUNS!$BM$5:$BM$208, "Not Found")</f>
        <v>0.84223084101246393</v>
      </c>
    </row>
    <row r="2636" spans="1:14" x14ac:dyDescent="0.25">
      <c r="A2636" s="1">
        <f>'[1]Global_Spot Prices'!$B3945</f>
        <v>45693</v>
      </c>
      <c r="B2636">
        <f>_xlfn.XLOOKUP(A2636,'[1]Global_Spot Prices'!$B:$B,'[1]Global_Spot Prices'!$BS:$BS)</f>
        <v>5.6500000000000057</v>
      </c>
      <c r="C2636">
        <f>_xlfn.XLOOKUP(A2636,'[1]Global_Spot Prices'!$B:$B,'[1]Global_Spot Prices'!$E:$E)</f>
        <v>78.41</v>
      </c>
      <c r="D2636">
        <f>_xlfn.XLOOKUP(A2636,'[1]Global_Spot Prices'!$B:$B,'[1]Global_Spot Prices'!$D:$D)</f>
        <v>74.83</v>
      </c>
      <c r="E2636">
        <f>_xlfn.XLOOKUP(A2636,'[1]Global_Spot Prices'!$B:$B,'[1]Global_Spot Prices'!$H:$H)</f>
        <v>71.88</v>
      </c>
      <c r="F2636">
        <f>_xlfn.XLOOKUP(A2636,'[1]Global_Spot Prices'!$B:$B,'[1]Global_Spot Prices'!$I:$I)</f>
        <v>84.06</v>
      </c>
      <c r="G2636" cm="1">
        <f t="array" ref="G2636">_xlfn.XLOOKUP(TEXT(A2636, "mmm-yy"), TEXT([2]RUNS!$B$5:$B$208, "mmm-yy"), [2]RUNS!$D$5:$D$208, "Not Found")</f>
        <v>30952.741414964967</v>
      </c>
      <c r="H2636" cm="1">
        <f t="array" ref="H2636">SUMPRODUCT(
    --(TEXT('[3]Global Weekly Stock (EWSuez'!$B$4:$B$2000,"mmm-yy")=TEXT(A2636,"mmm-yy")),
    '[3]Global Weekly Stock (EWSuez'!$E$4:$E$2000)
/
SUMPRODUCT(
    --(TEXT('[3]Global Weekly Stock (EWSuez'!$B$4:$B$2000,"mmm-yy")=TEXT(A2636,"mmm-yy"))
)</f>
        <v>16122.75</v>
      </c>
      <c r="I2636">
        <f>_xlfn.XLOOKUP(A2636,[1]ForwardDeriv!$D:$D,[1]ForwardDeriv!$AJ:$AJ)</f>
        <v>0.43000000000000682</v>
      </c>
      <c r="J2636" cm="1">
        <f t="array" ref="J2636">_xlfn.XLOOKUP(TEXT(A2636, "mmm-yy"), TEXT([2]GASOLINE!$B$5:$B$208, "mmm-yy"), [2]GASOLINE!$IR$5:$IR$208, "Not Found")</f>
        <v>-487.9261632037846</v>
      </c>
      <c r="K2636" cm="1">
        <f t="array" ref="K2636">_xlfn.XLOOKUP(TEXT(A2636, "mmm-yy"), TEXT([2]GASOLINE!$B$5:$B$208, "mmm-yy"), [2]GASOLINE!$IK$5:$IK$208, "Not Found")</f>
        <v>315.22611565493514</v>
      </c>
      <c r="L2636">
        <f t="shared" si="41"/>
        <v>0</v>
      </c>
      <c r="M2636" cm="1">
        <f t="array" ref="M2636">_xlfn.XLOOKUP(TEXT(A2636, "mmm-yy"), TEXT([2]GASOLINE!$B$5:$B$208, "mmm-yy"), [2]GASOLINE!$C$5:$C$208, "Not Found")</f>
        <v>8005.1674163946491</v>
      </c>
      <c r="N2636" cm="1">
        <f t="array" ref="N2636">_xlfn.XLOOKUP(TEXT(A2636, "mmm-yy"), TEXT([2]RUNS!$B$5:$B$208, "mmm-yy"), [2]RUNS!$BM$5:$BM$208, "Not Found")</f>
        <v>0.84223084101246393</v>
      </c>
    </row>
    <row r="2637" spans="1:14" x14ac:dyDescent="0.25">
      <c r="A2637" s="1">
        <f>'[1]Global_Spot Prices'!$B3946</f>
        <v>45694</v>
      </c>
      <c r="B2637">
        <f>_xlfn.XLOOKUP(A2637,'[1]Global_Spot Prices'!$B:$B,'[1]Global_Spot Prices'!$BS:$BS)</f>
        <v>5.769999999999996</v>
      </c>
      <c r="C2637">
        <f ca="1">_xlfn.XLOOKUP(A2637,'[1]Global_Spot Prices'!$B:$B,'[1]Global_Spot Prices'!$E:$E)</f>
        <v>77.44</v>
      </c>
      <c r="D2637">
        <f>_xlfn.XLOOKUP(A2637,'[1]Global_Spot Prices'!$B:$B,'[1]Global_Spot Prices'!$D:$D)</f>
        <v>75.025000000000006</v>
      </c>
      <c r="E2637">
        <f>_xlfn.XLOOKUP(A2637,'[1]Global_Spot Prices'!$B:$B,'[1]Global_Spot Prices'!$H:$H)</f>
        <v>71.64</v>
      </c>
      <c r="F2637">
        <f>_xlfn.XLOOKUP(A2637,'[1]Global_Spot Prices'!$B:$B,'[1]Global_Spot Prices'!$I:$I)</f>
        <v>83.21</v>
      </c>
      <c r="G2637" cm="1">
        <f t="array" ref="G2637">_xlfn.XLOOKUP(TEXT(A2637, "mmm-yy"), TEXT([2]RUNS!$B$5:$B$208, "mmm-yy"), [2]RUNS!$D$5:$D$208, "Not Found")</f>
        <v>30952.741414964967</v>
      </c>
      <c r="H2637" cm="1">
        <f t="array" ref="H2637">SUMPRODUCT(
    --(TEXT('[3]Global Weekly Stock (EWSuez'!$B$4:$B$2000,"mmm-yy")=TEXT(A2637,"mmm-yy")),
    '[3]Global Weekly Stock (EWSuez'!$E$4:$E$2000)
/
SUMPRODUCT(
    --(TEXT('[3]Global Weekly Stock (EWSuez'!$B$4:$B$2000,"mmm-yy")=TEXT(A2637,"mmm-yy"))
)</f>
        <v>16122.75</v>
      </c>
      <c r="I2637">
        <f>_xlfn.XLOOKUP(A2637,[1]ForwardDeriv!$D:$D,[1]ForwardDeriv!$AJ:$AJ)</f>
        <v>0.30999999999998806</v>
      </c>
      <c r="J2637" cm="1">
        <f t="array" ref="J2637">_xlfn.XLOOKUP(TEXT(A2637, "mmm-yy"), TEXT([2]GASOLINE!$B$5:$B$208, "mmm-yy"), [2]GASOLINE!$IR$5:$IR$208, "Not Found")</f>
        <v>-487.9261632037846</v>
      </c>
      <c r="K2637" cm="1">
        <f t="array" ref="K2637">_xlfn.XLOOKUP(TEXT(A2637, "mmm-yy"), TEXT([2]GASOLINE!$B$5:$B$208, "mmm-yy"), [2]GASOLINE!$IK$5:$IK$208, "Not Found")</f>
        <v>315.22611565493514</v>
      </c>
      <c r="L2637">
        <f t="shared" si="41"/>
        <v>0</v>
      </c>
      <c r="M2637" cm="1">
        <f t="array" ref="M2637">_xlfn.XLOOKUP(TEXT(A2637, "mmm-yy"), TEXT([2]GASOLINE!$B$5:$B$208, "mmm-yy"), [2]GASOLINE!$C$5:$C$208, "Not Found")</f>
        <v>8005.1674163946491</v>
      </c>
      <c r="N2637" cm="1">
        <f t="array" ref="N2637">_xlfn.XLOOKUP(TEXT(A2637, "mmm-yy"), TEXT([2]RUNS!$B$5:$B$208, "mmm-yy"), [2]RUNS!$BM$5:$BM$208, "Not Found")</f>
        <v>0.84223084101246393</v>
      </c>
    </row>
    <row r="2638" spans="1:14" x14ac:dyDescent="0.25">
      <c r="A2638" s="1">
        <f>'[1]Global_Spot Prices'!$B3947</f>
        <v>45695</v>
      </c>
      <c r="B2638">
        <f>_xlfn.XLOOKUP(A2638,'[1]Global_Spot Prices'!$B:$B,'[1]Global_Spot Prices'!$BS:$BS)</f>
        <v>6.0699999999999932</v>
      </c>
      <c r="C2638">
        <f ca="1">_xlfn.XLOOKUP(A2638,'[1]Global_Spot Prices'!$B:$B,'[1]Global_Spot Prices'!$E:$E)</f>
        <v>77.790000000000006</v>
      </c>
      <c r="D2638">
        <f>_xlfn.XLOOKUP(A2638,'[1]Global_Spot Prices'!$B:$B,'[1]Global_Spot Prices'!$D:$D)</f>
        <v>74.53</v>
      </c>
      <c r="E2638">
        <f>_xlfn.XLOOKUP(A2638,'[1]Global_Spot Prices'!$B:$B,'[1]Global_Spot Prices'!$H:$H)</f>
        <v>72.489999999999995</v>
      </c>
      <c r="F2638">
        <f>_xlfn.XLOOKUP(A2638,'[1]Global_Spot Prices'!$B:$B,'[1]Global_Spot Prices'!$I:$I)</f>
        <v>83.86</v>
      </c>
      <c r="G2638" cm="1">
        <f t="array" ref="G2638">_xlfn.XLOOKUP(TEXT(A2638, "mmm-yy"), TEXT([2]RUNS!$B$5:$B$208, "mmm-yy"), [2]RUNS!$D$5:$D$208, "Not Found")</f>
        <v>30952.741414964967</v>
      </c>
      <c r="H2638" cm="1">
        <f t="array" ref="H2638">SUMPRODUCT(
    --(TEXT('[3]Global Weekly Stock (EWSuez'!$B$4:$B$2000,"mmm-yy")=TEXT(A2638,"mmm-yy")),
    '[3]Global Weekly Stock (EWSuez'!$E$4:$E$2000)
/
SUMPRODUCT(
    --(TEXT('[3]Global Weekly Stock (EWSuez'!$B$4:$B$2000,"mmm-yy")=TEXT(A2638,"mmm-yy"))
)</f>
        <v>16122.75</v>
      </c>
      <c r="I2638">
        <f>_xlfn.XLOOKUP(A2638,[1]ForwardDeriv!$D:$D,[1]ForwardDeriv!$AJ:$AJ)</f>
        <v>0.39999999999999147</v>
      </c>
      <c r="J2638" cm="1">
        <f t="array" ref="J2638">_xlfn.XLOOKUP(TEXT(A2638, "mmm-yy"), TEXT([2]GASOLINE!$B$5:$B$208, "mmm-yy"), [2]GASOLINE!$IR$5:$IR$208, "Not Found")</f>
        <v>-487.9261632037846</v>
      </c>
      <c r="K2638" cm="1">
        <f t="array" ref="K2638">_xlfn.XLOOKUP(TEXT(A2638, "mmm-yy"), TEXT([2]GASOLINE!$B$5:$B$208, "mmm-yy"), [2]GASOLINE!$IK$5:$IK$208, "Not Found")</f>
        <v>315.22611565493514</v>
      </c>
      <c r="L2638">
        <f t="shared" si="41"/>
        <v>0</v>
      </c>
      <c r="M2638" cm="1">
        <f t="array" ref="M2638">_xlfn.XLOOKUP(TEXT(A2638, "mmm-yy"), TEXT([2]GASOLINE!$B$5:$B$208, "mmm-yy"), [2]GASOLINE!$C$5:$C$208, "Not Found")</f>
        <v>8005.1674163946491</v>
      </c>
      <c r="N2638" cm="1">
        <f t="array" ref="N2638">_xlfn.XLOOKUP(TEXT(A2638, "mmm-yy"), TEXT([2]RUNS!$B$5:$B$208, "mmm-yy"), [2]RUNS!$BM$5:$BM$208, "Not Found")</f>
        <v>0.84223084101246393</v>
      </c>
    </row>
    <row r="2639" spans="1:14" x14ac:dyDescent="0.25">
      <c r="A2639" s="1">
        <f>'[1]Global_Spot Prices'!$B3948</f>
        <v>45698</v>
      </c>
      <c r="B2639">
        <f>_xlfn.XLOOKUP(A2639,'[1]Global_Spot Prices'!$B:$B,'[1]Global_Spot Prices'!$BS:$BS)</f>
        <v>7.0500000000000114</v>
      </c>
      <c r="C2639">
        <f>_xlfn.XLOOKUP(A2639,'[1]Global_Spot Prices'!$B:$B,'[1]Global_Spot Prices'!$E:$E)</f>
        <v>77.989999999999995</v>
      </c>
      <c r="D2639">
        <f>_xlfn.XLOOKUP(A2639,'[1]Global_Spot Prices'!$B:$B,'[1]Global_Spot Prices'!$D:$D)</f>
        <v>76.125</v>
      </c>
      <c r="E2639">
        <f>_xlfn.XLOOKUP(A2639,'[1]Global_Spot Prices'!$B:$B,'[1]Global_Spot Prices'!$H:$H)</f>
        <v>72.73</v>
      </c>
      <c r="F2639">
        <f>_xlfn.XLOOKUP(A2639,'[1]Global_Spot Prices'!$B:$B,'[1]Global_Spot Prices'!$I:$I)</f>
        <v>85.04</v>
      </c>
      <c r="G2639" cm="1">
        <f t="array" ref="G2639">_xlfn.XLOOKUP(TEXT(A2639, "mmm-yy"), TEXT([2]RUNS!$B$5:$B$208, "mmm-yy"), [2]RUNS!$D$5:$D$208, "Not Found")</f>
        <v>30952.741414964967</v>
      </c>
      <c r="H2639" cm="1">
        <f t="array" ref="H2639">SUMPRODUCT(
    --(TEXT('[3]Global Weekly Stock (EWSuez'!$B$4:$B$2000,"mmm-yy")=TEXT(A2639,"mmm-yy")),
    '[3]Global Weekly Stock (EWSuez'!$E$4:$E$2000)
/
SUMPRODUCT(
    --(TEXT('[3]Global Weekly Stock (EWSuez'!$B$4:$B$2000,"mmm-yy")=TEXT(A2639,"mmm-yy"))
)</f>
        <v>16122.75</v>
      </c>
      <c r="I2639">
        <f>_xlfn.XLOOKUP(A2639,[1]ForwardDeriv!$D:$D,[1]ForwardDeriv!$AJ:$AJ)</f>
        <v>0.45999999999999375</v>
      </c>
      <c r="J2639" cm="1">
        <f t="array" ref="J2639">_xlfn.XLOOKUP(TEXT(A2639, "mmm-yy"), TEXT([2]GASOLINE!$B$5:$B$208, "mmm-yy"), [2]GASOLINE!$IR$5:$IR$208, "Not Found")</f>
        <v>-487.9261632037846</v>
      </c>
      <c r="K2639" cm="1">
        <f t="array" ref="K2639">_xlfn.XLOOKUP(TEXT(A2639, "mmm-yy"), TEXT([2]GASOLINE!$B$5:$B$208, "mmm-yy"), [2]GASOLINE!$IK$5:$IK$208, "Not Found")</f>
        <v>315.22611565493514</v>
      </c>
      <c r="L2639">
        <f t="shared" si="41"/>
        <v>0</v>
      </c>
      <c r="M2639" cm="1">
        <f t="array" ref="M2639">_xlfn.XLOOKUP(TEXT(A2639, "mmm-yy"), TEXT([2]GASOLINE!$B$5:$B$208, "mmm-yy"), [2]GASOLINE!$C$5:$C$208, "Not Found")</f>
        <v>8005.1674163946491</v>
      </c>
      <c r="N2639" cm="1">
        <f t="array" ref="N2639">_xlfn.XLOOKUP(TEXT(A2639, "mmm-yy"), TEXT([2]RUNS!$B$5:$B$208, "mmm-yy"), [2]RUNS!$BM$5:$BM$208, "Not Found")</f>
        <v>0.84223084101246393</v>
      </c>
    </row>
    <row r="2640" spans="1:14" x14ac:dyDescent="0.25">
      <c r="A2640" s="1">
        <f>'[1]Global_Spot Prices'!$B3949</f>
        <v>45699</v>
      </c>
      <c r="B2640">
        <f>_xlfn.XLOOKUP(A2640,'[1]Global_Spot Prices'!$B:$B,'[1]Global_Spot Prices'!$BS:$BS)</f>
        <v>6.7099999999999937</v>
      </c>
      <c r="C2640">
        <f>_xlfn.XLOOKUP(A2640,'[1]Global_Spot Prices'!$B:$B,'[1]Global_Spot Prices'!$E:$E)</f>
        <v>79.290000000000006</v>
      </c>
      <c r="D2640">
        <f>_xlfn.XLOOKUP(A2640,'[1]Global_Spot Prices'!$B:$B,'[1]Global_Spot Prices'!$D:$D)</f>
        <v>77.025000000000006</v>
      </c>
      <c r="E2640">
        <f>_xlfn.XLOOKUP(A2640,'[1]Global_Spot Prices'!$B:$B,'[1]Global_Spot Prices'!$H:$H)</f>
        <v>73.2</v>
      </c>
      <c r="F2640">
        <f>_xlfn.XLOOKUP(A2640,'[1]Global_Spot Prices'!$B:$B,'[1]Global_Spot Prices'!$I:$I)</f>
        <v>86</v>
      </c>
      <c r="G2640" cm="1">
        <f t="array" ref="G2640">_xlfn.XLOOKUP(TEXT(A2640, "mmm-yy"), TEXT([2]RUNS!$B$5:$B$208, "mmm-yy"), [2]RUNS!$D$5:$D$208, "Not Found")</f>
        <v>30952.741414964967</v>
      </c>
      <c r="H2640" cm="1">
        <f t="array" ref="H2640">SUMPRODUCT(
    --(TEXT('[3]Global Weekly Stock (EWSuez'!$B$4:$B$2000,"mmm-yy")=TEXT(A2640,"mmm-yy")),
    '[3]Global Weekly Stock (EWSuez'!$E$4:$E$2000)
/
SUMPRODUCT(
    --(TEXT('[3]Global Weekly Stock (EWSuez'!$B$4:$B$2000,"mmm-yy")=TEXT(A2640,"mmm-yy"))
)</f>
        <v>16122.75</v>
      </c>
      <c r="I2640">
        <f>_xlfn.XLOOKUP(A2640,[1]ForwardDeriv!$D:$D,[1]ForwardDeriv!$AJ:$AJ)</f>
        <v>0.48000000000000398</v>
      </c>
      <c r="J2640" cm="1">
        <f t="array" ref="J2640">_xlfn.XLOOKUP(TEXT(A2640, "mmm-yy"), TEXT([2]GASOLINE!$B$5:$B$208, "mmm-yy"), [2]GASOLINE!$IR$5:$IR$208, "Not Found")</f>
        <v>-487.9261632037846</v>
      </c>
      <c r="K2640" cm="1">
        <f t="array" ref="K2640">_xlfn.XLOOKUP(TEXT(A2640, "mmm-yy"), TEXT([2]GASOLINE!$B$5:$B$208, "mmm-yy"), [2]GASOLINE!$IK$5:$IK$208, "Not Found")</f>
        <v>315.22611565493514</v>
      </c>
      <c r="L2640">
        <f t="shared" si="41"/>
        <v>0</v>
      </c>
      <c r="M2640" cm="1">
        <f t="array" ref="M2640">_xlfn.XLOOKUP(TEXT(A2640, "mmm-yy"), TEXT([2]GASOLINE!$B$5:$B$208, "mmm-yy"), [2]GASOLINE!$C$5:$C$208, "Not Found")</f>
        <v>8005.1674163946491</v>
      </c>
      <c r="N2640" cm="1">
        <f t="array" ref="N2640">_xlfn.XLOOKUP(TEXT(A2640, "mmm-yy"), TEXT([2]RUNS!$B$5:$B$208, "mmm-yy"), [2]RUNS!$BM$5:$BM$208, "Not Found")</f>
        <v>0.84223084101246393</v>
      </c>
    </row>
    <row r="2641" spans="1:14" x14ac:dyDescent="0.25">
      <c r="A2641" s="1">
        <f>'[1]Global_Spot Prices'!$B3950</f>
        <v>45700</v>
      </c>
      <c r="B2641">
        <f>_xlfn.XLOOKUP(A2641,'[1]Global_Spot Prices'!$B:$B,'[1]Global_Spot Prices'!$BS:$BS)</f>
        <v>7.1299999999999955</v>
      </c>
      <c r="C2641">
        <f>_xlfn.XLOOKUP(A2641,'[1]Global_Spot Prices'!$B:$B,'[1]Global_Spot Prices'!$E:$E)</f>
        <v>79.040000000000006</v>
      </c>
      <c r="D2641">
        <f>_xlfn.XLOOKUP(A2641,'[1]Global_Spot Prices'!$B:$B,'[1]Global_Spot Prices'!$D:$D)</f>
        <v>75.844999999999999</v>
      </c>
      <c r="E2641">
        <f>_xlfn.XLOOKUP(A2641,'[1]Global_Spot Prices'!$B:$B,'[1]Global_Spot Prices'!$H:$H)</f>
        <v>73.31</v>
      </c>
      <c r="F2641">
        <f>_xlfn.XLOOKUP(A2641,'[1]Global_Spot Prices'!$B:$B,'[1]Global_Spot Prices'!$I:$I)</f>
        <v>86.17</v>
      </c>
      <c r="G2641" cm="1">
        <f t="array" ref="G2641">_xlfn.XLOOKUP(TEXT(A2641, "mmm-yy"), TEXT([2]RUNS!$B$5:$B$208, "mmm-yy"), [2]RUNS!$D$5:$D$208, "Not Found")</f>
        <v>30952.741414964967</v>
      </c>
      <c r="H2641" cm="1">
        <f t="array" ref="H2641">SUMPRODUCT(
    --(TEXT('[3]Global Weekly Stock (EWSuez'!$B$4:$B$2000,"mmm-yy")=TEXT(A2641,"mmm-yy")),
    '[3]Global Weekly Stock (EWSuez'!$E$4:$E$2000)
/
SUMPRODUCT(
    --(TEXT('[3]Global Weekly Stock (EWSuez'!$B$4:$B$2000,"mmm-yy")=TEXT(A2641,"mmm-yy"))
)</f>
        <v>16122.75</v>
      </c>
      <c r="I2641">
        <f>_xlfn.XLOOKUP(A2641,[1]ForwardDeriv!$D:$D,[1]ForwardDeriv!$AJ:$AJ)</f>
        <v>0.5</v>
      </c>
      <c r="J2641" cm="1">
        <f t="array" ref="J2641">_xlfn.XLOOKUP(TEXT(A2641, "mmm-yy"), TEXT([2]GASOLINE!$B$5:$B$208, "mmm-yy"), [2]GASOLINE!$IR$5:$IR$208, "Not Found")</f>
        <v>-487.9261632037846</v>
      </c>
      <c r="K2641" cm="1">
        <f t="array" ref="K2641">_xlfn.XLOOKUP(TEXT(A2641, "mmm-yy"), TEXT([2]GASOLINE!$B$5:$B$208, "mmm-yy"), [2]GASOLINE!$IK$5:$IK$208, "Not Found")</f>
        <v>315.22611565493514</v>
      </c>
      <c r="L2641">
        <f t="shared" si="41"/>
        <v>0</v>
      </c>
      <c r="M2641" cm="1">
        <f t="array" ref="M2641">_xlfn.XLOOKUP(TEXT(A2641, "mmm-yy"), TEXT([2]GASOLINE!$B$5:$B$208, "mmm-yy"), [2]GASOLINE!$C$5:$C$208, "Not Found")</f>
        <v>8005.1674163946491</v>
      </c>
      <c r="N2641" cm="1">
        <f t="array" ref="N2641">_xlfn.XLOOKUP(TEXT(A2641, "mmm-yy"), TEXT([2]RUNS!$B$5:$B$208, "mmm-yy"), [2]RUNS!$BM$5:$BM$208, "Not Found")</f>
        <v>0.84223084101246393</v>
      </c>
    </row>
    <row r="2642" spans="1:14" x14ac:dyDescent="0.25">
      <c r="A2642" s="1">
        <f>'[1]Global_Spot Prices'!$B3951</f>
        <v>45701</v>
      </c>
      <c r="B2642">
        <f>_xlfn.XLOOKUP(A2642,'[1]Global_Spot Prices'!$B:$B,'[1]Global_Spot Prices'!$BS:$BS)</f>
        <v>7.6000000000000085</v>
      </c>
      <c r="C2642">
        <f>_xlfn.XLOOKUP(A2642,'[1]Global_Spot Prices'!$B:$B,'[1]Global_Spot Prices'!$E:$E)</f>
        <v>76.989999999999995</v>
      </c>
      <c r="D2642">
        <f>_xlfn.XLOOKUP(A2642,'[1]Global_Spot Prices'!$B:$B,'[1]Global_Spot Prices'!$D:$D)</f>
        <v>75.12</v>
      </c>
      <c r="E2642">
        <f>_xlfn.XLOOKUP(A2642,'[1]Global_Spot Prices'!$B:$B,'[1]Global_Spot Prices'!$H:$H)</f>
        <v>71.87</v>
      </c>
      <c r="F2642">
        <f>_xlfn.XLOOKUP(A2642,'[1]Global_Spot Prices'!$B:$B,'[1]Global_Spot Prices'!$I:$I)</f>
        <v>84.59</v>
      </c>
      <c r="G2642" cm="1">
        <f t="array" ref="G2642">_xlfn.XLOOKUP(TEXT(A2642, "mmm-yy"), TEXT([2]RUNS!$B$5:$B$208, "mmm-yy"), [2]RUNS!$D$5:$D$208, "Not Found")</f>
        <v>30952.741414964967</v>
      </c>
      <c r="H2642" cm="1">
        <f t="array" ref="H2642">SUMPRODUCT(
    --(TEXT('[3]Global Weekly Stock (EWSuez'!$B$4:$B$2000,"mmm-yy")=TEXT(A2642,"mmm-yy")),
    '[3]Global Weekly Stock (EWSuez'!$E$4:$E$2000)
/
SUMPRODUCT(
    --(TEXT('[3]Global Weekly Stock (EWSuez'!$B$4:$B$2000,"mmm-yy")=TEXT(A2642,"mmm-yy"))
)</f>
        <v>16122.75</v>
      </c>
      <c r="I2642">
        <f>_xlfn.XLOOKUP(A2642,[1]ForwardDeriv!$D:$D,[1]ForwardDeriv!$AJ:$AJ)</f>
        <v>0.53999999999999204</v>
      </c>
      <c r="J2642" cm="1">
        <f t="array" ref="J2642">_xlfn.XLOOKUP(TEXT(A2642, "mmm-yy"), TEXT([2]GASOLINE!$B$5:$B$208, "mmm-yy"), [2]GASOLINE!$IR$5:$IR$208, "Not Found")</f>
        <v>-487.9261632037846</v>
      </c>
      <c r="K2642" cm="1">
        <f t="array" ref="K2642">_xlfn.XLOOKUP(TEXT(A2642, "mmm-yy"), TEXT([2]GASOLINE!$B$5:$B$208, "mmm-yy"), [2]GASOLINE!$IK$5:$IK$208, "Not Found")</f>
        <v>315.22611565493514</v>
      </c>
      <c r="L2642">
        <f t="shared" si="41"/>
        <v>0</v>
      </c>
      <c r="M2642" cm="1">
        <f t="array" ref="M2642">_xlfn.XLOOKUP(TEXT(A2642, "mmm-yy"), TEXT([2]GASOLINE!$B$5:$B$208, "mmm-yy"), [2]GASOLINE!$C$5:$C$208, "Not Found")</f>
        <v>8005.1674163946491</v>
      </c>
      <c r="N2642" cm="1">
        <f t="array" ref="N2642">_xlfn.XLOOKUP(TEXT(A2642, "mmm-yy"), TEXT([2]RUNS!$B$5:$B$208, "mmm-yy"), [2]RUNS!$BM$5:$BM$208, "Not Found")</f>
        <v>0.84223084101246393</v>
      </c>
    </row>
    <row r="2643" spans="1:14" x14ac:dyDescent="0.25">
      <c r="A2643" s="1">
        <f>'[1]Global_Spot Prices'!$B3952</f>
        <v>45702</v>
      </c>
      <c r="B2643">
        <f>_xlfn.XLOOKUP(A2643,'[1]Global_Spot Prices'!$B:$B,'[1]Global_Spot Prices'!$BS:$BS)</f>
        <v>7.7999999999999972</v>
      </c>
      <c r="C2643">
        <f>_xlfn.XLOOKUP(A2643,'[1]Global_Spot Prices'!$B:$B,'[1]Global_Spot Prices'!$E:$E)</f>
        <v>77.75</v>
      </c>
      <c r="D2643">
        <f>_xlfn.XLOOKUP(A2643,'[1]Global_Spot Prices'!$B:$B,'[1]Global_Spot Prices'!$D:$D)</f>
        <v>74.864999999999995</v>
      </c>
      <c r="E2643">
        <f>_xlfn.XLOOKUP(A2643,'[1]Global_Spot Prices'!$B:$B,'[1]Global_Spot Prices'!$H:$H)</f>
        <v>73.290000000000006</v>
      </c>
      <c r="F2643">
        <f>_xlfn.XLOOKUP(A2643,'[1]Global_Spot Prices'!$B:$B,'[1]Global_Spot Prices'!$I:$I)</f>
        <v>85.55</v>
      </c>
      <c r="G2643" cm="1">
        <f t="array" ref="G2643">_xlfn.XLOOKUP(TEXT(A2643, "mmm-yy"), TEXT([2]RUNS!$B$5:$B$208, "mmm-yy"), [2]RUNS!$D$5:$D$208, "Not Found")</f>
        <v>30952.741414964967</v>
      </c>
      <c r="H2643" cm="1">
        <f t="array" ref="H2643">SUMPRODUCT(
    --(TEXT('[3]Global Weekly Stock (EWSuez'!$B$4:$B$2000,"mmm-yy")=TEXT(A2643,"mmm-yy")),
    '[3]Global Weekly Stock (EWSuez'!$E$4:$E$2000)
/
SUMPRODUCT(
    --(TEXT('[3]Global Weekly Stock (EWSuez'!$B$4:$B$2000,"mmm-yy")=TEXT(A2643,"mmm-yy"))
)</f>
        <v>16122.75</v>
      </c>
      <c r="I2643">
        <f>_xlfn.XLOOKUP(A2643,[1]ForwardDeriv!$D:$D,[1]ForwardDeriv!$AJ:$AJ)</f>
        <v>0.54999999999999716</v>
      </c>
      <c r="J2643" cm="1">
        <f t="array" ref="J2643">_xlfn.XLOOKUP(TEXT(A2643, "mmm-yy"), TEXT([2]GASOLINE!$B$5:$B$208, "mmm-yy"), [2]GASOLINE!$IR$5:$IR$208, "Not Found")</f>
        <v>-487.9261632037846</v>
      </c>
      <c r="K2643" cm="1">
        <f t="array" ref="K2643">_xlfn.XLOOKUP(TEXT(A2643, "mmm-yy"), TEXT([2]GASOLINE!$B$5:$B$208, "mmm-yy"), [2]GASOLINE!$IK$5:$IK$208, "Not Found")</f>
        <v>315.22611565493514</v>
      </c>
      <c r="L2643">
        <f t="shared" si="41"/>
        <v>0</v>
      </c>
      <c r="M2643" cm="1">
        <f t="array" ref="M2643">_xlfn.XLOOKUP(TEXT(A2643, "mmm-yy"), TEXT([2]GASOLINE!$B$5:$B$208, "mmm-yy"), [2]GASOLINE!$C$5:$C$208, "Not Found")</f>
        <v>8005.1674163946491</v>
      </c>
      <c r="N2643" cm="1">
        <f t="array" ref="N2643">_xlfn.XLOOKUP(TEXT(A2643, "mmm-yy"), TEXT([2]RUNS!$B$5:$B$208, "mmm-yy"), [2]RUNS!$BM$5:$BM$208, "Not Found")</f>
        <v>0.84223084101246393</v>
      </c>
    </row>
    <row r="2644" spans="1:14" x14ac:dyDescent="0.25">
      <c r="A2644" s="1">
        <f>'[1]Global_Spot Prices'!$B3953</f>
        <v>45705</v>
      </c>
      <c r="B2644">
        <f>_xlfn.XLOOKUP(A2644,'[1]Global_Spot Prices'!$B:$B,'[1]Global_Spot Prices'!$BS:$BS)</f>
        <v>8.7400000000000091</v>
      </c>
      <c r="C2644">
        <f>_xlfn.XLOOKUP(A2644,'[1]Global_Spot Prices'!$B:$B,'[1]Global_Spot Prices'!$E:$E)</f>
        <v>77.55</v>
      </c>
      <c r="D2644">
        <f>_xlfn.XLOOKUP(A2644,'[1]Global_Spot Prices'!$B:$B,'[1]Global_Spot Prices'!$D:$D)</f>
        <v>75.25</v>
      </c>
      <c r="E2644">
        <f>_xlfn.XLOOKUP(A2644,'[1]Global_Spot Prices'!$B:$B,'[1]Global_Spot Prices'!$H:$H)</f>
        <v>72.849999999999994</v>
      </c>
      <c r="F2644">
        <f>_xlfn.XLOOKUP(A2644,'[1]Global_Spot Prices'!$B:$B,'[1]Global_Spot Prices'!$I:$I)</f>
        <v>86.29</v>
      </c>
      <c r="G2644" cm="1">
        <f t="array" ref="G2644">_xlfn.XLOOKUP(TEXT(A2644, "mmm-yy"), TEXT([2]RUNS!$B$5:$B$208, "mmm-yy"), [2]RUNS!$D$5:$D$208, "Not Found")</f>
        <v>30952.741414964967</v>
      </c>
      <c r="H2644" cm="1">
        <f t="array" ref="H2644">SUMPRODUCT(
    --(TEXT('[3]Global Weekly Stock (EWSuez'!$B$4:$B$2000,"mmm-yy")=TEXT(A2644,"mmm-yy")),
    '[3]Global Weekly Stock (EWSuez'!$E$4:$E$2000)
/
SUMPRODUCT(
    --(TEXT('[3]Global Weekly Stock (EWSuez'!$B$4:$B$2000,"mmm-yy")=TEXT(A2644,"mmm-yy"))
)</f>
        <v>16122.75</v>
      </c>
      <c r="I2644">
        <f>_xlfn.XLOOKUP(A2644,[1]ForwardDeriv!$D:$D,[1]ForwardDeriv!$AJ:$AJ)</f>
        <v>0.68999999999999773</v>
      </c>
      <c r="J2644" cm="1">
        <f t="array" ref="J2644">_xlfn.XLOOKUP(TEXT(A2644, "mmm-yy"), TEXT([2]GASOLINE!$B$5:$B$208, "mmm-yy"), [2]GASOLINE!$IR$5:$IR$208, "Not Found")</f>
        <v>-487.9261632037846</v>
      </c>
      <c r="K2644" cm="1">
        <f t="array" ref="K2644">_xlfn.XLOOKUP(TEXT(A2644, "mmm-yy"), TEXT([2]GASOLINE!$B$5:$B$208, "mmm-yy"), [2]GASOLINE!$IK$5:$IK$208, "Not Found")</f>
        <v>315.22611565493514</v>
      </c>
      <c r="L2644">
        <f t="shared" si="41"/>
        <v>0</v>
      </c>
      <c r="M2644" cm="1">
        <f t="array" ref="M2644">_xlfn.XLOOKUP(TEXT(A2644, "mmm-yy"), TEXT([2]GASOLINE!$B$5:$B$208, "mmm-yy"), [2]GASOLINE!$C$5:$C$208, "Not Found")</f>
        <v>8005.1674163946491</v>
      </c>
      <c r="N2644" cm="1">
        <f t="array" ref="N2644">_xlfn.XLOOKUP(TEXT(A2644, "mmm-yy"), TEXT([2]RUNS!$B$5:$B$208, "mmm-yy"), [2]RUNS!$BM$5:$BM$208, "Not Found")</f>
        <v>0.84223084101246393</v>
      </c>
    </row>
    <row r="2645" spans="1:14" x14ac:dyDescent="0.25">
      <c r="A2645" s="1">
        <f>'[1]Global_Spot Prices'!$B3954</f>
        <v>45706</v>
      </c>
      <c r="B2645">
        <f>_xlfn.XLOOKUP(A2645,'[1]Global_Spot Prices'!$B:$B,'[1]Global_Spot Prices'!$BS:$BS)</f>
        <v>8.7099999999999937</v>
      </c>
      <c r="C2645">
        <f>_xlfn.XLOOKUP(A2645,'[1]Global_Spot Prices'!$B:$B,'[1]Global_Spot Prices'!$E:$E)</f>
        <v>77.89</v>
      </c>
      <c r="D2645">
        <f>_xlfn.XLOOKUP(A2645,'[1]Global_Spot Prices'!$B:$B,'[1]Global_Spot Prices'!$D:$D)</f>
        <v>75.709999999999994</v>
      </c>
      <c r="E2645">
        <f>_xlfn.XLOOKUP(A2645,'[1]Global_Spot Prices'!$B:$B,'[1]Global_Spot Prices'!$H:$H)</f>
        <v>72.27</v>
      </c>
      <c r="F2645">
        <f>_xlfn.XLOOKUP(A2645,'[1]Global_Spot Prices'!$B:$B,'[1]Global_Spot Prices'!$I:$I)</f>
        <v>86.6</v>
      </c>
      <c r="G2645" cm="1">
        <f t="array" ref="G2645">_xlfn.XLOOKUP(TEXT(A2645, "mmm-yy"), TEXT([2]RUNS!$B$5:$B$208, "mmm-yy"), [2]RUNS!$D$5:$D$208, "Not Found")</f>
        <v>30952.741414964967</v>
      </c>
      <c r="H2645" cm="1">
        <f t="array" ref="H2645">SUMPRODUCT(
    --(TEXT('[3]Global Weekly Stock (EWSuez'!$B$4:$B$2000,"mmm-yy")=TEXT(A2645,"mmm-yy")),
    '[3]Global Weekly Stock (EWSuez'!$E$4:$E$2000)
/
SUMPRODUCT(
    --(TEXT('[3]Global Weekly Stock (EWSuez'!$B$4:$B$2000,"mmm-yy")=TEXT(A2645,"mmm-yy"))
)</f>
        <v>16122.75</v>
      </c>
      <c r="I2645">
        <f>_xlfn.XLOOKUP(A2645,[1]ForwardDeriv!$D:$D,[1]ForwardDeriv!$AJ:$AJ)</f>
        <v>0.65000000000000568</v>
      </c>
      <c r="J2645" cm="1">
        <f t="array" ref="J2645">_xlfn.XLOOKUP(TEXT(A2645, "mmm-yy"), TEXT([2]GASOLINE!$B$5:$B$208, "mmm-yy"), [2]GASOLINE!$IR$5:$IR$208, "Not Found")</f>
        <v>-487.9261632037846</v>
      </c>
      <c r="K2645" cm="1">
        <f t="array" ref="K2645">_xlfn.XLOOKUP(TEXT(A2645, "mmm-yy"), TEXT([2]GASOLINE!$B$5:$B$208, "mmm-yy"), [2]GASOLINE!$IK$5:$IK$208, "Not Found")</f>
        <v>315.22611565493514</v>
      </c>
      <c r="L2645">
        <f t="shared" si="41"/>
        <v>0</v>
      </c>
      <c r="M2645" cm="1">
        <f t="array" ref="M2645">_xlfn.XLOOKUP(TEXT(A2645, "mmm-yy"), TEXT([2]GASOLINE!$B$5:$B$208, "mmm-yy"), [2]GASOLINE!$C$5:$C$208, "Not Found")</f>
        <v>8005.1674163946491</v>
      </c>
      <c r="N2645" cm="1">
        <f t="array" ref="N2645">_xlfn.XLOOKUP(TEXT(A2645, "mmm-yy"), TEXT([2]RUNS!$B$5:$B$208, "mmm-yy"), [2]RUNS!$BM$5:$BM$208, "Not Found")</f>
        <v>0.84223084101246393</v>
      </c>
    </row>
    <row r="2646" spans="1:14" x14ac:dyDescent="0.25">
      <c r="A2646" s="1">
        <f>'[1]Global_Spot Prices'!$B3955</f>
        <v>45707</v>
      </c>
      <c r="B2646">
        <f>_xlfn.XLOOKUP(A2646,'[1]Global_Spot Prices'!$B:$B,'[1]Global_Spot Prices'!$BS:$BS)</f>
        <v>7.6500000000000057</v>
      </c>
      <c r="C2646">
        <f>_xlfn.XLOOKUP(A2646,'[1]Global_Spot Prices'!$B:$B,'[1]Global_Spot Prices'!$E:$E)</f>
        <v>79.39</v>
      </c>
      <c r="D2646">
        <f>_xlfn.XLOOKUP(A2646,'[1]Global_Spot Prices'!$B:$B,'[1]Global_Spot Prices'!$D:$D)</f>
        <v>76.540000000000006</v>
      </c>
      <c r="E2646">
        <f>_xlfn.XLOOKUP(A2646,'[1]Global_Spot Prices'!$B:$B,'[1]Global_Spot Prices'!$H:$H)</f>
        <v>72.3</v>
      </c>
      <c r="F2646">
        <f>_xlfn.XLOOKUP(A2646,'[1]Global_Spot Prices'!$B:$B,'[1]Global_Spot Prices'!$I:$I)</f>
        <v>87.04</v>
      </c>
      <c r="G2646" cm="1">
        <f t="array" ref="G2646">_xlfn.XLOOKUP(TEXT(A2646, "mmm-yy"), TEXT([2]RUNS!$B$5:$B$208, "mmm-yy"), [2]RUNS!$D$5:$D$208, "Not Found")</f>
        <v>30952.741414964967</v>
      </c>
      <c r="H2646" cm="1">
        <f t="array" ref="H2646">SUMPRODUCT(
    --(TEXT('[3]Global Weekly Stock (EWSuez'!$B$4:$B$2000,"mmm-yy")=TEXT(A2646,"mmm-yy")),
    '[3]Global Weekly Stock (EWSuez'!$E$4:$E$2000)
/
SUMPRODUCT(
    --(TEXT('[3]Global Weekly Stock (EWSuez'!$B$4:$B$2000,"mmm-yy")=TEXT(A2646,"mmm-yy"))
)</f>
        <v>16122.75</v>
      </c>
      <c r="I2646">
        <f>_xlfn.XLOOKUP(A2646,[1]ForwardDeriv!$D:$D,[1]ForwardDeriv!$AJ:$AJ)</f>
        <v>0.71999999999999886</v>
      </c>
      <c r="J2646" cm="1">
        <f t="array" ref="J2646">_xlfn.XLOOKUP(TEXT(A2646, "mmm-yy"), TEXT([2]GASOLINE!$B$5:$B$208, "mmm-yy"), [2]GASOLINE!$IR$5:$IR$208, "Not Found")</f>
        <v>-487.9261632037846</v>
      </c>
      <c r="K2646" cm="1">
        <f t="array" ref="K2646">_xlfn.XLOOKUP(TEXT(A2646, "mmm-yy"), TEXT([2]GASOLINE!$B$5:$B$208, "mmm-yy"), [2]GASOLINE!$IK$5:$IK$208, "Not Found")</f>
        <v>315.22611565493514</v>
      </c>
      <c r="L2646">
        <f t="shared" si="41"/>
        <v>0</v>
      </c>
      <c r="M2646" cm="1">
        <f t="array" ref="M2646">_xlfn.XLOOKUP(TEXT(A2646, "mmm-yy"), TEXT([2]GASOLINE!$B$5:$B$208, "mmm-yy"), [2]GASOLINE!$C$5:$C$208, "Not Found")</f>
        <v>8005.1674163946491</v>
      </c>
      <c r="N2646" cm="1">
        <f t="array" ref="N2646">_xlfn.XLOOKUP(TEXT(A2646, "mmm-yy"), TEXT([2]RUNS!$B$5:$B$208, "mmm-yy"), [2]RUNS!$BM$5:$BM$208, "Not Found")</f>
        <v>0.84223084101246393</v>
      </c>
    </row>
    <row r="2647" spans="1:14" x14ac:dyDescent="0.25">
      <c r="A2647" s="1">
        <f>'[1]Global_Spot Prices'!$B3956</f>
        <v>45708</v>
      </c>
      <c r="B2647">
        <f>_xlfn.XLOOKUP(A2647,'[1]Global_Spot Prices'!$B:$B,'[1]Global_Spot Prices'!$BS:$BS)</f>
        <v>7.7750000000000057</v>
      </c>
      <c r="C2647">
        <f>_xlfn.XLOOKUP(A2647,'[1]Global_Spot Prices'!$B:$B,'[1]Global_Spot Prices'!$E:$E)</f>
        <v>78.944999999999993</v>
      </c>
      <c r="D2647">
        <f>_xlfn.XLOOKUP(A2647,'[1]Global_Spot Prices'!$B:$B,'[1]Global_Spot Prices'!$D:$D)</f>
        <v>76.98</v>
      </c>
      <c r="E2647">
        <f>_xlfn.XLOOKUP(A2647,'[1]Global_Spot Prices'!$B:$B,'[1]Global_Spot Prices'!$H:$H)</f>
        <v>72.38</v>
      </c>
      <c r="F2647">
        <f>_xlfn.XLOOKUP(A2647,'[1]Global_Spot Prices'!$B:$B,'[1]Global_Spot Prices'!$I:$I)</f>
        <v>86.72</v>
      </c>
      <c r="G2647" cm="1">
        <f t="array" ref="G2647">_xlfn.XLOOKUP(TEXT(A2647, "mmm-yy"), TEXT([2]RUNS!$B$5:$B$208, "mmm-yy"), [2]RUNS!$D$5:$D$208, "Not Found")</f>
        <v>30952.741414964967</v>
      </c>
      <c r="H2647" cm="1">
        <f t="array" ref="H2647">SUMPRODUCT(
    --(TEXT('[3]Global Weekly Stock (EWSuez'!$B$4:$B$2000,"mmm-yy")=TEXT(A2647,"mmm-yy")),
    '[3]Global Weekly Stock (EWSuez'!$E$4:$E$2000)
/
SUMPRODUCT(
    --(TEXT('[3]Global Weekly Stock (EWSuez'!$B$4:$B$2000,"mmm-yy")=TEXT(A2647,"mmm-yy"))
)</f>
        <v>16122.75</v>
      </c>
      <c r="I2647">
        <f>_xlfn.XLOOKUP(A2647,[1]ForwardDeriv!$D:$D,[1]ForwardDeriv!$AJ:$AJ)</f>
        <v>0.67999999999999261</v>
      </c>
      <c r="J2647" cm="1">
        <f t="array" ref="J2647">_xlfn.XLOOKUP(TEXT(A2647, "mmm-yy"), TEXT([2]GASOLINE!$B$5:$B$208, "mmm-yy"), [2]GASOLINE!$IR$5:$IR$208, "Not Found")</f>
        <v>-487.9261632037846</v>
      </c>
      <c r="K2647" cm="1">
        <f t="array" ref="K2647">_xlfn.XLOOKUP(TEXT(A2647, "mmm-yy"), TEXT([2]GASOLINE!$B$5:$B$208, "mmm-yy"), [2]GASOLINE!$IK$5:$IK$208, "Not Found")</f>
        <v>315.22611565493514</v>
      </c>
      <c r="L2647">
        <f t="shared" si="41"/>
        <v>0</v>
      </c>
      <c r="M2647" cm="1">
        <f t="array" ref="M2647">_xlfn.XLOOKUP(TEXT(A2647, "mmm-yy"), TEXT([2]GASOLINE!$B$5:$B$208, "mmm-yy"), [2]GASOLINE!$C$5:$C$208, "Not Found")</f>
        <v>8005.1674163946491</v>
      </c>
      <c r="N2647" cm="1">
        <f t="array" ref="N2647">_xlfn.XLOOKUP(TEXT(A2647, "mmm-yy"), TEXT([2]RUNS!$B$5:$B$208, "mmm-yy"), [2]RUNS!$BM$5:$BM$208, "Not Found")</f>
        <v>0.84223084101246393</v>
      </c>
    </row>
    <row r="2648" spans="1:14" x14ac:dyDescent="0.25">
      <c r="A2648" s="1">
        <f>'[1]Global_Spot Prices'!$B3957</f>
        <v>45709</v>
      </c>
      <c r="B2648">
        <f>_xlfn.XLOOKUP(A2648,'[1]Global_Spot Prices'!$B:$B,'[1]Global_Spot Prices'!$BS:$BS)</f>
        <v>6.6799999999999926</v>
      </c>
      <c r="C2648">
        <f>_xlfn.XLOOKUP(A2648,'[1]Global_Spot Prices'!$B:$B,'[1]Global_Spot Prices'!$E:$E)</f>
        <v>78.84</v>
      </c>
      <c r="D2648">
        <f>_xlfn.XLOOKUP(A2648,'[1]Global_Spot Prices'!$B:$B,'[1]Global_Spot Prices'!$D:$D)</f>
        <v>75.015000000000001</v>
      </c>
      <c r="E2648">
        <f>_xlfn.XLOOKUP(A2648,'[1]Global_Spot Prices'!$B:$B,'[1]Global_Spot Prices'!$H:$H)</f>
        <v>72.239999999999995</v>
      </c>
      <c r="F2648">
        <f>_xlfn.XLOOKUP(A2648,'[1]Global_Spot Prices'!$B:$B,'[1]Global_Spot Prices'!$I:$I)</f>
        <v>85.52</v>
      </c>
      <c r="G2648" cm="1">
        <f t="array" ref="G2648">_xlfn.XLOOKUP(TEXT(A2648, "mmm-yy"), TEXT([2]RUNS!$B$5:$B$208, "mmm-yy"), [2]RUNS!$D$5:$D$208, "Not Found")</f>
        <v>30952.741414964967</v>
      </c>
      <c r="H2648" cm="1">
        <f t="array" ref="H2648">SUMPRODUCT(
    --(TEXT('[3]Global Weekly Stock (EWSuez'!$B$4:$B$2000,"mmm-yy")=TEXT(A2648,"mmm-yy")),
    '[3]Global Weekly Stock (EWSuez'!$E$4:$E$2000)
/
SUMPRODUCT(
    --(TEXT('[3]Global Weekly Stock (EWSuez'!$B$4:$B$2000,"mmm-yy")=TEXT(A2648,"mmm-yy"))
)</f>
        <v>16122.75</v>
      </c>
      <c r="I2648">
        <f>_xlfn.XLOOKUP(A2648,[1]ForwardDeriv!$D:$D,[1]ForwardDeriv!$AJ:$AJ)</f>
        <v>0.52000000000001023</v>
      </c>
      <c r="J2648" cm="1">
        <f t="array" ref="J2648">_xlfn.XLOOKUP(TEXT(A2648, "mmm-yy"), TEXT([2]GASOLINE!$B$5:$B$208, "mmm-yy"), [2]GASOLINE!$IR$5:$IR$208, "Not Found")</f>
        <v>-487.9261632037846</v>
      </c>
      <c r="K2648" cm="1">
        <f t="array" ref="K2648">_xlfn.XLOOKUP(TEXT(A2648, "mmm-yy"), TEXT([2]GASOLINE!$B$5:$B$208, "mmm-yy"), [2]GASOLINE!$IK$5:$IK$208, "Not Found")</f>
        <v>315.22611565493514</v>
      </c>
      <c r="L2648">
        <f t="shared" si="41"/>
        <v>0</v>
      </c>
      <c r="M2648" cm="1">
        <f t="array" ref="M2648">_xlfn.XLOOKUP(TEXT(A2648, "mmm-yy"), TEXT([2]GASOLINE!$B$5:$B$208, "mmm-yy"), [2]GASOLINE!$C$5:$C$208, "Not Found")</f>
        <v>8005.1674163946491</v>
      </c>
      <c r="N2648" cm="1">
        <f t="array" ref="N2648">_xlfn.XLOOKUP(TEXT(A2648, "mmm-yy"), TEXT([2]RUNS!$B$5:$B$208, "mmm-yy"), [2]RUNS!$BM$5:$BM$208, "Not Found")</f>
        <v>0.84223084101246393</v>
      </c>
    </row>
    <row r="2649" spans="1:14" x14ac:dyDescent="0.25">
      <c r="A2649" s="1">
        <f>'[1]Global_Spot Prices'!$B3958</f>
        <v>45712</v>
      </c>
      <c r="B2649">
        <f>_xlfn.XLOOKUP(A2649,'[1]Global_Spot Prices'!$B:$B,'[1]Global_Spot Prices'!$BS:$BS)</f>
        <v>7.4300000000000068</v>
      </c>
      <c r="C2649">
        <f>_xlfn.XLOOKUP(A2649,'[1]Global_Spot Prices'!$B:$B,'[1]Global_Spot Prices'!$E:$E)</f>
        <v>77</v>
      </c>
      <c r="D2649">
        <f>_xlfn.XLOOKUP(A2649,'[1]Global_Spot Prices'!$B:$B,'[1]Global_Spot Prices'!$D:$D)</f>
        <v>74.564999999999998</v>
      </c>
      <c r="E2649">
        <f>_xlfn.XLOOKUP(A2649,'[1]Global_Spot Prices'!$B:$B,'[1]Global_Spot Prices'!$H:$H)</f>
        <v>71.33</v>
      </c>
      <c r="F2649">
        <f>_xlfn.XLOOKUP(A2649,'[1]Global_Spot Prices'!$B:$B,'[1]Global_Spot Prices'!$I:$I)</f>
        <v>84.43</v>
      </c>
      <c r="G2649" cm="1">
        <f t="array" ref="G2649">_xlfn.XLOOKUP(TEXT(A2649, "mmm-yy"), TEXT([2]RUNS!$B$5:$B$208, "mmm-yy"), [2]RUNS!$D$5:$D$208, "Not Found")</f>
        <v>30952.741414964967</v>
      </c>
      <c r="H2649" cm="1">
        <f t="array" ref="H2649">SUMPRODUCT(
    --(TEXT('[3]Global Weekly Stock (EWSuez'!$B$4:$B$2000,"mmm-yy")=TEXT(A2649,"mmm-yy")),
    '[3]Global Weekly Stock (EWSuez'!$E$4:$E$2000)
/
SUMPRODUCT(
    --(TEXT('[3]Global Weekly Stock (EWSuez'!$B$4:$B$2000,"mmm-yy")=TEXT(A2649,"mmm-yy"))
)</f>
        <v>16122.75</v>
      </c>
      <c r="I2649">
        <f>_xlfn.XLOOKUP(A2649,[1]ForwardDeriv!$D:$D,[1]ForwardDeriv!$AJ:$AJ)</f>
        <v>0.65999999999999659</v>
      </c>
      <c r="J2649" cm="1">
        <f t="array" ref="J2649">_xlfn.XLOOKUP(TEXT(A2649, "mmm-yy"), TEXT([2]GASOLINE!$B$5:$B$208, "mmm-yy"), [2]GASOLINE!$IR$5:$IR$208, "Not Found")</f>
        <v>-487.9261632037846</v>
      </c>
      <c r="K2649" cm="1">
        <f t="array" ref="K2649">_xlfn.XLOOKUP(TEXT(A2649, "mmm-yy"), TEXT([2]GASOLINE!$B$5:$B$208, "mmm-yy"), [2]GASOLINE!$IK$5:$IK$208, "Not Found")</f>
        <v>315.22611565493514</v>
      </c>
      <c r="L2649">
        <f t="shared" si="41"/>
        <v>0</v>
      </c>
      <c r="M2649" cm="1">
        <f t="array" ref="M2649">_xlfn.XLOOKUP(TEXT(A2649, "mmm-yy"), TEXT([2]GASOLINE!$B$5:$B$208, "mmm-yy"), [2]GASOLINE!$C$5:$C$208, "Not Found")</f>
        <v>8005.1674163946491</v>
      </c>
      <c r="N2649" cm="1">
        <f t="array" ref="N2649">_xlfn.XLOOKUP(TEXT(A2649, "mmm-yy"), TEXT([2]RUNS!$B$5:$B$208, "mmm-yy"), [2]RUNS!$BM$5:$BM$208, "Not Found")</f>
        <v>0.84223084101246393</v>
      </c>
    </row>
    <row r="2650" spans="1:14" x14ac:dyDescent="0.25">
      <c r="A2650" s="1">
        <f>'[1]Global_Spot Prices'!$B3959</f>
        <v>45713</v>
      </c>
      <c r="B2650">
        <f>_xlfn.XLOOKUP(A2650,'[1]Global_Spot Prices'!$B:$B,'[1]Global_Spot Prices'!$BS:$BS)</f>
        <v>6.8250000000000028</v>
      </c>
      <c r="C2650">
        <f ca="1">_xlfn.XLOOKUP(A2650,'[1]Global_Spot Prices'!$B:$B,'[1]Global_Spot Prices'!$E:$E)</f>
        <v>77.795000000000002</v>
      </c>
      <c r="D2650">
        <f>_xlfn.XLOOKUP(A2650,'[1]Global_Spot Prices'!$B:$B,'[1]Global_Spot Prices'!$D:$D)</f>
        <v>72.900000000000006</v>
      </c>
      <c r="E2650">
        <f>_xlfn.XLOOKUP(A2650,'[1]Global_Spot Prices'!$B:$B,'[1]Global_Spot Prices'!$H:$H)</f>
        <v>72.22</v>
      </c>
      <c r="F2650">
        <f>_xlfn.XLOOKUP(A2650,'[1]Global_Spot Prices'!$B:$B,'[1]Global_Spot Prices'!$I:$I)</f>
        <v>84.62</v>
      </c>
      <c r="G2650" cm="1">
        <f t="array" ref="G2650">_xlfn.XLOOKUP(TEXT(A2650, "mmm-yy"), TEXT([2]RUNS!$B$5:$B$208, "mmm-yy"), [2]RUNS!$D$5:$D$208, "Not Found")</f>
        <v>30952.741414964967</v>
      </c>
      <c r="H2650" cm="1">
        <f t="array" ref="H2650">SUMPRODUCT(
    --(TEXT('[3]Global Weekly Stock (EWSuez'!$B$4:$B$2000,"mmm-yy")=TEXT(A2650,"mmm-yy")),
    '[3]Global Weekly Stock (EWSuez'!$E$4:$E$2000)
/
SUMPRODUCT(
    --(TEXT('[3]Global Weekly Stock (EWSuez'!$B$4:$B$2000,"mmm-yy")=TEXT(A2650,"mmm-yy"))
)</f>
        <v>16122.75</v>
      </c>
      <c r="I2650">
        <f>_xlfn.XLOOKUP(A2650,[1]ForwardDeriv!$D:$D,[1]ForwardDeriv!$AJ:$AJ)</f>
        <v>0.63000000000000966</v>
      </c>
      <c r="J2650" cm="1">
        <f t="array" ref="J2650">_xlfn.XLOOKUP(TEXT(A2650, "mmm-yy"), TEXT([2]GASOLINE!$B$5:$B$208, "mmm-yy"), [2]GASOLINE!$IR$5:$IR$208, "Not Found")</f>
        <v>-487.9261632037846</v>
      </c>
      <c r="K2650" cm="1">
        <f t="array" ref="K2650">_xlfn.XLOOKUP(TEXT(A2650, "mmm-yy"), TEXT([2]GASOLINE!$B$5:$B$208, "mmm-yy"), [2]GASOLINE!$IK$5:$IK$208, "Not Found")</f>
        <v>315.22611565493514</v>
      </c>
      <c r="L2650">
        <f t="shared" si="41"/>
        <v>0</v>
      </c>
      <c r="M2650" cm="1">
        <f t="array" ref="M2650">_xlfn.XLOOKUP(TEXT(A2650, "mmm-yy"), TEXT([2]GASOLINE!$B$5:$B$208, "mmm-yy"), [2]GASOLINE!$C$5:$C$208, "Not Found")</f>
        <v>8005.1674163946491</v>
      </c>
      <c r="N2650" cm="1">
        <f t="array" ref="N2650">_xlfn.XLOOKUP(TEXT(A2650, "mmm-yy"), TEXT([2]RUNS!$B$5:$B$208, "mmm-yy"), [2]RUNS!$BM$5:$BM$208, "Not Found")</f>
        <v>0.84223084101246393</v>
      </c>
    </row>
    <row r="2651" spans="1:14" x14ac:dyDescent="0.25">
      <c r="A2651" s="1">
        <f>'[1]Global_Spot Prices'!$B3960</f>
        <v>45714</v>
      </c>
      <c r="B2651">
        <f>_xlfn.XLOOKUP(A2651,'[1]Global_Spot Prices'!$B:$B,'[1]Global_Spot Prices'!$BS:$BS)</f>
        <v>6.2599999999999909</v>
      </c>
      <c r="C2651">
        <f>_xlfn.XLOOKUP(A2651,'[1]Global_Spot Prices'!$B:$B,'[1]Global_Spot Prices'!$E:$E)</f>
        <v>76.290000000000006</v>
      </c>
      <c r="D2651">
        <f>_xlfn.XLOOKUP(A2651,'[1]Global_Spot Prices'!$B:$B,'[1]Global_Spot Prices'!$D:$D)</f>
        <v>72.86</v>
      </c>
      <c r="E2651">
        <f>_xlfn.XLOOKUP(A2651,'[1]Global_Spot Prices'!$B:$B,'[1]Global_Spot Prices'!$H:$H)</f>
        <v>71.599999999999994</v>
      </c>
      <c r="F2651">
        <f>_xlfn.XLOOKUP(A2651,'[1]Global_Spot Prices'!$B:$B,'[1]Global_Spot Prices'!$I:$I)</f>
        <v>82.55</v>
      </c>
      <c r="G2651" cm="1">
        <f t="array" ref="G2651">_xlfn.XLOOKUP(TEXT(A2651, "mmm-yy"), TEXT([2]RUNS!$B$5:$B$208, "mmm-yy"), [2]RUNS!$D$5:$D$208, "Not Found")</f>
        <v>30952.741414964967</v>
      </c>
      <c r="H2651" cm="1">
        <f t="array" ref="H2651">SUMPRODUCT(
    --(TEXT('[3]Global Weekly Stock (EWSuez'!$B$4:$B$2000,"mmm-yy")=TEXT(A2651,"mmm-yy")),
    '[3]Global Weekly Stock (EWSuez'!$E$4:$E$2000)
/
SUMPRODUCT(
    --(TEXT('[3]Global Weekly Stock (EWSuez'!$B$4:$B$2000,"mmm-yy")=TEXT(A2651,"mmm-yy"))
)</f>
        <v>16122.75</v>
      </c>
      <c r="I2651">
        <f>_xlfn.XLOOKUP(A2651,[1]ForwardDeriv!$D:$D,[1]ForwardDeriv!$AJ:$AJ)</f>
        <v>0.53000000000000114</v>
      </c>
      <c r="J2651" cm="1">
        <f t="array" ref="J2651">_xlfn.XLOOKUP(TEXT(A2651, "mmm-yy"), TEXT([2]GASOLINE!$B$5:$B$208, "mmm-yy"), [2]GASOLINE!$IR$5:$IR$208, "Not Found")</f>
        <v>-487.9261632037846</v>
      </c>
      <c r="K2651" cm="1">
        <f t="array" ref="K2651">_xlfn.XLOOKUP(TEXT(A2651, "mmm-yy"), TEXT([2]GASOLINE!$B$5:$B$208, "mmm-yy"), [2]GASOLINE!$IK$5:$IK$208, "Not Found")</f>
        <v>315.22611565493514</v>
      </c>
      <c r="L2651">
        <f t="shared" si="41"/>
        <v>0</v>
      </c>
      <c r="M2651" cm="1">
        <f t="array" ref="M2651">_xlfn.XLOOKUP(TEXT(A2651, "mmm-yy"), TEXT([2]GASOLINE!$B$5:$B$208, "mmm-yy"), [2]GASOLINE!$C$5:$C$208, "Not Found")</f>
        <v>8005.1674163946491</v>
      </c>
      <c r="N2651" cm="1">
        <f t="array" ref="N2651">_xlfn.XLOOKUP(TEXT(A2651, "mmm-yy"), TEXT([2]RUNS!$B$5:$B$208, "mmm-yy"), [2]RUNS!$BM$5:$BM$208, "Not Found")</f>
        <v>0.84223084101246393</v>
      </c>
    </row>
    <row r="2652" spans="1:14" x14ac:dyDescent="0.25">
      <c r="A2652" s="1">
        <f>'[1]Global_Spot Prices'!$B3961</f>
        <v>45715</v>
      </c>
      <c r="B2652">
        <f>_xlfn.XLOOKUP(A2652,'[1]Global_Spot Prices'!$B:$B,'[1]Global_Spot Prices'!$BS:$BS)</f>
        <v>5.9399999999999977</v>
      </c>
      <c r="C2652">
        <f>_xlfn.XLOOKUP(A2652,'[1]Global_Spot Prices'!$B:$B,'[1]Global_Spot Prices'!$E:$E)</f>
        <v>76</v>
      </c>
      <c r="D2652">
        <f>_xlfn.XLOOKUP(A2652,'[1]Global_Spot Prices'!$B:$B,'[1]Global_Spot Prices'!$D:$D)</f>
        <v>73.995000000000005</v>
      </c>
      <c r="E2652">
        <f>_xlfn.XLOOKUP(A2652,'[1]Global_Spot Prices'!$B:$B,'[1]Global_Spot Prices'!$H:$H)</f>
        <v>71.34</v>
      </c>
      <c r="F2652">
        <f>_xlfn.XLOOKUP(A2652,'[1]Global_Spot Prices'!$B:$B,'[1]Global_Spot Prices'!$I:$I)</f>
        <v>81.94</v>
      </c>
      <c r="G2652" cm="1">
        <f t="array" ref="G2652">_xlfn.XLOOKUP(TEXT(A2652, "mmm-yy"), TEXT([2]RUNS!$B$5:$B$208, "mmm-yy"), [2]RUNS!$D$5:$D$208, "Not Found")</f>
        <v>30952.741414964967</v>
      </c>
      <c r="H2652" cm="1">
        <f t="array" ref="H2652">SUMPRODUCT(
    --(TEXT('[3]Global Weekly Stock (EWSuez'!$B$4:$B$2000,"mmm-yy")=TEXT(A2652,"mmm-yy")),
    '[3]Global Weekly Stock (EWSuez'!$E$4:$E$2000)
/
SUMPRODUCT(
    --(TEXT('[3]Global Weekly Stock (EWSuez'!$B$4:$B$2000,"mmm-yy")=TEXT(A2652,"mmm-yy"))
)</f>
        <v>16122.75</v>
      </c>
      <c r="I2652">
        <f>_xlfn.XLOOKUP(A2652,[1]ForwardDeriv!$D:$D,[1]ForwardDeriv!$AJ:$AJ)</f>
        <v>0.61999999999999034</v>
      </c>
      <c r="J2652" cm="1">
        <f t="array" ref="J2652">_xlfn.XLOOKUP(TEXT(A2652, "mmm-yy"), TEXT([2]GASOLINE!$B$5:$B$208, "mmm-yy"), [2]GASOLINE!$IR$5:$IR$208, "Not Found")</f>
        <v>-487.9261632037846</v>
      </c>
      <c r="K2652" cm="1">
        <f t="array" ref="K2652">_xlfn.XLOOKUP(TEXT(A2652, "mmm-yy"), TEXT([2]GASOLINE!$B$5:$B$208, "mmm-yy"), [2]GASOLINE!$IK$5:$IK$208, "Not Found")</f>
        <v>315.22611565493514</v>
      </c>
      <c r="L2652">
        <f t="shared" si="41"/>
        <v>0</v>
      </c>
      <c r="M2652" cm="1">
        <f t="array" ref="M2652">_xlfn.XLOOKUP(TEXT(A2652, "mmm-yy"), TEXT([2]GASOLINE!$B$5:$B$208, "mmm-yy"), [2]GASOLINE!$C$5:$C$208, "Not Found")</f>
        <v>8005.1674163946491</v>
      </c>
      <c r="N2652" cm="1">
        <f t="array" ref="N2652">_xlfn.XLOOKUP(TEXT(A2652, "mmm-yy"), TEXT([2]RUNS!$B$5:$B$208, "mmm-yy"), [2]RUNS!$BM$5:$BM$208, "Not Found")</f>
        <v>0.84223084101246393</v>
      </c>
    </row>
    <row r="2653" spans="1:14" x14ac:dyDescent="0.25">
      <c r="A2653" s="1">
        <f>'[1]Global_Spot Prices'!$B3962</f>
        <v>45716</v>
      </c>
      <c r="B2653">
        <f>_xlfn.XLOOKUP(A2653,'[1]Global_Spot Prices'!$B:$B,'[1]Global_Spot Prices'!$BS:$BS)</f>
        <v>5.25</v>
      </c>
      <c r="C2653">
        <f ca="1">_xlfn.XLOOKUP(A2653,'[1]Global_Spot Prices'!$B:$B,'[1]Global_Spot Prices'!$E:$E)</f>
        <v>77.5</v>
      </c>
      <c r="D2653">
        <f>_xlfn.XLOOKUP(A2653,'[1]Global_Spot Prices'!$B:$B,'[1]Global_Spot Prices'!$D:$D)</f>
        <v>73.474999999999994</v>
      </c>
      <c r="E2653">
        <f>_xlfn.XLOOKUP(A2653,'[1]Global_Spot Prices'!$B:$B,'[1]Global_Spot Prices'!$H:$H)</f>
        <v>71.61</v>
      </c>
      <c r="F2653">
        <f>_xlfn.XLOOKUP(A2653,'[1]Global_Spot Prices'!$B:$B,'[1]Global_Spot Prices'!$I:$I)</f>
        <v>82.75</v>
      </c>
      <c r="G2653" cm="1">
        <f t="array" ref="G2653">_xlfn.XLOOKUP(TEXT(A2653, "mmm-yy"), TEXT([2]RUNS!$B$5:$B$208, "mmm-yy"), [2]RUNS!$D$5:$D$208, "Not Found")</f>
        <v>30952.741414964967</v>
      </c>
      <c r="H2653" cm="1">
        <f t="array" ref="H2653">SUMPRODUCT(
    --(TEXT('[3]Global Weekly Stock (EWSuez'!$B$4:$B$2000,"mmm-yy")=TEXT(A2653,"mmm-yy")),
    '[3]Global Weekly Stock (EWSuez'!$E$4:$E$2000)
/
SUMPRODUCT(
    --(TEXT('[3]Global Weekly Stock (EWSuez'!$B$4:$B$2000,"mmm-yy")=TEXT(A2653,"mmm-yy"))
)</f>
        <v>16122.75</v>
      </c>
      <c r="I2653">
        <f>_xlfn.XLOOKUP(A2653,[1]ForwardDeriv!$D:$D,[1]ForwardDeriv!$AJ:$AJ)</f>
        <v>0.6600000000000108</v>
      </c>
      <c r="J2653" cm="1">
        <f t="array" ref="J2653">_xlfn.XLOOKUP(TEXT(A2653, "mmm-yy"), TEXT([2]GASOLINE!$B$5:$B$208, "mmm-yy"), [2]GASOLINE!$IR$5:$IR$208, "Not Found")</f>
        <v>-487.9261632037846</v>
      </c>
      <c r="K2653" cm="1">
        <f t="array" ref="K2653">_xlfn.XLOOKUP(TEXT(A2653, "mmm-yy"), TEXT([2]GASOLINE!$B$5:$B$208, "mmm-yy"), [2]GASOLINE!$IK$5:$IK$208, "Not Found")</f>
        <v>315.22611565493514</v>
      </c>
      <c r="L2653">
        <f t="shared" si="41"/>
        <v>0</v>
      </c>
      <c r="M2653" cm="1">
        <f t="array" ref="M2653">_xlfn.XLOOKUP(TEXT(A2653, "mmm-yy"), TEXT([2]GASOLINE!$B$5:$B$208, "mmm-yy"), [2]GASOLINE!$C$5:$C$208, "Not Found")</f>
        <v>8005.1674163946491</v>
      </c>
      <c r="N2653" cm="1">
        <f t="array" ref="N2653">_xlfn.XLOOKUP(TEXT(A2653, "mmm-yy"), TEXT([2]RUNS!$B$5:$B$208, "mmm-yy"), [2]RUNS!$BM$5:$BM$208, "Not Found")</f>
        <v>0.84223084101246393</v>
      </c>
    </row>
    <row r="2654" spans="1:14" x14ac:dyDescent="0.25">
      <c r="A2654" s="1">
        <f>'[1]Global_Spot Prices'!$B3963</f>
        <v>45719</v>
      </c>
      <c r="B2654">
        <f>_xlfn.XLOOKUP(A2654,'[1]Global_Spot Prices'!$B:$B,'[1]Global_Spot Prices'!$BS:$BS)</f>
        <v>8.9500000000000028</v>
      </c>
      <c r="C2654">
        <f>_xlfn.XLOOKUP(A2654,'[1]Global_Spot Prices'!$B:$B,'[1]Global_Spot Prices'!$E:$E)</f>
        <v>73.25</v>
      </c>
      <c r="D2654">
        <f>_xlfn.XLOOKUP(A2654,'[1]Global_Spot Prices'!$B:$B,'[1]Global_Spot Prices'!$D:$D)</f>
        <v>73.92</v>
      </c>
      <c r="E2654">
        <f>_xlfn.XLOOKUP(A2654,'[1]Global_Spot Prices'!$B:$B,'[1]Global_Spot Prices'!$H:$H)</f>
        <v>70.61</v>
      </c>
      <c r="F2654">
        <f>_xlfn.XLOOKUP(A2654,'[1]Global_Spot Prices'!$B:$B,'[1]Global_Spot Prices'!$I:$I)</f>
        <v>82.2</v>
      </c>
      <c r="G2654" cm="1">
        <f t="array" ref="G2654">_xlfn.XLOOKUP(TEXT(A2654, "mmm-yy"), TEXT([2]RUNS!$B$5:$B$208, "mmm-yy"), [2]RUNS!$D$5:$D$208, "Not Found")</f>
        <v>31075.167049584252</v>
      </c>
      <c r="H2654" cm="1">
        <f t="array" ref="H2654">SUMPRODUCT(
    --(TEXT('[3]Global Weekly Stock (EWSuez'!$B$4:$B$2000,"mmm-yy")=TEXT(A2654,"mmm-yy")),
    '[3]Global Weekly Stock (EWSuez'!$E$4:$E$2000)
/
SUMPRODUCT(
    --(TEXT('[3]Global Weekly Stock (EWSuez'!$B$4:$B$2000,"mmm-yy")=TEXT(A2654,"mmm-yy"))
)</f>
        <v>16039.5</v>
      </c>
      <c r="I2654">
        <f>_xlfn.XLOOKUP(A2654,[1]ForwardDeriv!$D:$D,[1]ForwardDeriv!$AJ:$AJ)</f>
        <v>0.70000000000000284</v>
      </c>
      <c r="J2654" cm="1">
        <f t="array" ref="J2654">_xlfn.XLOOKUP(TEXT(A2654, "mmm-yy"), TEXT([2]GASOLINE!$B$5:$B$208, "mmm-yy"), [2]GASOLINE!$IR$5:$IR$208, "Not Found")</f>
        <v>-336.15846097684653</v>
      </c>
      <c r="K2654" cm="1">
        <f t="array" ref="K2654">_xlfn.XLOOKUP(TEXT(A2654, "mmm-yy"), TEXT([2]GASOLINE!$B$5:$B$208, "mmm-yy"), [2]GASOLINE!$IK$5:$IK$208, "Not Found")</f>
        <v>315.90567811073726</v>
      </c>
      <c r="L2654">
        <f t="shared" si="41"/>
        <v>0</v>
      </c>
      <c r="M2654" cm="1">
        <f t="array" ref="M2654">_xlfn.XLOOKUP(TEXT(A2654, "mmm-yy"), TEXT([2]GASOLINE!$B$5:$B$208, "mmm-yy"), [2]GASOLINE!$C$5:$C$208, "Not Found")</f>
        <v>7825.4469950727453</v>
      </c>
      <c r="N2654" cm="1">
        <f t="array" ref="N2654">_xlfn.XLOOKUP(TEXT(A2654, "mmm-yy"), TEXT([2]RUNS!$B$5:$B$208, "mmm-yy"), [2]RUNS!$BM$5:$BM$208, "Not Found")</f>
        <v>0.84556206921692378</v>
      </c>
    </row>
    <row r="2655" spans="1:14" x14ac:dyDescent="0.25">
      <c r="A2655" s="1">
        <f>'[1]Global_Spot Prices'!$B3964</f>
        <v>45720</v>
      </c>
      <c r="B2655">
        <f>_xlfn.XLOOKUP(A2655,'[1]Global_Spot Prices'!$B:$B,'[1]Global_Spot Prices'!$BS:$BS)</f>
        <v>7.9899999999999949</v>
      </c>
      <c r="C2655">
        <f>_xlfn.XLOOKUP(A2655,'[1]Global_Spot Prices'!$B:$B,'[1]Global_Spot Prices'!$E:$E)</f>
        <v>70.45</v>
      </c>
      <c r="D2655">
        <f>_xlfn.XLOOKUP(A2655,'[1]Global_Spot Prices'!$B:$B,'[1]Global_Spot Prices'!$D:$D)</f>
        <v>71.784999999999997</v>
      </c>
      <c r="E2655">
        <f>_xlfn.XLOOKUP(A2655,'[1]Global_Spot Prices'!$B:$B,'[1]Global_Spot Prices'!$H:$H)</f>
        <v>68.64</v>
      </c>
      <c r="F2655">
        <f>_xlfn.XLOOKUP(A2655,'[1]Global_Spot Prices'!$B:$B,'[1]Global_Spot Prices'!$I:$I)</f>
        <v>78.44</v>
      </c>
      <c r="G2655" cm="1">
        <f t="array" ref="G2655">_xlfn.XLOOKUP(TEXT(A2655, "mmm-yy"), TEXT([2]RUNS!$B$5:$B$208, "mmm-yy"), [2]RUNS!$D$5:$D$208, "Not Found")</f>
        <v>31075.167049584252</v>
      </c>
      <c r="H2655" cm="1">
        <f t="array" ref="H2655">SUMPRODUCT(
    --(TEXT('[3]Global Weekly Stock (EWSuez'!$B$4:$B$2000,"mmm-yy")=TEXT(A2655,"mmm-yy")),
    '[3]Global Weekly Stock (EWSuez'!$E$4:$E$2000)
/
SUMPRODUCT(
    --(TEXT('[3]Global Weekly Stock (EWSuez'!$B$4:$B$2000,"mmm-yy")=TEXT(A2655,"mmm-yy"))
)</f>
        <v>16039.5</v>
      </c>
      <c r="I2655">
        <f>_xlfn.XLOOKUP(A2655,[1]ForwardDeriv!$D:$D,[1]ForwardDeriv!$AJ:$AJ)</f>
        <v>0.39000000000000057</v>
      </c>
      <c r="J2655" cm="1">
        <f t="array" ref="J2655">_xlfn.XLOOKUP(TEXT(A2655, "mmm-yy"), TEXT([2]GASOLINE!$B$5:$B$208, "mmm-yy"), [2]GASOLINE!$IR$5:$IR$208, "Not Found")</f>
        <v>-336.15846097684653</v>
      </c>
      <c r="K2655" cm="1">
        <f t="array" ref="K2655">_xlfn.XLOOKUP(TEXT(A2655, "mmm-yy"), TEXT([2]GASOLINE!$B$5:$B$208, "mmm-yy"), [2]GASOLINE!$IK$5:$IK$208, "Not Found")</f>
        <v>315.90567811073726</v>
      </c>
      <c r="L2655">
        <f t="shared" si="41"/>
        <v>0</v>
      </c>
      <c r="M2655" cm="1">
        <f t="array" ref="M2655">_xlfn.XLOOKUP(TEXT(A2655, "mmm-yy"), TEXT([2]GASOLINE!$B$5:$B$208, "mmm-yy"), [2]GASOLINE!$C$5:$C$208, "Not Found")</f>
        <v>7825.4469950727453</v>
      </c>
      <c r="N2655" cm="1">
        <f t="array" ref="N2655">_xlfn.XLOOKUP(TEXT(A2655, "mmm-yy"), TEXT([2]RUNS!$B$5:$B$208, "mmm-yy"), [2]RUNS!$BM$5:$BM$208, "Not Found")</f>
        <v>0.84556206921692378</v>
      </c>
    </row>
    <row r="2656" spans="1:14" x14ac:dyDescent="0.25">
      <c r="A2656" s="1">
        <f>'[1]Global_Spot Prices'!$B3965</f>
        <v>45721</v>
      </c>
      <c r="B2656">
        <f>_xlfn.XLOOKUP(A2656,'[1]Global_Spot Prices'!$B:$B,'[1]Global_Spot Prices'!$BS:$BS)</f>
        <v>6.8999999999999915</v>
      </c>
      <c r="C2656">
        <f>_xlfn.XLOOKUP(A2656,'[1]Global_Spot Prices'!$B:$B,'[1]Global_Spot Prices'!$E:$E)</f>
        <v>71.400000000000006</v>
      </c>
      <c r="D2656">
        <f>_xlfn.XLOOKUP(A2656,'[1]Global_Spot Prices'!$B:$B,'[1]Global_Spot Prices'!$D:$D)</f>
        <v>69.83</v>
      </c>
      <c r="E2656">
        <f>_xlfn.XLOOKUP(A2656,'[1]Global_Spot Prices'!$B:$B,'[1]Global_Spot Prices'!$H:$H)</f>
        <v>68.33</v>
      </c>
      <c r="F2656">
        <f>_xlfn.XLOOKUP(A2656,'[1]Global_Spot Prices'!$B:$B,'[1]Global_Spot Prices'!$I:$I)</f>
        <v>78.3</v>
      </c>
      <c r="G2656" cm="1">
        <f t="array" ref="G2656">_xlfn.XLOOKUP(TEXT(A2656, "mmm-yy"), TEXT([2]RUNS!$B$5:$B$208, "mmm-yy"), [2]RUNS!$D$5:$D$208, "Not Found")</f>
        <v>31075.167049584252</v>
      </c>
      <c r="H2656" cm="1">
        <f t="array" ref="H2656">SUMPRODUCT(
    --(TEXT('[3]Global Weekly Stock (EWSuez'!$B$4:$B$2000,"mmm-yy")=TEXT(A2656,"mmm-yy")),
    '[3]Global Weekly Stock (EWSuez'!$E$4:$E$2000)
/
SUMPRODUCT(
    --(TEXT('[3]Global Weekly Stock (EWSuez'!$B$4:$B$2000,"mmm-yy")=TEXT(A2656,"mmm-yy"))
)</f>
        <v>16039.5</v>
      </c>
      <c r="I2656">
        <f>_xlfn.XLOOKUP(A2656,[1]ForwardDeriv!$D:$D,[1]ForwardDeriv!$AJ:$AJ)</f>
        <v>0.32000000000000739</v>
      </c>
      <c r="J2656" cm="1">
        <f t="array" ref="J2656">_xlfn.XLOOKUP(TEXT(A2656, "mmm-yy"), TEXT([2]GASOLINE!$B$5:$B$208, "mmm-yy"), [2]GASOLINE!$IR$5:$IR$208, "Not Found")</f>
        <v>-336.15846097684653</v>
      </c>
      <c r="K2656" cm="1">
        <f t="array" ref="K2656">_xlfn.XLOOKUP(TEXT(A2656, "mmm-yy"), TEXT([2]GASOLINE!$B$5:$B$208, "mmm-yy"), [2]GASOLINE!$IK$5:$IK$208, "Not Found")</f>
        <v>315.90567811073726</v>
      </c>
      <c r="L2656">
        <f t="shared" si="41"/>
        <v>0</v>
      </c>
      <c r="M2656" cm="1">
        <f t="array" ref="M2656">_xlfn.XLOOKUP(TEXT(A2656, "mmm-yy"), TEXT([2]GASOLINE!$B$5:$B$208, "mmm-yy"), [2]GASOLINE!$C$5:$C$208, "Not Found")</f>
        <v>7825.4469950727453</v>
      </c>
      <c r="N2656" cm="1">
        <f t="array" ref="N2656">_xlfn.XLOOKUP(TEXT(A2656, "mmm-yy"), TEXT([2]RUNS!$B$5:$B$208, "mmm-yy"), [2]RUNS!$BM$5:$BM$208, "Not Found")</f>
        <v>0.84556206921692378</v>
      </c>
    </row>
    <row r="2657" spans="1:14" x14ac:dyDescent="0.25">
      <c r="A2657" s="1">
        <f>'[1]Global_Spot Prices'!$B3966</f>
        <v>45722</v>
      </c>
      <c r="B2657">
        <f>_xlfn.XLOOKUP(A2657,'[1]Global_Spot Prices'!$B:$B,'[1]Global_Spot Prices'!$BS:$BS)</f>
        <v>6.7900000000000063</v>
      </c>
      <c r="C2657">
        <f>_xlfn.XLOOKUP(A2657,'[1]Global_Spot Prices'!$B:$B,'[1]Global_Spot Prices'!$E:$E)</f>
        <v>70.239999999999995</v>
      </c>
      <c r="D2657">
        <f>_xlfn.XLOOKUP(A2657,'[1]Global_Spot Prices'!$B:$B,'[1]Global_Spot Prices'!$D:$D)</f>
        <v>70.305000000000007</v>
      </c>
      <c r="E2657">
        <f>_xlfn.XLOOKUP(A2657,'[1]Global_Spot Prices'!$B:$B,'[1]Global_Spot Prices'!$H:$H)</f>
        <v>67.5</v>
      </c>
      <c r="F2657">
        <f>_xlfn.XLOOKUP(A2657,'[1]Global_Spot Prices'!$B:$B,'[1]Global_Spot Prices'!$I:$I)</f>
        <v>77.03</v>
      </c>
      <c r="G2657" cm="1">
        <f t="array" ref="G2657">_xlfn.XLOOKUP(TEXT(A2657, "mmm-yy"), TEXT([2]RUNS!$B$5:$B$208, "mmm-yy"), [2]RUNS!$D$5:$D$208, "Not Found")</f>
        <v>31075.167049584252</v>
      </c>
      <c r="H2657" cm="1">
        <f t="array" ref="H2657">SUMPRODUCT(
    --(TEXT('[3]Global Weekly Stock (EWSuez'!$B$4:$B$2000,"mmm-yy")=TEXT(A2657,"mmm-yy")),
    '[3]Global Weekly Stock (EWSuez'!$E$4:$E$2000)
/
SUMPRODUCT(
    --(TEXT('[3]Global Weekly Stock (EWSuez'!$B$4:$B$2000,"mmm-yy")=TEXT(A2657,"mmm-yy"))
)</f>
        <v>16039.5</v>
      </c>
      <c r="I2657">
        <f>_xlfn.XLOOKUP(A2657,[1]ForwardDeriv!$D:$D,[1]ForwardDeriv!$AJ:$AJ)</f>
        <v>0.28000000000000114</v>
      </c>
      <c r="J2657" cm="1">
        <f t="array" ref="J2657">_xlfn.XLOOKUP(TEXT(A2657, "mmm-yy"), TEXT([2]GASOLINE!$B$5:$B$208, "mmm-yy"), [2]GASOLINE!$IR$5:$IR$208, "Not Found")</f>
        <v>-336.15846097684653</v>
      </c>
      <c r="K2657" cm="1">
        <f t="array" ref="K2657">_xlfn.XLOOKUP(TEXT(A2657, "mmm-yy"), TEXT([2]GASOLINE!$B$5:$B$208, "mmm-yy"), [2]GASOLINE!$IK$5:$IK$208, "Not Found")</f>
        <v>315.90567811073726</v>
      </c>
      <c r="L2657">
        <f t="shared" si="41"/>
        <v>0</v>
      </c>
      <c r="M2657" cm="1">
        <f t="array" ref="M2657">_xlfn.XLOOKUP(TEXT(A2657, "mmm-yy"), TEXT([2]GASOLINE!$B$5:$B$208, "mmm-yy"), [2]GASOLINE!$C$5:$C$208, "Not Found")</f>
        <v>7825.4469950727453</v>
      </c>
      <c r="N2657" cm="1">
        <f t="array" ref="N2657">_xlfn.XLOOKUP(TEXT(A2657, "mmm-yy"), TEXT([2]RUNS!$B$5:$B$208, "mmm-yy"), [2]RUNS!$BM$5:$BM$208, "Not Found")</f>
        <v>0.84556206921692378</v>
      </c>
    </row>
    <row r="2658" spans="1:14" x14ac:dyDescent="0.25">
      <c r="A2658" s="1">
        <f>'[1]Global_Spot Prices'!$B3967</f>
        <v>45723</v>
      </c>
      <c r="B2658">
        <f>_xlfn.XLOOKUP(A2658,'[1]Global_Spot Prices'!$B:$B,'[1]Global_Spot Prices'!$BS:$BS)</f>
        <v>6.1300000000000097</v>
      </c>
      <c r="C2658">
        <f>_xlfn.XLOOKUP(A2658,'[1]Global_Spot Prices'!$B:$B,'[1]Global_Spot Prices'!$E:$E)</f>
        <v>70.849999999999994</v>
      </c>
      <c r="D2658">
        <f>_xlfn.XLOOKUP(A2658,'[1]Global_Spot Prices'!$B:$B,'[1]Global_Spot Prices'!$D:$D)</f>
        <v>72.064999999999998</v>
      </c>
      <c r="E2658">
        <f>_xlfn.XLOOKUP(A2658,'[1]Global_Spot Prices'!$B:$B,'[1]Global_Spot Prices'!$H:$H)</f>
        <v>67.099999999999994</v>
      </c>
      <c r="F2658">
        <f>_xlfn.XLOOKUP(A2658,'[1]Global_Spot Prices'!$B:$B,'[1]Global_Spot Prices'!$I:$I)</f>
        <v>76.98</v>
      </c>
      <c r="G2658" cm="1">
        <f t="array" ref="G2658">_xlfn.XLOOKUP(TEXT(A2658, "mmm-yy"), TEXT([2]RUNS!$B$5:$B$208, "mmm-yy"), [2]RUNS!$D$5:$D$208, "Not Found")</f>
        <v>31075.167049584252</v>
      </c>
      <c r="H2658" cm="1">
        <f t="array" ref="H2658">SUMPRODUCT(
    --(TEXT('[3]Global Weekly Stock (EWSuez'!$B$4:$B$2000,"mmm-yy")=TEXT(A2658,"mmm-yy")),
    '[3]Global Weekly Stock (EWSuez'!$E$4:$E$2000)
/
SUMPRODUCT(
    --(TEXT('[3]Global Weekly Stock (EWSuez'!$B$4:$B$2000,"mmm-yy")=TEXT(A2658,"mmm-yy"))
)</f>
        <v>16039.5</v>
      </c>
      <c r="I2658">
        <f>_xlfn.XLOOKUP(A2658,[1]ForwardDeriv!$D:$D,[1]ForwardDeriv!$AJ:$AJ)</f>
        <v>0.34999999999999432</v>
      </c>
      <c r="J2658" cm="1">
        <f t="array" ref="J2658">_xlfn.XLOOKUP(TEXT(A2658, "mmm-yy"), TEXT([2]GASOLINE!$B$5:$B$208, "mmm-yy"), [2]GASOLINE!$IR$5:$IR$208, "Not Found")</f>
        <v>-336.15846097684653</v>
      </c>
      <c r="K2658" cm="1">
        <f t="array" ref="K2658">_xlfn.XLOOKUP(TEXT(A2658, "mmm-yy"), TEXT([2]GASOLINE!$B$5:$B$208, "mmm-yy"), [2]GASOLINE!$IK$5:$IK$208, "Not Found")</f>
        <v>315.90567811073726</v>
      </c>
      <c r="L2658">
        <f t="shared" si="41"/>
        <v>0</v>
      </c>
      <c r="M2658" cm="1">
        <f t="array" ref="M2658">_xlfn.XLOOKUP(TEXT(A2658, "mmm-yy"), TEXT([2]GASOLINE!$B$5:$B$208, "mmm-yy"), [2]GASOLINE!$C$5:$C$208, "Not Found")</f>
        <v>7825.4469950727453</v>
      </c>
      <c r="N2658" cm="1">
        <f t="array" ref="N2658">_xlfn.XLOOKUP(TEXT(A2658, "mmm-yy"), TEXT([2]RUNS!$B$5:$B$208, "mmm-yy"), [2]RUNS!$BM$5:$BM$208, "Not Found")</f>
        <v>0.84556206921692378</v>
      </c>
    </row>
    <row r="2659" spans="1:14" x14ac:dyDescent="0.25">
      <c r="A2659" s="1">
        <f>'[1]Global_Spot Prices'!$B3968</f>
        <v>45726</v>
      </c>
      <c r="B2659">
        <f>_xlfn.XLOOKUP(A2659,'[1]Global_Spot Prices'!$B:$B,'[1]Global_Spot Prices'!$BS:$BS)</f>
        <v>5.9050000000000011</v>
      </c>
      <c r="C2659">
        <f>_xlfn.XLOOKUP(A2659,'[1]Global_Spot Prices'!$B:$B,'[1]Global_Spot Prices'!$E:$E)</f>
        <v>71.405000000000001</v>
      </c>
      <c r="D2659">
        <f>_xlfn.XLOOKUP(A2659,'[1]Global_Spot Prices'!$B:$B,'[1]Global_Spot Prices'!$D:$D)</f>
        <v>71.034999999999997</v>
      </c>
      <c r="E2659">
        <f>_xlfn.XLOOKUP(A2659,'[1]Global_Spot Prices'!$B:$B,'[1]Global_Spot Prices'!$H:$H)</f>
        <v>68.069999999999993</v>
      </c>
      <c r="F2659">
        <f>_xlfn.XLOOKUP(A2659,'[1]Global_Spot Prices'!$B:$B,'[1]Global_Spot Prices'!$I:$I)</f>
        <v>77.31</v>
      </c>
      <c r="G2659" cm="1">
        <f t="array" ref="G2659">_xlfn.XLOOKUP(TEXT(A2659, "mmm-yy"), TEXT([2]RUNS!$B$5:$B$208, "mmm-yy"), [2]RUNS!$D$5:$D$208, "Not Found")</f>
        <v>31075.167049584252</v>
      </c>
      <c r="H2659" cm="1">
        <f t="array" ref="H2659">SUMPRODUCT(
    --(TEXT('[3]Global Weekly Stock (EWSuez'!$B$4:$B$2000,"mmm-yy")=TEXT(A2659,"mmm-yy")),
    '[3]Global Weekly Stock (EWSuez'!$E$4:$E$2000)
/
SUMPRODUCT(
    --(TEXT('[3]Global Weekly Stock (EWSuez'!$B$4:$B$2000,"mmm-yy")=TEXT(A2659,"mmm-yy"))
)</f>
        <v>16039.5</v>
      </c>
      <c r="I2659">
        <f>_xlfn.XLOOKUP(A2659,[1]ForwardDeriv!$D:$D,[1]ForwardDeriv!$AJ:$AJ)</f>
        <v>0.37999999999999545</v>
      </c>
      <c r="J2659" cm="1">
        <f t="array" ref="J2659">_xlfn.XLOOKUP(TEXT(A2659, "mmm-yy"), TEXT([2]GASOLINE!$B$5:$B$208, "mmm-yy"), [2]GASOLINE!$IR$5:$IR$208, "Not Found")</f>
        <v>-336.15846097684653</v>
      </c>
      <c r="K2659" cm="1">
        <f t="array" ref="K2659">_xlfn.XLOOKUP(TEXT(A2659, "mmm-yy"), TEXT([2]GASOLINE!$B$5:$B$208, "mmm-yy"), [2]GASOLINE!$IK$5:$IK$208, "Not Found")</f>
        <v>315.90567811073726</v>
      </c>
      <c r="L2659">
        <f t="shared" si="41"/>
        <v>0</v>
      </c>
      <c r="M2659" cm="1">
        <f t="array" ref="M2659">_xlfn.XLOOKUP(TEXT(A2659, "mmm-yy"), TEXT([2]GASOLINE!$B$5:$B$208, "mmm-yy"), [2]GASOLINE!$C$5:$C$208, "Not Found")</f>
        <v>7825.4469950727453</v>
      </c>
      <c r="N2659" cm="1">
        <f t="array" ref="N2659">_xlfn.XLOOKUP(TEXT(A2659, "mmm-yy"), TEXT([2]RUNS!$B$5:$B$208, "mmm-yy"), [2]RUNS!$BM$5:$BM$208, "Not Found")</f>
        <v>0.84556206921692378</v>
      </c>
    </row>
    <row r="2660" spans="1:14" x14ac:dyDescent="0.25">
      <c r="A2660" s="1">
        <f>'[1]Global_Spot Prices'!$B3969</f>
        <v>45727</v>
      </c>
      <c r="B2660">
        <f>_xlfn.XLOOKUP(A2660,'[1]Global_Spot Prices'!$B:$B,'[1]Global_Spot Prices'!$BS:$BS)</f>
        <v>6.1299999999999955</v>
      </c>
      <c r="C2660">
        <f>_xlfn.XLOOKUP(A2660,'[1]Global_Spot Prices'!$B:$B,'[1]Global_Spot Prices'!$E:$E)</f>
        <v>70.510000000000005</v>
      </c>
      <c r="D2660">
        <f>_xlfn.XLOOKUP(A2660,'[1]Global_Spot Prices'!$B:$B,'[1]Global_Spot Prices'!$D:$D)</f>
        <v>71.144999999999996</v>
      </c>
      <c r="E2660">
        <f>_xlfn.XLOOKUP(A2660,'[1]Global_Spot Prices'!$B:$B,'[1]Global_Spot Prices'!$H:$H)</f>
        <v>68.38</v>
      </c>
      <c r="F2660">
        <f>_xlfn.XLOOKUP(A2660,'[1]Global_Spot Prices'!$B:$B,'[1]Global_Spot Prices'!$I:$I)</f>
        <v>76.64</v>
      </c>
      <c r="G2660" cm="1">
        <f t="array" ref="G2660">_xlfn.XLOOKUP(TEXT(A2660, "mmm-yy"), TEXT([2]RUNS!$B$5:$B$208, "mmm-yy"), [2]RUNS!$D$5:$D$208, "Not Found")</f>
        <v>31075.167049584252</v>
      </c>
      <c r="H2660" cm="1">
        <f t="array" ref="H2660">SUMPRODUCT(
    --(TEXT('[3]Global Weekly Stock (EWSuez'!$B$4:$B$2000,"mmm-yy")=TEXT(A2660,"mmm-yy")),
    '[3]Global Weekly Stock (EWSuez'!$E$4:$E$2000)
/
SUMPRODUCT(
    --(TEXT('[3]Global Weekly Stock (EWSuez'!$B$4:$B$2000,"mmm-yy")=TEXT(A2660,"mmm-yy"))
)</f>
        <v>16039.5</v>
      </c>
      <c r="I2660">
        <f>_xlfn.XLOOKUP(A2660,[1]ForwardDeriv!$D:$D,[1]ForwardDeriv!$AJ:$AJ)</f>
        <v>0.43000000000000682</v>
      </c>
      <c r="J2660" cm="1">
        <f t="array" ref="J2660">_xlfn.XLOOKUP(TEXT(A2660, "mmm-yy"), TEXT([2]GASOLINE!$B$5:$B$208, "mmm-yy"), [2]GASOLINE!$IR$5:$IR$208, "Not Found")</f>
        <v>-336.15846097684653</v>
      </c>
      <c r="K2660" cm="1">
        <f t="array" ref="K2660">_xlfn.XLOOKUP(TEXT(A2660, "mmm-yy"), TEXT([2]GASOLINE!$B$5:$B$208, "mmm-yy"), [2]GASOLINE!$IK$5:$IK$208, "Not Found")</f>
        <v>315.90567811073726</v>
      </c>
      <c r="L2660">
        <f t="shared" si="41"/>
        <v>0</v>
      </c>
      <c r="M2660" cm="1">
        <f t="array" ref="M2660">_xlfn.XLOOKUP(TEXT(A2660, "mmm-yy"), TEXT([2]GASOLINE!$B$5:$B$208, "mmm-yy"), [2]GASOLINE!$C$5:$C$208, "Not Found")</f>
        <v>7825.4469950727453</v>
      </c>
      <c r="N2660" cm="1">
        <f t="array" ref="N2660">_xlfn.XLOOKUP(TEXT(A2660, "mmm-yy"), TEXT([2]RUNS!$B$5:$B$208, "mmm-yy"), [2]RUNS!$BM$5:$BM$208, "Not Found")</f>
        <v>0.84556206921692378</v>
      </c>
    </row>
    <row r="2661" spans="1:14" x14ac:dyDescent="0.25">
      <c r="A2661" s="1">
        <f>'[1]Global_Spot Prices'!$B3970</f>
        <v>45728</v>
      </c>
      <c r="B2661">
        <f>_xlfn.XLOOKUP(A2661,'[1]Global_Spot Prices'!$B:$B,'[1]Global_Spot Prices'!$BS:$BS)</f>
        <v>7.0899999999999892</v>
      </c>
      <c r="C2661">
        <f ca="1">_xlfn.XLOOKUP(A2661,'[1]Global_Spot Prices'!$B:$B,'[1]Global_Spot Prices'!$E:$E)</f>
        <v>70.650000000000006</v>
      </c>
      <c r="D2661">
        <f>_xlfn.XLOOKUP(A2661,'[1]Global_Spot Prices'!$B:$B,'[1]Global_Spot Prices'!$D:$D)</f>
        <v>72.23</v>
      </c>
      <c r="E2661">
        <f>_xlfn.XLOOKUP(A2661,'[1]Global_Spot Prices'!$B:$B,'[1]Global_Spot Prices'!$H:$H)</f>
        <v>68.84</v>
      </c>
      <c r="F2661">
        <f>_xlfn.XLOOKUP(A2661,'[1]Global_Spot Prices'!$B:$B,'[1]Global_Spot Prices'!$I:$I)</f>
        <v>77.739999999999995</v>
      </c>
      <c r="G2661" cm="1">
        <f t="array" ref="G2661">_xlfn.XLOOKUP(TEXT(A2661, "mmm-yy"), TEXT([2]RUNS!$B$5:$B$208, "mmm-yy"), [2]RUNS!$D$5:$D$208, "Not Found")</f>
        <v>31075.167049584252</v>
      </c>
      <c r="H2661" cm="1">
        <f t="array" ref="H2661">SUMPRODUCT(
    --(TEXT('[3]Global Weekly Stock (EWSuez'!$B$4:$B$2000,"mmm-yy")=TEXT(A2661,"mmm-yy")),
    '[3]Global Weekly Stock (EWSuez'!$E$4:$E$2000)
/
SUMPRODUCT(
    --(TEXT('[3]Global Weekly Stock (EWSuez'!$B$4:$B$2000,"mmm-yy")=TEXT(A2661,"mmm-yy"))
)</f>
        <v>16039.5</v>
      </c>
      <c r="I2661">
        <f>_xlfn.XLOOKUP(A2661,[1]ForwardDeriv!$D:$D,[1]ForwardDeriv!$AJ:$AJ)</f>
        <v>0.46000000000000796</v>
      </c>
      <c r="J2661" cm="1">
        <f t="array" ref="J2661">_xlfn.XLOOKUP(TEXT(A2661, "mmm-yy"), TEXT([2]GASOLINE!$B$5:$B$208, "mmm-yy"), [2]GASOLINE!$IR$5:$IR$208, "Not Found")</f>
        <v>-336.15846097684653</v>
      </c>
      <c r="K2661" cm="1">
        <f t="array" ref="K2661">_xlfn.XLOOKUP(TEXT(A2661, "mmm-yy"), TEXT([2]GASOLINE!$B$5:$B$208, "mmm-yy"), [2]GASOLINE!$IK$5:$IK$208, "Not Found")</f>
        <v>315.90567811073726</v>
      </c>
      <c r="L2661">
        <f t="shared" si="41"/>
        <v>0</v>
      </c>
      <c r="M2661" cm="1">
        <f t="array" ref="M2661">_xlfn.XLOOKUP(TEXT(A2661, "mmm-yy"), TEXT([2]GASOLINE!$B$5:$B$208, "mmm-yy"), [2]GASOLINE!$C$5:$C$208, "Not Found")</f>
        <v>7825.4469950727453</v>
      </c>
      <c r="N2661" cm="1">
        <f t="array" ref="N2661">_xlfn.XLOOKUP(TEXT(A2661, "mmm-yy"), TEXT([2]RUNS!$B$5:$B$208, "mmm-yy"), [2]RUNS!$BM$5:$BM$208, "Not Found")</f>
        <v>0.84556206921692378</v>
      </c>
    </row>
    <row r="2662" spans="1:14" x14ac:dyDescent="0.25">
      <c r="A2662" s="1">
        <f>'[1]Global_Spot Prices'!$B3971</f>
        <v>45729</v>
      </c>
      <c r="B2662">
        <f>_xlfn.XLOOKUP(A2662,'[1]Global_Spot Prices'!$B:$B,'[1]Global_Spot Prices'!$BS:$BS)</f>
        <v>7.019999999999996</v>
      </c>
      <c r="C2662">
        <f>_xlfn.XLOOKUP(A2662,'[1]Global_Spot Prices'!$B:$B,'[1]Global_Spot Prices'!$E:$E)</f>
        <v>72.06</v>
      </c>
      <c r="D2662">
        <f>_xlfn.XLOOKUP(A2662,'[1]Global_Spot Prices'!$B:$B,'[1]Global_Spot Prices'!$D:$D)</f>
        <v>71.39</v>
      </c>
      <c r="E2662">
        <f>_xlfn.XLOOKUP(A2662,'[1]Global_Spot Prices'!$B:$B,'[1]Global_Spot Prices'!$H:$H)</f>
        <v>69.52</v>
      </c>
      <c r="F2662">
        <f>_xlfn.XLOOKUP(A2662,'[1]Global_Spot Prices'!$B:$B,'[1]Global_Spot Prices'!$I:$I)</f>
        <v>79.08</v>
      </c>
      <c r="G2662" cm="1">
        <f t="array" ref="G2662">_xlfn.XLOOKUP(TEXT(A2662, "mmm-yy"), TEXT([2]RUNS!$B$5:$B$208, "mmm-yy"), [2]RUNS!$D$5:$D$208, "Not Found")</f>
        <v>31075.167049584252</v>
      </c>
      <c r="H2662" cm="1">
        <f t="array" ref="H2662">SUMPRODUCT(
    --(TEXT('[3]Global Weekly Stock (EWSuez'!$B$4:$B$2000,"mmm-yy")=TEXT(A2662,"mmm-yy")),
    '[3]Global Weekly Stock (EWSuez'!$E$4:$E$2000)
/
SUMPRODUCT(
    --(TEXT('[3]Global Weekly Stock (EWSuez'!$B$4:$B$2000,"mmm-yy")=TEXT(A2662,"mmm-yy"))
)</f>
        <v>16039.5</v>
      </c>
      <c r="I2662">
        <f>_xlfn.XLOOKUP(A2662,[1]ForwardDeriv!$D:$D,[1]ForwardDeriv!$AJ:$AJ)</f>
        <v>0.46999999999999886</v>
      </c>
      <c r="J2662" cm="1">
        <f t="array" ref="J2662">_xlfn.XLOOKUP(TEXT(A2662, "mmm-yy"), TEXT([2]GASOLINE!$B$5:$B$208, "mmm-yy"), [2]GASOLINE!$IR$5:$IR$208, "Not Found")</f>
        <v>-336.15846097684653</v>
      </c>
      <c r="K2662" cm="1">
        <f t="array" ref="K2662">_xlfn.XLOOKUP(TEXT(A2662, "mmm-yy"), TEXT([2]GASOLINE!$B$5:$B$208, "mmm-yy"), [2]GASOLINE!$IK$5:$IK$208, "Not Found")</f>
        <v>315.90567811073726</v>
      </c>
      <c r="L2662">
        <f t="shared" si="41"/>
        <v>0</v>
      </c>
      <c r="M2662" cm="1">
        <f t="array" ref="M2662">_xlfn.XLOOKUP(TEXT(A2662, "mmm-yy"), TEXT([2]GASOLINE!$B$5:$B$208, "mmm-yy"), [2]GASOLINE!$C$5:$C$208, "Not Found")</f>
        <v>7825.4469950727453</v>
      </c>
      <c r="N2662" cm="1">
        <f t="array" ref="N2662">_xlfn.XLOOKUP(TEXT(A2662, "mmm-yy"), TEXT([2]RUNS!$B$5:$B$208, "mmm-yy"), [2]RUNS!$BM$5:$BM$208, "Not Found")</f>
        <v>0.84556206921692378</v>
      </c>
    </row>
    <row r="2663" spans="1:14" x14ac:dyDescent="0.25">
      <c r="A2663" s="1">
        <f>'[1]Global_Spot Prices'!$B3972</f>
        <v>45730</v>
      </c>
      <c r="B2663">
        <f>_xlfn.XLOOKUP(A2663,'[1]Global_Spot Prices'!$B:$B,'[1]Global_Spot Prices'!$BS:$BS)</f>
        <v>7.0700000000000074</v>
      </c>
      <c r="C2663">
        <f>_xlfn.XLOOKUP(A2663,'[1]Global_Spot Prices'!$B:$B,'[1]Global_Spot Prices'!$E:$E)</f>
        <v>71.55</v>
      </c>
      <c r="D2663">
        <f>_xlfn.XLOOKUP(A2663,'[1]Global_Spot Prices'!$B:$B,'[1]Global_Spot Prices'!$D:$D)</f>
        <v>71.66</v>
      </c>
      <c r="E2663">
        <f ca="1">_xlfn.XLOOKUP(A2663,'[1]Global_Spot Prices'!$B:$B,'[1]Global_Spot Prices'!$H:$H)</f>
        <v>69.7</v>
      </c>
      <c r="F2663">
        <f>_xlfn.XLOOKUP(A2663,'[1]Global_Spot Prices'!$B:$B,'[1]Global_Spot Prices'!$I:$I)</f>
        <v>78.62</v>
      </c>
      <c r="G2663" cm="1">
        <f t="array" ref="G2663">_xlfn.XLOOKUP(TEXT(A2663, "mmm-yy"), TEXT([2]RUNS!$B$5:$B$208, "mmm-yy"), [2]RUNS!$D$5:$D$208, "Not Found")</f>
        <v>31075.167049584252</v>
      </c>
      <c r="H2663" cm="1">
        <f t="array" ref="H2663">SUMPRODUCT(
    --(TEXT('[3]Global Weekly Stock (EWSuez'!$B$4:$B$2000,"mmm-yy")=TEXT(A2663,"mmm-yy")),
    '[3]Global Weekly Stock (EWSuez'!$E$4:$E$2000)
/
SUMPRODUCT(
    --(TEXT('[3]Global Weekly Stock (EWSuez'!$B$4:$B$2000,"mmm-yy")=TEXT(A2663,"mmm-yy"))
)</f>
        <v>16039.5</v>
      </c>
      <c r="I2663">
        <f>_xlfn.XLOOKUP(A2663,[1]ForwardDeriv!$D:$D,[1]ForwardDeriv!$AJ:$AJ)</f>
        <v>0.48000000000000398</v>
      </c>
      <c r="J2663" cm="1">
        <f t="array" ref="J2663">_xlfn.XLOOKUP(TEXT(A2663, "mmm-yy"), TEXT([2]GASOLINE!$B$5:$B$208, "mmm-yy"), [2]GASOLINE!$IR$5:$IR$208, "Not Found")</f>
        <v>-336.15846097684653</v>
      </c>
      <c r="K2663" cm="1">
        <f t="array" ref="K2663">_xlfn.XLOOKUP(TEXT(A2663, "mmm-yy"), TEXT([2]GASOLINE!$B$5:$B$208, "mmm-yy"), [2]GASOLINE!$IK$5:$IK$208, "Not Found")</f>
        <v>315.90567811073726</v>
      </c>
      <c r="L2663">
        <f t="shared" si="41"/>
        <v>0</v>
      </c>
      <c r="M2663" cm="1">
        <f t="array" ref="M2663">_xlfn.XLOOKUP(TEXT(A2663, "mmm-yy"), TEXT([2]GASOLINE!$B$5:$B$208, "mmm-yy"), [2]GASOLINE!$C$5:$C$208, "Not Found")</f>
        <v>7825.4469950727453</v>
      </c>
      <c r="N2663" cm="1">
        <f t="array" ref="N2663">_xlfn.XLOOKUP(TEXT(A2663, "mmm-yy"), TEXT([2]RUNS!$B$5:$B$208, "mmm-yy"), [2]RUNS!$BM$5:$BM$208, "Not Found")</f>
        <v>0.84556206921692378</v>
      </c>
    </row>
    <row r="2664" spans="1:14" x14ac:dyDescent="0.25">
      <c r="A2664" s="1">
        <f>'[1]Global_Spot Prices'!$B3973</f>
        <v>45733</v>
      </c>
      <c r="B2664">
        <f>_xlfn.XLOOKUP(A2664,'[1]Global_Spot Prices'!$B:$B,'[1]Global_Spot Prices'!$BS:$BS)</f>
        <v>7.3700000000000045</v>
      </c>
      <c r="C2664">
        <f>_xlfn.XLOOKUP(A2664,'[1]Global_Spot Prices'!$B:$B,'[1]Global_Spot Prices'!$E:$E)</f>
        <v>72.239999999999995</v>
      </c>
      <c r="D2664">
        <f>_xlfn.XLOOKUP(A2664,'[1]Global_Spot Prices'!$B:$B,'[1]Global_Spot Prices'!$D:$D)</f>
        <v>72.254999999999995</v>
      </c>
      <c r="E2664">
        <f>_xlfn.XLOOKUP(A2664,'[1]Global_Spot Prices'!$B:$B,'[1]Global_Spot Prices'!$H:$H)</f>
        <v>70.510000000000005</v>
      </c>
      <c r="F2664">
        <f>_xlfn.XLOOKUP(A2664,'[1]Global_Spot Prices'!$B:$B,'[1]Global_Spot Prices'!$I:$I)</f>
        <v>79.61</v>
      </c>
      <c r="G2664" cm="1">
        <f t="array" ref="G2664">_xlfn.XLOOKUP(TEXT(A2664, "mmm-yy"), TEXT([2]RUNS!$B$5:$B$208, "mmm-yy"), [2]RUNS!$D$5:$D$208, "Not Found")</f>
        <v>31075.167049584252</v>
      </c>
      <c r="H2664" cm="1">
        <f t="array" ref="H2664">SUMPRODUCT(
    --(TEXT('[3]Global Weekly Stock (EWSuez'!$B$4:$B$2000,"mmm-yy")=TEXT(A2664,"mmm-yy")),
    '[3]Global Weekly Stock (EWSuez'!$E$4:$E$2000)
/
SUMPRODUCT(
    --(TEXT('[3]Global Weekly Stock (EWSuez'!$B$4:$B$2000,"mmm-yy")=TEXT(A2664,"mmm-yy"))
)</f>
        <v>16039.5</v>
      </c>
      <c r="I2664">
        <f>_xlfn.XLOOKUP(A2664,[1]ForwardDeriv!$D:$D,[1]ForwardDeriv!$AJ:$AJ)</f>
        <v>0.64000000000000057</v>
      </c>
      <c r="J2664" cm="1">
        <f t="array" ref="J2664">_xlfn.XLOOKUP(TEXT(A2664, "mmm-yy"), TEXT([2]GASOLINE!$B$5:$B$208, "mmm-yy"), [2]GASOLINE!$IR$5:$IR$208, "Not Found")</f>
        <v>-336.15846097684653</v>
      </c>
      <c r="K2664" cm="1">
        <f t="array" ref="K2664">_xlfn.XLOOKUP(TEXT(A2664, "mmm-yy"), TEXT([2]GASOLINE!$B$5:$B$208, "mmm-yy"), [2]GASOLINE!$IK$5:$IK$208, "Not Found")</f>
        <v>315.90567811073726</v>
      </c>
      <c r="L2664">
        <f t="shared" si="41"/>
        <v>0</v>
      </c>
      <c r="M2664" cm="1">
        <f t="array" ref="M2664">_xlfn.XLOOKUP(TEXT(A2664, "mmm-yy"), TEXT([2]GASOLINE!$B$5:$B$208, "mmm-yy"), [2]GASOLINE!$C$5:$C$208, "Not Found")</f>
        <v>7825.4469950727453</v>
      </c>
      <c r="N2664" cm="1">
        <f t="array" ref="N2664">_xlfn.XLOOKUP(TEXT(A2664, "mmm-yy"), TEXT([2]RUNS!$B$5:$B$208, "mmm-yy"), [2]RUNS!$BM$5:$BM$208, "Not Found")</f>
        <v>0.84556206921692378</v>
      </c>
    </row>
    <row r="2665" spans="1:14" x14ac:dyDescent="0.25">
      <c r="A2665" s="1">
        <f>'[1]Global_Spot Prices'!$B3974</f>
        <v>45734</v>
      </c>
      <c r="B2665">
        <f>_xlfn.XLOOKUP(A2665,'[1]Global_Spot Prices'!$B:$B,'[1]Global_Spot Prices'!$BS:$BS)</f>
        <v>7.4699999999999989</v>
      </c>
      <c r="C2665">
        <f>_xlfn.XLOOKUP(A2665,'[1]Global_Spot Prices'!$B:$B,'[1]Global_Spot Prices'!$E:$E)</f>
        <v>73.05</v>
      </c>
      <c r="D2665">
        <f>_xlfn.XLOOKUP(A2665,'[1]Global_Spot Prices'!$B:$B,'[1]Global_Spot Prices'!$D:$D)</f>
        <v>71.73</v>
      </c>
      <c r="E2665">
        <f>_xlfn.XLOOKUP(A2665,'[1]Global_Spot Prices'!$B:$B,'[1]Global_Spot Prices'!$H:$H)</f>
        <v>70.790000000000006</v>
      </c>
      <c r="F2665">
        <f>_xlfn.XLOOKUP(A2665,'[1]Global_Spot Prices'!$B:$B,'[1]Global_Spot Prices'!$I:$I)</f>
        <v>80.52</v>
      </c>
      <c r="G2665" cm="1">
        <f t="array" ref="G2665">_xlfn.XLOOKUP(TEXT(A2665, "mmm-yy"), TEXT([2]RUNS!$B$5:$B$208, "mmm-yy"), [2]RUNS!$D$5:$D$208, "Not Found")</f>
        <v>31075.167049584252</v>
      </c>
      <c r="H2665" cm="1">
        <f t="array" ref="H2665">SUMPRODUCT(
    --(TEXT('[3]Global Weekly Stock (EWSuez'!$B$4:$B$2000,"mmm-yy")=TEXT(A2665,"mmm-yy")),
    '[3]Global Weekly Stock (EWSuez'!$E$4:$E$2000)
/
SUMPRODUCT(
    --(TEXT('[3]Global Weekly Stock (EWSuez'!$B$4:$B$2000,"mmm-yy")=TEXT(A2665,"mmm-yy"))
)</f>
        <v>16039.5</v>
      </c>
      <c r="I2665">
        <f>_xlfn.XLOOKUP(A2665,[1]ForwardDeriv!$D:$D,[1]ForwardDeriv!$AJ:$AJ)</f>
        <v>0.5899999999999892</v>
      </c>
      <c r="J2665" cm="1">
        <f t="array" ref="J2665">_xlfn.XLOOKUP(TEXT(A2665, "mmm-yy"), TEXT([2]GASOLINE!$B$5:$B$208, "mmm-yy"), [2]GASOLINE!$IR$5:$IR$208, "Not Found")</f>
        <v>-336.15846097684653</v>
      </c>
      <c r="K2665" cm="1">
        <f t="array" ref="K2665">_xlfn.XLOOKUP(TEXT(A2665, "mmm-yy"), TEXT([2]GASOLINE!$B$5:$B$208, "mmm-yy"), [2]GASOLINE!$IK$5:$IK$208, "Not Found")</f>
        <v>315.90567811073726</v>
      </c>
      <c r="L2665">
        <f t="shared" si="41"/>
        <v>0</v>
      </c>
      <c r="M2665" cm="1">
        <f t="array" ref="M2665">_xlfn.XLOOKUP(TEXT(A2665, "mmm-yy"), TEXT([2]GASOLINE!$B$5:$B$208, "mmm-yy"), [2]GASOLINE!$C$5:$C$208, "Not Found")</f>
        <v>7825.4469950727453</v>
      </c>
      <c r="N2665" cm="1">
        <f t="array" ref="N2665">_xlfn.XLOOKUP(TEXT(A2665, "mmm-yy"), TEXT([2]RUNS!$B$5:$B$208, "mmm-yy"), [2]RUNS!$BM$5:$BM$208, "Not Found")</f>
        <v>0.84556206921692378</v>
      </c>
    </row>
    <row r="2666" spans="1:14" x14ac:dyDescent="0.25">
      <c r="A2666" s="1">
        <f>'[1]Global_Spot Prices'!$B3975</f>
        <v>45735</v>
      </c>
      <c r="B2666">
        <f>_xlfn.XLOOKUP(A2666,'[1]Global_Spot Prices'!$B:$B,'[1]Global_Spot Prices'!$BS:$BS)</f>
        <v>6.9399999999999977</v>
      </c>
      <c r="C2666">
        <f>_xlfn.XLOOKUP(A2666,'[1]Global_Spot Prices'!$B:$B,'[1]Global_Spot Prices'!$E:$E)</f>
        <v>71.900000000000006</v>
      </c>
      <c r="D2666">
        <f>_xlfn.XLOOKUP(A2666,'[1]Global_Spot Prices'!$B:$B,'[1]Global_Spot Prices'!$D:$D)</f>
        <v>71.515000000000001</v>
      </c>
      <c r="E2666">
        <f ca="1">_xlfn.XLOOKUP(A2666,'[1]Global_Spot Prices'!$B:$B,'[1]Global_Spot Prices'!$H:$H)</f>
        <v>69.45</v>
      </c>
      <c r="F2666">
        <f>_xlfn.XLOOKUP(A2666,'[1]Global_Spot Prices'!$B:$B,'[1]Global_Spot Prices'!$I:$I)</f>
        <v>78.84</v>
      </c>
      <c r="G2666" cm="1">
        <f t="array" ref="G2666">_xlfn.XLOOKUP(TEXT(A2666, "mmm-yy"), TEXT([2]RUNS!$B$5:$B$208, "mmm-yy"), [2]RUNS!$D$5:$D$208, "Not Found")</f>
        <v>31075.167049584252</v>
      </c>
      <c r="H2666" cm="1">
        <f t="array" ref="H2666">SUMPRODUCT(
    --(TEXT('[3]Global Weekly Stock (EWSuez'!$B$4:$B$2000,"mmm-yy")=TEXT(A2666,"mmm-yy")),
    '[3]Global Weekly Stock (EWSuez'!$E$4:$E$2000)
/
SUMPRODUCT(
    --(TEXT('[3]Global Weekly Stock (EWSuez'!$B$4:$B$2000,"mmm-yy")=TEXT(A2666,"mmm-yy"))
)</f>
        <v>16039.5</v>
      </c>
      <c r="I2666">
        <f>_xlfn.XLOOKUP(A2666,[1]ForwardDeriv!$D:$D,[1]ForwardDeriv!$AJ:$AJ)</f>
        <v>0.56999999999999318</v>
      </c>
      <c r="J2666" cm="1">
        <f t="array" ref="J2666">_xlfn.XLOOKUP(TEXT(A2666, "mmm-yy"), TEXT([2]GASOLINE!$B$5:$B$208, "mmm-yy"), [2]GASOLINE!$IR$5:$IR$208, "Not Found")</f>
        <v>-336.15846097684653</v>
      </c>
      <c r="K2666" cm="1">
        <f t="array" ref="K2666">_xlfn.XLOOKUP(TEXT(A2666, "mmm-yy"), TEXT([2]GASOLINE!$B$5:$B$208, "mmm-yy"), [2]GASOLINE!$IK$5:$IK$208, "Not Found")</f>
        <v>315.90567811073726</v>
      </c>
      <c r="L2666">
        <f t="shared" si="41"/>
        <v>0</v>
      </c>
      <c r="M2666" cm="1">
        <f t="array" ref="M2666">_xlfn.XLOOKUP(TEXT(A2666, "mmm-yy"), TEXT([2]GASOLINE!$B$5:$B$208, "mmm-yy"), [2]GASOLINE!$C$5:$C$208, "Not Found")</f>
        <v>7825.4469950727453</v>
      </c>
      <c r="N2666" cm="1">
        <f t="array" ref="N2666">_xlfn.XLOOKUP(TEXT(A2666, "mmm-yy"), TEXT([2]RUNS!$B$5:$B$208, "mmm-yy"), [2]RUNS!$BM$5:$BM$208, "Not Found")</f>
        <v>0.84556206921692378</v>
      </c>
    </row>
    <row r="2667" spans="1:14" x14ac:dyDescent="0.25">
      <c r="A2667" s="1">
        <f>'[1]Global_Spot Prices'!$B3976</f>
        <v>45736</v>
      </c>
      <c r="B2667">
        <f>_xlfn.XLOOKUP(A2667,'[1]Global_Spot Prices'!$B:$B,'[1]Global_Spot Prices'!$BS:$BS)</f>
        <v>6.6150000000000091</v>
      </c>
      <c r="C2667">
        <f>_xlfn.XLOOKUP(A2667,'[1]Global_Spot Prices'!$B:$B,'[1]Global_Spot Prices'!$E:$E)</f>
        <v>72.924999999999997</v>
      </c>
      <c r="D2667">
        <f>_xlfn.XLOOKUP(A2667,'[1]Global_Spot Prices'!$B:$B,'[1]Global_Spot Prices'!$D:$D)</f>
        <v>72.540000000000006</v>
      </c>
      <c r="E2667">
        <f>_xlfn.XLOOKUP(A2667,'[1]Global_Spot Prices'!$B:$B,'[1]Global_Spot Prices'!$H:$H)</f>
        <v>69.69</v>
      </c>
      <c r="F2667">
        <f>_xlfn.XLOOKUP(A2667,'[1]Global_Spot Prices'!$B:$B,'[1]Global_Spot Prices'!$I:$I)</f>
        <v>79.540000000000006</v>
      </c>
      <c r="G2667" cm="1">
        <f t="array" ref="G2667">_xlfn.XLOOKUP(TEXT(A2667, "mmm-yy"), TEXT([2]RUNS!$B$5:$B$208, "mmm-yy"), [2]RUNS!$D$5:$D$208, "Not Found")</f>
        <v>31075.167049584252</v>
      </c>
      <c r="H2667" cm="1">
        <f t="array" ref="H2667">SUMPRODUCT(
    --(TEXT('[3]Global Weekly Stock (EWSuez'!$B$4:$B$2000,"mmm-yy")=TEXT(A2667,"mmm-yy")),
    '[3]Global Weekly Stock (EWSuez'!$E$4:$E$2000)
/
SUMPRODUCT(
    --(TEXT('[3]Global Weekly Stock (EWSuez'!$B$4:$B$2000,"mmm-yy")=TEXT(A2667,"mmm-yy"))
)</f>
        <v>16039.5</v>
      </c>
      <c r="I2667">
        <f>_xlfn.XLOOKUP(A2667,[1]ForwardDeriv!$D:$D,[1]ForwardDeriv!$AJ:$AJ)</f>
        <v>0.53000000000000114</v>
      </c>
      <c r="J2667" cm="1">
        <f t="array" ref="J2667">_xlfn.XLOOKUP(TEXT(A2667, "mmm-yy"), TEXT([2]GASOLINE!$B$5:$B$208, "mmm-yy"), [2]GASOLINE!$IR$5:$IR$208, "Not Found")</f>
        <v>-336.15846097684653</v>
      </c>
      <c r="K2667" cm="1">
        <f t="array" ref="K2667">_xlfn.XLOOKUP(TEXT(A2667, "mmm-yy"), TEXT([2]GASOLINE!$B$5:$B$208, "mmm-yy"), [2]GASOLINE!$IK$5:$IK$208, "Not Found")</f>
        <v>315.90567811073726</v>
      </c>
      <c r="L2667">
        <f t="shared" si="41"/>
        <v>0</v>
      </c>
      <c r="M2667" cm="1">
        <f t="array" ref="M2667">_xlfn.XLOOKUP(TEXT(A2667, "mmm-yy"), TEXT([2]GASOLINE!$B$5:$B$208, "mmm-yy"), [2]GASOLINE!$C$5:$C$208, "Not Found")</f>
        <v>7825.4469950727453</v>
      </c>
      <c r="N2667" cm="1">
        <f t="array" ref="N2667">_xlfn.XLOOKUP(TEXT(A2667, "mmm-yy"), TEXT([2]RUNS!$B$5:$B$208, "mmm-yy"), [2]RUNS!$BM$5:$BM$208, "Not Found")</f>
        <v>0.84556206921692378</v>
      </c>
    </row>
    <row r="2668" spans="1:14" x14ac:dyDescent="0.25">
      <c r="A2668" s="1">
        <f>'[1]Global_Spot Prices'!$B3977</f>
        <v>45737</v>
      </c>
      <c r="B2668">
        <f>_xlfn.XLOOKUP(A2668,'[1]Global_Spot Prices'!$B:$B,'[1]Global_Spot Prices'!$BS:$BS)</f>
        <v>6.7600000000000051</v>
      </c>
      <c r="C2668">
        <f>_xlfn.XLOOKUP(A2668,'[1]Global_Spot Prices'!$B:$B,'[1]Global_Spot Prices'!$E:$E)</f>
        <v>73.8</v>
      </c>
      <c r="D2668">
        <f>_xlfn.XLOOKUP(A2668,'[1]Global_Spot Prices'!$B:$B,'[1]Global_Spot Prices'!$D:$D)</f>
        <v>72.55</v>
      </c>
      <c r="E2668">
        <f>_xlfn.XLOOKUP(A2668,'[1]Global_Spot Prices'!$B:$B,'[1]Global_Spot Prices'!$H:$H)</f>
        <v>69.64</v>
      </c>
      <c r="F2668">
        <f>_xlfn.XLOOKUP(A2668,'[1]Global_Spot Prices'!$B:$B,'[1]Global_Spot Prices'!$I:$I)</f>
        <v>80.56</v>
      </c>
      <c r="G2668" cm="1">
        <f t="array" ref="G2668">_xlfn.XLOOKUP(TEXT(A2668, "mmm-yy"), TEXT([2]RUNS!$B$5:$B$208, "mmm-yy"), [2]RUNS!$D$5:$D$208, "Not Found")</f>
        <v>31075.167049584252</v>
      </c>
      <c r="H2668" cm="1">
        <f t="array" ref="H2668">SUMPRODUCT(
    --(TEXT('[3]Global Weekly Stock (EWSuez'!$B$4:$B$2000,"mmm-yy")=TEXT(A2668,"mmm-yy")),
    '[3]Global Weekly Stock (EWSuez'!$E$4:$E$2000)
/
SUMPRODUCT(
    --(TEXT('[3]Global Weekly Stock (EWSuez'!$B$4:$B$2000,"mmm-yy")=TEXT(A2668,"mmm-yy"))
)</f>
        <v>16039.5</v>
      </c>
      <c r="I2668">
        <f>_xlfn.XLOOKUP(A2668,[1]ForwardDeriv!$D:$D,[1]ForwardDeriv!$AJ:$AJ)</f>
        <v>0.57999999999999829</v>
      </c>
      <c r="J2668" cm="1">
        <f t="array" ref="J2668">_xlfn.XLOOKUP(TEXT(A2668, "mmm-yy"), TEXT([2]GASOLINE!$B$5:$B$208, "mmm-yy"), [2]GASOLINE!$IR$5:$IR$208, "Not Found")</f>
        <v>-336.15846097684653</v>
      </c>
      <c r="K2668" cm="1">
        <f t="array" ref="K2668">_xlfn.XLOOKUP(TEXT(A2668, "mmm-yy"), TEXT([2]GASOLINE!$B$5:$B$208, "mmm-yy"), [2]GASOLINE!$IK$5:$IK$208, "Not Found")</f>
        <v>315.90567811073726</v>
      </c>
      <c r="L2668">
        <f t="shared" si="41"/>
        <v>0</v>
      </c>
      <c r="M2668" cm="1">
        <f t="array" ref="M2668">_xlfn.XLOOKUP(TEXT(A2668, "mmm-yy"), TEXT([2]GASOLINE!$B$5:$B$208, "mmm-yy"), [2]GASOLINE!$C$5:$C$208, "Not Found")</f>
        <v>7825.4469950727453</v>
      </c>
      <c r="N2668" cm="1">
        <f t="array" ref="N2668">_xlfn.XLOOKUP(TEXT(A2668, "mmm-yy"), TEXT([2]RUNS!$B$5:$B$208, "mmm-yy"), [2]RUNS!$BM$5:$BM$208, "Not Found")</f>
        <v>0.84556206921692378</v>
      </c>
    </row>
    <row r="2669" spans="1:14" x14ac:dyDescent="0.25">
      <c r="A2669" s="1">
        <f>'[1]Global_Spot Prices'!$B3978</f>
        <v>45740</v>
      </c>
      <c r="B2669">
        <f>_xlfn.XLOOKUP(A2669,'[1]Global_Spot Prices'!$B:$B,'[1]Global_Spot Prices'!$BS:$BS)</f>
        <v>7.2800000000000011</v>
      </c>
      <c r="C2669">
        <f>_xlfn.XLOOKUP(A2669,'[1]Global_Spot Prices'!$B:$B,'[1]Global_Spot Prices'!$E:$E)</f>
        <v>73.45</v>
      </c>
      <c r="D2669">
        <f>_xlfn.XLOOKUP(A2669,'[1]Global_Spot Prices'!$B:$B,'[1]Global_Spot Prices'!$D:$D)</f>
        <v>73.924999999999997</v>
      </c>
      <c r="E2669">
        <f>_xlfn.XLOOKUP(A2669,'[1]Global_Spot Prices'!$B:$B,'[1]Global_Spot Prices'!$H:$H)</f>
        <v>69.63</v>
      </c>
      <c r="F2669">
        <f>_xlfn.XLOOKUP(A2669,'[1]Global_Spot Prices'!$B:$B,'[1]Global_Spot Prices'!$I:$I)</f>
        <v>80.73</v>
      </c>
      <c r="G2669" cm="1">
        <f t="array" ref="G2669">_xlfn.XLOOKUP(TEXT(A2669, "mmm-yy"), TEXT([2]RUNS!$B$5:$B$208, "mmm-yy"), [2]RUNS!$D$5:$D$208, "Not Found")</f>
        <v>31075.167049584252</v>
      </c>
      <c r="H2669" cm="1">
        <f t="array" ref="H2669">SUMPRODUCT(
    --(TEXT('[3]Global Weekly Stock (EWSuez'!$B$4:$B$2000,"mmm-yy")=TEXT(A2669,"mmm-yy")),
    '[3]Global Weekly Stock (EWSuez'!$E$4:$E$2000)
/
SUMPRODUCT(
    --(TEXT('[3]Global Weekly Stock (EWSuez'!$B$4:$B$2000,"mmm-yy")=TEXT(A2669,"mmm-yy"))
)</f>
        <v>16039.5</v>
      </c>
      <c r="I2669">
        <f>_xlfn.XLOOKUP(A2669,[1]ForwardDeriv!$D:$D,[1]ForwardDeriv!$AJ:$AJ)</f>
        <v>0.65000000000000568</v>
      </c>
      <c r="J2669" cm="1">
        <f t="array" ref="J2669">_xlfn.XLOOKUP(TEXT(A2669, "mmm-yy"), TEXT([2]GASOLINE!$B$5:$B$208, "mmm-yy"), [2]GASOLINE!$IR$5:$IR$208, "Not Found")</f>
        <v>-336.15846097684653</v>
      </c>
      <c r="K2669" cm="1">
        <f t="array" ref="K2669">_xlfn.XLOOKUP(TEXT(A2669, "mmm-yy"), TEXT([2]GASOLINE!$B$5:$B$208, "mmm-yy"), [2]GASOLINE!$IK$5:$IK$208, "Not Found")</f>
        <v>315.90567811073726</v>
      </c>
      <c r="L2669">
        <f t="shared" si="41"/>
        <v>0</v>
      </c>
      <c r="M2669" cm="1">
        <f t="array" ref="M2669">_xlfn.XLOOKUP(TEXT(A2669, "mmm-yy"), TEXT([2]GASOLINE!$B$5:$B$208, "mmm-yy"), [2]GASOLINE!$C$5:$C$208, "Not Found")</f>
        <v>7825.4469950727453</v>
      </c>
      <c r="N2669" cm="1">
        <f t="array" ref="N2669">_xlfn.XLOOKUP(TEXT(A2669, "mmm-yy"), TEXT([2]RUNS!$B$5:$B$208, "mmm-yy"), [2]RUNS!$BM$5:$BM$208, "Not Found")</f>
        <v>0.84556206921692378</v>
      </c>
    </row>
    <row r="2670" spans="1:14" x14ac:dyDescent="0.25">
      <c r="A2670" s="1">
        <f>'[1]Global_Spot Prices'!$B3979</f>
        <v>45741</v>
      </c>
      <c r="B2670">
        <f>_xlfn.XLOOKUP(A2670,'[1]Global_Spot Prices'!$B:$B,'[1]Global_Spot Prices'!$BS:$BS)</f>
        <v>7.2299999999999898</v>
      </c>
      <c r="C2670">
        <f>_xlfn.XLOOKUP(A2670,'[1]Global_Spot Prices'!$B:$B,'[1]Global_Spot Prices'!$E:$E)</f>
        <v>74.680000000000007</v>
      </c>
      <c r="D2670">
        <f>_xlfn.XLOOKUP(A2670,'[1]Global_Spot Prices'!$B:$B,'[1]Global_Spot Prices'!$D:$D)</f>
        <v>73.62</v>
      </c>
      <c r="E2670">
        <f>_xlfn.XLOOKUP(A2670,'[1]Global_Spot Prices'!$B:$B,'[1]Global_Spot Prices'!$H:$H)</f>
        <v>69.78</v>
      </c>
      <c r="F2670">
        <f>_xlfn.XLOOKUP(A2670,'[1]Global_Spot Prices'!$B:$B,'[1]Global_Spot Prices'!$I:$I)</f>
        <v>81.91</v>
      </c>
      <c r="G2670" cm="1">
        <f t="array" ref="G2670">_xlfn.XLOOKUP(TEXT(A2670, "mmm-yy"), TEXT([2]RUNS!$B$5:$B$208, "mmm-yy"), [2]RUNS!$D$5:$D$208, "Not Found")</f>
        <v>31075.167049584252</v>
      </c>
      <c r="H2670" cm="1">
        <f t="array" ref="H2670">SUMPRODUCT(
    --(TEXT('[3]Global Weekly Stock (EWSuez'!$B$4:$B$2000,"mmm-yy")=TEXT(A2670,"mmm-yy")),
    '[3]Global Weekly Stock (EWSuez'!$E$4:$E$2000)
/
SUMPRODUCT(
    --(TEXT('[3]Global Weekly Stock (EWSuez'!$B$4:$B$2000,"mmm-yy")=TEXT(A2670,"mmm-yy"))
)</f>
        <v>16039.5</v>
      </c>
      <c r="I2670">
        <f>_xlfn.XLOOKUP(A2670,[1]ForwardDeriv!$D:$D,[1]ForwardDeriv!$AJ:$AJ)</f>
        <v>0.75</v>
      </c>
      <c r="J2670" cm="1">
        <f t="array" ref="J2670">_xlfn.XLOOKUP(TEXT(A2670, "mmm-yy"), TEXT([2]GASOLINE!$B$5:$B$208, "mmm-yy"), [2]GASOLINE!$IR$5:$IR$208, "Not Found")</f>
        <v>-336.15846097684653</v>
      </c>
      <c r="K2670" cm="1">
        <f t="array" ref="K2670">_xlfn.XLOOKUP(TEXT(A2670, "mmm-yy"), TEXT([2]GASOLINE!$B$5:$B$208, "mmm-yy"), [2]GASOLINE!$IK$5:$IK$208, "Not Found")</f>
        <v>315.90567811073726</v>
      </c>
      <c r="L2670">
        <f t="shared" si="41"/>
        <v>0</v>
      </c>
      <c r="M2670" cm="1">
        <f t="array" ref="M2670">_xlfn.XLOOKUP(TEXT(A2670, "mmm-yy"), TEXT([2]GASOLINE!$B$5:$B$208, "mmm-yy"), [2]GASOLINE!$C$5:$C$208, "Not Found")</f>
        <v>7825.4469950727453</v>
      </c>
      <c r="N2670" cm="1">
        <f t="array" ref="N2670">_xlfn.XLOOKUP(TEXT(A2670, "mmm-yy"), TEXT([2]RUNS!$B$5:$B$208, "mmm-yy"), [2]RUNS!$BM$5:$BM$208, "Not Found")</f>
        <v>0.84556206921692378</v>
      </c>
    </row>
    <row r="2671" spans="1:14" x14ac:dyDescent="0.25">
      <c r="A2671" s="1">
        <f>'[1]Global_Spot Prices'!$B3980</f>
        <v>45742</v>
      </c>
      <c r="B2671">
        <f>_xlfn.XLOOKUP(A2671,'[1]Global_Spot Prices'!$B:$B,'[1]Global_Spot Prices'!$BS:$BS)</f>
        <v>7.6599999999999966</v>
      </c>
      <c r="C2671">
        <f>_xlfn.XLOOKUP(A2671,'[1]Global_Spot Prices'!$B:$B,'[1]Global_Spot Prices'!$E:$E)</f>
        <v>74.680000000000007</v>
      </c>
      <c r="D2671">
        <f>_xlfn.XLOOKUP(A2671,'[1]Global_Spot Prices'!$B:$B,'[1]Global_Spot Prices'!$D:$D)</f>
        <v>74.875</v>
      </c>
      <c r="E2671">
        <f ca="1">_xlfn.XLOOKUP(A2671,'[1]Global_Spot Prices'!$B:$B,'[1]Global_Spot Prices'!$H:$H)</f>
        <v>69.87</v>
      </c>
      <c r="F2671">
        <f>_xlfn.XLOOKUP(A2671,'[1]Global_Spot Prices'!$B:$B,'[1]Global_Spot Prices'!$I:$I)</f>
        <v>82.34</v>
      </c>
      <c r="G2671" cm="1">
        <f t="array" ref="G2671">_xlfn.XLOOKUP(TEXT(A2671, "mmm-yy"), TEXT([2]RUNS!$B$5:$B$208, "mmm-yy"), [2]RUNS!$D$5:$D$208, "Not Found")</f>
        <v>31075.167049584252</v>
      </c>
      <c r="H2671" cm="1">
        <f t="array" ref="H2671">SUMPRODUCT(
    --(TEXT('[3]Global Weekly Stock (EWSuez'!$B$4:$B$2000,"mmm-yy")=TEXT(A2671,"mmm-yy")),
    '[3]Global Weekly Stock (EWSuez'!$E$4:$E$2000)
/
SUMPRODUCT(
    --(TEXT('[3]Global Weekly Stock (EWSuez'!$B$4:$B$2000,"mmm-yy")=TEXT(A2671,"mmm-yy"))
)</f>
        <v>16039.5</v>
      </c>
      <c r="I2671">
        <f>_xlfn.XLOOKUP(A2671,[1]ForwardDeriv!$D:$D,[1]ForwardDeriv!$AJ:$AJ)</f>
        <v>0.76999999999999602</v>
      </c>
      <c r="J2671" cm="1">
        <f t="array" ref="J2671">_xlfn.XLOOKUP(TEXT(A2671, "mmm-yy"), TEXT([2]GASOLINE!$B$5:$B$208, "mmm-yy"), [2]GASOLINE!$IR$5:$IR$208, "Not Found")</f>
        <v>-336.15846097684653</v>
      </c>
      <c r="K2671" cm="1">
        <f t="array" ref="K2671">_xlfn.XLOOKUP(TEXT(A2671, "mmm-yy"), TEXT([2]GASOLINE!$B$5:$B$208, "mmm-yy"), [2]GASOLINE!$IK$5:$IK$208, "Not Found")</f>
        <v>315.90567811073726</v>
      </c>
      <c r="L2671">
        <f t="shared" si="41"/>
        <v>0</v>
      </c>
      <c r="M2671" cm="1">
        <f t="array" ref="M2671">_xlfn.XLOOKUP(TEXT(A2671, "mmm-yy"), TEXT([2]GASOLINE!$B$5:$B$208, "mmm-yy"), [2]GASOLINE!$C$5:$C$208, "Not Found")</f>
        <v>7825.4469950727453</v>
      </c>
      <c r="N2671" cm="1">
        <f t="array" ref="N2671">_xlfn.XLOOKUP(TEXT(A2671, "mmm-yy"), TEXT([2]RUNS!$B$5:$B$208, "mmm-yy"), [2]RUNS!$BM$5:$BM$208, "Not Found")</f>
        <v>0.84556206921692378</v>
      </c>
    </row>
    <row r="2672" spans="1:14" x14ac:dyDescent="0.25">
      <c r="A2672" s="1">
        <f>'[1]Global_Spot Prices'!$B3981</f>
        <v>45743</v>
      </c>
      <c r="B2672">
        <f>_xlfn.XLOOKUP(A2672,'[1]Global_Spot Prices'!$B:$B,'[1]Global_Spot Prices'!$BS:$BS)</f>
        <v>7.5499999999999972</v>
      </c>
      <c r="C2672">
        <f>_xlfn.XLOOKUP(A2672,'[1]Global_Spot Prices'!$B:$B,'[1]Global_Spot Prices'!$E:$E)</f>
        <v>74.81</v>
      </c>
      <c r="D2672">
        <f>_xlfn.XLOOKUP(A2672,'[1]Global_Spot Prices'!$B:$B,'[1]Global_Spot Prices'!$D:$D)</f>
        <v>74.484999999999999</v>
      </c>
      <c r="E2672">
        <f>_xlfn.XLOOKUP(A2672,'[1]Global_Spot Prices'!$B:$B,'[1]Global_Spot Prices'!$H:$H)</f>
        <v>70.349999999999994</v>
      </c>
      <c r="F2672">
        <f>_xlfn.XLOOKUP(A2672,'[1]Global_Spot Prices'!$B:$B,'[1]Global_Spot Prices'!$I:$I)</f>
        <v>82.36</v>
      </c>
      <c r="G2672" cm="1">
        <f t="array" ref="G2672">_xlfn.XLOOKUP(TEXT(A2672, "mmm-yy"), TEXT([2]RUNS!$B$5:$B$208, "mmm-yy"), [2]RUNS!$D$5:$D$208, "Not Found")</f>
        <v>31075.167049584252</v>
      </c>
      <c r="H2672" cm="1">
        <f t="array" ref="H2672">SUMPRODUCT(
    --(TEXT('[3]Global Weekly Stock (EWSuez'!$B$4:$B$2000,"mmm-yy")=TEXT(A2672,"mmm-yy")),
    '[3]Global Weekly Stock (EWSuez'!$E$4:$E$2000)
/
SUMPRODUCT(
    --(TEXT('[3]Global Weekly Stock (EWSuez'!$B$4:$B$2000,"mmm-yy")=TEXT(A2672,"mmm-yy"))
)</f>
        <v>16039.5</v>
      </c>
      <c r="I2672">
        <f>_xlfn.XLOOKUP(A2672,[1]ForwardDeriv!$D:$D,[1]ForwardDeriv!$AJ:$AJ)</f>
        <v>0.76000000000000512</v>
      </c>
      <c r="J2672" cm="1">
        <f t="array" ref="J2672">_xlfn.XLOOKUP(TEXT(A2672, "mmm-yy"), TEXT([2]GASOLINE!$B$5:$B$208, "mmm-yy"), [2]GASOLINE!$IR$5:$IR$208, "Not Found")</f>
        <v>-336.15846097684653</v>
      </c>
      <c r="K2672" cm="1">
        <f t="array" ref="K2672">_xlfn.XLOOKUP(TEXT(A2672, "mmm-yy"), TEXT([2]GASOLINE!$B$5:$B$208, "mmm-yy"), [2]GASOLINE!$IK$5:$IK$208, "Not Found")</f>
        <v>315.90567811073726</v>
      </c>
      <c r="L2672">
        <f t="shared" si="41"/>
        <v>0</v>
      </c>
      <c r="M2672" cm="1">
        <f t="array" ref="M2672">_xlfn.XLOOKUP(TEXT(A2672, "mmm-yy"), TEXT([2]GASOLINE!$B$5:$B$208, "mmm-yy"), [2]GASOLINE!$C$5:$C$208, "Not Found")</f>
        <v>7825.4469950727453</v>
      </c>
      <c r="N2672" cm="1">
        <f t="array" ref="N2672">_xlfn.XLOOKUP(TEXT(A2672, "mmm-yy"), TEXT([2]RUNS!$B$5:$B$208, "mmm-yy"), [2]RUNS!$BM$5:$BM$208, "Not Found")</f>
        <v>0.84556206921692378</v>
      </c>
    </row>
    <row r="2673" spans="1:14" x14ac:dyDescent="0.25">
      <c r="A2673" s="1">
        <f>'[1]Global_Spot Prices'!$B3982</f>
        <v>45744</v>
      </c>
      <c r="B2673">
        <f ca="1">_xlfn.XLOOKUP(A2673,'[1]Global_Spot Prices'!$B:$B,'[1]Global_Spot Prices'!$BS:$BS)</f>
        <v>6.5600000000000023</v>
      </c>
      <c r="C2673">
        <f>_xlfn.XLOOKUP(A2673,'[1]Global_Spot Prices'!$B:$B,'[1]Global_Spot Prices'!$E:$E)</f>
        <v>75.849999999999994</v>
      </c>
      <c r="D2673">
        <f>_xlfn.XLOOKUP(A2673,'[1]Global_Spot Prices'!$B:$B,'[1]Global_Spot Prices'!$D:$D)</f>
        <v>74.489999999999995</v>
      </c>
      <c r="E2673">
        <f>_xlfn.XLOOKUP(A2673,'[1]Global_Spot Prices'!$B:$B,'[1]Global_Spot Prices'!$H:$H)</f>
        <v>70.650000000000006</v>
      </c>
      <c r="F2673">
        <f>_xlfn.XLOOKUP(A2673,'[1]Global_Spot Prices'!$B:$B,'[1]Global_Spot Prices'!$I:$I)</f>
        <v>82.41</v>
      </c>
      <c r="G2673" cm="1">
        <f t="array" ref="G2673">_xlfn.XLOOKUP(TEXT(A2673, "mmm-yy"), TEXT([2]RUNS!$B$5:$B$208, "mmm-yy"), [2]RUNS!$D$5:$D$208, "Not Found")</f>
        <v>31075.167049584252</v>
      </c>
      <c r="H2673" cm="1">
        <f t="array" ref="H2673">SUMPRODUCT(
    --(TEXT('[3]Global Weekly Stock (EWSuez'!$B$4:$B$2000,"mmm-yy")=TEXT(A2673,"mmm-yy")),
    '[3]Global Weekly Stock (EWSuez'!$E$4:$E$2000)
/
SUMPRODUCT(
    --(TEXT('[3]Global Weekly Stock (EWSuez'!$B$4:$B$2000,"mmm-yy")=TEXT(A2673,"mmm-yy"))
)</f>
        <v>16039.5</v>
      </c>
      <c r="I2673">
        <f>_xlfn.XLOOKUP(A2673,[1]ForwardDeriv!$D:$D,[1]ForwardDeriv!$AJ:$AJ)</f>
        <v>0.65999999999999659</v>
      </c>
      <c r="J2673" cm="1">
        <f t="array" ref="J2673">_xlfn.XLOOKUP(TEXT(A2673, "mmm-yy"), TEXT([2]GASOLINE!$B$5:$B$208, "mmm-yy"), [2]GASOLINE!$IR$5:$IR$208, "Not Found")</f>
        <v>-336.15846097684653</v>
      </c>
      <c r="K2673" cm="1">
        <f t="array" ref="K2673">_xlfn.XLOOKUP(TEXT(A2673, "mmm-yy"), TEXT([2]GASOLINE!$B$5:$B$208, "mmm-yy"), [2]GASOLINE!$IK$5:$IK$208, "Not Found")</f>
        <v>315.90567811073726</v>
      </c>
      <c r="L2673">
        <f t="shared" si="41"/>
        <v>0</v>
      </c>
      <c r="M2673" cm="1">
        <f t="array" ref="M2673">_xlfn.XLOOKUP(TEXT(A2673, "mmm-yy"), TEXT([2]GASOLINE!$B$5:$B$208, "mmm-yy"), [2]GASOLINE!$C$5:$C$208, "Not Found")</f>
        <v>7825.4469950727453</v>
      </c>
      <c r="N2673" cm="1">
        <f t="array" ref="N2673">_xlfn.XLOOKUP(TEXT(A2673, "mmm-yy"), TEXT([2]RUNS!$B$5:$B$208, "mmm-yy"), [2]RUNS!$BM$5:$BM$208, "Not Found")</f>
        <v>0.84556206921692378</v>
      </c>
    </row>
    <row r="2674" spans="1:14" x14ac:dyDescent="0.25">
      <c r="A2674" s="1">
        <f>'[1]Global_Spot Prices'!$B3983</f>
        <v>45747</v>
      </c>
      <c r="B2674" t="e">
        <f>_xlfn.XLOOKUP(A2674,'[1]Global_Spot Prices'!$B:$B,'[1]Global_Spot Prices'!$BS:$BS)</f>
        <v>#N/A</v>
      </c>
      <c r="C2674" t="str">
        <f>_xlfn.XLOOKUP(A2674,'[1]Global_Spot Prices'!$B:$B,'[1]Global_Spot Prices'!$E:$E)</f>
        <v/>
      </c>
      <c r="D2674">
        <f>_xlfn.XLOOKUP(A2674,'[1]Global_Spot Prices'!$B:$B,'[1]Global_Spot Prices'!$D:$D)</f>
        <v>77.27</v>
      </c>
      <c r="E2674">
        <f>_xlfn.XLOOKUP(A2674,'[1]Global_Spot Prices'!$B:$B,'[1]Global_Spot Prices'!$H:$H)</f>
        <v>0</v>
      </c>
      <c r="F2674">
        <f>_xlfn.XLOOKUP(A2674,'[1]Global_Spot Prices'!$B:$B,'[1]Global_Spot Prices'!$I:$I)</f>
        <v>0</v>
      </c>
      <c r="G2674" cm="1">
        <f t="array" ref="G2674">_xlfn.XLOOKUP(TEXT(A2674, "mmm-yy"), TEXT([2]RUNS!$B$5:$B$208, "mmm-yy"), [2]RUNS!$D$5:$D$208, "Not Found")</f>
        <v>31075.167049584252</v>
      </c>
      <c r="H2674" cm="1">
        <f t="array" ref="H2674">SUMPRODUCT(
    --(TEXT('[3]Global Weekly Stock (EWSuez'!$B$4:$B$2000,"mmm-yy")=TEXT(A2674,"mmm-yy")),
    '[3]Global Weekly Stock (EWSuez'!$E$4:$E$2000)
/
SUMPRODUCT(
    --(TEXT('[3]Global Weekly Stock (EWSuez'!$B$4:$B$2000,"mmm-yy")=TEXT(A2674,"mmm-yy"))
)</f>
        <v>16039.5</v>
      </c>
      <c r="I2674">
        <f>_xlfn.XLOOKUP(A2674,[1]ForwardDeriv!$D:$D,[1]ForwardDeriv!$AJ:$AJ)</f>
        <v>0.85000000000000853</v>
      </c>
      <c r="J2674" cm="1">
        <f t="array" ref="J2674">_xlfn.XLOOKUP(TEXT(A2674, "mmm-yy"), TEXT([2]GASOLINE!$B$5:$B$208, "mmm-yy"), [2]GASOLINE!$IR$5:$IR$208, "Not Found")</f>
        <v>-336.15846097684653</v>
      </c>
      <c r="K2674" cm="1">
        <f t="array" ref="K2674">_xlfn.XLOOKUP(TEXT(A2674, "mmm-yy"), TEXT([2]GASOLINE!$B$5:$B$208, "mmm-yy"), [2]GASOLINE!$IK$5:$IK$208, "Not Found")</f>
        <v>315.90567811073726</v>
      </c>
      <c r="L2674">
        <f t="shared" si="41"/>
        <v>0</v>
      </c>
      <c r="M2674" cm="1">
        <f t="array" ref="M2674">_xlfn.XLOOKUP(TEXT(A2674, "mmm-yy"), TEXT([2]GASOLINE!$B$5:$B$208, "mmm-yy"), [2]GASOLINE!$C$5:$C$208, "Not Found")</f>
        <v>7825.4469950727453</v>
      </c>
      <c r="N2674" cm="1">
        <f t="array" ref="N2674">_xlfn.XLOOKUP(TEXT(A2674, "mmm-yy"), TEXT([2]RUNS!$B$5:$B$208, "mmm-yy"), [2]RUNS!$BM$5:$BM$208, "Not Found")</f>
        <v>0.84556206921692378</v>
      </c>
    </row>
    <row r="2675" spans="1:14" x14ac:dyDescent="0.25">
      <c r="A2675" s="1">
        <f>'[1]Global_Spot Prices'!$B3984</f>
        <v>45748</v>
      </c>
      <c r="B2675">
        <f>_xlfn.XLOOKUP(A2675,'[1]Global_Spot Prices'!$B:$B,'[1]Global_Spot Prices'!$BS:$BS)</f>
        <v>7.7399999999999949</v>
      </c>
      <c r="C2675">
        <f>_xlfn.XLOOKUP(A2675,'[1]Global_Spot Prices'!$B:$B,'[1]Global_Spot Prices'!$E:$E)</f>
        <v>75.95</v>
      </c>
      <c r="D2675">
        <f>_xlfn.XLOOKUP(A2675,'[1]Global_Spot Prices'!$B:$B,'[1]Global_Spot Prices'!$D:$D)</f>
        <v>77.680000000000007</v>
      </c>
      <c r="E2675">
        <f>_xlfn.XLOOKUP(A2675,'[1]Global_Spot Prices'!$B:$B,'[1]Global_Spot Prices'!$H:$H)</f>
        <v>71.260000000000005</v>
      </c>
      <c r="F2675">
        <f>_xlfn.XLOOKUP(A2675,'[1]Global_Spot Prices'!$B:$B,'[1]Global_Spot Prices'!$I:$I)</f>
        <v>83.69</v>
      </c>
      <c r="G2675" cm="1">
        <f t="array" ref="G2675">_xlfn.XLOOKUP(TEXT(A2675, "mmm-yy"), TEXT([2]RUNS!$B$5:$B$208, "mmm-yy"), [2]RUNS!$D$5:$D$208, "Not Found")</f>
        <v>30387.620252608445</v>
      </c>
      <c r="H2675" cm="1">
        <f t="array" ref="H2675">SUMPRODUCT(
    --(TEXT('[3]Global Weekly Stock (EWSuez'!$B$4:$B$2000,"mmm-yy")=TEXT(A2675,"mmm-yy")),
    '[3]Global Weekly Stock (EWSuez'!$E$4:$E$2000)
/
SUMPRODUCT(
    --(TEXT('[3]Global Weekly Stock (EWSuez'!$B$4:$B$2000,"mmm-yy")=TEXT(A2675,"mmm-yy"))
)</f>
        <v>14823.5</v>
      </c>
      <c r="I2675">
        <f>_xlfn.XLOOKUP(A2675,[1]ForwardDeriv!$D:$D,[1]ForwardDeriv!$AJ:$AJ)</f>
        <v>0.85000000000000853</v>
      </c>
      <c r="J2675" cm="1">
        <f t="array" ref="J2675">_xlfn.XLOOKUP(TEXT(A2675, "mmm-yy"), TEXT([2]GASOLINE!$B$5:$B$208, "mmm-yy"), [2]GASOLINE!$IR$5:$IR$208, "Not Found")</f>
        <v>-458.53392458099034</v>
      </c>
      <c r="K2675" cm="1">
        <f t="array" ref="K2675">_xlfn.XLOOKUP(TEXT(A2675, "mmm-yy"), TEXT([2]GASOLINE!$B$5:$B$208, "mmm-yy"), [2]GASOLINE!$IK$5:$IK$208, "Not Found")</f>
        <v>318.79722934213538</v>
      </c>
      <c r="L2675">
        <f t="shared" si="41"/>
        <v>0</v>
      </c>
      <c r="M2675" cm="1">
        <f t="array" ref="M2675">_xlfn.XLOOKUP(TEXT(A2675, "mmm-yy"), TEXT([2]GASOLINE!$B$5:$B$208, "mmm-yy"), [2]GASOLINE!$C$5:$C$208, "Not Found")</f>
        <v>7706.2808490220759</v>
      </c>
      <c r="N2675" cm="1">
        <f t="array" ref="N2675">_xlfn.XLOOKUP(TEXT(A2675, "mmm-yy"), TEXT([2]RUNS!$B$5:$B$208, "mmm-yy"), [2]RUNS!$BM$5:$BM$208, "Not Found")</f>
        <v>0.82685377099903512</v>
      </c>
    </row>
    <row r="2676" spans="1:14" x14ac:dyDescent="0.25">
      <c r="A2676" s="1">
        <f>'[1]Global_Spot Prices'!$B3985</f>
        <v>45749</v>
      </c>
      <c r="B2676">
        <f>_xlfn.XLOOKUP(A2676,'[1]Global_Spot Prices'!$B:$B,'[1]Global_Spot Prices'!$BS:$BS)</f>
        <v>7.8900000000000006</v>
      </c>
      <c r="C2676">
        <f>_xlfn.XLOOKUP(A2676,'[1]Global_Spot Prices'!$B:$B,'[1]Global_Spot Prices'!$E:$E)</f>
        <v>76.14</v>
      </c>
      <c r="D2676">
        <f>_xlfn.XLOOKUP(A2676,'[1]Global_Spot Prices'!$B:$B,'[1]Global_Spot Prices'!$D:$D)</f>
        <v>77.39</v>
      </c>
      <c r="E2676">
        <f>_xlfn.XLOOKUP(A2676,'[1]Global_Spot Prices'!$B:$B,'[1]Global_Spot Prices'!$H:$H)</f>
        <v>69.540000000000006</v>
      </c>
      <c r="F2676">
        <f>_xlfn.XLOOKUP(A2676,'[1]Global_Spot Prices'!$B:$B,'[1]Global_Spot Prices'!$I:$I)</f>
        <v>84.03</v>
      </c>
      <c r="G2676" cm="1">
        <f t="array" ref="G2676">_xlfn.XLOOKUP(TEXT(A2676, "mmm-yy"), TEXT([2]RUNS!$B$5:$B$208, "mmm-yy"), [2]RUNS!$D$5:$D$208, "Not Found")</f>
        <v>30387.620252608445</v>
      </c>
      <c r="H2676" cm="1">
        <f t="array" ref="H2676">SUMPRODUCT(
    --(TEXT('[3]Global Weekly Stock (EWSuez'!$B$4:$B$2000,"mmm-yy")=TEXT(A2676,"mmm-yy")),
    '[3]Global Weekly Stock (EWSuez'!$E$4:$E$2000)
/
SUMPRODUCT(
    --(TEXT('[3]Global Weekly Stock (EWSuez'!$B$4:$B$2000,"mmm-yy")=TEXT(A2676,"mmm-yy"))
)</f>
        <v>14823.5</v>
      </c>
      <c r="I2676">
        <f>_xlfn.XLOOKUP(A2676,[1]ForwardDeriv!$D:$D,[1]ForwardDeriv!$AJ:$AJ)</f>
        <v>0.87000000000000455</v>
      </c>
      <c r="J2676" cm="1">
        <f t="array" ref="J2676">_xlfn.XLOOKUP(TEXT(A2676, "mmm-yy"), TEXT([2]GASOLINE!$B$5:$B$208, "mmm-yy"), [2]GASOLINE!$IR$5:$IR$208, "Not Found")</f>
        <v>-458.53392458099034</v>
      </c>
      <c r="K2676" cm="1">
        <f t="array" ref="K2676">_xlfn.XLOOKUP(TEXT(A2676, "mmm-yy"), TEXT([2]GASOLINE!$B$5:$B$208, "mmm-yy"), [2]GASOLINE!$IK$5:$IK$208, "Not Found")</f>
        <v>318.79722934213538</v>
      </c>
      <c r="L2676">
        <f t="shared" si="41"/>
        <v>0</v>
      </c>
      <c r="M2676" cm="1">
        <f t="array" ref="M2676">_xlfn.XLOOKUP(TEXT(A2676, "mmm-yy"), TEXT([2]GASOLINE!$B$5:$B$208, "mmm-yy"), [2]GASOLINE!$C$5:$C$208, "Not Found")</f>
        <v>7706.2808490220759</v>
      </c>
      <c r="N2676" cm="1">
        <f t="array" ref="N2676">_xlfn.XLOOKUP(TEXT(A2676, "mmm-yy"), TEXT([2]RUNS!$B$5:$B$208, "mmm-yy"), [2]RUNS!$BM$5:$BM$208, "Not Found")</f>
        <v>0.82685377099903512</v>
      </c>
    </row>
    <row r="2677" spans="1:14" x14ac:dyDescent="0.25">
      <c r="A2677" s="1">
        <f>'[1]Global_Spot Prices'!$B3986</f>
        <v>45750</v>
      </c>
      <c r="B2677">
        <f ca="1">_xlfn.XLOOKUP(A2677,'[1]Global_Spot Prices'!$B:$B,'[1]Global_Spot Prices'!$BS:$BS)</f>
        <v>6.5100000000000051</v>
      </c>
      <c r="C2677">
        <f>_xlfn.XLOOKUP(A2677,'[1]Global_Spot Prices'!$B:$B,'[1]Global_Spot Prices'!$E:$E)</f>
        <v>75.099999999999994</v>
      </c>
      <c r="D2677">
        <f>_xlfn.XLOOKUP(A2677,'[1]Global_Spot Prices'!$B:$B,'[1]Global_Spot Prices'!$D:$D)</f>
        <v>72.489999999999995</v>
      </c>
      <c r="E2677">
        <f>_xlfn.XLOOKUP(A2677,'[1]Global_Spot Prices'!$B:$B,'[1]Global_Spot Prices'!$H:$H)</f>
        <v>66.67</v>
      </c>
      <c r="F2677">
        <f>_xlfn.XLOOKUP(A2677,'[1]Global_Spot Prices'!$B:$B,'[1]Global_Spot Prices'!$I:$I)</f>
        <v>81.61</v>
      </c>
      <c r="G2677" cm="1">
        <f t="array" ref="G2677">_xlfn.XLOOKUP(TEXT(A2677, "mmm-yy"), TEXT([2]RUNS!$B$5:$B$208, "mmm-yy"), [2]RUNS!$D$5:$D$208, "Not Found")</f>
        <v>30387.620252608445</v>
      </c>
      <c r="H2677" cm="1">
        <f t="array" ref="H2677">SUMPRODUCT(
    --(TEXT('[3]Global Weekly Stock (EWSuez'!$B$4:$B$2000,"mmm-yy")=TEXT(A2677,"mmm-yy")),
    '[3]Global Weekly Stock (EWSuez'!$E$4:$E$2000)
/
SUMPRODUCT(
    --(TEXT('[3]Global Weekly Stock (EWSuez'!$B$4:$B$2000,"mmm-yy")=TEXT(A2677,"mmm-yy"))
)</f>
        <v>14823.5</v>
      </c>
      <c r="I2677">
        <f>_xlfn.XLOOKUP(A2677,[1]ForwardDeriv!$D:$D,[1]ForwardDeriv!$AJ:$AJ)</f>
        <v>0.78000000000000114</v>
      </c>
      <c r="J2677" cm="1">
        <f t="array" ref="J2677">_xlfn.XLOOKUP(TEXT(A2677, "mmm-yy"), TEXT([2]GASOLINE!$B$5:$B$208, "mmm-yy"), [2]GASOLINE!$IR$5:$IR$208, "Not Found")</f>
        <v>-458.53392458099034</v>
      </c>
      <c r="K2677" cm="1">
        <f t="array" ref="K2677">_xlfn.XLOOKUP(TEXT(A2677, "mmm-yy"), TEXT([2]GASOLINE!$B$5:$B$208, "mmm-yy"), [2]GASOLINE!$IK$5:$IK$208, "Not Found")</f>
        <v>318.79722934213538</v>
      </c>
      <c r="L2677">
        <f t="shared" si="41"/>
        <v>0</v>
      </c>
      <c r="M2677" cm="1">
        <f t="array" ref="M2677">_xlfn.XLOOKUP(TEXT(A2677, "mmm-yy"), TEXT([2]GASOLINE!$B$5:$B$208, "mmm-yy"), [2]GASOLINE!$C$5:$C$208, "Not Found")</f>
        <v>7706.2808490220759</v>
      </c>
      <c r="N2677" cm="1">
        <f t="array" ref="N2677">_xlfn.XLOOKUP(TEXT(A2677, "mmm-yy"), TEXT([2]RUNS!$B$5:$B$208, "mmm-yy"), [2]RUNS!$BM$5:$BM$208, "Not Found")</f>
        <v>0.82685377099903512</v>
      </c>
    </row>
    <row r="2678" spans="1:14" x14ac:dyDescent="0.25">
      <c r="A2678" s="1">
        <f>'[1]Global_Spot Prices'!$B3987</f>
        <v>45751</v>
      </c>
      <c r="B2678">
        <f>_xlfn.XLOOKUP(A2678,'[1]Global_Spot Prices'!$B:$B,'[1]Global_Spot Prices'!$BS:$BS)</f>
        <v>5.8400000000000034</v>
      </c>
      <c r="C2678">
        <f>_xlfn.XLOOKUP(A2678,'[1]Global_Spot Prices'!$B:$B,'[1]Global_Spot Prices'!$E:$E)</f>
        <v>70.5</v>
      </c>
      <c r="D2678">
        <f>_xlfn.XLOOKUP(A2678,'[1]Global_Spot Prices'!$B:$B,'[1]Global_Spot Prices'!$D:$D)</f>
        <v>67.894999999999996</v>
      </c>
      <c r="E2678">
        <f>_xlfn.XLOOKUP(A2678,'[1]Global_Spot Prices'!$B:$B,'[1]Global_Spot Prices'!$H:$H)</f>
        <v>62.8</v>
      </c>
      <c r="F2678">
        <f>_xlfn.XLOOKUP(A2678,'[1]Global_Spot Prices'!$B:$B,'[1]Global_Spot Prices'!$I:$I)</f>
        <v>76.34</v>
      </c>
      <c r="G2678" cm="1">
        <f t="array" ref="G2678">_xlfn.XLOOKUP(TEXT(A2678, "mmm-yy"), TEXT([2]RUNS!$B$5:$B$208, "mmm-yy"), [2]RUNS!$D$5:$D$208, "Not Found")</f>
        <v>30387.620252608445</v>
      </c>
      <c r="H2678" cm="1">
        <f t="array" ref="H2678">SUMPRODUCT(
    --(TEXT('[3]Global Weekly Stock (EWSuez'!$B$4:$B$2000,"mmm-yy")=TEXT(A2678,"mmm-yy")),
    '[3]Global Weekly Stock (EWSuez'!$E$4:$E$2000)
/
SUMPRODUCT(
    --(TEXT('[3]Global Weekly Stock (EWSuez'!$B$4:$B$2000,"mmm-yy")=TEXT(A2678,"mmm-yy"))
)</f>
        <v>14823.5</v>
      </c>
      <c r="I2678">
        <f>_xlfn.XLOOKUP(A2678,[1]ForwardDeriv!$D:$D,[1]ForwardDeriv!$AJ:$AJ)</f>
        <v>0.55000000000001137</v>
      </c>
      <c r="J2678" cm="1">
        <f t="array" ref="J2678">_xlfn.XLOOKUP(TEXT(A2678, "mmm-yy"), TEXT([2]GASOLINE!$B$5:$B$208, "mmm-yy"), [2]GASOLINE!$IR$5:$IR$208, "Not Found")</f>
        <v>-458.53392458099034</v>
      </c>
      <c r="K2678" cm="1">
        <f t="array" ref="K2678">_xlfn.XLOOKUP(TEXT(A2678, "mmm-yy"), TEXT([2]GASOLINE!$B$5:$B$208, "mmm-yy"), [2]GASOLINE!$IK$5:$IK$208, "Not Found")</f>
        <v>318.79722934213538</v>
      </c>
      <c r="L2678">
        <f t="shared" si="41"/>
        <v>0</v>
      </c>
      <c r="M2678" cm="1">
        <f t="array" ref="M2678">_xlfn.XLOOKUP(TEXT(A2678, "mmm-yy"), TEXT([2]GASOLINE!$B$5:$B$208, "mmm-yy"), [2]GASOLINE!$C$5:$C$208, "Not Found")</f>
        <v>7706.2808490220759</v>
      </c>
      <c r="N2678" cm="1">
        <f t="array" ref="N2678">_xlfn.XLOOKUP(TEXT(A2678, "mmm-yy"), TEXT([2]RUNS!$B$5:$B$208, "mmm-yy"), [2]RUNS!$BM$5:$BM$208, "Not Found")</f>
        <v>0.82685377099903512</v>
      </c>
    </row>
    <row r="2679" spans="1:14" x14ac:dyDescent="0.25">
      <c r="A2679" s="1">
        <f>'[1]Global_Spot Prices'!$B3988</f>
        <v>45754</v>
      </c>
      <c r="B2679">
        <f>_xlfn.XLOOKUP(A2679,'[1]Global_Spot Prices'!$B:$B,'[1]Global_Spot Prices'!$BS:$BS)</f>
        <v>6.8400000000000034</v>
      </c>
      <c r="C2679">
        <f>_xlfn.XLOOKUP(A2679,'[1]Global_Spot Prices'!$B:$B,'[1]Global_Spot Prices'!$E:$E)</f>
        <v>64.55</v>
      </c>
      <c r="D2679">
        <f>_xlfn.XLOOKUP(A2679,'[1]Global_Spot Prices'!$B:$B,'[1]Global_Spot Prices'!$D:$D)</f>
        <v>66.680000000000007</v>
      </c>
      <c r="E2679">
        <f>_xlfn.XLOOKUP(A2679,'[1]Global_Spot Prices'!$B:$B,'[1]Global_Spot Prices'!$H:$H)</f>
        <v>56.31</v>
      </c>
      <c r="F2679">
        <f>_xlfn.XLOOKUP(A2679,'[1]Global_Spot Prices'!$B:$B,'[1]Global_Spot Prices'!$I:$I)</f>
        <v>71.39</v>
      </c>
      <c r="G2679" cm="1">
        <f t="array" ref="G2679">_xlfn.XLOOKUP(TEXT(A2679, "mmm-yy"), TEXT([2]RUNS!$B$5:$B$208, "mmm-yy"), [2]RUNS!$D$5:$D$208, "Not Found")</f>
        <v>30387.620252608445</v>
      </c>
      <c r="H2679" cm="1">
        <f t="array" ref="H2679">SUMPRODUCT(
    --(TEXT('[3]Global Weekly Stock (EWSuez'!$B$4:$B$2000,"mmm-yy")=TEXT(A2679,"mmm-yy")),
    '[3]Global Weekly Stock (EWSuez'!$E$4:$E$2000)
/
SUMPRODUCT(
    --(TEXT('[3]Global Weekly Stock (EWSuez'!$B$4:$B$2000,"mmm-yy")=TEXT(A2679,"mmm-yy"))
)</f>
        <v>14823.5</v>
      </c>
      <c r="I2679">
        <f>_xlfn.XLOOKUP(A2679,[1]ForwardDeriv!$D:$D,[1]ForwardDeriv!$AJ:$AJ)</f>
        <v>0.45999999999999375</v>
      </c>
      <c r="J2679" cm="1">
        <f t="array" ref="J2679">_xlfn.XLOOKUP(TEXT(A2679, "mmm-yy"), TEXT([2]GASOLINE!$B$5:$B$208, "mmm-yy"), [2]GASOLINE!$IR$5:$IR$208, "Not Found")</f>
        <v>-458.53392458099034</v>
      </c>
      <c r="K2679" cm="1">
        <f t="array" ref="K2679">_xlfn.XLOOKUP(TEXT(A2679, "mmm-yy"), TEXT([2]GASOLINE!$B$5:$B$208, "mmm-yy"), [2]GASOLINE!$IK$5:$IK$208, "Not Found")</f>
        <v>318.79722934213538</v>
      </c>
      <c r="L2679">
        <f t="shared" si="41"/>
        <v>0</v>
      </c>
      <c r="M2679" cm="1">
        <f t="array" ref="M2679">_xlfn.XLOOKUP(TEXT(A2679, "mmm-yy"), TEXT([2]GASOLINE!$B$5:$B$208, "mmm-yy"), [2]GASOLINE!$C$5:$C$208, "Not Found")</f>
        <v>7706.2808490220759</v>
      </c>
      <c r="N2679" cm="1">
        <f t="array" ref="N2679">_xlfn.XLOOKUP(TEXT(A2679, "mmm-yy"), TEXT([2]RUNS!$B$5:$B$208, "mmm-yy"), [2]RUNS!$BM$5:$BM$208, "Not Found")</f>
        <v>0.82685377099903512</v>
      </c>
    </row>
    <row r="2680" spans="1:14" x14ac:dyDescent="0.25">
      <c r="A2680" s="1">
        <f>'[1]Global_Spot Prices'!$B3989</f>
        <v>45755</v>
      </c>
      <c r="B2680">
        <f>_xlfn.XLOOKUP(A2680,'[1]Global_Spot Prices'!$B:$B,'[1]Global_Spot Prices'!$BS:$BS)</f>
        <v>7.519999999999996</v>
      </c>
      <c r="C2680">
        <f>_xlfn.XLOOKUP(A2680,'[1]Global_Spot Prices'!$B:$B,'[1]Global_Spot Prices'!$E:$E)</f>
        <v>65.2</v>
      </c>
      <c r="D2680">
        <f ca="1">_xlfn.XLOOKUP(A2680,'[1]Global_Spot Prices'!$B:$B,'[1]Global_Spot Prices'!$D:$D)</f>
        <v>66.185000000000002</v>
      </c>
      <c r="E2680">
        <f>_xlfn.XLOOKUP(A2680,'[1]Global_Spot Prices'!$B:$B,'[1]Global_Spot Prices'!$H:$H)</f>
        <v>57.59</v>
      </c>
      <c r="F2680">
        <f>_xlfn.XLOOKUP(A2680,'[1]Global_Spot Prices'!$B:$B,'[1]Global_Spot Prices'!$I:$I)</f>
        <v>72.72</v>
      </c>
      <c r="G2680" cm="1">
        <f t="array" ref="G2680">_xlfn.XLOOKUP(TEXT(A2680, "mmm-yy"), TEXT([2]RUNS!$B$5:$B$208, "mmm-yy"), [2]RUNS!$D$5:$D$208, "Not Found")</f>
        <v>30387.620252608445</v>
      </c>
      <c r="H2680" cm="1">
        <f t="array" ref="H2680">SUMPRODUCT(
    --(TEXT('[3]Global Weekly Stock (EWSuez'!$B$4:$B$2000,"mmm-yy")=TEXT(A2680,"mmm-yy")),
    '[3]Global Weekly Stock (EWSuez'!$E$4:$E$2000)
/
SUMPRODUCT(
    --(TEXT('[3]Global Weekly Stock (EWSuez'!$B$4:$B$2000,"mmm-yy")=TEXT(A2680,"mmm-yy"))
)</f>
        <v>14823.5</v>
      </c>
      <c r="I2680">
        <f>_xlfn.XLOOKUP(A2680,[1]ForwardDeriv!$D:$D,[1]ForwardDeriv!$AJ:$AJ)</f>
        <v>0.56000000000000227</v>
      </c>
      <c r="J2680" cm="1">
        <f t="array" ref="J2680">_xlfn.XLOOKUP(TEXT(A2680, "mmm-yy"), TEXT([2]GASOLINE!$B$5:$B$208, "mmm-yy"), [2]GASOLINE!$IR$5:$IR$208, "Not Found")</f>
        <v>-458.53392458099034</v>
      </c>
      <c r="K2680" cm="1">
        <f t="array" ref="K2680">_xlfn.XLOOKUP(TEXT(A2680, "mmm-yy"), TEXT([2]GASOLINE!$B$5:$B$208, "mmm-yy"), [2]GASOLINE!$IK$5:$IK$208, "Not Found")</f>
        <v>318.79722934213538</v>
      </c>
      <c r="L2680">
        <f t="shared" si="41"/>
        <v>0</v>
      </c>
      <c r="M2680" cm="1">
        <f t="array" ref="M2680">_xlfn.XLOOKUP(TEXT(A2680, "mmm-yy"), TEXT([2]GASOLINE!$B$5:$B$208, "mmm-yy"), [2]GASOLINE!$C$5:$C$208, "Not Found")</f>
        <v>7706.2808490220759</v>
      </c>
      <c r="N2680" cm="1">
        <f t="array" ref="N2680">_xlfn.XLOOKUP(TEXT(A2680, "mmm-yy"), TEXT([2]RUNS!$B$5:$B$208, "mmm-yy"), [2]RUNS!$BM$5:$BM$208, "Not Found")</f>
        <v>0.82685377099903512</v>
      </c>
    </row>
    <row r="2681" spans="1:14" x14ac:dyDescent="0.25">
      <c r="A2681" s="1">
        <f>'[1]Global_Spot Prices'!$B3990</f>
        <v>45756</v>
      </c>
      <c r="B2681">
        <f>_xlfn.XLOOKUP(A2681,'[1]Global_Spot Prices'!$B:$B,'[1]Global_Spot Prices'!$BS:$BS)</f>
        <v>6.9600000000000009</v>
      </c>
      <c r="C2681">
        <f>_xlfn.XLOOKUP(A2681,'[1]Global_Spot Prices'!$B:$B,'[1]Global_Spot Prices'!$E:$E)</f>
        <v>61.9</v>
      </c>
      <c r="D2681">
        <f>_xlfn.XLOOKUP(A2681,'[1]Global_Spot Prices'!$B:$B,'[1]Global_Spot Prices'!$D:$D)</f>
        <v>62.685000000000002</v>
      </c>
      <c r="E2681">
        <f>_xlfn.XLOOKUP(A2681,'[1]Global_Spot Prices'!$B:$B,'[1]Global_Spot Prices'!$H:$H)</f>
        <v>55.42</v>
      </c>
      <c r="F2681">
        <f ca="1">_xlfn.XLOOKUP(A2681,'[1]Global_Spot Prices'!$B:$B,'[1]Global_Spot Prices'!$I:$I)</f>
        <v>68.86</v>
      </c>
      <c r="G2681" cm="1">
        <f t="array" ref="G2681">_xlfn.XLOOKUP(TEXT(A2681, "mmm-yy"), TEXT([2]RUNS!$B$5:$B$208, "mmm-yy"), [2]RUNS!$D$5:$D$208, "Not Found")</f>
        <v>30387.620252608445</v>
      </c>
      <c r="H2681" cm="1">
        <f t="array" ref="H2681">SUMPRODUCT(
    --(TEXT('[3]Global Weekly Stock (EWSuez'!$B$4:$B$2000,"mmm-yy")=TEXT(A2681,"mmm-yy")),
    '[3]Global Weekly Stock (EWSuez'!$E$4:$E$2000)
/
SUMPRODUCT(
    --(TEXT('[3]Global Weekly Stock (EWSuez'!$B$4:$B$2000,"mmm-yy")=TEXT(A2681,"mmm-yy"))
)</f>
        <v>14823.5</v>
      </c>
      <c r="I2681">
        <f>_xlfn.XLOOKUP(A2681,[1]ForwardDeriv!$D:$D,[1]ForwardDeriv!$AJ:$AJ)</f>
        <v>0.53000000000000114</v>
      </c>
      <c r="J2681" cm="1">
        <f t="array" ref="J2681">_xlfn.XLOOKUP(TEXT(A2681, "mmm-yy"), TEXT([2]GASOLINE!$B$5:$B$208, "mmm-yy"), [2]GASOLINE!$IR$5:$IR$208, "Not Found")</f>
        <v>-458.53392458099034</v>
      </c>
      <c r="K2681" cm="1">
        <f t="array" ref="K2681">_xlfn.XLOOKUP(TEXT(A2681, "mmm-yy"), TEXT([2]GASOLINE!$B$5:$B$208, "mmm-yy"), [2]GASOLINE!$IK$5:$IK$208, "Not Found")</f>
        <v>318.79722934213538</v>
      </c>
      <c r="L2681">
        <f t="shared" si="41"/>
        <v>0</v>
      </c>
      <c r="M2681" cm="1">
        <f t="array" ref="M2681">_xlfn.XLOOKUP(TEXT(A2681, "mmm-yy"), TEXT([2]GASOLINE!$B$5:$B$208, "mmm-yy"), [2]GASOLINE!$C$5:$C$208, "Not Found")</f>
        <v>7706.2808490220759</v>
      </c>
      <c r="N2681" cm="1">
        <f t="array" ref="N2681">_xlfn.XLOOKUP(TEXT(A2681, "mmm-yy"), TEXT([2]RUNS!$B$5:$B$208, "mmm-yy"), [2]RUNS!$BM$5:$BM$208, "Not Found")</f>
        <v>0.82685377099903512</v>
      </c>
    </row>
    <row r="2682" spans="1:14" x14ac:dyDescent="0.25">
      <c r="A2682" s="1">
        <f>'[1]Global_Spot Prices'!$B3991</f>
        <v>45757</v>
      </c>
      <c r="B2682">
        <f>_xlfn.XLOOKUP(A2682,'[1]Global_Spot Prices'!$B:$B,'[1]Global_Spot Prices'!$BS:$BS)</f>
        <v>5.5599999999999881</v>
      </c>
      <c r="C2682">
        <f>_xlfn.XLOOKUP(A2682,'[1]Global_Spot Prices'!$B:$B,'[1]Global_Spot Prices'!$E:$E)</f>
        <v>65.400000000000006</v>
      </c>
      <c r="D2682">
        <f>_xlfn.XLOOKUP(A2682,'[1]Global_Spot Prices'!$B:$B,'[1]Global_Spot Prices'!$D:$D)</f>
        <v>65.435000000000002</v>
      </c>
      <c r="E2682">
        <f>_xlfn.XLOOKUP(A2682,'[1]Global_Spot Prices'!$B:$B,'[1]Global_Spot Prices'!$H:$H)</f>
        <v>58.73</v>
      </c>
      <c r="F2682">
        <f>_xlfn.XLOOKUP(A2682,'[1]Global_Spot Prices'!$B:$B,'[1]Global_Spot Prices'!$I:$I)</f>
        <v>70.959999999999994</v>
      </c>
      <c r="G2682" cm="1">
        <f t="array" ref="G2682">_xlfn.XLOOKUP(TEXT(A2682, "mmm-yy"), TEXT([2]RUNS!$B$5:$B$208, "mmm-yy"), [2]RUNS!$D$5:$D$208, "Not Found")</f>
        <v>30387.620252608445</v>
      </c>
      <c r="H2682" cm="1">
        <f t="array" ref="H2682">SUMPRODUCT(
    --(TEXT('[3]Global Weekly Stock (EWSuez'!$B$4:$B$2000,"mmm-yy")=TEXT(A2682,"mmm-yy")),
    '[3]Global Weekly Stock (EWSuez'!$E$4:$E$2000)
/
SUMPRODUCT(
    --(TEXT('[3]Global Weekly Stock (EWSuez'!$B$4:$B$2000,"mmm-yy")=TEXT(A2682,"mmm-yy"))
)</f>
        <v>14823.5</v>
      </c>
      <c r="I2682">
        <f>_xlfn.XLOOKUP(A2682,[1]ForwardDeriv!$D:$D,[1]ForwardDeriv!$AJ:$AJ)</f>
        <v>0.51999999999999602</v>
      </c>
      <c r="J2682" cm="1">
        <f t="array" ref="J2682">_xlfn.XLOOKUP(TEXT(A2682, "mmm-yy"), TEXT([2]GASOLINE!$B$5:$B$208, "mmm-yy"), [2]GASOLINE!$IR$5:$IR$208, "Not Found")</f>
        <v>-458.53392458099034</v>
      </c>
      <c r="K2682" cm="1">
        <f t="array" ref="K2682">_xlfn.XLOOKUP(TEXT(A2682, "mmm-yy"), TEXT([2]GASOLINE!$B$5:$B$208, "mmm-yy"), [2]GASOLINE!$IK$5:$IK$208, "Not Found")</f>
        <v>318.79722934213538</v>
      </c>
      <c r="L2682">
        <f t="shared" si="41"/>
        <v>0</v>
      </c>
      <c r="M2682" cm="1">
        <f t="array" ref="M2682">_xlfn.XLOOKUP(TEXT(A2682, "mmm-yy"), TEXT([2]GASOLINE!$B$5:$B$208, "mmm-yy"), [2]GASOLINE!$C$5:$C$208, "Not Found")</f>
        <v>7706.2808490220759</v>
      </c>
      <c r="N2682" cm="1">
        <f t="array" ref="N2682">_xlfn.XLOOKUP(TEXT(A2682, "mmm-yy"), TEXT([2]RUNS!$B$5:$B$208, "mmm-yy"), [2]RUNS!$BM$5:$BM$208, "Not Found")</f>
        <v>0.82685377099903512</v>
      </c>
    </row>
    <row r="2683" spans="1:14" x14ac:dyDescent="0.25">
      <c r="A2683" s="1">
        <f>'[1]Global_Spot Prices'!$B3992</f>
        <v>45758</v>
      </c>
      <c r="B2683">
        <f>_xlfn.XLOOKUP(A2683,'[1]Global_Spot Prices'!$B:$B,'[1]Global_Spot Prices'!$BS:$BS)</f>
        <v>5.4699999999999989</v>
      </c>
      <c r="C2683">
        <f>_xlfn.XLOOKUP(A2683,'[1]Global_Spot Prices'!$B:$B,'[1]Global_Spot Prices'!$E:$E)</f>
        <v>64.900000000000006</v>
      </c>
      <c r="D2683">
        <f>_xlfn.XLOOKUP(A2683,'[1]Global_Spot Prices'!$B:$B,'[1]Global_Spot Prices'!$D:$D)</f>
        <v>65.97</v>
      </c>
      <c r="E2683">
        <f>_xlfn.XLOOKUP(A2683,'[1]Global_Spot Prices'!$B:$B,'[1]Global_Spot Prices'!$H:$H)</f>
        <v>58.54</v>
      </c>
      <c r="F2683">
        <f>_xlfn.XLOOKUP(A2683,'[1]Global_Spot Prices'!$B:$B,'[1]Global_Spot Prices'!$I:$I)</f>
        <v>70.37</v>
      </c>
      <c r="G2683" cm="1">
        <f t="array" ref="G2683">_xlfn.XLOOKUP(TEXT(A2683, "mmm-yy"), TEXT([2]RUNS!$B$5:$B$208, "mmm-yy"), [2]RUNS!$D$5:$D$208, "Not Found")</f>
        <v>30387.620252608445</v>
      </c>
      <c r="H2683" cm="1">
        <f t="array" ref="H2683">SUMPRODUCT(
    --(TEXT('[3]Global Weekly Stock (EWSuez'!$B$4:$B$2000,"mmm-yy")=TEXT(A2683,"mmm-yy")),
    '[3]Global Weekly Stock (EWSuez'!$E$4:$E$2000)
/
SUMPRODUCT(
    --(TEXT('[3]Global Weekly Stock (EWSuez'!$B$4:$B$2000,"mmm-yy")=TEXT(A2683,"mmm-yy"))
)</f>
        <v>14823.5</v>
      </c>
      <c r="I2683">
        <f>_xlfn.XLOOKUP(A2683,[1]ForwardDeriv!$D:$D,[1]ForwardDeriv!$AJ:$AJ)</f>
        <v>0.45999999999999375</v>
      </c>
      <c r="J2683" cm="1">
        <f t="array" ref="J2683">_xlfn.XLOOKUP(TEXT(A2683, "mmm-yy"), TEXT([2]GASOLINE!$B$5:$B$208, "mmm-yy"), [2]GASOLINE!$IR$5:$IR$208, "Not Found")</f>
        <v>-458.53392458099034</v>
      </c>
      <c r="K2683" cm="1">
        <f t="array" ref="K2683">_xlfn.XLOOKUP(TEXT(A2683, "mmm-yy"), TEXT([2]GASOLINE!$B$5:$B$208, "mmm-yy"), [2]GASOLINE!$IK$5:$IK$208, "Not Found")</f>
        <v>318.79722934213538</v>
      </c>
      <c r="L2683">
        <f t="shared" si="41"/>
        <v>0</v>
      </c>
      <c r="M2683" cm="1">
        <f t="array" ref="M2683">_xlfn.XLOOKUP(TEXT(A2683, "mmm-yy"), TEXT([2]GASOLINE!$B$5:$B$208, "mmm-yy"), [2]GASOLINE!$C$5:$C$208, "Not Found")</f>
        <v>7706.2808490220759</v>
      </c>
      <c r="N2683" cm="1">
        <f t="array" ref="N2683">_xlfn.XLOOKUP(TEXT(A2683, "mmm-yy"), TEXT([2]RUNS!$B$5:$B$208, "mmm-yy"), [2]RUNS!$BM$5:$BM$208, "Not Found")</f>
        <v>0.82685377099903512</v>
      </c>
    </row>
    <row r="2684" spans="1:14" x14ac:dyDescent="0.25">
      <c r="A2684" s="1">
        <f>'[1]Global_Spot Prices'!$B3993</f>
        <v>45761</v>
      </c>
      <c r="B2684">
        <f>_xlfn.XLOOKUP(A2684,'[1]Global_Spot Prices'!$B:$B,'[1]Global_Spot Prices'!$BS:$BS)</f>
        <v>6.5699999999999932</v>
      </c>
      <c r="C2684">
        <f>_xlfn.XLOOKUP(A2684,'[1]Global_Spot Prices'!$B:$B,'[1]Global_Spot Prices'!$E:$E)</f>
        <v>66.23</v>
      </c>
      <c r="D2684">
        <f>_xlfn.XLOOKUP(A2684,'[1]Global_Spot Prices'!$B:$B,'[1]Global_Spot Prices'!$D:$D)</f>
        <v>66.844999999999999</v>
      </c>
      <c r="E2684">
        <f>_xlfn.XLOOKUP(A2684,'[1]Global_Spot Prices'!$B:$B,'[1]Global_Spot Prices'!$H:$H)</f>
        <v>60.85</v>
      </c>
      <c r="F2684">
        <f>_xlfn.XLOOKUP(A2684,'[1]Global_Spot Prices'!$B:$B,'[1]Global_Spot Prices'!$I:$I)</f>
        <v>72.8</v>
      </c>
      <c r="G2684" cm="1">
        <f t="array" ref="G2684">_xlfn.XLOOKUP(TEXT(A2684, "mmm-yy"), TEXT([2]RUNS!$B$5:$B$208, "mmm-yy"), [2]RUNS!$D$5:$D$208, "Not Found")</f>
        <v>30387.620252608445</v>
      </c>
      <c r="H2684" cm="1">
        <f t="array" ref="H2684">SUMPRODUCT(
    --(TEXT('[3]Global Weekly Stock (EWSuez'!$B$4:$B$2000,"mmm-yy")=TEXT(A2684,"mmm-yy")),
    '[3]Global Weekly Stock (EWSuez'!$E$4:$E$2000)
/
SUMPRODUCT(
    --(TEXT('[3]Global Weekly Stock (EWSuez'!$B$4:$B$2000,"mmm-yy")=TEXT(A2684,"mmm-yy"))
)</f>
        <v>14823.5</v>
      </c>
      <c r="I2684">
        <f>_xlfn.XLOOKUP(A2684,[1]ForwardDeriv!$D:$D,[1]ForwardDeriv!$AJ:$AJ)</f>
        <v>0.67000000000000171</v>
      </c>
      <c r="J2684" cm="1">
        <f t="array" ref="J2684">_xlfn.XLOOKUP(TEXT(A2684, "mmm-yy"), TEXT([2]GASOLINE!$B$5:$B$208, "mmm-yy"), [2]GASOLINE!$IR$5:$IR$208, "Not Found")</f>
        <v>-458.53392458099034</v>
      </c>
      <c r="K2684" cm="1">
        <f t="array" ref="K2684">_xlfn.XLOOKUP(TEXT(A2684, "mmm-yy"), TEXT([2]GASOLINE!$B$5:$B$208, "mmm-yy"), [2]GASOLINE!$IK$5:$IK$208, "Not Found")</f>
        <v>318.79722934213538</v>
      </c>
      <c r="L2684">
        <f t="shared" si="41"/>
        <v>0</v>
      </c>
      <c r="M2684" cm="1">
        <f t="array" ref="M2684">_xlfn.XLOOKUP(TEXT(A2684, "mmm-yy"), TEXT([2]GASOLINE!$B$5:$B$208, "mmm-yy"), [2]GASOLINE!$C$5:$C$208, "Not Found")</f>
        <v>7706.2808490220759</v>
      </c>
      <c r="N2684" cm="1">
        <f t="array" ref="N2684">_xlfn.XLOOKUP(TEXT(A2684, "mmm-yy"), TEXT([2]RUNS!$B$5:$B$208, "mmm-yy"), [2]RUNS!$BM$5:$BM$208, "Not Found")</f>
        <v>0.82685377099903512</v>
      </c>
    </row>
    <row r="2685" spans="1:14" x14ac:dyDescent="0.25">
      <c r="A2685" s="1">
        <f>'[1]Global_Spot Prices'!$B3994</f>
        <v>45762</v>
      </c>
      <c r="B2685">
        <f>_xlfn.XLOOKUP(A2685,'[1]Global_Spot Prices'!$B:$B,'[1]Global_Spot Prices'!$BS:$BS)</f>
        <v>6.5699999999999932</v>
      </c>
      <c r="C2685">
        <f>_xlfn.XLOOKUP(A2685,'[1]Global_Spot Prices'!$B:$B,'[1]Global_Spot Prices'!$E:$E)</f>
        <v>66.59</v>
      </c>
      <c r="D2685">
        <f>_xlfn.XLOOKUP(A2685,'[1]Global_Spot Prices'!$B:$B,'[1]Global_Spot Prices'!$D:$D)</f>
        <v>66.415000000000006</v>
      </c>
      <c r="E2685">
        <f>_xlfn.XLOOKUP(A2685,'[1]Global_Spot Prices'!$B:$B,'[1]Global_Spot Prices'!$H:$H)</f>
        <v>60.64</v>
      </c>
      <c r="F2685">
        <f>_xlfn.XLOOKUP(A2685,'[1]Global_Spot Prices'!$B:$B,'[1]Global_Spot Prices'!$I:$I)</f>
        <v>73.16</v>
      </c>
      <c r="G2685" cm="1">
        <f t="array" ref="G2685">_xlfn.XLOOKUP(TEXT(A2685, "mmm-yy"), TEXT([2]RUNS!$B$5:$B$208, "mmm-yy"), [2]RUNS!$D$5:$D$208, "Not Found")</f>
        <v>30387.620252608445</v>
      </c>
      <c r="H2685" cm="1">
        <f t="array" ref="H2685">SUMPRODUCT(
    --(TEXT('[3]Global Weekly Stock (EWSuez'!$B$4:$B$2000,"mmm-yy")=TEXT(A2685,"mmm-yy")),
    '[3]Global Weekly Stock (EWSuez'!$E$4:$E$2000)
/
SUMPRODUCT(
    --(TEXT('[3]Global Weekly Stock (EWSuez'!$B$4:$B$2000,"mmm-yy")=TEXT(A2685,"mmm-yy"))
)</f>
        <v>14823.5</v>
      </c>
      <c r="I2685">
        <f>_xlfn.XLOOKUP(A2685,[1]ForwardDeriv!$D:$D,[1]ForwardDeriv!$AJ:$AJ)</f>
        <v>0.68000000000000682</v>
      </c>
      <c r="J2685" cm="1">
        <f t="array" ref="J2685">_xlfn.XLOOKUP(TEXT(A2685, "mmm-yy"), TEXT([2]GASOLINE!$B$5:$B$208, "mmm-yy"), [2]GASOLINE!$IR$5:$IR$208, "Not Found")</f>
        <v>-458.53392458099034</v>
      </c>
      <c r="K2685" cm="1">
        <f t="array" ref="K2685">_xlfn.XLOOKUP(TEXT(A2685, "mmm-yy"), TEXT([2]GASOLINE!$B$5:$B$208, "mmm-yy"), [2]GASOLINE!$IK$5:$IK$208, "Not Found")</f>
        <v>318.79722934213538</v>
      </c>
      <c r="L2685">
        <f t="shared" si="41"/>
        <v>0</v>
      </c>
      <c r="M2685" cm="1">
        <f t="array" ref="M2685">_xlfn.XLOOKUP(TEXT(A2685, "mmm-yy"), TEXT([2]GASOLINE!$B$5:$B$208, "mmm-yy"), [2]GASOLINE!$C$5:$C$208, "Not Found")</f>
        <v>7706.2808490220759</v>
      </c>
      <c r="N2685" cm="1">
        <f t="array" ref="N2685">_xlfn.XLOOKUP(TEXT(A2685, "mmm-yy"), TEXT([2]RUNS!$B$5:$B$208, "mmm-yy"), [2]RUNS!$BM$5:$BM$208, "Not Found")</f>
        <v>0.82685377099903512</v>
      </c>
    </row>
    <row r="2686" spans="1:14" x14ac:dyDescent="0.25">
      <c r="A2686" s="1">
        <f>'[1]Global_Spot Prices'!$B3995</f>
        <v>45763</v>
      </c>
      <c r="B2686">
        <f>_xlfn.XLOOKUP(A2686,'[1]Global_Spot Prices'!$B:$B,'[1]Global_Spot Prices'!$BS:$BS)</f>
        <v>7.1400000000000006</v>
      </c>
      <c r="C2686">
        <f>_xlfn.XLOOKUP(A2686,'[1]Global_Spot Prices'!$B:$B,'[1]Global_Spot Prices'!$E:$E)</f>
        <v>66.650000000000006</v>
      </c>
      <c r="D2686">
        <f>_xlfn.XLOOKUP(A2686,'[1]Global_Spot Prices'!$B:$B,'[1]Global_Spot Prices'!$D:$D)</f>
        <v>67.635000000000005</v>
      </c>
      <c r="E2686">
        <f>_xlfn.XLOOKUP(A2686,'[1]Global_Spot Prices'!$B:$B,'[1]Global_Spot Prices'!$H:$H)</f>
        <v>59.87</v>
      </c>
      <c r="F2686">
        <f>_xlfn.XLOOKUP(A2686,'[1]Global_Spot Prices'!$B:$B,'[1]Global_Spot Prices'!$I:$I)</f>
        <v>73.790000000000006</v>
      </c>
      <c r="G2686" cm="1">
        <f t="array" ref="G2686">_xlfn.XLOOKUP(TEXT(A2686, "mmm-yy"), TEXT([2]RUNS!$B$5:$B$208, "mmm-yy"), [2]RUNS!$D$5:$D$208, "Not Found")</f>
        <v>30387.620252608445</v>
      </c>
      <c r="H2686" cm="1">
        <f t="array" ref="H2686">SUMPRODUCT(
    --(TEXT('[3]Global Weekly Stock (EWSuez'!$B$4:$B$2000,"mmm-yy")=TEXT(A2686,"mmm-yy")),
    '[3]Global Weekly Stock (EWSuez'!$E$4:$E$2000)
/
SUMPRODUCT(
    --(TEXT('[3]Global Weekly Stock (EWSuez'!$B$4:$B$2000,"mmm-yy")=TEXT(A2686,"mmm-yy"))
)</f>
        <v>14823.5</v>
      </c>
      <c r="I2686">
        <f>_xlfn.XLOOKUP(A2686,[1]ForwardDeriv!$D:$D,[1]ForwardDeriv!$AJ:$AJ)</f>
        <v>0.81000000000000227</v>
      </c>
      <c r="J2686" cm="1">
        <f t="array" ref="J2686">_xlfn.XLOOKUP(TEXT(A2686, "mmm-yy"), TEXT([2]GASOLINE!$B$5:$B$208, "mmm-yy"), [2]GASOLINE!$IR$5:$IR$208, "Not Found")</f>
        <v>-458.53392458099034</v>
      </c>
      <c r="K2686" cm="1">
        <f t="array" ref="K2686">_xlfn.XLOOKUP(TEXT(A2686, "mmm-yy"), TEXT([2]GASOLINE!$B$5:$B$208, "mmm-yy"), [2]GASOLINE!$IK$5:$IK$208, "Not Found")</f>
        <v>318.79722934213538</v>
      </c>
      <c r="L2686">
        <f t="shared" si="41"/>
        <v>0</v>
      </c>
      <c r="M2686" cm="1">
        <f t="array" ref="M2686">_xlfn.XLOOKUP(TEXT(A2686, "mmm-yy"), TEXT([2]GASOLINE!$B$5:$B$208, "mmm-yy"), [2]GASOLINE!$C$5:$C$208, "Not Found")</f>
        <v>7706.2808490220759</v>
      </c>
      <c r="N2686" cm="1">
        <f t="array" ref="N2686">_xlfn.XLOOKUP(TEXT(A2686, "mmm-yy"), TEXT([2]RUNS!$B$5:$B$208, "mmm-yy"), [2]RUNS!$BM$5:$BM$208, "Not Found")</f>
        <v>0.82685377099903512</v>
      </c>
    </row>
    <row r="2687" spans="1:14" x14ac:dyDescent="0.25">
      <c r="A2687" s="1">
        <f>'[1]Global_Spot Prices'!$B3996</f>
        <v>45764</v>
      </c>
      <c r="B2687">
        <f>_xlfn.XLOOKUP(A2687,'[1]Global_Spot Prices'!$B:$B,'[1]Global_Spot Prices'!$BS:$BS)</f>
        <v>6.8099999999999881</v>
      </c>
      <c r="C2687">
        <f>_xlfn.XLOOKUP(A2687,'[1]Global_Spot Prices'!$B:$B,'[1]Global_Spot Prices'!$E:$E)</f>
        <v>68.150000000000006</v>
      </c>
      <c r="D2687">
        <f>_xlfn.XLOOKUP(A2687,'[1]Global_Spot Prices'!$B:$B,'[1]Global_Spot Prices'!$D:$D)</f>
        <v>68.45</v>
      </c>
      <c r="E2687">
        <f>_xlfn.XLOOKUP(A2687,'[1]Global_Spot Prices'!$B:$B,'[1]Global_Spot Prices'!$H:$H)</f>
        <v>61.44</v>
      </c>
      <c r="F2687">
        <f>_xlfn.XLOOKUP(A2687,'[1]Global_Spot Prices'!$B:$B,'[1]Global_Spot Prices'!$I:$I)</f>
        <v>74.959999999999994</v>
      </c>
      <c r="G2687" cm="1">
        <f t="array" ref="G2687">_xlfn.XLOOKUP(TEXT(A2687, "mmm-yy"), TEXT([2]RUNS!$B$5:$B$208, "mmm-yy"), [2]RUNS!$D$5:$D$208, "Not Found")</f>
        <v>30387.620252608445</v>
      </c>
      <c r="H2687" cm="1">
        <f t="array" ref="H2687">SUMPRODUCT(
    --(TEXT('[3]Global Weekly Stock (EWSuez'!$B$4:$B$2000,"mmm-yy")=TEXT(A2687,"mmm-yy")),
    '[3]Global Weekly Stock (EWSuez'!$E$4:$E$2000)
/
SUMPRODUCT(
    --(TEXT('[3]Global Weekly Stock (EWSuez'!$B$4:$B$2000,"mmm-yy")=TEXT(A2687,"mmm-yy"))
)</f>
        <v>14823.5</v>
      </c>
      <c r="I2687">
        <f>_xlfn.XLOOKUP(A2687,[1]ForwardDeriv!$D:$D,[1]ForwardDeriv!$AJ:$AJ)</f>
        <v>0.82000000000000739</v>
      </c>
      <c r="J2687" cm="1">
        <f t="array" ref="J2687">_xlfn.XLOOKUP(TEXT(A2687, "mmm-yy"), TEXT([2]GASOLINE!$B$5:$B$208, "mmm-yy"), [2]GASOLINE!$IR$5:$IR$208, "Not Found")</f>
        <v>-458.53392458099034</v>
      </c>
      <c r="K2687" cm="1">
        <f t="array" ref="K2687">_xlfn.XLOOKUP(TEXT(A2687, "mmm-yy"), TEXT([2]GASOLINE!$B$5:$B$208, "mmm-yy"), [2]GASOLINE!$IK$5:$IK$208, "Not Found")</f>
        <v>318.79722934213538</v>
      </c>
      <c r="L2687">
        <f t="shared" si="41"/>
        <v>0</v>
      </c>
      <c r="M2687" cm="1">
        <f t="array" ref="M2687">_xlfn.XLOOKUP(TEXT(A2687, "mmm-yy"), TEXT([2]GASOLINE!$B$5:$B$208, "mmm-yy"), [2]GASOLINE!$C$5:$C$208, "Not Found")</f>
        <v>7706.2808490220759</v>
      </c>
      <c r="N2687" cm="1">
        <f t="array" ref="N2687">_xlfn.XLOOKUP(TEXT(A2687, "mmm-yy"), TEXT([2]RUNS!$B$5:$B$208, "mmm-yy"), [2]RUNS!$BM$5:$BM$208, "Not Found")</f>
        <v>0.82685377099903512</v>
      </c>
    </row>
    <row r="2688" spans="1:14" x14ac:dyDescent="0.25">
      <c r="A2688" s="1">
        <f>'[1]Global_Spot Prices'!$B3997</f>
        <v>45765</v>
      </c>
      <c r="B2688" t="e">
        <f>_xlfn.XLOOKUP(A2688,'[1]Global_Spot Prices'!$B:$B,'[1]Global_Spot Prices'!$BS:$BS)</f>
        <v>#N/A</v>
      </c>
      <c r="C2688" t="str">
        <f>_xlfn.XLOOKUP(A2688,'[1]Global_Spot Prices'!$B:$B,'[1]Global_Spot Prices'!$E:$E)</f>
        <v/>
      </c>
      <c r="D2688" t="str">
        <f>_xlfn.XLOOKUP(A2688,'[1]Global_Spot Prices'!$B:$B,'[1]Global_Spot Prices'!$D:$D)</f>
        <v/>
      </c>
      <c r="E2688">
        <f>_xlfn.XLOOKUP(A2688,'[1]Global_Spot Prices'!$B:$B,'[1]Global_Spot Prices'!$H:$H)</f>
        <v>0</v>
      </c>
      <c r="F2688">
        <f>_xlfn.XLOOKUP(A2688,'[1]Global_Spot Prices'!$B:$B,'[1]Global_Spot Prices'!$I:$I)</f>
        <v>0</v>
      </c>
      <c r="G2688" cm="1">
        <f t="array" ref="G2688">_xlfn.XLOOKUP(TEXT(A2688, "mmm-yy"), TEXT([2]RUNS!$B$5:$B$208, "mmm-yy"), [2]RUNS!$D$5:$D$208, "Not Found")</f>
        <v>30387.620252608445</v>
      </c>
      <c r="H2688" cm="1">
        <f t="array" ref="H2688">SUMPRODUCT(
    --(TEXT('[3]Global Weekly Stock (EWSuez'!$B$4:$B$2000,"mmm-yy")=TEXT(A2688,"mmm-yy")),
    '[3]Global Weekly Stock (EWSuez'!$E$4:$E$2000)
/
SUMPRODUCT(
    --(TEXT('[3]Global Weekly Stock (EWSuez'!$B$4:$B$2000,"mmm-yy")=TEXT(A2688,"mmm-yy"))
)</f>
        <v>14823.5</v>
      </c>
      <c r="I2688">
        <f>_xlfn.XLOOKUP(A2688,[1]ForwardDeriv!$D:$D,[1]ForwardDeriv!$AJ:$AJ)</f>
        <v>0.85000000000000853</v>
      </c>
      <c r="J2688" cm="1">
        <f t="array" ref="J2688">_xlfn.XLOOKUP(TEXT(A2688, "mmm-yy"), TEXT([2]GASOLINE!$B$5:$B$208, "mmm-yy"), [2]GASOLINE!$IR$5:$IR$208, "Not Found")</f>
        <v>-458.53392458099034</v>
      </c>
      <c r="K2688" cm="1">
        <f t="array" ref="K2688">_xlfn.XLOOKUP(TEXT(A2688, "mmm-yy"), TEXT([2]GASOLINE!$B$5:$B$208, "mmm-yy"), [2]GASOLINE!$IK$5:$IK$208, "Not Found")</f>
        <v>318.79722934213538</v>
      </c>
      <c r="L2688">
        <f t="shared" si="41"/>
        <v>0</v>
      </c>
      <c r="M2688" cm="1">
        <f t="array" ref="M2688">_xlfn.XLOOKUP(TEXT(A2688, "mmm-yy"), TEXT([2]GASOLINE!$B$5:$B$208, "mmm-yy"), [2]GASOLINE!$C$5:$C$208, "Not Found")</f>
        <v>7706.2808490220759</v>
      </c>
      <c r="N2688" cm="1">
        <f t="array" ref="N2688">_xlfn.XLOOKUP(TEXT(A2688, "mmm-yy"), TEXT([2]RUNS!$B$5:$B$208, "mmm-yy"), [2]RUNS!$BM$5:$BM$208, "Not Found")</f>
        <v>0.82685377099903512</v>
      </c>
    </row>
    <row r="2689" spans="1:14" x14ac:dyDescent="0.25">
      <c r="A2689" s="1">
        <f>'[1]Global_Spot Prices'!$B3998</f>
        <v>45768</v>
      </c>
      <c r="B2689">
        <f>_xlfn.XLOOKUP(A2689,'[1]Global_Spot Prices'!$B:$B,'[1]Global_Spot Prices'!$BS:$BS)</f>
        <v>7.1099999999999994</v>
      </c>
      <c r="C2689">
        <f>_xlfn.XLOOKUP(A2689,'[1]Global_Spot Prices'!$B:$B,'[1]Global_Spot Prices'!$E:$E)</f>
        <v>68.430000000000007</v>
      </c>
      <c r="D2689" t="str">
        <f ca="1">_xlfn.XLOOKUP(A2689,'[1]Global_Spot Prices'!$B:$B,'[1]Global_Spot Prices'!$D:$D)</f>
        <v/>
      </c>
      <c r="E2689">
        <f>_xlfn.XLOOKUP(A2689,'[1]Global_Spot Prices'!$B:$B,'[1]Global_Spot Prices'!$H:$H)</f>
        <v>61.84</v>
      </c>
      <c r="F2689">
        <f>_xlfn.XLOOKUP(A2689,'[1]Global_Spot Prices'!$B:$B,'[1]Global_Spot Prices'!$I:$I)</f>
        <v>75.540000000000006</v>
      </c>
      <c r="G2689" cm="1">
        <f t="array" ref="G2689">_xlfn.XLOOKUP(TEXT(A2689, "mmm-yy"), TEXT([2]RUNS!$B$5:$B$208, "mmm-yy"), [2]RUNS!$D$5:$D$208, "Not Found")</f>
        <v>30387.620252608445</v>
      </c>
      <c r="H2689" cm="1">
        <f t="array" ref="H2689">SUMPRODUCT(
    --(TEXT('[3]Global Weekly Stock (EWSuez'!$B$4:$B$2000,"mmm-yy")=TEXT(A2689,"mmm-yy")),
    '[3]Global Weekly Stock (EWSuez'!$E$4:$E$2000)
/
SUMPRODUCT(
    --(TEXT('[3]Global Weekly Stock (EWSuez'!$B$4:$B$2000,"mmm-yy")=TEXT(A2689,"mmm-yy"))
)</f>
        <v>14823.5</v>
      </c>
      <c r="I2689">
        <f>_xlfn.XLOOKUP(A2689,[1]ForwardDeriv!$D:$D,[1]ForwardDeriv!$AJ:$AJ)</f>
        <v>0.85000000000000853</v>
      </c>
      <c r="J2689" cm="1">
        <f t="array" ref="J2689">_xlfn.XLOOKUP(TEXT(A2689, "mmm-yy"), TEXT([2]GASOLINE!$B$5:$B$208, "mmm-yy"), [2]GASOLINE!$IR$5:$IR$208, "Not Found")</f>
        <v>-458.53392458099034</v>
      </c>
      <c r="K2689" cm="1">
        <f t="array" ref="K2689">_xlfn.XLOOKUP(TEXT(A2689, "mmm-yy"), TEXT([2]GASOLINE!$B$5:$B$208, "mmm-yy"), [2]GASOLINE!$IK$5:$IK$208, "Not Found")</f>
        <v>318.79722934213538</v>
      </c>
      <c r="L2689">
        <f t="shared" si="41"/>
        <v>0</v>
      </c>
      <c r="M2689" cm="1">
        <f t="array" ref="M2689">_xlfn.XLOOKUP(TEXT(A2689, "mmm-yy"), TEXT([2]GASOLINE!$B$5:$B$208, "mmm-yy"), [2]GASOLINE!$C$5:$C$208, "Not Found")</f>
        <v>7706.2808490220759</v>
      </c>
      <c r="N2689" cm="1">
        <f t="array" ref="N2689">_xlfn.XLOOKUP(TEXT(A2689, "mmm-yy"), TEXT([2]RUNS!$B$5:$B$208, "mmm-yy"), [2]RUNS!$BM$5:$BM$208, "Not Found")</f>
        <v>0.82685377099903512</v>
      </c>
    </row>
    <row r="2690" spans="1:14" x14ac:dyDescent="0.25">
      <c r="A2690" s="1">
        <f>'[1]Global_Spot Prices'!$B3999</f>
        <v>45769</v>
      </c>
      <c r="B2690">
        <f>_xlfn.XLOOKUP(A2690,'[1]Global_Spot Prices'!$B:$B,'[1]Global_Spot Prices'!$BS:$BS)</f>
        <v>7.3499999999999943</v>
      </c>
      <c r="C2690">
        <f>_xlfn.XLOOKUP(A2690,'[1]Global_Spot Prices'!$B:$B,'[1]Global_Spot Prices'!$E:$E)</f>
        <v>68.5</v>
      </c>
      <c r="D2690">
        <f>_xlfn.XLOOKUP(A2690,'[1]Global_Spot Prices'!$B:$B,'[1]Global_Spot Prices'!$D:$D)</f>
        <v>68.989999999999995</v>
      </c>
      <c r="E2690">
        <f>_xlfn.XLOOKUP(A2690,'[1]Global_Spot Prices'!$B:$B,'[1]Global_Spot Prices'!$H:$H)</f>
        <v>62.34</v>
      </c>
      <c r="F2690">
        <f>_xlfn.XLOOKUP(A2690,'[1]Global_Spot Prices'!$B:$B,'[1]Global_Spot Prices'!$I:$I)</f>
        <v>75.849999999999994</v>
      </c>
      <c r="G2690" cm="1">
        <f t="array" ref="G2690">_xlfn.XLOOKUP(TEXT(A2690, "mmm-yy"), TEXT([2]RUNS!$B$5:$B$208, "mmm-yy"), [2]RUNS!$D$5:$D$208, "Not Found")</f>
        <v>30387.620252608445</v>
      </c>
      <c r="H2690" cm="1">
        <f t="array" ref="H2690">SUMPRODUCT(
    --(TEXT('[3]Global Weekly Stock (EWSuez'!$B$4:$B$2000,"mmm-yy")=TEXT(A2690,"mmm-yy")),
    '[3]Global Weekly Stock (EWSuez'!$E$4:$E$2000)
/
SUMPRODUCT(
    --(TEXT('[3]Global Weekly Stock (EWSuez'!$B$4:$B$2000,"mmm-yy")=TEXT(A2690,"mmm-yy"))
)</f>
        <v>14823.5</v>
      </c>
      <c r="I2690">
        <f>_xlfn.XLOOKUP(A2690,[1]ForwardDeriv!$D:$D,[1]ForwardDeriv!$AJ:$AJ)</f>
        <v>0.88000000000000966</v>
      </c>
      <c r="J2690" cm="1">
        <f t="array" ref="J2690">_xlfn.XLOOKUP(TEXT(A2690, "mmm-yy"), TEXT([2]GASOLINE!$B$5:$B$208, "mmm-yy"), [2]GASOLINE!$IR$5:$IR$208, "Not Found")</f>
        <v>-458.53392458099034</v>
      </c>
      <c r="K2690" cm="1">
        <f t="array" ref="K2690">_xlfn.XLOOKUP(TEXT(A2690, "mmm-yy"), TEXT([2]GASOLINE!$B$5:$B$208, "mmm-yy"), [2]GASOLINE!$IK$5:$IK$208, "Not Found")</f>
        <v>318.79722934213538</v>
      </c>
      <c r="L2690">
        <f t="shared" si="41"/>
        <v>0</v>
      </c>
      <c r="M2690" cm="1">
        <f t="array" ref="M2690">_xlfn.XLOOKUP(TEXT(A2690, "mmm-yy"), TEXT([2]GASOLINE!$B$5:$B$208, "mmm-yy"), [2]GASOLINE!$C$5:$C$208, "Not Found")</f>
        <v>7706.2808490220759</v>
      </c>
      <c r="N2690" cm="1">
        <f t="array" ref="N2690">_xlfn.XLOOKUP(TEXT(A2690, "mmm-yy"), TEXT([2]RUNS!$B$5:$B$208, "mmm-yy"), [2]RUNS!$BM$5:$BM$208, "Not Found")</f>
        <v>0.82685377099903512</v>
      </c>
    </row>
    <row r="2691" spans="1:14" x14ac:dyDescent="0.25">
      <c r="A2691" s="1">
        <f>'[1]Global_Spot Prices'!$B4000</f>
        <v>45770</v>
      </c>
      <c r="B2691">
        <f>_xlfn.XLOOKUP(A2691,'[1]Global_Spot Prices'!$B:$B,'[1]Global_Spot Prices'!$BS:$BS)</f>
        <v>8.0600000000000023</v>
      </c>
      <c r="C2691">
        <f>_xlfn.XLOOKUP(A2691,'[1]Global_Spot Prices'!$B:$B,'[1]Global_Spot Prices'!$E:$E)</f>
        <v>69.489999999999995</v>
      </c>
      <c r="D2691">
        <f>_xlfn.XLOOKUP(A2691,'[1]Global_Spot Prices'!$B:$B,'[1]Global_Spot Prices'!$D:$D)</f>
        <v>66.94</v>
      </c>
      <c r="E2691">
        <f>_xlfn.XLOOKUP(A2691,'[1]Global_Spot Prices'!$B:$B,'[1]Global_Spot Prices'!$H:$H)</f>
        <v>63.79</v>
      </c>
      <c r="F2691">
        <f>_xlfn.XLOOKUP(A2691,'[1]Global_Spot Prices'!$B:$B,'[1]Global_Spot Prices'!$I:$I)</f>
        <v>77.55</v>
      </c>
      <c r="G2691" cm="1">
        <f t="array" ref="G2691">_xlfn.XLOOKUP(TEXT(A2691, "mmm-yy"), TEXT([2]RUNS!$B$5:$B$208, "mmm-yy"), [2]RUNS!$D$5:$D$208, "Not Found")</f>
        <v>30387.620252608445</v>
      </c>
      <c r="H2691" cm="1">
        <f t="array" ref="H2691">SUMPRODUCT(
    --(TEXT('[3]Global Weekly Stock (EWSuez'!$B$4:$B$2000,"mmm-yy")=TEXT(A2691,"mmm-yy")),
    '[3]Global Weekly Stock (EWSuez'!$E$4:$E$2000)
/
SUMPRODUCT(
    --(TEXT('[3]Global Weekly Stock (EWSuez'!$B$4:$B$2000,"mmm-yy")=TEXT(A2691,"mmm-yy"))
)</f>
        <v>14823.5</v>
      </c>
      <c r="I2691">
        <f>_xlfn.XLOOKUP(A2691,[1]ForwardDeriv!$D:$D,[1]ForwardDeriv!$AJ:$AJ)</f>
        <v>0.96999999999999886</v>
      </c>
      <c r="J2691" cm="1">
        <f t="array" ref="J2691">_xlfn.XLOOKUP(TEXT(A2691, "mmm-yy"), TEXT([2]GASOLINE!$B$5:$B$208, "mmm-yy"), [2]GASOLINE!$IR$5:$IR$208, "Not Found")</f>
        <v>-458.53392458099034</v>
      </c>
      <c r="K2691" cm="1">
        <f t="array" ref="K2691">_xlfn.XLOOKUP(TEXT(A2691, "mmm-yy"), TEXT([2]GASOLINE!$B$5:$B$208, "mmm-yy"), [2]GASOLINE!$IK$5:$IK$208, "Not Found")</f>
        <v>318.79722934213538</v>
      </c>
      <c r="L2691">
        <f t="shared" ref="L2691:L2745" si="42">IF(OR(MONTH(A2691)=6, MONTH(A2691)=7, MONTH(A2691)=8, MONTH(A2691)=9), 1, 0)</f>
        <v>0</v>
      </c>
      <c r="M2691" cm="1">
        <f t="array" ref="M2691">_xlfn.XLOOKUP(TEXT(A2691, "mmm-yy"), TEXT([2]GASOLINE!$B$5:$B$208, "mmm-yy"), [2]GASOLINE!$C$5:$C$208, "Not Found")</f>
        <v>7706.2808490220759</v>
      </c>
      <c r="N2691" cm="1">
        <f t="array" ref="N2691">_xlfn.XLOOKUP(TEXT(A2691, "mmm-yy"), TEXT([2]RUNS!$B$5:$B$208, "mmm-yy"), [2]RUNS!$BM$5:$BM$208, "Not Found")</f>
        <v>0.82685377099903512</v>
      </c>
    </row>
    <row r="2692" spans="1:14" x14ac:dyDescent="0.25">
      <c r="A2692" s="1">
        <f>'[1]Global_Spot Prices'!$B4001</f>
        <v>45771</v>
      </c>
      <c r="B2692">
        <f>_xlfn.XLOOKUP(A2692,'[1]Global_Spot Prices'!$B:$B,'[1]Global_Spot Prices'!$BS:$BS)</f>
        <v>8.5999999999999943</v>
      </c>
      <c r="C2692">
        <f>_xlfn.XLOOKUP(A2692,'[1]Global_Spot Prices'!$B:$B,'[1]Global_Spot Prices'!$E:$E)</f>
        <v>67.59</v>
      </c>
      <c r="D2692">
        <f>_xlfn.XLOOKUP(A2692,'[1]Global_Spot Prices'!$B:$B,'[1]Global_Spot Prices'!$D:$D)</f>
        <v>67.234999999999999</v>
      </c>
      <c r="E2692">
        <f>_xlfn.XLOOKUP(A2692,'[1]Global_Spot Prices'!$B:$B,'[1]Global_Spot Prices'!$H:$H)</f>
        <v>63.11</v>
      </c>
      <c r="F2692">
        <f>_xlfn.XLOOKUP(A2692,'[1]Global_Spot Prices'!$B:$B,'[1]Global_Spot Prices'!$I:$I)</f>
        <v>76.19</v>
      </c>
      <c r="G2692" cm="1">
        <f t="array" ref="G2692">_xlfn.XLOOKUP(TEXT(A2692, "mmm-yy"), TEXT([2]RUNS!$B$5:$B$208, "mmm-yy"), [2]RUNS!$D$5:$D$208, "Not Found")</f>
        <v>30387.620252608445</v>
      </c>
      <c r="H2692" cm="1">
        <f t="array" ref="H2692">SUMPRODUCT(
    --(TEXT('[3]Global Weekly Stock (EWSuez'!$B$4:$B$2000,"mmm-yy")=TEXT(A2692,"mmm-yy")),
    '[3]Global Weekly Stock (EWSuez'!$E$4:$E$2000)
/
SUMPRODUCT(
    --(TEXT('[3]Global Weekly Stock (EWSuez'!$B$4:$B$2000,"mmm-yy")=TEXT(A2692,"mmm-yy"))
)</f>
        <v>14823.5</v>
      </c>
      <c r="I2692">
        <f>_xlfn.XLOOKUP(A2692,[1]ForwardDeriv!$D:$D,[1]ForwardDeriv!$AJ:$AJ)</f>
        <v>1.0300000000000011</v>
      </c>
      <c r="J2692" cm="1">
        <f t="array" ref="J2692">_xlfn.XLOOKUP(TEXT(A2692, "mmm-yy"), TEXT([2]GASOLINE!$B$5:$B$208, "mmm-yy"), [2]GASOLINE!$IR$5:$IR$208, "Not Found")</f>
        <v>-458.53392458099034</v>
      </c>
      <c r="K2692" cm="1">
        <f t="array" ref="K2692">_xlfn.XLOOKUP(TEXT(A2692, "mmm-yy"), TEXT([2]GASOLINE!$B$5:$B$208, "mmm-yy"), [2]GASOLINE!$IK$5:$IK$208, "Not Found")</f>
        <v>318.79722934213538</v>
      </c>
      <c r="L2692">
        <f t="shared" si="42"/>
        <v>0</v>
      </c>
      <c r="M2692" cm="1">
        <f t="array" ref="M2692">_xlfn.XLOOKUP(TEXT(A2692, "mmm-yy"), TEXT([2]GASOLINE!$B$5:$B$208, "mmm-yy"), [2]GASOLINE!$C$5:$C$208, "Not Found")</f>
        <v>7706.2808490220759</v>
      </c>
      <c r="N2692" cm="1">
        <f t="array" ref="N2692">_xlfn.XLOOKUP(TEXT(A2692, "mmm-yy"), TEXT([2]RUNS!$B$5:$B$208, "mmm-yy"), [2]RUNS!$BM$5:$BM$208, "Not Found")</f>
        <v>0.82685377099903512</v>
      </c>
    </row>
    <row r="2693" spans="1:14" x14ac:dyDescent="0.25">
      <c r="A2693" s="1">
        <f>'[1]Global_Spot Prices'!$B4002</f>
        <v>45772</v>
      </c>
      <c r="B2693">
        <f>_xlfn.XLOOKUP(A2693,'[1]Global_Spot Prices'!$B:$B,'[1]Global_Spot Prices'!$BS:$BS)</f>
        <v>9.4200000000000017</v>
      </c>
      <c r="C2693">
        <f>_xlfn.XLOOKUP(A2693,'[1]Global_Spot Prices'!$B:$B,'[1]Global_Spot Prices'!$E:$E)</f>
        <v>67.2</v>
      </c>
      <c r="D2693">
        <f>_xlfn.XLOOKUP(A2693,'[1]Global_Spot Prices'!$B:$B,'[1]Global_Spot Prices'!$D:$D)</f>
        <v>67.495000000000005</v>
      </c>
      <c r="E2693">
        <f>_xlfn.XLOOKUP(A2693,'[1]Global_Spot Prices'!$B:$B,'[1]Global_Spot Prices'!$H:$H)</f>
        <v>63.12</v>
      </c>
      <c r="F2693">
        <f>_xlfn.XLOOKUP(A2693,'[1]Global_Spot Prices'!$B:$B,'[1]Global_Spot Prices'!$I:$I)</f>
        <v>76.62</v>
      </c>
      <c r="G2693" cm="1">
        <f t="array" ref="G2693">_xlfn.XLOOKUP(TEXT(A2693, "mmm-yy"), TEXT([2]RUNS!$B$5:$B$208, "mmm-yy"), [2]RUNS!$D$5:$D$208, "Not Found")</f>
        <v>30387.620252608445</v>
      </c>
      <c r="H2693" cm="1">
        <f t="array" ref="H2693">SUMPRODUCT(
    --(TEXT('[3]Global Weekly Stock (EWSuez'!$B$4:$B$2000,"mmm-yy")=TEXT(A2693,"mmm-yy")),
    '[3]Global Weekly Stock (EWSuez'!$E$4:$E$2000)
/
SUMPRODUCT(
    --(TEXT('[3]Global Weekly Stock (EWSuez'!$B$4:$B$2000,"mmm-yy")=TEXT(A2693,"mmm-yy"))
)</f>
        <v>14823.5</v>
      </c>
      <c r="I2693">
        <f>_xlfn.XLOOKUP(A2693,[1]ForwardDeriv!$D:$D,[1]ForwardDeriv!$AJ:$AJ)</f>
        <v>1.1200000000000045</v>
      </c>
      <c r="J2693" cm="1">
        <f t="array" ref="J2693">_xlfn.XLOOKUP(TEXT(A2693, "mmm-yy"), TEXT([2]GASOLINE!$B$5:$B$208, "mmm-yy"), [2]GASOLINE!$IR$5:$IR$208, "Not Found")</f>
        <v>-458.53392458099034</v>
      </c>
      <c r="K2693" cm="1">
        <f t="array" ref="K2693">_xlfn.XLOOKUP(TEXT(A2693, "mmm-yy"), TEXT([2]GASOLINE!$B$5:$B$208, "mmm-yy"), [2]GASOLINE!$IK$5:$IK$208, "Not Found")</f>
        <v>318.79722934213538</v>
      </c>
      <c r="L2693">
        <f t="shared" si="42"/>
        <v>0</v>
      </c>
      <c r="M2693" cm="1">
        <f t="array" ref="M2693">_xlfn.XLOOKUP(TEXT(A2693, "mmm-yy"), TEXT([2]GASOLINE!$B$5:$B$208, "mmm-yy"), [2]GASOLINE!$C$5:$C$208, "Not Found")</f>
        <v>7706.2808490220759</v>
      </c>
      <c r="N2693" cm="1">
        <f t="array" ref="N2693">_xlfn.XLOOKUP(TEXT(A2693, "mmm-yy"), TEXT([2]RUNS!$B$5:$B$208, "mmm-yy"), [2]RUNS!$BM$5:$BM$208, "Not Found")</f>
        <v>0.82685377099903512</v>
      </c>
    </row>
    <row r="2694" spans="1:14" x14ac:dyDescent="0.25">
      <c r="A2694" s="1">
        <f>'[1]Global_Spot Prices'!$B4003</f>
        <v>45775</v>
      </c>
      <c r="B2694">
        <f>_xlfn.XLOOKUP(A2694,'[1]Global_Spot Prices'!$B:$B,'[1]Global_Spot Prices'!$BS:$BS)</f>
        <v>9.4500000000000028</v>
      </c>
      <c r="C2694">
        <f>_xlfn.XLOOKUP(A2694,'[1]Global_Spot Prices'!$B:$B,'[1]Global_Spot Prices'!$E:$E)</f>
        <v>66.84</v>
      </c>
      <c r="D2694">
        <f>_xlfn.XLOOKUP(A2694,'[1]Global_Spot Prices'!$B:$B,'[1]Global_Spot Prices'!$D:$D)</f>
        <v>65.674999999999997</v>
      </c>
      <c r="E2694">
        <f>_xlfn.XLOOKUP(A2694,'[1]Global_Spot Prices'!$B:$B,'[1]Global_Spot Prices'!$H:$H)</f>
        <v>62.71</v>
      </c>
      <c r="F2694">
        <f>_xlfn.XLOOKUP(A2694,'[1]Global_Spot Prices'!$B:$B,'[1]Global_Spot Prices'!$I:$I)</f>
        <v>76.290000000000006</v>
      </c>
      <c r="G2694" cm="1">
        <f t="array" ref="G2694">_xlfn.XLOOKUP(TEXT(A2694, "mmm-yy"), TEXT([2]RUNS!$B$5:$B$208, "mmm-yy"), [2]RUNS!$D$5:$D$208, "Not Found")</f>
        <v>30387.620252608445</v>
      </c>
      <c r="H2694" cm="1">
        <f t="array" ref="H2694">SUMPRODUCT(
    --(TEXT('[3]Global Weekly Stock (EWSuez'!$B$4:$B$2000,"mmm-yy")=TEXT(A2694,"mmm-yy")),
    '[3]Global Weekly Stock (EWSuez'!$E$4:$E$2000)
/
SUMPRODUCT(
    --(TEXT('[3]Global Weekly Stock (EWSuez'!$B$4:$B$2000,"mmm-yy")=TEXT(A2694,"mmm-yy"))
)</f>
        <v>14823.5</v>
      </c>
      <c r="I2694">
        <f>_xlfn.XLOOKUP(A2694,[1]ForwardDeriv!$D:$D,[1]ForwardDeriv!$AJ:$AJ)</f>
        <v>1.019999999999996</v>
      </c>
      <c r="J2694" cm="1">
        <f t="array" ref="J2694">_xlfn.XLOOKUP(TEXT(A2694, "mmm-yy"), TEXT([2]GASOLINE!$B$5:$B$208, "mmm-yy"), [2]GASOLINE!$IR$5:$IR$208, "Not Found")</f>
        <v>-458.53392458099034</v>
      </c>
      <c r="K2694" cm="1">
        <f t="array" ref="K2694">_xlfn.XLOOKUP(TEXT(A2694, "mmm-yy"), TEXT([2]GASOLINE!$B$5:$B$208, "mmm-yy"), [2]GASOLINE!$IK$5:$IK$208, "Not Found")</f>
        <v>318.79722934213538</v>
      </c>
      <c r="L2694">
        <f t="shared" si="42"/>
        <v>0</v>
      </c>
      <c r="M2694" cm="1">
        <f t="array" ref="M2694">_xlfn.XLOOKUP(TEXT(A2694, "mmm-yy"), TEXT([2]GASOLINE!$B$5:$B$208, "mmm-yy"), [2]GASOLINE!$C$5:$C$208, "Not Found")</f>
        <v>7706.2808490220759</v>
      </c>
      <c r="N2694" cm="1">
        <f t="array" ref="N2694">_xlfn.XLOOKUP(TEXT(A2694, "mmm-yy"), TEXT([2]RUNS!$B$5:$B$208, "mmm-yy"), [2]RUNS!$BM$5:$BM$208, "Not Found")</f>
        <v>0.82685377099903512</v>
      </c>
    </row>
    <row r="2695" spans="1:14" x14ac:dyDescent="0.25">
      <c r="A2695" s="1">
        <f>'[1]Global_Spot Prices'!$B4004</f>
        <v>45776</v>
      </c>
      <c r="B2695">
        <f>_xlfn.XLOOKUP(A2695,'[1]Global_Spot Prices'!$B:$B,'[1]Global_Spot Prices'!$BS:$BS)</f>
        <v>10.659999999999997</v>
      </c>
      <c r="C2695">
        <f ca="1">_xlfn.XLOOKUP(A2695,'[1]Global_Spot Prices'!$B:$B,'[1]Global_Spot Prices'!$E:$E)</f>
        <v>64.64</v>
      </c>
      <c r="D2695">
        <f>_xlfn.XLOOKUP(A2695,'[1]Global_Spot Prices'!$B:$B,'[1]Global_Spot Prices'!$D:$D)</f>
        <v>64.349999999999994</v>
      </c>
      <c r="E2695">
        <f>_xlfn.XLOOKUP(A2695,'[1]Global_Spot Prices'!$B:$B,'[1]Global_Spot Prices'!$H:$H)</f>
        <v>62.18</v>
      </c>
      <c r="F2695">
        <f>_xlfn.XLOOKUP(A2695,'[1]Global_Spot Prices'!$B:$B,'[1]Global_Spot Prices'!$I:$I)</f>
        <v>75.3</v>
      </c>
      <c r="G2695" cm="1">
        <f t="array" ref="G2695">_xlfn.XLOOKUP(TEXT(A2695, "mmm-yy"), TEXT([2]RUNS!$B$5:$B$208, "mmm-yy"), [2]RUNS!$D$5:$D$208, "Not Found")</f>
        <v>30387.620252608445</v>
      </c>
      <c r="H2695" cm="1">
        <f t="array" ref="H2695">SUMPRODUCT(
    --(TEXT('[3]Global Weekly Stock (EWSuez'!$B$4:$B$2000,"mmm-yy")=TEXT(A2695,"mmm-yy")),
    '[3]Global Weekly Stock (EWSuez'!$E$4:$E$2000)
/
SUMPRODUCT(
    --(TEXT('[3]Global Weekly Stock (EWSuez'!$B$4:$B$2000,"mmm-yy")=TEXT(A2695,"mmm-yy"))
)</f>
        <v>14823.5</v>
      </c>
      <c r="I2695">
        <f>_xlfn.XLOOKUP(A2695,[1]ForwardDeriv!$D:$D,[1]ForwardDeriv!$AJ:$AJ)</f>
        <v>1.0300000000000011</v>
      </c>
      <c r="J2695" cm="1">
        <f t="array" ref="J2695">_xlfn.XLOOKUP(TEXT(A2695, "mmm-yy"), TEXT([2]GASOLINE!$B$5:$B$208, "mmm-yy"), [2]GASOLINE!$IR$5:$IR$208, "Not Found")</f>
        <v>-458.53392458099034</v>
      </c>
      <c r="K2695" cm="1">
        <f t="array" ref="K2695">_xlfn.XLOOKUP(TEXT(A2695, "mmm-yy"), TEXT([2]GASOLINE!$B$5:$B$208, "mmm-yy"), [2]GASOLINE!$IK$5:$IK$208, "Not Found")</f>
        <v>318.79722934213538</v>
      </c>
      <c r="L2695">
        <f t="shared" si="42"/>
        <v>0</v>
      </c>
      <c r="M2695" cm="1">
        <f t="array" ref="M2695">_xlfn.XLOOKUP(TEXT(A2695, "mmm-yy"), TEXT([2]GASOLINE!$B$5:$B$208, "mmm-yy"), [2]GASOLINE!$C$5:$C$208, "Not Found")</f>
        <v>7706.2808490220759</v>
      </c>
      <c r="N2695" cm="1">
        <f t="array" ref="N2695">_xlfn.XLOOKUP(TEXT(A2695, "mmm-yy"), TEXT([2]RUNS!$B$5:$B$208, "mmm-yy"), [2]RUNS!$BM$5:$BM$208, "Not Found")</f>
        <v>0.82685377099903512</v>
      </c>
    </row>
    <row r="2696" spans="1:14" x14ac:dyDescent="0.25">
      <c r="A2696" s="1">
        <f>'[1]Global_Spot Prices'!$B4005</f>
        <v>45777</v>
      </c>
      <c r="B2696">
        <f>_xlfn.XLOOKUP(A2696,'[1]Global_Spot Prices'!$B:$B,'[1]Global_Spot Prices'!$BS:$BS)</f>
        <v>10.795000000000002</v>
      </c>
      <c r="C2696">
        <f>_xlfn.XLOOKUP(A2696,'[1]Global_Spot Prices'!$B:$B,'[1]Global_Spot Prices'!$E:$E)</f>
        <v>62.545000000000002</v>
      </c>
      <c r="D2696">
        <f>_xlfn.XLOOKUP(A2696,'[1]Global_Spot Prices'!$B:$B,'[1]Global_Spot Prices'!$D:$D)</f>
        <v>63.274999999999999</v>
      </c>
      <c r="E2696">
        <f>_xlfn.XLOOKUP(A2696,'[1]Global_Spot Prices'!$B:$B,'[1]Global_Spot Prices'!$H:$H)</f>
        <v>61.24</v>
      </c>
      <c r="F2696">
        <f>_xlfn.XLOOKUP(A2696,'[1]Global_Spot Prices'!$B:$B,'[1]Global_Spot Prices'!$I:$I)</f>
        <v>73.34</v>
      </c>
      <c r="G2696" cm="1">
        <f t="array" ref="G2696">_xlfn.XLOOKUP(TEXT(A2696, "mmm-yy"), TEXT([2]RUNS!$B$5:$B$208, "mmm-yy"), [2]RUNS!$D$5:$D$208, "Not Found")</f>
        <v>30387.620252608445</v>
      </c>
      <c r="H2696" cm="1">
        <f t="array" ref="H2696">SUMPRODUCT(
    --(TEXT('[3]Global Weekly Stock (EWSuez'!$B$4:$B$2000,"mmm-yy")=TEXT(A2696,"mmm-yy")),
    '[3]Global Weekly Stock (EWSuez'!$E$4:$E$2000)
/
SUMPRODUCT(
    --(TEXT('[3]Global Weekly Stock (EWSuez'!$B$4:$B$2000,"mmm-yy")=TEXT(A2696,"mmm-yy"))
)</f>
        <v>14823.5</v>
      </c>
      <c r="I2696">
        <f>_xlfn.XLOOKUP(A2696,[1]ForwardDeriv!$D:$D,[1]ForwardDeriv!$AJ:$AJ)</f>
        <v>1.0999999999999943</v>
      </c>
      <c r="J2696" cm="1">
        <f t="array" ref="J2696">_xlfn.XLOOKUP(TEXT(A2696, "mmm-yy"), TEXT([2]GASOLINE!$B$5:$B$208, "mmm-yy"), [2]GASOLINE!$IR$5:$IR$208, "Not Found")</f>
        <v>-458.53392458099034</v>
      </c>
      <c r="K2696" cm="1">
        <f t="array" ref="K2696">_xlfn.XLOOKUP(TEXT(A2696, "mmm-yy"), TEXT([2]GASOLINE!$B$5:$B$208, "mmm-yy"), [2]GASOLINE!$IK$5:$IK$208, "Not Found")</f>
        <v>318.79722934213538</v>
      </c>
      <c r="L2696">
        <f t="shared" si="42"/>
        <v>0</v>
      </c>
      <c r="M2696" cm="1">
        <f t="array" ref="M2696">_xlfn.XLOOKUP(TEXT(A2696, "mmm-yy"), TEXT([2]GASOLINE!$B$5:$B$208, "mmm-yy"), [2]GASOLINE!$C$5:$C$208, "Not Found")</f>
        <v>7706.2808490220759</v>
      </c>
      <c r="N2696" cm="1">
        <f t="array" ref="N2696">_xlfn.XLOOKUP(TEXT(A2696, "mmm-yy"), TEXT([2]RUNS!$B$5:$B$208, "mmm-yy"), [2]RUNS!$BM$5:$BM$208, "Not Found")</f>
        <v>0.82685377099903512</v>
      </c>
    </row>
    <row r="2697" spans="1:14" x14ac:dyDescent="0.25">
      <c r="A2697" s="1">
        <f>'[1]Global_Spot Prices'!$B4006</f>
        <v>45778</v>
      </c>
      <c r="B2697" t="e">
        <f>_xlfn.XLOOKUP(A2697,'[1]Global_Spot Prices'!$B:$B,'[1]Global_Spot Prices'!$BS:$BS)</f>
        <v>#N/A</v>
      </c>
      <c r="C2697" t="str">
        <f>_xlfn.XLOOKUP(A2697,'[1]Global_Spot Prices'!$B:$B,'[1]Global_Spot Prices'!$E:$E)</f>
        <v/>
      </c>
      <c r="D2697">
        <f>_xlfn.XLOOKUP(A2697,'[1]Global_Spot Prices'!$B:$B,'[1]Global_Spot Prices'!$D:$D)</f>
        <v>61.534999999999997</v>
      </c>
      <c r="E2697">
        <f>_xlfn.XLOOKUP(A2697,'[1]Global_Spot Prices'!$B:$B,'[1]Global_Spot Prices'!$H:$H)</f>
        <v>0</v>
      </c>
      <c r="F2697">
        <f>_xlfn.XLOOKUP(A2697,'[1]Global_Spot Prices'!$B:$B,'[1]Global_Spot Prices'!$I:$I)</f>
        <v>0</v>
      </c>
      <c r="G2697" cm="1">
        <f t="array" ref="G2697">_xlfn.XLOOKUP(TEXT(A2697, "mmm-yy"), TEXT([2]RUNS!$B$5:$B$208, "mmm-yy"), [2]RUNS!$D$5:$D$208, "Not Found")</f>
        <v>30159.242714510092</v>
      </c>
      <c r="H2697" cm="1">
        <f t="array" ref="H2697">SUMPRODUCT(
    --(TEXT('[3]Global Weekly Stock (EWSuez'!$B$4:$B$2000,"mmm-yy")=TEXT(A2697,"mmm-yy")),
    '[3]Global Weekly Stock (EWSuez'!$E$4:$E$2000)
/
SUMPRODUCT(
    --(TEXT('[3]Global Weekly Stock (EWSuez'!$B$4:$B$2000,"mmm-yy")=TEXT(A2697,"mmm-yy"))
)</f>
        <v>13267.6</v>
      </c>
      <c r="I2697">
        <f>_xlfn.XLOOKUP(A2697,[1]ForwardDeriv!$D:$D,[1]ForwardDeriv!$AJ:$AJ)</f>
        <v>1.0900000000000034</v>
      </c>
      <c r="J2697" cm="1">
        <f t="array" ref="J2697">_xlfn.XLOOKUP(TEXT(A2697, "mmm-yy"), TEXT([2]GASOLINE!$B$5:$B$208, "mmm-yy"), [2]GASOLINE!$IR$5:$IR$208, "Not Found")</f>
        <v>-492.7089930082393</v>
      </c>
      <c r="K2697" cm="1">
        <f t="array" ref="K2697">_xlfn.XLOOKUP(TEXT(A2697, "mmm-yy"), TEXT([2]GASOLINE!$B$5:$B$208, "mmm-yy"), [2]GASOLINE!$IK$5:$IK$208, "Not Found")</f>
        <v>330.71781666792504</v>
      </c>
      <c r="L2697">
        <f t="shared" si="42"/>
        <v>0</v>
      </c>
      <c r="M2697" cm="1">
        <f t="array" ref="M2697">_xlfn.XLOOKUP(TEXT(A2697, "mmm-yy"), TEXT([2]GASOLINE!$B$5:$B$208, "mmm-yy"), [2]GASOLINE!$C$5:$C$208, "Not Found")</f>
        <v>7700.5329244147497</v>
      </c>
      <c r="N2697" cm="1">
        <f t="array" ref="N2697">_xlfn.XLOOKUP(TEXT(A2697, "mmm-yy"), TEXT([2]RUNS!$B$5:$B$208, "mmm-yy"), [2]RUNS!$BM$5:$BM$208, "Not Found")</f>
        <v>0.82063956840540186</v>
      </c>
    </row>
    <row r="2698" spans="1:14" x14ac:dyDescent="0.25">
      <c r="A2698" s="1">
        <f>'[1]Global_Spot Prices'!$B4007</f>
        <v>45779</v>
      </c>
      <c r="B2698">
        <f>_xlfn.XLOOKUP(A2698,'[1]Global_Spot Prices'!$B:$B,'[1]Global_Spot Prices'!$BS:$BS)</f>
        <v>11.71</v>
      </c>
      <c r="C2698">
        <f>_xlfn.XLOOKUP(A2698,'[1]Global_Spot Prices'!$B:$B,'[1]Global_Spot Prices'!$E:$E)</f>
        <v>62.02</v>
      </c>
      <c r="D2698">
        <f>_xlfn.XLOOKUP(A2698,'[1]Global_Spot Prices'!$B:$B,'[1]Global_Spot Prices'!$D:$D)</f>
        <v>61.405000000000001</v>
      </c>
      <c r="E2698">
        <f>_xlfn.XLOOKUP(A2698,'[1]Global_Spot Prices'!$B:$B,'[1]Global_Spot Prices'!$H:$H)</f>
        <v>61.06</v>
      </c>
      <c r="F2698">
        <f>_xlfn.XLOOKUP(A2698,'[1]Global_Spot Prices'!$B:$B,'[1]Global_Spot Prices'!$I:$I)</f>
        <v>73.73</v>
      </c>
      <c r="G2698" cm="1">
        <f t="array" ref="G2698">_xlfn.XLOOKUP(TEXT(A2698, "mmm-yy"), TEXT([2]RUNS!$B$5:$B$208, "mmm-yy"), [2]RUNS!$D$5:$D$208, "Not Found")</f>
        <v>30159.242714510092</v>
      </c>
      <c r="H2698" cm="1">
        <f t="array" ref="H2698">SUMPRODUCT(
    --(TEXT('[3]Global Weekly Stock (EWSuez'!$B$4:$B$2000,"mmm-yy")=TEXT(A2698,"mmm-yy")),
    '[3]Global Weekly Stock (EWSuez'!$E$4:$E$2000)
/
SUMPRODUCT(
    --(TEXT('[3]Global Weekly Stock (EWSuez'!$B$4:$B$2000,"mmm-yy")=TEXT(A2698,"mmm-yy"))
)</f>
        <v>13267.6</v>
      </c>
      <c r="I2698">
        <f>_xlfn.XLOOKUP(A2698,[1]ForwardDeriv!$D:$D,[1]ForwardDeriv!$AJ:$AJ)</f>
        <v>1.0900000000000034</v>
      </c>
      <c r="J2698" cm="1">
        <f t="array" ref="J2698">_xlfn.XLOOKUP(TEXT(A2698, "mmm-yy"), TEXT([2]GASOLINE!$B$5:$B$208, "mmm-yy"), [2]GASOLINE!$IR$5:$IR$208, "Not Found")</f>
        <v>-492.7089930082393</v>
      </c>
      <c r="K2698" cm="1">
        <f t="array" ref="K2698">_xlfn.XLOOKUP(TEXT(A2698, "mmm-yy"), TEXT([2]GASOLINE!$B$5:$B$208, "mmm-yy"), [2]GASOLINE!$IK$5:$IK$208, "Not Found")</f>
        <v>330.71781666792504</v>
      </c>
      <c r="L2698">
        <f t="shared" si="42"/>
        <v>0</v>
      </c>
      <c r="M2698" cm="1">
        <f t="array" ref="M2698">_xlfn.XLOOKUP(TEXT(A2698, "mmm-yy"), TEXT([2]GASOLINE!$B$5:$B$208, "mmm-yy"), [2]GASOLINE!$C$5:$C$208, "Not Found")</f>
        <v>7700.5329244147497</v>
      </c>
      <c r="N2698" cm="1">
        <f t="array" ref="N2698">_xlfn.XLOOKUP(TEXT(A2698, "mmm-yy"), TEXT([2]RUNS!$B$5:$B$208, "mmm-yy"), [2]RUNS!$BM$5:$BM$208, "Not Found")</f>
        <v>0.82063956840540186</v>
      </c>
    </row>
    <row r="2699" spans="1:14" x14ac:dyDescent="0.25">
      <c r="A2699" s="1">
        <f>'[1]Global_Spot Prices'!$B4008</f>
        <v>45782</v>
      </c>
      <c r="B2699">
        <f>_xlfn.XLOOKUP(A2699,'[1]Global_Spot Prices'!$B:$B,'[1]Global_Spot Prices'!$BS:$BS)</f>
        <v>12.040000000000006</v>
      </c>
      <c r="C2699">
        <f>_xlfn.XLOOKUP(A2699,'[1]Global_Spot Prices'!$B:$B,'[1]Global_Spot Prices'!$E:$E)</f>
        <v>59.55</v>
      </c>
      <c r="D2699" t="str">
        <f>_xlfn.XLOOKUP(A2699,'[1]Global_Spot Prices'!$B:$B,'[1]Global_Spot Prices'!$D:$D)</f>
        <v/>
      </c>
      <c r="E2699">
        <f>_xlfn.XLOOKUP(A2699,'[1]Global_Spot Prices'!$B:$B,'[1]Global_Spot Prices'!$H:$H)</f>
        <v>59.42</v>
      </c>
      <c r="F2699">
        <f>_xlfn.XLOOKUP(A2699,'[1]Global_Spot Prices'!$B:$B,'[1]Global_Spot Prices'!$I:$I)</f>
        <v>71.59</v>
      </c>
      <c r="G2699" cm="1">
        <f t="array" ref="G2699">_xlfn.XLOOKUP(TEXT(A2699, "mmm-yy"), TEXT([2]RUNS!$B$5:$B$208, "mmm-yy"), [2]RUNS!$D$5:$D$208, "Not Found")</f>
        <v>30159.242714510092</v>
      </c>
      <c r="H2699" cm="1">
        <f t="array" ref="H2699">SUMPRODUCT(
    --(TEXT('[3]Global Weekly Stock (EWSuez'!$B$4:$B$2000,"mmm-yy")=TEXT(A2699,"mmm-yy")),
    '[3]Global Weekly Stock (EWSuez'!$E$4:$E$2000)
/
SUMPRODUCT(
    --(TEXT('[3]Global Weekly Stock (EWSuez'!$B$4:$B$2000,"mmm-yy")=TEXT(A2699,"mmm-yy"))
)</f>
        <v>13267.6</v>
      </c>
      <c r="I2699">
        <f>_xlfn.XLOOKUP(A2699,[1]ForwardDeriv!$D:$D,[1]ForwardDeriv!$AJ:$AJ)</f>
        <v>0.94999999999998863</v>
      </c>
      <c r="J2699" cm="1">
        <f t="array" ref="J2699">_xlfn.XLOOKUP(TEXT(A2699, "mmm-yy"), TEXT([2]GASOLINE!$B$5:$B$208, "mmm-yy"), [2]GASOLINE!$IR$5:$IR$208, "Not Found")</f>
        <v>-492.7089930082393</v>
      </c>
      <c r="K2699" cm="1">
        <f t="array" ref="K2699">_xlfn.XLOOKUP(TEXT(A2699, "mmm-yy"), TEXT([2]GASOLINE!$B$5:$B$208, "mmm-yy"), [2]GASOLINE!$IK$5:$IK$208, "Not Found")</f>
        <v>330.71781666792504</v>
      </c>
      <c r="L2699">
        <f t="shared" si="42"/>
        <v>0</v>
      </c>
      <c r="M2699" cm="1">
        <f t="array" ref="M2699">_xlfn.XLOOKUP(TEXT(A2699, "mmm-yy"), TEXT([2]GASOLINE!$B$5:$B$208, "mmm-yy"), [2]GASOLINE!$C$5:$C$208, "Not Found")</f>
        <v>7700.5329244147497</v>
      </c>
      <c r="N2699" cm="1">
        <f t="array" ref="N2699">_xlfn.XLOOKUP(TEXT(A2699, "mmm-yy"), TEXT([2]RUNS!$B$5:$B$208, "mmm-yy"), [2]RUNS!$BM$5:$BM$208, "Not Found")</f>
        <v>0.82063956840540186</v>
      </c>
    </row>
    <row r="2700" spans="1:14" x14ac:dyDescent="0.25">
      <c r="A2700" s="1">
        <f>'[1]Global_Spot Prices'!$B4009</f>
        <v>45783</v>
      </c>
      <c r="B2700">
        <f>_xlfn.XLOOKUP(A2700,'[1]Global_Spot Prices'!$B:$B,'[1]Global_Spot Prices'!$BS:$BS)</f>
        <v>11.769999999999996</v>
      </c>
      <c r="C2700">
        <f>_xlfn.XLOOKUP(A2700,'[1]Global_Spot Prices'!$B:$B,'[1]Global_Spot Prices'!$E:$E)</f>
        <v>61.69</v>
      </c>
      <c r="D2700">
        <f ca="1">_xlfn.XLOOKUP(A2700,'[1]Global_Spot Prices'!$B:$B,'[1]Global_Spot Prices'!$D:$D)</f>
        <v>62.74</v>
      </c>
      <c r="E2700">
        <f>_xlfn.XLOOKUP(A2700,'[1]Global_Spot Prices'!$B:$B,'[1]Global_Spot Prices'!$H:$H)</f>
        <v>60.22</v>
      </c>
      <c r="F2700">
        <f>_xlfn.XLOOKUP(A2700,'[1]Global_Spot Prices'!$B:$B,'[1]Global_Spot Prices'!$I:$I)</f>
        <v>73.459999999999994</v>
      </c>
      <c r="G2700" cm="1">
        <f t="array" ref="G2700">_xlfn.XLOOKUP(TEXT(A2700, "mmm-yy"), TEXT([2]RUNS!$B$5:$B$208, "mmm-yy"), [2]RUNS!$D$5:$D$208, "Not Found")</f>
        <v>30159.242714510092</v>
      </c>
      <c r="H2700" cm="1">
        <f t="array" ref="H2700">SUMPRODUCT(
    --(TEXT('[3]Global Weekly Stock (EWSuez'!$B$4:$B$2000,"mmm-yy")=TEXT(A2700,"mmm-yy")),
    '[3]Global Weekly Stock (EWSuez'!$E$4:$E$2000)
/
SUMPRODUCT(
    --(TEXT('[3]Global Weekly Stock (EWSuez'!$B$4:$B$2000,"mmm-yy")=TEXT(A2700,"mmm-yy"))
)</f>
        <v>13267.6</v>
      </c>
      <c r="I2700">
        <f>_xlfn.XLOOKUP(A2700,[1]ForwardDeriv!$D:$D,[1]ForwardDeriv!$AJ:$AJ)</f>
        <v>1</v>
      </c>
      <c r="J2700" cm="1">
        <f t="array" ref="J2700">_xlfn.XLOOKUP(TEXT(A2700, "mmm-yy"), TEXT([2]GASOLINE!$B$5:$B$208, "mmm-yy"), [2]GASOLINE!$IR$5:$IR$208, "Not Found")</f>
        <v>-492.7089930082393</v>
      </c>
      <c r="K2700" cm="1">
        <f t="array" ref="K2700">_xlfn.XLOOKUP(TEXT(A2700, "mmm-yy"), TEXT([2]GASOLINE!$B$5:$B$208, "mmm-yy"), [2]GASOLINE!$IK$5:$IK$208, "Not Found")</f>
        <v>330.71781666792504</v>
      </c>
      <c r="L2700">
        <f t="shared" si="42"/>
        <v>0</v>
      </c>
      <c r="M2700" cm="1">
        <f t="array" ref="M2700">_xlfn.XLOOKUP(TEXT(A2700, "mmm-yy"), TEXT([2]GASOLINE!$B$5:$B$208, "mmm-yy"), [2]GASOLINE!$C$5:$C$208, "Not Found")</f>
        <v>7700.5329244147497</v>
      </c>
      <c r="N2700" cm="1">
        <f t="array" ref="N2700">_xlfn.XLOOKUP(TEXT(A2700, "mmm-yy"), TEXT([2]RUNS!$B$5:$B$208, "mmm-yy"), [2]RUNS!$BM$5:$BM$208, "Not Found")</f>
        <v>0.82063956840540186</v>
      </c>
    </row>
    <row r="2701" spans="1:14" x14ac:dyDescent="0.25">
      <c r="A2701" s="1">
        <f>'[1]Global_Spot Prices'!$B4010</f>
        <v>45784</v>
      </c>
      <c r="B2701">
        <f>_xlfn.XLOOKUP(A2701,'[1]Global_Spot Prices'!$B:$B,'[1]Global_Spot Prices'!$BS:$BS)</f>
        <v>11.150000000000006</v>
      </c>
      <c r="C2701">
        <f>_xlfn.XLOOKUP(A2701,'[1]Global_Spot Prices'!$B:$B,'[1]Global_Spot Prices'!$E:$E)</f>
        <v>63.64</v>
      </c>
      <c r="D2701">
        <f>_xlfn.XLOOKUP(A2701,'[1]Global_Spot Prices'!$B:$B,'[1]Global_Spot Prices'!$D:$D)</f>
        <v>61.09</v>
      </c>
      <c r="E2701">
        <f>_xlfn.XLOOKUP(A2701,'[1]Global_Spot Prices'!$B:$B,'[1]Global_Spot Prices'!$H:$H)</f>
        <v>61.06</v>
      </c>
      <c r="F2701">
        <f>_xlfn.XLOOKUP(A2701,'[1]Global_Spot Prices'!$B:$B,'[1]Global_Spot Prices'!$I:$I)</f>
        <v>74.790000000000006</v>
      </c>
      <c r="G2701" cm="1">
        <f t="array" ref="G2701">_xlfn.XLOOKUP(TEXT(A2701, "mmm-yy"), TEXT([2]RUNS!$B$5:$B$208, "mmm-yy"), [2]RUNS!$D$5:$D$208, "Not Found")</f>
        <v>30159.242714510092</v>
      </c>
      <c r="H2701" cm="1">
        <f t="array" ref="H2701">SUMPRODUCT(
    --(TEXT('[3]Global Weekly Stock (EWSuez'!$B$4:$B$2000,"mmm-yy")=TEXT(A2701,"mmm-yy")),
    '[3]Global Weekly Stock (EWSuez'!$E$4:$E$2000)
/
SUMPRODUCT(
    --(TEXT('[3]Global Weekly Stock (EWSuez'!$B$4:$B$2000,"mmm-yy")=TEXT(A2701,"mmm-yy"))
)</f>
        <v>13267.6</v>
      </c>
      <c r="I2701">
        <f>_xlfn.XLOOKUP(A2701,[1]ForwardDeriv!$D:$D,[1]ForwardDeriv!$AJ:$AJ)</f>
        <v>1.0499999999999972</v>
      </c>
      <c r="J2701" cm="1">
        <f t="array" ref="J2701">_xlfn.XLOOKUP(TEXT(A2701, "mmm-yy"), TEXT([2]GASOLINE!$B$5:$B$208, "mmm-yy"), [2]GASOLINE!$IR$5:$IR$208, "Not Found")</f>
        <v>-492.7089930082393</v>
      </c>
      <c r="K2701" cm="1">
        <f t="array" ref="K2701">_xlfn.XLOOKUP(TEXT(A2701, "mmm-yy"), TEXT([2]GASOLINE!$B$5:$B$208, "mmm-yy"), [2]GASOLINE!$IK$5:$IK$208, "Not Found")</f>
        <v>330.71781666792504</v>
      </c>
      <c r="L2701">
        <f t="shared" si="42"/>
        <v>0</v>
      </c>
      <c r="M2701" cm="1">
        <f t="array" ref="M2701">_xlfn.XLOOKUP(TEXT(A2701, "mmm-yy"), TEXT([2]GASOLINE!$B$5:$B$208, "mmm-yy"), [2]GASOLINE!$C$5:$C$208, "Not Found")</f>
        <v>7700.5329244147497</v>
      </c>
      <c r="N2701" cm="1">
        <f t="array" ref="N2701">_xlfn.XLOOKUP(TEXT(A2701, "mmm-yy"), TEXT([2]RUNS!$B$5:$B$208, "mmm-yy"), [2]RUNS!$BM$5:$BM$208, "Not Found")</f>
        <v>0.82063956840540186</v>
      </c>
    </row>
    <row r="2702" spans="1:14" x14ac:dyDescent="0.25">
      <c r="A2702" s="1">
        <f>'[1]Global_Spot Prices'!$B4011</f>
        <v>45785</v>
      </c>
      <c r="B2702">
        <f>_xlfn.XLOOKUP(A2702,'[1]Global_Spot Prices'!$B:$B,'[1]Global_Spot Prices'!$BS:$BS)</f>
        <v>11.229999999999997</v>
      </c>
      <c r="C2702">
        <f>_xlfn.XLOOKUP(A2702,'[1]Global_Spot Prices'!$B:$B,'[1]Global_Spot Prices'!$E:$E)</f>
        <v>62.15</v>
      </c>
      <c r="D2702">
        <f>_xlfn.XLOOKUP(A2702,'[1]Global_Spot Prices'!$B:$B,'[1]Global_Spot Prices'!$D:$D)</f>
        <v>62.314999999999998</v>
      </c>
      <c r="E2702">
        <f>_xlfn.XLOOKUP(A2702,'[1]Global_Spot Prices'!$B:$B,'[1]Global_Spot Prices'!$H:$H)</f>
        <v>60.22</v>
      </c>
      <c r="F2702">
        <f>_xlfn.XLOOKUP(A2702,'[1]Global_Spot Prices'!$B:$B,'[1]Global_Spot Prices'!$I:$I)</f>
        <v>73.38</v>
      </c>
      <c r="G2702" cm="1">
        <f t="array" ref="G2702">_xlfn.XLOOKUP(TEXT(A2702, "mmm-yy"), TEXT([2]RUNS!$B$5:$B$208, "mmm-yy"), [2]RUNS!$D$5:$D$208, "Not Found")</f>
        <v>30159.242714510092</v>
      </c>
      <c r="H2702" cm="1">
        <f t="array" ref="H2702">SUMPRODUCT(
    --(TEXT('[3]Global Weekly Stock (EWSuez'!$B$4:$B$2000,"mmm-yy")=TEXT(A2702,"mmm-yy")),
    '[3]Global Weekly Stock (EWSuez'!$E$4:$E$2000)
/
SUMPRODUCT(
    --(TEXT('[3]Global Weekly Stock (EWSuez'!$B$4:$B$2000,"mmm-yy")=TEXT(A2702,"mmm-yy"))
)</f>
        <v>13267.6</v>
      </c>
      <c r="I2702">
        <f>_xlfn.XLOOKUP(A2702,[1]ForwardDeriv!$D:$D,[1]ForwardDeriv!$AJ:$AJ)</f>
        <v>1.019999999999996</v>
      </c>
      <c r="J2702" cm="1">
        <f t="array" ref="J2702">_xlfn.XLOOKUP(TEXT(A2702, "mmm-yy"), TEXT([2]GASOLINE!$B$5:$B$208, "mmm-yy"), [2]GASOLINE!$IR$5:$IR$208, "Not Found")</f>
        <v>-492.7089930082393</v>
      </c>
      <c r="K2702" cm="1">
        <f t="array" ref="K2702">_xlfn.XLOOKUP(TEXT(A2702, "mmm-yy"), TEXT([2]GASOLINE!$B$5:$B$208, "mmm-yy"), [2]GASOLINE!$IK$5:$IK$208, "Not Found")</f>
        <v>330.71781666792504</v>
      </c>
      <c r="L2702">
        <f t="shared" si="42"/>
        <v>0</v>
      </c>
      <c r="M2702" cm="1">
        <f t="array" ref="M2702">_xlfn.XLOOKUP(TEXT(A2702, "mmm-yy"), TEXT([2]GASOLINE!$B$5:$B$208, "mmm-yy"), [2]GASOLINE!$C$5:$C$208, "Not Found")</f>
        <v>7700.5329244147497</v>
      </c>
      <c r="N2702" cm="1">
        <f t="array" ref="N2702">_xlfn.XLOOKUP(TEXT(A2702, "mmm-yy"), TEXT([2]RUNS!$B$5:$B$208, "mmm-yy"), [2]RUNS!$BM$5:$BM$208, "Not Found")</f>
        <v>0.82063956840540186</v>
      </c>
    </row>
    <row r="2703" spans="1:14" x14ac:dyDescent="0.25">
      <c r="A2703" s="1">
        <f>'[1]Global_Spot Prices'!$B4012</f>
        <v>45786</v>
      </c>
      <c r="B2703">
        <f>_xlfn.XLOOKUP(A2703,'[1]Global_Spot Prices'!$B:$B,'[1]Global_Spot Prices'!$BS:$BS)</f>
        <v>11.329999999999998</v>
      </c>
      <c r="C2703">
        <f>_xlfn.XLOOKUP(A2703,'[1]Global_Spot Prices'!$B:$B,'[1]Global_Spot Prices'!$E:$E)</f>
        <v>63.89</v>
      </c>
      <c r="D2703">
        <f>_xlfn.XLOOKUP(A2703,'[1]Global_Spot Prices'!$B:$B,'[1]Global_Spot Prices'!$D:$D)</f>
        <v>63.59</v>
      </c>
      <c r="E2703">
        <f>_xlfn.XLOOKUP(A2703,'[1]Global_Spot Prices'!$B:$B,'[1]Global_Spot Prices'!$H:$H)</f>
        <v>61.76</v>
      </c>
      <c r="F2703">
        <f>_xlfn.XLOOKUP(A2703,'[1]Global_Spot Prices'!$B:$B,'[1]Global_Spot Prices'!$I:$I)</f>
        <v>75.22</v>
      </c>
      <c r="G2703" cm="1">
        <f t="array" ref="G2703">_xlfn.XLOOKUP(TEXT(A2703, "mmm-yy"), TEXT([2]RUNS!$B$5:$B$208, "mmm-yy"), [2]RUNS!$D$5:$D$208, "Not Found")</f>
        <v>30159.242714510092</v>
      </c>
      <c r="H2703" cm="1">
        <f t="array" ref="H2703">SUMPRODUCT(
    --(TEXT('[3]Global Weekly Stock (EWSuez'!$B$4:$B$2000,"mmm-yy")=TEXT(A2703,"mmm-yy")),
    '[3]Global Weekly Stock (EWSuez'!$E$4:$E$2000)
/
SUMPRODUCT(
    --(TEXT('[3]Global Weekly Stock (EWSuez'!$B$4:$B$2000,"mmm-yy")=TEXT(A2703,"mmm-yy"))
)</f>
        <v>13267.6</v>
      </c>
      <c r="I2703">
        <f>_xlfn.XLOOKUP(A2703,[1]ForwardDeriv!$D:$D,[1]ForwardDeriv!$AJ:$AJ)</f>
        <v>1</v>
      </c>
      <c r="J2703" cm="1">
        <f t="array" ref="J2703">_xlfn.XLOOKUP(TEXT(A2703, "mmm-yy"), TEXT([2]GASOLINE!$B$5:$B$208, "mmm-yy"), [2]GASOLINE!$IR$5:$IR$208, "Not Found")</f>
        <v>-492.7089930082393</v>
      </c>
      <c r="K2703" cm="1">
        <f t="array" ref="K2703">_xlfn.XLOOKUP(TEXT(A2703, "mmm-yy"), TEXT([2]GASOLINE!$B$5:$B$208, "mmm-yy"), [2]GASOLINE!$IK$5:$IK$208, "Not Found")</f>
        <v>330.71781666792504</v>
      </c>
      <c r="L2703">
        <f t="shared" si="42"/>
        <v>0</v>
      </c>
      <c r="M2703" cm="1">
        <f t="array" ref="M2703">_xlfn.XLOOKUP(TEXT(A2703, "mmm-yy"), TEXT([2]GASOLINE!$B$5:$B$208, "mmm-yy"), [2]GASOLINE!$C$5:$C$208, "Not Found")</f>
        <v>7700.5329244147497</v>
      </c>
      <c r="N2703" cm="1">
        <f t="array" ref="N2703">_xlfn.XLOOKUP(TEXT(A2703, "mmm-yy"), TEXT([2]RUNS!$B$5:$B$208, "mmm-yy"), [2]RUNS!$BM$5:$BM$208, "Not Found")</f>
        <v>0.82063956840540186</v>
      </c>
    </row>
    <row r="2704" spans="1:14" x14ac:dyDescent="0.25">
      <c r="A2704" s="1">
        <f>'[1]Global_Spot Prices'!$B4013</f>
        <v>45789</v>
      </c>
      <c r="B2704" t="e">
        <f>_xlfn.XLOOKUP(A2704,'[1]Global_Spot Prices'!$B:$B,'[1]Global_Spot Prices'!$BS:$BS)</f>
        <v>#N/A</v>
      </c>
      <c r="C2704" t="str">
        <f>_xlfn.XLOOKUP(A2704,'[1]Global_Spot Prices'!$B:$B,'[1]Global_Spot Prices'!$E:$E)</f>
        <v/>
      </c>
      <c r="D2704">
        <f>_xlfn.XLOOKUP(A2704,'[1]Global_Spot Prices'!$B:$B,'[1]Global_Spot Prices'!$D:$D)</f>
        <v>65.064999999999998</v>
      </c>
      <c r="E2704">
        <f>_xlfn.XLOOKUP(A2704,'[1]Global_Spot Prices'!$B:$B,'[1]Global_Spot Prices'!$H:$H)</f>
        <v>0</v>
      </c>
      <c r="F2704">
        <f>_xlfn.XLOOKUP(A2704,'[1]Global_Spot Prices'!$B:$B,'[1]Global_Spot Prices'!$I:$I)</f>
        <v>0</v>
      </c>
      <c r="G2704" cm="1">
        <f t="array" ref="G2704">_xlfn.XLOOKUP(TEXT(A2704, "mmm-yy"), TEXT([2]RUNS!$B$5:$B$208, "mmm-yy"), [2]RUNS!$D$5:$D$208, "Not Found")</f>
        <v>30159.242714510092</v>
      </c>
      <c r="H2704" cm="1">
        <f t="array" ref="H2704">SUMPRODUCT(
    --(TEXT('[3]Global Weekly Stock (EWSuez'!$B$4:$B$2000,"mmm-yy")=TEXT(A2704,"mmm-yy")),
    '[3]Global Weekly Stock (EWSuez'!$E$4:$E$2000)
/
SUMPRODUCT(
    --(TEXT('[3]Global Weekly Stock (EWSuez'!$B$4:$B$2000,"mmm-yy")=TEXT(A2704,"mmm-yy"))
)</f>
        <v>13267.6</v>
      </c>
      <c r="I2704">
        <f>_xlfn.XLOOKUP(A2704,[1]ForwardDeriv!$D:$D,[1]ForwardDeriv!$AJ:$AJ)</f>
        <v>0.95999999999999375</v>
      </c>
      <c r="J2704" cm="1">
        <f t="array" ref="J2704">_xlfn.XLOOKUP(TEXT(A2704, "mmm-yy"), TEXT([2]GASOLINE!$B$5:$B$208, "mmm-yy"), [2]GASOLINE!$IR$5:$IR$208, "Not Found")</f>
        <v>-492.7089930082393</v>
      </c>
      <c r="K2704" cm="1">
        <f t="array" ref="K2704">_xlfn.XLOOKUP(TEXT(A2704, "mmm-yy"), TEXT([2]GASOLINE!$B$5:$B$208, "mmm-yy"), [2]GASOLINE!$IK$5:$IK$208, "Not Found")</f>
        <v>330.71781666792504</v>
      </c>
      <c r="L2704">
        <f t="shared" si="42"/>
        <v>0</v>
      </c>
      <c r="M2704" cm="1">
        <f t="array" ref="M2704">_xlfn.XLOOKUP(TEXT(A2704, "mmm-yy"), TEXT([2]GASOLINE!$B$5:$B$208, "mmm-yy"), [2]GASOLINE!$C$5:$C$208, "Not Found")</f>
        <v>7700.5329244147497</v>
      </c>
      <c r="N2704" cm="1">
        <f t="array" ref="N2704">_xlfn.XLOOKUP(TEXT(A2704, "mmm-yy"), TEXT([2]RUNS!$B$5:$B$208, "mmm-yy"), [2]RUNS!$BM$5:$BM$208, "Not Found")</f>
        <v>0.82063956840540186</v>
      </c>
    </row>
    <row r="2705" spans="1:14" x14ac:dyDescent="0.25">
      <c r="A2705" s="1">
        <f>'[1]Global_Spot Prices'!$B4014</f>
        <v>45790</v>
      </c>
      <c r="B2705">
        <f>_xlfn.XLOOKUP(A2705,'[1]Global_Spot Prices'!$B:$B,'[1]Global_Spot Prices'!$BS:$BS)</f>
        <v>10.939999999999998</v>
      </c>
      <c r="C2705">
        <f>_xlfn.XLOOKUP(A2705,'[1]Global_Spot Prices'!$B:$B,'[1]Global_Spot Prices'!$E:$E)</f>
        <v>65.25</v>
      </c>
      <c r="D2705">
        <f>_xlfn.XLOOKUP(A2705,'[1]Global_Spot Prices'!$B:$B,'[1]Global_Spot Prices'!$D:$D)</f>
        <v>66.08</v>
      </c>
      <c r="E2705">
        <f>_xlfn.XLOOKUP(A2705,'[1]Global_Spot Prices'!$B:$B,'[1]Global_Spot Prices'!$H:$H)</f>
        <v>62.32</v>
      </c>
      <c r="F2705">
        <f>_xlfn.XLOOKUP(A2705,'[1]Global_Spot Prices'!$B:$B,'[1]Global_Spot Prices'!$I:$I)</f>
        <v>76.19</v>
      </c>
      <c r="G2705" cm="1">
        <f t="array" ref="G2705">_xlfn.XLOOKUP(TEXT(A2705, "mmm-yy"), TEXT([2]RUNS!$B$5:$B$208, "mmm-yy"), [2]RUNS!$D$5:$D$208, "Not Found")</f>
        <v>30159.242714510092</v>
      </c>
      <c r="H2705" cm="1">
        <f t="array" ref="H2705">SUMPRODUCT(
    --(TEXT('[3]Global Weekly Stock (EWSuez'!$B$4:$B$2000,"mmm-yy")=TEXT(A2705,"mmm-yy")),
    '[3]Global Weekly Stock (EWSuez'!$E$4:$E$2000)
/
SUMPRODUCT(
    --(TEXT('[3]Global Weekly Stock (EWSuez'!$B$4:$B$2000,"mmm-yy")=TEXT(A2705,"mmm-yy"))
)</f>
        <v>13267.6</v>
      </c>
      <c r="I2705">
        <f>_xlfn.XLOOKUP(A2705,[1]ForwardDeriv!$D:$D,[1]ForwardDeriv!$AJ:$AJ)</f>
        <v>0.95999999999999375</v>
      </c>
      <c r="J2705" cm="1">
        <f t="array" ref="J2705">_xlfn.XLOOKUP(TEXT(A2705, "mmm-yy"), TEXT([2]GASOLINE!$B$5:$B$208, "mmm-yy"), [2]GASOLINE!$IR$5:$IR$208, "Not Found")</f>
        <v>-492.7089930082393</v>
      </c>
      <c r="K2705" cm="1">
        <f t="array" ref="K2705">_xlfn.XLOOKUP(TEXT(A2705, "mmm-yy"), TEXT([2]GASOLINE!$B$5:$B$208, "mmm-yy"), [2]GASOLINE!$IK$5:$IK$208, "Not Found")</f>
        <v>330.71781666792504</v>
      </c>
      <c r="L2705">
        <f t="shared" si="42"/>
        <v>0</v>
      </c>
      <c r="M2705" cm="1">
        <f t="array" ref="M2705">_xlfn.XLOOKUP(TEXT(A2705, "mmm-yy"), TEXT([2]GASOLINE!$B$5:$B$208, "mmm-yy"), [2]GASOLINE!$C$5:$C$208, "Not Found")</f>
        <v>7700.5329244147497</v>
      </c>
      <c r="N2705" cm="1">
        <f t="array" ref="N2705">_xlfn.XLOOKUP(TEXT(A2705, "mmm-yy"), TEXT([2]RUNS!$B$5:$B$208, "mmm-yy"), [2]RUNS!$BM$5:$BM$208, "Not Found")</f>
        <v>0.82063956840540186</v>
      </c>
    </row>
    <row r="2706" spans="1:14" x14ac:dyDescent="0.25">
      <c r="A2706" s="1">
        <f>'[1]Global_Spot Prices'!$B4015</f>
        <v>45791</v>
      </c>
      <c r="B2706">
        <f>_xlfn.XLOOKUP(A2706,'[1]Global_Spot Prices'!$B:$B,'[1]Global_Spot Prices'!$BS:$BS)</f>
        <v>11.180000000000007</v>
      </c>
      <c r="C2706">
        <f>_xlfn.XLOOKUP(A2706,'[1]Global_Spot Prices'!$B:$B,'[1]Global_Spot Prices'!$E:$E)</f>
        <v>66</v>
      </c>
      <c r="D2706">
        <f>_xlfn.XLOOKUP(A2706,'[1]Global_Spot Prices'!$B:$B,'[1]Global_Spot Prices'!$D:$D)</f>
        <v>65.935000000000002</v>
      </c>
      <c r="E2706">
        <f>_xlfn.XLOOKUP(A2706,'[1]Global_Spot Prices'!$B:$B,'[1]Global_Spot Prices'!$H:$H)</f>
        <v>63.93</v>
      </c>
      <c r="F2706">
        <f ca="1">_xlfn.XLOOKUP(A2706,'[1]Global_Spot Prices'!$B:$B,'[1]Global_Spot Prices'!$I:$I)</f>
        <v>77.180000000000007</v>
      </c>
      <c r="G2706" cm="1">
        <f t="array" ref="G2706">_xlfn.XLOOKUP(TEXT(A2706, "mmm-yy"), TEXT([2]RUNS!$B$5:$B$208, "mmm-yy"), [2]RUNS!$D$5:$D$208, "Not Found")</f>
        <v>30159.242714510092</v>
      </c>
      <c r="H2706" cm="1">
        <f t="array" ref="H2706">SUMPRODUCT(
    --(TEXT('[3]Global Weekly Stock (EWSuez'!$B$4:$B$2000,"mmm-yy")=TEXT(A2706,"mmm-yy")),
    '[3]Global Weekly Stock (EWSuez'!$E$4:$E$2000)
/
SUMPRODUCT(
    --(TEXT('[3]Global Weekly Stock (EWSuez'!$B$4:$B$2000,"mmm-yy")=TEXT(A2706,"mmm-yy"))
)</f>
        <v>13267.6</v>
      </c>
      <c r="I2706">
        <f>_xlfn.XLOOKUP(A2706,[1]ForwardDeriv!$D:$D,[1]ForwardDeriv!$AJ:$AJ)</f>
        <v>0.93000000000000682</v>
      </c>
      <c r="J2706" cm="1">
        <f t="array" ref="J2706">_xlfn.XLOOKUP(TEXT(A2706, "mmm-yy"), TEXT([2]GASOLINE!$B$5:$B$208, "mmm-yy"), [2]GASOLINE!$IR$5:$IR$208, "Not Found")</f>
        <v>-492.7089930082393</v>
      </c>
      <c r="K2706" cm="1">
        <f t="array" ref="K2706">_xlfn.XLOOKUP(TEXT(A2706, "mmm-yy"), TEXT([2]GASOLINE!$B$5:$B$208, "mmm-yy"), [2]GASOLINE!$IK$5:$IK$208, "Not Found")</f>
        <v>330.71781666792504</v>
      </c>
      <c r="L2706">
        <f t="shared" si="42"/>
        <v>0</v>
      </c>
      <c r="M2706" cm="1">
        <f t="array" ref="M2706">_xlfn.XLOOKUP(TEXT(A2706, "mmm-yy"), TEXT([2]GASOLINE!$B$5:$B$208, "mmm-yy"), [2]GASOLINE!$C$5:$C$208, "Not Found")</f>
        <v>7700.5329244147497</v>
      </c>
      <c r="N2706" cm="1">
        <f t="array" ref="N2706">_xlfn.XLOOKUP(TEXT(A2706, "mmm-yy"), TEXT([2]RUNS!$B$5:$B$208, "mmm-yy"), [2]RUNS!$BM$5:$BM$208, "Not Found")</f>
        <v>0.82063956840540186</v>
      </c>
    </row>
    <row r="2707" spans="1:14" x14ac:dyDescent="0.25">
      <c r="A2707" s="1">
        <f>'[1]Global_Spot Prices'!$B4016</f>
        <v>45792</v>
      </c>
      <c r="B2707">
        <f>_xlfn.XLOOKUP(A2707,'[1]Global_Spot Prices'!$B:$B,'[1]Global_Spot Prices'!$BS:$BS)</f>
        <v>11.359999999999992</v>
      </c>
      <c r="C2707">
        <f>_xlfn.XLOOKUP(A2707,'[1]Global_Spot Prices'!$B:$B,'[1]Global_Spot Prices'!$E:$E)</f>
        <v>63.71</v>
      </c>
      <c r="D2707">
        <f>_xlfn.XLOOKUP(A2707,'[1]Global_Spot Prices'!$B:$B,'[1]Global_Spot Prices'!$D:$D)</f>
        <v>64.040000000000006</v>
      </c>
      <c r="E2707">
        <f>_xlfn.XLOOKUP(A2707,'[1]Global_Spot Prices'!$B:$B,'[1]Global_Spot Prices'!$H:$H)</f>
        <v>61.82</v>
      </c>
      <c r="F2707">
        <f>_xlfn.XLOOKUP(A2707,'[1]Global_Spot Prices'!$B:$B,'[1]Global_Spot Prices'!$I:$I)</f>
        <v>75.069999999999993</v>
      </c>
      <c r="G2707" cm="1">
        <f t="array" ref="G2707">_xlfn.XLOOKUP(TEXT(A2707, "mmm-yy"), TEXT([2]RUNS!$B$5:$B$208, "mmm-yy"), [2]RUNS!$D$5:$D$208, "Not Found")</f>
        <v>30159.242714510092</v>
      </c>
      <c r="H2707" cm="1">
        <f t="array" ref="H2707">SUMPRODUCT(
    --(TEXT('[3]Global Weekly Stock (EWSuez'!$B$4:$B$2000,"mmm-yy")=TEXT(A2707,"mmm-yy")),
    '[3]Global Weekly Stock (EWSuez'!$E$4:$E$2000)
/
SUMPRODUCT(
    --(TEXT('[3]Global Weekly Stock (EWSuez'!$B$4:$B$2000,"mmm-yy")=TEXT(A2707,"mmm-yy"))
)</f>
        <v>13267.6</v>
      </c>
      <c r="I2707">
        <f>_xlfn.XLOOKUP(A2707,[1]ForwardDeriv!$D:$D,[1]ForwardDeriv!$AJ:$AJ)</f>
        <v>0.89000000000000057</v>
      </c>
      <c r="J2707" cm="1">
        <f t="array" ref="J2707">_xlfn.XLOOKUP(TEXT(A2707, "mmm-yy"), TEXT([2]GASOLINE!$B$5:$B$208, "mmm-yy"), [2]GASOLINE!$IR$5:$IR$208, "Not Found")</f>
        <v>-492.7089930082393</v>
      </c>
      <c r="K2707" cm="1">
        <f t="array" ref="K2707">_xlfn.XLOOKUP(TEXT(A2707, "mmm-yy"), TEXT([2]GASOLINE!$B$5:$B$208, "mmm-yy"), [2]GASOLINE!$IK$5:$IK$208, "Not Found")</f>
        <v>330.71781666792504</v>
      </c>
      <c r="L2707">
        <f t="shared" si="42"/>
        <v>0</v>
      </c>
      <c r="M2707" cm="1">
        <f t="array" ref="M2707">_xlfn.XLOOKUP(TEXT(A2707, "mmm-yy"), TEXT([2]GASOLINE!$B$5:$B$208, "mmm-yy"), [2]GASOLINE!$C$5:$C$208, "Not Found")</f>
        <v>7700.5329244147497</v>
      </c>
      <c r="N2707" cm="1">
        <f t="array" ref="N2707">_xlfn.XLOOKUP(TEXT(A2707, "mmm-yy"), TEXT([2]RUNS!$B$5:$B$208, "mmm-yy"), [2]RUNS!$BM$5:$BM$208, "Not Found")</f>
        <v>0.82063956840540186</v>
      </c>
    </row>
    <row r="2708" spans="1:14" x14ac:dyDescent="0.25">
      <c r="A2708" s="1">
        <f>'[1]Global_Spot Prices'!$B4017</f>
        <v>45793</v>
      </c>
      <c r="B2708">
        <f>_xlfn.XLOOKUP(A2708,'[1]Global_Spot Prices'!$B:$B,'[1]Global_Spot Prices'!$BS:$BS)</f>
        <v>11.309999999999995</v>
      </c>
      <c r="C2708">
        <f>_xlfn.XLOOKUP(A2708,'[1]Global_Spot Prices'!$B:$B,'[1]Global_Spot Prices'!$E:$E)</f>
        <v>63.79</v>
      </c>
      <c r="D2708">
        <f>_xlfn.XLOOKUP(A2708,'[1]Global_Spot Prices'!$B:$B,'[1]Global_Spot Prices'!$D:$D)</f>
        <v>65.094999999999999</v>
      </c>
      <c r="E2708">
        <f>_xlfn.XLOOKUP(A2708,'[1]Global_Spot Prices'!$B:$B,'[1]Global_Spot Prices'!$H:$H)</f>
        <v>61.57</v>
      </c>
      <c r="F2708">
        <f>_xlfn.XLOOKUP(A2708,'[1]Global_Spot Prices'!$B:$B,'[1]Global_Spot Prices'!$I:$I)</f>
        <v>75.099999999999994</v>
      </c>
      <c r="G2708" cm="1">
        <f t="array" ref="G2708">_xlfn.XLOOKUP(TEXT(A2708, "mmm-yy"), TEXT([2]RUNS!$B$5:$B$208, "mmm-yy"), [2]RUNS!$D$5:$D$208, "Not Found")</f>
        <v>30159.242714510092</v>
      </c>
      <c r="H2708" cm="1">
        <f t="array" ref="H2708">SUMPRODUCT(
    --(TEXT('[3]Global Weekly Stock (EWSuez'!$B$4:$B$2000,"mmm-yy")=TEXT(A2708,"mmm-yy")),
    '[3]Global Weekly Stock (EWSuez'!$E$4:$E$2000)
/
SUMPRODUCT(
    --(TEXT('[3]Global Weekly Stock (EWSuez'!$B$4:$B$2000,"mmm-yy")=TEXT(A2708,"mmm-yy"))
)</f>
        <v>13267.6</v>
      </c>
      <c r="I2708">
        <f>_xlfn.XLOOKUP(A2708,[1]ForwardDeriv!$D:$D,[1]ForwardDeriv!$AJ:$AJ)</f>
        <v>0.92000000000000171</v>
      </c>
      <c r="J2708" cm="1">
        <f t="array" ref="J2708">_xlfn.XLOOKUP(TEXT(A2708, "mmm-yy"), TEXT([2]GASOLINE!$B$5:$B$208, "mmm-yy"), [2]GASOLINE!$IR$5:$IR$208, "Not Found")</f>
        <v>-492.7089930082393</v>
      </c>
      <c r="K2708" cm="1">
        <f t="array" ref="K2708">_xlfn.XLOOKUP(TEXT(A2708, "mmm-yy"), TEXT([2]GASOLINE!$B$5:$B$208, "mmm-yy"), [2]GASOLINE!$IK$5:$IK$208, "Not Found")</f>
        <v>330.71781666792504</v>
      </c>
      <c r="L2708">
        <f t="shared" si="42"/>
        <v>0</v>
      </c>
      <c r="M2708" cm="1">
        <f t="array" ref="M2708">_xlfn.XLOOKUP(TEXT(A2708, "mmm-yy"), TEXT([2]GASOLINE!$B$5:$B$208, "mmm-yy"), [2]GASOLINE!$C$5:$C$208, "Not Found")</f>
        <v>7700.5329244147497</v>
      </c>
      <c r="N2708" cm="1">
        <f t="array" ref="N2708">_xlfn.XLOOKUP(TEXT(A2708, "mmm-yy"), TEXT([2]RUNS!$B$5:$B$208, "mmm-yy"), [2]RUNS!$BM$5:$BM$208, "Not Found")</f>
        <v>0.82063956840540186</v>
      </c>
    </row>
    <row r="2709" spans="1:14" x14ac:dyDescent="0.25">
      <c r="A2709" s="1">
        <f>'[1]Global_Spot Prices'!$B4018</f>
        <v>45796</v>
      </c>
      <c r="B2709">
        <f>_xlfn.XLOOKUP(A2709,'[1]Global_Spot Prices'!$B:$B,'[1]Global_Spot Prices'!$BS:$BS)</f>
        <v>10.829999999999998</v>
      </c>
      <c r="C2709">
        <f>_xlfn.XLOOKUP(A2709,'[1]Global_Spot Prices'!$B:$B,'[1]Global_Spot Prices'!$E:$E)</f>
        <v>64.260000000000005</v>
      </c>
      <c r="D2709">
        <f>_xlfn.XLOOKUP(A2709,'[1]Global_Spot Prices'!$B:$B,'[1]Global_Spot Prices'!$D:$D)</f>
        <v>66</v>
      </c>
      <c r="E2709">
        <f>_xlfn.XLOOKUP(A2709,'[1]Global_Spot Prices'!$B:$B,'[1]Global_Spot Prices'!$H:$H)</f>
        <v>61.55</v>
      </c>
      <c r="F2709">
        <f>_xlfn.XLOOKUP(A2709,'[1]Global_Spot Prices'!$B:$B,'[1]Global_Spot Prices'!$I:$I)</f>
        <v>75.09</v>
      </c>
      <c r="G2709" cm="1">
        <f t="array" ref="G2709">_xlfn.XLOOKUP(TEXT(A2709, "mmm-yy"), TEXT([2]RUNS!$B$5:$B$208, "mmm-yy"), [2]RUNS!$D$5:$D$208, "Not Found")</f>
        <v>30159.242714510092</v>
      </c>
      <c r="H2709" cm="1">
        <f t="array" ref="H2709">SUMPRODUCT(
    --(TEXT('[3]Global Weekly Stock (EWSuez'!$B$4:$B$2000,"mmm-yy")=TEXT(A2709,"mmm-yy")),
    '[3]Global Weekly Stock (EWSuez'!$E$4:$E$2000)
/
SUMPRODUCT(
    --(TEXT('[3]Global Weekly Stock (EWSuez'!$B$4:$B$2000,"mmm-yy")=TEXT(A2709,"mmm-yy"))
)</f>
        <v>13267.6</v>
      </c>
      <c r="I2709">
        <f>_xlfn.XLOOKUP(A2709,[1]ForwardDeriv!$D:$D,[1]ForwardDeriv!$AJ:$AJ)</f>
        <v>0.90999999999999659</v>
      </c>
      <c r="J2709" cm="1">
        <f t="array" ref="J2709">_xlfn.XLOOKUP(TEXT(A2709, "mmm-yy"), TEXT([2]GASOLINE!$B$5:$B$208, "mmm-yy"), [2]GASOLINE!$IR$5:$IR$208, "Not Found")</f>
        <v>-492.7089930082393</v>
      </c>
      <c r="K2709" cm="1">
        <f t="array" ref="K2709">_xlfn.XLOOKUP(TEXT(A2709, "mmm-yy"), TEXT([2]GASOLINE!$B$5:$B$208, "mmm-yy"), [2]GASOLINE!$IK$5:$IK$208, "Not Found")</f>
        <v>330.71781666792504</v>
      </c>
      <c r="L2709">
        <f t="shared" si="42"/>
        <v>0</v>
      </c>
      <c r="M2709" cm="1">
        <f t="array" ref="M2709">_xlfn.XLOOKUP(TEXT(A2709, "mmm-yy"), TEXT([2]GASOLINE!$B$5:$B$208, "mmm-yy"), [2]GASOLINE!$C$5:$C$208, "Not Found")</f>
        <v>7700.5329244147497</v>
      </c>
      <c r="N2709" cm="1">
        <f t="array" ref="N2709">_xlfn.XLOOKUP(TEXT(A2709, "mmm-yy"), TEXT([2]RUNS!$B$5:$B$208, "mmm-yy"), [2]RUNS!$BM$5:$BM$208, "Not Found")</f>
        <v>0.82063956840540186</v>
      </c>
    </row>
    <row r="2710" spans="1:14" x14ac:dyDescent="0.25">
      <c r="A2710" s="1">
        <f>'[1]Global_Spot Prices'!$B4019</f>
        <v>45797</v>
      </c>
      <c r="B2710">
        <f>_xlfn.XLOOKUP(A2710,'[1]Global_Spot Prices'!$B:$B,'[1]Global_Spot Prices'!$BS:$BS)</f>
        <v>9.789999999999992</v>
      </c>
      <c r="C2710">
        <f>_xlfn.XLOOKUP(A2710,'[1]Global_Spot Prices'!$B:$B,'[1]Global_Spot Prices'!$E:$E)</f>
        <v>65.010000000000005</v>
      </c>
      <c r="D2710">
        <f>_xlfn.XLOOKUP(A2710,'[1]Global_Spot Prices'!$B:$B,'[1]Global_Spot Prices'!$D:$D)</f>
        <v>65.61</v>
      </c>
      <c r="E2710">
        <f>_xlfn.XLOOKUP(A2710,'[1]Global_Spot Prices'!$B:$B,'[1]Global_Spot Prices'!$H:$H)</f>
        <v>61.46</v>
      </c>
      <c r="F2710">
        <f>_xlfn.XLOOKUP(A2710,'[1]Global_Spot Prices'!$B:$B,'[1]Global_Spot Prices'!$I:$I)</f>
        <v>74.8</v>
      </c>
      <c r="G2710" cm="1">
        <f t="array" ref="G2710">_xlfn.XLOOKUP(TEXT(A2710, "mmm-yy"), TEXT([2]RUNS!$B$5:$B$208, "mmm-yy"), [2]RUNS!$D$5:$D$208, "Not Found")</f>
        <v>30159.242714510092</v>
      </c>
      <c r="H2710" cm="1">
        <f t="array" ref="H2710">SUMPRODUCT(
    --(TEXT('[3]Global Weekly Stock (EWSuez'!$B$4:$B$2000,"mmm-yy")=TEXT(A2710,"mmm-yy")),
    '[3]Global Weekly Stock (EWSuez'!$E$4:$E$2000)
/
SUMPRODUCT(
    --(TEXT('[3]Global Weekly Stock (EWSuez'!$B$4:$B$2000,"mmm-yy")=TEXT(A2710,"mmm-yy"))
)</f>
        <v>13267.6</v>
      </c>
      <c r="I2710">
        <f>_xlfn.XLOOKUP(A2710,[1]ForwardDeriv!$D:$D,[1]ForwardDeriv!$AJ:$AJ)</f>
        <v>0.93999999999999773</v>
      </c>
      <c r="J2710" cm="1">
        <f t="array" ref="J2710">_xlfn.XLOOKUP(TEXT(A2710, "mmm-yy"), TEXT([2]GASOLINE!$B$5:$B$208, "mmm-yy"), [2]GASOLINE!$IR$5:$IR$208, "Not Found")</f>
        <v>-492.7089930082393</v>
      </c>
      <c r="K2710" cm="1">
        <f t="array" ref="K2710">_xlfn.XLOOKUP(TEXT(A2710, "mmm-yy"), TEXT([2]GASOLINE!$B$5:$B$208, "mmm-yy"), [2]GASOLINE!$IK$5:$IK$208, "Not Found")</f>
        <v>330.71781666792504</v>
      </c>
      <c r="L2710">
        <f t="shared" si="42"/>
        <v>0</v>
      </c>
      <c r="M2710" cm="1">
        <f t="array" ref="M2710">_xlfn.XLOOKUP(TEXT(A2710, "mmm-yy"), TEXT([2]GASOLINE!$B$5:$B$208, "mmm-yy"), [2]GASOLINE!$C$5:$C$208, "Not Found")</f>
        <v>7700.5329244147497</v>
      </c>
      <c r="N2710" cm="1">
        <f t="array" ref="N2710">_xlfn.XLOOKUP(TEXT(A2710, "mmm-yy"), TEXT([2]RUNS!$B$5:$B$208, "mmm-yy"), [2]RUNS!$BM$5:$BM$208, "Not Found")</f>
        <v>0.82063956840540186</v>
      </c>
    </row>
    <row r="2711" spans="1:14" x14ac:dyDescent="0.25">
      <c r="A2711" s="1">
        <f>'[1]Global_Spot Prices'!$B4020</f>
        <v>45798</v>
      </c>
      <c r="B2711">
        <f>_xlfn.XLOOKUP(A2711,'[1]Global_Spot Prices'!$B:$B,'[1]Global_Spot Prices'!$BS:$BS)</f>
        <v>10</v>
      </c>
      <c r="C2711">
        <f>_xlfn.XLOOKUP(A2711,'[1]Global_Spot Prices'!$B:$B,'[1]Global_Spot Prices'!$E:$E)</f>
        <v>66.05</v>
      </c>
      <c r="D2711">
        <f>_xlfn.XLOOKUP(A2711,'[1]Global_Spot Prices'!$B:$B,'[1]Global_Spot Prices'!$D:$D)</f>
        <v>65.364999999999995</v>
      </c>
      <c r="E2711">
        <f>_xlfn.XLOOKUP(A2711,'[1]Global_Spot Prices'!$B:$B,'[1]Global_Spot Prices'!$H:$H)</f>
        <v>62.11</v>
      </c>
      <c r="F2711">
        <f>_xlfn.XLOOKUP(A2711,'[1]Global_Spot Prices'!$B:$B,'[1]Global_Spot Prices'!$I:$I)</f>
        <v>76.05</v>
      </c>
      <c r="G2711" cm="1">
        <f t="array" ref="G2711">_xlfn.XLOOKUP(TEXT(A2711, "mmm-yy"), TEXT([2]RUNS!$B$5:$B$208, "mmm-yy"), [2]RUNS!$D$5:$D$208, "Not Found")</f>
        <v>30159.242714510092</v>
      </c>
      <c r="H2711" cm="1">
        <f t="array" ref="H2711">SUMPRODUCT(
    --(TEXT('[3]Global Weekly Stock (EWSuez'!$B$4:$B$2000,"mmm-yy")=TEXT(A2711,"mmm-yy")),
    '[3]Global Weekly Stock (EWSuez'!$E$4:$E$2000)
/
SUMPRODUCT(
    --(TEXT('[3]Global Weekly Stock (EWSuez'!$B$4:$B$2000,"mmm-yy")=TEXT(A2711,"mmm-yy"))
)</f>
        <v>13267.6</v>
      </c>
      <c r="I2711">
        <f>_xlfn.XLOOKUP(A2711,[1]ForwardDeriv!$D:$D,[1]ForwardDeriv!$AJ:$AJ)</f>
        <v>1.039999999999992</v>
      </c>
      <c r="J2711" cm="1">
        <f t="array" ref="J2711">_xlfn.XLOOKUP(TEXT(A2711, "mmm-yy"), TEXT([2]GASOLINE!$B$5:$B$208, "mmm-yy"), [2]GASOLINE!$IR$5:$IR$208, "Not Found")</f>
        <v>-492.7089930082393</v>
      </c>
      <c r="K2711" cm="1">
        <f t="array" ref="K2711">_xlfn.XLOOKUP(TEXT(A2711, "mmm-yy"), TEXT([2]GASOLINE!$B$5:$B$208, "mmm-yy"), [2]GASOLINE!$IK$5:$IK$208, "Not Found")</f>
        <v>330.71781666792504</v>
      </c>
      <c r="L2711">
        <f t="shared" si="42"/>
        <v>0</v>
      </c>
      <c r="M2711" cm="1">
        <f t="array" ref="M2711">_xlfn.XLOOKUP(TEXT(A2711, "mmm-yy"), TEXT([2]GASOLINE!$B$5:$B$208, "mmm-yy"), [2]GASOLINE!$C$5:$C$208, "Not Found")</f>
        <v>7700.5329244147497</v>
      </c>
      <c r="N2711" cm="1">
        <f t="array" ref="N2711">_xlfn.XLOOKUP(TEXT(A2711, "mmm-yy"), TEXT([2]RUNS!$B$5:$B$208, "mmm-yy"), [2]RUNS!$BM$5:$BM$208, "Not Found")</f>
        <v>0.82063956840540186</v>
      </c>
    </row>
    <row r="2712" spans="1:14" x14ac:dyDescent="0.25">
      <c r="A2712" s="1">
        <f>'[1]Global_Spot Prices'!$B4021</f>
        <v>45799</v>
      </c>
      <c r="B2712">
        <f ca="1">_xlfn.XLOOKUP(A2712,'[1]Global_Spot Prices'!$B:$B,'[1]Global_Spot Prices'!$BS:$BS)</f>
        <v>12.150000000000006</v>
      </c>
      <c r="C2712">
        <f>_xlfn.XLOOKUP(A2712,'[1]Global_Spot Prices'!$B:$B,'[1]Global_Spot Prices'!$E:$E)</f>
        <v>63.72</v>
      </c>
      <c r="D2712">
        <f>_xlfn.XLOOKUP(A2712,'[1]Global_Spot Prices'!$B:$B,'[1]Global_Spot Prices'!$D:$D)</f>
        <v>64.734999999999999</v>
      </c>
      <c r="E2712">
        <f>_xlfn.XLOOKUP(A2712,'[1]Global_Spot Prices'!$B:$B,'[1]Global_Spot Prices'!$H:$H)</f>
        <v>60.84</v>
      </c>
      <c r="F2712">
        <f>_xlfn.XLOOKUP(A2712,'[1]Global_Spot Prices'!$B:$B,'[1]Global_Spot Prices'!$I:$I)</f>
        <v>75.87</v>
      </c>
      <c r="G2712" cm="1">
        <f t="array" ref="G2712">_xlfn.XLOOKUP(TEXT(A2712, "mmm-yy"), TEXT([2]RUNS!$B$5:$B$208, "mmm-yy"), [2]RUNS!$D$5:$D$208, "Not Found")</f>
        <v>30159.242714510092</v>
      </c>
      <c r="H2712" cm="1">
        <f t="array" ref="H2712">SUMPRODUCT(
    --(TEXT('[3]Global Weekly Stock (EWSuez'!$B$4:$B$2000,"mmm-yy")=TEXT(A2712,"mmm-yy")),
    '[3]Global Weekly Stock (EWSuez'!$E$4:$E$2000)
/
SUMPRODUCT(
    --(TEXT('[3]Global Weekly Stock (EWSuez'!$B$4:$B$2000,"mmm-yy")=TEXT(A2712,"mmm-yy"))
)</f>
        <v>13267.6</v>
      </c>
      <c r="I2712">
        <f>_xlfn.XLOOKUP(A2712,[1]ForwardDeriv!$D:$D,[1]ForwardDeriv!$AJ:$AJ)</f>
        <v>1.1899999999999977</v>
      </c>
      <c r="J2712" cm="1">
        <f t="array" ref="J2712">_xlfn.XLOOKUP(TEXT(A2712, "mmm-yy"), TEXT([2]GASOLINE!$B$5:$B$208, "mmm-yy"), [2]GASOLINE!$IR$5:$IR$208, "Not Found")</f>
        <v>-492.7089930082393</v>
      </c>
      <c r="K2712" cm="1">
        <f t="array" ref="K2712">_xlfn.XLOOKUP(TEXT(A2712, "mmm-yy"), TEXT([2]GASOLINE!$B$5:$B$208, "mmm-yy"), [2]GASOLINE!$IK$5:$IK$208, "Not Found")</f>
        <v>330.71781666792504</v>
      </c>
      <c r="L2712">
        <f t="shared" si="42"/>
        <v>0</v>
      </c>
      <c r="M2712" cm="1">
        <f t="array" ref="M2712">_xlfn.XLOOKUP(TEXT(A2712, "mmm-yy"), TEXT([2]GASOLINE!$B$5:$B$208, "mmm-yy"), [2]GASOLINE!$C$5:$C$208, "Not Found")</f>
        <v>7700.5329244147497</v>
      </c>
      <c r="N2712" cm="1">
        <f t="array" ref="N2712">_xlfn.XLOOKUP(TEXT(A2712, "mmm-yy"), TEXT([2]RUNS!$B$5:$B$208, "mmm-yy"), [2]RUNS!$BM$5:$BM$208, "Not Found")</f>
        <v>0.82063956840540186</v>
      </c>
    </row>
    <row r="2713" spans="1:14" x14ac:dyDescent="0.25">
      <c r="A2713" s="1">
        <f>'[1]Global_Spot Prices'!$B4022</f>
        <v>45800</v>
      </c>
      <c r="B2713">
        <f ca="1">_xlfn.XLOOKUP(A2713,'[1]Global_Spot Prices'!$B:$B,'[1]Global_Spot Prices'!$BS:$BS)</f>
        <v>12.299999999999997</v>
      </c>
      <c r="C2713">
        <f>_xlfn.XLOOKUP(A2713,'[1]Global_Spot Prices'!$B:$B,'[1]Global_Spot Prices'!$E:$E)</f>
        <v>63.2</v>
      </c>
      <c r="D2713">
        <f ca="1">_xlfn.XLOOKUP(A2713,'[1]Global_Spot Prices'!$B:$B,'[1]Global_Spot Prices'!$D:$D)</f>
        <v>65.58</v>
      </c>
      <c r="E2713">
        <f>_xlfn.XLOOKUP(A2713,'[1]Global_Spot Prices'!$B:$B,'[1]Global_Spot Prices'!$H:$H)</f>
        <v>60.44</v>
      </c>
      <c r="F2713">
        <f>_xlfn.XLOOKUP(A2713,'[1]Global_Spot Prices'!$B:$B,'[1]Global_Spot Prices'!$I:$I)</f>
        <v>75.5</v>
      </c>
      <c r="G2713" cm="1">
        <f t="array" ref="G2713">_xlfn.XLOOKUP(TEXT(A2713, "mmm-yy"), TEXT([2]RUNS!$B$5:$B$208, "mmm-yy"), [2]RUNS!$D$5:$D$208, "Not Found")</f>
        <v>30159.242714510092</v>
      </c>
      <c r="H2713" cm="1">
        <f t="array" ref="H2713">SUMPRODUCT(
    --(TEXT('[3]Global Weekly Stock (EWSuez'!$B$4:$B$2000,"mmm-yy")=TEXT(A2713,"mmm-yy")),
    '[3]Global Weekly Stock (EWSuez'!$E$4:$E$2000)
/
SUMPRODUCT(
    --(TEXT('[3]Global Weekly Stock (EWSuez'!$B$4:$B$2000,"mmm-yy")=TEXT(A2713,"mmm-yy"))
)</f>
        <v>13267.6</v>
      </c>
      <c r="I2713">
        <f>_xlfn.XLOOKUP(A2713,[1]ForwardDeriv!$D:$D,[1]ForwardDeriv!$AJ:$AJ)</f>
        <v>1.3400000000000034</v>
      </c>
      <c r="J2713" cm="1">
        <f t="array" ref="J2713">_xlfn.XLOOKUP(TEXT(A2713, "mmm-yy"), TEXT([2]GASOLINE!$B$5:$B$208, "mmm-yy"), [2]GASOLINE!$IR$5:$IR$208, "Not Found")</f>
        <v>-492.7089930082393</v>
      </c>
      <c r="K2713" cm="1">
        <f t="array" ref="K2713">_xlfn.XLOOKUP(TEXT(A2713, "mmm-yy"), TEXT([2]GASOLINE!$B$5:$B$208, "mmm-yy"), [2]GASOLINE!$IK$5:$IK$208, "Not Found")</f>
        <v>330.71781666792504</v>
      </c>
      <c r="L2713">
        <f t="shared" si="42"/>
        <v>0</v>
      </c>
      <c r="M2713" cm="1">
        <f t="array" ref="M2713">_xlfn.XLOOKUP(TEXT(A2713, "mmm-yy"), TEXT([2]GASOLINE!$B$5:$B$208, "mmm-yy"), [2]GASOLINE!$C$5:$C$208, "Not Found")</f>
        <v>7700.5329244147497</v>
      </c>
      <c r="N2713" cm="1">
        <f t="array" ref="N2713">_xlfn.XLOOKUP(TEXT(A2713, "mmm-yy"), TEXT([2]RUNS!$B$5:$B$208, "mmm-yy"), [2]RUNS!$BM$5:$BM$208, "Not Found")</f>
        <v>0.82063956840540186</v>
      </c>
    </row>
    <row r="2714" spans="1:14" x14ac:dyDescent="0.25">
      <c r="A2714" s="1">
        <f>'[1]Global_Spot Prices'!$B4023</f>
        <v>45803</v>
      </c>
      <c r="B2714">
        <f>_xlfn.XLOOKUP(A2714,'[1]Global_Spot Prices'!$B:$B,'[1]Global_Spot Prices'!$BS:$BS)</f>
        <v>12.260000000000005</v>
      </c>
      <c r="C2714">
        <f>_xlfn.XLOOKUP(A2714,'[1]Global_Spot Prices'!$B:$B,'[1]Global_Spot Prices'!$E:$E)</f>
        <v>63.75</v>
      </c>
      <c r="D2714" t="str">
        <f>_xlfn.XLOOKUP(A2714,'[1]Global_Spot Prices'!$B:$B,'[1]Global_Spot Prices'!$D:$D)</f>
        <v/>
      </c>
      <c r="E2714">
        <f>_xlfn.XLOOKUP(A2714,'[1]Global_Spot Prices'!$B:$B,'[1]Global_Spot Prices'!$H:$H)</f>
        <v>61.11</v>
      </c>
      <c r="F2714">
        <f ca="1">_xlfn.XLOOKUP(A2714,'[1]Global_Spot Prices'!$B:$B,'[1]Global_Spot Prices'!$I:$I)</f>
        <v>76.010000000000005</v>
      </c>
      <c r="G2714" cm="1">
        <f t="array" ref="G2714">_xlfn.XLOOKUP(TEXT(A2714, "mmm-yy"), TEXT([2]RUNS!$B$5:$B$208, "mmm-yy"), [2]RUNS!$D$5:$D$208, "Not Found")</f>
        <v>30159.242714510092</v>
      </c>
      <c r="H2714" cm="1">
        <f t="array" ref="H2714">SUMPRODUCT(
    --(TEXT('[3]Global Weekly Stock (EWSuez'!$B$4:$B$2000,"mmm-yy")=TEXT(A2714,"mmm-yy")),
    '[3]Global Weekly Stock (EWSuez'!$E$4:$E$2000)
/
SUMPRODUCT(
    --(TEXT('[3]Global Weekly Stock (EWSuez'!$B$4:$B$2000,"mmm-yy")=TEXT(A2714,"mmm-yy"))
)</f>
        <v>13267.6</v>
      </c>
      <c r="I2714">
        <f>_xlfn.XLOOKUP(A2714,[1]ForwardDeriv!$D:$D,[1]ForwardDeriv!$AJ:$AJ)</f>
        <v>1.3299999999999983</v>
      </c>
      <c r="J2714" cm="1">
        <f t="array" ref="J2714">_xlfn.XLOOKUP(TEXT(A2714, "mmm-yy"), TEXT([2]GASOLINE!$B$5:$B$208, "mmm-yy"), [2]GASOLINE!$IR$5:$IR$208, "Not Found")</f>
        <v>-492.7089930082393</v>
      </c>
      <c r="K2714" cm="1">
        <f t="array" ref="K2714">_xlfn.XLOOKUP(TEXT(A2714, "mmm-yy"), TEXT([2]GASOLINE!$B$5:$B$208, "mmm-yy"), [2]GASOLINE!$IK$5:$IK$208, "Not Found")</f>
        <v>330.71781666792504</v>
      </c>
      <c r="L2714">
        <f t="shared" si="42"/>
        <v>0</v>
      </c>
      <c r="M2714" cm="1">
        <f t="array" ref="M2714">_xlfn.XLOOKUP(TEXT(A2714, "mmm-yy"), TEXT([2]GASOLINE!$B$5:$B$208, "mmm-yy"), [2]GASOLINE!$C$5:$C$208, "Not Found")</f>
        <v>7700.5329244147497</v>
      </c>
      <c r="N2714" cm="1">
        <f t="array" ref="N2714">_xlfn.XLOOKUP(TEXT(A2714, "mmm-yy"), TEXT([2]RUNS!$B$5:$B$208, "mmm-yy"), [2]RUNS!$BM$5:$BM$208, "Not Found")</f>
        <v>0.82063956840540186</v>
      </c>
    </row>
    <row r="2715" spans="1:14" x14ac:dyDescent="0.25">
      <c r="A2715" s="1">
        <f>'[1]Global_Spot Prices'!$B4024</f>
        <v>45804</v>
      </c>
      <c r="B2715">
        <f>_xlfn.XLOOKUP(A2715,'[1]Global_Spot Prices'!$B:$B,'[1]Global_Spot Prices'!$BS:$BS)</f>
        <v>11.599999999999994</v>
      </c>
      <c r="C2715">
        <f>_xlfn.XLOOKUP(A2715,'[1]Global_Spot Prices'!$B:$B,'[1]Global_Spot Prices'!$E:$E)</f>
        <v>64.010000000000005</v>
      </c>
      <c r="D2715">
        <f>_xlfn.XLOOKUP(A2715,'[1]Global_Spot Prices'!$B:$B,'[1]Global_Spot Prices'!$D:$D)</f>
        <v>64.254999999999995</v>
      </c>
      <c r="E2715">
        <f>_xlfn.XLOOKUP(A2715,'[1]Global_Spot Prices'!$B:$B,'[1]Global_Spot Prices'!$H:$H)</f>
        <v>61.3</v>
      </c>
      <c r="F2715">
        <f>_xlfn.XLOOKUP(A2715,'[1]Global_Spot Prices'!$B:$B,'[1]Global_Spot Prices'!$I:$I)</f>
        <v>75.61</v>
      </c>
      <c r="G2715" cm="1">
        <f t="array" ref="G2715">_xlfn.XLOOKUP(TEXT(A2715, "mmm-yy"), TEXT([2]RUNS!$B$5:$B$208, "mmm-yy"), [2]RUNS!$D$5:$D$208, "Not Found")</f>
        <v>30159.242714510092</v>
      </c>
      <c r="H2715" cm="1">
        <f t="array" ref="H2715">SUMPRODUCT(
    --(TEXT('[3]Global Weekly Stock (EWSuez'!$B$4:$B$2000,"mmm-yy")=TEXT(A2715,"mmm-yy")),
    '[3]Global Weekly Stock (EWSuez'!$E$4:$E$2000)
/
SUMPRODUCT(
    --(TEXT('[3]Global Weekly Stock (EWSuez'!$B$4:$B$2000,"mmm-yy")=TEXT(A2715,"mmm-yy"))
)</f>
        <v>13267.6</v>
      </c>
      <c r="I2715">
        <f>_xlfn.XLOOKUP(A2715,[1]ForwardDeriv!$D:$D,[1]ForwardDeriv!$AJ:$AJ)</f>
        <v>1.3299999999999983</v>
      </c>
      <c r="J2715" cm="1">
        <f t="array" ref="J2715">_xlfn.XLOOKUP(TEXT(A2715, "mmm-yy"), TEXT([2]GASOLINE!$B$5:$B$208, "mmm-yy"), [2]GASOLINE!$IR$5:$IR$208, "Not Found")</f>
        <v>-492.7089930082393</v>
      </c>
      <c r="K2715" cm="1">
        <f t="array" ref="K2715">_xlfn.XLOOKUP(TEXT(A2715, "mmm-yy"), TEXT([2]GASOLINE!$B$5:$B$208, "mmm-yy"), [2]GASOLINE!$IK$5:$IK$208, "Not Found")</f>
        <v>330.71781666792504</v>
      </c>
      <c r="L2715">
        <f t="shared" si="42"/>
        <v>0</v>
      </c>
      <c r="M2715" cm="1">
        <f t="array" ref="M2715">_xlfn.XLOOKUP(TEXT(A2715, "mmm-yy"), TEXT([2]GASOLINE!$B$5:$B$208, "mmm-yy"), [2]GASOLINE!$C$5:$C$208, "Not Found")</f>
        <v>7700.5329244147497</v>
      </c>
      <c r="N2715" cm="1">
        <f t="array" ref="N2715">_xlfn.XLOOKUP(TEXT(A2715, "mmm-yy"), TEXT([2]RUNS!$B$5:$B$208, "mmm-yy"), [2]RUNS!$BM$5:$BM$208, "Not Found")</f>
        <v>0.82063956840540186</v>
      </c>
    </row>
    <row r="2716" spans="1:14" x14ac:dyDescent="0.25">
      <c r="A2716" s="1">
        <f>'[1]Global_Spot Prices'!$B4025</f>
        <v>45805</v>
      </c>
      <c r="B2716">
        <f>_xlfn.XLOOKUP(A2716,'[1]Global_Spot Prices'!$B:$B,'[1]Global_Spot Prices'!$BS:$BS)</f>
        <v>11.380000000000003</v>
      </c>
      <c r="C2716">
        <f>_xlfn.XLOOKUP(A2716,'[1]Global_Spot Prices'!$B:$B,'[1]Global_Spot Prices'!$E:$E)</f>
        <v>63.79</v>
      </c>
      <c r="D2716">
        <f>_xlfn.XLOOKUP(A2716,'[1]Global_Spot Prices'!$B:$B,'[1]Global_Spot Prices'!$D:$D)</f>
        <v>65.510000000000005</v>
      </c>
      <c r="E2716">
        <f>_xlfn.XLOOKUP(A2716,'[1]Global_Spot Prices'!$B:$B,'[1]Global_Spot Prices'!$H:$H)</f>
        <v>60.75</v>
      </c>
      <c r="F2716">
        <f ca="1">_xlfn.XLOOKUP(A2716,'[1]Global_Spot Prices'!$B:$B,'[1]Global_Spot Prices'!$I:$I)</f>
        <v>75.17</v>
      </c>
      <c r="G2716" cm="1">
        <f t="array" ref="G2716">_xlfn.XLOOKUP(TEXT(A2716, "mmm-yy"), TEXT([2]RUNS!$B$5:$B$208, "mmm-yy"), [2]RUNS!$D$5:$D$208, "Not Found")</f>
        <v>30159.242714510092</v>
      </c>
      <c r="H2716" cm="1">
        <f t="array" ref="H2716">SUMPRODUCT(
    --(TEXT('[3]Global Weekly Stock (EWSuez'!$B$4:$B$2000,"mmm-yy")=TEXT(A2716,"mmm-yy")),
    '[3]Global Weekly Stock (EWSuez'!$E$4:$E$2000)
/
SUMPRODUCT(
    --(TEXT('[3]Global Weekly Stock (EWSuez'!$B$4:$B$2000,"mmm-yy")=TEXT(A2716,"mmm-yy"))
)</f>
        <v>13267.6</v>
      </c>
      <c r="I2716">
        <f>_xlfn.XLOOKUP(A2716,[1]ForwardDeriv!$D:$D,[1]ForwardDeriv!$AJ:$AJ)</f>
        <v>1.3300000000000125</v>
      </c>
      <c r="J2716" cm="1">
        <f t="array" ref="J2716">_xlfn.XLOOKUP(TEXT(A2716, "mmm-yy"), TEXT([2]GASOLINE!$B$5:$B$208, "mmm-yy"), [2]GASOLINE!$IR$5:$IR$208, "Not Found")</f>
        <v>-492.7089930082393</v>
      </c>
      <c r="K2716" cm="1">
        <f t="array" ref="K2716">_xlfn.XLOOKUP(TEXT(A2716, "mmm-yy"), TEXT([2]GASOLINE!$B$5:$B$208, "mmm-yy"), [2]GASOLINE!$IK$5:$IK$208, "Not Found")</f>
        <v>330.71781666792504</v>
      </c>
      <c r="L2716">
        <f t="shared" si="42"/>
        <v>0</v>
      </c>
      <c r="M2716" cm="1">
        <f t="array" ref="M2716">_xlfn.XLOOKUP(TEXT(A2716, "mmm-yy"), TEXT([2]GASOLINE!$B$5:$B$208, "mmm-yy"), [2]GASOLINE!$C$5:$C$208, "Not Found")</f>
        <v>7700.5329244147497</v>
      </c>
      <c r="N2716" cm="1">
        <f t="array" ref="N2716">_xlfn.XLOOKUP(TEXT(A2716, "mmm-yy"), TEXT([2]RUNS!$B$5:$B$208, "mmm-yy"), [2]RUNS!$BM$5:$BM$208, "Not Found")</f>
        <v>0.82063956840540186</v>
      </c>
    </row>
    <row r="2717" spans="1:14" x14ac:dyDescent="0.25">
      <c r="A2717" s="1">
        <f>'[1]Global_Spot Prices'!$B4026</f>
        <v>45806</v>
      </c>
      <c r="B2717">
        <f>_xlfn.XLOOKUP(A2717,'[1]Global_Spot Prices'!$B:$B,'[1]Global_Spot Prices'!$BS:$BS)</f>
        <v>10.739999999999995</v>
      </c>
      <c r="C2717">
        <f>_xlfn.XLOOKUP(A2717,'[1]Global_Spot Prices'!$B:$B,'[1]Global_Spot Prices'!$E:$E)</f>
        <v>65.33</v>
      </c>
      <c r="D2717">
        <f>_xlfn.XLOOKUP(A2717,'[1]Global_Spot Prices'!$B:$B,'[1]Global_Spot Prices'!$D:$D)</f>
        <v>64.7</v>
      </c>
      <c r="E2717">
        <f>_xlfn.XLOOKUP(A2717,'[1]Global_Spot Prices'!$B:$B,'[1]Global_Spot Prices'!$H:$H)</f>
        <v>61.39</v>
      </c>
      <c r="F2717">
        <f>_xlfn.XLOOKUP(A2717,'[1]Global_Spot Prices'!$B:$B,'[1]Global_Spot Prices'!$I:$I)</f>
        <v>76.069999999999993</v>
      </c>
      <c r="G2717" cm="1">
        <f t="array" ref="G2717">_xlfn.XLOOKUP(TEXT(A2717, "mmm-yy"), TEXT([2]RUNS!$B$5:$B$208, "mmm-yy"), [2]RUNS!$D$5:$D$208, "Not Found")</f>
        <v>30159.242714510092</v>
      </c>
      <c r="H2717" cm="1">
        <f t="array" ref="H2717">SUMPRODUCT(
    --(TEXT('[3]Global Weekly Stock (EWSuez'!$B$4:$B$2000,"mmm-yy")=TEXT(A2717,"mmm-yy")),
    '[3]Global Weekly Stock (EWSuez'!$E$4:$E$2000)
/
SUMPRODUCT(
    --(TEXT('[3]Global Weekly Stock (EWSuez'!$B$4:$B$2000,"mmm-yy")=TEXT(A2717,"mmm-yy"))
)</f>
        <v>13267.6</v>
      </c>
      <c r="I2717">
        <f>_xlfn.XLOOKUP(A2717,[1]ForwardDeriv!$D:$D,[1]ForwardDeriv!$AJ:$AJ)</f>
        <v>1.3299999999999983</v>
      </c>
      <c r="J2717" cm="1">
        <f t="array" ref="J2717">_xlfn.XLOOKUP(TEXT(A2717, "mmm-yy"), TEXT([2]GASOLINE!$B$5:$B$208, "mmm-yy"), [2]GASOLINE!$IR$5:$IR$208, "Not Found")</f>
        <v>-492.7089930082393</v>
      </c>
      <c r="K2717" cm="1">
        <f t="array" ref="K2717">_xlfn.XLOOKUP(TEXT(A2717, "mmm-yy"), TEXT([2]GASOLINE!$B$5:$B$208, "mmm-yy"), [2]GASOLINE!$IK$5:$IK$208, "Not Found")</f>
        <v>330.71781666792504</v>
      </c>
      <c r="L2717">
        <f t="shared" si="42"/>
        <v>0</v>
      </c>
      <c r="M2717" cm="1">
        <f t="array" ref="M2717">_xlfn.XLOOKUP(TEXT(A2717, "mmm-yy"), TEXT([2]GASOLINE!$B$5:$B$208, "mmm-yy"), [2]GASOLINE!$C$5:$C$208, "Not Found")</f>
        <v>7700.5329244147497</v>
      </c>
      <c r="N2717" cm="1">
        <f t="array" ref="N2717">_xlfn.XLOOKUP(TEXT(A2717, "mmm-yy"), TEXT([2]RUNS!$B$5:$B$208, "mmm-yy"), [2]RUNS!$BM$5:$BM$208, "Not Found")</f>
        <v>0.82063956840540186</v>
      </c>
    </row>
    <row r="2718" spans="1:14" x14ac:dyDescent="0.25">
      <c r="A2718" s="1">
        <f>'[1]Global_Spot Prices'!$B4027</f>
        <v>45807</v>
      </c>
      <c r="B2718">
        <f>_xlfn.XLOOKUP(A2718,'[1]Global_Spot Prices'!$B:$B,'[1]Global_Spot Prices'!$BS:$BS)</f>
        <v>10.844999999999999</v>
      </c>
      <c r="C2718">
        <f>_xlfn.XLOOKUP(A2718,'[1]Global_Spot Prices'!$B:$B,'[1]Global_Spot Prices'!$E:$E)</f>
        <v>63.844999999999999</v>
      </c>
      <c r="D2718">
        <f>_xlfn.XLOOKUP(A2718,'[1]Global_Spot Prices'!$B:$B,'[1]Global_Spot Prices'!$D:$D)</f>
        <v>63.83</v>
      </c>
      <c r="E2718">
        <f>_xlfn.XLOOKUP(A2718,'[1]Global_Spot Prices'!$B:$B,'[1]Global_Spot Prices'!$H:$H)</f>
        <v>60.17</v>
      </c>
      <c r="F2718">
        <f>_xlfn.XLOOKUP(A2718,'[1]Global_Spot Prices'!$B:$B,'[1]Global_Spot Prices'!$I:$I)</f>
        <v>74.69</v>
      </c>
      <c r="G2718" cm="1">
        <f t="array" ref="G2718">_xlfn.XLOOKUP(TEXT(A2718, "mmm-yy"), TEXT([2]RUNS!$B$5:$B$208, "mmm-yy"), [2]RUNS!$D$5:$D$208, "Not Found")</f>
        <v>30159.242714510092</v>
      </c>
      <c r="H2718" cm="1">
        <f t="array" ref="H2718">SUMPRODUCT(
    --(TEXT('[3]Global Weekly Stock (EWSuez'!$B$4:$B$2000,"mmm-yy")=TEXT(A2718,"mmm-yy")),
    '[3]Global Weekly Stock (EWSuez'!$E$4:$E$2000)
/
SUMPRODUCT(
    --(TEXT('[3]Global Weekly Stock (EWSuez'!$B$4:$B$2000,"mmm-yy")=TEXT(A2718,"mmm-yy"))
)</f>
        <v>13267.6</v>
      </c>
      <c r="I2718">
        <f>_xlfn.XLOOKUP(A2718,[1]ForwardDeriv!$D:$D,[1]ForwardDeriv!$AJ:$AJ)</f>
        <v>1.4399999999999977</v>
      </c>
      <c r="J2718" cm="1">
        <f t="array" ref="J2718">_xlfn.XLOOKUP(TEXT(A2718, "mmm-yy"), TEXT([2]GASOLINE!$B$5:$B$208, "mmm-yy"), [2]GASOLINE!$IR$5:$IR$208, "Not Found")</f>
        <v>-492.7089930082393</v>
      </c>
      <c r="K2718" cm="1">
        <f t="array" ref="K2718">_xlfn.XLOOKUP(TEXT(A2718, "mmm-yy"), TEXT([2]GASOLINE!$B$5:$B$208, "mmm-yy"), [2]GASOLINE!$IK$5:$IK$208, "Not Found")</f>
        <v>330.71781666792504</v>
      </c>
      <c r="L2718">
        <f t="shared" si="42"/>
        <v>0</v>
      </c>
      <c r="M2718" cm="1">
        <f t="array" ref="M2718">_xlfn.XLOOKUP(TEXT(A2718, "mmm-yy"), TEXT([2]GASOLINE!$B$5:$B$208, "mmm-yy"), [2]GASOLINE!$C$5:$C$208, "Not Found")</f>
        <v>7700.5329244147497</v>
      </c>
      <c r="N2718" cm="1">
        <f t="array" ref="N2718">_xlfn.XLOOKUP(TEXT(A2718, "mmm-yy"), TEXT([2]RUNS!$B$5:$B$208, "mmm-yy"), [2]RUNS!$BM$5:$BM$208, "Not Found")</f>
        <v>0.82063956840540186</v>
      </c>
    </row>
    <row r="2719" spans="1:14" x14ac:dyDescent="0.25">
      <c r="A2719" s="1">
        <f>'[1]Global_Spot Prices'!$B4028</f>
        <v>45810</v>
      </c>
      <c r="B2719">
        <f>_xlfn.XLOOKUP(A2719,'[1]Global_Spot Prices'!$B:$B,'[1]Global_Spot Prices'!$BS:$BS)</f>
        <v>11.509999999999998</v>
      </c>
      <c r="C2719">
        <f>_xlfn.XLOOKUP(A2719,'[1]Global_Spot Prices'!$B:$B,'[1]Global_Spot Prices'!$E:$E)</f>
        <v>63.96</v>
      </c>
      <c r="D2719">
        <f>_xlfn.XLOOKUP(A2719,'[1]Global_Spot Prices'!$B:$B,'[1]Global_Spot Prices'!$D:$D)</f>
        <v>66.83</v>
      </c>
      <c r="E2719">
        <f>_xlfn.XLOOKUP(A2719,'[1]Global_Spot Prices'!$B:$B,'[1]Global_Spot Prices'!$H:$H)</f>
        <v>60.83</v>
      </c>
      <c r="F2719">
        <f>_xlfn.XLOOKUP(A2719,'[1]Global_Spot Prices'!$B:$B,'[1]Global_Spot Prices'!$I:$I)</f>
        <v>75.47</v>
      </c>
      <c r="G2719" cm="1">
        <f t="array" ref="G2719">_xlfn.XLOOKUP(TEXT(A2719, "mmm-yy"), TEXT([2]RUNS!$B$5:$B$208, "mmm-yy"), [2]RUNS!$D$5:$D$208, "Not Found")</f>
        <v>30667.86276491404</v>
      </c>
      <c r="H2719" cm="1">
        <f t="array" ref="H2719">SUMPRODUCT(
    --(TEXT('[3]Global Weekly Stock (EWSuez'!$B$4:$B$2000,"mmm-yy")=TEXT(A2719,"mmm-yy")),
    '[3]Global Weekly Stock (EWSuez'!$E$4:$E$2000)
/
SUMPRODUCT(
    --(TEXT('[3]Global Weekly Stock (EWSuez'!$B$4:$B$2000,"mmm-yy")=TEXT(A2719,"mmm-yy"))
)</f>
        <v>12912.25</v>
      </c>
      <c r="I2719">
        <f>_xlfn.XLOOKUP(A2719,[1]ForwardDeriv!$D:$D,[1]ForwardDeriv!$AJ:$AJ)</f>
        <v>1.2900000000000063</v>
      </c>
      <c r="J2719" cm="1">
        <f t="array" ref="J2719">_xlfn.XLOOKUP(TEXT(A2719, "mmm-yy"), TEXT([2]GASOLINE!$B$5:$B$208, "mmm-yy"), [2]GASOLINE!$IR$5:$IR$208, "Not Found")</f>
        <v>-466.86716581852716</v>
      </c>
      <c r="K2719" cm="1">
        <f t="array" ref="K2719">_xlfn.XLOOKUP(TEXT(A2719, "mmm-yy"), TEXT([2]GASOLINE!$B$5:$B$208, "mmm-yy"), [2]GASOLINE!$IK$5:$IK$208, "Not Found")</f>
        <v>332.66495425764288</v>
      </c>
      <c r="L2719">
        <f t="shared" si="42"/>
        <v>1</v>
      </c>
      <c r="M2719" cm="1">
        <f t="array" ref="M2719">_xlfn.XLOOKUP(TEXT(A2719, "mmm-yy"), TEXT([2]GASOLINE!$B$5:$B$208, "mmm-yy"), [2]GASOLINE!$C$5:$C$208, "Not Found")</f>
        <v>7979.9006160430208</v>
      </c>
      <c r="N2719" cm="1">
        <f t="array" ref="N2719">_xlfn.XLOOKUP(TEXT(A2719, "mmm-yy"), TEXT([2]RUNS!$B$5:$B$208, "mmm-yy"), [2]RUNS!$BM$5:$BM$208, "Not Found")</f>
        <v>0.83904764779195085</v>
      </c>
    </row>
    <row r="2720" spans="1:14" x14ac:dyDescent="0.25">
      <c r="A2720" s="1">
        <f>'[1]Global_Spot Prices'!$B4029</f>
        <v>45811</v>
      </c>
      <c r="B2720">
        <f>_xlfn.XLOOKUP(A2720,'[1]Global_Spot Prices'!$B:$B,'[1]Global_Spot Prices'!$BS:$BS)</f>
        <v>11.620000000000005</v>
      </c>
      <c r="C2720">
        <f>_xlfn.XLOOKUP(A2720,'[1]Global_Spot Prices'!$B:$B,'[1]Global_Spot Prices'!$E:$E)</f>
        <v>64.239999999999995</v>
      </c>
      <c r="D2720">
        <f>_xlfn.XLOOKUP(A2720,'[1]Global_Spot Prices'!$B:$B,'[1]Global_Spot Prices'!$D:$D)</f>
        <v>67.92</v>
      </c>
      <c r="E2720">
        <f>_xlfn.XLOOKUP(A2720,'[1]Global_Spot Prices'!$B:$B,'[1]Global_Spot Prices'!$H:$H)</f>
        <v>60.82</v>
      </c>
      <c r="F2720">
        <f>_xlfn.XLOOKUP(A2720,'[1]Global_Spot Prices'!$B:$B,'[1]Global_Spot Prices'!$I:$I)</f>
        <v>75.86</v>
      </c>
      <c r="G2720" cm="1">
        <f t="array" ref="G2720">_xlfn.XLOOKUP(TEXT(A2720, "mmm-yy"), TEXT([2]RUNS!$B$5:$B$208, "mmm-yy"), [2]RUNS!$D$5:$D$208, "Not Found")</f>
        <v>30667.86276491404</v>
      </c>
      <c r="H2720" cm="1">
        <f t="array" ref="H2720">SUMPRODUCT(
    --(TEXT('[3]Global Weekly Stock (EWSuez'!$B$4:$B$2000,"mmm-yy")=TEXT(A2720,"mmm-yy")),
    '[3]Global Weekly Stock (EWSuez'!$E$4:$E$2000)
/
SUMPRODUCT(
    --(TEXT('[3]Global Weekly Stock (EWSuez'!$B$4:$B$2000,"mmm-yy")=TEXT(A2720,"mmm-yy"))
)</f>
        <v>12912.25</v>
      </c>
      <c r="I2720">
        <f>_xlfn.XLOOKUP(A2720,[1]ForwardDeriv!$D:$D,[1]ForwardDeriv!$AJ:$AJ)</f>
        <v>1.2299999999999898</v>
      </c>
      <c r="J2720" cm="1">
        <f t="array" ref="J2720">_xlfn.XLOOKUP(TEXT(A2720, "mmm-yy"), TEXT([2]GASOLINE!$B$5:$B$208, "mmm-yy"), [2]GASOLINE!$IR$5:$IR$208, "Not Found")</f>
        <v>-466.86716581852716</v>
      </c>
      <c r="K2720" cm="1">
        <f t="array" ref="K2720">_xlfn.XLOOKUP(TEXT(A2720, "mmm-yy"), TEXT([2]GASOLINE!$B$5:$B$208, "mmm-yy"), [2]GASOLINE!$IK$5:$IK$208, "Not Found")</f>
        <v>332.66495425764288</v>
      </c>
      <c r="L2720">
        <f t="shared" si="42"/>
        <v>1</v>
      </c>
      <c r="M2720" cm="1">
        <f t="array" ref="M2720">_xlfn.XLOOKUP(TEXT(A2720, "mmm-yy"), TEXT([2]GASOLINE!$B$5:$B$208, "mmm-yy"), [2]GASOLINE!$C$5:$C$208, "Not Found")</f>
        <v>7979.9006160430208</v>
      </c>
      <c r="N2720" cm="1">
        <f t="array" ref="N2720">_xlfn.XLOOKUP(TEXT(A2720, "mmm-yy"), TEXT([2]RUNS!$B$5:$B$208, "mmm-yy"), [2]RUNS!$BM$5:$BM$208, "Not Found")</f>
        <v>0.83904764779195085</v>
      </c>
    </row>
    <row r="2721" spans="1:14" x14ac:dyDescent="0.25">
      <c r="A2721" s="1">
        <f>'[1]Global_Spot Prices'!$B4030</f>
        <v>45812</v>
      </c>
      <c r="B2721">
        <f>_xlfn.XLOOKUP(A2721,'[1]Global_Spot Prices'!$B:$B,'[1]Global_Spot Prices'!$BS:$BS)</f>
        <v>11.620000000000005</v>
      </c>
      <c r="C2721">
        <f>_xlfn.XLOOKUP(A2721,'[1]Global_Spot Prices'!$B:$B,'[1]Global_Spot Prices'!$E:$E)</f>
        <v>64.64</v>
      </c>
      <c r="D2721">
        <f>_xlfn.XLOOKUP(A2721,'[1]Global_Spot Prices'!$B:$B,'[1]Global_Spot Prices'!$D:$D)</f>
        <v>66.52</v>
      </c>
      <c r="E2721">
        <f>_xlfn.XLOOKUP(A2721,'[1]Global_Spot Prices'!$B:$B,'[1]Global_Spot Prices'!$H:$H)</f>
        <v>60.82</v>
      </c>
      <c r="F2721">
        <f>_xlfn.XLOOKUP(A2721,'[1]Global_Spot Prices'!$B:$B,'[1]Global_Spot Prices'!$I:$I)</f>
        <v>76.260000000000005</v>
      </c>
      <c r="G2721" cm="1">
        <f t="array" ref="G2721">_xlfn.XLOOKUP(TEXT(A2721, "mmm-yy"), TEXT([2]RUNS!$B$5:$B$208, "mmm-yy"), [2]RUNS!$D$5:$D$208, "Not Found")</f>
        <v>30667.86276491404</v>
      </c>
      <c r="H2721" cm="1">
        <f t="array" ref="H2721">SUMPRODUCT(
    --(TEXT('[3]Global Weekly Stock (EWSuez'!$B$4:$B$2000,"mmm-yy")=TEXT(A2721,"mmm-yy")),
    '[3]Global Weekly Stock (EWSuez'!$E$4:$E$2000)
/
SUMPRODUCT(
    --(TEXT('[3]Global Weekly Stock (EWSuez'!$B$4:$B$2000,"mmm-yy")=TEXT(A2721,"mmm-yy"))
)</f>
        <v>12912.25</v>
      </c>
      <c r="I2721">
        <f>_xlfn.XLOOKUP(A2721,[1]ForwardDeriv!$D:$D,[1]ForwardDeriv!$AJ:$AJ)</f>
        <v>1.269999999999996</v>
      </c>
      <c r="J2721" cm="1">
        <f t="array" ref="J2721">_xlfn.XLOOKUP(TEXT(A2721, "mmm-yy"), TEXT([2]GASOLINE!$B$5:$B$208, "mmm-yy"), [2]GASOLINE!$IR$5:$IR$208, "Not Found")</f>
        <v>-466.86716581852716</v>
      </c>
      <c r="K2721" cm="1">
        <f t="array" ref="K2721">_xlfn.XLOOKUP(TEXT(A2721, "mmm-yy"), TEXT([2]GASOLINE!$B$5:$B$208, "mmm-yy"), [2]GASOLINE!$IK$5:$IK$208, "Not Found")</f>
        <v>332.66495425764288</v>
      </c>
      <c r="L2721">
        <f t="shared" si="42"/>
        <v>1</v>
      </c>
      <c r="M2721" cm="1">
        <f t="array" ref="M2721">_xlfn.XLOOKUP(TEXT(A2721, "mmm-yy"), TEXT([2]GASOLINE!$B$5:$B$208, "mmm-yy"), [2]GASOLINE!$C$5:$C$208, "Not Found")</f>
        <v>7979.9006160430208</v>
      </c>
      <c r="N2721" cm="1">
        <f t="array" ref="N2721">_xlfn.XLOOKUP(TEXT(A2721, "mmm-yy"), TEXT([2]RUNS!$B$5:$B$208, "mmm-yy"), [2]RUNS!$BM$5:$BM$208, "Not Found")</f>
        <v>0.83904764779195085</v>
      </c>
    </row>
    <row r="2722" spans="1:14" x14ac:dyDescent="0.25">
      <c r="A2722" s="1">
        <f>'[1]Global_Spot Prices'!$B4031</f>
        <v>45813</v>
      </c>
      <c r="B2722">
        <f>_xlfn.XLOOKUP(A2722,'[1]Global_Spot Prices'!$B:$B,'[1]Global_Spot Prices'!$BS:$BS)</f>
        <v>11.170000000000002</v>
      </c>
      <c r="C2722">
        <f>_xlfn.XLOOKUP(A2722,'[1]Global_Spot Prices'!$B:$B,'[1]Global_Spot Prices'!$E:$E)</f>
        <v>64.05</v>
      </c>
      <c r="D2722">
        <f>_xlfn.XLOOKUP(A2722,'[1]Global_Spot Prices'!$B:$B,'[1]Global_Spot Prices'!$D:$D)</f>
        <v>67.234999999999999</v>
      </c>
      <c r="E2722">
        <f ca="1">_xlfn.XLOOKUP(A2722,'[1]Global_Spot Prices'!$B:$B,'[1]Global_Spot Prices'!$H:$H)</f>
        <v>60.1</v>
      </c>
      <c r="F2722">
        <f>_xlfn.XLOOKUP(A2722,'[1]Global_Spot Prices'!$B:$B,'[1]Global_Spot Prices'!$I:$I)</f>
        <v>75.22</v>
      </c>
      <c r="G2722" cm="1">
        <f t="array" ref="G2722">_xlfn.XLOOKUP(TEXT(A2722, "mmm-yy"), TEXT([2]RUNS!$B$5:$B$208, "mmm-yy"), [2]RUNS!$D$5:$D$208, "Not Found")</f>
        <v>30667.86276491404</v>
      </c>
      <c r="H2722" cm="1">
        <f t="array" ref="H2722">SUMPRODUCT(
    --(TEXT('[3]Global Weekly Stock (EWSuez'!$B$4:$B$2000,"mmm-yy")=TEXT(A2722,"mmm-yy")),
    '[3]Global Weekly Stock (EWSuez'!$E$4:$E$2000)
/
SUMPRODUCT(
    --(TEXT('[3]Global Weekly Stock (EWSuez'!$B$4:$B$2000,"mmm-yy")=TEXT(A2722,"mmm-yy"))
)</f>
        <v>12912.25</v>
      </c>
      <c r="I2722">
        <f>_xlfn.XLOOKUP(A2722,[1]ForwardDeriv!$D:$D,[1]ForwardDeriv!$AJ:$AJ)</f>
        <v>1.1299999999999955</v>
      </c>
      <c r="J2722" cm="1">
        <f t="array" ref="J2722">_xlfn.XLOOKUP(TEXT(A2722, "mmm-yy"), TEXT([2]GASOLINE!$B$5:$B$208, "mmm-yy"), [2]GASOLINE!$IR$5:$IR$208, "Not Found")</f>
        <v>-466.86716581852716</v>
      </c>
      <c r="K2722" cm="1">
        <f t="array" ref="K2722">_xlfn.XLOOKUP(TEXT(A2722, "mmm-yy"), TEXT([2]GASOLINE!$B$5:$B$208, "mmm-yy"), [2]GASOLINE!$IK$5:$IK$208, "Not Found")</f>
        <v>332.66495425764288</v>
      </c>
      <c r="L2722">
        <f t="shared" si="42"/>
        <v>1</v>
      </c>
      <c r="M2722" cm="1">
        <f t="array" ref="M2722">_xlfn.XLOOKUP(TEXT(A2722, "mmm-yy"), TEXT([2]GASOLINE!$B$5:$B$208, "mmm-yy"), [2]GASOLINE!$C$5:$C$208, "Not Found")</f>
        <v>7979.9006160430208</v>
      </c>
      <c r="N2722" cm="1">
        <f t="array" ref="N2722">_xlfn.XLOOKUP(TEXT(A2722, "mmm-yy"), TEXT([2]RUNS!$B$5:$B$208, "mmm-yy"), [2]RUNS!$BM$5:$BM$208, "Not Found")</f>
        <v>0.83904764779195085</v>
      </c>
    </row>
    <row r="2723" spans="1:14" x14ac:dyDescent="0.25">
      <c r="A2723" s="1">
        <f>'[1]Global_Spot Prices'!$B4032</f>
        <v>45814</v>
      </c>
      <c r="B2723">
        <f>_xlfn.XLOOKUP(A2723,'[1]Global_Spot Prices'!$B:$B,'[1]Global_Spot Prices'!$BS:$BS)</f>
        <v>11.159999999999997</v>
      </c>
      <c r="C2723">
        <f>_xlfn.XLOOKUP(A2723,'[1]Global_Spot Prices'!$B:$B,'[1]Global_Spot Prices'!$E:$E)</f>
        <v>64.44</v>
      </c>
      <c r="D2723">
        <f>_xlfn.XLOOKUP(A2723,'[1]Global_Spot Prices'!$B:$B,'[1]Global_Spot Prices'!$D:$D)</f>
        <v>68.11</v>
      </c>
      <c r="E2723">
        <f>_xlfn.XLOOKUP(A2723,'[1]Global_Spot Prices'!$B:$B,'[1]Global_Spot Prices'!$H:$H)</f>
        <v>60.32</v>
      </c>
      <c r="F2723">
        <f>_xlfn.XLOOKUP(A2723,'[1]Global_Spot Prices'!$B:$B,'[1]Global_Spot Prices'!$I:$I)</f>
        <v>75.599999999999994</v>
      </c>
      <c r="G2723" cm="1">
        <f t="array" ref="G2723">_xlfn.XLOOKUP(TEXT(A2723, "mmm-yy"), TEXT([2]RUNS!$B$5:$B$208, "mmm-yy"), [2]RUNS!$D$5:$D$208, "Not Found")</f>
        <v>30667.86276491404</v>
      </c>
      <c r="H2723" cm="1">
        <f t="array" ref="H2723">SUMPRODUCT(
    --(TEXT('[3]Global Weekly Stock (EWSuez'!$B$4:$B$2000,"mmm-yy")=TEXT(A2723,"mmm-yy")),
    '[3]Global Weekly Stock (EWSuez'!$E$4:$E$2000)
/
SUMPRODUCT(
    --(TEXT('[3]Global Weekly Stock (EWSuez'!$B$4:$B$2000,"mmm-yy")=TEXT(A2723,"mmm-yy"))
)</f>
        <v>12912.25</v>
      </c>
      <c r="I2723">
        <f>_xlfn.XLOOKUP(A2723,[1]ForwardDeriv!$D:$D,[1]ForwardDeriv!$AJ:$AJ)</f>
        <v>1.2099999999999937</v>
      </c>
      <c r="J2723" cm="1">
        <f t="array" ref="J2723">_xlfn.XLOOKUP(TEXT(A2723, "mmm-yy"), TEXT([2]GASOLINE!$B$5:$B$208, "mmm-yy"), [2]GASOLINE!$IR$5:$IR$208, "Not Found")</f>
        <v>-466.86716581852716</v>
      </c>
      <c r="K2723" cm="1">
        <f t="array" ref="K2723">_xlfn.XLOOKUP(TEXT(A2723, "mmm-yy"), TEXT([2]GASOLINE!$B$5:$B$208, "mmm-yy"), [2]GASOLINE!$IK$5:$IK$208, "Not Found")</f>
        <v>332.66495425764288</v>
      </c>
      <c r="L2723">
        <f t="shared" si="42"/>
        <v>1</v>
      </c>
      <c r="M2723" cm="1">
        <f t="array" ref="M2723">_xlfn.XLOOKUP(TEXT(A2723, "mmm-yy"), TEXT([2]GASOLINE!$B$5:$B$208, "mmm-yy"), [2]GASOLINE!$C$5:$C$208, "Not Found")</f>
        <v>7979.9006160430208</v>
      </c>
      <c r="N2723" cm="1">
        <f t="array" ref="N2723">_xlfn.XLOOKUP(TEXT(A2723, "mmm-yy"), TEXT([2]RUNS!$B$5:$B$208, "mmm-yy"), [2]RUNS!$BM$5:$BM$208, "Not Found")</f>
        <v>0.83904764779195085</v>
      </c>
    </row>
    <row r="2724" spans="1:14" x14ac:dyDescent="0.25">
      <c r="A2724" s="1">
        <f>'[1]Global_Spot Prices'!$B4033</f>
        <v>45817</v>
      </c>
      <c r="B2724">
        <f>_xlfn.XLOOKUP(A2724,'[1]Global_Spot Prices'!$B:$B,'[1]Global_Spot Prices'!$BS:$BS)</f>
        <v>11.049999999999997</v>
      </c>
      <c r="C2724">
        <f>_xlfn.XLOOKUP(A2724,'[1]Global_Spot Prices'!$B:$B,'[1]Global_Spot Prices'!$E:$E)</f>
        <v>65.8</v>
      </c>
      <c r="D2724">
        <f>_xlfn.XLOOKUP(A2724,'[1]Global_Spot Prices'!$B:$B,'[1]Global_Spot Prices'!$D:$D)</f>
        <v>68.844999999999999</v>
      </c>
      <c r="E2724">
        <f>_xlfn.XLOOKUP(A2724,'[1]Global_Spot Prices'!$B:$B,'[1]Global_Spot Prices'!$H:$H)</f>
        <v>61.26</v>
      </c>
      <c r="F2724">
        <f>_xlfn.XLOOKUP(A2724,'[1]Global_Spot Prices'!$B:$B,'[1]Global_Spot Prices'!$I:$I)</f>
        <v>76.849999999999994</v>
      </c>
      <c r="G2724" cm="1">
        <f t="array" ref="G2724">_xlfn.XLOOKUP(TEXT(A2724, "mmm-yy"), TEXT([2]RUNS!$B$5:$B$208, "mmm-yy"), [2]RUNS!$D$5:$D$208, "Not Found")</f>
        <v>30667.86276491404</v>
      </c>
      <c r="H2724" cm="1">
        <f t="array" ref="H2724">SUMPRODUCT(
    --(TEXT('[3]Global Weekly Stock (EWSuez'!$B$4:$B$2000,"mmm-yy")=TEXT(A2724,"mmm-yy")),
    '[3]Global Weekly Stock (EWSuez'!$E$4:$E$2000)
/
SUMPRODUCT(
    --(TEXT('[3]Global Weekly Stock (EWSuez'!$B$4:$B$2000,"mmm-yy")=TEXT(A2724,"mmm-yy"))
)</f>
        <v>12912.25</v>
      </c>
      <c r="I2724">
        <f>_xlfn.XLOOKUP(A2724,[1]ForwardDeriv!$D:$D,[1]ForwardDeriv!$AJ:$AJ)</f>
        <v>1.2600000000000051</v>
      </c>
      <c r="J2724" cm="1">
        <f t="array" ref="J2724">_xlfn.XLOOKUP(TEXT(A2724, "mmm-yy"), TEXT([2]GASOLINE!$B$5:$B$208, "mmm-yy"), [2]GASOLINE!$IR$5:$IR$208, "Not Found")</f>
        <v>-466.86716581852716</v>
      </c>
      <c r="K2724" cm="1">
        <f t="array" ref="K2724">_xlfn.XLOOKUP(TEXT(A2724, "mmm-yy"), TEXT([2]GASOLINE!$B$5:$B$208, "mmm-yy"), [2]GASOLINE!$IK$5:$IK$208, "Not Found")</f>
        <v>332.66495425764288</v>
      </c>
      <c r="L2724">
        <f t="shared" si="42"/>
        <v>1</v>
      </c>
      <c r="M2724" cm="1">
        <f t="array" ref="M2724">_xlfn.XLOOKUP(TEXT(A2724, "mmm-yy"), TEXT([2]GASOLINE!$B$5:$B$208, "mmm-yy"), [2]GASOLINE!$C$5:$C$208, "Not Found")</f>
        <v>7979.9006160430208</v>
      </c>
      <c r="N2724" cm="1">
        <f t="array" ref="N2724">_xlfn.XLOOKUP(TEXT(A2724, "mmm-yy"), TEXT([2]RUNS!$B$5:$B$208, "mmm-yy"), [2]RUNS!$BM$5:$BM$208, "Not Found")</f>
        <v>0.83904764779195085</v>
      </c>
    </row>
    <row r="2725" spans="1:14" x14ac:dyDescent="0.25">
      <c r="A2725" s="1">
        <f>'[1]Global_Spot Prices'!$B4034</f>
        <v>45818</v>
      </c>
      <c r="B2725">
        <f>_xlfn.XLOOKUP(A2725,'[1]Global_Spot Prices'!$B:$B,'[1]Global_Spot Prices'!$BS:$BS)</f>
        <v>11.330000000000013</v>
      </c>
      <c r="C2725">
        <f>_xlfn.XLOOKUP(A2725,'[1]Global_Spot Prices'!$B:$B,'[1]Global_Spot Prices'!$E:$E)</f>
        <v>66.849999999999994</v>
      </c>
      <c r="D2725">
        <f>_xlfn.XLOOKUP(A2725,'[1]Global_Spot Prices'!$B:$B,'[1]Global_Spot Prices'!$D:$D)</f>
        <v>69.599999999999994</v>
      </c>
      <c r="E2725">
        <f>_xlfn.XLOOKUP(A2725,'[1]Global_Spot Prices'!$B:$B,'[1]Global_Spot Prices'!$H:$H)</f>
        <v>61.91</v>
      </c>
      <c r="F2725">
        <f>_xlfn.XLOOKUP(A2725,'[1]Global_Spot Prices'!$B:$B,'[1]Global_Spot Prices'!$I:$I)</f>
        <v>78.180000000000007</v>
      </c>
      <c r="G2725" cm="1">
        <f t="array" ref="G2725">_xlfn.XLOOKUP(TEXT(A2725, "mmm-yy"), TEXT([2]RUNS!$B$5:$B$208, "mmm-yy"), [2]RUNS!$D$5:$D$208, "Not Found")</f>
        <v>30667.86276491404</v>
      </c>
      <c r="H2725" cm="1">
        <f t="array" ref="H2725">SUMPRODUCT(
    --(TEXT('[3]Global Weekly Stock (EWSuez'!$B$4:$B$2000,"mmm-yy")=TEXT(A2725,"mmm-yy")),
    '[3]Global Weekly Stock (EWSuez'!$E$4:$E$2000)
/
SUMPRODUCT(
    --(TEXT('[3]Global Weekly Stock (EWSuez'!$B$4:$B$2000,"mmm-yy")=TEXT(A2725,"mmm-yy"))
)</f>
        <v>12912.25</v>
      </c>
      <c r="I2725">
        <f>_xlfn.XLOOKUP(A2725,[1]ForwardDeriv!$D:$D,[1]ForwardDeriv!$AJ:$AJ)</f>
        <v>1.3900000000000006</v>
      </c>
      <c r="J2725" cm="1">
        <f t="array" ref="J2725">_xlfn.XLOOKUP(TEXT(A2725, "mmm-yy"), TEXT([2]GASOLINE!$B$5:$B$208, "mmm-yy"), [2]GASOLINE!$IR$5:$IR$208, "Not Found")</f>
        <v>-466.86716581852716</v>
      </c>
      <c r="K2725" cm="1">
        <f t="array" ref="K2725">_xlfn.XLOOKUP(TEXT(A2725, "mmm-yy"), TEXT([2]GASOLINE!$B$5:$B$208, "mmm-yy"), [2]GASOLINE!$IK$5:$IK$208, "Not Found")</f>
        <v>332.66495425764288</v>
      </c>
      <c r="L2725">
        <f t="shared" si="42"/>
        <v>1</v>
      </c>
      <c r="M2725" cm="1">
        <f t="array" ref="M2725">_xlfn.XLOOKUP(TEXT(A2725, "mmm-yy"), TEXT([2]GASOLINE!$B$5:$B$208, "mmm-yy"), [2]GASOLINE!$C$5:$C$208, "Not Found")</f>
        <v>7979.9006160430208</v>
      </c>
      <c r="N2725" cm="1">
        <f t="array" ref="N2725">_xlfn.XLOOKUP(TEXT(A2725, "mmm-yy"), TEXT([2]RUNS!$B$5:$B$208, "mmm-yy"), [2]RUNS!$BM$5:$BM$208, "Not Found")</f>
        <v>0.83904764779195085</v>
      </c>
    </row>
    <row r="2726" spans="1:14" x14ac:dyDescent="0.25">
      <c r="A2726" s="1">
        <f>'[1]Global_Spot Prices'!$B4035</f>
        <v>45819</v>
      </c>
      <c r="B2726">
        <f>_xlfn.XLOOKUP(A2726,'[1]Global_Spot Prices'!$B:$B,'[1]Global_Spot Prices'!$BS:$BS)</f>
        <v>11.269999999999996</v>
      </c>
      <c r="C2726">
        <f>_xlfn.XLOOKUP(A2726,'[1]Global_Spot Prices'!$B:$B,'[1]Global_Spot Prices'!$E:$E)</f>
        <v>66.62</v>
      </c>
      <c r="D2726">
        <f>_xlfn.XLOOKUP(A2726,'[1]Global_Spot Prices'!$B:$B,'[1]Global_Spot Prices'!$D:$D)</f>
        <v>69.67</v>
      </c>
      <c r="E2726">
        <f>_xlfn.XLOOKUP(A2726,'[1]Global_Spot Prices'!$B:$B,'[1]Global_Spot Prices'!$H:$H)</f>
        <v>61.66</v>
      </c>
      <c r="F2726">
        <f>_xlfn.XLOOKUP(A2726,'[1]Global_Spot Prices'!$B:$B,'[1]Global_Spot Prices'!$I:$I)</f>
        <v>77.89</v>
      </c>
      <c r="G2726" cm="1">
        <f t="array" ref="G2726">_xlfn.XLOOKUP(TEXT(A2726, "mmm-yy"), TEXT([2]RUNS!$B$5:$B$208, "mmm-yy"), [2]RUNS!$D$5:$D$208, "Not Found")</f>
        <v>30667.86276491404</v>
      </c>
      <c r="H2726" cm="1">
        <f t="array" ref="H2726">SUMPRODUCT(
    --(TEXT('[3]Global Weekly Stock (EWSuez'!$B$4:$B$2000,"mmm-yy")=TEXT(A2726,"mmm-yy")),
    '[3]Global Weekly Stock (EWSuez'!$E$4:$E$2000)
/
SUMPRODUCT(
    --(TEXT('[3]Global Weekly Stock (EWSuez'!$B$4:$B$2000,"mmm-yy")=TEXT(A2726,"mmm-yy"))
)</f>
        <v>12912.25</v>
      </c>
      <c r="I2726">
        <f>_xlfn.XLOOKUP(A2726,[1]ForwardDeriv!$D:$D,[1]ForwardDeriv!$AJ:$AJ)</f>
        <v>1.3999999999999915</v>
      </c>
      <c r="J2726" cm="1">
        <f t="array" ref="J2726">_xlfn.XLOOKUP(TEXT(A2726, "mmm-yy"), TEXT([2]GASOLINE!$B$5:$B$208, "mmm-yy"), [2]GASOLINE!$IR$5:$IR$208, "Not Found")</f>
        <v>-466.86716581852716</v>
      </c>
      <c r="K2726" cm="1">
        <f t="array" ref="K2726">_xlfn.XLOOKUP(TEXT(A2726, "mmm-yy"), TEXT([2]GASOLINE!$B$5:$B$208, "mmm-yy"), [2]GASOLINE!$IK$5:$IK$208, "Not Found")</f>
        <v>332.66495425764288</v>
      </c>
      <c r="L2726">
        <f t="shared" si="42"/>
        <v>1</v>
      </c>
      <c r="M2726" cm="1">
        <f t="array" ref="M2726">_xlfn.XLOOKUP(TEXT(A2726, "mmm-yy"), TEXT([2]GASOLINE!$B$5:$B$208, "mmm-yy"), [2]GASOLINE!$C$5:$C$208, "Not Found")</f>
        <v>7979.9006160430208</v>
      </c>
      <c r="N2726" cm="1">
        <f t="array" ref="N2726">_xlfn.XLOOKUP(TEXT(A2726, "mmm-yy"), TEXT([2]RUNS!$B$5:$B$208, "mmm-yy"), [2]RUNS!$BM$5:$BM$208, "Not Found")</f>
        <v>0.83904764779195085</v>
      </c>
    </row>
    <row r="2727" spans="1:14" x14ac:dyDescent="0.25">
      <c r="A2727" s="1">
        <f>'[1]Global_Spot Prices'!$B4036</f>
        <v>45820</v>
      </c>
      <c r="B2727">
        <f>_xlfn.XLOOKUP(A2727,'[1]Global_Spot Prices'!$B:$B,'[1]Global_Spot Prices'!$BS:$BS)</f>
        <v>11.030000000000001</v>
      </c>
      <c r="C2727">
        <f>_xlfn.XLOOKUP(A2727,'[1]Global_Spot Prices'!$B:$B,'[1]Global_Spot Prices'!$E:$E)</f>
        <v>68.59</v>
      </c>
      <c r="D2727">
        <f>_xlfn.XLOOKUP(A2727,'[1]Global_Spot Prices'!$B:$B,'[1]Global_Spot Prices'!$D:$D)</f>
        <v>70.849999999999994</v>
      </c>
      <c r="E2727">
        <f>_xlfn.XLOOKUP(A2727,'[1]Global_Spot Prices'!$B:$B,'[1]Global_Spot Prices'!$H:$H)</f>
        <v>63.11</v>
      </c>
      <c r="F2727">
        <f>_xlfn.XLOOKUP(A2727,'[1]Global_Spot Prices'!$B:$B,'[1]Global_Spot Prices'!$I:$I)</f>
        <v>79.62</v>
      </c>
      <c r="G2727" cm="1">
        <f t="array" ref="G2727">_xlfn.XLOOKUP(TEXT(A2727, "mmm-yy"), TEXT([2]RUNS!$B$5:$B$208, "mmm-yy"), [2]RUNS!$D$5:$D$208, "Not Found")</f>
        <v>30667.86276491404</v>
      </c>
      <c r="H2727" cm="1">
        <f t="array" ref="H2727">SUMPRODUCT(
    --(TEXT('[3]Global Weekly Stock (EWSuez'!$B$4:$B$2000,"mmm-yy")=TEXT(A2727,"mmm-yy")),
    '[3]Global Weekly Stock (EWSuez'!$E$4:$E$2000)
/
SUMPRODUCT(
    --(TEXT('[3]Global Weekly Stock (EWSuez'!$B$4:$B$2000,"mmm-yy")=TEXT(A2727,"mmm-yy"))
)</f>
        <v>12912.25</v>
      </c>
      <c r="I2727">
        <f>_xlfn.XLOOKUP(A2727,[1]ForwardDeriv!$D:$D,[1]ForwardDeriv!$AJ:$AJ)</f>
        <v>1.4300000000000068</v>
      </c>
      <c r="J2727" cm="1">
        <f t="array" ref="J2727">_xlfn.XLOOKUP(TEXT(A2727, "mmm-yy"), TEXT([2]GASOLINE!$B$5:$B$208, "mmm-yy"), [2]GASOLINE!$IR$5:$IR$208, "Not Found")</f>
        <v>-466.86716581852716</v>
      </c>
      <c r="K2727" cm="1">
        <f t="array" ref="K2727">_xlfn.XLOOKUP(TEXT(A2727, "mmm-yy"), TEXT([2]GASOLINE!$B$5:$B$208, "mmm-yy"), [2]GASOLINE!$IK$5:$IK$208, "Not Found")</f>
        <v>332.66495425764288</v>
      </c>
      <c r="L2727">
        <f t="shared" si="42"/>
        <v>1</v>
      </c>
      <c r="M2727" cm="1">
        <f t="array" ref="M2727">_xlfn.XLOOKUP(TEXT(A2727, "mmm-yy"), TEXT([2]GASOLINE!$B$5:$B$208, "mmm-yy"), [2]GASOLINE!$C$5:$C$208, "Not Found")</f>
        <v>7979.9006160430208</v>
      </c>
      <c r="N2727" cm="1">
        <f t="array" ref="N2727">_xlfn.XLOOKUP(TEXT(A2727, "mmm-yy"), TEXT([2]RUNS!$B$5:$B$208, "mmm-yy"), [2]RUNS!$BM$5:$BM$208, "Not Found")</f>
        <v>0.83904764779195085</v>
      </c>
    </row>
    <row r="2728" spans="1:14" x14ac:dyDescent="0.25">
      <c r="A2728" s="1">
        <f>'[1]Global_Spot Prices'!$B4037</f>
        <v>45821</v>
      </c>
      <c r="B2728">
        <f>_xlfn.XLOOKUP(A2728,'[1]Global_Spot Prices'!$B:$B,'[1]Global_Spot Prices'!$BS:$BS)</f>
        <v>10.810000000000002</v>
      </c>
      <c r="C2728">
        <f>_xlfn.XLOOKUP(A2728,'[1]Global_Spot Prices'!$B:$B,'[1]Global_Spot Prices'!$E:$E)</f>
        <v>72.5</v>
      </c>
      <c r="D2728">
        <f>_xlfn.XLOOKUP(A2728,'[1]Global_Spot Prices'!$B:$B,'[1]Global_Spot Prices'!$D:$D)</f>
        <v>75.19</v>
      </c>
      <c r="E2728">
        <f>_xlfn.XLOOKUP(A2728,'[1]Global_Spot Prices'!$B:$B,'[1]Global_Spot Prices'!$H:$H)</f>
        <v>67.11</v>
      </c>
      <c r="F2728">
        <f>_xlfn.XLOOKUP(A2728,'[1]Global_Spot Prices'!$B:$B,'[1]Global_Spot Prices'!$I:$I)</f>
        <v>83.31</v>
      </c>
      <c r="G2728" cm="1">
        <f t="array" ref="G2728">_xlfn.XLOOKUP(TEXT(A2728, "mmm-yy"), TEXT([2]RUNS!$B$5:$B$208, "mmm-yy"), [2]RUNS!$D$5:$D$208, "Not Found")</f>
        <v>30667.86276491404</v>
      </c>
      <c r="H2728" cm="1">
        <f t="array" ref="H2728">SUMPRODUCT(
    --(TEXT('[3]Global Weekly Stock (EWSuez'!$B$4:$B$2000,"mmm-yy")=TEXT(A2728,"mmm-yy")),
    '[3]Global Weekly Stock (EWSuez'!$E$4:$E$2000)
/
SUMPRODUCT(
    --(TEXT('[3]Global Weekly Stock (EWSuez'!$B$4:$B$2000,"mmm-yy")=TEXT(A2728,"mmm-yy"))
)</f>
        <v>12912.25</v>
      </c>
      <c r="I2728">
        <f>_xlfn.XLOOKUP(A2728,[1]ForwardDeriv!$D:$D,[1]ForwardDeriv!$AJ:$AJ)</f>
        <v>1.5</v>
      </c>
      <c r="J2728" cm="1">
        <f t="array" ref="J2728">_xlfn.XLOOKUP(TEXT(A2728, "mmm-yy"), TEXT([2]GASOLINE!$B$5:$B$208, "mmm-yy"), [2]GASOLINE!$IR$5:$IR$208, "Not Found")</f>
        <v>-466.86716581852716</v>
      </c>
      <c r="K2728" cm="1">
        <f t="array" ref="K2728">_xlfn.XLOOKUP(TEXT(A2728, "mmm-yy"), TEXT([2]GASOLINE!$B$5:$B$208, "mmm-yy"), [2]GASOLINE!$IK$5:$IK$208, "Not Found")</f>
        <v>332.66495425764288</v>
      </c>
      <c r="L2728">
        <f t="shared" si="42"/>
        <v>1</v>
      </c>
      <c r="M2728" cm="1">
        <f t="array" ref="M2728">_xlfn.XLOOKUP(TEXT(A2728, "mmm-yy"), TEXT([2]GASOLINE!$B$5:$B$208, "mmm-yy"), [2]GASOLINE!$C$5:$C$208, "Not Found")</f>
        <v>7979.9006160430208</v>
      </c>
      <c r="N2728" cm="1">
        <f t="array" ref="N2728">_xlfn.XLOOKUP(TEXT(A2728, "mmm-yy"), TEXT([2]RUNS!$B$5:$B$208, "mmm-yy"), [2]RUNS!$BM$5:$BM$208, "Not Found")</f>
        <v>0.83904764779195085</v>
      </c>
    </row>
    <row r="2729" spans="1:14" x14ac:dyDescent="0.25">
      <c r="A2729" s="1">
        <f>'[1]Global_Spot Prices'!$B4038</f>
        <v>45824</v>
      </c>
      <c r="B2729">
        <f>_xlfn.XLOOKUP(A2729,'[1]Global_Spot Prices'!$B:$B,'[1]Global_Spot Prices'!$BS:$BS)</f>
        <v>10.120000000000005</v>
      </c>
      <c r="C2729">
        <f>_xlfn.XLOOKUP(A2729,'[1]Global_Spot Prices'!$B:$B,'[1]Global_Spot Prices'!$E:$E)</f>
        <v>72.89</v>
      </c>
      <c r="D2729">
        <f>_xlfn.XLOOKUP(A2729,'[1]Global_Spot Prices'!$B:$B,'[1]Global_Spot Prices'!$D:$D)</f>
        <v>73.63</v>
      </c>
      <c r="E2729">
        <f>_xlfn.XLOOKUP(A2729,'[1]Global_Spot Prices'!$B:$B,'[1]Global_Spot Prices'!$H:$H)</f>
        <v>67.900000000000006</v>
      </c>
      <c r="F2729">
        <f>_xlfn.XLOOKUP(A2729,'[1]Global_Spot Prices'!$B:$B,'[1]Global_Spot Prices'!$I:$I)</f>
        <v>83.01</v>
      </c>
      <c r="G2729" cm="1">
        <f t="array" ref="G2729">_xlfn.XLOOKUP(TEXT(A2729, "mmm-yy"), TEXT([2]RUNS!$B$5:$B$208, "mmm-yy"), [2]RUNS!$D$5:$D$208, "Not Found")</f>
        <v>30667.86276491404</v>
      </c>
      <c r="H2729" cm="1">
        <f t="array" ref="H2729">SUMPRODUCT(
    --(TEXT('[3]Global Weekly Stock (EWSuez'!$B$4:$B$2000,"mmm-yy")=TEXT(A2729,"mmm-yy")),
    '[3]Global Weekly Stock (EWSuez'!$E$4:$E$2000)
/
SUMPRODUCT(
    --(TEXT('[3]Global Weekly Stock (EWSuez'!$B$4:$B$2000,"mmm-yy")=TEXT(A2729,"mmm-yy"))
)</f>
        <v>12912.25</v>
      </c>
      <c r="I2729">
        <f>_xlfn.XLOOKUP(A2729,[1]ForwardDeriv!$D:$D,[1]ForwardDeriv!$AJ:$AJ)</f>
        <v>1.5500000000000114</v>
      </c>
      <c r="J2729" cm="1">
        <f t="array" ref="J2729">_xlfn.XLOOKUP(TEXT(A2729, "mmm-yy"), TEXT([2]GASOLINE!$B$5:$B$208, "mmm-yy"), [2]GASOLINE!$IR$5:$IR$208, "Not Found")</f>
        <v>-466.86716581852716</v>
      </c>
      <c r="K2729" cm="1">
        <f t="array" ref="K2729">_xlfn.XLOOKUP(TEXT(A2729, "mmm-yy"), TEXT([2]GASOLINE!$B$5:$B$208, "mmm-yy"), [2]GASOLINE!$IK$5:$IK$208, "Not Found")</f>
        <v>332.66495425764288</v>
      </c>
      <c r="L2729">
        <f t="shared" si="42"/>
        <v>1</v>
      </c>
      <c r="M2729" cm="1">
        <f t="array" ref="M2729">_xlfn.XLOOKUP(TEXT(A2729, "mmm-yy"), TEXT([2]GASOLINE!$B$5:$B$208, "mmm-yy"), [2]GASOLINE!$C$5:$C$208, "Not Found")</f>
        <v>7979.9006160430208</v>
      </c>
      <c r="N2729" cm="1">
        <f t="array" ref="N2729">_xlfn.XLOOKUP(TEXT(A2729, "mmm-yy"), TEXT([2]RUNS!$B$5:$B$208, "mmm-yy"), [2]RUNS!$BM$5:$BM$208, "Not Found")</f>
        <v>0.83904764779195085</v>
      </c>
    </row>
    <row r="2730" spans="1:14" x14ac:dyDescent="0.25">
      <c r="A2730" s="1">
        <f>'[1]Global_Spot Prices'!$B4039</f>
        <v>45825</v>
      </c>
      <c r="B2730">
        <f>_xlfn.XLOOKUP(A2730,'[1]Global_Spot Prices'!$B:$B,'[1]Global_Spot Prices'!$BS:$BS)</f>
        <v>10.254999999999995</v>
      </c>
      <c r="C2730">
        <f>_xlfn.XLOOKUP(A2730,'[1]Global_Spot Prices'!$B:$B,'[1]Global_Spot Prices'!$E:$E)</f>
        <v>73.655000000000001</v>
      </c>
      <c r="D2730">
        <f>_xlfn.XLOOKUP(A2730,'[1]Global_Spot Prices'!$B:$B,'[1]Global_Spot Prices'!$D:$D)</f>
        <v>77.47</v>
      </c>
      <c r="E2730">
        <f>_xlfn.XLOOKUP(A2730,'[1]Global_Spot Prices'!$B:$B,'[1]Global_Spot Prices'!$H:$H)</f>
        <v>67.97</v>
      </c>
      <c r="F2730">
        <f>_xlfn.XLOOKUP(A2730,'[1]Global_Spot Prices'!$B:$B,'[1]Global_Spot Prices'!$I:$I)</f>
        <v>83.91</v>
      </c>
      <c r="G2730" cm="1">
        <f t="array" ref="G2730">_xlfn.XLOOKUP(TEXT(A2730, "mmm-yy"), TEXT([2]RUNS!$B$5:$B$208, "mmm-yy"), [2]RUNS!$D$5:$D$208, "Not Found")</f>
        <v>30667.86276491404</v>
      </c>
      <c r="H2730" cm="1">
        <f t="array" ref="H2730">SUMPRODUCT(
    --(TEXT('[3]Global Weekly Stock (EWSuez'!$B$4:$B$2000,"mmm-yy")=TEXT(A2730,"mmm-yy")),
    '[3]Global Weekly Stock (EWSuez'!$E$4:$E$2000)
/
SUMPRODUCT(
    --(TEXT('[3]Global Weekly Stock (EWSuez'!$B$4:$B$2000,"mmm-yy")=TEXT(A2730,"mmm-yy"))
)</f>
        <v>12912.25</v>
      </c>
      <c r="I2730">
        <f>_xlfn.XLOOKUP(A2730,[1]ForwardDeriv!$D:$D,[1]ForwardDeriv!$AJ:$AJ)</f>
        <v>1.5799999999999983</v>
      </c>
      <c r="J2730" cm="1">
        <f t="array" ref="J2730">_xlfn.XLOOKUP(TEXT(A2730, "mmm-yy"), TEXT([2]GASOLINE!$B$5:$B$208, "mmm-yy"), [2]GASOLINE!$IR$5:$IR$208, "Not Found")</f>
        <v>-466.86716581852716</v>
      </c>
      <c r="K2730" cm="1">
        <f t="array" ref="K2730">_xlfn.XLOOKUP(TEXT(A2730, "mmm-yy"), TEXT([2]GASOLINE!$B$5:$B$208, "mmm-yy"), [2]GASOLINE!$IK$5:$IK$208, "Not Found")</f>
        <v>332.66495425764288</v>
      </c>
      <c r="L2730">
        <f t="shared" si="42"/>
        <v>1</v>
      </c>
      <c r="M2730" cm="1">
        <f t="array" ref="M2730">_xlfn.XLOOKUP(TEXT(A2730, "mmm-yy"), TEXT([2]GASOLINE!$B$5:$B$208, "mmm-yy"), [2]GASOLINE!$C$5:$C$208, "Not Found")</f>
        <v>7979.9006160430208</v>
      </c>
      <c r="N2730" cm="1">
        <f t="array" ref="N2730">_xlfn.XLOOKUP(TEXT(A2730, "mmm-yy"), TEXT([2]RUNS!$B$5:$B$208, "mmm-yy"), [2]RUNS!$BM$5:$BM$208, "Not Found")</f>
        <v>0.83904764779195085</v>
      </c>
    </row>
    <row r="2731" spans="1:14" x14ac:dyDescent="0.25">
      <c r="A2731" s="1">
        <f>'[1]Global_Spot Prices'!$B4040</f>
        <v>45826</v>
      </c>
      <c r="B2731">
        <f>_xlfn.XLOOKUP(A2731,'[1]Global_Spot Prices'!$B:$B,'[1]Global_Spot Prices'!$BS:$BS)</f>
        <v>10.070000000000007</v>
      </c>
      <c r="C2731">
        <f>_xlfn.XLOOKUP(A2731,'[1]Global_Spot Prices'!$B:$B,'[1]Global_Spot Prices'!$E:$E)</f>
        <v>75.52</v>
      </c>
      <c r="D2731">
        <f>_xlfn.XLOOKUP(A2731,'[1]Global_Spot Prices'!$B:$B,'[1]Global_Spot Prices'!$D:$D)</f>
        <v>77.045000000000002</v>
      </c>
      <c r="E2731">
        <f>_xlfn.XLOOKUP(A2731,'[1]Global_Spot Prices'!$B:$B,'[1]Global_Spot Prices'!$H:$H)</f>
        <v>68.66</v>
      </c>
      <c r="F2731">
        <f>_xlfn.XLOOKUP(A2731,'[1]Global_Spot Prices'!$B:$B,'[1]Global_Spot Prices'!$I:$I)</f>
        <v>85.59</v>
      </c>
      <c r="G2731" cm="1">
        <f t="array" ref="G2731">_xlfn.XLOOKUP(TEXT(A2731, "mmm-yy"), TEXT([2]RUNS!$B$5:$B$208, "mmm-yy"), [2]RUNS!$D$5:$D$208, "Not Found")</f>
        <v>30667.86276491404</v>
      </c>
      <c r="H2731" cm="1">
        <f t="array" ref="H2731">SUMPRODUCT(
    --(TEXT('[3]Global Weekly Stock (EWSuez'!$B$4:$B$2000,"mmm-yy")=TEXT(A2731,"mmm-yy")),
    '[3]Global Weekly Stock (EWSuez'!$E$4:$E$2000)
/
SUMPRODUCT(
    --(TEXT('[3]Global Weekly Stock (EWSuez'!$B$4:$B$2000,"mmm-yy")=TEXT(A2731,"mmm-yy"))
)</f>
        <v>12912.25</v>
      </c>
      <c r="I2731">
        <f>_xlfn.XLOOKUP(A2731,[1]ForwardDeriv!$D:$D,[1]ForwardDeriv!$AJ:$AJ)</f>
        <v>1.789999999999992</v>
      </c>
      <c r="J2731" cm="1">
        <f t="array" ref="J2731">_xlfn.XLOOKUP(TEXT(A2731, "mmm-yy"), TEXT([2]GASOLINE!$B$5:$B$208, "mmm-yy"), [2]GASOLINE!$IR$5:$IR$208, "Not Found")</f>
        <v>-466.86716581852716</v>
      </c>
      <c r="K2731" cm="1">
        <f t="array" ref="K2731">_xlfn.XLOOKUP(TEXT(A2731, "mmm-yy"), TEXT([2]GASOLINE!$B$5:$B$208, "mmm-yy"), [2]GASOLINE!$IK$5:$IK$208, "Not Found")</f>
        <v>332.66495425764288</v>
      </c>
      <c r="L2731">
        <f t="shared" si="42"/>
        <v>1</v>
      </c>
      <c r="M2731" cm="1">
        <f t="array" ref="M2731">_xlfn.XLOOKUP(TEXT(A2731, "mmm-yy"), TEXT([2]GASOLINE!$B$5:$B$208, "mmm-yy"), [2]GASOLINE!$C$5:$C$208, "Not Found")</f>
        <v>7979.9006160430208</v>
      </c>
      <c r="N2731" cm="1">
        <f t="array" ref="N2731">_xlfn.XLOOKUP(TEXT(A2731, "mmm-yy"), TEXT([2]RUNS!$B$5:$B$208, "mmm-yy"), [2]RUNS!$BM$5:$BM$208, "Not Found")</f>
        <v>0.83904764779195085</v>
      </c>
    </row>
    <row r="2732" spans="1:14" x14ac:dyDescent="0.25">
      <c r="A2732" s="1">
        <f>'[1]Global_Spot Prices'!$B4041</f>
        <v>45827</v>
      </c>
      <c r="B2732">
        <f>_xlfn.XLOOKUP(A2732,'[1]Global_Spot Prices'!$B:$B,'[1]Global_Spot Prices'!$BS:$BS)</f>
        <v>9.789999999999992</v>
      </c>
      <c r="C2732">
        <f>_xlfn.XLOOKUP(A2732,'[1]Global_Spot Prices'!$B:$B,'[1]Global_Spot Prices'!$E:$E)</f>
        <v>76.900000000000006</v>
      </c>
      <c r="D2732">
        <f>_xlfn.XLOOKUP(A2732,'[1]Global_Spot Prices'!$B:$B,'[1]Global_Spot Prices'!$D:$D)</f>
        <v>80.435000000000002</v>
      </c>
      <c r="E2732">
        <f>_xlfn.XLOOKUP(A2732,'[1]Global_Spot Prices'!$B:$B,'[1]Global_Spot Prices'!$H:$H)</f>
        <v>69.52</v>
      </c>
      <c r="F2732">
        <f ca="1">_xlfn.XLOOKUP(A2732,'[1]Global_Spot Prices'!$B:$B,'[1]Global_Spot Prices'!$I:$I)</f>
        <v>86.69</v>
      </c>
      <c r="G2732" cm="1">
        <f t="array" ref="G2732">_xlfn.XLOOKUP(TEXT(A2732, "mmm-yy"), TEXT([2]RUNS!$B$5:$B$208, "mmm-yy"), [2]RUNS!$D$5:$D$208, "Not Found")</f>
        <v>30667.86276491404</v>
      </c>
      <c r="H2732" cm="1">
        <f t="array" ref="H2732">SUMPRODUCT(
    --(TEXT('[3]Global Weekly Stock (EWSuez'!$B$4:$B$2000,"mmm-yy")=TEXT(A2732,"mmm-yy")),
    '[3]Global Weekly Stock (EWSuez'!$E$4:$E$2000)
/
SUMPRODUCT(
    --(TEXT('[3]Global Weekly Stock (EWSuez'!$B$4:$B$2000,"mmm-yy")=TEXT(A2732,"mmm-yy"))
)</f>
        <v>12912.25</v>
      </c>
      <c r="I2732">
        <f>_xlfn.XLOOKUP(A2732,[1]ForwardDeriv!$D:$D,[1]ForwardDeriv!$AJ:$AJ)</f>
        <v>1.8299999999999983</v>
      </c>
      <c r="J2732" cm="1">
        <f t="array" ref="J2732">_xlfn.XLOOKUP(TEXT(A2732, "mmm-yy"), TEXT([2]GASOLINE!$B$5:$B$208, "mmm-yy"), [2]GASOLINE!$IR$5:$IR$208, "Not Found")</f>
        <v>-466.86716581852716</v>
      </c>
      <c r="K2732" cm="1">
        <f t="array" ref="K2732">_xlfn.XLOOKUP(TEXT(A2732, "mmm-yy"), TEXT([2]GASOLINE!$B$5:$B$208, "mmm-yy"), [2]GASOLINE!$IK$5:$IK$208, "Not Found")</f>
        <v>332.66495425764288</v>
      </c>
      <c r="L2732">
        <f t="shared" si="42"/>
        <v>1</v>
      </c>
      <c r="M2732" cm="1">
        <f t="array" ref="M2732">_xlfn.XLOOKUP(TEXT(A2732, "mmm-yy"), TEXT([2]GASOLINE!$B$5:$B$208, "mmm-yy"), [2]GASOLINE!$C$5:$C$208, "Not Found")</f>
        <v>7979.9006160430208</v>
      </c>
      <c r="N2732" cm="1">
        <f t="array" ref="N2732">_xlfn.XLOOKUP(TEXT(A2732, "mmm-yy"), TEXT([2]RUNS!$B$5:$B$208, "mmm-yy"), [2]RUNS!$BM$5:$BM$208, "Not Found")</f>
        <v>0.83904764779195085</v>
      </c>
    </row>
    <row r="2733" spans="1:14" x14ac:dyDescent="0.25">
      <c r="A2733" s="1">
        <f>'[1]Global_Spot Prices'!$B4042</f>
        <v>45828</v>
      </c>
      <c r="B2733">
        <f>_xlfn.XLOOKUP(A2733,'[1]Global_Spot Prices'!$B:$B,'[1]Global_Spot Prices'!$BS:$BS)</f>
        <v>11.150000000000006</v>
      </c>
      <c r="C2733">
        <f>_xlfn.XLOOKUP(A2733,'[1]Global_Spot Prices'!$B:$B,'[1]Global_Spot Prices'!$E:$E)</f>
        <v>76.849999999999994</v>
      </c>
      <c r="D2733">
        <f>_xlfn.XLOOKUP(A2733,'[1]Global_Spot Prices'!$B:$B,'[1]Global_Spot Prices'!$D:$D)</f>
        <v>78.204999999999998</v>
      </c>
      <c r="E2733">
        <f>_xlfn.XLOOKUP(A2733,'[1]Global_Spot Prices'!$B:$B,'[1]Global_Spot Prices'!$H:$H)</f>
        <v>69.709999999999994</v>
      </c>
      <c r="F2733">
        <f>_xlfn.XLOOKUP(A2733,'[1]Global_Spot Prices'!$B:$B,'[1]Global_Spot Prices'!$I:$I)</f>
        <v>88</v>
      </c>
      <c r="G2733" cm="1">
        <f t="array" ref="G2733">_xlfn.XLOOKUP(TEXT(A2733, "mmm-yy"), TEXT([2]RUNS!$B$5:$B$208, "mmm-yy"), [2]RUNS!$D$5:$D$208, "Not Found")</f>
        <v>30667.86276491404</v>
      </c>
      <c r="H2733" cm="1">
        <f t="array" ref="H2733">SUMPRODUCT(
    --(TEXT('[3]Global Weekly Stock (EWSuez'!$B$4:$B$2000,"mmm-yy")=TEXT(A2733,"mmm-yy")),
    '[3]Global Weekly Stock (EWSuez'!$E$4:$E$2000)
/
SUMPRODUCT(
    --(TEXT('[3]Global Weekly Stock (EWSuez'!$B$4:$B$2000,"mmm-yy")=TEXT(A2733,"mmm-yy"))
)</f>
        <v>12912.25</v>
      </c>
      <c r="I2733">
        <f>_xlfn.XLOOKUP(A2733,[1]ForwardDeriv!$D:$D,[1]ForwardDeriv!$AJ:$AJ)</f>
        <v>1.9899999999999949</v>
      </c>
      <c r="J2733" cm="1">
        <f t="array" ref="J2733">_xlfn.XLOOKUP(TEXT(A2733, "mmm-yy"), TEXT([2]GASOLINE!$B$5:$B$208, "mmm-yy"), [2]GASOLINE!$IR$5:$IR$208, "Not Found")</f>
        <v>-466.86716581852716</v>
      </c>
      <c r="K2733" cm="1">
        <f t="array" ref="K2733">_xlfn.XLOOKUP(TEXT(A2733, "mmm-yy"), TEXT([2]GASOLINE!$B$5:$B$208, "mmm-yy"), [2]GASOLINE!$IK$5:$IK$208, "Not Found")</f>
        <v>332.66495425764288</v>
      </c>
      <c r="L2733">
        <f t="shared" si="42"/>
        <v>1</v>
      </c>
      <c r="M2733" cm="1">
        <f t="array" ref="M2733">_xlfn.XLOOKUP(TEXT(A2733, "mmm-yy"), TEXT([2]GASOLINE!$B$5:$B$208, "mmm-yy"), [2]GASOLINE!$C$5:$C$208, "Not Found")</f>
        <v>7979.9006160430208</v>
      </c>
      <c r="N2733" cm="1">
        <f t="array" ref="N2733">_xlfn.XLOOKUP(TEXT(A2733, "mmm-yy"), TEXT([2]RUNS!$B$5:$B$208, "mmm-yy"), [2]RUNS!$BM$5:$BM$208, "Not Found")</f>
        <v>0.83904764779195085</v>
      </c>
    </row>
    <row r="2734" spans="1:14" x14ac:dyDescent="0.25">
      <c r="A2734" s="1">
        <f>'[1]Global_Spot Prices'!$B4043</f>
        <v>45831</v>
      </c>
      <c r="B2734">
        <f ca="1">_xlfn.XLOOKUP(A2734,'[1]Global_Spot Prices'!$B:$B,'[1]Global_Spot Prices'!$BS:$BS)</f>
        <v>11.739999999999995</v>
      </c>
      <c r="C2734">
        <f>_xlfn.XLOOKUP(A2734,'[1]Global_Spot Prices'!$B:$B,'[1]Global_Spot Prices'!$E:$E)</f>
        <v>75.72</v>
      </c>
      <c r="D2734">
        <f>_xlfn.XLOOKUP(A2734,'[1]Global_Spot Prices'!$B:$B,'[1]Global_Spot Prices'!$D:$D)</f>
        <v>77.655000000000001</v>
      </c>
      <c r="E2734">
        <f>_xlfn.XLOOKUP(A2734,'[1]Global_Spot Prices'!$B:$B,'[1]Global_Spot Prices'!$H:$H)</f>
        <v>69.08</v>
      </c>
      <c r="F2734">
        <f>_xlfn.XLOOKUP(A2734,'[1]Global_Spot Prices'!$B:$B,'[1]Global_Spot Prices'!$I:$I)</f>
        <v>87.46</v>
      </c>
      <c r="G2734" cm="1">
        <f t="array" ref="G2734">_xlfn.XLOOKUP(TEXT(A2734, "mmm-yy"), TEXT([2]RUNS!$B$5:$B$208, "mmm-yy"), [2]RUNS!$D$5:$D$208, "Not Found")</f>
        <v>30667.86276491404</v>
      </c>
      <c r="H2734" cm="1">
        <f t="array" ref="H2734">SUMPRODUCT(
    --(TEXT('[3]Global Weekly Stock (EWSuez'!$B$4:$B$2000,"mmm-yy")=TEXT(A2734,"mmm-yy")),
    '[3]Global Weekly Stock (EWSuez'!$E$4:$E$2000)
/
SUMPRODUCT(
    --(TEXT('[3]Global Weekly Stock (EWSuez'!$B$4:$B$2000,"mmm-yy")=TEXT(A2734,"mmm-yy"))
)</f>
        <v>12912.25</v>
      </c>
      <c r="I2734">
        <f>_xlfn.XLOOKUP(A2734,[1]ForwardDeriv!$D:$D,[1]ForwardDeriv!$AJ:$AJ)</f>
        <v>1.9899999999999949</v>
      </c>
      <c r="J2734" cm="1">
        <f t="array" ref="J2734">_xlfn.XLOOKUP(TEXT(A2734, "mmm-yy"), TEXT([2]GASOLINE!$B$5:$B$208, "mmm-yy"), [2]GASOLINE!$IR$5:$IR$208, "Not Found")</f>
        <v>-466.86716581852716</v>
      </c>
      <c r="K2734" cm="1">
        <f t="array" ref="K2734">_xlfn.XLOOKUP(TEXT(A2734, "mmm-yy"), TEXT([2]GASOLINE!$B$5:$B$208, "mmm-yy"), [2]GASOLINE!$IK$5:$IK$208, "Not Found")</f>
        <v>332.66495425764288</v>
      </c>
      <c r="L2734">
        <f t="shared" si="42"/>
        <v>1</v>
      </c>
      <c r="M2734" cm="1">
        <f t="array" ref="M2734">_xlfn.XLOOKUP(TEXT(A2734, "mmm-yy"), TEXT([2]GASOLINE!$B$5:$B$208, "mmm-yy"), [2]GASOLINE!$C$5:$C$208, "Not Found")</f>
        <v>7979.9006160430208</v>
      </c>
      <c r="N2734" cm="1">
        <f t="array" ref="N2734">_xlfn.XLOOKUP(TEXT(A2734, "mmm-yy"), TEXT([2]RUNS!$B$5:$B$208, "mmm-yy"), [2]RUNS!$BM$5:$BM$208, "Not Found")</f>
        <v>0.83904764779195085</v>
      </c>
    </row>
    <row r="2735" spans="1:14" x14ac:dyDescent="0.25">
      <c r="A2735" s="1">
        <f>'[1]Global_Spot Prices'!$B4044</f>
        <v>45832</v>
      </c>
      <c r="B2735">
        <f>_xlfn.XLOOKUP(A2735,'[1]Global_Spot Prices'!$B:$B,'[1]Global_Spot Prices'!$BS:$BS)</f>
        <v>11.984999999999999</v>
      </c>
      <c r="C2735">
        <f>_xlfn.XLOOKUP(A2735,'[1]Global_Spot Prices'!$B:$B,'[1]Global_Spot Prices'!$E:$E)</f>
        <v>68.754999999999995</v>
      </c>
      <c r="D2735">
        <f>_xlfn.XLOOKUP(A2735,'[1]Global_Spot Prices'!$B:$B,'[1]Global_Spot Prices'!$D:$D)</f>
        <v>69.12</v>
      </c>
      <c r="E2735">
        <f>_xlfn.XLOOKUP(A2735,'[1]Global_Spot Prices'!$B:$B,'[1]Global_Spot Prices'!$H:$H)</f>
        <v>62.91</v>
      </c>
      <c r="F2735">
        <f>_xlfn.XLOOKUP(A2735,'[1]Global_Spot Prices'!$B:$B,'[1]Global_Spot Prices'!$I:$I)</f>
        <v>80.739999999999995</v>
      </c>
      <c r="G2735" cm="1">
        <f t="array" ref="G2735">_xlfn.XLOOKUP(TEXT(A2735, "mmm-yy"), TEXT([2]RUNS!$B$5:$B$208, "mmm-yy"), [2]RUNS!$D$5:$D$208, "Not Found")</f>
        <v>30667.86276491404</v>
      </c>
      <c r="H2735" cm="1">
        <f t="array" ref="H2735">SUMPRODUCT(
    --(TEXT('[3]Global Weekly Stock (EWSuez'!$B$4:$B$2000,"mmm-yy")=TEXT(A2735,"mmm-yy")),
    '[3]Global Weekly Stock (EWSuez'!$E$4:$E$2000)
/
SUMPRODUCT(
    --(TEXT('[3]Global Weekly Stock (EWSuez'!$B$4:$B$2000,"mmm-yy")=TEXT(A2735,"mmm-yy"))
)</f>
        <v>12912.25</v>
      </c>
      <c r="I2735">
        <f>_xlfn.XLOOKUP(A2735,[1]ForwardDeriv!$D:$D,[1]ForwardDeriv!$AJ:$AJ)</f>
        <v>1.8400000000000034</v>
      </c>
      <c r="J2735" cm="1">
        <f t="array" ref="J2735">_xlfn.XLOOKUP(TEXT(A2735, "mmm-yy"), TEXT([2]GASOLINE!$B$5:$B$208, "mmm-yy"), [2]GASOLINE!$IR$5:$IR$208, "Not Found")</f>
        <v>-466.86716581852716</v>
      </c>
      <c r="K2735" cm="1">
        <f t="array" ref="K2735">_xlfn.XLOOKUP(TEXT(A2735, "mmm-yy"), TEXT([2]GASOLINE!$B$5:$B$208, "mmm-yy"), [2]GASOLINE!$IK$5:$IK$208, "Not Found")</f>
        <v>332.66495425764288</v>
      </c>
      <c r="L2735">
        <f t="shared" si="42"/>
        <v>1</v>
      </c>
      <c r="M2735" cm="1">
        <f t="array" ref="M2735">_xlfn.XLOOKUP(TEXT(A2735, "mmm-yy"), TEXT([2]GASOLINE!$B$5:$B$208, "mmm-yy"), [2]GASOLINE!$C$5:$C$208, "Not Found")</f>
        <v>7979.9006160430208</v>
      </c>
      <c r="N2735" cm="1">
        <f t="array" ref="N2735">_xlfn.XLOOKUP(TEXT(A2735, "mmm-yy"), TEXT([2]RUNS!$B$5:$B$208, "mmm-yy"), [2]RUNS!$BM$5:$BM$208, "Not Found")</f>
        <v>0.83904764779195085</v>
      </c>
    </row>
    <row r="2736" spans="1:14" x14ac:dyDescent="0.25">
      <c r="A2736" s="1">
        <f>'[1]Global_Spot Prices'!$B4045</f>
        <v>45833</v>
      </c>
      <c r="B2736">
        <f>_xlfn.XLOOKUP(A2736,'[1]Global_Spot Prices'!$B:$B,'[1]Global_Spot Prices'!$BS:$BS)</f>
        <v>11.480000000000004</v>
      </c>
      <c r="C2736">
        <f>_xlfn.XLOOKUP(A2736,'[1]Global_Spot Prices'!$B:$B,'[1]Global_Spot Prices'!$E:$E)</f>
        <v>67.81</v>
      </c>
      <c r="D2736">
        <f>_xlfn.XLOOKUP(A2736,'[1]Global_Spot Prices'!$B:$B,'[1]Global_Spot Prices'!$D:$D)</f>
        <v>69.23</v>
      </c>
      <c r="E2736">
        <f>_xlfn.XLOOKUP(A2736,'[1]Global_Spot Prices'!$B:$B,'[1]Global_Spot Prices'!$H:$H)</f>
        <v>62.29</v>
      </c>
      <c r="F2736">
        <f>_xlfn.XLOOKUP(A2736,'[1]Global_Spot Prices'!$B:$B,'[1]Global_Spot Prices'!$I:$I)</f>
        <v>79.290000000000006</v>
      </c>
      <c r="G2736" cm="1">
        <f t="array" ref="G2736">_xlfn.XLOOKUP(TEXT(A2736, "mmm-yy"), TEXT([2]RUNS!$B$5:$B$208, "mmm-yy"), [2]RUNS!$D$5:$D$208, "Not Found")</f>
        <v>30667.86276491404</v>
      </c>
      <c r="H2736" cm="1">
        <f t="array" ref="H2736">SUMPRODUCT(
    --(TEXT('[3]Global Weekly Stock (EWSuez'!$B$4:$B$2000,"mmm-yy")=TEXT(A2736,"mmm-yy")),
    '[3]Global Weekly Stock (EWSuez'!$E$4:$E$2000)
/
SUMPRODUCT(
    --(TEXT('[3]Global Weekly Stock (EWSuez'!$B$4:$B$2000,"mmm-yy")=TEXT(A2736,"mmm-yy"))
)</f>
        <v>12912.25</v>
      </c>
      <c r="I2736">
        <f>_xlfn.XLOOKUP(A2736,[1]ForwardDeriv!$D:$D,[1]ForwardDeriv!$AJ:$AJ)</f>
        <v>1.6800000000000068</v>
      </c>
      <c r="J2736" cm="1">
        <f t="array" ref="J2736">_xlfn.XLOOKUP(TEXT(A2736, "mmm-yy"), TEXT([2]GASOLINE!$B$5:$B$208, "mmm-yy"), [2]GASOLINE!$IR$5:$IR$208, "Not Found")</f>
        <v>-466.86716581852716</v>
      </c>
      <c r="K2736" cm="1">
        <f t="array" ref="K2736">_xlfn.XLOOKUP(TEXT(A2736, "mmm-yy"), TEXT([2]GASOLINE!$B$5:$B$208, "mmm-yy"), [2]GASOLINE!$IK$5:$IK$208, "Not Found")</f>
        <v>332.66495425764288</v>
      </c>
      <c r="L2736">
        <f t="shared" si="42"/>
        <v>1</v>
      </c>
      <c r="M2736" cm="1">
        <f t="array" ref="M2736">_xlfn.XLOOKUP(TEXT(A2736, "mmm-yy"), TEXT([2]GASOLINE!$B$5:$B$208, "mmm-yy"), [2]GASOLINE!$C$5:$C$208, "Not Found")</f>
        <v>7979.9006160430208</v>
      </c>
      <c r="N2736" cm="1">
        <f t="array" ref="N2736">_xlfn.XLOOKUP(TEXT(A2736, "mmm-yy"), TEXT([2]RUNS!$B$5:$B$208, "mmm-yy"), [2]RUNS!$BM$5:$BM$208, "Not Found")</f>
        <v>0.83904764779195085</v>
      </c>
    </row>
    <row r="2737" spans="1:14" x14ac:dyDescent="0.25">
      <c r="A2737" s="1">
        <f>'[1]Global_Spot Prices'!$B4046</f>
        <v>45834</v>
      </c>
      <c r="B2737">
        <f>_xlfn.XLOOKUP(A2737,'[1]Global_Spot Prices'!$B:$B,'[1]Global_Spot Prices'!$BS:$BS)</f>
        <v>10.399999999999991</v>
      </c>
      <c r="C2737">
        <f>_xlfn.XLOOKUP(A2737,'[1]Global_Spot Prices'!$B:$B,'[1]Global_Spot Prices'!$E:$E)</f>
        <v>67.650000000000006</v>
      </c>
      <c r="D2737">
        <f>_xlfn.XLOOKUP(A2737,'[1]Global_Spot Prices'!$B:$B,'[1]Global_Spot Prices'!$D:$D)</f>
        <v>69.849999999999994</v>
      </c>
      <c r="E2737">
        <f>_xlfn.XLOOKUP(A2737,'[1]Global_Spot Prices'!$B:$B,'[1]Global_Spot Prices'!$H:$H)</f>
        <v>61.22</v>
      </c>
      <c r="F2737">
        <f>_xlfn.XLOOKUP(A2737,'[1]Global_Spot Prices'!$B:$B,'[1]Global_Spot Prices'!$I:$I)</f>
        <v>78.05</v>
      </c>
      <c r="G2737" cm="1">
        <f t="array" ref="G2737">_xlfn.XLOOKUP(TEXT(A2737, "mmm-yy"), TEXT([2]RUNS!$B$5:$B$208, "mmm-yy"), [2]RUNS!$D$5:$D$208, "Not Found")</f>
        <v>30667.86276491404</v>
      </c>
      <c r="H2737" cm="1">
        <f t="array" ref="H2737">SUMPRODUCT(
    --(TEXT('[3]Global Weekly Stock (EWSuez'!$B$4:$B$2000,"mmm-yy")=TEXT(A2737,"mmm-yy")),
    '[3]Global Weekly Stock (EWSuez'!$E$4:$E$2000)
/
SUMPRODUCT(
    --(TEXT('[3]Global Weekly Stock (EWSuez'!$B$4:$B$2000,"mmm-yy")=TEXT(A2737,"mmm-yy"))
)</f>
        <v>12912.25</v>
      </c>
      <c r="I2737">
        <f>_xlfn.XLOOKUP(A2737,[1]ForwardDeriv!$D:$D,[1]ForwardDeriv!$AJ:$AJ)</f>
        <v>1.710000000000008</v>
      </c>
      <c r="J2737" cm="1">
        <f t="array" ref="J2737">_xlfn.XLOOKUP(TEXT(A2737, "mmm-yy"), TEXT([2]GASOLINE!$B$5:$B$208, "mmm-yy"), [2]GASOLINE!$IR$5:$IR$208, "Not Found")</f>
        <v>-466.86716581852716</v>
      </c>
      <c r="K2737" cm="1">
        <f t="array" ref="K2737">_xlfn.XLOOKUP(TEXT(A2737, "mmm-yy"), TEXT([2]GASOLINE!$B$5:$B$208, "mmm-yy"), [2]GASOLINE!$IK$5:$IK$208, "Not Found")</f>
        <v>332.66495425764288</v>
      </c>
      <c r="L2737">
        <f t="shared" si="42"/>
        <v>1</v>
      </c>
      <c r="M2737" cm="1">
        <f t="array" ref="M2737">_xlfn.XLOOKUP(TEXT(A2737, "mmm-yy"), TEXT([2]GASOLINE!$B$5:$B$208, "mmm-yy"), [2]GASOLINE!$C$5:$C$208, "Not Found")</f>
        <v>7979.9006160430208</v>
      </c>
      <c r="N2737" cm="1">
        <f t="array" ref="N2737">_xlfn.XLOOKUP(TEXT(A2737, "mmm-yy"), TEXT([2]RUNS!$B$5:$B$208, "mmm-yy"), [2]RUNS!$BM$5:$BM$208, "Not Found")</f>
        <v>0.83904764779195085</v>
      </c>
    </row>
    <row r="2738" spans="1:14" x14ac:dyDescent="0.25">
      <c r="A2738" s="1">
        <f>'[1]Global_Spot Prices'!$B4047</f>
        <v>45835</v>
      </c>
      <c r="B2738">
        <f ca="1">_xlfn.XLOOKUP(A2738,'[1]Global_Spot Prices'!$B:$B,'[1]Global_Spot Prices'!$BS:$BS)</f>
        <v>9.3400000000000034</v>
      </c>
      <c r="C2738">
        <f>_xlfn.XLOOKUP(A2738,'[1]Global_Spot Prices'!$B:$B,'[1]Global_Spot Prices'!$E:$E)</f>
        <v>68.44</v>
      </c>
      <c r="D2738">
        <f>_xlfn.XLOOKUP(A2738,'[1]Global_Spot Prices'!$B:$B,'[1]Global_Spot Prices'!$D:$D)</f>
        <v>69.165000000000006</v>
      </c>
      <c r="E2738">
        <f>_xlfn.XLOOKUP(A2738,'[1]Global_Spot Prices'!$B:$B,'[1]Global_Spot Prices'!$H:$H)</f>
        <v>61.34</v>
      </c>
      <c r="F2738">
        <f>_xlfn.XLOOKUP(A2738,'[1]Global_Spot Prices'!$B:$B,'[1]Global_Spot Prices'!$I:$I)</f>
        <v>77.78</v>
      </c>
      <c r="G2738" cm="1">
        <f t="array" ref="G2738">_xlfn.XLOOKUP(TEXT(A2738, "mmm-yy"), TEXT([2]RUNS!$B$5:$B$208, "mmm-yy"), [2]RUNS!$D$5:$D$208, "Not Found")</f>
        <v>30667.86276491404</v>
      </c>
      <c r="H2738" cm="1">
        <f t="array" ref="H2738">SUMPRODUCT(
    --(TEXT('[3]Global Weekly Stock (EWSuez'!$B$4:$B$2000,"mmm-yy")=TEXT(A2738,"mmm-yy")),
    '[3]Global Weekly Stock (EWSuez'!$E$4:$E$2000)
/
SUMPRODUCT(
    --(TEXT('[3]Global Weekly Stock (EWSuez'!$B$4:$B$2000,"mmm-yy")=TEXT(A2738,"mmm-yy"))
)</f>
        <v>12912.25</v>
      </c>
      <c r="I2738">
        <f>_xlfn.XLOOKUP(A2738,[1]ForwardDeriv!$D:$D,[1]ForwardDeriv!$AJ:$AJ)</f>
        <v>1.3800000000000097</v>
      </c>
      <c r="J2738" cm="1">
        <f t="array" ref="J2738">_xlfn.XLOOKUP(TEXT(A2738, "mmm-yy"), TEXT([2]GASOLINE!$B$5:$B$208, "mmm-yy"), [2]GASOLINE!$IR$5:$IR$208, "Not Found")</f>
        <v>-466.86716581852716</v>
      </c>
      <c r="K2738" cm="1">
        <f t="array" ref="K2738">_xlfn.XLOOKUP(TEXT(A2738, "mmm-yy"), TEXT([2]GASOLINE!$B$5:$B$208, "mmm-yy"), [2]GASOLINE!$IK$5:$IK$208, "Not Found")</f>
        <v>332.66495425764288</v>
      </c>
      <c r="L2738">
        <f t="shared" si="42"/>
        <v>1</v>
      </c>
      <c r="M2738" cm="1">
        <f t="array" ref="M2738">_xlfn.XLOOKUP(TEXT(A2738, "mmm-yy"), TEXT([2]GASOLINE!$B$5:$B$208, "mmm-yy"), [2]GASOLINE!$C$5:$C$208, "Not Found")</f>
        <v>7979.9006160430208</v>
      </c>
      <c r="N2738" cm="1">
        <f t="array" ref="N2738">_xlfn.XLOOKUP(TEXT(A2738, "mmm-yy"), TEXT([2]RUNS!$B$5:$B$208, "mmm-yy"), [2]RUNS!$BM$5:$BM$208, "Not Found")</f>
        <v>0.83904764779195085</v>
      </c>
    </row>
    <row r="2739" spans="1:14" x14ac:dyDescent="0.25">
      <c r="A2739" s="1">
        <f>'[1]Global_Spot Prices'!$B4048</f>
        <v>45838</v>
      </c>
      <c r="B2739">
        <f>_xlfn.XLOOKUP(A2739,'[1]Global_Spot Prices'!$B:$B,'[1]Global_Spot Prices'!$BS:$BS)</f>
        <v>8.6350000000000051</v>
      </c>
      <c r="C2739">
        <f>_xlfn.XLOOKUP(A2739,'[1]Global_Spot Prices'!$B:$B,'[1]Global_Spot Prices'!$E:$E)</f>
        <v>68.754999999999995</v>
      </c>
      <c r="D2739">
        <f>_xlfn.XLOOKUP(A2739,'[1]Global_Spot Prices'!$B:$B,'[1]Global_Spot Prices'!$D:$D)</f>
        <v>68.16</v>
      </c>
      <c r="E2739">
        <f>_xlfn.XLOOKUP(A2739,'[1]Global_Spot Prices'!$B:$B,'[1]Global_Spot Prices'!$H:$H)</f>
        <v>61.72</v>
      </c>
      <c r="F2739">
        <f ca="1">_xlfn.XLOOKUP(A2739,'[1]Global_Spot Prices'!$B:$B,'[1]Global_Spot Prices'!$I:$I)</f>
        <v>77.39</v>
      </c>
      <c r="G2739" cm="1">
        <f t="array" ref="G2739">_xlfn.XLOOKUP(TEXT(A2739, "mmm-yy"), TEXT([2]RUNS!$B$5:$B$208, "mmm-yy"), [2]RUNS!$D$5:$D$208, "Not Found")</f>
        <v>30667.86276491404</v>
      </c>
      <c r="H2739" cm="1">
        <f t="array" ref="H2739">SUMPRODUCT(
    --(TEXT('[3]Global Weekly Stock (EWSuez'!$B$4:$B$2000,"mmm-yy")=TEXT(A2739,"mmm-yy")),
    '[3]Global Weekly Stock (EWSuez'!$E$4:$E$2000)
/
SUMPRODUCT(
    --(TEXT('[3]Global Weekly Stock (EWSuez'!$B$4:$B$2000,"mmm-yy")=TEXT(A2739,"mmm-yy"))
)</f>
        <v>12912.25</v>
      </c>
      <c r="I2739">
        <f>_xlfn.XLOOKUP(A2739,[1]ForwardDeriv!$D:$D,[1]ForwardDeriv!$AJ:$AJ)</f>
        <v>1.3900000000000006</v>
      </c>
      <c r="J2739" cm="1">
        <f t="array" ref="J2739">_xlfn.XLOOKUP(TEXT(A2739, "mmm-yy"), TEXT([2]GASOLINE!$B$5:$B$208, "mmm-yy"), [2]GASOLINE!$IR$5:$IR$208, "Not Found")</f>
        <v>-466.86716581852716</v>
      </c>
      <c r="K2739" cm="1">
        <f t="array" ref="K2739">_xlfn.XLOOKUP(TEXT(A2739, "mmm-yy"), TEXT([2]GASOLINE!$B$5:$B$208, "mmm-yy"), [2]GASOLINE!$IK$5:$IK$208, "Not Found")</f>
        <v>332.66495425764288</v>
      </c>
      <c r="L2739">
        <f t="shared" si="42"/>
        <v>1</v>
      </c>
      <c r="M2739" cm="1">
        <f t="array" ref="M2739">_xlfn.XLOOKUP(TEXT(A2739, "mmm-yy"), TEXT([2]GASOLINE!$B$5:$B$208, "mmm-yy"), [2]GASOLINE!$C$5:$C$208, "Not Found")</f>
        <v>7979.9006160430208</v>
      </c>
      <c r="N2739" cm="1">
        <f t="array" ref="N2739">_xlfn.XLOOKUP(TEXT(A2739, "mmm-yy"), TEXT([2]RUNS!$B$5:$B$208, "mmm-yy"), [2]RUNS!$BM$5:$BM$208, "Not Found")</f>
        <v>0.83904764779195085</v>
      </c>
    </row>
    <row r="2740" spans="1:14" x14ac:dyDescent="0.25">
      <c r="A2740" s="1">
        <f>'[1]Global_Spot Prices'!$B4049</f>
        <v>45839</v>
      </c>
      <c r="B2740">
        <f>_xlfn.XLOOKUP(A2740,'[1]Global_Spot Prices'!$B:$B,'[1]Global_Spot Prices'!$BS:$BS)</f>
        <v>9.5</v>
      </c>
      <c r="C2740">
        <f>_xlfn.XLOOKUP(A2740,'[1]Global_Spot Prices'!$B:$B,'[1]Global_Spot Prices'!$E:$E)</f>
        <v>68.150000000000006</v>
      </c>
      <c r="D2740">
        <f>_xlfn.XLOOKUP(A2740,'[1]Global_Spot Prices'!$B:$B,'[1]Global_Spot Prices'!$D:$D)</f>
        <v>68.709999999999994</v>
      </c>
      <c r="E2740">
        <f>_xlfn.XLOOKUP(A2740,'[1]Global_Spot Prices'!$B:$B,'[1]Global_Spot Prices'!$H:$H)</f>
        <v>61.98</v>
      </c>
      <c r="F2740">
        <f>_xlfn.XLOOKUP(A2740,'[1]Global_Spot Prices'!$B:$B,'[1]Global_Spot Prices'!$I:$I)</f>
        <v>77.650000000000006</v>
      </c>
      <c r="G2740" cm="1">
        <f t="array" ref="G2740">_xlfn.XLOOKUP(TEXT(A2740, "mmm-yy"), TEXT([2]RUNS!$B$5:$B$208, "mmm-yy"), [2]RUNS!$D$5:$D$208, "Not Found")</f>
        <v>30749.773032340388</v>
      </c>
      <c r="H2740" cm="1">
        <f t="array" ref="H2740">SUMPRODUCT(
    --(TEXT('[3]Global Weekly Stock (EWSuez'!$B$4:$B$2000,"mmm-yy")=TEXT(A2740,"mmm-yy")),
    '[3]Global Weekly Stock (EWSuez'!$E$4:$E$2000)
/
SUMPRODUCT(
    --(TEXT('[3]Global Weekly Stock (EWSuez'!$B$4:$B$2000,"mmm-yy")=TEXT(A2740,"mmm-yy"))
)</f>
        <v>12004</v>
      </c>
      <c r="I2740">
        <f>_xlfn.XLOOKUP(A2740,[1]ForwardDeriv!$D:$D,[1]ForwardDeriv!$AJ:$AJ)</f>
        <v>1.2399999999999949</v>
      </c>
      <c r="J2740" cm="1">
        <f t="array" ref="J2740">_xlfn.XLOOKUP(TEXT(A2740, "mmm-yy"), TEXT([2]GASOLINE!$B$5:$B$208, "mmm-yy"), [2]GASOLINE!$IR$5:$IR$208, "Not Found")</f>
        <v>-458.78012714622929</v>
      </c>
      <c r="K2740" cm="1">
        <f t="array" ref="K2740">_xlfn.XLOOKUP(TEXT(A2740, "mmm-yy"), TEXT([2]GASOLINE!$B$5:$B$208, "mmm-yy"), [2]GASOLINE!$IK$5:$IK$208, "Not Found")</f>
        <v>328.45723596908823</v>
      </c>
      <c r="L2740">
        <f t="shared" si="42"/>
        <v>1</v>
      </c>
      <c r="M2740" cm="1">
        <f t="array" ref="M2740">_xlfn.XLOOKUP(TEXT(A2740, "mmm-yy"), TEXT([2]GASOLINE!$B$5:$B$208, "mmm-yy"), [2]GASOLINE!$C$5:$C$208, "Not Found")</f>
        <v>8022.7668951222167</v>
      </c>
      <c r="N2740" cm="1">
        <f t="array" ref="N2740">_xlfn.XLOOKUP(TEXT(A2740, "mmm-yy"), TEXT([2]RUNS!$B$5:$B$208, "mmm-yy"), [2]RUNS!$BM$5:$BM$208, "Not Found")</f>
        <v>0.83625293458523942</v>
      </c>
    </row>
    <row r="2741" spans="1:14" x14ac:dyDescent="0.25">
      <c r="A2741" s="1">
        <f>'[1]Global_Spot Prices'!$B4050</f>
        <v>45840</v>
      </c>
      <c r="B2741">
        <f>_xlfn.XLOOKUP(A2741,'[1]Global_Spot Prices'!$B:$B,'[1]Global_Spot Prices'!$BS:$BS)</f>
        <v>9.6600000000000108</v>
      </c>
      <c r="C2741">
        <f>_xlfn.XLOOKUP(A2741,'[1]Global_Spot Prices'!$B:$B,'[1]Global_Spot Prices'!$E:$E)</f>
        <v>68.599999999999994</v>
      </c>
      <c r="D2741">
        <f>_xlfn.XLOOKUP(A2741,'[1]Global_Spot Prices'!$B:$B,'[1]Global_Spot Prices'!$D:$D)</f>
        <v>69.849999999999994</v>
      </c>
      <c r="E2741">
        <f>_xlfn.XLOOKUP(A2741,'[1]Global_Spot Prices'!$B:$B,'[1]Global_Spot Prices'!$H:$H)</f>
        <v>62.02</v>
      </c>
      <c r="F2741">
        <f>_xlfn.XLOOKUP(A2741,'[1]Global_Spot Prices'!$B:$B,'[1]Global_Spot Prices'!$I:$I)</f>
        <v>78.260000000000005</v>
      </c>
      <c r="G2741" cm="1">
        <f t="array" ref="G2741">_xlfn.XLOOKUP(TEXT(A2741, "mmm-yy"), TEXT([2]RUNS!$B$5:$B$208, "mmm-yy"), [2]RUNS!$D$5:$D$208, "Not Found")</f>
        <v>30749.773032340388</v>
      </c>
      <c r="H2741" cm="1">
        <f t="array" ref="H2741">SUMPRODUCT(
    --(TEXT('[3]Global Weekly Stock (EWSuez'!$B$4:$B$2000,"mmm-yy")=TEXT(A2741,"mmm-yy")),
    '[3]Global Weekly Stock (EWSuez'!$E$4:$E$2000)
/
SUMPRODUCT(
    --(TEXT('[3]Global Weekly Stock (EWSuez'!$B$4:$B$2000,"mmm-yy")=TEXT(A2741,"mmm-yy"))
)</f>
        <v>12004</v>
      </c>
      <c r="I2741">
        <f>_xlfn.XLOOKUP(A2741,[1]ForwardDeriv!$D:$D,[1]ForwardDeriv!$AJ:$AJ)</f>
        <v>1.3200000000000074</v>
      </c>
      <c r="J2741" cm="1">
        <f t="array" ref="J2741">_xlfn.XLOOKUP(TEXT(A2741, "mmm-yy"), TEXT([2]GASOLINE!$B$5:$B$208, "mmm-yy"), [2]GASOLINE!$IR$5:$IR$208, "Not Found")</f>
        <v>-458.78012714622929</v>
      </c>
      <c r="K2741" cm="1">
        <f t="array" ref="K2741">_xlfn.XLOOKUP(TEXT(A2741, "mmm-yy"), TEXT([2]GASOLINE!$B$5:$B$208, "mmm-yy"), [2]GASOLINE!$IK$5:$IK$208, "Not Found")</f>
        <v>328.45723596908823</v>
      </c>
      <c r="L2741">
        <f t="shared" si="42"/>
        <v>1</v>
      </c>
      <c r="M2741" cm="1">
        <f t="array" ref="M2741">_xlfn.XLOOKUP(TEXT(A2741, "mmm-yy"), TEXT([2]GASOLINE!$B$5:$B$208, "mmm-yy"), [2]GASOLINE!$C$5:$C$208, "Not Found")</f>
        <v>8022.7668951222167</v>
      </c>
      <c r="N2741" cm="1">
        <f t="array" ref="N2741">_xlfn.XLOOKUP(TEXT(A2741, "mmm-yy"), TEXT([2]RUNS!$B$5:$B$208, "mmm-yy"), [2]RUNS!$BM$5:$BM$208, "Not Found")</f>
        <v>0.83625293458523942</v>
      </c>
    </row>
    <row r="2742" spans="1:14" x14ac:dyDescent="0.25">
      <c r="A2742" s="1">
        <f>'[1]Global_Spot Prices'!$B4051</f>
        <v>45841</v>
      </c>
      <c r="B2742">
        <f>_xlfn.XLOOKUP(A2742,'[1]Global_Spot Prices'!$B:$B,'[1]Global_Spot Prices'!$BS:$BS)</f>
        <v>9.2199999999999989</v>
      </c>
      <c r="C2742">
        <f>_xlfn.XLOOKUP(A2742,'[1]Global_Spot Prices'!$B:$B,'[1]Global_Spot Prices'!$E:$E)</f>
        <v>69.61</v>
      </c>
      <c r="D2742">
        <f>_xlfn.XLOOKUP(A2742,'[1]Global_Spot Prices'!$B:$B,'[1]Global_Spot Prices'!$D:$D)</f>
        <v>71.14</v>
      </c>
      <c r="E2742">
        <f>_xlfn.XLOOKUP(A2742,'[1]Global_Spot Prices'!$B:$B,'[1]Global_Spot Prices'!$H:$H)</f>
        <v>62.56</v>
      </c>
      <c r="F2742">
        <f>_xlfn.XLOOKUP(A2742,'[1]Global_Spot Prices'!$B:$B,'[1]Global_Spot Prices'!$I:$I)</f>
        <v>78.83</v>
      </c>
      <c r="G2742" cm="1">
        <f t="array" ref="G2742">_xlfn.XLOOKUP(TEXT(A2742, "mmm-yy"), TEXT([2]RUNS!$B$5:$B$208, "mmm-yy"), [2]RUNS!$D$5:$D$208, "Not Found")</f>
        <v>30749.773032340388</v>
      </c>
      <c r="H2742" cm="1">
        <f t="array" ref="H2742">SUMPRODUCT(
    --(TEXT('[3]Global Weekly Stock (EWSuez'!$B$4:$B$2000,"mmm-yy")=TEXT(A2742,"mmm-yy")),
    '[3]Global Weekly Stock (EWSuez'!$E$4:$E$2000)
/
SUMPRODUCT(
    --(TEXT('[3]Global Weekly Stock (EWSuez'!$B$4:$B$2000,"mmm-yy")=TEXT(A2742,"mmm-yy"))
)</f>
        <v>12004</v>
      </c>
      <c r="I2742">
        <f>_xlfn.XLOOKUP(A2742,[1]ForwardDeriv!$D:$D,[1]ForwardDeriv!$AJ:$AJ)</f>
        <v>1.2900000000000063</v>
      </c>
      <c r="J2742" cm="1">
        <f t="array" ref="J2742">_xlfn.XLOOKUP(TEXT(A2742, "mmm-yy"), TEXT([2]GASOLINE!$B$5:$B$208, "mmm-yy"), [2]GASOLINE!$IR$5:$IR$208, "Not Found")</f>
        <v>-458.78012714622929</v>
      </c>
      <c r="K2742" cm="1">
        <f t="array" ref="K2742">_xlfn.XLOOKUP(TEXT(A2742, "mmm-yy"), TEXT([2]GASOLINE!$B$5:$B$208, "mmm-yy"), [2]GASOLINE!$IK$5:$IK$208, "Not Found")</f>
        <v>328.45723596908823</v>
      </c>
      <c r="L2742">
        <f t="shared" si="42"/>
        <v>1</v>
      </c>
      <c r="M2742" cm="1">
        <f t="array" ref="M2742">_xlfn.XLOOKUP(TEXT(A2742, "mmm-yy"), TEXT([2]GASOLINE!$B$5:$B$208, "mmm-yy"), [2]GASOLINE!$C$5:$C$208, "Not Found")</f>
        <v>8022.7668951222167</v>
      </c>
      <c r="N2742" cm="1">
        <f t="array" ref="N2742">_xlfn.XLOOKUP(TEXT(A2742, "mmm-yy"), TEXT([2]RUNS!$B$5:$B$208, "mmm-yy"), [2]RUNS!$BM$5:$BM$208, "Not Found")</f>
        <v>0.83625293458523942</v>
      </c>
    </row>
    <row r="2743" spans="1:14" x14ac:dyDescent="0.25">
      <c r="A2743" s="1">
        <f>'[1]Global_Spot Prices'!$B4052</f>
        <v>45842</v>
      </c>
      <c r="B2743">
        <f>_xlfn.XLOOKUP(A2743,'[1]Global_Spot Prices'!$B:$B,'[1]Global_Spot Prices'!$BS:$BS)</f>
        <v>9.7599999999999909</v>
      </c>
      <c r="C2743">
        <f>_xlfn.XLOOKUP(A2743,'[1]Global_Spot Prices'!$B:$B,'[1]Global_Spot Prices'!$E:$E)</f>
        <v>69.56</v>
      </c>
      <c r="D2743">
        <f>_xlfn.XLOOKUP(A2743,'[1]Global_Spot Prices'!$B:$B,'[1]Global_Spot Prices'!$D:$D)</f>
        <v>70.73</v>
      </c>
      <c r="E2743">
        <f>_xlfn.XLOOKUP(A2743,'[1]Global_Spot Prices'!$B:$B,'[1]Global_Spot Prices'!$H:$H)</f>
        <v>62.53</v>
      </c>
      <c r="F2743">
        <f>_xlfn.XLOOKUP(A2743,'[1]Global_Spot Prices'!$B:$B,'[1]Global_Spot Prices'!$I:$I)</f>
        <v>79.319999999999993</v>
      </c>
      <c r="G2743" cm="1">
        <f t="array" ref="G2743">_xlfn.XLOOKUP(TEXT(A2743, "mmm-yy"), TEXT([2]RUNS!$B$5:$B$208, "mmm-yy"), [2]RUNS!$D$5:$D$208, "Not Found")</f>
        <v>30749.773032340388</v>
      </c>
      <c r="H2743" cm="1">
        <f t="array" ref="H2743">SUMPRODUCT(
    --(TEXT('[3]Global Weekly Stock (EWSuez'!$B$4:$B$2000,"mmm-yy")=TEXT(A2743,"mmm-yy")),
    '[3]Global Weekly Stock (EWSuez'!$E$4:$E$2000)
/
SUMPRODUCT(
    --(TEXT('[3]Global Weekly Stock (EWSuez'!$B$4:$B$2000,"mmm-yy")=TEXT(A2743,"mmm-yy"))
)</f>
        <v>12004</v>
      </c>
      <c r="I2743">
        <f>_xlfn.XLOOKUP(A2743,[1]ForwardDeriv!$D:$D,[1]ForwardDeriv!$AJ:$AJ)</f>
        <v>1.3699999999999903</v>
      </c>
      <c r="J2743" cm="1">
        <f t="array" ref="J2743">_xlfn.XLOOKUP(TEXT(A2743, "mmm-yy"), TEXT([2]GASOLINE!$B$5:$B$208, "mmm-yy"), [2]GASOLINE!$IR$5:$IR$208, "Not Found")</f>
        <v>-458.78012714622929</v>
      </c>
      <c r="K2743" cm="1">
        <f t="array" ref="K2743">_xlfn.XLOOKUP(TEXT(A2743, "mmm-yy"), TEXT([2]GASOLINE!$B$5:$B$208, "mmm-yy"), [2]GASOLINE!$IK$5:$IK$208, "Not Found")</f>
        <v>328.45723596908823</v>
      </c>
      <c r="L2743">
        <f t="shared" si="42"/>
        <v>1</v>
      </c>
      <c r="M2743" cm="1">
        <f t="array" ref="M2743">_xlfn.XLOOKUP(TEXT(A2743, "mmm-yy"), TEXT([2]GASOLINE!$B$5:$B$208, "mmm-yy"), [2]GASOLINE!$C$5:$C$208, "Not Found")</f>
        <v>8022.7668951222167</v>
      </c>
      <c r="N2743" cm="1">
        <f t="array" ref="N2743">_xlfn.XLOOKUP(TEXT(A2743, "mmm-yy"), TEXT([2]RUNS!$B$5:$B$208, "mmm-yy"), [2]RUNS!$BM$5:$BM$208, "Not Found")</f>
        <v>0.83625293458523942</v>
      </c>
    </row>
    <row r="2744" spans="1:14" x14ac:dyDescent="0.25">
      <c r="A2744" s="1">
        <f>'[1]Global_Spot Prices'!$B4053</f>
        <v>45845</v>
      </c>
      <c r="B2744">
        <f>_xlfn.XLOOKUP(A2744,'[1]Global_Spot Prices'!$B:$B,'[1]Global_Spot Prices'!$BS:$BS)</f>
        <v>8.980000000000004</v>
      </c>
      <c r="C2744">
        <f>_xlfn.XLOOKUP(A2744,'[1]Global_Spot Prices'!$B:$B,'[1]Global_Spot Prices'!$E:$E)</f>
        <v>69.44</v>
      </c>
      <c r="D2744">
        <f>_xlfn.XLOOKUP(A2744,'[1]Global_Spot Prices'!$B:$B,'[1]Global_Spot Prices'!$D:$D)</f>
        <v>71.3</v>
      </c>
      <c r="E2744">
        <f>_xlfn.XLOOKUP(A2744,'[1]Global_Spot Prices'!$B:$B,'[1]Global_Spot Prices'!$H:$H)</f>
        <v>62.1</v>
      </c>
      <c r="F2744">
        <f>_xlfn.XLOOKUP(A2744,'[1]Global_Spot Prices'!$B:$B,'[1]Global_Spot Prices'!$I:$I)</f>
        <v>78.42</v>
      </c>
      <c r="G2744" cm="1">
        <f t="array" ref="G2744">_xlfn.XLOOKUP(TEXT(A2744, "mmm-yy"), TEXT([2]RUNS!$B$5:$B$208, "mmm-yy"), [2]RUNS!$D$5:$D$208, "Not Found")</f>
        <v>30749.773032340388</v>
      </c>
      <c r="H2744" cm="1">
        <f t="array" ref="H2744">SUMPRODUCT(
    --(TEXT('[3]Global Weekly Stock (EWSuez'!$B$4:$B$2000,"mmm-yy")=TEXT(A2744,"mmm-yy")),
    '[3]Global Weekly Stock (EWSuez'!$E$4:$E$2000)
/
SUMPRODUCT(
    --(TEXT('[3]Global Weekly Stock (EWSuez'!$B$4:$B$2000,"mmm-yy")=TEXT(A2744,"mmm-yy"))
)</f>
        <v>12004</v>
      </c>
      <c r="I2744">
        <f>_xlfn.XLOOKUP(A2744,[1]ForwardDeriv!$D:$D,[1]ForwardDeriv!$AJ:$AJ)</f>
        <v>1.289999999999992</v>
      </c>
      <c r="J2744" cm="1">
        <f t="array" ref="J2744">_xlfn.XLOOKUP(TEXT(A2744, "mmm-yy"), TEXT([2]GASOLINE!$B$5:$B$208, "mmm-yy"), [2]GASOLINE!$IR$5:$IR$208, "Not Found")</f>
        <v>-458.78012714622929</v>
      </c>
      <c r="K2744" cm="1">
        <f t="array" ref="K2744">_xlfn.XLOOKUP(TEXT(A2744, "mmm-yy"), TEXT([2]GASOLINE!$B$5:$B$208, "mmm-yy"), [2]GASOLINE!$IK$5:$IK$208, "Not Found")</f>
        <v>328.45723596908823</v>
      </c>
      <c r="L2744">
        <f t="shared" si="42"/>
        <v>1</v>
      </c>
      <c r="M2744" cm="1">
        <f t="array" ref="M2744">_xlfn.XLOOKUP(TEXT(A2744, "mmm-yy"), TEXT([2]GASOLINE!$B$5:$B$208, "mmm-yy"), [2]GASOLINE!$C$5:$C$208, "Not Found")</f>
        <v>8022.7668951222167</v>
      </c>
      <c r="N2744" cm="1">
        <f t="array" ref="N2744">_xlfn.XLOOKUP(TEXT(A2744, "mmm-yy"), TEXT([2]RUNS!$B$5:$B$208, "mmm-yy"), [2]RUNS!$BM$5:$BM$208, "Not Found")</f>
        <v>0.83625293458523942</v>
      </c>
    </row>
    <row r="2745" spans="1:14" x14ac:dyDescent="0.25">
      <c r="A2745" s="1">
        <f>'[1]Global_Spot Prices'!$B4054</f>
        <v>45846</v>
      </c>
      <c r="B2745">
        <f>_xlfn.XLOOKUP(A2745,'[1]Global_Spot Prices'!$B:$B,'[1]Global_Spot Prices'!$BS:$BS)</f>
        <v>7.8400000000000034</v>
      </c>
      <c r="C2745">
        <f>_xlfn.XLOOKUP(A2745,'[1]Global_Spot Prices'!$B:$B,'[1]Global_Spot Prices'!$E:$E)</f>
        <v>70.459999999999994</v>
      </c>
      <c r="D2745">
        <f>_xlfn.XLOOKUP(A2745,'[1]Global_Spot Prices'!$B:$B,'[1]Global_Spot Prices'!$D:$D)</f>
        <v>72.045000000000002</v>
      </c>
      <c r="E2745">
        <f>_xlfn.XLOOKUP(A2745,'[1]Global_Spot Prices'!$B:$B,'[1]Global_Spot Prices'!$H:$H)</f>
        <v>63.15</v>
      </c>
      <c r="F2745">
        <f ca="1">_xlfn.XLOOKUP(A2745,'[1]Global_Spot Prices'!$B:$B,'[1]Global_Spot Prices'!$I:$I)</f>
        <v>78.3</v>
      </c>
      <c r="G2745" cm="1">
        <f t="array" ref="G2745">_xlfn.XLOOKUP(TEXT(A2745, "mmm-yy"), TEXT([2]RUNS!$B$5:$B$208, "mmm-yy"), [2]RUNS!$D$5:$D$208, "Not Found")</f>
        <v>30749.773032340388</v>
      </c>
      <c r="H2745" cm="1">
        <f t="array" ref="H2745">SUMPRODUCT(
    --(TEXT('[3]Global Weekly Stock (EWSuez'!$B$4:$B$2000,"mmm-yy")=TEXT(A2745,"mmm-yy")),
    '[3]Global Weekly Stock (EWSuez'!$E$4:$E$2000)
/
SUMPRODUCT(
    --(TEXT('[3]Global Weekly Stock (EWSuez'!$B$4:$B$2000,"mmm-yy")=TEXT(A2745,"mmm-yy"))
)</f>
        <v>12004</v>
      </c>
      <c r="I2745">
        <f>_xlfn.XLOOKUP(A2745,[1]ForwardDeriv!$D:$D,[1]ForwardDeriv!$AJ:$AJ)</f>
        <v>1.1499999999999915</v>
      </c>
      <c r="J2745" cm="1">
        <f t="array" ref="J2745">_xlfn.XLOOKUP(TEXT(A2745, "mmm-yy"), TEXT([2]GASOLINE!$B$5:$B$208, "mmm-yy"), [2]GASOLINE!$IR$5:$IR$208, "Not Found")</f>
        <v>-458.78012714622929</v>
      </c>
      <c r="K2745" cm="1">
        <f t="array" ref="K2745">_xlfn.XLOOKUP(TEXT(A2745, "mmm-yy"), TEXT([2]GASOLINE!$B$5:$B$208, "mmm-yy"), [2]GASOLINE!$IK$5:$IK$208, "Not Found")</f>
        <v>328.45723596908823</v>
      </c>
      <c r="L2745">
        <f t="shared" si="42"/>
        <v>1</v>
      </c>
      <c r="M2745" cm="1">
        <f t="array" ref="M2745">_xlfn.XLOOKUP(TEXT(A2745, "mmm-yy"), TEXT([2]GASOLINE!$B$5:$B$208, "mmm-yy"), [2]GASOLINE!$C$5:$C$208, "Not Found")</f>
        <v>8022.7668951222167</v>
      </c>
      <c r="N2745" cm="1">
        <f t="array" ref="N2745">_xlfn.XLOOKUP(TEXT(A2745, "mmm-yy"), TEXT([2]RUNS!$B$5:$B$208, "mmm-yy"), [2]RUNS!$BM$5:$BM$208, "Not Found")</f>
        <v>0.83625293458523942</v>
      </c>
    </row>
    <row r="2746" spans="1:14" x14ac:dyDescent="0.25">
      <c r="A2746" s="1">
        <f>'[1]Global_Spot Prices'!$B4055</f>
        <v>45847</v>
      </c>
      <c r="B2746">
        <f>_xlfn.XLOOKUP(A2746,'[1]Global_Spot Prices'!$B:$B,'[1]Global_Spot Prices'!$BS:$BS)</f>
        <v>7.9000000000000057</v>
      </c>
      <c r="C2746">
        <f ca="1">_xlfn.XLOOKUP(A2746,'[1]Global_Spot Prices'!$B:$B,'[1]Global_Spot Prices'!$E:$E)</f>
        <v>71.8</v>
      </c>
      <c r="D2746">
        <f ca="1">_xlfn.XLOOKUP(A2746,'[1]Global_Spot Prices'!$B:$B,'[1]Global_Spot Prices'!$D:$D)</f>
        <v>72.540000000000006</v>
      </c>
      <c r="E2746">
        <f>_xlfn.XLOOKUP(A2746,'[1]Global_Spot Prices'!$B:$B,'[1]Global_Spot Prices'!$H:$H)</f>
        <v>64.5</v>
      </c>
      <c r="F2746">
        <f>_xlfn.XLOOKUP(A2746,'[1]Global_Spot Prices'!$B:$B,'[1]Global_Spot Prices'!$I:$I)</f>
        <v>79.7</v>
      </c>
      <c r="G2746" cm="1">
        <f t="array" ref="G2746">_xlfn.XLOOKUP(TEXT(A2746, "mmm-yy"), TEXT([2]RUNS!$B$5:$B$208, "mmm-yy"), [2]RUNS!$D$5:$D$208, "Not Found")</f>
        <v>30749.773032340388</v>
      </c>
      <c r="H2746" cm="1">
        <f t="array" ref="H2746">SUMPRODUCT(
    --(TEXT('[3]Global Weekly Stock (EWSuez'!$B$4:$B$2000,"mmm-yy")=TEXT(A2746,"mmm-yy")),
    '[3]Global Weekly Stock (EWSuez'!$E$4:$E$2000)
/
SUMPRODUCT(
    --(TEXT('[3]Global Weekly Stock (EWSuez'!$B$4:$B$2000,"mmm-yy")=TEXT(A2746,"mmm-yy"))
)</f>
        <v>12004</v>
      </c>
      <c r="I2746">
        <f>_xlfn.XLOOKUP(A2746,[1]ForwardDeriv!$D:$D,[1]ForwardDeriv!$AJ:$AJ)</f>
        <v>1.1799999999999926</v>
      </c>
      <c r="J2746" cm="1">
        <f t="array" ref="J2746">_xlfn.XLOOKUP(TEXT(A2746, "mmm-yy"), TEXT([2]GASOLINE!$B$5:$B$208, "mmm-yy"), [2]GASOLINE!$IR$5:$IR$208, "Not Found")</f>
        <v>-458.78012714622929</v>
      </c>
      <c r="K2746" cm="1">
        <f t="array" ref="K2746">_xlfn.XLOOKUP(TEXT(A2746, "mmm-yy"), TEXT([2]GASOLINE!$B$5:$B$208, "mmm-yy"), [2]GASOLINE!$IK$5:$IK$208, "Not Found")</f>
        <v>328.45723596908823</v>
      </c>
      <c r="L2746">
        <f t="shared" ref="L2746:L2747" si="43">IF(OR(MONTH(A2746)=6, MONTH(A2746)=7, MONTH(A2746)=8, MONTH(A2746)=9), 1, 0)</f>
        <v>1</v>
      </c>
      <c r="M2746" cm="1">
        <f t="array" ref="M2746">_xlfn.XLOOKUP(TEXT(A2746, "mmm-yy"), TEXT([2]GASOLINE!$B$5:$B$208, "mmm-yy"), [2]GASOLINE!$C$5:$C$208, "Not Found")</f>
        <v>8022.7668951222167</v>
      </c>
      <c r="N2746" cm="1">
        <f t="array" ref="N2746">_xlfn.XLOOKUP(TEXT(A2746, "mmm-yy"), TEXT([2]RUNS!$B$5:$B$208, "mmm-yy"), [2]RUNS!$BM$5:$BM$208, "Not Found")</f>
        <v>0.83625293458523942</v>
      </c>
    </row>
    <row r="2747" spans="1:14" x14ac:dyDescent="0.25">
      <c r="A2747" s="1">
        <f>'[1]Global_Spot Prices'!$B4056</f>
        <v>45848</v>
      </c>
      <c r="B2747">
        <f ca="1">_xlfn.XLOOKUP(A2747,'[1]Global_Spot Prices'!$B:$B,'[1]Global_Spot Prices'!$BS:$BS)</f>
        <v>7.3599999999999994</v>
      </c>
      <c r="C2747">
        <f ca="1">_xlfn.XLOOKUP(A2747,'[1]Global_Spot Prices'!$B:$B,'[1]Global_Spot Prices'!$E:$E)</f>
        <v>71.25</v>
      </c>
      <c r="D2747">
        <f ca="1">_xlfn.XLOOKUP(A2747,'[1]Global_Spot Prices'!$B:$B,'[1]Global_Spot Prices'!$D:$D)</f>
        <v>70.585000000000008</v>
      </c>
      <c r="E2747">
        <f ca="1">_xlfn.XLOOKUP(A2747,'[1]Global_Spot Prices'!$B:$B,'[1]Global_Spot Prices'!$H:$H)</f>
        <v>63.67</v>
      </c>
      <c r="F2747">
        <f ca="1">_xlfn.XLOOKUP(A2747,'[1]Global_Spot Prices'!$B:$B,'[1]Global_Spot Prices'!$I:$I)</f>
        <v>78.61</v>
      </c>
      <c r="G2747" cm="1">
        <f t="array" ref="G2747">_xlfn.XLOOKUP(TEXT(A2747, "mmm-yy"), TEXT([2]RUNS!$B$5:$B$208, "mmm-yy"), [2]RUNS!$D$5:$D$208, "Not Found")</f>
        <v>30749.773032340388</v>
      </c>
      <c r="H2747" cm="1">
        <f t="array" ref="H2747">SUMPRODUCT(
    --(TEXT('[3]Global Weekly Stock (EWSuez'!$B$4:$B$2000,"mmm-yy")=TEXT(A2747,"mmm-yy")),
    '[3]Global Weekly Stock (EWSuez'!$E$4:$E$2000)
/
SUMPRODUCT(
    --(TEXT('[3]Global Weekly Stock (EWSuez'!$B$4:$B$2000,"mmm-yy")=TEXT(A2747,"mmm-yy"))
)</f>
        <v>12004</v>
      </c>
      <c r="I2747">
        <f>_xlfn.XLOOKUP(A2747,[1]ForwardDeriv!$D:$D,[1]ForwardDeriv!$AJ:$AJ)</f>
        <v>1.0499999999999972</v>
      </c>
      <c r="J2747" cm="1">
        <f t="array" ref="J2747">_xlfn.XLOOKUP(TEXT(A2747, "mmm-yy"), TEXT([2]GASOLINE!$B$5:$B$208, "mmm-yy"), [2]GASOLINE!$IR$5:$IR$208, "Not Found")</f>
        <v>-458.78012714622929</v>
      </c>
      <c r="K2747" cm="1">
        <f t="array" ref="K2747">_xlfn.XLOOKUP(TEXT(A2747, "mmm-yy"), TEXT([2]GASOLINE!$B$5:$B$208, "mmm-yy"), [2]GASOLINE!$IK$5:$IK$208, "Not Found")</f>
        <v>328.45723596908823</v>
      </c>
      <c r="L2747">
        <f t="shared" si="43"/>
        <v>1</v>
      </c>
      <c r="M2747" cm="1">
        <f t="array" ref="M2747">_xlfn.XLOOKUP(TEXT(A2747, "mmm-yy"), TEXT([2]GASOLINE!$B$5:$B$208, "mmm-yy"), [2]GASOLINE!$C$5:$C$208, "Not Found")</f>
        <v>8022.7668951222167</v>
      </c>
      <c r="N2747" cm="1">
        <f t="array" ref="N2747">_xlfn.XLOOKUP(TEXT(A2747, "mmm-yy"), TEXT([2]RUNS!$B$5:$B$208, "mmm-yy"), [2]RUNS!$BM$5:$BM$208, "Not Found")</f>
        <v>0.83625293458523942</v>
      </c>
    </row>
    <row r="2748" spans="1:14" x14ac:dyDescent="0.25">
      <c r="A2748" s="1"/>
    </row>
    <row r="2749" spans="1:14" x14ac:dyDescent="0.25">
      <c r="A2749" s="1"/>
    </row>
    <row r="2750" spans="1:14" x14ac:dyDescent="0.25">
      <c r="A2750" s="1"/>
    </row>
    <row r="2751" spans="1:14" x14ac:dyDescent="0.25">
      <c r="A2751" s="1"/>
    </row>
    <row r="2752" spans="1:14" x14ac:dyDescent="0.25">
      <c r="A2752" s="1"/>
    </row>
    <row r="2753" spans="1:1" x14ac:dyDescent="0.25">
      <c r="A2753" s="1"/>
    </row>
    <row r="2754" spans="1:1" x14ac:dyDescent="0.25">
      <c r="A2754" s="1"/>
    </row>
    <row r="2755" spans="1:1" x14ac:dyDescent="0.25">
      <c r="A2755" s="1"/>
    </row>
    <row r="2756" spans="1:1" x14ac:dyDescent="0.25">
      <c r="A2756" s="1"/>
    </row>
    <row r="2757" spans="1:1" x14ac:dyDescent="0.25">
      <c r="A2757" s="1"/>
    </row>
    <row r="2758" spans="1:1" x14ac:dyDescent="0.25">
      <c r="A2758" s="1"/>
    </row>
    <row r="2759" spans="1:1" x14ac:dyDescent="0.25">
      <c r="A2759" s="1"/>
    </row>
    <row r="2760" spans="1:1" x14ac:dyDescent="0.25">
      <c r="A2760" s="1"/>
    </row>
    <row r="2761" spans="1:1" x14ac:dyDescent="0.25">
      <c r="A2761" s="1"/>
    </row>
    <row r="2762" spans="1:1" x14ac:dyDescent="0.25">
      <c r="A2762" s="1"/>
    </row>
    <row r="2763" spans="1:1" x14ac:dyDescent="0.25">
      <c r="A2763" s="1"/>
    </row>
    <row r="2764" spans="1:1" x14ac:dyDescent="0.25">
      <c r="A2764" s="1"/>
    </row>
    <row r="2765" spans="1:1" x14ac:dyDescent="0.25">
      <c r="A2765" s="1"/>
    </row>
    <row r="2766" spans="1:1" x14ac:dyDescent="0.25">
      <c r="A2766" s="1"/>
    </row>
    <row r="2767" spans="1:1" x14ac:dyDescent="0.25">
      <c r="A2767" s="1"/>
    </row>
    <row r="2768" spans="1:1" x14ac:dyDescent="0.25">
      <c r="A2768" s="1"/>
    </row>
    <row r="2769" spans="1:1" x14ac:dyDescent="0.25">
      <c r="A2769" s="1"/>
    </row>
    <row r="2770" spans="1:1" x14ac:dyDescent="0.25">
      <c r="A2770" s="1"/>
    </row>
    <row r="2771" spans="1:1" x14ac:dyDescent="0.25">
      <c r="A2771" s="1"/>
    </row>
    <row r="2772" spans="1:1" x14ac:dyDescent="0.25">
      <c r="A2772" s="1"/>
    </row>
    <row r="2773" spans="1:1" x14ac:dyDescent="0.25">
      <c r="A2773" s="1"/>
    </row>
    <row r="2774" spans="1:1" x14ac:dyDescent="0.25">
      <c r="A2774" s="1"/>
    </row>
    <row r="2775" spans="1:1" x14ac:dyDescent="0.25">
      <c r="A2775" s="1"/>
    </row>
    <row r="2776" spans="1:1" x14ac:dyDescent="0.25">
      <c r="A2776" s="1"/>
    </row>
    <row r="2777" spans="1:1" x14ac:dyDescent="0.25">
      <c r="A2777" s="1"/>
    </row>
    <row r="2778" spans="1:1" x14ac:dyDescent="0.25">
      <c r="A2778" s="1"/>
    </row>
    <row r="2779" spans="1:1" x14ac:dyDescent="0.25">
      <c r="A2779" s="1"/>
    </row>
    <row r="2780" spans="1:1" x14ac:dyDescent="0.25">
      <c r="A2780" s="1"/>
    </row>
    <row r="2781" spans="1:1" x14ac:dyDescent="0.25">
      <c r="A2781" s="1"/>
    </row>
    <row r="2782" spans="1:1" x14ac:dyDescent="0.25">
      <c r="A2782" s="1"/>
    </row>
    <row r="2783" spans="1:1" x14ac:dyDescent="0.25">
      <c r="A2783" s="1"/>
    </row>
    <row r="2784" spans="1:1" x14ac:dyDescent="0.25">
      <c r="A2784" s="1"/>
    </row>
    <row r="2785" spans="1:1" x14ac:dyDescent="0.25">
      <c r="A2785" s="1"/>
    </row>
    <row r="2786" spans="1:1" x14ac:dyDescent="0.25">
      <c r="A2786" s="1"/>
    </row>
    <row r="2787" spans="1:1" x14ac:dyDescent="0.25">
      <c r="A2787" s="1"/>
    </row>
    <row r="2788" spans="1:1" x14ac:dyDescent="0.25">
      <c r="A2788" s="1"/>
    </row>
    <row r="2789" spans="1:1" x14ac:dyDescent="0.25">
      <c r="A2789" s="1"/>
    </row>
    <row r="2790" spans="1:1" x14ac:dyDescent="0.25">
      <c r="A2790" s="1"/>
    </row>
    <row r="2791" spans="1:1" x14ac:dyDescent="0.25">
      <c r="A2791" s="1"/>
    </row>
    <row r="2792" spans="1:1" x14ac:dyDescent="0.25">
      <c r="A2792" s="1"/>
    </row>
    <row r="2793" spans="1:1" x14ac:dyDescent="0.25">
      <c r="A2793" s="1"/>
    </row>
    <row r="2794" spans="1:1" x14ac:dyDescent="0.25">
      <c r="A2794" s="1"/>
    </row>
    <row r="2795" spans="1:1" x14ac:dyDescent="0.25">
      <c r="A2795" s="1"/>
    </row>
    <row r="2796" spans="1:1" x14ac:dyDescent="0.25">
      <c r="A2796" s="1"/>
    </row>
    <row r="2797" spans="1:1" x14ac:dyDescent="0.25">
      <c r="A2797" s="1"/>
    </row>
    <row r="2798" spans="1:1" x14ac:dyDescent="0.25">
      <c r="A2798" s="1"/>
    </row>
    <row r="2799" spans="1:1" x14ac:dyDescent="0.25">
      <c r="A2799" s="1"/>
    </row>
    <row r="2800" spans="1:1" x14ac:dyDescent="0.25">
      <c r="A2800" s="1"/>
    </row>
    <row r="2801" spans="1:1" x14ac:dyDescent="0.25">
      <c r="A2801" s="1"/>
    </row>
    <row r="2802" spans="1:1" x14ac:dyDescent="0.25">
      <c r="A2802" s="1"/>
    </row>
    <row r="2803" spans="1:1" x14ac:dyDescent="0.25">
      <c r="A2803" s="1"/>
    </row>
    <row r="2804" spans="1:1" x14ac:dyDescent="0.25">
      <c r="A2804" s="1"/>
    </row>
    <row r="2805" spans="1:1" x14ac:dyDescent="0.25">
      <c r="A2805" s="1"/>
    </row>
    <row r="2806" spans="1:1" x14ac:dyDescent="0.25">
      <c r="A2806" s="1"/>
    </row>
    <row r="2807" spans="1:1" x14ac:dyDescent="0.25">
      <c r="A2807" s="1"/>
    </row>
    <row r="2808" spans="1:1" x14ac:dyDescent="0.25">
      <c r="A2808" s="1"/>
    </row>
    <row r="2809" spans="1:1" x14ac:dyDescent="0.25">
      <c r="A2809" s="1"/>
    </row>
    <row r="2810" spans="1:1" x14ac:dyDescent="0.25">
      <c r="A2810" s="1"/>
    </row>
    <row r="2811" spans="1:1" x14ac:dyDescent="0.25">
      <c r="A2811" s="1"/>
    </row>
    <row r="2812" spans="1:1" x14ac:dyDescent="0.25">
      <c r="A2812" s="1"/>
    </row>
    <row r="2813" spans="1:1" x14ac:dyDescent="0.25">
      <c r="A2813" s="1"/>
    </row>
    <row r="2814" spans="1:1" x14ac:dyDescent="0.25">
      <c r="A2814" s="1"/>
    </row>
    <row r="2815" spans="1:1" x14ac:dyDescent="0.25">
      <c r="A2815" s="1"/>
    </row>
    <row r="2816" spans="1:1" x14ac:dyDescent="0.25">
      <c r="A2816" s="1"/>
    </row>
    <row r="2817" spans="1:1" x14ac:dyDescent="0.25">
      <c r="A2817" s="1"/>
    </row>
    <row r="2818" spans="1:1" x14ac:dyDescent="0.25">
      <c r="A2818" s="1"/>
    </row>
    <row r="2819" spans="1:1" x14ac:dyDescent="0.25">
      <c r="A2819" s="1"/>
    </row>
    <row r="2820" spans="1:1" x14ac:dyDescent="0.25">
      <c r="A2820" s="1"/>
    </row>
    <row r="2821" spans="1:1" x14ac:dyDescent="0.25">
      <c r="A2821" s="1"/>
    </row>
    <row r="2822" spans="1:1" x14ac:dyDescent="0.25">
      <c r="A2822" s="1"/>
    </row>
    <row r="2823" spans="1:1" x14ac:dyDescent="0.25">
      <c r="A2823" s="1"/>
    </row>
    <row r="2824" spans="1:1" x14ac:dyDescent="0.25">
      <c r="A2824" s="1"/>
    </row>
    <row r="2825" spans="1:1" x14ac:dyDescent="0.25">
      <c r="A2825" s="1"/>
    </row>
    <row r="2826" spans="1:1" x14ac:dyDescent="0.25">
      <c r="A2826" s="1"/>
    </row>
    <row r="2827" spans="1:1" x14ac:dyDescent="0.25">
      <c r="A2827" s="1"/>
    </row>
    <row r="2828" spans="1:1" x14ac:dyDescent="0.25">
      <c r="A2828" s="1"/>
    </row>
    <row r="2829" spans="1:1" x14ac:dyDescent="0.25">
      <c r="A2829" s="1"/>
    </row>
    <row r="2830" spans="1:1" x14ac:dyDescent="0.25">
      <c r="A2830" s="1"/>
    </row>
    <row r="2831" spans="1:1" x14ac:dyDescent="0.25">
      <c r="A2831" s="1"/>
    </row>
    <row r="2832" spans="1:1" x14ac:dyDescent="0.25">
      <c r="A2832" s="1"/>
    </row>
    <row r="2833" spans="1:1" x14ac:dyDescent="0.25">
      <c r="A2833" s="1"/>
    </row>
    <row r="2834" spans="1:1" x14ac:dyDescent="0.25">
      <c r="A2834" s="1"/>
    </row>
    <row r="2835" spans="1:1" x14ac:dyDescent="0.25">
      <c r="A2835" s="1"/>
    </row>
    <row r="2836" spans="1:1" x14ac:dyDescent="0.25">
      <c r="A2836" s="1"/>
    </row>
    <row r="2837" spans="1:1" x14ac:dyDescent="0.25">
      <c r="A2837" s="1"/>
    </row>
    <row r="2838" spans="1:1" x14ac:dyDescent="0.25">
      <c r="A2838" s="1"/>
    </row>
    <row r="2839" spans="1:1" x14ac:dyDescent="0.25">
      <c r="A2839" s="1"/>
    </row>
    <row r="2840" spans="1:1" x14ac:dyDescent="0.25">
      <c r="A2840" s="1"/>
    </row>
    <row r="2841" spans="1:1" x14ac:dyDescent="0.25">
      <c r="A2841" s="1"/>
    </row>
    <row r="2842" spans="1:1" x14ac:dyDescent="0.25">
      <c r="A2842" s="1"/>
    </row>
    <row r="2843" spans="1:1" x14ac:dyDescent="0.25">
      <c r="A2843" s="1"/>
    </row>
    <row r="2844" spans="1:1" x14ac:dyDescent="0.25">
      <c r="A2844" s="1"/>
    </row>
    <row r="2845" spans="1:1" x14ac:dyDescent="0.25">
      <c r="A2845" s="1"/>
    </row>
    <row r="2846" spans="1:1" x14ac:dyDescent="0.25">
      <c r="A2846" s="1"/>
    </row>
    <row r="2847" spans="1:1" x14ac:dyDescent="0.25">
      <c r="A2847" s="1"/>
    </row>
    <row r="2848" spans="1:1" x14ac:dyDescent="0.25">
      <c r="A2848" s="1"/>
    </row>
    <row r="2849" spans="1:1" x14ac:dyDescent="0.25">
      <c r="A2849" s="1"/>
    </row>
    <row r="2850" spans="1:1" x14ac:dyDescent="0.25">
      <c r="A2850" s="1"/>
    </row>
    <row r="2851" spans="1:1" x14ac:dyDescent="0.25">
      <c r="A2851" s="1"/>
    </row>
    <row r="2852" spans="1:1" x14ac:dyDescent="0.25">
      <c r="A2852" s="1"/>
    </row>
    <row r="2853" spans="1:1" x14ac:dyDescent="0.25">
      <c r="A2853" s="1"/>
    </row>
    <row r="2854" spans="1:1" x14ac:dyDescent="0.25">
      <c r="A2854" s="1"/>
    </row>
    <row r="2855" spans="1:1" x14ac:dyDescent="0.25">
      <c r="A2855" s="1"/>
    </row>
    <row r="2856" spans="1:1" x14ac:dyDescent="0.25">
      <c r="A2856" s="1"/>
    </row>
    <row r="2857" spans="1:1" x14ac:dyDescent="0.25">
      <c r="A2857" s="1"/>
    </row>
    <row r="2858" spans="1:1" x14ac:dyDescent="0.25">
      <c r="A2858" s="1"/>
    </row>
    <row r="2859" spans="1:1" x14ac:dyDescent="0.25">
      <c r="A2859" s="1"/>
    </row>
    <row r="2860" spans="1:1" x14ac:dyDescent="0.25">
      <c r="A2860" s="1"/>
    </row>
    <row r="2861" spans="1:1" x14ac:dyDescent="0.25">
      <c r="A2861" s="1"/>
    </row>
    <row r="2862" spans="1:1" x14ac:dyDescent="0.25">
      <c r="A2862" s="1"/>
    </row>
    <row r="2863" spans="1:1" x14ac:dyDescent="0.25">
      <c r="A2863" s="1"/>
    </row>
    <row r="2864" spans="1:1" x14ac:dyDescent="0.25">
      <c r="A2864" s="1"/>
    </row>
    <row r="2865" spans="1:1" x14ac:dyDescent="0.25">
      <c r="A2865" s="1"/>
    </row>
    <row r="2866" spans="1:1" x14ac:dyDescent="0.25">
      <c r="A2866" s="1"/>
    </row>
    <row r="2867" spans="1:1" x14ac:dyDescent="0.25">
      <c r="A2867" s="1"/>
    </row>
    <row r="2868" spans="1:1" x14ac:dyDescent="0.25">
      <c r="A2868" s="1"/>
    </row>
    <row r="2869" spans="1:1" x14ac:dyDescent="0.25">
      <c r="A2869" s="1"/>
    </row>
    <row r="2870" spans="1:1" x14ac:dyDescent="0.25">
      <c r="A2870" s="1"/>
    </row>
    <row r="2871" spans="1:1" x14ac:dyDescent="0.25">
      <c r="A2871" s="1"/>
    </row>
    <row r="2872" spans="1:1" x14ac:dyDescent="0.25">
      <c r="A2872" s="1"/>
    </row>
    <row r="2873" spans="1:1" x14ac:dyDescent="0.25">
      <c r="A2873" s="1"/>
    </row>
    <row r="2874" spans="1:1" x14ac:dyDescent="0.25">
      <c r="A2874" s="1"/>
    </row>
    <row r="2875" spans="1:1" x14ac:dyDescent="0.25">
      <c r="A2875" s="1"/>
    </row>
    <row r="2876" spans="1:1" x14ac:dyDescent="0.25">
      <c r="A2876" s="1"/>
    </row>
    <row r="2877" spans="1:1" x14ac:dyDescent="0.25">
      <c r="A2877" s="1"/>
    </row>
    <row r="2878" spans="1:1" x14ac:dyDescent="0.25">
      <c r="A2878" s="1"/>
    </row>
    <row r="2879" spans="1:1" x14ac:dyDescent="0.25">
      <c r="A2879" s="1"/>
    </row>
    <row r="2880" spans="1:1" x14ac:dyDescent="0.25">
      <c r="A2880" s="1"/>
    </row>
    <row r="2881" spans="1:1" x14ac:dyDescent="0.25">
      <c r="A2881" s="1"/>
    </row>
    <row r="2882" spans="1:1" x14ac:dyDescent="0.25">
      <c r="A2882" s="1"/>
    </row>
    <row r="2883" spans="1:1" x14ac:dyDescent="0.25">
      <c r="A2883" s="1"/>
    </row>
    <row r="2884" spans="1:1" x14ac:dyDescent="0.25">
      <c r="A2884" s="1"/>
    </row>
    <row r="2885" spans="1:1" x14ac:dyDescent="0.25">
      <c r="A2885" s="1"/>
    </row>
    <row r="2886" spans="1:1" x14ac:dyDescent="0.25">
      <c r="A2886" s="1"/>
    </row>
    <row r="2887" spans="1:1" x14ac:dyDescent="0.25">
      <c r="A2887" s="1"/>
    </row>
    <row r="2888" spans="1:1" x14ac:dyDescent="0.25">
      <c r="A2888" s="1"/>
    </row>
    <row r="2889" spans="1:1" x14ac:dyDescent="0.25">
      <c r="A2889" s="1"/>
    </row>
    <row r="2890" spans="1:1" x14ac:dyDescent="0.25">
      <c r="A2890" s="1"/>
    </row>
    <row r="2891" spans="1:1" x14ac:dyDescent="0.25">
      <c r="A2891" s="1"/>
    </row>
    <row r="2892" spans="1:1" x14ac:dyDescent="0.25">
      <c r="A2892" s="1"/>
    </row>
    <row r="2893" spans="1:1" x14ac:dyDescent="0.25">
      <c r="A2893" s="1"/>
    </row>
    <row r="2894" spans="1:1" x14ac:dyDescent="0.25">
      <c r="A2894" s="1"/>
    </row>
    <row r="2895" spans="1:1" x14ac:dyDescent="0.25">
      <c r="A2895" s="1"/>
    </row>
    <row r="2896" spans="1:1" x14ac:dyDescent="0.25">
      <c r="A2896" s="1"/>
    </row>
    <row r="2897" spans="1:1" x14ac:dyDescent="0.25">
      <c r="A2897" s="1"/>
    </row>
    <row r="2898" spans="1:1" x14ac:dyDescent="0.25">
      <c r="A2898" s="1"/>
    </row>
    <row r="2899" spans="1:1" x14ac:dyDescent="0.25">
      <c r="A2899" s="1"/>
    </row>
    <row r="2900" spans="1:1" x14ac:dyDescent="0.25">
      <c r="A2900" s="1"/>
    </row>
    <row r="2901" spans="1:1" x14ac:dyDescent="0.25">
      <c r="A2901" s="1"/>
    </row>
    <row r="2902" spans="1:1" x14ac:dyDescent="0.25">
      <c r="A2902" s="1"/>
    </row>
    <row r="2903" spans="1:1" x14ac:dyDescent="0.25">
      <c r="A2903" s="1"/>
    </row>
    <row r="2904" spans="1:1" x14ac:dyDescent="0.25">
      <c r="A2904" s="1"/>
    </row>
    <row r="2905" spans="1:1" x14ac:dyDescent="0.25">
      <c r="A2905" s="1"/>
    </row>
    <row r="2906" spans="1:1" x14ac:dyDescent="0.25">
      <c r="A2906" s="1"/>
    </row>
    <row r="2907" spans="1:1" x14ac:dyDescent="0.25">
      <c r="A2907" s="1"/>
    </row>
    <row r="2908" spans="1:1" x14ac:dyDescent="0.25">
      <c r="A2908" s="1"/>
    </row>
    <row r="2909" spans="1:1" x14ac:dyDescent="0.25">
      <c r="A2909" s="1"/>
    </row>
    <row r="2910" spans="1:1" x14ac:dyDescent="0.25">
      <c r="A2910" s="1"/>
    </row>
    <row r="2911" spans="1:1" x14ac:dyDescent="0.25">
      <c r="A2911" s="1"/>
    </row>
    <row r="2912" spans="1:1" x14ac:dyDescent="0.25">
      <c r="A2912" s="1"/>
    </row>
    <row r="2913" spans="1:1" x14ac:dyDescent="0.25">
      <c r="A2913" s="1"/>
    </row>
    <row r="2914" spans="1:1" x14ac:dyDescent="0.25">
      <c r="A2914" s="1"/>
    </row>
    <row r="2915" spans="1:1" x14ac:dyDescent="0.25">
      <c r="A2915" s="1"/>
    </row>
    <row r="2916" spans="1:1" x14ac:dyDescent="0.25">
      <c r="A2916" s="1"/>
    </row>
    <row r="2917" spans="1:1" x14ac:dyDescent="0.25">
      <c r="A2917" s="1"/>
    </row>
    <row r="2918" spans="1:1" x14ac:dyDescent="0.25">
      <c r="A2918" s="1"/>
    </row>
    <row r="2919" spans="1:1" x14ac:dyDescent="0.25">
      <c r="A2919" s="1"/>
    </row>
    <row r="2920" spans="1:1" x14ac:dyDescent="0.25">
      <c r="A2920" s="1"/>
    </row>
    <row r="2921" spans="1:1" x14ac:dyDescent="0.25">
      <c r="A2921" s="1"/>
    </row>
    <row r="2922" spans="1:1" x14ac:dyDescent="0.25">
      <c r="A2922" s="1"/>
    </row>
    <row r="2923" spans="1:1" x14ac:dyDescent="0.25">
      <c r="A2923" s="1"/>
    </row>
    <row r="2924" spans="1:1" x14ac:dyDescent="0.25">
      <c r="A2924" s="1"/>
    </row>
    <row r="2925" spans="1:1" x14ac:dyDescent="0.25">
      <c r="A2925" s="1"/>
    </row>
    <row r="2926" spans="1:1" x14ac:dyDescent="0.25">
      <c r="A2926" s="1"/>
    </row>
    <row r="2927" spans="1:1" x14ac:dyDescent="0.25">
      <c r="A2927" s="1"/>
    </row>
    <row r="2928" spans="1:1" x14ac:dyDescent="0.25">
      <c r="A2928" s="1"/>
    </row>
    <row r="2929" spans="1:1" x14ac:dyDescent="0.25">
      <c r="A2929" s="1"/>
    </row>
    <row r="2930" spans="1:1" x14ac:dyDescent="0.25">
      <c r="A2930" s="1"/>
    </row>
    <row r="2931" spans="1:1" x14ac:dyDescent="0.25">
      <c r="A2931" s="1"/>
    </row>
    <row r="2932" spans="1:1" x14ac:dyDescent="0.25">
      <c r="A2932" s="1"/>
    </row>
    <row r="2933" spans="1:1" x14ac:dyDescent="0.25">
      <c r="A2933" s="1"/>
    </row>
    <row r="2934" spans="1:1" x14ac:dyDescent="0.25">
      <c r="A2934" s="1"/>
    </row>
    <row r="2935" spans="1:1" x14ac:dyDescent="0.25">
      <c r="A2935" s="1"/>
    </row>
    <row r="2936" spans="1:1" x14ac:dyDescent="0.25">
      <c r="A2936" s="1"/>
    </row>
    <row r="2937" spans="1:1" x14ac:dyDescent="0.25">
      <c r="A2937" s="1"/>
    </row>
    <row r="2938" spans="1:1" x14ac:dyDescent="0.25">
      <c r="A2938" s="1"/>
    </row>
    <row r="2939" spans="1:1" x14ac:dyDescent="0.25">
      <c r="A2939" s="1"/>
    </row>
    <row r="2940" spans="1:1" x14ac:dyDescent="0.25">
      <c r="A2940" s="1"/>
    </row>
    <row r="2941" spans="1:1" x14ac:dyDescent="0.25">
      <c r="A2941" s="1"/>
    </row>
    <row r="2942" spans="1:1" x14ac:dyDescent="0.25">
      <c r="A2942" s="1"/>
    </row>
    <row r="2943" spans="1:1" x14ac:dyDescent="0.25">
      <c r="A2943" s="1"/>
    </row>
    <row r="2944" spans="1:1" x14ac:dyDescent="0.25">
      <c r="A2944" s="1"/>
    </row>
    <row r="2945" spans="1:1" x14ac:dyDescent="0.25">
      <c r="A2945" s="1"/>
    </row>
    <row r="2946" spans="1:1" x14ac:dyDescent="0.25">
      <c r="A2946" s="1"/>
    </row>
    <row r="2947" spans="1:1" x14ac:dyDescent="0.25">
      <c r="A2947" s="1"/>
    </row>
    <row r="2948" spans="1:1" x14ac:dyDescent="0.25">
      <c r="A2948" s="1"/>
    </row>
    <row r="2949" spans="1:1" x14ac:dyDescent="0.25">
      <c r="A2949" s="1"/>
    </row>
    <row r="2950" spans="1:1" x14ac:dyDescent="0.25">
      <c r="A2950" s="1"/>
    </row>
    <row r="2951" spans="1:1" x14ac:dyDescent="0.25">
      <c r="A2951" s="1"/>
    </row>
    <row r="2952" spans="1:1" x14ac:dyDescent="0.25">
      <c r="A2952" s="1"/>
    </row>
    <row r="2953" spans="1:1" x14ac:dyDescent="0.25">
      <c r="A2953" s="1"/>
    </row>
    <row r="2954" spans="1:1" x14ac:dyDescent="0.25">
      <c r="A2954" s="1"/>
    </row>
    <row r="2955" spans="1:1" x14ac:dyDescent="0.25">
      <c r="A2955" s="1"/>
    </row>
    <row r="2956" spans="1:1" x14ac:dyDescent="0.25">
      <c r="A2956" s="1"/>
    </row>
    <row r="2957" spans="1:1" x14ac:dyDescent="0.25">
      <c r="A2957" s="1"/>
    </row>
    <row r="2958" spans="1:1" x14ac:dyDescent="0.25">
      <c r="A2958" s="1"/>
    </row>
    <row r="2959" spans="1:1" x14ac:dyDescent="0.25">
      <c r="A2959" s="1"/>
    </row>
    <row r="2960" spans="1:1" x14ac:dyDescent="0.25">
      <c r="A2960" s="1"/>
    </row>
    <row r="2961" spans="1:1" x14ac:dyDescent="0.25">
      <c r="A2961" s="1"/>
    </row>
    <row r="2962" spans="1:1" x14ac:dyDescent="0.25">
      <c r="A2962" s="1"/>
    </row>
    <row r="2963" spans="1:1" x14ac:dyDescent="0.25">
      <c r="A2963" s="1"/>
    </row>
    <row r="2964" spans="1:1" x14ac:dyDescent="0.25">
      <c r="A2964" s="1"/>
    </row>
    <row r="2965" spans="1:1" x14ac:dyDescent="0.25">
      <c r="A2965" s="1"/>
    </row>
    <row r="2966" spans="1:1" x14ac:dyDescent="0.25">
      <c r="A2966" s="1"/>
    </row>
    <row r="2967" spans="1:1" x14ac:dyDescent="0.25">
      <c r="A2967" s="1"/>
    </row>
    <row r="2968" spans="1:1" x14ac:dyDescent="0.25">
      <c r="A2968" s="1"/>
    </row>
    <row r="2969" spans="1:1" x14ac:dyDescent="0.25">
      <c r="A2969" s="1"/>
    </row>
    <row r="2970" spans="1:1" x14ac:dyDescent="0.25">
      <c r="A2970" s="1"/>
    </row>
    <row r="2971" spans="1:1" x14ac:dyDescent="0.25">
      <c r="A2971" s="1"/>
    </row>
    <row r="2972" spans="1:1" x14ac:dyDescent="0.25">
      <c r="A2972" s="1"/>
    </row>
    <row r="2973" spans="1:1" x14ac:dyDescent="0.25">
      <c r="A2973" s="1"/>
    </row>
    <row r="2974" spans="1:1" x14ac:dyDescent="0.25">
      <c r="A2974" s="1"/>
    </row>
    <row r="2975" spans="1:1" x14ac:dyDescent="0.25">
      <c r="A2975" s="1"/>
    </row>
    <row r="2976" spans="1:1" x14ac:dyDescent="0.25">
      <c r="A2976" s="1"/>
    </row>
    <row r="2977" spans="1:1" x14ac:dyDescent="0.25">
      <c r="A2977" s="1"/>
    </row>
    <row r="2978" spans="1:1" x14ac:dyDescent="0.25">
      <c r="A2978" s="1"/>
    </row>
    <row r="2979" spans="1:1" x14ac:dyDescent="0.25">
      <c r="A2979" s="1"/>
    </row>
    <row r="2980" spans="1:1" x14ac:dyDescent="0.25">
      <c r="A2980" s="1"/>
    </row>
    <row r="2981" spans="1:1" x14ac:dyDescent="0.25">
      <c r="A2981" s="1"/>
    </row>
    <row r="2982" spans="1:1" x14ac:dyDescent="0.25">
      <c r="A2982" s="1"/>
    </row>
    <row r="2983" spans="1:1" x14ac:dyDescent="0.25">
      <c r="A2983" s="1"/>
    </row>
    <row r="2984" spans="1:1" x14ac:dyDescent="0.25">
      <c r="A2984" s="1"/>
    </row>
    <row r="2985" spans="1:1" x14ac:dyDescent="0.25">
      <c r="A2985" s="1"/>
    </row>
    <row r="2986" spans="1:1" x14ac:dyDescent="0.25">
      <c r="A2986" s="1"/>
    </row>
    <row r="2987" spans="1:1" x14ac:dyDescent="0.25">
      <c r="A2987" s="1"/>
    </row>
    <row r="2988" spans="1:1" x14ac:dyDescent="0.25">
      <c r="A2988" s="1"/>
    </row>
    <row r="2989" spans="1:1" x14ac:dyDescent="0.25">
      <c r="A2989" s="1"/>
    </row>
    <row r="2990" spans="1:1" x14ac:dyDescent="0.25">
      <c r="A2990" s="1"/>
    </row>
    <row r="2991" spans="1:1" x14ac:dyDescent="0.25">
      <c r="A299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Patrina Thng</dc:creator>
  <cp:lastModifiedBy>Patrina Thng</cp:lastModifiedBy>
  <dcterms:created xsi:type="dcterms:W3CDTF">2025-07-09T06:17:37Z</dcterms:created>
  <dcterms:modified xsi:type="dcterms:W3CDTF">2025-07-11T03:49:58Z</dcterms:modified>
</cp:coreProperties>
</file>